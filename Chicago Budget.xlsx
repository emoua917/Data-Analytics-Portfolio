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EBEB\EXCELCNV\244c79b5-ca1c-4a95-ae94-56108f5ea14c\"/>
    </mc:Choice>
  </mc:AlternateContent>
  <xr:revisionPtr revIDLastSave="0" documentId="8_{783C7B3A-6429-46D6-B9A4-79720C1087A3}" xr6:coauthVersionLast="47" xr6:coauthVersionMax="47" xr10:uidLastSave="{00000000-0000-0000-0000-000000000000}"/>
  <bookViews>
    <workbookView xWindow="-60" yWindow="-60" windowWidth="15480" windowHeight="11640" firstSheet="1" xr2:uid="{E0F59463-6B22-4E34-A3BA-FBE013EE98E7}"/>
  </bookViews>
  <sheets>
    <sheet name="Pivot Table" sheetId="2" r:id="rId1"/>
    <sheet name="Dashboard" sheetId="3" r:id="rId2"/>
    <sheet name="Raw Data" sheetId="1" r:id="rId3"/>
  </sheets>
  <definedNames>
    <definedName name="_xlnm._FilterDatabase" localSheetId="2" hidden="1">'Raw Data'!$A$1:$V$8236</definedName>
    <definedName name="Slicer_DIVISION_DESCRIPTION">#N/A</definedName>
  </definedNames>
  <calcPr calcId="191028"/>
  <pivotCaches>
    <pivotCache cacheId="137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3" l="1"/>
  <c r="C17" i="3"/>
  <c r="C16" i="3"/>
  <c r="C15" i="3"/>
  <c r="C14" i="3"/>
  <c r="C13" i="3"/>
  <c r="C12" i="3"/>
  <c r="C11" i="3"/>
  <c r="C10" i="3"/>
  <c r="C9" i="3"/>
  <c r="B18" i="3"/>
  <c r="B17" i="3"/>
  <c r="B16" i="3"/>
  <c r="B15" i="3"/>
  <c r="B14" i="3"/>
  <c r="B13" i="3"/>
  <c r="B12" i="3"/>
  <c r="B11" i="3"/>
  <c r="B10" i="3"/>
  <c r="B9" i="3"/>
  <c r="B6" i="3"/>
  <c r="X2" i="1"/>
  <c r="W2" i="1"/>
  <c r="B5" i="3"/>
  <c r="B4" i="3"/>
  <c r="B3" i="3"/>
  <c r="E9" i="3" l="1"/>
  <c r="D9" i="3"/>
  <c r="E10" i="3"/>
  <c r="D10" i="3"/>
  <c r="E11" i="3"/>
  <c r="D11" i="3"/>
  <c r="E12" i="3"/>
  <c r="D12" i="3"/>
  <c r="E13" i="3"/>
  <c r="D13" i="3"/>
  <c r="E14" i="3"/>
  <c r="D14" i="3"/>
  <c r="E15" i="3"/>
  <c r="D15" i="3"/>
  <c r="E16" i="3"/>
  <c r="D16" i="3"/>
  <c r="E17" i="3"/>
  <c r="D17" i="3"/>
  <c r="E18" i="3"/>
  <c r="D18" i="3"/>
</calcChain>
</file>

<file path=xl/sharedStrings.xml><?xml version="1.0" encoding="utf-8"?>
<sst xmlns="http://schemas.openxmlformats.org/spreadsheetml/2006/main" count="80677" uniqueCount="2550">
  <si>
    <t>DIVISION DESCRIPTION</t>
  </si>
  <si>
    <t>Sum of TOTAL BUDGETED AMOUNT</t>
  </si>
  <si>
    <t>Patrol Services</t>
  </si>
  <si>
    <t>Chicago Fire Department</t>
  </si>
  <si>
    <t>Chicago-O'Hare International Airport</t>
  </si>
  <si>
    <t>Bureau of Operations and Distribution</t>
  </si>
  <si>
    <t>Bureau of Counter-Terrorism</t>
  </si>
  <si>
    <t>Bureau of Sanitation</t>
  </si>
  <si>
    <t>Division of In-House Construction</t>
  </si>
  <si>
    <t>Office of Emergency Management and Communications</t>
  </si>
  <si>
    <t>Chicago Public Library</t>
  </si>
  <si>
    <t>Bureau of Detectives</t>
  </si>
  <si>
    <t>Grand Total</t>
  </si>
  <si>
    <t>CHICAGO CITY BUDGET DASHBOARD</t>
  </si>
  <si>
    <t>KPI Summary</t>
  </si>
  <si>
    <t>Total Budget</t>
  </si>
  <si>
    <t>Total Positions</t>
  </si>
  <si>
    <t>AVG. Pay Rate</t>
  </si>
  <si>
    <t>Highest Salary</t>
  </si>
  <si>
    <t>Top 10 Divisions</t>
  </si>
  <si>
    <t>Division</t>
  </si>
  <si>
    <t>Headcount</t>
  </si>
  <si>
    <t>Cost Per Position</t>
  </si>
  <si>
    <t>% Of Budget</t>
  </si>
  <si>
    <t>Sum of TOTAL BUDGETED UNIT</t>
  </si>
  <si>
    <t>Bureau of Fleet Operations</t>
  </si>
  <si>
    <t>Office of Constitutional Policing and Reform</t>
  </si>
  <si>
    <t>Department of Law</t>
  </si>
  <si>
    <t>Bureau of Water Supply</t>
  </si>
  <si>
    <t>Bureau of Facility Management</t>
  </si>
  <si>
    <t>Chicago Midway Airport</t>
  </si>
  <si>
    <t>Chicago Police Department</t>
  </si>
  <si>
    <t>Office of Public Safety Administration</t>
  </si>
  <si>
    <t>Department of Buildings</t>
  </si>
  <si>
    <t>Division of Electrical Operations</t>
  </si>
  <si>
    <t>Bureau of Street Operations</t>
  </si>
  <si>
    <t>Revenue Services and Operations</t>
  </si>
  <si>
    <t>Bureau of Crime Control Strategies</t>
  </si>
  <si>
    <t>Pumping Stations</t>
  </si>
  <si>
    <t>Bureau of Forestry</t>
  </si>
  <si>
    <t>Department of Business Affairs and Consumer Protection</t>
  </si>
  <si>
    <t>DOJ - COPS - CTY - Public Safety Partnership and Community Policing (16.710)</t>
  </si>
  <si>
    <t>Department of Planning and Development</t>
  </si>
  <si>
    <t>Bureau of Centralized Information Technology</t>
  </si>
  <si>
    <t>Bureau of Traffic Services</t>
  </si>
  <si>
    <t>Civilian Office of Police Accountability</t>
  </si>
  <si>
    <t>Commissioner's Office</t>
  </si>
  <si>
    <t>Department of Procurement Services</t>
  </si>
  <si>
    <t>Office of the Mayor</t>
  </si>
  <si>
    <t>Office of Inspector General</t>
  </si>
  <si>
    <t>HHS - ACL - IDOA -CTY - Area Plan on Aging  (93.041-93.045; 93.052-93.053)</t>
  </si>
  <si>
    <t>Department of Human Resources</t>
  </si>
  <si>
    <t>Bureau of Meter Services</t>
  </si>
  <si>
    <t>CTY - Grants Management</t>
  </si>
  <si>
    <t>Department of Family and Support Services</t>
  </si>
  <si>
    <t>Bureau of Rodent Control</t>
  </si>
  <si>
    <t>Financial Strategy and Operations</t>
  </si>
  <si>
    <t>Health Protection</t>
  </si>
  <si>
    <t>SOS - Library Development - Per Capita and Area</t>
  </si>
  <si>
    <t>Behavioral Health</t>
  </si>
  <si>
    <t>Office of the First Deputy</t>
  </si>
  <si>
    <t>Office of City Clerk</t>
  </si>
  <si>
    <t>Department of Cultural Affairs and Special Events</t>
  </si>
  <si>
    <t>Division of Infrastructure Management</t>
  </si>
  <si>
    <t>HUD - CPD - CDBG - Public Service - Mental Health Services (14.218)</t>
  </si>
  <si>
    <t>City Council</t>
  </si>
  <si>
    <t>Election and Administration Division</t>
  </si>
  <si>
    <t>HHS - ACF - Head Start (93.600)</t>
  </si>
  <si>
    <t>Grants Management</t>
  </si>
  <si>
    <t>Bureau of Engineering Services</t>
  </si>
  <si>
    <t>HHS - ACF - DCEO - Community Services Block Grant (93.569)</t>
  </si>
  <si>
    <t>Division of Engineering</t>
  </si>
  <si>
    <t>HHS - CDC - Collaboration with Academia to Strengthen Public Health (93.967)</t>
  </si>
  <si>
    <t>HHS - CDC - HIV Prevention Activities (93.940)</t>
  </si>
  <si>
    <t>Chicago Animal Care and Control</t>
  </si>
  <si>
    <t>IDPH - Comprehensive Health Protection Grant</t>
  </si>
  <si>
    <t>Division of Sign Management</t>
  </si>
  <si>
    <t>Division of Administration</t>
  </si>
  <si>
    <t>Department of Housing</t>
  </si>
  <si>
    <t>DHS - FEMA - CTA - Rail and Transit Security Grant Program (97.075)</t>
  </si>
  <si>
    <t>HHS - CDC - Public Health Emergency Preparedness (93.069)</t>
  </si>
  <si>
    <t>Bureau of Administrative Support</t>
  </si>
  <si>
    <t>Accounting and Financial Reporting</t>
  </si>
  <si>
    <t>Office of Budget and Management</t>
  </si>
  <si>
    <t>Bureau of Asset Management</t>
  </si>
  <si>
    <t>City Treasurer's Office</t>
  </si>
  <si>
    <t>HUD - CPD - CDBG - Rehabilitation - Administration (14.218)</t>
  </si>
  <si>
    <t>HUD - CPD - CDBG - Public Service - Screening for Lead (14.218)</t>
  </si>
  <si>
    <t>Bureau of Finance and Administration</t>
  </si>
  <si>
    <t>City Comptroller</t>
  </si>
  <si>
    <t>HUD - CPD - CDBG - Planning and Administration (14.218)</t>
  </si>
  <si>
    <t>HHS - CDC - Epidemiology and Lab Capacity (ELC) for Infectious Diseases (93.323)</t>
  </si>
  <si>
    <t>HHS - CDC - Immunization (93.268)</t>
  </si>
  <si>
    <t>Department of Administrative Hearings</t>
  </si>
  <si>
    <t>USDA - FNS - IDHS - Women  Infants and Children (WIC) Nutrition Program (10.557)</t>
  </si>
  <si>
    <t>HHS - HRSA - IDPH - Maternal and Child Health Services Block Grants (93.994)</t>
  </si>
  <si>
    <t>Community Commission for Public Safety and Accountability</t>
  </si>
  <si>
    <t>Finance and Administration</t>
  </si>
  <si>
    <t>Disease Control and Emergency Preparedness</t>
  </si>
  <si>
    <t>DHS - FEMA - IEMA - Homeland Security Grant Program (UASI) (97.076)</t>
  </si>
  <si>
    <t>Office of Environmental Permitting and Inspection</t>
  </si>
  <si>
    <t>Mayor's Office for People with Disabilities</t>
  </si>
  <si>
    <t>HHS - HRSA - HIV Emergency Relief Project Grants (Ryan White) (93.914)</t>
  </si>
  <si>
    <t>Family and Lifespan Health</t>
  </si>
  <si>
    <t>Division of Project Development</t>
  </si>
  <si>
    <t>ISBE - CPS - Early Childhood Block Grant</t>
  </si>
  <si>
    <t>HUD - CPD - Home Investment Partnerships Program (14.239)</t>
  </si>
  <si>
    <t>Syndemic Infectious Diseases</t>
  </si>
  <si>
    <t>OSFM - Fire Academy Training and Improvement</t>
  </si>
  <si>
    <t>Administrative Services Division</t>
  </si>
  <si>
    <t>Data Infrastructure and Informatics</t>
  </si>
  <si>
    <t>Department of Public Health</t>
  </si>
  <si>
    <t>HUD - CPD - CDBG - Public Service - Homeless Programs (14.218)</t>
  </si>
  <si>
    <t>Department of Environment</t>
  </si>
  <si>
    <t>HHS - CDC - Sexually Transmitted Diseases (STD) Prevention and Control (93.977)</t>
  </si>
  <si>
    <t>Chicago Commission on Human Relations</t>
  </si>
  <si>
    <t>HHS - HRSA - Ending the HIV Epidemic (93.686)</t>
  </si>
  <si>
    <t>Citywide Services</t>
  </si>
  <si>
    <t>TREAS - SLFRF - American Rescue Plan Fiscal Recovery (ARPA) (21.027)</t>
  </si>
  <si>
    <t>HHS - ACF - IDHS - Child Care and Development Fund (93.596)</t>
  </si>
  <si>
    <t>Division of Traffic Safety</t>
  </si>
  <si>
    <t>Health and Safety</t>
  </si>
  <si>
    <t>Policy and Planning</t>
  </si>
  <si>
    <t>IDHS - Emergency and Transitional Housing</t>
  </si>
  <si>
    <t>HUD - CPD - CDBG - Public Service - Fair Housing (14.218)</t>
  </si>
  <si>
    <t>HUD - CPD - CDBG - Public Service - Employment Training (14.218)</t>
  </si>
  <si>
    <t>HHS - CDC - Tuberculosis Control Programs (93.116)</t>
  </si>
  <si>
    <t>IDHS - Social Services Block Grant (Family Connects)</t>
  </si>
  <si>
    <t>HUD - CPD - CDBG - Public Service - Domestic Violence Services (14.218)</t>
  </si>
  <si>
    <t>Board of Ethics</t>
  </si>
  <si>
    <t>DOJ - OJP - Edward Byrne Memorial Justice Assistance Grant Program (16.738)</t>
  </si>
  <si>
    <t>HUD - CPD - CDBG - Public Service - Housing Counseling (14.218)</t>
  </si>
  <si>
    <t>HHS - ACF - IDHS - Social Services Block Grant (Family Connects) (93.667)</t>
  </si>
  <si>
    <t>EPA - IEPA - CTY - Air Pollution Control Program (66.605)</t>
  </si>
  <si>
    <t>IDHS - Chicago First Responder Wellness Program</t>
  </si>
  <si>
    <t>HUD - CPD - Emergency Solutions Grant Program (14.231)</t>
  </si>
  <si>
    <t>CTY - Homeownership Programs</t>
  </si>
  <si>
    <t>HUD - CPD - CDBG - Public Service - Housing Information and Referral Services (14.218)</t>
  </si>
  <si>
    <t>HUD - CPD - CDBG-DR - Planning and Administration (14.218)</t>
  </si>
  <si>
    <t>HHS - OS - National Bioterrorism Hospital Preparedness Program (93.889)</t>
  </si>
  <si>
    <t>HUD - CPD - CDBG - Rehabilitation - HomeMod (14.218)</t>
  </si>
  <si>
    <t>CTY - Housing Preservation</t>
  </si>
  <si>
    <t>HUD - CPD - CDBG - Public Service - Disability Services (14.218)</t>
  </si>
  <si>
    <t>OSFM - Underground Storage Tank Inspection</t>
  </si>
  <si>
    <t>DHS - CWMD - Securing the Cities Program (97.106)</t>
  </si>
  <si>
    <t>IDOA - Long Term Care Ombudsman Services</t>
  </si>
  <si>
    <t>HUD - CPD - Housing Opportunities for People with AIDS (HOPWA) (14.241)</t>
  </si>
  <si>
    <t>HHS - CDC - Injury Prevention and Control Research (93.136)</t>
  </si>
  <si>
    <t>HUD - PIH - CHA - Moving to Work Demonstration Program (14.881)</t>
  </si>
  <si>
    <t>Council Office of Financial Analysis</t>
  </si>
  <si>
    <t>DOT - FHWA - IDOT - CTY - Highway Planning and Construction (20.205)</t>
  </si>
  <si>
    <t>IDPH - Tobacco Free Communities</t>
  </si>
  <si>
    <t>EPA - OLEM - Superfund Program - Anadarko Streeterville Removal (66.802)</t>
  </si>
  <si>
    <t>IDOA - Senior Health Assistance Program (SHAP)</t>
  </si>
  <si>
    <t>PVT - Chicago Funders Together to End Homelessness</t>
  </si>
  <si>
    <t>IHDA - Build Illinois</t>
  </si>
  <si>
    <t>USDA - FS - PVT - Urban and Community Forestry Program (10.675)</t>
  </si>
  <si>
    <t>CNCS - IDOA - CTY - AmeriCorps Foster Grandparent Program (FGP) (94.011)</t>
  </si>
  <si>
    <t>IEPA - Resource Conservation</t>
  </si>
  <si>
    <t>HHS - SAMHSA - IDHS - CTY - Substance Abuse Prevention Program (93.959)</t>
  </si>
  <si>
    <t>Chicago Police Board</t>
  </si>
  <si>
    <t>HUD - OLHCHH - Healthy Homes Production Program (14.913)</t>
  </si>
  <si>
    <t>HHS - CDC - Childhood Lead Poisoning Prevention Projects (93.197)</t>
  </si>
  <si>
    <t>CNCS - IDOA - CTY - AmeriCorps Senior Companion Program (SCP) (94.016)</t>
  </si>
  <si>
    <t>HHS - CDC - Tobacco Control Program (93.387)</t>
  </si>
  <si>
    <t>PVT - Water Policy Program</t>
  </si>
  <si>
    <t>HHS - CDC - Viral Hepatitis Prevention and Control (93.270)</t>
  </si>
  <si>
    <t>DOJ - OVW - CTY - Violence Against Women Formula Grants (16.588)</t>
  </si>
  <si>
    <t>HUD - OLHCHH - Lead Hazard Reduction Demonstration Grant Program (14.905)</t>
  </si>
  <si>
    <t>HUD - CPD - CDBG - Public Service - Food Banks (14.218)</t>
  </si>
  <si>
    <t>IHDA - Low Income Housing Trust Fund</t>
  </si>
  <si>
    <t>License Appeal Commission</t>
  </si>
  <si>
    <t>IEPA - Solid Waste Management</t>
  </si>
  <si>
    <t>DOJ - OJP - Congressionally Recommended Awards (16.753)</t>
  </si>
  <si>
    <t>FUND TYPE</t>
  </si>
  <si>
    <t>DEPARTMENT CODE</t>
  </si>
  <si>
    <t>DEPARTMENT DESCRIPTION</t>
  </si>
  <si>
    <t>FUND CODE</t>
  </si>
  <si>
    <t>FUND DESCRIPTION</t>
  </si>
  <si>
    <t>ORGANIZATION CODE</t>
  </si>
  <si>
    <t>ORGANIZATION DESCRIPTION</t>
  </si>
  <si>
    <t>DIVISION CODE</t>
  </si>
  <si>
    <t>SECTION CODE</t>
  </si>
  <si>
    <t>SECTION DESCRIPTION</t>
  </si>
  <si>
    <t>SUBSECTION CODE</t>
  </si>
  <si>
    <t>SUB-SECTION DESCRIPTION</t>
  </si>
  <si>
    <t>SCHEDULE / GRADE</t>
  </si>
  <si>
    <t>BARGAINING UNIT</t>
  </si>
  <si>
    <t>TITLE CODE</t>
  </si>
  <si>
    <t>TITLE DESCRIPTION</t>
  </si>
  <si>
    <t>BUDGETED UNIT</t>
  </si>
  <si>
    <t>TOTAL BUDGETED UNIT</t>
  </si>
  <si>
    <t>POSITION CONTROL</t>
  </si>
  <si>
    <t>BUDGETED PAY RATE</t>
  </si>
  <si>
    <t>TOTAL BUDGETED AMOUNT</t>
  </si>
  <si>
    <t>% Of Total Budget</t>
  </si>
  <si>
    <t>LOCAL</t>
  </si>
  <si>
    <t>Corporate Fund</t>
  </si>
  <si>
    <t>Executive</t>
  </si>
  <si>
    <t>1 00</t>
  </si>
  <si>
    <t>Mayor</t>
  </si>
  <si>
    <t>Annual</t>
  </si>
  <si>
    <t>Director - Mayor's Office</t>
  </si>
  <si>
    <t>Senior Project Manager - Mayor's Office</t>
  </si>
  <si>
    <t>Senior Advisor to the Mayor</t>
  </si>
  <si>
    <t>Administrative Assistant</t>
  </si>
  <si>
    <t>Correspondence</t>
  </si>
  <si>
    <t>Project Manager - Mayor's Office</t>
  </si>
  <si>
    <t>Scheduling and Advance</t>
  </si>
  <si>
    <t>Advance</t>
  </si>
  <si>
    <t>Assistant Director - Mayor's Office</t>
  </si>
  <si>
    <t>Administrative</t>
  </si>
  <si>
    <t>Chief of Staff</t>
  </si>
  <si>
    <t>Deputy Chief of Staff</t>
  </si>
  <si>
    <t>First Deputy Chief of Staff</t>
  </si>
  <si>
    <t>Assistant Deputy Chief of Staff</t>
  </si>
  <si>
    <t>3 00</t>
  </si>
  <si>
    <t>Analyst - Mayor's Office</t>
  </si>
  <si>
    <t>Office of the Press Secretary</t>
  </si>
  <si>
    <t>Communications Director</t>
  </si>
  <si>
    <t>Assistant Press Secretary</t>
  </si>
  <si>
    <t>Press Secretary</t>
  </si>
  <si>
    <t>Photographer</t>
  </si>
  <si>
    <t>Photographer and Creative Director</t>
  </si>
  <si>
    <t>Press Aide II</t>
  </si>
  <si>
    <t>Press Aide</t>
  </si>
  <si>
    <t>Office of the Chief Financial Officer</t>
  </si>
  <si>
    <t>Chief Financial Officer</t>
  </si>
  <si>
    <t>Office of Community Engagement</t>
  </si>
  <si>
    <t>Office of Infrastructure and Services</t>
  </si>
  <si>
    <t>Assistant Deputy Mayor</t>
  </si>
  <si>
    <t>Office of Intergovernmental Affairs</t>
  </si>
  <si>
    <t>Legislative Assistant</t>
  </si>
  <si>
    <t>Senior Legislative Asst</t>
  </si>
  <si>
    <t>Office of Equity and Racial Justice</t>
  </si>
  <si>
    <t>Office of Business  Economic and Neighborhood Development (BEND)</t>
  </si>
  <si>
    <t>Deputy Mayor</t>
  </si>
  <si>
    <t>Senior Analyst - Mayor's Office</t>
  </si>
  <si>
    <t>Office of Policy</t>
  </si>
  <si>
    <t>Office of Immigrant  Migrant and Refugee Rights</t>
  </si>
  <si>
    <t>Office of Labor Relations</t>
  </si>
  <si>
    <t>Office of Education and Youth</t>
  </si>
  <si>
    <t>Office of Health And Human Services</t>
  </si>
  <si>
    <t>Operations</t>
  </si>
  <si>
    <t>Inspector General</t>
  </si>
  <si>
    <t>GY 11</t>
  </si>
  <si>
    <t>Senior Equity Officer</t>
  </si>
  <si>
    <t>BX 13</t>
  </si>
  <si>
    <t>Human Resources Associate - IG</t>
  </si>
  <si>
    <t>BX 18</t>
  </si>
  <si>
    <t>Manager of Human Resources</t>
  </si>
  <si>
    <t>BX 16</t>
  </si>
  <si>
    <t>Executive Administrative Assistant II</t>
  </si>
  <si>
    <t>BX 17</t>
  </si>
  <si>
    <t>Public Relations Coordinator</t>
  </si>
  <si>
    <t>B 15</t>
  </si>
  <si>
    <t>Information Coordinator</t>
  </si>
  <si>
    <t>PX 02</t>
  </si>
  <si>
    <t>Director of Public Affairs</t>
  </si>
  <si>
    <t>BX 12</t>
  </si>
  <si>
    <t>Administrative Assistant III - Excluded</t>
  </si>
  <si>
    <t>GY 09</t>
  </si>
  <si>
    <t>Manager of Finance - IG</t>
  </si>
  <si>
    <t>Finance Associate</t>
  </si>
  <si>
    <t>Schedule Salary Adjustments</t>
  </si>
  <si>
    <t>Legal</t>
  </si>
  <si>
    <t>X 32</t>
  </si>
  <si>
    <t>General Counsel</t>
  </si>
  <si>
    <t>BX 15</t>
  </si>
  <si>
    <t>Case Analyst</t>
  </si>
  <si>
    <t>Attorney - IG</t>
  </si>
  <si>
    <t>GY 12</t>
  </si>
  <si>
    <t>Assistant Inspector General</t>
  </si>
  <si>
    <t>Complaint Intake Specialist - IGO</t>
  </si>
  <si>
    <t>X 33</t>
  </si>
  <si>
    <t>Chief Assistant Inspector General</t>
  </si>
  <si>
    <t>Associate General Counsel - IG</t>
  </si>
  <si>
    <t>Investigations</t>
  </si>
  <si>
    <t>Deputy Inspector General</t>
  </si>
  <si>
    <t>Chief Investigator - IG</t>
  </si>
  <si>
    <t>Investigator III - IG</t>
  </si>
  <si>
    <t>GY 08</t>
  </si>
  <si>
    <t>Investigator II - IG</t>
  </si>
  <si>
    <t>GY 06</t>
  </si>
  <si>
    <t>Investigator I - IG</t>
  </si>
  <si>
    <t>Audit and Program Review</t>
  </si>
  <si>
    <t>Senior Performance Analyst</t>
  </si>
  <si>
    <t>GY 07</t>
  </si>
  <si>
    <t>Performance Analyst</t>
  </si>
  <si>
    <t>Public Safety Audit</t>
  </si>
  <si>
    <t>Investigative Analyst</t>
  </si>
  <si>
    <t>Chief Investigative Analyst</t>
  </si>
  <si>
    <t>Chief Performance Analyst</t>
  </si>
  <si>
    <t>Information Technology and Analytics</t>
  </si>
  <si>
    <t>BX 14</t>
  </si>
  <si>
    <t>Information Analyst - IG</t>
  </si>
  <si>
    <t>Senior Information Analyst - IG</t>
  </si>
  <si>
    <t>GY 10</t>
  </si>
  <si>
    <t>Senior Forensic Data Analyst</t>
  </si>
  <si>
    <t>Chief Forensic Data Analyst</t>
  </si>
  <si>
    <t>Chief Data and Information Analyst</t>
  </si>
  <si>
    <t>06M3</t>
  </si>
  <si>
    <t>Web Developer/Administrator (OIG)</t>
  </si>
  <si>
    <t>06A7</t>
  </si>
  <si>
    <t>IT Security Analyst-IG</t>
  </si>
  <si>
    <t>06A4</t>
  </si>
  <si>
    <t>Data Services Administrator-Excluded</t>
  </si>
  <si>
    <t>Technical Support Administrator - IG</t>
  </si>
  <si>
    <t>Forensic Data Analyst</t>
  </si>
  <si>
    <t>Administration</t>
  </si>
  <si>
    <t>Budget Director</t>
  </si>
  <si>
    <t>X 31</t>
  </si>
  <si>
    <t>First Deputy Budget Director</t>
  </si>
  <si>
    <t>Managing Deputy Budget Director</t>
  </si>
  <si>
    <t>Administrative Manager</t>
  </si>
  <si>
    <t>Budget Development and Monitoring</t>
  </si>
  <si>
    <t>Deputy Budget Director</t>
  </si>
  <si>
    <t>Assistant Budget Director</t>
  </si>
  <si>
    <t>Principal Budget Analyst</t>
  </si>
  <si>
    <t>Senior Budget Analyst</t>
  </si>
  <si>
    <t>GY 05</t>
  </si>
  <si>
    <t>Budget Analyst</t>
  </si>
  <si>
    <t>Financial Analyst</t>
  </si>
  <si>
    <t>Strategic Communications</t>
  </si>
  <si>
    <t>Public Relations Rep III - Excluded</t>
  </si>
  <si>
    <t>Workforce Management and Technology</t>
  </si>
  <si>
    <t>Compensation Control</t>
  </si>
  <si>
    <t>Deputy Director</t>
  </si>
  <si>
    <t>Compensation Specialist</t>
  </si>
  <si>
    <t>Applications</t>
  </si>
  <si>
    <t>Senior Programmer Analyst - Excluded</t>
  </si>
  <si>
    <t>Data Analytics</t>
  </si>
  <si>
    <t>Principal Operations Analyst</t>
  </si>
  <si>
    <t>G 09</t>
  </si>
  <si>
    <t>Chief Operations Analyst</t>
  </si>
  <si>
    <t>Performance Management</t>
  </si>
  <si>
    <t>Department of Technology and Innovation</t>
  </si>
  <si>
    <t>Office of CIO</t>
  </si>
  <si>
    <t>Deputy Commissioner</t>
  </si>
  <si>
    <t>Senior Policy Analyst</t>
  </si>
  <si>
    <t>Administrative Services Officer II</t>
  </si>
  <si>
    <t>B 13</t>
  </si>
  <si>
    <t>FOIA Officer</t>
  </si>
  <si>
    <t>BX 19</t>
  </si>
  <si>
    <t>06J7</t>
  </si>
  <si>
    <t>Senior Project Manager - DTI</t>
  </si>
  <si>
    <t>IT 05</t>
  </si>
  <si>
    <t>06J6</t>
  </si>
  <si>
    <t>Director of Strategic Partnerships</t>
  </si>
  <si>
    <t>06H4</t>
  </si>
  <si>
    <t>Chief Information Officer</t>
  </si>
  <si>
    <t>B 12</t>
  </si>
  <si>
    <t>03A8</t>
  </si>
  <si>
    <t>Senior Administrative Assistant</t>
  </si>
  <si>
    <t>Director of Administrative Services</t>
  </si>
  <si>
    <t>Staff Assistant</t>
  </si>
  <si>
    <t>G 07</t>
  </si>
  <si>
    <t>Finance Officer</t>
  </si>
  <si>
    <t>Director of Finance</t>
  </si>
  <si>
    <t>Accountant</t>
  </si>
  <si>
    <t>B 11</t>
  </si>
  <si>
    <t>Accounting Technician</t>
  </si>
  <si>
    <t>IT Planning</t>
  </si>
  <si>
    <t>Chief Contract Expediter</t>
  </si>
  <si>
    <t>Contract Review Specialist II</t>
  </si>
  <si>
    <t>06K3</t>
  </si>
  <si>
    <t>eDiscovery Specialist</t>
  </si>
  <si>
    <t>IT 06</t>
  </si>
  <si>
    <t>06H5</t>
  </si>
  <si>
    <t>Head Of Planning</t>
  </si>
  <si>
    <t>06H1</t>
  </si>
  <si>
    <t>Enterprise Architecture Lead</t>
  </si>
  <si>
    <t>B 14</t>
  </si>
  <si>
    <t>06C6</t>
  </si>
  <si>
    <t>Vendor/License Specialist</t>
  </si>
  <si>
    <t>06C5</t>
  </si>
  <si>
    <t>Vendor/License Specialist Lead</t>
  </si>
  <si>
    <t>06C3</t>
  </si>
  <si>
    <t>Business Analyst</t>
  </si>
  <si>
    <t>IT 01</t>
  </si>
  <si>
    <t>06B9</t>
  </si>
  <si>
    <t>Governance Manager</t>
  </si>
  <si>
    <t>06B7</t>
  </si>
  <si>
    <t>Organizational Change Management Lead</t>
  </si>
  <si>
    <t>06B4</t>
  </si>
  <si>
    <t>Strategic Planning Manager</t>
  </si>
  <si>
    <t>G 10</t>
  </si>
  <si>
    <t>06B3</t>
  </si>
  <si>
    <t>Solutions Architect</t>
  </si>
  <si>
    <t>IT 03</t>
  </si>
  <si>
    <t>06B1</t>
  </si>
  <si>
    <t>Enterprise Architect</t>
  </si>
  <si>
    <t>B 16</t>
  </si>
  <si>
    <t>Contracts Coordinator</t>
  </si>
  <si>
    <t>IT Delivery</t>
  </si>
  <si>
    <t>06L2</t>
  </si>
  <si>
    <t>Principal Engineer</t>
  </si>
  <si>
    <t>B 17</t>
  </si>
  <si>
    <t>06K8</t>
  </si>
  <si>
    <t>Principal Data Analyst</t>
  </si>
  <si>
    <t>06K7</t>
  </si>
  <si>
    <t>Senior Data Analyst</t>
  </si>
  <si>
    <t>06K4</t>
  </si>
  <si>
    <t>Project Manager - DTI</t>
  </si>
  <si>
    <t>06J4</t>
  </si>
  <si>
    <t>Web Developer</t>
  </si>
  <si>
    <t>IT 02</t>
  </si>
  <si>
    <t>06J1</t>
  </si>
  <si>
    <t>Project Management Office Lead</t>
  </si>
  <si>
    <t>06H9</t>
  </si>
  <si>
    <t>Digital Accessibility Specialist</t>
  </si>
  <si>
    <t>06H8</t>
  </si>
  <si>
    <t>UX Designer</t>
  </si>
  <si>
    <t>06H7</t>
  </si>
  <si>
    <t>Application Development Lead</t>
  </si>
  <si>
    <t>06H6</t>
  </si>
  <si>
    <t>Head Of Delivery</t>
  </si>
  <si>
    <t>06H3</t>
  </si>
  <si>
    <t>Service Owner</t>
  </si>
  <si>
    <t>06G8</t>
  </si>
  <si>
    <t>Data Services Lead</t>
  </si>
  <si>
    <t>06G2</t>
  </si>
  <si>
    <t>Digital and Web Services Lead</t>
  </si>
  <si>
    <t>06F9</t>
  </si>
  <si>
    <t>Quality Assurance Lead</t>
  </si>
  <si>
    <t>06F8</t>
  </si>
  <si>
    <t>Business Relationship Services Lead</t>
  </si>
  <si>
    <t>IT 04</t>
  </si>
  <si>
    <t>06F5</t>
  </si>
  <si>
    <t>Data Analytics Lead</t>
  </si>
  <si>
    <t>06F2</t>
  </si>
  <si>
    <t>User Experience and Accessibility Lead</t>
  </si>
  <si>
    <t>06F1</t>
  </si>
  <si>
    <t>Content Manager Lead</t>
  </si>
  <si>
    <t>Web Development Lead</t>
  </si>
  <si>
    <t>Data Science Lead</t>
  </si>
  <si>
    <t>Data Portal Lead</t>
  </si>
  <si>
    <t>06D6</t>
  </si>
  <si>
    <t>Web Designer</t>
  </si>
  <si>
    <t>06C9</t>
  </si>
  <si>
    <t>Content Manager</t>
  </si>
  <si>
    <t>06C8</t>
  </si>
  <si>
    <t>Application Delivery Manager</t>
  </si>
  <si>
    <t>06C7</t>
  </si>
  <si>
    <t>Data Architect</t>
  </si>
  <si>
    <t>06B6</t>
  </si>
  <si>
    <t>Business Relationship Manager</t>
  </si>
  <si>
    <t>Project Manager</t>
  </si>
  <si>
    <t>IT Support</t>
  </si>
  <si>
    <t>06L7</t>
  </si>
  <si>
    <t>Principal Database Administrator</t>
  </si>
  <si>
    <t>06L5</t>
  </si>
  <si>
    <t>Principal Support Technician</t>
  </si>
  <si>
    <t>06K9</t>
  </si>
  <si>
    <t>Senior Infrastructure Administrator</t>
  </si>
  <si>
    <t>06K5</t>
  </si>
  <si>
    <t>Senior Cloud Engineer</t>
  </si>
  <si>
    <t>06J5</t>
  </si>
  <si>
    <t>Head Of Support</t>
  </si>
  <si>
    <t>06G7</t>
  </si>
  <si>
    <t>Infrastructure and Operations Lead</t>
  </si>
  <si>
    <t>06G6</t>
  </si>
  <si>
    <t>Network and Telecom Lead</t>
  </si>
  <si>
    <t>06G5</t>
  </si>
  <si>
    <t>Database Services Lead</t>
  </si>
  <si>
    <t>06G4</t>
  </si>
  <si>
    <t>Service Desk Lead</t>
  </si>
  <si>
    <t>06G3</t>
  </si>
  <si>
    <t>Application Support Lead</t>
  </si>
  <si>
    <t>06F4</t>
  </si>
  <si>
    <t>Cloud/Data Center Lead</t>
  </si>
  <si>
    <t>06F3</t>
  </si>
  <si>
    <t>End User Computing Lead</t>
  </si>
  <si>
    <t>Network Administrator</t>
  </si>
  <si>
    <t>06D8</t>
  </si>
  <si>
    <t>Application/Systems Analyst</t>
  </si>
  <si>
    <t>06D2</t>
  </si>
  <si>
    <t>Infrastructure Administrator</t>
  </si>
  <si>
    <t>IT Information and Security</t>
  </si>
  <si>
    <t>06K2</t>
  </si>
  <si>
    <t>Senior Cloud Security Engineer</t>
  </si>
  <si>
    <t>06J9</t>
  </si>
  <si>
    <t>Senior Security Engineer</t>
  </si>
  <si>
    <t>06J8</t>
  </si>
  <si>
    <t>Senior Security Analyst</t>
  </si>
  <si>
    <t>IT 07</t>
  </si>
  <si>
    <t>06J3</t>
  </si>
  <si>
    <t>Chief Information Security Officer</t>
  </si>
  <si>
    <t>06G9</t>
  </si>
  <si>
    <t>Information Security Lead</t>
  </si>
  <si>
    <t>9A50</t>
  </si>
  <si>
    <t>Alderman - 50th Ward</t>
  </si>
  <si>
    <t>9A49</t>
  </si>
  <si>
    <t>Alderman - 49th Ward</t>
  </si>
  <si>
    <t>9A48</t>
  </si>
  <si>
    <t>Alderman - 48th Ward</t>
  </si>
  <si>
    <t>9A47</t>
  </si>
  <si>
    <t>Alderman - 47th Ward</t>
  </si>
  <si>
    <t>9A46</t>
  </si>
  <si>
    <t>Alderman - 46th Ward</t>
  </si>
  <si>
    <t>9A45</t>
  </si>
  <si>
    <t>Alderman - 45th Ward</t>
  </si>
  <si>
    <t>9A44</t>
  </si>
  <si>
    <t>Alderman - 44th Ward</t>
  </si>
  <si>
    <t>9A43</t>
  </si>
  <si>
    <t>Alderman - 43rd Ward</t>
  </si>
  <si>
    <t>9A42</t>
  </si>
  <si>
    <t>Alderman - 42nd Ward</t>
  </si>
  <si>
    <t>9A41</t>
  </si>
  <si>
    <t>Alderman - 41st Ward</t>
  </si>
  <si>
    <t>9A40</t>
  </si>
  <si>
    <t>Alderman - 40th Ward</t>
  </si>
  <si>
    <t>9A39</t>
  </si>
  <si>
    <t>Alderman - 39th Ward</t>
  </si>
  <si>
    <t>9A38</t>
  </si>
  <si>
    <t>Alderman - 38th Ward</t>
  </si>
  <si>
    <t>9A37</t>
  </si>
  <si>
    <t>Alderman - 37th Ward</t>
  </si>
  <si>
    <t>9A36</t>
  </si>
  <si>
    <t>Alderman - 36th Ward</t>
  </si>
  <si>
    <t>9A35</t>
  </si>
  <si>
    <t>Alderman - 35th Ward</t>
  </si>
  <si>
    <t>9A34</t>
  </si>
  <si>
    <t>Alderman - 34th Ward</t>
  </si>
  <si>
    <t>9A33</t>
  </si>
  <si>
    <t>Alderman - 33rd Ward</t>
  </si>
  <si>
    <t>9A32</t>
  </si>
  <si>
    <t>Alderman - 32nd Ward</t>
  </si>
  <si>
    <t>9A31</t>
  </si>
  <si>
    <t>Alderman - 31st Ward</t>
  </si>
  <si>
    <t>9A30</t>
  </si>
  <si>
    <t>Alderman - 30th Ward</t>
  </si>
  <si>
    <t>9A29</t>
  </si>
  <si>
    <t>Alderman - 29th Ward</t>
  </si>
  <si>
    <t>9A28</t>
  </si>
  <si>
    <t>Alderman - 28th Ward</t>
  </si>
  <si>
    <t>9A27</t>
  </si>
  <si>
    <t>Alderman - 27th Ward</t>
  </si>
  <si>
    <t>9A26</t>
  </si>
  <si>
    <t>Alderman - 26th Ward</t>
  </si>
  <si>
    <t>9A25</t>
  </si>
  <si>
    <t>Alderman - 25th Ward</t>
  </si>
  <si>
    <t>9A24</t>
  </si>
  <si>
    <t>Alderman - 24th Ward</t>
  </si>
  <si>
    <t>9A23</t>
  </si>
  <si>
    <t>Alderman - 23rd Ward</t>
  </si>
  <si>
    <t>9A22</t>
  </si>
  <si>
    <t>Alderman - 22nd Ward</t>
  </si>
  <si>
    <t>9A21</t>
  </si>
  <si>
    <t>Alderman - 21st Ward</t>
  </si>
  <si>
    <t>9A20</t>
  </si>
  <si>
    <t>Alderman - 20th Ward</t>
  </si>
  <si>
    <t>9A19</t>
  </si>
  <si>
    <t>Alderman - 19th Ward</t>
  </si>
  <si>
    <t>9A18</t>
  </si>
  <si>
    <t>Alderman - 18th Ward</t>
  </si>
  <si>
    <t>9A17</t>
  </si>
  <si>
    <t>Alderman - 17th Ward</t>
  </si>
  <si>
    <t>9A16</t>
  </si>
  <si>
    <t>Alderman - 16th Ward</t>
  </si>
  <si>
    <t>9A15</t>
  </si>
  <si>
    <t>Alderman - 15th Ward</t>
  </si>
  <si>
    <t>9A14</t>
  </si>
  <si>
    <t>Alderman - 14th Ward</t>
  </si>
  <si>
    <t>9A13</t>
  </si>
  <si>
    <t>Alderman - 13th Ward</t>
  </si>
  <si>
    <t>9A12</t>
  </si>
  <si>
    <t>Alderman - 12th Ward</t>
  </si>
  <si>
    <t>9A11</t>
  </si>
  <si>
    <t>Alderman - 11th Ward</t>
  </si>
  <si>
    <t>9A10</t>
  </si>
  <si>
    <t>Alderman - 10th Ward</t>
  </si>
  <si>
    <t>9A09</t>
  </si>
  <si>
    <t>Alderman - 9th Ward</t>
  </si>
  <si>
    <t>9A08</t>
  </si>
  <si>
    <t>Alderman - 8th Ward</t>
  </si>
  <si>
    <t>9A07</t>
  </si>
  <si>
    <t>Alderman - 7th Ward</t>
  </si>
  <si>
    <t>9A06</t>
  </si>
  <si>
    <t>Alderman - 6th Ward</t>
  </si>
  <si>
    <t>9A05</t>
  </si>
  <si>
    <t>Alderman - 5th Ward</t>
  </si>
  <si>
    <t>9A04</t>
  </si>
  <si>
    <t>Alderman - 4th Ward</t>
  </si>
  <si>
    <t>9A03</t>
  </si>
  <si>
    <t>Alderman - 3rd Ward</t>
  </si>
  <si>
    <t>9A02</t>
  </si>
  <si>
    <t>Alderman - 2nd Ward</t>
  </si>
  <si>
    <t>9A01</t>
  </si>
  <si>
    <t>Alderman - 1st Ward</t>
  </si>
  <si>
    <t>Legislative Aide</t>
  </si>
  <si>
    <t>Assistant to the Alderman</t>
  </si>
  <si>
    <t>Staff Assistant to the Alderman</t>
  </si>
  <si>
    <t>Sergeant at Arms</t>
  </si>
  <si>
    <t>Assistant Sergeant-At-Arms</t>
  </si>
  <si>
    <t>Assistant Council Committee Secretary</t>
  </si>
  <si>
    <t>Legislative Budget Analyst</t>
  </si>
  <si>
    <t>Deputy Administrator - COFA</t>
  </si>
  <si>
    <t>Chief Administrative Officer</t>
  </si>
  <si>
    <t>Commissioner of Housing</t>
  </si>
  <si>
    <t>Managing Deputy Commissioner</t>
  </si>
  <si>
    <t>Housing Development Coordinator</t>
  </si>
  <si>
    <t>G 08</t>
  </si>
  <si>
    <t>Senior Data Base Analyst</t>
  </si>
  <si>
    <t>Staff Assistant - Excluded</t>
  </si>
  <si>
    <t>Assistant Commissioner</t>
  </si>
  <si>
    <t>Homeownership Programs</t>
  </si>
  <si>
    <t>Loan Processing Officer</t>
  </si>
  <si>
    <t>Project Coordinator</t>
  </si>
  <si>
    <t>Financial Planning Analyst - Excluded</t>
  </si>
  <si>
    <t>Construction and Compliance</t>
  </si>
  <si>
    <t>Community Engagement and Racial Equality</t>
  </si>
  <si>
    <t>Neighborhood Preservation</t>
  </si>
  <si>
    <t>City Clerk</t>
  </si>
  <si>
    <t>X 21</t>
  </si>
  <si>
    <t>First Deputy City Clerk</t>
  </si>
  <si>
    <t>X 22</t>
  </si>
  <si>
    <t>Project Coordinator-Excluded</t>
  </si>
  <si>
    <t>Administrative Services Officer I</t>
  </si>
  <si>
    <t>03A6</t>
  </si>
  <si>
    <t>Administrative Supervisor-Excluded</t>
  </si>
  <si>
    <t>Index Division</t>
  </si>
  <si>
    <t>B 10</t>
  </si>
  <si>
    <t>Proofreader - City Clerk</t>
  </si>
  <si>
    <t>Index Editor</t>
  </si>
  <si>
    <t>Editorial Assistant</t>
  </si>
  <si>
    <t>City Council Research and Record Service</t>
  </si>
  <si>
    <t>Reprographics Coordinator</t>
  </si>
  <si>
    <t>BX 21</t>
  </si>
  <si>
    <t>Assistant Managing Editor Council Journal</t>
  </si>
  <si>
    <t>Managing Editor Council Journal</t>
  </si>
  <si>
    <t>X 23</t>
  </si>
  <si>
    <t>Deputy Managing Editor Council Journal</t>
  </si>
  <si>
    <t>G 04</t>
  </si>
  <si>
    <t>Archival Specialist</t>
  </si>
  <si>
    <t>03A3</t>
  </si>
  <si>
    <t>Assistant Director</t>
  </si>
  <si>
    <t>Department of Finance</t>
  </si>
  <si>
    <t>Finance</t>
  </si>
  <si>
    <t>Office of the City Comptroller</t>
  </si>
  <si>
    <t>First Deputy Director</t>
  </si>
  <si>
    <t>Internal Audit</t>
  </si>
  <si>
    <t>Director of Internal Audit</t>
  </si>
  <si>
    <t>Financial Systems Support</t>
  </si>
  <si>
    <t>Deputy Comptroller</t>
  </si>
  <si>
    <t>Senior Programmer/Analyst</t>
  </si>
  <si>
    <t>Assistant Director of Information Systems</t>
  </si>
  <si>
    <t>Auditor III</t>
  </si>
  <si>
    <t>Lead Accountant</t>
  </si>
  <si>
    <t>Fiscal Administration</t>
  </si>
  <si>
    <t>Chief Voucher Expediter</t>
  </si>
  <si>
    <t>Financial Officer</t>
  </si>
  <si>
    <t>Personnel</t>
  </si>
  <si>
    <t>Labor Relations Supervisor</t>
  </si>
  <si>
    <t>Managing Deputy Comptroller</t>
  </si>
  <si>
    <t>General Accounting</t>
  </si>
  <si>
    <t>Director of Accounting</t>
  </si>
  <si>
    <t>Supervisor of Accounting</t>
  </si>
  <si>
    <t>Assistant Comptroller</t>
  </si>
  <si>
    <t>Financial Strategy</t>
  </si>
  <si>
    <t>Financial Policy</t>
  </si>
  <si>
    <t>Projects Administrator</t>
  </si>
  <si>
    <t>Senior Fiscal Policy Analyst</t>
  </si>
  <si>
    <t>Citywide Safety Program</t>
  </si>
  <si>
    <t>Environmental Health and Safety Coordinator</t>
  </si>
  <si>
    <t>Director of Environmental Health and Safety Compliance</t>
  </si>
  <si>
    <t>Employee Benefits Management</t>
  </si>
  <si>
    <t>03A7</t>
  </si>
  <si>
    <t>Assistant Benefits Manager</t>
  </si>
  <si>
    <t>Benefits Specialist</t>
  </si>
  <si>
    <t>Benefits Claims Supervisor</t>
  </si>
  <si>
    <t>Manager of Audit and Finance</t>
  </si>
  <si>
    <t>Senior Financial Analyst</t>
  </si>
  <si>
    <t>Risk Management</t>
  </si>
  <si>
    <t>Risk Manager</t>
  </si>
  <si>
    <t>Senior Risk Analyst</t>
  </si>
  <si>
    <t>Risk Analyst</t>
  </si>
  <si>
    <t>Claims Manager</t>
  </si>
  <si>
    <t>Worker's Compensation and Police and Fire Disability</t>
  </si>
  <si>
    <t>Director of Workers Compensation</t>
  </si>
  <si>
    <t>Worker's Compensation Claims Coordinator</t>
  </si>
  <si>
    <t>Financial Operations</t>
  </si>
  <si>
    <t>Cash Management and Disbursements</t>
  </si>
  <si>
    <t>Operations Analyst</t>
  </si>
  <si>
    <t>Payroll Systems and Operations</t>
  </si>
  <si>
    <t>Senior Help Desk Technician</t>
  </si>
  <si>
    <t>Principal Data Base Analyst</t>
  </si>
  <si>
    <t>Principal Programmer/Analyst</t>
  </si>
  <si>
    <t>G 06</t>
  </si>
  <si>
    <t>Auditor II</t>
  </si>
  <si>
    <t>Payroll Administrator</t>
  </si>
  <si>
    <t>Assistant Payroll Administrator</t>
  </si>
  <si>
    <t>Managing Deputy Director</t>
  </si>
  <si>
    <t>Assistant to the Director</t>
  </si>
  <si>
    <t>Payment Processing</t>
  </si>
  <si>
    <t>Cashiering</t>
  </si>
  <si>
    <t>Supervisor of Payment Center</t>
  </si>
  <si>
    <t>Coordinator of Payment Services</t>
  </si>
  <si>
    <t>Payment Services Representative</t>
  </si>
  <si>
    <t>Reconciliation</t>
  </si>
  <si>
    <t>Tax Policy and Administration</t>
  </si>
  <si>
    <t>Tax Administration</t>
  </si>
  <si>
    <t>G 05</t>
  </si>
  <si>
    <t>Auditor I</t>
  </si>
  <si>
    <t>Supervisor of Auditing</t>
  </si>
  <si>
    <t>Tax Enforcement</t>
  </si>
  <si>
    <t>Auditor IV</t>
  </si>
  <si>
    <t>Manager of Auditing</t>
  </si>
  <si>
    <t>Street Operations</t>
  </si>
  <si>
    <t>Parking Enforcement</t>
  </si>
  <si>
    <t>I 10</t>
  </si>
  <si>
    <t>Parking Enforcement Aide</t>
  </si>
  <si>
    <t>Monthly</t>
  </si>
  <si>
    <t>Hourly</t>
  </si>
  <si>
    <t>I 11</t>
  </si>
  <si>
    <t>Field Supervisor I - Parking Enforcement</t>
  </si>
  <si>
    <t>I 13</t>
  </si>
  <si>
    <t>Field Supervisor II - Parking Enforcement</t>
  </si>
  <si>
    <t>Dispatch Clerk - in Charge</t>
  </si>
  <si>
    <t>Dispatch Clerk</t>
  </si>
  <si>
    <t>Booting</t>
  </si>
  <si>
    <t>2 0</t>
  </si>
  <si>
    <t>Booter - Parking</t>
  </si>
  <si>
    <t>Supervising Booter - Parking</t>
  </si>
  <si>
    <t>Contract Wage Increment - Prevailing Rate</t>
  </si>
  <si>
    <t>Enforcement Administration</t>
  </si>
  <si>
    <t>Supervisor of Booting Operations</t>
  </si>
  <si>
    <t>Supervising Investigator</t>
  </si>
  <si>
    <t>Parking Investigator</t>
  </si>
  <si>
    <t>Data Services Administrator</t>
  </si>
  <si>
    <t>Director of Administration II</t>
  </si>
  <si>
    <t>BX 20</t>
  </si>
  <si>
    <t>Manager of Parking</t>
  </si>
  <si>
    <t>Field Support</t>
  </si>
  <si>
    <t>Laborer - Parking Operations</t>
  </si>
  <si>
    <t>Accounts Receivable</t>
  </si>
  <si>
    <t>Advanced Collections</t>
  </si>
  <si>
    <t>Senior Public Information Officer</t>
  </si>
  <si>
    <t>Collections Representative</t>
  </si>
  <si>
    <t>Assistant Director - Finance</t>
  </si>
  <si>
    <t>BX 10</t>
  </si>
  <si>
    <t>Administrative Assistant II - Excluded</t>
  </si>
  <si>
    <t>Manager of Revenue Collections</t>
  </si>
  <si>
    <t>Manager of Compliance Analysis</t>
  </si>
  <si>
    <t>Citation Administration</t>
  </si>
  <si>
    <t>U 06</t>
  </si>
  <si>
    <t>Traffic Enforcement Technician</t>
  </si>
  <si>
    <t>U 08</t>
  </si>
  <si>
    <t>Supervising Traffic Enforcement Technician</t>
  </si>
  <si>
    <t>Customer Services Supervisor</t>
  </si>
  <si>
    <t>Program Director</t>
  </si>
  <si>
    <t>Assistant Manager of Collections</t>
  </si>
  <si>
    <t>City Treasurer</t>
  </si>
  <si>
    <t>Assistant to the City Treasurer</t>
  </si>
  <si>
    <t>Portfolio Management</t>
  </si>
  <si>
    <t>Assistant City Treasurer</t>
  </si>
  <si>
    <t>Portfolio Manager</t>
  </si>
  <si>
    <t>Financial Reporting</t>
  </si>
  <si>
    <t>Deputy City Treasurer</t>
  </si>
  <si>
    <t>First Deputy City Treasurer</t>
  </si>
  <si>
    <t>Office of the Director</t>
  </si>
  <si>
    <t>Director of Administrative Hearings</t>
  </si>
  <si>
    <t>Deputy Director of Administrative Adjudication</t>
  </si>
  <si>
    <t>Support Services</t>
  </si>
  <si>
    <t>Financial/Personnel/Payroll Management</t>
  </si>
  <si>
    <t>Human Resources Business Partner</t>
  </si>
  <si>
    <t>Operational Services</t>
  </si>
  <si>
    <t>Customer Services</t>
  </si>
  <si>
    <t>Manager of Administrative Adjudication</t>
  </si>
  <si>
    <t>Building Hearings Division</t>
  </si>
  <si>
    <t>Senior Administrative Law Officer</t>
  </si>
  <si>
    <t>Consumer and Environmental Division</t>
  </si>
  <si>
    <t>Municipal Hearings Division</t>
  </si>
  <si>
    <t>Vehicle Hearings Division</t>
  </si>
  <si>
    <t>Senior Hearing Officer</t>
  </si>
  <si>
    <t>Corporation Counsel's Office</t>
  </si>
  <si>
    <t>Corporation Counsel</t>
  </si>
  <si>
    <t>PX 01</t>
  </si>
  <si>
    <t>Director of News Affairs</t>
  </si>
  <si>
    <t>Administrative Assistant to Deputy Corporation Counsel</t>
  </si>
  <si>
    <t>LX 01</t>
  </si>
  <si>
    <t>First Assistant Corporation Counsel</t>
  </si>
  <si>
    <t>Managing Deputy Corporation Counsel</t>
  </si>
  <si>
    <t>Administrative Services</t>
  </si>
  <si>
    <t>Director of Attorney Recruitment and Professional Development - Law</t>
  </si>
  <si>
    <t>LX 02</t>
  </si>
  <si>
    <t>Deputy Corporation Counsel</t>
  </si>
  <si>
    <t>Administrative Services Officer II - Excluded</t>
  </si>
  <si>
    <t>Chief Methods Analyst</t>
  </si>
  <si>
    <t>Programmer/Analyst-Excluded</t>
  </si>
  <si>
    <t>Director of Information Systems</t>
  </si>
  <si>
    <t>Director of Personnel Policies and Utilization</t>
  </si>
  <si>
    <t>Finance Officer - Excluded</t>
  </si>
  <si>
    <t>Appeals</t>
  </si>
  <si>
    <t>L 03</t>
  </si>
  <si>
    <t>Assistant Corporation Counsel III</t>
  </si>
  <si>
    <t>LX 03</t>
  </si>
  <si>
    <t>Chief Assistant Corporation Counsel</t>
  </si>
  <si>
    <t>L 05</t>
  </si>
  <si>
    <t>Assistant Corporation Counsel Supervisor</t>
  </si>
  <si>
    <t>Paralegal II</t>
  </si>
  <si>
    <t>Building and License Enforcement</t>
  </si>
  <si>
    <t>L 04</t>
  </si>
  <si>
    <t>Assistant Corporation Counsel Senior</t>
  </si>
  <si>
    <t>L 01</t>
  </si>
  <si>
    <t>Assistant Corporation Counsel I</t>
  </si>
  <si>
    <t>Supervising Paralegal</t>
  </si>
  <si>
    <t>Superv Process Server</t>
  </si>
  <si>
    <t>Process Server</t>
  </si>
  <si>
    <t>B 09</t>
  </si>
  <si>
    <t>Senior Office Assistant</t>
  </si>
  <si>
    <t>Constitutional and Commercial Litigation</t>
  </si>
  <si>
    <t>Torts</t>
  </si>
  <si>
    <t>Corporate Torts</t>
  </si>
  <si>
    <t>Claims Investigator</t>
  </si>
  <si>
    <t>Employment Litigation</t>
  </si>
  <si>
    <t>Corporate Employment Litigation</t>
  </si>
  <si>
    <t>Airport Employment Litigation</t>
  </si>
  <si>
    <t>Affirmative Litigation</t>
  </si>
  <si>
    <t>Labor</t>
  </si>
  <si>
    <t>Corporate Labor</t>
  </si>
  <si>
    <t>L 02</t>
  </si>
  <si>
    <t>Assistant Corporation Counsel II</t>
  </si>
  <si>
    <t>Paralegal II - Labor</t>
  </si>
  <si>
    <t>Legal Counsel</t>
  </si>
  <si>
    <t>Public Safety Reform</t>
  </si>
  <si>
    <t>Risk Management and Compliance</t>
  </si>
  <si>
    <t>Aviation  Environmental and Regulatory Litigation</t>
  </si>
  <si>
    <t>Corporate Litigation</t>
  </si>
  <si>
    <t>Corporate Contracts</t>
  </si>
  <si>
    <t>Investigations and Prosecutions</t>
  </si>
  <si>
    <t>Legal Information</t>
  </si>
  <si>
    <t>Prosecutions</t>
  </si>
  <si>
    <t>City Prosecutor</t>
  </si>
  <si>
    <t>Legal Secretary</t>
  </si>
  <si>
    <t>Finance and Economic Development</t>
  </si>
  <si>
    <t>Real Estate</t>
  </si>
  <si>
    <t>Revenue Litigation</t>
  </si>
  <si>
    <t>Collections  Ownership and Administrative Litigation</t>
  </si>
  <si>
    <t>4 00</t>
  </si>
  <si>
    <t>Law Clerk</t>
  </si>
  <si>
    <t>Mass Torts and Complex Litigation</t>
  </si>
  <si>
    <t>Senior Legal Investigator</t>
  </si>
  <si>
    <t>Special Federal Litigation</t>
  </si>
  <si>
    <t>Federal Claims Review</t>
  </si>
  <si>
    <t>Commissioner of Human Resources</t>
  </si>
  <si>
    <t>First Deputy Commissioner</t>
  </si>
  <si>
    <t>Human Resources Board</t>
  </si>
  <si>
    <t>Workforce Compliance</t>
  </si>
  <si>
    <t>Employee Assistance Program Counselor</t>
  </si>
  <si>
    <t>Policy Analyst</t>
  </si>
  <si>
    <t>Disability Officer</t>
  </si>
  <si>
    <t>Equal Employment Opportunity Officer</t>
  </si>
  <si>
    <t>Compliance Officer</t>
  </si>
  <si>
    <t>Director of Training and Development</t>
  </si>
  <si>
    <t>Training and Development Analyst</t>
  </si>
  <si>
    <t>EEO Investigator</t>
  </si>
  <si>
    <t>Associate Disability Officer</t>
  </si>
  <si>
    <t>HR Generalist - DHR</t>
  </si>
  <si>
    <t>Information Services</t>
  </si>
  <si>
    <t>Records Management</t>
  </si>
  <si>
    <t>HR Records Admin Director</t>
  </si>
  <si>
    <t>HR Record Specialist</t>
  </si>
  <si>
    <t>BX 08</t>
  </si>
  <si>
    <t>Clerk III - Excluded</t>
  </si>
  <si>
    <t>Technical Programming</t>
  </si>
  <si>
    <t>Testing Services</t>
  </si>
  <si>
    <t>Employee Development</t>
  </si>
  <si>
    <t>Senior Testing and Assessment Specialist</t>
  </si>
  <si>
    <t>Testing/Assessment Specialist</t>
  </si>
  <si>
    <t>Testing Administrator</t>
  </si>
  <si>
    <t>Director of Assessment &amp; Selection Methods</t>
  </si>
  <si>
    <t>Employment Services  Hiring and Compensation</t>
  </si>
  <si>
    <t>Hiring Classification</t>
  </si>
  <si>
    <t>Classification and Compensation Analyst</t>
  </si>
  <si>
    <t>Senior Classification and Compensation Analyst</t>
  </si>
  <si>
    <t>Director of Classification and Compensation</t>
  </si>
  <si>
    <t>Associate Classification and Compensation Analyst</t>
  </si>
  <si>
    <t>Employee Processing</t>
  </si>
  <si>
    <t>Director of Policy</t>
  </si>
  <si>
    <t>Recruiter</t>
  </si>
  <si>
    <t>Onboarding Specialist</t>
  </si>
  <si>
    <t>Recruiting Coordinator</t>
  </si>
  <si>
    <t>Recruitment Manager</t>
  </si>
  <si>
    <t>Chief Programmer/Analyst Excluded</t>
  </si>
  <si>
    <t>Organization and Workforce Strategy</t>
  </si>
  <si>
    <t>Labor Relations</t>
  </si>
  <si>
    <t>Director of Labor Relations</t>
  </si>
  <si>
    <t>Senior Labor Relations Specialist</t>
  </si>
  <si>
    <t>Assistant Director of Labor Relations</t>
  </si>
  <si>
    <t>Strategic Management and Policy</t>
  </si>
  <si>
    <t>Departmental Administration</t>
  </si>
  <si>
    <t>Chief Procurement Officer</t>
  </si>
  <si>
    <t>First Deputy Procurement Officer</t>
  </si>
  <si>
    <t>Deputy Procurement Officer</t>
  </si>
  <si>
    <t>Assistant Procurement Officer</t>
  </si>
  <si>
    <t>Director of Human Resources</t>
  </si>
  <si>
    <t>Assistant to the Commissioner</t>
  </si>
  <si>
    <t>Auditor IV - Excluded</t>
  </si>
  <si>
    <t>Information Technology</t>
  </si>
  <si>
    <t>Finance Operations</t>
  </si>
  <si>
    <t>Stores Laborer</t>
  </si>
  <si>
    <t>Foreman Of Pipe / Yards</t>
  </si>
  <si>
    <t>Managing Deputy Procurement Officer</t>
  </si>
  <si>
    <t>Attorney-Excluded</t>
  </si>
  <si>
    <t>Contract Management</t>
  </si>
  <si>
    <t>Design and Construction</t>
  </si>
  <si>
    <t>Senior Procurement Specialist</t>
  </si>
  <si>
    <t>Shared Administrative Services</t>
  </si>
  <si>
    <t>Goods and Services</t>
  </si>
  <si>
    <t>Procurement Specialist</t>
  </si>
  <si>
    <t>Professional Services</t>
  </si>
  <si>
    <t>Deputy Procurement Officer - Contract Compliance Officer</t>
  </si>
  <si>
    <t>Strategic and Business Operations</t>
  </si>
  <si>
    <t>Procurement Specification Writer</t>
  </si>
  <si>
    <t>Procurement Research Analyst</t>
  </si>
  <si>
    <t>Chief Analytics Analyst</t>
  </si>
  <si>
    <t>Office of Contracting Equity</t>
  </si>
  <si>
    <t>Contracting Equity</t>
  </si>
  <si>
    <t>Manager of Certification and Compliance</t>
  </si>
  <si>
    <t>Senior Certification / Compliance Officer</t>
  </si>
  <si>
    <t>Certification / Compliance Officer</t>
  </si>
  <si>
    <t>Department of Fleet and Facility Management</t>
  </si>
  <si>
    <t>Fleet and Facility Management</t>
  </si>
  <si>
    <t>Office of the Commissioner</t>
  </si>
  <si>
    <t>Commissioner of Fleet and Facility Management</t>
  </si>
  <si>
    <t>Finance and Accounting</t>
  </si>
  <si>
    <t>Contracts Administrator</t>
  </si>
  <si>
    <t>Human Resources</t>
  </si>
  <si>
    <t>Health and Safety Analyst</t>
  </si>
  <si>
    <t>Payroll</t>
  </si>
  <si>
    <t>Clerk IV (Timekeeper)</t>
  </si>
  <si>
    <t>Training</t>
  </si>
  <si>
    <t>Training Officer</t>
  </si>
  <si>
    <t>Training Director</t>
  </si>
  <si>
    <t>Systems and Performance Improvement</t>
  </si>
  <si>
    <t>Performance Systems and Analysis</t>
  </si>
  <si>
    <t>Facilities Management</t>
  </si>
  <si>
    <t>Facilities Area Management Services</t>
  </si>
  <si>
    <t>Director of Facilities Management</t>
  </si>
  <si>
    <t>Custodial Services</t>
  </si>
  <si>
    <t>Manager of Buildings Services</t>
  </si>
  <si>
    <t>Custodial Worker</t>
  </si>
  <si>
    <t>Building Engineers</t>
  </si>
  <si>
    <t>Chief Operating Engineer</t>
  </si>
  <si>
    <t>Assistant Chief Operating Engineer</t>
  </si>
  <si>
    <t>Operating Engineer - Group A</t>
  </si>
  <si>
    <t>Security Services</t>
  </si>
  <si>
    <t>Supervising Watchman</t>
  </si>
  <si>
    <t>Watchman</t>
  </si>
  <si>
    <t>Supervising Watchman - Agreement</t>
  </si>
  <si>
    <t>Director of Security</t>
  </si>
  <si>
    <t>Coordinator of Security and Fire Safety</t>
  </si>
  <si>
    <t>Architecture and Construction</t>
  </si>
  <si>
    <t>Architecture and Engineering</t>
  </si>
  <si>
    <t>Coordinating Engineer I</t>
  </si>
  <si>
    <t>Coordinating Architect</t>
  </si>
  <si>
    <t>Construction Management</t>
  </si>
  <si>
    <t>Project Director</t>
  </si>
  <si>
    <t>Trades</t>
  </si>
  <si>
    <t>Laborer</t>
  </si>
  <si>
    <t>Foreman of Laborers</t>
  </si>
  <si>
    <t>Foreman of Machinists</t>
  </si>
  <si>
    <t>Machinist</t>
  </si>
  <si>
    <t>Electronics Technician</t>
  </si>
  <si>
    <t>General Foreman of Electrical Mechanics</t>
  </si>
  <si>
    <t>Foreman of Electrical Mechanics</t>
  </si>
  <si>
    <t>Electrical Mechanic</t>
  </si>
  <si>
    <t>Foreman of Sheet Metal Workers</t>
  </si>
  <si>
    <t>Sheet Metal Worker</t>
  </si>
  <si>
    <t>Architectural Iron Worker</t>
  </si>
  <si>
    <t>Foreman of Steamfitters</t>
  </si>
  <si>
    <t>Steamfitter</t>
  </si>
  <si>
    <t>Sprinkler Fitter</t>
  </si>
  <si>
    <t>Foreman of Plumbers</t>
  </si>
  <si>
    <t>Plumber</t>
  </si>
  <si>
    <t>Foreman of Painters</t>
  </si>
  <si>
    <t>Painter</t>
  </si>
  <si>
    <t>General Foreman of General Trades</t>
  </si>
  <si>
    <t>Asbestos Worker/ Pipe Insulator</t>
  </si>
  <si>
    <t>Bricklayer</t>
  </si>
  <si>
    <t>Glazier</t>
  </si>
  <si>
    <t>Foreman of Carpenters</t>
  </si>
  <si>
    <t>Carpenter</t>
  </si>
  <si>
    <t>Window Washer</t>
  </si>
  <si>
    <t>Relocation</t>
  </si>
  <si>
    <t>Motor Truck Driver</t>
  </si>
  <si>
    <t>Unit Assistant</t>
  </si>
  <si>
    <t>Head Storekeeper</t>
  </si>
  <si>
    <t>B 07</t>
  </si>
  <si>
    <t>Storekeeper</t>
  </si>
  <si>
    <t>Director of Logistics and Supply</t>
  </si>
  <si>
    <t>Supervising Clerk - Excluded</t>
  </si>
  <si>
    <t>Graphics Services</t>
  </si>
  <si>
    <t>Photography Services</t>
  </si>
  <si>
    <t>Digital Asset Coordinator</t>
  </si>
  <si>
    <t>Principal Photographer</t>
  </si>
  <si>
    <t>Coordinator of Printing Services - Graphics</t>
  </si>
  <si>
    <t>Supervising Photographic Technician</t>
  </si>
  <si>
    <t>Printing Services</t>
  </si>
  <si>
    <t>Printer</t>
  </si>
  <si>
    <t>Prepress Technician</t>
  </si>
  <si>
    <t>Lead Pressman</t>
  </si>
  <si>
    <t>BX 11</t>
  </si>
  <si>
    <t>Offset Press Operator</t>
  </si>
  <si>
    <t>Manager of Graphics and Reproduction Center</t>
  </si>
  <si>
    <t>Reprographics Technician III</t>
  </si>
  <si>
    <t>B 08</t>
  </si>
  <si>
    <t>Reprographics Technician II</t>
  </si>
  <si>
    <t>Design Services</t>
  </si>
  <si>
    <t>Graphic Artist III</t>
  </si>
  <si>
    <t>Creative Director</t>
  </si>
  <si>
    <t>Energy Services</t>
  </si>
  <si>
    <t>Document Retention</t>
  </si>
  <si>
    <t>Environmental Health and Safety</t>
  </si>
  <si>
    <t>Environmental Engineer II</t>
  </si>
  <si>
    <t>Environmental Engineer III</t>
  </si>
  <si>
    <t>Safety Administrator</t>
  </si>
  <si>
    <t>Leasing / Real Estate Portfolio Management</t>
  </si>
  <si>
    <t>Lease and Real Estate Portfolio Management</t>
  </si>
  <si>
    <t>Leasing Agent</t>
  </si>
  <si>
    <t>Fleet Administration</t>
  </si>
  <si>
    <t>Equipment Project Management</t>
  </si>
  <si>
    <t>Senior Automotive Equipment Analyst</t>
  </si>
  <si>
    <t>Manager - Fleet Services and Automotive Procurement</t>
  </si>
  <si>
    <t>Vehicle Registration Coordinator</t>
  </si>
  <si>
    <t>Fuel Services</t>
  </si>
  <si>
    <t>Manager of Fleet Services</t>
  </si>
  <si>
    <t>Fuel System Service Technician</t>
  </si>
  <si>
    <t>Fleet Services Supervisor</t>
  </si>
  <si>
    <t>Fleet Services Assistant</t>
  </si>
  <si>
    <t>Accidents and Assessments</t>
  </si>
  <si>
    <t>Accident Adjuster</t>
  </si>
  <si>
    <t>Manager of Vehicle Adjustments</t>
  </si>
  <si>
    <t>Warranty Clerk</t>
  </si>
  <si>
    <t>Fleet Maintenance Operations</t>
  </si>
  <si>
    <t>Hoisting Engineer - Mechanic</t>
  </si>
  <si>
    <t>Foreman of Hoisting Engineer - Mechanics</t>
  </si>
  <si>
    <t>Motor Truck Driver - Tire Repair</t>
  </si>
  <si>
    <t>Foreman of Motor Truck Drivers</t>
  </si>
  <si>
    <t>P 12</t>
  </si>
  <si>
    <t>Service Writer</t>
  </si>
  <si>
    <t>Director of Maintenance Operations</t>
  </si>
  <si>
    <t>Manager - Vehicle Maintenance</t>
  </si>
  <si>
    <t>Foreman of Machinists - Automotive</t>
  </si>
  <si>
    <t>Machinist - Automotive</t>
  </si>
  <si>
    <t>Foreman of Blacksmiths</t>
  </si>
  <si>
    <t>Blacksmith</t>
  </si>
  <si>
    <t>Foreman of Electrical Mechanics (Auto)</t>
  </si>
  <si>
    <t>Electrical Mechanic - Automotive</t>
  </si>
  <si>
    <t>Automotive Painter</t>
  </si>
  <si>
    <t>Road Services</t>
  </si>
  <si>
    <t>Chief Dispatcher - Excluded</t>
  </si>
  <si>
    <t>Equipment Dispatcher - in Charge</t>
  </si>
  <si>
    <t>Equipment Dispatcher</t>
  </si>
  <si>
    <t>CPD Motor Maintenance</t>
  </si>
  <si>
    <t>R 12</t>
  </si>
  <si>
    <t>Service Writer - Police Motor Maintenance</t>
  </si>
  <si>
    <t>Board of Election Commissioners</t>
  </si>
  <si>
    <t>Z 15</t>
  </si>
  <si>
    <t>ADA Compliance Officer - Board of Elections</t>
  </si>
  <si>
    <t>Division Manager - Board of Elections</t>
  </si>
  <si>
    <t>Assistant Executive Director - Board of Elections</t>
  </si>
  <si>
    <t>Z 13</t>
  </si>
  <si>
    <t>Administrative Assistant to the Commissioners</t>
  </si>
  <si>
    <t>Contracts Coordinator - Board of Elections</t>
  </si>
  <si>
    <t>Z 11</t>
  </si>
  <si>
    <t>Senior Clerk - Board of Elections</t>
  </si>
  <si>
    <t>Z 12</t>
  </si>
  <si>
    <t>Principal Clerk - Board of Elections</t>
  </si>
  <si>
    <t>Z 10</t>
  </si>
  <si>
    <t>Clerk - Board of Elections</t>
  </si>
  <si>
    <t>Assistant to the Executive Director</t>
  </si>
  <si>
    <t>Electronic Voting Systems</t>
  </si>
  <si>
    <t>Programmer-Board of Elections</t>
  </si>
  <si>
    <t>Software Development Coordinator - Board of Elections</t>
  </si>
  <si>
    <t>Assistant Manager - Board of Elections</t>
  </si>
  <si>
    <t>Computer Applications Analyst II - Board of Elections</t>
  </si>
  <si>
    <t>Computer Applications Analyst I - Board of Elections</t>
  </si>
  <si>
    <t>Election Support</t>
  </si>
  <si>
    <t>Polling Place Investigator III</t>
  </si>
  <si>
    <t>Polling Place Investigator II</t>
  </si>
  <si>
    <t>Z 14</t>
  </si>
  <si>
    <t>Supervisor of Polling - Board of Elections</t>
  </si>
  <si>
    <t>Senior Supervisor - Board of Elections</t>
  </si>
  <si>
    <t>Assistant Supervisor of Redistricting - Board of Elections</t>
  </si>
  <si>
    <t>Voting Machine Equipment  Ballot Preparation and Supplies</t>
  </si>
  <si>
    <t>Election Equipment and Supply Specialist IV</t>
  </si>
  <si>
    <t>Election Equipment and Supply Specialist III</t>
  </si>
  <si>
    <t>Election Equipment and Supply Specialist II</t>
  </si>
  <si>
    <t>Election Equipment and Supply Specialist I</t>
  </si>
  <si>
    <t>Warehouse Supervisor - Board of Elections</t>
  </si>
  <si>
    <t>Community Services and Deputy Registrars</t>
  </si>
  <si>
    <t>Community Services Representative - Board of Elections</t>
  </si>
  <si>
    <t>Voter Records and Data Processing</t>
  </si>
  <si>
    <t>Supervisor of Mailroom Operations</t>
  </si>
  <si>
    <t>Supervisor of Registration - Board of Elections</t>
  </si>
  <si>
    <t>Chicago Department of Public Health</t>
  </si>
  <si>
    <t>Deputy Commissioner's Office</t>
  </si>
  <si>
    <t>Commissioner of Health</t>
  </si>
  <si>
    <t>Public Information</t>
  </si>
  <si>
    <t>Director of Planning  Research and Development</t>
  </si>
  <si>
    <t>Attorney</t>
  </si>
  <si>
    <t>Fleet and Facilities</t>
  </si>
  <si>
    <t>Administrative Services Officer I - Excluded</t>
  </si>
  <si>
    <t>Program Analyst</t>
  </si>
  <si>
    <t>Technical Architecture</t>
  </si>
  <si>
    <t>Informatics</t>
  </si>
  <si>
    <t>Epidemiology And Research</t>
  </si>
  <si>
    <t>Epidemiologist II</t>
  </si>
  <si>
    <t>Epidemiologist IV</t>
  </si>
  <si>
    <t>Epidemiologist III</t>
  </si>
  <si>
    <t>Director of Epidemiology</t>
  </si>
  <si>
    <t>Information Systems</t>
  </si>
  <si>
    <t>Data Base Analyst</t>
  </si>
  <si>
    <t>Program Operations</t>
  </si>
  <si>
    <t>Public Health Administrator III</t>
  </si>
  <si>
    <t>Dental Assistant</t>
  </si>
  <si>
    <t>Child Health and Chronic Disease</t>
  </si>
  <si>
    <t>Medical Director</t>
  </si>
  <si>
    <t>Dental Hygienist</t>
  </si>
  <si>
    <t>Director of Program Operations</t>
  </si>
  <si>
    <t>Coordinating Planner</t>
  </si>
  <si>
    <t>Maternal and Reproductive Health</t>
  </si>
  <si>
    <t>S 05</t>
  </si>
  <si>
    <t>Public Health Nurse II</t>
  </si>
  <si>
    <t>Nutrition And Food Access</t>
  </si>
  <si>
    <t>Community Engagement</t>
  </si>
  <si>
    <t>Director / Community Liaison</t>
  </si>
  <si>
    <t>Public Health Administrator II</t>
  </si>
  <si>
    <t>Community Resource Navigator</t>
  </si>
  <si>
    <t>Public Health Preparedness and Emergency Response</t>
  </si>
  <si>
    <t>Senior Emergency Management Coordinator</t>
  </si>
  <si>
    <t>Immunization Services</t>
  </si>
  <si>
    <t>S 08</t>
  </si>
  <si>
    <t>Nurse Practitioner</t>
  </si>
  <si>
    <t>S 04</t>
  </si>
  <si>
    <t>Public Health Nurse I</t>
  </si>
  <si>
    <t>Program Coordinator</t>
  </si>
  <si>
    <t>Communicable Diseases</t>
  </si>
  <si>
    <t>Communicable Disease Control Investigator II</t>
  </si>
  <si>
    <t>Healthcare and Congregate Settings</t>
  </si>
  <si>
    <t>Epidemiology and Disease Surveillance</t>
  </si>
  <si>
    <t>CARE Program</t>
  </si>
  <si>
    <t>Community Intervention Specialist</t>
  </si>
  <si>
    <t>Director of Crisis Services</t>
  </si>
  <si>
    <t>Mental Health Crisis Clinician</t>
  </si>
  <si>
    <t>Associate Mental Health Crisis Clinician</t>
  </si>
  <si>
    <t>EMS Supervisor</t>
  </si>
  <si>
    <t>Emergency Medical Technician</t>
  </si>
  <si>
    <t>Injury Prevention/Behavioral Health Operations</t>
  </si>
  <si>
    <t>Mental Health Services and Programs</t>
  </si>
  <si>
    <t>Community Outreach Coordinator</t>
  </si>
  <si>
    <t>Psychiatric Nurse Practitioner</t>
  </si>
  <si>
    <t>SZ 07</t>
  </si>
  <si>
    <t>Supervising Public Health Nurse</t>
  </si>
  <si>
    <t>Behavioral Health Assistant</t>
  </si>
  <si>
    <t>Director Mental Health Center</t>
  </si>
  <si>
    <t>Clinical Therapist III</t>
  </si>
  <si>
    <t>Clinical Therapist II</t>
  </si>
  <si>
    <t>Director of Public Health Operations</t>
  </si>
  <si>
    <t>MX 02</t>
  </si>
  <si>
    <t>Psychiatrist</t>
  </si>
  <si>
    <t>Food Protection</t>
  </si>
  <si>
    <t>Health Code Enforcement Inspection Analyst</t>
  </si>
  <si>
    <t>Director of Food Safety and Regulatory Services</t>
  </si>
  <si>
    <t>Manager of Food Safety and Regulatory Services</t>
  </si>
  <si>
    <t>Supervising Public Health Inspector</t>
  </si>
  <si>
    <t>Sanitarian II</t>
  </si>
  <si>
    <t>Lead Poisoning Prevention and Healthy Homes</t>
  </si>
  <si>
    <t>T 17</t>
  </si>
  <si>
    <t>Supervising Building/Construction Inspector</t>
  </si>
  <si>
    <t>T 16</t>
  </si>
  <si>
    <t>Building/Construction Inspector</t>
  </si>
  <si>
    <t>Environmental Permitting and Inspections</t>
  </si>
  <si>
    <t>Environmental Investigator</t>
  </si>
  <si>
    <t>Director of Environmental Inspections</t>
  </si>
  <si>
    <t>Senior Environmental Inspector</t>
  </si>
  <si>
    <t>Environmental Engineer I</t>
  </si>
  <si>
    <t>Supervising Environmental Engineer</t>
  </si>
  <si>
    <t>HIV/STI Surveillance and Response</t>
  </si>
  <si>
    <t>Tuberculosis Program</t>
  </si>
  <si>
    <t>STI Clinical Services</t>
  </si>
  <si>
    <t>Supervising Physician</t>
  </si>
  <si>
    <t>Certified Medical Assistant</t>
  </si>
  <si>
    <t>Laboratory Technician</t>
  </si>
  <si>
    <t>Manager of Laboratory Services</t>
  </si>
  <si>
    <t>Promoting Human Relations</t>
  </si>
  <si>
    <t>Chairperson - Commission on Human Relations</t>
  </si>
  <si>
    <t>Hate Crime Victim Advocate</t>
  </si>
  <si>
    <t>Human Relations Investigator II</t>
  </si>
  <si>
    <t>Director of Intergroup Relations and Outreach</t>
  </si>
  <si>
    <t>Director of Human Rights Compliance</t>
  </si>
  <si>
    <t>Executive Administration</t>
  </si>
  <si>
    <t>Commissioner of Mayor's Office for People with Disabilities</t>
  </si>
  <si>
    <t>Disability Specialist II</t>
  </si>
  <si>
    <t>American Sign Language Interpreter</t>
  </si>
  <si>
    <t>Communication Access Team</t>
  </si>
  <si>
    <t>Employment</t>
  </si>
  <si>
    <t>Employment Services</t>
  </si>
  <si>
    <t>Career Placement Counselor</t>
  </si>
  <si>
    <t>Accessibility Compliance</t>
  </si>
  <si>
    <t>Architect IV</t>
  </si>
  <si>
    <t>Accessibility Inspector</t>
  </si>
  <si>
    <t>Public Policy and Public Affairs</t>
  </si>
  <si>
    <t>Executive Office</t>
  </si>
  <si>
    <t>Commissioner of Family and Support Services</t>
  </si>
  <si>
    <t>Public Relations Representative III</t>
  </si>
  <si>
    <t>Supervisor of Personnel Administration</t>
  </si>
  <si>
    <t>Administrative Supervisor</t>
  </si>
  <si>
    <t>Domestic Violence Programs</t>
  </si>
  <si>
    <t>Coordinator of Special Projects</t>
  </si>
  <si>
    <t>Youth Programming</t>
  </si>
  <si>
    <t>Youth Services Coordinator</t>
  </si>
  <si>
    <t>Manager of Family Support Programs</t>
  </si>
  <si>
    <t>Homeless Services</t>
  </si>
  <si>
    <t>Community Intervention Specialist-Spanish</t>
  </si>
  <si>
    <t>Director of Homeless Prevention - Policy and Planning</t>
  </si>
  <si>
    <t>Supervisor of Family Support Programs</t>
  </si>
  <si>
    <t>Executive Director - Office of Public Safety Administration</t>
  </si>
  <si>
    <t>Joint Public Safety Training Academy</t>
  </si>
  <si>
    <t>Finance Administration</t>
  </si>
  <si>
    <t>Finance and Accounts Processing</t>
  </si>
  <si>
    <t>Fiscal Administrator</t>
  </si>
  <si>
    <t>Assistant Director of Finance</t>
  </si>
  <si>
    <t>Manager of Police Payrolls</t>
  </si>
  <si>
    <t>Timekeeper - CPD</t>
  </si>
  <si>
    <t>V 12</t>
  </si>
  <si>
    <t>Field Payroll Auditor</t>
  </si>
  <si>
    <t>Procurement</t>
  </si>
  <si>
    <t>General Support Services</t>
  </si>
  <si>
    <t>Property Custodian</t>
  </si>
  <si>
    <t>Coordinator - Inventory Management and Property Control</t>
  </si>
  <si>
    <t>Personnel Management</t>
  </si>
  <si>
    <t>Personnel Administration</t>
  </si>
  <si>
    <t>Manager of Human Resources-Public Safety</t>
  </si>
  <si>
    <t>Leave of Absence Administrator</t>
  </si>
  <si>
    <t>Investigator</t>
  </si>
  <si>
    <t>Medical</t>
  </si>
  <si>
    <t>Medical Services Coordinator</t>
  </si>
  <si>
    <t>Occupational Health Nurse</t>
  </si>
  <si>
    <t>Health Information Specialist</t>
  </si>
  <si>
    <t>Chief Medical Director-Public Safety</t>
  </si>
  <si>
    <t>Inquiry Aide III</t>
  </si>
  <si>
    <t>Medical Administrator</t>
  </si>
  <si>
    <t>Information Technology  Administration</t>
  </si>
  <si>
    <t>Programmer/Analyst</t>
  </si>
  <si>
    <t>Senior Telecommunications Specialist</t>
  </si>
  <si>
    <t>Infrastructure</t>
  </si>
  <si>
    <t>Commissioner of Planning and Development</t>
  </si>
  <si>
    <t>Senior Operations Analyst</t>
  </si>
  <si>
    <t>06A6</t>
  </si>
  <si>
    <t>Data Scientist</t>
  </si>
  <si>
    <t>Finance and Fiscal Operations</t>
  </si>
  <si>
    <t>Employability Review Specialist III</t>
  </si>
  <si>
    <t>City Planner II</t>
  </si>
  <si>
    <t>Communications and Public Affairs</t>
  </si>
  <si>
    <t>Planning and Design</t>
  </si>
  <si>
    <t>North / Central Regions</t>
  </si>
  <si>
    <t>Supervising Planner</t>
  </si>
  <si>
    <t>City Planner V</t>
  </si>
  <si>
    <t>South / West Regions</t>
  </si>
  <si>
    <t>Urban Designer</t>
  </si>
  <si>
    <t>Small Business Development</t>
  </si>
  <si>
    <t>Special Service Areas (SSA)</t>
  </si>
  <si>
    <t>Local Industry Retention and Small Business Improvement</t>
  </si>
  <si>
    <t>Coordinator of Economic Development I - Planning and Development</t>
  </si>
  <si>
    <t>Citywide Planning</t>
  </si>
  <si>
    <t>Systems Planning</t>
  </si>
  <si>
    <t>Coordinator of Economic Development II - Planning and Development</t>
  </si>
  <si>
    <t>Land Sales and Open Space</t>
  </si>
  <si>
    <t>Director of Land Acquisition and Disposition</t>
  </si>
  <si>
    <t>Senior Land Disposition Officer</t>
  </si>
  <si>
    <t>Historic Preservation</t>
  </si>
  <si>
    <t>Architect II</t>
  </si>
  <si>
    <t>Zoning and Land Use</t>
  </si>
  <si>
    <t>Planned Development</t>
  </si>
  <si>
    <t>Senior Zoning Plan Examiner</t>
  </si>
  <si>
    <t>Zoning Ordinance</t>
  </si>
  <si>
    <t>Zoning Administrator</t>
  </si>
  <si>
    <t>Assistant Zoning Administrator</t>
  </si>
  <si>
    <t>Executive Administrative Assistant I</t>
  </si>
  <si>
    <t>Permit Reviews</t>
  </si>
  <si>
    <t>Chief Landscape Plan Examiner</t>
  </si>
  <si>
    <t>Senior Landscape Plan Examiner</t>
  </si>
  <si>
    <t>Zoning Investigator</t>
  </si>
  <si>
    <t>Zoning Administration</t>
  </si>
  <si>
    <t>Chief Zoning Plan Examiner</t>
  </si>
  <si>
    <t>Zoning Board Of Appeals</t>
  </si>
  <si>
    <t>Manager - Zoning Boards of Appeals</t>
  </si>
  <si>
    <t>Zoning Data</t>
  </si>
  <si>
    <t>Executive Director - Police Board</t>
  </si>
  <si>
    <t>Office of the Superintendent</t>
  </si>
  <si>
    <t>Superintendent of Police</t>
  </si>
  <si>
    <t>X 42</t>
  </si>
  <si>
    <t>Office of the Chief of Staff</t>
  </si>
  <si>
    <t>Commander</t>
  </si>
  <si>
    <t>X 41</t>
  </si>
  <si>
    <t>Superintendent's Chief of Staff</t>
  </si>
  <si>
    <t>Coordinator of Research and Evaluation</t>
  </si>
  <si>
    <t>Legal Affairs Division</t>
  </si>
  <si>
    <t>Assistant General Counsel</t>
  </si>
  <si>
    <t>E 03</t>
  </si>
  <si>
    <t>Sergeant</t>
  </si>
  <si>
    <t>E 04</t>
  </si>
  <si>
    <t>Police Legal Officer II</t>
  </si>
  <si>
    <t>Information/Media Retrieval Specialist</t>
  </si>
  <si>
    <t>Communications Division</t>
  </si>
  <si>
    <t>Assistant Director of News Affairs</t>
  </si>
  <si>
    <t>D 01</t>
  </si>
  <si>
    <t>Police Officer</t>
  </si>
  <si>
    <t>Photographic Specialist</t>
  </si>
  <si>
    <t>Digital Media Specialist-CPD</t>
  </si>
  <si>
    <t>Labor Relations Division</t>
  </si>
  <si>
    <t>X 43</t>
  </si>
  <si>
    <t>03A4</t>
  </si>
  <si>
    <t>Risk Management Unit</t>
  </si>
  <si>
    <t>Risk Manager - CPD</t>
  </si>
  <si>
    <t>Bureau of Internal Affairs</t>
  </si>
  <si>
    <t>Deputy Chief</t>
  </si>
  <si>
    <t>Chief</t>
  </si>
  <si>
    <t>D 02</t>
  </si>
  <si>
    <t>Police Agent</t>
  </si>
  <si>
    <t>Lieutenant</t>
  </si>
  <si>
    <t>D 2B</t>
  </si>
  <si>
    <t>Police Officer - Assigned as Detective</t>
  </si>
  <si>
    <t>Investigator-Internal Affairs</t>
  </si>
  <si>
    <t>Random Drug Section</t>
  </si>
  <si>
    <t>Recruitment</t>
  </si>
  <si>
    <t>Office of Community Policing</t>
  </si>
  <si>
    <t>E 05</t>
  </si>
  <si>
    <t>Captain</t>
  </si>
  <si>
    <t>Director of CAPS</t>
  </si>
  <si>
    <t>Community Organizer - CAPS</t>
  </si>
  <si>
    <t>Victim Specialist</t>
  </si>
  <si>
    <t>Language Access Coordinator</t>
  </si>
  <si>
    <t>Area Coordinator - CAPS</t>
  </si>
  <si>
    <t>Information Service Coordinator</t>
  </si>
  <si>
    <t>Special Activities Section</t>
  </si>
  <si>
    <t>Administration Office of the First Deputy</t>
  </si>
  <si>
    <t>First Deputy Superintendent</t>
  </si>
  <si>
    <t>Special Events Unit</t>
  </si>
  <si>
    <t>Detached Services Unit</t>
  </si>
  <si>
    <t>Governmental Security Unit</t>
  </si>
  <si>
    <t>D 03</t>
  </si>
  <si>
    <t>Police Officer - Assigned as Security Specialist</t>
  </si>
  <si>
    <t>Bureau of Patrol</t>
  </si>
  <si>
    <t>Criminal Intelligence Analyst</t>
  </si>
  <si>
    <t>Areas - Districts</t>
  </si>
  <si>
    <t>D 2A</t>
  </si>
  <si>
    <t>Police Officer - Assigned as Training Officer</t>
  </si>
  <si>
    <t>I 12</t>
  </si>
  <si>
    <t>Detention Aide</t>
  </si>
  <si>
    <t>Police Admin Clerk</t>
  </si>
  <si>
    <t>Police Cadet</t>
  </si>
  <si>
    <t>Office Assistant</t>
  </si>
  <si>
    <t>Areas - Detectives</t>
  </si>
  <si>
    <t>Police Officer Assigned as SWAT</t>
  </si>
  <si>
    <t>Crimes Detection Specialist</t>
  </si>
  <si>
    <t>Youth Investigations Division</t>
  </si>
  <si>
    <t>Special Investigations Unit</t>
  </si>
  <si>
    <t>Criminal Registration Unit</t>
  </si>
  <si>
    <t>Central Investigations Division</t>
  </si>
  <si>
    <t>Arson Unit</t>
  </si>
  <si>
    <t>Major Accident Investigation Section</t>
  </si>
  <si>
    <t>Police Officer - Assigned as Traffic Specialist</t>
  </si>
  <si>
    <t>Financial Crimes Unit</t>
  </si>
  <si>
    <t>Fugitives Section</t>
  </si>
  <si>
    <t>Forensic Services Division</t>
  </si>
  <si>
    <t>Criminalist III</t>
  </si>
  <si>
    <t>GY 13</t>
  </si>
  <si>
    <t>Forensic Firearm / Toolmark Examiner</t>
  </si>
  <si>
    <t>Forensic Laboratory Director</t>
  </si>
  <si>
    <t>Police Officer - Assigned as Evidence Technician</t>
  </si>
  <si>
    <t>Police Forensic Investigator I</t>
  </si>
  <si>
    <t>Police Officer - Assigned as Supervising Latent Print Examiner</t>
  </si>
  <si>
    <t>Police Officer - Assigned as Latent Print Examiner</t>
  </si>
  <si>
    <t>Crimes Surveillance Specialist</t>
  </si>
  <si>
    <t>Senior Research Analyst</t>
  </si>
  <si>
    <t>Evidence and Recovered Property Section</t>
  </si>
  <si>
    <t>Criminal Intelligence Research Specialist</t>
  </si>
  <si>
    <t>Supervising Property Custodian</t>
  </si>
  <si>
    <t>Investigative Response Team</t>
  </si>
  <si>
    <t>Public Transportation Division</t>
  </si>
  <si>
    <t>Police Officer - Assigned as Explosives Detection Canine Handler</t>
  </si>
  <si>
    <t>Special Functions Division</t>
  </si>
  <si>
    <t>SWAT</t>
  </si>
  <si>
    <t>Marine / Helicopter Unit</t>
  </si>
  <si>
    <t>Police Officer - Assigned as Marine Officer</t>
  </si>
  <si>
    <t>Police Officer Assigned as Helicopter Pilot</t>
  </si>
  <si>
    <t>Mounted Unit</t>
  </si>
  <si>
    <t>Police Officer - Assigned as Mounted Patrol Officer</t>
  </si>
  <si>
    <t>Canine Unit</t>
  </si>
  <si>
    <t>Police Officer - Assigned as Canine Handler</t>
  </si>
  <si>
    <t>Bomb Squad</t>
  </si>
  <si>
    <t>Explosives Technician I</t>
  </si>
  <si>
    <t>Traffic Section</t>
  </si>
  <si>
    <t>Counter-Terrorism Division</t>
  </si>
  <si>
    <t>Intelligence Section</t>
  </si>
  <si>
    <t>Deployment Operations Section</t>
  </si>
  <si>
    <t>Tactical Review Analyst-CPD</t>
  </si>
  <si>
    <t>Confidential Analytics Section</t>
  </si>
  <si>
    <t>Criminal Network Group</t>
  </si>
  <si>
    <t>Police Technician</t>
  </si>
  <si>
    <t>Narcotics/Vice/Gang Investigation</t>
  </si>
  <si>
    <t>Gang Intelligence Division</t>
  </si>
  <si>
    <t>Vice Section</t>
  </si>
  <si>
    <t>Program Aide</t>
  </si>
  <si>
    <t>Asset Forfeiture Section</t>
  </si>
  <si>
    <t>Administrative Support Div</t>
  </si>
  <si>
    <t>Field Services Section</t>
  </si>
  <si>
    <t>Fingerprint Technician IV</t>
  </si>
  <si>
    <t>Fingerprint Technician III</t>
  </si>
  <si>
    <t>Fingerprint Technician II</t>
  </si>
  <si>
    <t>Director of Police Records</t>
  </si>
  <si>
    <t>Warrant and Extradition Aide</t>
  </si>
  <si>
    <t>Digital Retrieval Specialist - CPD</t>
  </si>
  <si>
    <t>Criminal History Analyst</t>
  </si>
  <si>
    <t>Principal Storekeeper</t>
  </si>
  <si>
    <t>Records Inquiry Section</t>
  </si>
  <si>
    <t>Subpoena Officer</t>
  </si>
  <si>
    <t>Inspections Division</t>
  </si>
  <si>
    <t>Court Section</t>
  </si>
  <si>
    <t>Alternate Response Section</t>
  </si>
  <si>
    <t>Strategic Initiatives Division</t>
  </si>
  <si>
    <t>Compstat Unit</t>
  </si>
  <si>
    <t>Deputy Superintendent</t>
  </si>
  <si>
    <t>Project Strategy Manager - CPD</t>
  </si>
  <si>
    <t>Research and Policy Analyst - CPD</t>
  </si>
  <si>
    <t>Administrative Support Division</t>
  </si>
  <si>
    <t>Human Resources Division</t>
  </si>
  <si>
    <t>Medical Section</t>
  </si>
  <si>
    <t>Training and Support</t>
  </si>
  <si>
    <t>Training Division</t>
  </si>
  <si>
    <t>Police Officer - Assigned as Armorer</t>
  </si>
  <si>
    <t>Crisis Intervention Teams</t>
  </si>
  <si>
    <t>Officer Support and Youth Intervention</t>
  </si>
  <si>
    <t>Office of Crime Victim Services</t>
  </si>
  <si>
    <t>Office of Equity And Engagement</t>
  </si>
  <si>
    <t>Equity Officer</t>
  </si>
  <si>
    <t>Professional Standards and Compliance</t>
  </si>
  <si>
    <t>Reform Management Section</t>
  </si>
  <si>
    <t>Audit Section</t>
  </si>
  <si>
    <t>Tactical Review and Evaluation Division</t>
  </si>
  <si>
    <t>Force Review Unit</t>
  </si>
  <si>
    <t>Research and Development</t>
  </si>
  <si>
    <t>Research and Development Division</t>
  </si>
  <si>
    <t>Office of the Executive Director</t>
  </si>
  <si>
    <t>Executive Director - Emergency Management and Communications</t>
  </si>
  <si>
    <t>Media Affairs</t>
  </si>
  <si>
    <t>I 14</t>
  </si>
  <si>
    <t>Police Communications Operator II</t>
  </si>
  <si>
    <t>Non-Emergency Services</t>
  </si>
  <si>
    <t>Operations Non-Emergency Services</t>
  </si>
  <si>
    <t>Director of 3-1-1 City Services</t>
  </si>
  <si>
    <t>Communications Operators II - 3-1-1</t>
  </si>
  <si>
    <t>Communications Operator I - 3-1-1</t>
  </si>
  <si>
    <t>Supervisor of 3-1-1 Operations</t>
  </si>
  <si>
    <t>Manager of 3-1-1 Operations</t>
  </si>
  <si>
    <t>Special Assistant</t>
  </si>
  <si>
    <t>City Operations</t>
  </si>
  <si>
    <t>Traffic Management Authority</t>
  </si>
  <si>
    <t>Supervising Traffic Control Aide</t>
  </si>
  <si>
    <t>Traffic Control Aide - Hourly</t>
  </si>
  <si>
    <t>General Superintendent of Special Traffic Services</t>
  </si>
  <si>
    <t>Superintendent of Special Traffic Service</t>
  </si>
  <si>
    <t>Engineering Technician V</t>
  </si>
  <si>
    <t>Office of Fire Commissioner</t>
  </si>
  <si>
    <t>Fire Commissioner</t>
  </si>
  <si>
    <t>District Chief</t>
  </si>
  <si>
    <t>F 04</t>
  </si>
  <si>
    <t>03A2</t>
  </si>
  <si>
    <t>Public Affairs</t>
  </si>
  <si>
    <t>Coordinator of Special Events Liaison</t>
  </si>
  <si>
    <t>Safety</t>
  </si>
  <si>
    <t>F 6B</t>
  </si>
  <si>
    <t>Commander - EMT</t>
  </si>
  <si>
    <t>Internal Affairs</t>
  </si>
  <si>
    <t>Investigator Specialist</t>
  </si>
  <si>
    <t>Legal Affairs</t>
  </si>
  <si>
    <t>Deputy Fire Commissioner/Executive Director Emergency Management Communications</t>
  </si>
  <si>
    <t>First Deputy Fire Commissioner</t>
  </si>
  <si>
    <t>Medical Admin Regulatory Compliance</t>
  </si>
  <si>
    <t>Paramedic-In-Charge - Assigned as Training Instructor</t>
  </si>
  <si>
    <t>Paramedic-Asgn Instruct</t>
  </si>
  <si>
    <t>Director of EMS Compliance</t>
  </si>
  <si>
    <t>Public Education</t>
  </si>
  <si>
    <t>F 1B</t>
  </si>
  <si>
    <t>Firefighter - EMT</t>
  </si>
  <si>
    <t>F 01</t>
  </si>
  <si>
    <t>Paramedic</t>
  </si>
  <si>
    <t>F 3A</t>
  </si>
  <si>
    <t>Paramedic-In-Charge</t>
  </si>
  <si>
    <t>Coordinator of Community Services - CFD</t>
  </si>
  <si>
    <t>Human Relations</t>
  </si>
  <si>
    <t>Director of Professional Counseling Services</t>
  </si>
  <si>
    <t>Mobile Integrated Health</t>
  </si>
  <si>
    <t>F 05</t>
  </si>
  <si>
    <t>Ambulance Commander</t>
  </si>
  <si>
    <t>Office of Diversity   Equity and  Inclusion</t>
  </si>
  <si>
    <t>Deputy Fire Commissioner</t>
  </si>
  <si>
    <t>Assistant Deputy Fire Commissioner</t>
  </si>
  <si>
    <t>F 6P</t>
  </si>
  <si>
    <t>Commander - Paramedic</t>
  </si>
  <si>
    <t>Fire Suppression and Rescue</t>
  </si>
  <si>
    <t>Firefighter - Per Arbitrators Award - EMT</t>
  </si>
  <si>
    <t>Firefighter - Per Arbitrators Award - Paramedic</t>
  </si>
  <si>
    <t>F 5P</t>
  </si>
  <si>
    <t>Captain - Paramedic</t>
  </si>
  <si>
    <t>F 5B</t>
  </si>
  <si>
    <t>Captain - EMT</t>
  </si>
  <si>
    <t>F 4P</t>
  </si>
  <si>
    <t>Lieutenant - Paramedic</t>
  </si>
  <si>
    <t>F 4B</t>
  </si>
  <si>
    <t>Lieutenant - EMT</t>
  </si>
  <si>
    <t>Fire Engineer - Paramedic</t>
  </si>
  <si>
    <t>Fire Engineer - EMT</t>
  </si>
  <si>
    <t>Firefighter - EMT - Recruit</t>
  </si>
  <si>
    <t>Deputy District Chief</t>
  </si>
  <si>
    <t>F 06</t>
  </si>
  <si>
    <t>Battalion Chief</t>
  </si>
  <si>
    <t>Fire Engineer</t>
  </si>
  <si>
    <t>Firefighter</t>
  </si>
  <si>
    <t>F 02</t>
  </si>
  <si>
    <t>Firefighter - Paramedic</t>
  </si>
  <si>
    <t>Battalion Chief - Paramedic</t>
  </si>
  <si>
    <t>Battalion Chief - EMT</t>
  </si>
  <si>
    <t>Emergency Medical Services</t>
  </si>
  <si>
    <t>Paramedic - Per Judgement</t>
  </si>
  <si>
    <t>Paramedic Field Chief</t>
  </si>
  <si>
    <t>Assistant Deputy Chief Paramedic</t>
  </si>
  <si>
    <t>Special Operations</t>
  </si>
  <si>
    <t>Lieutenant - EMT - Assigned as Training Instructor</t>
  </si>
  <si>
    <t>Chief Helicopter Pilot - Paramedic</t>
  </si>
  <si>
    <t>Marine Pilot - Fire Boat</t>
  </si>
  <si>
    <t>Fire Investigations</t>
  </si>
  <si>
    <t>Supervising Fire Marshal - Paramedic</t>
  </si>
  <si>
    <t>Supervising Fire Marshal - EMT</t>
  </si>
  <si>
    <t>Fire Marshal - EMT</t>
  </si>
  <si>
    <t>Fire Marshal</t>
  </si>
  <si>
    <t>Commanding Fire Marshal</t>
  </si>
  <si>
    <t>Assistant Commanding Fire Marshal - EMT</t>
  </si>
  <si>
    <t>Labor Relations Specialist</t>
  </si>
  <si>
    <t>Manpower</t>
  </si>
  <si>
    <t>Commander-Logistics and Operations (EMT)</t>
  </si>
  <si>
    <t>Support and Logistics-EMS</t>
  </si>
  <si>
    <t>U 09</t>
  </si>
  <si>
    <t>Senior Storekeeper</t>
  </si>
  <si>
    <t>Equipment/Supplies</t>
  </si>
  <si>
    <t>Coordinator of Air Mask Services</t>
  </si>
  <si>
    <t>R 15</t>
  </si>
  <si>
    <t>Supervising Air Mask Technician</t>
  </si>
  <si>
    <t>R 14</t>
  </si>
  <si>
    <t>Senior Air Mask Technician</t>
  </si>
  <si>
    <t>Fire Prevention</t>
  </si>
  <si>
    <t>Fire Prevention Engineer</t>
  </si>
  <si>
    <t>Associate Fire Prevention Engineer</t>
  </si>
  <si>
    <t>Inspections</t>
  </si>
  <si>
    <t>99A0</t>
  </si>
  <si>
    <t>Chief Administrator</t>
  </si>
  <si>
    <t>Deputy Chief Administrator</t>
  </si>
  <si>
    <t>First Deputy Chief Administrator</t>
  </si>
  <si>
    <t>Senior Information Analyst</t>
  </si>
  <si>
    <t>Director of Training and Professional Development - COPA</t>
  </si>
  <si>
    <t>Digital Forensic Analyst - COPA</t>
  </si>
  <si>
    <t>Special Victims Investigator-COPA</t>
  </si>
  <si>
    <t>Director of Investigations - COPA</t>
  </si>
  <si>
    <t>Supervising Investigator - COPA</t>
  </si>
  <si>
    <t>Major Case Specialist - COPA</t>
  </si>
  <si>
    <t>Investigator - COPA</t>
  </si>
  <si>
    <t>Quality Management Analyst - COPA</t>
  </si>
  <si>
    <t>Intake Aide</t>
  </si>
  <si>
    <t>Case Liaison - COPA</t>
  </si>
  <si>
    <t>Director of Mediation</t>
  </si>
  <si>
    <t>Chief Investigative Law Officer</t>
  </si>
  <si>
    <t>Senior Litigation Counsel - COPA</t>
  </si>
  <si>
    <t>Associate Staff Attorney</t>
  </si>
  <si>
    <t>Public Outreach</t>
  </si>
  <si>
    <t>Video Release and Transparency Unit</t>
  </si>
  <si>
    <t>Policy  Research  and Analysis</t>
  </si>
  <si>
    <t>Research Associate</t>
  </si>
  <si>
    <t>Executive Director - Community Commission for Public Safety and Accountability</t>
  </si>
  <si>
    <t>District Council</t>
  </si>
  <si>
    <t>Policy Research Development</t>
  </si>
  <si>
    <t>Director of Research and Planning</t>
  </si>
  <si>
    <t>Associate General Counsel-CCPSA</t>
  </si>
  <si>
    <t>Community Commission</t>
  </si>
  <si>
    <t>Commissioner of Buildings</t>
  </si>
  <si>
    <t>Coordinator of Special Projects - Buildings</t>
  </si>
  <si>
    <t>Finance and Administration Services</t>
  </si>
  <si>
    <t>Freedom of Information</t>
  </si>
  <si>
    <t>Manager of Customer Services</t>
  </si>
  <si>
    <t>Data Processing</t>
  </si>
  <si>
    <t>Plan Review</t>
  </si>
  <si>
    <t>Structural Engineer</t>
  </si>
  <si>
    <t>Project Manager - Buildings</t>
  </si>
  <si>
    <t>Electrical Inspector</t>
  </si>
  <si>
    <t>Ventilation and Furnace Inspector</t>
  </si>
  <si>
    <t>Cooling Plant Inspector</t>
  </si>
  <si>
    <t>Code Enforcement</t>
  </si>
  <si>
    <t>Vacant Property Management</t>
  </si>
  <si>
    <t>T 18</t>
  </si>
  <si>
    <t>Chief Building/Construction Inspector</t>
  </si>
  <si>
    <t>Conservation</t>
  </si>
  <si>
    <t>Mason Inspector</t>
  </si>
  <si>
    <t>Strategic Task Force</t>
  </si>
  <si>
    <t>Code Compliance</t>
  </si>
  <si>
    <t>Manager of Regulatory Review</t>
  </si>
  <si>
    <t>Technical Inspections</t>
  </si>
  <si>
    <t>New Construction Inspection</t>
  </si>
  <si>
    <t>Special Inspections Program (PPA)</t>
  </si>
  <si>
    <t>Electrical Code Compliance Inspection</t>
  </si>
  <si>
    <t>Chief Electrical Inspector</t>
  </si>
  <si>
    <t>Supervisor of Electrical Inspectors</t>
  </si>
  <si>
    <t>Elevator Code Compliance Inspection</t>
  </si>
  <si>
    <t>Assistant Chief Elevator Inspector</t>
  </si>
  <si>
    <t>Elevator Inspector</t>
  </si>
  <si>
    <t>Mechanical Equipment Inspection</t>
  </si>
  <si>
    <t>Chief Ventilation and Mechanical Equipment Inspector</t>
  </si>
  <si>
    <t>Refrigeration Inspections</t>
  </si>
  <si>
    <t>Supervising Cooling Plant Inspector</t>
  </si>
  <si>
    <t>Boiler Inspections</t>
  </si>
  <si>
    <t>Boiler Inspector</t>
  </si>
  <si>
    <t>Chief Boiler Inspector</t>
  </si>
  <si>
    <t>Iron Inspections</t>
  </si>
  <si>
    <t>Iron Inspector</t>
  </si>
  <si>
    <t>Construction Equipment Inspection</t>
  </si>
  <si>
    <t>Construction Equipment Inspector</t>
  </si>
  <si>
    <t>Small Projects</t>
  </si>
  <si>
    <t>Short Forms</t>
  </si>
  <si>
    <t>Management</t>
  </si>
  <si>
    <t>Commissioner of Business Affairs and Consumer Protection</t>
  </si>
  <si>
    <t>Office Administrator</t>
  </si>
  <si>
    <t>Supervisor of Personnel Services</t>
  </si>
  <si>
    <t>Senior Systems Programmer</t>
  </si>
  <si>
    <t>Intergovernmental Affairs and Special Projects</t>
  </si>
  <si>
    <t>Small Business Advocacy</t>
  </si>
  <si>
    <t>Small Business Center</t>
  </si>
  <si>
    <t>Assistance and Licensing</t>
  </si>
  <si>
    <t>Business Consultant Supervisor</t>
  </si>
  <si>
    <t>Operations Support</t>
  </si>
  <si>
    <t>Senior Business Consultant</t>
  </si>
  <si>
    <t>Business Consultant</t>
  </si>
  <si>
    <t>Public Way Use</t>
  </si>
  <si>
    <t>Public Vehicle Licenses and Permits</t>
  </si>
  <si>
    <t>Public Vehicle Operations</t>
  </si>
  <si>
    <t>Medallion Licensing</t>
  </si>
  <si>
    <t>Vehicle Inspection</t>
  </si>
  <si>
    <t>Supervisor of Public Vehicle Inspectors</t>
  </si>
  <si>
    <t>Senior Public Vehicle Inspector</t>
  </si>
  <si>
    <t>Public Vehicle Inspector</t>
  </si>
  <si>
    <t>Public Passenger Chauffeur Licensing</t>
  </si>
  <si>
    <t>Local Liquor Control</t>
  </si>
  <si>
    <t>Local Liquor Control Commissioner</t>
  </si>
  <si>
    <t>Business Compliance Enforcement</t>
  </si>
  <si>
    <t>Manager of Business Compliance Investigations</t>
  </si>
  <si>
    <t>Supervisor of Business Compliance Investigations</t>
  </si>
  <si>
    <t>Business Compliance Investigator</t>
  </si>
  <si>
    <t>Office of Labor Standards</t>
  </si>
  <si>
    <t>Director of Labor Standards</t>
  </si>
  <si>
    <t>Supervisor of Labor Standards Investigators</t>
  </si>
  <si>
    <t>Labor Standards Investigator</t>
  </si>
  <si>
    <t>Prosecutions and Adjudications</t>
  </si>
  <si>
    <t>Senior Attorney</t>
  </si>
  <si>
    <t>Adjudications</t>
  </si>
  <si>
    <t>Communications and Outreach</t>
  </si>
  <si>
    <t>MPEA Administration</t>
  </si>
  <si>
    <t>Climate and Environmental Equity</t>
  </si>
  <si>
    <t>99A1</t>
  </si>
  <si>
    <t>Chief Sustainability Officer</t>
  </si>
  <si>
    <t>Public Relations Representative II</t>
  </si>
  <si>
    <t>Permitting and Inspection</t>
  </si>
  <si>
    <t>Supervising Environmental Inspector</t>
  </si>
  <si>
    <t>Executive Director of Animal Care and Control</t>
  </si>
  <si>
    <t>Community Services Representative</t>
  </si>
  <si>
    <t>Animal Control</t>
  </si>
  <si>
    <t>Member</t>
  </si>
  <si>
    <t>Chairman</t>
  </si>
  <si>
    <t>Animal Control Officer</t>
  </si>
  <si>
    <t>Supervisor of Animal Control Officers</t>
  </si>
  <si>
    <t>Operations Manager of Animal Control</t>
  </si>
  <si>
    <t>Animal Care</t>
  </si>
  <si>
    <t>Animal Care Aide I</t>
  </si>
  <si>
    <t>Animal Care Clerk</t>
  </si>
  <si>
    <t>Animal Care Aide II</t>
  </si>
  <si>
    <t>Veterinarian Assistant</t>
  </si>
  <si>
    <t>Supervising Veterinary Technician</t>
  </si>
  <si>
    <t>Supervising Animal Care Clerk</t>
  </si>
  <si>
    <t>Supervisor of Animal Care Aides</t>
  </si>
  <si>
    <t>Animal Shelter Manager</t>
  </si>
  <si>
    <t>Animal Placement Coordinator</t>
  </si>
  <si>
    <t>Animal Care Clerk - Hourly</t>
  </si>
  <si>
    <t>Veterinarian</t>
  </si>
  <si>
    <t>Anti-Cruelty</t>
  </si>
  <si>
    <t>Animal Control Inspector</t>
  </si>
  <si>
    <t>Liquor License Revocation Appeals</t>
  </si>
  <si>
    <t>Executive Director - Board of Ethics</t>
  </si>
  <si>
    <t>Investigator - Ethics</t>
  </si>
  <si>
    <t>Legal Counsel - Board of Ethics</t>
  </si>
  <si>
    <t>Department of Streets and Sanitation</t>
  </si>
  <si>
    <t>Commissioner of Streets and Sanitation</t>
  </si>
  <si>
    <t>Assistant General Superintendent</t>
  </si>
  <si>
    <t>Administrative Support</t>
  </si>
  <si>
    <t>Equipment Training Specialist - MTD</t>
  </si>
  <si>
    <t>V 13</t>
  </si>
  <si>
    <t>Safety Specialist</t>
  </si>
  <si>
    <t>Community Outreach</t>
  </si>
  <si>
    <t>Field Sanitation Investigator</t>
  </si>
  <si>
    <t>Personnel/Payroll/Legal</t>
  </si>
  <si>
    <t>Administrative/Personnel Services</t>
  </si>
  <si>
    <t>Payroll Services</t>
  </si>
  <si>
    <t>Payroll Administrator - Excluded</t>
  </si>
  <si>
    <t>Financial Administration</t>
  </si>
  <si>
    <t>Accounting Services</t>
  </si>
  <si>
    <t>Contract Services</t>
  </si>
  <si>
    <t>Management Information Systems</t>
  </si>
  <si>
    <t>06M1</t>
  </si>
  <si>
    <t>Solid Waste Collection</t>
  </si>
  <si>
    <t>Supervisory and Clerical</t>
  </si>
  <si>
    <t>BX 22</t>
  </si>
  <si>
    <t>General Superintendent</t>
  </si>
  <si>
    <t>Division Superintendent</t>
  </si>
  <si>
    <t>V 14</t>
  </si>
  <si>
    <t>Refuse Collection Coordinator</t>
  </si>
  <si>
    <t>V 10</t>
  </si>
  <si>
    <t>Sanitation Clerk</t>
  </si>
  <si>
    <t>Assistant to Commissioner</t>
  </si>
  <si>
    <t>Refuse Collection</t>
  </si>
  <si>
    <t>Pool Motor Truck Driver</t>
  </si>
  <si>
    <t>General Laborer - Streets and Sanitation</t>
  </si>
  <si>
    <t>Sanitation Laborer</t>
  </si>
  <si>
    <t>Recycling</t>
  </si>
  <si>
    <t>Winter Operations</t>
  </si>
  <si>
    <t>Rodent Control - Administration</t>
  </si>
  <si>
    <t>Vector Control</t>
  </si>
  <si>
    <t>Non-CDL Driver</t>
  </si>
  <si>
    <t>Cart Management</t>
  </si>
  <si>
    <t>Dead Animal Recovery</t>
  </si>
  <si>
    <t>Equipment Support Services</t>
  </si>
  <si>
    <t>Foreman of Hoisting Engineers</t>
  </si>
  <si>
    <t>Hoisting Engineer</t>
  </si>
  <si>
    <t>Graffiti Blasters Program</t>
  </si>
  <si>
    <t>Graffiti Removal</t>
  </si>
  <si>
    <t>V 17</t>
  </si>
  <si>
    <t>District Supervisor - Graffiti Removal Services</t>
  </si>
  <si>
    <t>Graffiti Painting</t>
  </si>
  <si>
    <t>Field Operations</t>
  </si>
  <si>
    <t>Ward Superintendent</t>
  </si>
  <si>
    <t>Forestry - Support</t>
  </si>
  <si>
    <t>Operational Support</t>
  </si>
  <si>
    <t>Senior City Forester</t>
  </si>
  <si>
    <t>City Forester</t>
  </si>
  <si>
    <t>Dispatcher - Arborist</t>
  </si>
  <si>
    <t>Forestry Supervisor</t>
  </si>
  <si>
    <t>Training &amp; Safety</t>
  </si>
  <si>
    <t>U 14</t>
  </si>
  <si>
    <t>Training Agent I - Per Agreement</t>
  </si>
  <si>
    <t>Forestry Operations</t>
  </si>
  <si>
    <t>Tree Trimming</t>
  </si>
  <si>
    <t>Tree Trimmer</t>
  </si>
  <si>
    <t>Disposal of Non-Parkway Debris</t>
  </si>
  <si>
    <t>Tree Removal</t>
  </si>
  <si>
    <t>Chicago Department of Transportation</t>
  </si>
  <si>
    <t>General Support</t>
  </si>
  <si>
    <t>Commissioner of Transportation</t>
  </si>
  <si>
    <t>Intergovernmental Support</t>
  </si>
  <si>
    <t>Engineering Technician VI</t>
  </si>
  <si>
    <t>Civil Engineer III</t>
  </si>
  <si>
    <t>03A9</t>
  </si>
  <si>
    <t>Menu Program Manager</t>
  </si>
  <si>
    <t>GIS Manager</t>
  </si>
  <si>
    <t>Policy And Planning</t>
  </si>
  <si>
    <t>Planning</t>
  </si>
  <si>
    <t>City Planner IV</t>
  </si>
  <si>
    <t>Policy</t>
  </si>
  <si>
    <t>Engagement</t>
  </si>
  <si>
    <t>PX 03</t>
  </si>
  <si>
    <t>Director of Public Information</t>
  </si>
  <si>
    <t>Clean Transportation</t>
  </si>
  <si>
    <t>Construction Services</t>
  </si>
  <si>
    <t>Contract Closeouts</t>
  </si>
  <si>
    <t>Records and Estimates</t>
  </si>
  <si>
    <t>Civil Engineer V</t>
  </si>
  <si>
    <t>Civil Engineer IV</t>
  </si>
  <si>
    <t>Auditing</t>
  </si>
  <si>
    <t>Order Board</t>
  </si>
  <si>
    <t>Coordinator of Warehouse Operations</t>
  </si>
  <si>
    <t>Accounting</t>
  </si>
  <si>
    <t>Fiscal Administration Manager</t>
  </si>
  <si>
    <t>Accounts Payable</t>
  </si>
  <si>
    <t>Financial Management</t>
  </si>
  <si>
    <t>Contracts</t>
  </si>
  <si>
    <t>Director of Administration I - Excluded</t>
  </si>
  <si>
    <t>Supervising Timekeeper - Laborer</t>
  </si>
  <si>
    <t>Traffic Safety</t>
  </si>
  <si>
    <t>Traffic Engineer V</t>
  </si>
  <si>
    <t>Traffic Engineer IV</t>
  </si>
  <si>
    <t>Engineering Technician III</t>
  </si>
  <si>
    <t>Coordinating Engineer II</t>
  </si>
  <si>
    <t>Coordinating Planner II</t>
  </si>
  <si>
    <t>Sign Management</t>
  </si>
  <si>
    <t>Sign Management - Administration</t>
  </si>
  <si>
    <t>Director of Administration I</t>
  </si>
  <si>
    <t>Executive Secretary II</t>
  </si>
  <si>
    <t>Public Way Policy</t>
  </si>
  <si>
    <t>Manager of Maps and Plats</t>
  </si>
  <si>
    <t>Neighborhood Enhancement and Sustainable Development</t>
  </si>
  <si>
    <t>Livable Streets</t>
  </si>
  <si>
    <t>Traffic Design</t>
  </si>
  <si>
    <t>Assistant Chief Engineer</t>
  </si>
  <si>
    <t>Complete  Streets</t>
  </si>
  <si>
    <t>Reimbursable Personnel</t>
  </si>
  <si>
    <t>Electrical Operations and Maintenance</t>
  </si>
  <si>
    <t>Electrical Administration</t>
  </si>
  <si>
    <t>Street Light Maintenance</t>
  </si>
  <si>
    <t>Superintendent of Electrical Operations</t>
  </si>
  <si>
    <t>Electrical Construction</t>
  </si>
  <si>
    <t>Electrical Construction Support</t>
  </si>
  <si>
    <t>Foreman of Lineman</t>
  </si>
  <si>
    <t>Asset Management</t>
  </si>
  <si>
    <t>Chief Programmer/Analyst</t>
  </si>
  <si>
    <t>Electrical Construction Support - Reimbursable</t>
  </si>
  <si>
    <t>Foreman of Traffic Signal Repairmen</t>
  </si>
  <si>
    <t>Traffic Signal Repairman</t>
  </si>
  <si>
    <t>Lineman</t>
  </si>
  <si>
    <t>Project Oversight</t>
  </si>
  <si>
    <t>Superintendent of Pavement Repairs</t>
  </si>
  <si>
    <t>Bridges</t>
  </si>
  <si>
    <t>W 12</t>
  </si>
  <si>
    <t>Supervising Bridge Operator</t>
  </si>
  <si>
    <t>W 11</t>
  </si>
  <si>
    <t>Bridge Operator</t>
  </si>
  <si>
    <t>Assistant Project Director</t>
  </si>
  <si>
    <t>Engineering Technician IV</t>
  </si>
  <si>
    <t>Water Fund</t>
  </si>
  <si>
    <t>Enterprise Auditing and Accounting</t>
  </si>
  <si>
    <t>Fiscal Policy Analyst</t>
  </si>
  <si>
    <t>Billing Exceptions and Escalation</t>
  </si>
  <si>
    <t>Supervisor of Customer Accounts</t>
  </si>
  <si>
    <t>Accountant I</t>
  </si>
  <si>
    <t>Economic Development</t>
  </si>
  <si>
    <t>Water Torts</t>
  </si>
  <si>
    <t>Water Employment Litigation</t>
  </si>
  <si>
    <t>Water Labor</t>
  </si>
  <si>
    <t>Assistant EEO Officer</t>
  </si>
  <si>
    <t>Fleet Operations - Water</t>
  </si>
  <si>
    <t>Plumbing Inspector</t>
  </si>
  <si>
    <t>Plumbing Code Compliance Inspection</t>
  </si>
  <si>
    <t>Assistant Chief Plumbing Inspector</t>
  </si>
  <si>
    <t>Plumbing Inspector - in Charge</t>
  </si>
  <si>
    <t>Plumbing Inspection</t>
  </si>
  <si>
    <t>Chief Plumbing Inspector</t>
  </si>
  <si>
    <t>Department of Water Management</t>
  </si>
  <si>
    <t>Agency Management</t>
  </si>
  <si>
    <t>Commissioner of Water Management</t>
  </si>
  <si>
    <t>Management Support</t>
  </si>
  <si>
    <t>Public Relations</t>
  </si>
  <si>
    <t>Coordinator of Community Services</t>
  </si>
  <si>
    <t>Cost Recovery</t>
  </si>
  <si>
    <t>Safety and Security</t>
  </si>
  <si>
    <t>Supervising Watchman - Water Management</t>
  </si>
  <si>
    <t>Safety Specialist - Water Management</t>
  </si>
  <si>
    <t>Coordinator of Security Services</t>
  </si>
  <si>
    <t>Purchasing</t>
  </si>
  <si>
    <t>Personnel/Payroll/Labor Relations</t>
  </si>
  <si>
    <t>Capital Planning</t>
  </si>
  <si>
    <t>Mechanical Engineer IV</t>
  </si>
  <si>
    <t>Chief Water Engineer</t>
  </si>
  <si>
    <t>Engineering Services</t>
  </si>
  <si>
    <t>Managing Engineer - Water Department</t>
  </si>
  <si>
    <t>Design and Construction Services</t>
  </si>
  <si>
    <t>Water Design and Construction Services</t>
  </si>
  <si>
    <t>Civil Engineer II</t>
  </si>
  <si>
    <t>Water Quality</t>
  </si>
  <si>
    <t>Water Quality Manager</t>
  </si>
  <si>
    <t>Director of Water Quality Surveillance</t>
  </si>
  <si>
    <t>Sanitary Engineer IV</t>
  </si>
  <si>
    <t>Sanitary Engineer III</t>
  </si>
  <si>
    <t>Sanitary Engineer II</t>
  </si>
  <si>
    <t>Water Chemist IV</t>
  </si>
  <si>
    <t>Water Chemist III</t>
  </si>
  <si>
    <t>Water Chemist II</t>
  </si>
  <si>
    <t>Chief Water Chemist</t>
  </si>
  <si>
    <t>GY 15</t>
  </si>
  <si>
    <t>Chief Filtration Engineer</t>
  </si>
  <si>
    <t>Microbiologist IV</t>
  </si>
  <si>
    <t>Microbiologist III</t>
  </si>
  <si>
    <t>Microbiologist II</t>
  </si>
  <si>
    <t>Director of Water Purification Laboratories</t>
  </si>
  <si>
    <t>Chief Microbiologist</t>
  </si>
  <si>
    <t>Water Quality Inspector</t>
  </si>
  <si>
    <t>Water Pumping</t>
  </si>
  <si>
    <t>Stationary Fireman</t>
  </si>
  <si>
    <t>Mechanical Engineer II</t>
  </si>
  <si>
    <t>Water Treatment</t>
  </si>
  <si>
    <t>Station Laborer</t>
  </si>
  <si>
    <t>Foreman of Station Laborers</t>
  </si>
  <si>
    <t>Operating Engineer - Group C</t>
  </si>
  <si>
    <t>Electrical Engineer IV</t>
  </si>
  <si>
    <t>Engineer of Water Purification</t>
  </si>
  <si>
    <t>Filtration Engineer II</t>
  </si>
  <si>
    <t>Filtration Engineer V</t>
  </si>
  <si>
    <t>Filtration Engineer IV</t>
  </si>
  <si>
    <t>Filtration Engineer III</t>
  </si>
  <si>
    <t>Foreman of Custodial Workers</t>
  </si>
  <si>
    <t>Mayfair Pumping Station</t>
  </si>
  <si>
    <t>Engineer of Electric Pumping Stations</t>
  </si>
  <si>
    <t>Engineer of Water Pumping</t>
  </si>
  <si>
    <t>GY 14</t>
  </si>
  <si>
    <t>Assistant Engineer of Water Pumping</t>
  </si>
  <si>
    <t>Mechanical Engineer III</t>
  </si>
  <si>
    <t>Tunnels and Cribs</t>
  </si>
  <si>
    <t>Deck Hand</t>
  </si>
  <si>
    <t>Marine Pilot</t>
  </si>
  <si>
    <t>Marine Engineer</t>
  </si>
  <si>
    <t>Central Park Pumping Station</t>
  </si>
  <si>
    <t>Roseland Pumping Station</t>
  </si>
  <si>
    <t>Western Ave Pumping Station</t>
  </si>
  <si>
    <t>Southwest Pumping Station</t>
  </si>
  <si>
    <t>Springfield Pumping Station</t>
  </si>
  <si>
    <t>Lexington Pumping Station</t>
  </si>
  <si>
    <t>Chicago Ave PS &amp; Roving Crew</t>
  </si>
  <si>
    <t>Water Agency Management</t>
  </si>
  <si>
    <t>General Superintendent of Water Management</t>
  </si>
  <si>
    <t>Executive Administrative Assistant I - Excluded</t>
  </si>
  <si>
    <t>Equipment Coordination/Warehouse and Stores</t>
  </si>
  <si>
    <t>Water Equipment Coordination</t>
  </si>
  <si>
    <t>Manager of Fleet and Equipment Services</t>
  </si>
  <si>
    <t>U 10</t>
  </si>
  <si>
    <t>District Clerk</t>
  </si>
  <si>
    <t>Communications</t>
  </si>
  <si>
    <t>Water Communications</t>
  </si>
  <si>
    <t>Laborer as Estimator</t>
  </si>
  <si>
    <t>Foreman of Construction Laborers</t>
  </si>
  <si>
    <t>V 15</t>
  </si>
  <si>
    <t>Assistant Chief Dispatcher</t>
  </si>
  <si>
    <t>Emergency Crew Dispatcher</t>
  </si>
  <si>
    <t>Evaluations</t>
  </si>
  <si>
    <t>System Installation and Maintenance</t>
  </si>
  <si>
    <t>Water System Installation and Maintenance</t>
  </si>
  <si>
    <t>Construction Laborer</t>
  </si>
  <si>
    <t>Laborer - Apprentice</t>
  </si>
  <si>
    <t>Foreman of Water Pipe Construction</t>
  </si>
  <si>
    <t>J 17</t>
  </si>
  <si>
    <t>District Superintendent of Water Distribution</t>
  </si>
  <si>
    <t>Assistant District Superintendent</t>
  </si>
  <si>
    <t>Caulker</t>
  </si>
  <si>
    <t>General Foreman of Hoisting Engineers</t>
  </si>
  <si>
    <t>U 16</t>
  </si>
  <si>
    <t>Chief Dispatcher</t>
  </si>
  <si>
    <t>General Foreman of Construction Laborers</t>
  </si>
  <si>
    <t>Foreman of Bricklayers</t>
  </si>
  <si>
    <t>Systems Installations</t>
  </si>
  <si>
    <t>Machinist - Apprentice</t>
  </si>
  <si>
    <t>Lead Service Line Replacement - Reimbursable</t>
  </si>
  <si>
    <t>Water Meter Machinist</t>
  </si>
  <si>
    <t>J 13</t>
  </si>
  <si>
    <t>Water Meter Assessor</t>
  </si>
  <si>
    <t>Inspection Services</t>
  </si>
  <si>
    <t>Water Inspection Services</t>
  </si>
  <si>
    <t>Clerk III</t>
  </si>
  <si>
    <t>Meter Services</t>
  </si>
  <si>
    <t>Superintendent of Water Meters</t>
  </si>
  <si>
    <t>J 15</t>
  </si>
  <si>
    <t>Supervisor of Water Rate Takers</t>
  </si>
  <si>
    <t>Water Rate Taker</t>
  </si>
  <si>
    <t>Water Meter Installation and Repair</t>
  </si>
  <si>
    <t>Pipe Locating Machine Operator</t>
  </si>
  <si>
    <t>Assistant Superintendent of Water Meters</t>
  </si>
  <si>
    <t>Vehicle Tax Fund</t>
  </si>
  <si>
    <t>Issuance of Vehicle Licenses</t>
  </si>
  <si>
    <t>Director of License Administration</t>
  </si>
  <si>
    <t>Director of License Issuance</t>
  </si>
  <si>
    <t>Supervisor of License Issuance</t>
  </si>
  <si>
    <t>Customer Account Representative</t>
  </si>
  <si>
    <t>Deputy City Clerk</t>
  </si>
  <si>
    <t>Payment Reconciler</t>
  </si>
  <si>
    <t>Customer Processing Center</t>
  </si>
  <si>
    <t>License Compliance Unit</t>
  </si>
  <si>
    <t>Licensing Enforcement Aide - City Clerk</t>
  </si>
  <si>
    <t>Mail  Microfilm and Records</t>
  </si>
  <si>
    <t>Reprographics Technician IV</t>
  </si>
  <si>
    <t>Enterprise Procurement</t>
  </si>
  <si>
    <t>Deep Foundation Review</t>
  </si>
  <si>
    <t>Vacant Lot Cleaning</t>
  </si>
  <si>
    <t>Supervisor of Lot Cleaning Services</t>
  </si>
  <si>
    <t>Program Support</t>
  </si>
  <si>
    <t>Street Sweeping Divisions and Wards</t>
  </si>
  <si>
    <t>Executive Direction</t>
  </si>
  <si>
    <t>Special Traffic Services</t>
  </si>
  <si>
    <t>Traffic Maintenance Supervisor</t>
  </si>
  <si>
    <t>Contractual Towing</t>
  </si>
  <si>
    <t>Abandoned Tows</t>
  </si>
  <si>
    <t>Supervisor of Field Vehicle Investigators</t>
  </si>
  <si>
    <t>Auto Pounds</t>
  </si>
  <si>
    <t>Auto Pounds/Management</t>
  </si>
  <si>
    <t>P 14</t>
  </si>
  <si>
    <t>Auto Pound Supervisor</t>
  </si>
  <si>
    <t>Auto Pounds Operations</t>
  </si>
  <si>
    <t>Property Custodian - Auto Pound</t>
  </si>
  <si>
    <t>Vehicle Impoundment Program</t>
  </si>
  <si>
    <t>Citywide Dispatch</t>
  </si>
  <si>
    <t>Traffic Services Supervision</t>
  </si>
  <si>
    <t>General Foreman of Motor Truck Drivers</t>
  </si>
  <si>
    <t>Towing / Relocation Services</t>
  </si>
  <si>
    <t>Electrical Engineering and Inspection</t>
  </si>
  <si>
    <t>Quality Assurance Engineering</t>
  </si>
  <si>
    <t>Design</t>
  </si>
  <si>
    <t>Highways Design</t>
  </si>
  <si>
    <t>Major Projects - Design and Construction</t>
  </si>
  <si>
    <t>Construction Supervision</t>
  </si>
  <si>
    <t>Contract Engineering</t>
  </si>
  <si>
    <t>Neighborhood Improvements</t>
  </si>
  <si>
    <t>Transit Design</t>
  </si>
  <si>
    <t>Engineering Construction Support - Reimbursable</t>
  </si>
  <si>
    <t>Public Way Management</t>
  </si>
  <si>
    <t>Construction Compliance</t>
  </si>
  <si>
    <t>V 16</t>
  </si>
  <si>
    <t>Field Supervisor</t>
  </si>
  <si>
    <t>Field Service Specialist III</t>
  </si>
  <si>
    <t>Field Service Specialist II</t>
  </si>
  <si>
    <t>Field Service Director</t>
  </si>
  <si>
    <t>Quality Assurance Division</t>
  </si>
  <si>
    <t>Permitting</t>
  </si>
  <si>
    <t>Coordinator of Street Permits</t>
  </si>
  <si>
    <t>Underground Construction</t>
  </si>
  <si>
    <t>One Call Program</t>
  </si>
  <si>
    <t>Assistant Superintendent of Pavement Repairs</t>
  </si>
  <si>
    <t>Concrete Laborer</t>
  </si>
  <si>
    <t>Asphalt Laborer</t>
  </si>
  <si>
    <t>Dispatcher - Concrete</t>
  </si>
  <si>
    <t>Dispatcher - Asphalt</t>
  </si>
  <si>
    <t>Foreman of Laborer - Concrete</t>
  </si>
  <si>
    <t>Asphalt Foreman</t>
  </si>
  <si>
    <t>Bridge and Structural Iron Worker</t>
  </si>
  <si>
    <t>Cement Finisher</t>
  </si>
  <si>
    <t>Foreman of Cement Finishers</t>
  </si>
  <si>
    <t>Motor Fuel Tax Fund</t>
  </si>
  <si>
    <t>Sign Management - Operations</t>
  </si>
  <si>
    <t>Sign Hanger</t>
  </si>
  <si>
    <t>Foreman of Sign Shop</t>
  </si>
  <si>
    <t>Foreman of Sign Hangers</t>
  </si>
  <si>
    <t>Sign Painter Helper</t>
  </si>
  <si>
    <t>Sign Painter</t>
  </si>
  <si>
    <t>Load Dispatcher</t>
  </si>
  <si>
    <t>Foreman of Street Light Repairmen</t>
  </si>
  <si>
    <t>Street Light Repair Worker</t>
  </si>
  <si>
    <t>General Foreman of Linemen</t>
  </si>
  <si>
    <t>Lamp Maintenance Worker</t>
  </si>
  <si>
    <t>Traffic Signal Maintenance</t>
  </si>
  <si>
    <t>MTD Allocations</t>
  </si>
  <si>
    <t>Concrete</t>
  </si>
  <si>
    <t>District Concrete Supervisor</t>
  </si>
  <si>
    <t>General Foreman of Laborers Curb and Gutter</t>
  </si>
  <si>
    <t>Cement Finisher Apprentice</t>
  </si>
  <si>
    <t>District Clerk - Asphalt</t>
  </si>
  <si>
    <t>General Foreman of Machinists</t>
  </si>
  <si>
    <t>General Foreman of Bridge and Structural Ironworkers</t>
  </si>
  <si>
    <t>General Foreman of Carpenters</t>
  </si>
  <si>
    <t>Pothole and Pavement Maintenance</t>
  </si>
  <si>
    <t>District Asphalt Supervisor</t>
  </si>
  <si>
    <t>General Foreman of Laborers</t>
  </si>
  <si>
    <t>Pavement Marking</t>
  </si>
  <si>
    <t>Bridge Maintenance</t>
  </si>
  <si>
    <t>Foreman of Bridge and Structural Ironworkers</t>
  </si>
  <si>
    <t>Foreman of Architectural Iron Workers</t>
  </si>
  <si>
    <t>Sewer Fund</t>
  </si>
  <si>
    <t>Sewer Torts</t>
  </si>
  <si>
    <t>Fleet Operations - Sewer</t>
  </si>
  <si>
    <t>Assistant Chief Engineer of Sewers</t>
  </si>
  <si>
    <t>Sewer Design and Construction Services</t>
  </si>
  <si>
    <t>Chief Engineer of Sewers</t>
  </si>
  <si>
    <t>Restorations</t>
  </si>
  <si>
    <t>Sewer Agency Management</t>
  </si>
  <si>
    <t>Superintendent of Construction and Maintenance</t>
  </si>
  <si>
    <t>Sewer Communications</t>
  </si>
  <si>
    <t>Sewer System Installation and Maintenance</t>
  </si>
  <si>
    <t>Construction Laborer Sub-Foreman</t>
  </si>
  <si>
    <t>Foreman of Sewer Cleaning</t>
  </si>
  <si>
    <t>Sewer Bricklayer</t>
  </si>
  <si>
    <t>General Foreman of Bricklayers</t>
  </si>
  <si>
    <t>Foreman of Sewer Bricklayers</t>
  </si>
  <si>
    <t>Sewer Inspection Services</t>
  </si>
  <si>
    <t>Chief Mason Inspector</t>
  </si>
  <si>
    <t>Supervising House Drain Inspector</t>
  </si>
  <si>
    <t>House Drain Inspector</t>
  </si>
  <si>
    <t>Library Fund</t>
  </si>
  <si>
    <t>Administration and Support Services</t>
  </si>
  <si>
    <t>Commissioner of Chicago Public Library</t>
  </si>
  <si>
    <t>Graphic Arts and Reproduction Supervisor</t>
  </si>
  <si>
    <t>Graphic Artist II</t>
  </si>
  <si>
    <t>Assistant Director of Facilities Management</t>
  </si>
  <si>
    <t>Audio-Visual Specialist</t>
  </si>
  <si>
    <t>Director of Marketing</t>
  </si>
  <si>
    <t>Public Relations Representative I</t>
  </si>
  <si>
    <t>Web Developer/Administrator - CPL</t>
  </si>
  <si>
    <t>Director of Library Technology</t>
  </si>
  <si>
    <t>Help Desk Supervisor - Excluded</t>
  </si>
  <si>
    <t>Librarian IV</t>
  </si>
  <si>
    <t>Director of Library Programs and Events</t>
  </si>
  <si>
    <t>Assistant Director of Library Programs and Events</t>
  </si>
  <si>
    <t>Assistant Library Director</t>
  </si>
  <si>
    <t>Library Director</t>
  </si>
  <si>
    <t>Senior Library Clerk</t>
  </si>
  <si>
    <t>References and Circulation Services</t>
  </si>
  <si>
    <t>Director of Library Staff Development</t>
  </si>
  <si>
    <t>Digital Media Coordinator</t>
  </si>
  <si>
    <t>Assistant Supervisor of Data Entry Operators</t>
  </si>
  <si>
    <t>Electronic Resources Librarian</t>
  </si>
  <si>
    <t>G 03</t>
  </si>
  <si>
    <t>Library Associate - Hourly</t>
  </si>
  <si>
    <t>Librarian III</t>
  </si>
  <si>
    <t>Library Associate</t>
  </si>
  <si>
    <t>Library Page</t>
  </si>
  <si>
    <t>Senior Archival Specialist</t>
  </si>
  <si>
    <t>Librarian II</t>
  </si>
  <si>
    <t>Librarian I - Hourly</t>
  </si>
  <si>
    <t>Librarian I</t>
  </si>
  <si>
    <t>Head Library Clerk</t>
  </si>
  <si>
    <t>Library Clerk - Hourly</t>
  </si>
  <si>
    <t>Library Clerk</t>
  </si>
  <si>
    <t>Technical Services</t>
  </si>
  <si>
    <t>Help Desk Technician</t>
  </si>
  <si>
    <t>Help Desk Manager</t>
  </si>
  <si>
    <t>Principal Telecommunications Specialist</t>
  </si>
  <si>
    <t>Property Management Services</t>
  </si>
  <si>
    <t>Emergency Communication Fund</t>
  </si>
  <si>
    <t>06D3</t>
  </si>
  <si>
    <t>Data Analyst</t>
  </si>
  <si>
    <t>GIS Analyst</t>
  </si>
  <si>
    <t>Chief Systems Programmer</t>
  </si>
  <si>
    <t>Principal Systems Programmer</t>
  </si>
  <si>
    <t>Laborer - Bureau of Electricity</t>
  </si>
  <si>
    <t>Foreman of Linemen - Salaried</t>
  </si>
  <si>
    <t>Lineman - Salaried</t>
  </si>
  <si>
    <t>Electrical Mechanic - Salaried</t>
  </si>
  <si>
    <t>Interoperable Communications</t>
  </si>
  <si>
    <t>SP 01</t>
  </si>
  <si>
    <t>Supervising Police Communications Operator</t>
  </si>
  <si>
    <t>Police Dispatch</t>
  </si>
  <si>
    <t>I 15</t>
  </si>
  <si>
    <t>Police Communications Operator-Trainer</t>
  </si>
  <si>
    <t>Communication Operations Manager</t>
  </si>
  <si>
    <t>Police Communications Operator I</t>
  </si>
  <si>
    <t>Fire Dispatch</t>
  </si>
  <si>
    <t>Coordinating Fire Communications</t>
  </si>
  <si>
    <t>Supervising Fire Communications Operator</t>
  </si>
  <si>
    <t>Q 02</t>
  </si>
  <si>
    <t>Fire Communications Operator II</t>
  </si>
  <si>
    <t>Q 01</t>
  </si>
  <si>
    <t>Fire Communications Operator I</t>
  </si>
  <si>
    <t>Behavioral Health Dispatch</t>
  </si>
  <si>
    <t>Emergency Management</t>
  </si>
  <si>
    <t>Planning and Preparedness</t>
  </si>
  <si>
    <t>Manager of Emergency Management Services</t>
  </si>
  <si>
    <t>Operations Center</t>
  </si>
  <si>
    <t>Emergency Management Communications Officer</t>
  </si>
  <si>
    <t>Special Events and Municipal Hotel Operators' Occupation Tax Fund</t>
  </si>
  <si>
    <t>Commissioner of Cultural Affairs and Special Events</t>
  </si>
  <si>
    <t>Program Coordinator - Special Events</t>
  </si>
  <si>
    <t>Program Director - Cultural Affairs</t>
  </si>
  <si>
    <t>Director of Purchase Contract Administration</t>
  </si>
  <si>
    <t>Sponsorship Coordinator</t>
  </si>
  <si>
    <t>Programming</t>
  </si>
  <si>
    <t>Cultural Affairs Coordinator II</t>
  </si>
  <si>
    <t>Cultural Grants and Resources</t>
  </si>
  <si>
    <t>Marketing and Development</t>
  </si>
  <si>
    <t>Chicago Film Office</t>
  </si>
  <si>
    <t>Program Director - Special Events</t>
  </si>
  <si>
    <t>Visual Arts</t>
  </si>
  <si>
    <t>Curator of Exhibits</t>
  </si>
  <si>
    <t>Chicago Midway Airport Fund</t>
  </si>
  <si>
    <t>Aviation Litigation</t>
  </si>
  <si>
    <t>Fleet Operations - Midway</t>
  </si>
  <si>
    <t>Airport Operations South - Midway</t>
  </si>
  <si>
    <t>Traffic Control Aide</t>
  </si>
  <si>
    <t>FAA Fire Training Specialist</t>
  </si>
  <si>
    <t>Chicago Department of Aviation</t>
  </si>
  <si>
    <t>Airport Information Coordinator</t>
  </si>
  <si>
    <t>Airport Information Ambassador</t>
  </si>
  <si>
    <t>Assistant Airport Manager - Midway</t>
  </si>
  <si>
    <t>Custodial/Labor Services</t>
  </si>
  <si>
    <t>General Laborer - Aviation</t>
  </si>
  <si>
    <t>General Manager of Airport Operations</t>
  </si>
  <si>
    <t>Airport Maintenance Foreman</t>
  </si>
  <si>
    <t>Chief Airport Operations Supervisor</t>
  </si>
  <si>
    <t>Assistant Chief Airport Operations Supervisor</t>
  </si>
  <si>
    <t>Airport Operations Supervisor II</t>
  </si>
  <si>
    <t>Airport Manager - Midway</t>
  </si>
  <si>
    <t>Airport Operations Supervisor I</t>
  </si>
  <si>
    <t>Landside Operation Manager</t>
  </si>
  <si>
    <t>Security</t>
  </si>
  <si>
    <t>Aviation Security Officer - Hourly</t>
  </si>
  <si>
    <t>Aviation Security Officer</t>
  </si>
  <si>
    <t>Y 15</t>
  </si>
  <si>
    <t>Aviation Security Sergeant</t>
  </si>
  <si>
    <t>Shift Supervisor of Aviation Security</t>
  </si>
  <si>
    <t>ID Badging</t>
  </si>
  <si>
    <t>Manager - Aviation ID Badge Operations</t>
  </si>
  <si>
    <t>Communications Center</t>
  </si>
  <si>
    <t>Aviation Communications Operator-Trainee</t>
  </si>
  <si>
    <t>Manager of Security Communications Center</t>
  </si>
  <si>
    <t>Aviation Communications Operator</t>
  </si>
  <si>
    <t>O 15</t>
  </si>
  <si>
    <t>Shift Supervisor of Security Communications Center</t>
  </si>
  <si>
    <t>Skilled Trades</t>
  </si>
  <si>
    <t>Airport Facilities Manager</t>
  </si>
  <si>
    <t>Aviation Safety Director</t>
  </si>
  <si>
    <t>Chicago O'Hare Airport Fund</t>
  </si>
  <si>
    <t>Director of Special Investigations</t>
  </si>
  <si>
    <t>Airport Labor</t>
  </si>
  <si>
    <t>Assistant Chief Labor Negotiator</t>
  </si>
  <si>
    <t>Chief Labor Negotiator</t>
  </si>
  <si>
    <t>Equipment Rental Coordinator</t>
  </si>
  <si>
    <t>Fleet Operations - O'Hare</t>
  </si>
  <si>
    <t>Airport Operations North - O'Hare</t>
  </si>
  <si>
    <t>Bomb Squad North - O'Hare</t>
  </si>
  <si>
    <t>Lieutenant - Assigned as Training Instructor</t>
  </si>
  <si>
    <t>Commissioner of Aviation</t>
  </si>
  <si>
    <t>Payroll Processing</t>
  </si>
  <si>
    <t>Inter-Governmental Affairs</t>
  </si>
  <si>
    <t>External Communications</t>
  </si>
  <si>
    <t>Director of Communications  - Aviation</t>
  </si>
  <si>
    <t>Concession Revenues</t>
  </si>
  <si>
    <t>Warehouse Operations</t>
  </si>
  <si>
    <t>Chief Storekeeper</t>
  </si>
  <si>
    <t>Manager of Warehouse Operations</t>
  </si>
  <si>
    <t>Departmental Finance</t>
  </si>
  <si>
    <t>Revenue Management</t>
  </si>
  <si>
    <t>Principal Revenue Analyst</t>
  </si>
  <si>
    <t>MIS - Departmental</t>
  </si>
  <si>
    <t>06M2</t>
  </si>
  <si>
    <t>06A9</t>
  </si>
  <si>
    <t>Aviation Security Engineer</t>
  </si>
  <si>
    <t>IT - Security Specialist</t>
  </si>
  <si>
    <t>Web Author</t>
  </si>
  <si>
    <t>Information Security Manager</t>
  </si>
  <si>
    <t>Capital Finance</t>
  </si>
  <si>
    <t>Dir Of Grant Management</t>
  </si>
  <si>
    <t>Supervisor of Grants Administration</t>
  </si>
  <si>
    <t>Supervisor of Voucher Auditing</t>
  </si>
  <si>
    <t>Payments</t>
  </si>
  <si>
    <t>Workforce Development</t>
  </si>
  <si>
    <t>Compliance</t>
  </si>
  <si>
    <t>Airport Accountability Director</t>
  </si>
  <si>
    <t>Air Service Development/Marketing</t>
  </si>
  <si>
    <t>Customer Experience</t>
  </si>
  <si>
    <t>Chief Leasing Agent</t>
  </si>
  <si>
    <t>Cargo</t>
  </si>
  <si>
    <t>Legal/Government Affairs</t>
  </si>
  <si>
    <t>Airfield Operations</t>
  </si>
  <si>
    <t>Vehicle Operations</t>
  </si>
  <si>
    <t>Airport Manager - O'Hare</t>
  </si>
  <si>
    <t>Administration Facilities</t>
  </si>
  <si>
    <t>Construction Coordinator</t>
  </si>
  <si>
    <t>Coordinator of Maintenance Repairs</t>
  </si>
  <si>
    <t>HVAC Plant</t>
  </si>
  <si>
    <t>Foreman of Window Washers</t>
  </si>
  <si>
    <t>Security Operations</t>
  </si>
  <si>
    <t>YZ 12</t>
  </si>
  <si>
    <t>Aviation Surveillance Specialist</t>
  </si>
  <si>
    <t>Aviation Security Officer-Trainer</t>
  </si>
  <si>
    <t>O 14</t>
  </si>
  <si>
    <t>Airport Operations Center Coordinator</t>
  </si>
  <si>
    <t>Emergency Management Coordinator</t>
  </si>
  <si>
    <t>Director of Planning Research and Development</t>
  </si>
  <si>
    <t>Landside Operations</t>
  </si>
  <si>
    <t>Shift Supervisor of Airport Ground Transportation</t>
  </si>
  <si>
    <t>Terminal Operations</t>
  </si>
  <si>
    <t>General Manager of Grounds and Terminal Facilities</t>
  </si>
  <si>
    <t>Construction</t>
  </si>
  <si>
    <t>Airport Design</t>
  </si>
  <si>
    <t>Mechanical Engineer V</t>
  </si>
  <si>
    <t>Architect III</t>
  </si>
  <si>
    <t>Planning and  Environment</t>
  </si>
  <si>
    <t>Noise Mitigation</t>
  </si>
  <si>
    <t>Environmental Management</t>
  </si>
  <si>
    <t>GIS &amp; Utilities</t>
  </si>
  <si>
    <t>06A2</t>
  </si>
  <si>
    <t>GIS Manager - Excluded</t>
  </si>
  <si>
    <t>GIS Data Base Analyst</t>
  </si>
  <si>
    <t>Airport Planning</t>
  </si>
  <si>
    <t>Affordable Housing Opportunity Fund</t>
  </si>
  <si>
    <t>Housing Development</t>
  </si>
  <si>
    <t>Housing Finance</t>
  </si>
  <si>
    <t>0B21</t>
  </si>
  <si>
    <t>Tax Increment Financing Administration Fund</t>
  </si>
  <si>
    <t>Supervising Program Auditor</t>
  </si>
  <si>
    <t>Senior Program Auditor</t>
  </si>
  <si>
    <t>Rehabilitation Construction Specialist</t>
  </si>
  <si>
    <t>Associate Human Resources Business Partner-Excluded</t>
  </si>
  <si>
    <t>Underwriting</t>
  </si>
  <si>
    <t>Adminstration  Operations  and Policy</t>
  </si>
  <si>
    <t>Economic Development Coordinator</t>
  </si>
  <si>
    <t>Monitoring and Compliance</t>
  </si>
  <si>
    <t>Development Land Sales</t>
  </si>
  <si>
    <t>0B32</t>
  </si>
  <si>
    <t>Garbage Collection Fund</t>
  </si>
  <si>
    <t>0B53</t>
  </si>
  <si>
    <t>Wheelchair Accessible Vehicle Fund</t>
  </si>
  <si>
    <t>0B64</t>
  </si>
  <si>
    <t>Cable Local Origination Fund</t>
  </si>
  <si>
    <t>Studio Equipment Engineer</t>
  </si>
  <si>
    <t>Senior Studio Equipment Operator</t>
  </si>
  <si>
    <t>Coordinator of Studio Operations</t>
  </si>
  <si>
    <t>Station Manager</t>
  </si>
  <si>
    <t>Senior Producer/Writer</t>
  </si>
  <si>
    <t>Senior Videographer</t>
  </si>
  <si>
    <t>Supervising Videographer</t>
  </si>
  <si>
    <t>Senior Television Production Specialist</t>
  </si>
  <si>
    <t>Television Production Specialist</t>
  </si>
  <si>
    <t>0B65</t>
  </si>
  <si>
    <t>Community Safety Fund</t>
  </si>
  <si>
    <t>Office of Community Safety</t>
  </si>
  <si>
    <t>Professional Counseling Division</t>
  </si>
  <si>
    <t>Police Officer - Assigned as Supervising Substance Abuse Counselor</t>
  </si>
  <si>
    <t>Supervising Police Mental Health Clinitian</t>
  </si>
  <si>
    <t>Police Mental Health Clinitian</t>
  </si>
  <si>
    <t>0B70</t>
  </si>
  <si>
    <t>Cannabis Regulation Tax</t>
  </si>
  <si>
    <t>Office Of Reentry</t>
  </si>
  <si>
    <t>0B89</t>
  </si>
  <si>
    <t>Opioid Settlement Fund</t>
  </si>
  <si>
    <t>Opioid/Substance Use Prevention</t>
  </si>
  <si>
    <t>Epidemiology and Data Visualization</t>
  </si>
  <si>
    <t>0B90</t>
  </si>
  <si>
    <t>Vaping Settlement Fund</t>
  </si>
  <si>
    <t>Chronic Disease</t>
  </si>
  <si>
    <t>0B92</t>
  </si>
  <si>
    <t>Construction and Demolition Debris Management Fund</t>
  </si>
  <si>
    <t>0D43</t>
  </si>
  <si>
    <t>Neighborhoods Opportunity Fund</t>
  </si>
  <si>
    <t>Neighborhood Development</t>
  </si>
  <si>
    <t>GRANT</t>
  </si>
  <si>
    <t>Grants Management Fund</t>
  </si>
  <si>
    <t>Grant Operations</t>
  </si>
  <si>
    <t>Grants Manager - OBM</t>
  </si>
  <si>
    <t>Fringe Benefits</t>
  </si>
  <si>
    <t>Housing Preservation</t>
  </si>
  <si>
    <t>Grant and Project Accounting Division</t>
  </si>
  <si>
    <t>PSPD and Transportation Accounting</t>
  </si>
  <si>
    <t>Systems Audit and Schedules</t>
  </si>
  <si>
    <t>DFSS Accounting</t>
  </si>
  <si>
    <t>Community Development Accounting</t>
  </si>
  <si>
    <t>Health Accounting</t>
  </si>
  <si>
    <t>Voucher Audit</t>
  </si>
  <si>
    <t>Central Grants Management</t>
  </si>
  <si>
    <t>Complaint Intake Specialist</t>
  </si>
  <si>
    <t>282S</t>
  </si>
  <si>
    <t>380C</t>
  </si>
  <si>
    <t>Grants</t>
  </si>
  <si>
    <t>Grants Research Specialist</t>
  </si>
  <si>
    <t>Coordinator of Grants Management</t>
  </si>
  <si>
    <t>380D</t>
  </si>
  <si>
    <t>280W</t>
  </si>
  <si>
    <t>Contracts and Compliance</t>
  </si>
  <si>
    <t>Procurement Proposal Coordinator</t>
  </si>
  <si>
    <t>Grant Development Policy and Planning</t>
  </si>
  <si>
    <t>Director of Grants Management</t>
  </si>
  <si>
    <t>Fiscal and Programmatic Monitoring</t>
  </si>
  <si>
    <t>Director of Monitoring Services</t>
  </si>
  <si>
    <t>281W</t>
  </si>
  <si>
    <t>381W</t>
  </si>
  <si>
    <t>Transportation Programming</t>
  </si>
  <si>
    <t>925C</t>
  </si>
  <si>
    <t>COVID-19 Grant Fund</t>
  </si>
  <si>
    <t>Home Investment Partnership</t>
  </si>
  <si>
    <t>Recovery Team Program Manager</t>
  </si>
  <si>
    <t>Building Epidemiology and Health IT Capacity</t>
  </si>
  <si>
    <t>Sprvg Public Health Ad</t>
  </si>
  <si>
    <t>Director of Laboratory Science</t>
  </si>
  <si>
    <t>Infection Prevention Specialist</t>
  </si>
  <si>
    <t>Manager of Quality Assurance</t>
  </si>
  <si>
    <t>06A3</t>
  </si>
  <si>
    <t>IT Engineer</t>
  </si>
  <si>
    <t>282N</t>
  </si>
  <si>
    <t>382N</t>
  </si>
  <si>
    <t>Strengthening Public Hlth Infr</t>
  </si>
  <si>
    <t>Student Intern</t>
  </si>
  <si>
    <t>280E</t>
  </si>
  <si>
    <t>380E</t>
  </si>
  <si>
    <t>925D</t>
  </si>
  <si>
    <t>Disaster Recovery Fund</t>
  </si>
  <si>
    <t>Planning and Administration</t>
  </si>
  <si>
    <t>Senior Recovery Team Program Manager</t>
  </si>
  <si>
    <t>280V</t>
  </si>
  <si>
    <t>380V</t>
  </si>
  <si>
    <t>925E</t>
  </si>
  <si>
    <t>Entitlement Fund</t>
  </si>
  <si>
    <t>Administration and Monitoring</t>
  </si>
  <si>
    <t>Housing Services and Assistance</t>
  </si>
  <si>
    <t>Homeownership Counseling Services</t>
  </si>
  <si>
    <t>Rehabilitation - Administration</t>
  </si>
  <si>
    <t>Lead Paint Identification &amp; Abatement</t>
  </si>
  <si>
    <t>Case Manager Assistant</t>
  </si>
  <si>
    <t>Mental Health Clinics</t>
  </si>
  <si>
    <t>Psychologist</t>
  </si>
  <si>
    <t>Senior Director of Crisis Services</t>
  </si>
  <si>
    <t>Fair Housing</t>
  </si>
  <si>
    <t>Education  Outreach and Intergroup Relations</t>
  </si>
  <si>
    <t>Human Relations Specialist II</t>
  </si>
  <si>
    <t>Home Mod</t>
  </si>
  <si>
    <t>Public Service - Disability Services</t>
  </si>
  <si>
    <t>Public Service - Food Banks</t>
  </si>
  <si>
    <t>Mobile Unit Operator</t>
  </si>
  <si>
    <t>Workforce Services Program</t>
  </si>
  <si>
    <t>280A</t>
  </si>
  <si>
    <t>Planning And Administration</t>
  </si>
  <si>
    <t>925F</t>
  </si>
  <si>
    <t>Federal Grant Fund</t>
  </si>
  <si>
    <t>Urban Areas Security Initiative</t>
  </si>
  <si>
    <t>Security Analyst</t>
  </si>
  <si>
    <t>Security Engineer</t>
  </si>
  <si>
    <t>Multi Family Financing</t>
  </si>
  <si>
    <t>Ryan White HIV Care Act Part A - Emergency Relief</t>
  </si>
  <si>
    <t>WIC Nutrition Services</t>
  </si>
  <si>
    <t>Director of Nutrition</t>
  </si>
  <si>
    <t>Public Health Nutritionist</t>
  </si>
  <si>
    <t>Supervising Public Health Nutritionist</t>
  </si>
  <si>
    <t>Regional Nutrition Coordinator</t>
  </si>
  <si>
    <t>280L</t>
  </si>
  <si>
    <t>380L</t>
  </si>
  <si>
    <t>Lead Poisoning Surveillance</t>
  </si>
  <si>
    <t>280Y</t>
  </si>
  <si>
    <t>380Y</t>
  </si>
  <si>
    <t>HIV Surveillance and Prevention</t>
  </si>
  <si>
    <t>Director of Disease Investigations</t>
  </si>
  <si>
    <t>STI Surveillance</t>
  </si>
  <si>
    <t>Supervising Disease Control Investigator - Excluded</t>
  </si>
  <si>
    <t>281D</t>
  </si>
  <si>
    <t>381D</t>
  </si>
  <si>
    <t>Injury Prevention and Control Research</t>
  </si>
  <si>
    <t>281T</t>
  </si>
  <si>
    <t>381T</t>
  </si>
  <si>
    <t>Ending the HIV Epidemic - A Plan for America - Ryan White</t>
  </si>
  <si>
    <t>Vaccine Preventable Diseases</t>
  </si>
  <si>
    <t>Public Health Administrator I</t>
  </si>
  <si>
    <t>Tuberculosis</t>
  </si>
  <si>
    <t>Regional Communicable Disease Investigator</t>
  </si>
  <si>
    <t>Supervising Disease Control Investigator</t>
  </si>
  <si>
    <t>Emergency Preparedness</t>
  </si>
  <si>
    <t>282M</t>
  </si>
  <si>
    <t>382M</t>
  </si>
  <si>
    <t>Reducing the Burden of Tobacco Products</t>
  </si>
  <si>
    <t>282Q</t>
  </si>
  <si>
    <t>382Q</t>
  </si>
  <si>
    <t>Social Services Block Grant</t>
  </si>
  <si>
    <t>282U</t>
  </si>
  <si>
    <t>382U</t>
  </si>
  <si>
    <t>Healthy Homes Production</t>
  </si>
  <si>
    <t>Hospital Preparedness Program (HPP)</t>
  </si>
  <si>
    <t>MCH Block Grant</t>
  </si>
  <si>
    <t>Housing Opportunities for People with AIDS (HOPWA)</t>
  </si>
  <si>
    <t>Lead Hazard Reduction</t>
  </si>
  <si>
    <t>Adult Viral Hepatitis</t>
  </si>
  <si>
    <t>Substance Abuse Prevention</t>
  </si>
  <si>
    <t>Congressionally Recommended Awards</t>
  </si>
  <si>
    <t>Community Services Block Grant</t>
  </si>
  <si>
    <t>Director of Field Operations</t>
  </si>
  <si>
    <t>Social Worker III</t>
  </si>
  <si>
    <t>Assistant District Manager - Human Services</t>
  </si>
  <si>
    <t>District Manager - Human Services</t>
  </si>
  <si>
    <t>Human Service Specialist</t>
  </si>
  <si>
    <t>Chief Research Analyst</t>
  </si>
  <si>
    <t>280U</t>
  </si>
  <si>
    <t>380U</t>
  </si>
  <si>
    <t>Moving to Work Demonstration Program</t>
  </si>
  <si>
    <t>Assistant Community Living Specialist</t>
  </si>
  <si>
    <t>Foster Grandparents</t>
  </si>
  <si>
    <t>Community Living Specialist</t>
  </si>
  <si>
    <t>Head Start</t>
  </si>
  <si>
    <t>Supervisor of Children Services Programs</t>
  </si>
  <si>
    <t>Support Services Coordinator</t>
  </si>
  <si>
    <t>Assistant Director of Children Services</t>
  </si>
  <si>
    <t>Licensing Coordinator</t>
  </si>
  <si>
    <t>Supervising Audio-Vision Tester</t>
  </si>
  <si>
    <t>Audio-Vision Tester</t>
  </si>
  <si>
    <t>Executive Secretary II - Excluded</t>
  </si>
  <si>
    <t>Senior Companion Project - Action</t>
  </si>
  <si>
    <t>Area Plan on Aging</t>
  </si>
  <si>
    <t>Service Coordinator Aide</t>
  </si>
  <si>
    <t>Elder Protective Investigator III</t>
  </si>
  <si>
    <t>Elder Protective Investigator I</t>
  </si>
  <si>
    <t>Hospitality Worker</t>
  </si>
  <si>
    <t>Assistant Regional Director - Aging</t>
  </si>
  <si>
    <t>Regional Director - Aging</t>
  </si>
  <si>
    <t>Community Living Specialist-Hourly</t>
  </si>
  <si>
    <t>Assistant Aging and Disability Resource Network Manager</t>
  </si>
  <si>
    <t>Aging and Disability Resource Network Manager</t>
  </si>
  <si>
    <t>Child Care Services</t>
  </si>
  <si>
    <t>Emergency Solutions</t>
  </si>
  <si>
    <t>Contracts Negotiator</t>
  </si>
  <si>
    <t>Edward Byrne Memorial JAG</t>
  </si>
  <si>
    <t>Senior Intelligence Analyst</t>
  </si>
  <si>
    <t>282E</t>
  </si>
  <si>
    <t>382E</t>
  </si>
  <si>
    <t>Public Safety Partnership and Community Policing</t>
  </si>
  <si>
    <t>282F</t>
  </si>
  <si>
    <t>382F</t>
  </si>
  <si>
    <t>Violence Against Women Formula</t>
  </si>
  <si>
    <t>Transit Security</t>
  </si>
  <si>
    <t>Edward Byrne Memorial Justice Assistance Grant (JAG)</t>
  </si>
  <si>
    <t>Securing the City</t>
  </si>
  <si>
    <t>280C</t>
  </si>
  <si>
    <t>Air Pollution Control Program</t>
  </si>
  <si>
    <t>280H</t>
  </si>
  <si>
    <t>Anadarko Streeterville Removal</t>
  </si>
  <si>
    <t>Urban and Community Forestry</t>
  </si>
  <si>
    <t>281S</t>
  </si>
  <si>
    <t>381S</t>
  </si>
  <si>
    <t>Highway Planning and Construction</t>
  </si>
  <si>
    <t>925L</t>
  </si>
  <si>
    <t>Local Public and Private Grant Fund</t>
  </si>
  <si>
    <t>Water Policy Program</t>
  </si>
  <si>
    <t>Policy Analyst - Mayor's Office</t>
  </si>
  <si>
    <t>925S</t>
  </si>
  <si>
    <t>State Grant Fund</t>
  </si>
  <si>
    <t>Low Income Housing Trust Fund</t>
  </si>
  <si>
    <t>Build Illinois</t>
  </si>
  <si>
    <t>281V</t>
  </si>
  <si>
    <t>381V</t>
  </si>
  <si>
    <t>Family Connects</t>
  </si>
  <si>
    <t>282P</t>
  </si>
  <si>
    <t>382P</t>
  </si>
  <si>
    <t>382R</t>
  </si>
  <si>
    <t>Lead Poisoning Prevention</t>
  </si>
  <si>
    <t>382T</t>
  </si>
  <si>
    <t>Environmental Health</t>
  </si>
  <si>
    <t>Tobacco Free Communities</t>
  </si>
  <si>
    <t>Long Term Care Ombudsman Program - CMP</t>
  </si>
  <si>
    <t>Emergency and Transitional Housing</t>
  </si>
  <si>
    <t>Senior Health Assistance Program</t>
  </si>
  <si>
    <t>Early Childhood Block Grant</t>
  </si>
  <si>
    <t>Director of Children Services</t>
  </si>
  <si>
    <t>Chicago First Responder Wellness Program</t>
  </si>
  <si>
    <t>Fire Academy Training and Improvement</t>
  </si>
  <si>
    <t>Coordinator of Hazardous Material Program</t>
  </si>
  <si>
    <t>280D</t>
  </si>
  <si>
    <t>Underground Storage Tank Inspection</t>
  </si>
  <si>
    <t>Resource Conservation</t>
  </si>
  <si>
    <t>280F</t>
  </si>
  <si>
    <t>Solid Waste Management</t>
  </si>
  <si>
    <t>Reference and Circulation Services</t>
  </si>
  <si>
    <t>Unassigned Technical Services</t>
  </si>
  <si>
    <t>GA00</t>
  </si>
  <si>
    <t>Coronavirus Local Fiscal Recovery Fund</t>
  </si>
  <si>
    <t>290H</t>
  </si>
  <si>
    <t>390H</t>
  </si>
  <si>
    <t>American Rescue Plan Fiscal Recovery</t>
  </si>
  <si>
    <t>Recovery Team Program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</si>
</sst>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[$$-409]* #,##0.00_);_([$$-409]* \(#,##0.00\);_([$$-409]* &quot;-&quot;??_);_(@_)"/>
    <numFmt numFmtId="165" formatCode="0.0000%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0" fontId="16" fillId="0" borderId="0" xfId="0" applyFont="1"/>
    <xf numFmtId="165" fontId="0" fillId="0" borderId="0" xfId="0" applyNumberFormat="1"/>
    <xf numFmtId="0" fontId="16" fillId="0" borderId="10" xfId="0" applyFont="1" applyBorder="1"/>
    <xf numFmtId="164" fontId="0" fillId="0" borderId="10" xfId="0" applyNumberFormat="1" applyBorder="1"/>
    <xf numFmtId="0" fontId="0" fillId="0" borderId="10" xfId="0" applyBorder="1"/>
    <xf numFmtId="9" fontId="0" fillId="0" borderId="12" xfId="0" applyNumberFormat="1" applyBorder="1"/>
    <xf numFmtId="0" fontId="16" fillId="0" borderId="13" xfId="0" applyFont="1" applyBorder="1"/>
    <xf numFmtId="0" fontId="16" fillId="0" borderId="14" xfId="0" applyFont="1" applyBorder="1"/>
    <xf numFmtId="0" fontId="16" fillId="0" borderId="15" xfId="0" applyFont="1" applyBorder="1"/>
    <xf numFmtId="164" fontId="0" fillId="0" borderId="17" xfId="0" applyNumberFormat="1" applyBorder="1"/>
    <xf numFmtId="0" fontId="0" fillId="0" borderId="17" xfId="0" applyBorder="1"/>
    <xf numFmtId="9" fontId="0" fillId="0" borderId="18" xfId="0" applyNumberFormat="1" applyBorder="1"/>
    <xf numFmtId="0" fontId="16" fillId="0" borderId="17" xfId="0" applyFont="1" applyBorder="1"/>
    <xf numFmtId="43" fontId="0" fillId="0" borderId="10" xfId="0" applyNumberFormat="1" applyBorder="1"/>
    <xf numFmtId="0" fontId="16" fillId="0" borderId="11" xfId="0" applyFont="1" applyBorder="1" applyAlignment="1">
      <alignment wrapText="1"/>
    </xf>
    <xf numFmtId="0" fontId="16" fillId="0" borderId="16" xfId="0" applyFont="1" applyBorder="1" applyAlignment="1">
      <alignment wrapText="1"/>
    </xf>
    <xf numFmtId="0" fontId="16" fillId="34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3" formatCode="0%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_([$$-409]* #,##0.00_);_([$$-409]* \(#,##0.00\);_([$$-409]* &quot;-&quot;??_);_(@_)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_([$$-409]* #,##0.00_);_([$$-409]* \(#,##0.00\);_([$$-409]* &quot;-&quot;??_);_(@_)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[Chicago Budget.xlsx]Pivot Table!PivotTable1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 By Division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4A-439A-95B4-4B9652E52E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4A-439A-95B4-4B9652E52E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A4A-439A-95B4-4B9652E52EF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A4A-439A-95B4-4B9652E52EF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A4A-439A-95B4-4B9652E52EF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A4A-439A-95B4-4B9652E52EF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A4A-439A-95B4-4B9652E52EF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A4A-439A-95B4-4B9652E52EF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A4A-439A-95B4-4B9652E52EF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A4A-439A-95B4-4B9652E52EF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A4A-439A-95B4-4B9652E52EF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A4A-439A-95B4-4B9652E52EF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A4A-439A-95B4-4B9652E52EF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A4A-439A-95B4-4B9652E52EF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A4A-439A-95B4-4B9652E52EF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A4A-439A-95B4-4B9652E52EF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A4A-439A-95B4-4B9652E52EF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0A4A-439A-95B4-4B9652E52EF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0A4A-439A-95B4-4B9652E52EF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0A4A-439A-95B4-4B9652E52EF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0A4A-439A-95B4-4B9652E52EF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0A4A-439A-95B4-4B9652E52EF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0A4A-439A-95B4-4B9652E52EF6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0A4A-439A-95B4-4B9652E52EF6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0A4A-439A-95B4-4B9652E52EF6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0A4A-439A-95B4-4B9652E52EF6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0A4A-439A-95B4-4B9652E52EF6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0A4A-439A-95B4-4B9652E52EF6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0A4A-439A-95B4-4B9652E52EF6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0A4A-439A-95B4-4B9652E52EF6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0A4A-439A-95B4-4B9652E52EF6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0A4A-439A-95B4-4B9652E52EF6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0A4A-439A-95B4-4B9652E52EF6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0A4A-439A-95B4-4B9652E52EF6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0A4A-439A-95B4-4B9652E52EF6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0A4A-439A-95B4-4B9652E52EF6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0A4A-439A-95B4-4B9652E52EF6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0A4A-439A-95B4-4B9652E52EF6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0A4A-439A-95B4-4B9652E52EF6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0A4A-439A-95B4-4B9652E52EF6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0A4A-439A-95B4-4B9652E52EF6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0A4A-439A-95B4-4B9652E52EF6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0A4A-439A-95B4-4B9652E52EF6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0A4A-439A-95B4-4B9652E52EF6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0A4A-439A-95B4-4B9652E52EF6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0A4A-439A-95B4-4B9652E52EF6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0A4A-439A-95B4-4B9652E52EF6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0A4A-439A-95B4-4B9652E52EF6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0A4A-439A-95B4-4B9652E52EF6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0A4A-439A-95B4-4B9652E52EF6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0A4A-439A-95B4-4B9652E52EF6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0A4A-439A-95B4-4B9652E52EF6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0A4A-439A-95B4-4B9652E52EF6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0A4A-439A-95B4-4B9652E52EF6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0A4A-439A-95B4-4B9652E52EF6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0A4A-439A-95B4-4B9652E52EF6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0A4A-439A-95B4-4B9652E52EF6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0A4A-439A-95B4-4B9652E52EF6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0A4A-439A-95B4-4B9652E52EF6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0A4A-439A-95B4-4B9652E52EF6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0A4A-439A-95B4-4B9652E52EF6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0A4A-439A-95B4-4B9652E52EF6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0A4A-439A-95B4-4B9652E52EF6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0A4A-439A-95B4-4B9652E52EF6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0A4A-439A-95B4-4B9652E52EF6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0A4A-439A-95B4-4B9652E52EF6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0A4A-439A-95B4-4B9652E52EF6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0A4A-439A-95B4-4B9652E52EF6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0A4A-439A-95B4-4B9652E52EF6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0A4A-439A-95B4-4B9652E52EF6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0A4A-439A-95B4-4B9652E52EF6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0A4A-439A-95B4-4B9652E52EF6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0A4A-439A-95B4-4B9652E52EF6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0A4A-439A-95B4-4B9652E52EF6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0A4A-439A-95B4-4B9652E52EF6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0A4A-439A-95B4-4B9652E52EF6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0A4A-439A-95B4-4B9652E52EF6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0A4A-439A-95B4-4B9652E52EF6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0A4A-439A-95B4-4B9652E52EF6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0A4A-439A-95B4-4B9652E52EF6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0A4A-439A-95B4-4B9652E52EF6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0A4A-439A-95B4-4B9652E52EF6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0A4A-439A-95B4-4B9652E52EF6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0A4A-439A-95B4-4B9652E52EF6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0A4A-439A-95B4-4B9652E52EF6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0A4A-439A-95B4-4B9652E52EF6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0A4A-439A-95B4-4B9652E52EF6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0A4A-439A-95B4-4B9652E52EF6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0A4A-439A-95B4-4B9652E52EF6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0A4A-439A-95B4-4B9652E52EF6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0A4A-439A-95B4-4B9652E52EF6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0A4A-439A-95B4-4B9652E52EF6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0A4A-439A-95B4-4B9652E52EF6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0A4A-439A-95B4-4B9652E52EF6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0A4A-439A-95B4-4B9652E52EF6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0A4A-439A-95B4-4B9652E52EF6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0A4A-439A-95B4-4B9652E52EF6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0A4A-439A-95B4-4B9652E52EF6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0A4A-439A-95B4-4B9652E52EF6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0A4A-439A-95B4-4B9652E52EF6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0A4A-439A-95B4-4B9652E52EF6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0A4A-439A-95B4-4B9652E52EF6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0A4A-439A-95B4-4B9652E52EF6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0A4A-439A-95B4-4B9652E52EF6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0A4A-439A-95B4-4B9652E52EF6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0A4A-439A-95B4-4B9652E52EF6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0A4A-439A-95B4-4B9652E52EF6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0A4A-439A-95B4-4B9652E52EF6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0A4A-439A-95B4-4B9652E52EF6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0A4A-439A-95B4-4B9652E52EF6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0A4A-439A-95B4-4B9652E52EF6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0A4A-439A-95B4-4B9652E52EF6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0A4A-439A-95B4-4B9652E52EF6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0A4A-439A-95B4-4B9652E52EF6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0A4A-439A-95B4-4B9652E52EF6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0A4A-439A-95B4-4B9652E52EF6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0A4A-439A-95B4-4B9652E52EF6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0A4A-439A-95B4-4B9652E52EF6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0A4A-439A-95B4-4B9652E52EF6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0A4A-439A-95B4-4B9652E52EF6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0A4A-439A-95B4-4B9652E52EF6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0A4A-439A-95B4-4B9652E52EF6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0A4A-439A-95B4-4B9652E52EF6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0A4A-439A-95B4-4B9652E52EF6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0A4A-439A-95B4-4B9652E52EF6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0A4A-439A-95B4-4B9652E52EF6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0A4A-439A-95B4-4B9652E52EF6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0A4A-439A-95B4-4B9652E52EF6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0A4A-439A-95B4-4B9652E52EF6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0A4A-439A-95B4-4B9652E52EF6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0A4A-439A-95B4-4B9652E52EF6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0A4A-439A-95B4-4B9652E52EF6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0A4A-439A-95B4-4B9652E52EF6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0A4A-439A-95B4-4B9652E52EF6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0A4A-439A-95B4-4B9652E52EF6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0A4A-439A-95B4-4B9652E52EF6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0A4A-439A-95B4-4B9652E52EF6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0A4A-439A-95B4-4B9652E52EF6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0A4A-439A-95B4-4B9652E52EF6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0A4A-439A-95B4-4B9652E52EF6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0A4A-439A-95B4-4B9652E52EF6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0A4A-439A-95B4-4B9652E52EF6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0A4A-439A-95B4-4B9652E52EF6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0A4A-439A-95B4-4B9652E52EF6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0A4A-439A-95B4-4B9652E52EF6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0A4A-439A-95B4-4B9652E52EF6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0A4A-439A-95B4-4B9652E52EF6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0A4A-439A-95B4-4B9652E52EF6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0A4A-439A-95B4-4B9652E52EF6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0A4A-439A-95B4-4B9652E52EF6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0A4A-439A-95B4-4B9652E52EF6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0A4A-439A-95B4-4B9652E52EF6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0A4A-439A-95B4-4B9652E52EF6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0A4A-439A-95B4-4B9652E52EF6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0A4A-439A-95B4-4B9652E52EF6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0A4A-439A-95B4-4B9652E52EF6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0A4A-439A-95B4-4B9652E52EF6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0A4A-439A-95B4-4B9652E52EF6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0A4A-439A-95B4-4B9652E52EF6}"/>
              </c:ext>
            </c:extLst>
          </c:dPt>
          <c:cat>
            <c:strRef>
              <c:f>'Pivot Table'!$A$4:$A$14</c:f>
              <c:strCache>
                <c:ptCount val="10"/>
                <c:pt idx="0">
                  <c:v>Patrol Services</c:v>
                </c:pt>
                <c:pt idx="1">
                  <c:v>Chicago Fire Department</c:v>
                </c:pt>
                <c:pt idx="2">
                  <c:v>Chicago-O'Hare International Airport</c:v>
                </c:pt>
                <c:pt idx="3">
                  <c:v>Bureau of Operations and Distribution</c:v>
                </c:pt>
                <c:pt idx="4">
                  <c:v>Bureau of Counter-Terrorism</c:v>
                </c:pt>
                <c:pt idx="5">
                  <c:v>Bureau of Sanitation</c:v>
                </c:pt>
                <c:pt idx="6">
                  <c:v>Division of In-House Construction</c:v>
                </c:pt>
                <c:pt idx="7">
                  <c:v>Office of Emergency Management and Communications</c:v>
                </c:pt>
                <c:pt idx="8">
                  <c:v>Chicago Public Library</c:v>
                </c:pt>
                <c:pt idx="9">
                  <c:v>Bureau of Detectives</c:v>
                </c:pt>
              </c:strCache>
            </c:strRef>
          </c:cat>
          <c:val>
            <c:numRef>
              <c:f>'Pivot Table'!$B$4:$B$14</c:f>
              <c:numCache>
                <c:formatCode>_([$$-409]* #,##0.00_);_([$$-409]* \(#,##0.00\);_([$$-409]* "-"??_);_(@_)</c:formatCode>
                <c:ptCount val="10"/>
                <c:pt idx="0">
                  <c:v>1224603400</c:v>
                </c:pt>
                <c:pt idx="1">
                  <c:v>556547794</c:v>
                </c:pt>
                <c:pt idx="2">
                  <c:v>197854959</c:v>
                </c:pt>
                <c:pt idx="3">
                  <c:v>169911417</c:v>
                </c:pt>
                <c:pt idx="4">
                  <c:v>143287614</c:v>
                </c:pt>
                <c:pt idx="5">
                  <c:v>127338664</c:v>
                </c:pt>
                <c:pt idx="6">
                  <c:v>94835261</c:v>
                </c:pt>
                <c:pt idx="7">
                  <c:v>81824516</c:v>
                </c:pt>
                <c:pt idx="8">
                  <c:v>77548650</c:v>
                </c:pt>
                <c:pt idx="9">
                  <c:v>68753448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E-0A4A-439A-95B4-4B9652E52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[Chicago Budget.xlsx]Pivot Table!PivotTable1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Divisions by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Table'!$A$4:$A$14</c:f>
              <c:strCache>
                <c:ptCount val="10"/>
                <c:pt idx="0">
                  <c:v>Patrol Services</c:v>
                </c:pt>
                <c:pt idx="1">
                  <c:v>Chicago Fire Department</c:v>
                </c:pt>
                <c:pt idx="2">
                  <c:v>Chicago-O'Hare International Airport</c:v>
                </c:pt>
                <c:pt idx="3">
                  <c:v>Bureau of Operations and Distribution</c:v>
                </c:pt>
                <c:pt idx="4">
                  <c:v>Bureau of Counter-Terrorism</c:v>
                </c:pt>
                <c:pt idx="5">
                  <c:v>Bureau of Sanitation</c:v>
                </c:pt>
                <c:pt idx="6">
                  <c:v>Division of In-House Construction</c:v>
                </c:pt>
                <c:pt idx="7">
                  <c:v>Office of Emergency Management and Communications</c:v>
                </c:pt>
                <c:pt idx="8">
                  <c:v>Chicago Public Library</c:v>
                </c:pt>
                <c:pt idx="9">
                  <c:v>Bureau of Detectives</c:v>
                </c:pt>
              </c:strCache>
            </c:strRef>
          </c:cat>
          <c:val>
            <c:numRef>
              <c:f>'Pivot Table'!$B$4:$B$14</c:f>
              <c:numCache>
                <c:formatCode>_([$$-409]* #,##0.00_);_([$$-409]* \(#,##0.00\);_([$$-409]* "-"??_);_(@_)</c:formatCode>
                <c:ptCount val="10"/>
                <c:pt idx="0">
                  <c:v>1224603400</c:v>
                </c:pt>
                <c:pt idx="1">
                  <c:v>556547794</c:v>
                </c:pt>
                <c:pt idx="2">
                  <c:v>197854959</c:v>
                </c:pt>
                <c:pt idx="3">
                  <c:v>169911417</c:v>
                </c:pt>
                <c:pt idx="4">
                  <c:v>143287614</c:v>
                </c:pt>
                <c:pt idx="5">
                  <c:v>127338664</c:v>
                </c:pt>
                <c:pt idx="6">
                  <c:v>94835261</c:v>
                </c:pt>
                <c:pt idx="7">
                  <c:v>81824516</c:v>
                </c:pt>
                <c:pt idx="8">
                  <c:v>77548650</c:v>
                </c:pt>
                <c:pt idx="9">
                  <c:v>68753448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A-4B86-B125-4814C4D67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7193992"/>
        <c:axId val="1297200648"/>
      </c:barChart>
      <c:catAx>
        <c:axId val="1297193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200648"/>
        <c:crosses val="autoZero"/>
        <c:auto val="1"/>
        <c:lblAlgn val="ctr"/>
        <c:lblOffset val="100"/>
        <c:noMultiLvlLbl val="0"/>
      </c:catAx>
      <c:valAx>
        <c:axId val="1297200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193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47625</xdr:rowOff>
    </xdr:from>
    <xdr:to>
      <xdr:col>8</xdr:col>
      <xdr:colOff>28575</xdr:colOff>
      <xdr:row>44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B713EC-3253-4882-914E-C57EFB6C39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</xdr:colOff>
      <xdr:row>18</xdr:row>
      <xdr:rowOff>38100</xdr:rowOff>
    </xdr:from>
    <xdr:to>
      <xdr:col>21</xdr:col>
      <xdr:colOff>571500</xdr:colOff>
      <xdr:row>44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7E3F45-9178-47A8-A1A2-1B498B0402F3}"/>
            </a:ext>
            <a:ext uri="{147F2762-F138-4A5C-976F-8EAC2B608ADB}">
              <a16:predDERef xmlns:a16="http://schemas.microsoft.com/office/drawing/2014/main" pred="{54B713EC-3253-4882-914E-C57EFB6C39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0</xdr:row>
      <xdr:rowOff>285750</xdr:rowOff>
    </xdr:from>
    <xdr:to>
      <xdr:col>5</xdr:col>
      <xdr:colOff>0</xdr:colOff>
      <xdr:row>6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DIVISION DESCRIPTION 1">
              <a:extLst>
                <a:ext uri="{FF2B5EF4-FFF2-40B4-BE49-F238E27FC236}">
                  <a16:creationId xmlns:a16="http://schemas.microsoft.com/office/drawing/2014/main" id="{9A4AB294-993D-794A-DF90-EB9A785D815C}"/>
                </a:ext>
                <a:ext uri="{147F2762-F138-4A5C-976F-8EAC2B608ADB}">
                  <a16:predDERef xmlns:a16="http://schemas.microsoft.com/office/drawing/2014/main" pred="{CD7E3F45-9178-47A8-A1A2-1B498B0402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VISION DESCRIPT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57600" y="0"/>
              <a:ext cx="4010025" cy="1514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7.927214467592" createdVersion="8" refreshedVersion="8" minRefreshableVersion="3" recordCount="8235" xr:uid="{F95C6F3A-E9C5-4882-90C3-7C404DC861F0}">
  <cacheSource type="worksheet">
    <worksheetSource ref="A1:V8236" sheet="Raw Data"/>
  </cacheSource>
  <cacheFields count="22">
    <cacheField name="FUND TYPE" numFmtId="0">
      <sharedItems count="2">
        <s v="LOCAL"/>
        <s v="GRANT"/>
      </sharedItems>
    </cacheField>
    <cacheField name="DEPARTMENT CODE" numFmtId="0">
      <sharedItems containsSemiMixedTypes="0" containsString="0" containsNumber="1" containsInteger="1" minValue="1" maxValue="91"/>
    </cacheField>
    <cacheField name="DEPARTMENT DESCRIPTION" numFmtId="0">
      <sharedItems count="39">
        <s v="Office of the Mayor"/>
        <s v="Office of Inspector General"/>
        <s v="Office of Budget and Management"/>
        <s v="Department of Technology and Innovation"/>
        <s v="City Council"/>
        <s v="Department of Housing"/>
        <s v="Office of City Clerk"/>
        <s v="Department of Finance"/>
        <s v="City Treasurer's Office"/>
        <s v="Department of Administrative Hearings"/>
        <s v="Department of Law"/>
        <s v="Department of Human Resources"/>
        <s v="Department of Procurement Services"/>
        <s v="Department of Fleet and Facility Management"/>
        <s v="Board of Election Commissioners"/>
        <s v="Chicago Department of Public Health"/>
        <s v="Chicago Commission on Human Relations"/>
        <s v="Mayor's Office for People with Disabilities"/>
        <s v="Department of Family and Support Services"/>
        <s v="Office of Public Safety Administration"/>
        <s v="Department of Planning and Development"/>
        <s v="Chicago Police Board"/>
        <s v="Chicago Police Department"/>
        <s v="Office of Emergency Management and Communications"/>
        <s v="Chicago Fire Department"/>
        <s v="Civilian Office of Police Accountability"/>
        <s v="Community Commission for Public Safety and Accountability"/>
        <s v="Department of Buildings"/>
        <s v="Department of Business Affairs and Consumer Protection"/>
        <s v="Department of Environment"/>
        <s v="Chicago Animal Care and Control"/>
        <s v="License Appeal Commission"/>
        <s v="Board of Ethics"/>
        <s v="Department of Streets and Sanitation"/>
        <s v="Chicago Department of Transportation"/>
        <s v="Department of Water Management"/>
        <s v="Chicago Public Library"/>
        <s v="Department of Cultural Affairs and Special Events"/>
        <s v="Chicago Department of Aviation"/>
      </sharedItems>
    </cacheField>
    <cacheField name="FUND CODE" numFmtId="0">
      <sharedItems containsMixedTypes="1" containsNumber="1" containsInteger="1" minValue="75" maxValue="996" count="29">
        <n v="100"/>
        <n v="200"/>
        <n v="300"/>
        <n v="310"/>
        <n v="314"/>
        <n v="346"/>
        <n v="353"/>
        <n v="355"/>
        <n v="610"/>
        <n v="740"/>
        <n v="996"/>
        <s v="0B21"/>
        <s v="0B32"/>
        <s v="0B53"/>
        <s v="0B64"/>
        <s v="0B65"/>
        <s v="0B70"/>
        <s v="0B89"/>
        <s v="0B90"/>
        <s v="0B92"/>
        <s v="0D43"/>
        <n v="75"/>
        <s v="925C"/>
        <s v="925D"/>
        <s v="925E"/>
        <s v="925F"/>
        <s v="925L"/>
        <s v="925S"/>
        <s v="GA00"/>
      </sharedItems>
    </cacheField>
    <cacheField name="FUND DESCRIPTION" numFmtId="0">
      <sharedItems count="29">
        <s v="Corporate Fund"/>
        <s v="Water Fund"/>
        <s v="Vehicle Tax Fund"/>
        <s v="Motor Fuel Tax Fund"/>
        <s v="Sewer Fund"/>
        <s v="Library Fund"/>
        <s v="Emergency Communication Fund"/>
        <s v="Special Events and Municipal Hotel Operators' Occupation Tax Fund"/>
        <s v="Chicago Midway Airport Fund"/>
        <s v="Chicago O'Hare Airport Fund"/>
        <s v="Affordable Housing Opportunity Fund"/>
        <s v="Tax Increment Financing Administration Fund"/>
        <s v="Garbage Collection Fund"/>
        <s v="Wheelchair Accessible Vehicle Fund"/>
        <s v="Cable Local Origination Fund"/>
        <s v="Community Safety Fund"/>
        <s v="Cannabis Regulation Tax"/>
        <s v="Opioid Settlement Fund"/>
        <s v="Vaping Settlement Fund"/>
        <s v="Construction and Demolition Debris Management Fund"/>
        <s v="Neighborhoods Opportunity Fund"/>
        <s v="Grants Management Fund"/>
        <s v="COVID-19 Grant Fund"/>
        <s v="Disaster Recovery Fund"/>
        <s v="Entitlement Fund"/>
        <s v="Federal Grant Fund"/>
        <s v="Local Public and Private Grant Fund"/>
        <s v="State Grant Fund"/>
        <s v="Coronavirus Local Fiscal Recovery Fund"/>
      </sharedItems>
    </cacheField>
    <cacheField name="ORGANIZATION CODE" numFmtId="0">
      <sharedItems containsSemiMixedTypes="0" containsString="0" containsNumber="1" containsInteger="1" minValue="1005" maxValue="1160"/>
    </cacheField>
    <cacheField name="ORGANIZATION DESCRIPTION" numFmtId="0">
      <sharedItems count="59">
        <s v="Office of the Mayor"/>
        <s v="Office of Inspector General"/>
        <s v="Office of Budget and Management"/>
        <s v="Department of Technology and Innovation"/>
        <s v="City Council"/>
        <s v="Council Office of Financial Analysis"/>
        <s v="Department of Housing"/>
        <s v="Office of City Clerk"/>
        <s v="Finance"/>
        <s v="City Treasurer's Office"/>
        <s v="Department of Administrative Hearings"/>
        <s v="Department of Law"/>
        <s v="Department of Human Resources"/>
        <s v="Department of Procurement Services"/>
        <s v="Fleet and Facility Management"/>
        <s v="Board of Election Commissioners"/>
        <s v="Department of Public Health"/>
        <s v="Chicago Commission on Human Relations"/>
        <s v="Mayor's Office for People with Disabilities"/>
        <s v="Department of Family and Support Services"/>
        <s v="Office of Public Safety Administration"/>
        <s v="Department of Planning and Development"/>
        <s v="Chicago Police Board"/>
        <s v="Chicago Police Department"/>
        <s v="Office of Emergency Management and Communications"/>
        <s v="Chicago Fire Department"/>
        <s v="Civilian Office of Police Accountability"/>
        <s v="Community Commission for Public Safety and Accountability"/>
        <s v="Department of Buildings"/>
        <s v="Department of Business Affairs and Consumer Protection"/>
        <s v="Department of Environment"/>
        <s v="Chicago Animal Care and Control"/>
        <s v="License Appeal Commission"/>
        <s v="Board of Ethics"/>
        <s v="Commissioner's Office"/>
        <s v="Bureau of Sanitation"/>
        <s v="Bureau of Rodent Control"/>
        <s v="Bureau of Street Operations"/>
        <s v="Bureau of Forestry"/>
        <s v="Office of the Commissioner"/>
        <s v="Policy And Planning"/>
        <s v="Division of Administration"/>
        <s v="Division of Traffic Safety"/>
        <s v="Division of Sign Management"/>
        <s v="Division of Project Development"/>
        <s v="Division of Electrical Operations"/>
        <s v="Division of In-House Construction"/>
        <s v="Citywide Services"/>
        <s v="Bureau of Administrative Support"/>
        <s v="Bureau of Engineering Services"/>
        <s v="Bureau of Water Supply"/>
        <s v="Bureau of Operations and Distribution"/>
        <s v="Bureau of Meter Services"/>
        <s v="Bureau of Traffic Services"/>
        <s v="Division of Engineering"/>
        <s v="Division of Infrastructure Management"/>
        <s v="Chicago Public Library"/>
        <s v="Department of Cultural Affairs and Special Events"/>
        <s v="Chicago Department of Aviation"/>
      </sharedItems>
    </cacheField>
    <cacheField name="DIVISION CODE" numFmtId="0">
      <sharedItems containsMixedTypes="1" containsNumber="1" containsInteger="1" minValue="2000" maxValue="2996" count="114">
        <n v="2005"/>
        <n v="2150"/>
        <n v="2012"/>
        <n v="2010"/>
        <n v="2011"/>
        <n v="2015"/>
        <n v="2020"/>
        <n v="2103"/>
        <n v="2126"/>
        <n v="2131"/>
        <n v="2140"/>
        <n v="2000"/>
        <n v="2025"/>
        <n v="2030"/>
        <n v="2035"/>
        <n v="2040"/>
        <n v="2045"/>
        <n v="2050"/>
        <n v="2055"/>
        <n v="2007"/>
        <n v="2016"/>
        <n v="2028"/>
        <n v="2037"/>
        <n v="2705"/>
        <n v="2006"/>
        <n v="2060"/>
        <n v="2105"/>
        <n v="2110"/>
        <n v="2115"/>
        <n v="2130"/>
        <n v="2145"/>
        <n v="2155"/>
        <n v="2160"/>
        <n v="2070"/>
        <n v="2125"/>
        <n v="2135"/>
        <n v="2855"/>
        <n v="2846"/>
        <n v="2847"/>
        <n v="2800"/>
        <s v="282S"/>
        <s v="280W"/>
        <n v="2807"/>
        <s v="281W"/>
        <n v="2833"/>
        <n v="2710"/>
        <s v="282N"/>
        <s v="280E"/>
        <n v="2825"/>
        <s v="280V"/>
        <n v="2505"/>
        <n v="2559"/>
        <n v="2560"/>
        <n v="2565"/>
        <n v="2585"/>
        <n v="2555"/>
        <n v="2598"/>
        <n v="2510"/>
        <n v="2503"/>
        <n v="2525"/>
        <n v="2530"/>
        <n v="2511"/>
        <n v="2515"/>
        <n v="2520"/>
        <s v="280A"/>
        <n v="2731"/>
        <n v="2808"/>
        <s v="280L"/>
        <s v="280Y"/>
        <n v="2814"/>
        <s v="281D"/>
        <s v="281T"/>
        <n v="2820"/>
        <n v="2824"/>
        <n v="2829"/>
        <s v="282M"/>
        <s v="282Q"/>
        <s v="282U"/>
        <n v="2883"/>
        <n v="2910"/>
        <n v="2932"/>
        <n v="2944"/>
        <n v="2979"/>
        <n v="2805"/>
        <n v="2834"/>
        <s v="280U"/>
        <n v="2815"/>
        <n v="2860"/>
        <n v="2868"/>
        <n v="2904"/>
        <n v="2943"/>
        <n v="2996"/>
        <s v="282E"/>
        <s v="282F"/>
        <n v="2921"/>
        <n v="2823"/>
        <s v="280C"/>
        <s v="280H"/>
        <n v="2813"/>
        <s v="281S"/>
        <n v="2839"/>
        <n v="2835"/>
        <n v="2838"/>
        <s v="281V"/>
        <s v="282P"/>
        <n v="2836"/>
        <n v="2942"/>
        <n v="2946"/>
        <n v="2962"/>
        <n v="2810"/>
        <s v="280D"/>
        <s v="280F"/>
        <n v="2895"/>
        <s v="290H"/>
      </sharedItems>
    </cacheField>
    <cacheField name="DIVISION DESCRIPTION" numFmtId="0">
      <sharedItems count="159">
        <s v="Office of the Mayor"/>
        <s v="Office of Inspector General"/>
        <s v="Office of Budget and Management"/>
        <s v="Bureau of Centralized Information Technology"/>
        <s v="City Council"/>
        <s v="Council Office of Financial Analysis"/>
        <s v="Department of Housing"/>
        <s v="Office of City Clerk"/>
        <s v="City Comptroller"/>
        <s v="Accounting and Financial Reporting"/>
        <s v="Financial Strategy and Operations"/>
        <s v="Revenue Services and Operations"/>
        <s v="City Treasurer's Office"/>
        <s v="Department of Administrative Hearings"/>
        <s v="Department of Law"/>
        <s v="Department of Human Resources"/>
        <s v="Department of Procurement Services"/>
        <s v="Bureau of Finance and Administration"/>
        <s v="Bureau of Facility Management"/>
        <s v="Bureau of Asset Management"/>
        <s v="Bureau of Fleet Operations"/>
        <s v="Election and Administration Division"/>
        <s v="Commissioner's Office"/>
        <s v="Finance and Administration"/>
        <s v="Data Infrastructure and Informatics"/>
        <s v="Family and Lifespan Health"/>
        <s v="Disease Control and Emergency Preparedness"/>
        <s v="Behavioral Health"/>
        <s v="Health Protection"/>
        <s v="Syndemic Infectious Diseases"/>
        <s v="Chicago Commission on Human Relations"/>
        <s v="Mayor's Office for People with Disabilities"/>
        <s v="Department of Family and Support Services"/>
        <s v="Office of Public Safety Administration"/>
        <s v="Department of Planning and Development"/>
        <s v="Chicago Police Board"/>
        <s v="Chicago Police Department"/>
        <s v="Office of the First Deputy"/>
        <s v="Patrol Services"/>
        <s v="Bureau of Detectives"/>
        <s v="Bureau of Counter-Terrorism"/>
        <s v="Bureau of Crime Control Strategies"/>
        <s v="Office of Constitutional Policing and Reform"/>
        <s v="Office of Emergency Management and Communications"/>
        <s v="Chicago Fire Department"/>
        <s v="Civilian Office of Police Accountability"/>
        <s v="Community Commission for Public Safety and Accountability"/>
        <s v="Department of Buildings"/>
        <s v="Department of Business Affairs and Consumer Protection"/>
        <s v="Department of Environment"/>
        <s v="Health and Safety"/>
        <s v="Office of Environmental Permitting and Inspection"/>
        <s v="Chicago Animal Care and Control"/>
        <s v="License Appeal Commission"/>
        <s v="Board of Ethics"/>
        <s v="Administrative Services Division"/>
        <s v="Bureau of Sanitation"/>
        <s v="Bureau of Rodent Control"/>
        <s v="Bureau of Street Operations"/>
        <s v="Bureau of Forestry"/>
        <s v="Policy and Planning"/>
        <s v="Division of Administration"/>
        <s v="Division of Traffic Safety"/>
        <s v="Division of Sign Management"/>
        <s v="Division of Project Development"/>
        <s v="Division of Electrical Operations"/>
        <s v="Division of In-House Construction"/>
        <s v="Citywide Services"/>
        <s v="Bureau of Administrative Support"/>
        <s v="Bureau of Engineering Services"/>
        <s v="Bureau of Water Supply"/>
        <s v="Pumping Stations"/>
        <s v="Bureau of Operations and Distribution"/>
        <s v="Bureau of Meter Services"/>
        <s v="Bureau of Traffic Services"/>
        <s v="Division of Engineering"/>
        <s v="Division of Infrastructure Management"/>
        <s v="Chicago Public Library"/>
        <s v="Department of Cultural Affairs and Special Events"/>
        <s v="Chicago Midway Airport"/>
        <s v="Chicago-O'Hare International Airport"/>
        <s v="Department of Public Health"/>
        <s v="CTY - Grants Management"/>
        <s v="CTY - Housing Preservation"/>
        <s v="CTY - Homeownership Programs"/>
        <s v="Grants Management"/>
        <s v="HUD - CPD - Home Investment Partnerships Program (14.239)"/>
        <s v="HHS - CDC - Epidemiology and Lab Capacity (ELC) for Infectious Diseases (93.323)"/>
        <s v="HHS - CDC - Collaboration with Academia to Strengthen Public Health (93.967)"/>
        <s v="HUD - CPD - CDBG-DR - Planning and Administration (14.218)"/>
        <s v="HUD - CPD - CDBG - Planning and Administration (14.218)"/>
        <s v="HUD - CPD - CDBG - Public Service - Housing Information and Referral Services (14.218)"/>
        <s v="HUD - CPD - CDBG - Public Service - Housing Counseling (14.218)"/>
        <s v="HUD - CPD - CDBG - Rehabilitation - Administration (14.218)"/>
        <s v="HUD - CPD - CDBG - Public Service - Screening for Lead (14.218)"/>
        <s v="HUD - CPD - CDBG - Public Service - Mental Health Services (14.218)"/>
        <s v="HUD - CPD - CDBG - Public Service - Fair Housing (14.218)"/>
        <s v="HUD - CPD - CDBG - Rehabilitation - HomeMod (14.218)"/>
        <s v="HUD - CPD - CDBG - Public Service - Disability Services (14.218)"/>
        <s v="HUD - CPD - CDBG - Public Service - Food Banks (14.218)"/>
        <s v="HUD - CPD - CDBG - Public Service - Homeless Programs (14.218)"/>
        <s v="HUD - CPD - CDBG - Public Service - Employment Training (14.218)"/>
        <s v="HUD - CPD - CDBG - Public Service - Domestic Violence Services (14.218)"/>
        <s v="DHS - FEMA - IEMA - Homeland Security Grant Program (UASI) (97.076)"/>
        <s v="HHS - HRSA - HIV Emergency Relief Project Grants (Ryan White) (93.914)"/>
        <s v="USDA - FNS - IDHS - Women  Infants and Children (WIC) Nutrition Program (10.557)"/>
        <s v="HHS - CDC - Childhood Lead Poisoning Prevention Projects (93.197)"/>
        <s v="HHS - CDC - HIV Prevention Activities (93.940)"/>
        <s v="HHS - CDC - Sexually Transmitted Diseases (STD) Prevention and Control (93.977)"/>
        <s v="HHS - CDC - Injury Prevention and Control Research (93.136)"/>
        <s v="HHS - HRSA - Ending the HIV Epidemic (93.686)"/>
        <s v="HHS - CDC - Immunization (93.268)"/>
        <s v="HHS - CDC - Tuberculosis Control Programs (93.116)"/>
        <s v="HHS - CDC - Public Health Emergency Preparedness (93.069)"/>
        <s v="HHS - CDC - Tobacco Control Program (93.387)"/>
        <s v="HHS - ACF - IDHS - Social Services Block Grant (Family Connects) (93.667)"/>
        <s v="HUD - OLHCHH - Healthy Homes Production Program (14.913)"/>
        <s v="HHS - OS - National Bioterrorism Hospital Preparedness Program (93.889)"/>
        <s v="HHS - HRSA - IDPH - Maternal and Child Health Services Block Grants (93.994)"/>
        <s v="HUD - CPD - Housing Opportunities for People with AIDS (HOPWA) (14.241)"/>
        <s v="HUD - OLHCHH - Lead Hazard Reduction Demonstration Grant Program (14.905)"/>
        <s v="HHS - CDC - Viral Hepatitis Prevention and Control (93.270)"/>
        <s v="HHS - SAMHSA - IDHS - CTY - Substance Abuse Prevention Program (93.959)"/>
        <s v="DOJ - OJP - Congressionally Recommended Awards (16.753)"/>
        <s v="HHS - ACF - DCEO - Community Services Block Grant (93.569)"/>
        <s v="HUD - PIH - CHA - Moving to Work Demonstration Program (14.881)"/>
        <s v="CNCS - IDOA - CTY - AmeriCorps Foster Grandparent Program (FGP) (94.011)"/>
        <s v="HHS - ACF - Head Start (93.600)"/>
        <s v="CNCS - IDOA - CTY - AmeriCorps Senior Companion Program (SCP) (94.016)"/>
        <s v="HHS - ACL - IDOA -CTY - Area Plan on Aging  (93.041-93.045; 93.052-93.053)"/>
        <s v="HHS - ACF - IDHS - Child Care and Development Fund (93.596)"/>
        <s v="HUD - CPD - Emergency Solutions Grant Program (14.231)"/>
        <s v="DOJ - OJP - Edward Byrne Memorial Justice Assistance Grant Program (16.738)"/>
        <s v="DOJ - COPS - CTY - Public Safety Partnership and Community Policing (16.710)"/>
        <s v="DOJ - OVW - CTY - Violence Against Women Formula Grants (16.588)"/>
        <s v="DHS - FEMA - CTA - Rail and Transit Security Grant Program (97.075)"/>
        <s v="DHS - CWMD - Securing the Cities Program (97.106)"/>
        <s v="EPA - IEPA - CTY - Air Pollution Control Program (66.605)"/>
        <s v="EPA - OLEM - Superfund Program - Anadarko Streeterville Removal (66.802)"/>
        <s v="USDA - FS - PVT - Urban and Community Forestry Program (10.675)"/>
        <s v="DOT - FHWA - IDOT - CTY - Highway Planning and Construction (20.205)"/>
        <s v="PVT - Water Policy Program"/>
        <s v="PVT - Chicago Funders Together to End Homelessness"/>
        <s v="IHDA - Low Income Housing Trust Fund"/>
        <s v="IHDA - Build Illinois"/>
        <s v="IDHS - Social Services Block Grant (Family Connects)"/>
        <s v="IDPH - Comprehensive Health Protection Grant"/>
        <s v="IDPH - Tobacco Free Communities"/>
        <s v="IDOA - Long Term Care Ombudsman Services"/>
        <s v="IDHS - Emergency and Transitional Housing"/>
        <s v="IDOA - Senior Health Assistance Program (SHAP)"/>
        <s v="ISBE - CPS - Early Childhood Block Grant"/>
        <s v="IDHS - Chicago First Responder Wellness Program"/>
        <s v="OSFM - Fire Academy Training and Improvement"/>
        <s v="OSFM - Underground Storage Tank Inspection"/>
        <s v="IEPA - Resource Conservation"/>
        <s v="IEPA - Solid Waste Management"/>
        <s v="SOS - Library Development - Per Capita and Area"/>
        <s v="TREAS - SLFRF - American Rescue Plan Fiscal Recovery (ARPA) (21.027)"/>
      </sharedItems>
    </cacheField>
    <cacheField name="SECTION CODE" numFmtId="0">
      <sharedItems containsMixedTypes="1" containsNumber="1" containsInteger="1" minValue="3001" maxValue="3996"/>
    </cacheField>
    <cacheField name="SECTION DESCRIPTION" numFmtId="0">
      <sharedItems count="403">
        <s v="Executive"/>
        <s v="Correspondence"/>
        <s v="Scheduling and Advance"/>
        <s v="Administrative"/>
        <s v="Office of the Press Secretary"/>
        <s v="Office of the Chief Financial Officer"/>
        <s v="Office of Community Engagement"/>
        <s v="Office of Infrastructure and Services"/>
        <s v="Office of Intergovernmental Affairs"/>
        <s v="Office of Equity and Racial Justice"/>
        <s v="Office of Business  Economic and Neighborhood Development (BEND)"/>
        <s v="Office of Policy"/>
        <s v="Office of Immigrant  Migrant and Refugee Rights"/>
        <s v="Office of Labor Relations"/>
        <s v="Office of Education and Youth"/>
        <s v="Office of Health And Human Services"/>
        <s v="Operations"/>
        <s v="Legal"/>
        <s v="Investigations"/>
        <s v="Audit and Program Review"/>
        <s v="Public Safety Audit"/>
        <s v="Information Technology and Analytics"/>
        <s v="Administration"/>
        <s v="Budget Development and Monitoring"/>
        <s v="Strategic Communications"/>
        <s v="Workforce Management and Technology"/>
        <s v="Office of CIO"/>
        <s v="IT Planning"/>
        <s v="IT Delivery"/>
        <s v="IT Support"/>
        <s v="IT Information and Security"/>
        <s v="City Council"/>
        <s v="Council Office of Financial Analysis"/>
        <s v="Homeownership Programs"/>
        <s v="Construction and Compliance"/>
        <s v="Community Engagement and Racial Equality"/>
        <s v="Neighborhood Preservation"/>
        <s v="Index Division"/>
        <s v="City Council Research and Record Service"/>
        <s v="Office of the City Comptroller"/>
        <s v="Internal Audit"/>
        <s v="Financial Systems Support"/>
        <s v="Fiscal Administration"/>
        <s v="Personnel"/>
        <s v="Accounting and Financial Reporting"/>
        <s v="Financial Strategy"/>
        <s v="Financial Operations"/>
        <s v="Payment Processing"/>
        <s v="Tax Policy and Administration"/>
        <s v="Street Operations"/>
        <s v="Accounts Receivable"/>
        <s v="Portfolio Management"/>
        <s v="Financial Reporting"/>
        <s v="Office of the Director"/>
        <s v="Finance and Administration"/>
        <s v="Operational Services"/>
        <s v="Appeals"/>
        <s v="Building and License Enforcement"/>
        <s v="Constitutional and Commercial Litigation"/>
        <s v="Torts"/>
        <s v="Employment Litigation"/>
        <s v="Affirmative Litigation"/>
        <s v="Labor"/>
        <s v="Legal Counsel"/>
        <s v="Public Safety Reform"/>
        <s v="Risk Management and Compliance"/>
        <s v="Aviation  Environmental and Regulatory Litigation"/>
        <s v="Investigations and Prosecutions"/>
        <s v="Finance and Economic Development"/>
        <s v="Real Estate"/>
        <s v="Revenue Litigation"/>
        <s v="Collections  Ownership and Administrative Litigation"/>
        <s v="Mass Torts and Complex Litigation"/>
        <s v="Special Federal Litigation"/>
        <s v="Federal Claims Review"/>
        <s v="Workforce Compliance"/>
        <s v="Information Services"/>
        <s v="Testing Services"/>
        <s v="Employment Services  Hiring and Compensation"/>
        <s v="Organization and Workforce Strategy"/>
        <s v="Departmental Administration"/>
        <s v="Contract Management"/>
        <s v="Office of Contracting Equity"/>
        <s v="Office of the Commissioner"/>
        <s v="Human Resources"/>
        <s v="Systems and Performance Improvement"/>
        <s v="Facilities Management"/>
        <s v="Architecture and Construction"/>
        <s v="Graphics Services"/>
        <s v="Energy Services"/>
        <s v="Document Retention"/>
        <s v="Environmental Health and Safety"/>
        <s v="Leasing / Real Estate Portfolio Management"/>
        <s v="Fleet Administration"/>
        <s v="Equipment Project Management"/>
        <s v="Fuel Services"/>
        <s v="Accidents and Assessments"/>
        <s v="Fleet Maintenance Operations"/>
        <s v="Road Services"/>
        <s v="CPD Motor Maintenance"/>
        <s v="Electronic Voting Systems"/>
        <s v="Election Support"/>
        <s v="Voting Machine Equipment  Ballot Preparation and Supplies"/>
        <s v="Community Services and Deputy Registrars"/>
        <s v="Voter Records and Data Processing"/>
        <s v="Deputy Commissioner's Office"/>
        <s v="Public Information"/>
        <s v="General Counsel"/>
        <s v="Fleet and Facilities"/>
        <s v="Finance"/>
        <s v="Technical Architecture"/>
        <s v="Informatics"/>
        <s v="Epidemiology And Research"/>
        <s v="Information Systems"/>
        <s v="Program Operations"/>
        <s v="Child Health and Chronic Disease"/>
        <s v="Maternal and Reproductive Health"/>
        <s v="Nutrition And Food Access"/>
        <s v="Community Engagement"/>
        <s v="Public Health Preparedness and Emergency Response"/>
        <s v="Immunization Services"/>
        <s v="Communicable Diseases"/>
        <s v="Healthcare and Congregate Settings"/>
        <s v="Epidemiology and Disease Surveillance"/>
        <s v="CARE Program"/>
        <s v="Injury Prevention/Behavioral Health Operations"/>
        <s v="Mental Health Services and Programs"/>
        <s v="Food Protection"/>
        <s v="Lead Poisoning Prevention and Healthy Homes"/>
        <s v="Environmental Permitting and Inspections"/>
        <s v="HIV/STI Surveillance and Response"/>
        <s v="Tuberculosis Program"/>
        <s v="STI Clinical Services"/>
        <s v="Promoting Human Relations"/>
        <s v="Executive Administration"/>
        <s v="Communication Access Team"/>
        <s v="Support Services"/>
        <s v="Employment"/>
        <s v="Accessibility Compliance"/>
        <s v="Public Policy and Public Affairs"/>
        <s v="Executive Office"/>
        <s v="Domestic Violence Programs"/>
        <s v="Youth Programming"/>
        <s v="Homeless Services"/>
        <s v="Joint Public Safety Training Academy"/>
        <s v="Personnel Management"/>
        <s v="Information Technology"/>
        <s v="Planning and Design"/>
        <s v="Small Business Development"/>
        <s v="Citywide Planning"/>
        <s v="Zoning and Land Use"/>
        <s v="Chicago Police Board"/>
        <s v="Office of the Superintendent"/>
        <s v="Office of the Chief of Staff"/>
        <s v="Bureau of Internal Affairs"/>
        <s v="Office of Community Policing"/>
        <s v="Special Activities Section"/>
        <s v="Administration Office of the First Deputy"/>
        <s v="Special Events Unit"/>
        <s v="Detached Services Unit"/>
        <s v="Governmental Security Unit"/>
        <s v="Bureau of Patrol"/>
        <s v="Areas - Districts"/>
        <s v="Areas - Detectives"/>
        <s v="Bureau of Detectives"/>
        <s v="Youth Investigations Division"/>
        <s v="Central Investigations Division"/>
        <s v="Forensic Services Division"/>
        <s v="Investigative Response Team"/>
        <s v="Bureau of Counter-Terrorism"/>
        <s v="Public Transportation Division"/>
        <s v="Special Functions Division"/>
        <s v="Counter-Terrorism Division"/>
        <s v="Criminal Network Group"/>
        <s v="Administrative Support Div"/>
        <s v="Inspections Division"/>
        <s v="Strategic Initiatives Division"/>
        <s v="Office of Constitutional Policing and Reform"/>
        <s v="Administrative Support Division"/>
        <s v="Training and Support"/>
        <s v="Office of Crime Victim Services"/>
        <s v="Office of Equity And Engagement"/>
        <s v="Professional Standards and Compliance"/>
        <s v="Tactical Review and Evaluation Division"/>
        <s v="Research and Development"/>
        <s v="Office of the Executive Director"/>
        <s v="Administrative Services"/>
        <s v="Non-Emergency Services"/>
        <s v="City Operations"/>
        <s v="Office of the First Deputy"/>
        <s v="Fire Prevention"/>
        <s v="Public Outreach"/>
        <s v="Video Release and Transparency Unit"/>
        <s v="Policy  Research  and Analysis"/>
        <s v="District Council"/>
        <s v="Policy Research Development"/>
        <s v="Community Commission"/>
        <s v="Plan Review"/>
        <s v="Code Enforcement"/>
        <s v="Code Compliance"/>
        <s v="Technical Inspections"/>
        <s v="Small Projects"/>
        <s v="Intergovernmental Affairs and Special Projects"/>
        <s v="Small Business Advocacy"/>
        <s v="Small Business Center"/>
        <s v="Public Vehicle Licenses and Permits"/>
        <s v="Local Liquor Control"/>
        <s v="Business Compliance Enforcement"/>
        <s v="Office of Labor Standards"/>
        <s v="Prosecutions and Adjudications"/>
        <s v="Communications and Outreach"/>
        <s v="MPEA Administration"/>
        <s v="Climate and Environmental Equity"/>
        <s v="Permitting and Inspection"/>
        <s v="Animal Control"/>
        <s v="Animal Care"/>
        <s v="Anti-Cruelty"/>
        <s v="Liquor License Revocation Appeals"/>
        <s v="Personnel/Payroll/Legal"/>
        <s v="Financial Administration"/>
        <s v="Solid Waste Collection"/>
        <s v="Rodent Control - Administration"/>
        <s v="Vector Control"/>
        <s v="Cart Management"/>
        <s v="Dead Animal Recovery"/>
        <s v="Equipment Support Services"/>
        <s v="Graffiti Blasters Program"/>
        <s v="Field Operations"/>
        <s v="Forestry - Support"/>
        <s v="Forestry Operations"/>
        <s v="Tree Removal"/>
        <s v="General Support"/>
        <s v="Intergovernmental Support"/>
        <s v="Performance Management"/>
        <s v="Policy and Planning"/>
        <s v="Construction Services"/>
        <s v="Contracts"/>
        <s v="Traffic Safety"/>
        <s v="Sign Management"/>
        <s v="Public Way Policy"/>
        <s v="Neighborhood Enhancement and Sustainable Development"/>
        <s v="Reimbursable Personnel"/>
        <s v="Electrical Operations and Maintenance"/>
        <s v="Electrical Construction"/>
        <s v="Project Oversight"/>
        <s v="Citywide Services"/>
        <s v="Economic Development"/>
        <s v="Fleet Operations - Water"/>
        <s v="Plumbing Inspection"/>
        <s v="Agency Management"/>
        <s v="Management Support"/>
        <s v="Public Relations"/>
        <s v="Cost Recovery"/>
        <s v="Safety and Security"/>
        <s v="Purchasing"/>
        <s v="Personnel/Payroll/Labor Relations"/>
        <s v="Capital Planning"/>
        <s v="Engineering Services"/>
        <s v="Design and Construction Services"/>
        <s v="Water Quality"/>
        <s v="Water Pumping"/>
        <s v="Water Treatment"/>
        <s v="Equipment Coordination/Warehouse and Stores"/>
        <s v="Communications"/>
        <s v="Evaluations"/>
        <s v="System Installation and Maintenance"/>
        <s v="Systems Installations"/>
        <s v="Lead Service Line Replacement - Reimbursable"/>
        <s v="Inspection Services"/>
        <s v="Meter Services"/>
        <s v="Water Meter Installation and Repair"/>
        <s v="Issuance of Vehicle Licenses"/>
        <s v="Customer Processing Center"/>
        <s v="License Compliance Unit"/>
        <s v="Mail  Microfilm and Records"/>
        <s v="Deep Foundation Review"/>
        <s v="Street Sweeping Divisions and Wards"/>
        <s v="Special Traffic Services"/>
        <s v="Contractual Towing"/>
        <s v="Auto Pounds"/>
        <s v="Citywide Dispatch"/>
        <s v="Traffic Services Supervision"/>
        <s v="Towing / Relocation Services"/>
        <s v="Electrical Engineering and Inspection"/>
        <s v="Quality Assurance Engineering"/>
        <s v="Design"/>
        <s v="Major Projects - Design and Construction"/>
        <s v="Construction Supervision"/>
        <s v="Bridges"/>
        <s v="Neighborhood Improvements"/>
        <s v="Transit Design"/>
        <s v="Engineering Construction Support - Reimbursable"/>
        <s v="Public Way Management"/>
        <s v="One Call Program"/>
        <s v="Program Support"/>
        <s v="Fleet Operations - Sewer"/>
        <s v="Restorations"/>
        <s v="Administration and Support Services"/>
        <s v="References and Circulation Services"/>
        <s v="Technical Services"/>
        <s v="Property Management Services"/>
        <s v="Emergency Management"/>
        <s v="Programming"/>
        <s v="Cultural Grants and Resources"/>
        <s v="Marketing and Development"/>
        <s v="Chicago Film Office"/>
        <s v="Visual Arts"/>
        <s v="Fleet Operations - Midway"/>
        <s v="Airport Operations South - Midway"/>
        <s v="Chicago Midway Airport"/>
        <s v="Fleet Operations - O'Hare"/>
        <s v="Airport Operations North - O'Hare"/>
        <s v="Chicago-O'Hare International Airport"/>
        <s v="Housing Development"/>
        <s v="Office of Community Safety"/>
        <s v="Office Of Reentry"/>
        <s v="Opioid/Substance Use Prevention"/>
        <s v="Epidemiology and Data Visualization"/>
        <s v="Chronic Disease"/>
        <s v="Grant Operations"/>
        <s v="Housing Preservation"/>
        <s v="Grant and Project Accounting Division"/>
        <s v="Central Grants Management"/>
        <s v="Grants"/>
        <s v="Contracts and Compliance"/>
        <s v="Grant Development Policy and Planning"/>
        <s v="Fiscal and Programmatic Monitoring"/>
        <s v="Transportation Programming"/>
        <s v="Home Investment Partnership"/>
        <s v="Building Epidemiology and Health IT Capacity"/>
        <s v="Strengthening Public Hlth Infr"/>
        <s v="Planning and Administration"/>
        <s v="Administration and Monitoring"/>
        <s v="Housing Services and Assistance"/>
        <s v="Homeownership Counseling Services"/>
        <s v="Rehabilitation - Administration"/>
        <s v="Lead Paint Identification &amp; Abatement"/>
        <s v="Mental Health Clinics"/>
        <s v="Fair Housing"/>
        <s v="Education  Outreach and Intergroup Relations"/>
        <s v="Home Mod"/>
        <s v="Public Service - Disability Services"/>
        <s v="Public Service - Food Banks"/>
        <s v="Workforce Services Program"/>
        <s v="Urban Areas Security Initiative"/>
        <s v="Multi Family Financing"/>
        <s v="Ryan White HIV Care Act Part A - Emergency Relief"/>
        <s v="WIC Nutrition Services"/>
        <s v="Lead Poisoning Surveillance"/>
        <s v="HIV Surveillance and Prevention"/>
        <s v="STI Surveillance"/>
        <s v="Injury Prevention and Control Research"/>
        <s v="Ending the HIV Epidemic - A Plan for America - Ryan White"/>
        <s v="Vaccine Preventable Diseases"/>
        <s v="Tuberculosis"/>
        <s v="Emergency Preparedness"/>
        <s v="Reducing the Burden of Tobacco Products"/>
        <s v="Social Services Block Grant"/>
        <s v="Healthy Homes Production"/>
        <s v="Hospital Preparedness Program (HPP)"/>
        <s v="MCH Block Grant"/>
        <s v="Housing Opportunities for People with AIDS (HOPWA)"/>
        <s v="Lead Hazard Reduction"/>
        <s v="Adult Viral Hepatitis"/>
        <s v="Substance Abuse Prevention"/>
        <s v="Congressionally Recommended Awards"/>
        <s v="Community Services Block Grant"/>
        <s v="Moving to Work Demonstration Program"/>
        <s v="Foster Grandparents"/>
        <s v="Head Start"/>
        <s v="Senior Companion Project - Action"/>
        <s v="Area Plan on Aging"/>
        <s v="Child Care Services"/>
        <s v="Emergency Solutions"/>
        <s v="Edward Byrne Memorial JAG"/>
        <s v="Public Safety Partnership and Community Policing"/>
        <s v="Violence Against Women Formula"/>
        <s v="Transit Security"/>
        <s v="Edward Byrne Memorial Justice Assistance Grant (JAG)"/>
        <s v="Securing the City"/>
        <s v="Air Pollution Control Program"/>
        <s v="Anadarko Streeterville Removal"/>
        <s v="Urban and Community Forestry"/>
        <s v="Highway Planning and Construction"/>
        <s v="Water Policy Program"/>
        <s v="Low Income Housing Trust Fund"/>
        <s v="Build Illinois"/>
        <s v="Family Connects"/>
        <s v="Lead Poisoning Prevention"/>
        <s v="Environmental Health"/>
        <s v="Tobacco Free Communities"/>
        <s v="Long Term Care Ombudsman Program - CMP"/>
        <s v="Emergency and Transitional Housing"/>
        <s v="Senior Health Assistance Program"/>
        <s v="Early Childhood Block Grant"/>
        <s v="Chicago First Responder Wellness Program"/>
        <s v="Fire Academy Training and Improvement"/>
        <s v="Underground Storage Tank Inspection"/>
        <s v="Resource Conservation"/>
        <s v="Solid Waste Management"/>
        <s v="Reference and Circulation Services"/>
        <s v="Unassigned Technical Services"/>
        <s v="American Rescue Plan Fiscal Recovery"/>
      </sharedItems>
    </cacheField>
    <cacheField name="SUBSECTION CODE" numFmtId="0">
      <sharedItems containsSemiMixedTypes="0" containsString="0" containsNumber="1" containsInteger="1" minValue="0" maxValue="4918"/>
    </cacheField>
    <cacheField name="SUB-SECTION DESCRIPTION" numFmtId="0">
      <sharedItems containsBlank="1" count="352">
        <m/>
        <s v="Compensation Control"/>
        <s v="Applications"/>
        <s v="Data Analytics"/>
        <s v="Performance Management"/>
        <s v="General Accounting"/>
        <s v="Financial Policy"/>
        <s v="Citywide Safety Program"/>
        <s v="Employee Benefits Management"/>
        <s v="Risk Management"/>
        <s v="Worker's Compensation and Police and Fire Disability"/>
        <s v="Cash Management and Disbursements"/>
        <s v="Payroll Systems and Operations"/>
        <s v="Cashiering"/>
        <s v="Reconciliation"/>
        <s v="Tax Administration"/>
        <s v="Tax Enforcement"/>
        <s v="Parking Enforcement"/>
        <s v="Booting"/>
        <s v="Enforcement Administration"/>
        <s v="Field Support"/>
        <s v="Advanced Collections"/>
        <s v="Citation Administration"/>
        <s v="Administration"/>
        <s v="Support Services"/>
        <s v="Financial/Personnel/Payroll Management"/>
        <s v="Customer Services"/>
        <s v="Building Hearings Division"/>
        <s v="Consumer and Environmental Division"/>
        <s v="Municipal Hearings Division"/>
        <s v="Vehicle Hearings Division"/>
        <s v="Corporation Counsel's Office"/>
        <s v="Administrative Services"/>
        <s v="Corporate Torts"/>
        <s v="Torts"/>
        <s v="Corporate Employment Litigation"/>
        <s v="Airport Employment Litigation"/>
        <s v="Corporate Labor"/>
        <s v="Corporate Litigation"/>
        <s v="Corporate Contracts"/>
        <s v="Legal Information"/>
        <s v="Prosecutions"/>
        <s v="Commissioner's Office"/>
        <s v="Finance and Administration"/>
        <s v="Human Resources Board"/>
        <s v="Records Management"/>
        <s v="Technical Programming"/>
        <s v="Employee Development"/>
        <s v="Hiring Classification"/>
        <s v="Employee Processing"/>
        <s v="Labor Relations"/>
        <s v="Strategic Management and Policy"/>
        <s v="Information Technology"/>
        <s v="Finance Operations"/>
        <s v="Legal"/>
        <s v="Design and Construction"/>
        <s v="Shared Administrative Services"/>
        <s v="Goods and Services"/>
        <s v="Professional Services"/>
        <s v="Strategic and Business Operations"/>
        <s v="Contracting Equity"/>
        <s v="Finance and Accounting"/>
        <s v="Contract Management"/>
        <s v="Personnel"/>
        <s v="Payroll"/>
        <s v="Training"/>
        <s v="Performance Systems and Analysis"/>
        <s v="Facilities Area Management Services"/>
        <s v="Custodial Services"/>
        <s v="Building Engineers"/>
        <s v="Security Services"/>
        <s v="Architecture and Engineering"/>
        <s v="Construction Management"/>
        <s v="Trades"/>
        <s v="Relocation"/>
        <s v="Photography Services"/>
        <s v="Printing Services"/>
        <s v="Design Services"/>
        <s v="Lease and Real Estate Portfolio Management"/>
        <s v="Employment Services"/>
        <s v="Finance Administration"/>
        <s v="Finance and Accounts Processing"/>
        <s v="Procurement"/>
        <s v="General Support Services"/>
        <s v="Personnel Administration"/>
        <s v="Human Resources"/>
        <s v="Medical"/>
        <s v="Information Technology  Administration"/>
        <s v="Information Systems"/>
        <s v="Infrastructure"/>
        <s v="Finance and Fiscal Operations"/>
        <s v="Communications and Public Affairs"/>
        <s v="North / Central Regions"/>
        <s v="South / West Regions"/>
        <s v="Special Service Areas (SSA)"/>
        <s v="Local Industry Retention and Small Business Improvement"/>
        <s v="Systems Planning"/>
        <s v="Land Sales and Open Space"/>
        <s v="Historic Preservation"/>
        <s v="Planned Development"/>
        <s v="Zoning Ordinance"/>
        <s v="Permit Reviews"/>
        <s v="Zoning Administration"/>
        <s v="Zoning Board Of Appeals"/>
        <s v="Zoning Data"/>
        <s v="Office of the Chief of Staff"/>
        <s v="Legal Affairs Division"/>
        <s v="Communications Division"/>
        <s v="Labor Relations Division"/>
        <s v="Risk Management Unit"/>
        <s v="Bureau of Internal Affairs"/>
        <s v="Random Drug Section"/>
        <s v="Recruitment"/>
        <s v="Youth Investigations Division"/>
        <s v="Special Investigations Unit"/>
        <s v="Criminal Registration Unit"/>
        <s v="Central Investigations Division"/>
        <s v="Arson Unit"/>
        <s v="Major Accident Investigation Section"/>
        <s v="Financial Crimes Unit"/>
        <s v="Fugitives Section"/>
        <s v="Forensic Services Division"/>
        <s v="Evidence and Recovered Property Section"/>
        <s v="Special Functions Division"/>
        <s v="SWAT"/>
        <s v="Marine / Helicopter Unit"/>
        <s v="Mounted Unit"/>
        <s v="Canine Unit"/>
        <s v="Bomb Squad"/>
        <s v="Traffic Section"/>
        <s v="Intelligence Section"/>
        <s v="Deployment Operations Section"/>
        <s v="Confidential Analytics Section"/>
        <s v="Criminal Network Group"/>
        <s v="Narcotics/Vice/Gang Investigation"/>
        <s v="Gang Intelligence Division"/>
        <s v="Vice Section"/>
        <s v="Asset Forfeiture Section"/>
        <s v="Field Services Section"/>
        <s v="Records Inquiry Section"/>
        <s v="Administrative Support Div"/>
        <s v="Court Section"/>
        <s v="Alternate Response Section"/>
        <s v="Strategic Initiatives Division"/>
        <s v="Compstat Unit"/>
        <s v="Human Resources Division"/>
        <s v="Medical Section"/>
        <s v="Training Division"/>
        <s v="Crisis Intervention Teams"/>
        <s v="Officer Support and Youth Intervention"/>
        <s v="Reform Management Section"/>
        <s v="Audit Section"/>
        <s v="Force Review Unit"/>
        <s v="Research and Development Division"/>
        <s v="Executive Administration"/>
        <s v="General Counsel"/>
        <s v="Media Affairs"/>
        <s v="Operations Non-Emergency Services"/>
        <s v="Traffic Management Authority"/>
        <s v="Office of Fire Commissioner"/>
        <s v="Public Affairs"/>
        <s v="Safety"/>
        <s v="Internal Affairs"/>
        <s v="Legal Affairs"/>
        <s v="Medical Admin Regulatory Compliance"/>
        <s v="Public Education"/>
        <s v="Human Relations"/>
        <s v="Mobile Integrated Health"/>
        <s v="Office of Diversity   Equity and  Inclusion"/>
        <s v="Fire Suppression and Rescue"/>
        <s v="Emergency Medical Services"/>
        <s v="Special Operations"/>
        <s v="Fire Investigations"/>
        <s v="Manpower"/>
        <s v="Support and Logistics-EMS"/>
        <s v="Equipment/Supplies"/>
        <s v="Inspections"/>
        <s v="Office of the Commissioner"/>
        <s v="Finance and Administration Services"/>
        <s v="Freedom of Information"/>
        <s v="Data Processing"/>
        <s v="Vacant Property Management"/>
        <s v="Conservation"/>
        <s v="Strategic Task Force"/>
        <s v="New Construction Inspection"/>
        <s v="Special Inspections Program (PPA)"/>
        <s v="Electrical Code Compliance Inspection"/>
        <s v="Elevator Code Compliance Inspection"/>
        <s v="Mechanical Equipment Inspection"/>
        <s v="Refrigeration Inspections"/>
        <s v="Boiler Inspections"/>
        <s v="Iron Inspections"/>
        <s v="Construction Equipment Inspection"/>
        <s v="Short Forms"/>
        <s v="Management"/>
        <s v="Assistance and Licensing"/>
        <s v="Operations Support"/>
        <s v="Public Way Use"/>
        <s v="Public Vehicle Operations"/>
        <s v="Medallion Licensing"/>
        <s v="Vehicle Inspection"/>
        <s v="Public Passenger Chauffeur Licensing"/>
        <s v="Adjudications"/>
        <s v="Administrative Support"/>
        <s v="Community Outreach"/>
        <s v="Administrative/Personnel Services"/>
        <s v="Payroll Services"/>
        <s v="Accounting Services"/>
        <s v="Contract Services"/>
        <s v="Management Information Systems"/>
        <s v="Supervisory and Clerical"/>
        <s v="Refuse Collection"/>
        <s v="Recycling"/>
        <s v="Winter Operations"/>
        <s v="Graffiti Removal"/>
        <s v="Graffiti Painting"/>
        <s v="Operational Support"/>
        <s v="Training &amp; Safety"/>
        <s v="Tree Trimming"/>
        <s v="Disposal of Non-Parkway Debris"/>
        <s v="Planning"/>
        <s v="Policy"/>
        <s v="Engagement"/>
        <s v="Clean Transportation"/>
        <s v="Contract Closeouts"/>
        <s v="Records and Estimates"/>
        <s v="Auditing"/>
        <s v="Order Board"/>
        <s v="Accounting"/>
        <s v="Accounts Payable"/>
        <s v="Financial Management"/>
        <s v="Sign Management - Administration"/>
        <s v="Livable Streets"/>
        <s v="Traffic Design"/>
        <s v="Complete  Streets"/>
        <s v="Electrical Administration"/>
        <s v="Street Light Maintenance"/>
        <s v="Electrical Construction Support"/>
        <s v="Asset Management"/>
        <s v="Electrical Construction Support - Reimbursable"/>
        <s v="Bridges"/>
        <s v="Enterprise Auditing and Accounting"/>
        <s v="Billing Exceptions and Escalation"/>
        <s v="Water Torts"/>
        <s v="Water Employment Litigation"/>
        <s v="Water Labor"/>
        <s v="Plumbing Code Compliance Inspection"/>
        <s v="Water Design and Construction Services"/>
        <s v="Mayfair Pumping Station"/>
        <s v="Agency Management"/>
        <s v="Tunnels and Cribs"/>
        <s v="Central Park Pumping Station"/>
        <s v="Roseland Pumping Station"/>
        <s v="Western Ave Pumping Station"/>
        <s v="Southwest Pumping Station"/>
        <s v="Springfield Pumping Station"/>
        <s v="Lexington Pumping Station"/>
        <s v="Chicago Ave PS &amp; Roving Crew"/>
        <s v="Water Agency Management"/>
        <s v="Water Equipment Coordination"/>
        <s v="Water Communications"/>
        <s v="Water System Installation and Maintenance"/>
        <s v="Water Inspection Services"/>
        <s v="Enterprise Procurement"/>
        <s v="Vacant Lot Cleaning"/>
        <s v="Program Support"/>
        <s v="Executive Direction"/>
        <s v="Abandoned Tows"/>
        <s v="Auto Pounds/Management"/>
        <s v="Auto Pounds Operations"/>
        <s v="Vehicle Impoundment Program"/>
        <s v="Highways Design"/>
        <s v="Contract Engineering"/>
        <s v="Construction Compliance"/>
        <s v="Quality Assurance Division"/>
        <s v="Permitting"/>
        <s v="Underground Construction"/>
        <s v="Sign Management - Operations"/>
        <s v="Traffic Signal Maintenance"/>
        <s v="MTD Allocations"/>
        <s v="Concrete"/>
        <s v="Pothole and Pavement Maintenance"/>
        <s v="Pavement Marking"/>
        <s v="Bridge Maintenance"/>
        <s v="Sewer Torts"/>
        <s v="Sewer Design and Construction Services"/>
        <s v="Sewer Agency Management"/>
        <s v="Sewer Communications"/>
        <s v="Sewer System Installation and Maintenance"/>
        <s v="Sewer Inspection Services"/>
        <s v="Interoperable Communications"/>
        <s v="Police Dispatch"/>
        <s v="Fire Dispatch"/>
        <s v="Behavioral Health Dispatch"/>
        <s v="Investigations"/>
        <s v="Planning and Preparedness"/>
        <s v="Operations Center"/>
        <s v="Aviation Litigation"/>
        <s v="Custodial/Labor Services"/>
        <s v="Operations"/>
        <s v="Security"/>
        <s v="ID Badging"/>
        <s v="Communications Center"/>
        <s v="Skilled Trades"/>
        <s v="Airport Labor"/>
        <s v="Bomb Squad North - O'Hare"/>
        <s v="Payroll Processing"/>
        <s v="Inter-Governmental Affairs"/>
        <s v="External Communications"/>
        <s v="Concession Revenues"/>
        <s v="Contracts"/>
        <s v="Warehouse Operations"/>
        <s v="Departmental Finance"/>
        <s v="Revenue Management"/>
        <s v="MIS - Departmental"/>
        <s v="Capital Finance"/>
        <s v="Payments"/>
        <s v="Workforce Development"/>
        <s v="Compliance"/>
        <s v="Air Service Development/Marketing"/>
        <s v="Customer Experience"/>
        <s v="Cargo"/>
        <s v="Legal/Government Affairs"/>
        <s v="Airfield Operations"/>
        <s v="Vehicle Operations"/>
        <s v="Administration Facilities"/>
        <s v="HVAC Plant"/>
        <s v="Security Operations"/>
        <s v="Emergency Management"/>
        <s v="Landside Operations"/>
        <s v="Terminal Operations"/>
        <s v="Construction"/>
        <s v="Airport Design"/>
        <s v="Planning and  Environment"/>
        <s v="Noise Mitigation"/>
        <s v="Environmental Management"/>
        <s v="GIS &amp; Utilities"/>
        <s v="Airport Planning"/>
        <s v="Housing Finance"/>
        <s v="Underwriting"/>
        <s v="Adminstration  Operations  and Policy"/>
        <s v="Monitoring and Compliance"/>
        <s v="Planning and Design"/>
        <s v="Development Land Sales"/>
        <s v="Professional Counseling Division"/>
        <s v="Neighborhood Development"/>
        <s v="PSPD and Transportation Accounting"/>
        <s v="Systems Audit and Schedules"/>
        <s v="DFSS Accounting"/>
        <s v="Community Development Accounting"/>
        <s v="Health Accounting"/>
        <s v="Voucher Audit"/>
      </sharedItems>
    </cacheField>
    <cacheField name="SCHEDULE / GRADE" numFmtId="0">
      <sharedItems/>
    </cacheField>
    <cacheField name="BARGAINING UNIT" numFmtId="0">
      <sharedItems containsSemiMixedTypes="0" containsString="0" containsNumber="1" containsInteger="1" minValue="0" maxValue="99"/>
    </cacheField>
    <cacheField name="TITLE CODE" numFmtId="0">
      <sharedItems containsMixedTypes="1" containsNumber="1" containsInteger="1" minValue="12" maxValue="6000000000"/>
    </cacheField>
    <cacheField name="TITLE DESCRIPTION" numFmtId="0">
      <sharedItems count="1267">
        <s v="Mayor"/>
        <s v="Director - Mayor's Office"/>
        <s v="Senior Project Manager - Mayor's Office"/>
        <s v="Senior Advisor to the Mayor"/>
        <s v="Administrative Assistant"/>
        <s v="Project Manager - Mayor's Office"/>
        <s v="Advance"/>
        <s v="Assistant Director - Mayor's Office"/>
        <s v="Chief of Staff"/>
        <s v="Deputy Chief of Staff"/>
        <s v="First Deputy Chief of Staff"/>
        <s v="Assistant Deputy Chief of Staff"/>
        <s v="Analyst - Mayor's Office"/>
        <s v="Communications Director"/>
        <s v="Assistant Press Secretary"/>
        <s v="Press Secretary"/>
        <s v="Photographer"/>
        <s v="Photographer and Creative Director"/>
        <s v="Press Aide II"/>
        <s v="Press Aide"/>
        <s v="Chief Financial Officer"/>
        <s v="Assistant Deputy Mayor"/>
        <s v="Legislative Assistant"/>
        <s v="Senior Legislative Asst"/>
        <s v="Deputy Mayor"/>
        <s v="Senior Analyst - Mayor's Office"/>
        <s v="Inspector General"/>
        <s v="Senior Equity Officer"/>
        <s v="Human Resources Associate - IG"/>
        <s v="Manager of Human Resources"/>
        <s v="Executive Administrative Assistant II"/>
        <s v="Public Relations Coordinator"/>
        <s v="Information Coordinator"/>
        <s v="Director of Public Affairs"/>
        <s v="Administrative Assistant III - Excluded"/>
        <s v="Manager of Finance - IG"/>
        <s v="Finance Associate"/>
        <s v="Schedule Salary Adjustments"/>
        <s v="General Counsel"/>
        <s v="Case Analyst"/>
        <s v="Attorney - IG"/>
        <s v="Assistant Inspector General"/>
        <s v="Complaint Intake Specialist - IGO"/>
        <s v="Chief Assistant Inspector General"/>
        <s v="Associate General Counsel - IG"/>
        <s v="Deputy Inspector General"/>
        <s v="Chief Investigator - IG"/>
        <s v="Investigator III - IG"/>
        <s v="Investigator II - IG"/>
        <s v="Investigator I - IG"/>
        <s v="Senior Performance Analyst"/>
        <s v="Performance Analyst"/>
        <s v="Investigative Analyst"/>
        <s v="Chief Investigative Analyst"/>
        <s v="Chief Performance Analyst"/>
        <s v="Information Analyst - IG"/>
        <s v="Senior Information Analyst - IG"/>
        <s v="Senior Forensic Data Analyst"/>
        <s v="Chief Forensic Data Analyst"/>
        <s v="Chief Data and Information Analyst"/>
        <s v="Web Developer/Administrator (OIG)"/>
        <s v="IT Security Analyst-IG"/>
        <s v="Data Services Administrator-Excluded"/>
        <s v="Technical Support Administrator - IG"/>
        <s v="Forensic Data Analyst"/>
        <s v="Budget Director"/>
        <s v="First Deputy Budget Director"/>
        <s v="Managing Deputy Budget Director"/>
        <s v="Administrative Manager"/>
        <s v="Deputy Budget Director"/>
        <s v="Assistant Budget Director"/>
        <s v="Principal Budget Analyst"/>
        <s v="Senior Budget Analyst"/>
        <s v="Budget Analyst"/>
        <s v="Financial Analyst"/>
        <s v="Public Relations Rep III - Excluded"/>
        <s v="Deputy Director"/>
        <s v="Compensation Specialist"/>
        <s v="Senior Programmer Analyst - Excluded"/>
        <s v="Principal Operations Analyst"/>
        <s v="Chief Operations Analyst"/>
        <s v="Deputy Commissioner"/>
        <s v="Senior Policy Analyst"/>
        <s v="Administrative Services Officer II"/>
        <s v="FOIA Officer"/>
        <s v="Senior Project Manager - DTI"/>
        <s v="Director of Strategic Partnerships"/>
        <s v="Chief Information Officer"/>
        <s v="Senior Administrative Assistant"/>
        <s v="Director of Administrative Services"/>
        <s v="Staff Assistant"/>
        <s v="Finance Officer"/>
        <s v="Director of Finance"/>
        <s v="Accountant"/>
        <s v="Accounting Technician"/>
        <s v="Chief Contract Expediter"/>
        <s v="Contract Review Specialist II"/>
        <s v="eDiscovery Specialist"/>
        <s v="Head Of Planning"/>
        <s v="Enterprise Architecture Lead"/>
        <s v="Vendor/License Specialist"/>
        <s v="Vendor/License Specialist Lead"/>
        <s v="Business Analyst"/>
        <s v="Governance Manager"/>
        <s v="Organizational Change Management Lead"/>
        <s v="Strategic Planning Manager"/>
        <s v="Solutions Architect"/>
        <s v="Enterprise Architect"/>
        <s v="Contracts Coordinator"/>
        <s v="Principal Engineer"/>
        <s v="Principal Data Analyst"/>
        <s v="Senior Data Analyst"/>
        <s v="Project Manager - DTI"/>
        <s v="Web Developer"/>
        <s v="Project Management Office Lead"/>
        <s v="Digital Accessibility Specialist"/>
        <s v="UX Designer"/>
        <s v="Application Development Lead"/>
        <s v="Head Of Delivery"/>
        <s v="Service Owner"/>
        <s v="Data Services Lead"/>
        <s v="Digital and Web Services Lead"/>
        <s v="Quality Assurance Lead"/>
        <s v="Business Relationship Services Lead"/>
        <s v="Data Analytics Lead"/>
        <s v="User Experience and Accessibility Lead"/>
        <s v="Content Manager Lead"/>
        <s v="Web Development Lead"/>
        <s v="Data Science Lead"/>
        <s v="Data Portal Lead"/>
        <s v="Web Designer"/>
        <s v="Content Manager"/>
        <s v="Application Delivery Manager"/>
        <s v="Data Architect"/>
        <s v="Business Relationship Manager"/>
        <s v="Project Manager"/>
        <s v="Principal Database Administrator"/>
        <s v="Principal Support Technician"/>
        <s v="Senior Infrastructure Administrator"/>
        <s v="Senior Cloud Engineer"/>
        <s v="Head Of Support"/>
        <s v="Infrastructure and Operations Lead"/>
        <s v="Network and Telecom Lead"/>
        <s v="Database Services Lead"/>
        <s v="Service Desk Lead"/>
        <s v="Application Support Lead"/>
        <s v="Cloud/Data Center Lead"/>
        <s v="End User Computing Lead"/>
        <s v="Network Administrator"/>
        <s v="Application/Systems Analyst"/>
        <s v="Infrastructure Administrator"/>
        <s v="Senior Cloud Security Engineer"/>
        <s v="Senior Security Engineer"/>
        <s v="Senior Security Analyst"/>
        <s v="Chief Information Security Officer"/>
        <s v="Information Security Lead"/>
        <s v="Alderman - 50th Ward"/>
        <s v="Alderman - 49th Ward"/>
        <s v="Alderman - 48th Ward"/>
        <s v="Alderman - 47th Ward"/>
        <s v="Alderman - 46th Ward"/>
        <s v="Alderman - 45th Ward"/>
        <s v="Alderman - 44th Ward"/>
        <s v="Alderman - 43rd Ward"/>
        <s v="Alderman - 42nd Ward"/>
        <s v="Alderman - 41st Ward"/>
        <s v="Alderman - 40th Ward"/>
        <s v="Alderman - 39th Ward"/>
        <s v="Alderman - 38th Ward"/>
        <s v="Alderman - 37th Ward"/>
        <s v="Alderman - 36th Ward"/>
        <s v="Alderman - 35th Ward"/>
        <s v="Alderman - 34th Ward"/>
        <s v="Alderman - 33rd Ward"/>
        <s v="Alderman - 32nd Ward"/>
        <s v="Alderman - 31st Ward"/>
        <s v="Alderman - 30th Ward"/>
        <s v="Alderman - 29th Ward"/>
        <s v="Alderman - 28th Ward"/>
        <s v="Alderman - 27th Ward"/>
        <s v="Alderman - 26th Ward"/>
        <s v="Alderman - 25th Ward"/>
        <s v="Alderman - 24th Ward"/>
        <s v="Alderman - 23rd Ward"/>
        <s v="Alderman - 22nd Ward"/>
        <s v="Alderman - 21st Ward"/>
        <s v="Alderman - 20th Ward"/>
        <s v="Alderman - 19th Ward"/>
        <s v="Alderman - 18th Ward"/>
        <s v="Alderman - 17th Ward"/>
        <s v="Alderman - 16th Ward"/>
        <s v="Alderman - 15th Ward"/>
        <s v="Alderman - 14th Ward"/>
        <s v="Alderman - 13th Ward"/>
        <s v="Alderman - 12th Ward"/>
        <s v="Alderman - 11th Ward"/>
        <s v="Alderman - 10th Ward"/>
        <s v="Alderman - 9th Ward"/>
        <s v="Alderman - 8th Ward"/>
        <s v="Alderman - 7th Ward"/>
        <s v="Alderman - 6th Ward"/>
        <s v="Alderman - 5th Ward"/>
        <s v="Alderman - 4th Ward"/>
        <s v="Alderman - 3rd Ward"/>
        <s v="Alderman - 2nd Ward"/>
        <s v="Alderman - 1st Ward"/>
        <s v="Legislative Aide"/>
        <s v="Assistant to the Alderman"/>
        <s v="Staff Assistant to the Alderman"/>
        <s v="Sergeant at Arms"/>
        <s v="Assistant Sergeant-At-Arms"/>
        <s v="Assistant Council Committee Secretary"/>
        <s v="Legislative Budget Analyst"/>
        <s v="Deputy Administrator - COFA"/>
        <s v="Chief Administrative Officer"/>
        <s v="Commissioner of Housing"/>
        <s v="Managing Deputy Commissioner"/>
        <s v="Housing Development Coordinator"/>
        <s v="Senior Data Base Analyst"/>
        <s v="Staff Assistant - Excluded"/>
        <s v="Assistant Commissioner"/>
        <s v="Loan Processing Officer"/>
        <s v="Project Coordinator"/>
        <s v="Financial Planning Analyst - Excluded"/>
        <s v="City Clerk"/>
        <s v="First Deputy City Clerk"/>
        <s v="Project Coordinator-Excluded"/>
        <s v="Administrative Services Officer I"/>
        <s v="Administrative Supervisor-Excluded"/>
        <s v="Proofreader - City Clerk"/>
        <s v="Index Editor"/>
        <s v="Editorial Assistant"/>
        <s v="Reprographics Coordinator"/>
        <s v="Assistant Managing Editor Council Journal"/>
        <s v="Managing Editor Council Journal"/>
        <s v="Deputy Managing Editor Council Journal"/>
        <s v="Archival Specialist"/>
        <s v="Assistant Director"/>
        <s v="City Comptroller"/>
        <s v="First Deputy Director"/>
        <s v="Director of Internal Audit"/>
        <s v="Deputy Comptroller"/>
        <s v="Senior Programmer/Analyst"/>
        <s v="Assistant Director of Information Systems"/>
        <s v="Auditor III"/>
        <s v="Lead Accountant"/>
        <s v="Chief Voucher Expediter"/>
        <s v="Financial Officer"/>
        <s v="Labor Relations Supervisor"/>
        <s v="Managing Deputy Comptroller"/>
        <s v="Director of Accounting"/>
        <s v="Supervisor of Accounting"/>
        <s v="Assistant Comptroller"/>
        <s v="Projects Administrator"/>
        <s v="Senior Fiscal Policy Analyst"/>
        <s v="Environmental Health and Safety Coordinator"/>
        <s v="Director of Environmental Health and Safety Compliance"/>
        <s v="Assistant Benefits Manager"/>
        <s v="Benefits Specialist"/>
        <s v="Benefits Claims Supervisor"/>
        <s v="Manager of Audit and Finance"/>
        <s v="Senior Financial Analyst"/>
        <s v="Risk Manager"/>
        <s v="Senior Risk Analyst"/>
        <s v="Risk Analyst"/>
        <s v="Claims Manager"/>
        <s v="Director of Workers Compensation"/>
        <s v="Worker's Compensation Claims Coordinator"/>
        <s v="Operations Analyst"/>
        <s v="Senior Help Desk Technician"/>
        <s v="Principal Data Base Analyst"/>
        <s v="Principal Programmer/Analyst"/>
        <s v="Auditor II"/>
        <s v="Payroll Administrator"/>
        <s v="Assistant Payroll Administrator"/>
        <s v="Managing Deputy Director"/>
        <s v="Assistant to the Director"/>
        <s v="Supervisor of Payment Center"/>
        <s v="Coordinator of Payment Services"/>
        <s v="Payment Services Representative"/>
        <s v="Auditor I"/>
        <s v="Supervisor of Auditing"/>
        <s v="Auditor IV"/>
        <s v="Manager of Auditing"/>
        <s v="Parking Enforcement Aide"/>
        <s v="Field Supervisor I - Parking Enforcement"/>
        <s v="Field Supervisor II - Parking Enforcement"/>
        <s v="Dispatch Clerk - in Charge"/>
        <s v="Dispatch Clerk"/>
        <s v="Booter - Parking"/>
        <s v="Supervising Booter - Parking"/>
        <s v="Contract Wage Increment - Prevailing Rate"/>
        <s v="Supervisor of Booting Operations"/>
        <s v="Supervising Investigator"/>
        <s v="Parking Investigator"/>
        <s v="Data Services Administrator"/>
        <s v="Director of Administration II"/>
        <s v="Manager of Parking"/>
        <s v="Laborer - Parking Operations"/>
        <s v="Senior Public Information Officer"/>
        <s v="Collections Representative"/>
        <s v="Assistant Director - Finance"/>
        <s v="Administrative Assistant II - Excluded"/>
        <s v="Manager of Revenue Collections"/>
        <s v="Manager of Compliance Analysis"/>
        <s v="Traffic Enforcement Technician"/>
        <s v="Supervising Traffic Enforcement Technician"/>
        <s v="Customer Services Supervisor"/>
        <s v="Program Director"/>
        <s v="Assistant Manager of Collections"/>
        <s v="City Treasurer"/>
        <s v="Assistant to the City Treasurer"/>
        <s v="Assistant City Treasurer"/>
        <s v="Portfolio Manager"/>
        <s v="Deputy City Treasurer"/>
        <s v="First Deputy City Treasurer"/>
        <s v="Director of Administrative Hearings"/>
        <s v="Deputy Director of Administrative Adjudication"/>
        <s v="Human Resources Business Partner"/>
        <s v="Manager of Administrative Adjudication"/>
        <s v="Senior Administrative Law Officer"/>
        <s v="Senior Hearing Officer"/>
        <s v="Corporation Counsel"/>
        <s v="Director of News Affairs"/>
        <s v="Administrative Assistant to Deputy Corporation Counsel"/>
        <s v="First Assistant Corporation Counsel"/>
        <s v="Managing Deputy Corporation Counsel"/>
        <s v="Director of Attorney Recruitment and Professional Development - Law"/>
        <s v="Deputy Corporation Counsel"/>
        <s v="Administrative Services Officer II - Excluded"/>
        <s v="Chief Methods Analyst"/>
        <s v="Programmer/Analyst-Excluded"/>
        <s v="Director of Information Systems"/>
        <s v="Director of Personnel Policies and Utilization"/>
        <s v="Finance Officer - Excluded"/>
        <s v="Assistant Corporation Counsel III"/>
        <s v="Chief Assistant Corporation Counsel"/>
        <s v="Assistant Corporation Counsel Supervisor"/>
        <s v="Paralegal II"/>
        <s v="Assistant Corporation Counsel Senior"/>
        <s v="Assistant Corporation Counsel I"/>
        <s v="Supervising Paralegal"/>
        <s v="Superv Process Server"/>
        <s v="Process Server"/>
        <s v="Senior Office Assistant"/>
        <s v="Claims Investigator"/>
        <s v="Assistant Corporation Counsel II"/>
        <s v="Paralegal II - Labor"/>
        <s v="City Prosecutor"/>
        <s v="Legal Secretary"/>
        <s v="Law Clerk"/>
        <s v="Senior Legal Investigator"/>
        <s v="Commissioner of Human Resources"/>
        <s v="First Deputy Commissioner"/>
        <s v="Employee Assistance Program Counselor"/>
        <s v="Policy Analyst"/>
        <s v="Disability Officer"/>
        <s v="Equal Employment Opportunity Officer"/>
        <s v="Compliance Officer"/>
        <s v="Director of Training and Development"/>
        <s v="Training and Development Analyst"/>
        <s v="EEO Investigator"/>
        <s v="Associate Disability Officer"/>
        <s v="HR Generalist - DHR"/>
        <s v="HR Records Admin Director"/>
        <s v="HR Record Specialist"/>
        <s v="Clerk III - Excluded"/>
        <s v="Senior Testing and Assessment Specialist"/>
        <s v="Testing/Assessment Specialist"/>
        <s v="Testing Administrator"/>
        <s v="Director of Assessment &amp; Selection Methods"/>
        <s v="Classification and Compensation Analyst"/>
        <s v="Senior Classification and Compensation Analyst"/>
        <s v="Director of Classification and Compensation"/>
        <s v="Associate Classification and Compensation Analyst"/>
        <s v="Director of Policy"/>
        <s v="Recruiter"/>
        <s v="Onboarding Specialist"/>
        <s v="Recruiting Coordinator"/>
        <s v="Recruitment Manager"/>
        <s v="Chief Programmer/Analyst Excluded"/>
        <s v="Director of Labor Relations"/>
        <s v="Senior Labor Relations Specialist"/>
        <s v="Assistant Director of Labor Relations"/>
        <s v="Chief Procurement Officer"/>
        <s v="First Deputy Procurement Officer"/>
        <s v="Deputy Procurement Officer"/>
        <s v="Assistant Procurement Officer"/>
        <s v="Director of Human Resources"/>
        <s v="Assistant to the Commissioner"/>
        <s v="Auditor IV - Excluded"/>
        <s v="Stores Laborer"/>
        <s v="Foreman Of Pipe / Yards"/>
        <s v="Managing Deputy Procurement Officer"/>
        <s v="Attorney-Excluded"/>
        <s v="Senior Procurement Specialist"/>
        <s v="Procurement Specialist"/>
        <s v="Deputy Procurement Officer - Contract Compliance Officer"/>
        <s v="Procurement Specification Writer"/>
        <s v="Procurement Research Analyst"/>
        <s v="Chief Analytics Analyst"/>
        <s v="Manager of Certification and Compliance"/>
        <s v="Senior Certification / Compliance Officer"/>
        <s v="Certification / Compliance Officer"/>
        <s v="Commissioner of Fleet and Facility Management"/>
        <s v="Contracts Administrator"/>
        <s v="Health and Safety Analyst"/>
        <s v="Clerk IV (Timekeeper)"/>
        <s v="Training Officer"/>
        <s v="Training Director"/>
        <s v="Director of Facilities Management"/>
        <s v="Manager of Buildings Services"/>
        <s v="Custodial Worker"/>
        <s v="Chief Operating Engineer"/>
        <s v="Assistant Chief Operating Engineer"/>
        <s v="Operating Engineer - Group A"/>
        <s v="Supervising Watchman"/>
        <s v="Watchman"/>
        <s v="Supervising Watchman - Agreement"/>
        <s v="Director of Security"/>
        <s v="Coordinator of Security and Fire Safety"/>
        <s v="Coordinating Engineer I"/>
        <s v="Coordinating Architect"/>
        <s v="Project Director"/>
        <s v="Laborer"/>
        <s v="Foreman of Laborers"/>
        <s v="Foreman of Machinists"/>
        <s v="Machinist"/>
        <s v="Electronics Technician"/>
        <s v="General Foreman of Electrical Mechanics"/>
        <s v="Foreman of Electrical Mechanics"/>
        <s v="Electrical Mechanic"/>
        <s v="Foreman of Sheet Metal Workers"/>
        <s v="Sheet Metal Worker"/>
        <s v="Architectural Iron Worker"/>
        <s v="Foreman of Steamfitters"/>
        <s v="Steamfitter"/>
        <s v="Sprinkler Fitter"/>
        <s v="Foreman of Plumbers"/>
        <s v="Plumber"/>
        <s v="Foreman of Painters"/>
        <s v="Painter"/>
        <s v="General Foreman of General Trades"/>
        <s v="Asbestos Worker/ Pipe Insulator"/>
        <s v="Bricklayer"/>
        <s v="Glazier"/>
        <s v="Foreman of Carpenters"/>
        <s v="Carpenter"/>
        <s v="Window Washer"/>
        <s v="Motor Truck Driver"/>
        <s v="Unit Assistant"/>
        <s v="Head Storekeeper"/>
        <s v="Storekeeper"/>
        <s v="Director of Logistics and Supply"/>
        <s v="Supervising Clerk - Excluded"/>
        <s v="Digital Asset Coordinator"/>
        <s v="Principal Photographer"/>
        <s v="Coordinator of Printing Services - Graphics"/>
        <s v="Supervising Photographic Technician"/>
        <s v="Printer"/>
        <s v="Prepress Technician"/>
        <s v="Lead Pressman"/>
        <s v="Offset Press Operator"/>
        <s v="Manager of Graphics and Reproduction Center"/>
        <s v="Reprographics Technician III"/>
        <s v="Reprographics Technician II"/>
        <s v="Graphic Artist III"/>
        <s v="Creative Director"/>
        <s v="Environmental Engineer II"/>
        <s v="Environmental Engineer III"/>
        <s v="Safety Administrator"/>
        <s v="Leasing Agent"/>
        <s v="Senior Automotive Equipment Analyst"/>
        <s v="Manager - Fleet Services and Automotive Procurement"/>
        <s v="Vehicle Registration Coordinator"/>
        <s v="Manager of Fleet Services"/>
        <s v="Fuel System Service Technician"/>
        <s v="Fleet Services Supervisor"/>
        <s v="Fleet Services Assistant"/>
        <s v="Accident Adjuster"/>
        <s v="Manager of Vehicle Adjustments"/>
        <s v="Warranty Clerk"/>
        <s v="Hoisting Engineer - Mechanic"/>
        <s v="Foreman of Hoisting Engineer - Mechanics"/>
        <s v="Motor Truck Driver - Tire Repair"/>
        <s v="Foreman of Motor Truck Drivers"/>
        <s v="Service Writer"/>
        <s v="Director of Maintenance Operations"/>
        <s v="Manager - Vehicle Maintenance"/>
        <s v="Foreman of Machinists - Automotive"/>
        <s v="Machinist - Automotive"/>
        <s v="Foreman of Blacksmiths"/>
        <s v="Blacksmith"/>
        <s v="Foreman of Electrical Mechanics (Auto)"/>
        <s v="Electrical Mechanic - Automotive"/>
        <s v="Automotive Painter"/>
        <s v="Chief Dispatcher - Excluded"/>
        <s v="Equipment Dispatcher - in Charge"/>
        <s v="Equipment Dispatcher"/>
        <s v="Service Writer - Police Motor Maintenance"/>
        <s v="ADA Compliance Officer - Board of Elections"/>
        <s v="Division Manager - Board of Elections"/>
        <s v="Assistant Executive Director - Board of Elections"/>
        <s v="Administrative Assistant to the Commissioners"/>
        <s v="Contracts Coordinator - Board of Elections"/>
        <s v="Senior Clerk - Board of Elections"/>
        <s v="Principal Clerk - Board of Elections"/>
        <s v="Clerk - Board of Elections"/>
        <s v="Assistant to the Executive Director"/>
        <s v="Programmer-Board of Elections"/>
        <s v="Software Development Coordinator - Board of Elections"/>
        <s v="Assistant Manager - Board of Elections"/>
        <s v="Computer Applications Analyst II - Board of Elections"/>
        <s v="Computer Applications Analyst I - Board of Elections"/>
        <s v="Polling Place Investigator III"/>
        <s v="Polling Place Investigator II"/>
        <s v="Supervisor of Polling - Board of Elections"/>
        <s v="Senior Supervisor - Board of Elections"/>
        <s v="Assistant Supervisor of Redistricting - Board of Elections"/>
        <s v="Election Equipment and Supply Specialist IV"/>
        <s v="Election Equipment and Supply Specialist III"/>
        <s v="Election Equipment and Supply Specialist II"/>
        <s v="Election Equipment and Supply Specialist I"/>
        <s v="Warehouse Supervisor - Board of Elections"/>
        <s v="Community Services Representative - Board of Elections"/>
        <s v="Supervisor of Mailroom Operations"/>
        <s v="Supervisor of Registration - Board of Elections"/>
        <s v="Commissioner of Health"/>
        <s v="Director of Planning  Research and Development"/>
        <s v="Attorney"/>
        <s v="Administrative Services Officer I - Excluded"/>
        <s v="Program Analyst"/>
        <s v="Epidemiologist II"/>
        <s v="Epidemiologist IV"/>
        <s v="Epidemiologist III"/>
        <s v="Director of Epidemiology"/>
        <s v="Data Base Analyst"/>
        <s v="Public Health Administrator III"/>
        <s v="Dental Assistant"/>
        <s v="Medical Director"/>
        <s v="Dental Hygienist"/>
        <s v="Director of Program Operations"/>
        <s v="Coordinating Planner"/>
        <s v="Public Health Nurse II"/>
        <s v="Director / Community Liaison"/>
        <s v="Public Health Administrator II"/>
        <s v="Community Resource Navigator"/>
        <s v="Senior Emergency Management Coordinator"/>
        <s v="Nurse Practitioner"/>
        <s v="Public Health Nurse I"/>
        <s v="Program Coordinator"/>
        <s v="Communicable Disease Control Investigator II"/>
        <s v="Community Intervention Specialist"/>
        <s v="Director of Crisis Services"/>
        <s v="Mental Health Crisis Clinician"/>
        <s v="Associate Mental Health Crisis Clinician"/>
        <s v="EMS Supervisor"/>
        <s v="Emergency Medical Technician"/>
        <s v="Community Outreach Coordinator"/>
        <s v="Psychiatric Nurse Practitioner"/>
        <s v="Supervising Public Health Nurse"/>
        <s v="Behavioral Health Assistant"/>
        <s v="Director Mental Health Center"/>
        <s v="Clinical Therapist III"/>
        <s v="Clinical Therapist II"/>
        <s v="Director of Public Health Operations"/>
        <s v="Psychiatrist"/>
        <s v="Health Code Enforcement Inspection Analyst"/>
        <s v="Director of Food Safety and Regulatory Services"/>
        <s v="Manager of Food Safety and Regulatory Services"/>
        <s v="Supervising Public Health Inspector"/>
        <s v="Sanitarian II"/>
        <s v="Supervising Building/Construction Inspector"/>
        <s v="Building/Construction Inspector"/>
        <s v="Environmental Investigator"/>
        <s v="Director of Environmental Inspections"/>
        <s v="Senior Environmental Inspector"/>
        <s v="Environmental Engineer I"/>
        <s v="Supervising Environmental Engineer"/>
        <s v="Supervising Physician"/>
        <s v="Certified Medical Assistant"/>
        <s v="Laboratory Technician"/>
        <s v="Manager of Laboratory Services"/>
        <s v="Chairperson - Commission on Human Relations"/>
        <s v="Hate Crime Victim Advocate"/>
        <s v="Human Relations Investigator II"/>
        <s v="Director of Intergroup Relations and Outreach"/>
        <s v="Director of Human Rights Compliance"/>
        <s v="Commissioner of Mayor's Office for People with Disabilities"/>
        <s v="Disability Specialist II"/>
        <s v="American Sign Language Interpreter"/>
        <s v="Career Placement Counselor"/>
        <s v="Architect IV"/>
        <s v="Accessibility Inspector"/>
        <s v="Commissioner of Family and Support Services"/>
        <s v="Public Relations Representative III"/>
        <s v="Supervisor of Personnel Administration"/>
        <s v="Administrative Supervisor"/>
        <s v="Coordinator of Special Projects"/>
        <s v="Youth Services Coordinator"/>
        <s v="Manager of Family Support Programs"/>
        <s v="Community Intervention Specialist-Spanish"/>
        <s v="Director of Homeless Prevention - Policy and Planning"/>
        <s v="Supervisor of Family Support Programs"/>
        <s v="Executive Director - Office of Public Safety Administration"/>
        <s v="Fiscal Administrator"/>
        <s v="Assistant Director of Finance"/>
        <s v="Manager of Police Payrolls"/>
        <s v="Timekeeper - CPD"/>
        <s v="Field Payroll Auditor"/>
        <s v="Property Custodian"/>
        <s v="Coordinator - Inventory Management and Property Control"/>
        <s v="Manager of Human Resources-Public Safety"/>
        <s v="Leave of Absence Administrator"/>
        <s v="Investigator"/>
        <s v="Medical Services Coordinator"/>
        <s v="Occupational Health Nurse"/>
        <s v="Health Information Specialist"/>
        <s v="Chief Medical Director-Public Safety"/>
        <s v="Inquiry Aide III"/>
        <s v="Medical Administrator"/>
        <s v="Programmer/Analyst"/>
        <s v="Senior Telecommunications Specialist"/>
        <s v="Commissioner of Planning and Development"/>
        <s v="Senior Operations Analyst"/>
        <s v="Data Scientist"/>
        <s v="Employability Review Specialist III"/>
        <s v="City Planner II"/>
        <s v="Supervising Planner"/>
        <s v="City Planner V"/>
        <s v="Urban Designer"/>
        <s v="Coordinator of Economic Development I - Planning and Development"/>
        <s v="Coordinator of Economic Development II - Planning and Development"/>
        <s v="Director of Land Acquisition and Disposition"/>
        <s v="Senior Land Disposition Officer"/>
        <s v="Architect II"/>
        <s v="Senior Zoning Plan Examiner"/>
        <s v="Zoning Administrator"/>
        <s v="Assistant Zoning Administrator"/>
        <s v="Executive Administrative Assistant I"/>
        <s v="Chief Landscape Plan Examiner"/>
        <s v="Senior Landscape Plan Examiner"/>
        <s v="Zoning Investigator"/>
        <s v="Chief Zoning Plan Examiner"/>
        <s v="Manager - Zoning Boards of Appeals"/>
        <s v="Executive Director - Police Board"/>
        <s v="Superintendent of Police"/>
        <s v="Commander"/>
        <s v="Superintendent's Chief of Staff"/>
        <s v="Coordinator of Research and Evaluation"/>
        <s v="Assistant General Counsel"/>
        <s v="Sergeant"/>
        <s v="Police Legal Officer II"/>
        <s v="Information/Media Retrieval Specialist"/>
        <s v="Assistant Director of News Affairs"/>
        <s v="Police Officer"/>
        <s v="Photographic Specialist"/>
        <s v="Digital Media Specialist-CPD"/>
        <s v="Risk Manager - CPD"/>
        <s v="Deputy Chief"/>
        <s v="Chief"/>
        <s v="Police Agent"/>
        <s v="Lieutenant"/>
        <s v="Police Officer - Assigned as Detective"/>
        <s v="Investigator-Internal Affairs"/>
        <s v="Captain"/>
        <s v="Director of CAPS"/>
        <s v="Community Organizer - CAPS"/>
        <s v="Victim Specialist"/>
        <s v="Language Access Coordinator"/>
        <s v="Area Coordinator - CAPS"/>
        <s v="Information Service Coordinator"/>
        <s v="First Deputy Superintendent"/>
        <s v="Police Officer - Assigned as Security Specialist"/>
        <s v="Criminal Intelligence Analyst"/>
        <s v="Police Officer - Assigned as Training Officer"/>
        <s v="Detention Aide"/>
        <s v="Police Admin Clerk"/>
        <s v="Police Cadet"/>
        <s v="Office Assistant"/>
        <s v="Police Officer Assigned as SWAT"/>
        <s v="Crimes Detection Specialist"/>
        <s v="Police Officer - Assigned as Traffic Specialist"/>
        <s v="Criminalist III"/>
        <s v="Forensic Firearm / Toolmark Examiner"/>
        <s v="Forensic Laboratory Director"/>
        <s v="Police Officer - Assigned as Evidence Technician"/>
        <s v="Police Forensic Investigator I"/>
        <s v="Police Officer - Assigned as Supervising Latent Print Examiner"/>
        <s v="Police Officer - Assigned as Latent Print Examiner"/>
        <s v="Crimes Surveillance Specialist"/>
        <s v="Senior Research Analyst"/>
        <s v="Criminal Intelligence Research Specialist"/>
        <s v="Supervising Property Custodian"/>
        <s v="Police Officer - Assigned as Explosives Detection Canine Handler"/>
        <s v="Police Officer - Assigned as Marine Officer"/>
        <s v="Police Officer Assigned as Helicopter Pilot"/>
        <s v="Police Officer - Assigned as Mounted Patrol Officer"/>
        <s v="Police Officer - Assigned as Canine Handler"/>
        <s v="Explosives Technician I"/>
        <s v="Tactical Review Analyst-CPD"/>
        <s v="Police Technician"/>
        <s v="Program Aide"/>
        <s v="Fingerprint Technician IV"/>
        <s v="Fingerprint Technician III"/>
        <s v="Fingerprint Technician II"/>
        <s v="Director of Police Records"/>
        <s v="Warrant and Extradition Aide"/>
        <s v="Digital Retrieval Specialist - CPD"/>
        <s v="Criminal History Analyst"/>
        <s v="Principal Storekeeper"/>
        <s v="Subpoena Officer"/>
        <s v="Deputy Superintendent"/>
        <s v="Project Strategy Manager - CPD"/>
        <s v="Research and Policy Analyst - CPD"/>
        <s v="Police Officer - Assigned as Armorer"/>
        <s v="Equity Officer"/>
        <s v="Executive Director - Emergency Management and Communications"/>
        <s v="Police Communications Operator II"/>
        <s v="Director of 3-1-1 City Services"/>
        <s v="Communications Operators II - 3-1-1"/>
        <s v="Communications Operator I - 3-1-1"/>
        <s v="Supervisor of 3-1-1 Operations"/>
        <s v="Manager of 3-1-1 Operations"/>
        <s v="Special Assistant"/>
        <s v="Supervising Traffic Control Aide"/>
        <s v="Traffic Control Aide - Hourly"/>
        <s v="General Superintendent of Special Traffic Services"/>
        <s v="Superintendent of Special Traffic Service"/>
        <s v="Engineering Technician V"/>
        <s v="Fire Commissioner"/>
        <s v="District Chief"/>
        <s v="Coordinator of Special Events Liaison"/>
        <s v="Commander - EMT"/>
        <s v="Investigator Specialist"/>
        <s v="Deputy Fire Commissioner/Executive Director Emergency Management Communications"/>
        <s v="First Deputy Fire Commissioner"/>
        <s v="Paramedic-In-Charge - Assigned as Training Instructor"/>
        <s v="Paramedic-Asgn Instruct"/>
        <s v="Director of EMS Compliance"/>
        <s v="Firefighter - EMT"/>
        <s v="Paramedic"/>
        <s v="Paramedic-In-Charge"/>
        <s v="Coordinator of Community Services - CFD"/>
        <s v="Director of Professional Counseling Services"/>
        <s v="Ambulance Commander"/>
        <s v="Deputy Fire Commissioner"/>
        <s v="Assistant Deputy Fire Commissioner"/>
        <s v="Commander - Paramedic"/>
        <s v="Firefighter - Per Arbitrators Award - EMT"/>
        <s v="Firefighter - Per Arbitrators Award - Paramedic"/>
        <s v="Captain - Paramedic"/>
        <s v="Captain - EMT"/>
        <s v="Lieutenant - Paramedic"/>
        <s v="Lieutenant - EMT"/>
        <s v="Fire Engineer - Paramedic"/>
        <s v="Fire Engineer - EMT"/>
        <s v="Firefighter - EMT - Recruit"/>
        <s v="Deputy District Chief"/>
        <s v="Battalion Chief"/>
        <s v="Fire Engineer"/>
        <s v="Firefighter"/>
        <s v="Firefighter - Paramedic"/>
        <s v="Battalion Chief - Paramedic"/>
        <s v="Battalion Chief - EMT"/>
        <s v="Paramedic - Per Judgement"/>
        <s v="Paramedic Field Chief"/>
        <s v="Assistant Deputy Chief Paramedic"/>
        <s v="Lieutenant - EMT - Assigned as Training Instructor"/>
        <s v="Chief Helicopter Pilot - Paramedic"/>
        <s v="Marine Pilot - Fire Boat"/>
        <s v="Supervising Fire Marshal - Paramedic"/>
        <s v="Supervising Fire Marshal - EMT"/>
        <s v="Fire Marshal - EMT"/>
        <s v="Fire Marshal"/>
        <s v="Commanding Fire Marshal"/>
        <s v="Assistant Commanding Fire Marshal - EMT"/>
        <s v="Labor Relations Specialist"/>
        <s v="Commander-Logistics and Operations (EMT)"/>
        <s v="Senior Storekeeper"/>
        <s v="Coordinator of Air Mask Services"/>
        <s v="Supervising Air Mask Technician"/>
        <s v="Senior Air Mask Technician"/>
        <s v="Fire Prevention Engineer"/>
        <s v="Associate Fire Prevention Engineer"/>
        <s v="Chief Administrator"/>
        <s v="Deputy Chief Administrator"/>
        <s v="First Deputy Chief Administrator"/>
        <s v="Senior Information Analyst"/>
        <s v="Director of Training and Professional Development - COPA"/>
        <s v="Digital Forensic Analyst - COPA"/>
        <s v="Special Victims Investigator-COPA"/>
        <s v="Director of Investigations - COPA"/>
        <s v="Supervising Investigator - COPA"/>
        <s v="Major Case Specialist - COPA"/>
        <s v="Investigator - COPA"/>
        <s v="Quality Management Analyst - COPA"/>
        <s v="Intake Aide"/>
        <s v="Case Liaison - COPA"/>
        <s v="Director of Mediation"/>
        <s v="Chief Investigative Law Officer"/>
        <s v="Senior Litigation Counsel - COPA"/>
        <s v="Associate Staff Attorney"/>
        <s v="Research Associate"/>
        <s v="Executive Director - Community Commission for Public Safety and Accountability"/>
        <s v="Director of Research and Planning"/>
        <s v="Associate General Counsel-CCPSA"/>
        <s v="Commissioner of Buildings"/>
        <s v="Coordinator of Special Projects - Buildings"/>
        <s v="Manager of Customer Services"/>
        <s v="Structural Engineer"/>
        <s v="Project Manager - Buildings"/>
        <s v="Electrical Inspector"/>
        <s v="Ventilation and Furnace Inspector"/>
        <s v="Cooling Plant Inspector"/>
        <s v="Chief Building/Construction Inspector"/>
        <s v="Mason Inspector"/>
        <s v="Manager of Regulatory Review"/>
        <s v="Chief Electrical Inspector"/>
        <s v="Supervisor of Electrical Inspectors"/>
        <s v="Assistant Chief Elevator Inspector"/>
        <s v="Elevator Inspector"/>
        <s v="Chief Ventilation and Mechanical Equipment Inspector"/>
        <s v="Supervising Cooling Plant Inspector"/>
        <s v="Boiler Inspector"/>
        <s v="Chief Boiler Inspector"/>
        <s v="Iron Inspector"/>
        <s v="Construction Equipment Inspector"/>
        <s v="Commissioner of Business Affairs and Consumer Protection"/>
        <s v="Office Administrator"/>
        <s v="Supervisor of Personnel Services"/>
        <s v="Senior Systems Programmer"/>
        <s v="Business Consultant Supervisor"/>
        <s v="Senior Business Consultant"/>
        <s v="Business Consultant"/>
        <s v="Supervisor of Public Vehicle Inspectors"/>
        <s v="Senior Public Vehicle Inspector"/>
        <s v="Public Vehicle Inspector"/>
        <s v="Local Liquor Control Commissioner"/>
        <s v="Manager of Business Compliance Investigations"/>
        <s v="Supervisor of Business Compliance Investigations"/>
        <s v="Business Compliance Investigator"/>
        <s v="Director of Labor Standards"/>
        <s v="Supervisor of Labor Standards Investigators"/>
        <s v="Labor Standards Investigator"/>
        <s v="Senior Attorney"/>
        <s v="Chief Sustainability Officer"/>
        <s v="Public Relations Representative II"/>
        <s v="Supervising Environmental Inspector"/>
        <s v="Executive Director of Animal Care and Control"/>
        <s v="Community Services Representative"/>
        <s v="Member"/>
        <s v="Chairman"/>
        <s v="Animal Control Officer"/>
        <s v="Supervisor of Animal Control Officers"/>
        <s v="Operations Manager of Animal Control"/>
        <s v="Animal Care Aide I"/>
        <s v="Animal Care Clerk"/>
        <s v="Animal Care Aide II"/>
        <s v="Veterinarian Assistant"/>
        <s v="Supervising Veterinary Technician"/>
        <s v="Supervising Animal Care Clerk"/>
        <s v="Supervisor of Animal Care Aides"/>
        <s v="Animal Shelter Manager"/>
        <s v="Animal Placement Coordinator"/>
        <s v="Animal Care Clerk - Hourly"/>
        <s v="Veterinarian"/>
        <s v="Animal Control Inspector"/>
        <s v="Executive Director - Board of Ethics"/>
        <s v="Investigator - Ethics"/>
        <s v="Legal Counsel - Board of Ethics"/>
        <s v="Commissioner of Streets and Sanitation"/>
        <s v="Assistant General Superintendent"/>
        <s v="Equipment Training Specialist - MTD"/>
        <s v="Safety Specialist"/>
        <s v="Field Sanitation Investigator"/>
        <s v="Payroll Administrator - Excluded"/>
        <s v="General Superintendent"/>
        <s v="Division Superintendent"/>
        <s v="Refuse Collection Coordinator"/>
        <s v="Sanitation Clerk"/>
        <s v="Assistant to Commissioner"/>
        <s v="Pool Motor Truck Driver"/>
        <s v="General Laborer - Streets and Sanitation"/>
        <s v="Sanitation Laborer"/>
        <s v="Non-CDL Driver"/>
        <s v="Foreman of Hoisting Engineers"/>
        <s v="Hoisting Engineer"/>
        <s v="District Supervisor - Graffiti Removal Services"/>
        <s v="Ward Superintendent"/>
        <s v="Senior City Forester"/>
        <s v="City Forester"/>
        <s v="Dispatcher - Arborist"/>
        <s v="Forestry Supervisor"/>
        <s v="Training Agent I - Per Agreement"/>
        <s v="Tree Trimmer"/>
        <s v="Commissioner of Transportation"/>
        <s v="Engineering Technician VI"/>
        <s v="Civil Engineer III"/>
        <s v="Menu Program Manager"/>
        <s v="GIS Manager"/>
        <s v="City Planner IV"/>
        <s v="Director of Public Information"/>
        <s v="Civil Engineer V"/>
        <s v="Civil Engineer IV"/>
        <s v="Coordinator of Warehouse Operations"/>
        <s v="Fiscal Administration Manager"/>
        <s v="Director of Administration I - Excluded"/>
        <s v="Supervising Timekeeper - Laborer"/>
        <s v="Traffic Engineer V"/>
        <s v="Traffic Engineer IV"/>
        <s v="Engineering Technician III"/>
        <s v="Coordinating Engineer II"/>
        <s v="Coordinating Planner II"/>
        <s v="Director of Administration I"/>
        <s v="Executive Secretary II"/>
        <s v="Manager of Maps and Plats"/>
        <s v="Assistant Chief Engineer"/>
        <s v="Superintendent of Electrical Operations"/>
        <s v="Foreman of Lineman"/>
        <s v="Chief Programmer/Analyst"/>
        <s v="Foreman of Traffic Signal Repairmen"/>
        <s v="Traffic Signal Repairman"/>
        <s v="Lineman"/>
        <s v="Superintendent of Pavement Repairs"/>
        <s v="Supervising Bridge Operator"/>
        <s v="Bridge Operator"/>
        <s v="Assistant Project Director"/>
        <s v="Engineering Technician IV"/>
        <s v="Fiscal Policy Analyst"/>
        <s v="Supervisor of Customer Accounts"/>
        <s v="Accountant I"/>
        <s v="Assistant EEO Officer"/>
        <s v="Plumbing Inspector"/>
        <s v="Assistant Chief Plumbing Inspector"/>
        <s v="Plumbing Inspector - in Charge"/>
        <s v="Chief Plumbing Inspector"/>
        <s v="Commissioner of Water Management"/>
        <s v="Coordinator of Community Services"/>
        <s v="Supervising Watchman - Water Management"/>
        <s v="Safety Specialist - Water Management"/>
        <s v="Coordinator of Security Services"/>
        <s v="Mechanical Engineer IV"/>
        <s v="Chief Water Engineer"/>
        <s v="Managing Engineer - Water Department"/>
        <s v="Civil Engineer II"/>
        <s v="Water Quality Manager"/>
        <s v="Director of Water Quality Surveillance"/>
        <s v="Sanitary Engineer IV"/>
        <s v="Sanitary Engineer III"/>
        <s v="Sanitary Engineer II"/>
        <s v="Water Chemist IV"/>
        <s v="Water Chemist III"/>
        <s v="Water Chemist II"/>
        <s v="Chief Water Chemist"/>
        <s v="Chief Filtration Engineer"/>
        <s v="Microbiologist IV"/>
        <s v="Microbiologist III"/>
        <s v="Microbiologist II"/>
        <s v="Director of Water Purification Laboratories"/>
        <s v="Chief Microbiologist"/>
        <s v="Water Quality Inspector"/>
        <s v="Stationary Fireman"/>
        <s v="Mechanical Engineer II"/>
        <s v="Station Laborer"/>
        <s v="Foreman of Station Laborers"/>
        <s v="Operating Engineer - Group C"/>
        <s v="Electrical Engineer IV"/>
        <s v="Engineer of Water Purification"/>
        <s v="Filtration Engineer II"/>
        <s v="Filtration Engineer V"/>
        <s v="Filtration Engineer IV"/>
        <s v="Filtration Engineer III"/>
        <s v="Foreman of Custodial Workers"/>
        <s v="Engineer of Electric Pumping Stations"/>
        <s v="Engineer of Water Pumping"/>
        <s v="Assistant Engineer of Water Pumping"/>
        <s v="Mechanical Engineer III"/>
        <s v="Deck Hand"/>
        <s v="Marine Pilot"/>
        <s v="Marine Engineer"/>
        <s v="General Superintendent of Water Management"/>
        <s v="Executive Administrative Assistant I - Excluded"/>
        <s v="Manager of Fleet and Equipment Services"/>
        <s v="District Clerk"/>
        <s v="Laborer as Estimator"/>
        <s v="Foreman of Construction Laborers"/>
        <s v="Assistant Chief Dispatcher"/>
        <s v="Emergency Crew Dispatcher"/>
        <s v="Construction Laborer"/>
        <s v="Laborer - Apprentice"/>
        <s v="Foreman of Water Pipe Construction"/>
        <s v="District Superintendent of Water Distribution"/>
        <s v="Assistant District Superintendent"/>
        <s v="Caulker"/>
        <s v="General Foreman of Hoisting Engineers"/>
        <s v="Chief Dispatcher"/>
        <s v="General Foreman of Construction Laborers"/>
        <s v="Foreman of Bricklayers"/>
        <s v="Machinist - Apprentice"/>
        <s v="Water Meter Machinist"/>
        <s v="Water Meter Assessor"/>
        <s v="Clerk III"/>
        <s v="Superintendent of Water Meters"/>
        <s v="Supervisor of Water Rate Takers"/>
        <s v="Water Rate Taker"/>
        <s v="Pipe Locating Machine Operator"/>
        <s v="Assistant Superintendent of Water Meters"/>
        <s v="Director of License Administration"/>
        <s v="Director of License Issuance"/>
        <s v="Supervisor of License Issuance"/>
        <s v="Customer Account Representative"/>
        <s v="Deputy City Clerk"/>
        <s v="Payment Reconciler"/>
        <s v="Licensing Enforcement Aide - City Clerk"/>
        <s v="Reprographics Technician IV"/>
        <s v="Supervisor of Lot Cleaning Services"/>
        <s v="Traffic Maintenance Supervisor"/>
        <s v="Supervisor of Field Vehicle Investigators"/>
        <s v="Auto Pound Supervisor"/>
        <s v="Property Custodian - Auto Pound"/>
        <s v="General Foreman of Motor Truck Drivers"/>
        <s v="Field Supervisor"/>
        <s v="Field Service Specialist III"/>
        <s v="Field Service Specialist II"/>
        <s v="Field Service Director"/>
        <s v="Coordinator of Street Permits"/>
        <s v="Assistant Superintendent of Pavement Repairs"/>
        <s v="Concrete Laborer"/>
        <s v="Asphalt Laborer"/>
        <s v="Dispatcher - Concrete"/>
        <s v="Dispatcher - Asphalt"/>
        <s v="Foreman of Laborer - Concrete"/>
        <s v="Asphalt Foreman"/>
        <s v="Bridge and Structural Iron Worker"/>
        <s v="Cement Finisher"/>
        <s v="Foreman of Cement Finishers"/>
        <s v="Sign Hanger"/>
        <s v="Foreman of Sign Shop"/>
        <s v="Foreman of Sign Hangers"/>
        <s v="Sign Painter Helper"/>
        <s v="Sign Painter"/>
        <s v="Load Dispatcher"/>
        <s v="Foreman of Street Light Repairmen"/>
        <s v="Street Light Repair Worker"/>
        <s v="General Foreman of Linemen"/>
        <s v="Lamp Maintenance Worker"/>
        <s v="District Concrete Supervisor"/>
        <s v="General Foreman of Laborers Curb and Gutter"/>
        <s v="Cement Finisher Apprentice"/>
        <s v="District Clerk - Asphalt"/>
        <s v="General Foreman of Machinists"/>
        <s v="General Foreman of Bridge and Structural Ironworkers"/>
        <s v="General Foreman of Carpenters"/>
        <s v="District Asphalt Supervisor"/>
        <s v="General Foreman of Laborers"/>
        <s v="Foreman of Bridge and Structural Ironworkers"/>
        <s v="Foreman of Architectural Iron Workers"/>
        <s v="Assistant Chief Engineer of Sewers"/>
        <s v="Chief Engineer of Sewers"/>
        <s v="Superintendent of Construction and Maintenance"/>
        <s v="Construction Laborer Sub-Foreman"/>
        <s v="Foreman of Sewer Cleaning"/>
        <s v="Sewer Bricklayer"/>
        <s v="General Foreman of Bricklayers"/>
        <s v="Foreman of Sewer Bricklayers"/>
        <s v="Chief Mason Inspector"/>
        <s v="Supervising House Drain Inspector"/>
        <s v="House Drain Inspector"/>
        <s v="Commissioner of Chicago Public Library"/>
        <s v="Graphic Arts and Reproduction Supervisor"/>
        <s v="Graphic Artist II"/>
        <s v="Assistant Director of Facilities Management"/>
        <s v="Audio-Visual Specialist"/>
        <s v="Director of Marketing"/>
        <s v="Public Relations Representative I"/>
        <s v="Web Developer/Administrator - CPL"/>
        <s v="Director of Library Technology"/>
        <s v="Help Desk Supervisor - Excluded"/>
        <s v="Librarian IV"/>
        <s v="Director of Library Programs and Events"/>
        <s v="Assistant Director of Library Programs and Events"/>
        <s v="Assistant Library Director"/>
        <s v="Library Director"/>
        <s v="Senior Library Clerk"/>
        <s v="Director of Library Staff Development"/>
        <s v="Digital Media Coordinator"/>
        <s v="Assistant Supervisor of Data Entry Operators"/>
        <s v="Electronic Resources Librarian"/>
        <s v="Library Associate - Hourly"/>
        <s v="Librarian III"/>
        <s v="Library Associate"/>
        <s v="Library Page"/>
        <s v="Senior Archival Specialist"/>
        <s v="Librarian II"/>
        <s v="Librarian I - Hourly"/>
        <s v="Librarian I"/>
        <s v="Head Library Clerk"/>
        <s v="Library Clerk - Hourly"/>
        <s v="Library Clerk"/>
        <s v="Help Desk Technician"/>
        <s v="Help Desk Manager"/>
        <s v="Principal Telecommunications Specialist"/>
        <s v="Data Analyst"/>
        <s v="GIS Analyst"/>
        <s v="Chief Systems Programmer"/>
        <s v="Principal Systems Programmer"/>
        <s v="Laborer - Bureau of Electricity"/>
        <s v="Foreman of Linemen - Salaried"/>
        <s v="Lineman - Salaried"/>
        <s v="Electrical Mechanic - Salaried"/>
        <s v="Supervising Police Communications Operator"/>
        <s v="Police Communications Operator-Trainer"/>
        <s v="Communication Operations Manager"/>
        <s v="Police Communications Operator I"/>
        <s v="Coordinating Fire Communications"/>
        <s v="Supervising Fire Communications Operator"/>
        <s v="Fire Communications Operator II"/>
        <s v="Fire Communications Operator I"/>
        <s v="Manager of Emergency Management Services"/>
        <s v="Emergency Management Communications Officer"/>
        <s v="Commissioner of Cultural Affairs and Special Events"/>
        <s v="Program Coordinator - Special Events"/>
        <s v="Program Director - Cultural Affairs"/>
        <s v="Director of Purchase Contract Administration"/>
        <s v="Sponsorship Coordinator"/>
        <s v="Cultural Affairs Coordinator II"/>
        <s v="Program Director - Special Events"/>
        <s v="Curator of Exhibits"/>
        <s v="Traffic Control Aide"/>
        <s v="FAA Fire Training Specialist"/>
        <s v="Airport Information Coordinator"/>
        <s v="Airport Information Ambassador"/>
        <s v="Assistant Airport Manager - Midway"/>
        <s v="General Laborer - Aviation"/>
        <s v="General Manager of Airport Operations"/>
        <s v="Airport Maintenance Foreman"/>
        <s v="Chief Airport Operations Supervisor"/>
        <s v="Assistant Chief Airport Operations Supervisor"/>
        <s v="Airport Operations Supervisor II"/>
        <s v="Airport Manager - Midway"/>
        <s v="Airport Operations Supervisor I"/>
        <s v="Landside Operation Manager"/>
        <s v="Aviation Security Officer - Hourly"/>
        <s v="Aviation Security Officer"/>
        <s v="Aviation Security Sergeant"/>
        <s v="Shift Supervisor of Aviation Security"/>
        <s v="Manager - Aviation ID Badge Operations"/>
        <s v="Aviation Communications Operator-Trainee"/>
        <s v="Manager of Security Communications Center"/>
        <s v="Aviation Communications Operator"/>
        <s v="Shift Supervisor of Security Communications Center"/>
        <s v="Airport Facilities Manager"/>
        <s v="Aviation Safety Director"/>
        <s v="Director of Special Investigations"/>
        <s v="Assistant Chief Labor Negotiator"/>
        <s v="Chief Labor Negotiator"/>
        <s v="Equipment Rental Coordinator"/>
        <s v="Lieutenant - Assigned as Training Instructor"/>
        <s v="Commissioner of Aviation"/>
        <s v="Director of Communications  - Aviation"/>
        <s v="Chief Storekeeper"/>
        <s v="Manager of Warehouse Operations"/>
        <s v="Principal Revenue Analyst"/>
        <s v="Aviation Security Engineer"/>
        <s v="IT - Security Specialist"/>
        <s v="Web Author"/>
        <s v="Information Security Manager"/>
        <s v="Dir Of Grant Management"/>
        <s v="Supervisor of Grants Administration"/>
        <s v="Supervisor of Voucher Auditing"/>
        <s v="Airport Accountability Director"/>
        <s v="Chief Leasing Agent"/>
        <s v="Airport Manager - O'Hare"/>
        <s v="Construction Coordinator"/>
        <s v="Coordinator of Maintenance Repairs"/>
        <s v="Foreman of Window Washers"/>
        <s v="Aviation Surveillance Specialist"/>
        <s v="Aviation Security Officer-Trainer"/>
        <s v="Airport Operations Center Coordinator"/>
        <s v="Emergency Management Coordinator"/>
        <s v="Director of Planning Research and Development"/>
        <s v="Shift Supervisor of Airport Ground Transportation"/>
        <s v="General Manager of Grounds and Terminal Facilities"/>
        <s v="Mechanical Engineer V"/>
        <s v="Architect III"/>
        <s v="GIS Manager - Excluded"/>
        <s v="GIS Data Base Analyst"/>
        <s v="Supervising Program Auditor"/>
        <s v="Senior Program Auditor"/>
        <s v="Rehabilitation Construction Specialist"/>
        <s v="Associate Human Resources Business Partner-Excluded"/>
        <s v="Economic Development Coordinator"/>
        <s v="Studio Equipment Engineer"/>
        <s v="Senior Studio Equipment Operator"/>
        <s v="Coordinator of Studio Operations"/>
        <s v="Station Manager"/>
        <s v="Senior Producer/Writer"/>
        <s v="Senior Videographer"/>
        <s v="Supervising Videographer"/>
        <s v="Senior Television Production Specialist"/>
        <s v="Television Production Specialist"/>
        <s v="Police Officer - Assigned as Supervising Substance Abuse Counselor"/>
        <s v="Supervising Police Mental Health Clinitian"/>
        <s v="Police Mental Health Clinitian"/>
        <s v="Grants Manager - OBM"/>
        <s v="Fringe Benefits"/>
        <s v="Complaint Intake Specialist"/>
        <s v="Grants Research Specialist"/>
        <s v="Coordinator of Grants Management"/>
        <s v="Procurement Proposal Coordinator"/>
        <s v="Director of Grants Management"/>
        <s v="Director of Monitoring Services"/>
        <s v="Recovery Team Program Manager"/>
        <s v="Sprvg Public Health Ad"/>
        <s v="Director of Laboratory Science"/>
        <s v="Infection Prevention Specialist"/>
        <s v="Manager of Quality Assurance"/>
        <s v="IT Engineer"/>
        <s v="Student Intern"/>
        <s v="Senior Recovery Team Program Manager"/>
        <s v="Case Manager Assistant"/>
        <s v="Psychologist"/>
        <s v="Senior Director of Crisis Services"/>
        <s v="Human Relations Specialist II"/>
        <s v="Mobile Unit Operator"/>
        <s v="Security Analyst"/>
        <s v="Security Engineer"/>
        <s v="Director of Nutrition"/>
        <s v="Public Health Nutritionist"/>
        <s v="Supervising Public Health Nutritionist"/>
        <s v="Regional Nutrition Coordinator"/>
        <s v="Director of Disease Investigations"/>
        <s v="Supervising Disease Control Investigator - Excluded"/>
        <s v="Public Health Administrator I"/>
        <s v="Regional Communicable Disease Investigator"/>
        <s v="Supervising Disease Control Investigator"/>
        <s v="Director of Field Operations"/>
        <s v="Social Worker III"/>
        <s v="Assistant District Manager - Human Services"/>
        <s v="District Manager - Human Services"/>
        <s v="Human Service Specialist"/>
        <s v="Chief Research Analyst"/>
        <s v="Assistant Community Living Specialist"/>
        <s v="Community Living Specialist"/>
        <s v="Supervisor of Children Services Programs"/>
        <s v="Support Services Coordinator"/>
        <s v="Assistant Director of Children Services"/>
        <s v="Licensing Coordinator"/>
        <s v="Supervising Audio-Vision Tester"/>
        <s v="Audio-Vision Tester"/>
        <s v="Executive Secretary II - Excluded"/>
        <s v="Service Coordinator Aide"/>
        <s v="Elder Protective Investigator III"/>
        <s v="Elder Protective Investigator I"/>
        <s v="Hospitality Worker"/>
        <s v="Assistant Regional Director - Aging"/>
        <s v="Regional Director - Aging"/>
        <s v="Community Living Specialist-Hourly"/>
        <s v="Assistant Aging and Disability Resource Network Manager"/>
        <s v="Aging and Disability Resource Network Manager"/>
        <s v="Contracts Negotiator"/>
        <s v="Senior Intelligence Analyst"/>
        <s v="Policy Analyst - Mayor's Office"/>
        <s v="Director of Children Services"/>
        <s v="Coordinator of Hazardous Material Program"/>
        <s v="Recovery Team Program Director"/>
      </sharedItems>
    </cacheField>
    <cacheField name="BUDGETED UNIT" numFmtId="0">
      <sharedItems/>
    </cacheField>
    <cacheField name="TOTAL BUDGETED UNIT" numFmtId="0">
      <sharedItems containsSemiMixedTypes="0" containsString="0" containsNumber="1" containsInteger="1" minValue="0" maxValue="248560"/>
    </cacheField>
    <cacheField name="POSITION CONTROL" numFmtId="0">
      <sharedItems containsSemiMixedTypes="0" containsString="0" containsNumber="1" containsInteger="1" minValue="0" maxValue="1"/>
    </cacheField>
    <cacheField name="BUDGETED PAY RATE" numFmtId="0">
      <sharedItems containsSemiMixedTypes="0" containsString="0" containsNumber="1" minValue="0" maxValue="10307025"/>
    </cacheField>
    <cacheField name="TOTAL BUDGETED AMOUNT" numFmtId="0">
      <sharedItems containsSemiMixedTypes="0" containsString="0" containsNumber="1" containsInteger="1" minValue="0" maxValue="238969296"/>
    </cacheField>
  </cacheFields>
  <extLst>
    <ext xmlns:x14="http://schemas.microsoft.com/office/spreadsheetml/2009/9/main" uri="{725AE2AE-9491-48be-B2B4-4EB974FC3084}">
      <x14:pivotCacheDefinition pivotCacheId="105756175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35">
  <r>
    <x v="0"/>
    <n v="1"/>
    <x v="0"/>
    <x v="0"/>
    <x v="0"/>
    <n v="1005"/>
    <x v="0"/>
    <x v="0"/>
    <x v="0"/>
    <n v="3005"/>
    <x v="0"/>
    <n v="0"/>
    <x v="0"/>
    <s v="1 00"/>
    <n v="9"/>
    <n v="9901"/>
    <x v="0"/>
    <s v="Annual"/>
    <n v="1"/>
    <n v="1"/>
    <n v="221052"/>
    <n v="221052"/>
  </r>
  <r>
    <x v="0"/>
    <n v="1"/>
    <x v="0"/>
    <x v="0"/>
    <x v="0"/>
    <n v="1005"/>
    <x v="0"/>
    <x v="0"/>
    <x v="0"/>
    <n v="3005"/>
    <x v="0"/>
    <n v="0"/>
    <x v="0"/>
    <s v="1 00"/>
    <n v="9"/>
    <n v="9877"/>
    <x v="1"/>
    <s v="Annual"/>
    <n v="1"/>
    <n v="1"/>
    <n v="142272"/>
    <n v="142272"/>
  </r>
  <r>
    <x v="0"/>
    <n v="1"/>
    <x v="0"/>
    <x v="0"/>
    <x v="0"/>
    <n v="1005"/>
    <x v="0"/>
    <x v="0"/>
    <x v="0"/>
    <n v="3005"/>
    <x v="0"/>
    <n v="0"/>
    <x v="0"/>
    <s v="1 00"/>
    <n v="9"/>
    <n v="9875"/>
    <x v="2"/>
    <s v="Annual"/>
    <n v="1"/>
    <n v="1"/>
    <n v="123600"/>
    <n v="123600"/>
  </r>
  <r>
    <x v="0"/>
    <n v="1"/>
    <x v="0"/>
    <x v="0"/>
    <x v="0"/>
    <n v="1005"/>
    <x v="0"/>
    <x v="0"/>
    <x v="0"/>
    <n v="3005"/>
    <x v="0"/>
    <n v="0"/>
    <x v="0"/>
    <s v="1 00"/>
    <n v="9"/>
    <n v="9869"/>
    <x v="3"/>
    <s v="Annual"/>
    <n v="1"/>
    <n v="1"/>
    <n v="195000"/>
    <n v="195000"/>
  </r>
  <r>
    <x v="0"/>
    <n v="1"/>
    <x v="0"/>
    <x v="0"/>
    <x v="0"/>
    <n v="1005"/>
    <x v="0"/>
    <x v="0"/>
    <x v="0"/>
    <n v="3005"/>
    <x v="0"/>
    <n v="0"/>
    <x v="0"/>
    <s v="1 00"/>
    <n v="0"/>
    <n v="9637"/>
    <x v="4"/>
    <s v="Annual"/>
    <n v="1"/>
    <n v="1"/>
    <n v="110464"/>
    <n v="110464"/>
  </r>
  <r>
    <x v="0"/>
    <n v="1"/>
    <x v="0"/>
    <x v="0"/>
    <x v="0"/>
    <n v="1005"/>
    <x v="0"/>
    <x v="0"/>
    <x v="0"/>
    <n v="3006"/>
    <x v="1"/>
    <n v="0"/>
    <x v="0"/>
    <s v="1 00"/>
    <n v="9"/>
    <n v="9874"/>
    <x v="5"/>
    <s v="Annual"/>
    <n v="1"/>
    <n v="1"/>
    <n v="106632"/>
    <n v="106632"/>
  </r>
  <r>
    <x v="0"/>
    <n v="1"/>
    <x v="0"/>
    <x v="0"/>
    <x v="0"/>
    <n v="1005"/>
    <x v="0"/>
    <x v="0"/>
    <x v="0"/>
    <n v="3007"/>
    <x v="2"/>
    <n v="0"/>
    <x v="0"/>
    <s v="1 00"/>
    <n v="9"/>
    <n v="9870"/>
    <x v="6"/>
    <s v="Annual"/>
    <n v="1"/>
    <n v="1"/>
    <n v="74592"/>
    <n v="74592"/>
  </r>
  <r>
    <x v="0"/>
    <n v="1"/>
    <x v="0"/>
    <x v="0"/>
    <x v="0"/>
    <n v="1005"/>
    <x v="0"/>
    <x v="0"/>
    <x v="0"/>
    <n v="3007"/>
    <x v="2"/>
    <n v="0"/>
    <x v="0"/>
    <s v="1 00"/>
    <n v="9"/>
    <n v="9855"/>
    <x v="7"/>
    <s v="Annual"/>
    <n v="1"/>
    <n v="1"/>
    <n v="90048"/>
    <n v="90048"/>
  </r>
  <r>
    <x v="0"/>
    <n v="1"/>
    <x v="0"/>
    <x v="0"/>
    <x v="0"/>
    <n v="1005"/>
    <x v="0"/>
    <x v="0"/>
    <x v="0"/>
    <n v="3010"/>
    <x v="3"/>
    <n v="0"/>
    <x v="0"/>
    <s v="1 00"/>
    <n v="9"/>
    <n v="9899"/>
    <x v="8"/>
    <s v="Annual"/>
    <n v="1"/>
    <n v="1"/>
    <n v="217044"/>
    <n v="217044"/>
  </r>
  <r>
    <x v="0"/>
    <n v="1"/>
    <x v="0"/>
    <x v="0"/>
    <x v="0"/>
    <n v="1005"/>
    <x v="0"/>
    <x v="0"/>
    <x v="0"/>
    <n v="3010"/>
    <x v="3"/>
    <n v="0"/>
    <x v="0"/>
    <s v="1 00"/>
    <n v="9"/>
    <n v="9898"/>
    <x v="9"/>
    <s v="Annual"/>
    <n v="1"/>
    <n v="1"/>
    <n v="183180"/>
    <n v="183180"/>
  </r>
  <r>
    <x v="0"/>
    <n v="1"/>
    <x v="0"/>
    <x v="0"/>
    <x v="0"/>
    <n v="1005"/>
    <x v="0"/>
    <x v="0"/>
    <x v="0"/>
    <n v="3010"/>
    <x v="3"/>
    <n v="0"/>
    <x v="0"/>
    <s v="1 00"/>
    <n v="9"/>
    <n v="9889"/>
    <x v="10"/>
    <s v="Annual"/>
    <n v="1"/>
    <n v="1"/>
    <n v="197760"/>
    <n v="197760"/>
  </r>
  <r>
    <x v="0"/>
    <n v="1"/>
    <x v="0"/>
    <x v="0"/>
    <x v="0"/>
    <n v="1005"/>
    <x v="0"/>
    <x v="0"/>
    <x v="0"/>
    <n v="3010"/>
    <x v="3"/>
    <n v="0"/>
    <x v="0"/>
    <s v="1 00"/>
    <n v="9"/>
    <n v="9877"/>
    <x v="1"/>
    <s v="Annual"/>
    <n v="1"/>
    <n v="1"/>
    <n v="135912"/>
    <n v="135912"/>
  </r>
  <r>
    <x v="0"/>
    <n v="1"/>
    <x v="0"/>
    <x v="0"/>
    <x v="0"/>
    <n v="1005"/>
    <x v="0"/>
    <x v="0"/>
    <x v="0"/>
    <n v="3010"/>
    <x v="3"/>
    <n v="0"/>
    <x v="0"/>
    <s v="1 00"/>
    <n v="9"/>
    <n v="9874"/>
    <x v="5"/>
    <s v="Annual"/>
    <n v="1"/>
    <n v="1"/>
    <n v="92172"/>
    <n v="92172"/>
  </r>
  <r>
    <x v="0"/>
    <n v="1"/>
    <x v="0"/>
    <x v="0"/>
    <x v="0"/>
    <n v="1005"/>
    <x v="0"/>
    <x v="0"/>
    <x v="0"/>
    <n v="3010"/>
    <x v="3"/>
    <n v="0"/>
    <x v="0"/>
    <s v="1 00"/>
    <n v="9"/>
    <n v="9874"/>
    <x v="5"/>
    <s v="Annual"/>
    <n v="1"/>
    <n v="1"/>
    <n v="74592"/>
    <n v="74592"/>
  </r>
  <r>
    <x v="0"/>
    <n v="1"/>
    <x v="0"/>
    <x v="0"/>
    <x v="0"/>
    <n v="1005"/>
    <x v="0"/>
    <x v="0"/>
    <x v="0"/>
    <n v="3010"/>
    <x v="3"/>
    <n v="0"/>
    <x v="0"/>
    <s v="1 00"/>
    <n v="9"/>
    <n v="9873"/>
    <x v="11"/>
    <s v="Annual"/>
    <n v="1"/>
    <n v="1"/>
    <n v="146544"/>
    <n v="146544"/>
  </r>
  <r>
    <x v="0"/>
    <n v="1"/>
    <x v="0"/>
    <x v="0"/>
    <x v="0"/>
    <n v="1005"/>
    <x v="0"/>
    <x v="0"/>
    <x v="0"/>
    <n v="3010"/>
    <x v="3"/>
    <n v="0"/>
    <x v="0"/>
    <s v="1 00"/>
    <n v="9"/>
    <n v="9869"/>
    <x v="3"/>
    <s v="Annual"/>
    <n v="1"/>
    <n v="1"/>
    <n v="198000"/>
    <n v="198000"/>
  </r>
  <r>
    <x v="0"/>
    <n v="1"/>
    <x v="0"/>
    <x v="0"/>
    <x v="0"/>
    <n v="1005"/>
    <x v="0"/>
    <x v="0"/>
    <x v="0"/>
    <n v="3010"/>
    <x v="3"/>
    <n v="0"/>
    <x v="0"/>
    <s v="3 00"/>
    <n v="9"/>
    <n v="9865"/>
    <x v="12"/>
    <s v="Annual"/>
    <n v="1"/>
    <n v="1"/>
    <n v="86064"/>
    <n v="86064"/>
  </r>
  <r>
    <x v="0"/>
    <n v="1"/>
    <x v="0"/>
    <x v="0"/>
    <x v="0"/>
    <n v="1005"/>
    <x v="0"/>
    <x v="0"/>
    <x v="0"/>
    <n v="3010"/>
    <x v="3"/>
    <n v="0"/>
    <x v="0"/>
    <s v="1 00"/>
    <n v="0"/>
    <n v="9637"/>
    <x v="4"/>
    <s v="Annual"/>
    <n v="1"/>
    <n v="1"/>
    <n v="118956"/>
    <n v="118956"/>
  </r>
  <r>
    <x v="0"/>
    <n v="1"/>
    <x v="0"/>
    <x v="0"/>
    <x v="0"/>
    <n v="1005"/>
    <x v="0"/>
    <x v="0"/>
    <x v="0"/>
    <n v="3010"/>
    <x v="3"/>
    <n v="0"/>
    <x v="0"/>
    <s v="1 00"/>
    <n v="0"/>
    <n v="9637"/>
    <x v="4"/>
    <s v="Annual"/>
    <n v="1"/>
    <n v="1"/>
    <n v="77964"/>
    <n v="77964"/>
  </r>
  <r>
    <x v="0"/>
    <n v="1"/>
    <x v="0"/>
    <x v="0"/>
    <x v="0"/>
    <n v="1005"/>
    <x v="0"/>
    <x v="0"/>
    <x v="0"/>
    <n v="3010"/>
    <x v="3"/>
    <n v="0"/>
    <x v="0"/>
    <s v="1 00"/>
    <n v="0"/>
    <n v="9637"/>
    <x v="4"/>
    <s v="Annual"/>
    <n v="1"/>
    <n v="1"/>
    <n v="73032"/>
    <n v="73032"/>
  </r>
  <r>
    <x v="0"/>
    <n v="1"/>
    <x v="0"/>
    <x v="0"/>
    <x v="0"/>
    <n v="1005"/>
    <x v="0"/>
    <x v="0"/>
    <x v="0"/>
    <n v="3010"/>
    <x v="3"/>
    <n v="0"/>
    <x v="0"/>
    <s v="1 00"/>
    <n v="0"/>
    <n v="9637"/>
    <x v="4"/>
    <s v="Annual"/>
    <n v="1"/>
    <n v="1"/>
    <n v="66132"/>
    <n v="66132"/>
  </r>
  <r>
    <x v="0"/>
    <n v="1"/>
    <x v="0"/>
    <x v="0"/>
    <x v="0"/>
    <n v="1005"/>
    <x v="0"/>
    <x v="0"/>
    <x v="0"/>
    <n v="3010"/>
    <x v="3"/>
    <n v="0"/>
    <x v="0"/>
    <s v="1 00"/>
    <n v="0"/>
    <n v="9637"/>
    <x v="4"/>
    <s v="Annual"/>
    <n v="3"/>
    <n v="1"/>
    <n v="63312"/>
    <n v="189936"/>
  </r>
  <r>
    <x v="0"/>
    <n v="1"/>
    <x v="0"/>
    <x v="0"/>
    <x v="0"/>
    <n v="1005"/>
    <x v="0"/>
    <x v="0"/>
    <x v="0"/>
    <n v="3015"/>
    <x v="4"/>
    <n v="0"/>
    <x v="0"/>
    <s v="1 00"/>
    <n v="9"/>
    <n v="9877"/>
    <x v="1"/>
    <s v="Annual"/>
    <n v="1"/>
    <n v="1"/>
    <n v="120216"/>
    <n v="120216"/>
  </r>
  <r>
    <x v="0"/>
    <n v="1"/>
    <x v="0"/>
    <x v="0"/>
    <x v="0"/>
    <n v="1005"/>
    <x v="0"/>
    <x v="0"/>
    <x v="0"/>
    <n v="3015"/>
    <x v="4"/>
    <n v="0"/>
    <x v="0"/>
    <s v="1 00"/>
    <n v="9"/>
    <n v="9854"/>
    <x v="13"/>
    <s v="Annual"/>
    <n v="1"/>
    <n v="1"/>
    <n v="195000"/>
    <n v="195000"/>
  </r>
  <r>
    <x v="0"/>
    <n v="1"/>
    <x v="0"/>
    <x v="0"/>
    <x v="0"/>
    <n v="1005"/>
    <x v="0"/>
    <x v="0"/>
    <x v="0"/>
    <n v="3015"/>
    <x v="4"/>
    <n v="0"/>
    <x v="0"/>
    <s v="1 00"/>
    <n v="9"/>
    <n v="9616"/>
    <x v="14"/>
    <s v="Annual"/>
    <n v="1"/>
    <n v="1"/>
    <n v="106596"/>
    <n v="106596"/>
  </r>
  <r>
    <x v="0"/>
    <n v="1"/>
    <x v="0"/>
    <x v="0"/>
    <x v="0"/>
    <n v="1005"/>
    <x v="0"/>
    <x v="0"/>
    <x v="0"/>
    <n v="3015"/>
    <x v="4"/>
    <n v="0"/>
    <x v="0"/>
    <s v="1 00"/>
    <n v="9"/>
    <n v="9616"/>
    <x v="14"/>
    <s v="Annual"/>
    <n v="1"/>
    <n v="1"/>
    <n v="97536"/>
    <n v="97536"/>
  </r>
  <r>
    <x v="0"/>
    <n v="1"/>
    <x v="0"/>
    <x v="0"/>
    <x v="0"/>
    <n v="1005"/>
    <x v="0"/>
    <x v="0"/>
    <x v="0"/>
    <n v="3015"/>
    <x v="4"/>
    <n v="0"/>
    <x v="0"/>
    <s v="1 00"/>
    <n v="9"/>
    <n v="9616"/>
    <x v="14"/>
    <s v="Annual"/>
    <n v="1"/>
    <n v="1"/>
    <n v="95664"/>
    <n v="95664"/>
  </r>
  <r>
    <x v="0"/>
    <n v="1"/>
    <x v="0"/>
    <x v="0"/>
    <x v="0"/>
    <n v="1005"/>
    <x v="0"/>
    <x v="0"/>
    <x v="0"/>
    <n v="3015"/>
    <x v="4"/>
    <n v="0"/>
    <x v="0"/>
    <s v="1 00"/>
    <n v="9"/>
    <n v="9616"/>
    <x v="14"/>
    <s v="Annual"/>
    <n v="1"/>
    <n v="1"/>
    <n v="89616"/>
    <n v="89616"/>
  </r>
  <r>
    <x v="0"/>
    <n v="1"/>
    <x v="0"/>
    <x v="0"/>
    <x v="0"/>
    <n v="1005"/>
    <x v="0"/>
    <x v="0"/>
    <x v="0"/>
    <n v="3015"/>
    <x v="4"/>
    <n v="0"/>
    <x v="0"/>
    <s v="1 00"/>
    <n v="9"/>
    <n v="9615"/>
    <x v="15"/>
    <s v="Annual"/>
    <n v="1"/>
    <n v="1"/>
    <n v="118956"/>
    <n v="118956"/>
  </r>
  <r>
    <x v="0"/>
    <n v="1"/>
    <x v="0"/>
    <x v="0"/>
    <x v="0"/>
    <n v="1005"/>
    <x v="0"/>
    <x v="0"/>
    <x v="0"/>
    <n v="3015"/>
    <x v="4"/>
    <n v="0"/>
    <x v="0"/>
    <s v="1 00"/>
    <n v="9"/>
    <n v="925"/>
    <x v="16"/>
    <s v="Annual"/>
    <n v="1"/>
    <n v="1"/>
    <n v="75000"/>
    <n v="75000"/>
  </r>
  <r>
    <x v="0"/>
    <n v="1"/>
    <x v="0"/>
    <x v="0"/>
    <x v="0"/>
    <n v="1005"/>
    <x v="0"/>
    <x v="0"/>
    <x v="0"/>
    <n v="3015"/>
    <x v="4"/>
    <n v="0"/>
    <x v="0"/>
    <s v="3 00"/>
    <n v="10"/>
    <n v="924"/>
    <x v="17"/>
    <s v="Annual"/>
    <n v="1"/>
    <n v="1"/>
    <n v="103464"/>
    <n v="103464"/>
  </r>
  <r>
    <x v="0"/>
    <n v="1"/>
    <x v="0"/>
    <x v="0"/>
    <x v="0"/>
    <n v="1005"/>
    <x v="0"/>
    <x v="0"/>
    <x v="0"/>
    <n v="3015"/>
    <x v="4"/>
    <n v="0"/>
    <x v="0"/>
    <s v="1 00"/>
    <n v="9"/>
    <n v="744"/>
    <x v="18"/>
    <s v="Annual"/>
    <n v="1"/>
    <n v="1"/>
    <n v="82740"/>
    <n v="82740"/>
  </r>
  <r>
    <x v="0"/>
    <n v="1"/>
    <x v="0"/>
    <x v="0"/>
    <x v="0"/>
    <n v="1005"/>
    <x v="0"/>
    <x v="0"/>
    <x v="0"/>
    <n v="3015"/>
    <x v="4"/>
    <n v="0"/>
    <x v="0"/>
    <s v="1 00"/>
    <n v="9"/>
    <n v="744"/>
    <x v="18"/>
    <s v="Annual"/>
    <n v="1"/>
    <n v="1"/>
    <n v="75000"/>
    <n v="75000"/>
  </r>
  <r>
    <x v="0"/>
    <n v="1"/>
    <x v="0"/>
    <x v="0"/>
    <x v="0"/>
    <n v="1005"/>
    <x v="0"/>
    <x v="0"/>
    <x v="0"/>
    <n v="3015"/>
    <x v="4"/>
    <n v="0"/>
    <x v="0"/>
    <s v="1 00"/>
    <n v="9"/>
    <n v="740"/>
    <x v="19"/>
    <s v="Annual"/>
    <n v="1"/>
    <n v="1"/>
    <n v="61800"/>
    <n v="61800"/>
  </r>
  <r>
    <x v="0"/>
    <n v="1"/>
    <x v="0"/>
    <x v="0"/>
    <x v="0"/>
    <n v="1005"/>
    <x v="0"/>
    <x v="0"/>
    <x v="0"/>
    <n v="3100"/>
    <x v="5"/>
    <n v="0"/>
    <x v="0"/>
    <s v="1 00"/>
    <n v="9"/>
    <n v="9896"/>
    <x v="20"/>
    <s v="Annual"/>
    <n v="1"/>
    <n v="1"/>
    <n v="200892"/>
    <n v="200892"/>
  </r>
  <r>
    <x v="0"/>
    <n v="1"/>
    <x v="0"/>
    <x v="0"/>
    <x v="0"/>
    <n v="1005"/>
    <x v="0"/>
    <x v="0"/>
    <x v="0"/>
    <n v="3105"/>
    <x v="6"/>
    <n v="0"/>
    <x v="0"/>
    <s v="1 00"/>
    <n v="9"/>
    <n v="9877"/>
    <x v="1"/>
    <s v="Annual"/>
    <n v="1"/>
    <n v="1"/>
    <n v="146544"/>
    <n v="146544"/>
  </r>
  <r>
    <x v="0"/>
    <n v="1"/>
    <x v="0"/>
    <x v="0"/>
    <x v="0"/>
    <n v="1005"/>
    <x v="0"/>
    <x v="0"/>
    <x v="0"/>
    <n v="3105"/>
    <x v="6"/>
    <n v="0"/>
    <x v="0"/>
    <s v="1 00"/>
    <n v="9"/>
    <n v="9877"/>
    <x v="1"/>
    <s v="Annual"/>
    <n v="1"/>
    <n v="1"/>
    <n v="123600"/>
    <n v="123600"/>
  </r>
  <r>
    <x v="0"/>
    <n v="1"/>
    <x v="0"/>
    <x v="0"/>
    <x v="0"/>
    <n v="1005"/>
    <x v="0"/>
    <x v="0"/>
    <x v="0"/>
    <n v="3105"/>
    <x v="6"/>
    <n v="0"/>
    <x v="0"/>
    <s v="1 00"/>
    <n v="9"/>
    <n v="9877"/>
    <x v="1"/>
    <s v="Annual"/>
    <n v="2"/>
    <n v="1"/>
    <n v="103488"/>
    <n v="206976"/>
  </r>
  <r>
    <x v="0"/>
    <n v="1"/>
    <x v="0"/>
    <x v="0"/>
    <x v="0"/>
    <n v="1005"/>
    <x v="0"/>
    <x v="0"/>
    <x v="0"/>
    <n v="3105"/>
    <x v="6"/>
    <n v="0"/>
    <x v="0"/>
    <s v="1 00"/>
    <n v="9"/>
    <n v="9874"/>
    <x v="5"/>
    <s v="Annual"/>
    <n v="1"/>
    <n v="1"/>
    <n v="82740"/>
    <n v="82740"/>
  </r>
  <r>
    <x v="0"/>
    <n v="1"/>
    <x v="0"/>
    <x v="0"/>
    <x v="0"/>
    <n v="1005"/>
    <x v="0"/>
    <x v="0"/>
    <x v="0"/>
    <n v="3105"/>
    <x v="6"/>
    <n v="0"/>
    <x v="0"/>
    <s v="1 00"/>
    <n v="9"/>
    <n v="9874"/>
    <x v="5"/>
    <s v="Annual"/>
    <n v="1"/>
    <n v="1"/>
    <n v="76824"/>
    <n v="76824"/>
  </r>
  <r>
    <x v="0"/>
    <n v="1"/>
    <x v="0"/>
    <x v="0"/>
    <x v="0"/>
    <n v="1005"/>
    <x v="0"/>
    <x v="0"/>
    <x v="0"/>
    <n v="3105"/>
    <x v="6"/>
    <n v="0"/>
    <x v="0"/>
    <s v="1 00"/>
    <n v="9"/>
    <n v="9873"/>
    <x v="11"/>
    <s v="Annual"/>
    <n v="1"/>
    <n v="1"/>
    <n v="183180"/>
    <n v="183180"/>
  </r>
  <r>
    <x v="0"/>
    <n v="1"/>
    <x v="0"/>
    <x v="0"/>
    <x v="0"/>
    <n v="1005"/>
    <x v="0"/>
    <x v="0"/>
    <x v="0"/>
    <n v="3105"/>
    <x v="6"/>
    <n v="0"/>
    <x v="0"/>
    <s v="1 00"/>
    <n v="9"/>
    <n v="9873"/>
    <x v="11"/>
    <s v="Annual"/>
    <n v="1"/>
    <n v="1"/>
    <n v="152076"/>
    <n v="152076"/>
  </r>
  <r>
    <x v="0"/>
    <n v="1"/>
    <x v="0"/>
    <x v="0"/>
    <x v="0"/>
    <n v="1005"/>
    <x v="0"/>
    <x v="0"/>
    <x v="0"/>
    <n v="3105"/>
    <x v="6"/>
    <n v="0"/>
    <x v="0"/>
    <s v="3 00"/>
    <n v="9"/>
    <n v="9865"/>
    <x v="12"/>
    <s v="Annual"/>
    <n v="1"/>
    <n v="1"/>
    <n v="88644"/>
    <n v="88644"/>
  </r>
  <r>
    <x v="0"/>
    <n v="1"/>
    <x v="0"/>
    <x v="0"/>
    <x v="0"/>
    <n v="1005"/>
    <x v="0"/>
    <x v="0"/>
    <x v="0"/>
    <n v="3105"/>
    <x v="6"/>
    <n v="0"/>
    <x v="0"/>
    <s v="3 00"/>
    <n v="9"/>
    <n v="9865"/>
    <x v="12"/>
    <s v="Annual"/>
    <n v="1"/>
    <n v="1"/>
    <n v="81960"/>
    <n v="81960"/>
  </r>
  <r>
    <x v="0"/>
    <n v="1"/>
    <x v="0"/>
    <x v="0"/>
    <x v="0"/>
    <n v="1005"/>
    <x v="0"/>
    <x v="0"/>
    <x v="0"/>
    <n v="3110"/>
    <x v="7"/>
    <n v="0"/>
    <x v="0"/>
    <s v="1 00"/>
    <n v="9"/>
    <n v="9875"/>
    <x v="2"/>
    <s v="Annual"/>
    <n v="2"/>
    <n v="1"/>
    <n v="99672"/>
    <n v="199344"/>
  </r>
  <r>
    <x v="0"/>
    <n v="1"/>
    <x v="0"/>
    <x v="0"/>
    <x v="0"/>
    <n v="1005"/>
    <x v="0"/>
    <x v="0"/>
    <x v="0"/>
    <n v="3110"/>
    <x v="7"/>
    <n v="0"/>
    <x v="0"/>
    <s v="1 00"/>
    <n v="9"/>
    <n v="9871"/>
    <x v="21"/>
    <s v="Annual"/>
    <n v="1"/>
    <n v="1"/>
    <n v="152076"/>
    <n v="152076"/>
  </r>
  <r>
    <x v="0"/>
    <n v="1"/>
    <x v="0"/>
    <x v="0"/>
    <x v="0"/>
    <n v="1005"/>
    <x v="0"/>
    <x v="0"/>
    <x v="0"/>
    <n v="3120"/>
    <x v="8"/>
    <n v="0"/>
    <x v="0"/>
    <s v="1 00"/>
    <n v="9"/>
    <n v="9877"/>
    <x v="1"/>
    <s v="Annual"/>
    <n v="1"/>
    <n v="1"/>
    <n v="160284"/>
    <n v="160284"/>
  </r>
  <r>
    <x v="0"/>
    <n v="1"/>
    <x v="0"/>
    <x v="0"/>
    <x v="0"/>
    <n v="1005"/>
    <x v="0"/>
    <x v="0"/>
    <x v="0"/>
    <n v="3120"/>
    <x v="8"/>
    <n v="0"/>
    <x v="0"/>
    <s v="1 00"/>
    <n v="9"/>
    <n v="9877"/>
    <x v="1"/>
    <s v="Annual"/>
    <n v="2"/>
    <n v="1"/>
    <n v="152172"/>
    <n v="304344"/>
  </r>
  <r>
    <x v="0"/>
    <n v="1"/>
    <x v="0"/>
    <x v="0"/>
    <x v="0"/>
    <n v="1005"/>
    <x v="0"/>
    <x v="0"/>
    <x v="0"/>
    <n v="3120"/>
    <x v="8"/>
    <n v="0"/>
    <x v="0"/>
    <s v="1 00"/>
    <n v="9"/>
    <n v="9877"/>
    <x v="1"/>
    <s v="Annual"/>
    <n v="1"/>
    <n v="1"/>
    <n v="144828"/>
    <n v="144828"/>
  </r>
  <r>
    <x v="0"/>
    <n v="1"/>
    <x v="0"/>
    <x v="0"/>
    <x v="0"/>
    <n v="1005"/>
    <x v="0"/>
    <x v="0"/>
    <x v="0"/>
    <n v="3120"/>
    <x v="8"/>
    <n v="0"/>
    <x v="0"/>
    <s v="1 00"/>
    <n v="9"/>
    <n v="9807"/>
    <x v="22"/>
    <s v="Annual"/>
    <n v="1"/>
    <n v="1"/>
    <n v="82740"/>
    <n v="82740"/>
  </r>
  <r>
    <x v="0"/>
    <n v="1"/>
    <x v="0"/>
    <x v="0"/>
    <x v="0"/>
    <n v="1005"/>
    <x v="0"/>
    <x v="0"/>
    <x v="0"/>
    <n v="3120"/>
    <x v="8"/>
    <n v="0"/>
    <x v="0"/>
    <s v="1 00"/>
    <n v="9"/>
    <n v="9807"/>
    <x v="22"/>
    <s v="Annual"/>
    <n v="1"/>
    <n v="1"/>
    <n v="76824"/>
    <n v="76824"/>
  </r>
  <r>
    <x v="0"/>
    <n v="1"/>
    <x v="0"/>
    <x v="0"/>
    <x v="0"/>
    <n v="1005"/>
    <x v="0"/>
    <x v="0"/>
    <x v="0"/>
    <n v="3120"/>
    <x v="8"/>
    <n v="0"/>
    <x v="0"/>
    <s v="3 00"/>
    <n v="9"/>
    <n v="9804"/>
    <x v="23"/>
    <s v="Annual"/>
    <n v="1"/>
    <n v="1"/>
    <n v="111864"/>
    <n v="111864"/>
  </r>
  <r>
    <x v="0"/>
    <n v="1"/>
    <x v="0"/>
    <x v="0"/>
    <x v="0"/>
    <n v="1005"/>
    <x v="0"/>
    <x v="0"/>
    <x v="0"/>
    <n v="3120"/>
    <x v="8"/>
    <n v="0"/>
    <x v="0"/>
    <s v="3 00"/>
    <n v="9"/>
    <n v="9804"/>
    <x v="23"/>
    <s v="Annual"/>
    <n v="1"/>
    <n v="1"/>
    <n v="105528"/>
    <n v="105528"/>
  </r>
  <r>
    <x v="0"/>
    <n v="1"/>
    <x v="0"/>
    <x v="0"/>
    <x v="0"/>
    <n v="1005"/>
    <x v="0"/>
    <x v="0"/>
    <x v="0"/>
    <n v="3120"/>
    <x v="8"/>
    <n v="0"/>
    <x v="0"/>
    <s v="3 00"/>
    <n v="9"/>
    <n v="9804"/>
    <x v="23"/>
    <s v="Annual"/>
    <n v="1"/>
    <n v="1"/>
    <n v="105012"/>
    <n v="105012"/>
  </r>
  <r>
    <x v="0"/>
    <n v="1"/>
    <x v="0"/>
    <x v="0"/>
    <x v="0"/>
    <n v="1005"/>
    <x v="0"/>
    <x v="0"/>
    <x v="0"/>
    <n v="3130"/>
    <x v="9"/>
    <n v="0"/>
    <x v="0"/>
    <s v="1 00"/>
    <n v="9"/>
    <n v="9898"/>
    <x v="9"/>
    <s v="Annual"/>
    <n v="1"/>
    <n v="1"/>
    <n v="195000"/>
    <n v="195000"/>
  </r>
  <r>
    <x v="0"/>
    <n v="1"/>
    <x v="0"/>
    <x v="0"/>
    <x v="0"/>
    <n v="1005"/>
    <x v="0"/>
    <x v="0"/>
    <x v="0"/>
    <n v="3130"/>
    <x v="9"/>
    <n v="0"/>
    <x v="0"/>
    <s v="1 00"/>
    <n v="9"/>
    <n v="9877"/>
    <x v="1"/>
    <s v="Annual"/>
    <n v="1"/>
    <n v="1"/>
    <n v="103488"/>
    <n v="103488"/>
  </r>
  <r>
    <x v="0"/>
    <n v="1"/>
    <x v="0"/>
    <x v="0"/>
    <x v="0"/>
    <n v="1005"/>
    <x v="0"/>
    <x v="0"/>
    <x v="0"/>
    <n v="3130"/>
    <x v="9"/>
    <n v="0"/>
    <x v="0"/>
    <s v="1 00"/>
    <n v="9"/>
    <n v="9875"/>
    <x v="2"/>
    <s v="Annual"/>
    <n v="1"/>
    <n v="1"/>
    <n v="98484"/>
    <n v="98484"/>
  </r>
  <r>
    <x v="0"/>
    <n v="1"/>
    <x v="0"/>
    <x v="0"/>
    <x v="0"/>
    <n v="1005"/>
    <x v="0"/>
    <x v="0"/>
    <x v="0"/>
    <n v="3130"/>
    <x v="9"/>
    <n v="0"/>
    <x v="0"/>
    <s v="1 00"/>
    <n v="9"/>
    <n v="9874"/>
    <x v="5"/>
    <s v="Annual"/>
    <n v="2"/>
    <n v="1"/>
    <n v="89616"/>
    <n v="179232"/>
  </r>
  <r>
    <x v="0"/>
    <n v="1"/>
    <x v="0"/>
    <x v="0"/>
    <x v="0"/>
    <n v="1005"/>
    <x v="0"/>
    <x v="0"/>
    <x v="0"/>
    <n v="3130"/>
    <x v="9"/>
    <n v="0"/>
    <x v="0"/>
    <s v="1 00"/>
    <n v="9"/>
    <n v="9873"/>
    <x v="11"/>
    <s v="Annual"/>
    <n v="1"/>
    <n v="1"/>
    <n v="140808"/>
    <n v="140808"/>
  </r>
  <r>
    <x v="0"/>
    <n v="1"/>
    <x v="0"/>
    <x v="0"/>
    <x v="0"/>
    <n v="1005"/>
    <x v="0"/>
    <x v="0"/>
    <x v="0"/>
    <n v="3135"/>
    <x v="10"/>
    <n v="0"/>
    <x v="0"/>
    <s v="1 00"/>
    <n v="9"/>
    <n v="9877"/>
    <x v="1"/>
    <s v="Annual"/>
    <n v="1"/>
    <n v="1"/>
    <n v="113148"/>
    <n v="113148"/>
  </r>
  <r>
    <x v="0"/>
    <n v="1"/>
    <x v="0"/>
    <x v="0"/>
    <x v="0"/>
    <n v="1005"/>
    <x v="0"/>
    <x v="0"/>
    <x v="0"/>
    <n v="3135"/>
    <x v="10"/>
    <n v="0"/>
    <x v="0"/>
    <s v="1 00"/>
    <n v="9"/>
    <n v="9874"/>
    <x v="5"/>
    <s v="Annual"/>
    <n v="1"/>
    <n v="1"/>
    <n v="90048"/>
    <n v="90048"/>
  </r>
  <r>
    <x v="0"/>
    <n v="1"/>
    <x v="0"/>
    <x v="0"/>
    <x v="0"/>
    <n v="1005"/>
    <x v="0"/>
    <x v="0"/>
    <x v="0"/>
    <n v="3135"/>
    <x v="10"/>
    <n v="0"/>
    <x v="0"/>
    <s v="1 00"/>
    <n v="9"/>
    <n v="9872"/>
    <x v="24"/>
    <s v="Annual"/>
    <n v="1"/>
    <n v="1"/>
    <n v="195000"/>
    <n v="195000"/>
  </r>
  <r>
    <x v="0"/>
    <n v="1"/>
    <x v="0"/>
    <x v="0"/>
    <x v="0"/>
    <n v="1005"/>
    <x v="0"/>
    <x v="0"/>
    <x v="0"/>
    <n v="3135"/>
    <x v="10"/>
    <n v="0"/>
    <x v="0"/>
    <s v="1 00"/>
    <n v="9"/>
    <n v="9871"/>
    <x v="21"/>
    <s v="Annual"/>
    <n v="1"/>
    <n v="1"/>
    <n v="169956"/>
    <n v="169956"/>
  </r>
  <r>
    <x v="0"/>
    <n v="1"/>
    <x v="0"/>
    <x v="0"/>
    <x v="0"/>
    <n v="1005"/>
    <x v="0"/>
    <x v="0"/>
    <x v="0"/>
    <n v="3135"/>
    <x v="10"/>
    <n v="0"/>
    <x v="0"/>
    <s v="1 00"/>
    <n v="9"/>
    <n v="9871"/>
    <x v="21"/>
    <s v="Annual"/>
    <n v="1"/>
    <n v="1"/>
    <n v="140805"/>
    <n v="140805"/>
  </r>
  <r>
    <x v="0"/>
    <n v="1"/>
    <x v="0"/>
    <x v="0"/>
    <x v="0"/>
    <n v="1005"/>
    <x v="0"/>
    <x v="0"/>
    <x v="0"/>
    <n v="3135"/>
    <x v="10"/>
    <n v="0"/>
    <x v="0"/>
    <s v="3 00"/>
    <n v="9"/>
    <n v="9866"/>
    <x v="25"/>
    <s v="Annual"/>
    <n v="1"/>
    <n v="1"/>
    <n v="90000"/>
    <n v="90000"/>
  </r>
  <r>
    <x v="0"/>
    <n v="1"/>
    <x v="0"/>
    <x v="0"/>
    <x v="0"/>
    <n v="1005"/>
    <x v="0"/>
    <x v="0"/>
    <x v="0"/>
    <n v="3145"/>
    <x v="11"/>
    <n v="0"/>
    <x v="0"/>
    <s v="1 00"/>
    <n v="9"/>
    <n v="9877"/>
    <x v="1"/>
    <s v="Annual"/>
    <n v="1"/>
    <n v="1"/>
    <n v="110464"/>
    <n v="110464"/>
  </r>
  <r>
    <x v="0"/>
    <n v="1"/>
    <x v="0"/>
    <x v="0"/>
    <x v="0"/>
    <n v="1005"/>
    <x v="0"/>
    <x v="0"/>
    <x v="0"/>
    <n v="3145"/>
    <x v="11"/>
    <n v="0"/>
    <x v="0"/>
    <s v="1 00"/>
    <n v="9"/>
    <n v="9873"/>
    <x v="11"/>
    <s v="Annual"/>
    <n v="1"/>
    <n v="1"/>
    <n v="152172"/>
    <n v="152172"/>
  </r>
  <r>
    <x v="0"/>
    <n v="1"/>
    <x v="0"/>
    <x v="0"/>
    <x v="0"/>
    <n v="1005"/>
    <x v="0"/>
    <x v="0"/>
    <x v="0"/>
    <n v="3145"/>
    <x v="11"/>
    <n v="0"/>
    <x v="0"/>
    <s v="3 00"/>
    <n v="9"/>
    <n v="9865"/>
    <x v="12"/>
    <s v="Annual"/>
    <n v="1"/>
    <n v="1"/>
    <n v="95568"/>
    <n v="95568"/>
  </r>
  <r>
    <x v="0"/>
    <n v="1"/>
    <x v="0"/>
    <x v="0"/>
    <x v="0"/>
    <n v="1005"/>
    <x v="0"/>
    <x v="0"/>
    <x v="0"/>
    <n v="3160"/>
    <x v="12"/>
    <n v="0"/>
    <x v="0"/>
    <s v="1 00"/>
    <n v="9"/>
    <n v="9872"/>
    <x v="24"/>
    <s v="Annual"/>
    <n v="1"/>
    <n v="1"/>
    <n v="195000"/>
    <n v="195000"/>
  </r>
  <r>
    <x v="0"/>
    <n v="1"/>
    <x v="0"/>
    <x v="0"/>
    <x v="0"/>
    <n v="1005"/>
    <x v="0"/>
    <x v="0"/>
    <x v="0"/>
    <n v="3160"/>
    <x v="12"/>
    <n v="0"/>
    <x v="0"/>
    <s v="1 00"/>
    <n v="9"/>
    <n v="9871"/>
    <x v="21"/>
    <s v="Annual"/>
    <n v="1"/>
    <n v="1"/>
    <n v="152172"/>
    <n v="152172"/>
  </r>
  <r>
    <x v="0"/>
    <n v="1"/>
    <x v="0"/>
    <x v="0"/>
    <x v="0"/>
    <n v="1005"/>
    <x v="0"/>
    <x v="0"/>
    <x v="0"/>
    <n v="3160"/>
    <x v="12"/>
    <n v="0"/>
    <x v="0"/>
    <s v="3 00"/>
    <n v="9"/>
    <n v="9866"/>
    <x v="25"/>
    <s v="Annual"/>
    <n v="1"/>
    <n v="1"/>
    <n v="105528"/>
    <n v="105528"/>
  </r>
  <r>
    <x v="0"/>
    <n v="1"/>
    <x v="0"/>
    <x v="0"/>
    <x v="0"/>
    <n v="1005"/>
    <x v="0"/>
    <x v="0"/>
    <x v="0"/>
    <n v="3170"/>
    <x v="13"/>
    <n v="0"/>
    <x v="0"/>
    <s v="1 00"/>
    <n v="9"/>
    <n v="9877"/>
    <x v="1"/>
    <s v="Annual"/>
    <n v="1"/>
    <n v="1"/>
    <n v="127488"/>
    <n v="127488"/>
  </r>
  <r>
    <x v="0"/>
    <n v="1"/>
    <x v="0"/>
    <x v="0"/>
    <x v="0"/>
    <n v="1005"/>
    <x v="0"/>
    <x v="0"/>
    <x v="0"/>
    <n v="3170"/>
    <x v="13"/>
    <n v="0"/>
    <x v="0"/>
    <s v="1 00"/>
    <n v="9"/>
    <n v="9872"/>
    <x v="24"/>
    <s v="Annual"/>
    <n v="1"/>
    <n v="1"/>
    <n v="195000"/>
    <n v="195000"/>
  </r>
  <r>
    <x v="0"/>
    <n v="1"/>
    <x v="0"/>
    <x v="0"/>
    <x v="0"/>
    <n v="1005"/>
    <x v="0"/>
    <x v="0"/>
    <x v="0"/>
    <n v="3180"/>
    <x v="14"/>
    <n v="0"/>
    <x v="0"/>
    <s v="1 00"/>
    <n v="9"/>
    <n v="9877"/>
    <x v="1"/>
    <s v="Annual"/>
    <n v="1"/>
    <n v="1"/>
    <n v="118464"/>
    <n v="118464"/>
  </r>
  <r>
    <x v="0"/>
    <n v="1"/>
    <x v="0"/>
    <x v="0"/>
    <x v="0"/>
    <n v="1005"/>
    <x v="0"/>
    <x v="0"/>
    <x v="0"/>
    <n v="3180"/>
    <x v="14"/>
    <n v="0"/>
    <x v="0"/>
    <s v="1 00"/>
    <n v="9"/>
    <n v="9874"/>
    <x v="5"/>
    <s v="Annual"/>
    <n v="1"/>
    <n v="1"/>
    <n v="87000"/>
    <n v="87000"/>
  </r>
  <r>
    <x v="0"/>
    <n v="1"/>
    <x v="0"/>
    <x v="0"/>
    <x v="0"/>
    <n v="1005"/>
    <x v="0"/>
    <x v="0"/>
    <x v="0"/>
    <n v="3180"/>
    <x v="14"/>
    <n v="0"/>
    <x v="0"/>
    <s v="1 00"/>
    <n v="9"/>
    <n v="9872"/>
    <x v="24"/>
    <s v="Annual"/>
    <n v="1"/>
    <n v="1"/>
    <n v="195000"/>
    <n v="195000"/>
  </r>
  <r>
    <x v="0"/>
    <n v="1"/>
    <x v="0"/>
    <x v="0"/>
    <x v="0"/>
    <n v="1005"/>
    <x v="0"/>
    <x v="0"/>
    <x v="0"/>
    <n v="3185"/>
    <x v="15"/>
    <n v="0"/>
    <x v="0"/>
    <s v="1 00"/>
    <n v="9"/>
    <n v="9877"/>
    <x v="1"/>
    <s v="Annual"/>
    <n v="1"/>
    <n v="1"/>
    <n v="125676"/>
    <n v="125676"/>
  </r>
  <r>
    <x v="0"/>
    <n v="1"/>
    <x v="0"/>
    <x v="0"/>
    <x v="0"/>
    <n v="1005"/>
    <x v="0"/>
    <x v="0"/>
    <x v="0"/>
    <n v="3185"/>
    <x v="15"/>
    <n v="0"/>
    <x v="0"/>
    <s v="1 00"/>
    <n v="9"/>
    <n v="9877"/>
    <x v="1"/>
    <s v="Annual"/>
    <n v="1"/>
    <n v="1"/>
    <n v="105528"/>
    <n v="105528"/>
  </r>
  <r>
    <x v="0"/>
    <n v="1"/>
    <x v="0"/>
    <x v="0"/>
    <x v="0"/>
    <n v="1005"/>
    <x v="0"/>
    <x v="0"/>
    <x v="0"/>
    <n v="3185"/>
    <x v="15"/>
    <n v="0"/>
    <x v="0"/>
    <s v="1 00"/>
    <n v="9"/>
    <n v="9872"/>
    <x v="24"/>
    <s v="Annual"/>
    <n v="1"/>
    <n v="1"/>
    <n v="195000"/>
    <n v="195000"/>
  </r>
  <r>
    <x v="0"/>
    <n v="1"/>
    <x v="0"/>
    <x v="0"/>
    <x v="0"/>
    <n v="1005"/>
    <x v="0"/>
    <x v="0"/>
    <x v="0"/>
    <n v="3185"/>
    <x v="15"/>
    <n v="0"/>
    <x v="0"/>
    <s v="1 00"/>
    <n v="9"/>
    <n v="9871"/>
    <x v="21"/>
    <s v="Annual"/>
    <n v="1"/>
    <n v="1"/>
    <n v="140808"/>
    <n v="140808"/>
  </r>
  <r>
    <x v="0"/>
    <n v="1"/>
    <x v="0"/>
    <x v="0"/>
    <x v="0"/>
    <n v="1005"/>
    <x v="0"/>
    <x v="0"/>
    <x v="0"/>
    <n v="3185"/>
    <x v="15"/>
    <n v="0"/>
    <x v="0"/>
    <s v="3 00"/>
    <n v="9"/>
    <n v="9865"/>
    <x v="12"/>
    <s v="Annual"/>
    <n v="1"/>
    <n v="1"/>
    <n v="89616"/>
    <n v="89616"/>
  </r>
  <r>
    <x v="0"/>
    <n v="1"/>
    <x v="0"/>
    <x v="0"/>
    <x v="0"/>
    <n v="1005"/>
    <x v="0"/>
    <x v="0"/>
    <x v="0"/>
    <n v="3185"/>
    <x v="15"/>
    <n v="0"/>
    <x v="0"/>
    <s v="3 00"/>
    <n v="9"/>
    <n v="9865"/>
    <x v="12"/>
    <s v="Annual"/>
    <n v="1"/>
    <n v="1"/>
    <n v="84456"/>
    <n v="84456"/>
  </r>
  <r>
    <x v="0"/>
    <n v="3"/>
    <x v="1"/>
    <x v="0"/>
    <x v="0"/>
    <n v="1005"/>
    <x v="1"/>
    <x v="0"/>
    <x v="1"/>
    <n v="3010"/>
    <x v="16"/>
    <n v="0"/>
    <x v="0"/>
    <s v="1 00"/>
    <n v="9"/>
    <n v="9903"/>
    <x v="26"/>
    <s v="Annual"/>
    <n v="1"/>
    <n v="1"/>
    <n v="200892"/>
    <n v="200892"/>
  </r>
  <r>
    <x v="0"/>
    <n v="3"/>
    <x v="1"/>
    <x v="0"/>
    <x v="0"/>
    <n v="1005"/>
    <x v="1"/>
    <x v="0"/>
    <x v="1"/>
    <n v="3010"/>
    <x v="16"/>
    <n v="0"/>
    <x v="0"/>
    <s v="GY 11"/>
    <n v="20"/>
    <n v="3051"/>
    <x v="27"/>
    <s v="Annual"/>
    <n v="1"/>
    <n v="1"/>
    <n v="141132"/>
    <n v="141132"/>
  </r>
  <r>
    <x v="0"/>
    <n v="3"/>
    <x v="1"/>
    <x v="0"/>
    <x v="0"/>
    <n v="1005"/>
    <x v="1"/>
    <x v="0"/>
    <x v="1"/>
    <n v="3010"/>
    <x v="16"/>
    <n v="0"/>
    <x v="0"/>
    <s v="BX 13"/>
    <n v="20"/>
    <n v="1396"/>
    <x v="28"/>
    <s v="Annual"/>
    <n v="1"/>
    <n v="1"/>
    <n v="60660"/>
    <n v="60660"/>
  </r>
  <r>
    <x v="0"/>
    <n v="3"/>
    <x v="1"/>
    <x v="0"/>
    <x v="0"/>
    <n v="1005"/>
    <x v="1"/>
    <x v="0"/>
    <x v="1"/>
    <n v="3010"/>
    <x v="16"/>
    <n v="0"/>
    <x v="0"/>
    <s v="BX 18"/>
    <n v="10"/>
    <n v="1307"/>
    <x v="29"/>
    <s v="Annual"/>
    <n v="1"/>
    <n v="1"/>
    <n v="97836"/>
    <n v="97836"/>
  </r>
  <r>
    <x v="0"/>
    <n v="3"/>
    <x v="1"/>
    <x v="0"/>
    <x v="0"/>
    <n v="1005"/>
    <x v="1"/>
    <x v="0"/>
    <x v="1"/>
    <n v="3010"/>
    <x v="16"/>
    <n v="0"/>
    <x v="0"/>
    <s v="BX 16"/>
    <n v="10"/>
    <n v="802"/>
    <x v="30"/>
    <s v="Annual"/>
    <n v="1"/>
    <n v="1"/>
    <n v="80124"/>
    <n v="80124"/>
  </r>
  <r>
    <x v="0"/>
    <n v="3"/>
    <x v="1"/>
    <x v="0"/>
    <x v="0"/>
    <n v="1005"/>
    <x v="1"/>
    <x v="0"/>
    <x v="1"/>
    <n v="3010"/>
    <x v="16"/>
    <n v="0"/>
    <x v="0"/>
    <s v="BX 17"/>
    <n v="10"/>
    <n v="790"/>
    <x v="31"/>
    <s v="Annual"/>
    <n v="1"/>
    <n v="1"/>
    <n v="97836"/>
    <n v="97836"/>
  </r>
  <r>
    <x v="0"/>
    <n v="3"/>
    <x v="1"/>
    <x v="0"/>
    <x v="0"/>
    <n v="1005"/>
    <x v="1"/>
    <x v="0"/>
    <x v="1"/>
    <n v="3010"/>
    <x v="16"/>
    <n v="0"/>
    <x v="0"/>
    <s v="BX 17"/>
    <n v="10"/>
    <n v="790"/>
    <x v="31"/>
    <s v="Annual"/>
    <n v="1"/>
    <n v="1"/>
    <n v="93384"/>
    <n v="93384"/>
  </r>
  <r>
    <x v="0"/>
    <n v="3"/>
    <x v="1"/>
    <x v="0"/>
    <x v="0"/>
    <n v="1005"/>
    <x v="1"/>
    <x v="0"/>
    <x v="1"/>
    <n v="3010"/>
    <x v="16"/>
    <n v="0"/>
    <x v="0"/>
    <s v="B 15"/>
    <n v="1"/>
    <n v="729"/>
    <x v="32"/>
    <s v="Annual"/>
    <n v="1"/>
    <n v="1"/>
    <n v="93504"/>
    <n v="93504"/>
  </r>
  <r>
    <x v="0"/>
    <n v="3"/>
    <x v="1"/>
    <x v="0"/>
    <x v="0"/>
    <n v="1005"/>
    <x v="1"/>
    <x v="0"/>
    <x v="1"/>
    <n v="3010"/>
    <x v="16"/>
    <n v="0"/>
    <x v="0"/>
    <s v="PX 02"/>
    <n v="9"/>
    <n v="705"/>
    <x v="33"/>
    <s v="Annual"/>
    <n v="1"/>
    <n v="1"/>
    <n v="132912"/>
    <n v="132912"/>
  </r>
  <r>
    <x v="0"/>
    <n v="3"/>
    <x v="1"/>
    <x v="0"/>
    <x v="0"/>
    <n v="1005"/>
    <x v="1"/>
    <x v="0"/>
    <x v="1"/>
    <n v="3010"/>
    <x v="16"/>
    <n v="0"/>
    <x v="0"/>
    <s v="BX 12"/>
    <n v="20"/>
    <n v="323"/>
    <x v="34"/>
    <s v="Annual"/>
    <n v="1"/>
    <n v="1"/>
    <n v="60660"/>
    <n v="60660"/>
  </r>
  <r>
    <x v="0"/>
    <n v="3"/>
    <x v="1"/>
    <x v="0"/>
    <x v="0"/>
    <n v="1005"/>
    <x v="1"/>
    <x v="0"/>
    <x v="1"/>
    <n v="3010"/>
    <x v="16"/>
    <n v="0"/>
    <x v="0"/>
    <s v="GY 09"/>
    <n v="20"/>
    <n v="171"/>
    <x v="35"/>
    <s v="Annual"/>
    <n v="1"/>
    <n v="1"/>
    <n v="89112"/>
    <n v="89112"/>
  </r>
  <r>
    <x v="0"/>
    <n v="3"/>
    <x v="1"/>
    <x v="0"/>
    <x v="0"/>
    <n v="1005"/>
    <x v="1"/>
    <x v="0"/>
    <x v="1"/>
    <n v="3010"/>
    <x v="16"/>
    <n v="0"/>
    <x v="0"/>
    <s v="BX 13"/>
    <n v="10"/>
    <n v="127"/>
    <x v="36"/>
    <s v="Annual"/>
    <n v="1"/>
    <n v="1"/>
    <n v="66516"/>
    <n v="66516"/>
  </r>
  <r>
    <x v="0"/>
    <n v="3"/>
    <x v="1"/>
    <x v="0"/>
    <x v="0"/>
    <n v="1005"/>
    <x v="1"/>
    <x v="0"/>
    <x v="1"/>
    <n v="3010"/>
    <x v="16"/>
    <n v="0"/>
    <x v="0"/>
    <s v="1 00"/>
    <n v="0"/>
    <n v="15"/>
    <x v="37"/>
    <s v="Annual"/>
    <n v="0"/>
    <n v="0"/>
    <n v="10492"/>
    <n v="10492"/>
  </r>
  <r>
    <x v="0"/>
    <n v="3"/>
    <x v="1"/>
    <x v="0"/>
    <x v="0"/>
    <n v="1005"/>
    <x v="1"/>
    <x v="0"/>
    <x v="1"/>
    <n v="3015"/>
    <x v="17"/>
    <n v="0"/>
    <x v="0"/>
    <s v="X 32"/>
    <n v="9"/>
    <n v="9756"/>
    <x v="38"/>
    <s v="Annual"/>
    <n v="1"/>
    <n v="1"/>
    <n v="181356"/>
    <n v="181356"/>
  </r>
  <r>
    <x v="0"/>
    <n v="3"/>
    <x v="1"/>
    <x v="0"/>
    <x v="0"/>
    <n v="1005"/>
    <x v="1"/>
    <x v="0"/>
    <x v="1"/>
    <n v="3015"/>
    <x v="17"/>
    <n v="0"/>
    <x v="0"/>
    <s v="BX 15"/>
    <n v="10"/>
    <n v="1611"/>
    <x v="39"/>
    <s v="Annual"/>
    <n v="1"/>
    <n v="1"/>
    <n v="76476"/>
    <n v="76476"/>
  </r>
  <r>
    <x v="0"/>
    <n v="3"/>
    <x v="1"/>
    <x v="0"/>
    <x v="0"/>
    <n v="1005"/>
    <x v="1"/>
    <x v="0"/>
    <x v="1"/>
    <n v="3015"/>
    <x v="17"/>
    <n v="0"/>
    <x v="0"/>
    <s v="GY 09"/>
    <n v="9"/>
    <n v="1264"/>
    <x v="40"/>
    <s v="Annual"/>
    <n v="2"/>
    <n v="1"/>
    <n v="89112"/>
    <n v="178224"/>
  </r>
  <r>
    <x v="0"/>
    <n v="3"/>
    <x v="1"/>
    <x v="0"/>
    <x v="0"/>
    <n v="1005"/>
    <x v="1"/>
    <x v="0"/>
    <x v="1"/>
    <n v="3015"/>
    <x v="17"/>
    <n v="0"/>
    <x v="0"/>
    <s v="GY 12"/>
    <n v="0"/>
    <n v="1262"/>
    <x v="41"/>
    <s v="Annual"/>
    <n v="2"/>
    <n v="1"/>
    <n v="144756"/>
    <n v="289512"/>
  </r>
  <r>
    <x v="0"/>
    <n v="3"/>
    <x v="1"/>
    <x v="0"/>
    <x v="0"/>
    <n v="1005"/>
    <x v="1"/>
    <x v="0"/>
    <x v="1"/>
    <n v="3015"/>
    <x v="17"/>
    <n v="0"/>
    <x v="0"/>
    <s v="GY 12"/>
    <n v="0"/>
    <n v="1262"/>
    <x v="41"/>
    <s v="Annual"/>
    <n v="2"/>
    <n v="1"/>
    <n v="131124"/>
    <n v="262248"/>
  </r>
  <r>
    <x v="0"/>
    <n v="3"/>
    <x v="1"/>
    <x v="0"/>
    <x v="0"/>
    <n v="1005"/>
    <x v="1"/>
    <x v="0"/>
    <x v="1"/>
    <n v="3015"/>
    <x v="17"/>
    <n v="0"/>
    <x v="0"/>
    <s v="GY 12"/>
    <n v="0"/>
    <n v="1262"/>
    <x v="41"/>
    <s v="Annual"/>
    <n v="2"/>
    <n v="1"/>
    <n v="115992"/>
    <n v="231984"/>
  </r>
  <r>
    <x v="0"/>
    <n v="3"/>
    <x v="1"/>
    <x v="0"/>
    <x v="0"/>
    <n v="1005"/>
    <x v="1"/>
    <x v="0"/>
    <x v="1"/>
    <n v="3015"/>
    <x v="17"/>
    <n v="0"/>
    <x v="0"/>
    <s v="BX 12"/>
    <n v="10"/>
    <n v="1230"/>
    <x v="42"/>
    <s v="Annual"/>
    <n v="1"/>
    <n v="1"/>
    <n v="57852"/>
    <n v="57852"/>
  </r>
  <r>
    <x v="0"/>
    <n v="3"/>
    <x v="1"/>
    <x v="0"/>
    <x v="0"/>
    <n v="1005"/>
    <x v="1"/>
    <x v="0"/>
    <x v="1"/>
    <n v="3015"/>
    <x v="17"/>
    <n v="0"/>
    <x v="0"/>
    <s v="BX 12"/>
    <n v="10"/>
    <n v="1230"/>
    <x v="42"/>
    <s v="Annual"/>
    <n v="1"/>
    <n v="1"/>
    <n v="55272"/>
    <n v="55272"/>
  </r>
  <r>
    <x v="0"/>
    <n v="3"/>
    <x v="1"/>
    <x v="0"/>
    <x v="0"/>
    <n v="1005"/>
    <x v="1"/>
    <x v="0"/>
    <x v="1"/>
    <n v="3015"/>
    <x v="17"/>
    <n v="0"/>
    <x v="0"/>
    <s v="BX 12"/>
    <n v="10"/>
    <n v="1230"/>
    <x v="42"/>
    <s v="Annual"/>
    <n v="2"/>
    <n v="1"/>
    <n v="52716"/>
    <n v="105432"/>
  </r>
  <r>
    <x v="0"/>
    <n v="3"/>
    <x v="1"/>
    <x v="0"/>
    <x v="0"/>
    <n v="1005"/>
    <x v="1"/>
    <x v="0"/>
    <x v="1"/>
    <n v="3015"/>
    <x v="17"/>
    <n v="0"/>
    <x v="0"/>
    <s v="X 33"/>
    <n v="0"/>
    <n v="1215"/>
    <x v="43"/>
    <s v="Annual"/>
    <n v="1"/>
    <n v="1"/>
    <n v="153384"/>
    <n v="153384"/>
  </r>
  <r>
    <x v="0"/>
    <n v="3"/>
    <x v="1"/>
    <x v="0"/>
    <x v="0"/>
    <n v="1005"/>
    <x v="1"/>
    <x v="0"/>
    <x v="1"/>
    <n v="3015"/>
    <x v="17"/>
    <n v="0"/>
    <x v="0"/>
    <s v="X 33"/>
    <n v="0"/>
    <n v="1202"/>
    <x v="44"/>
    <s v="Annual"/>
    <n v="3"/>
    <n v="1"/>
    <n v="158508"/>
    <n v="475524"/>
  </r>
  <r>
    <x v="0"/>
    <n v="3"/>
    <x v="1"/>
    <x v="0"/>
    <x v="0"/>
    <n v="1005"/>
    <x v="1"/>
    <x v="0"/>
    <x v="1"/>
    <n v="3015"/>
    <x v="17"/>
    <n v="0"/>
    <x v="0"/>
    <s v="1 00"/>
    <n v="0"/>
    <n v="15"/>
    <x v="37"/>
    <s v="Annual"/>
    <n v="0"/>
    <n v="0"/>
    <n v="19611"/>
    <n v="19611"/>
  </r>
  <r>
    <x v="0"/>
    <n v="3"/>
    <x v="1"/>
    <x v="0"/>
    <x v="0"/>
    <n v="1005"/>
    <x v="1"/>
    <x v="0"/>
    <x v="1"/>
    <n v="3020"/>
    <x v="18"/>
    <n v="0"/>
    <x v="0"/>
    <s v="X 32"/>
    <n v="9"/>
    <n v="9659"/>
    <x v="45"/>
    <s v="Annual"/>
    <n v="1"/>
    <n v="1"/>
    <n v="175512"/>
    <n v="175512"/>
  </r>
  <r>
    <x v="0"/>
    <n v="3"/>
    <x v="1"/>
    <x v="0"/>
    <x v="0"/>
    <n v="1005"/>
    <x v="1"/>
    <x v="0"/>
    <x v="1"/>
    <n v="3020"/>
    <x v="18"/>
    <n v="0"/>
    <x v="0"/>
    <s v="X 33"/>
    <n v="0"/>
    <n v="1260"/>
    <x v="46"/>
    <s v="Annual"/>
    <n v="1"/>
    <n v="1"/>
    <n v="153384"/>
    <n v="153384"/>
  </r>
  <r>
    <x v="0"/>
    <n v="3"/>
    <x v="1"/>
    <x v="0"/>
    <x v="0"/>
    <n v="1005"/>
    <x v="1"/>
    <x v="0"/>
    <x v="1"/>
    <n v="3020"/>
    <x v="18"/>
    <n v="0"/>
    <x v="0"/>
    <s v="X 33"/>
    <n v="0"/>
    <n v="1260"/>
    <x v="46"/>
    <s v="Annual"/>
    <n v="1"/>
    <n v="1"/>
    <n v="146808"/>
    <n v="146808"/>
  </r>
  <r>
    <x v="0"/>
    <n v="3"/>
    <x v="1"/>
    <x v="0"/>
    <x v="0"/>
    <n v="1005"/>
    <x v="1"/>
    <x v="0"/>
    <x v="1"/>
    <n v="3020"/>
    <x v="18"/>
    <n v="0"/>
    <x v="0"/>
    <s v="GY 09"/>
    <n v="0"/>
    <n v="1222"/>
    <x v="47"/>
    <s v="Annual"/>
    <n v="2"/>
    <n v="1"/>
    <n v="122556"/>
    <n v="245112"/>
  </r>
  <r>
    <x v="0"/>
    <n v="3"/>
    <x v="1"/>
    <x v="0"/>
    <x v="0"/>
    <n v="1005"/>
    <x v="1"/>
    <x v="0"/>
    <x v="1"/>
    <n v="3020"/>
    <x v="18"/>
    <n v="0"/>
    <x v="0"/>
    <s v="GY 09"/>
    <n v="0"/>
    <n v="1222"/>
    <x v="47"/>
    <s v="Annual"/>
    <n v="1"/>
    <n v="1"/>
    <n v="111000"/>
    <n v="111000"/>
  </r>
  <r>
    <x v="0"/>
    <n v="3"/>
    <x v="1"/>
    <x v="0"/>
    <x v="0"/>
    <n v="1005"/>
    <x v="1"/>
    <x v="0"/>
    <x v="1"/>
    <n v="3020"/>
    <x v="18"/>
    <n v="0"/>
    <x v="0"/>
    <s v="GY 09"/>
    <n v="0"/>
    <n v="1222"/>
    <x v="47"/>
    <s v="Annual"/>
    <n v="1"/>
    <n v="1"/>
    <n v="101628"/>
    <n v="101628"/>
  </r>
  <r>
    <x v="0"/>
    <n v="3"/>
    <x v="1"/>
    <x v="0"/>
    <x v="0"/>
    <n v="1005"/>
    <x v="1"/>
    <x v="0"/>
    <x v="1"/>
    <n v="3020"/>
    <x v="18"/>
    <n v="0"/>
    <x v="0"/>
    <s v="GY 08"/>
    <n v="0"/>
    <n v="1221"/>
    <x v="48"/>
    <s v="Annual"/>
    <n v="1"/>
    <n v="1"/>
    <n v="101628"/>
    <n v="101628"/>
  </r>
  <r>
    <x v="0"/>
    <n v="3"/>
    <x v="1"/>
    <x v="0"/>
    <x v="0"/>
    <n v="1005"/>
    <x v="1"/>
    <x v="0"/>
    <x v="1"/>
    <n v="3020"/>
    <x v="18"/>
    <n v="0"/>
    <x v="0"/>
    <s v="GY 08"/>
    <n v="0"/>
    <n v="1221"/>
    <x v="48"/>
    <s v="Annual"/>
    <n v="1"/>
    <n v="1"/>
    <n v="82884"/>
    <n v="82884"/>
  </r>
  <r>
    <x v="0"/>
    <n v="3"/>
    <x v="1"/>
    <x v="0"/>
    <x v="0"/>
    <n v="1005"/>
    <x v="1"/>
    <x v="0"/>
    <x v="1"/>
    <n v="3020"/>
    <x v="18"/>
    <n v="0"/>
    <x v="0"/>
    <s v="GY 06"/>
    <n v="0"/>
    <n v="1219"/>
    <x v="49"/>
    <s v="Annual"/>
    <n v="1"/>
    <n v="1"/>
    <n v="82884"/>
    <n v="82884"/>
  </r>
  <r>
    <x v="0"/>
    <n v="3"/>
    <x v="1"/>
    <x v="0"/>
    <x v="0"/>
    <n v="1005"/>
    <x v="1"/>
    <x v="0"/>
    <x v="1"/>
    <n v="3020"/>
    <x v="18"/>
    <n v="0"/>
    <x v="0"/>
    <s v="GY 06"/>
    <n v="0"/>
    <n v="1219"/>
    <x v="49"/>
    <s v="Annual"/>
    <n v="2"/>
    <n v="1"/>
    <n v="72384"/>
    <n v="144768"/>
  </r>
  <r>
    <x v="0"/>
    <n v="3"/>
    <x v="1"/>
    <x v="0"/>
    <x v="0"/>
    <n v="1005"/>
    <x v="1"/>
    <x v="0"/>
    <x v="1"/>
    <n v="3020"/>
    <x v="18"/>
    <n v="0"/>
    <x v="0"/>
    <s v="GY 06"/>
    <n v="0"/>
    <n v="1219"/>
    <x v="49"/>
    <s v="Annual"/>
    <n v="1"/>
    <n v="1"/>
    <n v="68856"/>
    <n v="68856"/>
  </r>
  <r>
    <x v="0"/>
    <n v="3"/>
    <x v="1"/>
    <x v="0"/>
    <x v="0"/>
    <n v="1005"/>
    <x v="1"/>
    <x v="0"/>
    <x v="1"/>
    <n v="3020"/>
    <x v="18"/>
    <n v="0"/>
    <x v="0"/>
    <s v="1 00"/>
    <n v="0"/>
    <n v="15"/>
    <x v="37"/>
    <s v="Annual"/>
    <n v="0"/>
    <n v="0"/>
    <n v="20961"/>
    <n v="20961"/>
  </r>
  <r>
    <x v="0"/>
    <n v="3"/>
    <x v="1"/>
    <x v="0"/>
    <x v="0"/>
    <n v="1005"/>
    <x v="1"/>
    <x v="0"/>
    <x v="1"/>
    <n v="3027"/>
    <x v="19"/>
    <n v="0"/>
    <x v="0"/>
    <s v="GY 08"/>
    <n v="20"/>
    <n v="1126"/>
    <x v="50"/>
    <s v="Annual"/>
    <n v="1"/>
    <n v="1"/>
    <n v="106272"/>
    <n v="106272"/>
  </r>
  <r>
    <x v="0"/>
    <n v="3"/>
    <x v="1"/>
    <x v="0"/>
    <x v="0"/>
    <n v="1005"/>
    <x v="1"/>
    <x v="0"/>
    <x v="1"/>
    <n v="3027"/>
    <x v="19"/>
    <n v="0"/>
    <x v="0"/>
    <s v="GY 08"/>
    <n v="20"/>
    <n v="1126"/>
    <x v="50"/>
    <s v="Annual"/>
    <n v="1"/>
    <n v="1"/>
    <n v="101628"/>
    <n v="101628"/>
  </r>
  <r>
    <x v="0"/>
    <n v="3"/>
    <x v="1"/>
    <x v="0"/>
    <x v="0"/>
    <n v="1005"/>
    <x v="1"/>
    <x v="0"/>
    <x v="1"/>
    <n v="3027"/>
    <x v="19"/>
    <n v="0"/>
    <x v="0"/>
    <s v="GY 07"/>
    <n v="20"/>
    <n v="1125"/>
    <x v="51"/>
    <s v="Annual"/>
    <n v="1"/>
    <n v="1"/>
    <n v="97332"/>
    <n v="97332"/>
  </r>
  <r>
    <x v="0"/>
    <n v="3"/>
    <x v="1"/>
    <x v="0"/>
    <x v="0"/>
    <n v="1005"/>
    <x v="1"/>
    <x v="0"/>
    <x v="1"/>
    <n v="3027"/>
    <x v="19"/>
    <n v="0"/>
    <x v="0"/>
    <s v="GY 07"/>
    <n v="20"/>
    <n v="1125"/>
    <x v="51"/>
    <s v="Annual"/>
    <n v="1"/>
    <n v="1"/>
    <n v="85236"/>
    <n v="85236"/>
  </r>
  <r>
    <x v="0"/>
    <n v="3"/>
    <x v="1"/>
    <x v="0"/>
    <x v="0"/>
    <n v="1005"/>
    <x v="1"/>
    <x v="0"/>
    <x v="1"/>
    <n v="3027"/>
    <x v="19"/>
    <n v="0"/>
    <x v="0"/>
    <s v="1 00"/>
    <n v="0"/>
    <n v="15"/>
    <x v="37"/>
    <s v="Annual"/>
    <n v="0"/>
    <n v="0"/>
    <n v="7752"/>
    <n v="7752"/>
  </r>
  <r>
    <x v="0"/>
    <n v="3"/>
    <x v="1"/>
    <x v="0"/>
    <x v="0"/>
    <n v="1005"/>
    <x v="1"/>
    <x v="0"/>
    <x v="1"/>
    <n v="3032"/>
    <x v="20"/>
    <n v="0"/>
    <x v="0"/>
    <s v="X 32"/>
    <n v="9"/>
    <n v="9659"/>
    <x v="45"/>
    <s v="Annual"/>
    <n v="1"/>
    <n v="1"/>
    <n v="181356"/>
    <n v="181356"/>
  </r>
  <r>
    <x v="0"/>
    <n v="3"/>
    <x v="1"/>
    <x v="0"/>
    <x v="0"/>
    <n v="1005"/>
    <x v="1"/>
    <x v="0"/>
    <x v="1"/>
    <n v="3032"/>
    <x v="20"/>
    <n v="0"/>
    <x v="0"/>
    <s v="GY 08"/>
    <n v="20"/>
    <n v="1289"/>
    <x v="52"/>
    <s v="Annual"/>
    <n v="2"/>
    <n v="1"/>
    <n v="97332"/>
    <n v="194664"/>
  </r>
  <r>
    <x v="0"/>
    <n v="3"/>
    <x v="1"/>
    <x v="0"/>
    <x v="0"/>
    <n v="1005"/>
    <x v="1"/>
    <x v="0"/>
    <x v="1"/>
    <n v="3032"/>
    <x v="20"/>
    <n v="0"/>
    <x v="0"/>
    <s v="GY 08"/>
    <n v="20"/>
    <n v="1289"/>
    <x v="52"/>
    <s v="Annual"/>
    <n v="2"/>
    <n v="1"/>
    <n v="93156"/>
    <n v="186312"/>
  </r>
  <r>
    <x v="0"/>
    <n v="3"/>
    <x v="1"/>
    <x v="0"/>
    <x v="0"/>
    <n v="1005"/>
    <x v="1"/>
    <x v="0"/>
    <x v="1"/>
    <n v="3032"/>
    <x v="20"/>
    <n v="0"/>
    <x v="0"/>
    <s v="GY 08"/>
    <n v="20"/>
    <n v="1289"/>
    <x v="52"/>
    <s v="Annual"/>
    <n v="2"/>
    <n v="1"/>
    <n v="85236"/>
    <n v="170472"/>
  </r>
  <r>
    <x v="0"/>
    <n v="3"/>
    <x v="1"/>
    <x v="0"/>
    <x v="0"/>
    <n v="1005"/>
    <x v="1"/>
    <x v="0"/>
    <x v="1"/>
    <n v="3032"/>
    <x v="20"/>
    <n v="0"/>
    <x v="0"/>
    <s v="X 33"/>
    <n v="0"/>
    <n v="1252"/>
    <x v="53"/>
    <s v="Annual"/>
    <n v="1"/>
    <n v="1"/>
    <n v="146808"/>
    <n v="146808"/>
  </r>
  <r>
    <x v="0"/>
    <n v="3"/>
    <x v="1"/>
    <x v="0"/>
    <x v="0"/>
    <n v="1005"/>
    <x v="1"/>
    <x v="0"/>
    <x v="1"/>
    <n v="3032"/>
    <x v="20"/>
    <n v="0"/>
    <x v="0"/>
    <s v="GY 11"/>
    <n v="20"/>
    <n v="1127"/>
    <x v="54"/>
    <s v="Annual"/>
    <n v="2"/>
    <n v="1"/>
    <n v="129168"/>
    <n v="258336"/>
  </r>
  <r>
    <x v="0"/>
    <n v="3"/>
    <x v="1"/>
    <x v="0"/>
    <x v="0"/>
    <n v="1005"/>
    <x v="1"/>
    <x v="0"/>
    <x v="1"/>
    <n v="3032"/>
    <x v="20"/>
    <n v="0"/>
    <x v="0"/>
    <s v="GY 08"/>
    <n v="20"/>
    <n v="1126"/>
    <x v="50"/>
    <s v="Annual"/>
    <n v="1"/>
    <n v="1"/>
    <n v="93156"/>
    <n v="93156"/>
  </r>
  <r>
    <x v="0"/>
    <n v="3"/>
    <x v="1"/>
    <x v="0"/>
    <x v="0"/>
    <n v="1005"/>
    <x v="1"/>
    <x v="0"/>
    <x v="1"/>
    <n v="3032"/>
    <x v="20"/>
    <n v="0"/>
    <x v="0"/>
    <s v="GY 07"/>
    <n v="20"/>
    <n v="1125"/>
    <x v="51"/>
    <s v="Annual"/>
    <n v="1"/>
    <n v="1"/>
    <n v="85236"/>
    <n v="85236"/>
  </r>
  <r>
    <x v="0"/>
    <n v="3"/>
    <x v="1"/>
    <x v="0"/>
    <x v="0"/>
    <n v="1005"/>
    <x v="1"/>
    <x v="0"/>
    <x v="1"/>
    <n v="3032"/>
    <x v="20"/>
    <n v="0"/>
    <x v="0"/>
    <s v="GY 07"/>
    <n v="20"/>
    <n v="1125"/>
    <x v="51"/>
    <s v="Annual"/>
    <n v="2"/>
    <n v="1"/>
    <n v="82884"/>
    <n v="165768"/>
  </r>
  <r>
    <x v="0"/>
    <n v="3"/>
    <x v="1"/>
    <x v="0"/>
    <x v="0"/>
    <n v="1005"/>
    <x v="1"/>
    <x v="0"/>
    <x v="1"/>
    <n v="3032"/>
    <x v="20"/>
    <n v="0"/>
    <x v="0"/>
    <s v="GY 07"/>
    <n v="20"/>
    <n v="1125"/>
    <x v="51"/>
    <s v="Annual"/>
    <n v="1"/>
    <n v="1"/>
    <n v="79728"/>
    <n v="79728"/>
  </r>
  <r>
    <x v="0"/>
    <n v="3"/>
    <x v="1"/>
    <x v="0"/>
    <x v="0"/>
    <n v="1005"/>
    <x v="1"/>
    <x v="0"/>
    <x v="1"/>
    <n v="3032"/>
    <x v="20"/>
    <n v="0"/>
    <x v="0"/>
    <s v="GY 07"/>
    <n v="20"/>
    <n v="1125"/>
    <x v="51"/>
    <s v="Annual"/>
    <n v="3"/>
    <n v="1"/>
    <n v="76020"/>
    <n v="228060"/>
  </r>
  <r>
    <x v="0"/>
    <n v="3"/>
    <x v="1"/>
    <x v="0"/>
    <x v="0"/>
    <n v="1005"/>
    <x v="1"/>
    <x v="0"/>
    <x v="1"/>
    <n v="3032"/>
    <x v="20"/>
    <n v="0"/>
    <x v="0"/>
    <s v="1 00"/>
    <n v="0"/>
    <n v="15"/>
    <x v="37"/>
    <s v="Annual"/>
    <n v="0"/>
    <n v="0"/>
    <n v="35927"/>
    <n v="35927"/>
  </r>
  <r>
    <x v="0"/>
    <n v="3"/>
    <x v="1"/>
    <x v="0"/>
    <x v="0"/>
    <n v="1005"/>
    <x v="1"/>
    <x v="0"/>
    <x v="1"/>
    <n v="3045"/>
    <x v="21"/>
    <n v="0"/>
    <x v="0"/>
    <s v="X 32"/>
    <n v="9"/>
    <n v="9659"/>
    <x v="45"/>
    <s v="Annual"/>
    <n v="1"/>
    <n v="1"/>
    <n v="175512"/>
    <n v="175512"/>
  </r>
  <r>
    <x v="0"/>
    <n v="3"/>
    <x v="1"/>
    <x v="0"/>
    <x v="0"/>
    <n v="1005"/>
    <x v="1"/>
    <x v="0"/>
    <x v="1"/>
    <n v="3045"/>
    <x v="21"/>
    <n v="0"/>
    <x v="0"/>
    <s v="BX 14"/>
    <n v="10"/>
    <n v="1727"/>
    <x v="55"/>
    <s v="Annual"/>
    <n v="1"/>
    <n v="1"/>
    <n v="72996"/>
    <n v="72996"/>
  </r>
  <r>
    <x v="0"/>
    <n v="3"/>
    <x v="1"/>
    <x v="0"/>
    <x v="0"/>
    <n v="1005"/>
    <x v="1"/>
    <x v="0"/>
    <x v="1"/>
    <n v="3045"/>
    <x v="21"/>
    <n v="0"/>
    <x v="0"/>
    <s v="BX 14"/>
    <n v="10"/>
    <n v="1727"/>
    <x v="55"/>
    <s v="Annual"/>
    <n v="1"/>
    <n v="1"/>
    <n v="69684"/>
    <n v="69684"/>
  </r>
  <r>
    <x v="0"/>
    <n v="3"/>
    <x v="1"/>
    <x v="0"/>
    <x v="0"/>
    <n v="1005"/>
    <x v="1"/>
    <x v="0"/>
    <x v="1"/>
    <n v="3045"/>
    <x v="21"/>
    <n v="0"/>
    <x v="0"/>
    <s v="BX 16"/>
    <n v="10"/>
    <n v="1721"/>
    <x v="56"/>
    <s v="Annual"/>
    <n v="1"/>
    <n v="1"/>
    <n v="89112"/>
    <n v="89112"/>
  </r>
  <r>
    <x v="0"/>
    <n v="3"/>
    <x v="1"/>
    <x v="0"/>
    <x v="0"/>
    <n v="1005"/>
    <x v="1"/>
    <x v="0"/>
    <x v="1"/>
    <n v="3045"/>
    <x v="21"/>
    <n v="0"/>
    <x v="0"/>
    <s v="BX 16"/>
    <n v="10"/>
    <n v="1721"/>
    <x v="56"/>
    <s v="Annual"/>
    <n v="1"/>
    <n v="1"/>
    <n v="83052"/>
    <n v="83052"/>
  </r>
  <r>
    <x v="0"/>
    <n v="3"/>
    <x v="1"/>
    <x v="0"/>
    <x v="0"/>
    <n v="1005"/>
    <x v="1"/>
    <x v="0"/>
    <x v="1"/>
    <n v="3045"/>
    <x v="21"/>
    <n v="0"/>
    <x v="0"/>
    <s v="BX 16"/>
    <n v="10"/>
    <n v="1721"/>
    <x v="56"/>
    <s v="Annual"/>
    <n v="1"/>
    <n v="1"/>
    <n v="80124"/>
    <n v="80124"/>
  </r>
  <r>
    <x v="0"/>
    <n v="3"/>
    <x v="1"/>
    <x v="0"/>
    <x v="0"/>
    <n v="1005"/>
    <x v="1"/>
    <x v="0"/>
    <x v="1"/>
    <n v="3045"/>
    <x v="21"/>
    <n v="0"/>
    <x v="0"/>
    <s v="BX 16"/>
    <n v="10"/>
    <n v="1721"/>
    <x v="56"/>
    <s v="Annual"/>
    <n v="1"/>
    <n v="1"/>
    <n v="76476"/>
    <n v="76476"/>
  </r>
  <r>
    <x v="0"/>
    <n v="3"/>
    <x v="1"/>
    <x v="0"/>
    <x v="0"/>
    <n v="1005"/>
    <x v="1"/>
    <x v="0"/>
    <x v="1"/>
    <n v="3045"/>
    <x v="21"/>
    <n v="0"/>
    <x v="0"/>
    <s v="GY 10"/>
    <n v="20"/>
    <n v="1719"/>
    <x v="57"/>
    <s v="Annual"/>
    <n v="2"/>
    <n v="1"/>
    <n v="106272"/>
    <n v="212544"/>
  </r>
  <r>
    <x v="0"/>
    <n v="3"/>
    <x v="1"/>
    <x v="0"/>
    <x v="0"/>
    <n v="1005"/>
    <x v="1"/>
    <x v="0"/>
    <x v="1"/>
    <n v="3045"/>
    <x v="21"/>
    <n v="0"/>
    <x v="0"/>
    <s v="X 33"/>
    <n v="0"/>
    <n v="1718"/>
    <x v="58"/>
    <s v="Annual"/>
    <n v="1"/>
    <n v="1"/>
    <n v="153384"/>
    <n v="153384"/>
  </r>
  <r>
    <x v="0"/>
    <n v="3"/>
    <x v="1"/>
    <x v="0"/>
    <x v="0"/>
    <n v="1005"/>
    <x v="1"/>
    <x v="0"/>
    <x v="1"/>
    <n v="3045"/>
    <x v="21"/>
    <n v="0"/>
    <x v="0"/>
    <s v="X 33"/>
    <n v="0"/>
    <n v="1717"/>
    <x v="59"/>
    <s v="Annual"/>
    <n v="1"/>
    <n v="1"/>
    <n v="153384"/>
    <n v="153384"/>
  </r>
  <r>
    <x v="0"/>
    <n v="3"/>
    <x v="1"/>
    <x v="0"/>
    <x v="0"/>
    <n v="1005"/>
    <x v="1"/>
    <x v="0"/>
    <x v="1"/>
    <n v="3045"/>
    <x v="21"/>
    <n v="0"/>
    <x v="0"/>
    <s v="BX 17"/>
    <n v="10"/>
    <s v="06M3"/>
    <x v="60"/>
    <s v="Annual"/>
    <n v="1"/>
    <n v="1"/>
    <n v="103488"/>
    <n v="103488"/>
  </r>
  <r>
    <x v="0"/>
    <n v="3"/>
    <x v="1"/>
    <x v="0"/>
    <x v="0"/>
    <n v="1005"/>
    <x v="1"/>
    <x v="0"/>
    <x v="1"/>
    <n v="3045"/>
    <x v="21"/>
    <n v="0"/>
    <x v="0"/>
    <s v="GY 09"/>
    <n v="20"/>
    <s v="06A7"/>
    <x v="61"/>
    <s v="Annual"/>
    <n v="1"/>
    <n v="1"/>
    <n v="97332"/>
    <n v="97332"/>
  </r>
  <r>
    <x v="0"/>
    <n v="3"/>
    <x v="1"/>
    <x v="0"/>
    <x v="0"/>
    <n v="1005"/>
    <x v="1"/>
    <x v="0"/>
    <x v="1"/>
    <n v="3045"/>
    <x v="21"/>
    <n v="0"/>
    <x v="0"/>
    <s v="BX 17"/>
    <n v="10"/>
    <s v="06A4"/>
    <x v="62"/>
    <s v="Annual"/>
    <n v="1"/>
    <n v="1"/>
    <n v="85128"/>
    <n v="85128"/>
  </r>
  <r>
    <x v="0"/>
    <n v="3"/>
    <x v="1"/>
    <x v="0"/>
    <x v="0"/>
    <n v="1005"/>
    <x v="1"/>
    <x v="0"/>
    <x v="1"/>
    <n v="3045"/>
    <x v="21"/>
    <n v="0"/>
    <x v="0"/>
    <s v="BX 13"/>
    <n v="10"/>
    <n v="645"/>
    <x v="63"/>
    <s v="Annual"/>
    <n v="1"/>
    <n v="1"/>
    <n v="60660"/>
    <n v="60660"/>
  </r>
  <r>
    <x v="0"/>
    <n v="3"/>
    <x v="1"/>
    <x v="0"/>
    <x v="0"/>
    <n v="1005"/>
    <x v="1"/>
    <x v="0"/>
    <x v="1"/>
    <n v="3045"/>
    <x v="21"/>
    <n v="0"/>
    <x v="0"/>
    <s v="GY 09"/>
    <n v="10"/>
    <n v="641"/>
    <x v="64"/>
    <s v="Annual"/>
    <n v="1"/>
    <n v="1"/>
    <n v="101628"/>
    <n v="101628"/>
  </r>
  <r>
    <x v="0"/>
    <n v="3"/>
    <x v="1"/>
    <x v="0"/>
    <x v="0"/>
    <n v="1005"/>
    <x v="1"/>
    <x v="0"/>
    <x v="1"/>
    <n v="3045"/>
    <x v="21"/>
    <n v="0"/>
    <x v="0"/>
    <s v="GY 09"/>
    <n v="10"/>
    <n v="641"/>
    <x v="64"/>
    <s v="Annual"/>
    <n v="2"/>
    <n v="1"/>
    <n v="97332"/>
    <n v="194664"/>
  </r>
  <r>
    <x v="0"/>
    <n v="3"/>
    <x v="1"/>
    <x v="0"/>
    <x v="0"/>
    <n v="1005"/>
    <x v="1"/>
    <x v="0"/>
    <x v="1"/>
    <n v="3045"/>
    <x v="21"/>
    <n v="0"/>
    <x v="0"/>
    <s v="GY 09"/>
    <n v="10"/>
    <n v="641"/>
    <x v="64"/>
    <s v="Annual"/>
    <n v="1"/>
    <n v="1"/>
    <n v="89112"/>
    <n v="89112"/>
  </r>
  <r>
    <x v="0"/>
    <n v="3"/>
    <x v="1"/>
    <x v="0"/>
    <x v="0"/>
    <n v="1005"/>
    <x v="1"/>
    <x v="0"/>
    <x v="1"/>
    <n v="3045"/>
    <x v="21"/>
    <n v="0"/>
    <x v="0"/>
    <s v="1 00"/>
    <n v="0"/>
    <n v="15"/>
    <x v="37"/>
    <s v="Annual"/>
    <n v="0"/>
    <n v="0"/>
    <n v="44675"/>
    <n v="44675"/>
  </r>
  <r>
    <x v="0"/>
    <n v="5"/>
    <x v="2"/>
    <x v="0"/>
    <x v="0"/>
    <n v="1005"/>
    <x v="2"/>
    <x v="0"/>
    <x v="2"/>
    <n v="3005"/>
    <x v="22"/>
    <n v="0"/>
    <x v="0"/>
    <s v="1 00"/>
    <n v="9"/>
    <n v="9905"/>
    <x v="65"/>
    <s v="Annual"/>
    <n v="1"/>
    <n v="1"/>
    <n v="218280"/>
    <n v="218280"/>
  </r>
  <r>
    <x v="0"/>
    <n v="5"/>
    <x v="2"/>
    <x v="0"/>
    <x v="0"/>
    <n v="1005"/>
    <x v="2"/>
    <x v="0"/>
    <x v="2"/>
    <n v="3005"/>
    <x v="22"/>
    <n v="0"/>
    <x v="0"/>
    <s v="X 31"/>
    <n v="0"/>
    <n v="9868"/>
    <x v="66"/>
    <s v="Annual"/>
    <n v="1"/>
    <n v="1"/>
    <n v="199800"/>
    <n v="199800"/>
  </r>
  <r>
    <x v="0"/>
    <n v="5"/>
    <x v="2"/>
    <x v="0"/>
    <x v="0"/>
    <n v="1005"/>
    <x v="2"/>
    <x v="0"/>
    <x v="2"/>
    <n v="3005"/>
    <x v="22"/>
    <n v="0"/>
    <x v="0"/>
    <s v="X 31"/>
    <n v="9"/>
    <n v="1120"/>
    <x v="67"/>
    <s v="Annual"/>
    <n v="1"/>
    <n v="1"/>
    <n v="188400"/>
    <n v="188400"/>
  </r>
  <r>
    <x v="0"/>
    <n v="5"/>
    <x v="2"/>
    <x v="0"/>
    <x v="0"/>
    <n v="1005"/>
    <x v="2"/>
    <x v="0"/>
    <x v="2"/>
    <n v="3005"/>
    <x v="22"/>
    <n v="0"/>
    <x v="0"/>
    <s v="BX 16"/>
    <n v="10"/>
    <n v="802"/>
    <x v="30"/>
    <s v="Annual"/>
    <n v="1"/>
    <n v="1"/>
    <n v="124584"/>
    <n v="124584"/>
  </r>
  <r>
    <x v="0"/>
    <n v="5"/>
    <x v="2"/>
    <x v="0"/>
    <x v="0"/>
    <n v="1005"/>
    <x v="2"/>
    <x v="0"/>
    <x v="2"/>
    <n v="3005"/>
    <x v="22"/>
    <n v="0"/>
    <x v="0"/>
    <s v="BX 16"/>
    <n v="10"/>
    <n v="802"/>
    <x v="30"/>
    <s v="Annual"/>
    <n v="1"/>
    <n v="1"/>
    <n v="94332"/>
    <n v="94332"/>
  </r>
  <r>
    <x v="0"/>
    <n v="5"/>
    <x v="2"/>
    <x v="0"/>
    <x v="0"/>
    <n v="1005"/>
    <x v="2"/>
    <x v="0"/>
    <x v="2"/>
    <n v="3005"/>
    <x v="22"/>
    <n v="0"/>
    <x v="0"/>
    <s v="BX 18"/>
    <n v="20"/>
    <n v="394"/>
    <x v="68"/>
    <s v="Annual"/>
    <n v="1"/>
    <n v="1"/>
    <n v="93384"/>
    <n v="93384"/>
  </r>
  <r>
    <x v="0"/>
    <n v="5"/>
    <x v="2"/>
    <x v="0"/>
    <x v="0"/>
    <n v="1005"/>
    <x v="2"/>
    <x v="0"/>
    <x v="2"/>
    <n v="3005"/>
    <x v="22"/>
    <n v="0"/>
    <x v="0"/>
    <s v="1 00"/>
    <n v="0"/>
    <n v="15"/>
    <x v="37"/>
    <s v="Annual"/>
    <n v="0"/>
    <n v="0"/>
    <n v="10990"/>
    <n v="10990"/>
  </r>
  <r>
    <x v="0"/>
    <n v="5"/>
    <x v="2"/>
    <x v="0"/>
    <x v="0"/>
    <n v="1005"/>
    <x v="2"/>
    <x v="0"/>
    <x v="2"/>
    <n v="3010"/>
    <x v="23"/>
    <n v="0"/>
    <x v="0"/>
    <s v="X 32"/>
    <n v="9"/>
    <n v="9656"/>
    <x v="69"/>
    <s v="Annual"/>
    <n v="1"/>
    <n v="1"/>
    <n v="175512"/>
    <n v="175512"/>
  </r>
  <r>
    <x v="0"/>
    <n v="5"/>
    <x v="2"/>
    <x v="0"/>
    <x v="0"/>
    <n v="1005"/>
    <x v="2"/>
    <x v="0"/>
    <x v="2"/>
    <n v="3010"/>
    <x v="23"/>
    <n v="0"/>
    <x v="0"/>
    <s v="X 32"/>
    <n v="9"/>
    <n v="9656"/>
    <x v="69"/>
    <s v="Annual"/>
    <n v="2"/>
    <n v="1"/>
    <n v="167964"/>
    <n v="335928"/>
  </r>
  <r>
    <x v="0"/>
    <n v="5"/>
    <x v="2"/>
    <x v="0"/>
    <x v="0"/>
    <n v="1005"/>
    <x v="2"/>
    <x v="0"/>
    <x v="2"/>
    <n v="3010"/>
    <x v="23"/>
    <n v="0"/>
    <x v="0"/>
    <s v="X 33"/>
    <n v="9"/>
    <n v="1124"/>
    <x v="70"/>
    <s v="Annual"/>
    <n v="1"/>
    <n v="1"/>
    <n v="137532"/>
    <n v="137532"/>
  </r>
  <r>
    <x v="0"/>
    <n v="5"/>
    <x v="2"/>
    <x v="0"/>
    <x v="0"/>
    <n v="1005"/>
    <x v="2"/>
    <x v="0"/>
    <x v="2"/>
    <n v="3010"/>
    <x v="23"/>
    <n v="0"/>
    <x v="0"/>
    <s v="GY 08"/>
    <n v="20"/>
    <n v="1107"/>
    <x v="71"/>
    <s v="Annual"/>
    <n v="1"/>
    <n v="1"/>
    <n v="112080"/>
    <n v="112080"/>
  </r>
  <r>
    <x v="0"/>
    <n v="5"/>
    <x v="2"/>
    <x v="0"/>
    <x v="0"/>
    <n v="1005"/>
    <x v="2"/>
    <x v="0"/>
    <x v="2"/>
    <n v="3010"/>
    <x v="23"/>
    <n v="0"/>
    <x v="0"/>
    <s v="GY 07"/>
    <n v="20"/>
    <n v="1105"/>
    <x v="72"/>
    <s v="Annual"/>
    <n v="1"/>
    <n v="1"/>
    <n v="102648"/>
    <n v="102648"/>
  </r>
  <r>
    <x v="0"/>
    <n v="5"/>
    <x v="2"/>
    <x v="0"/>
    <x v="0"/>
    <n v="1005"/>
    <x v="2"/>
    <x v="0"/>
    <x v="2"/>
    <n v="3010"/>
    <x v="23"/>
    <n v="0"/>
    <x v="0"/>
    <s v="GY 07"/>
    <n v="20"/>
    <n v="1105"/>
    <x v="72"/>
    <s v="Annual"/>
    <n v="1"/>
    <n v="1"/>
    <n v="82884"/>
    <n v="82884"/>
  </r>
  <r>
    <x v="0"/>
    <n v="5"/>
    <x v="2"/>
    <x v="0"/>
    <x v="0"/>
    <n v="1005"/>
    <x v="2"/>
    <x v="0"/>
    <x v="2"/>
    <n v="3010"/>
    <x v="23"/>
    <n v="0"/>
    <x v="0"/>
    <s v="GY 05"/>
    <n v="20"/>
    <n v="1103"/>
    <x v="73"/>
    <s v="Annual"/>
    <n v="1"/>
    <n v="1"/>
    <n v="72384"/>
    <n v="72384"/>
  </r>
  <r>
    <x v="0"/>
    <n v="5"/>
    <x v="2"/>
    <x v="0"/>
    <x v="0"/>
    <n v="1005"/>
    <x v="2"/>
    <x v="0"/>
    <x v="2"/>
    <n v="3010"/>
    <x v="23"/>
    <n v="0"/>
    <x v="0"/>
    <s v="GY 05"/>
    <n v="20"/>
    <n v="1103"/>
    <x v="73"/>
    <s v="Annual"/>
    <n v="1"/>
    <n v="1"/>
    <n v="68856"/>
    <n v="68856"/>
  </r>
  <r>
    <x v="0"/>
    <n v="5"/>
    <x v="2"/>
    <x v="0"/>
    <x v="0"/>
    <n v="1005"/>
    <x v="2"/>
    <x v="0"/>
    <x v="2"/>
    <n v="3010"/>
    <x v="23"/>
    <n v="0"/>
    <x v="0"/>
    <s v="GY 05"/>
    <n v="20"/>
    <n v="1103"/>
    <x v="73"/>
    <s v="Annual"/>
    <n v="3"/>
    <n v="1"/>
    <n v="65616"/>
    <n v="196848"/>
  </r>
  <r>
    <x v="0"/>
    <n v="5"/>
    <x v="2"/>
    <x v="0"/>
    <x v="0"/>
    <n v="1005"/>
    <x v="2"/>
    <x v="0"/>
    <x v="2"/>
    <n v="3010"/>
    <x v="23"/>
    <n v="0"/>
    <x v="0"/>
    <s v="GY 05"/>
    <n v="20"/>
    <n v="1103"/>
    <x v="73"/>
    <s v="Annual"/>
    <n v="1"/>
    <n v="1"/>
    <n v="62508"/>
    <n v="62508"/>
  </r>
  <r>
    <x v="0"/>
    <n v="5"/>
    <x v="2"/>
    <x v="0"/>
    <x v="0"/>
    <n v="1005"/>
    <x v="2"/>
    <x v="0"/>
    <x v="2"/>
    <n v="3010"/>
    <x v="23"/>
    <n v="0"/>
    <x v="0"/>
    <s v="BX 15"/>
    <n v="10"/>
    <n v="134"/>
    <x v="74"/>
    <s v="Annual"/>
    <n v="2"/>
    <n v="1"/>
    <n v="80124"/>
    <n v="160248"/>
  </r>
  <r>
    <x v="0"/>
    <n v="5"/>
    <x v="2"/>
    <x v="0"/>
    <x v="0"/>
    <n v="1005"/>
    <x v="2"/>
    <x v="0"/>
    <x v="2"/>
    <n v="3010"/>
    <x v="23"/>
    <n v="0"/>
    <x v="0"/>
    <s v="1 00"/>
    <n v="0"/>
    <n v="15"/>
    <x v="37"/>
    <s v="Annual"/>
    <n v="0"/>
    <n v="0"/>
    <n v="22887"/>
    <n v="22887"/>
  </r>
  <r>
    <x v="0"/>
    <n v="5"/>
    <x v="2"/>
    <x v="0"/>
    <x v="0"/>
    <n v="1005"/>
    <x v="2"/>
    <x v="0"/>
    <x v="2"/>
    <n v="3015"/>
    <x v="24"/>
    <n v="0"/>
    <x v="0"/>
    <s v="X 33"/>
    <n v="9"/>
    <n v="1124"/>
    <x v="70"/>
    <s v="Annual"/>
    <n v="1"/>
    <n v="1"/>
    <n v="121668"/>
    <n v="121668"/>
  </r>
  <r>
    <x v="0"/>
    <n v="5"/>
    <x v="2"/>
    <x v="0"/>
    <x v="0"/>
    <n v="1005"/>
    <x v="2"/>
    <x v="0"/>
    <x v="2"/>
    <n v="3015"/>
    <x v="24"/>
    <n v="0"/>
    <x v="0"/>
    <s v="BX 15"/>
    <n v="10"/>
    <n v="789"/>
    <x v="75"/>
    <s v="Annual"/>
    <n v="1"/>
    <n v="1"/>
    <n v="76476"/>
    <n v="76476"/>
  </r>
  <r>
    <x v="0"/>
    <n v="5"/>
    <x v="2"/>
    <x v="0"/>
    <x v="0"/>
    <n v="1005"/>
    <x v="2"/>
    <x v="0"/>
    <x v="2"/>
    <n v="3015"/>
    <x v="24"/>
    <n v="0"/>
    <x v="0"/>
    <s v="PX 02"/>
    <n v="9"/>
    <n v="705"/>
    <x v="33"/>
    <s v="Annual"/>
    <n v="1"/>
    <n v="1"/>
    <n v="132912"/>
    <n v="132912"/>
  </r>
  <r>
    <x v="0"/>
    <n v="5"/>
    <x v="2"/>
    <x v="0"/>
    <x v="0"/>
    <n v="1005"/>
    <x v="2"/>
    <x v="0"/>
    <x v="2"/>
    <n v="3015"/>
    <x v="24"/>
    <n v="0"/>
    <x v="0"/>
    <s v="1 00"/>
    <n v="0"/>
    <n v="15"/>
    <x v="37"/>
    <s v="Annual"/>
    <n v="0"/>
    <n v="0"/>
    <n v="17530"/>
    <n v="17530"/>
  </r>
  <r>
    <x v="0"/>
    <n v="5"/>
    <x v="2"/>
    <x v="0"/>
    <x v="0"/>
    <n v="1005"/>
    <x v="2"/>
    <x v="0"/>
    <x v="2"/>
    <n v="3160"/>
    <x v="25"/>
    <n v="4160"/>
    <x v="1"/>
    <s v="X 32"/>
    <n v="9"/>
    <n v="9684"/>
    <x v="76"/>
    <s v="Annual"/>
    <n v="1"/>
    <n v="1"/>
    <n v="167964"/>
    <n v="167964"/>
  </r>
  <r>
    <x v="0"/>
    <n v="5"/>
    <x v="2"/>
    <x v="0"/>
    <x v="0"/>
    <n v="1005"/>
    <x v="2"/>
    <x v="0"/>
    <x v="2"/>
    <n v="3160"/>
    <x v="25"/>
    <n v="4160"/>
    <x v="1"/>
    <s v="BX 16"/>
    <n v="10"/>
    <n v="1333"/>
    <x v="77"/>
    <s v="Annual"/>
    <n v="1"/>
    <n v="1"/>
    <n v="124584"/>
    <n v="124584"/>
  </r>
  <r>
    <x v="0"/>
    <n v="5"/>
    <x v="2"/>
    <x v="0"/>
    <x v="0"/>
    <n v="1005"/>
    <x v="2"/>
    <x v="0"/>
    <x v="2"/>
    <n v="3160"/>
    <x v="25"/>
    <n v="4160"/>
    <x v="1"/>
    <s v="1 00"/>
    <n v="0"/>
    <n v="15"/>
    <x v="37"/>
    <s v="Annual"/>
    <n v="0"/>
    <n v="0"/>
    <n v="1887"/>
    <n v="1887"/>
  </r>
  <r>
    <x v="0"/>
    <n v="5"/>
    <x v="2"/>
    <x v="0"/>
    <x v="0"/>
    <n v="1005"/>
    <x v="2"/>
    <x v="0"/>
    <x v="2"/>
    <n v="3160"/>
    <x v="25"/>
    <n v="4165"/>
    <x v="2"/>
    <s v="X 32"/>
    <n v="9"/>
    <n v="9684"/>
    <x v="76"/>
    <s v="Annual"/>
    <n v="1"/>
    <n v="1"/>
    <n v="167964"/>
    <n v="167964"/>
  </r>
  <r>
    <x v="0"/>
    <n v="5"/>
    <x v="2"/>
    <x v="0"/>
    <x v="0"/>
    <n v="1005"/>
    <x v="2"/>
    <x v="0"/>
    <x v="2"/>
    <n v="3160"/>
    <x v="25"/>
    <n v="4165"/>
    <x v="2"/>
    <s v="GY 09"/>
    <n v="20"/>
    <n v="647"/>
    <x v="78"/>
    <s v="Annual"/>
    <n v="1"/>
    <n v="1"/>
    <n v="115992"/>
    <n v="115992"/>
  </r>
  <r>
    <x v="0"/>
    <n v="5"/>
    <x v="2"/>
    <x v="0"/>
    <x v="0"/>
    <n v="1005"/>
    <x v="2"/>
    <x v="0"/>
    <x v="2"/>
    <n v="3160"/>
    <x v="25"/>
    <n v="4165"/>
    <x v="2"/>
    <s v="1 00"/>
    <n v="0"/>
    <n v="15"/>
    <x v="37"/>
    <s v="Annual"/>
    <n v="0"/>
    <n v="0"/>
    <n v="1887"/>
    <n v="1887"/>
  </r>
  <r>
    <x v="0"/>
    <n v="5"/>
    <x v="2"/>
    <x v="0"/>
    <x v="0"/>
    <n v="1005"/>
    <x v="2"/>
    <x v="0"/>
    <x v="2"/>
    <n v="3160"/>
    <x v="25"/>
    <n v="4170"/>
    <x v="3"/>
    <s v="X 32"/>
    <n v="9"/>
    <n v="9656"/>
    <x v="69"/>
    <s v="Annual"/>
    <n v="1"/>
    <n v="1"/>
    <n v="175512"/>
    <n v="175512"/>
  </r>
  <r>
    <x v="0"/>
    <n v="5"/>
    <x v="2"/>
    <x v="0"/>
    <x v="0"/>
    <n v="1005"/>
    <x v="2"/>
    <x v="0"/>
    <x v="2"/>
    <n v="3160"/>
    <x v="25"/>
    <n v="4170"/>
    <x v="3"/>
    <s v="GY 08"/>
    <n v="20"/>
    <n v="1141"/>
    <x v="79"/>
    <s v="Annual"/>
    <n v="2"/>
    <n v="1"/>
    <n v="82884"/>
    <n v="165768"/>
  </r>
  <r>
    <x v="0"/>
    <n v="5"/>
    <x v="2"/>
    <x v="0"/>
    <x v="0"/>
    <n v="1005"/>
    <x v="2"/>
    <x v="0"/>
    <x v="2"/>
    <n v="3160"/>
    <x v="25"/>
    <n v="4170"/>
    <x v="3"/>
    <s v="G 09"/>
    <n v="3"/>
    <n v="1140"/>
    <x v="80"/>
    <s v="Annual"/>
    <n v="1"/>
    <n v="1"/>
    <n v="117636"/>
    <n v="117636"/>
  </r>
  <r>
    <x v="0"/>
    <n v="5"/>
    <x v="2"/>
    <x v="0"/>
    <x v="0"/>
    <n v="1005"/>
    <x v="2"/>
    <x v="0"/>
    <x v="2"/>
    <n v="3160"/>
    <x v="25"/>
    <n v="4170"/>
    <x v="3"/>
    <s v="X 33"/>
    <n v="9"/>
    <n v="1124"/>
    <x v="70"/>
    <s v="Annual"/>
    <n v="1"/>
    <n v="1"/>
    <n v="137532"/>
    <n v="137532"/>
  </r>
  <r>
    <x v="0"/>
    <n v="5"/>
    <x v="2"/>
    <x v="0"/>
    <x v="0"/>
    <n v="1005"/>
    <x v="2"/>
    <x v="0"/>
    <x v="2"/>
    <n v="3160"/>
    <x v="25"/>
    <n v="4170"/>
    <x v="3"/>
    <s v="1 00"/>
    <n v="0"/>
    <n v="15"/>
    <x v="37"/>
    <s v="Annual"/>
    <n v="0"/>
    <n v="0"/>
    <n v="4585"/>
    <n v="4585"/>
  </r>
  <r>
    <x v="0"/>
    <n v="5"/>
    <x v="2"/>
    <x v="0"/>
    <x v="0"/>
    <n v="1005"/>
    <x v="2"/>
    <x v="0"/>
    <x v="2"/>
    <n v="3160"/>
    <x v="25"/>
    <n v="4175"/>
    <x v="4"/>
    <s v="GY 07"/>
    <n v="20"/>
    <n v="1125"/>
    <x v="51"/>
    <s v="Annual"/>
    <n v="1"/>
    <n v="1"/>
    <n v="85236"/>
    <n v="85236"/>
  </r>
  <r>
    <x v="0"/>
    <n v="5"/>
    <x v="2"/>
    <x v="0"/>
    <x v="0"/>
    <n v="1005"/>
    <x v="2"/>
    <x v="0"/>
    <x v="2"/>
    <n v="3160"/>
    <x v="25"/>
    <n v="4175"/>
    <x v="4"/>
    <s v="GY 07"/>
    <n v="20"/>
    <n v="1125"/>
    <x v="51"/>
    <s v="Annual"/>
    <n v="1"/>
    <n v="1"/>
    <n v="82884"/>
    <n v="82884"/>
  </r>
  <r>
    <x v="0"/>
    <n v="5"/>
    <x v="2"/>
    <x v="0"/>
    <x v="0"/>
    <n v="1005"/>
    <x v="2"/>
    <x v="0"/>
    <x v="2"/>
    <n v="3160"/>
    <x v="25"/>
    <n v="4175"/>
    <x v="4"/>
    <s v="X 33"/>
    <n v="9"/>
    <n v="1124"/>
    <x v="70"/>
    <s v="Annual"/>
    <n v="1"/>
    <n v="1"/>
    <n v="146808"/>
    <n v="146808"/>
  </r>
  <r>
    <x v="0"/>
    <n v="5"/>
    <x v="2"/>
    <x v="0"/>
    <x v="0"/>
    <n v="1005"/>
    <x v="2"/>
    <x v="0"/>
    <x v="2"/>
    <n v="3160"/>
    <x v="25"/>
    <n v="4175"/>
    <x v="4"/>
    <s v="1 00"/>
    <n v="0"/>
    <n v="15"/>
    <x v="37"/>
    <s v="Annual"/>
    <n v="0"/>
    <n v="0"/>
    <n v="7337"/>
    <n v="7337"/>
  </r>
  <r>
    <x v="0"/>
    <n v="6"/>
    <x v="3"/>
    <x v="0"/>
    <x v="0"/>
    <n v="1005"/>
    <x v="3"/>
    <x v="1"/>
    <x v="3"/>
    <n v="3421"/>
    <x v="26"/>
    <n v="0"/>
    <x v="0"/>
    <s v="X 32"/>
    <n v="9"/>
    <n v="9679"/>
    <x v="81"/>
    <s v="Annual"/>
    <n v="1"/>
    <n v="1"/>
    <n v="167964"/>
    <n v="167964"/>
  </r>
  <r>
    <x v="0"/>
    <n v="6"/>
    <x v="3"/>
    <x v="0"/>
    <x v="0"/>
    <n v="1005"/>
    <x v="3"/>
    <x v="1"/>
    <x v="3"/>
    <n v="3421"/>
    <x v="26"/>
    <n v="0"/>
    <x v="0"/>
    <s v="BX 17"/>
    <n v="10"/>
    <n v="1431"/>
    <x v="82"/>
    <s v="Annual"/>
    <n v="1"/>
    <n v="1"/>
    <n v="85128"/>
    <n v="85128"/>
  </r>
  <r>
    <x v="0"/>
    <n v="6"/>
    <x v="3"/>
    <x v="0"/>
    <x v="0"/>
    <n v="1005"/>
    <x v="3"/>
    <x v="1"/>
    <x v="3"/>
    <n v="3421"/>
    <x v="26"/>
    <n v="0"/>
    <x v="0"/>
    <s v="B 15"/>
    <n v="1"/>
    <n v="1302"/>
    <x v="83"/>
    <s v="Annual"/>
    <n v="1"/>
    <n v="1"/>
    <n v="143400"/>
    <n v="143400"/>
  </r>
  <r>
    <x v="0"/>
    <n v="6"/>
    <x v="3"/>
    <x v="0"/>
    <x v="0"/>
    <n v="1005"/>
    <x v="3"/>
    <x v="1"/>
    <x v="3"/>
    <n v="3421"/>
    <x v="26"/>
    <n v="0"/>
    <x v="0"/>
    <s v="G 09"/>
    <n v="3"/>
    <n v="1140"/>
    <x v="80"/>
    <s v="Annual"/>
    <n v="1"/>
    <n v="1"/>
    <n v="109140"/>
    <n v="109140"/>
  </r>
  <r>
    <x v="0"/>
    <n v="6"/>
    <x v="3"/>
    <x v="0"/>
    <x v="0"/>
    <n v="1005"/>
    <x v="3"/>
    <x v="1"/>
    <x v="3"/>
    <n v="3421"/>
    <x v="26"/>
    <n v="0"/>
    <x v="0"/>
    <s v="BX 16"/>
    <n v="10"/>
    <n v="802"/>
    <x v="30"/>
    <s v="Annual"/>
    <n v="1"/>
    <n v="1"/>
    <n v="124584"/>
    <n v="124584"/>
  </r>
  <r>
    <x v="0"/>
    <n v="6"/>
    <x v="3"/>
    <x v="0"/>
    <x v="0"/>
    <n v="1005"/>
    <x v="3"/>
    <x v="1"/>
    <x v="3"/>
    <n v="3421"/>
    <x v="26"/>
    <n v="0"/>
    <x v="0"/>
    <s v="B 13"/>
    <n v="1"/>
    <n v="708"/>
    <x v="84"/>
    <s v="Annual"/>
    <n v="1"/>
    <n v="1"/>
    <n v="74172"/>
    <n v="74172"/>
  </r>
  <r>
    <x v="0"/>
    <n v="6"/>
    <x v="3"/>
    <x v="0"/>
    <x v="0"/>
    <n v="1005"/>
    <x v="3"/>
    <x v="1"/>
    <x v="3"/>
    <n v="3421"/>
    <x v="26"/>
    <n v="0"/>
    <x v="0"/>
    <s v="BX 19"/>
    <n v="20"/>
    <s v="06J7"/>
    <x v="85"/>
    <s v="Annual"/>
    <n v="1"/>
    <n v="1"/>
    <n v="97836"/>
    <n v="97836"/>
  </r>
  <r>
    <x v="0"/>
    <n v="6"/>
    <x v="3"/>
    <x v="0"/>
    <x v="0"/>
    <n v="1005"/>
    <x v="3"/>
    <x v="1"/>
    <x v="3"/>
    <n v="3421"/>
    <x v="26"/>
    <n v="0"/>
    <x v="0"/>
    <s v="IT 05"/>
    <n v="9"/>
    <s v="06J6"/>
    <x v="86"/>
    <s v="Annual"/>
    <n v="1"/>
    <n v="1"/>
    <n v="133836"/>
    <n v="133836"/>
  </r>
  <r>
    <x v="0"/>
    <n v="6"/>
    <x v="3"/>
    <x v="0"/>
    <x v="0"/>
    <n v="1005"/>
    <x v="3"/>
    <x v="1"/>
    <x v="3"/>
    <n v="3421"/>
    <x v="26"/>
    <n v="0"/>
    <x v="0"/>
    <s v="3 00"/>
    <n v="9"/>
    <s v="06H4"/>
    <x v="87"/>
    <s v="Annual"/>
    <n v="1"/>
    <n v="1"/>
    <n v="227976"/>
    <n v="227976"/>
  </r>
  <r>
    <x v="0"/>
    <n v="6"/>
    <x v="3"/>
    <x v="0"/>
    <x v="0"/>
    <n v="1005"/>
    <x v="3"/>
    <x v="1"/>
    <x v="3"/>
    <n v="3421"/>
    <x v="26"/>
    <n v="0"/>
    <x v="0"/>
    <s v="B 12"/>
    <n v="1"/>
    <s v="03A8"/>
    <x v="88"/>
    <s v="Annual"/>
    <n v="1"/>
    <n v="1"/>
    <n v="74172"/>
    <n v="74172"/>
  </r>
  <r>
    <x v="0"/>
    <n v="6"/>
    <x v="3"/>
    <x v="0"/>
    <x v="0"/>
    <n v="1005"/>
    <x v="3"/>
    <x v="1"/>
    <x v="3"/>
    <n v="3421"/>
    <x v="26"/>
    <n v="0"/>
    <x v="0"/>
    <s v="X 33"/>
    <n v="20"/>
    <n v="383"/>
    <x v="89"/>
    <s v="Annual"/>
    <n v="1"/>
    <n v="1"/>
    <n v="137532"/>
    <n v="137532"/>
  </r>
  <r>
    <x v="0"/>
    <n v="6"/>
    <x v="3"/>
    <x v="0"/>
    <x v="0"/>
    <n v="1005"/>
    <x v="3"/>
    <x v="1"/>
    <x v="3"/>
    <n v="3421"/>
    <x v="26"/>
    <n v="0"/>
    <x v="0"/>
    <s v="B 13"/>
    <n v="1"/>
    <n v="308"/>
    <x v="90"/>
    <s v="Annual"/>
    <n v="1"/>
    <n v="1"/>
    <n v="108576"/>
    <n v="108576"/>
  </r>
  <r>
    <x v="0"/>
    <n v="6"/>
    <x v="3"/>
    <x v="0"/>
    <x v="0"/>
    <n v="1005"/>
    <x v="3"/>
    <x v="1"/>
    <x v="3"/>
    <n v="3421"/>
    <x v="26"/>
    <n v="0"/>
    <x v="0"/>
    <s v="G 07"/>
    <n v="4"/>
    <n v="124"/>
    <x v="91"/>
    <s v="Annual"/>
    <n v="1"/>
    <n v="1"/>
    <n v="129636"/>
    <n v="129636"/>
  </r>
  <r>
    <x v="0"/>
    <n v="6"/>
    <x v="3"/>
    <x v="0"/>
    <x v="0"/>
    <n v="1005"/>
    <x v="3"/>
    <x v="1"/>
    <x v="3"/>
    <n v="3421"/>
    <x v="26"/>
    <n v="0"/>
    <x v="0"/>
    <s v="X 33"/>
    <n v="0"/>
    <n v="118"/>
    <x v="92"/>
    <s v="Annual"/>
    <n v="1"/>
    <n v="1"/>
    <n v="137532"/>
    <n v="137532"/>
  </r>
  <r>
    <x v="0"/>
    <n v="6"/>
    <x v="3"/>
    <x v="0"/>
    <x v="0"/>
    <n v="1005"/>
    <x v="3"/>
    <x v="1"/>
    <x v="3"/>
    <n v="3421"/>
    <x v="26"/>
    <n v="0"/>
    <x v="0"/>
    <s v="B 13"/>
    <n v="4"/>
    <n v="110"/>
    <x v="93"/>
    <s v="Annual"/>
    <n v="1"/>
    <n v="1"/>
    <n v="74172"/>
    <n v="74172"/>
  </r>
  <r>
    <x v="0"/>
    <n v="6"/>
    <x v="3"/>
    <x v="0"/>
    <x v="0"/>
    <n v="1005"/>
    <x v="3"/>
    <x v="1"/>
    <x v="3"/>
    <n v="3421"/>
    <x v="26"/>
    <n v="0"/>
    <x v="0"/>
    <s v="B 11"/>
    <n v="1"/>
    <n v="109"/>
    <x v="94"/>
    <s v="Annual"/>
    <n v="2"/>
    <n v="1"/>
    <n v="58764"/>
    <n v="117528"/>
  </r>
  <r>
    <x v="0"/>
    <n v="6"/>
    <x v="3"/>
    <x v="0"/>
    <x v="0"/>
    <n v="1005"/>
    <x v="3"/>
    <x v="1"/>
    <x v="3"/>
    <n v="3421"/>
    <x v="26"/>
    <n v="0"/>
    <x v="0"/>
    <s v="1 00"/>
    <n v="0"/>
    <n v="15"/>
    <x v="37"/>
    <s v="Annual"/>
    <n v="0"/>
    <n v="0"/>
    <n v="27687"/>
    <n v="27687"/>
  </r>
  <r>
    <x v="0"/>
    <n v="6"/>
    <x v="3"/>
    <x v="0"/>
    <x v="0"/>
    <n v="1005"/>
    <x v="3"/>
    <x v="1"/>
    <x v="3"/>
    <n v="3425"/>
    <x v="27"/>
    <n v="0"/>
    <x v="0"/>
    <s v="B 15"/>
    <n v="1"/>
    <n v="1572"/>
    <x v="95"/>
    <s v="Annual"/>
    <n v="1"/>
    <n v="1"/>
    <n v="89244"/>
    <n v="89244"/>
  </r>
  <r>
    <x v="0"/>
    <n v="6"/>
    <x v="3"/>
    <x v="0"/>
    <x v="0"/>
    <n v="1005"/>
    <x v="3"/>
    <x v="1"/>
    <x v="3"/>
    <n v="3425"/>
    <x v="27"/>
    <n v="0"/>
    <x v="0"/>
    <s v="B 13"/>
    <n v="1"/>
    <n v="1482"/>
    <x v="96"/>
    <s v="Annual"/>
    <n v="1"/>
    <n v="1"/>
    <n v="77640"/>
    <n v="77640"/>
  </r>
  <r>
    <x v="0"/>
    <n v="6"/>
    <x v="3"/>
    <x v="0"/>
    <x v="0"/>
    <n v="1005"/>
    <x v="3"/>
    <x v="1"/>
    <x v="3"/>
    <n v="3425"/>
    <x v="27"/>
    <n v="0"/>
    <x v="0"/>
    <s v="BX 17"/>
    <n v="20"/>
    <s v="06K3"/>
    <x v="97"/>
    <s v="Annual"/>
    <n v="1"/>
    <n v="1"/>
    <n v="85128"/>
    <n v="85128"/>
  </r>
  <r>
    <x v="0"/>
    <n v="6"/>
    <x v="3"/>
    <x v="0"/>
    <x v="0"/>
    <n v="1005"/>
    <x v="3"/>
    <x v="1"/>
    <x v="3"/>
    <n v="3425"/>
    <x v="27"/>
    <n v="0"/>
    <x v="0"/>
    <s v="IT 06"/>
    <n v="20"/>
    <s v="06H5"/>
    <x v="98"/>
    <s v="Annual"/>
    <n v="1"/>
    <n v="1"/>
    <n v="204516"/>
    <n v="204516"/>
  </r>
  <r>
    <x v="0"/>
    <n v="6"/>
    <x v="3"/>
    <x v="0"/>
    <x v="0"/>
    <n v="1005"/>
    <x v="3"/>
    <x v="1"/>
    <x v="3"/>
    <n v="3425"/>
    <x v="27"/>
    <n v="0"/>
    <x v="0"/>
    <s v="IT 05"/>
    <n v="20"/>
    <s v="06H1"/>
    <x v="99"/>
    <s v="Annual"/>
    <n v="1"/>
    <n v="1"/>
    <n v="173160"/>
    <n v="173160"/>
  </r>
  <r>
    <x v="0"/>
    <n v="6"/>
    <x v="3"/>
    <x v="0"/>
    <x v="0"/>
    <n v="1005"/>
    <x v="3"/>
    <x v="1"/>
    <x v="3"/>
    <n v="3425"/>
    <x v="27"/>
    <n v="0"/>
    <x v="0"/>
    <s v="B 14"/>
    <n v="1"/>
    <s v="06C6"/>
    <x v="100"/>
    <s v="Annual"/>
    <n v="2"/>
    <n v="1"/>
    <n v="75336"/>
    <n v="150672"/>
  </r>
  <r>
    <x v="0"/>
    <n v="6"/>
    <x v="3"/>
    <x v="0"/>
    <x v="0"/>
    <n v="1005"/>
    <x v="3"/>
    <x v="1"/>
    <x v="3"/>
    <n v="3425"/>
    <x v="27"/>
    <n v="0"/>
    <x v="0"/>
    <s v="BX 19"/>
    <n v="20"/>
    <s v="06C5"/>
    <x v="101"/>
    <s v="Annual"/>
    <n v="1"/>
    <n v="1"/>
    <n v="118956"/>
    <n v="118956"/>
  </r>
  <r>
    <x v="0"/>
    <n v="6"/>
    <x v="3"/>
    <x v="0"/>
    <x v="0"/>
    <n v="1005"/>
    <x v="3"/>
    <x v="1"/>
    <x v="3"/>
    <n v="3425"/>
    <x v="27"/>
    <n v="0"/>
    <x v="0"/>
    <s v="B 14"/>
    <n v="1"/>
    <s v="06C3"/>
    <x v="102"/>
    <s v="Annual"/>
    <n v="1"/>
    <n v="1"/>
    <n v="75336"/>
    <n v="75336"/>
  </r>
  <r>
    <x v="0"/>
    <n v="6"/>
    <x v="3"/>
    <x v="0"/>
    <x v="0"/>
    <n v="1005"/>
    <x v="3"/>
    <x v="1"/>
    <x v="3"/>
    <n v="3425"/>
    <x v="27"/>
    <n v="0"/>
    <x v="0"/>
    <s v="IT 01"/>
    <n v="20"/>
    <s v="06B9"/>
    <x v="103"/>
    <s v="Annual"/>
    <n v="1"/>
    <n v="1"/>
    <n v="110940"/>
    <n v="110940"/>
  </r>
  <r>
    <x v="0"/>
    <n v="6"/>
    <x v="3"/>
    <x v="0"/>
    <x v="0"/>
    <n v="1005"/>
    <x v="3"/>
    <x v="1"/>
    <x v="3"/>
    <n v="3425"/>
    <x v="27"/>
    <n v="0"/>
    <x v="0"/>
    <s v="BX 19"/>
    <n v="20"/>
    <s v="06B7"/>
    <x v="104"/>
    <s v="Annual"/>
    <n v="1"/>
    <n v="1"/>
    <n v="97836"/>
    <n v="97836"/>
  </r>
  <r>
    <x v="0"/>
    <n v="6"/>
    <x v="3"/>
    <x v="0"/>
    <x v="0"/>
    <n v="1005"/>
    <x v="3"/>
    <x v="1"/>
    <x v="3"/>
    <n v="3425"/>
    <x v="27"/>
    <n v="0"/>
    <x v="0"/>
    <s v="IT 01"/>
    <n v="20"/>
    <s v="06B4"/>
    <x v="105"/>
    <s v="Annual"/>
    <n v="1"/>
    <n v="1"/>
    <n v="120144"/>
    <n v="120144"/>
  </r>
  <r>
    <x v="0"/>
    <n v="6"/>
    <x v="3"/>
    <x v="0"/>
    <x v="0"/>
    <n v="1005"/>
    <x v="3"/>
    <x v="1"/>
    <x v="3"/>
    <n v="3425"/>
    <x v="27"/>
    <n v="0"/>
    <x v="0"/>
    <s v="G 10"/>
    <n v="4"/>
    <s v="06B3"/>
    <x v="106"/>
    <s v="Annual"/>
    <n v="1"/>
    <n v="1"/>
    <n v="153228"/>
    <n v="153228"/>
  </r>
  <r>
    <x v="0"/>
    <n v="6"/>
    <x v="3"/>
    <x v="0"/>
    <x v="0"/>
    <n v="1005"/>
    <x v="3"/>
    <x v="1"/>
    <x v="3"/>
    <n v="3425"/>
    <x v="27"/>
    <n v="0"/>
    <x v="0"/>
    <s v="G 10"/>
    <n v="4"/>
    <s v="06B3"/>
    <x v="106"/>
    <s v="Annual"/>
    <n v="1"/>
    <n v="1"/>
    <n v="119244"/>
    <n v="119244"/>
  </r>
  <r>
    <x v="0"/>
    <n v="6"/>
    <x v="3"/>
    <x v="0"/>
    <x v="0"/>
    <n v="1005"/>
    <x v="3"/>
    <x v="1"/>
    <x v="3"/>
    <n v="3425"/>
    <x v="27"/>
    <n v="0"/>
    <x v="0"/>
    <s v="IT 03"/>
    <n v="20"/>
    <s v="06B1"/>
    <x v="107"/>
    <s v="Annual"/>
    <n v="1"/>
    <n v="1"/>
    <n v="140868"/>
    <n v="140868"/>
  </r>
  <r>
    <x v="0"/>
    <n v="6"/>
    <x v="3"/>
    <x v="0"/>
    <x v="0"/>
    <n v="1005"/>
    <x v="3"/>
    <x v="1"/>
    <x v="3"/>
    <n v="3425"/>
    <x v="27"/>
    <n v="0"/>
    <x v="0"/>
    <s v="B 16"/>
    <n v="4"/>
    <n v="345"/>
    <x v="108"/>
    <s v="Annual"/>
    <n v="1"/>
    <n v="1"/>
    <n v="130668"/>
    <n v="130668"/>
  </r>
  <r>
    <x v="0"/>
    <n v="6"/>
    <x v="3"/>
    <x v="0"/>
    <x v="0"/>
    <n v="1005"/>
    <x v="3"/>
    <x v="1"/>
    <x v="3"/>
    <n v="3425"/>
    <x v="27"/>
    <n v="0"/>
    <x v="0"/>
    <s v="1 00"/>
    <n v="0"/>
    <n v="15"/>
    <x v="37"/>
    <s v="Annual"/>
    <n v="0"/>
    <n v="0"/>
    <n v="23805"/>
    <n v="23805"/>
  </r>
  <r>
    <x v="0"/>
    <n v="6"/>
    <x v="3"/>
    <x v="0"/>
    <x v="0"/>
    <n v="1005"/>
    <x v="3"/>
    <x v="1"/>
    <x v="3"/>
    <n v="3430"/>
    <x v="28"/>
    <n v="0"/>
    <x v="0"/>
    <s v="G 09"/>
    <n v="4"/>
    <s v="06L2"/>
    <x v="109"/>
    <s v="Annual"/>
    <n v="4"/>
    <n v="1"/>
    <n v="154764"/>
    <n v="619056"/>
  </r>
  <r>
    <x v="0"/>
    <n v="6"/>
    <x v="3"/>
    <x v="0"/>
    <x v="0"/>
    <n v="1005"/>
    <x v="3"/>
    <x v="1"/>
    <x v="3"/>
    <n v="3430"/>
    <x v="28"/>
    <n v="0"/>
    <x v="0"/>
    <s v="G 09"/>
    <n v="4"/>
    <s v="06L2"/>
    <x v="109"/>
    <s v="Annual"/>
    <n v="1"/>
    <n v="1"/>
    <n v="128316"/>
    <n v="128316"/>
  </r>
  <r>
    <x v="0"/>
    <n v="6"/>
    <x v="3"/>
    <x v="0"/>
    <x v="0"/>
    <n v="1005"/>
    <x v="3"/>
    <x v="1"/>
    <x v="3"/>
    <n v="3430"/>
    <x v="28"/>
    <n v="0"/>
    <x v="0"/>
    <s v="G 09"/>
    <n v="4"/>
    <s v="06L2"/>
    <x v="109"/>
    <s v="Annual"/>
    <n v="2"/>
    <n v="1"/>
    <n v="109140"/>
    <n v="218280"/>
  </r>
  <r>
    <x v="0"/>
    <n v="6"/>
    <x v="3"/>
    <x v="0"/>
    <x v="0"/>
    <n v="1005"/>
    <x v="3"/>
    <x v="1"/>
    <x v="3"/>
    <n v="3430"/>
    <x v="28"/>
    <n v="0"/>
    <x v="0"/>
    <s v="B 17"/>
    <n v="1"/>
    <s v="06K8"/>
    <x v="110"/>
    <s v="Annual"/>
    <n v="1"/>
    <n v="1"/>
    <n v="164880"/>
    <n v="164880"/>
  </r>
  <r>
    <x v="0"/>
    <n v="6"/>
    <x v="3"/>
    <x v="0"/>
    <x v="0"/>
    <n v="1005"/>
    <x v="3"/>
    <x v="1"/>
    <x v="3"/>
    <n v="3430"/>
    <x v="28"/>
    <n v="0"/>
    <x v="0"/>
    <s v="B 17"/>
    <n v="1"/>
    <s v="06K8"/>
    <x v="110"/>
    <s v="Annual"/>
    <n v="2"/>
    <n v="1"/>
    <n v="99480"/>
    <n v="198960"/>
  </r>
  <r>
    <x v="0"/>
    <n v="6"/>
    <x v="3"/>
    <x v="0"/>
    <x v="0"/>
    <n v="1005"/>
    <x v="3"/>
    <x v="1"/>
    <x v="3"/>
    <n v="3430"/>
    <x v="28"/>
    <n v="0"/>
    <x v="0"/>
    <s v="B 15"/>
    <n v="1"/>
    <s v="06K7"/>
    <x v="111"/>
    <s v="Annual"/>
    <n v="3"/>
    <n v="1"/>
    <n v="82644"/>
    <n v="247932"/>
  </r>
  <r>
    <x v="0"/>
    <n v="6"/>
    <x v="3"/>
    <x v="0"/>
    <x v="0"/>
    <n v="1005"/>
    <x v="3"/>
    <x v="1"/>
    <x v="3"/>
    <n v="3430"/>
    <x v="28"/>
    <n v="0"/>
    <x v="0"/>
    <s v="BX 18"/>
    <n v="20"/>
    <s v="06K4"/>
    <x v="112"/>
    <s v="Annual"/>
    <n v="1"/>
    <n v="1"/>
    <n v="136692"/>
    <n v="136692"/>
  </r>
  <r>
    <x v="0"/>
    <n v="6"/>
    <x v="3"/>
    <x v="0"/>
    <x v="0"/>
    <n v="1005"/>
    <x v="3"/>
    <x v="1"/>
    <x v="3"/>
    <n v="3430"/>
    <x v="28"/>
    <n v="0"/>
    <x v="0"/>
    <s v="BX 18"/>
    <n v="20"/>
    <s v="06K4"/>
    <x v="112"/>
    <s v="Annual"/>
    <n v="1"/>
    <n v="1"/>
    <n v="89112"/>
    <n v="89112"/>
  </r>
  <r>
    <x v="0"/>
    <n v="6"/>
    <x v="3"/>
    <x v="0"/>
    <x v="0"/>
    <n v="1005"/>
    <x v="3"/>
    <x v="1"/>
    <x v="3"/>
    <n v="3430"/>
    <x v="28"/>
    <n v="0"/>
    <x v="0"/>
    <s v="BX 19"/>
    <n v="20"/>
    <s v="06J7"/>
    <x v="85"/>
    <s v="Annual"/>
    <n v="2"/>
    <n v="1"/>
    <n v="118956"/>
    <n v="237912"/>
  </r>
  <r>
    <x v="0"/>
    <n v="6"/>
    <x v="3"/>
    <x v="0"/>
    <x v="0"/>
    <n v="1005"/>
    <x v="3"/>
    <x v="1"/>
    <x v="3"/>
    <n v="3430"/>
    <x v="28"/>
    <n v="0"/>
    <x v="0"/>
    <s v="BX 19"/>
    <n v="20"/>
    <s v="06J7"/>
    <x v="85"/>
    <s v="Annual"/>
    <n v="1"/>
    <n v="1"/>
    <n v="113568"/>
    <n v="113568"/>
  </r>
  <r>
    <x v="0"/>
    <n v="6"/>
    <x v="3"/>
    <x v="0"/>
    <x v="0"/>
    <n v="1005"/>
    <x v="3"/>
    <x v="1"/>
    <x v="3"/>
    <n v="3430"/>
    <x v="28"/>
    <n v="0"/>
    <x v="0"/>
    <s v="BX 19"/>
    <n v="20"/>
    <s v="06J7"/>
    <x v="85"/>
    <s v="Annual"/>
    <n v="3"/>
    <n v="1"/>
    <n v="102444"/>
    <n v="307332"/>
  </r>
  <r>
    <x v="0"/>
    <n v="6"/>
    <x v="3"/>
    <x v="0"/>
    <x v="0"/>
    <n v="1005"/>
    <x v="3"/>
    <x v="1"/>
    <x v="3"/>
    <n v="3430"/>
    <x v="28"/>
    <n v="0"/>
    <x v="0"/>
    <s v="B 16"/>
    <n v="1"/>
    <s v="06J4"/>
    <x v="113"/>
    <s v="Annual"/>
    <n v="1"/>
    <n v="1"/>
    <n v="143400"/>
    <n v="143400"/>
  </r>
  <r>
    <x v="0"/>
    <n v="6"/>
    <x v="3"/>
    <x v="0"/>
    <x v="0"/>
    <n v="1005"/>
    <x v="3"/>
    <x v="1"/>
    <x v="3"/>
    <n v="3430"/>
    <x v="28"/>
    <n v="0"/>
    <x v="0"/>
    <s v="B 16"/>
    <n v="1"/>
    <s v="06J4"/>
    <x v="113"/>
    <s v="Annual"/>
    <n v="1"/>
    <n v="1"/>
    <n v="90732"/>
    <n v="90732"/>
  </r>
  <r>
    <x v="0"/>
    <n v="6"/>
    <x v="3"/>
    <x v="0"/>
    <x v="0"/>
    <n v="1005"/>
    <x v="3"/>
    <x v="1"/>
    <x v="3"/>
    <n v="3430"/>
    <x v="28"/>
    <n v="0"/>
    <x v="0"/>
    <s v="IT 02"/>
    <n v="20"/>
    <s v="06J1"/>
    <x v="114"/>
    <s v="Annual"/>
    <n v="1"/>
    <n v="1"/>
    <n v="125016"/>
    <n v="125016"/>
  </r>
  <r>
    <x v="0"/>
    <n v="6"/>
    <x v="3"/>
    <x v="0"/>
    <x v="0"/>
    <n v="1005"/>
    <x v="3"/>
    <x v="1"/>
    <x v="3"/>
    <n v="3430"/>
    <x v="28"/>
    <n v="0"/>
    <x v="0"/>
    <s v="3 00"/>
    <n v="9"/>
    <s v="06H9"/>
    <x v="115"/>
    <s v="Annual"/>
    <n v="1"/>
    <n v="1"/>
    <n v="51828"/>
    <n v="51828"/>
  </r>
  <r>
    <x v="0"/>
    <n v="6"/>
    <x v="3"/>
    <x v="0"/>
    <x v="0"/>
    <n v="1005"/>
    <x v="3"/>
    <x v="1"/>
    <x v="3"/>
    <n v="3430"/>
    <x v="28"/>
    <n v="0"/>
    <x v="0"/>
    <s v="3 00"/>
    <n v="9"/>
    <s v="06H8"/>
    <x v="116"/>
    <s v="Annual"/>
    <n v="1"/>
    <n v="1"/>
    <n v="64920"/>
    <n v="64920"/>
  </r>
  <r>
    <x v="0"/>
    <n v="6"/>
    <x v="3"/>
    <x v="0"/>
    <x v="0"/>
    <n v="1005"/>
    <x v="3"/>
    <x v="1"/>
    <x v="3"/>
    <n v="3430"/>
    <x v="28"/>
    <n v="0"/>
    <x v="0"/>
    <s v="IT 05"/>
    <n v="20"/>
    <s v="06H7"/>
    <x v="117"/>
    <s v="Annual"/>
    <n v="1"/>
    <n v="1"/>
    <n v="133836"/>
    <n v="133836"/>
  </r>
  <r>
    <x v="0"/>
    <n v="6"/>
    <x v="3"/>
    <x v="0"/>
    <x v="0"/>
    <n v="1005"/>
    <x v="3"/>
    <x v="1"/>
    <x v="3"/>
    <n v="3430"/>
    <x v="28"/>
    <n v="0"/>
    <x v="0"/>
    <s v="IT 06"/>
    <n v="20"/>
    <s v="06H6"/>
    <x v="118"/>
    <s v="Annual"/>
    <n v="1"/>
    <n v="1"/>
    <n v="199284"/>
    <n v="199284"/>
  </r>
  <r>
    <x v="0"/>
    <n v="6"/>
    <x v="3"/>
    <x v="0"/>
    <x v="0"/>
    <n v="1005"/>
    <x v="3"/>
    <x v="1"/>
    <x v="3"/>
    <n v="3430"/>
    <x v="28"/>
    <n v="0"/>
    <x v="0"/>
    <s v="BX 19"/>
    <n v="20"/>
    <s v="06H3"/>
    <x v="119"/>
    <s v="Annual"/>
    <n v="3"/>
    <n v="1"/>
    <n v="102444"/>
    <n v="307332"/>
  </r>
  <r>
    <x v="0"/>
    <n v="6"/>
    <x v="3"/>
    <x v="0"/>
    <x v="0"/>
    <n v="1005"/>
    <x v="3"/>
    <x v="1"/>
    <x v="3"/>
    <n v="3430"/>
    <x v="28"/>
    <n v="0"/>
    <x v="0"/>
    <s v="BX 19"/>
    <n v="20"/>
    <s v="06H3"/>
    <x v="119"/>
    <s v="Annual"/>
    <n v="1"/>
    <n v="1"/>
    <n v="97836"/>
    <n v="97836"/>
  </r>
  <r>
    <x v="0"/>
    <n v="6"/>
    <x v="3"/>
    <x v="0"/>
    <x v="0"/>
    <n v="1005"/>
    <x v="3"/>
    <x v="1"/>
    <x v="3"/>
    <n v="3430"/>
    <x v="28"/>
    <n v="0"/>
    <x v="0"/>
    <s v="IT 05"/>
    <n v="20"/>
    <s v="06G8"/>
    <x v="120"/>
    <s v="Annual"/>
    <n v="1"/>
    <n v="1"/>
    <n v="133836"/>
    <n v="133836"/>
  </r>
  <r>
    <x v="0"/>
    <n v="6"/>
    <x v="3"/>
    <x v="0"/>
    <x v="0"/>
    <n v="1005"/>
    <x v="3"/>
    <x v="1"/>
    <x v="3"/>
    <n v="3430"/>
    <x v="28"/>
    <n v="0"/>
    <x v="0"/>
    <s v="IT 05"/>
    <n v="20"/>
    <s v="06G2"/>
    <x v="121"/>
    <s v="Annual"/>
    <n v="1"/>
    <n v="1"/>
    <n v="160680"/>
    <n v="160680"/>
  </r>
  <r>
    <x v="0"/>
    <n v="6"/>
    <x v="3"/>
    <x v="0"/>
    <x v="0"/>
    <n v="1005"/>
    <x v="3"/>
    <x v="1"/>
    <x v="3"/>
    <n v="3430"/>
    <x v="28"/>
    <n v="0"/>
    <x v="0"/>
    <s v="BX 19"/>
    <n v="20"/>
    <s v="06F9"/>
    <x v="122"/>
    <s v="Annual"/>
    <n v="1"/>
    <n v="1"/>
    <n v="97836"/>
    <n v="97836"/>
  </r>
  <r>
    <x v="0"/>
    <n v="6"/>
    <x v="3"/>
    <x v="0"/>
    <x v="0"/>
    <n v="1005"/>
    <x v="3"/>
    <x v="1"/>
    <x v="3"/>
    <n v="3430"/>
    <x v="28"/>
    <n v="0"/>
    <x v="0"/>
    <s v="IT 03"/>
    <n v="20"/>
    <s v="06F8"/>
    <x v="123"/>
    <s v="Annual"/>
    <n v="1"/>
    <n v="1"/>
    <n v="146592"/>
    <n v="146592"/>
  </r>
  <r>
    <x v="0"/>
    <n v="6"/>
    <x v="3"/>
    <x v="0"/>
    <x v="0"/>
    <n v="1005"/>
    <x v="3"/>
    <x v="1"/>
    <x v="3"/>
    <n v="3430"/>
    <x v="28"/>
    <n v="0"/>
    <x v="0"/>
    <s v="IT 04"/>
    <n v="20"/>
    <s v="06F5"/>
    <x v="124"/>
    <s v="Annual"/>
    <n v="1"/>
    <n v="1"/>
    <n v="131412"/>
    <n v="131412"/>
  </r>
  <r>
    <x v="0"/>
    <n v="6"/>
    <x v="3"/>
    <x v="0"/>
    <x v="0"/>
    <n v="1005"/>
    <x v="3"/>
    <x v="1"/>
    <x v="3"/>
    <n v="3430"/>
    <x v="28"/>
    <n v="0"/>
    <x v="0"/>
    <s v="IT 03"/>
    <n v="20"/>
    <s v="06F2"/>
    <x v="125"/>
    <s v="Annual"/>
    <n v="1"/>
    <n v="1"/>
    <n v="125016"/>
    <n v="125016"/>
  </r>
  <r>
    <x v="0"/>
    <n v="6"/>
    <x v="3"/>
    <x v="0"/>
    <x v="0"/>
    <n v="1005"/>
    <x v="3"/>
    <x v="1"/>
    <x v="3"/>
    <n v="3430"/>
    <x v="28"/>
    <n v="0"/>
    <x v="0"/>
    <s v="BX 19"/>
    <n v="20"/>
    <s v="06F1"/>
    <x v="126"/>
    <s v="Annual"/>
    <n v="1"/>
    <n v="1"/>
    <n v="97836"/>
    <n v="97836"/>
  </r>
  <r>
    <x v="0"/>
    <n v="6"/>
    <x v="3"/>
    <x v="0"/>
    <x v="0"/>
    <n v="1005"/>
    <x v="3"/>
    <x v="1"/>
    <x v="3"/>
    <n v="3430"/>
    <x v="28"/>
    <n v="0"/>
    <x v="0"/>
    <s v="IT 02"/>
    <n v="20"/>
    <n v="6000000000"/>
    <x v="127"/>
    <s v="Annual"/>
    <n v="1"/>
    <n v="1"/>
    <n v="120144"/>
    <n v="120144"/>
  </r>
  <r>
    <x v="0"/>
    <n v="6"/>
    <x v="3"/>
    <x v="0"/>
    <x v="0"/>
    <n v="1005"/>
    <x v="3"/>
    <x v="1"/>
    <x v="3"/>
    <n v="3430"/>
    <x v="28"/>
    <n v="0"/>
    <x v="0"/>
    <s v="IT 04"/>
    <n v="20"/>
    <n v="600000000"/>
    <x v="128"/>
    <s v="Annual"/>
    <n v="1"/>
    <n v="1"/>
    <n v="140868"/>
    <n v="140868"/>
  </r>
  <r>
    <x v="0"/>
    <n v="6"/>
    <x v="3"/>
    <x v="0"/>
    <x v="0"/>
    <n v="1005"/>
    <x v="3"/>
    <x v="1"/>
    <x v="3"/>
    <n v="3430"/>
    <x v="28"/>
    <n v="0"/>
    <x v="0"/>
    <s v="IT 04"/>
    <n v="20"/>
    <n v="60000000"/>
    <x v="129"/>
    <s v="Annual"/>
    <n v="1"/>
    <n v="1"/>
    <n v="166860"/>
    <n v="166860"/>
  </r>
  <r>
    <x v="0"/>
    <n v="6"/>
    <x v="3"/>
    <x v="0"/>
    <x v="0"/>
    <n v="1005"/>
    <x v="3"/>
    <x v="1"/>
    <x v="3"/>
    <n v="3430"/>
    <x v="28"/>
    <n v="0"/>
    <x v="0"/>
    <s v="B 16"/>
    <n v="1"/>
    <s v="06D6"/>
    <x v="130"/>
    <s v="Annual"/>
    <n v="2"/>
    <n v="1"/>
    <n v="90732"/>
    <n v="181464"/>
  </r>
  <r>
    <x v="0"/>
    <n v="6"/>
    <x v="3"/>
    <x v="0"/>
    <x v="0"/>
    <n v="1005"/>
    <x v="3"/>
    <x v="1"/>
    <x v="3"/>
    <n v="3430"/>
    <x v="28"/>
    <n v="0"/>
    <x v="0"/>
    <s v="B 14"/>
    <n v="1"/>
    <s v="06C9"/>
    <x v="131"/>
    <s v="Annual"/>
    <n v="2"/>
    <n v="1"/>
    <n v="75336"/>
    <n v="150672"/>
  </r>
  <r>
    <x v="0"/>
    <n v="6"/>
    <x v="3"/>
    <x v="0"/>
    <x v="0"/>
    <n v="1005"/>
    <x v="3"/>
    <x v="1"/>
    <x v="3"/>
    <n v="3430"/>
    <x v="28"/>
    <n v="0"/>
    <x v="0"/>
    <s v="G 10"/>
    <n v="4"/>
    <s v="06C8"/>
    <x v="132"/>
    <s v="Annual"/>
    <n v="1"/>
    <n v="1"/>
    <n v="164808"/>
    <n v="164808"/>
  </r>
  <r>
    <x v="0"/>
    <n v="6"/>
    <x v="3"/>
    <x v="0"/>
    <x v="0"/>
    <n v="1005"/>
    <x v="3"/>
    <x v="1"/>
    <x v="3"/>
    <n v="3430"/>
    <x v="28"/>
    <n v="0"/>
    <x v="0"/>
    <s v="G 10"/>
    <n v="4"/>
    <s v="06C8"/>
    <x v="132"/>
    <s v="Annual"/>
    <n v="1"/>
    <n v="1"/>
    <n v="134184"/>
    <n v="134184"/>
  </r>
  <r>
    <x v="0"/>
    <n v="6"/>
    <x v="3"/>
    <x v="0"/>
    <x v="0"/>
    <n v="1005"/>
    <x v="3"/>
    <x v="1"/>
    <x v="3"/>
    <n v="3430"/>
    <x v="28"/>
    <n v="0"/>
    <x v="0"/>
    <s v="G 10"/>
    <n v="4"/>
    <s v="06C7"/>
    <x v="133"/>
    <s v="Annual"/>
    <n v="1"/>
    <n v="1"/>
    <n v="160020"/>
    <n v="160020"/>
  </r>
  <r>
    <x v="0"/>
    <n v="6"/>
    <x v="3"/>
    <x v="0"/>
    <x v="0"/>
    <n v="1005"/>
    <x v="3"/>
    <x v="1"/>
    <x v="3"/>
    <n v="3430"/>
    <x v="28"/>
    <n v="0"/>
    <x v="0"/>
    <s v="B 14"/>
    <n v="1"/>
    <s v="06C3"/>
    <x v="102"/>
    <s v="Annual"/>
    <n v="1"/>
    <n v="1"/>
    <n v="130668"/>
    <n v="130668"/>
  </r>
  <r>
    <x v="0"/>
    <n v="6"/>
    <x v="3"/>
    <x v="0"/>
    <x v="0"/>
    <n v="1005"/>
    <x v="3"/>
    <x v="1"/>
    <x v="3"/>
    <n v="3430"/>
    <x v="28"/>
    <n v="0"/>
    <x v="0"/>
    <s v="B 14"/>
    <n v="1"/>
    <s v="06C3"/>
    <x v="102"/>
    <s v="Annual"/>
    <n v="6"/>
    <n v="1"/>
    <n v="75336"/>
    <n v="452016"/>
  </r>
  <r>
    <x v="0"/>
    <n v="6"/>
    <x v="3"/>
    <x v="0"/>
    <x v="0"/>
    <n v="1005"/>
    <x v="3"/>
    <x v="1"/>
    <x v="3"/>
    <n v="3430"/>
    <x v="28"/>
    <n v="0"/>
    <x v="0"/>
    <s v="BX 19"/>
    <n v="20"/>
    <s v="06B6"/>
    <x v="134"/>
    <s v="Annual"/>
    <n v="1"/>
    <n v="1"/>
    <n v="136692"/>
    <n v="136692"/>
  </r>
  <r>
    <x v="0"/>
    <n v="6"/>
    <x v="3"/>
    <x v="0"/>
    <x v="0"/>
    <n v="1005"/>
    <x v="3"/>
    <x v="1"/>
    <x v="3"/>
    <n v="3430"/>
    <x v="28"/>
    <n v="0"/>
    <x v="0"/>
    <s v="BX 19"/>
    <n v="20"/>
    <s v="06B6"/>
    <x v="134"/>
    <s v="Annual"/>
    <n v="1"/>
    <n v="1"/>
    <n v="118956"/>
    <n v="118956"/>
  </r>
  <r>
    <x v="0"/>
    <n v="6"/>
    <x v="3"/>
    <x v="0"/>
    <x v="0"/>
    <n v="1005"/>
    <x v="3"/>
    <x v="1"/>
    <x v="3"/>
    <n v="3430"/>
    <x v="28"/>
    <n v="0"/>
    <x v="0"/>
    <s v="BX 19"/>
    <n v="20"/>
    <s v="06B6"/>
    <x v="134"/>
    <s v="Annual"/>
    <n v="1"/>
    <n v="1"/>
    <n v="113568"/>
    <n v="113568"/>
  </r>
  <r>
    <x v="0"/>
    <n v="6"/>
    <x v="3"/>
    <x v="0"/>
    <x v="0"/>
    <n v="1005"/>
    <x v="3"/>
    <x v="1"/>
    <x v="3"/>
    <n v="3430"/>
    <x v="28"/>
    <n v="0"/>
    <x v="0"/>
    <s v="BX 19"/>
    <n v="20"/>
    <s v="06B6"/>
    <x v="134"/>
    <s v="Annual"/>
    <n v="5"/>
    <n v="1"/>
    <n v="97836"/>
    <n v="489180"/>
  </r>
  <r>
    <x v="0"/>
    <n v="6"/>
    <x v="3"/>
    <x v="0"/>
    <x v="0"/>
    <n v="1005"/>
    <x v="3"/>
    <x v="1"/>
    <x v="3"/>
    <n v="3430"/>
    <x v="28"/>
    <n v="0"/>
    <x v="0"/>
    <s v="3 00"/>
    <n v="0"/>
    <n v="649"/>
    <x v="135"/>
    <s v="Annual"/>
    <n v="1"/>
    <n v="1"/>
    <n v="120108"/>
    <n v="120108"/>
  </r>
  <r>
    <x v="0"/>
    <n v="6"/>
    <x v="3"/>
    <x v="0"/>
    <x v="0"/>
    <n v="1005"/>
    <x v="3"/>
    <x v="1"/>
    <x v="3"/>
    <n v="3430"/>
    <x v="28"/>
    <n v="0"/>
    <x v="0"/>
    <s v="1 00"/>
    <n v="0"/>
    <n v="15"/>
    <x v="37"/>
    <s v="Annual"/>
    <n v="0"/>
    <n v="0"/>
    <n v="86536"/>
    <n v="86536"/>
  </r>
  <r>
    <x v="0"/>
    <n v="6"/>
    <x v="3"/>
    <x v="0"/>
    <x v="0"/>
    <n v="1005"/>
    <x v="3"/>
    <x v="1"/>
    <x v="3"/>
    <n v="3435"/>
    <x v="29"/>
    <n v="0"/>
    <x v="0"/>
    <s v="B 17"/>
    <n v="1"/>
    <s v="06L7"/>
    <x v="136"/>
    <s v="Annual"/>
    <n v="1"/>
    <n v="1"/>
    <n v="164880"/>
    <n v="164880"/>
  </r>
  <r>
    <x v="0"/>
    <n v="6"/>
    <x v="3"/>
    <x v="0"/>
    <x v="0"/>
    <n v="1005"/>
    <x v="3"/>
    <x v="1"/>
    <x v="3"/>
    <n v="3435"/>
    <x v="29"/>
    <n v="0"/>
    <x v="0"/>
    <s v="B 17"/>
    <n v="1"/>
    <s v="06L7"/>
    <x v="136"/>
    <s v="Annual"/>
    <n v="1"/>
    <n v="1"/>
    <n v="157332"/>
    <n v="157332"/>
  </r>
  <r>
    <x v="0"/>
    <n v="6"/>
    <x v="3"/>
    <x v="0"/>
    <x v="0"/>
    <n v="1005"/>
    <x v="3"/>
    <x v="1"/>
    <x v="3"/>
    <n v="3435"/>
    <x v="29"/>
    <n v="0"/>
    <x v="0"/>
    <s v="B 17"/>
    <n v="1"/>
    <s v="06L7"/>
    <x v="136"/>
    <s v="Annual"/>
    <n v="2"/>
    <n v="1"/>
    <n v="99480"/>
    <n v="198960"/>
  </r>
  <r>
    <x v="0"/>
    <n v="6"/>
    <x v="3"/>
    <x v="0"/>
    <x v="0"/>
    <n v="1005"/>
    <x v="3"/>
    <x v="1"/>
    <x v="3"/>
    <n v="3435"/>
    <x v="29"/>
    <n v="0"/>
    <x v="0"/>
    <s v="B 13"/>
    <n v="1"/>
    <s v="06L5"/>
    <x v="137"/>
    <s v="Annual"/>
    <n v="2"/>
    <n v="1"/>
    <n v="68616"/>
    <n v="137232"/>
  </r>
  <r>
    <x v="0"/>
    <n v="6"/>
    <x v="3"/>
    <x v="0"/>
    <x v="0"/>
    <n v="1005"/>
    <x v="3"/>
    <x v="1"/>
    <x v="3"/>
    <n v="3435"/>
    <x v="29"/>
    <n v="0"/>
    <x v="0"/>
    <s v="B 15"/>
    <n v="1"/>
    <s v="06K9"/>
    <x v="138"/>
    <s v="Annual"/>
    <n v="1"/>
    <n v="1"/>
    <n v="143400"/>
    <n v="143400"/>
  </r>
  <r>
    <x v="0"/>
    <n v="6"/>
    <x v="3"/>
    <x v="0"/>
    <x v="0"/>
    <n v="1005"/>
    <x v="3"/>
    <x v="1"/>
    <x v="3"/>
    <n v="3435"/>
    <x v="29"/>
    <n v="0"/>
    <x v="0"/>
    <s v="B 15"/>
    <n v="1"/>
    <s v="06K9"/>
    <x v="138"/>
    <s v="Annual"/>
    <n v="1"/>
    <n v="1"/>
    <n v="82644"/>
    <n v="82644"/>
  </r>
  <r>
    <x v="0"/>
    <n v="6"/>
    <x v="3"/>
    <x v="0"/>
    <x v="0"/>
    <n v="1005"/>
    <x v="3"/>
    <x v="1"/>
    <x v="3"/>
    <n v="3435"/>
    <x v="29"/>
    <n v="0"/>
    <x v="0"/>
    <s v="G 09"/>
    <n v="4"/>
    <s v="06K5"/>
    <x v="139"/>
    <s v="Annual"/>
    <n v="1"/>
    <n v="1"/>
    <n v="109140"/>
    <n v="109140"/>
  </r>
  <r>
    <x v="0"/>
    <n v="6"/>
    <x v="3"/>
    <x v="0"/>
    <x v="0"/>
    <n v="1005"/>
    <x v="3"/>
    <x v="1"/>
    <x v="3"/>
    <n v="3435"/>
    <x v="29"/>
    <n v="0"/>
    <x v="0"/>
    <s v="IT 06"/>
    <n v="20"/>
    <s v="06J5"/>
    <x v="140"/>
    <s v="Annual"/>
    <n v="1"/>
    <n v="1"/>
    <n v="204516"/>
    <n v="204516"/>
  </r>
  <r>
    <x v="0"/>
    <n v="6"/>
    <x v="3"/>
    <x v="0"/>
    <x v="0"/>
    <n v="1005"/>
    <x v="3"/>
    <x v="1"/>
    <x v="3"/>
    <n v="3435"/>
    <x v="29"/>
    <n v="0"/>
    <x v="0"/>
    <s v="IT 03"/>
    <n v="20"/>
    <s v="06G7"/>
    <x v="141"/>
    <s v="Annual"/>
    <n v="1"/>
    <n v="1"/>
    <n v="140868"/>
    <n v="140868"/>
  </r>
  <r>
    <x v="0"/>
    <n v="6"/>
    <x v="3"/>
    <x v="0"/>
    <x v="0"/>
    <n v="1005"/>
    <x v="3"/>
    <x v="1"/>
    <x v="3"/>
    <n v="3435"/>
    <x v="29"/>
    <n v="0"/>
    <x v="0"/>
    <s v="IT 01"/>
    <n v="20"/>
    <s v="06G6"/>
    <x v="142"/>
    <s v="Annual"/>
    <n v="1"/>
    <n v="1"/>
    <n v="125016"/>
    <n v="125016"/>
  </r>
  <r>
    <x v="0"/>
    <n v="6"/>
    <x v="3"/>
    <x v="0"/>
    <x v="0"/>
    <n v="1005"/>
    <x v="3"/>
    <x v="1"/>
    <x v="3"/>
    <n v="3435"/>
    <x v="29"/>
    <n v="0"/>
    <x v="0"/>
    <s v="IT 04"/>
    <n v="20"/>
    <s v="06G5"/>
    <x v="143"/>
    <s v="Annual"/>
    <n v="1"/>
    <n v="1"/>
    <n v="166860"/>
    <n v="166860"/>
  </r>
  <r>
    <x v="0"/>
    <n v="6"/>
    <x v="3"/>
    <x v="0"/>
    <x v="0"/>
    <n v="1005"/>
    <x v="3"/>
    <x v="1"/>
    <x v="3"/>
    <n v="3435"/>
    <x v="29"/>
    <n v="0"/>
    <x v="0"/>
    <s v="BX 18"/>
    <n v="20"/>
    <s v="06G4"/>
    <x v="144"/>
    <s v="Annual"/>
    <n v="1"/>
    <n v="1"/>
    <n v="136692"/>
    <n v="136692"/>
  </r>
  <r>
    <x v="0"/>
    <n v="6"/>
    <x v="3"/>
    <x v="0"/>
    <x v="0"/>
    <n v="1005"/>
    <x v="3"/>
    <x v="1"/>
    <x v="3"/>
    <n v="3435"/>
    <x v="29"/>
    <n v="0"/>
    <x v="0"/>
    <s v="BX 18"/>
    <n v="20"/>
    <s v="06G3"/>
    <x v="145"/>
    <s v="Annual"/>
    <n v="1"/>
    <n v="1"/>
    <n v="89112"/>
    <n v="89112"/>
  </r>
  <r>
    <x v="0"/>
    <n v="6"/>
    <x v="3"/>
    <x v="0"/>
    <x v="0"/>
    <n v="1005"/>
    <x v="3"/>
    <x v="1"/>
    <x v="3"/>
    <n v="3435"/>
    <x v="29"/>
    <n v="0"/>
    <x v="0"/>
    <s v="IT 01"/>
    <n v="20"/>
    <s v="06F4"/>
    <x v="146"/>
    <s v="Annual"/>
    <n v="1"/>
    <n v="1"/>
    <n v="110940"/>
    <n v="110940"/>
  </r>
  <r>
    <x v="0"/>
    <n v="6"/>
    <x v="3"/>
    <x v="0"/>
    <x v="0"/>
    <n v="1005"/>
    <x v="3"/>
    <x v="1"/>
    <x v="3"/>
    <n v="3435"/>
    <x v="29"/>
    <n v="0"/>
    <x v="0"/>
    <s v="BX 18"/>
    <n v="20"/>
    <s v="06F3"/>
    <x v="147"/>
    <s v="Annual"/>
    <n v="1"/>
    <n v="1"/>
    <n v="97836"/>
    <n v="97836"/>
  </r>
  <r>
    <x v="0"/>
    <n v="6"/>
    <x v="3"/>
    <x v="0"/>
    <x v="0"/>
    <n v="1005"/>
    <x v="3"/>
    <x v="1"/>
    <x v="3"/>
    <n v="3435"/>
    <x v="29"/>
    <n v="0"/>
    <x v="0"/>
    <s v="B 16"/>
    <n v="1"/>
    <n v="60"/>
    <x v="148"/>
    <s v="Annual"/>
    <n v="1"/>
    <n v="1"/>
    <n v="143400"/>
    <n v="143400"/>
  </r>
  <r>
    <x v="0"/>
    <n v="6"/>
    <x v="3"/>
    <x v="0"/>
    <x v="0"/>
    <n v="1005"/>
    <x v="3"/>
    <x v="1"/>
    <x v="3"/>
    <n v="3435"/>
    <x v="29"/>
    <n v="0"/>
    <x v="0"/>
    <s v="B 13"/>
    <n v="1"/>
    <s v="06D8"/>
    <x v="149"/>
    <s v="Annual"/>
    <n v="3"/>
    <n v="1"/>
    <n v="68616"/>
    <n v="205848"/>
  </r>
  <r>
    <x v="0"/>
    <n v="6"/>
    <x v="3"/>
    <x v="0"/>
    <x v="0"/>
    <n v="1005"/>
    <x v="3"/>
    <x v="1"/>
    <x v="3"/>
    <n v="3435"/>
    <x v="29"/>
    <n v="0"/>
    <x v="0"/>
    <s v="B 14"/>
    <n v="1"/>
    <s v="06D2"/>
    <x v="150"/>
    <s v="Annual"/>
    <n v="2"/>
    <n v="1"/>
    <n v="75336"/>
    <n v="150672"/>
  </r>
  <r>
    <x v="0"/>
    <n v="6"/>
    <x v="3"/>
    <x v="0"/>
    <x v="0"/>
    <n v="1005"/>
    <x v="3"/>
    <x v="1"/>
    <x v="3"/>
    <n v="3435"/>
    <x v="29"/>
    <n v="0"/>
    <x v="0"/>
    <s v="1 00"/>
    <n v="0"/>
    <n v="15"/>
    <x v="37"/>
    <s v="Annual"/>
    <n v="0"/>
    <n v="0"/>
    <n v="23293"/>
    <n v="23293"/>
  </r>
  <r>
    <x v="0"/>
    <n v="6"/>
    <x v="3"/>
    <x v="0"/>
    <x v="0"/>
    <n v="1005"/>
    <x v="3"/>
    <x v="1"/>
    <x v="3"/>
    <n v="3440"/>
    <x v="30"/>
    <n v="0"/>
    <x v="0"/>
    <s v="IT 04"/>
    <n v="20"/>
    <s v="06K2"/>
    <x v="151"/>
    <s v="Annual"/>
    <n v="1"/>
    <n v="1"/>
    <n v="131412"/>
    <n v="131412"/>
  </r>
  <r>
    <x v="0"/>
    <n v="6"/>
    <x v="3"/>
    <x v="0"/>
    <x v="0"/>
    <n v="1005"/>
    <x v="3"/>
    <x v="1"/>
    <x v="3"/>
    <n v="3440"/>
    <x v="30"/>
    <n v="0"/>
    <x v="0"/>
    <s v="IT 04"/>
    <n v="20"/>
    <s v="06J9"/>
    <x v="152"/>
    <s v="Annual"/>
    <n v="1"/>
    <n v="1"/>
    <n v="154092"/>
    <n v="154092"/>
  </r>
  <r>
    <x v="0"/>
    <n v="6"/>
    <x v="3"/>
    <x v="0"/>
    <x v="0"/>
    <n v="1005"/>
    <x v="3"/>
    <x v="1"/>
    <x v="3"/>
    <n v="3440"/>
    <x v="30"/>
    <n v="0"/>
    <x v="0"/>
    <s v="IT 04"/>
    <n v="20"/>
    <s v="06J9"/>
    <x v="152"/>
    <s v="Annual"/>
    <n v="6"/>
    <n v="1"/>
    <n v="140868"/>
    <n v="845208"/>
  </r>
  <r>
    <x v="0"/>
    <n v="6"/>
    <x v="3"/>
    <x v="0"/>
    <x v="0"/>
    <n v="1005"/>
    <x v="3"/>
    <x v="1"/>
    <x v="3"/>
    <n v="3440"/>
    <x v="30"/>
    <n v="0"/>
    <x v="0"/>
    <s v="IT 04"/>
    <n v="20"/>
    <s v="06J9"/>
    <x v="152"/>
    <s v="Annual"/>
    <n v="2"/>
    <n v="1"/>
    <n v="131412"/>
    <n v="262824"/>
  </r>
  <r>
    <x v="0"/>
    <n v="6"/>
    <x v="3"/>
    <x v="0"/>
    <x v="0"/>
    <n v="1005"/>
    <x v="3"/>
    <x v="1"/>
    <x v="3"/>
    <n v="3440"/>
    <x v="30"/>
    <n v="0"/>
    <x v="0"/>
    <s v="IT 02"/>
    <n v="20"/>
    <s v="06J8"/>
    <x v="153"/>
    <s v="Annual"/>
    <n v="2"/>
    <n v="1"/>
    <n v="125016"/>
    <n v="250032"/>
  </r>
  <r>
    <x v="0"/>
    <n v="6"/>
    <x v="3"/>
    <x v="0"/>
    <x v="0"/>
    <n v="1005"/>
    <x v="3"/>
    <x v="1"/>
    <x v="3"/>
    <n v="3440"/>
    <x v="30"/>
    <n v="0"/>
    <x v="0"/>
    <s v="IT 02"/>
    <n v="20"/>
    <s v="06J8"/>
    <x v="153"/>
    <s v="Annual"/>
    <n v="2"/>
    <n v="1"/>
    <n v="120144"/>
    <n v="240288"/>
  </r>
  <r>
    <x v="0"/>
    <n v="6"/>
    <x v="3"/>
    <x v="0"/>
    <x v="0"/>
    <n v="1005"/>
    <x v="3"/>
    <x v="1"/>
    <x v="3"/>
    <n v="3440"/>
    <x v="30"/>
    <n v="0"/>
    <x v="0"/>
    <s v="IT 07"/>
    <n v="20"/>
    <s v="06J3"/>
    <x v="154"/>
    <s v="Annual"/>
    <n v="1"/>
    <n v="1"/>
    <n v="211752"/>
    <n v="211752"/>
  </r>
  <r>
    <x v="0"/>
    <n v="6"/>
    <x v="3"/>
    <x v="0"/>
    <x v="0"/>
    <n v="1005"/>
    <x v="3"/>
    <x v="1"/>
    <x v="3"/>
    <n v="3440"/>
    <x v="30"/>
    <n v="0"/>
    <x v="0"/>
    <s v="IT 06"/>
    <n v="20"/>
    <s v="06G9"/>
    <x v="155"/>
    <s v="Annual"/>
    <n v="2"/>
    <n v="1"/>
    <n v="172920"/>
    <n v="345840"/>
  </r>
  <r>
    <x v="0"/>
    <n v="6"/>
    <x v="3"/>
    <x v="0"/>
    <x v="0"/>
    <n v="1005"/>
    <x v="3"/>
    <x v="1"/>
    <x v="3"/>
    <n v="3440"/>
    <x v="30"/>
    <n v="0"/>
    <x v="0"/>
    <s v="IT 06"/>
    <n v="20"/>
    <s v="06G9"/>
    <x v="155"/>
    <s v="Annual"/>
    <n v="2"/>
    <n v="1"/>
    <n v="153000"/>
    <n v="306000"/>
  </r>
  <r>
    <x v="0"/>
    <n v="6"/>
    <x v="3"/>
    <x v="0"/>
    <x v="0"/>
    <n v="1005"/>
    <x v="3"/>
    <x v="1"/>
    <x v="3"/>
    <n v="3440"/>
    <x v="30"/>
    <n v="0"/>
    <x v="0"/>
    <s v="1 00"/>
    <n v="0"/>
    <n v="15"/>
    <x v="37"/>
    <s v="Annual"/>
    <n v="0"/>
    <n v="0"/>
    <n v="54153"/>
    <n v="54153"/>
  </r>
  <r>
    <x v="0"/>
    <n v="15"/>
    <x v="4"/>
    <x v="0"/>
    <x v="0"/>
    <n v="1005"/>
    <x v="4"/>
    <x v="0"/>
    <x v="4"/>
    <n v="3005"/>
    <x v="31"/>
    <n v="0"/>
    <x v="0"/>
    <s v="1 00"/>
    <n v="9"/>
    <s v="9A50"/>
    <x v="156"/>
    <s v="Annual"/>
    <n v="1"/>
    <n v="1"/>
    <n v="155688"/>
    <n v="155688"/>
  </r>
  <r>
    <x v="0"/>
    <n v="15"/>
    <x v="4"/>
    <x v="0"/>
    <x v="0"/>
    <n v="1005"/>
    <x v="4"/>
    <x v="0"/>
    <x v="4"/>
    <n v="3005"/>
    <x v="31"/>
    <n v="0"/>
    <x v="0"/>
    <s v="1 00"/>
    <n v="9"/>
    <s v="9A49"/>
    <x v="157"/>
    <s v="Annual"/>
    <n v="1"/>
    <n v="1"/>
    <n v="139776"/>
    <n v="139776"/>
  </r>
  <r>
    <x v="0"/>
    <n v="15"/>
    <x v="4"/>
    <x v="0"/>
    <x v="0"/>
    <n v="1005"/>
    <x v="4"/>
    <x v="0"/>
    <x v="4"/>
    <n v="3005"/>
    <x v="31"/>
    <n v="0"/>
    <x v="0"/>
    <s v="1 00"/>
    <n v="9"/>
    <s v="9A48"/>
    <x v="158"/>
    <s v="Annual"/>
    <n v="1"/>
    <n v="1"/>
    <n v="155688"/>
    <n v="155688"/>
  </r>
  <r>
    <x v="0"/>
    <n v="15"/>
    <x v="4"/>
    <x v="0"/>
    <x v="0"/>
    <n v="1005"/>
    <x v="4"/>
    <x v="0"/>
    <x v="4"/>
    <n v="3005"/>
    <x v="31"/>
    <n v="0"/>
    <x v="0"/>
    <s v="1 00"/>
    <n v="9"/>
    <s v="9A47"/>
    <x v="159"/>
    <s v="Annual"/>
    <n v="1"/>
    <n v="1"/>
    <n v="133344"/>
    <n v="133344"/>
  </r>
  <r>
    <x v="0"/>
    <n v="15"/>
    <x v="4"/>
    <x v="0"/>
    <x v="0"/>
    <n v="1005"/>
    <x v="4"/>
    <x v="0"/>
    <x v="4"/>
    <n v="3005"/>
    <x v="31"/>
    <n v="0"/>
    <x v="0"/>
    <s v="1 00"/>
    <n v="9"/>
    <s v="9A46"/>
    <x v="160"/>
    <s v="Annual"/>
    <n v="1"/>
    <n v="1"/>
    <n v="155688"/>
    <n v="155688"/>
  </r>
  <r>
    <x v="0"/>
    <n v="15"/>
    <x v="4"/>
    <x v="0"/>
    <x v="0"/>
    <n v="1005"/>
    <x v="4"/>
    <x v="0"/>
    <x v="4"/>
    <n v="3005"/>
    <x v="31"/>
    <n v="0"/>
    <x v="0"/>
    <s v="1 00"/>
    <n v="9"/>
    <s v="9A45"/>
    <x v="161"/>
    <s v="Annual"/>
    <n v="1"/>
    <n v="1"/>
    <n v="155688"/>
    <n v="155688"/>
  </r>
  <r>
    <x v="0"/>
    <n v="15"/>
    <x v="4"/>
    <x v="0"/>
    <x v="0"/>
    <n v="1005"/>
    <x v="4"/>
    <x v="0"/>
    <x v="4"/>
    <n v="3005"/>
    <x v="31"/>
    <n v="0"/>
    <x v="0"/>
    <s v="1 00"/>
    <n v="9"/>
    <s v="9A44"/>
    <x v="162"/>
    <s v="Annual"/>
    <n v="1"/>
    <n v="1"/>
    <n v="149520"/>
    <n v="149520"/>
  </r>
  <r>
    <x v="0"/>
    <n v="15"/>
    <x v="4"/>
    <x v="0"/>
    <x v="0"/>
    <n v="1005"/>
    <x v="4"/>
    <x v="0"/>
    <x v="4"/>
    <n v="3005"/>
    <x v="31"/>
    <n v="0"/>
    <x v="0"/>
    <s v="1 00"/>
    <n v="9"/>
    <s v="9A43"/>
    <x v="163"/>
    <s v="Annual"/>
    <n v="1"/>
    <n v="1"/>
    <n v="155688"/>
    <n v="155688"/>
  </r>
  <r>
    <x v="0"/>
    <n v="15"/>
    <x v="4"/>
    <x v="0"/>
    <x v="0"/>
    <n v="1005"/>
    <x v="4"/>
    <x v="0"/>
    <x v="4"/>
    <n v="3005"/>
    <x v="31"/>
    <n v="0"/>
    <x v="0"/>
    <s v="1 00"/>
    <n v="9"/>
    <s v="9A42"/>
    <x v="164"/>
    <s v="Annual"/>
    <n v="1"/>
    <n v="1"/>
    <n v="128232"/>
    <n v="128232"/>
  </r>
  <r>
    <x v="0"/>
    <n v="15"/>
    <x v="4"/>
    <x v="0"/>
    <x v="0"/>
    <n v="1005"/>
    <x v="4"/>
    <x v="0"/>
    <x v="4"/>
    <n v="3005"/>
    <x v="31"/>
    <n v="0"/>
    <x v="0"/>
    <s v="1 00"/>
    <n v="9"/>
    <s v="9A41"/>
    <x v="165"/>
    <s v="Annual"/>
    <n v="1"/>
    <n v="1"/>
    <n v="142020"/>
    <n v="142020"/>
  </r>
  <r>
    <x v="0"/>
    <n v="15"/>
    <x v="4"/>
    <x v="0"/>
    <x v="0"/>
    <n v="1005"/>
    <x v="4"/>
    <x v="0"/>
    <x v="4"/>
    <n v="3005"/>
    <x v="31"/>
    <n v="0"/>
    <x v="0"/>
    <s v="1 00"/>
    <n v="9"/>
    <s v="9A40"/>
    <x v="166"/>
    <s v="Annual"/>
    <n v="1"/>
    <n v="1"/>
    <n v="155688"/>
    <n v="155688"/>
  </r>
  <r>
    <x v="0"/>
    <n v="15"/>
    <x v="4"/>
    <x v="0"/>
    <x v="0"/>
    <n v="1005"/>
    <x v="4"/>
    <x v="0"/>
    <x v="4"/>
    <n v="3005"/>
    <x v="31"/>
    <n v="0"/>
    <x v="0"/>
    <s v="1 00"/>
    <n v="9"/>
    <s v="9A39"/>
    <x v="167"/>
    <s v="Annual"/>
    <n v="1"/>
    <n v="1"/>
    <n v="142020"/>
    <n v="142020"/>
  </r>
  <r>
    <x v="0"/>
    <n v="15"/>
    <x v="4"/>
    <x v="0"/>
    <x v="0"/>
    <n v="1005"/>
    <x v="4"/>
    <x v="0"/>
    <x v="4"/>
    <n v="3005"/>
    <x v="31"/>
    <n v="0"/>
    <x v="0"/>
    <s v="1 00"/>
    <n v="9"/>
    <s v="9A38"/>
    <x v="168"/>
    <s v="Annual"/>
    <n v="1"/>
    <n v="1"/>
    <n v="143424"/>
    <n v="143424"/>
  </r>
  <r>
    <x v="0"/>
    <n v="15"/>
    <x v="4"/>
    <x v="0"/>
    <x v="0"/>
    <n v="1005"/>
    <x v="4"/>
    <x v="0"/>
    <x v="4"/>
    <n v="3005"/>
    <x v="31"/>
    <n v="0"/>
    <x v="0"/>
    <s v="1 00"/>
    <n v="9"/>
    <s v="9A37"/>
    <x v="169"/>
    <s v="Annual"/>
    <n v="1"/>
    <n v="1"/>
    <n v="155688"/>
    <n v="155688"/>
  </r>
  <r>
    <x v="0"/>
    <n v="15"/>
    <x v="4"/>
    <x v="0"/>
    <x v="0"/>
    <n v="1005"/>
    <x v="4"/>
    <x v="0"/>
    <x v="4"/>
    <n v="3005"/>
    <x v="31"/>
    <n v="0"/>
    <x v="0"/>
    <s v="1 00"/>
    <n v="9"/>
    <s v="9A36"/>
    <x v="170"/>
    <s v="Annual"/>
    <n v="1"/>
    <n v="1"/>
    <n v="126000"/>
    <n v="126000"/>
  </r>
  <r>
    <x v="0"/>
    <n v="15"/>
    <x v="4"/>
    <x v="0"/>
    <x v="0"/>
    <n v="1005"/>
    <x v="4"/>
    <x v="0"/>
    <x v="4"/>
    <n v="3005"/>
    <x v="31"/>
    <n v="0"/>
    <x v="0"/>
    <s v="1 00"/>
    <n v="9"/>
    <s v="9A35"/>
    <x v="171"/>
    <s v="Annual"/>
    <n v="1"/>
    <n v="1"/>
    <n v="155688"/>
    <n v="155688"/>
  </r>
  <r>
    <x v="0"/>
    <n v="15"/>
    <x v="4"/>
    <x v="0"/>
    <x v="0"/>
    <n v="1005"/>
    <x v="4"/>
    <x v="0"/>
    <x v="4"/>
    <n v="3005"/>
    <x v="31"/>
    <n v="0"/>
    <x v="0"/>
    <s v="1 00"/>
    <n v="9"/>
    <s v="9A34"/>
    <x v="172"/>
    <s v="Annual"/>
    <n v="1"/>
    <n v="1"/>
    <n v="155688"/>
    <n v="155688"/>
  </r>
  <r>
    <x v="0"/>
    <n v="15"/>
    <x v="4"/>
    <x v="0"/>
    <x v="0"/>
    <n v="1005"/>
    <x v="4"/>
    <x v="0"/>
    <x v="4"/>
    <n v="3005"/>
    <x v="31"/>
    <n v="0"/>
    <x v="0"/>
    <s v="1 00"/>
    <n v="9"/>
    <s v="9A33"/>
    <x v="173"/>
    <s v="Annual"/>
    <n v="1"/>
    <n v="1"/>
    <n v="142776"/>
    <n v="142776"/>
  </r>
  <r>
    <x v="0"/>
    <n v="15"/>
    <x v="4"/>
    <x v="0"/>
    <x v="0"/>
    <n v="1005"/>
    <x v="4"/>
    <x v="0"/>
    <x v="4"/>
    <n v="3005"/>
    <x v="31"/>
    <n v="0"/>
    <x v="0"/>
    <s v="1 00"/>
    <n v="9"/>
    <s v="9A32"/>
    <x v="174"/>
    <s v="Annual"/>
    <n v="1"/>
    <n v="1"/>
    <n v="144264"/>
    <n v="144264"/>
  </r>
  <r>
    <x v="0"/>
    <n v="15"/>
    <x v="4"/>
    <x v="0"/>
    <x v="0"/>
    <n v="1005"/>
    <x v="4"/>
    <x v="0"/>
    <x v="4"/>
    <n v="3005"/>
    <x v="31"/>
    <n v="0"/>
    <x v="0"/>
    <s v="1 00"/>
    <n v="9"/>
    <s v="9A31"/>
    <x v="175"/>
    <s v="Annual"/>
    <n v="1"/>
    <n v="1"/>
    <n v="133368"/>
    <n v="133368"/>
  </r>
  <r>
    <x v="0"/>
    <n v="15"/>
    <x v="4"/>
    <x v="0"/>
    <x v="0"/>
    <n v="1005"/>
    <x v="4"/>
    <x v="0"/>
    <x v="4"/>
    <n v="3005"/>
    <x v="31"/>
    <n v="0"/>
    <x v="0"/>
    <s v="1 00"/>
    <n v="9"/>
    <s v="9A30"/>
    <x v="176"/>
    <s v="Annual"/>
    <n v="1"/>
    <n v="1"/>
    <n v="155688"/>
    <n v="155688"/>
  </r>
  <r>
    <x v="0"/>
    <n v="15"/>
    <x v="4"/>
    <x v="0"/>
    <x v="0"/>
    <n v="1005"/>
    <x v="4"/>
    <x v="0"/>
    <x v="4"/>
    <n v="3005"/>
    <x v="31"/>
    <n v="0"/>
    <x v="0"/>
    <s v="1 00"/>
    <n v="9"/>
    <s v="9A29"/>
    <x v="177"/>
    <s v="Annual"/>
    <n v="1"/>
    <n v="1"/>
    <n v="155688"/>
    <n v="155688"/>
  </r>
  <r>
    <x v="0"/>
    <n v="15"/>
    <x v="4"/>
    <x v="0"/>
    <x v="0"/>
    <n v="1005"/>
    <x v="4"/>
    <x v="0"/>
    <x v="4"/>
    <n v="3005"/>
    <x v="31"/>
    <n v="0"/>
    <x v="0"/>
    <s v="1 00"/>
    <n v="9"/>
    <s v="9A28"/>
    <x v="178"/>
    <s v="Annual"/>
    <n v="1"/>
    <n v="1"/>
    <n v="155688"/>
    <n v="155688"/>
  </r>
  <r>
    <x v="0"/>
    <n v="15"/>
    <x v="4"/>
    <x v="0"/>
    <x v="0"/>
    <n v="1005"/>
    <x v="4"/>
    <x v="0"/>
    <x v="4"/>
    <n v="3005"/>
    <x v="31"/>
    <n v="0"/>
    <x v="0"/>
    <s v="1 00"/>
    <n v="9"/>
    <s v="9A27"/>
    <x v="179"/>
    <s v="Annual"/>
    <n v="1"/>
    <n v="1"/>
    <n v="155688"/>
    <n v="155688"/>
  </r>
  <r>
    <x v="0"/>
    <n v="15"/>
    <x v="4"/>
    <x v="0"/>
    <x v="0"/>
    <n v="1005"/>
    <x v="4"/>
    <x v="0"/>
    <x v="4"/>
    <n v="3005"/>
    <x v="31"/>
    <n v="0"/>
    <x v="0"/>
    <s v="1 00"/>
    <n v="9"/>
    <s v="9A26"/>
    <x v="180"/>
    <s v="Annual"/>
    <n v="1"/>
    <n v="1"/>
    <n v="155688"/>
    <n v="155688"/>
  </r>
  <r>
    <x v="0"/>
    <n v="15"/>
    <x v="4"/>
    <x v="0"/>
    <x v="0"/>
    <n v="1005"/>
    <x v="4"/>
    <x v="0"/>
    <x v="4"/>
    <n v="3005"/>
    <x v="31"/>
    <n v="0"/>
    <x v="0"/>
    <s v="1 00"/>
    <n v="9"/>
    <s v="9A25"/>
    <x v="181"/>
    <s v="Annual"/>
    <n v="1"/>
    <n v="1"/>
    <n v="142776"/>
    <n v="142776"/>
  </r>
  <r>
    <x v="0"/>
    <n v="15"/>
    <x v="4"/>
    <x v="0"/>
    <x v="0"/>
    <n v="1005"/>
    <x v="4"/>
    <x v="0"/>
    <x v="4"/>
    <n v="3005"/>
    <x v="31"/>
    <n v="0"/>
    <x v="0"/>
    <s v="1 00"/>
    <n v="9"/>
    <s v="9A24"/>
    <x v="182"/>
    <s v="Annual"/>
    <n v="1"/>
    <n v="1"/>
    <n v="155688"/>
    <n v="155688"/>
  </r>
  <r>
    <x v="0"/>
    <n v="15"/>
    <x v="4"/>
    <x v="0"/>
    <x v="0"/>
    <n v="1005"/>
    <x v="4"/>
    <x v="0"/>
    <x v="4"/>
    <n v="3005"/>
    <x v="31"/>
    <n v="0"/>
    <x v="0"/>
    <s v="1 00"/>
    <n v="9"/>
    <s v="9A23"/>
    <x v="183"/>
    <s v="Annual"/>
    <n v="1"/>
    <n v="1"/>
    <n v="134676"/>
    <n v="134676"/>
  </r>
  <r>
    <x v="0"/>
    <n v="15"/>
    <x v="4"/>
    <x v="0"/>
    <x v="0"/>
    <n v="1005"/>
    <x v="4"/>
    <x v="0"/>
    <x v="4"/>
    <n v="3005"/>
    <x v="31"/>
    <n v="0"/>
    <x v="0"/>
    <s v="1 00"/>
    <n v="9"/>
    <s v="9A22"/>
    <x v="184"/>
    <s v="Annual"/>
    <n v="1"/>
    <n v="1"/>
    <n v="155688"/>
    <n v="155688"/>
  </r>
  <r>
    <x v="0"/>
    <n v="15"/>
    <x v="4"/>
    <x v="0"/>
    <x v="0"/>
    <n v="1005"/>
    <x v="4"/>
    <x v="0"/>
    <x v="4"/>
    <n v="3005"/>
    <x v="31"/>
    <n v="0"/>
    <x v="0"/>
    <s v="1 00"/>
    <n v="9"/>
    <s v="9A21"/>
    <x v="185"/>
    <s v="Annual"/>
    <n v="1"/>
    <n v="1"/>
    <n v="155688"/>
    <n v="155688"/>
  </r>
  <r>
    <x v="0"/>
    <n v="15"/>
    <x v="4"/>
    <x v="0"/>
    <x v="0"/>
    <n v="1005"/>
    <x v="4"/>
    <x v="0"/>
    <x v="4"/>
    <n v="3005"/>
    <x v="31"/>
    <n v="0"/>
    <x v="0"/>
    <s v="1 00"/>
    <n v="9"/>
    <s v="9A20"/>
    <x v="186"/>
    <s v="Annual"/>
    <n v="1"/>
    <n v="1"/>
    <n v="155688"/>
    <n v="155688"/>
  </r>
  <r>
    <x v="0"/>
    <n v="15"/>
    <x v="4"/>
    <x v="0"/>
    <x v="0"/>
    <n v="1005"/>
    <x v="4"/>
    <x v="0"/>
    <x v="4"/>
    <n v="3005"/>
    <x v="31"/>
    <n v="0"/>
    <x v="0"/>
    <s v="1 00"/>
    <n v="9"/>
    <s v="9A19"/>
    <x v="187"/>
    <s v="Annual"/>
    <n v="1"/>
    <n v="1"/>
    <n v="130836"/>
    <n v="130836"/>
  </r>
  <r>
    <x v="0"/>
    <n v="15"/>
    <x v="4"/>
    <x v="0"/>
    <x v="0"/>
    <n v="1005"/>
    <x v="4"/>
    <x v="0"/>
    <x v="4"/>
    <n v="3005"/>
    <x v="31"/>
    <n v="0"/>
    <x v="0"/>
    <s v="1 00"/>
    <n v="9"/>
    <s v="9A18"/>
    <x v="188"/>
    <s v="Annual"/>
    <n v="1"/>
    <n v="1"/>
    <n v="155688"/>
    <n v="155688"/>
  </r>
  <r>
    <x v="0"/>
    <n v="15"/>
    <x v="4"/>
    <x v="0"/>
    <x v="0"/>
    <n v="1005"/>
    <x v="4"/>
    <x v="0"/>
    <x v="4"/>
    <n v="3005"/>
    <x v="31"/>
    <n v="0"/>
    <x v="0"/>
    <s v="1 00"/>
    <n v="9"/>
    <s v="9A17"/>
    <x v="189"/>
    <s v="Annual"/>
    <n v="1"/>
    <n v="1"/>
    <n v="155688"/>
    <n v="155688"/>
  </r>
  <r>
    <x v="0"/>
    <n v="15"/>
    <x v="4"/>
    <x v="0"/>
    <x v="0"/>
    <n v="1005"/>
    <x v="4"/>
    <x v="0"/>
    <x v="4"/>
    <n v="3005"/>
    <x v="31"/>
    <n v="0"/>
    <x v="0"/>
    <s v="1 00"/>
    <n v="9"/>
    <s v="9A16"/>
    <x v="190"/>
    <s v="Annual"/>
    <n v="1"/>
    <n v="1"/>
    <n v="155688"/>
    <n v="155688"/>
  </r>
  <r>
    <x v="0"/>
    <n v="15"/>
    <x v="4"/>
    <x v="0"/>
    <x v="0"/>
    <n v="1005"/>
    <x v="4"/>
    <x v="0"/>
    <x v="4"/>
    <n v="3005"/>
    <x v="31"/>
    <n v="0"/>
    <x v="0"/>
    <s v="1 00"/>
    <n v="9"/>
    <s v="9A15"/>
    <x v="191"/>
    <s v="Annual"/>
    <n v="1"/>
    <n v="1"/>
    <n v="133368"/>
    <n v="133368"/>
  </r>
  <r>
    <x v="0"/>
    <n v="15"/>
    <x v="4"/>
    <x v="0"/>
    <x v="0"/>
    <n v="1005"/>
    <x v="4"/>
    <x v="0"/>
    <x v="4"/>
    <n v="3005"/>
    <x v="31"/>
    <n v="0"/>
    <x v="0"/>
    <s v="1 00"/>
    <n v="9"/>
    <s v="9A14"/>
    <x v="192"/>
    <s v="Annual"/>
    <n v="1"/>
    <n v="1"/>
    <n v="155688"/>
    <n v="155688"/>
  </r>
  <r>
    <x v="0"/>
    <n v="15"/>
    <x v="4"/>
    <x v="0"/>
    <x v="0"/>
    <n v="1005"/>
    <x v="4"/>
    <x v="0"/>
    <x v="4"/>
    <n v="3005"/>
    <x v="31"/>
    <n v="0"/>
    <x v="0"/>
    <s v="1 00"/>
    <n v="9"/>
    <s v="9A13"/>
    <x v="193"/>
    <s v="Annual"/>
    <n v="1"/>
    <n v="1"/>
    <n v="126252"/>
    <n v="126252"/>
  </r>
  <r>
    <x v="0"/>
    <n v="15"/>
    <x v="4"/>
    <x v="0"/>
    <x v="0"/>
    <n v="1005"/>
    <x v="4"/>
    <x v="0"/>
    <x v="4"/>
    <n v="3005"/>
    <x v="31"/>
    <n v="0"/>
    <x v="0"/>
    <s v="1 00"/>
    <n v="9"/>
    <s v="9A12"/>
    <x v="194"/>
    <s v="Annual"/>
    <n v="1"/>
    <n v="1"/>
    <n v="155688"/>
    <n v="155688"/>
  </r>
  <r>
    <x v="0"/>
    <n v="15"/>
    <x v="4"/>
    <x v="0"/>
    <x v="0"/>
    <n v="1005"/>
    <x v="4"/>
    <x v="0"/>
    <x v="4"/>
    <n v="3005"/>
    <x v="31"/>
    <n v="0"/>
    <x v="0"/>
    <s v="1 00"/>
    <n v="9"/>
    <s v="9A11"/>
    <x v="195"/>
    <s v="Annual"/>
    <n v="1"/>
    <n v="1"/>
    <n v="142020"/>
    <n v="142020"/>
  </r>
  <r>
    <x v="0"/>
    <n v="15"/>
    <x v="4"/>
    <x v="0"/>
    <x v="0"/>
    <n v="1005"/>
    <x v="4"/>
    <x v="0"/>
    <x v="4"/>
    <n v="3005"/>
    <x v="31"/>
    <n v="0"/>
    <x v="0"/>
    <s v="1 00"/>
    <n v="9"/>
    <s v="9A10"/>
    <x v="196"/>
    <s v="Annual"/>
    <n v="1"/>
    <n v="1"/>
    <n v="155688"/>
    <n v="155688"/>
  </r>
  <r>
    <x v="0"/>
    <n v="15"/>
    <x v="4"/>
    <x v="0"/>
    <x v="0"/>
    <n v="1005"/>
    <x v="4"/>
    <x v="0"/>
    <x v="4"/>
    <n v="3005"/>
    <x v="31"/>
    <n v="0"/>
    <x v="0"/>
    <s v="1 00"/>
    <n v="9"/>
    <s v="9A09"/>
    <x v="197"/>
    <s v="Annual"/>
    <n v="1"/>
    <n v="1"/>
    <n v="155688"/>
    <n v="155688"/>
  </r>
  <r>
    <x v="0"/>
    <n v="15"/>
    <x v="4"/>
    <x v="0"/>
    <x v="0"/>
    <n v="1005"/>
    <x v="4"/>
    <x v="0"/>
    <x v="4"/>
    <n v="3005"/>
    <x v="31"/>
    <n v="0"/>
    <x v="0"/>
    <s v="1 00"/>
    <n v="9"/>
    <s v="9A08"/>
    <x v="198"/>
    <s v="Annual"/>
    <n v="1"/>
    <n v="1"/>
    <n v="154716"/>
    <n v="154716"/>
  </r>
  <r>
    <x v="0"/>
    <n v="15"/>
    <x v="4"/>
    <x v="0"/>
    <x v="0"/>
    <n v="1005"/>
    <x v="4"/>
    <x v="0"/>
    <x v="4"/>
    <n v="3005"/>
    <x v="31"/>
    <n v="0"/>
    <x v="0"/>
    <s v="1 00"/>
    <n v="9"/>
    <s v="9A07"/>
    <x v="199"/>
    <s v="Annual"/>
    <n v="1"/>
    <n v="1"/>
    <n v="155688"/>
    <n v="155688"/>
  </r>
  <r>
    <x v="0"/>
    <n v="15"/>
    <x v="4"/>
    <x v="0"/>
    <x v="0"/>
    <n v="1005"/>
    <x v="4"/>
    <x v="0"/>
    <x v="4"/>
    <n v="3005"/>
    <x v="31"/>
    <n v="0"/>
    <x v="0"/>
    <s v="1 00"/>
    <n v="9"/>
    <s v="9A06"/>
    <x v="200"/>
    <s v="Annual"/>
    <n v="1"/>
    <n v="1"/>
    <n v="155688"/>
    <n v="155688"/>
  </r>
  <r>
    <x v="0"/>
    <n v="15"/>
    <x v="4"/>
    <x v="0"/>
    <x v="0"/>
    <n v="1005"/>
    <x v="4"/>
    <x v="0"/>
    <x v="4"/>
    <n v="3005"/>
    <x v="31"/>
    <n v="0"/>
    <x v="0"/>
    <s v="1 00"/>
    <n v="9"/>
    <s v="9A05"/>
    <x v="201"/>
    <s v="Annual"/>
    <n v="1"/>
    <n v="1"/>
    <n v="155688"/>
    <n v="155688"/>
  </r>
  <r>
    <x v="0"/>
    <n v="15"/>
    <x v="4"/>
    <x v="0"/>
    <x v="0"/>
    <n v="1005"/>
    <x v="4"/>
    <x v="0"/>
    <x v="4"/>
    <n v="3005"/>
    <x v="31"/>
    <n v="0"/>
    <x v="0"/>
    <s v="1 00"/>
    <n v="9"/>
    <s v="9A04"/>
    <x v="202"/>
    <s v="Annual"/>
    <n v="1"/>
    <n v="1"/>
    <n v="155688"/>
    <n v="155688"/>
  </r>
  <r>
    <x v="0"/>
    <n v="15"/>
    <x v="4"/>
    <x v="0"/>
    <x v="0"/>
    <n v="1005"/>
    <x v="4"/>
    <x v="0"/>
    <x v="4"/>
    <n v="3005"/>
    <x v="31"/>
    <n v="0"/>
    <x v="0"/>
    <s v="1 00"/>
    <n v="9"/>
    <s v="9A03"/>
    <x v="203"/>
    <s v="Annual"/>
    <n v="1"/>
    <n v="1"/>
    <n v="154716"/>
    <n v="154716"/>
  </r>
  <r>
    <x v="0"/>
    <n v="15"/>
    <x v="4"/>
    <x v="0"/>
    <x v="0"/>
    <n v="1005"/>
    <x v="4"/>
    <x v="0"/>
    <x v="4"/>
    <n v="3005"/>
    <x v="31"/>
    <n v="0"/>
    <x v="0"/>
    <s v="1 00"/>
    <n v="9"/>
    <s v="9A02"/>
    <x v="204"/>
    <s v="Annual"/>
    <n v="1"/>
    <n v="1"/>
    <n v="142020"/>
    <n v="142020"/>
  </r>
  <r>
    <x v="0"/>
    <n v="15"/>
    <x v="4"/>
    <x v="0"/>
    <x v="0"/>
    <n v="1005"/>
    <x v="4"/>
    <x v="0"/>
    <x v="4"/>
    <n v="3005"/>
    <x v="31"/>
    <n v="0"/>
    <x v="0"/>
    <s v="1 00"/>
    <n v="9"/>
    <s v="9A01"/>
    <x v="205"/>
    <s v="Annual"/>
    <n v="1"/>
    <n v="1"/>
    <n v="142020"/>
    <n v="142020"/>
  </r>
  <r>
    <x v="0"/>
    <n v="15"/>
    <x v="4"/>
    <x v="0"/>
    <x v="0"/>
    <n v="1005"/>
    <x v="4"/>
    <x v="0"/>
    <x v="4"/>
    <n v="3005"/>
    <x v="31"/>
    <n v="0"/>
    <x v="0"/>
    <s v="1 00"/>
    <n v="0"/>
    <n v="9699"/>
    <x v="206"/>
    <s v="Annual"/>
    <n v="1"/>
    <n v="1"/>
    <n v="52728"/>
    <n v="52728"/>
  </r>
  <r>
    <x v="0"/>
    <n v="15"/>
    <x v="4"/>
    <x v="0"/>
    <x v="0"/>
    <n v="1005"/>
    <x v="4"/>
    <x v="0"/>
    <x v="4"/>
    <n v="3005"/>
    <x v="31"/>
    <n v="0"/>
    <x v="0"/>
    <s v="1 00"/>
    <n v="0"/>
    <n v="9699"/>
    <x v="206"/>
    <s v="Annual"/>
    <n v="1"/>
    <n v="1"/>
    <n v="52716"/>
    <n v="52716"/>
  </r>
  <r>
    <x v="0"/>
    <n v="15"/>
    <x v="4"/>
    <x v="0"/>
    <x v="0"/>
    <n v="1005"/>
    <x v="4"/>
    <x v="0"/>
    <x v="4"/>
    <n v="3005"/>
    <x v="31"/>
    <n v="0"/>
    <x v="0"/>
    <s v="1 00"/>
    <n v="9"/>
    <n v="9645"/>
    <x v="207"/>
    <s v="Annual"/>
    <n v="50"/>
    <n v="1"/>
    <n v="0"/>
    <n v="0"/>
  </r>
  <r>
    <x v="0"/>
    <n v="15"/>
    <x v="4"/>
    <x v="0"/>
    <x v="0"/>
    <n v="1005"/>
    <x v="4"/>
    <x v="0"/>
    <x v="4"/>
    <n v="3005"/>
    <x v="31"/>
    <n v="0"/>
    <x v="0"/>
    <s v="1 00"/>
    <n v="9"/>
    <n v="9625"/>
    <x v="208"/>
    <s v="Annual"/>
    <n v="150"/>
    <n v="1"/>
    <n v="0"/>
    <n v="0"/>
  </r>
  <r>
    <x v="0"/>
    <n v="15"/>
    <x v="4"/>
    <x v="0"/>
    <x v="0"/>
    <n v="1005"/>
    <x v="4"/>
    <x v="0"/>
    <x v="4"/>
    <n v="3005"/>
    <x v="31"/>
    <n v="0"/>
    <x v="0"/>
    <s v="1 00"/>
    <n v="9"/>
    <n v="9619"/>
    <x v="209"/>
    <s v="Annual"/>
    <n v="1"/>
    <n v="1"/>
    <n v="124092"/>
    <n v="124092"/>
  </r>
  <r>
    <x v="0"/>
    <n v="15"/>
    <x v="4"/>
    <x v="0"/>
    <x v="0"/>
    <n v="1005"/>
    <x v="4"/>
    <x v="0"/>
    <x v="4"/>
    <n v="3005"/>
    <x v="31"/>
    <n v="0"/>
    <x v="0"/>
    <s v="1 00"/>
    <n v="9"/>
    <n v="9611"/>
    <x v="210"/>
    <s v="Annual"/>
    <n v="1"/>
    <n v="1"/>
    <n v="90492"/>
    <n v="90492"/>
  </r>
  <r>
    <x v="0"/>
    <n v="15"/>
    <x v="4"/>
    <x v="0"/>
    <x v="0"/>
    <n v="1005"/>
    <x v="4"/>
    <x v="0"/>
    <x v="4"/>
    <n v="3005"/>
    <x v="31"/>
    <n v="0"/>
    <x v="0"/>
    <s v="1 00"/>
    <n v="9"/>
    <n v="9611"/>
    <x v="210"/>
    <s v="Annual"/>
    <n v="1"/>
    <n v="1"/>
    <n v="73140"/>
    <n v="73140"/>
  </r>
  <r>
    <x v="0"/>
    <n v="15"/>
    <x v="4"/>
    <x v="0"/>
    <x v="0"/>
    <n v="1005"/>
    <x v="4"/>
    <x v="0"/>
    <x v="4"/>
    <n v="3005"/>
    <x v="31"/>
    <n v="0"/>
    <x v="0"/>
    <s v="1 00"/>
    <n v="9"/>
    <n v="9611"/>
    <x v="210"/>
    <s v="Annual"/>
    <n v="1"/>
    <n v="1"/>
    <n v="66936"/>
    <n v="66936"/>
  </r>
  <r>
    <x v="0"/>
    <n v="15"/>
    <x v="4"/>
    <x v="0"/>
    <x v="0"/>
    <n v="1005"/>
    <x v="4"/>
    <x v="0"/>
    <x v="4"/>
    <n v="3005"/>
    <x v="31"/>
    <n v="0"/>
    <x v="0"/>
    <s v="1 00"/>
    <n v="9"/>
    <n v="9611"/>
    <x v="210"/>
    <s v="Annual"/>
    <n v="1"/>
    <n v="1"/>
    <n v="66840"/>
    <n v="66840"/>
  </r>
  <r>
    <x v="0"/>
    <n v="15"/>
    <x v="4"/>
    <x v="0"/>
    <x v="0"/>
    <n v="1005"/>
    <x v="4"/>
    <x v="0"/>
    <x v="4"/>
    <n v="3005"/>
    <x v="31"/>
    <n v="0"/>
    <x v="0"/>
    <s v="1 00"/>
    <n v="9"/>
    <n v="9603"/>
    <x v="211"/>
    <s v="Annual"/>
    <n v="1"/>
    <n v="1"/>
    <n v="89292"/>
    <n v="89292"/>
  </r>
  <r>
    <x v="0"/>
    <n v="15"/>
    <x v="4"/>
    <x v="0"/>
    <x v="0"/>
    <n v="1005"/>
    <x v="4"/>
    <x v="0"/>
    <x v="4"/>
    <n v="3005"/>
    <x v="31"/>
    <n v="0"/>
    <x v="0"/>
    <s v="1 00"/>
    <n v="9"/>
    <n v="9603"/>
    <x v="211"/>
    <s v="Annual"/>
    <n v="1"/>
    <n v="1"/>
    <n v="87336"/>
    <n v="87336"/>
  </r>
  <r>
    <x v="0"/>
    <n v="15"/>
    <x v="4"/>
    <x v="0"/>
    <x v="0"/>
    <n v="1005"/>
    <x v="4"/>
    <x v="0"/>
    <x v="4"/>
    <n v="3005"/>
    <x v="31"/>
    <n v="0"/>
    <x v="0"/>
    <s v="1 00"/>
    <n v="9"/>
    <n v="9603"/>
    <x v="211"/>
    <s v="Annual"/>
    <n v="1"/>
    <n v="1"/>
    <n v="70008"/>
    <n v="70008"/>
  </r>
  <r>
    <x v="0"/>
    <n v="15"/>
    <x v="4"/>
    <x v="0"/>
    <x v="0"/>
    <n v="1012"/>
    <x v="5"/>
    <x v="2"/>
    <x v="5"/>
    <n v="3012"/>
    <x v="32"/>
    <n v="0"/>
    <x v="0"/>
    <s v="1 00"/>
    <n v="0"/>
    <n v="9831"/>
    <x v="212"/>
    <s v="Annual"/>
    <n v="3"/>
    <n v="1"/>
    <n v="90060"/>
    <n v="270180"/>
  </r>
  <r>
    <x v="0"/>
    <n v="15"/>
    <x v="4"/>
    <x v="0"/>
    <x v="0"/>
    <n v="1012"/>
    <x v="5"/>
    <x v="2"/>
    <x v="5"/>
    <n v="3012"/>
    <x v="32"/>
    <n v="0"/>
    <x v="0"/>
    <s v="1 00"/>
    <n v="9"/>
    <n v="9696"/>
    <x v="213"/>
    <s v="Annual"/>
    <n v="1"/>
    <n v="1"/>
    <n v="108276"/>
    <n v="108276"/>
  </r>
  <r>
    <x v="0"/>
    <n v="15"/>
    <x v="4"/>
    <x v="0"/>
    <x v="0"/>
    <n v="1012"/>
    <x v="5"/>
    <x v="2"/>
    <x v="5"/>
    <n v="3012"/>
    <x v="32"/>
    <n v="0"/>
    <x v="0"/>
    <s v="1 00"/>
    <n v="0"/>
    <n v="9613"/>
    <x v="214"/>
    <s v="Annual"/>
    <n v="1"/>
    <n v="1"/>
    <n v="126492"/>
    <n v="126492"/>
  </r>
  <r>
    <x v="0"/>
    <n v="21"/>
    <x v="5"/>
    <x v="0"/>
    <x v="0"/>
    <n v="1005"/>
    <x v="6"/>
    <x v="3"/>
    <x v="6"/>
    <n v="3030"/>
    <x v="22"/>
    <n v="0"/>
    <x v="0"/>
    <s v="1 00"/>
    <n v="9"/>
    <n v="9921"/>
    <x v="215"/>
    <s v="Annual"/>
    <n v="1"/>
    <n v="1"/>
    <n v="207612"/>
    <n v="207612"/>
  </r>
  <r>
    <x v="0"/>
    <n v="21"/>
    <x v="5"/>
    <x v="0"/>
    <x v="0"/>
    <n v="1005"/>
    <x v="6"/>
    <x v="3"/>
    <x v="6"/>
    <n v="3030"/>
    <x v="22"/>
    <n v="0"/>
    <x v="0"/>
    <s v="X 31"/>
    <n v="9"/>
    <n v="9813"/>
    <x v="216"/>
    <s v="Annual"/>
    <n v="1"/>
    <n v="1"/>
    <n v="188400"/>
    <n v="188400"/>
  </r>
  <r>
    <x v="0"/>
    <n v="21"/>
    <x v="5"/>
    <x v="0"/>
    <x v="0"/>
    <n v="1005"/>
    <x v="6"/>
    <x v="3"/>
    <x v="6"/>
    <n v="3030"/>
    <x v="22"/>
    <n v="0"/>
    <x v="0"/>
    <s v="BX 16"/>
    <n v="10"/>
    <n v="1438"/>
    <x v="217"/>
    <s v="Annual"/>
    <n v="1"/>
    <n v="1"/>
    <n v="83052"/>
    <n v="83052"/>
  </r>
  <r>
    <x v="0"/>
    <n v="21"/>
    <x v="5"/>
    <x v="0"/>
    <x v="0"/>
    <n v="1005"/>
    <x v="6"/>
    <x v="3"/>
    <x v="6"/>
    <n v="3030"/>
    <x v="22"/>
    <n v="0"/>
    <x v="0"/>
    <s v="BX 16"/>
    <n v="10"/>
    <n v="802"/>
    <x v="30"/>
    <s v="Annual"/>
    <n v="1"/>
    <n v="1"/>
    <n v="89112"/>
    <n v="89112"/>
  </r>
  <r>
    <x v="0"/>
    <n v="21"/>
    <x v="5"/>
    <x v="0"/>
    <x v="0"/>
    <n v="1005"/>
    <x v="6"/>
    <x v="3"/>
    <x v="6"/>
    <n v="3030"/>
    <x v="22"/>
    <n v="0"/>
    <x v="0"/>
    <s v="PX 02"/>
    <n v="9"/>
    <n v="705"/>
    <x v="33"/>
    <s v="Annual"/>
    <n v="1"/>
    <n v="1"/>
    <n v="111300"/>
    <n v="111300"/>
  </r>
  <r>
    <x v="0"/>
    <n v="21"/>
    <x v="5"/>
    <x v="0"/>
    <x v="0"/>
    <n v="1005"/>
    <x v="6"/>
    <x v="3"/>
    <x v="6"/>
    <n v="3030"/>
    <x v="22"/>
    <n v="0"/>
    <x v="0"/>
    <s v="G 08"/>
    <n v="4"/>
    <n v="673"/>
    <x v="218"/>
    <s v="Annual"/>
    <n v="1"/>
    <n v="1"/>
    <n v="107628"/>
    <n v="107628"/>
  </r>
  <r>
    <x v="0"/>
    <n v="21"/>
    <x v="5"/>
    <x v="0"/>
    <x v="0"/>
    <n v="1005"/>
    <x v="6"/>
    <x v="3"/>
    <x v="6"/>
    <n v="3030"/>
    <x v="22"/>
    <n v="0"/>
    <x v="0"/>
    <s v="BX 13"/>
    <n v="20"/>
    <n v="366"/>
    <x v="219"/>
    <s v="Annual"/>
    <n v="1"/>
    <n v="1"/>
    <n v="57852"/>
    <n v="57852"/>
  </r>
  <r>
    <x v="0"/>
    <n v="21"/>
    <x v="5"/>
    <x v="0"/>
    <x v="0"/>
    <n v="1005"/>
    <x v="6"/>
    <x v="3"/>
    <x v="6"/>
    <n v="3030"/>
    <x v="22"/>
    <n v="0"/>
    <x v="0"/>
    <s v="X 33"/>
    <n v="9"/>
    <n v="313"/>
    <x v="220"/>
    <s v="Annual"/>
    <n v="1"/>
    <n v="1"/>
    <n v="146808"/>
    <n v="146808"/>
  </r>
  <r>
    <x v="0"/>
    <n v="21"/>
    <x v="5"/>
    <x v="0"/>
    <x v="0"/>
    <n v="1005"/>
    <x v="6"/>
    <x v="3"/>
    <x v="6"/>
    <n v="3030"/>
    <x v="22"/>
    <n v="0"/>
    <x v="0"/>
    <s v="X 33"/>
    <n v="9"/>
    <n v="313"/>
    <x v="220"/>
    <s v="Annual"/>
    <n v="1"/>
    <n v="1"/>
    <n v="121668"/>
    <n v="121668"/>
  </r>
  <r>
    <x v="0"/>
    <n v="21"/>
    <x v="5"/>
    <x v="0"/>
    <x v="0"/>
    <n v="1005"/>
    <x v="6"/>
    <x v="3"/>
    <x v="6"/>
    <n v="3030"/>
    <x v="22"/>
    <n v="0"/>
    <x v="0"/>
    <s v="1 00"/>
    <n v="0"/>
    <n v="15"/>
    <x v="37"/>
    <s v="Annual"/>
    <n v="0"/>
    <n v="0"/>
    <n v="18109"/>
    <n v="18109"/>
  </r>
  <r>
    <x v="0"/>
    <n v="21"/>
    <x v="5"/>
    <x v="0"/>
    <x v="0"/>
    <n v="1005"/>
    <x v="6"/>
    <x v="3"/>
    <x v="6"/>
    <n v="3040"/>
    <x v="33"/>
    <n v="0"/>
    <x v="0"/>
    <s v="B 13"/>
    <n v="1"/>
    <n v="1987"/>
    <x v="221"/>
    <s v="Annual"/>
    <n v="1"/>
    <n v="1"/>
    <n v="68616"/>
    <n v="68616"/>
  </r>
  <r>
    <x v="0"/>
    <n v="21"/>
    <x v="5"/>
    <x v="0"/>
    <x v="0"/>
    <n v="1005"/>
    <x v="6"/>
    <x v="3"/>
    <x v="6"/>
    <n v="3040"/>
    <x v="33"/>
    <n v="0"/>
    <x v="0"/>
    <s v="B 14"/>
    <n v="4"/>
    <n v="1912"/>
    <x v="222"/>
    <s v="Annual"/>
    <n v="1"/>
    <n v="1"/>
    <n v="81324"/>
    <n v="81324"/>
  </r>
  <r>
    <x v="0"/>
    <n v="21"/>
    <x v="5"/>
    <x v="0"/>
    <x v="0"/>
    <n v="1005"/>
    <x v="6"/>
    <x v="3"/>
    <x v="6"/>
    <n v="3040"/>
    <x v="33"/>
    <n v="0"/>
    <x v="0"/>
    <s v="BX 16"/>
    <n v="10"/>
    <n v="1438"/>
    <x v="217"/>
    <s v="Annual"/>
    <n v="1"/>
    <n v="1"/>
    <n v="76476"/>
    <n v="76476"/>
  </r>
  <r>
    <x v="0"/>
    <n v="21"/>
    <x v="5"/>
    <x v="0"/>
    <x v="0"/>
    <n v="1005"/>
    <x v="6"/>
    <x v="3"/>
    <x v="6"/>
    <n v="3040"/>
    <x v="33"/>
    <n v="0"/>
    <x v="0"/>
    <s v="GY 09"/>
    <n v="20"/>
    <n v="1437"/>
    <x v="223"/>
    <s v="Annual"/>
    <n v="1"/>
    <n v="1"/>
    <n v="89112"/>
    <n v="89112"/>
  </r>
  <r>
    <x v="0"/>
    <n v="21"/>
    <x v="5"/>
    <x v="0"/>
    <x v="0"/>
    <n v="1005"/>
    <x v="6"/>
    <x v="3"/>
    <x v="6"/>
    <n v="3040"/>
    <x v="33"/>
    <n v="0"/>
    <x v="0"/>
    <s v="BX 18"/>
    <n v="10"/>
    <n v="310"/>
    <x v="135"/>
    <s v="Annual"/>
    <n v="1"/>
    <n v="1"/>
    <n v="124584"/>
    <n v="124584"/>
  </r>
  <r>
    <x v="0"/>
    <n v="21"/>
    <x v="5"/>
    <x v="0"/>
    <x v="0"/>
    <n v="1005"/>
    <x v="6"/>
    <x v="3"/>
    <x v="6"/>
    <n v="3040"/>
    <x v="33"/>
    <n v="0"/>
    <x v="0"/>
    <s v="BX 18"/>
    <n v="10"/>
    <n v="310"/>
    <x v="135"/>
    <s v="Annual"/>
    <n v="1"/>
    <n v="1"/>
    <n v="113568"/>
    <n v="113568"/>
  </r>
  <r>
    <x v="0"/>
    <n v="21"/>
    <x v="5"/>
    <x v="0"/>
    <x v="0"/>
    <n v="1005"/>
    <x v="6"/>
    <x v="3"/>
    <x v="6"/>
    <n v="3040"/>
    <x v="33"/>
    <n v="0"/>
    <x v="0"/>
    <s v="BX 18"/>
    <n v="10"/>
    <n v="310"/>
    <x v="135"/>
    <s v="Annual"/>
    <n v="1"/>
    <n v="1"/>
    <n v="97836"/>
    <n v="97836"/>
  </r>
  <r>
    <x v="0"/>
    <n v="21"/>
    <x v="5"/>
    <x v="0"/>
    <x v="0"/>
    <n v="1005"/>
    <x v="6"/>
    <x v="3"/>
    <x v="6"/>
    <n v="3040"/>
    <x v="33"/>
    <n v="0"/>
    <x v="0"/>
    <s v="1 00"/>
    <n v="0"/>
    <n v="15"/>
    <x v="37"/>
    <s v="Annual"/>
    <n v="0"/>
    <n v="0"/>
    <n v="6776"/>
    <n v="6776"/>
  </r>
  <r>
    <x v="0"/>
    <n v="21"/>
    <x v="5"/>
    <x v="0"/>
    <x v="0"/>
    <n v="1005"/>
    <x v="6"/>
    <x v="3"/>
    <x v="6"/>
    <n v="3045"/>
    <x v="34"/>
    <n v="0"/>
    <x v="0"/>
    <s v="BX 18"/>
    <n v="10"/>
    <n v="310"/>
    <x v="135"/>
    <s v="Annual"/>
    <n v="1"/>
    <n v="1"/>
    <n v="113568"/>
    <n v="113568"/>
  </r>
  <r>
    <x v="0"/>
    <n v="21"/>
    <x v="5"/>
    <x v="0"/>
    <x v="0"/>
    <n v="1005"/>
    <x v="6"/>
    <x v="3"/>
    <x v="6"/>
    <n v="3045"/>
    <x v="34"/>
    <n v="0"/>
    <x v="0"/>
    <s v="BX 18"/>
    <n v="10"/>
    <n v="310"/>
    <x v="135"/>
    <s v="Annual"/>
    <n v="1"/>
    <n v="1"/>
    <n v="97836"/>
    <n v="97836"/>
  </r>
  <r>
    <x v="0"/>
    <n v="21"/>
    <x v="5"/>
    <x v="0"/>
    <x v="0"/>
    <n v="1005"/>
    <x v="6"/>
    <x v="3"/>
    <x v="6"/>
    <n v="3045"/>
    <x v="34"/>
    <n v="0"/>
    <x v="0"/>
    <s v="1 00"/>
    <n v="0"/>
    <n v="15"/>
    <x v="37"/>
    <s v="Annual"/>
    <n v="0"/>
    <n v="0"/>
    <n v="2304"/>
    <n v="2304"/>
  </r>
  <r>
    <x v="0"/>
    <n v="21"/>
    <x v="5"/>
    <x v="0"/>
    <x v="0"/>
    <n v="1005"/>
    <x v="6"/>
    <x v="3"/>
    <x v="6"/>
    <n v="3055"/>
    <x v="35"/>
    <n v="0"/>
    <x v="0"/>
    <s v="X 32"/>
    <n v="9"/>
    <n v="9679"/>
    <x v="81"/>
    <s v="Annual"/>
    <n v="1"/>
    <n v="1"/>
    <n v="139140"/>
    <n v="139140"/>
  </r>
  <r>
    <x v="0"/>
    <n v="21"/>
    <x v="5"/>
    <x v="0"/>
    <x v="0"/>
    <n v="1005"/>
    <x v="6"/>
    <x v="3"/>
    <x v="6"/>
    <n v="3055"/>
    <x v="35"/>
    <n v="0"/>
    <x v="0"/>
    <s v="1 00"/>
    <n v="0"/>
    <n v="15"/>
    <x v="37"/>
    <s v="Annual"/>
    <n v="0"/>
    <n v="0"/>
    <n v="9854"/>
    <n v="9854"/>
  </r>
  <r>
    <x v="0"/>
    <n v="21"/>
    <x v="5"/>
    <x v="0"/>
    <x v="0"/>
    <n v="1005"/>
    <x v="6"/>
    <x v="3"/>
    <x v="6"/>
    <n v="3060"/>
    <x v="36"/>
    <n v="0"/>
    <x v="0"/>
    <s v="B 14"/>
    <n v="4"/>
    <n v="1912"/>
    <x v="222"/>
    <s v="Annual"/>
    <n v="1"/>
    <n v="1"/>
    <n v="85200"/>
    <n v="85200"/>
  </r>
  <r>
    <x v="0"/>
    <n v="21"/>
    <x v="5"/>
    <x v="0"/>
    <x v="0"/>
    <n v="1005"/>
    <x v="6"/>
    <x v="3"/>
    <x v="6"/>
    <n v="3060"/>
    <x v="36"/>
    <n v="0"/>
    <x v="0"/>
    <s v="B 14"/>
    <n v="4"/>
    <n v="1912"/>
    <x v="222"/>
    <s v="Annual"/>
    <n v="1"/>
    <n v="1"/>
    <n v="81324"/>
    <n v="81324"/>
  </r>
  <r>
    <x v="0"/>
    <n v="21"/>
    <x v="5"/>
    <x v="0"/>
    <x v="0"/>
    <n v="1005"/>
    <x v="6"/>
    <x v="3"/>
    <x v="6"/>
    <n v="3060"/>
    <x v="36"/>
    <n v="0"/>
    <x v="0"/>
    <s v="B 14"/>
    <n v="4"/>
    <n v="1912"/>
    <x v="222"/>
    <s v="Annual"/>
    <n v="1"/>
    <n v="1"/>
    <n v="75336"/>
    <n v="75336"/>
  </r>
  <r>
    <x v="0"/>
    <n v="21"/>
    <x v="5"/>
    <x v="0"/>
    <x v="0"/>
    <n v="1005"/>
    <x v="6"/>
    <x v="3"/>
    <x v="6"/>
    <n v="3060"/>
    <x v="36"/>
    <n v="0"/>
    <x v="0"/>
    <s v="BX 18"/>
    <n v="10"/>
    <n v="310"/>
    <x v="135"/>
    <s v="Annual"/>
    <n v="1"/>
    <n v="1"/>
    <n v="89112"/>
    <n v="89112"/>
  </r>
  <r>
    <x v="0"/>
    <n v="21"/>
    <x v="5"/>
    <x v="0"/>
    <x v="0"/>
    <n v="1005"/>
    <x v="6"/>
    <x v="3"/>
    <x v="6"/>
    <n v="3060"/>
    <x v="36"/>
    <n v="0"/>
    <x v="0"/>
    <s v="1 00"/>
    <n v="0"/>
    <n v="15"/>
    <x v="37"/>
    <s v="Annual"/>
    <n v="0"/>
    <n v="0"/>
    <n v="5222"/>
    <n v="5222"/>
  </r>
  <r>
    <x v="0"/>
    <n v="25"/>
    <x v="6"/>
    <x v="0"/>
    <x v="0"/>
    <n v="1005"/>
    <x v="7"/>
    <x v="0"/>
    <x v="7"/>
    <n v="3005"/>
    <x v="22"/>
    <n v="0"/>
    <x v="0"/>
    <s v="1 00"/>
    <n v="9"/>
    <n v="9925"/>
    <x v="224"/>
    <s v="Annual"/>
    <n v="1"/>
    <n v="1"/>
    <n v="175560"/>
    <n v="175560"/>
  </r>
  <r>
    <x v="0"/>
    <n v="25"/>
    <x v="6"/>
    <x v="0"/>
    <x v="0"/>
    <n v="1005"/>
    <x v="7"/>
    <x v="0"/>
    <x v="7"/>
    <n v="3005"/>
    <x v="22"/>
    <n v="0"/>
    <x v="0"/>
    <s v="X 21"/>
    <n v="9"/>
    <n v="9730"/>
    <x v="225"/>
    <s v="Annual"/>
    <n v="1"/>
    <n v="1"/>
    <n v="176004"/>
    <n v="176004"/>
  </r>
  <r>
    <x v="0"/>
    <n v="25"/>
    <x v="6"/>
    <x v="0"/>
    <x v="0"/>
    <n v="1005"/>
    <x v="7"/>
    <x v="0"/>
    <x v="7"/>
    <n v="3005"/>
    <x v="22"/>
    <n v="0"/>
    <x v="0"/>
    <s v="X 22"/>
    <n v="9"/>
    <n v="9674"/>
    <x v="76"/>
    <s v="Annual"/>
    <n v="1"/>
    <n v="1"/>
    <n v="158568"/>
    <n v="158568"/>
  </r>
  <r>
    <x v="0"/>
    <n v="25"/>
    <x v="6"/>
    <x v="0"/>
    <x v="0"/>
    <n v="1005"/>
    <x v="7"/>
    <x v="0"/>
    <x v="7"/>
    <n v="3005"/>
    <x v="22"/>
    <n v="0"/>
    <x v="0"/>
    <s v="X 22"/>
    <n v="9"/>
    <n v="9674"/>
    <x v="76"/>
    <s v="Annual"/>
    <n v="1"/>
    <n v="1"/>
    <n v="151884"/>
    <n v="151884"/>
  </r>
  <r>
    <x v="0"/>
    <n v="25"/>
    <x v="6"/>
    <x v="0"/>
    <x v="0"/>
    <n v="1005"/>
    <x v="7"/>
    <x v="0"/>
    <x v="7"/>
    <n v="3005"/>
    <x v="22"/>
    <n v="0"/>
    <x v="0"/>
    <s v="X 22"/>
    <n v="9"/>
    <n v="9674"/>
    <x v="76"/>
    <s v="Annual"/>
    <n v="1"/>
    <n v="1"/>
    <n v="142476"/>
    <n v="142476"/>
  </r>
  <r>
    <x v="0"/>
    <n v="25"/>
    <x v="6"/>
    <x v="0"/>
    <x v="0"/>
    <n v="1005"/>
    <x v="7"/>
    <x v="0"/>
    <x v="7"/>
    <n v="3005"/>
    <x v="22"/>
    <n v="0"/>
    <x v="0"/>
    <s v="BX 15"/>
    <n v="10"/>
    <n v="1911"/>
    <x v="226"/>
    <s v="Annual"/>
    <n v="1"/>
    <n v="1"/>
    <n v="69684"/>
    <n v="69684"/>
  </r>
  <r>
    <x v="0"/>
    <n v="25"/>
    <x v="6"/>
    <x v="0"/>
    <x v="0"/>
    <n v="1005"/>
    <x v="7"/>
    <x v="0"/>
    <x v="7"/>
    <n v="3005"/>
    <x v="22"/>
    <n v="0"/>
    <x v="0"/>
    <s v="B 15"/>
    <n v="1"/>
    <n v="1302"/>
    <x v="83"/>
    <s v="Annual"/>
    <n v="1"/>
    <n v="1"/>
    <n v="124848"/>
    <n v="124848"/>
  </r>
  <r>
    <x v="0"/>
    <n v="25"/>
    <x v="6"/>
    <x v="0"/>
    <x v="0"/>
    <n v="1005"/>
    <x v="7"/>
    <x v="0"/>
    <x v="7"/>
    <n v="3005"/>
    <x v="22"/>
    <n v="0"/>
    <x v="0"/>
    <s v="B 13"/>
    <n v="1"/>
    <n v="1301"/>
    <x v="227"/>
    <s v="Annual"/>
    <n v="1"/>
    <n v="1"/>
    <n v="77640"/>
    <n v="77640"/>
  </r>
  <r>
    <x v="0"/>
    <n v="25"/>
    <x v="6"/>
    <x v="0"/>
    <x v="0"/>
    <n v="1005"/>
    <x v="7"/>
    <x v="0"/>
    <x v="7"/>
    <n v="3005"/>
    <x v="22"/>
    <n v="0"/>
    <x v="0"/>
    <s v="PX 02"/>
    <n v="9"/>
    <n v="705"/>
    <x v="33"/>
    <s v="Annual"/>
    <n v="1"/>
    <n v="1"/>
    <n v="132912"/>
    <n v="132912"/>
  </r>
  <r>
    <x v="0"/>
    <n v="25"/>
    <x v="6"/>
    <x v="0"/>
    <x v="0"/>
    <n v="1005"/>
    <x v="7"/>
    <x v="0"/>
    <x v="7"/>
    <n v="3005"/>
    <x v="22"/>
    <n v="0"/>
    <x v="0"/>
    <s v="BX 13"/>
    <n v="10"/>
    <s v="03A6"/>
    <x v="228"/>
    <s v="Annual"/>
    <n v="1"/>
    <n v="1"/>
    <n v="63504"/>
    <n v="63504"/>
  </r>
  <r>
    <x v="0"/>
    <n v="25"/>
    <x v="6"/>
    <x v="0"/>
    <x v="0"/>
    <n v="1005"/>
    <x v="7"/>
    <x v="0"/>
    <x v="7"/>
    <n v="3005"/>
    <x v="22"/>
    <n v="0"/>
    <x v="0"/>
    <s v="BX 13"/>
    <n v="10"/>
    <s v="03A6"/>
    <x v="228"/>
    <s v="Annual"/>
    <n v="1"/>
    <n v="1"/>
    <n v="57852"/>
    <n v="57852"/>
  </r>
  <r>
    <x v="0"/>
    <n v="25"/>
    <x v="6"/>
    <x v="0"/>
    <x v="0"/>
    <n v="1005"/>
    <x v="7"/>
    <x v="0"/>
    <x v="7"/>
    <n v="3005"/>
    <x v="22"/>
    <n v="0"/>
    <x v="0"/>
    <s v="1 00"/>
    <n v="0"/>
    <n v="15"/>
    <x v="37"/>
    <s v="Annual"/>
    <n v="0"/>
    <n v="0"/>
    <n v="17669"/>
    <n v="17669"/>
  </r>
  <r>
    <x v="0"/>
    <n v="25"/>
    <x v="6"/>
    <x v="0"/>
    <x v="0"/>
    <n v="1005"/>
    <x v="7"/>
    <x v="0"/>
    <x v="7"/>
    <n v="3010"/>
    <x v="37"/>
    <n v="0"/>
    <x v="0"/>
    <s v="B 10"/>
    <n v="1"/>
    <n v="1614"/>
    <x v="229"/>
    <s v="Annual"/>
    <n v="1"/>
    <n v="1"/>
    <n v="64488"/>
    <n v="64488"/>
  </r>
  <r>
    <x v="0"/>
    <n v="25"/>
    <x v="6"/>
    <x v="0"/>
    <x v="0"/>
    <n v="1005"/>
    <x v="7"/>
    <x v="0"/>
    <x v="7"/>
    <n v="3010"/>
    <x v="37"/>
    <n v="0"/>
    <x v="0"/>
    <s v="B 10"/>
    <n v="1"/>
    <n v="1614"/>
    <x v="229"/>
    <s v="Annual"/>
    <n v="1"/>
    <n v="1"/>
    <n v="51936"/>
    <n v="51936"/>
  </r>
  <r>
    <x v="0"/>
    <n v="25"/>
    <x v="6"/>
    <x v="0"/>
    <x v="0"/>
    <n v="1005"/>
    <x v="7"/>
    <x v="0"/>
    <x v="7"/>
    <n v="3010"/>
    <x v="37"/>
    <n v="0"/>
    <x v="0"/>
    <s v="BX 13"/>
    <n v="20"/>
    <n v="770"/>
    <x v="230"/>
    <s v="Annual"/>
    <n v="1"/>
    <n v="1"/>
    <n v="85980"/>
    <n v="85980"/>
  </r>
  <r>
    <x v="0"/>
    <n v="25"/>
    <x v="6"/>
    <x v="0"/>
    <x v="0"/>
    <n v="1005"/>
    <x v="7"/>
    <x v="0"/>
    <x v="7"/>
    <n v="3010"/>
    <x v="37"/>
    <n v="0"/>
    <x v="0"/>
    <s v="B 11"/>
    <n v="1"/>
    <n v="725"/>
    <x v="231"/>
    <s v="Annual"/>
    <n v="1"/>
    <n v="1"/>
    <n v="70752"/>
    <n v="70752"/>
  </r>
  <r>
    <x v="0"/>
    <n v="25"/>
    <x v="6"/>
    <x v="0"/>
    <x v="0"/>
    <n v="1005"/>
    <x v="7"/>
    <x v="0"/>
    <x v="7"/>
    <n v="3010"/>
    <x v="37"/>
    <n v="0"/>
    <x v="0"/>
    <s v="1 00"/>
    <n v="0"/>
    <n v="15"/>
    <x v="37"/>
    <s v="Annual"/>
    <n v="0"/>
    <n v="0"/>
    <n v="3853"/>
    <n v="3853"/>
  </r>
  <r>
    <x v="0"/>
    <n v="25"/>
    <x v="6"/>
    <x v="0"/>
    <x v="0"/>
    <n v="1005"/>
    <x v="7"/>
    <x v="0"/>
    <x v="7"/>
    <n v="3015"/>
    <x v="38"/>
    <n v="0"/>
    <x v="0"/>
    <s v="B 12"/>
    <n v="1"/>
    <n v="6410"/>
    <x v="232"/>
    <s v="Annual"/>
    <n v="1"/>
    <n v="1"/>
    <n v="70752"/>
    <n v="70752"/>
  </r>
  <r>
    <x v="0"/>
    <n v="25"/>
    <x v="6"/>
    <x v="0"/>
    <x v="0"/>
    <n v="1005"/>
    <x v="7"/>
    <x v="0"/>
    <x v="7"/>
    <n v="3015"/>
    <x v="38"/>
    <n v="0"/>
    <x v="0"/>
    <s v="B 10"/>
    <n v="1"/>
    <n v="1614"/>
    <x v="229"/>
    <s v="Annual"/>
    <n v="1"/>
    <n v="1"/>
    <n v="86112"/>
    <n v="86112"/>
  </r>
  <r>
    <x v="0"/>
    <n v="25"/>
    <x v="6"/>
    <x v="0"/>
    <x v="0"/>
    <n v="1005"/>
    <x v="7"/>
    <x v="0"/>
    <x v="7"/>
    <n v="3015"/>
    <x v="38"/>
    <n v="0"/>
    <x v="0"/>
    <s v="B 10"/>
    <n v="1"/>
    <n v="1614"/>
    <x v="229"/>
    <s v="Annual"/>
    <n v="1"/>
    <n v="1"/>
    <n v="68256"/>
    <n v="68256"/>
  </r>
  <r>
    <x v="0"/>
    <n v="25"/>
    <x v="6"/>
    <x v="0"/>
    <x v="0"/>
    <n v="1005"/>
    <x v="7"/>
    <x v="0"/>
    <x v="7"/>
    <n v="3015"/>
    <x v="38"/>
    <n v="0"/>
    <x v="0"/>
    <s v="B 10"/>
    <n v="1"/>
    <n v="1614"/>
    <x v="229"/>
    <s v="Annual"/>
    <n v="1"/>
    <n v="1"/>
    <n v="58764"/>
    <n v="58764"/>
  </r>
  <r>
    <x v="0"/>
    <n v="25"/>
    <x v="6"/>
    <x v="0"/>
    <x v="0"/>
    <n v="1005"/>
    <x v="7"/>
    <x v="0"/>
    <x v="7"/>
    <n v="3015"/>
    <x v="38"/>
    <n v="0"/>
    <x v="0"/>
    <s v="B 10"/>
    <n v="1"/>
    <n v="1614"/>
    <x v="229"/>
    <s v="Annual"/>
    <n v="2"/>
    <n v="1"/>
    <n v="51936"/>
    <n v="103872"/>
  </r>
  <r>
    <x v="0"/>
    <n v="25"/>
    <x v="6"/>
    <x v="0"/>
    <x v="0"/>
    <n v="1005"/>
    <x v="7"/>
    <x v="0"/>
    <x v="7"/>
    <n v="3015"/>
    <x v="38"/>
    <n v="0"/>
    <x v="0"/>
    <s v="BX 21"/>
    <n v="10"/>
    <n v="728"/>
    <x v="233"/>
    <s v="Annual"/>
    <n v="1"/>
    <n v="1"/>
    <n v="117780"/>
    <n v="117780"/>
  </r>
  <r>
    <x v="0"/>
    <n v="25"/>
    <x v="6"/>
    <x v="0"/>
    <x v="0"/>
    <n v="1005"/>
    <x v="7"/>
    <x v="0"/>
    <x v="7"/>
    <n v="3015"/>
    <x v="38"/>
    <n v="0"/>
    <x v="0"/>
    <s v="X 22"/>
    <n v="20"/>
    <n v="727"/>
    <x v="234"/>
    <s v="Annual"/>
    <n v="1"/>
    <n v="1"/>
    <n v="158568"/>
    <n v="158568"/>
  </r>
  <r>
    <x v="0"/>
    <n v="25"/>
    <x v="6"/>
    <x v="0"/>
    <x v="0"/>
    <n v="1005"/>
    <x v="7"/>
    <x v="0"/>
    <x v="7"/>
    <n v="3015"/>
    <x v="38"/>
    <n v="0"/>
    <x v="0"/>
    <s v="X 23"/>
    <n v="9"/>
    <n v="726"/>
    <x v="235"/>
    <s v="Annual"/>
    <n v="1"/>
    <n v="1"/>
    <n v="138840"/>
    <n v="138840"/>
  </r>
  <r>
    <x v="0"/>
    <n v="25"/>
    <x v="6"/>
    <x v="0"/>
    <x v="0"/>
    <n v="1005"/>
    <x v="7"/>
    <x v="0"/>
    <x v="7"/>
    <n v="3015"/>
    <x v="38"/>
    <n v="0"/>
    <x v="0"/>
    <s v="B 11"/>
    <n v="1"/>
    <n v="725"/>
    <x v="231"/>
    <s v="Annual"/>
    <n v="1"/>
    <n v="1"/>
    <n v="98928"/>
    <n v="98928"/>
  </r>
  <r>
    <x v="0"/>
    <n v="25"/>
    <x v="6"/>
    <x v="0"/>
    <x v="0"/>
    <n v="1005"/>
    <x v="7"/>
    <x v="0"/>
    <x v="7"/>
    <n v="3015"/>
    <x v="38"/>
    <n v="0"/>
    <x v="0"/>
    <s v="B 11"/>
    <n v="1"/>
    <n v="725"/>
    <x v="231"/>
    <s v="Annual"/>
    <n v="1"/>
    <n v="1"/>
    <n v="64488"/>
    <n v="64488"/>
  </r>
  <r>
    <x v="0"/>
    <n v="25"/>
    <x v="6"/>
    <x v="0"/>
    <x v="0"/>
    <n v="1005"/>
    <x v="7"/>
    <x v="0"/>
    <x v="7"/>
    <n v="3015"/>
    <x v="38"/>
    <n v="0"/>
    <x v="0"/>
    <s v="B 11"/>
    <n v="1"/>
    <n v="725"/>
    <x v="231"/>
    <s v="Annual"/>
    <n v="1"/>
    <n v="1"/>
    <n v="57000"/>
    <n v="57000"/>
  </r>
  <r>
    <x v="0"/>
    <n v="25"/>
    <x v="6"/>
    <x v="0"/>
    <x v="0"/>
    <n v="1005"/>
    <x v="7"/>
    <x v="0"/>
    <x v="7"/>
    <n v="3015"/>
    <x v="38"/>
    <n v="0"/>
    <x v="0"/>
    <s v="G 04"/>
    <n v="1"/>
    <n v="502"/>
    <x v="236"/>
    <s v="Annual"/>
    <n v="1"/>
    <n v="1"/>
    <n v="76464"/>
    <n v="76464"/>
  </r>
  <r>
    <x v="0"/>
    <n v="25"/>
    <x v="6"/>
    <x v="0"/>
    <x v="0"/>
    <n v="1005"/>
    <x v="7"/>
    <x v="0"/>
    <x v="7"/>
    <n v="3015"/>
    <x v="38"/>
    <n v="0"/>
    <x v="0"/>
    <s v="B 12"/>
    <n v="1"/>
    <s v="03A8"/>
    <x v="88"/>
    <s v="Annual"/>
    <n v="2"/>
    <n v="1"/>
    <n v="108576"/>
    <n v="217152"/>
  </r>
  <r>
    <x v="0"/>
    <n v="25"/>
    <x v="6"/>
    <x v="0"/>
    <x v="0"/>
    <n v="1005"/>
    <x v="7"/>
    <x v="0"/>
    <x v="7"/>
    <n v="3015"/>
    <x v="38"/>
    <n v="0"/>
    <x v="0"/>
    <s v="B 12"/>
    <n v="1"/>
    <s v="03A8"/>
    <x v="88"/>
    <s v="Annual"/>
    <n v="1"/>
    <n v="1"/>
    <n v="62544"/>
    <n v="62544"/>
  </r>
  <r>
    <x v="0"/>
    <n v="25"/>
    <x v="6"/>
    <x v="0"/>
    <x v="0"/>
    <n v="1005"/>
    <x v="7"/>
    <x v="0"/>
    <x v="7"/>
    <n v="3015"/>
    <x v="38"/>
    <n v="0"/>
    <x v="0"/>
    <s v="X 23"/>
    <n v="0"/>
    <s v="03A3"/>
    <x v="237"/>
    <s v="Annual"/>
    <n v="1"/>
    <n v="1"/>
    <n v="124848"/>
    <n v="124848"/>
  </r>
  <r>
    <x v="0"/>
    <n v="25"/>
    <x v="6"/>
    <x v="0"/>
    <x v="0"/>
    <n v="1005"/>
    <x v="7"/>
    <x v="0"/>
    <x v="7"/>
    <n v="3015"/>
    <x v="38"/>
    <n v="0"/>
    <x v="0"/>
    <s v="B 13"/>
    <n v="1"/>
    <n v="308"/>
    <x v="90"/>
    <s v="Annual"/>
    <n v="1"/>
    <n v="1"/>
    <n v="113628"/>
    <n v="113628"/>
  </r>
  <r>
    <x v="0"/>
    <n v="25"/>
    <x v="6"/>
    <x v="0"/>
    <x v="0"/>
    <n v="1005"/>
    <x v="7"/>
    <x v="0"/>
    <x v="7"/>
    <n v="3015"/>
    <x v="38"/>
    <n v="0"/>
    <x v="0"/>
    <s v="1 00"/>
    <n v="0"/>
    <n v="15"/>
    <x v="37"/>
    <s v="Annual"/>
    <n v="0"/>
    <n v="0"/>
    <n v="17297"/>
    <n v="17297"/>
  </r>
  <r>
    <x v="0"/>
    <n v="27"/>
    <x v="7"/>
    <x v="0"/>
    <x v="0"/>
    <n v="1005"/>
    <x v="8"/>
    <x v="4"/>
    <x v="8"/>
    <n v="3001"/>
    <x v="39"/>
    <n v="0"/>
    <x v="0"/>
    <s v="1 00"/>
    <n v="9"/>
    <n v="9927"/>
    <x v="238"/>
    <s v="Annual"/>
    <n v="1"/>
    <n v="1"/>
    <n v="214344"/>
    <n v="214344"/>
  </r>
  <r>
    <x v="0"/>
    <n v="27"/>
    <x v="7"/>
    <x v="0"/>
    <x v="0"/>
    <n v="1005"/>
    <x v="8"/>
    <x v="4"/>
    <x v="8"/>
    <n v="3001"/>
    <x v="39"/>
    <n v="0"/>
    <x v="0"/>
    <s v="X 31"/>
    <n v="0"/>
    <n v="9812"/>
    <x v="239"/>
    <s v="Annual"/>
    <n v="1"/>
    <n v="1"/>
    <n v="194688"/>
    <n v="194688"/>
  </r>
  <r>
    <x v="0"/>
    <n v="27"/>
    <x v="7"/>
    <x v="0"/>
    <x v="0"/>
    <n v="1005"/>
    <x v="8"/>
    <x v="4"/>
    <x v="8"/>
    <n v="3001"/>
    <x v="39"/>
    <n v="0"/>
    <x v="0"/>
    <s v="X 32"/>
    <n v="9"/>
    <n v="9684"/>
    <x v="76"/>
    <s v="Annual"/>
    <n v="1"/>
    <n v="1"/>
    <n v="175512"/>
    <n v="175512"/>
  </r>
  <r>
    <x v="0"/>
    <n v="27"/>
    <x v="7"/>
    <x v="0"/>
    <x v="0"/>
    <n v="1005"/>
    <x v="8"/>
    <x v="4"/>
    <x v="8"/>
    <n v="3001"/>
    <x v="39"/>
    <n v="0"/>
    <x v="0"/>
    <s v="BX 16"/>
    <n v="10"/>
    <n v="802"/>
    <x v="30"/>
    <s v="Annual"/>
    <n v="1"/>
    <n v="1"/>
    <n v="124584"/>
    <n v="124584"/>
  </r>
  <r>
    <x v="0"/>
    <n v="27"/>
    <x v="7"/>
    <x v="0"/>
    <x v="0"/>
    <n v="1005"/>
    <x v="8"/>
    <x v="4"/>
    <x v="8"/>
    <n v="3001"/>
    <x v="39"/>
    <n v="0"/>
    <x v="0"/>
    <s v="B 13"/>
    <n v="1"/>
    <n v="708"/>
    <x v="84"/>
    <s v="Annual"/>
    <n v="1"/>
    <n v="1"/>
    <n v="85200"/>
    <n v="85200"/>
  </r>
  <r>
    <x v="0"/>
    <n v="27"/>
    <x v="7"/>
    <x v="0"/>
    <x v="0"/>
    <n v="1005"/>
    <x v="8"/>
    <x v="4"/>
    <x v="8"/>
    <n v="3001"/>
    <x v="39"/>
    <n v="0"/>
    <x v="0"/>
    <s v="X 33"/>
    <n v="0"/>
    <n v="306"/>
    <x v="237"/>
    <s v="Annual"/>
    <n v="1"/>
    <n v="1"/>
    <n v="146808"/>
    <n v="146808"/>
  </r>
  <r>
    <x v="0"/>
    <n v="27"/>
    <x v="7"/>
    <x v="0"/>
    <x v="0"/>
    <n v="1005"/>
    <x v="8"/>
    <x v="4"/>
    <x v="8"/>
    <n v="3001"/>
    <x v="39"/>
    <n v="0"/>
    <x v="0"/>
    <s v="1 00"/>
    <n v="0"/>
    <n v="15"/>
    <x v="37"/>
    <s v="Annual"/>
    <n v="0"/>
    <n v="0"/>
    <n v="10227"/>
    <n v="10227"/>
  </r>
  <r>
    <x v="0"/>
    <n v="27"/>
    <x v="7"/>
    <x v="0"/>
    <x v="0"/>
    <n v="1005"/>
    <x v="8"/>
    <x v="4"/>
    <x v="8"/>
    <n v="3002"/>
    <x v="40"/>
    <n v="0"/>
    <x v="0"/>
    <s v="B 12"/>
    <n v="1"/>
    <s v="03A8"/>
    <x v="88"/>
    <s v="Annual"/>
    <n v="1"/>
    <n v="1"/>
    <n v="108576"/>
    <n v="108576"/>
  </r>
  <r>
    <x v="0"/>
    <n v="27"/>
    <x v="7"/>
    <x v="0"/>
    <x v="0"/>
    <n v="1005"/>
    <x v="8"/>
    <x v="4"/>
    <x v="8"/>
    <n v="3002"/>
    <x v="40"/>
    <n v="0"/>
    <x v="0"/>
    <s v="X 32"/>
    <n v="10"/>
    <n v="188"/>
    <x v="240"/>
    <s v="Annual"/>
    <n v="1"/>
    <n v="1"/>
    <n v="167964"/>
    <n v="167964"/>
  </r>
  <r>
    <x v="0"/>
    <n v="27"/>
    <x v="7"/>
    <x v="0"/>
    <x v="0"/>
    <n v="1005"/>
    <x v="8"/>
    <x v="4"/>
    <x v="8"/>
    <n v="3002"/>
    <x v="40"/>
    <n v="0"/>
    <x v="0"/>
    <s v="1 00"/>
    <n v="0"/>
    <n v="15"/>
    <x v="37"/>
    <s v="Annual"/>
    <n v="0"/>
    <n v="0"/>
    <n v="3145"/>
    <n v="3145"/>
  </r>
  <r>
    <x v="0"/>
    <n v="27"/>
    <x v="7"/>
    <x v="0"/>
    <x v="0"/>
    <n v="1005"/>
    <x v="8"/>
    <x v="4"/>
    <x v="8"/>
    <n v="3009"/>
    <x v="41"/>
    <n v="0"/>
    <x v="0"/>
    <s v="X 32"/>
    <n v="9"/>
    <n v="9651"/>
    <x v="241"/>
    <s v="Annual"/>
    <n v="1"/>
    <n v="1"/>
    <n v="175512"/>
    <n v="175512"/>
  </r>
  <r>
    <x v="0"/>
    <n v="27"/>
    <x v="7"/>
    <x v="0"/>
    <x v="0"/>
    <n v="1005"/>
    <x v="8"/>
    <x v="4"/>
    <x v="8"/>
    <n v="3009"/>
    <x v="41"/>
    <n v="0"/>
    <x v="0"/>
    <s v="G 08"/>
    <n v="4"/>
    <n v="635"/>
    <x v="242"/>
    <s v="Annual"/>
    <n v="1"/>
    <n v="1"/>
    <n v="141564"/>
    <n v="141564"/>
  </r>
  <r>
    <x v="0"/>
    <n v="27"/>
    <x v="7"/>
    <x v="0"/>
    <x v="0"/>
    <n v="1005"/>
    <x v="8"/>
    <x v="4"/>
    <x v="8"/>
    <n v="3009"/>
    <x v="41"/>
    <n v="0"/>
    <x v="0"/>
    <s v="X 33"/>
    <n v="0"/>
    <n v="603"/>
    <x v="243"/>
    <s v="Annual"/>
    <n v="1"/>
    <n v="1"/>
    <n v="146808"/>
    <n v="146808"/>
  </r>
  <r>
    <x v="0"/>
    <n v="27"/>
    <x v="7"/>
    <x v="0"/>
    <x v="0"/>
    <n v="1005"/>
    <x v="8"/>
    <x v="4"/>
    <x v="8"/>
    <n v="3009"/>
    <x v="41"/>
    <n v="0"/>
    <x v="0"/>
    <s v="G 07"/>
    <n v="4"/>
    <n v="193"/>
    <x v="244"/>
    <s v="Annual"/>
    <n v="1"/>
    <n v="1"/>
    <n v="129636"/>
    <n v="129636"/>
  </r>
  <r>
    <x v="0"/>
    <n v="27"/>
    <x v="7"/>
    <x v="0"/>
    <x v="0"/>
    <n v="1005"/>
    <x v="8"/>
    <x v="4"/>
    <x v="8"/>
    <n v="3009"/>
    <x v="41"/>
    <n v="0"/>
    <x v="0"/>
    <s v="G 07"/>
    <n v="4"/>
    <n v="111"/>
    <x v="245"/>
    <s v="Annual"/>
    <n v="1"/>
    <n v="1"/>
    <n v="102516"/>
    <n v="102516"/>
  </r>
  <r>
    <x v="0"/>
    <n v="27"/>
    <x v="7"/>
    <x v="0"/>
    <x v="0"/>
    <n v="1005"/>
    <x v="8"/>
    <x v="4"/>
    <x v="8"/>
    <n v="3009"/>
    <x v="41"/>
    <n v="0"/>
    <x v="0"/>
    <s v="1 00"/>
    <n v="0"/>
    <n v="15"/>
    <x v="37"/>
    <s v="Annual"/>
    <n v="0"/>
    <n v="0"/>
    <n v="11799"/>
    <n v="11799"/>
  </r>
  <r>
    <x v="0"/>
    <n v="27"/>
    <x v="7"/>
    <x v="0"/>
    <x v="0"/>
    <n v="1005"/>
    <x v="8"/>
    <x v="4"/>
    <x v="8"/>
    <n v="3011"/>
    <x v="42"/>
    <n v="0"/>
    <x v="0"/>
    <s v="X 32"/>
    <n v="9"/>
    <n v="9684"/>
    <x v="76"/>
    <s v="Annual"/>
    <n v="1"/>
    <n v="1"/>
    <n v="175512"/>
    <n v="175512"/>
  </r>
  <r>
    <x v="0"/>
    <n v="27"/>
    <x v="7"/>
    <x v="0"/>
    <x v="0"/>
    <n v="1005"/>
    <x v="8"/>
    <x v="4"/>
    <x v="8"/>
    <n v="3011"/>
    <x v="42"/>
    <n v="0"/>
    <x v="0"/>
    <s v="B 14"/>
    <n v="1"/>
    <n v="1576"/>
    <x v="246"/>
    <s v="Annual"/>
    <n v="1"/>
    <n v="1"/>
    <n v="130668"/>
    <n v="130668"/>
  </r>
  <r>
    <x v="0"/>
    <n v="27"/>
    <x v="7"/>
    <x v="0"/>
    <x v="0"/>
    <n v="1005"/>
    <x v="8"/>
    <x v="4"/>
    <x v="8"/>
    <n v="3011"/>
    <x v="42"/>
    <n v="0"/>
    <x v="0"/>
    <s v="B 13"/>
    <n v="1"/>
    <n v="1482"/>
    <x v="96"/>
    <s v="Annual"/>
    <n v="1"/>
    <n v="1"/>
    <n v="119100"/>
    <n v="119100"/>
  </r>
  <r>
    <x v="0"/>
    <n v="27"/>
    <x v="7"/>
    <x v="0"/>
    <x v="0"/>
    <n v="1005"/>
    <x v="8"/>
    <x v="4"/>
    <x v="8"/>
    <n v="3011"/>
    <x v="42"/>
    <n v="0"/>
    <x v="0"/>
    <s v="G 08"/>
    <n v="4"/>
    <n v="635"/>
    <x v="242"/>
    <s v="Annual"/>
    <n v="1"/>
    <n v="1"/>
    <n v="141564"/>
    <n v="141564"/>
  </r>
  <r>
    <x v="0"/>
    <n v="27"/>
    <x v="7"/>
    <x v="0"/>
    <x v="0"/>
    <n v="1005"/>
    <x v="8"/>
    <x v="4"/>
    <x v="8"/>
    <n v="3011"/>
    <x v="42"/>
    <n v="0"/>
    <x v="0"/>
    <s v="B 12"/>
    <n v="1"/>
    <s v="03A8"/>
    <x v="88"/>
    <s v="Annual"/>
    <n v="1"/>
    <n v="1"/>
    <n v="108576"/>
    <n v="108576"/>
  </r>
  <r>
    <x v="0"/>
    <n v="27"/>
    <x v="7"/>
    <x v="0"/>
    <x v="0"/>
    <n v="1005"/>
    <x v="8"/>
    <x v="4"/>
    <x v="8"/>
    <n v="3011"/>
    <x v="42"/>
    <n v="0"/>
    <x v="0"/>
    <s v="B 12"/>
    <n v="1"/>
    <s v="03A8"/>
    <x v="88"/>
    <s v="Annual"/>
    <n v="1"/>
    <n v="1"/>
    <n v="67608"/>
    <n v="67608"/>
  </r>
  <r>
    <x v="0"/>
    <n v="27"/>
    <x v="7"/>
    <x v="0"/>
    <x v="0"/>
    <n v="1005"/>
    <x v="8"/>
    <x v="4"/>
    <x v="8"/>
    <n v="3011"/>
    <x v="42"/>
    <n v="0"/>
    <x v="0"/>
    <s v="B 16"/>
    <n v="4"/>
    <n v="345"/>
    <x v="108"/>
    <s v="Annual"/>
    <n v="1"/>
    <n v="1"/>
    <n v="157332"/>
    <n v="157332"/>
  </r>
  <r>
    <x v="0"/>
    <n v="27"/>
    <x v="7"/>
    <x v="0"/>
    <x v="0"/>
    <n v="1005"/>
    <x v="8"/>
    <x v="4"/>
    <x v="8"/>
    <n v="3011"/>
    <x v="42"/>
    <n v="0"/>
    <x v="0"/>
    <s v="BX 17"/>
    <n v="20"/>
    <n v="126"/>
    <x v="247"/>
    <s v="Annual"/>
    <n v="1"/>
    <n v="1"/>
    <n v="136692"/>
    <n v="136692"/>
  </r>
  <r>
    <x v="0"/>
    <n v="27"/>
    <x v="7"/>
    <x v="0"/>
    <x v="0"/>
    <n v="1005"/>
    <x v="8"/>
    <x v="4"/>
    <x v="8"/>
    <n v="3011"/>
    <x v="42"/>
    <n v="0"/>
    <x v="0"/>
    <s v="1 00"/>
    <n v="0"/>
    <n v="15"/>
    <x v="37"/>
    <s v="Annual"/>
    <n v="0"/>
    <n v="0"/>
    <n v="4679"/>
    <n v="4679"/>
  </r>
  <r>
    <x v="0"/>
    <n v="27"/>
    <x v="7"/>
    <x v="0"/>
    <x v="0"/>
    <n v="1005"/>
    <x v="8"/>
    <x v="4"/>
    <x v="8"/>
    <n v="3012"/>
    <x v="43"/>
    <n v="0"/>
    <x v="0"/>
    <s v="BX 17"/>
    <n v="20"/>
    <n v="1331"/>
    <x v="248"/>
    <s v="Annual"/>
    <n v="1"/>
    <n v="1"/>
    <n v="103488"/>
    <n v="103488"/>
  </r>
  <r>
    <x v="0"/>
    <n v="27"/>
    <x v="7"/>
    <x v="0"/>
    <x v="0"/>
    <n v="1005"/>
    <x v="8"/>
    <x v="4"/>
    <x v="8"/>
    <n v="3012"/>
    <x v="43"/>
    <n v="0"/>
    <x v="0"/>
    <s v="B 15"/>
    <n v="1"/>
    <n v="1302"/>
    <x v="83"/>
    <s v="Annual"/>
    <n v="1"/>
    <n v="1"/>
    <n v="124848"/>
    <n v="124848"/>
  </r>
  <r>
    <x v="0"/>
    <n v="27"/>
    <x v="7"/>
    <x v="0"/>
    <x v="0"/>
    <n v="1005"/>
    <x v="8"/>
    <x v="4"/>
    <x v="8"/>
    <n v="3012"/>
    <x v="43"/>
    <n v="0"/>
    <x v="0"/>
    <s v="B 15"/>
    <n v="1"/>
    <n v="1302"/>
    <x v="83"/>
    <s v="Annual"/>
    <n v="1"/>
    <n v="1"/>
    <n v="89244"/>
    <n v="89244"/>
  </r>
  <r>
    <x v="0"/>
    <n v="27"/>
    <x v="7"/>
    <x v="0"/>
    <x v="0"/>
    <n v="1005"/>
    <x v="8"/>
    <x v="4"/>
    <x v="8"/>
    <n v="3012"/>
    <x v="43"/>
    <n v="0"/>
    <x v="0"/>
    <s v="B 13"/>
    <n v="1"/>
    <n v="1301"/>
    <x v="227"/>
    <s v="Annual"/>
    <n v="1"/>
    <n v="1"/>
    <n v="119100"/>
    <n v="119100"/>
  </r>
  <r>
    <x v="0"/>
    <n v="27"/>
    <x v="7"/>
    <x v="0"/>
    <x v="0"/>
    <n v="1005"/>
    <x v="8"/>
    <x v="4"/>
    <x v="8"/>
    <n v="3012"/>
    <x v="43"/>
    <n v="0"/>
    <x v="0"/>
    <s v="B 13"/>
    <n v="1"/>
    <n v="1301"/>
    <x v="227"/>
    <s v="Annual"/>
    <n v="1"/>
    <n v="1"/>
    <n v="85200"/>
    <n v="85200"/>
  </r>
  <r>
    <x v="0"/>
    <n v="27"/>
    <x v="7"/>
    <x v="0"/>
    <x v="0"/>
    <n v="1005"/>
    <x v="8"/>
    <x v="4"/>
    <x v="8"/>
    <n v="3012"/>
    <x v="43"/>
    <n v="0"/>
    <x v="0"/>
    <s v="B 13"/>
    <n v="1"/>
    <n v="1301"/>
    <x v="227"/>
    <s v="Annual"/>
    <n v="1"/>
    <n v="1"/>
    <n v="74172"/>
    <n v="74172"/>
  </r>
  <r>
    <x v="0"/>
    <n v="27"/>
    <x v="7"/>
    <x v="0"/>
    <x v="0"/>
    <n v="1005"/>
    <x v="8"/>
    <x v="4"/>
    <x v="8"/>
    <n v="3012"/>
    <x v="43"/>
    <n v="0"/>
    <x v="0"/>
    <s v="B 13"/>
    <n v="1"/>
    <n v="1301"/>
    <x v="227"/>
    <s v="Annual"/>
    <n v="1"/>
    <n v="1"/>
    <n v="70752"/>
    <n v="70752"/>
  </r>
  <r>
    <x v="0"/>
    <n v="27"/>
    <x v="7"/>
    <x v="0"/>
    <x v="0"/>
    <n v="1005"/>
    <x v="8"/>
    <x v="4"/>
    <x v="8"/>
    <n v="3012"/>
    <x v="43"/>
    <n v="0"/>
    <x v="0"/>
    <s v="B 13"/>
    <n v="1"/>
    <n v="1301"/>
    <x v="227"/>
    <s v="Annual"/>
    <n v="1"/>
    <n v="1"/>
    <n v="68616"/>
    <n v="68616"/>
  </r>
  <r>
    <x v="0"/>
    <n v="27"/>
    <x v="7"/>
    <x v="0"/>
    <x v="0"/>
    <n v="1005"/>
    <x v="8"/>
    <x v="4"/>
    <x v="8"/>
    <n v="3012"/>
    <x v="43"/>
    <n v="0"/>
    <x v="0"/>
    <s v="X 33"/>
    <n v="0"/>
    <n v="306"/>
    <x v="237"/>
    <s v="Annual"/>
    <n v="1"/>
    <n v="1"/>
    <n v="153384"/>
    <n v="153384"/>
  </r>
  <r>
    <x v="0"/>
    <n v="27"/>
    <x v="7"/>
    <x v="0"/>
    <x v="0"/>
    <n v="1005"/>
    <x v="8"/>
    <x v="4"/>
    <x v="8"/>
    <n v="3012"/>
    <x v="43"/>
    <n v="0"/>
    <x v="0"/>
    <s v="1 00"/>
    <n v="0"/>
    <n v="15"/>
    <x v="37"/>
    <s v="Annual"/>
    <n v="0"/>
    <n v="0"/>
    <n v="20415"/>
    <n v="20415"/>
  </r>
  <r>
    <x v="0"/>
    <n v="27"/>
    <x v="7"/>
    <x v="0"/>
    <x v="0"/>
    <n v="1005"/>
    <x v="8"/>
    <x v="2"/>
    <x v="9"/>
    <n v="3018"/>
    <x v="22"/>
    <n v="0"/>
    <x v="0"/>
    <s v="X 31"/>
    <n v="9"/>
    <n v="9653"/>
    <x v="249"/>
    <s v="Annual"/>
    <n v="1"/>
    <n v="1"/>
    <n v="180324"/>
    <n v="180324"/>
  </r>
  <r>
    <x v="0"/>
    <n v="27"/>
    <x v="7"/>
    <x v="0"/>
    <x v="0"/>
    <n v="1005"/>
    <x v="8"/>
    <x v="2"/>
    <x v="9"/>
    <n v="3018"/>
    <x v="22"/>
    <n v="0"/>
    <x v="0"/>
    <s v="1 00"/>
    <n v="0"/>
    <n v="15"/>
    <x v="37"/>
    <s v="Annual"/>
    <n v="0"/>
    <n v="0"/>
    <n v="3409"/>
    <n v="3409"/>
  </r>
  <r>
    <x v="0"/>
    <n v="27"/>
    <x v="7"/>
    <x v="0"/>
    <x v="0"/>
    <n v="1005"/>
    <x v="8"/>
    <x v="2"/>
    <x v="9"/>
    <n v="3019"/>
    <x v="44"/>
    <n v="4051"/>
    <x v="5"/>
    <s v="GY 11"/>
    <n v="20"/>
    <n v="187"/>
    <x v="250"/>
    <s v="Annual"/>
    <n v="1"/>
    <n v="1"/>
    <n v="115992"/>
    <n v="115992"/>
  </r>
  <r>
    <x v="0"/>
    <n v="27"/>
    <x v="7"/>
    <x v="0"/>
    <x v="0"/>
    <n v="1005"/>
    <x v="8"/>
    <x v="2"/>
    <x v="9"/>
    <n v="3019"/>
    <x v="44"/>
    <n v="4051"/>
    <x v="5"/>
    <s v="GY 11"/>
    <n v="20"/>
    <n v="187"/>
    <x v="250"/>
    <s v="Annual"/>
    <n v="1"/>
    <n v="1"/>
    <n v="106272"/>
    <n v="106272"/>
  </r>
  <r>
    <x v="0"/>
    <n v="27"/>
    <x v="7"/>
    <x v="0"/>
    <x v="0"/>
    <n v="1005"/>
    <x v="8"/>
    <x v="2"/>
    <x v="9"/>
    <n v="3019"/>
    <x v="44"/>
    <n v="4051"/>
    <x v="5"/>
    <s v="GY 10"/>
    <n v="20"/>
    <n v="120"/>
    <x v="251"/>
    <s v="Annual"/>
    <n v="1"/>
    <n v="1"/>
    <n v="111000"/>
    <n v="111000"/>
  </r>
  <r>
    <x v="0"/>
    <n v="27"/>
    <x v="7"/>
    <x v="0"/>
    <x v="0"/>
    <n v="1005"/>
    <x v="8"/>
    <x v="2"/>
    <x v="9"/>
    <n v="3019"/>
    <x v="44"/>
    <n v="4051"/>
    <x v="5"/>
    <s v="GY 10"/>
    <n v="20"/>
    <n v="120"/>
    <x v="251"/>
    <s v="Annual"/>
    <n v="1"/>
    <n v="1"/>
    <n v="106272"/>
    <n v="106272"/>
  </r>
  <r>
    <x v="0"/>
    <n v="27"/>
    <x v="7"/>
    <x v="0"/>
    <x v="0"/>
    <n v="1005"/>
    <x v="8"/>
    <x v="2"/>
    <x v="9"/>
    <n v="3019"/>
    <x v="44"/>
    <n v="4051"/>
    <x v="5"/>
    <s v="GY 10"/>
    <n v="20"/>
    <n v="120"/>
    <x v="251"/>
    <s v="Annual"/>
    <n v="1"/>
    <n v="1"/>
    <n v="101628"/>
    <n v="101628"/>
  </r>
  <r>
    <x v="0"/>
    <n v="27"/>
    <x v="7"/>
    <x v="0"/>
    <x v="0"/>
    <n v="1005"/>
    <x v="8"/>
    <x v="2"/>
    <x v="9"/>
    <n v="3019"/>
    <x v="44"/>
    <n v="4051"/>
    <x v="5"/>
    <s v="G 07"/>
    <n v="4"/>
    <n v="111"/>
    <x v="245"/>
    <s v="Annual"/>
    <n v="1"/>
    <n v="1"/>
    <n v="129636"/>
    <n v="129636"/>
  </r>
  <r>
    <x v="0"/>
    <n v="27"/>
    <x v="7"/>
    <x v="0"/>
    <x v="0"/>
    <n v="1005"/>
    <x v="8"/>
    <x v="2"/>
    <x v="9"/>
    <n v="3019"/>
    <x v="44"/>
    <n v="4051"/>
    <x v="5"/>
    <s v="G 07"/>
    <n v="4"/>
    <n v="111"/>
    <x v="245"/>
    <s v="Annual"/>
    <n v="2"/>
    <n v="1"/>
    <n v="97488"/>
    <n v="194976"/>
  </r>
  <r>
    <x v="0"/>
    <n v="27"/>
    <x v="7"/>
    <x v="0"/>
    <x v="0"/>
    <n v="1005"/>
    <x v="8"/>
    <x v="2"/>
    <x v="9"/>
    <n v="3019"/>
    <x v="44"/>
    <n v="4051"/>
    <x v="5"/>
    <s v="B 13"/>
    <n v="4"/>
    <n v="110"/>
    <x v="93"/>
    <s v="Annual"/>
    <n v="2"/>
    <n v="1"/>
    <n v="119100"/>
    <n v="238200"/>
  </r>
  <r>
    <x v="0"/>
    <n v="27"/>
    <x v="7"/>
    <x v="0"/>
    <x v="0"/>
    <n v="1005"/>
    <x v="8"/>
    <x v="2"/>
    <x v="9"/>
    <n v="3019"/>
    <x v="44"/>
    <n v="4051"/>
    <x v="5"/>
    <s v="X 33"/>
    <n v="0"/>
    <n v="105"/>
    <x v="252"/>
    <s v="Annual"/>
    <n v="2"/>
    <n v="1"/>
    <n v="146808"/>
    <n v="293616"/>
  </r>
  <r>
    <x v="0"/>
    <n v="27"/>
    <x v="7"/>
    <x v="0"/>
    <x v="0"/>
    <n v="1005"/>
    <x v="8"/>
    <x v="2"/>
    <x v="9"/>
    <n v="3019"/>
    <x v="44"/>
    <n v="4051"/>
    <x v="5"/>
    <s v="1 00"/>
    <n v="0"/>
    <n v="15"/>
    <x v="37"/>
    <s v="Annual"/>
    <n v="0"/>
    <n v="0"/>
    <n v="19488"/>
    <n v="19488"/>
  </r>
  <r>
    <x v="0"/>
    <n v="27"/>
    <x v="7"/>
    <x v="0"/>
    <x v="0"/>
    <n v="1005"/>
    <x v="8"/>
    <x v="5"/>
    <x v="10"/>
    <n v="3014"/>
    <x v="22"/>
    <n v="0"/>
    <x v="0"/>
    <s v="X 31"/>
    <n v="9"/>
    <n v="9653"/>
    <x v="249"/>
    <s v="Annual"/>
    <n v="1"/>
    <n v="1"/>
    <n v="168924"/>
    <n v="168924"/>
  </r>
  <r>
    <x v="0"/>
    <n v="27"/>
    <x v="7"/>
    <x v="0"/>
    <x v="0"/>
    <n v="1005"/>
    <x v="8"/>
    <x v="5"/>
    <x v="10"/>
    <n v="3014"/>
    <x v="22"/>
    <n v="0"/>
    <x v="0"/>
    <s v="1 00"/>
    <n v="0"/>
    <n v="15"/>
    <x v="37"/>
    <s v="Annual"/>
    <n v="0"/>
    <n v="0"/>
    <n v="6175"/>
    <n v="6175"/>
  </r>
  <r>
    <x v="0"/>
    <n v="27"/>
    <x v="7"/>
    <x v="0"/>
    <x v="0"/>
    <n v="1005"/>
    <x v="8"/>
    <x v="5"/>
    <x v="10"/>
    <n v="3016"/>
    <x v="45"/>
    <n v="4006"/>
    <x v="6"/>
    <s v="X 32"/>
    <n v="9"/>
    <n v="9651"/>
    <x v="241"/>
    <s v="Annual"/>
    <n v="1"/>
    <n v="1"/>
    <n v="175512"/>
    <n v="175512"/>
  </r>
  <r>
    <x v="0"/>
    <n v="27"/>
    <x v="7"/>
    <x v="0"/>
    <x v="0"/>
    <n v="1005"/>
    <x v="8"/>
    <x v="5"/>
    <x v="10"/>
    <n v="3016"/>
    <x v="45"/>
    <n v="4006"/>
    <x v="6"/>
    <s v="B 14"/>
    <n v="4"/>
    <n v="1912"/>
    <x v="222"/>
    <s v="Annual"/>
    <n v="1"/>
    <n v="1"/>
    <n v="93504"/>
    <n v="93504"/>
  </r>
  <r>
    <x v="0"/>
    <n v="27"/>
    <x v="7"/>
    <x v="0"/>
    <x v="0"/>
    <n v="1005"/>
    <x v="8"/>
    <x v="5"/>
    <x v="10"/>
    <n v="3016"/>
    <x v="45"/>
    <n v="4006"/>
    <x v="6"/>
    <s v="X 33"/>
    <n v="9"/>
    <n v="313"/>
    <x v="220"/>
    <s v="Annual"/>
    <n v="2"/>
    <n v="1"/>
    <n v="146808"/>
    <n v="293616"/>
  </r>
  <r>
    <x v="0"/>
    <n v="27"/>
    <x v="7"/>
    <x v="0"/>
    <x v="0"/>
    <n v="1005"/>
    <x v="8"/>
    <x v="5"/>
    <x v="10"/>
    <n v="3016"/>
    <x v="45"/>
    <n v="4006"/>
    <x v="6"/>
    <s v="BX 18"/>
    <n v="10"/>
    <n v="311"/>
    <x v="253"/>
    <s v="Annual"/>
    <n v="1"/>
    <n v="1"/>
    <n v="118956"/>
    <n v="118956"/>
  </r>
  <r>
    <x v="0"/>
    <n v="27"/>
    <x v="7"/>
    <x v="0"/>
    <x v="0"/>
    <n v="1005"/>
    <x v="8"/>
    <x v="5"/>
    <x v="10"/>
    <n v="3016"/>
    <x v="45"/>
    <n v="4006"/>
    <x v="6"/>
    <s v="GY 08"/>
    <n v="20"/>
    <n v="139"/>
    <x v="254"/>
    <s v="Annual"/>
    <n v="3"/>
    <n v="1"/>
    <n v="112080"/>
    <n v="336240"/>
  </r>
  <r>
    <x v="0"/>
    <n v="27"/>
    <x v="7"/>
    <x v="0"/>
    <x v="0"/>
    <n v="1005"/>
    <x v="8"/>
    <x v="5"/>
    <x v="10"/>
    <n v="3016"/>
    <x v="45"/>
    <n v="4006"/>
    <x v="6"/>
    <s v="1 00"/>
    <n v="0"/>
    <n v="15"/>
    <x v="37"/>
    <s v="Annual"/>
    <n v="0"/>
    <n v="0"/>
    <n v="11578"/>
    <n v="11578"/>
  </r>
  <r>
    <x v="0"/>
    <n v="27"/>
    <x v="7"/>
    <x v="0"/>
    <x v="0"/>
    <n v="1005"/>
    <x v="8"/>
    <x v="5"/>
    <x v="10"/>
    <n v="3016"/>
    <x v="45"/>
    <n v="4007"/>
    <x v="7"/>
    <s v="GY 07"/>
    <n v="20"/>
    <n v="3406"/>
    <x v="255"/>
    <s v="Annual"/>
    <n v="1"/>
    <n v="1"/>
    <n v="82884"/>
    <n v="82884"/>
  </r>
  <r>
    <x v="0"/>
    <n v="27"/>
    <x v="7"/>
    <x v="0"/>
    <x v="0"/>
    <n v="1005"/>
    <x v="8"/>
    <x v="5"/>
    <x v="10"/>
    <n v="3016"/>
    <x v="45"/>
    <n v="4007"/>
    <x v="7"/>
    <s v="X 32"/>
    <n v="0"/>
    <n v="2085"/>
    <x v="256"/>
    <s v="Annual"/>
    <n v="1"/>
    <n v="1"/>
    <n v="139140"/>
    <n v="139140"/>
  </r>
  <r>
    <x v="0"/>
    <n v="27"/>
    <x v="7"/>
    <x v="0"/>
    <x v="0"/>
    <n v="1005"/>
    <x v="8"/>
    <x v="5"/>
    <x v="10"/>
    <n v="3016"/>
    <x v="45"/>
    <n v="4007"/>
    <x v="7"/>
    <s v="1 00"/>
    <n v="0"/>
    <n v="15"/>
    <x v="37"/>
    <s v="Annual"/>
    <n v="0"/>
    <n v="0"/>
    <n v="2058"/>
    <n v="2058"/>
  </r>
  <r>
    <x v="0"/>
    <n v="27"/>
    <x v="7"/>
    <x v="0"/>
    <x v="0"/>
    <n v="1005"/>
    <x v="8"/>
    <x v="5"/>
    <x v="10"/>
    <n v="3016"/>
    <x v="45"/>
    <n v="4079"/>
    <x v="8"/>
    <s v="X 32"/>
    <n v="9"/>
    <n v="9684"/>
    <x v="76"/>
    <s v="Annual"/>
    <n v="1"/>
    <n v="1"/>
    <n v="175512"/>
    <n v="175512"/>
  </r>
  <r>
    <x v="0"/>
    <n v="27"/>
    <x v="7"/>
    <x v="0"/>
    <x v="0"/>
    <n v="1005"/>
    <x v="8"/>
    <x v="5"/>
    <x v="10"/>
    <n v="3016"/>
    <x v="45"/>
    <n v="4079"/>
    <x v="8"/>
    <s v="BX 15"/>
    <n v="10"/>
    <n v="1911"/>
    <x v="226"/>
    <s v="Annual"/>
    <n v="1"/>
    <n v="1"/>
    <n v="83052"/>
    <n v="83052"/>
  </r>
  <r>
    <x v="0"/>
    <n v="27"/>
    <x v="7"/>
    <x v="0"/>
    <x v="0"/>
    <n v="1005"/>
    <x v="8"/>
    <x v="5"/>
    <x v="10"/>
    <n v="3016"/>
    <x v="45"/>
    <n v="4079"/>
    <x v="8"/>
    <s v="B 10"/>
    <n v="1"/>
    <s v="03A7"/>
    <x v="4"/>
    <s v="Annual"/>
    <n v="1"/>
    <n v="1"/>
    <n v="53532"/>
    <n v="53532"/>
  </r>
  <r>
    <x v="0"/>
    <n v="27"/>
    <x v="7"/>
    <x v="0"/>
    <x v="0"/>
    <n v="1005"/>
    <x v="8"/>
    <x v="5"/>
    <x v="10"/>
    <n v="3016"/>
    <x v="45"/>
    <n v="4079"/>
    <x v="8"/>
    <s v="X 33"/>
    <n v="0"/>
    <n v="392"/>
    <x v="257"/>
    <s v="Annual"/>
    <n v="1"/>
    <n v="1"/>
    <n v="146808"/>
    <n v="146808"/>
  </r>
  <r>
    <x v="0"/>
    <n v="27"/>
    <x v="7"/>
    <x v="0"/>
    <x v="0"/>
    <n v="1005"/>
    <x v="8"/>
    <x v="5"/>
    <x v="10"/>
    <n v="3016"/>
    <x v="45"/>
    <n v="4079"/>
    <x v="8"/>
    <s v="BX 14"/>
    <n v="10"/>
    <n v="370"/>
    <x v="258"/>
    <s v="Annual"/>
    <n v="1"/>
    <n v="1"/>
    <n v="69684"/>
    <n v="69684"/>
  </r>
  <r>
    <x v="0"/>
    <n v="27"/>
    <x v="7"/>
    <x v="0"/>
    <x v="0"/>
    <n v="1005"/>
    <x v="8"/>
    <x v="5"/>
    <x v="10"/>
    <n v="3016"/>
    <x v="45"/>
    <n v="4079"/>
    <x v="8"/>
    <s v="BX 13"/>
    <n v="20"/>
    <n v="366"/>
    <x v="219"/>
    <s v="Annual"/>
    <n v="1"/>
    <n v="1"/>
    <n v="60660"/>
    <n v="60660"/>
  </r>
  <r>
    <x v="0"/>
    <n v="27"/>
    <x v="7"/>
    <x v="0"/>
    <x v="0"/>
    <n v="1005"/>
    <x v="8"/>
    <x v="5"/>
    <x v="10"/>
    <n v="3016"/>
    <x v="45"/>
    <n v="4079"/>
    <x v="8"/>
    <s v="BX 18"/>
    <n v="10"/>
    <n v="311"/>
    <x v="253"/>
    <s v="Annual"/>
    <n v="1"/>
    <n v="1"/>
    <n v="113568"/>
    <n v="113568"/>
  </r>
  <r>
    <x v="0"/>
    <n v="27"/>
    <x v="7"/>
    <x v="0"/>
    <x v="0"/>
    <n v="1005"/>
    <x v="8"/>
    <x v="5"/>
    <x v="10"/>
    <n v="3016"/>
    <x v="45"/>
    <n v="4079"/>
    <x v="8"/>
    <s v="B 13"/>
    <n v="1"/>
    <n v="308"/>
    <x v="90"/>
    <s v="Annual"/>
    <n v="1"/>
    <n v="1"/>
    <n v="108576"/>
    <n v="108576"/>
  </r>
  <r>
    <x v="0"/>
    <n v="27"/>
    <x v="7"/>
    <x v="0"/>
    <x v="0"/>
    <n v="1005"/>
    <x v="8"/>
    <x v="5"/>
    <x v="10"/>
    <n v="3016"/>
    <x v="45"/>
    <n v="4079"/>
    <x v="8"/>
    <s v="BX 16"/>
    <n v="10"/>
    <n v="233"/>
    <x v="259"/>
    <s v="Annual"/>
    <n v="1"/>
    <n v="1"/>
    <n v="124584"/>
    <n v="124584"/>
  </r>
  <r>
    <x v="0"/>
    <n v="27"/>
    <x v="7"/>
    <x v="0"/>
    <x v="0"/>
    <n v="1005"/>
    <x v="8"/>
    <x v="5"/>
    <x v="10"/>
    <n v="3016"/>
    <x v="45"/>
    <n v="4079"/>
    <x v="8"/>
    <s v="BX 16"/>
    <n v="10"/>
    <n v="233"/>
    <x v="259"/>
    <s v="Annual"/>
    <n v="1"/>
    <n v="1"/>
    <n v="113568"/>
    <n v="113568"/>
  </r>
  <r>
    <x v="0"/>
    <n v="27"/>
    <x v="7"/>
    <x v="0"/>
    <x v="0"/>
    <n v="1005"/>
    <x v="8"/>
    <x v="5"/>
    <x v="10"/>
    <n v="3016"/>
    <x v="45"/>
    <n v="4079"/>
    <x v="8"/>
    <s v="GY 12"/>
    <n v="20"/>
    <n v="223"/>
    <x v="260"/>
    <s v="Annual"/>
    <n v="1"/>
    <n v="1"/>
    <n v="131124"/>
    <n v="131124"/>
  </r>
  <r>
    <x v="0"/>
    <n v="27"/>
    <x v="7"/>
    <x v="0"/>
    <x v="0"/>
    <n v="1005"/>
    <x v="8"/>
    <x v="5"/>
    <x v="10"/>
    <n v="3016"/>
    <x v="45"/>
    <n v="4079"/>
    <x v="8"/>
    <s v="GY 08"/>
    <n v="10"/>
    <n v="135"/>
    <x v="261"/>
    <s v="Annual"/>
    <n v="1"/>
    <n v="1"/>
    <n v="97332"/>
    <n v="97332"/>
  </r>
  <r>
    <x v="0"/>
    <n v="27"/>
    <x v="7"/>
    <x v="0"/>
    <x v="0"/>
    <n v="1005"/>
    <x v="8"/>
    <x v="5"/>
    <x v="10"/>
    <n v="3016"/>
    <x v="45"/>
    <n v="4079"/>
    <x v="8"/>
    <s v="1 00"/>
    <n v="0"/>
    <n v="15"/>
    <x v="37"/>
    <s v="Annual"/>
    <n v="0"/>
    <n v="0"/>
    <n v="22783"/>
    <n v="22783"/>
  </r>
  <r>
    <x v="0"/>
    <n v="27"/>
    <x v="7"/>
    <x v="0"/>
    <x v="0"/>
    <n v="1005"/>
    <x v="8"/>
    <x v="5"/>
    <x v="10"/>
    <n v="3016"/>
    <x v="45"/>
    <n v="4080"/>
    <x v="9"/>
    <s v="X 32"/>
    <n v="9"/>
    <n v="9672"/>
    <x v="262"/>
    <s v="Annual"/>
    <n v="1"/>
    <n v="1"/>
    <n v="157332"/>
    <n v="157332"/>
  </r>
  <r>
    <x v="0"/>
    <n v="27"/>
    <x v="7"/>
    <x v="0"/>
    <x v="0"/>
    <n v="1005"/>
    <x v="8"/>
    <x v="5"/>
    <x v="10"/>
    <n v="3016"/>
    <x v="45"/>
    <n v="4080"/>
    <x v="9"/>
    <s v="B 14"/>
    <n v="3"/>
    <n v="1711"/>
    <x v="263"/>
    <s v="Annual"/>
    <n v="1"/>
    <n v="1"/>
    <n v="81324"/>
    <n v="81324"/>
  </r>
  <r>
    <x v="0"/>
    <n v="27"/>
    <x v="7"/>
    <x v="0"/>
    <x v="0"/>
    <n v="1005"/>
    <x v="8"/>
    <x v="5"/>
    <x v="10"/>
    <n v="3016"/>
    <x v="45"/>
    <n v="4080"/>
    <x v="9"/>
    <s v="BX 15"/>
    <n v="10"/>
    <n v="1709"/>
    <x v="264"/>
    <s v="Annual"/>
    <n v="1"/>
    <n v="1"/>
    <n v="69684"/>
    <n v="69684"/>
  </r>
  <r>
    <x v="0"/>
    <n v="27"/>
    <x v="7"/>
    <x v="0"/>
    <x v="0"/>
    <n v="1005"/>
    <x v="8"/>
    <x v="5"/>
    <x v="10"/>
    <n v="3016"/>
    <x v="45"/>
    <n v="4080"/>
    <x v="9"/>
    <s v="GY 11"/>
    <n v="20"/>
    <n v="1653"/>
    <x v="265"/>
    <s v="Annual"/>
    <n v="1"/>
    <n v="1"/>
    <n v="111000"/>
    <n v="111000"/>
  </r>
  <r>
    <x v="0"/>
    <n v="27"/>
    <x v="7"/>
    <x v="0"/>
    <x v="0"/>
    <n v="1005"/>
    <x v="8"/>
    <x v="5"/>
    <x v="10"/>
    <n v="3016"/>
    <x v="45"/>
    <n v="4080"/>
    <x v="9"/>
    <s v="1 00"/>
    <n v="0"/>
    <n v="15"/>
    <x v="37"/>
    <s v="Annual"/>
    <n v="0"/>
    <n v="0"/>
    <n v="7780"/>
    <n v="7780"/>
  </r>
  <r>
    <x v="0"/>
    <n v="27"/>
    <x v="7"/>
    <x v="0"/>
    <x v="0"/>
    <n v="1005"/>
    <x v="8"/>
    <x v="5"/>
    <x v="10"/>
    <n v="3016"/>
    <x v="45"/>
    <n v="4089"/>
    <x v="10"/>
    <s v="X 32"/>
    <n v="0"/>
    <n v="9727"/>
    <x v="266"/>
    <s v="Annual"/>
    <n v="1"/>
    <n v="1"/>
    <n v="175512"/>
    <n v="175512"/>
  </r>
  <r>
    <x v="0"/>
    <n v="27"/>
    <x v="7"/>
    <x v="0"/>
    <x v="0"/>
    <n v="1005"/>
    <x v="8"/>
    <x v="5"/>
    <x v="10"/>
    <n v="3016"/>
    <x v="45"/>
    <n v="4089"/>
    <x v="10"/>
    <s v="BX 15"/>
    <n v="10"/>
    <n v="1203"/>
    <x v="267"/>
    <s v="Annual"/>
    <n v="1"/>
    <n v="1"/>
    <n v="83052"/>
    <n v="83052"/>
  </r>
  <r>
    <x v="0"/>
    <n v="27"/>
    <x v="7"/>
    <x v="0"/>
    <x v="0"/>
    <n v="1005"/>
    <x v="8"/>
    <x v="5"/>
    <x v="10"/>
    <n v="3016"/>
    <x v="45"/>
    <n v="4089"/>
    <x v="10"/>
    <s v="B 12"/>
    <n v="1"/>
    <s v="03A8"/>
    <x v="88"/>
    <s v="Annual"/>
    <n v="1"/>
    <n v="1"/>
    <n v="70752"/>
    <n v="70752"/>
  </r>
  <r>
    <x v="0"/>
    <n v="27"/>
    <x v="7"/>
    <x v="0"/>
    <x v="0"/>
    <n v="1005"/>
    <x v="8"/>
    <x v="5"/>
    <x v="10"/>
    <n v="3016"/>
    <x v="45"/>
    <n v="4089"/>
    <x v="10"/>
    <s v="BX 18"/>
    <n v="10"/>
    <n v="310"/>
    <x v="135"/>
    <s v="Annual"/>
    <n v="1"/>
    <n v="1"/>
    <n v="97836"/>
    <n v="97836"/>
  </r>
  <r>
    <x v="0"/>
    <n v="27"/>
    <x v="7"/>
    <x v="0"/>
    <x v="0"/>
    <n v="1005"/>
    <x v="8"/>
    <x v="5"/>
    <x v="10"/>
    <n v="3016"/>
    <x v="45"/>
    <n v="4089"/>
    <x v="10"/>
    <s v="X 33"/>
    <n v="0"/>
    <n v="306"/>
    <x v="237"/>
    <s v="Annual"/>
    <n v="1"/>
    <n v="1"/>
    <n v="137532"/>
    <n v="137532"/>
  </r>
  <r>
    <x v="0"/>
    <n v="27"/>
    <x v="7"/>
    <x v="0"/>
    <x v="0"/>
    <n v="1005"/>
    <x v="8"/>
    <x v="5"/>
    <x v="10"/>
    <n v="3016"/>
    <x v="45"/>
    <n v="4089"/>
    <x v="10"/>
    <s v="1 00"/>
    <n v="0"/>
    <n v="15"/>
    <x v="37"/>
    <s v="Annual"/>
    <n v="0"/>
    <n v="0"/>
    <n v="12575"/>
    <n v="12575"/>
  </r>
  <r>
    <x v="0"/>
    <n v="27"/>
    <x v="7"/>
    <x v="0"/>
    <x v="0"/>
    <n v="1005"/>
    <x v="8"/>
    <x v="5"/>
    <x v="10"/>
    <n v="3017"/>
    <x v="46"/>
    <n v="4026"/>
    <x v="11"/>
    <s v="X 32"/>
    <n v="9"/>
    <n v="9651"/>
    <x v="241"/>
    <s v="Annual"/>
    <n v="1"/>
    <n v="1"/>
    <n v="175512"/>
    <n v="175512"/>
  </r>
  <r>
    <x v="0"/>
    <n v="27"/>
    <x v="7"/>
    <x v="0"/>
    <x v="0"/>
    <n v="1005"/>
    <x v="8"/>
    <x v="5"/>
    <x v="10"/>
    <n v="3017"/>
    <x v="46"/>
    <n v="4026"/>
    <x v="11"/>
    <s v="B 14"/>
    <n v="1"/>
    <n v="1576"/>
    <x v="246"/>
    <s v="Annual"/>
    <n v="1"/>
    <n v="1"/>
    <n v="130668"/>
    <n v="130668"/>
  </r>
  <r>
    <x v="0"/>
    <n v="27"/>
    <x v="7"/>
    <x v="0"/>
    <x v="0"/>
    <n v="1005"/>
    <x v="8"/>
    <x v="5"/>
    <x v="10"/>
    <n v="3017"/>
    <x v="46"/>
    <n v="4026"/>
    <x v="11"/>
    <s v="B 14"/>
    <n v="1"/>
    <n v="1576"/>
    <x v="246"/>
    <s v="Annual"/>
    <n v="1"/>
    <n v="1"/>
    <n v="108576"/>
    <n v="108576"/>
  </r>
  <r>
    <x v="0"/>
    <n v="27"/>
    <x v="7"/>
    <x v="0"/>
    <x v="0"/>
    <n v="1005"/>
    <x v="8"/>
    <x v="5"/>
    <x v="10"/>
    <n v="3017"/>
    <x v="46"/>
    <n v="4026"/>
    <x v="11"/>
    <s v="G 04"/>
    <n v="4"/>
    <n v="1143"/>
    <x v="268"/>
    <s v="Annual"/>
    <n v="1"/>
    <n v="1"/>
    <n v="84192"/>
    <n v="84192"/>
  </r>
  <r>
    <x v="0"/>
    <n v="27"/>
    <x v="7"/>
    <x v="0"/>
    <x v="0"/>
    <n v="1005"/>
    <x v="8"/>
    <x v="5"/>
    <x v="10"/>
    <n v="3017"/>
    <x v="46"/>
    <n v="4026"/>
    <x v="11"/>
    <s v="B 13"/>
    <n v="4"/>
    <n v="110"/>
    <x v="93"/>
    <s v="Annual"/>
    <n v="1"/>
    <n v="1"/>
    <n v="81324"/>
    <n v="81324"/>
  </r>
  <r>
    <x v="0"/>
    <n v="27"/>
    <x v="7"/>
    <x v="0"/>
    <x v="0"/>
    <n v="1005"/>
    <x v="8"/>
    <x v="5"/>
    <x v="10"/>
    <n v="3017"/>
    <x v="46"/>
    <n v="4026"/>
    <x v="11"/>
    <s v="B 11"/>
    <n v="1"/>
    <n v="109"/>
    <x v="94"/>
    <s v="Annual"/>
    <n v="3"/>
    <n v="1"/>
    <n v="98928"/>
    <n v="296784"/>
  </r>
  <r>
    <x v="0"/>
    <n v="27"/>
    <x v="7"/>
    <x v="0"/>
    <x v="0"/>
    <n v="1005"/>
    <x v="8"/>
    <x v="5"/>
    <x v="10"/>
    <n v="3017"/>
    <x v="46"/>
    <n v="4026"/>
    <x v="11"/>
    <s v="B 11"/>
    <n v="1"/>
    <n v="109"/>
    <x v="94"/>
    <s v="Annual"/>
    <n v="1"/>
    <n v="1"/>
    <n v="74916"/>
    <n v="74916"/>
  </r>
  <r>
    <x v="0"/>
    <n v="27"/>
    <x v="7"/>
    <x v="0"/>
    <x v="0"/>
    <n v="1005"/>
    <x v="8"/>
    <x v="5"/>
    <x v="10"/>
    <n v="3017"/>
    <x v="46"/>
    <n v="4026"/>
    <x v="11"/>
    <s v="B 11"/>
    <n v="1"/>
    <n v="109"/>
    <x v="94"/>
    <s v="Annual"/>
    <n v="2"/>
    <n v="1"/>
    <n v="64488"/>
    <n v="128976"/>
  </r>
  <r>
    <x v="0"/>
    <n v="27"/>
    <x v="7"/>
    <x v="0"/>
    <x v="0"/>
    <n v="1005"/>
    <x v="8"/>
    <x v="5"/>
    <x v="10"/>
    <n v="3017"/>
    <x v="46"/>
    <n v="4026"/>
    <x v="11"/>
    <s v="B 11"/>
    <n v="1"/>
    <n v="109"/>
    <x v="94"/>
    <s v="Annual"/>
    <n v="1"/>
    <n v="1"/>
    <n v="61548"/>
    <n v="61548"/>
  </r>
  <r>
    <x v="0"/>
    <n v="27"/>
    <x v="7"/>
    <x v="0"/>
    <x v="0"/>
    <n v="1005"/>
    <x v="8"/>
    <x v="5"/>
    <x v="10"/>
    <n v="3017"/>
    <x v="46"/>
    <n v="4026"/>
    <x v="11"/>
    <s v="X 33"/>
    <n v="0"/>
    <n v="105"/>
    <x v="252"/>
    <s v="Annual"/>
    <n v="1"/>
    <n v="1"/>
    <n v="158508"/>
    <n v="158508"/>
  </r>
  <r>
    <x v="0"/>
    <n v="27"/>
    <x v="7"/>
    <x v="0"/>
    <x v="0"/>
    <n v="1005"/>
    <x v="8"/>
    <x v="5"/>
    <x v="10"/>
    <n v="3017"/>
    <x v="46"/>
    <n v="4026"/>
    <x v="11"/>
    <s v="1 00"/>
    <n v="0"/>
    <n v="15"/>
    <x v="37"/>
    <s v="Annual"/>
    <n v="0"/>
    <n v="0"/>
    <n v="18140"/>
    <n v="18140"/>
  </r>
  <r>
    <x v="0"/>
    <n v="27"/>
    <x v="7"/>
    <x v="0"/>
    <x v="0"/>
    <n v="1005"/>
    <x v="8"/>
    <x v="5"/>
    <x v="10"/>
    <n v="3017"/>
    <x v="46"/>
    <n v="4036"/>
    <x v="12"/>
    <s v="X 32"/>
    <n v="9"/>
    <n v="9651"/>
    <x v="241"/>
    <s v="Annual"/>
    <n v="1"/>
    <n v="1"/>
    <n v="175512"/>
    <n v="175512"/>
  </r>
  <r>
    <x v="0"/>
    <n v="27"/>
    <x v="7"/>
    <x v="0"/>
    <x v="0"/>
    <n v="1005"/>
    <x v="8"/>
    <x v="5"/>
    <x v="10"/>
    <n v="3017"/>
    <x v="46"/>
    <n v="4036"/>
    <x v="12"/>
    <s v="BX 15"/>
    <n v="10"/>
    <n v="1911"/>
    <x v="226"/>
    <s v="Annual"/>
    <n v="1"/>
    <n v="1"/>
    <n v="108432"/>
    <n v="108432"/>
  </r>
  <r>
    <x v="0"/>
    <n v="27"/>
    <x v="7"/>
    <x v="0"/>
    <x v="0"/>
    <n v="1005"/>
    <x v="8"/>
    <x v="5"/>
    <x v="10"/>
    <n v="3017"/>
    <x v="46"/>
    <n v="4036"/>
    <x v="12"/>
    <s v="B 14"/>
    <n v="1"/>
    <n v="689"/>
    <x v="269"/>
    <s v="Annual"/>
    <n v="1"/>
    <n v="1"/>
    <n v="130668"/>
    <n v="130668"/>
  </r>
  <r>
    <x v="0"/>
    <n v="27"/>
    <x v="7"/>
    <x v="0"/>
    <x v="0"/>
    <n v="1005"/>
    <x v="8"/>
    <x v="5"/>
    <x v="10"/>
    <n v="3017"/>
    <x v="46"/>
    <n v="4036"/>
    <x v="12"/>
    <s v="B 14"/>
    <n v="1"/>
    <n v="689"/>
    <x v="269"/>
    <s v="Annual"/>
    <n v="2"/>
    <n v="1"/>
    <n v="93504"/>
    <n v="187008"/>
  </r>
  <r>
    <x v="0"/>
    <n v="27"/>
    <x v="7"/>
    <x v="0"/>
    <x v="0"/>
    <n v="1005"/>
    <x v="8"/>
    <x v="5"/>
    <x v="10"/>
    <n v="3017"/>
    <x v="46"/>
    <n v="4036"/>
    <x v="12"/>
    <s v="B 14"/>
    <n v="1"/>
    <n v="689"/>
    <x v="269"/>
    <s v="Annual"/>
    <n v="1"/>
    <n v="1"/>
    <n v="75336"/>
    <n v="75336"/>
  </r>
  <r>
    <x v="0"/>
    <n v="27"/>
    <x v="7"/>
    <x v="0"/>
    <x v="0"/>
    <n v="1005"/>
    <x v="8"/>
    <x v="5"/>
    <x v="10"/>
    <n v="3017"/>
    <x v="46"/>
    <n v="4036"/>
    <x v="12"/>
    <s v="G 10"/>
    <n v="4"/>
    <n v="659"/>
    <x v="270"/>
    <s v="Annual"/>
    <n v="1"/>
    <n v="1"/>
    <n v="119244"/>
    <n v="119244"/>
  </r>
  <r>
    <x v="0"/>
    <n v="27"/>
    <x v="7"/>
    <x v="0"/>
    <x v="0"/>
    <n v="1005"/>
    <x v="8"/>
    <x v="5"/>
    <x v="10"/>
    <n v="3017"/>
    <x v="46"/>
    <n v="4036"/>
    <x v="12"/>
    <s v="G 08"/>
    <n v="4"/>
    <n v="635"/>
    <x v="242"/>
    <s v="Annual"/>
    <n v="2"/>
    <n v="1"/>
    <n v="141564"/>
    <n v="283128"/>
  </r>
  <r>
    <x v="0"/>
    <n v="27"/>
    <x v="7"/>
    <x v="0"/>
    <x v="0"/>
    <n v="1005"/>
    <x v="8"/>
    <x v="5"/>
    <x v="10"/>
    <n v="3017"/>
    <x v="46"/>
    <n v="4036"/>
    <x v="12"/>
    <s v="G 10"/>
    <n v="1"/>
    <n v="629"/>
    <x v="271"/>
    <s v="Annual"/>
    <n v="1"/>
    <n v="1"/>
    <n v="153228"/>
    <n v="153228"/>
  </r>
  <r>
    <x v="0"/>
    <n v="27"/>
    <x v="7"/>
    <x v="0"/>
    <x v="0"/>
    <n v="1005"/>
    <x v="8"/>
    <x v="5"/>
    <x v="10"/>
    <n v="3017"/>
    <x v="46"/>
    <n v="4036"/>
    <x v="12"/>
    <s v="B 10"/>
    <n v="1"/>
    <s v="03A7"/>
    <x v="4"/>
    <s v="Annual"/>
    <n v="1"/>
    <n v="1"/>
    <n v="51936"/>
    <n v="51936"/>
  </r>
  <r>
    <x v="0"/>
    <n v="27"/>
    <x v="7"/>
    <x v="0"/>
    <x v="0"/>
    <n v="1005"/>
    <x v="8"/>
    <x v="5"/>
    <x v="10"/>
    <n v="3017"/>
    <x v="46"/>
    <n v="4036"/>
    <x v="12"/>
    <s v="BX 18"/>
    <n v="10"/>
    <n v="311"/>
    <x v="253"/>
    <s v="Annual"/>
    <n v="1"/>
    <n v="1"/>
    <n v="150072"/>
    <n v="150072"/>
  </r>
  <r>
    <x v="0"/>
    <n v="27"/>
    <x v="7"/>
    <x v="0"/>
    <x v="0"/>
    <n v="1005"/>
    <x v="8"/>
    <x v="5"/>
    <x v="10"/>
    <n v="3017"/>
    <x v="46"/>
    <n v="4036"/>
    <x v="12"/>
    <s v="B 13"/>
    <n v="1"/>
    <n v="308"/>
    <x v="90"/>
    <s v="Annual"/>
    <n v="1"/>
    <n v="1"/>
    <n v="103608"/>
    <n v="103608"/>
  </r>
  <r>
    <x v="0"/>
    <n v="27"/>
    <x v="7"/>
    <x v="0"/>
    <x v="0"/>
    <n v="1005"/>
    <x v="8"/>
    <x v="5"/>
    <x v="10"/>
    <n v="3017"/>
    <x v="46"/>
    <n v="4036"/>
    <x v="12"/>
    <s v="G 06"/>
    <n v="4"/>
    <n v="192"/>
    <x v="272"/>
    <s v="Annual"/>
    <n v="2"/>
    <n v="1"/>
    <n v="118836"/>
    <n v="237672"/>
  </r>
  <r>
    <x v="0"/>
    <n v="27"/>
    <x v="7"/>
    <x v="0"/>
    <x v="0"/>
    <n v="1005"/>
    <x v="8"/>
    <x v="5"/>
    <x v="10"/>
    <n v="3017"/>
    <x v="46"/>
    <n v="4036"/>
    <x v="12"/>
    <s v="G 06"/>
    <n v="4"/>
    <n v="192"/>
    <x v="272"/>
    <s v="Annual"/>
    <n v="1"/>
    <n v="1"/>
    <n v="92940"/>
    <n v="92940"/>
  </r>
  <r>
    <x v="0"/>
    <n v="27"/>
    <x v="7"/>
    <x v="0"/>
    <x v="0"/>
    <n v="1005"/>
    <x v="8"/>
    <x v="5"/>
    <x v="10"/>
    <n v="3017"/>
    <x v="46"/>
    <n v="4036"/>
    <x v="12"/>
    <s v="B 17"/>
    <n v="1"/>
    <n v="121"/>
    <x v="273"/>
    <s v="Annual"/>
    <n v="1"/>
    <n v="1"/>
    <n v="172584"/>
    <n v="172584"/>
  </r>
  <r>
    <x v="0"/>
    <n v="27"/>
    <x v="7"/>
    <x v="0"/>
    <x v="0"/>
    <n v="1005"/>
    <x v="8"/>
    <x v="5"/>
    <x v="10"/>
    <n v="3017"/>
    <x v="46"/>
    <n v="4036"/>
    <x v="12"/>
    <s v="B 17"/>
    <n v="1"/>
    <n v="121"/>
    <x v="273"/>
    <s v="Annual"/>
    <n v="1"/>
    <n v="1"/>
    <n v="112536"/>
    <n v="112536"/>
  </r>
  <r>
    <x v="0"/>
    <n v="27"/>
    <x v="7"/>
    <x v="0"/>
    <x v="0"/>
    <n v="1005"/>
    <x v="8"/>
    <x v="5"/>
    <x v="10"/>
    <n v="3017"/>
    <x v="46"/>
    <n v="4036"/>
    <x v="12"/>
    <s v="B 17"/>
    <n v="1"/>
    <n v="121"/>
    <x v="273"/>
    <s v="Annual"/>
    <n v="1"/>
    <n v="1"/>
    <n v="99480"/>
    <n v="99480"/>
  </r>
  <r>
    <x v="0"/>
    <n v="27"/>
    <x v="7"/>
    <x v="0"/>
    <x v="0"/>
    <n v="1005"/>
    <x v="8"/>
    <x v="5"/>
    <x v="10"/>
    <n v="3017"/>
    <x v="46"/>
    <n v="4036"/>
    <x v="12"/>
    <s v="B 14"/>
    <n v="1"/>
    <n v="114"/>
    <x v="274"/>
    <s v="Annual"/>
    <n v="1"/>
    <n v="1"/>
    <n v="113628"/>
    <n v="113628"/>
  </r>
  <r>
    <x v="0"/>
    <n v="27"/>
    <x v="7"/>
    <x v="0"/>
    <x v="0"/>
    <n v="1005"/>
    <x v="8"/>
    <x v="5"/>
    <x v="10"/>
    <n v="3017"/>
    <x v="46"/>
    <n v="4036"/>
    <x v="12"/>
    <s v="B 14"/>
    <n v="1"/>
    <n v="114"/>
    <x v="274"/>
    <s v="Annual"/>
    <n v="1"/>
    <n v="1"/>
    <n v="75336"/>
    <n v="75336"/>
  </r>
  <r>
    <x v="0"/>
    <n v="27"/>
    <x v="7"/>
    <x v="0"/>
    <x v="0"/>
    <n v="1005"/>
    <x v="8"/>
    <x v="5"/>
    <x v="10"/>
    <n v="3017"/>
    <x v="46"/>
    <n v="4036"/>
    <x v="12"/>
    <s v="1 00"/>
    <n v="0"/>
    <n v="15"/>
    <x v="37"/>
    <s v="Annual"/>
    <n v="0"/>
    <n v="0"/>
    <n v="11107"/>
    <n v="11107"/>
  </r>
  <r>
    <x v="0"/>
    <n v="27"/>
    <x v="7"/>
    <x v="0"/>
    <x v="0"/>
    <n v="1005"/>
    <x v="8"/>
    <x v="6"/>
    <x v="11"/>
    <n v="3100"/>
    <x v="22"/>
    <n v="0"/>
    <x v="0"/>
    <s v="X 31"/>
    <n v="9"/>
    <n v="9814"/>
    <x v="275"/>
    <s v="Annual"/>
    <n v="1"/>
    <n v="1"/>
    <n v="188400"/>
    <n v="188400"/>
  </r>
  <r>
    <x v="0"/>
    <n v="27"/>
    <x v="7"/>
    <x v="0"/>
    <x v="0"/>
    <n v="1005"/>
    <x v="8"/>
    <x v="6"/>
    <x v="11"/>
    <n v="3100"/>
    <x v="22"/>
    <n v="0"/>
    <x v="0"/>
    <s v="BX 15"/>
    <n v="10"/>
    <n v="362"/>
    <x v="276"/>
    <s v="Annual"/>
    <n v="1"/>
    <n v="1"/>
    <n v="103488"/>
    <n v="103488"/>
  </r>
  <r>
    <x v="0"/>
    <n v="27"/>
    <x v="7"/>
    <x v="0"/>
    <x v="0"/>
    <n v="1005"/>
    <x v="8"/>
    <x v="6"/>
    <x v="11"/>
    <n v="3100"/>
    <x v="22"/>
    <n v="0"/>
    <x v="0"/>
    <s v="1 00"/>
    <n v="0"/>
    <n v="15"/>
    <x v="37"/>
    <s v="Annual"/>
    <n v="0"/>
    <n v="0"/>
    <n v="6140"/>
    <n v="6140"/>
  </r>
  <r>
    <x v="0"/>
    <n v="27"/>
    <x v="7"/>
    <x v="0"/>
    <x v="0"/>
    <n v="1005"/>
    <x v="8"/>
    <x v="6"/>
    <x v="11"/>
    <n v="3154"/>
    <x v="47"/>
    <n v="4641"/>
    <x v="13"/>
    <s v="X 32"/>
    <n v="9"/>
    <n v="9684"/>
    <x v="76"/>
    <s v="Annual"/>
    <n v="1"/>
    <n v="1"/>
    <n v="139140"/>
    <n v="139140"/>
  </r>
  <r>
    <x v="0"/>
    <n v="27"/>
    <x v="7"/>
    <x v="0"/>
    <x v="0"/>
    <n v="1005"/>
    <x v="8"/>
    <x v="6"/>
    <x v="11"/>
    <n v="3154"/>
    <x v="47"/>
    <n v="4641"/>
    <x v="13"/>
    <s v="B 12"/>
    <n v="1"/>
    <s v="03A8"/>
    <x v="88"/>
    <s v="Annual"/>
    <n v="3"/>
    <n v="1"/>
    <n v="108576"/>
    <n v="325728"/>
  </r>
  <r>
    <x v="0"/>
    <n v="27"/>
    <x v="7"/>
    <x v="0"/>
    <x v="0"/>
    <n v="1005"/>
    <x v="8"/>
    <x v="6"/>
    <x v="11"/>
    <n v="3154"/>
    <x v="47"/>
    <n v="4641"/>
    <x v="13"/>
    <s v="B 12"/>
    <n v="1"/>
    <s v="03A8"/>
    <x v="88"/>
    <s v="Annual"/>
    <n v="1"/>
    <n v="1"/>
    <n v="82140"/>
    <n v="82140"/>
  </r>
  <r>
    <x v="0"/>
    <n v="27"/>
    <x v="7"/>
    <x v="0"/>
    <x v="0"/>
    <n v="1005"/>
    <x v="8"/>
    <x v="6"/>
    <x v="11"/>
    <n v="3154"/>
    <x v="47"/>
    <n v="4641"/>
    <x v="13"/>
    <s v="B 12"/>
    <n v="1"/>
    <s v="03A8"/>
    <x v="88"/>
    <s v="Annual"/>
    <n v="1"/>
    <n v="1"/>
    <n v="67608"/>
    <n v="67608"/>
  </r>
  <r>
    <x v="0"/>
    <n v="27"/>
    <x v="7"/>
    <x v="0"/>
    <x v="0"/>
    <n v="1005"/>
    <x v="8"/>
    <x v="6"/>
    <x v="11"/>
    <n v="3154"/>
    <x v="47"/>
    <n v="4641"/>
    <x v="13"/>
    <s v="B 12"/>
    <n v="1"/>
    <s v="03A8"/>
    <x v="88"/>
    <s v="Annual"/>
    <n v="1"/>
    <n v="1"/>
    <n v="62544"/>
    <n v="62544"/>
  </r>
  <r>
    <x v="0"/>
    <n v="27"/>
    <x v="7"/>
    <x v="0"/>
    <x v="0"/>
    <n v="1005"/>
    <x v="8"/>
    <x v="6"/>
    <x v="11"/>
    <n v="3154"/>
    <x v="47"/>
    <n v="4641"/>
    <x v="13"/>
    <s v="X 33"/>
    <n v="0"/>
    <n v="306"/>
    <x v="237"/>
    <s v="Annual"/>
    <n v="2"/>
    <n v="1"/>
    <n v="146808"/>
    <n v="293616"/>
  </r>
  <r>
    <x v="0"/>
    <n v="27"/>
    <x v="7"/>
    <x v="0"/>
    <x v="0"/>
    <n v="1005"/>
    <x v="8"/>
    <x v="6"/>
    <x v="11"/>
    <n v="3154"/>
    <x v="47"/>
    <n v="4641"/>
    <x v="13"/>
    <s v="BX 15"/>
    <n v="10"/>
    <n v="248"/>
    <x v="277"/>
    <s v="Annual"/>
    <n v="3"/>
    <n v="1"/>
    <n v="113568"/>
    <n v="340704"/>
  </r>
  <r>
    <x v="0"/>
    <n v="27"/>
    <x v="7"/>
    <x v="0"/>
    <x v="0"/>
    <n v="1005"/>
    <x v="8"/>
    <x v="6"/>
    <x v="11"/>
    <n v="3154"/>
    <x v="47"/>
    <n v="4641"/>
    <x v="13"/>
    <s v="BX 15"/>
    <n v="10"/>
    <n v="248"/>
    <x v="277"/>
    <s v="Annual"/>
    <n v="1"/>
    <n v="1"/>
    <n v="85980"/>
    <n v="85980"/>
  </r>
  <r>
    <x v="0"/>
    <n v="27"/>
    <x v="7"/>
    <x v="0"/>
    <x v="0"/>
    <n v="1005"/>
    <x v="8"/>
    <x v="6"/>
    <x v="11"/>
    <n v="3154"/>
    <x v="47"/>
    <n v="4641"/>
    <x v="13"/>
    <s v="BX 15"/>
    <n v="10"/>
    <n v="248"/>
    <x v="277"/>
    <s v="Annual"/>
    <n v="1"/>
    <n v="1"/>
    <n v="80124"/>
    <n v="80124"/>
  </r>
  <r>
    <x v="0"/>
    <n v="27"/>
    <x v="7"/>
    <x v="0"/>
    <x v="0"/>
    <n v="1005"/>
    <x v="8"/>
    <x v="6"/>
    <x v="11"/>
    <n v="3154"/>
    <x v="47"/>
    <n v="4641"/>
    <x v="13"/>
    <s v="BX 16"/>
    <n v="10"/>
    <n v="237"/>
    <x v="278"/>
    <s v="Annual"/>
    <n v="1"/>
    <n v="1"/>
    <n v="85128"/>
    <n v="85128"/>
  </r>
  <r>
    <x v="0"/>
    <n v="27"/>
    <x v="7"/>
    <x v="0"/>
    <x v="0"/>
    <n v="1005"/>
    <x v="8"/>
    <x v="6"/>
    <x v="11"/>
    <n v="3154"/>
    <x v="47"/>
    <n v="4641"/>
    <x v="13"/>
    <s v="B 10"/>
    <n v="1"/>
    <n v="235"/>
    <x v="279"/>
    <s v="Annual"/>
    <n v="4"/>
    <n v="1"/>
    <n v="90144"/>
    <n v="360576"/>
  </r>
  <r>
    <x v="0"/>
    <n v="27"/>
    <x v="7"/>
    <x v="0"/>
    <x v="0"/>
    <n v="1005"/>
    <x v="8"/>
    <x v="6"/>
    <x v="11"/>
    <n v="3154"/>
    <x v="47"/>
    <n v="4641"/>
    <x v="13"/>
    <s v="B 10"/>
    <n v="1"/>
    <n v="235"/>
    <x v="279"/>
    <s v="Annual"/>
    <n v="1"/>
    <n v="1"/>
    <n v="64488"/>
    <n v="64488"/>
  </r>
  <r>
    <x v="0"/>
    <n v="27"/>
    <x v="7"/>
    <x v="0"/>
    <x v="0"/>
    <n v="1005"/>
    <x v="8"/>
    <x v="6"/>
    <x v="11"/>
    <n v="3154"/>
    <x v="47"/>
    <n v="4641"/>
    <x v="13"/>
    <s v="B 10"/>
    <n v="1"/>
    <n v="235"/>
    <x v="279"/>
    <s v="Annual"/>
    <n v="1"/>
    <n v="1"/>
    <n v="61548"/>
    <n v="61548"/>
  </r>
  <r>
    <x v="0"/>
    <n v="27"/>
    <x v="7"/>
    <x v="0"/>
    <x v="0"/>
    <n v="1005"/>
    <x v="8"/>
    <x v="6"/>
    <x v="11"/>
    <n v="3154"/>
    <x v="47"/>
    <n v="4641"/>
    <x v="13"/>
    <s v="B 10"/>
    <n v="1"/>
    <n v="235"/>
    <x v="279"/>
    <s v="Annual"/>
    <n v="3"/>
    <n v="1"/>
    <n v="58764"/>
    <n v="176292"/>
  </r>
  <r>
    <x v="0"/>
    <n v="27"/>
    <x v="7"/>
    <x v="0"/>
    <x v="0"/>
    <n v="1005"/>
    <x v="8"/>
    <x v="6"/>
    <x v="11"/>
    <n v="3154"/>
    <x v="47"/>
    <n v="4641"/>
    <x v="13"/>
    <s v="B 10"/>
    <n v="1"/>
    <n v="235"/>
    <x v="279"/>
    <s v="Annual"/>
    <n v="3"/>
    <n v="1"/>
    <n v="56124"/>
    <n v="168372"/>
  </r>
  <r>
    <x v="0"/>
    <n v="27"/>
    <x v="7"/>
    <x v="0"/>
    <x v="0"/>
    <n v="1005"/>
    <x v="8"/>
    <x v="6"/>
    <x v="11"/>
    <n v="3154"/>
    <x v="47"/>
    <n v="4641"/>
    <x v="13"/>
    <s v="B 10"/>
    <n v="1"/>
    <n v="235"/>
    <x v="279"/>
    <s v="Annual"/>
    <n v="8"/>
    <n v="1"/>
    <n v="51936"/>
    <n v="415488"/>
  </r>
  <r>
    <x v="0"/>
    <n v="27"/>
    <x v="7"/>
    <x v="0"/>
    <x v="0"/>
    <n v="1005"/>
    <x v="8"/>
    <x v="6"/>
    <x v="11"/>
    <n v="3154"/>
    <x v="47"/>
    <n v="4641"/>
    <x v="13"/>
    <s v="1 00"/>
    <n v="0"/>
    <n v="15"/>
    <x v="37"/>
    <s v="Annual"/>
    <n v="0"/>
    <n v="0"/>
    <n v="34090"/>
    <n v="34090"/>
  </r>
  <r>
    <x v="0"/>
    <n v="27"/>
    <x v="7"/>
    <x v="0"/>
    <x v="0"/>
    <n v="1005"/>
    <x v="8"/>
    <x v="6"/>
    <x v="11"/>
    <n v="3154"/>
    <x v="47"/>
    <n v="4642"/>
    <x v="14"/>
    <s v="GY 11"/>
    <n v="20"/>
    <n v="187"/>
    <x v="250"/>
    <s v="Annual"/>
    <n v="1"/>
    <n v="1"/>
    <n v="121320"/>
    <n v="121320"/>
  </r>
  <r>
    <x v="0"/>
    <n v="27"/>
    <x v="7"/>
    <x v="0"/>
    <x v="0"/>
    <n v="1005"/>
    <x v="8"/>
    <x v="6"/>
    <x v="11"/>
    <n v="3154"/>
    <x v="47"/>
    <n v="4642"/>
    <x v="14"/>
    <s v="GY 10"/>
    <n v="20"/>
    <n v="120"/>
    <x v="251"/>
    <s v="Annual"/>
    <n v="1"/>
    <n v="1"/>
    <n v="130476"/>
    <n v="130476"/>
  </r>
  <r>
    <x v="0"/>
    <n v="27"/>
    <x v="7"/>
    <x v="0"/>
    <x v="0"/>
    <n v="1005"/>
    <x v="8"/>
    <x v="6"/>
    <x v="11"/>
    <n v="3154"/>
    <x v="47"/>
    <n v="4642"/>
    <x v="14"/>
    <s v="G 07"/>
    <n v="4"/>
    <n v="111"/>
    <x v="245"/>
    <s v="Annual"/>
    <n v="1"/>
    <n v="1"/>
    <n v="117636"/>
    <n v="117636"/>
  </r>
  <r>
    <x v="0"/>
    <n v="27"/>
    <x v="7"/>
    <x v="0"/>
    <x v="0"/>
    <n v="1005"/>
    <x v="8"/>
    <x v="6"/>
    <x v="11"/>
    <n v="3154"/>
    <x v="47"/>
    <n v="4642"/>
    <x v="14"/>
    <s v="B 13"/>
    <n v="4"/>
    <n v="110"/>
    <x v="93"/>
    <s v="Annual"/>
    <n v="1"/>
    <n v="1"/>
    <n v="81324"/>
    <n v="81324"/>
  </r>
  <r>
    <x v="0"/>
    <n v="27"/>
    <x v="7"/>
    <x v="0"/>
    <x v="0"/>
    <n v="1005"/>
    <x v="8"/>
    <x v="6"/>
    <x v="11"/>
    <n v="3154"/>
    <x v="47"/>
    <n v="4642"/>
    <x v="14"/>
    <s v="B 13"/>
    <n v="4"/>
    <n v="110"/>
    <x v="93"/>
    <s v="Annual"/>
    <n v="1"/>
    <n v="1"/>
    <n v="77640"/>
    <n v="77640"/>
  </r>
  <r>
    <x v="0"/>
    <n v="27"/>
    <x v="7"/>
    <x v="0"/>
    <x v="0"/>
    <n v="1005"/>
    <x v="8"/>
    <x v="6"/>
    <x v="11"/>
    <n v="3154"/>
    <x v="47"/>
    <n v="4642"/>
    <x v="14"/>
    <s v="B 11"/>
    <n v="1"/>
    <n v="109"/>
    <x v="94"/>
    <s v="Annual"/>
    <n v="1"/>
    <n v="1"/>
    <n v="67608"/>
    <n v="67608"/>
  </r>
  <r>
    <x v="0"/>
    <n v="27"/>
    <x v="7"/>
    <x v="0"/>
    <x v="0"/>
    <n v="1005"/>
    <x v="8"/>
    <x v="6"/>
    <x v="11"/>
    <n v="3154"/>
    <x v="47"/>
    <n v="4642"/>
    <x v="14"/>
    <s v="1 00"/>
    <n v="0"/>
    <n v="15"/>
    <x v="37"/>
    <s v="Annual"/>
    <n v="0"/>
    <n v="0"/>
    <n v="6167"/>
    <n v="6167"/>
  </r>
  <r>
    <x v="0"/>
    <n v="27"/>
    <x v="7"/>
    <x v="0"/>
    <x v="0"/>
    <n v="1005"/>
    <x v="8"/>
    <x v="6"/>
    <x v="11"/>
    <n v="3156"/>
    <x v="48"/>
    <n v="4666"/>
    <x v="15"/>
    <s v="G 05"/>
    <n v="4"/>
    <n v="191"/>
    <x v="280"/>
    <s v="Annual"/>
    <n v="1"/>
    <n v="1"/>
    <n v="108708"/>
    <n v="108708"/>
  </r>
  <r>
    <x v="0"/>
    <n v="27"/>
    <x v="7"/>
    <x v="0"/>
    <x v="0"/>
    <n v="1005"/>
    <x v="8"/>
    <x v="6"/>
    <x v="11"/>
    <n v="3156"/>
    <x v="48"/>
    <n v="4666"/>
    <x v="15"/>
    <s v="GY 11"/>
    <n v="20"/>
    <n v="149"/>
    <x v="281"/>
    <s v="Annual"/>
    <n v="1"/>
    <n v="1"/>
    <n v="115992"/>
    <n v="115992"/>
  </r>
  <r>
    <x v="0"/>
    <n v="27"/>
    <x v="7"/>
    <x v="0"/>
    <x v="0"/>
    <n v="1005"/>
    <x v="8"/>
    <x v="6"/>
    <x v="11"/>
    <n v="3156"/>
    <x v="48"/>
    <n v="4666"/>
    <x v="15"/>
    <s v="B 11"/>
    <n v="1"/>
    <n v="109"/>
    <x v="94"/>
    <s v="Annual"/>
    <n v="2"/>
    <n v="1"/>
    <n v="98928"/>
    <n v="197856"/>
  </r>
  <r>
    <x v="0"/>
    <n v="27"/>
    <x v="7"/>
    <x v="0"/>
    <x v="0"/>
    <n v="1005"/>
    <x v="8"/>
    <x v="6"/>
    <x v="11"/>
    <n v="3156"/>
    <x v="48"/>
    <n v="4666"/>
    <x v="15"/>
    <s v="B 11"/>
    <n v="1"/>
    <n v="109"/>
    <x v="94"/>
    <s v="Annual"/>
    <n v="1"/>
    <n v="1"/>
    <n v="94452"/>
    <n v="94452"/>
  </r>
  <r>
    <x v="0"/>
    <n v="27"/>
    <x v="7"/>
    <x v="0"/>
    <x v="0"/>
    <n v="1005"/>
    <x v="8"/>
    <x v="6"/>
    <x v="11"/>
    <n v="3156"/>
    <x v="48"/>
    <n v="4666"/>
    <x v="15"/>
    <s v="B 11"/>
    <n v="1"/>
    <n v="109"/>
    <x v="94"/>
    <s v="Annual"/>
    <n v="1"/>
    <n v="1"/>
    <n v="86112"/>
    <n v="86112"/>
  </r>
  <r>
    <x v="0"/>
    <n v="27"/>
    <x v="7"/>
    <x v="0"/>
    <x v="0"/>
    <n v="1005"/>
    <x v="8"/>
    <x v="6"/>
    <x v="11"/>
    <n v="3156"/>
    <x v="48"/>
    <n v="4666"/>
    <x v="15"/>
    <s v="B 11"/>
    <n v="1"/>
    <n v="109"/>
    <x v="94"/>
    <s v="Annual"/>
    <n v="1"/>
    <n v="1"/>
    <n v="64488"/>
    <n v="64488"/>
  </r>
  <r>
    <x v="0"/>
    <n v="27"/>
    <x v="7"/>
    <x v="0"/>
    <x v="0"/>
    <n v="1005"/>
    <x v="8"/>
    <x v="6"/>
    <x v="11"/>
    <n v="3156"/>
    <x v="48"/>
    <n v="4666"/>
    <x v="15"/>
    <s v="B 11"/>
    <n v="1"/>
    <n v="109"/>
    <x v="94"/>
    <s v="Annual"/>
    <n v="2"/>
    <n v="1"/>
    <n v="57000"/>
    <n v="114000"/>
  </r>
  <r>
    <x v="0"/>
    <n v="27"/>
    <x v="7"/>
    <x v="0"/>
    <x v="0"/>
    <n v="1005"/>
    <x v="8"/>
    <x v="6"/>
    <x v="11"/>
    <n v="3156"/>
    <x v="48"/>
    <n v="4666"/>
    <x v="15"/>
    <s v="1 00"/>
    <n v="0"/>
    <n v="15"/>
    <x v="37"/>
    <s v="Annual"/>
    <n v="0"/>
    <n v="0"/>
    <n v="3511"/>
    <n v="3511"/>
  </r>
  <r>
    <x v="0"/>
    <n v="27"/>
    <x v="7"/>
    <x v="0"/>
    <x v="0"/>
    <n v="1005"/>
    <x v="8"/>
    <x v="6"/>
    <x v="11"/>
    <n v="3156"/>
    <x v="48"/>
    <n v="4667"/>
    <x v="16"/>
    <s v="X 32"/>
    <n v="9"/>
    <n v="9684"/>
    <x v="76"/>
    <s v="Annual"/>
    <n v="1"/>
    <n v="1"/>
    <n v="175512"/>
    <n v="175512"/>
  </r>
  <r>
    <x v="0"/>
    <n v="27"/>
    <x v="7"/>
    <x v="0"/>
    <x v="0"/>
    <n v="1005"/>
    <x v="8"/>
    <x v="6"/>
    <x v="11"/>
    <n v="3156"/>
    <x v="48"/>
    <n v="4667"/>
    <x v="16"/>
    <s v="G 09"/>
    <n v="4"/>
    <n v="194"/>
    <x v="282"/>
    <s v="Annual"/>
    <n v="2"/>
    <n v="1"/>
    <n v="154764"/>
    <n v="309528"/>
  </r>
  <r>
    <x v="0"/>
    <n v="27"/>
    <x v="7"/>
    <x v="0"/>
    <x v="0"/>
    <n v="1005"/>
    <x v="8"/>
    <x v="6"/>
    <x v="11"/>
    <n v="3156"/>
    <x v="48"/>
    <n v="4667"/>
    <x v="16"/>
    <s v="G 09"/>
    <n v="4"/>
    <n v="194"/>
    <x v="282"/>
    <s v="Annual"/>
    <n v="1"/>
    <n v="1"/>
    <n v="146448"/>
    <n v="146448"/>
  </r>
  <r>
    <x v="0"/>
    <n v="27"/>
    <x v="7"/>
    <x v="0"/>
    <x v="0"/>
    <n v="1005"/>
    <x v="8"/>
    <x v="6"/>
    <x v="11"/>
    <n v="3156"/>
    <x v="48"/>
    <n v="4667"/>
    <x v="16"/>
    <s v="G 07"/>
    <n v="4"/>
    <n v="193"/>
    <x v="244"/>
    <s v="Annual"/>
    <n v="1"/>
    <n v="1"/>
    <n v="129636"/>
    <n v="129636"/>
  </r>
  <r>
    <x v="0"/>
    <n v="27"/>
    <x v="7"/>
    <x v="0"/>
    <x v="0"/>
    <n v="1005"/>
    <x v="8"/>
    <x v="6"/>
    <x v="11"/>
    <n v="3156"/>
    <x v="48"/>
    <n v="4667"/>
    <x v="16"/>
    <s v="G 07"/>
    <n v="4"/>
    <n v="193"/>
    <x v="244"/>
    <s v="Annual"/>
    <n v="2"/>
    <n v="1"/>
    <n v="117636"/>
    <n v="235272"/>
  </r>
  <r>
    <x v="0"/>
    <n v="27"/>
    <x v="7"/>
    <x v="0"/>
    <x v="0"/>
    <n v="1005"/>
    <x v="8"/>
    <x v="6"/>
    <x v="11"/>
    <n v="3156"/>
    <x v="48"/>
    <n v="4667"/>
    <x v="16"/>
    <s v="G 07"/>
    <n v="4"/>
    <n v="193"/>
    <x v="244"/>
    <s v="Annual"/>
    <n v="3"/>
    <n v="1"/>
    <n v="107628"/>
    <n v="322884"/>
  </r>
  <r>
    <x v="0"/>
    <n v="27"/>
    <x v="7"/>
    <x v="0"/>
    <x v="0"/>
    <n v="1005"/>
    <x v="8"/>
    <x v="6"/>
    <x v="11"/>
    <n v="3156"/>
    <x v="48"/>
    <n v="4667"/>
    <x v="16"/>
    <s v="G 07"/>
    <n v="4"/>
    <n v="193"/>
    <x v="244"/>
    <s v="Annual"/>
    <n v="1"/>
    <n v="1"/>
    <n v="102516"/>
    <n v="102516"/>
  </r>
  <r>
    <x v="0"/>
    <n v="27"/>
    <x v="7"/>
    <x v="0"/>
    <x v="0"/>
    <n v="1005"/>
    <x v="8"/>
    <x v="6"/>
    <x v="11"/>
    <n v="3156"/>
    <x v="48"/>
    <n v="4667"/>
    <x v="16"/>
    <s v="G 07"/>
    <n v="4"/>
    <n v="193"/>
    <x v="244"/>
    <s v="Annual"/>
    <n v="2"/>
    <n v="1"/>
    <n v="90144"/>
    <n v="180288"/>
  </r>
  <r>
    <x v="0"/>
    <n v="27"/>
    <x v="7"/>
    <x v="0"/>
    <x v="0"/>
    <n v="1005"/>
    <x v="8"/>
    <x v="6"/>
    <x v="11"/>
    <n v="3156"/>
    <x v="48"/>
    <n v="4667"/>
    <x v="16"/>
    <s v="G 06"/>
    <n v="4"/>
    <n v="192"/>
    <x v="272"/>
    <s v="Annual"/>
    <n v="4"/>
    <n v="1"/>
    <n v="118836"/>
    <n v="475344"/>
  </r>
  <r>
    <x v="0"/>
    <n v="27"/>
    <x v="7"/>
    <x v="0"/>
    <x v="0"/>
    <n v="1005"/>
    <x v="8"/>
    <x v="6"/>
    <x v="11"/>
    <n v="3156"/>
    <x v="48"/>
    <n v="4667"/>
    <x v="16"/>
    <s v="G 06"/>
    <n v="4"/>
    <n v="192"/>
    <x v="272"/>
    <s v="Annual"/>
    <n v="1"/>
    <n v="1"/>
    <n v="107628"/>
    <n v="107628"/>
  </r>
  <r>
    <x v="0"/>
    <n v="27"/>
    <x v="7"/>
    <x v="0"/>
    <x v="0"/>
    <n v="1005"/>
    <x v="8"/>
    <x v="6"/>
    <x v="11"/>
    <n v="3156"/>
    <x v="48"/>
    <n v="4667"/>
    <x v="16"/>
    <s v="G 06"/>
    <n v="4"/>
    <n v="192"/>
    <x v="272"/>
    <s v="Annual"/>
    <n v="2"/>
    <n v="1"/>
    <n v="97488"/>
    <n v="194976"/>
  </r>
  <r>
    <x v="0"/>
    <n v="27"/>
    <x v="7"/>
    <x v="0"/>
    <x v="0"/>
    <n v="1005"/>
    <x v="8"/>
    <x v="6"/>
    <x v="11"/>
    <n v="3156"/>
    <x v="48"/>
    <n v="4667"/>
    <x v="16"/>
    <s v="G 06"/>
    <n v="4"/>
    <n v="192"/>
    <x v="272"/>
    <s v="Annual"/>
    <n v="7"/>
    <n v="1"/>
    <n v="81636"/>
    <n v="571452"/>
  </r>
  <r>
    <x v="0"/>
    <n v="27"/>
    <x v="7"/>
    <x v="0"/>
    <x v="0"/>
    <n v="1005"/>
    <x v="8"/>
    <x v="6"/>
    <x v="11"/>
    <n v="3156"/>
    <x v="48"/>
    <n v="4667"/>
    <x v="16"/>
    <s v="G 05"/>
    <n v="4"/>
    <n v="191"/>
    <x v="280"/>
    <s v="Annual"/>
    <n v="1"/>
    <n v="1"/>
    <n v="108708"/>
    <n v="108708"/>
  </r>
  <r>
    <x v="0"/>
    <n v="27"/>
    <x v="7"/>
    <x v="0"/>
    <x v="0"/>
    <n v="1005"/>
    <x v="8"/>
    <x v="6"/>
    <x v="11"/>
    <n v="3156"/>
    <x v="48"/>
    <n v="4667"/>
    <x v="16"/>
    <s v="G 05"/>
    <n v="4"/>
    <n v="191"/>
    <x v="280"/>
    <s v="Annual"/>
    <n v="5"/>
    <n v="1"/>
    <n v="76464"/>
    <n v="382320"/>
  </r>
  <r>
    <x v="0"/>
    <n v="27"/>
    <x v="7"/>
    <x v="0"/>
    <x v="0"/>
    <n v="1005"/>
    <x v="8"/>
    <x v="6"/>
    <x v="11"/>
    <n v="3156"/>
    <x v="48"/>
    <n v="4667"/>
    <x v="16"/>
    <s v="G 05"/>
    <n v="4"/>
    <n v="191"/>
    <x v="280"/>
    <s v="Annual"/>
    <n v="5"/>
    <n v="1"/>
    <n v="74160"/>
    <n v="370800"/>
  </r>
  <r>
    <x v="0"/>
    <n v="27"/>
    <x v="7"/>
    <x v="0"/>
    <x v="0"/>
    <n v="1005"/>
    <x v="8"/>
    <x v="6"/>
    <x v="11"/>
    <n v="3156"/>
    <x v="48"/>
    <n v="4667"/>
    <x v="16"/>
    <s v="X 33"/>
    <n v="20"/>
    <n v="150"/>
    <x v="283"/>
    <s v="Annual"/>
    <n v="3"/>
    <n v="1"/>
    <n v="158508"/>
    <n v="475524"/>
  </r>
  <r>
    <x v="0"/>
    <n v="27"/>
    <x v="7"/>
    <x v="0"/>
    <x v="0"/>
    <n v="1005"/>
    <x v="8"/>
    <x v="6"/>
    <x v="11"/>
    <n v="3156"/>
    <x v="48"/>
    <n v="4667"/>
    <x v="16"/>
    <s v="GY 11"/>
    <n v="20"/>
    <n v="149"/>
    <x v="281"/>
    <s v="Annual"/>
    <n v="6"/>
    <n v="1"/>
    <n v="141132"/>
    <n v="846792"/>
  </r>
  <r>
    <x v="0"/>
    <n v="27"/>
    <x v="7"/>
    <x v="0"/>
    <x v="0"/>
    <n v="1005"/>
    <x v="8"/>
    <x v="6"/>
    <x v="11"/>
    <n v="3156"/>
    <x v="48"/>
    <n v="4667"/>
    <x v="16"/>
    <s v="GY 11"/>
    <n v="20"/>
    <n v="149"/>
    <x v="281"/>
    <s v="Annual"/>
    <n v="1"/>
    <n v="1"/>
    <n v="111000"/>
    <n v="111000"/>
  </r>
  <r>
    <x v="0"/>
    <n v="27"/>
    <x v="7"/>
    <x v="0"/>
    <x v="0"/>
    <n v="1005"/>
    <x v="8"/>
    <x v="6"/>
    <x v="11"/>
    <n v="3156"/>
    <x v="48"/>
    <n v="4667"/>
    <x v="16"/>
    <s v="1 00"/>
    <n v="0"/>
    <n v="15"/>
    <x v="37"/>
    <s v="Annual"/>
    <n v="0"/>
    <n v="0"/>
    <n v="38978"/>
    <n v="38978"/>
  </r>
  <r>
    <x v="0"/>
    <n v="27"/>
    <x v="7"/>
    <x v="0"/>
    <x v="0"/>
    <n v="1005"/>
    <x v="8"/>
    <x v="6"/>
    <x v="11"/>
    <n v="3157"/>
    <x v="49"/>
    <n v="4674"/>
    <x v="17"/>
    <s v="I 10"/>
    <n v="2"/>
    <n v="7482"/>
    <x v="284"/>
    <s v="Annual"/>
    <n v="8"/>
    <n v="1"/>
    <n v="82812"/>
    <n v="662496"/>
  </r>
  <r>
    <x v="0"/>
    <n v="27"/>
    <x v="7"/>
    <x v="0"/>
    <x v="0"/>
    <n v="1005"/>
    <x v="8"/>
    <x v="6"/>
    <x v="11"/>
    <n v="3157"/>
    <x v="49"/>
    <n v="4674"/>
    <x v="17"/>
    <s v="I 10"/>
    <n v="2"/>
    <n v="7482"/>
    <x v="284"/>
    <s v="Annual"/>
    <n v="6"/>
    <n v="1"/>
    <n v="79056"/>
    <n v="474336"/>
  </r>
  <r>
    <x v="0"/>
    <n v="27"/>
    <x v="7"/>
    <x v="0"/>
    <x v="0"/>
    <n v="1005"/>
    <x v="8"/>
    <x v="6"/>
    <x v="11"/>
    <n v="3157"/>
    <x v="49"/>
    <n v="4674"/>
    <x v="17"/>
    <s v="I 10"/>
    <n v="2"/>
    <n v="7482"/>
    <x v="284"/>
    <s v="Annual"/>
    <n v="3"/>
    <n v="1"/>
    <n v="75444"/>
    <n v="226332"/>
  </r>
  <r>
    <x v="0"/>
    <n v="27"/>
    <x v="7"/>
    <x v="0"/>
    <x v="0"/>
    <n v="1005"/>
    <x v="8"/>
    <x v="6"/>
    <x v="11"/>
    <n v="3157"/>
    <x v="49"/>
    <n v="4674"/>
    <x v="17"/>
    <s v="I 10"/>
    <n v="2"/>
    <n v="7482"/>
    <x v="284"/>
    <s v="Annual"/>
    <n v="3"/>
    <n v="1"/>
    <n v="72036"/>
    <n v="216108"/>
  </r>
  <r>
    <x v="0"/>
    <n v="27"/>
    <x v="7"/>
    <x v="0"/>
    <x v="0"/>
    <n v="1005"/>
    <x v="8"/>
    <x v="6"/>
    <x v="11"/>
    <n v="3157"/>
    <x v="49"/>
    <n v="4674"/>
    <x v="17"/>
    <s v="I 10"/>
    <n v="2"/>
    <n v="7482"/>
    <x v="284"/>
    <s v="Annual"/>
    <n v="2"/>
    <n v="1"/>
    <n v="68796"/>
    <n v="137592"/>
  </r>
  <r>
    <x v="0"/>
    <n v="27"/>
    <x v="7"/>
    <x v="0"/>
    <x v="0"/>
    <n v="1005"/>
    <x v="8"/>
    <x v="6"/>
    <x v="11"/>
    <n v="3157"/>
    <x v="49"/>
    <n v="4674"/>
    <x v="17"/>
    <s v="I 10"/>
    <n v="2"/>
    <n v="7482"/>
    <x v="284"/>
    <s v="Annual"/>
    <n v="3"/>
    <n v="1"/>
    <n v="65640"/>
    <n v="196920"/>
  </r>
  <r>
    <x v="0"/>
    <n v="27"/>
    <x v="7"/>
    <x v="0"/>
    <x v="0"/>
    <n v="1005"/>
    <x v="8"/>
    <x v="6"/>
    <x v="11"/>
    <n v="3157"/>
    <x v="49"/>
    <n v="4674"/>
    <x v="17"/>
    <s v="I 10"/>
    <n v="2"/>
    <n v="7482"/>
    <x v="284"/>
    <s v="Annual"/>
    <n v="4"/>
    <n v="1"/>
    <n v="62676"/>
    <n v="250704"/>
  </r>
  <r>
    <x v="0"/>
    <n v="27"/>
    <x v="7"/>
    <x v="0"/>
    <x v="0"/>
    <n v="1005"/>
    <x v="8"/>
    <x v="6"/>
    <x v="11"/>
    <n v="3157"/>
    <x v="49"/>
    <n v="4674"/>
    <x v="17"/>
    <s v="I 10"/>
    <n v="2"/>
    <n v="7482"/>
    <x v="284"/>
    <s v="Annual"/>
    <n v="4"/>
    <n v="1"/>
    <n v="59820"/>
    <n v="239280"/>
  </r>
  <r>
    <x v="0"/>
    <n v="27"/>
    <x v="7"/>
    <x v="0"/>
    <x v="0"/>
    <n v="1005"/>
    <x v="8"/>
    <x v="6"/>
    <x v="11"/>
    <n v="3157"/>
    <x v="49"/>
    <n v="4674"/>
    <x v="17"/>
    <s v="I 10"/>
    <n v="2"/>
    <n v="7482"/>
    <x v="284"/>
    <s v="Annual"/>
    <n v="11"/>
    <n v="1"/>
    <n v="53820"/>
    <n v="592020"/>
  </r>
  <r>
    <x v="0"/>
    <n v="27"/>
    <x v="7"/>
    <x v="0"/>
    <x v="0"/>
    <n v="1005"/>
    <x v="8"/>
    <x v="6"/>
    <x v="11"/>
    <n v="3157"/>
    <x v="49"/>
    <n v="4674"/>
    <x v="17"/>
    <s v="I 10"/>
    <n v="2"/>
    <n v="7482"/>
    <x v="284"/>
    <s v="Annual"/>
    <n v="14"/>
    <n v="1"/>
    <n v="51348"/>
    <n v="718872"/>
  </r>
  <r>
    <x v="0"/>
    <n v="27"/>
    <x v="7"/>
    <x v="0"/>
    <x v="0"/>
    <n v="1005"/>
    <x v="8"/>
    <x v="6"/>
    <x v="11"/>
    <n v="3157"/>
    <x v="49"/>
    <n v="4674"/>
    <x v="17"/>
    <s v="I 10"/>
    <n v="2"/>
    <n v="7482"/>
    <x v="284"/>
    <s v="Annual"/>
    <n v="13"/>
    <n v="1"/>
    <n v="49056"/>
    <n v="637728"/>
  </r>
  <r>
    <x v="0"/>
    <n v="27"/>
    <x v="7"/>
    <x v="0"/>
    <x v="0"/>
    <n v="1005"/>
    <x v="8"/>
    <x v="6"/>
    <x v="11"/>
    <n v="3157"/>
    <x v="49"/>
    <n v="4674"/>
    <x v="17"/>
    <s v="I 10"/>
    <n v="2"/>
    <n v="7482"/>
    <x v="284"/>
    <s v="Monthly"/>
    <n v="365"/>
    <n v="0"/>
    <n v="3300"/>
    <n v="1204500"/>
  </r>
  <r>
    <x v="0"/>
    <n v="27"/>
    <x v="7"/>
    <x v="0"/>
    <x v="0"/>
    <n v="1005"/>
    <x v="8"/>
    <x v="6"/>
    <x v="11"/>
    <n v="3157"/>
    <x v="49"/>
    <n v="4674"/>
    <x v="17"/>
    <s v="I 10"/>
    <n v="2"/>
    <n v="7482"/>
    <x v="284"/>
    <s v="Annual"/>
    <n v="45"/>
    <n v="1"/>
    <n v="46824"/>
    <n v="2107080"/>
  </r>
  <r>
    <x v="0"/>
    <n v="27"/>
    <x v="7"/>
    <x v="0"/>
    <x v="0"/>
    <n v="1005"/>
    <x v="8"/>
    <x v="6"/>
    <x v="11"/>
    <n v="3157"/>
    <x v="49"/>
    <n v="4674"/>
    <x v="17"/>
    <s v="I 10"/>
    <n v="2"/>
    <n v="7482"/>
    <x v="284"/>
    <s v="Hourly"/>
    <n v="1"/>
    <n v="1"/>
    <n v="37.47"/>
    <n v="77938"/>
  </r>
  <r>
    <x v="0"/>
    <n v="27"/>
    <x v="7"/>
    <x v="0"/>
    <x v="0"/>
    <n v="1005"/>
    <x v="8"/>
    <x v="6"/>
    <x v="11"/>
    <n v="3157"/>
    <x v="49"/>
    <n v="4674"/>
    <x v="17"/>
    <s v="I 11"/>
    <n v="2"/>
    <n v="7481"/>
    <x v="285"/>
    <s v="Annual"/>
    <n v="2"/>
    <n v="1"/>
    <n v="78384"/>
    <n v="156768"/>
  </r>
  <r>
    <x v="0"/>
    <n v="27"/>
    <x v="7"/>
    <x v="0"/>
    <x v="0"/>
    <n v="1005"/>
    <x v="8"/>
    <x v="6"/>
    <x v="11"/>
    <n v="3157"/>
    <x v="49"/>
    <n v="4674"/>
    <x v="17"/>
    <s v="I 11"/>
    <n v="2"/>
    <n v="7481"/>
    <x v="285"/>
    <s v="Annual"/>
    <n v="1"/>
    <n v="1"/>
    <n v="71436"/>
    <n v="71436"/>
  </r>
  <r>
    <x v="0"/>
    <n v="27"/>
    <x v="7"/>
    <x v="0"/>
    <x v="0"/>
    <n v="1005"/>
    <x v="8"/>
    <x v="6"/>
    <x v="11"/>
    <n v="3157"/>
    <x v="49"/>
    <n v="4674"/>
    <x v="17"/>
    <s v="I 11"/>
    <n v="2"/>
    <n v="7481"/>
    <x v="285"/>
    <s v="Annual"/>
    <n v="1"/>
    <n v="1"/>
    <n v="65064"/>
    <n v="65064"/>
  </r>
  <r>
    <x v="0"/>
    <n v="27"/>
    <x v="7"/>
    <x v="0"/>
    <x v="0"/>
    <n v="1005"/>
    <x v="8"/>
    <x v="6"/>
    <x v="11"/>
    <n v="3157"/>
    <x v="49"/>
    <n v="4674"/>
    <x v="17"/>
    <s v="I 11"/>
    <n v="2"/>
    <n v="7481"/>
    <x v="285"/>
    <s v="Annual"/>
    <n v="3"/>
    <n v="1"/>
    <n v="59352"/>
    <n v="178056"/>
  </r>
  <r>
    <x v="0"/>
    <n v="27"/>
    <x v="7"/>
    <x v="0"/>
    <x v="0"/>
    <n v="1005"/>
    <x v="8"/>
    <x v="6"/>
    <x v="11"/>
    <n v="3157"/>
    <x v="49"/>
    <n v="4674"/>
    <x v="17"/>
    <s v="I 11"/>
    <n v="2"/>
    <n v="7481"/>
    <x v="285"/>
    <s v="Annual"/>
    <n v="1"/>
    <n v="1"/>
    <n v="50964"/>
    <n v="50964"/>
  </r>
  <r>
    <x v="0"/>
    <n v="27"/>
    <x v="7"/>
    <x v="0"/>
    <x v="0"/>
    <n v="1005"/>
    <x v="8"/>
    <x v="6"/>
    <x v="11"/>
    <n v="3157"/>
    <x v="49"/>
    <n v="4674"/>
    <x v="17"/>
    <s v="I 11"/>
    <n v="2"/>
    <n v="7481"/>
    <x v="285"/>
    <s v="Annual"/>
    <n v="1"/>
    <n v="1"/>
    <n v="48588"/>
    <n v="48588"/>
  </r>
  <r>
    <x v="0"/>
    <n v="27"/>
    <x v="7"/>
    <x v="0"/>
    <x v="0"/>
    <n v="1005"/>
    <x v="8"/>
    <x v="6"/>
    <x v="11"/>
    <n v="3157"/>
    <x v="49"/>
    <n v="4674"/>
    <x v="17"/>
    <s v="I 11"/>
    <n v="2"/>
    <n v="7481"/>
    <x v="285"/>
    <s v="Annual"/>
    <n v="1"/>
    <n v="1"/>
    <n v="46416"/>
    <n v="46416"/>
  </r>
  <r>
    <x v="0"/>
    <n v="27"/>
    <x v="7"/>
    <x v="0"/>
    <x v="0"/>
    <n v="1005"/>
    <x v="8"/>
    <x v="6"/>
    <x v="11"/>
    <n v="3157"/>
    <x v="49"/>
    <n v="4674"/>
    <x v="17"/>
    <s v="I 11"/>
    <n v="2"/>
    <n v="7481"/>
    <x v="285"/>
    <s v="Annual"/>
    <n v="1"/>
    <n v="1"/>
    <n v="44292"/>
    <n v="44292"/>
  </r>
  <r>
    <x v="0"/>
    <n v="27"/>
    <x v="7"/>
    <x v="0"/>
    <x v="0"/>
    <n v="1005"/>
    <x v="8"/>
    <x v="6"/>
    <x v="11"/>
    <n v="3157"/>
    <x v="49"/>
    <n v="4674"/>
    <x v="17"/>
    <s v="I 13"/>
    <n v="2"/>
    <n v="7480"/>
    <x v="286"/>
    <s v="Annual"/>
    <n v="1"/>
    <n v="1"/>
    <n v="90876"/>
    <n v="90876"/>
  </r>
  <r>
    <x v="0"/>
    <n v="27"/>
    <x v="7"/>
    <x v="0"/>
    <x v="0"/>
    <n v="1005"/>
    <x v="8"/>
    <x v="6"/>
    <x v="11"/>
    <n v="3157"/>
    <x v="49"/>
    <n v="4674"/>
    <x v="17"/>
    <s v="I 13"/>
    <n v="2"/>
    <n v="7480"/>
    <x v="286"/>
    <s v="Annual"/>
    <n v="1"/>
    <n v="1"/>
    <n v="71076"/>
    <n v="71076"/>
  </r>
  <r>
    <x v="0"/>
    <n v="27"/>
    <x v="7"/>
    <x v="0"/>
    <x v="0"/>
    <n v="1005"/>
    <x v="8"/>
    <x v="6"/>
    <x v="11"/>
    <n v="3157"/>
    <x v="49"/>
    <n v="4674"/>
    <x v="17"/>
    <s v="B 12"/>
    <n v="1"/>
    <n v="7118"/>
    <x v="287"/>
    <s v="Annual"/>
    <n v="1"/>
    <n v="1"/>
    <n v="108576"/>
    <n v="108576"/>
  </r>
  <r>
    <x v="0"/>
    <n v="27"/>
    <x v="7"/>
    <x v="0"/>
    <x v="0"/>
    <n v="1005"/>
    <x v="8"/>
    <x v="6"/>
    <x v="11"/>
    <n v="3157"/>
    <x v="49"/>
    <n v="4674"/>
    <x v="17"/>
    <s v="B 11"/>
    <n v="1"/>
    <n v="7102"/>
    <x v="288"/>
    <s v="Annual"/>
    <n v="1"/>
    <n v="1"/>
    <n v="98928"/>
    <n v="98928"/>
  </r>
  <r>
    <x v="0"/>
    <n v="27"/>
    <x v="7"/>
    <x v="0"/>
    <x v="0"/>
    <n v="1005"/>
    <x v="8"/>
    <x v="6"/>
    <x v="11"/>
    <n v="3157"/>
    <x v="49"/>
    <n v="4674"/>
    <x v="17"/>
    <s v="B 11"/>
    <n v="1"/>
    <n v="7102"/>
    <x v="288"/>
    <s v="Annual"/>
    <n v="1"/>
    <n v="1"/>
    <n v="78432"/>
    <n v="78432"/>
  </r>
  <r>
    <x v="0"/>
    <n v="27"/>
    <x v="7"/>
    <x v="0"/>
    <x v="0"/>
    <n v="1005"/>
    <x v="8"/>
    <x v="6"/>
    <x v="11"/>
    <n v="3157"/>
    <x v="49"/>
    <n v="4674"/>
    <x v="17"/>
    <s v="B 11"/>
    <n v="1"/>
    <n v="7102"/>
    <x v="288"/>
    <s v="Annual"/>
    <n v="1"/>
    <n v="1"/>
    <n v="74916"/>
    <n v="74916"/>
  </r>
  <r>
    <x v="0"/>
    <n v="27"/>
    <x v="7"/>
    <x v="0"/>
    <x v="0"/>
    <n v="1005"/>
    <x v="8"/>
    <x v="6"/>
    <x v="11"/>
    <n v="3157"/>
    <x v="49"/>
    <n v="4674"/>
    <x v="17"/>
    <s v="B 11"/>
    <n v="1"/>
    <n v="7102"/>
    <x v="288"/>
    <s v="Annual"/>
    <n v="1"/>
    <n v="1"/>
    <n v="70752"/>
    <n v="70752"/>
  </r>
  <r>
    <x v="0"/>
    <n v="27"/>
    <x v="7"/>
    <x v="0"/>
    <x v="0"/>
    <n v="1005"/>
    <x v="8"/>
    <x v="6"/>
    <x v="11"/>
    <n v="3157"/>
    <x v="49"/>
    <n v="4674"/>
    <x v="17"/>
    <s v="B 11"/>
    <n v="1"/>
    <n v="7102"/>
    <x v="288"/>
    <s v="Annual"/>
    <n v="2"/>
    <n v="1"/>
    <n v="61548"/>
    <n v="123096"/>
  </r>
  <r>
    <x v="0"/>
    <n v="27"/>
    <x v="7"/>
    <x v="0"/>
    <x v="0"/>
    <n v="1005"/>
    <x v="8"/>
    <x v="6"/>
    <x v="11"/>
    <n v="3157"/>
    <x v="49"/>
    <n v="4674"/>
    <x v="17"/>
    <s v="1 00"/>
    <n v="0"/>
    <n v="15"/>
    <x v="37"/>
    <s v="Annual"/>
    <n v="0"/>
    <n v="0"/>
    <n v="96365"/>
    <n v="96365"/>
  </r>
  <r>
    <x v="0"/>
    <n v="27"/>
    <x v="7"/>
    <x v="0"/>
    <x v="0"/>
    <n v="1005"/>
    <x v="8"/>
    <x v="6"/>
    <x v="11"/>
    <n v="3157"/>
    <x v="49"/>
    <n v="4675"/>
    <x v="18"/>
    <s v="2 0"/>
    <n v="8"/>
    <n v="7112"/>
    <x v="289"/>
    <s v="Hourly"/>
    <n v="12571"/>
    <n v="0"/>
    <n v="45.32"/>
    <n v="569718"/>
  </r>
  <r>
    <x v="0"/>
    <n v="27"/>
    <x v="7"/>
    <x v="0"/>
    <x v="0"/>
    <n v="1005"/>
    <x v="8"/>
    <x v="6"/>
    <x v="11"/>
    <n v="3157"/>
    <x v="49"/>
    <n v="4675"/>
    <x v="18"/>
    <s v="2 0"/>
    <n v="8"/>
    <n v="7113"/>
    <x v="290"/>
    <s v="Hourly"/>
    <n v="7"/>
    <n v="1"/>
    <n v="46.78"/>
    <n v="681117"/>
  </r>
  <r>
    <x v="0"/>
    <n v="27"/>
    <x v="7"/>
    <x v="0"/>
    <x v="0"/>
    <n v="1005"/>
    <x v="8"/>
    <x v="6"/>
    <x v="11"/>
    <n v="3157"/>
    <x v="49"/>
    <n v="4675"/>
    <x v="18"/>
    <s v="2 0"/>
    <n v="8"/>
    <n v="7112"/>
    <x v="289"/>
    <s v="Hourly"/>
    <n v="28"/>
    <n v="1"/>
    <n v="45.32"/>
    <n v="2639437"/>
  </r>
  <r>
    <x v="0"/>
    <n v="27"/>
    <x v="7"/>
    <x v="0"/>
    <x v="0"/>
    <n v="1005"/>
    <x v="8"/>
    <x v="6"/>
    <x v="11"/>
    <n v="3157"/>
    <x v="49"/>
    <n v="4675"/>
    <x v="18"/>
    <s v="1 00"/>
    <n v="0"/>
    <n v="12"/>
    <x v="291"/>
    <s v="Annual"/>
    <n v="0"/>
    <n v="0"/>
    <n v="58355"/>
    <n v="58355"/>
  </r>
  <r>
    <x v="0"/>
    <n v="27"/>
    <x v="7"/>
    <x v="0"/>
    <x v="0"/>
    <n v="1005"/>
    <x v="8"/>
    <x v="6"/>
    <x v="11"/>
    <n v="3157"/>
    <x v="49"/>
    <n v="4676"/>
    <x v="19"/>
    <s v="X 32"/>
    <n v="9"/>
    <n v="9684"/>
    <x v="76"/>
    <s v="Annual"/>
    <n v="1"/>
    <n v="1"/>
    <n v="175512"/>
    <n v="175512"/>
  </r>
  <r>
    <x v="0"/>
    <n v="27"/>
    <x v="7"/>
    <x v="0"/>
    <x v="0"/>
    <n v="1005"/>
    <x v="8"/>
    <x v="6"/>
    <x v="11"/>
    <n v="3157"/>
    <x v="49"/>
    <n v="4676"/>
    <x v="19"/>
    <s v="BX 16"/>
    <n v="10"/>
    <n v="7119"/>
    <x v="292"/>
    <s v="Annual"/>
    <n v="1"/>
    <n v="1"/>
    <n v="85128"/>
    <n v="85128"/>
  </r>
  <r>
    <x v="0"/>
    <n v="27"/>
    <x v="7"/>
    <x v="0"/>
    <x v="0"/>
    <n v="1005"/>
    <x v="8"/>
    <x v="6"/>
    <x v="11"/>
    <n v="3157"/>
    <x v="49"/>
    <n v="4676"/>
    <x v="19"/>
    <s v="BX 17"/>
    <n v="10"/>
    <n v="1256"/>
    <x v="293"/>
    <s v="Annual"/>
    <n v="1"/>
    <n v="1"/>
    <n v="130524"/>
    <n v="130524"/>
  </r>
  <r>
    <x v="0"/>
    <n v="27"/>
    <x v="7"/>
    <x v="0"/>
    <x v="0"/>
    <n v="1005"/>
    <x v="8"/>
    <x v="6"/>
    <x v="11"/>
    <n v="3157"/>
    <x v="49"/>
    <n v="4676"/>
    <x v="19"/>
    <s v="BX 13"/>
    <n v="10"/>
    <n v="1217"/>
    <x v="294"/>
    <s v="Annual"/>
    <n v="3"/>
    <n v="1"/>
    <n v="94332"/>
    <n v="282996"/>
  </r>
  <r>
    <x v="0"/>
    <n v="27"/>
    <x v="7"/>
    <x v="0"/>
    <x v="0"/>
    <n v="1005"/>
    <x v="8"/>
    <x v="6"/>
    <x v="11"/>
    <n v="3157"/>
    <x v="49"/>
    <n v="4676"/>
    <x v="19"/>
    <s v="BX 13"/>
    <n v="10"/>
    <n v="1217"/>
    <x v="294"/>
    <s v="Annual"/>
    <n v="1"/>
    <n v="1"/>
    <n v="90000"/>
    <n v="90000"/>
  </r>
  <r>
    <x v="0"/>
    <n v="27"/>
    <x v="7"/>
    <x v="0"/>
    <x v="0"/>
    <n v="1005"/>
    <x v="8"/>
    <x v="6"/>
    <x v="11"/>
    <n v="3157"/>
    <x v="49"/>
    <n v="4676"/>
    <x v="19"/>
    <s v="BX 13"/>
    <n v="10"/>
    <n v="1217"/>
    <x v="294"/>
    <s v="Annual"/>
    <n v="1"/>
    <n v="1"/>
    <n v="83448"/>
    <n v="83448"/>
  </r>
  <r>
    <x v="0"/>
    <n v="27"/>
    <x v="7"/>
    <x v="0"/>
    <x v="0"/>
    <n v="1005"/>
    <x v="8"/>
    <x v="6"/>
    <x v="11"/>
    <n v="3157"/>
    <x v="49"/>
    <n v="4676"/>
    <x v="19"/>
    <s v="BX 13"/>
    <n v="10"/>
    <n v="1217"/>
    <x v="294"/>
    <s v="Annual"/>
    <n v="1"/>
    <n v="1"/>
    <n v="73728"/>
    <n v="73728"/>
  </r>
  <r>
    <x v="0"/>
    <n v="27"/>
    <x v="7"/>
    <x v="0"/>
    <x v="0"/>
    <n v="1005"/>
    <x v="8"/>
    <x v="6"/>
    <x v="11"/>
    <n v="3157"/>
    <x v="49"/>
    <n v="4676"/>
    <x v="19"/>
    <s v="B 16"/>
    <n v="1"/>
    <n v="634"/>
    <x v="295"/>
    <s v="Annual"/>
    <n v="1"/>
    <n v="1"/>
    <n v="136908"/>
    <n v="136908"/>
  </r>
  <r>
    <x v="0"/>
    <n v="27"/>
    <x v="7"/>
    <x v="0"/>
    <x v="0"/>
    <n v="1005"/>
    <x v="8"/>
    <x v="6"/>
    <x v="11"/>
    <n v="3157"/>
    <x v="49"/>
    <n v="4676"/>
    <x v="19"/>
    <s v="BX 17"/>
    <n v="20"/>
    <n v="381"/>
    <x v="296"/>
    <s v="Annual"/>
    <n v="1"/>
    <n v="1"/>
    <n v="136692"/>
    <n v="136692"/>
  </r>
  <r>
    <x v="0"/>
    <n v="27"/>
    <x v="7"/>
    <x v="0"/>
    <x v="0"/>
    <n v="1005"/>
    <x v="8"/>
    <x v="6"/>
    <x v="11"/>
    <n v="3157"/>
    <x v="49"/>
    <n v="4676"/>
    <x v="19"/>
    <s v="BX 20"/>
    <n v="10"/>
    <n v="334"/>
    <x v="297"/>
    <s v="Annual"/>
    <n v="1"/>
    <n v="1"/>
    <n v="112440"/>
    <n v="112440"/>
  </r>
  <r>
    <x v="0"/>
    <n v="27"/>
    <x v="7"/>
    <x v="0"/>
    <x v="0"/>
    <n v="1005"/>
    <x v="8"/>
    <x v="6"/>
    <x v="11"/>
    <n v="3157"/>
    <x v="49"/>
    <n v="4676"/>
    <x v="19"/>
    <s v="BX 18"/>
    <n v="10"/>
    <n v="310"/>
    <x v="135"/>
    <s v="Annual"/>
    <n v="1"/>
    <n v="1"/>
    <n v="93384"/>
    <n v="93384"/>
  </r>
  <r>
    <x v="0"/>
    <n v="27"/>
    <x v="7"/>
    <x v="0"/>
    <x v="0"/>
    <n v="1005"/>
    <x v="8"/>
    <x v="6"/>
    <x v="11"/>
    <n v="3157"/>
    <x v="49"/>
    <n v="4676"/>
    <x v="19"/>
    <s v="B 13"/>
    <n v="1"/>
    <n v="308"/>
    <x v="90"/>
    <s v="Annual"/>
    <n v="1"/>
    <n v="1"/>
    <n v="74172"/>
    <n v="74172"/>
  </r>
  <r>
    <x v="0"/>
    <n v="27"/>
    <x v="7"/>
    <x v="0"/>
    <x v="0"/>
    <n v="1005"/>
    <x v="8"/>
    <x v="6"/>
    <x v="11"/>
    <n v="3157"/>
    <x v="49"/>
    <n v="4676"/>
    <x v="19"/>
    <s v="X 33"/>
    <n v="0"/>
    <n v="306"/>
    <x v="237"/>
    <s v="Annual"/>
    <n v="1"/>
    <n v="1"/>
    <n v="146808"/>
    <n v="146808"/>
  </r>
  <r>
    <x v="0"/>
    <n v="27"/>
    <x v="7"/>
    <x v="0"/>
    <x v="0"/>
    <n v="1005"/>
    <x v="8"/>
    <x v="6"/>
    <x v="11"/>
    <n v="3157"/>
    <x v="49"/>
    <n v="4676"/>
    <x v="19"/>
    <s v="X 33"/>
    <n v="0"/>
    <n v="306"/>
    <x v="237"/>
    <s v="Annual"/>
    <n v="1"/>
    <n v="1"/>
    <n v="121668"/>
    <n v="121668"/>
  </r>
  <r>
    <x v="0"/>
    <n v="27"/>
    <x v="7"/>
    <x v="0"/>
    <x v="0"/>
    <n v="1005"/>
    <x v="8"/>
    <x v="6"/>
    <x v="11"/>
    <n v="3157"/>
    <x v="49"/>
    <n v="4676"/>
    <x v="19"/>
    <s v="1 00"/>
    <n v="0"/>
    <n v="15"/>
    <x v="37"/>
    <s v="Annual"/>
    <n v="0"/>
    <n v="0"/>
    <n v="26431"/>
    <n v="26431"/>
  </r>
  <r>
    <x v="0"/>
    <n v="27"/>
    <x v="7"/>
    <x v="0"/>
    <x v="0"/>
    <n v="1005"/>
    <x v="8"/>
    <x v="6"/>
    <x v="11"/>
    <n v="3157"/>
    <x v="49"/>
    <n v="4677"/>
    <x v="20"/>
    <s v="2 0"/>
    <n v="54"/>
    <n v="9536"/>
    <x v="298"/>
    <s v="Hourly"/>
    <n v="3"/>
    <n v="1"/>
    <n v="51.4"/>
    <n v="320736"/>
  </r>
  <r>
    <x v="0"/>
    <n v="27"/>
    <x v="7"/>
    <x v="0"/>
    <x v="0"/>
    <n v="1005"/>
    <x v="8"/>
    <x v="6"/>
    <x v="11"/>
    <n v="3157"/>
    <x v="49"/>
    <n v="4677"/>
    <x v="20"/>
    <s v="1 00"/>
    <n v="0"/>
    <n v="12"/>
    <x v="291"/>
    <s v="Annual"/>
    <n v="0"/>
    <n v="0"/>
    <n v="4811"/>
    <n v="4811"/>
  </r>
  <r>
    <x v="0"/>
    <n v="27"/>
    <x v="7"/>
    <x v="0"/>
    <x v="0"/>
    <n v="1005"/>
    <x v="8"/>
    <x v="6"/>
    <x v="11"/>
    <n v="3220"/>
    <x v="50"/>
    <n v="4202"/>
    <x v="21"/>
    <s v="X 32"/>
    <n v="9"/>
    <n v="9684"/>
    <x v="76"/>
    <s v="Annual"/>
    <n v="1"/>
    <n v="1"/>
    <n v="175512"/>
    <n v="175512"/>
  </r>
  <r>
    <x v="0"/>
    <n v="27"/>
    <x v="7"/>
    <x v="0"/>
    <x v="0"/>
    <n v="1005"/>
    <x v="8"/>
    <x v="6"/>
    <x v="11"/>
    <n v="3220"/>
    <x v="50"/>
    <n v="4202"/>
    <x v="21"/>
    <s v="BX 15"/>
    <n v="10"/>
    <n v="1911"/>
    <x v="226"/>
    <s v="Annual"/>
    <n v="1"/>
    <n v="1"/>
    <n v="80124"/>
    <n v="80124"/>
  </r>
  <r>
    <x v="0"/>
    <n v="27"/>
    <x v="7"/>
    <x v="0"/>
    <x v="0"/>
    <n v="1005"/>
    <x v="8"/>
    <x v="6"/>
    <x v="11"/>
    <n v="3220"/>
    <x v="50"/>
    <n v="4202"/>
    <x v="21"/>
    <s v="BX 15"/>
    <n v="10"/>
    <n v="1911"/>
    <x v="226"/>
    <s v="Annual"/>
    <n v="2"/>
    <n v="1"/>
    <n v="76476"/>
    <n v="152952"/>
  </r>
  <r>
    <x v="0"/>
    <n v="27"/>
    <x v="7"/>
    <x v="0"/>
    <x v="0"/>
    <n v="1005"/>
    <x v="8"/>
    <x v="6"/>
    <x v="11"/>
    <n v="3220"/>
    <x v="50"/>
    <n v="4202"/>
    <x v="21"/>
    <s v="B 14"/>
    <n v="1"/>
    <n v="712"/>
    <x v="299"/>
    <s v="Annual"/>
    <n v="1"/>
    <n v="1"/>
    <n v="124848"/>
    <n v="124848"/>
  </r>
  <r>
    <x v="0"/>
    <n v="27"/>
    <x v="7"/>
    <x v="0"/>
    <x v="0"/>
    <n v="1005"/>
    <x v="8"/>
    <x v="6"/>
    <x v="11"/>
    <n v="3220"/>
    <x v="50"/>
    <n v="4202"/>
    <x v="21"/>
    <s v="B 10"/>
    <n v="1"/>
    <n v="420"/>
    <x v="300"/>
    <s v="Annual"/>
    <n v="2"/>
    <n v="1"/>
    <n v="64488"/>
    <n v="128976"/>
  </r>
  <r>
    <x v="0"/>
    <n v="27"/>
    <x v="7"/>
    <x v="0"/>
    <x v="0"/>
    <n v="1005"/>
    <x v="8"/>
    <x v="6"/>
    <x v="11"/>
    <n v="3220"/>
    <x v="50"/>
    <n v="4202"/>
    <x v="21"/>
    <s v="B 10"/>
    <n v="1"/>
    <n v="420"/>
    <x v="300"/>
    <s v="Annual"/>
    <n v="2"/>
    <n v="1"/>
    <n v="58764"/>
    <n v="117528"/>
  </r>
  <r>
    <x v="0"/>
    <n v="27"/>
    <x v="7"/>
    <x v="0"/>
    <x v="0"/>
    <n v="1005"/>
    <x v="8"/>
    <x v="6"/>
    <x v="11"/>
    <n v="3220"/>
    <x v="50"/>
    <n v="4202"/>
    <x v="21"/>
    <s v="B 10"/>
    <n v="1"/>
    <n v="420"/>
    <x v="300"/>
    <s v="Annual"/>
    <n v="3"/>
    <n v="1"/>
    <n v="56124"/>
    <n v="168372"/>
  </r>
  <r>
    <x v="0"/>
    <n v="27"/>
    <x v="7"/>
    <x v="0"/>
    <x v="0"/>
    <n v="1005"/>
    <x v="8"/>
    <x v="6"/>
    <x v="11"/>
    <n v="3220"/>
    <x v="50"/>
    <n v="4202"/>
    <x v="21"/>
    <s v="B 10"/>
    <n v="1"/>
    <n v="420"/>
    <x v="300"/>
    <s v="Annual"/>
    <n v="1"/>
    <n v="1"/>
    <n v="53532"/>
    <n v="53532"/>
  </r>
  <r>
    <x v="0"/>
    <n v="27"/>
    <x v="7"/>
    <x v="0"/>
    <x v="0"/>
    <n v="1005"/>
    <x v="8"/>
    <x v="6"/>
    <x v="11"/>
    <n v="3220"/>
    <x v="50"/>
    <n v="4202"/>
    <x v="21"/>
    <s v="B 10"/>
    <n v="1"/>
    <n v="420"/>
    <x v="300"/>
    <s v="Annual"/>
    <n v="5"/>
    <n v="1"/>
    <n v="51936"/>
    <n v="259680"/>
  </r>
  <r>
    <x v="0"/>
    <n v="27"/>
    <x v="7"/>
    <x v="0"/>
    <x v="0"/>
    <n v="1005"/>
    <x v="8"/>
    <x v="6"/>
    <x v="11"/>
    <n v="3220"/>
    <x v="50"/>
    <n v="4202"/>
    <x v="21"/>
    <s v="B 12"/>
    <n v="1"/>
    <s v="03A8"/>
    <x v="88"/>
    <s v="Annual"/>
    <n v="1"/>
    <n v="1"/>
    <n v="74172"/>
    <n v="74172"/>
  </r>
  <r>
    <x v="0"/>
    <n v="27"/>
    <x v="7"/>
    <x v="0"/>
    <x v="0"/>
    <n v="1005"/>
    <x v="8"/>
    <x v="6"/>
    <x v="11"/>
    <n v="3220"/>
    <x v="50"/>
    <n v="4202"/>
    <x v="21"/>
    <s v="B 12"/>
    <n v="1"/>
    <s v="03A8"/>
    <x v="88"/>
    <s v="Annual"/>
    <n v="1"/>
    <n v="1"/>
    <n v="70752"/>
    <n v="70752"/>
  </r>
  <r>
    <x v="0"/>
    <n v="27"/>
    <x v="7"/>
    <x v="0"/>
    <x v="0"/>
    <n v="1005"/>
    <x v="8"/>
    <x v="6"/>
    <x v="11"/>
    <n v="3220"/>
    <x v="50"/>
    <n v="4202"/>
    <x v="21"/>
    <s v="B 12"/>
    <n v="1"/>
    <s v="03A8"/>
    <x v="88"/>
    <s v="Annual"/>
    <n v="3"/>
    <n v="1"/>
    <n v="67608"/>
    <n v="202824"/>
  </r>
  <r>
    <x v="0"/>
    <n v="27"/>
    <x v="7"/>
    <x v="0"/>
    <x v="0"/>
    <n v="1005"/>
    <x v="8"/>
    <x v="6"/>
    <x v="11"/>
    <n v="3220"/>
    <x v="50"/>
    <n v="4202"/>
    <x v="21"/>
    <s v="B 12"/>
    <n v="1"/>
    <s v="03A8"/>
    <x v="88"/>
    <s v="Annual"/>
    <n v="1"/>
    <n v="1"/>
    <n v="62544"/>
    <n v="62544"/>
  </r>
  <r>
    <x v="0"/>
    <n v="27"/>
    <x v="7"/>
    <x v="0"/>
    <x v="0"/>
    <n v="1005"/>
    <x v="8"/>
    <x v="6"/>
    <x v="11"/>
    <n v="3220"/>
    <x v="50"/>
    <n v="4202"/>
    <x v="21"/>
    <s v="B 10"/>
    <n v="1"/>
    <s v="03A7"/>
    <x v="4"/>
    <s v="Annual"/>
    <n v="1"/>
    <n v="1"/>
    <n v="53532"/>
    <n v="53532"/>
  </r>
  <r>
    <x v="0"/>
    <n v="27"/>
    <x v="7"/>
    <x v="0"/>
    <x v="0"/>
    <n v="1005"/>
    <x v="8"/>
    <x v="6"/>
    <x v="11"/>
    <n v="3220"/>
    <x v="50"/>
    <n v="4202"/>
    <x v="21"/>
    <s v="X 33"/>
    <n v="20"/>
    <n v="369"/>
    <x v="301"/>
    <s v="Annual"/>
    <n v="1"/>
    <n v="1"/>
    <n v="146808"/>
    <n v="146808"/>
  </r>
  <r>
    <x v="0"/>
    <n v="27"/>
    <x v="7"/>
    <x v="0"/>
    <x v="0"/>
    <n v="1005"/>
    <x v="8"/>
    <x v="6"/>
    <x v="11"/>
    <n v="3220"/>
    <x v="50"/>
    <n v="4202"/>
    <x v="21"/>
    <s v="BX 10"/>
    <n v="10"/>
    <n v="307"/>
    <x v="302"/>
    <s v="Annual"/>
    <n v="1"/>
    <n v="1"/>
    <n v="73728"/>
    <n v="73728"/>
  </r>
  <r>
    <x v="0"/>
    <n v="27"/>
    <x v="7"/>
    <x v="0"/>
    <x v="0"/>
    <n v="1005"/>
    <x v="8"/>
    <x v="6"/>
    <x v="11"/>
    <n v="3220"/>
    <x v="50"/>
    <n v="4202"/>
    <x v="21"/>
    <s v="GY 10"/>
    <n v="10"/>
    <n v="167"/>
    <x v="303"/>
    <s v="Annual"/>
    <n v="1"/>
    <n v="1"/>
    <n v="111000"/>
    <n v="111000"/>
  </r>
  <r>
    <x v="0"/>
    <n v="27"/>
    <x v="7"/>
    <x v="0"/>
    <x v="0"/>
    <n v="1005"/>
    <x v="8"/>
    <x v="6"/>
    <x v="11"/>
    <n v="3220"/>
    <x v="50"/>
    <n v="4202"/>
    <x v="21"/>
    <s v="GY 10"/>
    <n v="20"/>
    <n v="145"/>
    <x v="304"/>
    <s v="Annual"/>
    <n v="1"/>
    <n v="1"/>
    <n v="130476"/>
    <n v="130476"/>
  </r>
  <r>
    <x v="0"/>
    <n v="27"/>
    <x v="7"/>
    <x v="0"/>
    <x v="0"/>
    <n v="1005"/>
    <x v="8"/>
    <x v="6"/>
    <x v="11"/>
    <n v="3220"/>
    <x v="50"/>
    <n v="4202"/>
    <x v="21"/>
    <s v="1 00"/>
    <n v="0"/>
    <n v="15"/>
    <x v="37"/>
    <s v="Annual"/>
    <n v="0"/>
    <n v="0"/>
    <n v="25618"/>
    <n v="25618"/>
  </r>
  <r>
    <x v="0"/>
    <n v="27"/>
    <x v="7"/>
    <x v="0"/>
    <x v="0"/>
    <n v="1005"/>
    <x v="8"/>
    <x v="6"/>
    <x v="11"/>
    <n v="3220"/>
    <x v="50"/>
    <n v="4204"/>
    <x v="22"/>
    <s v="X 32"/>
    <n v="9"/>
    <n v="9684"/>
    <x v="76"/>
    <s v="Annual"/>
    <n v="1"/>
    <n v="1"/>
    <n v="175512"/>
    <n v="175512"/>
  </r>
  <r>
    <x v="0"/>
    <n v="27"/>
    <x v="7"/>
    <x v="0"/>
    <x v="0"/>
    <n v="1005"/>
    <x v="8"/>
    <x v="6"/>
    <x v="11"/>
    <n v="3220"/>
    <x v="50"/>
    <n v="4204"/>
    <x v="22"/>
    <s v="U 06"/>
    <n v="53"/>
    <n v="7404"/>
    <x v="305"/>
    <s v="Annual"/>
    <n v="1"/>
    <n v="1"/>
    <n v="59340"/>
    <n v="59340"/>
  </r>
  <r>
    <x v="0"/>
    <n v="27"/>
    <x v="7"/>
    <x v="0"/>
    <x v="0"/>
    <n v="1005"/>
    <x v="8"/>
    <x v="6"/>
    <x v="11"/>
    <n v="3220"/>
    <x v="50"/>
    <n v="4204"/>
    <x v="22"/>
    <s v="U 06"/>
    <n v="53"/>
    <n v="7404"/>
    <x v="305"/>
    <s v="Annual"/>
    <n v="1"/>
    <n v="1"/>
    <n v="54048"/>
    <n v="54048"/>
  </r>
  <r>
    <x v="0"/>
    <n v="27"/>
    <x v="7"/>
    <x v="0"/>
    <x v="0"/>
    <n v="1005"/>
    <x v="8"/>
    <x v="6"/>
    <x v="11"/>
    <n v="3220"/>
    <x v="50"/>
    <n v="4204"/>
    <x v="22"/>
    <s v="U 06"/>
    <n v="53"/>
    <n v="7404"/>
    <x v="305"/>
    <s v="Annual"/>
    <n v="2"/>
    <n v="1"/>
    <n v="46560"/>
    <n v="93120"/>
  </r>
  <r>
    <x v="0"/>
    <n v="27"/>
    <x v="7"/>
    <x v="0"/>
    <x v="0"/>
    <n v="1005"/>
    <x v="8"/>
    <x v="6"/>
    <x v="11"/>
    <n v="3220"/>
    <x v="50"/>
    <n v="4204"/>
    <x v="22"/>
    <s v="U 06"/>
    <n v="53"/>
    <n v="7404"/>
    <x v="305"/>
    <s v="Annual"/>
    <n v="13"/>
    <n v="1"/>
    <n v="44460"/>
    <n v="577980"/>
  </r>
  <r>
    <x v="0"/>
    <n v="27"/>
    <x v="7"/>
    <x v="0"/>
    <x v="0"/>
    <n v="1005"/>
    <x v="8"/>
    <x v="6"/>
    <x v="11"/>
    <n v="3220"/>
    <x v="50"/>
    <n v="4204"/>
    <x v="22"/>
    <s v="U 06"/>
    <n v="53"/>
    <n v="7404"/>
    <x v="305"/>
    <s v="Annual"/>
    <n v="5"/>
    <n v="1"/>
    <n v="42468"/>
    <n v="212340"/>
  </r>
  <r>
    <x v="0"/>
    <n v="27"/>
    <x v="7"/>
    <x v="0"/>
    <x v="0"/>
    <n v="1005"/>
    <x v="8"/>
    <x v="6"/>
    <x v="11"/>
    <n v="3220"/>
    <x v="50"/>
    <n v="4204"/>
    <x v="22"/>
    <s v="U 06"/>
    <n v="53"/>
    <n v="7404"/>
    <x v="305"/>
    <s v="Annual"/>
    <n v="11"/>
    <n v="1"/>
    <n v="40560"/>
    <n v="446160"/>
  </r>
  <r>
    <x v="0"/>
    <n v="27"/>
    <x v="7"/>
    <x v="0"/>
    <x v="0"/>
    <n v="1005"/>
    <x v="8"/>
    <x v="6"/>
    <x v="11"/>
    <n v="3220"/>
    <x v="50"/>
    <n v="4204"/>
    <x v="22"/>
    <s v="U 08"/>
    <n v="53"/>
    <n v="7403"/>
    <x v="306"/>
    <s v="Annual"/>
    <n v="1"/>
    <n v="1"/>
    <n v="56700"/>
    <n v="56700"/>
  </r>
  <r>
    <x v="0"/>
    <n v="27"/>
    <x v="7"/>
    <x v="0"/>
    <x v="0"/>
    <n v="1005"/>
    <x v="8"/>
    <x v="6"/>
    <x v="11"/>
    <n v="3220"/>
    <x v="50"/>
    <n v="4204"/>
    <x v="22"/>
    <s v="U 08"/>
    <n v="53"/>
    <n v="7403"/>
    <x v="306"/>
    <s v="Annual"/>
    <n v="1"/>
    <n v="1"/>
    <n v="53520"/>
    <n v="53520"/>
  </r>
  <r>
    <x v="0"/>
    <n v="27"/>
    <x v="7"/>
    <x v="0"/>
    <x v="0"/>
    <n v="1005"/>
    <x v="8"/>
    <x v="6"/>
    <x v="11"/>
    <n v="3220"/>
    <x v="50"/>
    <n v="4204"/>
    <x v="22"/>
    <s v="U 08"/>
    <n v="53"/>
    <n v="7403"/>
    <x v="306"/>
    <s v="Annual"/>
    <n v="2"/>
    <n v="1"/>
    <n v="46560"/>
    <n v="93120"/>
  </r>
  <r>
    <x v="0"/>
    <n v="27"/>
    <x v="7"/>
    <x v="0"/>
    <x v="0"/>
    <n v="1005"/>
    <x v="8"/>
    <x v="6"/>
    <x v="11"/>
    <n v="3220"/>
    <x v="50"/>
    <n v="4204"/>
    <x v="22"/>
    <s v="BX 13"/>
    <n v="10"/>
    <n v="7401"/>
    <x v="307"/>
    <s v="Annual"/>
    <n v="1"/>
    <n v="1"/>
    <n v="60660"/>
    <n v="60660"/>
  </r>
  <r>
    <x v="0"/>
    <n v="27"/>
    <x v="7"/>
    <x v="0"/>
    <x v="0"/>
    <n v="1005"/>
    <x v="8"/>
    <x v="6"/>
    <x v="11"/>
    <n v="3220"/>
    <x v="50"/>
    <n v="4204"/>
    <x v="22"/>
    <s v="BX 18"/>
    <n v="10"/>
    <n v="3092"/>
    <x v="308"/>
    <s v="Annual"/>
    <n v="1"/>
    <n v="1"/>
    <n v="97836"/>
    <n v="97836"/>
  </r>
  <r>
    <x v="0"/>
    <n v="27"/>
    <x v="7"/>
    <x v="0"/>
    <x v="0"/>
    <n v="1005"/>
    <x v="8"/>
    <x v="6"/>
    <x v="11"/>
    <n v="3220"/>
    <x v="50"/>
    <n v="4204"/>
    <x v="22"/>
    <s v="BX 15"/>
    <n v="10"/>
    <n v="1911"/>
    <x v="226"/>
    <s v="Annual"/>
    <n v="1"/>
    <n v="1"/>
    <n v="113568"/>
    <n v="113568"/>
  </r>
  <r>
    <x v="0"/>
    <n v="27"/>
    <x v="7"/>
    <x v="0"/>
    <x v="0"/>
    <n v="1005"/>
    <x v="8"/>
    <x v="6"/>
    <x v="11"/>
    <n v="3220"/>
    <x v="50"/>
    <n v="4204"/>
    <x v="22"/>
    <s v="B 12"/>
    <n v="1"/>
    <s v="03A8"/>
    <x v="88"/>
    <s v="Annual"/>
    <n v="1"/>
    <n v="1"/>
    <n v="70752"/>
    <n v="70752"/>
  </r>
  <r>
    <x v="0"/>
    <n v="27"/>
    <x v="7"/>
    <x v="0"/>
    <x v="0"/>
    <n v="1005"/>
    <x v="8"/>
    <x v="6"/>
    <x v="11"/>
    <n v="3220"/>
    <x v="50"/>
    <n v="4204"/>
    <x v="22"/>
    <s v="B 10"/>
    <n v="1"/>
    <s v="03A7"/>
    <x v="4"/>
    <s v="Annual"/>
    <n v="1"/>
    <n v="1"/>
    <n v="90144"/>
    <n v="90144"/>
  </r>
  <r>
    <x v="0"/>
    <n v="27"/>
    <x v="7"/>
    <x v="0"/>
    <x v="0"/>
    <n v="1005"/>
    <x v="8"/>
    <x v="6"/>
    <x v="11"/>
    <n v="3220"/>
    <x v="50"/>
    <n v="4204"/>
    <x v="22"/>
    <s v="B 10"/>
    <n v="1"/>
    <s v="03A7"/>
    <x v="4"/>
    <s v="Annual"/>
    <n v="1"/>
    <n v="1"/>
    <n v="68256"/>
    <n v="68256"/>
  </r>
  <r>
    <x v="0"/>
    <n v="27"/>
    <x v="7"/>
    <x v="0"/>
    <x v="0"/>
    <n v="1005"/>
    <x v="8"/>
    <x v="6"/>
    <x v="11"/>
    <n v="3220"/>
    <x v="50"/>
    <n v="4204"/>
    <x v="22"/>
    <s v="B 10"/>
    <n v="1"/>
    <s v="03A7"/>
    <x v="4"/>
    <s v="Annual"/>
    <n v="1"/>
    <n v="1"/>
    <n v="56124"/>
    <n v="56124"/>
  </r>
  <r>
    <x v="0"/>
    <n v="27"/>
    <x v="7"/>
    <x v="0"/>
    <x v="0"/>
    <n v="1005"/>
    <x v="8"/>
    <x v="6"/>
    <x v="11"/>
    <n v="3220"/>
    <x v="50"/>
    <n v="4204"/>
    <x v="22"/>
    <s v="B 10"/>
    <n v="1"/>
    <s v="03A7"/>
    <x v="4"/>
    <s v="Annual"/>
    <n v="1"/>
    <n v="1"/>
    <n v="53532"/>
    <n v="53532"/>
  </r>
  <r>
    <x v="0"/>
    <n v="27"/>
    <x v="7"/>
    <x v="0"/>
    <x v="0"/>
    <n v="1005"/>
    <x v="8"/>
    <x v="6"/>
    <x v="11"/>
    <n v="3220"/>
    <x v="50"/>
    <n v="4204"/>
    <x v="22"/>
    <s v="B 13"/>
    <n v="1"/>
    <n v="308"/>
    <x v="90"/>
    <s v="Annual"/>
    <n v="1"/>
    <n v="1"/>
    <n v="90144"/>
    <n v="90144"/>
  </r>
  <r>
    <x v="0"/>
    <n v="27"/>
    <x v="7"/>
    <x v="0"/>
    <x v="0"/>
    <n v="1005"/>
    <x v="8"/>
    <x v="6"/>
    <x v="11"/>
    <n v="3220"/>
    <x v="50"/>
    <n v="4204"/>
    <x v="22"/>
    <s v="BX 16"/>
    <n v="10"/>
    <n v="275"/>
    <x v="309"/>
    <s v="Annual"/>
    <n v="1"/>
    <n v="1"/>
    <n v="94332"/>
    <n v="94332"/>
  </r>
  <r>
    <x v="0"/>
    <n v="27"/>
    <x v="7"/>
    <x v="0"/>
    <x v="0"/>
    <n v="1005"/>
    <x v="8"/>
    <x v="6"/>
    <x v="11"/>
    <n v="3220"/>
    <x v="50"/>
    <n v="4204"/>
    <x v="22"/>
    <s v="B 11"/>
    <n v="1"/>
    <n v="109"/>
    <x v="94"/>
    <s v="Annual"/>
    <n v="1"/>
    <n v="1"/>
    <n v="58764"/>
    <n v="58764"/>
  </r>
  <r>
    <x v="0"/>
    <n v="27"/>
    <x v="7"/>
    <x v="0"/>
    <x v="0"/>
    <n v="1005"/>
    <x v="8"/>
    <x v="6"/>
    <x v="11"/>
    <n v="3220"/>
    <x v="50"/>
    <n v="4204"/>
    <x v="22"/>
    <s v="1 00"/>
    <n v="0"/>
    <n v="15"/>
    <x v="37"/>
    <s v="Annual"/>
    <n v="0"/>
    <n v="0"/>
    <n v="43098"/>
    <n v="43098"/>
  </r>
  <r>
    <x v="0"/>
    <n v="28"/>
    <x v="8"/>
    <x v="0"/>
    <x v="0"/>
    <n v="1005"/>
    <x v="9"/>
    <x v="0"/>
    <x v="12"/>
    <n v="3005"/>
    <x v="0"/>
    <n v="0"/>
    <x v="0"/>
    <s v="1 00"/>
    <n v="9"/>
    <n v="9928"/>
    <x v="310"/>
    <s v="Annual"/>
    <n v="1"/>
    <n v="1"/>
    <n v="175560"/>
    <n v="175560"/>
  </r>
  <r>
    <x v="0"/>
    <n v="28"/>
    <x v="8"/>
    <x v="0"/>
    <x v="0"/>
    <n v="1005"/>
    <x v="9"/>
    <x v="0"/>
    <x v="12"/>
    <n v="3005"/>
    <x v="0"/>
    <n v="0"/>
    <x v="0"/>
    <s v="PX 02"/>
    <n v="9"/>
    <n v="705"/>
    <x v="33"/>
    <s v="Annual"/>
    <n v="1"/>
    <n v="1"/>
    <n v="111300"/>
    <n v="111300"/>
  </r>
  <r>
    <x v="0"/>
    <n v="28"/>
    <x v="8"/>
    <x v="0"/>
    <x v="0"/>
    <n v="1005"/>
    <x v="9"/>
    <x v="0"/>
    <x v="12"/>
    <n v="3005"/>
    <x v="0"/>
    <n v="0"/>
    <x v="0"/>
    <s v="3 00"/>
    <n v="10"/>
    <n v="340"/>
    <x v="311"/>
    <s v="Annual"/>
    <n v="1"/>
    <n v="1"/>
    <n v="116592"/>
    <n v="116592"/>
  </r>
  <r>
    <x v="0"/>
    <n v="28"/>
    <x v="8"/>
    <x v="0"/>
    <x v="0"/>
    <n v="1005"/>
    <x v="9"/>
    <x v="0"/>
    <x v="12"/>
    <n v="3010"/>
    <x v="51"/>
    <n v="0"/>
    <x v="0"/>
    <s v="X 23"/>
    <n v="9"/>
    <n v="9676"/>
    <x v="312"/>
    <s v="Annual"/>
    <n v="1"/>
    <n v="1"/>
    <n v="133044"/>
    <n v="133044"/>
  </r>
  <r>
    <x v="0"/>
    <n v="28"/>
    <x v="8"/>
    <x v="0"/>
    <x v="0"/>
    <n v="1005"/>
    <x v="9"/>
    <x v="0"/>
    <x v="12"/>
    <n v="3010"/>
    <x v="51"/>
    <n v="0"/>
    <x v="0"/>
    <s v="X 23"/>
    <n v="9"/>
    <n v="9676"/>
    <x v="312"/>
    <s v="Annual"/>
    <n v="2"/>
    <n v="1"/>
    <n v="124848"/>
    <n v="249696"/>
  </r>
  <r>
    <x v="0"/>
    <n v="28"/>
    <x v="8"/>
    <x v="0"/>
    <x v="0"/>
    <n v="1005"/>
    <x v="9"/>
    <x v="0"/>
    <x v="12"/>
    <n v="3010"/>
    <x v="51"/>
    <n v="0"/>
    <x v="0"/>
    <s v="3 00"/>
    <n v="10"/>
    <n v="340"/>
    <x v="311"/>
    <s v="Annual"/>
    <n v="1"/>
    <n v="1"/>
    <n v="100116"/>
    <n v="100116"/>
  </r>
  <r>
    <x v="0"/>
    <n v="28"/>
    <x v="8"/>
    <x v="0"/>
    <x v="0"/>
    <n v="1005"/>
    <x v="9"/>
    <x v="0"/>
    <x v="12"/>
    <n v="3010"/>
    <x v="51"/>
    <n v="0"/>
    <x v="0"/>
    <s v="3 00"/>
    <n v="10"/>
    <n v="340"/>
    <x v="311"/>
    <s v="Annual"/>
    <n v="1"/>
    <n v="1"/>
    <n v="88200"/>
    <n v="88200"/>
  </r>
  <r>
    <x v="0"/>
    <n v="28"/>
    <x v="8"/>
    <x v="0"/>
    <x v="0"/>
    <n v="1005"/>
    <x v="9"/>
    <x v="0"/>
    <x v="12"/>
    <n v="3010"/>
    <x v="51"/>
    <n v="0"/>
    <x v="0"/>
    <s v="3 00"/>
    <n v="10"/>
    <n v="340"/>
    <x v="311"/>
    <s v="Annual"/>
    <n v="2"/>
    <n v="1"/>
    <n v="86520"/>
    <n v="173040"/>
  </r>
  <r>
    <x v="0"/>
    <n v="28"/>
    <x v="8"/>
    <x v="0"/>
    <x v="0"/>
    <n v="1005"/>
    <x v="9"/>
    <x v="0"/>
    <x v="12"/>
    <n v="3010"/>
    <x v="51"/>
    <n v="0"/>
    <x v="0"/>
    <s v="G 07"/>
    <n v="1"/>
    <n v="242"/>
    <x v="313"/>
    <s v="Annual"/>
    <n v="1"/>
    <n v="1"/>
    <n v="90144"/>
    <n v="90144"/>
  </r>
  <r>
    <x v="0"/>
    <n v="28"/>
    <x v="8"/>
    <x v="0"/>
    <x v="0"/>
    <n v="1005"/>
    <x v="9"/>
    <x v="0"/>
    <x v="12"/>
    <n v="3010"/>
    <x v="51"/>
    <n v="0"/>
    <x v="0"/>
    <s v="1 00"/>
    <n v="0"/>
    <n v="15"/>
    <x v="37"/>
    <s v="Annual"/>
    <n v="0"/>
    <n v="0"/>
    <n v="14309"/>
    <n v="14309"/>
  </r>
  <r>
    <x v="0"/>
    <n v="28"/>
    <x v="8"/>
    <x v="0"/>
    <x v="0"/>
    <n v="1005"/>
    <x v="9"/>
    <x v="0"/>
    <x v="12"/>
    <n v="3015"/>
    <x v="52"/>
    <n v="0"/>
    <x v="0"/>
    <s v="X 22"/>
    <n v="9"/>
    <n v="9673"/>
    <x v="314"/>
    <s v="Annual"/>
    <n v="1"/>
    <n v="1"/>
    <n v="126396"/>
    <n v="126396"/>
  </r>
  <r>
    <x v="0"/>
    <n v="28"/>
    <x v="8"/>
    <x v="0"/>
    <x v="0"/>
    <n v="1005"/>
    <x v="9"/>
    <x v="0"/>
    <x v="12"/>
    <n v="3015"/>
    <x v="52"/>
    <n v="0"/>
    <x v="0"/>
    <s v="3 00"/>
    <n v="10"/>
    <n v="340"/>
    <x v="311"/>
    <s v="Annual"/>
    <n v="1"/>
    <n v="1"/>
    <n v="77256"/>
    <n v="77256"/>
  </r>
  <r>
    <x v="0"/>
    <n v="28"/>
    <x v="8"/>
    <x v="0"/>
    <x v="0"/>
    <n v="1005"/>
    <x v="9"/>
    <x v="0"/>
    <x v="12"/>
    <n v="3015"/>
    <x v="52"/>
    <n v="0"/>
    <x v="0"/>
    <s v="G 09"/>
    <n v="4"/>
    <n v="194"/>
    <x v="282"/>
    <s v="Annual"/>
    <n v="1"/>
    <n v="1"/>
    <n v="154764"/>
    <n v="154764"/>
  </r>
  <r>
    <x v="0"/>
    <n v="28"/>
    <x v="8"/>
    <x v="0"/>
    <x v="0"/>
    <n v="1005"/>
    <x v="9"/>
    <x v="0"/>
    <x v="12"/>
    <n v="3015"/>
    <x v="52"/>
    <n v="0"/>
    <x v="0"/>
    <s v="X 23"/>
    <n v="0"/>
    <n v="119"/>
    <x v="92"/>
    <s v="Annual"/>
    <n v="1"/>
    <n v="1"/>
    <n v="110856"/>
    <n v="110856"/>
  </r>
  <r>
    <x v="0"/>
    <n v="28"/>
    <x v="8"/>
    <x v="0"/>
    <x v="0"/>
    <n v="1005"/>
    <x v="9"/>
    <x v="0"/>
    <x v="12"/>
    <n v="3015"/>
    <x v="52"/>
    <n v="0"/>
    <x v="0"/>
    <s v="1 00"/>
    <n v="0"/>
    <n v="15"/>
    <x v="37"/>
    <s v="Annual"/>
    <n v="0"/>
    <n v="0"/>
    <n v="12243"/>
    <n v="12243"/>
  </r>
  <r>
    <x v="0"/>
    <n v="28"/>
    <x v="8"/>
    <x v="0"/>
    <x v="0"/>
    <n v="1005"/>
    <x v="9"/>
    <x v="0"/>
    <x v="12"/>
    <n v="3020"/>
    <x v="22"/>
    <n v="0"/>
    <x v="0"/>
    <s v="3 00"/>
    <n v="9"/>
    <n v="9733"/>
    <x v="315"/>
    <s v="Annual"/>
    <n v="1"/>
    <n v="1"/>
    <n v="178932"/>
    <n v="178932"/>
  </r>
  <r>
    <x v="0"/>
    <n v="28"/>
    <x v="8"/>
    <x v="0"/>
    <x v="0"/>
    <n v="1005"/>
    <x v="9"/>
    <x v="0"/>
    <x v="12"/>
    <n v="3020"/>
    <x v="22"/>
    <n v="0"/>
    <x v="0"/>
    <s v="X 23"/>
    <n v="9"/>
    <n v="9676"/>
    <x v="312"/>
    <s v="Annual"/>
    <n v="1"/>
    <n v="1"/>
    <n v="150132"/>
    <n v="150132"/>
  </r>
  <r>
    <x v="0"/>
    <n v="28"/>
    <x v="8"/>
    <x v="0"/>
    <x v="0"/>
    <n v="1005"/>
    <x v="9"/>
    <x v="0"/>
    <x v="12"/>
    <n v="3020"/>
    <x v="22"/>
    <n v="0"/>
    <x v="0"/>
    <s v="X 23"/>
    <n v="9"/>
    <n v="9676"/>
    <x v="312"/>
    <s v="Annual"/>
    <n v="1"/>
    <n v="1"/>
    <n v="110856"/>
    <n v="110856"/>
  </r>
  <r>
    <x v="0"/>
    <n v="28"/>
    <x v="8"/>
    <x v="0"/>
    <x v="0"/>
    <n v="1005"/>
    <x v="9"/>
    <x v="0"/>
    <x v="12"/>
    <n v="3020"/>
    <x v="22"/>
    <n v="0"/>
    <x v="0"/>
    <s v="1 00"/>
    <n v="0"/>
    <n v="15"/>
    <x v="37"/>
    <s v="Annual"/>
    <n v="0"/>
    <n v="0"/>
    <n v="1575"/>
    <n v="1575"/>
  </r>
  <r>
    <x v="0"/>
    <n v="30"/>
    <x v="9"/>
    <x v="0"/>
    <x v="0"/>
    <n v="1005"/>
    <x v="10"/>
    <x v="0"/>
    <x v="13"/>
    <n v="3005"/>
    <x v="53"/>
    <n v="4006"/>
    <x v="23"/>
    <s v="1 00"/>
    <n v="9"/>
    <n v="9930"/>
    <x v="316"/>
    <s v="Annual"/>
    <n v="1"/>
    <n v="1"/>
    <n v="191736"/>
    <n v="191736"/>
  </r>
  <r>
    <x v="0"/>
    <n v="30"/>
    <x v="9"/>
    <x v="0"/>
    <x v="0"/>
    <n v="1005"/>
    <x v="10"/>
    <x v="0"/>
    <x v="13"/>
    <n v="3005"/>
    <x v="53"/>
    <n v="4006"/>
    <x v="23"/>
    <s v="X 22"/>
    <n v="9"/>
    <n v="9818"/>
    <x v="317"/>
    <s v="Annual"/>
    <n v="1"/>
    <n v="1"/>
    <n v="167976"/>
    <n v="167976"/>
  </r>
  <r>
    <x v="0"/>
    <n v="30"/>
    <x v="9"/>
    <x v="0"/>
    <x v="0"/>
    <n v="1005"/>
    <x v="10"/>
    <x v="0"/>
    <x v="13"/>
    <n v="3005"/>
    <x v="53"/>
    <n v="4006"/>
    <x v="23"/>
    <s v="BX 15"/>
    <n v="10"/>
    <n v="1911"/>
    <x v="226"/>
    <s v="Annual"/>
    <n v="1"/>
    <n v="1"/>
    <n v="69684"/>
    <n v="69684"/>
  </r>
  <r>
    <x v="0"/>
    <n v="30"/>
    <x v="9"/>
    <x v="0"/>
    <x v="0"/>
    <n v="1005"/>
    <x v="10"/>
    <x v="0"/>
    <x v="13"/>
    <n v="3005"/>
    <x v="53"/>
    <n v="4006"/>
    <x v="23"/>
    <s v="BX 16"/>
    <n v="10"/>
    <n v="802"/>
    <x v="30"/>
    <s v="Annual"/>
    <n v="1"/>
    <n v="1"/>
    <n v="94332"/>
    <n v="94332"/>
  </r>
  <r>
    <x v="0"/>
    <n v="30"/>
    <x v="9"/>
    <x v="0"/>
    <x v="0"/>
    <n v="1005"/>
    <x v="10"/>
    <x v="0"/>
    <x v="13"/>
    <n v="3005"/>
    <x v="53"/>
    <n v="4006"/>
    <x v="23"/>
    <s v="B 13"/>
    <n v="1"/>
    <n v="308"/>
    <x v="90"/>
    <s v="Annual"/>
    <n v="1"/>
    <n v="1"/>
    <n v="119100"/>
    <n v="119100"/>
  </r>
  <r>
    <x v="0"/>
    <n v="30"/>
    <x v="9"/>
    <x v="0"/>
    <x v="0"/>
    <n v="1005"/>
    <x v="10"/>
    <x v="0"/>
    <x v="13"/>
    <n v="3005"/>
    <x v="53"/>
    <n v="4006"/>
    <x v="23"/>
    <s v="1 00"/>
    <n v="0"/>
    <n v="15"/>
    <x v="37"/>
    <s v="Annual"/>
    <n v="0"/>
    <n v="0"/>
    <n v="6923"/>
    <n v="6923"/>
  </r>
  <r>
    <x v="0"/>
    <n v="30"/>
    <x v="9"/>
    <x v="0"/>
    <x v="0"/>
    <n v="1005"/>
    <x v="10"/>
    <x v="0"/>
    <x v="13"/>
    <n v="3005"/>
    <x v="53"/>
    <n v="4010"/>
    <x v="24"/>
    <s v="B 12"/>
    <n v="1"/>
    <s v="03A8"/>
    <x v="88"/>
    <s v="Annual"/>
    <n v="2"/>
    <n v="1"/>
    <n v="62544"/>
    <n v="125088"/>
  </r>
  <r>
    <x v="0"/>
    <n v="30"/>
    <x v="9"/>
    <x v="0"/>
    <x v="0"/>
    <n v="1005"/>
    <x v="10"/>
    <x v="0"/>
    <x v="13"/>
    <n v="3005"/>
    <x v="53"/>
    <n v="4010"/>
    <x v="24"/>
    <s v="B 10"/>
    <n v="1"/>
    <s v="03A7"/>
    <x v="4"/>
    <s v="Annual"/>
    <n v="1"/>
    <n v="1"/>
    <n v="90144"/>
    <n v="90144"/>
  </r>
  <r>
    <x v="0"/>
    <n v="30"/>
    <x v="9"/>
    <x v="0"/>
    <x v="0"/>
    <n v="1005"/>
    <x v="10"/>
    <x v="0"/>
    <x v="13"/>
    <n v="3005"/>
    <x v="53"/>
    <n v="4010"/>
    <x v="24"/>
    <s v="B 10"/>
    <n v="1"/>
    <s v="03A7"/>
    <x v="4"/>
    <s v="Annual"/>
    <n v="1"/>
    <n v="1"/>
    <n v="74916"/>
    <n v="74916"/>
  </r>
  <r>
    <x v="0"/>
    <n v="30"/>
    <x v="9"/>
    <x v="0"/>
    <x v="0"/>
    <n v="1005"/>
    <x v="10"/>
    <x v="0"/>
    <x v="13"/>
    <n v="3005"/>
    <x v="53"/>
    <n v="4010"/>
    <x v="24"/>
    <s v="B 10"/>
    <n v="1"/>
    <s v="03A7"/>
    <x v="4"/>
    <s v="Annual"/>
    <n v="1"/>
    <n v="1"/>
    <n v="56124"/>
    <n v="56124"/>
  </r>
  <r>
    <x v="0"/>
    <n v="30"/>
    <x v="9"/>
    <x v="0"/>
    <x v="0"/>
    <n v="1005"/>
    <x v="10"/>
    <x v="0"/>
    <x v="13"/>
    <n v="3005"/>
    <x v="53"/>
    <n v="4010"/>
    <x v="24"/>
    <s v="1 00"/>
    <n v="0"/>
    <n v="15"/>
    <x v="37"/>
    <s v="Annual"/>
    <n v="0"/>
    <n v="0"/>
    <n v="2487"/>
    <n v="2487"/>
  </r>
  <r>
    <x v="0"/>
    <n v="30"/>
    <x v="9"/>
    <x v="0"/>
    <x v="0"/>
    <n v="1005"/>
    <x v="10"/>
    <x v="0"/>
    <x v="13"/>
    <n v="3010"/>
    <x v="54"/>
    <n v="4015"/>
    <x v="25"/>
    <s v="BX 15"/>
    <n v="10"/>
    <n v="1911"/>
    <x v="226"/>
    <s v="Annual"/>
    <n v="1"/>
    <n v="1"/>
    <n v="69684"/>
    <n v="69684"/>
  </r>
  <r>
    <x v="0"/>
    <n v="30"/>
    <x v="9"/>
    <x v="0"/>
    <x v="0"/>
    <n v="1005"/>
    <x v="10"/>
    <x v="0"/>
    <x v="13"/>
    <n v="3010"/>
    <x v="54"/>
    <n v="4015"/>
    <x v="25"/>
    <s v="BX 16"/>
    <n v="10"/>
    <n v="1315"/>
    <x v="318"/>
    <s v="Annual"/>
    <n v="1"/>
    <n v="1"/>
    <n v="124584"/>
    <n v="124584"/>
  </r>
  <r>
    <x v="0"/>
    <n v="30"/>
    <x v="9"/>
    <x v="0"/>
    <x v="0"/>
    <n v="1005"/>
    <x v="10"/>
    <x v="0"/>
    <x v="13"/>
    <n v="3010"/>
    <x v="54"/>
    <n v="4015"/>
    <x v="25"/>
    <s v="1 00"/>
    <n v="0"/>
    <n v="15"/>
    <x v="37"/>
    <s v="Annual"/>
    <n v="0"/>
    <n v="0"/>
    <n v="1656"/>
    <n v="1656"/>
  </r>
  <r>
    <x v="0"/>
    <n v="30"/>
    <x v="9"/>
    <x v="0"/>
    <x v="0"/>
    <n v="1005"/>
    <x v="10"/>
    <x v="0"/>
    <x v="13"/>
    <n v="3015"/>
    <x v="55"/>
    <n v="4025"/>
    <x v="26"/>
    <s v="X 23"/>
    <n v="9"/>
    <n v="9819"/>
    <x v="319"/>
    <s v="Annual"/>
    <n v="1"/>
    <n v="1"/>
    <n v="138840"/>
    <n v="138840"/>
  </r>
  <r>
    <x v="0"/>
    <n v="30"/>
    <x v="9"/>
    <x v="0"/>
    <x v="0"/>
    <n v="1005"/>
    <x v="10"/>
    <x v="0"/>
    <x v="13"/>
    <n v="3015"/>
    <x v="55"/>
    <n v="4025"/>
    <x v="26"/>
    <s v="B 12"/>
    <n v="1"/>
    <s v="03A8"/>
    <x v="88"/>
    <s v="Annual"/>
    <n v="1"/>
    <n v="1"/>
    <n v="64488"/>
    <n v="64488"/>
  </r>
  <r>
    <x v="0"/>
    <n v="30"/>
    <x v="9"/>
    <x v="0"/>
    <x v="0"/>
    <n v="1005"/>
    <x v="10"/>
    <x v="0"/>
    <x v="13"/>
    <n v="3015"/>
    <x v="55"/>
    <n v="4025"/>
    <x v="26"/>
    <s v="B 10"/>
    <n v="1"/>
    <s v="03A7"/>
    <x v="4"/>
    <s v="Annual"/>
    <n v="1"/>
    <n v="1"/>
    <n v="90144"/>
    <n v="90144"/>
  </r>
  <r>
    <x v="0"/>
    <n v="30"/>
    <x v="9"/>
    <x v="0"/>
    <x v="0"/>
    <n v="1005"/>
    <x v="10"/>
    <x v="0"/>
    <x v="13"/>
    <n v="3015"/>
    <x v="55"/>
    <n v="4025"/>
    <x v="26"/>
    <s v="B 10"/>
    <n v="1"/>
    <s v="03A7"/>
    <x v="4"/>
    <s v="Annual"/>
    <n v="1"/>
    <n v="1"/>
    <n v="51936"/>
    <n v="51936"/>
  </r>
  <r>
    <x v="0"/>
    <n v="30"/>
    <x v="9"/>
    <x v="0"/>
    <x v="0"/>
    <n v="1005"/>
    <x v="10"/>
    <x v="0"/>
    <x v="13"/>
    <n v="3015"/>
    <x v="55"/>
    <n v="4025"/>
    <x v="26"/>
    <s v="B 13"/>
    <n v="1"/>
    <n v="308"/>
    <x v="90"/>
    <s v="Annual"/>
    <n v="1"/>
    <n v="1"/>
    <n v="98928"/>
    <n v="98928"/>
  </r>
  <r>
    <x v="0"/>
    <n v="30"/>
    <x v="9"/>
    <x v="0"/>
    <x v="0"/>
    <n v="1005"/>
    <x v="10"/>
    <x v="0"/>
    <x v="13"/>
    <n v="3015"/>
    <x v="55"/>
    <n v="4025"/>
    <x v="26"/>
    <s v="1 00"/>
    <n v="0"/>
    <n v="15"/>
    <x v="37"/>
    <s v="Annual"/>
    <n v="0"/>
    <n v="0"/>
    <n v="8889"/>
    <n v="8889"/>
  </r>
  <r>
    <x v="0"/>
    <n v="30"/>
    <x v="9"/>
    <x v="0"/>
    <x v="0"/>
    <n v="1005"/>
    <x v="10"/>
    <x v="0"/>
    <x v="13"/>
    <n v="3015"/>
    <x v="55"/>
    <n v="4100"/>
    <x v="27"/>
    <s v="X 23"/>
    <n v="0"/>
    <n v="1660"/>
    <x v="320"/>
    <s v="Annual"/>
    <n v="1"/>
    <n v="1"/>
    <n v="138840"/>
    <n v="138840"/>
  </r>
  <r>
    <x v="0"/>
    <n v="30"/>
    <x v="9"/>
    <x v="0"/>
    <x v="0"/>
    <n v="1005"/>
    <x v="10"/>
    <x v="0"/>
    <x v="13"/>
    <n v="3015"/>
    <x v="55"/>
    <n v="4100"/>
    <x v="27"/>
    <s v="B 10"/>
    <n v="1"/>
    <s v="03A7"/>
    <x v="4"/>
    <s v="Annual"/>
    <n v="1"/>
    <n v="1"/>
    <n v="90144"/>
    <n v="90144"/>
  </r>
  <r>
    <x v="0"/>
    <n v="30"/>
    <x v="9"/>
    <x v="0"/>
    <x v="0"/>
    <n v="1005"/>
    <x v="10"/>
    <x v="0"/>
    <x v="13"/>
    <n v="3015"/>
    <x v="55"/>
    <n v="4100"/>
    <x v="27"/>
    <s v="B 10"/>
    <n v="1"/>
    <s v="03A7"/>
    <x v="4"/>
    <s v="Annual"/>
    <n v="1"/>
    <n v="1"/>
    <n v="74916"/>
    <n v="74916"/>
  </r>
  <r>
    <x v="0"/>
    <n v="30"/>
    <x v="9"/>
    <x v="0"/>
    <x v="0"/>
    <n v="1005"/>
    <x v="10"/>
    <x v="0"/>
    <x v="13"/>
    <n v="3015"/>
    <x v="55"/>
    <n v="4100"/>
    <x v="27"/>
    <s v="B 13"/>
    <n v="1"/>
    <n v="308"/>
    <x v="90"/>
    <s v="Annual"/>
    <n v="1"/>
    <n v="1"/>
    <n v="77640"/>
    <n v="77640"/>
  </r>
  <r>
    <x v="0"/>
    <n v="30"/>
    <x v="9"/>
    <x v="0"/>
    <x v="0"/>
    <n v="1005"/>
    <x v="10"/>
    <x v="0"/>
    <x v="13"/>
    <n v="3015"/>
    <x v="55"/>
    <n v="4100"/>
    <x v="27"/>
    <s v="1 00"/>
    <n v="0"/>
    <n v="15"/>
    <x v="37"/>
    <s v="Annual"/>
    <n v="0"/>
    <n v="0"/>
    <n v="5120"/>
    <n v="5120"/>
  </r>
  <r>
    <x v="0"/>
    <n v="30"/>
    <x v="9"/>
    <x v="0"/>
    <x v="0"/>
    <n v="1005"/>
    <x v="10"/>
    <x v="0"/>
    <x v="13"/>
    <n v="3015"/>
    <x v="55"/>
    <n v="4350"/>
    <x v="28"/>
    <s v="X 23"/>
    <n v="0"/>
    <n v="1660"/>
    <x v="320"/>
    <s v="Annual"/>
    <n v="1"/>
    <n v="1"/>
    <n v="110856"/>
    <n v="110856"/>
  </r>
  <r>
    <x v="0"/>
    <n v="30"/>
    <x v="9"/>
    <x v="0"/>
    <x v="0"/>
    <n v="1005"/>
    <x v="10"/>
    <x v="0"/>
    <x v="13"/>
    <n v="3015"/>
    <x v="55"/>
    <n v="4350"/>
    <x v="28"/>
    <s v="B 10"/>
    <n v="1"/>
    <s v="03A7"/>
    <x v="4"/>
    <s v="Annual"/>
    <n v="1"/>
    <n v="1"/>
    <n v="90144"/>
    <n v="90144"/>
  </r>
  <r>
    <x v="0"/>
    <n v="30"/>
    <x v="9"/>
    <x v="0"/>
    <x v="0"/>
    <n v="1005"/>
    <x v="10"/>
    <x v="0"/>
    <x v="13"/>
    <n v="3015"/>
    <x v="55"/>
    <n v="4350"/>
    <x v="28"/>
    <s v="B 10"/>
    <n v="1"/>
    <s v="03A7"/>
    <x v="4"/>
    <s v="Annual"/>
    <n v="2"/>
    <n v="1"/>
    <n v="56124"/>
    <n v="112248"/>
  </r>
  <r>
    <x v="0"/>
    <n v="30"/>
    <x v="9"/>
    <x v="0"/>
    <x v="0"/>
    <n v="1005"/>
    <x v="10"/>
    <x v="0"/>
    <x v="13"/>
    <n v="3015"/>
    <x v="55"/>
    <n v="4350"/>
    <x v="28"/>
    <s v="B 10"/>
    <n v="1"/>
    <s v="03A7"/>
    <x v="4"/>
    <s v="Annual"/>
    <n v="1"/>
    <n v="1"/>
    <n v="51936"/>
    <n v="51936"/>
  </r>
  <r>
    <x v="0"/>
    <n v="30"/>
    <x v="9"/>
    <x v="0"/>
    <x v="0"/>
    <n v="1005"/>
    <x v="10"/>
    <x v="0"/>
    <x v="13"/>
    <n v="3015"/>
    <x v="55"/>
    <n v="4350"/>
    <x v="28"/>
    <s v="B 13"/>
    <n v="1"/>
    <n v="308"/>
    <x v="90"/>
    <s v="Annual"/>
    <n v="1"/>
    <n v="1"/>
    <n v="81324"/>
    <n v="81324"/>
  </r>
  <r>
    <x v="0"/>
    <n v="30"/>
    <x v="9"/>
    <x v="0"/>
    <x v="0"/>
    <n v="1005"/>
    <x v="10"/>
    <x v="0"/>
    <x v="13"/>
    <n v="3015"/>
    <x v="55"/>
    <n v="4350"/>
    <x v="28"/>
    <s v="1 00"/>
    <n v="0"/>
    <n v="15"/>
    <x v="37"/>
    <s v="Annual"/>
    <n v="0"/>
    <n v="0"/>
    <n v="6489"/>
    <n v="6489"/>
  </r>
  <r>
    <x v="0"/>
    <n v="30"/>
    <x v="9"/>
    <x v="0"/>
    <x v="0"/>
    <n v="1005"/>
    <x v="10"/>
    <x v="0"/>
    <x v="13"/>
    <n v="3015"/>
    <x v="55"/>
    <n v="4400"/>
    <x v="29"/>
    <s v="X 23"/>
    <n v="0"/>
    <n v="1660"/>
    <x v="320"/>
    <s v="Annual"/>
    <n v="1"/>
    <n v="1"/>
    <n v="138840"/>
    <n v="138840"/>
  </r>
  <r>
    <x v="0"/>
    <n v="30"/>
    <x v="9"/>
    <x v="0"/>
    <x v="0"/>
    <n v="1005"/>
    <x v="10"/>
    <x v="0"/>
    <x v="13"/>
    <n v="3015"/>
    <x v="55"/>
    <n v="4400"/>
    <x v="29"/>
    <s v="B 12"/>
    <n v="1"/>
    <s v="03A8"/>
    <x v="88"/>
    <s v="Annual"/>
    <n v="1"/>
    <n v="1"/>
    <n v="62544"/>
    <n v="62544"/>
  </r>
  <r>
    <x v="0"/>
    <n v="30"/>
    <x v="9"/>
    <x v="0"/>
    <x v="0"/>
    <n v="1005"/>
    <x v="10"/>
    <x v="0"/>
    <x v="13"/>
    <n v="3015"/>
    <x v="55"/>
    <n v="4400"/>
    <x v="29"/>
    <s v="B 10"/>
    <n v="1"/>
    <s v="03A7"/>
    <x v="4"/>
    <s v="Annual"/>
    <n v="2"/>
    <n v="1"/>
    <n v="68256"/>
    <n v="136512"/>
  </r>
  <r>
    <x v="0"/>
    <n v="30"/>
    <x v="9"/>
    <x v="0"/>
    <x v="0"/>
    <n v="1005"/>
    <x v="10"/>
    <x v="0"/>
    <x v="13"/>
    <n v="3015"/>
    <x v="55"/>
    <n v="4400"/>
    <x v="29"/>
    <s v="B 13"/>
    <n v="1"/>
    <n v="308"/>
    <x v="90"/>
    <s v="Annual"/>
    <n v="1"/>
    <n v="1"/>
    <n v="119100"/>
    <n v="119100"/>
  </r>
  <r>
    <x v="0"/>
    <n v="30"/>
    <x v="9"/>
    <x v="0"/>
    <x v="0"/>
    <n v="1005"/>
    <x v="10"/>
    <x v="0"/>
    <x v="13"/>
    <n v="3015"/>
    <x v="55"/>
    <n v="4400"/>
    <x v="29"/>
    <s v="1 00"/>
    <n v="0"/>
    <n v="15"/>
    <x v="37"/>
    <s v="Annual"/>
    <n v="0"/>
    <n v="0"/>
    <n v="2632"/>
    <n v="2632"/>
  </r>
  <r>
    <x v="0"/>
    <n v="30"/>
    <x v="9"/>
    <x v="0"/>
    <x v="0"/>
    <n v="1005"/>
    <x v="10"/>
    <x v="0"/>
    <x v="13"/>
    <n v="3015"/>
    <x v="55"/>
    <n v="4500"/>
    <x v="30"/>
    <s v="GY 10"/>
    <n v="20"/>
    <n v="9844"/>
    <x v="321"/>
    <s v="Annual"/>
    <n v="1"/>
    <n v="1"/>
    <n v="106272"/>
    <n v="106272"/>
  </r>
  <r>
    <x v="0"/>
    <n v="30"/>
    <x v="9"/>
    <x v="0"/>
    <x v="0"/>
    <n v="1005"/>
    <x v="10"/>
    <x v="0"/>
    <x v="13"/>
    <n v="3015"/>
    <x v="55"/>
    <n v="4500"/>
    <x v="30"/>
    <s v="X 23"/>
    <n v="0"/>
    <n v="1660"/>
    <x v="320"/>
    <s v="Annual"/>
    <n v="1"/>
    <n v="1"/>
    <n v="138840"/>
    <n v="138840"/>
  </r>
  <r>
    <x v="0"/>
    <n v="30"/>
    <x v="9"/>
    <x v="0"/>
    <x v="0"/>
    <n v="1005"/>
    <x v="10"/>
    <x v="0"/>
    <x v="13"/>
    <n v="3015"/>
    <x v="55"/>
    <n v="4500"/>
    <x v="30"/>
    <s v="B 10"/>
    <n v="1"/>
    <s v="03A7"/>
    <x v="4"/>
    <s v="Annual"/>
    <n v="4"/>
    <n v="1"/>
    <n v="90144"/>
    <n v="360576"/>
  </r>
  <r>
    <x v="0"/>
    <n v="30"/>
    <x v="9"/>
    <x v="0"/>
    <x v="0"/>
    <n v="1005"/>
    <x v="10"/>
    <x v="0"/>
    <x v="13"/>
    <n v="3015"/>
    <x v="55"/>
    <n v="4500"/>
    <x v="30"/>
    <s v="B 13"/>
    <n v="1"/>
    <n v="308"/>
    <x v="90"/>
    <s v="Annual"/>
    <n v="1"/>
    <n v="1"/>
    <n v="85200"/>
    <n v="85200"/>
  </r>
  <r>
    <x v="0"/>
    <n v="30"/>
    <x v="9"/>
    <x v="0"/>
    <x v="0"/>
    <n v="1005"/>
    <x v="10"/>
    <x v="0"/>
    <x v="13"/>
    <n v="3015"/>
    <x v="55"/>
    <n v="4500"/>
    <x v="30"/>
    <s v="1 00"/>
    <n v="0"/>
    <n v="15"/>
    <x v="37"/>
    <s v="Annual"/>
    <n v="0"/>
    <n v="0"/>
    <n v="3232"/>
    <n v="3232"/>
  </r>
  <r>
    <x v="0"/>
    <n v="31"/>
    <x v="10"/>
    <x v="0"/>
    <x v="0"/>
    <n v="1005"/>
    <x v="11"/>
    <x v="0"/>
    <x v="14"/>
    <n v="3006"/>
    <x v="22"/>
    <n v="4005"/>
    <x v="31"/>
    <s v="1 00"/>
    <n v="9"/>
    <n v="9931"/>
    <x v="322"/>
    <s v="Annual"/>
    <n v="1"/>
    <n v="1"/>
    <n v="236868"/>
    <n v="236868"/>
  </r>
  <r>
    <x v="0"/>
    <n v="31"/>
    <x v="10"/>
    <x v="0"/>
    <x v="0"/>
    <n v="1005"/>
    <x v="11"/>
    <x v="0"/>
    <x v="14"/>
    <n v="3006"/>
    <x v="22"/>
    <n v="4005"/>
    <x v="31"/>
    <s v="PX 01"/>
    <n v="9"/>
    <n v="9715"/>
    <x v="323"/>
    <s v="Annual"/>
    <n v="1"/>
    <n v="1"/>
    <n v="155556"/>
    <n v="155556"/>
  </r>
  <r>
    <x v="0"/>
    <n v="31"/>
    <x v="10"/>
    <x v="0"/>
    <x v="0"/>
    <n v="1005"/>
    <x v="11"/>
    <x v="0"/>
    <x v="14"/>
    <n v="3006"/>
    <x v="22"/>
    <n v="4005"/>
    <x v="31"/>
    <s v="BX 15"/>
    <n v="0"/>
    <n v="1689"/>
    <x v="324"/>
    <s v="Annual"/>
    <n v="1"/>
    <n v="1"/>
    <n v="80124"/>
    <n v="80124"/>
  </r>
  <r>
    <x v="0"/>
    <n v="31"/>
    <x v="10"/>
    <x v="0"/>
    <x v="0"/>
    <n v="1005"/>
    <x v="11"/>
    <x v="0"/>
    <x v="14"/>
    <n v="3006"/>
    <x v="22"/>
    <n v="4005"/>
    <x v="31"/>
    <s v="LX 01"/>
    <n v="9"/>
    <n v="1657"/>
    <x v="325"/>
    <s v="Annual"/>
    <n v="1"/>
    <n v="1"/>
    <n v="205200"/>
    <n v="205200"/>
  </r>
  <r>
    <x v="0"/>
    <n v="31"/>
    <x v="10"/>
    <x v="0"/>
    <x v="0"/>
    <n v="1005"/>
    <x v="11"/>
    <x v="0"/>
    <x v="14"/>
    <n v="3006"/>
    <x v="22"/>
    <n v="4005"/>
    <x v="31"/>
    <s v="LX 01"/>
    <n v="9"/>
    <n v="1654"/>
    <x v="326"/>
    <s v="Annual"/>
    <n v="1"/>
    <n v="1"/>
    <n v="217128"/>
    <n v="217128"/>
  </r>
  <r>
    <x v="0"/>
    <n v="31"/>
    <x v="10"/>
    <x v="0"/>
    <x v="0"/>
    <n v="1005"/>
    <x v="11"/>
    <x v="0"/>
    <x v="14"/>
    <n v="3006"/>
    <x v="22"/>
    <n v="4005"/>
    <x v="31"/>
    <s v="LX 01"/>
    <n v="9"/>
    <n v="1654"/>
    <x v="326"/>
    <s v="Annual"/>
    <n v="1"/>
    <n v="1"/>
    <n v="211752"/>
    <n v="211752"/>
  </r>
  <r>
    <x v="0"/>
    <n v="31"/>
    <x v="10"/>
    <x v="0"/>
    <x v="0"/>
    <n v="1005"/>
    <x v="11"/>
    <x v="0"/>
    <x v="14"/>
    <n v="3006"/>
    <x v="22"/>
    <n v="4005"/>
    <x v="31"/>
    <s v="BX 16"/>
    <n v="10"/>
    <n v="802"/>
    <x v="30"/>
    <s v="Annual"/>
    <n v="1"/>
    <n v="1"/>
    <n v="98832"/>
    <n v="98832"/>
  </r>
  <r>
    <x v="0"/>
    <n v="31"/>
    <x v="10"/>
    <x v="0"/>
    <x v="0"/>
    <n v="1005"/>
    <x v="11"/>
    <x v="0"/>
    <x v="14"/>
    <n v="3006"/>
    <x v="22"/>
    <n v="4005"/>
    <x v="31"/>
    <s v="BX 16"/>
    <n v="10"/>
    <n v="802"/>
    <x v="30"/>
    <s v="Annual"/>
    <n v="1"/>
    <n v="1"/>
    <n v="83052"/>
    <n v="83052"/>
  </r>
  <r>
    <x v="0"/>
    <n v="31"/>
    <x v="10"/>
    <x v="0"/>
    <x v="0"/>
    <n v="1005"/>
    <x v="11"/>
    <x v="0"/>
    <x v="14"/>
    <n v="3006"/>
    <x v="22"/>
    <n v="4005"/>
    <x v="31"/>
    <s v="BX 15"/>
    <n v="10"/>
    <n v="789"/>
    <x v="75"/>
    <s v="Annual"/>
    <n v="1"/>
    <n v="1"/>
    <n v="76476"/>
    <n v="76476"/>
  </r>
  <r>
    <x v="0"/>
    <n v="31"/>
    <x v="10"/>
    <x v="0"/>
    <x v="0"/>
    <n v="1005"/>
    <x v="11"/>
    <x v="0"/>
    <x v="14"/>
    <n v="3006"/>
    <x v="22"/>
    <n v="4005"/>
    <x v="31"/>
    <s v="1 00"/>
    <n v="0"/>
    <n v="15"/>
    <x v="37"/>
    <s v="Annual"/>
    <n v="0"/>
    <n v="0"/>
    <n v="9720"/>
    <n v="9720"/>
  </r>
  <r>
    <x v="0"/>
    <n v="31"/>
    <x v="10"/>
    <x v="0"/>
    <x v="0"/>
    <n v="1005"/>
    <x v="11"/>
    <x v="0"/>
    <x v="14"/>
    <n v="3006"/>
    <x v="22"/>
    <n v="4010"/>
    <x v="32"/>
    <s v="BX 15"/>
    <n v="0"/>
    <n v="1689"/>
    <x v="324"/>
    <s v="Annual"/>
    <n v="1"/>
    <n v="1"/>
    <n v="80124"/>
    <n v="80124"/>
  </r>
  <r>
    <x v="0"/>
    <n v="31"/>
    <x v="10"/>
    <x v="0"/>
    <x v="0"/>
    <n v="1005"/>
    <x v="11"/>
    <x v="0"/>
    <x v="14"/>
    <n v="3006"/>
    <x v="22"/>
    <n v="4010"/>
    <x v="32"/>
    <s v="GY 11"/>
    <n v="10"/>
    <n v="1661"/>
    <x v="327"/>
    <s v="Annual"/>
    <n v="1"/>
    <n v="1"/>
    <n v="126756"/>
    <n v="126756"/>
  </r>
  <r>
    <x v="0"/>
    <n v="31"/>
    <x v="10"/>
    <x v="0"/>
    <x v="0"/>
    <n v="1005"/>
    <x v="11"/>
    <x v="0"/>
    <x v="14"/>
    <n v="3006"/>
    <x v="22"/>
    <n v="4010"/>
    <x v="32"/>
    <s v="LX 02"/>
    <n v="9"/>
    <n v="1650"/>
    <x v="328"/>
    <s v="Annual"/>
    <n v="1"/>
    <n v="1"/>
    <n v="192852"/>
    <n v="192852"/>
  </r>
  <r>
    <x v="0"/>
    <n v="31"/>
    <x v="10"/>
    <x v="0"/>
    <x v="0"/>
    <n v="1005"/>
    <x v="11"/>
    <x v="0"/>
    <x v="14"/>
    <n v="3006"/>
    <x v="22"/>
    <n v="4010"/>
    <x v="32"/>
    <s v="BX 15"/>
    <n v="10"/>
    <n v="1310"/>
    <x v="329"/>
    <s v="Annual"/>
    <n v="1"/>
    <n v="1"/>
    <n v="76476"/>
    <n v="76476"/>
  </r>
  <r>
    <x v="0"/>
    <n v="31"/>
    <x v="10"/>
    <x v="0"/>
    <x v="0"/>
    <n v="1005"/>
    <x v="11"/>
    <x v="0"/>
    <x v="14"/>
    <n v="3006"/>
    <x v="22"/>
    <n v="4010"/>
    <x v="32"/>
    <s v="B 13"/>
    <n v="1"/>
    <n v="1301"/>
    <x v="227"/>
    <s v="Annual"/>
    <n v="1"/>
    <n v="1"/>
    <n v="108576"/>
    <n v="108576"/>
  </r>
  <r>
    <x v="0"/>
    <n v="31"/>
    <x v="10"/>
    <x v="0"/>
    <x v="0"/>
    <n v="1005"/>
    <x v="11"/>
    <x v="0"/>
    <x v="14"/>
    <n v="3006"/>
    <x v="22"/>
    <n v="4010"/>
    <x v="32"/>
    <s v="BX 14"/>
    <n v="10"/>
    <n v="1158"/>
    <x v="330"/>
    <s v="Annual"/>
    <n v="1"/>
    <n v="1"/>
    <n v="103488"/>
    <n v="103488"/>
  </r>
  <r>
    <x v="0"/>
    <n v="31"/>
    <x v="10"/>
    <x v="0"/>
    <x v="0"/>
    <n v="1005"/>
    <x v="11"/>
    <x v="0"/>
    <x v="14"/>
    <n v="3006"/>
    <x v="22"/>
    <n v="4010"/>
    <x v="32"/>
    <s v="GY 06"/>
    <n v="20"/>
    <n v="654"/>
    <x v="331"/>
    <s v="Annual"/>
    <n v="1"/>
    <n v="1"/>
    <n v="79728"/>
    <n v="79728"/>
  </r>
  <r>
    <x v="0"/>
    <n v="31"/>
    <x v="10"/>
    <x v="0"/>
    <x v="0"/>
    <n v="1005"/>
    <x v="11"/>
    <x v="0"/>
    <x v="14"/>
    <n v="3006"/>
    <x v="22"/>
    <n v="4010"/>
    <x v="32"/>
    <s v="X 33"/>
    <n v="0"/>
    <n v="601"/>
    <x v="332"/>
    <s v="Annual"/>
    <n v="1"/>
    <n v="1"/>
    <n v="146808"/>
    <n v="146808"/>
  </r>
  <r>
    <x v="0"/>
    <n v="31"/>
    <x v="10"/>
    <x v="0"/>
    <x v="0"/>
    <n v="1005"/>
    <x v="11"/>
    <x v="0"/>
    <x v="14"/>
    <n v="3006"/>
    <x v="22"/>
    <n v="4010"/>
    <x v="32"/>
    <s v="B 12"/>
    <n v="1"/>
    <s v="03A8"/>
    <x v="88"/>
    <s v="Annual"/>
    <n v="1"/>
    <n v="1"/>
    <n v="62544"/>
    <n v="62544"/>
  </r>
  <r>
    <x v="0"/>
    <n v="31"/>
    <x v="10"/>
    <x v="0"/>
    <x v="0"/>
    <n v="1005"/>
    <x v="11"/>
    <x v="0"/>
    <x v="14"/>
    <n v="3006"/>
    <x v="22"/>
    <n v="4010"/>
    <x v="32"/>
    <s v="BX 18"/>
    <n v="10"/>
    <n v="361"/>
    <x v="333"/>
    <s v="Annual"/>
    <n v="1"/>
    <n v="1"/>
    <n v="136692"/>
    <n v="136692"/>
  </r>
  <r>
    <x v="0"/>
    <n v="31"/>
    <x v="10"/>
    <x v="0"/>
    <x v="0"/>
    <n v="1005"/>
    <x v="11"/>
    <x v="0"/>
    <x v="14"/>
    <n v="3006"/>
    <x v="22"/>
    <n v="4010"/>
    <x v="32"/>
    <s v="B 13"/>
    <n v="1"/>
    <n v="308"/>
    <x v="90"/>
    <s v="Annual"/>
    <n v="1"/>
    <n v="1"/>
    <n v="77640"/>
    <n v="77640"/>
  </r>
  <r>
    <x v="0"/>
    <n v="31"/>
    <x v="10"/>
    <x v="0"/>
    <x v="0"/>
    <n v="1005"/>
    <x v="11"/>
    <x v="0"/>
    <x v="14"/>
    <n v="3006"/>
    <x v="22"/>
    <n v="4010"/>
    <x v="32"/>
    <s v="GY 07"/>
    <n v="20"/>
    <n v="125"/>
    <x v="334"/>
    <s v="Annual"/>
    <n v="1"/>
    <n v="1"/>
    <n v="85236"/>
    <n v="85236"/>
  </r>
  <r>
    <x v="0"/>
    <n v="31"/>
    <x v="10"/>
    <x v="0"/>
    <x v="0"/>
    <n v="1005"/>
    <x v="11"/>
    <x v="0"/>
    <x v="14"/>
    <n v="3006"/>
    <x v="22"/>
    <n v="4010"/>
    <x v="32"/>
    <s v="X 33"/>
    <n v="0"/>
    <n v="118"/>
    <x v="92"/>
    <s v="Annual"/>
    <n v="1"/>
    <n v="1"/>
    <n v="153384"/>
    <n v="153384"/>
  </r>
  <r>
    <x v="0"/>
    <n v="31"/>
    <x v="10"/>
    <x v="0"/>
    <x v="0"/>
    <n v="1005"/>
    <x v="11"/>
    <x v="0"/>
    <x v="14"/>
    <n v="3006"/>
    <x v="22"/>
    <n v="4010"/>
    <x v="32"/>
    <s v="B 11"/>
    <n v="1"/>
    <n v="109"/>
    <x v="94"/>
    <s v="Annual"/>
    <n v="1"/>
    <n v="1"/>
    <n v="57000"/>
    <n v="57000"/>
  </r>
  <r>
    <x v="0"/>
    <n v="31"/>
    <x v="10"/>
    <x v="0"/>
    <x v="0"/>
    <n v="1005"/>
    <x v="11"/>
    <x v="0"/>
    <x v="14"/>
    <n v="3006"/>
    <x v="22"/>
    <n v="4010"/>
    <x v="32"/>
    <s v="1 00"/>
    <n v="0"/>
    <n v="15"/>
    <x v="37"/>
    <s v="Annual"/>
    <n v="0"/>
    <n v="0"/>
    <n v="16109"/>
    <n v="16109"/>
  </r>
  <r>
    <x v="0"/>
    <n v="31"/>
    <x v="10"/>
    <x v="0"/>
    <x v="0"/>
    <n v="1005"/>
    <x v="11"/>
    <x v="0"/>
    <x v="14"/>
    <n v="3007"/>
    <x v="56"/>
    <n v="0"/>
    <x v="0"/>
    <s v="BX 15"/>
    <n v="0"/>
    <n v="1689"/>
    <x v="324"/>
    <s v="Annual"/>
    <n v="1"/>
    <n v="1"/>
    <n v="113568"/>
    <n v="113568"/>
  </r>
  <r>
    <x v="0"/>
    <n v="31"/>
    <x v="10"/>
    <x v="0"/>
    <x v="0"/>
    <n v="1005"/>
    <x v="11"/>
    <x v="0"/>
    <x v="14"/>
    <n v="3007"/>
    <x v="56"/>
    <n v="0"/>
    <x v="0"/>
    <s v="L 03"/>
    <n v="9"/>
    <n v="1673"/>
    <x v="335"/>
    <s v="Annual"/>
    <n v="1"/>
    <n v="1"/>
    <n v="130128"/>
    <n v="130128"/>
  </r>
  <r>
    <x v="0"/>
    <n v="31"/>
    <x v="10"/>
    <x v="0"/>
    <x v="0"/>
    <n v="1005"/>
    <x v="11"/>
    <x v="0"/>
    <x v="14"/>
    <n v="3007"/>
    <x v="56"/>
    <n v="0"/>
    <x v="0"/>
    <s v="L 03"/>
    <n v="9"/>
    <n v="1673"/>
    <x v="335"/>
    <s v="Annual"/>
    <n v="1"/>
    <n v="1"/>
    <n v="118596"/>
    <n v="118596"/>
  </r>
  <r>
    <x v="0"/>
    <n v="31"/>
    <x v="10"/>
    <x v="0"/>
    <x v="0"/>
    <n v="1005"/>
    <x v="11"/>
    <x v="0"/>
    <x v="14"/>
    <n v="3007"/>
    <x v="56"/>
    <n v="0"/>
    <x v="0"/>
    <s v="L 03"/>
    <n v="9"/>
    <n v="1673"/>
    <x v="335"/>
    <s v="Annual"/>
    <n v="2"/>
    <n v="1"/>
    <n v="113208"/>
    <n v="226416"/>
  </r>
  <r>
    <x v="0"/>
    <n v="31"/>
    <x v="10"/>
    <x v="0"/>
    <x v="0"/>
    <n v="1005"/>
    <x v="11"/>
    <x v="0"/>
    <x v="14"/>
    <n v="3007"/>
    <x v="56"/>
    <n v="0"/>
    <x v="0"/>
    <s v="L 03"/>
    <n v="9"/>
    <n v="1673"/>
    <x v="335"/>
    <s v="Annual"/>
    <n v="1"/>
    <n v="1"/>
    <n v="108084"/>
    <n v="108084"/>
  </r>
  <r>
    <x v="0"/>
    <n v="31"/>
    <x v="10"/>
    <x v="0"/>
    <x v="0"/>
    <n v="1005"/>
    <x v="11"/>
    <x v="0"/>
    <x v="14"/>
    <n v="3007"/>
    <x v="56"/>
    <n v="0"/>
    <x v="0"/>
    <s v="L 03"/>
    <n v="9"/>
    <n v="1673"/>
    <x v="335"/>
    <s v="Annual"/>
    <n v="1"/>
    <n v="1"/>
    <n v="103176"/>
    <n v="103176"/>
  </r>
  <r>
    <x v="0"/>
    <n v="31"/>
    <x v="10"/>
    <x v="0"/>
    <x v="0"/>
    <n v="1005"/>
    <x v="11"/>
    <x v="0"/>
    <x v="14"/>
    <n v="3007"/>
    <x v="56"/>
    <n v="0"/>
    <x v="0"/>
    <s v="LX 03"/>
    <n v="9"/>
    <n v="1652"/>
    <x v="336"/>
    <s v="Annual"/>
    <n v="1"/>
    <n v="1"/>
    <n v="173160"/>
    <n v="173160"/>
  </r>
  <r>
    <x v="0"/>
    <n v="31"/>
    <x v="10"/>
    <x v="0"/>
    <x v="0"/>
    <n v="1005"/>
    <x v="11"/>
    <x v="0"/>
    <x v="14"/>
    <n v="3007"/>
    <x v="56"/>
    <n v="0"/>
    <x v="0"/>
    <s v="LX 02"/>
    <n v="9"/>
    <n v="1650"/>
    <x v="328"/>
    <s v="Annual"/>
    <n v="1"/>
    <n v="1"/>
    <n v="192852"/>
    <n v="192852"/>
  </r>
  <r>
    <x v="0"/>
    <n v="31"/>
    <x v="10"/>
    <x v="0"/>
    <x v="0"/>
    <n v="1005"/>
    <x v="11"/>
    <x v="0"/>
    <x v="14"/>
    <n v="3007"/>
    <x v="56"/>
    <n v="0"/>
    <x v="0"/>
    <s v="L 05"/>
    <n v="9"/>
    <n v="1641"/>
    <x v="337"/>
    <s v="Annual"/>
    <n v="1"/>
    <n v="1"/>
    <n v="164100"/>
    <n v="164100"/>
  </r>
  <r>
    <x v="0"/>
    <n v="31"/>
    <x v="10"/>
    <x v="0"/>
    <x v="0"/>
    <n v="1005"/>
    <x v="11"/>
    <x v="0"/>
    <x v="14"/>
    <n v="3007"/>
    <x v="56"/>
    <n v="0"/>
    <x v="0"/>
    <s v="L 05"/>
    <n v="9"/>
    <n v="1641"/>
    <x v="337"/>
    <s v="Annual"/>
    <n v="1"/>
    <n v="1"/>
    <n v="136284"/>
    <n v="136284"/>
  </r>
  <r>
    <x v="0"/>
    <n v="31"/>
    <x v="10"/>
    <x v="0"/>
    <x v="0"/>
    <n v="1005"/>
    <x v="11"/>
    <x v="0"/>
    <x v="14"/>
    <n v="3007"/>
    <x v="56"/>
    <n v="0"/>
    <x v="0"/>
    <s v="B 13"/>
    <n v="1"/>
    <n v="1617"/>
    <x v="338"/>
    <s v="Annual"/>
    <n v="1"/>
    <n v="1"/>
    <n v="119100"/>
    <n v="119100"/>
  </r>
  <r>
    <x v="0"/>
    <n v="31"/>
    <x v="10"/>
    <x v="0"/>
    <x v="0"/>
    <n v="1005"/>
    <x v="11"/>
    <x v="0"/>
    <x v="14"/>
    <n v="3007"/>
    <x v="56"/>
    <n v="0"/>
    <x v="0"/>
    <s v="1 00"/>
    <n v="0"/>
    <n v="15"/>
    <x v="37"/>
    <s v="Annual"/>
    <n v="0"/>
    <n v="0"/>
    <n v="10222"/>
    <n v="10222"/>
  </r>
  <r>
    <x v="0"/>
    <n v="31"/>
    <x v="10"/>
    <x v="0"/>
    <x v="0"/>
    <n v="1005"/>
    <x v="11"/>
    <x v="0"/>
    <x v="14"/>
    <n v="3011"/>
    <x v="57"/>
    <n v="0"/>
    <x v="0"/>
    <s v="BX 15"/>
    <n v="0"/>
    <n v="1689"/>
    <x v="324"/>
    <s v="Annual"/>
    <n v="1"/>
    <n v="1"/>
    <n v="108432"/>
    <n v="108432"/>
  </r>
  <r>
    <x v="0"/>
    <n v="31"/>
    <x v="10"/>
    <x v="0"/>
    <x v="0"/>
    <n v="1005"/>
    <x v="11"/>
    <x v="0"/>
    <x v="14"/>
    <n v="3011"/>
    <x v="57"/>
    <n v="0"/>
    <x v="0"/>
    <s v="L 04"/>
    <n v="9"/>
    <n v="1674"/>
    <x v="339"/>
    <s v="Annual"/>
    <n v="1"/>
    <n v="1"/>
    <n v="124224"/>
    <n v="124224"/>
  </r>
  <r>
    <x v="0"/>
    <n v="31"/>
    <x v="10"/>
    <x v="0"/>
    <x v="0"/>
    <n v="1005"/>
    <x v="11"/>
    <x v="0"/>
    <x v="14"/>
    <n v="3011"/>
    <x v="57"/>
    <n v="0"/>
    <x v="0"/>
    <s v="LX 03"/>
    <n v="9"/>
    <n v="1652"/>
    <x v="336"/>
    <s v="Annual"/>
    <n v="1"/>
    <n v="1"/>
    <n v="173160"/>
    <n v="173160"/>
  </r>
  <r>
    <x v="0"/>
    <n v="31"/>
    <x v="10"/>
    <x v="0"/>
    <x v="0"/>
    <n v="1005"/>
    <x v="11"/>
    <x v="0"/>
    <x v="14"/>
    <n v="3011"/>
    <x v="57"/>
    <n v="0"/>
    <x v="0"/>
    <s v="LX 02"/>
    <n v="9"/>
    <n v="1650"/>
    <x v="328"/>
    <s v="Annual"/>
    <n v="1"/>
    <n v="1"/>
    <n v="216180"/>
    <n v="216180"/>
  </r>
  <r>
    <x v="0"/>
    <n v="31"/>
    <x v="10"/>
    <x v="0"/>
    <x v="0"/>
    <n v="1005"/>
    <x v="11"/>
    <x v="0"/>
    <x v="14"/>
    <n v="3011"/>
    <x v="57"/>
    <n v="0"/>
    <x v="0"/>
    <s v="L 01"/>
    <n v="9"/>
    <n v="1643"/>
    <x v="340"/>
    <s v="Annual"/>
    <n v="1"/>
    <n v="1"/>
    <n v="130128"/>
    <n v="130128"/>
  </r>
  <r>
    <x v="0"/>
    <n v="31"/>
    <x v="10"/>
    <x v="0"/>
    <x v="0"/>
    <n v="1005"/>
    <x v="11"/>
    <x v="0"/>
    <x v="14"/>
    <n v="3011"/>
    <x v="57"/>
    <n v="0"/>
    <x v="0"/>
    <s v="L 01"/>
    <n v="9"/>
    <n v="1643"/>
    <x v="340"/>
    <s v="Annual"/>
    <n v="2"/>
    <n v="1"/>
    <n v="113208"/>
    <n v="226416"/>
  </r>
  <r>
    <x v="0"/>
    <n v="31"/>
    <x v="10"/>
    <x v="0"/>
    <x v="0"/>
    <n v="1005"/>
    <x v="11"/>
    <x v="0"/>
    <x v="14"/>
    <n v="3011"/>
    <x v="57"/>
    <n v="0"/>
    <x v="0"/>
    <s v="L 01"/>
    <n v="9"/>
    <n v="1643"/>
    <x v="340"/>
    <s v="Annual"/>
    <n v="4"/>
    <n v="1"/>
    <n v="108084"/>
    <n v="432336"/>
  </r>
  <r>
    <x v="0"/>
    <n v="31"/>
    <x v="10"/>
    <x v="0"/>
    <x v="0"/>
    <n v="1005"/>
    <x v="11"/>
    <x v="0"/>
    <x v="14"/>
    <n v="3011"/>
    <x v="57"/>
    <n v="0"/>
    <x v="0"/>
    <s v="L 01"/>
    <n v="9"/>
    <n v="1643"/>
    <x v="340"/>
    <s v="Annual"/>
    <n v="3"/>
    <n v="1"/>
    <n v="103176"/>
    <n v="309528"/>
  </r>
  <r>
    <x v="0"/>
    <n v="31"/>
    <x v="10"/>
    <x v="0"/>
    <x v="0"/>
    <n v="1005"/>
    <x v="11"/>
    <x v="0"/>
    <x v="14"/>
    <n v="3011"/>
    <x v="57"/>
    <n v="0"/>
    <x v="0"/>
    <s v="L 01"/>
    <n v="9"/>
    <n v="1643"/>
    <x v="340"/>
    <s v="Annual"/>
    <n v="2"/>
    <n v="1"/>
    <n v="98484"/>
    <n v="196968"/>
  </r>
  <r>
    <x v="0"/>
    <n v="31"/>
    <x v="10"/>
    <x v="0"/>
    <x v="0"/>
    <n v="1005"/>
    <x v="11"/>
    <x v="0"/>
    <x v="14"/>
    <n v="3011"/>
    <x v="57"/>
    <n v="0"/>
    <x v="0"/>
    <s v="L 01"/>
    <n v="9"/>
    <n v="1643"/>
    <x v="340"/>
    <s v="Annual"/>
    <n v="1"/>
    <n v="1"/>
    <n v="89784"/>
    <n v="89784"/>
  </r>
  <r>
    <x v="0"/>
    <n v="31"/>
    <x v="10"/>
    <x v="0"/>
    <x v="0"/>
    <n v="1005"/>
    <x v="11"/>
    <x v="0"/>
    <x v="14"/>
    <n v="3011"/>
    <x v="57"/>
    <n v="0"/>
    <x v="0"/>
    <s v="L 01"/>
    <n v="9"/>
    <n v="1643"/>
    <x v="340"/>
    <s v="Annual"/>
    <n v="3"/>
    <n v="1"/>
    <n v="85704"/>
    <n v="257112"/>
  </r>
  <r>
    <x v="0"/>
    <n v="31"/>
    <x v="10"/>
    <x v="0"/>
    <x v="0"/>
    <n v="1005"/>
    <x v="11"/>
    <x v="0"/>
    <x v="14"/>
    <n v="3011"/>
    <x v="57"/>
    <n v="0"/>
    <x v="0"/>
    <s v="L 01"/>
    <n v="9"/>
    <n v="1643"/>
    <x v="340"/>
    <s v="Annual"/>
    <n v="4"/>
    <n v="1"/>
    <n v="81816"/>
    <n v="327264"/>
  </r>
  <r>
    <x v="0"/>
    <n v="31"/>
    <x v="10"/>
    <x v="0"/>
    <x v="0"/>
    <n v="1005"/>
    <x v="11"/>
    <x v="0"/>
    <x v="14"/>
    <n v="3011"/>
    <x v="57"/>
    <n v="0"/>
    <x v="0"/>
    <s v="L 01"/>
    <n v="9"/>
    <n v="1643"/>
    <x v="340"/>
    <s v="Annual"/>
    <n v="4"/>
    <n v="1"/>
    <n v="78108"/>
    <n v="312432"/>
  </r>
  <r>
    <x v="0"/>
    <n v="31"/>
    <x v="10"/>
    <x v="0"/>
    <x v="0"/>
    <n v="1005"/>
    <x v="11"/>
    <x v="0"/>
    <x v="14"/>
    <n v="3011"/>
    <x v="57"/>
    <n v="0"/>
    <x v="0"/>
    <s v="L 05"/>
    <n v="9"/>
    <n v="1641"/>
    <x v="337"/>
    <s v="Annual"/>
    <n v="5"/>
    <n v="1"/>
    <n v="164100"/>
    <n v="820500"/>
  </r>
  <r>
    <x v="0"/>
    <n v="31"/>
    <x v="10"/>
    <x v="0"/>
    <x v="0"/>
    <n v="1005"/>
    <x v="11"/>
    <x v="0"/>
    <x v="14"/>
    <n v="3011"/>
    <x v="57"/>
    <n v="0"/>
    <x v="0"/>
    <s v="L 05"/>
    <n v="9"/>
    <n v="1641"/>
    <x v="337"/>
    <s v="Annual"/>
    <n v="1"/>
    <n v="1"/>
    <n v="156648"/>
    <n v="156648"/>
  </r>
  <r>
    <x v="0"/>
    <n v="31"/>
    <x v="10"/>
    <x v="0"/>
    <x v="0"/>
    <n v="1005"/>
    <x v="11"/>
    <x v="0"/>
    <x v="14"/>
    <n v="3011"/>
    <x v="57"/>
    <n v="0"/>
    <x v="0"/>
    <s v="L 05"/>
    <n v="9"/>
    <n v="1641"/>
    <x v="337"/>
    <s v="Annual"/>
    <n v="1"/>
    <n v="1"/>
    <n v="130128"/>
    <n v="130128"/>
  </r>
  <r>
    <x v="0"/>
    <n v="31"/>
    <x v="10"/>
    <x v="0"/>
    <x v="0"/>
    <n v="1005"/>
    <x v="11"/>
    <x v="0"/>
    <x v="14"/>
    <n v="3011"/>
    <x v="57"/>
    <n v="0"/>
    <x v="0"/>
    <s v="BX 16"/>
    <n v="10"/>
    <n v="1619"/>
    <x v="341"/>
    <s v="Annual"/>
    <n v="1"/>
    <n v="1"/>
    <n v="124584"/>
    <n v="124584"/>
  </r>
  <r>
    <x v="0"/>
    <n v="31"/>
    <x v="10"/>
    <x v="0"/>
    <x v="0"/>
    <n v="1005"/>
    <x v="11"/>
    <x v="0"/>
    <x v="14"/>
    <n v="3011"/>
    <x v="57"/>
    <n v="0"/>
    <x v="0"/>
    <s v="B 13"/>
    <n v="1"/>
    <n v="1617"/>
    <x v="338"/>
    <s v="Annual"/>
    <n v="2"/>
    <n v="1"/>
    <n v="119100"/>
    <n v="238200"/>
  </r>
  <r>
    <x v="0"/>
    <n v="31"/>
    <x v="10"/>
    <x v="0"/>
    <x v="0"/>
    <n v="1005"/>
    <x v="11"/>
    <x v="0"/>
    <x v="14"/>
    <n v="3011"/>
    <x v="57"/>
    <n v="0"/>
    <x v="0"/>
    <s v="B 13"/>
    <n v="1"/>
    <n v="1617"/>
    <x v="338"/>
    <s v="Annual"/>
    <n v="1"/>
    <n v="1"/>
    <n v="77640"/>
    <n v="77640"/>
  </r>
  <r>
    <x v="0"/>
    <n v="31"/>
    <x v="10"/>
    <x v="0"/>
    <x v="0"/>
    <n v="1005"/>
    <x v="11"/>
    <x v="0"/>
    <x v="14"/>
    <n v="3011"/>
    <x v="57"/>
    <n v="0"/>
    <x v="0"/>
    <s v="B 13"/>
    <n v="1"/>
    <n v="1617"/>
    <x v="338"/>
    <s v="Annual"/>
    <n v="1"/>
    <n v="1"/>
    <n v="68616"/>
    <n v="68616"/>
  </r>
  <r>
    <x v="0"/>
    <n v="31"/>
    <x v="10"/>
    <x v="0"/>
    <x v="0"/>
    <n v="1005"/>
    <x v="11"/>
    <x v="0"/>
    <x v="14"/>
    <n v="3011"/>
    <x v="57"/>
    <n v="0"/>
    <x v="0"/>
    <s v="BX 14"/>
    <n v="10"/>
    <n v="1607"/>
    <x v="342"/>
    <s v="Annual"/>
    <n v="1"/>
    <n v="1"/>
    <n v="66516"/>
    <n v="66516"/>
  </r>
  <r>
    <x v="0"/>
    <n v="31"/>
    <x v="10"/>
    <x v="0"/>
    <x v="0"/>
    <n v="1005"/>
    <x v="11"/>
    <x v="0"/>
    <x v="14"/>
    <n v="3011"/>
    <x v="57"/>
    <n v="0"/>
    <x v="0"/>
    <s v="B 10"/>
    <n v="1"/>
    <n v="1601"/>
    <x v="343"/>
    <s v="Annual"/>
    <n v="5"/>
    <n v="1"/>
    <n v="71436"/>
    <n v="357180"/>
  </r>
  <r>
    <x v="0"/>
    <n v="31"/>
    <x v="10"/>
    <x v="0"/>
    <x v="0"/>
    <n v="1005"/>
    <x v="11"/>
    <x v="0"/>
    <x v="14"/>
    <n v="3011"/>
    <x v="57"/>
    <n v="0"/>
    <x v="0"/>
    <s v="B 10"/>
    <n v="1"/>
    <n v="1601"/>
    <x v="343"/>
    <s v="Annual"/>
    <n v="2"/>
    <n v="1"/>
    <n v="51936"/>
    <n v="103872"/>
  </r>
  <r>
    <x v="0"/>
    <n v="31"/>
    <x v="10"/>
    <x v="0"/>
    <x v="0"/>
    <n v="1005"/>
    <x v="11"/>
    <x v="0"/>
    <x v="14"/>
    <n v="3011"/>
    <x v="57"/>
    <n v="0"/>
    <x v="0"/>
    <s v="B 09"/>
    <n v="1"/>
    <n v="460"/>
    <x v="344"/>
    <s v="Annual"/>
    <n v="1"/>
    <n v="1"/>
    <n v="47364"/>
    <n v="47364"/>
  </r>
  <r>
    <x v="0"/>
    <n v="31"/>
    <x v="10"/>
    <x v="0"/>
    <x v="0"/>
    <n v="1005"/>
    <x v="11"/>
    <x v="0"/>
    <x v="14"/>
    <n v="3011"/>
    <x v="57"/>
    <n v="0"/>
    <x v="0"/>
    <s v="B 12"/>
    <n v="1"/>
    <s v="03A8"/>
    <x v="88"/>
    <s v="Annual"/>
    <n v="1"/>
    <n v="1"/>
    <n v="67608"/>
    <n v="67608"/>
  </r>
  <r>
    <x v="0"/>
    <n v="31"/>
    <x v="10"/>
    <x v="0"/>
    <x v="0"/>
    <n v="1005"/>
    <x v="11"/>
    <x v="0"/>
    <x v="14"/>
    <n v="3011"/>
    <x v="57"/>
    <n v="0"/>
    <x v="0"/>
    <s v="B 12"/>
    <n v="1"/>
    <s v="03A8"/>
    <x v="88"/>
    <s v="Annual"/>
    <n v="1"/>
    <n v="1"/>
    <n v="62544"/>
    <n v="62544"/>
  </r>
  <r>
    <x v="0"/>
    <n v="31"/>
    <x v="10"/>
    <x v="0"/>
    <x v="0"/>
    <n v="1005"/>
    <x v="11"/>
    <x v="0"/>
    <x v="14"/>
    <n v="3011"/>
    <x v="57"/>
    <n v="0"/>
    <x v="0"/>
    <s v="B 10"/>
    <n v="1"/>
    <s v="03A7"/>
    <x v="4"/>
    <s v="Annual"/>
    <n v="1"/>
    <n v="1"/>
    <n v="90144"/>
    <n v="90144"/>
  </r>
  <r>
    <x v="0"/>
    <n v="31"/>
    <x v="10"/>
    <x v="0"/>
    <x v="0"/>
    <n v="1005"/>
    <x v="11"/>
    <x v="0"/>
    <x v="14"/>
    <n v="3011"/>
    <x v="57"/>
    <n v="0"/>
    <x v="0"/>
    <s v="B 10"/>
    <n v="1"/>
    <s v="03A7"/>
    <x v="4"/>
    <s v="Annual"/>
    <n v="1"/>
    <n v="1"/>
    <n v="68256"/>
    <n v="68256"/>
  </r>
  <r>
    <x v="0"/>
    <n v="31"/>
    <x v="10"/>
    <x v="0"/>
    <x v="0"/>
    <n v="1005"/>
    <x v="11"/>
    <x v="0"/>
    <x v="14"/>
    <n v="3011"/>
    <x v="57"/>
    <n v="0"/>
    <x v="0"/>
    <s v="1 00"/>
    <n v="0"/>
    <n v="15"/>
    <x v="37"/>
    <s v="Annual"/>
    <n v="0"/>
    <n v="0"/>
    <n v="25777"/>
    <n v="25777"/>
  </r>
  <r>
    <x v="0"/>
    <n v="31"/>
    <x v="10"/>
    <x v="0"/>
    <x v="0"/>
    <n v="1005"/>
    <x v="11"/>
    <x v="0"/>
    <x v="14"/>
    <n v="3014"/>
    <x v="58"/>
    <n v="0"/>
    <x v="0"/>
    <s v="BX 15"/>
    <n v="0"/>
    <n v="1689"/>
    <x v="324"/>
    <s v="Annual"/>
    <n v="1"/>
    <n v="1"/>
    <n v="85980"/>
    <n v="85980"/>
  </r>
  <r>
    <x v="0"/>
    <n v="31"/>
    <x v="10"/>
    <x v="0"/>
    <x v="0"/>
    <n v="1005"/>
    <x v="11"/>
    <x v="0"/>
    <x v="14"/>
    <n v="3014"/>
    <x v="58"/>
    <n v="0"/>
    <x v="0"/>
    <s v="L 03"/>
    <n v="9"/>
    <n v="1673"/>
    <x v="335"/>
    <s v="Annual"/>
    <n v="1"/>
    <n v="1"/>
    <n v="98484"/>
    <n v="98484"/>
  </r>
  <r>
    <x v="0"/>
    <n v="31"/>
    <x v="10"/>
    <x v="0"/>
    <x v="0"/>
    <n v="1005"/>
    <x v="11"/>
    <x v="0"/>
    <x v="14"/>
    <n v="3014"/>
    <x v="58"/>
    <n v="0"/>
    <x v="0"/>
    <s v="L 03"/>
    <n v="9"/>
    <n v="1673"/>
    <x v="335"/>
    <s v="Annual"/>
    <n v="1"/>
    <n v="1"/>
    <n v="94044"/>
    <n v="94044"/>
  </r>
  <r>
    <x v="0"/>
    <n v="31"/>
    <x v="10"/>
    <x v="0"/>
    <x v="0"/>
    <n v="1005"/>
    <x v="11"/>
    <x v="0"/>
    <x v="14"/>
    <n v="3014"/>
    <x v="58"/>
    <n v="0"/>
    <x v="0"/>
    <s v="L 03"/>
    <n v="9"/>
    <n v="1673"/>
    <x v="335"/>
    <s v="Annual"/>
    <n v="5"/>
    <n v="1"/>
    <n v="85704"/>
    <n v="428520"/>
  </r>
  <r>
    <x v="0"/>
    <n v="31"/>
    <x v="10"/>
    <x v="0"/>
    <x v="0"/>
    <n v="1005"/>
    <x v="11"/>
    <x v="0"/>
    <x v="14"/>
    <n v="3014"/>
    <x v="58"/>
    <n v="0"/>
    <x v="0"/>
    <s v="LX 03"/>
    <n v="9"/>
    <n v="1652"/>
    <x v="336"/>
    <s v="Annual"/>
    <n v="1"/>
    <n v="1"/>
    <n v="173160"/>
    <n v="173160"/>
  </r>
  <r>
    <x v="0"/>
    <n v="31"/>
    <x v="10"/>
    <x v="0"/>
    <x v="0"/>
    <n v="1005"/>
    <x v="11"/>
    <x v="0"/>
    <x v="14"/>
    <n v="3014"/>
    <x v="58"/>
    <n v="0"/>
    <x v="0"/>
    <s v="LX 02"/>
    <n v="9"/>
    <n v="1650"/>
    <x v="328"/>
    <s v="Annual"/>
    <n v="1"/>
    <n v="1"/>
    <n v="192852"/>
    <n v="192852"/>
  </r>
  <r>
    <x v="0"/>
    <n v="31"/>
    <x v="10"/>
    <x v="0"/>
    <x v="0"/>
    <n v="1005"/>
    <x v="11"/>
    <x v="0"/>
    <x v="14"/>
    <n v="3014"/>
    <x v="58"/>
    <n v="0"/>
    <x v="0"/>
    <s v="L 05"/>
    <n v="9"/>
    <n v="1641"/>
    <x v="337"/>
    <s v="Annual"/>
    <n v="1"/>
    <n v="1"/>
    <n v="156648"/>
    <n v="156648"/>
  </r>
  <r>
    <x v="0"/>
    <n v="31"/>
    <x v="10"/>
    <x v="0"/>
    <x v="0"/>
    <n v="1005"/>
    <x v="11"/>
    <x v="0"/>
    <x v="14"/>
    <n v="3014"/>
    <x v="58"/>
    <n v="0"/>
    <x v="0"/>
    <s v="L 05"/>
    <n v="9"/>
    <n v="1641"/>
    <x v="337"/>
    <s v="Annual"/>
    <n v="1"/>
    <n v="1"/>
    <n v="149556"/>
    <n v="149556"/>
  </r>
  <r>
    <x v="0"/>
    <n v="31"/>
    <x v="10"/>
    <x v="0"/>
    <x v="0"/>
    <n v="1005"/>
    <x v="11"/>
    <x v="0"/>
    <x v="14"/>
    <n v="3014"/>
    <x v="58"/>
    <n v="0"/>
    <x v="0"/>
    <s v="L 05"/>
    <n v="9"/>
    <n v="1641"/>
    <x v="337"/>
    <s v="Annual"/>
    <n v="1"/>
    <n v="1"/>
    <n v="142776"/>
    <n v="142776"/>
  </r>
  <r>
    <x v="0"/>
    <n v="31"/>
    <x v="10"/>
    <x v="0"/>
    <x v="0"/>
    <n v="1005"/>
    <x v="11"/>
    <x v="0"/>
    <x v="14"/>
    <n v="3014"/>
    <x v="58"/>
    <n v="0"/>
    <x v="0"/>
    <s v="L 05"/>
    <n v="9"/>
    <n v="1641"/>
    <x v="337"/>
    <s v="Annual"/>
    <n v="1"/>
    <n v="1"/>
    <n v="124224"/>
    <n v="124224"/>
  </r>
  <r>
    <x v="0"/>
    <n v="31"/>
    <x v="10"/>
    <x v="0"/>
    <x v="0"/>
    <n v="1005"/>
    <x v="11"/>
    <x v="0"/>
    <x v="14"/>
    <n v="3014"/>
    <x v="58"/>
    <n v="0"/>
    <x v="0"/>
    <s v="B 13"/>
    <n v="1"/>
    <n v="1617"/>
    <x v="338"/>
    <s v="Annual"/>
    <n v="1"/>
    <n v="1"/>
    <n v="119100"/>
    <n v="119100"/>
  </r>
  <r>
    <x v="0"/>
    <n v="31"/>
    <x v="10"/>
    <x v="0"/>
    <x v="0"/>
    <n v="1005"/>
    <x v="11"/>
    <x v="0"/>
    <x v="14"/>
    <n v="3014"/>
    <x v="58"/>
    <n v="0"/>
    <x v="0"/>
    <s v="1 00"/>
    <n v="0"/>
    <n v="15"/>
    <x v="37"/>
    <s v="Annual"/>
    <n v="0"/>
    <n v="0"/>
    <n v="8705"/>
    <n v="8705"/>
  </r>
  <r>
    <x v="0"/>
    <n v="31"/>
    <x v="10"/>
    <x v="0"/>
    <x v="0"/>
    <n v="1005"/>
    <x v="11"/>
    <x v="0"/>
    <x v="14"/>
    <n v="3019"/>
    <x v="59"/>
    <n v="4001"/>
    <x v="33"/>
    <s v="BX 15"/>
    <n v="0"/>
    <n v="1689"/>
    <x v="324"/>
    <s v="Annual"/>
    <n v="1"/>
    <n v="1"/>
    <n v="72996"/>
    <n v="72996"/>
  </r>
  <r>
    <x v="0"/>
    <n v="31"/>
    <x v="10"/>
    <x v="0"/>
    <x v="0"/>
    <n v="1005"/>
    <x v="11"/>
    <x v="0"/>
    <x v="14"/>
    <n v="3019"/>
    <x v="59"/>
    <n v="4001"/>
    <x v="33"/>
    <s v="L 03"/>
    <n v="9"/>
    <n v="1673"/>
    <x v="335"/>
    <s v="Annual"/>
    <n v="3"/>
    <n v="1"/>
    <n v="149556"/>
    <n v="448668"/>
  </r>
  <r>
    <x v="0"/>
    <n v="31"/>
    <x v="10"/>
    <x v="0"/>
    <x v="0"/>
    <n v="1005"/>
    <x v="11"/>
    <x v="0"/>
    <x v="14"/>
    <n v="3019"/>
    <x v="59"/>
    <n v="4001"/>
    <x v="33"/>
    <s v="L 03"/>
    <n v="9"/>
    <n v="1673"/>
    <x v="335"/>
    <s v="Annual"/>
    <n v="1"/>
    <n v="1"/>
    <n v="142776"/>
    <n v="142776"/>
  </r>
  <r>
    <x v="0"/>
    <n v="31"/>
    <x v="10"/>
    <x v="0"/>
    <x v="0"/>
    <n v="1005"/>
    <x v="11"/>
    <x v="0"/>
    <x v="14"/>
    <n v="3019"/>
    <x v="59"/>
    <n v="4001"/>
    <x v="33"/>
    <s v="L 03"/>
    <n v="9"/>
    <n v="1673"/>
    <x v="335"/>
    <s v="Annual"/>
    <n v="1"/>
    <n v="1"/>
    <n v="118596"/>
    <n v="118596"/>
  </r>
  <r>
    <x v="0"/>
    <n v="31"/>
    <x v="10"/>
    <x v="0"/>
    <x v="0"/>
    <n v="1005"/>
    <x v="11"/>
    <x v="0"/>
    <x v="14"/>
    <n v="3019"/>
    <x v="59"/>
    <n v="4001"/>
    <x v="33"/>
    <s v="L 03"/>
    <n v="9"/>
    <n v="1673"/>
    <x v="335"/>
    <s v="Annual"/>
    <n v="1"/>
    <n v="1"/>
    <n v="113208"/>
    <n v="113208"/>
  </r>
  <r>
    <x v="0"/>
    <n v="31"/>
    <x v="10"/>
    <x v="0"/>
    <x v="0"/>
    <n v="1005"/>
    <x v="11"/>
    <x v="0"/>
    <x v="14"/>
    <n v="3019"/>
    <x v="59"/>
    <n v="4001"/>
    <x v="33"/>
    <s v="L 03"/>
    <n v="9"/>
    <n v="1673"/>
    <x v="335"/>
    <s v="Annual"/>
    <n v="2"/>
    <n v="1"/>
    <n v="108084"/>
    <n v="216168"/>
  </r>
  <r>
    <x v="0"/>
    <n v="31"/>
    <x v="10"/>
    <x v="0"/>
    <x v="0"/>
    <n v="1005"/>
    <x v="11"/>
    <x v="0"/>
    <x v="14"/>
    <n v="3019"/>
    <x v="59"/>
    <n v="4001"/>
    <x v="33"/>
    <s v="L 03"/>
    <n v="9"/>
    <n v="1673"/>
    <x v="335"/>
    <s v="Annual"/>
    <n v="2"/>
    <n v="1"/>
    <n v="103176"/>
    <n v="206352"/>
  </r>
  <r>
    <x v="0"/>
    <n v="31"/>
    <x v="10"/>
    <x v="0"/>
    <x v="0"/>
    <n v="1005"/>
    <x v="11"/>
    <x v="0"/>
    <x v="14"/>
    <n v="3019"/>
    <x v="59"/>
    <n v="4001"/>
    <x v="33"/>
    <s v="L 03"/>
    <n v="9"/>
    <n v="1673"/>
    <x v="335"/>
    <s v="Annual"/>
    <n v="1"/>
    <n v="1"/>
    <n v="94044"/>
    <n v="94044"/>
  </r>
  <r>
    <x v="0"/>
    <n v="31"/>
    <x v="10"/>
    <x v="0"/>
    <x v="0"/>
    <n v="1005"/>
    <x v="11"/>
    <x v="0"/>
    <x v="14"/>
    <n v="3019"/>
    <x v="59"/>
    <n v="4001"/>
    <x v="33"/>
    <s v="L 03"/>
    <n v="9"/>
    <n v="1673"/>
    <x v="335"/>
    <s v="Annual"/>
    <n v="4"/>
    <n v="1"/>
    <n v="85704"/>
    <n v="342816"/>
  </r>
  <r>
    <x v="0"/>
    <n v="31"/>
    <x v="10"/>
    <x v="0"/>
    <x v="0"/>
    <n v="1005"/>
    <x v="11"/>
    <x v="0"/>
    <x v="14"/>
    <n v="3019"/>
    <x v="59"/>
    <n v="4001"/>
    <x v="33"/>
    <s v="L 05"/>
    <n v="9"/>
    <n v="1641"/>
    <x v="337"/>
    <s v="Annual"/>
    <n v="1"/>
    <n v="1"/>
    <n v="164100"/>
    <n v="164100"/>
  </r>
  <r>
    <x v="0"/>
    <n v="31"/>
    <x v="10"/>
    <x v="0"/>
    <x v="0"/>
    <n v="1005"/>
    <x v="11"/>
    <x v="0"/>
    <x v="14"/>
    <n v="3019"/>
    <x v="59"/>
    <n v="4001"/>
    <x v="33"/>
    <s v="L 05"/>
    <n v="9"/>
    <n v="1641"/>
    <x v="337"/>
    <s v="Annual"/>
    <n v="1"/>
    <n v="1"/>
    <n v="149556"/>
    <n v="149556"/>
  </r>
  <r>
    <x v="0"/>
    <n v="31"/>
    <x v="10"/>
    <x v="0"/>
    <x v="0"/>
    <n v="1005"/>
    <x v="11"/>
    <x v="0"/>
    <x v="14"/>
    <n v="3019"/>
    <x v="59"/>
    <n v="4001"/>
    <x v="33"/>
    <s v="L 05"/>
    <n v="9"/>
    <n v="1641"/>
    <x v="337"/>
    <s v="Annual"/>
    <n v="1"/>
    <n v="1"/>
    <n v="136284"/>
    <n v="136284"/>
  </r>
  <r>
    <x v="0"/>
    <n v="31"/>
    <x v="10"/>
    <x v="0"/>
    <x v="0"/>
    <n v="1005"/>
    <x v="11"/>
    <x v="0"/>
    <x v="14"/>
    <n v="3019"/>
    <x v="59"/>
    <n v="4001"/>
    <x v="33"/>
    <s v="L 05"/>
    <n v="9"/>
    <n v="1641"/>
    <x v="337"/>
    <s v="Annual"/>
    <n v="1"/>
    <n v="1"/>
    <n v="130128"/>
    <n v="130128"/>
  </r>
  <r>
    <x v="0"/>
    <n v="31"/>
    <x v="10"/>
    <x v="0"/>
    <x v="0"/>
    <n v="1005"/>
    <x v="11"/>
    <x v="0"/>
    <x v="14"/>
    <n v="3019"/>
    <x v="59"/>
    <n v="4001"/>
    <x v="33"/>
    <s v="BX 16"/>
    <n v="10"/>
    <n v="1619"/>
    <x v="341"/>
    <s v="Annual"/>
    <n v="1"/>
    <n v="1"/>
    <n v="83052"/>
    <n v="83052"/>
  </r>
  <r>
    <x v="0"/>
    <n v="31"/>
    <x v="10"/>
    <x v="0"/>
    <x v="0"/>
    <n v="1005"/>
    <x v="11"/>
    <x v="0"/>
    <x v="14"/>
    <n v="3019"/>
    <x v="59"/>
    <n v="4001"/>
    <x v="33"/>
    <s v="B 13"/>
    <n v="1"/>
    <n v="1617"/>
    <x v="338"/>
    <s v="Annual"/>
    <n v="1"/>
    <n v="1"/>
    <n v="108576"/>
    <n v="108576"/>
  </r>
  <r>
    <x v="0"/>
    <n v="31"/>
    <x v="10"/>
    <x v="0"/>
    <x v="0"/>
    <n v="1005"/>
    <x v="11"/>
    <x v="0"/>
    <x v="14"/>
    <n v="3019"/>
    <x v="59"/>
    <n v="4001"/>
    <x v="33"/>
    <s v="B 13"/>
    <n v="1"/>
    <n v="1617"/>
    <x v="338"/>
    <s v="Annual"/>
    <n v="1"/>
    <n v="1"/>
    <n v="90144"/>
    <n v="90144"/>
  </r>
  <r>
    <x v="0"/>
    <n v="31"/>
    <x v="10"/>
    <x v="0"/>
    <x v="0"/>
    <n v="1005"/>
    <x v="11"/>
    <x v="0"/>
    <x v="14"/>
    <n v="3019"/>
    <x v="59"/>
    <n v="4001"/>
    <x v="33"/>
    <s v="B 13"/>
    <n v="1"/>
    <n v="1617"/>
    <x v="338"/>
    <s v="Annual"/>
    <n v="2"/>
    <n v="1"/>
    <n v="85200"/>
    <n v="170400"/>
  </r>
  <r>
    <x v="0"/>
    <n v="31"/>
    <x v="10"/>
    <x v="0"/>
    <x v="0"/>
    <n v="1005"/>
    <x v="11"/>
    <x v="0"/>
    <x v="14"/>
    <n v="3019"/>
    <x v="59"/>
    <n v="4001"/>
    <x v="33"/>
    <s v="B 13"/>
    <n v="1"/>
    <n v="1617"/>
    <x v="338"/>
    <s v="Annual"/>
    <n v="1"/>
    <n v="1"/>
    <n v="77640"/>
    <n v="77640"/>
  </r>
  <r>
    <x v="0"/>
    <n v="31"/>
    <x v="10"/>
    <x v="0"/>
    <x v="0"/>
    <n v="1005"/>
    <x v="11"/>
    <x v="0"/>
    <x v="14"/>
    <n v="3019"/>
    <x v="59"/>
    <n v="4001"/>
    <x v="33"/>
    <s v="B 13"/>
    <n v="1"/>
    <n v="1617"/>
    <x v="338"/>
    <s v="Annual"/>
    <n v="1"/>
    <n v="1"/>
    <n v="70752"/>
    <n v="70752"/>
  </r>
  <r>
    <x v="0"/>
    <n v="31"/>
    <x v="10"/>
    <x v="0"/>
    <x v="0"/>
    <n v="1005"/>
    <x v="11"/>
    <x v="0"/>
    <x v="14"/>
    <n v="3019"/>
    <x v="59"/>
    <n v="4001"/>
    <x v="33"/>
    <s v="B 13"/>
    <n v="1"/>
    <n v="1617"/>
    <x v="338"/>
    <s v="Annual"/>
    <n v="1"/>
    <n v="1"/>
    <n v="68616"/>
    <n v="68616"/>
  </r>
  <r>
    <x v="0"/>
    <n v="31"/>
    <x v="10"/>
    <x v="0"/>
    <x v="0"/>
    <n v="1005"/>
    <x v="11"/>
    <x v="0"/>
    <x v="14"/>
    <n v="3019"/>
    <x v="59"/>
    <n v="4001"/>
    <x v="33"/>
    <s v="B 10"/>
    <n v="1"/>
    <s v="03A7"/>
    <x v="4"/>
    <s v="Annual"/>
    <n v="1"/>
    <n v="1"/>
    <n v="56124"/>
    <n v="56124"/>
  </r>
  <r>
    <x v="0"/>
    <n v="31"/>
    <x v="10"/>
    <x v="0"/>
    <x v="0"/>
    <n v="1005"/>
    <x v="11"/>
    <x v="0"/>
    <x v="14"/>
    <n v="3019"/>
    <x v="59"/>
    <n v="4001"/>
    <x v="33"/>
    <s v="B 10"/>
    <n v="1"/>
    <s v="03A7"/>
    <x v="4"/>
    <s v="Annual"/>
    <n v="1"/>
    <n v="1"/>
    <n v="53532"/>
    <n v="53532"/>
  </r>
  <r>
    <x v="0"/>
    <n v="31"/>
    <x v="10"/>
    <x v="0"/>
    <x v="0"/>
    <n v="1005"/>
    <x v="11"/>
    <x v="0"/>
    <x v="14"/>
    <n v="3019"/>
    <x v="59"/>
    <n v="4001"/>
    <x v="33"/>
    <s v="B 10"/>
    <n v="1"/>
    <s v="03A7"/>
    <x v="4"/>
    <s v="Annual"/>
    <n v="1"/>
    <n v="1"/>
    <n v="51936"/>
    <n v="51936"/>
  </r>
  <r>
    <x v="0"/>
    <n v="31"/>
    <x v="10"/>
    <x v="0"/>
    <x v="0"/>
    <n v="1005"/>
    <x v="11"/>
    <x v="0"/>
    <x v="14"/>
    <n v="3019"/>
    <x v="59"/>
    <n v="4001"/>
    <x v="33"/>
    <s v="1 00"/>
    <n v="0"/>
    <n v="15"/>
    <x v="37"/>
    <s v="Annual"/>
    <n v="0"/>
    <n v="0"/>
    <n v="15903"/>
    <n v="15903"/>
  </r>
  <r>
    <x v="0"/>
    <n v="31"/>
    <x v="10"/>
    <x v="0"/>
    <x v="0"/>
    <n v="1005"/>
    <x v="11"/>
    <x v="0"/>
    <x v="14"/>
    <n v="3019"/>
    <x v="59"/>
    <n v="4026"/>
    <x v="34"/>
    <s v="L 03"/>
    <n v="9"/>
    <n v="1673"/>
    <x v="335"/>
    <s v="Annual"/>
    <n v="2"/>
    <n v="1"/>
    <n v="85704"/>
    <n v="171408"/>
  </r>
  <r>
    <x v="0"/>
    <n v="31"/>
    <x v="10"/>
    <x v="0"/>
    <x v="0"/>
    <n v="1005"/>
    <x v="11"/>
    <x v="0"/>
    <x v="14"/>
    <n v="3019"/>
    <x v="59"/>
    <n v="4026"/>
    <x v="34"/>
    <s v="GY 11"/>
    <n v="20"/>
    <n v="1653"/>
    <x v="265"/>
    <s v="Annual"/>
    <n v="1"/>
    <n v="1"/>
    <n v="126756"/>
    <n v="126756"/>
  </r>
  <r>
    <x v="0"/>
    <n v="31"/>
    <x v="10"/>
    <x v="0"/>
    <x v="0"/>
    <n v="1005"/>
    <x v="11"/>
    <x v="0"/>
    <x v="14"/>
    <n v="3019"/>
    <x v="59"/>
    <n v="4026"/>
    <x v="34"/>
    <s v="GY 07"/>
    <n v="20"/>
    <n v="1648"/>
    <x v="345"/>
    <s v="Annual"/>
    <n v="1"/>
    <n v="1"/>
    <n v="97332"/>
    <n v="97332"/>
  </r>
  <r>
    <x v="0"/>
    <n v="31"/>
    <x v="10"/>
    <x v="0"/>
    <x v="0"/>
    <n v="1005"/>
    <x v="11"/>
    <x v="0"/>
    <x v="14"/>
    <n v="3019"/>
    <x v="59"/>
    <n v="4026"/>
    <x v="34"/>
    <s v="1 00"/>
    <n v="0"/>
    <n v="15"/>
    <x v="37"/>
    <s v="Annual"/>
    <n v="0"/>
    <n v="0"/>
    <n v="14419"/>
    <n v="14419"/>
  </r>
  <r>
    <x v="0"/>
    <n v="31"/>
    <x v="10"/>
    <x v="0"/>
    <x v="0"/>
    <n v="1005"/>
    <x v="11"/>
    <x v="0"/>
    <x v="14"/>
    <n v="3022"/>
    <x v="60"/>
    <n v="4006"/>
    <x v="35"/>
    <s v="BX 15"/>
    <n v="0"/>
    <n v="1689"/>
    <x v="324"/>
    <s v="Annual"/>
    <n v="1"/>
    <n v="1"/>
    <n v="103488"/>
    <n v="103488"/>
  </r>
  <r>
    <x v="0"/>
    <n v="31"/>
    <x v="10"/>
    <x v="0"/>
    <x v="0"/>
    <n v="1005"/>
    <x v="11"/>
    <x v="0"/>
    <x v="14"/>
    <n v="3022"/>
    <x v="60"/>
    <n v="4006"/>
    <x v="35"/>
    <s v="L 03"/>
    <n v="9"/>
    <n v="1673"/>
    <x v="335"/>
    <s v="Annual"/>
    <n v="1"/>
    <n v="1"/>
    <n v="130128"/>
    <n v="130128"/>
  </r>
  <r>
    <x v="0"/>
    <n v="31"/>
    <x v="10"/>
    <x v="0"/>
    <x v="0"/>
    <n v="1005"/>
    <x v="11"/>
    <x v="0"/>
    <x v="14"/>
    <n v="3022"/>
    <x v="60"/>
    <n v="4006"/>
    <x v="35"/>
    <s v="L 03"/>
    <n v="9"/>
    <n v="1673"/>
    <x v="335"/>
    <s v="Annual"/>
    <n v="2"/>
    <n v="1"/>
    <n v="118596"/>
    <n v="237192"/>
  </r>
  <r>
    <x v="0"/>
    <n v="31"/>
    <x v="10"/>
    <x v="0"/>
    <x v="0"/>
    <n v="1005"/>
    <x v="11"/>
    <x v="0"/>
    <x v="14"/>
    <n v="3022"/>
    <x v="60"/>
    <n v="4006"/>
    <x v="35"/>
    <s v="L 03"/>
    <n v="9"/>
    <n v="1673"/>
    <x v="335"/>
    <s v="Annual"/>
    <n v="2"/>
    <n v="1"/>
    <n v="113208"/>
    <n v="226416"/>
  </r>
  <r>
    <x v="0"/>
    <n v="31"/>
    <x v="10"/>
    <x v="0"/>
    <x v="0"/>
    <n v="1005"/>
    <x v="11"/>
    <x v="0"/>
    <x v="14"/>
    <n v="3022"/>
    <x v="60"/>
    <n v="4006"/>
    <x v="35"/>
    <s v="L 03"/>
    <n v="9"/>
    <n v="1673"/>
    <x v="335"/>
    <s v="Annual"/>
    <n v="1"/>
    <n v="1"/>
    <n v="108084"/>
    <n v="108084"/>
  </r>
  <r>
    <x v="0"/>
    <n v="31"/>
    <x v="10"/>
    <x v="0"/>
    <x v="0"/>
    <n v="1005"/>
    <x v="11"/>
    <x v="0"/>
    <x v="14"/>
    <n v="3022"/>
    <x v="60"/>
    <n v="4006"/>
    <x v="35"/>
    <s v="LX 02"/>
    <n v="9"/>
    <n v="1650"/>
    <x v="328"/>
    <s v="Annual"/>
    <n v="1"/>
    <n v="1"/>
    <n v="172920"/>
    <n v="172920"/>
  </r>
  <r>
    <x v="0"/>
    <n v="31"/>
    <x v="10"/>
    <x v="0"/>
    <x v="0"/>
    <n v="1005"/>
    <x v="11"/>
    <x v="0"/>
    <x v="14"/>
    <n v="3022"/>
    <x v="60"/>
    <n v="4006"/>
    <x v="35"/>
    <s v="L 05"/>
    <n v="9"/>
    <n v="1641"/>
    <x v="337"/>
    <s v="Annual"/>
    <n v="1"/>
    <n v="1"/>
    <n v="130128"/>
    <n v="130128"/>
  </r>
  <r>
    <x v="0"/>
    <n v="31"/>
    <x v="10"/>
    <x v="0"/>
    <x v="0"/>
    <n v="1005"/>
    <x v="11"/>
    <x v="0"/>
    <x v="14"/>
    <n v="3022"/>
    <x v="60"/>
    <n v="4006"/>
    <x v="35"/>
    <s v="L 05"/>
    <n v="9"/>
    <n v="1641"/>
    <x v="337"/>
    <s v="Annual"/>
    <n v="1"/>
    <n v="1"/>
    <n v="124224"/>
    <n v="124224"/>
  </r>
  <r>
    <x v="0"/>
    <n v="31"/>
    <x v="10"/>
    <x v="0"/>
    <x v="0"/>
    <n v="1005"/>
    <x v="11"/>
    <x v="0"/>
    <x v="14"/>
    <n v="3022"/>
    <x v="60"/>
    <n v="4006"/>
    <x v="35"/>
    <s v="BX 16"/>
    <n v="10"/>
    <n v="1619"/>
    <x v="341"/>
    <s v="Annual"/>
    <n v="1"/>
    <n v="1"/>
    <n v="89112"/>
    <n v="89112"/>
  </r>
  <r>
    <x v="0"/>
    <n v="31"/>
    <x v="10"/>
    <x v="0"/>
    <x v="0"/>
    <n v="1005"/>
    <x v="11"/>
    <x v="0"/>
    <x v="14"/>
    <n v="3022"/>
    <x v="60"/>
    <n v="4006"/>
    <x v="35"/>
    <s v="1 00"/>
    <n v="0"/>
    <n v="15"/>
    <x v="37"/>
    <s v="Annual"/>
    <n v="0"/>
    <n v="0"/>
    <n v="8573"/>
    <n v="8573"/>
  </r>
  <r>
    <x v="0"/>
    <n v="31"/>
    <x v="10"/>
    <x v="0"/>
    <x v="0"/>
    <n v="1005"/>
    <x v="11"/>
    <x v="0"/>
    <x v="14"/>
    <n v="3022"/>
    <x v="60"/>
    <n v="4008"/>
    <x v="36"/>
    <s v="LX 03"/>
    <n v="9"/>
    <n v="1652"/>
    <x v="336"/>
    <s v="Annual"/>
    <n v="1"/>
    <n v="1"/>
    <n v="150768"/>
    <n v="150768"/>
  </r>
  <r>
    <x v="0"/>
    <n v="31"/>
    <x v="10"/>
    <x v="0"/>
    <x v="0"/>
    <n v="1005"/>
    <x v="11"/>
    <x v="0"/>
    <x v="14"/>
    <n v="3023"/>
    <x v="61"/>
    <n v="0"/>
    <x v="0"/>
    <s v="BX 15"/>
    <n v="0"/>
    <n v="1689"/>
    <x v="324"/>
    <s v="Annual"/>
    <n v="1"/>
    <n v="1"/>
    <n v="80124"/>
    <n v="80124"/>
  </r>
  <r>
    <x v="0"/>
    <n v="31"/>
    <x v="10"/>
    <x v="0"/>
    <x v="0"/>
    <n v="1005"/>
    <x v="11"/>
    <x v="0"/>
    <x v="14"/>
    <n v="3023"/>
    <x v="61"/>
    <n v="0"/>
    <x v="0"/>
    <s v="L 03"/>
    <n v="9"/>
    <n v="1673"/>
    <x v="335"/>
    <s v="Annual"/>
    <n v="1"/>
    <n v="1"/>
    <n v="118596"/>
    <n v="118596"/>
  </r>
  <r>
    <x v="0"/>
    <n v="31"/>
    <x v="10"/>
    <x v="0"/>
    <x v="0"/>
    <n v="1005"/>
    <x v="11"/>
    <x v="0"/>
    <x v="14"/>
    <n v="3023"/>
    <x v="61"/>
    <n v="0"/>
    <x v="0"/>
    <s v="L 03"/>
    <n v="9"/>
    <n v="1673"/>
    <x v="335"/>
    <s v="Annual"/>
    <n v="1"/>
    <n v="1"/>
    <n v="103176"/>
    <n v="103176"/>
  </r>
  <r>
    <x v="0"/>
    <n v="31"/>
    <x v="10"/>
    <x v="0"/>
    <x v="0"/>
    <n v="1005"/>
    <x v="11"/>
    <x v="0"/>
    <x v="14"/>
    <n v="3023"/>
    <x v="61"/>
    <n v="0"/>
    <x v="0"/>
    <s v="L 03"/>
    <n v="9"/>
    <n v="1673"/>
    <x v="335"/>
    <s v="Annual"/>
    <n v="2"/>
    <n v="1"/>
    <n v="94044"/>
    <n v="188088"/>
  </r>
  <r>
    <x v="0"/>
    <n v="31"/>
    <x v="10"/>
    <x v="0"/>
    <x v="0"/>
    <n v="1005"/>
    <x v="11"/>
    <x v="0"/>
    <x v="14"/>
    <n v="3023"/>
    <x v="61"/>
    <n v="0"/>
    <x v="0"/>
    <s v="L 03"/>
    <n v="9"/>
    <n v="1673"/>
    <x v="335"/>
    <s v="Annual"/>
    <n v="4"/>
    <n v="1"/>
    <n v="85704"/>
    <n v="342816"/>
  </r>
  <r>
    <x v="0"/>
    <n v="31"/>
    <x v="10"/>
    <x v="0"/>
    <x v="0"/>
    <n v="1005"/>
    <x v="11"/>
    <x v="0"/>
    <x v="14"/>
    <n v="3023"/>
    <x v="61"/>
    <n v="0"/>
    <x v="0"/>
    <s v="LX 02"/>
    <n v="9"/>
    <n v="1650"/>
    <x v="328"/>
    <s v="Annual"/>
    <n v="1"/>
    <n v="1"/>
    <n v="208956"/>
    <n v="208956"/>
  </r>
  <r>
    <x v="0"/>
    <n v="31"/>
    <x v="10"/>
    <x v="0"/>
    <x v="0"/>
    <n v="1005"/>
    <x v="11"/>
    <x v="0"/>
    <x v="14"/>
    <n v="3023"/>
    <x v="61"/>
    <n v="0"/>
    <x v="0"/>
    <s v="L 05"/>
    <n v="9"/>
    <n v="1641"/>
    <x v="337"/>
    <s v="Annual"/>
    <n v="1"/>
    <n v="1"/>
    <n v="156648"/>
    <n v="156648"/>
  </r>
  <r>
    <x v="0"/>
    <n v="31"/>
    <x v="10"/>
    <x v="0"/>
    <x v="0"/>
    <n v="1005"/>
    <x v="11"/>
    <x v="0"/>
    <x v="14"/>
    <n v="3023"/>
    <x v="61"/>
    <n v="0"/>
    <x v="0"/>
    <s v="B 13"/>
    <n v="1"/>
    <n v="1617"/>
    <x v="338"/>
    <s v="Annual"/>
    <n v="1"/>
    <n v="1"/>
    <n v="85200"/>
    <n v="85200"/>
  </r>
  <r>
    <x v="0"/>
    <n v="31"/>
    <x v="10"/>
    <x v="0"/>
    <x v="0"/>
    <n v="1005"/>
    <x v="11"/>
    <x v="0"/>
    <x v="14"/>
    <n v="3023"/>
    <x v="61"/>
    <n v="0"/>
    <x v="0"/>
    <s v="1 00"/>
    <n v="0"/>
    <n v="15"/>
    <x v="37"/>
    <s v="Annual"/>
    <n v="0"/>
    <n v="0"/>
    <n v="15328"/>
    <n v="15328"/>
  </r>
  <r>
    <x v="0"/>
    <n v="31"/>
    <x v="10"/>
    <x v="0"/>
    <x v="0"/>
    <n v="1005"/>
    <x v="11"/>
    <x v="0"/>
    <x v="14"/>
    <n v="3028"/>
    <x v="62"/>
    <n v="4011"/>
    <x v="37"/>
    <s v="BX 15"/>
    <n v="0"/>
    <n v="1689"/>
    <x v="324"/>
    <s v="Annual"/>
    <n v="1"/>
    <n v="1"/>
    <n v="80124"/>
    <n v="80124"/>
  </r>
  <r>
    <x v="0"/>
    <n v="31"/>
    <x v="10"/>
    <x v="0"/>
    <x v="0"/>
    <n v="1005"/>
    <x v="11"/>
    <x v="0"/>
    <x v="14"/>
    <n v="3028"/>
    <x v="62"/>
    <n v="4011"/>
    <x v="37"/>
    <s v="L 02"/>
    <n v="9"/>
    <n v="1672"/>
    <x v="346"/>
    <s v="Annual"/>
    <n v="1"/>
    <n v="1"/>
    <n v="142776"/>
    <n v="142776"/>
  </r>
  <r>
    <x v="0"/>
    <n v="31"/>
    <x v="10"/>
    <x v="0"/>
    <x v="0"/>
    <n v="1005"/>
    <x v="11"/>
    <x v="0"/>
    <x v="14"/>
    <n v="3028"/>
    <x v="62"/>
    <n v="4011"/>
    <x v="37"/>
    <s v="L 02"/>
    <n v="9"/>
    <n v="1672"/>
    <x v="346"/>
    <s v="Annual"/>
    <n v="1"/>
    <n v="1"/>
    <n v="130128"/>
    <n v="130128"/>
  </r>
  <r>
    <x v="0"/>
    <n v="31"/>
    <x v="10"/>
    <x v="0"/>
    <x v="0"/>
    <n v="1005"/>
    <x v="11"/>
    <x v="0"/>
    <x v="14"/>
    <n v="3028"/>
    <x v="62"/>
    <n v="4011"/>
    <x v="37"/>
    <s v="L 02"/>
    <n v="9"/>
    <n v="1672"/>
    <x v="346"/>
    <s v="Annual"/>
    <n v="1"/>
    <n v="1"/>
    <n v="118596"/>
    <n v="118596"/>
  </r>
  <r>
    <x v="0"/>
    <n v="31"/>
    <x v="10"/>
    <x v="0"/>
    <x v="0"/>
    <n v="1005"/>
    <x v="11"/>
    <x v="0"/>
    <x v="14"/>
    <n v="3028"/>
    <x v="62"/>
    <n v="4011"/>
    <x v="37"/>
    <s v="L 02"/>
    <n v="9"/>
    <n v="1672"/>
    <x v="346"/>
    <s v="Annual"/>
    <n v="1"/>
    <n v="1"/>
    <n v="108084"/>
    <n v="108084"/>
  </r>
  <r>
    <x v="0"/>
    <n v="31"/>
    <x v="10"/>
    <x v="0"/>
    <x v="0"/>
    <n v="1005"/>
    <x v="11"/>
    <x v="0"/>
    <x v="14"/>
    <n v="3028"/>
    <x v="62"/>
    <n v="4011"/>
    <x v="37"/>
    <s v="L 02"/>
    <n v="9"/>
    <n v="1672"/>
    <x v="346"/>
    <s v="Annual"/>
    <n v="3"/>
    <n v="1"/>
    <n v="103176"/>
    <n v="309528"/>
  </r>
  <r>
    <x v="0"/>
    <n v="31"/>
    <x v="10"/>
    <x v="0"/>
    <x v="0"/>
    <n v="1005"/>
    <x v="11"/>
    <x v="0"/>
    <x v="14"/>
    <n v="3028"/>
    <x v="62"/>
    <n v="4011"/>
    <x v="37"/>
    <s v="L 02"/>
    <n v="9"/>
    <n v="1672"/>
    <x v="346"/>
    <s v="Annual"/>
    <n v="1"/>
    <n v="1"/>
    <n v="98484"/>
    <n v="98484"/>
  </r>
  <r>
    <x v="0"/>
    <n v="31"/>
    <x v="10"/>
    <x v="0"/>
    <x v="0"/>
    <n v="1005"/>
    <x v="11"/>
    <x v="0"/>
    <x v="14"/>
    <n v="3028"/>
    <x v="62"/>
    <n v="4011"/>
    <x v="37"/>
    <s v="L 02"/>
    <n v="9"/>
    <n v="1672"/>
    <x v="346"/>
    <s v="Annual"/>
    <n v="1"/>
    <n v="1"/>
    <n v="94044"/>
    <n v="94044"/>
  </r>
  <r>
    <x v="0"/>
    <n v="31"/>
    <x v="10"/>
    <x v="0"/>
    <x v="0"/>
    <n v="1005"/>
    <x v="11"/>
    <x v="0"/>
    <x v="14"/>
    <n v="3028"/>
    <x v="62"/>
    <n v="4011"/>
    <x v="37"/>
    <s v="L 02"/>
    <n v="9"/>
    <n v="1672"/>
    <x v="346"/>
    <s v="Annual"/>
    <n v="1"/>
    <n v="1"/>
    <n v="87372"/>
    <n v="87372"/>
  </r>
  <r>
    <x v="0"/>
    <n v="31"/>
    <x v="10"/>
    <x v="0"/>
    <x v="0"/>
    <n v="1005"/>
    <x v="11"/>
    <x v="0"/>
    <x v="14"/>
    <n v="3028"/>
    <x v="62"/>
    <n v="4011"/>
    <x v="37"/>
    <s v="LX 02"/>
    <n v="9"/>
    <n v="1650"/>
    <x v="328"/>
    <s v="Annual"/>
    <n v="1"/>
    <n v="1"/>
    <n v="192852"/>
    <n v="192852"/>
  </r>
  <r>
    <x v="0"/>
    <n v="31"/>
    <x v="10"/>
    <x v="0"/>
    <x v="0"/>
    <n v="1005"/>
    <x v="11"/>
    <x v="0"/>
    <x v="14"/>
    <n v="3028"/>
    <x v="62"/>
    <n v="4011"/>
    <x v="37"/>
    <s v="L 05"/>
    <n v="9"/>
    <n v="1641"/>
    <x v="337"/>
    <s v="Annual"/>
    <n v="1"/>
    <n v="1"/>
    <n v="149556"/>
    <n v="149556"/>
  </r>
  <r>
    <x v="0"/>
    <n v="31"/>
    <x v="10"/>
    <x v="0"/>
    <x v="0"/>
    <n v="1005"/>
    <x v="11"/>
    <x v="0"/>
    <x v="14"/>
    <n v="3028"/>
    <x v="62"/>
    <n v="4011"/>
    <x v="37"/>
    <s v="L 05"/>
    <n v="9"/>
    <n v="1641"/>
    <x v="337"/>
    <s v="Annual"/>
    <n v="1"/>
    <n v="1"/>
    <n v="142776"/>
    <n v="142776"/>
  </r>
  <r>
    <x v="0"/>
    <n v="31"/>
    <x v="10"/>
    <x v="0"/>
    <x v="0"/>
    <n v="1005"/>
    <x v="11"/>
    <x v="0"/>
    <x v="14"/>
    <n v="3028"/>
    <x v="62"/>
    <n v="4011"/>
    <x v="37"/>
    <s v="L 05"/>
    <n v="9"/>
    <n v="1641"/>
    <x v="337"/>
    <s v="Annual"/>
    <n v="1"/>
    <n v="1"/>
    <n v="136284"/>
    <n v="136284"/>
  </r>
  <r>
    <x v="0"/>
    <n v="31"/>
    <x v="10"/>
    <x v="0"/>
    <x v="0"/>
    <n v="1005"/>
    <x v="11"/>
    <x v="0"/>
    <x v="14"/>
    <n v="3028"/>
    <x v="62"/>
    <n v="4011"/>
    <x v="37"/>
    <s v="BX 13"/>
    <n v="10"/>
    <n v="1623"/>
    <x v="347"/>
    <s v="Annual"/>
    <n v="1"/>
    <n v="1"/>
    <n v="63504"/>
    <n v="63504"/>
  </r>
  <r>
    <x v="0"/>
    <n v="31"/>
    <x v="10"/>
    <x v="0"/>
    <x v="0"/>
    <n v="1005"/>
    <x v="11"/>
    <x v="0"/>
    <x v="14"/>
    <n v="3028"/>
    <x v="62"/>
    <n v="4011"/>
    <x v="37"/>
    <s v="BX 16"/>
    <n v="10"/>
    <n v="1619"/>
    <x v="341"/>
    <s v="Annual"/>
    <n v="1"/>
    <n v="1"/>
    <n v="76476"/>
    <n v="76476"/>
  </r>
  <r>
    <x v="0"/>
    <n v="31"/>
    <x v="10"/>
    <x v="0"/>
    <x v="0"/>
    <n v="1005"/>
    <x v="11"/>
    <x v="0"/>
    <x v="14"/>
    <n v="3028"/>
    <x v="62"/>
    <n v="4011"/>
    <x v="37"/>
    <s v="BX 16"/>
    <n v="10"/>
    <n v="802"/>
    <x v="30"/>
    <s v="Annual"/>
    <n v="1"/>
    <n v="1"/>
    <n v="85128"/>
    <n v="85128"/>
  </r>
  <r>
    <x v="0"/>
    <n v="31"/>
    <x v="10"/>
    <x v="0"/>
    <x v="0"/>
    <n v="1005"/>
    <x v="11"/>
    <x v="0"/>
    <x v="14"/>
    <n v="3028"/>
    <x v="62"/>
    <n v="4011"/>
    <x v="37"/>
    <s v="BX 12"/>
    <n v="20"/>
    <n v="323"/>
    <x v="34"/>
    <s v="Annual"/>
    <n v="1"/>
    <n v="1"/>
    <n v="57852"/>
    <n v="57852"/>
  </r>
  <r>
    <x v="0"/>
    <n v="31"/>
    <x v="10"/>
    <x v="0"/>
    <x v="0"/>
    <n v="1005"/>
    <x v="11"/>
    <x v="0"/>
    <x v="14"/>
    <n v="3028"/>
    <x v="62"/>
    <n v="4011"/>
    <x v="37"/>
    <s v="1 00"/>
    <n v="0"/>
    <n v="15"/>
    <x v="37"/>
    <s v="Annual"/>
    <n v="0"/>
    <n v="0"/>
    <n v="20934"/>
    <n v="20934"/>
  </r>
  <r>
    <x v="0"/>
    <n v="31"/>
    <x v="10"/>
    <x v="0"/>
    <x v="0"/>
    <n v="1005"/>
    <x v="11"/>
    <x v="0"/>
    <x v="14"/>
    <n v="3031"/>
    <x v="63"/>
    <n v="0"/>
    <x v="0"/>
    <s v="BX 15"/>
    <n v="0"/>
    <n v="1689"/>
    <x v="324"/>
    <s v="Annual"/>
    <n v="1"/>
    <n v="1"/>
    <n v="98832"/>
    <n v="98832"/>
  </r>
  <r>
    <x v="0"/>
    <n v="31"/>
    <x v="10"/>
    <x v="0"/>
    <x v="0"/>
    <n v="1005"/>
    <x v="11"/>
    <x v="0"/>
    <x v="14"/>
    <n v="3031"/>
    <x v="63"/>
    <n v="0"/>
    <x v="0"/>
    <s v="L 04"/>
    <n v="9"/>
    <n v="1674"/>
    <x v="339"/>
    <s v="Annual"/>
    <n v="1"/>
    <n v="1"/>
    <n v="149556"/>
    <n v="149556"/>
  </r>
  <r>
    <x v="0"/>
    <n v="31"/>
    <x v="10"/>
    <x v="0"/>
    <x v="0"/>
    <n v="1005"/>
    <x v="11"/>
    <x v="0"/>
    <x v="14"/>
    <n v="3031"/>
    <x v="63"/>
    <n v="0"/>
    <x v="0"/>
    <s v="L 02"/>
    <n v="9"/>
    <n v="1672"/>
    <x v="346"/>
    <s v="Annual"/>
    <n v="1"/>
    <n v="1"/>
    <n v="113208"/>
    <n v="113208"/>
  </r>
  <r>
    <x v="0"/>
    <n v="31"/>
    <x v="10"/>
    <x v="0"/>
    <x v="0"/>
    <n v="1005"/>
    <x v="11"/>
    <x v="0"/>
    <x v="14"/>
    <n v="3031"/>
    <x v="63"/>
    <n v="0"/>
    <x v="0"/>
    <s v="L 02"/>
    <n v="9"/>
    <n v="1672"/>
    <x v="346"/>
    <s v="Annual"/>
    <n v="2"/>
    <n v="1"/>
    <n v="108084"/>
    <n v="216168"/>
  </r>
  <r>
    <x v="0"/>
    <n v="31"/>
    <x v="10"/>
    <x v="0"/>
    <x v="0"/>
    <n v="1005"/>
    <x v="11"/>
    <x v="0"/>
    <x v="14"/>
    <n v="3031"/>
    <x v="63"/>
    <n v="0"/>
    <x v="0"/>
    <s v="LX 03"/>
    <n v="9"/>
    <n v="1652"/>
    <x v="336"/>
    <s v="Annual"/>
    <n v="1"/>
    <n v="1"/>
    <n v="184800"/>
    <n v="184800"/>
  </r>
  <r>
    <x v="0"/>
    <n v="31"/>
    <x v="10"/>
    <x v="0"/>
    <x v="0"/>
    <n v="1005"/>
    <x v="11"/>
    <x v="0"/>
    <x v="14"/>
    <n v="3031"/>
    <x v="63"/>
    <n v="0"/>
    <x v="0"/>
    <s v="LX 02"/>
    <n v="9"/>
    <n v="1650"/>
    <x v="328"/>
    <s v="Annual"/>
    <n v="1"/>
    <n v="1"/>
    <n v="153000"/>
    <n v="153000"/>
  </r>
  <r>
    <x v="0"/>
    <n v="31"/>
    <x v="10"/>
    <x v="0"/>
    <x v="0"/>
    <n v="1005"/>
    <x v="11"/>
    <x v="0"/>
    <x v="14"/>
    <n v="3031"/>
    <x v="63"/>
    <n v="0"/>
    <x v="0"/>
    <s v="1 00"/>
    <n v="0"/>
    <n v="15"/>
    <x v="37"/>
    <s v="Annual"/>
    <n v="0"/>
    <n v="0"/>
    <n v="6159"/>
    <n v="6159"/>
  </r>
  <r>
    <x v="0"/>
    <n v="31"/>
    <x v="10"/>
    <x v="0"/>
    <x v="0"/>
    <n v="1005"/>
    <x v="11"/>
    <x v="0"/>
    <x v="14"/>
    <n v="3033"/>
    <x v="64"/>
    <n v="0"/>
    <x v="0"/>
    <s v="L 03"/>
    <n v="9"/>
    <n v="1673"/>
    <x v="335"/>
    <s v="Annual"/>
    <n v="2"/>
    <n v="1"/>
    <n v="85704"/>
    <n v="171408"/>
  </r>
  <r>
    <x v="0"/>
    <n v="31"/>
    <x v="10"/>
    <x v="0"/>
    <x v="0"/>
    <n v="1005"/>
    <x v="11"/>
    <x v="0"/>
    <x v="14"/>
    <n v="3033"/>
    <x v="64"/>
    <n v="0"/>
    <x v="0"/>
    <s v="LX 03"/>
    <n v="9"/>
    <n v="1652"/>
    <x v="336"/>
    <s v="Annual"/>
    <n v="1"/>
    <n v="1"/>
    <n v="133836"/>
    <n v="133836"/>
  </r>
  <r>
    <x v="0"/>
    <n v="31"/>
    <x v="10"/>
    <x v="0"/>
    <x v="0"/>
    <n v="1005"/>
    <x v="11"/>
    <x v="0"/>
    <x v="14"/>
    <n v="3033"/>
    <x v="64"/>
    <n v="0"/>
    <x v="0"/>
    <s v="LX 02"/>
    <n v="9"/>
    <n v="1650"/>
    <x v="328"/>
    <s v="Annual"/>
    <n v="1"/>
    <n v="1"/>
    <n v="153000"/>
    <n v="153000"/>
  </r>
  <r>
    <x v="0"/>
    <n v="31"/>
    <x v="10"/>
    <x v="0"/>
    <x v="0"/>
    <n v="1005"/>
    <x v="11"/>
    <x v="0"/>
    <x v="14"/>
    <n v="3033"/>
    <x v="64"/>
    <n v="0"/>
    <x v="0"/>
    <s v="L 05"/>
    <n v="9"/>
    <n v="1641"/>
    <x v="337"/>
    <s v="Annual"/>
    <n v="1"/>
    <n v="1"/>
    <n v="124224"/>
    <n v="124224"/>
  </r>
  <r>
    <x v="0"/>
    <n v="31"/>
    <x v="10"/>
    <x v="0"/>
    <x v="0"/>
    <n v="1005"/>
    <x v="11"/>
    <x v="0"/>
    <x v="14"/>
    <n v="3033"/>
    <x v="64"/>
    <n v="0"/>
    <x v="0"/>
    <s v="1 00"/>
    <n v="0"/>
    <n v="15"/>
    <x v="37"/>
    <s v="Annual"/>
    <n v="0"/>
    <n v="0"/>
    <n v="2706"/>
    <n v="2706"/>
  </r>
  <r>
    <x v="0"/>
    <n v="31"/>
    <x v="10"/>
    <x v="0"/>
    <x v="0"/>
    <n v="1005"/>
    <x v="11"/>
    <x v="0"/>
    <x v="14"/>
    <n v="3036"/>
    <x v="65"/>
    <n v="0"/>
    <x v="0"/>
    <s v="L 03"/>
    <n v="9"/>
    <n v="1673"/>
    <x v="335"/>
    <s v="Annual"/>
    <n v="1"/>
    <n v="1"/>
    <n v="98484"/>
    <n v="98484"/>
  </r>
  <r>
    <x v="0"/>
    <n v="31"/>
    <x v="10"/>
    <x v="0"/>
    <x v="0"/>
    <n v="1005"/>
    <x v="11"/>
    <x v="0"/>
    <x v="14"/>
    <n v="3036"/>
    <x v="65"/>
    <n v="0"/>
    <x v="0"/>
    <s v="LX 02"/>
    <n v="9"/>
    <n v="1650"/>
    <x v="328"/>
    <s v="Annual"/>
    <n v="1"/>
    <n v="1"/>
    <n v="192852"/>
    <n v="192852"/>
  </r>
  <r>
    <x v="0"/>
    <n v="31"/>
    <x v="10"/>
    <x v="0"/>
    <x v="0"/>
    <n v="1005"/>
    <x v="11"/>
    <x v="0"/>
    <x v="14"/>
    <n v="3036"/>
    <x v="65"/>
    <n v="0"/>
    <x v="0"/>
    <s v="1 00"/>
    <n v="0"/>
    <n v="15"/>
    <x v="37"/>
    <s v="Annual"/>
    <n v="0"/>
    <n v="0"/>
    <n v="2680"/>
    <n v="2680"/>
  </r>
  <r>
    <x v="0"/>
    <n v="31"/>
    <x v="10"/>
    <x v="0"/>
    <x v="0"/>
    <n v="1005"/>
    <x v="11"/>
    <x v="0"/>
    <x v="14"/>
    <n v="3038"/>
    <x v="66"/>
    <n v="4017"/>
    <x v="38"/>
    <s v="L 02"/>
    <n v="9"/>
    <n v="1672"/>
    <x v="346"/>
    <s v="Annual"/>
    <n v="1"/>
    <n v="1"/>
    <n v="130128"/>
    <n v="130128"/>
  </r>
  <r>
    <x v="0"/>
    <n v="31"/>
    <x v="10"/>
    <x v="0"/>
    <x v="0"/>
    <n v="1005"/>
    <x v="11"/>
    <x v="0"/>
    <x v="14"/>
    <n v="3038"/>
    <x v="66"/>
    <n v="4017"/>
    <x v="38"/>
    <s v="L 02"/>
    <n v="9"/>
    <n v="1672"/>
    <x v="346"/>
    <s v="Annual"/>
    <n v="1"/>
    <n v="1"/>
    <n v="113208"/>
    <n v="113208"/>
  </r>
  <r>
    <x v="0"/>
    <n v="31"/>
    <x v="10"/>
    <x v="0"/>
    <x v="0"/>
    <n v="1005"/>
    <x v="11"/>
    <x v="0"/>
    <x v="14"/>
    <n v="3038"/>
    <x v="66"/>
    <n v="4017"/>
    <x v="38"/>
    <s v="LX 03"/>
    <n v="9"/>
    <n v="1652"/>
    <x v="336"/>
    <s v="Annual"/>
    <n v="1"/>
    <n v="1"/>
    <n v="173160"/>
    <n v="173160"/>
  </r>
  <r>
    <x v="0"/>
    <n v="31"/>
    <x v="10"/>
    <x v="0"/>
    <x v="0"/>
    <n v="1005"/>
    <x v="11"/>
    <x v="0"/>
    <x v="14"/>
    <n v="3038"/>
    <x v="66"/>
    <n v="4017"/>
    <x v="38"/>
    <s v="B 13"/>
    <n v="1"/>
    <n v="1617"/>
    <x v="338"/>
    <s v="Annual"/>
    <n v="1"/>
    <n v="1"/>
    <n v="119100"/>
    <n v="119100"/>
  </r>
  <r>
    <x v="0"/>
    <n v="31"/>
    <x v="10"/>
    <x v="0"/>
    <x v="0"/>
    <n v="1005"/>
    <x v="11"/>
    <x v="0"/>
    <x v="14"/>
    <n v="3038"/>
    <x v="66"/>
    <n v="4017"/>
    <x v="38"/>
    <s v="1 00"/>
    <n v="0"/>
    <n v="15"/>
    <x v="37"/>
    <s v="Annual"/>
    <n v="0"/>
    <n v="0"/>
    <n v="2625"/>
    <n v="2625"/>
  </r>
  <r>
    <x v="0"/>
    <n v="31"/>
    <x v="10"/>
    <x v="0"/>
    <x v="0"/>
    <n v="1005"/>
    <x v="11"/>
    <x v="0"/>
    <x v="14"/>
    <n v="3038"/>
    <x v="66"/>
    <n v="4032"/>
    <x v="39"/>
    <s v="L 02"/>
    <n v="9"/>
    <n v="1672"/>
    <x v="346"/>
    <s v="Annual"/>
    <n v="1"/>
    <n v="1"/>
    <n v="108084"/>
    <n v="108084"/>
  </r>
  <r>
    <x v="0"/>
    <n v="31"/>
    <x v="10"/>
    <x v="0"/>
    <x v="0"/>
    <n v="1005"/>
    <x v="11"/>
    <x v="0"/>
    <x v="14"/>
    <n v="3038"/>
    <x v="66"/>
    <n v="4032"/>
    <x v="39"/>
    <s v="L 02"/>
    <n v="9"/>
    <n v="1672"/>
    <x v="346"/>
    <s v="Annual"/>
    <n v="1"/>
    <n v="1"/>
    <n v="94044"/>
    <n v="94044"/>
  </r>
  <r>
    <x v="0"/>
    <n v="31"/>
    <x v="10"/>
    <x v="0"/>
    <x v="0"/>
    <n v="1005"/>
    <x v="11"/>
    <x v="0"/>
    <x v="14"/>
    <n v="3038"/>
    <x v="66"/>
    <n v="4032"/>
    <x v="39"/>
    <s v="L 02"/>
    <n v="9"/>
    <n v="1672"/>
    <x v="346"/>
    <s v="Annual"/>
    <n v="1"/>
    <n v="1"/>
    <n v="87372"/>
    <n v="87372"/>
  </r>
  <r>
    <x v="0"/>
    <n v="31"/>
    <x v="10"/>
    <x v="0"/>
    <x v="0"/>
    <n v="1005"/>
    <x v="11"/>
    <x v="0"/>
    <x v="14"/>
    <n v="3038"/>
    <x v="66"/>
    <n v="4032"/>
    <x v="39"/>
    <s v="LX 03"/>
    <n v="9"/>
    <n v="1652"/>
    <x v="336"/>
    <s v="Annual"/>
    <n v="1"/>
    <n v="1"/>
    <n v="187524"/>
    <n v="187524"/>
  </r>
  <r>
    <x v="0"/>
    <n v="31"/>
    <x v="10"/>
    <x v="0"/>
    <x v="0"/>
    <n v="1005"/>
    <x v="11"/>
    <x v="0"/>
    <x v="14"/>
    <n v="3038"/>
    <x v="66"/>
    <n v="4032"/>
    <x v="39"/>
    <s v="L 05"/>
    <n v="9"/>
    <n v="1641"/>
    <x v="337"/>
    <s v="Annual"/>
    <n v="1"/>
    <n v="1"/>
    <n v="164100"/>
    <n v="164100"/>
  </r>
  <r>
    <x v="0"/>
    <n v="31"/>
    <x v="10"/>
    <x v="0"/>
    <x v="0"/>
    <n v="1005"/>
    <x v="11"/>
    <x v="0"/>
    <x v="14"/>
    <n v="3038"/>
    <x v="66"/>
    <n v="4032"/>
    <x v="39"/>
    <s v="L 05"/>
    <n v="9"/>
    <n v="1641"/>
    <x v="337"/>
    <s v="Annual"/>
    <n v="1"/>
    <n v="1"/>
    <n v="142776"/>
    <n v="142776"/>
  </r>
  <r>
    <x v="0"/>
    <n v="31"/>
    <x v="10"/>
    <x v="0"/>
    <x v="0"/>
    <n v="1005"/>
    <x v="11"/>
    <x v="0"/>
    <x v="14"/>
    <n v="3038"/>
    <x v="66"/>
    <n v="4032"/>
    <x v="39"/>
    <s v="B 13"/>
    <n v="1"/>
    <n v="1617"/>
    <x v="338"/>
    <s v="Annual"/>
    <n v="1"/>
    <n v="1"/>
    <n v="108576"/>
    <n v="108576"/>
  </r>
  <r>
    <x v="0"/>
    <n v="31"/>
    <x v="10"/>
    <x v="0"/>
    <x v="0"/>
    <n v="1005"/>
    <x v="11"/>
    <x v="0"/>
    <x v="14"/>
    <n v="3038"/>
    <x v="66"/>
    <n v="4032"/>
    <x v="39"/>
    <s v="1 00"/>
    <n v="0"/>
    <n v="15"/>
    <x v="37"/>
    <s v="Annual"/>
    <n v="0"/>
    <n v="0"/>
    <n v="11468"/>
    <n v="11468"/>
  </r>
  <r>
    <x v="0"/>
    <n v="31"/>
    <x v="10"/>
    <x v="0"/>
    <x v="0"/>
    <n v="1005"/>
    <x v="11"/>
    <x v="0"/>
    <x v="14"/>
    <n v="3039"/>
    <x v="67"/>
    <n v="4039"/>
    <x v="40"/>
    <s v="L 01"/>
    <n v="9"/>
    <n v="1643"/>
    <x v="340"/>
    <s v="Annual"/>
    <n v="1"/>
    <n v="1"/>
    <n v="89784"/>
    <n v="89784"/>
  </r>
  <r>
    <x v="0"/>
    <n v="31"/>
    <x v="10"/>
    <x v="0"/>
    <x v="0"/>
    <n v="1005"/>
    <x v="11"/>
    <x v="0"/>
    <x v="14"/>
    <n v="3039"/>
    <x v="67"/>
    <n v="4039"/>
    <x v="40"/>
    <s v="L 05"/>
    <n v="9"/>
    <n v="1641"/>
    <x v="337"/>
    <s v="Annual"/>
    <n v="1"/>
    <n v="1"/>
    <n v="130128"/>
    <n v="130128"/>
  </r>
  <r>
    <x v="0"/>
    <n v="31"/>
    <x v="10"/>
    <x v="0"/>
    <x v="0"/>
    <n v="1005"/>
    <x v="11"/>
    <x v="0"/>
    <x v="14"/>
    <n v="3039"/>
    <x v="67"/>
    <n v="4039"/>
    <x v="40"/>
    <s v="B 13"/>
    <n v="1"/>
    <n v="1617"/>
    <x v="338"/>
    <s v="Annual"/>
    <n v="1"/>
    <n v="1"/>
    <n v="113628"/>
    <n v="113628"/>
  </r>
  <r>
    <x v="0"/>
    <n v="31"/>
    <x v="10"/>
    <x v="0"/>
    <x v="0"/>
    <n v="1005"/>
    <x v="11"/>
    <x v="0"/>
    <x v="14"/>
    <n v="3039"/>
    <x v="67"/>
    <n v="4039"/>
    <x v="40"/>
    <s v="1 00"/>
    <n v="0"/>
    <n v="15"/>
    <x v="37"/>
    <s v="Annual"/>
    <n v="0"/>
    <n v="0"/>
    <n v="3326"/>
    <n v="3326"/>
  </r>
  <r>
    <x v="0"/>
    <n v="31"/>
    <x v="10"/>
    <x v="0"/>
    <x v="0"/>
    <n v="1005"/>
    <x v="11"/>
    <x v="0"/>
    <x v="14"/>
    <n v="3039"/>
    <x v="67"/>
    <n v="4041"/>
    <x v="41"/>
    <s v="LX 02"/>
    <n v="9"/>
    <n v="1656"/>
    <x v="348"/>
    <s v="Annual"/>
    <n v="1"/>
    <n v="1"/>
    <n v="192852"/>
    <n v="192852"/>
  </r>
  <r>
    <x v="0"/>
    <n v="31"/>
    <x v="10"/>
    <x v="0"/>
    <x v="0"/>
    <n v="1005"/>
    <x v="11"/>
    <x v="0"/>
    <x v="14"/>
    <n v="3039"/>
    <x v="67"/>
    <n v="4041"/>
    <x v="41"/>
    <s v="L 01"/>
    <n v="9"/>
    <n v="1643"/>
    <x v="340"/>
    <s v="Annual"/>
    <n v="1"/>
    <n v="1"/>
    <n v="118596"/>
    <n v="118596"/>
  </r>
  <r>
    <x v="0"/>
    <n v="31"/>
    <x v="10"/>
    <x v="0"/>
    <x v="0"/>
    <n v="1005"/>
    <x v="11"/>
    <x v="0"/>
    <x v="14"/>
    <n v="3039"/>
    <x v="67"/>
    <n v="4041"/>
    <x v="41"/>
    <s v="L 01"/>
    <n v="9"/>
    <n v="1643"/>
    <x v="340"/>
    <s v="Annual"/>
    <n v="1"/>
    <n v="1"/>
    <n v="113208"/>
    <n v="113208"/>
  </r>
  <r>
    <x v="0"/>
    <n v="31"/>
    <x v="10"/>
    <x v="0"/>
    <x v="0"/>
    <n v="1005"/>
    <x v="11"/>
    <x v="0"/>
    <x v="14"/>
    <n v="3039"/>
    <x v="67"/>
    <n v="4041"/>
    <x v="41"/>
    <s v="L 01"/>
    <n v="9"/>
    <n v="1643"/>
    <x v="340"/>
    <s v="Annual"/>
    <n v="1"/>
    <n v="1"/>
    <n v="108084"/>
    <n v="108084"/>
  </r>
  <r>
    <x v="0"/>
    <n v="31"/>
    <x v="10"/>
    <x v="0"/>
    <x v="0"/>
    <n v="1005"/>
    <x v="11"/>
    <x v="0"/>
    <x v="14"/>
    <n v="3039"/>
    <x v="67"/>
    <n v="4041"/>
    <x v="41"/>
    <s v="L 01"/>
    <n v="9"/>
    <n v="1643"/>
    <x v="340"/>
    <s v="Annual"/>
    <n v="1"/>
    <n v="1"/>
    <n v="98484"/>
    <n v="98484"/>
  </r>
  <r>
    <x v="0"/>
    <n v="31"/>
    <x v="10"/>
    <x v="0"/>
    <x v="0"/>
    <n v="1005"/>
    <x v="11"/>
    <x v="0"/>
    <x v="14"/>
    <n v="3039"/>
    <x v="67"/>
    <n v="4041"/>
    <x v="41"/>
    <s v="L 01"/>
    <n v="9"/>
    <n v="1643"/>
    <x v="340"/>
    <s v="Annual"/>
    <n v="2"/>
    <n v="1"/>
    <n v="85704"/>
    <n v="171408"/>
  </r>
  <r>
    <x v="0"/>
    <n v="31"/>
    <x v="10"/>
    <x v="0"/>
    <x v="0"/>
    <n v="1005"/>
    <x v="11"/>
    <x v="0"/>
    <x v="14"/>
    <n v="3039"/>
    <x v="67"/>
    <n v="4041"/>
    <x v="41"/>
    <s v="L 01"/>
    <n v="9"/>
    <n v="1643"/>
    <x v="340"/>
    <s v="Annual"/>
    <n v="3"/>
    <n v="1"/>
    <n v="78108"/>
    <n v="234324"/>
  </r>
  <r>
    <x v="0"/>
    <n v="31"/>
    <x v="10"/>
    <x v="0"/>
    <x v="0"/>
    <n v="1005"/>
    <x v="11"/>
    <x v="0"/>
    <x v="14"/>
    <n v="3039"/>
    <x v="67"/>
    <n v="4041"/>
    <x v="41"/>
    <s v="L 05"/>
    <n v="9"/>
    <n v="1641"/>
    <x v="337"/>
    <s v="Annual"/>
    <n v="1"/>
    <n v="1"/>
    <n v="149556"/>
    <n v="149556"/>
  </r>
  <r>
    <x v="0"/>
    <n v="31"/>
    <x v="10"/>
    <x v="0"/>
    <x v="0"/>
    <n v="1005"/>
    <x v="11"/>
    <x v="0"/>
    <x v="14"/>
    <n v="3039"/>
    <x v="67"/>
    <n v="4041"/>
    <x v="41"/>
    <s v="L 05"/>
    <n v="9"/>
    <n v="1641"/>
    <x v="337"/>
    <s v="Annual"/>
    <n v="1"/>
    <n v="1"/>
    <n v="136284"/>
    <n v="136284"/>
  </r>
  <r>
    <x v="0"/>
    <n v="31"/>
    <x v="10"/>
    <x v="0"/>
    <x v="0"/>
    <n v="1005"/>
    <x v="11"/>
    <x v="0"/>
    <x v="14"/>
    <n v="3039"/>
    <x v="67"/>
    <n v="4041"/>
    <x v="41"/>
    <s v="B 13"/>
    <n v="1"/>
    <n v="1617"/>
    <x v="338"/>
    <s v="Annual"/>
    <n v="1"/>
    <n v="1"/>
    <n v="68616"/>
    <n v="68616"/>
  </r>
  <r>
    <x v="0"/>
    <n v="31"/>
    <x v="10"/>
    <x v="0"/>
    <x v="0"/>
    <n v="1005"/>
    <x v="11"/>
    <x v="0"/>
    <x v="14"/>
    <n v="3039"/>
    <x v="67"/>
    <n v="4041"/>
    <x v="41"/>
    <s v="B 12"/>
    <n v="1"/>
    <n v="863"/>
    <x v="349"/>
    <s v="Annual"/>
    <n v="1"/>
    <n v="1"/>
    <n v="108576"/>
    <n v="108576"/>
  </r>
  <r>
    <x v="0"/>
    <n v="31"/>
    <x v="10"/>
    <x v="0"/>
    <x v="0"/>
    <n v="1005"/>
    <x v="11"/>
    <x v="0"/>
    <x v="14"/>
    <n v="3039"/>
    <x v="67"/>
    <n v="4041"/>
    <x v="41"/>
    <s v="1 00"/>
    <n v="0"/>
    <n v="15"/>
    <x v="37"/>
    <s v="Annual"/>
    <n v="0"/>
    <n v="0"/>
    <n v="8321"/>
    <n v="8321"/>
  </r>
  <r>
    <x v="0"/>
    <n v="31"/>
    <x v="10"/>
    <x v="0"/>
    <x v="0"/>
    <n v="1005"/>
    <x v="11"/>
    <x v="0"/>
    <x v="14"/>
    <n v="3044"/>
    <x v="68"/>
    <n v="0"/>
    <x v="0"/>
    <s v="L 05"/>
    <n v="9"/>
    <n v="1641"/>
    <x v="337"/>
    <s v="Annual"/>
    <n v="1"/>
    <n v="1"/>
    <n v="142776"/>
    <n v="142776"/>
  </r>
  <r>
    <x v="0"/>
    <n v="31"/>
    <x v="10"/>
    <x v="0"/>
    <x v="0"/>
    <n v="1005"/>
    <x v="11"/>
    <x v="0"/>
    <x v="14"/>
    <n v="3044"/>
    <x v="68"/>
    <n v="0"/>
    <x v="0"/>
    <s v="1 00"/>
    <n v="0"/>
    <n v="15"/>
    <x v="37"/>
    <s v="Annual"/>
    <n v="0"/>
    <n v="0"/>
    <n v="1978"/>
    <n v="1978"/>
  </r>
  <r>
    <x v="0"/>
    <n v="31"/>
    <x v="10"/>
    <x v="0"/>
    <x v="0"/>
    <n v="1005"/>
    <x v="11"/>
    <x v="0"/>
    <x v="14"/>
    <n v="3045"/>
    <x v="69"/>
    <n v="0"/>
    <x v="0"/>
    <s v="L 02"/>
    <n v="9"/>
    <n v="1672"/>
    <x v="346"/>
    <s v="Annual"/>
    <n v="1"/>
    <n v="1"/>
    <n v="142776"/>
    <n v="142776"/>
  </r>
  <r>
    <x v="0"/>
    <n v="31"/>
    <x v="10"/>
    <x v="0"/>
    <x v="0"/>
    <n v="1005"/>
    <x v="11"/>
    <x v="0"/>
    <x v="14"/>
    <n v="3045"/>
    <x v="69"/>
    <n v="0"/>
    <x v="0"/>
    <s v="L 02"/>
    <n v="9"/>
    <n v="1672"/>
    <x v="346"/>
    <s v="Annual"/>
    <n v="1"/>
    <n v="1"/>
    <n v="124224"/>
    <n v="124224"/>
  </r>
  <r>
    <x v="0"/>
    <n v="31"/>
    <x v="10"/>
    <x v="0"/>
    <x v="0"/>
    <n v="1005"/>
    <x v="11"/>
    <x v="0"/>
    <x v="14"/>
    <n v="3045"/>
    <x v="69"/>
    <n v="0"/>
    <x v="0"/>
    <s v="L 02"/>
    <n v="9"/>
    <n v="1672"/>
    <x v="346"/>
    <s v="Annual"/>
    <n v="1"/>
    <n v="1"/>
    <n v="118596"/>
    <n v="118596"/>
  </r>
  <r>
    <x v="0"/>
    <n v="31"/>
    <x v="10"/>
    <x v="0"/>
    <x v="0"/>
    <n v="1005"/>
    <x v="11"/>
    <x v="0"/>
    <x v="14"/>
    <n v="3045"/>
    <x v="69"/>
    <n v="0"/>
    <x v="0"/>
    <s v="L 02"/>
    <n v="9"/>
    <n v="1672"/>
    <x v="346"/>
    <s v="Annual"/>
    <n v="1"/>
    <n v="1"/>
    <n v="98484"/>
    <n v="98484"/>
  </r>
  <r>
    <x v="0"/>
    <n v="31"/>
    <x v="10"/>
    <x v="0"/>
    <x v="0"/>
    <n v="1005"/>
    <x v="11"/>
    <x v="0"/>
    <x v="14"/>
    <n v="3045"/>
    <x v="69"/>
    <n v="0"/>
    <x v="0"/>
    <s v="L 02"/>
    <n v="9"/>
    <n v="1672"/>
    <x v="346"/>
    <s v="Annual"/>
    <n v="1"/>
    <n v="1"/>
    <n v="81816"/>
    <n v="81816"/>
  </r>
  <r>
    <x v="0"/>
    <n v="31"/>
    <x v="10"/>
    <x v="0"/>
    <x v="0"/>
    <n v="1005"/>
    <x v="11"/>
    <x v="0"/>
    <x v="14"/>
    <n v="3045"/>
    <x v="69"/>
    <n v="0"/>
    <x v="0"/>
    <s v="LX 02"/>
    <n v="9"/>
    <n v="1650"/>
    <x v="328"/>
    <s v="Annual"/>
    <n v="1"/>
    <n v="1"/>
    <n v="212784"/>
    <n v="212784"/>
  </r>
  <r>
    <x v="0"/>
    <n v="31"/>
    <x v="10"/>
    <x v="0"/>
    <x v="0"/>
    <n v="1005"/>
    <x v="11"/>
    <x v="0"/>
    <x v="14"/>
    <n v="3045"/>
    <x v="69"/>
    <n v="0"/>
    <x v="0"/>
    <s v="L 05"/>
    <n v="9"/>
    <n v="1641"/>
    <x v="337"/>
    <s v="Annual"/>
    <n v="1"/>
    <n v="1"/>
    <n v="164100"/>
    <n v="164100"/>
  </r>
  <r>
    <x v="0"/>
    <n v="31"/>
    <x v="10"/>
    <x v="0"/>
    <x v="0"/>
    <n v="1005"/>
    <x v="11"/>
    <x v="0"/>
    <x v="14"/>
    <n v="3045"/>
    <x v="69"/>
    <n v="0"/>
    <x v="0"/>
    <s v="L 05"/>
    <n v="9"/>
    <n v="1641"/>
    <x v="337"/>
    <s v="Annual"/>
    <n v="1"/>
    <n v="1"/>
    <n v="156648"/>
    <n v="156648"/>
  </r>
  <r>
    <x v="0"/>
    <n v="31"/>
    <x v="10"/>
    <x v="0"/>
    <x v="0"/>
    <n v="1005"/>
    <x v="11"/>
    <x v="0"/>
    <x v="14"/>
    <n v="3045"/>
    <x v="69"/>
    <n v="0"/>
    <x v="0"/>
    <s v="BX 16"/>
    <n v="10"/>
    <n v="1619"/>
    <x v="341"/>
    <s v="Annual"/>
    <n v="1"/>
    <n v="1"/>
    <n v="76476"/>
    <n v="76476"/>
  </r>
  <r>
    <x v="0"/>
    <n v="31"/>
    <x v="10"/>
    <x v="0"/>
    <x v="0"/>
    <n v="1005"/>
    <x v="11"/>
    <x v="0"/>
    <x v="14"/>
    <n v="3045"/>
    <x v="69"/>
    <n v="0"/>
    <x v="0"/>
    <s v="B 13"/>
    <n v="1"/>
    <n v="1617"/>
    <x v="338"/>
    <s v="Annual"/>
    <n v="1"/>
    <n v="1"/>
    <n v="119100"/>
    <n v="119100"/>
  </r>
  <r>
    <x v="0"/>
    <n v="31"/>
    <x v="10"/>
    <x v="0"/>
    <x v="0"/>
    <n v="1005"/>
    <x v="11"/>
    <x v="0"/>
    <x v="14"/>
    <n v="3045"/>
    <x v="69"/>
    <n v="0"/>
    <x v="0"/>
    <s v="1 00"/>
    <n v="0"/>
    <n v="15"/>
    <x v="37"/>
    <s v="Annual"/>
    <n v="0"/>
    <n v="0"/>
    <n v="6136"/>
    <n v="6136"/>
  </r>
  <r>
    <x v="0"/>
    <n v="31"/>
    <x v="10"/>
    <x v="0"/>
    <x v="0"/>
    <n v="1005"/>
    <x v="11"/>
    <x v="0"/>
    <x v="14"/>
    <n v="3046"/>
    <x v="70"/>
    <n v="4021"/>
    <x v="38"/>
    <s v="BX 15"/>
    <n v="0"/>
    <n v="1689"/>
    <x v="324"/>
    <s v="Annual"/>
    <n v="1"/>
    <n v="1"/>
    <n v="108432"/>
    <n v="108432"/>
  </r>
  <r>
    <x v="0"/>
    <n v="31"/>
    <x v="10"/>
    <x v="0"/>
    <x v="0"/>
    <n v="1005"/>
    <x v="11"/>
    <x v="0"/>
    <x v="14"/>
    <n v="3046"/>
    <x v="70"/>
    <n v="4021"/>
    <x v="38"/>
    <s v="L 02"/>
    <n v="9"/>
    <n v="1672"/>
    <x v="346"/>
    <s v="Annual"/>
    <n v="2"/>
    <n v="1"/>
    <n v="108084"/>
    <n v="216168"/>
  </r>
  <r>
    <x v="0"/>
    <n v="31"/>
    <x v="10"/>
    <x v="0"/>
    <x v="0"/>
    <n v="1005"/>
    <x v="11"/>
    <x v="0"/>
    <x v="14"/>
    <n v="3046"/>
    <x v="70"/>
    <n v="4021"/>
    <x v="38"/>
    <s v="L 02"/>
    <n v="9"/>
    <n v="1672"/>
    <x v="346"/>
    <s v="Annual"/>
    <n v="1"/>
    <n v="1"/>
    <n v="103176"/>
    <n v="103176"/>
  </r>
  <r>
    <x v="0"/>
    <n v="31"/>
    <x v="10"/>
    <x v="0"/>
    <x v="0"/>
    <n v="1005"/>
    <x v="11"/>
    <x v="0"/>
    <x v="14"/>
    <n v="3046"/>
    <x v="70"/>
    <n v="4021"/>
    <x v="38"/>
    <s v="LX 03"/>
    <n v="9"/>
    <n v="1652"/>
    <x v="336"/>
    <s v="Annual"/>
    <n v="1"/>
    <n v="1"/>
    <n v="173160"/>
    <n v="173160"/>
  </r>
  <r>
    <x v="0"/>
    <n v="31"/>
    <x v="10"/>
    <x v="0"/>
    <x v="0"/>
    <n v="1005"/>
    <x v="11"/>
    <x v="0"/>
    <x v="14"/>
    <n v="3046"/>
    <x v="70"/>
    <n v="4021"/>
    <x v="38"/>
    <s v="LX 02"/>
    <n v="9"/>
    <n v="1650"/>
    <x v="328"/>
    <s v="Annual"/>
    <n v="1"/>
    <n v="1"/>
    <n v="192852"/>
    <n v="192852"/>
  </r>
  <r>
    <x v="0"/>
    <n v="31"/>
    <x v="10"/>
    <x v="0"/>
    <x v="0"/>
    <n v="1005"/>
    <x v="11"/>
    <x v="0"/>
    <x v="14"/>
    <n v="3046"/>
    <x v="70"/>
    <n v="4021"/>
    <x v="38"/>
    <s v="L 05"/>
    <n v="9"/>
    <n v="1641"/>
    <x v="337"/>
    <s v="Annual"/>
    <n v="1"/>
    <n v="1"/>
    <n v="156648"/>
    <n v="156648"/>
  </r>
  <r>
    <x v="0"/>
    <n v="31"/>
    <x v="10"/>
    <x v="0"/>
    <x v="0"/>
    <n v="1005"/>
    <x v="11"/>
    <x v="0"/>
    <x v="14"/>
    <n v="3046"/>
    <x v="70"/>
    <n v="4021"/>
    <x v="38"/>
    <s v="L 05"/>
    <n v="9"/>
    <n v="1641"/>
    <x v="337"/>
    <s v="Annual"/>
    <n v="1"/>
    <n v="1"/>
    <n v="142776"/>
    <n v="142776"/>
  </r>
  <r>
    <x v="0"/>
    <n v="31"/>
    <x v="10"/>
    <x v="0"/>
    <x v="0"/>
    <n v="1005"/>
    <x v="11"/>
    <x v="0"/>
    <x v="14"/>
    <n v="3046"/>
    <x v="70"/>
    <n v="4021"/>
    <x v="38"/>
    <s v="L 05"/>
    <n v="9"/>
    <n v="1641"/>
    <x v="337"/>
    <s v="Annual"/>
    <n v="1"/>
    <n v="1"/>
    <n v="136284"/>
    <n v="136284"/>
  </r>
  <r>
    <x v="0"/>
    <n v="31"/>
    <x v="10"/>
    <x v="0"/>
    <x v="0"/>
    <n v="1005"/>
    <x v="11"/>
    <x v="0"/>
    <x v="14"/>
    <n v="3046"/>
    <x v="70"/>
    <n v="4021"/>
    <x v="38"/>
    <s v="B 13"/>
    <n v="1"/>
    <n v="1617"/>
    <x v="338"/>
    <s v="Annual"/>
    <n v="1"/>
    <n v="1"/>
    <n v="119100"/>
    <n v="119100"/>
  </r>
  <r>
    <x v="0"/>
    <n v="31"/>
    <x v="10"/>
    <x v="0"/>
    <x v="0"/>
    <n v="1005"/>
    <x v="11"/>
    <x v="0"/>
    <x v="14"/>
    <n v="3046"/>
    <x v="70"/>
    <n v="4021"/>
    <x v="38"/>
    <s v="1 00"/>
    <n v="0"/>
    <n v="15"/>
    <x v="37"/>
    <s v="Annual"/>
    <n v="0"/>
    <n v="0"/>
    <n v="9841"/>
    <n v="9841"/>
  </r>
  <r>
    <x v="0"/>
    <n v="31"/>
    <x v="10"/>
    <x v="0"/>
    <x v="0"/>
    <n v="1005"/>
    <x v="11"/>
    <x v="0"/>
    <x v="14"/>
    <n v="3049"/>
    <x v="71"/>
    <n v="0"/>
    <x v="0"/>
    <s v="BX 15"/>
    <n v="0"/>
    <n v="1689"/>
    <x v="324"/>
    <s v="Annual"/>
    <n v="1"/>
    <n v="1"/>
    <n v="113568"/>
    <n v="113568"/>
  </r>
  <r>
    <x v="0"/>
    <n v="31"/>
    <x v="10"/>
    <x v="0"/>
    <x v="0"/>
    <n v="1005"/>
    <x v="11"/>
    <x v="0"/>
    <x v="14"/>
    <n v="3049"/>
    <x v="71"/>
    <n v="0"/>
    <x v="0"/>
    <s v="L 03"/>
    <n v="9"/>
    <n v="1673"/>
    <x v="335"/>
    <s v="Annual"/>
    <n v="1"/>
    <n v="1"/>
    <n v="98484"/>
    <n v="98484"/>
  </r>
  <r>
    <x v="0"/>
    <n v="31"/>
    <x v="10"/>
    <x v="0"/>
    <x v="0"/>
    <n v="1005"/>
    <x v="11"/>
    <x v="0"/>
    <x v="14"/>
    <n v="3049"/>
    <x v="71"/>
    <n v="0"/>
    <x v="0"/>
    <s v="L 03"/>
    <n v="9"/>
    <n v="1673"/>
    <x v="335"/>
    <s v="Annual"/>
    <n v="2"/>
    <n v="1"/>
    <n v="85704"/>
    <n v="171408"/>
  </r>
  <r>
    <x v="0"/>
    <n v="31"/>
    <x v="10"/>
    <x v="0"/>
    <x v="0"/>
    <n v="1005"/>
    <x v="11"/>
    <x v="0"/>
    <x v="14"/>
    <n v="3049"/>
    <x v="71"/>
    <n v="0"/>
    <x v="0"/>
    <s v="LX 03"/>
    <n v="9"/>
    <n v="1652"/>
    <x v="336"/>
    <s v="Annual"/>
    <n v="2"/>
    <n v="1"/>
    <n v="173160"/>
    <n v="346320"/>
  </r>
  <r>
    <x v="0"/>
    <n v="31"/>
    <x v="10"/>
    <x v="0"/>
    <x v="0"/>
    <n v="1005"/>
    <x v="11"/>
    <x v="0"/>
    <x v="14"/>
    <n v="3049"/>
    <x v="71"/>
    <n v="0"/>
    <x v="0"/>
    <s v="L 01"/>
    <n v="9"/>
    <n v="1643"/>
    <x v="340"/>
    <s v="Annual"/>
    <n v="1"/>
    <n v="1"/>
    <n v="130128"/>
    <n v="130128"/>
  </r>
  <r>
    <x v="0"/>
    <n v="31"/>
    <x v="10"/>
    <x v="0"/>
    <x v="0"/>
    <n v="1005"/>
    <x v="11"/>
    <x v="0"/>
    <x v="14"/>
    <n v="3049"/>
    <x v="71"/>
    <n v="0"/>
    <x v="0"/>
    <s v="L 01"/>
    <n v="9"/>
    <n v="1643"/>
    <x v="340"/>
    <s v="Annual"/>
    <n v="2"/>
    <n v="1"/>
    <n v="124224"/>
    <n v="248448"/>
  </r>
  <r>
    <x v="0"/>
    <n v="31"/>
    <x v="10"/>
    <x v="0"/>
    <x v="0"/>
    <n v="1005"/>
    <x v="11"/>
    <x v="0"/>
    <x v="14"/>
    <n v="3049"/>
    <x v="71"/>
    <n v="0"/>
    <x v="0"/>
    <s v="L 01"/>
    <n v="9"/>
    <n v="1643"/>
    <x v="340"/>
    <s v="Annual"/>
    <n v="2"/>
    <n v="1"/>
    <n v="113208"/>
    <n v="226416"/>
  </r>
  <r>
    <x v="0"/>
    <n v="31"/>
    <x v="10"/>
    <x v="0"/>
    <x v="0"/>
    <n v="1005"/>
    <x v="11"/>
    <x v="0"/>
    <x v="14"/>
    <n v="3049"/>
    <x v="71"/>
    <n v="0"/>
    <x v="0"/>
    <s v="L 01"/>
    <n v="9"/>
    <n v="1643"/>
    <x v="340"/>
    <s v="Annual"/>
    <n v="1"/>
    <n v="1"/>
    <n v="108084"/>
    <n v="108084"/>
  </r>
  <r>
    <x v="0"/>
    <n v="31"/>
    <x v="10"/>
    <x v="0"/>
    <x v="0"/>
    <n v="1005"/>
    <x v="11"/>
    <x v="0"/>
    <x v="14"/>
    <n v="3049"/>
    <x v="71"/>
    <n v="0"/>
    <x v="0"/>
    <s v="L 01"/>
    <n v="9"/>
    <n v="1643"/>
    <x v="340"/>
    <s v="Annual"/>
    <n v="1"/>
    <n v="1"/>
    <n v="103176"/>
    <n v="103176"/>
  </r>
  <r>
    <x v="0"/>
    <n v="31"/>
    <x v="10"/>
    <x v="0"/>
    <x v="0"/>
    <n v="1005"/>
    <x v="11"/>
    <x v="0"/>
    <x v="14"/>
    <n v="3049"/>
    <x v="71"/>
    <n v="0"/>
    <x v="0"/>
    <s v="L 01"/>
    <n v="9"/>
    <n v="1643"/>
    <x v="340"/>
    <s v="Annual"/>
    <n v="2"/>
    <n v="1"/>
    <n v="98484"/>
    <n v="196968"/>
  </r>
  <r>
    <x v="0"/>
    <n v="31"/>
    <x v="10"/>
    <x v="0"/>
    <x v="0"/>
    <n v="1005"/>
    <x v="11"/>
    <x v="0"/>
    <x v="14"/>
    <n v="3049"/>
    <x v="71"/>
    <n v="0"/>
    <x v="0"/>
    <s v="L 01"/>
    <n v="9"/>
    <n v="1643"/>
    <x v="340"/>
    <s v="Annual"/>
    <n v="1"/>
    <n v="1"/>
    <n v="94044"/>
    <n v="94044"/>
  </r>
  <r>
    <x v="0"/>
    <n v="31"/>
    <x v="10"/>
    <x v="0"/>
    <x v="0"/>
    <n v="1005"/>
    <x v="11"/>
    <x v="0"/>
    <x v="14"/>
    <n v="3049"/>
    <x v="71"/>
    <n v="0"/>
    <x v="0"/>
    <s v="L 01"/>
    <n v="9"/>
    <n v="1643"/>
    <x v="340"/>
    <s v="Annual"/>
    <n v="2"/>
    <n v="1"/>
    <n v="89784"/>
    <n v="179568"/>
  </r>
  <r>
    <x v="0"/>
    <n v="31"/>
    <x v="10"/>
    <x v="0"/>
    <x v="0"/>
    <n v="1005"/>
    <x v="11"/>
    <x v="0"/>
    <x v="14"/>
    <n v="3049"/>
    <x v="71"/>
    <n v="0"/>
    <x v="0"/>
    <s v="L 01"/>
    <n v="9"/>
    <n v="1643"/>
    <x v="340"/>
    <s v="Annual"/>
    <n v="1"/>
    <n v="1"/>
    <n v="85704"/>
    <n v="85704"/>
  </r>
  <r>
    <x v="0"/>
    <n v="31"/>
    <x v="10"/>
    <x v="0"/>
    <x v="0"/>
    <n v="1005"/>
    <x v="11"/>
    <x v="0"/>
    <x v="14"/>
    <n v="3049"/>
    <x v="71"/>
    <n v="0"/>
    <x v="0"/>
    <s v="L 01"/>
    <n v="9"/>
    <n v="1643"/>
    <x v="340"/>
    <s v="Annual"/>
    <n v="4"/>
    <n v="1"/>
    <n v="78108"/>
    <n v="312432"/>
  </r>
  <r>
    <x v="0"/>
    <n v="31"/>
    <x v="10"/>
    <x v="0"/>
    <x v="0"/>
    <n v="1005"/>
    <x v="11"/>
    <x v="0"/>
    <x v="14"/>
    <n v="3049"/>
    <x v="71"/>
    <n v="0"/>
    <x v="0"/>
    <s v="L 05"/>
    <n v="9"/>
    <n v="1641"/>
    <x v="337"/>
    <s v="Annual"/>
    <n v="1"/>
    <n v="1"/>
    <n v="130128"/>
    <n v="130128"/>
  </r>
  <r>
    <x v="0"/>
    <n v="31"/>
    <x v="10"/>
    <x v="0"/>
    <x v="0"/>
    <n v="1005"/>
    <x v="11"/>
    <x v="0"/>
    <x v="14"/>
    <n v="3049"/>
    <x v="71"/>
    <n v="0"/>
    <x v="0"/>
    <s v="L 05"/>
    <n v="9"/>
    <n v="1641"/>
    <x v="337"/>
    <s v="Annual"/>
    <n v="2"/>
    <n v="1"/>
    <n v="124224"/>
    <n v="248448"/>
  </r>
  <r>
    <x v="0"/>
    <n v="31"/>
    <x v="10"/>
    <x v="0"/>
    <x v="0"/>
    <n v="1005"/>
    <x v="11"/>
    <x v="0"/>
    <x v="14"/>
    <n v="3049"/>
    <x v="71"/>
    <n v="0"/>
    <x v="0"/>
    <s v="4 00"/>
    <n v="9"/>
    <n v="1631"/>
    <x v="350"/>
    <s v="Hourly"/>
    <n v="5250"/>
    <n v="0"/>
    <n v="17"/>
    <n v="89250"/>
  </r>
  <r>
    <x v="0"/>
    <n v="31"/>
    <x v="10"/>
    <x v="0"/>
    <x v="0"/>
    <n v="1005"/>
    <x v="11"/>
    <x v="0"/>
    <x v="14"/>
    <n v="3049"/>
    <x v="71"/>
    <n v="0"/>
    <x v="0"/>
    <s v="4 00"/>
    <n v="9"/>
    <n v="1631"/>
    <x v="350"/>
    <s v="Hourly"/>
    <n v="4858"/>
    <n v="0"/>
    <n v="15.8"/>
    <n v="76756"/>
  </r>
  <r>
    <x v="0"/>
    <n v="31"/>
    <x v="10"/>
    <x v="0"/>
    <x v="0"/>
    <n v="1005"/>
    <x v="11"/>
    <x v="0"/>
    <x v="14"/>
    <n v="3049"/>
    <x v="71"/>
    <n v="0"/>
    <x v="0"/>
    <s v="B 13"/>
    <n v="1"/>
    <n v="1617"/>
    <x v="338"/>
    <s v="Annual"/>
    <n v="1"/>
    <n v="1"/>
    <n v="77640"/>
    <n v="77640"/>
  </r>
  <r>
    <x v="0"/>
    <n v="31"/>
    <x v="10"/>
    <x v="0"/>
    <x v="0"/>
    <n v="1005"/>
    <x v="11"/>
    <x v="0"/>
    <x v="14"/>
    <n v="3049"/>
    <x v="71"/>
    <n v="0"/>
    <x v="0"/>
    <s v="B 13"/>
    <n v="1"/>
    <n v="1617"/>
    <x v="338"/>
    <s v="Annual"/>
    <n v="1"/>
    <n v="1"/>
    <n v="70752"/>
    <n v="70752"/>
  </r>
  <r>
    <x v="0"/>
    <n v="31"/>
    <x v="10"/>
    <x v="0"/>
    <x v="0"/>
    <n v="1005"/>
    <x v="11"/>
    <x v="0"/>
    <x v="14"/>
    <n v="3049"/>
    <x v="71"/>
    <n v="0"/>
    <x v="0"/>
    <s v="B 12"/>
    <n v="1"/>
    <n v="863"/>
    <x v="349"/>
    <s v="Annual"/>
    <n v="1"/>
    <n v="1"/>
    <n v="64488"/>
    <n v="64488"/>
  </r>
  <r>
    <x v="0"/>
    <n v="31"/>
    <x v="10"/>
    <x v="0"/>
    <x v="0"/>
    <n v="1005"/>
    <x v="11"/>
    <x v="0"/>
    <x v="14"/>
    <n v="3049"/>
    <x v="71"/>
    <n v="0"/>
    <x v="0"/>
    <s v="B 12"/>
    <n v="1"/>
    <s v="03A8"/>
    <x v="88"/>
    <s v="Annual"/>
    <n v="1"/>
    <n v="1"/>
    <n v="98928"/>
    <n v="98928"/>
  </r>
  <r>
    <x v="0"/>
    <n v="31"/>
    <x v="10"/>
    <x v="0"/>
    <x v="0"/>
    <n v="1005"/>
    <x v="11"/>
    <x v="0"/>
    <x v="14"/>
    <n v="3049"/>
    <x v="71"/>
    <n v="0"/>
    <x v="0"/>
    <s v="B 10"/>
    <n v="1"/>
    <s v="03A7"/>
    <x v="4"/>
    <s v="Annual"/>
    <n v="2"/>
    <n v="1"/>
    <n v="90144"/>
    <n v="180288"/>
  </r>
  <r>
    <x v="0"/>
    <n v="31"/>
    <x v="10"/>
    <x v="0"/>
    <x v="0"/>
    <n v="1005"/>
    <x v="11"/>
    <x v="0"/>
    <x v="14"/>
    <n v="3049"/>
    <x v="71"/>
    <n v="0"/>
    <x v="0"/>
    <s v="B 10"/>
    <n v="1"/>
    <s v="03A7"/>
    <x v="4"/>
    <s v="Annual"/>
    <n v="1"/>
    <n v="1"/>
    <n v="78432"/>
    <n v="78432"/>
  </r>
  <r>
    <x v="0"/>
    <n v="31"/>
    <x v="10"/>
    <x v="0"/>
    <x v="0"/>
    <n v="1005"/>
    <x v="11"/>
    <x v="0"/>
    <x v="14"/>
    <n v="3049"/>
    <x v="71"/>
    <n v="0"/>
    <x v="0"/>
    <s v="B 10"/>
    <n v="1"/>
    <s v="03A7"/>
    <x v="4"/>
    <s v="Annual"/>
    <n v="1"/>
    <n v="1"/>
    <n v="51936"/>
    <n v="51936"/>
  </r>
  <r>
    <x v="0"/>
    <n v="31"/>
    <x v="10"/>
    <x v="0"/>
    <x v="0"/>
    <n v="1005"/>
    <x v="11"/>
    <x v="0"/>
    <x v="14"/>
    <n v="3049"/>
    <x v="71"/>
    <n v="0"/>
    <x v="0"/>
    <s v="B 13"/>
    <n v="1"/>
    <n v="308"/>
    <x v="90"/>
    <s v="Annual"/>
    <n v="1"/>
    <n v="1"/>
    <n v="119100"/>
    <n v="119100"/>
  </r>
  <r>
    <x v="0"/>
    <n v="31"/>
    <x v="10"/>
    <x v="0"/>
    <x v="0"/>
    <n v="1005"/>
    <x v="11"/>
    <x v="0"/>
    <x v="14"/>
    <n v="3049"/>
    <x v="71"/>
    <n v="0"/>
    <x v="0"/>
    <s v="B 13"/>
    <n v="1"/>
    <n v="308"/>
    <x v="90"/>
    <s v="Annual"/>
    <n v="1"/>
    <n v="1"/>
    <n v="81324"/>
    <n v="81324"/>
  </r>
  <r>
    <x v="0"/>
    <n v="31"/>
    <x v="10"/>
    <x v="0"/>
    <x v="0"/>
    <n v="1005"/>
    <x v="11"/>
    <x v="0"/>
    <x v="14"/>
    <n v="3049"/>
    <x v="71"/>
    <n v="0"/>
    <x v="0"/>
    <s v="1 00"/>
    <n v="0"/>
    <n v="15"/>
    <x v="37"/>
    <s v="Annual"/>
    <n v="0"/>
    <n v="0"/>
    <n v="39748"/>
    <n v="39748"/>
  </r>
  <r>
    <x v="0"/>
    <n v="31"/>
    <x v="10"/>
    <x v="0"/>
    <x v="0"/>
    <n v="1005"/>
    <x v="11"/>
    <x v="0"/>
    <x v="14"/>
    <n v="3060"/>
    <x v="72"/>
    <n v="0"/>
    <x v="0"/>
    <s v="B 13"/>
    <n v="1"/>
    <n v="1682"/>
    <x v="351"/>
    <s v="Annual"/>
    <n v="1"/>
    <n v="1"/>
    <n v="68616"/>
    <n v="68616"/>
  </r>
  <r>
    <x v="0"/>
    <n v="31"/>
    <x v="10"/>
    <x v="0"/>
    <x v="0"/>
    <n v="1005"/>
    <x v="11"/>
    <x v="0"/>
    <x v="14"/>
    <n v="3060"/>
    <x v="72"/>
    <n v="0"/>
    <x v="0"/>
    <s v="L 03"/>
    <n v="9"/>
    <n v="1673"/>
    <x v="335"/>
    <s v="Annual"/>
    <n v="1"/>
    <n v="1"/>
    <n v="85704"/>
    <n v="85704"/>
  </r>
  <r>
    <x v="0"/>
    <n v="31"/>
    <x v="10"/>
    <x v="0"/>
    <x v="0"/>
    <n v="1005"/>
    <x v="11"/>
    <x v="0"/>
    <x v="14"/>
    <n v="3060"/>
    <x v="72"/>
    <n v="0"/>
    <x v="0"/>
    <s v="LX 02"/>
    <n v="9"/>
    <n v="1650"/>
    <x v="328"/>
    <s v="Annual"/>
    <n v="1"/>
    <n v="1"/>
    <n v="192852"/>
    <n v="192852"/>
  </r>
  <r>
    <x v="0"/>
    <n v="31"/>
    <x v="10"/>
    <x v="0"/>
    <x v="0"/>
    <n v="1005"/>
    <x v="11"/>
    <x v="0"/>
    <x v="14"/>
    <n v="3060"/>
    <x v="72"/>
    <n v="0"/>
    <x v="0"/>
    <s v="1 00"/>
    <n v="0"/>
    <n v="15"/>
    <x v="37"/>
    <s v="Annual"/>
    <n v="0"/>
    <n v="0"/>
    <n v="6850"/>
    <n v="6850"/>
  </r>
  <r>
    <x v="0"/>
    <n v="31"/>
    <x v="10"/>
    <x v="0"/>
    <x v="0"/>
    <n v="1005"/>
    <x v="11"/>
    <x v="0"/>
    <x v="14"/>
    <n v="3130"/>
    <x v="73"/>
    <n v="0"/>
    <x v="0"/>
    <s v="L 03"/>
    <n v="9"/>
    <n v="1673"/>
    <x v="335"/>
    <s v="Annual"/>
    <n v="1"/>
    <n v="1"/>
    <n v="130128"/>
    <n v="130128"/>
  </r>
  <r>
    <x v="0"/>
    <n v="31"/>
    <x v="10"/>
    <x v="0"/>
    <x v="0"/>
    <n v="1005"/>
    <x v="11"/>
    <x v="0"/>
    <x v="14"/>
    <n v="3130"/>
    <x v="73"/>
    <n v="0"/>
    <x v="0"/>
    <s v="L 03"/>
    <n v="9"/>
    <n v="1673"/>
    <x v="335"/>
    <s v="Annual"/>
    <n v="1"/>
    <n v="1"/>
    <n v="124224"/>
    <n v="124224"/>
  </r>
  <r>
    <x v="0"/>
    <n v="31"/>
    <x v="10"/>
    <x v="0"/>
    <x v="0"/>
    <n v="1005"/>
    <x v="11"/>
    <x v="0"/>
    <x v="14"/>
    <n v="3130"/>
    <x v="73"/>
    <n v="0"/>
    <x v="0"/>
    <s v="L 03"/>
    <n v="9"/>
    <n v="1673"/>
    <x v="335"/>
    <s v="Annual"/>
    <n v="4"/>
    <n v="1"/>
    <n v="118596"/>
    <n v="474384"/>
  </r>
  <r>
    <x v="0"/>
    <n v="31"/>
    <x v="10"/>
    <x v="0"/>
    <x v="0"/>
    <n v="1005"/>
    <x v="11"/>
    <x v="0"/>
    <x v="14"/>
    <n v="3130"/>
    <x v="73"/>
    <n v="0"/>
    <x v="0"/>
    <s v="L 03"/>
    <n v="9"/>
    <n v="1673"/>
    <x v="335"/>
    <s v="Annual"/>
    <n v="2"/>
    <n v="1"/>
    <n v="113208"/>
    <n v="226416"/>
  </r>
  <r>
    <x v="0"/>
    <n v="31"/>
    <x v="10"/>
    <x v="0"/>
    <x v="0"/>
    <n v="1005"/>
    <x v="11"/>
    <x v="0"/>
    <x v="14"/>
    <n v="3130"/>
    <x v="73"/>
    <n v="0"/>
    <x v="0"/>
    <s v="L 03"/>
    <n v="9"/>
    <n v="1673"/>
    <x v="335"/>
    <s v="Annual"/>
    <n v="2"/>
    <n v="1"/>
    <n v="103176"/>
    <n v="206352"/>
  </r>
  <r>
    <x v="0"/>
    <n v="31"/>
    <x v="10"/>
    <x v="0"/>
    <x v="0"/>
    <n v="1005"/>
    <x v="11"/>
    <x v="0"/>
    <x v="14"/>
    <n v="3130"/>
    <x v="73"/>
    <n v="0"/>
    <x v="0"/>
    <s v="L 03"/>
    <n v="9"/>
    <n v="1673"/>
    <x v="335"/>
    <s v="Annual"/>
    <n v="1"/>
    <n v="1"/>
    <n v="98484"/>
    <n v="98484"/>
  </r>
  <r>
    <x v="0"/>
    <n v="31"/>
    <x v="10"/>
    <x v="0"/>
    <x v="0"/>
    <n v="1005"/>
    <x v="11"/>
    <x v="0"/>
    <x v="14"/>
    <n v="3130"/>
    <x v="73"/>
    <n v="0"/>
    <x v="0"/>
    <s v="L 03"/>
    <n v="9"/>
    <n v="1673"/>
    <x v="335"/>
    <s v="Annual"/>
    <n v="1"/>
    <n v="1"/>
    <n v="94044"/>
    <n v="94044"/>
  </r>
  <r>
    <x v="0"/>
    <n v="31"/>
    <x v="10"/>
    <x v="0"/>
    <x v="0"/>
    <n v="1005"/>
    <x v="11"/>
    <x v="0"/>
    <x v="14"/>
    <n v="3130"/>
    <x v="73"/>
    <n v="0"/>
    <x v="0"/>
    <s v="L 03"/>
    <n v="9"/>
    <n v="1673"/>
    <x v="335"/>
    <s v="Annual"/>
    <n v="1"/>
    <n v="1"/>
    <n v="85704"/>
    <n v="85704"/>
  </r>
  <r>
    <x v="0"/>
    <n v="31"/>
    <x v="10"/>
    <x v="0"/>
    <x v="0"/>
    <n v="1005"/>
    <x v="11"/>
    <x v="0"/>
    <x v="14"/>
    <n v="3130"/>
    <x v="73"/>
    <n v="0"/>
    <x v="0"/>
    <s v="LX 03"/>
    <n v="9"/>
    <n v="1652"/>
    <x v="336"/>
    <s v="Annual"/>
    <n v="1"/>
    <n v="1"/>
    <n v="177612"/>
    <n v="177612"/>
  </r>
  <r>
    <x v="0"/>
    <n v="31"/>
    <x v="10"/>
    <x v="0"/>
    <x v="0"/>
    <n v="1005"/>
    <x v="11"/>
    <x v="0"/>
    <x v="14"/>
    <n v="3130"/>
    <x v="73"/>
    <n v="0"/>
    <x v="0"/>
    <s v="LX 02"/>
    <n v="9"/>
    <n v="1650"/>
    <x v="328"/>
    <s v="Annual"/>
    <n v="1"/>
    <n v="1"/>
    <n v="204516"/>
    <n v="204516"/>
  </r>
  <r>
    <x v="0"/>
    <n v="31"/>
    <x v="10"/>
    <x v="0"/>
    <x v="0"/>
    <n v="1005"/>
    <x v="11"/>
    <x v="0"/>
    <x v="14"/>
    <n v="3130"/>
    <x v="73"/>
    <n v="0"/>
    <x v="0"/>
    <s v="L 05"/>
    <n v="9"/>
    <n v="1641"/>
    <x v="337"/>
    <s v="Annual"/>
    <n v="1"/>
    <n v="1"/>
    <n v="164100"/>
    <n v="164100"/>
  </r>
  <r>
    <x v="0"/>
    <n v="31"/>
    <x v="10"/>
    <x v="0"/>
    <x v="0"/>
    <n v="1005"/>
    <x v="11"/>
    <x v="0"/>
    <x v="14"/>
    <n v="3130"/>
    <x v="73"/>
    <n v="0"/>
    <x v="0"/>
    <s v="L 05"/>
    <n v="9"/>
    <n v="1641"/>
    <x v="337"/>
    <s v="Annual"/>
    <n v="1"/>
    <n v="1"/>
    <n v="142776"/>
    <n v="142776"/>
  </r>
  <r>
    <x v="0"/>
    <n v="31"/>
    <x v="10"/>
    <x v="0"/>
    <x v="0"/>
    <n v="1005"/>
    <x v="11"/>
    <x v="0"/>
    <x v="14"/>
    <n v="3130"/>
    <x v="73"/>
    <n v="0"/>
    <x v="0"/>
    <s v="L 05"/>
    <n v="9"/>
    <n v="1641"/>
    <x v="337"/>
    <s v="Annual"/>
    <n v="2"/>
    <n v="1"/>
    <n v="136284"/>
    <n v="272568"/>
  </r>
  <r>
    <x v="0"/>
    <n v="31"/>
    <x v="10"/>
    <x v="0"/>
    <x v="0"/>
    <n v="1005"/>
    <x v="11"/>
    <x v="0"/>
    <x v="14"/>
    <n v="3130"/>
    <x v="73"/>
    <n v="0"/>
    <x v="0"/>
    <s v="L 05"/>
    <n v="9"/>
    <n v="1641"/>
    <x v="337"/>
    <s v="Annual"/>
    <n v="2"/>
    <n v="1"/>
    <n v="118596"/>
    <n v="237192"/>
  </r>
  <r>
    <x v="0"/>
    <n v="31"/>
    <x v="10"/>
    <x v="0"/>
    <x v="0"/>
    <n v="1005"/>
    <x v="11"/>
    <x v="0"/>
    <x v="14"/>
    <n v="3130"/>
    <x v="73"/>
    <n v="0"/>
    <x v="0"/>
    <s v="BX 16"/>
    <n v="10"/>
    <n v="1619"/>
    <x v="341"/>
    <s v="Annual"/>
    <n v="1"/>
    <n v="1"/>
    <n v="94332"/>
    <n v="94332"/>
  </r>
  <r>
    <x v="0"/>
    <n v="31"/>
    <x v="10"/>
    <x v="0"/>
    <x v="0"/>
    <n v="1005"/>
    <x v="11"/>
    <x v="0"/>
    <x v="14"/>
    <n v="3130"/>
    <x v="73"/>
    <n v="0"/>
    <x v="0"/>
    <s v="BX 16"/>
    <n v="10"/>
    <n v="1619"/>
    <x v="341"/>
    <s v="Annual"/>
    <n v="1"/>
    <n v="1"/>
    <n v="83052"/>
    <n v="83052"/>
  </r>
  <r>
    <x v="0"/>
    <n v="31"/>
    <x v="10"/>
    <x v="0"/>
    <x v="0"/>
    <n v="1005"/>
    <x v="11"/>
    <x v="0"/>
    <x v="14"/>
    <n v="3130"/>
    <x v="73"/>
    <n v="0"/>
    <x v="0"/>
    <s v="B 13"/>
    <n v="1"/>
    <n v="1617"/>
    <x v="338"/>
    <s v="Annual"/>
    <n v="1"/>
    <n v="1"/>
    <n v="119100"/>
    <n v="119100"/>
  </r>
  <r>
    <x v="0"/>
    <n v="31"/>
    <x v="10"/>
    <x v="0"/>
    <x v="0"/>
    <n v="1005"/>
    <x v="11"/>
    <x v="0"/>
    <x v="14"/>
    <n v="3130"/>
    <x v="73"/>
    <n v="0"/>
    <x v="0"/>
    <s v="B 13"/>
    <n v="1"/>
    <n v="1617"/>
    <x v="338"/>
    <s v="Annual"/>
    <n v="1"/>
    <n v="1"/>
    <n v="113628"/>
    <n v="113628"/>
  </r>
  <r>
    <x v="0"/>
    <n v="31"/>
    <x v="10"/>
    <x v="0"/>
    <x v="0"/>
    <n v="1005"/>
    <x v="11"/>
    <x v="0"/>
    <x v="14"/>
    <n v="3130"/>
    <x v="73"/>
    <n v="0"/>
    <x v="0"/>
    <s v="B 13"/>
    <n v="1"/>
    <n v="1617"/>
    <x v="338"/>
    <s v="Annual"/>
    <n v="2"/>
    <n v="1"/>
    <n v="90144"/>
    <n v="180288"/>
  </r>
  <r>
    <x v="0"/>
    <n v="31"/>
    <x v="10"/>
    <x v="0"/>
    <x v="0"/>
    <n v="1005"/>
    <x v="11"/>
    <x v="0"/>
    <x v="14"/>
    <n v="3130"/>
    <x v="73"/>
    <n v="0"/>
    <x v="0"/>
    <s v="B 13"/>
    <n v="1"/>
    <n v="1617"/>
    <x v="338"/>
    <s v="Annual"/>
    <n v="2"/>
    <n v="1"/>
    <n v="77640"/>
    <n v="155280"/>
  </r>
  <r>
    <x v="0"/>
    <n v="31"/>
    <x v="10"/>
    <x v="0"/>
    <x v="0"/>
    <n v="1005"/>
    <x v="11"/>
    <x v="0"/>
    <x v="14"/>
    <n v="3130"/>
    <x v="73"/>
    <n v="0"/>
    <x v="0"/>
    <s v="B 13"/>
    <n v="1"/>
    <n v="1617"/>
    <x v="338"/>
    <s v="Annual"/>
    <n v="2"/>
    <n v="1"/>
    <n v="68616"/>
    <n v="137232"/>
  </r>
  <r>
    <x v="0"/>
    <n v="31"/>
    <x v="10"/>
    <x v="0"/>
    <x v="0"/>
    <n v="1005"/>
    <x v="11"/>
    <x v="0"/>
    <x v="14"/>
    <n v="3130"/>
    <x v="73"/>
    <n v="0"/>
    <x v="0"/>
    <s v="B 12"/>
    <n v="1"/>
    <n v="863"/>
    <x v="349"/>
    <s v="Annual"/>
    <n v="1"/>
    <n v="1"/>
    <n v="67608"/>
    <n v="67608"/>
  </r>
  <r>
    <x v="0"/>
    <n v="31"/>
    <x v="10"/>
    <x v="0"/>
    <x v="0"/>
    <n v="1005"/>
    <x v="11"/>
    <x v="0"/>
    <x v="14"/>
    <n v="3130"/>
    <x v="73"/>
    <n v="0"/>
    <x v="0"/>
    <s v="1 00"/>
    <n v="0"/>
    <n v="15"/>
    <x v="37"/>
    <s v="Annual"/>
    <n v="0"/>
    <n v="0"/>
    <n v="15320"/>
    <n v="15320"/>
  </r>
  <r>
    <x v="0"/>
    <n v="31"/>
    <x v="10"/>
    <x v="0"/>
    <x v="0"/>
    <n v="1005"/>
    <x v="11"/>
    <x v="0"/>
    <x v="14"/>
    <n v="3135"/>
    <x v="74"/>
    <n v="0"/>
    <x v="0"/>
    <s v="BX 15"/>
    <n v="0"/>
    <n v="1689"/>
    <x v="324"/>
    <s v="Annual"/>
    <n v="1"/>
    <n v="1"/>
    <n v="76476"/>
    <n v="76476"/>
  </r>
  <r>
    <x v="0"/>
    <n v="31"/>
    <x v="10"/>
    <x v="0"/>
    <x v="0"/>
    <n v="1005"/>
    <x v="11"/>
    <x v="0"/>
    <x v="14"/>
    <n v="3135"/>
    <x v="74"/>
    <n v="0"/>
    <x v="0"/>
    <s v="L 03"/>
    <n v="9"/>
    <n v="1673"/>
    <x v="335"/>
    <s v="Annual"/>
    <n v="1"/>
    <n v="1"/>
    <n v="113208"/>
    <n v="113208"/>
  </r>
  <r>
    <x v="0"/>
    <n v="31"/>
    <x v="10"/>
    <x v="0"/>
    <x v="0"/>
    <n v="1005"/>
    <x v="11"/>
    <x v="0"/>
    <x v="14"/>
    <n v="3135"/>
    <x v="74"/>
    <n v="0"/>
    <x v="0"/>
    <s v="L 03"/>
    <n v="9"/>
    <n v="1673"/>
    <x v="335"/>
    <s v="Annual"/>
    <n v="2"/>
    <n v="1"/>
    <n v="85704"/>
    <n v="171408"/>
  </r>
  <r>
    <x v="0"/>
    <n v="31"/>
    <x v="10"/>
    <x v="0"/>
    <x v="0"/>
    <n v="1005"/>
    <x v="11"/>
    <x v="0"/>
    <x v="14"/>
    <n v="3135"/>
    <x v="74"/>
    <n v="0"/>
    <x v="0"/>
    <s v="LX 03"/>
    <n v="9"/>
    <n v="1652"/>
    <x v="336"/>
    <s v="Annual"/>
    <n v="1"/>
    <n v="1"/>
    <n v="177612"/>
    <n v="177612"/>
  </r>
  <r>
    <x v="0"/>
    <n v="31"/>
    <x v="10"/>
    <x v="0"/>
    <x v="0"/>
    <n v="1005"/>
    <x v="11"/>
    <x v="0"/>
    <x v="14"/>
    <n v="3135"/>
    <x v="74"/>
    <n v="0"/>
    <x v="0"/>
    <s v="LX 02"/>
    <n v="9"/>
    <n v="1650"/>
    <x v="328"/>
    <s v="Annual"/>
    <n v="1"/>
    <n v="1"/>
    <n v="204516"/>
    <n v="204516"/>
  </r>
  <r>
    <x v="0"/>
    <n v="31"/>
    <x v="10"/>
    <x v="0"/>
    <x v="0"/>
    <n v="1005"/>
    <x v="11"/>
    <x v="0"/>
    <x v="14"/>
    <n v="3135"/>
    <x v="74"/>
    <n v="0"/>
    <x v="0"/>
    <s v="L 05"/>
    <n v="9"/>
    <n v="1641"/>
    <x v="337"/>
    <s v="Annual"/>
    <n v="1"/>
    <n v="1"/>
    <n v="118596"/>
    <n v="118596"/>
  </r>
  <r>
    <x v="0"/>
    <n v="31"/>
    <x v="10"/>
    <x v="0"/>
    <x v="0"/>
    <n v="1005"/>
    <x v="11"/>
    <x v="0"/>
    <x v="14"/>
    <n v="3135"/>
    <x v="74"/>
    <n v="0"/>
    <x v="0"/>
    <s v="B 13"/>
    <n v="1"/>
    <n v="1617"/>
    <x v="338"/>
    <s v="Annual"/>
    <n v="1"/>
    <n v="1"/>
    <n v="68616"/>
    <n v="68616"/>
  </r>
  <r>
    <x v="0"/>
    <n v="31"/>
    <x v="10"/>
    <x v="0"/>
    <x v="0"/>
    <n v="1005"/>
    <x v="11"/>
    <x v="0"/>
    <x v="14"/>
    <n v="3135"/>
    <x v="74"/>
    <n v="0"/>
    <x v="0"/>
    <s v="B 12"/>
    <n v="1"/>
    <n v="863"/>
    <x v="349"/>
    <s v="Annual"/>
    <n v="1"/>
    <n v="1"/>
    <n v="77640"/>
    <n v="77640"/>
  </r>
  <r>
    <x v="0"/>
    <n v="31"/>
    <x v="10"/>
    <x v="0"/>
    <x v="0"/>
    <n v="1005"/>
    <x v="11"/>
    <x v="0"/>
    <x v="14"/>
    <n v="3135"/>
    <x v="74"/>
    <n v="0"/>
    <x v="0"/>
    <s v="1 00"/>
    <n v="0"/>
    <n v="15"/>
    <x v="37"/>
    <s v="Annual"/>
    <n v="0"/>
    <n v="0"/>
    <n v="16583"/>
    <n v="16583"/>
  </r>
  <r>
    <x v="0"/>
    <n v="31"/>
    <x v="10"/>
    <x v="0"/>
    <x v="0"/>
    <n v="1005"/>
    <x v="11"/>
    <x v="0"/>
    <x v="14"/>
    <n v="3144"/>
    <x v="68"/>
    <n v="0"/>
    <x v="0"/>
    <s v="BX 15"/>
    <n v="0"/>
    <n v="1689"/>
    <x v="324"/>
    <s v="Annual"/>
    <n v="1"/>
    <n v="1"/>
    <n v="76476"/>
    <n v="76476"/>
  </r>
  <r>
    <x v="0"/>
    <n v="31"/>
    <x v="10"/>
    <x v="0"/>
    <x v="0"/>
    <n v="1005"/>
    <x v="11"/>
    <x v="0"/>
    <x v="14"/>
    <n v="3144"/>
    <x v="68"/>
    <n v="0"/>
    <x v="0"/>
    <s v="L 04"/>
    <n v="9"/>
    <n v="1674"/>
    <x v="339"/>
    <s v="Annual"/>
    <n v="1"/>
    <n v="1"/>
    <n v="156648"/>
    <n v="156648"/>
  </r>
  <r>
    <x v="0"/>
    <n v="31"/>
    <x v="10"/>
    <x v="0"/>
    <x v="0"/>
    <n v="1005"/>
    <x v="11"/>
    <x v="0"/>
    <x v="14"/>
    <n v="3144"/>
    <x v="68"/>
    <n v="0"/>
    <x v="0"/>
    <s v="L 05"/>
    <n v="9"/>
    <n v="1641"/>
    <x v="337"/>
    <s v="Annual"/>
    <n v="1"/>
    <n v="1"/>
    <n v="164100"/>
    <n v="164100"/>
  </r>
  <r>
    <x v="0"/>
    <n v="31"/>
    <x v="10"/>
    <x v="0"/>
    <x v="0"/>
    <n v="1005"/>
    <x v="11"/>
    <x v="0"/>
    <x v="14"/>
    <n v="3144"/>
    <x v="68"/>
    <n v="0"/>
    <x v="0"/>
    <s v="B 13"/>
    <n v="1"/>
    <n v="1617"/>
    <x v="338"/>
    <s v="Annual"/>
    <n v="1"/>
    <n v="1"/>
    <n v="119100"/>
    <n v="119100"/>
  </r>
  <r>
    <x v="0"/>
    <n v="31"/>
    <x v="10"/>
    <x v="0"/>
    <x v="0"/>
    <n v="1005"/>
    <x v="11"/>
    <x v="0"/>
    <x v="14"/>
    <n v="3144"/>
    <x v="68"/>
    <n v="0"/>
    <x v="0"/>
    <s v="B 13"/>
    <n v="1"/>
    <n v="1617"/>
    <x v="338"/>
    <s v="Annual"/>
    <n v="2"/>
    <n v="1"/>
    <n v="68616"/>
    <n v="137232"/>
  </r>
  <r>
    <x v="0"/>
    <n v="31"/>
    <x v="10"/>
    <x v="0"/>
    <x v="0"/>
    <n v="1005"/>
    <x v="11"/>
    <x v="0"/>
    <x v="14"/>
    <n v="3144"/>
    <x v="68"/>
    <n v="0"/>
    <x v="0"/>
    <s v="1 00"/>
    <n v="0"/>
    <n v="15"/>
    <x v="37"/>
    <s v="Annual"/>
    <n v="0"/>
    <n v="0"/>
    <n v="2280"/>
    <n v="2280"/>
  </r>
  <r>
    <x v="0"/>
    <n v="33"/>
    <x v="11"/>
    <x v="0"/>
    <x v="0"/>
    <n v="1005"/>
    <x v="12"/>
    <x v="0"/>
    <x v="15"/>
    <n v="3005"/>
    <x v="22"/>
    <n v="4005"/>
    <x v="42"/>
    <s v="1 00"/>
    <n v="9"/>
    <n v="9933"/>
    <x v="352"/>
    <s v="Annual"/>
    <n v="1"/>
    <n v="1"/>
    <n v="214344"/>
    <n v="214344"/>
  </r>
  <r>
    <x v="0"/>
    <n v="33"/>
    <x v="11"/>
    <x v="0"/>
    <x v="0"/>
    <n v="1005"/>
    <x v="12"/>
    <x v="0"/>
    <x v="15"/>
    <n v="3005"/>
    <x v="22"/>
    <n v="4005"/>
    <x v="42"/>
    <s v="X 31"/>
    <n v="9"/>
    <n v="9813"/>
    <x v="216"/>
    <s v="Annual"/>
    <n v="1"/>
    <n v="1"/>
    <n v="180324"/>
    <n v="180324"/>
  </r>
  <r>
    <x v="0"/>
    <n v="33"/>
    <x v="11"/>
    <x v="0"/>
    <x v="0"/>
    <n v="1005"/>
    <x v="12"/>
    <x v="0"/>
    <x v="15"/>
    <n v="3005"/>
    <x v="22"/>
    <n v="4005"/>
    <x v="42"/>
    <s v="X 31"/>
    <n v="9"/>
    <n v="9660"/>
    <x v="353"/>
    <s v="Annual"/>
    <n v="1"/>
    <n v="1"/>
    <n v="194688"/>
    <n v="194688"/>
  </r>
  <r>
    <x v="0"/>
    <n v="33"/>
    <x v="11"/>
    <x v="0"/>
    <x v="0"/>
    <n v="1005"/>
    <x v="12"/>
    <x v="0"/>
    <x v="15"/>
    <n v="3005"/>
    <x v="22"/>
    <n v="4005"/>
    <x v="42"/>
    <s v="BX 16"/>
    <n v="10"/>
    <n v="802"/>
    <x v="30"/>
    <s v="Annual"/>
    <n v="1"/>
    <n v="1"/>
    <n v="83052"/>
    <n v="83052"/>
  </r>
  <r>
    <x v="0"/>
    <n v="33"/>
    <x v="11"/>
    <x v="0"/>
    <x v="0"/>
    <n v="1005"/>
    <x v="12"/>
    <x v="0"/>
    <x v="15"/>
    <n v="3005"/>
    <x v="22"/>
    <n v="4005"/>
    <x v="42"/>
    <s v="BX 16"/>
    <n v="10"/>
    <n v="802"/>
    <x v="30"/>
    <s v="Annual"/>
    <n v="1"/>
    <n v="1"/>
    <n v="76476"/>
    <n v="76476"/>
  </r>
  <r>
    <x v="0"/>
    <n v="33"/>
    <x v="11"/>
    <x v="0"/>
    <x v="0"/>
    <n v="1005"/>
    <x v="12"/>
    <x v="0"/>
    <x v="15"/>
    <n v="3005"/>
    <x v="22"/>
    <n v="4005"/>
    <x v="42"/>
    <s v="1 00"/>
    <n v="0"/>
    <n v="15"/>
    <x v="37"/>
    <s v="Annual"/>
    <n v="0"/>
    <n v="0"/>
    <n v="7156"/>
    <n v="7156"/>
  </r>
  <r>
    <x v="0"/>
    <n v="33"/>
    <x v="11"/>
    <x v="0"/>
    <x v="0"/>
    <n v="1005"/>
    <x v="12"/>
    <x v="0"/>
    <x v="15"/>
    <n v="3005"/>
    <x v="22"/>
    <n v="4010"/>
    <x v="43"/>
    <s v="B 15"/>
    <n v="1"/>
    <n v="1302"/>
    <x v="83"/>
    <s v="Annual"/>
    <n v="1"/>
    <n v="1"/>
    <n v="82644"/>
    <n v="82644"/>
  </r>
  <r>
    <x v="0"/>
    <n v="33"/>
    <x v="11"/>
    <x v="0"/>
    <x v="0"/>
    <n v="1005"/>
    <x v="12"/>
    <x v="0"/>
    <x v="15"/>
    <n v="3005"/>
    <x v="22"/>
    <n v="4010"/>
    <x v="43"/>
    <s v="BX 18"/>
    <n v="20"/>
    <n v="394"/>
    <x v="68"/>
    <s v="Annual"/>
    <n v="1"/>
    <n v="1"/>
    <n v="102444"/>
    <n v="102444"/>
  </r>
  <r>
    <x v="0"/>
    <n v="33"/>
    <x v="11"/>
    <x v="0"/>
    <x v="0"/>
    <n v="1005"/>
    <x v="12"/>
    <x v="0"/>
    <x v="15"/>
    <n v="3005"/>
    <x v="22"/>
    <n v="4010"/>
    <x v="43"/>
    <s v="BX 18"/>
    <n v="20"/>
    <n v="394"/>
    <x v="68"/>
    <s v="Annual"/>
    <n v="1"/>
    <n v="1"/>
    <n v="89112"/>
    <n v="89112"/>
  </r>
  <r>
    <x v="0"/>
    <n v="33"/>
    <x v="11"/>
    <x v="0"/>
    <x v="0"/>
    <n v="1005"/>
    <x v="12"/>
    <x v="0"/>
    <x v="15"/>
    <n v="3005"/>
    <x v="22"/>
    <n v="4010"/>
    <x v="43"/>
    <s v="B 13"/>
    <n v="1"/>
    <n v="308"/>
    <x v="90"/>
    <s v="Annual"/>
    <n v="1"/>
    <n v="1"/>
    <n v="77640"/>
    <n v="77640"/>
  </r>
  <r>
    <x v="0"/>
    <n v="33"/>
    <x v="11"/>
    <x v="0"/>
    <x v="0"/>
    <n v="1005"/>
    <x v="12"/>
    <x v="0"/>
    <x v="15"/>
    <n v="3005"/>
    <x v="22"/>
    <n v="4010"/>
    <x v="43"/>
    <s v="1 00"/>
    <n v="0"/>
    <n v="15"/>
    <x v="37"/>
    <s v="Annual"/>
    <n v="0"/>
    <n v="0"/>
    <n v="2466"/>
    <n v="2466"/>
  </r>
  <r>
    <x v="0"/>
    <n v="33"/>
    <x v="11"/>
    <x v="0"/>
    <x v="0"/>
    <n v="1005"/>
    <x v="12"/>
    <x v="0"/>
    <x v="15"/>
    <n v="3005"/>
    <x v="22"/>
    <n v="4011"/>
    <x v="44"/>
    <s v="B 14"/>
    <n v="4"/>
    <n v="1912"/>
    <x v="222"/>
    <s v="Annual"/>
    <n v="1"/>
    <n v="1"/>
    <n v="75336"/>
    <n v="75336"/>
  </r>
  <r>
    <x v="0"/>
    <n v="33"/>
    <x v="11"/>
    <x v="0"/>
    <x v="0"/>
    <n v="1005"/>
    <x v="12"/>
    <x v="0"/>
    <x v="15"/>
    <n v="3015"/>
    <x v="75"/>
    <n v="0"/>
    <x v="0"/>
    <s v="X 32"/>
    <n v="9"/>
    <n v="9679"/>
    <x v="81"/>
    <s v="Annual"/>
    <n v="1"/>
    <n v="1"/>
    <n v="175512"/>
    <n v="175512"/>
  </r>
  <r>
    <x v="0"/>
    <n v="33"/>
    <x v="11"/>
    <x v="0"/>
    <x v="0"/>
    <n v="1005"/>
    <x v="12"/>
    <x v="0"/>
    <x v="15"/>
    <n v="3015"/>
    <x v="75"/>
    <n v="0"/>
    <x v="0"/>
    <s v="GY 10"/>
    <n v="20"/>
    <n v="3502"/>
    <x v="354"/>
    <s v="Annual"/>
    <n v="1"/>
    <n v="1"/>
    <n v="97332"/>
    <n v="97332"/>
  </r>
  <r>
    <x v="0"/>
    <n v="33"/>
    <x v="11"/>
    <x v="0"/>
    <x v="0"/>
    <n v="1005"/>
    <x v="12"/>
    <x v="0"/>
    <x v="15"/>
    <n v="3015"/>
    <x v="75"/>
    <n v="0"/>
    <x v="0"/>
    <s v="BX 16"/>
    <n v="10"/>
    <n v="1430"/>
    <x v="355"/>
    <s v="Annual"/>
    <n v="1"/>
    <n v="1"/>
    <n v="83052"/>
    <n v="83052"/>
  </r>
  <r>
    <x v="0"/>
    <n v="33"/>
    <x v="11"/>
    <x v="0"/>
    <x v="0"/>
    <n v="1005"/>
    <x v="12"/>
    <x v="0"/>
    <x v="15"/>
    <n v="3015"/>
    <x v="75"/>
    <n v="0"/>
    <x v="0"/>
    <s v="X 33"/>
    <n v="0"/>
    <n v="1385"/>
    <x v="356"/>
    <s v="Annual"/>
    <n v="1"/>
    <n v="1"/>
    <n v="137532"/>
    <n v="137532"/>
  </r>
  <r>
    <x v="0"/>
    <n v="33"/>
    <x v="11"/>
    <x v="0"/>
    <x v="0"/>
    <n v="1005"/>
    <x v="12"/>
    <x v="0"/>
    <x v="15"/>
    <n v="3015"/>
    <x v="75"/>
    <n v="0"/>
    <x v="0"/>
    <s v="X 33"/>
    <n v="0"/>
    <n v="1384"/>
    <x v="357"/>
    <s v="Annual"/>
    <n v="1"/>
    <n v="1"/>
    <n v="121668"/>
    <n v="121668"/>
  </r>
  <r>
    <x v="0"/>
    <n v="33"/>
    <x v="11"/>
    <x v="0"/>
    <x v="0"/>
    <n v="1005"/>
    <x v="12"/>
    <x v="0"/>
    <x v="15"/>
    <n v="3015"/>
    <x v="75"/>
    <n v="0"/>
    <x v="0"/>
    <s v="GY 08"/>
    <n v="20"/>
    <n v="1368"/>
    <x v="358"/>
    <s v="Annual"/>
    <n v="1"/>
    <n v="1"/>
    <n v="112080"/>
    <n v="112080"/>
  </r>
  <r>
    <x v="0"/>
    <n v="33"/>
    <x v="11"/>
    <x v="0"/>
    <x v="0"/>
    <n v="1005"/>
    <x v="12"/>
    <x v="0"/>
    <x v="15"/>
    <n v="3015"/>
    <x v="75"/>
    <n v="0"/>
    <x v="0"/>
    <s v="X 33"/>
    <n v="10"/>
    <n v="1366"/>
    <x v="359"/>
    <s v="Annual"/>
    <n v="1"/>
    <n v="1"/>
    <n v="137532"/>
    <n v="137532"/>
  </r>
  <r>
    <x v="0"/>
    <n v="33"/>
    <x v="11"/>
    <x v="0"/>
    <x v="0"/>
    <n v="1005"/>
    <x v="12"/>
    <x v="0"/>
    <x v="15"/>
    <n v="3015"/>
    <x v="75"/>
    <n v="0"/>
    <x v="0"/>
    <s v="GY 08"/>
    <n v="20"/>
    <n v="1364"/>
    <x v="360"/>
    <s v="Annual"/>
    <n v="2"/>
    <n v="1"/>
    <n v="112080"/>
    <n v="224160"/>
  </r>
  <r>
    <x v="0"/>
    <n v="33"/>
    <x v="11"/>
    <x v="0"/>
    <x v="0"/>
    <n v="1005"/>
    <x v="12"/>
    <x v="0"/>
    <x v="15"/>
    <n v="3015"/>
    <x v="75"/>
    <n v="0"/>
    <x v="0"/>
    <s v="GY 08"/>
    <n v="20"/>
    <n v="1364"/>
    <x v="360"/>
    <s v="Annual"/>
    <n v="1"/>
    <n v="1"/>
    <n v="85236"/>
    <n v="85236"/>
  </r>
  <r>
    <x v="0"/>
    <n v="33"/>
    <x v="11"/>
    <x v="0"/>
    <x v="0"/>
    <n v="1005"/>
    <x v="12"/>
    <x v="0"/>
    <x v="15"/>
    <n v="3015"/>
    <x v="75"/>
    <n v="0"/>
    <x v="0"/>
    <s v="GY 08"/>
    <n v="10"/>
    <n v="1354"/>
    <x v="361"/>
    <s v="Annual"/>
    <n v="2"/>
    <n v="1"/>
    <n v="112080"/>
    <n v="224160"/>
  </r>
  <r>
    <x v="0"/>
    <n v="33"/>
    <x v="11"/>
    <x v="0"/>
    <x v="0"/>
    <n v="1005"/>
    <x v="12"/>
    <x v="0"/>
    <x v="15"/>
    <n v="3015"/>
    <x v="75"/>
    <n v="0"/>
    <x v="0"/>
    <s v="GY 08"/>
    <n v="10"/>
    <n v="1354"/>
    <x v="361"/>
    <s v="Annual"/>
    <n v="1"/>
    <n v="1"/>
    <n v="97332"/>
    <n v="97332"/>
  </r>
  <r>
    <x v="0"/>
    <n v="33"/>
    <x v="11"/>
    <x v="0"/>
    <x v="0"/>
    <n v="1005"/>
    <x v="12"/>
    <x v="0"/>
    <x v="15"/>
    <n v="3015"/>
    <x v="75"/>
    <n v="0"/>
    <x v="0"/>
    <s v="GY 08"/>
    <n v="10"/>
    <n v="1354"/>
    <x v="361"/>
    <s v="Annual"/>
    <n v="1"/>
    <n v="1"/>
    <n v="93156"/>
    <n v="93156"/>
  </r>
  <r>
    <x v="0"/>
    <n v="33"/>
    <x v="11"/>
    <x v="0"/>
    <x v="0"/>
    <n v="1005"/>
    <x v="12"/>
    <x v="0"/>
    <x v="15"/>
    <n v="3015"/>
    <x v="75"/>
    <n v="0"/>
    <x v="0"/>
    <s v="GY 08"/>
    <n v="10"/>
    <n v="1354"/>
    <x v="361"/>
    <s v="Annual"/>
    <n v="1"/>
    <n v="1"/>
    <n v="85236"/>
    <n v="85236"/>
  </r>
  <r>
    <x v="0"/>
    <n v="33"/>
    <x v="11"/>
    <x v="0"/>
    <x v="0"/>
    <n v="1005"/>
    <x v="12"/>
    <x v="0"/>
    <x v="15"/>
    <n v="3015"/>
    <x v="75"/>
    <n v="0"/>
    <x v="0"/>
    <s v="GY 08"/>
    <n v="10"/>
    <n v="1354"/>
    <x v="361"/>
    <s v="Annual"/>
    <n v="3"/>
    <n v="1"/>
    <n v="82884"/>
    <n v="248652"/>
  </r>
  <r>
    <x v="0"/>
    <n v="33"/>
    <x v="11"/>
    <x v="0"/>
    <x v="0"/>
    <n v="1005"/>
    <x v="12"/>
    <x v="0"/>
    <x v="15"/>
    <n v="3015"/>
    <x v="75"/>
    <n v="0"/>
    <x v="0"/>
    <s v="GY 07"/>
    <n v="20"/>
    <n v="1347"/>
    <x v="362"/>
    <s v="Annual"/>
    <n v="1"/>
    <n v="1"/>
    <n v="82884"/>
    <n v="82884"/>
  </r>
  <r>
    <x v="0"/>
    <n v="33"/>
    <x v="11"/>
    <x v="0"/>
    <x v="0"/>
    <n v="1005"/>
    <x v="12"/>
    <x v="0"/>
    <x v="15"/>
    <n v="3015"/>
    <x v="75"/>
    <n v="0"/>
    <x v="0"/>
    <s v="GY 07"/>
    <n v="20"/>
    <n v="1347"/>
    <x v="362"/>
    <s v="Annual"/>
    <n v="1"/>
    <n v="1"/>
    <n v="79728"/>
    <n v="79728"/>
  </r>
  <r>
    <x v="0"/>
    <n v="33"/>
    <x v="11"/>
    <x v="0"/>
    <x v="0"/>
    <n v="1005"/>
    <x v="12"/>
    <x v="0"/>
    <x v="15"/>
    <n v="3015"/>
    <x v="75"/>
    <n v="0"/>
    <x v="0"/>
    <s v="G 05"/>
    <n v="1"/>
    <n v="1308"/>
    <x v="363"/>
    <s v="Annual"/>
    <n v="1"/>
    <n v="1"/>
    <n v="102516"/>
    <n v="102516"/>
  </r>
  <r>
    <x v="0"/>
    <n v="33"/>
    <x v="11"/>
    <x v="0"/>
    <x v="0"/>
    <n v="1005"/>
    <x v="12"/>
    <x v="0"/>
    <x v="15"/>
    <n v="3015"/>
    <x v="75"/>
    <n v="0"/>
    <x v="0"/>
    <s v="BX 12"/>
    <n v="20"/>
    <n v="323"/>
    <x v="34"/>
    <s v="Annual"/>
    <n v="1"/>
    <n v="1"/>
    <n v="55272"/>
    <n v="55272"/>
  </r>
  <r>
    <x v="0"/>
    <n v="33"/>
    <x v="11"/>
    <x v="0"/>
    <x v="0"/>
    <n v="1005"/>
    <x v="12"/>
    <x v="0"/>
    <x v="15"/>
    <n v="3015"/>
    <x v="75"/>
    <n v="0"/>
    <x v="0"/>
    <s v="1 00"/>
    <n v="0"/>
    <n v="15"/>
    <x v="37"/>
    <s v="Annual"/>
    <n v="0"/>
    <n v="0"/>
    <n v="26448"/>
    <n v="26448"/>
  </r>
  <r>
    <x v="0"/>
    <n v="33"/>
    <x v="11"/>
    <x v="0"/>
    <x v="0"/>
    <n v="1005"/>
    <x v="12"/>
    <x v="0"/>
    <x v="15"/>
    <n v="3026"/>
    <x v="76"/>
    <n v="4026"/>
    <x v="45"/>
    <s v="X 32"/>
    <n v="9"/>
    <n v="9679"/>
    <x v="81"/>
    <s v="Annual"/>
    <n v="1"/>
    <n v="1"/>
    <n v="175512"/>
    <n v="175512"/>
  </r>
  <r>
    <x v="0"/>
    <n v="33"/>
    <x v="11"/>
    <x v="0"/>
    <x v="0"/>
    <n v="1005"/>
    <x v="12"/>
    <x v="0"/>
    <x v="15"/>
    <n v="3026"/>
    <x v="76"/>
    <n v="4026"/>
    <x v="45"/>
    <s v="X 33"/>
    <n v="20"/>
    <n v="1309"/>
    <x v="364"/>
    <s v="Annual"/>
    <n v="1"/>
    <n v="1"/>
    <n v="146808"/>
    <n v="146808"/>
  </r>
  <r>
    <x v="0"/>
    <n v="33"/>
    <x v="11"/>
    <x v="0"/>
    <x v="0"/>
    <n v="1005"/>
    <x v="12"/>
    <x v="0"/>
    <x v="15"/>
    <n v="3026"/>
    <x v="76"/>
    <n v="4026"/>
    <x v="45"/>
    <s v="B 13"/>
    <n v="1"/>
    <n v="1306"/>
    <x v="365"/>
    <s v="Annual"/>
    <n v="3"/>
    <n v="1"/>
    <n v="90144"/>
    <n v="270432"/>
  </r>
  <r>
    <x v="0"/>
    <n v="33"/>
    <x v="11"/>
    <x v="0"/>
    <x v="0"/>
    <n v="1005"/>
    <x v="12"/>
    <x v="0"/>
    <x v="15"/>
    <n v="3026"/>
    <x v="76"/>
    <n v="4026"/>
    <x v="45"/>
    <s v="B 13"/>
    <n v="1"/>
    <n v="1306"/>
    <x v="365"/>
    <s v="Annual"/>
    <n v="1"/>
    <n v="1"/>
    <n v="81324"/>
    <n v="81324"/>
  </r>
  <r>
    <x v="0"/>
    <n v="33"/>
    <x v="11"/>
    <x v="0"/>
    <x v="0"/>
    <n v="1005"/>
    <x v="12"/>
    <x v="0"/>
    <x v="15"/>
    <n v="3026"/>
    <x v="76"/>
    <n v="4026"/>
    <x v="45"/>
    <s v="B 13"/>
    <n v="1"/>
    <n v="1306"/>
    <x v="365"/>
    <s v="Annual"/>
    <n v="1"/>
    <n v="1"/>
    <n v="77640"/>
    <n v="77640"/>
  </r>
  <r>
    <x v="0"/>
    <n v="33"/>
    <x v="11"/>
    <x v="0"/>
    <x v="0"/>
    <n v="1005"/>
    <x v="12"/>
    <x v="0"/>
    <x v="15"/>
    <n v="3026"/>
    <x v="76"/>
    <n v="4026"/>
    <x v="45"/>
    <s v="B 13"/>
    <n v="1"/>
    <n v="1306"/>
    <x v="365"/>
    <s v="Annual"/>
    <n v="1"/>
    <n v="1"/>
    <n v="74172"/>
    <n v="74172"/>
  </r>
  <r>
    <x v="0"/>
    <n v="33"/>
    <x v="11"/>
    <x v="0"/>
    <x v="0"/>
    <n v="1005"/>
    <x v="12"/>
    <x v="0"/>
    <x v="15"/>
    <n v="3026"/>
    <x v="76"/>
    <n v="4026"/>
    <x v="45"/>
    <s v="BX 08"/>
    <n v="10"/>
    <n v="451"/>
    <x v="366"/>
    <s v="Annual"/>
    <n v="1"/>
    <n v="1"/>
    <n v="55848"/>
    <n v="55848"/>
  </r>
  <r>
    <x v="0"/>
    <n v="33"/>
    <x v="11"/>
    <x v="0"/>
    <x v="0"/>
    <n v="1005"/>
    <x v="12"/>
    <x v="0"/>
    <x v="15"/>
    <n v="3026"/>
    <x v="76"/>
    <n v="4026"/>
    <x v="45"/>
    <s v="B 12"/>
    <n v="1"/>
    <s v="03A8"/>
    <x v="88"/>
    <s v="Annual"/>
    <n v="1"/>
    <n v="1"/>
    <n v="67608"/>
    <n v="67608"/>
  </r>
  <r>
    <x v="0"/>
    <n v="33"/>
    <x v="11"/>
    <x v="0"/>
    <x v="0"/>
    <n v="1005"/>
    <x v="12"/>
    <x v="0"/>
    <x v="15"/>
    <n v="3026"/>
    <x v="76"/>
    <n v="4026"/>
    <x v="45"/>
    <s v="1 00"/>
    <n v="0"/>
    <n v="15"/>
    <x v="37"/>
    <s v="Annual"/>
    <n v="0"/>
    <n v="0"/>
    <n v="12548"/>
    <n v="12548"/>
  </r>
  <r>
    <x v="0"/>
    <n v="33"/>
    <x v="11"/>
    <x v="0"/>
    <x v="0"/>
    <n v="1005"/>
    <x v="12"/>
    <x v="0"/>
    <x v="15"/>
    <n v="3026"/>
    <x v="76"/>
    <n v="4027"/>
    <x v="46"/>
    <s v="GY 09"/>
    <n v="20"/>
    <n v="647"/>
    <x v="78"/>
    <s v="Annual"/>
    <n v="2"/>
    <n v="1"/>
    <n v="122556"/>
    <n v="245112"/>
  </r>
  <r>
    <x v="0"/>
    <n v="33"/>
    <x v="11"/>
    <x v="0"/>
    <x v="0"/>
    <n v="1005"/>
    <x v="12"/>
    <x v="0"/>
    <x v="15"/>
    <n v="3026"/>
    <x v="76"/>
    <n v="4027"/>
    <x v="46"/>
    <s v="GY 09"/>
    <n v="20"/>
    <n v="647"/>
    <x v="78"/>
    <s v="Annual"/>
    <n v="1"/>
    <n v="1"/>
    <n v="97332"/>
    <n v="97332"/>
  </r>
  <r>
    <x v="0"/>
    <n v="33"/>
    <x v="11"/>
    <x v="0"/>
    <x v="0"/>
    <n v="1005"/>
    <x v="12"/>
    <x v="0"/>
    <x v="15"/>
    <n v="3026"/>
    <x v="76"/>
    <n v="4027"/>
    <x v="46"/>
    <s v="1 00"/>
    <n v="0"/>
    <n v="15"/>
    <x v="37"/>
    <s v="Annual"/>
    <n v="0"/>
    <n v="0"/>
    <n v="3938"/>
    <n v="3938"/>
  </r>
  <r>
    <x v="0"/>
    <n v="33"/>
    <x v="11"/>
    <x v="0"/>
    <x v="0"/>
    <n v="1005"/>
    <x v="12"/>
    <x v="0"/>
    <x v="15"/>
    <n v="3035"/>
    <x v="77"/>
    <n v="4035"/>
    <x v="47"/>
    <s v="GY 09"/>
    <n v="20"/>
    <n v="1398"/>
    <x v="367"/>
    <s v="Annual"/>
    <n v="2"/>
    <n v="1"/>
    <n v="122556"/>
    <n v="245112"/>
  </r>
  <r>
    <x v="0"/>
    <n v="33"/>
    <x v="11"/>
    <x v="0"/>
    <x v="0"/>
    <n v="1005"/>
    <x v="12"/>
    <x v="0"/>
    <x v="15"/>
    <n v="3035"/>
    <x v="77"/>
    <n v="4035"/>
    <x v="47"/>
    <s v="GY 09"/>
    <n v="20"/>
    <n v="1398"/>
    <x v="367"/>
    <s v="Annual"/>
    <n v="1"/>
    <n v="1"/>
    <n v="101628"/>
    <n v="101628"/>
  </r>
  <r>
    <x v="0"/>
    <n v="33"/>
    <x v="11"/>
    <x v="0"/>
    <x v="0"/>
    <n v="1005"/>
    <x v="12"/>
    <x v="0"/>
    <x v="15"/>
    <n v="3035"/>
    <x v="77"/>
    <n v="4035"/>
    <x v="47"/>
    <s v="GY 08"/>
    <n v="20"/>
    <n v="1379"/>
    <x v="368"/>
    <s v="Annual"/>
    <n v="1"/>
    <n v="1"/>
    <n v="89112"/>
    <n v="89112"/>
  </r>
  <r>
    <x v="0"/>
    <n v="33"/>
    <x v="11"/>
    <x v="0"/>
    <x v="0"/>
    <n v="1005"/>
    <x v="12"/>
    <x v="0"/>
    <x v="15"/>
    <n v="3035"/>
    <x v="77"/>
    <n v="4035"/>
    <x v="47"/>
    <s v="G 04"/>
    <n v="1"/>
    <n v="1370"/>
    <x v="369"/>
    <s v="Annual"/>
    <n v="1"/>
    <n v="1"/>
    <n v="98460"/>
    <n v="98460"/>
  </r>
  <r>
    <x v="0"/>
    <n v="33"/>
    <x v="11"/>
    <x v="0"/>
    <x v="0"/>
    <n v="1005"/>
    <x v="12"/>
    <x v="0"/>
    <x v="15"/>
    <n v="3035"/>
    <x v="77"/>
    <n v="4035"/>
    <x v="47"/>
    <s v="G 04"/>
    <n v="1"/>
    <n v="1370"/>
    <x v="369"/>
    <s v="Annual"/>
    <n v="1"/>
    <n v="1"/>
    <n v="76464"/>
    <n v="76464"/>
  </r>
  <r>
    <x v="0"/>
    <n v="33"/>
    <x v="11"/>
    <x v="0"/>
    <x v="0"/>
    <n v="1005"/>
    <x v="12"/>
    <x v="0"/>
    <x v="15"/>
    <n v="3035"/>
    <x v="77"/>
    <n v="4035"/>
    <x v="47"/>
    <s v="G 04"/>
    <n v="1"/>
    <n v="1370"/>
    <x v="369"/>
    <s v="Annual"/>
    <n v="1"/>
    <n v="1"/>
    <n v="72684"/>
    <n v="72684"/>
  </r>
  <r>
    <x v="0"/>
    <n v="33"/>
    <x v="11"/>
    <x v="0"/>
    <x v="0"/>
    <n v="1005"/>
    <x v="12"/>
    <x v="0"/>
    <x v="15"/>
    <n v="3035"/>
    <x v="77"/>
    <n v="4035"/>
    <x v="47"/>
    <s v="X 33"/>
    <n v="0"/>
    <n v="1339"/>
    <x v="370"/>
    <s v="Annual"/>
    <n v="1"/>
    <n v="1"/>
    <n v="146808"/>
    <n v="146808"/>
  </r>
  <r>
    <x v="0"/>
    <n v="33"/>
    <x v="11"/>
    <x v="0"/>
    <x v="0"/>
    <n v="1005"/>
    <x v="12"/>
    <x v="0"/>
    <x v="15"/>
    <n v="3035"/>
    <x v="77"/>
    <n v="4035"/>
    <x v="47"/>
    <s v="1 00"/>
    <n v="0"/>
    <n v="15"/>
    <x v="37"/>
    <s v="Annual"/>
    <n v="0"/>
    <n v="0"/>
    <n v="9815"/>
    <n v="9815"/>
  </r>
  <r>
    <x v="0"/>
    <n v="33"/>
    <x v="11"/>
    <x v="0"/>
    <x v="0"/>
    <n v="1005"/>
    <x v="12"/>
    <x v="0"/>
    <x v="15"/>
    <n v="3040"/>
    <x v="78"/>
    <n v="4045"/>
    <x v="48"/>
    <s v="GY 09"/>
    <n v="20"/>
    <n v="1365"/>
    <x v="371"/>
    <s v="Annual"/>
    <n v="1"/>
    <n v="1"/>
    <n v="93156"/>
    <n v="93156"/>
  </r>
  <r>
    <x v="0"/>
    <n v="33"/>
    <x v="11"/>
    <x v="0"/>
    <x v="0"/>
    <n v="1005"/>
    <x v="12"/>
    <x v="0"/>
    <x v="15"/>
    <n v="3040"/>
    <x v="78"/>
    <n v="4045"/>
    <x v="48"/>
    <s v="GY 09"/>
    <n v="20"/>
    <n v="1365"/>
    <x v="371"/>
    <s v="Annual"/>
    <n v="1"/>
    <n v="1"/>
    <n v="89112"/>
    <n v="89112"/>
  </r>
  <r>
    <x v="0"/>
    <n v="33"/>
    <x v="11"/>
    <x v="0"/>
    <x v="0"/>
    <n v="1005"/>
    <x v="12"/>
    <x v="0"/>
    <x v="15"/>
    <n v="3040"/>
    <x v="78"/>
    <n v="4045"/>
    <x v="48"/>
    <s v="GY 10"/>
    <n v="20"/>
    <n v="1345"/>
    <x v="372"/>
    <s v="Annual"/>
    <n v="1"/>
    <n v="1"/>
    <n v="130476"/>
    <n v="130476"/>
  </r>
  <r>
    <x v="0"/>
    <n v="33"/>
    <x v="11"/>
    <x v="0"/>
    <x v="0"/>
    <n v="1005"/>
    <x v="12"/>
    <x v="0"/>
    <x v="15"/>
    <n v="3040"/>
    <x v="78"/>
    <n v="4045"/>
    <x v="48"/>
    <s v="X 33"/>
    <n v="0"/>
    <n v="1328"/>
    <x v="373"/>
    <s v="Annual"/>
    <n v="1"/>
    <n v="1"/>
    <n v="137532"/>
    <n v="137532"/>
  </r>
  <r>
    <x v="0"/>
    <n v="33"/>
    <x v="11"/>
    <x v="0"/>
    <x v="0"/>
    <n v="1005"/>
    <x v="12"/>
    <x v="0"/>
    <x v="15"/>
    <n v="3040"/>
    <x v="78"/>
    <n v="4045"/>
    <x v="48"/>
    <s v="GY 06"/>
    <n v="20"/>
    <n v="1311"/>
    <x v="374"/>
    <s v="Annual"/>
    <n v="2"/>
    <n v="1"/>
    <n v="79728"/>
    <n v="159456"/>
  </r>
  <r>
    <x v="0"/>
    <n v="33"/>
    <x v="11"/>
    <x v="0"/>
    <x v="0"/>
    <n v="1005"/>
    <x v="12"/>
    <x v="0"/>
    <x v="15"/>
    <n v="3040"/>
    <x v="78"/>
    <n v="4045"/>
    <x v="48"/>
    <s v="B 12"/>
    <n v="1"/>
    <s v="03A8"/>
    <x v="88"/>
    <s v="Annual"/>
    <n v="1"/>
    <n v="1"/>
    <n v="108576"/>
    <n v="108576"/>
  </r>
  <r>
    <x v="0"/>
    <n v="33"/>
    <x v="11"/>
    <x v="0"/>
    <x v="0"/>
    <n v="1005"/>
    <x v="12"/>
    <x v="0"/>
    <x v="15"/>
    <n v="3040"/>
    <x v="78"/>
    <n v="4045"/>
    <x v="48"/>
    <s v="B 10"/>
    <n v="1"/>
    <s v="03A7"/>
    <x v="4"/>
    <s v="Annual"/>
    <n v="2"/>
    <n v="1"/>
    <n v="90144"/>
    <n v="180288"/>
  </r>
  <r>
    <x v="0"/>
    <n v="33"/>
    <x v="11"/>
    <x v="0"/>
    <x v="0"/>
    <n v="1005"/>
    <x v="12"/>
    <x v="0"/>
    <x v="15"/>
    <n v="3040"/>
    <x v="78"/>
    <n v="4045"/>
    <x v="48"/>
    <s v="1 00"/>
    <n v="0"/>
    <n v="15"/>
    <x v="37"/>
    <s v="Annual"/>
    <n v="0"/>
    <n v="0"/>
    <n v="13775"/>
    <n v="13775"/>
  </r>
  <r>
    <x v="0"/>
    <n v="33"/>
    <x v="11"/>
    <x v="0"/>
    <x v="0"/>
    <n v="1005"/>
    <x v="12"/>
    <x v="0"/>
    <x v="15"/>
    <n v="3040"/>
    <x v="78"/>
    <n v="4046"/>
    <x v="49"/>
    <s v="X 33"/>
    <n v="0"/>
    <n v="9802"/>
    <x v="375"/>
    <s v="Annual"/>
    <n v="1"/>
    <n v="1"/>
    <n v="121668"/>
    <n v="121668"/>
  </r>
  <r>
    <x v="0"/>
    <n v="33"/>
    <x v="11"/>
    <x v="0"/>
    <x v="0"/>
    <n v="1005"/>
    <x v="12"/>
    <x v="0"/>
    <x v="15"/>
    <n v="3040"/>
    <x v="78"/>
    <n v="4046"/>
    <x v="49"/>
    <s v="X 32"/>
    <n v="9"/>
    <n v="9679"/>
    <x v="81"/>
    <s v="Annual"/>
    <n v="1"/>
    <n v="1"/>
    <n v="167964"/>
    <n v="167964"/>
  </r>
  <r>
    <x v="0"/>
    <n v="33"/>
    <x v="11"/>
    <x v="0"/>
    <x v="0"/>
    <n v="1005"/>
    <x v="12"/>
    <x v="0"/>
    <x v="15"/>
    <n v="3040"/>
    <x v="78"/>
    <n v="4046"/>
    <x v="49"/>
    <s v="X 32"/>
    <n v="9"/>
    <n v="9679"/>
    <x v="81"/>
    <s v="Annual"/>
    <n v="1"/>
    <n v="1"/>
    <n v="157332"/>
    <n v="157332"/>
  </r>
  <r>
    <x v="0"/>
    <n v="33"/>
    <x v="11"/>
    <x v="0"/>
    <x v="0"/>
    <n v="1005"/>
    <x v="12"/>
    <x v="0"/>
    <x v="15"/>
    <n v="3040"/>
    <x v="78"/>
    <n v="4046"/>
    <x v="49"/>
    <s v="BX 15"/>
    <n v="10"/>
    <n v="1911"/>
    <x v="226"/>
    <s v="Annual"/>
    <n v="1"/>
    <n v="1"/>
    <n v="69684"/>
    <n v="69684"/>
  </r>
  <r>
    <x v="0"/>
    <n v="33"/>
    <x v="11"/>
    <x v="0"/>
    <x v="0"/>
    <n v="1005"/>
    <x v="12"/>
    <x v="0"/>
    <x v="15"/>
    <n v="3040"/>
    <x v="78"/>
    <n v="4046"/>
    <x v="49"/>
    <s v="G 08"/>
    <n v="4"/>
    <n v="1380"/>
    <x v="376"/>
    <s v="Annual"/>
    <n v="8"/>
    <n v="1"/>
    <n v="141564"/>
    <n v="1132512"/>
  </r>
  <r>
    <x v="0"/>
    <n v="33"/>
    <x v="11"/>
    <x v="0"/>
    <x v="0"/>
    <n v="1005"/>
    <x v="12"/>
    <x v="0"/>
    <x v="15"/>
    <n v="3040"/>
    <x v="78"/>
    <n v="4046"/>
    <x v="49"/>
    <s v="G 08"/>
    <n v="4"/>
    <n v="1380"/>
    <x v="376"/>
    <s v="Annual"/>
    <n v="2"/>
    <n v="1"/>
    <n v="134184"/>
    <n v="268368"/>
  </r>
  <r>
    <x v="0"/>
    <n v="33"/>
    <x v="11"/>
    <x v="0"/>
    <x v="0"/>
    <n v="1005"/>
    <x v="12"/>
    <x v="0"/>
    <x v="15"/>
    <n v="3040"/>
    <x v="78"/>
    <n v="4046"/>
    <x v="49"/>
    <s v="G 08"/>
    <n v="4"/>
    <n v="1380"/>
    <x v="376"/>
    <s v="Annual"/>
    <n v="1"/>
    <n v="1"/>
    <n v="117636"/>
    <n v="117636"/>
  </r>
  <r>
    <x v="0"/>
    <n v="33"/>
    <x v="11"/>
    <x v="0"/>
    <x v="0"/>
    <n v="1005"/>
    <x v="12"/>
    <x v="0"/>
    <x v="15"/>
    <n v="3040"/>
    <x v="78"/>
    <n v="4046"/>
    <x v="49"/>
    <s v="G 08"/>
    <n v="4"/>
    <n v="1380"/>
    <x v="376"/>
    <s v="Annual"/>
    <n v="2"/>
    <n v="1"/>
    <n v="112536"/>
    <n v="225072"/>
  </r>
  <r>
    <x v="0"/>
    <n v="33"/>
    <x v="11"/>
    <x v="0"/>
    <x v="0"/>
    <n v="1005"/>
    <x v="12"/>
    <x v="0"/>
    <x v="15"/>
    <n v="3040"/>
    <x v="78"/>
    <n v="4046"/>
    <x v="49"/>
    <s v="B 12"/>
    <n v="1"/>
    <n v="1358"/>
    <x v="377"/>
    <s v="Annual"/>
    <n v="1"/>
    <n v="1"/>
    <n v="70752"/>
    <n v="70752"/>
  </r>
  <r>
    <x v="0"/>
    <n v="33"/>
    <x v="11"/>
    <x v="0"/>
    <x v="0"/>
    <n v="1005"/>
    <x v="12"/>
    <x v="0"/>
    <x v="15"/>
    <n v="3040"/>
    <x v="78"/>
    <n v="4046"/>
    <x v="49"/>
    <s v="B 12"/>
    <n v="1"/>
    <n v="1358"/>
    <x v="377"/>
    <s v="Annual"/>
    <n v="4"/>
    <n v="1"/>
    <n v="67608"/>
    <n v="270432"/>
  </r>
  <r>
    <x v="0"/>
    <n v="33"/>
    <x v="11"/>
    <x v="0"/>
    <x v="0"/>
    <n v="1005"/>
    <x v="12"/>
    <x v="0"/>
    <x v="15"/>
    <n v="3040"/>
    <x v="78"/>
    <n v="4046"/>
    <x v="49"/>
    <s v="G 05"/>
    <n v="1"/>
    <n v="1357"/>
    <x v="378"/>
    <s v="Annual"/>
    <n v="1"/>
    <n v="1"/>
    <n v="92940"/>
    <n v="92940"/>
  </r>
  <r>
    <x v="0"/>
    <n v="33"/>
    <x v="11"/>
    <x v="0"/>
    <x v="0"/>
    <n v="1005"/>
    <x v="12"/>
    <x v="0"/>
    <x v="15"/>
    <n v="3040"/>
    <x v="78"/>
    <n v="4046"/>
    <x v="49"/>
    <s v="G 05"/>
    <n v="1"/>
    <n v="1357"/>
    <x v="378"/>
    <s v="Annual"/>
    <n v="1"/>
    <n v="1"/>
    <n v="88524"/>
    <n v="88524"/>
  </r>
  <r>
    <x v="0"/>
    <n v="33"/>
    <x v="11"/>
    <x v="0"/>
    <x v="0"/>
    <n v="1005"/>
    <x v="12"/>
    <x v="0"/>
    <x v="15"/>
    <n v="3040"/>
    <x v="78"/>
    <n v="4046"/>
    <x v="49"/>
    <s v="G 05"/>
    <n v="1"/>
    <n v="1357"/>
    <x v="378"/>
    <s v="Annual"/>
    <n v="2"/>
    <n v="1"/>
    <n v="84192"/>
    <n v="168384"/>
  </r>
  <r>
    <x v="0"/>
    <n v="33"/>
    <x v="11"/>
    <x v="0"/>
    <x v="0"/>
    <n v="1005"/>
    <x v="12"/>
    <x v="0"/>
    <x v="15"/>
    <n v="3040"/>
    <x v="78"/>
    <n v="4046"/>
    <x v="49"/>
    <s v="G 05"/>
    <n v="1"/>
    <n v="1357"/>
    <x v="378"/>
    <s v="Annual"/>
    <n v="3"/>
    <n v="1"/>
    <n v="80196"/>
    <n v="240588"/>
  </r>
  <r>
    <x v="0"/>
    <n v="33"/>
    <x v="11"/>
    <x v="0"/>
    <x v="0"/>
    <n v="1005"/>
    <x v="12"/>
    <x v="0"/>
    <x v="15"/>
    <n v="3040"/>
    <x v="78"/>
    <n v="4046"/>
    <x v="49"/>
    <s v="G 05"/>
    <n v="1"/>
    <n v="1357"/>
    <x v="378"/>
    <s v="Annual"/>
    <n v="1"/>
    <n v="1"/>
    <n v="74160"/>
    <n v="74160"/>
  </r>
  <r>
    <x v="0"/>
    <n v="33"/>
    <x v="11"/>
    <x v="0"/>
    <x v="0"/>
    <n v="1005"/>
    <x v="12"/>
    <x v="0"/>
    <x v="15"/>
    <n v="3040"/>
    <x v="78"/>
    <n v="4046"/>
    <x v="49"/>
    <s v="GY 12"/>
    <n v="20"/>
    <n v="1356"/>
    <x v="379"/>
    <s v="Annual"/>
    <n v="1"/>
    <n v="1"/>
    <n v="126756"/>
    <n v="126756"/>
  </r>
  <r>
    <x v="0"/>
    <n v="33"/>
    <x v="11"/>
    <x v="0"/>
    <x v="0"/>
    <n v="1005"/>
    <x v="12"/>
    <x v="0"/>
    <x v="15"/>
    <n v="3040"/>
    <x v="78"/>
    <n v="4046"/>
    <x v="49"/>
    <s v="X 33"/>
    <n v="10"/>
    <n v="644"/>
    <x v="380"/>
    <s v="Annual"/>
    <n v="1"/>
    <n v="1"/>
    <n v="121668"/>
    <n v="121668"/>
  </r>
  <r>
    <x v="0"/>
    <n v="33"/>
    <x v="11"/>
    <x v="0"/>
    <x v="0"/>
    <n v="1005"/>
    <x v="12"/>
    <x v="0"/>
    <x v="15"/>
    <n v="3040"/>
    <x v="78"/>
    <n v="4046"/>
    <x v="49"/>
    <s v="1 00"/>
    <n v="0"/>
    <n v="15"/>
    <x v="37"/>
    <s v="Annual"/>
    <n v="0"/>
    <n v="0"/>
    <n v="49196"/>
    <n v="49196"/>
  </r>
  <r>
    <x v="0"/>
    <n v="33"/>
    <x v="11"/>
    <x v="0"/>
    <x v="0"/>
    <n v="1005"/>
    <x v="12"/>
    <x v="0"/>
    <x v="15"/>
    <n v="3621"/>
    <x v="79"/>
    <n v="4047"/>
    <x v="50"/>
    <s v="X 32"/>
    <n v="9"/>
    <n v="1696"/>
    <x v="381"/>
    <s v="Annual"/>
    <n v="1"/>
    <n v="1"/>
    <n v="175512"/>
    <n v="175512"/>
  </r>
  <r>
    <x v="0"/>
    <n v="33"/>
    <x v="11"/>
    <x v="0"/>
    <x v="0"/>
    <n v="1005"/>
    <x v="12"/>
    <x v="0"/>
    <x v="15"/>
    <n v="3621"/>
    <x v="79"/>
    <n v="4047"/>
    <x v="50"/>
    <s v="GY 07"/>
    <n v="10"/>
    <n v="1386"/>
    <x v="382"/>
    <s v="Annual"/>
    <n v="1"/>
    <n v="1"/>
    <n v="76020"/>
    <n v="76020"/>
  </r>
  <r>
    <x v="0"/>
    <n v="33"/>
    <x v="11"/>
    <x v="0"/>
    <x v="0"/>
    <n v="1005"/>
    <x v="12"/>
    <x v="0"/>
    <x v="15"/>
    <n v="3621"/>
    <x v="79"/>
    <n v="4047"/>
    <x v="50"/>
    <s v="X 33"/>
    <n v="9"/>
    <n v="1332"/>
    <x v="383"/>
    <s v="Annual"/>
    <n v="1"/>
    <n v="1"/>
    <n v="137532"/>
    <n v="137532"/>
  </r>
  <r>
    <x v="0"/>
    <n v="33"/>
    <x v="11"/>
    <x v="0"/>
    <x v="0"/>
    <n v="1005"/>
    <x v="12"/>
    <x v="0"/>
    <x v="15"/>
    <n v="3621"/>
    <x v="79"/>
    <n v="4047"/>
    <x v="50"/>
    <s v="BX 17"/>
    <n v="20"/>
    <n v="1331"/>
    <x v="248"/>
    <s v="Annual"/>
    <n v="1"/>
    <n v="1"/>
    <n v="85128"/>
    <n v="85128"/>
  </r>
  <r>
    <x v="0"/>
    <n v="33"/>
    <x v="11"/>
    <x v="0"/>
    <x v="0"/>
    <n v="1005"/>
    <x v="12"/>
    <x v="0"/>
    <x v="15"/>
    <n v="3621"/>
    <x v="79"/>
    <n v="4047"/>
    <x v="50"/>
    <s v="1 00"/>
    <n v="0"/>
    <n v="15"/>
    <x v="37"/>
    <s v="Annual"/>
    <n v="0"/>
    <n v="0"/>
    <n v="8301"/>
    <n v="8301"/>
  </r>
  <r>
    <x v="0"/>
    <n v="33"/>
    <x v="11"/>
    <x v="0"/>
    <x v="0"/>
    <n v="1005"/>
    <x v="12"/>
    <x v="0"/>
    <x v="15"/>
    <n v="3621"/>
    <x v="79"/>
    <n v="4048"/>
    <x v="51"/>
    <s v="X 31"/>
    <n v="9"/>
    <n v="9813"/>
    <x v="216"/>
    <s v="Annual"/>
    <n v="1"/>
    <n v="1"/>
    <n v="188400"/>
    <n v="188400"/>
  </r>
  <r>
    <x v="0"/>
    <n v="33"/>
    <x v="11"/>
    <x v="0"/>
    <x v="0"/>
    <n v="1005"/>
    <x v="12"/>
    <x v="0"/>
    <x v="15"/>
    <n v="3621"/>
    <x v="79"/>
    <n v="4048"/>
    <x v="51"/>
    <s v="X 32"/>
    <n v="9"/>
    <n v="9679"/>
    <x v="81"/>
    <s v="Annual"/>
    <n v="1"/>
    <n v="1"/>
    <n v="157332"/>
    <n v="157332"/>
  </r>
  <r>
    <x v="0"/>
    <n v="33"/>
    <x v="11"/>
    <x v="0"/>
    <x v="0"/>
    <n v="1005"/>
    <x v="12"/>
    <x v="0"/>
    <x v="15"/>
    <n v="3621"/>
    <x v="79"/>
    <n v="4048"/>
    <x v="51"/>
    <s v="GY 07"/>
    <n v="20"/>
    <n v="1347"/>
    <x v="362"/>
    <s v="Annual"/>
    <n v="1"/>
    <n v="1"/>
    <n v="76020"/>
    <n v="76020"/>
  </r>
  <r>
    <x v="0"/>
    <n v="33"/>
    <x v="11"/>
    <x v="0"/>
    <x v="0"/>
    <n v="1005"/>
    <x v="12"/>
    <x v="0"/>
    <x v="15"/>
    <n v="3621"/>
    <x v="79"/>
    <n v="4048"/>
    <x v="51"/>
    <s v="X 33"/>
    <n v="9"/>
    <n v="313"/>
    <x v="220"/>
    <s v="Annual"/>
    <n v="1"/>
    <n v="1"/>
    <n v="137532"/>
    <n v="137532"/>
  </r>
  <r>
    <x v="0"/>
    <n v="33"/>
    <x v="11"/>
    <x v="0"/>
    <x v="0"/>
    <n v="1005"/>
    <x v="12"/>
    <x v="0"/>
    <x v="15"/>
    <n v="3621"/>
    <x v="79"/>
    <n v="4048"/>
    <x v="51"/>
    <s v="1 00"/>
    <n v="0"/>
    <n v="15"/>
    <x v="37"/>
    <s v="Annual"/>
    <n v="0"/>
    <n v="0"/>
    <n v="14847"/>
    <n v="14847"/>
  </r>
  <r>
    <x v="0"/>
    <n v="35"/>
    <x v="12"/>
    <x v="0"/>
    <x v="0"/>
    <n v="1005"/>
    <x v="13"/>
    <x v="0"/>
    <x v="16"/>
    <n v="3006"/>
    <x v="80"/>
    <n v="4006"/>
    <x v="23"/>
    <s v="1 00"/>
    <n v="9"/>
    <n v="9935"/>
    <x v="384"/>
    <s v="Annual"/>
    <n v="1"/>
    <n v="1"/>
    <n v="212724"/>
    <n v="212724"/>
  </r>
  <r>
    <x v="0"/>
    <n v="35"/>
    <x v="12"/>
    <x v="0"/>
    <x v="0"/>
    <n v="1005"/>
    <x v="13"/>
    <x v="0"/>
    <x v="16"/>
    <n v="3006"/>
    <x v="80"/>
    <n v="4006"/>
    <x v="23"/>
    <s v="X 31"/>
    <n v="0"/>
    <n v="9726"/>
    <x v="385"/>
    <s v="Annual"/>
    <n v="1"/>
    <n v="1"/>
    <n v="188400"/>
    <n v="188400"/>
  </r>
  <r>
    <x v="0"/>
    <n v="35"/>
    <x v="12"/>
    <x v="0"/>
    <x v="0"/>
    <n v="1005"/>
    <x v="13"/>
    <x v="0"/>
    <x v="16"/>
    <n v="3006"/>
    <x v="80"/>
    <n v="4006"/>
    <x v="23"/>
    <s v="X 32"/>
    <n v="9"/>
    <n v="1556"/>
    <x v="386"/>
    <s v="Annual"/>
    <n v="1"/>
    <n v="1"/>
    <n v="139140"/>
    <n v="139140"/>
  </r>
  <r>
    <x v="0"/>
    <n v="35"/>
    <x v="12"/>
    <x v="0"/>
    <x v="0"/>
    <n v="1005"/>
    <x v="13"/>
    <x v="0"/>
    <x v="16"/>
    <n v="3006"/>
    <x v="80"/>
    <n v="4006"/>
    <x v="23"/>
    <s v="X 33"/>
    <n v="9"/>
    <n v="1554"/>
    <x v="387"/>
    <s v="Annual"/>
    <n v="1"/>
    <n v="1"/>
    <n v="162672"/>
    <n v="162672"/>
  </r>
  <r>
    <x v="0"/>
    <n v="35"/>
    <x v="12"/>
    <x v="0"/>
    <x v="0"/>
    <n v="1005"/>
    <x v="13"/>
    <x v="0"/>
    <x v="16"/>
    <n v="3006"/>
    <x v="80"/>
    <n v="4006"/>
    <x v="23"/>
    <s v="X 33"/>
    <n v="9"/>
    <n v="1554"/>
    <x v="387"/>
    <s v="Annual"/>
    <n v="1"/>
    <n v="1"/>
    <n v="121668"/>
    <n v="121668"/>
  </r>
  <r>
    <x v="0"/>
    <n v="35"/>
    <x v="12"/>
    <x v="0"/>
    <x v="0"/>
    <n v="1005"/>
    <x v="13"/>
    <x v="0"/>
    <x v="16"/>
    <n v="3006"/>
    <x v="80"/>
    <n v="4006"/>
    <x v="23"/>
    <s v="X 33"/>
    <n v="0"/>
    <n v="1338"/>
    <x v="388"/>
    <s v="Annual"/>
    <n v="1"/>
    <n v="1"/>
    <n v="121668"/>
    <n v="121668"/>
  </r>
  <r>
    <x v="0"/>
    <n v="35"/>
    <x v="12"/>
    <x v="0"/>
    <x v="0"/>
    <n v="1005"/>
    <x v="13"/>
    <x v="0"/>
    <x v="16"/>
    <n v="3006"/>
    <x v="80"/>
    <n v="4006"/>
    <x v="23"/>
    <s v="BX 16"/>
    <n v="10"/>
    <n v="1315"/>
    <x v="318"/>
    <s v="Annual"/>
    <n v="1"/>
    <n v="1"/>
    <n v="118956"/>
    <n v="118956"/>
  </r>
  <r>
    <x v="0"/>
    <n v="35"/>
    <x v="12"/>
    <x v="0"/>
    <x v="0"/>
    <n v="1005"/>
    <x v="13"/>
    <x v="0"/>
    <x v="16"/>
    <n v="3006"/>
    <x v="80"/>
    <n v="4006"/>
    <x v="23"/>
    <s v="B 15"/>
    <n v="1"/>
    <n v="729"/>
    <x v="32"/>
    <s v="Annual"/>
    <n v="1"/>
    <n v="1"/>
    <n v="102588"/>
    <n v="102588"/>
  </r>
  <r>
    <x v="0"/>
    <n v="35"/>
    <x v="12"/>
    <x v="0"/>
    <x v="0"/>
    <n v="1005"/>
    <x v="13"/>
    <x v="0"/>
    <x v="16"/>
    <n v="3006"/>
    <x v="80"/>
    <n v="4006"/>
    <x v="23"/>
    <s v="B 15"/>
    <n v="1"/>
    <n v="729"/>
    <x v="32"/>
    <s v="Annual"/>
    <n v="1"/>
    <n v="1"/>
    <n v="89244"/>
    <n v="89244"/>
  </r>
  <r>
    <x v="0"/>
    <n v="35"/>
    <x v="12"/>
    <x v="0"/>
    <x v="0"/>
    <n v="1005"/>
    <x v="13"/>
    <x v="0"/>
    <x v="16"/>
    <n v="3006"/>
    <x v="80"/>
    <n v="4006"/>
    <x v="23"/>
    <s v="PX 02"/>
    <n v="9"/>
    <n v="705"/>
    <x v="33"/>
    <s v="Annual"/>
    <n v="1"/>
    <n v="1"/>
    <n v="123372"/>
    <n v="123372"/>
  </r>
  <r>
    <x v="0"/>
    <n v="35"/>
    <x v="12"/>
    <x v="0"/>
    <x v="0"/>
    <n v="1005"/>
    <x v="13"/>
    <x v="0"/>
    <x v="16"/>
    <n v="3006"/>
    <x v="80"/>
    <n v="4006"/>
    <x v="23"/>
    <s v="B 12"/>
    <n v="1"/>
    <s v="03A8"/>
    <x v="88"/>
    <s v="Annual"/>
    <n v="1"/>
    <n v="1"/>
    <n v="62544"/>
    <n v="62544"/>
  </r>
  <r>
    <x v="0"/>
    <n v="35"/>
    <x v="12"/>
    <x v="0"/>
    <x v="0"/>
    <n v="1005"/>
    <x v="13"/>
    <x v="0"/>
    <x v="16"/>
    <n v="3006"/>
    <x v="80"/>
    <n v="4006"/>
    <x v="23"/>
    <s v="BX 13"/>
    <n v="20"/>
    <n v="366"/>
    <x v="219"/>
    <s v="Annual"/>
    <n v="1"/>
    <n v="1"/>
    <n v="60660"/>
    <n v="60660"/>
  </r>
  <r>
    <x v="0"/>
    <n v="35"/>
    <x v="12"/>
    <x v="0"/>
    <x v="0"/>
    <n v="1005"/>
    <x v="13"/>
    <x v="0"/>
    <x v="16"/>
    <n v="3006"/>
    <x v="80"/>
    <n v="4006"/>
    <x v="23"/>
    <s v="BX 15"/>
    <n v="10"/>
    <n v="321"/>
    <x v="389"/>
    <s v="Annual"/>
    <n v="1"/>
    <n v="1"/>
    <n v="80124"/>
    <n v="80124"/>
  </r>
  <r>
    <x v="0"/>
    <n v="35"/>
    <x v="12"/>
    <x v="0"/>
    <x v="0"/>
    <n v="1005"/>
    <x v="13"/>
    <x v="0"/>
    <x v="16"/>
    <n v="3006"/>
    <x v="80"/>
    <n v="4006"/>
    <x v="23"/>
    <s v="GY 11"/>
    <n v="20"/>
    <n v="195"/>
    <x v="390"/>
    <s v="Annual"/>
    <n v="1"/>
    <n v="1"/>
    <n v="106272"/>
    <n v="106272"/>
  </r>
  <r>
    <x v="0"/>
    <n v="35"/>
    <x v="12"/>
    <x v="0"/>
    <x v="0"/>
    <n v="1005"/>
    <x v="13"/>
    <x v="0"/>
    <x v="16"/>
    <n v="3006"/>
    <x v="80"/>
    <n v="4006"/>
    <x v="23"/>
    <s v="1 00"/>
    <n v="0"/>
    <n v="15"/>
    <x v="37"/>
    <s v="Annual"/>
    <n v="0"/>
    <n v="0"/>
    <n v="43050"/>
    <n v="43050"/>
  </r>
  <r>
    <x v="0"/>
    <n v="35"/>
    <x v="12"/>
    <x v="0"/>
    <x v="0"/>
    <n v="1005"/>
    <x v="13"/>
    <x v="0"/>
    <x v="16"/>
    <n v="3006"/>
    <x v="80"/>
    <n v="4009"/>
    <x v="52"/>
    <s v="B 14"/>
    <n v="4"/>
    <n v="1912"/>
    <x v="222"/>
    <s v="Annual"/>
    <n v="1"/>
    <n v="1"/>
    <n v="113628"/>
    <n v="113628"/>
  </r>
  <r>
    <x v="0"/>
    <n v="35"/>
    <x v="12"/>
    <x v="0"/>
    <x v="0"/>
    <n v="1005"/>
    <x v="13"/>
    <x v="0"/>
    <x v="16"/>
    <n v="3006"/>
    <x v="80"/>
    <n v="4009"/>
    <x v="52"/>
    <s v="X 32"/>
    <n v="9"/>
    <n v="1556"/>
    <x v="386"/>
    <s v="Annual"/>
    <n v="1"/>
    <n v="1"/>
    <n v="175512"/>
    <n v="175512"/>
  </r>
  <r>
    <x v="0"/>
    <n v="35"/>
    <x v="12"/>
    <x v="0"/>
    <x v="0"/>
    <n v="1005"/>
    <x v="13"/>
    <x v="0"/>
    <x v="16"/>
    <n v="3006"/>
    <x v="80"/>
    <n v="4009"/>
    <x v="52"/>
    <s v="B 16"/>
    <n v="1"/>
    <n v="634"/>
    <x v="295"/>
    <s v="Annual"/>
    <n v="1"/>
    <n v="1"/>
    <n v="136908"/>
    <n v="136908"/>
  </r>
  <r>
    <x v="0"/>
    <n v="35"/>
    <x v="12"/>
    <x v="0"/>
    <x v="0"/>
    <n v="1005"/>
    <x v="13"/>
    <x v="0"/>
    <x v="16"/>
    <n v="3006"/>
    <x v="80"/>
    <n v="4009"/>
    <x v="52"/>
    <s v="X 33"/>
    <n v="0"/>
    <n v="601"/>
    <x v="332"/>
    <s v="Annual"/>
    <n v="1"/>
    <n v="1"/>
    <n v="146808"/>
    <n v="146808"/>
  </r>
  <r>
    <x v="0"/>
    <n v="35"/>
    <x v="12"/>
    <x v="0"/>
    <x v="0"/>
    <n v="1005"/>
    <x v="13"/>
    <x v="0"/>
    <x v="16"/>
    <n v="3006"/>
    <x v="80"/>
    <n v="4009"/>
    <x v="52"/>
    <s v="1 00"/>
    <n v="0"/>
    <n v="15"/>
    <x v="37"/>
    <s v="Annual"/>
    <n v="0"/>
    <n v="0"/>
    <n v="8796"/>
    <n v="8796"/>
  </r>
  <r>
    <x v="0"/>
    <n v="35"/>
    <x v="12"/>
    <x v="0"/>
    <x v="0"/>
    <n v="1005"/>
    <x v="13"/>
    <x v="0"/>
    <x v="16"/>
    <n v="3006"/>
    <x v="80"/>
    <n v="4010"/>
    <x v="53"/>
    <s v="2 0"/>
    <n v="53"/>
    <n v="9532"/>
    <x v="391"/>
    <s v="Hourly"/>
    <n v="1"/>
    <n v="1"/>
    <n v="51.4"/>
    <n v="106912"/>
  </r>
  <r>
    <x v="0"/>
    <n v="35"/>
    <x v="12"/>
    <x v="0"/>
    <x v="0"/>
    <n v="1005"/>
    <x v="13"/>
    <x v="0"/>
    <x v="16"/>
    <n v="3006"/>
    <x v="80"/>
    <n v="4010"/>
    <x v="53"/>
    <s v="2 0"/>
    <n v="53"/>
    <n v="1860"/>
    <x v="392"/>
    <s v="Hourly"/>
    <n v="1"/>
    <n v="1"/>
    <n v="52.5"/>
    <n v="109200"/>
  </r>
  <r>
    <x v="0"/>
    <n v="35"/>
    <x v="12"/>
    <x v="0"/>
    <x v="0"/>
    <n v="1005"/>
    <x v="13"/>
    <x v="0"/>
    <x v="16"/>
    <n v="3006"/>
    <x v="80"/>
    <n v="4010"/>
    <x v="53"/>
    <s v="X 32"/>
    <n v="9"/>
    <n v="1556"/>
    <x v="386"/>
    <s v="Annual"/>
    <n v="1"/>
    <n v="1"/>
    <n v="175512"/>
    <n v="175512"/>
  </r>
  <r>
    <x v="0"/>
    <n v="35"/>
    <x v="12"/>
    <x v="0"/>
    <x v="0"/>
    <n v="1005"/>
    <x v="13"/>
    <x v="0"/>
    <x v="16"/>
    <n v="3006"/>
    <x v="80"/>
    <n v="4010"/>
    <x v="53"/>
    <s v="B 16"/>
    <n v="1"/>
    <n v="634"/>
    <x v="295"/>
    <s v="Annual"/>
    <n v="1"/>
    <n v="1"/>
    <n v="102588"/>
    <n v="102588"/>
  </r>
  <r>
    <x v="0"/>
    <n v="35"/>
    <x v="12"/>
    <x v="0"/>
    <x v="0"/>
    <n v="1005"/>
    <x v="13"/>
    <x v="0"/>
    <x v="16"/>
    <n v="3006"/>
    <x v="80"/>
    <n v="4010"/>
    <x v="53"/>
    <s v="1 00"/>
    <n v="0"/>
    <n v="15"/>
    <x v="37"/>
    <s v="Annual"/>
    <n v="0"/>
    <n v="0"/>
    <n v="3807"/>
    <n v="3807"/>
  </r>
  <r>
    <x v="0"/>
    <n v="35"/>
    <x v="12"/>
    <x v="0"/>
    <x v="0"/>
    <n v="1005"/>
    <x v="13"/>
    <x v="0"/>
    <x v="16"/>
    <n v="3006"/>
    <x v="80"/>
    <n v="4010"/>
    <x v="53"/>
    <s v="1 00"/>
    <n v="0"/>
    <n v="12"/>
    <x v="291"/>
    <s v="Annual"/>
    <n v="0"/>
    <n v="0"/>
    <n v="3242"/>
    <n v="3242"/>
  </r>
  <r>
    <x v="0"/>
    <n v="35"/>
    <x v="12"/>
    <x v="0"/>
    <x v="0"/>
    <n v="1005"/>
    <x v="13"/>
    <x v="0"/>
    <x v="16"/>
    <n v="3006"/>
    <x v="80"/>
    <n v="4011"/>
    <x v="54"/>
    <s v="X 31"/>
    <n v="9"/>
    <n v="9815"/>
    <x v="393"/>
    <s v="Annual"/>
    <n v="1"/>
    <n v="1"/>
    <n v="149448"/>
    <n v="149448"/>
  </r>
  <r>
    <x v="0"/>
    <n v="35"/>
    <x v="12"/>
    <x v="0"/>
    <x v="0"/>
    <n v="1005"/>
    <x v="13"/>
    <x v="0"/>
    <x v="16"/>
    <n v="3006"/>
    <x v="80"/>
    <n v="4011"/>
    <x v="54"/>
    <s v="GY 12"/>
    <n v="20"/>
    <n v="1633"/>
    <x v="394"/>
    <s v="Annual"/>
    <n v="2"/>
    <n v="1"/>
    <n v="131124"/>
    <n v="262248"/>
  </r>
  <r>
    <x v="0"/>
    <n v="35"/>
    <x v="12"/>
    <x v="0"/>
    <x v="0"/>
    <n v="1005"/>
    <x v="13"/>
    <x v="0"/>
    <x v="16"/>
    <n v="3006"/>
    <x v="80"/>
    <n v="4011"/>
    <x v="54"/>
    <s v="GY 12"/>
    <n v="20"/>
    <n v="1633"/>
    <x v="394"/>
    <s v="Annual"/>
    <n v="2"/>
    <n v="1"/>
    <n v="115992"/>
    <n v="231984"/>
  </r>
  <r>
    <x v="0"/>
    <n v="35"/>
    <x v="12"/>
    <x v="0"/>
    <x v="0"/>
    <n v="1005"/>
    <x v="13"/>
    <x v="0"/>
    <x v="16"/>
    <n v="3006"/>
    <x v="80"/>
    <n v="4011"/>
    <x v="54"/>
    <s v="B 13"/>
    <n v="1"/>
    <n v="1617"/>
    <x v="338"/>
    <s v="Annual"/>
    <n v="1"/>
    <n v="1"/>
    <n v="68616"/>
    <n v="68616"/>
  </r>
  <r>
    <x v="0"/>
    <n v="35"/>
    <x v="12"/>
    <x v="0"/>
    <x v="0"/>
    <n v="1005"/>
    <x v="13"/>
    <x v="0"/>
    <x v="16"/>
    <n v="3006"/>
    <x v="80"/>
    <n v="4011"/>
    <x v="54"/>
    <s v="B 13"/>
    <n v="1"/>
    <n v="308"/>
    <x v="90"/>
    <s v="Annual"/>
    <n v="1"/>
    <n v="1"/>
    <n v="94452"/>
    <n v="94452"/>
  </r>
  <r>
    <x v="0"/>
    <n v="35"/>
    <x v="12"/>
    <x v="0"/>
    <x v="0"/>
    <n v="1005"/>
    <x v="13"/>
    <x v="0"/>
    <x v="16"/>
    <n v="3006"/>
    <x v="80"/>
    <n v="4011"/>
    <x v="54"/>
    <s v="1 00"/>
    <n v="0"/>
    <n v="15"/>
    <x v="37"/>
    <s v="Annual"/>
    <n v="0"/>
    <n v="0"/>
    <n v="9948"/>
    <n v="9948"/>
  </r>
  <r>
    <x v="0"/>
    <n v="35"/>
    <x v="12"/>
    <x v="0"/>
    <x v="0"/>
    <n v="1005"/>
    <x v="13"/>
    <x v="0"/>
    <x v="16"/>
    <n v="3012"/>
    <x v="81"/>
    <n v="4008"/>
    <x v="55"/>
    <s v="X 32"/>
    <n v="9"/>
    <n v="1556"/>
    <x v="386"/>
    <s v="Annual"/>
    <n v="1"/>
    <n v="1"/>
    <n v="139140"/>
    <n v="139140"/>
  </r>
  <r>
    <x v="0"/>
    <n v="35"/>
    <x v="12"/>
    <x v="0"/>
    <x v="0"/>
    <n v="1005"/>
    <x v="13"/>
    <x v="0"/>
    <x v="16"/>
    <n v="3012"/>
    <x v="81"/>
    <n v="4008"/>
    <x v="55"/>
    <s v="X 33"/>
    <n v="9"/>
    <n v="1554"/>
    <x v="387"/>
    <s v="Annual"/>
    <n v="1"/>
    <n v="1"/>
    <n v="121668"/>
    <n v="121668"/>
  </r>
  <r>
    <x v="0"/>
    <n v="35"/>
    <x v="12"/>
    <x v="0"/>
    <x v="0"/>
    <n v="1005"/>
    <x v="13"/>
    <x v="0"/>
    <x v="16"/>
    <n v="3012"/>
    <x v="81"/>
    <n v="4008"/>
    <x v="55"/>
    <s v="BX 18"/>
    <n v="0"/>
    <n v="1508"/>
    <x v="395"/>
    <s v="Annual"/>
    <n v="1"/>
    <n v="1"/>
    <n v="143232"/>
    <n v="143232"/>
  </r>
  <r>
    <x v="0"/>
    <n v="35"/>
    <x v="12"/>
    <x v="0"/>
    <x v="0"/>
    <n v="1005"/>
    <x v="13"/>
    <x v="0"/>
    <x v="16"/>
    <n v="3012"/>
    <x v="81"/>
    <n v="4008"/>
    <x v="55"/>
    <s v="BX 18"/>
    <n v="0"/>
    <n v="1508"/>
    <x v="395"/>
    <s v="Annual"/>
    <n v="1"/>
    <n v="1"/>
    <n v="107340"/>
    <n v="107340"/>
  </r>
  <r>
    <x v="0"/>
    <n v="35"/>
    <x v="12"/>
    <x v="0"/>
    <x v="0"/>
    <n v="1005"/>
    <x v="13"/>
    <x v="0"/>
    <x v="16"/>
    <n v="3012"/>
    <x v="81"/>
    <n v="4008"/>
    <x v="55"/>
    <s v="BX 18"/>
    <n v="0"/>
    <n v="1508"/>
    <x v="395"/>
    <s v="Annual"/>
    <n v="2"/>
    <n v="1"/>
    <n v="102444"/>
    <n v="204888"/>
  </r>
  <r>
    <x v="0"/>
    <n v="35"/>
    <x v="12"/>
    <x v="0"/>
    <x v="0"/>
    <n v="1005"/>
    <x v="13"/>
    <x v="0"/>
    <x v="16"/>
    <n v="3012"/>
    <x v="81"/>
    <n v="4008"/>
    <x v="55"/>
    <s v="BX 18"/>
    <n v="0"/>
    <n v="1508"/>
    <x v="395"/>
    <s v="Annual"/>
    <n v="1"/>
    <n v="1"/>
    <n v="97836"/>
    <n v="97836"/>
  </r>
  <r>
    <x v="0"/>
    <n v="35"/>
    <x v="12"/>
    <x v="0"/>
    <x v="0"/>
    <n v="1005"/>
    <x v="13"/>
    <x v="0"/>
    <x v="16"/>
    <n v="3012"/>
    <x v="81"/>
    <n v="4008"/>
    <x v="55"/>
    <s v="BX 18"/>
    <n v="0"/>
    <n v="1508"/>
    <x v="395"/>
    <s v="Annual"/>
    <n v="5"/>
    <n v="1"/>
    <n v="89112"/>
    <n v="445560"/>
  </r>
  <r>
    <x v="0"/>
    <n v="35"/>
    <x v="12"/>
    <x v="0"/>
    <x v="0"/>
    <n v="1005"/>
    <x v="13"/>
    <x v="0"/>
    <x v="16"/>
    <n v="3012"/>
    <x v="81"/>
    <n v="4008"/>
    <x v="55"/>
    <s v="1 00"/>
    <n v="0"/>
    <n v="15"/>
    <x v="37"/>
    <s v="Annual"/>
    <n v="0"/>
    <n v="0"/>
    <n v="12615"/>
    <n v="12615"/>
  </r>
  <r>
    <x v="0"/>
    <n v="35"/>
    <x v="12"/>
    <x v="0"/>
    <x v="0"/>
    <n v="1005"/>
    <x v="13"/>
    <x v="0"/>
    <x v="16"/>
    <n v="3012"/>
    <x v="81"/>
    <n v="4026"/>
    <x v="56"/>
    <s v="B 10"/>
    <n v="1"/>
    <s v="03A7"/>
    <x v="4"/>
    <s v="Annual"/>
    <n v="1"/>
    <n v="1"/>
    <n v="56124"/>
    <n v="56124"/>
  </r>
  <r>
    <x v="0"/>
    <n v="35"/>
    <x v="12"/>
    <x v="0"/>
    <x v="0"/>
    <n v="1005"/>
    <x v="13"/>
    <x v="0"/>
    <x v="16"/>
    <n v="3012"/>
    <x v="81"/>
    <n v="4026"/>
    <x v="56"/>
    <s v="B 10"/>
    <n v="1"/>
    <s v="03A7"/>
    <x v="4"/>
    <s v="Annual"/>
    <n v="1"/>
    <n v="1"/>
    <n v="51936"/>
    <n v="51936"/>
  </r>
  <r>
    <x v="0"/>
    <n v="35"/>
    <x v="12"/>
    <x v="0"/>
    <x v="0"/>
    <n v="1005"/>
    <x v="13"/>
    <x v="0"/>
    <x v="16"/>
    <n v="3012"/>
    <x v="81"/>
    <n v="4026"/>
    <x v="56"/>
    <s v="1 00"/>
    <n v="0"/>
    <n v="15"/>
    <x v="37"/>
    <s v="Annual"/>
    <n v="0"/>
    <n v="0"/>
    <n v="1917"/>
    <n v="1917"/>
  </r>
  <r>
    <x v="0"/>
    <n v="35"/>
    <x v="12"/>
    <x v="0"/>
    <x v="0"/>
    <n v="1005"/>
    <x v="13"/>
    <x v="0"/>
    <x v="16"/>
    <n v="3012"/>
    <x v="81"/>
    <n v="4106"/>
    <x v="57"/>
    <s v="X 32"/>
    <n v="9"/>
    <n v="1556"/>
    <x v="386"/>
    <s v="Annual"/>
    <n v="1"/>
    <n v="1"/>
    <n v="167964"/>
    <n v="167964"/>
  </r>
  <r>
    <x v="0"/>
    <n v="35"/>
    <x v="12"/>
    <x v="0"/>
    <x v="0"/>
    <n v="1005"/>
    <x v="13"/>
    <x v="0"/>
    <x v="16"/>
    <n v="3012"/>
    <x v="81"/>
    <n v="4106"/>
    <x v="57"/>
    <s v="X 33"/>
    <n v="9"/>
    <n v="1554"/>
    <x v="387"/>
    <s v="Annual"/>
    <n v="1"/>
    <n v="1"/>
    <n v="146808"/>
    <n v="146808"/>
  </r>
  <r>
    <x v="0"/>
    <n v="35"/>
    <x v="12"/>
    <x v="0"/>
    <x v="0"/>
    <n v="1005"/>
    <x v="13"/>
    <x v="0"/>
    <x v="16"/>
    <n v="3012"/>
    <x v="81"/>
    <n v="4106"/>
    <x v="57"/>
    <s v="BX 18"/>
    <n v="0"/>
    <n v="1508"/>
    <x v="395"/>
    <s v="Annual"/>
    <n v="2"/>
    <n v="1"/>
    <n v="102444"/>
    <n v="204888"/>
  </r>
  <r>
    <x v="0"/>
    <n v="35"/>
    <x v="12"/>
    <x v="0"/>
    <x v="0"/>
    <n v="1005"/>
    <x v="13"/>
    <x v="0"/>
    <x v="16"/>
    <n v="3012"/>
    <x v="81"/>
    <n v="4106"/>
    <x v="57"/>
    <s v="BX 18"/>
    <n v="0"/>
    <n v="1508"/>
    <x v="395"/>
    <s v="Annual"/>
    <n v="1"/>
    <n v="1"/>
    <n v="93384"/>
    <n v="93384"/>
  </r>
  <r>
    <x v="0"/>
    <n v="35"/>
    <x v="12"/>
    <x v="0"/>
    <x v="0"/>
    <n v="1005"/>
    <x v="13"/>
    <x v="0"/>
    <x v="16"/>
    <n v="3012"/>
    <x v="81"/>
    <n v="4106"/>
    <x v="57"/>
    <s v="BX 18"/>
    <n v="0"/>
    <n v="1508"/>
    <x v="395"/>
    <s v="Annual"/>
    <n v="2"/>
    <n v="1"/>
    <n v="89112"/>
    <n v="178224"/>
  </r>
  <r>
    <x v="0"/>
    <n v="35"/>
    <x v="12"/>
    <x v="0"/>
    <x v="0"/>
    <n v="1005"/>
    <x v="13"/>
    <x v="0"/>
    <x v="16"/>
    <n v="3012"/>
    <x v="81"/>
    <n v="4106"/>
    <x v="57"/>
    <s v="B 15"/>
    <n v="1"/>
    <n v="1507"/>
    <x v="396"/>
    <s v="Annual"/>
    <n v="1"/>
    <n v="1"/>
    <n v="143400"/>
    <n v="143400"/>
  </r>
  <r>
    <x v="0"/>
    <n v="35"/>
    <x v="12"/>
    <x v="0"/>
    <x v="0"/>
    <n v="1005"/>
    <x v="13"/>
    <x v="0"/>
    <x v="16"/>
    <n v="3012"/>
    <x v="81"/>
    <n v="4106"/>
    <x v="57"/>
    <s v="B 15"/>
    <n v="1"/>
    <n v="1507"/>
    <x v="396"/>
    <s v="Annual"/>
    <n v="1"/>
    <n v="1"/>
    <n v="113628"/>
    <n v="113628"/>
  </r>
  <r>
    <x v="0"/>
    <n v="35"/>
    <x v="12"/>
    <x v="0"/>
    <x v="0"/>
    <n v="1005"/>
    <x v="13"/>
    <x v="0"/>
    <x v="16"/>
    <n v="3012"/>
    <x v="81"/>
    <n v="4106"/>
    <x v="57"/>
    <s v="B 15"/>
    <n v="1"/>
    <n v="1507"/>
    <x v="396"/>
    <s v="Annual"/>
    <n v="1"/>
    <n v="1"/>
    <n v="82644"/>
    <n v="82644"/>
  </r>
  <r>
    <x v="0"/>
    <n v="35"/>
    <x v="12"/>
    <x v="0"/>
    <x v="0"/>
    <n v="1005"/>
    <x v="13"/>
    <x v="0"/>
    <x v="16"/>
    <n v="3012"/>
    <x v="81"/>
    <n v="4106"/>
    <x v="57"/>
    <s v="1 00"/>
    <n v="0"/>
    <n v="15"/>
    <x v="37"/>
    <s v="Annual"/>
    <n v="0"/>
    <n v="0"/>
    <n v="18392"/>
    <n v="18392"/>
  </r>
  <r>
    <x v="0"/>
    <n v="35"/>
    <x v="12"/>
    <x v="0"/>
    <x v="0"/>
    <n v="1005"/>
    <x v="13"/>
    <x v="0"/>
    <x v="16"/>
    <n v="3012"/>
    <x v="81"/>
    <n v="4115"/>
    <x v="58"/>
    <s v="X 32"/>
    <n v="9"/>
    <n v="1557"/>
    <x v="397"/>
    <s v="Annual"/>
    <n v="1"/>
    <n v="1"/>
    <n v="175512"/>
    <n v="175512"/>
  </r>
  <r>
    <x v="0"/>
    <n v="35"/>
    <x v="12"/>
    <x v="0"/>
    <x v="0"/>
    <n v="1005"/>
    <x v="13"/>
    <x v="0"/>
    <x v="16"/>
    <n v="3012"/>
    <x v="81"/>
    <n v="4115"/>
    <x v="58"/>
    <s v="X 33"/>
    <n v="9"/>
    <n v="1554"/>
    <x v="387"/>
    <s v="Annual"/>
    <n v="1"/>
    <n v="1"/>
    <n v="146808"/>
    <n v="146808"/>
  </r>
  <r>
    <x v="0"/>
    <n v="35"/>
    <x v="12"/>
    <x v="0"/>
    <x v="0"/>
    <n v="1005"/>
    <x v="13"/>
    <x v="0"/>
    <x v="16"/>
    <n v="3012"/>
    <x v="81"/>
    <n v="4115"/>
    <x v="58"/>
    <s v="BX 18"/>
    <n v="0"/>
    <n v="1508"/>
    <x v="395"/>
    <s v="Annual"/>
    <n v="3"/>
    <n v="1"/>
    <n v="102444"/>
    <n v="307332"/>
  </r>
  <r>
    <x v="0"/>
    <n v="35"/>
    <x v="12"/>
    <x v="0"/>
    <x v="0"/>
    <n v="1005"/>
    <x v="13"/>
    <x v="0"/>
    <x v="16"/>
    <n v="3012"/>
    <x v="81"/>
    <n v="4115"/>
    <x v="58"/>
    <s v="BX 18"/>
    <n v="0"/>
    <n v="1508"/>
    <x v="395"/>
    <s v="Annual"/>
    <n v="1"/>
    <n v="1"/>
    <n v="97836"/>
    <n v="97836"/>
  </r>
  <r>
    <x v="0"/>
    <n v="35"/>
    <x v="12"/>
    <x v="0"/>
    <x v="0"/>
    <n v="1005"/>
    <x v="13"/>
    <x v="0"/>
    <x v="16"/>
    <n v="3012"/>
    <x v="81"/>
    <n v="4115"/>
    <x v="58"/>
    <s v="BX 18"/>
    <n v="0"/>
    <n v="1508"/>
    <x v="395"/>
    <s v="Annual"/>
    <n v="1"/>
    <n v="1"/>
    <n v="93384"/>
    <n v="93384"/>
  </r>
  <r>
    <x v="0"/>
    <n v="35"/>
    <x v="12"/>
    <x v="0"/>
    <x v="0"/>
    <n v="1005"/>
    <x v="13"/>
    <x v="0"/>
    <x v="16"/>
    <n v="3012"/>
    <x v="81"/>
    <n v="4115"/>
    <x v="58"/>
    <s v="BX 18"/>
    <n v="0"/>
    <n v="1508"/>
    <x v="395"/>
    <s v="Annual"/>
    <n v="2"/>
    <n v="1"/>
    <n v="89112"/>
    <n v="178224"/>
  </r>
  <r>
    <x v="0"/>
    <n v="35"/>
    <x v="12"/>
    <x v="0"/>
    <x v="0"/>
    <n v="1005"/>
    <x v="13"/>
    <x v="0"/>
    <x v="16"/>
    <n v="3012"/>
    <x v="81"/>
    <n v="4115"/>
    <x v="58"/>
    <s v="1 00"/>
    <n v="0"/>
    <n v="15"/>
    <x v="37"/>
    <s v="Annual"/>
    <n v="0"/>
    <n v="0"/>
    <n v="17712"/>
    <n v="17712"/>
  </r>
  <r>
    <x v="0"/>
    <n v="35"/>
    <x v="12"/>
    <x v="0"/>
    <x v="0"/>
    <n v="1005"/>
    <x v="13"/>
    <x v="0"/>
    <x v="16"/>
    <n v="3012"/>
    <x v="81"/>
    <n v="4138"/>
    <x v="59"/>
    <s v="X 32"/>
    <n v="9"/>
    <n v="1556"/>
    <x v="386"/>
    <s v="Annual"/>
    <n v="1"/>
    <n v="1"/>
    <n v="157332"/>
    <n v="157332"/>
  </r>
  <r>
    <x v="0"/>
    <n v="35"/>
    <x v="12"/>
    <x v="0"/>
    <x v="0"/>
    <n v="1005"/>
    <x v="13"/>
    <x v="0"/>
    <x v="16"/>
    <n v="3012"/>
    <x v="81"/>
    <n v="4138"/>
    <x v="59"/>
    <s v="BX 18"/>
    <n v="10"/>
    <n v="1512"/>
    <x v="398"/>
    <s v="Annual"/>
    <n v="3"/>
    <n v="1"/>
    <n v="93384"/>
    <n v="280152"/>
  </r>
  <r>
    <x v="0"/>
    <n v="35"/>
    <x v="12"/>
    <x v="0"/>
    <x v="0"/>
    <n v="1005"/>
    <x v="13"/>
    <x v="0"/>
    <x v="16"/>
    <n v="3012"/>
    <x v="81"/>
    <n v="4138"/>
    <x v="59"/>
    <s v="BX 18"/>
    <n v="10"/>
    <n v="1511"/>
    <x v="399"/>
    <s v="Annual"/>
    <n v="1"/>
    <n v="1"/>
    <n v="97836"/>
    <n v="97836"/>
  </r>
  <r>
    <x v="0"/>
    <n v="35"/>
    <x v="12"/>
    <x v="0"/>
    <x v="0"/>
    <n v="1005"/>
    <x v="13"/>
    <x v="0"/>
    <x v="16"/>
    <n v="3012"/>
    <x v="81"/>
    <n v="4138"/>
    <x v="59"/>
    <s v="BX 18"/>
    <n v="10"/>
    <n v="1511"/>
    <x v="399"/>
    <s v="Annual"/>
    <n v="1"/>
    <n v="1"/>
    <n v="93384"/>
    <n v="93384"/>
  </r>
  <r>
    <x v="0"/>
    <n v="35"/>
    <x v="12"/>
    <x v="0"/>
    <x v="0"/>
    <n v="1005"/>
    <x v="13"/>
    <x v="0"/>
    <x v="16"/>
    <n v="3012"/>
    <x v="81"/>
    <n v="4138"/>
    <x v="59"/>
    <s v="BX 18"/>
    <n v="10"/>
    <n v="1511"/>
    <x v="399"/>
    <s v="Annual"/>
    <n v="1"/>
    <n v="1"/>
    <n v="89112"/>
    <n v="89112"/>
  </r>
  <r>
    <x v="0"/>
    <n v="35"/>
    <x v="12"/>
    <x v="0"/>
    <x v="0"/>
    <n v="1005"/>
    <x v="13"/>
    <x v="0"/>
    <x v="16"/>
    <n v="3012"/>
    <x v="81"/>
    <n v="4138"/>
    <x v="59"/>
    <s v="GY 08"/>
    <n v="20"/>
    <n v="1141"/>
    <x v="79"/>
    <s v="Annual"/>
    <n v="1"/>
    <n v="1"/>
    <n v="85236"/>
    <n v="85236"/>
  </r>
  <r>
    <x v="0"/>
    <n v="35"/>
    <x v="12"/>
    <x v="0"/>
    <x v="0"/>
    <n v="1005"/>
    <x v="13"/>
    <x v="0"/>
    <x v="16"/>
    <n v="3012"/>
    <x v="81"/>
    <n v="4138"/>
    <x v="59"/>
    <s v="GY 08"/>
    <n v="20"/>
    <n v="1141"/>
    <x v="79"/>
    <s v="Annual"/>
    <n v="1"/>
    <n v="1"/>
    <n v="82884"/>
    <n v="82884"/>
  </r>
  <r>
    <x v="0"/>
    <n v="35"/>
    <x v="12"/>
    <x v="0"/>
    <x v="0"/>
    <n v="1005"/>
    <x v="13"/>
    <x v="0"/>
    <x v="16"/>
    <n v="3012"/>
    <x v="81"/>
    <n v="4138"/>
    <x v="59"/>
    <s v="GY 11"/>
    <n v="10"/>
    <n v="1130"/>
    <x v="400"/>
    <s v="Annual"/>
    <n v="1"/>
    <n v="1"/>
    <n v="135000"/>
    <n v="135000"/>
  </r>
  <r>
    <x v="0"/>
    <n v="35"/>
    <x v="12"/>
    <x v="0"/>
    <x v="0"/>
    <n v="1005"/>
    <x v="13"/>
    <x v="0"/>
    <x v="16"/>
    <n v="3012"/>
    <x v="81"/>
    <n v="4138"/>
    <x v="59"/>
    <s v="1 00"/>
    <n v="0"/>
    <n v="15"/>
    <x v="37"/>
    <s v="Annual"/>
    <n v="0"/>
    <n v="0"/>
    <n v="12885"/>
    <n v="12885"/>
  </r>
  <r>
    <x v="0"/>
    <n v="35"/>
    <x v="12"/>
    <x v="0"/>
    <x v="0"/>
    <n v="1005"/>
    <x v="13"/>
    <x v="0"/>
    <x v="16"/>
    <n v="3024"/>
    <x v="82"/>
    <n v="4031"/>
    <x v="60"/>
    <s v="X 31"/>
    <n v="9"/>
    <n v="9815"/>
    <x v="393"/>
    <s v="Annual"/>
    <n v="1"/>
    <n v="1"/>
    <n v="180324"/>
    <n v="180324"/>
  </r>
  <r>
    <x v="0"/>
    <n v="35"/>
    <x v="12"/>
    <x v="0"/>
    <x v="0"/>
    <n v="1005"/>
    <x v="13"/>
    <x v="0"/>
    <x v="16"/>
    <n v="3024"/>
    <x v="82"/>
    <n v="4031"/>
    <x v="60"/>
    <s v="X 32"/>
    <n v="9"/>
    <n v="1556"/>
    <x v="386"/>
    <s v="Annual"/>
    <n v="1"/>
    <n v="1"/>
    <n v="139140"/>
    <n v="139140"/>
  </r>
  <r>
    <x v="0"/>
    <n v="35"/>
    <x v="12"/>
    <x v="0"/>
    <x v="0"/>
    <n v="1005"/>
    <x v="13"/>
    <x v="0"/>
    <x v="16"/>
    <n v="3024"/>
    <x v="82"/>
    <n v="4031"/>
    <x v="60"/>
    <s v="X 33"/>
    <n v="9"/>
    <n v="1554"/>
    <x v="387"/>
    <s v="Annual"/>
    <n v="1"/>
    <n v="1"/>
    <n v="121668"/>
    <n v="121668"/>
  </r>
  <r>
    <x v="0"/>
    <n v="35"/>
    <x v="12"/>
    <x v="0"/>
    <x v="0"/>
    <n v="1005"/>
    <x v="13"/>
    <x v="0"/>
    <x v="16"/>
    <n v="3024"/>
    <x v="82"/>
    <n v="4031"/>
    <x v="60"/>
    <s v="X 33"/>
    <n v="9"/>
    <n v="1506"/>
    <x v="401"/>
    <s v="Annual"/>
    <n v="1"/>
    <n v="1"/>
    <n v="137532"/>
    <n v="137532"/>
  </r>
  <r>
    <x v="0"/>
    <n v="35"/>
    <x v="12"/>
    <x v="0"/>
    <x v="0"/>
    <n v="1005"/>
    <x v="13"/>
    <x v="0"/>
    <x v="16"/>
    <n v="3024"/>
    <x v="82"/>
    <n v="4031"/>
    <x v="60"/>
    <s v="G 08"/>
    <n v="1"/>
    <n v="1505"/>
    <x v="402"/>
    <s v="Annual"/>
    <n v="1"/>
    <n v="1"/>
    <n v="141564"/>
    <n v="141564"/>
  </r>
  <r>
    <x v="0"/>
    <n v="35"/>
    <x v="12"/>
    <x v="0"/>
    <x v="0"/>
    <n v="1005"/>
    <x v="13"/>
    <x v="0"/>
    <x v="16"/>
    <n v="3024"/>
    <x v="82"/>
    <n v="4031"/>
    <x v="60"/>
    <s v="G 08"/>
    <n v="1"/>
    <n v="1505"/>
    <x v="402"/>
    <s v="Annual"/>
    <n v="2"/>
    <n v="1"/>
    <n v="134184"/>
    <n v="268368"/>
  </r>
  <r>
    <x v="0"/>
    <n v="35"/>
    <x v="12"/>
    <x v="0"/>
    <x v="0"/>
    <n v="1005"/>
    <x v="13"/>
    <x v="0"/>
    <x v="16"/>
    <n v="3024"/>
    <x v="82"/>
    <n v="4031"/>
    <x v="60"/>
    <s v="G 08"/>
    <n v="1"/>
    <n v="1505"/>
    <x v="402"/>
    <s v="Annual"/>
    <n v="1"/>
    <n v="1"/>
    <n v="128316"/>
    <n v="128316"/>
  </r>
  <r>
    <x v="0"/>
    <n v="35"/>
    <x v="12"/>
    <x v="0"/>
    <x v="0"/>
    <n v="1005"/>
    <x v="13"/>
    <x v="0"/>
    <x v="16"/>
    <n v="3024"/>
    <x v="82"/>
    <n v="4031"/>
    <x v="60"/>
    <s v="G 08"/>
    <n v="1"/>
    <n v="1505"/>
    <x v="402"/>
    <s v="Annual"/>
    <n v="1"/>
    <n v="1"/>
    <n v="122928"/>
    <n v="122928"/>
  </r>
  <r>
    <x v="0"/>
    <n v="35"/>
    <x v="12"/>
    <x v="0"/>
    <x v="0"/>
    <n v="1005"/>
    <x v="13"/>
    <x v="0"/>
    <x v="16"/>
    <n v="3024"/>
    <x v="82"/>
    <n v="4031"/>
    <x v="60"/>
    <s v="G 08"/>
    <n v="1"/>
    <n v="1505"/>
    <x v="402"/>
    <s v="Annual"/>
    <n v="2"/>
    <n v="1"/>
    <n v="99408"/>
    <n v="198816"/>
  </r>
  <r>
    <x v="0"/>
    <n v="35"/>
    <x v="12"/>
    <x v="0"/>
    <x v="0"/>
    <n v="1005"/>
    <x v="13"/>
    <x v="0"/>
    <x v="16"/>
    <n v="3024"/>
    <x v="82"/>
    <n v="4031"/>
    <x v="60"/>
    <s v="G 06"/>
    <n v="1"/>
    <n v="1504"/>
    <x v="403"/>
    <s v="Annual"/>
    <n v="2"/>
    <n v="1"/>
    <n v="118836"/>
    <n v="237672"/>
  </r>
  <r>
    <x v="0"/>
    <n v="35"/>
    <x v="12"/>
    <x v="0"/>
    <x v="0"/>
    <n v="1005"/>
    <x v="13"/>
    <x v="0"/>
    <x v="16"/>
    <n v="3024"/>
    <x v="82"/>
    <n v="4031"/>
    <x v="60"/>
    <s v="G 06"/>
    <n v="1"/>
    <n v="1504"/>
    <x v="403"/>
    <s v="Annual"/>
    <n v="1"/>
    <n v="1"/>
    <n v="88524"/>
    <n v="88524"/>
  </r>
  <r>
    <x v="0"/>
    <n v="35"/>
    <x v="12"/>
    <x v="0"/>
    <x v="0"/>
    <n v="1005"/>
    <x v="13"/>
    <x v="0"/>
    <x v="16"/>
    <n v="3024"/>
    <x v="82"/>
    <n v="4031"/>
    <x v="60"/>
    <s v="G 06"/>
    <n v="1"/>
    <n v="1504"/>
    <x v="403"/>
    <s v="Annual"/>
    <n v="2"/>
    <n v="1"/>
    <n v="84192"/>
    <n v="168384"/>
  </r>
  <r>
    <x v="0"/>
    <n v="35"/>
    <x v="12"/>
    <x v="0"/>
    <x v="0"/>
    <n v="1005"/>
    <x v="13"/>
    <x v="0"/>
    <x v="16"/>
    <n v="3024"/>
    <x v="82"/>
    <n v="4031"/>
    <x v="60"/>
    <s v="G 06"/>
    <n v="1"/>
    <n v="1504"/>
    <x v="403"/>
    <s v="Annual"/>
    <n v="2"/>
    <n v="1"/>
    <n v="81636"/>
    <n v="163272"/>
  </r>
  <r>
    <x v="0"/>
    <n v="35"/>
    <x v="12"/>
    <x v="0"/>
    <x v="0"/>
    <n v="1005"/>
    <x v="13"/>
    <x v="0"/>
    <x v="16"/>
    <n v="3024"/>
    <x v="82"/>
    <n v="4031"/>
    <x v="60"/>
    <s v="B 12"/>
    <n v="1"/>
    <s v="03A8"/>
    <x v="88"/>
    <s v="Annual"/>
    <n v="1"/>
    <n v="1"/>
    <n v="67608"/>
    <n v="67608"/>
  </r>
  <r>
    <x v="0"/>
    <n v="35"/>
    <x v="12"/>
    <x v="0"/>
    <x v="0"/>
    <n v="1005"/>
    <x v="13"/>
    <x v="0"/>
    <x v="16"/>
    <n v="3024"/>
    <x v="82"/>
    <n v="4031"/>
    <x v="60"/>
    <s v="B 10"/>
    <n v="1"/>
    <s v="03A7"/>
    <x v="4"/>
    <s v="Annual"/>
    <n v="1"/>
    <n v="1"/>
    <n v="82140"/>
    <n v="82140"/>
  </r>
  <r>
    <x v="0"/>
    <n v="35"/>
    <x v="12"/>
    <x v="0"/>
    <x v="0"/>
    <n v="1005"/>
    <x v="13"/>
    <x v="0"/>
    <x v="16"/>
    <n v="3024"/>
    <x v="82"/>
    <n v="4031"/>
    <x v="60"/>
    <s v="B 13"/>
    <n v="1"/>
    <n v="308"/>
    <x v="90"/>
    <s v="Annual"/>
    <n v="1"/>
    <n v="1"/>
    <n v="68616"/>
    <n v="68616"/>
  </r>
  <r>
    <x v="0"/>
    <n v="35"/>
    <x v="12"/>
    <x v="0"/>
    <x v="0"/>
    <n v="1005"/>
    <x v="13"/>
    <x v="0"/>
    <x v="16"/>
    <n v="3024"/>
    <x v="82"/>
    <n v="4031"/>
    <x v="60"/>
    <s v="1 00"/>
    <n v="0"/>
    <n v="15"/>
    <x v="37"/>
    <s v="Annual"/>
    <n v="0"/>
    <n v="0"/>
    <n v="28411"/>
    <n v="28411"/>
  </r>
  <r>
    <x v="0"/>
    <n v="38"/>
    <x v="13"/>
    <x v="0"/>
    <x v="0"/>
    <n v="1005"/>
    <x v="14"/>
    <x v="7"/>
    <x v="17"/>
    <n v="3001"/>
    <x v="83"/>
    <n v="0"/>
    <x v="0"/>
    <s v="1 00"/>
    <n v="9"/>
    <n v="9938"/>
    <x v="404"/>
    <s v="Annual"/>
    <n v="1"/>
    <n v="1"/>
    <n v="207612"/>
    <n v="207612"/>
  </r>
  <r>
    <x v="0"/>
    <n v="38"/>
    <x v="13"/>
    <x v="0"/>
    <x v="0"/>
    <n v="1005"/>
    <x v="14"/>
    <x v="7"/>
    <x v="17"/>
    <n v="3001"/>
    <x v="83"/>
    <n v="0"/>
    <x v="0"/>
    <s v="X 31"/>
    <n v="9"/>
    <n v="9813"/>
    <x v="216"/>
    <s v="Annual"/>
    <n v="1"/>
    <n v="1"/>
    <n v="188400"/>
    <n v="188400"/>
  </r>
  <r>
    <x v="0"/>
    <n v="38"/>
    <x v="13"/>
    <x v="0"/>
    <x v="0"/>
    <n v="1005"/>
    <x v="14"/>
    <x v="7"/>
    <x v="17"/>
    <n v="3001"/>
    <x v="83"/>
    <n v="0"/>
    <x v="0"/>
    <s v="BX 16"/>
    <n v="10"/>
    <n v="802"/>
    <x v="30"/>
    <s v="Annual"/>
    <n v="1"/>
    <n v="1"/>
    <n v="83052"/>
    <n v="83052"/>
  </r>
  <r>
    <x v="0"/>
    <n v="38"/>
    <x v="13"/>
    <x v="0"/>
    <x v="0"/>
    <n v="1005"/>
    <x v="14"/>
    <x v="7"/>
    <x v="17"/>
    <n v="3001"/>
    <x v="83"/>
    <n v="0"/>
    <x v="0"/>
    <s v="B 13"/>
    <n v="1"/>
    <n v="308"/>
    <x v="90"/>
    <s v="Annual"/>
    <n v="1"/>
    <n v="1"/>
    <n v="119100"/>
    <n v="119100"/>
  </r>
  <r>
    <x v="0"/>
    <n v="38"/>
    <x v="13"/>
    <x v="0"/>
    <x v="0"/>
    <n v="1005"/>
    <x v="14"/>
    <x v="7"/>
    <x v="17"/>
    <n v="3001"/>
    <x v="83"/>
    <n v="0"/>
    <x v="0"/>
    <s v="1 00"/>
    <n v="0"/>
    <n v="15"/>
    <x v="37"/>
    <s v="Annual"/>
    <n v="0"/>
    <n v="0"/>
    <n v="5937"/>
    <n v="5937"/>
  </r>
  <r>
    <x v="0"/>
    <n v="38"/>
    <x v="13"/>
    <x v="0"/>
    <x v="0"/>
    <n v="1005"/>
    <x v="14"/>
    <x v="7"/>
    <x v="17"/>
    <n v="3110"/>
    <x v="54"/>
    <n v="4139"/>
    <x v="61"/>
    <s v="X 32"/>
    <n v="9"/>
    <n v="9679"/>
    <x v="81"/>
    <s v="Annual"/>
    <n v="1"/>
    <n v="1"/>
    <n v="157332"/>
    <n v="157332"/>
  </r>
  <r>
    <x v="0"/>
    <n v="38"/>
    <x v="13"/>
    <x v="0"/>
    <x v="0"/>
    <n v="1005"/>
    <x v="14"/>
    <x v="7"/>
    <x v="17"/>
    <n v="3110"/>
    <x v="54"/>
    <n v="4139"/>
    <x v="61"/>
    <s v="B 14"/>
    <n v="1"/>
    <n v="1576"/>
    <x v="246"/>
    <s v="Annual"/>
    <n v="1"/>
    <n v="1"/>
    <n v="85200"/>
    <n v="85200"/>
  </r>
  <r>
    <x v="0"/>
    <n v="38"/>
    <x v="13"/>
    <x v="0"/>
    <x v="0"/>
    <n v="1005"/>
    <x v="14"/>
    <x v="7"/>
    <x v="17"/>
    <n v="3110"/>
    <x v="54"/>
    <n v="4139"/>
    <x v="61"/>
    <s v="B 14"/>
    <n v="1"/>
    <n v="1576"/>
    <x v="246"/>
    <s v="Annual"/>
    <n v="1"/>
    <n v="1"/>
    <n v="77640"/>
    <n v="77640"/>
  </r>
  <r>
    <x v="0"/>
    <n v="38"/>
    <x v="13"/>
    <x v="0"/>
    <x v="0"/>
    <n v="1005"/>
    <x v="14"/>
    <x v="7"/>
    <x v="17"/>
    <n v="3110"/>
    <x v="54"/>
    <n v="4139"/>
    <x v="61"/>
    <s v="B 10"/>
    <n v="1"/>
    <s v="03A7"/>
    <x v="4"/>
    <s v="Annual"/>
    <n v="1"/>
    <n v="1"/>
    <n v="90144"/>
    <n v="90144"/>
  </r>
  <r>
    <x v="0"/>
    <n v="38"/>
    <x v="13"/>
    <x v="0"/>
    <x v="0"/>
    <n v="1005"/>
    <x v="14"/>
    <x v="7"/>
    <x v="17"/>
    <n v="3110"/>
    <x v="54"/>
    <n v="4139"/>
    <x v="61"/>
    <s v="B 10"/>
    <n v="1"/>
    <s v="03A7"/>
    <x v="4"/>
    <s v="Annual"/>
    <n v="1"/>
    <n v="1"/>
    <n v="56124"/>
    <n v="56124"/>
  </r>
  <r>
    <x v="0"/>
    <n v="38"/>
    <x v="13"/>
    <x v="0"/>
    <x v="0"/>
    <n v="1005"/>
    <x v="14"/>
    <x v="7"/>
    <x v="17"/>
    <n v="3110"/>
    <x v="54"/>
    <n v="4139"/>
    <x v="61"/>
    <s v="G 07"/>
    <n v="4"/>
    <n v="124"/>
    <x v="91"/>
    <s v="Annual"/>
    <n v="1"/>
    <n v="1"/>
    <n v="90144"/>
    <n v="90144"/>
  </r>
  <r>
    <x v="0"/>
    <n v="38"/>
    <x v="13"/>
    <x v="0"/>
    <x v="0"/>
    <n v="1005"/>
    <x v="14"/>
    <x v="7"/>
    <x v="17"/>
    <n v="3110"/>
    <x v="54"/>
    <n v="4139"/>
    <x v="61"/>
    <s v="X 33"/>
    <n v="0"/>
    <n v="118"/>
    <x v="92"/>
    <s v="Annual"/>
    <n v="1"/>
    <n v="1"/>
    <n v="146808"/>
    <n v="146808"/>
  </r>
  <r>
    <x v="0"/>
    <n v="38"/>
    <x v="13"/>
    <x v="0"/>
    <x v="0"/>
    <n v="1005"/>
    <x v="14"/>
    <x v="7"/>
    <x v="17"/>
    <n v="3110"/>
    <x v="54"/>
    <n v="4139"/>
    <x v="61"/>
    <s v="B 13"/>
    <n v="4"/>
    <n v="110"/>
    <x v="93"/>
    <s v="Annual"/>
    <n v="1"/>
    <n v="1"/>
    <n v="108576"/>
    <n v="108576"/>
  </r>
  <r>
    <x v="0"/>
    <n v="38"/>
    <x v="13"/>
    <x v="0"/>
    <x v="0"/>
    <n v="1005"/>
    <x v="14"/>
    <x v="7"/>
    <x v="17"/>
    <n v="3110"/>
    <x v="54"/>
    <n v="4139"/>
    <x v="61"/>
    <s v="B 13"/>
    <n v="4"/>
    <n v="110"/>
    <x v="93"/>
    <s v="Annual"/>
    <n v="1"/>
    <n v="1"/>
    <n v="68616"/>
    <n v="68616"/>
  </r>
  <r>
    <x v="0"/>
    <n v="38"/>
    <x v="13"/>
    <x v="0"/>
    <x v="0"/>
    <n v="1005"/>
    <x v="14"/>
    <x v="7"/>
    <x v="17"/>
    <n v="3110"/>
    <x v="54"/>
    <n v="4139"/>
    <x v="61"/>
    <s v="B 11"/>
    <n v="1"/>
    <n v="109"/>
    <x v="94"/>
    <s v="Annual"/>
    <n v="2"/>
    <n v="1"/>
    <n v="57000"/>
    <n v="114000"/>
  </r>
  <r>
    <x v="0"/>
    <n v="38"/>
    <x v="13"/>
    <x v="0"/>
    <x v="0"/>
    <n v="1005"/>
    <x v="14"/>
    <x v="7"/>
    <x v="17"/>
    <n v="3110"/>
    <x v="54"/>
    <n v="4139"/>
    <x v="61"/>
    <s v="1 00"/>
    <n v="0"/>
    <n v="15"/>
    <x v="37"/>
    <s v="Annual"/>
    <n v="0"/>
    <n v="0"/>
    <n v="18445"/>
    <n v="18445"/>
  </r>
  <r>
    <x v="0"/>
    <n v="38"/>
    <x v="13"/>
    <x v="0"/>
    <x v="0"/>
    <n v="1005"/>
    <x v="14"/>
    <x v="7"/>
    <x v="17"/>
    <n v="3110"/>
    <x v="54"/>
    <n v="4140"/>
    <x v="62"/>
    <s v="B 15"/>
    <n v="1"/>
    <n v="1572"/>
    <x v="95"/>
    <s v="Annual"/>
    <n v="1"/>
    <n v="1"/>
    <n v="82644"/>
    <n v="82644"/>
  </r>
  <r>
    <x v="0"/>
    <n v="38"/>
    <x v="13"/>
    <x v="0"/>
    <x v="0"/>
    <n v="1005"/>
    <x v="14"/>
    <x v="7"/>
    <x v="17"/>
    <n v="3110"/>
    <x v="54"/>
    <n v="4140"/>
    <x v="62"/>
    <s v="X 33"/>
    <n v="20"/>
    <n v="1191"/>
    <x v="405"/>
    <s v="Annual"/>
    <n v="1"/>
    <n v="1"/>
    <n v="137532"/>
    <n v="137532"/>
  </r>
  <r>
    <x v="0"/>
    <n v="38"/>
    <x v="13"/>
    <x v="0"/>
    <x v="0"/>
    <n v="1005"/>
    <x v="14"/>
    <x v="7"/>
    <x v="17"/>
    <n v="3110"/>
    <x v="54"/>
    <n v="4140"/>
    <x v="62"/>
    <s v="B 16"/>
    <n v="4"/>
    <n v="345"/>
    <x v="108"/>
    <s v="Annual"/>
    <n v="1"/>
    <n v="1"/>
    <n v="157332"/>
    <n v="157332"/>
  </r>
  <r>
    <x v="0"/>
    <n v="38"/>
    <x v="13"/>
    <x v="0"/>
    <x v="0"/>
    <n v="1005"/>
    <x v="14"/>
    <x v="7"/>
    <x v="17"/>
    <n v="3110"/>
    <x v="54"/>
    <n v="4140"/>
    <x v="62"/>
    <s v="B 16"/>
    <n v="4"/>
    <n v="345"/>
    <x v="108"/>
    <s v="Annual"/>
    <n v="1"/>
    <n v="1"/>
    <n v="150240"/>
    <n v="150240"/>
  </r>
  <r>
    <x v="0"/>
    <n v="38"/>
    <x v="13"/>
    <x v="0"/>
    <x v="0"/>
    <n v="1005"/>
    <x v="14"/>
    <x v="7"/>
    <x v="17"/>
    <n v="3110"/>
    <x v="54"/>
    <n v="4140"/>
    <x v="62"/>
    <s v="B 16"/>
    <n v="4"/>
    <n v="345"/>
    <x v="108"/>
    <s v="Annual"/>
    <n v="1"/>
    <n v="1"/>
    <n v="136908"/>
    <n v="136908"/>
  </r>
  <r>
    <x v="0"/>
    <n v="38"/>
    <x v="13"/>
    <x v="0"/>
    <x v="0"/>
    <n v="1005"/>
    <x v="14"/>
    <x v="7"/>
    <x v="17"/>
    <n v="3110"/>
    <x v="54"/>
    <n v="4140"/>
    <x v="62"/>
    <s v="1 00"/>
    <n v="0"/>
    <n v="15"/>
    <x v="37"/>
    <s v="Annual"/>
    <n v="0"/>
    <n v="0"/>
    <n v="10326"/>
    <n v="10326"/>
  </r>
  <r>
    <x v="0"/>
    <n v="38"/>
    <x v="13"/>
    <x v="0"/>
    <x v="0"/>
    <n v="1005"/>
    <x v="14"/>
    <x v="7"/>
    <x v="17"/>
    <n v="3111"/>
    <x v="84"/>
    <n v="4131"/>
    <x v="63"/>
    <s v="X 32"/>
    <n v="9"/>
    <n v="9679"/>
    <x v="81"/>
    <s v="Annual"/>
    <n v="1"/>
    <n v="1"/>
    <n v="157332"/>
    <n v="157332"/>
  </r>
  <r>
    <x v="0"/>
    <n v="38"/>
    <x v="13"/>
    <x v="0"/>
    <x v="0"/>
    <n v="1005"/>
    <x v="14"/>
    <x v="7"/>
    <x v="17"/>
    <n v="3111"/>
    <x v="84"/>
    <n v="4131"/>
    <x v="63"/>
    <s v="G 06"/>
    <n v="4"/>
    <n v="3403"/>
    <x v="406"/>
    <s v="Annual"/>
    <n v="1"/>
    <n v="1"/>
    <n v="81636"/>
    <n v="81636"/>
  </r>
  <r>
    <x v="0"/>
    <n v="38"/>
    <x v="13"/>
    <x v="0"/>
    <x v="0"/>
    <n v="1005"/>
    <x v="14"/>
    <x v="7"/>
    <x v="17"/>
    <n v="3111"/>
    <x v="84"/>
    <n v="4131"/>
    <x v="63"/>
    <s v="B 15"/>
    <n v="1"/>
    <n v="1302"/>
    <x v="83"/>
    <s v="Annual"/>
    <n v="1"/>
    <n v="1"/>
    <n v="97956"/>
    <n v="97956"/>
  </r>
  <r>
    <x v="0"/>
    <n v="38"/>
    <x v="13"/>
    <x v="0"/>
    <x v="0"/>
    <n v="1005"/>
    <x v="14"/>
    <x v="7"/>
    <x v="17"/>
    <n v="3111"/>
    <x v="84"/>
    <n v="4131"/>
    <x v="63"/>
    <s v="B 13"/>
    <n v="1"/>
    <n v="1301"/>
    <x v="227"/>
    <s v="Annual"/>
    <n v="1"/>
    <n v="1"/>
    <n v="77640"/>
    <n v="77640"/>
  </r>
  <r>
    <x v="0"/>
    <n v="38"/>
    <x v="13"/>
    <x v="0"/>
    <x v="0"/>
    <n v="1005"/>
    <x v="14"/>
    <x v="7"/>
    <x v="17"/>
    <n v="3111"/>
    <x v="84"/>
    <n v="4131"/>
    <x v="63"/>
    <s v="B 13"/>
    <n v="1"/>
    <n v="1301"/>
    <x v="227"/>
    <s v="Annual"/>
    <n v="1"/>
    <n v="1"/>
    <n v="68616"/>
    <n v="68616"/>
  </r>
  <r>
    <x v="0"/>
    <n v="38"/>
    <x v="13"/>
    <x v="0"/>
    <x v="0"/>
    <n v="1005"/>
    <x v="14"/>
    <x v="7"/>
    <x v="17"/>
    <n v="3111"/>
    <x v="84"/>
    <n v="4131"/>
    <x v="63"/>
    <s v="BX 18"/>
    <n v="10"/>
    <n v="361"/>
    <x v="333"/>
    <s v="Annual"/>
    <n v="1"/>
    <n v="1"/>
    <n v="89112"/>
    <n v="89112"/>
  </r>
  <r>
    <x v="0"/>
    <n v="38"/>
    <x v="13"/>
    <x v="0"/>
    <x v="0"/>
    <n v="1005"/>
    <x v="14"/>
    <x v="7"/>
    <x v="17"/>
    <n v="3111"/>
    <x v="84"/>
    <n v="4131"/>
    <x v="63"/>
    <s v="B 13"/>
    <n v="1"/>
    <n v="308"/>
    <x v="90"/>
    <s v="Annual"/>
    <n v="1"/>
    <n v="1"/>
    <n v="113628"/>
    <n v="113628"/>
  </r>
  <r>
    <x v="0"/>
    <n v="38"/>
    <x v="13"/>
    <x v="0"/>
    <x v="0"/>
    <n v="1005"/>
    <x v="14"/>
    <x v="7"/>
    <x v="17"/>
    <n v="3111"/>
    <x v="84"/>
    <n v="4131"/>
    <x v="63"/>
    <s v="1 00"/>
    <n v="0"/>
    <n v="15"/>
    <x v="37"/>
    <s v="Annual"/>
    <n v="0"/>
    <n v="0"/>
    <n v="12019"/>
    <n v="12019"/>
  </r>
  <r>
    <x v="0"/>
    <n v="38"/>
    <x v="13"/>
    <x v="0"/>
    <x v="0"/>
    <n v="1005"/>
    <x v="14"/>
    <x v="7"/>
    <x v="17"/>
    <n v="3111"/>
    <x v="84"/>
    <n v="4132"/>
    <x v="64"/>
    <s v="B 11"/>
    <n v="1"/>
    <n v="450"/>
    <x v="407"/>
    <s v="Annual"/>
    <n v="1"/>
    <n v="1"/>
    <n v="64488"/>
    <n v="64488"/>
  </r>
  <r>
    <x v="0"/>
    <n v="38"/>
    <x v="13"/>
    <x v="0"/>
    <x v="0"/>
    <n v="1005"/>
    <x v="14"/>
    <x v="7"/>
    <x v="17"/>
    <n v="3111"/>
    <x v="84"/>
    <n v="4132"/>
    <x v="64"/>
    <s v="B 14"/>
    <n v="1"/>
    <n v="114"/>
    <x v="274"/>
    <s v="Annual"/>
    <n v="1"/>
    <n v="1"/>
    <n v="124848"/>
    <n v="124848"/>
  </r>
  <r>
    <x v="0"/>
    <n v="38"/>
    <x v="13"/>
    <x v="0"/>
    <x v="0"/>
    <n v="1005"/>
    <x v="14"/>
    <x v="7"/>
    <x v="17"/>
    <n v="3111"/>
    <x v="84"/>
    <n v="4132"/>
    <x v="64"/>
    <s v="1 00"/>
    <n v="0"/>
    <n v="15"/>
    <x v="37"/>
    <s v="Annual"/>
    <n v="0"/>
    <n v="0"/>
    <n v="1178"/>
    <n v="1178"/>
  </r>
  <r>
    <x v="0"/>
    <n v="38"/>
    <x v="13"/>
    <x v="0"/>
    <x v="0"/>
    <n v="1005"/>
    <x v="14"/>
    <x v="7"/>
    <x v="17"/>
    <n v="3111"/>
    <x v="84"/>
    <n v="4135"/>
    <x v="65"/>
    <s v="B 14"/>
    <n v="1"/>
    <n v="1359"/>
    <x v="408"/>
    <s v="Annual"/>
    <n v="1"/>
    <n v="1"/>
    <n v="75336"/>
    <n v="75336"/>
  </r>
  <r>
    <x v="0"/>
    <n v="38"/>
    <x v="13"/>
    <x v="0"/>
    <x v="0"/>
    <n v="1005"/>
    <x v="14"/>
    <x v="7"/>
    <x v="17"/>
    <n v="3111"/>
    <x v="84"/>
    <n v="4135"/>
    <x v="65"/>
    <s v="BX 17"/>
    <n v="20"/>
    <n v="1318"/>
    <x v="409"/>
    <s v="Annual"/>
    <n v="1"/>
    <n v="1"/>
    <n v="118956"/>
    <n v="118956"/>
  </r>
  <r>
    <x v="0"/>
    <n v="38"/>
    <x v="13"/>
    <x v="0"/>
    <x v="0"/>
    <n v="1005"/>
    <x v="14"/>
    <x v="7"/>
    <x v="17"/>
    <n v="3111"/>
    <x v="84"/>
    <n v="4135"/>
    <x v="65"/>
    <s v="1 00"/>
    <n v="0"/>
    <n v="15"/>
    <x v="37"/>
    <s v="Annual"/>
    <n v="0"/>
    <n v="0"/>
    <n v="2814"/>
    <n v="2814"/>
  </r>
  <r>
    <x v="0"/>
    <n v="38"/>
    <x v="13"/>
    <x v="0"/>
    <x v="0"/>
    <n v="1005"/>
    <x v="14"/>
    <x v="7"/>
    <x v="17"/>
    <n v="3111"/>
    <x v="84"/>
    <n v="4137"/>
    <x v="50"/>
    <s v="BX 17"/>
    <n v="20"/>
    <n v="1331"/>
    <x v="248"/>
    <s v="Annual"/>
    <n v="1"/>
    <n v="1"/>
    <n v="83052"/>
    <n v="83052"/>
  </r>
  <r>
    <x v="0"/>
    <n v="38"/>
    <x v="13"/>
    <x v="0"/>
    <x v="0"/>
    <n v="1005"/>
    <x v="14"/>
    <x v="7"/>
    <x v="17"/>
    <n v="3111"/>
    <x v="84"/>
    <n v="4137"/>
    <x v="50"/>
    <s v="B 13"/>
    <n v="1"/>
    <n v="1301"/>
    <x v="227"/>
    <s v="Annual"/>
    <n v="1"/>
    <n v="1"/>
    <n v="77640"/>
    <n v="77640"/>
  </r>
  <r>
    <x v="0"/>
    <n v="38"/>
    <x v="13"/>
    <x v="0"/>
    <x v="0"/>
    <n v="1005"/>
    <x v="14"/>
    <x v="7"/>
    <x v="17"/>
    <n v="3111"/>
    <x v="84"/>
    <n v="4137"/>
    <x v="50"/>
    <s v="1 00"/>
    <n v="0"/>
    <n v="15"/>
    <x v="37"/>
    <s v="Annual"/>
    <n v="0"/>
    <n v="0"/>
    <n v="3505"/>
    <n v="3505"/>
  </r>
  <r>
    <x v="0"/>
    <n v="38"/>
    <x v="13"/>
    <x v="0"/>
    <x v="0"/>
    <n v="1005"/>
    <x v="14"/>
    <x v="7"/>
    <x v="17"/>
    <n v="3112"/>
    <x v="85"/>
    <n v="4121"/>
    <x v="66"/>
    <s v="G 08"/>
    <n v="4"/>
    <n v="635"/>
    <x v="242"/>
    <s v="Annual"/>
    <n v="1"/>
    <n v="1"/>
    <n v="117636"/>
    <n v="117636"/>
  </r>
  <r>
    <x v="0"/>
    <n v="38"/>
    <x v="13"/>
    <x v="0"/>
    <x v="0"/>
    <n v="1005"/>
    <x v="14"/>
    <x v="7"/>
    <x v="17"/>
    <n v="3112"/>
    <x v="85"/>
    <n v="4121"/>
    <x v="66"/>
    <s v="G 10"/>
    <n v="1"/>
    <n v="629"/>
    <x v="271"/>
    <s v="Annual"/>
    <n v="1"/>
    <n v="1"/>
    <n v="164808"/>
    <n v="164808"/>
  </r>
  <r>
    <x v="0"/>
    <n v="38"/>
    <x v="13"/>
    <x v="0"/>
    <x v="0"/>
    <n v="1005"/>
    <x v="14"/>
    <x v="7"/>
    <x v="17"/>
    <n v="3112"/>
    <x v="85"/>
    <n v="4121"/>
    <x v="66"/>
    <s v="X 33"/>
    <n v="0"/>
    <n v="601"/>
    <x v="332"/>
    <s v="Annual"/>
    <n v="1"/>
    <n v="1"/>
    <n v="153384"/>
    <n v="153384"/>
  </r>
  <r>
    <x v="0"/>
    <n v="38"/>
    <x v="13"/>
    <x v="0"/>
    <x v="0"/>
    <n v="1005"/>
    <x v="14"/>
    <x v="7"/>
    <x v="17"/>
    <n v="3112"/>
    <x v="85"/>
    <n v="4121"/>
    <x v="66"/>
    <s v="1 00"/>
    <n v="0"/>
    <n v="15"/>
    <x v="37"/>
    <s v="Annual"/>
    <n v="0"/>
    <n v="0"/>
    <n v="2989"/>
    <n v="2989"/>
  </r>
  <r>
    <x v="0"/>
    <n v="38"/>
    <x v="13"/>
    <x v="0"/>
    <x v="0"/>
    <n v="1005"/>
    <x v="14"/>
    <x v="8"/>
    <x v="18"/>
    <n v="3101"/>
    <x v="86"/>
    <n v="4101"/>
    <x v="67"/>
    <s v="X 32"/>
    <n v="9"/>
    <n v="9679"/>
    <x v="81"/>
    <s v="Annual"/>
    <n v="1"/>
    <n v="1"/>
    <n v="139140"/>
    <n v="139140"/>
  </r>
  <r>
    <x v="0"/>
    <n v="38"/>
    <x v="13"/>
    <x v="0"/>
    <x v="0"/>
    <n v="1005"/>
    <x v="14"/>
    <x v="8"/>
    <x v="18"/>
    <n v="3101"/>
    <x v="86"/>
    <n v="4101"/>
    <x v="67"/>
    <s v="X 33"/>
    <n v="20"/>
    <n v="4546"/>
    <x v="410"/>
    <s v="Annual"/>
    <n v="1"/>
    <n v="1"/>
    <n v="146808"/>
    <n v="146808"/>
  </r>
  <r>
    <x v="0"/>
    <n v="38"/>
    <x v="13"/>
    <x v="0"/>
    <x v="0"/>
    <n v="1005"/>
    <x v="14"/>
    <x v="8"/>
    <x v="18"/>
    <n v="3101"/>
    <x v="86"/>
    <n v="4101"/>
    <x v="67"/>
    <s v="B 11"/>
    <n v="1"/>
    <n v="450"/>
    <x v="407"/>
    <s v="Annual"/>
    <n v="1"/>
    <n v="1"/>
    <n v="98928"/>
    <n v="98928"/>
  </r>
  <r>
    <x v="0"/>
    <n v="38"/>
    <x v="13"/>
    <x v="0"/>
    <x v="0"/>
    <n v="1005"/>
    <x v="14"/>
    <x v="8"/>
    <x v="18"/>
    <n v="3101"/>
    <x v="86"/>
    <n v="4101"/>
    <x v="67"/>
    <s v="B 12"/>
    <n v="1"/>
    <s v="03A8"/>
    <x v="88"/>
    <s v="Annual"/>
    <n v="1"/>
    <n v="1"/>
    <n v="108576"/>
    <n v="108576"/>
  </r>
  <r>
    <x v="0"/>
    <n v="38"/>
    <x v="13"/>
    <x v="0"/>
    <x v="0"/>
    <n v="1005"/>
    <x v="14"/>
    <x v="8"/>
    <x v="18"/>
    <n v="3101"/>
    <x v="86"/>
    <n v="4101"/>
    <x v="67"/>
    <s v="B 10"/>
    <n v="1"/>
    <s v="03A7"/>
    <x v="4"/>
    <s v="Annual"/>
    <n v="1"/>
    <n v="1"/>
    <n v="56124"/>
    <n v="56124"/>
  </r>
  <r>
    <x v="0"/>
    <n v="38"/>
    <x v="13"/>
    <x v="0"/>
    <x v="0"/>
    <n v="1005"/>
    <x v="14"/>
    <x v="8"/>
    <x v="18"/>
    <n v="3101"/>
    <x v="86"/>
    <n v="4101"/>
    <x v="67"/>
    <s v="BX 17"/>
    <n v="20"/>
    <n v="381"/>
    <x v="296"/>
    <s v="Annual"/>
    <n v="1"/>
    <n v="1"/>
    <n v="113568"/>
    <n v="113568"/>
  </r>
  <r>
    <x v="0"/>
    <n v="38"/>
    <x v="13"/>
    <x v="0"/>
    <x v="0"/>
    <n v="1005"/>
    <x v="14"/>
    <x v="8"/>
    <x v="18"/>
    <n v="3101"/>
    <x v="86"/>
    <n v="4101"/>
    <x v="67"/>
    <s v="BX 14"/>
    <n v="20"/>
    <n v="318"/>
    <x v="389"/>
    <s v="Annual"/>
    <n v="1"/>
    <n v="1"/>
    <n v="63504"/>
    <n v="63504"/>
  </r>
  <r>
    <x v="0"/>
    <n v="38"/>
    <x v="13"/>
    <x v="0"/>
    <x v="0"/>
    <n v="1005"/>
    <x v="14"/>
    <x v="8"/>
    <x v="18"/>
    <n v="3101"/>
    <x v="86"/>
    <n v="4101"/>
    <x v="67"/>
    <s v="B 13"/>
    <n v="1"/>
    <n v="308"/>
    <x v="90"/>
    <s v="Annual"/>
    <n v="1"/>
    <n v="1"/>
    <n v="77640"/>
    <n v="77640"/>
  </r>
  <r>
    <x v="0"/>
    <n v="38"/>
    <x v="13"/>
    <x v="0"/>
    <x v="0"/>
    <n v="1005"/>
    <x v="14"/>
    <x v="8"/>
    <x v="18"/>
    <n v="3101"/>
    <x v="86"/>
    <n v="4101"/>
    <x v="67"/>
    <s v="B 11"/>
    <n v="1"/>
    <n v="109"/>
    <x v="94"/>
    <s v="Annual"/>
    <n v="1"/>
    <n v="1"/>
    <n v="57000"/>
    <n v="57000"/>
  </r>
  <r>
    <x v="0"/>
    <n v="38"/>
    <x v="13"/>
    <x v="0"/>
    <x v="0"/>
    <n v="1005"/>
    <x v="14"/>
    <x v="8"/>
    <x v="18"/>
    <n v="3101"/>
    <x v="86"/>
    <n v="4101"/>
    <x v="67"/>
    <s v="1 00"/>
    <n v="0"/>
    <n v="15"/>
    <x v="37"/>
    <s v="Annual"/>
    <n v="0"/>
    <n v="0"/>
    <n v="20726"/>
    <n v="20726"/>
  </r>
  <r>
    <x v="0"/>
    <n v="38"/>
    <x v="13"/>
    <x v="0"/>
    <x v="0"/>
    <n v="1005"/>
    <x v="14"/>
    <x v="8"/>
    <x v="18"/>
    <n v="3101"/>
    <x v="86"/>
    <n v="4102"/>
    <x v="68"/>
    <s v="BX 16"/>
    <n v="10"/>
    <n v="4548"/>
    <x v="411"/>
    <s v="Annual"/>
    <n v="2"/>
    <n v="1"/>
    <n v="124584"/>
    <n v="249168"/>
  </r>
  <r>
    <x v="0"/>
    <n v="38"/>
    <x v="13"/>
    <x v="0"/>
    <x v="0"/>
    <n v="1005"/>
    <x v="14"/>
    <x v="8"/>
    <x v="18"/>
    <n v="3101"/>
    <x v="86"/>
    <n v="4102"/>
    <x v="68"/>
    <s v="BX 16"/>
    <n v="10"/>
    <n v="4548"/>
    <x v="411"/>
    <s v="Annual"/>
    <n v="1"/>
    <n v="1"/>
    <n v="83052"/>
    <n v="83052"/>
  </r>
  <r>
    <x v="0"/>
    <n v="38"/>
    <x v="13"/>
    <x v="0"/>
    <x v="0"/>
    <n v="1005"/>
    <x v="14"/>
    <x v="8"/>
    <x v="18"/>
    <n v="3101"/>
    <x v="86"/>
    <n v="4102"/>
    <x v="68"/>
    <s v="BX 16"/>
    <n v="10"/>
    <n v="4548"/>
    <x v="411"/>
    <s v="Annual"/>
    <n v="2"/>
    <n v="1"/>
    <n v="80124"/>
    <n v="160248"/>
  </r>
  <r>
    <x v="0"/>
    <n v="38"/>
    <x v="13"/>
    <x v="0"/>
    <x v="0"/>
    <n v="1005"/>
    <x v="14"/>
    <x v="8"/>
    <x v="18"/>
    <n v="3101"/>
    <x v="86"/>
    <n v="4102"/>
    <x v="68"/>
    <s v="X 33"/>
    <n v="20"/>
    <n v="4546"/>
    <x v="410"/>
    <s v="Annual"/>
    <n v="1"/>
    <n v="1"/>
    <n v="146808"/>
    <n v="146808"/>
  </r>
  <r>
    <x v="0"/>
    <n v="38"/>
    <x v="13"/>
    <x v="0"/>
    <x v="0"/>
    <n v="1005"/>
    <x v="14"/>
    <x v="8"/>
    <x v="18"/>
    <n v="3101"/>
    <x v="86"/>
    <n v="4102"/>
    <x v="68"/>
    <s v="2 0"/>
    <n v="45"/>
    <n v="4223"/>
    <x v="412"/>
    <s v="Hourly"/>
    <n v="1"/>
    <n v="1"/>
    <n v="22.4"/>
    <n v="46592"/>
  </r>
  <r>
    <x v="0"/>
    <n v="38"/>
    <x v="13"/>
    <x v="0"/>
    <x v="0"/>
    <n v="1005"/>
    <x v="14"/>
    <x v="8"/>
    <x v="18"/>
    <n v="3101"/>
    <x v="86"/>
    <n v="4102"/>
    <x v="68"/>
    <s v="BX 13"/>
    <n v="20"/>
    <n v="366"/>
    <x v="219"/>
    <s v="Annual"/>
    <n v="1"/>
    <n v="1"/>
    <n v="94332"/>
    <n v="94332"/>
  </r>
  <r>
    <x v="0"/>
    <n v="38"/>
    <x v="13"/>
    <x v="0"/>
    <x v="0"/>
    <n v="1005"/>
    <x v="14"/>
    <x v="8"/>
    <x v="18"/>
    <n v="3101"/>
    <x v="86"/>
    <n v="4102"/>
    <x v="68"/>
    <s v="1 00"/>
    <n v="0"/>
    <n v="15"/>
    <x v="37"/>
    <s v="Annual"/>
    <n v="0"/>
    <n v="0"/>
    <n v="6353"/>
    <n v="6353"/>
  </r>
  <r>
    <x v="0"/>
    <n v="38"/>
    <x v="13"/>
    <x v="0"/>
    <x v="0"/>
    <n v="1005"/>
    <x v="14"/>
    <x v="8"/>
    <x v="18"/>
    <n v="3101"/>
    <x v="86"/>
    <n v="4102"/>
    <x v="68"/>
    <s v="1 00"/>
    <n v="0"/>
    <n v="12"/>
    <x v="291"/>
    <s v="Annual"/>
    <n v="0"/>
    <n v="0"/>
    <n v="699"/>
    <n v="699"/>
  </r>
  <r>
    <x v="0"/>
    <n v="38"/>
    <x v="13"/>
    <x v="0"/>
    <x v="0"/>
    <n v="1005"/>
    <x v="14"/>
    <x v="8"/>
    <x v="18"/>
    <n v="3101"/>
    <x v="86"/>
    <n v="4105"/>
    <x v="69"/>
    <s v="2 0"/>
    <n v="12"/>
    <n v="7747"/>
    <x v="413"/>
    <s v="Monthly"/>
    <n v="5"/>
    <n v="1"/>
    <n v="12906.4"/>
    <n v="774384"/>
  </r>
  <r>
    <x v="0"/>
    <n v="38"/>
    <x v="13"/>
    <x v="0"/>
    <x v="0"/>
    <n v="1005"/>
    <x v="14"/>
    <x v="8"/>
    <x v="18"/>
    <n v="3101"/>
    <x v="86"/>
    <n v="4105"/>
    <x v="69"/>
    <s v="2 0"/>
    <n v="12"/>
    <n v="7745"/>
    <x v="414"/>
    <s v="Hourly"/>
    <n v="11"/>
    <n v="1"/>
    <n v="68.260000000000005"/>
    <n v="1561789"/>
  </r>
  <r>
    <x v="0"/>
    <n v="38"/>
    <x v="13"/>
    <x v="0"/>
    <x v="0"/>
    <n v="1005"/>
    <x v="14"/>
    <x v="8"/>
    <x v="18"/>
    <n v="3101"/>
    <x v="86"/>
    <n v="4105"/>
    <x v="69"/>
    <s v="2 0"/>
    <n v="12"/>
    <n v="7743"/>
    <x v="415"/>
    <s v="Hourly"/>
    <n v="78"/>
    <n v="1"/>
    <n v="62.05"/>
    <n v="10066992"/>
  </r>
  <r>
    <x v="0"/>
    <n v="38"/>
    <x v="13"/>
    <x v="0"/>
    <x v="0"/>
    <n v="1005"/>
    <x v="14"/>
    <x v="8"/>
    <x v="18"/>
    <n v="3101"/>
    <x v="86"/>
    <n v="4105"/>
    <x v="69"/>
    <s v="X 33"/>
    <n v="20"/>
    <n v="4546"/>
    <x v="410"/>
    <s v="Annual"/>
    <n v="1"/>
    <n v="1"/>
    <n v="153384"/>
    <n v="153384"/>
  </r>
  <r>
    <x v="0"/>
    <n v="38"/>
    <x v="13"/>
    <x v="0"/>
    <x v="0"/>
    <n v="1005"/>
    <x v="14"/>
    <x v="8"/>
    <x v="18"/>
    <n v="3101"/>
    <x v="86"/>
    <n v="4105"/>
    <x v="69"/>
    <s v="1 00"/>
    <n v="0"/>
    <n v="15"/>
    <x v="37"/>
    <s v="Annual"/>
    <n v="0"/>
    <n v="0"/>
    <n v="2989"/>
    <n v="2989"/>
  </r>
  <r>
    <x v="0"/>
    <n v="38"/>
    <x v="13"/>
    <x v="0"/>
    <x v="0"/>
    <n v="1005"/>
    <x v="14"/>
    <x v="8"/>
    <x v="18"/>
    <n v="3101"/>
    <x v="86"/>
    <n v="4105"/>
    <x v="69"/>
    <s v="1 00"/>
    <n v="0"/>
    <n v="12"/>
    <x v="291"/>
    <s v="Annual"/>
    <n v="0"/>
    <n v="0"/>
    <n v="186048"/>
    <n v="186048"/>
  </r>
  <r>
    <x v="0"/>
    <n v="38"/>
    <x v="13"/>
    <x v="0"/>
    <x v="0"/>
    <n v="1005"/>
    <x v="14"/>
    <x v="8"/>
    <x v="18"/>
    <n v="3101"/>
    <x v="86"/>
    <n v="4123"/>
    <x v="70"/>
    <s v="2 0"/>
    <n v="54"/>
    <n v="6335"/>
    <x v="416"/>
    <s v="Hourly"/>
    <n v="2"/>
    <n v="1"/>
    <n v="40.619999999999997"/>
    <n v="168979"/>
  </r>
  <r>
    <x v="0"/>
    <n v="38"/>
    <x v="13"/>
    <x v="0"/>
    <x v="0"/>
    <n v="1005"/>
    <x v="14"/>
    <x v="8"/>
    <x v="18"/>
    <n v="3101"/>
    <x v="86"/>
    <n v="4123"/>
    <x v="70"/>
    <s v="2 0"/>
    <n v="54"/>
    <n v="6335"/>
    <x v="416"/>
    <s v="Hourly"/>
    <n v="4"/>
    <n v="1"/>
    <n v="32.869999999999997"/>
    <n v="273478"/>
  </r>
  <r>
    <x v="0"/>
    <n v="38"/>
    <x v="13"/>
    <x v="0"/>
    <x v="0"/>
    <n v="1005"/>
    <x v="14"/>
    <x v="8"/>
    <x v="18"/>
    <n v="3101"/>
    <x v="86"/>
    <n v="4123"/>
    <x v="70"/>
    <s v="2 0"/>
    <n v="54"/>
    <n v="6327"/>
    <x v="417"/>
    <s v="Hourly"/>
    <n v="14"/>
    <n v="1"/>
    <n v="27.45"/>
    <n v="799344"/>
  </r>
  <r>
    <x v="0"/>
    <n v="38"/>
    <x v="13"/>
    <x v="0"/>
    <x v="0"/>
    <n v="1005"/>
    <x v="14"/>
    <x v="8"/>
    <x v="18"/>
    <n v="3101"/>
    <x v="86"/>
    <n v="4123"/>
    <x v="70"/>
    <s v="2 0"/>
    <n v="54"/>
    <n v="6302"/>
    <x v="418"/>
    <s v="Hourly"/>
    <n v="1"/>
    <n v="1"/>
    <n v="48.76"/>
    <n v="101421"/>
  </r>
  <r>
    <x v="0"/>
    <n v="38"/>
    <x v="13"/>
    <x v="0"/>
    <x v="0"/>
    <n v="1005"/>
    <x v="14"/>
    <x v="8"/>
    <x v="18"/>
    <n v="3101"/>
    <x v="86"/>
    <n v="4123"/>
    <x v="70"/>
    <s v="2 0"/>
    <n v="54"/>
    <n v="6302"/>
    <x v="418"/>
    <s v="Hourly"/>
    <n v="2"/>
    <n v="1"/>
    <n v="44.62"/>
    <n v="185619"/>
  </r>
  <r>
    <x v="0"/>
    <n v="38"/>
    <x v="13"/>
    <x v="0"/>
    <x v="0"/>
    <n v="1005"/>
    <x v="14"/>
    <x v="8"/>
    <x v="18"/>
    <n v="3101"/>
    <x v="86"/>
    <n v="4123"/>
    <x v="70"/>
    <s v="X 33"/>
    <n v="10"/>
    <n v="4268"/>
    <x v="419"/>
    <s v="Annual"/>
    <n v="1"/>
    <n v="1"/>
    <n v="137532"/>
    <n v="137532"/>
  </r>
  <r>
    <x v="0"/>
    <n v="38"/>
    <x v="13"/>
    <x v="0"/>
    <x v="0"/>
    <n v="1005"/>
    <x v="14"/>
    <x v="8"/>
    <x v="18"/>
    <n v="3101"/>
    <x v="86"/>
    <n v="4123"/>
    <x v="70"/>
    <s v="BX 15"/>
    <n v="10"/>
    <n v="4219"/>
    <x v="420"/>
    <s v="Annual"/>
    <n v="1"/>
    <n v="1"/>
    <n v="80124"/>
    <n v="80124"/>
  </r>
  <r>
    <x v="0"/>
    <n v="38"/>
    <x v="13"/>
    <x v="0"/>
    <x v="0"/>
    <n v="1005"/>
    <x v="14"/>
    <x v="8"/>
    <x v="18"/>
    <n v="3101"/>
    <x v="86"/>
    <n v="4123"/>
    <x v="70"/>
    <s v="BX 15"/>
    <n v="10"/>
    <n v="4219"/>
    <x v="420"/>
    <s v="Annual"/>
    <n v="2"/>
    <n v="1"/>
    <n v="69684"/>
    <n v="139368"/>
  </r>
  <r>
    <x v="0"/>
    <n v="38"/>
    <x v="13"/>
    <x v="0"/>
    <x v="0"/>
    <n v="1005"/>
    <x v="14"/>
    <x v="8"/>
    <x v="18"/>
    <n v="3101"/>
    <x v="86"/>
    <n v="4123"/>
    <x v="70"/>
    <s v="1 00"/>
    <n v="0"/>
    <n v="15"/>
    <x v="37"/>
    <s v="Annual"/>
    <n v="0"/>
    <n v="0"/>
    <n v="6184"/>
    <n v="6184"/>
  </r>
  <r>
    <x v="0"/>
    <n v="38"/>
    <x v="13"/>
    <x v="0"/>
    <x v="0"/>
    <n v="1005"/>
    <x v="14"/>
    <x v="8"/>
    <x v="18"/>
    <n v="3101"/>
    <x v="86"/>
    <n v="4123"/>
    <x v="70"/>
    <s v="1 00"/>
    <n v="0"/>
    <n v="12"/>
    <x v="291"/>
    <s v="Annual"/>
    <n v="0"/>
    <n v="0"/>
    <n v="22932"/>
    <n v="22932"/>
  </r>
  <r>
    <x v="0"/>
    <n v="38"/>
    <x v="13"/>
    <x v="0"/>
    <x v="0"/>
    <n v="1005"/>
    <x v="14"/>
    <x v="8"/>
    <x v="18"/>
    <n v="3102"/>
    <x v="87"/>
    <n v="4106"/>
    <x v="71"/>
    <s v="X 32"/>
    <n v="9"/>
    <n v="9679"/>
    <x v="81"/>
    <s v="Annual"/>
    <n v="1"/>
    <n v="1"/>
    <n v="175512"/>
    <n v="175512"/>
  </r>
  <r>
    <x v="0"/>
    <n v="38"/>
    <x v="13"/>
    <x v="0"/>
    <x v="0"/>
    <n v="1005"/>
    <x v="14"/>
    <x v="8"/>
    <x v="18"/>
    <n v="3102"/>
    <x v="87"/>
    <n v="4106"/>
    <x v="71"/>
    <s v="GY 12"/>
    <n v="20"/>
    <n v="5630"/>
    <x v="421"/>
    <s v="Annual"/>
    <n v="1"/>
    <n v="1"/>
    <n v="115992"/>
    <n v="115992"/>
  </r>
  <r>
    <x v="0"/>
    <n v="38"/>
    <x v="13"/>
    <x v="0"/>
    <x v="0"/>
    <n v="1005"/>
    <x v="14"/>
    <x v="8"/>
    <x v="18"/>
    <n v="3102"/>
    <x v="87"/>
    <n v="4106"/>
    <x v="71"/>
    <s v="GY 12"/>
    <n v="20"/>
    <n v="5410"/>
    <x v="422"/>
    <s v="Annual"/>
    <n v="1"/>
    <n v="1"/>
    <n v="126756"/>
    <n v="126756"/>
  </r>
  <r>
    <x v="0"/>
    <n v="38"/>
    <x v="13"/>
    <x v="0"/>
    <x v="0"/>
    <n v="1005"/>
    <x v="14"/>
    <x v="8"/>
    <x v="18"/>
    <n v="3102"/>
    <x v="87"/>
    <n v="4106"/>
    <x v="71"/>
    <s v="B 13"/>
    <n v="1"/>
    <n v="308"/>
    <x v="90"/>
    <s v="Annual"/>
    <n v="1"/>
    <n v="1"/>
    <n v="74172"/>
    <n v="74172"/>
  </r>
  <r>
    <x v="0"/>
    <n v="38"/>
    <x v="13"/>
    <x v="0"/>
    <x v="0"/>
    <n v="1005"/>
    <x v="14"/>
    <x v="8"/>
    <x v="18"/>
    <n v="3102"/>
    <x v="87"/>
    <n v="4106"/>
    <x v="71"/>
    <s v="1 00"/>
    <n v="0"/>
    <n v="15"/>
    <x v="37"/>
    <s v="Annual"/>
    <n v="0"/>
    <n v="0"/>
    <n v="5476"/>
    <n v="5476"/>
  </r>
  <r>
    <x v="0"/>
    <n v="38"/>
    <x v="13"/>
    <x v="0"/>
    <x v="0"/>
    <n v="1005"/>
    <x v="14"/>
    <x v="8"/>
    <x v="18"/>
    <n v="3102"/>
    <x v="87"/>
    <n v="4107"/>
    <x v="72"/>
    <s v="X 33"/>
    <n v="0"/>
    <n v="5633"/>
    <x v="423"/>
    <s v="Annual"/>
    <n v="1"/>
    <n v="1"/>
    <n v="137532"/>
    <n v="137532"/>
  </r>
  <r>
    <x v="0"/>
    <n v="38"/>
    <x v="13"/>
    <x v="0"/>
    <x v="0"/>
    <n v="1005"/>
    <x v="14"/>
    <x v="8"/>
    <x v="18"/>
    <n v="3102"/>
    <x v="87"/>
    <n v="4107"/>
    <x v="72"/>
    <s v="BX 18"/>
    <n v="10"/>
    <n v="310"/>
    <x v="135"/>
    <s v="Annual"/>
    <n v="6"/>
    <n v="1"/>
    <n v="118956"/>
    <n v="713736"/>
  </r>
  <r>
    <x v="0"/>
    <n v="38"/>
    <x v="13"/>
    <x v="0"/>
    <x v="0"/>
    <n v="1005"/>
    <x v="14"/>
    <x v="8"/>
    <x v="18"/>
    <n v="3102"/>
    <x v="87"/>
    <n v="4107"/>
    <x v="72"/>
    <s v="BX 18"/>
    <n v="10"/>
    <n v="310"/>
    <x v="135"/>
    <s v="Annual"/>
    <n v="1"/>
    <n v="1"/>
    <n v="89112"/>
    <n v="89112"/>
  </r>
  <r>
    <x v="0"/>
    <n v="38"/>
    <x v="13"/>
    <x v="0"/>
    <x v="0"/>
    <n v="1005"/>
    <x v="14"/>
    <x v="8"/>
    <x v="18"/>
    <n v="3102"/>
    <x v="87"/>
    <n v="4107"/>
    <x v="72"/>
    <s v="1 00"/>
    <n v="0"/>
    <n v="15"/>
    <x v="37"/>
    <s v="Annual"/>
    <n v="0"/>
    <n v="0"/>
    <n v="7934"/>
    <n v="7934"/>
  </r>
  <r>
    <x v="0"/>
    <n v="38"/>
    <x v="13"/>
    <x v="0"/>
    <x v="0"/>
    <n v="1005"/>
    <x v="14"/>
    <x v="8"/>
    <x v="18"/>
    <n v="3102"/>
    <x v="87"/>
    <n v="4119"/>
    <x v="73"/>
    <s v="2 0"/>
    <n v="53"/>
    <n v="9534"/>
    <x v="424"/>
    <s v="Hourly"/>
    <n v="14"/>
    <n v="1"/>
    <n v="51.4"/>
    <n v="1496768"/>
  </r>
  <r>
    <x v="0"/>
    <n v="38"/>
    <x v="13"/>
    <x v="0"/>
    <x v="0"/>
    <n v="1005"/>
    <x v="14"/>
    <x v="8"/>
    <x v="18"/>
    <n v="3102"/>
    <x v="87"/>
    <n v="4119"/>
    <x v="73"/>
    <s v="2 0"/>
    <n v="53"/>
    <n v="9534"/>
    <x v="424"/>
    <s v="Hourly"/>
    <n v="2"/>
    <n v="1"/>
    <n v="51.05"/>
    <n v="212368"/>
  </r>
  <r>
    <x v="0"/>
    <n v="38"/>
    <x v="13"/>
    <x v="0"/>
    <x v="0"/>
    <n v="1005"/>
    <x v="14"/>
    <x v="8"/>
    <x v="18"/>
    <n v="3102"/>
    <x v="87"/>
    <n v="4119"/>
    <x v="73"/>
    <s v="2 0"/>
    <n v="53"/>
    <n v="8244"/>
    <x v="425"/>
    <s v="Hourly"/>
    <n v="1"/>
    <n v="1"/>
    <n v="52.3"/>
    <n v="108784"/>
  </r>
  <r>
    <x v="0"/>
    <n v="38"/>
    <x v="13"/>
    <x v="0"/>
    <x v="0"/>
    <n v="1005"/>
    <x v="14"/>
    <x v="8"/>
    <x v="18"/>
    <n v="3102"/>
    <x v="87"/>
    <n v="4119"/>
    <x v="73"/>
    <s v="2 0"/>
    <n v="36"/>
    <n v="6676"/>
    <x v="426"/>
    <s v="Hourly"/>
    <n v="1"/>
    <n v="1"/>
    <n v="64.39"/>
    <n v="133931"/>
  </r>
  <r>
    <x v="0"/>
    <n v="38"/>
    <x v="13"/>
    <x v="0"/>
    <x v="0"/>
    <n v="1005"/>
    <x v="14"/>
    <x v="8"/>
    <x v="18"/>
    <n v="3102"/>
    <x v="87"/>
    <n v="4119"/>
    <x v="73"/>
    <s v="2 0"/>
    <n v="36"/>
    <n v="6674"/>
    <x v="427"/>
    <s v="Hourly"/>
    <n v="2"/>
    <n v="1"/>
    <n v="60.39"/>
    <n v="251222"/>
  </r>
  <r>
    <x v="0"/>
    <n v="38"/>
    <x v="13"/>
    <x v="0"/>
    <x v="0"/>
    <n v="1005"/>
    <x v="14"/>
    <x v="8"/>
    <x v="18"/>
    <n v="3102"/>
    <x v="87"/>
    <n v="4119"/>
    <x v="73"/>
    <s v="2 0"/>
    <n v="32"/>
    <n v="5043"/>
    <x v="428"/>
    <s v="Hourly"/>
    <n v="9"/>
    <n v="1"/>
    <n v="57.75"/>
    <n v="1081080"/>
  </r>
  <r>
    <x v="0"/>
    <n v="38"/>
    <x v="13"/>
    <x v="0"/>
    <x v="0"/>
    <n v="1005"/>
    <x v="14"/>
    <x v="8"/>
    <x v="18"/>
    <n v="3102"/>
    <x v="87"/>
    <n v="4119"/>
    <x v="73"/>
    <s v="2 0"/>
    <n v="32"/>
    <n v="5042"/>
    <x v="429"/>
    <s v="Monthly"/>
    <n v="2"/>
    <n v="1"/>
    <n v="11511.5"/>
    <n v="276276"/>
  </r>
  <r>
    <x v="0"/>
    <n v="38"/>
    <x v="13"/>
    <x v="0"/>
    <x v="0"/>
    <n v="1005"/>
    <x v="14"/>
    <x v="8"/>
    <x v="18"/>
    <n v="3102"/>
    <x v="87"/>
    <n v="4119"/>
    <x v="73"/>
    <s v="2 0"/>
    <n v="32"/>
    <n v="5040"/>
    <x v="430"/>
    <s v="Hourly"/>
    <n v="6"/>
    <n v="1"/>
    <n v="63.53"/>
    <n v="792854"/>
  </r>
  <r>
    <x v="0"/>
    <n v="38"/>
    <x v="13"/>
    <x v="0"/>
    <x v="0"/>
    <n v="1005"/>
    <x v="14"/>
    <x v="8"/>
    <x v="18"/>
    <n v="3102"/>
    <x v="87"/>
    <n v="4119"/>
    <x v="73"/>
    <s v="2 0"/>
    <n v="32"/>
    <n v="5035"/>
    <x v="431"/>
    <s v="Hourly"/>
    <n v="41"/>
    <n v="1"/>
    <n v="57.75"/>
    <n v="4924920"/>
  </r>
  <r>
    <x v="0"/>
    <n v="38"/>
    <x v="13"/>
    <x v="0"/>
    <x v="0"/>
    <n v="1005"/>
    <x v="14"/>
    <x v="8"/>
    <x v="18"/>
    <n v="3102"/>
    <x v="87"/>
    <n v="4119"/>
    <x v="73"/>
    <s v="2 0"/>
    <n v="41"/>
    <n v="4856"/>
    <x v="432"/>
    <s v="Hourly"/>
    <n v="1"/>
    <n v="1"/>
    <n v="58.95"/>
    <n v="122616"/>
  </r>
  <r>
    <x v="0"/>
    <n v="38"/>
    <x v="13"/>
    <x v="0"/>
    <x v="0"/>
    <n v="1005"/>
    <x v="14"/>
    <x v="8"/>
    <x v="18"/>
    <n v="3102"/>
    <x v="87"/>
    <n v="4119"/>
    <x v="73"/>
    <s v="2 0"/>
    <n v="41"/>
    <n v="4855"/>
    <x v="433"/>
    <s v="Hourly"/>
    <n v="3"/>
    <n v="1"/>
    <n v="54.58"/>
    <n v="340579"/>
  </r>
  <r>
    <x v="0"/>
    <n v="38"/>
    <x v="13"/>
    <x v="0"/>
    <x v="0"/>
    <n v="1005"/>
    <x v="14"/>
    <x v="8"/>
    <x v="18"/>
    <n v="3102"/>
    <x v="87"/>
    <n v="4119"/>
    <x v="73"/>
    <s v="2 0"/>
    <n v="47"/>
    <n v="4805"/>
    <x v="434"/>
    <s v="Hourly"/>
    <n v="1"/>
    <n v="1"/>
    <n v="59.26"/>
    <n v="123261"/>
  </r>
  <r>
    <x v="0"/>
    <n v="38"/>
    <x v="13"/>
    <x v="0"/>
    <x v="0"/>
    <n v="1005"/>
    <x v="14"/>
    <x v="8"/>
    <x v="18"/>
    <n v="3102"/>
    <x v="87"/>
    <n v="4119"/>
    <x v="73"/>
    <s v="2 0"/>
    <n v="14"/>
    <n v="4776"/>
    <x v="435"/>
    <s v="Hourly"/>
    <n v="1"/>
    <n v="1"/>
    <n v="63"/>
    <n v="131040"/>
  </r>
  <r>
    <x v="0"/>
    <n v="38"/>
    <x v="13"/>
    <x v="0"/>
    <x v="0"/>
    <n v="1005"/>
    <x v="14"/>
    <x v="8"/>
    <x v="18"/>
    <n v="3102"/>
    <x v="87"/>
    <n v="4119"/>
    <x v="73"/>
    <s v="2 0"/>
    <n v="14"/>
    <n v="4774"/>
    <x v="436"/>
    <s v="Hourly"/>
    <n v="10"/>
    <n v="1"/>
    <n v="60"/>
    <n v="1248000"/>
  </r>
  <r>
    <x v="0"/>
    <n v="38"/>
    <x v="13"/>
    <x v="0"/>
    <x v="0"/>
    <n v="1005"/>
    <x v="14"/>
    <x v="8"/>
    <x v="18"/>
    <n v="3102"/>
    <x v="87"/>
    <n v="4119"/>
    <x v="73"/>
    <s v="2 0"/>
    <n v="48"/>
    <n v="4765"/>
    <x v="437"/>
    <s v="Hourly"/>
    <n v="2"/>
    <n v="1"/>
    <n v="63.25"/>
    <n v="263120"/>
  </r>
  <r>
    <x v="0"/>
    <n v="38"/>
    <x v="13"/>
    <x v="0"/>
    <x v="0"/>
    <n v="1005"/>
    <x v="14"/>
    <x v="8"/>
    <x v="18"/>
    <n v="3102"/>
    <x v="87"/>
    <n v="4119"/>
    <x v="73"/>
    <s v="2 0"/>
    <n v="16"/>
    <n v="4756"/>
    <x v="438"/>
    <s v="Hourly"/>
    <n v="1"/>
    <n v="1"/>
    <n v="64.150000000000006"/>
    <n v="133432"/>
  </r>
  <r>
    <x v="0"/>
    <n v="38"/>
    <x v="13"/>
    <x v="0"/>
    <x v="0"/>
    <n v="1005"/>
    <x v="14"/>
    <x v="8"/>
    <x v="18"/>
    <n v="3102"/>
    <x v="87"/>
    <n v="4119"/>
    <x v="73"/>
    <s v="2 0"/>
    <n v="16"/>
    <n v="4754"/>
    <x v="439"/>
    <s v="Hourly"/>
    <n v="17"/>
    <n v="1"/>
    <n v="60.5"/>
    <n v="2139280"/>
  </r>
  <r>
    <x v="0"/>
    <n v="38"/>
    <x v="13"/>
    <x v="0"/>
    <x v="0"/>
    <n v="1005"/>
    <x v="14"/>
    <x v="8"/>
    <x v="18"/>
    <n v="3102"/>
    <x v="87"/>
    <n v="4119"/>
    <x v="73"/>
    <s v="2 0"/>
    <n v="39"/>
    <n v="4636"/>
    <x v="440"/>
    <s v="Hourly"/>
    <n v="2"/>
    <n v="1"/>
    <n v="61.09"/>
    <n v="254134"/>
  </r>
  <r>
    <x v="0"/>
    <n v="38"/>
    <x v="13"/>
    <x v="0"/>
    <x v="0"/>
    <n v="1005"/>
    <x v="14"/>
    <x v="8"/>
    <x v="18"/>
    <n v="3102"/>
    <x v="87"/>
    <n v="4119"/>
    <x v="73"/>
    <s v="2 0"/>
    <n v="39"/>
    <n v="4634"/>
    <x v="441"/>
    <s v="Hourly"/>
    <n v="15"/>
    <n v="1"/>
    <n v="54.3"/>
    <n v="1694160"/>
  </r>
  <r>
    <x v="0"/>
    <n v="38"/>
    <x v="13"/>
    <x v="0"/>
    <x v="0"/>
    <n v="1005"/>
    <x v="14"/>
    <x v="8"/>
    <x v="18"/>
    <n v="3102"/>
    <x v="87"/>
    <n v="4119"/>
    <x v="73"/>
    <s v="2 0"/>
    <n v="50"/>
    <n v="4526"/>
    <x v="442"/>
    <s v="Monthly"/>
    <n v="2"/>
    <n v="1"/>
    <n v="11909.73"/>
    <n v="285834"/>
  </r>
  <r>
    <x v="0"/>
    <n v="38"/>
    <x v="13"/>
    <x v="0"/>
    <x v="0"/>
    <n v="1005"/>
    <x v="14"/>
    <x v="8"/>
    <x v="18"/>
    <n v="3102"/>
    <x v="87"/>
    <n v="4119"/>
    <x v="73"/>
    <s v="2 0"/>
    <n v="13"/>
    <n v="4505"/>
    <x v="443"/>
    <s v="Hourly"/>
    <n v="1"/>
    <n v="1"/>
    <n v="56.02"/>
    <n v="116522"/>
  </r>
  <r>
    <x v="0"/>
    <n v="38"/>
    <x v="13"/>
    <x v="0"/>
    <x v="0"/>
    <n v="1005"/>
    <x v="14"/>
    <x v="8"/>
    <x v="18"/>
    <n v="3102"/>
    <x v="87"/>
    <n v="4119"/>
    <x v="73"/>
    <s v="2 0"/>
    <n v="49"/>
    <n v="4403"/>
    <x v="444"/>
    <s v="Hourly"/>
    <n v="2"/>
    <n v="1"/>
    <n v="53.06"/>
    <n v="220730"/>
  </r>
  <r>
    <x v="0"/>
    <n v="38"/>
    <x v="13"/>
    <x v="0"/>
    <x v="0"/>
    <n v="1005"/>
    <x v="14"/>
    <x v="8"/>
    <x v="18"/>
    <n v="3102"/>
    <x v="87"/>
    <n v="4119"/>
    <x v="73"/>
    <s v="2 0"/>
    <n v="34"/>
    <n v="4335"/>
    <x v="445"/>
    <s v="Hourly"/>
    <n v="2"/>
    <n v="1"/>
    <n v="53.55"/>
    <n v="222768"/>
  </r>
  <r>
    <x v="0"/>
    <n v="38"/>
    <x v="13"/>
    <x v="0"/>
    <x v="0"/>
    <n v="1005"/>
    <x v="14"/>
    <x v="8"/>
    <x v="18"/>
    <n v="3102"/>
    <x v="87"/>
    <n v="4119"/>
    <x v="73"/>
    <s v="2 0"/>
    <n v="50"/>
    <n v="4303"/>
    <x v="446"/>
    <s v="Hourly"/>
    <n v="3"/>
    <n v="1"/>
    <n v="59.21"/>
    <n v="369470"/>
  </r>
  <r>
    <x v="0"/>
    <n v="38"/>
    <x v="13"/>
    <x v="0"/>
    <x v="0"/>
    <n v="1005"/>
    <x v="14"/>
    <x v="8"/>
    <x v="18"/>
    <n v="3102"/>
    <x v="87"/>
    <n v="4119"/>
    <x v="73"/>
    <s v="2 0"/>
    <n v="50"/>
    <n v="4301"/>
    <x v="447"/>
    <s v="Hourly"/>
    <n v="27"/>
    <n v="1"/>
    <n v="56.71"/>
    <n v="3184834"/>
  </r>
  <r>
    <x v="0"/>
    <n v="38"/>
    <x v="13"/>
    <x v="0"/>
    <x v="0"/>
    <n v="1005"/>
    <x v="14"/>
    <x v="8"/>
    <x v="18"/>
    <n v="3102"/>
    <x v="87"/>
    <n v="4119"/>
    <x v="73"/>
    <s v="2 0"/>
    <n v="35"/>
    <n v="4285"/>
    <x v="448"/>
    <s v="Hourly"/>
    <n v="2"/>
    <n v="1"/>
    <n v="29.8"/>
    <n v="123968"/>
  </r>
  <r>
    <x v="0"/>
    <n v="38"/>
    <x v="13"/>
    <x v="0"/>
    <x v="0"/>
    <n v="1005"/>
    <x v="14"/>
    <x v="8"/>
    <x v="18"/>
    <n v="3102"/>
    <x v="87"/>
    <n v="4119"/>
    <x v="73"/>
    <s v="BX 15"/>
    <n v="10"/>
    <n v="1911"/>
    <x v="226"/>
    <s v="Annual"/>
    <n v="1"/>
    <n v="1"/>
    <n v="69684"/>
    <n v="69684"/>
  </r>
  <r>
    <x v="0"/>
    <n v="38"/>
    <x v="13"/>
    <x v="0"/>
    <x v="0"/>
    <n v="1005"/>
    <x v="14"/>
    <x v="8"/>
    <x v="18"/>
    <n v="3102"/>
    <x v="87"/>
    <n v="4119"/>
    <x v="73"/>
    <s v="1 00"/>
    <n v="0"/>
    <n v="12"/>
    <x v="291"/>
    <s v="Annual"/>
    <n v="0"/>
    <n v="0"/>
    <n v="303782"/>
    <n v="303782"/>
  </r>
  <r>
    <x v="0"/>
    <n v="38"/>
    <x v="13"/>
    <x v="0"/>
    <x v="0"/>
    <n v="1005"/>
    <x v="14"/>
    <x v="8"/>
    <x v="18"/>
    <n v="3102"/>
    <x v="87"/>
    <n v="4122"/>
    <x v="74"/>
    <s v="2 0"/>
    <n v="8"/>
    <n v="7183"/>
    <x v="449"/>
    <s v="Hourly"/>
    <n v="7"/>
    <n v="1"/>
    <n v="48.73"/>
    <n v="709509"/>
  </r>
  <r>
    <x v="0"/>
    <n v="38"/>
    <x v="13"/>
    <x v="0"/>
    <x v="0"/>
    <n v="1005"/>
    <x v="14"/>
    <x v="8"/>
    <x v="18"/>
    <n v="3102"/>
    <x v="87"/>
    <n v="4122"/>
    <x v="74"/>
    <s v="B 09"/>
    <n v="3"/>
    <n v="3006"/>
    <x v="450"/>
    <s v="Annual"/>
    <n v="3"/>
    <n v="1"/>
    <n v="82140"/>
    <n v="246420"/>
  </r>
  <r>
    <x v="0"/>
    <n v="38"/>
    <x v="13"/>
    <x v="0"/>
    <x v="0"/>
    <n v="1005"/>
    <x v="14"/>
    <x v="8"/>
    <x v="18"/>
    <n v="3102"/>
    <x v="87"/>
    <n v="4122"/>
    <x v="74"/>
    <s v="B 09"/>
    <n v="3"/>
    <n v="3006"/>
    <x v="450"/>
    <s v="Annual"/>
    <n v="2"/>
    <n v="1"/>
    <n v="71436"/>
    <n v="142872"/>
  </r>
  <r>
    <x v="0"/>
    <n v="38"/>
    <x v="13"/>
    <x v="0"/>
    <x v="0"/>
    <n v="1005"/>
    <x v="14"/>
    <x v="8"/>
    <x v="18"/>
    <n v="3102"/>
    <x v="87"/>
    <n v="4122"/>
    <x v="74"/>
    <s v="B 09"/>
    <n v="3"/>
    <n v="3006"/>
    <x v="450"/>
    <s v="Annual"/>
    <n v="2"/>
    <n v="1"/>
    <n v="65112"/>
    <n v="130224"/>
  </r>
  <r>
    <x v="0"/>
    <n v="38"/>
    <x v="13"/>
    <x v="0"/>
    <x v="0"/>
    <n v="1005"/>
    <x v="14"/>
    <x v="8"/>
    <x v="18"/>
    <n v="3102"/>
    <x v="87"/>
    <n v="4122"/>
    <x v="74"/>
    <s v="B 09"/>
    <n v="3"/>
    <n v="3006"/>
    <x v="450"/>
    <s v="Annual"/>
    <n v="1"/>
    <n v="1"/>
    <n v="62136"/>
    <n v="62136"/>
  </r>
  <r>
    <x v="0"/>
    <n v="38"/>
    <x v="13"/>
    <x v="0"/>
    <x v="0"/>
    <n v="1005"/>
    <x v="14"/>
    <x v="8"/>
    <x v="18"/>
    <n v="3102"/>
    <x v="87"/>
    <n v="4122"/>
    <x v="74"/>
    <s v="B 09"/>
    <n v="3"/>
    <n v="3006"/>
    <x v="450"/>
    <s v="Annual"/>
    <n v="1"/>
    <n v="1"/>
    <n v="51108"/>
    <n v="51108"/>
  </r>
  <r>
    <x v="0"/>
    <n v="38"/>
    <x v="13"/>
    <x v="0"/>
    <x v="0"/>
    <n v="1005"/>
    <x v="14"/>
    <x v="8"/>
    <x v="18"/>
    <n v="3102"/>
    <x v="87"/>
    <n v="4122"/>
    <x v="74"/>
    <s v="B 10"/>
    <n v="1"/>
    <n v="1817"/>
    <x v="451"/>
    <s v="Annual"/>
    <n v="1"/>
    <n v="1"/>
    <n v="51936"/>
    <n v="51936"/>
  </r>
  <r>
    <x v="0"/>
    <n v="38"/>
    <x v="13"/>
    <x v="0"/>
    <x v="0"/>
    <n v="1005"/>
    <x v="14"/>
    <x v="8"/>
    <x v="18"/>
    <n v="3102"/>
    <x v="87"/>
    <n v="4122"/>
    <x v="74"/>
    <s v="B 07"/>
    <n v="1"/>
    <n v="1811"/>
    <x v="452"/>
    <s v="Annual"/>
    <n v="1"/>
    <n v="1"/>
    <n v="41196"/>
    <n v="41196"/>
  </r>
  <r>
    <x v="0"/>
    <n v="38"/>
    <x v="13"/>
    <x v="0"/>
    <x v="0"/>
    <n v="1005"/>
    <x v="14"/>
    <x v="8"/>
    <x v="18"/>
    <n v="3102"/>
    <x v="87"/>
    <n v="4122"/>
    <x v="74"/>
    <s v="X 33"/>
    <n v="0"/>
    <n v="1810"/>
    <x v="453"/>
    <s v="Annual"/>
    <n v="1"/>
    <n v="1"/>
    <n v="146808"/>
    <n v="146808"/>
  </r>
  <r>
    <x v="0"/>
    <n v="38"/>
    <x v="13"/>
    <x v="0"/>
    <x v="0"/>
    <n v="1005"/>
    <x v="14"/>
    <x v="8"/>
    <x v="18"/>
    <n v="3102"/>
    <x v="87"/>
    <n v="4122"/>
    <x v="74"/>
    <s v="BX 12"/>
    <n v="20"/>
    <n v="437"/>
    <x v="454"/>
    <s v="Annual"/>
    <n v="1"/>
    <n v="1"/>
    <n v="85980"/>
    <n v="85980"/>
  </r>
  <r>
    <x v="0"/>
    <n v="38"/>
    <x v="13"/>
    <x v="0"/>
    <x v="0"/>
    <n v="1005"/>
    <x v="14"/>
    <x v="8"/>
    <x v="18"/>
    <n v="3102"/>
    <x v="87"/>
    <n v="4122"/>
    <x v="74"/>
    <s v="1 00"/>
    <n v="0"/>
    <n v="15"/>
    <x v="37"/>
    <s v="Annual"/>
    <n v="0"/>
    <n v="0"/>
    <n v="7861"/>
    <n v="7861"/>
  </r>
  <r>
    <x v="0"/>
    <n v="38"/>
    <x v="13"/>
    <x v="0"/>
    <x v="0"/>
    <n v="1005"/>
    <x v="14"/>
    <x v="8"/>
    <x v="18"/>
    <n v="3102"/>
    <x v="87"/>
    <n v="4122"/>
    <x v="74"/>
    <s v="1 00"/>
    <n v="0"/>
    <n v="12"/>
    <x v="291"/>
    <s v="Annual"/>
    <n v="0"/>
    <n v="0"/>
    <n v="10643"/>
    <n v="10643"/>
  </r>
  <r>
    <x v="0"/>
    <n v="38"/>
    <x v="13"/>
    <x v="0"/>
    <x v="0"/>
    <n v="1005"/>
    <x v="14"/>
    <x v="9"/>
    <x v="19"/>
    <n v="3106"/>
    <x v="88"/>
    <n v="4112"/>
    <x v="75"/>
    <s v="B 12"/>
    <n v="4"/>
    <n v="6425"/>
    <x v="455"/>
    <s v="Annual"/>
    <n v="1"/>
    <n v="1"/>
    <n v="70752"/>
    <n v="70752"/>
  </r>
  <r>
    <x v="0"/>
    <n v="38"/>
    <x v="13"/>
    <x v="0"/>
    <x v="0"/>
    <n v="1005"/>
    <x v="14"/>
    <x v="9"/>
    <x v="19"/>
    <n v="3106"/>
    <x v="88"/>
    <n v="4112"/>
    <x v="75"/>
    <s v="BX 14"/>
    <n v="10"/>
    <n v="6424"/>
    <x v="456"/>
    <s v="Annual"/>
    <n v="1"/>
    <n v="1"/>
    <n v="90000"/>
    <n v="90000"/>
  </r>
  <r>
    <x v="0"/>
    <n v="38"/>
    <x v="13"/>
    <x v="0"/>
    <x v="0"/>
    <n v="1005"/>
    <x v="14"/>
    <x v="9"/>
    <x v="19"/>
    <n v="3106"/>
    <x v="88"/>
    <n v="4112"/>
    <x v="75"/>
    <s v="BX 16"/>
    <n v="10"/>
    <n v="6421"/>
    <x v="457"/>
    <s v="Annual"/>
    <n v="1"/>
    <n v="1"/>
    <n v="118956"/>
    <n v="118956"/>
  </r>
  <r>
    <x v="0"/>
    <n v="38"/>
    <x v="13"/>
    <x v="0"/>
    <x v="0"/>
    <n v="1005"/>
    <x v="14"/>
    <x v="9"/>
    <x v="19"/>
    <n v="3106"/>
    <x v="88"/>
    <n v="4112"/>
    <x v="75"/>
    <s v="BX 15"/>
    <n v="10"/>
    <n v="919"/>
    <x v="458"/>
    <s v="Annual"/>
    <n v="1"/>
    <n v="1"/>
    <n v="108432"/>
    <n v="108432"/>
  </r>
  <r>
    <x v="0"/>
    <n v="38"/>
    <x v="13"/>
    <x v="0"/>
    <x v="0"/>
    <n v="1005"/>
    <x v="14"/>
    <x v="9"/>
    <x v="19"/>
    <n v="3106"/>
    <x v="88"/>
    <n v="4112"/>
    <x v="75"/>
    <s v="1 00"/>
    <n v="0"/>
    <n v="15"/>
    <x v="37"/>
    <s v="Annual"/>
    <n v="0"/>
    <n v="0"/>
    <n v="4340"/>
    <n v="4340"/>
  </r>
  <r>
    <x v="0"/>
    <n v="38"/>
    <x v="13"/>
    <x v="0"/>
    <x v="0"/>
    <n v="1005"/>
    <x v="14"/>
    <x v="9"/>
    <x v="19"/>
    <n v="3106"/>
    <x v="88"/>
    <n v="4113"/>
    <x v="76"/>
    <s v="B 13"/>
    <n v="1"/>
    <n v="6765"/>
    <x v="459"/>
    <s v="Annual"/>
    <n v="1"/>
    <n v="1"/>
    <n v="119100"/>
    <n v="119100"/>
  </r>
  <r>
    <x v="0"/>
    <n v="38"/>
    <x v="13"/>
    <x v="0"/>
    <x v="0"/>
    <n v="1005"/>
    <x v="14"/>
    <x v="9"/>
    <x v="19"/>
    <n v="3106"/>
    <x v="88"/>
    <n v="4113"/>
    <x v="76"/>
    <s v="B 11"/>
    <n v="1"/>
    <n v="6423"/>
    <x v="460"/>
    <s v="Annual"/>
    <n v="1"/>
    <n v="1"/>
    <n v="64488"/>
    <n v="64488"/>
  </r>
  <r>
    <x v="0"/>
    <n v="38"/>
    <x v="13"/>
    <x v="0"/>
    <x v="0"/>
    <n v="1005"/>
    <x v="14"/>
    <x v="9"/>
    <x v="19"/>
    <n v="3106"/>
    <x v="88"/>
    <n v="4113"/>
    <x v="76"/>
    <s v="B 14"/>
    <n v="1"/>
    <n v="6418"/>
    <x v="461"/>
    <s v="Annual"/>
    <n v="1"/>
    <n v="1"/>
    <n v="119100"/>
    <n v="119100"/>
  </r>
  <r>
    <x v="0"/>
    <n v="38"/>
    <x v="13"/>
    <x v="0"/>
    <x v="0"/>
    <n v="1005"/>
    <x v="14"/>
    <x v="9"/>
    <x v="19"/>
    <n v="3106"/>
    <x v="88"/>
    <n v="4113"/>
    <x v="76"/>
    <s v="B 14"/>
    <n v="1"/>
    <n v="6418"/>
    <x v="461"/>
    <s v="Annual"/>
    <n v="1"/>
    <n v="1"/>
    <n v="113628"/>
    <n v="113628"/>
  </r>
  <r>
    <x v="0"/>
    <n v="38"/>
    <x v="13"/>
    <x v="0"/>
    <x v="0"/>
    <n v="1005"/>
    <x v="14"/>
    <x v="9"/>
    <x v="19"/>
    <n v="3106"/>
    <x v="88"/>
    <n v="4113"/>
    <x v="76"/>
    <s v="B 14"/>
    <n v="1"/>
    <n v="6418"/>
    <x v="461"/>
    <s v="Annual"/>
    <n v="1"/>
    <n v="1"/>
    <n v="81324"/>
    <n v="81324"/>
  </r>
  <r>
    <x v="0"/>
    <n v="38"/>
    <x v="13"/>
    <x v="0"/>
    <x v="0"/>
    <n v="1005"/>
    <x v="14"/>
    <x v="9"/>
    <x v="19"/>
    <n v="3106"/>
    <x v="88"/>
    <n v="4113"/>
    <x v="76"/>
    <s v="BX 11"/>
    <n v="10"/>
    <n v="6417"/>
    <x v="462"/>
    <s v="Annual"/>
    <n v="1"/>
    <n v="1"/>
    <n v="48060"/>
    <n v="48060"/>
  </r>
  <r>
    <x v="0"/>
    <n v="38"/>
    <x v="13"/>
    <x v="0"/>
    <x v="0"/>
    <n v="1005"/>
    <x v="14"/>
    <x v="9"/>
    <x v="19"/>
    <n v="3106"/>
    <x v="88"/>
    <n v="4113"/>
    <x v="76"/>
    <s v="X 33"/>
    <n v="0"/>
    <n v="6414"/>
    <x v="463"/>
    <s v="Annual"/>
    <n v="1"/>
    <n v="1"/>
    <n v="153384"/>
    <n v="153384"/>
  </r>
  <r>
    <x v="0"/>
    <n v="38"/>
    <x v="13"/>
    <x v="0"/>
    <x v="0"/>
    <n v="1005"/>
    <x v="14"/>
    <x v="9"/>
    <x v="19"/>
    <n v="3106"/>
    <x v="88"/>
    <n v="4113"/>
    <x v="76"/>
    <s v="B 12"/>
    <n v="1"/>
    <n v="6410"/>
    <x v="232"/>
    <s v="Annual"/>
    <n v="1"/>
    <n v="1"/>
    <n v="94452"/>
    <n v="94452"/>
  </r>
  <r>
    <x v="0"/>
    <n v="38"/>
    <x v="13"/>
    <x v="0"/>
    <x v="0"/>
    <n v="1005"/>
    <x v="14"/>
    <x v="9"/>
    <x v="19"/>
    <n v="3106"/>
    <x v="88"/>
    <n v="4113"/>
    <x v="76"/>
    <s v="B 10"/>
    <n v="1"/>
    <n v="6406"/>
    <x v="464"/>
    <s v="Annual"/>
    <n v="1"/>
    <n v="1"/>
    <n v="90144"/>
    <n v="90144"/>
  </r>
  <r>
    <x v="0"/>
    <n v="38"/>
    <x v="13"/>
    <x v="0"/>
    <x v="0"/>
    <n v="1005"/>
    <x v="14"/>
    <x v="9"/>
    <x v="19"/>
    <n v="3106"/>
    <x v="88"/>
    <n v="4113"/>
    <x v="76"/>
    <s v="B 10"/>
    <n v="1"/>
    <n v="6406"/>
    <x v="464"/>
    <s v="Annual"/>
    <n v="1"/>
    <n v="1"/>
    <n v="78432"/>
    <n v="78432"/>
  </r>
  <r>
    <x v="0"/>
    <n v="38"/>
    <x v="13"/>
    <x v="0"/>
    <x v="0"/>
    <n v="1005"/>
    <x v="14"/>
    <x v="9"/>
    <x v="19"/>
    <n v="3106"/>
    <x v="88"/>
    <n v="4113"/>
    <x v="76"/>
    <s v="B 10"/>
    <n v="1"/>
    <n v="6406"/>
    <x v="464"/>
    <s v="Annual"/>
    <n v="1"/>
    <n v="1"/>
    <n v="61548"/>
    <n v="61548"/>
  </r>
  <r>
    <x v="0"/>
    <n v="38"/>
    <x v="13"/>
    <x v="0"/>
    <x v="0"/>
    <n v="1005"/>
    <x v="14"/>
    <x v="9"/>
    <x v="19"/>
    <n v="3106"/>
    <x v="88"/>
    <n v="4113"/>
    <x v="76"/>
    <s v="B 10"/>
    <n v="1"/>
    <n v="6406"/>
    <x v="464"/>
    <s v="Annual"/>
    <n v="1"/>
    <n v="1"/>
    <n v="53532"/>
    <n v="53532"/>
  </r>
  <r>
    <x v="0"/>
    <n v="38"/>
    <x v="13"/>
    <x v="0"/>
    <x v="0"/>
    <n v="1005"/>
    <x v="14"/>
    <x v="9"/>
    <x v="19"/>
    <n v="3106"/>
    <x v="88"/>
    <n v="4113"/>
    <x v="76"/>
    <s v="B 08"/>
    <n v="1"/>
    <n v="6405"/>
    <x v="465"/>
    <s v="Annual"/>
    <n v="2"/>
    <n v="1"/>
    <n v="46560"/>
    <n v="93120"/>
  </r>
  <r>
    <x v="0"/>
    <n v="38"/>
    <x v="13"/>
    <x v="0"/>
    <x v="0"/>
    <n v="1005"/>
    <x v="14"/>
    <x v="9"/>
    <x v="19"/>
    <n v="3106"/>
    <x v="88"/>
    <n v="4113"/>
    <x v="76"/>
    <s v="B 10"/>
    <n v="1"/>
    <n v="694"/>
    <x v="464"/>
    <s v="Annual"/>
    <n v="1"/>
    <n v="1"/>
    <n v="90144"/>
    <n v="90144"/>
  </r>
  <r>
    <x v="0"/>
    <n v="38"/>
    <x v="13"/>
    <x v="0"/>
    <x v="0"/>
    <n v="1005"/>
    <x v="14"/>
    <x v="9"/>
    <x v="19"/>
    <n v="3106"/>
    <x v="88"/>
    <n v="4113"/>
    <x v="76"/>
    <s v="B 10"/>
    <n v="1"/>
    <s v="03A7"/>
    <x v="4"/>
    <s v="Annual"/>
    <n v="1"/>
    <n v="1"/>
    <n v="58764"/>
    <n v="58764"/>
  </r>
  <r>
    <x v="0"/>
    <n v="38"/>
    <x v="13"/>
    <x v="0"/>
    <x v="0"/>
    <n v="1005"/>
    <x v="14"/>
    <x v="9"/>
    <x v="19"/>
    <n v="3106"/>
    <x v="88"/>
    <n v="4113"/>
    <x v="76"/>
    <s v="1 00"/>
    <n v="0"/>
    <n v="15"/>
    <x v="37"/>
    <s v="Annual"/>
    <n v="0"/>
    <n v="0"/>
    <n v="12321"/>
    <n v="12321"/>
  </r>
  <r>
    <x v="0"/>
    <n v="38"/>
    <x v="13"/>
    <x v="0"/>
    <x v="0"/>
    <n v="1005"/>
    <x v="14"/>
    <x v="9"/>
    <x v="19"/>
    <n v="3106"/>
    <x v="88"/>
    <n v="4114"/>
    <x v="77"/>
    <s v="B 13"/>
    <n v="1"/>
    <n v="6409"/>
    <x v="466"/>
    <s v="Annual"/>
    <n v="2"/>
    <n v="1"/>
    <n v="119100"/>
    <n v="238200"/>
  </r>
  <r>
    <x v="0"/>
    <n v="38"/>
    <x v="13"/>
    <x v="0"/>
    <x v="0"/>
    <n v="1005"/>
    <x v="14"/>
    <x v="9"/>
    <x v="19"/>
    <n v="3106"/>
    <x v="88"/>
    <n v="4114"/>
    <x v="77"/>
    <s v="B 13"/>
    <n v="1"/>
    <n v="6409"/>
    <x v="466"/>
    <s v="Annual"/>
    <n v="1"/>
    <n v="1"/>
    <n v="94452"/>
    <n v="94452"/>
  </r>
  <r>
    <x v="0"/>
    <n v="38"/>
    <x v="13"/>
    <x v="0"/>
    <x v="0"/>
    <n v="1005"/>
    <x v="14"/>
    <x v="9"/>
    <x v="19"/>
    <n v="3106"/>
    <x v="88"/>
    <n v="4114"/>
    <x v="77"/>
    <s v="BX 16"/>
    <n v="10"/>
    <n v="5737"/>
    <x v="467"/>
    <s v="Annual"/>
    <n v="1"/>
    <n v="1"/>
    <n v="124584"/>
    <n v="124584"/>
  </r>
  <r>
    <x v="0"/>
    <n v="38"/>
    <x v="13"/>
    <x v="0"/>
    <x v="0"/>
    <n v="1005"/>
    <x v="14"/>
    <x v="9"/>
    <x v="19"/>
    <n v="3106"/>
    <x v="88"/>
    <n v="4114"/>
    <x v="77"/>
    <s v="1 00"/>
    <n v="0"/>
    <n v="15"/>
    <x v="37"/>
    <s v="Annual"/>
    <n v="0"/>
    <n v="0"/>
    <n v="2715"/>
    <n v="2715"/>
  </r>
  <r>
    <x v="0"/>
    <n v="38"/>
    <x v="13"/>
    <x v="0"/>
    <x v="0"/>
    <n v="1005"/>
    <x v="14"/>
    <x v="9"/>
    <x v="19"/>
    <n v="3107"/>
    <x v="89"/>
    <n v="0"/>
    <x v="0"/>
    <s v="B 14"/>
    <n v="4"/>
    <n v="1912"/>
    <x v="222"/>
    <s v="Annual"/>
    <n v="1"/>
    <n v="1"/>
    <n v="124848"/>
    <n v="124848"/>
  </r>
  <r>
    <x v="0"/>
    <n v="38"/>
    <x v="13"/>
    <x v="0"/>
    <x v="0"/>
    <n v="1005"/>
    <x v="14"/>
    <x v="9"/>
    <x v="19"/>
    <n v="3107"/>
    <x v="89"/>
    <n v="0"/>
    <x v="0"/>
    <s v="BX 18"/>
    <n v="10"/>
    <n v="310"/>
    <x v="135"/>
    <s v="Annual"/>
    <n v="1"/>
    <n v="1"/>
    <n v="118956"/>
    <n v="118956"/>
  </r>
  <r>
    <x v="0"/>
    <n v="38"/>
    <x v="13"/>
    <x v="0"/>
    <x v="0"/>
    <n v="1005"/>
    <x v="14"/>
    <x v="9"/>
    <x v="19"/>
    <n v="3107"/>
    <x v="89"/>
    <n v="0"/>
    <x v="0"/>
    <s v="1 00"/>
    <n v="0"/>
    <n v="15"/>
    <x v="37"/>
    <s v="Annual"/>
    <n v="0"/>
    <n v="0"/>
    <n v="3768"/>
    <n v="3768"/>
  </r>
  <r>
    <x v="0"/>
    <n v="38"/>
    <x v="13"/>
    <x v="0"/>
    <x v="0"/>
    <n v="1005"/>
    <x v="14"/>
    <x v="9"/>
    <x v="19"/>
    <n v="3108"/>
    <x v="90"/>
    <n v="0"/>
    <x v="0"/>
    <s v="B 13"/>
    <n v="1"/>
    <n v="308"/>
    <x v="90"/>
    <s v="Annual"/>
    <n v="2"/>
    <n v="1"/>
    <n v="68616"/>
    <n v="137232"/>
  </r>
  <r>
    <x v="0"/>
    <n v="38"/>
    <x v="13"/>
    <x v="0"/>
    <x v="0"/>
    <n v="1005"/>
    <x v="14"/>
    <x v="9"/>
    <x v="19"/>
    <n v="3115"/>
    <x v="91"/>
    <n v="0"/>
    <x v="0"/>
    <s v="X 32"/>
    <n v="9"/>
    <n v="9679"/>
    <x v="81"/>
    <s v="Annual"/>
    <n v="1"/>
    <n v="1"/>
    <n v="175512"/>
    <n v="175512"/>
  </r>
  <r>
    <x v="0"/>
    <n v="38"/>
    <x v="13"/>
    <x v="0"/>
    <x v="0"/>
    <n v="1005"/>
    <x v="14"/>
    <x v="9"/>
    <x v="19"/>
    <n v="3115"/>
    <x v="91"/>
    <n v="0"/>
    <x v="0"/>
    <s v="GY 07"/>
    <n v="20"/>
    <n v="3406"/>
    <x v="255"/>
    <s v="Annual"/>
    <n v="2"/>
    <n v="1"/>
    <n v="79728"/>
    <n v="159456"/>
  </r>
  <r>
    <x v="0"/>
    <n v="38"/>
    <x v="13"/>
    <x v="0"/>
    <x v="0"/>
    <n v="1005"/>
    <x v="14"/>
    <x v="9"/>
    <x v="19"/>
    <n v="3115"/>
    <x v="91"/>
    <n v="0"/>
    <x v="0"/>
    <s v="G 07"/>
    <n v="4"/>
    <n v="2081"/>
    <x v="468"/>
    <s v="Annual"/>
    <n v="2"/>
    <n v="1"/>
    <n v="102516"/>
    <n v="205032"/>
  </r>
  <r>
    <x v="0"/>
    <n v="38"/>
    <x v="13"/>
    <x v="0"/>
    <x v="0"/>
    <n v="1005"/>
    <x v="14"/>
    <x v="9"/>
    <x v="19"/>
    <n v="3115"/>
    <x v="91"/>
    <n v="0"/>
    <x v="0"/>
    <s v="G 08"/>
    <n v="4"/>
    <n v="2073"/>
    <x v="469"/>
    <s v="Annual"/>
    <n v="1"/>
    <n v="1"/>
    <n v="141564"/>
    <n v="141564"/>
  </r>
  <r>
    <x v="0"/>
    <n v="38"/>
    <x v="13"/>
    <x v="0"/>
    <x v="0"/>
    <n v="1005"/>
    <x v="14"/>
    <x v="9"/>
    <x v="19"/>
    <n v="3115"/>
    <x v="91"/>
    <n v="0"/>
    <x v="0"/>
    <s v="G 08"/>
    <n v="4"/>
    <n v="2073"/>
    <x v="469"/>
    <s v="Annual"/>
    <n v="1"/>
    <n v="1"/>
    <n v="112536"/>
    <n v="112536"/>
  </r>
  <r>
    <x v="0"/>
    <n v="38"/>
    <x v="13"/>
    <x v="0"/>
    <x v="0"/>
    <n v="1005"/>
    <x v="14"/>
    <x v="9"/>
    <x v="19"/>
    <n v="3115"/>
    <x v="91"/>
    <n v="0"/>
    <x v="0"/>
    <s v="G 08"/>
    <n v="4"/>
    <n v="2073"/>
    <x v="469"/>
    <s v="Annual"/>
    <n v="1"/>
    <n v="1"/>
    <n v="107628"/>
    <n v="107628"/>
  </r>
  <r>
    <x v="0"/>
    <n v="38"/>
    <x v="13"/>
    <x v="0"/>
    <x v="0"/>
    <n v="1005"/>
    <x v="14"/>
    <x v="9"/>
    <x v="19"/>
    <n v="3115"/>
    <x v="91"/>
    <n v="0"/>
    <x v="0"/>
    <s v="BX 18"/>
    <n v="10"/>
    <n v="310"/>
    <x v="135"/>
    <s v="Annual"/>
    <n v="1"/>
    <n v="1"/>
    <n v="136692"/>
    <n v="136692"/>
  </r>
  <r>
    <x v="0"/>
    <n v="38"/>
    <x v="13"/>
    <x v="0"/>
    <x v="0"/>
    <n v="1005"/>
    <x v="14"/>
    <x v="9"/>
    <x v="19"/>
    <n v="3115"/>
    <x v="91"/>
    <n v="0"/>
    <x v="0"/>
    <s v="GY 11"/>
    <n v="20"/>
    <n v="289"/>
    <x v="470"/>
    <s v="Annual"/>
    <n v="1"/>
    <n v="1"/>
    <n v="126756"/>
    <n v="126756"/>
  </r>
  <r>
    <x v="0"/>
    <n v="38"/>
    <x v="13"/>
    <x v="0"/>
    <x v="0"/>
    <n v="1005"/>
    <x v="14"/>
    <x v="9"/>
    <x v="19"/>
    <n v="3115"/>
    <x v="91"/>
    <n v="0"/>
    <x v="0"/>
    <s v="1 00"/>
    <n v="0"/>
    <n v="15"/>
    <x v="37"/>
    <s v="Annual"/>
    <n v="0"/>
    <n v="0"/>
    <n v="16204"/>
    <n v="16204"/>
  </r>
  <r>
    <x v="0"/>
    <n v="38"/>
    <x v="13"/>
    <x v="0"/>
    <x v="0"/>
    <n v="1005"/>
    <x v="14"/>
    <x v="9"/>
    <x v="19"/>
    <n v="3231"/>
    <x v="92"/>
    <n v="4116"/>
    <x v="78"/>
    <s v="X 32"/>
    <n v="9"/>
    <n v="9679"/>
    <x v="81"/>
    <s v="Annual"/>
    <n v="1"/>
    <n v="1"/>
    <n v="139140"/>
    <n v="139140"/>
  </r>
  <r>
    <x v="0"/>
    <n v="38"/>
    <x v="13"/>
    <x v="0"/>
    <x v="0"/>
    <n v="1005"/>
    <x v="14"/>
    <x v="9"/>
    <x v="19"/>
    <n v="3231"/>
    <x v="92"/>
    <n v="4116"/>
    <x v="78"/>
    <s v="X 33"/>
    <n v="20"/>
    <n v="4546"/>
    <x v="410"/>
    <s v="Annual"/>
    <n v="1"/>
    <n v="1"/>
    <n v="137532"/>
    <n v="137532"/>
  </r>
  <r>
    <x v="0"/>
    <n v="38"/>
    <x v="13"/>
    <x v="0"/>
    <x v="0"/>
    <n v="1005"/>
    <x v="14"/>
    <x v="9"/>
    <x v="19"/>
    <n v="3231"/>
    <x v="92"/>
    <n v="4116"/>
    <x v="78"/>
    <s v="B 14"/>
    <n v="4"/>
    <n v="1912"/>
    <x v="222"/>
    <s v="Annual"/>
    <n v="1"/>
    <n v="1"/>
    <n v="77640"/>
    <n v="77640"/>
  </r>
  <r>
    <x v="0"/>
    <n v="38"/>
    <x v="13"/>
    <x v="0"/>
    <x v="0"/>
    <n v="1005"/>
    <x v="14"/>
    <x v="9"/>
    <x v="19"/>
    <n v="3231"/>
    <x v="92"/>
    <n v="4116"/>
    <x v="78"/>
    <s v="B 13"/>
    <n v="1"/>
    <n v="1663"/>
    <x v="471"/>
    <s v="Annual"/>
    <n v="1"/>
    <n v="1"/>
    <n v="68616"/>
    <n v="68616"/>
  </r>
  <r>
    <x v="0"/>
    <n v="38"/>
    <x v="13"/>
    <x v="0"/>
    <x v="0"/>
    <n v="1005"/>
    <x v="14"/>
    <x v="9"/>
    <x v="19"/>
    <n v="3231"/>
    <x v="92"/>
    <n v="4116"/>
    <x v="78"/>
    <s v="X 33"/>
    <n v="9"/>
    <n v="313"/>
    <x v="220"/>
    <s v="Annual"/>
    <n v="1"/>
    <n v="1"/>
    <n v="146808"/>
    <n v="146808"/>
  </r>
  <r>
    <x v="0"/>
    <n v="38"/>
    <x v="13"/>
    <x v="0"/>
    <x v="0"/>
    <n v="1005"/>
    <x v="14"/>
    <x v="9"/>
    <x v="19"/>
    <n v="3231"/>
    <x v="92"/>
    <n v="4116"/>
    <x v="78"/>
    <s v="X 33"/>
    <n v="9"/>
    <n v="313"/>
    <x v="220"/>
    <s v="Annual"/>
    <n v="1"/>
    <n v="1"/>
    <n v="121668"/>
    <n v="121668"/>
  </r>
  <r>
    <x v="0"/>
    <n v="38"/>
    <x v="13"/>
    <x v="0"/>
    <x v="0"/>
    <n v="1005"/>
    <x v="14"/>
    <x v="9"/>
    <x v="19"/>
    <n v="3231"/>
    <x v="92"/>
    <n v="4116"/>
    <x v="78"/>
    <s v="BX 18"/>
    <n v="10"/>
    <n v="310"/>
    <x v="135"/>
    <s v="Annual"/>
    <n v="1"/>
    <n v="1"/>
    <n v="118956"/>
    <n v="118956"/>
  </r>
  <r>
    <x v="0"/>
    <n v="38"/>
    <x v="13"/>
    <x v="0"/>
    <x v="0"/>
    <n v="1005"/>
    <x v="14"/>
    <x v="9"/>
    <x v="19"/>
    <n v="3231"/>
    <x v="92"/>
    <n v="4116"/>
    <x v="78"/>
    <s v="1 00"/>
    <n v="0"/>
    <n v="15"/>
    <x v="37"/>
    <s v="Annual"/>
    <n v="0"/>
    <n v="0"/>
    <n v="8153"/>
    <n v="8153"/>
  </r>
  <r>
    <x v="0"/>
    <n v="38"/>
    <x v="13"/>
    <x v="0"/>
    <x v="0"/>
    <n v="1005"/>
    <x v="14"/>
    <x v="10"/>
    <x v="20"/>
    <n v="3200"/>
    <x v="93"/>
    <n v="0"/>
    <x v="0"/>
    <s v="X 32"/>
    <n v="9"/>
    <n v="9679"/>
    <x v="81"/>
    <s v="Annual"/>
    <n v="1"/>
    <n v="1"/>
    <n v="175512"/>
    <n v="175512"/>
  </r>
  <r>
    <x v="0"/>
    <n v="38"/>
    <x v="13"/>
    <x v="0"/>
    <x v="0"/>
    <n v="1005"/>
    <x v="14"/>
    <x v="10"/>
    <x v="20"/>
    <n v="3200"/>
    <x v="93"/>
    <n v="0"/>
    <x v="0"/>
    <s v="1 00"/>
    <n v="0"/>
    <n v="15"/>
    <x v="37"/>
    <s v="Annual"/>
    <n v="0"/>
    <n v="0"/>
    <n v="3409"/>
    <n v="3409"/>
  </r>
  <r>
    <x v="0"/>
    <n v="38"/>
    <x v="13"/>
    <x v="0"/>
    <x v="0"/>
    <n v="1005"/>
    <x v="14"/>
    <x v="10"/>
    <x v="20"/>
    <n v="3201"/>
    <x v="94"/>
    <n v="0"/>
    <x v="0"/>
    <s v="GY 08"/>
    <n v="10"/>
    <n v="6085"/>
    <x v="472"/>
    <s v="Annual"/>
    <n v="1"/>
    <n v="1"/>
    <n v="112080"/>
    <n v="112080"/>
  </r>
  <r>
    <x v="0"/>
    <n v="38"/>
    <x v="13"/>
    <x v="0"/>
    <x v="0"/>
    <n v="1005"/>
    <x v="14"/>
    <x v="10"/>
    <x v="20"/>
    <n v="3201"/>
    <x v="94"/>
    <n v="0"/>
    <x v="0"/>
    <s v="GY 08"/>
    <n v="10"/>
    <n v="6085"/>
    <x v="472"/>
    <s v="Annual"/>
    <n v="1"/>
    <n v="1"/>
    <n v="82884"/>
    <n v="82884"/>
  </r>
  <r>
    <x v="0"/>
    <n v="38"/>
    <x v="13"/>
    <x v="0"/>
    <x v="0"/>
    <n v="1005"/>
    <x v="14"/>
    <x v="10"/>
    <x v="20"/>
    <n v="3201"/>
    <x v="94"/>
    <n v="0"/>
    <x v="0"/>
    <s v="GY 11"/>
    <n v="20"/>
    <n v="6080"/>
    <x v="473"/>
    <s v="Annual"/>
    <n v="1"/>
    <n v="1"/>
    <n v="111000"/>
    <n v="111000"/>
  </r>
  <r>
    <x v="0"/>
    <n v="38"/>
    <x v="13"/>
    <x v="0"/>
    <x v="0"/>
    <n v="1005"/>
    <x v="14"/>
    <x v="10"/>
    <x v="20"/>
    <n v="3201"/>
    <x v="94"/>
    <n v="0"/>
    <x v="0"/>
    <s v="B 12"/>
    <n v="1"/>
    <n v="1240"/>
    <x v="474"/>
    <s v="Annual"/>
    <n v="1"/>
    <n v="1"/>
    <n v="64488"/>
    <n v="64488"/>
  </r>
  <r>
    <x v="0"/>
    <n v="38"/>
    <x v="13"/>
    <x v="0"/>
    <x v="0"/>
    <n v="1005"/>
    <x v="14"/>
    <x v="10"/>
    <x v="20"/>
    <n v="3201"/>
    <x v="94"/>
    <n v="0"/>
    <x v="0"/>
    <s v="B 12"/>
    <n v="1"/>
    <s v="03A8"/>
    <x v="88"/>
    <s v="Annual"/>
    <n v="1"/>
    <n v="1"/>
    <n v="74172"/>
    <n v="74172"/>
  </r>
  <r>
    <x v="0"/>
    <n v="38"/>
    <x v="13"/>
    <x v="0"/>
    <x v="0"/>
    <n v="1005"/>
    <x v="14"/>
    <x v="10"/>
    <x v="20"/>
    <n v="3201"/>
    <x v="94"/>
    <n v="0"/>
    <x v="0"/>
    <s v="1 00"/>
    <n v="0"/>
    <n v="15"/>
    <x v="37"/>
    <s v="Annual"/>
    <n v="0"/>
    <n v="0"/>
    <n v="11237"/>
    <n v="11237"/>
  </r>
  <r>
    <x v="0"/>
    <n v="38"/>
    <x v="13"/>
    <x v="0"/>
    <x v="0"/>
    <n v="1005"/>
    <x v="14"/>
    <x v="10"/>
    <x v="20"/>
    <n v="3214"/>
    <x v="95"/>
    <n v="0"/>
    <x v="0"/>
    <s v="BX 18"/>
    <n v="10"/>
    <n v="7181"/>
    <x v="475"/>
    <s v="Annual"/>
    <n v="1"/>
    <n v="1"/>
    <n v="93384"/>
    <n v="93384"/>
  </r>
  <r>
    <x v="0"/>
    <n v="38"/>
    <x v="13"/>
    <x v="0"/>
    <x v="0"/>
    <n v="1005"/>
    <x v="14"/>
    <x v="10"/>
    <x v="20"/>
    <n v="3214"/>
    <x v="95"/>
    <n v="0"/>
    <x v="0"/>
    <s v="BX 16"/>
    <n v="10"/>
    <n v="7163"/>
    <x v="476"/>
    <s v="Annual"/>
    <n v="1"/>
    <n v="1"/>
    <n v="76476"/>
    <n v="76476"/>
  </r>
  <r>
    <x v="0"/>
    <n v="38"/>
    <x v="13"/>
    <x v="0"/>
    <x v="0"/>
    <n v="1005"/>
    <x v="14"/>
    <x v="10"/>
    <x v="20"/>
    <n v="3214"/>
    <x v="95"/>
    <n v="0"/>
    <x v="0"/>
    <s v="2 0"/>
    <n v="8"/>
    <n v="7161"/>
    <x v="477"/>
    <s v="Hourly"/>
    <n v="6"/>
    <n v="1"/>
    <n v="35.090000000000003"/>
    <n v="437923"/>
  </r>
  <r>
    <x v="0"/>
    <n v="38"/>
    <x v="13"/>
    <x v="0"/>
    <x v="0"/>
    <n v="1005"/>
    <x v="14"/>
    <x v="10"/>
    <x v="20"/>
    <n v="3214"/>
    <x v="95"/>
    <n v="0"/>
    <x v="0"/>
    <s v="2 0"/>
    <n v="8"/>
    <n v="7160"/>
    <x v="478"/>
    <s v="Hourly"/>
    <n v="36"/>
    <n v="1"/>
    <n v="33.619999999999997"/>
    <n v="2517466"/>
  </r>
  <r>
    <x v="0"/>
    <n v="38"/>
    <x v="13"/>
    <x v="0"/>
    <x v="0"/>
    <n v="1005"/>
    <x v="14"/>
    <x v="10"/>
    <x v="20"/>
    <n v="3214"/>
    <x v="95"/>
    <n v="0"/>
    <x v="0"/>
    <s v="B 10"/>
    <n v="1"/>
    <s v="03A7"/>
    <x v="4"/>
    <s v="Annual"/>
    <n v="1"/>
    <n v="1"/>
    <n v="78432"/>
    <n v="78432"/>
  </r>
  <r>
    <x v="0"/>
    <n v="38"/>
    <x v="13"/>
    <x v="0"/>
    <x v="0"/>
    <n v="1005"/>
    <x v="14"/>
    <x v="10"/>
    <x v="20"/>
    <n v="3214"/>
    <x v="95"/>
    <n v="0"/>
    <x v="0"/>
    <s v="1 00"/>
    <n v="0"/>
    <n v="15"/>
    <x v="37"/>
    <s v="Annual"/>
    <n v="0"/>
    <n v="0"/>
    <n v="3324"/>
    <n v="3324"/>
  </r>
  <r>
    <x v="0"/>
    <n v="38"/>
    <x v="13"/>
    <x v="0"/>
    <x v="0"/>
    <n v="1005"/>
    <x v="14"/>
    <x v="10"/>
    <x v="20"/>
    <n v="3214"/>
    <x v="95"/>
    <n v="0"/>
    <x v="0"/>
    <s v="1 00"/>
    <n v="0"/>
    <n v="12"/>
    <x v="291"/>
    <s v="Annual"/>
    <n v="0"/>
    <n v="0"/>
    <n v="44331"/>
    <n v="44331"/>
  </r>
  <r>
    <x v="0"/>
    <n v="38"/>
    <x v="13"/>
    <x v="0"/>
    <x v="0"/>
    <n v="1005"/>
    <x v="14"/>
    <x v="10"/>
    <x v="20"/>
    <n v="3216"/>
    <x v="96"/>
    <n v="0"/>
    <x v="0"/>
    <s v="B 13"/>
    <n v="4"/>
    <n v="7173"/>
    <x v="479"/>
    <s v="Annual"/>
    <n v="1"/>
    <n v="1"/>
    <n v="98928"/>
    <n v="98928"/>
  </r>
  <r>
    <x v="0"/>
    <n v="38"/>
    <x v="13"/>
    <x v="0"/>
    <x v="0"/>
    <n v="1005"/>
    <x v="14"/>
    <x v="10"/>
    <x v="20"/>
    <n v="3216"/>
    <x v="96"/>
    <n v="0"/>
    <x v="0"/>
    <s v="B 13"/>
    <n v="4"/>
    <n v="7173"/>
    <x v="479"/>
    <s v="Annual"/>
    <n v="1"/>
    <n v="1"/>
    <n v="90144"/>
    <n v="90144"/>
  </r>
  <r>
    <x v="0"/>
    <n v="38"/>
    <x v="13"/>
    <x v="0"/>
    <x v="0"/>
    <n v="1005"/>
    <x v="14"/>
    <x v="10"/>
    <x v="20"/>
    <n v="3216"/>
    <x v="96"/>
    <n v="0"/>
    <x v="0"/>
    <s v="B 13"/>
    <n v="4"/>
    <n v="7173"/>
    <x v="479"/>
    <s v="Annual"/>
    <n v="1"/>
    <n v="1"/>
    <n v="77640"/>
    <n v="77640"/>
  </r>
  <r>
    <x v="0"/>
    <n v="38"/>
    <x v="13"/>
    <x v="0"/>
    <x v="0"/>
    <n v="1005"/>
    <x v="14"/>
    <x v="10"/>
    <x v="20"/>
    <n v="3216"/>
    <x v="96"/>
    <n v="0"/>
    <x v="0"/>
    <s v="B 13"/>
    <n v="4"/>
    <n v="7173"/>
    <x v="479"/>
    <s v="Annual"/>
    <n v="1"/>
    <n v="1"/>
    <n v="74172"/>
    <n v="74172"/>
  </r>
  <r>
    <x v="0"/>
    <n v="38"/>
    <x v="13"/>
    <x v="0"/>
    <x v="0"/>
    <n v="1005"/>
    <x v="14"/>
    <x v="10"/>
    <x v="20"/>
    <n v="3216"/>
    <x v="96"/>
    <n v="0"/>
    <x v="0"/>
    <s v="B 13"/>
    <n v="4"/>
    <n v="7173"/>
    <x v="479"/>
    <s v="Annual"/>
    <n v="1"/>
    <n v="1"/>
    <n v="70752"/>
    <n v="70752"/>
  </r>
  <r>
    <x v="0"/>
    <n v="38"/>
    <x v="13"/>
    <x v="0"/>
    <x v="0"/>
    <n v="1005"/>
    <x v="14"/>
    <x v="10"/>
    <x v="20"/>
    <n v="3216"/>
    <x v="96"/>
    <n v="0"/>
    <x v="0"/>
    <s v="BX 17"/>
    <n v="10"/>
    <n v="7172"/>
    <x v="480"/>
    <s v="Annual"/>
    <n v="2"/>
    <n v="1"/>
    <n v="83052"/>
    <n v="166104"/>
  </r>
  <r>
    <x v="0"/>
    <n v="38"/>
    <x v="13"/>
    <x v="0"/>
    <x v="0"/>
    <n v="1005"/>
    <x v="14"/>
    <x v="10"/>
    <x v="20"/>
    <n v="3216"/>
    <x v="96"/>
    <n v="0"/>
    <x v="0"/>
    <s v="B 12"/>
    <n v="1"/>
    <n v="7105"/>
    <x v="481"/>
    <s v="Annual"/>
    <n v="1"/>
    <n v="1"/>
    <n v="94452"/>
    <n v="94452"/>
  </r>
  <r>
    <x v="0"/>
    <n v="38"/>
    <x v="13"/>
    <x v="0"/>
    <x v="0"/>
    <n v="1005"/>
    <x v="14"/>
    <x v="10"/>
    <x v="20"/>
    <n v="3216"/>
    <x v="96"/>
    <n v="0"/>
    <x v="0"/>
    <s v="B 12"/>
    <n v="1"/>
    <s v="03A8"/>
    <x v="88"/>
    <s v="Annual"/>
    <n v="1"/>
    <n v="1"/>
    <n v="62544"/>
    <n v="62544"/>
  </r>
  <r>
    <x v="0"/>
    <n v="38"/>
    <x v="13"/>
    <x v="0"/>
    <x v="0"/>
    <n v="1005"/>
    <x v="14"/>
    <x v="10"/>
    <x v="20"/>
    <n v="3216"/>
    <x v="96"/>
    <n v="0"/>
    <x v="0"/>
    <s v="B 10"/>
    <n v="1"/>
    <s v="03A7"/>
    <x v="4"/>
    <s v="Annual"/>
    <n v="1"/>
    <n v="1"/>
    <n v="90144"/>
    <n v="90144"/>
  </r>
  <r>
    <x v="0"/>
    <n v="38"/>
    <x v="13"/>
    <x v="0"/>
    <x v="0"/>
    <n v="1005"/>
    <x v="14"/>
    <x v="10"/>
    <x v="20"/>
    <n v="3216"/>
    <x v="96"/>
    <n v="0"/>
    <x v="0"/>
    <s v="1 00"/>
    <n v="0"/>
    <n v="15"/>
    <x v="37"/>
    <s v="Annual"/>
    <n v="0"/>
    <n v="0"/>
    <n v="7141"/>
    <n v="7141"/>
  </r>
  <r>
    <x v="0"/>
    <n v="38"/>
    <x v="13"/>
    <x v="0"/>
    <x v="0"/>
    <n v="1005"/>
    <x v="14"/>
    <x v="10"/>
    <x v="20"/>
    <n v="3219"/>
    <x v="97"/>
    <n v="0"/>
    <x v="0"/>
    <s v="2 0"/>
    <n v="53"/>
    <n v="9534"/>
    <x v="424"/>
    <s v="Hourly"/>
    <n v="8"/>
    <n v="1"/>
    <n v="51.4"/>
    <n v="855296"/>
  </r>
  <r>
    <x v="0"/>
    <n v="38"/>
    <x v="13"/>
    <x v="0"/>
    <x v="0"/>
    <n v="1005"/>
    <x v="14"/>
    <x v="10"/>
    <x v="20"/>
    <n v="3219"/>
    <x v="97"/>
    <n v="0"/>
    <x v="0"/>
    <s v="2 0"/>
    <n v="42"/>
    <n v="7638"/>
    <x v="482"/>
    <s v="Hourly"/>
    <n v="5"/>
    <n v="1"/>
    <n v="67.8"/>
    <n v="705120"/>
  </r>
  <r>
    <x v="0"/>
    <n v="38"/>
    <x v="13"/>
    <x v="0"/>
    <x v="0"/>
    <n v="1005"/>
    <x v="14"/>
    <x v="10"/>
    <x v="20"/>
    <n v="3219"/>
    <x v="97"/>
    <n v="0"/>
    <x v="0"/>
    <s v="2 0"/>
    <n v="42"/>
    <n v="7634"/>
    <x v="483"/>
    <s v="Hourly"/>
    <n v="1"/>
    <n v="1"/>
    <n v="68.8"/>
    <n v="143104"/>
  </r>
  <r>
    <x v="0"/>
    <n v="38"/>
    <x v="13"/>
    <x v="0"/>
    <x v="0"/>
    <n v="1005"/>
    <x v="14"/>
    <x v="10"/>
    <x v="20"/>
    <n v="3219"/>
    <x v="97"/>
    <n v="0"/>
    <x v="0"/>
    <s v="2 0"/>
    <n v="8"/>
    <n v="7186"/>
    <x v="484"/>
    <s v="Hourly"/>
    <n v="15"/>
    <n v="1"/>
    <n v="49.46"/>
    <n v="1543152"/>
  </r>
  <r>
    <x v="0"/>
    <n v="38"/>
    <x v="13"/>
    <x v="0"/>
    <x v="0"/>
    <n v="1005"/>
    <x v="14"/>
    <x v="10"/>
    <x v="20"/>
    <n v="3219"/>
    <x v="97"/>
    <n v="0"/>
    <x v="0"/>
    <s v="2 0"/>
    <n v="8"/>
    <n v="7185"/>
    <x v="485"/>
    <s v="Hourly"/>
    <n v="1"/>
    <n v="1"/>
    <n v="52.38"/>
    <n v="108950"/>
  </r>
  <r>
    <x v="0"/>
    <n v="38"/>
    <x v="13"/>
    <x v="0"/>
    <x v="0"/>
    <n v="1005"/>
    <x v="14"/>
    <x v="10"/>
    <x v="20"/>
    <n v="3219"/>
    <x v="97"/>
    <n v="0"/>
    <x v="0"/>
    <s v="2 0"/>
    <n v="8"/>
    <n v="7183"/>
    <x v="449"/>
    <s v="Hourly"/>
    <n v="6"/>
    <n v="1"/>
    <n v="48.73"/>
    <n v="608150"/>
  </r>
  <r>
    <x v="0"/>
    <n v="38"/>
    <x v="13"/>
    <x v="0"/>
    <x v="0"/>
    <n v="1005"/>
    <x v="14"/>
    <x v="10"/>
    <x v="20"/>
    <n v="3219"/>
    <x v="97"/>
    <n v="0"/>
    <x v="0"/>
    <s v="2 0"/>
    <n v="8"/>
    <n v="7161"/>
    <x v="477"/>
    <s v="Hourly"/>
    <n v="1"/>
    <n v="1"/>
    <n v="35.090000000000003"/>
    <n v="72987"/>
  </r>
  <r>
    <x v="0"/>
    <n v="38"/>
    <x v="13"/>
    <x v="0"/>
    <x v="0"/>
    <n v="1005"/>
    <x v="14"/>
    <x v="10"/>
    <x v="20"/>
    <n v="3219"/>
    <x v="97"/>
    <n v="0"/>
    <x v="0"/>
    <s v="2 0"/>
    <n v="8"/>
    <n v="7160"/>
    <x v="478"/>
    <s v="Hourly"/>
    <n v="12"/>
    <n v="1"/>
    <n v="33.619999999999997"/>
    <n v="839155"/>
  </r>
  <r>
    <x v="0"/>
    <n v="38"/>
    <x v="13"/>
    <x v="0"/>
    <x v="0"/>
    <n v="1005"/>
    <x v="14"/>
    <x v="10"/>
    <x v="20"/>
    <n v="3219"/>
    <x v="97"/>
    <n v="0"/>
    <x v="0"/>
    <s v="P 12"/>
    <n v="8"/>
    <n v="7136"/>
    <x v="486"/>
    <s v="Annual"/>
    <n v="3"/>
    <n v="1"/>
    <n v="108528"/>
    <n v="325584"/>
  </r>
  <r>
    <x v="0"/>
    <n v="38"/>
    <x v="13"/>
    <x v="0"/>
    <x v="0"/>
    <n v="1005"/>
    <x v="14"/>
    <x v="10"/>
    <x v="20"/>
    <n v="3219"/>
    <x v="97"/>
    <n v="0"/>
    <x v="0"/>
    <s v="P 12"/>
    <n v="8"/>
    <n v="7136"/>
    <x v="486"/>
    <s v="Annual"/>
    <n v="1"/>
    <n v="1"/>
    <n v="98892"/>
    <n v="98892"/>
  </r>
  <r>
    <x v="0"/>
    <n v="38"/>
    <x v="13"/>
    <x v="0"/>
    <x v="0"/>
    <n v="1005"/>
    <x v="14"/>
    <x v="10"/>
    <x v="20"/>
    <n v="3219"/>
    <x v="97"/>
    <n v="0"/>
    <x v="0"/>
    <s v="P 12"/>
    <n v="8"/>
    <n v="7136"/>
    <x v="486"/>
    <s v="Annual"/>
    <n v="3"/>
    <n v="1"/>
    <n v="82080"/>
    <n v="246240"/>
  </r>
  <r>
    <x v="0"/>
    <n v="38"/>
    <x v="13"/>
    <x v="0"/>
    <x v="0"/>
    <n v="1005"/>
    <x v="14"/>
    <x v="10"/>
    <x v="20"/>
    <n v="3219"/>
    <x v="97"/>
    <n v="0"/>
    <x v="0"/>
    <s v="BX 19"/>
    <n v="10"/>
    <n v="7133"/>
    <x v="487"/>
    <s v="Annual"/>
    <n v="1"/>
    <n v="1"/>
    <n v="157212"/>
    <n v="157212"/>
  </r>
  <r>
    <x v="0"/>
    <n v="38"/>
    <x v="13"/>
    <x v="0"/>
    <x v="0"/>
    <n v="1005"/>
    <x v="14"/>
    <x v="10"/>
    <x v="20"/>
    <n v="3219"/>
    <x v="97"/>
    <n v="0"/>
    <x v="0"/>
    <s v="BX 19"/>
    <n v="10"/>
    <n v="7133"/>
    <x v="487"/>
    <s v="Annual"/>
    <n v="1"/>
    <n v="1"/>
    <n v="124584"/>
    <n v="124584"/>
  </r>
  <r>
    <x v="0"/>
    <n v="38"/>
    <x v="13"/>
    <x v="0"/>
    <x v="0"/>
    <n v="1005"/>
    <x v="14"/>
    <x v="10"/>
    <x v="20"/>
    <n v="3219"/>
    <x v="97"/>
    <n v="0"/>
    <x v="0"/>
    <s v="BX 19"/>
    <n v="10"/>
    <n v="7133"/>
    <x v="487"/>
    <s v="Annual"/>
    <n v="1"/>
    <n v="1"/>
    <n v="97836"/>
    <n v="97836"/>
  </r>
  <r>
    <x v="0"/>
    <n v="38"/>
    <x v="13"/>
    <x v="0"/>
    <x v="0"/>
    <n v="1005"/>
    <x v="14"/>
    <x v="10"/>
    <x v="20"/>
    <n v="3219"/>
    <x v="97"/>
    <n v="0"/>
    <x v="0"/>
    <s v="BX 18"/>
    <n v="10"/>
    <n v="7047"/>
    <x v="488"/>
    <s v="Annual"/>
    <n v="1"/>
    <n v="1"/>
    <n v="150072"/>
    <n v="150072"/>
  </r>
  <r>
    <x v="0"/>
    <n v="38"/>
    <x v="13"/>
    <x v="0"/>
    <x v="0"/>
    <n v="1005"/>
    <x v="14"/>
    <x v="10"/>
    <x v="20"/>
    <n v="3219"/>
    <x v="97"/>
    <n v="0"/>
    <x v="0"/>
    <s v="BX 18"/>
    <n v="10"/>
    <n v="7047"/>
    <x v="488"/>
    <s v="Annual"/>
    <n v="1"/>
    <n v="1"/>
    <n v="136692"/>
    <n v="136692"/>
  </r>
  <r>
    <x v="0"/>
    <n v="38"/>
    <x v="13"/>
    <x v="0"/>
    <x v="0"/>
    <n v="1005"/>
    <x v="14"/>
    <x v="10"/>
    <x v="20"/>
    <n v="3219"/>
    <x v="97"/>
    <n v="0"/>
    <x v="0"/>
    <s v="BX 18"/>
    <n v="10"/>
    <n v="7047"/>
    <x v="488"/>
    <s v="Annual"/>
    <n v="2"/>
    <n v="1"/>
    <n v="102444"/>
    <n v="204888"/>
  </r>
  <r>
    <x v="0"/>
    <n v="38"/>
    <x v="13"/>
    <x v="0"/>
    <x v="0"/>
    <n v="1005"/>
    <x v="14"/>
    <x v="10"/>
    <x v="20"/>
    <n v="3219"/>
    <x v="97"/>
    <n v="0"/>
    <x v="0"/>
    <s v="BX 18"/>
    <n v="10"/>
    <n v="7047"/>
    <x v="488"/>
    <s v="Annual"/>
    <n v="2"/>
    <n v="1"/>
    <n v="89112"/>
    <n v="178224"/>
  </r>
  <r>
    <x v="0"/>
    <n v="38"/>
    <x v="13"/>
    <x v="0"/>
    <x v="0"/>
    <n v="1005"/>
    <x v="14"/>
    <x v="10"/>
    <x v="20"/>
    <n v="3219"/>
    <x v="97"/>
    <n v="0"/>
    <x v="0"/>
    <s v="2 0"/>
    <n v="36"/>
    <n v="6679"/>
    <x v="489"/>
    <s v="Hourly"/>
    <n v="10"/>
    <n v="1"/>
    <n v="64.39"/>
    <n v="1339312"/>
  </r>
  <r>
    <x v="0"/>
    <n v="38"/>
    <x v="13"/>
    <x v="0"/>
    <x v="0"/>
    <n v="1005"/>
    <x v="14"/>
    <x v="10"/>
    <x v="20"/>
    <n v="3219"/>
    <x v="97"/>
    <n v="0"/>
    <x v="0"/>
    <s v="2 0"/>
    <n v="36"/>
    <n v="6673"/>
    <x v="490"/>
    <s v="Hourly"/>
    <n v="69"/>
    <n v="1"/>
    <n v="60.39"/>
    <n v="8667173"/>
  </r>
  <r>
    <x v="0"/>
    <n v="38"/>
    <x v="13"/>
    <x v="0"/>
    <x v="0"/>
    <n v="1005"/>
    <x v="14"/>
    <x v="10"/>
    <x v="20"/>
    <n v="3219"/>
    <x v="97"/>
    <n v="0"/>
    <x v="0"/>
    <s v="2 0"/>
    <n v="24"/>
    <n v="6607"/>
    <x v="491"/>
    <s v="Hourly"/>
    <n v="2"/>
    <n v="1"/>
    <n v="61.15"/>
    <n v="254384"/>
  </r>
  <r>
    <x v="0"/>
    <n v="38"/>
    <x v="13"/>
    <x v="0"/>
    <x v="0"/>
    <n v="1005"/>
    <x v="14"/>
    <x v="10"/>
    <x v="20"/>
    <n v="3219"/>
    <x v="97"/>
    <n v="0"/>
    <x v="0"/>
    <s v="2 0"/>
    <n v="24"/>
    <n v="6605"/>
    <x v="492"/>
    <s v="Hourly"/>
    <n v="18"/>
    <n v="1"/>
    <n v="56.1"/>
    <n v="2100384"/>
  </r>
  <r>
    <x v="0"/>
    <n v="38"/>
    <x v="13"/>
    <x v="0"/>
    <x v="0"/>
    <n v="1005"/>
    <x v="14"/>
    <x v="10"/>
    <x v="20"/>
    <n v="3219"/>
    <x v="97"/>
    <n v="0"/>
    <x v="0"/>
    <s v="2 0"/>
    <n v="32"/>
    <n v="5045"/>
    <x v="493"/>
    <s v="Hourly"/>
    <n v="2"/>
    <n v="1"/>
    <n v="63.53"/>
    <n v="264285"/>
  </r>
  <r>
    <x v="0"/>
    <n v="38"/>
    <x v="13"/>
    <x v="0"/>
    <x v="0"/>
    <n v="1005"/>
    <x v="14"/>
    <x v="10"/>
    <x v="20"/>
    <n v="3219"/>
    <x v="97"/>
    <n v="0"/>
    <x v="0"/>
    <s v="2 0"/>
    <n v="32"/>
    <n v="5034"/>
    <x v="494"/>
    <s v="Hourly"/>
    <n v="33"/>
    <n v="1"/>
    <n v="57.75"/>
    <n v="3963960"/>
  </r>
  <r>
    <x v="0"/>
    <n v="38"/>
    <x v="13"/>
    <x v="0"/>
    <x v="0"/>
    <n v="1005"/>
    <x v="14"/>
    <x v="10"/>
    <x v="20"/>
    <n v="3219"/>
    <x v="97"/>
    <n v="0"/>
    <x v="0"/>
    <s v="2 0"/>
    <n v="41"/>
    <n v="4856"/>
    <x v="432"/>
    <s v="Hourly"/>
    <n v="1"/>
    <n v="1"/>
    <n v="58.95"/>
    <n v="122616"/>
  </r>
  <r>
    <x v="0"/>
    <n v="38"/>
    <x v="13"/>
    <x v="0"/>
    <x v="0"/>
    <n v="1005"/>
    <x v="14"/>
    <x v="10"/>
    <x v="20"/>
    <n v="3219"/>
    <x v="97"/>
    <n v="0"/>
    <x v="0"/>
    <s v="2 0"/>
    <n v="41"/>
    <n v="4855"/>
    <x v="433"/>
    <s v="Hourly"/>
    <n v="4"/>
    <n v="1"/>
    <n v="54.58"/>
    <n v="454106"/>
  </r>
  <r>
    <x v="0"/>
    <n v="38"/>
    <x v="13"/>
    <x v="0"/>
    <x v="0"/>
    <n v="1005"/>
    <x v="14"/>
    <x v="10"/>
    <x v="20"/>
    <n v="3219"/>
    <x v="97"/>
    <n v="0"/>
    <x v="0"/>
    <s v="2 0"/>
    <n v="39"/>
    <n v="4605"/>
    <x v="495"/>
    <s v="Hourly"/>
    <n v="3"/>
    <n v="1"/>
    <n v="54.3"/>
    <n v="338832"/>
  </r>
  <r>
    <x v="0"/>
    <n v="38"/>
    <x v="13"/>
    <x v="0"/>
    <x v="0"/>
    <n v="1005"/>
    <x v="14"/>
    <x v="10"/>
    <x v="20"/>
    <n v="3219"/>
    <x v="97"/>
    <n v="0"/>
    <x v="0"/>
    <s v="B 13"/>
    <n v="1"/>
    <n v="308"/>
    <x v="90"/>
    <s v="Annual"/>
    <n v="1"/>
    <n v="1"/>
    <n v="119100"/>
    <n v="119100"/>
  </r>
  <r>
    <x v="0"/>
    <n v="38"/>
    <x v="13"/>
    <x v="0"/>
    <x v="0"/>
    <n v="1005"/>
    <x v="14"/>
    <x v="10"/>
    <x v="20"/>
    <n v="3219"/>
    <x v="97"/>
    <n v="0"/>
    <x v="0"/>
    <s v="1 00"/>
    <n v="0"/>
    <n v="15"/>
    <x v="37"/>
    <s v="Annual"/>
    <n v="0"/>
    <n v="0"/>
    <n v="17874"/>
    <n v="17874"/>
  </r>
  <r>
    <x v="0"/>
    <n v="38"/>
    <x v="13"/>
    <x v="0"/>
    <x v="0"/>
    <n v="1005"/>
    <x v="14"/>
    <x v="10"/>
    <x v="20"/>
    <n v="3219"/>
    <x v="97"/>
    <n v="0"/>
    <x v="0"/>
    <s v="1 00"/>
    <n v="0"/>
    <n v="12"/>
    <x v="291"/>
    <s v="Annual"/>
    <n v="0"/>
    <n v="0"/>
    <n v="335714"/>
    <n v="335714"/>
  </r>
  <r>
    <x v="0"/>
    <n v="38"/>
    <x v="13"/>
    <x v="0"/>
    <x v="0"/>
    <n v="1005"/>
    <x v="14"/>
    <x v="10"/>
    <x v="20"/>
    <n v="3220"/>
    <x v="98"/>
    <n v="0"/>
    <x v="0"/>
    <s v="2 0"/>
    <n v="8"/>
    <n v="7186"/>
    <x v="484"/>
    <s v="Hourly"/>
    <n v="2"/>
    <n v="1"/>
    <n v="49.46"/>
    <n v="205754"/>
  </r>
  <r>
    <x v="0"/>
    <n v="38"/>
    <x v="13"/>
    <x v="0"/>
    <x v="0"/>
    <n v="1005"/>
    <x v="14"/>
    <x v="10"/>
    <x v="20"/>
    <n v="3220"/>
    <x v="98"/>
    <n v="0"/>
    <x v="0"/>
    <s v="BX 18"/>
    <n v="10"/>
    <n v="7141"/>
    <x v="496"/>
    <s v="Annual"/>
    <n v="1"/>
    <n v="1"/>
    <n v="130524"/>
    <n v="130524"/>
  </r>
  <r>
    <x v="0"/>
    <n v="38"/>
    <x v="13"/>
    <x v="0"/>
    <x v="0"/>
    <n v="1005"/>
    <x v="14"/>
    <x v="10"/>
    <x v="20"/>
    <n v="3220"/>
    <x v="98"/>
    <n v="0"/>
    <x v="0"/>
    <s v="2 0"/>
    <n v="8"/>
    <n v="7127"/>
    <x v="497"/>
    <s v="Hourly"/>
    <n v="2"/>
    <n v="1"/>
    <n v="51.29"/>
    <n v="213366"/>
  </r>
  <r>
    <x v="0"/>
    <n v="38"/>
    <x v="13"/>
    <x v="0"/>
    <x v="0"/>
    <n v="1005"/>
    <x v="14"/>
    <x v="10"/>
    <x v="20"/>
    <n v="3220"/>
    <x v="98"/>
    <n v="0"/>
    <x v="0"/>
    <s v="2 0"/>
    <n v="8"/>
    <n v="7124"/>
    <x v="498"/>
    <s v="Hourly"/>
    <n v="9"/>
    <n v="1"/>
    <n v="49.58"/>
    <n v="928138"/>
  </r>
  <r>
    <x v="0"/>
    <n v="38"/>
    <x v="13"/>
    <x v="0"/>
    <x v="0"/>
    <n v="1005"/>
    <x v="14"/>
    <x v="10"/>
    <x v="20"/>
    <n v="3220"/>
    <x v="98"/>
    <n v="0"/>
    <x v="0"/>
    <s v="2 0"/>
    <n v="36"/>
    <n v="6673"/>
    <x v="490"/>
    <s v="Hourly"/>
    <n v="8"/>
    <n v="1"/>
    <n v="60.39"/>
    <n v="1004890"/>
  </r>
  <r>
    <x v="0"/>
    <n v="38"/>
    <x v="13"/>
    <x v="0"/>
    <x v="0"/>
    <n v="1005"/>
    <x v="14"/>
    <x v="10"/>
    <x v="20"/>
    <n v="3220"/>
    <x v="98"/>
    <n v="0"/>
    <x v="0"/>
    <s v="2 0"/>
    <n v="32"/>
    <n v="5034"/>
    <x v="494"/>
    <s v="Hourly"/>
    <n v="5"/>
    <n v="1"/>
    <n v="57.75"/>
    <n v="600600"/>
  </r>
  <r>
    <x v="0"/>
    <n v="38"/>
    <x v="13"/>
    <x v="0"/>
    <x v="0"/>
    <n v="1005"/>
    <x v="14"/>
    <x v="10"/>
    <x v="20"/>
    <n v="3220"/>
    <x v="98"/>
    <n v="0"/>
    <x v="0"/>
    <s v="1 00"/>
    <n v="0"/>
    <n v="15"/>
    <x v="37"/>
    <s v="Annual"/>
    <n v="0"/>
    <n v="0"/>
    <n v="4883"/>
    <n v="4883"/>
  </r>
  <r>
    <x v="0"/>
    <n v="38"/>
    <x v="13"/>
    <x v="0"/>
    <x v="0"/>
    <n v="1005"/>
    <x v="14"/>
    <x v="10"/>
    <x v="20"/>
    <n v="3220"/>
    <x v="98"/>
    <n v="0"/>
    <x v="0"/>
    <s v="1 00"/>
    <n v="0"/>
    <n v="12"/>
    <x v="291"/>
    <s v="Annual"/>
    <n v="0"/>
    <n v="0"/>
    <n v="44290"/>
    <n v="44290"/>
  </r>
  <r>
    <x v="0"/>
    <n v="38"/>
    <x v="13"/>
    <x v="0"/>
    <x v="0"/>
    <n v="1005"/>
    <x v="14"/>
    <x v="10"/>
    <x v="20"/>
    <n v="3226"/>
    <x v="99"/>
    <n v="0"/>
    <x v="0"/>
    <s v="2 0"/>
    <n v="8"/>
    <n v="7183"/>
    <x v="449"/>
    <s v="Hourly"/>
    <n v="1"/>
    <n v="1"/>
    <n v="48.73"/>
    <n v="101358"/>
  </r>
  <r>
    <x v="0"/>
    <n v="38"/>
    <x v="13"/>
    <x v="0"/>
    <x v="0"/>
    <n v="1005"/>
    <x v="14"/>
    <x v="10"/>
    <x v="20"/>
    <n v="3226"/>
    <x v="99"/>
    <n v="0"/>
    <x v="0"/>
    <s v="2 0"/>
    <n v="8"/>
    <n v="7161"/>
    <x v="477"/>
    <s v="Hourly"/>
    <n v="1"/>
    <n v="1"/>
    <n v="35.090000000000003"/>
    <n v="72987"/>
  </r>
  <r>
    <x v="0"/>
    <n v="38"/>
    <x v="13"/>
    <x v="0"/>
    <x v="0"/>
    <n v="1005"/>
    <x v="14"/>
    <x v="10"/>
    <x v="20"/>
    <n v="3226"/>
    <x v="99"/>
    <n v="0"/>
    <x v="0"/>
    <s v="2 0"/>
    <n v="8"/>
    <n v="7160"/>
    <x v="478"/>
    <s v="Hourly"/>
    <n v="18"/>
    <n v="1"/>
    <n v="33.619999999999997"/>
    <n v="1258733"/>
  </r>
  <r>
    <x v="0"/>
    <n v="38"/>
    <x v="13"/>
    <x v="0"/>
    <x v="0"/>
    <n v="1005"/>
    <x v="14"/>
    <x v="10"/>
    <x v="20"/>
    <n v="3226"/>
    <x v="99"/>
    <n v="0"/>
    <x v="0"/>
    <s v="R 12"/>
    <n v="36"/>
    <n v="7139"/>
    <x v="499"/>
    <s v="Annual"/>
    <n v="3"/>
    <n v="1"/>
    <n v="108528"/>
    <n v="325584"/>
  </r>
  <r>
    <x v="0"/>
    <n v="38"/>
    <x v="13"/>
    <x v="0"/>
    <x v="0"/>
    <n v="1005"/>
    <x v="14"/>
    <x v="10"/>
    <x v="20"/>
    <n v="3226"/>
    <x v="99"/>
    <n v="0"/>
    <x v="0"/>
    <s v="R 12"/>
    <n v="36"/>
    <n v="7139"/>
    <x v="499"/>
    <s v="Annual"/>
    <n v="2"/>
    <n v="1"/>
    <n v="103572"/>
    <n v="207144"/>
  </r>
  <r>
    <x v="0"/>
    <n v="38"/>
    <x v="13"/>
    <x v="0"/>
    <x v="0"/>
    <n v="1005"/>
    <x v="14"/>
    <x v="10"/>
    <x v="20"/>
    <n v="3226"/>
    <x v="99"/>
    <n v="0"/>
    <x v="0"/>
    <s v="R 12"/>
    <n v="36"/>
    <n v="7139"/>
    <x v="499"/>
    <s v="Annual"/>
    <n v="2"/>
    <n v="1"/>
    <n v="98892"/>
    <n v="197784"/>
  </r>
  <r>
    <x v="0"/>
    <n v="38"/>
    <x v="13"/>
    <x v="0"/>
    <x v="0"/>
    <n v="1005"/>
    <x v="14"/>
    <x v="10"/>
    <x v="20"/>
    <n v="3226"/>
    <x v="99"/>
    <n v="0"/>
    <x v="0"/>
    <s v="R 12"/>
    <n v="36"/>
    <n v="7139"/>
    <x v="499"/>
    <s v="Annual"/>
    <n v="3"/>
    <n v="1"/>
    <n v="64440"/>
    <n v="193320"/>
  </r>
  <r>
    <x v="0"/>
    <n v="38"/>
    <x v="13"/>
    <x v="0"/>
    <x v="0"/>
    <n v="1005"/>
    <x v="14"/>
    <x v="10"/>
    <x v="20"/>
    <n v="3226"/>
    <x v="99"/>
    <n v="0"/>
    <x v="0"/>
    <s v="BX 19"/>
    <n v="10"/>
    <n v="7133"/>
    <x v="487"/>
    <s v="Annual"/>
    <n v="1"/>
    <n v="1"/>
    <n v="97836"/>
    <n v="97836"/>
  </r>
  <r>
    <x v="0"/>
    <n v="38"/>
    <x v="13"/>
    <x v="0"/>
    <x v="0"/>
    <n v="1005"/>
    <x v="14"/>
    <x v="10"/>
    <x v="20"/>
    <n v="3226"/>
    <x v="99"/>
    <n v="0"/>
    <x v="0"/>
    <s v="BX 18"/>
    <n v="10"/>
    <n v="7047"/>
    <x v="488"/>
    <s v="Annual"/>
    <n v="1"/>
    <n v="1"/>
    <n v="150072"/>
    <n v="150072"/>
  </r>
  <r>
    <x v="0"/>
    <n v="38"/>
    <x v="13"/>
    <x v="0"/>
    <x v="0"/>
    <n v="1005"/>
    <x v="14"/>
    <x v="10"/>
    <x v="20"/>
    <n v="3226"/>
    <x v="99"/>
    <n v="0"/>
    <x v="0"/>
    <s v="BX 18"/>
    <n v="10"/>
    <n v="7047"/>
    <x v="488"/>
    <s v="Annual"/>
    <n v="1"/>
    <n v="1"/>
    <n v="136692"/>
    <n v="136692"/>
  </r>
  <r>
    <x v="0"/>
    <n v="38"/>
    <x v="13"/>
    <x v="0"/>
    <x v="0"/>
    <n v="1005"/>
    <x v="14"/>
    <x v="10"/>
    <x v="20"/>
    <n v="3226"/>
    <x v="99"/>
    <n v="0"/>
    <x v="0"/>
    <s v="BX 18"/>
    <n v="10"/>
    <n v="7047"/>
    <x v="488"/>
    <s v="Annual"/>
    <n v="1"/>
    <n v="1"/>
    <n v="118956"/>
    <n v="118956"/>
  </r>
  <r>
    <x v="0"/>
    <n v="38"/>
    <x v="13"/>
    <x v="0"/>
    <x v="0"/>
    <n v="1005"/>
    <x v="14"/>
    <x v="10"/>
    <x v="20"/>
    <n v="3226"/>
    <x v="99"/>
    <n v="0"/>
    <x v="0"/>
    <s v="BX 18"/>
    <n v="10"/>
    <n v="7047"/>
    <x v="488"/>
    <s v="Annual"/>
    <n v="1"/>
    <n v="1"/>
    <n v="113568"/>
    <n v="113568"/>
  </r>
  <r>
    <x v="0"/>
    <n v="38"/>
    <x v="13"/>
    <x v="0"/>
    <x v="0"/>
    <n v="1005"/>
    <x v="14"/>
    <x v="10"/>
    <x v="20"/>
    <n v="3226"/>
    <x v="99"/>
    <n v="0"/>
    <x v="0"/>
    <s v="2 0"/>
    <n v="36"/>
    <n v="6679"/>
    <x v="489"/>
    <s v="Hourly"/>
    <n v="7"/>
    <n v="1"/>
    <n v="64.39"/>
    <n v="937518"/>
  </r>
  <r>
    <x v="0"/>
    <n v="38"/>
    <x v="13"/>
    <x v="0"/>
    <x v="0"/>
    <n v="1005"/>
    <x v="14"/>
    <x v="10"/>
    <x v="20"/>
    <n v="3226"/>
    <x v="99"/>
    <n v="0"/>
    <x v="0"/>
    <s v="2 0"/>
    <n v="36"/>
    <n v="6674"/>
    <x v="427"/>
    <s v="Hourly"/>
    <n v="1"/>
    <n v="1"/>
    <n v="60.39"/>
    <n v="125611"/>
  </r>
  <r>
    <x v="0"/>
    <n v="38"/>
    <x v="13"/>
    <x v="0"/>
    <x v="0"/>
    <n v="1005"/>
    <x v="14"/>
    <x v="10"/>
    <x v="20"/>
    <n v="3226"/>
    <x v="99"/>
    <n v="0"/>
    <x v="0"/>
    <s v="2 0"/>
    <n v="36"/>
    <n v="6673"/>
    <x v="490"/>
    <s v="Hourly"/>
    <n v="33"/>
    <n v="1"/>
    <n v="60.39"/>
    <n v="4145170"/>
  </r>
  <r>
    <x v="0"/>
    <n v="38"/>
    <x v="13"/>
    <x v="0"/>
    <x v="0"/>
    <n v="1005"/>
    <x v="14"/>
    <x v="10"/>
    <x v="20"/>
    <n v="3226"/>
    <x v="99"/>
    <n v="0"/>
    <x v="0"/>
    <s v="2 0"/>
    <n v="32"/>
    <n v="5045"/>
    <x v="493"/>
    <s v="Hourly"/>
    <n v="4"/>
    <n v="1"/>
    <n v="63.53"/>
    <n v="528570"/>
  </r>
  <r>
    <x v="0"/>
    <n v="38"/>
    <x v="13"/>
    <x v="0"/>
    <x v="0"/>
    <n v="1005"/>
    <x v="14"/>
    <x v="10"/>
    <x v="20"/>
    <n v="3226"/>
    <x v="99"/>
    <n v="0"/>
    <x v="0"/>
    <s v="2 0"/>
    <n v="32"/>
    <n v="5034"/>
    <x v="494"/>
    <s v="Hourly"/>
    <n v="33"/>
    <n v="1"/>
    <n v="57.75"/>
    <n v="3963960"/>
  </r>
  <r>
    <x v="0"/>
    <n v="38"/>
    <x v="13"/>
    <x v="0"/>
    <x v="0"/>
    <n v="1005"/>
    <x v="14"/>
    <x v="10"/>
    <x v="20"/>
    <n v="3226"/>
    <x v="99"/>
    <n v="0"/>
    <x v="0"/>
    <s v="2 0"/>
    <n v="39"/>
    <n v="4605"/>
    <x v="495"/>
    <s v="Hourly"/>
    <n v="2"/>
    <n v="1"/>
    <n v="54.3"/>
    <n v="225888"/>
  </r>
  <r>
    <x v="0"/>
    <n v="38"/>
    <x v="13"/>
    <x v="0"/>
    <x v="0"/>
    <n v="1005"/>
    <x v="14"/>
    <x v="10"/>
    <x v="20"/>
    <n v="3226"/>
    <x v="99"/>
    <n v="0"/>
    <x v="0"/>
    <s v="B 12"/>
    <n v="1"/>
    <n v="1240"/>
    <x v="474"/>
    <s v="Annual"/>
    <n v="1"/>
    <n v="1"/>
    <n v="86112"/>
    <n v="86112"/>
  </r>
  <r>
    <x v="0"/>
    <n v="38"/>
    <x v="13"/>
    <x v="0"/>
    <x v="0"/>
    <n v="1005"/>
    <x v="14"/>
    <x v="10"/>
    <x v="20"/>
    <n v="3226"/>
    <x v="99"/>
    <n v="0"/>
    <x v="0"/>
    <s v="1 00"/>
    <n v="0"/>
    <n v="15"/>
    <x v="37"/>
    <s v="Annual"/>
    <n v="0"/>
    <n v="0"/>
    <n v="12982"/>
    <n v="12982"/>
  </r>
  <r>
    <x v="0"/>
    <n v="38"/>
    <x v="13"/>
    <x v="0"/>
    <x v="0"/>
    <n v="1005"/>
    <x v="14"/>
    <x v="10"/>
    <x v="20"/>
    <n v="3226"/>
    <x v="99"/>
    <n v="0"/>
    <x v="0"/>
    <s v="1 00"/>
    <n v="0"/>
    <n v="12"/>
    <x v="291"/>
    <s v="Annual"/>
    <n v="0"/>
    <n v="0"/>
    <n v="170397"/>
    <n v="170397"/>
  </r>
  <r>
    <x v="0"/>
    <n v="39"/>
    <x v="14"/>
    <x v="0"/>
    <x v="0"/>
    <n v="1005"/>
    <x v="15"/>
    <x v="0"/>
    <x v="21"/>
    <n v="3005"/>
    <x v="22"/>
    <n v="0"/>
    <x v="0"/>
    <s v="Z 15"/>
    <n v="69"/>
    <n v="9355"/>
    <x v="500"/>
    <s v="Annual"/>
    <n v="1"/>
    <n v="1"/>
    <n v="79176"/>
    <n v="79176"/>
  </r>
  <r>
    <x v="0"/>
    <n v="39"/>
    <x v="14"/>
    <x v="0"/>
    <x v="0"/>
    <n v="1005"/>
    <x v="15"/>
    <x v="0"/>
    <x v="21"/>
    <n v="3005"/>
    <x v="22"/>
    <n v="0"/>
    <x v="0"/>
    <s v="1 00"/>
    <n v="69"/>
    <n v="9353"/>
    <x v="501"/>
    <s v="Annual"/>
    <n v="1"/>
    <n v="1"/>
    <n v="130052"/>
    <n v="130052"/>
  </r>
  <r>
    <x v="0"/>
    <n v="39"/>
    <x v="14"/>
    <x v="0"/>
    <x v="0"/>
    <n v="1005"/>
    <x v="15"/>
    <x v="0"/>
    <x v="21"/>
    <n v="3005"/>
    <x v="22"/>
    <n v="0"/>
    <x v="0"/>
    <s v="1 00"/>
    <n v="69"/>
    <n v="9353"/>
    <x v="501"/>
    <s v="Annual"/>
    <n v="1"/>
    <n v="1"/>
    <n v="122525"/>
    <n v="122525"/>
  </r>
  <r>
    <x v="0"/>
    <n v="39"/>
    <x v="14"/>
    <x v="0"/>
    <x v="0"/>
    <n v="1005"/>
    <x v="15"/>
    <x v="0"/>
    <x v="21"/>
    <n v="3005"/>
    <x v="22"/>
    <n v="0"/>
    <x v="0"/>
    <s v="1 00"/>
    <n v="69"/>
    <n v="9352"/>
    <x v="502"/>
    <s v="Annual"/>
    <n v="1"/>
    <n v="1"/>
    <n v="154056"/>
    <n v="154056"/>
  </r>
  <r>
    <x v="0"/>
    <n v="39"/>
    <x v="14"/>
    <x v="0"/>
    <x v="0"/>
    <n v="1005"/>
    <x v="15"/>
    <x v="0"/>
    <x v="21"/>
    <n v="3005"/>
    <x v="22"/>
    <n v="0"/>
    <x v="0"/>
    <s v="Z 13"/>
    <n v="69"/>
    <n v="9351"/>
    <x v="503"/>
    <s v="Annual"/>
    <n v="1"/>
    <n v="1"/>
    <n v="45948"/>
    <n v="45948"/>
  </r>
  <r>
    <x v="0"/>
    <n v="39"/>
    <x v="14"/>
    <x v="0"/>
    <x v="0"/>
    <n v="1005"/>
    <x v="15"/>
    <x v="0"/>
    <x v="21"/>
    <n v="3005"/>
    <x v="22"/>
    <n v="0"/>
    <x v="0"/>
    <s v="3 00"/>
    <n v="69"/>
    <n v="9346"/>
    <x v="504"/>
    <s v="Annual"/>
    <n v="1"/>
    <n v="1"/>
    <n v="121351"/>
    <n v="121351"/>
  </r>
  <r>
    <x v="0"/>
    <n v="39"/>
    <x v="14"/>
    <x v="0"/>
    <x v="0"/>
    <n v="1005"/>
    <x v="15"/>
    <x v="0"/>
    <x v="21"/>
    <n v="3005"/>
    <x v="22"/>
    <n v="0"/>
    <x v="0"/>
    <s v="Z 11"/>
    <n v="69"/>
    <n v="9328"/>
    <x v="505"/>
    <s v="Annual"/>
    <n v="1"/>
    <n v="1"/>
    <n v="57372"/>
    <n v="57372"/>
  </r>
  <r>
    <x v="0"/>
    <n v="39"/>
    <x v="14"/>
    <x v="0"/>
    <x v="0"/>
    <n v="1005"/>
    <x v="15"/>
    <x v="0"/>
    <x v="21"/>
    <n v="3005"/>
    <x v="22"/>
    <n v="0"/>
    <x v="0"/>
    <s v="Z 12"/>
    <n v="69"/>
    <n v="9327"/>
    <x v="506"/>
    <s v="Annual"/>
    <n v="1"/>
    <n v="1"/>
    <n v="69912"/>
    <n v="69912"/>
  </r>
  <r>
    <x v="0"/>
    <n v="39"/>
    <x v="14"/>
    <x v="0"/>
    <x v="0"/>
    <n v="1005"/>
    <x v="15"/>
    <x v="0"/>
    <x v="21"/>
    <n v="3005"/>
    <x v="22"/>
    <n v="0"/>
    <x v="0"/>
    <s v="Z 12"/>
    <n v="69"/>
    <n v="9327"/>
    <x v="506"/>
    <s v="Annual"/>
    <n v="1"/>
    <n v="1"/>
    <n v="60276"/>
    <n v="60276"/>
  </r>
  <r>
    <x v="0"/>
    <n v="39"/>
    <x v="14"/>
    <x v="0"/>
    <x v="0"/>
    <n v="1005"/>
    <x v="15"/>
    <x v="0"/>
    <x v="21"/>
    <n v="3005"/>
    <x v="22"/>
    <n v="0"/>
    <x v="0"/>
    <s v="Z 12"/>
    <n v="69"/>
    <n v="9327"/>
    <x v="506"/>
    <s v="Annual"/>
    <n v="1"/>
    <n v="1"/>
    <n v="45948"/>
    <n v="45948"/>
  </r>
  <r>
    <x v="0"/>
    <n v="39"/>
    <x v="14"/>
    <x v="0"/>
    <x v="0"/>
    <n v="1005"/>
    <x v="15"/>
    <x v="0"/>
    <x v="21"/>
    <n v="3005"/>
    <x v="22"/>
    <n v="0"/>
    <x v="0"/>
    <s v="Z 12"/>
    <n v="69"/>
    <n v="9327"/>
    <x v="506"/>
    <s v="Annual"/>
    <n v="1"/>
    <n v="1"/>
    <n v="41628"/>
    <n v="41628"/>
  </r>
  <r>
    <x v="0"/>
    <n v="39"/>
    <x v="14"/>
    <x v="0"/>
    <x v="0"/>
    <n v="1005"/>
    <x v="15"/>
    <x v="0"/>
    <x v="21"/>
    <n v="3005"/>
    <x v="22"/>
    <n v="0"/>
    <x v="0"/>
    <s v="Z 10"/>
    <n v="69"/>
    <n v="9308"/>
    <x v="507"/>
    <s v="Annual"/>
    <n v="1"/>
    <n v="1"/>
    <n v="48264"/>
    <n v="48264"/>
  </r>
  <r>
    <x v="0"/>
    <n v="39"/>
    <x v="14"/>
    <x v="0"/>
    <x v="0"/>
    <n v="1005"/>
    <x v="15"/>
    <x v="0"/>
    <x v="21"/>
    <n v="3005"/>
    <x v="22"/>
    <n v="0"/>
    <x v="0"/>
    <s v="Z 10"/>
    <n v="69"/>
    <n v="9308"/>
    <x v="507"/>
    <s v="Annual"/>
    <n v="1"/>
    <n v="1"/>
    <n v="40620"/>
    <n v="40620"/>
  </r>
  <r>
    <x v="0"/>
    <n v="39"/>
    <x v="14"/>
    <x v="0"/>
    <x v="0"/>
    <n v="1005"/>
    <x v="15"/>
    <x v="0"/>
    <x v="21"/>
    <n v="3005"/>
    <x v="22"/>
    <n v="0"/>
    <x v="0"/>
    <s v="Z 10"/>
    <n v="69"/>
    <n v="9308"/>
    <x v="507"/>
    <s v="Annual"/>
    <n v="1"/>
    <n v="1"/>
    <n v="34176"/>
    <n v="34176"/>
  </r>
  <r>
    <x v="0"/>
    <n v="39"/>
    <x v="14"/>
    <x v="0"/>
    <x v="0"/>
    <n v="1005"/>
    <x v="15"/>
    <x v="0"/>
    <x v="21"/>
    <n v="3005"/>
    <x v="22"/>
    <n v="0"/>
    <x v="0"/>
    <s v="3 00"/>
    <n v="20"/>
    <n v="705"/>
    <x v="33"/>
    <s v="Annual"/>
    <n v="1"/>
    <n v="1"/>
    <n v="123786"/>
    <n v="123786"/>
  </r>
  <r>
    <x v="0"/>
    <n v="39"/>
    <x v="14"/>
    <x v="0"/>
    <x v="0"/>
    <n v="1005"/>
    <x v="15"/>
    <x v="0"/>
    <x v="21"/>
    <n v="3005"/>
    <x v="22"/>
    <n v="0"/>
    <x v="0"/>
    <s v="Z 15"/>
    <n v="69"/>
    <n v="305"/>
    <x v="508"/>
    <s v="Annual"/>
    <n v="2"/>
    <n v="1"/>
    <n v="71700"/>
    <n v="143400"/>
  </r>
  <r>
    <x v="0"/>
    <n v="39"/>
    <x v="14"/>
    <x v="0"/>
    <x v="0"/>
    <n v="1005"/>
    <x v="15"/>
    <x v="0"/>
    <x v="21"/>
    <n v="3015"/>
    <x v="100"/>
    <n v="0"/>
    <x v="0"/>
    <s v="Z 13"/>
    <n v="69"/>
    <n v="9358"/>
    <x v="509"/>
    <s v="Annual"/>
    <n v="1"/>
    <n v="1"/>
    <n v="85176"/>
    <n v="85176"/>
  </r>
  <r>
    <x v="0"/>
    <n v="39"/>
    <x v="14"/>
    <x v="0"/>
    <x v="0"/>
    <n v="1005"/>
    <x v="15"/>
    <x v="0"/>
    <x v="21"/>
    <n v="3015"/>
    <x v="100"/>
    <n v="0"/>
    <x v="0"/>
    <s v="1 00"/>
    <n v="69"/>
    <n v="9354"/>
    <x v="510"/>
    <s v="Annual"/>
    <n v="1"/>
    <n v="1"/>
    <n v="138060"/>
    <n v="138060"/>
  </r>
  <r>
    <x v="0"/>
    <n v="39"/>
    <x v="14"/>
    <x v="0"/>
    <x v="0"/>
    <n v="1005"/>
    <x v="15"/>
    <x v="0"/>
    <x v="21"/>
    <n v="3015"/>
    <x v="100"/>
    <n v="0"/>
    <x v="0"/>
    <s v="1 00"/>
    <n v="69"/>
    <n v="9353"/>
    <x v="501"/>
    <s v="Annual"/>
    <n v="1"/>
    <n v="1"/>
    <n v="130065"/>
    <n v="130065"/>
  </r>
  <r>
    <x v="0"/>
    <n v="39"/>
    <x v="14"/>
    <x v="0"/>
    <x v="0"/>
    <n v="1005"/>
    <x v="15"/>
    <x v="0"/>
    <x v="21"/>
    <n v="3015"/>
    <x v="100"/>
    <n v="0"/>
    <x v="0"/>
    <s v="3 00"/>
    <n v="69"/>
    <n v="9350"/>
    <x v="511"/>
    <s v="Annual"/>
    <n v="1"/>
    <n v="1"/>
    <n v="102984"/>
    <n v="102984"/>
  </r>
  <r>
    <x v="0"/>
    <n v="39"/>
    <x v="14"/>
    <x v="0"/>
    <x v="0"/>
    <n v="1005"/>
    <x v="15"/>
    <x v="0"/>
    <x v="21"/>
    <n v="3015"/>
    <x v="100"/>
    <n v="0"/>
    <x v="0"/>
    <s v="Z 12"/>
    <n v="69"/>
    <n v="9327"/>
    <x v="506"/>
    <s v="Annual"/>
    <n v="1"/>
    <n v="1"/>
    <n v="77160"/>
    <n v="77160"/>
  </r>
  <r>
    <x v="0"/>
    <n v="39"/>
    <x v="14"/>
    <x v="0"/>
    <x v="0"/>
    <n v="1005"/>
    <x v="15"/>
    <x v="0"/>
    <x v="21"/>
    <n v="3015"/>
    <x v="100"/>
    <n v="0"/>
    <x v="0"/>
    <s v="Z 15"/>
    <n v="69"/>
    <n v="9310"/>
    <x v="512"/>
    <s v="Annual"/>
    <n v="1"/>
    <n v="1"/>
    <n v="93048"/>
    <n v="93048"/>
  </r>
  <r>
    <x v="0"/>
    <n v="39"/>
    <x v="14"/>
    <x v="0"/>
    <x v="0"/>
    <n v="1005"/>
    <x v="15"/>
    <x v="0"/>
    <x v="21"/>
    <n v="3015"/>
    <x v="100"/>
    <n v="0"/>
    <x v="0"/>
    <s v="Z 15"/>
    <n v="69"/>
    <n v="9310"/>
    <x v="512"/>
    <s v="Annual"/>
    <n v="1"/>
    <n v="1"/>
    <n v="91896"/>
    <n v="91896"/>
  </r>
  <r>
    <x v="0"/>
    <n v="39"/>
    <x v="14"/>
    <x v="0"/>
    <x v="0"/>
    <n v="1005"/>
    <x v="15"/>
    <x v="0"/>
    <x v="21"/>
    <n v="3015"/>
    <x v="100"/>
    <n v="0"/>
    <x v="0"/>
    <s v="Z 15"/>
    <n v="69"/>
    <n v="9310"/>
    <x v="512"/>
    <s v="Annual"/>
    <n v="1"/>
    <n v="1"/>
    <n v="71700"/>
    <n v="71700"/>
  </r>
  <r>
    <x v="0"/>
    <n v="39"/>
    <x v="14"/>
    <x v="0"/>
    <x v="0"/>
    <n v="1005"/>
    <x v="15"/>
    <x v="0"/>
    <x v="21"/>
    <n v="3015"/>
    <x v="100"/>
    <n v="0"/>
    <x v="0"/>
    <s v="Z 13"/>
    <n v="69"/>
    <n v="9309"/>
    <x v="513"/>
    <s v="Annual"/>
    <n v="2"/>
    <n v="1"/>
    <n v="54624"/>
    <n v="109248"/>
  </r>
  <r>
    <x v="0"/>
    <n v="39"/>
    <x v="14"/>
    <x v="0"/>
    <x v="0"/>
    <n v="1005"/>
    <x v="15"/>
    <x v="0"/>
    <x v="21"/>
    <n v="3015"/>
    <x v="100"/>
    <n v="0"/>
    <x v="0"/>
    <s v="Z 10"/>
    <n v="69"/>
    <n v="9308"/>
    <x v="507"/>
    <s v="Annual"/>
    <n v="1"/>
    <n v="1"/>
    <n v="44820"/>
    <n v="44820"/>
  </r>
  <r>
    <x v="0"/>
    <n v="39"/>
    <x v="14"/>
    <x v="0"/>
    <x v="0"/>
    <n v="1005"/>
    <x v="15"/>
    <x v="0"/>
    <x v="21"/>
    <n v="3015"/>
    <x v="100"/>
    <n v="0"/>
    <x v="0"/>
    <s v="Z 10"/>
    <n v="69"/>
    <n v="9308"/>
    <x v="507"/>
    <s v="Annual"/>
    <n v="1"/>
    <n v="1"/>
    <n v="40620"/>
    <n v="40620"/>
  </r>
  <r>
    <x v="0"/>
    <n v="39"/>
    <x v="14"/>
    <x v="0"/>
    <x v="0"/>
    <n v="1005"/>
    <x v="15"/>
    <x v="0"/>
    <x v="21"/>
    <n v="3020"/>
    <x v="101"/>
    <n v="0"/>
    <x v="0"/>
    <s v="Z 12"/>
    <n v="69"/>
    <n v="9357"/>
    <x v="514"/>
    <s v="Annual"/>
    <n v="4"/>
    <n v="1"/>
    <n v="41628"/>
    <n v="166512"/>
  </r>
  <r>
    <x v="0"/>
    <n v="39"/>
    <x v="14"/>
    <x v="0"/>
    <x v="0"/>
    <n v="1005"/>
    <x v="15"/>
    <x v="0"/>
    <x v="21"/>
    <n v="3020"/>
    <x v="101"/>
    <n v="0"/>
    <x v="0"/>
    <s v="1 00"/>
    <n v="69"/>
    <n v="9353"/>
    <x v="501"/>
    <s v="Annual"/>
    <n v="1"/>
    <n v="1"/>
    <n v="124985"/>
    <n v="124985"/>
  </r>
  <r>
    <x v="0"/>
    <n v="39"/>
    <x v="14"/>
    <x v="0"/>
    <x v="0"/>
    <n v="1005"/>
    <x v="15"/>
    <x v="0"/>
    <x v="21"/>
    <n v="3020"/>
    <x v="101"/>
    <n v="0"/>
    <x v="0"/>
    <s v="3 00"/>
    <n v="69"/>
    <n v="9350"/>
    <x v="511"/>
    <s v="Annual"/>
    <n v="1"/>
    <n v="1"/>
    <n v="94616"/>
    <n v="94616"/>
  </r>
  <r>
    <x v="0"/>
    <n v="39"/>
    <x v="14"/>
    <x v="0"/>
    <x v="0"/>
    <n v="1005"/>
    <x v="15"/>
    <x v="0"/>
    <x v="21"/>
    <n v="3020"/>
    <x v="101"/>
    <n v="0"/>
    <x v="0"/>
    <s v="Z 11"/>
    <n v="69"/>
    <n v="9344"/>
    <x v="515"/>
    <s v="Annual"/>
    <n v="1"/>
    <n v="1"/>
    <n v="60276"/>
    <n v="60276"/>
  </r>
  <r>
    <x v="0"/>
    <n v="39"/>
    <x v="14"/>
    <x v="0"/>
    <x v="0"/>
    <n v="1005"/>
    <x v="15"/>
    <x v="0"/>
    <x v="21"/>
    <n v="3020"/>
    <x v="101"/>
    <n v="0"/>
    <x v="0"/>
    <s v="Z 11"/>
    <n v="69"/>
    <n v="9344"/>
    <x v="515"/>
    <s v="Annual"/>
    <n v="1"/>
    <n v="1"/>
    <n v="45948"/>
    <n v="45948"/>
  </r>
  <r>
    <x v="0"/>
    <n v="39"/>
    <x v="14"/>
    <x v="0"/>
    <x v="0"/>
    <n v="1005"/>
    <x v="15"/>
    <x v="0"/>
    <x v="21"/>
    <n v="3020"/>
    <x v="101"/>
    <n v="0"/>
    <x v="0"/>
    <s v="Z 11"/>
    <n v="69"/>
    <n v="9344"/>
    <x v="515"/>
    <s v="Annual"/>
    <n v="1"/>
    <n v="1"/>
    <n v="37728"/>
    <n v="37728"/>
  </r>
  <r>
    <x v="0"/>
    <n v="39"/>
    <x v="14"/>
    <x v="0"/>
    <x v="0"/>
    <n v="1005"/>
    <x v="15"/>
    <x v="0"/>
    <x v="21"/>
    <n v="3020"/>
    <x v="101"/>
    <n v="0"/>
    <x v="0"/>
    <s v="Z 14"/>
    <n v="69"/>
    <n v="9335"/>
    <x v="516"/>
    <s v="Annual"/>
    <n v="1"/>
    <n v="1"/>
    <n v="87432"/>
    <n v="87432"/>
  </r>
  <r>
    <x v="0"/>
    <n v="39"/>
    <x v="14"/>
    <x v="0"/>
    <x v="0"/>
    <n v="1005"/>
    <x v="15"/>
    <x v="0"/>
    <x v="21"/>
    <n v="3020"/>
    <x v="101"/>
    <n v="0"/>
    <x v="0"/>
    <s v="Z 15"/>
    <n v="69"/>
    <n v="9330"/>
    <x v="517"/>
    <s v="Annual"/>
    <n v="1"/>
    <n v="1"/>
    <n v="83208"/>
    <n v="83208"/>
  </r>
  <r>
    <x v="0"/>
    <n v="39"/>
    <x v="14"/>
    <x v="0"/>
    <x v="0"/>
    <n v="1005"/>
    <x v="15"/>
    <x v="0"/>
    <x v="21"/>
    <n v="3020"/>
    <x v="101"/>
    <n v="0"/>
    <x v="0"/>
    <s v="Z 11"/>
    <n v="69"/>
    <n v="9328"/>
    <x v="505"/>
    <s v="Annual"/>
    <n v="2"/>
    <n v="1"/>
    <n v="69912"/>
    <n v="139824"/>
  </r>
  <r>
    <x v="0"/>
    <n v="39"/>
    <x v="14"/>
    <x v="0"/>
    <x v="0"/>
    <n v="1005"/>
    <x v="15"/>
    <x v="0"/>
    <x v="21"/>
    <n v="3020"/>
    <x v="101"/>
    <n v="0"/>
    <x v="0"/>
    <s v="Z 11"/>
    <n v="69"/>
    <n v="9328"/>
    <x v="505"/>
    <s v="Annual"/>
    <n v="1"/>
    <n v="1"/>
    <n v="68208"/>
    <n v="68208"/>
  </r>
  <r>
    <x v="0"/>
    <n v="39"/>
    <x v="14"/>
    <x v="0"/>
    <x v="0"/>
    <n v="1005"/>
    <x v="15"/>
    <x v="0"/>
    <x v="21"/>
    <n v="3020"/>
    <x v="101"/>
    <n v="0"/>
    <x v="0"/>
    <s v="Z 11"/>
    <n v="69"/>
    <n v="9328"/>
    <x v="505"/>
    <s v="Annual"/>
    <n v="1"/>
    <n v="1"/>
    <n v="57372"/>
    <n v="57372"/>
  </r>
  <r>
    <x v="0"/>
    <n v="39"/>
    <x v="14"/>
    <x v="0"/>
    <x v="0"/>
    <n v="1005"/>
    <x v="15"/>
    <x v="0"/>
    <x v="21"/>
    <n v="3020"/>
    <x v="101"/>
    <n v="0"/>
    <x v="0"/>
    <s v="Z 11"/>
    <n v="69"/>
    <n v="9328"/>
    <x v="505"/>
    <s v="Annual"/>
    <n v="1"/>
    <n v="1"/>
    <n v="53280"/>
    <n v="53280"/>
  </r>
  <r>
    <x v="0"/>
    <n v="39"/>
    <x v="14"/>
    <x v="0"/>
    <x v="0"/>
    <n v="1005"/>
    <x v="15"/>
    <x v="0"/>
    <x v="21"/>
    <n v="3020"/>
    <x v="101"/>
    <n v="0"/>
    <x v="0"/>
    <s v="Z 11"/>
    <n v="69"/>
    <n v="9328"/>
    <x v="505"/>
    <s v="Annual"/>
    <n v="1"/>
    <n v="1"/>
    <n v="51984"/>
    <n v="51984"/>
  </r>
  <r>
    <x v="0"/>
    <n v="39"/>
    <x v="14"/>
    <x v="0"/>
    <x v="0"/>
    <n v="1005"/>
    <x v="15"/>
    <x v="0"/>
    <x v="21"/>
    <n v="3020"/>
    <x v="101"/>
    <n v="0"/>
    <x v="0"/>
    <s v="Z 12"/>
    <n v="69"/>
    <n v="9327"/>
    <x v="506"/>
    <s v="Annual"/>
    <n v="2"/>
    <n v="1"/>
    <n v="77160"/>
    <n v="154320"/>
  </r>
  <r>
    <x v="0"/>
    <n v="39"/>
    <x v="14"/>
    <x v="0"/>
    <x v="0"/>
    <n v="1005"/>
    <x v="15"/>
    <x v="0"/>
    <x v="21"/>
    <n v="3020"/>
    <x v="101"/>
    <n v="0"/>
    <x v="0"/>
    <s v="Z 12"/>
    <n v="69"/>
    <n v="9327"/>
    <x v="506"/>
    <s v="Annual"/>
    <n v="1"/>
    <n v="1"/>
    <n v="57372"/>
    <n v="57372"/>
  </r>
  <r>
    <x v="0"/>
    <n v="39"/>
    <x v="14"/>
    <x v="0"/>
    <x v="0"/>
    <n v="1005"/>
    <x v="15"/>
    <x v="0"/>
    <x v="21"/>
    <n v="3020"/>
    <x v="101"/>
    <n v="0"/>
    <x v="0"/>
    <s v="Z 12"/>
    <n v="69"/>
    <n v="9327"/>
    <x v="506"/>
    <s v="Annual"/>
    <n v="1"/>
    <n v="1"/>
    <n v="54624"/>
    <n v="54624"/>
  </r>
  <r>
    <x v="0"/>
    <n v="39"/>
    <x v="14"/>
    <x v="0"/>
    <x v="0"/>
    <n v="1005"/>
    <x v="15"/>
    <x v="0"/>
    <x v="21"/>
    <n v="3020"/>
    <x v="101"/>
    <n v="0"/>
    <x v="0"/>
    <s v="Z 12"/>
    <n v="69"/>
    <n v="9327"/>
    <x v="506"/>
    <s v="Annual"/>
    <n v="2"/>
    <n v="1"/>
    <n v="53280"/>
    <n v="106560"/>
  </r>
  <r>
    <x v="0"/>
    <n v="39"/>
    <x v="14"/>
    <x v="0"/>
    <x v="0"/>
    <n v="1005"/>
    <x v="15"/>
    <x v="0"/>
    <x v="21"/>
    <n v="3020"/>
    <x v="101"/>
    <n v="0"/>
    <x v="0"/>
    <s v="Z 12"/>
    <n v="69"/>
    <n v="9327"/>
    <x v="506"/>
    <s v="Annual"/>
    <n v="1"/>
    <n v="1"/>
    <n v="41628"/>
    <n v="41628"/>
  </r>
  <r>
    <x v="0"/>
    <n v="39"/>
    <x v="14"/>
    <x v="0"/>
    <x v="0"/>
    <n v="1005"/>
    <x v="15"/>
    <x v="0"/>
    <x v="21"/>
    <n v="3020"/>
    <x v="101"/>
    <n v="0"/>
    <x v="0"/>
    <s v="Z 10"/>
    <n v="69"/>
    <n v="9308"/>
    <x v="507"/>
    <s v="Annual"/>
    <n v="1"/>
    <n v="1"/>
    <n v="60276"/>
    <n v="60276"/>
  </r>
  <r>
    <x v="0"/>
    <n v="39"/>
    <x v="14"/>
    <x v="0"/>
    <x v="0"/>
    <n v="1005"/>
    <x v="15"/>
    <x v="0"/>
    <x v="21"/>
    <n v="3020"/>
    <x v="101"/>
    <n v="0"/>
    <x v="0"/>
    <s v="Z 10"/>
    <n v="69"/>
    <n v="9308"/>
    <x v="507"/>
    <s v="Annual"/>
    <n v="1"/>
    <n v="1"/>
    <n v="49476"/>
    <n v="49476"/>
  </r>
  <r>
    <x v="0"/>
    <n v="39"/>
    <x v="14"/>
    <x v="0"/>
    <x v="0"/>
    <n v="1005"/>
    <x v="15"/>
    <x v="0"/>
    <x v="21"/>
    <n v="3020"/>
    <x v="101"/>
    <n v="0"/>
    <x v="0"/>
    <s v="Z 10"/>
    <n v="69"/>
    <n v="9308"/>
    <x v="507"/>
    <s v="Annual"/>
    <n v="2"/>
    <n v="1"/>
    <n v="48264"/>
    <n v="96528"/>
  </r>
  <r>
    <x v="0"/>
    <n v="39"/>
    <x v="14"/>
    <x v="0"/>
    <x v="0"/>
    <n v="1005"/>
    <x v="15"/>
    <x v="0"/>
    <x v="21"/>
    <n v="3020"/>
    <x v="101"/>
    <n v="0"/>
    <x v="0"/>
    <s v="Z 10"/>
    <n v="69"/>
    <n v="9308"/>
    <x v="507"/>
    <s v="Annual"/>
    <n v="3"/>
    <n v="1"/>
    <n v="42672"/>
    <n v="128016"/>
  </r>
  <r>
    <x v="0"/>
    <n v="39"/>
    <x v="14"/>
    <x v="0"/>
    <x v="0"/>
    <n v="1005"/>
    <x v="15"/>
    <x v="0"/>
    <x v="21"/>
    <n v="3020"/>
    <x v="101"/>
    <n v="0"/>
    <x v="0"/>
    <s v="Z 13"/>
    <n v="69"/>
    <n v="9306"/>
    <x v="518"/>
    <s v="Annual"/>
    <n v="1"/>
    <n v="1"/>
    <n v="77160"/>
    <n v="77160"/>
  </r>
  <r>
    <x v="0"/>
    <n v="39"/>
    <x v="14"/>
    <x v="0"/>
    <x v="0"/>
    <n v="1005"/>
    <x v="15"/>
    <x v="0"/>
    <x v="21"/>
    <n v="3025"/>
    <x v="102"/>
    <n v="0"/>
    <x v="0"/>
    <s v="Z 13"/>
    <n v="69"/>
    <n v="9356"/>
    <x v="519"/>
    <s v="Annual"/>
    <n v="1"/>
    <n v="1"/>
    <n v="85176"/>
    <n v="85176"/>
  </r>
  <r>
    <x v="0"/>
    <n v="39"/>
    <x v="14"/>
    <x v="0"/>
    <x v="0"/>
    <n v="1005"/>
    <x v="15"/>
    <x v="0"/>
    <x v="21"/>
    <n v="3025"/>
    <x v="102"/>
    <n v="0"/>
    <x v="0"/>
    <s v="1 00"/>
    <n v="69"/>
    <n v="9353"/>
    <x v="501"/>
    <s v="Annual"/>
    <n v="1"/>
    <n v="1"/>
    <n v="127524"/>
    <n v="127524"/>
  </r>
  <r>
    <x v="0"/>
    <n v="39"/>
    <x v="14"/>
    <x v="0"/>
    <x v="0"/>
    <n v="1005"/>
    <x v="15"/>
    <x v="0"/>
    <x v="21"/>
    <n v="3025"/>
    <x v="102"/>
    <n v="0"/>
    <x v="0"/>
    <s v="3 00"/>
    <n v="69"/>
    <n v="9350"/>
    <x v="511"/>
    <s v="Annual"/>
    <n v="1"/>
    <n v="1"/>
    <n v="112045"/>
    <n v="112045"/>
  </r>
  <r>
    <x v="0"/>
    <n v="39"/>
    <x v="14"/>
    <x v="0"/>
    <x v="0"/>
    <n v="1005"/>
    <x v="15"/>
    <x v="0"/>
    <x v="21"/>
    <n v="3025"/>
    <x v="102"/>
    <n v="0"/>
    <x v="0"/>
    <s v="Z 12"/>
    <n v="69"/>
    <n v="9342"/>
    <x v="520"/>
    <s v="Annual"/>
    <n v="1"/>
    <n v="1"/>
    <n v="66528"/>
    <n v="66528"/>
  </r>
  <r>
    <x v="0"/>
    <n v="39"/>
    <x v="14"/>
    <x v="0"/>
    <x v="0"/>
    <n v="1005"/>
    <x v="15"/>
    <x v="0"/>
    <x v="21"/>
    <n v="3025"/>
    <x v="102"/>
    <n v="0"/>
    <x v="0"/>
    <s v="Z 12"/>
    <n v="69"/>
    <n v="9342"/>
    <x v="520"/>
    <s v="Annual"/>
    <n v="1"/>
    <n v="1"/>
    <n v="60276"/>
    <n v="60276"/>
  </r>
  <r>
    <x v="0"/>
    <n v="39"/>
    <x v="14"/>
    <x v="0"/>
    <x v="0"/>
    <n v="1005"/>
    <x v="15"/>
    <x v="0"/>
    <x v="21"/>
    <n v="3025"/>
    <x v="102"/>
    <n v="0"/>
    <x v="0"/>
    <s v="Z 12"/>
    <n v="69"/>
    <n v="9342"/>
    <x v="520"/>
    <s v="Annual"/>
    <n v="1"/>
    <n v="1"/>
    <n v="41628"/>
    <n v="41628"/>
  </r>
  <r>
    <x v="0"/>
    <n v="39"/>
    <x v="14"/>
    <x v="0"/>
    <x v="0"/>
    <n v="1005"/>
    <x v="15"/>
    <x v="0"/>
    <x v="21"/>
    <n v="3025"/>
    <x v="102"/>
    <n v="0"/>
    <x v="0"/>
    <s v="Z 11"/>
    <n v="69"/>
    <n v="9341"/>
    <x v="521"/>
    <s v="Annual"/>
    <n v="1"/>
    <n v="1"/>
    <n v="60276"/>
    <n v="60276"/>
  </r>
  <r>
    <x v="0"/>
    <n v="39"/>
    <x v="14"/>
    <x v="0"/>
    <x v="0"/>
    <n v="1005"/>
    <x v="15"/>
    <x v="0"/>
    <x v="21"/>
    <n v="3025"/>
    <x v="102"/>
    <n v="0"/>
    <x v="0"/>
    <s v="Z 11"/>
    <n v="69"/>
    <n v="9341"/>
    <x v="521"/>
    <s v="Annual"/>
    <n v="1"/>
    <n v="1"/>
    <n v="53280"/>
    <n v="53280"/>
  </r>
  <r>
    <x v="0"/>
    <n v="39"/>
    <x v="14"/>
    <x v="0"/>
    <x v="0"/>
    <n v="1005"/>
    <x v="15"/>
    <x v="0"/>
    <x v="21"/>
    <n v="3025"/>
    <x v="102"/>
    <n v="0"/>
    <x v="0"/>
    <s v="Z 11"/>
    <n v="69"/>
    <n v="9341"/>
    <x v="521"/>
    <s v="Annual"/>
    <n v="1"/>
    <n v="1"/>
    <n v="51984"/>
    <n v="51984"/>
  </r>
  <r>
    <x v="0"/>
    <n v="39"/>
    <x v="14"/>
    <x v="0"/>
    <x v="0"/>
    <n v="1005"/>
    <x v="15"/>
    <x v="0"/>
    <x v="21"/>
    <n v="3025"/>
    <x v="102"/>
    <n v="0"/>
    <x v="0"/>
    <s v="Z 11"/>
    <n v="69"/>
    <n v="9341"/>
    <x v="521"/>
    <s v="Annual"/>
    <n v="1"/>
    <n v="1"/>
    <n v="48264"/>
    <n v="48264"/>
  </r>
  <r>
    <x v="0"/>
    <n v="39"/>
    <x v="14"/>
    <x v="0"/>
    <x v="0"/>
    <n v="1005"/>
    <x v="15"/>
    <x v="0"/>
    <x v="21"/>
    <n v="3025"/>
    <x v="102"/>
    <n v="0"/>
    <x v="0"/>
    <s v="Z 10"/>
    <n v="69"/>
    <n v="9340"/>
    <x v="522"/>
    <s v="Annual"/>
    <n v="1"/>
    <n v="1"/>
    <n v="50712"/>
    <n v="50712"/>
  </r>
  <r>
    <x v="0"/>
    <n v="39"/>
    <x v="14"/>
    <x v="0"/>
    <x v="0"/>
    <n v="1005"/>
    <x v="15"/>
    <x v="0"/>
    <x v="21"/>
    <n v="3025"/>
    <x v="102"/>
    <n v="0"/>
    <x v="0"/>
    <s v="Z 10"/>
    <n v="69"/>
    <n v="9340"/>
    <x v="522"/>
    <s v="Annual"/>
    <n v="1"/>
    <n v="1"/>
    <n v="44820"/>
    <n v="44820"/>
  </r>
  <r>
    <x v="0"/>
    <n v="39"/>
    <x v="14"/>
    <x v="0"/>
    <x v="0"/>
    <n v="1005"/>
    <x v="15"/>
    <x v="0"/>
    <x v="21"/>
    <n v="3025"/>
    <x v="102"/>
    <n v="0"/>
    <x v="0"/>
    <s v="Z 10"/>
    <n v="69"/>
    <n v="9340"/>
    <x v="522"/>
    <s v="Annual"/>
    <n v="1"/>
    <n v="1"/>
    <n v="43728"/>
    <n v="43728"/>
  </r>
  <r>
    <x v="0"/>
    <n v="39"/>
    <x v="14"/>
    <x v="0"/>
    <x v="0"/>
    <n v="1005"/>
    <x v="15"/>
    <x v="0"/>
    <x v="21"/>
    <n v="3025"/>
    <x v="102"/>
    <n v="0"/>
    <x v="0"/>
    <s v="Z 10"/>
    <n v="69"/>
    <n v="9340"/>
    <x v="522"/>
    <s v="Annual"/>
    <n v="1"/>
    <n v="1"/>
    <n v="42672"/>
    <n v="42672"/>
  </r>
  <r>
    <x v="0"/>
    <n v="39"/>
    <x v="14"/>
    <x v="0"/>
    <x v="0"/>
    <n v="1005"/>
    <x v="15"/>
    <x v="0"/>
    <x v="21"/>
    <n v="3025"/>
    <x v="102"/>
    <n v="0"/>
    <x v="0"/>
    <s v="Z 14"/>
    <n v="69"/>
    <n v="9339"/>
    <x v="523"/>
    <s v="Annual"/>
    <n v="1"/>
    <n v="1"/>
    <n v="87432"/>
    <n v="87432"/>
  </r>
  <r>
    <x v="0"/>
    <n v="39"/>
    <x v="14"/>
    <x v="0"/>
    <x v="0"/>
    <n v="1005"/>
    <x v="15"/>
    <x v="0"/>
    <x v="21"/>
    <n v="3025"/>
    <x v="102"/>
    <n v="0"/>
    <x v="0"/>
    <s v="Z 14"/>
    <n v="69"/>
    <n v="9339"/>
    <x v="523"/>
    <s v="Annual"/>
    <n v="1"/>
    <n v="1"/>
    <n v="64920"/>
    <n v="64920"/>
  </r>
  <r>
    <x v="0"/>
    <n v="39"/>
    <x v="14"/>
    <x v="0"/>
    <x v="0"/>
    <n v="1005"/>
    <x v="15"/>
    <x v="0"/>
    <x v="21"/>
    <n v="3025"/>
    <x v="102"/>
    <n v="0"/>
    <x v="0"/>
    <s v="Z 10"/>
    <n v="69"/>
    <n v="9308"/>
    <x v="507"/>
    <s v="Annual"/>
    <n v="1"/>
    <n v="1"/>
    <n v="42672"/>
    <n v="42672"/>
  </r>
  <r>
    <x v="0"/>
    <n v="39"/>
    <x v="14"/>
    <x v="0"/>
    <x v="0"/>
    <n v="1005"/>
    <x v="15"/>
    <x v="0"/>
    <x v="21"/>
    <n v="3041"/>
    <x v="103"/>
    <n v="0"/>
    <x v="0"/>
    <s v="1 00"/>
    <n v="69"/>
    <n v="9353"/>
    <x v="501"/>
    <s v="Annual"/>
    <n v="1"/>
    <n v="1"/>
    <n v="133982"/>
    <n v="133982"/>
  </r>
  <r>
    <x v="0"/>
    <n v="39"/>
    <x v="14"/>
    <x v="0"/>
    <x v="0"/>
    <n v="1005"/>
    <x v="15"/>
    <x v="0"/>
    <x v="21"/>
    <n v="3041"/>
    <x v="103"/>
    <n v="0"/>
    <x v="0"/>
    <s v="3 00"/>
    <n v="69"/>
    <n v="9350"/>
    <x v="511"/>
    <s v="Annual"/>
    <n v="1"/>
    <n v="1"/>
    <n v="94632"/>
    <n v="94632"/>
  </r>
  <r>
    <x v="0"/>
    <n v="39"/>
    <x v="14"/>
    <x v="0"/>
    <x v="0"/>
    <n v="1005"/>
    <x v="15"/>
    <x v="0"/>
    <x v="21"/>
    <n v="3041"/>
    <x v="103"/>
    <n v="0"/>
    <x v="0"/>
    <s v="Z 13"/>
    <n v="69"/>
    <n v="9347"/>
    <x v="524"/>
    <s v="Annual"/>
    <n v="1"/>
    <n v="1"/>
    <n v="77160"/>
    <n v="77160"/>
  </r>
  <r>
    <x v="0"/>
    <n v="39"/>
    <x v="14"/>
    <x v="0"/>
    <x v="0"/>
    <n v="1005"/>
    <x v="15"/>
    <x v="0"/>
    <x v="21"/>
    <n v="3041"/>
    <x v="103"/>
    <n v="0"/>
    <x v="0"/>
    <s v="Z 13"/>
    <n v="69"/>
    <n v="9347"/>
    <x v="524"/>
    <s v="Annual"/>
    <n v="1"/>
    <n v="1"/>
    <n v="73440"/>
    <n v="73440"/>
  </r>
  <r>
    <x v="0"/>
    <n v="39"/>
    <x v="14"/>
    <x v="0"/>
    <x v="0"/>
    <n v="1005"/>
    <x v="15"/>
    <x v="0"/>
    <x v="21"/>
    <n v="3041"/>
    <x v="103"/>
    <n v="0"/>
    <x v="0"/>
    <s v="Z 13"/>
    <n v="69"/>
    <n v="9347"/>
    <x v="524"/>
    <s v="Annual"/>
    <n v="2"/>
    <n v="1"/>
    <n v="71652"/>
    <n v="143304"/>
  </r>
  <r>
    <x v="0"/>
    <n v="39"/>
    <x v="14"/>
    <x v="0"/>
    <x v="0"/>
    <n v="1005"/>
    <x v="15"/>
    <x v="0"/>
    <x v="21"/>
    <n v="3041"/>
    <x v="103"/>
    <n v="0"/>
    <x v="0"/>
    <s v="Z 15"/>
    <n v="69"/>
    <n v="9330"/>
    <x v="517"/>
    <s v="Annual"/>
    <n v="1"/>
    <n v="1"/>
    <n v="90756"/>
    <n v="90756"/>
  </r>
  <r>
    <x v="0"/>
    <n v="39"/>
    <x v="14"/>
    <x v="0"/>
    <x v="0"/>
    <n v="1005"/>
    <x v="15"/>
    <x v="0"/>
    <x v="21"/>
    <n v="3041"/>
    <x v="103"/>
    <n v="0"/>
    <x v="0"/>
    <s v="Z 11"/>
    <n v="69"/>
    <n v="9328"/>
    <x v="505"/>
    <s v="Annual"/>
    <n v="1"/>
    <n v="1"/>
    <n v="55980"/>
    <n v="55980"/>
  </r>
  <r>
    <x v="0"/>
    <n v="39"/>
    <x v="14"/>
    <x v="0"/>
    <x v="0"/>
    <n v="1005"/>
    <x v="15"/>
    <x v="0"/>
    <x v="21"/>
    <n v="3041"/>
    <x v="103"/>
    <n v="0"/>
    <x v="0"/>
    <s v="Z 11"/>
    <n v="69"/>
    <n v="9328"/>
    <x v="505"/>
    <s v="Annual"/>
    <n v="1"/>
    <n v="1"/>
    <n v="45948"/>
    <n v="45948"/>
  </r>
  <r>
    <x v="0"/>
    <n v="39"/>
    <x v="14"/>
    <x v="0"/>
    <x v="0"/>
    <n v="1005"/>
    <x v="15"/>
    <x v="0"/>
    <x v="21"/>
    <n v="3041"/>
    <x v="103"/>
    <n v="0"/>
    <x v="0"/>
    <s v="Z 12"/>
    <n v="69"/>
    <n v="9327"/>
    <x v="506"/>
    <s v="Annual"/>
    <n v="1"/>
    <n v="1"/>
    <n v="66528"/>
    <n v="66528"/>
  </r>
  <r>
    <x v="0"/>
    <n v="39"/>
    <x v="14"/>
    <x v="0"/>
    <x v="0"/>
    <n v="1005"/>
    <x v="15"/>
    <x v="0"/>
    <x v="21"/>
    <n v="3041"/>
    <x v="103"/>
    <n v="0"/>
    <x v="0"/>
    <s v="Z 12"/>
    <n v="69"/>
    <n v="9327"/>
    <x v="506"/>
    <s v="Annual"/>
    <n v="1"/>
    <n v="1"/>
    <n v="60276"/>
    <n v="60276"/>
  </r>
  <r>
    <x v="0"/>
    <n v="39"/>
    <x v="14"/>
    <x v="0"/>
    <x v="0"/>
    <n v="1005"/>
    <x v="15"/>
    <x v="0"/>
    <x v="21"/>
    <n v="3041"/>
    <x v="103"/>
    <n v="0"/>
    <x v="0"/>
    <s v="Z 10"/>
    <n v="69"/>
    <n v="9308"/>
    <x v="507"/>
    <s v="Annual"/>
    <n v="1"/>
    <n v="1"/>
    <n v="51984"/>
    <n v="51984"/>
  </r>
  <r>
    <x v="0"/>
    <n v="39"/>
    <x v="14"/>
    <x v="0"/>
    <x v="0"/>
    <n v="1005"/>
    <x v="15"/>
    <x v="0"/>
    <x v="21"/>
    <n v="3041"/>
    <x v="103"/>
    <n v="0"/>
    <x v="0"/>
    <s v="Z 10"/>
    <n v="69"/>
    <n v="9308"/>
    <x v="507"/>
    <s v="Annual"/>
    <n v="4"/>
    <n v="1"/>
    <n v="48264"/>
    <n v="193056"/>
  </r>
  <r>
    <x v="0"/>
    <n v="39"/>
    <x v="14"/>
    <x v="0"/>
    <x v="0"/>
    <n v="1005"/>
    <x v="15"/>
    <x v="0"/>
    <x v="21"/>
    <n v="3041"/>
    <x v="103"/>
    <n v="0"/>
    <x v="0"/>
    <s v="Z 13"/>
    <n v="69"/>
    <n v="9306"/>
    <x v="518"/>
    <s v="Annual"/>
    <n v="1"/>
    <n v="1"/>
    <n v="81072"/>
    <n v="81072"/>
  </r>
  <r>
    <x v="0"/>
    <n v="39"/>
    <x v="14"/>
    <x v="0"/>
    <x v="0"/>
    <n v="1005"/>
    <x v="15"/>
    <x v="0"/>
    <x v="21"/>
    <n v="3051"/>
    <x v="104"/>
    <n v="0"/>
    <x v="0"/>
    <s v="1 00"/>
    <n v="69"/>
    <n v="9353"/>
    <x v="501"/>
    <s v="Annual"/>
    <n v="1"/>
    <n v="1"/>
    <n v="124985"/>
    <n v="124985"/>
  </r>
  <r>
    <x v="0"/>
    <n v="39"/>
    <x v="14"/>
    <x v="0"/>
    <x v="0"/>
    <n v="1005"/>
    <x v="15"/>
    <x v="0"/>
    <x v="21"/>
    <n v="3051"/>
    <x v="104"/>
    <n v="0"/>
    <x v="0"/>
    <s v="3 00"/>
    <n v="69"/>
    <n v="9350"/>
    <x v="511"/>
    <s v="Annual"/>
    <n v="1"/>
    <n v="1"/>
    <n v="97459"/>
    <n v="97459"/>
  </r>
  <r>
    <x v="0"/>
    <n v="39"/>
    <x v="14"/>
    <x v="0"/>
    <x v="0"/>
    <n v="1005"/>
    <x v="15"/>
    <x v="0"/>
    <x v="21"/>
    <n v="3051"/>
    <x v="104"/>
    <n v="0"/>
    <x v="0"/>
    <s v="Z 14"/>
    <n v="69"/>
    <n v="9345"/>
    <x v="525"/>
    <s v="Annual"/>
    <n v="1"/>
    <n v="1"/>
    <n v="76284"/>
    <n v="76284"/>
  </r>
  <r>
    <x v="0"/>
    <n v="39"/>
    <x v="14"/>
    <x v="0"/>
    <x v="0"/>
    <n v="1005"/>
    <x v="15"/>
    <x v="0"/>
    <x v="21"/>
    <n v="3051"/>
    <x v="104"/>
    <n v="0"/>
    <x v="0"/>
    <s v="Z 14"/>
    <n v="69"/>
    <n v="9337"/>
    <x v="526"/>
    <s v="Annual"/>
    <n v="1"/>
    <n v="1"/>
    <n v="74424"/>
    <n v="74424"/>
  </r>
  <r>
    <x v="0"/>
    <n v="39"/>
    <x v="14"/>
    <x v="0"/>
    <x v="0"/>
    <n v="1005"/>
    <x v="15"/>
    <x v="0"/>
    <x v="21"/>
    <n v="3051"/>
    <x v="104"/>
    <n v="0"/>
    <x v="0"/>
    <s v="Z 11"/>
    <n v="69"/>
    <n v="9328"/>
    <x v="505"/>
    <s v="Annual"/>
    <n v="3"/>
    <n v="1"/>
    <n v="69912"/>
    <n v="209736"/>
  </r>
  <r>
    <x v="0"/>
    <n v="39"/>
    <x v="14"/>
    <x v="0"/>
    <x v="0"/>
    <n v="1005"/>
    <x v="15"/>
    <x v="0"/>
    <x v="21"/>
    <n v="3051"/>
    <x v="104"/>
    <n v="0"/>
    <x v="0"/>
    <s v="Z 11"/>
    <n v="69"/>
    <n v="9328"/>
    <x v="505"/>
    <s v="Annual"/>
    <n v="1"/>
    <n v="1"/>
    <n v="68208"/>
    <n v="68208"/>
  </r>
  <r>
    <x v="0"/>
    <n v="39"/>
    <x v="14"/>
    <x v="0"/>
    <x v="0"/>
    <n v="1005"/>
    <x v="15"/>
    <x v="0"/>
    <x v="21"/>
    <n v="3051"/>
    <x v="104"/>
    <n v="0"/>
    <x v="0"/>
    <s v="Z 11"/>
    <n v="69"/>
    <n v="9328"/>
    <x v="505"/>
    <s v="Annual"/>
    <n v="1"/>
    <n v="1"/>
    <n v="53280"/>
    <n v="53280"/>
  </r>
  <r>
    <x v="0"/>
    <n v="39"/>
    <x v="14"/>
    <x v="0"/>
    <x v="0"/>
    <n v="1005"/>
    <x v="15"/>
    <x v="0"/>
    <x v="21"/>
    <n v="3051"/>
    <x v="104"/>
    <n v="0"/>
    <x v="0"/>
    <s v="Z 11"/>
    <n v="69"/>
    <n v="9328"/>
    <x v="505"/>
    <s v="Annual"/>
    <n v="1"/>
    <n v="1"/>
    <n v="48264"/>
    <n v="48264"/>
  </r>
  <r>
    <x v="0"/>
    <n v="39"/>
    <x v="14"/>
    <x v="0"/>
    <x v="0"/>
    <n v="1005"/>
    <x v="15"/>
    <x v="0"/>
    <x v="21"/>
    <n v="3051"/>
    <x v="104"/>
    <n v="0"/>
    <x v="0"/>
    <s v="Z 11"/>
    <n v="69"/>
    <n v="9328"/>
    <x v="505"/>
    <s v="Annual"/>
    <n v="1"/>
    <n v="1"/>
    <n v="47088"/>
    <n v="47088"/>
  </r>
  <r>
    <x v="0"/>
    <n v="39"/>
    <x v="14"/>
    <x v="0"/>
    <x v="0"/>
    <n v="1005"/>
    <x v="15"/>
    <x v="0"/>
    <x v="21"/>
    <n v="3051"/>
    <x v="104"/>
    <n v="0"/>
    <x v="0"/>
    <s v="Z 11"/>
    <n v="69"/>
    <n v="9328"/>
    <x v="505"/>
    <s v="Annual"/>
    <n v="1"/>
    <n v="1"/>
    <n v="37728"/>
    <n v="37728"/>
  </r>
  <r>
    <x v="0"/>
    <n v="39"/>
    <x v="14"/>
    <x v="0"/>
    <x v="0"/>
    <n v="1005"/>
    <x v="15"/>
    <x v="0"/>
    <x v="21"/>
    <n v="3051"/>
    <x v="104"/>
    <n v="0"/>
    <x v="0"/>
    <s v="Z 12"/>
    <n v="69"/>
    <n v="9327"/>
    <x v="506"/>
    <s v="Annual"/>
    <n v="1"/>
    <n v="1"/>
    <n v="54624"/>
    <n v="54624"/>
  </r>
  <r>
    <x v="0"/>
    <n v="39"/>
    <x v="14"/>
    <x v="0"/>
    <x v="0"/>
    <n v="1005"/>
    <x v="15"/>
    <x v="0"/>
    <x v="21"/>
    <n v="3051"/>
    <x v="104"/>
    <n v="0"/>
    <x v="0"/>
    <s v="Z 12"/>
    <n v="69"/>
    <n v="9327"/>
    <x v="506"/>
    <s v="Annual"/>
    <n v="1"/>
    <n v="1"/>
    <n v="53280"/>
    <n v="53280"/>
  </r>
  <r>
    <x v="0"/>
    <n v="39"/>
    <x v="14"/>
    <x v="0"/>
    <x v="0"/>
    <n v="1005"/>
    <x v="15"/>
    <x v="0"/>
    <x v="21"/>
    <n v="3051"/>
    <x v="104"/>
    <n v="0"/>
    <x v="0"/>
    <s v="Z 12"/>
    <n v="69"/>
    <n v="9327"/>
    <x v="506"/>
    <s v="Annual"/>
    <n v="1"/>
    <n v="1"/>
    <n v="50712"/>
    <n v="50712"/>
  </r>
  <r>
    <x v="0"/>
    <n v="39"/>
    <x v="14"/>
    <x v="0"/>
    <x v="0"/>
    <n v="1005"/>
    <x v="15"/>
    <x v="0"/>
    <x v="21"/>
    <n v="3051"/>
    <x v="104"/>
    <n v="0"/>
    <x v="0"/>
    <s v="Z 10"/>
    <n v="69"/>
    <n v="9308"/>
    <x v="507"/>
    <s v="Annual"/>
    <n v="1"/>
    <n v="1"/>
    <n v="63336"/>
    <n v="63336"/>
  </r>
  <r>
    <x v="0"/>
    <n v="39"/>
    <x v="14"/>
    <x v="0"/>
    <x v="0"/>
    <n v="1005"/>
    <x v="15"/>
    <x v="0"/>
    <x v="21"/>
    <n v="3051"/>
    <x v="104"/>
    <n v="0"/>
    <x v="0"/>
    <s v="Z 10"/>
    <n v="69"/>
    <n v="9308"/>
    <x v="507"/>
    <s v="Annual"/>
    <n v="3"/>
    <n v="1"/>
    <n v="50712"/>
    <n v="152136"/>
  </r>
  <r>
    <x v="0"/>
    <n v="39"/>
    <x v="14"/>
    <x v="0"/>
    <x v="0"/>
    <n v="1005"/>
    <x v="15"/>
    <x v="0"/>
    <x v="21"/>
    <n v="3051"/>
    <x v="104"/>
    <n v="0"/>
    <x v="0"/>
    <s v="Z 10"/>
    <n v="69"/>
    <n v="9308"/>
    <x v="507"/>
    <s v="Annual"/>
    <n v="1"/>
    <n v="1"/>
    <n v="44820"/>
    <n v="44820"/>
  </r>
  <r>
    <x v="0"/>
    <n v="39"/>
    <x v="14"/>
    <x v="0"/>
    <x v="0"/>
    <n v="1005"/>
    <x v="15"/>
    <x v="0"/>
    <x v="21"/>
    <n v="3051"/>
    <x v="104"/>
    <n v="0"/>
    <x v="0"/>
    <s v="Z 10"/>
    <n v="69"/>
    <n v="9308"/>
    <x v="507"/>
    <s v="Annual"/>
    <n v="1"/>
    <n v="1"/>
    <n v="43728"/>
    <n v="43728"/>
  </r>
  <r>
    <x v="0"/>
    <n v="39"/>
    <x v="14"/>
    <x v="0"/>
    <x v="0"/>
    <n v="1005"/>
    <x v="15"/>
    <x v="0"/>
    <x v="21"/>
    <n v="3051"/>
    <x v="104"/>
    <n v="0"/>
    <x v="0"/>
    <s v="Z 10"/>
    <n v="69"/>
    <n v="9308"/>
    <x v="507"/>
    <s v="Annual"/>
    <n v="3"/>
    <n v="1"/>
    <n v="42672"/>
    <n v="128016"/>
  </r>
  <r>
    <x v="0"/>
    <n v="39"/>
    <x v="14"/>
    <x v="0"/>
    <x v="0"/>
    <n v="1005"/>
    <x v="15"/>
    <x v="0"/>
    <x v="21"/>
    <n v="3051"/>
    <x v="104"/>
    <n v="0"/>
    <x v="0"/>
    <s v="Z 10"/>
    <n v="69"/>
    <n v="9308"/>
    <x v="507"/>
    <s v="Annual"/>
    <n v="1"/>
    <n v="1"/>
    <n v="40620"/>
    <n v="40620"/>
  </r>
  <r>
    <x v="0"/>
    <n v="39"/>
    <x v="14"/>
    <x v="0"/>
    <x v="0"/>
    <n v="1005"/>
    <x v="15"/>
    <x v="0"/>
    <x v="21"/>
    <n v="3051"/>
    <x v="104"/>
    <n v="0"/>
    <x v="0"/>
    <s v="Z 13"/>
    <n v="69"/>
    <n v="9306"/>
    <x v="518"/>
    <s v="Annual"/>
    <n v="1"/>
    <n v="1"/>
    <n v="73440"/>
    <n v="73440"/>
  </r>
  <r>
    <x v="0"/>
    <n v="39"/>
    <x v="14"/>
    <x v="0"/>
    <x v="0"/>
    <n v="1005"/>
    <x v="15"/>
    <x v="0"/>
    <x v="21"/>
    <n v="3051"/>
    <x v="104"/>
    <n v="0"/>
    <x v="0"/>
    <s v="Z 13"/>
    <n v="69"/>
    <n v="9306"/>
    <x v="518"/>
    <s v="Annual"/>
    <n v="1"/>
    <n v="1"/>
    <n v="45948"/>
    <n v="45948"/>
  </r>
  <r>
    <x v="0"/>
    <n v="41"/>
    <x v="15"/>
    <x v="0"/>
    <x v="0"/>
    <n v="1005"/>
    <x v="16"/>
    <x v="11"/>
    <x v="22"/>
    <n v="3112"/>
    <x v="105"/>
    <n v="0"/>
    <x v="0"/>
    <s v="1 00"/>
    <n v="9"/>
    <n v="9941"/>
    <x v="527"/>
    <s v="Annual"/>
    <n v="1"/>
    <n v="1"/>
    <n v="216036"/>
    <n v="216036"/>
  </r>
  <r>
    <x v="0"/>
    <n v="41"/>
    <x v="15"/>
    <x v="0"/>
    <x v="0"/>
    <n v="1005"/>
    <x v="16"/>
    <x v="11"/>
    <x v="22"/>
    <n v="3112"/>
    <x v="105"/>
    <n v="0"/>
    <x v="0"/>
    <s v="X 32"/>
    <n v="9"/>
    <n v="9679"/>
    <x v="81"/>
    <s v="Annual"/>
    <n v="1"/>
    <n v="1"/>
    <n v="167964"/>
    <n v="167964"/>
  </r>
  <r>
    <x v="0"/>
    <n v="41"/>
    <x v="15"/>
    <x v="0"/>
    <x v="0"/>
    <n v="1005"/>
    <x v="16"/>
    <x v="11"/>
    <x v="22"/>
    <n v="3112"/>
    <x v="105"/>
    <n v="0"/>
    <x v="0"/>
    <s v="X 32"/>
    <n v="9"/>
    <n v="9679"/>
    <x v="81"/>
    <s v="Annual"/>
    <n v="1"/>
    <n v="1"/>
    <n v="139140"/>
    <n v="139140"/>
  </r>
  <r>
    <x v="0"/>
    <n v="41"/>
    <x v="15"/>
    <x v="0"/>
    <x v="0"/>
    <n v="1005"/>
    <x v="16"/>
    <x v="11"/>
    <x v="22"/>
    <n v="3112"/>
    <x v="105"/>
    <n v="0"/>
    <x v="0"/>
    <s v="BX 16"/>
    <n v="10"/>
    <n v="802"/>
    <x v="30"/>
    <s v="Annual"/>
    <n v="1"/>
    <n v="1"/>
    <n v="83052"/>
    <n v="83052"/>
  </r>
  <r>
    <x v="0"/>
    <n v="41"/>
    <x v="15"/>
    <x v="0"/>
    <x v="0"/>
    <n v="1005"/>
    <x v="16"/>
    <x v="11"/>
    <x v="22"/>
    <n v="3112"/>
    <x v="105"/>
    <n v="0"/>
    <x v="0"/>
    <s v="1 00"/>
    <n v="0"/>
    <n v="15"/>
    <x v="37"/>
    <s v="Annual"/>
    <n v="0"/>
    <n v="0"/>
    <n v="3578"/>
    <n v="3578"/>
  </r>
  <r>
    <x v="0"/>
    <n v="41"/>
    <x v="15"/>
    <x v="0"/>
    <x v="0"/>
    <n v="1005"/>
    <x v="16"/>
    <x v="11"/>
    <x v="22"/>
    <n v="3116"/>
    <x v="106"/>
    <n v="0"/>
    <x v="0"/>
    <s v="B 14"/>
    <n v="4"/>
    <n v="1912"/>
    <x v="222"/>
    <s v="Annual"/>
    <n v="1"/>
    <n v="1"/>
    <n v="119100"/>
    <n v="119100"/>
  </r>
  <r>
    <x v="0"/>
    <n v="41"/>
    <x v="15"/>
    <x v="0"/>
    <x v="0"/>
    <n v="1005"/>
    <x v="16"/>
    <x v="11"/>
    <x v="22"/>
    <n v="3116"/>
    <x v="106"/>
    <n v="0"/>
    <x v="0"/>
    <s v="BX 17"/>
    <n v="10"/>
    <n v="790"/>
    <x v="31"/>
    <s v="Annual"/>
    <n v="1"/>
    <n v="1"/>
    <n v="89112"/>
    <n v="89112"/>
  </r>
  <r>
    <x v="0"/>
    <n v="41"/>
    <x v="15"/>
    <x v="0"/>
    <x v="0"/>
    <n v="1005"/>
    <x v="16"/>
    <x v="11"/>
    <x v="22"/>
    <n v="3116"/>
    <x v="106"/>
    <n v="0"/>
    <x v="0"/>
    <s v="B 15"/>
    <n v="1"/>
    <n v="729"/>
    <x v="32"/>
    <s v="Annual"/>
    <n v="1"/>
    <n v="1"/>
    <n v="93504"/>
    <n v="93504"/>
  </r>
  <r>
    <x v="0"/>
    <n v="41"/>
    <x v="15"/>
    <x v="0"/>
    <x v="0"/>
    <n v="1005"/>
    <x v="16"/>
    <x v="11"/>
    <x v="22"/>
    <n v="3116"/>
    <x v="106"/>
    <n v="0"/>
    <x v="0"/>
    <s v="PX 02"/>
    <n v="9"/>
    <n v="705"/>
    <x v="33"/>
    <s v="Annual"/>
    <n v="1"/>
    <n v="1"/>
    <n v="111300"/>
    <n v="111300"/>
  </r>
  <r>
    <x v="0"/>
    <n v="41"/>
    <x v="15"/>
    <x v="0"/>
    <x v="0"/>
    <n v="1005"/>
    <x v="16"/>
    <x v="11"/>
    <x v="22"/>
    <n v="3116"/>
    <x v="106"/>
    <n v="0"/>
    <x v="0"/>
    <s v="B 10"/>
    <n v="1"/>
    <s v="03A7"/>
    <x v="4"/>
    <s v="Annual"/>
    <n v="1"/>
    <n v="1"/>
    <n v="51936"/>
    <n v="51936"/>
  </r>
  <r>
    <x v="0"/>
    <n v="41"/>
    <x v="15"/>
    <x v="0"/>
    <x v="0"/>
    <n v="1005"/>
    <x v="16"/>
    <x v="11"/>
    <x v="22"/>
    <n v="3116"/>
    <x v="106"/>
    <n v="0"/>
    <x v="0"/>
    <s v="BX 18"/>
    <n v="10"/>
    <n v="310"/>
    <x v="135"/>
    <s v="Annual"/>
    <n v="1"/>
    <n v="1"/>
    <n v="113568"/>
    <n v="113568"/>
  </r>
  <r>
    <x v="0"/>
    <n v="41"/>
    <x v="15"/>
    <x v="0"/>
    <x v="0"/>
    <n v="1005"/>
    <x v="16"/>
    <x v="11"/>
    <x v="22"/>
    <n v="3116"/>
    <x v="106"/>
    <n v="0"/>
    <x v="0"/>
    <s v="1 00"/>
    <n v="0"/>
    <n v="15"/>
    <x v="37"/>
    <s v="Annual"/>
    <n v="0"/>
    <n v="0"/>
    <n v="7102"/>
    <n v="7102"/>
  </r>
  <r>
    <x v="0"/>
    <n v="41"/>
    <x v="15"/>
    <x v="0"/>
    <x v="0"/>
    <n v="1005"/>
    <x v="16"/>
    <x v="11"/>
    <x v="22"/>
    <n v="3118"/>
    <x v="107"/>
    <n v="0"/>
    <x v="0"/>
    <s v="X 32"/>
    <n v="9"/>
    <n v="9746"/>
    <x v="38"/>
    <s v="Annual"/>
    <n v="1"/>
    <n v="1"/>
    <n v="186156"/>
    <n v="186156"/>
  </r>
  <r>
    <x v="0"/>
    <n v="41"/>
    <x v="15"/>
    <x v="0"/>
    <x v="0"/>
    <n v="1005"/>
    <x v="16"/>
    <x v="11"/>
    <x v="22"/>
    <n v="3118"/>
    <x v="107"/>
    <n v="0"/>
    <x v="0"/>
    <s v="X 33"/>
    <n v="20"/>
    <n v="2901"/>
    <x v="528"/>
    <s v="Annual"/>
    <n v="1"/>
    <n v="1"/>
    <n v="153384"/>
    <n v="153384"/>
  </r>
  <r>
    <x v="0"/>
    <n v="41"/>
    <x v="15"/>
    <x v="0"/>
    <x v="0"/>
    <n v="1005"/>
    <x v="16"/>
    <x v="11"/>
    <x v="22"/>
    <n v="3118"/>
    <x v="107"/>
    <n v="0"/>
    <x v="0"/>
    <s v="B 14"/>
    <n v="4"/>
    <n v="1912"/>
    <x v="222"/>
    <s v="Annual"/>
    <n v="1"/>
    <n v="1"/>
    <n v="89244"/>
    <n v="89244"/>
  </r>
  <r>
    <x v="0"/>
    <n v="41"/>
    <x v="15"/>
    <x v="0"/>
    <x v="0"/>
    <n v="1005"/>
    <x v="16"/>
    <x v="11"/>
    <x v="22"/>
    <n v="3118"/>
    <x v="107"/>
    <n v="0"/>
    <x v="0"/>
    <s v="G 07"/>
    <n v="4"/>
    <n v="1646"/>
    <x v="529"/>
    <s v="Annual"/>
    <n v="1"/>
    <n v="1"/>
    <n v="97488"/>
    <n v="97488"/>
  </r>
  <r>
    <x v="0"/>
    <n v="41"/>
    <x v="15"/>
    <x v="0"/>
    <x v="0"/>
    <n v="1005"/>
    <x v="16"/>
    <x v="11"/>
    <x v="22"/>
    <n v="3118"/>
    <x v="107"/>
    <n v="0"/>
    <x v="0"/>
    <s v="G 07"/>
    <n v="4"/>
    <n v="1646"/>
    <x v="529"/>
    <s v="Annual"/>
    <n v="1"/>
    <n v="1"/>
    <n v="90144"/>
    <n v="90144"/>
  </r>
  <r>
    <x v="0"/>
    <n v="41"/>
    <x v="15"/>
    <x v="0"/>
    <x v="0"/>
    <n v="1005"/>
    <x v="16"/>
    <x v="11"/>
    <x v="22"/>
    <n v="3118"/>
    <x v="107"/>
    <n v="0"/>
    <x v="0"/>
    <s v="GY 12"/>
    <n v="20"/>
    <n v="1633"/>
    <x v="394"/>
    <s v="Annual"/>
    <n v="1"/>
    <n v="1"/>
    <n v="131124"/>
    <n v="131124"/>
  </r>
  <r>
    <x v="0"/>
    <n v="41"/>
    <x v="15"/>
    <x v="0"/>
    <x v="0"/>
    <n v="1005"/>
    <x v="16"/>
    <x v="11"/>
    <x v="22"/>
    <n v="3118"/>
    <x v="107"/>
    <n v="0"/>
    <x v="0"/>
    <s v="B 13"/>
    <n v="1"/>
    <n v="1617"/>
    <x v="338"/>
    <s v="Annual"/>
    <n v="1"/>
    <n v="1"/>
    <n v="103608"/>
    <n v="103608"/>
  </r>
  <r>
    <x v="0"/>
    <n v="41"/>
    <x v="15"/>
    <x v="0"/>
    <x v="0"/>
    <n v="1005"/>
    <x v="16"/>
    <x v="11"/>
    <x v="22"/>
    <n v="3118"/>
    <x v="107"/>
    <n v="0"/>
    <x v="0"/>
    <s v="BX 17"/>
    <n v="10"/>
    <n v="1431"/>
    <x v="82"/>
    <s v="Annual"/>
    <n v="1"/>
    <n v="1"/>
    <n v="103488"/>
    <n v="103488"/>
  </r>
  <r>
    <x v="0"/>
    <n v="41"/>
    <x v="15"/>
    <x v="0"/>
    <x v="0"/>
    <n v="1005"/>
    <x v="16"/>
    <x v="11"/>
    <x v="22"/>
    <n v="3118"/>
    <x v="107"/>
    <n v="0"/>
    <x v="0"/>
    <s v="BX 16"/>
    <n v="10"/>
    <n v="1430"/>
    <x v="355"/>
    <s v="Annual"/>
    <n v="1"/>
    <n v="1"/>
    <n v="103488"/>
    <n v="103488"/>
  </r>
  <r>
    <x v="0"/>
    <n v="41"/>
    <x v="15"/>
    <x v="0"/>
    <x v="0"/>
    <n v="1005"/>
    <x v="16"/>
    <x v="11"/>
    <x v="22"/>
    <n v="3118"/>
    <x v="107"/>
    <n v="0"/>
    <x v="0"/>
    <s v="BX 16"/>
    <n v="10"/>
    <n v="1430"/>
    <x v="355"/>
    <s v="Annual"/>
    <n v="1"/>
    <n v="1"/>
    <n v="89112"/>
    <n v="89112"/>
  </r>
  <r>
    <x v="0"/>
    <n v="41"/>
    <x v="15"/>
    <x v="0"/>
    <x v="0"/>
    <n v="1005"/>
    <x v="16"/>
    <x v="11"/>
    <x v="22"/>
    <n v="3118"/>
    <x v="107"/>
    <n v="0"/>
    <x v="0"/>
    <s v="GY 08"/>
    <n v="20"/>
    <n v="1368"/>
    <x v="358"/>
    <s v="Annual"/>
    <n v="1"/>
    <n v="1"/>
    <n v="82884"/>
    <n v="82884"/>
  </r>
  <r>
    <x v="0"/>
    <n v="41"/>
    <x v="15"/>
    <x v="0"/>
    <x v="0"/>
    <n v="1005"/>
    <x v="16"/>
    <x v="11"/>
    <x v="22"/>
    <n v="3118"/>
    <x v="107"/>
    <n v="0"/>
    <x v="0"/>
    <s v="1 00"/>
    <n v="0"/>
    <n v="15"/>
    <x v="37"/>
    <s v="Annual"/>
    <n v="0"/>
    <n v="0"/>
    <n v="17066"/>
    <n v="17066"/>
  </r>
  <r>
    <x v="0"/>
    <n v="41"/>
    <x v="15"/>
    <x v="0"/>
    <x v="0"/>
    <n v="1005"/>
    <x v="16"/>
    <x v="12"/>
    <x v="23"/>
    <n v="3120"/>
    <x v="105"/>
    <n v="0"/>
    <x v="0"/>
    <s v="X 32"/>
    <n v="9"/>
    <n v="9679"/>
    <x v="81"/>
    <s v="Annual"/>
    <n v="1"/>
    <n v="1"/>
    <n v="175512"/>
    <n v="175512"/>
  </r>
  <r>
    <x v="0"/>
    <n v="41"/>
    <x v="15"/>
    <x v="0"/>
    <x v="0"/>
    <n v="1005"/>
    <x v="16"/>
    <x v="12"/>
    <x v="23"/>
    <n v="3120"/>
    <x v="105"/>
    <n v="0"/>
    <x v="0"/>
    <s v="B 13"/>
    <n v="1"/>
    <n v="308"/>
    <x v="90"/>
    <s v="Annual"/>
    <n v="1"/>
    <n v="1"/>
    <n v="70752"/>
    <n v="70752"/>
  </r>
  <r>
    <x v="0"/>
    <n v="41"/>
    <x v="15"/>
    <x v="0"/>
    <x v="0"/>
    <n v="1005"/>
    <x v="16"/>
    <x v="12"/>
    <x v="23"/>
    <n v="3120"/>
    <x v="105"/>
    <n v="0"/>
    <x v="0"/>
    <s v="1 00"/>
    <n v="0"/>
    <n v="15"/>
    <x v="37"/>
    <s v="Annual"/>
    <n v="0"/>
    <n v="0"/>
    <n v="6595"/>
    <n v="6595"/>
  </r>
  <r>
    <x v="0"/>
    <n v="41"/>
    <x v="15"/>
    <x v="0"/>
    <x v="0"/>
    <n v="1005"/>
    <x v="16"/>
    <x v="12"/>
    <x v="23"/>
    <n v="3122"/>
    <x v="108"/>
    <n v="0"/>
    <x v="0"/>
    <s v="B 14"/>
    <n v="4"/>
    <n v="1912"/>
    <x v="222"/>
    <s v="Annual"/>
    <n v="1"/>
    <n v="1"/>
    <n v="77640"/>
    <n v="77640"/>
  </r>
  <r>
    <x v="0"/>
    <n v="41"/>
    <x v="15"/>
    <x v="0"/>
    <x v="0"/>
    <n v="1005"/>
    <x v="16"/>
    <x v="12"/>
    <x v="23"/>
    <n v="3122"/>
    <x v="108"/>
    <n v="0"/>
    <x v="0"/>
    <s v="X 33"/>
    <n v="20"/>
    <n v="383"/>
    <x v="89"/>
    <s v="Annual"/>
    <n v="1"/>
    <n v="1"/>
    <n v="146808"/>
    <n v="146808"/>
  </r>
  <r>
    <x v="0"/>
    <n v="41"/>
    <x v="15"/>
    <x v="0"/>
    <x v="0"/>
    <n v="1005"/>
    <x v="16"/>
    <x v="12"/>
    <x v="23"/>
    <n v="3122"/>
    <x v="108"/>
    <n v="0"/>
    <x v="0"/>
    <s v="1 00"/>
    <n v="0"/>
    <n v="15"/>
    <x v="37"/>
    <s v="Annual"/>
    <n v="0"/>
    <n v="0"/>
    <n v="6518"/>
    <n v="6518"/>
  </r>
  <r>
    <x v="0"/>
    <n v="41"/>
    <x v="15"/>
    <x v="0"/>
    <x v="0"/>
    <n v="1005"/>
    <x v="16"/>
    <x v="12"/>
    <x v="23"/>
    <n v="3126"/>
    <x v="84"/>
    <n v="0"/>
    <x v="0"/>
    <s v="BX 18"/>
    <n v="10"/>
    <n v="1346"/>
    <x v="29"/>
    <s v="Annual"/>
    <n v="1"/>
    <n v="1"/>
    <n v="89112"/>
    <n v="89112"/>
  </r>
  <r>
    <x v="0"/>
    <n v="41"/>
    <x v="15"/>
    <x v="0"/>
    <x v="0"/>
    <n v="1005"/>
    <x v="16"/>
    <x v="12"/>
    <x v="23"/>
    <n v="3126"/>
    <x v="84"/>
    <n v="0"/>
    <x v="0"/>
    <s v="X 33"/>
    <n v="0"/>
    <n v="1338"/>
    <x v="388"/>
    <s v="Annual"/>
    <n v="1"/>
    <n v="1"/>
    <n v="146808"/>
    <n v="146808"/>
  </r>
  <r>
    <x v="0"/>
    <n v="41"/>
    <x v="15"/>
    <x v="0"/>
    <x v="0"/>
    <n v="1005"/>
    <x v="16"/>
    <x v="12"/>
    <x v="23"/>
    <n v="3126"/>
    <x v="84"/>
    <n v="0"/>
    <x v="0"/>
    <s v="BX 17"/>
    <n v="20"/>
    <n v="1331"/>
    <x v="248"/>
    <s v="Annual"/>
    <n v="1"/>
    <n v="1"/>
    <n v="103488"/>
    <n v="103488"/>
  </r>
  <r>
    <x v="0"/>
    <n v="41"/>
    <x v="15"/>
    <x v="0"/>
    <x v="0"/>
    <n v="1005"/>
    <x v="16"/>
    <x v="12"/>
    <x v="23"/>
    <n v="3126"/>
    <x v="84"/>
    <n v="0"/>
    <x v="0"/>
    <s v="BX 13"/>
    <n v="10"/>
    <n v="1303"/>
    <x v="530"/>
    <s v="Annual"/>
    <n v="1"/>
    <n v="1"/>
    <n v="66516"/>
    <n v="66516"/>
  </r>
  <r>
    <x v="0"/>
    <n v="41"/>
    <x v="15"/>
    <x v="0"/>
    <x v="0"/>
    <n v="1005"/>
    <x v="16"/>
    <x v="12"/>
    <x v="23"/>
    <n v="3126"/>
    <x v="84"/>
    <n v="0"/>
    <x v="0"/>
    <s v="B 15"/>
    <n v="1"/>
    <n v="1302"/>
    <x v="83"/>
    <s v="Annual"/>
    <n v="2"/>
    <n v="1"/>
    <n v="119100"/>
    <n v="238200"/>
  </r>
  <r>
    <x v="0"/>
    <n v="41"/>
    <x v="15"/>
    <x v="0"/>
    <x v="0"/>
    <n v="1005"/>
    <x v="16"/>
    <x v="12"/>
    <x v="23"/>
    <n v="3126"/>
    <x v="84"/>
    <n v="0"/>
    <x v="0"/>
    <s v="B 13"/>
    <n v="1"/>
    <n v="1301"/>
    <x v="227"/>
    <s v="Annual"/>
    <n v="1"/>
    <n v="1"/>
    <n v="108576"/>
    <n v="108576"/>
  </r>
  <r>
    <x v="0"/>
    <n v="41"/>
    <x v="15"/>
    <x v="0"/>
    <x v="0"/>
    <n v="1005"/>
    <x v="16"/>
    <x v="12"/>
    <x v="23"/>
    <n v="3126"/>
    <x v="84"/>
    <n v="0"/>
    <x v="0"/>
    <s v="B 13"/>
    <n v="1"/>
    <n v="1301"/>
    <x v="227"/>
    <s v="Annual"/>
    <n v="1"/>
    <n v="1"/>
    <n v="74172"/>
    <n v="74172"/>
  </r>
  <r>
    <x v="0"/>
    <n v="41"/>
    <x v="15"/>
    <x v="0"/>
    <x v="0"/>
    <n v="1005"/>
    <x v="16"/>
    <x v="12"/>
    <x v="23"/>
    <n v="3126"/>
    <x v="84"/>
    <n v="0"/>
    <x v="0"/>
    <s v="B 13"/>
    <n v="1"/>
    <n v="1301"/>
    <x v="227"/>
    <s v="Annual"/>
    <n v="2"/>
    <n v="1"/>
    <n v="68616"/>
    <n v="137232"/>
  </r>
  <r>
    <x v="0"/>
    <n v="41"/>
    <x v="15"/>
    <x v="0"/>
    <x v="0"/>
    <n v="1005"/>
    <x v="16"/>
    <x v="12"/>
    <x v="23"/>
    <n v="3126"/>
    <x v="84"/>
    <n v="0"/>
    <x v="0"/>
    <s v="BX 18"/>
    <n v="10"/>
    <n v="311"/>
    <x v="253"/>
    <s v="Annual"/>
    <n v="1"/>
    <n v="1"/>
    <n v="89112"/>
    <n v="89112"/>
  </r>
  <r>
    <x v="0"/>
    <n v="41"/>
    <x v="15"/>
    <x v="0"/>
    <x v="0"/>
    <n v="1005"/>
    <x v="16"/>
    <x v="12"/>
    <x v="23"/>
    <n v="3126"/>
    <x v="84"/>
    <n v="0"/>
    <x v="0"/>
    <s v="B 13"/>
    <n v="1"/>
    <n v="308"/>
    <x v="90"/>
    <s v="Annual"/>
    <n v="1"/>
    <n v="1"/>
    <n v="68616"/>
    <n v="68616"/>
  </r>
  <r>
    <x v="0"/>
    <n v="41"/>
    <x v="15"/>
    <x v="0"/>
    <x v="0"/>
    <n v="1005"/>
    <x v="16"/>
    <x v="12"/>
    <x v="23"/>
    <n v="3126"/>
    <x v="84"/>
    <n v="0"/>
    <x v="0"/>
    <s v="1 00"/>
    <n v="0"/>
    <n v="15"/>
    <x v="37"/>
    <s v="Annual"/>
    <n v="0"/>
    <n v="0"/>
    <n v="17079"/>
    <n v="17079"/>
  </r>
  <r>
    <x v="0"/>
    <n v="41"/>
    <x v="15"/>
    <x v="0"/>
    <x v="0"/>
    <n v="1005"/>
    <x v="16"/>
    <x v="12"/>
    <x v="23"/>
    <n v="3128"/>
    <x v="109"/>
    <n v="0"/>
    <x v="0"/>
    <s v="B 14"/>
    <n v="1"/>
    <n v="1730"/>
    <x v="531"/>
    <s v="Annual"/>
    <n v="1"/>
    <n v="1"/>
    <n v="75336"/>
    <n v="75336"/>
  </r>
  <r>
    <x v="0"/>
    <n v="41"/>
    <x v="15"/>
    <x v="0"/>
    <x v="0"/>
    <n v="1005"/>
    <x v="16"/>
    <x v="12"/>
    <x v="23"/>
    <n v="3128"/>
    <x v="109"/>
    <n v="0"/>
    <x v="0"/>
    <s v="B 10"/>
    <n v="1"/>
    <s v="03A7"/>
    <x v="4"/>
    <s v="Annual"/>
    <n v="1"/>
    <n v="1"/>
    <n v="56124"/>
    <n v="56124"/>
  </r>
  <r>
    <x v="0"/>
    <n v="41"/>
    <x v="15"/>
    <x v="0"/>
    <x v="0"/>
    <n v="1005"/>
    <x v="16"/>
    <x v="12"/>
    <x v="23"/>
    <n v="3128"/>
    <x v="109"/>
    <n v="0"/>
    <x v="0"/>
    <s v="B 10"/>
    <n v="1"/>
    <s v="03A7"/>
    <x v="4"/>
    <s v="Annual"/>
    <n v="2"/>
    <n v="1"/>
    <n v="51936"/>
    <n v="103872"/>
  </r>
  <r>
    <x v="0"/>
    <n v="41"/>
    <x v="15"/>
    <x v="0"/>
    <x v="0"/>
    <n v="1005"/>
    <x v="16"/>
    <x v="12"/>
    <x v="23"/>
    <n v="3128"/>
    <x v="109"/>
    <n v="0"/>
    <x v="0"/>
    <s v="BX 18"/>
    <n v="10"/>
    <n v="311"/>
    <x v="253"/>
    <s v="Annual"/>
    <n v="1"/>
    <n v="1"/>
    <n v="107340"/>
    <n v="107340"/>
  </r>
  <r>
    <x v="0"/>
    <n v="41"/>
    <x v="15"/>
    <x v="0"/>
    <x v="0"/>
    <n v="1005"/>
    <x v="16"/>
    <x v="12"/>
    <x v="23"/>
    <n v="3128"/>
    <x v="109"/>
    <n v="0"/>
    <x v="0"/>
    <s v="G 07"/>
    <n v="4"/>
    <n v="124"/>
    <x v="91"/>
    <s v="Annual"/>
    <n v="4"/>
    <n v="1"/>
    <n v="129636"/>
    <n v="518544"/>
  </r>
  <r>
    <x v="0"/>
    <n v="41"/>
    <x v="15"/>
    <x v="0"/>
    <x v="0"/>
    <n v="1005"/>
    <x v="16"/>
    <x v="12"/>
    <x v="23"/>
    <n v="3128"/>
    <x v="109"/>
    <n v="0"/>
    <x v="0"/>
    <s v="G 07"/>
    <n v="4"/>
    <n v="124"/>
    <x v="91"/>
    <s v="Annual"/>
    <n v="1"/>
    <n v="1"/>
    <n v="122928"/>
    <n v="122928"/>
  </r>
  <r>
    <x v="0"/>
    <n v="41"/>
    <x v="15"/>
    <x v="0"/>
    <x v="0"/>
    <n v="1005"/>
    <x v="16"/>
    <x v="12"/>
    <x v="23"/>
    <n v="3128"/>
    <x v="109"/>
    <n v="0"/>
    <x v="0"/>
    <s v="G 07"/>
    <n v="4"/>
    <n v="124"/>
    <x v="91"/>
    <s v="Annual"/>
    <n v="1"/>
    <n v="1"/>
    <n v="107628"/>
    <n v="107628"/>
  </r>
  <r>
    <x v="0"/>
    <n v="41"/>
    <x v="15"/>
    <x v="0"/>
    <x v="0"/>
    <n v="1005"/>
    <x v="16"/>
    <x v="12"/>
    <x v="23"/>
    <n v="3128"/>
    <x v="109"/>
    <n v="0"/>
    <x v="0"/>
    <s v="G 07"/>
    <n v="4"/>
    <n v="124"/>
    <x v="91"/>
    <s v="Annual"/>
    <n v="1"/>
    <n v="1"/>
    <n v="90144"/>
    <n v="90144"/>
  </r>
  <r>
    <x v="0"/>
    <n v="41"/>
    <x v="15"/>
    <x v="0"/>
    <x v="0"/>
    <n v="1005"/>
    <x v="16"/>
    <x v="12"/>
    <x v="23"/>
    <n v="3128"/>
    <x v="109"/>
    <n v="0"/>
    <x v="0"/>
    <s v="X 33"/>
    <n v="0"/>
    <n v="118"/>
    <x v="92"/>
    <s v="Annual"/>
    <n v="1"/>
    <n v="1"/>
    <n v="121668"/>
    <n v="121668"/>
  </r>
  <r>
    <x v="0"/>
    <n v="41"/>
    <x v="15"/>
    <x v="0"/>
    <x v="0"/>
    <n v="1005"/>
    <x v="16"/>
    <x v="12"/>
    <x v="23"/>
    <n v="3128"/>
    <x v="109"/>
    <n v="0"/>
    <x v="0"/>
    <s v="1 00"/>
    <n v="0"/>
    <n v="15"/>
    <x v="37"/>
    <s v="Annual"/>
    <n v="0"/>
    <n v="0"/>
    <n v="2862"/>
    <n v="2862"/>
  </r>
  <r>
    <x v="0"/>
    <n v="41"/>
    <x v="15"/>
    <x v="0"/>
    <x v="0"/>
    <n v="1005"/>
    <x v="16"/>
    <x v="13"/>
    <x v="24"/>
    <n v="3134"/>
    <x v="105"/>
    <n v="0"/>
    <x v="0"/>
    <s v="X 32"/>
    <n v="9"/>
    <n v="9679"/>
    <x v="81"/>
    <s v="Annual"/>
    <n v="1"/>
    <n v="1"/>
    <n v="181356"/>
    <n v="181356"/>
  </r>
  <r>
    <x v="0"/>
    <n v="41"/>
    <x v="15"/>
    <x v="0"/>
    <x v="0"/>
    <n v="1005"/>
    <x v="16"/>
    <x v="13"/>
    <x v="24"/>
    <n v="3134"/>
    <x v="105"/>
    <n v="0"/>
    <x v="0"/>
    <s v="B 13"/>
    <n v="1"/>
    <n v="308"/>
    <x v="90"/>
    <s v="Annual"/>
    <n v="1"/>
    <n v="1"/>
    <n v="70752"/>
    <n v="70752"/>
  </r>
  <r>
    <x v="0"/>
    <n v="41"/>
    <x v="15"/>
    <x v="0"/>
    <x v="0"/>
    <n v="1005"/>
    <x v="16"/>
    <x v="13"/>
    <x v="24"/>
    <n v="3134"/>
    <x v="105"/>
    <n v="0"/>
    <x v="0"/>
    <s v="1 00"/>
    <n v="0"/>
    <n v="15"/>
    <x v="37"/>
    <s v="Annual"/>
    <n v="0"/>
    <n v="0"/>
    <n v="4586"/>
    <n v="4586"/>
  </r>
  <r>
    <x v="0"/>
    <n v="41"/>
    <x v="15"/>
    <x v="0"/>
    <x v="0"/>
    <n v="1005"/>
    <x v="16"/>
    <x v="13"/>
    <x v="24"/>
    <n v="3138"/>
    <x v="110"/>
    <n v="0"/>
    <x v="0"/>
    <s v="B 14"/>
    <n v="1"/>
    <n v="1730"/>
    <x v="531"/>
    <s v="Annual"/>
    <n v="2"/>
    <n v="1"/>
    <n v="75336"/>
    <n v="150672"/>
  </r>
  <r>
    <x v="0"/>
    <n v="41"/>
    <x v="15"/>
    <x v="0"/>
    <x v="0"/>
    <n v="1005"/>
    <x v="16"/>
    <x v="13"/>
    <x v="24"/>
    <n v="3138"/>
    <x v="110"/>
    <n v="0"/>
    <x v="0"/>
    <s v="X 33"/>
    <n v="9"/>
    <n v="313"/>
    <x v="220"/>
    <s v="Annual"/>
    <n v="1"/>
    <n v="1"/>
    <n v="121668"/>
    <n v="121668"/>
  </r>
  <r>
    <x v="0"/>
    <n v="41"/>
    <x v="15"/>
    <x v="0"/>
    <x v="0"/>
    <n v="1005"/>
    <x v="16"/>
    <x v="13"/>
    <x v="24"/>
    <n v="3140"/>
    <x v="111"/>
    <n v="0"/>
    <x v="0"/>
    <s v="BX 18"/>
    <n v="10"/>
    <n v="310"/>
    <x v="135"/>
    <s v="Annual"/>
    <n v="1"/>
    <n v="1"/>
    <n v="89112"/>
    <n v="89112"/>
  </r>
  <r>
    <x v="0"/>
    <n v="41"/>
    <x v="15"/>
    <x v="0"/>
    <x v="0"/>
    <n v="1005"/>
    <x v="16"/>
    <x v="13"/>
    <x v="24"/>
    <n v="3140"/>
    <x v="111"/>
    <n v="0"/>
    <x v="0"/>
    <s v="1 00"/>
    <n v="0"/>
    <n v="15"/>
    <x v="37"/>
    <s v="Annual"/>
    <n v="0"/>
    <n v="0"/>
    <n v="2136"/>
    <n v="2136"/>
  </r>
  <r>
    <x v="0"/>
    <n v="41"/>
    <x v="15"/>
    <x v="0"/>
    <x v="0"/>
    <n v="1005"/>
    <x v="16"/>
    <x v="13"/>
    <x v="24"/>
    <n v="3142"/>
    <x v="112"/>
    <n v="0"/>
    <x v="0"/>
    <s v="G 07"/>
    <n v="4"/>
    <n v="3414"/>
    <x v="532"/>
    <s v="Annual"/>
    <n v="1"/>
    <n v="1"/>
    <n v="129636"/>
    <n v="129636"/>
  </r>
  <r>
    <x v="0"/>
    <n v="41"/>
    <x v="15"/>
    <x v="0"/>
    <x v="0"/>
    <n v="1005"/>
    <x v="16"/>
    <x v="13"/>
    <x v="24"/>
    <n v="3142"/>
    <x v="112"/>
    <n v="0"/>
    <x v="0"/>
    <s v="G 07"/>
    <n v="4"/>
    <n v="3414"/>
    <x v="532"/>
    <s v="Annual"/>
    <n v="2"/>
    <n v="1"/>
    <n v="102516"/>
    <n v="205032"/>
  </r>
  <r>
    <x v="0"/>
    <n v="41"/>
    <x v="15"/>
    <x v="0"/>
    <x v="0"/>
    <n v="1005"/>
    <x v="16"/>
    <x v="13"/>
    <x v="24"/>
    <n v="3142"/>
    <x v="112"/>
    <n v="0"/>
    <x v="0"/>
    <s v="G 07"/>
    <n v="4"/>
    <n v="3414"/>
    <x v="532"/>
    <s v="Annual"/>
    <n v="1"/>
    <n v="1"/>
    <n v="97488"/>
    <n v="97488"/>
  </r>
  <r>
    <x v="0"/>
    <n v="41"/>
    <x v="15"/>
    <x v="0"/>
    <x v="0"/>
    <n v="1005"/>
    <x v="16"/>
    <x v="13"/>
    <x v="24"/>
    <n v="3142"/>
    <x v="112"/>
    <n v="0"/>
    <x v="0"/>
    <s v="GY 11"/>
    <n v="20"/>
    <n v="3408"/>
    <x v="533"/>
    <s v="Annual"/>
    <n v="1"/>
    <n v="1"/>
    <n v="141132"/>
    <n v="141132"/>
  </r>
  <r>
    <x v="0"/>
    <n v="41"/>
    <x v="15"/>
    <x v="0"/>
    <x v="0"/>
    <n v="1005"/>
    <x v="16"/>
    <x v="13"/>
    <x v="24"/>
    <n v="3142"/>
    <x v="112"/>
    <n v="0"/>
    <x v="0"/>
    <s v="GY 11"/>
    <n v="20"/>
    <n v="3408"/>
    <x v="533"/>
    <s v="Annual"/>
    <n v="1"/>
    <n v="1"/>
    <n v="115992"/>
    <n v="115992"/>
  </r>
  <r>
    <x v="0"/>
    <n v="41"/>
    <x v="15"/>
    <x v="0"/>
    <x v="0"/>
    <n v="1005"/>
    <x v="16"/>
    <x v="13"/>
    <x v="24"/>
    <n v="3142"/>
    <x v="112"/>
    <n v="0"/>
    <x v="0"/>
    <s v="G 09"/>
    <n v="4"/>
    <n v="3407"/>
    <x v="534"/>
    <s v="Annual"/>
    <n v="1"/>
    <n v="1"/>
    <n v="109140"/>
    <n v="109140"/>
  </r>
  <r>
    <x v="0"/>
    <n v="41"/>
    <x v="15"/>
    <x v="0"/>
    <x v="0"/>
    <n v="1005"/>
    <x v="16"/>
    <x v="13"/>
    <x v="24"/>
    <n v="3142"/>
    <x v="112"/>
    <n v="0"/>
    <x v="0"/>
    <s v="X 33"/>
    <n v="0"/>
    <n v="3402"/>
    <x v="535"/>
    <s v="Annual"/>
    <n v="1"/>
    <n v="1"/>
    <n v="158508"/>
    <n v="158508"/>
  </r>
  <r>
    <x v="0"/>
    <n v="41"/>
    <x v="15"/>
    <x v="0"/>
    <x v="0"/>
    <n v="1005"/>
    <x v="16"/>
    <x v="13"/>
    <x v="24"/>
    <n v="3142"/>
    <x v="112"/>
    <n v="0"/>
    <x v="0"/>
    <s v="1 00"/>
    <n v="0"/>
    <n v="15"/>
    <x v="37"/>
    <s v="Annual"/>
    <n v="0"/>
    <n v="0"/>
    <n v="11328"/>
    <n v="11328"/>
  </r>
  <r>
    <x v="0"/>
    <n v="41"/>
    <x v="15"/>
    <x v="0"/>
    <x v="0"/>
    <n v="1005"/>
    <x v="16"/>
    <x v="13"/>
    <x v="24"/>
    <n v="3144"/>
    <x v="113"/>
    <n v="0"/>
    <x v="0"/>
    <s v="G 06"/>
    <n v="4"/>
    <n v="684"/>
    <x v="536"/>
    <s v="Annual"/>
    <n v="1"/>
    <n v="1"/>
    <n v="81636"/>
    <n v="81636"/>
  </r>
  <r>
    <x v="0"/>
    <n v="41"/>
    <x v="15"/>
    <x v="0"/>
    <x v="0"/>
    <n v="1005"/>
    <x v="16"/>
    <x v="13"/>
    <x v="24"/>
    <n v="3144"/>
    <x v="113"/>
    <n v="0"/>
    <x v="0"/>
    <s v="G 08"/>
    <n v="4"/>
    <n v="635"/>
    <x v="242"/>
    <s v="Annual"/>
    <n v="1"/>
    <n v="1"/>
    <n v="99408"/>
    <n v="99408"/>
  </r>
  <r>
    <x v="0"/>
    <n v="41"/>
    <x v="15"/>
    <x v="0"/>
    <x v="0"/>
    <n v="1005"/>
    <x v="16"/>
    <x v="13"/>
    <x v="24"/>
    <n v="3144"/>
    <x v="113"/>
    <n v="0"/>
    <x v="0"/>
    <s v="X 33"/>
    <n v="0"/>
    <n v="601"/>
    <x v="332"/>
    <s v="Annual"/>
    <n v="1"/>
    <n v="1"/>
    <n v="121668"/>
    <n v="121668"/>
  </r>
  <r>
    <x v="0"/>
    <n v="41"/>
    <x v="15"/>
    <x v="0"/>
    <x v="0"/>
    <n v="1005"/>
    <x v="16"/>
    <x v="13"/>
    <x v="24"/>
    <n v="3144"/>
    <x v="113"/>
    <n v="0"/>
    <x v="0"/>
    <s v="BX 18"/>
    <n v="10"/>
    <n v="310"/>
    <x v="135"/>
    <s v="Annual"/>
    <n v="1"/>
    <n v="1"/>
    <n v="143232"/>
    <n v="143232"/>
  </r>
  <r>
    <x v="0"/>
    <n v="41"/>
    <x v="15"/>
    <x v="0"/>
    <x v="0"/>
    <n v="1005"/>
    <x v="16"/>
    <x v="14"/>
    <x v="25"/>
    <n v="3146"/>
    <x v="105"/>
    <n v="0"/>
    <x v="0"/>
    <s v="X 32"/>
    <n v="9"/>
    <n v="9679"/>
    <x v="81"/>
    <s v="Annual"/>
    <n v="1"/>
    <n v="1"/>
    <n v="175512"/>
    <n v="175512"/>
  </r>
  <r>
    <x v="0"/>
    <n v="41"/>
    <x v="15"/>
    <x v="0"/>
    <x v="0"/>
    <n v="1005"/>
    <x v="16"/>
    <x v="14"/>
    <x v="25"/>
    <n v="3146"/>
    <x v="105"/>
    <n v="0"/>
    <x v="0"/>
    <s v="B 13"/>
    <n v="1"/>
    <n v="308"/>
    <x v="90"/>
    <s v="Annual"/>
    <n v="1"/>
    <n v="1"/>
    <n v="68616"/>
    <n v="68616"/>
  </r>
  <r>
    <x v="0"/>
    <n v="41"/>
    <x v="15"/>
    <x v="0"/>
    <x v="0"/>
    <n v="1005"/>
    <x v="16"/>
    <x v="14"/>
    <x v="25"/>
    <n v="3146"/>
    <x v="105"/>
    <n v="0"/>
    <x v="0"/>
    <s v="1 00"/>
    <n v="0"/>
    <n v="15"/>
    <x v="37"/>
    <s v="Annual"/>
    <n v="0"/>
    <n v="0"/>
    <n v="3409"/>
    <n v="3409"/>
  </r>
  <r>
    <x v="0"/>
    <n v="41"/>
    <x v="15"/>
    <x v="0"/>
    <x v="0"/>
    <n v="1005"/>
    <x v="16"/>
    <x v="14"/>
    <x v="25"/>
    <n v="3148"/>
    <x v="114"/>
    <n v="0"/>
    <x v="0"/>
    <s v="B 16"/>
    <n v="4"/>
    <n v="3467"/>
    <x v="537"/>
    <s v="Annual"/>
    <n v="1"/>
    <n v="1"/>
    <n v="130668"/>
    <n v="130668"/>
  </r>
  <r>
    <x v="0"/>
    <n v="41"/>
    <x v="15"/>
    <x v="0"/>
    <x v="0"/>
    <n v="1005"/>
    <x v="16"/>
    <x v="14"/>
    <x v="25"/>
    <n v="3148"/>
    <x v="114"/>
    <n v="0"/>
    <x v="0"/>
    <s v="B 10"/>
    <n v="3"/>
    <n v="3213"/>
    <x v="538"/>
    <s v="Annual"/>
    <n v="1"/>
    <n v="1"/>
    <n v="51936"/>
    <n v="51936"/>
  </r>
  <r>
    <x v="0"/>
    <n v="41"/>
    <x v="15"/>
    <x v="0"/>
    <x v="0"/>
    <n v="1005"/>
    <x v="16"/>
    <x v="14"/>
    <x v="25"/>
    <n v="3148"/>
    <x v="114"/>
    <n v="0"/>
    <x v="0"/>
    <s v="1 00"/>
    <n v="0"/>
    <n v="15"/>
    <x v="37"/>
    <s v="Annual"/>
    <n v="0"/>
    <n v="0"/>
    <n v="1263"/>
    <n v="1263"/>
  </r>
  <r>
    <x v="0"/>
    <n v="41"/>
    <x v="15"/>
    <x v="0"/>
    <x v="0"/>
    <n v="1005"/>
    <x v="16"/>
    <x v="14"/>
    <x v="25"/>
    <n v="3150"/>
    <x v="115"/>
    <n v="0"/>
    <x v="0"/>
    <s v="B 16"/>
    <n v="4"/>
    <n v="3467"/>
    <x v="537"/>
    <s v="Annual"/>
    <n v="1"/>
    <n v="1"/>
    <n v="150240"/>
    <n v="150240"/>
  </r>
  <r>
    <x v="0"/>
    <n v="41"/>
    <x v="15"/>
    <x v="0"/>
    <x v="0"/>
    <n v="1005"/>
    <x v="16"/>
    <x v="14"/>
    <x v="25"/>
    <n v="3150"/>
    <x v="115"/>
    <n v="0"/>
    <x v="0"/>
    <s v="B 16"/>
    <n v="4"/>
    <n v="3467"/>
    <x v="537"/>
    <s v="Annual"/>
    <n v="1"/>
    <n v="1"/>
    <n v="90732"/>
    <n v="90732"/>
  </r>
  <r>
    <x v="0"/>
    <n v="41"/>
    <x v="15"/>
    <x v="0"/>
    <x v="0"/>
    <n v="1005"/>
    <x v="16"/>
    <x v="14"/>
    <x v="25"/>
    <n v="3150"/>
    <x v="115"/>
    <n v="0"/>
    <x v="0"/>
    <s v="X 31"/>
    <n v="9"/>
    <n v="3348"/>
    <x v="539"/>
    <s v="Annual"/>
    <n v="1"/>
    <n v="1"/>
    <n v="199800"/>
    <n v="199800"/>
  </r>
  <r>
    <x v="0"/>
    <n v="41"/>
    <x v="15"/>
    <x v="0"/>
    <x v="0"/>
    <n v="1005"/>
    <x v="16"/>
    <x v="14"/>
    <x v="25"/>
    <n v="3150"/>
    <x v="115"/>
    <n v="0"/>
    <x v="0"/>
    <s v="B 14"/>
    <n v="3"/>
    <n v="3210"/>
    <x v="540"/>
    <s v="Annual"/>
    <n v="1"/>
    <n v="1"/>
    <n v="81324"/>
    <n v="81324"/>
  </r>
  <r>
    <x v="0"/>
    <n v="41"/>
    <x v="15"/>
    <x v="0"/>
    <x v="0"/>
    <n v="1005"/>
    <x v="16"/>
    <x v="14"/>
    <x v="25"/>
    <n v="3150"/>
    <x v="115"/>
    <n v="0"/>
    <x v="0"/>
    <s v="BX 18"/>
    <n v="10"/>
    <n v="3092"/>
    <x v="308"/>
    <s v="Annual"/>
    <n v="1"/>
    <n v="1"/>
    <n v="102444"/>
    <n v="102444"/>
  </r>
  <r>
    <x v="0"/>
    <n v="41"/>
    <x v="15"/>
    <x v="0"/>
    <x v="0"/>
    <n v="1005"/>
    <x v="16"/>
    <x v="14"/>
    <x v="25"/>
    <n v="3150"/>
    <x v="115"/>
    <n v="0"/>
    <x v="0"/>
    <s v="BX 18"/>
    <n v="10"/>
    <n v="3092"/>
    <x v="308"/>
    <s v="Annual"/>
    <n v="1"/>
    <n v="1"/>
    <n v="93384"/>
    <n v="93384"/>
  </r>
  <r>
    <x v="0"/>
    <n v="41"/>
    <x v="15"/>
    <x v="0"/>
    <x v="0"/>
    <n v="1005"/>
    <x v="16"/>
    <x v="14"/>
    <x v="25"/>
    <n v="3150"/>
    <x v="115"/>
    <n v="0"/>
    <x v="0"/>
    <s v="X 33"/>
    <n v="20"/>
    <n v="3057"/>
    <x v="541"/>
    <s v="Annual"/>
    <n v="1"/>
    <n v="1"/>
    <n v="121668"/>
    <n v="121668"/>
  </r>
  <r>
    <x v="0"/>
    <n v="41"/>
    <x v="15"/>
    <x v="0"/>
    <x v="0"/>
    <n v="1005"/>
    <x v="16"/>
    <x v="14"/>
    <x v="25"/>
    <n v="3150"/>
    <x v="115"/>
    <n v="0"/>
    <x v="0"/>
    <s v="B 14"/>
    <n v="4"/>
    <n v="1912"/>
    <x v="222"/>
    <s v="Annual"/>
    <n v="1"/>
    <n v="1"/>
    <n v="81324"/>
    <n v="81324"/>
  </r>
  <r>
    <x v="0"/>
    <n v="41"/>
    <x v="15"/>
    <x v="0"/>
    <x v="0"/>
    <n v="1005"/>
    <x v="16"/>
    <x v="14"/>
    <x v="25"/>
    <n v="3150"/>
    <x v="115"/>
    <n v="0"/>
    <x v="0"/>
    <s v="GY 10"/>
    <n v="20"/>
    <n v="1441"/>
    <x v="542"/>
    <s v="Annual"/>
    <n v="1"/>
    <n v="1"/>
    <n v="97332"/>
    <n v="97332"/>
  </r>
  <r>
    <x v="0"/>
    <n v="41"/>
    <x v="15"/>
    <x v="0"/>
    <x v="0"/>
    <n v="1005"/>
    <x v="16"/>
    <x v="14"/>
    <x v="25"/>
    <n v="3150"/>
    <x v="115"/>
    <n v="0"/>
    <x v="0"/>
    <s v="BX 18"/>
    <n v="10"/>
    <n v="311"/>
    <x v="253"/>
    <s v="Annual"/>
    <n v="1"/>
    <n v="1"/>
    <n v="113568"/>
    <n v="113568"/>
  </r>
  <r>
    <x v="0"/>
    <n v="41"/>
    <x v="15"/>
    <x v="0"/>
    <x v="0"/>
    <n v="1005"/>
    <x v="16"/>
    <x v="14"/>
    <x v="25"/>
    <n v="3150"/>
    <x v="115"/>
    <n v="0"/>
    <x v="0"/>
    <s v="1 00"/>
    <n v="0"/>
    <n v="15"/>
    <x v="37"/>
    <s v="Annual"/>
    <n v="0"/>
    <n v="0"/>
    <n v="12511"/>
    <n v="12511"/>
  </r>
  <r>
    <x v="0"/>
    <n v="41"/>
    <x v="15"/>
    <x v="0"/>
    <x v="0"/>
    <n v="1005"/>
    <x v="16"/>
    <x v="14"/>
    <x v="25"/>
    <n v="3152"/>
    <x v="116"/>
    <n v="0"/>
    <x v="0"/>
    <s v="S 05"/>
    <n v="37"/>
    <n v="3752"/>
    <x v="543"/>
    <s v="Annual"/>
    <n v="1"/>
    <n v="1"/>
    <n v="137376"/>
    <n v="137376"/>
  </r>
  <r>
    <x v="0"/>
    <n v="41"/>
    <x v="15"/>
    <x v="0"/>
    <x v="0"/>
    <n v="1005"/>
    <x v="16"/>
    <x v="14"/>
    <x v="25"/>
    <n v="3152"/>
    <x v="116"/>
    <n v="0"/>
    <x v="0"/>
    <s v="S 05"/>
    <n v="37"/>
    <n v="3752"/>
    <x v="543"/>
    <s v="Annual"/>
    <n v="1"/>
    <n v="1"/>
    <n v="101448"/>
    <n v="101448"/>
  </r>
  <r>
    <x v="0"/>
    <n v="41"/>
    <x v="15"/>
    <x v="0"/>
    <x v="0"/>
    <n v="1005"/>
    <x v="16"/>
    <x v="14"/>
    <x v="25"/>
    <n v="3152"/>
    <x v="116"/>
    <n v="0"/>
    <x v="0"/>
    <s v="S 05"/>
    <n v="37"/>
    <n v="3752"/>
    <x v="543"/>
    <s v="Annual"/>
    <n v="1"/>
    <n v="1"/>
    <n v="87504"/>
    <n v="87504"/>
  </r>
  <r>
    <x v="0"/>
    <n v="41"/>
    <x v="15"/>
    <x v="0"/>
    <x v="0"/>
    <n v="1005"/>
    <x v="16"/>
    <x v="14"/>
    <x v="25"/>
    <n v="3152"/>
    <x v="116"/>
    <n v="0"/>
    <x v="0"/>
    <s v="BX 18"/>
    <n v="10"/>
    <n v="3092"/>
    <x v="308"/>
    <s v="Annual"/>
    <n v="1"/>
    <n v="1"/>
    <n v="113568"/>
    <n v="113568"/>
  </r>
  <r>
    <x v="0"/>
    <n v="41"/>
    <x v="15"/>
    <x v="0"/>
    <x v="0"/>
    <n v="1005"/>
    <x v="16"/>
    <x v="14"/>
    <x v="25"/>
    <n v="3152"/>
    <x v="116"/>
    <n v="0"/>
    <x v="0"/>
    <s v="1 00"/>
    <n v="0"/>
    <n v="15"/>
    <x v="37"/>
    <s v="Annual"/>
    <n v="0"/>
    <n v="0"/>
    <n v="4198"/>
    <n v="4198"/>
  </r>
  <r>
    <x v="0"/>
    <n v="41"/>
    <x v="15"/>
    <x v="0"/>
    <x v="0"/>
    <n v="1005"/>
    <x v="16"/>
    <x v="14"/>
    <x v="25"/>
    <n v="3154"/>
    <x v="117"/>
    <n v="0"/>
    <x v="0"/>
    <s v="GY 10"/>
    <n v="20"/>
    <n v="1441"/>
    <x v="542"/>
    <s v="Annual"/>
    <n v="1"/>
    <n v="1"/>
    <n v="130476"/>
    <n v="130476"/>
  </r>
  <r>
    <x v="0"/>
    <n v="41"/>
    <x v="15"/>
    <x v="0"/>
    <x v="0"/>
    <n v="1005"/>
    <x v="16"/>
    <x v="14"/>
    <x v="25"/>
    <n v="3156"/>
    <x v="118"/>
    <n v="0"/>
    <x v="0"/>
    <s v="BX 16"/>
    <n v="10"/>
    <n v="3858"/>
    <x v="544"/>
    <s v="Annual"/>
    <n v="1"/>
    <n v="1"/>
    <n v="118956"/>
    <n v="118956"/>
  </r>
  <r>
    <x v="0"/>
    <n v="41"/>
    <x v="15"/>
    <x v="0"/>
    <x v="0"/>
    <n v="1005"/>
    <x v="16"/>
    <x v="14"/>
    <x v="25"/>
    <n v="3156"/>
    <x v="118"/>
    <n v="0"/>
    <x v="0"/>
    <s v="B 14"/>
    <n v="4"/>
    <n v="3466"/>
    <x v="545"/>
    <s v="Annual"/>
    <n v="1"/>
    <n v="1"/>
    <n v="119100"/>
    <n v="119100"/>
  </r>
  <r>
    <x v="0"/>
    <n v="41"/>
    <x v="15"/>
    <x v="0"/>
    <x v="0"/>
    <n v="1005"/>
    <x v="16"/>
    <x v="14"/>
    <x v="25"/>
    <n v="3156"/>
    <x v="118"/>
    <n v="0"/>
    <x v="0"/>
    <s v="B 11"/>
    <n v="3"/>
    <n v="3417"/>
    <x v="546"/>
    <s v="Annual"/>
    <n v="1"/>
    <n v="1"/>
    <n v="57000"/>
    <n v="57000"/>
  </r>
  <r>
    <x v="0"/>
    <n v="41"/>
    <x v="15"/>
    <x v="0"/>
    <x v="0"/>
    <n v="1005"/>
    <x v="16"/>
    <x v="14"/>
    <x v="25"/>
    <n v="3156"/>
    <x v="118"/>
    <n v="0"/>
    <x v="0"/>
    <s v="B 14"/>
    <n v="4"/>
    <n v="1912"/>
    <x v="222"/>
    <s v="Annual"/>
    <n v="1"/>
    <n v="1"/>
    <n v="81324"/>
    <n v="81324"/>
  </r>
  <r>
    <x v="0"/>
    <n v="41"/>
    <x v="15"/>
    <x v="0"/>
    <x v="0"/>
    <n v="1005"/>
    <x v="16"/>
    <x v="14"/>
    <x v="25"/>
    <n v="3156"/>
    <x v="118"/>
    <n v="0"/>
    <x v="0"/>
    <s v="GY 10"/>
    <n v="20"/>
    <n v="1441"/>
    <x v="542"/>
    <s v="Annual"/>
    <n v="1"/>
    <n v="1"/>
    <n v="97332"/>
    <n v="97332"/>
  </r>
  <r>
    <x v="0"/>
    <n v="41"/>
    <x v="15"/>
    <x v="0"/>
    <x v="0"/>
    <n v="1005"/>
    <x v="16"/>
    <x v="14"/>
    <x v="25"/>
    <n v="3156"/>
    <x v="118"/>
    <n v="0"/>
    <x v="0"/>
    <s v="1 00"/>
    <n v="0"/>
    <n v="15"/>
    <x v="37"/>
    <s v="Annual"/>
    <n v="0"/>
    <n v="0"/>
    <n v="2148"/>
    <n v="2148"/>
  </r>
  <r>
    <x v="0"/>
    <n v="41"/>
    <x v="15"/>
    <x v="0"/>
    <x v="0"/>
    <n v="1005"/>
    <x v="16"/>
    <x v="15"/>
    <x v="26"/>
    <n v="3158"/>
    <x v="105"/>
    <n v="0"/>
    <x v="0"/>
    <s v="X 31"/>
    <n v="9"/>
    <n v="9660"/>
    <x v="353"/>
    <s v="Annual"/>
    <n v="1"/>
    <n v="1"/>
    <n v="194688"/>
    <n v="194688"/>
  </r>
  <r>
    <x v="0"/>
    <n v="41"/>
    <x v="15"/>
    <x v="0"/>
    <x v="0"/>
    <n v="1005"/>
    <x v="16"/>
    <x v="15"/>
    <x v="26"/>
    <n v="3158"/>
    <x v="105"/>
    <n v="0"/>
    <x v="0"/>
    <s v="X 31"/>
    <n v="9"/>
    <n v="3348"/>
    <x v="539"/>
    <s v="Annual"/>
    <n v="1"/>
    <n v="1"/>
    <n v="199800"/>
    <n v="199800"/>
  </r>
  <r>
    <x v="0"/>
    <n v="41"/>
    <x v="15"/>
    <x v="0"/>
    <x v="0"/>
    <n v="1005"/>
    <x v="16"/>
    <x v="15"/>
    <x v="26"/>
    <n v="3158"/>
    <x v="105"/>
    <n v="0"/>
    <x v="0"/>
    <s v="BX 16"/>
    <n v="10"/>
    <n v="802"/>
    <x v="30"/>
    <s v="Annual"/>
    <n v="1"/>
    <n v="1"/>
    <n v="89112"/>
    <n v="89112"/>
  </r>
  <r>
    <x v="0"/>
    <n v="41"/>
    <x v="15"/>
    <x v="0"/>
    <x v="0"/>
    <n v="1005"/>
    <x v="16"/>
    <x v="15"/>
    <x v="26"/>
    <n v="3158"/>
    <x v="105"/>
    <n v="0"/>
    <x v="0"/>
    <s v="B 10"/>
    <n v="1"/>
    <s v="03A7"/>
    <x v="4"/>
    <s v="Annual"/>
    <n v="1"/>
    <n v="1"/>
    <n v="51936"/>
    <n v="51936"/>
  </r>
  <r>
    <x v="0"/>
    <n v="41"/>
    <x v="15"/>
    <x v="0"/>
    <x v="0"/>
    <n v="1005"/>
    <x v="16"/>
    <x v="15"/>
    <x v="26"/>
    <n v="3158"/>
    <x v="105"/>
    <n v="0"/>
    <x v="0"/>
    <s v="1 00"/>
    <n v="0"/>
    <n v="15"/>
    <x v="37"/>
    <s v="Annual"/>
    <n v="0"/>
    <n v="0"/>
    <n v="9207"/>
    <n v="9207"/>
  </r>
  <r>
    <x v="0"/>
    <n v="41"/>
    <x v="15"/>
    <x v="0"/>
    <x v="0"/>
    <n v="1005"/>
    <x v="16"/>
    <x v="15"/>
    <x v="26"/>
    <n v="3160"/>
    <x v="119"/>
    <n v="0"/>
    <x v="0"/>
    <s v="B 16"/>
    <n v="4"/>
    <n v="8620"/>
    <x v="547"/>
    <s v="Annual"/>
    <n v="1"/>
    <n v="1"/>
    <n v="102588"/>
    <n v="102588"/>
  </r>
  <r>
    <x v="0"/>
    <n v="41"/>
    <x v="15"/>
    <x v="0"/>
    <x v="0"/>
    <n v="1005"/>
    <x v="16"/>
    <x v="15"/>
    <x v="26"/>
    <n v="3160"/>
    <x v="119"/>
    <n v="0"/>
    <x v="0"/>
    <s v="B 16"/>
    <n v="4"/>
    <n v="8620"/>
    <x v="547"/>
    <s v="Annual"/>
    <n v="1"/>
    <n v="1"/>
    <n v="97956"/>
    <n v="97956"/>
  </r>
  <r>
    <x v="0"/>
    <n v="41"/>
    <x v="15"/>
    <x v="0"/>
    <x v="0"/>
    <n v="1005"/>
    <x v="16"/>
    <x v="15"/>
    <x v="26"/>
    <n v="3160"/>
    <x v="119"/>
    <n v="0"/>
    <x v="0"/>
    <s v="B 14"/>
    <n v="4"/>
    <n v="1912"/>
    <x v="222"/>
    <s v="Annual"/>
    <n v="1"/>
    <n v="1"/>
    <n v="81324"/>
    <n v="81324"/>
  </r>
  <r>
    <x v="0"/>
    <n v="41"/>
    <x v="15"/>
    <x v="0"/>
    <x v="0"/>
    <n v="1005"/>
    <x v="16"/>
    <x v="15"/>
    <x v="26"/>
    <n v="3160"/>
    <x v="119"/>
    <n v="0"/>
    <x v="0"/>
    <s v="B 10"/>
    <n v="1"/>
    <n v="1817"/>
    <x v="451"/>
    <s v="Annual"/>
    <n v="1"/>
    <n v="1"/>
    <n v="58764"/>
    <n v="58764"/>
  </r>
  <r>
    <x v="0"/>
    <n v="41"/>
    <x v="15"/>
    <x v="0"/>
    <x v="0"/>
    <n v="1005"/>
    <x v="16"/>
    <x v="15"/>
    <x v="26"/>
    <n v="3160"/>
    <x v="119"/>
    <n v="0"/>
    <x v="0"/>
    <s v="BX 18"/>
    <n v="10"/>
    <n v="311"/>
    <x v="253"/>
    <s v="Annual"/>
    <n v="1"/>
    <n v="1"/>
    <n v="143232"/>
    <n v="143232"/>
  </r>
  <r>
    <x v="0"/>
    <n v="41"/>
    <x v="15"/>
    <x v="0"/>
    <x v="0"/>
    <n v="1005"/>
    <x v="16"/>
    <x v="15"/>
    <x v="26"/>
    <n v="3160"/>
    <x v="119"/>
    <n v="0"/>
    <x v="0"/>
    <s v="1 00"/>
    <n v="0"/>
    <n v="15"/>
    <x v="37"/>
    <s v="Annual"/>
    <n v="0"/>
    <n v="0"/>
    <n v="4751"/>
    <n v="4751"/>
  </r>
  <r>
    <x v="0"/>
    <n v="41"/>
    <x v="15"/>
    <x v="0"/>
    <x v="0"/>
    <n v="1005"/>
    <x v="16"/>
    <x v="15"/>
    <x v="26"/>
    <n v="3162"/>
    <x v="120"/>
    <n v="0"/>
    <x v="0"/>
    <s v="S 08"/>
    <n v="37"/>
    <n v="3763"/>
    <x v="548"/>
    <s v="Annual"/>
    <n v="1"/>
    <n v="1"/>
    <n v="129540"/>
    <n v="129540"/>
  </r>
  <r>
    <x v="0"/>
    <n v="41"/>
    <x v="15"/>
    <x v="0"/>
    <x v="0"/>
    <n v="1005"/>
    <x v="16"/>
    <x v="15"/>
    <x v="26"/>
    <n v="3162"/>
    <x v="120"/>
    <n v="0"/>
    <x v="0"/>
    <s v="S 05"/>
    <n v="37"/>
    <n v="3752"/>
    <x v="543"/>
    <s v="Annual"/>
    <n v="1"/>
    <n v="1"/>
    <n v="107544"/>
    <n v="107544"/>
  </r>
  <r>
    <x v="0"/>
    <n v="41"/>
    <x v="15"/>
    <x v="0"/>
    <x v="0"/>
    <n v="1005"/>
    <x v="16"/>
    <x v="15"/>
    <x v="26"/>
    <n v="3162"/>
    <x v="120"/>
    <n v="0"/>
    <x v="0"/>
    <s v="S 05"/>
    <n v="37"/>
    <n v="3752"/>
    <x v="543"/>
    <s v="Annual"/>
    <n v="1"/>
    <n v="1"/>
    <n v="101448"/>
    <n v="101448"/>
  </r>
  <r>
    <x v="0"/>
    <n v="41"/>
    <x v="15"/>
    <x v="0"/>
    <x v="0"/>
    <n v="1005"/>
    <x v="16"/>
    <x v="15"/>
    <x v="26"/>
    <n v="3162"/>
    <x v="120"/>
    <n v="0"/>
    <x v="0"/>
    <s v="S 04"/>
    <n v="37"/>
    <n v="3751"/>
    <x v="549"/>
    <s v="Annual"/>
    <n v="1"/>
    <n v="1"/>
    <n v="91956"/>
    <n v="91956"/>
  </r>
  <r>
    <x v="0"/>
    <n v="41"/>
    <x v="15"/>
    <x v="0"/>
    <x v="0"/>
    <n v="1005"/>
    <x v="16"/>
    <x v="15"/>
    <x v="26"/>
    <n v="3162"/>
    <x v="120"/>
    <n v="0"/>
    <x v="0"/>
    <s v="B 12"/>
    <n v="1"/>
    <n v="1770"/>
    <x v="550"/>
    <s v="Annual"/>
    <n v="1"/>
    <n v="1"/>
    <n v="64488"/>
    <n v="64488"/>
  </r>
  <r>
    <x v="0"/>
    <n v="41"/>
    <x v="15"/>
    <x v="0"/>
    <x v="0"/>
    <n v="1005"/>
    <x v="16"/>
    <x v="15"/>
    <x v="26"/>
    <n v="3162"/>
    <x v="120"/>
    <n v="0"/>
    <x v="0"/>
    <s v="B 09"/>
    <n v="1"/>
    <n v="460"/>
    <x v="344"/>
    <s v="Annual"/>
    <n v="1"/>
    <n v="1"/>
    <n v="48864"/>
    <n v="48864"/>
  </r>
  <r>
    <x v="0"/>
    <n v="41"/>
    <x v="15"/>
    <x v="0"/>
    <x v="0"/>
    <n v="1005"/>
    <x v="16"/>
    <x v="15"/>
    <x v="26"/>
    <n v="3162"/>
    <x v="120"/>
    <n v="0"/>
    <x v="0"/>
    <s v="1 00"/>
    <n v="0"/>
    <n v="15"/>
    <x v="37"/>
    <s v="Annual"/>
    <n v="0"/>
    <n v="0"/>
    <n v="5803"/>
    <n v="5803"/>
  </r>
  <r>
    <x v="0"/>
    <n v="41"/>
    <x v="15"/>
    <x v="0"/>
    <x v="0"/>
    <n v="1005"/>
    <x v="16"/>
    <x v="15"/>
    <x v="26"/>
    <n v="3164"/>
    <x v="114"/>
    <n v="0"/>
    <x v="0"/>
    <s v="X 33"/>
    <n v="20"/>
    <n v="3057"/>
    <x v="541"/>
    <s v="Annual"/>
    <n v="1"/>
    <n v="1"/>
    <n v="121668"/>
    <n v="121668"/>
  </r>
  <r>
    <x v="0"/>
    <n v="41"/>
    <x v="15"/>
    <x v="0"/>
    <x v="0"/>
    <n v="1005"/>
    <x v="16"/>
    <x v="15"/>
    <x v="26"/>
    <n v="3164"/>
    <x v="114"/>
    <n v="0"/>
    <x v="0"/>
    <s v="B 09"/>
    <n v="1"/>
    <n v="460"/>
    <x v="344"/>
    <s v="Annual"/>
    <n v="1"/>
    <n v="1"/>
    <n v="82140"/>
    <n v="82140"/>
  </r>
  <r>
    <x v="0"/>
    <n v="41"/>
    <x v="15"/>
    <x v="0"/>
    <x v="0"/>
    <n v="1005"/>
    <x v="16"/>
    <x v="15"/>
    <x v="26"/>
    <n v="3164"/>
    <x v="114"/>
    <n v="0"/>
    <x v="0"/>
    <s v="1 00"/>
    <n v="0"/>
    <n v="15"/>
    <x v="37"/>
    <s v="Annual"/>
    <n v="0"/>
    <n v="0"/>
    <n v="2448"/>
    <n v="2448"/>
  </r>
  <r>
    <x v="0"/>
    <n v="41"/>
    <x v="15"/>
    <x v="0"/>
    <x v="0"/>
    <n v="1005"/>
    <x v="16"/>
    <x v="15"/>
    <x v="26"/>
    <n v="3168"/>
    <x v="121"/>
    <n v="0"/>
    <x v="0"/>
    <s v="B 13"/>
    <n v="3"/>
    <n v="3434"/>
    <x v="551"/>
    <s v="Annual"/>
    <n v="1"/>
    <n v="1"/>
    <n v="113628"/>
    <n v="113628"/>
  </r>
  <r>
    <x v="0"/>
    <n v="41"/>
    <x v="15"/>
    <x v="0"/>
    <x v="0"/>
    <n v="1005"/>
    <x v="16"/>
    <x v="15"/>
    <x v="26"/>
    <n v="3168"/>
    <x v="121"/>
    <n v="0"/>
    <x v="0"/>
    <s v="G 09"/>
    <n v="4"/>
    <n v="3407"/>
    <x v="534"/>
    <s v="Annual"/>
    <n v="1"/>
    <n v="1"/>
    <n v="154764"/>
    <n v="154764"/>
  </r>
  <r>
    <x v="0"/>
    <n v="41"/>
    <x v="15"/>
    <x v="0"/>
    <x v="0"/>
    <n v="1005"/>
    <x v="16"/>
    <x v="15"/>
    <x v="26"/>
    <n v="3168"/>
    <x v="121"/>
    <n v="0"/>
    <x v="0"/>
    <s v="X 31"/>
    <n v="9"/>
    <n v="3348"/>
    <x v="539"/>
    <s v="Annual"/>
    <n v="1"/>
    <n v="1"/>
    <n v="199800"/>
    <n v="199800"/>
  </r>
  <r>
    <x v="0"/>
    <n v="41"/>
    <x v="15"/>
    <x v="0"/>
    <x v="0"/>
    <n v="1005"/>
    <x v="16"/>
    <x v="15"/>
    <x v="26"/>
    <n v="3168"/>
    <x v="121"/>
    <n v="0"/>
    <x v="0"/>
    <s v="1 00"/>
    <n v="0"/>
    <n v="15"/>
    <x v="37"/>
    <s v="Annual"/>
    <n v="0"/>
    <n v="0"/>
    <n v="2527"/>
    <n v="2527"/>
  </r>
  <r>
    <x v="0"/>
    <n v="41"/>
    <x v="15"/>
    <x v="0"/>
    <x v="0"/>
    <n v="1005"/>
    <x v="16"/>
    <x v="15"/>
    <x v="26"/>
    <n v="3170"/>
    <x v="122"/>
    <n v="0"/>
    <x v="0"/>
    <s v="X 31"/>
    <n v="9"/>
    <n v="3348"/>
    <x v="539"/>
    <s v="Annual"/>
    <n v="1"/>
    <n v="1"/>
    <n v="199800"/>
    <n v="199800"/>
  </r>
  <r>
    <x v="0"/>
    <n v="41"/>
    <x v="15"/>
    <x v="0"/>
    <x v="0"/>
    <n v="1005"/>
    <x v="16"/>
    <x v="15"/>
    <x v="26"/>
    <n v="3170"/>
    <x v="122"/>
    <n v="0"/>
    <x v="0"/>
    <s v="1 00"/>
    <n v="0"/>
    <n v="15"/>
    <x v="37"/>
    <s v="Annual"/>
    <n v="0"/>
    <n v="0"/>
    <n v="2527"/>
    <n v="2527"/>
  </r>
  <r>
    <x v="0"/>
    <n v="41"/>
    <x v="15"/>
    <x v="0"/>
    <x v="0"/>
    <n v="1005"/>
    <x v="16"/>
    <x v="15"/>
    <x v="26"/>
    <n v="3172"/>
    <x v="123"/>
    <n v="0"/>
    <x v="0"/>
    <s v="B 13"/>
    <n v="3"/>
    <n v="3434"/>
    <x v="551"/>
    <s v="Annual"/>
    <n v="1"/>
    <n v="1"/>
    <n v="119100"/>
    <n v="119100"/>
  </r>
  <r>
    <x v="0"/>
    <n v="41"/>
    <x v="15"/>
    <x v="0"/>
    <x v="0"/>
    <n v="1005"/>
    <x v="16"/>
    <x v="15"/>
    <x v="26"/>
    <n v="3172"/>
    <x v="123"/>
    <n v="0"/>
    <x v="0"/>
    <s v="G 09"/>
    <n v="4"/>
    <n v="3407"/>
    <x v="534"/>
    <s v="Annual"/>
    <n v="1"/>
    <n v="1"/>
    <n v="117636"/>
    <n v="117636"/>
  </r>
  <r>
    <x v="0"/>
    <n v="41"/>
    <x v="15"/>
    <x v="0"/>
    <x v="0"/>
    <n v="1005"/>
    <x v="16"/>
    <x v="15"/>
    <x v="26"/>
    <n v="3172"/>
    <x v="123"/>
    <n v="0"/>
    <x v="0"/>
    <s v="X 33"/>
    <n v="0"/>
    <n v="3402"/>
    <x v="535"/>
    <s v="Annual"/>
    <n v="1"/>
    <n v="1"/>
    <n v="158508"/>
    <n v="158508"/>
  </r>
  <r>
    <x v="0"/>
    <n v="41"/>
    <x v="15"/>
    <x v="0"/>
    <x v="0"/>
    <n v="1005"/>
    <x v="16"/>
    <x v="15"/>
    <x v="26"/>
    <n v="3172"/>
    <x v="123"/>
    <n v="0"/>
    <x v="0"/>
    <s v="1 00"/>
    <n v="0"/>
    <n v="15"/>
    <x v="37"/>
    <s v="Annual"/>
    <n v="0"/>
    <n v="0"/>
    <n v="4574"/>
    <n v="4574"/>
  </r>
  <r>
    <x v="0"/>
    <n v="41"/>
    <x v="15"/>
    <x v="0"/>
    <x v="0"/>
    <n v="1005"/>
    <x v="16"/>
    <x v="16"/>
    <x v="27"/>
    <n v="3046"/>
    <x v="124"/>
    <n v="0"/>
    <x v="0"/>
    <s v="B 13"/>
    <n v="3"/>
    <n v="3825"/>
    <x v="552"/>
    <s v="Annual"/>
    <n v="2"/>
    <n v="1"/>
    <n v="85200"/>
    <n v="170400"/>
  </r>
  <r>
    <x v="0"/>
    <n v="41"/>
    <x v="15"/>
    <x v="0"/>
    <x v="0"/>
    <n v="1005"/>
    <x v="16"/>
    <x v="16"/>
    <x v="27"/>
    <n v="3046"/>
    <x v="124"/>
    <n v="0"/>
    <x v="0"/>
    <s v="B 13"/>
    <n v="3"/>
    <n v="3825"/>
    <x v="552"/>
    <s v="Annual"/>
    <n v="2"/>
    <n v="1"/>
    <n v="68616"/>
    <n v="137232"/>
  </r>
  <r>
    <x v="0"/>
    <n v="41"/>
    <x v="15"/>
    <x v="0"/>
    <x v="0"/>
    <n v="1005"/>
    <x v="16"/>
    <x v="16"/>
    <x v="27"/>
    <n v="3046"/>
    <x v="124"/>
    <n v="0"/>
    <x v="0"/>
    <s v="GY 10"/>
    <n v="20"/>
    <n v="3538"/>
    <x v="553"/>
    <s v="Annual"/>
    <n v="1"/>
    <n v="1"/>
    <n v="97332"/>
    <n v="97332"/>
  </r>
  <r>
    <x v="0"/>
    <n v="41"/>
    <x v="15"/>
    <x v="0"/>
    <x v="0"/>
    <n v="1005"/>
    <x v="16"/>
    <x v="16"/>
    <x v="27"/>
    <n v="3046"/>
    <x v="124"/>
    <n v="0"/>
    <x v="0"/>
    <s v="G 07"/>
    <n v="4"/>
    <n v="3530"/>
    <x v="554"/>
    <s v="Annual"/>
    <n v="2"/>
    <n v="1"/>
    <n v="97488"/>
    <n v="194976"/>
  </r>
  <r>
    <x v="0"/>
    <n v="41"/>
    <x v="15"/>
    <x v="0"/>
    <x v="0"/>
    <n v="1005"/>
    <x v="16"/>
    <x v="16"/>
    <x v="27"/>
    <n v="3046"/>
    <x v="124"/>
    <n v="0"/>
    <x v="0"/>
    <s v="G 07"/>
    <n v="4"/>
    <n v="3530"/>
    <x v="554"/>
    <s v="Annual"/>
    <n v="1"/>
    <n v="1"/>
    <n v="92940"/>
    <n v="92940"/>
  </r>
  <r>
    <x v="0"/>
    <n v="41"/>
    <x v="15"/>
    <x v="0"/>
    <x v="0"/>
    <n v="1005"/>
    <x v="16"/>
    <x v="16"/>
    <x v="27"/>
    <n v="3046"/>
    <x v="124"/>
    <n v="0"/>
    <x v="0"/>
    <s v="G 07"/>
    <n v="4"/>
    <n v="3530"/>
    <x v="554"/>
    <s v="Annual"/>
    <n v="3"/>
    <n v="1"/>
    <n v="90144"/>
    <n v="270432"/>
  </r>
  <r>
    <x v="0"/>
    <n v="41"/>
    <x v="15"/>
    <x v="0"/>
    <x v="0"/>
    <n v="1005"/>
    <x v="16"/>
    <x v="16"/>
    <x v="27"/>
    <n v="3046"/>
    <x v="124"/>
    <n v="0"/>
    <x v="0"/>
    <s v="G 06"/>
    <n v="4"/>
    <n v="3505"/>
    <x v="555"/>
    <s v="Annual"/>
    <n v="2"/>
    <n v="1"/>
    <n v="84192"/>
    <n v="168384"/>
  </r>
  <r>
    <x v="0"/>
    <n v="41"/>
    <x v="15"/>
    <x v="0"/>
    <x v="0"/>
    <n v="1005"/>
    <x v="16"/>
    <x v="16"/>
    <x v="27"/>
    <n v="3046"/>
    <x v="124"/>
    <n v="0"/>
    <x v="0"/>
    <s v="G 06"/>
    <n v="4"/>
    <n v="3505"/>
    <x v="555"/>
    <s v="Annual"/>
    <n v="10"/>
    <n v="1"/>
    <n v="81636"/>
    <n v="816360"/>
  </r>
  <r>
    <x v="0"/>
    <n v="41"/>
    <x v="15"/>
    <x v="0"/>
    <x v="0"/>
    <n v="1005"/>
    <x v="16"/>
    <x v="16"/>
    <x v="27"/>
    <n v="3046"/>
    <x v="124"/>
    <n v="0"/>
    <x v="0"/>
    <s v="BX 13"/>
    <n v="10"/>
    <n v="3430"/>
    <x v="556"/>
    <s v="Annual"/>
    <n v="1"/>
    <n v="1"/>
    <n v="60660"/>
    <n v="60660"/>
  </r>
  <r>
    <x v="0"/>
    <n v="41"/>
    <x v="15"/>
    <x v="0"/>
    <x v="0"/>
    <n v="1005"/>
    <x v="16"/>
    <x v="16"/>
    <x v="27"/>
    <n v="3046"/>
    <x v="124"/>
    <n v="0"/>
    <x v="0"/>
    <s v="BX 13"/>
    <n v="10"/>
    <n v="3430"/>
    <x v="556"/>
    <s v="Annual"/>
    <n v="1"/>
    <n v="1"/>
    <n v="57852"/>
    <n v="57852"/>
  </r>
  <r>
    <x v="0"/>
    <n v="41"/>
    <x v="15"/>
    <x v="0"/>
    <x v="0"/>
    <n v="1005"/>
    <x v="16"/>
    <x v="16"/>
    <x v="27"/>
    <n v="3046"/>
    <x v="124"/>
    <n v="0"/>
    <x v="0"/>
    <s v="BX 11"/>
    <n v="10"/>
    <n v="3423"/>
    <x v="557"/>
    <s v="Annual"/>
    <n v="4"/>
    <n v="1"/>
    <n v="50328"/>
    <n v="201312"/>
  </r>
  <r>
    <x v="0"/>
    <n v="41"/>
    <x v="15"/>
    <x v="0"/>
    <x v="0"/>
    <n v="1005"/>
    <x v="16"/>
    <x v="16"/>
    <x v="27"/>
    <n v="3046"/>
    <x v="124"/>
    <n v="0"/>
    <x v="0"/>
    <s v="BX 11"/>
    <n v="10"/>
    <n v="3423"/>
    <x v="557"/>
    <s v="Annual"/>
    <n v="16"/>
    <n v="1"/>
    <n v="48060"/>
    <n v="768960"/>
  </r>
  <r>
    <x v="0"/>
    <n v="41"/>
    <x v="15"/>
    <x v="0"/>
    <x v="0"/>
    <n v="1005"/>
    <x v="16"/>
    <x v="16"/>
    <x v="27"/>
    <n v="3046"/>
    <x v="124"/>
    <n v="0"/>
    <x v="0"/>
    <s v="1 00"/>
    <n v="0"/>
    <n v="15"/>
    <x v="37"/>
    <s v="Annual"/>
    <n v="0"/>
    <n v="0"/>
    <n v="46696"/>
    <n v="46696"/>
  </r>
  <r>
    <x v="0"/>
    <n v="41"/>
    <x v="15"/>
    <x v="0"/>
    <x v="0"/>
    <n v="1005"/>
    <x v="16"/>
    <x v="16"/>
    <x v="27"/>
    <n v="3174"/>
    <x v="105"/>
    <n v="0"/>
    <x v="0"/>
    <s v="X 31"/>
    <n v="9"/>
    <n v="3348"/>
    <x v="539"/>
    <s v="Annual"/>
    <n v="1"/>
    <n v="1"/>
    <n v="194688"/>
    <n v="194688"/>
  </r>
  <r>
    <x v="0"/>
    <n v="41"/>
    <x v="15"/>
    <x v="0"/>
    <x v="0"/>
    <n v="1005"/>
    <x v="16"/>
    <x v="16"/>
    <x v="27"/>
    <n v="3174"/>
    <x v="105"/>
    <n v="0"/>
    <x v="0"/>
    <s v="1 00"/>
    <n v="0"/>
    <n v="15"/>
    <x v="37"/>
    <s v="Annual"/>
    <n v="0"/>
    <n v="0"/>
    <n v="213"/>
    <n v="213"/>
  </r>
  <r>
    <x v="0"/>
    <n v="41"/>
    <x v="15"/>
    <x v="0"/>
    <x v="0"/>
    <n v="1005"/>
    <x v="16"/>
    <x v="16"/>
    <x v="27"/>
    <n v="3178"/>
    <x v="125"/>
    <n v="0"/>
    <x v="0"/>
    <s v="B 16"/>
    <n v="4"/>
    <n v="3467"/>
    <x v="537"/>
    <s v="Annual"/>
    <n v="1"/>
    <n v="1"/>
    <n v="143400"/>
    <n v="143400"/>
  </r>
  <r>
    <x v="0"/>
    <n v="41"/>
    <x v="15"/>
    <x v="0"/>
    <x v="0"/>
    <n v="1005"/>
    <x v="16"/>
    <x v="16"/>
    <x v="27"/>
    <n v="3178"/>
    <x v="125"/>
    <n v="0"/>
    <x v="0"/>
    <s v="B 16"/>
    <n v="4"/>
    <n v="3467"/>
    <x v="537"/>
    <s v="Annual"/>
    <n v="1"/>
    <n v="1"/>
    <n v="136908"/>
    <n v="136908"/>
  </r>
  <r>
    <x v="0"/>
    <n v="41"/>
    <x v="15"/>
    <x v="0"/>
    <x v="0"/>
    <n v="1005"/>
    <x v="16"/>
    <x v="16"/>
    <x v="27"/>
    <n v="3178"/>
    <x v="125"/>
    <n v="0"/>
    <x v="0"/>
    <s v="B 16"/>
    <n v="4"/>
    <n v="3467"/>
    <x v="537"/>
    <s v="Annual"/>
    <n v="1"/>
    <n v="1"/>
    <n v="119100"/>
    <n v="119100"/>
  </r>
  <r>
    <x v="0"/>
    <n v="41"/>
    <x v="15"/>
    <x v="0"/>
    <x v="0"/>
    <n v="1005"/>
    <x v="16"/>
    <x v="16"/>
    <x v="27"/>
    <n v="3178"/>
    <x v="125"/>
    <n v="0"/>
    <x v="0"/>
    <s v="B 16"/>
    <n v="4"/>
    <n v="3467"/>
    <x v="537"/>
    <s v="Annual"/>
    <n v="3"/>
    <n v="1"/>
    <n v="97956"/>
    <n v="293868"/>
  </r>
  <r>
    <x v="0"/>
    <n v="41"/>
    <x v="15"/>
    <x v="0"/>
    <x v="0"/>
    <n v="1005"/>
    <x v="16"/>
    <x v="16"/>
    <x v="27"/>
    <n v="3178"/>
    <x v="125"/>
    <n v="0"/>
    <x v="0"/>
    <s v="B 16"/>
    <n v="4"/>
    <n v="3467"/>
    <x v="537"/>
    <s v="Annual"/>
    <n v="2"/>
    <n v="1"/>
    <n v="93504"/>
    <n v="187008"/>
  </r>
  <r>
    <x v="0"/>
    <n v="41"/>
    <x v="15"/>
    <x v="0"/>
    <x v="0"/>
    <n v="1005"/>
    <x v="16"/>
    <x v="16"/>
    <x v="27"/>
    <n v="3178"/>
    <x v="125"/>
    <n v="0"/>
    <x v="0"/>
    <s v="B 14"/>
    <n v="4"/>
    <n v="3466"/>
    <x v="545"/>
    <s v="Annual"/>
    <n v="1"/>
    <n v="1"/>
    <n v="81324"/>
    <n v="81324"/>
  </r>
  <r>
    <x v="0"/>
    <n v="41"/>
    <x v="15"/>
    <x v="0"/>
    <x v="0"/>
    <n v="1005"/>
    <x v="16"/>
    <x v="16"/>
    <x v="27"/>
    <n v="3178"/>
    <x v="125"/>
    <n v="0"/>
    <x v="0"/>
    <s v="BX 18"/>
    <n v="10"/>
    <n v="3092"/>
    <x v="308"/>
    <s v="Annual"/>
    <n v="1"/>
    <n v="1"/>
    <n v="143232"/>
    <n v="143232"/>
  </r>
  <r>
    <x v="0"/>
    <n v="41"/>
    <x v="15"/>
    <x v="0"/>
    <x v="0"/>
    <n v="1005"/>
    <x v="16"/>
    <x v="16"/>
    <x v="27"/>
    <n v="3178"/>
    <x v="125"/>
    <n v="0"/>
    <x v="0"/>
    <s v="X 33"/>
    <n v="20"/>
    <n v="383"/>
    <x v="89"/>
    <s v="Annual"/>
    <n v="1"/>
    <n v="1"/>
    <n v="121668"/>
    <n v="121668"/>
  </r>
  <r>
    <x v="0"/>
    <n v="41"/>
    <x v="15"/>
    <x v="0"/>
    <x v="0"/>
    <n v="1005"/>
    <x v="16"/>
    <x v="16"/>
    <x v="27"/>
    <n v="3178"/>
    <x v="125"/>
    <n v="0"/>
    <x v="0"/>
    <s v="1 00"/>
    <n v="0"/>
    <n v="15"/>
    <x v="37"/>
    <s v="Annual"/>
    <n v="0"/>
    <n v="0"/>
    <n v="16538"/>
    <n v="16538"/>
  </r>
  <r>
    <x v="0"/>
    <n v="41"/>
    <x v="15"/>
    <x v="0"/>
    <x v="0"/>
    <n v="1005"/>
    <x v="16"/>
    <x v="16"/>
    <x v="27"/>
    <n v="3182"/>
    <x v="126"/>
    <n v="0"/>
    <x v="0"/>
    <s v="B 14"/>
    <n v="3"/>
    <n v="3897"/>
    <x v="558"/>
    <s v="Annual"/>
    <n v="1"/>
    <n v="1"/>
    <n v="89244"/>
    <n v="89244"/>
  </r>
  <r>
    <x v="0"/>
    <n v="41"/>
    <x v="15"/>
    <x v="0"/>
    <x v="0"/>
    <n v="1005"/>
    <x v="16"/>
    <x v="16"/>
    <x v="27"/>
    <n v="3182"/>
    <x v="126"/>
    <n v="0"/>
    <x v="0"/>
    <s v="GY 12"/>
    <n v="20"/>
    <n v="3764"/>
    <x v="559"/>
    <s v="Annual"/>
    <n v="3"/>
    <n v="1"/>
    <n v="140496"/>
    <n v="421488"/>
  </r>
  <r>
    <x v="0"/>
    <n v="41"/>
    <x v="15"/>
    <x v="0"/>
    <x v="0"/>
    <n v="1005"/>
    <x v="16"/>
    <x v="16"/>
    <x v="27"/>
    <n v="3182"/>
    <x v="126"/>
    <n v="0"/>
    <x v="0"/>
    <s v="GY 12"/>
    <n v="20"/>
    <n v="3764"/>
    <x v="559"/>
    <s v="Annual"/>
    <n v="1"/>
    <n v="1"/>
    <n v="135744"/>
    <n v="135744"/>
  </r>
  <r>
    <x v="0"/>
    <n v="41"/>
    <x v="15"/>
    <x v="0"/>
    <x v="0"/>
    <n v="1005"/>
    <x v="16"/>
    <x v="16"/>
    <x v="27"/>
    <n v="3182"/>
    <x v="126"/>
    <n v="0"/>
    <x v="0"/>
    <s v="S 05"/>
    <n v="37"/>
    <n v="3752"/>
    <x v="543"/>
    <s v="Annual"/>
    <n v="3"/>
    <n v="1"/>
    <n v="96708"/>
    <n v="290124"/>
  </r>
  <r>
    <x v="0"/>
    <n v="41"/>
    <x v="15"/>
    <x v="0"/>
    <x v="0"/>
    <n v="1005"/>
    <x v="16"/>
    <x v="16"/>
    <x v="27"/>
    <n v="3182"/>
    <x v="126"/>
    <n v="0"/>
    <x v="0"/>
    <s v="S 05"/>
    <n v="37"/>
    <n v="3752"/>
    <x v="543"/>
    <s v="Annual"/>
    <n v="4"/>
    <n v="1"/>
    <n v="87504"/>
    <n v="350016"/>
  </r>
  <r>
    <x v="0"/>
    <n v="41"/>
    <x v="15"/>
    <x v="0"/>
    <x v="0"/>
    <n v="1005"/>
    <x v="16"/>
    <x v="16"/>
    <x v="27"/>
    <n v="3182"/>
    <x v="126"/>
    <n v="0"/>
    <x v="0"/>
    <s v="SZ 07"/>
    <n v="56"/>
    <n v="3701"/>
    <x v="560"/>
    <s v="Annual"/>
    <n v="1"/>
    <n v="1"/>
    <n v="94080"/>
    <n v="94080"/>
  </r>
  <r>
    <x v="0"/>
    <n v="41"/>
    <x v="15"/>
    <x v="0"/>
    <x v="0"/>
    <n v="1005"/>
    <x v="16"/>
    <x v="16"/>
    <x v="27"/>
    <n v="3182"/>
    <x v="126"/>
    <n v="0"/>
    <x v="0"/>
    <s v="B 10"/>
    <n v="1"/>
    <n v="3566"/>
    <x v="561"/>
    <s v="Annual"/>
    <n v="1"/>
    <n v="1"/>
    <n v="90144"/>
    <n v="90144"/>
  </r>
  <r>
    <x v="0"/>
    <n v="41"/>
    <x v="15"/>
    <x v="0"/>
    <x v="0"/>
    <n v="1005"/>
    <x v="16"/>
    <x v="16"/>
    <x v="27"/>
    <n v="3182"/>
    <x v="126"/>
    <n v="0"/>
    <x v="0"/>
    <s v="B 10"/>
    <n v="1"/>
    <n v="3566"/>
    <x v="561"/>
    <s v="Annual"/>
    <n v="2"/>
    <n v="1"/>
    <n v="56124"/>
    <n v="112248"/>
  </r>
  <r>
    <x v="0"/>
    <n v="41"/>
    <x v="15"/>
    <x v="0"/>
    <x v="0"/>
    <n v="1005"/>
    <x v="16"/>
    <x v="16"/>
    <x v="27"/>
    <n v="3182"/>
    <x v="126"/>
    <n v="0"/>
    <x v="0"/>
    <s v="B 10"/>
    <n v="1"/>
    <n v="3566"/>
    <x v="561"/>
    <s v="Annual"/>
    <n v="1"/>
    <n v="1"/>
    <n v="53532"/>
    <n v="53532"/>
  </r>
  <r>
    <x v="0"/>
    <n v="41"/>
    <x v="15"/>
    <x v="0"/>
    <x v="0"/>
    <n v="1005"/>
    <x v="16"/>
    <x v="16"/>
    <x v="27"/>
    <n v="3182"/>
    <x v="126"/>
    <n v="0"/>
    <x v="0"/>
    <s v="B 10"/>
    <n v="1"/>
    <n v="3566"/>
    <x v="561"/>
    <s v="Annual"/>
    <n v="1"/>
    <n v="1"/>
    <n v="51936"/>
    <n v="51936"/>
  </r>
  <r>
    <x v="0"/>
    <n v="41"/>
    <x v="15"/>
    <x v="0"/>
    <x v="0"/>
    <n v="1005"/>
    <x v="16"/>
    <x v="16"/>
    <x v="27"/>
    <n v="3182"/>
    <x v="126"/>
    <n v="0"/>
    <x v="0"/>
    <s v="GY 12"/>
    <n v="10"/>
    <n v="3563"/>
    <x v="562"/>
    <s v="Annual"/>
    <n v="1"/>
    <n v="1"/>
    <n v="144756"/>
    <n v="144756"/>
  </r>
  <r>
    <x v="0"/>
    <n v="41"/>
    <x v="15"/>
    <x v="0"/>
    <x v="0"/>
    <n v="1005"/>
    <x v="16"/>
    <x v="16"/>
    <x v="27"/>
    <n v="3182"/>
    <x v="126"/>
    <n v="0"/>
    <x v="0"/>
    <s v="GY 12"/>
    <n v="10"/>
    <n v="3563"/>
    <x v="562"/>
    <s v="Annual"/>
    <n v="2"/>
    <n v="1"/>
    <n v="121320"/>
    <n v="242640"/>
  </r>
  <r>
    <x v="0"/>
    <n v="41"/>
    <x v="15"/>
    <x v="0"/>
    <x v="0"/>
    <n v="1005"/>
    <x v="16"/>
    <x v="16"/>
    <x v="27"/>
    <n v="3182"/>
    <x v="126"/>
    <n v="0"/>
    <x v="0"/>
    <s v="GY 12"/>
    <n v="10"/>
    <n v="3563"/>
    <x v="562"/>
    <s v="Annual"/>
    <n v="2"/>
    <n v="1"/>
    <n v="115992"/>
    <n v="231984"/>
  </r>
  <r>
    <x v="0"/>
    <n v="41"/>
    <x v="15"/>
    <x v="0"/>
    <x v="0"/>
    <n v="1005"/>
    <x v="16"/>
    <x v="16"/>
    <x v="27"/>
    <n v="3182"/>
    <x v="126"/>
    <n v="0"/>
    <x v="0"/>
    <s v="G 07"/>
    <n v="4"/>
    <n v="3534"/>
    <x v="563"/>
    <s v="Annual"/>
    <n v="1"/>
    <n v="1"/>
    <n v="129636"/>
    <n v="129636"/>
  </r>
  <r>
    <x v="0"/>
    <n v="41"/>
    <x v="15"/>
    <x v="0"/>
    <x v="0"/>
    <n v="1005"/>
    <x v="16"/>
    <x v="16"/>
    <x v="27"/>
    <n v="3182"/>
    <x v="126"/>
    <n v="0"/>
    <x v="0"/>
    <s v="G 07"/>
    <n v="4"/>
    <n v="3534"/>
    <x v="563"/>
    <s v="Annual"/>
    <n v="6"/>
    <n v="1"/>
    <n v="97488"/>
    <n v="584928"/>
  </r>
  <r>
    <x v="0"/>
    <n v="41"/>
    <x v="15"/>
    <x v="0"/>
    <x v="0"/>
    <n v="1005"/>
    <x v="16"/>
    <x v="16"/>
    <x v="27"/>
    <n v="3182"/>
    <x v="126"/>
    <n v="0"/>
    <x v="0"/>
    <s v="G 07"/>
    <n v="4"/>
    <n v="3534"/>
    <x v="563"/>
    <s v="Annual"/>
    <n v="1"/>
    <n v="1"/>
    <n v="92940"/>
    <n v="92940"/>
  </r>
  <r>
    <x v="0"/>
    <n v="41"/>
    <x v="15"/>
    <x v="0"/>
    <x v="0"/>
    <n v="1005"/>
    <x v="16"/>
    <x v="16"/>
    <x v="27"/>
    <n v="3182"/>
    <x v="126"/>
    <n v="0"/>
    <x v="0"/>
    <s v="G 06"/>
    <n v="4"/>
    <n v="3533"/>
    <x v="564"/>
    <s v="Annual"/>
    <n v="9"/>
    <n v="1"/>
    <n v="84192"/>
    <n v="757728"/>
  </r>
  <r>
    <x v="0"/>
    <n v="41"/>
    <x v="15"/>
    <x v="0"/>
    <x v="0"/>
    <n v="1005"/>
    <x v="16"/>
    <x v="16"/>
    <x v="27"/>
    <n v="3182"/>
    <x v="126"/>
    <n v="0"/>
    <x v="0"/>
    <s v="G 06"/>
    <n v="4"/>
    <n v="3533"/>
    <x v="564"/>
    <s v="Annual"/>
    <n v="1"/>
    <n v="1"/>
    <n v="81636"/>
    <n v="81636"/>
  </r>
  <r>
    <x v="0"/>
    <n v="41"/>
    <x v="15"/>
    <x v="0"/>
    <x v="0"/>
    <n v="1005"/>
    <x v="16"/>
    <x v="16"/>
    <x v="27"/>
    <n v="3182"/>
    <x v="126"/>
    <n v="0"/>
    <x v="0"/>
    <s v="BX 19"/>
    <n v="10"/>
    <n v="3469"/>
    <x v="565"/>
    <s v="Annual"/>
    <n v="1"/>
    <n v="1"/>
    <n v="97836"/>
    <n v="97836"/>
  </r>
  <r>
    <x v="0"/>
    <n v="41"/>
    <x v="15"/>
    <x v="0"/>
    <x v="0"/>
    <n v="1005"/>
    <x v="16"/>
    <x v="16"/>
    <x v="27"/>
    <n v="3182"/>
    <x v="126"/>
    <n v="0"/>
    <x v="0"/>
    <s v="B 11"/>
    <n v="3"/>
    <n v="3417"/>
    <x v="546"/>
    <s v="Annual"/>
    <n v="1"/>
    <n v="1"/>
    <n v="57000"/>
    <n v="57000"/>
  </r>
  <r>
    <x v="0"/>
    <n v="41"/>
    <x v="15"/>
    <x v="0"/>
    <x v="0"/>
    <n v="1005"/>
    <x v="16"/>
    <x v="16"/>
    <x v="27"/>
    <n v="3182"/>
    <x v="126"/>
    <n v="0"/>
    <x v="0"/>
    <s v="MX 02"/>
    <n v="9"/>
    <n v="3384"/>
    <x v="566"/>
    <s v="Hourly"/>
    <n v="2000"/>
    <n v="0"/>
    <n v="138.4"/>
    <n v="276800"/>
  </r>
  <r>
    <x v="0"/>
    <n v="41"/>
    <x v="15"/>
    <x v="0"/>
    <x v="0"/>
    <n v="1005"/>
    <x v="16"/>
    <x v="16"/>
    <x v="27"/>
    <n v="3182"/>
    <x v="126"/>
    <n v="0"/>
    <x v="0"/>
    <s v="X 33"/>
    <n v="9"/>
    <n v="313"/>
    <x v="220"/>
    <s v="Annual"/>
    <n v="1"/>
    <n v="1"/>
    <n v="121668"/>
    <n v="121668"/>
  </r>
  <r>
    <x v="0"/>
    <n v="41"/>
    <x v="15"/>
    <x v="0"/>
    <x v="0"/>
    <n v="1005"/>
    <x v="16"/>
    <x v="16"/>
    <x v="27"/>
    <n v="3182"/>
    <x v="126"/>
    <n v="0"/>
    <x v="0"/>
    <s v="BX 18"/>
    <n v="10"/>
    <n v="310"/>
    <x v="135"/>
    <s v="Annual"/>
    <n v="1"/>
    <n v="1"/>
    <n v="107340"/>
    <n v="107340"/>
  </r>
  <r>
    <x v="0"/>
    <n v="41"/>
    <x v="15"/>
    <x v="0"/>
    <x v="0"/>
    <n v="1005"/>
    <x v="16"/>
    <x v="16"/>
    <x v="27"/>
    <n v="3182"/>
    <x v="126"/>
    <n v="0"/>
    <x v="0"/>
    <s v="1 00"/>
    <n v="0"/>
    <n v="15"/>
    <x v="37"/>
    <s v="Annual"/>
    <n v="0"/>
    <n v="0"/>
    <n v="68747"/>
    <n v="68747"/>
  </r>
  <r>
    <x v="0"/>
    <n v="41"/>
    <x v="15"/>
    <x v="0"/>
    <x v="0"/>
    <n v="1005"/>
    <x v="16"/>
    <x v="17"/>
    <x v="28"/>
    <n v="3184"/>
    <x v="105"/>
    <n v="0"/>
    <x v="0"/>
    <s v="X 31"/>
    <n v="9"/>
    <n v="9813"/>
    <x v="216"/>
    <s v="Annual"/>
    <n v="1"/>
    <n v="1"/>
    <n v="180324"/>
    <n v="180324"/>
  </r>
  <r>
    <x v="0"/>
    <n v="41"/>
    <x v="15"/>
    <x v="0"/>
    <x v="0"/>
    <n v="1005"/>
    <x v="16"/>
    <x v="17"/>
    <x v="28"/>
    <n v="3184"/>
    <x v="105"/>
    <n v="0"/>
    <x v="0"/>
    <s v="BX 18"/>
    <n v="10"/>
    <n v="311"/>
    <x v="253"/>
    <s v="Annual"/>
    <n v="1"/>
    <n v="1"/>
    <n v="93384"/>
    <n v="93384"/>
  </r>
  <r>
    <x v="0"/>
    <n v="41"/>
    <x v="15"/>
    <x v="0"/>
    <x v="0"/>
    <n v="1005"/>
    <x v="16"/>
    <x v="17"/>
    <x v="28"/>
    <n v="3184"/>
    <x v="105"/>
    <n v="0"/>
    <x v="0"/>
    <s v="B 13"/>
    <n v="1"/>
    <n v="308"/>
    <x v="90"/>
    <s v="Annual"/>
    <n v="1"/>
    <n v="1"/>
    <n v="98928"/>
    <n v="98928"/>
  </r>
  <r>
    <x v="0"/>
    <n v="41"/>
    <x v="15"/>
    <x v="0"/>
    <x v="0"/>
    <n v="1005"/>
    <x v="16"/>
    <x v="17"/>
    <x v="28"/>
    <n v="3184"/>
    <x v="105"/>
    <n v="0"/>
    <x v="0"/>
    <s v="1 00"/>
    <n v="0"/>
    <n v="15"/>
    <x v="37"/>
    <s v="Annual"/>
    <n v="0"/>
    <n v="0"/>
    <n v="8066"/>
    <n v="8066"/>
  </r>
  <r>
    <x v="0"/>
    <n v="41"/>
    <x v="15"/>
    <x v="0"/>
    <x v="0"/>
    <n v="1005"/>
    <x v="16"/>
    <x v="17"/>
    <x v="28"/>
    <n v="3186"/>
    <x v="114"/>
    <n v="0"/>
    <x v="0"/>
    <s v="BX 16"/>
    <n v="10"/>
    <n v="3858"/>
    <x v="544"/>
    <s v="Annual"/>
    <n v="1"/>
    <n v="1"/>
    <n v="76476"/>
    <n v="76476"/>
  </r>
  <r>
    <x v="0"/>
    <n v="41"/>
    <x v="15"/>
    <x v="0"/>
    <x v="0"/>
    <n v="1005"/>
    <x v="16"/>
    <x v="17"/>
    <x v="28"/>
    <n v="3186"/>
    <x v="114"/>
    <n v="0"/>
    <x v="0"/>
    <s v="B 11"/>
    <n v="3"/>
    <n v="3417"/>
    <x v="546"/>
    <s v="Annual"/>
    <n v="1"/>
    <n v="1"/>
    <n v="57000"/>
    <n v="57000"/>
  </r>
  <r>
    <x v="0"/>
    <n v="41"/>
    <x v="15"/>
    <x v="0"/>
    <x v="0"/>
    <n v="1005"/>
    <x v="16"/>
    <x v="17"/>
    <x v="28"/>
    <n v="3186"/>
    <x v="114"/>
    <n v="0"/>
    <x v="0"/>
    <s v="GY 10"/>
    <n v="20"/>
    <n v="1441"/>
    <x v="542"/>
    <s v="Annual"/>
    <n v="1"/>
    <n v="1"/>
    <n v="111000"/>
    <n v="111000"/>
  </r>
  <r>
    <x v="0"/>
    <n v="41"/>
    <x v="15"/>
    <x v="0"/>
    <x v="0"/>
    <n v="1005"/>
    <x v="16"/>
    <x v="17"/>
    <x v="28"/>
    <n v="3186"/>
    <x v="114"/>
    <n v="0"/>
    <x v="0"/>
    <s v="X 33"/>
    <n v="9"/>
    <n v="313"/>
    <x v="220"/>
    <s v="Annual"/>
    <n v="1"/>
    <n v="1"/>
    <n v="146808"/>
    <n v="146808"/>
  </r>
  <r>
    <x v="0"/>
    <n v="41"/>
    <x v="15"/>
    <x v="0"/>
    <x v="0"/>
    <n v="1005"/>
    <x v="16"/>
    <x v="17"/>
    <x v="28"/>
    <n v="3186"/>
    <x v="114"/>
    <n v="0"/>
    <x v="0"/>
    <s v="1 00"/>
    <n v="0"/>
    <n v="15"/>
    <x v="37"/>
    <s v="Annual"/>
    <n v="0"/>
    <n v="0"/>
    <n v="8156"/>
    <n v="8156"/>
  </r>
  <r>
    <x v="0"/>
    <n v="41"/>
    <x v="15"/>
    <x v="0"/>
    <x v="0"/>
    <n v="1005"/>
    <x v="16"/>
    <x v="17"/>
    <x v="28"/>
    <n v="3188"/>
    <x v="127"/>
    <n v="0"/>
    <x v="0"/>
    <s v="B 13"/>
    <n v="3"/>
    <n v="3434"/>
    <x v="551"/>
    <s v="Annual"/>
    <n v="1"/>
    <n v="1"/>
    <n v="119100"/>
    <n v="119100"/>
  </r>
  <r>
    <x v="0"/>
    <n v="41"/>
    <x v="15"/>
    <x v="0"/>
    <x v="0"/>
    <n v="1005"/>
    <x v="16"/>
    <x v="17"/>
    <x v="28"/>
    <n v="3188"/>
    <x v="127"/>
    <n v="0"/>
    <x v="0"/>
    <s v="B 13"/>
    <n v="3"/>
    <n v="2391"/>
    <x v="567"/>
    <s v="Annual"/>
    <n v="1"/>
    <n v="1"/>
    <n v="119100"/>
    <n v="119100"/>
  </r>
  <r>
    <x v="0"/>
    <n v="41"/>
    <x v="15"/>
    <x v="0"/>
    <x v="0"/>
    <n v="1005"/>
    <x v="16"/>
    <x v="17"/>
    <x v="28"/>
    <n v="3188"/>
    <x v="127"/>
    <n v="0"/>
    <x v="0"/>
    <s v="B 13"/>
    <n v="3"/>
    <n v="2391"/>
    <x v="567"/>
    <s v="Annual"/>
    <n v="1"/>
    <n v="1"/>
    <n v="74172"/>
    <n v="74172"/>
  </r>
  <r>
    <x v="0"/>
    <n v="41"/>
    <x v="15"/>
    <x v="0"/>
    <x v="0"/>
    <n v="1005"/>
    <x v="16"/>
    <x v="17"/>
    <x v="28"/>
    <n v="3188"/>
    <x v="127"/>
    <n v="0"/>
    <x v="0"/>
    <s v="X 33"/>
    <n v="0"/>
    <n v="2387"/>
    <x v="568"/>
    <s v="Annual"/>
    <n v="1"/>
    <n v="1"/>
    <n v="146808"/>
    <n v="146808"/>
  </r>
  <r>
    <x v="0"/>
    <n v="41"/>
    <x v="15"/>
    <x v="0"/>
    <x v="0"/>
    <n v="1005"/>
    <x v="16"/>
    <x v="17"/>
    <x v="28"/>
    <n v="3188"/>
    <x v="127"/>
    <n v="0"/>
    <x v="0"/>
    <s v="BX 19"/>
    <n v="10"/>
    <n v="2386"/>
    <x v="569"/>
    <s v="Annual"/>
    <n v="1"/>
    <n v="1"/>
    <n v="124584"/>
    <n v="124584"/>
  </r>
  <r>
    <x v="0"/>
    <n v="41"/>
    <x v="15"/>
    <x v="0"/>
    <x v="0"/>
    <n v="1005"/>
    <x v="16"/>
    <x v="17"/>
    <x v="28"/>
    <n v="3188"/>
    <x v="127"/>
    <n v="0"/>
    <x v="0"/>
    <s v="BX 17"/>
    <n v="10"/>
    <n v="2385"/>
    <x v="570"/>
    <s v="Annual"/>
    <n v="2"/>
    <n v="1"/>
    <n v="130524"/>
    <n v="261048"/>
  </r>
  <r>
    <x v="0"/>
    <n v="41"/>
    <x v="15"/>
    <x v="0"/>
    <x v="0"/>
    <n v="1005"/>
    <x v="16"/>
    <x v="17"/>
    <x v="28"/>
    <n v="3188"/>
    <x v="127"/>
    <n v="0"/>
    <x v="0"/>
    <s v="BX 17"/>
    <n v="10"/>
    <n v="2385"/>
    <x v="570"/>
    <s v="Annual"/>
    <n v="1"/>
    <n v="1"/>
    <n v="124584"/>
    <n v="124584"/>
  </r>
  <r>
    <x v="0"/>
    <n v="41"/>
    <x v="15"/>
    <x v="0"/>
    <x v="0"/>
    <n v="1005"/>
    <x v="16"/>
    <x v="17"/>
    <x v="28"/>
    <n v="3188"/>
    <x v="127"/>
    <n v="0"/>
    <x v="0"/>
    <s v="BX 17"/>
    <n v="10"/>
    <n v="2385"/>
    <x v="570"/>
    <s v="Annual"/>
    <n v="2"/>
    <n v="1"/>
    <n v="93384"/>
    <n v="186768"/>
  </r>
  <r>
    <x v="0"/>
    <n v="41"/>
    <x v="15"/>
    <x v="0"/>
    <x v="0"/>
    <n v="1005"/>
    <x v="16"/>
    <x v="17"/>
    <x v="28"/>
    <n v="3188"/>
    <x v="127"/>
    <n v="0"/>
    <x v="0"/>
    <s v="BX 17"/>
    <n v="10"/>
    <n v="2385"/>
    <x v="570"/>
    <s v="Annual"/>
    <n v="1"/>
    <n v="1"/>
    <n v="85128"/>
    <n v="85128"/>
  </r>
  <r>
    <x v="0"/>
    <n v="41"/>
    <x v="15"/>
    <x v="0"/>
    <x v="0"/>
    <n v="1005"/>
    <x v="16"/>
    <x v="17"/>
    <x v="28"/>
    <n v="3188"/>
    <x v="127"/>
    <n v="0"/>
    <x v="0"/>
    <s v="BX 17"/>
    <n v="10"/>
    <n v="2385"/>
    <x v="570"/>
    <s v="Annual"/>
    <n v="5"/>
    <n v="1"/>
    <n v="83052"/>
    <n v="415260"/>
  </r>
  <r>
    <x v="0"/>
    <n v="41"/>
    <x v="15"/>
    <x v="0"/>
    <x v="0"/>
    <n v="1005"/>
    <x v="16"/>
    <x v="17"/>
    <x v="28"/>
    <n v="3188"/>
    <x v="127"/>
    <n v="0"/>
    <x v="0"/>
    <s v="B 14"/>
    <n v="3"/>
    <n v="2381"/>
    <x v="571"/>
    <s v="Annual"/>
    <n v="4"/>
    <n v="1"/>
    <n v="130668"/>
    <n v="522672"/>
  </r>
  <r>
    <x v="0"/>
    <n v="41"/>
    <x v="15"/>
    <x v="0"/>
    <x v="0"/>
    <n v="1005"/>
    <x v="16"/>
    <x v="17"/>
    <x v="28"/>
    <n v="3188"/>
    <x v="127"/>
    <n v="0"/>
    <x v="0"/>
    <s v="B 14"/>
    <n v="3"/>
    <n v="2381"/>
    <x v="571"/>
    <s v="Annual"/>
    <n v="4"/>
    <n v="1"/>
    <n v="124848"/>
    <n v="499392"/>
  </r>
  <r>
    <x v="0"/>
    <n v="41"/>
    <x v="15"/>
    <x v="0"/>
    <x v="0"/>
    <n v="1005"/>
    <x v="16"/>
    <x v="17"/>
    <x v="28"/>
    <n v="3188"/>
    <x v="127"/>
    <n v="0"/>
    <x v="0"/>
    <s v="B 14"/>
    <n v="3"/>
    <n v="2381"/>
    <x v="571"/>
    <s v="Annual"/>
    <n v="1"/>
    <n v="1"/>
    <n v="119100"/>
    <n v="119100"/>
  </r>
  <r>
    <x v="0"/>
    <n v="41"/>
    <x v="15"/>
    <x v="0"/>
    <x v="0"/>
    <n v="1005"/>
    <x v="16"/>
    <x v="17"/>
    <x v="28"/>
    <n v="3188"/>
    <x v="127"/>
    <n v="0"/>
    <x v="0"/>
    <s v="B 14"/>
    <n v="3"/>
    <n v="2381"/>
    <x v="571"/>
    <s v="Annual"/>
    <n v="1"/>
    <n v="1"/>
    <n v="113628"/>
    <n v="113628"/>
  </r>
  <r>
    <x v="0"/>
    <n v="41"/>
    <x v="15"/>
    <x v="0"/>
    <x v="0"/>
    <n v="1005"/>
    <x v="16"/>
    <x v="17"/>
    <x v="28"/>
    <n v="3188"/>
    <x v="127"/>
    <n v="0"/>
    <x v="0"/>
    <s v="B 14"/>
    <n v="3"/>
    <n v="2381"/>
    <x v="571"/>
    <s v="Annual"/>
    <n v="2"/>
    <n v="1"/>
    <n v="93504"/>
    <n v="187008"/>
  </r>
  <r>
    <x v="0"/>
    <n v="41"/>
    <x v="15"/>
    <x v="0"/>
    <x v="0"/>
    <n v="1005"/>
    <x v="16"/>
    <x v="17"/>
    <x v="28"/>
    <n v="3188"/>
    <x v="127"/>
    <n v="0"/>
    <x v="0"/>
    <s v="B 14"/>
    <n v="3"/>
    <n v="2381"/>
    <x v="571"/>
    <s v="Annual"/>
    <n v="3"/>
    <n v="1"/>
    <n v="89244"/>
    <n v="267732"/>
  </r>
  <r>
    <x v="0"/>
    <n v="41"/>
    <x v="15"/>
    <x v="0"/>
    <x v="0"/>
    <n v="1005"/>
    <x v="16"/>
    <x v="17"/>
    <x v="28"/>
    <n v="3188"/>
    <x v="127"/>
    <n v="0"/>
    <x v="0"/>
    <s v="B 14"/>
    <n v="3"/>
    <n v="2381"/>
    <x v="571"/>
    <s v="Annual"/>
    <n v="2"/>
    <n v="1"/>
    <n v="85200"/>
    <n v="170400"/>
  </r>
  <r>
    <x v="0"/>
    <n v="41"/>
    <x v="15"/>
    <x v="0"/>
    <x v="0"/>
    <n v="1005"/>
    <x v="16"/>
    <x v="17"/>
    <x v="28"/>
    <n v="3188"/>
    <x v="127"/>
    <n v="0"/>
    <x v="0"/>
    <s v="B 14"/>
    <n v="3"/>
    <n v="2381"/>
    <x v="571"/>
    <s v="Annual"/>
    <n v="4"/>
    <n v="1"/>
    <n v="81324"/>
    <n v="325296"/>
  </r>
  <r>
    <x v="0"/>
    <n v="41"/>
    <x v="15"/>
    <x v="0"/>
    <x v="0"/>
    <n v="1005"/>
    <x v="16"/>
    <x v="17"/>
    <x v="28"/>
    <n v="3188"/>
    <x v="127"/>
    <n v="0"/>
    <x v="0"/>
    <s v="B 14"/>
    <n v="3"/>
    <n v="2381"/>
    <x v="571"/>
    <s v="Annual"/>
    <n v="2"/>
    <n v="1"/>
    <n v="77640"/>
    <n v="155280"/>
  </r>
  <r>
    <x v="0"/>
    <n v="41"/>
    <x v="15"/>
    <x v="0"/>
    <x v="0"/>
    <n v="1005"/>
    <x v="16"/>
    <x v="17"/>
    <x v="28"/>
    <n v="3188"/>
    <x v="127"/>
    <n v="0"/>
    <x v="0"/>
    <s v="B 14"/>
    <n v="3"/>
    <n v="2381"/>
    <x v="571"/>
    <s v="Annual"/>
    <n v="12"/>
    <n v="1"/>
    <n v="75336"/>
    <n v="904032"/>
  </r>
  <r>
    <x v="0"/>
    <n v="41"/>
    <x v="15"/>
    <x v="0"/>
    <x v="0"/>
    <n v="1005"/>
    <x v="16"/>
    <x v="17"/>
    <x v="28"/>
    <n v="3188"/>
    <x v="127"/>
    <n v="0"/>
    <x v="0"/>
    <s v="B 14"/>
    <n v="4"/>
    <n v="1912"/>
    <x v="222"/>
    <s v="Annual"/>
    <n v="1"/>
    <n v="1"/>
    <n v="89244"/>
    <n v="89244"/>
  </r>
  <r>
    <x v="0"/>
    <n v="41"/>
    <x v="15"/>
    <x v="0"/>
    <x v="0"/>
    <n v="1005"/>
    <x v="16"/>
    <x v="17"/>
    <x v="28"/>
    <n v="3188"/>
    <x v="127"/>
    <n v="0"/>
    <x v="0"/>
    <s v="B 09"/>
    <n v="1"/>
    <n v="460"/>
    <x v="344"/>
    <s v="Annual"/>
    <n v="1"/>
    <n v="1"/>
    <n v="71436"/>
    <n v="71436"/>
  </r>
  <r>
    <x v="0"/>
    <n v="41"/>
    <x v="15"/>
    <x v="0"/>
    <x v="0"/>
    <n v="1005"/>
    <x v="16"/>
    <x v="17"/>
    <x v="28"/>
    <n v="3188"/>
    <x v="127"/>
    <n v="0"/>
    <x v="0"/>
    <s v="B 09"/>
    <n v="1"/>
    <n v="460"/>
    <x v="344"/>
    <s v="Annual"/>
    <n v="1"/>
    <n v="1"/>
    <n v="47364"/>
    <n v="47364"/>
  </r>
  <r>
    <x v="0"/>
    <n v="41"/>
    <x v="15"/>
    <x v="0"/>
    <x v="0"/>
    <n v="1005"/>
    <x v="16"/>
    <x v="17"/>
    <x v="28"/>
    <n v="3188"/>
    <x v="127"/>
    <n v="0"/>
    <x v="0"/>
    <s v="B 10"/>
    <n v="1"/>
    <s v="03A7"/>
    <x v="4"/>
    <s v="Annual"/>
    <n v="1"/>
    <n v="1"/>
    <n v="53532"/>
    <n v="53532"/>
  </r>
  <r>
    <x v="0"/>
    <n v="41"/>
    <x v="15"/>
    <x v="0"/>
    <x v="0"/>
    <n v="1005"/>
    <x v="16"/>
    <x v="17"/>
    <x v="28"/>
    <n v="3188"/>
    <x v="127"/>
    <n v="0"/>
    <x v="0"/>
    <s v="1 00"/>
    <n v="0"/>
    <n v="15"/>
    <x v="37"/>
    <s v="Annual"/>
    <n v="0"/>
    <n v="0"/>
    <n v="41307"/>
    <n v="41307"/>
  </r>
  <r>
    <x v="0"/>
    <n v="41"/>
    <x v="15"/>
    <x v="0"/>
    <x v="0"/>
    <n v="1005"/>
    <x v="16"/>
    <x v="17"/>
    <x v="28"/>
    <n v="3190"/>
    <x v="128"/>
    <n v="0"/>
    <x v="0"/>
    <s v="T 17"/>
    <n v="44"/>
    <n v="2151"/>
    <x v="572"/>
    <s v="Annual"/>
    <n v="1"/>
    <n v="1"/>
    <n v="172572"/>
    <n v="172572"/>
  </r>
  <r>
    <x v="0"/>
    <n v="41"/>
    <x v="15"/>
    <x v="0"/>
    <x v="0"/>
    <n v="1005"/>
    <x v="16"/>
    <x v="17"/>
    <x v="28"/>
    <n v="3190"/>
    <x v="128"/>
    <n v="0"/>
    <x v="0"/>
    <s v="T 16"/>
    <n v="44"/>
    <n v="2150"/>
    <x v="573"/>
    <s v="Annual"/>
    <n v="1"/>
    <n v="1"/>
    <n v="157296"/>
    <n v="157296"/>
  </r>
  <r>
    <x v="0"/>
    <n v="41"/>
    <x v="15"/>
    <x v="0"/>
    <x v="0"/>
    <n v="1005"/>
    <x v="16"/>
    <x v="17"/>
    <x v="28"/>
    <n v="3190"/>
    <x v="128"/>
    <n v="0"/>
    <x v="0"/>
    <s v="T 16"/>
    <n v="44"/>
    <n v="2150"/>
    <x v="573"/>
    <s v="Annual"/>
    <n v="1"/>
    <n v="1"/>
    <n v="119052"/>
    <n v="119052"/>
  </r>
  <r>
    <x v="0"/>
    <n v="41"/>
    <x v="15"/>
    <x v="0"/>
    <x v="0"/>
    <n v="1005"/>
    <x v="16"/>
    <x v="17"/>
    <x v="28"/>
    <n v="3190"/>
    <x v="128"/>
    <n v="0"/>
    <x v="0"/>
    <s v="T 16"/>
    <n v="44"/>
    <n v="2150"/>
    <x v="573"/>
    <s v="Annual"/>
    <n v="4"/>
    <n v="1"/>
    <n v="107460"/>
    <n v="429840"/>
  </r>
  <r>
    <x v="0"/>
    <n v="41"/>
    <x v="15"/>
    <x v="0"/>
    <x v="0"/>
    <n v="1005"/>
    <x v="16"/>
    <x v="17"/>
    <x v="28"/>
    <n v="3190"/>
    <x v="128"/>
    <n v="0"/>
    <x v="0"/>
    <s v="B 14"/>
    <n v="4"/>
    <n v="1912"/>
    <x v="222"/>
    <s v="Annual"/>
    <n v="1"/>
    <n v="1"/>
    <n v="98928"/>
    <n v="98928"/>
  </r>
  <r>
    <x v="0"/>
    <n v="41"/>
    <x v="15"/>
    <x v="0"/>
    <x v="0"/>
    <n v="1005"/>
    <x v="16"/>
    <x v="17"/>
    <x v="28"/>
    <n v="3190"/>
    <x v="128"/>
    <n v="0"/>
    <x v="0"/>
    <s v="B 10"/>
    <n v="1"/>
    <s v="03A7"/>
    <x v="4"/>
    <s v="Annual"/>
    <n v="1"/>
    <n v="1"/>
    <n v="56124"/>
    <n v="56124"/>
  </r>
  <r>
    <x v="0"/>
    <n v="41"/>
    <x v="15"/>
    <x v="0"/>
    <x v="0"/>
    <n v="1005"/>
    <x v="16"/>
    <x v="17"/>
    <x v="28"/>
    <n v="3190"/>
    <x v="128"/>
    <n v="0"/>
    <x v="0"/>
    <s v="1 00"/>
    <n v="0"/>
    <n v="15"/>
    <x v="37"/>
    <s v="Annual"/>
    <n v="0"/>
    <n v="0"/>
    <n v="2593"/>
    <n v="2593"/>
  </r>
  <r>
    <x v="0"/>
    <n v="41"/>
    <x v="15"/>
    <x v="0"/>
    <x v="0"/>
    <n v="1005"/>
    <x v="16"/>
    <x v="17"/>
    <x v="28"/>
    <n v="3192"/>
    <x v="129"/>
    <n v="0"/>
    <x v="0"/>
    <s v="X 32"/>
    <n v="0"/>
    <n v="2085"/>
    <x v="256"/>
    <s v="Annual"/>
    <n v="1"/>
    <n v="1"/>
    <n v="167964"/>
    <n v="167964"/>
  </r>
  <r>
    <x v="0"/>
    <n v="41"/>
    <x v="15"/>
    <x v="0"/>
    <x v="0"/>
    <n v="1005"/>
    <x v="16"/>
    <x v="17"/>
    <x v="28"/>
    <n v="3192"/>
    <x v="129"/>
    <n v="0"/>
    <x v="0"/>
    <s v="B 14"/>
    <n v="3"/>
    <n v="2083"/>
    <x v="574"/>
    <s v="Annual"/>
    <n v="1"/>
    <n v="1"/>
    <n v="93504"/>
    <n v="93504"/>
  </r>
  <r>
    <x v="0"/>
    <n v="41"/>
    <x v="15"/>
    <x v="0"/>
    <x v="0"/>
    <n v="1005"/>
    <x v="16"/>
    <x v="17"/>
    <x v="28"/>
    <n v="3192"/>
    <x v="129"/>
    <n v="0"/>
    <x v="0"/>
    <s v="BX 17"/>
    <n v="10"/>
    <n v="2082"/>
    <x v="575"/>
    <s v="Annual"/>
    <n v="1"/>
    <n v="1"/>
    <n v="93384"/>
    <n v="93384"/>
  </r>
  <r>
    <x v="0"/>
    <n v="41"/>
    <x v="15"/>
    <x v="0"/>
    <x v="0"/>
    <n v="1005"/>
    <x v="16"/>
    <x v="17"/>
    <x v="28"/>
    <n v="3192"/>
    <x v="129"/>
    <n v="0"/>
    <x v="0"/>
    <s v="B 14"/>
    <n v="3"/>
    <n v="2077"/>
    <x v="576"/>
    <s v="Annual"/>
    <n v="2"/>
    <n v="1"/>
    <n v="130668"/>
    <n v="261336"/>
  </r>
  <r>
    <x v="0"/>
    <n v="41"/>
    <x v="15"/>
    <x v="0"/>
    <x v="0"/>
    <n v="1005"/>
    <x v="16"/>
    <x v="17"/>
    <x v="28"/>
    <n v="3192"/>
    <x v="129"/>
    <n v="0"/>
    <x v="0"/>
    <s v="B 14"/>
    <n v="3"/>
    <n v="2077"/>
    <x v="576"/>
    <s v="Annual"/>
    <n v="1"/>
    <n v="1"/>
    <n v="119100"/>
    <n v="119100"/>
  </r>
  <r>
    <x v="0"/>
    <n v="41"/>
    <x v="15"/>
    <x v="0"/>
    <x v="0"/>
    <n v="1005"/>
    <x v="16"/>
    <x v="17"/>
    <x v="28"/>
    <n v="3192"/>
    <x v="129"/>
    <n v="0"/>
    <x v="0"/>
    <s v="B 14"/>
    <n v="3"/>
    <n v="2077"/>
    <x v="576"/>
    <s v="Annual"/>
    <n v="1"/>
    <n v="1"/>
    <n v="98928"/>
    <n v="98928"/>
  </r>
  <r>
    <x v="0"/>
    <n v="41"/>
    <x v="15"/>
    <x v="0"/>
    <x v="0"/>
    <n v="1005"/>
    <x v="16"/>
    <x v="17"/>
    <x v="28"/>
    <n v="3192"/>
    <x v="129"/>
    <n v="0"/>
    <x v="0"/>
    <s v="B 14"/>
    <n v="3"/>
    <n v="2077"/>
    <x v="576"/>
    <s v="Annual"/>
    <n v="2"/>
    <n v="1"/>
    <n v="93504"/>
    <n v="187008"/>
  </r>
  <r>
    <x v="0"/>
    <n v="41"/>
    <x v="15"/>
    <x v="0"/>
    <x v="0"/>
    <n v="1005"/>
    <x v="16"/>
    <x v="17"/>
    <x v="28"/>
    <n v="3192"/>
    <x v="129"/>
    <n v="0"/>
    <x v="0"/>
    <s v="B 14"/>
    <n v="3"/>
    <n v="2077"/>
    <x v="576"/>
    <s v="Annual"/>
    <n v="1"/>
    <n v="1"/>
    <n v="81324"/>
    <n v="81324"/>
  </r>
  <r>
    <x v="0"/>
    <n v="41"/>
    <x v="15"/>
    <x v="0"/>
    <x v="0"/>
    <n v="1005"/>
    <x v="16"/>
    <x v="17"/>
    <x v="28"/>
    <n v="3192"/>
    <x v="129"/>
    <n v="0"/>
    <x v="0"/>
    <s v="G 06"/>
    <n v="4"/>
    <n v="2074"/>
    <x v="577"/>
    <s v="Annual"/>
    <n v="1"/>
    <n v="1"/>
    <n v="118836"/>
    <n v="118836"/>
  </r>
  <r>
    <x v="0"/>
    <n v="41"/>
    <x v="15"/>
    <x v="0"/>
    <x v="0"/>
    <n v="1005"/>
    <x v="16"/>
    <x v="17"/>
    <x v="28"/>
    <n v="3192"/>
    <x v="129"/>
    <n v="0"/>
    <x v="0"/>
    <s v="G 06"/>
    <n v="4"/>
    <n v="2074"/>
    <x v="577"/>
    <s v="Annual"/>
    <n v="1"/>
    <n v="1"/>
    <n v="107628"/>
    <n v="107628"/>
  </r>
  <r>
    <x v="0"/>
    <n v="41"/>
    <x v="15"/>
    <x v="0"/>
    <x v="0"/>
    <n v="1005"/>
    <x v="16"/>
    <x v="17"/>
    <x v="28"/>
    <n v="3192"/>
    <x v="129"/>
    <n v="0"/>
    <x v="0"/>
    <s v="G 06"/>
    <n v="4"/>
    <n v="2074"/>
    <x v="577"/>
    <s v="Annual"/>
    <n v="2"/>
    <n v="1"/>
    <n v="88524"/>
    <n v="177048"/>
  </r>
  <r>
    <x v="0"/>
    <n v="41"/>
    <x v="15"/>
    <x v="0"/>
    <x v="0"/>
    <n v="1005"/>
    <x v="16"/>
    <x v="17"/>
    <x v="28"/>
    <n v="3192"/>
    <x v="129"/>
    <n v="0"/>
    <x v="0"/>
    <s v="G 08"/>
    <n v="4"/>
    <n v="2073"/>
    <x v="469"/>
    <s v="Annual"/>
    <n v="1"/>
    <n v="1"/>
    <n v="141564"/>
    <n v="141564"/>
  </r>
  <r>
    <x v="0"/>
    <n v="41"/>
    <x v="15"/>
    <x v="0"/>
    <x v="0"/>
    <n v="1005"/>
    <x v="16"/>
    <x v="17"/>
    <x v="28"/>
    <n v="3192"/>
    <x v="129"/>
    <n v="0"/>
    <x v="0"/>
    <s v="G 08"/>
    <n v="4"/>
    <n v="2073"/>
    <x v="469"/>
    <s v="Annual"/>
    <n v="1"/>
    <n v="1"/>
    <n v="134184"/>
    <n v="134184"/>
  </r>
  <r>
    <x v="0"/>
    <n v="41"/>
    <x v="15"/>
    <x v="0"/>
    <x v="0"/>
    <n v="1005"/>
    <x v="16"/>
    <x v="17"/>
    <x v="28"/>
    <n v="3192"/>
    <x v="129"/>
    <n v="0"/>
    <x v="0"/>
    <s v="G 08"/>
    <n v="4"/>
    <n v="2073"/>
    <x v="469"/>
    <s v="Annual"/>
    <n v="3"/>
    <n v="1"/>
    <n v="112536"/>
    <n v="337608"/>
  </r>
  <r>
    <x v="0"/>
    <n v="41"/>
    <x v="15"/>
    <x v="0"/>
    <x v="0"/>
    <n v="1005"/>
    <x v="16"/>
    <x v="17"/>
    <x v="28"/>
    <n v="3192"/>
    <x v="129"/>
    <n v="0"/>
    <x v="0"/>
    <s v="GY 10"/>
    <n v="20"/>
    <n v="2072"/>
    <x v="578"/>
    <s v="Annual"/>
    <n v="1"/>
    <n v="1"/>
    <n v="111000"/>
    <n v="111000"/>
  </r>
  <r>
    <x v="0"/>
    <n v="41"/>
    <x v="15"/>
    <x v="0"/>
    <x v="0"/>
    <n v="1005"/>
    <x v="16"/>
    <x v="17"/>
    <x v="28"/>
    <n v="3192"/>
    <x v="129"/>
    <n v="0"/>
    <x v="0"/>
    <s v="B 12"/>
    <n v="1"/>
    <s v="03A8"/>
    <x v="88"/>
    <s v="Annual"/>
    <n v="1"/>
    <n v="1"/>
    <n v="67608"/>
    <n v="67608"/>
  </r>
  <r>
    <x v="0"/>
    <n v="41"/>
    <x v="15"/>
    <x v="0"/>
    <x v="0"/>
    <n v="1005"/>
    <x v="16"/>
    <x v="17"/>
    <x v="28"/>
    <n v="3192"/>
    <x v="129"/>
    <n v="0"/>
    <x v="0"/>
    <s v="1 00"/>
    <n v="0"/>
    <n v="15"/>
    <x v="37"/>
    <s v="Annual"/>
    <n v="0"/>
    <n v="0"/>
    <n v="29887"/>
    <n v="29887"/>
  </r>
  <r>
    <x v="0"/>
    <n v="41"/>
    <x v="15"/>
    <x v="0"/>
    <x v="0"/>
    <n v="1005"/>
    <x v="16"/>
    <x v="18"/>
    <x v="29"/>
    <n v="3196"/>
    <x v="130"/>
    <n v="0"/>
    <x v="0"/>
    <s v="X 32"/>
    <n v="9"/>
    <n v="9679"/>
    <x v="81"/>
    <s v="Annual"/>
    <n v="1"/>
    <n v="1"/>
    <n v="139140"/>
    <n v="139140"/>
  </r>
  <r>
    <x v="0"/>
    <n v="41"/>
    <x v="15"/>
    <x v="0"/>
    <x v="0"/>
    <n v="1005"/>
    <x v="16"/>
    <x v="18"/>
    <x v="29"/>
    <n v="3196"/>
    <x v="130"/>
    <n v="0"/>
    <x v="0"/>
    <s v="S 08"/>
    <n v="37"/>
    <n v="3763"/>
    <x v="548"/>
    <s v="Hourly"/>
    <n v="1908"/>
    <n v="0"/>
    <n v="49.48"/>
    <n v="94408"/>
  </r>
  <r>
    <x v="0"/>
    <n v="41"/>
    <x v="15"/>
    <x v="0"/>
    <x v="0"/>
    <n v="1005"/>
    <x v="16"/>
    <x v="18"/>
    <x v="29"/>
    <n v="3196"/>
    <x v="130"/>
    <n v="0"/>
    <x v="0"/>
    <s v="B 13"/>
    <n v="3"/>
    <n v="3434"/>
    <x v="551"/>
    <s v="Annual"/>
    <n v="1"/>
    <n v="1"/>
    <n v="68616"/>
    <n v="68616"/>
  </r>
  <r>
    <x v="0"/>
    <n v="41"/>
    <x v="15"/>
    <x v="0"/>
    <x v="0"/>
    <n v="1005"/>
    <x v="16"/>
    <x v="18"/>
    <x v="29"/>
    <n v="3198"/>
    <x v="131"/>
    <n v="0"/>
    <x v="0"/>
    <s v="S 05"/>
    <n v="37"/>
    <n v="3752"/>
    <x v="543"/>
    <s v="Annual"/>
    <n v="1"/>
    <n v="1"/>
    <n v="137376"/>
    <n v="137376"/>
  </r>
  <r>
    <x v="0"/>
    <n v="41"/>
    <x v="15"/>
    <x v="0"/>
    <x v="0"/>
    <n v="1005"/>
    <x v="16"/>
    <x v="18"/>
    <x v="29"/>
    <n v="3198"/>
    <x v="131"/>
    <n v="0"/>
    <x v="0"/>
    <s v="S 05"/>
    <n v="37"/>
    <n v="3752"/>
    <x v="543"/>
    <s v="Annual"/>
    <n v="1"/>
    <n v="1"/>
    <n v="101448"/>
    <n v="101448"/>
  </r>
  <r>
    <x v="0"/>
    <n v="41"/>
    <x v="15"/>
    <x v="0"/>
    <x v="0"/>
    <n v="1005"/>
    <x v="16"/>
    <x v="18"/>
    <x v="29"/>
    <n v="3198"/>
    <x v="131"/>
    <n v="0"/>
    <x v="0"/>
    <s v="S 05"/>
    <n v="37"/>
    <n v="3752"/>
    <x v="543"/>
    <s v="Annual"/>
    <n v="1"/>
    <n v="1"/>
    <n v="96708"/>
    <n v="96708"/>
  </r>
  <r>
    <x v="0"/>
    <n v="41"/>
    <x v="15"/>
    <x v="0"/>
    <x v="0"/>
    <n v="1005"/>
    <x v="16"/>
    <x v="18"/>
    <x v="29"/>
    <n v="3198"/>
    <x v="131"/>
    <n v="0"/>
    <x v="0"/>
    <s v="SZ 07"/>
    <n v="56"/>
    <n v="3701"/>
    <x v="560"/>
    <s v="Annual"/>
    <n v="1"/>
    <n v="1"/>
    <n v="94080"/>
    <n v="94080"/>
  </r>
  <r>
    <x v="0"/>
    <n v="41"/>
    <x v="15"/>
    <x v="0"/>
    <x v="0"/>
    <n v="1005"/>
    <x v="16"/>
    <x v="18"/>
    <x v="29"/>
    <n v="3198"/>
    <x v="131"/>
    <n v="0"/>
    <x v="0"/>
    <s v="B 13"/>
    <n v="3"/>
    <n v="3434"/>
    <x v="551"/>
    <s v="Annual"/>
    <n v="2"/>
    <n v="1"/>
    <n v="119100"/>
    <n v="238200"/>
  </r>
  <r>
    <x v="0"/>
    <n v="41"/>
    <x v="15"/>
    <x v="0"/>
    <x v="0"/>
    <n v="1005"/>
    <x v="16"/>
    <x v="18"/>
    <x v="29"/>
    <n v="3198"/>
    <x v="131"/>
    <n v="0"/>
    <x v="0"/>
    <s v="BX 18"/>
    <n v="10"/>
    <n v="3092"/>
    <x v="308"/>
    <s v="Annual"/>
    <n v="1"/>
    <n v="1"/>
    <n v="89112"/>
    <n v="89112"/>
  </r>
  <r>
    <x v="0"/>
    <n v="41"/>
    <x v="15"/>
    <x v="0"/>
    <x v="0"/>
    <n v="1005"/>
    <x v="16"/>
    <x v="18"/>
    <x v="29"/>
    <n v="3198"/>
    <x v="131"/>
    <n v="0"/>
    <x v="0"/>
    <s v="1 00"/>
    <n v="0"/>
    <n v="15"/>
    <x v="37"/>
    <s v="Annual"/>
    <n v="0"/>
    <n v="0"/>
    <n v="7576"/>
    <n v="7576"/>
  </r>
  <r>
    <x v="0"/>
    <n v="41"/>
    <x v="15"/>
    <x v="0"/>
    <x v="0"/>
    <n v="1005"/>
    <x v="16"/>
    <x v="18"/>
    <x v="29"/>
    <n v="3200"/>
    <x v="114"/>
    <n v="0"/>
    <x v="0"/>
    <s v="GY 10"/>
    <n v="20"/>
    <n v="1441"/>
    <x v="542"/>
    <s v="Annual"/>
    <n v="1"/>
    <n v="1"/>
    <n v="111000"/>
    <n v="111000"/>
  </r>
  <r>
    <x v="0"/>
    <n v="41"/>
    <x v="15"/>
    <x v="0"/>
    <x v="0"/>
    <n v="1005"/>
    <x v="16"/>
    <x v="18"/>
    <x v="29"/>
    <n v="3200"/>
    <x v="114"/>
    <n v="0"/>
    <x v="0"/>
    <s v="X 33"/>
    <n v="9"/>
    <n v="313"/>
    <x v="220"/>
    <s v="Annual"/>
    <n v="1"/>
    <n v="1"/>
    <n v="121668"/>
    <n v="121668"/>
  </r>
  <r>
    <x v="0"/>
    <n v="41"/>
    <x v="15"/>
    <x v="0"/>
    <x v="0"/>
    <n v="1005"/>
    <x v="16"/>
    <x v="18"/>
    <x v="29"/>
    <n v="3200"/>
    <x v="114"/>
    <n v="0"/>
    <x v="0"/>
    <s v="1 00"/>
    <n v="0"/>
    <n v="15"/>
    <x v="37"/>
    <s v="Annual"/>
    <n v="0"/>
    <n v="0"/>
    <n v="2496"/>
    <n v="2496"/>
  </r>
  <r>
    <x v="0"/>
    <n v="41"/>
    <x v="15"/>
    <x v="0"/>
    <x v="0"/>
    <n v="1005"/>
    <x v="16"/>
    <x v="18"/>
    <x v="29"/>
    <n v="3202"/>
    <x v="132"/>
    <n v="0"/>
    <x v="0"/>
    <s v="S 08"/>
    <n v="37"/>
    <n v="3763"/>
    <x v="548"/>
    <s v="Annual"/>
    <n v="2"/>
    <n v="1"/>
    <n v="167148"/>
    <n v="334296"/>
  </r>
  <r>
    <x v="0"/>
    <n v="41"/>
    <x v="15"/>
    <x v="0"/>
    <x v="0"/>
    <n v="1005"/>
    <x v="16"/>
    <x v="18"/>
    <x v="29"/>
    <n v="3202"/>
    <x v="132"/>
    <n v="0"/>
    <x v="0"/>
    <s v="S 08"/>
    <n v="37"/>
    <n v="3763"/>
    <x v="548"/>
    <s v="Annual"/>
    <n v="2"/>
    <n v="1"/>
    <n v="117528"/>
    <n v="235056"/>
  </r>
  <r>
    <x v="0"/>
    <n v="41"/>
    <x v="15"/>
    <x v="0"/>
    <x v="0"/>
    <n v="1005"/>
    <x v="16"/>
    <x v="18"/>
    <x v="29"/>
    <n v="3202"/>
    <x v="132"/>
    <n v="0"/>
    <x v="0"/>
    <s v="X 32"/>
    <n v="9"/>
    <n v="3366"/>
    <x v="579"/>
    <s v="Annual"/>
    <n v="1"/>
    <n v="1"/>
    <n v="139140"/>
    <n v="139140"/>
  </r>
  <r>
    <x v="0"/>
    <n v="41"/>
    <x v="15"/>
    <x v="0"/>
    <x v="0"/>
    <n v="1005"/>
    <x v="16"/>
    <x v="18"/>
    <x v="29"/>
    <n v="3202"/>
    <x v="132"/>
    <n v="0"/>
    <x v="0"/>
    <s v="B 09"/>
    <n v="1"/>
    <n v="3139"/>
    <x v="580"/>
    <s v="Annual"/>
    <n v="4"/>
    <n v="1"/>
    <n v="82140"/>
    <n v="328560"/>
  </r>
  <r>
    <x v="0"/>
    <n v="41"/>
    <x v="15"/>
    <x v="0"/>
    <x v="0"/>
    <n v="1005"/>
    <x v="16"/>
    <x v="18"/>
    <x v="29"/>
    <n v="3202"/>
    <x v="132"/>
    <n v="0"/>
    <x v="0"/>
    <s v="B 11"/>
    <n v="1"/>
    <n v="3130"/>
    <x v="581"/>
    <s v="Annual"/>
    <n v="1"/>
    <n v="1"/>
    <n v="58764"/>
    <n v="58764"/>
  </r>
  <r>
    <x v="0"/>
    <n v="41"/>
    <x v="15"/>
    <x v="0"/>
    <x v="0"/>
    <n v="1005"/>
    <x v="16"/>
    <x v="18"/>
    <x v="29"/>
    <n v="3202"/>
    <x v="132"/>
    <n v="0"/>
    <x v="0"/>
    <s v="GY 07"/>
    <n v="20"/>
    <n v="3127"/>
    <x v="582"/>
    <s v="Annual"/>
    <n v="1"/>
    <n v="1"/>
    <n v="76020"/>
    <n v="76020"/>
  </r>
  <r>
    <x v="0"/>
    <n v="41"/>
    <x v="15"/>
    <x v="0"/>
    <x v="0"/>
    <n v="1005"/>
    <x v="16"/>
    <x v="18"/>
    <x v="29"/>
    <n v="3202"/>
    <x v="132"/>
    <n v="0"/>
    <x v="0"/>
    <s v="1 00"/>
    <n v="0"/>
    <n v="15"/>
    <x v="37"/>
    <s v="Annual"/>
    <n v="0"/>
    <n v="0"/>
    <n v="4852"/>
    <n v="4852"/>
  </r>
  <r>
    <x v="0"/>
    <n v="45"/>
    <x v="16"/>
    <x v="0"/>
    <x v="0"/>
    <n v="1005"/>
    <x v="17"/>
    <x v="0"/>
    <x v="30"/>
    <n v="3005"/>
    <x v="133"/>
    <n v="0"/>
    <x v="0"/>
    <s v="1 00"/>
    <n v="9"/>
    <n v="9945"/>
    <x v="583"/>
    <s v="Annual"/>
    <n v="1"/>
    <n v="1"/>
    <n v="184800"/>
    <n v="184800"/>
  </r>
  <r>
    <x v="0"/>
    <n v="45"/>
    <x v="16"/>
    <x v="0"/>
    <x v="0"/>
    <n v="1005"/>
    <x v="17"/>
    <x v="0"/>
    <x v="30"/>
    <n v="3005"/>
    <x v="133"/>
    <n v="0"/>
    <x v="0"/>
    <s v="X 22"/>
    <n v="0"/>
    <n v="9677"/>
    <x v="81"/>
    <s v="Annual"/>
    <n v="1"/>
    <n v="1"/>
    <n v="151884"/>
    <n v="151884"/>
  </r>
  <r>
    <x v="0"/>
    <n v="45"/>
    <x v="16"/>
    <x v="0"/>
    <x v="0"/>
    <n v="1005"/>
    <x v="17"/>
    <x v="0"/>
    <x v="30"/>
    <n v="3005"/>
    <x v="133"/>
    <n v="0"/>
    <x v="0"/>
    <s v="X 21"/>
    <n v="0"/>
    <n v="9662"/>
    <x v="353"/>
    <s v="Annual"/>
    <n v="1"/>
    <n v="1"/>
    <n v="170436"/>
    <n v="170436"/>
  </r>
  <r>
    <x v="0"/>
    <n v="45"/>
    <x v="16"/>
    <x v="0"/>
    <x v="0"/>
    <n v="1005"/>
    <x v="17"/>
    <x v="0"/>
    <x v="30"/>
    <n v="3005"/>
    <x v="133"/>
    <n v="0"/>
    <x v="0"/>
    <s v="BX 16"/>
    <n v="10"/>
    <n v="3099"/>
    <x v="584"/>
    <s v="Annual"/>
    <n v="1"/>
    <n v="1"/>
    <n v="124584"/>
    <n v="124584"/>
  </r>
  <r>
    <x v="0"/>
    <n v="45"/>
    <x v="16"/>
    <x v="0"/>
    <x v="0"/>
    <n v="1005"/>
    <x v="17"/>
    <x v="0"/>
    <x v="30"/>
    <n v="3005"/>
    <x v="133"/>
    <n v="0"/>
    <x v="0"/>
    <s v="BX 16"/>
    <n v="10"/>
    <n v="3099"/>
    <x v="584"/>
    <s v="Annual"/>
    <n v="1"/>
    <n v="1"/>
    <n v="76476"/>
    <n v="76476"/>
  </r>
  <r>
    <x v="0"/>
    <n v="45"/>
    <x v="16"/>
    <x v="0"/>
    <x v="0"/>
    <n v="1005"/>
    <x v="17"/>
    <x v="0"/>
    <x v="30"/>
    <n v="3005"/>
    <x v="133"/>
    <n v="0"/>
    <x v="0"/>
    <s v="G 06"/>
    <n v="3"/>
    <n v="3085"/>
    <x v="585"/>
    <s v="Annual"/>
    <n v="1"/>
    <n v="1"/>
    <n v="118836"/>
    <n v="118836"/>
  </r>
  <r>
    <x v="0"/>
    <n v="45"/>
    <x v="16"/>
    <x v="0"/>
    <x v="0"/>
    <n v="1005"/>
    <x v="17"/>
    <x v="0"/>
    <x v="30"/>
    <n v="3005"/>
    <x v="133"/>
    <n v="0"/>
    <x v="0"/>
    <s v="G 06"/>
    <n v="3"/>
    <n v="3085"/>
    <x v="585"/>
    <s v="Annual"/>
    <n v="2"/>
    <n v="1"/>
    <n v="88524"/>
    <n v="177048"/>
  </r>
  <r>
    <x v="0"/>
    <n v="45"/>
    <x v="16"/>
    <x v="0"/>
    <x v="0"/>
    <n v="1005"/>
    <x v="17"/>
    <x v="0"/>
    <x v="30"/>
    <n v="3005"/>
    <x v="133"/>
    <n v="0"/>
    <x v="0"/>
    <s v="X 23"/>
    <n v="10"/>
    <n v="3016"/>
    <x v="586"/>
    <s v="Annual"/>
    <n v="1"/>
    <n v="1"/>
    <n v="133044"/>
    <n v="133044"/>
  </r>
  <r>
    <x v="0"/>
    <n v="45"/>
    <x v="16"/>
    <x v="0"/>
    <x v="0"/>
    <n v="1005"/>
    <x v="17"/>
    <x v="0"/>
    <x v="30"/>
    <n v="3005"/>
    <x v="133"/>
    <n v="0"/>
    <x v="0"/>
    <s v="X 23"/>
    <n v="10"/>
    <n v="3015"/>
    <x v="587"/>
    <s v="Annual"/>
    <n v="1"/>
    <n v="1"/>
    <n v="133044"/>
    <n v="133044"/>
  </r>
  <r>
    <x v="0"/>
    <n v="45"/>
    <x v="16"/>
    <x v="0"/>
    <x v="0"/>
    <n v="1005"/>
    <x v="17"/>
    <x v="0"/>
    <x v="30"/>
    <n v="3005"/>
    <x v="133"/>
    <n v="0"/>
    <x v="0"/>
    <s v="BX 16"/>
    <n v="10"/>
    <n v="802"/>
    <x v="30"/>
    <s v="Annual"/>
    <n v="1"/>
    <n v="1"/>
    <n v="83052"/>
    <n v="83052"/>
  </r>
  <r>
    <x v="0"/>
    <n v="45"/>
    <x v="16"/>
    <x v="0"/>
    <x v="0"/>
    <n v="1005"/>
    <x v="17"/>
    <x v="0"/>
    <x v="30"/>
    <n v="3005"/>
    <x v="133"/>
    <n v="0"/>
    <x v="0"/>
    <s v="1 00"/>
    <n v="0"/>
    <n v="15"/>
    <x v="37"/>
    <s v="Annual"/>
    <n v="0"/>
    <n v="0"/>
    <n v="12222"/>
    <n v="12222"/>
  </r>
  <r>
    <x v="0"/>
    <n v="45"/>
    <x v="16"/>
    <x v="0"/>
    <x v="0"/>
    <n v="1005"/>
    <x v="17"/>
    <x v="0"/>
    <x v="30"/>
    <n v="3007"/>
    <x v="22"/>
    <n v="0"/>
    <x v="0"/>
    <s v="BX 16"/>
    <n v="10"/>
    <n v="1315"/>
    <x v="318"/>
    <s v="Annual"/>
    <n v="1"/>
    <n v="1"/>
    <n v="89112"/>
    <n v="89112"/>
  </r>
  <r>
    <x v="0"/>
    <n v="45"/>
    <x v="16"/>
    <x v="0"/>
    <x v="0"/>
    <n v="1005"/>
    <x v="17"/>
    <x v="0"/>
    <x v="30"/>
    <n v="3007"/>
    <x v="22"/>
    <n v="0"/>
    <x v="0"/>
    <s v="BX 15"/>
    <n v="10"/>
    <n v="789"/>
    <x v="75"/>
    <s v="Annual"/>
    <n v="1"/>
    <n v="1"/>
    <n v="72996"/>
    <n v="72996"/>
  </r>
  <r>
    <x v="0"/>
    <n v="45"/>
    <x v="16"/>
    <x v="0"/>
    <x v="0"/>
    <n v="1005"/>
    <x v="17"/>
    <x v="0"/>
    <x v="30"/>
    <n v="3007"/>
    <x v="22"/>
    <n v="0"/>
    <x v="0"/>
    <s v="B 12"/>
    <n v="1"/>
    <s v="03A8"/>
    <x v="88"/>
    <s v="Annual"/>
    <n v="1"/>
    <n v="1"/>
    <n v="108576"/>
    <n v="108576"/>
  </r>
  <r>
    <x v="0"/>
    <n v="45"/>
    <x v="16"/>
    <x v="0"/>
    <x v="0"/>
    <n v="1005"/>
    <x v="17"/>
    <x v="0"/>
    <x v="30"/>
    <n v="3007"/>
    <x v="22"/>
    <n v="0"/>
    <x v="0"/>
    <s v="1 00"/>
    <n v="0"/>
    <n v="15"/>
    <x v="37"/>
    <s v="Annual"/>
    <n v="0"/>
    <n v="0"/>
    <n v="3335"/>
    <n v="3335"/>
  </r>
  <r>
    <x v="0"/>
    <n v="48"/>
    <x v="17"/>
    <x v="0"/>
    <x v="0"/>
    <n v="1005"/>
    <x v="18"/>
    <x v="0"/>
    <x v="31"/>
    <n v="3005"/>
    <x v="134"/>
    <n v="0"/>
    <x v="0"/>
    <s v="1 00"/>
    <n v="9"/>
    <n v="9948"/>
    <x v="588"/>
    <s v="Annual"/>
    <n v="1"/>
    <n v="1"/>
    <n v="171924"/>
    <n v="171924"/>
  </r>
  <r>
    <x v="0"/>
    <n v="48"/>
    <x v="17"/>
    <x v="0"/>
    <x v="0"/>
    <n v="1005"/>
    <x v="18"/>
    <x v="0"/>
    <x v="31"/>
    <n v="3005"/>
    <x v="134"/>
    <n v="0"/>
    <x v="0"/>
    <s v="X 22"/>
    <n v="0"/>
    <n v="9677"/>
    <x v="81"/>
    <s v="Annual"/>
    <n v="1"/>
    <n v="1"/>
    <n v="151884"/>
    <n v="151884"/>
  </r>
  <r>
    <x v="0"/>
    <n v="48"/>
    <x v="17"/>
    <x v="0"/>
    <x v="0"/>
    <n v="1005"/>
    <x v="18"/>
    <x v="0"/>
    <x v="31"/>
    <n v="3005"/>
    <x v="134"/>
    <n v="0"/>
    <x v="0"/>
    <s v="G 05"/>
    <n v="3"/>
    <n v="3073"/>
    <x v="589"/>
    <s v="Annual"/>
    <n v="1"/>
    <n v="1"/>
    <n v="74160"/>
    <n v="74160"/>
  </r>
  <r>
    <x v="0"/>
    <n v="48"/>
    <x v="17"/>
    <x v="0"/>
    <x v="0"/>
    <n v="1005"/>
    <x v="18"/>
    <x v="0"/>
    <x v="31"/>
    <n v="3005"/>
    <x v="134"/>
    <n v="0"/>
    <x v="0"/>
    <s v="BX 16"/>
    <n v="10"/>
    <n v="802"/>
    <x v="30"/>
    <s v="Annual"/>
    <n v="1"/>
    <n v="1"/>
    <n v="85128"/>
    <n v="85128"/>
  </r>
  <r>
    <x v="0"/>
    <n v="48"/>
    <x v="17"/>
    <x v="0"/>
    <x v="0"/>
    <n v="1005"/>
    <x v="18"/>
    <x v="0"/>
    <x v="31"/>
    <n v="3005"/>
    <x v="134"/>
    <n v="0"/>
    <x v="0"/>
    <s v="BX 16"/>
    <n v="10"/>
    <n v="368"/>
    <x v="590"/>
    <s v="Annual"/>
    <n v="1"/>
    <n v="1"/>
    <n v="85128"/>
    <n v="85128"/>
  </r>
  <r>
    <x v="0"/>
    <n v="48"/>
    <x v="17"/>
    <x v="0"/>
    <x v="0"/>
    <n v="1005"/>
    <x v="18"/>
    <x v="0"/>
    <x v="31"/>
    <n v="3005"/>
    <x v="134"/>
    <n v="0"/>
    <x v="0"/>
    <s v="1 00"/>
    <n v="0"/>
    <n v="15"/>
    <x v="37"/>
    <s v="Annual"/>
    <n v="0"/>
    <n v="0"/>
    <n v="6555"/>
    <n v="6555"/>
  </r>
  <r>
    <x v="0"/>
    <n v="48"/>
    <x v="17"/>
    <x v="0"/>
    <x v="0"/>
    <n v="1005"/>
    <x v="18"/>
    <x v="0"/>
    <x v="31"/>
    <n v="3010"/>
    <x v="135"/>
    <n v="0"/>
    <x v="0"/>
    <s v="BX 16"/>
    <n v="10"/>
    <n v="368"/>
    <x v="590"/>
    <s v="Annual"/>
    <n v="2"/>
    <n v="1"/>
    <n v="85128"/>
    <n v="170256"/>
  </r>
  <r>
    <x v="0"/>
    <n v="48"/>
    <x v="17"/>
    <x v="0"/>
    <x v="0"/>
    <n v="1005"/>
    <x v="18"/>
    <x v="0"/>
    <x v="31"/>
    <n v="3020"/>
    <x v="136"/>
    <n v="4010"/>
    <x v="23"/>
    <s v="X 23"/>
    <n v="0"/>
    <n v="119"/>
    <x v="92"/>
    <s v="Annual"/>
    <n v="1"/>
    <n v="1"/>
    <n v="110856"/>
    <n v="110856"/>
  </r>
  <r>
    <x v="0"/>
    <n v="48"/>
    <x v="17"/>
    <x v="0"/>
    <x v="0"/>
    <n v="1005"/>
    <x v="18"/>
    <x v="0"/>
    <x v="31"/>
    <n v="3020"/>
    <x v="136"/>
    <n v="4010"/>
    <x v="23"/>
    <s v="B 13"/>
    <n v="4"/>
    <n v="110"/>
    <x v="93"/>
    <s v="Annual"/>
    <n v="1"/>
    <n v="1"/>
    <n v="119100"/>
    <n v="119100"/>
  </r>
  <r>
    <x v="0"/>
    <n v="48"/>
    <x v="17"/>
    <x v="0"/>
    <x v="0"/>
    <n v="1005"/>
    <x v="18"/>
    <x v="0"/>
    <x v="31"/>
    <n v="3020"/>
    <x v="136"/>
    <n v="4010"/>
    <x v="23"/>
    <s v="1 00"/>
    <n v="0"/>
    <n v="15"/>
    <x v="37"/>
    <s v="Annual"/>
    <n v="0"/>
    <n v="0"/>
    <n v="7579"/>
    <n v="7579"/>
  </r>
  <r>
    <x v="0"/>
    <n v="48"/>
    <x v="17"/>
    <x v="0"/>
    <x v="0"/>
    <n v="1005"/>
    <x v="18"/>
    <x v="0"/>
    <x v="31"/>
    <n v="3030"/>
    <x v="137"/>
    <n v="4025"/>
    <x v="79"/>
    <s v="GY 07"/>
    <n v="20"/>
    <n v="3503"/>
    <x v="591"/>
    <s v="Annual"/>
    <n v="3"/>
    <n v="1"/>
    <n v="85236"/>
    <n v="255708"/>
  </r>
  <r>
    <x v="0"/>
    <n v="48"/>
    <x v="17"/>
    <x v="0"/>
    <x v="0"/>
    <n v="1005"/>
    <x v="18"/>
    <x v="0"/>
    <x v="31"/>
    <n v="3030"/>
    <x v="137"/>
    <n v="4025"/>
    <x v="79"/>
    <s v="GY 07"/>
    <n v="20"/>
    <n v="3503"/>
    <x v="591"/>
    <s v="Annual"/>
    <n v="1"/>
    <n v="1"/>
    <n v="82884"/>
    <n v="82884"/>
  </r>
  <r>
    <x v="0"/>
    <n v="48"/>
    <x v="17"/>
    <x v="0"/>
    <x v="0"/>
    <n v="1005"/>
    <x v="18"/>
    <x v="0"/>
    <x v="31"/>
    <n v="3030"/>
    <x v="137"/>
    <n v="4025"/>
    <x v="79"/>
    <s v="BX 18"/>
    <n v="10"/>
    <n v="3092"/>
    <x v="308"/>
    <s v="Annual"/>
    <n v="1"/>
    <n v="1"/>
    <n v="102444"/>
    <n v="102444"/>
  </r>
  <r>
    <x v="0"/>
    <n v="48"/>
    <x v="17"/>
    <x v="0"/>
    <x v="0"/>
    <n v="1005"/>
    <x v="18"/>
    <x v="0"/>
    <x v="31"/>
    <n v="3030"/>
    <x v="137"/>
    <n v="4025"/>
    <x v="79"/>
    <s v="G 05"/>
    <n v="3"/>
    <n v="3073"/>
    <x v="589"/>
    <s v="Annual"/>
    <n v="1"/>
    <n v="1"/>
    <n v="108708"/>
    <n v="108708"/>
  </r>
  <r>
    <x v="0"/>
    <n v="48"/>
    <x v="17"/>
    <x v="0"/>
    <x v="0"/>
    <n v="1005"/>
    <x v="18"/>
    <x v="0"/>
    <x v="31"/>
    <n v="3030"/>
    <x v="137"/>
    <n v="4025"/>
    <x v="79"/>
    <s v="BX 16"/>
    <n v="10"/>
    <n v="368"/>
    <x v="590"/>
    <s v="Annual"/>
    <n v="1"/>
    <n v="1"/>
    <n v="85128"/>
    <n v="85128"/>
  </r>
  <r>
    <x v="0"/>
    <n v="48"/>
    <x v="17"/>
    <x v="0"/>
    <x v="0"/>
    <n v="1005"/>
    <x v="18"/>
    <x v="0"/>
    <x v="31"/>
    <n v="3030"/>
    <x v="137"/>
    <n v="4025"/>
    <x v="79"/>
    <s v="B 13"/>
    <n v="1"/>
    <n v="308"/>
    <x v="90"/>
    <s v="Annual"/>
    <n v="1"/>
    <n v="1"/>
    <n v="74172"/>
    <n v="74172"/>
  </r>
  <r>
    <x v="0"/>
    <n v="48"/>
    <x v="17"/>
    <x v="0"/>
    <x v="0"/>
    <n v="1005"/>
    <x v="18"/>
    <x v="0"/>
    <x v="31"/>
    <n v="3030"/>
    <x v="137"/>
    <n v="4025"/>
    <x v="79"/>
    <s v="1 00"/>
    <n v="0"/>
    <n v="15"/>
    <x v="37"/>
    <s v="Annual"/>
    <n v="0"/>
    <n v="0"/>
    <n v="13752"/>
    <n v="13752"/>
  </r>
  <r>
    <x v="0"/>
    <n v="48"/>
    <x v="17"/>
    <x v="0"/>
    <x v="0"/>
    <n v="1005"/>
    <x v="18"/>
    <x v="0"/>
    <x v="31"/>
    <n v="3040"/>
    <x v="138"/>
    <n v="0"/>
    <x v="0"/>
    <s v="X 22"/>
    <n v="0"/>
    <n v="9677"/>
    <x v="81"/>
    <s v="Annual"/>
    <n v="1"/>
    <n v="1"/>
    <n v="158568"/>
    <n v="158568"/>
  </r>
  <r>
    <x v="0"/>
    <n v="48"/>
    <x v="17"/>
    <x v="0"/>
    <x v="0"/>
    <n v="1005"/>
    <x v="18"/>
    <x v="0"/>
    <x v="31"/>
    <n v="3040"/>
    <x v="138"/>
    <n v="0"/>
    <x v="0"/>
    <s v="G 08"/>
    <n v="4"/>
    <n v="5404"/>
    <x v="592"/>
    <s v="Annual"/>
    <n v="1"/>
    <n v="1"/>
    <n v="117636"/>
    <n v="117636"/>
  </r>
  <r>
    <x v="0"/>
    <n v="48"/>
    <x v="17"/>
    <x v="0"/>
    <x v="0"/>
    <n v="1005"/>
    <x v="18"/>
    <x v="0"/>
    <x v="31"/>
    <n v="3040"/>
    <x v="138"/>
    <n v="0"/>
    <x v="0"/>
    <s v="G 08"/>
    <n v="4"/>
    <n v="5404"/>
    <x v="592"/>
    <s v="Annual"/>
    <n v="1"/>
    <n v="1"/>
    <n v="99408"/>
    <n v="99408"/>
  </r>
  <r>
    <x v="0"/>
    <n v="48"/>
    <x v="17"/>
    <x v="0"/>
    <x v="0"/>
    <n v="1005"/>
    <x v="18"/>
    <x v="0"/>
    <x v="31"/>
    <n v="3040"/>
    <x v="138"/>
    <n v="0"/>
    <x v="0"/>
    <s v="BX 17"/>
    <n v="20"/>
    <n v="2149"/>
    <x v="593"/>
    <s v="Annual"/>
    <n v="1"/>
    <n v="1"/>
    <n v="89112"/>
    <n v="89112"/>
  </r>
  <r>
    <x v="0"/>
    <n v="48"/>
    <x v="17"/>
    <x v="0"/>
    <x v="0"/>
    <n v="1005"/>
    <x v="18"/>
    <x v="0"/>
    <x v="31"/>
    <n v="3040"/>
    <x v="138"/>
    <n v="0"/>
    <x v="0"/>
    <s v="BX 17"/>
    <n v="20"/>
    <n v="2149"/>
    <x v="593"/>
    <s v="Annual"/>
    <n v="1"/>
    <n v="1"/>
    <n v="83052"/>
    <n v="83052"/>
  </r>
  <r>
    <x v="0"/>
    <n v="48"/>
    <x v="17"/>
    <x v="0"/>
    <x v="0"/>
    <n v="1005"/>
    <x v="18"/>
    <x v="0"/>
    <x v="31"/>
    <n v="3040"/>
    <x v="138"/>
    <n v="0"/>
    <x v="0"/>
    <s v="B 14"/>
    <n v="4"/>
    <n v="1912"/>
    <x v="222"/>
    <s v="Annual"/>
    <n v="2"/>
    <n v="1"/>
    <n v="85200"/>
    <n v="170400"/>
  </r>
  <r>
    <x v="0"/>
    <n v="48"/>
    <x v="17"/>
    <x v="0"/>
    <x v="0"/>
    <n v="1005"/>
    <x v="18"/>
    <x v="0"/>
    <x v="31"/>
    <n v="3040"/>
    <x v="138"/>
    <n v="0"/>
    <x v="0"/>
    <s v="1 00"/>
    <n v="0"/>
    <n v="15"/>
    <x v="37"/>
    <s v="Annual"/>
    <n v="0"/>
    <n v="0"/>
    <n v="16284"/>
    <n v="16284"/>
  </r>
  <r>
    <x v="0"/>
    <n v="48"/>
    <x v="17"/>
    <x v="0"/>
    <x v="0"/>
    <n v="1005"/>
    <x v="18"/>
    <x v="0"/>
    <x v="31"/>
    <n v="3060"/>
    <x v="139"/>
    <n v="0"/>
    <x v="0"/>
    <s v="BX 17"/>
    <n v="10"/>
    <n v="1431"/>
    <x v="82"/>
    <s v="Annual"/>
    <n v="1"/>
    <n v="1"/>
    <n v="124584"/>
    <n v="124584"/>
  </r>
  <r>
    <x v="0"/>
    <n v="48"/>
    <x v="17"/>
    <x v="0"/>
    <x v="0"/>
    <n v="1005"/>
    <x v="18"/>
    <x v="0"/>
    <x v="31"/>
    <n v="3060"/>
    <x v="139"/>
    <n v="0"/>
    <x v="0"/>
    <s v="B 14"/>
    <n v="1"/>
    <n v="1359"/>
    <x v="408"/>
    <s v="Annual"/>
    <n v="1"/>
    <n v="1"/>
    <n v="75336"/>
    <n v="75336"/>
  </r>
  <r>
    <x v="0"/>
    <n v="48"/>
    <x v="17"/>
    <x v="0"/>
    <x v="0"/>
    <n v="1005"/>
    <x v="18"/>
    <x v="0"/>
    <x v="31"/>
    <n v="3060"/>
    <x v="139"/>
    <n v="0"/>
    <x v="0"/>
    <s v="B 15"/>
    <n v="1"/>
    <n v="729"/>
    <x v="32"/>
    <s v="Annual"/>
    <n v="1"/>
    <n v="1"/>
    <n v="89244"/>
    <n v="89244"/>
  </r>
  <r>
    <x v="0"/>
    <n v="48"/>
    <x v="17"/>
    <x v="0"/>
    <x v="0"/>
    <n v="1005"/>
    <x v="18"/>
    <x v="0"/>
    <x v="31"/>
    <n v="3060"/>
    <x v="139"/>
    <n v="0"/>
    <x v="0"/>
    <s v="1 00"/>
    <n v="0"/>
    <n v="15"/>
    <x v="37"/>
    <s v="Annual"/>
    <n v="0"/>
    <n v="0"/>
    <n v="3450"/>
    <n v="3450"/>
  </r>
  <r>
    <x v="0"/>
    <n v="50"/>
    <x v="18"/>
    <x v="0"/>
    <x v="0"/>
    <n v="1005"/>
    <x v="19"/>
    <x v="0"/>
    <x v="32"/>
    <n v="3001"/>
    <x v="140"/>
    <n v="0"/>
    <x v="0"/>
    <s v="1 00"/>
    <n v="9"/>
    <n v="9950"/>
    <x v="594"/>
    <s v="Annual"/>
    <n v="1"/>
    <n v="1"/>
    <n v="213888"/>
    <n v="213888"/>
  </r>
  <r>
    <x v="0"/>
    <n v="50"/>
    <x v="18"/>
    <x v="0"/>
    <x v="0"/>
    <n v="1005"/>
    <x v="19"/>
    <x v="0"/>
    <x v="32"/>
    <n v="3001"/>
    <x v="140"/>
    <n v="0"/>
    <x v="0"/>
    <s v="X 31"/>
    <n v="9"/>
    <n v="9813"/>
    <x v="216"/>
    <s v="Annual"/>
    <n v="1"/>
    <n v="1"/>
    <n v="180324"/>
    <n v="180324"/>
  </r>
  <r>
    <x v="0"/>
    <n v="50"/>
    <x v="18"/>
    <x v="0"/>
    <x v="0"/>
    <n v="1005"/>
    <x v="19"/>
    <x v="0"/>
    <x v="32"/>
    <n v="3001"/>
    <x v="140"/>
    <n v="0"/>
    <x v="0"/>
    <s v="X 31"/>
    <n v="9"/>
    <n v="9813"/>
    <x v="216"/>
    <s v="Annual"/>
    <n v="1"/>
    <n v="1"/>
    <n v="149448"/>
    <n v="149448"/>
  </r>
  <r>
    <x v="0"/>
    <n v="50"/>
    <x v="18"/>
    <x v="0"/>
    <x v="0"/>
    <n v="1005"/>
    <x v="19"/>
    <x v="0"/>
    <x v="32"/>
    <n v="3001"/>
    <x v="140"/>
    <n v="0"/>
    <x v="0"/>
    <s v="X 31"/>
    <n v="9"/>
    <n v="9660"/>
    <x v="353"/>
    <s v="Annual"/>
    <n v="1"/>
    <n v="1"/>
    <n v="188400"/>
    <n v="188400"/>
  </r>
  <r>
    <x v="0"/>
    <n v="50"/>
    <x v="18"/>
    <x v="0"/>
    <x v="0"/>
    <n v="1005"/>
    <x v="19"/>
    <x v="0"/>
    <x v="32"/>
    <n v="3001"/>
    <x v="140"/>
    <n v="0"/>
    <x v="0"/>
    <s v="BX 16"/>
    <n v="10"/>
    <n v="802"/>
    <x v="30"/>
    <s v="Annual"/>
    <n v="1"/>
    <n v="1"/>
    <n v="83052"/>
    <n v="83052"/>
  </r>
  <r>
    <x v="0"/>
    <n v="50"/>
    <x v="18"/>
    <x v="0"/>
    <x v="0"/>
    <n v="1005"/>
    <x v="19"/>
    <x v="0"/>
    <x v="32"/>
    <n v="3001"/>
    <x v="140"/>
    <n v="0"/>
    <x v="0"/>
    <s v="BX 16"/>
    <n v="10"/>
    <n v="802"/>
    <x v="30"/>
    <s v="Annual"/>
    <n v="1"/>
    <n v="1"/>
    <n v="76476"/>
    <n v="76476"/>
  </r>
  <r>
    <x v="0"/>
    <n v="50"/>
    <x v="18"/>
    <x v="0"/>
    <x v="0"/>
    <n v="1005"/>
    <x v="19"/>
    <x v="0"/>
    <x v="32"/>
    <n v="3001"/>
    <x v="140"/>
    <n v="0"/>
    <x v="0"/>
    <s v="PX 02"/>
    <n v="9"/>
    <n v="705"/>
    <x v="33"/>
    <s v="Annual"/>
    <n v="1"/>
    <n v="1"/>
    <n v="111300"/>
    <n v="111300"/>
  </r>
  <r>
    <x v="0"/>
    <n v="50"/>
    <x v="18"/>
    <x v="0"/>
    <x v="0"/>
    <n v="1005"/>
    <x v="19"/>
    <x v="0"/>
    <x v="32"/>
    <n v="3001"/>
    <x v="140"/>
    <n v="0"/>
    <x v="0"/>
    <s v="B 14"/>
    <n v="1"/>
    <n v="703"/>
    <x v="595"/>
    <s v="Annual"/>
    <n v="1"/>
    <n v="1"/>
    <n v="75336"/>
    <n v="75336"/>
  </r>
  <r>
    <x v="0"/>
    <n v="50"/>
    <x v="18"/>
    <x v="0"/>
    <x v="0"/>
    <n v="1005"/>
    <x v="19"/>
    <x v="0"/>
    <x v="32"/>
    <n v="3001"/>
    <x v="140"/>
    <n v="0"/>
    <x v="0"/>
    <s v="BX 13"/>
    <n v="20"/>
    <n v="366"/>
    <x v="219"/>
    <s v="Annual"/>
    <n v="1"/>
    <n v="1"/>
    <n v="69684"/>
    <n v="69684"/>
  </r>
  <r>
    <x v="0"/>
    <n v="50"/>
    <x v="18"/>
    <x v="0"/>
    <x v="0"/>
    <n v="1005"/>
    <x v="19"/>
    <x v="0"/>
    <x v="32"/>
    <n v="3001"/>
    <x v="140"/>
    <n v="0"/>
    <x v="0"/>
    <s v="1 00"/>
    <n v="0"/>
    <n v="15"/>
    <x v="37"/>
    <s v="Annual"/>
    <n v="0"/>
    <n v="0"/>
    <n v="9448"/>
    <n v="9448"/>
  </r>
  <r>
    <x v="0"/>
    <n v="50"/>
    <x v="18"/>
    <x v="0"/>
    <x v="0"/>
    <n v="1005"/>
    <x v="19"/>
    <x v="0"/>
    <x v="32"/>
    <n v="3005"/>
    <x v="22"/>
    <n v="0"/>
    <x v="0"/>
    <s v="X 32"/>
    <n v="9"/>
    <n v="9679"/>
    <x v="81"/>
    <s v="Annual"/>
    <n v="1"/>
    <n v="1"/>
    <n v="167964"/>
    <n v="167964"/>
  </r>
  <r>
    <x v="0"/>
    <n v="50"/>
    <x v="18"/>
    <x v="0"/>
    <x v="0"/>
    <n v="1005"/>
    <x v="19"/>
    <x v="0"/>
    <x v="32"/>
    <n v="3005"/>
    <x v="22"/>
    <n v="0"/>
    <x v="0"/>
    <s v="B 09"/>
    <n v="3"/>
    <n v="3006"/>
    <x v="450"/>
    <s v="Annual"/>
    <n v="1"/>
    <n v="1"/>
    <n v="51108"/>
    <n v="51108"/>
  </r>
  <r>
    <x v="0"/>
    <n v="50"/>
    <x v="18"/>
    <x v="0"/>
    <x v="0"/>
    <n v="1005"/>
    <x v="19"/>
    <x v="0"/>
    <x v="32"/>
    <n v="3005"/>
    <x v="22"/>
    <n v="0"/>
    <x v="0"/>
    <s v="BX 17"/>
    <n v="20"/>
    <n v="1327"/>
    <x v="596"/>
    <s v="Annual"/>
    <n v="1"/>
    <n v="1"/>
    <n v="118956"/>
    <n v="118956"/>
  </r>
  <r>
    <x v="0"/>
    <n v="50"/>
    <x v="18"/>
    <x v="0"/>
    <x v="0"/>
    <n v="1005"/>
    <x v="19"/>
    <x v="0"/>
    <x v="32"/>
    <n v="3005"/>
    <x v="22"/>
    <n v="0"/>
    <x v="0"/>
    <s v="BX 17"/>
    <n v="20"/>
    <n v="1327"/>
    <x v="596"/>
    <s v="Annual"/>
    <n v="1"/>
    <n v="1"/>
    <n v="93384"/>
    <n v="93384"/>
  </r>
  <r>
    <x v="0"/>
    <n v="50"/>
    <x v="18"/>
    <x v="0"/>
    <x v="0"/>
    <n v="1005"/>
    <x v="19"/>
    <x v="0"/>
    <x v="32"/>
    <n v="3005"/>
    <x v="22"/>
    <n v="0"/>
    <x v="0"/>
    <s v="B 15"/>
    <n v="1"/>
    <n v="1302"/>
    <x v="83"/>
    <s v="Annual"/>
    <n v="1"/>
    <n v="1"/>
    <n v="93504"/>
    <n v="93504"/>
  </r>
  <r>
    <x v="0"/>
    <n v="50"/>
    <x v="18"/>
    <x v="0"/>
    <x v="0"/>
    <n v="1005"/>
    <x v="19"/>
    <x v="0"/>
    <x v="32"/>
    <n v="3005"/>
    <x v="22"/>
    <n v="0"/>
    <x v="0"/>
    <s v="B 13"/>
    <n v="1"/>
    <n v="1301"/>
    <x v="227"/>
    <s v="Annual"/>
    <n v="1"/>
    <n v="1"/>
    <n v="103608"/>
    <n v="103608"/>
  </r>
  <r>
    <x v="0"/>
    <n v="50"/>
    <x v="18"/>
    <x v="0"/>
    <x v="0"/>
    <n v="1005"/>
    <x v="19"/>
    <x v="0"/>
    <x v="32"/>
    <n v="3005"/>
    <x v="22"/>
    <n v="0"/>
    <x v="0"/>
    <s v="B 13"/>
    <n v="1"/>
    <n v="1301"/>
    <x v="227"/>
    <s v="Annual"/>
    <n v="1"/>
    <n v="1"/>
    <n v="74172"/>
    <n v="74172"/>
  </r>
  <r>
    <x v="0"/>
    <n v="50"/>
    <x v="18"/>
    <x v="0"/>
    <x v="0"/>
    <n v="1005"/>
    <x v="19"/>
    <x v="0"/>
    <x v="32"/>
    <n v="3005"/>
    <x v="22"/>
    <n v="0"/>
    <x v="0"/>
    <s v="B 13"/>
    <n v="1"/>
    <n v="1301"/>
    <x v="227"/>
    <s v="Annual"/>
    <n v="1"/>
    <n v="1"/>
    <n v="70752"/>
    <n v="70752"/>
  </r>
  <r>
    <x v="0"/>
    <n v="50"/>
    <x v="18"/>
    <x v="0"/>
    <x v="0"/>
    <n v="1005"/>
    <x v="19"/>
    <x v="0"/>
    <x v="32"/>
    <n v="3005"/>
    <x v="22"/>
    <n v="0"/>
    <x v="0"/>
    <s v="B 13"/>
    <n v="1"/>
    <n v="1301"/>
    <x v="227"/>
    <s v="Annual"/>
    <n v="1"/>
    <n v="1"/>
    <n v="68616"/>
    <n v="68616"/>
  </r>
  <r>
    <x v="0"/>
    <n v="50"/>
    <x v="18"/>
    <x v="0"/>
    <x v="0"/>
    <n v="1005"/>
    <x v="19"/>
    <x v="0"/>
    <x v="32"/>
    <n v="3005"/>
    <x v="22"/>
    <n v="0"/>
    <x v="0"/>
    <s v="GY 08"/>
    <n v="20"/>
    <n v="1141"/>
    <x v="79"/>
    <s v="Annual"/>
    <n v="1"/>
    <n v="1"/>
    <n v="93156"/>
    <n v="93156"/>
  </r>
  <r>
    <x v="0"/>
    <n v="50"/>
    <x v="18"/>
    <x v="0"/>
    <x v="0"/>
    <n v="1005"/>
    <x v="19"/>
    <x v="0"/>
    <x v="32"/>
    <n v="3005"/>
    <x v="22"/>
    <n v="0"/>
    <x v="0"/>
    <s v="G 06"/>
    <n v="4"/>
    <n v="684"/>
    <x v="536"/>
    <s v="Annual"/>
    <n v="1"/>
    <n v="1"/>
    <n v="81636"/>
    <n v="81636"/>
  </r>
  <r>
    <x v="0"/>
    <n v="50"/>
    <x v="18"/>
    <x v="0"/>
    <x v="0"/>
    <n v="1005"/>
    <x v="19"/>
    <x v="0"/>
    <x v="32"/>
    <n v="3005"/>
    <x v="22"/>
    <n v="0"/>
    <x v="0"/>
    <s v="G 08"/>
    <n v="4"/>
    <n v="673"/>
    <x v="218"/>
    <s v="Annual"/>
    <n v="1"/>
    <n v="1"/>
    <n v="141564"/>
    <n v="141564"/>
  </r>
  <r>
    <x v="0"/>
    <n v="50"/>
    <x v="18"/>
    <x v="0"/>
    <x v="0"/>
    <n v="1005"/>
    <x v="19"/>
    <x v="0"/>
    <x v="32"/>
    <n v="3005"/>
    <x v="22"/>
    <n v="0"/>
    <x v="0"/>
    <s v="G 08"/>
    <n v="4"/>
    <n v="635"/>
    <x v="242"/>
    <s v="Annual"/>
    <n v="1"/>
    <n v="1"/>
    <n v="112536"/>
    <n v="112536"/>
  </r>
  <r>
    <x v="0"/>
    <n v="50"/>
    <x v="18"/>
    <x v="0"/>
    <x v="0"/>
    <n v="1005"/>
    <x v="19"/>
    <x v="0"/>
    <x v="32"/>
    <n v="3005"/>
    <x v="22"/>
    <n v="0"/>
    <x v="0"/>
    <s v="G 08"/>
    <n v="4"/>
    <n v="635"/>
    <x v="242"/>
    <s v="Annual"/>
    <n v="1"/>
    <n v="1"/>
    <n v="107628"/>
    <n v="107628"/>
  </r>
  <r>
    <x v="0"/>
    <n v="50"/>
    <x v="18"/>
    <x v="0"/>
    <x v="0"/>
    <n v="1005"/>
    <x v="19"/>
    <x v="0"/>
    <x v="32"/>
    <n v="3005"/>
    <x v="22"/>
    <n v="0"/>
    <x v="0"/>
    <s v="X 33"/>
    <n v="0"/>
    <n v="603"/>
    <x v="243"/>
    <s v="Annual"/>
    <n v="1"/>
    <n v="1"/>
    <n v="146808"/>
    <n v="146808"/>
  </r>
  <r>
    <x v="0"/>
    <n v="50"/>
    <x v="18"/>
    <x v="0"/>
    <x v="0"/>
    <n v="1005"/>
    <x v="19"/>
    <x v="0"/>
    <x v="32"/>
    <n v="3005"/>
    <x v="22"/>
    <n v="0"/>
    <x v="0"/>
    <s v="X 33"/>
    <n v="0"/>
    <n v="601"/>
    <x v="332"/>
    <s v="Annual"/>
    <n v="1"/>
    <n v="1"/>
    <n v="153384"/>
    <n v="153384"/>
  </r>
  <r>
    <x v="0"/>
    <n v="50"/>
    <x v="18"/>
    <x v="0"/>
    <x v="0"/>
    <n v="1005"/>
    <x v="19"/>
    <x v="0"/>
    <x v="32"/>
    <n v="3005"/>
    <x v="22"/>
    <n v="0"/>
    <x v="0"/>
    <s v="B 09"/>
    <n v="1"/>
    <n v="460"/>
    <x v="344"/>
    <s v="Annual"/>
    <n v="1"/>
    <n v="1"/>
    <n v="82140"/>
    <n v="82140"/>
  </r>
  <r>
    <x v="0"/>
    <n v="50"/>
    <x v="18"/>
    <x v="0"/>
    <x v="0"/>
    <n v="1005"/>
    <x v="19"/>
    <x v="0"/>
    <x v="32"/>
    <n v="3005"/>
    <x v="22"/>
    <n v="0"/>
    <x v="0"/>
    <s v="BX 17"/>
    <n v="20"/>
    <n v="381"/>
    <x v="296"/>
    <s v="Annual"/>
    <n v="1"/>
    <n v="1"/>
    <n v="85128"/>
    <n v="85128"/>
  </r>
  <r>
    <x v="0"/>
    <n v="50"/>
    <x v="18"/>
    <x v="0"/>
    <x v="0"/>
    <n v="1005"/>
    <x v="19"/>
    <x v="0"/>
    <x v="32"/>
    <n v="3005"/>
    <x v="22"/>
    <n v="0"/>
    <x v="0"/>
    <s v="B 13"/>
    <n v="4"/>
    <n v="378"/>
    <x v="597"/>
    <s v="Annual"/>
    <n v="1"/>
    <n v="1"/>
    <n v="103608"/>
    <n v="103608"/>
  </r>
  <r>
    <x v="0"/>
    <n v="50"/>
    <x v="18"/>
    <x v="0"/>
    <x v="0"/>
    <n v="1005"/>
    <x v="19"/>
    <x v="0"/>
    <x v="32"/>
    <n v="3005"/>
    <x v="22"/>
    <n v="0"/>
    <x v="0"/>
    <s v="BX 13"/>
    <n v="20"/>
    <n v="366"/>
    <x v="219"/>
    <s v="Annual"/>
    <n v="1"/>
    <n v="1"/>
    <n v="66516"/>
    <n v="66516"/>
  </r>
  <r>
    <x v="0"/>
    <n v="50"/>
    <x v="18"/>
    <x v="0"/>
    <x v="0"/>
    <n v="1005"/>
    <x v="19"/>
    <x v="0"/>
    <x v="32"/>
    <n v="3005"/>
    <x v="22"/>
    <n v="0"/>
    <x v="0"/>
    <s v="B 13"/>
    <n v="1"/>
    <n v="308"/>
    <x v="90"/>
    <s v="Annual"/>
    <n v="1"/>
    <n v="1"/>
    <n v="68616"/>
    <n v="68616"/>
  </r>
  <r>
    <x v="0"/>
    <n v="50"/>
    <x v="18"/>
    <x v="0"/>
    <x v="0"/>
    <n v="1005"/>
    <x v="19"/>
    <x v="0"/>
    <x v="32"/>
    <n v="3005"/>
    <x v="22"/>
    <n v="0"/>
    <x v="0"/>
    <s v="1 00"/>
    <n v="0"/>
    <n v="15"/>
    <x v="37"/>
    <s v="Annual"/>
    <n v="0"/>
    <n v="0"/>
    <n v="34890"/>
    <n v="34890"/>
  </r>
  <r>
    <x v="0"/>
    <n v="50"/>
    <x v="18"/>
    <x v="0"/>
    <x v="0"/>
    <n v="1005"/>
    <x v="19"/>
    <x v="0"/>
    <x v="32"/>
    <n v="3006"/>
    <x v="42"/>
    <n v="0"/>
    <x v="0"/>
    <s v="X 32"/>
    <n v="9"/>
    <n v="9679"/>
    <x v="81"/>
    <s v="Annual"/>
    <n v="1"/>
    <n v="1"/>
    <n v="167964"/>
    <n v="167964"/>
  </r>
  <r>
    <x v="0"/>
    <n v="50"/>
    <x v="18"/>
    <x v="0"/>
    <x v="0"/>
    <n v="1005"/>
    <x v="19"/>
    <x v="0"/>
    <x v="32"/>
    <n v="3006"/>
    <x v="42"/>
    <n v="0"/>
    <x v="0"/>
    <s v="B 14"/>
    <n v="1"/>
    <n v="1576"/>
    <x v="246"/>
    <s v="Annual"/>
    <n v="1"/>
    <n v="1"/>
    <n v="98928"/>
    <n v="98928"/>
  </r>
  <r>
    <x v="0"/>
    <n v="50"/>
    <x v="18"/>
    <x v="0"/>
    <x v="0"/>
    <n v="1005"/>
    <x v="19"/>
    <x v="0"/>
    <x v="32"/>
    <n v="3006"/>
    <x v="42"/>
    <n v="0"/>
    <x v="0"/>
    <s v="B 10"/>
    <n v="1"/>
    <s v="03A7"/>
    <x v="4"/>
    <s v="Annual"/>
    <n v="1"/>
    <n v="1"/>
    <n v="90144"/>
    <n v="90144"/>
  </r>
  <r>
    <x v="0"/>
    <n v="50"/>
    <x v="18"/>
    <x v="0"/>
    <x v="0"/>
    <n v="1005"/>
    <x v="19"/>
    <x v="0"/>
    <x v="32"/>
    <n v="3006"/>
    <x v="42"/>
    <n v="0"/>
    <x v="0"/>
    <s v="B 10"/>
    <n v="1"/>
    <s v="03A7"/>
    <x v="4"/>
    <s v="Annual"/>
    <n v="1"/>
    <n v="1"/>
    <n v="56124"/>
    <n v="56124"/>
  </r>
  <r>
    <x v="0"/>
    <n v="50"/>
    <x v="18"/>
    <x v="0"/>
    <x v="0"/>
    <n v="1005"/>
    <x v="19"/>
    <x v="0"/>
    <x v="32"/>
    <n v="3006"/>
    <x v="42"/>
    <n v="0"/>
    <x v="0"/>
    <s v="B 13"/>
    <n v="1"/>
    <n v="308"/>
    <x v="90"/>
    <s v="Annual"/>
    <n v="1"/>
    <n v="1"/>
    <n v="119100"/>
    <n v="119100"/>
  </r>
  <r>
    <x v="0"/>
    <n v="50"/>
    <x v="18"/>
    <x v="0"/>
    <x v="0"/>
    <n v="1005"/>
    <x v="19"/>
    <x v="0"/>
    <x v="32"/>
    <n v="3006"/>
    <x v="42"/>
    <n v="0"/>
    <x v="0"/>
    <s v="GY 10"/>
    <n v="20"/>
    <n v="120"/>
    <x v="251"/>
    <s v="Annual"/>
    <n v="1"/>
    <n v="1"/>
    <n v="115992"/>
    <n v="115992"/>
  </r>
  <r>
    <x v="0"/>
    <n v="50"/>
    <x v="18"/>
    <x v="0"/>
    <x v="0"/>
    <n v="1005"/>
    <x v="19"/>
    <x v="0"/>
    <x v="32"/>
    <n v="3006"/>
    <x v="42"/>
    <n v="0"/>
    <x v="0"/>
    <s v="X 33"/>
    <n v="0"/>
    <n v="118"/>
    <x v="92"/>
    <s v="Annual"/>
    <n v="1"/>
    <n v="1"/>
    <n v="153384"/>
    <n v="153384"/>
  </r>
  <r>
    <x v="0"/>
    <n v="50"/>
    <x v="18"/>
    <x v="0"/>
    <x v="0"/>
    <n v="1005"/>
    <x v="19"/>
    <x v="0"/>
    <x v="32"/>
    <n v="3006"/>
    <x v="42"/>
    <n v="0"/>
    <x v="0"/>
    <s v="X 33"/>
    <n v="0"/>
    <n v="118"/>
    <x v="92"/>
    <s v="Annual"/>
    <n v="1"/>
    <n v="1"/>
    <n v="146808"/>
    <n v="146808"/>
  </r>
  <r>
    <x v="0"/>
    <n v="50"/>
    <x v="18"/>
    <x v="0"/>
    <x v="0"/>
    <n v="1005"/>
    <x v="19"/>
    <x v="0"/>
    <x v="32"/>
    <n v="3006"/>
    <x v="42"/>
    <n v="0"/>
    <x v="0"/>
    <s v="B 13"/>
    <n v="4"/>
    <n v="110"/>
    <x v="93"/>
    <s v="Annual"/>
    <n v="3"/>
    <n v="1"/>
    <n v="119100"/>
    <n v="357300"/>
  </r>
  <r>
    <x v="0"/>
    <n v="50"/>
    <x v="18"/>
    <x v="0"/>
    <x v="0"/>
    <n v="1005"/>
    <x v="19"/>
    <x v="0"/>
    <x v="32"/>
    <n v="3006"/>
    <x v="42"/>
    <n v="0"/>
    <x v="0"/>
    <s v="B 11"/>
    <n v="1"/>
    <n v="109"/>
    <x v="94"/>
    <s v="Annual"/>
    <n v="1"/>
    <n v="1"/>
    <n v="98928"/>
    <n v="98928"/>
  </r>
  <r>
    <x v="0"/>
    <n v="50"/>
    <x v="18"/>
    <x v="0"/>
    <x v="0"/>
    <n v="1005"/>
    <x v="19"/>
    <x v="0"/>
    <x v="32"/>
    <n v="3006"/>
    <x v="42"/>
    <n v="0"/>
    <x v="0"/>
    <s v="B 11"/>
    <n v="1"/>
    <n v="109"/>
    <x v="94"/>
    <s v="Annual"/>
    <n v="1"/>
    <n v="1"/>
    <n v="94452"/>
    <n v="94452"/>
  </r>
  <r>
    <x v="0"/>
    <n v="50"/>
    <x v="18"/>
    <x v="0"/>
    <x v="0"/>
    <n v="1005"/>
    <x v="19"/>
    <x v="0"/>
    <x v="32"/>
    <n v="3006"/>
    <x v="42"/>
    <n v="0"/>
    <x v="0"/>
    <s v="1 00"/>
    <n v="0"/>
    <n v="15"/>
    <x v="37"/>
    <s v="Annual"/>
    <n v="0"/>
    <n v="0"/>
    <n v="13846"/>
    <n v="13846"/>
  </r>
  <r>
    <x v="0"/>
    <n v="50"/>
    <x v="18"/>
    <x v="0"/>
    <x v="0"/>
    <n v="1005"/>
    <x v="19"/>
    <x v="0"/>
    <x v="32"/>
    <n v="3011"/>
    <x v="141"/>
    <n v="0"/>
    <x v="0"/>
    <s v="BX 18"/>
    <n v="10"/>
    <n v="310"/>
    <x v="135"/>
    <s v="Annual"/>
    <n v="2"/>
    <n v="1"/>
    <n v="107340"/>
    <n v="214680"/>
  </r>
  <r>
    <x v="0"/>
    <n v="50"/>
    <x v="18"/>
    <x v="0"/>
    <x v="0"/>
    <n v="1005"/>
    <x v="19"/>
    <x v="0"/>
    <x v="32"/>
    <n v="3011"/>
    <x v="141"/>
    <n v="0"/>
    <x v="0"/>
    <s v="BX 16"/>
    <n v="20"/>
    <n v="309"/>
    <x v="598"/>
    <s v="Annual"/>
    <n v="1"/>
    <n v="1"/>
    <n v="76476"/>
    <n v="76476"/>
  </r>
  <r>
    <x v="0"/>
    <n v="50"/>
    <x v="18"/>
    <x v="0"/>
    <x v="0"/>
    <n v="1005"/>
    <x v="19"/>
    <x v="0"/>
    <x v="32"/>
    <n v="3011"/>
    <x v="141"/>
    <n v="0"/>
    <x v="0"/>
    <s v="1 00"/>
    <n v="0"/>
    <n v="15"/>
    <x v="37"/>
    <s v="Annual"/>
    <n v="0"/>
    <n v="0"/>
    <n v="1824"/>
    <n v="1824"/>
  </r>
  <r>
    <x v="0"/>
    <n v="50"/>
    <x v="18"/>
    <x v="0"/>
    <x v="0"/>
    <n v="1005"/>
    <x v="19"/>
    <x v="0"/>
    <x v="32"/>
    <n v="3025"/>
    <x v="142"/>
    <n v="0"/>
    <x v="0"/>
    <s v="X 32"/>
    <n v="9"/>
    <n v="9679"/>
    <x v="81"/>
    <s v="Annual"/>
    <n v="1"/>
    <n v="1"/>
    <n v="139140"/>
    <n v="139140"/>
  </r>
  <r>
    <x v="0"/>
    <n v="50"/>
    <x v="18"/>
    <x v="0"/>
    <x v="0"/>
    <n v="1005"/>
    <x v="19"/>
    <x v="0"/>
    <x v="32"/>
    <n v="3025"/>
    <x v="142"/>
    <n v="0"/>
    <x v="0"/>
    <s v="B 15"/>
    <n v="1"/>
    <n v="3955"/>
    <x v="599"/>
    <s v="Annual"/>
    <n v="1"/>
    <n v="1"/>
    <n v="143400"/>
    <n v="143400"/>
  </r>
  <r>
    <x v="0"/>
    <n v="50"/>
    <x v="18"/>
    <x v="0"/>
    <x v="0"/>
    <n v="1005"/>
    <x v="19"/>
    <x v="0"/>
    <x v="32"/>
    <n v="3025"/>
    <x v="142"/>
    <n v="0"/>
    <x v="0"/>
    <s v="B 15"/>
    <n v="1"/>
    <n v="3955"/>
    <x v="599"/>
    <s v="Annual"/>
    <n v="3"/>
    <n v="1"/>
    <n v="130668"/>
    <n v="392004"/>
  </r>
  <r>
    <x v="0"/>
    <n v="50"/>
    <x v="18"/>
    <x v="0"/>
    <x v="0"/>
    <n v="1005"/>
    <x v="19"/>
    <x v="0"/>
    <x v="32"/>
    <n v="3025"/>
    <x v="142"/>
    <n v="0"/>
    <x v="0"/>
    <s v="B 15"/>
    <n v="1"/>
    <n v="3955"/>
    <x v="599"/>
    <s v="Annual"/>
    <n v="2"/>
    <n v="1"/>
    <n v="124848"/>
    <n v="249696"/>
  </r>
  <r>
    <x v="0"/>
    <n v="50"/>
    <x v="18"/>
    <x v="0"/>
    <x v="0"/>
    <n v="1005"/>
    <x v="19"/>
    <x v="0"/>
    <x v="32"/>
    <n v="3025"/>
    <x v="142"/>
    <n v="0"/>
    <x v="0"/>
    <s v="B 15"/>
    <n v="1"/>
    <n v="3955"/>
    <x v="599"/>
    <s v="Annual"/>
    <n v="1"/>
    <n v="1"/>
    <n v="97956"/>
    <n v="97956"/>
  </r>
  <r>
    <x v="0"/>
    <n v="50"/>
    <x v="18"/>
    <x v="0"/>
    <x v="0"/>
    <n v="1005"/>
    <x v="19"/>
    <x v="0"/>
    <x v="32"/>
    <n v="3025"/>
    <x v="142"/>
    <n v="0"/>
    <x v="0"/>
    <s v="B 15"/>
    <n v="1"/>
    <n v="3955"/>
    <x v="599"/>
    <s v="Annual"/>
    <n v="1"/>
    <n v="1"/>
    <n v="93504"/>
    <n v="93504"/>
  </r>
  <r>
    <x v="0"/>
    <n v="50"/>
    <x v="18"/>
    <x v="0"/>
    <x v="0"/>
    <n v="1005"/>
    <x v="19"/>
    <x v="0"/>
    <x v="32"/>
    <n v="3025"/>
    <x v="142"/>
    <n v="0"/>
    <x v="0"/>
    <s v="B 15"/>
    <n v="1"/>
    <n v="3955"/>
    <x v="599"/>
    <s v="Annual"/>
    <n v="1"/>
    <n v="1"/>
    <n v="89244"/>
    <n v="89244"/>
  </r>
  <r>
    <x v="0"/>
    <n v="50"/>
    <x v="18"/>
    <x v="0"/>
    <x v="0"/>
    <n v="1005"/>
    <x v="19"/>
    <x v="0"/>
    <x v="32"/>
    <n v="3025"/>
    <x v="142"/>
    <n v="0"/>
    <x v="0"/>
    <s v="BX 16"/>
    <n v="10"/>
    <n v="3858"/>
    <x v="544"/>
    <s v="Annual"/>
    <n v="1"/>
    <n v="1"/>
    <n v="85128"/>
    <n v="85128"/>
  </r>
  <r>
    <x v="0"/>
    <n v="50"/>
    <x v="18"/>
    <x v="0"/>
    <x v="0"/>
    <n v="1005"/>
    <x v="19"/>
    <x v="0"/>
    <x v="32"/>
    <n v="3025"/>
    <x v="142"/>
    <n v="0"/>
    <x v="0"/>
    <s v="X 33"/>
    <n v="0"/>
    <n v="3018"/>
    <x v="600"/>
    <s v="Annual"/>
    <n v="4"/>
    <n v="1"/>
    <n v="146808"/>
    <n v="587232"/>
  </r>
  <r>
    <x v="0"/>
    <n v="50"/>
    <x v="18"/>
    <x v="0"/>
    <x v="0"/>
    <n v="1005"/>
    <x v="19"/>
    <x v="0"/>
    <x v="32"/>
    <n v="3025"/>
    <x v="142"/>
    <n v="0"/>
    <x v="0"/>
    <s v="BX 18"/>
    <n v="10"/>
    <n v="310"/>
    <x v="135"/>
    <s v="Annual"/>
    <n v="3"/>
    <n v="1"/>
    <n v="107340"/>
    <n v="322020"/>
  </r>
  <r>
    <x v="0"/>
    <n v="50"/>
    <x v="18"/>
    <x v="0"/>
    <x v="0"/>
    <n v="1005"/>
    <x v="19"/>
    <x v="0"/>
    <x v="32"/>
    <n v="3025"/>
    <x v="142"/>
    <n v="0"/>
    <x v="0"/>
    <s v="B 13"/>
    <n v="1"/>
    <n v="308"/>
    <x v="90"/>
    <s v="Annual"/>
    <n v="1"/>
    <n v="1"/>
    <n v="74172"/>
    <n v="74172"/>
  </r>
  <r>
    <x v="0"/>
    <n v="50"/>
    <x v="18"/>
    <x v="0"/>
    <x v="0"/>
    <n v="1005"/>
    <x v="19"/>
    <x v="0"/>
    <x v="32"/>
    <n v="3025"/>
    <x v="142"/>
    <n v="0"/>
    <x v="0"/>
    <s v="1 00"/>
    <n v="0"/>
    <n v="15"/>
    <x v="37"/>
    <s v="Annual"/>
    <n v="0"/>
    <n v="0"/>
    <n v="24009"/>
    <n v="24009"/>
  </r>
  <r>
    <x v="0"/>
    <n v="50"/>
    <x v="18"/>
    <x v="0"/>
    <x v="0"/>
    <n v="1005"/>
    <x v="19"/>
    <x v="0"/>
    <x v="32"/>
    <n v="3030"/>
    <x v="143"/>
    <n v="0"/>
    <x v="0"/>
    <s v="X 32"/>
    <n v="9"/>
    <n v="9679"/>
    <x v="81"/>
    <s v="Annual"/>
    <n v="1"/>
    <n v="1"/>
    <n v="157332"/>
    <n v="157332"/>
  </r>
  <r>
    <x v="0"/>
    <n v="50"/>
    <x v="18"/>
    <x v="0"/>
    <x v="0"/>
    <n v="1005"/>
    <x v="19"/>
    <x v="0"/>
    <x v="32"/>
    <n v="3030"/>
    <x v="143"/>
    <n v="0"/>
    <x v="0"/>
    <s v="B 13"/>
    <n v="3"/>
    <n v="3825"/>
    <x v="552"/>
    <s v="Annual"/>
    <n v="1"/>
    <n v="1"/>
    <n v="77640"/>
    <n v="77640"/>
  </r>
  <r>
    <x v="0"/>
    <n v="50"/>
    <x v="18"/>
    <x v="0"/>
    <x v="0"/>
    <n v="1005"/>
    <x v="19"/>
    <x v="0"/>
    <x v="32"/>
    <n v="3030"/>
    <x v="143"/>
    <n v="0"/>
    <x v="0"/>
    <s v="B 13"/>
    <n v="3"/>
    <n v="3824"/>
    <x v="601"/>
    <s v="Annual"/>
    <n v="2"/>
    <n v="1"/>
    <n v="68616"/>
    <n v="137232"/>
  </r>
  <r>
    <x v="0"/>
    <n v="50"/>
    <x v="18"/>
    <x v="0"/>
    <x v="0"/>
    <n v="1005"/>
    <x v="19"/>
    <x v="0"/>
    <x v="32"/>
    <n v="3030"/>
    <x v="143"/>
    <n v="0"/>
    <x v="0"/>
    <s v="X 33"/>
    <n v="0"/>
    <n v="3019"/>
    <x v="602"/>
    <s v="Annual"/>
    <n v="2"/>
    <n v="1"/>
    <n v="137532"/>
    <n v="275064"/>
  </r>
  <r>
    <x v="0"/>
    <n v="50"/>
    <x v="18"/>
    <x v="0"/>
    <x v="0"/>
    <n v="1005"/>
    <x v="19"/>
    <x v="0"/>
    <x v="32"/>
    <n v="3030"/>
    <x v="143"/>
    <n v="0"/>
    <x v="0"/>
    <s v="X 33"/>
    <n v="0"/>
    <n v="3019"/>
    <x v="602"/>
    <s v="Annual"/>
    <n v="1"/>
    <n v="1"/>
    <n v="121668"/>
    <n v="121668"/>
  </r>
  <r>
    <x v="0"/>
    <n v="50"/>
    <x v="18"/>
    <x v="0"/>
    <x v="0"/>
    <n v="1005"/>
    <x v="19"/>
    <x v="0"/>
    <x v="32"/>
    <n v="3030"/>
    <x v="143"/>
    <n v="0"/>
    <x v="0"/>
    <s v="BX 17"/>
    <n v="20"/>
    <n v="3011"/>
    <x v="603"/>
    <s v="Annual"/>
    <n v="1"/>
    <n v="1"/>
    <n v="113568"/>
    <n v="113568"/>
  </r>
  <r>
    <x v="0"/>
    <n v="50"/>
    <x v="18"/>
    <x v="0"/>
    <x v="0"/>
    <n v="1005"/>
    <x v="19"/>
    <x v="0"/>
    <x v="32"/>
    <n v="3030"/>
    <x v="143"/>
    <n v="0"/>
    <x v="0"/>
    <s v="B 14"/>
    <n v="4"/>
    <n v="1912"/>
    <x v="222"/>
    <s v="Annual"/>
    <n v="1"/>
    <n v="1"/>
    <n v="81324"/>
    <n v="81324"/>
  </r>
  <r>
    <x v="0"/>
    <n v="50"/>
    <x v="18"/>
    <x v="0"/>
    <x v="0"/>
    <n v="1005"/>
    <x v="19"/>
    <x v="0"/>
    <x v="32"/>
    <n v="3030"/>
    <x v="143"/>
    <n v="0"/>
    <x v="0"/>
    <s v="GY 08"/>
    <n v="20"/>
    <n v="1141"/>
    <x v="79"/>
    <s v="Annual"/>
    <n v="1"/>
    <n v="1"/>
    <n v="85236"/>
    <n v="85236"/>
  </r>
  <r>
    <x v="0"/>
    <n v="50"/>
    <x v="18"/>
    <x v="0"/>
    <x v="0"/>
    <n v="1005"/>
    <x v="19"/>
    <x v="0"/>
    <x v="32"/>
    <n v="3030"/>
    <x v="143"/>
    <n v="0"/>
    <x v="0"/>
    <s v="BX 18"/>
    <n v="10"/>
    <n v="310"/>
    <x v="135"/>
    <s v="Annual"/>
    <n v="3"/>
    <n v="1"/>
    <n v="107340"/>
    <n v="322020"/>
  </r>
  <r>
    <x v="0"/>
    <n v="50"/>
    <x v="18"/>
    <x v="0"/>
    <x v="0"/>
    <n v="1005"/>
    <x v="19"/>
    <x v="0"/>
    <x v="32"/>
    <n v="3030"/>
    <x v="143"/>
    <n v="0"/>
    <x v="0"/>
    <s v="BX 18"/>
    <n v="10"/>
    <n v="310"/>
    <x v="135"/>
    <s v="Annual"/>
    <n v="8"/>
    <n v="1"/>
    <n v="102444"/>
    <n v="819552"/>
  </r>
  <r>
    <x v="0"/>
    <n v="50"/>
    <x v="18"/>
    <x v="0"/>
    <x v="0"/>
    <n v="1005"/>
    <x v="19"/>
    <x v="0"/>
    <x v="32"/>
    <n v="3030"/>
    <x v="143"/>
    <n v="0"/>
    <x v="0"/>
    <s v="BX 18"/>
    <n v="10"/>
    <n v="310"/>
    <x v="135"/>
    <s v="Annual"/>
    <n v="1"/>
    <n v="1"/>
    <n v="89112"/>
    <n v="89112"/>
  </r>
  <r>
    <x v="0"/>
    <n v="50"/>
    <x v="18"/>
    <x v="0"/>
    <x v="0"/>
    <n v="1005"/>
    <x v="19"/>
    <x v="0"/>
    <x v="32"/>
    <n v="3030"/>
    <x v="143"/>
    <n v="0"/>
    <x v="0"/>
    <s v="1 00"/>
    <n v="0"/>
    <n v="15"/>
    <x v="37"/>
    <s v="Annual"/>
    <n v="0"/>
    <n v="0"/>
    <n v="35430"/>
    <n v="35430"/>
  </r>
  <r>
    <x v="0"/>
    <n v="51"/>
    <x v="19"/>
    <x v="0"/>
    <x v="0"/>
    <n v="1005"/>
    <x v="20"/>
    <x v="0"/>
    <x v="33"/>
    <n v="3005"/>
    <x v="22"/>
    <n v="0"/>
    <x v="0"/>
    <s v="1 00"/>
    <n v="9"/>
    <n v="9951"/>
    <x v="604"/>
    <s v="Annual"/>
    <n v="1"/>
    <n v="1"/>
    <n v="223740"/>
    <n v="223740"/>
  </r>
  <r>
    <x v="0"/>
    <n v="51"/>
    <x v="19"/>
    <x v="0"/>
    <x v="0"/>
    <n v="1005"/>
    <x v="20"/>
    <x v="0"/>
    <x v="33"/>
    <n v="3005"/>
    <x v="22"/>
    <n v="0"/>
    <x v="0"/>
    <s v="X 31"/>
    <n v="0"/>
    <n v="9812"/>
    <x v="239"/>
    <s v="Annual"/>
    <n v="1"/>
    <n v="1"/>
    <n v="211200"/>
    <n v="211200"/>
  </r>
  <r>
    <x v="0"/>
    <n v="51"/>
    <x v="19"/>
    <x v="0"/>
    <x v="0"/>
    <n v="1005"/>
    <x v="20"/>
    <x v="0"/>
    <x v="33"/>
    <n v="3005"/>
    <x v="22"/>
    <n v="0"/>
    <x v="0"/>
    <s v="X 32"/>
    <n v="9"/>
    <n v="9684"/>
    <x v="76"/>
    <s v="Annual"/>
    <n v="1"/>
    <n v="1"/>
    <n v="139140"/>
    <n v="139140"/>
  </r>
  <r>
    <x v="0"/>
    <n v="51"/>
    <x v="19"/>
    <x v="0"/>
    <x v="0"/>
    <n v="1005"/>
    <x v="20"/>
    <x v="0"/>
    <x v="33"/>
    <n v="3005"/>
    <x v="22"/>
    <n v="0"/>
    <x v="0"/>
    <s v="BX 16"/>
    <n v="10"/>
    <n v="802"/>
    <x v="30"/>
    <s v="Annual"/>
    <n v="1"/>
    <n v="1"/>
    <n v="83052"/>
    <n v="83052"/>
  </r>
  <r>
    <x v="0"/>
    <n v="51"/>
    <x v="19"/>
    <x v="0"/>
    <x v="0"/>
    <n v="1005"/>
    <x v="20"/>
    <x v="0"/>
    <x v="33"/>
    <n v="3005"/>
    <x v="22"/>
    <n v="0"/>
    <x v="0"/>
    <s v="B 13"/>
    <n v="1"/>
    <n v="708"/>
    <x v="84"/>
    <s v="Annual"/>
    <n v="1"/>
    <n v="1"/>
    <n v="77640"/>
    <n v="77640"/>
  </r>
  <r>
    <x v="0"/>
    <n v="51"/>
    <x v="19"/>
    <x v="0"/>
    <x v="0"/>
    <n v="1005"/>
    <x v="20"/>
    <x v="0"/>
    <x v="33"/>
    <n v="3005"/>
    <x v="22"/>
    <n v="0"/>
    <x v="0"/>
    <s v="B 13"/>
    <n v="1"/>
    <n v="708"/>
    <x v="84"/>
    <s v="Annual"/>
    <n v="1"/>
    <n v="1"/>
    <n v="68616"/>
    <n v="68616"/>
  </r>
  <r>
    <x v="0"/>
    <n v="51"/>
    <x v="19"/>
    <x v="0"/>
    <x v="0"/>
    <n v="1005"/>
    <x v="20"/>
    <x v="0"/>
    <x v="33"/>
    <n v="3005"/>
    <x v="22"/>
    <n v="0"/>
    <x v="0"/>
    <s v="1 00"/>
    <n v="0"/>
    <n v="15"/>
    <x v="37"/>
    <s v="Annual"/>
    <n v="0"/>
    <n v="0"/>
    <n v="1923"/>
    <n v="1923"/>
  </r>
  <r>
    <x v="0"/>
    <n v="51"/>
    <x v="19"/>
    <x v="0"/>
    <x v="0"/>
    <n v="1005"/>
    <x v="20"/>
    <x v="0"/>
    <x v="33"/>
    <n v="3006"/>
    <x v="144"/>
    <n v="0"/>
    <x v="0"/>
    <s v="X 32"/>
    <n v="9"/>
    <n v="9684"/>
    <x v="76"/>
    <s v="Annual"/>
    <n v="1"/>
    <n v="1"/>
    <n v="167964"/>
    <n v="167964"/>
  </r>
  <r>
    <x v="0"/>
    <n v="51"/>
    <x v="19"/>
    <x v="0"/>
    <x v="0"/>
    <n v="1005"/>
    <x v="20"/>
    <x v="0"/>
    <x v="33"/>
    <n v="3006"/>
    <x v="144"/>
    <n v="0"/>
    <x v="0"/>
    <s v="2 0"/>
    <n v="54"/>
    <n v="9534"/>
    <x v="424"/>
    <s v="Hourly"/>
    <n v="2"/>
    <n v="1"/>
    <n v="51.4"/>
    <n v="213824"/>
  </r>
  <r>
    <x v="0"/>
    <n v="51"/>
    <x v="19"/>
    <x v="0"/>
    <x v="0"/>
    <n v="1005"/>
    <x v="20"/>
    <x v="0"/>
    <x v="33"/>
    <n v="3006"/>
    <x v="144"/>
    <n v="0"/>
    <x v="0"/>
    <s v="2 0"/>
    <n v="53"/>
    <n v="9532"/>
    <x v="391"/>
    <s v="Hourly"/>
    <n v="1"/>
    <n v="1"/>
    <n v="51.4"/>
    <n v="106912"/>
  </r>
  <r>
    <x v="0"/>
    <n v="51"/>
    <x v="19"/>
    <x v="0"/>
    <x v="0"/>
    <n v="1005"/>
    <x v="20"/>
    <x v="0"/>
    <x v="33"/>
    <n v="3006"/>
    <x v="144"/>
    <n v="0"/>
    <x v="0"/>
    <s v="B 12"/>
    <n v="1"/>
    <s v="03A8"/>
    <x v="88"/>
    <s v="Annual"/>
    <n v="1"/>
    <n v="1"/>
    <n v="64488"/>
    <n v="64488"/>
  </r>
  <r>
    <x v="0"/>
    <n v="51"/>
    <x v="19"/>
    <x v="0"/>
    <x v="0"/>
    <n v="1005"/>
    <x v="20"/>
    <x v="0"/>
    <x v="33"/>
    <n v="3006"/>
    <x v="144"/>
    <n v="0"/>
    <x v="0"/>
    <s v="BX 18"/>
    <n v="10"/>
    <n v="310"/>
    <x v="135"/>
    <s v="Annual"/>
    <n v="1"/>
    <n v="1"/>
    <n v="89112"/>
    <n v="89112"/>
  </r>
  <r>
    <x v="0"/>
    <n v="51"/>
    <x v="19"/>
    <x v="0"/>
    <x v="0"/>
    <n v="1005"/>
    <x v="20"/>
    <x v="0"/>
    <x v="33"/>
    <n v="3006"/>
    <x v="144"/>
    <n v="0"/>
    <x v="0"/>
    <s v="1 00"/>
    <n v="0"/>
    <n v="15"/>
    <x v="37"/>
    <s v="Annual"/>
    <n v="0"/>
    <n v="0"/>
    <n v="6236"/>
    <n v="6236"/>
  </r>
  <r>
    <x v="0"/>
    <n v="51"/>
    <x v="19"/>
    <x v="0"/>
    <x v="0"/>
    <n v="1005"/>
    <x v="20"/>
    <x v="0"/>
    <x v="33"/>
    <n v="3006"/>
    <x v="144"/>
    <n v="0"/>
    <x v="0"/>
    <s v="1 00"/>
    <n v="0"/>
    <n v="12"/>
    <x v="291"/>
    <s v="Annual"/>
    <n v="0"/>
    <n v="0"/>
    <n v="4811"/>
    <n v="4811"/>
  </r>
  <r>
    <x v="0"/>
    <n v="51"/>
    <x v="19"/>
    <x v="0"/>
    <x v="0"/>
    <n v="1005"/>
    <x v="20"/>
    <x v="0"/>
    <x v="33"/>
    <n v="3010"/>
    <x v="54"/>
    <n v="4005"/>
    <x v="80"/>
    <s v="X 31"/>
    <n v="9"/>
    <n v="9814"/>
    <x v="275"/>
    <s v="Annual"/>
    <n v="1"/>
    <n v="1"/>
    <n v="199800"/>
    <n v="199800"/>
  </r>
  <r>
    <x v="0"/>
    <n v="51"/>
    <x v="19"/>
    <x v="0"/>
    <x v="0"/>
    <n v="1005"/>
    <x v="20"/>
    <x v="0"/>
    <x v="33"/>
    <n v="3010"/>
    <x v="54"/>
    <n v="4005"/>
    <x v="80"/>
    <s v="B 13"/>
    <n v="1"/>
    <n v="308"/>
    <x v="90"/>
    <s v="Annual"/>
    <n v="1"/>
    <n v="1"/>
    <n v="113628"/>
    <n v="113628"/>
  </r>
  <r>
    <x v="0"/>
    <n v="51"/>
    <x v="19"/>
    <x v="0"/>
    <x v="0"/>
    <n v="1005"/>
    <x v="20"/>
    <x v="0"/>
    <x v="33"/>
    <n v="3010"/>
    <x v="54"/>
    <n v="4005"/>
    <x v="80"/>
    <s v="1 00"/>
    <n v="0"/>
    <n v="15"/>
    <x v="37"/>
    <s v="Annual"/>
    <n v="0"/>
    <n v="0"/>
    <n v="4521"/>
    <n v="4521"/>
  </r>
  <r>
    <x v="0"/>
    <n v="51"/>
    <x v="19"/>
    <x v="0"/>
    <x v="0"/>
    <n v="1005"/>
    <x v="20"/>
    <x v="0"/>
    <x v="33"/>
    <n v="3010"/>
    <x v="54"/>
    <n v="4010"/>
    <x v="81"/>
    <s v="X 32"/>
    <n v="9"/>
    <n v="9684"/>
    <x v="76"/>
    <s v="Annual"/>
    <n v="1"/>
    <n v="1"/>
    <n v="175512"/>
    <n v="175512"/>
  </r>
  <r>
    <x v="0"/>
    <n v="51"/>
    <x v="19"/>
    <x v="0"/>
    <x v="0"/>
    <n v="1005"/>
    <x v="20"/>
    <x v="0"/>
    <x v="33"/>
    <n v="3010"/>
    <x v="54"/>
    <n v="4010"/>
    <x v="81"/>
    <s v="B 14"/>
    <n v="1"/>
    <n v="1576"/>
    <x v="246"/>
    <s v="Annual"/>
    <n v="2"/>
    <n v="1"/>
    <n v="98928"/>
    <n v="197856"/>
  </r>
  <r>
    <x v="0"/>
    <n v="51"/>
    <x v="19"/>
    <x v="0"/>
    <x v="0"/>
    <n v="1005"/>
    <x v="20"/>
    <x v="0"/>
    <x v="33"/>
    <n v="3010"/>
    <x v="54"/>
    <n v="4010"/>
    <x v="81"/>
    <s v="B 14"/>
    <n v="1"/>
    <n v="1576"/>
    <x v="246"/>
    <s v="Annual"/>
    <n v="1"/>
    <n v="1"/>
    <n v="93504"/>
    <n v="93504"/>
  </r>
  <r>
    <x v="0"/>
    <n v="51"/>
    <x v="19"/>
    <x v="0"/>
    <x v="0"/>
    <n v="1005"/>
    <x v="20"/>
    <x v="0"/>
    <x v="33"/>
    <n v="3010"/>
    <x v="54"/>
    <n v="4010"/>
    <x v="81"/>
    <s v="B 10"/>
    <n v="1"/>
    <s v="03A7"/>
    <x v="4"/>
    <s v="Annual"/>
    <n v="1"/>
    <n v="1"/>
    <n v="90144"/>
    <n v="90144"/>
  </r>
  <r>
    <x v="0"/>
    <n v="51"/>
    <x v="19"/>
    <x v="0"/>
    <x v="0"/>
    <n v="1005"/>
    <x v="20"/>
    <x v="0"/>
    <x v="33"/>
    <n v="3010"/>
    <x v="54"/>
    <n v="4010"/>
    <x v="81"/>
    <s v="BX 18"/>
    <n v="20"/>
    <n v="394"/>
    <x v="68"/>
    <s v="Annual"/>
    <n v="1"/>
    <n v="1"/>
    <n v="143232"/>
    <n v="143232"/>
  </r>
  <r>
    <x v="0"/>
    <n v="51"/>
    <x v="19"/>
    <x v="0"/>
    <x v="0"/>
    <n v="1005"/>
    <x v="20"/>
    <x v="0"/>
    <x v="33"/>
    <n v="3010"/>
    <x v="54"/>
    <n v="4010"/>
    <x v="81"/>
    <s v="BX 17"/>
    <n v="20"/>
    <n v="381"/>
    <x v="296"/>
    <s v="Annual"/>
    <n v="1"/>
    <n v="1"/>
    <n v="136692"/>
    <n v="136692"/>
  </r>
  <r>
    <x v="0"/>
    <n v="51"/>
    <x v="19"/>
    <x v="0"/>
    <x v="0"/>
    <n v="1005"/>
    <x v="20"/>
    <x v="0"/>
    <x v="33"/>
    <n v="3010"/>
    <x v="54"/>
    <n v="4010"/>
    <x v="81"/>
    <s v="BX 17"/>
    <n v="20"/>
    <n v="381"/>
    <x v="296"/>
    <s v="Annual"/>
    <n v="1"/>
    <n v="1"/>
    <n v="89112"/>
    <n v="89112"/>
  </r>
  <r>
    <x v="0"/>
    <n v="51"/>
    <x v="19"/>
    <x v="0"/>
    <x v="0"/>
    <n v="1005"/>
    <x v="20"/>
    <x v="0"/>
    <x v="33"/>
    <n v="3010"/>
    <x v="54"/>
    <n v="4010"/>
    <x v="81"/>
    <s v="G 07"/>
    <n v="4"/>
    <n v="124"/>
    <x v="91"/>
    <s v="Annual"/>
    <n v="1"/>
    <n v="1"/>
    <n v="90144"/>
    <n v="90144"/>
  </r>
  <r>
    <x v="0"/>
    <n v="51"/>
    <x v="19"/>
    <x v="0"/>
    <x v="0"/>
    <n v="1005"/>
    <x v="20"/>
    <x v="0"/>
    <x v="33"/>
    <n v="3010"/>
    <x v="54"/>
    <n v="4010"/>
    <x v="81"/>
    <s v="B 16"/>
    <n v="1"/>
    <n v="123"/>
    <x v="605"/>
    <s v="Annual"/>
    <n v="1"/>
    <n v="1"/>
    <n v="112536"/>
    <n v="112536"/>
  </r>
  <r>
    <x v="0"/>
    <n v="51"/>
    <x v="19"/>
    <x v="0"/>
    <x v="0"/>
    <n v="1005"/>
    <x v="20"/>
    <x v="0"/>
    <x v="33"/>
    <n v="3010"/>
    <x v="54"/>
    <n v="4010"/>
    <x v="81"/>
    <s v="B 16"/>
    <n v="1"/>
    <n v="123"/>
    <x v="605"/>
    <s v="Annual"/>
    <n v="1"/>
    <n v="1"/>
    <n v="90732"/>
    <n v="90732"/>
  </r>
  <r>
    <x v="0"/>
    <n v="51"/>
    <x v="19"/>
    <x v="0"/>
    <x v="0"/>
    <n v="1005"/>
    <x v="20"/>
    <x v="0"/>
    <x v="33"/>
    <n v="3010"/>
    <x v="54"/>
    <n v="4010"/>
    <x v="81"/>
    <s v="X 33"/>
    <n v="0"/>
    <n v="118"/>
    <x v="92"/>
    <s v="Annual"/>
    <n v="1"/>
    <n v="1"/>
    <n v="146808"/>
    <n v="146808"/>
  </r>
  <r>
    <x v="0"/>
    <n v="51"/>
    <x v="19"/>
    <x v="0"/>
    <x v="0"/>
    <n v="1005"/>
    <x v="20"/>
    <x v="0"/>
    <x v="33"/>
    <n v="3010"/>
    <x v="54"/>
    <n v="4010"/>
    <x v="81"/>
    <s v="GY 12"/>
    <n v="20"/>
    <n v="117"/>
    <x v="606"/>
    <s v="Annual"/>
    <n v="2"/>
    <n v="1"/>
    <n v="115992"/>
    <n v="231984"/>
  </r>
  <r>
    <x v="0"/>
    <n v="51"/>
    <x v="19"/>
    <x v="0"/>
    <x v="0"/>
    <n v="1005"/>
    <x v="20"/>
    <x v="0"/>
    <x v="33"/>
    <n v="3010"/>
    <x v="54"/>
    <n v="4010"/>
    <x v="81"/>
    <s v="G 07"/>
    <n v="4"/>
    <n v="111"/>
    <x v="245"/>
    <s v="Annual"/>
    <n v="1"/>
    <n v="1"/>
    <n v="129636"/>
    <n v="129636"/>
  </r>
  <r>
    <x v="0"/>
    <n v="51"/>
    <x v="19"/>
    <x v="0"/>
    <x v="0"/>
    <n v="1005"/>
    <x v="20"/>
    <x v="0"/>
    <x v="33"/>
    <n v="3010"/>
    <x v="54"/>
    <n v="4010"/>
    <x v="81"/>
    <s v="B 13"/>
    <n v="4"/>
    <n v="110"/>
    <x v="93"/>
    <s v="Annual"/>
    <n v="1"/>
    <n v="1"/>
    <n v="108576"/>
    <n v="108576"/>
  </r>
  <r>
    <x v="0"/>
    <n v="51"/>
    <x v="19"/>
    <x v="0"/>
    <x v="0"/>
    <n v="1005"/>
    <x v="20"/>
    <x v="0"/>
    <x v="33"/>
    <n v="3010"/>
    <x v="54"/>
    <n v="4010"/>
    <x v="81"/>
    <s v="B 13"/>
    <n v="4"/>
    <n v="110"/>
    <x v="93"/>
    <s v="Annual"/>
    <n v="2"/>
    <n v="1"/>
    <n v="74172"/>
    <n v="148344"/>
  </r>
  <r>
    <x v="0"/>
    <n v="51"/>
    <x v="19"/>
    <x v="0"/>
    <x v="0"/>
    <n v="1005"/>
    <x v="20"/>
    <x v="0"/>
    <x v="33"/>
    <n v="3010"/>
    <x v="54"/>
    <n v="4010"/>
    <x v="81"/>
    <s v="B 11"/>
    <n v="1"/>
    <n v="109"/>
    <x v="94"/>
    <s v="Annual"/>
    <n v="1"/>
    <n v="1"/>
    <n v="98928"/>
    <n v="98928"/>
  </r>
  <r>
    <x v="0"/>
    <n v="51"/>
    <x v="19"/>
    <x v="0"/>
    <x v="0"/>
    <n v="1005"/>
    <x v="20"/>
    <x v="0"/>
    <x v="33"/>
    <n v="3010"/>
    <x v="54"/>
    <n v="4010"/>
    <x v="81"/>
    <s v="1 00"/>
    <n v="0"/>
    <n v="15"/>
    <x v="37"/>
    <s v="Annual"/>
    <n v="0"/>
    <n v="0"/>
    <n v="19387"/>
    <n v="19387"/>
  </r>
  <r>
    <x v="0"/>
    <n v="51"/>
    <x v="19"/>
    <x v="0"/>
    <x v="0"/>
    <n v="1005"/>
    <x v="20"/>
    <x v="0"/>
    <x v="33"/>
    <n v="3010"/>
    <x v="54"/>
    <n v="4015"/>
    <x v="64"/>
    <s v="X 32"/>
    <n v="9"/>
    <n v="9684"/>
    <x v="76"/>
    <s v="Annual"/>
    <n v="1"/>
    <n v="1"/>
    <n v="175512"/>
    <n v="175512"/>
  </r>
  <r>
    <x v="0"/>
    <n v="51"/>
    <x v="19"/>
    <x v="0"/>
    <x v="0"/>
    <n v="1005"/>
    <x v="20"/>
    <x v="0"/>
    <x v="33"/>
    <n v="3010"/>
    <x v="54"/>
    <n v="4015"/>
    <x v="64"/>
    <s v="BX 19"/>
    <n v="10"/>
    <n v="9012"/>
    <x v="607"/>
    <s v="Annual"/>
    <n v="1"/>
    <n v="1"/>
    <n v="136692"/>
    <n v="136692"/>
  </r>
  <r>
    <x v="0"/>
    <n v="51"/>
    <x v="19"/>
    <x v="0"/>
    <x v="0"/>
    <n v="1005"/>
    <x v="20"/>
    <x v="0"/>
    <x v="33"/>
    <n v="3010"/>
    <x v="54"/>
    <n v="4015"/>
    <x v="64"/>
    <s v="B 13"/>
    <n v="1"/>
    <n v="1301"/>
    <x v="227"/>
    <s v="Annual"/>
    <n v="1"/>
    <n v="1"/>
    <n v="98928"/>
    <n v="98928"/>
  </r>
  <r>
    <x v="0"/>
    <n v="51"/>
    <x v="19"/>
    <x v="0"/>
    <x v="0"/>
    <n v="1005"/>
    <x v="20"/>
    <x v="0"/>
    <x v="33"/>
    <n v="3010"/>
    <x v="54"/>
    <n v="4015"/>
    <x v="64"/>
    <s v="B 11"/>
    <n v="1"/>
    <n v="450"/>
    <x v="407"/>
    <s v="Annual"/>
    <n v="2"/>
    <n v="1"/>
    <n v="67608"/>
    <n v="135216"/>
  </r>
  <r>
    <x v="0"/>
    <n v="51"/>
    <x v="19"/>
    <x v="0"/>
    <x v="0"/>
    <n v="1005"/>
    <x v="20"/>
    <x v="0"/>
    <x v="33"/>
    <n v="3010"/>
    <x v="54"/>
    <n v="4015"/>
    <x v="64"/>
    <s v="B 11"/>
    <n v="1"/>
    <n v="450"/>
    <x v="407"/>
    <s v="Annual"/>
    <n v="2"/>
    <n v="1"/>
    <n v="58764"/>
    <n v="117528"/>
  </r>
  <r>
    <x v="0"/>
    <n v="51"/>
    <x v="19"/>
    <x v="0"/>
    <x v="0"/>
    <n v="1005"/>
    <x v="20"/>
    <x v="0"/>
    <x v="33"/>
    <n v="3010"/>
    <x v="54"/>
    <n v="4015"/>
    <x v="64"/>
    <s v="B 11"/>
    <n v="1"/>
    <n v="438"/>
    <x v="608"/>
    <s v="Annual"/>
    <n v="8"/>
    <n v="1"/>
    <n v="98928"/>
    <n v="791424"/>
  </r>
  <r>
    <x v="0"/>
    <n v="51"/>
    <x v="19"/>
    <x v="0"/>
    <x v="0"/>
    <n v="1005"/>
    <x v="20"/>
    <x v="0"/>
    <x v="33"/>
    <n v="3010"/>
    <x v="54"/>
    <n v="4015"/>
    <x v="64"/>
    <s v="B 11"/>
    <n v="1"/>
    <n v="438"/>
    <x v="608"/>
    <s v="Annual"/>
    <n v="1"/>
    <n v="1"/>
    <n v="86112"/>
    <n v="86112"/>
  </r>
  <r>
    <x v="0"/>
    <n v="51"/>
    <x v="19"/>
    <x v="0"/>
    <x v="0"/>
    <n v="1005"/>
    <x v="20"/>
    <x v="0"/>
    <x v="33"/>
    <n v="3010"/>
    <x v="54"/>
    <n v="4015"/>
    <x v="64"/>
    <s v="B 11"/>
    <n v="1"/>
    <n v="438"/>
    <x v="608"/>
    <s v="Annual"/>
    <n v="4"/>
    <n v="1"/>
    <n v="74916"/>
    <n v="299664"/>
  </r>
  <r>
    <x v="0"/>
    <n v="51"/>
    <x v="19"/>
    <x v="0"/>
    <x v="0"/>
    <n v="1005"/>
    <x v="20"/>
    <x v="0"/>
    <x v="33"/>
    <n v="3010"/>
    <x v="54"/>
    <n v="4015"/>
    <x v="64"/>
    <s v="B 11"/>
    <n v="1"/>
    <n v="438"/>
    <x v="608"/>
    <s v="Annual"/>
    <n v="1"/>
    <n v="1"/>
    <n v="70752"/>
    <n v="70752"/>
  </r>
  <r>
    <x v="0"/>
    <n v="51"/>
    <x v="19"/>
    <x v="0"/>
    <x v="0"/>
    <n v="1005"/>
    <x v="20"/>
    <x v="0"/>
    <x v="33"/>
    <n v="3010"/>
    <x v="54"/>
    <n v="4015"/>
    <x v="64"/>
    <s v="B 11"/>
    <n v="1"/>
    <n v="438"/>
    <x v="608"/>
    <s v="Annual"/>
    <n v="3"/>
    <n v="1"/>
    <n v="67608"/>
    <n v="202824"/>
  </r>
  <r>
    <x v="0"/>
    <n v="51"/>
    <x v="19"/>
    <x v="0"/>
    <x v="0"/>
    <n v="1005"/>
    <x v="20"/>
    <x v="0"/>
    <x v="33"/>
    <n v="3010"/>
    <x v="54"/>
    <n v="4015"/>
    <x v="64"/>
    <s v="B 11"/>
    <n v="1"/>
    <n v="438"/>
    <x v="608"/>
    <s v="Annual"/>
    <n v="2"/>
    <n v="1"/>
    <n v="64488"/>
    <n v="128976"/>
  </r>
  <r>
    <x v="0"/>
    <n v="51"/>
    <x v="19"/>
    <x v="0"/>
    <x v="0"/>
    <n v="1005"/>
    <x v="20"/>
    <x v="0"/>
    <x v="33"/>
    <n v="3010"/>
    <x v="54"/>
    <n v="4015"/>
    <x v="64"/>
    <s v="B 11"/>
    <n v="1"/>
    <n v="438"/>
    <x v="608"/>
    <s v="Annual"/>
    <n v="1"/>
    <n v="1"/>
    <n v="61548"/>
    <n v="61548"/>
  </r>
  <r>
    <x v="0"/>
    <n v="51"/>
    <x v="19"/>
    <x v="0"/>
    <x v="0"/>
    <n v="1005"/>
    <x v="20"/>
    <x v="0"/>
    <x v="33"/>
    <n v="3010"/>
    <x v="54"/>
    <n v="4015"/>
    <x v="64"/>
    <s v="B 11"/>
    <n v="1"/>
    <n v="438"/>
    <x v="608"/>
    <s v="Annual"/>
    <n v="3"/>
    <n v="1"/>
    <n v="58764"/>
    <n v="176292"/>
  </r>
  <r>
    <x v="0"/>
    <n v="51"/>
    <x v="19"/>
    <x v="0"/>
    <x v="0"/>
    <n v="1005"/>
    <x v="20"/>
    <x v="0"/>
    <x v="33"/>
    <n v="3010"/>
    <x v="54"/>
    <n v="4015"/>
    <x v="64"/>
    <s v="B 11"/>
    <n v="1"/>
    <n v="438"/>
    <x v="608"/>
    <s v="Annual"/>
    <n v="13"/>
    <n v="1"/>
    <n v="57000"/>
    <n v="741000"/>
  </r>
  <r>
    <x v="0"/>
    <n v="51"/>
    <x v="19"/>
    <x v="0"/>
    <x v="0"/>
    <n v="1005"/>
    <x v="20"/>
    <x v="0"/>
    <x v="33"/>
    <n v="3010"/>
    <x v="54"/>
    <n v="4015"/>
    <x v="64"/>
    <s v="BX 16"/>
    <n v="20"/>
    <n v="309"/>
    <x v="598"/>
    <s v="Annual"/>
    <n v="1"/>
    <n v="1"/>
    <n v="113568"/>
    <n v="113568"/>
  </r>
  <r>
    <x v="0"/>
    <n v="51"/>
    <x v="19"/>
    <x v="0"/>
    <x v="0"/>
    <n v="1005"/>
    <x v="20"/>
    <x v="0"/>
    <x v="33"/>
    <n v="3010"/>
    <x v="54"/>
    <n v="4015"/>
    <x v="64"/>
    <s v="V 12"/>
    <n v="54"/>
    <n v="175"/>
    <x v="609"/>
    <s v="Annual"/>
    <n v="1"/>
    <n v="1"/>
    <n v="108528"/>
    <n v="108528"/>
  </r>
  <r>
    <x v="0"/>
    <n v="51"/>
    <x v="19"/>
    <x v="0"/>
    <x v="0"/>
    <n v="1005"/>
    <x v="20"/>
    <x v="0"/>
    <x v="33"/>
    <n v="3010"/>
    <x v="54"/>
    <n v="4015"/>
    <x v="64"/>
    <s v="V 12"/>
    <n v="54"/>
    <n v="175"/>
    <x v="609"/>
    <s v="Annual"/>
    <n v="1"/>
    <n v="1"/>
    <n v="94428"/>
    <n v="94428"/>
  </r>
  <r>
    <x v="0"/>
    <n v="51"/>
    <x v="19"/>
    <x v="0"/>
    <x v="0"/>
    <n v="1005"/>
    <x v="20"/>
    <x v="0"/>
    <x v="33"/>
    <n v="3010"/>
    <x v="54"/>
    <n v="4015"/>
    <x v="64"/>
    <s v="V 12"/>
    <n v="54"/>
    <n v="175"/>
    <x v="609"/>
    <s v="Annual"/>
    <n v="1"/>
    <n v="1"/>
    <n v="77628"/>
    <n v="77628"/>
  </r>
  <r>
    <x v="0"/>
    <n v="51"/>
    <x v="19"/>
    <x v="0"/>
    <x v="0"/>
    <n v="1005"/>
    <x v="20"/>
    <x v="0"/>
    <x v="33"/>
    <n v="3010"/>
    <x v="54"/>
    <n v="4015"/>
    <x v="64"/>
    <s v="V 12"/>
    <n v="54"/>
    <n v="175"/>
    <x v="609"/>
    <s v="Annual"/>
    <n v="1"/>
    <n v="1"/>
    <n v="70740"/>
    <n v="70740"/>
  </r>
  <r>
    <x v="0"/>
    <n v="51"/>
    <x v="19"/>
    <x v="0"/>
    <x v="0"/>
    <n v="1005"/>
    <x v="20"/>
    <x v="0"/>
    <x v="33"/>
    <n v="3010"/>
    <x v="54"/>
    <n v="4015"/>
    <x v="64"/>
    <s v="B 17"/>
    <n v="1"/>
    <n v="121"/>
    <x v="273"/>
    <s v="Annual"/>
    <n v="2"/>
    <n v="1"/>
    <n v="117912"/>
    <n v="235824"/>
  </r>
  <r>
    <x v="0"/>
    <n v="51"/>
    <x v="19"/>
    <x v="0"/>
    <x v="0"/>
    <n v="1005"/>
    <x v="20"/>
    <x v="0"/>
    <x v="33"/>
    <n v="3010"/>
    <x v="54"/>
    <n v="4015"/>
    <x v="64"/>
    <s v="B 17"/>
    <n v="1"/>
    <n v="121"/>
    <x v="273"/>
    <s v="Annual"/>
    <n v="1"/>
    <n v="1"/>
    <n v="112536"/>
    <n v="112536"/>
  </r>
  <r>
    <x v="0"/>
    <n v="51"/>
    <x v="19"/>
    <x v="0"/>
    <x v="0"/>
    <n v="1005"/>
    <x v="20"/>
    <x v="0"/>
    <x v="33"/>
    <n v="3010"/>
    <x v="54"/>
    <n v="4015"/>
    <x v="64"/>
    <s v="B 14"/>
    <n v="1"/>
    <n v="114"/>
    <x v="274"/>
    <s v="Annual"/>
    <n v="1"/>
    <n v="1"/>
    <n v="89244"/>
    <n v="89244"/>
  </r>
  <r>
    <x v="0"/>
    <n v="51"/>
    <x v="19"/>
    <x v="0"/>
    <x v="0"/>
    <n v="1005"/>
    <x v="20"/>
    <x v="0"/>
    <x v="33"/>
    <n v="3010"/>
    <x v="54"/>
    <n v="4015"/>
    <x v="64"/>
    <s v="B 14"/>
    <n v="1"/>
    <n v="114"/>
    <x v="274"/>
    <s v="Annual"/>
    <n v="4"/>
    <n v="1"/>
    <n v="75336"/>
    <n v="301344"/>
  </r>
  <r>
    <x v="0"/>
    <n v="51"/>
    <x v="19"/>
    <x v="0"/>
    <x v="0"/>
    <n v="1005"/>
    <x v="20"/>
    <x v="0"/>
    <x v="33"/>
    <n v="3010"/>
    <x v="54"/>
    <n v="4015"/>
    <x v="64"/>
    <s v="1 00"/>
    <n v="0"/>
    <n v="15"/>
    <x v="37"/>
    <s v="Annual"/>
    <n v="0"/>
    <n v="0"/>
    <n v="54790"/>
    <n v="54790"/>
  </r>
  <r>
    <x v="0"/>
    <n v="51"/>
    <x v="19"/>
    <x v="0"/>
    <x v="0"/>
    <n v="1005"/>
    <x v="20"/>
    <x v="0"/>
    <x v="33"/>
    <n v="3010"/>
    <x v="54"/>
    <n v="4020"/>
    <x v="82"/>
    <s v="X 32"/>
    <n v="9"/>
    <n v="9684"/>
    <x v="76"/>
    <s v="Annual"/>
    <n v="1"/>
    <n v="1"/>
    <n v="167964"/>
    <n v="167964"/>
  </r>
  <r>
    <x v="0"/>
    <n v="51"/>
    <x v="19"/>
    <x v="0"/>
    <x v="0"/>
    <n v="1005"/>
    <x v="20"/>
    <x v="0"/>
    <x v="33"/>
    <n v="3010"/>
    <x v="54"/>
    <n v="4020"/>
    <x v="82"/>
    <s v="B 13"/>
    <n v="1"/>
    <n v="1482"/>
    <x v="96"/>
    <s v="Annual"/>
    <n v="1"/>
    <n v="1"/>
    <n v="90144"/>
    <n v="90144"/>
  </r>
  <r>
    <x v="0"/>
    <n v="51"/>
    <x v="19"/>
    <x v="0"/>
    <x v="0"/>
    <n v="1005"/>
    <x v="20"/>
    <x v="0"/>
    <x v="33"/>
    <n v="3010"/>
    <x v="54"/>
    <n v="4020"/>
    <x v="82"/>
    <s v="X 33"/>
    <n v="20"/>
    <n v="1191"/>
    <x v="405"/>
    <s v="Annual"/>
    <n v="1"/>
    <n v="1"/>
    <n v="121668"/>
    <n v="121668"/>
  </r>
  <r>
    <x v="0"/>
    <n v="51"/>
    <x v="19"/>
    <x v="0"/>
    <x v="0"/>
    <n v="1005"/>
    <x v="20"/>
    <x v="0"/>
    <x v="33"/>
    <n v="3010"/>
    <x v="54"/>
    <n v="4020"/>
    <x v="82"/>
    <s v="B 16"/>
    <n v="4"/>
    <n v="345"/>
    <x v="108"/>
    <s v="Annual"/>
    <n v="2"/>
    <n v="1"/>
    <n v="119100"/>
    <n v="238200"/>
  </r>
  <r>
    <x v="0"/>
    <n v="51"/>
    <x v="19"/>
    <x v="0"/>
    <x v="0"/>
    <n v="1005"/>
    <x v="20"/>
    <x v="0"/>
    <x v="33"/>
    <n v="3010"/>
    <x v="54"/>
    <n v="4020"/>
    <x v="82"/>
    <s v="B 16"/>
    <n v="4"/>
    <n v="345"/>
    <x v="108"/>
    <s v="Annual"/>
    <n v="1"/>
    <n v="1"/>
    <n v="90732"/>
    <n v="90732"/>
  </r>
  <r>
    <x v="0"/>
    <n v="51"/>
    <x v="19"/>
    <x v="0"/>
    <x v="0"/>
    <n v="1005"/>
    <x v="20"/>
    <x v="0"/>
    <x v="33"/>
    <n v="3010"/>
    <x v="54"/>
    <n v="4020"/>
    <x v="82"/>
    <s v="1 00"/>
    <n v="0"/>
    <n v="15"/>
    <x v="37"/>
    <s v="Annual"/>
    <n v="0"/>
    <n v="0"/>
    <n v="5347"/>
    <n v="5347"/>
  </r>
  <r>
    <x v="0"/>
    <n v="51"/>
    <x v="19"/>
    <x v="0"/>
    <x v="0"/>
    <n v="1005"/>
    <x v="20"/>
    <x v="0"/>
    <x v="33"/>
    <n v="3010"/>
    <x v="54"/>
    <n v="4030"/>
    <x v="83"/>
    <s v="X 32"/>
    <n v="9"/>
    <n v="9684"/>
    <x v="76"/>
    <s v="Annual"/>
    <n v="1"/>
    <n v="1"/>
    <n v="139140"/>
    <n v="139140"/>
  </r>
  <r>
    <x v="0"/>
    <n v="51"/>
    <x v="19"/>
    <x v="0"/>
    <x v="0"/>
    <n v="1005"/>
    <x v="20"/>
    <x v="0"/>
    <x v="33"/>
    <n v="3010"/>
    <x v="54"/>
    <n v="4030"/>
    <x v="83"/>
    <s v="2 0"/>
    <n v="53"/>
    <n v="9532"/>
    <x v="391"/>
    <s v="Hourly"/>
    <n v="1"/>
    <n v="1"/>
    <n v="51.4"/>
    <n v="106912"/>
  </r>
  <r>
    <x v="0"/>
    <n v="51"/>
    <x v="19"/>
    <x v="0"/>
    <x v="0"/>
    <n v="1005"/>
    <x v="20"/>
    <x v="0"/>
    <x v="33"/>
    <n v="3010"/>
    <x v="54"/>
    <n v="4030"/>
    <x v="83"/>
    <s v="BX 18"/>
    <n v="10"/>
    <n v="7181"/>
    <x v="475"/>
    <s v="Annual"/>
    <n v="1"/>
    <n v="1"/>
    <n v="113568"/>
    <n v="113568"/>
  </r>
  <r>
    <x v="0"/>
    <n v="51"/>
    <x v="19"/>
    <x v="0"/>
    <x v="0"/>
    <n v="1005"/>
    <x v="20"/>
    <x v="0"/>
    <x v="33"/>
    <n v="3010"/>
    <x v="54"/>
    <n v="4030"/>
    <x v="83"/>
    <s v="BX 16"/>
    <n v="10"/>
    <n v="4548"/>
    <x v="411"/>
    <s v="Annual"/>
    <n v="1"/>
    <n v="1"/>
    <n v="76476"/>
    <n v="76476"/>
  </r>
  <r>
    <x v="0"/>
    <n v="51"/>
    <x v="19"/>
    <x v="0"/>
    <x v="0"/>
    <n v="1005"/>
    <x v="20"/>
    <x v="0"/>
    <x v="33"/>
    <n v="3010"/>
    <x v="54"/>
    <n v="4030"/>
    <x v="83"/>
    <s v="X 33"/>
    <n v="20"/>
    <n v="4546"/>
    <x v="410"/>
    <s v="Annual"/>
    <n v="1"/>
    <n v="1"/>
    <n v="121668"/>
    <n v="121668"/>
  </r>
  <r>
    <x v="0"/>
    <n v="51"/>
    <x v="19"/>
    <x v="0"/>
    <x v="0"/>
    <n v="1005"/>
    <x v="20"/>
    <x v="0"/>
    <x v="33"/>
    <n v="3010"/>
    <x v="54"/>
    <n v="4030"/>
    <x v="83"/>
    <s v="B 10"/>
    <n v="1"/>
    <n v="4238"/>
    <x v="610"/>
    <s v="Annual"/>
    <n v="3"/>
    <n v="1"/>
    <n v="90144"/>
    <n v="270432"/>
  </r>
  <r>
    <x v="0"/>
    <n v="51"/>
    <x v="19"/>
    <x v="0"/>
    <x v="0"/>
    <n v="1005"/>
    <x v="20"/>
    <x v="0"/>
    <x v="33"/>
    <n v="3010"/>
    <x v="54"/>
    <n v="4030"/>
    <x v="83"/>
    <s v="B 10"/>
    <n v="1"/>
    <n v="4238"/>
    <x v="610"/>
    <s v="Annual"/>
    <n v="2"/>
    <n v="1"/>
    <n v="86112"/>
    <n v="172224"/>
  </r>
  <r>
    <x v="0"/>
    <n v="51"/>
    <x v="19"/>
    <x v="0"/>
    <x v="0"/>
    <n v="1005"/>
    <x v="20"/>
    <x v="0"/>
    <x v="33"/>
    <n v="3010"/>
    <x v="54"/>
    <n v="4030"/>
    <x v="83"/>
    <s v="B 10"/>
    <n v="1"/>
    <n v="4238"/>
    <x v="610"/>
    <s v="Annual"/>
    <n v="1"/>
    <n v="1"/>
    <n v="74916"/>
    <n v="74916"/>
  </r>
  <r>
    <x v="0"/>
    <n v="51"/>
    <x v="19"/>
    <x v="0"/>
    <x v="0"/>
    <n v="1005"/>
    <x v="20"/>
    <x v="0"/>
    <x v="33"/>
    <n v="3010"/>
    <x v="54"/>
    <n v="4030"/>
    <x v="83"/>
    <s v="B 10"/>
    <n v="1"/>
    <n v="4238"/>
    <x v="610"/>
    <s v="Annual"/>
    <n v="2"/>
    <n v="1"/>
    <n v="68256"/>
    <n v="136512"/>
  </r>
  <r>
    <x v="0"/>
    <n v="51"/>
    <x v="19"/>
    <x v="0"/>
    <x v="0"/>
    <n v="1005"/>
    <x v="20"/>
    <x v="0"/>
    <x v="33"/>
    <n v="3010"/>
    <x v="54"/>
    <n v="4030"/>
    <x v="83"/>
    <s v="B 10"/>
    <n v="1"/>
    <n v="4238"/>
    <x v="610"/>
    <s v="Annual"/>
    <n v="1"/>
    <n v="1"/>
    <n v="58764"/>
    <n v="58764"/>
  </r>
  <r>
    <x v="0"/>
    <n v="51"/>
    <x v="19"/>
    <x v="0"/>
    <x v="0"/>
    <n v="1005"/>
    <x v="20"/>
    <x v="0"/>
    <x v="33"/>
    <n v="3010"/>
    <x v="54"/>
    <n v="4030"/>
    <x v="83"/>
    <s v="B 10"/>
    <n v="1"/>
    <n v="4238"/>
    <x v="610"/>
    <s v="Annual"/>
    <n v="5"/>
    <n v="1"/>
    <n v="51936"/>
    <n v="259680"/>
  </r>
  <r>
    <x v="0"/>
    <n v="51"/>
    <x v="19"/>
    <x v="0"/>
    <x v="0"/>
    <n v="1005"/>
    <x v="20"/>
    <x v="0"/>
    <x v="33"/>
    <n v="3010"/>
    <x v="54"/>
    <n v="4030"/>
    <x v="83"/>
    <s v="B 14"/>
    <n v="1"/>
    <n v="1854"/>
    <x v="611"/>
    <s v="Annual"/>
    <n v="1"/>
    <n v="1"/>
    <n v="85200"/>
    <n v="85200"/>
  </r>
  <r>
    <x v="0"/>
    <n v="51"/>
    <x v="19"/>
    <x v="0"/>
    <x v="0"/>
    <n v="1005"/>
    <x v="20"/>
    <x v="0"/>
    <x v="33"/>
    <n v="3010"/>
    <x v="54"/>
    <n v="4030"/>
    <x v="83"/>
    <s v="B 13"/>
    <n v="1"/>
    <n v="308"/>
    <x v="90"/>
    <s v="Annual"/>
    <n v="1"/>
    <n v="1"/>
    <n v="68616"/>
    <n v="68616"/>
  </r>
  <r>
    <x v="0"/>
    <n v="51"/>
    <x v="19"/>
    <x v="0"/>
    <x v="0"/>
    <n v="1005"/>
    <x v="20"/>
    <x v="0"/>
    <x v="33"/>
    <n v="3010"/>
    <x v="54"/>
    <n v="4030"/>
    <x v="83"/>
    <s v="1 00"/>
    <n v="0"/>
    <n v="15"/>
    <x v="37"/>
    <s v="Annual"/>
    <n v="0"/>
    <n v="0"/>
    <n v="34667"/>
    <n v="34667"/>
  </r>
  <r>
    <x v="0"/>
    <n v="51"/>
    <x v="19"/>
    <x v="0"/>
    <x v="0"/>
    <n v="1005"/>
    <x v="20"/>
    <x v="0"/>
    <x v="33"/>
    <n v="3010"/>
    <x v="54"/>
    <n v="4030"/>
    <x v="83"/>
    <s v="1 00"/>
    <n v="0"/>
    <n v="12"/>
    <x v="291"/>
    <s v="Annual"/>
    <n v="0"/>
    <n v="0"/>
    <n v="1604"/>
    <n v="1604"/>
  </r>
  <r>
    <x v="0"/>
    <n v="51"/>
    <x v="19"/>
    <x v="0"/>
    <x v="0"/>
    <n v="1005"/>
    <x v="20"/>
    <x v="0"/>
    <x v="33"/>
    <n v="3015"/>
    <x v="145"/>
    <n v="4100"/>
    <x v="84"/>
    <s v="X 31"/>
    <n v="9"/>
    <n v="9814"/>
    <x v="275"/>
    <s v="Annual"/>
    <n v="1"/>
    <n v="1"/>
    <n v="188400"/>
    <n v="188400"/>
  </r>
  <r>
    <x v="0"/>
    <n v="51"/>
    <x v="19"/>
    <x v="0"/>
    <x v="0"/>
    <n v="1005"/>
    <x v="20"/>
    <x v="0"/>
    <x v="33"/>
    <n v="3015"/>
    <x v="145"/>
    <n v="4100"/>
    <x v="84"/>
    <s v="1 00"/>
    <n v="0"/>
    <n v="15"/>
    <x v="37"/>
    <s v="Annual"/>
    <n v="0"/>
    <n v="0"/>
    <n v="4454"/>
    <n v="4454"/>
  </r>
  <r>
    <x v="0"/>
    <n v="51"/>
    <x v="19"/>
    <x v="0"/>
    <x v="0"/>
    <n v="1005"/>
    <x v="20"/>
    <x v="0"/>
    <x v="33"/>
    <n v="3015"/>
    <x v="145"/>
    <n v="4105"/>
    <x v="85"/>
    <s v="X 33"/>
    <n v="99"/>
    <n v="9759"/>
    <x v="388"/>
    <s v="Annual"/>
    <n v="1"/>
    <n v="1"/>
    <n v="162672"/>
    <n v="162672"/>
  </r>
  <r>
    <x v="0"/>
    <n v="51"/>
    <x v="19"/>
    <x v="0"/>
    <x v="0"/>
    <n v="1005"/>
    <x v="20"/>
    <x v="0"/>
    <x v="33"/>
    <n v="3015"/>
    <x v="145"/>
    <n v="4105"/>
    <x v="85"/>
    <s v="BX 15"/>
    <n v="10"/>
    <n v="1911"/>
    <x v="226"/>
    <s v="Annual"/>
    <n v="1"/>
    <n v="1"/>
    <n v="80124"/>
    <n v="80124"/>
  </r>
  <r>
    <x v="0"/>
    <n v="51"/>
    <x v="19"/>
    <x v="0"/>
    <x v="0"/>
    <n v="1005"/>
    <x v="20"/>
    <x v="0"/>
    <x v="33"/>
    <n v="3015"/>
    <x v="145"/>
    <n v="4105"/>
    <x v="85"/>
    <s v="BX 18"/>
    <n v="10"/>
    <n v="1334"/>
    <x v="612"/>
    <s v="Annual"/>
    <n v="1"/>
    <n v="1"/>
    <n v="136692"/>
    <n v="136692"/>
  </r>
  <r>
    <x v="0"/>
    <n v="51"/>
    <x v="19"/>
    <x v="0"/>
    <x v="0"/>
    <n v="1005"/>
    <x v="20"/>
    <x v="0"/>
    <x v="33"/>
    <n v="3015"/>
    <x v="145"/>
    <n v="4105"/>
    <x v="85"/>
    <s v="BX 18"/>
    <n v="10"/>
    <n v="1334"/>
    <x v="612"/>
    <s v="Annual"/>
    <n v="1"/>
    <n v="1"/>
    <n v="89112"/>
    <n v="89112"/>
  </r>
  <r>
    <x v="0"/>
    <n v="51"/>
    <x v="19"/>
    <x v="0"/>
    <x v="0"/>
    <n v="1005"/>
    <x v="20"/>
    <x v="0"/>
    <x v="33"/>
    <n v="3015"/>
    <x v="145"/>
    <n v="4105"/>
    <x v="85"/>
    <s v="B 13"/>
    <n v="1"/>
    <n v="1320"/>
    <x v="613"/>
    <s v="Annual"/>
    <n v="2"/>
    <n v="1"/>
    <n v="77640"/>
    <n v="155280"/>
  </r>
  <r>
    <x v="0"/>
    <n v="51"/>
    <x v="19"/>
    <x v="0"/>
    <x v="0"/>
    <n v="1005"/>
    <x v="20"/>
    <x v="0"/>
    <x v="33"/>
    <n v="3015"/>
    <x v="145"/>
    <n v="4105"/>
    <x v="85"/>
    <s v="B 15"/>
    <n v="1"/>
    <n v="1302"/>
    <x v="83"/>
    <s v="Annual"/>
    <n v="4"/>
    <n v="1"/>
    <n v="143400"/>
    <n v="573600"/>
  </r>
  <r>
    <x v="0"/>
    <n v="51"/>
    <x v="19"/>
    <x v="0"/>
    <x v="0"/>
    <n v="1005"/>
    <x v="20"/>
    <x v="0"/>
    <x v="33"/>
    <n v="3015"/>
    <x v="145"/>
    <n v="4105"/>
    <x v="85"/>
    <s v="B 15"/>
    <n v="1"/>
    <n v="1302"/>
    <x v="83"/>
    <s v="Annual"/>
    <n v="1"/>
    <n v="1"/>
    <n v="130668"/>
    <n v="130668"/>
  </r>
  <r>
    <x v="0"/>
    <n v="51"/>
    <x v="19"/>
    <x v="0"/>
    <x v="0"/>
    <n v="1005"/>
    <x v="20"/>
    <x v="0"/>
    <x v="33"/>
    <n v="3015"/>
    <x v="145"/>
    <n v="4105"/>
    <x v="85"/>
    <s v="B 15"/>
    <n v="1"/>
    <n v="1302"/>
    <x v="83"/>
    <s v="Annual"/>
    <n v="2"/>
    <n v="1"/>
    <n v="93504"/>
    <n v="187008"/>
  </r>
  <r>
    <x v="0"/>
    <n v="51"/>
    <x v="19"/>
    <x v="0"/>
    <x v="0"/>
    <n v="1005"/>
    <x v="20"/>
    <x v="0"/>
    <x v="33"/>
    <n v="3015"/>
    <x v="145"/>
    <n v="4105"/>
    <x v="85"/>
    <s v="B 15"/>
    <n v="1"/>
    <n v="1302"/>
    <x v="83"/>
    <s v="Annual"/>
    <n v="1"/>
    <n v="1"/>
    <n v="82644"/>
    <n v="82644"/>
  </r>
  <r>
    <x v="0"/>
    <n v="51"/>
    <x v="19"/>
    <x v="0"/>
    <x v="0"/>
    <n v="1005"/>
    <x v="20"/>
    <x v="0"/>
    <x v="33"/>
    <n v="3015"/>
    <x v="145"/>
    <n v="4105"/>
    <x v="85"/>
    <s v="B 13"/>
    <n v="1"/>
    <n v="1301"/>
    <x v="227"/>
    <s v="Annual"/>
    <n v="1"/>
    <n v="1"/>
    <n v="119100"/>
    <n v="119100"/>
  </r>
  <r>
    <x v="0"/>
    <n v="51"/>
    <x v="19"/>
    <x v="0"/>
    <x v="0"/>
    <n v="1005"/>
    <x v="20"/>
    <x v="0"/>
    <x v="33"/>
    <n v="3015"/>
    <x v="145"/>
    <n v="4105"/>
    <x v="85"/>
    <s v="B 13"/>
    <n v="1"/>
    <n v="1301"/>
    <x v="227"/>
    <s v="Annual"/>
    <n v="1"/>
    <n v="1"/>
    <n v="108576"/>
    <n v="108576"/>
  </r>
  <r>
    <x v="0"/>
    <n v="51"/>
    <x v="19"/>
    <x v="0"/>
    <x v="0"/>
    <n v="1005"/>
    <x v="20"/>
    <x v="0"/>
    <x v="33"/>
    <n v="3015"/>
    <x v="145"/>
    <n v="4105"/>
    <x v="85"/>
    <s v="B 13"/>
    <n v="1"/>
    <n v="1301"/>
    <x v="227"/>
    <s v="Annual"/>
    <n v="1"/>
    <n v="1"/>
    <n v="103608"/>
    <n v="103608"/>
  </r>
  <r>
    <x v="0"/>
    <n v="51"/>
    <x v="19"/>
    <x v="0"/>
    <x v="0"/>
    <n v="1005"/>
    <x v="20"/>
    <x v="0"/>
    <x v="33"/>
    <n v="3015"/>
    <x v="145"/>
    <n v="4105"/>
    <x v="85"/>
    <s v="B 13"/>
    <n v="1"/>
    <n v="1301"/>
    <x v="227"/>
    <s v="Annual"/>
    <n v="2"/>
    <n v="1"/>
    <n v="85200"/>
    <n v="170400"/>
  </r>
  <r>
    <x v="0"/>
    <n v="51"/>
    <x v="19"/>
    <x v="0"/>
    <x v="0"/>
    <n v="1005"/>
    <x v="20"/>
    <x v="0"/>
    <x v="33"/>
    <n v="3015"/>
    <x v="145"/>
    <n v="4105"/>
    <x v="85"/>
    <s v="B 13"/>
    <n v="1"/>
    <n v="1301"/>
    <x v="227"/>
    <s v="Annual"/>
    <n v="2"/>
    <n v="1"/>
    <n v="81324"/>
    <n v="162648"/>
  </r>
  <r>
    <x v="0"/>
    <n v="51"/>
    <x v="19"/>
    <x v="0"/>
    <x v="0"/>
    <n v="1005"/>
    <x v="20"/>
    <x v="0"/>
    <x v="33"/>
    <n v="3015"/>
    <x v="145"/>
    <n v="4105"/>
    <x v="85"/>
    <s v="B 13"/>
    <n v="1"/>
    <n v="1301"/>
    <x v="227"/>
    <s v="Annual"/>
    <n v="3"/>
    <n v="1"/>
    <n v="77640"/>
    <n v="232920"/>
  </r>
  <r>
    <x v="0"/>
    <n v="51"/>
    <x v="19"/>
    <x v="0"/>
    <x v="0"/>
    <n v="1005"/>
    <x v="20"/>
    <x v="0"/>
    <x v="33"/>
    <n v="3015"/>
    <x v="145"/>
    <n v="4105"/>
    <x v="85"/>
    <s v="B 13"/>
    <n v="1"/>
    <n v="1301"/>
    <x v="227"/>
    <s v="Annual"/>
    <n v="1"/>
    <n v="1"/>
    <n v="74172"/>
    <n v="74172"/>
  </r>
  <r>
    <x v="0"/>
    <n v="51"/>
    <x v="19"/>
    <x v="0"/>
    <x v="0"/>
    <n v="1005"/>
    <x v="20"/>
    <x v="0"/>
    <x v="33"/>
    <n v="3015"/>
    <x v="145"/>
    <n v="4105"/>
    <x v="85"/>
    <s v="B 13"/>
    <n v="1"/>
    <n v="1301"/>
    <x v="227"/>
    <s v="Annual"/>
    <n v="3"/>
    <n v="1"/>
    <n v="68616"/>
    <n v="205848"/>
  </r>
  <r>
    <x v="0"/>
    <n v="51"/>
    <x v="19"/>
    <x v="0"/>
    <x v="0"/>
    <n v="1005"/>
    <x v="20"/>
    <x v="0"/>
    <x v="33"/>
    <n v="3015"/>
    <x v="145"/>
    <n v="4105"/>
    <x v="85"/>
    <s v="BX 17"/>
    <n v="10"/>
    <n v="1256"/>
    <x v="293"/>
    <s v="Annual"/>
    <n v="1"/>
    <n v="1"/>
    <n v="97836"/>
    <n v="97836"/>
  </r>
  <r>
    <x v="0"/>
    <n v="51"/>
    <x v="19"/>
    <x v="0"/>
    <x v="0"/>
    <n v="1005"/>
    <x v="20"/>
    <x v="0"/>
    <x v="33"/>
    <n v="3015"/>
    <x v="145"/>
    <n v="4105"/>
    <x v="85"/>
    <s v="BX 17"/>
    <n v="10"/>
    <n v="1256"/>
    <x v="293"/>
    <s v="Annual"/>
    <n v="1"/>
    <n v="1"/>
    <n v="93384"/>
    <n v="93384"/>
  </r>
  <r>
    <x v="0"/>
    <n v="51"/>
    <x v="19"/>
    <x v="0"/>
    <x v="0"/>
    <n v="1005"/>
    <x v="20"/>
    <x v="0"/>
    <x v="33"/>
    <n v="3015"/>
    <x v="145"/>
    <n v="4105"/>
    <x v="85"/>
    <s v="B 13"/>
    <n v="1"/>
    <n v="1255"/>
    <x v="614"/>
    <s v="Annual"/>
    <n v="1"/>
    <n v="1"/>
    <n v="85200"/>
    <n v="85200"/>
  </r>
  <r>
    <x v="0"/>
    <n v="51"/>
    <x v="19"/>
    <x v="0"/>
    <x v="0"/>
    <n v="1005"/>
    <x v="20"/>
    <x v="0"/>
    <x v="33"/>
    <n v="3015"/>
    <x v="145"/>
    <n v="4105"/>
    <x v="85"/>
    <s v="B 13"/>
    <n v="1"/>
    <n v="1255"/>
    <x v="614"/>
    <s v="Annual"/>
    <n v="6"/>
    <n v="1"/>
    <n v="81324"/>
    <n v="487944"/>
  </r>
  <r>
    <x v="0"/>
    <n v="51"/>
    <x v="19"/>
    <x v="0"/>
    <x v="0"/>
    <n v="1005"/>
    <x v="20"/>
    <x v="0"/>
    <x v="33"/>
    <n v="3015"/>
    <x v="145"/>
    <n v="4105"/>
    <x v="85"/>
    <s v="B 13"/>
    <n v="1"/>
    <n v="1255"/>
    <x v="614"/>
    <s v="Annual"/>
    <n v="3"/>
    <n v="1"/>
    <n v="77640"/>
    <n v="232920"/>
  </r>
  <r>
    <x v="0"/>
    <n v="51"/>
    <x v="19"/>
    <x v="0"/>
    <x v="0"/>
    <n v="1005"/>
    <x v="20"/>
    <x v="0"/>
    <x v="33"/>
    <n v="3015"/>
    <x v="145"/>
    <n v="4105"/>
    <x v="85"/>
    <s v="B 13"/>
    <n v="1"/>
    <n v="1255"/>
    <x v="614"/>
    <s v="Annual"/>
    <n v="4"/>
    <n v="1"/>
    <n v="74172"/>
    <n v="296688"/>
  </r>
  <r>
    <x v="0"/>
    <n v="51"/>
    <x v="19"/>
    <x v="0"/>
    <x v="0"/>
    <n v="1005"/>
    <x v="20"/>
    <x v="0"/>
    <x v="33"/>
    <n v="3015"/>
    <x v="145"/>
    <n v="4105"/>
    <x v="85"/>
    <s v="B 13"/>
    <n v="1"/>
    <n v="1255"/>
    <x v="614"/>
    <s v="Annual"/>
    <n v="5"/>
    <n v="1"/>
    <n v="70752"/>
    <n v="353760"/>
  </r>
  <r>
    <x v="0"/>
    <n v="51"/>
    <x v="19"/>
    <x v="0"/>
    <x v="0"/>
    <n v="1005"/>
    <x v="20"/>
    <x v="0"/>
    <x v="33"/>
    <n v="3015"/>
    <x v="145"/>
    <n v="4105"/>
    <x v="85"/>
    <s v="B 13"/>
    <n v="1"/>
    <n v="1255"/>
    <x v="614"/>
    <s v="Annual"/>
    <n v="2"/>
    <n v="1"/>
    <n v="68616"/>
    <n v="137232"/>
  </r>
  <r>
    <x v="0"/>
    <n v="51"/>
    <x v="19"/>
    <x v="0"/>
    <x v="0"/>
    <n v="1005"/>
    <x v="20"/>
    <x v="0"/>
    <x v="33"/>
    <n v="3015"/>
    <x v="145"/>
    <n v="4105"/>
    <x v="85"/>
    <s v="G 10"/>
    <n v="1"/>
    <n v="629"/>
    <x v="271"/>
    <s v="Annual"/>
    <n v="1"/>
    <n v="1"/>
    <n v="164808"/>
    <n v="164808"/>
  </r>
  <r>
    <x v="0"/>
    <n v="51"/>
    <x v="19"/>
    <x v="0"/>
    <x v="0"/>
    <n v="1005"/>
    <x v="20"/>
    <x v="0"/>
    <x v="33"/>
    <n v="3015"/>
    <x v="145"/>
    <n v="4105"/>
    <x v="85"/>
    <s v="B 12"/>
    <n v="1"/>
    <s v="03A8"/>
    <x v="88"/>
    <s v="Annual"/>
    <n v="1"/>
    <n v="1"/>
    <n v="108576"/>
    <n v="108576"/>
  </r>
  <r>
    <x v="0"/>
    <n v="51"/>
    <x v="19"/>
    <x v="0"/>
    <x v="0"/>
    <n v="1005"/>
    <x v="20"/>
    <x v="0"/>
    <x v="33"/>
    <n v="3015"/>
    <x v="145"/>
    <n v="4105"/>
    <x v="85"/>
    <s v="B 12"/>
    <n v="1"/>
    <s v="03A8"/>
    <x v="88"/>
    <s v="Annual"/>
    <n v="1"/>
    <n v="1"/>
    <n v="62544"/>
    <n v="62544"/>
  </r>
  <r>
    <x v="0"/>
    <n v="51"/>
    <x v="19"/>
    <x v="0"/>
    <x v="0"/>
    <n v="1005"/>
    <x v="20"/>
    <x v="0"/>
    <x v="33"/>
    <n v="3015"/>
    <x v="145"/>
    <n v="4105"/>
    <x v="85"/>
    <s v="B 10"/>
    <n v="1"/>
    <s v="03A7"/>
    <x v="4"/>
    <s v="Annual"/>
    <n v="2"/>
    <n v="1"/>
    <n v="90144"/>
    <n v="180288"/>
  </r>
  <r>
    <x v="0"/>
    <n v="51"/>
    <x v="19"/>
    <x v="0"/>
    <x v="0"/>
    <n v="1005"/>
    <x v="20"/>
    <x v="0"/>
    <x v="33"/>
    <n v="3015"/>
    <x v="145"/>
    <n v="4105"/>
    <x v="85"/>
    <s v="B 10"/>
    <n v="1"/>
    <s v="03A7"/>
    <x v="4"/>
    <s v="Annual"/>
    <n v="1"/>
    <n v="1"/>
    <n v="64488"/>
    <n v="64488"/>
  </r>
  <r>
    <x v="0"/>
    <n v="51"/>
    <x v="19"/>
    <x v="0"/>
    <x v="0"/>
    <n v="1005"/>
    <x v="20"/>
    <x v="0"/>
    <x v="33"/>
    <n v="3015"/>
    <x v="145"/>
    <n v="4105"/>
    <x v="85"/>
    <s v="B 10"/>
    <n v="1"/>
    <s v="03A7"/>
    <x v="4"/>
    <s v="Annual"/>
    <n v="1"/>
    <n v="1"/>
    <n v="56124"/>
    <n v="56124"/>
  </r>
  <r>
    <x v="0"/>
    <n v="51"/>
    <x v="19"/>
    <x v="0"/>
    <x v="0"/>
    <n v="1005"/>
    <x v="20"/>
    <x v="0"/>
    <x v="33"/>
    <n v="3015"/>
    <x v="145"/>
    <n v="4105"/>
    <x v="85"/>
    <s v="B 10"/>
    <n v="1"/>
    <s v="03A7"/>
    <x v="4"/>
    <s v="Annual"/>
    <n v="1"/>
    <n v="1"/>
    <n v="53532"/>
    <n v="53532"/>
  </r>
  <r>
    <x v="0"/>
    <n v="51"/>
    <x v="19"/>
    <x v="0"/>
    <x v="0"/>
    <n v="1005"/>
    <x v="20"/>
    <x v="0"/>
    <x v="33"/>
    <n v="3015"/>
    <x v="145"/>
    <n v="4105"/>
    <x v="85"/>
    <s v="B 10"/>
    <n v="1"/>
    <s v="03A7"/>
    <x v="4"/>
    <s v="Annual"/>
    <n v="3"/>
    <n v="1"/>
    <n v="51936"/>
    <n v="155808"/>
  </r>
  <r>
    <x v="0"/>
    <n v="51"/>
    <x v="19"/>
    <x v="0"/>
    <x v="0"/>
    <n v="1005"/>
    <x v="20"/>
    <x v="0"/>
    <x v="33"/>
    <n v="3015"/>
    <x v="145"/>
    <n v="4105"/>
    <x v="85"/>
    <s v="BX 18"/>
    <n v="10"/>
    <n v="310"/>
    <x v="135"/>
    <s v="Annual"/>
    <n v="1"/>
    <n v="1"/>
    <n v="102444"/>
    <n v="102444"/>
  </r>
  <r>
    <x v="0"/>
    <n v="51"/>
    <x v="19"/>
    <x v="0"/>
    <x v="0"/>
    <n v="1005"/>
    <x v="20"/>
    <x v="0"/>
    <x v="33"/>
    <n v="3015"/>
    <x v="145"/>
    <n v="4105"/>
    <x v="85"/>
    <s v="B 13"/>
    <n v="1"/>
    <n v="308"/>
    <x v="90"/>
    <s v="Annual"/>
    <n v="1"/>
    <n v="1"/>
    <n v="77640"/>
    <n v="77640"/>
  </r>
  <r>
    <x v="0"/>
    <n v="51"/>
    <x v="19"/>
    <x v="0"/>
    <x v="0"/>
    <n v="1005"/>
    <x v="20"/>
    <x v="0"/>
    <x v="33"/>
    <n v="3015"/>
    <x v="145"/>
    <n v="4105"/>
    <x v="85"/>
    <s v="B 13"/>
    <n v="1"/>
    <n v="308"/>
    <x v="90"/>
    <s v="Annual"/>
    <n v="1"/>
    <n v="1"/>
    <n v="74172"/>
    <n v="74172"/>
  </r>
  <r>
    <x v="0"/>
    <n v="51"/>
    <x v="19"/>
    <x v="0"/>
    <x v="0"/>
    <n v="1005"/>
    <x v="20"/>
    <x v="0"/>
    <x v="33"/>
    <n v="3015"/>
    <x v="145"/>
    <n v="4105"/>
    <x v="85"/>
    <s v="X 33"/>
    <n v="0"/>
    <n v="306"/>
    <x v="237"/>
    <s v="Annual"/>
    <n v="1"/>
    <n v="1"/>
    <n v="153384"/>
    <n v="153384"/>
  </r>
  <r>
    <x v="0"/>
    <n v="51"/>
    <x v="19"/>
    <x v="0"/>
    <x v="0"/>
    <n v="1005"/>
    <x v="20"/>
    <x v="0"/>
    <x v="33"/>
    <n v="3015"/>
    <x v="145"/>
    <n v="4105"/>
    <x v="85"/>
    <s v="1 00"/>
    <n v="0"/>
    <n v="15"/>
    <x v="37"/>
    <s v="Annual"/>
    <n v="0"/>
    <n v="0"/>
    <n v="87561"/>
    <n v="87561"/>
  </r>
  <r>
    <x v="0"/>
    <n v="51"/>
    <x v="19"/>
    <x v="0"/>
    <x v="0"/>
    <n v="1005"/>
    <x v="20"/>
    <x v="0"/>
    <x v="33"/>
    <n v="3015"/>
    <x v="145"/>
    <n v="4120"/>
    <x v="86"/>
    <s v="B 13"/>
    <n v="1"/>
    <n v="9115"/>
    <x v="615"/>
    <s v="Annual"/>
    <n v="2"/>
    <n v="1"/>
    <n v="119100"/>
    <n v="238200"/>
  </r>
  <r>
    <x v="0"/>
    <n v="51"/>
    <x v="19"/>
    <x v="0"/>
    <x v="0"/>
    <n v="1005"/>
    <x v="20"/>
    <x v="0"/>
    <x v="33"/>
    <n v="3015"/>
    <x v="145"/>
    <n v="4120"/>
    <x v="86"/>
    <s v="B 13"/>
    <n v="1"/>
    <n v="9115"/>
    <x v="615"/>
    <s v="Annual"/>
    <n v="1"/>
    <n v="1"/>
    <n v="98928"/>
    <n v="98928"/>
  </r>
  <r>
    <x v="0"/>
    <n v="51"/>
    <x v="19"/>
    <x v="0"/>
    <x v="0"/>
    <n v="1005"/>
    <x v="20"/>
    <x v="0"/>
    <x v="33"/>
    <n v="3015"/>
    <x v="145"/>
    <n v="4120"/>
    <x v="86"/>
    <s v="B 13"/>
    <n v="1"/>
    <n v="9115"/>
    <x v="615"/>
    <s v="Annual"/>
    <n v="4"/>
    <n v="1"/>
    <n v="81324"/>
    <n v="325296"/>
  </r>
  <r>
    <x v="0"/>
    <n v="51"/>
    <x v="19"/>
    <x v="0"/>
    <x v="0"/>
    <n v="1005"/>
    <x v="20"/>
    <x v="0"/>
    <x v="33"/>
    <n v="3015"/>
    <x v="145"/>
    <n v="4120"/>
    <x v="86"/>
    <s v="B 13"/>
    <n v="1"/>
    <n v="9115"/>
    <x v="615"/>
    <s v="Annual"/>
    <n v="1"/>
    <n v="1"/>
    <n v="70752"/>
    <n v="70752"/>
  </r>
  <r>
    <x v="0"/>
    <n v="51"/>
    <x v="19"/>
    <x v="0"/>
    <x v="0"/>
    <n v="1005"/>
    <x v="20"/>
    <x v="0"/>
    <x v="33"/>
    <n v="3015"/>
    <x v="145"/>
    <n v="4120"/>
    <x v="86"/>
    <s v="B 13"/>
    <n v="1"/>
    <n v="9115"/>
    <x v="615"/>
    <s v="Annual"/>
    <n v="3"/>
    <n v="1"/>
    <n v="68616"/>
    <n v="205848"/>
  </r>
  <r>
    <x v="0"/>
    <n v="51"/>
    <x v="19"/>
    <x v="0"/>
    <x v="0"/>
    <n v="1005"/>
    <x v="20"/>
    <x v="0"/>
    <x v="33"/>
    <n v="3015"/>
    <x v="145"/>
    <n v="4120"/>
    <x v="86"/>
    <s v="S 08"/>
    <n v="37"/>
    <n v="3763"/>
    <x v="548"/>
    <s v="Annual"/>
    <n v="2"/>
    <n v="1"/>
    <n v="151572"/>
    <n v="303144"/>
  </r>
  <r>
    <x v="0"/>
    <n v="51"/>
    <x v="19"/>
    <x v="0"/>
    <x v="0"/>
    <n v="1005"/>
    <x v="20"/>
    <x v="0"/>
    <x v="33"/>
    <n v="3015"/>
    <x v="145"/>
    <n v="4120"/>
    <x v="86"/>
    <s v="S 08"/>
    <n v="37"/>
    <n v="3763"/>
    <x v="548"/>
    <s v="Annual"/>
    <n v="1"/>
    <n v="1"/>
    <n v="117528"/>
    <n v="117528"/>
  </r>
  <r>
    <x v="0"/>
    <n v="51"/>
    <x v="19"/>
    <x v="0"/>
    <x v="0"/>
    <n v="1005"/>
    <x v="20"/>
    <x v="0"/>
    <x v="33"/>
    <n v="3015"/>
    <x v="145"/>
    <n v="4120"/>
    <x v="86"/>
    <s v="S 08"/>
    <n v="37"/>
    <n v="3763"/>
    <x v="548"/>
    <s v="Annual"/>
    <n v="1"/>
    <n v="1"/>
    <n v="106488"/>
    <n v="106488"/>
  </r>
  <r>
    <x v="0"/>
    <n v="51"/>
    <x v="19"/>
    <x v="0"/>
    <x v="0"/>
    <n v="1005"/>
    <x v="20"/>
    <x v="0"/>
    <x v="33"/>
    <n v="3015"/>
    <x v="145"/>
    <n v="4120"/>
    <x v="86"/>
    <s v="S 04"/>
    <n v="37"/>
    <n v="3603"/>
    <x v="616"/>
    <s v="Annual"/>
    <n v="2"/>
    <n v="1"/>
    <n v="91956"/>
    <n v="183912"/>
  </r>
  <r>
    <x v="0"/>
    <n v="51"/>
    <x v="19"/>
    <x v="0"/>
    <x v="0"/>
    <n v="1005"/>
    <x v="20"/>
    <x v="0"/>
    <x v="33"/>
    <n v="3015"/>
    <x v="145"/>
    <n v="4120"/>
    <x v="86"/>
    <s v="S 04"/>
    <n v="37"/>
    <n v="3603"/>
    <x v="616"/>
    <s v="Annual"/>
    <n v="1"/>
    <n v="1"/>
    <n v="83304"/>
    <n v="83304"/>
  </r>
  <r>
    <x v="0"/>
    <n v="51"/>
    <x v="19"/>
    <x v="0"/>
    <x v="0"/>
    <n v="1005"/>
    <x v="20"/>
    <x v="0"/>
    <x v="33"/>
    <n v="3015"/>
    <x v="145"/>
    <n v="4120"/>
    <x v="86"/>
    <s v="S 04"/>
    <n v="37"/>
    <n v="3603"/>
    <x v="616"/>
    <s v="Annual"/>
    <n v="1"/>
    <n v="1"/>
    <n v="79452"/>
    <n v="79452"/>
  </r>
  <r>
    <x v="0"/>
    <n v="51"/>
    <x v="19"/>
    <x v="0"/>
    <x v="0"/>
    <n v="1005"/>
    <x v="20"/>
    <x v="0"/>
    <x v="33"/>
    <n v="3015"/>
    <x v="145"/>
    <n v="4120"/>
    <x v="86"/>
    <s v="GY 07"/>
    <n v="20"/>
    <n v="3431"/>
    <x v="617"/>
    <s v="Annual"/>
    <n v="2"/>
    <n v="1"/>
    <n v="76020"/>
    <n v="152040"/>
  </r>
  <r>
    <x v="0"/>
    <n v="51"/>
    <x v="19"/>
    <x v="0"/>
    <x v="0"/>
    <n v="1005"/>
    <x v="20"/>
    <x v="0"/>
    <x v="33"/>
    <n v="3015"/>
    <x v="145"/>
    <n v="4120"/>
    <x v="86"/>
    <s v="X 31"/>
    <n v="9"/>
    <n v="3360"/>
    <x v="618"/>
    <s v="Annual"/>
    <n v="1"/>
    <n v="1"/>
    <n v="149448"/>
    <n v="149448"/>
  </r>
  <r>
    <x v="0"/>
    <n v="51"/>
    <x v="19"/>
    <x v="0"/>
    <x v="0"/>
    <n v="1005"/>
    <x v="20"/>
    <x v="0"/>
    <x v="33"/>
    <n v="3015"/>
    <x v="145"/>
    <n v="4120"/>
    <x v="86"/>
    <s v="B 09"/>
    <n v="1"/>
    <n v="460"/>
    <x v="344"/>
    <s v="Annual"/>
    <n v="1"/>
    <n v="1"/>
    <n v="82140"/>
    <n v="82140"/>
  </r>
  <r>
    <x v="0"/>
    <n v="51"/>
    <x v="19"/>
    <x v="0"/>
    <x v="0"/>
    <n v="1005"/>
    <x v="20"/>
    <x v="0"/>
    <x v="33"/>
    <n v="3015"/>
    <x v="145"/>
    <n v="4120"/>
    <x v="86"/>
    <s v="B 09"/>
    <n v="1"/>
    <n v="415"/>
    <x v="619"/>
    <s v="Annual"/>
    <n v="1"/>
    <n v="1"/>
    <n v="53532"/>
    <n v="53532"/>
  </r>
  <r>
    <x v="0"/>
    <n v="51"/>
    <x v="19"/>
    <x v="0"/>
    <x v="0"/>
    <n v="1005"/>
    <x v="20"/>
    <x v="0"/>
    <x v="33"/>
    <n v="3015"/>
    <x v="145"/>
    <n v="4120"/>
    <x v="86"/>
    <s v="B 09"/>
    <n v="1"/>
    <n v="415"/>
    <x v="619"/>
    <s v="Annual"/>
    <n v="6"/>
    <n v="1"/>
    <n v="47364"/>
    <n v="284184"/>
  </r>
  <r>
    <x v="0"/>
    <n v="51"/>
    <x v="19"/>
    <x v="0"/>
    <x v="0"/>
    <n v="1005"/>
    <x v="20"/>
    <x v="0"/>
    <x v="33"/>
    <n v="3015"/>
    <x v="145"/>
    <n v="4120"/>
    <x v="86"/>
    <s v="B 10"/>
    <n v="1"/>
    <s v="03A7"/>
    <x v="4"/>
    <s v="Annual"/>
    <n v="1"/>
    <n v="1"/>
    <n v="90144"/>
    <n v="90144"/>
  </r>
  <r>
    <x v="0"/>
    <n v="51"/>
    <x v="19"/>
    <x v="0"/>
    <x v="0"/>
    <n v="1005"/>
    <x v="20"/>
    <x v="0"/>
    <x v="33"/>
    <n v="3015"/>
    <x v="145"/>
    <n v="4120"/>
    <x v="86"/>
    <s v="B 10"/>
    <n v="1"/>
    <s v="03A7"/>
    <x v="4"/>
    <s v="Annual"/>
    <n v="1"/>
    <n v="1"/>
    <n v="56124"/>
    <n v="56124"/>
  </r>
  <r>
    <x v="0"/>
    <n v="51"/>
    <x v="19"/>
    <x v="0"/>
    <x v="0"/>
    <n v="1005"/>
    <x v="20"/>
    <x v="0"/>
    <x v="33"/>
    <n v="3015"/>
    <x v="145"/>
    <n v="4120"/>
    <x v="86"/>
    <s v="B 10"/>
    <n v="1"/>
    <s v="03A7"/>
    <x v="4"/>
    <s v="Annual"/>
    <n v="1"/>
    <n v="1"/>
    <n v="51936"/>
    <n v="51936"/>
  </r>
  <r>
    <x v="0"/>
    <n v="51"/>
    <x v="19"/>
    <x v="0"/>
    <x v="0"/>
    <n v="1005"/>
    <x v="20"/>
    <x v="0"/>
    <x v="33"/>
    <n v="3015"/>
    <x v="145"/>
    <n v="4120"/>
    <x v="86"/>
    <s v="X 33"/>
    <n v="9"/>
    <n v="341"/>
    <x v="620"/>
    <s v="Annual"/>
    <n v="1"/>
    <n v="1"/>
    <n v="153384"/>
    <n v="153384"/>
  </r>
  <r>
    <x v="0"/>
    <n v="51"/>
    <x v="19"/>
    <x v="0"/>
    <x v="0"/>
    <n v="1005"/>
    <x v="20"/>
    <x v="0"/>
    <x v="33"/>
    <n v="3015"/>
    <x v="145"/>
    <n v="4120"/>
    <x v="86"/>
    <s v="X 33"/>
    <n v="9"/>
    <n v="341"/>
    <x v="620"/>
    <s v="Annual"/>
    <n v="1"/>
    <n v="1"/>
    <n v="146808"/>
    <n v="146808"/>
  </r>
  <r>
    <x v="0"/>
    <n v="51"/>
    <x v="19"/>
    <x v="0"/>
    <x v="0"/>
    <n v="1005"/>
    <x v="20"/>
    <x v="0"/>
    <x v="33"/>
    <n v="3015"/>
    <x v="145"/>
    <n v="4120"/>
    <x v="86"/>
    <s v="B 13"/>
    <n v="1"/>
    <n v="308"/>
    <x v="90"/>
    <s v="Annual"/>
    <n v="1"/>
    <n v="1"/>
    <n v="94452"/>
    <n v="94452"/>
  </r>
  <r>
    <x v="0"/>
    <n v="51"/>
    <x v="19"/>
    <x v="0"/>
    <x v="0"/>
    <n v="1005"/>
    <x v="20"/>
    <x v="0"/>
    <x v="33"/>
    <n v="3015"/>
    <x v="145"/>
    <n v="4120"/>
    <x v="86"/>
    <s v="B 13"/>
    <n v="1"/>
    <n v="308"/>
    <x v="90"/>
    <s v="Annual"/>
    <n v="1"/>
    <n v="1"/>
    <n v="85200"/>
    <n v="85200"/>
  </r>
  <r>
    <x v="0"/>
    <n v="51"/>
    <x v="19"/>
    <x v="0"/>
    <x v="0"/>
    <n v="1005"/>
    <x v="20"/>
    <x v="0"/>
    <x v="33"/>
    <n v="3015"/>
    <x v="145"/>
    <n v="4120"/>
    <x v="86"/>
    <s v="1 00"/>
    <n v="0"/>
    <n v="15"/>
    <x v="37"/>
    <s v="Annual"/>
    <n v="0"/>
    <n v="0"/>
    <n v="34972"/>
    <n v="34972"/>
  </r>
  <r>
    <x v="0"/>
    <n v="51"/>
    <x v="19"/>
    <x v="0"/>
    <x v="0"/>
    <n v="1005"/>
    <x v="20"/>
    <x v="0"/>
    <x v="33"/>
    <n v="3020"/>
    <x v="146"/>
    <n v="4200"/>
    <x v="87"/>
    <s v="X 31"/>
    <n v="9"/>
    <n v="9814"/>
    <x v="275"/>
    <s v="Annual"/>
    <n v="1"/>
    <n v="1"/>
    <n v="199800"/>
    <n v="199800"/>
  </r>
  <r>
    <x v="0"/>
    <n v="51"/>
    <x v="19"/>
    <x v="0"/>
    <x v="0"/>
    <n v="1005"/>
    <x v="20"/>
    <x v="0"/>
    <x v="33"/>
    <n v="3020"/>
    <x v="146"/>
    <n v="4200"/>
    <x v="87"/>
    <s v="B 12"/>
    <n v="1"/>
    <s v="03A8"/>
    <x v="88"/>
    <s v="Annual"/>
    <n v="1"/>
    <n v="1"/>
    <n v="74172"/>
    <n v="74172"/>
  </r>
  <r>
    <x v="0"/>
    <n v="51"/>
    <x v="19"/>
    <x v="0"/>
    <x v="0"/>
    <n v="1005"/>
    <x v="20"/>
    <x v="0"/>
    <x v="33"/>
    <n v="3020"/>
    <x v="146"/>
    <n v="4200"/>
    <x v="87"/>
    <s v="1 00"/>
    <n v="0"/>
    <n v="15"/>
    <x v="37"/>
    <s v="Annual"/>
    <n v="0"/>
    <n v="0"/>
    <n v="2527"/>
    <n v="2527"/>
  </r>
  <r>
    <x v="0"/>
    <n v="51"/>
    <x v="19"/>
    <x v="0"/>
    <x v="0"/>
    <n v="1005"/>
    <x v="20"/>
    <x v="0"/>
    <x v="33"/>
    <n v="3020"/>
    <x v="146"/>
    <n v="4205"/>
    <x v="88"/>
    <s v="X 32"/>
    <n v="9"/>
    <n v="9684"/>
    <x v="76"/>
    <s v="Annual"/>
    <n v="1"/>
    <n v="1"/>
    <n v="175512"/>
    <n v="175512"/>
  </r>
  <r>
    <x v="0"/>
    <n v="51"/>
    <x v="19"/>
    <x v="0"/>
    <x v="0"/>
    <n v="1005"/>
    <x v="20"/>
    <x v="0"/>
    <x v="33"/>
    <n v="3020"/>
    <x v="146"/>
    <n v="4205"/>
    <x v="88"/>
    <s v="GY 08"/>
    <n v="20"/>
    <n v="1141"/>
    <x v="79"/>
    <s v="Annual"/>
    <n v="1"/>
    <n v="1"/>
    <n v="82884"/>
    <n v="82884"/>
  </r>
  <r>
    <x v="0"/>
    <n v="51"/>
    <x v="19"/>
    <x v="0"/>
    <x v="0"/>
    <n v="1005"/>
    <x v="20"/>
    <x v="0"/>
    <x v="33"/>
    <n v="3020"/>
    <x v="146"/>
    <n v="4205"/>
    <x v="88"/>
    <s v="B 14"/>
    <n v="1"/>
    <n v="689"/>
    <x v="269"/>
    <s v="Annual"/>
    <n v="1"/>
    <n v="1"/>
    <n v="75336"/>
    <n v="75336"/>
  </r>
  <r>
    <x v="0"/>
    <n v="51"/>
    <x v="19"/>
    <x v="0"/>
    <x v="0"/>
    <n v="1005"/>
    <x v="20"/>
    <x v="0"/>
    <x v="33"/>
    <n v="3020"/>
    <x v="146"/>
    <n v="4205"/>
    <x v="88"/>
    <s v="G 10"/>
    <n v="4"/>
    <n v="659"/>
    <x v="270"/>
    <s v="Annual"/>
    <n v="1"/>
    <n v="1"/>
    <n v="128316"/>
    <n v="128316"/>
  </r>
  <r>
    <x v="0"/>
    <n v="51"/>
    <x v="19"/>
    <x v="0"/>
    <x v="0"/>
    <n v="1005"/>
    <x v="20"/>
    <x v="0"/>
    <x v="33"/>
    <n v="3020"/>
    <x v="146"/>
    <n v="4205"/>
    <x v="88"/>
    <s v="G 06"/>
    <n v="4"/>
    <n v="638"/>
    <x v="621"/>
    <s v="Annual"/>
    <n v="1"/>
    <n v="1"/>
    <n v="118836"/>
    <n v="118836"/>
  </r>
  <r>
    <x v="0"/>
    <n v="51"/>
    <x v="19"/>
    <x v="0"/>
    <x v="0"/>
    <n v="1005"/>
    <x v="20"/>
    <x v="0"/>
    <x v="33"/>
    <n v="3020"/>
    <x v="146"/>
    <n v="4205"/>
    <x v="88"/>
    <s v="G 08"/>
    <n v="4"/>
    <n v="635"/>
    <x v="242"/>
    <s v="Annual"/>
    <n v="1"/>
    <n v="1"/>
    <n v="141564"/>
    <n v="141564"/>
  </r>
  <r>
    <x v="0"/>
    <n v="51"/>
    <x v="19"/>
    <x v="0"/>
    <x v="0"/>
    <n v="1005"/>
    <x v="20"/>
    <x v="0"/>
    <x v="33"/>
    <n v="3020"/>
    <x v="146"/>
    <n v="4205"/>
    <x v="88"/>
    <s v="G 08"/>
    <n v="4"/>
    <n v="635"/>
    <x v="242"/>
    <s v="Annual"/>
    <n v="1"/>
    <n v="1"/>
    <n v="99408"/>
    <n v="99408"/>
  </r>
  <r>
    <x v="0"/>
    <n v="51"/>
    <x v="19"/>
    <x v="0"/>
    <x v="0"/>
    <n v="1005"/>
    <x v="20"/>
    <x v="0"/>
    <x v="33"/>
    <n v="3020"/>
    <x v="146"/>
    <n v="4205"/>
    <x v="88"/>
    <s v="B 16"/>
    <n v="1"/>
    <n v="634"/>
    <x v="295"/>
    <s v="Annual"/>
    <n v="1"/>
    <n v="1"/>
    <n v="90732"/>
    <n v="90732"/>
  </r>
  <r>
    <x v="0"/>
    <n v="51"/>
    <x v="19"/>
    <x v="0"/>
    <x v="0"/>
    <n v="1005"/>
    <x v="20"/>
    <x v="0"/>
    <x v="33"/>
    <n v="3020"/>
    <x v="146"/>
    <n v="4205"/>
    <x v="88"/>
    <s v="G 10"/>
    <n v="1"/>
    <n v="629"/>
    <x v="271"/>
    <s v="Annual"/>
    <n v="1"/>
    <n v="1"/>
    <n v="153228"/>
    <n v="153228"/>
  </r>
  <r>
    <x v="0"/>
    <n v="51"/>
    <x v="19"/>
    <x v="0"/>
    <x v="0"/>
    <n v="1005"/>
    <x v="20"/>
    <x v="0"/>
    <x v="33"/>
    <n v="3020"/>
    <x v="146"/>
    <n v="4205"/>
    <x v="88"/>
    <s v="G 10"/>
    <n v="1"/>
    <n v="629"/>
    <x v="271"/>
    <s v="Annual"/>
    <n v="1"/>
    <n v="1"/>
    <n v="128316"/>
    <n v="128316"/>
  </r>
  <r>
    <x v="0"/>
    <n v="51"/>
    <x v="19"/>
    <x v="0"/>
    <x v="0"/>
    <n v="1005"/>
    <x v="20"/>
    <x v="0"/>
    <x v="33"/>
    <n v="3020"/>
    <x v="146"/>
    <n v="4205"/>
    <x v="88"/>
    <s v="B 15"/>
    <n v="1"/>
    <n v="627"/>
    <x v="622"/>
    <s v="Annual"/>
    <n v="1"/>
    <n v="1"/>
    <n v="143400"/>
    <n v="143400"/>
  </r>
  <r>
    <x v="0"/>
    <n v="51"/>
    <x v="19"/>
    <x v="0"/>
    <x v="0"/>
    <n v="1005"/>
    <x v="20"/>
    <x v="0"/>
    <x v="33"/>
    <n v="3020"/>
    <x v="146"/>
    <n v="4205"/>
    <x v="88"/>
    <s v="X 33"/>
    <n v="0"/>
    <n v="601"/>
    <x v="332"/>
    <s v="Annual"/>
    <n v="1"/>
    <n v="1"/>
    <n v="146808"/>
    <n v="146808"/>
  </r>
  <r>
    <x v="0"/>
    <n v="51"/>
    <x v="19"/>
    <x v="0"/>
    <x v="0"/>
    <n v="1005"/>
    <x v="20"/>
    <x v="0"/>
    <x v="33"/>
    <n v="3020"/>
    <x v="146"/>
    <n v="4205"/>
    <x v="88"/>
    <s v="BX 18"/>
    <n v="20"/>
    <n v="394"/>
    <x v="68"/>
    <s v="Annual"/>
    <n v="1"/>
    <n v="1"/>
    <n v="102444"/>
    <n v="102444"/>
  </r>
  <r>
    <x v="0"/>
    <n v="51"/>
    <x v="19"/>
    <x v="0"/>
    <x v="0"/>
    <n v="1005"/>
    <x v="20"/>
    <x v="0"/>
    <x v="33"/>
    <n v="3020"/>
    <x v="146"/>
    <n v="4205"/>
    <x v="88"/>
    <s v="BX 18"/>
    <n v="10"/>
    <n v="310"/>
    <x v="135"/>
    <s v="Annual"/>
    <n v="2"/>
    <n v="1"/>
    <n v="113568"/>
    <n v="227136"/>
  </r>
  <r>
    <x v="0"/>
    <n v="51"/>
    <x v="19"/>
    <x v="0"/>
    <x v="0"/>
    <n v="1005"/>
    <x v="20"/>
    <x v="0"/>
    <x v="33"/>
    <n v="3020"/>
    <x v="146"/>
    <n v="4205"/>
    <x v="88"/>
    <s v="BX 18"/>
    <n v="10"/>
    <n v="310"/>
    <x v="135"/>
    <s v="Annual"/>
    <n v="1"/>
    <n v="1"/>
    <n v="107340"/>
    <n v="107340"/>
  </r>
  <r>
    <x v="0"/>
    <n v="51"/>
    <x v="19"/>
    <x v="0"/>
    <x v="0"/>
    <n v="1005"/>
    <x v="20"/>
    <x v="0"/>
    <x v="33"/>
    <n v="3020"/>
    <x v="146"/>
    <n v="4205"/>
    <x v="88"/>
    <s v="BX 18"/>
    <n v="10"/>
    <n v="310"/>
    <x v="135"/>
    <s v="Annual"/>
    <n v="1"/>
    <n v="1"/>
    <n v="97836"/>
    <n v="97836"/>
  </r>
  <r>
    <x v="0"/>
    <n v="51"/>
    <x v="19"/>
    <x v="0"/>
    <x v="0"/>
    <n v="1005"/>
    <x v="20"/>
    <x v="0"/>
    <x v="33"/>
    <n v="3020"/>
    <x v="146"/>
    <n v="4205"/>
    <x v="88"/>
    <s v="1 00"/>
    <n v="0"/>
    <n v="15"/>
    <x v="37"/>
    <s v="Annual"/>
    <n v="0"/>
    <n v="0"/>
    <n v="20320"/>
    <n v="20320"/>
  </r>
  <r>
    <x v="0"/>
    <n v="51"/>
    <x v="19"/>
    <x v="0"/>
    <x v="0"/>
    <n v="1005"/>
    <x v="20"/>
    <x v="0"/>
    <x v="33"/>
    <n v="3020"/>
    <x v="146"/>
    <n v="4210"/>
    <x v="89"/>
    <s v="BX 18"/>
    <n v="10"/>
    <n v="311"/>
    <x v="253"/>
    <s v="Annual"/>
    <n v="1"/>
    <n v="1"/>
    <n v="124584"/>
    <n v="124584"/>
  </r>
  <r>
    <x v="0"/>
    <n v="51"/>
    <x v="19"/>
    <x v="0"/>
    <x v="0"/>
    <n v="1005"/>
    <x v="20"/>
    <x v="0"/>
    <x v="33"/>
    <n v="3020"/>
    <x v="146"/>
    <n v="4210"/>
    <x v="89"/>
    <s v="BX 18"/>
    <n v="10"/>
    <n v="310"/>
    <x v="135"/>
    <s v="Annual"/>
    <n v="2"/>
    <n v="1"/>
    <n v="113568"/>
    <n v="227136"/>
  </r>
  <r>
    <x v="0"/>
    <n v="54"/>
    <x v="20"/>
    <x v="0"/>
    <x v="0"/>
    <n v="1005"/>
    <x v="21"/>
    <x v="0"/>
    <x v="34"/>
    <n v="3035"/>
    <x v="22"/>
    <n v="4000"/>
    <x v="42"/>
    <s v="1 00"/>
    <n v="9"/>
    <n v="9954"/>
    <x v="623"/>
    <s v="Annual"/>
    <n v="1"/>
    <n v="1"/>
    <n v="214344"/>
    <n v="214344"/>
  </r>
  <r>
    <x v="0"/>
    <n v="54"/>
    <x v="20"/>
    <x v="0"/>
    <x v="0"/>
    <n v="1005"/>
    <x v="21"/>
    <x v="0"/>
    <x v="34"/>
    <n v="3035"/>
    <x v="22"/>
    <n v="4000"/>
    <x v="42"/>
    <s v="X 32"/>
    <n v="9"/>
    <n v="9679"/>
    <x v="81"/>
    <s v="Annual"/>
    <n v="1"/>
    <n v="1"/>
    <n v="157332"/>
    <n v="157332"/>
  </r>
  <r>
    <x v="0"/>
    <n v="54"/>
    <x v="20"/>
    <x v="0"/>
    <x v="0"/>
    <n v="1005"/>
    <x v="21"/>
    <x v="0"/>
    <x v="34"/>
    <n v="3035"/>
    <x v="22"/>
    <n v="4000"/>
    <x v="42"/>
    <s v="X 31"/>
    <n v="9"/>
    <n v="9660"/>
    <x v="353"/>
    <s v="Annual"/>
    <n v="1"/>
    <n v="1"/>
    <n v="199800"/>
    <n v="199800"/>
  </r>
  <r>
    <x v="0"/>
    <n v="54"/>
    <x v="20"/>
    <x v="0"/>
    <x v="0"/>
    <n v="1005"/>
    <x v="21"/>
    <x v="0"/>
    <x v="34"/>
    <n v="3035"/>
    <x v="22"/>
    <n v="4000"/>
    <x v="42"/>
    <s v="B 14"/>
    <n v="4"/>
    <n v="1912"/>
    <x v="222"/>
    <s v="Annual"/>
    <n v="1"/>
    <n v="1"/>
    <n v="75336"/>
    <n v="75336"/>
  </r>
  <r>
    <x v="0"/>
    <n v="54"/>
    <x v="20"/>
    <x v="0"/>
    <x v="0"/>
    <n v="1005"/>
    <x v="21"/>
    <x v="0"/>
    <x v="34"/>
    <n v="3035"/>
    <x v="22"/>
    <n v="4000"/>
    <x v="42"/>
    <s v="G 06"/>
    <n v="4"/>
    <n v="1142"/>
    <x v="624"/>
    <s v="Annual"/>
    <n v="1"/>
    <n v="1"/>
    <n v="81636"/>
    <n v="81636"/>
  </r>
  <r>
    <x v="0"/>
    <n v="54"/>
    <x v="20"/>
    <x v="0"/>
    <x v="0"/>
    <n v="1005"/>
    <x v="21"/>
    <x v="0"/>
    <x v="34"/>
    <n v="3035"/>
    <x v="22"/>
    <n v="4000"/>
    <x v="42"/>
    <s v="BX 16"/>
    <n v="10"/>
    <n v="802"/>
    <x v="30"/>
    <s v="Annual"/>
    <n v="1"/>
    <n v="1"/>
    <n v="80124"/>
    <n v="80124"/>
  </r>
  <r>
    <x v="0"/>
    <n v="54"/>
    <x v="20"/>
    <x v="0"/>
    <x v="0"/>
    <n v="1005"/>
    <x v="21"/>
    <x v="0"/>
    <x v="34"/>
    <n v="3035"/>
    <x v="22"/>
    <n v="4000"/>
    <x v="42"/>
    <s v="G 10"/>
    <n v="3"/>
    <s v="06A6"/>
    <x v="625"/>
    <s v="Annual"/>
    <n v="1"/>
    <n v="1"/>
    <n v="128316"/>
    <n v="128316"/>
  </r>
  <r>
    <x v="0"/>
    <n v="54"/>
    <x v="20"/>
    <x v="0"/>
    <x v="0"/>
    <n v="1005"/>
    <x v="21"/>
    <x v="0"/>
    <x v="34"/>
    <n v="3035"/>
    <x v="22"/>
    <n v="4000"/>
    <x v="42"/>
    <s v="X 33"/>
    <n v="9"/>
    <n v="313"/>
    <x v="220"/>
    <s v="Annual"/>
    <n v="1"/>
    <n v="1"/>
    <n v="153384"/>
    <n v="153384"/>
  </r>
  <r>
    <x v="0"/>
    <n v="54"/>
    <x v="20"/>
    <x v="0"/>
    <x v="0"/>
    <n v="1005"/>
    <x v="21"/>
    <x v="0"/>
    <x v="34"/>
    <n v="3035"/>
    <x v="22"/>
    <n v="4000"/>
    <x v="42"/>
    <s v="1 00"/>
    <n v="0"/>
    <n v="15"/>
    <x v="37"/>
    <s v="Annual"/>
    <n v="0"/>
    <n v="0"/>
    <n v="6192"/>
    <n v="6192"/>
  </r>
  <r>
    <x v="0"/>
    <n v="54"/>
    <x v="20"/>
    <x v="0"/>
    <x v="0"/>
    <n v="1005"/>
    <x v="21"/>
    <x v="0"/>
    <x v="34"/>
    <n v="3035"/>
    <x v="22"/>
    <n v="4001"/>
    <x v="90"/>
    <s v="X 32"/>
    <n v="9"/>
    <n v="9679"/>
    <x v="81"/>
    <s v="Annual"/>
    <n v="1"/>
    <n v="1"/>
    <n v="167964"/>
    <n v="167964"/>
  </r>
  <r>
    <x v="0"/>
    <n v="54"/>
    <x v="20"/>
    <x v="0"/>
    <x v="0"/>
    <n v="1005"/>
    <x v="21"/>
    <x v="0"/>
    <x v="34"/>
    <n v="3035"/>
    <x v="22"/>
    <n v="4001"/>
    <x v="90"/>
    <s v="B 14"/>
    <n v="1"/>
    <n v="2944"/>
    <x v="626"/>
    <s v="Annual"/>
    <n v="1"/>
    <n v="1"/>
    <n v="130668"/>
    <n v="130668"/>
  </r>
  <r>
    <x v="0"/>
    <n v="54"/>
    <x v="20"/>
    <x v="0"/>
    <x v="0"/>
    <n v="1005"/>
    <x v="21"/>
    <x v="0"/>
    <x v="34"/>
    <n v="3035"/>
    <x v="22"/>
    <n v="4001"/>
    <x v="90"/>
    <s v="X 33"/>
    <n v="20"/>
    <n v="1191"/>
    <x v="405"/>
    <s v="Annual"/>
    <n v="1"/>
    <n v="1"/>
    <n v="146808"/>
    <n v="146808"/>
  </r>
  <r>
    <x v="0"/>
    <n v="54"/>
    <x v="20"/>
    <x v="0"/>
    <x v="0"/>
    <n v="1005"/>
    <x v="21"/>
    <x v="0"/>
    <x v="34"/>
    <n v="3035"/>
    <x v="22"/>
    <n v="4001"/>
    <x v="90"/>
    <s v="X 33"/>
    <n v="0"/>
    <n v="118"/>
    <x v="92"/>
    <s v="Annual"/>
    <n v="1"/>
    <n v="1"/>
    <n v="121668"/>
    <n v="121668"/>
  </r>
  <r>
    <x v="0"/>
    <n v="54"/>
    <x v="20"/>
    <x v="0"/>
    <x v="0"/>
    <n v="1005"/>
    <x v="21"/>
    <x v="0"/>
    <x v="34"/>
    <n v="3035"/>
    <x v="22"/>
    <n v="4001"/>
    <x v="90"/>
    <s v="B 11"/>
    <n v="1"/>
    <n v="109"/>
    <x v="94"/>
    <s v="Annual"/>
    <n v="1"/>
    <n v="1"/>
    <n v="98928"/>
    <n v="98928"/>
  </r>
  <r>
    <x v="0"/>
    <n v="54"/>
    <x v="20"/>
    <x v="0"/>
    <x v="0"/>
    <n v="1005"/>
    <x v="21"/>
    <x v="0"/>
    <x v="34"/>
    <n v="3035"/>
    <x v="22"/>
    <n v="4001"/>
    <x v="90"/>
    <s v="1 00"/>
    <n v="0"/>
    <n v="15"/>
    <x v="37"/>
    <s v="Annual"/>
    <n v="0"/>
    <n v="0"/>
    <n v="17904"/>
    <n v="17904"/>
  </r>
  <r>
    <x v="0"/>
    <n v="54"/>
    <x v="20"/>
    <x v="0"/>
    <x v="0"/>
    <n v="1005"/>
    <x v="21"/>
    <x v="0"/>
    <x v="34"/>
    <n v="3035"/>
    <x v="22"/>
    <n v="4002"/>
    <x v="32"/>
    <s v="X 32"/>
    <n v="9"/>
    <n v="9679"/>
    <x v="81"/>
    <s v="Annual"/>
    <n v="1"/>
    <n v="1"/>
    <n v="175512"/>
    <n v="175512"/>
  </r>
  <r>
    <x v="0"/>
    <n v="54"/>
    <x v="20"/>
    <x v="0"/>
    <x v="0"/>
    <n v="1005"/>
    <x v="21"/>
    <x v="0"/>
    <x v="34"/>
    <n v="3035"/>
    <x v="22"/>
    <n v="4002"/>
    <x v="32"/>
    <s v="G 04"/>
    <n v="4"/>
    <n v="1402"/>
    <x v="627"/>
    <s v="Annual"/>
    <n v="1"/>
    <n v="1"/>
    <n v="98460"/>
    <n v="98460"/>
  </r>
  <r>
    <x v="0"/>
    <n v="54"/>
    <x v="20"/>
    <x v="0"/>
    <x v="0"/>
    <n v="1005"/>
    <x v="21"/>
    <x v="0"/>
    <x v="34"/>
    <n v="3035"/>
    <x v="22"/>
    <n v="4002"/>
    <x v="32"/>
    <s v="X 33"/>
    <n v="0"/>
    <n v="1338"/>
    <x v="388"/>
    <s v="Annual"/>
    <n v="1"/>
    <n v="1"/>
    <n v="162672"/>
    <n v="162672"/>
  </r>
  <r>
    <x v="0"/>
    <n v="54"/>
    <x v="20"/>
    <x v="0"/>
    <x v="0"/>
    <n v="1005"/>
    <x v="21"/>
    <x v="0"/>
    <x v="34"/>
    <n v="3035"/>
    <x v="22"/>
    <n v="4002"/>
    <x v="32"/>
    <s v="BX 17"/>
    <n v="20"/>
    <n v="1327"/>
    <x v="596"/>
    <s v="Annual"/>
    <n v="1"/>
    <n v="1"/>
    <n v="130524"/>
    <n v="130524"/>
  </r>
  <r>
    <x v="0"/>
    <n v="54"/>
    <x v="20"/>
    <x v="0"/>
    <x v="0"/>
    <n v="1005"/>
    <x v="21"/>
    <x v="0"/>
    <x v="34"/>
    <n v="3035"/>
    <x v="22"/>
    <n v="4002"/>
    <x v="32"/>
    <s v="BX 15"/>
    <n v="10"/>
    <n v="1310"/>
    <x v="329"/>
    <s v="Annual"/>
    <n v="1"/>
    <n v="1"/>
    <n v="80124"/>
    <n v="80124"/>
  </r>
  <r>
    <x v="0"/>
    <n v="54"/>
    <x v="20"/>
    <x v="0"/>
    <x v="0"/>
    <n v="1005"/>
    <x v="21"/>
    <x v="0"/>
    <x v="34"/>
    <n v="3035"/>
    <x v="22"/>
    <n v="4002"/>
    <x v="32"/>
    <s v="B 14"/>
    <n v="1"/>
    <n v="689"/>
    <x v="269"/>
    <s v="Annual"/>
    <n v="1"/>
    <n v="1"/>
    <n v="81324"/>
    <n v="81324"/>
  </r>
  <r>
    <x v="0"/>
    <n v="54"/>
    <x v="20"/>
    <x v="0"/>
    <x v="0"/>
    <n v="1005"/>
    <x v="21"/>
    <x v="0"/>
    <x v="34"/>
    <n v="3035"/>
    <x v="22"/>
    <n v="4002"/>
    <x v="32"/>
    <s v="BX 17"/>
    <n v="20"/>
    <n v="381"/>
    <x v="296"/>
    <s v="Annual"/>
    <n v="1"/>
    <n v="1"/>
    <n v="124584"/>
    <n v="124584"/>
  </r>
  <r>
    <x v="0"/>
    <n v="54"/>
    <x v="20"/>
    <x v="0"/>
    <x v="0"/>
    <n v="1005"/>
    <x v="21"/>
    <x v="0"/>
    <x v="34"/>
    <n v="3035"/>
    <x v="22"/>
    <n v="4002"/>
    <x v="32"/>
    <s v="1 00"/>
    <n v="0"/>
    <n v="15"/>
    <x v="37"/>
    <s v="Annual"/>
    <n v="0"/>
    <n v="0"/>
    <n v="13466"/>
    <n v="13466"/>
  </r>
  <r>
    <x v="0"/>
    <n v="54"/>
    <x v="20"/>
    <x v="0"/>
    <x v="0"/>
    <n v="1005"/>
    <x v="21"/>
    <x v="0"/>
    <x v="34"/>
    <n v="3035"/>
    <x v="22"/>
    <n v="4009"/>
    <x v="91"/>
    <s v="X 32"/>
    <n v="9"/>
    <n v="9679"/>
    <x v="81"/>
    <s v="Annual"/>
    <n v="1"/>
    <n v="1"/>
    <n v="175512"/>
    <n v="175512"/>
  </r>
  <r>
    <x v="0"/>
    <n v="54"/>
    <x v="20"/>
    <x v="0"/>
    <x v="0"/>
    <n v="1005"/>
    <x v="21"/>
    <x v="0"/>
    <x v="34"/>
    <n v="3035"/>
    <x v="22"/>
    <n v="4009"/>
    <x v="91"/>
    <s v="X 33"/>
    <n v="9"/>
    <n v="313"/>
    <x v="220"/>
    <s v="Annual"/>
    <n v="1"/>
    <n v="1"/>
    <n v="146808"/>
    <n v="146808"/>
  </r>
  <r>
    <x v="0"/>
    <n v="54"/>
    <x v="20"/>
    <x v="0"/>
    <x v="0"/>
    <n v="1005"/>
    <x v="21"/>
    <x v="0"/>
    <x v="34"/>
    <n v="3035"/>
    <x v="22"/>
    <n v="4009"/>
    <x v="91"/>
    <s v="B 13"/>
    <n v="1"/>
    <n v="308"/>
    <x v="90"/>
    <s v="Annual"/>
    <n v="1"/>
    <n v="1"/>
    <n v="108576"/>
    <n v="108576"/>
  </r>
  <r>
    <x v="0"/>
    <n v="54"/>
    <x v="20"/>
    <x v="0"/>
    <x v="0"/>
    <n v="1005"/>
    <x v="21"/>
    <x v="0"/>
    <x v="34"/>
    <n v="3035"/>
    <x v="22"/>
    <n v="4009"/>
    <x v="91"/>
    <s v="1 00"/>
    <n v="0"/>
    <n v="15"/>
    <x v="37"/>
    <s v="Annual"/>
    <n v="0"/>
    <n v="0"/>
    <n v="9642"/>
    <n v="9642"/>
  </r>
  <r>
    <x v="0"/>
    <n v="54"/>
    <x v="20"/>
    <x v="0"/>
    <x v="0"/>
    <n v="1005"/>
    <x v="21"/>
    <x v="0"/>
    <x v="34"/>
    <n v="3042"/>
    <x v="147"/>
    <n v="4101"/>
    <x v="92"/>
    <s v="X 32"/>
    <n v="9"/>
    <n v="9679"/>
    <x v="81"/>
    <s v="Annual"/>
    <n v="1"/>
    <n v="1"/>
    <n v="167964"/>
    <n v="167964"/>
  </r>
  <r>
    <x v="0"/>
    <n v="54"/>
    <x v="20"/>
    <x v="0"/>
    <x v="0"/>
    <n v="1005"/>
    <x v="21"/>
    <x v="0"/>
    <x v="34"/>
    <n v="3042"/>
    <x v="147"/>
    <n v="4101"/>
    <x v="92"/>
    <s v="GY 10"/>
    <n v="10"/>
    <n v="1408"/>
    <x v="628"/>
    <s v="Annual"/>
    <n v="1"/>
    <n v="1"/>
    <n v="130476"/>
    <n v="130476"/>
  </r>
  <r>
    <x v="0"/>
    <n v="54"/>
    <x v="20"/>
    <x v="0"/>
    <x v="0"/>
    <n v="1005"/>
    <x v="21"/>
    <x v="0"/>
    <x v="34"/>
    <n v="3042"/>
    <x v="147"/>
    <n v="4101"/>
    <x v="92"/>
    <s v="GY 10"/>
    <n v="10"/>
    <n v="1408"/>
    <x v="628"/>
    <s v="Annual"/>
    <n v="1"/>
    <n v="1"/>
    <n v="115992"/>
    <n v="115992"/>
  </r>
  <r>
    <x v="0"/>
    <n v="54"/>
    <x v="20"/>
    <x v="0"/>
    <x v="0"/>
    <n v="1005"/>
    <x v="21"/>
    <x v="0"/>
    <x v="34"/>
    <n v="3042"/>
    <x v="147"/>
    <n v="4101"/>
    <x v="92"/>
    <s v="GY 10"/>
    <n v="10"/>
    <n v="1408"/>
    <x v="628"/>
    <s v="Annual"/>
    <n v="1"/>
    <n v="1"/>
    <n v="111000"/>
    <n v="111000"/>
  </r>
  <r>
    <x v="0"/>
    <n v="54"/>
    <x v="20"/>
    <x v="0"/>
    <x v="0"/>
    <n v="1005"/>
    <x v="21"/>
    <x v="0"/>
    <x v="34"/>
    <n v="3042"/>
    <x v="147"/>
    <n v="4101"/>
    <x v="92"/>
    <s v="GY 08"/>
    <n v="10"/>
    <n v="1405"/>
    <x v="629"/>
    <s v="Annual"/>
    <n v="1"/>
    <n v="1"/>
    <n v="112080"/>
    <n v="112080"/>
  </r>
  <r>
    <x v="0"/>
    <n v="54"/>
    <x v="20"/>
    <x v="0"/>
    <x v="0"/>
    <n v="1005"/>
    <x v="21"/>
    <x v="0"/>
    <x v="34"/>
    <n v="3042"/>
    <x v="147"/>
    <n v="4101"/>
    <x v="92"/>
    <s v="GY 08"/>
    <n v="10"/>
    <n v="1405"/>
    <x v="629"/>
    <s v="Annual"/>
    <n v="1"/>
    <n v="1"/>
    <n v="97332"/>
    <n v="97332"/>
  </r>
  <r>
    <x v="0"/>
    <n v="54"/>
    <x v="20"/>
    <x v="0"/>
    <x v="0"/>
    <n v="1005"/>
    <x v="21"/>
    <x v="0"/>
    <x v="34"/>
    <n v="3042"/>
    <x v="147"/>
    <n v="4101"/>
    <x v="92"/>
    <s v="GY 08"/>
    <n v="10"/>
    <n v="1405"/>
    <x v="629"/>
    <s v="Annual"/>
    <n v="2"/>
    <n v="1"/>
    <n v="93156"/>
    <n v="186312"/>
  </r>
  <r>
    <x v="0"/>
    <n v="54"/>
    <x v="20"/>
    <x v="0"/>
    <x v="0"/>
    <n v="1005"/>
    <x v="21"/>
    <x v="0"/>
    <x v="34"/>
    <n v="3042"/>
    <x v="147"/>
    <n v="4101"/>
    <x v="92"/>
    <s v="GY 08"/>
    <n v="10"/>
    <n v="1405"/>
    <x v="629"/>
    <s v="Annual"/>
    <n v="3"/>
    <n v="1"/>
    <n v="82884"/>
    <n v="248652"/>
  </r>
  <r>
    <x v="0"/>
    <n v="54"/>
    <x v="20"/>
    <x v="0"/>
    <x v="0"/>
    <n v="1005"/>
    <x v="21"/>
    <x v="0"/>
    <x v="34"/>
    <n v="3042"/>
    <x v="147"/>
    <n v="4101"/>
    <x v="92"/>
    <s v="1 00"/>
    <n v="0"/>
    <n v="15"/>
    <x v="37"/>
    <s v="Annual"/>
    <n v="0"/>
    <n v="0"/>
    <n v="18487"/>
    <n v="18487"/>
  </r>
  <r>
    <x v="0"/>
    <n v="54"/>
    <x v="20"/>
    <x v="0"/>
    <x v="0"/>
    <n v="1005"/>
    <x v="21"/>
    <x v="0"/>
    <x v="34"/>
    <n v="3042"/>
    <x v="147"/>
    <n v="4102"/>
    <x v="93"/>
    <s v="GY 08"/>
    <n v="10"/>
    <n v="1407"/>
    <x v="630"/>
    <s v="Annual"/>
    <n v="1"/>
    <n v="1"/>
    <n v="93156"/>
    <n v="93156"/>
  </r>
  <r>
    <x v="0"/>
    <n v="54"/>
    <x v="20"/>
    <x v="0"/>
    <x v="0"/>
    <n v="1005"/>
    <x v="21"/>
    <x v="0"/>
    <x v="34"/>
    <n v="3042"/>
    <x v="147"/>
    <n v="4102"/>
    <x v="93"/>
    <s v="GY 08"/>
    <n v="10"/>
    <n v="1407"/>
    <x v="630"/>
    <s v="Annual"/>
    <n v="1"/>
    <n v="1"/>
    <n v="89112"/>
    <n v="89112"/>
  </r>
  <r>
    <x v="0"/>
    <n v="54"/>
    <x v="20"/>
    <x v="0"/>
    <x v="0"/>
    <n v="1005"/>
    <x v="21"/>
    <x v="0"/>
    <x v="34"/>
    <n v="3042"/>
    <x v="147"/>
    <n v="4102"/>
    <x v="93"/>
    <s v="GY 08"/>
    <n v="10"/>
    <n v="1405"/>
    <x v="629"/>
    <s v="Annual"/>
    <n v="1"/>
    <n v="1"/>
    <n v="85236"/>
    <n v="85236"/>
  </r>
  <r>
    <x v="0"/>
    <n v="54"/>
    <x v="20"/>
    <x v="0"/>
    <x v="0"/>
    <n v="1005"/>
    <x v="21"/>
    <x v="0"/>
    <x v="34"/>
    <n v="3042"/>
    <x v="147"/>
    <n v="4102"/>
    <x v="93"/>
    <s v="GY 08"/>
    <n v="10"/>
    <n v="1405"/>
    <x v="629"/>
    <s v="Annual"/>
    <n v="1"/>
    <n v="1"/>
    <n v="82884"/>
    <n v="82884"/>
  </r>
  <r>
    <x v="0"/>
    <n v="54"/>
    <x v="20"/>
    <x v="0"/>
    <x v="0"/>
    <n v="1005"/>
    <x v="21"/>
    <x v="0"/>
    <x v="34"/>
    <n v="3042"/>
    <x v="147"/>
    <n v="4102"/>
    <x v="93"/>
    <s v="1 00"/>
    <n v="0"/>
    <n v="15"/>
    <x v="37"/>
    <s v="Annual"/>
    <n v="0"/>
    <n v="0"/>
    <n v="6855"/>
    <n v="6855"/>
  </r>
  <r>
    <x v="0"/>
    <n v="54"/>
    <x v="20"/>
    <x v="0"/>
    <x v="0"/>
    <n v="1005"/>
    <x v="21"/>
    <x v="0"/>
    <x v="34"/>
    <n v="3044"/>
    <x v="148"/>
    <n v="4094"/>
    <x v="94"/>
    <s v="B 14"/>
    <n v="4"/>
    <n v="1912"/>
    <x v="222"/>
    <s v="Annual"/>
    <n v="1"/>
    <n v="1"/>
    <n v="75336"/>
    <n v="75336"/>
  </r>
  <r>
    <x v="0"/>
    <n v="54"/>
    <x v="20"/>
    <x v="0"/>
    <x v="0"/>
    <n v="1005"/>
    <x v="21"/>
    <x v="0"/>
    <x v="34"/>
    <n v="3044"/>
    <x v="148"/>
    <n v="4094"/>
    <x v="94"/>
    <s v="GY 08"/>
    <n v="10"/>
    <n v="1405"/>
    <x v="629"/>
    <s v="Annual"/>
    <n v="1"/>
    <n v="1"/>
    <n v="112080"/>
    <n v="112080"/>
  </r>
  <r>
    <x v="0"/>
    <n v="54"/>
    <x v="20"/>
    <x v="0"/>
    <x v="0"/>
    <n v="1005"/>
    <x v="21"/>
    <x v="0"/>
    <x v="34"/>
    <n v="3044"/>
    <x v="148"/>
    <n v="4094"/>
    <x v="94"/>
    <s v="X 33"/>
    <n v="9"/>
    <n v="313"/>
    <x v="220"/>
    <s v="Annual"/>
    <n v="1"/>
    <n v="1"/>
    <n v="146808"/>
    <n v="146808"/>
  </r>
  <r>
    <x v="0"/>
    <n v="54"/>
    <x v="20"/>
    <x v="0"/>
    <x v="0"/>
    <n v="1005"/>
    <x v="21"/>
    <x v="0"/>
    <x v="34"/>
    <n v="3044"/>
    <x v="148"/>
    <n v="4094"/>
    <x v="94"/>
    <s v="1 00"/>
    <n v="0"/>
    <n v="15"/>
    <x v="37"/>
    <s v="Annual"/>
    <n v="0"/>
    <n v="0"/>
    <n v="3836"/>
    <n v="3836"/>
  </r>
  <r>
    <x v="0"/>
    <n v="54"/>
    <x v="20"/>
    <x v="0"/>
    <x v="0"/>
    <n v="1005"/>
    <x v="21"/>
    <x v="0"/>
    <x v="34"/>
    <n v="3044"/>
    <x v="148"/>
    <n v="4095"/>
    <x v="95"/>
    <s v="BX 18"/>
    <n v="10"/>
    <n v="3092"/>
    <x v="308"/>
    <s v="Annual"/>
    <n v="1"/>
    <n v="1"/>
    <n v="150072"/>
    <n v="150072"/>
  </r>
  <r>
    <x v="0"/>
    <n v="54"/>
    <x v="20"/>
    <x v="0"/>
    <x v="0"/>
    <n v="1005"/>
    <x v="21"/>
    <x v="0"/>
    <x v="34"/>
    <n v="3044"/>
    <x v="148"/>
    <n v="4095"/>
    <x v="95"/>
    <s v="BX 18"/>
    <n v="10"/>
    <n v="3092"/>
    <x v="308"/>
    <s v="Annual"/>
    <n v="1"/>
    <n v="1"/>
    <n v="89112"/>
    <n v="89112"/>
  </r>
  <r>
    <x v="0"/>
    <n v="54"/>
    <x v="20"/>
    <x v="0"/>
    <x v="0"/>
    <n v="1005"/>
    <x v="21"/>
    <x v="0"/>
    <x v="34"/>
    <n v="3044"/>
    <x v="148"/>
    <n v="4095"/>
    <x v="95"/>
    <s v="BX 16"/>
    <n v="10"/>
    <n v="1984"/>
    <x v="631"/>
    <s v="Annual"/>
    <n v="1"/>
    <n v="1"/>
    <n v="83052"/>
    <n v="83052"/>
  </r>
  <r>
    <x v="0"/>
    <n v="54"/>
    <x v="20"/>
    <x v="0"/>
    <x v="0"/>
    <n v="1005"/>
    <x v="21"/>
    <x v="0"/>
    <x v="34"/>
    <n v="3044"/>
    <x v="148"/>
    <n v="4095"/>
    <x v="95"/>
    <s v="1 00"/>
    <n v="0"/>
    <n v="15"/>
    <x v="37"/>
    <s v="Annual"/>
    <n v="0"/>
    <n v="0"/>
    <n v="2309"/>
    <n v="2309"/>
  </r>
  <r>
    <x v="0"/>
    <n v="54"/>
    <x v="20"/>
    <x v="0"/>
    <x v="0"/>
    <n v="1005"/>
    <x v="21"/>
    <x v="0"/>
    <x v="34"/>
    <n v="3046"/>
    <x v="149"/>
    <n v="4169"/>
    <x v="96"/>
    <s v="X 32"/>
    <n v="9"/>
    <n v="9679"/>
    <x v="81"/>
    <s v="Annual"/>
    <n v="1"/>
    <n v="1"/>
    <n v="139140"/>
    <n v="139140"/>
  </r>
  <r>
    <x v="0"/>
    <n v="54"/>
    <x v="20"/>
    <x v="0"/>
    <x v="0"/>
    <n v="1005"/>
    <x v="21"/>
    <x v="0"/>
    <x v="34"/>
    <n v="3046"/>
    <x v="149"/>
    <n v="4169"/>
    <x v="96"/>
    <s v="BX 17"/>
    <n v="10"/>
    <n v="1985"/>
    <x v="632"/>
    <s v="Annual"/>
    <n v="1"/>
    <n v="1"/>
    <n v="83052"/>
    <n v="83052"/>
  </r>
  <r>
    <x v="0"/>
    <n v="54"/>
    <x v="20"/>
    <x v="0"/>
    <x v="0"/>
    <n v="1005"/>
    <x v="21"/>
    <x v="0"/>
    <x v="34"/>
    <n v="3046"/>
    <x v="149"/>
    <n v="4169"/>
    <x v="96"/>
    <s v="GY 08"/>
    <n v="10"/>
    <n v="1405"/>
    <x v="629"/>
    <s v="Annual"/>
    <n v="2"/>
    <n v="1"/>
    <n v="85236"/>
    <n v="170472"/>
  </r>
  <r>
    <x v="0"/>
    <n v="54"/>
    <x v="20"/>
    <x v="0"/>
    <x v="0"/>
    <n v="1005"/>
    <x v="21"/>
    <x v="0"/>
    <x v="34"/>
    <n v="3046"/>
    <x v="149"/>
    <n v="4169"/>
    <x v="96"/>
    <s v="GY 08"/>
    <n v="10"/>
    <n v="1405"/>
    <x v="629"/>
    <s v="Annual"/>
    <n v="2"/>
    <n v="1"/>
    <n v="82884"/>
    <n v="165768"/>
  </r>
  <r>
    <x v="0"/>
    <n v="54"/>
    <x v="20"/>
    <x v="0"/>
    <x v="0"/>
    <n v="1005"/>
    <x v="21"/>
    <x v="0"/>
    <x v="34"/>
    <n v="3046"/>
    <x v="149"/>
    <n v="4169"/>
    <x v="96"/>
    <s v="BX 18"/>
    <n v="10"/>
    <n v="310"/>
    <x v="135"/>
    <s v="Annual"/>
    <n v="1"/>
    <n v="1"/>
    <n v="97836"/>
    <n v="97836"/>
  </r>
  <r>
    <x v="0"/>
    <n v="54"/>
    <x v="20"/>
    <x v="0"/>
    <x v="0"/>
    <n v="1005"/>
    <x v="21"/>
    <x v="0"/>
    <x v="34"/>
    <n v="3046"/>
    <x v="149"/>
    <n v="4169"/>
    <x v="96"/>
    <s v="1 00"/>
    <n v="0"/>
    <n v="15"/>
    <x v="37"/>
    <s v="Annual"/>
    <n v="0"/>
    <n v="0"/>
    <n v="11185"/>
    <n v="11185"/>
  </r>
  <r>
    <x v="0"/>
    <n v="54"/>
    <x v="20"/>
    <x v="0"/>
    <x v="0"/>
    <n v="1005"/>
    <x v="21"/>
    <x v="0"/>
    <x v="34"/>
    <n v="3046"/>
    <x v="149"/>
    <n v="4178"/>
    <x v="97"/>
    <s v="B 14"/>
    <n v="4"/>
    <n v="1912"/>
    <x v="222"/>
    <s v="Annual"/>
    <n v="1"/>
    <n v="1"/>
    <n v="85200"/>
    <n v="85200"/>
  </r>
  <r>
    <x v="0"/>
    <n v="54"/>
    <x v="20"/>
    <x v="0"/>
    <x v="0"/>
    <n v="1005"/>
    <x v="21"/>
    <x v="0"/>
    <x v="34"/>
    <n v="3046"/>
    <x v="149"/>
    <n v="4178"/>
    <x v="97"/>
    <s v="BX 15"/>
    <n v="10"/>
    <n v="1911"/>
    <x v="226"/>
    <s v="Annual"/>
    <n v="1"/>
    <n v="1"/>
    <n v="108432"/>
    <n v="108432"/>
  </r>
  <r>
    <x v="0"/>
    <n v="54"/>
    <x v="20"/>
    <x v="0"/>
    <x v="0"/>
    <n v="1005"/>
    <x v="21"/>
    <x v="0"/>
    <x v="34"/>
    <n v="3046"/>
    <x v="149"/>
    <n v="4178"/>
    <x v="97"/>
    <s v="X 33"/>
    <n v="20"/>
    <n v="1603"/>
    <x v="633"/>
    <s v="Annual"/>
    <n v="1"/>
    <n v="1"/>
    <n v="121668"/>
    <n v="121668"/>
  </r>
  <r>
    <x v="0"/>
    <n v="54"/>
    <x v="20"/>
    <x v="0"/>
    <x v="0"/>
    <n v="1005"/>
    <x v="21"/>
    <x v="0"/>
    <x v="34"/>
    <n v="3046"/>
    <x v="149"/>
    <n v="4178"/>
    <x v="97"/>
    <s v="B 14"/>
    <n v="1"/>
    <n v="1602"/>
    <x v="634"/>
    <s v="Annual"/>
    <n v="1"/>
    <n v="1"/>
    <n v="98928"/>
    <n v="98928"/>
  </r>
  <r>
    <x v="0"/>
    <n v="54"/>
    <x v="20"/>
    <x v="0"/>
    <x v="0"/>
    <n v="1005"/>
    <x v="21"/>
    <x v="0"/>
    <x v="34"/>
    <n v="3046"/>
    <x v="149"/>
    <n v="4178"/>
    <x v="97"/>
    <s v="B 14"/>
    <n v="1"/>
    <n v="1602"/>
    <x v="634"/>
    <s v="Annual"/>
    <n v="1"/>
    <n v="1"/>
    <n v="85200"/>
    <n v="85200"/>
  </r>
  <r>
    <x v="0"/>
    <n v="54"/>
    <x v="20"/>
    <x v="0"/>
    <x v="0"/>
    <n v="1005"/>
    <x v="21"/>
    <x v="0"/>
    <x v="34"/>
    <n v="3046"/>
    <x v="149"/>
    <n v="4178"/>
    <x v="97"/>
    <s v="B 14"/>
    <n v="1"/>
    <n v="1602"/>
    <x v="634"/>
    <s v="Annual"/>
    <n v="1"/>
    <n v="1"/>
    <n v="77640"/>
    <n v="77640"/>
  </r>
  <r>
    <x v="0"/>
    <n v="54"/>
    <x v="20"/>
    <x v="0"/>
    <x v="0"/>
    <n v="1005"/>
    <x v="21"/>
    <x v="0"/>
    <x v="34"/>
    <n v="3046"/>
    <x v="149"/>
    <n v="4178"/>
    <x v="97"/>
    <s v="B 14"/>
    <n v="1"/>
    <n v="1602"/>
    <x v="634"/>
    <s v="Annual"/>
    <n v="1"/>
    <n v="1"/>
    <n v="75336"/>
    <n v="75336"/>
  </r>
  <r>
    <x v="0"/>
    <n v="54"/>
    <x v="20"/>
    <x v="0"/>
    <x v="0"/>
    <n v="1005"/>
    <x v="21"/>
    <x v="0"/>
    <x v="34"/>
    <n v="3046"/>
    <x v="149"/>
    <n v="4178"/>
    <x v="97"/>
    <s v="GY 08"/>
    <n v="10"/>
    <n v="1405"/>
    <x v="629"/>
    <s v="Annual"/>
    <n v="1"/>
    <n v="1"/>
    <n v="97332"/>
    <n v="97332"/>
  </r>
  <r>
    <x v="0"/>
    <n v="54"/>
    <x v="20"/>
    <x v="0"/>
    <x v="0"/>
    <n v="1005"/>
    <x v="21"/>
    <x v="0"/>
    <x v="34"/>
    <n v="3046"/>
    <x v="149"/>
    <n v="4178"/>
    <x v="97"/>
    <s v="B 12"/>
    <n v="1"/>
    <s v="03A8"/>
    <x v="88"/>
    <s v="Annual"/>
    <n v="1"/>
    <n v="1"/>
    <n v="108576"/>
    <n v="108576"/>
  </r>
  <r>
    <x v="0"/>
    <n v="54"/>
    <x v="20"/>
    <x v="0"/>
    <x v="0"/>
    <n v="1005"/>
    <x v="21"/>
    <x v="0"/>
    <x v="34"/>
    <n v="3046"/>
    <x v="149"/>
    <n v="4178"/>
    <x v="97"/>
    <s v="1 00"/>
    <n v="0"/>
    <n v="15"/>
    <x v="37"/>
    <s v="Annual"/>
    <n v="0"/>
    <n v="0"/>
    <n v="19744"/>
    <n v="19744"/>
  </r>
  <r>
    <x v="0"/>
    <n v="54"/>
    <x v="20"/>
    <x v="0"/>
    <x v="0"/>
    <n v="1005"/>
    <x v="21"/>
    <x v="0"/>
    <x v="34"/>
    <n v="3046"/>
    <x v="149"/>
    <n v="4184"/>
    <x v="98"/>
    <s v="G 08"/>
    <n v="4"/>
    <n v="5404"/>
    <x v="592"/>
    <s v="Annual"/>
    <n v="1"/>
    <n v="1"/>
    <n v="99408"/>
    <n v="99408"/>
  </r>
  <r>
    <x v="0"/>
    <n v="54"/>
    <x v="20"/>
    <x v="0"/>
    <x v="0"/>
    <n v="1005"/>
    <x v="21"/>
    <x v="0"/>
    <x v="34"/>
    <n v="3046"/>
    <x v="149"/>
    <n v="4184"/>
    <x v="98"/>
    <s v="G 06"/>
    <n v="4"/>
    <n v="5402"/>
    <x v="635"/>
    <s v="Annual"/>
    <n v="2"/>
    <n v="1"/>
    <n v="107628"/>
    <n v="215256"/>
  </r>
  <r>
    <x v="0"/>
    <n v="54"/>
    <x v="20"/>
    <x v="0"/>
    <x v="0"/>
    <n v="1005"/>
    <x v="21"/>
    <x v="0"/>
    <x v="34"/>
    <n v="3046"/>
    <x v="149"/>
    <n v="4184"/>
    <x v="98"/>
    <s v="G 06"/>
    <n v="4"/>
    <n v="5402"/>
    <x v="635"/>
    <s v="Annual"/>
    <n v="1"/>
    <n v="1"/>
    <n v="92940"/>
    <n v="92940"/>
  </r>
  <r>
    <x v="0"/>
    <n v="54"/>
    <x v="20"/>
    <x v="0"/>
    <x v="0"/>
    <n v="1005"/>
    <x v="21"/>
    <x v="0"/>
    <x v="34"/>
    <n v="3046"/>
    <x v="149"/>
    <n v="4184"/>
    <x v="98"/>
    <s v="G 06"/>
    <n v="4"/>
    <n v="5402"/>
    <x v="635"/>
    <s v="Annual"/>
    <n v="1"/>
    <n v="1"/>
    <n v="81636"/>
    <n v="81636"/>
  </r>
  <r>
    <x v="0"/>
    <n v="54"/>
    <x v="20"/>
    <x v="0"/>
    <x v="0"/>
    <n v="1005"/>
    <x v="21"/>
    <x v="0"/>
    <x v="34"/>
    <n v="3046"/>
    <x v="149"/>
    <n v="4184"/>
    <x v="98"/>
    <s v="B 14"/>
    <n v="4"/>
    <n v="1912"/>
    <x v="222"/>
    <s v="Annual"/>
    <n v="1"/>
    <n v="1"/>
    <n v="108576"/>
    <n v="108576"/>
  </r>
  <r>
    <x v="0"/>
    <n v="54"/>
    <x v="20"/>
    <x v="0"/>
    <x v="0"/>
    <n v="1005"/>
    <x v="21"/>
    <x v="0"/>
    <x v="34"/>
    <n v="3046"/>
    <x v="149"/>
    <n v="4184"/>
    <x v="98"/>
    <s v="GY 10"/>
    <n v="20"/>
    <n v="1441"/>
    <x v="542"/>
    <s v="Annual"/>
    <n v="1"/>
    <n v="1"/>
    <n v="126756"/>
    <n v="126756"/>
  </r>
  <r>
    <x v="0"/>
    <n v="54"/>
    <x v="20"/>
    <x v="0"/>
    <x v="0"/>
    <n v="1005"/>
    <x v="21"/>
    <x v="0"/>
    <x v="34"/>
    <n v="3046"/>
    <x v="149"/>
    <n v="4184"/>
    <x v="98"/>
    <s v="GY 10"/>
    <n v="20"/>
    <n v="1441"/>
    <x v="542"/>
    <s v="Annual"/>
    <n v="1"/>
    <n v="1"/>
    <n v="121320"/>
    <n v="121320"/>
  </r>
  <r>
    <x v="0"/>
    <n v="54"/>
    <x v="20"/>
    <x v="0"/>
    <x v="0"/>
    <n v="1005"/>
    <x v="21"/>
    <x v="0"/>
    <x v="34"/>
    <n v="3046"/>
    <x v="149"/>
    <n v="4184"/>
    <x v="98"/>
    <s v="GY 08"/>
    <n v="10"/>
    <n v="1405"/>
    <x v="629"/>
    <s v="Annual"/>
    <n v="1"/>
    <n v="1"/>
    <n v="85236"/>
    <n v="85236"/>
  </r>
  <r>
    <x v="0"/>
    <n v="54"/>
    <x v="20"/>
    <x v="0"/>
    <x v="0"/>
    <n v="1005"/>
    <x v="21"/>
    <x v="0"/>
    <x v="34"/>
    <n v="3046"/>
    <x v="149"/>
    <n v="4184"/>
    <x v="98"/>
    <s v="X 33"/>
    <n v="9"/>
    <n v="313"/>
    <x v="220"/>
    <s v="Annual"/>
    <n v="1"/>
    <n v="1"/>
    <n v="146808"/>
    <n v="146808"/>
  </r>
  <r>
    <x v="0"/>
    <n v="54"/>
    <x v="20"/>
    <x v="0"/>
    <x v="0"/>
    <n v="1005"/>
    <x v="21"/>
    <x v="0"/>
    <x v="34"/>
    <n v="3046"/>
    <x v="149"/>
    <n v="4184"/>
    <x v="98"/>
    <s v="1 00"/>
    <n v="0"/>
    <n v="15"/>
    <x v="37"/>
    <s v="Annual"/>
    <n v="0"/>
    <n v="0"/>
    <n v="20246"/>
    <n v="20246"/>
  </r>
  <r>
    <x v="0"/>
    <n v="54"/>
    <x v="20"/>
    <x v="0"/>
    <x v="0"/>
    <n v="1005"/>
    <x v="21"/>
    <x v="0"/>
    <x v="34"/>
    <n v="3088"/>
    <x v="150"/>
    <n v="4028"/>
    <x v="99"/>
    <s v="GY 10"/>
    <n v="20"/>
    <n v="1441"/>
    <x v="542"/>
    <s v="Annual"/>
    <n v="1"/>
    <n v="1"/>
    <n v="126756"/>
    <n v="126756"/>
  </r>
  <r>
    <x v="0"/>
    <n v="54"/>
    <x v="20"/>
    <x v="0"/>
    <x v="0"/>
    <n v="1005"/>
    <x v="21"/>
    <x v="0"/>
    <x v="34"/>
    <n v="3088"/>
    <x v="150"/>
    <n v="4028"/>
    <x v="99"/>
    <s v="GY 08"/>
    <n v="10"/>
    <n v="1407"/>
    <x v="630"/>
    <s v="Annual"/>
    <n v="1"/>
    <n v="1"/>
    <n v="93156"/>
    <n v="93156"/>
  </r>
  <r>
    <x v="0"/>
    <n v="54"/>
    <x v="20"/>
    <x v="0"/>
    <x v="0"/>
    <n v="1005"/>
    <x v="21"/>
    <x v="0"/>
    <x v="34"/>
    <n v="3088"/>
    <x v="150"/>
    <n v="4028"/>
    <x v="99"/>
    <s v="GY 08"/>
    <n v="10"/>
    <n v="1405"/>
    <x v="629"/>
    <s v="Annual"/>
    <n v="3"/>
    <n v="1"/>
    <n v="93156"/>
    <n v="279468"/>
  </r>
  <r>
    <x v="0"/>
    <n v="54"/>
    <x v="20"/>
    <x v="0"/>
    <x v="0"/>
    <n v="1005"/>
    <x v="21"/>
    <x v="0"/>
    <x v="34"/>
    <n v="3088"/>
    <x v="150"/>
    <n v="4028"/>
    <x v="99"/>
    <s v="GY 08"/>
    <n v="10"/>
    <n v="1405"/>
    <x v="629"/>
    <s v="Annual"/>
    <n v="1"/>
    <n v="1"/>
    <n v="82884"/>
    <n v="82884"/>
  </r>
  <r>
    <x v="0"/>
    <n v="54"/>
    <x v="20"/>
    <x v="0"/>
    <x v="0"/>
    <n v="1005"/>
    <x v="21"/>
    <x v="0"/>
    <x v="34"/>
    <n v="3088"/>
    <x v="150"/>
    <n v="4028"/>
    <x v="99"/>
    <s v="B 13"/>
    <n v="3"/>
    <n v="1293"/>
    <x v="636"/>
    <s v="Annual"/>
    <n v="1"/>
    <n v="1"/>
    <n v="119100"/>
    <n v="119100"/>
  </r>
  <r>
    <x v="0"/>
    <n v="54"/>
    <x v="20"/>
    <x v="0"/>
    <x v="0"/>
    <n v="1005"/>
    <x v="21"/>
    <x v="0"/>
    <x v="34"/>
    <n v="3088"/>
    <x v="150"/>
    <n v="4028"/>
    <x v="99"/>
    <s v="B 13"/>
    <n v="3"/>
    <n v="1293"/>
    <x v="636"/>
    <s v="Annual"/>
    <n v="1"/>
    <n v="1"/>
    <n v="74172"/>
    <n v="74172"/>
  </r>
  <r>
    <x v="0"/>
    <n v="54"/>
    <x v="20"/>
    <x v="0"/>
    <x v="0"/>
    <n v="1005"/>
    <x v="21"/>
    <x v="0"/>
    <x v="34"/>
    <n v="3088"/>
    <x v="150"/>
    <n v="4028"/>
    <x v="99"/>
    <s v="X 33"/>
    <n v="9"/>
    <n v="313"/>
    <x v="220"/>
    <s v="Annual"/>
    <n v="1"/>
    <n v="1"/>
    <n v="146808"/>
    <n v="146808"/>
  </r>
  <r>
    <x v="0"/>
    <n v="54"/>
    <x v="20"/>
    <x v="0"/>
    <x v="0"/>
    <n v="1005"/>
    <x v="21"/>
    <x v="0"/>
    <x v="34"/>
    <n v="3088"/>
    <x v="150"/>
    <n v="4028"/>
    <x v="99"/>
    <s v="1 00"/>
    <n v="0"/>
    <n v="15"/>
    <x v="37"/>
    <s v="Annual"/>
    <n v="0"/>
    <n v="0"/>
    <n v="16275"/>
    <n v="16275"/>
  </r>
  <r>
    <x v="0"/>
    <n v="54"/>
    <x v="20"/>
    <x v="0"/>
    <x v="0"/>
    <n v="1005"/>
    <x v="21"/>
    <x v="0"/>
    <x v="34"/>
    <n v="3088"/>
    <x v="150"/>
    <n v="4029"/>
    <x v="100"/>
    <s v="X 31"/>
    <n v="9"/>
    <n v="9654"/>
    <x v="637"/>
    <s v="Annual"/>
    <n v="1"/>
    <n v="1"/>
    <n v="149448"/>
    <n v="149448"/>
  </r>
  <r>
    <x v="0"/>
    <n v="54"/>
    <x v="20"/>
    <x v="0"/>
    <x v="0"/>
    <n v="1005"/>
    <x v="21"/>
    <x v="0"/>
    <x v="34"/>
    <n v="3088"/>
    <x v="150"/>
    <n v="4029"/>
    <x v="100"/>
    <s v="BX 17"/>
    <n v="10"/>
    <n v="1985"/>
    <x v="632"/>
    <s v="Annual"/>
    <n v="1"/>
    <n v="1"/>
    <n v="113568"/>
    <n v="113568"/>
  </r>
  <r>
    <x v="0"/>
    <n v="54"/>
    <x v="20"/>
    <x v="0"/>
    <x v="0"/>
    <n v="1005"/>
    <x v="21"/>
    <x v="0"/>
    <x v="34"/>
    <n v="3088"/>
    <x v="150"/>
    <n v="4029"/>
    <x v="100"/>
    <s v="X 32"/>
    <n v="9"/>
    <n v="1298"/>
    <x v="638"/>
    <s v="Annual"/>
    <n v="1"/>
    <n v="1"/>
    <n v="167964"/>
    <n v="167964"/>
  </r>
  <r>
    <x v="0"/>
    <n v="54"/>
    <x v="20"/>
    <x v="0"/>
    <x v="0"/>
    <n v="1005"/>
    <x v="21"/>
    <x v="0"/>
    <x v="34"/>
    <n v="3088"/>
    <x v="150"/>
    <n v="4029"/>
    <x v="100"/>
    <s v="B 12"/>
    <n v="1"/>
    <n v="801"/>
    <x v="639"/>
    <s v="Annual"/>
    <n v="1"/>
    <n v="1"/>
    <n v="82140"/>
    <n v="82140"/>
  </r>
  <r>
    <x v="0"/>
    <n v="54"/>
    <x v="20"/>
    <x v="0"/>
    <x v="0"/>
    <n v="1005"/>
    <x v="21"/>
    <x v="0"/>
    <x v="34"/>
    <n v="3088"/>
    <x v="150"/>
    <n v="4029"/>
    <x v="100"/>
    <s v="1 00"/>
    <n v="0"/>
    <n v="15"/>
    <x v="37"/>
    <s v="Annual"/>
    <n v="0"/>
    <n v="0"/>
    <n v="7186"/>
    <n v="7186"/>
  </r>
  <r>
    <x v="0"/>
    <n v="54"/>
    <x v="20"/>
    <x v="0"/>
    <x v="0"/>
    <n v="1005"/>
    <x v="21"/>
    <x v="0"/>
    <x v="34"/>
    <n v="3088"/>
    <x v="150"/>
    <n v="4098"/>
    <x v="101"/>
    <s v="GY 08"/>
    <n v="0"/>
    <n v="5432"/>
    <x v="640"/>
    <s v="Annual"/>
    <n v="1"/>
    <n v="1"/>
    <n v="112080"/>
    <n v="112080"/>
  </r>
  <r>
    <x v="0"/>
    <n v="54"/>
    <x v="20"/>
    <x v="0"/>
    <x v="0"/>
    <n v="1005"/>
    <x v="21"/>
    <x v="0"/>
    <x v="34"/>
    <n v="3088"/>
    <x v="150"/>
    <n v="4098"/>
    <x v="101"/>
    <s v="G 06"/>
    <n v="4"/>
    <n v="5431"/>
    <x v="641"/>
    <s v="Annual"/>
    <n v="1"/>
    <n v="1"/>
    <n v="118836"/>
    <n v="118836"/>
  </r>
  <r>
    <x v="0"/>
    <n v="54"/>
    <x v="20"/>
    <x v="0"/>
    <x v="0"/>
    <n v="1005"/>
    <x v="21"/>
    <x v="0"/>
    <x v="34"/>
    <n v="3088"/>
    <x v="150"/>
    <n v="4098"/>
    <x v="101"/>
    <s v="B 13"/>
    <n v="3"/>
    <n v="1293"/>
    <x v="636"/>
    <s v="Annual"/>
    <n v="2"/>
    <n v="1"/>
    <n v="119100"/>
    <n v="238200"/>
  </r>
  <r>
    <x v="0"/>
    <n v="54"/>
    <x v="20"/>
    <x v="0"/>
    <x v="0"/>
    <n v="1005"/>
    <x v="21"/>
    <x v="0"/>
    <x v="34"/>
    <n v="3088"/>
    <x v="150"/>
    <n v="4098"/>
    <x v="101"/>
    <s v="B 13"/>
    <n v="3"/>
    <n v="1293"/>
    <x v="636"/>
    <s v="Annual"/>
    <n v="1"/>
    <n v="1"/>
    <n v="90144"/>
    <n v="90144"/>
  </r>
  <r>
    <x v="0"/>
    <n v="54"/>
    <x v="20"/>
    <x v="0"/>
    <x v="0"/>
    <n v="1005"/>
    <x v="21"/>
    <x v="0"/>
    <x v="34"/>
    <n v="3088"/>
    <x v="150"/>
    <n v="4098"/>
    <x v="101"/>
    <s v="B 13"/>
    <n v="3"/>
    <n v="1293"/>
    <x v="636"/>
    <s v="Annual"/>
    <n v="1"/>
    <n v="1"/>
    <n v="85200"/>
    <n v="85200"/>
  </r>
  <r>
    <x v="0"/>
    <n v="54"/>
    <x v="20"/>
    <x v="0"/>
    <x v="0"/>
    <n v="1005"/>
    <x v="21"/>
    <x v="0"/>
    <x v="34"/>
    <n v="3088"/>
    <x v="150"/>
    <n v="4098"/>
    <x v="101"/>
    <s v="B 13"/>
    <n v="3"/>
    <n v="1293"/>
    <x v="636"/>
    <s v="Annual"/>
    <n v="1"/>
    <n v="1"/>
    <n v="81324"/>
    <n v="81324"/>
  </r>
  <r>
    <x v="0"/>
    <n v="54"/>
    <x v="20"/>
    <x v="0"/>
    <x v="0"/>
    <n v="1005"/>
    <x v="21"/>
    <x v="0"/>
    <x v="34"/>
    <n v="3088"/>
    <x v="150"/>
    <n v="4098"/>
    <x v="101"/>
    <s v="B 13"/>
    <n v="3"/>
    <n v="1293"/>
    <x v="636"/>
    <s v="Annual"/>
    <n v="1"/>
    <n v="1"/>
    <n v="74172"/>
    <n v="74172"/>
  </r>
  <r>
    <x v="0"/>
    <n v="54"/>
    <x v="20"/>
    <x v="0"/>
    <x v="0"/>
    <n v="1005"/>
    <x v="21"/>
    <x v="0"/>
    <x v="34"/>
    <n v="3088"/>
    <x v="150"/>
    <n v="4098"/>
    <x v="101"/>
    <s v="B 13"/>
    <n v="3"/>
    <n v="1293"/>
    <x v="636"/>
    <s v="Annual"/>
    <n v="3"/>
    <n v="1"/>
    <n v="68616"/>
    <n v="205848"/>
  </r>
  <r>
    <x v="0"/>
    <n v="54"/>
    <x v="20"/>
    <x v="0"/>
    <x v="0"/>
    <n v="1005"/>
    <x v="21"/>
    <x v="0"/>
    <x v="34"/>
    <n v="3088"/>
    <x v="150"/>
    <n v="4098"/>
    <x v="101"/>
    <s v="T 16"/>
    <n v="44"/>
    <n v="1291"/>
    <x v="642"/>
    <s v="Annual"/>
    <n v="1"/>
    <n v="1"/>
    <n v="157296"/>
    <n v="157296"/>
  </r>
  <r>
    <x v="0"/>
    <n v="54"/>
    <x v="20"/>
    <x v="0"/>
    <x v="0"/>
    <n v="1005"/>
    <x v="21"/>
    <x v="0"/>
    <x v="34"/>
    <n v="3088"/>
    <x v="150"/>
    <n v="4098"/>
    <x v="101"/>
    <s v="T 16"/>
    <n v="44"/>
    <n v="1291"/>
    <x v="642"/>
    <s v="Annual"/>
    <n v="1"/>
    <n v="1"/>
    <n v="119052"/>
    <n v="119052"/>
  </r>
  <r>
    <x v="0"/>
    <n v="54"/>
    <x v="20"/>
    <x v="0"/>
    <x v="0"/>
    <n v="1005"/>
    <x v="21"/>
    <x v="0"/>
    <x v="34"/>
    <n v="3088"/>
    <x v="150"/>
    <n v="4098"/>
    <x v="101"/>
    <s v="T 16"/>
    <n v="44"/>
    <n v="1291"/>
    <x v="642"/>
    <s v="Annual"/>
    <n v="1"/>
    <n v="1"/>
    <n v="102540"/>
    <n v="102540"/>
  </r>
  <r>
    <x v="0"/>
    <n v="54"/>
    <x v="20"/>
    <x v="0"/>
    <x v="0"/>
    <n v="1005"/>
    <x v="21"/>
    <x v="0"/>
    <x v="34"/>
    <n v="3088"/>
    <x v="150"/>
    <n v="4098"/>
    <x v="101"/>
    <s v="X 33"/>
    <n v="9"/>
    <n v="313"/>
    <x v="220"/>
    <s v="Annual"/>
    <n v="1"/>
    <n v="1"/>
    <n v="137532"/>
    <n v="137532"/>
  </r>
  <r>
    <x v="0"/>
    <n v="54"/>
    <x v="20"/>
    <x v="0"/>
    <x v="0"/>
    <n v="1005"/>
    <x v="21"/>
    <x v="0"/>
    <x v="34"/>
    <n v="3088"/>
    <x v="150"/>
    <n v="4098"/>
    <x v="101"/>
    <s v="1 00"/>
    <n v="0"/>
    <n v="15"/>
    <x v="37"/>
    <s v="Annual"/>
    <n v="0"/>
    <n v="0"/>
    <n v="3706"/>
    <n v="3706"/>
  </r>
  <r>
    <x v="0"/>
    <n v="54"/>
    <x v="20"/>
    <x v="0"/>
    <x v="0"/>
    <n v="1005"/>
    <x v="21"/>
    <x v="0"/>
    <x v="34"/>
    <n v="3088"/>
    <x v="150"/>
    <n v="4099"/>
    <x v="102"/>
    <s v="B 14"/>
    <n v="4"/>
    <n v="1912"/>
    <x v="222"/>
    <s v="Annual"/>
    <n v="2"/>
    <n v="1"/>
    <n v="93504"/>
    <n v="187008"/>
  </r>
  <r>
    <x v="0"/>
    <n v="54"/>
    <x v="20"/>
    <x v="0"/>
    <x v="0"/>
    <n v="1005"/>
    <x v="21"/>
    <x v="0"/>
    <x v="34"/>
    <n v="3088"/>
    <x v="150"/>
    <n v="4099"/>
    <x v="102"/>
    <s v="B 14"/>
    <n v="4"/>
    <n v="1912"/>
    <x v="222"/>
    <s v="Annual"/>
    <n v="2"/>
    <n v="1"/>
    <n v="85200"/>
    <n v="170400"/>
  </r>
  <r>
    <x v="0"/>
    <n v="54"/>
    <x v="20"/>
    <x v="0"/>
    <x v="0"/>
    <n v="1005"/>
    <x v="21"/>
    <x v="0"/>
    <x v="34"/>
    <n v="3088"/>
    <x v="150"/>
    <n v="4099"/>
    <x v="102"/>
    <s v="GY 08"/>
    <n v="10"/>
    <n v="1405"/>
    <x v="629"/>
    <s v="Annual"/>
    <n v="1"/>
    <n v="1"/>
    <n v="89112"/>
    <n v="89112"/>
  </r>
  <r>
    <x v="0"/>
    <n v="54"/>
    <x v="20"/>
    <x v="0"/>
    <x v="0"/>
    <n v="1005"/>
    <x v="21"/>
    <x v="0"/>
    <x v="34"/>
    <n v="3088"/>
    <x v="150"/>
    <n v="4099"/>
    <x v="102"/>
    <s v="GY 08"/>
    <n v="10"/>
    <n v="1405"/>
    <x v="629"/>
    <s v="Annual"/>
    <n v="1"/>
    <n v="1"/>
    <n v="82884"/>
    <n v="82884"/>
  </r>
  <r>
    <x v="0"/>
    <n v="54"/>
    <x v="20"/>
    <x v="0"/>
    <x v="0"/>
    <n v="1005"/>
    <x v="21"/>
    <x v="0"/>
    <x v="34"/>
    <n v="3088"/>
    <x v="150"/>
    <n v="4099"/>
    <x v="102"/>
    <s v="BX 17"/>
    <n v="10"/>
    <n v="1299"/>
    <x v="643"/>
    <s v="Annual"/>
    <n v="1"/>
    <n v="1"/>
    <n v="113568"/>
    <n v="113568"/>
  </r>
  <r>
    <x v="0"/>
    <n v="54"/>
    <x v="20"/>
    <x v="0"/>
    <x v="0"/>
    <n v="1005"/>
    <x v="21"/>
    <x v="0"/>
    <x v="34"/>
    <n v="3088"/>
    <x v="150"/>
    <n v="4099"/>
    <x v="102"/>
    <s v="1 00"/>
    <n v="0"/>
    <n v="15"/>
    <x v="37"/>
    <s v="Annual"/>
    <n v="0"/>
    <n v="0"/>
    <n v="22023"/>
    <n v="22023"/>
  </r>
  <r>
    <x v="0"/>
    <n v="54"/>
    <x v="20"/>
    <x v="0"/>
    <x v="0"/>
    <n v="1005"/>
    <x v="21"/>
    <x v="0"/>
    <x v="34"/>
    <n v="3088"/>
    <x v="150"/>
    <n v="4104"/>
    <x v="103"/>
    <s v="B 14"/>
    <n v="4"/>
    <n v="1912"/>
    <x v="222"/>
    <s v="Annual"/>
    <n v="2"/>
    <n v="1"/>
    <n v="93504"/>
    <n v="187008"/>
  </r>
  <r>
    <x v="0"/>
    <n v="54"/>
    <x v="20"/>
    <x v="0"/>
    <x v="0"/>
    <n v="1005"/>
    <x v="21"/>
    <x v="0"/>
    <x v="34"/>
    <n v="3088"/>
    <x v="150"/>
    <n v="4104"/>
    <x v="103"/>
    <s v="BX 17"/>
    <n v="10"/>
    <n v="1290"/>
    <x v="644"/>
    <s v="Annual"/>
    <n v="1"/>
    <n v="1"/>
    <n v="130524"/>
    <n v="130524"/>
  </r>
  <r>
    <x v="0"/>
    <n v="54"/>
    <x v="20"/>
    <x v="0"/>
    <x v="0"/>
    <n v="1005"/>
    <x v="21"/>
    <x v="0"/>
    <x v="34"/>
    <n v="3088"/>
    <x v="150"/>
    <n v="4104"/>
    <x v="103"/>
    <s v="1 00"/>
    <n v="0"/>
    <n v="15"/>
    <x v="37"/>
    <s v="Annual"/>
    <n v="0"/>
    <n v="0"/>
    <n v="9594"/>
    <n v="9594"/>
  </r>
  <r>
    <x v="0"/>
    <n v="54"/>
    <x v="20"/>
    <x v="0"/>
    <x v="0"/>
    <n v="1005"/>
    <x v="21"/>
    <x v="0"/>
    <x v="34"/>
    <n v="3088"/>
    <x v="150"/>
    <n v="4105"/>
    <x v="104"/>
    <s v="B 14"/>
    <n v="4"/>
    <n v="1912"/>
    <x v="222"/>
    <s v="Annual"/>
    <n v="1"/>
    <n v="1"/>
    <n v="124848"/>
    <n v="124848"/>
  </r>
  <r>
    <x v="0"/>
    <n v="54"/>
    <x v="20"/>
    <x v="0"/>
    <x v="0"/>
    <n v="1005"/>
    <x v="21"/>
    <x v="0"/>
    <x v="34"/>
    <n v="3088"/>
    <x v="150"/>
    <n v="4105"/>
    <x v="104"/>
    <s v="BX 15"/>
    <n v="10"/>
    <n v="1911"/>
    <x v="226"/>
    <s v="Annual"/>
    <n v="1"/>
    <n v="1"/>
    <n v="103488"/>
    <n v="103488"/>
  </r>
  <r>
    <x v="0"/>
    <n v="54"/>
    <x v="20"/>
    <x v="0"/>
    <x v="0"/>
    <n v="1005"/>
    <x v="21"/>
    <x v="0"/>
    <x v="34"/>
    <n v="3088"/>
    <x v="150"/>
    <n v="4105"/>
    <x v="104"/>
    <s v="X 33"/>
    <n v="9"/>
    <n v="313"/>
    <x v="220"/>
    <s v="Annual"/>
    <n v="1"/>
    <n v="1"/>
    <n v="146808"/>
    <n v="146808"/>
  </r>
  <r>
    <x v="0"/>
    <n v="54"/>
    <x v="20"/>
    <x v="0"/>
    <x v="0"/>
    <n v="1005"/>
    <x v="21"/>
    <x v="0"/>
    <x v="34"/>
    <n v="3088"/>
    <x v="150"/>
    <n v="4105"/>
    <x v="104"/>
    <s v="1 00"/>
    <n v="0"/>
    <n v="15"/>
    <x v="37"/>
    <s v="Annual"/>
    <n v="0"/>
    <n v="0"/>
    <n v="11106"/>
    <n v="11106"/>
  </r>
  <r>
    <x v="0"/>
    <n v="55"/>
    <x v="21"/>
    <x v="0"/>
    <x v="0"/>
    <n v="1005"/>
    <x v="22"/>
    <x v="0"/>
    <x v="35"/>
    <n v="3005"/>
    <x v="151"/>
    <n v="0"/>
    <x v="0"/>
    <s v="1 00"/>
    <n v="9"/>
    <n v="9955"/>
    <x v="645"/>
    <s v="Annual"/>
    <n v="1"/>
    <n v="1"/>
    <n v="128772"/>
    <n v="128772"/>
  </r>
  <r>
    <x v="0"/>
    <n v="55"/>
    <x v="21"/>
    <x v="0"/>
    <x v="0"/>
    <n v="1005"/>
    <x v="22"/>
    <x v="0"/>
    <x v="35"/>
    <n v="3005"/>
    <x v="151"/>
    <n v="0"/>
    <x v="0"/>
    <s v="BX 16"/>
    <n v="10"/>
    <n v="802"/>
    <x v="30"/>
    <s v="Annual"/>
    <n v="1"/>
    <n v="1"/>
    <n v="83052"/>
    <n v="83052"/>
  </r>
  <r>
    <x v="0"/>
    <n v="55"/>
    <x v="21"/>
    <x v="0"/>
    <x v="0"/>
    <n v="1005"/>
    <x v="22"/>
    <x v="0"/>
    <x v="35"/>
    <n v="3005"/>
    <x v="151"/>
    <n v="0"/>
    <x v="0"/>
    <s v="1 00"/>
    <n v="0"/>
    <n v="15"/>
    <x v="37"/>
    <s v="Annual"/>
    <n v="0"/>
    <n v="0"/>
    <n v="1471"/>
    <n v="1471"/>
  </r>
  <r>
    <x v="0"/>
    <n v="57"/>
    <x v="22"/>
    <x v="0"/>
    <x v="0"/>
    <n v="1005"/>
    <x v="23"/>
    <x v="0"/>
    <x v="36"/>
    <n v="3004"/>
    <x v="152"/>
    <n v="0"/>
    <x v="0"/>
    <s v="1 00"/>
    <n v="9"/>
    <n v="9957"/>
    <x v="646"/>
    <s v="Annual"/>
    <n v="1"/>
    <n v="1"/>
    <n v="284016"/>
    <n v="284016"/>
  </r>
  <r>
    <x v="0"/>
    <n v="57"/>
    <x v="22"/>
    <x v="0"/>
    <x v="0"/>
    <n v="1005"/>
    <x v="23"/>
    <x v="0"/>
    <x v="36"/>
    <n v="3004"/>
    <x v="152"/>
    <n v="0"/>
    <x v="0"/>
    <s v="X 42"/>
    <n v="9"/>
    <n v="9675"/>
    <x v="76"/>
    <s v="Annual"/>
    <n v="1"/>
    <n v="1"/>
    <n v="204516"/>
    <n v="204516"/>
  </r>
  <r>
    <x v="0"/>
    <n v="57"/>
    <x v="22"/>
    <x v="0"/>
    <x v="0"/>
    <n v="1005"/>
    <x v="23"/>
    <x v="0"/>
    <x v="36"/>
    <n v="3004"/>
    <x v="152"/>
    <n v="0"/>
    <x v="0"/>
    <s v="X 42"/>
    <n v="9"/>
    <n v="9675"/>
    <x v="76"/>
    <s v="Annual"/>
    <n v="1"/>
    <n v="1"/>
    <n v="199284"/>
    <n v="199284"/>
  </r>
  <r>
    <x v="0"/>
    <n v="57"/>
    <x v="22"/>
    <x v="0"/>
    <x v="0"/>
    <n v="1005"/>
    <x v="23"/>
    <x v="0"/>
    <x v="36"/>
    <n v="3004"/>
    <x v="152"/>
    <n v="0"/>
    <x v="0"/>
    <s v="GY 11"/>
    <n v="20"/>
    <n v="1127"/>
    <x v="54"/>
    <s v="Annual"/>
    <n v="1"/>
    <n v="1"/>
    <n v="106272"/>
    <n v="106272"/>
  </r>
  <r>
    <x v="0"/>
    <n v="57"/>
    <x v="22"/>
    <x v="0"/>
    <x v="0"/>
    <n v="1005"/>
    <x v="23"/>
    <x v="0"/>
    <x v="36"/>
    <n v="3004"/>
    <x v="152"/>
    <n v="0"/>
    <x v="0"/>
    <s v="BX 18"/>
    <n v="10"/>
    <n v="311"/>
    <x v="253"/>
    <s v="Annual"/>
    <n v="2"/>
    <n v="1"/>
    <n v="118956"/>
    <n v="237912"/>
  </r>
  <r>
    <x v="0"/>
    <n v="57"/>
    <x v="22"/>
    <x v="0"/>
    <x v="0"/>
    <n v="1005"/>
    <x v="23"/>
    <x v="0"/>
    <x v="36"/>
    <n v="3004"/>
    <x v="152"/>
    <n v="0"/>
    <x v="0"/>
    <s v="1 00"/>
    <n v="0"/>
    <n v="15"/>
    <x v="37"/>
    <s v="Annual"/>
    <n v="0"/>
    <n v="0"/>
    <n v="6526"/>
    <n v="6526"/>
  </r>
  <r>
    <x v="0"/>
    <n v="57"/>
    <x v="22"/>
    <x v="0"/>
    <x v="0"/>
    <n v="1005"/>
    <x v="23"/>
    <x v="0"/>
    <x v="36"/>
    <n v="3021"/>
    <x v="153"/>
    <n v="4020"/>
    <x v="105"/>
    <s v="3 00"/>
    <n v="99"/>
    <n v="9752"/>
    <x v="647"/>
    <s v="Annual"/>
    <n v="1"/>
    <n v="1"/>
    <n v="192240"/>
    <n v="192240"/>
  </r>
  <r>
    <x v="0"/>
    <n v="57"/>
    <x v="22"/>
    <x v="0"/>
    <x v="0"/>
    <n v="1005"/>
    <x v="23"/>
    <x v="0"/>
    <x v="36"/>
    <n v="3021"/>
    <x v="153"/>
    <n v="4020"/>
    <x v="105"/>
    <s v="X 42"/>
    <n v="9"/>
    <n v="9675"/>
    <x v="76"/>
    <s v="Annual"/>
    <n v="2"/>
    <n v="1"/>
    <n v="184584"/>
    <n v="369168"/>
  </r>
  <r>
    <x v="0"/>
    <n v="57"/>
    <x v="22"/>
    <x v="0"/>
    <x v="0"/>
    <n v="1005"/>
    <x v="23"/>
    <x v="0"/>
    <x v="36"/>
    <n v="3021"/>
    <x v="153"/>
    <n v="4020"/>
    <x v="105"/>
    <s v="X 41"/>
    <n v="9"/>
    <n v="9011"/>
    <x v="648"/>
    <s v="Annual"/>
    <n v="1"/>
    <n v="1"/>
    <n v="221652"/>
    <n v="221652"/>
  </r>
  <r>
    <x v="0"/>
    <n v="57"/>
    <x v="22"/>
    <x v="0"/>
    <x v="0"/>
    <n v="1005"/>
    <x v="23"/>
    <x v="0"/>
    <x v="36"/>
    <n v="3021"/>
    <x v="153"/>
    <n v="4020"/>
    <x v="105"/>
    <s v="BX 16"/>
    <n v="10"/>
    <n v="3585"/>
    <x v="649"/>
    <s v="Annual"/>
    <n v="1"/>
    <n v="1"/>
    <n v="80124"/>
    <n v="80124"/>
  </r>
  <r>
    <x v="0"/>
    <n v="57"/>
    <x v="22"/>
    <x v="0"/>
    <x v="0"/>
    <n v="1005"/>
    <x v="23"/>
    <x v="0"/>
    <x v="36"/>
    <n v="3021"/>
    <x v="153"/>
    <n v="4020"/>
    <x v="105"/>
    <s v="B 14"/>
    <n v="4"/>
    <n v="1912"/>
    <x v="222"/>
    <s v="Annual"/>
    <n v="3"/>
    <n v="1"/>
    <n v="75336"/>
    <n v="226008"/>
  </r>
  <r>
    <x v="0"/>
    <n v="57"/>
    <x v="22"/>
    <x v="0"/>
    <x v="0"/>
    <n v="1005"/>
    <x v="23"/>
    <x v="0"/>
    <x v="36"/>
    <n v="3021"/>
    <x v="153"/>
    <n v="4020"/>
    <x v="105"/>
    <s v="1 00"/>
    <n v="0"/>
    <n v="15"/>
    <x v="37"/>
    <s v="Annual"/>
    <n v="0"/>
    <n v="0"/>
    <n v="12384"/>
    <n v="12384"/>
  </r>
  <r>
    <x v="0"/>
    <n v="57"/>
    <x v="22"/>
    <x v="0"/>
    <x v="0"/>
    <n v="1005"/>
    <x v="23"/>
    <x v="0"/>
    <x v="36"/>
    <n v="3021"/>
    <x v="153"/>
    <n v="4021"/>
    <x v="106"/>
    <s v="X 42"/>
    <n v="0"/>
    <n v="9760"/>
    <x v="38"/>
    <s v="Annual"/>
    <n v="1"/>
    <n v="1"/>
    <n v="192852"/>
    <n v="192852"/>
  </r>
  <r>
    <x v="0"/>
    <n v="57"/>
    <x v="22"/>
    <x v="0"/>
    <x v="0"/>
    <n v="1005"/>
    <x v="23"/>
    <x v="0"/>
    <x v="36"/>
    <n v="3021"/>
    <x v="153"/>
    <n v="4021"/>
    <x v="106"/>
    <s v="X 33"/>
    <n v="9"/>
    <n v="9758"/>
    <x v="650"/>
    <s v="Annual"/>
    <n v="1"/>
    <n v="1"/>
    <n v="146808"/>
    <n v="146808"/>
  </r>
  <r>
    <x v="0"/>
    <n v="57"/>
    <x v="22"/>
    <x v="0"/>
    <x v="0"/>
    <n v="1005"/>
    <x v="23"/>
    <x v="0"/>
    <x v="36"/>
    <n v="3021"/>
    <x v="153"/>
    <n v="4021"/>
    <x v="106"/>
    <s v="X 42"/>
    <n v="9"/>
    <n v="9675"/>
    <x v="76"/>
    <s v="Annual"/>
    <n v="1"/>
    <n v="1"/>
    <n v="172920"/>
    <n v="172920"/>
  </r>
  <r>
    <x v="0"/>
    <n v="57"/>
    <x v="22"/>
    <x v="0"/>
    <x v="0"/>
    <n v="1005"/>
    <x v="23"/>
    <x v="0"/>
    <x v="36"/>
    <n v="3021"/>
    <x v="153"/>
    <n v="4021"/>
    <x v="106"/>
    <s v="E 03"/>
    <n v="71"/>
    <n v="9171"/>
    <x v="651"/>
    <s v="Annual"/>
    <n v="4"/>
    <n v="1"/>
    <n v="147252"/>
    <n v="589008"/>
  </r>
  <r>
    <x v="0"/>
    <n v="57"/>
    <x v="22"/>
    <x v="0"/>
    <x v="0"/>
    <n v="1005"/>
    <x v="23"/>
    <x v="0"/>
    <x v="36"/>
    <n v="3021"/>
    <x v="153"/>
    <n v="4021"/>
    <x v="106"/>
    <s v="E 04"/>
    <n v="71"/>
    <n v="9016"/>
    <x v="652"/>
    <s v="Annual"/>
    <n v="1"/>
    <n v="1"/>
    <n v="170700"/>
    <n v="170700"/>
  </r>
  <r>
    <x v="0"/>
    <n v="57"/>
    <x v="22"/>
    <x v="0"/>
    <x v="0"/>
    <n v="1005"/>
    <x v="23"/>
    <x v="0"/>
    <x v="36"/>
    <n v="3021"/>
    <x v="153"/>
    <n v="4021"/>
    <x v="106"/>
    <s v="E 04"/>
    <n v="71"/>
    <n v="9016"/>
    <x v="652"/>
    <s v="Annual"/>
    <n v="4"/>
    <n v="1"/>
    <n v="165624"/>
    <n v="662496"/>
  </r>
  <r>
    <x v="0"/>
    <n v="57"/>
    <x v="22"/>
    <x v="0"/>
    <x v="0"/>
    <n v="1005"/>
    <x v="23"/>
    <x v="0"/>
    <x v="36"/>
    <n v="3021"/>
    <x v="153"/>
    <n v="4021"/>
    <x v="106"/>
    <s v="E 04"/>
    <n v="71"/>
    <n v="9016"/>
    <x v="652"/>
    <s v="Annual"/>
    <n v="1"/>
    <n v="1"/>
    <n v="160746"/>
    <n v="160746"/>
  </r>
  <r>
    <x v="0"/>
    <n v="57"/>
    <x v="22"/>
    <x v="0"/>
    <x v="0"/>
    <n v="1005"/>
    <x v="23"/>
    <x v="0"/>
    <x v="36"/>
    <n v="3021"/>
    <x v="153"/>
    <n v="4021"/>
    <x v="106"/>
    <s v="GY 12"/>
    <n v="20"/>
    <n v="1633"/>
    <x v="394"/>
    <s v="Annual"/>
    <n v="3"/>
    <n v="1"/>
    <n v="121320"/>
    <n v="363960"/>
  </r>
  <r>
    <x v="0"/>
    <n v="57"/>
    <x v="22"/>
    <x v="0"/>
    <x v="0"/>
    <n v="1005"/>
    <x v="23"/>
    <x v="0"/>
    <x v="36"/>
    <n v="3021"/>
    <x v="153"/>
    <n v="4021"/>
    <x v="106"/>
    <s v="GY 12"/>
    <n v="20"/>
    <n v="1633"/>
    <x v="394"/>
    <s v="Annual"/>
    <n v="3"/>
    <n v="1"/>
    <n v="115992"/>
    <n v="347976"/>
  </r>
  <r>
    <x v="0"/>
    <n v="57"/>
    <x v="22"/>
    <x v="0"/>
    <x v="0"/>
    <n v="1005"/>
    <x v="23"/>
    <x v="0"/>
    <x v="36"/>
    <n v="3021"/>
    <x v="153"/>
    <n v="4021"/>
    <x v="106"/>
    <s v="B 13"/>
    <n v="1"/>
    <n v="1617"/>
    <x v="338"/>
    <s v="Annual"/>
    <n v="1"/>
    <n v="1"/>
    <n v="108576"/>
    <n v="108576"/>
  </r>
  <r>
    <x v="0"/>
    <n v="57"/>
    <x v="22"/>
    <x v="0"/>
    <x v="0"/>
    <n v="1005"/>
    <x v="23"/>
    <x v="0"/>
    <x v="36"/>
    <n v="3021"/>
    <x v="153"/>
    <n v="4021"/>
    <x v="106"/>
    <s v="B 13"/>
    <n v="1"/>
    <n v="1617"/>
    <x v="338"/>
    <s v="Annual"/>
    <n v="1"/>
    <n v="1"/>
    <n v="81324"/>
    <n v="81324"/>
  </r>
  <r>
    <x v="0"/>
    <n v="57"/>
    <x v="22"/>
    <x v="0"/>
    <x v="0"/>
    <n v="1005"/>
    <x v="23"/>
    <x v="0"/>
    <x v="36"/>
    <n v="3021"/>
    <x v="153"/>
    <n v="4021"/>
    <x v="106"/>
    <s v="B 13"/>
    <n v="1"/>
    <n v="1617"/>
    <x v="338"/>
    <s v="Annual"/>
    <n v="1"/>
    <n v="1"/>
    <n v="74172"/>
    <n v="74172"/>
  </r>
  <r>
    <x v="0"/>
    <n v="57"/>
    <x v="22"/>
    <x v="0"/>
    <x v="0"/>
    <n v="1005"/>
    <x v="23"/>
    <x v="0"/>
    <x v="36"/>
    <n v="3021"/>
    <x v="153"/>
    <n v="4021"/>
    <x v="106"/>
    <s v="B 13"/>
    <n v="1"/>
    <n v="1617"/>
    <x v="338"/>
    <s v="Annual"/>
    <n v="1"/>
    <n v="1"/>
    <n v="68616"/>
    <n v="68616"/>
  </r>
  <r>
    <x v="0"/>
    <n v="57"/>
    <x v="22"/>
    <x v="0"/>
    <x v="0"/>
    <n v="1005"/>
    <x v="23"/>
    <x v="0"/>
    <x v="36"/>
    <n v="3021"/>
    <x v="153"/>
    <n v="4021"/>
    <x v="106"/>
    <s v="B 14"/>
    <n v="1"/>
    <n v="714"/>
    <x v="653"/>
    <s v="Annual"/>
    <n v="7"/>
    <n v="1"/>
    <n v="98928"/>
    <n v="692496"/>
  </r>
  <r>
    <x v="0"/>
    <n v="57"/>
    <x v="22"/>
    <x v="0"/>
    <x v="0"/>
    <n v="1005"/>
    <x v="23"/>
    <x v="0"/>
    <x v="36"/>
    <n v="3021"/>
    <x v="153"/>
    <n v="4021"/>
    <x v="106"/>
    <s v="B 14"/>
    <n v="1"/>
    <n v="714"/>
    <x v="653"/>
    <s v="Annual"/>
    <n v="6"/>
    <n v="1"/>
    <n v="93504"/>
    <n v="561024"/>
  </r>
  <r>
    <x v="0"/>
    <n v="57"/>
    <x v="22"/>
    <x v="0"/>
    <x v="0"/>
    <n v="1005"/>
    <x v="23"/>
    <x v="0"/>
    <x v="36"/>
    <n v="3021"/>
    <x v="153"/>
    <n v="4021"/>
    <x v="106"/>
    <s v="B 14"/>
    <n v="1"/>
    <n v="714"/>
    <x v="653"/>
    <s v="Annual"/>
    <n v="2"/>
    <n v="1"/>
    <n v="89244"/>
    <n v="178488"/>
  </r>
  <r>
    <x v="0"/>
    <n v="57"/>
    <x v="22"/>
    <x v="0"/>
    <x v="0"/>
    <n v="1005"/>
    <x v="23"/>
    <x v="0"/>
    <x v="36"/>
    <n v="3021"/>
    <x v="153"/>
    <n v="4021"/>
    <x v="106"/>
    <s v="B 14"/>
    <n v="1"/>
    <n v="714"/>
    <x v="653"/>
    <s v="Annual"/>
    <n v="5"/>
    <n v="1"/>
    <n v="81324"/>
    <n v="406620"/>
  </r>
  <r>
    <x v="0"/>
    <n v="57"/>
    <x v="22"/>
    <x v="0"/>
    <x v="0"/>
    <n v="1005"/>
    <x v="23"/>
    <x v="0"/>
    <x v="36"/>
    <n v="3021"/>
    <x v="153"/>
    <n v="4021"/>
    <x v="106"/>
    <s v="B 14"/>
    <n v="1"/>
    <n v="714"/>
    <x v="653"/>
    <s v="Annual"/>
    <n v="4"/>
    <n v="1"/>
    <n v="75336"/>
    <n v="301344"/>
  </r>
  <r>
    <x v="0"/>
    <n v="57"/>
    <x v="22"/>
    <x v="0"/>
    <x v="0"/>
    <n v="1005"/>
    <x v="23"/>
    <x v="0"/>
    <x v="36"/>
    <n v="3021"/>
    <x v="153"/>
    <n v="4021"/>
    <x v="106"/>
    <s v="BX 18"/>
    <n v="10"/>
    <n v="311"/>
    <x v="253"/>
    <s v="Annual"/>
    <n v="1"/>
    <n v="1"/>
    <n v="118956"/>
    <n v="118956"/>
  </r>
  <r>
    <x v="0"/>
    <n v="57"/>
    <x v="22"/>
    <x v="0"/>
    <x v="0"/>
    <n v="1005"/>
    <x v="23"/>
    <x v="0"/>
    <x v="36"/>
    <n v="3021"/>
    <x v="153"/>
    <n v="4021"/>
    <x v="106"/>
    <s v="1 00"/>
    <n v="0"/>
    <n v="15"/>
    <x v="37"/>
    <s v="Annual"/>
    <n v="0"/>
    <n v="0"/>
    <n v="50955"/>
    <n v="50955"/>
  </r>
  <r>
    <x v="0"/>
    <n v="57"/>
    <x v="22"/>
    <x v="0"/>
    <x v="0"/>
    <n v="1005"/>
    <x v="23"/>
    <x v="0"/>
    <x v="36"/>
    <n v="3021"/>
    <x v="153"/>
    <n v="4022"/>
    <x v="107"/>
    <s v="PX 02"/>
    <n v="9"/>
    <n v="9716"/>
    <x v="654"/>
    <s v="Annual"/>
    <n v="1"/>
    <n v="1"/>
    <n v="141684"/>
    <n v="141684"/>
  </r>
  <r>
    <x v="0"/>
    <n v="57"/>
    <x v="22"/>
    <x v="0"/>
    <x v="0"/>
    <n v="1005"/>
    <x v="23"/>
    <x v="0"/>
    <x v="36"/>
    <n v="3021"/>
    <x v="153"/>
    <n v="4022"/>
    <x v="107"/>
    <s v="PX 02"/>
    <n v="9"/>
    <n v="9716"/>
    <x v="654"/>
    <s v="Annual"/>
    <n v="1"/>
    <n v="1"/>
    <n v="132912"/>
    <n v="132912"/>
  </r>
  <r>
    <x v="0"/>
    <n v="57"/>
    <x v="22"/>
    <x v="0"/>
    <x v="0"/>
    <n v="1005"/>
    <x v="23"/>
    <x v="0"/>
    <x v="36"/>
    <n v="3021"/>
    <x v="153"/>
    <n v="4022"/>
    <x v="107"/>
    <s v="PX 02"/>
    <n v="9"/>
    <n v="9716"/>
    <x v="654"/>
    <s v="Annual"/>
    <n v="1"/>
    <n v="1"/>
    <n v="111300"/>
    <n v="111300"/>
  </r>
  <r>
    <x v="0"/>
    <n v="57"/>
    <x v="22"/>
    <x v="0"/>
    <x v="0"/>
    <n v="1005"/>
    <x v="23"/>
    <x v="0"/>
    <x v="36"/>
    <n v="3021"/>
    <x v="153"/>
    <n v="4022"/>
    <x v="107"/>
    <s v="PX 01"/>
    <n v="9"/>
    <n v="9715"/>
    <x v="323"/>
    <s v="Annual"/>
    <n v="1"/>
    <n v="1"/>
    <n v="155556"/>
    <n v="155556"/>
  </r>
  <r>
    <x v="0"/>
    <n v="57"/>
    <x v="22"/>
    <x v="0"/>
    <x v="0"/>
    <n v="1005"/>
    <x v="23"/>
    <x v="0"/>
    <x v="36"/>
    <n v="3021"/>
    <x v="153"/>
    <n v="4022"/>
    <x v="107"/>
    <s v="E 03"/>
    <n v="71"/>
    <n v="9171"/>
    <x v="651"/>
    <s v="Annual"/>
    <n v="2"/>
    <n v="1"/>
    <n v="152010"/>
    <n v="304020"/>
  </r>
  <r>
    <x v="0"/>
    <n v="57"/>
    <x v="22"/>
    <x v="0"/>
    <x v="0"/>
    <n v="1005"/>
    <x v="23"/>
    <x v="0"/>
    <x v="36"/>
    <n v="3021"/>
    <x v="153"/>
    <n v="4022"/>
    <x v="107"/>
    <s v="E 03"/>
    <n v="71"/>
    <n v="9171"/>
    <x v="651"/>
    <s v="Annual"/>
    <n v="1"/>
    <n v="1"/>
    <n v="147252"/>
    <n v="147252"/>
  </r>
  <r>
    <x v="0"/>
    <n v="57"/>
    <x v="22"/>
    <x v="0"/>
    <x v="0"/>
    <n v="1005"/>
    <x v="23"/>
    <x v="0"/>
    <x v="36"/>
    <n v="3021"/>
    <x v="153"/>
    <n v="4022"/>
    <x v="107"/>
    <s v="D 01"/>
    <n v="91"/>
    <n v="9161"/>
    <x v="655"/>
    <s v="Annual"/>
    <n v="2"/>
    <n v="1"/>
    <n v="119154"/>
    <n v="238308"/>
  </r>
  <r>
    <x v="0"/>
    <n v="57"/>
    <x v="22"/>
    <x v="0"/>
    <x v="0"/>
    <n v="1005"/>
    <x v="23"/>
    <x v="0"/>
    <x v="36"/>
    <n v="3021"/>
    <x v="153"/>
    <n v="4022"/>
    <x v="107"/>
    <s v="D 01"/>
    <n v="91"/>
    <n v="9161"/>
    <x v="655"/>
    <s v="Annual"/>
    <n v="1"/>
    <n v="1"/>
    <n v="115158"/>
    <n v="115158"/>
  </r>
  <r>
    <x v="0"/>
    <n v="57"/>
    <x v="22"/>
    <x v="0"/>
    <x v="0"/>
    <n v="1005"/>
    <x v="23"/>
    <x v="0"/>
    <x v="36"/>
    <n v="3021"/>
    <x v="153"/>
    <n v="4022"/>
    <x v="107"/>
    <s v="D 01"/>
    <n v="91"/>
    <n v="9161"/>
    <x v="655"/>
    <s v="Annual"/>
    <n v="5"/>
    <n v="1"/>
    <n v="111252"/>
    <n v="556260"/>
  </r>
  <r>
    <x v="0"/>
    <n v="57"/>
    <x v="22"/>
    <x v="0"/>
    <x v="0"/>
    <n v="1005"/>
    <x v="23"/>
    <x v="0"/>
    <x v="36"/>
    <n v="3021"/>
    <x v="153"/>
    <n v="4022"/>
    <x v="107"/>
    <s v="B 13"/>
    <n v="1"/>
    <n v="6409"/>
    <x v="466"/>
    <s v="Annual"/>
    <n v="1"/>
    <n v="1"/>
    <n v="119100"/>
    <n v="119100"/>
  </r>
  <r>
    <x v="0"/>
    <n v="57"/>
    <x v="22"/>
    <x v="0"/>
    <x v="0"/>
    <n v="1005"/>
    <x v="23"/>
    <x v="0"/>
    <x v="36"/>
    <n v="3021"/>
    <x v="153"/>
    <n v="4022"/>
    <x v="107"/>
    <s v="B 13"/>
    <n v="1"/>
    <n v="6409"/>
    <x v="466"/>
    <s v="Annual"/>
    <n v="1"/>
    <n v="1"/>
    <n v="108576"/>
    <n v="108576"/>
  </r>
  <r>
    <x v="0"/>
    <n v="57"/>
    <x v="22"/>
    <x v="0"/>
    <x v="0"/>
    <n v="1005"/>
    <x v="23"/>
    <x v="0"/>
    <x v="36"/>
    <n v="3021"/>
    <x v="153"/>
    <n v="4022"/>
    <x v="107"/>
    <s v="BX 13"/>
    <n v="10"/>
    <n v="918"/>
    <x v="656"/>
    <s v="Annual"/>
    <n v="1"/>
    <n v="1"/>
    <n v="69684"/>
    <n v="69684"/>
  </r>
  <r>
    <x v="0"/>
    <n v="57"/>
    <x v="22"/>
    <x v="0"/>
    <x v="0"/>
    <n v="1005"/>
    <x v="23"/>
    <x v="0"/>
    <x v="36"/>
    <n v="3021"/>
    <x v="153"/>
    <n v="4022"/>
    <x v="107"/>
    <s v="BX 17"/>
    <n v="10"/>
    <n v="790"/>
    <x v="31"/>
    <s v="Annual"/>
    <n v="1"/>
    <n v="1"/>
    <n v="93384"/>
    <n v="93384"/>
  </r>
  <r>
    <x v="0"/>
    <n v="57"/>
    <x v="22"/>
    <x v="0"/>
    <x v="0"/>
    <n v="1005"/>
    <x v="23"/>
    <x v="0"/>
    <x v="36"/>
    <n v="3021"/>
    <x v="153"/>
    <n v="4022"/>
    <x v="107"/>
    <s v="BX 17"/>
    <n v="10"/>
    <n v="790"/>
    <x v="31"/>
    <s v="Annual"/>
    <n v="1"/>
    <n v="1"/>
    <n v="83052"/>
    <n v="83052"/>
  </r>
  <r>
    <x v="0"/>
    <n v="57"/>
    <x v="22"/>
    <x v="0"/>
    <x v="0"/>
    <n v="1005"/>
    <x v="23"/>
    <x v="0"/>
    <x v="36"/>
    <n v="3021"/>
    <x v="153"/>
    <n v="4022"/>
    <x v="107"/>
    <s v="B 15"/>
    <n v="1"/>
    <n v="729"/>
    <x v="32"/>
    <s v="Annual"/>
    <n v="1"/>
    <n v="1"/>
    <n v="102588"/>
    <n v="102588"/>
  </r>
  <r>
    <x v="0"/>
    <n v="57"/>
    <x v="22"/>
    <x v="0"/>
    <x v="0"/>
    <n v="1005"/>
    <x v="23"/>
    <x v="0"/>
    <x v="36"/>
    <n v="3021"/>
    <x v="153"/>
    <n v="4022"/>
    <x v="107"/>
    <s v="BX 18"/>
    <n v="10"/>
    <n v="722"/>
    <x v="657"/>
    <s v="Annual"/>
    <n v="3"/>
    <n v="1"/>
    <n v="89112"/>
    <n v="267336"/>
  </r>
  <r>
    <x v="0"/>
    <n v="57"/>
    <x v="22"/>
    <x v="0"/>
    <x v="0"/>
    <n v="1005"/>
    <x v="23"/>
    <x v="0"/>
    <x v="36"/>
    <n v="3021"/>
    <x v="153"/>
    <n v="4022"/>
    <x v="107"/>
    <s v="1 00"/>
    <n v="0"/>
    <n v="15"/>
    <x v="37"/>
    <s v="Annual"/>
    <n v="0"/>
    <n v="0"/>
    <n v="10971"/>
    <n v="10971"/>
  </r>
  <r>
    <x v="0"/>
    <n v="57"/>
    <x v="22"/>
    <x v="0"/>
    <x v="0"/>
    <n v="1005"/>
    <x v="23"/>
    <x v="0"/>
    <x v="36"/>
    <n v="3021"/>
    <x v="153"/>
    <n v="4023"/>
    <x v="108"/>
    <s v="3 00"/>
    <n v="99"/>
    <n v="9752"/>
    <x v="647"/>
    <s v="Annual"/>
    <n v="1"/>
    <n v="1"/>
    <n v="192240"/>
    <n v="192240"/>
  </r>
  <r>
    <x v="0"/>
    <n v="57"/>
    <x v="22"/>
    <x v="0"/>
    <x v="0"/>
    <n v="1005"/>
    <x v="23"/>
    <x v="0"/>
    <x v="36"/>
    <n v="3021"/>
    <x v="153"/>
    <n v="4023"/>
    <x v="108"/>
    <s v="E 03"/>
    <n v="71"/>
    <n v="9171"/>
    <x v="651"/>
    <s v="Annual"/>
    <n v="1"/>
    <n v="1"/>
    <n v="152010"/>
    <n v="152010"/>
  </r>
  <r>
    <x v="0"/>
    <n v="57"/>
    <x v="22"/>
    <x v="0"/>
    <x v="0"/>
    <n v="1005"/>
    <x v="23"/>
    <x v="0"/>
    <x v="36"/>
    <n v="3021"/>
    <x v="153"/>
    <n v="4023"/>
    <x v="108"/>
    <s v="E 03"/>
    <n v="71"/>
    <n v="9171"/>
    <x v="651"/>
    <s v="Annual"/>
    <n v="1"/>
    <n v="1"/>
    <n v="147252"/>
    <n v="147252"/>
  </r>
  <r>
    <x v="0"/>
    <n v="57"/>
    <x v="22"/>
    <x v="0"/>
    <x v="0"/>
    <n v="1005"/>
    <x v="23"/>
    <x v="0"/>
    <x v="36"/>
    <n v="3021"/>
    <x v="153"/>
    <n v="4023"/>
    <x v="108"/>
    <s v="E 03"/>
    <n v="71"/>
    <n v="9171"/>
    <x v="651"/>
    <s v="Annual"/>
    <n v="3"/>
    <n v="1"/>
    <n v="138318"/>
    <n v="414954"/>
  </r>
  <r>
    <x v="0"/>
    <n v="57"/>
    <x v="22"/>
    <x v="0"/>
    <x v="0"/>
    <n v="1005"/>
    <x v="23"/>
    <x v="0"/>
    <x v="36"/>
    <n v="3021"/>
    <x v="153"/>
    <n v="4023"/>
    <x v="108"/>
    <s v="X 43"/>
    <n v="0"/>
    <s v="03A4"/>
    <x v="237"/>
    <s v="Annual"/>
    <n v="1"/>
    <n v="1"/>
    <n v="160680"/>
    <n v="160680"/>
  </r>
  <r>
    <x v="0"/>
    <n v="57"/>
    <x v="22"/>
    <x v="0"/>
    <x v="0"/>
    <n v="1005"/>
    <x v="23"/>
    <x v="0"/>
    <x v="36"/>
    <n v="3021"/>
    <x v="153"/>
    <n v="4023"/>
    <x v="108"/>
    <s v="1 00"/>
    <n v="0"/>
    <n v="15"/>
    <x v="37"/>
    <s v="Annual"/>
    <n v="0"/>
    <n v="0"/>
    <n v="4279"/>
    <n v="4279"/>
  </r>
  <r>
    <x v="0"/>
    <n v="57"/>
    <x v="22"/>
    <x v="0"/>
    <x v="0"/>
    <n v="1005"/>
    <x v="23"/>
    <x v="0"/>
    <x v="36"/>
    <n v="3021"/>
    <x v="153"/>
    <n v="4025"/>
    <x v="109"/>
    <s v="X 42"/>
    <n v="9"/>
    <n v="9675"/>
    <x v="76"/>
    <s v="Annual"/>
    <n v="1"/>
    <n v="1"/>
    <n v="153000"/>
    <n v="153000"/>
  </r>
  <r>
    <x v="0"/>
    <n v="57"/>
    <x v="22"/>
    <x v="0"/>
    <x v="0"/>
    <n v="1005"/>
    <x v="23"/>
    <x v="0"/>
    <x v="36"/>
    <n v="3021"/>
    <x v="153"/>
    <n v="4025"/>
    <x v="109"/>
    <s v="X 43"/>
    <n v="9"/>
    <n v="9018"/>
    <x v="658"/>
    <s v="Annual"/>
    <n v="1"/>
    <n v="1"/>
    <n v="160680"/>
    <n v="160680"/>
  </r>
  <r>
    <x v="0"/>
    <n v="57"/>
    <x v="22"/>
    <x v="0"/>
    <x v="0"/>
    <n v="1005"/>
    <x v="23"/>
    <x v="0"/>
    <x v="36"/>
    <n v="3021"/>
    <x v="153"/>
    <n v="4025"/>
    <x v="109"/>
    <s v="1 00"/>
    <n v="0"/>
    <n v="15"/>
    <x v="37"/>
    <s v="Annual"/>
    <n v="0"/>
    <n v="0"/>
    <n v="2925"/>
    <n v="2925"/>
  </r>
  <r>
    <x v="0"/>
    <n v="57"/>
    <x v="22"/>
    <x v="0"/>
    <x v="0"/>
    <n v="1005"/>
    <x v="23"/>
    <x v="0"/>
    <x v="36"/>
    <n v="3427"/>
    <x v="154"/>
    <n v="4040"/>
    <x v="110"/>
    <s v="1 00"/>
    <n v="99"/>
    <n v="9796"/>
    <x v="659"/>
    <s v="Annual"/>
    <n v="1"/>
    <n v="1"/>
    <n v="201048"/>
    <n v="201048"/>
  </r>
  <r>
    <x v="0"/>
    <n v="57"/>
    <x v="22"/>
    <x v="0"/>
    <x v="0"/>
    <n v="1005"/>
    <x v="23"/>
    <x v="0"/>
    <x v="36"/>
    <n v="3427"/>
    <x v="154"/>
    <n v="4040"/>
    <x v="110"/>
    <s v="1 00"/>
    <n v="99"/>
    <n v="9785"/>
    <x v="660"/>
    <s v="Annual"/>
    <n v="1"/>
    <n v="1"/>
    <n v="219048"/>
    <n v="219048"/>
  </r>
  <r>
    <x v="0"/>
    <n v="57"/>
    <x v="22"/>
    <x v="0"/>
    <x v="0"/>
    <n v="1005"/>
    <x v="23"/>
    <x v="0"/>
    <x v="36"/>
    <n v="3427"/>
    <x v="154"/>
    <n v="4040"/>
    <x v="110"/>
    <s v="3 00"/>
    <n v="99"/>
    <n v="9752"/>
    <x v="647"/>
    <s v="Annual"/>
    <n v="1"/>
    <n v="1"/>
    <n v="192240"/>
    <n v="192240"/>
  </r>
  <r>
    <x v="0"/>
    <n v="57"/>
    <x v="22"/>
    <x v="0"/>
    <x v="0"/>
    <n v="1005"/>
    <x v="23"/>
    <x v="0"/>
    <x v="36"/>
    <n v="3427"/>
    <x v="154"/>
    <n v="4040"/>
    <x v="110"/>
    <s v="D 02"/>
    <n v="91"/>
    <n v="9174"/>
    <x v="661"/>
    <s v="Annual"/>
    <n v="1"/>
    <n v="1"/>
    <n v="90816"/>
    <n v="90816"/>
  </r>
  <r>
    <x v="0"/>
    <n v="57"/>
    <x v="22"/>
    <x v="0"/>
    <x v="0"/>
    <n v="1005"/>
    <x v="23"/>
    <x v="0"/>
    <x v="36"/>
    <n v="3427"/>
    <x v="154"/>
    <n v="4040"/>
    <x v="110"/>
    <s v="E 04"/>
    <n v="73"/>
    <n v="9173"/>
    <x v="662"/>
    <s v="Annual"/>
    <n v="5"/>
    <n v="1"/>
    <n v="170700"/>
    <n v="853500"/>
  </r>
  <r>
    <x v="0"/>
    <n v="57"/>
    <x v="22"/>
    <x v="0"/>
    <x v="0"/>
    <n v="1005"/>
    <x v="23"/>
    <x v="0"/>
    <x v="36"/>
    <n v="3427"/>
    <x v="154"/>
    <n v="4040"/>
    <x v="110"/>
    <s v="E 04"/>
    <n v="73"/>
    <n v="9173"/>
    <x v="662"/>
    <s v="Annual"/>
    <n v="1"/>
    <n v="1"/>
    <n v="155934"/>
    <n v="155934"/>
  </r>
  <r>
    <x v="0"/>
    <n v="57"/>
    <x v="22"/>
    <x v="0"/>
    <x v="0"/>
    <n v="1005"/>
    <x v="23"/>
    <x v="0"/>
    <x v="36"/>
    <n v="3427"/>
    <x v="154"/>
    <n v="4040"/>
    <x v="110"/>
    <s v="E 03"/>
    <n v="71"/>
    <n v="9171"/>
    <x v="651"/>
    <s v="Annual"/>
    <n v="15"/>
    <n v="1"/>
    <n v="152010"/>
    <n v="2280150"/>
  </r>
  <r>
    <x v="0"/>
    <n v="57"/>
    <x v="22"/>
    <x v="0"/>
    <x v="0"/>
    <n v="1005"/>
    <x v="23"/>
    <x v="0"/>
    <x v="36"/>
    <n v="3427"/>
    <x v="154"/>
    <n v="4040"/>
    <x v="110"/>
    <s v="E 03"/>
    <n v="71"/>
    <n v="9171"/>
    <x v="651"/>
    <s v="Annual"/>
    <n v="16"/>
    <n v="1"/>
    <n v="147252"/>
    <n v="2356032"/>
  </r>
  <r>
    <x v="0"/>
    <n v="57"/>
    <x v="22"/>
    <x v="0"/>
    <x v="0"/>
    <n v="1005"/>
    <x v="23"/>
    <x v="0"/>
    <x v="36"/>
    <n v="3427"/>
    <x v="154"/>
    <n v="4040"/>
    <x v="110"/>
    <s v="E 03"/>
    <n v="71"/>
    <n v="9171"/>
    <x v="651"/>
    <s v="Annual"/>
    <n v="13"/>
    <n v="1"/>
    <n v="142668"/>
    <n v="1854684"/>
  </r>
  <r>
    <x v="0"/>
    <n v="57"/>
    <x v="22"/>
    <x v="0"/>
    <x v="0"/>
    <n v="1005"/>
    <x v="23"/>
    <x v="0"/>
    <x v="36"/>
    <n v="3427"/>
    <x v="154"/>
    <n v="4040"/>
    <x v="110"/>
    <s v="E 03"/>
    <n v="71"/>
    <n v="9171"/>
    <x v="651"/>
    <s v="Annual"/>
    <n v="13"/>
    <n v="1"/>
    <n v="138318"/>
    <n v="1798134"/>
  </r>
  <r>
    <x v="0"/>
    <n v="57"/>
    <x v="22"/>
    <x v="0"/>
    <x v="0"/>
    <n v="1005"/>
    <x v="23"/>
    <x v="0"/>
    <x v="36"/>
    <n v="3427"/>
    <x v="154"/>
    <n v="4040"/>
    <x v="110"/>
    <s v="E 03"/>
    <n v="71"/>
    <n v="9171"/>
    <x v="651"/>
    <s v="Annual"/>
    <n v="4"/>
    <n v="1"/>
    <n v="133890"/>
    <n v="535560"/>
  </r>
  <r>
    <x v="0"/>
    <n v="57"/>
    <x v="22"/>
    <x v="0"/>
    <x v="0"/>
    <n v="1005"/>
    <x v="23"/>
    <x v="0"/>
    <x v="36"/>
    <n v="3427"/>
    <x v="154"/>
    <n v="4040"/>
    <x v="110"/>
    <s v="D 2B"/>
    <n v="91"/>
    <n v="9165"/>
    <x v="663"/>
    <s v="Annual"/>
    <n v="3"/>
    <n v="1"/>
    <n v="144792"/>
    <n v="434376"/>
  </r>
  <r>
    <x v="0"/>
    <n v="57"/>
    <x v="22"/>
    <x v="0"/>
    <x v="0"/>
    <n v="1005"/>
    <x v="23"/>
    <x v="0"/>
    <x v="36"/>
    <n v="3427"/>
    <x v="154"/>
    <n v="4040"/>
    <x v="110"/>
    <s v="D 2B"/>
    <n v="91"/>
    <n v="9165"/>
    <x v="663"/>
    <s v="Annual"/>
    <n v="1"/>
    <n v="1"/>
    <n v="140454"/>
    <n v="140454"/>
  </r>
  <r>
    <x v="0"/>
    <n v="57"/>
    <x v="22"/>
    <x v="0"/>
    <x v="0"/>
    <n v="1005"/>
    <x v="23"/>
    <x v="0"/>
    <x v="36"/>
    <n v="3427"/>
    <x v="154"/>
    <n v="4040"/>
    <x v="110"/>
    <s v="D 2B"/>
    <n v="91"/>
    <n v="9165"/>
    <x v="663"/>
    <s v="Annual"/>
    <n v="4"/>
    <n v="1"/>
    <n v="135816"/>
    <n v="543264"/>
  </r>
  <r>
    <x v="0"/>
    <n v="57"/>
    <x v="22"/>
    <x v="0"/>
    <x v="0"/>
    <n v="1005"/>
    <x v="23"/>
    <x v="0"/>
    <x v="36"/>
    <n v="3427"/>
    <x v="154"/>
    <n v="4040"/>
    <x v="110"/>
    <s v="D 2B"/>
    <n v="91"/>
    <n v="9165"/>
    <x v="663"/>
    <s v="Annual"/>
    <n v="1"/>
    <n v="1"/>
    <n v="131448"/>
    <n v="131448"/>
  </r>
  <r>
    <x v="0"/>
    <n v="57"/>
    <x v="22"/>
    <x v="0"/>
    <x v="0"/>
    <n v="1005"/>
    <x v="23"/>
    <x v="0"/>
    <x v="36"/>
    <n v="3427"/>
    <x v="154"/>
    <n v="4040"/>
    <x v="110"/>
    <s v="D 2B"/>
    <n v="91"/>
    <n v="9165"/>
    <x v="663"/>
    <s v="Annual"/>
    <n v="1"/>
    <n v="1"/>
    <n v="99426"/>
    <n v="99426"/>
  </r>
  <r>
    <x v="0"/>
    <n v="57"/>
    <x v="22"/>
    <x v="0"/>
    <x v="0"/>
    <n v="1005"/>
    <x v="23"/>
    <x v="0"/>
    <x v="36"/>
    <n v="3427"/>
    <x v="154"/>
    <n v="4040"/>
    <x v="110"/>
    <s v="D 01"/>
    <n v="91"/>
    <n v="9161"/>
    <x v="655"/>
    <s v="Annual"/>
    <n v="1"/>
    <n v="1"/>
    <n v="127146"/>
    <n v="127146"/>
  </r>
  <r>
    <x v="0"/>
    <n v="57"/>
    <x v="22"/>
    <x v="0"/>
    <x v="0"/>
    <n v="1005"/>
    <x v="23"/>
    <x v="0"/>
    <x v="36"/>
    <n v="3427"/>
    <x v="154"/>
    <n v="4040"/>
    <x v="110"/>
    <s v="D 01"/>
    <n v="91"/>
    <n v="9161"/>
    <x v="655"/>
    <s v="Annual"/>
    <n v="1"/>
    <n v="1"/>
    <n v="123576"/>
    <n v="123576"/>
  </r>
  <r>
    <x v="0"/>
    <n v="57"/>
    <x v="22"/>
    <x v="0"/>
    <x v="0"/>
    <n v="1005"/>
    <x v="23"/>
    <x v="0"/>
    <x v="36"/>
    <n v="3427"/>
    <x v="154"/>
    <n v="4040"/>
    <x v="110"/>
    <s v="D 01"/>
    <n v="91"/>
    <n v="9161"/>
    <x v="655"/>
    <s v="Annual"/>
    <n v="1"/>
    <n v="1"/>
    <n v="119154"/>
    <n v="119154"/>
  </r>
  <r>
    <x v="0"/>
    <n v="57"/>
    <x v="22"/>
    <x v="0"/>
    <x v="0"/>
    <n v="1005"/>
    <x v="23"/>
    <x v="0"/>
    <x v="36"/>
    <n v="3427"/>
    <x v="154"/>
    <n v="4040"/>
    <x v="110"/>
    <s v="D 01"/>
    <n v="91"/>
    <n v="9161"/>
    <x v="655"/>
    <s v="Annual"/>
    <n v="3"/>
    <n v="1"/>
    <n v="115158"/>
    <n v="345474"/>
  </r>
  <r>
    <x v="0"/>
    <n v="57"/>
    <x v="22"/>
    <x v="0"/>
    <x v="0"/>
    <n v="1005"/>
    <x v="23"/>
    <x v="0"/>
    <x v="36"/>
    <n v="3427"/>
    <x v="154"/>
    <n v="4040"/>
    <x v="110"/>
    <s v="D 01"/>
    <n v="91"/>
    <n v="9161"/>
    <x v="655"/>
    <s v="Annual"/>
    <n v="2"/>
    <n v="1"/>
    <n v="111252"/>
    <n v="222504"/>
  </r>
  <r>
    <x v="0"/>
    <n v="57"/>
    <x v="22"/>
    <x v="0"/>
    <x v="0"/>
    <n v="1005"/>
    <x v="23"/>
    <x v="0"/>
    <x v="36"/>
    <n v="3427"/>
    <x v="154"/>
    <n v="4040"/>
    <x v="110"/>
    <s v="D 01"/>
    <n v="91"/>
    <n v="9161"/>
    <x v="655"/>
    <s v="Annual"/>
    <n v="4"/>
    <n v="1"/>
    <n v="63636"/>
    <n v="254544"/>
  </r>
  <r>
    <x v="0"/>
    <n v="57"/>
    <x v="22"/>
    <x v="0"/>
    <x v="0"/>
    <n v="1005"/>
    <x v="23"/>
    <x v="0"/>
    <x v="36"/>
    <n v="3427"/>
    <x v="154"/>
    <n v="4040"/>
    <x v="110"/>
    <s v="BX 17"/>
    <n v="10"/>
    <n v="1256"/>
    <x v="293"/>
    <s v="Annual"/>
    <n v="1"/>
    <n v="1"/>
    <n v="93384"/>
    <n v="93384"/>
  </r>
  <r>
    <x v="0"/>
    <n v="57"/>
    <x v="22"/>
    <x v="0"/>
    <x v="0"/>
    <n v="1005"/>
    <x v="23"/>
    <x v="0"/>
    <x v="36"/>
    <n v="3427"/>
    <x v="154"/>
    <n v="4040"/>
    <x v="110"/>
    <s v="BX 17"/>
    <n v="10"/>
    <n v="1256"/>
    <x v="293"/>
    <s v="Annual"/>
    <n v="2"/>
    <n v="1"/>
    <n v="83052"/>
    <n v="166104"/>
  </r>
  <r>
    <x v="0"/>
    <n v="57"/>
    <x v="22"/>
    <x v="0"/>
    <x v="0"/>
    <n v="1005"/>
    <x v="23"/>
    <x v="0"/>
    <x v="36"/>
    <n v="3427"/>
    <x v="154"/>
    <n v="4040"/>
    <x v="110"/>
    <s v="BX 14"/>
    <n v="10"/>
    <n v="1235"/>
    <x v="664"/>
    <s v="Annual"/>
    <n v="6"/>
    <n v="1"/>
    <n v="66516"/>
    <n v="399096"/>
  </r>
  <r>
    <x v="0"/>
    <n v="57"/>
    <x v="22"/>
    <x v="0"/>
    <x v="0"/>
    <n v="1005"/>
    <x v="23"/>
    <x v="0"/>
    <x v="36"/>
    <n v="3427"/>
    <x v="154"/>
    <n v="4040"/>
    <x v="110"/>
    <s v="BX 14"/>
    <n v="10"/>
    <n v="1235"/>
    <x v="664"/>
    <s v="Annual"/>
    <n v="25"/>
    <n v="1"/>
    <n v="63504"/>
    <n v="1587600"/>
  </r>
  <r>
    <x v="0"/>
    <n v="57"/>
    <x v="22"/>
    <x v="0"/>
    <x v="0"/>
    <n v="1005"/>
    <x v="23"/>
    <x v="0"/>
    <x v="36"/>
    <n v="3427"/>
    <x v="154"/>
    <n v="4040"/>
    <x v="110"/>
    <s v="GY 08"/>
    <n v="20"/>
    <n v="1141"/>
    <x v="79"/>
    <s v="Annual"/>
    <n v="1"/>
    <n v="1"/>
    <n v="82884"/>
    <n v="82884"/>
  </r>
  <r>
    <x v="0"/>
    <n v="57"/>
    <x v="22"/>
    <x v="0"/>
    <x v="0"/>
    <n v="1005"/>
    <x v="23"/>
    <x v="0"/>
    <x v="36"/>
    <n v="3427"/>
    <x v="154"/>
    <n v="4040"/>
    <x v="110"/>
    <s v="GY 08"/>
    <n v="20"/>
    <n v="1126"/>
    <x v="50"/>
    <s v="Annual"/>
    <n v="1"/>
    <n v="1"/>
    <n v="85236"/>
    <n v="85236"/>
  </r>
  <r>
    <x v="0"/>
    <n v="57"/>
    <x v="22"/>
    <x v="0"/>
    <x v="0"/>
    <n v="1005"/>
    <x v="23"/>
    <x v="0"/>
    <x v="36"/>
    <n v="3427"/>
    <x v="154"/>
    <n v="4040"/>
    <x v="110"/>
    <s v="1 00"/>
    <n v="0"/>
    <n v="15"/>
    <x v="37"/>
    <s v="Annual"/>
    <n v="0"/>
    <n v="0"/>
    <n v="84824"/>
    <n v="84824"/>
  </r>
  <r>
    <x v="0"/>
    <n v="57"/>
    <x v="22"/>
    <x v="0"/>
    <x v="0"/>
    <n v="1005"/>
    <x v="23"/>
    <x v="0"/>
    <x v="36"/>
    <n v="3427"/>
    <x v="154"/>
    <n v="4042"/>
    <x v="111"/>
    <s v="E 03"/>
    <n v="71"/>
    <n v="9171"/>
    <x v="651"/>
    <s v="Annual"/>
    <n v="1"/>
    <n v="1"/>
    <n v="156564"/>
    <n v="156564"/>
  </r>
  <r>
    <x v="0"/>
    <n v="57"/>
    <x v="22"/>
    <x v="0"/>
    <x v="0"/>
    <n v="1005"/>
    <x v="23"/>
    <x v="0"/>
    <x v="36"/>
    <n v="3427"/>
    <x v="154"/>
    <n v="4042"/>
    <x v="111"/>
    <s v="B 11"/>
    <n v="1"/>
    <n v="3130"/>
    <x v="581"/>
    <s v="Annual"/>
    <n v="1"/>
    <n v="1"/>
    <n v="98928"/>
    <n v="98928"/>
  </r>
  <r>
    <x v="0"/>
    <n v="57"/>
    <x v="22"/>
    <x v="0"/>
    <x v="0"/>
    <n v="1005"/>
    <x v="23"/>
    <x v="0"/>
    <x v="36"/>
    <n v="3427"/>
    <x v="154"/>
    <n v="4042"/>
    <x v="111"/>
    <s v="B 11"/>
    <n v="1"/>
    <n v="3130"/>
    <x v="581"/>
    <s v="Annual"/>
    <n v="1"/>
    <n v="1"/>
    <n v="67608"/>
    <n v="67608"/>
  </r>
  <r>
    <x v="0"/>
    <n v="57"/>
    <x v="22"/>
    <x v="0"/>
    <x v="0"/>
    <n v="1005"/>
    <x v="23"/>
    <x v="0"/>
    <x v="36"/>
    <n v="3427"/>
    <x v="154"/>
    <n v="4042"/>
    <x v="111"/>
    <s v="B 11"/>
    <n v="1"/>
    <n v="3130"/>
    <x v="581"/>
    <s v="Annual"/>
    <n v="2"/>
    <n v="1"/>
    <n v="64488"/>
    <n v="128976"/>
  </r>
  <r>
    <x v="0"/>
    <n v="57"/>
    <x v="22"/>
    <x v="0"/>
    <x v="0"/>
    <n v="1005"/>
    <x v="23"/>
    <x v="0"/>
    <x v="36"/>
    <n v="3427"/>
    <x v="154"/>
    <n v="4042"/>
    <x v="111"/>
    <s v="1 00"/>
    <n v="0"/>
    <n v="15"/>
    <x v="37"/>
    <s v="Annual"/>
    <n v="0"/>
    <n v="0"/>
    <n v="1901"/>
    <n v="1901"/>
  </r>
  <r>
    <x v="0"/>
    <n v="57"/>
    <x v="22"/>
    <x v="0"/>
    <x v="0"/>
    <n v="1005"/>
    <x v="23"/>
    <x v="0"/>
    <x v="36"/>
    <n v="3427"/>
    <x v="154"/>
    <n v="4043"/>
    <x v="112"/>
    <s v="E 03"/>
    <n v="71"/>
    <n v="9171"/>
    <x v="651"/>
    <s v="Annual"/>
    <n v="1"/>
    <n v="1"/>
    <n v="142668"/>
    <n v="142668"/>
  </r>
  <r>
    <x v="0"/>
    <n v="57"/>
    <x v="22"/>
    <x v="0"/>
    <x v="0"/>
    <n v="1005"/>
    <x v="23"/>
    <x v="0"/>
    <x v="36"/>
    <n v="3427"/>
    <x v="154"/>
    <n v="4043"/>
    <x v="112"/>
    <s v="E 03"/>
    <n v="71"/>
    <n v="9171"/>
    <x v="651"/>
    <s v="Annual"/>
    <n v="1"/>
    <n v="1"/>
    <n v="138318"/>
    <n v="138318"/>
  </r>
  <r>
    <x v="0"/>
    <n v="57"/>
    <x v="22"/>
    <x v="0"/>
    <x v="0"/>
    <n v="1005"/>
    <x v="23"/>
    <x v="0"/>
    <x v="36"/>
    <n v="3427"/>
    <x v="154"/>
    <n v="4043"/>
    <x v="112"/>
    <s v="D 01"/>
    <n v="91"/>
    <n v="9161"/>
    <x v="655"/>
    <s v="Annual"/>
    <n v="1"/>
    <n v="1"/>
    <n v="127146"/>
    <n v="127146"/>
  </r>
  <r>
    <x v="0"/>
    <n v="57"/>
    <x v="22"/>
    <x v="0"/>
    <x v="0"/>
    <n v="1005"/>
    <x v="23"/>
    <x v="0"/>
    <x v="36"/>
    <n v="3427"/>
    <x v="154"/>
    <n v="4043"/>
    <x v="112"/>
    <s v="D 01"/>
    <n v="91"/>
    <n v="9161"/>
    <x v="655"/>
    <s v="Annual"/>
    <n v="2"/>
    <n v="1"/>
    <n v="119154"/>
    <n v="238308"/>
  </r>
  <r>
    <x v="0"/>
    <n v="57"/>
    <x v="22"/>
    <x v="0"/>
    <x v="0"/>
    <n v="1005"/>
    <x v="23"/>
    <x v="0"/>
    <x v="36"/>
    <n v="3427"/>
    <x v="154"/>
    <n v="4043"/>
    <x v="112"/>
    <s v="D 01"/>
    <n v="91"/>
    <n v="9161"/>
    <x v="655"/>
    <s v="Annual"/>
    <n v="1"/>
    <n v="1"/>
    <n v="115158"/>
    <n v="115158"/>
  </r>
  <r>
    <x v="0"/>
    <n v="57"/>
    <x v="22"/>
    <x v="0"/>
    <x v="0"/>
    <n v="1005"/>
    <x v="23"/>
    <x v="0"/>
    <x v="36"/>
    <n v="3427"/>
    <x v="154"/>
    <n v="4043"/>
    <x v="112"/>
    <s v="D 01"/>
    <n v="91"/>
    <n v="9161"/>
    <x v="655"/>
    <s v="Annual"/>
    <n v="10"/>
    <n v="1"/>
    <n v="111252"/>
    <n v="1112520"/>
  </r>
  <r>
    <x v="0"/>
    <n v="57"/>
    <x v="22"/>
    <x v="0"/>
    <x v="0"/>
    <n v="1005"/>
    <x v="23"/>
    <x v="0"/>
    <x v="36"/>
    <n v="3427"/>
    <x v="154"/>
    <n v="4043"/>
    <x v="112"/>
    <s v="D 01"/>
    <n v="91"/>
    <n v="9161"/>
    <x v="655"/>
    <s v="Annual"/>
    <n v="5"/>
    <n v="1"/>
    <n v="63636"/>
    <n v="318180"/>
  </r>
  <r>
    <x v="0"/>
    <n v="57"/>
    <x v="22"/>
    <x v="0"/>
    <x v="0"/>
    <n v="1005"/>
    <x v="23"/>
    <x v="0"/>
    <x v="36"/>
    <n v="3429"/>
    <x v="155"/>
    <n v="0"/>
    <x v="0"/>
    <s v="1 00"/>
    <n v="99"/>
    <n v="9796"/>
    <x v="659"/>
    <s v="Annual"/>
    <n v="1"/>
    <n v="1"/>
    <n v="201048"/>
    <n v="201048"/>
  </r>
  <r>
    <x v="0"/>
    <n v="57"/>
    <x v="22"/>
    <x v="0"/>
    <x v="0"/>
    <n v="1005"/>
    <x v="23"/>
    <x v="0"/>
    <x v="36"/>
    <n v="3429"/>
    <x v="155"/>
    <n v="0"/>
    <x v="0"/>
    <s v="X 42"/>
    <n v="9"/>
    <n v="9675"/>
    <x v="76"/>
    <s v="Annual"/>
    <n v="1"/>
    <n v="1"/>
    <n v="172920"/>
    <n v="172920"/>
  </r>
  <r>
    <x v="0"/>
    <n v="57"/>
    <x v="22"/>
    <x v="0"/>
    <x v="0"/>
    <n v="1005"/>
    <x v="23"/>
    <x v="0"/>
    <x v="36"/>
    <n v="3429"/>
    <x v="155"/>
    <n v="0"/>
    <x v="0"/>
    <s v="E 05"/>
    <n v="75"/>
    <n v="9175"/>
    <x v="665"/>
    <s v="Annual"/>
    <n v="1"/>
    <n v="1"/>
    <n v="188352"/>
    <n v="188352"/>
  </r>
  <r>
    <x v="0"/>
    <n v="57"/>
    <x v="22"/>
    <x v="0"/>
    <x v="0"/>
    <n v="1005"/>
    <x v="23"/>
    <x v="0"/>
    <x v="36"/>
    <n v="3429"/>
    <x v="155"/>
    <n v="0"/>
    <x v="0"/>
    <s v="E 04"/>
    <n v="73"/>
    <n v="9173"/>
    <x v="662"/>
    <s v="Annual"/>
    <n v="1"/>
    <n v="1"/>
    <n v="170700"/>
    <n v="170700"/>
  </r>
  <r>
    <x v="0"/>
    <n v="57"/>
    <x v="22"/>
    <x v="0"/>
    <x v="0"/>
    <n v="1005"/>
    <x v="23"/>
    <x v="0"/>
    <x v="36"/>
    <n v="3429"/>
    <x v="155"/>
    <n v="0"/>
    <x v="0"/>
    <s v="E 03"/>
    <n v="71"/>
    <n v="9171"/>
    <x v="651"/>
    <s v="Annual"/>
    <n v="1"/>
    <n v="1"/>
    <n v="147252"/>
    <n v="147252"/>
  </r>
  <r>
    <x v="0"/>
    <n v="57"/>
    <x v="22"/>
    <x v="0"/>
    <x v="0"/>
    <n v="1005"/>
    <x v="23"/>
    <x v="0"/>
    <x v="36"/>
    <n v="3429"/>
    <x v="155"/>
    <n v="0"/>
    <x v="0"/>
    <s v="D 01"/>
    <n v="91"/>
    <n v="9161"/>
    <x v="655"/>
    <s v="Annual"/>
    <n v="1"/>
    <n v="1"/>
    <n v="127146"/>
    <n v="127146"/>
  </r>
  <r>
    <x v="0"/>
    <n v="57"/>
    <x v="22"/>
    <x v="0"/>
    <x v="0"/>
    <n v="1005"/>
    <x v="23"/>
    <x v="0"/>
    <x v="36"/>
    <n v="3429"/>
    <x v="155"/>
    <n v="0"/>
    <x v="0"/>
    <s v="D 01"/>
    <n v="91"/>
    <n v="9161"/>
    <x v="655"/>
    <s v="Annual"/>
    <n v="2"/>
    <n v="1"/>
    <n v="111252"/>
    <n v="222504"/>
  </r>
  <r>
    <x v="0"/>
    <n v="57"/>
    <x v="22"/>
    <x v="0"/>
    <x v="0"/>
    <n v="1005"/>
    <x v="23"/>
    <x v="0"/>
    <x v="36"/>
    <n v="3429"/>
    <x v="155"/>
    <n v="0"/>
    <x v="0"/>
    <s v="X 42"/>
    <n v="9"/>
    <n v="9102"/>
    <x v="666"/>
    <s v="Annual"/>
    <n v="1"/>
    <n v="1"/>
    <n v="199284"/>
    <n v="199284"/>
  </r>
  <r>
    <x v="0"/>
    <n v="57"/>
    <x v="22"/>
    <x v="0"/>
    <x v="0"/>
    <n v="1005"/>
    <x v="23"/>
    <x v="0"/>
    <x v="36"/>
    <n v="3429"/>
    <x v="155"/>
    <n v="0"/>
    <x v="0"/>
    <s v="B 12"/>
    <n v="3"/>
    <n v="9101"/>
    <x v="667"/>
    <s v="Annual"/>
    <n v="8"/>
    <n v="1"/>
    <n v="108576"/>
    <n v="868608"/>
  </r>
  <r>
    <x v="0"/>
    <n v="57"/>
    <x v="22"/>
    <x v="0"/>
    <x v="0"/>
    <n v="1005"/>
    <x v="23"/>
    <x v="0"/>
    <x v="36"/>
    <n v="3429"/>
    <x v="155"/>
    <n v="0"/>
    <x v="0"/>
    <s v="B 12"/>
    <n v="3"/>
    <n v="9101"/>
    <x v="667"/>
    <s v="Annual"/>
    <n v="1"/>
    <n v="1"/>
    <n v="86112"/>
    <n v="86112"/>
  </r>
  <r>
    <x v="0"/>
    <n v="57"/>
    <x v="22"/>
    <x v="0"/>
    <x v="0"/>
    <n v="1005"/>
    <x v="23"/>
    <x v="0"/>
    <x v="36"/>
    <n v="3429"/>
    <x v="155"/>
    <n v="0"/>
    <x v="0"/>
    <s v="B 12"/>
    <n v="3"/>
    <n v="9101"/>
    <x v="667"/>
    <s v="Annual"/>
    <n v="1"/>
    <n v="1"/>
    <n v="77640"/>
    <n v="77640"/>
  </r>
  <r>
    <x v="0"/>
    <n v="57"/>
    <x v="22"/>
    <x v="0"/>
    <x v="0"/>
    <n v="1005"/>
    <x v="23"/>
    <x v="0"/>
    <x v="36"/>
    <n v="3429"/>
    <x v="155"/>
    <n v="0"/>
    <x v="0"/>
    <s v="B 12"/>
    <n v="3"/>
    <n v="9101"/>
    <x v="667"/>
    <s v="Annual"/>
    <n v="3"/>
    <n v="1"/>
    <n v="74172"/>
    <n v="222516"/>
  </r>
  <r>
    <x v="0"/>
    <n v="57"/>
    <x v="22"/>
    <x v="0"/>
    <x v="0"/>
    <n v="1005"/>
    <x v="23"/>
    <x v="0"/>
    <x v="36"/>
    <n v="3429"/>
    <x v="155"/>
    <n v="0"/>
    <x v="0"/>
    <s v="B 12"/>
    <n v="3"/>
    <n v="9101"/>
    <x v="667"/>
    <s v="Annual"/>
    <n v="3"/>
    <n v="1"/>
    <n v="70752"/>
    <n v="212256"/>
  </r>
  <r>
    <x v="0"/>
    <n v="57"/>
    <x v="22"/>
    <x v="0"/>
    <x v="0"/>
    <n v="1005"/>
    <x v="23"/>
    <x v="0"/>
    <x v="36"/>
    <n v="3429"/>
    <x v="155"/>
    <n v="0"/>
    <x v="0"/>
    <s v="B 12"/>
    <n v="3"/>
    <n v="9101"/>
    <x v="667"/>
    <s v="Annual"/>
    <n v="2"/>
    <n v="1"/>
    <n v="67608"/>
    <n v="135216"/>
  </r>
  <r>
    <x v="0"/>
    <n v="57"/>
    <x v="22"/>
    <x v="0"/>
    <x v="0"/>
    <n v="1005"/>
    <x v="23"/>
    <x v="0"/>
    <x v="36"/>
    <n v="3429"/>
    <x v="155"/>
    <n v="0"/>
    <x v="0"/>
    <s v="B 12"/>
    <n v="3"/>
    <n v="9101"/>
    <x v="667"/>
    <s v="Annual"/>
    <n v="1"/>
    <n v="1"/>
    <n v="64488"/>
    <n v="64488"/>
  </r>
  <r>
    <x v="0"/>
    <n v="57"/>
    <x v="22"/>
    <x v="0"/>
    <x v="0"/>
    <n v="1005"/>
    <x v="23"/>
    <x v="0"/>
    <x v="36"/>
    <n v="3429"/>
    <x v="155"/>
    <n v="0"/>
    <x v="0"/>
    <s v="B 12"/>
    <n v="3"/>
    <n v="9101"/>
    <x v="667"/>
    <s v="Annual"/>
    <n v="20"/>
    <n v="1"/>
    <n v="62544"/>
    <n v="1250880"/>
  </r>
  <r>
    <x v="0"/>
    <n v="57"/>
    <x v="22"/>
    <x v="0"/>
    <x v="0"/>
    <n v="1005"/>
    <x v="23"/>
    <x v="0"/>
    <x v="36"/>
    <n v="3429"/>
    <x v="155"/>
    <n v="0"/>
    <x v="0"/>
    <s v="B 15"/>
    <n v="1"/>
    <n v="3955"/>
    <x v="599"/>
    <s v="Annual"/>
    <n v="1"/>
    <n v="1"/>
    <n v="143400"/>
    <n v="143400"/>
  </r>
  <r>
    <x v="0"/>
    <n v="57"/>
    <x v="22"/>
    <x v="0"/>
    <x v="0"/>
    <n v="1005"/>
    <x v="23"/>
    <x v="0"/>
    <x v="36"/>
    <n v="3429"/>
    <x v="155"/>
    <n v="0"/>
    <x v="0"/>
    <s v="B 15"/>
    <n v="1"/>
    <n v="3955"/>
    <x v="599"/>
    <s v="Annual"/>
    <n v="1"/>
    <n v="1"/>
    <n v="97956"/>
    <n v="97956"/>
  </r>
  <r>
    <x v="0"/>
    <n v="57"/>
    <x v="22"/>
    <x v="0"/>
    <x v="0"/>
    <n v="1005"/>
    <x v="23"/>
    <x v="0"/>
    <x v="36"/>
    <n v="3429"/>
    <x v="155"/>
    <n v="0"/>
    <x v="0"/>
    <s v="B 15"/>
    <n v="1"/>
    <n v="3955"/>
    <x v="599"/>
    <s v="Annual"/>
    <n v="3"/>
    <n v="1"/>
    <n v="93504"/>
    <n v="280512"/>
  </r>
  <r>
    <x v="0"/>
    <n v="57"/>
    <x v="22"/>
    <x v="0"/>
    <x v="0"/>
    <n v="1005"/>
    <x v="23"/>
    <x v="0"/>
    <x v="36"/>
    <n v="3429"/>
    <x v="155"/>
    <n v="0"/>
    <x v="0"/>
    <s v="B 15"/>
    <n v="1"/>
    <n v="3955"/>
    <x v="599"/>
    <s v="Annual"/>
    <n v="1"/>
    <n v="1"/>
    <n v="82644"/>
    <n v="82644"/>
  </r>
  <r>
    <x v="0"/>
    <n v="57"/>
    <x v="22"/>
    <x v="0"/>
    <x v="0"/>
    <n v="1005"/>
    <x v="23"/>
    <x v="0"/>
    <x v="36"/>
    <n v="3429"/>
    <x v="155"/>
    <n v="0"/>
    <x v="0"/>
    <s v="B 14"/>
    <n v="3"/>
    <n v="3897"/>
    <x v="558"/>
    <s v="Annual"/>
    <n v="3"/>
    <n v="1"/>
    <n v="75336"/>
    <n v="226008"/>
  </r>
  <r>
    <x v="0"/>
    <n v="57"/>
    <x v="22"/>
    <x v="0"/>
    <x v="0"/>
    <n v="1005"/>
    <x v="23"/>
    <x v="0"/>
    <x v="36"/>
    <n v="3429"/>
    <x v="155"/>
    <n v="0"/>
    <x v="0"/>
    <s v="B 13"/>
    <n v="3"/>
    <n v="3529"/>
    <x v="668"/>
    <s v="Annual"/>
    <n v="1"/>
    <n v="1"/>
    <n v="77640"/>
    <n v="77640"/>
  </r>
  <r>
    <x v="0"/>
    <n v="57"/>
    <x v="22"/>
    <x v="0"/>
    <x v="0"/>
    <n v="1005"/>
    <x v="23"/>
    <x v="0"/>
    <x v="36"/>
    <n v="3429"/>
    <x v="155"/>
    <n v="0"/>
    <x v="0"/>
    <s v="B 13"/>
    <n v="3"/>
    <n v="3529"/>
    <x v="668"/>
    <s v="Annual"/>
    <n v="2"/>
    <n v="1"/>
    <n v="68616"/>
    <n v="137232"/>
  </r>
  <r>
    <x v="0"/>
    <n v="57"/>
    <x v="22"/>
    <x v="0"/>
    <x v="0"/>
    <n v="1005"/>
    <x v="23"/>
    <x v="0"/>
    <x v="36"/>
    <n v="3429"/>
    <x v="155"/>
    <n v="0"/>
    <x v="0"/>
    <s v="G 07"/>
    <n v="3"/>
    <n v="3097"/>
    <x v="669"/>
    <s v="Annual"/>
    <n v="1"/>
    <n v="1"/>
    <n v="107628"/>
    <n v="107628"/>
  </r>
  <r>
    <x v="0"/>
    <n v="57"/>
    <x v="22"/>
    <x v="0"/>
    <x v="0"/>
    <n v="1005"/>
    <x v="23"/>
    <x v="0"/>
    <x v="36"/>
    <n v="3429"/>
    <x v="155"/>
    <n v="0"/>
    <x v="0"/>
    <s v="BX 17"/>
    <n v="10"/>
    <n v="1927"/>
    <x v="670"/>
    <s v="Annual"/>
    <n v="1"/>
    <n v="1"/>
    <n v="136692"/>
    <n v="136692"/>
  </r>
  <r>
    <x v="0"/>
    <n v="57"/>
    <x v="22"/>
    <x v="0"/>
    <x v="0"/>
    <n v="1005"/>
    <x v="23"/>
    <x v="0"/>
    <x v="36"/>
    <n v="3429"/>
    <x v="155"/>
    <n v="0"/>
    <x v="0"/>
    <s v="BX 17"/>
    <n v="10"/>
    <n v="1927"/>
    <x v="670"/>
    <s v="Annual"/>
    <n v="2"/>
    <n v="1"/>
    <n v="113568"/>
    <n v="227136"/>
  </r>
  <r>
    <x v="0"/>
    <n v="57"/>
    <x v="22"/>
    <x v="0"/>
    <x v="0"/>
    <n v="1005"/>
    <x v="23"/>
    <x v="0"/>
    <x v="36"/>
    <n v="3429"/>
    <x v="155"/>
    <n v="0"/>
    <x v="0"/>
    <s v="BX 17"/>
    <n v="10"/>
    <n v="1927"/>
    <x v="670"/>
    <s v="Annual"/>
    <n v="2"/>
    <n v="1"/>
    <n v="97836"/>
    <n v="195672"/>
  </r>
  <r>
    <x v="0"/>
    <n v="57"/>
    <x v="22"/>
    <x v="0"/>
    <x v="0"/>
    <n v="1005"/>
    <x v="23"/>
    <x v="0"/>
    <x v="36"/>
    <n v="3429"/>
    <x v="155"/>
    <n v="0"/>
    <x v="0"/>
    <s v="B 14"/>
    <n v="1"/>
    <n v="1910"/>
    <x v="671"/>
    <s v="Annual"/>
    <n v="2"/>
    <n v="1"/>
    <n v="93504"/>
    <n v="187008"/>
  </r>
  <r>
    <x v="0"/>
    <n v="57"/>
    <x v="22"/>
    <x v="0"/>
    <x v="0"/>
    <n v="1005"/>
    <x v="23"/>
    <x v="0"/>
    <x v="36"/>
    <n v="3429"/>
    <x v="155"/>
    <n v="0"/>
    <x v="0"/>
    <s v="B 14"/>
    <n v="1"/>
    <n v="1910"/>
    <x v="671"/>
    <s v="Annual"/>
    <n v="4"/>
    <n v="1"/>
    <n v="75336"/>
    <n v="301344"/>
  </r>
  <r>
    <x v="0"/>
    <n v="57"/>
    <x v="22"/>
    <x v="0"/>
    <x v="0"/>
    <n v="1005"/>
    <x v="23"/>
    <x v="0"/>
    <x v="36"/>
    <n v="3429"/>
    <x v="155"/>
    <n v="0"/>
    <x v="0"/>
    <s v="GY 08"/>
    <n v="20"/>
    <n v="1368"/>
    <x v="358"/>
    <s v="Annual"/>
    <n v="1"/>
    <n v="1"/>
    <n v="101628"/>
    <n v="101628"/>
  </r>
  <r>
    <x v="0"/>
    <n v="57"/>
    <x v="22"/>
    <x v="0"/>
    <x v="0"/>
    <n v="1005"/>
    <x v="23"/>
    <x v="0"/>
    <x v="36"/>
    <n v="3429"/>
    <x v="155"/>
    <n v="0"/>
    <x v="0"/>
    <s v="B 15"/>
    <n v="1"/>
    <n v="729"/>
    <x v="32"/>
    <s v="Annual"/>
    <n v="6"/>
    <n v="1"/>
    <n v="82644"/>
    <n v="495864"/>
  </r>
  <r>
    <x v="0"/>
    <n v="57"/>
    <x v="22"/>
    <x v="0"/>
    <x v="0"/>
    <n v="1005"/>
    <x v="23"/>
    <x v="0"/>
    <x v="36"/>
    <n v="3429"/>
    <x v="155"/>
    <n v="0"/>
    <x v="0"/>
    <s v="X 43"/>
    <n v="0"/>
    <s v="03A4"/>
    <x v="237"/>
    <s v="Annual"/>
    <n v="1"/>
    <n v="1"/>
    <n v="160680"/>
    <n v="160680"/>
  </r>
  <r>
    <x v="0"/>
    <n v="57"/>
    <x v="22"/>
    <x v="0"/>
    <x v="0"/>
    <n v="1005"/>
    <x v="23"/>
    <x v="0"/>
    <x v="36"/>
    <n v="3429"/>
    <x v="155"/>
    <n v="0"/>
    <x v="0"/>
    <s v="BX 18"/>
    <n v="10"/>
    <n v="311"/>
    <x v="253"/>
    <s v="Annual"/>
    <n v="3"/>
    <n v="1"/>
    <n v="118956"/>
    <n v="356868"/>
  </r>
  <r>
    <x v="0"/>
    <n v="57"/>
    <x v="22"/>
    <x v="0"/>
    <x v="0"/>
    <n v="1005"/>
    <x v="23"/>
    <x v="0"/>
    <x v="36"/>
    <n v="3429"/>
    <x v="155"/>
    <n v="0"/>
    <x v="0"/>
    <s v="B 13"/>
    <n v="1"/>
    <n v="308"/>
    <x v="90"/>
    <s v="Annual"/>
    <n v="1"/>
    <n v="1"/>
    <n v="68616"/>
    <n v="68616"/>
  </r>
  <r>
    <x v="0"/>
    <n v="57"/>
    <x v="22"/>
    <x v="0"/>
    <x v="0"/>
    <n v="1005"/>
    <x v="23"/>
    <x v="0"/>
    <x v="36"/>
    <n v="3429"/>
    <x v="155"/>
    <n v="0"/>
    <x v="0"/>
    <s v="1 00"/>
    <n v="0"/>
    <n v="15"/>
    <x v="37"/>
    <s v="Annual"/>
    <n v="0"/>
    <n v="0"/>
    <n v="35631"/>
    <n v="35631"/>
  </r>
  <r>
    <x v="0"/>
    <n v="57"/>
    <x v="22"/>
    <x v="0"/>
    <x v="0"/>
    <n v="1005"/>
    <x v="23"/>
    <x v="0"/>
    <x v="36"/>
    <n v="3437"/>
    <x v="156"/>
    <n v="0"/>
    <x v="0"/>
    <s v="E 03"/>
    <n v="71"/>
    <n v="9171"/>
    <x v="651"/>
    <s v="Annual"/>
    <n v="1"/>
    <n v="1"/>
    <n v="138318"/>
    <n v="138318"/>
  </r>
  <r>
    <x v="0"/>
    <n v="57"/>
    <x v="22"/>
    <x v="0"/>
    <x v="0"/>
    <n v="1005"/>
    <x v="23"/>
    <x v="0"/>
    <x v="36"/>
    <n v="3437"/>
    <x v="156"/>
    <n v="0"/>
    <x v="0"/>
    <s v="D 01"/>
    <n v="91"/>
    <n v="9161"/>
    <x v="655"/>
    <s v="Annual"/>
    <n v="1"/>
    <n v="1"/>
    <n v="127146"/>
    <n v="127146"/>
  </r>
  <r>
    <x v="0"/>
    <n v="57"/>
    <x v="22"/>
    <x v="0"/>
    <x v="0"/>
    <n v="1005"/>
    <x v="23"/>
    <x v="0"/>
    <x v="36"/>
    <n v="3437"/>
    <x v="156"/>
    <n v="0"/>
    <x v="0"/>
    <s v="D 01"/>
    <n v="91"/>
    <n v="9161"/>
    <x v="655"/>
    <s v="Annual"/>
    <n v="2"/>
    <n v="1"/>
    <n v="123576"/>
    <n v="247152"/>
  </r>
  <r>
    <x v="0"/>
    <n v="57"/>
    <x v="22"/>
    <x v="0"/>
    <x v="0"/>
    <n v="1005"/>
    <x v="23"/>
    <x v="0"/>
    <x v="36"/>
    <n v="3437"/>
    <x v="156"/>
    <n v="0"/>
    <x v="0"/>
    <s v="D 01"/>
    <n v="91"/>
    <n v="9161"/>
    <x v="655"/>
    <s v="Annual"/>
    <n v="2"/>
    <n v="1"/>
    <n v="119154"/>
    <n v="238308"/>
  </r>
  <r>
    <x v="0"/>
    <n v="57"/>
    <x v="22"/>
    <x v="0"/>
    <x v="0"/>
    <n v="1005"/>
    <x v="23"/>
    <x v="0"/>
    <x v="36"/>
    <n v="3437"/>
    <x v="156"/>
    <n v="0"/>
    <x v="0"/>
    <s v="D 01"/>
    <n v="91"/>
    <n v="9161"/>
    <x v="655"/>
    <s v="Annual"/>
    <n v="1"/>
    <n v="1"/>
    <n v="115158"/>
    <n v="115158"/>
  </r>
  <r>
    <x v="0"/>
    <n v="57"/>
    <x v="22"/>
    <x v="0"/>
    <x v="0"/>
    <n v="1005"/>
    <x v="23"/>
    <x v="0"/>
    <x v="36"/>
    <n v="3437"/>
    <x v="156"/>
    <n v="0"/>
    <x v="0"/>
    <s v="D 01"/>
    <n v="91"/>
    <n v="9161"/>
    <x v="655"/>
    <s v="Annual"/>
    <n v="1"/>
    <n v="1"/>
    <n v="111252"/>
    <n v="111252"/>
  </r>
  <r>
    <x v="0"/>
    <n v="57"/>
    <x v="22"/>
    <x v="0"/>
    <x v="0"/>
    <n v="1005"/>
    <x v="23"/>
    <x v="19"/>
    <x v="37"/>
    <n v="3430"/>
    <x v="157"/>
    <n v="0"/>
    <x v="0"/>
    <s v="1 00"/>
    <n v="99"/>
    <n v="9796"/>
    <x v="659"/>
    <s v="Annual"/>
    <n v="4"/>
    <n v="1"/>
    <n v="201048"/>
    <n v="804192"/>
  </r>
  <r>
    <x v="0"/>
    <n v="57"/>
    <x v="22"/>
    <x v="0"/>
    <x v="0"/>
    <n v="1005"/>
    <x v="23"/>
    <x v="19"/>
    <x v="37"/>
    <n v="3430"/>
    <x v="157"/>
    <n v="0"/>
    <x v="0"/>
    <s v="1 00"/>
    <n v="99"/>
    <n v="9781"/>
    <x v="672"/>
    <s v="Annual"/>
    <n v="1"/>
    <n v="1"/>
    <n v="226872"/>
    <n v="226872"/>
  </r>
  <r>
    <x v="0"/>
    <n v="57"/>
    <x v="22"/>
    <x v="0"/>
    <x v="0"/>
    <n v="1005"/>
    <x v="23"/>
    <x v="19"/>
    <x v="37"/>
    <n v="3430"/>
    <x v="157"/>
    <n v="0"/>
    <x v="0"/>
    <s v="3 00"/>
    <n v="99"/>
    <n v="9752"/>
    <x v="647"/>
    <s v="Annual"/>
    <n v="1"/>
    <n v="1"/>
    <n v="192240"/>
    <n v="192240"/>
  </r>
  <r>
    <x v="0"/>
    <n v="57"/>
    <x v="22"/>
    <x v="0"/>
    <x v="0"/>
    <n v="1005"/>
    <x v="23"/>
    <x v="19"/>
    <x v="37"/>
    <n v="3430"/>
    <x v="157"/>
    <n v="0"/>
    <x v="0"/>
    <s v="X 42"/>
    <n v="9"/>
    <n v="9675"/>
    <x v="76"/>
    <s v="Annual"/>
    <n v="1"/>
    <n v="1"/>
    <n v="172920"/>
    <n v="172920"/>
  </r>
  <r>
    <x v="0"/>
    <n v="57"/>
    <x v="22"/>
    <x v="0"/>
    <x v="0"/>
    <n v="1005"/>
    <x v="23"/>
    <x v="19"/>
    <x v="37"/>
    <n v="3430"/>
    <x v="157"/>
    <n v="0"/>
    <x v="0"/>
    <s v="E 04"/>
    <n v="73"/>
    <n v="9173"/>
    <x v="662"/>
    <s v="Annual"/>
    <n v="1"/>
    <n v="1"/>
    <n v="160746"/>
    <n v="160746"/>
  </r>
  <r>
    <x v="0"/>
    <n v="57"/>
    <x v="22"/>
    <x v="0"/>
    <x v="0"/>
    <n v="1005"/>
    <x v="23"/>
    <x v="19"/>
    <x v="37"/>
    <n v="3430"/>
    <x v="157"/>
    <n v="0"/>
    <x v="0"/>
    <s v="D 01"/>
    <n v="91"/>
    <n v="9161"/>
    <x v="655"/>
    <s v="Annual"/>
    <n v="1"/>
    <n v="1"/>
    <n v="123576"/>
    <n v="123576"/>
  </r>
  <r>
    <x v="0"/>
    <n v="57"/>
    <x v="22"/>
    <x v="0"/>
    <x v="0"/>
    <n v="1005"/>
    <x v="23"/>
    <x v="19"/>
    <x v="37"/>
    <n v="3430"/>
    <x v="157"/>
    <n v="0"/>
    <x v="0"/>
    <s v="D 01"/>
    <n v="91"/>
    <n v="9161"/>
    <x v="655"/>
    <s v="Annual"/>
    <n v="1"/>
    <n v="1"/>
    <n v="115158"/>
    <n v="115158"/>
  </r>
  <r>
    <x v="0"/>
    <n v="57"/>
    <x v="22"/>
    <x v="0"/>
    <x v="0"/>
    <n v="1005"/>
    <x v="23"/>
    <x v="19"/>
    <x v="37"/>
    <n v="3430"/>
    <x v="157"/>
    <n v="0"/>
    <x v="0"/>
    <s v="D 01"/>
    <n v="91"/>
    <n v="9161"/>
    <x v="655"/>
    <s v="Annual"/>
    <n v="1"/>
    <n v="1"/>
    <n v="111252"/>
    <n v="111252"/>
  </r>
  <r>
    <x v="0"/>
    <n v="57"/>
    <x v="22"/>
    <x v="0"/>
    <x v="0"/>
    <n v="1005"/>
    <x v="23"/>
    <x v="19"/>
    <x v="37"/>
    <n v="3430"/>
    <x v="157"/>
    <n v="0"/>
    <x v="0"/>
    <s v="GY 08"/>
    <n v="20"/>
    <n v="1141"/>
    <x v="79"/>
    <s v="Annual"/>
    <n v="1"/>
    <n v="1"/>
    <n v="82884"/>
    <n v="82884"/>
  </r>
  <r>
    <x v="0"/>
    <n v="57"/>
    <x v="22"/>
    <x v="0"/>
    <x v="0"/>
    <n v="1005"/>
    <x v="23"/>
    <x v="19"/>
    <x v="37"/>
    <n v="3430"/>
    <x v="157"/>
    <n v="0"/>
    <x v="0"/>
    <s v="BX 18"/>
    <n v="10"/>
    <n v="722"/>
    <x v="657"/>
    <s v="Annual"/>
    <n v="1"/>
    <n v="1"/>
    <n v="97836"/>
    <n v="97836"/>
  </r>
  <r>
    <x v="0"/>
    <n v="57"/>
    <x v="22"/>
    <x v="0"/>
    <x v="0"/>
    <n v="1005"/>
    <x v="23"/>
    <x v="19"/>
    <x v="37"/>
    <n v="3430"/>
    <x v="157"/>
    <n v="0"/>
    <x v="0"/>
    <s v="X 43"/>
    <n v="0"/>
    <s v="03A4"/>
    <x v="237"/>
    <s v="Annual"/>
    <n v="1"/>
    <n v="1"/>
    <n v="160680"/>
    <n v="160680"/>
  </r>
  <r>
    <x v="0"/>
    <n v="57"/>
    <x v="22"/>
    <x v="0"/>
    <x v="0"/>
    <n v="1005"/>
    <x v="23"/>
    <x v="19"/>
    <x v="37"/>
    <n v="3430"/>
    <x v="157"/>
    <n v="0"/>
    <x v="0"/>
    <s v="B 13"/>
    <n v="1"/>
    <n v="308"/>
    <x v="90"/>
    <s v="Annual"/>
    <n v="1"/>
    <n v="1"/>
    <n v="68616"/>
    <n v="68616"/>
  </r>
  <r>
    <x v="0"/>
    <n v="57"/>
    <x v="22"/>
    <x v="0"/>
    <x v="0"/>
    <n v="1005"/>
    <x v="23"/>
    <x v="19"/>
    <x v="37"/>
    <n v="3430"/>
    <x v="157"/>
    <n v="0"/>
    <x v="0"/>
    <s v="1 00"/>
    <n v="0"/>
    <n v="15"/>
    <x v="37"/>
    <s v="Annual"/>
    <n v="0"/>
    <n v="0"/>
    <n v="19460"/>
    <n v="19460"/>
  </r>
  <r>
    <x v="0"/>
    <n v="57"/>
    <x v="22"/>
    <x v="0"/>
    <x v="0"/>
    <n v="1005"/>
    <x v="23"/>
    <x v="19"/>
    <x v="37"/>
    <n v="3434"/>
    <x v="158"/>
    <n v="0"/>
    <x v="0"/>
    <s v="E 04"/>
    <n v="73"/>
    <n v="9173"/>
    <x v="662"/>
    <s v="Annual"/>
    <n v="1"/>
    <n v="1"/>
    <n v="165624"/>
    <n v="165624"/>
  </r>
  <r>
    <x v="0"/>
    <n v="57"/>
    <x v="22"/>
    <x v="0"/>
    <x v="0"/>
    <n v="1005"/>
    <x v="23"/>
    <x v="19"/>
    <x v="37"/>
    <n v="3434"/>
    <x v="158"/>
    <n v="0"/>
    <x v="0"/>
    <s v="E 03"/>
    <n v="71"/>
    <n v="9171"/>
    <x v="651"/>
    <s v="Annual"/>
    <n v="1"/>
    <n v="1"/>
    <n v="142668"/>
    <n v="142668"/>
  </r>
  <r>
    <x v="0"/>
    <n v="57"/>
    <x v="22"/>
    <x v="0"/>
    <x v="0"/>
    <n v="1005"/>
    <x v="23"/>
    <x v="19"/>
    <x v="37"/>
    <n v="3434"/>
    <x v="158"/>
    <n v="0"/>
    <x v="0"/>
    <s v="E 03"/>
    <n v="71"/>
    <n v="9171"/>
    <x v="651"/>
    <s v="Annual"/>
    <n v="1"/>
    <n v="1"/>
    <n v="138318"/>
    <n v="138318"/>
  </r>
  <r>
    <x v="0"/>
    <n v="57"/>
    <x v="22"/>
    <x v="0"/>
    <x v="0"/>
    <n v="1005"/>
    <x v="23"/>
    <x v="19"/>
    <x v="37"/>
    <n v="3434"/>
    <x v="158"/>
    <n v="0"/>
    <x v="0"/>
    <s v="D 01"/>
    <n v="91"/>
    <n v="9161"/>
    <x v="655"/>
    <s v="Annual"/>
    <n v="2"/>
    <n v="1"/>
    <n v="111252"/>
    <n v="222504"/>
  </r>
  <r>
    <x v="0"/>
    <n v="57"/>
    <x v="22"/>
    <x v="0"/>
    <x v="0"/>
    <n v="1005"/>
    <x v="23"/>
    <x v="19"/>
    <x v="37"/>
    <n v="3435"/>
    <x v="159"/>
    <n v="0"/>
    <x v="0"/>
    <s v="3 00"/>
    <n v="99"/>
    <n v="9752"/>
    <x v="647"/>
    <s v="Annual"/>
    <n v="1"/>
    <n v="1"/>
    <n v="192240"/>
    <n v="192240"/>
  </r>
  <r>
    <x v="0"/>
    <n v="57"/>
    <x v="22"/>
    <x v="0"/>
    <x v="0"/>
    <n v="1005"/>
    <x v="23"/>
    <x v="19"/>
    <x v="37"/>
    <n v="3435"/>
    <x v="159"/>
    <n v="0"/>
    <x v="0"/>
    <s v="E 03"/>
    <n v="71"/>
    <n v="9171"/>
    <x v="651"/>
    <s v="Annual"/>
    <n v="2"/>
    <n v="1"/>
    <n v="152010"/>
    <n v="304020"/>
  </r>
  <r>
    <x v="0"/>
    <n v="57"/>
    <x v="22"/>
    <x v="0"/>
    <x v="0"/>
    <n v="1005"/>
    <x v="23"/>
    <x v="19"/>
    <x v="37"/>
    <n v="3435"/>
    <x v="159"/>
    <n v="0"/>
    <x v="0"/>
    <s v="E 03"/>
    <n v="71"/>
    <n v="9171"/>
    <x v="651"/>
    <s v="Annual"/>
    <n v="1"/>
    <n v="1"/>
    <n v="147252"/>
    <n v="147252"/>
  </r>
  <r>
    <x v="0"/>
    <n v="57"/>
    <x v="22"/>
    <x v="0"/>
    <x v="0"/>
    <n v="1005"/>
    <x v="23"/>
    <x v="19"/>
    <x v="37"/>
    <n v="3435"/>
    <x v="159"/>
    <n v="0"/>
    <x v="0"/>
    <s v="E 03"/>
    <n v="71"/>
    <n v="9171"/>
    <x v="651"/>
    <s v="Annual"/>
    <n v="1"/>
    <n v="1"/>
    <n v="142668"/>
    <n v="142668"/>
  </r>
  <r>
    <x v="0"/>
    <n v="57"/>
    <x v="22"/>
    <x v="0"/>
    <x v="0"/>
    <n v="1005"/>
    <x v="23"/>
    <x v="19"/>
    <x v="37"/>
    <n v="3435"/>
    <x v="159"/>
    <n v="0"/>
    <x v="0"/>
    <s v="E 03"/>
    <n v="71"/>
    <n v="9171"/>
    <x v="651"/>
    <s v="Annual"/>
    <n v="2"/>
    <n v="1"/>
    <n v="138318"/>
    <n v="276636"/>
  </r>
  <r>
    <x v="0"/>
    <n v="57"/>
    <x v="22"/>
    <x v="0"/>
    <x v="0"/>
    <n v="1005"/>
    <x v="23"/>
    <x v="19"/>
    <x v="37"/>
    <n v="3435"/>
    <x v="159"/>
    <n v="0"/>
    <x v="0"/>
    <s v="D 2B"/>
    <n v="91"/>
    <n v="9165"/>
    <x v="663"/>
    <s v="Annual"/>
    <n v="1"/>
    <n v="1"/>
    <n v="144792"/>
    <n v="144792"/>
  </r>
  <r>
    <x v="0"/>
    <n v="57"/>
    <x v="22"/>
    <x v="0"/>
    <x v="0"/>
    <n v="1005"/>
    <x v="23"/>
    <x v="19"/>
    <x v="37"/>
    <n v="3435"/>
    <x v="159"/>
    <n v="0"/>
    <x v="0"/>
    <s v="D 2B"/>
    <n v="91"/>
    <n v="9165"/>
    <x v="663"/>
    <s v="Annual"/>
    <n v="3"/>
    <n v="1"/>
    <n v="140454"/>
    <n v="421362"/>
  </r>
  <r>
    <x v="0"/>
    <n v="57"/>
    <x v="22"/>
    <x v="0"/>
    <x v="0"/>
    <n v="1005"/>
    <x v="23"/>
    <x v="19"/>
    <x v="37"/>
    <n v="3435"/>
    <x v="159"/>
    <n v="0"/>
    <x v="0"/>
    <s v="D 2B"/>
    <n v="91"/>
    <n v="9165"/>
    <x v="663"/>
    <s v="Annual"/>
    <n v="1"/>
    <n v="1"/>
    <n v="99426"/>
    <n v="99426"/>
  </r>
  <r>
    <x v="0"/>
    <n v="57"/>
    <x v="22"/>
    <x v="0"/>
    <x v="0"/>
    <n v="1005"/>
    <x v="23"/>
    <x v="19"/>
    <x v="37"/>
    <n v="3435"/>
    <x v="159"/>
    <n v="0"/>
    <x v="0"/>
    <s v="D 01"/>
    <n v="91"/>
    <n v="9161"/>
    <x v="655"/>
    <s v="Annual"/>
    <n v="3"/>
    <n v="1"/>
    <n v="127146"/>
    <n v="381438"/>
  </r>
  <r>
    <x v="0"/>
    <n v="57"/>
    <x v="22"/>
    <x v="0"/>
    <x v="0"/>
    <n v="1005"/>
    <x v="23"/>
    <x v="19"/>
    <x v="37"/>
    <n v="3435"/>
    <x v="159"/>
    <n v="0"/>
    <x v="0"/>
    <s v="D 01"/>
    <n v="91"/>
    <n v="9161"/>
    <x v="655"/>
    <s v="Annual"/>
    <n v="1"/>
    <n v="1"/>
    <n v="123576"/>
    <n v="123576"/>
  </r>
  <r>
    <x v="0"/>
    <n v="57"/>
    <x v="22"/>
    <x v="0"/>
    <x v="0"/>
    <n v="1005"/>
    <x v="23"/>
    <x v="19"/>
    <x v="37"/>
    <n v="3435"/>
    <x v="159"/>
    <n v="0"/>
    <x v="0"/>
    <s v="D 01"/>
    <n v="91"/>
    <n v="9161"/>
    <x v="655"/>
    <s v="Annual"/>
    <n v="2"/>
    <n v="1"/>
    <n v="119154"/>
    <n v="238308"/>
  </r>
  <r>
    <x v="0"/>
    <n v="57"/>
    <x v="22"/>
    <x v="0"/>
    <x v="0"/>
    <n v="1005"/>
    <x v="23"/>
    <x v="19"/>
    <x v="37"/>
    <n v="3435"/>
    <x v="159"/>
    <n v="0"/>
    <x v="0"/>
    <s v="D 01"/>
    <n v="91"/>
    <n v="9161"/>
    <x v="655"/>
    <s v="Annual"/>
    <n v="1"/>
    <n v="1"/>
    <n v="115158"/>
    <n v="115158"/>
  </r>
  <r>
    <x v="0"/>
    <n v="57"/>
    <x v="22"/>
    <x v="0"/>
    <x v="0"/>
    <n v="1005"/>
    <x v="23"/>
    <x v="19"/>
    <x v="37"/>
    <n v="3435"/>
    <x v="159"/>
    <n v="0"/>
    <x v="0"/>
    <s v="D 01"/>
    <n v="91"/>
    <n v="9161"/>
    <x v="655"/>
    <s v="Annual"/>
    <n v="3"/>
    <n v="1"/>
    <n v="111252"/>
    <n v="333756"/>
  </r>
  <r>
    <x v="0"/>
    <n v="57"/>
    <x v="22"/>
    <x v="0"/>
    <x v="0"/>
    <n v="1005"/>
    <x v="23"/>
    <x v="19"/>
    <x v="37"/>
    <n v="3435"/>
    <x v="159"/>
    <n v="0"/>
    <x v="0"/>
    <s v="D 01"/>
    <n v="91"/>
    <n v="9161"/>
    <x v="655"/>
    <s v="Annual"/>
    <n v="2"/>
    <n v="1"/>
    <n v="63636"/>
    <n v="127272"/>
  </r>
  <r>
    <x v="0"/>
    <n v="57"/>
    <x v="22"/>
    <x v="0"/>
    <x v="0"/>
    <n v="1005"/>
    <x v="23"/>
    <x v="19"/>
    <x v="37"/>
    <n v="3435"/>
    <x v="159"/>
    <n v="0"/>
    <x v="0"/>
    <s v="1 00"/>
    <n v="0"/>
    <n v="15"/>
    <x v="37"/>
    <s v="Annual"/>
    <n v="0"/>
    <n v="0"/>
    <n v="6407"/>
    <n v="6407"/>
  </r>
  <r>
    <x v="0"/>
    <n v="57"/>
    <x v="22"/>
    <x v="0"/>
    <x v="0"/>
    <n v="1005"/>
    <x v="23"/>
    <x v="19"/>
    <x v="37"/>
    <n v="3441"/>
    <x v="160"/>
    <n v="0"/>
    <x v="0"/>
    <s v="D 03"/>
    <n v="91"/>
    <n v="9160"/>
    <x v="673"/>
    <s v="Annual"/>
    <n v="3"/>
    <n v="1"/>
    <n v="152010"/>
    <n v="456030"/>
  </r>
  <r>
    <x v="0"/>
    <n v="57"/>
    <x v="22"/>
    <x v="0"/>
    <x v="0"/>
    <n v="1005"/>
    <x v="23"/>
    <x v="19"/>
    <x v="37"/>
    <n v="3441"/>
    <x v="160"/>
    <n v="0"/>
    <x v="0"/>
    <s v="D 03"/>
    <n v="91"/>
    <n v="9160"/>
    <x v="673"/>
    <s v="Annual"/>
    <n v="5"/>
    <n v="1"/>
    <n v="147252"/>
    <n v="736260"/>
  </r>
  <r>
    <x v="0"/>
    <n v="57"/>
    <x v="22"/>
    <x v="0"/>
    <x v="0"/>
    <n v="1005"/>
    <x v="23"/>
    <x v="19"/>
    <x v="37"/>
    <n v="3441"/>
    <x v="160"/>
    <n v="0"/>
    <x v="0"/>
    <s v="D 03"/>
    <n v="91"/>
    <n v="9160"/>
    <x v="673"/>
    <s v="Annual"/>
    <n v="5"/>
    <n v="1"/>
    <n v="142668"/>
    <n v="713340"/>
  </r>
  <r>
    <x v="0"/>
    <n v="57"/>
    <x v="22"/>
    <x v="0"/>
    <x v="0"/>
    <n v="1005"/>
    <x v="23"/>
    <x v="19"/>
    <x v="37"/>
    <n v="3441"/>
    <x v="160"/>
    <n v="0"/>
    <x v="0"/>
    <s v="D 03"/>
    <n v="91"/>
    <n v="9160"/>
    <x v="673"/>
    <s v="Annual"/>
    <n v="6"/>
    <n v="1"/>
    <n v="138318"/>
    <n v="829908"/>
  </r>
  <r>
    <x v="0"/>
    <n v="57"/>
    <x v="22"/>
    <x v="0"/>
    <x v="0"/>
    <n v="1005"/>
    <x v="23"/>
    <x v="19"/>
    <x v="37"/>
    <n v="3441"/>
    <x v="160"/>
    <n v="0"/>
    <x v="0"/>
    <s v="D 03"/>
    <n v="91"/>
    <n v="9160"/>
    <x v="673"/>
    <s v="Annual"/>
    <n v="3"/>
    <n v="1"/>
    <n v="133884"/>
    <n v="401652"/>
  </r>
  <r>
    <x v="0"/>
    <n v="57"/>
    <x v="22"/>
    <x v="0"/>
    <x v="0"/>
    <n v="1005"/>
    <x v="23"/>
    <x v="19"/>
    <x v="37"/>
    <n v="3441"/>
    <x v="160"/>
    <n v="0"/>
    <x v="0"/>
    <s v="1 00"/>
    <n v="0"/>
    <n v="15"/>
    <x v="37"/>
    <s v="Annual"/>
    <n v="0"/>
    <n v="0"/>
    <n v="10400"/>
    <n v="10400"/>
  </r>
  <r>
    <x v="0"/>
    <n v="57"/>
    <x v="22"/>
    <x v="0"/>
    <x v="0"/>
    <n v="1005"/>
    <x v="23"/>
    <x v="2"/>
    <x v="38"/>
    <n v="3283"/>
    <x v="161"/>
    <n v="0"/>
    <x v="0"/>
    <s v="1 00"/>
    <n v="99"/>
    <n v="9785"/>
    <x v="660"/>
    <s v="Annual"/>
    <n v="1"/>
    <n v="1"/>
    <n v="219048"/>
    <n v="219048"/>
  </r>
  <r>
    <x v="0"/>
    <n v="57"/>
    <x v="22"/>
    <x v="0"/>
    <x v="0"/>
    <n v="1005"/>
    <x v="23"/>
    <x v="2"/>
    <x v="38"/>
    <n v="3283"/>
    <x v="161"/>
    <n v="0"/>
    <x v="0"/>
    <s v="3 00"/>
    <n v="99"/>
    <n v="9752"/>
    <x v="647"/>
    <s v="Annual"/>
    <n v="1"/>
    <n v="1"/>
    <n v="192240"/>
    <n v="192240"/>
  </r>
  <r>
    <x v="0"/>
    <n v="57"/>
    <x v="22"/>
    <x v="0"/>
    <x v="0"/>
    <n v="1005"/>
    <x v="23"/>
    <x v="2"/>
    <x v="38"/>
    <n v="3283"/>
    <x v="161"/>
    <n v="0"/>
    <x v="0"/>
    <s v="E 04"/>
    <n v="73"/>
    <n v="9173"/>
    <x v="662"/>
    <s v="Annual"/>
    <n v="1"/>
    <n v="1"/>
    <n v="170700"/>
    <n v="170700"/>
  </r>
  <r>
    <x v="0"/>
    <n v="57"/>
    <x v="22"/>
    <x v="0"/>
    <x v="0"/>
    <n v="1005"/>
    <x v="23"/>
    <x v="2"/>
    <x v="38"/>
    <n v="3283"/>
    <x v="161"/>
    <n v="0"/>
    <x v="0"/>
    <s v="E 03"/>
    <n v="71"/>
    <n v="9171"/>
    <x v="651"/>
    <s v="Annual"/>
    <n v="2"/>
    <n v="1"/>
    <n v="147252"/>
    <n v="294504"/>
  </r>
  <r>
    <x v="0"/>
    <n v="57"/>
    <x v="22"/>
    <x v="0"/>
    <x v="0"/>
    <n v="1005"/>
    <x v="23"/>
    <x v="2"/>
    <x v="38"/>
    <n v="3283"/>
    <x v="161"/>
    <n v="0"/>
    <x v="0"/>
    <s v="E 03"/>
    <n v="71"/>
    <n v="9171"/>
    <x v="651"/>
    <s v="Annual"/>
    <n v="1"/>
    <n v="1"/>
    <n v="142668"/>
    <n v="142668"/>
  </r>
  <r>
    <x v="0"/>
    <n v="57"/>
    <x v="22"/>
    <x v="0"/>
    <x v="0"/>
    <n v="1005"/>
    <x v="23"/>
    <x v="2"/>
    <x v="38"/>
    <n v="3283"/>
    <x v="161"/>
    <n v="0"/>
    <x v="0"/>
    <s v="D 01"/>
    <n v="91"/>
    <n v="9161"/>
    <x v="655"/>
    <s v="Annual"/>
    <n v="1"/>
    <n v="1"/>
    <n v="127146"/>
    <n v="127146"/>
  </r>
  <r>
    <x v="0"/>
    <n v="57"/>
    <x v="22"/>
    <x v="0"/>
    <x v="0"/>
    <n v="1005"/>
    <x v="23"/>
    <x v="2"/>
    <x v="38"/>
    <n v="3283"/>
    <x v="161"/>
    <n v="0"/>
    <x v="0"/>
    <s v="D 01"/>
    <n v="91"/>
    <n v="9161"/>
    <x v="655"/>
    <s v="Annual"/>
    <n v="1"/>
    <n v="1"/>
    <n v="115158"/>
    <n v="115158"/>
  </r>
  <r>
    <x v="0"/>
    <n v="57"/>
    <x v="22"/>
    <x v="0"/>
    <x v="0"/>
    <n v="1005"/>
    <x v="23"/>
    <x v="2"/>
    <x v="38"/>
    <n v="3283"/>
    <x v="161"/>
    <n v="0"/>
    <x v="0"/>
    <s v="D 01"/>
    <n v="91"/>
    <n v="9161"/>
    <x v="655"/>
    <s v="Annual"/>
    <n v="1"/>
    <n v="1"/>
    <n v="111252"/>
    <n v="111252"/>
  </r>
  <r>
    <x v="0"/>
    <n v="57"/>
    <x v="22"/>
    <x v="0"/>
    <x v="0"/>
    <n v="1005"/>
    <x v="23"/>
    <x v="2"/>
    <x v="38"/>
    <n v="3283"/>
    <x v="161"/>
    <n v="0"/>
    <x v="0"/>
    <s v="B 16"/>
    <n v="3"/>
    <n v="9117"/>
    <x v="674"/>
    <s v="Annual"/>
    <n v="3"/>
    <n v="1"/>
    <n v="93504"/>
    <n v="280512"/>
  </r>
  <r>
    <x v="0"/>
    <n v="57"/>
    <x v="22"/>
    <x v="0"/>
    <x v="0"/>
    <n v="1005"/>
    <x v="23"/>
    <x v="2"/>
    <x v="38"/>
    <n v="3283"/>
    <x v="161"/>
    <n v="0"/>
    <x v="0"/>
    <s v="B 16"/>
    <n v="3"/>
    <n v="9117"/>
    <x v="674"/>
    <s v="Annual"/>
    <n v="5"/>
    <n v="1"/>
    <n v="90732"/>
    <n v="453660"/>
  </r>
  <r>
    <x v="0"/>
    <n v="57"/>
    <x v="22"/>
    <x v="0"/>
    <x v="0"/>
    <n v="1005"/>
    <x v="23"/>
    <x v="2"/>
    <x v="38"/>
    <n v="3283"/>
    <x v="161"/>
    <n v="0"/>
    <x v="0"/>
    <s v="1 00"/>
    <n v="0"/>
    <n v="15"/>
    <x v="37"/>
    <s v="Annual"/>
    <n v="0"/>
    <n v="0"/>
    <n v="12572"/>
    <n v="12572"/>
  </r>
  <r>
    <x v="0"/>
    <n v="57"/>
    <x v="22"/>
    <x v="0"/>
    <x v="0"/>
    <n v="1005"/>
    <x v="23"/>
    <x v="2"/>
    <x v="38"/>
    <n v="3321"/>
    <x v="162"/>
    <n v="0"/>
    <x v="0"/>
    <s v="1 00"/>
    <n v="99"/>
    <n v="9796"/>
    <x v="659"/>
    <s v="Annual"/>
    <n v="6"/>
    <n v="1"/>
    <n v="201048"/>
    <n v="1206288"/>
  </r>
  <r>
    <x v="0"/>
    <n v="57"/>
    <x v="22"/>
    <x v="0"/>
    <x v="0"/>
    <n v="1005"/>
    <x v="23"/>
    <x v="2"/>
    <x v="38"/>
    <n v="3321"/>
    <x v="162"/>
    <n v="0"/>
    <x v="0"/>
    <s v="3 00"/>
    <n v="99"/>
    <n v="9752"/>
    <x v="647"/>
    <s v="Annual"/>
    <n v="22"/>
    <n v="1"/>
    <n v="192240"/>
    <n v="4229280"/>
  </r>
  <r>
    <x v="0"/>
    <n v="57"/>
    <x v="22"/>
    <x v="0"/>
    <x v="0"/>
    <n v="1005"/>
    <x v="23"/>
    <x v="2"/>
    <x v="38"/>
    <n v="3321"/>
    <x v="162"/>
    <n v="0"/>
    <x v="0"/>
    <s v="E 05"/>
    <n v="75"/>
    <n v="9175"/>
    <x v="665"/>
    <s v="Annual"/>
    <n v="2"/>
    <n v="1"/>
    <n v="188352"/>
    <n v="376704"/>
  </r>
  <r>
    <x v="0"/>
    <n v="57"/>
    <x v="22"/>
    <x v="0"/>
    <x v="0"/>
    <n v="1005"/>
    <x v="23"/>
    <x v="2"/>
    <x v="38"/>
    <n v="3321"/>
    <x v="162"/>
    <n v="0"/>
    <x v="0"/>
    <s v="E 05"/>
    <n v="75"/>
    <n v="9175"/>
    <x v="665"/>
    <s v="Annual"/>
    <n v="10"/>
    <n v="1"/>
    <n v="185676"/>
    <n v="1856760"/>
  </r>
  <r>
    <x v="0"/>
    <n v="57"/>
    <x v="22"/>
    <x v="0"/>
    <x v="0"/>
    <n v="1005"/>
    <x v="23"/>
    <x v="2"/>
    <x v="38"/>
    <n v="3321"/>
    <x v="162"/>
    <n v="0"/>
    <x v="0"/>
    <s v="E 05"/>
    <n v="75"/>
    <n v="9175"/>
    <x v="665"/>
    <s v="Annual"/>
    <n v="5"/>
    <n v="1"/>
    <n v="181188"/>
    <n v="905940"/>
  </r>
  <r>
    <x v="0"/>
    <n v="57"/>
    <x v="22"/>
    <x v="0"/>
    <x v="0"/>
    <n v="1005"/>
    <x v="23"/>
    <x v="2"/>
    <x v="38"/>
    <n v="3321"/>
    <x v="162"/>
    <n v="0"/>
    <x v="0"/>
    <s v="E 05"/>
    <n v="75"/>
    <n v="9175"/>
    <x v="665"/>
    <s v="Annual"/>
    <n v="2"/>
    <n v="1"/>
    <n v="171456"/>
    <n v="342912"/>
  </r>
  <r>
    <x v="0"/>
    <n v="57"/>
    <x v="22"/>
    <x v="0"/>
    <x v="0"/>
    <n v="1005"/>
    <x v="23"/>
    <x v="2"/>
    <x v="38"/>
    <n v="3321"/>
    <x v="162"/>
    <n v="0"/>
    <x v="0"/>
    <s v="E 04"/>
    <n v="73"/>
    <n v="9173"/>
    <x v="662"/>
    <s v="Annual"/>
    <n v="16"/>
    <n v="1"/>
    <n v="175002"/>
    <n v="2800032"/>
  </r>
  <r>
    <x v="0"/>
    <n v="57"/>
    <x v="22"/>
    <x v="0"/>
    <x v="0"/>
    <n v="1005"/>
    <x v="23"/>
    <x v="2"/>
    <x v="38"/>
    <n v="3321"/>
    <x v="162"/>
    <n v="0"/>
    <x v="0"/>
    <s v="E 04"/>
    <n v="73"/>
    <n v="9173"/>
    <x v="662"/>
    <s v="Annual"/>
    <n v="94"/>
    <n v="1"/>
    <n v="170700"/>
    <n v="16045800"/>
  </r>
  <r>
    <x v="0"/>
    <n v="57"/>
    <x v="22"/>
    <x v="0"/>
    <x v="0"/>
    <n v="1005"/>
    <x v="23"/>
    <x v="2"/>
    <x v="38"/>
    <n v="3321"/>
    <x v="162"/>
    <n v="0"/>
    <x v="0"/>
    <s v="E 04"/>
    <n v="73"/>
    <n v="9173"/>
    <x v="662"/>
    <s v="Annual"/>
    <n v="55"/>
    <n v="1"/>
    <n v="165624"/>
    <n v="9109320"/>
  </r>
  <r>
    <x v="0"/>
    <n v="57"/>
    <x v="22"/>
    <x v="0"/>
    <x v="0"/>
    <n v="1005"/>
    <x v="23"/>
    <x v="2"/>
    <x v="38"/>
    <n v="3321"/>
    <x v="162"/>
    <n v="0"/>
    <x v="0"/>
    <s v="E 04"/>
    <n v="73"/>
    <n v="9173"/>
    <x v="662"/>
    <s v="Annual"/>
    <n v="26"/>
    <n v="1"/>
    <n v="160746"/>
    <n v="4179396"/>
  </r>
  <r>
    <x v="0"/>
    <n v="57"/>
    <x v="22"/>
    <x v="0"/>
    <x v="0"/>
    <n v="1005"/>
    <x v="23"/>
    <x v="2"/>
    <x v="38"/>
    <n v="3321"/>
    <x v="162"/>
    <n v="0"/>
    <x v="0"/>
    <s v="E 04"/>
    <n v="73"/>
    <n v="9173"/>
    <x v="662"/>
    <s v="Annual"/>
    <n v="22"/>
    <n v="1"/>
    <n v="155934"/>
    <n v="3430548"/>
  </r>
  <r>
    <x v="0"/>
    <n v="57"/>
    <x v="22"/>
    <x v="0"/>
    <x v="0"/>
    <n v="1005"/>
    <x v="23"/>
    <x v="2"/>
    <x v="38"/>
    <n v="3321"/>
    <x v="162"/>
    <n v="0"/>
    <x v="0"/>
    <s v="E 03"/>
    <n v="71"/>
    <n v="9171"/>
    <x v="651"/>
    <s v="Annual"/>
    <n v="22"/>
    <n v="1"/>
    <n v="156564"/>
    <n v="3444408"/>
  </r>
  <r>
    <x v="0"/>
    <n v="57"/>
    <x v="22"/>
    <x v="0"/>
    <x v="0"/>
    <n v="1005"/>
    <x v="23"/>
    <x v="2"/>
    <x v="38"/>
    <n v="3321"/>
    <x v="162"/>
    <n v="0"/>
    <x v="0"/>
    <s v="E 03"/>
    <n v="71"/>
    <n v="9171"/>
    <x v="651"/>
    <s v="Annual"/>
    <n v="233"/>
    <n v="1"/>
    <n v="152010"/>
    <n v="35418330"/>
  </r>
  <r>
    <x v="0"/>
    <n v="57"/>
    <x v="22"/>
    <x v="0"/>
    <x v="0"/>
    <n v="1005"/>
    <x v="23"/>
    <x v="2"/>
    <x v="38"/>
    <n v="3321"/>
    <x v="162"/>
    <n v="0"/>
    <x v="0"/>
    <s v="E 03"/>
    <n v="71"/>
    <n v="9171"/>
    <x v="651"/>
    <s v="Annual"/>
    <n v="285"/>
    <n v="1"/>
    <n v="147252"/>
    <n v="41966820"/>
  </r>
  <r>
    <x v="0"/>
    <n v="57"/>
    <x v="22"/>
    <x v="0"/>
    <x v="0"/>
    <n v="1005"/>
    <x v="23"/>
    <x v="2"/>
    <x v="38"/>
    <n v="3321"/>
    <x v="162"/>
    <n v="0"/>
    <x v="0"/>
    <s v="E 03"/>
    <n v="71"/>
    <n v="9171"/>
    <x v="651"/>
    <s v="Annual"/>
    <n v="158"/>
    <n v="1"/>
    <n v="142668"/>
    <n v="22541544"/>
  </r>
  <r>
    <x v="0"/>
    <n v="57"/>
    <x v="22"/>
    <x v="0"/>
    <x v="0"/>
    <n v="1005"/>
    <x v="23"/>
    <x v="2"/>
    <x v="38"/>
    <n v="3321"/>
    <x v="162"/>
    <n v="0"/>
    <x v="0"/>
    <s v="E 03"/>
    <n v="71"/>
    <n v="9171"/>
    <x v="651"/>
    <s v="Annual"/>
    <n v="185"/>
    <n v="1"/>
    <n v="138318"/>
    <n v="25588830"/>
  </r>
  <r>
    <x v="0"/>
    <n v="57"/>
    <x v="22"/>
    <x v="0"/>
    <x v="0"/>
    <n v="1005"/>
    <x v="23"/>
    <x v="2"/>
    <x v="38"/>
    <n v="3321"/>
    <x v="162"/>
    <n v="0"/>
    <x v="0"/>
    <s v="E 03"/>
    <n v="71"/>
    <n v="9171"/>
    <x v="651"/>
    <s v="Annual"/>
    <n v="40"/>
    <n v="1"/>
    <n v="133890"/>
    <n v="5355600"/>
  </r>
  <r>
    <x v="0"/>
    <n v="57"/>
    <x v="22"/>
    <x v="0"/>
    <x v="0"/>
    <n v="1005"/>
    <x v="23"/>
    <x v="2"/>
    <x v="38"/>
    <n v="3321"/>
    <x v="162"/>
    <n v="0"/>
    <x v="0"/>
    <s v="D 2B"/>
    <n v="91"/>
    <n v="9165"/>
    <x v="663"/>
    <s v="Annual"/>
    <n v="1"/>
    <n v="1"/>
    <n v="131448"/>
    <n v="131448"/>
  </r>
  <r>
    <x v="0"/>
    <n v="57"/>
    <x v="22"/>
    <x v="0"/>
    <x v="0"/>
    <n v="1005"/>
    <x v="23"/>
    <x v="2"/>
    <x v="38"/>
    <n v="3321"/>
    <x v="162"/>
    <n v="0"/>
    <x v="0"/>
    <s v="D 2A"/>
    <n v="91"/>
    <n v="9164"/>
    <x v="675"/>
    <s v="Annual"/>
    <n v="22"/>
    <n v="1"/>
    <n v="137568"/>
    <n v="3026496"/>
  </r>
  <r>
    <x v="0"/>
    <n v="57"/>
    <x v="22"/>
    <x v="0"/>
    <x v="0"/>
    <n v="1005"/>
    <x v="23"/>
    <x v="2"/>
    <x v="38"/>
    <n v="3321"/>
    <x v="162"/>
    <n v="0"/>
    <x v="0"/>
    <s v="D 2A"/>
    <n v="91"/>
    <n v="9164"/>
    <x v="675"/>
    <s v="Annual"/>
    <n v="41"/>
    <n v="1"/>
    <n v="133650"/>
    <n v="5479650"/>
  </r>
  <r>
    <x v="0"/>
    <n v="57"/>
    <x v="22"/>
    <x v="0"/>
    <x v="0"/>
    <n v="1005"/>
    <x v="23"/>
    <x v="2"/>
    <x v="38"/>
    <n v="3321"/>
    <x v="162"/>
    <n v="0"/>
    <x v="0"/>
    <s v="D 2A"/>
    <n v="91"/>
    <n v="9164"/>
    <x v="675"/>
    <s v="Annual"/>
    <n v="40"/>
    <n v="1"/>
    <n v="128964"/>
    <n v="5158560"/>
  </r>
  <r>
    <x v="0"/>
    <n v="57"/>
    <x v="22"/>
    <x v="0"/>
    <x v="0"/>
    <n v="1005"/>
    <x v="23"/>
    <x v="2"/>
    <x v="38"/>
    <n v="3321"/>
    <x v="162"/>
    <n v="0"/>
    <x v="0"/>
    <s v="D 2A"/>
    <n v="91"/>
    <n v="9164"/>
    <x v="675"/>
    <s v="Annual"/>
    <n v="61"/>
    <n v="1"/>
    <n v="124578"/>
    <n v="7599258"/>
  </r>
  <r>
    <x v="0"/>
    <n v="57"/>
    <x v="22"/>
    <x v="0"/>
    <x v="0"/>
    <n v="1005"/>
    <x v="23"/>
    <x v="2"/>
    <x v="38"/>
    <n v="3321"/>
    <x v="162"/>
    <n v="0"/>
    <x v="0"/>
    <s v="D 2A"/>
    <n v="91"/>
    <n v="9164"/>
    <x v="675"/>
    <s v="Annual"/>
    <n v="199"/>
    <n v="1"/>
    <n v="120564"/>
    <n v="23992236"/>
  </r>
  <r>
    <x v="0"/>
    <n v="57"/>
    <x v="22"/>
    <x v="0"/>
    <x v="0"/>
    <n v="1005"/>
    <x v="23"/>
    <x v="2"/>
    <x v="38"/>
    <n v="3321"/>
    <x v="162"/>
    <n v="0"/>
    <x v="0"/>
    <s v="D 2A"/>
    <n v="91"/>
    <n v="9164"/>
    <x v="675"/>
    <s v="Annual"/>
    <n v="10"/>
    <n v="1"/>
    <n v="114828"/>
    <n v="1148280"/>
  </r>
  <r>
    <x v="0"/>
    <n v="57"/>
    <x v="22"/>
    <x v="0"/>
    <x v="0"/>
    <n v="1005"/>
    <x v="23"/>
    <x v="2"/>
    <x v="38"/>
    <n v="3321"/>
    <x v="162"/>
    <n v="0"/>
    <x v="0"/>
    <s v="D 2A"/>
    <n v="91"/>
    <n v="9164"/>
    <x v="675"/>
    <s v="Annual"/>
    <n v="71"/>
    <n v="1"/>
    <n v="93942"/>
    <n v="6669882"/>
  </r>
  <r>
    <x v="0"/>
    <n v="57"/>
    <x v="22"/>
    <x v="0"/>
    <x v="0"/>
    <n v="1005"/>
    <x v="23"/>
    <x v="2"/>
    <x v="38"/>
    <n v="3321"/>
    <x v="162"/>
    <n v="0"/>
    <x v="0"/>
    <s v="D 01"/>
    <n v="91"/>
    <n v="9161"/>
    <x v="655"/>
    <s v="Annual"/>
    <n v="714"/>
    <n v="1"/>
    <n v="127146"/>
    <n v="90782244"/>
  </r>
  <r>
    <x v="0"/>
    <n v="57"/>
    <x v="22"/>
    <x v="0"/>
    <x v="0"/>
    <n v="1005"/>
    <x v="23"/>
    <x v="2"/>
    <x v="38"/>
    <n v="3321"/>
    <x v="162"/>
    <n v="0"/>
    <x v="0"/>
    <s v="D 01"/>
    <n v="91"/>
    <n v="9161"/>
    <x v="655"/>
    <s v="Annual"/>
    <n v="747"/>
    <n v="1"/>
    <n v="123576"/>
    <n v="92311272"/>
  </r>
  <r>
    <x v="0"/>
    <n v="57"/>
    <x v="22"/>
    <x v="0"/>
    <x v="0"/>
    <n v="1005"/>
    <x v="23"/>
    <x v="2"/>
    <x v="38"/>
    <n v="3321"/>
    <x v="162"/>
    <n v="0"/>
    <x v="0"/>
    <s v="D 01"/>
    <n v="91"/>
    <n v="9161"/>
    <x v="655"/>
    <s v="Annual"/>
    <n v="498"/>
    <n v="1"/>
    <n v="119154"/>
    <n v="59338692"/>
  </r>
  <r>
    <x v="0"/>
    <n v="57"/>
    <x v="22"/>
    <x v="0"/>
    <x v="0"/>
    <n v="1005"/>
    <x v="23"/>
    <x v="2"/>
    <x v="38"/>
    <n v="3321"/>
    <x v="162"/>
    <n v="0"/>
    <x v="0"/>
    <s v="D 01"/>
    <n v="91"/>
    <n v="9161"/>
    <x v="655"/>
    <s v="Annual"/>
    <n v="800"/>
    <n v="1"/>
    <n v="115158"/>
    <n v="92126400"/>
  </r>
  <r>
    <x v="0"/>
    <n v="57"/>
    <x v="22"/>
    <x v="0"/>
    <x v="0"/>
    <n v="1005"/>
    <x v="23"/>
    <x v="2"/>
    <x v="38"/>
    <n v="3321"/>
    <x v="162"/>
    <n v="0"/>
    <x v="0"/>
    <s v="D 01"/>
    <n v="91"/>
    <n v="9161"/>
    <x v="655"/>
    <s v="Annual"/>
    <n v="2148"/>
    <n v="1"/>
    <n v="111252"/>
    <n v="238969296"/>
  </r>
  <r>
    <x v="0"/>
    <n v="57"/>
    <x v="22"/>
    <x v="0"/>
    <x v="0"/>
    <n v="1005"/>
    <x v="23"/>
    <x v="2"/>
    <x v="38"/>
    <n v="3321"/>
    <x v="162"/>
    <n v="0"/>
    <x v="0"/>
    <s v="D 01"/>
    <n v="91"/>
    <n v="9161"/>
    <x v="655"/>
    <s v="Annual"/>
    <n v="473"/>
    <n v="1"/>
    <n v="105906"/>
    <n v="50093538"/>
  </r>
  <r>
    <x v="0"/>
    <n v="57"/>
    <x v="22"/>
    <x v="0"/>
    <x v="0"/>
    <n v="1005"/>
    <x v="23"/>
    <x v="2"/>
    <x v="38"/>
    <n v="3321"/>
    <x v="162"/>
    <n v="0"/>
    <x v="0"/>
    <s v="D 01"/>
    <n v="91"/>
    <n v="9161"/>
    <x v="655"/>
    <s v="Annual"/>
    <n v="698"/>
    <n v="1"/>
    <n v="100950"/>
    <n v="70463100"/>
  </r>
  <r>
    <x v="0"/>
    <n v="57"/>
    <x v="22"/>
    <x v="0"/>
    <x v="0"/>
    <n v="1005"/>
    <x v="23"/>
    <x v="2"/>
    <x v="38"/>
    <n v="3321"/>
    <x v="162"/>
    <n v="0"/>
    <x v="0"/>
    <s v="D 01"/>
    <n v="91"/>
    <n v="9161"/>
    <x v="655"/>
    <s v="Annual"/>
    <n v="485"/>
    <n v="1"/>
    <n v="95982"/>
    <n v="46551270"/>
  </r>
  <r>
    <x v="0"/>
    <n v="57"/>
    <x v="22"/>
    <x v="0"/>
    <x v="0"/>
    <n v="1005"/>
    <x v="23"/>
    <x v="2"/>
    <x v="38"/>
    <n v="3321"/>
    <x v="162"/>
    <n v="0"/>
    <x v="0"/>
    <s v="D 01"/>
    <n v="91"/>
    <n v="9161"/>
    <x v="655"/>
    <s v="Annual"/>
    <n v="187"/>
    <n v="1"/>
    <n v="90816"/>
    <n v="16982592"/>
  </r>
  <r>
    <x v="0"/>
    <n v="57"/>
    <x v="22"/>
    <x v="0"/>
    <x v="0"/>
    <n v="1005"/>
    <x v="23"/>
    <x v="2"/>
    <x v="38"/>
    <n v="3321"/>
    <x v="162"/>
    <n v="0"/>
    <x v="0"/>
    <s v="D 01"/>
    <n v="91"/>
    <n v="9161"/>
    <x v="655"/>
    <s v="Annual"/>
    <n v="645"/>
    <n v="1"/>
    <n v="63636"/>
    <n v="41045220"/>
  </r>
  <r>
    <x v="0"/>
    <n v="57"/>
    <x v="22"/>
    <x v="0"/>
    <x v="0"/>
    <n v="1005"/>
    <x v="23"/>
    <x v="2"/>
    <x v="38"/>
    <n v="3321"/>
    <x v="162"/>
    <n v="0"/>
    <x v="0"/>
    <s v="I 12"/>
    <n v="2"/>
    <n v="9122"/>
    <x v="676"/>
    <s v="Annual"/>
    <n v="41"/>
    <n v="1"/>
    <n v="86016"/>
    <n v="3526656"/>
  </r>
  <r>
    <x v="0"/>
    <n v="57"/>
    <x v="22"/>
    <x v="0"/>
    <x v="0"/>
    <n v="1005"/>
    <x v="23"/>
    <x v="2"/>
    <x v="38"/>
    <n v="3321"/>
    <x v="162"/>
    <n v="0"/>
    <x v="0"/>
    <s v="I 12"/>
    <n v="2"/>
    <n v="9122"/>
    <x v="676"/>
    <s v="Annual"/>
    <n v="7"/>
    <n v="1"/>
    <n v="82104"/>
    <n v="574728"/>
  </r>
  <r>
    <x v="0"/>
    <n v="57"/>
    <x v="22"/>
    <x v="0"/>
    <x v="0"/>
    <n v="1005"/>
    <x v="23"/>
    <x v="2"/>
    <x v="38"/>
    <n v="3321"/>
    <x v="162"/>
    <n v="0"/>
    <x v="0"/>
    <s v="I 12"/>
    <n v="2"/>
    <n v="9122"/>
    <x v="676"/>
    <s v="Annual"/>
    <n v="25"/>
    <n v="1"/>
    <n v="78384"/>
    <n v="1959600"/>
  </r>
  <r>
    <x v="0"/>
    <n v="57"/>
    <x v="22"/>
    <x v="0"/>
    <x v="0"/>
    <n v="1005"/>
    <x v="23"/>
    <x v="2"/>
    <x v="38"/>
    <n v="3321"/>
    <x v="162"/>
    <n v="0"/>
    <x v="0"/>
    <s v="I 12"/>
    <n v="2"/>
    <n v="9122"/>
    <x v="676"/>
    <s v="Annual"/>
    <n v="18"/>
    <n v="1"/>
    <n v="74844"/>
    <n v="1347192"/>
  </r>
  <r>
    <x v="0"/>
    <n v="57"/>
    <x v="22"/>
    <x v="0"/>
    <x v="0"/>
    <n v="1005"/>
    <x v="23"/>
    <x v="2"/>
    <x v="38"/>
    <n v="3321"/>
    <x v="162"/>
    <n v="0"/>
    <x v="0"/>
    <s v="I 12"/>
    <n v="2"/>
    <n v="9122"/>
    <x v="676"/>
    <s v="Annual"/>
    <n v="10"/>
    <n v="1"/>
    <n v="71436"/>
    <n v="714360"/>
  </r>
  <r>
    <x v="0"/>
    <n v="57"/>
    <x v="22"/>
    <x v="0"/>
    <x v="0"/>
    <n v="1005"/>
    <x v="23"/>
    <x v="2"/>
    <x v="38"/>
    <n v="3321"/>
    <x v="162"/>
    <n v="0"/>
    <x v="0"/>
    <s v="I 12"/>
    <n v="2"/>
    <n v="9122"/>
    <x v="676"/>
    <s v="Annual"/>
    <n v="36"/>
    <n v="1"/>
    <n v="68196"/>
    <n v="2455056"/>
  </r>
  <r>
    <x v="0"/>
    <n v="57"/>
    <x v="22"/>
    <x v="0"/>
    <x v="0"/>
    <n v="1005"/>
    <x v="23"/>
    <x v="2"/>
    <x v="38"/>
    <n v="3321"/>
    <x v="162"/>
    <n v="0"/>
    <x v="0"/>
    <s v="I 12"/>
    <n v="2"/>
    <n v="9122"/>
    <x v="676"/>
    <s v="Annual"/>
    <n v="14"/>
    <n v="1"/>
    <n v="65064"/>
    <n v="910896"/>
  </r>
  <r>
    <x v="0"/>
    <n v="57"/>
    <x v="22"/>
    <x v="0"/>
    <x v="0"/>
    <n v="1005"/>
    <x v="23"/>
    <x v="2"/>
    <x v="38"/>
    <n v="3321"/>
    <x v="162"/>
    <n v="0"/>
    <x v="0"/>
    <s v="I 12"/>
    <n v="2"/>
    <n v="9122"/>
    <x v="676"/>
    <s v="Annual"/>
    <n v="2"/>
    <n v="1"/>
    <n v="62136"/>
    <n v="124272"/>
  </r>
  <r>
    <x v="0"/>
    <n v="57"/>
    <x v="22"/>
    <x v="0"/>
    <x v="0"/>
    <n v="1005"/>
    <x v="23"/>
    <x v="2"/>
    <x v="38"/>
    <n v="3321"/>
    <x v="162"/>
    <n v="0"/>
    <x v="0"/>
    <s v="I 12"/>
    <n v="2"/>
    <n v="9122"/>
    <x v="676"/>
    <s v="Annual"/>
    <n v="4"/>
    <n v="1"/>
    <n v="55932"/>
    <n v="223728"/>
  </r>
  <r>
    <x v="0"/>
    <n v="57"/>
    <x v="22"/>
    <x v="0"/>
    <x v="0"/>
    <n v="1005"/>
    <x v="23"/>
    <x v="2"/>
    <x v="38"/>
    <n v="3321"/>
    <x v="162"/>
    <n v="0"/>
    <x v="0"/>
    <s v="I 12"/>
    <n v="2"/>
    <n v="9122"/>
    <x v="676"/>
    <s v="Annual"/>
    <n v="10"/>
    <n v="1"/>
    <n v="50964"/>
    <n v="509640"/>
  </r>
  <r>
    <x v="0"/>
    <n v="57"/>
    <x v="22"/>
    <x v="0"/>
    <x v="0"/>
    <n v="1005"/>
    <x v="23"/>
    <x v="2"/>
    <x v="38"/>
    <n v="3321"/>
    <x v="162"/>
    <n v="0"/>
    <x v="0"/>
    <s v="I 12"/>
    <n v="2"/>
    <n v="9122"/>
    <x v="676"/>
    <s v="Annual"/>
    <n v="21"/>
    <n v="1"/>
    <n v="48588"/>
    <n v="1020348"/>
  </r>
  <r>
    <x v="0"/>
    <n v="57"/>
    <x v="22"/>
    <x v="0"/>
    <x v="0"/>
    <n v="1005"/>
    <x v="23"/>
    <x v="2"/>
    <x v="38"/>
    <n v="3321"/>
    <x v="162"/>
    <n v="0"/>
    <x v="0"/>
    <s v="B 10"/>
    <n v="1"/>
    <n v="9116"/>
    <x v="677"/>
    <s v="Annual"/>
    <n v="2"/>
    <n v="1"/>
    <n v="90144"/>
    <n v="180288"/>
  </r>
  <r>
    <x v="0"/>
    <n v="57"/>
    <x v="22"/>
    <x v="0"/>
    <x v="0"/>
    <n v="1005"/>
    <x v="23"/>
    <x v="2"/>
    <x v="38"/>
    <n v="3321"/>
    <x v="162"/>
    <n v="0"/>
    <x v="0"/>
    <s v="B 10"/>
    <n v="1"/>
    <n v="9116"/>
    <x v="677"/>
    <s v="Annual"/>
    <n v="1"/>
    <n v="1"/>
    <n v="82140"/>
    <n v="82140"/>
  </r>
  <r>
    <x v="0"/>
    <n v="57"/>
    <x v="22"/>
    <x v="0"/>
    <x v="0"/>
    <n v="1005"/>
    <x v="23"/>
    <x v="2"/>
    <x v="38"/>
    <n v="3321"/>
    <x v="162"/>
    <n v="0"/>
    <x v="0"/>
    <s v="B 10"/>
    <n v="1"/>
    <n v="9116"/>
    <x v="677"/>
    <s v="Annual"/>
    <n v="1"/>
    <n v="1"/>
    <n v="78432"/>
    <n v="78432"/>
  </r>
  <r>
    <x v="0"/>
    <n v="57"/>
    <x v="22"/>
    <x v="0"/>
    <x v="0"/>
    <n v="1005"/>
    <x v="23"/>
    <x v="2"/>
    <x v="38"/>
    <n v="3321"/>
    <x v="162"/>
    <n v="0"/>
    <x v="0"/>
    <s v="B 10"/>
    <n v="1"/>
    <n v="9116"/>
    <x v="677"/>
    <s v="Annual"/>
    <n v="3"/>
    <n v="1"/>
    <n v="74916"/>
    <n v="224748"/>
  </r>
  <r>
    <x v="0"/>
    <n v="57"/>
    <x v="22"/>
    <x v="0"/>
    <x v="0"/>
    <n v="1005"/>
    <x v="23"/>
    <x v="2"/>
    <x v="38"/>
    <n v="3321"/>
    <x v="162"/>
    <n v="0"/>
    <x v="0"/>
    <s v="B 10"/>
    <n v="1"/>
    <n v="9116"/>
    <x v="677"/>
    <s v="Annual"/>
    <n v="1"/>
    <n v="1"/>
    <n v="71436"/>
    <n v="71436"/>
  </r>
  <r>
    <x v="0"/>
    <n v="57"/>
    <x v="22"/>
    <x v="0"/>
    <x v="0"/>
    <n v="1005"/>
    <x v="23"/>
    <x v="2"/>
    <x v="38"/>
    <n v="3321"/>
    <x v="162"/>
    <n v="0"/>
    <x v="0"/>
    <s v="B 10"/>
    <n v="1"/>
    <n v="9116"/>
    <x v="677"/>
    <s v="Annual"/>
    <n v="48"/>
    <n v="1"/>
    <n v="68256"/>
    <n v="3276288"/>
  </r>
  <r>
    <x v="0"/>
    <n v="57"/>
    <x v="22"/>
    <x v="0"/>
    <x v="0"/>
    <n v="1005"/>
    <x v="23"/>
    <x v="2"/>
    <x v="38"/>
    <n v="3321"/>
    <x v="162"/>
    <n v="0"/>
    <x v="0"/>
    <s v="B 10"/>
    <n v="1"/>
    <n v="9116"/>
    <x v="677"/>
    <s v="Annual"/>
    <n v="3"/>
    <n v="1"/>
    <n v="64488"/>
    <n v="193464"/>
  </r>
  <r>
    <x v="0"/>
    <n v="57"/>
    <x v="22"/>
    <x v="0"/>
    <x v="0"/>
    <n v="1005"/>
    <x v="23"/>
    <x v="2"/>
    <x v="38"/>
    <n v="3321"/>
    <x v="162"/>
    <n v="0"/>
    <x v="0"/>
    <s v="B 10"/>
    <n v="1"/>
    <n v="9116"/>
    <x v="677"/>
    <s v="Annual"/>
    <n v="1"/>
    <n v="1"/>
    <n v="61548"/>
    <n v="61548"/>
  </r>
  <r>
    <x v="0"/>
    <n v="57"/>
    <x v="22"/>
    <x v="0"/>
    <x v="0"/>
    <n v="1005"/>
    <x v="23"/>
    <x v="2"/>
    <x v="38"/>
    <n v="3321"/>
    <x v="162"/>
    <n v="0"/>
    <x v="0"/>
    <s v="B 10"/>
    <n v="1"/>
    <n v="9116"/>
    <x v="677"/>
    <s v="Annual"/>
    <n v="4"/>
    <n v="1"/>
    <n v="58764"/>
    <n v="235056"/>
  </r>
  <r>
    <x v="0"/>
    <n v="57"/>
    <x v="22"/>
    <x v="0"/>
    <x v="0"/>
    <n v="1005"/>
    <x v="23"/>
    <x v="2"/>
    <x v="38"/>
    <n v="3321"/>
    <x v="162"/>
    <n v="0"/>
    <x v="0"/>
    <s v="B 10"/>
    <n v="1"/>
    <n v="9116"/>
    <x v="677"/>
    <s v="Annual"/>
    <n v="18"/>
    <n v="1"/>
    <n v="56124"/>
    <n v="1010232"/>
  </r>
  <r>
    <x v="0"/>
    <n v="57"/>
    <x v="22"/>
    <x v="0"/>
    <x v="0"/>
    <n v="1005"/>
    <x v="23"/>
    <x v="2"/>
    <x v="38"/>
    <n v="3321"/>
    <x v="162"/>
    <n v="0"/>
    <x v="0"/>
    <s v="B 10"/>
    <n v="1"/>
    <n v="9116"/>
    <x v="677"/>
    <s v="Annual"/>
    <n v="8"/>
    <n v="1"/>
    <n v="51936"/>
    <n v="415488"/>
  </r>
  <r>
    <x v="0"/>
    <n v="57"/>
    <x v="22"/>
    <x v="0"/>
    <x v="0"/>
    <n v="1005"/>
    <x v="23"/>
    <x v="2"/>
    <x v="38"/>
    <n v="3321"/>
    <x v="162"/>
    <n v="0"/>
    <x v="0"/>
    <s v="4 00"/>
    <n v="0"/>
    <n v="9106"/>
    <x v="678"/>
    <s v="Hourly"/>
    <n v="55554"/>
    <n v="0"/>
    <n v="15.8"/>
    <n v="877753"/>
  </r>
  <r>
    <x v="0"/>
    <n v="57"/>
    <x v="22"/>
    <x v="0"/>
    <x v="0"/>
    <n v="1005"/>
    <x v="23"/>
    <x v="2"/>
    <x v="38"/>
    <n v="3321"/>
    <x v="162"/>
    <n v="0"/>
    <x v="0"/>
    <s v="B 09"/>
    <n v="1"/>
    <n v="460"/>
    <x v="344"/>
    <s v="Annual"/>
    <n v="9"/>
    <n v="1"/>
    <n v="82140"/>
    <n v="739260"/>
  </r>
  <r>
    <x v="0"/>
    <n v="57"/>
    <x v="22"/>
    <x v="0"/>
    <x v="0"/>
    <n v="1005"/>
    <x v="23"/>
    <x v="2"/>
    <x v="38"/>
    <n v="3321"/>
    <x v="162"/>
    <n v="0"/>
    <x v="0"/>
    <s v="B 09"/>
    <n v="1"/>
    <n v="460"/>
    <x v="344"/>
    <s v="Annual"/>
    <n v="1"/>
    <n v="1"/>
    <n v="78432"/>
    <n v="78432"/>
  </r>
  <r>
    <x v="0"/>
    <n v="57"/>
    <x v="22"/>
    <x v="0"/>
    <x v="0"/>
    <n v="1005"/>
    <x v="23"/>
    <x v="2"/>
    <x v="38"/>
    <n v="3321"/>
    <x v="162"/>
    <n v="0"/>
    <x v="0"/>
    <s v="B 09"/>
    <n v="1"/>
    <n v="460"/>
    <x v="344"/>
    <s v="Annual"/>
    <n v="1"/>
    <n v="1"/>
    <n v="74916"/>
    <n v="74916"/>
  </r>
  <r>
    <x v="0"/>
    <n v="57"/>
    <x v="22"/>
    <x v="0"/>
    <x v="0"/>
    <n v="1005"/>
    <x v="23"/>
    <x v="2"/>
    <x v="38"/>
    <n v="3321"/>
    <x v="162"/>
    <n v="0"/>
    <x v="0"/>
    <s v="B 08"/>
    <n v="1"/>
    <n v="459"/>
    <x v="679"/>
    <s v="Annual"/>
    <n v="3"/>
    <n v="1"/>
    <n v="74916"/>
    <n v="224748"/>
  </r>
  <r>
    <x v="0"/>
    <n v="57"/>
    <x v="22"/>
    <x v="0"/>
    <x v="0"/>
    <n v="1005"/>
    <x v="23"/>
    <x v="2"/>
    <x v="38"/>
    <n v="3321"/>
    <x v="162"/>
    <n v="0"/>
    <x v="0"/>
    <s v="B 08"/>
    <n v="1"/>
    <n v="459"/>
    <x v="679"/>
    <s v="Annual"/>
    <n v="2"/>
    <n v="1"/>
    <n v="43164"/>
    <n v="86328"/>
  </r>
  <r>
    <x v="0"/>
    <n v="57"/>
    <x v="22"/>
    <x v="0"/>
    <x v="0"/>
    <n v="1005"/>
    <x v="23"/>
    <x v="2"/>
    <x v="38"/>
    <n v="3321"/>
    <x v="162"/>
    <n v="0"/>
    <x v="0"/>
    <s v="B 12"/>
    <n v="1"/>
    <s v="03A8"/>
    <x v="88"/>
    <s v="Annual"/>
    <n v="1"/>
    <n v="1"/>
    <n v="108576"/>
    <n v="108576"/>
  </r>
  <r>
    <x v="0"/>
    <n v="57"/>
    <x v="22"/>
    <x v="0"/>
    <x v="0"/>
    <n v="1005"/>
    <x v="23"/>
    <x v="2"/>
    <x v="38"/>
    <n v="3321"/>
    <x v="162"/>
    <n v="0"/>
    <x v="0"/>
    <s v="1 00"/>
    <n v="0"/>
    <n v="15"/>
    <x v="37"/>
    <s v="Annual"/>
    <n v="0"/>
    <n v="0"/>
    <n v="10307025"/>
    <n v="10307025"/>
  </r>
  <r>
    <x v="0"/>
    <n v="57"/>
    <x v="22"/>
    <x v="0"/>
    <x v="0"/>
    <n v="1005"/>
    <x v="23"/>
    <x v="2"/>
    <x v="38"/>
    <n v="3322"/>
    <x v="163"/>
    <n v="0"/>
    <x v="0"/>
    <s v="3 00"/>
    <n v="99"/>
    <n v="9752"/>
    <x v="647"/>
    <s v="Annual"/>
    <n v="5"/>
    <n v="1"/>
    <n v="192240"/>
    <n v="961200"/>
  </r>
  <r>
    <x v="0"/>
    <n v="57"/>
    <x v="22"/>
    <x v="0"/>
    <x v="0"/>
    <n v="1005"/>
    <x v="23"/>
    <x v="2"/>
    <x v="38"/>
    <n v="3322"/>
    <x v="163"/>
    <n v="0"/>
    <x v="0"/>
    <s v="E 04"/>
    <n v="73"/>
    <n v="9173"/>
    <x v="662"/>
    <s v="Annual"/>
    <n v="5"/>
    <n v="1"/>
    <n v="170700"/>
    <n v="853500"/>
  </r>
  <r>
    <x v="0"/>
    <n v="57"/>
    <x v="22"/>
    <x v="0"/>
    <x v="0"/>
    <n v="1005"/>
    <x v="23"/>
    <x v="2"/>
    <x v="38"/>
    <n v="3322"/>
    <x v="163"/>
    <n v="0"/>
    <x v="0"/>
    <s v="E 04"/>
    <n v="73"/>
    <n v="9173"/>
    <x v="662"/>
    <s v="Annual"/>
    <n v="1"/>
    <n v="1"/>
    <n v="165624"/>
    <n v="165624"/>
  </r>
  <r>
    <x v="0"/>
    <n v="57"/>
    <x v="22"/>
    <x v="0"/>
    <x v="0"/>
    <n v="1005"/>
    <x v="23"/>
    <x v="2"/>
    <x v="38"/>
    <n v="3322"/>
    <x v="163"/>
    <n v="0"/>
    <x v="0"/>
    <s v="E 04"/>
    <n v="73"/>
    <n v="9173"/>
    <x v="662"/>
    <s v="Annual"/>
    <n v="1"/>
    <n v="1"/>
    <n v="160746"/>
    <n v="160746"/>
  </r>
  <r>
    <x v="0"/>
    <n v="57"/>
    <x v="22"/>
    <x v="0"/>
    <x v="0"/>
    <n v="1005"/>
    <x v="23"/>
    <x v="2"/>
    <x v="38"/>
    <n v="3322"/>
    <x v="163"/>
    <n v="0"/>
    <x v="0"/>
    <s v="E 04"/>
    <n v="73"/>
    <n v="9173"/>
    <x v="662"/>
    <s v="Annual"/>
    <n v="1"/>
    <n v="1"/>
    <n v="155934"/>
    <n v="155934"/>
  </r>
  <r>
    <x v="0"/>
    <n v="57"/>
    <x v="22"/>
    <x v="0"/>
    <x v="0"/>
    <n v="1005"/>
    <x v="23"/>
    <x v="2"/>
    <x v="38"/>
    <n v="3322"/>
    <x v="163"/>
    <n v="0"/>
    <x v="0"/>
    <s v="E 03"/>
    <n v="71"/>
    <n v="9171"/>
    <x v="651"/>
    <s v="Annual"/>
    <n v="3"/>
    <n v="1"/>
    <n v="156564"/>
    <n v="469692"/>
  </r>
  <r>
    <x v="0"/>
    <n v="57"/>
    <x v="22"/>
    <x v="0"/>
    <x v="0"/>
    <n v="1005"/>
    <x v="23"/>
    <x v="2"/>
    <x v="38"/>
    <n v="3322"/>
    <x v="163"/>
    <n v="0"/>
    <x v="0"/>
    <s v="E 03"/>
    <n v="71"/>
    <n v="9171"/>
    <x v="651"/>
    <s v="Annual"/>
    <n v="21"/>
    <n v="1"/>
    <n v="152010"/>
    <n v="3192210"/>
  </r>
  <r>
    <x v="0"/>
    <n v="57"/>
    <x v="22"/>
    <x v="0"/>
    <x v="0"/>
    <n v="1005"/>
    <x v="23"/>
    <x v="2"/>
    <x v="38"/>
    <n v="3322"/>
    <x v="163"/>
    <n v="0"/>
    <x v="0"/>
    <s v="E 03"/>
    <n v="71"/>
    <n v="9171"/>
    <x v="651"/>
    <s v="Annual"/>
    <n v="19"/>
    <n v="1"/>
    <n v="147252"/>
    <n v="2797788"/>
  </r>
  <r>
    <x v="0"/>
    <n v="57"/>
    <x v="22"/>
    <x v="0"/>
    <x v="0"/>
    <n v="1005"/>
    <x v="23"/>
    <x v="2"/>
    <x v="38"/>
    <n v="3322"/>
    <x v="163"/>
    <n v="0"/>
    <x v="0"/>
    <s v="E 03"/>
    <n v="71"/>
    <n v="9171"/>
    <x v="651"/>
    <s v="Annual"/>
    <n v="14"/>
    <n v="1"/>
    <n v="142668"/>
    <n v="1997352"/>
  </r>
  <r>
    <x v="0"/>
    <n v="57"/>
    <x v="22"/>
    <x v="0"/>
    <x v="0"/>
    <n v="1005"/>
    <x v="23"/>
    <x v="2"/>
    <x v="38"/>
    <n v="3322"/>
    <x v="163"/>
    <n v="0"/>
    <x v="0"/>
    <s v="E 03"/>
    <n v="71"/>
    <n v="9171"/>
    <x v="651"/>
    <s v="Annual"/>
    <n v="12"/>
    <n v="1"/>
    <n v="138318"/>
    <n v="1659816"/>
  </r>
  <r>
    <x v="0"/>
    <n v="57"/>
    <x v="22"/>
    <x v="0"/>
    <x v="0"/>
    <n v="1005"/>
    <x v="23"/>
    <x v="2"/>
    <x v="38"/>
    <n v="3322"/>
    <x v="163"/>
    <n v="0"/>
    <x v="0"/>
    <s v="D 2B"/>
    <n v="91"/>
    <n v="9165"/>
    <x v="663"/>
    <s v="Annual"/>
    <n v="274"/>
    <n v="1"/>
    <n v="144792"/>
    <n v="39673008"/>
  </r>
  <r>
    <x v="0"/>
    <n v="57"/>
    <x v="22"/>
    <x v="0"/>
    <x v="0"/>
    <n v="1005"/>
    <x v="23"/>
    <x v="2"/>
    <x v="38"/>
    <n v="3322"/>
    <x v="163"/>
    <n v="0"/>
    <x v="0"/>
    <s v="D 2B"/>
    <n v="91"/>
    <n v="9165"/>
    <x v="663"/>
    <s v="Annual"/>
    <n v="237"/>
    <n v="1"/>
    <n v="140454"/>
    <n v="33287598"/>
  </r>
  <r>
    <x v="0"/>
    <n v="57"/>
    <x v="22"/>
    <x v="0"/>
    <x v="0"/>
    <n v="1005"/>
    <x v="23"/>
    <x v="2"/>
    <x v="38"/>
    <n v="3322"/>
    <x v="163"/>
    <n v="0"/>
    <x v="0"/>
    <s v="D 2B"/>
    <n v="91"/>
    <n v="9165"/>
    <x v="663"/>
    <s v="Annual"/>
    <n v="177"/>
    <n v="1"/>
    <n v="135816"/>
    <n v="24039432"/>
  </r>
  <r>
    <x v="0"/>
    <n v="57"/>
    <x v="22"/>
    <x v="0"/>
    <x v="0"/>
    <n v="1005"/>
    <x v="23"/>
    <x v="2"/>
    <x v="38"/>
    <n v="3322"/>
    <x v="163"/>
    <n v="0"/>
    <x v="0"/>
    <s v="D 2B"/>
    <n v="91"/>
    <n v="9165"/>
    <x v="663"/>
    <s v="Annual"/>
    <n v="170"/>
    <n v="1"/>
    <n v="131448"/>
    <n v="22346160"/>
  </r>
  <r>
    <x v="0"/>
    <n v="57"/>
    <x v="22"/>
    <x v="0"/>
    <x v="0"/>
    <n v="1005"/>
    <x v="23"/>
    <x v="2"/>
    <x v="38"/>
    <n v="3322"/>
    <x v="163"/>
    <n v="0"/>
    <x v="0"/>
    <s v="D 2B"/>
    <n v="91"/>
    <n v="9165"/>
    <x v="663"/>
    <s v="Annual"/>
    <n v="132"/>
    <n v="1"/>
    <n v="127230"/>
    <n v="16794360"/>
  </r>
  <r>
    <x v="0"/>
    <n v="57"/>
    <x v="22"/>
    <x v="0"/>
    <x v="0"/>
    <n v="1005"/>
    <x v="23"/>
    <x v="2"/>
    <x v="38"/>
    <n v="3322"/>
    <x v="163"/>
    <n v="0"/>
    <x v="0"/>
    <s v="D 2B"/>
    <n v="91"/>
    <n v="9165"/>
    <x v="663"/>
    <s v="Annual"/>
    <n v="1"/>
    <n v="1"/>
    <n v="121200"/>
    <n v="121200"/>
  </r>
  <r>
    <x v="0"/>
    <n v="57"/>
    <x v="22"/>
    <x v="0"/>
    <x v="0"/>
    <n v="1005"/>
    <x v="23"/>
    <x v="2"/>
    <x v="38"/>
    <n v="3322"/>
    <x v="163"/>
    <n v="0"/>
    <x v="0"/>
    <s v="D 2B"/>
    <n v="91"/>
    <n v="9165"/>
    <x v="663"/>
    <s v="Annual"/>
    <n v="94"/>
    <n v="1"/>
    <n v="99426"/>
    <n v="9346044"/>
  </r>
  <r>
    <x v="0"/>
    <n v="57"/>
    <x v="22"/>
    <x v="0"/>
    <x v="0"/>
    <n v="1005"/>
    <x v="23"/>
    <x v="2"/>
    <x v="38"/>
    <n v="3322"/>
    <x v="163"/>
    <n v="0"/>
    <x v="0"/>
    <s v="D 01"/>
    <n v="91"/>
    <n v="9161"/>
    <x v="655"/>
    <s v="Annual"/>
    <n v="1"/>
    <n v="1"/>
    <n v="127146"/>
    <n v="127146"/>
  </r>
  <r>
    <x v="0"/>
    <n v="57"/>
    <x v="22"/>
    <x v="0"/>
    <x v="0"/>
    <n v="1005"/>
    <x v="23"/>
    <x v="2"/>
    <x v="38"/>
    <n v="3322"/>
    <x v="163"/>
    <n v="0"/>
    <x v="0"/>
    <s v="D 01"/>
    <n v="91"/>
    <n v="9161"/>
    <x v="655"/>
    <s v="Annual"/>
    <n v="2"/>
    <n v="1"/>
    <n v="123576"/>
    <n v="247152"/>
  </r>
  <r>
    <x v="0"/>
    <n v="57"/>
    <x v="22"/>
    <x v="0"/>
    <x v="0"/>
    <n v="1005"/>
    <x v="23"/>
    <x v="2"/>
    <x v="38"/>
    <n v="3322"/>
    <x v="163"/>
    <n v="0"/>
    <x v="0"/>
    <s v="D 01"/>
    <n v="91"/>
    <n v="9161"/>
    <x v="655"/>
    <s v="Annual"/>
    <n v="1"/>
    <n v="1"/>
    <n v="111252"/>
    <n v="111252"/>
  </r>
  <r>
    <x v="0"/>
    <n v="57"/>
    <x v="22"/>
    <x v="0"/>
    <x v="0"/>
    <n v="1005"/>
    <x v="23"/>
    <x v="2"/>
    <x v="38"/>
    <n v="3322"/>
    <x v="163"/>
    <n v="0"/>
    <x v="0"/>
    <s v="D 2A"/>
    <n v="91"/>
    <n v="9149"/>
    <x v="680"/>
    <s v="Annual"/>
    <n v="6"/>
    <n v="1"/>
    <n v="93942"/>
    <n v="563652"/>
  </r>
  <r>
    <x v="0"/>
    <n v="57"/>
    <x v="22"/>
    <x v="0"/>
    <x v="0"/>
    <n v="1005"/>
    <x v="23"/>
    <x v="2"/>
    <x v="38"/>
    <n v="3322"/>
    <x v="163"/>
    <n v="0"/>
    <x v="0"/>
    <s v="B 16"/>
    <n v="3"/>
    <n v="9117"/>
    <x v="674"/>
    <s v="Annual"/>
    <n v="4"/>
    <n v="1"/>
    <n v="90732"/>
    <n v="362928"/>
  </r>
  <r>
    <x v="0"/>
    <n v="57"/>
    <x v="22"/>
    <x v="0"/>
    <x v="0"/>
    <n v="1005"/>
    <x v="23"/>
    <x v="2"/>
    <x v="38"/>
    <n v="3322"/>
    <x v="163"/>
    <n v="0"/>
    <x v="0"/>
    <s v="4 00"/>
    <n v="0"/>
    <n v="9107"/>
    <x v="681"/>
    <s v="Hourly"/>
    <n v="5621"/>
    <n v="0"/>
    <n v="35"/>
    <n v="196735"/>
  </r>
  <r>
    <x v="0"/>
    <n v="57"/>
    <x v="22"/>
    <x v="0"/>
    <x v="0"/>
    <n v="1005"/>
    <x v="23"/>
    <x v="2"/>
    <x v="38"/>
    <n v="3322"/>
    <x v="163"/>
    <n v="0"/>
    <x v="0"/>
    <s v="G 10"/>
    <n v="1"/>
    <n v="629"/>
    <x v="271"/>
    <s v="Annual"/>
    <n v="1"/>
    <n v="1"/>
    <n v="119244"/>
    <n v="119244"/>
  </r>
  <r>
    <x v="0"/>
    <n v="57"/>
    <x v="22"/>
    <x v="0"/>
    <x v="0"/>
    <n v="1005"/>
    <x v="23"/>
    <x v="2"/>
    <x v="38"/>
    <n v="3322"/>
    <x v="163"/>
    <n v="0"/>
    <x v="0"/>
    <s v="B 09"/>
    <n v="1"/>
    <n v="460"/>
    <x v="344"/>
    <s v="Annual"/>
    <n v="1"/>
    <n v="1"/>
    <n v="82140"/>
    <n v="82140"/>
  </r>
  <r>
    <x v="0"/>
    <n v="57"/>
    <x v="22"/>
    <x v="0"/>
    <x v="0"/>
    <n v="1005"/>
    <x v="23"/>
    <x v="2"/>
    <x v="38"/>
    <n v="3322"/>
    <x v="163"/>
    <n v="0"/>
    <x v="0"/>
    <s v="1 00"/>
    <n v="0"/>
    <n v="15"/>
    <x v="37"/>
    <s v="Annual"/>
    <n v="0"/>
    <n v="0"/>
    <n v="291447"/>
    <n v="291447"/>
  </r>
  <r>
    <x v="0"/>
    <n v="57"/>
    <x v="22"/>
    <x v="0"/>
    <x v="0"/>
    <n v="1005"/>
    <x v="23"/>
    <x v="20"/>
    <x v="39"/>
    <n v="3274"/>
    <x v="164"/>
    <n v="0"/>
    <x v="0"/>
    <s v="1 00"/>
    <n v="99"/>
    <n v="9796"/>
    <x v="659"/>
    <s v="Annual"/>
    <n v="1"/>
    <n v="1"/>
    <n v="201048"/>
    <n v="201048"/>
  </r>
  <r>
    <x v="0"/>
    <n v="57"/>
    <x v="22"/>
    <x v="0"/>
    <x v="0"/>
    <n v="1005"/>
    <x v="23"/>
    <x v="20"/>
    <x v="39"/>
    <n v="3274"/>
    <x v="164"/>
    <n v="0"/>
    <x v="0"/>
    <s v="1 00"/>
    <n v="99"/>
    <n v="9785"/>
    <x v="660"/>
    <s v="Annual"/>
    <n v="1"/>
    <n v="1"/>
    <n v="219048"/>
    <n v="219048"/>
  </r>
  <r>
    <x v="0"/>
    <n v="57"/>
    <x v="22"/>
    <x v="0"/>
    <x v="0"/>
    <n v="1005"/>
    <x v="23"/>
    <x v="20"/>
    <x v="39"/>
    <n v="3274"/>
    <x v="164"/>
    <n v="0"/>
    <x v="0"/>
    <s v="E 04"/>
    <n v="73"/>
    <n v="9173"/>
    <x v="662"/>
    <s v="Annual"/>
    <n v="2"/>
    <n v="1"/>
    <n v="170700"/>
    <n v="341400"/>
  </r>
  <r>
    <x v="0"/>
    <n v="57"/>
    <x v="22"/>
    <x v="0"/>
    <x v="0"/>
    <n v="1005"/>
    <x v="23"/>
    <x v="20"/>
    <x v="39"/>
    <n v="3274"/>
    <x v="164"/>
    <n v="0"/>
    <x v="0"/>
    <s v="E 03"/>
    <n v="71"/>
    <n v="9171"/>
    <x v="651"/>
    <s v="Annual"/>
    <n v="2"/>
    <n v="1"/>
    <n v="152010"/>
    <n v="304020"/>
  </r>
  <r>
    <x v="0"/>
    <n v="57"/>
    <x v="22"/>
    <x v="0"/>
    <x v="0"/>
    <n v="1005"/>
    <x v="23"/>
    <x v="20"/>
    <x v="39"/>
    <n v="3274"/>
    <x v="164"/>
    <n v="0"/>
    <x v="0"/>
    <s v="E 03"/>
    <n v="71"/>
    <n v="9171"/>
    <x v="651"/>
    <s v="Annual"/>
    <n v="2"/>
    <n v="1"/>
    <n v="142668"/>
    <n v="285336"/>
  </r>
  <r>
    <x v="0"/>
    <n v="57"/>
    <x v="22"/>
    <x v="0"/>
    <x v="0"/>
    <n v="1005"/>
    <x v="23"/>
    <x v="20"/>
    <x v="39"/>
    <n v="3274"/>
    <x v="164"/>
    <n v="0"/>
    <x v="0"/>
    <s v="D 2B"/>
    <n v="91"/>
    <n v="9165"/>
    <x v="663"/>
    <s v="Annual"/>
    <n v="2"/>
    <n v="1"/>
    <n v="144792"/>
    <n v="289584"/>
  </r>
  <r>
    <x v="0"/>
    <n v="57"/>
    <x v="22"/>
    <x v="0"/>
    <x v="0"/>
    <n v="1005"/>
    <x v="23"/>
    <x v="20"/>
    <x v="39"/>
    <n v="3274"/>
    <x v="164"/>
    <n v="0"/>
    <x v="0"/>
    <s v="D 2B"/>
    <n v="91"/>
    <n v="9165"/>
    <x v="663"/>
    <s v="Annual"/>
    <n v="6"/>
    <n v="1"/>
    <n v="140454"/>
    <n v="842724"/>
  </r>
  <r>
    <x v="0"/>
    <n v="57"/>
    <x v="22"/>
    <x v="0"/>
    <x v="0"/>
    <n v="1005"/>
    <x v="23"/>
    <x v="20"/>
    <x v="39"/>
    <n v="3274"/>
    <x v="164"/>
    <n v="0"/>
    <x v="0"/>
    <s v="D 2B"/>
    <n v="91"/>
    <n v="9165"/>
    <x v="663"/>
    <s v="Annual"/>
    <n v="4"/>
    <n v="1"/>
    <n v="135816"/>
    <n v="543264"/>
  </r>
  <r>
    <x v="0"/>
    <n v="57"/>
    <x v="22"/>
    <x v="0"/>
    <x v="0"/>
    <n v="1005"/>
    <x v="23"/>
    <x v="20"/>
    <x v="39"/>
    <n v="3274"/>
    <x v="164"/>
    <n v="0"/>
    <x v="0"/>
    <s v="D 2B"/>
    <n v="91"/>
    <n v="9165"/>
    <x v="663"/>
    <s v="Annual"/>
    <n v="4"/>
    <n v="1"/>
    <n v="99426"/>
    <n v="397704"/>
  </r>
  <r>
    <x v="0"/>
    <n v="57"/>
    <x v="22"/>
    <x v="0"/>
    <x v="0"/>
    <n v="1005"/>
    <x v="23"/>
    <x v="20"/>
    <x v="39"/>
    <n v="3274"/>
    <x v="164"/>
    <n v="0"/>
    <x v="0"/>
    <s v="D 01"/>
    <n v="91"/>
    <n v="9161"/>
    <x v="655"/>
    <s v="Annual"/>
    <n v="2"/>
    <n v="1"/>
    <n v="123576"/>
    <n v="247152"/>
  </r>
  <r>
    <x v="0"/>
    <n v="57"/>
    <x v="22"/>
    <x v="0"/>
    <x v="0"/>
    <n v="1005"/>
    <x v="23"/>
    <x v="20"/>
    <x v="39"/>
    <n v="3274"/>
    <x v="164"/>
    <n v="0"/>
    <x v="0"/>
    <s v="D 01"/>
    <n v="91"/>
    <n v="9161"/>
    <x v="655"/>
    <s v="Annual"/>
    <n v="1"/>
    <n v="1"/>
    <n v="119154"/>
    <n v="119154"/>
  </r>
  <r>
    <x v="0"/>
    <n v="57"/>
    <x v="22"/>
    <x v="0"/>
    <x v="0"/>
    <n v="1005"/>
    <x v="23"/>
    <x v="20"/>
    <x v="39"/>
    <n v="3274"/>
    <x v="164"/>
    <n v="0"/>
    <x v="0"/>
    <s v="D 01"/>
    <n v="91"/>
    <n v="9161"/>
    <x v="655"/>
    <s v="Annual"/>
    <n v="1"/>
    <n v="1"/>
    <n v="115158"/>
    <n v="115158"/>
  </r>
  <r>
    <x v="0"/>
    <n v="57"/>
    <x v="22"/>
    <x v="0"/>
    <x v="0"/>
    <n v="1005"/>
    <x v="23"/>
    <x v="20"/>
    <x v="39"/>
    <n v="3274"/>
    <x v="164"/>
    <n v="0"/>
    <x v="0"/>
    <s v="D 01"/>
    <n v="91"/>
    <n v="9161"/>
    <x v="655"/>
    <s v="Annual"/>
    <n v="1"/>
    <n v="1"/>
    <n v="111252"/>
    <n v="111252"/>
  </r>
  <r>
    <x v="0"/>
    <n v="57"/>
    <x v="22"/>
    <x v="0"/>
    <x v="0"/>
    <n v="1005"/>
    <x v="23"/>
    <x v="20"/>
    <x v="39"/>
    <n v="3274"/>
    <x v="164"/>
    <n v="0"/>
    <x v="0"/>
    <s v="G 08"/>
    <n v="4"/>
    <n v="635"/>
    <x v="242"/>
    <s v="Annual"/>
    <n v="1"/>
    <n v="1"/>
    <n v="141564"/>
    <n v="141564"/>
  </r>
  <r>
    <x v="0"/>
    <n v="57"/>
    <x v="22"/>
    <x v="0"/>
    <x v="0"/>
    <n v="1005"/>
    <x v="23"/>
    <x v="20"/>
    <x v="39"/>
    <n v="3274"/>
    <x v="164"/>
    <n v="0"/>
    <x v="0"/>
    <s v="B 13"/>
    <n v="1"/>
    <n v="308"/>
    <x v="90"/>
    <s v="Annual"/>
    <n v="1"/>
    <n v="1"/>
    <n v="119100"/>
    <n v="119100"/>
  </r>
  <r>
    <x v="0"/>
    <n v="57"/>
    <x v="22"/>
    <x v="0"/>
    <x v="0"/>
    <n v="1005"/>
    <x v="23"/>
    <x v="20"/>
    <x v="39"/>
    <n v="3274"/>
    <x v="164"/>
    <n v="0"/>
    <x v="0"/>
    <s v="1 00"/>
    <n v="0"/>
    <n v="15"/>
    <x v="37"/>
    <s v="Annual"/>
    <n v="0"/>
    <n v="0"/>
    <n v="8613"/>
    <n v="8613"/>
  </r>
  <r>
    <x v="0"/>
    <n v="57"/>
    <x v="22"/>
    <x v="0"/>
    <x v="0"/>
    <n v="1005"/>
    <x v="23"/>
    <x v="20"/>
    <x v="39"/>
    <n v="3282"/>
    <x v="165"/>
    <n v="4280"/>
    <x v="113"/>
    <s v="3 00"/>
    <n v="99"/>
    <n v="9752"/>
    <x v="647"/>
    <s v="Annual"/>
    <n v="1"/>
    <n v="1"/>
    <n v="192240"/>
    <n v="192240"/>
  </r>
  <r>
    <x v="0"/>
    <n v="57"/>
    <x v="22"/>
    <x v="0"/>
    <x v="0"/>
    <n v="1005"/>
    <x v="23"/>
    <x v="20"/>
    <x v="39"/>
    <n v="3282"/>
    <x v="165"/>
    <n v="4280"/>
    <x v="113"/>
    <s v="E 03"/>
    <n v="71"/>
    <n v="9171"/>
    <x v="651"/>
    <s v="Annual"/>
    <n v="1"/>
    <n v="1"/>
    <n v="142668"/>
    <n v="142668"/>
  </r>
  <r>
    <x v="0"/>
    <n v="57"/>
    <x v="22"/>
    <x v="0"/>
    <x v="0"/>
    <n v="1005"/>
    <x v="23"/>
    <x v="20"/>
    <x v="39"/>
    <n v="3282"/>
    <x v="165"/>
    <n v="4280"/>
    <x v="113"/>
    <s v="D 2B"/>
    <n v="91"/>
    <n v="9165"/>
    <x v="663"/>
    <s v="Annual"/>
    <n v="1"/>
    <n v="1"/>
    <n v="144792"/>
    <n v="144792"/>
  </r>
  <r>
    <x v="0"/>
    <n v="57"/>
    <x v="22"/>
    <x v="0"/>
    <x v="0"/>
    <n v="1005"/>
    <x v="23"/>
    <x v="20"/>
    <x v="39"/>
    <n v="3282"/>
    <x v="165"/>
    <n v="4280"/>
    <x v="113"/>
    <s v="D 2B"/>
    <n v="91"/>
    <n v="9165"/>
    <x v="663"/>
    <s v="Annual"/>
    <n v="1"/>
    <n v="1"/>
    <n v="140454"/>
    <n v="140454"/>
  </r>
  <r>
    <x v="0"/>
    <n v="57"/>
    <x v="22"/>
    <x v="0"/>
    <x v="0"/>
    <n v="1005"/>
    <x v="23"/>
    <x v="20"/>
    <x v="39"/>
    <n v="3282"/>
    <x v="165"/>
    <n v="4280"/>
    <x v="113"/>
    <s v="D 2B"/>
    <n v="91"/>
    <n v="9165"/>
    <x v="663"/>
    <s v="Annual"/>
    <n v="1"/>
    <n v="1"/>
    <n v="135816"/>
    <n v="135816"/>
  </r>
  <r>
    <x v="0"/>
    <n v="57"/>
    <x v="22"/>
    <x v="0"/>
    <x v="0"/>
    <n v="1005"/>
    <x v="23"/>
    <x v="20"/>
    <x v="39"/>
    <n v="3282"/>
    <x v="165"/>
    <n v="4280"/>
    <x v="113"/>
    <s v="D 2B"/>
    <n v="91"/>
    <n v="9165"/>
    <x v="663"/>
    <s v="Annual"/>
    <n v="2"/>
    <n v="1"/>
    <n v="99426"/>
    <n v="198852"/>
  </r>
  <r>
    <x v="0"/>
    <n v="57"/>
    <x v="22"/>
    <x v="0"/>
    <x v="0"/>
    <n v="1005"/>
    <x v="23"/>
    <x v="20"/>
    <x v="39"/>
    <n v="3282"/>
    <x v="165"/>
    <n v="4280"/>
    <x v="113"/>
    <s v="D 01"/>
    <n v="91"/>
    <n v="9161"/>
    <x v="655"/>
    <s v="Annual"/>
    <n v="3"/>
    <n v="1"/>
    <n v="127146"/>
    <n v="381438"/>
  </r>
  <r>
    <x v="0"/>
    <n v="57"/>
    <x v="22"/>
    <x v="0"/>
    <x v="0"/>
    <n v="1005"/>
    <x v="23"/>
    <x v="20"/>
    <x v="39"/>
    <n v="3282"/>
    <x v="165"/>
    <n v="4280"/>
    <x v="113"/>
    <s v="D 01"/>
    <n v="91"/>
    <n v="9161"/>
    <x v="655"/>
    <s v="Annual"/>
    <n v="3"/>
    <n v="1"/>
    <n v="123576"/>
    <n v="370728"/>
  </r>
  <r>
    <x v="0"/>
    <n v="57"/>
    <x v="22"/>
    <x v="0"/>
    <x v="0"/>
    <n v="1005"/>
    <x v="23"/>
    <x v="20"/>
    <x v="39"/>
    <n v="3282"/>
    <x v="165"/>
    <n v="4280"/>
    <x v="113"/>
    <s v="D 01"/>
    <n v="91"/>
    <n v="9161"/>
    <x v="655"/>
    <s v="Annual"/>
    <n v="2"/>
    <n v="1"/>
    <n v="119154"/>
    <n v="238308"/>
  </r>
  <r>
    <x v="0"/>
    <n v="57"/>
    <x v="22"/>
    <x v="0"/>
    <x v="0"/>
    <n v="1005"/>
    <x v="23"/>
    <x v="20"/>
    <x v="39"/>
    <n v="3282"/>
    <x v="165"/>
    <n v="4280"/>
    <x v="113"/>
    <s v="D 01"/>
    <n v="91"/>
    <n v="9161"/>
    <x v="655"/>
    <s v="Annual"/>
    <n v="3"/>
    <n v="1"/>
    <n v="115158"/>
    <n v="345474"/>
  </r>
  <r>
    <x v="0"/>
    <n v="57"/>
    <x v="22"/>
    <x v="0"/>
    <x v="0"/>
    <n v="1005"/>
    <x v="23"/>
    <x v="20"/>
    <x v="39"/>
    <n v="3282"/>
    <x v="165"/>
    <n v="4280"/>
    <x v="113"/>
    <s v="D 01"/>
    <n v="91"/>
    <n v="9161"/>
    <x v="655"/>
    <s v="Annual"/>
    <n v="1"/>
    <n v="1"/>
    <n v="111252"/>
    <n v="111252"/>
  </r>
  <r>
    <x v="0"/>
    <n v="57"/>
    <x v="22"/>
    <x v="0"/>
    <x v="0"/>
    <n v="1005"/>
    <x v="23"/>
    <x v="20"/>
    <x v="39"/>
    <n v="3282"/>
    <x v="165"/>
    <n v="4280"/>
    <x v="113"/>
    <s v="D 01"/>
    <n v="91"/>
    <n v="9161"/>
    <x v="655"/>
    <s v="Annual"/>
    <n v="2"/>
    <n v="1"/>
    <n v="63636"/>
    <n v="127272"/>
  </r>
  <r>
    <x v="0"/>
    <n v="57"/>
    <x v="22"/>
    <x v="0"/>
    <x v="0"/>
    <n v="1005"/>
    <x v="23"/>
    <x v="20"/>
    <x v="39"/>
    <n v="3282"/>
    <x v="165"/>
    <n v="4280"/>
    <x v="113"/>
    <s v="BX 18"/>
    <n v="10"/>
    <n v="3092"/>
    <x v="308"/>
    <s v="Annual"/>
    <n v="1"/>
    <n v="1"/>
    <n v="89112"/>
    <n v="89112"/>
  </r>
  <r>
    <x v="0"/>
    <n v="57"/>
    <x v="22"/>
    <x v="0"/>
    <x v="0"/>
    <n v="1005"/>
    <x v="23"/>
    <x v="20"/>
    <x v="39"/>
    <n v="3282"/>
    <x v="165"/>
    <n v="4280"/>
    <x v="113"/>
    <s v="B 09"/>
    <n v="1"/>
    <n v="460"/>
    <x v="344"/>
    <s v="Annual"/>
    <n v="3"/>
    <n v="1"/>
    <n v="82140"/>
    <n v="246420"/>
  </r>
  <r>
    <x v="0"/>
    <n v="57"/>
    <x v="22"/>
    <x v="0"/>
    <x v="0"/>
    <n v="1005"/>
    <x v="23"/>
    <x v="20"/>
    <x v="39"/>
    <n v="3282"/>
    <x v="165"/>
    <n v="4280"/>
    <x v="113"/>
    <s v="1 00"/>
    <n v="0"/>
    <n v="15"/>
    <x v="37"/>
    <s v="Annual"/>
    <n v="0"/>
    <n v="0"/>
    <n v="7203"/>
    <n v="7203"/>
  </r>
  <r>
    <x v="0"/>
    <n v="57"/>
    <x v="22"/>
    <x v="0"/>
    <x v="0"/>
    <n v="1005"/>
    <x v="23"/>
    <x v="20"/>
    <x v="39"/>
    <n v="3282"/>
    <x v="165"/>
    <n v="4285"/>
    <x v="114"/>
    <s v="E 04"/>
    <n v="73"/>
    <n v="9173"/>
    <x v="662"/>
    <s v="Annual"/>
    <n v="1"/>
    <n v="1"/>
    <n v="170700"/>
    <n v="170700"/>
  </r>
  <r>
    <x v="0"/>
    <n v="57"/>
    <x v="22"/>
    <x v="0"/>
    <x v="0"/>
    <n v="1005"/>
    <x v="23"/>
    <x v="20"/>
    <x v="39"/>
    <n v="3282"/>
    <x v="165"/>
    <n v="4285"/>
    <x v="114"/>
    <s v="E 03"/>
    <n v="71"/>
    <n v="9171"/>
    <x v="651"/>
    <s v="Annual"/>
    <n v="1"/>
    <n v="1"/>
    <n v="152010"/>
    <n v="152010"/>
  </r>
  <r>
    <x v="0"/>
    <n v="57"/>
    <x v="22"/>
    <x v="0"/>
    <x v="0"/>
    <n v="1005"/>
    <x v="23"/>
    <x v="20"/>
    <x v="39"/>
    <n v="3282"/>
    <x v="165"/>
    <n v="4285"/>
    <x v="114"/>
    <s v="E 03"/>
    <n v="71"/>
    <n v="9171"/>
    <x v="651"/>
    <s v="Annual"/>
    <n v="1"/>
    <n v="1"/>
    <n v="142668"/>
    <n v="142668"/>
  </r>
  <r>
    <x v="0"/>
    <n v="57"/>
    <x v="22"/>
    <x v="0"/>
    <x v="0"/>
    <n v="1005"/>
    <x v="23"/>
    <x v="20"/>
    <x v="39"/>
    <n v="3282"/>
    <x v="165"/>
    <n v="4285"/>
    <x v="114"/>
    <s v="E 03"/>
    <n v="71"/>
    <n v="9171"/>
    <x v="651"/>
    <s v="Annual"/>
    <n v="1"/>
    <n v="1"/>
    <n v="138318"/>
    <n v="138318"/>
  </r>
  <r>
    <x v="0"/>
    <n v="57"/>
    <x v="22"/>
    <x v="0"/>
    <x v="0"/>
    <n v="1005"/>
    <x v="23"/>
    <x v="20"/>
    <x v="39"/>
    <n v="3282"/>
    <x v="165"/>
    <n v="4285"/>
    <x v="114"/>
    <s v="D 2B"/>
    <n v="91"/>
    <n v="9165"/>
    <x v="663"/>
    <s v="Annual"/>
    <n v="7"/>
    <n v="1"/>
    <n v="144792"/>
    <n v="1013544"/>
  </r>
  <r>
    <x v="0"/>
    <n v="57"/>
    <x v="22"/>
    <x v="0"/>
    <x v="0"/>
    <n v="1005"/>
    <x v="23"/>
    <x v="20"/>
    <x v="39"/>
    <n v="3282"/>
    <x v="165"/>
    <n v="4285"/>
    <x v="114"/>
    <s v="D 2B"/>
    <n v="91"/>
    <n v="9165"/>
    <x v="663"/>
    <s v="Annual"/>
    <n v="9"/>
    <n v="1"/>
    <n v="140454"/>
    <n v="1264086"/>
  </r>
  <r>
    <x v="0"/>
    <n v="57"/>
    <x v="22"/>
    <x v="0"/>
    <x v="0"/>
    <n v="1005"/>
    <x v="23"/>
    <x v="20"/>
    <x v="39"/>
    <n v="3282"/>
    <x v="165"/>
    <n v="4285"/>
    <x v="114"/>
    <s v="D 2B"/>
    <n v="91"/>
    <n v="9165"/>
    <x v="663"/>
    <s v="Annual"/>
    <n v="5"/>
    <n v="1"/>
    <n v="135816"/>
    <n v="679080"/>
  </r>
  <r>
    <x v="0"/>
    <n v="57"/>
    <x v="22"/>
    <x v="0"/>
    <x v="0"/>
    <n v="1005"/>
    <x v="23"/>
    <x v="20"/>
    <x v="39"/>
    <n v="3282"/>
    <x v="165"/>
    <n v="4285"/>
    <x v="114"/>
    <s v="D 2B"/>
    <n v="91"/>
    <n v="9165"/>
    <x v="663"/>
    <s v="Annual"/>
    <n v="4"/>
    <n v="1"/>
    <n v="131448"/>
    <n v="525792"/>
  </r>
  <r>
    <x v="0"/>
    <n v="57"/>
    <x v="22"/>
    <x v="0"/>
    <x v="0"/>
    <n v="1005"/>
    <x v="23"/>
    <x v="20"/>
    <x v="39"/>
    <n v="3282"/>
    <x v="165"/>
    <n v="4285"/>
    <x v="114"/>
    <s v="D 2B"/>
    <n v="91"/>
    <n v="9165"/>
    <x v="663"/>
    <s v="Annual"/>
    <n v="8"/>
    <n v="1"/>
    <n v="99426"/>
    <n v="795408"/>
  </r>
  <r>
    <x v="0"/>
    <n v="57"/>
    <x v="22"/>
    <x v="0"/>
    <x v="0"/>
    <n v="1005"/>
    <x v="23"/>
    <x v="20"/>
    <x v="39"/>
    <n v="3282"/>
    <x v="165"/>
    <n v="4285"/>
    <x v="114"/>
    <s v="D 01"/>
    <n v="91"/>
    <n v="9161"/>
    <x v="655"/>
    <s v="Annual"/>
    <n v="1"/>
    <n v="1"/>
    <n v="123576"/>
    <n v="123576"/>
  </r>
  <r>
    <x v="0"/>
    <n v="57"/>
    <x v="22"/>
    <x v="0"/>
    <x v="0"/>
    <n v="1005"/>
    <x v="23"/>
    <x v="20"/>
    <x v="39"/>
    <n v="3282"/>
    <x v="165"/>
    <n v="4285"/>
    <x v="114"/>
    <s v="D 01"/>
    <n v="91"/>
    <n v="9161"/>
    <x v="655"/>
    <s v="Annual"/>
    <n v="1"/>
    <n v="1"/>
    <n v="119154"/>
    <n v="119154"/>
  </r>
  <r>
    <x v="0"/>
    <n v="57"/>
    <x v="22"/>
    <x v="0"/>
    <x v="0"/>
    <n v="1005"/>
    <x v="23"/>
    <x v="20"/>
    <x v="39"/>
    <n v="3282"/>
    <x v="165"/>
    <n v="4285"/>
    <x v="114"/>
    <s v="1 00"/>
    <n v="0"/>
    <n v="15"/>
    <x v="37"/>
    <s v="Annual"/>
    <n v="0"/>
    <n v="0"/>
    <n v="5380"/>
    <n v="5380"/>
  </r>
  <r>
    <x v="0"/>
    <n v="57"/>
    <x v="22"/>
    <x v="0"/>
    <x v="0"/>
    <n v="1005"/>
    <x v="23"/>
    <x v="20"/>
    <x v="39"/>
    <n v="3282"/>
    <x v="165"/>
    <n v="4286"/>
    <x v="115"/>
    <s v="E 03"/>
    <n v="71"/>
    <n v="9171"/>
    <x v="651"/>
    <s v="Annual"/>
    <n v="1"/>
    <n v="1"/>
    <n v="156564"/>
    <n v="156564"/>
  </r>
  <r>
    <x v="0"/>
    <n v="57"/>
    <x v="22"/>
    <x v="0"/>
    <x v="0"/>
    <n v="1005"/>
    <x v="23"/>
    <x v="20"/>
    <x v="39"/>
    <n v="3282"/>
    <x v="165"/>
    <n v="4286"/>
    <x v="115"/>
    <s v="D 2B"/>
    <n v="91"/>
    <n v="9165"/>
    <x v="663"/>
    <s v="Annual"/>
    <n v="3"/>
    <n v="1"/>
    <n v="144792"/>
    <n v="434376"/>
  </r>
  <r>
    <x v="0"/>
    <n v="57"/>
    <x v="22"/>
    <x v="0"/>
    <x v="0"/>
    <n v="1005"/>
    <x v="23"/>
    <x v="20"/>
    <x v="39"/>
    <n v="3282"/>
    <x v="165"/>
    <n v="4286"/>
    <x v="115"/>
    <s v="D 2B"/>
    <n v="91"/>
    <n v="9165"/>
    <x v="663"/>
    <s v="Annual"/>
    <n v="1"/>
    <n v="1"/>
    <n v="140454"/>
    <n v="140454"/>
  </r>
  <r>
    <x v="0"/>
    <n v="57"/>
    <x v="22"/>
    <x v="0"/>
    <x v="0"/>
    <n v="1005"/>
    <x v="23"/>
    <x v="20"/>
    <x v="39"/>
    <n v="3282"/>
    <x v="165"/>
    <n v="4286"/>
    <x v="115"/>
    <s v="D 2B"/>
    <n v="91"/>
    <n v="9165"/>
    <x v="663"/>
    <s v="Annual"/>
    <n v="1"/>
    <n v="1"/>
    <n v="135816"/>
    <n v="135816"/>
  </r>
  <r>
    <x v="0"/>
    <n v="57"/>
    <x v="22"/>
    <x v="0"/>
    <x v="0"/>
    <n v="1005"/>
    <x v="23"/>
    <x v="20"/>
    <x v="39"/>
    <n v="3282"/>
    <x v="165"/>
    <n v="4286"/>
    <x v="115"/>
    <s v="D 2B"/>
    <n v="91"/>
    <n v="9165"/>
    <x v="663"/>
    <s v="Annual"/>
    <n v="3"/>
    <n v="1"/>
    <n v="99426"/>
    <n v="298278"/>
  </r>
  <r>
    <x v="0"/>
    <n v="57"/>
    <x v="22"/>
    <x v="0"/>
    <x v="0"/>
    <n v="1005"/>
    <x v="23"/>
    <x v="20"/>
    <x v="39"/>
    <n v="3282"/>
    <x v="165"/>
    <n v="4286"/>
    <x v="115"/>
    <s v="D 01"/>
    <n v="91"/>
    <n v="9161"/>
    <x v="655"/>
    <s v="Annual"/>
    <n v="1"/>
    <n v="1"/>
    <n v="115158"/>
    <n v="115158"/>
  </r>
  <r>
    <x v="0"/>
    <n v="57"/>
    <x v="22"/>
    <x v="0"/>
    <x v="0"/>
    <n v="1005"/>
    <x v="23"/>
    <x v="20"/>
    <x v="39"/>
    <n v="3282"/>
    <x v="165"/>
    <n v="4286"/>
    <x v="115"/>
    <s v="D 01"/>
    <n v="91"/>
    <n v="9161"/>
    <x v="655"/>
    <s v="Annual"/>
    <n v="1"/>
    <n v="1"/>
    <n v="111252"/>
    <n v="111252"/>
  </r>
  <r>
    <x v="0"/>
    <n v="57"/>
    <x v="22"/>
    <x v="0"/>
    <x v="0"/>
    <n v="1005"/>
    <x v="23"/>
    <x v="20"/>
    <x v="39"/>
    <n v="3282"/>
    <x v="165"/>
    <n v="4286"/>
    <x v="115"/>
    <s v="1 00"/>
    <n v="0"/>
    <n v="15"/>
    <x v="37"/>
    <s v="Annual"/>
    <n v="0"/>
    <n v="0"/>
    <n v="5035"/>
    <n v="5035"/>
  </r>
  <r>
    <x v="0"/>
    <n v="57"/>
    <x v="22"/>
    <x v="0"/>
    <x v="0"/>
    <n v="1005"/>
    <x v="23"/>
    <x v="20"/>
    <x v="39"/>
    <n v="3287"/>
    <x v="166"/>
    <n v="4277"/>
    <x v="116"/>
    <s v="3 00"/>
    <n v="99"/>
    <n v="9752"/>
    <x v="647"/>
    <s v="Annual"/>
    <n v="1"/>
    <n v="1"/>
    <n v="192240"/>
    <n v="192240"/>
  </r>
  <r>
    <x v="0"/>
    <n v="57"/>
    <x v="22"/>
    <x v="0"/>
    <x v="0"/>
    <n v="1005"/>
    <x v="23"/>
    <x v="20"/>
    <x v="39"/>
    <n v="3287"/>
    <x v="166"/>
    <n v="4277"/>
    <x v="116"/>
    <s v="E 04"/>
    <n v="73"/>
    <n v="9173"/>
    <x v="662"/>
    <s v="Annual"/>
    <n v="2"/>
    <n v="1"/>
    <n v="170700"/>
    <n v="341400"/>
  </r>
  <r>
    <x v="0"/>
    <n v="57"/>
    <x v="22"/>
    <x v="0"/>
    <x v="0"/>
    <n v="1005"/>
    <x v="23"/>
    <x v="20"/>
    <x v="39"/>
    <n v="3287"/>
    <x v="166"/>
    <n v="4277"/>
    <x v="116"/>
    <s v="E 03"/>
    <n v="71"/>
    <n v="9171"/>
    <x v="651"/>
    <s v="Annual"/>
    <n v="1"/>
    <n v="1"/>
    <n v="142668"/>
    <n v="142668"/>
  </r>
  <r>
    <x v="0"/>
    <n v="57"/>
    <x v="22"/>
    <x v="0"/>
    <x v="0"/>
    <n v="1005"/>
    <x v="23"/>
    <x v="20"/>
    <x v="39"/>
    <n v="3287"/>
    <x v="166"/>
    <n v="4277"/>
    <x v="116"/>
    <s v="D 01"/>
    <n v="91"/>
    <n v="9161"/>
    <x v="655"/>
    <s v="Annual"/>
    <n v="1"/>
    <n v="1"/>
    <n v="115158"/>
    <n v="115158"/>
  </r>
  <r>
    <x v="0"/>
    <n v="57"/>
    <x v="22"/>
    <x v="0"/>
    <x v="0"/>
    <n v="1005"/>
    <x v="23"/>
    <x v="20"/>
    <x v="39"/>
    <n v="3287"/>
    <x v="166"/>
    <n v="4277"/>
    <x v="116"/>
    <s v="D 01"/>
    <n v="91"/>
    <n v="9161"/>
    <x v="655"/>
    <s v="Annual"/>
    <n v="2"/>
    <n v="1"/>
    <n v="111252"/>
    <n v="222504"/>
  </r>
  <r>
    <x v="0"/>
    <n v="57"/>
    <x v="22"/>
    <x v="0"/>
    <x v="0"/>
    <n v="1005"/>
    <x v="23"/>
    <x v="20"/>
    <x v="39"/>
    <n v="3287"/>
    <x v="166"/>
    <n v="4277"/>
    <x v="116"/>
    <s v="D 01"/>
    <n v="91"/>
    <n v="9161"/>
    <x v="655"/>
    <s v="Annual"/>
    <n v="1"/>
    <n v="1"/>
    <n v="63636"/>
    <n v="63636"/>
  </r>
  <r>
    <x v="0"/>
    <n v="57"/>
    <x v="22"/>
    <x v="0"/>
    <x v="0"/>
    <n v="1005"/>
    <x v="23"/>
    <x v="20"/>
    <x v="39"/>
    <n v="3287"/>
    <x v="166"/>
    <n v="4277"/>
    <x v="116"/>
    <s v="1 00"/>
    <n v="0"/>
    <n v="15"/>
    <x v="37"/>
    <s v="Annual"/>
    <n v="0"/>
    <n v="0"/>
    <n v="2968"/>
    <n v="2968"/>
  </r>
  <r>
    <x v="0"/>
    <n v="57"/>
    <x v="22"/>
    <x v="0"/>
    <x v="0"/>
    <n v="1005"/>
    <x v="23"/>
    <x v="20"/>
    <x v="39"/>
    <n v="3287"/>
    <x v="166"/>
    <n v="4278"/>
    <x v="117"/>
    <s v="E 03"/>
    <n v="71"/>
    <n v="9171"/>
    <x v="651"/>
    <s v="Annual"/>
    <n v="2"/>
    <n v="1"/>
    <n v="152010"/>
    <n v="304020"/>
  </r>
  <r>
    <x v="0"/>
    <n v="57"/>
    <x v="22"/>
    <x v="0"/>
    <x v="0"/>
    <n v="1005"/>
    <x v="23"/>
    <x v="20"/>
    <x v="39"/>
    <n v="3287"/>
    <x v="166"/>
    <n v="4278"/>
    <x v="117"/>
    <s v="E 03"/>
    <n v="71"/>
    <n v="9171"/>
    <x v="651"/>
    <s v="Annual"/>
    <n v="3"/>
    <n v="1"/>
    <n v="138318"/>
    <n v="414954"/>
  </r>
  <r>
    <x v="0"/>
    <n v="57"/>
    <x v="22"/>
    <x v="0"/>
    <x v="0"/>
    <n v="1005"/>
    <x v="23"/>
    <x v="20"/>
    <x v="39"/>
    <n v="3287"/>
    <x v="166"/>
    <n v="4278"/>
    <x v="117"/>
    <s v="D 2B"/>
    <n v="91"/>
    <n v="9165"/>
    <x v="663"/>
    <s v="Annual"/>
    <n v="5"/>
    <n v="1"/>
    <n v="144792"/>
    <n v="723960"/>
  </r>
  <r>
    <x v="0"/>
    <n v="57"/>
    <x v="22"/>
    <x v="0"/>
    <x v="0"/>
    <n v="1005"/>
    <x v="23"/>
    <x v="20"/>
    <x v="39"/>
    <n v="3287"/>
    <x v="166"/>
    <n v="4278"/>
    <x v="117"/>
    <s v="D 2B"/>
    <n v="91"/>
    <n v="9165"/>
    <x v="663"/>
    <s v="Annual"/>
    <n v="4"/>
    <n v="1"/>
    <n v="140454"/>
    <n v="561816"/>
  </r>
  <r>
    <x v="0"/>
    <n v="57"/>
    <x v="22"/>
    <x v="0"/>
    <x v="0"/>
    <n v="1005"/>
    <x v="23"/>
    <x v="20"/>
    <x v="39"/>
    <n v="3287"/>
    <x v="166"/>
    <n v="4278"/>
    <x v="117"/>
    <s v="D 2B"/>
    <n v="91"/>
    <n v="9165"/>
    <x v="663"/>
    <s v="Annual"/>
    <n v="2"/>
    <n v="1"/>
    <n v="135816"/>
    <n v="271632"/>
  </r>
  <r>
    <x v="0"/>
    <n v="57"/>
    <x v="22"/>
    <x v="0"/>
    <x v="0"/>
    <n v="1005"/>
    <x v="23"/>
    <x v="20"/>
    <x v="39"/>
    <n v="3287"/>
    <x v="166"/>
    <n v="4278"/>
    <x v="117"/>
    <s v="D 2B"/>
    <n v="91"/>
    <n v="9165"/>
    <x v="663"/>
    <s v="Annual"/>
    <n v="7"/>
    <n v="1"/>
    <n v="131448"/>
    <n v="920136"/>
  </r>
  <r>
    <x v="0"/>
    <n v="57"/>
    <x v="22"/>
    <x v="0"/>
    <x v="0"/>
    <n v="1005"/>
    <x v="23"/>
    <x v="20"/>
    <x v="39"/>
    <n v="3287"/>
    <x v="166"/>
    <n v="4278"/>
    <x v="117"/>
    <s v="D 2B"/>
    <n v="91"/>
    <n v="9165"/>
    <x v="663"/>
    <s v="Annual"/>
    <n v="2"/>
    <n v="1"/>
    <n v="99426"/>
    <n v="198852"/>
  </r>
  <r>
    <x v="0"/>
    <n v="57"/>
    <x v="22"/>
    <x v="0"/>
    <x v="0"/>
    <n v="1005"/>
    <x v="23"/>
    <x v="20"/>
    <x v="39"/>
    <n v="3287"/>
    <x v="166"/>
    <n v="4278"/>
    <x v="117"/>
    <s v="1 00"/>
    <n v="0"/>
    <n v="15"/>
    <x v="37"/>
    <s v="Annual"/>
    <n v="0"/>
    <n v="0"/>
    <n v="3176"/>
    <n v="3176"/>
  </r>
  <r>
    <x v="0"/>
    <n v="57"/>
    <x v="22"/>
    <x v="0"/>
    <x v="0"/>
    <n v="1005"/>
    <x v="23"/>
    <x v="20"/>
    <x v="39"/>
    <n v="3287"/>
    <x v="166"/>
    <n v="4279"/>
    <x v="118"/>
    <s v="E 04"/>
    <n v="73"/>
    <n v="9173"/>
    <x v="662"/>
    <s v="Annual"/>
    <n v="1"/>
    <n v="1"/>
    <n v="155934"/>
    <n v="155934"/>
  </r>
  <r>
    <x v="0"/>
    <n v="57"/>
    <x v="22"/>
    <x v="0"/>
    <x v="0"/>
    <n v="1005"/>
    <x v="23"/>
    <x v="20"/>
    <x v="39"/>
    <n v="3287"/>
    <x v="166"/>
    <n v="4279"/>
    <x v="118"/>
    <s v="E 03"/>
    <n v="71"/>
    <n v="9171"/>
    <x v="651"/>
    <s v="Annual"/>
    <n v="2"/>
    <n v="1"/>
    <n v="152010"/>
    <n v="304020"/>
  </r>
  <r>
    <x v="0"/>
    <n v="57"/>
    <x v="22"/>
    <x v="0"/>
    <x v="0"/>
    <n v="1005"/>
    <x v="23"/>
    <x v="20"/>
    <x v="39"/>
    <n v="3287"/>
    <x v="166"/>
    <n v="4279"/>
    <x v="118"/>
    <s v="E 03"/>
    <n v="71"/>
    <n v="9171"/>
    <x v="651"/>
    <s v="Annual"/>
    <n v="1"/>
    <n v="1"/>
    <n v="147252"/>
    <n v="147252"/>
  </r>
  <r>
    <x v="0"/>
    <n v="57"/>
    <x v="22"/>
    <x v="0"/>
    <x v="0"/>
    <n v="1005"/>
    <x v="23"/>
    <x v="20"/>
    <x v="39"/>
    <n v="3287"/>
    <x v="166"/>
    <n v="4279"/>
    <x v="118"/>
    <s v="E 03"/>
    <n v="71"/>
    <n v="9171"/>
    <x v="651"/>
    <s v="Annual"/>
    <n v="1"/>
    <n v="1"/>
    <n v="142668"/>
    <n v="142668"/>
  </r>
  <r>
    <x v="0"/>
    <n v="57"/>
    <x v="22"/>
    <x v="0"/>
    <x v="0"/>
    <n v="1005"/>
    <x v="23"/>
    <x v="20"/>
    <x v="39"/>
    <n v="3287"/>
    <x v="166"/>
    <n v="4279"/>
    <x v="118"/>
    <s v="E 03"/>
    <n v="71"/>
    <n v="9171"/>
    <x v="651"/>
    <s v="Annual"/>
    <n v="2"/>
    <n v="1"/>
    <n v="138318"/>
    <n v="276636"/>
  </r>
  <r>
    <x v="0"/>
    <n v="57"/>
    <x v="22"/>
    <x v="0"/>
    <x v="0"/>
    <n v="1005"/>
    <x v="23"/>
    <x v="20"/>
    <x v="39"/>
    <n v="3287"/>
    <x v="166"/>
    <n v="4279"/>
    <x v="118"/>
    <s v="D 01"/>
    <n v="91"/>
    <n v="9161"/>
    <x v="655"/>
    <s v="Annual"/>
    <n v="2"/>
    <n v="1"/>
    <n v="115158"/>
    <n v="230316"/>
  </r>
  <r>
    <x v="0"/>
    <n v="57"/>
    <x v="22"/>
    <x v="0"/>
    <x v="0"/>
    <n v="1005"/>
    <x v="23"/>
    <x v="20"/>
    <x v="39"/>
    <n v="3287"/>
    <x v="166"/>
    <n v="4279"/>
    <x v="118"/>
    <s v="D 01"/>
    <n v="91"/>
    <n v="9161"/>
    <x v="655"/>
    <s v="Annual"/>
    <n v="3"/>
    <n v="1"/>
    <n v="111252"/>
    <n v="333756"/>
  </r>
  <r>
    <x v="0"/>
    <n v="57"/>
    <x v="22"/>
    <x v="0"/>
    <x v="0"/>
    <n v="1005"/>
    <x v="23"/>
    <x v="20"/>
    <x v="39"/>
    <n v="3287"/>
    <x v="166"/>
    <n v="4279"/>
    <x v="118"/>
    <s v="D 2A"/>
    <n v="91"/>
    <n v="9151"/>
    <x v="682"/>
    <s v="Annual"/>
    <n v="4"/>
    <n v="1"/>
    <n v="137568"/>
    <n v="550272"/>
  </r>
  <r>
    <x v="0"/>
    <n v="57"/>
    <x v="22"/>
    <x v="0"/>
    <x v="0"/>
    <n v="1005"/>
    <x v="23"/>
    <x v="20"/>
    <x v="39"/>
    <n v="3287"/>
    <x v="166"/>
    <n v="4279"/>
    <x v="118"/>
    <s v="D 2A"/>
    <n v="91"/>
    <n v="9151"/>
    <x v="682"/>
    <s v="Annual"/>
    <n v="4"/>
    <n v="1"/>
    <n v="133650"/>
    <n v="534600"/>
  </r>
  <r>
    <x v="0"/>
    <n v="57"/>
    <x v="22"/>
    <x v="0"/>
    <x v="0"/>
    <n v="1005"/>
    <x v="23"/>
    <x v="20"/>
    <x v="39"/>
    <n v="3287"/>
    <x v="166"/>
    <n v="4279"/>
    <x v="118"/>
    <s v="D 2A"/>
    <n v="91"/>
    <n v="9151"/>
    <x v="682"/>
    <s v="Annual"/>
    <n v="3"/>
    <n v="1"/>
    <n v="128964"/>
    <n v="386892"/>
  </r>
  <r>
    <x v="0"/>
    <n v="57"/>
    <x v="22"/>
    <x v="0"/>
    <x v="0"/>
    <n v="1005"/>
    <x v="23"/>
    <x v="20"/>
    <x v="39"/>
    <n v="3287"/>
    <x v="166"/>
    <n v="4279"/>
    <x v="118"/>
    <s v="D 2A"/>
    <n v="91"/>
    <n v="9151"/>
    <x v="682"/>
    <s v="Annual"/>
    <n v="3"/>
    <n v="1"/>
    <n v="124578"/>
    <n v="373734"/>
  </r>
  <r>
    <x v="0"/>
    <n v="57"/>
    <x v="22"/>
    <x v="0"/>
    <x v="0"/>
    <n v="1005"/>
    <x v="23"/>
    <x v="20"/>
    <x v="39"/>
    <n v="3287"/>
    <x v="166"/>
    <n v="4279"/>
    <x v="118"/>
    <s v="D 2A"/>
    <n v="91"/>
    <n v="9151"/>
    <x v="682"/>
    <s v="Annual"/>
    <n v="8"/>
    <n v="1"/>
    <n v="120564"/>
    <n v="964512"/>
  </r>
  <r>
    <x v="0"/>
    <n v="57"/>
    <x v="22"/>
    <x v="0"/>
    <x v="0"/>
    <n v="1005"/>
    <x v="23"/>
    <x v="20"/>
    <x v="39"/>
    <n v="3287"/>
    <x v="166"/>
    <n v="4279"/>
    <x v="118"/>
    <s v="D 2A"/>
    <n v="91"/>
    <n v="9151"/>
    <x v="682"/>
    <s v="Annual"/>
    <n v="2"/>
    <n v="1"/>
    <n v="93942"/>
    <n v="187884"/>
  </r>
  <r>
    <x v="0"/>
    <n v="57"/>
    <x v="22"/>
    <x v="0"/>
    <x v="0"/>
    <n v="1005"/>
    <x v="23"/>
    <x v="20"/>
    <x v="39"/>
    <n v="3287"/>
    <x v="166"/>
    <n v="4279"/>
    <x v="118"/>
    <s v="B 16"/>
    <n v="3"/>
    <n v="9117"/>
    <x v="674"/>
    <s v="Annual"/>
    <n v="2"/>
    <n v="1"/>
    <n v="90732"/>
    <n v="181464"/>
  </r>
  <r>
    <x v="0"/>
    <n v="57"/>
    <x v="22"/>
    <x v="0"/>
    <x v="0"/>
    <n v="1005"/>
    <x v="23"/>
    <x v="20"/>
    <x v="39"/>
    <n v="3287"/>
    <x v="166"/>
    <n v="4279"/>
    <x v="118"/>
    <s v="B 09"/>
    <n v="1"/>
    <n v="460"/>
    <x v="344"/>
    <s v="Annual"/>
    <n v="1"/>
    <n v="1"/>
    <n v="82140"/>
    <n v="82140"/>
  </r>
  <r>
    <x v="0"/>
    <n v="57"/>
    <x v="22"/>
    <x v="0"/>
    <x v="0"/>
    <n v="1005"/>
    <x v="23"/>
    <x v="20"/>
    <x v="39"/>
    <n v="3287"/>
    <x v="166"/>
    <n v="4279"/>
    <x v="118"/>
    <s v="B 08"/>
    <n v="1"/>
    <n v="459"/>
    <x v="679"/>
    <s v="Annual"/>
    <n v="2"/>
    <n v="1"/>
    <n v="43164"/>
    <n v="86328"/>
  </r>
  <r>
    <x v="0"/>
    <n v="57"/>
    <x v="22"/>
    <x v="0"/>
    <x v="0"/>
    <n v="1005"/>
    <x v="23"/>
    <x v="20"/>
    <x v="39"/>
    <n v="3287"/>
    <x v="166"/>
    <n v="4279"/>
    <x v="118"/>
    <s v="1 00"/>
    <n v="0"/>
    <n v="15"/>
    <x v="37"/>
    <s v="Annual"/>
    <n v="0"/>
    <n v="0"/>
    <n v="14324"/>
    <n v="14324"/>
  </r>
  <r>
    <x v="0"/>
    <n v="57"/>
    <x v="22"/>
    <x v="0"/>
    <x v="0"/>
    <n v="1005"/>
    <x v="23"/>
    <x v="20"/>
    <x v="39"/>
    <n v="3287"/>
    <x v="166"/>
    <n v="4287"/>
    <x v="119"/>
    <s v="E 03"/>
    <n v="71"/>
    <n v="9171"/>
    <x v="651"/>
    <s v="Annual"/>
    <n v="2"/>
    <n v="1"/>
    <n v="147252"/>
    <n v="294504"/>
  </r>
  <r>
    <x v="0"/>
    <n v="57"/>
    <x v="22"/>
    <x v="0"/>
    <x v="0"/>
    <n v="1005"/>
    <x v="23"/>
    <x v="20"/>
    <x v="39"/>
    <n v="3287"/>
    <x v="166"/>
    <n v="4287"/>
    <x v="119"/>
    <s v="E 03"/>
    <n v="71"/>
    <n v="9171"/>
    <x v="651"/>
    <s v="Annual"/>
    <n v="1"/>
    <n v="1"/>
    <n v="142668"/>
    <n v="142668"/>
  </r>
  <r>
    <x v="0"/>
    <n v="57"/>
    <x v="22"/>
    <x v="0"/>
    <x v="0"/>
    <n v="1005"/>
    <x v="23"/>
    <x v="20"/>
    <x v="39"/>
    <n v="3287"/>
    <x v="166"/>
    <n v="4287"/>
    <x v="119"/>
    <s v="D 2B"/>
    <n v="91"/>
    <n v="9165"/>
    <x v="663"/>
    <s v="Annual"/>
    <n v="6"/>
    <n v="1"/>
    <n v="144792"/>
    <n v="868752"/>
  </r>
  <r>
    <x v="0"/>
    <n v="57"/>
    <x v="22"/>
    <x v="0"/>
    <x v="0"/>
    <n v="1005"/>
    <x v="23"/>
    <x v="20"/>
    <x v="39"/>
    <n v="3287"/>
    <x v="166"/>
    <n v="4287"/>
    <x v="119"/>
    <s v="D 2B"/>
    <n v="91"/>
    <n v="9165"/>
    <x v="663"/>
    <s v="Annual"/>
    <n v="5"/>
    <n v="1"/>
    <n v="140454"/>
    <n v="702270"/>
  </r>
  <r>
    <x v="0"/>
    <n v="57"/>
    <x v="22"/>
    <x v="0"/>
    <x v="0"/>
    <n v="1005"/>
    <x v="23"/>
    <x v="20"/>
    <x v="39"/>
    <n v="3287"/>
    <x v="166"/>
    <n v="4287"/>
    <x v="119"/>
    <s v="D 2B"/>
    <n v="91"/>
    <n v="9165"/>
    <x v="663"/>
    <s v="Annual"/>
    <n v="7"/>
    <n v="1"/>
    <n v="135816"/>
    <n v="950712"/>
  </r>
  <r>
    <x v="0"/>
    <n v="57"/>
    <x v="22"/>
    <x v="0"/>
    <x v="0"/>
    <n v="1005"/>
    <x v="23"/>
    <x v="20"/>
    <x v="39"/>
    <n v="3287"/>
    <x v="166"/>
    <n v="4287"/>
    <x v="119"/>
    <s v="D 2B"/>
    <n v="91"/>
    <n v="9165"/>
    <x v="663"/>
    <s v="Annual"/>
    <n v="3"/>
    <n v="1"/>
    <n v="131448"/>
    <n v="394344"/>
  </r>
  <r>
    <x v="0"/>
    <n v="57"/>
    <x v="22"/>
    <x v="0"/>
    <x v="0"/>
    <n v="1005"/>
    <x v="23"/>
    <x v="20"/>
    <x v="39"/>
    <n v="3287"/>
    <x v="166"/>
    <n v="4287"/>
    <x v="119"/>
    <s v="D 2B"/>
    <n v="91"/>
    <n v="9165"/>
    <x v="663"/>
    <s v="Annual"/>
    <n v="5"/>
    <n v="1"/>
    <n v="99426"/>
    <n v="497130"/>
  </r>
  <r>
    <x v="0"/>
    <n v="57"/>
    <x v="22"/>
    <x v="0"/>
    <x v="0"/>
    <n v="1005"/>
    <x v="23"/>
    <x v="20"/>
    <x v="39"/>
    <n v="3287"/>
    <x v="166"/>
    <n v="4287"/>
    <x v="119"/>
    <s v="D 01"/>
    <n v="91"/>
    <n v="9161"/>
    <x v="655"/>
    <s v="Annual"/>
    <n v="1"/>
    <n v="1"/>
    <n v="119154"/>
    <n v="119154"/>
  </r>
  <r>
    <x v="0"/>
    <n v="57"/>
    <x v="22"/>
    <x v="0"/>
    <x v="0"/>
    <n v="1005"/>
    <x v="23"/>
    <x v="20"/>
    <x v="39"/>
    <n v="3287"/>
    <x v="166"/>
    <n v="4287"/>
    <x v="119"/>
    <s v="1 00"/>
    <n v="0"/>
    <n v="15"/>
    <x v="37"/>
    <s v="Annual"/>
    <n v="0"/>
    <n v="0"/>
    <n v="13792"/>
    <n v="13792"/>
  </r>
  <r>
    <x v="0"/>
    <n v="57"/>
    <x v="22"/>
    <x v="0"/>
    <x v="0"/>
    <n v="1005"/>
    <x v="23"/>
    <x v="20"/>
    <x v="39"/>
    <n v="3287"/>
    <x v="166"/>
    <n v="4295"/>
    <x v="120"/>
    <s v="E 03"/>
    <n v="71"/>
    <n v="9171"/>
    <x v="651"/>
    <s v="Annual"/>
    <n v="2"/>
    <n v="1"/>
    <n v="152010"/>
    <n v="304020"/>
  </r>
  <r>
    <x v="0"/>
    <n v="57"/>
    <x v="22"/>
    <x v="0"/>
    <x v="0"/>
    <n v="1005"/>
    <x v="23"/>
    <x v="20"/>
    <x v="39"/>
    <n v="3287"/>
    <x v="166"/>
    <n v="4295"/>
    <x v="120"/>
    <s v="E 03"/>
    <n v="71"/>
    <n v="9171"/>
    <x v="651"/>
    <s v="Annual"/>
    <n v="1"/>
    <n v="1"/>
    <n v="147252"/>
    <n v="147252"/>
  </r>
  <r>
    <x v="0"/>
    <n v="57"/>
    <x v="22"/>
    <x v="0"/>
    <x v="0"/>
    <n v="1005"/>
    <x v="23"/>
    <x v="20"/>
    <x v="39"/>
    <n v="3287"/>
    <x v="166"/>
    <n v="4295"/>
    <x v="120"/>
    <s v="E 03"/>
    <n v="71"/>
    <n v="9171"/>
    <x v="651"/>
    <s v="Annual"/>
    <n v="4"/>
    <n v="1"/>
    <n v="138318"/>
    <n v="553272"/>
  </r>
  <r>
    <x v="0"/>
    <n v="57"/>
    <x v="22"/>
    <x v="0"/>
    <x v="0"/>
    <n v="1005"/>
    <x v="23"/>
    <x v="20"/>
    <x v="39"/>
    <n v="3287"/>
    <x v="166"/>
    <n v="4295"/>
    <x v="120"/>
    <s v="D 2B"/>
    <n v="91"/>
    <n v="9165"/>
    <x v="663"/>
    <s v="Annual"/>
    <n v="8"/>
    <n v="1"/>
    <n v="144792"/>
    <n v="1158336"/>
  </r>
  <r>
    <x v="0"/>
    <n v="57"/>
    <x v="22"/>
    <x v="0"/>
    <x v="0"/>
    <n v="1005"/>
    <x v="23"/>
    <x v="20"/>
    <x v="39"/>
    <n v="3287"/>
    <x v="166"/>
    <n v="4295"/>
    <x v="120"/>
    <s v="D 2B"/>
    <n v="91"/>
    <n v="9165"/>
    <x v="663"/>
    <s v="Annual"/>
    <n v="3"/>
    <n v="1"/>
    <n v="140454"/>
    <n v="421362"/>
  </r>
  <r>
    <x v="0"/>
    <n v="57"/>
    <x v="22"/>
    <x v="0"/>
    <x v="0"/>
    <n v="1005"/>
    <x v="23"/>
    <x v="20"/>
    <x v="39"/>
    <n v="3287"/>
    <x v="166"/>
    <n v="4295"/>
    <x v="120"/>
    <s v="D 2B"/>
    <n v="91"/>
    <n v="9165"/>
    <x v="663"/>
    <s v="Annual"/>
    <n v="3"/>
    <n v="1"/>
    <n v="135816"/>
    <n v="407448"/>
  </r>
  <r>
    <x v="0"/>
    <n v="57"/>
    <x v="22"/>
    <x v="0"/>
    <x v="0"/>
    <n v="1005"/>
    <x v="23"/>
    <x v="20"/>
    <x v="39"/>
    <n v="3287"/>
    <x v="166"/>
    <n v="4295"/>
    <x v="120"/>
    <s v="D 2B"/>
    <n v="91"/>
    <n v="9165"/>
    <x v="663"/>
    <s v="Annual"/>
    <n v="4"/>
    <n v="1"/>
    <n v="131448"/>
    <n v="525792"/>
  </r>
  <r>
    <x v="0"/>
    <n v="57"/>
    <x v="22"/>
    <x v="0"/>
    <x v="0"/>
    <n v="1005"/>
    <x v="23"/>
    <x v="20"/>
    <x v="39"/>
    <n v="3287"/>
    <x v="166"/>
    <n v="4295"/>
    <x v="120"/>
    <s v="D 2B"/>
    <n v="91"/>
    <n v="9165"/>
    <x v="663"/>
    <s v="Annual"/>
    <n v="14"/>
    <n v="1"/>
    <n v="99426"/>
    <n v="1391964"/>
  </r>
  <r>
    <x v="0"/>
    <n v="57"/>
    <x v="22"/>
    <x v="0"/>
    <x v="0"/>
    <n v="1005"/>
    <x v="23"/>
    <x v="20"/>
    <x v="39"/>
    <n v="3287"/>
    <x v="166"/>
    <n v="4295"/>
    <x v="120"/>
    <s v="D 01"/>
    <n v="91"/>
    <n v="9161"/>
    <x v="655"/>
    <s v="Annual"/>
    <n v="2"/>
    <n v="1"/>
    <n v="127146"/>
    <n v="254292"/>
  </r>
  <r>
    <x v="0"/>
    <n v="57"/>
    <x v="22"/>
    <x v="0"/>
    <x v="0"/>
    <n v="1005"/>
    <x v="23"/>
    <x v="20"/>
    <x v="39"/>
    <n v="3287"/>
    <x v="166"/>
    <n v="4295"/>
    <x v="120"/>
    <s v="D 01"/>
    <n v="91"/>
    <n v="9161"/>
    <x v="655"/>
    <s v="Annual"/>
    <n v="1"/>
    <n v="1"/>
    <n v="123576"/>
    <n v="123576"/>
  </r>
  <r>
    <x v="0"/>
    <n v="57"/>
    <x v="22"/>
    <x v="0"/>
    <x v="0"/>
    <n v="1005"/>
    <x v="23"/>
    <x v="20"/>
    <x v="39"/>
    <n v="3287"/>
    <x v="166"/>
    <n v="4295"/>
    <x v="120"/>
    <s v="D 01"/>
    <n v="91"/>
    <n v="9161"/>
    <x v="655"/>
    <s v="Annual"/>
    <n v="2"/>
    <n v="1"/>
    <n v="119154"/>
    <n v="238308"/>
  </r>
  <r>
    <x v="0"/>
    <n v="57"/>
    <x v="22"/>
    <x v="0"/>
    <x v="0"/>
    <n v="1005"/>
    <x v="23"/>
    <x v="20"/>
    <x v="39"/>
    <n v="3287"/>
    <x v="166"/>
    <n v="4295"/>
    <x v="120"/>
    <s v="D 01"/>
    <n v="91"/>
    <n v="9161"/>
    <x v="655"/>
    <s v="Annual"/>
    <n v="29"/>
    <n v="1"/>
    <n v="111252"/>
    <n v="3226308"/>
  </r>
  <r>
    <x v="0"/>
    <n v="57"/>
    <x v="22"/>
    <x v="0"/>
    <x v="0"/>
    <n v="1005"/>
    <x v="23"/>
    <x v="20"/>
    <x v="39"/>
    <n v="3287"/>
    <x v="166"/>
    <n v="4295"/>
    <x v="120"/>
    <s v="D 01"/>
    <n v="91"/>
    <n v="9161"/>
    <x v="655"/>
    <s v="Annual"/>
    <n v="1"/>
    <n v="1"/>
    <n v="63636"/>
    <n v="63636"/>
  </r>
  <r>
    <x v="0"/>
    <n v="57"/>
    <x v="22"/>
    <x v="0"/>
    <x v="0"/>
    <n v="1005"/>
    <x v="23"/>
    <x v="20"/>
    <x v="39"/>
    <n v="3287"/>
    <x v="166"/>
    <n v="4295"/>
    <x v="120"/>
    <s v="1 00"/>
    <n v="0"/>
    <n v="15"/>
    <x v="37"/>
    <s v="Annual"/>
    <n v="0"/>
    <n v="0"/>
    <n v="1590"/>
    <n v="1590"/>
  </r>
  <r>
    <x v="0"/>
    <n v="57"/>
    <x v="22"/>
    <x v="0"/>
    <x v="0"/>
    <n v="1005"/>
    <x v="23"/>
    <x v="20"/>
    <x v="39"/>
    <n v="3291"/>
    <x v="167"/>
    <n v="4306"/>
    <x v="121"/>
    <s v="X 42"/>
    <n v="9"/>
    <n v="9675"/>
    <x v="76"/>
    <s v="Annual"/>
    <n v="2"/>
    <n v="1"/>
    <n v="153000"/>
    <n v="306000"/>
  </r>
  <r>
    <x v="0"/>
    <n v="57"/>
    <x v="22"/>
    <x v="0"/>
    <x v="0"/>
    <n v="1005"/>
    <x v="23"/>
    <x v="20"/>
    <x v="39"/>
    <n v="3291"/>
    <x v="167"/>
    <n v="4306"/>
    <x v="121"/>
    <s v="G 07"/>
    <n v="4"/>
    <n v="9246"/>
    <x v="683"/>
    <s v="Annual"/>
    <n v="1"/>
    <n v="1"/>
    <n v="129636"/>
    <n v="129636"/>
  </r>
  <r>
    <x v="0"/>
    <n v="57"/>
    <x v="22"/>
    <x v="0"/>
    <x v="0"/>
    <n v="1005"/>
    <x v="23"/>
    <x v="20"/>
    <x v="39"/>
    <n v="3291"/>
    <x v="167"/>
    <n v="4306"/>
    <x v="121"/>
    <s v="G 07"/>
    <n v="4"/>
    <n v="9246"/>
    <x v="683"/>
    <s v="Annual"/>
    <n v="1"/>
    <n v="1"/>
    <n v="90144"/>
    <n v="90144"/>
  </r>
  <r>
    <x v="0"/>
    <n v="57"/>
    <x v="22"/>
    <x v="0"/>
    <x v="0"/>
    <n v="1005"/>
    <x v="23"/>
    <x v="20"/>
    <x v="39"/>
    <n v="3291"/>
    <x v="167"/>
    <n v="4306"/>
    <x v="121"/>
    <s v="GY 13"/>
    <n v="20"/>
    <n v="9234"/>
    <x v="684"/>
    <s v="Annual"/>
    <n v="2"/>
    <n v="1"/>
    <n v="135744"/>
    <n v="271488"/>
  </r>
  <r>
    <x v="0"/>
    <n v="57"/>
    <x v="22"/>
    <x v="0"/>
    <x v="0"/>
    <n v="1005"/>
    <x v="23"/>
    <x v="20"/>
    <x v="39"/>
    <n v="3291"/>
    <x v="167"/>
    <n v="4306"/>
    <x v="121"/>
    <s v="GY 13"/>
    <n v="20"/>
    <n v="9234"/>
    <x v="684"/>
    <s v="Annual"/>
    <n v="2"/>
    <n v="1"/>
    <n v="121320"/>
    <n v="242640"/>
  </r>
  <r>
    <x v="0"/>
    <n v="57"/>
    <x v="22"/>
    <x v="0"/>
    <x v="0"/>
    <n v="1005"/>
    <x v="23"/>
    <x v="20"/>
    <x v="39"/>
    <n v="3291"/>
    <x v="167"/>
    <n v="4306"/>
    <x v="121"/>
    <s v="X 42"/>
    <n v="0"/>
    <n v="9208"/>
    <x v="685"/>
    <s v="Annual"/>
    <n v="1"/>
    <n v="1"/>
    <n v="153000"/>
    <n v="153000"/>
  </r>
  <r>
    <x v="0"/>
    <n v="57"/>
    <x v="22"/>
    <x v="0"/>
    <x v="0"/>
    <n v="1005"/>
    <x v="23"/>
    <x v="20"/>
    <x v="39"/>
    <n v="3291"/>
    <x v="167"/>
    <n v="4306"/>
    <x v="121"/>
    <s v="D 2A"/>
    <n v="91"/>
    <n v="9206"/>
    <x v="686"/>
    <s v="Annual"/>
    <n v="50"/>
    <n v="1"/>
    <n v="137568"/>
    <n v="6878400"/>
  </r>
  <r>
    <x v="0"/>
    <n v="57"/>
    <x v="22"/>
    <x v="0"/>
    <x v="0"/>
    <n v="1005"/>
    <x v="23"/>
    <x v="20"/>
    <x v="39"/>
    <n v="3291"/>
    <x v="167"/>
    <n v="4306"/>
    <x v="121"/>
    <s v="D 2A"/>
    <n v="91"/>
    <n v="9206"/>
    <x v="686"/>
    <s v="Annual"/>
    <n v="39"/>
    <n v="1"/>
    <n v="133650"/>
    <n v="5212350"/>
  </r>
  <r>
    <x v="0"/>
    <n v="57"/>
    <x v="22"/>
    <x v="0"/>
    <x v="0"/>
    <n v="1005"/>
    <x v="23"/>
    <x v="20"/>
    <x v="39"/>
    <n v="3291"/>
    <x v="167"/>
    <n v="4306"/>
    <x v="121"/>
    <s v="D 2A"/>
    <n v="91"/>
    <n v="9206"/>
    <x v="686"/>
    <s v="Annual"/>
    <n v="23"/>
    <n v="1"/>
    <n v="128964"/>
    <n v="2966172"/>
  </r>
  <r>
    <x v="0"/>
    <n v="57"/>
    <x v="22"/>
    <x v="0"/>
    <x v="0"/>
    <n v="1005"/>
    <x v="23"/>
    <x v="20"/>
    <x v="39"/>
    <n v="3291"/>
    <x v="167"/>
    <n v="4306"/>
    <x v="121"/>
    <s v="D 2A"/>
    <n v="91"/>
    <n v="9206"/>
    <x v="686"/>
    <s v="Annual"/>
    <n v="2"/>
    <n v="1"/>
    <n v="124578"/>
    <n v="249156"/>
  </r>
  <r>
    <x v="0"/>
    <n v="57"/>
    <x v="22"/>
    <x v="0"/>
    <x v="0"/>
    <n v="1005"/>
    <x v="23"/>
    <x v="20"/>
    <x v="39"/>
    <n v="3291"/>
    <x v="167"/>
    <n v="4306"/>
    <x v="121"/>
    <s v="D 2A"/>
    <n v="91"/>
    <n v="9206"/>
    <x v="686"/>
    <s v="Annual"/>
    <n v="9"/>
    <n v="1"/>
    <n v="120564"/>
    <n v="1085076"/>
  </r>
  <r>
    <x v="0"/>
    <n v="57"/>
    <x v="22"/>
    <x v="0"/>
    <x v="0"/>
    <n v="1005"/>
    <x v="23"/>
    <x v="20"/>
    <x v="39"/>
    <n v="3291"/>
    <x v="167"/>
    <n v="4306"/>
    <x v="121"/>
    <s v="D 2A"/>
    <n v="91"/>
    <n v="9206"/>
    <x v="686"/>
    <s v="Annual"/>
    <n v="19"/>
    <n v="1"/>
    <n v="93942"/>
    <n v="1784898"/>
  </r>
  <r>
    <x v="0"/>
    <n v="57"/>
    <x v="22"/>
    <x v="0"/>
    <x v="0"/>
    <n v="1005"/>
    <x v="23"/>
    <x v="20"/>
    <x v="39"/>
    <n v="3291"/>
    <x v="167"/>
    <n v="4306"/>
    <x v="121"/>
    <s v="D 03"/>
    <n v="91"/>
    <n v="9201"/>
    <x v="687"/>
    <s v="Annual"/>
    <n v="2"/>
    <n v="1"/>
    <n v="152010"/>
    <n v="304020"/>
  </r>
  <r>
    <x v="0"/>
    <n v="57"/>
    <x v="22"/>
    <x v="0"/>
    <x v="0"/>
    <n v="1005"/>
    <x v="23"/>
    <x v="20"/>
    <x v="39"/>
    <n v="3291"/>
    <x v="167"/>
    <n v="4306"/>
    <x v="121"/>
    <s v="E 04"/>
    <n v="73"/>
    <n v="9173"/>
    <x v="662"/>
    <s v="Annual"/>
    <n v="1"/>
    <n v="1"/>
    <n v="170700"/>
    <n v="170700"/>
  </r>
  <r>
    <x v="0"/>
    <n v="57"/>
    <x v="22"/>
    <x v="0"/>
    <x v="0"/>
    <n v="1005"/>
    <x v="23"/>
    <x v="20"/>
    <x v="39"/>
    <n v="3291"/>
    <x v="167"/>
    <n v="4306"/>
    <x v="121"/>
    <s v="E 04"/>
    <n v="73"/>
    <n v="9173"/>
    <x v="662"/>
    <s v="Annual"/>
    <n v="1"/>
    <n v="1"/>
    <n v="160746"/>
    <n v="160746"/>
  </r>
  <r>
    <x v="0"/>
    <n v="57"/>
    <x v="22"/>
    <x v="0"/>
    <x v="0"/>
    <n v="1005"/>
    <x v="23"/>
    <x v="20"/>
    <x v="39"/>
    <n v="3291"/>
    <x v="167"/>
    <n v="4306"/>
    <x v="121"/>
    <s v="E 03"/>
    <n v="71"/>
    <n v="9171"/>
    <x v="651"/>
    <s v="Annual"/>
    <n v="8"/>
    <n v="1"/>
    <n v="152010"/>
    <n v="1216080"/>
  </r>
  <r>
    <x v="0"/>
    <n v="57"/>
    <x v="22"/>
    <x v="0"/>
    <x v="0"/>
    <n v="1005"/>
    <x v="23"/>
    <x v="20"/>
    <x v="39"/>
    <n v="3291"/>
    <x v="167"/>
    <n v="4306"/>
    <x v="121"/>
    <s v="E 03"/>
    <n v="71"/>
    <n v="9171"/>
    <x v="651"/>
    <s v="Annual"/>
    <n v="6"/>
    <n v="1"/>
    <n v="147252"/>
    <n v="883512"/>
  </r>
  <r>
    <x v="0"/>
    <n v="57"/>
    <x v="22"/>
    <x v="0"/>
    <x v="0"/>
    <n v="1005"/>
    <x v="23"/>
    <x v="20"/>
    <x v="39"/>
    <n v="3291"/>
    <x v="167"/>
    <n v="4306"/>
    <x v="121"/>
    <s v="E 03"/>
    <n v="71"/>
    <n v="9171"/>
    <x v="651"/>
    <s v="Annual"/>
    <n v="1"/>
    <n v="1"/>
    <n v="142668"/>
    <n v="142668"/>
  </r>
  <r>
    <x v="0"/>
    <n v="57"/>
    <x v="22"/>
    <x v="0"/>
    <x v="0"/>
    <n v="1005"/>
    <x v="23"/>
    <x v="20"/>
    <x v="39"/>
    <n v="3291"/>
    <x v="167"/>
    <n v="4306"/>
    <x v="121"/>
    <s v="E 03"/>
    <n v="71"/>
    <n v="9171"/>
    <x v="651"/>
    <s v="Annual"/>
    <n v="1"/>
    <n v="1"/>
    <n v="138318"/>
    <n v="138318"/>
  </r>
  <r>
    <x v="0"/>
    <n v="57"/>
    <x v="22"/>
    <x v="0"/>
    <x v="0"/>
    <n v="1005"/>
    <x v="23"/>
    <x v="20"/>
    <x v="39"/>
    <n v="3291"/>
    <x v="167"/>
    <n v="4306"/>
    <x v="121"/>
    <s v="D 03"/>
    <n v="91"/>
    <n v="9166"/>
    <x v="688"/>
    <s v="Annual"/>
    <n v="2"/>
    <n v="1"/>
    <n v="138318"/>
    <n v="276636"/>
  </r>
  <r>
    <x v="0"/>
    <n v="57"/>
    <x v="22"/>
    <x v="0"/>
    <x v="0"/>
    <n v="1005"/>
    <x v="23"/>
    <x v="20"/>
    <x v="39"/>
    <n v="3291"/>
    <x v="167"/>
    <n v="4306"/>
    <x v="121"/>
    <s v="D 02"/>
    <n v="91"/>
    <n v="9163"/>
    <x v="689"/>
    <s v="Annual"/>
    <n v="2"/>
    <n v="1"/>
    <n v="129774"/>
    <n v="259548"/>
  </r>
  <r>
    <x v="0"/>
    <n v="57"/>
    <x v="22"/>
    <x v="0"/>
    <x v="0"/>
    <n v="1005"/>
    <x v="23"/>
    <x v="20"/>
    <x v="39"/>
    <n v="3291"/>
    <x v="167"/>
    <n v="4306"/>
    <x v="121"/>
    <s v="D 02"/>
    <n v="91"/>
    <n v="9163"/>
    <x v="689"/>
    <s v="Annual"/>
    <n v="1"/>
    <n v="1"/>
    <n v="125112"/>
    <n v="125112"/>
  </r>
  <r>
    <x v="0"/>
    <n v="57"/>
    <x v="22"/>
    <x v="0"/>
    <x v="0"/>
    <n v="1005"/>
    <x v="23"/>
    <x v="20"/>
    <x v="39"/>
    <n v="3291"/>
    <x v="167"/>
    <n v="4306"/>
    <x v="121"/>
    <s v="D 02"/>
    <n v="91"/>
    <n v="9163"/>
    <x v="689"/>
    <s v="Annual"/>
    <n v="2"/>
    <n v="1"/>
    <n v="120900"/>
    <n v="241800"/>
  </r>
  <r>
    <x v="0"/>
    <n v="57"/>
    <x v="22"/>
    <x v="0"/>
    <x v="0"/>
    <n v="1005"/>
    <x v="23"/>
    <x v="20"/>
    <x v="39"/>
    <n v="3291"/>
    <x v="167"/>
    <n v="4306"/>
    <x v="121"/>
    <s v="D 02"/>
    <n v="91"/>
    <n v="9163"/>
    <x v="689"/>
    <s v="Annual"/>
    <n v="13"/>
    <n v="1"/>
    <n v="116856"/>
    <n v="1519128"/>
  </r>
  <r>
    <x v="0"/>
    <n v="57"/>
    <x v="22"/>
    <x v="0"/>
    <x v="0"/>
    <n v="1005"/>
    <x v="23"/>
    <x v="20"/>
    <x v="39"/>
    <n v="3291"/>
    <x v="167"/>
    <n v="4306"/>
    <x v="121"/>
    <s v="D 02"/>
    <n v="91"/>
    <n v="9163"/>
    <x v="689"/>
    <s v="Annual"/>
    <n v="2"/>
    <n v="1"/>
    <n v="90816"/>
    <n v="181632"/>
  </r>
  <r>
    <x v="0"/>
    <n v="57"/>
    <x v="22"/>
    <x v="0"/>
    <x v="0"/>
    <n v="1005"/>
    <x v="23"/>
    <x v="20"/>
    <x v="39"/>
    <n v="3291"/>
    <x v="167"/>
    <n v="4306"/>
    <x v="121"/>
    <s v="D 01"/>
    <n v="91"/>
    <n v="9161"/>
    <x v="655"/>
    <s v="Annual"/>
    <n v="1"/>
    <n v="1"/>
    <n v="127146"/>
    <n v="127146"/>
  </r>
  <r>
    <x v="0"/>
    <n v="57"/>
    <x v="22"/>
    <x v="0"/>
    <x v="0"/>
    <n v="1005"/>
    <x v="23"/>
    <x v="20"/>
    <x v="39"/>
    <n v="3291"/>
    <x v="167"/>
    <n v="4306"/>
    <x v="121"/>
    <s v="D 01"/>
    <n v="91"/>
    <n v="9161"/>
    <x v="655"/>
    <s v="Annual"/>
    <n v="1"/>
    <n v="1"/>
    <n v="119154"/>
    <n v="119154"/>
  </r>
  <r>
    <x v="0"/>
    <n v="57"/>
    <x v="22"/>
    <x v="0"/>
    <x v="0"/>
    <n v="1005"/>
    <x v="23"/>
    <x v="20"/>
    <x v="39"/>
    <n v="3291"/>
    <x v="167"/>
    <n v="4306"/>
    <x v="121"/>
    <s v="D 01"/>
    <n v="91"/>
    <n v="9161"/>
    <x v="655"/>
    <s v="Annual"/>
    <n v="3"/>
    <n v="1"/>
    <n v="111252"/>
    <n v="333756"/>
  </r>
  <r>
    <x v="0"/>
    <n v="57"/>
    <x v="22"/>
    <x v="0"/>
    <x v="0"/>
    <n v="1005"/>
    <x v="23"/>
    <x v="20"/>
    <x v="39"/>
    <n v="3291"/>
    <x v="167"/>
    <n v="4306"/>
    <x v="121"/>
    <s v="4 00"/>
    <n v="0"/>
    <n v="9108"/>
    <x v="690"/>
    <s v="Hourly"/>
    <n v="12380"/>
    <n v="0"/>
    <n v="18.920000000000002"/>
    <n v="234230"/>
  </r>
  <r>
    <x v="0"/>
    <n v="57"/>
    <x v="22"/>
    <x v="0"/>
    <x v="0"/>
    <n v="1005"/>
    <x v="23"/>
    <x v="20"/>
    <x v="39"/>
    <n v="3291"/>
    <x v="167"/>
    <n v="4306"/>
    <x v="121"/>
    <s v="B 10"/>
    <n v="1"/>
    <n v="4238"/>
    <x v="610"/>
    <s v="Annual"/>
    <n v="1"/>
    <n v="1"/>
    <n v="90144"/>
    <n v="90144"/>
  </r>
  <r>
    <x v="0"/>
    <n v="57"/>
    <x v="22"/>
    <x v="0"/>
    <x v="0"/>
    <n v="1005"/>
    <x v="23"/>
    <x v="20"/>
    <x v="39"/>
    <n v="3291"/>
    <x v="167"/>
    <n v="4306"/>
    <x v="121"/>
    <s v="G 05"/>
    <n v="4"/>
    <n v="2921"/>
    <x v="691"/>
    <s v="Annual"/>
    <n v="1"/>
    <n v="1"/>
    <n v="74160"/>
    <n v="74160"/>
  </r>
  <r>
    <x v="0"/>
    <n v="57"/>
    <x v="22"/>
    <x v="0"/>
    <x v="0"/>
    <n v="1005"/>
    <x v="23"/>
    <x v="20"/>
    <x v="39"/>
    <n v="3291"/>
    <x v="167"/>
    <n v="4306"/>
    <x v="121"/>
    <s v="G 06"/>
    <n v="4"/>
    <n v="1142"/>
    <x v="624"/>
    <s v="Annual"/>
    <n v="1"/>
    <n v="1"/>
    <n v="81636"/>
    <n v="81636"/>
  </r>
  <r>
    <x v="0"/>
    <n v="57"/>
    <x v="22"/>
    <x v="0"/>
    <x v="0"/>
    <n v="1005"/>
    <x v="23"/>
    <x v="20"/>
    <x v="39"/>
    <n v="3291"/>
    <x v="167"/>
    <n v="4306"/>
    <x v="121"/>
    <s v="B 09"/>
    <n v="1"/>
    <n v="460"/>
    <x v="344"/>
    <s v="Annual"/>
    <n v="1"/>
    <n v="1"/>
    <n v="82140"/>
    <n v="82140"/>
  </r>
  <r>
    <x v="0"/>
    <n v="57"/>
    <x v="22"/>
    <x v="0"/>
    <x v="0"/>
    <n v="1005"/>
    <x v="23"/>
    <x v="20"/>
    <x v="39"/>
    <n v="3291"/>
    <x v="167"/>
    <n v="4306"/>
    <x v="121"/>
    <s v="1 00"/>
    <n v="0"/>
    <n v="15"/>
    <x v="37"/>
    <s v="Annual"/>
    <n v="0"/>
    <n v="0"/>
    <n v="72997"/>
    <n v="72997"/>
  </r>
  <r>
    <x v="0"/>
    <n v="57"/>
    <x v="22"/>
    <x v="0"/>
    <x v="0"/>
    <n v="1005"/>
    <x v="23"/>
    <x v="20"/>
    <x v="39"/>
    <n v="3291"/>
    <x v="167"/>
    <n v="4307"/>
    <x v="122"/>
    <s v="E 04"/>
    <n v="73"/>
    <n v="9173"/>
    <x v="662"/>
    <s v="Annual"/>
    <n v="1"/>
    <n v="1"/>
    <n v="170700"/>
    <n v="170700"/>
  </r>
  <r>
    <x v="0"/>
    <n v="57"/>
    <x v="22"/>
    <x v="0"/>
    <x v="0"/>
    <n v="1005"/>
    <x v="23"/>
    <x v="20"/>
    <x v="39"/>
    <n v="3291"/>
    <x v="167"/>
    <n v="4307"/>
    <x v="122"/>
    <s v="E 03"/>
    <n v="71"/>
    <n v="9171"/>
    <x v="651"/>
    <s v="Annual"/>
    <n v="1"/>
    <n v="1"/>
    <n v="152010"/>
    <n v="152010"/>
  </r>
  <r>
    <x v="0"/>
    <n v="57"/>
    <x v="22"/>
    <x v="0"/>
    <x v="0"/>
    <n v="1005"/>
    <x v="23"/>
    <x v="20"/>
    <x v="39"/>
    <n v="3291"/>
    <x v="167"/>
    <n v="4307"/>
    <x v="122"/>
    <s v="E 03"/>
    <n v="71"/>
    <n v="9171"/>
    <x v="651"/>
    <s v="Annual"/>
    <n v="1"/>
    <n v="1"/>
    <n v="147252"/>
    <n v="147252"/>
  </r>
  <r>
    <x v="0"/>
    <n v="57"/>
    <x v="22"/>
    <x v="0"/>
    <x v="0"/>
    <n v="1005"/>
    <x v="23"/>
    <x v="20"/>
    <x v="39"/>
    <n v="3291"/>
    <x v="167"/>
    <n v="4307"/>
    <x v="122"/>
    <s v="E 03"/>
    <n v="71"/>
    <n v="9171"/>
    <x v="651"/>
    <s v="Annual"/>
    <n v="2"/>
    <n v="1"/>
    <n v="138318"/>
    <n v="276636"/>
  </r>
  <r>
    <x v="0"/>
    <n v="57"/>
    <x v="22"/>
    <x v="0"/>
    <x v="0"/>
    <n v="1005"/>
    <x v="23"/>
    <x v="20"/>
    <x v="39"/>
    <n v="3291"/>
    <x v="167"/>
    <n v="4307"/>
    <x v="122"/>
    <s v="D 01"/>
    <n v="91"/>
    <n v="9161"/>
    <x v="655"/>
    <s v="Annual"/>
    <n v="1"/>
    <n v="1"/>
    <n v="123576"/>
    <n v="123576"/>
  </r>
  <r>
    <x v="0"/>
    <n v="57"/>
    <x v="22"/>
    <x v="0"/>
    <x v="0"/>
    <n v="1005"/>
    <x v="23"/>
    <x v="20"/>
    <x v="39"/>
    <n v="3291"/>
    <x v="167"/>
    <n v="4307"/>
    <x v="122"/>
    <s v="D 01"/>
    <n v="91"/>
    <n v="9161"/>
    <x v="655"/>
    <s v="Annual"/>
    <n v="5"/>
    <n v="1"/>
    <n v="111252"/>
    <n v="556260"/>
  </r>
  <r>
    <x v="0"/>
    <n v="57"/>
    <x v="22"/>
    <x v="0"/>
    <x v="0"/>
    <n v="1005"/>
    <x v="23"/>
    <x v="20"/>
    <x v="39"/>
    <n v="3291"/>
    <x v="167"/>
    <n v="4307"/>
    <x v="122"/>
    <s v="BX 16"/>
    <n v="10"/>
    <n v="9118"/>
    <x v="692"/>
    <s v="Annual"/>
    <n v="1"/>
    <n v="1"/>
    <n v="83052"/>
    <n v="83052"/>
  </r>
  <r>
    <x v="0"/>
    <n v="57"/>
    <x v="22"/>
    <x v="0"/>
    <x v="0"/>
    <n v="1005"/>
    <x v="23"/>
    <x v="20"/>
    <x v="39"/>
    <n v="3291"/>
    <x v="167"/>
    <n v="4307"/>
    <x v="122"/>
    <s v="B 11"/>
    <n v="1"/>
    <n v="4239"/>
    <x v="693"/>
    <s v="Annual"/>
    <n v="1"/>
    <n v="1"/>
    <n v="94452"/>
    <n v="94452"/>
  </r>
  <r>
    <x v="0"/>
    <n v="57"/>
    <x v="22"/>
    <x v="0"/>
    <x v="0"/>
    <n v="1005"/>
    <x v="23"/>
    <x v="20"/>
    <x v="39"/>
    <n v="3291"/>
    <x v="167"/>
    <n v="4307"/>
    <x v="122"/>
    <s v="B 10"/>
    <n v="1"/>
    <n v="4238"/>
    <x v="610"/>
    <s v="Annual"/>
    <n v="3"/>
    <n v="1"/>
    <n v="90144"/>
    <n v="270432"/>
  </r>
  <r>
    <x v="0"/>
    <n v="57"/>
    <x v="22"/>
    <x v="0"/>
    <x v="0"/>
    <n v="1005"/>
    <x v="23"/>
    <x v="20"/>
    <x v="39"/>
    <n v="3291"/>
    <x v="167"/>
    <n v="4307"/>
    <x v="122"/>
    <s v="B 10"/>
    <n v="1"/>
    <n v="4238"/>
    <x v="610"/>
    <s v="Annual"/>
    <n v="1"/>
    <n v="1"/>
    <n v="86112"/>
    <n v="86112"/>
  </r>
  <r>
    <x v="0"/>
    <n v="57"/>
    <x v="22"/>
    <x v="0"/>
    <x v="0"/>
    <n v="1005"/>
    <x v="23"/>
    <x v="20"/>
    <x v="39"/>
    <n v="3291"/>
    <x v="167"/>
    <n v="4307"/>
    <x v="122"/>
    <s v="B 10"/>
    <n v="1"/>
    <n v="4238"/>
    <x v="610"/>
    <s v="Annual"/>
    <n v="2"/>
    <n v="1"/>
    <n v="71436"/>
    <n v="142872"/>
  </r>
  <r>
    <x v="0"/>
    <n v="57"/>
    <x v="22"/>
    <x v="0"/>
    <x v="0"/>
    <n v="1005"/>
    <x v="23"/>
    <x v="20"/>
    <x v="39"/>
    <n v="3291"/>
    <x v="167"/>
    <n v="4307"/>
    <x v="122"/>
    <s v="B 10"/>
    <n v="1"/>
    <n v="4238"/>
    <x v="610"/>
    <s v="Annual"/>
    <n v="5"/>
    <n v="1"/>
    <n v="68256"/>
    <n v="341280"/>
  </r>
  <r>
    <x v="0"/>
    <n v="57"/>
    <x v="22"/>
    <x v="0"/>
    <x v="0"/>
    <n v="1005"/>
    <x v="23"/>
    <x v="20"/>
    <x v="39"/>
    <n v="3291"/>
    <x v="167"/>
    <n v="4307"/>
    <x v="122"/>
    <s v="B 10"/>
    <n v="1"/>
    <n v="4238"/>
    <x v="610"/>
    <s v="Annual"/>
    <n v="1"/>
    <n v="1"/>
    <n v="56124"/>
    <n v="56124"/>
  </r>
  <r>
    <x v="0"/>
    <n v="57"/>
    <x v="22"/>
    <x v="0"/>
    <x v="0"/>
    <n v="1005"/>
    <x v="23"/>
    <x v="20"/>
    <x v="39"/>
    <n v="3291"/>
    <x v="167"/>
    <n v="4307"/>
    <x v="122"/>
    <s v="1 00"/>
    <n v="0"/>
    <n v="15"/>
    <x v="37"/>
    <s v="Annual"/>
    <n v="0"/>
    <n v="0"/>
    <n v="6446"/>
    <n v="6446"/>
  </r>
  <r>
    <x v="0"/>
    <n v="57"/>
    <x v="22"/>
    <x v="0"/>
    <x v="0"/>
    <n v="1005"/>
    <x v="23"/>
    <x v="20"/>
    <x v="39"/>
    <n v="3294"/>
    <x v="168"/>
    <n v="0"/>
    <x v="0"/>
    <s v="3 00"/>
    <n v="99"/>
    <n v="9752"/>
    <x v="647"/>
    <s v="Annual"/>
    <n v="1"/>
    <n v="1"/>
    <n v="192240"/>
    <n v="192240"/>
  </r>
  <r>
    <x v="0"/>
    <n v="57"/>
    <x v="22"/>
    <x v="0"/>
    <x v="0"/>
    <n v="1005"/>
    <x v="23"/>
    <x v="20"/>
    <x v="39"/>
    <n v="3294"/>
    <x v="168"/>
    <n v="0"/>
    <x v="0"/>
    <s v="E 04"/>
    <n v="73"/>
    <n v="9173"/>
    <x v="662"/>
    <s v="Annual"/>
    <n v="1"/>
    <n v="1"/>
    <n v="160746"/>
    <n v="160746"/>
  </r>
  <r>
    <x v="0"/>
    <n v="57"/>
    <x v="22"/>
    <x v="0"/>
    <x v="0"/>
    <n v="1005"/>
    <x v="23"/>
    <x v="20"/>
    <x v="39"/>
    <n v="3294"/>
    <x v="168"/>
    <n v="0"/>
    <x v="0"/>
    <s v="E 03"/>
    <n v="71"/>
    <n v="9171"/>
    <x v="651"/>
    <s v="Annual"/>
    <n v="2"/>
    <n v="1"/>
    <n v="147252"/>
    <n v="294504"/>
  </r>
  <r>
    <x v="0"/>
    <n v="57"/>
    <x v="22"/>
    <x v="0"/>
    <x v="0"/>
    <n v="1005"/>
    <x v="23"/>
    <x v="20"/>
    <x v="39"/>
    <n v="3294"/>
    <x v="168"/>
    <n v="0"/>
    <x v="0"/>
    <s v="E 03"/>
    <n v="71"/>
    <n v="9171"/>
    <x v="651"/>
    <s v="Annual"/>
    <n v="1"/>
    <n v="1"/>
    <n v="138318"/>
    <n v="138318"/>
  </r>
  <r>
    <x v="0"/>
    <n v="57"/>
    <x v="22"/>
    <x v="0"/>
    <x v="0"/>
    <n v="1005"/>
    <x v="23"/>
    <x v="20"/>
    <x v="39"/>
    <n v="3294"/>
    <x v="168"/>
    <n v="0"/>
    <x v="0"/>
    <s v="D 2B"/>
    <n v="91"/>
    <n v="9165"/>
    <x v="663"/>
    <s v="Annual"/>
    <n v="5"/>
    <n v="1"/>
    <n v="144792"/>
    <n v="723960"/>
  </r>
  <r>
    <x v="0"/>
    <n v="57"/>
    <x v="22"/>
    <x v="0"/>
    <x v="0"/>
    <n v="1005"/>
    <x v="23"/>
    <x v="20"/>
    <x v="39"/>
    <n v="3294"/>
    <x v="168"/>
    <n v="0"/>
    <x v="0"/>
    <s v="D 2B"/>
    <n v="91"/>
    <n v="9165"/>
    <x v="663"/>
    <s v="Annual"/>
    <n v="3"/>
    <n v="1"/>
    <n v="140454"/>
    <n v="421362"/>
  </r>
  <r>
    <x v="0"/>
    <n v="57"/>
    <x v="22"/>
    <x v="0"/>
    <x v="0"/>
    <n v="1005"/>
    <x v="23"/>
    <x v="20"/>
    <x v="39"/>
    <n v="3294"/>
    <x v="168"/>
    <n v="0"/>
    <x v="0"/>
    <s v="D 2B"/>
    <n v="91"/>
    <n v="9165"/>
    <x v="663"/>
    <s v="Annual"/>
    <n v="4"/>
    <n v="1"/>
    <n v="135816"/>
    <n v="543264"/>
  </r>
  <r>
    <x v="0"/>
    <n v="57"/>
    <x v="22"/>
    <x v="0"/>
    <x v="0"/>
    <n v="1005"/>
    <x v="23"/>
    <x v="20"/>
    <x v="39"/>
    <n v="3294"/>
    <x v="168"/>
    <n v="0"/>
    <x v="0"/>
    <s v="D 2B"/>
    <n v="91"/>
    <n v="9165"/>
    <x v="663"/>
    <s v="Annual"/>
    <n v="6"/>
    <n v="1"/>
    <n v="131448"/>
    <n v="788688"/>
  </r>
  <r>
    <x v="0"/>
    <n v="57"/>
    <x v="22"/>
    <x v="0"/>
    <x v="0"/>
    <n v="1005"/>
    <x v="23"/>
    <x v="20"/>
    <x v="39"/>
    <n v="3294"/>
    <x v="168"/>
    <n v="0"/>
    <x v="0"/>
    <s v="D 2B"/>
    <n v="91"/>
    <n v="9165"/>
    <x v="663"/>
    <s v="Annual"/>
    <n v="2"/>
    <n v="1"/>
    <n v="127230"/>
    <n v="254460"/>
  </r>
  <r>
    <x v="0"/>
    <n v="57"/>
    <x v="22"/>
    <x v="0"/>
    <x v="0"/>
    <n v="1005"/>
    <x v="23"/>
    <x v="20"/>
    <x v="39"/>
    <n v="3294"/>
    <x v="168"/>
    <n v="0"/>
    <x v="0"/>
    <s v="D 2B"/>
    <n v="91"/>
    <n v="9165"/>
    <x v="663"/>
    <s v="Annual"/>
    <n v="6"/>
    <n v="1"/>
    <n v="99426"/>
    <n v="596556"/>
  </r>
  <r>
    <x v="0"/>
    <n v="57"/>
    <x v="22"/>
    <x v="0"/>
    <x v="0"/>
    <n v="1005"/>
    <x v="23"/>
    <x v="20"/>
    <x v="39"/>
    <n v="3294"/>
    <x v="168"/>
    <n v="0"/>
    <x v="0"/>
    <s v="1 00"/>
    <n v="0"/>
    <n v="15"/>
    <x v="37"/>
    <s v="Annual"/>
    <n v="0"/>
    <n v="0"/>
    <n v="10790"/>
    <n v="10790"/>
  </r>
  <r>
    <x v="0"/>
    <n v="57"/>
    <x v="22"/>
    <x v="0"/>
    <x v="0"/>
    <n v="1005"/>
    <x v="23"/>
    <x v="21"/>
    <x v="40"/>
    <n v="3330"/>
    <x v="169"/>
    <n v="0"/>
    <x v="0"/>
    <s v="1 00"/>
    <n v="99"/>
    <n v="9796"/>
    <x v="659"/>
    <s v="Annual"/>
    <n v="1"/>
    <n v="1"/>
    <n v="201048"/>
    <n v="201048"/>
  </r>
  <r>
    <x v="0"/>
    <n v="57"/>
    <x v="22"/>
    <x v="0"/>
    <x v="0"/>
    <n v="1005"/>
    <x v="23"/>
    <x v="21"/>
    <x v="40"/>
    <n v="3330"/>
    <x v="169"/>
    <n v="0"/>
    <x v="0"/>
    <s v="1 00"/>
    <n v="99"/>
    <n v="9785"/>
    <x v="660"/>
    <s v="Annual"/>
    <n v="1"/>
    <n v="1"/>
    <n v="219048"/>
    <n v="219048"/>
  </r>
  <r>
    <x v="0"/>
    <n v="57"/>
    <x v="22"/>
    <x v="0"/>
    <x v="0"/>
    <n v="1005"/>
    <x v="23"/>
    <x v="21"/>
    <x v="40"/>
    <n v="3330"/>
    <x v="169"/>
    <n v="0"/>
    <x v="0"/>
    <s v="3 00"/>
    <n v="99"/>
    <n v="9752"/>
    <x v="647"/>
    <s v="Annual"/>
    <n v="1"/>
    <n v="1"/>
    <n v="192240"/>
    <n v="192240"/>
  </r>
  <r>
    <x v="0"/>
    <n v="57"/>
    <x v="22"/>
    <x v="0"/>
    <x v="0"/>
    <n v="1005"/>
    <x v="23"/>
    <x v="21"/>
    <x v="40"/>
    <n v="3330"/>
    <x v="169"/>
    <n v="0"/>
    <x v="0"/>
    <s v="E 04"/>
    <n v="73"/>
    <n v="9173"/>
    <x v="662"/>
    <s v="Annual"/>
    <n v="1"/>
    <n v="1"/>
    <n v="165624"/>
    <n v="165624"/>
  </r>
  <r>
    <x v="0"/>
    <n v="57"/>
    <x v="22"/>
    <x v="0"/>
    <x v="0"/>
    <n v="1005"/>
    <x v="23"/>
    <x v="21"/>
    <x v="40"/>
    <n v="3330"/>
    <x v="169"/>
    <n v="0"/>
    <x v="0"/>
    <s v="E 03"/>
    <n v="71"/>
    <n v="9171"/>
    <x v="651"/>
    <s v="Annual"/>
    <n v="1"/>
    <n v="1"/>
    <n v="147252"/>
    <n v="147252"/>
  </r>
  <r>
    <x v="0"/>
    <n v="57"/>
    <x v="22"/>
    <x v="0"/>
    <x v="0"/>
    <n v="1005"/>
    <x v="23"/>
    <x v="21"/>
    <x v="40"/>
    <n v="3330"/>
    <x v="169"/>
    <n v="0"/>
    <x v="0"/>
    <s v="D 01"/>
    <n v="91"/>
    <n v="9161"/>
    <x v="655"/>
    <s v="Annual"/>
    <n v="1"/>
    <n v="1"/>
    <n v="119154"/>
    <n v="119154"/>
  </r>
  <r>
    <x v="0"/>
    <n v="57"/>
    <x v="22"/>
    <x v="0"/>
    <x v="0"/>
    <n v="1005"/>
    <x v="23"/>
    <x v="21"/>
    <x v="40"/>
    <n v="3330"/>
    <x v="169"/>
    <n v="0"/>
    <x v="0"/>
    <s v="D 01"/>
    <n v="91"/>
    <n v="9161"/>
    <x v="655"/>
    <s v="Annual"/>
    <n v="1"/>
    <n v="1"/>
    <n v="115158"/>
    <n v="115158"/>
  </r>
  <r>
    <x v="0"/>
    <n v="57"/>
    <x v="22"/>
    <x v="0"/>
    <x v="0"/>
    <n v="1005"/>
    <x v="23"/>
    <x v="21"/>
    <x v="40"/>
    <n v="3330"/>
    <x v="169"/>
    <n v="0"/>
    <x v="0"/>
    <s v="D 01"/>
    <n v="91"/>
    <n v="9161"/>
    <x v="655"/>
    <s v="Annual"/>
    <n v="1"/>
    <n v="1"/>
    <n v="111252"/>
    <n v="111252"/>
  </r>
  <r>
    <x v="0"/>
    <n v="57"/>
    <x v="22"/>
    <x v="0"/>
    <x v="0"/>
    <n v="1005"/>
    <x v="23"/>
    <x v="21"/>
    <x v="40"/>
    <n v="3330"/>
    <x v="169"/>
    <n v="0"/>
    <x v="0"/>
    <s v="1 00"/>
    <n v="0"/>
    <n v="15"/>
    <x v="37"/>
    <s v="Annual"/>
    <n v="0"/>
    <n v="0"/>
    <n v="3284"/>
    <n v="3284"/>
  </r>
  <r>
    <x v="0"/>
    <n v="57"/>
    <x v="22"/>
    <x v="0"/>
    <x v="0"/>
    <n v="1005"/>
    <x v="23"/>
    <x v="21"/>
    <x v="40"/>
    <n v="3334"/>
    <x v="170"/>
    <n v="0"/>
    <x v="0"/>
    <s v="3 00"/>
    <n v="99"/>
    <n v="9752"/>
    <x v="647"/>
    <s v="Annual"/>
    <n v="1"/>
    <n v="1"/>
    <n v="192240"/>
    <n v="192240"/>
  </r>
  <r>
    <x v="0"/>
    <n v="57"/>
    <x v="22"/>
    <x v="0"/>
    <x v="0"/>
    <n v="1005"/>
    <x v="23"/>
    <x v="21"/>
    <x v="40"/>
    <n v="3334"/>
    <x v="170"/>
    <n v="0"/>
    <x v="0"/>
    <s v="E 04"/>
    <n v="73"/>
    <n v="9173"/>
    <x v="662"/>
    <s v="Annual"/>
    <n v="3"/>
    <n v="1"/>
    <n v="170700"/>
    <n v="512100"/>
  </r>
  <r>
    <x v="0"/>
    <n v="57"/>
    <x v="22"/>
    <x v="0"/>
    <x v="0"/>
    <n v="1005"/>
    <x v="23"/>
    <x v="21"/>
    <x v="40"/>
    <n v="3334"/>
    <x v="170"/>
    <n v="0"/>
    <x v="0"/>
    <s v="E 04"/>
    <n v="73"/>
    <n v="9173"/>
    <x v="662"/>
    <s v="Annual"/>
    <n v="1"/>
    <n v="1"/>
    <n v="160746"/>
    <n v="160746"/>
  </r>
  <r>
    <x v="0"/>
    <n v="57"/>
    <x v="22"/>
    <x v="0"/>
    <x v="0"/>
    <n v="1005"/>
    <x v="23"/>
    <x v="21"/>
    <x v="40"/>
    <n v="3334"/>
    <x v="170"/>
    <n v="0"/>
    <x v="0"/>
    <s v="E 03"/>
    <n v="71"/>
    <n v="9171"/>
    <x v="651"/>
    <s v="Annual"/>
    <n v="2"/>
    <n v="1"/>
    <n v="156564"/>
    <n v="313128"/>
  </r>
  <r>
    <x v="0"/>
    <n v="57"/>
    <x v="22"/>
    <x v="0"/>
    <x v="0"/>
    <n v="1005"/>
    <x v="23"/>
    <x v="21"/>
    <x v="40"/>
    <n v="3334"/>
    <x v="170"/>
    <n v="0"/>
    <x v="0"/>
    <s v="E 03"/>
    <n v="71"/>
    <n v="9171"/>
    <x v="651"/>
    <s v="Annual"/>
    <n v="7"/>
    <n v="1"/>
    <n v="152010"/>
    <n v="1064070"/>
  </r>
  <r>
    <x v="0"/>
    <n v="57"/>
    <x v="22"/>
    <x v="0"/>
    <x v="0"/>
    <n v="1005"/>
    <x v="23"/>
    <x v="21"/>
    <x v="40"/>
    <n v="3334"/>
    <x v="170"/>
    <n v="0"/>
    <x v="0"/>
    <s v="E 03"/>
    <n v="71"/>
    <n v="9171"/>
    <x v="651"/>
    <s v="Annual"/>
    <n v="6"/>
    <n v="1"/>
    <n v="147252"/>
    <n v="883512"/>
  </r>
  <r>
    <x v="0"/>
    <n v="57"/>
    <x v="22"/>
    <x v="0"/>
    <x v="0"/>
    <n v="1005"/>
    <x v="23"/>
    <x v="21"/>
    <x v="40"/>
    <n v="3334"/>
    <x v="170"/>
    <n v="0"/>
    <x v="0"/>
    <s v="E 03"/>
    <n v="71"/>
    <n v="9171"/>
    <x v="651"/>
    <s v="Annual"/>
    <n v="6"/>
    <n v="1"/>
    <n v="142668"/>
    <n v="856008"/>
  </r>
  <r>
    <x v="0"/>
    <n v="57"/>
    <x v="22"/>
    <x v="0"/>
    <x v="0"/>
    <n v="1005"/>
    <x v="23"/>
    <x v="21"/>
    <x v="40"/>
    <n v="3334"/>
    <x v="170"/>
    <n v="0"/>
    <x v="0"/>
    <s v="E 03"/>
    <n v="71"/>
    <n v="9171"/>
    <x v="651"/>
    <s v="Annual"/>
    <n v="4"/>
    <n v="1"/>
    <n v="138318"/>
    <n v="553272"/>
  </r>
  <r>
    <x v="0"/>
    <n v="57"/>
    <x v="22"/>
    <x v="0"/>
    <x v="0"/>
    <n v="1005"/>
    <x v="23"/>
    <x v="21"/>
    <x v="40"/>
    <n v="3334"/>
    <x v="170"/>
    <n v="0"/>
    <x v="0"/>
    <s v="D 2B"/>
    <n v="91"/>
    <n v="9165"/>
    <x v="663"/>
    <s v="Annual"/>
    <n v="3"/>
    <n v="1"/>
    <n v="99426"/>
    <n v="298278"/>
  </r>
  <r>
    <x v="0"/>
    <n v="57"/>
    <x v="22"/>
    <x v="0"/>
    <x v="0"/>
    <n v="1005"/>
    <x v="23"/>
    <x v="21"/>
    <x v="40"/>
    <n v="3334"/>
    <x v="170"/>
    <n v="0"/>
    <x v="0"/>
    <s v="D 01"/>
    <n v="91"/>
    <n v="9161"/>
    <x v="655"/>
    <s v="Annual"/>
    <n v="21"/>
    <n v="1"/>
    <n v="127146"/>
    <n v="2670066"/>
  </r>
  <r>
    <x v="0"/>
    <n v="57"/>
    <x v="22"/>
    <x v="0"/>
    <x v="0"/>
    <n v="1005"/>
    <x v="23"/>
    <x v="21"/>
    <x v="40"/>
    <n v="3334"/>
    <x v="170"/>
    <n v="0"/>
    <x v="0"/>
    <s v="D 01"/>
    <n v="91"/>
    <n v="9161"/>
    <x v="655"/>
    <s v="Annual"/>
    <n v="7"/>
    <n v="1"/>
    <n v="123576"/>
    <n v="865032"/>
  </r>
  <r>
    <x v="0"/>
    <n v="57"/>
    <x v="22"/>
    <x v="0"/>
    <x v="0"/>
    <n v="1005"/>
    <x v="23"/>
    <x v="21"/>
    <x v="40"/>
    <n v="3334"/>
    <x v="170"/>
    <n v="0"/>
    <x v="0"/>
    <s v="D 01"/>
    <n v="91"/>
    <n v="9161"/>
    <x v="655"/>
    <s v="Annual"/>
    <n v="3"/>
    <n v="1"/>
    <n v="119154"/>
    <n v="357462"/>
  </r>
  <r>
    <x v="0"/>
    <n v="57"/>
    <x v="22"/>
    <x v="0"/>
    <x v="0"/>
    <n v="1005"/>
    <x v="23"/>
    <x v="21"/>
    <x v="40"/>
    <n v="3334"/>
    <x v="170"/>
    <n v="0"/>
    <x v="0"/>
    <s v="D 01"/>
    <n v="91"/>
    <n v="9161"/>
    <x v="655"/>
    <s v="Annual"/>
    <n v="2"/>
    <n v="1"/>
    <n v="115158"/>
    <n v="230316"/>
  </r>
  <r>
    <x v="0"/>
    <n v="57"/>
    <x v="22"/>
    <x v="0"/>
    <x v="0"/>
    <n v="1005"/>
    <x v="23"/>
    <x v="21"/>
    <x v="40"/>
    <n v="3334"/>
    <x v="170"/>
    <n v="0"/>
    <x v="0"/>
    <s v="D 01"/>
    <n v="91"/>
    <n v="9161"/>
    <x v="655"/>
    <s v="Annual"/>
    <n v="10"/>
    <n v="1"/>
    <n v="111252"/>
    <n v="1112520"/>
  </r>
  <r>
    <x v="0"/>
    <n v="57"/>
    <x v="22"/>
    <x v="0"/>
    <x v="0"/>
    <n v="1005"/>
    <x v="23"/>
    <x v="21"/>
    <x v="40"/>
    <n v="3334"/>
    <x v="170"/>
    <n v="0"/>
    <x v="0"/>
    <s v="D 01"/>
    <n v="91"/>
    <n v="9161"/>
    <x v="655"/>
    <s v="Annual"/>
    <n v="64"/>
    <n v="1"/>
    <n v="63636"/>
    <n v="4072704"/>
  </r>
  <r>
    <x v="0"/>
    <n v="57"/>
    <x v="22"/>
    <x v="0"/>
    <x v="0"/>
    <n v="1005"/>
    <x v="23"/>
    <x v="21"/>
    <x v="40"/>
    <n v="3334"/>
    <x v="170"/>
    <n v="0"/>
    <x v="0"/>
    <s v="D 02"/>
    <n v="91"/>
    <n v="9153"/>
    <x v="694"/>
    <s v="Annual"/>
    <n v="4"/>
    <n v="1"/>
    <n v="133650"/>
    <n v="534600"/>
  </r>
  <r>
    <x v="0"/>
    <n v="57"/>
    <x v="22"/>
    <x v="0"/>
    <x v="0"/>
    <n v="1005"/>
    <x v="23"/>
    <x v="21"/>
    <x v="40"/>
    <n v="3334"/>
    <x v="170"/>
    <n v="0"/>
    <x v="0"/>
    <s v="D 02"/>
    <n v="91"/>
    <n v="9153"/>
    <x v="694"/>
    <s v="Annual"/>
    <n v="4"/>
    <n v="1"/>
    <n v="129774"/>
    <n v="519096"/>
  </r>
  <r>
    <x v="0"/>
    <n v="57"/>
    <x v="22"/>
    <x v="0"/>
    <x v="0"/>
    <n v="1005"/>
    <x v="23"/>
    <x v="21"/>
    <x v="40"/>
    <n v="3334"/>
    <x v="170"/>
    <n v="0"/>
    <x v="0"/>
    <s v="D 02"/>
    <n v="91"/>
    <n v="9153"/>
    <x v="694"/>
    <s v="Annual"/>
    <n v="3"/>
    <n v="1"/>
    <n v="125112"/>
    <n v="375336"/>
  </r>
  <r>
    <x v="0"/>
    <n v="57"/>
    <x v="22"/>
    <x v="0"/>
    <x v="0"/>
    <n v="1005"/>
    <x v="23"/>
    <x v="21"/>
    <x v="40"/>
    <n v="3334"/>
    <x v="170"/>
    <n v="0"/>
    <x v="0"/>
    <s v="D 02"/>
    <n v="91"/>
    <n v="9153"/>
    <x v="694"/>
    <s v="Annual"/>
    <n v="1"/>
    <n v="1"/>
    <n v="116856"/>
    <n v="116856"/>
  </r>
  <r>
    <x v="0"/>
    <n v="57"/>
    <x v="22"/>
    <x v="0"/>
    <x v="0"/>
    <n v="1005"/>
    <x v="23"/>
    <x v="21"/>
    <x v="40"/>
    <n v="3334"/>
    <x v="170"/>
    <n v="0"/>
    <x v="0"/>
    <s v="D 02"/>
    <n v="91"/>
    <n v="9153"/>
    <x v="694"/>
    <s v="Annual"/>
    <n v="2"/>
    <n v="1"/>
    <n v="90816"/>
    <n v="181632"/>
  </r>
  <r>
    <x v="0"/>
    <n v="57"/>
    <x v="22"/>
    <x v="0"/>
    <x v="0"/>
    <n v="1005"/>
    <x v="23"/>
    <x v="21"/>
    <x v="40"/>
    <n v="3334"/>
    <x v="170"/>
    <n v="0"/>
    <x v="0"/>
    <s v="1 00"/>
    <n v="0"/>
    <n v="15"/>
    <x v="37"/>
    <s v="Annual"/>
    <n v="0"/>
    <n v="0"/>
    <n v="17221"/>
    <n v="17221"/>
  </r>
  <r>
    <x v="0"/>
    <n v="57"/>
    <x v="22"/>
    <x v="0"/>
    <x v="0"/>
    <n v="1005"/>
    <x v="23"/>
    <x v="21"/>
    <x v="40"/>
    <n v="3338"/>
    <x v="171"/>
    <n v="4220"/>
    <x v="123"/>
    <s v="3 00"/>
    <n v="99"/>
    <n v="9752"/>
    <x v="647"/>
    <s v="Annual"/>
    <n v="1"/>
    <n v="1"/>
    <n v="192240"/>
    <n v="192240"/>
  </r>
  <r>
    <x v="0"/>
    <n v="57"/>
    <x v="22"/>
    <x v="0"/>
    <x v="0"/>
    <n v="1005"/>
    <x v="23"/>
    <x v="21"/>
    <x v="40"/>
    <n v="3338"/>
    <x v="171"/>
    <n v="4220"/>
    <x v="123"/>
    <s v="E 04"/>
    <n v="73"/>
    <n v="9173"/>
    <x v="662"/>
    <s v="Annual"/>
    <n v="1"/>
    <n v="1"/>
    <n v="165624"/>
    <n v="165624"/>
  </r>
  <r>
    <x v="0"/>
    <n v="57"/>
    <x v="22"/>
    <x v="0"/>
    <x v="0"/>
    <n v="1005"/>
    <x v="23"/>
    <x v="21"/>
    <x v="40"/>
    <n v="3338"/>
    <x v="171"/>
    <n v="4220"/>
    <x v="123"/>
    <s v="E 03"/>
    <n v="71"/>
    <n v="9171"/>
    <x v="651"/>
    <s v="Annual"/>
    <n v="1"/>
    <n v="1"/>
    <n v="152010"/>
    <n v="152010"/>
  </r>
  <r>
    <x v="0"/>
    <n v="57"/>
    <x v="22"/>
    <x v="0"/>
    <x v="0"/>
    <n v="1005"/>
    <x v="23"/>
    <x v="21"/>
    <x v="40"/>
    <n v="3338"/>
    <x v="171"/>
    <n v="4220"/>
    <x v="123"/>
    <s v="E 03"/>
    <n v="71"/>
    <n v="9171"/>
    <x v="651"/>
    <s v="Annual"/>
    <n v="1"/>
    <n v="1"/>
    <n v="147252"/>
    <n v="147252"/>
  </r>
  <r>
    <x v="0"/>
    <n v="57"/>
    <x v="22"/>
    <x v="0"/>
    <x v="0"/>
    <n v="1005"/>
    <x v="23"/>
    <x v="21"/>
    <x v="40"/>
    <n v="3338"/>
    <x v="171"/>
    <n v="4220"/>
    <x v="123"/>
    <s v="D 01"/>
    <n v="91"/>
    <n v="9161"/>
    <x v="655"/>
    <s v="Annual"/>
    <n v="4"/>
    <n v="1"/>
    <n v="119154"/>
    <n v="476616"/>
  </r>
  <r>
    <x v="0"/>
    <n v="57"/>
    <x v="22"/>
    <x v="0"/>
    <x v="0"/>
    <n v="1005"/>
    <x v="23"/>
    <x v="21"/>
    <x v="40"/>
    <n v="3338"/>
    <x v="171"/>
    <n v="4220"/>
    <x v="123"/>
    <s v="D 01"/>
    <n v="91"/>
    <n v="9161"/>
    <x v="655"/>
    <s v="Annual"/>
    <n v="2"/>
    <n v="1"/>
    <n v="111252"/>
    <n v="222504"/>
  </r>
  <r>
    <x v="0"/>
    <n v="57"/>
    <x v="22"/>
    <x v="0"/>
    <x v="0"/>
    <n v="1005"/>
    <x v="23"/>
    <x v="21"/>
    <x v="40"/>
    <n v="3338"/>
    <x v="171"/>
    <n v="4220"/>
    <x v="123"/>
    <s v="D 01"/>
    <n v="91"/>
    <n v="9161"/>
    <x v="655"/>
    <s v="Annual"/>
    <n v="2"/>
    <n v="1"/>
    <n v="63636"/>
    <n v="127272"/>
  </r>
  <r>
    <x v="0"/>
    <n v="57"/>
    <x v="22"/>
    <x v="0"/>
    <x v="0"/>
    <n v="1005"/>
    <x v="23"/>
    <x v="21"/>
    <x v="40"/>
    <n v="3338"/>
    <x v="171"/>
    <n v="4220"/>
    <x v="123"/>
    <s v="1 00"/>
    <n v="0"/>
    <n v="15"/>
    <x v="37"/>
    <s v="Annual"/>
    <n v="0"/>
    <n v="0"/>
    <n v="8331"/>
    <n v="8331"/>
  </r>
  <r>
    <x v="0"/>
    <n v="57"/>
    <x v="22"/>
    <x v="0"/>
    <x v="0"/>
    <n v="1005"/>
    <x v="23"/>
    <x v="21"/>
    <x v="40"/>
    <n v="3338"/>
    <x v="171"/>
    <n v="4221"/>
    <x v="124"/>
    <s v="E 04"/>
    <n v="73"/>
    <n v="9173"/>
    <x v="662"/>
    <s v="Annual"/>
    <n v="1"/>
    <n v="1"/>
    <n v="175002"/>
    <n v="175002"/>
  </r>
  <r>
    <x v="0"/>
    <n v="57"/>
    <x v="22"/>
    <x v="0"/>
    <x v="0"/>
    <n v="1005"/>
    <x v="23"/>
    <x v="21"/>
    <x v="40"/>
    <n v="3338"/>
    <x v="171"/>
    <n v="4221"/>
    <x v="124"/>
    <s v="E 03"/>
    <n v="71"/>
    <n v="9171"/>
    <x v="651"/>
    <s v="Annual"/>
    <n v="1"/>
    <n v="1"/>
    <n v="156564"/>
    <n v="156564"/>
  </r>
  <r>
    <x v="0"/>
    <n v="57"/>
    <x v="22"/>
    <x v="0"/>
    <x v="0"/>
    <n v="1005"/>
    <x v="23"/>
    <x v="21"/>
    <x v="40"/>
    <n v="3338"/>
    <x v="171"/>
    <n v="4221"/>
    <x v="124"/>
    <s v="E 03"/>
    <n v="71"/>
    <n v="9171"/>
    <x v="651"/>
    <s v="Annual"/>
    <n v="2"/>
    <n v="1"/>
    <n v="152010"/>
    <n v="304020"/>
  </r>
  <r>
    <x v="0"/>
    <n v="57"/>
    <x v="22"/>
    <x v="0"/>
    <x v="0"/>
    <n v="1005"/>
    <x v="23"/>
    <x v="21"/>
    <x v="40"/>
    <n v="3338"/>
    <x v="171"/>
    <n v="4221"/>
    <x v="124"/>
    <s v="E 03"/>
    <n v="71"/>
    <n v="9171"/>
    <x v="651"/>
    <s v="Annual"/>
    <n v="6"/>
    <n v="1"/>
    <n v="147252"/>
    <n v="883512"/>
  </r>
  <r>
    <x v="0"/>
    <n v="57"/>
    <x v="22"/>
    <x v="0"/>
    <x v="0"/>
    <n v="1005"/>
    <x v="23"/>
    <x v="21"/>
    <x v="40"/>
    <n v="3338"/>
    <x v="171"/>
    <n v="4221"/>
    <x v="124"/>
    <s v="E 03"/>
    <n v="71"/>
    <n v="9171"/>
    <x v="651"/>
    <s v="Annual"/>
    <n v="1"/>
    <n v="1"/>
    <n v="138318"/>
    <n v="138318"/>
  </r>
  <r>
    <x v="0"/>
    <n v="57"/>
    <x v="22"/>
    <x v="0"/>
    <x v="0"/>
    <n v="1005"/>
    <x v="23"/>
    <x v="21"/>
    <x v="40"/>
    <n v="3338"/>
    <x v="171"/>
    <n v="4221"/>
    <x v="124"/>
    <s v="D 01"/>
    <n v="91"/>
    <n v="9161"/>
    <x v="655"/>
    <s v="Annual"/>
    <n v="1"/>
    <n v="1"/>
    <n v="123576"/>
    <n v="123576"/>
  </r>
  <r>
    <x v="0"/>
    <n v="57"/>
    <x v="22"/>
    <x v="0"/>
    <x v="0"/>
    <n v="1005"/>
    <x v="23"/>
    <x v="21"/>
    <x v="40"/>
    <n v="3338"/>
    <x v="171"/>
    <n v="4221"/>
    <x v="124"/>
    <s v="D 01"/>
    <n v="91"/>
    <n v="9161"/>
    <x v="655"/>
    <s v="Annual"/>
    <n v="1"/>
    <n v="1"/>
    <n v="111252"/>
    <n v="111252"/>
  </r>
  <r>
    <x v="0"/>
    <n v="57"/>
    <x v="22"/>
    <x v="0"/>
    <x v="0"/>
    <n v="1005"/>
    <x v="23"/>
    <x v="21"/>
    <x v="40"/>
    <n v="3338"/>
    <x v="171"/>
    <n v="4221"/>
    <x v="124"/>
    <s v="D 2A"/>
    <n v="91"/>
    <n v="9149"/>
    <x v="680"/>
    <s v="Annual"/>
    <n v="4"/>
    <n v="1"/>
    <n v="137568"/>
    <n v="550272"/>
  </r>
  <r>
    <x v="0"/>
    <n v="57"/>
    <x v="22"/>
    <x v="0"/>
    <x v="0"/>
    <n v="1005"/>
    <x v="23"/>
    <x v="21"/>
    <x v="40"/>
    <n v="3338"/>
    <x v="171"/>
    <n v="4221"/>
    <x v="124"/>
    <s v="D 2A"/>
    <n v="91"/>
    <n v="9149"/>
    <x v="680"/>
    <s v="Annual"/>
    <n v="10"/>
    <n v="1"/>
    <n v="133650"/>
    <n v="1336500"/>
  </r>
  <r>
    <x v="0"/>
    <n v="57"/>
    <x v="22"/>
    <x v="0"/>
    <x v="0"/>
    <n v="1005"/>
    <x v="23"/>
    <x v="21"/>
    <x v="40"/>
    <n v="3338"/>
    <x v="171"/>
    <n v="4221"/>
    <x v="124"/>
    <s v="D 2A"/>
    <n v="91"/>
    <n v="9149"/>
    <x v="680"/>
    <s v="Annual"/>
    <n v="7"/>
    <n v="1"/>
    <n v="128964"/>
    <n v="902748"/>
  </r>
  <r>
    <x v="0"/>
    <n v="57"/>
    <x v="22"/>
    <x v="0"/>
    <x v="0"/>
    <n v="1005"/>
    <x v="23"/>
    <x v="21"/>
    <x v="40"/>
    <n v="3338"/>
    <x v="171"/>
    <n v="4221"/>
    <x v="124"/>
    <s v="D 2A"/>
    <n v="91"/>
    <n v="9149"/>
    <x v="680"/>
    <s v="Annual"/>
    <n v="22"/>
    <n v="1"/>
    <n v="124578"/>
    <n v="2740716"/>
  </r>
  <r>
    <x v="0"/>
    <n v="57"/>
    <x v="22"/>
    <x v="0"/>
    <x v="0"/>
    <n v="1005"/>
    <x v="23"/>
    <x v="21"/>
    <x v="40"/>
    <n v="3338"/>
    <x v="171"/>
    <n v="4221"/>
    <x v="124"/>
    <s v="D 2A"/>
    <n v="91"/>
    <n v="9149"/>
    <x v="680"/>
    <s v="Annual"/>
    <n v="16"/>
    <n v="1"/>
    <n v="120564"/>
    <n v="1929024"/>
  </r>
  <r>
    <x v="0"/>
    <n v="57"/>
    <x v="22"/>
    <x v="0"/>
    <x v="0"/>
    <n v="1005"/>
    <x v="23"/>
    <x v="21"/>
    <x v="40"/>
    <n v="3338"/>
    <x v="171"/>
    <n v="4221"/>
    <x v="124"/>
    <s v="D 2A"/>
    <n v="91"/>
    <n v="9149"/>
    <x v="680"/>
    <s v="Annual"/>
    <n v="1"/>
    <n v="1"/>
    <n v="93942"/>
    <n v="93942"/>
  </r>
  <r>
    <x v="0"/>
    <n v="57"/>
    <x v="22"/>
    <x v="0"/>
    <x v="0"/>
    <n v="1005"/>
    <x v="23"/>
    <x v="21"/>
    <x v="40"/>
    <n v="3338"/>
    <x v="171"/>
    <n v="4221"/>
    <x v="124"/>
    <s v="1 00"/>
    <n v="0"/>
    <n v="15"/>
    <x v="37"/>
    <s v="Annual"/>
    <n v="0"/>
    <n v="0"/>
    <n v="16219"/>
    <n v="16219"/>
  </r>
  <r>
    <x v="0"/>
    <n v="57"/>
    <x v="22"/>
    <x v="0"/>
    <x v="0"/>
    <n v="1005"/>
    <x v="23"/>
    <x v="21"/>
    <x v="40"/>
    <n v="3338"/>
    <x v="171"/>
    <n v="4222"/>
    <x v="125"/>
    <s v="E 04"/>
    <n v="73"/>
    <n v="9173"/>
    <x v="662"/>
    <s v="Annual"/>
    <n v="1"/>
    <n v="1"/>
    <n v="160746"/>
    <n v="160746"/>
  </r>
  <r>
    <x v="0"/>
    <n v="57"/>
    <x v="22"/>
    <x v="0"/>
    <x v="0"/>
    <n v="1005"/>
    <x v="23"/>
    <x v="21"/>
    <x v="40"/>
    <n v="3338"/>
    <x v="171"/>
    <n v="4222"/>
    <x v="125"/>
    <s v="E 03"/>
    <n v="71"/>
    <n v="9171"/>
    <x v="651"/>
    <s v="Annual"/>
    <n v="3"/>
    <n v="1"/>
    <n v="152010"/>
    <n v="456030"/>
  </r>
  <r>
    <x v="0"/>
    <n v="57"/>
    <x v="22"/>
    <x v="0"/>
    <x v="0"/>
    <n v="1005"/>
    <x v="23"/>
    <x v="21"/>
    <x v="40"/>
    <n v="3338"/>
    <x v="171"/>
    <n v="4222"/>
    <x v="125"/>
    <s v="E 03"/>
    <n v="71"/>
    <n v="9171"/>
    <x v="651"/>
    <s v="Annual"/>
    <n v="3"/>
    <n v="1"/>
    <n v="147252"/>
    <n v="441756"/>
  </r>
  <r>
    <x v="0"/>
    <n v="57"/>
    <x v="22"/>
    <x v="0"/>
    <x v="0"/>
    <n v="1005"/>
    <x v="23"/>
    <x v="21"/>
    <x v="40"/>
    <n v="3338"/>
    <x v="171"/>
    <n v="4222"/>
    <x v="125"/>
    <s v="E 03"/>
    <n v="71"/>
    <n v="9171"/>
    <x v="651"/>
    <s v="Annual"/>
    <n v="3"/>
    <n v="1"/>
    <n v="142668"/>
    <n v="428004"/>
  </r>
  <r>
    <x v="0"/>
    <n v="57"/>
    <x v="22"/>
    <x v="0"/>
    <x v="0"/>
    <n v="1005"/>
    <x v="23"/>
    <x v="21"/>
    <x v="40"/>
    <n v="3338"/>
    <x v="171"/>
    <n v="4222"/>
    <x v="125"/>
    <s v="D 02"/>
    <n v="91"/>
    <n v="9168"/>
    <x v="695"/>
    <s v="Annual"/>
    <n v="8"/>
    <n v="1"/>
    <n v="133650"/>
    <n v="1069200"/>
  </r>
  <r>
    <x v="0"/>
    <n v="57"/>
    <x v="22"/>
    <x v="0"/>
    <x v="0"/>
    <n v="1005"/>
    <x v="23"/>
    <x v="21"/>
    <x v="40"/>
    <n v="3338"/>
    <x v="171"/>
    <n v="4222"/>
    <x v="125"/>
    <s v="D 02"/>
    <n v="91"/>
    <n v="9168"/>
    <x v="695"/>
    <s v="Annual"/>
    <n v="7"/>
    <n v="1"/>
    <n v="129774"/>
    <n v="908418"/>
  </r>
  <r>
    <x v="0"/>
    <n v="57"/>
    <x v="22"/>
    <x v="0"/>
    <x v="0"/>
    <n v="1005"/>
    <x v="23"/>
    <x v="21"/>
    <x v="40"/>
    <n v="3338"/>
    <x v="171"/>
    <n v="4222"/>
    <x v="125"/>
    <s v="D 02"/>
    <n v="91"/>
    <n v="9168"/>
    <x v="695"/>
    <s v="Annual"/>
    <n v="2"/>
    <n v="1"/>
    <n v="125112"/>
    <n v="250224"/>
  </r>
  <r>
    <x v="0"/>
    <n v="57"/>
    <x v="22"/>
    <x v="0"/>
    <x v="0"/>
    <n v="1005"/>
    <x v="23"/>
    <x v="21"/>
    <x v="40"/>
    <n v="3338"/>
    <x v="171"/>
    <n v="4222"/>
    <x v="125"/>
    <s v="D 02"/>
    <n v="91"/>
    <n v="9168"/>
    <x v="695"/>
    <s v="Annual"/>
    <n v="3"/>
    <n v="1"/>
    <n v="120900"/>
    <n v="362700"/>
  </r>
  <r>
    <x v="0"/>
    <n v="57"/>
    <x v="22"/>
    <x v="0"/>
    <x v="0"/>
    <n v="1005"/>
    <x v="23"/>
    <x v="21"/>
    <x v="40"/>
    <n v="3338"/>
    <x v="171"/>
    <n v="4222"/>
    <x v="125"/>
    <s v="D 02"/>
    <n v="91"/>
    <n v="9168"/>
    <x v="695"/>
    <s v="Annual"/>
    <n v="12"/>
    <n v="1"/>
    <n v="116856"/>
    <n v="1402272"/>
  </r>
  <r>
    <x v="0"/>
    <n v="57"/>
    <x v="22"/>
    <x v="0"/>
    <x v="0"/>
    <n v="1005"/>
    <x v="23"/>
    <x v="21"/>
    <x v="40"/>
    <n v="3338"/>
    <x v="171"/>
    <n v="4222"/>
    <x v="125"/>
    <s v="D 02"/>
    <n v="91"/>
    <n v="9168"/>
    <x v="695"/>
    <s v="Annual"/>
    <n v="2"/>
    <n v="1"/>
    <n v="90816"/>
    <n v="181632"/>
  </r>
  <r>
    <x v="0"/>
    <n v="57"/>
    <x v="22"/>
    <x v="0"/>
    <x v="0"/>
    <n v="1005"/>
    <x v="23"/>
    <x v="21"/>
    <x v="40"/>
    <n v="3338"/>
    <x v="171"/>
    <n v="4222"/>
    <x v="125"/>
    <s v="D 02"/>
    <n v="91"/>
    <n v="9154"/>
    <x v="696"/>
    <s v="Annual"/>
    <n v="1"/>
    <n v="1"/>
    <n v="133650"/>
    <n v="133650"/>
  </r>
  <r>
    <x v="0"/>
    <n v="57"/>
    <x v="22"/>
    <x v="0"/>
    <x v="0"/>
    <n v="1005"/>
    <x v="23"/>
    <x v="21"/>
    <x v="40"/>
    <n v="3338"/>
    <x v="171"/>
    <n v="4222"/>
    <x v="125"/>
    <s v="D 02"/>
    <n v="91"/>
    <n v="9154"/>
    <x v="696"/>
    <s v="Annual"/>
    <n v="1"/>
    <n v="1"/>
    <n v="129774"/>
    <n v="129774"/>
  </r>
  <r>
    <x v="0"/>
    <n v="57"/>
    <x v="22"/>
    <x v="0"/>
    <x v="0"/>
    <n v="1005"/>
    <x v="23"/>
    <x v="21"/>
    <x v="40"/>
    <n v="3338"/>
    <x v="171"/>
    <n v="4222"/>
    <x v="125"/>
    <s v="D 02"/>
    <n v="91"/>
    <n v="9154"/>
    <x v="696"/>
    <s v="Annual"/>
    <n v="2"/>
    <n v="1"/>
    <n v="120900"/>
    <n v="241800"/>
  </r>
  <r>
    <x v="0"/>
    <n v="57"/>
    <x v="22"/>
    <x v="0"/>
    <x v="0"/>
    <n v="1005"/>
    <x v="23"/>
    <x v="21"/>
    <x v="40"/>
    <n v="3338"/>
    <x v="171"/>
    <n v="4222"/>
    <x v="125"/>
    <s v="D 02"/>
    <n v="91"/>
    <n v="9154"/>
    <x v="696"/>
    <s v="Annual"/>
    <n v="1"/>
    <n v="1"/>
    <n v="116856"/>
    <n v="116856"/>
  </r>
  <r>
    <x v="0"/>
    <n v="57"/>
    <x v="22"/>
    <x v="0"/>
    <x v="0"/>
    <n v="1005"/>
    <x v="23"/>
    <x v="21"/>
    <x v="40"/>
    <n v="3338"/>
    <x v="171"/>
    <n v="4222"/>
    <x v="125"/>
    <s v="D 02"/>
    <n v="91"/>
    <n v="9154"/>
    <x v="696"/>
    <s v="Annual"/>
    <n v="2"/>
    <n v="1"/>
    <n v="90816"/>
    <n v="181632"/>
  </r>
  <r>
    <x v="0"/>
    <n v="57"/>
    <x v="22"/>
    <x v="0"/>
    <x v="0"/>
    <n v="1005"/>
    <x v="23"/>
    <x v="21"/>
    <x v="40"/>
    <n v="3338"/>
    <x v="171"/>
    <n v="4222"/>
    <x v="125"/>
    <s v="1 00"/>
    <n v="0"/>
    <n v="15"/>
    <x v="37"/>
    <s v="Annual"/>
    <n v="0"/>
    <n v="0"/>
    <n v="9500"/>
    <n v="9500"/>
  </r>
  <r>
    <x v="0"/>
    <n v="57"/>
    <x v="22"/>
    <x v="0"/>
    <x v="0"/>
    <n v="1005"/>
    <x v="23"/>
    <x v="21"/>
    <x v="40"/>
    <n v="3338"/>
    <x v="171"/>
    <n v="4223"/>
    <x v="126"/>
    <s v="E 04"/>
    <n v="73"/>
    <n v="9173"/>
    <x v="662"/>
    <s v="Annual"/>
    <n v="1"/>
    <n v="1"/>
    <n v="170700"/>
    <n v="170700"/>
  </r>
  <r>
    <x v="0"/>
    <n v="57"/>
    <x v="22"/>
    <x v="0"/>
    <x v="0"/>
    <n v="1005"/>
    <x v="23"/>
    <x v="21"/>
    <x v="40"/>
    <n v="3338"/>
    <x v="171"/>
    <n v="4223"/>
    <x v="126"/>
    <s v="E 03"/>
    <n v="71"/>
    <n v="9171"/>
    <x v="651"/>
    <s v="Annual"/>
    <n v="1"/>
    <n v="1"/>
    <n v="152010"/>
    <n v="152010"/>
  </r>
  <r>
    <x v="0"/>
    <n v="57"/>
    <x v="22"/>
    <x v="0"/>
    <x v="0"/>
    <n v="1005"/>
    <x v="23"/>
    <x v="21"/>
    <x v="40"/>
    <n v="3338"/>
    <x v="171"/>
    <n v="4223"/>
    <x v="126"/>
    <s v="E 03"/>
    <n v="71"/>
    <n v="9171"/>
    <x v="651"/>
    <s v="Annual"/>
    <n v="3"/>
    <n v="1"/>
    <n v="147252"/>
    <n v="441756"/>
  </r>
  <r>
    <x v="0"/>
    <n v="57"/>
    <x v="22"/>
    <x v="0"/>
    <x v="0"/>
    <n v="1005"/>
    <x v="23"/>
    <x v="21"/>
    <x v="40"/>
    <n v="3338"/>
    <x v="171"/>
    <n v="4223"/>
    <x v="126"/>
    <s v="D 02"/>
    <n v="91"/>
    <n v="9169"/>
    <x v="697"/>
    <s v="Annual"/>
    <n v="3"/>
    <n v="1"/>
    <n v="133650"/>
    <n v="400950"/>
  </r>
  <r>
    <x v="0"/>
    <n v="57"/>
    <x v="22"/>
    <x v="0"/>
    <x v="0"/>
    <n v="1005"/>
    <x v="23"/>
    <x v="21"/>
    <x v="40"/>
    <n v="3338"/>
    <x v="171"/>
    <n v="4223"/>
    <x v="126"/>
    <s v="D 02"/>
    <n v="91"/>
    <n v="9169"/>
    <x v="697"/>
    <s v="Annual"/>
    <n v="2"/>
    <n v="1"/>
    <n v="129774"/>
    <n v="259548"/>
  </r>
  <r>
    <x v="0"/>
    <n v="57"/>
    <x v="22"/>
    <x v="0"/>
    <x v="0"/>
    <n v="1005"/>
    <x v="23"/>
    <x v="21"/>
    <x v="40"/>
    <n v="3338"/>
    <x v="171"/>
    <n v="4223"/>
    <x v="126"/>
    <s v="D 02"/>
    <n v="91"/>
    <n v="9169"/>
    <x v="697"/>
    <s v="Annual"/>
    <n v="2"/>
    <n v="1"/>
    <n v="125112"/>
    <n v="250224"/>
  </r>
  <r>
    <x v="0"/>
    <n v="57"/>
    <x v="22"/>
    <x v="0"/>
    <x v="0"/>
    <n v="1005"/>
    <x v="23"/>
    <x v="21"/>
    <x v="40"/>
    <n v="3338"/>
    <x v="171"/>
    <n v="4223"/>
    <x v="126"/>
    <s v="D 02"/>
    <n v="91"/>
    <n v="9169"/>
    <x v="697"/>
    <s v="Annual"/>
    <n v="5"/>
    <n v="1"/>
    <n v="120900"/>
    <n v="604500"/>
  </r>
  <r>
    <x v="0"/>
    <n v="57"/>
    <x v="22"/>
    <x v="0"/>
    <x v="0"/>
    <n v="1005"/>
    <x v="23"/>
    <x v="21"/>
    <x v="40"/>
    <n v="3338"/>
    <x v="171"/>
    <n v="4223"/>
    <x v="126"/>
    <s v="D 02"/>
    <n v="91"/>
    <n v="9169"/>
    <x v="697"/>
    <s v="Annual"/>
    <n v="3"/>
    <n v="1"/>
    <n v="116856"/>
    <n v="350568"/>
  </r>
  <r>
    <x v="0"/>
    <n v="57"/>
    <x v="22"/>
    <x v="0"/>
    <x v="0"/>
    <n v="1005"/>
    <x v="23"/>
    <x v="21"/>
    <x v="40"/>
    <n v="3338"/>
    <x v="171"/>
    <n v="4223"/>
    <x v="126"/>
    <s v="D 02"/>
    <n v="91"/>
    <n v="9169"/>
    <x v="697"/>
    <s v="Annual"/>
    <n v="2"/>
    <n v="1"/>
    <n v="90816"/>
    <n v="181632"/>
  </r>
  <r>
    <x v="0"/>
    <n v="57"/>
    <x v="22"/>
    <x v="0"/>
    <x v="0"/>
    <n v="1005"/>
    <x v="23"/>
    <x v="21"/>
    <x v="40"/>
    <n v="3338"/>
    <x v="171"/>
    <n v="4223"/>
    <x v="126"/>
    <s v="1 00"/>
    <n v="0"/>
    <n v="15"/>
    <x v="37"/>
    <s v="Annual"/>
    <n v="0"/>
    <n v="0"/>
    <n v="3047"/>
    <n v="3047"/>
  </r>
  <r>
    <x v="0"/>
    <n v="57"/>
    <x v="22"/>
    <x v="0"/>
    <x v="0"/>
    <n v="1005"/>
    <x v="23"/>
    <x v="21"/>
    <x v="40"/>
    <n v="3338"/>
    <x v="171"/>
    <n v="4224"/>
    <x v="127"/>
    <s v="E 04"/>
    <n v="73"/>
    <n v="9173"/>
    <x v="662"/>
    <s v="Annual"/>
    <n v="1"/>
    <n v="1"/>
    <n v="170700"/>
    <n v="170700"/>
  </r>
  <r>
    <x v="0"/>
    <n v="57"/>
    <x v="22"/>
    <x v="0"/>
    <x v="0"/>
    <n v="1005"/>
    <x v="23"/>
    <x v="21"/>
    <x v="40"/>
    <n v="3338"/>
    <x v="171"/>
    <n v="4224"/>
    <x v="127"/>
    <s v="E 03"/>
    <n v="71"/>
    <n v="9171"/>
    <x v="651"/>
    <s v="Annual"/>
    <n v="2"/>
    <n v="1"/>
    <n v="152010"/>
    <n v="304020"/>
  </r>
  <r>
    <x v="0"/>
    <n v="57"/>
    <x v="22"/>
    <x v="0"/>
    <x v="0"/>
    <n v="1005"/>
    <x v="23"/>
    <x v="21"/>
    <x v="40"/>
    <n v="3338"/>
    <x v="171"/>
    <n v="4224"/>
    <x v="127"/>
    <s v="E 03"/>
    <n v="71"/>
    <n v="9171"/>
    <x v="651"/>
    <s v="Annual"/>
    <n v="2"/>
    <n v="1"/>
    <n v="147252"/>
    <n v="294504"/>
  </r>
  <r>
    <x v="0"/>
    <n v="57"/>
    <x v="22"/>
    <x v="0"/>
    <x v="0"/>
    <n v="1005"/>
    <x v="23"/>
    <x v="21"/>
    <x v="40"/>
    <n v="3338"/>
    <x v="171"/>
    <n v="4224"/>
    <x v="127"/>
    <s v="E 03"/>
    <n v="71"/>
    <n v="9171"/>
    <x v="651"/>
    <s v="Annual"/>
    <n v="1"/>
    <n v="1"/>
    <n v="142668"/>
    <n v="142668"/>
  </r>
  <r>
    <x v="0"/>
    <n v="57"/>
    <x v="22"/>
    <x v="0"/>
    <x v="0"/>
    <n v="1005"/>
    <x v="23"/>
    <x v="21"/>
    <x v="40"/>
    <n v="3338"/>
    <x v="171"/>
    <n v="4224"/>
    <x v="127"/>
    <s v="D 02"/>
    <n v="91"/>
    <n v="9153"/>
    <x v="694"/>
    <s v="Annual"/>
    <n v="4"/>
    <n v="1"/>
    <n v="133650"/>
    <n v="534600"/>
  </r>
  <r>
    <x v="0"/>
    <n v="57"/>
    <x v="22"/>
    <x v="0"/>
    <x v="0"/>
    <n v="1005"/>
    <x v="23"/>
    <x v="21"/>
    <x v="40"/>
    <n v="3338"/>
    <x v="171"/>
    <n v="4224"/>
    <x v="127"/>
    <s v="D 02"/>
    <n v="91"/>
    <n v="9153"/>
    <x v="694"/>
    <s v="Annual"/>
    <n v="3"/>
    <n v="1"/>
    <n v="129774"/>
    <n v="389322"/>
  </r>
  <r>
    <x v="0"/>
    <n v="57"/>
    <x v="22"/>
    <x v="0"/>
    <x v="0"/>
    <n v="1005"/>
    <x v="23"/>
    <x v="21"/>
    <x v="40"/>
    <n v="3338"/>
    <x v="171"/>
    <n v="4224"/>
    <x v="127"/>
    <s v="D 02"/>
    <n v="91"/>
    <n v="9152"/>
    <x v="698"/>
    <s v="Annual"/>
    <n v="5"/>
    <n v="1"/>
    <n v="133650"/>
    <n v="668250"/>
  </r>
  <r>
    <x v="0"/>
    <n v="57"/>
    <x v="22"/>
    <x v="0"/>
    <x v="0"/>
    <n v="1005"/>
    <x v="23"/>
    <x v="21"/>
    <x v="40"/>
    <n v="3338"/>
    <x v="171"/>
    <n v="4224"/>
    <x v="127"/>
    <s v="D 02"/>
    <n v="91"/>
    <n v="9152"/>
    <x v="698"/>
    <s v="Annual"/>
    <n v="6"/>
    <n v="1"/>
    <n v="129774"/>
    <n v="778644"/>
  </r>
  <r>
    <x v="0"/>
    <n v="57"/>
    <x v="22"/>
    <x v="0"/>
    <x v="0"/>
    <n v="1005"/>
    <x v="23"/>
    <x v="21"/>
    <x v="40"/>
    <n v="3338"/>
    <x v="171"/>
    <n v="4224"/>
    <x v="127"/>
    <s v="D 02"/>
    <n v="91"/>
    <n v="9152"/>
    <x v="698"/>
    <s v="Annual"/>
    <n v="1"/>
    <n v="1"/>
    <n v="125112"/>
    <n v="125112"/>
  </r>
  <r>
    <x v="0"/>
    <n v="57"/>
    <x v="22"/>
    <x v="0"/>
    <x v="0"/>
    <n v="1005"/>
    <x v="23"/>
    <x v="21"/>
    <x v="40"/>
    <n v="3338"/>
    <x v="171"/>
    <n v="4224"/>
    <x v="127"/>
    <s v="D 02"/>
    <n v="91"/>
    <n v="9152"/>
    <x v="698"/>
    <s v="Annual"/>
    <n v="7"/>
    <n v="1"/>
    <n v="90816"/>
    <n v="635712"/>
  </r>
  <r>
    <x v="0"/>
    <n v="57"/>
    <x v="22"/>
    <x v="0"/>
    <x v="0"/>
    <n v="1005"/>
    <x v="23"/>
    <x v="21"/>
    <x v="40"/>
    <n v="3338"/>
    <x v="171"/>
    <n v="4224"/>
    <x v="127"/>
    <s v="1 00"/>
    <n v="0"/>
    <n v="15"/>
    <x v="37"/>
    <s v="Annual"/>
    <n v="0"/>
    <n v="0"/>
    <n v="2400"/>
    <n v="2400"/>
  </r>
  <r>
    <x v="0"/>
    <n v="57"/>
    <x v="22"/>
    <x v="0"/>
    <x v="0"/>
    <n v="1005"/>
    <x v="23"/>
    <x v="21"/>
    <x v="40"/>
    <n v="3338"/>
    <x v="171"/>
    <n v="4225"/>
    <x v="128"/>
    <s v="E 03"/>
    <n v="71"/>
    <n v="9171"/>
    <x v="651"/>
    <s v="Annual"/>
    <n v="1"/>
    <n v="1"/>
    <n v="147252"/>
    <n v="147252"/>
  </r>
  <r>
    <x v="0"/>
    <n v="57"/>
    <x v="22"/>
    <x v="0"/>
    <x v="0"/>
    <n v="1005"/>
    <x v="23"/>
    <x v="21"/>
    <x v="40"/>
    <n v="3338"/>
    <x v="171"/>
    <n v="4225"/>
    <x v="128"/>
    <s v="E 03"/>
    <n v="71"/>
    <n v="9171"/>
    <x v="651"/>
    <s v="Annual"/>
    <n v="1"/>
    <n v="1"/>
    <n v="138318"/>
    <n v="138318"/>
  </r>
  <r>
    <x v="0"/>
    <n v="57"/>
    <x v="22"/>
    <x v="0"/>
    <x v="0"/>
    <n v="1005"/>
    <x v="23"/>
    <x v="21"/>
    <x v="40"/>
    <n v="3338"/>
    <x v="171"/>
    <n v="4225"/>
    <x v="128"/>
    <s v="D 03"/>
    <n v="91"/>
    <n v="9158"/>
    <x v="699"/>
    <s v="Annual"/>
    <n v="3"/>
    <n v="1"/>
    <n v="152010"/>
    <n v="456030"/>
  </r>
  <r>
    <x v="0"/>
    <n v="57"/>
    <x v="22"/>
    <x v="0"/>
    <x v="0"/>
    <n v="1005"/>
    <x v="23"/>
    <x v="21"/>
    <x v="40"/>
    <n v="3338"/>
    <x v="171"/>
    <n v="4225"/>
    <x v="128"/>
    <s v="D 03"/>
    <n v="91"/>
    <n v="9158"/>
    <x v="699"/>
    <s v="Annual"/>
    <n v="3"/>
    <n v="1"/>
    <n v="147252"/>
    <n v="441756"/>
  </r>
  <r>
    <x v="0"/>
    <n v="57"/>
    <x v="22"/>
    <x v="0"/>
    <x v="0"/>
    <n v="1005"/>
    <x v="23"/>
    <x v="21"/>
    <x v="40"/>
    <n v="3338"/>
    <x v="171"/>
    <n v="4225"/>
    <x v="128"/>
    <s v="D 03"/>
    <n v="91"/>
    <n v="9158"/>
    <x v="699"/>
    <s v="Annual"/>
    <n v="5"/>
    <n v="1"/>
    <n v="142668"/>
    <n v="713340"/>
  </r>
  <r>
    <x v="0"/>
    <n v="57"/>
    <x v="22"/>
    <x v="0"/>
    <x v="0"/>
    <n v="1005"/>
    <x v="23"/>
    <x v="21"/>
    <x v="40"/>
    <n v="3338"/>
    <x v="171"/>
    <n v="4225"/>
    <x v="128"/>
    <s v="D 03"/>
    <n v="91"/>
    <n v="9158"/>
    <x v="699"/>
    <s v="Annual"/>
    <n v="2"/>
    <n v="1"/>
    <n v="138318"/>
    <n v="276636"/>
  </r>
  <r>
    <x v="0"/>
    <n v="57"/>
    <x v="22"/>
    <x v="0"/>
    <x v="0"/>
    <n v="1005"/>
    <x v="23"/>
    <x v="21"/>
    <x v="40"/>
    <n v="3338"/>
    <x v="171"/>
    <n v="4225"/>
    <x v="128"/>
    <s v="D 03"/>
    <n v="91"/>
    <n v="9158"/>
    <x v="699"/>
    <s v="Annual"/>
    <n v="1"/>
    <n v="1"/>
    <n v="133884"/>
    <n v="133884"/>
  </r>
  <r>
    <x v="0"/>
    <n v="57"/>
    <x v="22"/>
    <x v="0"/>
    <x v="0"/>
    <n v="1005"/>
    <x v="23"/>
    <x v="21"/>
    <x v="40"/>
    <n v="3338"/>
    <x v="171"/>
    <n v="4225"/>
    <x v="128"/>
    <s v="1 00"/>
    <n v="0"/>
    <n v="15"/>
    <x v="37"/>
    <s v="Annual"/>
    <n v="0"/>
    <n v="0"/>
    <n v="7518"/>
    <n v="7518"/>
  </r>
  <r>
    <x v="0"/>
    <n v="57"/>
    <x v="22"/>
    <x v="0"/>
    <x v="0"/>
    <n v="1005"/>
    <x v="23"/>
    <x v="21"/>
    <x v="40"/>
    <n v="3338"/>
    <x v="171"/>
    <n v="4227"/>
    <x v="129"/>
    <s v="E 04"/>
    <n v="73"/>
    <n v="9173"/>
    <x v="662"/>
    <s v="Annual"/>
    <n v="1"/>
    <n v="1"/>
    <n v="155934"/>
    <n v="155934"/>
  </r>
  <r>
    <x v="0"/>
    <n v="57"/>
    <x v="22"/>
    <x v="0"/>
    <x v="0"/>
    <n v="1005"/>
    <x v="23"/>
    <x v="21"/>
    <x v="40"/>
    <n v="3338"/>
    <x v="171"/>
    <n v="4227"/>
    <x v="129"/>
    <s v="E 03"/>
    <n v="71"/>
    <n v="9171"/>
    <x v="651"/>
    <s v="Annual"/>
    <n v="1"/>
    <n v="1"/>
    <n v="152010"/>
    <n v="152010"/>
  </r>
  <r>
    <x v="0"/>
    <n v="57"/>
    <x v="22"/>
    <x v="0"/>
    <x v="0"/>
    <n v="1005"/>
    <x v="23"/>
    <x v="21"/>
    <x v="40"/>
    <n v="3338"/>
    <x v="171"/>
    <n v="4227"/>
    <x v="129"/>
    <s v="E 03"/>
    <n v="71"/>
    <n v="9171"/>
    <x v="651"/>
    <s v="Annual"/>
    <n v="2"/>
    <n v="1"/>
    <n v="147252"/>
    <n v="294504"/>
  </r>
  <r>
    <x v="0"/>
    <n v="57"/>
    <x v="22"/>
    <x v="0"/>
    <x v="0"/>
    <n v="1005"/>
    <x v="23"/>
    <x v="21"/>
    <x v="40"/>
    <n v="3338"/>
    <x v="171"/>
    <n v="4227"/>
    <x v="129"/>
    <s v="E 03"/>
    <n v="71"/>
    <n v="9171"/>
    <x v="651"/>
    <s v="Annual"/>
    <n v="3"/>
    <n v="1"/>
    <n v="142668"/>
    <n v="428004"/>
  </r>
  <r>
    <x v="0"/>
    <n v="57"/>
    <x v="22"/>
    <x v="0"/>
    <x v="0"/>
    <n v="1005"/>
    <x v="23"/>
    <x v="21"/>
    <x v="40"/>
    <n v="3338"/>
    <x v="171"/>
    <n v="4227"/>
    <x v="129"/>
    <s v="E 03"/>
    <n v="71"/>
    <n v="9171"/>
    <x v="651"/>
    <s v="Annual"/>
    <n v="3"/>
    <n v="1"/>
    <n v="138318"/>
    <n v="414954"/>
  </r>
  <r>
    <x v="0"/>
    <n v="57"/>
    <x v="22"/>
    <x v="0"/>
    <x v="0"/>
    <n v="1005"/>
    <x v="23"/>
    <x v="21"/>
    <x v="40"/>
    <n v="3338"/>
    <x v="171"/>
    <n v="4227"/>
    <x v="129"/>
    <s v="D 01"/>
    <n v="91"/>
    <n v="9161"/>
    <x v="655"/>
    <s v="Annual"/>
    <n v="14"/>
    <n v="1"/>
    <n v="127146"/>
    <n v="1780044"/>
  </r>
  <r>
    <x v="0"/>
    <n v="57"/>
    <x v="22"/>
    <x v="0"/>
    <x v="0"/>
    <n v="1005"/>
    <x v="23"/>
    <x v="21"/>
    <x v="40"/>
    <n v="3338"/>
    <x v="171"/>
    <n v="4227"/>
    <x v="129"/>
    <s v="D 01"/>
    <n v="91"/>
    <n v="9161"/>
    <x v="655"/>
    <s v="Annual"/>
    <n v="4"/>
    <n v="1"/>
    <n v="123576"/>
    <n v="494304"/>
  </r>
  <r>
    <x v="0"/>
    <n v="57"/>
    <x v="22"/>
    <x v="0"/>
    <x v="0"/>
    <n v="1005"/>
    <x v="23"/>
    <x v="21"/>
    <x v="40"/>
    <n v="3338"/>
    <x v="171"/>
    <n v="4227"/>
    <x v="129"/>
    <s v="D 01"/>
    <n v="91"/>
    <n v="9161"/>
    <x v="655"/>
    <s v="Annual"/>
    <n v="1"/>
    <n v="1"/>
    <n v="115158"/>
    <n v="115158"/>
  </r>
  <r>
    <x v="0"/>
    <n v="57"/>
    <x v="22"/>
    <x v="0"/>
    <x v="0"/>
    <n v="1005"/>
    <x v="23"/>
    <x v="21"/>
    <x v="40"/>
    <n v="3338"/>
    <x v="171"/>
    <n v="4227"/>
    <x v="129"/>
    <s v="D 01"/>
    <n v="91"/>
    <n v="9161"/>
    <x v="655"/>
    <s v="Annual"/>
    <n v="26"/>
    <n v="1"/>
    <n v="111252"/>
    <n v="2892552"/>
  </r>
  <r>
    <x v="0"/>
    <n v="57"/>
    <x v="22"/>
    <x v="0"/>
    <x v="0"/>
    <n v="1005"/>
    <x v="23"/>
    <x v="21"/>
    <x v="40"/>
    <n v="3338"/>
    <x v="171"/>
    <n v="4227"/>
    <x v="129"/>
    <s v="D 01"/>
    <n v="91"/>
    <n v="9161"/>
    <x v="655"/>
    <s v="Annual"/>
    <n v="15"/>
    <n v="1"/>
    <n v="63636"/>
    <n v="954540"/>
  </r>
  <r>
    <x v="0"/>
    <n v="57"/>
    <x v="22"/>
    <x v="0"/>
    <x v="0"/>
    <n v="1005"/>
    <x v="23"/>
    <x v="21"/>
    <x v="40"/>
    <n v="3338"/>
    <x v="171"/>
    <n v="4227"/>
    <x v="129"/>
    <s v="B 09"/>
    <n v="1"/>
    <n v="460"/>
    <x v="344"/>
    <s v="Annual"/>
    <n v="1"/>
    <n v="1"/>
    <n v="82140"/>
    <n v="82140"/>
  </r>
  <r>
    <x v="0"/>
    <n v="57"/>
    <x v="22"/>
    <x v="0"/>
    <x v="0"/>
    <n v="1005"/>
    <x v="23"/>
    <x v="21"/>
    <x v="40"/>
    <n v="3338"/>
    <x v="171"/>
    <n v="4227"/>
    <x v="129"/>
    <s v="B 10"/>
    <n v="1"/>
    <s v="03A7"/>
    <x v="4"/>
    <s v="Annual"/>
    <n v="1"/>
    <n v="1"/>
    <n v="90144"/>
    <n v="90144"/>
  </r>
  <r>
    <x v="0"/>
    <n v="57"/>
    <x v="22"/>
    <x v="0"/>
    <x v="0"/>
    <n v="1005"/>
    <x v="23"/>
    <x v="21"/>
    <x v="40"/>
    <n v="3339"/>
    <x v="172"/>
    <n v="4218"/>
    <x v="130"/>
    <s v="E 04"/>
    <n v="73"/>
    <n v="9173"/>
    <x v="662"/>
    <s v="Annual"/>
    <n v="1"/>
    <n v="1"/>
    <n v="170700"/>
    <n v="170700"/>
  </r>
  <r>
    <x v="0"/>
    <n v="57"/>
    <x v="22"/>
    <x v="0"/>
    <x v="0"/>
    <n v="1005"/>
    <x v="23"/>
    <x v="21"/>
    <x v="40"/>
    <n v="3339"/>
    <x v="172"/>
    <n v="4218"/>
    <x v="130"/>
    <s v="E 03"/>
    <n v="71"/>
    <n v="9171"/>
    <x v="651"/>
    <s v="Annual"/>
    <n v="2"/>
    <n v="1"/>
    <n v="152010"/>
    <n v="304020"/>
  </r>
  <r>
    <x v="0"/>
    <n v="57"/>
    <x v="22"/>
    <x v="0"/>
    <x v="0"/>
    <n v="1005"/>
    <x v="23"/>
    <x v="21"/>
    <x v="40"/>
    <n v="3339"/>
    <x v="172"/>
    <n v="4218"/>
    <x v="130"/>
    <s v="E 03"/>
    <n v="71"/>
    <n v="9171"/>
    <x v="651"/>
    <s v="Annual"/>
    <n v="2"/>
    <n v="1"/>
    <n v="147252"/>
    <n v="294504"/>
  </r>
  <r>
    <x v="0"/>
    <n v="57"/>
    <x v="22"/>
    <x v="0"/>
    <x v="0"/>
    <n v="1005"/>
    <x v="23"/>
    <x v="21"/>
    <x v="40"/>
    <n v="3339"/>
    <x v="172"/>
    <n v="4218"/>
    <x v="130"/>
    <s v="E 03"/>
    <n v="71"/>
    <n v="9171"/>
    <x v="651"/>
    <s v="Annual"/>
    <n v="2"/>
    <n v="1"/>
    <n v="142668"/>
    <n v="285336"/>
  </r>
  <r>
    <x v="0"/>
    <n v="57"/>
    <x v="22"/>
    <x v="0"/>
    <x v="0"/>
    <n v="1005"/>
    <x v="23"/>
    <x v="21"/>
    <x v="40"/>
    <n v="3339"/>
    <x v="172"/>
    <n v="4218"/>
    <x v="130"/>
    <s v="D 2B"/>
    <n v="91"/>
    <n v="9165"/>
    <x v="663"/>
    <s v="Annual"/>
    <n v="1"/>
    <n v="1"/>
    <n v="144792"/>
    <n v="144792"/>
  </r>
  <r>
    <x v="0"/>
    <n v="57"/>
    <x v="22"/>
    <x v="0"/>
    <x v="0"/>
    <n v="1005"/>
    <x v="23"/>
    <x v="21"/>
    <x v="40"/>
    <n v="3339"/>
    <x v="172"/>
    <n v="4218"/>
    <x v="130"/>
    <s v="D 2B"/>
    <n v="91"/>
    <n v="9165"/>
    <x v="663"/>
    <s v="Annual"/>
    <n v="1"/>
    <n v="1"/>
    <n v="140454"/>
    <n v="140454"/>
  </r>
  <r>
    <x v="0"/>
    <n v="57"/>
    <x v="22"/>
    <x v="0"/>
    <x v="0"/>
    <n v="1005"/>
    <x v="23"/>
    <x v="21"/>
    <x v="40"/>
    <n v="3339"/>
    <x v="172"/>
    <n v="4218"/>
    <x v="130"/>
    <s v="D 2B"/>
    <n v="91"/>
    <n v="9165"/>
    <x v="663"/>
    <s v="Annual"/>
    <n v="1"/>
    <n v="1"/>
    <n v="135816"/>
    <n v="135816"/>
  </r>
  <r>
    <x v="0"/>
    <n v="57"/>
    <x v="22"/>
    <x v="0"/>
    <x v="0"/>
    <n v="1005"/>
    <x v="23"/>
    <x v="21"/>
    <x v="40"/>
    <n v="3339"/>
    <x v="172"/>
    <n v="4218"/>
    <x v="130"/>
    <s v="D 2B"/>
    <n v="91"/>
    <n v="9165"/>
    <x v="663"/>
    <s v="Annual"/>
    <n v="5"/>
    <n v="1"/>
    <n v="99426"/>
    <n v="497130"/>
  </r>
  <r>
    <x v="0"/>
    <n v="57"/>
    <x v="22"/>
    <x v="0"/>
    <x v="0"/>
    <n v="1005"/>
    <x v="23"/>
    <x v="21"/>
    <x v="40"/>
    <n v="3339"/>
    <x v="172"/>
    <n v="4218"/>
    <x v="130"/>
    <s v="D 01"/>
    <n v="91"/>
    <n v="9161"/>
    <x v="655"/>
    <s v="Annual"/>
    <n v="4"/>
    <n v="1"/>
    <n v="127146"/>
    <n v="508584"/>
  </r>
  <r>
    <x v="0"/>
    <n v="57"/>
    <x v="22"/>
    <x v="0"/>
    <x v="0"/>
    <n v="1005"/>
    <x v="23"/>
    <x v="21"/>
    <x v="40"/>
    <n v="3339"/>
    <x v="172"/>
    <n v="4218"/>
    <x v="130"/>
    <s v="D 01"/>
    <n v="91"/>
    <n v="9161"/>
    <x v="655"/>
    <s v="Annual"/>
    <n v="5"/>
    <n v="1"/>
    <n v="123576"/>
    <n v="617880"/>
  </r>
  <r>
    <x v="0"/>
    <n v="57"/>
    <x v="22"/>
    <x v="0"/>
    <x v="0"/>
    <n v="1005"/>
    <x v="23"/>
    <x v="21"/>
    <x v="40"/>
    <n v="3339"/>
    <x v="172"/>
    <n v="4218"/>
    <x v="130"/>
    <s v="D 01"/>
    <n v="91"/>
    <n v="9161"/>
    <x v="655"/>
    <s v="Annual"/>
    <n v="8"/>
    <n v="1"/>
    <n v="119154"/>
    <n v="953232"/>
  </r>
  <r>
    <x v="0"/>
    <n v="57"/>
    <x v="22"/>
    <x v="0"/>
    <x v="0"/>
    <n v="1005"/>
    <x v="23"/>
    <x v="21"/>
    <x v="40"/>
    <n v="3339"/>
    <x v="172"/>
    <n v="4218"/>
    <x v="130"/>
    <s v="D 01"/>
    <n v="91"/>
    <n v="9161"/>
    <x v="655"/>
    <s v="Annual"/>
    <n v="2"/>
    <n v="1"/>
    <n v="111252"/>
    <n v="222504"/>
  </r>
  <r>
    <x v="0"/>
    <n v="57"/>
    <x v="22"/>
    <x v="0"/>
    <x v="0"/>
    <n v="1005"/>
    <x v="23"/>
    <x v="21"/>
    <x v="40"/>
    <n v="3339"/>
    <x v="172"/>
    <n v="4218"/>
    <x v="130"/>
    <s v="1 00"/>
    <n v="0"/>
    <n v="15"/>
    <x v="37"/>
    <s v="Annual"/>
    <n v="0"/>
    <n v="0"/>
    <n v="12662"/>
    <n v="12662"/>
  </r>
  <r>
    <x v="0"/>
    <n v="57"/>
    <x v="22"/>
    <x v="0"/>
    <x v="0"/>
    <n v="1005"/>
    <x v="23"/>
    <x v="21"/>
    <x v="40"/>
    <n v="3339"/>
    <x v="172"/>
    <n v="4226"/>
    <x v="131"/>
    <s v="3 00"/>
    <n v="99"/>
    <n v="9752"/>
    <x v="647"/>
    <s v="Annual"/>
    <n v="1"/>
    <n v="1"/>
    <n v="192240"/>
    <n v="192240"/>
  </r>
  <r>
    <x v="0"/>
    <n v="57"/>
    <x v="22"/>
    <x v="0"/>
    <x v="0"/>
    <n v="1005"/>
    <x v="23"/>
    <x v="21"/>
    <x v="40"/>
    <n v="3339"/>
    <x v="172"/>
    <n v="4226"/>
    <x v="131"/>
    <s v="E 04"/>
    <n v="73"/>
    <n v="9173"/>
    <x v="662"/>
    <s v="Annual"/>
    <n v="1"/>
    <n v="1"/>
    <n v="170700"/>
    <n v="170700"/>
  </r>
  <r>
    <x v="0"/>
    <n v="57"/>
    <x v="22"/>
    <x v="0"/>
    <x v="0"/>
    <n v="1005"/>
    <x v="23"/>
    <x v="21"/>
    <x v="40"/>
    <n v="3339"/>
    <x v="172"/>
    <n v="4226"/>
    <x v="131"/>
    <s v="E 04"/>
    <n v="73"/>
    <n v="9173"/>
    <x v="662"/>
    <s v="Annual"/>
    <n v="1"/>
    <n v="1"/>
    <n v="155934"/>
    <n v="155934"/>
  </r>
  <r>
    <x v="0"/>
    <n v="57"/>
    <x v="22"/>
    <x v="0"/>
    <x v="0"/>
    <n v="1005"/>
    <x v="23"/>
    <x v="21"/>
    <x v="40"/>
    <n v="3339"/>
    <x v="172"/>
    <n v="4226"/>
    <x v="131"/>
    <s v="E 03"/>
    <n v="71"/>
    <n v="9171"/>
    <x v="651"/>
    <s v="Annual"/>
    <n v="2"/>
    <n v="1"/>
    <n v="147252"/>
    <n v="294504"/>
  </r>
  <r>
    <x v="0"/>
    <n v="57"/>
    <x v="22"/>
    <x v="0"/>
    <x v="0"/>
    <n v="1005"/>
    <x v="23"/>
    <x v="21"/>
    <x v="40"/>
    <n v="3339"/>
    <x v="172"/>
    <n v="4226"/>
    <x v="131"/>
    <s v="E 03"/>
    <n v="71"/>
    <n v="9171"/>
    <x v="651"/>
    <s v="Annual"/>
    <n v="4"/>
    <n v="1"/>
    <n v="138318"/>
    <n v="553272"/>
  </r>
  <r>
    <x v="0"/>
    <n v="57"/>
    <x v="22"/>
    <x v="0"/>
    <x v="0"/>
    <n v="1005"/>
    <x v="23"/>
    <x v="21"/>
    <x v="40"/>
    <n v="3339"/>
    <x v="172"/>
    <n v="4226"/>
    <x v="131"/>
    <s v="D 2B"/>
    <n v="91"/>
    <n v="9165"/>
    <x v="663"/>
    <s v="Annual"/>
    <n v="1"/>
    <n v="1"/>
    <n v="144792"/>
    <n v="144792"/>
  </r>
  <r>
    <x v="0"/>
    <n v="57"/>
    <x v="22"/>
    <x v="0"/>
    <x v="0"/>
    <n v="1005"/>
    <x v="23"/>
    <x v="21"/>
    <x v="40"/>
    <n v="3339"/>
    <x v="172"/>
    <n v="4226"/>
    <x v="131"/>
    <s v="D 2B"/>
    <n v="91"/>
    <n v="9165"/>
    <x v="663"/>
    <s v="Annual"/>
    <n v="1"/>
    <n v="1"/>
    <n v="135816"/>
    <n v="135816"/>
  </r>
  <r>
    <x v="0"/>
    <n v="57"/>
    <x v="22"/>
    <x v="0"/>
    <x v="0"/>
    <n v="1005"/>
    <x v="23"/>
    <x v="21"/>
    <x v="40"/>
    <n v="3339"/>
    <x v="172"/>
    <n v="4226"/>
    <x v="131"/>
    <s v="D 01"/>
    <n v="91"/>
    <n v="9161"/>
    <x v="655"/>
    <s v="Annual"/>
    <n v="2"/>
    <n v="1"/>
    <n v="127146"/>
    <n v="254292"/>
  </r>
  <r>
    <x v="0"/>
    <n v="57"/>
    <x v="22"/>
    <x v="0"/>
    <x v="0"/>
    <n v="1005"/>
    <x v="23"/>
    <x v="21"/>
    <x v="40"/>
    <n v="3339"/>
    <x v="172"/>
    <n v="4226"/>
    <x v="131"/>
    <s v="D 01"/>
    <n v="91"/>
    <n v="9161"/>
    <x v="655"/>
    <s v="Annual"/>
    <n v="4"/>
    <n v="1"/>
    <n v="123576"/>
    <n v="494304"/>
  </r>
  <r>
    <x v="0"/>
    <n v="57"/>
    <x v="22"/>
    <x v="0"/>
    <x v="0"/>
    <n v="1005"/>
    <x v="23"/>
    <x v="21"/>
    <x v="40"/>
    <n v="3339"/>
    <x v="172"/>
    <n v="4226"/>
    <x v="131"/>
    <s v="D 01"/>
    <n v="91"/>
    <n v="9161"/>
    <x v="655"/>
    <s v="Annual"/>
    <n v="1"/>
    <n v="1"/>
    <n v="119154"/>
    <n v="119154"/>
  </r>
  <r>
    <x v="0"/>
    <n v="57"/>
    <x v="22"/>
    <x v="0"/>
    <x v="0"/>
    <n v="1005"/>
    <x v="23"/>
    <x v="21"/>
    <x v="40"/>
    <n v="3339"/>
    <x v="172"/>
    <n v="4226"/>
    <x v="131"/>
    <s v="D 01"/>
    <n v="91"/>
    <n v="9161"/>
    <x v="655"/>
    <s v="Annual"/>
    <n v="24"/>
    <n v="1"/>
    <n v="111252"/>
    <n v="2670048"/>
  </r>
  <r>
    <x v="0"/>
    <n v="57"/>
    <x v="22"/>
    <x v="0"/>
    <x v="0"/>
    <n v="1005"/>
    <x v="23"/>
    <x v="21"/>
    <x v="40"/>
    <n v="3339"/>
    <x v="172"/>
    <n v="4226"/>
    <x v="131"/>
    <s v="D 01"/>
    <n v="91"/>
    <n v="9161"/>
    <x v="655"/>
    <s v="Annual"/>
    <n v="1"/>
    <n v="1"/>
    <n v="63636"/>
    <n v="63636"/>
  </r>
  <r>
    <x v="0"/>
    <n v="57"/>
    <x v="22"/>
    <x v="0"/>
    <x v="0"/>
    <n v="1005"/>
    <x v="23"/>
    <x v="21"/>
    <x v="40"/>
    <n v="3339"/>
    <x v="172"/>
    <n v="4226"/>
    <x v="131"/>
    <s v="B 16"/>
    <n v="3"/>
    <n v="9117"/>
    <x v="674"/>
    <s v="Annual"/>
    <n v="2"/>
    <n v="1"/>
    <n v="97956"/>
    <n v="195912"/>
  </r>
  <r>
    <x v="0"/>
    <n v="57"/>
    <x v="22"/>
    <x v="0"/>
    <x v="0"/>
    <n v="1005"/>
    <x v="23"/>
    <x v="21"/>
    <x v="40"/>
    <n v="3339"/>
    <x v="172"/>
    <n v="4226"/>
    <x v="131"/>
    <s v="4 00"/>
    <n v="0"/>
    <n v="9006"/>
    <x v="700"/>
    <s v="Hourly"/>
    <n v="17680"/>
    <n v="0"/>
    <n v="37"/>
    <n v="654160"/>
  </r>
  <r>
    <x v="0"/>
    <n v="57"/>
    <x v="22"/>
    <x v="0"/>
    <x v="0"/>
    <n v="1005"/>
    <x v="23"/>
    <x v="21"/>
    <x v="40"/>
    <n v="3339"/>
    <x v="172"/>
    <n v="4226"/>
    <x v="131"/>
    <s v="1 00"/>
    <n v="0"/>
    <n v="15"/>
    <x v="37"/>
    <s v="Annual"/>
    <n v="0"/>
    <n v="0"/>
    <n v="13404"/>
    <n v="13404"/>
  </r>
  <r>
    <x v="0"/>
    <n v="57"/>
    <x v="22"/>
    <x v="0"/>
    <x v="0"/>
    <n v="1005"/>
    <x v="23"/>
    <x v="21"/>
    <x v="40"/>
    <n v="3339"/>
    <x v="172"/>
    <n v="4229"/>
    <x v="132"/>
    <s v="E 03"/>
    <n v="71"/>
    <n v="9171"/>
    <x v="651"/>
    <s v="Annual"/>
    <n v="1"/>
    <n v="1"/>
    <n v="142668"/>
    <n v="142668"/>
  </r>
  <r>
    <x v="0"/>
    <n v="57"/>
    <x v="22"/>
    <x v="0"/>
    <x v="0"/>
    <n v="1005"/>
    <x v="23"/>
    <x v="21"/>
    <x v="40"/>
    <n v="3339"/>
    <x v="172"/>
    <n v="4229"/>
    <x v="132"/>
    <s v="E 03"/>
    <n v="71"/>
    <n v="9171"/>
    <x v="651"/>
    <s v="Annual"/>
    <n v="1"/>
    <n v="1"/>
    <n v="138318"/>
    <n v="138318"/>
  </r>
  <r>
    <x v="0"/>
    <n v="57"/>
    <x v="22"/>
    <x v="0"/>
    <x v="0"/>
    <n v="1005"/>
    <x v="23"/>
    <x v="21"/>
    <x v="40"/>
    <n v="3423"/>
    <x v="173"/>
    <n v="4290"/>
    <x v="133"/>
    <s v="1 00"/>
    <n v="99"/>
    <n v="9796"/>
    <x v="659"/>
    <s v="Annual"/>
    <n v="1"/>
    <n v="1"/>
    <n v="201048"/>
    <n v="201048"/>
  </r>
  <r>
    <x v="0"/>
    <n v="57"/>
    <x v="22"/>
    <x v="0"/>
    <x v="0"/>
    <n v="1005"/>
    <x v="23"/>
    <x v="21"/>
    <x v="40"/>
    <n v="3423"/>
    <x v="173"/>
    <n v="4290"/>
    <x v="133"/>
    <s v="E 04"/>
    <n v="73"/>
    <n v="9173"/>
    <x v="662"/>
    <s v="Annual"/>
    <n v="1"/>
    <n v="1"/>
    <n v="170700"/>
    <n v="170700"/>
  </r>
  <r>
    <x v="0"/>
    <n v="57"/>
    <x v="22"/>
    <x v="0"/>
    <x v="0"/>
    <n v="1005"/>
    <x v="23"/>
    <x v="21"/>
    <x v="40"/>
    <n v="3423"/>
    <x v="173"/>
    <n v="4290"/>
    <x v="133"/>
    <s v="E 03"/>
    <n v="71"/>
    <n v="9171"/>
    <x v="651"/>
    <s v="Annual"/>
    <n v="1"/>
    <n v="1"/>
    <n v="147252"/>
    <n v="147252"/>
  </r>
  <r>
    <x v="0"/>
    <n v="57"/>
    <x v="22"/>
    <x v="0"/>
    <x v="0"/>
    <n v="1005"/>
    <x v="23"/>
    <x v="21"/>
    <x v="40"/>
    <n v="3423"/>
    <x v="173"/>
    <n v="4290"/>
    <x v="133"/>
    <s v="D 01"/>
    <n v="91"/>
    <n v="9161"/>
    <x v="655"/>
    <s v="Annual"/>
    <n v="1"/>
    <n v="1"/>
    <n v="127146"/>
    <n v="127146"/>
  </r>
  <r>
    <x v="0"/>
    <n v="57"/>
    <x v="22"/>
    <x v="0"/>
    <x v="0"/>
    <n v="1005"/>
    <x v="23"/>
    <x v="21"/>
    <x v="40"/>
    <n v="3423"/>
    <x v="173"/>
    <n v="4290"/>
    <x v="133"/>
    <s v="D 02"/>
    <n v="91"/>
    <n v="9126"/>
    <x v="701"/>
    <s v="Annual"/>
    <n v="8"/>
    <n v="1"/>
    <n v="129774"/>
    <n v="1038192"/>
  </r>
  <r>
    <x v="0"/>
    <n v="57"/>
    <x v="22"/>
    <x v="0"/>
    <x v="0"/>
    <n v="1005"/>
    <x v="23"/>
    <x v="21"/>
    <x v="40"/>
    <n v="3423"/>
    <x v="173"/>
    <n v="4290"/>
    <x v="133"/>
    <s v="D 02"/>
    <n v="91"/>
    <n v="9126"/>
    <x v="701"/>
    <s v="Annual"/>
    <n v="2"/>
    <n v="1"/>
    <n v="125112"/>
    <n v="250224"/>
  </r>
  <r>
    <x v="0"/>
    <n v="57"/>
    <x v="22"/>
    <x v="0"/>
    <x v="0"/>
    <n v="1005"/>
    <x v="23"/>
    <x v="21"/>
    <x v="40"/>
    <n v="3423"/>
    <x v="173"/>
    <n v="4290"/>
    <x v="133"/>
    <s v="D 02"/>
    <n v="91"/>
    <n v="9126"/>
    <x v="701"/>
    <s v="Annual"/>
    <n v="2"/>
    <n v="1"/>
    <n v="120900"/>
    <n v="241800"/>
  </r>
  <r>
    <x v="0"/>
    <n v="57"/>
    <x v="22"/>
    <x v="0"/>
    <x v="0"/>
    <n v="1005"/>
    <x v="23"/>
    <x v="21"/>
    <x v="40"/>
    <n v="3423"/>
    <x v="173"/>
    <n v="4290"/>
    <x v="133"/>
    <s v="D 02"/>
    <n v="91"/>
    <n v="9126"/>
    <x v="701"/>
    <s v="Annual"/>
    <n v="5"/>
    <n v="1"/>
    <n v="90816"/>
    <n v="454080"/>
  </r>
  <r>
    <x v="0"/>
    <n v="57"/>
    <x v="22"/>
    <x v="0"/>
    <x v="0"/>
    <n v="1005"/>
    <x v="23"/>
    <x v="21"/>
    <x v="40"/>
    <n v="3423"/>
    <x v="173"/>
    <n v="4290"/>
    <x v="133"/>
    <s v="GY 08"/>
    <n v="20"/>
    <n v="1141"/>
    <x v="79"/>
    <s v="Annual"/>
    <n v="1"/>
    <n v="1"/>
    <n v="89112"/>
    <n v="89112"/>
  </r>
  <r>
    <x v="0"/>
    <n v="57"/>
    <x v="22"/>
    <x v="0"/>
    <x v="0"/>
    <n v="1005"/>
    <x v="23"/>
    <x v="21"/>
    <x v="40"/>
    <n v="3423"/>
    <x v="173"/>
    <n v="4290"/>
    <x v="133"/>
    <s v="B 09"/>
    <n v="1"/>
    <n v="460"/>
    <x v="344"/>
    <s v="Annual"/>
    <n v="2"/>
    <n v="1"/>
    <n v="82140"/>
    <n v="164280"/>
  </r>
  <r>
    <x v="0"/>
    <n v="57"/>
    <x v="22"/>
    <x v="0"/>
    <x v="0"/>
    <n v="1005"/>
    <x v="23"/>
    <x v="21"/>
    <x v="40"/>
    <n v="3423"/>
    <x v="173"/>
    <n v="4290"/>
    <x v="133"/>
    <s v="B 09"/>
    <n v="1"/>
    <n v="460"/>
    <x v="344"/>
    <s v="Annual"/>
    <n v="1"/>
    <n v="1"/>
    <n v="71436"/>
    <n v="71436"/>
  </r>
  <r>
    <x v="0"/>
    <n v="57"/>
    <x v="22"/>
    <x v="0"/>
    <x v="0"/>
    <n v="1005"/>
    <x v="23"/>
    <x v="21"/>
    <x v="40"/>
    <n v="3423"/>
    <x v="173"/>
    <n v="4290"/>
    <x v="133"/>
    <s v="B 13"/>
    <n v="4"/>
    <n v="110"/>
    <x v="93"/>
    <s v="Annual"/>
    <n v="1"/>
    <n v="1"/>
    <n v="113628"/>
    <n v="113628"/>
  </r>
  <r>
    <x v="0"/>
    <n v="57"/>
    <x v="22"/>
    <x v="0"/>
    <x v="0"/>
    <n v="1005"/>
    <x v="23"/>
    <x v="21"/>
    <x v="40"/>
    <n v="3423"/>
    <x v="173"/>
    <n v="4290"/>
    <x v="133"/>
    <s v="1 00"/>
    <n v="0"/>
    <n v="15"/>
    <x v="37"/>
    <s v="Annual"/>
    <n v="0"/>
    <n v="0"/>
    <n v="5000"/>
    <n v="5000"/>
  </r>
  <r>
    <x v="0"/>
    <n v="57"/>
    <x v="22"/>
    <x v="0"/>
    <x v="0"/>
    <n v="1005"/>
    <x v="23"/>
    <x v="21"/>
    <x v="40"/>
    <n v="3423"/>
    <x v="173"/>
    <n v="4291"/>
    <x v="134"/>
    <s v="E 04"/>
    <n v="73"/>
    <n v="9173"/>
    <x v="662"/>
    <s v="Annual"/>
    <n v="2"/>
    <n v="1"/>
    <n v="170700"/>
    <n v="341400"/>
  </r>
  <r>
    <x v="0"/>
    <n v="57"/>
    <x v="22"/>
    <x v="0"/>
    <x v="0"/>
    <n v="1005"/>
    <x v="23"/>
    <x v="21"/>
    <x v="40"/>
    <n v="3423"/>
    <x v="173"/>
    <n v="4291"/>
    <x v="134"/>
    <s v="E 04"/>
    <n v="73"/>
    <n v="9173"/>
    <x v="662"/>
    <s v="Annual"/>
    <n v="1"/>
    <n v="1"/>
    <n v="165624"/>
    <n v="165624"/>
  </r>
  <r>
    <x v="0"/>
    <n v="57"/>
    <x v="22"/>
    <x v="0"/>
    <x v="0"/>
    <n v="1005"/>
    <x v="23"/>
    <x v="21"/>
    <x v="40"/>
    <n v="3423"/>
    <x v="173"/>
    <n v="4291"/>
    <x v="134"/>
    <s v="E 04"/>
    <n v="73"/>
    <n v="9173"/>
    <x v="662"/>
    <s v="Annual"/>
    <n v="1"/>
    <n v="1"/>
    <n v="155934"/>
    <n v="155934"/>
  </r>
  <r>
    <x v="0"/>
    <n v="57"/>
    <x v="22"/>
    <x v="0"/>
    <x v="0"/>
    <n v="1005"/>
    <x v="23"/>
    <x v="21"/>
    <x v="40"/>
    <n v="3423"/>
    <x v="173"/>
    <n v="4291"/>
    <x v="134"/>
    <s v="E 03"/>
    <n v="71"/>
    <n v="9171"/>
    <x v="651"/>
    <s v="Annual"/>
    <n v="5"/>
    <n v="1"/>
    <n v="152010"/>
    <n v="760050"/>
  </r>
  <r>
    <x v="0"/>
    <n v="57"/>
    <x v="22"/>
    <x v="0"/>
    <x v="0"/>
    <n v="1005"/>
    <x v="23"/>
    <x v="21"/>
    <x v="40"/>
    <n v="3423"/>
    <x v="173"/>
    <n v="4291"/>
    <x v="134"/>
    <s v="E 03"/>
    <n v="71"/>
    <n v="9171"/>
    <x v="651"/>
    <s v="Annual"/>
    <n v="10"/>
    <n v="1"/>
    <n v="147252"/>
    <n v="1472520"/>
  </r>
  <r>
    <x v="0"/>
    <n v="57"/>
    <x v="22"/>
    <x v="0"/>
    <x v="0"/>
    <n v="1005"/>
    <x v="23"/>
    <x v="21"/>
    <x v="40"/>
    <n v="3423"/>
    <x v="173"/>
    <n v="4291"/>
    <x v="134"/>
    <s v="E 03"/>
    <n v="71"/>
    <n v="9171"/>
    <x v="651"/>
    <s v="Annual"/>
    <n v="7"/>
    <n v="1"/>
    <n v="142668"/>
    <n v="998676"/>
  </r>
  <r>
    <x v="0"/>
    <n v="57"/>
    <x v="22"/>
    <x v="0"/>
    <x v="0"/>
    <n v="1005"/>
    <x v="23"/>
    <x v="21"/>
    <x v="40"/>
    <n v="3423"/>
    <x v="173"/>
    <n v="4291"/>
    <x v="134"/>
    <s v="E 03"/>
    <n v="71"/>
    <n v="9171"/>
    <x v="651"/>
    <s v="Annual"/>
    <n v="17"/>
    <n v="1"/>
    <n v="138318"/>
    <n v="2351406"/>
  </r>
  <r>
    <x v="0"/>
    <n v="57"/>
    <x v="22"/>
    <x v="0"/>
    <x v="0"/>
    <n v="1005"/>
    <x v="23"/>
    <x v="21"/>
    <x v="40"/>
    <n v="3423"/>
    <x v="173"/>
    <n v="4291"/>
    <x v="134"/>
    <s v="D 01"/>
    <n v="91"/>
    <n v="9161"/>
    <x v="655"/>
    <s v="Annual"/>
    <n v="37"/>
    <n v="1"/>
    <n v="127146"/>
    <n v="4704402"/>
  </r>
  <r>
    <x v="0"/>
    <n v="57"/>
    <x v="22"/>
    <x v="0"/>
    <x v="0"/>
    <n v="1005"/>
    <x v="23"/>
    <x v="21"/>
    <x v="40"/>
    <n v="3423"/>
    <x v="173"/>
    <n v="4291"/>
    <x v="134"/>
    <s v="D 01"/>
    <n v="91"/>
    <n v="9161"/>
    <x v="655"/>
    <s v="Annual"/>
    <n v="44"/>
    <n v="1"/>
    <n v="123576"/>
    <n v="5437344"/>
  </r>
  <r>
    <x v="0"/>
    <n v="57"/>
    <x v="22"/>
    <x v="0"/>
    <x v="0"/>
    <n v="1005"/>
    <x v="23"/>
    <x v="21"/>
    <x v="40"/>
    <n v="3423"/>
    <x v="173"/>
    <n v="4291"/>
    <x v="134"/>
    <s v="D 01"/>
    <n v="91"/>
    <n v="9161"/>
    <x v="655"/>
    <s v="Annual"/>
    <n v="21"/>
    <n v="1"/>
    <n v="119154"/>
    <n v="2502234"/>
  </r>
  <r>
    <x v="0"/>
    <n v="57"/>
    <x v="22"/>
    <x v="0"/>
    <x v="0"/>
    <n v="1005"/>
    <x v="23"/>
    <x v="21"/>
    <x v="40"/>
    <n v="3423"/>
    <x v="173"/>
    <n v="4291"/>
    <x v="134"/>
    <s v="D 01"/>
    <n v="91"/>
    <n v="9161"/>
    <x v="655"/>
    <s v="Annual"/>
    <n v="5"/>
    <n v="1"/>
    <n v="115158"/>
    <n v="575790"/>
  </r>
  <r>
    <x v="0"/>
    <n v="57"/>
    <x v="22"/>
    <x v="0"/>
    <x v="0"/>
    <n v="1005"/>
    <x v="23"/>
    <x v="21"/>
    <x v="40"/>
    <n v="3423"/>
    <x v="173"/>
    <n v="4291"/>
    <x v="134"/>
    <s v="D 01"/>
    <n v="91"/>
    <n v="9161"/>
    <x v="655"/>
    <s v="Annual"/>
    <n v="24"/>
    <n v="1"/>
    <n v="111252"/>
    <n v="2670048"/>
  </r>
  <r>
    <x v="0"/>
    <n v="57"/>
    <x v="22"/>
    <x v="0"/>
    <x v="0"/>
    <n v="1005"/>
    <x v="23"/>
    <x v="21"/>
    <x v="40"/>
    <n v="3423"/>
    <x v="173"/>
    <n v="4291"/>
    <x v="134"/>
    <s v="D 01"/>
    <n v="91"/>
    <n v="9161"/>
    <x v="655"/>
    <s v="Annual"/>
    <n v="24"/>
    <n v="1"/>
    <n v="100950"/>
    <n v="2422800"/>
  </r>
  <r>
    <x v="0"/>
    <n v="57"/>
    <x v="22"/>
    <x v="0"/>
    <x v="0"/>
    <n v="1005"/>
    <x v="23"/>
    <x v="21"/>
    <x v="40"/>
    <n v="3423"/>
    <x v="173"/>
    <n v="4291"/>
    <x v="134"/>
    <s v="D 01"/>
    <n v="91"/>
    <n v="9161"/>
    <x v="655"/>
    <s v="Annual"/>
    <n v="6"/>
    <n v="1"/>
    <n v="95982"/>
    <n v="575892"/>
  </r>
  <r>
    <x v="0"/>
    <n v="57"/>
    <x v="22"/>
    <x v="0"/>
    <x v="0"/>
    <n v="1005"/>
    <x v="23"/>
    <x v="21"/>
    <x v="40"/>
    <n v="3423"/>
    <x v="173"/>
    <n v="4291"/>
    <x v="134"/>
    <s v="D 01"/>
    <n v="91"/>
    <n v="9161"/>
    <x v="655"/>
    <s v="Annual"/>
    <n v="24"/>
    <n v="1"/>
    <n v="63636"/>
    <n v="1527264"/>
  </r>
  <r>
    <x v="0"/>
    <n v="57"/>
    <x v="22"/>
    <x v="0"/>
    <x v="0"/>
    <n v="1005"/>
    <x v="23"/>
    <x v="21"/>
    <x v="40"/>
    <n v="3423"/>
    <x v="173"/>
    <n v="4291"/>
    <x v="134"/>
    <s v="B 09"/>
    <n v="1"/>
    <n v="460"/>
    <x v="344"/>
    <s v="Annual"/>
    <n v="1"/>
    <n v="1"/>
    <n v="82140"/>
    <n v="82140"/>
  </r>
  <r>
    <x v="0"/>
    <n v="57"/>
    <x v="22"/>
    <x v="0"/>
    <x v="0"/>
    <n v="1005"/>
    <x v="23"/>
    <x v="21"/>
    <x v="40"/>
    <n v="3423"/>
    <x v="173"/>
    <n v="4291"/>
    <x v="134"/>
    <s v="1 00"/>
    <n v="0"/>
    <n v="15"/>
    <x v="37"/>
    <s v="Annual"/>
    <n v="0"/>
    <n v="0"/>
    <n v="114061"/>
    <n v="114061"/>
  </r>
  <r>
    <x v="0"/>
    <n v="57"/>
    <x v="22"/>
    <x v="0"/>
    <x v="0"/>
    <n v="1005"/>
    <x v="23"/>
    <x v="21"/>
    <x v="40"/>
    <n v="3423"/>
    <x v="173"/>
    <n v="4292"/>
    <x v="135"/>
    <s v="E 04"/>
    <n v="73"/>
    <n v="9173"/>
    <x v="662"/>
    <s v="Annual"/>
    <n v="1"/>
    <n v="1"/>
    <n v="170700"/>
    <n v="170700"/>
  </r>
  <r>
    <x v="0"/>
    <n v="57"/>
    <x v="22"/>
    <x v="0"/>
    <x v="0"/>
    <n v="1005"/>
    <x v="23"/>
    <x v="21"/>
    <x v="40"/>
    <n v="3423"/>
    <x v="173"/>
    <n v="4292"/>
    <x v="135"/>
    <s v="E 04"/>
    <n v="73"/>
    <n v="9173"/>
    <x v="662"/>
    <s v="Annual"/>
    <n v="2"/>
    <n v="1"/>
    <n v="155934"/>
    <n v="311868"/>
  </r>
  <r>
    <x v="0"/>
    <n v="57"/>
    <x v="22"/>
    <x v="0"/>
    <x v="0"/>
    <n v="1005"/>
    <x v="23"/>
    <x v="21"/>
    <x v="40"/>
    <n v="3423"/>
    <x v="173"/>
    <n v="4292"/>
    <x v="135"/>
    <s v="E 03"/>
    <n v="71"/>
    <n v="9171"/>
    <x v="651"/>
    <s v="Annual"/>
    <n v="10"/>
    <n v="1"/>
    <n v="152010"/>
    <n v="1520100"/>
  </r>
  <r>
    <x v="0"/>
    <n v="57"/>
    <x v="22"/>
    <x v="0"/>
    <x v="0"/>
    <n v="1005"/>
    <x v="23"/>
    <x v="21"/>
    <x v="40"/>
    <n v="3423"/>
    <x v="173"/>
    <n v="4292"/>
    <x v="135"/>
    <s v="E 03"/>
    <n v="71"/>
    <n v="9171"/>
    <x v="651"/>
    <s v="Annual"/>
    <n v="7"/>
    <n v="1"/>
    <n v="147252"/>
    <n v="1030764"/>
  </r>
  <r>
    <x v="0"/>
    <n v="57"/>
    <x v="22"/>
    <x v="0"/>
    <x v="0"/>
    <n v="1005"/>
    <x v="23"/>
    <x v="21"/>
    <x v="40"/>
    <n v="3423"/>
    <x v="173"/>
    <n v="4292"/>
    <x v="135"/>
    <s v="E 03"/>
    <n v="71"/>
    <n v="9171"/>
    <x v="651"/>
    <s v="Annual"/>
    <n v="3"/>
    <n v="1"/>
    <n v="142668"/>
    <n v="428004"/>
  </r>
  <r>
    <x v="0"/>
    <n v="57"/>
    <x v="22"/>
    <x v="0"/>
    <x v="0"/>
    <n v="1005"/>
    <x v="23"/>
    <x v="21"/>
    <x v="40"/>
    <n v="3423"/>
    <x v="173"/>
    <n v="4292"/>
    <x v="135"/>
    <s v="E 03"/>
    <n v="71"/>
    <n v="9171"/>
    <x v="651"/>
    <s v="Annual"/>
    <n v="5"/>
    <n v="1"/>
    <n v="138318"/>
    <n v="691590"/>
  </r>
  <r>
    <x v="0"/>
    <n v="57"/>
    <x v="22"/>
    <x v="0"/>
    <x v="0"/>
    <n v="1005"/>
    <x v="23"/>
    <x v="21"/>
    <x v="40"/>
    <n v="3423"/>
    <x v="173"/>
    <n v="4292"/>
    <x v="135"/>
    <s v="D 2B"/>
    <n v="91"/>
    <n v="9165"/>
    <x v="663"/>
    <s v="Annual"/>
    <n v="1"/>
    <n v="1"/>
    <n v="144792"/>
    <n v="144792"/>
  </r>
  <r>
    <x v="0"/>
    <n v="57"/>
    <x v="22"/>
    <x v="0"/>
    <x v="0"/>
    <n v="1005"/>
    <x v="23"/>
    <x v="21"/>
    <x v="40"/>
    <n v="3423"/>
    <x v="173"/>
    <n v="4292"/>
    <x v="135"/>
    <s v="D 2B"/>
    <n v="91"/>
    <n v="9165"/>
    <x v="663"/>
    <s v="Annual"/>
    <n v="1"/>
    <n v="1"/>
    <n v="135816"/>
    <n v="135816"/>
  </r>
  <r>
    <x v="0"/>
    <n v="57"/>
    <x v="22"/>
    <x v="0"/>
    <x v="0"/>
    <n v="1005"/>
    <x v="23"/>
    <x v="21"/>
    <x v="40"/>
    <n v="3423"/>
    <x v="173"/>
    <n v="4292"/>
    <x v="135"/>
    <s v="D 2B"/>
    <n v="91"/>
    <n v="9165"/>
    <x v="663"/>
    <s v="Annual"/>
    <n v="3"/>
    <n v="1"/>
    <n v="131448"/>
    <n v="394344"/>
  </r>
  <r>
    <x v="0"/>
    <n v="57"/>
    <x v="22"/>
    <x v="0"/>
    <x v="0"/>
    <n v="1005"/>
    <x v="23"/>
    <x v="21"/>
    <x v="40"/>
    <n v="3423"/>
    <x v="173"/>
    <n v="4292"/>
    <x v="135"/>
    <s v="D 01"/>
    <n v="91"/>
    <n v="9161"/>
    <x v="655"/>
    <s v="Annual"/>
    <n v="19"/>
    <n v="1"/>
    <n v="127146"/>
    <n v="2415774"/>
  </r>
  <r>
    <x v="0"/>
    <n v="57"/>
    <x v="22"/>
    <x v="0"/>
    <x v="0"/>
    <n v="1005"/>
    <x v="23"/>
    <x v="21"/>
    <x v="40"/>
    <n v="3423"/>
    <x v="173"/>
    <n v="4292"/>
    <x v="135"/>
    <s v="D 01"/>
    <n v="91"/>
    <n v="9161"/>
    <x v="655"/>
    <s v="Annual"/>
    <n v="22"/>
    <n v="1"/>
    <n v="123576"/>
    <n v="2718672"/>
  </r>
  <r>
    <x v="0"/>
    <n v="57"/>
    <x v="22"/>
    <x v="0"/>
    <x v="0"/>
    <n v="1005"/>
    <x v="23"/>
    <x v="21"/>
    <x v="40"/>
    <n v="3423"/>
    <x v="173"/>
    <n v="4292"/>
    <x v="135"/>
    <s v="D 01"/>
    <n v="91"/>
    <n v="9161"/>
    <x v="655"/>
    <s v="Annual"/>
    <n v="13"/>
    <n v="1"/>
    <n v="119154"/>
    <n v="1549002"/>
  </r>
  <r>
    <x v="0"/>
    <n v="57"/>
    <x v="22"/>
    <x v="0"/>
    <x v="0"/>
    <n v="1005"/>
    <x v="23"/>
    <x v="21"/>
    <x v="40"/>
    <n v="3423"/>
    <x v="173"/>
    <n v="4292"/>
    <x v="135"/>
    <s v="D 01"/>
    <n v="91"/>
    <n v="9161"/>
    <x v="655"/>
    <s v="Annual"/>
    <n v="3"/>
    <n v="1"/>
    <n v="115158"/>
    <n v="345474"/>
  </r>
  <r>
    <x v="0"/>
    <n v="57"/>
    <x v="22"/>
    <x v="0"/>
    <x v="0"/>
    <n v="1005"/>
    <x v="23"/>
    <x v="21"/>
    <x v="40"/>
    <n v="3423"/>
    <x v="173"/>
    <n v="4292"/>
    <x v="135"/>
    <s v="D 01"/>
    <n v="91"/>
    <n v="9161"/>
    <x v="655"/>
    <s v="Annual"/>
    <n v="1"/>
    <n v="1"/>
    <n v="111252"/>
    <n v="111252"/>
  </r>
  <r>
    <x v="0"/>
    <n v="57"/>
    <x v="22"/>
    <x v="0"/>
    <x v="0"/>
    <n v="1005"/>
    <x v="23"/>
    <x v="21"/>
    <x v="40"/>
    <n v="3423"/>
    <x v="173"/>
    <n v="4292"/>
    <x v="135"/>
    <s v="D 01"/>
    <n v="91"/>
    <n v="9161"/>
    <x v="655"/>
    <s v="Annual"/>
    <n v="11"/>
    <n v="1"/>
    <n v="63636"/>
    <n v="699996"/>
  </r>
  <r>
    <x v="0"/>
    <n v="57"/>
    <x v="22"/>
    <x v="0"/>
    <x v="0"/>
    <n v="1005"/>
    <x v="23"/>
    <x v="21"/>
    <x v="40"/>
    <n v="3423"/>
    <x v="173"/>
    <n v="4292"/>
    <x v="135"/>
    <s v="B 09"/>
    <n v="1"/>
    <n v="460"/>
    <x v="344"/>
    <s v="Annual"/>
    <n v="1"/>
    <n v="1"/>
    <n v="82140"/>
    <n v="82140"/>
  </r>
  <r>
    <x v="0"/>
    <n v="57"/>
    <x v="22"/>
    <x v="0"/>
    <x v="0"/>
    <n v="1005"/>
    <x v="23"/>
    <x v="21"/>
    <x v="40"/>
    <n v="3423"/>
    <x v="173"/>
    <n v="4292"/>
    <x v="135"/>
    <s v="1 00"/>
    <n v="0"/>
    <n v="15"/>
    <x v="37"/>
    <s v="Annual"/>
    <n v="0"/>
    <n v="0"/>
    <n v="33495"/>
    <n v="33495"/>
  </r>
  <r>
    <x v="0"/>
    <n v="57"/>
    <x v="22"/>
    <x v="0"/>
    <x v="0"/>
    <n v="1005"/>
    <x v="23"/>
    <x v="21"/>
    <x v="40"/>
    <n v="3423"/>
    <x v="173"/>
    <n v="4293"/>
    <x v="136"/>
    <s v="E 04"/>
    <n v="73"/>
    <n v="9173"/>
    <x v="662"/>
    <s v="Annual"/>
    <n v="1"/>
    <n v="1"/>
    <n v="170700"/>
    <n v="170700"/>
  </r>
  <r>
    <x v="0"/>
    <n v="57"/>
    <x v="22"/>
    <x v="0"/>
    <x v="0"/>
    <n v="1005"/>
    <x v="23"/>
    <x v="21"/>
    <x v="40"/>
    <n v="3423"/>
    <x v="173"/>
    <n v="4293"/>
    <x v="136"/>
    <s v="E 04"/>
    <n v="73"/>
    <n v="9173"/>
    <x v="662"/>
    <s v="Annual"/>
    <n v="1"/>
    <n v="1"/>
    <n v="155934"/>
    <n v="155934"/>
  </r>
  <r>
    <x v="0"/>
    <n v="57"/>
    <x v="22"/>
    <x v="0"/>
    <x v="0"/>
    <n v="1005"/>
    <x v="23"/>
    <x v="21"/>
    <x v="40"/>
    <n v="3423"/>
    <x v="173"/>
    <n v="4293"/>
    <x v="136"/>
    <s v="E 03"/>
    <n v="71"/>
    <n v="9171"/>
    <x v="651"/>
    <s v="Annual"/>
    <n v="1"/>
    <n v="1"/>
    <n v="156564"/>
    <n v="156564"/>
  </r>
  <r>
    <x v="0"/>
    <n v="57"/>
    <x v="22"/>
    <x v="0"/>
    <x v="0"/>
    <n v="1005"/>
    <x v="23"/>
    <x v="21"/>
    <x v="40"/>
    <n v="3423"/>
    <x v="173"/>
    <n v="4293"/>
    <x v="136"/>
    <s v="E 03"/>
    <n v="71"/>
    <n v="9171"/>
    <x v="651"/>
    <s v="Annual"/>
    <n v="1"/>
    <n v="1"/>
    <n v="152010"/>
    <n v="152010"/>
  </r>
  <r>
    <x v="0"/>
    <n v="57"/>
    <x v="22"/>
    <x v="0"/>
    <x v="0"/>
    <n v="1005"/>
    <x v="23"/>
    <x v="21"/>
    <x v="40"/>
    <n v="3423"/>
    <x v="173"/>
    <n v="4293"/>
    <x v="136"/>
    <s v="E 03"/>
    <n v="71"/>
    <n v="9171"/>
    <x v="651"/>
    <s v="Annual"/>
    <n v="1"/>
    <n v="1"/>
    <n v="147252"/>
    <n v="147252"/>
  </r>
  <r>
    <x v="0"/>
    <n v="57"/>
    <x v="22"/>
    <x v="0"/>
    <x v="0"/>
    <n v="1005"/>
    <x v="23"/>
    <x v="21"/>
    <x v="40"/>
    <n v="3423"/>
    <x v="173"/>
    <n v="4293"/>
    <x v="136"/>
    <s v="E 03"/>
    <n v="71"/>
    <n v="9171"/>
    <x v="651"/>
    <s v="Annual"/>
    <n v="2"/>
    <n v="1"/>
    <n v="142668"/>
    <n v="285336"/>
  </r>
  <r>
    <x v="0"/>
    <n v="57"/>
    <x v="22"/>
    <x v="0"/>
    <x v="0"/>
    <n v="1005"/>
    <x v="23"/>
    <x v="21"/>
    <x v="40"/>
    <n v="3423"/>
    <x v="173"/>
    <n v="4293"/>
    <x v="136"/>
    <s v="E 03"/>
    <n v="71"/>
    <n v="9171"/>
    <x v="651"/>
    <s v="Annual"/>
    <n v="2"/>
    <n v="1"/>
    <n v="138318"/>
    <n v="276636"/>
  </r>
  <r>
    <x v="0"/>
    <n v="57"/>
    <x v="22"/>
    <x v="0"/>
    <x v="0"/>
    <n v="1005"/>
    <x v="23"/>
    <x v="21"/>
    <x v="40"/>
    <n v="3423"/>
    <x v="173"/>
    <n v="4293"/>
    <x v="136"/>
    <s v="D 2B"/>
    <n v="91"/>
    <n v="9165"/>
    <x v="663"/>
    <s v="Annual"/>
    <n v="1"/>
    <n v="1"/>
    <n v="144792"/>
    <n v="144792"/>
  </r>
  <r>
    <x v="0"/>
    <n v="57"/>
    <x v="22"/>
    <x v="0"/>
    <x v="0"/>
    <n v="1005"/>
    <x v="23"/>
    <x v="21"/>
    <x v="40"/>
    <n v="3423"/>
    <x v="173"/>
    <n v="4293"/>
    <x v="136"/>
    <s v="D 2B"/>
    <n v="91"/>
    <n v="9165"/>
    <x v="663"/>
    <s v="Annual"/>
    <n v="2"/>
    <n v="1"/>
    <n v="140454"/>
    <n v="280908"/>
  </r>
  <r>
    <x v="0"/>
    <n v="57"/>
    <x v="22"/>
    <x v="0"/>
    <x v="0"/>
    <n v="1005"/>
    <x v="23"/>
    <x v="21"/>
    <x v="40"/>
    <n v="3423"/>
    <x v="173"/>
    <n v="4293"/>
    <x v="136"/>
    <s v="D 2B"/>
    <n v="91"/>
    <n v="9165"/>
    <x v="663"/>
    <s v="Annual"/>
    <n v="1"/>
    <n v="1"/>
    <n v="135816"/>
    <n v="135816"/>
  </r>
  <r>
    <x v="0"/>
    <n v="57"/>
    <x v="22"/>
    <x v="0"/>
    <x v="0"/>
    <n v="1005"/>
    <x v="23"/>
    <x v="21"/>
    <x v="40"/>
    <n v="3423"/>
    <x v="173"/>
    <n v="4293"/>
    <x v="136"/>
    <s v="D 01"/>
    <n v="91"/>
    <n v="9161"/>
    <x v="655"/>
    <s v="Annual"/>
    <n v="4"/>
    <n v="1"/>
    <n v="127146"/>
    <n v="508584"/>
  </r>
  <r>
    <x v="0"/>
    <n v="57"/>
    <x v="22"/>
    <x v="0"/>
    <x v="0"/>
    <n v="1005"/>
    <x v="23"/>
    <x v="21"/>
    <x v="40"/>
    <n v="3423"/>
    <x v="173"/>
    <n v="4293"/>
    <x v="136"/>
    <s v="D 01"/>
    <n v="91"/>
    <n v="9161"/>
    <x v="655"/>
    <s v="Annual"/>
    <n v="6"/>
    <n v="1"/>
    <n v="123576"/>
    <n v="741456"/>
  </r>
  <r>
    <x v="0"/>
    <n v="57"/>
    <x v="22"/>
    <x v="0"/>
    <x v="0"/>
    <n v="1005"/>
    <x v="23"/>
    <x v="21"/>
    <x v="40"/>
    <n v="3423"/>
    <x v="173"/>
    <n v="4293"/>
    <x v="136"/>
    <s v="D 01"/>
    <n v="91"/>
    <n v="9161"/>
    <x v="655"/>
    <s v="Annual"/>
    <n v="4"/>
    <n v="1"/>
    <n v="119154"/>
    <n v="476616"/>
  </r>
  <r>
    <x v="0"/>
    <n v="57"/>
    <x v="22"/>
    <x v="0"/>
    <x v="0"/>
    <n v="1005"/>
    <x v="23"/>
    <x v="21"/>
    <x v="40"/>
    <n v="3423"/>
    <x v="173"/>
    <n v="4293"/>
    <x v="136"/>
    <s v="D 01"/>
    <n v="91"/>
    <n v="9161"/>
    <x v="655"/>
    <s v="Annual"/>
    <n v="3"/>
    <n v="1"/>
    <n v="115158"/>
    <n v="345474"/>
  </r>
  <r>
    <x v="0"/>
    <n v="57"/>
    <x v="22"/>
    <x v="0"/>
    <x v="0"/>
    <n v="1005"/>
    <x v="23"/>
    <x v="21"/>
    <x v="40"/>
    <n v="3423"/>
    <x v="173"/>
    <n v="4293"/>
    <x v="136"/>
    <s v="D 01"/>
    <n v="91"/>
    <n v="9161"/>
    <x v="655"/>
    <s v="Annual"/>
    <n v="8"/>
    <n v="1"/>
    <n v="111252"/>
    <n v="890016"/>
  </r>
  <r>
    <x v="0"/>
    <n v="57"/>
    <x v="22"/>
    <x v="0"/>
    <x v="0"/>
    <n v="1005"/>
    <x v="23"/>
    <x v="21"/>
    <x v="40"/>
    <n v="3423"/>
    <x v="173"/>
    <n v="4293"/>
    <x v="136"/>
    <s v="4 00"/>
    <n v="0"/>
    <n v="4096"/>
    <x v="702"/>
    <s v="Hourly"/>
    <n v="1"/>
    <n v="1"/>
    <n v="16.600000000000001"/>
    <n v="34528"/>
  </r>
  <r>
    <x v="0"/>
    <n v="57"/>
    <x v="22"/>
    <x v="0"/>
    <x v="0"/>
    <n v="1005"/>
    <x v="23"/>
    <x v="21"/>
    <x v="40"/>
    <n v="3423"/>
    <x v="173"/>
    <n v="4293"/>
    <x v="136"/>
    <s v="4 00"/>
    <n v="0"/>
    <n v="4096"/>
    <x v="702"/>
    <s v="Hourly"/>
    <n v="2704"/>
    <n v="0"/>
    <n v="15.4"/>
    <n v="41642"/>
  </r>
  <r>
    <x v="0"/>
    <n v="57"/>
    <x v="22"/>
    <x v="0"/>
    <x v="0"/>
    <n v="1005"/>
    <x v="23"/>
    <x v="21"/>
    <x v="40"/>
    <n v="3423"/>
    <x v="173"/>
    <n v="4293"/>
    <x v="136"/>
    <s v="B 09"/>
    <n v="1"/>
    <n v="460"/>
    <x v="344"/>
    <s v="Annual"/>
    <n v="1"/>
    <n v="1"/>
    <n v="82140"/>
    <n v="82140"/>
  </r>
  <r>
    <x v="0"/>
    <n v="57"/>
    <x v="22"/>
    <x v="0"/>
    <x v="0"/>
    <n v="1005"/>
    <x v="23"/>
    <x v="21"/>
    <x v="40"/>
    <n v="3423"/>
    <x v="173"/>
    <n v="4293"/>
    <x v="136"/>
    <s v="1 00"/>
    <n v="0"/>
    <n v="15"/>
    <x v="37"/>
    <s v="Annual"/>
    <n v="0"/>
    <n v="0"/>
    <n v="12471"/>
    <n v="12471"/>
  </r>
  <r>
    <x v="0"/>
    <n v="57"/>
    <x v="22"/>
    <x v="0"/>
    <x v="0"/>
    <n v="1005"/>
    <x v="23"/>
    <x v="21"/>
    <x v="40"/>
    <n v="3423"/>
    <x v="173"/>
    <n v="4294"/>
    <x v="137"/>
    <s v="E 04"/>
    <n v="73"/>
    <n v="9173"/>
    <x v="662"/>
    <s v="Annual"/>
    <n v="1"/>
    <n v="1"/>
    <n v="170700"/>
    <n v="170700"/>
  </r>
  <r>
    <x v="0"/>
    <n v="57"/>
    <x v="22"/>
    <x v="0"/>
    <x v="0"/>
    <n v="1005"/>
    <x v="23"/>
    <x v="21"/>
    <x v="40"/>
    <n v="3423"/>
    <x v="173"/>
    <n v="4294"/>
    <x v="137"/>
    <s v="E 03"/>
    <n v="71"/>
    <n v="9171"/>
    <x v="651"/>
    <s v="Annual"/>
    <n v="3"/>
    <n v="1"/>
    <n v="147252"/>
    <n v="441756"/>
  </r>
  <r>
    <x v="0"/>
    <n v="57"/>
    <x v="22"/>
    <x v="0"/>
    <x v="0"/>
    <n v="1005"/>
    <x v="23"/>
    <x v="21"/>
    <x v="40"/>
    <n v="3423"/>
    <x v="173"/>
    <n v="4294"/>
    <x v="137"/>
    <s v="E 03"/>
    <n v="71"/>
    <n v="9171"/>
    <x v="651"/>
    <s v="Annual"/>
    <n v="1"/>
    <n v="1"/>
    <n v="142668"/>
    <n v="142668"/>
  </r>
  <r>
    <x v="0"/>
    <n v="57"/>
    <x v="22"/>
    <x v="0"/>
    <x v="0"/>
    <n v="1005"/>
    <x v="23"/>
    <x v="21"/>
    <x v="40"/>
    <n v="3423"/>
    <x v="173"/>
    <n v="4294"/>
    <x v="137"/>
    <s v="D 01"/>
    <n v="91"/>
    <n v="9161"/>
    <x v="655"/>
    <s v="Annual"/>
    <n v="4"/>
    <n v="1"/>
    <n v="127146"/>
    <n v="508584"/>
  </r>
  <r>
    <x v="0"/>
    <n v="57"/>
    <x v="22"/>
    <x v="0"/>
    <x v="0"/>
    <n v="1005"/>
    <x v="23"/>
    <x v="21"/>
    <x v="40"/>
    <n v="3423"/>
    <x v="173"/>
    <n v="4294"/>
    <x v="137"/>
    <s v="D 01"/>
    <n v="91"/>
    <n v="9161"/>
    <x v="655"/>
    <s v="Annual"/>
    <n v="1"/>
    <n v="1"/>
    <n v="123576"/>
    <n v="123576"/>
  </r>
  <r>
    <x v="0"/>
    <n v="57"/>
    <x v="22"/>
    <x v="0"/>
    <x v="0"/>
    <n v="1005"/>
    <x v="23"/>
    <x v="21"/>
    <x v="40"/>
    <n v="3423"/>
    <x v="173"/>
    <n v="4294"/>
    <x v="137"/>
    <s v="D 01"/>
    <n v="91"/>
    <n v="9161"/>
    <x v="655"/>
    <s v="Annual"/>
    <n v="1"/>
    <n v="1"/>
    <n v="119154"/>
    <n v="119154"/>
  </r>
  <r>
    <x v="0"/>
    <n v="57"/>
    <x v="22"/>
    <x v="0"/>
    <x v="0"/>
    <n v="1005"/>
    <x v="23"/>
    <x v="21"/>
    <x v="40"/>
    <n v="3423"/>
    <x v="173"/>
    <n v="4294"/>
    <x v="137"/>
    <s v="D 01"/>
    <n v="91"/>
    <n v="9161"/>
    <x v="655"/>
    <s v="Annual"/>
    <n v="5"/>
    <n v="1"/>
    <n v="111252"/>
    <n v="556260"/>
  </r>
  <r>
    <x v="0"/>
    <n v="57"/>
    <x v="22"/>
    <x v="0"/>
    <x v="0"/>
    <n v="1005"/>
    <x v="23"/>
    <x v="21"/>
    <x v="40"/>
    <n v="3423"/>
    <x v="173"/>
    <n v="4294"/>
    <x v="137"/>
    <s v="B 13"/>
    <n v="4"/>
    <n v="110"/>
    <x v="93"/>
    <s v="Annual"/>
    <n v="1"/>
    <n v="1"/>
    <n v="119100"/>
    <n v="119100"/>
  </r>
  <r>
    <x v="0"/>
    <n v="57"/>
    <x v="22"/>
    <x v="0"/>
    <x v="0"/>
    <n v="1005"/>
    <x v="23"/>
    <x v="21"/>
    <x v="40"/>
    <n v="3423"/>
    <x v="173"/>
    <n v="4294"/>
    <x v="137"/>
    <s v="B 13"/>
    <n v="4"/>
    <n v="110"/>
    <x v="93"/>
    <s v="Annual"/>
    <n v="1"/>
    <n v="1"/>
    <n v="103608"/>
    <n v="103608"/>
  </r>
  <r>
    <x v="0"/>
    <n v="57"/>
    <x v="22"/>
    <x v="0"/>
    <x v="0"/>
    <n v="1005"/>
    <x v="23"/>
    <x v="21"/>
    <x v="40"/>
    <n v="3423"/>
    <x v="173"/>
    <n v="4294"/>
    <x v="137"/>
    <s v="1 00"/>
    <n v="0"/>
    <n v="15"/>
    <x v="37"/>
    <s v="Annual"/>
    <n v="0"/>
    <n v="0"/>
    <n v="8004"/>
    <n v="8004"/>
  </r>
  <r>
    <x v="0"/>
    <n v="57"/>
    <x v="22"/>
    <x v="0"/>
    <x v="0"/>
    <n v="1005"/>
    <x v="23"/>
    <x v="22"/>
    <x v="41"/>
    <n v="3063"/>
    <x v="174"/>
    <n v="4132"/>
    <x v="138"/>
    <s v="B 15"/>
    <n v="1"/>
    <n v="9228"/>
    <x v="703"/>
    <s v="Annual"/>
    <n v="1"/>
    <n v="1"/>
    <n v="119100"/>
    <n v="119100"/>
  </r>
  <r>
    <x v="0"/>
    <n v="57"/>
    <x v="22"/>
    <x v="0"/>
    <x v="0"/>
    <n v="1005"/>
    <x v="23"/>
    <x v="22"/>
    <x v="41"/>
    <n v="3063"/>
    <x v="174"/>
    <n v="4132"/>
    <x v="138"/>
    <s v="B 13"/>
    <n v="1"/>
    <n v="9225"/>
    <x v="704"/>
    <s v="Annual"/>
    <n v="2"/>
    <n v="1"/>
    <n v="119100"/>
    <n v="238200"/>
  </r>
  <r>
    <x v="0"/>
    <n v="57"/>
    <x v="22"/>
    <x v="0"/>
    <x v="0"/>
    <n v="1005"/>
    <x v="23"/>
    <x v="22"/>
    <x v="41"/>
    <n v="3063"/>
    <x v="174"/>
    <n v="4132"/>
    <x v="138"/>
    <s v="B 13"/>
    <n v="1"/>
    <n v="9225"/>
    <x v="704"/>
    <s v="Annual"/>
    <n v="1"/>
    <n v="1"/>
    <n v="81324"/>
    <n v="81324"/>
  </r>
  <r>
    <x v="0"/>
    <n v="57"/>
    <x v="22"/>
    <x v="0"/>
    <x v="0"/>
    <n v="1005"/>
    <x v="23"/>
    <x v="22"/>
    <x v="41"/>
    <n v="3063"/>
    <x v="174"/>
    <n v="4132"/>
    <x v="138"/>
    <s v="B 13"/>
    <n v="1"/>
    <n v="9225"/>
    <x v="704"/>
    <s v="Annual"/>
    <n v="1"/>
    <n v="1"/>
    <n v="68616"/>
    <n v="68616"/>
  </r>
  <r>
    <x v="0"/>
    <n v="57"/>
    <x v="22"/>
    <x v="0"/>
    <x v="0"/>
    <n v="1005"/>
    <x v="23"/>
    <x v="22"/>
    <x v="41"/>
    <n v="3063"/>
    <x v="174"/>
    <n v="4132"/>
    <x v="138"/>
    <s v="B 11"/>
    <n v="1"/>
    <n v="9224"/>
    <x v="705"/>
    <s v="Annual"/>
    <n v="4"/>
    <n v="1"/>
    <n v="98928"/>
    <n v="395712"/>
  </r>
  <r>
    <x v="0"/>
    <n v="57"/>
    <x v="22"/>
    <x v="0"/>
    <x v="0"/>
    <n v="1005"/>
    <x v="23"/>
    <x v="22"/>
    <x v="41"/>
    <n v="3063"/>
    <x v="174"/>
    <n v="4132"/>
    <x v="138"/>
    <s v="B 11"/>
    <n v="1"/>
    <n v="9224"/>
    <x v="705"/>
    <s v="Annual"/>
    <n v="1"/>
    <n v="1"/>
    <n v="94452"/>
    <n v="94452"/>
  </r>
  <r>
    <x v="0"/>
    <n v="57"/>
    <x v="22"/>
    <x v="0"/>
    <x v="0"/>
    <n v="1005"/>
    <x v="23"/>
    <x v="22"/>
    <x v="41"/>
    <n v="3063"/>
    <x v="174"/>
    <n v="4132"/>
    <x v="138"/>
    <s v="B 11"/>
    <n v="1"/>
    <n v="9224"/>
    <x v="705"/>
    <s v="Annual"/>
    <n v="2"/>
    <n v="1"/>
    <n v="74916"/>
    <n v="149832"/>
  </r>
  <r>
    <x v="0"/>
    <n v="57"/>
    <x v="22"/>
    <x v="0"/>
    <x v="0"/>
    <n v="1005"/>
    <x v="23"/>
    <x v="22"/>
    <x v="41"/>
    <n v="3063"/>
    <x v="174"/>
    <n v="4132"/>
    <x v="138"/>
    <s v="X 42"/>
    <n v="9"/>
    <n v="9221"/>
    <x v="706"/>
    <s v="Annual"/>
    <n v="1"/>
    <n v="1"/>
    <n v="184584"/>
    <n v="184584"/>
  </r>
  <r>
    <x v="0"/>
    <n v="57"/>
    <x v="22"/>
    <x v="0"/>
    <x v="0"/>
    <n v="1005"/>
    <x v="23"/>
    <x v="22"/>
    <x v="41"/>
    <n v="3063"/>
    <x v="174"/>
    <n v="4132"/>
    <x v="138"/>
    <s v="B 13"/>
    <n v="3"/>
    <n v="9197"/>
    <x v="707"/>
    <s v="Annual"/>
    <n v="2"/>
    <n v="1"/>
    <n v="108576"/>
    <n v="217152"/>
  </r>
  <r>
    <x v="0"/>
    <n v="57"/>
    <x v="22"/>
    <x v="0"/>
    <x v="0"/>
    <n v="1005"/>
    <x v="23"/>
    <x v="22"/>
    <x v="41"/>
    <n v="3063"/>
    <x v="174"/>
    <n v="4132"/>
    <x v="138"/>
    <s v="B 13"/>
    <n v="3"/>
    <n v="9197"/>
    <x v="707"/>
    <s v="Annual"/>
    <n v="1"/>
    <n v="1"/>
    <n v="103608"/>
    <n v="103608"/>
  </r>
  <r>
    <x v="0"/>
    <n v="57"/>
    <x v="22"/>
    <x v="0"/>
    <x v="0"/>
    <n v="1005"/>
    <x v="23"/>
    <x v="22"/>
    <x v="41"/>
    <n v="3063"/>
    <x v="174"/>
    <n v="4132"/>
    <x v="138"/>
    <s v="B 13"/>
    <n v="3"/>
    <n v="9197"/>
    <x v="707"/>
    <s v="Annual"/>
    <n v="3"/>
    <n v="1"/>
    <n v="98928"/>
    <n v="296784"/>
  </r>
  <r>
    <x v="0"/>
    <n v="57"/>
    <x v="22"/>
    <x v="0"/>
    <x v="0"/>
    <n v="1005"/>
    <x v="23"/>
    <x v="22"/>
    <x v="41"/>
    <n v="3063"/>
    <x v="174"/>
    <n v="4132"/>
    <x v="138"/>
    <s v="B 13"/>
    <n v="3"/>
    <n v="9197"/>
    <x v="707"/>
    <s v="Annual"/>
    <n v="1"/>
    <n v="1"/>
    <n v="94452"/>
    <n v="94452"/>
  </r>
  <r>
    <x v="0"/>
    <n v="57"/>
    <x v="22"/>
    <x v="0"/>
    <x v="0"/>
    <n v="1005"/>
    <x v="23"/>
    <x v="22"/>
    <x v="41"/>
    <n v="3063"/>
    <x v="174"/>
    <n v="4132"/>
    <x v="138"/>
    <s v="B 13"/>
    <n v="3"/>
    <n v="9197"/>
    <x v="707"/>
    <s v="Annual"/>
    <n v="2"/>
    <n v="1"/>
    <n v="90144"/>
    <n v="180288"/>
  </r>
  <r>
    <x v="0"/>
    <n v="57"/>
    <x v="22"/>
    <x v="0"/>
    <x v="0"/>
    <n v="1005"/>
    <x v="23"/>
    <x v="22"/>
    <x v="41"/>
    <n v="3063"/>
    <x v="174"/>
    <n v="4132"/>
    <x v="138"/>
    <s v="B 13"/>
    <n v="3"/>
    <n v="9197"/>
    <x v="707"/>
    <s v="Annual"/>
    <n v="2"/>
    <n v="1"/>
    <n v="81324"/>
    <n v="162648"/>
  </r>
  <r>
    <x v="0"/>
    <n v="57"/>
    <x v="22"/>
    <x v="0"/>
    <x v="0"/>
    <n v="1005"/>
    <x v="23"/>
    <x v="22"/>
    <x v="41"/>
    <n v="3063"/>
    <x v="174"/>
    <n v="4132"/>
    <x v="138"/>
    <s v="B 13"/>
    <n v="3"/>
    <n v="9197"/>
    <x v="707"/>
    <s v="Annual"/>
    <n v="1"/>
    <n v="1"/>
    <n v="74172"/>
    <n v="74172"/>
  </r>
  <r>
    <x v="0"/>
    <n v="57"/>
    <x v="22"/>
    <x v="0"/>
    <x v="0"/>
    <n v="1005"/>
    <x v="23"/>
    <x v="22"/>
    <x v="41"/>
    <n v="3063"/>
    <x v="174"/>
    <n v="4132"/>
    <x v="138"/>
    <s v="B 13"/>
    <n v="3"/>
    <n v="9197"/>
    <x v="707"/>
    <s v="Annual"/>
    <n v="3"/>
    <n v="1"/>
    <n v="70752"/>
    <n v="212256"/>
  </r>
  <r>
    <x v="0"/>
    <n v="57"/>
    <x v="22"/>
    <x v="0"/>
    <x v="0"/>
    <n v="1005"/>
    <x v="23"/>
    <x v="22"/>
    <x v="41"/>
    <n v="3063"/>
    <x v="174"/>
    <n v="4132"/>
    <x v="138"/>
    <s v="B 13"/>
    <n v="3"/>
    <n v="9197"/>
    <x v="707"/>
    <s v="Annual"/>
    <n v="3"/>
    <n v="1"/>
    <n v="68616"/>
    <n v="205848"/>
  </r>
  <r>
    <x v="0"/>
    <n v="57"/>
    <x v="22"/>
    <x v="0"/>
    <x v="0"/>
    <n v="1005"/>
    <x v="23"/>
    <x v="22"/>
    <x v="41"/>
    <n v="3063"/>
    <x v="174"/>
    <n v="4132"/>
    <x v="138"/>
    <s v="BX 14"/>
    <n v="10"/>
    <n v="9194"/>
    <x v="708"/>
    <s v="Annual"/>
    <n v="2"/>
    <n v="1"/>
    <n v="80916"/>
    <n v="161832"/>
  </r>
  <r>
    <x v="0"/>
    <n v="57"/>
    <x v="22"/>
    <x v="0"/>
    <x v="0"/>
    <n v="1005"/>
    <x v="23"/>
    <x v="22"/>
    <x v="41"/>
    <n v="3063"/>
    <x v="174"/>
    <n v="4132"/>
    <x v="138"/>
    <s v="BX 14"/>
    <n v="10"/>
    <n v="9194"/>
    <x v="708"/>
    <s v="Annual"/>
    <n v="1"/>
    <n v="1"/>
    <n v="76476"/>
    <n v="76476"/>
  </r>
  <r>
    <x v="0"/>
    <n v="57"/>
    <x v="22"/>
    <x v="0"/>
    <x v="0"/>
    <n v="1005"/>
    <x v="23"/>
    <x v="22"/>
    <x v="41"/>
    <n v="3063"/>
    <x v="174"/>
    <n v="4132"/>
    <x v="138"/>
    <s v="BX 14"/>
    <n v="10"/>
    <n v="9194"/>
    <x v="708"/>
    <s v="Annual"/>
    <n v="3"/>
    <n v="1"/>
    <n v="72996"/>
    <n v="218988"/>
  </r>
  <r>
    <x v="0"/>
    <n v="57"/>
    <x v="22"/>
    <x v="0"/>
    <x v="0"/>
    <n v="1005"/>
    <x v="23"/>
    <x v="22"/>
    <x v="41"/>
    <n v="3063"/>
    <x v="174"/>
    <n v="4132"/>
    <x v="138"/>
    <s v="BX 14"/>
    <n v="10"/>
    <n v="9194"/>
    <x v="708"/>
    <s v="Annual"/>
    <n v="1"/>
    <n v="1"/>
    <n v="66516"/>
    <n v="66516"/>
  </r>
  <r>
    <x v="0"/>
    <n v="57"/>
    <x v="22"/>
    <x v="0"/>
    <x v="0"/>
    <n v="1005"/>
    <x v="23"/>
    <x v="22"/>
    <x v="41"/>
    <n v="3063"/>
    <x v="174"/>
    <n v="4132"/>
    <x v="138"/>
    <s v="BX 14"/>
    <n v="10"/>
    <n v="9194"/>
    <x v="708"/>
    <s v="Annual"/>
    <n v="2"/>
    <n v="1"/>
    <n v="63504"/>
    <n v="127008"/>
  </r>
  <r>
    <x v="0"/>
    <n v="57"/>
    <x v="22"/>
    <x v="0"/>
    <x v="0"/>
    <n v="1005"/>
    <x v="23"/>
    <x v="22"/>
    <x v="41"/>
    <n v="3063"/>
    <x v="174"/>
    <n v="4132"/>
    <x v="138"/>
    <s v="E 03"/>
    <n v="71"/>
    <n v="9171"/>
    <x v="651"/>
    <s v="Annual"/>
    <n v="4"/>
    <n v="1"/>
    <n v="147252"/>
    <n v="589008"/>
  </r>
  <r>
    <x v="0"/>
    <n v="57"/>
    <x v="22"/>
    <x v="0"/>
    <x v="0"/>
    <n v="1005"/>
    <x v="23"/>
    <x v="22"/>
    <x v="41"/>
    <n v="3063"/>
    <x v="174"/>
    <n v="4132"/>
    <x v="138"/>
    <s v="E 03"/>
    <n v="71"/>
    <n v="9171"/>
    <x v="651"/>
    <s v="Annual"/>
    <n v="4"/>
    <n v="1"/>
    <n v="138318"/>
    <n v="553272"/>
  </r>
  <r>
    <x v="0"/>
    <n v="57"/>
    <x v="22"/>
    <x v="0"/>
    <x v="0"/>
    <n v="1005"/>
    <x v="23"/>
    <x v="22"/>
    <x v="41"/>
    <n v="3063"/>
    <x v="174"/>
    <n v="4132"/>
    <x v="138"/>
    <s v="B 14"/>
    <n v="1"/>
    <n v="9003"/>
    <x v="709"/>
    <s v="Annual"/>
    <n v="2"/>
    <n v="1"/>
    <n v="130668"/>
    <n v="261336"/>
  </r>
  <r>
    <x v="0"/>
    <n v="57"/>
    <x v="22"/>
    <x v="0"/>
    <x v="0"/>
    <n v="1005"/>
    <x v="23"/>
    <x v="22"/>
    <x v="41"/>
    <n v="3063"/>
    <x v="174"/>
    <n v="4132"/>
    <x v="138"/>
    <s v="B 14"/>
    <n v="1"/>
    <n v="9003"/>
    <x v="709"/>
    <s v="Annual"/>
    <n v="1"/>
    <n v="1"/>
    <n v="113628"/>
    <n v="113628"/>
  </r>
  <r>
    <x v="0"/>
    <n v="57"/>
    <x v="22"/>
    <x v="0"/>
    <x v="0"/>
    <n v="1005"/>
    <x v="23"/>
    <x v="22"/>
    <x v="41"/>
    <n v="3063"/>
    <x v="174"/>
    <n v="4132"/>
    <x v="138"/>
    <s v="B 14"/>
    <n v="1"/>
    <n v="9003"/>
    <x v="709"/>
    <s v="Annual"/>
    <n v="1"/>
    <n v="1"/>
    <n v="98928"/>
    <n v="98928"/>
  </r>
  <r>
    <x v="0"/>
    <n v="57"/>
    <x v="22"/>
    <x v="0"/>
    <x v="0"/>
    <n v="1005"/>
    <x v="23"/>
    <x v="22"/>
    <x v="41"/>
    <n v="3063"/>
    <x v="174"/>
    <n v="4132"/>
    <x v="138"/>
    <s v="B 14"/>
    <n v="1"/>
    <n v="9003"/>
    <x v="709"/>
    <s v="Annual"/>
    <n v="1"/>
    <n v="1"/>
    <n v="93504"/>
    <n v="93504"/>
  </r>
  <r>
    <x v="0"/>
    <n v="57"/>
    <x v="22"/>
    <x v="0"/>
    <x v="0"/>
    <n v="1005"/>
    <x v="23"/>
    <x v="22"/>
    <x v="41"/>
    <n v="3063"/>
    <x v="174"/>
    <n v="4132"/>
    <x v="138"/>
    <s v="B 14"/>
    <n v="1"/>
    <n v="9003"/>
    <x v="709"/>
    <s v="Annual"/>
    <n v="1"/>
    <n v="1"/>
    <n v="89244"/>
    <n v="89244"/>
  </r>
  <r>
    <x v="0"/>
    <n v="57"/>
    <x v="22"/>
    <x v="0"/>
    <x v="0"/>
    <n v="1005"/>
    <x v="23"/>
    <x v="22"/>
    <x v="41"/>
    <n v="3063"/>
    <x v="174"/>
    <n v="4132"/>
    <x v="138"/>
    <s v="B 14"/>
    <n v="1"/>
    <n v="9003"/>
    <x v="709"/>
    <s v="Annual"/>
    <n v="1"/>
    <n v="1"/>
    <n v="85200"/>
    <n v="85200"/>
  </r>
  <r>
    <x v="0"/>
    <n v="57"/>
    <x v="22"/>
    <x v="0"/>
    <x v="0"/>
    <n v="1005"/>
    <x v="23"/>
    <x v="22"/>
    <x v="41"/>
    <n v="3063"/>
    <x v="174"/>
    <n v="4132"/>
    <x v="138"/>
    <s v="B 14"/>
    <n v="1"/>
    <n v="9003"/>
    <x v="709"/>
    <s v="Annual"/>
    <n v="2"/>
    <n v="1"/>
    <n v="81324"/>
    <n v="162648"/>
  </r>
  <r>
    <x v="0"/>
    <n v="57"/>
    <x v="22"/>
    <x v="0"/>
    <x v="0"/>
    <n v="1005"/>
    <x v="23"/>
    <x v="22"/>
    <x v="41"/>
    <n v="3063"/>
    <x v="174"/>
    <n v="4132"/>
    <x v="138"/>
    <s v="B 09"/>
    <n v="1"/>
    <n v="1815"/>
    <x v="710"/>
    <s v="Annual"/>
    <n v="1"/>
    <n v="1"/>
    <n v="82140"/>
    <n v="82140"/>
  </r>
  <r>
    <x v="0"/>
    <n v="57"/>
    <x v="22"/>
    <x v="0"/>
    <x v="0"/>
    <n v="1005"/>
    <x v="23"/>
    <x v="22"/>
    <x v="41"/>
    <n v="3063"/>
    <x v="174"/>
    <n v="4132"/>
    <x v="138"/>
    <s v="B 09"/>
    <n v="1"/>
    <n v="460"/>
    <x v="344"/>
    <s v="Annual"/>
    <n v="2"/>
    <n v="1"/>
    <n v="82140"/>
    <n v="164280"/>
  </r>
  <r>
    <x v="0"/>
    <n v="57"/>
    <x v="22"/>
    <x v="0"/>
    <x v="0"/>
    <n v="1005"/>
    <x v="23"/>
    <x v="22"/>
    <x v="41"/>
    <n v="3063"/>
    <x v="174"/>
    <n v="4132"/>
    <x v="138"/>
    <s v="B 09"/>
    <n v="1"/>
    <n v="460"/>
    <x v="344"/>
    <s v="Annual"/>
    <n v="2"/>
    <n v="1"/>
    <n v="47364"/>
    <n v="94728"/>
  </r>
  <r>
    <x v="0"/>
    <n v="57"/>
    <x v="22"/>
    <x v="0"/>
    <x v="0"/>
    <n v="1005"/>
    <x v="23"/>
    <x v="22"/>
    <x v="41"/>
    <n v="3063"/>
    <x v="174"/>
    <n v="4132"/>
    <x v="138"/>
    <s v="B 10"/>
    <n v="1"/>
    <s v="03A7"/>
    <x v="4"/>
    <s v="Annual"/>
    <n v="1"/>
    <n v="1"/>
    <n v="90144"/>
    <n v="90144"/>
  </r>
  <r>
    <x v="0"/>
    <n v="57"/>
    <x v="22"/>
    <x v="0"/>
    <x v="0"/>
    <n v="1005"/>
    <x v="23"/>
    <x v="22"/>
    <x v="41"/>
    <n v="3063"/>
    <x v="174"/>
    <n v="4132"/>
    <x v="138"/>
    <s v="B 10"/>
    <n v="1"/>
    <s v="03A7"/>
    <x v="4"/>
    <s v="Annual"/>
    <n v="1"/>
    <n v="1"/>
    <n v="78432"/>
    <n v="78432"/>
  </r>
  <r>
    <x v="0"/>
    <n v="57"/>
    <x v="22"/>
    <x v="0"/>
    <x v="0"/>
    <n v="1005"/>
    <x v="23"/>
    <x v="22"/>
    <x v="41"/>
    <n v="3063"/>
    <x v="174"/>
    <n v="4132"/>
    <x v="138"/>
    <s v="B 10"/>
    <n v="1"/>
    <s v="03A7"/>
    <x v="4"/>
    <s v="Annual"/>
    <n v="1"/>
    <n v="1"/>
    <n v="58764"/>
    <n v="58764"/>
  </r>
  <r>
    <x v="0"/>
    <n v="57"/>
    <x v="22"/>
    <x v="0"/>
    <x v="0"/>
    <n v="1005"/>
    <x v="23"/>
    <x v="22"/>
    <x v="41"/>
    <n v="3063"/>
    <x v="174"/>
    <n v="4132"/>
    <x v="138"/>
    <s v="B 10"/>
    <n v="1"/>
    <s v="03A7"/>
    <x v="4"/>
    <s v="Annual"/>
    <n v="3"/>
    <n v="1"/>
    <n v="53532"/>
    <n v="160596"/>
  </r>
  <r>
    <x v="0"/>
    <n v="57"/>
    <x v="22"/>
    <x v="0"/>
    <x v="0"/>
    <n v="1005"/>
    <x v="23"/>
    <x v="22"/>
    <x v="41"/>
    <n v="3063"/>
    <x v="174"/>
    <n v="4132"/>
    <x v="138"/>
    <s v="B 10"/>
    <n v="1"/>
    <s v="03A7"/>
    <x v="4"/>
    <s v="Annual"/>
    <n v="4"/>
    <n v="1"/>
    <n v="51936"/>
    <n v="207744"/>
  </r>
  <r>
    <x v="0"/>
    <n v="57"/>
    <x v="22"/>
    <x v="0"/>
    <x v="0"/>
    <n v="1005"/>
    <x v="23"/>
    <x v="22"/>
    <x v="41"/>
    <n v="3063"/>
    <x v="174"/>
    <n v="4132"/>
    <x v="138"/>
    <s v="BX 18"/>
    <n v="20"/>
    <n v="394"/>
    <x v="68"/>
    <s v="Annual"/>
    <n v="1"/>
    <n v="1"/>
    <n v="102444"/>
    <n v="102444"/>
  </r>
  <r>
    <x v="0"/>
    <n v="57"/>
    <x v="22"/>
    <x v="0"/>
    <x v="0"/>
    <n v="1005"/>
    <x v="23"/>
    <x v="22"/>
    <x v="41"/>
    <n v="3063"/>
    <x v="174"/>
    <n v="4132"/>
    <x v="138"/>
    <s v="BX 18"/>
    <n v="20"/>
    <n v="394"/>
    <x v="68"/>
    <s v="Annual"/>
    <n v="1"/>
    <n v="1"/>
    <n v="97836"/>
    <n v="97836"/>
  </r>
  <r>
    <x v="0"/>
    <n v="57"/>
    <x v="22"/>
    <x v="0"/>
    <x v="0"/>
    <n v="1005"/>
    <x v="23"/>
    <x v="22"/>
    <x v="41"/>
    <n v="3063"/>
    <x v="174"/>
    <n v="4132"/>
    <x v="138"/>
    <s v="1 00"/>
    <n v="0"/>
    <n v="15"/>
    <x v="37"/>
    <s v="Annual"/>
    <n v="0"/>
    <n v="0"/>
    <n v="66994"/>
    <n v="66994"/>
  </r>
  <r>
    <x v="0"/>
    <n v="57"/>
    <x v="22"/>
    <x v="0"/>
    <x v="0"/>
    <n v="1005"/>
    <x v="23"/>
    <x v="22"/>
    <x v="41"/>
    <n v="3063"/>
    <x v="174"/>
    <n v="4133"/>
    <x v="139"/>
    <s v="B 13"/>
    <n v="3"/>
    <n v="9197"/>
    <x v="707"/>
    <s v="Annual"/>
    <n v="1"/>
    <n v="1"/>
    <n v="74172"/>
    <n v="74172"/>
  </r>
  <r>
    <x v="0"/>
    <n v="57"/>
    <x v="22"/>
    <x v="0"/>
    <x v="0"/>
    <n v="1005"/>
    <x v="23"/>
    <x v="22"/>
    <x v="41"/>
    <n v="3063"/>
    <x v="174"/>
    <n v="4133"/>
    <x v="139"/>
    <s v="B 13"/>
    <n v="3"/>
    <n v="9197"/>
    <x v="707"/>
    <s v="Annual"/>
    <n v="1"/>
    <n v="1"/>
    <n v="70752"/>
    <n v="70752"/>
  </r>
  <r>
    <x v="0"/>
    <n v="57"/>
    <x v="22"/>
    <x v="0"/>
    <x v="0"/>
    <n v="1005"/>
    <x v="23"/>
    <x v="22"/>
    <x v="41"/>
    <n v="3063"/>
    <x v="174"/>
    <n v="4133"/>
    <x v="139"/>
    <s v="B 13"/>
    <n v="3"/>
    <n v="9197"/>
    <x v="707"/>
    <s v="Annual"/>
    <n v="2"/>
    <n v="1"/>
    <n v="68616"/>
    <n v="137232"/>
  </r>
  <r>
    <x v="0"/>
    <n v="57"/>
    <x v="22"/>
    <x v="0"/>
    <x v="0"/>
    <n v="1005"/>
    <x v="23"/>
    <x v="22"/>
    <x v="41"/>
    <n v="3063"/>
    <x v="174"/>
    <n v="4133"/>
    <x v="139"/>
    <s v="B 14"/>
    <n v="1"/>
    <n v="9196"/>
    <x v="711"/>
    <s v="Annual"/>
    <n v="2"/>
    <n v="1"/>
    <n v="130668"/>
    <n v="261336"/>
  </r>
  <r>
    <x v="0"/>
    <n v="57"/>
    <x v="22"/>
    <x v="0"/>
    <x v="0"/>
    <n v="1005"/>
    <x v="23"/>
    <x v="22"/>
    <x v="41"/>
    <n v="3063"/>
    <x v="174"/>
    <n v="4133"/>
    <x v="139"/>
    <s v="B 14"/>
    <n v="1"/>
    <n v="9196"/>
    <x v="711"/>
    <s v="Annual"/>
    <n v="1"/>
    <n v="1"/>
    <n v="98928"/>
    <n v="98928"/>
  </r>
  <r>
    <x v="0"/>
    <n v="57"/>
    <x v="22"/>
    <x v="0"/>
    <x v="0"/>
    <n v="1005"/>
    <x v="23"/>
    <x v="22"/>
    <x v="41"/>
    <n v="3063"/>
    <x v="174"/>
    <n v="4133"/>
    <x v="139"/>
    <s v="B 14"/>
    <n v="1"/>
    <n v="9196"/>
    <x v="711"/>
    <s v="Annual"/>
    <n v="1"/>
    <n v="1"/>
    <n v="75336"/>
    <n v="75336"/>
  </r>
  <r>
    <x v="0"/>
    <n v="57"/>
    <x v="22"/>
    <x v="0"/>
    <x v="0"/>
    <n v="1005"/>
    <x v="23"/>
    <x v="22"/>
    <x v="41"/>
    <n v="3063"/>
    <x v="174"/>
    <n v="4133"/>
    <x v="139"/>
    <s v="BX 14"/>
    <n v="10"/>
    <n v="9194"/>
    <x v="708"/>
    <s v="Annual"/>
    <n v="8"/>
    <n v="1"/>
    <n v="66516"/>
    <n v="532128"/>
  </r>
  <r>
    <x v="0"/>
    <n v="57"/>
    <x v="22"/>
    <x v="0"/>
    <x v="0"/>
    <n v="1005"/>
    <x v="23"/>
    <x v="22"/>
    <x v="41"/>
    <n v="3063"/>
    <x v="174"/>
    <n v="4133"/>
    <x v="139"/>
    <s v="E 03"/>
    <n v="71"/>
    <n v="9171"/>
    <x v="651"/>
    <s v="Annual"/>
    <n v="1"/>
    <n v="1"/>
    <n v="152010"/>
    <n v="152010"/>
  </r>
  <r>
    <x v="0"/>
    <n v="57"/>
    <x v="22"/>
    <x v="0"/>
    <x v="0"/>
    <n v="1005"/>
    <x v="23"/>
    <x v="22"/>
    <x v="41"/>
    <n v="3063"/>
    <x v="174"/>
    <n v="4133"/>
    <x v="139"/>
    <s v="B 14"/>
    <n v="1"/>
    <n v="9003"/>
    <x v="709"/>
    <s v="Annual"/>
    <n v="1"/>
    <n v="1"/>
    <n v="93504"/>
    <n v="93504"/>
  </r>
  <r>
    <x v="0"/>
    <n v="57"/>
    <x v="22"/>
    <x v="0"/>
    <x v="0"/>
    <n v="1005"/>
    <x v="23"/>
    <x v="22"/>
    <x v="41"/>
    <n v="3063"/>
    <x v="174"/>
    <n v="4133"/>
    <x v="139"/>
    <s v="B 14"/>
    <n v="1"/>
    <n v="9003"/>
    <x v="709"/>
    <s v="Annual"/>
    <n v="4"/>
    <n v="1"/>
    <n v="81324"/>
    <n v="325296"/>
  </r>
  <r>
    <x v="0"/>
    <n v="57"/>
    <x v="22"/>
    <x v="0"/>
    <x v="0"/>
    <n v="1005"/>
    <x v="23"/>
    <x v="22"/>
    <x v="41"/>
    <n v="3063"/>
    <x v="174"/>
    <n v="4133"/>
    <x v="139"/>
    <s v="B 14"/>
    <n v="1"/>
    <n v="9003"/>
    <x v="709"/>
    <s v="Annual"/>
    <n v="3"/>
    <n v="1"/>
    <n v="75336"/>
    <n v="226008"/>
  </r>
  <r>
    <x v="0"/>
    <n v="57"/>
    <x v="22"/>
    <x v="0"/>
    <x v="0"/>
    <n v="1005"/>
    <x v="23"/>
    <x v="22"/>
    <x v="41"/>
    <n v="3063"/>
    <x v="174"/>
    <n v="4133"/>
    <x v="139"/>
    <s v="B 09"/>
    <n v="1"/>
    <n v="460"/>
    <x v="344"/>
    <s v="Annual"/>
    <n v="8"/>
    <n v="1"/>
    <n v="82140"/>
    <n v="657120"/>
  </r>
  <r>
    <x v="0"/>
    <n v="57"/>
    <x v="22"/>
    <x v="0"/>
    <x v="0"/>
    <n v="1005"/>
    <x v="23"/>
    <x v="22"/>
    <x v="41"/>
    <n v="3063"/>
    <x v="174"/>
    <n v="4133"/>
    <x v="139"/>
    <s v="B 09"/>
    <n v="1"/>
    <n v="460"/>
    <x v="344"/>
    <s v="Annual"/>
    <n v="2"/>
    <n v="1"/>
    <n v="71436"/>
    <n v="142872"/>
  </r>
  <r>
    <x v="0"/>
    <n v="57"/>
    <x v="22"/>
    <x v="0"/>
    <x v="0"/>
    <n v="1005"/>
    <x v="23"/>
    <x v="22"/>
    <x v="41"/>
    <n v="3063"/>
    <x v="174"/>
    <n v="4133"/>
    <x v="139"/>
    <s v="B 09"/>
    <n v="1"/>
    <n v="460"/>
    <x v="344"/>
    <s v="Annual"/>
    <n v="1"/>
    <n v="1"/>
    <n v="47364"/>
    <n v="47364"/>
  </r>
  <r>
    <x v="0"/>
    <n v="57"/>
    <x v="22"/>
    <x v="0"/>
    <x v="0"/>
    <n v="1005"/>
    <x v="23"/>
    <x v="22"/>
    <x v="41"/>
    <n v="3063"/>
    <x v="174"/>
    <n v="4133"/>
    <x v="139"/>
    <s v="B 09"/>
    <n v="1"/>
    <n v="415"/>
    <x v="619"/>
    <s v="Annual"/>
    <n v="1"/>
    <n v="1"/>
    <n v="82140"/>
    <n v="82140"/>
  </r>
  <r>
    <x v="0"/>
    <n v="57"/>
    <x v="22"/>
    <x v="0"/>
    <x v="0"/>
    <n v="1005"/>
    <x v="23"/>
    <x v="22"/>
    <x v="41"/>
    <n v="3063"/>
    <x v="174"/>
    <n v="4133"/>
    <x v="139"/>
    <s v="B 09"/>
    <n v="1"/>
    <n v="415"/>
    <x v="619"/>
    <s v="Annual"/>
    <n v="3"/>
    <n v="1"/>
    <n v="48864"/>
    <n v="146592"/>
  </r>
  <r>
    <x v="0"/>
    <n v="57"/>
    <x v="22"/>
    <x v="0"/>
    <x v="0"/>
    <n v="1005"/>
    <x v="23"/>
    <x v="22"/>
    <x v="41"/>
    <n v="3063"/>
    <x v="174"/>
    <n v="4133"/>
    <x v="139"/>
    <s v="B 12"/>
    <n v="1"/>
    <s v="03A8"/>
    <x v="88"/>
    <s v="Annual"/>
    <n v="1"/>
    <n v="1"/>
    <n v="77640"/>
    <n v="77640"/>
  </r>
  <r>
    <x v="0"/>
    <n v="57"/>
    <x v="22"/>
    <x v="0"/>
    <x v="0"/>
    <n v="1005"/>
    <x v="23"/>
    <x v="22"/>
    <x v="41"/>
    <n v="3063"/>
    <x v="174"/>
    <n v="4133"/>
    <x v="139"/>
    <s v="B 10"/>
    <n v="1"/>
    <s v="03A7"/>
    <x v="4"/>
    <s v="Annual"/>
    <n v="1"/>
    <n v="1"/>
    <n v="78432"/>
    <n v="78432"/>
  </r>
  <r>
    <x v="0"/>
    <n v="57"/>
    <x v="22"/>
    <x v="0"/>
    <x v="0"/>
    <n v="1005"/>
    <x v="23"/>
    <x v="22"/>
    <x v="41"/>
    <n v="3063"/>
    <x v="174"/>
    <n v="4133"/>
    <x v="139"/>
    <s v="B 10"/>
    <n v="1"/>
    <s v="03A7"/>
    <x v="4"/>
    <s v="Annual"/>
    <n v="1"/>
    <n v="1"/>
    <n v="51936"/>
    <n v="51936"/>
  </r>
  <r>
    <x v="0"/>
    <n v="57"/>
    <x v="22"/>
    <x v="0"/>
    <x v="0"/>
    <n v="1005"/>
    <x v="23"/>
    <x v="22"/>
    <x v="41"/>
    <n v="3063"/>
    <x v="174"/>
    <n v="4133"/>
    <x v="139"/>
    <s v="X 43"/>
    <n v="0"/>
    <s v="03A4"/>
    <x v="237"/>
    <s v="Annual"/>
    <n v="1"/>
    <n v="1"/>
    <n v="150768"/>
    <n v="150768"/>
  </r>
  <r>
    <x v="0"/>
    <n v="57"/>
    <x v="22"/>
    <x v="0"/>
    <x v="0"/>
    <n v="1005"/>
    <x v="23"/>
    <x v="22"/>
    <x v="41"/>
    <n v="3063"/>
    <x v="174"/>
    <n v="4133"/>
    <x v="139"/>
    <s v="BX 18"/>
    <n v="20"/>
    <n v="394"/>
    <x v="68"/>
    <s v="Annual"/>
    <n v="2"/>
    <n v="1"/>
    <n v="97836"/>
    <n v="195672"/>
  </r>
  <r>
    <x v="0"/>
    <n v="57"/>
    <x v="22"/>
    <x v="0"/>
    <x v="0"/>
    <n v="1005"/>
    <x v="23"/>
    <x v="22"/>
    <x v="41"/>
    <n v="3063"/>
    <x v="174"/>
    <n v="4133"/>
    <x v="139"/>
    <s v="B 10"/>
    <n v="1"/>
    <n v="235"/>
    <x v="279"/>
    <s v="Annual"/>
    <n v="1"/>
    <n v="1"/>
    <n v="90144"/>
    <n v="90144"/>
  </r>
  <r>
    <x v="0"/>
    <n v="57"/>
    <x v="22"/>
    <x v="0"/>
    <x v="0"/>
    <n v="1005"/>
    <x v="23"/>
    <x v="22"/>
    <x v="41"/>
    <n v="3063"/>
    <x v="174"/>
    <n v="4133"/>
    <x v="139"/>
    <s v="1 00"/>
    <n v="0"/>
    <n v="15"/>
    <x v="37"/>
    <s v="Annual"/>
    <n v="0"/>
    <n v="0"/>
    <n v="41473"/>
    <n v="41473"/>
  </r>
  <r>
    <x v="0"/>
    <n v="57"/>
    <x v="22"/>
    <x v="0"/>
    <x v="0"/>
    <n v="1005"/>
    <x v="23"/>
    <x v="22"/>
    <x v="41"/>
    <n v="3063"/>
    <x v="174"/>
    <n v="4141"/>
    <x v="140"/>
    <s v="3 00"/>
    <n v="99"/>
    <n v="9752"/>
    <x v="647"/>
    <s v="Annual"/>
    <n v="1"/>
    <n v="1"/>
    <n v="192240"/>
    <n v="192240"/>
  </r>
  <r>
    <x v="0"/>
    <n v="57"/>
    <x v="22"/>
    <x v="0"/>
    <x v="0"/>
    <n v="1005"/>
    <x v="23"/>
    <x v="22"/>
    <x v="41"/>
    <n v="3063"/>
    <x v="174"/>
    <n v="4141"/>
    <x v="140"/>
    <s v="E 05"/>
    <n v="75"/>
    <n v="9175"/>
    <x v="665"/>
    <s v="Annual"/>
    <n v="1"/>
    <n v="1"/>
    <n v="188352"/>
    <n v="188352"/>
  </r>
  <r>
    <x v="0"/>
    <n v="57"/>
    <x v="22"/>
    <x v="0"/>
    <x v="0"/>
    <n v="1005"/>
    <x v="23"/>
    <x v="22"/>
    <x v="41"/>
    <n v="3063"/>
    <x v="174"/>
    <n v="4141"/>
    <x v="140"/>
    <s v="E 03"/>
    <n v="71"/>
    <n v="9171"/>
    <x v="651"/>
    <s v="Annual"/>
    <n v="2"/>
    <n v="1"/>
    <n v="142668"/>
    <n v="285336"/>
  </r>
  <r>
    <x v="0"/>
    <n v="57"/>
    <x v="22"/>
    <x v="0"/>
    <x v="0"/>
    <n v="1005"/>
    <x v="23"/>
    <x v="22"/>
    <x v="41"/>
    <n v="3063"/>
    <x v="174"/>
    <n v="4141"/>
    <x v="140"/>
    <s v="D 01"/>
    <n v="91"/>
    <n v="9161"/>
    <x v="655"/>
    <s v="Annual"/>
    <n v="1"/>
    <n v="1"/>
    <n v="115158"/>
    <n v="115158"/>
  </r>
  <r>
    <x v="0"/>
    <n v="57"/>
    <x v="22"/>
    <x v="0"/>
    <x v="0"/>
    <n v="1005"/>
    <x v="23"/>
    <x v="22"/>
    <x v="41"/>
    <n v="3063"/>
    <x v="174"/>
    <n v="4141"/>
    <x v="140"/>
    <s v="D 01"/>
    <n v="91"/>
    <n v="9161"/>
    <x v="655"/>
    <s v="Annual"/>
    <n v="1"/>
    <n v="1"/>
    <n v="111252"/>
    <n v="111252"/>
  </r>
  <r>
    <x v="0"/>
    <n v="57"/>
    <x v="22"/>
    <x v="0"/>
    <x v="0"/>
    <n v="1005"/>
    <x v="23"/>
    <x v="22"/>
    <x v="41"/>
    <n v="3063"/>
    <x v="174"/>
    <n v="4141"/>
    <x v="140"/>
    <s v="D 01"/>
    <n v="91"/>
    <n v="9161"/>
    <x v="655"/>
    <s v="Annual"/>
    <n v="1"/>
    <n v="1"/>
    <n v="105906"/>
    <n v="105906"/>
  </r>
  <r>
    <x v="0"/>
    <n v="57"/>
    <x v="22"/>
    <x v="0"/>
    <x v="0"/>
    <n v="1005"/>
    <x v="23"/>
    <x v="22"/>
    <x v="41"/>
    <n v="3063"/>
    <x v="174"/>
    <n v="4141"/>
    <x v="140"/>
    <s v="1 00"/>
    <n v="0"/>
    <n v="15"/>
    <x v="37"/>
    <s v="Annual"/>
    <n v="0"/>
    <n v="0"/>
    <n v="5067"/>
    <n v="5067"/>
  </r>
  <r>
    <x v="0"/>
    <n v="57"/>
    <x v="22"/>
    <x v="0"/>
    <x v="0"/>
    <n v="1005"/>
    <x v="23"/>
    <x v="22"/>
    <x v="41"/>
    <n v="3066"/>
    <x v="175"/>
    <n v="4136"/>
    <x v="141"/>
    <s v="E 04"/>
    <n v="73"/>
    <n v="9173"/>
    <x v="662"/>
    <s v="Annual"/>
    <n v="1"/>
    <n v="1"/>
    <n v="170700"/>
    <n v="170700"/>
  </r>
  <r>
    <x v="0"/>
    <n v="57"/>
    <x v="22"/>
    <x v="0"/>
    <x v="0"/>
    <n v="1005"/>
    <x v="23"/>
    <x v="22"/>
    <x v="41"/>
    <n v="3066"/>
    <x v="175"/>
    <n v="4136"/>
    <x v="141"/>
    <s v="E 03"/>
    <n v="71"/>
    <n v="9171"/>
    <x v="651"/>
    <s v="Annual"/>
    <n v="5"/>
    <n v="1"/>
    <n v="152010"/>
    <n v="760050"/>
  </r>
  <r>
    <x v="0"/>
    <n v="57"/>
    <x v="22"/>
    <x v="0"/>
    <x v="0"/>
    <n v="1005"/>
    <x v="23"/>
    <x v="22"/>
    <x v="41"/>
    <n v="3066"/>
    <x v="175"/>
    <n v="4136"/>
    <x v="141"/>
    <s v="E 03"/>
    <n v="71"/>
    <n v="9171"/>
    <x v="651"/>
    <s v="Annual"/>
    <n v="4"/>
    <n v="1"/>
    <n v="147252"/>
    <n v="589008"/>
  </r>
  <r>
    <x v="0"/>
    <n v="57"/>
    <x v="22"/>
    <x v="0"/>
    <x v="0"/>
    <n v="1005"/>
    <x v="23"/>
    <x v="22"/>
    <x v="41"/>
    <n v="3066"/>
    <x v="175"/>
    <n v="4136"/>
    <x v="141"/>
    <s v="E 03"/>
    <n v="71"/>
    <n v="9171"/>
    <x v="651"/>
    <s v="Annual"/>
    <n v="2"/>
    <n v="1"/>
    <n v="142668"/>
    <n v="285336"/>
  </r>
  <r>
    <x v="0"/>
    <n v="57"/>
    <x v="22"/>
    <x v="0"/>
    <x v="0"/>
    <n v="1005"/>
    <x v="23"/>
    <x v="22"/>
    <x v="41"/>
    <n v="3066"/>
    <x v="175"/>
    <n v="4136"/>
    <x v="141"/>
    <s v="D 01"/>
    <n v="91"/>
    <n v="9161"/>
    <x v="655"/>
    <s v="Annual"/>
    <n v="1"/>
    <n v="1"/>
    <n v="127146"/>
    <n v="127146"/>
  </r>
  <r>
    <x v="0"/>
    <n v="57"/>
    <x v="22"/>
    <x v="0"/>
    <x v="0"/>
    <n v="1005"/>
    <x v="23"/>
    <x v="22"/>
    <x v="41"/>
    <n v="3066"/>
    <x v="175"/>
    <n v="4136"/>
    <x v="141"/>
    <s v="D 01"/>
    <n v="91"/>
    <n v="9161"/>
    <x v="655"/>
    <s v="Annual"/>
    <n v="1"/>
    <n v="1"/>
    <n v="119154"/>
    <n v="119154"/>
  </r>
  <r>
    <x v="0"/>
    <n v="57"/>
    <x v="22"/>
    <x v="0"/>
    <x v="0"/>
    <n v="1005"/>
    <x v="23"/>
    <x v="22"/>
    <x v="41"/>
    <n v="3066"/>
    <x v="175"/>
    <n v="4136"/>
    <x v="141"/>
    <s v="D 01"/>
    <n v="91"/>
    <n v="9161"/>
    <x v="655"/>
    <s v="Annual"/>
    <n v="2"/>
    <n v="1"/>
    <n v="115158"/>
    <n v="230316"/>
  </r>
  <r>
    <x v="0"/>
    <n v="57"/>
    <x v="22"/>
    <x v="0"/>
    <x v="0"/>
    <n v="1005"/>
    <x v="23"/>
    <x v="22"/>
    <x v="41"/>
    <n v="3066"/>
    <x v="175"/>
    <n v="4136"/>
    <x v="141"/>
    <s v="D 01"/>
    <n v="91"/>
    <n v="9161"/>
    <x v="655"/>
    <s v="Annual"/>
    <n v="5"/>
    <n v="1"/>
    <n v="111252"/>
    <n v="556260"/>
  </r>
  <r>
    <x v="0"/>
    <n v="57"/>
    <x v="22"/>
    <x v="0"/>
    <x v="0"/>
    <n v="1005"/>
    <x v="23"/>
    <x v="22"/>
    <x v="41"/>
    <n v="3066"/>
    <x v="175"/>
    <n v="4136"/>
    <x v="141"/>
    <s v="D 01"/>
    <n v="91"/>
    <n v="9161"/>
    <x v="655"/>
    <s v="Annual"/>
    <n v="2"/>
    <n v="1"/>
    <n v="63636"/>
    <n v="127272"/>
  </r>
  <r>
    <x v="0"/>
    <n v="57"/>
    <x v="22"/>
    <x v="0"/>
    <x v="0"/>
    <n v="1005"/>
    <x v="23"/>
    <x v="22"/>
    <x v="41"/>
    <n v="3066"/>
    <x v="175"/>
    <n v="4136"/>
    <x v="141"/>
    <s v="B 09"/>
    <n v="1"/>
    <n v="460"/>
    <x v="344"/>
    <s v="Annual"/>
    <n v="5"/>
    <n v="1"/>
    <n v="82140"/>
    <n v="410700"/>
  </r>
  <r>
    <x v="0"/>
    <n v="57"/>
    <x v="22"/>
    <x v="0"/>
    <x v="0"/>
    <n v="1005"/>
    <x v="23"/>
    <x v="22"/>
    <x v="41"/>
    <n v="3066"/>
    <x v="175"/>
    <n v="4136"/>
    <x v="141"/>
    <s v="B 09"/>
    <n v="1"/>
    <n v="460"/>
    <x v="344"/>
    <s v="Annual"/>
    <n v="1"/>
    <n v="1"/>
    <n v="78432"/>
    <n v="78432"/>
  </r>
  <r>
    <x v="0"/>
    <n v="57"/>
    <x v="22"/>
    <x v="0"/>
    <x v="0"/>
    <n v="1005"/>
    <x v="23"/>
    <x v="22"/>
    <x v="41"/>
    <n v="3066"/>
    <x v="175"/>
    <n v="4136"/>
    <x v="141"/>
    <s v="B 09"/>
    <n v="1"/>
    <n v="460"/>
    <x v="344"/>
    <s v="Annual"/>
    <n v="1"/>
    <n v="1"/>
    <n v="47364"/>
    <n v="47364"/>
  </r>
  <r>
    <x v="0"/>
    <n v="57"/>
    <x v="22"/>
    <x v="0"/>
    <x v="0"/>
    <n v="1005"/>
    <x v="23"/>
    <x v="22"/>
    <x v="41"/>
    <n v="3066"/>
    <x v="175"/>
    <n v="4136"/>
    <x v="141"/>
    <s v="1 00"/>
    <n v="0"/>
    <n v="15"/>
    <x v="37"/>
    <s v="Annual"/>
    <n v="0"/>
    <n v="0"/>
    <n v="5261"/>
    <n v="5261"/>
  </r>
  <r>
    <x v="0"/>
    <n v="57"/>
    <x v="22"/>
    <x v="0"/>
    <x v="0"/>
    <n v="1005"/>
    <x v="23"/>
    <x v="22"/>
    <x v="41"/>
    <n v="3066"/>
    <x v="175"/>
    <n v="4137"/>
    <x v="142"/>
    <s v="E 04"/>
    <n v="73"/>
    <n v="9173"/>
    <x v="662"/>
    <s v="Annual"/>
    <n v="1"/>
    <n v="1"/>
    <n v="160746"/>
    <n v="160746"/>
  </r>
  <r>
    <x v="0"/>
    <n v="57"/>
    <x v="22"/>
    <x v="0"/>
    <x v="0"/>
    <n v="1005"/>
    <x v="23"/>
    <x v="22"/>
    <x v="41"/>
    <n v="3066"/>
    <x v="175"/>
    <n v="4137"/>
    <x v="142"/>
    <s v="E 03"/>
    <n v="71"/>
    <n v="9171"/>
    <x v="651"/>
    <s v="Annual"/>
    <n v="1"/>
    <n v="1"/>
    <n v="152010"/>
    <n v="152010"/>
  </r>
  <r>
    <x v="0"/>
    <n v="57"/>
    <x v="22"/>
    <x v="0"/>
    <x v="0"/>
    <n v="1005"/>
    <x v="23"/>
    <x v="22"/>
    <x v="41"/>
    <n v="3066"/>
    <x v="175"/>
    <n v="4137"/>
    <x v="142"/>
    <s v="E 03"/>
    <n v="71"/>
    <n v="9171"/>
    <x v="651"/>
    <s v="Annual"/>
    <n v="2"/>
    <n v="1"/>
    <n v="147252"/>
    <n v="294504"/>
  </r>
  <r>
    <x v="0"/>
    <n v="57"/>
    <x v="22"/>
    <x v="0"/>
    <x v="0"/>
    <n v="1005"/>
    <x v="23"/>
    <x v="22"/>
    <x v="41"/>
    <n v="3066"/>
    <x v="175"/>
    <n v="4137"/>
    <x v="142"/>
    <s v="E 03"/>
    <n v="71"/>
    <n v="9171"/>
    <x v="651"/>
    <s v="Annual"/>
    <n v="1"/>
    <n v="1"/>
    <n v="138318"/>
    <n v="138318"/>
  </r>
  <r>
    <x v="0"/>
    <n v="57"/>
    <x v="22"/>
    <x v="0"/>
    <x v="0"/>
    <n v="1005"/>
    <x v="23"/>
    <x v="22"/>
    <x v="41"/>
    <n v="3066"/>
    <x v="175"/>
    <n v="4137"/>
    <x v="142"/>
    <s v="D 01"/>
    <n v="91"/>
    <n v="9161"/>
    <x v="655"/>
    <s v="Annual"/>
    <n v="3"/>
    <n v="1"/>
    <n v="127146"/>
    <n v="381438"/>
  </r>
  <r>
    <x v="0"/>
    <n v="57"/>
    <x v="22"/>
    <x v="0"/>
    <x v="0"/>
    <n v="1005"/>
    <x v="23"/>
    <x v="22"/>
    <x v="41"/>
    <n v="3066"/>
    <x v="175"/>
    <n v="4137"/>
    <x v="142"/>
    <s v="D 01"/>
    <n v="91"/>
    <n v="9161"/>
    <x v="655"/>
    <s v="Annual"/>
    <n v="1"/>
    <n v="1"/>
    <n v="123576"/>
    <n v="123576"/>
  </r>
  <r>
    <x v="0"/>
    <n v="57"/>
    <x v="22"/>
    <x v="0"/>
    <x v="0"/>
    <n v="1005"/>
    <x v="23"/>
    <x v="22"/>
    <x v="41"/>
    <n v="3066"/>
    <x v="175"/>
    <n v="4137"/>
    <x v="142"/>
    <s v="D 01"/>
    <n v="91"/>
    <n v="9161"/>
    <x v="655"/>
    <s v="Annual"/>
    <n v="2"/>
    <n v="1"/>
    <n v="111252"/>
    <n v="222504"/>
  </r>
  <r>
    <x v="0"/>
    <n v="57"/>
    <x v="22"/>
    <x v="0"/>
    <x v="0"/>
    <n v="1005"/>
    <x v="23"/>
    <x v="22"/>
    <x v="41"/>
    <n v="3066"/>
    <x v="175"/>
    <n v="4137"/>
    <x v="142"/>
    <s v="1 00"/>
    <n v="0"/>
    <n v="15"/>
    <x v="37"/>
    <s v="Annual"/>
    <n v="0"/>
    <n v="0"/>
    <n v="7228"/>
    <n v="7228"/>
  </r>
  <r>
    <x v="0"/>
    <n v="57"/>
    <x v="22"/>
    <x v="0"/>
    <x v="0"/>
    <n v="1005"/>
    <x v="23"/>
    <x v="22"/>
    <x v="41"/>
    <n v="3069"/>
    <x v="176"/>
    <n v="4139"/>
    <x v="143"/>
    <s v="E 04"/>
    <n v="73"/>
    <n v="9173"/>
    <x v="662"/>
    <s v="Annual"/>
    <n v="1"/>
    <n v="1"/>
    <n v="165624"/>
    <n v="165624"/>
  </r>
  <r>
    <x v="0"/>
    <n v="57"/>
    <x v="22"/>
    <x v="0"/>
    <x v="0"/>
    <n v="1005"/>
    <x v="23"/>
    <x v="22"/>
    <x v="41"/>
    <n v="3069"/>
    <x v="176"/>
    <n v="4139"/>
    <x v="143"/>
    <s v="E 04"/>
    <n v="73"/>
    <n v="9173"/>
    <x v="662"/>
    <s v="Annual"/>
    <n v="1"/>
    <n v="1"/>
    <n v="160746"/>
    <n v="160746"/>
  </r>
  <r>
    <x v="0"/>
    <n v="57"/>
    <x v="22"/>
    <x v="0"/>
    <x v="0"/>
    <n v="1005"/>
    <x v="23"/>
    <x v="22"/>
    <x v="41"/>
    <n v="3069"/>
    <x v="176"/>
    <n v="4139"/>
    <x v="143"/>
    <s v="E 03"/>
    <n v="71"/>
    <n v="9171"/>
    <x v="651"/>
    <s v="Annual"/>
    <n v="1"/>
    <n v="1"/>
    <n v="156564"/>
    <n v="156564"/>
  </r>
  <r>
    <x v="0"/>
    <n v="57"/>
    <x v="22"/>
    <x v="0"/>
    <x v="0"/>
    <n v="1005"/>
    <x v="23"/>
    <x v="22"/>
    <x v="41"/>
    <n v="3069"/>
    <x v="176"/>
    <n v="4139"/>
    <x v="143"/>
    <s v="E 03"/>
    <n v="71"/>
    <n v="9171"/>
    <x v="651"/>
    <s v="Annual"/>
    <n v="2"/>
    <n v="1"/>
    <n v="147252"/>
    <n v="294504"/>
  </r>
  <r>
    <x v="0"/>
    <n v="57"/>
    <x v="22"/>
    <x v="0"/>
    <x v="0"/>
    <n v="1005"/>
    <x v="23"/>
    <x v="22"/>
    <x v="41"/>
    <n v="3069"/>
    <x v="176"/>
    <n v="4139"/>
    <x v="143"/>
    <s v="E 03"/>
    <n v="71"/>
    <n v="9171"/>
    <x v="651"/>
    <s v="Annual"/>
    <n v="1"/>
    <n v="1"/>
    <n v="142668"/>
    <n v="142668"/>
  </r>
  <r>
    <x v="0"/>
    <n v="57"/>
    <x v="22"/>
    <x v="0"/>
    <x v="0"/>
    <n v="1005"/>
    <x v="23"/>
    <x v="22"/>
    <x v="41"/>
    <n v="3069"/>
    <x v="176"/>
    <n v="4139"/>
    <x v="143"/>
    <s v="D 01"/>
    <n v="91"/>
    <n v="9161"/>
    <x v="655"/>
    <s v="Annual"/>
    <n v="1"/>
    <n v="1"/>
    <n v="123576"/>
    <n v="123576"/>
  </r>
  <r>
    <x v="0"/>
    <n v="57"/>
    <x v="22"/>
    <x v="0"/>
    <x v="0"/>
    <n v="1005"/>
    <x v="23"/>
    <x v="22"/>
    <x v="41"/>
    <n v="3069"/>
    <x v="176"/>
    <n v="4139"/>
    <x v="143"/>
    <s v="D 01"/>
    <n v="91"/>
    <n v="9161"/>
    <x v="655"/>
    <s v="Annual"/>
    <n v="1"/>
    <n v="1"/>
    <n v="119154"/>
    <n v="119154"/>
  </r>
  <r>
    <x v="0"/>
    <n v="57"/>
    <x v="22"/>
    <x v="0"/>
    <x v="0"/>
    <n v="1005"/>
    <x v="23"/>
    <x v="22"/>
    <x v="41"/>
    <n v="3069"/>
    <x v="176"/>
    <n v="4139"/>
    <x v="143"/>
    <s v="D 01"/>
    <n v="91"/>
    <n v="9161"/>
    <x v="655"/>
    <s v="Annual"/>
    <n v="2"/>
    <n v="1"/>
    <n v="115158"/>
    <n v="230316"/>
  </r>
  <r>
    <x v="0"/>
    <n v="57"/>
    <x v="22"/>
    <x v="0"/>
    <x v="0"/>
    <n v="1005"/>
    <x v="23"/>
    <x v="22"/>
    <x v="41"/>
    <n v="3069"/>
    <x v="176"/>
    <n v="4139"/>
    <x v="143"/>
    <s v="B 16"/>
    <n v="3"/>
    <n v="9117"/>
    <x v="674"/>
    <s v="Annual"/>
    <n v="5"/>
    <n v="1"/>
    <n v="119100"/>
    <n v="595500"/>
  </r>
  <r>
    <x v="0"/>
    <n v="57"/>
    <x v="22"/>
    <x v="0"/>
    <x v="0"/>
    <n v="1005"/>
    <x v="23"/>
    <x v="22"/>
    <x v="41"/>
    <n v="3069"/>
    <x v="176"/>
    <n v="4139"/>
    <x v="143"/>
    <s v="B 16"/>
    <n v="3"/>
    <n v="9117"/>
    <x v="674"/>
    <s v="Annual"/>
    <n v="5"/>
    <n v="1"/>
    <n v="112536"/>
    <n v="562680"/>
  </r>
  <r>
    <x v="0"/>
    <n v="57"/>
    <x v="22"/>
    <x v="0"/>
    <x v="0"/>
    <n v="1005"/>
    <x v="23"/>
    <x v="22"/>
    <x v="41"/>
    <n v="3069"/>
    <x v="176"/>
    <n v="4139"/>
    <x v="143"/>
    <s v="B 16"/>
    <n v="3"/>
    <n v="9117"/>
    <x v="674"/>
    <s v="Annual"/>
    <n v="2"/>
    <n v="1"/>
    <n v="107508"/>
    <n v="215016"/>
  </r>
  <r>
    <x v="0"/>
    <n v="57"/>
    <x v="22"/>
    <x v="0"/>
    <x v="0"/>
    <n v="1005"/>
    <x v="23"/>
    <x v="22"/>
    <x v="41"/>
    <n v="3069"/>
    <x v="176"/>
    <n v="4139"/>
    <x v="143"/>
    <s v="B 16"/>
    <n v="3"/>
    <n v="9117"/>
    <x v="674"/>
    <s v="Annual"/>
    <n v="2"/>
    <n v="1"/>
    <n v="102588"/>
    <n v="205176"/>
  </r>
  <r>
    <x v="0"/>
    <n v="57"/>
    <x v="22"/>
    <x v="0"/>
    <x v="0"/>
    <n v="1005"/>
    <x v="23"/>
    <x v="22"/>
    <x v="41"/>
    <n v="3069"/>
    <x v="176"/>
    <n v="4139"/>
    <x v="143"/>
    <s v="B 16"/>
    <n v="3"/>
    <n v="9117"/>
    <x v="674"/>
    <s v="Annual"/>
    <n v="3"/>
    <n v="1"/>
    <n v="90732"/>
    <n v="272196"/>
  </r>
  <r>
    <x v="0"/>
    <n v="57"/>
    <x v="22"/>
    <x v="0"/>
    <x v="0"/>
    <n v="1005"/>
    <x v="23"/>
    <x v="22"/>
    <x v="41"/>
    <n v="3069"/>
    <x v="176"/>
    <n v="4139"/>
    <x v="143"/>
    <s v="GY 08"/>
    <n v="20"/>
    <n v="1141"/>
    <x v="79"/>
    <s v="Annual"/>
    <n v="1"/>
    <n v="1"/>
    <n v="112080"/>
    <n v="112080"/>
  </r>
  <r>
    <x v="0"/>
    <n v="57"/>
    <x v="22"/>
    <x v="0"/>
    <x v="0"/>
    <n v="1005"/>
    <x v="23"/>
    <x v="22"/>
    <x v="41"/>
    <n v="3069"/>
    <x v="176"/>
    <n v="4139"/>
    <x v="143"/>
    <s v="GY 08"/>
    <n v="20"/>
    <n v="1141"/>
    <x v="79"/>
    <s v="Annual"/>
    <n v="4"/>
    <n v="1"/>
    <n v="85236"/>
    <n v="340944"/>
  </r>
  <r>
    <x v="0"/>
    <n v="57"/>
    <x v="22"/>
    <x v="0"/>
    <x v="0"/>
    <n v="1005"/>
    <x v="23"/>
    <x v="22"/>
    <x v="41"/>
    <n v="3069"/>
    <x v="176"/>
    <n v="4139"/>
    <x v="143"/>
    <s v="GY 08"/>
    <n v="20"/>
    <n v="1141"/>
    <x v="79"/>
    <s v="Annual"/>
    <n v="9"/>
    <n v="1"/>
    <n v="82884"/>
    <n v="745956"/>
  </r>
  <r>
    <x v="0"/>
    <n v="57"/>
    <x v="22"/>
    <x v="0"/>
    <x v="0"/>
    <n v="1005"/>
    <x v="23"/>
    <x v="22"/>
    <x v="41"/>
    <n v="3069"/>
    <x v="176"/>
    <n v="4139"/>
    <x v="143"/>
    <s v="G 09"/>
    <n v="3"/>
    <n v="1140"/>
    <x v="80"/>
    <s v="Annual"/>
    <n v="2"/>
    <n v="1"/>
    <n v="117636"/>
    <n v="235272"/>
  </r>
  <r>
    <x v="0"/>
    <n v="57"/>
    <x v="22"/>
    <x v="0"/>
    <x v="0"/>
    <n v="1005"/>
    <x v="23"/>
    <x v="22"/>
    <x v="41"/>
    <n v="3069"/>
    <x v="176"/>
    <n v="4139"/>
    <x v="143"/>
    <s v="G 09"/>
    <n v="3"/>
    <n v="1140"/>
    <x v="80"/>
    <s v="Annual"/>
    <n v="3"/>
    <n v="1"/>
    <n v="109140"/>
    <n v="327420"/>
  </r>
  <r>
    <x v="0"/>
    <n v="57"/>
    <x v="22"/>
    <x v="0"/>
    <x v="0"/>
    <n v="1005"/>
    <x v="23"/>
    <x v="22"/>
    <x v="41"/>
    <n v="3069"/>
    <x v="176"/>
    <n v="4139"/>
    <x v="143"/>
    <s v="G 10"/>
    <n v="3"/>
    <s v="06A6"/>
    <x v="625"/>
    <s v="Annual"/>
    <n v="4"/>
    <n v="1"/>
    <n v="140148"/>
    <n v="560592"/>
  </r>
  <r>
    <x v="0"/>
    <n v="57"/>
    <x v="22"/>
    <x v="0"/>
    <x v="0"/>
    <n v="1005"/>
    <x v="23"/>
    <x v="22"/>
    <x v="41"/>
    <n v="3069"/>
    <x v="176"/>
    <n v="4139"/>
    <x v="143"/>
    <s v="G 10"/>
    <n v="3"/>
    <s v="06A6"/>
    <x v="625"/>
    <s v="Annual"/>
    <n v="1"/>
    <n v="1"/>
    <n v="119244"/>
    <n v="119244"/>
  </r>
  <r>
    <x v="0"/>
    <n v="57"/>
    <x v="22"/>
    <x v="0"/>
    <x v="0"/>
    <n v="1005"/>
    <x v="23"/>
    <x v="22"/>
    <x v="41"/>
    <n v="3069"/>
    <x v="176"/>
    <n v="4139"/>
    <x v="143"/>
    <s v="1 00"/>
    <n v="0"/>
    <n v="15"/>
    <x v="37"/>
    <s v="Annual"/>
    <n v="0"/>
    <n v="0"/>
    <n v="48333"/>
    <n v="48333"/>
  </r>
  <r>
    <x v="0"/>
    <n v="57"/>
    <x v="22"/>
    <x v="0"/>
    <x v="0"/>
    <n v="1005"/>
    <x v="23"/>
    <x v="22"/>
    <x v="41"/>
    <n v="3069"/>
    <x v="176"/>
    <n v="4143"/>
    <x v="144"/>
    <s v="3 00"/>
    <n v="99"/>
    <n v="9752"/>
    <x v="647"/>
    <s v="Annual"/>
    <n v="1"/>
    <n v="1"/>
    <n v="192240"/>
    <n v="192240"/>
  </r>
  <r>
    <x v="0"/>
    <n v="57"/>
    <x v="22"/>
    <x v="0"/>
    <x v="0"/>
    <n v="1005"/>
    <x v="23"/>
    <x v="22"/>
    <x v="41"/>
    <n v="3069"/>
    <x v="176"/>
    <n v="4143"/>
    <x v="144"/>
    <s v="E 04"/>
    <n v="73"/>
    <n v="9173"/>
    <x v="662"/>
    <s v="Annual"/>
    <n v="4"/>
    <n v="1"/>
    <n v="170700"/>
    <n v="682800"/>
  </r>
  <r>
    <x v="0"/>
    <n v="57"/>
    <x v="22"/>
    <x v="0"/>
    <x v="0"/>
    <n v="1005"/>
    <x v="23"/>
    <x v="22"/>
    <x v="41"/>
    <n v="3069"/>
    <x v="176"/>
    <n v="4143"/>
    <x v="144"/>
    <s v="E 04"/>
    <n v="73"/>
    <n v="9173"/>
    <x v="662"/>
    <s v="Annual"/>
    <n v="1"/>
    <n v="1"/>
    <n v="165624"/>
    <n v="165624"/>
  </r>
  <r>
    <x v="0"/>
    <n v="57"/>
    <x v="22"/>
    <x v="0"/>
    <x v="0"/>
    <n v="1005"/>
    <x v="23"/>
    <x v="22"/>
    <x v="41"/>
    <n v="3069"/>
    <x v="176"/>
    <n v="4143"/>
    <x v="144"/>
    <s v="E 04"/>
    <n v="73"/>
    <n v="9173"/>
    <x v="662"/>
    <s v="Annual"/>
    <n v="1"/>
    <n v="1"/>
    <n v="160746"/>
    <n v="160746"/>
  </r>
  <r>
    <x v="0"/>
    <n v="57"/>
    <x v="22"/>
    <x v="0"/>
    <x v="0"/>
    <n v="1005"/>
    <x v="23"/>
    <x v="22"/>
    <x v="41"/>
    <n v="3069"/>
    <x v="176"/>
    <n v="4143"/>
    <x v="144"/>
    <s v="E 03"/>
    <n v="71"/>
    <n v="9171"/>
    <x v="651"/>
    <s v="Annual"/>
    <n v="1"/>
    <n v="1"/>
    <n v="156564"/>
    <n v="156564"/>
  </r>
  <r>
    <x v="0"/>
    <n v="57"/>
    <x v="22"/>
    <x v="0"/>
    <x v="0"/>
    <n v="1005"/>
    <x v="23"/>
    <x v="22"/>
    <x v="41"/>
    <n v="3069"/>
    <x v="176"/>
    <n v="4143"/>
    <x v="144"/>
    <s v="E 03"/>
    <n v="71"/>
    <n v="9171"/>
    <x v="651"/>
    <s v="Annual"/>
    <n v="3"/>
    <n v="1"/>
    <n v="152010"/>
    <n v="456030"/>
  </r>
  <r>
    <x v="0"/>
    <n v="57"/>
    <x v="22"/>
    <x v="0"/>
    <x v="0"/>
    <n v="1005"/>
    <x v="23"/>
    <x v="22"/>
    <x v="41"/>
    <n v="3069"/>
    <x v="176"/>
    <n v="4143"/>
    <x v="144"/>
    <s v="E 03"/>
    <n v="71"/>
    <n v="9171"/>
    <x v="651"/>
    <s v="Annual"/>
    <n v="3"/>
    <n v="1"/>
    <n v="138318"/>
    <n v="414954"/>
  </r>
  <r>
    <x v="0"/>
    <n v="57"/>
    <x v="22"/>
    <x v="0"/>
    <x v="0"/>
    <n v="1005"/>
    <x v="23"/>
    <x v="22"/>
    <x v="41"/>
    <n v="3069"/>
    <x v="176"/>
    <n v="4143"/>
    <x v="144"/>
    <s v="D 2B"/>
    <n v="91"/>
    <n v="9165"/>
    <x v="663"/>
    <s v="Annual"/>
    <n v="1"/>
    <n v="1"/>
    <n v="144792"/>
    <n v="144792"/>
  </r>
  <r>
    <x v="0"/>
    <n v="57"/>
    <x v="22"/>
    <x v="0"/>
    <x v="0"/>
    <n v="1005"/>
    <x v="23"/>
    <x v="22"/>
    <x v="41"/>
    <n v="3069"/>
    <x v="176"/>
    <n v="4143"/>
    <x v="144"/>
    <s v="D 2B"/>
    <n v="91"/>
    <n v="9165"/>
    <x v="663"/>
    <s v="Annual"/>
    <n v="1"/>
    <n v="1"/>
    <n v="140454"/>
    <n v="140454"/>
  </r>
  <r>
    <x v="0"/>
    <n v="57"/>
    <x v="22"/>
    <x v="0"/>
    <x v="0"/>
    <n v="1005"/>
    <x v="23"/>
    <x v="22"/>
    <x v="41"/>
    <n v="3069"/>
    <x v="176"/>
    <n v="4143"/>
    <x v="144"/>
    <s v="D 01"/>
    <n v="91"/>
    <n v="9161"/>
    <x v="655"/>
    <s v="Annual"/>
    <n v="3"/>
    <n v="1"/>
    <n v="127146"/>
    <n v="381438"/>
  </r>
  <r>
    <x v="0"/>
    <n v="57"/>
    <x v="22"/>
    <x v="0"/>
    <x v="0"/>
    <n v="1005"/>
    <x v="23"/>
    <x v="22"/>
    <x v="41"/>
    <n v="3069"/>
    <x v="176"/>
    <n v="4143"/>
    <x v="144"/>
    <s v="D 01"/>
    <n v="91"/>
    <n v="9161"/>
    <x v="655"/>
    <s v="Annual"/>
    <n v="3"/>
    <n v="1"/>
    <n v="119154"/>
    <n v="357462"/>
  </r>
  <r>
    <x v="0"/>
    <n v="57"/>
    <x v="22"/>
    <x v="0"/>
    <x v="0"/>
    <n v="1005"/>
    <x v="23"/>
    <x v="22"/>
    <x v="41"/>
    <n v="3069"/>
    <x v="176"/>
    <n v="4143"/>
    <x v="144"/>
    <s v="D 01"/>
    <n v="91"/>
    <n v="9161"/>
    <x v="655"/>
    <s v="Annual"/>
    <n v="11"/>
    <n v="1"/>
    <n v="111252"/>
    <n v="1223772"/>
  </r>
  <r>
    <x v="0"/>
    <n v="57"/>
    <x v="22"/>
    <x v="0"/>
    <x v="0"/>
    <n v="1005"/>
    <x v="23"/>
    <x v="22"/>
    <x v="41"/>
    <n v="3069"/>
    <x v="176"/>
    <n v="4143"/>
    <x v="144"/>
    <s v="D 01"/>
    <n v="91"/>
    <n v="9161"/>
    <x v="655"/>
    <s v="Annual"/>
    <n v="2"/>
    <n v="1"/>
    <n v="63636"/>
    <n v="127272"/>
  </r>
  <r>
    <x v="0"/>
    <n v="57"/>
    <x v="22"/>
    <x v="0"/>
    <x v="0"/>
    <n v="1005"/>
    <x v="23"/>
    <x v="22"/>
    <x v="41"/>
    <n v="3069"/>
    <x v="176"/>
    <n v="4143"/>
    <x v="144"/>
    <s v="G 09"/>
    <n v="3"/>
    <n v="1140"/>
    <x v="80"/>
    <s v="Annual"/>
    <n v="1"/>
    <n v="1"/>
    <n v="117636"/>
    <n v="117636"/>
  </r>
  <r>
    <x v="0"/>
    <n v="57"/>
    <x v="22"/>
    <x v="0"/>
    <x v="0"/>
    <n v="1005"/>
    <x v="23"/>
    <x v="22"/>
    <x v="41"/>
    <n v="3069"/>
    <x v="176"/>
    <n v="4143"/>
    <x v="144"/>
    <s v="1 00"/>
    <n v="0"/>
    <n v="15"/>
    <x v="37"/>
    <s v="Annual"/>
    <n v="0"/>
    <n v="0"/>
    <n v="2311"/>
    <n v="2311"/>
  </r>
  <r>
    <x v="0"/>
    <n v="57"/>
    <x v="22"/>
    <x v="0"/>
    <x v="0"/>
    <n v="1005"/>
    <x v="23"/>
    <x v="15"/>
    <x v="42"/>
    <n v="3350"/>
    <x v="177"/>
    <n v="0"/>
    <x v="0"/>
    <s v="1 00"/>
    <n v="99"/>
    <n v="9796"/>
    <x v="659"/>
    <s v="Annual"/>
    <n v="1"/>
    <n v="1"/>
    <n v="201048"/>
    <n v="201048"/>
  </r>
  <r>
    <x v="0"/>
    <n v="57"/>
    <x v="22"/>
    <x v="0"/>
    <x v="0"/>
    <n v="1005"/>
    <x v="23"/>
    <x v="15"/>
    <x v="42"/>
    <n v="3350"/>
    <x v="177"/>
    <n v="0"/>
    <x v="0"/>
    <s v="1 00"/>
    <n v="99"/>
    <n v="9785"/>
    <x v="660"/>
    <s v="Annual"/>
    <n v="1"/>
    <n v="1"/>
    <n v="219048"/>
    <n v="219048"/>
  </r>
  <r>
    <x v="0"/>
    <n v="57"/>
    <x v="22"/>
    <x v="0"/>
    <x v="0"/>
    <n v="1005"/>
    <x v="23"/>
    <x v="15"/>
    <x v="42"/>
    <n v="3350"/>
    <x v="177"/>
    <n v="0"/>
    <x v="0"/>
    <s v="1 00"/>
    <n v="99"/>
    <n v="9782"/>
    <x v="712"/>
    <s v="Annual"/>
    <n v="1"/>
    <n v="1"/>
    <n v="220296"/>
    <n v="220296"/>
  </r>
  <r>
    <x v="0"/>
    <n v="57"/>
    <x v="22"/>
    <x v="0"/>
    <x v="0"/>
    <n v="1005"/>
    <x v="23"/>
    <x v="15"/>
    <x v="42"/>
    <n v="3350"/>
    <x v="177"/>
    <n v="0"/>
    <x v="0"/>
    <s v="3 00"/>
    <n v="99"/>
    <n v="9752"/>
    <x v="647"/>
    <s v="Annual"/>
    <n v="2"/>
    <n v="1"/>
    <n v="192240"/>
    <n v="384480"/>
  </r>
  <r>
    <x v="0"/>
    <n v="57"/>
    <x v="22"/>
    <x v="0"/>
    <x v="0"/>
    <n v="1005"/>
    <x v="23"/>
    <x v="15"/>
    <x v="42"/>
    <n v="3350"/>
    <x v="177"/>
    <n v="0"/>
    <x v="0"/>
    <s v="X 42"/>
    <n v="9"/>
    <n v="9675"/>
    <x v="76"/>
    <s v="Annual"/>
    <n v="1"/>
    <n v="1"/>
    <n v="192852"/>
    <n v="192852"/>
  </r>
  <r>
    <x v="0"/>
    <n v="57"/>
    <x v="22"/>
    <x v="0"/>
    <x v="0"/>
    <n v="1005"/>
    <x v="23"/>
    <x v="15"/>
    <x v="42"/>
    <n v="3350"/>
    <x v="177"/>
    <n v="0"/>
    <x v="0"/>
    <s v="E 05"/>
    <n v="75"/>
    <n v="9175"/>
    <x v="665"/>
    <s v="Annual"/>
    <n v="1"/>
    <n v="1"/>
    <n v="188352"/>
    <n v="188352"/>
  </r>
  <r>
    <x v="0"/>
    <n v="57"/>
    <x v="22"/>
    <x v="0"/>
    <x v="0"/>
    <n v="1005"/>
    <x v="23"/>
    <x v="15"/>
    <x v="42"/>
    <n v="3350"/>
    <x v="177"/>
    <n v="0"/>
    <x v="0"/>
    <s v="E 05"/>
    <n v="75"/>
    <n v="9175"/>
    <x v="665"/>
    <s v="Annual"/>
    <n v="2"/>
    <n v="1"/>
    <n v="185676"/>
    <n v="371352"/>
  </r>
  <r>
    <x v="0"/>
    <n v="57"/>
    <x v="22"/>
    <x v="0"/>
    <x v="0"/>
    <n v="1005"/>
    <x v="23"/>
    <x v="15"/>
    <x v="42"/>
    <n v="3350"/>
    <x v="177"/>
    <n v="0"/>
    <x v="0"/>
    <s v="E 05"/>
    <n v="75"/>
    <n v="9175"/>
    <x v="665"/>
    <s v="Annual"/>
    <n v="1"/>
    <n v="1"/>
    <n v="176292"/>
    <n v="176292"/>
  </r>
  <r>
    <x v="0"/>
    <n v="57"/>
    <x v="22"/>
    <x v="0"/>
    <x v="0"/>
    <n v="1005"/>
    <x v="23"/>
    <x v="15"/>
    <x v="42"/>
    <n v="3350"/>
    <x v="177"/>
    <n v="0"/>
    <x v="0"/>
    <s v="E 05"/>
    <n v="75"/>
    <n v="9175"/>
    <x v="665"/>
    <s v="Annual"/>
    <n v="2"/>
    <n v="1"/>
    <n v="171456"/>
    <n v="342912"/>
  </r>
  <r>
    <x v="0"/>
    <n v="57"/>
    <x v="22"/>
    <x v="0"/>
    <x v="0"/>
    <n v="1005"/>
    <x v="23"/>
    <x v="15"/>
    <x v="42"/>
    <n v="3350"/>
    <x v="177"/>
    <n v="0"/>
    <x v="0"/>
    <s v="E 03"/>
    <n v="71"/>
    <n v="9171"/>
    <x v="651"/>
    <s v="Annual"/>
    <n v="1"/>
    <n v="1"/>
    <n v="147252"/>
    <n v="147252"/>
  </r>
  <r>
    <x v="0"/>
    <n v="57"/>
    <x v="22"/>
    <x v="0"/>
    <x v="0"/>
    <n v="1005"/>
    <x v="23"/>
    <x v="15"/>
    <x v="42"/>
    <n v="3350"/>
    <x v="177"/>
    <n v="0"/>
    <x v="0"/>
    <s v="D 01"/>
    <n v="91"/>
    <n v="9161"/>
    <x v="655"/>
    <s v="Annual"/>
    <n v="2"/>
    <n v="1"/>
    <n v="127146"/>
    <n v="254292"/>
  </r>
  <r>
    <x v="0"/>
    <n v="57"/>
    <x v="22"/>
    <x v="0"/>
    <x v="0"/>
    <n v="1005"/>
    <x v="23"/>
    <x v="15"/>
    <x v="42"/>
    <n v="3350"/>
    <x v="177"/>
    <n v="0"/>
    <x v="0"/>
    <s v="GY 09"/>
    <n v="20"/>
    <n v="9024"/>
    <x v="713"/>
    <s v="Annual"/>
    <n v="1"/>
    <n v="1"/>
    <n v="106272"/>
    <n v="106272"/>
  </r>
  <r>
    <x v="0"/>
    <n v="57"/>
    <x v="22"/>
    <x v="0"/>
    <x v="0"/>
    <n v="1005"/>
    <x v="23"/>
    <x v="15"/>
    <x v="42"/>
    <n v="3350"/>
    <x v="177"/>
    <n v="0"/>
    <x v="0"/>
    <s v="GY 09"/>
    <n v="20"/>
    <n v="9024"/>
    <x v="713"/>
    <s v="Annual"/>
    <n v="2"/>
    <n v="1"/>
    <n v="93156"/>
    <n v="186312"/>
  </r>
  <r>
    <x v="0"/>
    <n v="57"/>
    <x v="22"/>
    <x v="0"/>
    <x v="0"/>
    <n v="1005"/>
    <x v="23"/>
    <x v="15"/>
    <x v="42"/>
    <n v="3350"/>
    <x v="177"/>
    <n v="0"/>
    <x v="0"/>
    <s v="GY 09"/>
    <n v="20"/>
    <n v="9024"/>
    <x v="713"/>
    <s v="Annual"/>
    <n v="1"/>
    <n v="1"/>
    <n v="89112"/>
    <n v="89112"/>
  </r>
  <r>
    <x v="0"/>
    <n v="57"/>
    <x v="22"/>
    <x v="0"/>
    <x v="0"/>
    <n v="1005"/>
    <x v="23"/>
    <x v="15"/>
    <x v="42"/>
    <n v="3350"/>
    <x v="177"/>
    <n v="0"/>
    <x v="0"/>
    <s v="GY 09"/>
    <n v="20"/>
    <n v="2903"/>
    <x v="714"/>
    <s v="Annual"/>
    <n v="1"/>
    <n v="1"/>
    <n v="97332"/>
    <n v="97332"/>
  </r>
  <r>
    <x v="0"/>
    <n v="57"/>
    <x v="22"/>
    <x v="0"/>
    <x v="0"/>
    <n v="1005"/>
    <x v="23"/>
    <x v="15"/>
    <x v="42"/>
    <n v="3350"/>
    <x v="177"/>
    <n v="0"/>
    <x v="0"/>
    <s v="GY 09"/>
    <n v="20"/>
    <n v="2903"/>
    <x v="714"/>
    <s v="Annual"/>
    <n v="1"/>
    <n v="1"/>
    <n v="93156"/>
    <n v="93156"/>
  </r>
  <r>
    <x v="0"/>
    <n v="57"/>
    <x v="22"/>
    <x v="0"/>
    <x v="0"/>
    <n v="1005"/>
    <x v="23"/>
    <x v="15"/>
    <x v="42"/>
    <n v="3350"/>
    <x v="177"/>
    <n v="0"/>
    <x v="0"/>
    <s v="B 14"/>
    <n v="4"/>
    <n v="1912"/>
    <x v="222"/>
    <s v="Annual"/>
    <n v="3"/>
    <n v="1"/>
    <n v="75336"/>
    <n v="226008"/>
  </r>
  <r>
    <x v="0"/>
    <n v="57"/>
    <x v="22"/>
    <x v="0"/>
    <x v="0"/>
    <n v="1005"/>
    <x v="23"/>
    <x v="15"/>
    <x v="42"/>
    <n v="3350"/>
    <x v="177"/>
    <n v="0"/>
    <x v="0"/>
    <s v="G 07"/>
    <n v="4"/>
    <n v="1646"/>
    <x v="529"/>
    <s v="Annual"/>
    <n v="1"/>
    <n v="1"/>
    <n v="90144"/>
    <n v="90144"/>
  </r>
  <r>
    <x v="0"/>
    <n v="57"/>
    <x v="22"/>
    <x v="0"/>
    <x v="0"/>
    <n v="1005"/>
    <x v="23"/>
    <x v="15"/>
    <x v="42"/>
    <n v="3350"/>
    <x v="177"/>
    <n v="0"/>
    <x v="0"/>
    <s v="B 13"/>
    <n v="1"/>
    <n v="1617"/>
    <x v="338"/>
    <s v="Annual"/>
    <n v="1"/>
    <n v="1"/>
    <n v="74172"/>
    <n v="74172"/>
  </r>
  <r>
    <x v="0"/>
    <n v="57"/>
    <x v="22"/>
    <x v="0"/>
    <x v="0"/>
    <n v="1005"/>
    <x v="23"/>
    <x v="15"/>
    <x v="42"/>
    <n v="3350"/>
    <x v="177"/>
    <n v="0"/>
    <x v="0"/>
    <s v="B 13"/>
    <n v="1"/>
    <n v="1617"/>
    <x v="338"/>
    <s v="Annual"/>
    <n v="2"/>
    <n v="1"/>
    <n v="68616"/>
    <n v="137232"/>
  </r>
  <r>
    <x v="0"/>
    <n v="57"/>
    <x v="22"/>
    <x v="0"/>
    <x v="0"/>
    <n v="1005"/>
    <x v="23"/>
    <x v="15"/>
    <x v="42"/>
    <n v="3350"/>
    <x v="177"/>
    <n v="0"/>
    <x v="0"/>
    <s v="GY 11"/>
    <n v="20"/>
    <n v="1127"/>
    <x v="54"/>
    <s v="Annual"/>
    <n v="2"/>
    <n v="1"/>
    <n v="115992"/>
    <n v="231984"/>
  </r>
  <r>
    <x v="0"/>
    <n v="57"/>
    <x v="22"/>
    <x v="0"/>
    <x v="0"/>
    <n v="1005"/>
    <x v="23"/>
    <x v="15"/>
    <x v="42"/>
    <n v="3350"/>
    <x v="177"/>
    <n v="0"/>
    <x v="0"/>
    <s v="GY 11"/>
    <n v="20"/>
    <n v="1127"/>
    <x v="54"/>
    <s v="Annual"/>
    <n v="2"/>
    <n v="1"/>
    <n v="106272"/>
    <n v="212544"/>
  </r>
  <r>
    <x v="0"/>
    <n v="57"/>
    <x v="22"/>
    <x v="0"/>
    <x v="0"/>
    <n v="1005"/>
    <x v="23"/>
    <x v="15"/>
    <x v="42"/>
    <n v="3350"/>
    <x v="177"/>
    <n v="0"/>
    <x v="0"/>
    <s v="GY 08"/>
    <n v="20"/>
    <n v="1126"/>
    <x v="50"/>
    <s v="Annual"/>
    <n v="2"/>
    <n v="1"/>
    <n v="89112"/>
    <n v="178224"/>
  </r>
  <r>
    <x v="0"/>
    <n v="57"/>
    <x v="22"/>
    <x v="0"/>
    <x v="0"/>
    <n v="1005"/>
    <x v="23"/>
    <x v="15"/>
    <x v="42"/>
    <n v="3350"/>
    <x v="177"/>
    <n v="0"/>
    <x v="0"/>
    <s v="GY 08"/>
    <n v="20"/>
    <n v="1126"/>
    <x v="50"/>
    <s v="Annual"/>
    <n v="9"/>
    <n v="1"/>
    <n v="82884"/>
    <n v="745956"/>
  </r>
  <r>
    <x v="0"/>
    <n v="57"/>
    <x v="22"/>
    <x v="0"/>
    <x v="0"/>
    <n v="1005"/>
    <x v="23"/>
    <x v="15"/>
    <x v="42"/>
    <n v="3350"/>
    <x v="177"/>
    <n v="0"/>
    <x v="0"/>
    <s v="GY 07"/>
    <n v="20"/>
    <n v="1125"/>
    <x v="51"/>
    <s v="Annual"/>
    <n v="7"/>
    <n v="1"/>
    <n v="76020"/>
    <n v="532140"/>
  </r>
  <r>
    <x v="0"/>
    <n v="57"/>
    <x v="22"/>
    <x v="0"/>
    <x v="0"/>
    <n v="1005"/>
    <x v="23"/>
    <x v="15"/>
    <x v="42"/>
    <n v="3350"/>
    <x v="177"/>
    <n v="0"/>
    <x v="0"/>
    <s v="BX 17"/>
    <n v="10"/>
    <n v="790"/>
    <x v="31"/>
    <s v="Annual"/>
    <n v="1"/>
    <n v="1"/>
    <n v="83052"/>
    <n v="83052"/>
  </r>
  <r>
    <x v="0"/>
    <n v="57"/>
    <x v="22"/>
    <x v="0"/>
    <x v="0"/>
    <n v="1005"/>
    <x v="23"/>
    <x v="15"/>
    <x v="42"/>
    <n v="3350"/>
    <x v="177"/>
    <n v="0"/>
    <x v="0"/>
    <s v="B 15"/>
    <n v="1"/>
    <n v="729"/>
    <x v="32"/>
    <s v="Annual"/>
    <n v="2"/>
    <n v="1"/>
    <n v="82644"/>
    <n v="165288"/>
  </r>
  <r>
    <x v="0"/>
    <n v="57"/>
    <x v="22"/>
    <x v="0"/>
    <x v="0"/>
    <n v="1005"/>
    <x v="23"/>
    <x v="15"/>
    <x v="42"/>
    <n v="3350"/>
    <x v="177"/>
    <n v="0"/>
    <x v="0"/>
    <s v="G 10"/>
    <n v="3"/>
    <s v="06A6"/>
    <x v="625"/>
    <s v="Annual"/>
    <n v="1"/>
    <n v="1"/>
    <n v="140148"/>
    <n v="140148"/>
  </r>
  <r>
    <x v="0"/>
    <n v="57"/>
    <x v="22"/>
    <x v="0"/>
    <x v="0"/>
    <n v="1005"/>
    <x v="23"/>
    <x v="15"/>
    <x v="42"/>
    <n v="3350"/>
    <x v="177"/>
    <n v="0"/>
    <x v="0"/>
    <s v="BX 18"/>
    <n v="10"/>
    <n v="311"/>
    <x v="253"/>
    <s v="Annual"/>
    <n v="1"/>
    <n v="1"/>
    <n v="118956"/>
    <n v="118956"/>
  </r>
  <r>
    <x v="0"/>
    <n v="57"/>
    <x v="22"/>
    <x v="0"/>
    <x v="0"/>
    <n v="1005"/>
    <x v="23"/>
    <x v="15"/>
    <x v="42"/>
    <n v="3350"/>
    <x v="177"/>
    <n v="0"/>
    <x v="0"/>
    <s v="BX 18"/>
    <n v="10"/>
    <n v="311"/>
    <x v="253"/>
    <s v="Annual"/>
    <n v="1"/>
    <n v="1"/>
    <n v="89112"/>
    <n v="89112"/>
  </r>
  <r>
    <x v="0"/>
    <n v="57"/>
    <x v="22"/>
    <x v="0"/>
    <x v="0"/>
    <n v="1005"/>
    <x v="23"/>
    <x v="15"/>
    <x v="42"/>
    <n v="3350"/>
    <x v="177"/>
    <n v="0"/>
    <x v="0"/>
    <s v="B 13"/>
    <n v="1"/>
    <n v="308"/>
    <x v="90"/>
    <s v="Annual"/>
    <n v="2"/>
    <n v="1"/>
    <n v="113628"/>
    <n v="227256"/>
  </r>
  <r>
    <x v="0"/>
    <n v="57"/>
    <x v="22"/>
    <x v="0"/>
    <x v="0"/>
    <n v="1005"/>
    <x v="23"/>
    <x v="15"/>
    <x v="42"/>
    <n v="3350"/>
    <x v="177"/>
    <n v="0"/>
    <x v="0"/>
    <s v="1 00"/>
    <n v="0"/>
    <n v="15"/>
    <x v="37"/>
    <s v="Annual"/>
    <n v="0"/>
    <n v="0"/>
    <n v="63767"/>
    <n v="63767"/>
  </r>
  <r>
    <x v="0"/>
    <n v="57"/>
    <x v="22"/>
    <x v="0"/>
    <x v="0"/>
    <n v="1005"/>
    <x v="23"/>
    <x v="15"/>
    <x v="42"/>
    <n v="3355"/>
    <x v="178"/>
    <n v="4355"/>
    <x v="145"/>
    <s v="E 03"/>
    <n v="71"/>
    <n v="9171"/>
    <x v="651"/>
    <s v="Annual"/>
    <n v="1"/>
    <n v="1"/>
    <n v="147252"/>
    <n v="147252"/>
  </r>
  <r>
    <x v="0"/>
    <n v="57"/>
    <x v="22"/>
    <x v="0"/>
    <x v="0"/>
    <n v="1005"/>
    <x v="23"/>
    <x v="15"/>
    <x v="42"/>
    <n v="3355"/>
    <x v="178"/>
    <n v="4355"/>
    <x v="145"/>
    <s v="D 01"/>
    <n v="91"/>
    <n v="9161"/>
    <x v="655"/>
    <s v="Annual"/>
    <n v="1"/>
    <n v="1"/>
    <n v="119154"/>
    <n v="119154"/>
  </r>
  <r>
    <x v="0"/>
    <n v="57"/>
    <x v="22"/>
    <x v="0"/>
    <x v="0"/>
    <n v="1005"/>
    <x v="23"/>
    <x v="15"/>
    <x v="42"/>
    <n v="3355"/>
    <x v="178"/>
    <n v="4355"/>
    <x v="145"/>
    <s v="1 00"/>
    <n v="0"/>
    <n v="15"/>
    <x v="37"/>
    <s v="Annual"/>
    <n v="0"/>
    <n v="0"/>
    <n v="2695"/>
    <n v="2695"/>
  </r>
  <r>
    <x v="0"/>
    <n v="57"/>
    <x v="22"/>
    <x v="0"/>
    <x v="0"/>
    <n v="1005"/>
    <x v="23"/>
    <x v="15"/>
    <x v="42"/>
    <n v="3355"/>
    <x v="178"/>
    <n v="4356"/>
    <x v="146"/>
    <s v="E 04"/>
    <n v="73"/>
    <n v="9173"/>
    <x v="662"/>
    <s v="Annual"/>
    <n v="1"/>
    <n v="1"/>
    <n v="170700"/>
    <n v="170700"/>
  </r>
  <r>
    <x v="0"/>
    <n v="57"/>
    <x v="22"/>
    <x v="0"/>
    <x v="0"/>
    <n v="1005"/>
    <x v="23"/>
    <x v="15"/>
    <x v="42"/>
    <n v="3355"/>
    <x v="178"/>
    <n v="4356"/>
    <x v="146"/>
    <s v="E 03"/>
    <n v="71"/>
    <n v="9171"/>
    <x v="651"/>
    <s v="Annual"/>
    <n v="1"/>
    <n v="1"/>
    <n v="147252"/>
    <n v="147252"/>
  </r>
  <r>
    <x v="0"/>
    <n v="57"/>
    <x v="22"/>
    <x v="0"/>
    <x v="0"/>
    <n v="1005"/>
    <x v="23"/>
    <x v="15"/>
    <x v="42"/>
    <n v="3355"/>
    <x v="178"/>
    <n v="4356"/>
    <x v="146"/>
    <s v="E 03"/>
    <n v="71"/>
    <n v="9171"/>
    <x v="651"/>
    <s v="Annual"/>
    <n v="1"/>
    <n v="1"/>
    <n v="142668"/>
    <n v="142668"/>
  </r>
  <r>
    <x v="0"/>
    <n v="57"/>
    <x v="22"/>
    <x v="0"/>
    <x v="0"/>
    <n v="1005"/>
    <x v="23"/>
    <x v="15"/>
    <x v="42"/>
    <n v="3355"/>
    <x v="178"/>
    <n v="4356"/>
    <x v="146"/>
    <s v="D 01"/>
    <n v="91"/>
    <n v="9161"/>
    <x v="655"/>
    <s v="Annual"/>
    <n v="1"/>
    <n v="1"/>
    <n v="111252"/>
    <n v="111252"/>
  </r>
  <r>
    <x v="0"/>
    <n v="57"/>
    <x v="22"/>
    <x v="0"/>
    <x v="0"/>
    <n v="1005"/>
    <x v="23"/>
    <x v="15"/>
    <x v="42"/>
    <n v="3355"/>
    <x v="178"/>
    <n v="4356"/>
    <x v="146"/>
    <s v="1 00"/>
    <n v="0"/>
    <n v="15"/>
    <x v="37"/>
    <s v="Annual"/>
    <n v="0"/>
    <n v="0"/>
    <n v="1855"/>
    <n v="1855"/>
  </r>
  <r>
    <x v="0"/>
    <n v="57"/>
    <x v="22"/>
    <x v="0"/>
    <x v="0"/>
    <n v="1005"/>
    <x v="23"/>
    <x v="15"/>
    <x v="42"/>
    <n v="3358"/>
    <x v="179"/>
    <n v="4361"/>
    <x v="147"/>
    <s v="1 00"/>
    <n v="99"/>
    <n v="9796"/>
    <x v="659"/>
    <s v="Annual"/>
    <n v="1"/>
    <n v="1"/>
    <n v="201048"/>
    <n v="201048"/>
  </r>
  <r>
    <x v="0"/>
    <n v="57"/>
    <x v="22"/>
    <x v="0"/>
    <x v="0"/>
    <n v="1005"/>
    <x v="23"/>
    <x v="15"/>
    <x v="42"/>
    <n v="3358"/>
    <x v="179"/>
    <n v="4361"/>
    <x v="147"/>
    <s v="3 00"/>
    <n v="99"/>
    <n v="9752"/>
    <x v="647"/>
    <s v="Annual"/>
    <n v="1"/>
    <n v="1"/>
    <n v="192240"/>
    <n v="192240"/>
  </r>
  <r>
    <x v="0"/>
    <n v="57"/>
    <x v="22"/>
    <x v="0"/>
    <x v="0"/>
    <n v="1005"/>
    <x v="23"/>
    <x v="15"/>
    <x v="42"/>
    <n v="3358"/>
    <x v="179"/>
    <n v="4361"/>
    <x v="147"/>
    <s v="E 04"/>
    <n v="73"/>
    <n v="9173"/>
    <x v="662"/>
    <s v="Annual"/>
    <n v="3"/>
    <n v="1"/>
    <n v="170700"/>
    <n v="512100"/>
  </r>
  <r>
    <x v="0"/>
    <n v="57"/>
    <x v="22"/>
    <x v="0"/>
    <x v="0"/>
    <n v="1005"/>
    <x v="23"/>
    <x v="15"/>
    <x v="42"/>
    <n v="3358"/>
    <x v="179"/>
    <n v="4361"/>
    <x v="147"/>
    <s v="E 04"/>
    <n v="73"/>
    <n v="9173"/>
    <x v="662"/>
    <s v="Annual"/>
    <n v="3"/>
    <n v="1"/>
    <n v="165624"/>
    <n v="496872"/>
  </r>
  <r>
    <x v="0"/>
    <n v="57"/>
    <x v="22"/>
    <x v="0"/>
    <x v="0"/>
    <n v="1005"/>
    <x v="23"/>
    <x v="15"/>
    <x v="42"/>
    <n v="3358"/>
    <x v="179"/>
    <n v="4361"/>
    <x v="147"/>
    <s v="E 04"/>
    <n v="73"/>
    <n v="9173"/>
    <x v="662"/>
    <s v="Annual"/>
    <n v="1"/>
    <n v="1"/>
    <n v="160746"/>
    <n v="160746"/>
  </r>
  <r>
    <x v="0"/>
    <n v="57"/>
    <x v="22"/>
    <x v="0"/>
    <x v="0"/>
    <n v="1005"/>
    <x v="23"/>
    <x v="15"/>
    <x v="42"/>
    <n v="3358"/>
    <x v="179"/>
    <n v="4361"/>
    <x v="147"/>
    <s v="E 04"/>
    <n v="73"/>
    <n v="9173"/>
    <x v="662"/>
    <s v="Annual"/>
    <n v="1"/>
    <n v="1"/>
    <n v="155934"/>
    <n v="155934"/>
  </r>
  <r>
    <x v="0"/>
    <n v="57"/>
    <x v="22"/>
    <x v="0"/>
    <x v="0"/>
    <n v="1005"/>
    <x v="23"/>
    <x v="15"/>
    <x v="42"/>
    <n v="3358"/>
    <x v="179"/>
    <n v="4361"/>
    <x v="147"/>
    <s v="E 03"/>
    <n v="71"/>
    <n v="9171"/>
    <x v="651"/>
    <s v="Annual"/>
    <n v="1"/>
    <n v="1"/>
    <n v="156564"/>
    <n v="156564"/>
  </r>
  <r>
    <x v="0"/>
    <n v="57"/>
    <x v="22"/>
    <x v="0"/>
    <x v="0"/>
    <n v="1005"/>
    <x v="23"/>
    <x v="15"/>
    <x v="42"/>
    <n v="3358"/>
    <x v="179"/>
    <n v="4361"/>
    <x v="147"/>
    <s v="E 03"/>
    <n v="71"/>
    <n v="9171"/>
    <x v="651"/>
    <s v="Annual"/>
    <n v="12"/>
    <n v="1"/>
    <n v="152010"/>
    <n v="1824120"/>
  </r>
  <r>
    <x v="0"/>
    <n v="57"/>
    <x v="22"/>
    <x v="0"/>
    <x v="0"/>
    <n v="1005"/>
    <x v="23"/>
    <x v="15"/>
    <x v="42"/>
    <n v="3358"/>
    <x v="179"/>
    <n v="4361"/>
    <x v="147"/>
    <s v="E 03"/>
    <n v="71"/>
    <n v="9171"/>
    <x v="651"/>
    <s v="Annual"/>
    <n v="13"/>
    <n v="1"/>
    <n v="147252"/>
    <n v="1914276"/>
  </r>
  <r>
    <x v="0"/>
    <n v="57"/>
    <x v="22"/>
    <x v="0"/>
    <x v="0"/>
    <n v="1005"/>
    <x v="23"/>
    <x v="15"/>
    <x v="42"/>
    <n v="3358"/>
    <x v="179"/>
    <n v="4361"/>
    <x v="147"/>
    <s v="E 03"/>
    <n v="71"/>
    <n v="9171"/>
    <x v="651"/>
    <s v="Annual"/>
    <n v="6"/>
    <n v="1"/>
    <n v="142668"/>
    <n v="856008"/>
  </r>
  <r>
    <x v="0"/>
    <n v="57"/>
    <x v="22"/>
    <x v="0"/>
    <x v="0"/>
    <n v="1005"/>
    <x v="23"/>
    <x v="15"/>
    <x v="42"/>
    <n v="3358"/>
    <x v="179"/>
    <n v="4361"/>
    <x v="147"/>
    <s v="E 03"/>
    <n v="71"/>
    <n v="9171"/>
    <x v="651"/>
    <s v="Annual"/>
    <n v="8"/>
    <n v="1"/>
    <n v="138318"/>
    <n v="1106544"/>
  </r>
  <r>
    <x v="0"/>
    <n v="57"/>
    <x v="22"/>
    <x v="0"/>
    <x v="0"/>
    <n v="1005"/>
    <x v="23"/>
    <x v="15"/>
    <x v="42"/>
    <n v="3358"/>
    <x v="179"/>
    <n v="4361"/>
    <x v="147"/>
    <s v="E 03"/>
    <n v="71"/>
    <n v="9171"/>
    <x v="651"/>
    <s v="Annual"/>
    <n v="2"/>
    <n v="1"/>
    <n v="133890"/>
    <n v="267780"/>
  </r>
  <r>
    <x v="0"/>
    <n v="57"/>
    <x v="22"/>
    <x v="0"/>
    <x v="0"/>
    <n v="1005"/>
    <x v="23"/>
    <x v="15"/>
    <x v="42"/>
    <n v="3358"/>
    <x v="179"/>
    <n v="4361"/>
    <x v="147"/>
    <s v="D 02"/>
    <n v="91"/>
    <n v="9170"/>
    <x v="715"/>
    <s v="Annual"/>
    <n v="1"/>
    <n v="1"/>
    <n v="90816"/>
    <n v="90816"/>
  </r>
  <r>
    <x v="0"/>
    <n v="57"/>
    <x v="22"/>
    <x v="0"/>
    <x v="0"/>
    <n v="1005"/>
    <x v="23"/>
    <x v="15"/>
    <x v="42"/>
    <n v="3358"/>
    <x v="179"/>
    <n v="4361"/>
    <x v="147"/>
    <s v="D 2B"/>
    <n v="91"/>
    <n v="9165"/>
    <x v="663"/>
    <s v="Annual"/>
    <n v="1"/>
    <n v="1"/>
    <n v="140454"/>
    <n v="140454"/>
  </r>
  <r>
    <x v="0"/>
    <n v="57"/>
    <x v="22"/>
    <x v="0"/>
    <x v="0"/>
    <n v="1005"/>
    <x v="23"/>
    <x v="15"/>
    <x v="42"/>
    <n v="3358"/>
    <x v="179"/>
    <n v="4361"/>
    <x v="147"/>
    <s v="D 2A"/>
    <n v="91"/>
    <n v="9164"/>
    <x v="675"/>
    <s v="Annual"/>
    <n v="1"/>
    <n v="1"/>
    <n v="133650"/>
    <n v="133650"/>
  </r>
  <r>
    <x v="0"/>
    <n v="57"/>
    <x v="22"/>
    <x v="0"/>
    <x v="0"/>
    <n v="1005"/>
    <x v="23"/>
    <x v="15"/>
    <x v="42"/>
    <n v="3358"/>
    <x v="179"/>
    <n v="4361"/>
    <x v="147"/>
    <s v="D 2A"/>
    <n v="91"/>
    <n v="9164"/>
    <x v="675"/>
    <s v="Annual"/>
    <n v="2"/>
    <n v="1"/>
    <n v="120564"/>
    <n v="241128"/>
  </r>
  <r>
    <x v="0"/>
    <n v="57"/>
    <x v="22"/>
    <x v="0"/>
    <x v="0"/>
    <n v="1005"/>
    <x v="23"/>
    <x v="15"/>
    <x v="42"/>
    <n v="3358"/>
    <x v="179"/>
    <n v="4361"/>
    <x v="147"/>
    <s v="D 2A"/>
    <n v="91"/>
    <n v="9164"/>
    <x v="675"/>
    <s v="Annual"/>
    <n v="2"/>
    <n v="1"/>
    <n v="93942"/>
    <n v="187884"/>
  </r>
  <r>
    <x v="0"/>
    <n v="57"/>
    <x v="22"/>
    <x v="0"/>
    <x v="0"/>
    <n v="1005"/>
    <x v="23"/>
    <x v="15"/>
    <x v="42"/>
    <n v="3358"/>
    <x v="179"/>
    <n v="4361"/>
    <x v="147"/>
    <s v="D 01"/>
    <n v="91"/>
    <n v="9161"/>
    <x v="655"/>
    <s v="Annual"/>
    <n v="17"/>
    <n v="1"/>
    <n v="127146"/>
    <n v="2161482"/>
  </r>
  <r>
    <x v="0"/>
    <n v="57"/>
    <x v="22"/>
    <x v="0"/>
    <x v="0"/>
    <n v="1005"/>
    <x v="23"/>
    <x v="15"/>
    <x v="42"/>
    <n v="3358"/>
    <x v="179"/>
    <n v="4361"/>
    <x v="147"/>
    <s v="D 01"/>
    <n v="91"/>
    <n v="9161"/>
    <x v="655"/>
    <s v="Annual"/>
    <n v="31"/>
    <n v="1"/>
    <n v="123576"/>
    <n v="3830856"/>
  </r>
  <r>
    <x v="0"/>
    <n v="57"/>
    <x v="22"/>
    <x v="0"/>
    <x v="0"/>
    <n v="1005"/>
    <x v="23"/>
    <x v="15"/>
    <x v="42"/>
    <n v="3358"/>
    <x v="179"/>
    <n v="4361"/>
    <x v="147"/>
    <s v="D 01"/>
    <n v="91"/>
    <n v="9161"/>
    <x v="655"/>
    <s v="Annual"/>
    <n v="14"/>
    <n v="1"/>
    <n v="119154"/>
    <n v="1668156"/>
  </r>
  <r>
    <x v="0"/>
    <n v="57"/>
    <x v="22"/>
    <x v="0"/>
    <x v="0"/>
    <n v="1005"/>
    <x v="23"/>
    <x v="15"/>
    <x v="42"/>
    <n v="3358"/>
    <x v="179"/>
    <n v="4361"/>
    <x v="147"/>
    <s v="D 01"/>
    <n v="91"/>
    <n v="9161"/>
    <x v="655"/>
    <s v="Annual"/>
    <n v="5"/>
    <n v="1"/>
    <n v="115158"/>
    <n v="575790"/>
  </r>
  <r>
    <x v="0"/>
    <n v="57"/>
    <x v="22"/>
    <x v="0"/>
    <x v="0"/>
    <n v="1005"/>
    <x v="23"/>
    <x v="15"/>
    <x v="42"/>
    <n v="3358"/>
    <x v="179"/>
    <n v="4361"/>
    <x v="147"/>
    <s v="D 01"/>
    <n v="91"/>
    <n v="9161"/>
    <x v="655"/>
    <s v="Annual"/>
    <n v="53"/>
    <n v="1"/>
    <n v="111252"/>
    <n v="5896356"/>
  </r>
  <r>
    <x v="0"/>
    <n v="57"/>
    <x v="22"/>
    <x v="0"/>
    <x v="0"/>
    <n v="1005"/>
    <x v="23"/>
    <x v="15"/>
    <x v="42"/>
    <n v="3358"/>
    <x v="179"/>
    <n v="4361"/>
    <x v="147"/>
    <s v="D 01"/>
    <n v="91"/>
    <n v="9161"/>
    <x v="655"/>
    <s v="Annual"/>
    <n v="9"/>
    <n v="1"/>
    <n v="63636"/>
    <n v="572724"/>
  </r>
  <r>
    <x v="0"/>
    <n v="57"/>
    <x v="22"/>
    <x v="0"/>
    <x v="0"/>
    <n v="1005"/>
    <x v="23"/>
    <x v="15"/>
    <x v="42"/>
    <n v="3358"/>
    <x v="179"/>
    <n v="4361"/>
    <x v="147"/>
    <s v="GY 09"/>
    <n v="20"/>
    <n v="9024"/>
    <x v="713"/>
    <s v="Annual"/>
    <n v="3"/>
    <n v="1"/>
    <n v="89112"/>
    <n v="267336"/>
  </r>
  <r>
    <x v="0"/>
    <n v="57"/>
    <x v="22"/>
    <x v="0"/>
    <x v="0"/>
    <n v="1005"/>
    <x v="23"/>
    <x v="15"/>
    <x v="42"/>
    <n v="3358"/>
    <x v="179"/>
    <n v="4361"/>
    <x v="147"/>
    <s v="G 07"/>
    <n v="4"/>
    <n v="1646"/>
    <x v="529"/>
    <s v="Annual"/>
    <n v="1"/>
    <n v="1"/>
    <n v="112536"/>
    <n v="112536"/>
  </r>
  <r>
    <x v="0"/>
    <n v="57"/>
    <x v="22"/>
    <x v="0"/>
    <x v="0"/>
    <n v="1005"/>
    <x v="23"/>
    <x v="15"/>
    <x v="42"/>
    <n v="3358"/>
    <x v="179"/>
    <n v="4361"/>
    <x v="147"/>
    <s v="G 07"/>
    <n v="4"/>
    <n v="1646"/>
    <x v="529"/>
    <s v="Annual"/>
    <n v="1"/>
    <n v="1"/>
    <n v="102516"/>
    <n v="102516"/>
  </r>
  <r>
    <x v="0"/>
    <n v="57"/>
    <x v="22"/>
    <x v="0"/>
    <x v="0"/>
    <n v="1005"/>
    <x v="23"/>
    <x v="15"/>
    <x v="42"/>
    <n v="3358"/>
    <x v="179"/>
    <n v="4361"/>
    <x v="147"/>
    <s v="B 14"/>
    <n v="1"/>
    <n v="1359"/>
    <x v="408"/>
    <s v="Annual"/>
    <n v="8"/>
    <n v="1"/>
    <n v="130668"/>
    <n v="1045344"/>
  </r>
  <r>
    <x v="0"/>
    <n v="57"/>
    <x v="22"/>
    <x v="0"/>
    <x v="0"/>
    <n v="1005"/>
    <x v="23"/>
    <x v="15"/>
    <x v="42"/>
    <n v="3358"/>
    <x v="179"/>
    <n v="4361"/>
    <x v="147"/>
    <s v="B 14"/>
    <n v="1"/>
    <n v="1359"/>
    <x v="408"/>
    <s v="Annual"/>
    <n v="1"/>
    <n v="1"/>
    <n v="113628"/>
    <n v="113628"/>
  </r>
  <r>
    <x v="0"/>
    <n v="57"/>
    <x v="22"/>
    <x v="0"/>
    <x v="0"/>
    <n v="1005"/>
    <x v="23"/>
    <x v="15"/>
    <x v="42"/>
    <n v="3358"/>
    <x v="179"/>
    <n v="4361"/>
    <x v="147"/>
    <s v="B 14"/>
    <n v="1"/>
    <n v="1359"/>
    <x v="408"/>
    <s v="Annual"/>
    <n v="1"/>
    <n v="1"/>
    <n v="108576"/>
    <n v="108576"/>
  </r>
  <r>
    <x v="0"/>
    <n v="57"/>
    <x v="22"/>
    <x v="0"/>
    <x v="0"/>
    <n v="1005"/>
    <x v="23"/>
    <x v="15"/>
    <x v="42"/>
    <n v="3358"/>
    <x v="179"/>
    <n v="4361"/>
    <x v="147"/>
    <s v="B 14"/>
    <n v="1"/>
    <n v="1359"/>
    <x v="408"/>
    <s v="Annual"/>
    <n v="2"/>
    <n v="1"/>
    <n v="98928"/>
    <n v="197856"/>
  </r>
  <r>
    <x v="0"/>
    <n v="57"/>
    <x v="22"/>
    <x v="0"/>
    <x v="0"/>
    <n v="1005"/>
    <x v="23"/>
    <x v="15"/>
    <x v="42"/>
    <n v="3358"/>
    <x v="179"/>
    <n v="4361"/>
    <x v="147"/>
    <s v="B 14"/>
    <n v="1"/>
    <n v="1359"/>
    <x v="408"/>
    <s v="Annual"/>
    <n v="1"/>
    <n v="1"/>
    <n v="93504"/>
    <n v="93504"/>
  </r>
  <r>
    <x v="0"/>
    <n v="57"/>
    <x v="22"/>
    <x v="0"/>
    <x v="0"/>
    <n v="1005"/>
    <x v="23"/>
    <x v="15"/>
    <x v="42"/>
    <n v="3358"/>
    <x v="179"/>
    <n v="4361"/>
    <x v="147"/>
    <s v="B 14"/>
    <n v="1"/>
    <n v="1359"/>
    <x v="408"/>
    <s v="Annual"/>
    <n v="1"/>
    <n v="1"/>
    <n v="89244"/>
    <n v="89244"/>
  </r>
  <r>
    <x v="0"/>
    <n v="57"/>
    <x v="22"/>
    <x v="0"/>
    <x v="0"/>
    <n v="1005"/>
    <x v="23"/>
    <x v="15"/>
    <x v="42"/>
    <n v="3358"/>
    <x v="179"/>
    <n v="4361"/>
    <x v="147"/>
    <s v="B 14"/>
    <n v="1"/>
    <n v="1359"/>
    <x v="408"/>
    <s v="Annual"/>
    <n v="2"/>
    <n v="1"/>
    <n v="85200"/>
    <n v="170400"/>
  </r>
  <r>
    <x v="0"/>
    <n v="57"/>
    <x v="22"/>
    <x v="0"/>
    <x v="0"/>
    <n v="1005"/>
    <x v="23"/>
    <x v="15"/>
    <x v="42"/>
    <n v="3358"/>
    <x v="179"/>
    <n v="4361"/>
    <x v="147"/>
    <s v="B 14"/>
    <n v="1"/>
    <n v="1359"/>
    <x v="408"/>
    <s v="Annual"/>
    <n v="8"/>
    <n v="1"/>
    <n v="81324"/>
    <n v="650592"/>
  </r>
  <r>
    <x v="0"/>
    <n v="57"/>
    <x v="22"/>
    <x v="0"/>
    <x v="0"/>
    <n v="1005"/>
    <x v="23"/>
    <x v="15"/>
    <x v="42"/>
    <n v="3358"/>
    <x v="179"/>
    <n v="4361"/>
    <x v="147"/>
    <s v="B 14"/>
    <n v="1"/>
    <n v="1359"/>
    <x v="408"/>
    <s v="Annual"/>
    <n v="10"/>
    <n v="1"/>
    <n v="77640"/>
    <n v="776400"/>
  </r>
  <r>
    <x v="0"/>
    <n v="57"/>
    <x v="22"/>
    <x v="0"/>
    <x v="0"/>
    <n v="1005"/>
    <x v="23"/>
    <x v="15"/>
    <x v="42"/>
    <n v="3358"/>
    <x v="179"/>
    <n v="4361"/>
    <x v="147"/>
    <s v="B 14"/>
    <n v="1"/>
    <n v="1359"/>
    <x v="408"/>
    <s v="Annual"/>
    <n v="62"/>
    <n v="1"/>
    <n v="75336"/>
    <n v="4670832"/>
  </r>
  <r>
    <x v="0"/>
    <n v="57"/>
    <x v="22"/>
    <x v="0"/>
    <x v="0"/>
    <n v="1005"/>
    <x v="23"/>
    <x v="15"/>
    <x v="42"/>
    <n v="3358"/>
    <x v="179"/>
    <n v="4361"/>
    <x v="147"/>
    <s v="B 10"/>
    <n v="1"/>
    <s v="03A7"/>
    <x v="4"/>
    <s v="Annual"/>
    <n v="1"/>
    <n v="1"/>
    <n v="90144"/>
    <n v="90144"/>
  </r>
  <r>
    <x v="0"/>
    <n v="57"/>
    <x v="22"/>
    <x v="0"/>
    <x v="0"/>
    <n v="1005"/>
    <x v="23"/>
    <x v="15"/>
    <x v="42"/>
    <n v="3358"/>
    <x v="179"/>
    <n v="4361"/>
    <x v="147"/>
    <s v="B 10"/>
    <n v="1"/>
    <s v="03A7"/>
    <x v="4"/>
    <s v="Annual"/>
    <n v="1"/>
    <n v="1"/>
    <n v="51936"/>
    <n v="51936"/>
  </r>
  <r>
    <x v="0"/>
    <n v="57"/>
    <x v="22"/>
    <x v="0"/>
    <x v="0"/>
    <n v="1005"/>
    <x v="23"/>
    <x v="15"/>
    <x v="42"/>
    <n v="3358"/>
    <x v="179"/>
    <n v="4361"/>
    <x v="147"/>
    <s v="X 43"/>
    <n v="0"/>
    <s v="03A4"/>
    <x v="237"/>
    <s v="Annual"/>
    <n v="11"/>
    <n v="1"/>
    <n v="133836"/>
    <n v="1472196"/>
  </r>
  <r>
    <x v="0"/>
    <n v="57"/>
    <x v="22"/>
    <x v="0"/>
    <x v="0"/>
    <n v="1005"/>
    <x v="23"/>
    <x v="15"/>
    <x v="42"/>
    <n v="3358"/>
    <x v="179"/>
    <n v="4361"/>
    <x v="147"/>
    <s v="BX 18"/>
    <n v="20"/>
    <n v="394"/>
    <x v="68"/>
    <s v="Annual"/>
    <n v="1"/>
    <n v="1"/>
    <n v="89112"/>
    <n v="89112"/>
  </r>
  <r>
    <x v="0"/>
    <n v="57"/>
    <x v="22"/>
    <x v="0"/>
    <x v="0"/>
    <n v="1005"/>
    <x v="23"/>
    <x v="15"/>
    <x v="42"/>
    <n v="3358"/>
    <x v="179"/>
    <n v="4361"/>
    <x v="147"/>
    <s v="1 00"/>
    <n v="0"/>
    <n v="15"/>
    <x v="37"/>
    <s v="Annual"/>
    <n v="0"/>
    <n v="0"/>
    <n v="128715"/>
    <n v="128715"/>
  </r>
  <r>
    <x v="0"/>
    <n v="57"/>
    <x v="22"/>
    <x v="0"/>
    <x v="0"/>
    <n v="1005"/>
    <x v="23"/>
    <x v="15"/>
    <x v="42"/>
    <n v="3358"/>
    <x v="179"/>
    <n v="4364"/>
    <x v="148"/>
    <s v="1 00"/>
    <n v="99"/>
    <n v="9796"/>
    <x v="659"/>
    <s v="Annual"/>
    <n v="1"/>
    <n v="1"/>
    <n v="201048"/>
    <n v="201048"/>
  </r>
  <r>
    <x v="0"/>
    <n v="57"/>
    <x v="22"/>
    <x v="0"/>
    <x v="0"/>
    <n v="1005"/>
    <x v="23"/>
    <x v="15"/>
    <x v="42"/>
    <n v="3358"/>
    <x v="179"/>
    <n v="4364"/>
    <x v="148"/>
    <s v="E 04"/>
    <n v="73"/>
    <n v="9173"/>
    <x v="662"/>
    <s v="Annual"/>
    <n v="1"/>
    <n v="1"/>
    <n v="155934"/>
    <n v="155934"/>
  </r>
  <r>
    <x v="0"/>
    <n v="57"/>
    <x v="22"/>
    <x v="0"/>
    <x v="0"/>
    <n v="1005"/>
    <x v="23"/>
    <x v="15"/>
    <x v="42"/>
    <n v="3358"/>
    <x v="179"/>
    <n v="4364"/>
    <x v="148"/>
    <s v="E 03"/>
    <n v="71"/>
    <n v="9171"/>
    <x v="651"/>
    <s v="Annual"/>
    <n v="2"/>
    <n v="1"/>
    <n v="142668"/>
    <n v="285336"/>
  </r>
  <r>
    <x v="0"/>
    <n v="57"/>
    <x v="22"/>
    <x v="0"/>
    <x v="0"/>
    <n v="1005"/>
    <x v="23"/>
    <x v="15"/>
    <x v="42"/>
    <n v="3358"/>
    <x v="179"/>
    <n v="4364"/>
    <x v="148"/>
    <s v="D 01"/>
    <n v="91"/>
    <n v="9161"/>
    <x v="655"/>
    <s v="Annual"/>
    <n v="1"/>
    <n v="1"/>
    <n v="123576"/>
    <n v="123576"/>
  </r>
  <r>
    <x v="0"/>
    <n v="57"/>
    <x v="22"/>
    <x v="0"/>
    <x v="0"/>
    <n v="1005"/>
    <x v="23"/>
    <x v="15"/>
    <x v="42"/>
    <n v="3358"/>
    <x v="179"/>
    <n v="4364"/>
    <x v="148"/>
    <s v="D 01"/>
    <n v="91"/>
    <n v="9161"/>
    <x v="655"/>
    <s v="Annual"/>
    <n v="1"/>
    <n v="1"/>
    <n v="119154"/>
    <n v="119154"/>
  </r>
  <r>
    <x v="0"/>
    <n v="57"/>
    <x v="22"/>
    <x v="0"/>
    <x v="0"/>
    <n v="1005"/>
    <x v="23"/>
    <x v="15"/>
    <x v="42"/>
    <n v="3358"/>
    <x v="179"/>
    <n v="4364"/>
    <x v="148"/>
    <s v="D 01"/>
    <n v="91"/>
    <n v="9161"/>
    <x v="655"/>
    <s v="Annual"/>
    <n v="2"/>
    <n v="1"/>
    <n v="63636"/>
    <n v="127272"/>
  </r>
  <r>
    <x v="0"/>
    <n v="57"/>
    <x v="22"/>
    <x v="0"/>
    <x v="0"/>
    <n v="1005"/>
    <x v="23"/>
    <x v="15"/>
    <x v="42"/>
    <n v="3358"/>
    <x v="179"/>
    <n v="4364"/>
    <x v="148"/>
    <s v="B 14"/>
    <n v="3"/>
    <n v="3897"/>
    <x v="558"/>
    <s v="Annual"/>
    <n v="1"/>
    <n v="1"/>
    <n v="113628"/>
    <n v="113628"/>
  </r>
  <r>
    <x v="0"/>
    <n v="57"/>
    <x v="22"/>
    <x v="0"/>
    <x v="0"/>
    <n v="1005"/>
    <x v="23"/>
    <x v="15"/>
    <x v="42"/>
    <n v="3358"/>
    <x v="179"/>
    <n v="4364"/>
    <x v="148"/>
    <s v="GY 08"/>
    <n v="20"/>
    <n v="1141"/>
    <x v="79"/>
    <s v="Annual"/>
    <n v="1"/>
    <n v="1"/>
    <n v="106272"/>
    <n v="106272"/>
  </r>
  <r>
    <x v="0"/>
    <n v="57"/>
    <x v="22"/>
    <x v="0"/>
    <x v="0"/>
    <n v="1005"/>
    <x v="23"/>
    <x v="15"/>
    <x v="42"/>
    <n v="3358"/>
    <x v="179"/>
    <n v="4364"/>
    <x v="148"/>
    <s v="1 00"/>
    <n v="0"/>
    <n v="15"/>
    <x v="37"/>
    <s v="Annual"/>
    <n v="0"/>
    <n v="0"/>
    <n v="10194"/>
    <n v="10194"/>
  </r>
  <r>
    <x v="0"/>
    <n v="57"/>
    <x v="22"/>
    <x v="0"/>
    <x v="0"/>
    <n v="1005"/>
    <x v="23"/>
    <x v="15"/>
    <x v="42"/>
    <n v="3358"/>
    <x v="179"/>
    <n v="4365"/>
    <x v="149"/>
    <s v="D 01"/>
    <n v="91"/>
    <n v="9161"/>
    <x v="655"/>
    <s v="Annual"/>
    <n v="1"/>
    <n v="1"/>
    <n v="127146"/>
    <n v="127146"/>
  </r>
  <r>
    <x v="0"/>
    <n v="57"/>
    <x v="22"/>
    <x v="0"/>
    <x v="0"/>
    <n v="1005"/>
    <x v="23"/>
    <x v="15"/>
    <x v="42"/>
    <n v="3361"/>
    <x v="180"/>
    <n v="0"/>
    <x v="0"/>
    <s v="B 13"/>
    <n v="3"/>
    <n v="3529"/>
    <x v="668"/>
    <s v="Annual"/>
    <n v="1"/>
    <n v="1"/>
    <n v="108576"/>
    <n v="108576"/>
  </r>
  <r>
    <x v="0"/>
    <n v="57"/>
    <x v="22"/>
    <x v="0"/>
    <x v="0"/>
    <n v="1005"/>
    <x v="23"/>
    <x v="15"/>
    <x v="42"/>
    <n v="3361"/>
    <x v="180"/>
    <n v="0"/>
    <x v="0"/>
    <s v="B 13"/>
    <n v="3"/>
    <n v="3529"/>
    <x v="668"/>
    <s v="Annual"/>
    <n v="1"/>
    <n v="1"/>
    <n v="74172"/>
    <n v="74172"/>
  </r>
  <r>
    <x v="0"/>
    <n v="57"/>
    <x v="22"/>
    <x v="0"/>
    <x v="0"/>
    <n v="1005"/>
    <x v="23"/>
    <x v="15"/>
    <x v="42"/>
    <n v="3361"/>
    <x v="180"/>
    <n v="0"/>
    <x v="0"/>
    <s v="B 13"/>
    <n v="3"/>
    <n v="3529"/>
    <x v="668"/>
    <s v="Annual"/>
    <n v="3"/>
    <n v="1"/>
    <n v="70752"/>
    <n v="212256"/>
  </r>
  <r>
    <x v="0"/>
    <n v="57"/>
    <x v="22"/>
    <x v="0"/>
    <x v="0"/>
    <n v="1005"/>
    <x v="23"/>
    <x v="15"/>
    <x v="42"/>
    <n v="3361"/>
    <x v="180"/>
    <n v="0"/>
    <x v="0"/>
    <s v="B 13"/>
    <n v="3"/>
    <n v="3529"/>
    <x v="668"/>
    <s v="Annual"/>
    <n v="47"/>
    <n v="1"/>
    <n v="68616"/>
    <n v="3224952"/>
  </r>
  <r>
    <x v="0"/>
    <n v="57"/>
    <x v="22"/>
    <x v="0"/>
    <x v="0"/>
    <n v="1005"/>
    <x v="23"/>
    <x v="15"/>
    <x v="42"/>
    <n v="3361"/>
    <x v="180"/>
    <n v="0"/>
    <x v="0"/>
    <s v="BX 18"/>
    <n v="10"/>
    <n v="3092"/>
    <x v="308"/>
    <s v="Annual"/>
    <n v="2"/>
    <n v="1"/>
    <n v="93384"/>
    <n v="186768"/>
  </r>
  <r>
    <x v="0"/>
    <n v="57"/>
    <x v="22"/>
    <x v="0"/>
    <x v="0"/>
    <n v="1005"/>
    <x v="23"/>
    <x v="15"/>
    <x v="42"/>
    <n v="3361"/>
    <x v="180"/>
    <n v="0"/>
    <x v="0"/>
    <s v="BX 18"/>
    <n v="10"/>
    <n v="3092"/>
    <x v="308"/>
    <s v="Annual"/>
    <n v="3"/>
    <n v="1"/>
    <n v="89112"/>
    <n v="267336"/>
  </r>
  <r>
    <x v="0"/>
    <n v="57"/>
    <x v="22"/>
    <x v="0"/>
    <x v="0"/>
    <n v="1005"/>
    <x v="23"/>
    <x v="15"/>
    <x v="42"/>
    <n v="3361"/>
    <x v="180"/>
    <n v="0"/>
    <x v="0"/>
    <s v="B 13"/>
    <n v="1"/>
    <n v="308"/>
    <x v="90"/>
    <s v="Annual"/>
    <n v="1"/>
    <n v="1"/>
    <n v="68616"/>
    <n v="68616"/>
  </r>
  <r>
    <x v="0"/>
    <n v="57"/>
    <x v="22"/>
    <x v="0"/>
    <x v="0"/>
    <n v="1005"/>
    <x v="23"/>
    <x v="15"/>
    <x v="42"/>
    <n v="3361"/>
    <x v="180"/>
    <n v="0"/>
    <x v="0"/>
    <s v="1 00"/>
    <n v="0"/>
    <n v="15"/>
    <x v="37"/>
    <s v="Annual"/>
    <n v="0"/>
    <n v="0"/>
    <n v="14868"/>
    <n v="14868"/>
  </r>
  <r>
    <x v="0"/>
    <n v="57"/>
    <x v="22"/>
    <x v="0"/>
    <x v="0"/>
    <n v="1005"/>
    <x v="23"/>
    <x v="15"/>
    <x v="42"/>
    <n v="3362"/>
    <x v="181"/>
    <n v="0"/>
    <x v="0"/>
    <s v="B 14"/>
    <n v="3"/>
    <n v="3897"/>
    <x v="558"/>
    <s v="Annual"/>
    <n v="1"/>
    <n v="1"/>
    <n v="89244"/>
    <n v="89244"/>
  </r>
  <r>
    <x v="0"/>
    <n v="57"/>
    <x v="22"/>
    <x v="0"/>
    <x v="0"/>
    <n v="1005"/>
    <x v="23"/>
    <x v="15"/>
    <x v="42"/>
    <n v="3362"/>
    <x v="181"/>
    <n v="0"/>
    <x v="0"/>
    <s v="B 14"/>
    <n v="3"/>
    <n v="3897"/>
    <x v="558"/>
    <s v="Annual"/>
    <n v="2"/>
    <n v="1"/>
    <n v="75336"/>
    <n v="150672"/>
  </r>
  <r>
    <x v="0"/>
    <n v="57"/>
    <x v="22"/>
    <x v="0"/>
    <x v="0"/>
    <n v="1005"/>
    <x v="23"/>
    <x v="15"/>
    <x v="42"/>
    <n v="3362"/>
    <x v="181"/>
    <n v="0"/>
    <x v="0"/>
    <s v="G 07"/>
    <n v="3"/>
    <n v="3052"/>
    <x v="716"/>
    <s v="Annual"/>
    <n v="2"/>
    <n v="1"/>
    <n v="90144"/>
    <n v="180288"/>
  </r>
  <r>
    <x v="0"/>
    <n v="57"/>
    <x v="22"/>
    <x v="0"/>
    <x v="0"/>
    <n v="1005"/>
    <x v="23"/>
    <x v="15"/>
    <x v="42"/>
    <n v="3362"/>
    <x v="181"/>
    <n v="0"/>
    <x v="0"/>
    <s v="GY 11"/>
    <n v="20"/>
    <n v="3051"/>
    <x v="27"/>
    <s v="Annual"/>
    <n v="1"/>
    <n v="1"/>
    <n v="106272"/>
    <n v="106272"/>
  </r>
  <r>
    <x v="0"/>
    <n v="57"/>
    <x v="22"/>
    <x v="0"/>
    <x v="0"/>
    <n v="1005"/>
    <x v="23"/>
    <x v="15"/>
    <x v="42"/>
    <n v="3362"/>
    <x v="181"/>
    <n v="0"/>
    <x v="0"/>
    <s v="1 00"/>
    <n v="0"/>
    <n v="15"/>
    <x v="37"/>
    <s v="Annual"/>
    <n v="0"/>
    <n v="0"/>
    <n v="3572"/>
    <n v="3572"/>
  </r>
  <r>
    <x v="0"/>
    <n v="57"/>
    <x v="22"/>
    <x v="0"/>
    <x v="0"/>
    <n v="1005"/>
    <x v="23"/>
    <x v="15"/>
    <x v="42"/>
    <n v="3624"/>
    <x v="182"/>
    <n v="4153"/>
    <x v="150"/>
    <s v="X 41"/>
    <n v="9"/>
    <n v="9817"/>
    <x v="275"/>
    <s v="Annual"/>
    <n v="1"/>
    <n v="1"/>
    <n v="184800"/>
    <n v="184800"/>
  </r>
  <r>
    <x v="0"/>
    <n v="57"/>
    <x v="22"/>
    <x v="0"/>
    <x v="0"/>
    <n v="1005"/>
    <x v="23"/>
    <x v="15"/>
    <x v="42"/>
    <n v="3624"/>
    <x v="182"/>
    <n v="4153"/>
    <x v="150"/>
    <s v="E 03"/>
    <n v="71"/>
    <n v="9171"/>
    <x v="651"/>
    <s v="Annual"/>
    <n v="1"/>
    <n v="1"/>
    <n v="152010"/>
    <n v="152010"/>
  </r>
  <r>
    <x v="0"/>
    <n v="57"/>
    <x v="22"/>
    <x v="0"/>
    <x v="0"/>
    <n v="1005"/>
    <x v="23"/>
    <x v="15"/>
    <x v="42"/>
    <n v="3624"/>
    <x v="182"/>
    <n v="4153"/>
    <x v="150"/>
    <s v="E 03"/>
    <n v="71"/>
    <n v="9171"/>
    <x v="651"/>
    <s v="Annual"/>
    <n v="1"/>
    <n v="1"/>
    <n v="138318"/>
    <n v="138318"/>
  </r>
  <r>
    <x v="0"/>
    <n v="57"/>
    <x v="22"/>
    <x v="0"/>
    <x v="0"/>
    <n v="1005"/>
    <x v="23"/>
    <x v="15"/>
    <x v="42"/>
    <n v="3624"/>
    <x v="182"/>
    <n v="4153"/>
    <x v="150"/>
    <s v="GY 09"/>
    <n v="20"/>
    <n v="9024"/>
    <x v="713"/>
    <s v="Annual"/>
    <n v="1"/>
    <n v="1"/>
    <n v="115992"/>
    <n v="115992"/>
  </r>
  <r>
    <x v="0"/>
    <n v="57"/>
    <x v="22"/>
    <x v="0"/>
    <x v="0"/>
    <n v="1005"/>
    <x v="23"/>
    <x v="15"/>
    <x v="42"/>
    <n v="3624"/>
    <x v="182"/>
    <n v="4153"/>
    <x v="150"/>
    <s v="GY 09"/>
    <n v="20"/>
    <n v="9024"/>
    <x v="713"/>
    <s v="Annual"/>
    <n v="1"/>
    <n v="1"/>
    <n v="106272"/>
    <n v="106272"/>
  </r>
  <r>
    <x v="0"/>
    <n v="57"/>
    <x v="22"/>
    <x v="0"/>
    <x v="0"/>
    <n v="1005"/>
    <x v="23"/>
    <x v="15"/>
    <x v="42"/>
    <n v="3624"/>
    <x v="182"/>
    <n v="4153"/>
    <x v="150"/>
    <s v="GY 09"/>
    <n v="20"/>
    <n v="9024"/>
    <x v="713"/>
    <s v="Annual"/>
    <n v="4"/>
    <n v="1"/>
    <n v="101628"/>
    <n v="406512"/>
  </r>
  <r>
    <x v="0"/>
    <n v="57"/>
    <x v="22"/>
    <x v="0"/>
    <x v="0"/>
    <n v="1005"/>
    <x v="23"/>
    <x v="15"/>
    <x v="42"/>
    <n v="3624"/>
    <x v="182"/>
    <n v="4153"/>
    <x v="150"/>
    <s v="GY 09"/>
    <n v="20"/>
    <n v="9024"/>
    <x v="713"/>
    <s v="Annual"/>
    <n v="4"/>
    <n v="1"/>
    <n v="97332"/>
    <n v="389328"/>
  </r>
  <r>
    <x v="0"/>
    <n v="57"/>
    <x v="22"/>
    <x v="0"/>
    <x v="0"/>
    <n v="1005"/>
    <x v="23"/>
    <x v="15"/>
    <x v="42"/>
    <n v="3624"/>
    <x v="182"/>
    <n v="4153"/>
    <x v="150"/>
    <s v="GY 09"/>
    <n v="20"/>
    <n v="9024"/>
    <x v="713"/>
    <s v="Annual"/>
    <n v="2"/>
    <n v="1"/>
    <n v="89112"/>
    <n v="178224"/>
  </r>
  <r>
    <x v="0"/>
    <n v="57"/>
    <x v="22"/>
    <x v="0"/>
    <x v="0"/>
    <n v="1005"/>
    <x v="23"/>
    <x v="15"/>
    <x v="42"/>
    <n v="3624"/>
    <x v="182"/>
    <n v="4153"/>
    <x v="150"/>
    <s v="B 13"/>
    <n v="1"/>
    <n v="308"/>
    <x v="90"/>
    <s v="Annual"/>
    <n v="1"/>
    <n v="1"/>
    <n v="119100"/>
    <n v="119100"/>
  </r>
  <r>
    <x v="0"/>
    <n v="57"/>
    <x v="22"/>
    <x v="0"/>
    <x v="0"/>
    <n v="1005"/>
    <x v="23"/>
    <x v="15"/>
    <x v="42"/>
    <n v="3624"/>
    <x v="182"/>
    <n v="4153"/>
    <x v="150"/>
    <s v="1 00"/>
    <n v="0"/>
    <n v="15"/>
    <x v="37"/>
    <s v="Annual"/>
    <n v="0"/>
    <n v="0"/>
    <n v="20224"/>
    <n v="20224"/>
  </r>
  <r>
    <x v="0"/>
    <n v="57"/>
    <x v="22"/>
    <x v="0"/>
    <x v="0"/>
    <n v="1005"/>
    <x v="23"/>
    <x v="15"/>
    <x v="42"/>
    <n v="3624"/>
    <x v="182"/>
    <n v="4154"/>
    <x v="151"/>
    <s v="E 05"/>
    <n v="75"/>
    <n v="9175"/>
    <x v="665"/>
    <s v="Annual"/>
    <n v="3"/>
    <n v="1"/>
    <n v="185676"/>
    <n v="557028"/>
  </r>
  <r>
    <x v="0"/>
    <n v="57"/>
    <x v="22"/>
    <x v="0"/>
    <x v="0"/>
    <n v="1005"/>
    <x v="23"/>
    <x v="15"/>
    <x v="42"/>
    <n v="3624"/>
    <x v="182"/>
    <n v="4154"/>
    <x v="151"/>
    <s v="E 05"/>
    <n v="75"/>
    <n v="9175"/>
    <x v="665"/>
    <s v="Annual"/>
    <n v="1"/>
    <n v="1"/>
    <n v="181188"/>
    <n v="181188"/>
  </r>
  <r>
    <x v="0"/>
    <n v="57"/>
    <x v="22"/>
    <x v="0"/>
    <x v="0"/>
    <n v="1005"/>
    <x v="23"/>
    <x v="15"/>
    <x v="42"/>
    <n v="3624"/>
    <x v="182"/>
    <n v="4154"/>
    <x v="151"/>
    <s v="E 03"/>
    <n v="71"/>
    <n v="9171"/>
    <x v="651"/>
    <s v="Annual"/>
    <n v="1"/>
    <n v="1"/>
    <n v="142668"/>
    <n v="142668"/>
  </r>
  <r>
    <x v="0"/>
    <n v="57"/>
    <x v="22"/>
    <x v="0"/>
    <x v="0"/>
    <n v="1005"/>
    <x v="23"/>
    <x v="15"/>
    <x v="42"/>
    <n v="3624"/>
    <x v="182"/>
    <n v="4154"/>
    <x v="151"/>
    <s v="D 01"/>
    <n v="91"/>
    <n v="9161"/>
    <x v="655"/>
    <s v="Annual"/>
    <n v="1"/>
    <n v="1"/>
    <n v="123576"/>
    <n v="123576"/>
  </r>
  <r>
    <x v="0"/>
    <n v="57"/>
    <x v="22"/>
    <x v="0"/>
    <x v="0"/>
    <n v="1005"/>
    <x v="23"/>
    <x v="15"/>
    <x v="42"/>
    <n v="3624"/>
    <x v="182"/>
    <n v="4154"/>
    <x v="151"/>
    <s v="D 01"/>
    <n v="91"/>
    <n v="9161"/>
    <x v="655"/>
    <s v="Annual"/>
    <n v="1"/>
    <n v="1"/>
    <n v="119154"/>
    <n v="119154"/>
  </r>
  <r>
    <x v="0"/>
    <n v="57"/>
    <x v="22"/>
    <x v="0"/>
    <x v="0"/>
    <n v="1005"/>
    <x v="23"/>
    <x v="15"/>
    <x v="42"/>
    <n v="3624"/>
    <x v="182"/>
    <n v="4154"/>
    <x v="151"/>
    <s v="D 01"/>
    <n v="91"/>
    <n v="9161"/>
    <x v="655"/>
    <s v="Annual"/>
    <n v="2"/>
    <n v="1"/>
    <n v="115158"/>
    <n v="230316"/>
  </r>
  <r>
    <x v="0"/>
    <n v="57"/>
    <x v="22"/>
    <x v="0"/>
    <x v="0"/>
    <n v="1005"/>
    <x v="23"/>
    <x v="15"/>
    <x v="42"/>
    <n v="3624"/>
    <x v="182"/>
    <n v="4154"/>
    <x v="151"/>
    <s v="D 01"/>
    <n v="91"/>
    <n v="9161"/>
    <x v="655"/>
    <s v="Annual"/>
    <n v="1"/>
    <n v="1"/>
    <n v="111252"/>
    <n v="111252"/>
  </r>
  <r>
    <x v="0"/>
    <n v="57"/>
    <x v="22"/>
    <x v="0"/>
    <x v="0"/>
    <n v="1005"/>
    <x v="23"/>
    <x v="15"/>
    <x v="42"/>
    <n v="3624"/>
    <x v="182"/>
    <n v="4154"/>
    <x v="151"/>
    <s v="GY 11"/>
    <n v="20"/>
    <n v="1127"/>
    <x v="54"/>
    <s v="Annual"/>
    <n v="2"/>
    <n v="1"/>
    <n v="115992"/>
    <n v="231984"/>
  </r>
  <r>
    <x v="0"/>
    <n v="57"/>
    <x v="22"/>
    <x v="0"/>
    <x v="0"/>
    <n v="1005"/>
    <x v="23"/>
    <x v="15"/>
    <x v="42"/>
    <n v="3624"/>
    <x v="182"/>
    <n v="4154"/>
    <x v="151"/>
    <s v="GY 08"/>
    <n v="20"/>
    <n v="1126"/>
    <x v="50"/>
    <s v="Annual"/>
    <n v="1"/>
    <n v="1"/>
    <n v="93156"/>
    <n v="93156"/>
  </r>
  <r>
    <x v="0"/>
    <n v="57"/>
    <x v="22"/>
    <x v="0"/>
    <x v="0"/>
    <n v="1005"/>
    <x v="23"/>
    <x v="15"/>
    <x v="42"/>
    <n v="3624"/>
    <x v="182"/>
    <n v="4154"/>
    <x v="151"/>
    <s v="GY 08"/>
    <n v="20"/>
    <n v="1126"/>
    <x v="50"/>
    <s v="Annual"/>
    <n v="2"/>
    <n v="1"/>
    <n v="85236"/>
    <n v="170472"/>
  </r>
  <r>
    <x v="0"/>
    <n v="57"/>
    <x v="22"/>
    <x v="0"/>
    <x v="0"/>
    <n v="1005"/>
    <x v="23"/>
    <x v="15"/>
    <x v="42"/>
    <n v="3624"/>
    <x v="182"/>
    <n v="4154"/>
    <x v="151"/>
    <s v="GY 08"/>
    <n v="20"/>
    <n v="1126"/>
    <x v="50"/>
    <s v="Annual"/>
    <n v="1"/>
    <n v="1"/>
    <n v="82884"/>
    <n v="82884"/>
  </r>
  <r>
    <x v="0"/>
    <n v="57"/>
    <x v="22"/>
    <x v="0"/>
    <x v="0"/>
    <n v="1005"/>
    <x v="23"/>
    <x v="15"/>
    <x v="42"/>
    <n v="3624"/>
    <x v="182"/>
    <n v="4154"/>
    <x v="151"/>
    <s v="X 43"/>
    <n v="0"/>
    <s v="03A4"/>
    <x v="237"/>
    <s v="Annual"/>
    <n v="1"/>
    <n v="1"/>
    <n v="160680"/>
    <n v="160680"/>
  </r>
  <r>
    <x v="0"/>
    <n v="57"/>
    <x v="22"/>
    <x v="0"/>
    <x v="0"/>
    <n v="1005"/>
    <x v="23"/>
    <x v="15"/>
    <x v="42"/>
    <n v="3624"/>
    <x v="182"/>
    <n v="4154"/>
    <x v="151"/>
    <s v="G 07"/>
    <n v="4"/>
    <n v="193"/>
    <x v="244"/>
    <s v="Annual"/>
    <n v="1"/>
    <n v="1"/>
    <n v="112536"/>
    <n v="112536"/>
  </r>
  <r>
    <x v="0"/>
    <n v="57"/>
    <x v="22"/>
    <x v="0"/>
    <x v="0"/>
    <n v="1005"/>
    <x v="23"/>
    <x v="15"/>
    <x v="42"/>
    <n v="3624"/>
    <x v="182"/>
    <n v="4154"/>
    <x v="151"/>
    <s v="G 07"/>
    <n v="4"/>
    <n v="193"/>
    <x v="244"/>
    <s v="Annual"/>
    <n v="1"/>
    <n v="1"/>
    <n v="102516"/>
    <n v="102516"/>
  </r>
  <r>
    <x v="0"/>
    <n v="57"/>
    <x v="22"/>
    <x v="0"/>
    <x v="0"/>
    <n v="1005"/>
    <x v="23"/>
    <x v="15"/>
    <x v="42"/>
    <n v="3624"/>
    <x v="182"/>
    <n v="4154"/>
    <x v="151"/>
    <s v="1 00"/>
    <n v="0"/>
    <n v="15"/>
    <x v="37"/>
    <s v="Annual"/>
    <n v="0"/>
    <n v="0"/>
    <n v="28241"/>
    <n v="28241"/>
  </r>
  <r>
    <x v="0"/>
    <n v="57"/>
    <x v="22"/>
    <x v="0"/>
    <x v="0"/>
    <n v="1005"/>
    <x v="23"/>
    <x v="15"/>
    <x v="42"/>
    <n v="3627"/>
    <x v="183"/>
    <n v="4158"/>
    <x v="152"/>
    <s v="E 05"/>
    <n v="75"/>
    <n v="9175"/>
    <x v="665"/>
    <s v="Annual"/>
    <n v="1"/>
    <n v="1"/>
    <n v="188352"/>
    <n v="188352"/>
  </r>
  <r>
    <x v="0"/>
    <n v="57"/>
    <x v="22"/>
    <x v="0"/>
    <x v="0"/>
    <n v="1005"/>
    <x v="23"/>
    <x v="15"/>
    <x v="42"/>
    <n v="3627"/>
    <x v="183"/>
    <n v="4158"/>
    <x v="152"/>
    <s v="E 05"/>
    <n v="75"/>
    <n v="9175"/>
    <x v="665"/>
    <s v="Annual"/>
    <n v="1"/>
    <n v="1"/>
    <n v="185676"/>
    <n v="185676"/>
  </r>
  <r>
    <x v="0"/>
    <n v="57"/>
    <x v="22"/>
    <x v="0"/>
    <x v="0"/>
    <n v="1005"/>
    <x v="23"/>
    <x v="15"/>
    <x v="42"/>
    <n v="3627"/>
    <x v="183"/>
    <n v="4158"/>
    <x v="152"/>
    <s v="E 04"/>
    <n v="73"/>
    <n v="9173"/>
    <x v="662"/>
    <s v="Annual"/>
    <n v="1"/>
    <n v="1"/>
    <n v="165624"/>
    <n v="165624"/>
  </r>
  <r>
    <x v="0"/>
    <n v="57"/>
    <x v="22"/>
    <x v="0"/>
    <x v="0"/>
    <n v="1005"/>
    <x v="23"/>
    <x v="15"/>
    <x v="42"/>
    <n v="3627"/>
    <x v="183"/>
    <n v="4158"/>
    <x v="152"/>
    <s v="E 03"/>
    <n v="71"/>
    <n v="9171"/>
    <x v="651"/>
    <s v="Annual"/>
    <n v="2"/>
    <n v="1"/>
    <n v="152010"/>
    <n v="304020"/>
  </r>
  <r>
    <x v="0"/>
    <n v="57"/>
    <x v="22"/>
    <x v="0"/>
    <x v="0"/>
    <n v="1005"/>
    <x v="23"/>
    <x v="15"/>
    <x v="42"/>
    <n v="3627"/>
    <x v="183"/>
    <n v="4158"/>
    <x v="152"/>
    <s v="E 03"/>
    <n v="71"/>
    <n v="9171"/>
    <x v="651"/>
    <s v="Annual"/>
    <n v="1"/>
    <n v="1"/>
    <n v="147252"/>
    <n v="147252"/>
  </r>
  <r>
    <x v="0"/>
    <n v="57"/>
    <x v="22"/>
    <x v="0"/>
    <x v="0"/>
    <n v="1005"/>
    <x v="23"/>
    <x v="15"/>
    <x v="42"/>
    <n v="3627"/>
    <x v="183"/>
    <n v="4158"/>
    <x v="152"/>
    <s v="E 03"/>
    <n v="71"/>
    <n v="9171"/>
    <x v="651"/>
    <s v="Annual"/>
    <n v="2"/>
    <n v="1"/>
    <n v="138318"/>
    <n v="276636"/>
  </r>
  <r>
    <x v="0"/>
    <n v="57"/>
    <x v="22"/>
    <x v="0"/>
    <x v="0"/>
    <n v="1005"/>
    <x v="23"/>
    <x v="15"/>
    <x v="42"/>
    <n v="3627"/>
    <x v="183"/>
    <n v="4158"/>
    <x v="152"/>
    <s v="D 01"/>
    <n v="91"/>
    <n v="9161"/>
    <x v="655"/>
    <s v="Annual"/>
    <n v="1"/>
    <n v="1"/>
    <n v="127146"/>
    <n v="127146"/>
  </r>
  <r>
    <x v="0"/>
    <n v="57"/>
    <x v="22"/>
    <x v="0"/>
    <x v="0"/>
    <n v="1005"/>
    <x v="23"/>
    <x v="15"/>
    <x v="42"/>
    <n v="3627"/>
    <x v="183"/>
    <n v="4158"/>
    <x v="152"/>
    <s v="D 01"/>
    <n v="91"/>
    <n v="9161"/>
    <x v="655"/>
    <s v="Annual"/>
    <n v="3"/>
    <n v="1"/>
    <n v="123576"/>
    <n v="370728"/>
  </r>
  <r>
    <x v="0"/>
    <n v="57"/>
    <x v="22"/>
    <x v="0"/>
    <x v="0"/>
    <n v="1005"/>
    <x v="23"/>
    <x v="15"/>
    <x v="42"/>
    <n v="3627"/>
    <x v="183"/>
    <n v="4158"/>
    <x v="152"/>
    <s v="D 01"/>
    <n v="91"/>
    <n v="9161"/>
    <x v="655"/>
    <s v="Annual"/>
    <n v="1"/>
    <n v="1"/>
    <n v="119154"/>
    <n v="119154"/>
  </r>
  <r>
    <x v="0"/>
    <n v="57"/>
    <x v="22"/>
    <x v="0"/>
    <x v="0"/>
    <n v="1005"/>
    <x v="23"/>
    <x v="15"/>
    <x v="42"/>
    <n v="3627"/>
    <x v="183"/>
    <n v="4158"/>
    <x v="152"/>
    <s v="D 01"/>
    <n v="91"/>
    <n v="9161"/>
    <x v="655"/>
    <s v="Annual"/>
    <n v="2"/>
    <n v="1"/>
    <n v="115158"/>
    <n v="230316"/>
  </r>
  <r>
    <x v="0"/>
    <n v="57"/>
    <x v="22"/>
    <x v="0"/>
    <x v="0"/>
    <n v="1005"/>
    <x v="23"/>
    <x v="15"/>
    <x v="42"/>
    <n v="3627"/>
    <x v="183"/>
    <n v="4158"/>
    <x v="152"/>
    <s v="D 01"/>
    <n v="91"/>
    <n v="9161"/>
    <x v="655"/>
    <s v="Annual"/>
    <n v="28"/>
    <n v="1"/>
    <n v="111252"/>
    <n v="3115056"/>
  </r>
  <r>
    <x v="0"/>
    <n v="57"/>
    <x v="22"/>
    <x v="0"/>
    <x v="0"/>
    <n v="1005"/>
    <x v="23"/>
    <x v="15"/>
    <x v="42"/>
    <n v="3627"/>
    <x v="183"/>
    <n v="4158"/>
    <x v="152"/>
    <s v="D 01"/>
    <n v="91"/>
    <n v="9161"/>
    <x v="655"/>
    <s v="Annual"/>
    <n v="4"/>
    <n v="1"/>
    <n v="63636"/>
    <n v="254544"/>
  </r>
  <r>
    <x v="0"/>
    <n v="57"/>
    <x v="22"/>
    <x v="0"/>
    <x v="0"/>
    <n v="1005"/>
    <x v="23"/>
    <x v="15"/>
    <x v="42"/>
    <n v="3627"/>
    <x v="183"/>
    <n v="4158"/>
    <x v="152"/>
    <s v="4 00"/>
    <n v="0"/>
    <n v="9006"/>
    <x v="700"/>
    <s v="Hourly"/>
    <n v="24960"/>
    <n v="0"/>
    <n v="37"/>
    <n v="923520"/>
  </r>
  <r>
    <x v="0"/>
    <n v="57"/>
    <x v="22"/>
    <x v="0"/>
    <x v="0"/>
    <n v="1005"/>
    <x v="23"/>
    <x v="15"/>
    <x v="42"/>
    <n v="3629"/>
    <x v="184"/>
    <n v="4159"/>
    <x v="153"/>
    <s v="X 42"/>
    <n v="9"/>
    <n v="9675"/>
    <x v="76"/>
    <s v="Annual"/>
    <n v="1"/>
    <n v="1"/>
    <n v="153000"/>
    <n v="153000"/>
  </r>
  <r>
    <x v="0"/>
    <n v="57"/>
    <x v="22"/>
    <x v="0"/>
    <x v="0"/>
    <n v="1005"/>
    <x v="23"/>
    <x v="15"/>
    <x v="42"/>
    <n v="3629"/>
    <x v="184"/>
    <n v="4159"/>
    <x v="153"/>
    <s v="E 04"/>
    <n v="73"/>
    <n v="9173"/>
    <x v="662"/>
    <s v="Annual"/>
    <n v="1"/>
    <n v="1"/>
    <n v="160746"/>
    <n v="160746"/>
  </r>
  <r>
    <x v="0"/>
    <n v="57"/>
    <x v="22"/>
    <x v="0"/>
    <x v="0"/>
    <n v="1005"/>
    <x v="23"/>
    <x v="15"/>
    <x v="42"/>
    <n v="3629"/>
    <x v="184"/>
    <n v="4159"/>
    <x v="153"/>
    <s v="E 03"/>
    <n v="71"/>
    <n v="9171"/>
    <x v="651"/>
    <s v="Annual"/>
    <n v="1"/>
    <n v="1"/>
    <n v="152010"/>
    <n v="152010"/>
  </r>
  <r>
    <x v="0"/>
    <n v="57"/>
    <x v="22"/>
    <x v="0"/>
    <x v="0"/>
    <n v="1005"/>
    <x v="23"/>
    <x v="15"/>
    <x v="42"/>
    <n v="3629"/>
    <x v="184"/>
    <n v="4159"/>
    <x v="153"/>
    <s v="E 03"/>
    <n v="71"/>
    <n v="9171"/>
    <x v="651"/>
    <s v="Annual"/>
    <n v="1"/>
    <n v="1"/>
    <n v="142668"/>
    <n v="142668"/>
  </r>
  <r>
    <x v="0"/>
    <n v="57"/>
    <x v="22"/>
    <x v="0"/>
    <x v="0"/>
    <n v="1005"/>
    <x v="23"/>
    <x v="15"/>
    <x v="42"/>
    <n v="3629"/>
    <x v="184"/>
    <n v="4159"/>
    <x v="153"/>
    <s v="E 03"/>
    <n v="71"/>
    <n v="9171"/>
    <x v="651"/>
    <s v="Annual"/>
    <n v="1"/>
    <n v="1"/>
    <n v="138318"/>
    <n v="138318"/>
  </r>
  <r>
    <x v="0"/>
    <n v="57"/>
    <x v="22"/>
    <x v="0"/>
    <x v="0"/>
    <n v="1005"/>
    <x v="23"/>
    <x v="15"/>
    <x v="42"/>
    <n v="3629"/>
    <x v="184"/>
    <n v="4159"/>
    <x v="153"/>
    <s v="D 01"/>
    <n v="91"/>
    <n v="9161"/>
    <x v="655"/>
    <s v="Annual"/>
    <n v="3"/>
    <n v="1"/>
    <n v="123576"/>
    <n v="370728"/>
  </r>
  <r>
    <x v="0"/>
    <n v="57"/>
    <x v="22"/>
    <x v="0"/>
    <x v="0"/>
    <n v="1005"/>
    <x v="23"/>
    <x v="15"/>
    <x v="42"/>
    <n v="3629"/>
    <x v="184"/>
    <n v="4159"/>
    <x v="153"/>
    <s v="D 01"/>
    <n v="91"/>
    <n v="9161"/>
    <x v="655"/>
    <s v="Annual"/>
    <n v="2"/>
    <n v="1"/>
    <n v="119154"/>
    <n v="238308"/>
  </r>
  <r>
    <x v="0"/>
    <n v="57"/>
    <x v="22"/>
    <x v="0"/>
    <x v="0"/>
    <n v="1005"/>
    <x v="23"/>
    <x v="15"/>
    <x v="42"/>
    <n v="3629"/>
    <x v="184"/>
    <n v="4159"/>
    <x v="153"/>
    <s v="D 01"/>
    <n v="91"/>
    <n v="9161"/>
    <x v="655"/>
    <s v="Annual"/>
    <n v="3"/>
    <n v="1"/>
    <n v="115158"/>
    <n v="345474"/>
  </r>
  <r>
    <x v="0"/>
    <n v="57"/>
    <x v="22"/>
    <x v="0"/>
    <x v="0"/>
    <n v="1005"/>
    <x v="23"/>
    <x v="15"/>
    <x v="42"/>
    <n v="3629"/>
    <x v="184"/>
    <n v="4159"/>
    <x v="153"/>
    <s v="D 01"/>
    <n v="91"/>
    <n v="9161"/>
    <x v="655"/>
    <s v="Annual"/>
    <n v="7"/>
    <n v="1"/>
    <n v="111252"/>
    <n v="778764"/>
  </r>
  <r>
    <x v="0"/>
    <n v="57"/>
    <x v="22"/>
    <x v="0"/>
    <x v="0"/>
    <n v="1005"/>
    <x v="23"/>
    <x v="15"/>
    <x v="42"/>
    <n v="3629"/>
    <x v="184"/>
    <n v="4159"/>
    <x v="153"/>
    <s v="G 05"/>
    <n v="4"/>
    <n v="2921"/>
    <x v="691"/>
    <s v="Annual"/>
    <n v="2"/>
    <n v="1"/>
    <n v="108708"/>
    <n v="217416"/>
  </r>
  <r>
    <x v="0"/>
    <n v="57"/>
    <x v="22"/>
    <x v="0"/>
    <x v="0"/>
    <n v="1005"/>
    <x v="23"/>
    <x v="15"/>
    <x v="42"/>
    <n v="3629"/>
    <x v="184"/>
    <n v="4159"/>
    <x v="153"/>
    <s v="GY 09"/>
    <n v="20"/>
    <n v="2903"/>
    <x v="714"/>
    <s v="Annual"/>
    <n v="1"/>
    <n v="1"/>
    <n v="122556"/>
    <n v="122556"/>
  </r>
  <r>
    <x v="0"/>
    <n v="57"/>
    <x v="22"/>
    <x v="0"/>
    <x v="0"/>
    <n v="1005"/>
    <x v="23"/>
    <x v="15"/>
    <x v="42"/>
    <n v="3629"/>
    <x v="184"/>
    <n v="4159"/>
    <x v="153"/>
    <s v="GY 09"/>
    <n v="20"/>
    <n v="2903"/>
    <x v="714"/>
    <s v="Annual"/>
    <n v="3"/>
    <n v="1"/>
    <n v="111000"/>
    <n v="333000"/>
  </r>
  <r>
    <x v="0"/>
    <n v="57"/>
    <x v="22"/>
    <x v="0"/>
    <x v="0"/>
    <n v="1005"/>
    <x v="23"/>
    <x v="15"/>
    <x v="42"/>
    <n v="3629"/>
    <x v="184"/>
    <n v="4159"/>
    <x v="153"/>
    <s v="GY 09"/>
    <n v="20"/>
    <n v="2903"/>
    <x v="714"/>
    <s v="Annual"/>
    <n v="6"/>
    <n v="1"/>
    <n v="93156"/>
    <n v="558936"/>
  </r>
  <r>
    <x v="0"/>
    <n v="57"/>
    <x v="22"/>
    <x v="0"/>
    <x v="0"/>
    <n v="1005"/>
    <x v="23"/>
    <x v="15"/>
    <x v="42"/>
    <n v="3629"/>
    <x v="184"/>
    <n v="4159"/>
    <x v="153"/>
    <s v="B 15"/>
    <n v="1"/>
    <n v="729"/>
    <x v="32"/>
    <s v="Annual"/>
    <n v="4"/>
    <n v="1"/>
    <n v="82644"/>
    <n v="330576"/>
  </r>
  <r>
    <x v="0"/>
    <n v="57"/>
    <x v="22"/>
    <x v="0"/>
    <x v="0"/>
    <n v="1005"/>
    <x v="23"/>
    <x v="15"/>
    <x v="42"/>
    <n v="3629"/>
    <x v="184"/>
    <n v="4159"/>
    <x v="153"/>
    <s v="B 10"/>
    <n v="1"/>
    <s v="03A7"/>
    <x v="4"/>
    <s v="Annual"/>
    <n v="1"/>
    <n v="1"/>
    <n v="90144"/>
    <n v="90144"/>
  </r>
  <r>
    <x v="0"/>
    <n v="57"/>
    <x v="22"/>
    <x v="0"/>
    <x v="0"/>
    <n v="1005"/>
    <x v="23"/>
    <x v="15"/>
    <x v="42"/>
    <n v="3629"/>
    <x v="184"/>
    <n v="4159"/>
    <x v="153"/>
    <s v="X 43"/>
    <n v="0"/>
    <s v="03A4"/>
    <x v="237"/>
    <s v="Annual"/>
    <n v="1"/>
    <n v="1"/>
    <n v="160680"/>
    <n v="160680"/>
  </r>
  <r>
    <x v="0"/>
    <n v="57"/>
    <x v="22"/>
    <x v="0"/>
    <x v="0"/>
    <n v="1005"/>
    <x v="23"/>
    <x v="15"/>
    <x v="42"/>
    <n v="3629"/>
    <x v="184"/>
    <n v="4159"/>
    <x v="153"/>
    <s v="1 00"/>
    <n v="0"/>
    <n v="15"/>
    <x v="37"/>
    <s v="Annual"/>
    <n v="0"/>
    <n v="0"/>
    <n v="32253"/>
    <n v="32253"/>
  </r>
  <r>
    <x v="0"/>
    <n v="58"/>
    <x v="23"/>
    <x v="0"/>
    <x v="0"/>
    <n v="1010"/>
    <x v="24"/>
    <x v="23"/>
    <x v="43"/>
    <n v="3005"/>
    <x v="185"/>
    <n v="4005"/>
    <x v="154"/>
    <s v="1 00"/>
    <n v="0"/>
    <n v="9958"/>
    <x v="717"/>
    <s v="Annual"/>
    <n v="1"/>
    <n v="1"/>
    <n v="211848"/>
    <n v="211848"/>
  </r>
  <r>
    <x v="0"/>
    <n v="58"/>
    <x v="23"/>
    <x v="0"/>
    <x v="0"/>
    <n v="1010"/>
    <x v="24"/>
    <x v="23"/>
    <x v="43"/>
    <n v="3005"/>
    <x v="185"/>
    <n v="4005"/>
    <x v="154"/>
    <s v="X 31"/>
    <n v="0"/>
    <n v="9812"/>
    <x v="239"/>
    <s v="Annual"/>
    <n v="1"/>
    <n v="1"/>
    <n v="168924"/>
    <n v="168924"/>
  </r>
  <r>
    <x v="0"/>
    <n v="58"/>
    <x v="23"/>
    <x v="0"/>
    <x v="0"/>
    <n v="1010"/>
    <x v="24"/>
    <x v="23"/>
    <x v="43"/>
    <n v="3005"/>
    <x v="185"/>
    <n v="4005"/>
    <x v="154"/>
    <s v="X 32"/>
    <n v="9"/>
    <n v="9684"/>
    <x v="76"/>
    <s v="Annual"/>
    <n v="1"/>
    <n v="1"/>
    <n v="175512"/>
    <n v="175512"/>
  </r>
  <r>
    <x v="0"/>
    <n v="58"/>
    <x v="23"/>
    <x v="0"/>
    <x v="0"/>
    <n v="1010"/>
    <x v="24"/>
    <x v="23"/>
    <x v="43"/>
    <n v="3005"/>
    <x v="185"/>
    <n v="4005"/>
    <x v="154"/>
    <s v="1 00"/>
    <n v="0"/>
    <n v="15"/>
    <x v="37"/>
    <s v="Annual"/>
    <n v="0"/>
    <n v="0"/>
    <n v="3409"/>
    <n v="3409"/>
  </r>
  <r>
    <x v="0"/>
    <n v="58"/>
    <x v="23"/>
    <x v="0"/>
    <x v="0"/>
    <n v="1010"/>
    <x v="24"/>
    <x v="23"/>
    <x v="43"/>
    <n v="3020"/>
    <x v="186"/>
    <n v="4011"/>
    <x v="155"/>
    <s v="X 32"/>
    <n v="9"/>
    <n v="9684"/>
    <x v="76"/>
    <s v="Annual"/>
    <n v="1"/>
    <n v="1"/>
    <n v="175512"/>
    <n v="175512"/>
  </r>
  <r>
    <x v="0"/>
    <n v="58"/>
    <x v="23"/>
    <x v="0"/>
    <x v="0"/>
    <n v="1010"/>
    <x v="24"/>
    <x v="23"/>
    <x v="43"/>
    <n v="3020"/>
    <x v="186"/>
    <n v="4011"/>
    <x v="155"/>
    <s v="BX 17"/>
    <n v="20"/>
    <n v="1331"/>
    <x v="248"/>
    <s v="Annual"/>
    <n v="1"/>
    <n v="1"/>
    <n v="103488"/>
    <n v="103488"/>
  </r>
  <r>
    <x v="0"/>
    <n v="58"/>
    <x v="23"/>
    <x v="0"/>
    <x v="0"/>
    <n v="1010"/>
    <x v="24"/>
    <x v="23"/>
    <x v="43"/>
    <n v="3020"/>
    <x v="186"/>
    <n v="4011"/>
    <x v="155"/>
    <s v="1 00"/>
    <n v="0"/>
    <n v="15"/>
    <x v="37"/>
    <s v="Annual"/>
    <n v="0"/>
    <n v="0"/>
    <n v="3409"/>
    <n v="3409"/>
  </r>
  <r>
    <x v="0"/>
    <n v="58"/>
    <x v="23"/>
    <x v="0"/>
    <x v="0"/>
    <n v="1010"/>
    <x v="24"/>
    <x v="23"/>
    <x v="43"/>
    <n v="3020"/>
    <x v="186"/>
    <n v="4016"/>
    <x v="156"/>
    <s v="PX 01"/>
    <n v="9"/>
    <n v="9715"/>
    <x v="323"/>
    <s v="Annual"/>
    <n v="1"/>
    <n v="1"/>
    <n v="147360"/>
    <n v="147360"/>
  </r>
  <r>
    <x v="0"/>
    <n v="58"/>
    <x v="23"/>
    <x v="0"/>
    <x v="0"/>
    <n v="1010"/>
    <x v="24"/>
    <x v="23"/>
    <x v="43"/>
    <n v="3020"/>
    <x v="186"/>
    <n v="4016"/>
    <x v="156"/>
    <s v="I 14"/>
    <n v="2"/>
    <n v="8602"/>
    <x v="718"/>
    <s v="Annual"/>
    <n v="1"/>
    <n v="1"/>
    <n v="120024"/>
    <n v="120024"/>
  </r>
  <r>
    <x v="0"/>
    <n v="58"/>
    <x v="23"/>
    <x v="0"/>
    <x v="0"/>
    <n v="1010"/>
    <x v="24"/>
    <x v="23"/>
    <x v="43"/>
    <n v="3020"/>
    <x v="186"/>
    <n v="4016"/>
    <x v="156"/>
    <s v="B 13"/>
    <n v="1"/>
    <n v="708"/>
    <x v="84"/>
    <s v="Annual"/>
    <n v="2"/>
    <n v="1"/>
    <n v="68616"/>
    <n v="137232"/>
  </r>
  <r>
    <x v="0"/>
    <n v="58"/>
    <x v="23"/>
    <x v="0"/>
    <x v="0"/>
    <n v="1010"/>
    <x v="24"/>
    <x v="23"/>
    <x v="43"/>
    <n v="3020"/>
    <x v="186"/>
    <n v="4016"/>
    <x v="156"/>
    <s v="1 00"/>
    <n v="0"/>
    <n v="15"/>
    <x v="37"/>
    <s v="Annual"/>
    <n v="0"/>
    <n v="0"/>
    <n v="1295"/>
    <n v="1295"/>
  </r>
  <r>
    <x v="0"/>
    <n v="58"/>
    <x v="23"/>
    <x v="0"/>
    <x v="0"/>
    <n v="1010"/>
    <x v="24"/>
    <x v="23"/>
    <x v="43"/>
    <n v="3045"/>
    <x v="187"/>
    <n v="4135"/>
    <x v="157"/>
    <s v="X 32"/>
    <n v="0"/>
    <n v="8617"/>
    <x v="719"/>
    <s v="Annual"/>
    <n v="1"/>
    <n v="1"/>
    <n v="175512"/>
    <n v="175512"/>
  </r>
  <r>
    <x v="0"/>
    <n v="58"/>
    <x v="23"/>
    <x v="0"/>
    <x v="0"/>
    <n v="1010"/>
    <x v="24"/>
    <x v="23"/>
    <x v="43"/>
    <n v="3045"/>
    <x v="187"/>
    <n v="4135"/>
    <x v="157"/>
    <s v="B 11"/>
    <n v="1"/>
    <n v="8616"/>
    <x v="720"/>
    <s v="Annual"/>
    <n v="1"/>
    <n v="1"/>
    <n v="98928"/>
    <n v="98928"/>
  </r>
  <r>
    <x v="0"/>
    <n v="58"/>
    <x v="23"/>
    <x v="0"/>
    <x v="0"/>
    <n v="1010"/>
    <x v="24"/>
    <x v="23"/>
    <x v="43"/>
    <n v="3045"/>
    <x v="187"/>
    <n v="4135"/>
    <x v="157"/>
    <s v="B 11"/>
    <n v="1"/>
    <n v="8616"/>
    <x v="720"/>
    <s v="Annual"/>
    <n v="1"/>
    <n v="1"/>
    <n v="90144"/>
    <n v="90144"/>
  </r>
  <r>
    <x v="0"/>
    <n v="58"/>
    <x v="23"/>
    <x v="0"/>
    <x v="0"/>
    <n v="1010"/>
    <x v="24"/>
    <x v="23"/>
    <x v="43"/>
    <n v="3045"/>
    <x v="187"/>
    <n v="4135"/>
    <x v="157"/>
    <s v="B 11"/>
    <n v="1"/>
    <n v="8616"/>
    <x v="720"/>
    <s v="Annual"/>
    <n v="1"/>
    <n v="1"/>
    <n v="70752"/>
    <n v="70752"/>
  </r>
  <r>
    <x v="0"/>
    <n v="58"/>
    <x v="23"/>
    <x v="0"/>
    <x v="0"/>
    <n v="1010"/>
    <x v="24"/>
    <x v="23"/>
    <x v="43"/>
    <n v="3045"/>
    <x v="187"/>
    <n v="4135"/>
    <x v="157"/>
    <s v="B 11"/>
    <n v="1"/>
    <n v="8616"/>
    <x v="720"/>
    <s v="Annual"/>
    <n v="1"/>
    <n v="1"/>
    <n v="67608"/>
    <n v="67608"/>
  </r>
  <r>
    <x v="0"/>
    <n v="58"/>
    <x v="23"/>
    <x v="0"/>
    <x v="0"/>
    <n v="1010"/>
    <x v="24"/>
    <x v="23"/>
    <x v="43"/>
    <n v="3045"/>
    <x v="187"/>
    <n v="4135"/>
    <x v="157"/>
    <s v="B 11"/>
    <n v="1"/>
    <n v="8616"/>
    <x v="720"/>
    <s v="Annual"/>
    <n v="1"/>
    <n v="1"/>
    <n v="58764"/>
    <n v="58764"/>
  </r>
  <r>
    <x v="0"/>
    <n v="58"/>
    <x v="23"/>
    <x v="0"/>
    <x v="0"/>
    <n v="1010"/>
    <x v="24"/>
    <x v="23"/>
    <x v="43"/>
    <n v="3045"/>
    <x v="187"/>
    <n v="4135"/>
    <x v="157"/>
    <s v="B 11"/>
    <n v="1"/>
    <n v="8616"/>
    <x v="720"/>
    <s v="Annual"/>
    <n v="2"/>
    <n v="1"/>
    <n v="57000"/>
    <n v="114000"/>
  </r>
  <r>
    <x v="0"/>
    <n v="58"/>
    <x v="23"/>
    <x v="0"/>
    <x v="0"/>
    <n v="1010"/>
    <x v="24"/>
    <x v="23"/>
    <x v="43"/>
    <n v="3045"/>
    <x v="187"/>
    <n v="4135"/>
    <x v="157"/>
    <s v="B 10"/>
    <n v="1"/>
    <n v="8615"/>
    <x v="721"/>
    <s v="Annual"/>
    <n v="2"/>
    <n v="1"/>
    <n v="90144"/>
    <n v="180288"/>
  </r>
  <r>
    <x v="0"/>
    <n v="58"/>
    <x v="23"/>
    <x v="0"/>
    <x v="0"/>
    <n v="1010"/>
    <x v="24"/>
    <x v="23"/>
    <x v="43"/>
    <n v="3045"/>
    <x v="187"/>
    <n v="4135"/>
    <x v="157"/>
    <s v="B 10"/>
    <n v="1"/>
    <n v="8615"/>
    <x v="721"/>
    <s v="Annual"/>
    <n v="1"/>
    <n v="1"/>
    <n v="86112"/>
    <n v="86112"/>
  </r>
  <r>
    <x v="0"/>
    <n v="58"/>
    <x v="23"/>
    <x v="0"/>
    <x v="0"/>
    <n v="1010"/>
    <x v="24"/>
    <x v="23"/>
    <x v="43"/>
    <n v="3045"/>
    <x v="187"/>
    <n v="4135"/>
    <x v="157"/>
    <s v="B 10"/>
    <n v="1"/>
    <n v="8615"/>
    <x v="721"/>
    <s v="Annual"/>
    <n v="2"/>
    <n v="1"/>
    <n v="82140"/>
    <n v="164280"/>
  </r>
  <r>
    <x v="0"/>
    <n v="58"/>
    <x v="23"/>
    <x v="0"/>
    <x v="0"/>
    <n v="1010"/>
    <x v="24"/>
    <x v="23"/>
    <x v="43"/>
    <n v="3045"/>
    <x v="187"/>
    <n v="4135"/>
    <x v="157"/>
    <s v="B 10"/>
    <n v="1"/>
    <n v="8615"/>
    <x v="721"/>
    <s v="Annual"/>
    <n v="1"/>
    <n v="1"/>
    <n v="78432"/>
    <n v="78432"/>
  </r>
  <r>
    <x v="0"/>
    <n v="58"/>
    <x v="23"/>
    <x v="0"/>
    <x v="0"/>
    <n v="1010"/>
    <x v="24"/>
    <x v="23"/>
    <x v="43"/>
    <n v="3045"/>
    <x v="187"/>
    <n v="4135"/>
    <x v="157"/>
    <s v="B 10"/>
    <n v="1"/>
    <n v="8615"/>
    <x v="721"/>
    <s v="Annual"/>
    <n v="1"/>
    <n v="1"/>
    <n v="68256"/>
    <n v="68256"/>
  </r>
  <r>
    <x v="0"/>
    <n v="58"/>
    <x v="23"/>
    <x v="0"/>
    <x v="0"/>
    <n v="1010"/>
    <x v="24"/>
    <x v="23"/>
    <x v="43"/>
    <n v="3045"/>
    <x v="187"/>
    <n v="4135"/>
    <x v="157"/>
    <s v="B 10"/>
    <n v="1"/>
    <n v="8615"/>
    <x v="721"/>
    <s v="Annual"/>
    <n v="2"/>
    <n v="1"/>
    <n v="61548"/>
    <n v="123096"/>
  </r>
  <r>
    <x v="0"/>
    <n v="58"/>
    <x v="23"/>
    <x v="0"/>
    <x v="0"/>
    <n v="1010"/>
    <x v="24"/>
    <x v="23"/>
    <x v="43"/>
    <n v="3045"/>
    <x v="187"/>
    <n v="4135"/>
    <x v="157"/>
    <s v="B 10"/>
    <n v="1"/>
    <n v="8615"/>
    <x v="721"/>
    <s v="Annual"/>
    <n v="4"/>
    <n v="1"/>
    <n v="58764"/>
    <n v="235056"/>
  </r>
  <r>
    <x v="0"/>
    <n v="58"/>
    <x v="23"/>
    <x v="0"/>
    <x v="0"/>
    <n v="1010"/>
    <x v="24"/>
    <x v="23"/>
    <x v="43"/>
    <n v="3045"/>
    <x v="187"/>
    <n v="4135"/>
    <x v="157"/>
    <s v="B 10"/>
    <n v="1"/>
    <n v="8615"/>
    <x v="721"/>
    <s v="Annual"/>
    <n v="4"/>
    <n v="1"/>
    <n v="56124"/>
    <n v="224496"/>
  </r>
  <r>
    <x v="0"/>
    <n v="58"/>
    <x v="23"/>
    <x v="0"/>
    <x v="0"/>
    <n v="1010"/>
    <x v="24"/>
    <x v="23"/>
    <x v="43"/>
    <n v="3045"/>
    <x v="187"/>
    <n v="4135"/>
    <x v="157"/>
    <s v="B 10"/>
    <n v="1"/>
    <n v="8615"/>
    <x v="721"/>
    <s v="Annual"/>
    <n v="4"/>
    <n v="1"/>
    <n v="53532"/>
    <n v="214128"/>
  </r>
  <r>
    <x v="0"/>
    <n v="58"/>
    <x v="23"/>
    <x v="0"/>
    <x v="0"/>
    <n v="1010"/>
    <x v="24"/>
    <x v="23"/>
    <x v="43"/>
    <n v="3045"/>
    <x v="187"/>
    <n v="4135"/>
    <x v="157"/>
    <s v="B 10"/>
    <n v="1"/>
    <n v="8615"/>
    <x v="721"/>
    <s v="Monthly"/>
    <n v="12"/>
    <n v="0"/>
    <n v="4205"/>
    <n v="50460"/>
  </r>
  <r>
    <x v="0"/>
    <n v="58"/>
    <x v="23"/>
    <x v="0"/>
    <x v="0"/>
    <n v="1010"/>
    <x v="24"/>
    <x v="23"/>
    <x v="43"/>
    <n v="3045"/>
    <x v="187"/>
    <n v="4135"/>
    <x v="157"/>
    <s v="B 10"/>
    <n v="1"/>
    <n v="8615"/>
    <x v="721"/>
    <s v="Annual"/>
    <n v="10"/>
    <n v="1"/>
    <n v="51936"/>
    <n v="519360"/>
  </r>
  <r>
    <x v="0"/>
    <n v="58"/>
    <x v="23"/>
    <x v="0"/>
    <x v="0"/>
    <n v="1010"/>
    <x v="24"/>
    <x v="23"/>
    <x v="43"/>
    <n v="3045"/>
    <x v="187"/>
    <n v="4135"/>
    <x v="157"/>
    <s v="B 14"/>
    <n v="1"/>
    <n v="8614"/>
    <x v="722"/>
    <s v="Annual"/>
    <n v="1"/>
    <n v="1"/>
    <n v="130668"/>
    <n v="130668"/>
  </r>
  <r>
    <x v="0"/>
    <n v="58"/>
    <x v="23"/>
    <x v="0"/>
    <x v="0"/>
    <n v="1010"/>
    <x v="24"/>
    <x v="23"/>
    <x v="43"/>
    <n v="3045"/>
    <x v="187"/>
    <n v="4135"/>
    <x v="157"/>
    <s v="B 14"/>
    <n v="1"/>
    <n v="8614"/>
    <x v="722"/>
    <s v="Annual"/>
    <n v="1"/>
    <n v="1"/>
    <n v="119100"/>
    <n v="119100"/>
  </r>
  <r>
    <x v="0"/>
    <n v="58"/>
    <x v="23"/>
    <x v="0"/>
    <x v="0"/>
    <n v="1010"/>
    <x v="24"/>
    <x v="23"/>
    <x v="43"/>
    <n v="3045"/>
    <x v="187"/>
    <n v="4135"/>
    <x v="157"/>
    <s v="B 14"/>
    <n v="1"/>
    <n v="8614"/>
    <x v="722"/>
    <s v="Annual"/>
    <n v="1"/>
    <n v="1"/>
    <n v="108576"/>
    <n v="108576"/>
  </r>
  <r>
    <x v="0"/>
    <n v="58"/>
    <x v="23"/>
    <x v="0"/>
    <x v="0"/>
    <n v="1010"/>
    <x v="24"/>
    <x v="23"/>
    <x v="43"/>
    <n v="3045"/>
    <x v="187"/>
    <n v="4135"/>
    <x v="157"/>
    <s v="B 14"/>
    <n v="1"/>
    <n v="8614"/>
    <x v="722"/>
    <s v="Annual"/>
    <n v="1"/>
    <n v="1"/>
    <n v="85200"/>
    <n v="85200"/>
  </r>
  <r>
    <x v="0"/>
    <n v="58"/>
    <x v="23"/>
    <x v="0"/>
    <x v="0"/>
    <n v="1010"/>
    <x v="24"/>
    <x v="23"/>
    <x v="43"/>
    <n v="3045"/>
    <x v="187"/>
    <n v="4135"/>
    <x v="157"/>
    <s v="B 14"/>
    <n v="1"/>
    <n v="8614"/>
    <x v="722"/>
    <s v="Annual"/>
    <n v="2"/>
    <n v="1"/>
    <n v="81324"/>
    <n v="162648"/>
  </r>
  <r>
    <x v="0"/>
    <n v="58"/>
    <x v="23"/>
    <x v="0"/>
    <x v="0"/>
    <n v="1010"/>
    <x v="24"/>
    <x v="23"/>
    <x v="43"/>
    <n v="3045"/>
    <x v="187"/>
    <n v="4135"/>
    <x v="157"/>
    <s v="B 14"/>
    <n v="1"/>
    <n v="8614"/>
    <x v="722"/>
    <s v="Annual"/>
    <n v="1"/>
    <n v="1"/>
    <n v="75336"/>
    <n v="75336"/>
  </r>
  <r>
    <x v="0"/>
    <n v="58"/>
    <x v="23"/>
    <x v="0"/>
    <x v="0"/>
    <n v="1010"/>
    <x v="24"/>
    <x v="23"/>
    <x v="43"/>
    <n v="3045"/>
    <x v="187"/>
    <n v="4135"/>
    <x v="157"/>
    <s v="BX 19"/>
    <n v="10"/>
    <n v="8612"/>
    <x v="723"/>
    <s v="Annual"/>
    <n v="1"/>
    <n v="1"/>
    <n v="157212"/>
    <n v="157212"/>
  </r>
  <r>
    <x v="0"/>
    <n v="58"/>
    <x v="23"/>
    <x v="0"/>
    <x v="0"/>
    <n v="1010"/>
    <x v="24"/>
    <x v="23"/>
    <x v="43"/>
    <n v="3045"/>
    <x v="187"/>
    <n v="4135"/>
    <x v="157"/>
    <s v="BX 19"/>
    <n v="10"/>
    <n v="8612"/>
    <x v="723"/>
    <s v="Annual"/>
    <n v="1"/>
    <n v="1"/>
    <n v="124584"/>
    <n v="124584"/>
  </r>
  <r>
    <x v="0"/>
    <n v="58"/>
    <x v="23"/>
    <x v="0"/>
    <x v="0"/>
    <n v="1010"/>
    <x v="24"/>
    <x v="23"/>
    <x v="43"/>
    <n v="3045"/>
    <x v="187"/>
    <n v="4135"/>
    <x v="157"/>
    <s v="BX 19"/>
    <n v="10"/>
    <n v="8612"/>
    <x v="723"/>
    <s v="Annual"/>
    <n v="1"/>
    <n v="1"/>
    <n v="97836"/>
    <n v="97836"/>
  </r>
  <r>
    <x v="0"/>
    <n v="58"/>
    <x v="23"/>
    <x v="0"/>
    <x v="0"/>
    <n v="1010"/>
    <x v="24"/>
    <x v="23"/>
    <x v="43"/>
    <n v="3045"/>
    <x v="187"/>
    <n v="4135"/>
    <x v="157"/>
    <s v="BX 17"/>
    <n v="10"/>
    <s v="06A4"/>
    <x v="62"/>
    <s v="Annual"/>
    <n v="1"/>
    <n v="1"/>
    <n v="124584"/>
    <n v="124584"/>
  </r>
  <r>
    <x v="0"/>
    <n v="58"/>
    <x v="23"/>
    <x v="0"/>
    <x v="0"/>
    <n v="1010"/>
    <x v="24"/>
    <x v="23"/>
    <x v="43"/>
    <n v="3045"/>
    <x v="187"/>
    <n v="4135"/>
    <x v="157"/>
    <s v="3 00"/>
    <n v="10"/>
    <n v="322"/>
    <x v="724"/>
    <s v="Annual"/>
    <n v="1"/>
    <n v="1"/>
    <n v="120108"/>
    <n v="120108"/>
  </r>
  <r>
    <x v="0"/>
    <n v="58"/>
    <x v="23"/>
    <x v="0"/>
    <x v="0"/>
    <n v="1010"/>
    <x v="24"/>
    <x v="23"/>
    <x v="43"/>
    <n v="3045"/>
    <x v="187"/>
    <n v="4135"/>
    <x v="157"/>
    <s v="BX 16"/>
    <n v="20"/>
    <n v="309"/>
    <x v="598"/>
    <s v="Annual"/>
    <n v="1"/>
    <n v="1"/>
    <n v="118956"/>
    <n v="118956"/>
  </r>
  <r>
    <x v="0"/>
    <n v="58"/>
    <x v="23"/>
    <x v="0"/>
    <x v="0"/>
    <n v="1010"/>
    <x v="24"/>
    <x v="23"/>
    <x v="43"/>
    <n v="3045"/>
    <x v="187"/>
    <n v="4135"/>
    <x v="157"/>
    <s v="1 00"/>
    <n v="0"/>
    <n v="15"/>
    <x v="37"/>
    <s v="Annual"/>
    <n v="0"/>
    <n v="0"/>
    <n v="51626"/>
    <n v="51626"/>
  </r>
  <r>
    <x v="0"/>
    <n v="58"/>
    <x v="23"/>
    <x v="0"/>
    <x v="0"/>
    <n v="1010"/>
    <x v="24"/>
    <x v="23"/>
    <x v="43"/>
    <n v="3050"/>
    <x v="188"/>
    <n v="4145"/>
    <x v="158"/>
    <s v="X 32"/>
    <n v="9"/>
    <n v="9684"/>
    <x v="76"/>
    <s v="Annual"/>
    <n v="1"/>
    <n v="1"/>
    <n v="139140"/>
    <n v="139140"/>
  </r>
  <r>
    <x v="0"/>
    <n v="58"/>
    <x v="23"/>
    <x v="0"/>
    <x v="0"/>
    <n v="1010"/>
    <x v="24"/>
    <x v="23"/>
    <x v="43"/>
    <n v="3050"/>
    <x v="188"/>
    <n v="4145"/>
    <x v="158"/>
    <s v="I 12"/>
    <n v="2"/>
    <n v="9105"/>
    <x v="725"/>
    <s v="Annual"/>
    <n v="1"/>
    <n v="1"/>
    <n v="86016"/>
    <n v="86016"/>
  </r>
  <r>
    <x v="0"/>
    <n v="58"/>
    <x v="23"/>
    <x v="0"/>
    <x v="0"/>
    <n v="1010"/>
    <x v="24"/>
    <x v="23"/>
    <x v="43"/>
    <n v="3050"/>
    <x v="188"/>
    <n v="4145"/>
    <x v="158"/>
    <s v="I 12"/>
    <n v="2"/>
    <n v="9105"/>
    <x v="725"/>
    <s v="Annual"/>
    <n v="5"/>
    <n v="1"/>
    <n v="78384"/>
    <n v="391920"/>
  </r>
  <r>
    <x v="0"/>
    <n v="58"/>
    <x v="23"/>
    <x v="0"/>
    <x v="0"/>
    <n v="1010"/>
    <x v="24"/>
    <x v="23"/>
    <x v="43"/>
    <n v="3050"/>
    <x v="188"/>
    <n v="4145"/>
    <x v="158"/>
    <s v="I 12"/>
    <n v="2"/>
    <n v="9105"/>
    <x v="725"/>
    <s v="Annual"/>
    <n v="4"/>
    <n v="1"/>
    <n v="74844"/>
    <n v="299376"/>
  </r>
  <r>
    <x v="0"/>
    <n v="58"/>
    <x v="23"/>
    <x v="0"/>
    <x v="0"/>
    <n v="1010"/>
    <x v="24"/>
    <x v="23"/>
    <x v="43"/>
    <n v="3050"/>
    <x v="188"/>
    <n v="4145"/>
    <x v="158"/>
    <s v="I 12"/>
    <n v="2"/>
    <n v="9105"/>
    <x v="725"/>
    <s v="Annual"/>
    <n v="6"/>
    <n v="1"/>
    <n v="71436"/>
    <n v="428616"/>
  </r>
  <r>
    <x v="0"/>
    <n v="58"/>
    <x v="23"/>
    <x v="0"/>
    <x v="0"/>
    <n v="1010"/>
    <x v="24"/>
    <x v="23"/>
    <x v="43"/>
    <n v="3050"/>
    <x v="188"/>
    <n v="4145"/>
    <x v="158"/>
    <s v="I 12"/>
    <n v="2"/>
    <n v="9105"/>
    <x v="725"/>
    <s v="Annual"/>
    <n v="1"/>
    <n v="1"/>
    <n v="62136"/>
    <n v="62136"/>
  </r>
  <r>
    <x v="0"/>
    <n v="58"/>
    <x v="23"/>
    <x v="0"/>
    <x v="0"/>
    <n v="1010"/>
    <x v="24"/>
    <x v="23"/>
    <x v="43"/>
    <n v="3050"/>
    <x v="188"/>
    <n v="4145"/>
    <x v="158"/>
    <s v="I 12"/>
    <n v="2"/>
    <n v="9105"/>
    <x v="725"/>
    <s v="Annual"/>
    <n v="2"/>
    <n v="1"/>
    <n v="55932"/>
    <n v="111864"/>
  </r>
  <r>
    <x v="0"/>
    <n v="58"/>
    <x v="23"/>
    <x v="0"/>
    <x v="0"/>
    <n v="1010"/>
    <x v="24"/>
    <x v="23"/>
    <x v="43"/>
    <n v="3050"/>
    <x v="188"/>
    <n v="4145"/>
    <x v="158"/>
    <s v="I 12"/>
    <n v="2"/>
    <n v="9105"/>
    <x v="725"/>
    <s v="Annual"/>
    <n v="1"/>
    <n v="1"/>
    <n v="50964"/>
    <n v="50964"/>
  </r>
  <r>
    <x v="0"/>
    <n v="58"/>
    <x v="23"/>
    <x v="0"/>
    <x v="0"/>
    <n v="1010"/>
    <x v="24"/>
    <x v="23"/>
    <x v="43"/>
    <n v="3050"/>
    <x v="188"/>
    <n v="4145"/>
    <x v="158"/>
    <s v="I 12"/>
    <n v="2"/>
    <n v="9105"/>
    <x v="725"/>
    <s v="Annual"/>
    <n v="2"/>
    <n v="1"/>
    <n v="48588"/>
    <n v="97176"/>
  </r>
  <r>
    <x v="0"/>
    <n v="58"/>
    <x v="23"/>
    <x v="0"/>
    <x v="0"/>
    <n v="1010"/>
    <x v="24"/>
    <x v="23"/>
    <x v="43"/>
    <n v="3050"/>
    <x v="188"/>
    <n v="4145"/>
    <x v="158"/>
    <s v="I 10"/>
    <n v="2"/>
    <n v="9104"/>
    <x v="726"/>
    <s v="Hourly"/>
    <n v="122000"/>
    <n v="0"/>
    <n v="25.54"/>
    <n v="3115880"/>
  </r>
  <r>
    <x v="0"/>
    <n v="58"/>
    <x v="23"/>
    <x v="0"/>
    <x v="0"/>
    <n v="1010"/>
    <x v="24"/>
    <x v="23"/>
    <x v="43"/>
    <n v="3050"/>
    <x v="188"/>
    <n v="4145"/>
    <x v="158"/>
    <s v="BX 19"/>
    <n v="10"/>
    <n v="6291"/>
    <x v="727"/>
    <s v="Annual"/>
    <n v="1"/>
    <n v="1"/>
    <n v="124584"/>
    <n v="124584"/>
  </r>
  <r>
    <x v="0"/>
    <n v="58"/>
    <x v="23"/>
    <x v="0"/>
    <x v="0"/>
    <n v="1010"/>
    <x v="24"/>
    <x v="23"/>
    <x v="43"/>
    <n v="3050"/>
    <x v="188"/>
    <n v="4145"/>
    <x v="158"/>
    <s v="BX 16"/>
    <n v="10"/>
    <n v="6290"/>
    <x v="728"/>
    <s v="Annual"/>
    <n v="2"/>
    <n v="1"/>
    <n v="113568"/>
    <n v="227136"/>
  </r>
  <r>
    <x v="0"/>
    <n v="58"/>
    <x v="23"/>
    <x v="0"/>
    <x v="0"/>
    <n v="1010"/>
    <x v="24"/>
    <x v="23"/>
    <x v="43"/>
    <n v="3050"/>
    <x v="188"/>
    <n v="4145"/>
    <x v="158"/>
    <s v="BX 16"/>
    <n v="10"/>
    <n v="6290"/>
    <x v="728"/>
    <s v="Annual"/>
    <n v="1"/>
    <n v="1"/>
    <n v="76476"/>
    <n v="76476"/>
  </r>
  <r>
    <x v="0"/>
    <n v="58"/>
    <x v="23"/>
    <x v="0"/>
    <x v="0"/>
    <n v="1010"/>
    <x v="24"/>
    <x v="23"/>
    <x v="43"/>
    <n v="3050"/>
    <x v="188"/>
    <n v="4145"/>
    <x v="158"/>
    <s v="B 14"/>
    <n v="1"/>
    <n v="6144"/>
    <x v="729"/>
    <s v="Annual"/>
    <n v="1"/>
    <n v="1"/>
    <n v="85200"/>
    <n v="85200"/>
  </r>
  <r>
    <x v="0"/>
    <n v="58"/>
    <x v="23"/>
    <x v="0"/>
    <x v="0"/>
    <n v="1010"/>
    <x v="24"/>
    <x v="23"/>
    <x v="43"/>
    <n v="3050"/>
    <x v="188"/>
    <n v="4145"/>
    <x v="158"/>
    <s v="B 12"/>
    <n v="1"/>
    <s v="03A8"/>
    <x v="88"/>
    <s v="Annual"/>
    <n v="1"/>
    <n v="1"/>
    <n v="108576"/>
    <n v="108576"/>
  </r>
  <r>
    <x v="0"/>
    <n v="58"/>
    <x v="23"/>
    <x v="0"/>
    <x v="0"/>
    <n v="1010"/>
    <x v="24"/>
    <x v="23"/>
    <x v="43"/>
    <n v="3050"/>
    <x v="188"/>
    <n v="4145"/>
    <x v="158"/>
    <s v="1 00"/>
    <n v="0"/>
    <n v="15"/>
    <x v="37"/>
    <s v="Annual"/>
    <n v="0"/>
    <n v="0"/>
    <n v="12880"/>
    <n v="12880"/>
  </r>
  <r>
    <x v="0"/>
    <n v="59"/>
    <x v="24"/>
    <x v="0"/>
    <x v="0"/>
    <n v="1005"/>
    <x v="25"/>
    <x v="0"/>
    <x v="44"/>
    <n v="3100"/>
    <x v="80"/>
    <n v="4100"/>
    <x v="159"/>
    <s v="1 00"/>
    <n v="9"/>
    <n v="9959"/>
    <x v="730"/>
    <s v="Annual"/>
    <n v="1"/>
    <n v="1"/>
    <n v="249780"/>
    <n v="249780"/>
  </r>
  <r>
    <x v="0"/>
    <n v="59"/>
    <x v="24"/>
    <x v="0"/>
    <x v="0"/>
    <n v="1005"/>
    <x v="25"/>
    <x v="0"/>
    <x v="44"/>
    <n v="3100"/>
    <x v="80"/>
    <n v="4100"/>
    <x v="159"/>
    <s v="X 42"/>
    <n v="0"/>
    <n v="9681"/>
    <x v="81"/>
    <s v="Annual"/>
    <n v="1"/>
    <n v="1"/>
    <n v="172920"/>
    <n v="172920"/>
  </r>
  <r>
    <x v="0"/>
    <n v="59"/>
    <x v="24"/>
    <x v="0"/>
    <x v="0"/>
    <n v="1005"/>
    <x v="25"/>
    <x v="0"/>
    <x v="44"/>
    <n v="3100"/>
    <x v="80"/>
    <n v="4100"/>
    <x v="159"/>
    <s v="3 00"/>
    <n v="89"/>
    <n v="8763"/>
    <x v="731"/>
    <s v="Annual"/>
    <n v="1"/>
    <n v="1"/>
    <n v="205560"/>
    <n v="205560"/>
  </r>
  <r>
    <x v="0"/>
    <n v="59"/>
    <x v="24"/>
    <x v="0"/>
    <x v="0"/>
    <n v="1005"/>
    <x v="25"/>
    <x v="0"/>
    <x v="44"/>
    <n v="3100"/>
    <x v="80"/>
    <n v="4100"/>
    <x v="159"/>
    <s v="F 04"/>
    <n v="87"/>
    <n v="8735"/>
    <x v="662"/>
    <s v="Annual"/>
    <n v="1"/>
    <n v="1"/>
    <n v="115938"/>
    <n v="115938"/>
  </r>
  <r>
    <x v="0"/>
    <n v="59"/>
    <x v="24"/>
    <x v="0"/>
    <x v="0"/>
    <n v="1005"/>
    <x v="25"/>
    <x v="0"/>
    <x v="44"/>
    <n v="3100"/>
    <x v="80"/>
    <n v="4100"/>
    <x v="159"/>
    <s v="BX 16"/>
    <n v="10"/>
    <n v="802"/>
    <x v="30"/>
    <s v="Annual"/>
    <n v="1"/>
    <n v="1"/>
    <n v="94332"/>
    <n v="94332"/>
  </r>
  <r>
    <x v="0"/>
    <n v="59"/>
    <x v="24"/>
    <x v="0"/>
    <x v="0"/>
    <n v="1005"/>
    <x v="25"/>
    <x v="0"/>
    <x v="44"/>
    <n v="3100"/>
    <x v="80"/>
    <n v="4100"/>
    <x v="159"/>
    <s v="X 43"/>
    <n v="0"/>
    <s v="03A2"/>
    <x v="220"/>
    <s v="Annual"/>
    <n v="1"/>
    <n v="1"/>
    <n v="160680"/>
    <n v="160680"/>
  </r>
  <r>
    <x v="0"/>
    <n v="59"/>
    <x v="24"/>
    <x v="0"/>
    <x v="0"/>
    <n v="1005"/>
    <x v="25"/>
    <x v="0"/>
    <x v="44"/>
    <n v="3100"/>
    <x v="80"/>
    <n v="4100"/>
    <x v="159"/>
    <s v="1 00"/>
    <n v="0"/>
    <n v="15"/>
    <x v="37"/>
    <s v="Annual"/>
    <n v="0"/>
    <n v="0"/>
    <n v="13746"/>
    <n v="13746"/>
  </r>
  <r>
    <x v="0"/>
    <n v="59"/>
    <x v="24"/>
    <x v="0"/>
    <x v="0"/>
    <n v="1005"/>
    <x v="25"/>
    <x v="0"/>
    <x v="44"/>
    <n v="3100"/>
    <x v="80"/>
    <n v="4103"/>
    <x v="160"/>
    <s v="PX 02"/>
    <n v="9"/>
    <n v="9716"/>
    <x v="654"/>
    <s v="Annual"/>
    <n v="1"/>
    <n v="1"/>
    <n v="143880"/>
    <n v="143880"/>
  </r>
  <r>
    <x v="0"/>
    <n v="59"/>
    <x v="24"/>
    <x v="0"/>
    <x v="0"/>
    <n v="1005"/>
    <x v="25"/>
    <x v="0"/>
    <x v="44"/>
    <n v="3100"/>
    <x v="80"/>
    <n v="4103"/>
    <x v="160"/>
    <s v="PX 01"/>
    <n v="9"/>
    <n v="9715"/>
    <x v="323"/>
    <s v="Annual"/>
    <n v="1"/>
    <n v="1"/>
    <n v="120324"/>
    <n v="120324"/>
  </r>
  <r>
    <x v="0"/>
    <n v="59"/>
    <x v="24"/>
    <x v="0"/>
    <x v="0"/>
    <n v="1005"/>
    <x v="25"/>
    <x v="0"/>
    <x v="44"/>
    <n v="3100"/>
    <x v="80"/>
    <n v="4103"/>
    <x v="160"/>
    <s v="3 00"/>
    <n v="89"/>
    <n v="8721"/>
    <x v="732"/>
    <s v="Annual"/>
    <n v="1"/>
    <n v="1"/>
    <n v="193656"/>
    <n v="193656"/>
  </r>
  <r>
    <x v="0"/>
    <n v="59"/>
    <x v="24"/>
    <x v="0"/>
    <x v="0"/>
    <n v="1005"/>
    <x v="25"/>
    <x v="0"/>
    <x v="44"/>
    <n v="3100"/>
    <x v="80"/>
    <n v="4107"/>
    <x v="161"/>
    <s v="3 00"/>
    <n v="89"/>
    <n v="8763"/>
    <x v="731"/>
    <s v="Annual"/>
    <n v="1"/>
    <n v="1"/>
    <n v="205560"/>
    <n v="205560"/>
  </r>
  <r>
    <x v="0"/>
    <n v="59"/>
    <x v="24"/>
    <x v="0"/>
    <x v="0"/>
    <n v="1005"/>
    <x v="25"/>
    <x v="0"/>
    <x v="44"/>
    <n v="3100"/>
    <x v="80"/>
    <n v="4107"/>
    <x v="161"/>
    <s v="F 6B"/>
    <n v="80"/>
    <n v="8726"/>
    <x v="733"/>
    <s v="Annual"/>
    <n v="1"/>
    <n v="1"/>
    <n v="152412"/>
    <n v="152412"/>
  </r>
  <r>
    <x v="0"/>
    <n v="59"/>
    <x v="24"/>
    <x v="0"/>
    <x v="0"/>
    <n v="1005"/>
    <x v="25"/>
    <x v="0"/>
    <x v="44"/>
    <n v="3100"/>
    <x v="80"/>
    <n v="4107"/>
    <x v="161"/>
    <s v="GY 11"/>
    <n v="20"/>
    <n v="289"/>
    <x v="470"/>
    <s v="Annual"/>
    <n v="1"/>
    <n v="1"/>
    <n v="115992"/>
    <n v="115992"/>
  </r>
  <r>
    <x v="0"/>
    <n v="59"/>
    <x v="24"/>
    <x v="0"/>
    <x v="0"/>
    <n v="1005"/>
    <x v="25"/>
    <x v="0"/>
    <x v="44"/>
    <n v="3100"/>
    <x v="80"/>
    <n v="4143"/>
    <x v="162"/>
    <s v="BX 17"/>
    <n v="10"/>
    <n v="1256"/>
    <x v="293"/>
    <s v="Annual"/>
    <n v="1"/>
    <n v="1"/>
    <n v="103488"/>
    <n v="103488"/>
  </r>
  <r>
    <x v="0"/>
    <n v="59"/>
    <x v="24"/>
    <x v="0"/>
    <x v="0"/>
    <n v="1005"/>
    <x v="25"/>
    <x v="0"/>
    <x v="44"/>
    <n v="3100"/>
    <x v="80"/>
    <n v="4143"/>
    <x v="162"/>
    <s v="BX 17"/>
    <n v="10"/>
    <n v="1256"/>
    <x v="293"/>
    <s v="Annual"/>
    <n v="1"/>
    <n v="1"/>
    <n v="85128"/>
    <n v="85128"/>
  </r>
  <r>
    <x v="0"/>
    <n v="59"/>
    <x v="24"/>
    <x v="0"/>
    <x v="0"/>
    <n v="1005"/>
    <x v="25"/>
    <x v="0"/>
    <x v="44"/>
    <n v="3100"/>
    <x v="80"/>
    <n v="4143"/>
    <x v="162"/>
    <s v="BX 15"/>
    <n v="20"/>
    <n v="1254"/>
    <x v="734"/>
    <s v="Annual"/>
    <n v="1"/>
    <n v="1"/>
    <n v="113568"/>
    <n v="113568"/>
  </r>
  <r>
    <x v="0"/>
    <n v="59"/>
    <x v="24"/>
    <x v="0"/>
    <x v="0"/>
    <n v="1005"/>
    <x v="25"/>
    <x v="0"/>
    <x v="44"/>
    <n v="3100"/>
    <x v="80"/>
    <n v="4143"/>
    <x v="162"/>
    <s v="BX 15"/>
    <n v="20"/>
    <n v="1254"/>
    <x v="734"/>
    <s v="Annual"/>
    <n v="1"/>
    <n v="1"/>
    <n v="69684"/>
    <n v="69684"/>
  </r>
  <r>
    <x v="0"/>
    <n v="59"/>
    <x v="24"/>
    <x v="0"/>
    <x v="0"/>
    <n v="1005"/>
    <x v="25"/>
    <x v="0"/>
    <x v="44"/>
    <n v="3100"/>
    <x v="80"/>
    <n v="4143"/>
    <x v="162"/>
    <s v="BX 14"/>
    <n v="10"/>
    <n v="1235"/>
    <x v="664"/>
    <s v="Annual"/>
    <n v="1"/>
    <n v="1"/>
    <n v="103488"/>
    <n v="103488"/>
  </r>
  <r>
    <x v="0"/>
    <n v="59"/>
    <x v="24"/>
    <x v="0"/>
    <x v="0"/>
    <n v="1005"/>
    <x v="25"/>
    <x v="0"/>
    <x v="44"/>
    <n v="3100"/>
    <x v="80"/>
    <n v="4143"/>
    <x v="162"/>
    <s v="BX 14"/>
    <n v="10"/>
    <n v="1235"/>
    <x v="664"/>
    <s v="Annual"/>
    <n v="1"/>
    <n v="1"/>
    <n v="80916"/>
    <n v="80916"/>
  </r>
  <r>
    <x v="0"/>
    <n v="59"/>
    <x v="24"/>
    <x v="0"/>
    <x v="0"/>
    <n v="1005"/>
    <x v="25"/>
    <x v="0"/>
    <x v="44"/>
    <n v="3100"/>
    <x v="80"/>
    <n v="4143"/>
    <x v="162"/>
    <s v="BX 14"/>
    <n v="10"/>
    <n v="1235"/>
    <x v="664"/>
    <s v="Annual"/>
    <n v="1"/>
    <n v="1"/>
    <n v="72996"/>
    <n v="72996"/>
  </r>
  <r>
    <x v="0"/>
    <n v="59"/>
    <x v="24"/>
    <x v="0"/>
    <x v="0"/>
    <n v="1005"/>
    <x v="25"/>
    <x v="0"/>
    <x v="44"/>
    <n v="3100"/>
    <x v="80"/>
    <n v="4143"/>
    <x v="162"/>
    <s v="BX 14"/>
    <n v="10"/>
    <n v="1235"/>
    <x v="664"/>
    <s v="Annual"/>
    <n v="1"/>
    <n v="1"/>
    <n v="69684"/>
    <n v="69684"/>
  </r>
  <r>
    <x v="0"/>
    <n v="59"/>
    <x v="24"/>
    <x v="0"/>
    <x v="0"/>
    <n v="1005"/>
    <x v="25"/>
    <x v="0"/>
    <x v="44"/>
    <n v="3100"/>
    <x v="80"/>
    <n v="4143"/>
    <x v="162"/>
    <s v="BX 14"/>
    <n v="10"/>
    <n v="1235"/>
    <x v="664"/>
    <s v="Annual"/>
    <n v="1"/>
    <n v="1"/>
    <n v="63504"/>
    <n v="63504"/>
  </r>
  <r>
    <x v="0"/>
    <n v="59"/>
    <x v="24"/>
    <x v="0"/>
    <x v="0"/>
    <n v="1005"/>
    <x v="25"/>
    <x v="0"/>
    <x v="44"/>
    <n v="3100"/>
    <x v="80"/>
    <n v="4143"/>
    <x v="162"/>
    <s v="X 43"/>
    <n v="0"/>
    <s v="03A2"/>
    <x v="220"/>
    <s v="Annual"/>
    <n v="1"/>
    <n v="1"/>
    <n v="160680"/>
    <n v="160680"/>
  </r>
  <r>
    <x v="0"/>
    <n v="59"/>
    <x v="24"/>
    <x v="0"/>
    <x v="0"/>
    <n v="1005"/>
    <x v="25"/>
    <x v="0"/>
    <x v="44"/>
    <n v="3100"/>
    <x v="80"/>
    <n v="4143"/>
    <x v="162"/>
    <s v="B 13"/>
    <n v="1"/>
    <n v="308"/>
    <x v="90"/>
    <s v="Annual"/>
    <n v="1"/>
    <n v="1"/>
    <n v="103608"/>
    <n v="103608"/>
  </r>
  <r>
    <x v="0"/>
    <n v="59"/>
    <x v="24"/>
    <x v="0"/>
    <x v="0"/>
    <n v="1005"/>
    <x v="25"/>
    <x v="0"/>
    <x v="44"/>
    <n v="3100"/>
    <x v="80"/>
    <n v="4143"/>
    <x v="162"/>
    <s v="1 00"/>
    <n v="0"/>
    <n v="15"/>
    <x v="37"/>
    <s v="Annual"/>
    <n v="0"/>
    <n v="0"/>
    <n v="13218"/>
    <n v="13218"/>
  </r>
  <r>
    <x v="0"/>
    <n v="59"/>
    <x v="24"/>
    <x v="0"/>
    <x v="0"/>
    <n v="1005"/>
    <x v="25"/>
    <x v="0"/>
    <x v="44"/>
    <n v="3100"/>
    <x v="80"/>
    <n v="4150"/>
    <x v="163"/>
    <s v="X 42"/>
    <n v="0"/>
    <n v="9760"/>
    <x v="38"/>
    <s v="Annual"/>
    <n v="1"/>
    <n v="1"/>
    <n v="192852"/>
    <n v="192852"/>
  </r>
  <r>
    <x v="0"/>
    <n v="59"/>
    <x v="24"/>
    <x v="0"/>
    <x v="0"/>
    <n v="1005"/>
    <x v="25"/>
    <x v="0"/>
    <x v="44"/>
    <n v="3100"/>
    <x v="80"/>
    <n v="4150"/>
    <x v="163"/>
    <s v="B 14"/>
    <n v="1"/>
    <n v="9196"/>
    <x v="711"/>
    <s v="Annual"/>
    <n v="1"/>
    <n v="1"/>
    <n v="130668"/>
    <n v="130668"/>
  </r>
  <r>
    <x v="0"/>
    <n v="59"/>
    <x v="24"/>
    <x v="0"/>
    <x v="0"/>
    <n v="1005"/>
    <x v="25"/>
    <x v="0"/>
    <x v="44"/>
    <n v="3100"/>
    <x v="80"/>
    <n v="4150"/>
    <x v="163"/>
    <s v="B 14"/>
    <n v="1"/>
    <n v="9196"/>
    <x v="711"/>
    <s v="Annual"/>
    <n v="1"/>
    <n v="1"/>
    <n v="119100"/>
    <n v="119100"/>
  </r>
  <r>
    <x v="0"/>
    <n v="59"/>
    <x v="24"/>
    <x v="0"/>
    <x v="0"/>
    <n v="1005"/>
    <x v="25"/>
    <x v="0"/>
    <x v="44"/>
    <n v="3100"/>
    <x v="80"/>
    <n v="4150"/>
    <x v="163"/>
    <s v="BX 16"/>
    <n v="10"/>
    <n v="3858"/>
    <x v="544"/>
    <s v="Annual"/>
    <n v="1"/>
    <n v="1"/>
    <n v="113568"/>
    <n v="113568"/>
  </r>
  <r>
    <x v="0"/>
    <n v="59"/>
    <x v="24"/>
    <x v="0"/>
    <x v="0"/>
    <n v="1005"/>
    <x v="25"/>
    <x v="0"/>
    <x v="44"/>
    <n v="3100"/>
    <x v="80"/>
    <n v="4150"/>
    <x v="163"/>
    <s v="BX 15"/>
    <n v="10"/>
    <n v="1911"/>
    <x v="226"/>
    <s v="Annual"/>
    <n v="1"/>
    <n v="1"/>
    <n v="98832"/>
    <n v="98832"/>
  </r>
  <r>
    <x v="0"/>
    <n v="59"/>
    <x v="24"/>
    <x v="0"/>
    <x v="0"/>
    <n v="1005"/>
    <x v="25"/>
    <x v="0"/>
    <x v="44"/>
    <n v="3100"/>
    <x v="80"/>
    <n v="4150"/>
    <x v="163"/>
    <s v="GY 12"/>
    <n v="20"/>
    <n v="1633"/>
    <x v="394"/>
    <s v="Annual"/>
    <n v="1"/>
    <n v="1"/>
    <n v="126756"/>
    <n v="126756"/>
  </r>
  <r>
    <x v="0"/>
    <n v="59"/>
    <x v="24"/>
    <x v="0"/>
    <x v="0"/>
    <n v="1005"/>
    <x v="25"/>
    <x v="0"/>
    <x v="44"/>
    <n v="3100"/>
    <x v="80"/>
    <n v="4150"/>
    <x v="163"/>
    <s v="B 13"/>
    <n v="1"/>
    <n v="708"/>
    <x v="84"/>
    <s v="Annual"/>
    <n v="1"/>
    <n v="1"/>
    <n v="74172"/>
    <n v="74172"/>
  </r>
  <r>
    <x v="0"/>
    <n v="59"/>
    <x v="24"/>
    <x v="0"/>
    <x v="0"/>
    <n v="1005"/>
    <x v="25"/>
    <x v="0"/>
    <x v="44"/>
    <n v="3100"/>
    <x v="80"/>
    <n v="4150"/>
    <x v="163"/>
    <s v="B 09"/>
    <n v="1"/>
    <n v="460"/>
    <x v="344"/>
    <s v="Annual"/>
    <n v="1"/>
    <n v="1"/>
    <n v="82140"/>
    <n v="82140"/>
  </r>
  <r>
    <x v="0"/>
    <n v="59"/>
    <x v="24"/>
    <x v="0"/>
    <x v="0"/>
    <n v="1005"/>
    <x v="25"/>
    <x v="0"/>
    <x v="44"/>
    <n v="3100"/>
    <x v="80"/>
    <n v="4150"/>
    <x v="163"/>
    <s v="B 09"/>
    <n v="1"/>
    <n v="460"/>
    <x v="344"/>
    <s v="Annual"/>
    <n v="1"/>
    <n v="1"/>
    <n v="65112"/>
    <n v="65112"/>
  </r>
  <r>
    <x v="0"/>
    <n v="59"/>
    <x v="24"/>
    <x v="0"/>
    <x v="0"/>
    <n v="1005"/>
    <x v="25"/>
    <x v="0"/>
    <x v="44"/>
    <n v="3100"/>
    <x v="80"/>
    <n v="4150"/>
    <x v="163"/>
    <s v="B 10"/>
    <n v="1"/>
    <s v="03A7"/>
    <x v="4"/>
    <s v="Annual"/>
    <n v="1"/>
    <n v="1"/>
    <n v="90144"/>
    <n v="90144"/>
  </r>
  <r>
    <x v="0"/>
    <n v="59"/>
    <x v="24"/>
    <x v="0"/>
    <x v="0"/>
    <n v="1005"/>
    <x v="25"/>
    <x v="0"/>
    <x v="44"/>
    <n v="3100"/>
    <x v="80"/>
    <n v="4150"/>
    <x v="163"/>
    <s v="BX 13"/>
    <n v="20"/>
    <n v="366"/>
    <x v="219"/>
    <s v="Annual"/>
    <n v="1"/>
    <n v="1"/>
    <n v="66516"/>
    <n v="66516"/>
  </r>
  <r>
    <x v="0"/>
    <n v="59"/>
    <x v="24"/>
    <x v="0"/>
    <x v="0"/>
    <n v="1005"/>
    <x v="25"/>
    <x v="0"/>
    <x v="44"/>
    <n v="3100"/>
    <x v="80"/>
    <n v="4150"/>
    <x v="163"/>
    <s v="1 00"/>
    <n v="0"/>
    <n v="15"/>
    <x v="37"/>
    <s v="Annual"/>
    <n v="0"/>
    <n v="0"/>
    <n v="8554"/>
    <n v="8554"/>
  </r>
  <r>
    <x v="0"/>
    <n v="59"/>
    <x v="24"/>
    <x v="0"/>
    <x v="0"/>
    <n v="1005"/>
    <x v="25"/>
    <x v="0"/>
    <x v="44"/>
    <n v="3102"/>
    <x v="189"/>
    <n v="4108"/>
    <x v="23"/>
    <s v="1 00"/>
    <n v="9"/>
    <n v="9960"/>
    <x v="735"/>
    <s v="Annual"/>
    <n v="1"/>
    <n v="1"/>
    <n v="211848"/>
    <n v="211848"/>
  </r>
  <r>
    <x v="0"/>
    <n v="59"/>
    <x v="24"/>
    <x v="0"/>
    <x v="0"/>
    <n v="1005"/>
    <x v="25"/>
    <x v="0"/>
    <x v="44"/>
    <n v="3102"/>
    <x v="189"/>
    <n v="4108"/>
    <x v="23"/>
    <s v="1 00"/>
    <n v="89"/>
    <n v="9703"/>
    <x v="736"/>
    <s v="Annual"/>
    <n v="1"/>
    <n v="1"/>
    <n v="226872"/>
    <n v="226872"/>
  </r>
  <r>
    <x v="0"/>
    <n v="59"/>
    <x v="24"/>
    <x v="0"/>
    <x v="0"/>
    <n v="1005"/>
    <x v="25"/>
    <x v="0"/>
    <x v="44"/>
    <n v="3102"/>
    <x v="189"/>
    <n v="4108"/>
    <x v="23"/>
    <s v="BX 16"/>
    <n v="10"/>
    <n v="802"/>
    <x v="30"/>
    <s v="Annual"/>
    <n v="1"/>
    <n v="1"/>
    <n v="85128"/>
    <n v="85128"/>
  </r>
  <r>
    <x v="0"/>
    <n v="59"/>
    <x v="24"/>
    <x v="0"/>
    <x v="0"/>
    <n v="1005"/>
    <x v="25"/>
    <x v="0"/>
    <x v="44"/>
    <n v="3102"/>
    <x v="189"/>
    <n v="4108"/>
    <x v="23"/>
    <s v="X 43"/>
    <n v="0"/>
    <s v="03A2"/>
    <x v="220"/>
    <s v="Annual"/>
    <n v="1"/>
    <n v="1"/>
    <n v="133836"/>
    <n v="133836"/>
  </r>
  <r>
    <x v="0"/>
    <n v="59"/>
    <x v="24"/>
    <x v="0"/>
    <x v="0"/>
    <n v="1005"/>
    <x v="25"/>
    <x v="0"/>
    <x v="44"/>
    <n v="3102"/>
    <x v="189"/>
    <n v="4108"/>
    <x v="23"/>
    <s v="1 00"/>
    <n v="0"/>
    <n v="15"/>
    <x v="37"/>
    <s v="Annual"/>
    <n v="0"/>
    <n v="0"/>
    <n v="2822"/>
    <n v="2822"/>
  </r>
  <r>
    <x v="0"/>
    <n v="59"/>
    <x v="24"/>
    <x v="0"/>
    <x v="0"/>
    <n v="1005"/>
    <x v="25"/>
    <x v="0"/>
    <x v="44"/>
    <n v="3102"/>
    <x v="189"/>
    <n v="4111"/>
    <x v="164"/>
    <s v="F 04"/>
    <n v="87"/>
    <n v="8707"/>
    <x v="737"/>
    <s v="Annual"/>
    <n v="2"/>
    <n v="1"/>
    <n v="123420"/>
    <n v="246840"/>
  </r>
  <r>
    <x v="0"/>
    <n v="59"/>
    <x v="24"/>
    <x v="0"/>
    <x v="0"/>
    <n v="1005"/>
    <x v="25"/>
    <x v="0"/>
    <x v="44"/>
    <n v="3102"/>
    <x v="189"/>
    <n v="4111"/>
    <x v="164"/>
    <s v="F 04"/>
    <n v="87"/>
    <n v="8707"/>
    <x v="737"/>
    <s v="Annual"/>
    <n v="5"/>
    <n v="1"/>
    <n v="115938"/>
    <n v="579690"/>
  </r>
  <r>
    <x v="0"/>
    <n v="59"/>
    <x v="24"/>
    <x v="0"/>
    <x v="0"/>
    <n v="1005"/>
    <x v="25"/>
    <x v="0"/>
    <x v="44"/>
    <n v="3102"/>
    <x v="189"/>
    <n v="4111"/>
    <x v="164"/>
    <s v="F 04"/>
    <n v="87"/>
    <n v="8703"/>
    <x v="738"/>
    <s v="Annual"/>
    <n v="1"/>
    <n v="1"/>
    <n v="115938"/>
    <n v="115938"/>
  </r>
  <r>
    <x v="0"/>
    <n v="59"/>
    <x v="24"/>
    <x v="0"/>
    <x v="0"/>
    <n v="1005"/>
    <x v="25"/>
    <x v="0"/>
    <x v="44"/>
    <n v="3102"/>
    <x v="189"/>
    <n v="4111"/>
    <x v="164"/>
    <s v="F 04"/>
    <n v="87"/>
    <n v="8703"/>
    <x v="738"/>
    <s v="Annual"/>
    <n v="1"/>
    <n v="1"/>
    <n v="112218"/>
    <n v="112218"/>
  </r>
  <r>
    <x v="0"/>
    <n v="59"/>
    <x v="24"/>
    <x v="0"/>
    <x v="0"/>
    <n v="1005"/>
    <x v="25"/>
    <x v="0"/>
    <x v="44"/>
    <n v="3102"/>
    <x v="189"/>
    <n v="4111"/>
    <x v="164"/>
    <s v="X 43"/>
    <n v="0"/>
    <n v="393"/>
    <x v="739"/>
    <s v="Annual"/>
    <n v="1"/>
    <n v="1"/>
    <n v="160680"/>
    <n v="160680"/>
  </r>
  <r>
    <x v="0"/>
    <n v="59"/>
    <x v="24"/>
    <x v="0"/>
    <x v="0"/>
    <n v="1005"/>
    <x v="25"/>
    <x v="0"/>
    <x v="44"/>
    <n v="3102"/>
    <x v="189"/>
    <n v="4111"/>
    <x v="164"/>
    <s v="1 00"/>
    <n v="0"/>
    <n v="15"/>
    <x v="37"/>
    <s v="Annual"/>
    <n v="0"/>
    <n v="0"/>
    <n v="4095"/>
    <n v="4095"/>
  </r>
  <r>
    <x v="0"/>
    <n v="59"/>
    <x v="24"/>
    <x v="0"/>
    <x v="0"/>
    <n v="1005"/>
    <x v="25"/>
    <x v="0"/>
    <x v="44"/>
    <n v="3102"/>
    <x v="189"/>
    <n v="4137"/>
    <x v="165"/>
    <s v="F 1B"/>
    <n v="87"/>
    <n v="8801"/>
    <x v="740"/>
    <s v="Annual"/>
    <n v="4"/>
    <n v="1"/>
    <n v="66264"/>
    <n v="265056"/>
  </r>
  <r>
    <x v="0"/>
    <n v="59"/>
    <x v="24"/>
    <x v="0"/>
    <x v="0"/>
    <n v="1005"/>
    <x v="25"/>
    <x v="0"/>
    <x v="44"/>
    <n v="3102"/>
    <x v="189"/>
    <n v="4137"/>
    <x v="165"/>
    <s v="F 01"/>
    <n v="87"/>
    <n v="8750"/>
    <x v="741"/>
    <s v="Annual"/>
    <n v="1"/>
    <n v="1"/>
    <n v="96528"/>
    <n v="96528"/>
  </r>
  <r>
    <x v="0"/>
    <n v="59"/>
    <x v="24"/>
    <x v="0"/>
    <x v="0"/>
    <n v="1005"/>
    <x v="25"/>
    <x v="0"/>
    <x v="44"/>
    <n v="3102"/>
    <x v="189"/>
    <n v="4137"/>
    <x v="165"/>
    <s v="F 3A"/>
    <n v="87"/>
    <n v="8749"/>
    <x v="742"/>
    <s v="Annual"/>
    <n v="1"/>
    <n v="1"/>
    <n v="112020"/>
    <n v="112020"/>
  </r>
  <r>
    <x v="0"/>
    <n v="59"/>
    <x v="24"/>
    <x v="0"/>
    <x v="0"/>
    <n v="1005"/>
    <x v="25"/>
    <x v="0"/>
    <x v="44"/>
    <n v="3102"/>
    <x v="189"/>
    <n v="4137"/>
    <x v="165"/>
    <s v="F 3A"/>
    <n v="87"/>
    <n v="8749"/>
    <x v="742"/>
    <s v="Annual"/>
    <n v="1"/>
    <n v="1"/>
    <n v="104430"/>
    <n v="104430"/>
  </r>
  <r>
    <x v="0"/>
    <n v="59"/>
    <x v="24"/>
    <x v="0"/>
    <x v="0"/>
    <n v="1005"/>
    <x v="25"/>
    <x v="0"/>
    <x v="44"/>
    <n v="3102"/>
    <x v="189"/>
    <n v="4137"/>
    <x v="165"/>
    <s v="F 3A"/>
    <n v="87"/>
    <n v="8749"/>
    <x v="742"/>
    <s v="Annual"/>
    <n v="1"/>
    <n v="1"/>
    <n v="101052"/>
    <n v="101052"/>
  </r>
  <r>
    <x v="0"/>
    <n v="59"/>
    <x v="24"/>
    <x v="0"/>
    <x v="0"/>
    <n v="1005"/>
    <x v="25"/>
    <x v="0"/>
    <x v="44"/>
    <n v="3102"/>
    <x v="189"/>
    <n v="4137"/>
    <x v="165"/>
    <s v="F 6B"/>
    <n v="89"/>
    <n v="8740"/>
    <x v="743"/>
    <s v="Annual"/>
    <n v="1"/>
    <n v="1"/>
    <n v="156726"/>
    <n v="156726"/>
  </r>
  <r>
    <x v="0"/>
    <n v="59"/>
    <x v="24"/>
    <x v="0"/>
    <x v="0"/>
    <n v="1005"/>
    <x v="25"/>
    <x v="0"/>
    <x v="44"/>
    <n v="3102"/>
    <x v="189"/>
    <n v="4139"/>
    <x v="166"/>
    <s v="X 43"/>
    <n v="0"/>
    <n v="8530"/>
    <x v="744"/>
    <s v="Annual"/>
    <n v="1"/>
    <n v="1"/>
    <n v="150768"/>
    <n v="150768"/>
  </r>
  <r>
    <x v="0"/>
    <n v="59"/>
    <x v="24"/>
    <x v="0"/>
    <x v="0"/>
    <n v="1005"/>
    <x v="25"/>
    <x v="0"/>
    <x v="44"/>
    <n v="3102"/>
    <x v="189"/>
    <n v="4139"/>
    <x v="166"/>
    <s v="G 07"/>
    <n v="4"/>
    <n v="3534"/>
    <x v="563"/>
    <s v="Annual"/>
    <n v="1"/>
    <n v="1"/>
    <n v="107628"/>
    <n v="107628"/>
  </r>
  <r>
    <x v="0"/>
    <n v="59"/>
    <x v="24"/>
    <x v="0"/>
    <x v="0"/>
    <n v="1005"/>
    <x v="25"/>
    <x v="0"/>
    <x v="44"/>
    <n v="3102"/>
    <x v="189"/>
    <n v="4139"/>
    <x v="166"/>
    <s v="G 07"/>
    <n v="4"/>
    <n v="3534"/>
    <x v="563"/>
    <s v="Annual"/>
    <n v="1"/>
    <n v="1"/>
    <n v="97488"/>
    <n v="97488"/>
  </r>
  <r>
    <x v="0"/>
    <n v="59"/>
    <x v="24"/>
    <x v="0"/>
    <x v="0"/>
    <n v="1005"/>
    <x v="25"/>
    <x v="0"/>
    <x v="44"/>
    <n v="3102"/>
    <x v="189"/>
    <n v="4139"/>
    <x v="166"/>
    <s v="1 00"/>
    <n v="0"/>
    <n v="15"/>
    <x v="37"/>
    <s v="Annual"/>
    <n v="0"/>
    <n v="0"/>
    <n v="11077"/>
    <n v="11077"/>
  </r>
  <r>
    <x v="0"/>
    <n v="59"/>
    <x v="24"/>
    <x v="0"/>
    <x v="0"/>
    <n v="1005"/>
    <x v="25"/>
    <x v="0"/>
    <x v="44"/>
    <n v="3102"/>
    <x v="189"/>
    <n v="4141"/>
    <x v="167"/>
    <s v="F 01"/>
    <n v="87"/>
    <n v="8750"/>
    <x v="741"/>
    <s v="Annual"/>
    <n v="1"/>
    <n v="1"/>
    <n v="96528"/>
    <n v="96528"/>
  </r>
  <r>
    <x v="0"/>
    <n v="59"/>
    <x v="24"/>
    <x v="0"/>
    <x v="0"/>
    <n v="1005"/>
    <x v="25"/>
    <x v="0"/>
    <x v="44"/>
    <n v="3102"/>
    <x v="189"/>
    <n v="4141"/>
    <x v="167"/>
    <s v="F 01"/>
    <n v="87"/>
    <n v="8750"/>
    <x v="741"/>
    <s v="Annual"/>
    <n v="1"/>
    <n v="1"/>
    <n v="93252"/>
    <n v="93252"/>
  </r>
  <r>
    <x v="0"/>
    <n v="59"/>
    <x v="24"/>
    <x v="0"/>
    <x v="0"/>
    <n v="1005"/>
    <x v="25"/>
    <x v="0"/>
    <x v="44"/>
    <n v="3102"/>
    <x v="189"/>
    <n v="4141"/>
    <x v="167"/>
    <s v="F 3A"/>
    <n v="87"/>
    <n v="8749"/>
    <x v="742"/>
    <s v="Annual"/>
    <n v="1"/>
    <n v="1"/>
    <n v="115308"/>
    <n v="115308"/>
  </r>
  <r>
    <x v="0"/>
    <n v="59"/>
    <x v="24"/>
    <x v="0"/>
    <x v="0"/>
    <n v="1005"/>
    <x v="25"/>
    <x v="0"/>
    <x v="44"/>
    <n v="3102"/>
    <x v="189"/>
    <n v="4141"/>
    <x v="167"/>
    <s v="F 3A"/>
    <n v="87"/>
    <n v="8749"/>
    <x v="742"/>
    <s v="Annual"/>
    <n v="3"/>
    <n v="1"/>
    <n v="108096"/>
    <n v="324288"/>
  </r>
  <r>
    <x v="0"/>
    <n v="59"/>
    <x v="24"/>
    <x v="0"/>
    <x v="0"/>
    <n v="1005"/>
    <x v="25"/>
    <x v="0"/>
    <x v="44"/>
    <n v="3102"/>
    <x v="189"/>
    <n v="4141"/>
    <x v="167"/>
    <s v="F 3A"/>
    <n v="87"/>
    <n v="8749"/>
    <x v="742"/>
    <s v="Annual"/>
    <n v="1"/>
    <n v="1"/>
    <n v="104430"/>
    <n v="104430"/>
  </r>
  <r>
    <x v="0"/>
    <n v="59"/>
    <x v="24"/>
    <x v="0"/>
    <x v="0"/>
    <n v="1005"/>
    <x v="25"/>
    <x v="0"/>
    <x v="44"/>
    <n v="3102"/>
    <x v="189"/>
    <n v="4141"/>
    <x v="167"/>
    <s v="F 3A"/>
    <n v="87"/>
    <n v="8749"/>
    <x v="742"/>
    <s v="Annual"/>
    <n v="3"/>
    <n v="1"/>
    <n v="101052"/>
    <n v="303156"/>
  </r>
  <r>
    <x v="0"/>
    <n v="59"/>
    <x v="24"/>
    <x v="0"/>
    <x v="0"/>
    <n v="1005"/>
    <x v="25"/>
    <x v="0"/>
    <x v="44"/>
    <n v="3102"/>
    <x v="189"/>
    <n v="4141"/>
    <x v="167"/>
    <s v="F 05"/>
    <n v="87"/>
    <n v="8745"/>
    <x v="745"/>
    <s v="Annual"/>
    <n v="1"/>
    <n v="1"/>
    <n v="143076"/>
    <n v="143076"/>
  </r>
  <r>
    <x v="0"/>
    <n v="59"/>
    <x v="24"/>
    <x v="0"/>
    <x v="0"/>
    <n v="1005"/>
    <x v="25"/>
    <x v="0"/>
    <x v="44"/>
    <n v="3102"/>
    <x v="189"/>
    <n v="4141"/>
    <x v="167"/>
    <s v="F 05"/>
    <n v="87"/>
    <n v="8745"/>
    <x v="745"/>
    <s v="Annual"/>
    <n v="1"/>
    <n v="1"/>
    <n v="138828"/>
    <n v="138828"/>
  </r>
  <r>
    <x v="0"/>
    <n v="59"/>
    <x v="24"/>
    <x v="0"/>
    <x v="0"/>
    <n v="1005"/>
    <x v="25"/>
    <x v="0"/>
    <x v="44"/>
    <n v="3102"/>
    <x v="189"/>
    <n v="4152"/>
    <x v="168"/>
    <s v="3 00"/>
    <n v="89"/>
    <n v="8763"/>
    <x v="731"/>
    <s v="Annual"/>
    <n v="1"/>
    <n v="1"/>
    <n v="205560"/>
    <n v="205560"/>
  </r>
  <r>
    <x v="0"/>
    <n v="59"/>
    <x v="24"/>
    <x v="0"/>
    <x v="0"/>
    <n v="1005"/>
    <x v="25"/>
    <x v="0"/>
    <x v="44"/>
    <n v="3102"/>
    <x v="189"/>
    <n v="4152"/>
    <x v="168"/>
    <s v="GY 11"/>
    <n v="20"/>
    <n v="3051"/>
    <x v="27"/>
    <s v="Annual"/>
    <n v="1"/>
    <n v="1"/>
    <n v="115992"/>
    <n v="115992"/>
  </r>
  <r>
    <x v="0"/>
    <n v="59"/>
    <x v="24"/>
    <x v="0"/>
    <x v="0"/>
    <n v="1005"/>
    <x v="25"/>
    <x v="0"/>
    <x v="44"/>
    <n v="3104"/>
    <x v="16"/>
    <n v="4116"/>
    <x v="23"/>
    <s v="1 00"/>
    <n v="89"/>
    <n v="9702"/>
    <x v="746"/>
    <s v="Annual"/>
    <n v="1"/>
    <n v="1"/>
    <n v="221796"/>
    <n v="221796"/>
  </r>
  <r>
    <x v="0"/>
    <n v="59"/>
    <x v="24"/>
    <x v="0"/>
    <x v="0"/>
    <n v="1005"/>
    <x v="25"/>
    <x v="0"/>
    <x v="44"/>
    <n v="3104"/>
    <x v="16"/>
    <n v="4116"/>
    <x v="23"/>
    <s v="3 00"/>
    <n v="89"/>
    <n v="8763"/>
    <x v="731"/>
    <s v="Annual"/>
    <n v="5"/>
    <n v="1"/>
    <n v="205560"/>
    <n v="1027800"/>
  </r>
  <r>
    <x v="0"/>
    <n v="59"/>
    <x v="24"/>
    <x v="0"/>
    <x v="0"/>
    <n v="1005"/>
    <x v="25"/>
    <x v="0"/>
    <x v="44"/>
    <n v="3104"/>
    <x v="16"/>
    <n v="4116"/>
    <x v="23"/>
    <s v="3 00"/>
    <n v="89"/>
    <n v="8755"/>
    <x v="747"/>
    <s v="Annual"/>
    <n v="2"/>
    <n v="1"/>
    <n v="219048"/>
    <n v="438096"/>
  </r>
  <r>
    <x v="0"/>
    <n v="59"/>
    <x v="24"/>
    <x v="0"/>
    <x v="0"/>
    <n v="1005"/>
    <x v="25"/>
    <x v="0"/>
    <x v="44"/>
    <n v="3104"/>
    <x v="16"/>
    <n v="4116"/>
    <x v="23"/>
    <s v="F 6P"/>
    <n v="80"/>
    <n v="8727"/>
    <x v="748"/>
    <s v="Annual"/>
    <n v="1"/>
    <n v="1"/>
    <n v="169830"/>
    <n v="169830"/>
  </r>
  <r>
    <x v="0"/>
    <n v="59"/>
    <x v="24"/>
    <x v="0"/>
    <x v="0"/>
    <n v="1005"/>
    <x v="25"/>
    <x v="0"/>
    <x v="44"/>
    <n v="3104"/>
    <x v="16"/>
    <n v="4116"/>
    <x v="23"/>
    <s v="F 04"/>
    <n v="87"/>
    <n v="8707"/>
    <x v="737"/>
    <s v="Annual"/>
    <n v="1"/>
    <n v="1"/>
    <n v="123420"/>
    <n v="123420"/>
  </r>
  <r>
    <x v="0"/>
    <n v="59"/>
    <x v="24"/>
    <x v="0"/>
    <x v="0"/>
    <n v="1005"/>
    <x v="25"/>
    <x v="0"/>
    <x v="44"/>
    <n v="3104"/>
    <x v="16"/>
    <n v="4116"/>
    <x v="23"/>
    <s v="B 13"/>
    <n v="1"/>
    <n v="308"/>
    <x v="90"/>
    <s v="Annual"/>
    <n v="1"/>
    <n v="1"/>
    <n v="119100"/>
    <n v="119100"/>
  </r>
  <r>
    <x v="0"/>
    <n v="59"/>
    <x v="24"/>
    <x v="0"/>
    <x v="0"/>
    <n v="1005"/>
    <x v="25"/>
    <x v="0"/>
    <x v="44"/>
    <n v="3104"/>
    <x v="16"/>
    <n v="4116"/>
    <x v="23"/>
    <s v="B 13"/>
    <n v="1"/>
    <n v="308"/>
    <x v="90"/>
    <s v="Annual"/>
    <n v="1"/>
    <n v="1"/>
    <n v="74172"/>
    <n v="74172"/>
  </r>
  <r>
    <x v="0"/>
    <n v="59"/>
    <x v="24"/>
    <x v="0"/>
    <x v="0"/>
    <n v="1005"/>
    <x v="25"/>
    <x v="0"/>
    <x v="44"/>
    <n v="3104"/>
    <x v="16"/>
    <n v="4116"/>
    <x v="23"/>
    <s v="1 00"/>
    <n v="0"/>
    <n v="15"/>
    <x v="37"/>
    <s v="Annual"/>
    <n v="0"/>
    <n v="0"/>
    <n v="2248"/>
    <n v="2248"/>
  </r>
  <r>
    <x v="0"/>
    <n v="59"/>
    <x v="24"/>
    <x v="0"/>
    <x v="0"/>
    <n v="1005"/>
    <x v="25"/>
    <x v="0"/>
    <x v="44"/>
    <n v="3104"/>
    <x v="16"/>
    <n v="4118"/>
    <x v="169"/>
    <s v="F 3A"/>
    <n v="87"/>
    <n v="8820"/>
    <x v="749"/>
    <s v="Annual"/>
    <n v="7"/>
    <n v="1"/>
    <n v="122274"/>
    <n v="855918"/>
  </r>
  <r>
    <x v="0"/>
    <n v="59"/>
    <x v="24"/>
    <x v="0"/>
    <x v="0"/>
    <n v="1005"/>
    <x v="25"/>
    <x v="0"/>
    <x v="44"/>
    <n v="3104"/>
    <x v="16"/>
    <n v="4118"/>
    <x v="169"/>
    <s v="F 3A"/>
    <n v="87"/>
    <n v="8820"/>
    <x v="749"/>
    <s v="Annual"/>
    <n v="7"/>
    <n v="1"/>
    <n v="118830"/>
    <n v="831810"/>
  </r>
  <r>
    <x v="0"/>
    <n v="59"/>
    <x v="24"/>
    <x v="0"/>
    <x v="0"/>
    <n v="1005"/>
    <x v="25"/>
    <x v="0"/>
    <x v="44"/>
    <n v="3104"/>
    <x v="16"/>
    <n v="4118"/>
    <x v="169"/>
    <s v="F 3A"/>
    <n v="87"/>
    <n v="8819"/>
    <x v="750"/>
    <s v="Annual"/>
    <n v="3"/>
    <n v="1"/>
    <n v="125202"/>
    <n v="375606"/>
  </r>
  <r>
    <x v="0"/>
    <n v="59"/>
    <x v="24"/>
    <x v="0"/>
    <x v="0"/>
    <n v="1005"/>
    <x v="25"/>
    <x v="0"/>
    <x v="44"/>
    <n v="3104"/>
    <x v="16"/>
    <n v="4118"/>
    <x v="169"/>
    <s v="F 3A"/>
    <n v="87"/>
    <n v="8819"/>
    <x v="750"/>
    <s v="Annual"/>
    <n v="6"/>
    <n v="1"/>
    <n v="121656"/>
    <n v="729936"/>
  </r>
  <r>
    <x v="0"/>
    <n v="59"/>
    <x v="24"/>
    <x v="0"/>
    <x v="0"/>
    <n v="1005"/>
    <x v="25"/>
    <x v="0"/>
    <x v="44"/>
    <n v="3104"/>
    <x v="16"/>
    <n v="4118"/>
    <x v="169"/>
    <s v="F 5P"/>
    <n v="87"/>
    <n v="8818"/>
    <x v="751"/>
    <s v="Annual"/>
    <n v="5"/>
    <n v="1"/>
    <n v="155358"/>
    <n v="776790"/>
  </r>
  <r>
    <x v="0"/>
    <n v="59"/>
    <x v="24"/>
    <x v="0"/>
    <x v="0"/>
    <n v="1005"/>
    <x v="25"/>
    <x v="0"/>
    <x v="44"/>
    <n v="3104"/>
    <x v="16"/>
    <n v="4118"/>
    <x v="169"/>
    <s v="F 5P"/>
    <n v="87"/>
    <n v="8818"/>
    <x v="751"/>
    <s v="Annual"/>
    <n v="1"/>
    <n v="1"/>
    <n v="150756"/>
    <n v="150756"/>
  </r>
  <r>
    <x v="0"/>
    <n v="59"/>
    <x v="24"/>
    <x v="0"/>
    <x v="0"/>
    <n v="1005"/>
    <x v="25"/>
    <x v="0"/>
    <x v="44"/>
    <n v="3104"/>
    <x v="16"/>
    <n v="4118"/>
    <x v="169"/>
    <s v="F 5P"/>
    <n v="87"/>
    <n v="8818"/>
    <x v="751"/>
    <s v="Annual"/>
    <n v="1"/>
    <n v="1"/>
    <n v="141948"/>
    <n v="141948"/>
  </r>
  <r>
    <x v="0"/>
    <n v="59"/>
    <x v="24"/>
    <x v="0"/>
    <x v="0"/>
    <n v="1005"/>
    <x v="25"/>
    <x v="0"/>
    <x v="44"/>
    <n v="3104"/>
    <x v="16"/>
    <n v="4118"/>
    <x v="169"/>
    <s v="F 5B"/>
    <n v="87"/>
    <n v="8817"/>
    <x v="752"/>
    <s v="Annual"/>
    <n v="106"/>
    <n v="1"/>
    <n v="151764"/>
    <n v="16086984"/>
  </r>
  <r>
    <x v="0"/>
    <n v="59"/>
    <x v="24"/>
    <x v="0"/>
    <x v="0"/>
    <n v="1005"/>
    <x v="25"/>
    <x v="0"/>
    <x v="44"/>
    <n v="3104"/>
    <x v="16"/>
    <n v="4118"/>
    <x v="169"/>
    <s v="F 5B"/>
    <n v="87"/>
    <n v="8817"/>
    <x v="752"/>
    <s v="Annual"/>
    <n v="41"/>
    <n v="1"/>
    <n v="147258"/>
    <n v="6037578"/>
  </r>
  <r>
    <x v="0"/>
    <n v="59"/>
    <x v="24"/>
    <x v="0"/>
    <x v="0"/>
    <n v="1005"/>
    <x v="25"/>
    <x v="0"/>
    <x v="44"/>
    <n v="3104"/>
    <x v="16"/>
    <n v="4118"/>
    <x v="169"/>
    <s v="F 5B"/>
    <n v="87"/>
    <n v="8817"/>
    <x v="752"/>
    <s v="Annual"/>
    <n v="2"/>
    <n v="1"/>
    <n v="142926"/>
    <n v="285852"/>
  </r>
  <r>
    <x v="0"/>
    <n v="59"/>
    <x v="24"/>
    <x v="0"/>
    <x v="0"/>
    <n v="1005"/>
    <x v="25"/>
    <x v="0"/>
    <x v="44"/>
    <n v="3104"/>
    <x v="16"/>
    <n v="4118"/>
    <x v="169"/>
    <s v="F 5B"/>
    <n v="87"/>
    <n v="8817"/>
    <x v="752"/>
    <s v="Annual"/>
    <n v="1"/>
    <n v="1"/>
    <n v="122046"/>
    <n v="122046"/>
  </r>
  <r>
    <x v="0"/>
    <n v="59"/>
    <x v="24"/>
    <x v="0"/>
    <x v="0"/>
    <n v="1005"/>
    <x v="25"/>
    <x v="0"/>
    <x v="44"/>
    <n v="3104"/>
    <x v="16"/>
    <n v="4118"/>
    <x v="169"/>
    <s v="F 4P"/>
    <n v="87"/>
    <n v="8812"/>
    <x v="753"/>
    <s v="Annual"/>
    <n v="11"/>
    <n v="1"/>
    <n v="138378"/>
    <n v="1522158"/>
  </r>
  <r>
    <x v="0"/>
    <n v="59"/>
    <x v="24"/>
    <x v="0"/>
    <x v="0"/>
    <n v="1005"/>
    <x v="25"/>
    <x v="0"/>
    <x v="44"/>
    <n v="3104"/>
    <x v="16"/>
    <n v="4118"/>
    <x v="169"/>
    <s v="F 4P"/>
    <n v="87"/>
    <n v="8812"/>
    <x v="753"/>
    <s v="Annual"/>
    <n v="6"/>
    <n v="1"/>
    <n v="134028"/>
    <n v="804168"/>
  </r>
  <r>
    <x v="0"/>
    <n v="59"/>
    <x v="24"/>
    <x v="0"/>
    <x v="0"/>
    <n v="1005"/>
    <x v="25"/>
    <x v="0"/>
    <x v="44"/>
    <n v="3104"/>
    <x v="16"/>
    <n v="4118"/>
    <x v="169"/>
    <s v="F 4P"/>
    <n v="87"/>
    <n v="8812"/>
    <x v="753"/>
    <s v="Annual"/>
    <n v="5"/>
    <n v="1"/>
    <n v="129834"/>
    <n v="649170"/>
  </r>
  <r>
    <x v="0"/>
    <n v="59"/>
    <x v="24"/>
    <x v="0"/>
    <x v="0"/>
    <n v="1005"/>
    <x v="25"/>
    <x v="0"/>
    <x v="44"/>
    <n v="3104"/>
    <x v="16"/>
    <n v="4118"/>
    <x v="169"/>
    <s v="F 4P"/>
    <n v="87"/>
    <n v="8812"/>
    <x v="753"/>
    <s v="Annual"/>
    <n v="3"/>
    <n v="1"/>
    <n v="125904"/>
    <n v="377712"/>
  </r>
  <r>
    <x v="0"/>
    <n v="59"/>
    <x v="24"/>
    <x v="0"/>
    <x v="0"/>
    <n v="1005"/>
    <x v="25"/>
    <x v="0"/>
    <x v="44"/>
    <n v="3104"/>
    <x v="16"/>
    <n v="4118"/>
    <x v="169"/>
    <s v="F 4B"/>
    <n v="87"/>
    <n v="8811"/>
    <x v="754"/>
    <s v="Annual"/>
    <n v="147"/>
    <n v="1"/>
    <n v="135144"/>
    <n v="19866168"/>
  </r>
  <r>
    <x v="0"/>
    <n v="59"/>
    <x v="24"/>
    <x v="0"/>
    <x v="0"/>
    <n v="1005"/>
    <x v="25"/>
    <x v="0"/>
    <x v="44"/>
    <n v="3104"/>
    <x v="16"/>
    <n v="4118"/>
    <x v="169"/>
    <s v="F 4B"/>
    <n v="87"/>
    <n v="8811"/>
    <x v="754"/>
    <s v="Annual"/>
    <n v="103"/>
    <n v="1"/>
    <n v="130908"/>
    <n v="13483524"/>
  </r>
  <r>
    <x v="0"/>
    <n v="59"/>
    <x v="24"/>
    <x v="0"/>
    <x v="0"/>
    <n v="1005"/>
    <x v="25"/>
    <x v="0"/>
    <x v="44"/>
    <n v="3104"/>
    <x v="16"/>
    <n v="4118"/>
    <x v="169"/>
    <s v="F 4B"/>
    <n v="87"/>
    <n v="8811"/>
    <x v="754"/>
    <s v="Annual"/>
    <n v="152"/>
    <n v="1"/>
    <n v="126840"/>
    <n v="19279680"/>
  </r>
  <r>
    <x v="0"/>
    <n v="59"/>
    <x v="24"/>
    <x v="0"/>
    <x v="0"/>
    <n v="1005"/>
    <x v="25"/>
    <x v="0"/>
    <x v="44"/>
    <n v="3104"/>
    <x v="16"/>
    <n v="4118"/>
    <x v="169"/>
    <s v="F 4B"/>
    <n v="87"/>
    <n v="8811"/>
    <x v="754"/>
    <s v="Annual"/>
    <n v="19"/>
    <n v="1"/>
    <n v="122976"/>
    <n v="2336544"/>
  </r>
  <r>
    <x v="0"/>
    <n v="59"/>
    <x v="24"/>
    <x v="0"/>
    <x v="0"/>
    <n v="1005"/>
    <x v="25"/>
    <x v="0"/>
    <x v="44"/>
    <n v="3104"/>
    <x v="16"/>
    <n v="4118"/>
    <x v="169"/>
    <s v="F 3A"/>
    <n v="87"/>
    <n v="8808"/>
    <x v="755"/>
    <s v="Annual"/>
    <n v="3"/>
    <n v="1"/>
    <n v="125202"/>
    <n v="375606"/>
  </r>
  <r>
    <x v="0"/>
    <n v="59"/>
    <x v="24"/>
    <x v="0"/>
    <x v="0"/>
    <n v="1005"/>
    <x v="25"/>
    <x v="0"/>
    <x v="44"/>
    <n v="3104"/>
    <x v="16"/>
    <n v="4118"/>
    <x v="169"/>
    <s v="F 3A"/>
    <n v="87"/>
    <n v="8808"/>
    <x v="755"/>
    <s v="Annual"/>
    <n v="4"/>
    <n v="1"/>
    <n v="121656"/>
    <n v="486624"/>
  </r>
  <r>
    <x v="0"/>
    <n v="59"/>
    <x v="24"/>
    <x v="0"/>
    <x v="0"/>
    <n v="1005"/>
    <x v="25"/>
    <x v="0"/>
    <x v="44"/>
    <n v="3104"/>
    <x v="16"/>
    <n v="4118"/>
    <x v="169"/>
    <s v="F 3A"/>
    <n v="87"/>
    <n v="8808"/>
    <x v="755"/>
    <s v="Annual"/>
    <n v="3"/>
    <n v="1"/>
    <n v="117384"/>
    <n v="352152"/>
  </r>
  <r>
    <x v="0"/>
    <n v="59"/>
    <x v="24"/>
    <x v="0"/>
    <x v="0"/>
    <n v="1005"/>
    <x v="25"/>
    <x v="0"/>
    <x v="44"/>
    <n v="3104"/>
    <x v="16"/>
    <n v="4118"/>
    <x v="169"/>
    <s v="F 3A"/>
    <n v="87"/>
    <n v="8808"/>
    <x v="755"/>
    <s v="Annual"/>
    <n v="11"/>
    <n v="1"/>
    <n v="113412"/>
    <n v="1247532"/>
  </r>
  <r>
    <x v="0"/>
    <n v="59"/>
    <x v="24"/>
    <x v="0"/>
    <x v="0"/>
    <n v="1005"/>
    <x v="25"/>
    <x v="0"/>
    <x v="44"/>
    <n v="3104"/>
    <x v="16"/>
    <n v="4118"/>
    <x v="169"/>
    <s v="F 3A"/>
    <n v="87"/>
    <n v="8807"/>
    <x v="756"/>
    <s v="Annual"/>
    <n v="68"/>
    <n v="1"/>
    <n v="122274"/>
    <n v="8314632"/>
  </r>
  <r>
    <x v="0"/>
    <n v="59"/>
    <x v="24"/>
    <x v="0"/>
    <x v="0"/>
    <n v="1005"/>
    <x v="25"/>
    <x v="0"/>
    <x v="44"/>
    <n v="3104"/>
    <x v="16"/>
    <n v="4118"/>
    <x v="169"/>
    <s v="F 3A"/>
    <n v="87"/>
    <n v="8807"/>
    <x v="756"/>
    <s v="Annual"/>
    <n v="75"/>
    <n v="1"/>
    <n v="118830"/>
    <n v="8912250"/>
  </r>
  <r>
    <x v="0"/>
    <n v="59"/>
    <x v="24"/>
    <x v="0"/>
    <x v="0"/>
    <n v="1005"/>
    <x v="25"/>
    <x v="0"/>
    <x v="44"/>
    <n v="3104"/>
    <x v="16"/>
    <n v="4118"/>
    <x v="169"/>
    <s v="F 3A"/>
    <n v="87"/>
    <n v="8807"/>
    <x v="756"/>
    <s v="Annual"/>
    <n v="127"/>
    <n v="1"/>
    <n v="114654"/>
    <n v="14561058"/>
  </r>
  <r>
    <x v="0"/>
    <n v="59"/>
    <x v="24"/>
    <x v="0"/>
    <x v="0"/>
    <n v="1005"/>
    <x v="25"/>
    <x v="0"/>
    <x v="44"/>
    <n v="3104"/>
    <x v="16"/>
    <n v="4118"/>
    <x v="169"/>
    <s v="F 3A"/>
    <n v="87"/>
    <n v="8807"/>
    <x v="756"/>
    <s v="Annual"/>
    <n v="88"/>
    <n v="1"/>
    <n v="110766"/>
    <n v="9747408"/>
  </r>
  <r>
    <x v="0"/>
    <n v="59"/>
    <x v="24"/>
    <x v="0"/>
    <x v="0"/>
    <n v="1005"/>
    <x v="25"/>
    <x v="0"/>
    <x v="44"/>
    <n v="3104"/>
    <x v="16"/>
    <n v="4118"/>
    <x v="169"/>
    <s v="F 3A"/>
    <n v="87"/>
    <n v="8807"/>
    <x v="756"/>
    <s v="Annual"/>
    <n v="12"/>
    <n v="1"/>
    <n v="107166"/>
    <n v="1285992"/>
  </r>
  <r>
    <x v="0"/>
    <n v="59"/>
    <x v="24"/>
    <x v="0"/>
    <x v="0"/>
    <n v="1005"/>
    <x v="25"/>
    <x v="0"/>
    <x v="44"/>
    <n v="3104"/>
    <x v="16"/>
    <n v="4118"/>
    <x v="169"/>
    <s v="F 01"/>
    <n v="87"/>
    <n v="8802"/>
    <x v="757"/>
    <s v="Annual"/>
    <n v="63"/>
    <n v="1"/>
    <n v="93252"/>
    <n v="5874876"/>
  </r>
  <r>
    <x v="0"/>
    <n v="59"/>
    <x v="24"/>
    <x v="0"/>
    <x v="0"/>
    <n v="1005"/>
    <x v="25"/>
    <x v="0"/>
    <x v="44"/>
    <n v="3104"/>
    <x v="16"/>
    <n v="4118"/>
    <x v="169"/>
    <s v="F 01"/>
    <n v="87"/>
    <n v="8802"/>
    <x v="757"/>
    <s v="Annual"/>
    <n v="139"/>
    <n v="1"/>
    <n v="88770"/>
    <n v="12339030"/>
  </r>
  <r>
    <x v="0"/>
    <n v="59"/>
    <x v="24"/>
    <x v="0"/>
    <x v="0"/>
    <n v="1005"/>
    <x v="25"/>
    <x v="0"/>
    <x v="44"/>
    <n v="3104"/>
    <x v="16"/>
    <n v="4118"/>
    <x v="169"/>
    <s v="F 01"/>
    <n v="87"/>
    <n v="8802"/>
    <x v="757"/>
    <s v="Annual"/>
    <n v="115"/>
    <n v="1"/>
    <n v="84612"/>
    <n v="9730380"/>
  </r>
  <r>
    <x v="0"/>
    <n v="59"/>
    <x v="24"/>
    <x v="0"/>
    <x v="0"/>
    <n v="1005"/>
    <x v="25"/>
    <x v="0"/>
    <x v="44"/>
    <n v="3104"/>
    <x v="16"/>
    <n v="4118"/>
    <x v="169"/>
    <s v="F 01"/>
    <n v="87"/>
    <n v="8802"/>
    <x v="757"/>
    <s v="Annual"/>
    <n v="190"/>
    <n v="1"/>
    <n v="80448"/>
    <n v="15285120"/>
  </r>
  <r>
    <x v="0"/>
    <n v="59"/>
    <x v="24"/>
    <x v="0"/>
    <x v="0"/>
    <n v="1005"/>
    <x v="25"/>
    <x v="0"/>
    <x v="44"/>
    <n v="3104"/>
    <x v="16"/>
    <n v="4118"/>
    <x v="169"/>
    <s v="F 01"/>
    <n v="87"/>
    <n v="8802"/>
    <x v="757"/>
    <s v="Annual"/>
    <n v="106"/>
    <n v="1"/>
    <n v="76122"/>
    <n v="8068932"/>
  </r>
  <r>
    <x v="0"/>
    <n v="59"/>
    <x v="24"/>
    <x v="0"/>
    <x v="0"/>
    <n v="1005"/>
    <x v="25"/>
    <x v="0"/>
    <x v="44"/>
    <n v="3104"/>
    <x v="16"/>
    <n v="4118"/>
    <x v="169"/>
    <s v="F 01"/>
    <n v="87"/>
    <n v="8802"/>
    <x v="757"/>
    <s v="Annual"/>
    <n v="54"/>
    <n v="1"/>
    <n v="62466"/>
    <n v="3373164"/>
  </r>
  <r>
    <x v="0"/>
    <n v="59"/>
    <x v="24"/>
    <x v="0"/>
    <x v="0"/>
    <n v="1005"/>
    <x v="25"/>
    <x v="0"/>
    <x v="44"/>
    <n v="3104"/>
    <x v="16"/>
    <n v="4118"/>
    <x v="169"/>
    <s v="F 1B"/>
    <n v="87"/>
    <n v="8801"/>
    <x v="740"/>
    <s v="Annual"/>
    <n v="39"/>
    <n v="1"/>
    <n v="114570"/>
    <n v="4468230"/>
  </r>
  <r>
    <x v="0"/>
    <n v="59"/>
    <x v="24"/>
    <x v="0"/>
    <x v="0"/>
    <n v="1005"/>
    <x v="25"/>
    <x v="0"/>
    <x v="44"/>
    <n v="3104"/>
    <x v="16"/>
    <n v="4118"/>
    <x v="169"/>
    <s v="F 1B"/>
    <n v="87"/>
    <n v="8801"/>
    <x v="740"/>
    <s v="Annual"/>
    <n v="96"/>
    <n v="1"/>
    <n v="110196"/>
    <n v="10578816"/>
  </r>
  <r>
    <x v="0"/>
    <n v="59"/>
    <x v="24"/>
    <x v="0"/>
    <x v="0"/>
    <n v="1005"/>
    <x v="25"/>
    <x v="0"/>
    <x v="44"/>
    <n v="3104"/>
    <x v="16"/>
    <n v="4118"/>
    <x v="169"/>
    <s v="F 1B"/>
    <n v="87"/>
    <n v="8801"/>
    <x v="740"/>
    <s v="Annual"/>
    <n v="223"/>
    <n v="1"/>
    <n v="105936"/>
    <n v="23623728"/>
  </r>
  <r>
    <x v="0"/>
    <n v="59"/>
    <x v="24"/>
    <x v="0"/>
    <x v="0"/>
    <n v="1005"/>
    <x v="25"/>
    <x v="0"/>
    <x v="44"/>
    <n v="3104"/>
    <x v="16"/>
    <n v="4118"/>
    <x v="169"/>
    <s v="F 1B"/>
    <n v="87"/>
    <n v="8801"/>
    <x v="740"/>
    <s v="Annual"/>
    <n v="226"/>
    <n v="1"/>
    <n v="102372"/>
    <n v="23136072"/>
  </r>
  <r>
    <x v="0"/>
    <n v="59"/>
    <x v="24"/>
    <x v="0"/>
    <x v="0"/>
    <n v="1005"/>
    <x v="25"/>
    <x v="0"/>
    <x v="44"/>
    <n v="3104"/>
    <x v="16"/>
    <n v="4118"/>
    <x v="169"/>
    <s v="F 1B"/>
    <n v="87"/>
    <n v="8801"/>
    <x v="740"/>
    <s v="Annual"/>
    <n v="735"/>
    <n v="1"/>
    <n v="98904"/>
    <n v="72694440"/>
  </r>
  <r>
    <x v="0"/>
    <n v="59"/>
    <x v="24"/>
    <x v="0"/>
    <x v="0"/>
    <n v="1005"/>
    <x v="25"/>
    <x v="0"/>
    <x v="44"/>
    <n v="3104"/>
    <x v="16"/>
    <n v="4118"/>
    <x v="169"/>
    <s v="F 1B"/>
    <n v="87"/>
    <n v="8801"/>
    <x v="740"/>
    <s v="Annual"/>
    <n v="58"/>
    <n v="1"/>
    <n v="66264"/>
    <n v="3843312"/>
  </r>
  <r>
    <x v="0"/>
    <n v="59"/>
    <x v="24"/>
    <x v="0"/>
    <x v="0"/>
    <n v="1005"/>
    <x v="25"/>
    <x v="0"/>
    <x v="44"/>
    <n v="3104"/>
    <x v="16"/>
    <n v="4118"/>
    <x v="169"/>
    <s v="3 00"/>
    <n v="89"/>
    <n v="8764"/>
    <x v="758"/>
    <s v="Annual"/>
    <n v="14"/>
    <n v="1"/>
    <n v="191724"/>
    <n v="2684136"/>
  </r>
  <r>
    <x v="0"/>
    <n v="59"/>
    <x v="24"/>
    <x v="0"/>
    <x v="0"/>
    <n v="1005"/>
    <x v="25"/>
    <x v="0"/>
    <x v="44"/>
    <n v="3104"/>
    <x v="16"/>
    <n v="4118"/>
    <x v="169"/>
    <s v="F 06"/>
    <n v="87"/>
    <n v="8739"/>
    <x v="759"/>
    <s v="Annual"/>
    <n v="4"/>
    <n v="1"/>
    <n v="156396"/>
    <n v="625584"/>
  </r>
  <r>
    <x v="0"/>
    <n v="59"/>
    <x v="24"/>
    <x v="0"/>
    <x v="0"/>
    <n v="1005"/>
    <x v="25"/>
    <x v="0"/>
    <x v="44"/>
    <n v="3104"/>
    <x v="16"/>
    <n v="4118"/>
    <x v="169"/>
    <s v="F 06"/>
    <n v="87"/>
    <n v="8739"/>
    <x v="759"/>
    <s v="Annual"/>
    <n v="1"/>
    <n v="1"/>
    <n v="143712"/>
    <n v="143712"/>
  </r>
  <r>
    <x v="0"/>
    <n v="59"/>
    <x v="24"/>
    <x v="0"/>
    <x v="0"/>
    <n v="1005"/>
    <x v="25"/>
    <x v="0"/>
    <x v="44"/>
    <n v="3104"/>
    <x v="16"/>
    <n v="4118"/>
    <x v="169"/>
    <s v="F 05"/>
    <n v="87"/>
    <n v="8737"/>
    <x v="665"/>
    <s v="Annual"/>
    <n v="6"/>
    <n v="1"/>
    <n v="143076"/>
    <n v="858456"/>
  </r>
  <r>
    <x v="0"/>
    <n v="59"/>
    <x v="24"/>
    <x v="0"/>
    <x v="0"/>
    <n v="1005"/>
    <x v="25"/>
    <x v="0"/>
    <x v="44"/>
    <n v="3104"/>
    <x v="16"/>
    <n v="4118"/>
    <x v="169"/>
    <s v="F 05"/>
    <n v="87"/>
    <n v="8737"/>
    <x v="665"/>
    <s v="Annual"/>
    <n v="2"/>
    <n v="1"/>
    <n v="138828"/>
    <n v="277656"/>
  </r>
  <r>
    <x v="0"/>
    <n v="59"/>
    <x v="24"/>
    <x v="0"/>
    <x v="0"/>
    <n v="1005"/>
    <x v="25"/>
    <x v="0"/>
    <x v="44"/>
    <n v="3104"/>
    <x v="16"/>
    <n v="4118"/>
    <x v="169"/>
    <s v="F 04"/>
    <n v="87"/>
    <n v="8735"/>
    <x v="662"/>
    <s v="Annual"/>
    <n v="44"/>
    <n v="1"/>
    <n v="127410"/>
    <n v="5606040"/>
  </r>
  <r>
    <x v="0"/>
    <n v="59"/>
    <x v="24"/>
    <x v="0"/>
    <x v="0"/>
    <n v="1005"/>
    <x v="25"/>
    <x v="0"/>
    <x v="44"/>
    <n v="3104"/>
    <x v="16"/>
    <n v="4118"/>
    <x v="169"/>
    <s v="F 04"/>
    <n v="87"/>
    <n v="8735"/>
    <x v="662"/>
    <s v="Annual"/>
    <n v="16"/>
    <n v="1"/>
    <n v="123420"/>
    <n v="1974720"/>
  </r>
  <r>
    <x v="0"/>
    <n v="59"/>
    <x v="24"/>
    <x v="0"/>
    <x v="0"/>
    <n v="1005"/>
    <x v="25"/>
    <x v="0"/>
    <x v="44"/>
    <n v="3104"/>
    <x v="16"/>
    <n v="4118"/>
    <x v="169"/>
    <s v="F 04"/>
    <n v="87"/>
    <n v="8735"/>
    <x v="662"/>
    <s v="Annual"/>
    <n v="1"/>
    <n v="1"/>
    <n v="119580"/>
    <n v="119580"/>
  </r>
  <r>
    <x v="0"/>
    <n v="59"/>
    <x v="24"/>
    <x v="0"/>
    <x v="0"/>
    <n v="1005"/>
    <x v="25"/>
    <x v="0"/>
    <x v="44"/>
    <n v="3104"/>
    <x v="16"/>
    <n v="4118"/>
    <x v="169"/>
    <s v="F 04"/>
    <n v="87"/>
    <n v="8735"/>
    <x v="662"/>
    <s v="Annual"/>
    <n v="13"/>
    <n v="1"/>
    <n v="115938"/>
    <n v="1507194"/>
  </r>
  <r>
    <x v="0"/>
    <n v="59"/>
    <x v="24"/>
    <x v="0"/>
    <x v="0"/>
    <n v="1005"/>
    <x v="25"/>
    <x v="0"/>
    <x v="44"/>
    <n v="3104"/>
    <x v="16"/>
    <n v="4118"/>
    <x v="169"/>
    <s v="F 3A"/>
    <n v="87"/>
    <n v="8733"/>
    <x v="760"/>
    <s v="Annual"/>
    <n v="15"/>
    <n v="1"/>
    <n v="115308"/>
    <n v="1729620"/>
  </r>
  <r>
    <x v="0"/>
    <n v="59"/>
    <x v="24"/>
    <x v="0"/>
    <x v="0"/>
    <n v="1005"/>
    <x v="25"/>
    <x v="0"/>
    <x v="44"/>
    <n v="3104"/>
    <x v="16"/>
    <n v="4118"/>
    <x v="169"/>
    <s v="F 3A"/>
    <n v="87"/>
    <n v="8733"/>
    <x v="760"/>
    <s v="Annual"/>
    <n v="10"/>
    <n v="1"/>
    <n v="112020"/>
    <n v="1120200"/>
  </r>
  <r>
    <x v="0"/>
    <n v="59"/>
    <x v="24"/>
    <x v="0"/>
    <x v="0"/>
    <n v="1005"/>
    <x v="25"/>
    <x v="0"/>
    <x v="44"/>
    <n v="3104"/>
    <x v="16"/>
    <n v="4118"/>
    <x v="169"/>
    <s v="F 3A"/>
    <n v="87"/>
    <n v="8733"/>
    <x v="760"/>
    <s v="Annual"/>
    <n v="2"/>
    <n v="1"/>
    <n v="108096"/>
    <n v="216192"/>
  </r>
  <r>
    <x v="0"/>
    <n v="59"/>
    <x v="24"/>
    <x v="0"/>
    <x v="0"/>
    <n v="1005"/>
    <x v="25"/>
    <x v="0"/>
    <x v="44"/>
    <n v="3104"/>
    <x v="16"/>
    <n v="4118"/>
    <x v="169"/>
    <s v="F 3A"/>
    <n v="87"/>
    <n v="8733"/>
    <x v="760"/>
    <s v="Annual"/>
    <n v="6"/>
    <n v="1"/>
    <n v="104430"/>
    <n v="626580"/>
  </r>
  <r>
    <x v="0"/>
    <n v="59"/>
    <x v="24"/>
    <x v="0"/>
    <x v="0"/>
    <n v="1005"/>
    <x v="25"/>
    <x v="0"/>
    <x v="44"/>
    <n v="3104"/>
    <x v="16"/>
    <n v="4118"/>
    <x v="169"/>
    <s v="F 01"/>
    <n v="87"/>
    <n v="8731"/>
    <x v="761"/>
    <s v="Annual"/>
    <n v="22"/>
    <n v="1"/>
    <n v="108036"/>
    <n v="2376792"/>
  </r>
  <r>
    <x v="0"/>
    <n v="59"/>
    <x v="24"/>
    <x v="0"/>
    <x v="0"/>
    <n v="1005"/>
    <x v="25"/>
    <x v="0"/>
    <x v="44"/>
    <n v="3104"/>
    <x v="16"/>
    <n v="4118"/>
    <x v="169"/>
    <s v="F 01"/>
    <n v="87"/>
    <n v="8731"/>
    <x v="761"/>
    <s v="Annual"/>
    <n v="30"/>
    <n v="1"/>
    <n v="103914"/>
    <n v="3117420"/>
  </r>
  <r>
    <x v="0"/>
    <n v="59"/>
    <x v="24"/>
    <x v="0"/>
    <x v="0"/>
    <n v="1005"/>
    <x v="25"/>
    <x v="0"/>
    <x v="44"/>
    <n v="3104"/>
    <x v="16"/>
    <n v="4118"/>
    <x v="169"/>
    <s v="F 01"/>
    <n v="87"/>
    <n v="8731"/>
    <x v="761"/>
    <s v="Annual"/>
    <n v="11"/>
    <n v="1"/>
    <n v="99876"/>
    <n v="1098636"/>
  </r>
  <r>
    <x v="0"/>
    <n v="59"/>
    <x v="24"/>
    <x v="0"/>
    <x v="0"/>
    <n v="1005"/>
    <x v="25"/>
    <x v="0"/>
    <x v="44"/>
    <n v="3104"/>
    <x v="16"/>
    <n v="4118"/>
    <x v="169"/>
    <s v="F 01"/>
    <n v="87"/>
    <n v="8731"/>
    <x v="761"/>
    <s v="Annual"/>
    <n v="2"/>
    <n v="1"/>
    <n v="62466"/>
    <n v="124932"/>
  </r>
  <r>
    <x v="0"/>
    <n v="59"/>
    <x v="24"/>
    <x v="0"/>
    <x v="0"/>
    <n v="1005"/>
    <x v="25"/>
    <x v="0"/>
    <x v="44"/>
    <n v="3104"/>
    <x v="16"/>
    <n v="4118"/>
    <x v="169"/>
    <s v="F 02"/>
    <n v="87"/>
    <n v="8728"/>
    <x v="762"/>
    <s v="Annual"/>
    <n v="1"/>
    <n v="1"/>
    <n v="117324"/>
    <n v="117324"/>
  </r>
  <r>
    <x v="0"/>
    <n v="59"/>
    <x v="24"/>
    <x v="0"/>
    <x v="0"/>
    <n v="1005"/>
    <x v="25"/>
    <x v="0"/>
    <x v="44"/>
    <n v="3104"/>
    <x v="16"/>
    <n v="4118"/>
    <x v="169"/>
    <s v="F 02"/>
    <n v="87"/>
    <n v="8728"/>
    <x v="762"/>
    <s v="Annual"/>
    <n v="11"/>
    <n v="1"/>
    <n v="112812"/>
    <n v="1240932"/>
  </r>
  <r>
    <x v="0"/>
    <n v="59"/>
    <x v="24"/>
    <x v="0"/>
    <x v="0"/>
    <n v="1005"/>
    <x v="25"/>
    <x v="0"/>
    <x v="44"/>
    <n v="3104"/>
    <x v="16"/>
    <n v="4118"/>
    <x v="169"/>
    <s v="F 02"/>
    <n v="87"/>
    <n v="8728"/>
    <x v="762"/>
    <s v="Annual"/>
    <n v="11"/>
    <n v="1"/>
    <n v="108444"/>
    <n v="1192884"/>
  </r>
  <r>
    <x v="0"/>
    <n v="59"/>
    <x v="24"/>
    <x v="0"/>
    <x v="0"/>
    <n v="1005"/>
    <x v="25"/>
    <x v="0"/>
    <x v="44"/>
    <n v="3104"/>
    <x v="16"/>
    <n v="4118"/>
    <x v="169"/>
    <s v="F 02"/>
    <n v="87"/>
    <n v="8728"/>
    <x v="762"/>
    <s v="Annual"/>
    <n v="57"/>
    <n v="1"/>
    <n v="104814"/>
    <n v="5974398"/>
  </r>
  <r>
    <x v="0"/>
    <n v="59"/>
    <x v="24"/>
    <x v="0"/>
    <x v="0"/>
    <n v="1005"/>
    <x v="25"/>
    <x v="0"/>
    <x v="44"/>
    <n v="3104"/>
    <x v="16"/>
    <n v="4118"/>
    <x v="169"/>
    <s v="F 02"/>
    <n v="87"/>
    <n v="8728"/>
    <x v="762"/>
    <s v="Annual"/>
    <n v="109"/>
    <n v="1"/>
    <n v="101262"/>
    <n v="11037558"/>
  </r>
  <r>
    <x v="0"/>
    <n v="59"/>
    <x v="24"/>
    <x v="0"/>
    <x v="0"/>
    <n v="1005"/>
    <x v="25"/>
    <x v="0"/>
    <x v="44"/>
    <n v="3104"/>
    <x v="16"/>
    <n v="4118"/>
    <x v="169"/>
    <s v="F 02"/>
    <n v="87"/>
    <n v="8728"/>
    <x v="762"/>
    <s v="Annual"/>
    <n v="14"/>
    <n v="1"/>
    <n v="96402"/>
    <n v="1349628"/>
  </r>
  <r>
    <x v="0"/>
    <n v="59"/>
    <x v="24"/>
    <x v="0"/>
    <x v="0"/>
    <n v="1005"/>
    <x v="25"/>
    <x v="0"/>
    <x v="44"/>
    <n v="3104"/>
    <x v="16"/>
    <n v="4118"/>
    <x v="169"/>
    <s v="F 02"/>
    <n v="87"/>
    <n v="8728"/>
    <x v="762"/>
    <s v="Annual"/>
    <n v="14"/>
    <n v="1"/>
    <n v="91872"/>
    <n v="1286208"/>
  </r>
  <r>
    <x v="0"/>
    <n v="59"/>
    <x v="24"/>
    <x v="0"/>
    <x v="0"/>
    <n v="1005"/>
    <x v="25"/>
    <x v="0"/>
    <x v="44"/>
    <n v="3104"/>
    <x v="16"/>
    <n v="4118"/>
    <x v="169"/>
    <s v="F 02"/>
    <n v="87"/>
    <n v="8728"/>
    <x v="762"/>
    <s v="Annual"/>
    <n v="8"/>
    <n v="1"/>
    <n v="87348"/>
    <n v="698784"/>
  </r>
  <r>
    <x v="0"/>
    <n v="59"/>
    <x v="24"/>
    <x v="0"/>
    <x v="0"/>
    <n v="1005"/>
    <x v="25"/>
    <x v="0"/>
    <x v="44"/>
    <n v="3104"/>
    <x v="16"/>
    <n v="4118"/>
    <x v="169"/>
    <s v="F 02"/>
    <n v="87"/>
    <n v="8728"/>
    <x v="762"/>
    <s v="Annual"/>
    <n v="2"/>
    <n v="1"/>
    <n v="82656"/>
    <n v="165312"/>
  </r>
  <r>
    <x v="0"/>
    <n v="59"/>
    <x v="24"/>
    <x v="0"/>
    <x v="0"/>
    <n v="1005"/>
    <x v="25"/>
    <x v="0"/>
    <x v="44"/>
    <n v="3104"/>
    <x v="16"/>
    <n v="4118"/>
    <x v="169"/>
    <s v="F 02"/>
    <n v="87"/>
    <n v="8728"/>
    <x v="762"/>
    <s v="Annual"/>
    <n v="4"/>
    <n v="1"/>
    <n v="78624"/>
    <n v="314496"/>
  </r>
  <r>
    <x v="0"/>
    <n v="59"/>
    <x v="24"/>
    <x v="0"/>
    <x v="0"/>
    <n v="1005"/>
    <x v="25"/>
    <x v="0"/>
    <x v="44"/>
    <n v="3104"/>
    <x v="16"/>
    <n v="4118"/>
    <x v="169"/>
    <s v="F 6P"/>
    <n v="87"/>
    <n v="8702"/>
    <x v="763"/>
    <s v="Annual"/>
    <n v="8"/>
    <n v="1"/>
    <n v="169830"/>
    <n v="1358640"/>
  </r>
  <r>
    <x v="0"/>
    <n v="59"/>
    <x v="24"/>
    <x v="0"/>
    <x v="0"/>
    <n v="1005"/>
    <x v="25"/>
    <x v="0"/>
    <x v="44"/>
    <n v="3104"/>
    <x v="16"/>
    <n v="4118"/>
    <x v="169"/>
    <s v="F 6P"/>
    <n v="87"/>
    <n v="8702"/>
    <x v="763"/>
    <s v="Annual"/>
    <n v="1"/>
    <n v="1"/>
    <n v="156048"/>
    <n v="156048"/>
  </r>
  <r>
    <x v="0"/>
    <n v="59"/>
    <x v="24"/>
    <x v="0"/>
    <x v="0"/>
    <n v="1005"/>
    <x v="25"/>
    <x v="0"/>
    <x v="44"/>
    <n v="3104"/>
    <x v="16"/>
    <n v="4118"/>
    <x v="169"/>
    <s v="F 6B"/>
    <n v="87"/>
    <n v="8701"/>
    <x v="764"/>
    <s v="Annual"/>
    <n v="79"/>
    <n v="1"/>
    <n v="165858"/>
    <n v="13102782"/>
  </r>
  <r>
    <x v="0"/>
    <n v="59"/>
    <x v="24"/>
    <x v="0"/>
    <x v="0"/>
    <n v="1005"/>
    <x v="25"/>
    <x v="0"/>
    <x v="44"/>
    <n v="3104"/>
    <x v="16"/>
    <n v="4118"/>
    <x v="169"/>
    <s v="F 6B"/>
    <n v="87"/>
    <n v="8701"/>
    <x v="764"/>
    <s v="Annual"/>
    <n v="7"/>
    <n v="1"/>
    <n v="161082"/>
    <n v="1127574"/>
  </r>
  <r>
    <x v="0"/>
    <n v="59"/>
    <x v="24"/>
    <x v="0"/>
    <x v="0"/>
    <n v="1005"/>
    <x v="25"/>
    <x v="0"/>
    <x v="44"/>
    <n v="3104"/>
    <x v="16"/>
    <n v="4118"/>
    <x v="169"/>
    <s v="F 6B"/>
    <n v="87"/>
    <n v="8701"/>
    <x v="764"/>
    <s v="Annual"/>
    <n v="3"/>
    <n v="1"/>
    <n v="152412"/>
    <n v="457236"/>
  </r>
  <r>
    <x v="0"/>
    <n v="59"/>
    <x v="24"/>
    <x v="0"/>
    <x v="0"/>
    <n v="1005"/>
    <x v="25"/>
    <x v="0"/>
    <x v="44"/>
    <n v="3104"/>
    <x v="16"/>
    <n v="4118"/>
    <x v="169"/>
    <s v="B 10"/>
    <n v="1"/>
    <s v="03A7"/>
    <x v="4"/>
    <s v="Annual"/>
    <n v="1"/>
    <n v="1"/>
    <n v="90144"/>
    <n v="90144"/>
  </r>
  <r>
    <x v="0"/>
    <n v="59"/>
    <x v="24"/>
    <x v="0"/>
    <x v="0"/>
    <n v="1005"/>
    <x v="25"/>
    <x v="0"/>
    <x v="44"/>
    <n v="3104"/>
    <x v="16"/>
    <n v="4118"/>
    <x v="169"/>
    <s v="1 00"/>
    <n v="0"/>
    <n v="15"/>
    <x v="37"/>
    <s v="Annual"/>
    <n v="0"/>
    <n v="0"/>
    <n v="2431719"/>
    <n v="2431719"/>
  </r>
  <r>
    <x v="0"/>
    <n v="59"/>
    <x v="24"/>
    <x v="0"/>
    <x v="0"/>
    <n v="1005"/>
    <x v="25"/>
    <x v="0"/>
    <x v="44"/>
    <n v="3104"/>
    <x v="16"/>
    <n v="4120"/>
    <x v="170"/>
    <s v="3 00"/>
    <n v="89"/>
    <n v="8763"/>
    <x v="731"/>
    <s v="Annual"/>
    <n v="1"/>
    <n v="1"/>
    <n v="205560"/>
    <n v="205560"/>
  </r>
  <r>
    <x v="0"/>
    <n v="59"/>
    <x v="24"/>
    <x v="0"/>
    <x v="0"/>
    <n v="1005"/>
    <x v="25"/>
    <x v="0"/>
    <x v="44"/>
    <n v="3104"/>
    <x v="16"/>
    <n v="4120"/>
    <x v="170"/>
    <s v="F 01"/>
    <n v="87"/>
    <n v="8751"/>
    <x v="765"/>
    <s v="Annual"/>
    <n v="1"/>
    <n v="1"/>
    <n v="62466"/>
    <n v="62466"/>
  </r>
  <r>
    <x v="0"/>
    <n v="59"/>
    <x v="24"/>
    <x v="0"/>
    <x v="0"/>
    <n v="1005"/>
    <x v="25"/>
    <x v="0"/>
    <x v="44"/>
    <n v="3104"/>
    <x v="16"/>
    <n v="4120"/>
    <x v="170"/>
    <s v="F 01"/>
    <n v="87"/>
    <n v="8750"/>
    <x v="741"/>
    <s v="Annual"/>
    <n v="3"/>
    <n v="1"/>
    <n v="108036"/>
    <n v="324108"/>
  </r>
  <r>
    <x v="0"/>
    <n v="59"/>
    <x v="24"/>
    <x v="0"/>
    <x v="0"/>
    <n v="1005"/>
    <x v="25"/>
    <x v="0"/>
    <x v="44"/>
    <n v="3104"/>
    <x v="16"/>
    <n v="4120"/>
    <x v="170"/>
    <s v="F 01"/>
    <n v="87"/>
    <n v="8750"/>
    <x v="741"/>
    <s v="Annual"/>
    <n v="8"/>
    <n v="1"/>
    <n v="103914"/>
    <n v="831312"/>
  </r>
  <r>
    <x v="0"/>
    <n v="59"/>
    <x v="24"/>
    <x v="0"/>
    <x v="0"/>
    <n v="1005"/>
    <x v="25"/>
    <x v="0"/>
    <x v="44"/>
    <n v="3104"/>
    <x v="16"/>
    <n v="4120"/>
    <x v="170"/>
    <s v="F 01"/>
    <n v="87"/>
    <n v="8750"/>
    <x v="741"/>
    <s v="Annual"/>
    <n v="8"/>
    <n v="1"/>
    <n v="99876"/>
    <n v="799008"/>
  </r>
  <r>
    <x v="0"/>
    <n v="59"/>
    <x v="24"/>
    <x v="0"/>
    <x v="0"/>
    <n v="1005"/>
    <x v="25"/>
    <x v="0"/>
    <x v="44"/>
    <n v="3104"/>
    <x v="16"/>
    <n v="4120"/>
    <x v="170"/>
    <s v="F 01"/>
    <n v="87"/>
    <n v="8750"/>
    <x v="741"/>
    <s v="Annual"/>
    <n v="43"/>
    <n v="1"/>
    <n v="96528"/>
    <n v="4150704"/>
  </r>
  <r>
    <x v="0"/>
    <n v="59"/>
    <x v="24"/>
    <x v="0"/>
    <x v="0"/>
    <n v="1005"/>
    <x v="25"/>
    <x v="0"/>
    <x v="44"/>
    <n v="3104"/>
    <x v="16"/>
    <n v="4120"/>
    <x v="170"/>
    <s v="F 01"/>
    <n v="87"/>
    <n v="8750"/>
    <x v="741"/>
    <s v="Annual"/>
    <n v="107"/>
    <n v="1"/>
    <n v="93252"/>
    <n v="9977964"/>
  </r>
  <r>
    <x v="0"/>
    <n v="59"/>
    <x v="24"/>
    <x v="0"/>
    <x v="0"/>
    <n v="1005"/>
    <x v="25"/>
    <x v="0"/>
    <x v="44"/>
    <n v="3104"/>
    <x v="16"/>
    <n v="4120"/>
    <x v="170"/>
    <s v="F 01"/>
    <n v="87"/>
    <n v="8750"/>
    <x v="741"/>
    <s v="Annual"/>
    <n v="42"/>
    <n v="1"/>
    <n v="88770"/>
    <n v="3728340"/>
  </r>
  <r>
    <x v="0"/>
    <n v="59"/>
    <x v="24"/>
    <x v="0"/>
    <x v="0"/>
    <n v="1005"/>
    <x v="25"/>
    <x v="0"/>
    <x v="44"/>
    <n v="3104"/>
    <x v="16"/>
    <n v="4120"/>
    <x v="170"/>
    <s v="F 01"/>
    <n v="87"/>
    <n v="8750"/>
    <x v="741"/>
    <s v="Annual"/>
    <n v="33"/>
    <n v="1"/>
    <n v="84612"/>
    <n v="2792196"/>
  </r>
  <r>
    <x v="0"/>
    <n v="59"/>
    <x v="24"/>
    <x v="0"/>
    <x v="0"/>
    <n v="1005"/>
    <x v="25"/>
    <x v="0"/>
    <x v="44"/>
    <n v="3104"/>
    <x v="16"/>
    <n v="4120"/>
    <x v="170"/>
    <s v="F 01"/>
    <n v="87"/>
    <n v="8750"/>
    <x v="741"/>
    <s v="Annual"/>
    <n v="56"/>
    <n v="1"/>
    <n v="80448"/>
    <n v="4505088"/>
  </r>
  <r>
    <x v="0"/>
    <n v="59"/>
    <x v="24"/>
    <x v="0"/>
    <x v="0"/>
    <n v="1005"/>
    <x v="25"/>
    <x v="0"/>
    <x v="44"/>
    <n v="3104"/>
    <x v="16"/>
    <n v="4120"/>
    <x v="170"/>
    <s v="F 01"/>
    <n v="87"/>
    <n v="8750"/>
    <x v="741"/>
    <s v="Annual"/>
    <n v="9"/>
    <n v="1"/>
    <n v="76122"/>
    <n v="685098"/>
  </r>
  <r>
    <x v="0"/>
    <n v="59"/>
    <x v="24"/>
    <x v="0"/>
    <x v="0"/>
    <n v="1005"/>
    <x v="25"/>
    <x v="0"/>
    <x v="44"/>
    <n v="3104"/>
    <x v="16"/>
    <n v="4120"/>
    <x v="170"/>
    <s v="F 01"/>
    <n v="87"/>
    <n v="8750"/>
    <x v="741"/>
    <s v="Annual"/>
    <n v="79"/>
    <n v="1"/>
    <n v="62466"/>
    <n v="4934814"/>
  </r>
  <r>
    <x v="0"/>
    <n v="59"/>
    <x v="24"/>
    <x v="0"/>
    <x v="0"/>
    <n v="1005"/>
    <x v="25"/>
    <x v="0"/>
    <x v="44"/>
    <n v="3104"/>
    <x v="16"/>
    <n v="4120"/>
    <x v="170"/>
    <s v="F 3A"/>
    <n v="87"/>
    <n v="8749"/>
    <x v="742"/>
    <s v="Annual"/>
    <n v="1"/>
    <n v="1"/>
    <n v="120084"/>
    <n v="120084"/>
  </r>
  <r>
    <x v="0"/>
    <n v="59"/>
    <x v="24"/>
    <x v="0"/>
    <x v="0"/>
    <n v="1005"/>
    <x v="25"/>
    <x v="0"/>
    <x v="44"/>
    <n v="3104"/>
    <x v="16"/>
    <n v="4120"/>
    <x v="170"/>
    <s v="F 3A"/>
    <n v="87"/>
    <n v="8749"/>
    <x v="742"/>
    <s v="Annual"/>
    <n v="5"/>
    <n v="1"/>
    <n v="115308"/>
    <n v="576540"/>
  </r>
  <r>
    <x v="0"/>
    <n v="59"/>
    <x v="24"/>
    <x v="0"/>
    <x v="0"/>
    <n v="1005"/>
    <x v="25"/>
    <x v="0"/>
    <x v="44"/>
    <n v="3104"/>
    <x v="16"/>
    <n v="4120"/>
    <x v="170"/>
    <s v="F 3A"/>
    <n v="87"/>
    <n v="8749"/>
    <x v="742"/>
    <s v="Annual"/>
    <n v="8"/>
    <n v="1"/>
    <n v="112020"/>
    <n v="896160"/>
  </r>
  <r>
    <x v="0"/>
    <n v="59"/>
    <x v="24"/>
    <x v="0"/>
    <x v="0"/>
    <n v="1005"/>
    <x v="25"/>
    <x v="0"/>
    <x v="44"/>
    <n v="3104"/>
    <x v="16"/>
    <n v="4120"/>
    <x v="170"/>
    <s v="F 3A"/>
    <n v="87"/>
    <n v="8749"/>
    <x v="742"/>
    <s v="Annual"/>
    <n v="34"/>
    <n v="1"/>
    <n v="108096"/>
    <n v="3675264"/>
  </r>
  <r>
    <x v="0"/>
    <n v="59"/>
    <x v="24"/>
    <x v="0"/>
    <x v="0"/>
    <n v="1005"/>
    <x v="25"/>
    <x v="0"/>
    <x v="44"/>
    <n v="3104"/>
    <x v="16"/>
    <n v="4120"/>
    <x v="170"/>
    <s v="F 3A"/>
    <n v="87"/>
    <n v="8749"/>
    <x v="742"/>
    <s v="Annual"/>
    <n v="96"/>
    <n v="1"/>
    <n v="104430"/>
    <n v="10025280"/>
  </r>
  <r>
    <x v="0"/>
    <n v="59"/>
    <x v="24"/>
    <x v="0"/>
    <x v="0"/>
    <n v="1005"/>
    <x v="25"/>
    <x v="0"/>
    <x v="44"/>
    <n v="3104"/>
    <x v="16"/>
    <n v="4120"/>
    <x v="170"/>
    <s v="F 3A"/>
    <n v="87"/>
    <n v="8749"/>
    <x v="742"/>
    <s v="Annual"/>
    <n v="71"/>
    <n v="1"/>
    <n v="101052"/>
    <n v="7174692"/>
  </r>
  <r>
    <x v="0"/>
    <n v="59"/>
    <x v="24"/>
    <x v="0"/>
    <x v="0"/>
    <n v="1005"/>
    <x v="25"/>
    <x v="0"/>
    <x v="44"/>
    <n v="3104"/>
    <x v="16"/>
    <n v="4120"/>
    <x v="170"/>
    <s v="F 3A"/>
    <n v="87"/>
    <n v="8749"/>
    <x v="742"/>
    <s v="Annual"/>
    <n v="22"/>
    <n v="1"/>
    <n v="96246"/>
    <n v="2117412"/>
  </r>
  <r>
    <x v="0"/>
    <n v="59"/>
    <x v="24"/>
    <x v="0"/>
    <x v="0"/>
    <n v="1005"/>
    <x v="25"/>
    <x v="0"/>
    <x v="44"/>
    <n v="3104"/>
    <x v="16"/>
    <n v="4120"/>
    <x v="170"/>
    <s v="F 3A"/>
    <n v="87"/>
    <n v="8749"/>
    <x v="742"/>
    <s v="Annual"/>
    <n v="16"/>
    <n v="1"/>
    <n v="91662"/>
    <n v="1466592"/>
  </r>
  <r>
    <x v="0"/>
    <n v="59"/>
    <x v="24"/>
    <x v="0"/>
    <x v="0"/>
    <n v="1005"/>
    <x v="25"/>
    <x v="0"/>
    <x v="44"/>
    <n v="3104"/>
    <x v="16"/>
    <n v="4120"/>
    <x v="170"/>
    <s v="F 3A"/>
    <n v="87"/>
    <n v="8749"/>
    <x v="742"/>
    <s v="Annual"/>
    <n v="15"/>
    <n v="1"/>
    <n v="87408"/>
    <n v="1311120"/>
  </r>
  <r>
    <x v="0"/>
    <n v="59"/>
    <x v="24"/>
    <x v="0"/>
    <x v="0"/>
    <n v="1005"/>
    <x v="25"/>
    <x v="0"/>
    <x v="44"/>
    <n v="3104"/>
    <x v="16"/>
    <n v="4120"/>
    <x v="170"/>
    <s v="F 06"/>
    <n v="87"/>
    <n v="8748"/>
    <x v="766"/>
    <s v="Annual"/>
    <n v="39"/>
    <n v="1"/>
    <n v="156396"/>
    <n v="6099444"/>
  </r>
  <r>
    <x v="0"/>
    <n v="59"/>
    <x v="24"/>
    <x v="0"/>
    <x v="0"/>
    <n v="1005"/>
    <x v="25"/>
    <x v="0"/>
    <x v="44"/>
    <n v="3104"/>
    <x v="16"/>
    <n v="4120"/>
    <x v="170"/>
    <s v="F 06"/>
    <n v="87"/>
    <n v="8748"/>
    <x v="766"/>
    <s v="Annual"/>
    <n v="3"/>
    <n v="1"/>
    <n v="151860"/>
    <n v="455580"/>
  </r>
  <r>
    <x v="0"/>
    <n v="59"/>
    <x v="24"/>
    <x v="0"/>
    <x v="0"/>
    <n v="1005"/>
    <x v="25"/>
    <x v="0"/>
    <x v="44"/>
    <n v="3104"/>
    <x v="16"/>
    <n v="4120"/>
    <x v="170"/>
    <s v="F 05"/>
    <n v="87"/>
    <n v="8745"/>
    <x v="745"/>
    <s v="Annual"/>
    <n v="12"/>
    <n v="1"/>
    <n v="143076"/>
    <n v="1716912"/>
  </r>
  <r>
    <x v="0"/>
    <n v="59"/>
    <x v="24"/>
    <x v="0"/>
    <x v="0"/>
    <n v="1005"/>
    <x v="25"/>
    <x v="0"/>
    <x v="44"/>
    <n v="3104"/>
    <x v="16"/>
    <n v="4120"/>
    <x v="170"/>
    <s v="F 05"/>
    <n v="87"/>
    <n v="8745"/>
    <x v="745"/>
    <s v="Annual"/>
    <n v="34"/>
    <n v="1"/>
    <n v="138828"/>
    <n v="4720152"/>
  </r>
  <r>
    <x v="0"/>
    <n v="59"/>
    <x v="24"/>
    <x v="0"/>
    <x v="0"/>
    <n v="1005"/>
    <x v="25"/>
    <x v="0"/>
    <x v="44"/>
    <n v="3104"/>
    <x v="16"/>
    <n v="4120"/>
    <x v="170"/>
    <s v="F 05"/>
    <n v="87"/>
    <n v="8745"/>
    <x v="745"/>
    <s v="Annual"/>
    <n v="38"/>
    <n v="1"/>
    <n v="134736"/>
    <n v="5119968"/>
  </r>
  <r>
    <x v="0"/>
    <n v="59"/>
    <x v="24"/>
    <x v="0"/>
    <x v="0"/>
    <n v="1005"/>
    <x v="25"/>
    <x v="0"/>
    <x v="44"/>
    <n v="3104"/>
    <x v="16"/>
    <n v="4120"/>
    <x v="170"/>
    <s v="F 05"/>
    <n v="87"/>
    <n v="8745"/>
    <x v="745"/>
    <s v="Annual"/>
    <n v="3"/>
    <n v="1"/>
    <n v="130698"/>
    <n v="392094"/>
  </r>
  <r>
    <x v="0"/>
    <n v="59"/>
    <x v="24"/>
    <x v="0"/>
    <x v="0"/>
    <n v="1005"/>
    <x v="25"/>
    <x v="0"/>
    <x v="44"/>
    <n v="3104"/>
    <x v="16"/>
    <n v="4120"/>
    <x v="170"/>
    <s v="3 00"/>
    <n v="80"/>
    <n v="8734"/>
    <x v="767"/>
    <s v="Annual"/>
    <n v="8"/>
    <n v="1"/>
    <n v="191724"/>
    <n v="1533792"/>
  </r>
  <r>
    <x v="0"/>
    <n v="59"/>
    <x v="24"/>
    <x v="0"/>
    <x v="0"/>
    <n v="1005"/>
    <x v="25"/>
    <x v="0"/>
    <x v="44"/>
    <n v="3104"/>
    <x v="16"/>
    <n v="4120"/>
    <x v="170"/>
    <s v="1 00"/>
    <n v="0"/>
    <n v="15"/>
    <x v="37"/>
    <s v="Annual"/>
    <n v="0"/>
    <n v="0"/>
    <n v="1054349"/>
    <n v="1054349"/>
  </r>
  <r>
    <x v="0"/>
    <n v="59"/>
    <x v="24"/>
    <x v="0"/>
    <x v="0"/>
    <n v="1005"/>
    <x v="25"/>
    <x v="0"/>
    <x v="44"/>
    <n v="3104"/>
    <x v="16"/>
    <n v="4122"/>
    <x v="171"/>
    <s v="F 3A"/>
    <n v="87"/>
    <n v="8820"/>
    <x v="749"/>
    <s v="Annual"/>
    <n v="1"/>
    <n v="1"/>
    <n v="122274"/>
    <n v="122274"/>
  </r>
  <r>
    <x v="0"/>
    <n v="59"/>
    <x v="24"/>
    <x v="0"/>
    <x v="0"/>
    <n v="1005"/>
    <x v="25"/>
    <x v="0"/>
    <x v="44"/>
    <n v="3104"/>
    <x v="16"/>
    <n v="4122"/>
    <x v="171"/>
    <s v="F 3A"/>
    <n v="87"/>
    <n v="8820"/>
    <x v="749"/>
    <s v="Annual"/>
    <n v="1"/>
    <n v="1"/>
    <n v="118830"/>
    <n v="118830"/>
  </r>
  <r>
    <x v="0"/>
    <n v="59"/>
    <x v="24"/>
    <x v="0"/>
    <x v="0"/>
    <n v="1005"/>
    <x v="25"/>
    <x v="0"/>
    <x v="44"/>
    <n v="3104"/>
    <x v="16"/>
    <n v="4122"/>
    <x v="171"/>
    <s v="F 3A"/>
    <n v="87"/>
    <n v="8820"/>
    <x v="749"/>
    <s v="Annual"/>
    <n v="1"/>
    <n v="1"/>
    <n v="110766"/>
    <n v="110766"/>
  </r>
  <r>
    <x v="0"/>
    <n v="59"/>
    <x v="24"/>
    <x v="0"/>
    <x v="0"/>
    <n v="1005"/>
    <x v="25"/>
    <x v="0"/>
    <x v="44"/>
    <n v="3104"/>
    <x v="16"/>
    <n v="4122"/>
    <x v="171"/>
    <s v="F 5B"/>
    <n v="87"/>
    <n v="8817"/>
    <x v="752"/>
    <s v="Annual"/>
    <n v="5"/>
    <n v="1"/>
    <n v="151764"/>
    <n v="758820"/>
  </r>
  <r>
    <x v="0"/>
    <n v="59"/>
    <x v="24"/>
    <x v="0"/>
    <x v="0"/>
    <n v="1005"/>
    <x v="25"/>
    <x v="0"/>
    <x v="44"/>
    <n v="3104"/>
    <x v="16"/>
    <n v="4122"/>
    <x v="171"/>
    <s v="F 5B"/>
    <n v="87"/>
    <n v="8813"/>
    <x v="768"/>
    <s v="Annual"/>
    <n v="1"/>
    <n v="1"/>
    <n v="138642"/>
    <n v="138642"/>
  </r>
  <r>
    <x v="0"/>
    <n v="59"/>
    <x v="24"/>
    <x v="0"/>
    <x v="0"/>
    <n v="1005"/>
    <x v="25"/>
    <x v="0"/>
    <x v="44"/>
    <n v="3104"/>
    <x v="16"/>
    <n v="4122"/>
    <x v="171"/>
    <s v="F 4P"/>
    <n v="87"/>
    <n v="8812"/>
    <x v="753"/>
    <s v="Annual"/>
    <n v="1"/>
    <n v="1"/>
    <n v="138378"/>
    <n v="138378"/>
  </r>
  <r>
    <x v="0"/>
    <n v="59"/>
    <x v="24"/>
    <x v="0"/>
    <x v="0"/>
    <n v="1005"/>
    <x v="25"/>
    <x v="0"/>
    <x v="44"/>
    <n v="3104"/>
    <x v="16"/>
    <n v="4122"/>
    <x v="171"/>
    <s v="F 4P"/>
    <n v="87"/>
    <n v="8812"/>
    <x v="753"/>
    <s v="Annual"/>
    <n v="1"/>
    <n v="1"/>
    <n v="129834"/>
    <n v="129834"/>
  </r>
  <r>
    <x v="0"/>
    <n v="59"/>
    <x v="24"/>
    <x v="0"/>
    <x v="0"/>
    <n v="1005"/>
    <x v="25"/>
    <x v="0"/>
    <x v="44"/>
    <n v="3104"/>
    <x v="16"/>
    <n v="4122"/>
    <x v="171"/>
    <s v="F 4P"/>
    <n v="87"/>
    <n v="8812"/>
    <x v="753"/>
    <s v="Annual"/>
    <n v="1"/>
    <n v="1"/>
    <n v="125904"/>
    <n v="125904"/>
  </r>
  <r>
    <x v="0"/>
    <n v="59"/>
    <x v="24"/>
    <x v="0"/>
    <x v="0"/>
    <n v="1005"/>
    <x v="25"/>
    <x v="0"/>
    <x v="44"/>
    <n v="3104"/>
    <x v="16"/>
    <n v="4122"/>
    <x v="171"/>
    <s v="F 4B"/>
    <n v="87"/>
    <n v="8811"/>
    <x v="754"/>
    <s v="Annual"/>
    <n v="2"/>
    <n v="1"/>
    <n v="135144"/>
    <n v="270288"/>
  </r>
  <r>
    <x v="0"/>
    <n v="59"/>
    <x v="24"/>
    <x v="0"/>
    <x v="0"/>
    <n v="1005"/>
    <x v="25"/>
    <x v="0"/>
    <x v="44"/>
    <n v="3104"/>
    <x v="16"/>
    <n v="4122"/>
    <x v="171"/>
    <s v="F 4B"/>
    <n v="87"/>
    <n v="8811"/>
    <x v="754"/>
    <s v="Annual"/>
    <n v="1"/>
    <n v="1"/>
    <n v="130908"/>
    <n v="130908"/>
  </r>
  <r>
    <x v="0"/>
    <n v="59"/>
    <x v="24"/>
    <x v="0"/>
    <x v="0"/>
    <n v="1005"/>
    <x v="25"/>
    <x v="0"/>
    <x v="44"/>
    <n v="3104"/>
    <x v="16"/>
    <n v="4122"/>
    <x v="171"/>
    <s v="F 4B"/>
    <n v="87"/>
    <n v="8811"/>
    <x v="754"/>
    <s v="Annual"/>
    <n v="6"/>
    <n v="1"/>
    <n v="126840"/>
    <n v="761040"/>
  </r>
  <r>
    <x v="0"/>
    <n v="59"/>
    <x v="24"/>
    <x v="0"/>
    <x v="0"/>
    <n v="1005"/>
    <x v="25"/>
    <x v="0"/>
    <x v="44"/>
    <n v="3104"/>
    <x v="16"/>
    <n v="4122"/>
    <x v="171"/>
    <s v="F 3A"/>
    <n v="87"/>
    <n v="8807"/>
    <x v="756"/>
    <s v="Annual"/>
    <n v="1"/>
    <n v="1"/>
    <n v="118830"/>
    <n v="118830"/>
  </r>
  <r>
    <x v="0"/>
    <n v="59"/>
    <x v="24"/>
    <x v="0"/>
    <x v="0"/>
    <n v="1005"/>
    <x v="25"/>
    <x v="0"/>
    <x v="44"/>
    <n v="3104"/>
    <x v="16"/>
    <n v="4122"/>
    <x v="171"/>
    <s v="F 3A"/>
    <n v="87"/>
    <n v="8807"/>
    <x v="756"/>
    <s v="Annual"/>
    <n v="7"/>
    <n v="1"/>
    <n v="114654"/>
    <n v="802578"/>
  </r>
  <r>
    <x v="0"/>
    <n v="59"/>
    <x v="24"/>
    <x v="0"/>
    <x v="0"/>
    <n v="1005"/>
    <x v="25"/>
    <x v="0"/>
    <x v="44"/>
    <n v="3104"/>
    <x v="16"/>
    <n v="4122"/>
    <x v="171"/>
    <s v="F 3A"/>
    <n v="87"/>
    <n v="8807"/>
    <x v="756"/>
    <s v="Annual"/>
    <n v="1"/>
    <n v="1"/>
    <n v="110766"/>
    <n v="110766"/>
  </r>
  <r>
    <x v="0"/>
    <n v="59"/>
    <x v="24"/>
    <x v="0"/>
    <x v="0"/>
    <n v="1005"/>
    <x v="25"/>
    <x v="0"/>
    <x v="44"/>
    <n v="3104"/>
    <x v="16"/>
    <n v="4122"/>
    <x v="171"/>
    <s v="F 1B"/>
    <n v="87"/>
    <n v="8801"/>
    <x v="740"/>
    <s v="Annual"/>
    <n v="1"/>
    <n v="1"/>
    <n v="114570"/>
    <n v="114570"/>
  </r>
  <r>
    <x v="0"/>
    <n v="59"/>
    <x v="24"/>
    <x v="0"/>
    <x v="0"/>
    <n v="1005"/>
    <x v="25"/>
    <x v="0"/>
    <x v="44"/>
    <n v="3104"/>
    <x v="16"/>
    <n v="4122"/>
    <x v="171"/>
    <s v="F 1B"/>
    <n v="87"/>
    <n v="8801"/>
    <x v="740"/>
    <s v="Annual"/>
    <n v="3"/>
    <n v="1"/>
    <n v="110196"/>
    <n v="330588"/>
  </r>
  <r>
    <x v="0"/>
    <n v="59"/>
    <x v="24"/>
    <x v="0"/>
    <x v="0"/>
    <n v="1005"/>
    <x v="25"/>
    <x v="0"/>
    <x v="44"/>
    <n v="3104"/>
    <x v="16"/>
    <n v="4122"/>
    <x v="171"/>
    <s v="F 1B"/>
    <n v="87"/>
    <n v="8801"/>
    <x v="740"/>
    <s v="Annual"/>
    <n v="11"/>
    <n v="1"/>
    <n v="105936"/>
    <n v="1165296"/>
  </r>
  <r>
    <x v="0"/>
    <n v="59"/>
    <x v="24"/>
    <x v="0"/>
    <x v="0"/>
    <n v="1005"/>
    <x v="25"/>
    <x v="0"/>
    <x v="44"/>
    <n v="3104"/>
    <x v="16"/>
    <n v="4122"/>
    <x v="171"/>
    <s v="F 1B"/>
    <n v="87"/>
    <n v="8801"/>
    <x v="740"/>
    <s v="Annual"/>
    <n v="2"/>
    <n v="1"/>
    <n v="102372"/>
    <n v="204744"/>
  </r>
  <r>
    <x v="0"/>
    <n v="59"/>
    <x v="24"/>
    <x v="0"/>
    <x v="0"/>
    <n v="1005"/>
    <x v="25"/>
    <x v="0"/>
    <x v="44"/>
    <n v="3104"/>
    <x v="16"/>
    <n v="4122"/>
    <x v="171"/>
    <s v="F 1B"/>
    <n v="87"/>
    <n v="8801"/>
    <x v="740"/>
    <s v="Annual"/>
    <n v="54"/>
    <n v="1"/>
    <n v="98904"/>
    <n v="5340816"/>
  </r>
  <r>
    <x v="0"/>
    <n v="59"/>
    <x v="24"/>
    <x v="0"/>
    <x v="0"/>
    <n v="1005"/>
    <x v="25"/>
    <x v="0"/>
    <x v="44"/>
    <n v="3104"/>
    <x v="16"/>
    <n v="4122"/>
    <x v="171"/>
    <s v="F 1B"/>
    <n v="87"/>
    <n v="8801"/>
    <x v="740"/>
    <s v="Annual"/>
    <n v="12"/>
    <n v="1"/>
    <n v="66264"/>
    <n v="795168"/>
  </r>
  <r>
    <x v="0"/>
    <n v="59"/>
    <x v="24"/>
    <x v="0"/>
    <x v="0"/>
    <n v="1005"/>
    <x v="25"/>
    <x v="0"/>
    <x v="44"/>
    <n v="3104"/>
    <x v="16"/>
    <n v="4122"/>
    <x v="171"/>
    <s v="3 00"/>
    <n v="89"/>
    <n v="8764"/>
    <x v="758"/>
    <s v="Annual"/>
    <n v="3"/>
    <n v="1"/>
    <n v="191724"/>
    <n v="575172"/>
  </r>
  <r>
    <x v="0"/>
    <n v="59"/>
    <x v="24"/>
    <x v="0"/>
    <x v="0"/>
    <n v="1005"/>
    <x v="25"/>
    <x v="0"/>
    <x v="44"/>
    <n v="3104"/>
    <x v="16"/>
    <n v="4122"/>
    <x v="171"/>
    <s v="3 00"/>
    <n v="89"/>
    <n v="8763"/>
    <x v="731"/>
    <s v="Annual"/>
    <n v="1"/>
    <n v="1"/>
    <n v="205560"/>
    <n v="205560"/>
  </r>
  <r>
    <x v="0"/>
    <n v="59"/>
    <x v="24"/>
    <x v="0"/>
    <x v="0"/>
    <n v="1005"/>
    <x v="25"/>
    <x v="0"/>
    <x v="44"/>
    <n v="3104"/>
    <x v="16"/>
    <n v="4122"/>
    <x v="171"/>
    <s v="F 06"/>
    <n v="87"/>
    <n v="8739"/>
    <x v="759"/>
    <s v="Annual"/>
    <n v="1"/>
    <n v="1"/>
    <n v="156396"/>
    <n v="156396"/>
  </r>
  <r>
    <x v="0"/>
    <n v="59"/>
    <x v="24"/>
    <x v="0"/>
    <x v="0"/>
    <n v="1005"/>
    <x v="25"/>
    <x v="0"/>
    <x v="44"/>
    <n v="3104"/>
    <x v="16"/>
    <n v="4122"/>
    <x v="171"/>
    <s v="F 05"/>
    <n v="87"/>
    <n v="8737"/>
    <x v="665"/>
    <s v="Annual"/>
    <n v="1"/>
    <n v="1"/>
    <n v="143076"/>
    <n v="143076"/>
  </r>
  <r>
    <x v="0"/>
    <n v="59"/>
    <x v="24"/>
    <x v="0"/>
    <x v="0"/>
    <n v="1005"/>
    <x v="25"/>
    <x v="0"/>
    <x v="44"/>
    <n v="3104"/>
    <x v="16"/>
    <n v="4122"/>
    <x v="171"/>
    <s v="F 04"/>
    <n v="87"/>
    <n v="8735"/>
    <x v="662"/>
    <s v="Annual"/>
    <n v="2"/>
    <n v="1"/>
    <n v="127410"/>
    <n v="254820"/>
  </r>
  <r>
    <x v="0"/>
    <n v="59"/>
    <x v="24"/>
    <x v="0"/>
    <x v="0"/>
    <n v="1005"/>
    <x v="25"/>
    <x v="0"/>
    <x v="44"/>
    <n v="3104"/>
    <x v="16"/>
    <n v="4122"/>
    <x v="171"/>
    <s v="F 3A"/>
    <n v="87"/>
    <n v="8733"/>
    <x v="760"/>
    <s v="Annual"/>
    <n v="1"/>
    <n v="1"/>
    <n v="112020"/>
    <n v="112020"/>
  </r>
  <r>
    <x v="0"/>
    <n v="59"/>
    <x v="24"/>
    <x v="0"/>
    <x v="0"/>
    <n v="1005"/>
    <x v="25"/>
    <x v="0"/>
    <x v="44"/>
    <n v="3104"/>
    <x v="16"/>
    <n v="4122"/>
    <x v="171"/>
    <s v="F 01"/>
    <n v="87"/>
    <n v="8731"/>
    <x v="761"/>
    <s v="Annual"/>
    <n v="3"/>
    <n v="1"/>
    <n v="108036"/>
    <n v="324108"/>
  </r>
  <r>
    <x v="0"/>
    <n v="59"/>
    <x v="24"/>
    <x v="0"/>
    <x v="0"/>
    <n v="1005"/>
    <x v="25"/>
    <x v="0"/>
    <x v="44"/>
    <n v="3104"/>
    <x v="16"/>
    <n v="4122"/>
    <x v="171"/>
    <s v="F 01"/>
    <n v="87"/>
    <n v="8731"/>
    <x v="761"/>
    <s v="Annual"/>
    <n v="1"/>
    <n v="1"/>
    <n v="103914"/>
    <n v="103914"/>
  </r>
  <r>
    <x v="0"/>
    <n v="59"/>
    <x v="24"/>
    <x v="0"/>
    <x v="0"/>
    <n v="1005"/>
    <x v="25"/>
    <x v="0"/>
    <x v="44"/>
    <n v="3104"/>
    <x v="16"/>
    <n v="4122"/>
    <x v="171"/>
    <s v="F 01"/>
    <n v="87"/>
    <n v="8731"/>
    <x v="761"/>
    <s v="Annual"/>
    <n v="1"/>
    <n v="1"/>
    <n v="99876"/>
    <n v="99876"/>
  </r>
  <r>
    <x v="0"/>
    <n v="59"/>
    <x v="24"/>
    <x v="0"/>
    <x v="0"/>
    <n v="1005"/>
    <x v="25"/>
    <x v="0"/>
    <x v="44"/>
    <n v="3104"/>
    <x v="16"/>
    <n v="4122"/>
    <x v="171"/>
    <s v="F 01"/>
    <n v="87"/>
    <n v="8731"/>
    <x v="761"/>
    <s v="Annual"/>
    <n v="2"/>
    <n v="1"/>
    <n v="62466"/>
    <n v="124932"/>
  </r>
  <r>
    <x v="0"/>
    <n v="59"/>
    <x v="24"/>
    <x v="0"/>
    <x v="0"/>
    <n v="1005"/>
    <x v="25"/>
    <x v="0"/>
    <x v="44"/>
    <n v="3104"/>
    <x v="16"/>
    <n v="4122"/>
    <x v="171"/>
    <s v="F 02"/>
    <n v="87"/>
    <n v="8728"/>
    <x v="762"/>
    <s v="Annual"/>
    <n v="4"/>
    <n v="1"/>
    <n v="104814"/>
    <n v="419256"/>
  </r>
  <r>
    <x v="0"/>
    <n v="59"/>
    <x v="24"/>
    <x v="0"/>
    <x v="0"/>
    <n v="1005"/>
    <x v="25"/>
    <x v="0"/>
    <x v="44"/>
    <n v="3104"/>
    <x v="16"/>
    <n v="4122"/>
    <x v="171"/>
    <s v="F 02"/>
    <n v="87"/>
    <n v="8728"/>
    <x v="762"/>
    <s v="Annual"/>
    <n v="11"/>
    <n v="1"/>
    <n v="101262"/>
    <n v="1113882"/>
  </r>
  <r>
    <x v="0"/>
    <n v="59"/>
    <x v="24"/>
    <x v="0"/>
    <x v="0"/>
    <n v="1005"/>
    <x v="25"/>
    <x v="0"/>
    <x v="44"/>
    <n v="3104"/>
    <x v="16"/>
    <n v="4122"/>
    <x v="171"/>
    <s v="F 02"/>
    <n v="87"/>
    <n v="8728"/>
    <x v="762"/>
    <s v="Annual"/>
    <n v="1"/>
    <n v="1"/>
    <n v="96402"/>
    <n v="96402"/>
  </r>
  <r>
    <x v="0"/>
    <n v="59"/>
    <x v="24"/>
    <x v="0"/>
    <x v="0"/>
    <n v="1005"/>
    <x v="25"/>
    <x v="0"/>
    <x v="44"/>
    <n v="3104"/>
    <x v="16"/>
    <n v="4122"/>
    <x v="171"/>
    <s v="F 6B"/>
    <n v="80"/>
    <n v="8726"/>
    <x v="733"/>
    <s v="Annual"/>
    <n v="1"/>
    <n v="1"/>
    <n v="161082"/>
    <n v="161082"/>
  </r>
  <r>
    <x v="0"/>
    <n v="59"/>
    <x v="24"/>
    <x v="0"/>
    <x v="0"/>
    <n v="1005"/>
    <x v="25"/>
    <x v="0"/>
    <x v="44"/>
    <n v="3104"/>
    <x v="16"/>
    <n v="4122"/>
    <x v="171"/>
    <s v="F 6B"/>
    <n v="87"/>
    <n v="8701"/>
    <x v="764"/>
    <s v="Annual"/>
    <n v="2"/>
    <n v="1"/>
    <n v="165858"/>
    <n v="331716"/>
  </r>
  <r>
    <x v="0"/>
    <n v="59"/>
    <x v="24"/>
    <x v="0"/>
    <x v="0"/>
    <n v="1005"/>
    <x v="25"/>
    <x v="0"/>
    <x v="44"/>
    <n v="3104"/>
    <x v="16"/>
    <n v="4122"/>
    <x v="171"/>
    <s v="F 6P"/>
    <n v="87"/>
    <n v="8660"/>
    <x v="769"/>
    <s v="Annual"/>
    <n v="1"/>
    <n v="1"/>
    <n v="169830"/>
    <n v="169830"/>
  </r>
  <r>
    <x v="0"/>
    <n v="59"/>
    <x v="24"/>
    <x v="0"/>
    <x v="0"/>
    <n v="1005"/>
    <x v="25"/>
    <x v="0"/>
    <x v="44"/>
    <n v="3104"/>
    <x v="16"/>
    <n v="4122"/>
    <x v="171"/>
    <s v="2 0"/>
    <n v="21"/>
    <n v="7355"/>
    <x v="770"/>
    <s v="Monthly"/>
    <n v="4"/>
    <n v="1"/>
    <n v="10991.89"/>
    <n v="527611"/>
  </r>
  <r>
    <x v="0"/>
    <n v="59"/>
    <x v="24"/>
    <x v="0"/>
    <x v="0"/>
    <n v="1005"/>
    <x v="25"/>
    <x v="0"/>
    <x v="44"/>
    <n v="3104"/>
    <x v="16"/>
    <n v="4122"/>
    <x v="171"/>
    <s v="1 00"/>
    <n v="0"/>
    <n v="15"/>
    <x v="37"/>
    <s v="Annual"/>
    <n v="0"/>
    <n v="0"/>
    <n v="91396"/>
    <n v="91396"/>
  </r>
  <r>
    <x v="0"/>
    <n v="59"/>
    <x v="24"/>
    <x v="0"/>
    <x v="0"/>
    <n v="1005"/>
    <x v="25"/>
    <x v="0"/>
    <x v="44"/>
    <n v="3104"/>
    <x v="16"/>
    <n v="4122"/>
    <x v="171"/>
    <s v="1 00"/>
    <n v="0"/>
    <n v="12"/>
    <x v="291"/>
    <s v="Annual"/>
    <n v="0"/>
    <n v="0"/>
    <n v="7914"/>
    <n v="7914"/>
  </r>
  <r>
    <x v="0"/>
    <n v="59"/>
    <x v="24"/>
    <x v="0"/>
    <x v="0"/>
    <n v="1005"/>
    <x v="25"/>
    <x v="0"/>
    <x v="44"/>
    <n v="3104"/>
    <x v="16"/>
    <n v="4123"/>
    <x v="172"/>
    <s v="F 4P"/>
    <n v="87"/>
    <n v="8796"/>
    <x v="771"/>
    <s v="Annual"/>
    <n v="1"/>
    <n v="1"/>
    <n v="138378"/>
    <n v="138378"/>
  </r>
  <r>
    <x v="0"/>
    <n v="59"/>
    <x v="24"/>
    <x v="0"/>
    <x v="0"/>
    <n v="1005"/>
    <x v="25"/>
    <x v="0"/>
    <x v="44"/>
    <n v="3104"/>
    <x v="16"/>
    <n v="4123"/>
    <x v="172"/>
    <s v="F 4B"/>
    <n v="87"/>
    <n v="8795"/>
    <x v="772"/>
    <s v="Annual"/>
    <n v="2"/>
    <n v="1"/>
    <n v="135144"/>
    <n v="270288"/>
  </r>
  <r>
    <x v="0"/>
    <n v="59"/>
    <x v="24"/>
    <x v="0"/>
    <x v="0"/>
    <n v="1005"/>
    <x v="25"/>
    <x v="0"/>
    <x v="44"/>
    <n v="3104"/>
    <x v="16"/>
    <n v="4123"/>
    <x v="172"/>
    <s v="F 4B"/>
    <n v="87"/>
    <n v="8795"/>
    <x v="772"/>
    <s v="Annual"/>
    <n v="1"/>
    <n v="1"/>
    <n v="122976"/>
    <n v="122976"/>
  </r>
  <r>
    <x v="0"/>
    <n v="59"/>
    <x v="24"/>
    <x v="0"/>
    <x v="0"/>
    <n v="1005"/>
    <x v="25"/>
    <x v="0"/>
    <x v="44"/>
    <n v="3104"/>
    <x v="16"/>
    <n v="4123"/>
    <x v="172"/>
    <s v="F 1B"/>
    <n v="87"/>
    <n v="8794"/>
    <x v="773"/>
    <s v="Annual"/>
    <n v="8"/>
    <n v="1"/>
    <n v="114570"/>
    <n v="916560"/>
  </r>
  <r>
    <x v="0"/>
    <n v="59"/>
    <x v="24"/>
    <x v="0"/>
    <x v="0"/>
    <n v="1005"/>
    <x v="25"/>
    <x v="0"/>
    <x v="44"/>
    <n v="3104"/>
    <x v="16"/>
    <n v="4123"/>
    <x v="172"/>
    <s v="F 1B"/>
    <n v="87"/>
    <n v="8794"/>
    <x v="773"/>
    <s v="Annual"/>
    <n v="2"/>
    <n v="1"/>
    <n v="102372"/>
    <n v="204744"/>
  </r>
  <r>
    <x v="0"/>
    <n v="59"/>
    <x v="24"/>
    <x v="0"/>
    <x v="0"/>
    <n v="1005"/>
    <x v="25"/>
    <x v="0"/>
    <x v="44"/>
    <n v="3104"/>
    <x v="16"/>
    <n v="4123"/>
    <x v="172"/>
    <s v="F 1B"/>
    <n v="87"/>
    <n v="8794"/>
    <x v="773"/>
    <s v="Annual"/>
    <n v="8"/>
    <n v="1"/>
    <n v="98904"/>
    <n v="791232"/>
  </r>
  <r>
    <x v="0"/>
    <n v="59"/>
    <x v="24"/>
    <x v="0"/>
    <x v="0"/>
    <n v="1005"/>
    <x v="25"/>
    <x v="0"/>
    <x v="44"/>
    <n v="3104"/>
    <x v="16"/>
    <n v="4123"/>
    <x v="172"/>
    <s v="F 1B"/>
    <n v="87"/>
    <n v="8794"/>
    <x v="773"/>
    <s v="Annual"/>
    <n v="4"/>
    <n v="1"/>
    <n v="66264"/>
    <n v="265056"/>
  </r>
  <r>
    <x v="0"/>
    <n v="59"/>
    <x v="24"/>
    <x v="0"/>
    <x v="0"/>
    <n v="1005"/>
    <x v="25"/>
    <x v="0"/>
    <x v="44"/>
    <n v="3104"/>
    <x v="16"/>
    <n v="4123"/>
    <x v="172"/>
    <s v="F 01"/>
    <n v="87"/>
    <n v="8793"/>
    <x v="774"/>
    <s v="Annual"/>
    <n v="1"/>
    <n v="1"/>
    <n v="108036"/>
    <n v="108036"/>
  </r>
  <r>
    <x v="0"/>
    <n v="59"/>
    <x v="24"/>
    <x v="0"/>
    <x v="0"/>
    <n v="1005"/>
    <x v="25"/>
    <x v="0"/>
    <x v="44"/>
    <n v="3104"/>
    <x v="16"/>
    <n v="4123"/>
    <x v="172"/>
    <s v="F 01"/>
    <n v="87"/>
    <n v="8793"/>
    <x v="774"/>
    <s v="Annual"/>
    <n v="4"/>
    <n v="1"/>
    <n v="62466"/>
    <n v="249864"/>
  </r>
  <r>
    <x v="0"/>
    <n v="59"/>
    <x v="24"/>
    <x v="0"/>
    <x v="0"/>
    <n v="1005"/>
    <x v="25"/>
    <x v="0"/>
    <x v="44"/>
    <n v="3104"/>
    <x v="16"/>
    <n v="4123"/>
    <x v="172"/>
    <s v="3 00"/>
    <n v="80"/>
    <n v="8790"/>
    <x v="775"/>
    <s v="Annual"/>
    <n v="1"/>
    <n v="1"/>
    <n v="193656"/>
    <n v="193656"/>
  </r>
  <r>
    <x v="0"/>
    <n v="59"/>
    <x v="24"/>
    <x v="0"/>
    <x v="0"/>
    <n v="1005"/>
    <x v="25"/>
    <x v="0"/>
    <x v="44"/>
    <n v="3104"/>
    <x v="16"/>
    <n v="4123"/>
    <x v="172"/>
    <s v="F 6B"/>
    <n v="87"/>
    <n v="8787"/>
    <x v="776"/>
    <s v="Annual"/>
    <n v="1"/>
    <n v="1"/>
    <n v="165858"/>
    <n v="165858"/>
  </r>
  <r>
    <x v="0"/>
    <n v="59"/>
    <x v="24"/>
    <x v="0"/>
    <x v="0"/>
    <n v="1005"/>
    <x v="25"/>
    <x v="0"/>
    <x v="44"/>
    <n v="3104"/>
    <x v="16"/>
    <n v="4123"/>
    <x v="172"/>
    <s v="1 00"/>
    <n v="0"/>
    <n v="15"/>
    <x v="37"/>
    <s v="Annual"/>
    <n v="0"/>
    <n v="0"/>
    <n v="2457"/>
    <n v="2457"/>
  </r>
  <r>
    <x v="0"/>
    <n v="59"/>
    <x v="24"/>
    <x v="0"/>
    <x v="0"/>
    <n v="1005"/>
    <x v="25"/>
    <x v="0"/>
    <x v="44"/>
    <n v="3106"/>
    <x v="186"/>
    <n v="4121"/>
    <x v="50"/>
    <s v="GY 05"/>
    <n v="10"/>
    <n v="1388"/>
    <x v="777"/>
    <s v="Annual"/>
    <n v="1"/>
    <n v="1"/>
    <n v="86088"/>
    <n v="86088"/>
  </r>
  <r>
    <x v="0"/>
    <n v="59"/>
    <x v="24"/>
    <x v="0"/>
    <x v="0"/>
    <n v="1005"/>
    <x v="25"/>
    <x v="0"/>
    <x v="44"/>
    <n v="3106"/>
    <x v="186"/>
    <n v="4121"/>
    <x v="50"/>
    <s v="BX 17"/>
    <n v="20"/>
    <n v="1331"/>
    <x v="248"/>
    <s v="Annual"/>
    <n v="1"/>
    <n v="1"/>
    <n v="124584"/>
    <n v="124584"/>
  </r>
  <r>
    <x v="0"/>
    <n v="59"/>
    <x v="24"/>
    <x v="0"/>
    <x v="0"/>
    <n v="1005"/>
    <x v="25"/>
    <x v="0"/>
    <x v="44"/>
    <n v="3106"/>
    <x v="186"/>
    <n v="4121"/>
    <x v="50"/>
    <s v="B 12"/>
    <n v="1"/>
    <s v="03A8"/>
    <x v="88"/>
    <s v="Annual"/>
    <n v="1"/>
    <n v="1"/>
    <n v="77640"/>
    <n v="77640"/>
  </r>
  <r>
    <x v="0"/>
    <n v="59"/>
    <x v="24"/>
    <x v="0"/>
    <x v="0"/>
    <n v="1005"/>
    <x v="25"/>
    <x v="0"/>
    <x v="44"/>
    <n v="3106"/>
    <x v="186"/>
    <n v="4121"/>
    <x v="50"/>
    <s v="X 43"/>
    <n v="0"/>
    <s v="03A2"/>
    <x v="220"/>
    <s v="Annual"/>
    <n v="1"/>
    <n v="1"/>
    <n v="160680"/>
    <n v="160680"/>
  </r>
  <r>
    <x v="0"/>
    <n v="59"/>
    <x v="24"/>
    <x v="0"/>
    <x v="0"/>
    <n v="1005"/>
    <x v="25"/>
    <x v="0"/>
    <x v="44"/>
    <n v="3106"/>
    <x v="186"/>
    <n v="4121"/>
    <x v="50"/>
    <s v="1 00"/>
    <n v="0"/>
    <n v="15"/>
    <x v="37"/>
    <s v="Annual"/>
    <n v="0"/>
    <n v="0"/>
    <n v="4095"/>
    <n v="4095"/>
  </r>
  <r>
    <x v="0"/>
    <n v="59"/>
    <x v="24"/>
    <x v="0"/>
    <x v="0"/>
    <n v="1005"/>
    <x v="25"/>
    <x v="0"/>
    <x v="44"/>
    <n v="3106"/>
    <x v="186"/>
    <n v="4124"/>
    <x v="23"/>
    <s v="1 00"/>
    <n v="89"/>
    <n v="9702"/>
    <x v="746"/>
    <s v="Annual"/>
    <n v="1"/>
    <n v="1"/>
    <n v="221796"/>
    <n v="221796"/>
  </r>
  <r>
    <x v="0"/>
    <n v="59"/>
    <x v="24"/>
    <x v="0"/>
    <x v="0"/>
    <n v="1005"/>
    <x v="25"/>
    <x v="0"/>
    <x v="44"/>
    <n v="3106"/>
    <x v="186"/>
    <n v="4124"/>
    <x v="23"/>
    <s v="3 00"/>
    <n v="80"/>
    <n v="8734"/>
    <x v="767"/>
    <s v="Annual"/>
    <n v="1"/>
    <n v="1"/>
    <n v="191724"/>
    <n v="191724"/>
  </r>
  <r>
    <x v="0"/>
    <n v="59"/>
    <x v="24"/>
    <x v="0"/>
    <x v="0"/>
    <n v="1005"/>
    <x v="25"/>
    <x v="0"/>
    <x v="44"/>
    <n v="3106"/>
    <x v="186"/>
    <n v="4124"/>
    <x v="23"/>
    <s v="BX 18"/>
    <n v="10"/>
    <n v="310"/>
    <x v="135"/>
    <s v="Annual"/>
    <n v="1"/>
    <n v="1"/>
    <n v="107340"/>
    <n v="107340"/>
  </r>
  <r>
    <x v="0"/>
    <n v="59"/>
    <x v="24"/>
    <x v="0"/>
    <x v="0"/>
    <n v="1005"/>
    <x v="25"/>
    <x v="0"/>
    <x v="44"/>
    <n v="3106"/>
    <x v="186"/>
    <n v="4124"/>
    <x v="23"/>
    <s v="B 13"/>
    <n v="1"/>
    <n v="308"/>
    <x v="90"/>
    <s v="Annual"/>
    <n v="1"/>
    <n v="1"/>
    <n v="119100"/>
    <n v="119100"/>
  </r>
  <r>
    <x v="0"/>
    <n v="59"/>
    <x v="24"/>
    <x v="0"/>
    <x v="0"/>
    <n v="1005"/>
    <x v="25"/>
    <x v="0"/>
    <x v="44"/>
    <n v="3106"/>
    <x v="186"/>
    <n v="4124"/>
    <x v="23"/>
    <s v="1 00"/>
    <n v="0"/>
    <n v="15"/>
    <x v="37"/>
    <s v="Annual"/>
    <n v="0"/>
    <n v="0"/>
    <n v="3114"/>
    <n v="3114"/>
  </r>
  <r>
    <x v="0"/>
    <n v="59"/>
    <x v="24"/>
    <x v="0"/>
    <x v="0"/>
    <n v="1005"/>
    <x v="25"/>
    <x v="0"/>
    <x v="44"/>
    <n v="3106"/>
    <x v="186"/>
    <n v="4128"/>
    <x v="65"/>
    <s v="F 5B"/>
    <n v="87"/>
    <n v="8813"/>
    <x v="768"/>
    <s v="Annual"/>
    <n v="2"/>
    <n v="1"/>
    <n v="151764"/>
    <n v="303528"/>
  </r>
  <r>
    <x v="0"/>
    <n v="59"/>
    <x v="24"/>
    <x v="0"/>
    <x v="0"/>
    <n v="1005"/>
    <x v="25"/>
    <x v="0"/>
    <x v="44"/>
    <n v="3106"/>
    <x v="186"/>
    <n v="4128"/>
    <x v="65"/>
    <s v="F 5B"/>
    <n v="87"/>
    <n v="8813"/>
    <x v="768"/>
    <s v="Annual"/>
    <n v="1"/>
    <n v="1"/>
    <n v="147258"/>
    <n v="147258"/>
  </r>
  <r>
    <x v="0"/>
    <n v="59"/>
    <x v="24"/>
    <x v="0"/>
    <x v="0"/>
    <n v="1005"/>
    <x v="25"/>
    <x v="0"/>
    <x v="44"/>
    <n v="3106"/>
    <x v="186"/>
    <n v="4128"/>
    <x v="65"/>
    <s v="F 5B"/>
    <n v="87"/>
    <n v="8813"/>
    <x v="768"/>
    <s v="Annual"/>
    <n v="1"/>
    <n v="1"/>
    <n v="142926"/>
    <n v="142926"/>
  </r>
  <r>
    <x v="0"/>
    <n v="59"/>
    <x v="24"/>
    <x v="0"/>
    <x v="0"/>
    <n v="1005"/>
    <x v="25"/>
    <x v="0"/>
    <x v="44"/>
    <n v="3106"/>
    <x v="186"/>
    <n v="4128"/>
    <x v="65"/>
    <s v="3 00"/>
    <n v="89"/>
    <n v="8763"/>
    <x v="731"/>
    <s v="Annual"/>
    <n v="1"/>
    <n v="1"/>
    <n v="205560"/>
    <n v="205560"/>
  </r>
  <r>
    <x v="0"/>
    <n v="59"/>
    <x v="24"/>
    <x v="0"/>
    <x v="0"/>
    <n v="1005"/>
    <x v="25"/>
    <x v="0"/>
    <x v="44"/>
    <n v="3106"/>
    <x v="186"/>
    <n v="4128"/>
    <x v="65"/>
    <s v="3 00"/>
    <n v="80"/>
    <n v="8734"/>
    <x v="767"/>
    <s v="Annual"/>
    <n v="1"/>
    <n v="1"/>
    <n v="191724"/>
    <n v="191724"/>
  </r>
  <r>
    <x v="0"/>
    <n v="59"/>
    <x v="24"/>
    <x v="0"/>
    <x v="0"/>
    <n v="1005"/>
    <x v="25"/>
    <x v="0"/>
    <x v="44"/>
    <n v="3106"/>
    <x v="186"/>
    <n v="4128"/>
    <x v="65"/>
    <s v="1 00"/>
    <n v="0"/>
    <n v="15"/>
    <x v="37"/>
    <s v="Annual"/>
    <n v="0"/>
    <n v="0"/>
    <n v="3755"/>
    <n v="3755"/>
  </r>
  <r>
    <x v="0"/>
    <n v="59"/>
    <x v="24"/>
    <x v="0"/>
    <x v="0"/>
    <n v="1005"/>
    <x v="25"/>
    <x v="0"/>
    <x v="44"/>
    <n v="3106"/>
    <x v="186"/>
    <n v="4131"/>
    <x v="173"/>
    <s v="3 00"/>
    <n v="89"/>
    <n v="8764"/>
    <x v="758"/>
    <s v="Annual"/>
    <n v="1"/>
    <n v="1"/>
    <n v="191724"/>
    <n v="191724"/>
  </r>
  <r>
    <x v="0"/>
    <n v="59"/>
    <x v="24"/>
    <x v="0"/>
    <x v="0"/>
    <n v="1005"/>
    <x v="25"/>
    <x v="0"/>
    <x v="44"/>
    <n v="3108"/>
    <x v="136"/>
    <n v="4130"/>
    <x v="23"/>
    <s v="1 00"/>
    <n v="89"/>
    <n v="9702"/>
    <x v="746"/>
    <s v="Annual"/>
    <n v="1"/>
    <n v="1"/>
    <n v="221796"/>
    <n v="221796"/>
  </r>
  <r>
    <x v="0"/>
    <n v="59"/>
    <x v="24"/>
    <x v="0"/>
    <x v="0"/>
    <n v="1005"/>
    <x v="25"/>
    <x v="0"/>
    <x v="44"/>
    <n v="3108"/>
    <x v="136"/>
    <n v="4130"/>
    <x v="23"/>
    <s v="3 00"/>
    <n v="89"/>
    <n v="8763"/>
    <x v="731"/>
    <s v="Annual"/>
    <n v="1"/>
    <n v="1"/>
    <n v="205560"/>
    <n v="205560"/>
  </r>
  <r>
    <x v="0"/>
    <n v="59"/>
    <x v="24"/>
    <x v="0"/>
    <x v="0"/>
    <n v="1005"/>
    <x v="25"/>
    <x v="0"/>
    <x v="44"/>
    <n v="3108"/>
    <x v="136"/>
    <n v="4130"/>
    <x v="23"/>
    <s v="F 05"/>
    <n v="87"/>
    <n v="8745"/>
    <x v="745"/>
    <s v="Annual"/>
    <n v="1"/>
    <n v="1"/>
    <n v="143076"/>
    <n v="143076"/>
  </r>
  <r>
    <x v="0"/>
    <n v="59"/>
    <x v="24"/>
    <x v="0"/>
    <x v="0"/>
    <n v="1005"/>
    <x v="25"/>
    <x v="0"/>
    <x v="44"/>
    <n v="3108"/>
    <x v="136"/>
    <n v="4130"/>
    <x v="23"/>
    <s v="F 6B"/>
    <n v="87"/>
    <n v="8715"/>
    <x v="778"/>
    <s v="Annual"/>
    <n v="1"/>
    <n v="1"/>
    <n v="165858"/>
    <n v="165858"/>
  </r>
  <r>
    <x v="0"/>
    <n v="59"/>
    <x v="24"/>
    <x v="0"/>
    <x v="0"/>
    <n v="1005"/>
    <x v="25"/>
    <x v="0"/>
    <x v="44"/>
    <n v="3108"/>
    <x v="136"/>
    <n v="4130"/>
    <x v="23"/>
    <s v="B 13"/>
    <n v="1"/>
    <n v="308"/>
    <x v="90"/>
    <s v="Annual"/>
    <n v="1"/>
    <n v="1"/>
    <n v="119100"/>
    <n v="119100"/>
  </r>
  <r>
    <x v="0"/>
    <n v="59"/>
    <x v="24"/>
    <x v="0"/>
    <x v="0"/>
    <n v="1005"/>
    <x v="25"/>
    <x v="0"/>
    <x v="44"/>
    <n v="3108"/>
    <x v="136"/>
    <n v="4133"/>
    <x v="174"/>
    <s v="F 01"/>
    <n v="87"/>
    <n v="8750"/>
    <x v="741"/>
    <s v="Annual"/>
    <n v="3"/>
    <n v="1"/>
    <n v="96528"/>
    <n v="289584"/>
  </r>
  <r>
    <x v="0"/>
    <n v="59"/>
    <x v="24"/>
    <x v="0"/>
    <x v="0"/>
    <n v="1005"/>
    <x v="25"/>
    <x v="0"/>
    <x v="44"/>
    <n v="3108"/>
    <x v="136"/>
    <n v="4133"/>
    <x v="174"/>
    <s v="F 3A"/>
    <n v="87"/>
    <n v="8749"/>
    <x v="742"/>
    <s v="Annual"/>
    <n v="2"/>
    <n v="1"/>
    <n v="115308"/>
    <n v="230616"/>
  </r>
  <r>
    <x v="0"/>
    <n v="59"/>
    <x v="24"/>
    <x v="0"/>
    <x v="0"/>
    <n v="1005"/>
    <x v="25"/>
    <x v="0"/>
    <x v="44"/>
    <n v="3108"/>
    <x v="136"/>
    <n v="4133"/>
    <x v="174"/>
    <s v="F 3A"/>
    <n v="87"/>
    <n v="8749"/>
    <x v="742"/>
    <s v="Annual"/>
    <n v="1"/>
    <n v="1"/>
    <n v="112020"/>
    <n v="112020"/>
  </r>
  <r>
    <x v="0"/>
    <n v="59"/>
    <x v="24"/>
    <x v="0"/>
    <x v="0"/>
    <n v="1005"/>
    <x v="25"/>
    <x v="0"/>
    <x v="44"/>
    <n v="3108"/>
    <x v="136"/>
    <n v="4133"/>
    <x v="174"/>
    <s v="F 3A"/>
    <n v="87"/>
    <n v="8749"/>
    <x v="742"/>
    <s v="Annual"/>
    <n v="3"/>
    <n v="1"/>
    <n v="104430"/>
    <n v="313290"/>
  </r>
  <r>
    <x v="0"/>
    <n v="59"/>
    <x v="24"/>
    <x v="0"/>
    <x v="0"/>
    <n v="1005"/>
    <x v="25"/>
    <x v="0"/>
    <x v="44"/>
    <n v="3108"/>
    <x v="136"/>
    <n v="4133"/>
    <x v="174"/>
    <s v="3 00"/>
    <n v="80"/>
    <n v="8734"/>
    <x v="767"/>
    <s v="Annual"/>
    <n v="1"/>
    <n v="1"/>
    <n v="191724"/>
    <n v="191724"/>
  </r>
  <r>
    <x v="0"/>
    <n v="59"/>
    <x v="24"/>
    <x v="0"/>
    <x v="0"/>
    <n v="1005"/>
    <x v="25"/>
    <x v="0"/>
    <x v="44"/>
    <n v="3108"/>
    <x v="136"/>
    <n v="4133"/>
    <x v="174"/>
    <s v="U 09"/>
    <n v="53"/>
    <n v="6331"/>
    <x v="779"/>
    <s v="Annual"/>
    <n v="1"/>
    <n v="1"/>
    <n v="82092"/>
    <n v="82092"/>
  </r>
  <r>
    <x v="0"/>
    <n v="59"/>
    <x v="24"/>
    <x v="0"/>
    <x v="0"/>
    <n v="1005"/>
    <x v="25"/>
    <x v="0"/>
    <x v="44"/>
    <n v="3108"/>
    <x v="136"/>
    <n v="4133"/>
    <x v="174"/>
    <s v="1 00"/>
    <n v="0"/>
    <n v="15"/>
    <x v="37"/>
    <s v="Annual"/>
    <n v="0"/>
    <n v="0"/>
    <n v="2329"/>
    <n v="2329"/>
  </r>
  <r>
    <x v="0"/>
    <n v="59"/>
    <x v="24"/>
    <x v="0"/>
    <x v="0"/>
    <n v="1005"/>
    <x v="25"/>
    <x v="0"/>
    <x v="44"/>
    <n v="3108"/>
    <x v="136"/>
    <n v="4134"/>
    <x v="175"/>
    <s v="F 3A"/>
    <n v="87"/>
    <n v="8819"/>
    <x v="750"/>
    <s v="Annual"/>
    <n v="1"/>
    <n v="1"/>
    <n v="125202"/>
    <n v="125202"/>
  </r>
  <r>
    <x v="0"/>
    <n v="59"/>
    <x v="24"/>
    <x v="0"/>
    <x v="0"/>
    <n v="1005"/>
    <x v="25"/>
    <x v="0"/>
    <x v="44"/>
    <n v="3108"/>
    <x v="136"/>
    <n v="4134"/>
    <x v="175"/>
    <s v="F 5B"/>
    <n v="87"/>
    <n v="8817"/>
    <x v="752"/>
    <s v="Annual"/>
    <n v="1"/>
    <n v="1"/>
    <n v="151764"/>
    <n v="151764"/>
  </r>
  <r>
    <x v="0"/>
    <n v="59"/>
    <x v="24"/>
    <x v="0"/>
    <x v="0"/>
    <n v="1005"/>
    <x v="25"/>
    <x v="0"/>
    <x v="44"/>
    <n v="3108"/>
    <x v="136"/>
    <n v="4134"/>
    <x v="175"/>
    <s v="F 4P"/>
    <n v="87"/>
    <n v="8812"/>
    <x v="753"/>
    <s v="Annual"/>
    <n v="2"/>
    <n v="1"/>
    <n v="138378"/>
    <n v="276756"/>
  </r>
  <r>
    <x v="0"/>
    <n v="59"/>
    <x v="24"/>
    <x v="0"/>
    <x v="0"/>
    <n v="1005"/>
    <x v="25"/>
    <x v="0"/>
    <x v="44"/>
    <n v="3108"/>
    <x v="136"/>
    <n v="4134"/>
    <x v="175"/>
    <s v="F 4P"/>
    <n v="87"/>
    <n v="8812"/>
    <x v="753"/>
    <s v="Annual"/>
    <n v="1"/>
    <n v="1"/>
    <n v="134028"/>
    <n v="134028"/>
  </r>
  <r>
    <x v="0"/>
    <n v="59"/>
    <x v="24"/>
    <x v="0"/>
    <x v="0"/>
    <n v="1005"/>
    <x v="25"/>
    <x v="0"/>
    <x v="44"/>
    <n v="3108"/>
    <x v="136"/>
    <n v="4134"/>
    <x v="175"/>
    <s v="F 3A"/>
    <n v="87"/>
    <n v="8807"/>
    <x v="756"/>
    <s v="Annual"/>
    <n v="1"/>
    <n v="1"/>
    <n v="118830"/>
    <n v="118830"/>
  </r>
  <r>
    <x v="0"/>
    <n v="59"/>
    <x v="24"/>
    <x v="0"/>
    <x v="0"/>
    <n v="1005"/>
    <x v="25"/>
    <x v="0"/>
    <x v="44"/>
    <n v="3108"/>
    <x v="136"/>
    <n v="4134"/>
    <x v="175"/>
    <s v="F 3A"/>
    <n v="87"/>
    <n v="8807"/>
    <x v="756"/>
    <s v="Annual"/>
    <n v="1"/>
    <n v="1"/>
    <n v="114654"/>
    <n v="114654"/>
  </r>
  <r>
    <x v="0"/>
    <n v="59"/>
    <x v="24"/>
    <x v="0"/>
    <x v="0"/>
    <n v="1005"/>
    <x v="25"/>
    <x v="0"/>
    <x v="44"/>
    <n v="3108"/>
    <x v="136"/>
    <n v="4134"/>
    <x v="175"/>
    <s v="F 1B"/>
    <n v="87"/>
    <n v="8801"/>
    <x v="740"/>
    <s v="Annual"/>
    <n v="1"/>
    <n v="1"/>
    <n v="114570"/>
    <n v="114570"/>
  </r>
  <r>
    <x v="0"/>
    <n v="59"/>
    <x v="24"/>
    <x v="0"/>
    <x v="0"/>
    <n v="1005"/>
    <x v="25"/>
    <x v="0"/>
    <x v="44"/>
    <n v="3108"/>
    <x v="136"/>
    <n v="4134"/>
    <x v="175"/>
    <s v="F 1B"/>
    <n v="87"/>
    <n v="8801"/>
    <x v="740"/>
    <s v="Annual"/>
    <n v="8"/>
    <n v="1"/>
    <n v="110196"/>
    <n v="881568"/>
  </r>
  <r>
    <x v="0"/>
    <n v="59"/>
    <x v="24"/>
    <x v="0"/>
    <x v="0"/>
    <n v="1005"/>
    <x v="25"/>
    <x v="0"/>
    <x v="44"/>
    <n v="3108"/>
    <x v="136"/>
    <n v="4134"/>
    <x v="175"/>
    <s v="F 1B"/>
    <n v="87"/>
    <n v="8801"/>
    <x v="740"/>
    <s v="Annual"/>
    <n v="3"/>
    <n v="1"/>
    <n v="105936"/>
    <n v="317808"/>
  </r>
  <r>
    <x v="0"/>
    <n v="59"/>
    <x v="24"/>
    <x v="0"/>
    <x v="0"/>
    <n v="1005"/>
    <x v="25"/>
    <x v="0"/>
    <x v="44"/>
    <n v="3108"/>
    <x v="136"/>
    <n v="4134"/>
    <x v="175"/>
    <s v="F 1B"/>
    <n v="87"/>
    <n v="8801"/>
    <x v="740"/>
    <s v="Annual"/>
    <n v="1"/>
    <n v="1"/>
    <n v="102372"/>
    <n v="102372"/>
  </r>
  <r>
    <x v="0"/>
    <n v="59"/>
    <x v="24"/>
    <x v="0"/>
    <x v="0"/>
    <n v="1005"/>
    <x v="25"/>
    <x v="0"/>
    <x v="44"/>
    <n v="3108"/>
    <x v="136"/>
    <n v="4134"/>
    <x v="175"/>
    <s v="F 1B"/>
    <n v="87"/>
    <n v="8801"/>
    <x v="740"/>
    <s v="Annual"/>
    <n v="4"/>
    <n v="1"/>
    <n v="66264"/>
    <n v="265056"/>
  </r>
  <r>
    <x v="0"/>
    <n v="59"/>
    <x v="24"/>
    <x v="0"/>
    <x v="0"/>
    <n v="1005"/>
    <x v="25"/>
    <x v="0"/>
    <x v="44"/>
    <n v="3108"/>
    <x v="136"/>
    <n v="4134"/>
    <x v="175"/>
    <s v="3 00"/>
    <n v="80"/>
    <n v="8784"/>
    <x v="780"/>
    <s v="Annual"/>
    <n v="1"/>
    <n v="1"/>
    <n v="193656"/>
    <n v="193656"/>
  </r>
  <r>
    <x v="0"/>
    <n v="59"/>
    <x v="24"/>
    <x v="0"/>
    <x v="0"/>
    <n v="1005"/>
    <x v="25"/>
    <x v="0"/>
    <x v="44"/>
    <n v="3108"/>
    <x v="136"/>
    <n v="4134"/>
    <x v="175"/>
    <s v="F 3A"/>
    <n v="87"/>
    <n v="8733"/>
    <x v="760"/>
    <s v="Annual"/>
    <n v="1"/>
    <n v="1"/>
    <n v="112020"/>
    <n v="112020"/>
  </r>
  <r>
    <x v="0"/>
    <n v="59"/>
    <x v="24"/>
    <x v="0"/>
    <x v="0"/>
    <n v="1005"/>
    <x v="25"/>
    <x v="0"/>
    <x v="44"/>
    <n v="3108"/>
    <x v="136"/>
    <n v="4134"/>
    <x v="175"/>
    <s v="F 01"/>
    <n v="87"/>
    <n v="8731"/>
    <x v="761"/>
    <s v="Annual"/>
    <n v="2"/>
    <n v="1"/>
    <n v="108036"/>
    <n v="216072"/>
  </r>
  <r>
    <x v="0"/>
    <n v="59"/>
    <x v="24"/>
    <x v="0"/>
    <x v="0"/>
    <n v="1005"/>
    <x v="25"/>
    <x v="0"/>
    <x v="44"/>
    <n v="3108"/>
    <x v="136"/>
    <n v="4134"/>
    <x v="175"/>
    <s v="F 01"/>
    <n v="87"/>
    <n v="8731"/>
    <x v="761"/>
    <s v="Annual"/>
    <n v="5"/>
    <n v="1"/>
    <n v="103914"/>
    <n v="519570"/>
  </r>
  <r>
    <x v="0"/>
    <n v="59"/>
    <x v="24"/>
    <x v="0"/>
    <x v="0"/>
    <n v="1005"/>
    <x v="25"/>
    <x v="0"/>
    <x v="44"/>
    <n v="3108"/>
    <x v="136"/>
    <n v="4134"/>
    <x v="175"/>
    <s v="F 01"/>
    <n v="87"/>
    <n v="8731"/>
    <x v="761"/>
    <s v="Annual"/>
    <n v="1"/>
    <n v="1"/>
    <n v="99876"/>
    <n v="99876"/>
  </r>
  <r>
    <x v="0"/>
    <n v="59"/>
    <x v="24"/>
    <x v="0"/>
    <x v="0"/>
    <n v="1005"/>
    <x v="25"/>
    <x v="0"/>
    <x v="44"/>
    <n v="3108"/>
    <x v="136"/>
    <n v="4134"/>
    <x v="175"/>
    <s v="R 15"/>
    <n v="36"/>
    <n v="6733"/>
    <x v="781"/>
    <s v="Annual"/>
    <n v="1"/>
    <n v="1"/>
    <n v="143352"/>
    <n v="143352"/>
  </r>
  <r>
    <x v="0"/>
    <n v="59"/>
    <x v="24"/>
    <x v="0"/>
    <x v="0"/>
    <n v="1005"/>
    <x v="25"/>
    <x v="0"/>
    <x v="44"/>
    <n v="3108"/>
    <x v="136"/>
    <n v="4134"/>
    <x v="175"/>
    <s v="R 14"/>
    <n v="36"/>
    <n v="6732"/>
    <x v="782"/>
    <s v="Annual"/>
    <n v="3"/>
    <n v="1"/>
    <n v="130620"/>
    <n v="391860"/>
  </r>
  <r>
    <x v="0"/>
    <n v="59"/>
    <x v="24"/>
    <x v="0"/>
    <x v="0"/>
    <n v="1005"/>
    <x v="25"/>
    <x v="0"/>
    <x v="44"/>
    <n v="3108"/>
    <x v="136"/>
    <n v="4134"/>
    <x v="175"/>
    <s v="R 14"/>
    <n v="36"/>
    <n v="6732"/>
    <x v="782"/>
    <s v="Annual"/>
    <n v="1"/>
    <n v="1"/>
    <n v="89232"/>
    <n v="89232"/>
  </r>
  <r>
    <x v="0"/>
    <n v="59"/>
    <x v="24"/>
    <x v="0"/>
    <x v="0"/>
    <n v="1005"/>
    <x v="25"/>
    <x v="0"/>
    <x v="44"/>
    <n v="3108"/>
    <x v="136"/>
    <n v="4134"/>
    <x v="175"/>
    <s v="R 14"/>
    <n v="36"/>
    <n v="6732"/>
    <x v="782"/>
    <s v="Annual"/>
    <n v="1"/>
    <n v="1"/>
    <n v="81276"/>
    <n v="81276"/>
  </r>
  <r>
    <x v="0"/>
    <n v="59"/>
    <x v="24"/>
    <x v="0"/>
    <x v="0"/>
    <n v="1005"/>
    <x v="25"/>
    <x v="0"/>
    <x v="44"/>
    <n v="3108"/>
    <x v="136"/>
    <n v="4134"/>
    <x v="175"/>
    <s v="1 00"/>
    <n v="0"/>
    <n v="15"/>
    <x v="37"/>
    <s v="Annual"/>
    <n v="0"/>
    <n v="0"/>
    <n v="14861"/>
    <n v="14861"/>
  </r>
  <r>
    <x v="0"/>
    <n v="59"/>
    <x v="24"/>
    <x v="0"/>
    <x v="0"/>
    <n v="1005"/>
    <x v="25"/>
    <x v="0"/>
    <x v="44"/>
    <n v="3112"/>
    <x v="190"/>
    <n v="4144"/>
    <x v="23"/>
    <s v="1 00"/>
    <n v="89"/>
    <n v="9702"/>
    <x v="746"/>
    <s v="Annual"/>
    <n v="1"/>
    <n v="1"/>
    <n v="221796"/>
    <n v="221796"/>
  </r>
  <r>
    <x v="0"/>
    <n v="59"/>
    <x v="24"/>
    <x v="0"/>
    <x v="0"/>
    <n v="1005"/>
    <x v="25"/>
    <x v="0"/>
    <x v="44"/>
    <n v="3112"/>
    <x v="190"/>
    <n v="4144"/>
    <x v="23"/>
    <s v="X 42"/>
    <n v="0"/>
    <n v="9681"/>
    <x v="81"/>
    <s v="Annual"/>
    <n v="1"/>
    <n v="1"/>
    <n v="192852"/>
    <n v="192852"/>
  </r>
  <r>
    <x v="0"/>
    <n v="59"/>
    <x v="24"/>
    <x v="0"/>
    <x v="0"/>
    <n v="1005"/>
    <x v="25"/>
    <x v="0"/>
    <x v="44"/>
    <n v="3112"/>
    <x v="190"/>
    <n v="4144"/>
    <x v="23"/>
    <s v="G 08"/>
    <n v="4"/>
    <n v="8877"/>
    <x v="783"/>
    <s v="Annual"/>
    <n v="1"/>
    <n v="1"/>
    <n v="141564"/>
    <n v="141564"/>
  </r>
  <r>
    <x v="0"/>
    <n v="59"/>
    <x v="24"/>
    <x v="0"/>
    <x v="0"/>
    <n v="1005"/>
    <x v="25"/>
    <x v="0"/>
    <x v="44"/>
    <n v="3112"/>
    <x v="190"/>
    <n v="4144"/>
    <x v="23"/>
    <s v="G 06"/>
    <n v="4"/>
    <n v="8875"/>
    <x v="784"/>
    <s v="Annual"/>
    <n v="3"/>
    <n v="1"/>
    <n v="92940"/>
    <n v="278820"/>
  </r>
  <r>
    <x v="0"/>
    <n v="59"/>
    <x v="24"/>
    <x v="0"/>
    <x v="0"/>
    <n v="1005"/>
    <x v="25"/>
    <x v="0"/>
    <x v="44"/>
    <n v="3112"/>
    <x v="190"/>
    <n v="4144"/>
    <x v="23"/>
    <s v="F 06"/>
    <n v="80"/>
    <n v="8725"/>
    <x v="647"/>
    <s v="Annual"/>
    <n v="1"/>
    <n v="1"/>
    <n v="156396"/>
    <n v="156396"/>
  </r>
  <r>
    <x v="0"/>
    <n v="59"/>
    <x v="24"/>
    <x v="0"/>
    <x v="0"/>
    <n v="1005"/>
    <x v="25"/>
    <x v="0"/>
    <x v="44"/>
    <n v="3112"/>
    <x v="190"/>
    <n v="4144"/>
    <x v="23"/>
    <s v="B 12"/>
    <n v="1"/>
    <s v="03A8"/>
    <x v="88"/>
    <s v="Annual"/>
    <n v="2"/>
    <n v="1"/>
    <n v="108576"/>
    <n v="217152"/>
  </r>
  <r>
    <x v="0"/>
    <n v="59"/>
    <x v="24"/>
    <x v="0"/>
    <x v="0"/>
    <n v="1005"/>
    <x v="25"/>
    <x v="0"/>
    <x v="44"/>
    <n v="3112"/>
    <x v="190"/>
    <n v="4144"/>
    <x v="23"/>
    <s v="B 13"/>
    <n v="1"/>
    <n v="308"/>
    <x v="90"/>
    <s v="Annual"/>
    <n v="1"/>
    <n v="1"/>
    <n v="113628"/>
    <n v="113628"/>
  </r>
  <r>
    <x v="0"/>
    <n v="59"/>
    <x v="24"/>
    <x v="0"/>
    <x v="0"/>
    <n v="1005"/>
    <x v="25"/>
    <x v="0"/>
    <x v="44"/>
    <n v="3112"/>
    <x v="190"/>
    <n v="4144"/>
    <x v="23"/>
    <s v="1 00"/>
    <n v="0"/>
    <n v="15"/>
    <x v="37"/>
    <s v="Annual"/>
    <n v="0"/>
    <n v="0"/>
    <n v="12036"/>
    <n v="12036"/>
  </r>
  <r>
    <x v="0"/>
    <n v="59"/>
    <x v="24"/>
    <x v="0"/>
    <x v="0"/>
    <n v="1005"/>
    <x v="25"/>
    <x v="0"/>
    <x v="44"/>
    <n v="3112"/>
    <x v="190"/>
    <n v="4146"/>
    <x v="176"/>
    <s v="F 3A"/>
    <n v="87"/>
    <n v="8819"/>
    <x v="750"/>
    <s v="Annual"/>
    <n v="1"/>
    <n v="1"/>
    <n v="125202"/>
    <n v="125202"/>
  </r>
  <r>
    <x v="0"/>
    <n v="59"/>
    <x v="24"/>
    <x v="0"/>
    <x v="0"/>
    <n v="1005"/>
    <x v="25"/>
    <x v="0"/>
    <x v="44"/>
    <n v="3112"/>
    <x v="190"/>
    <n v="4146"/>
    <x v="176"/>
    <s v="F 5B"/>
    <n v="87"/>
    <n v="8817"/>
    <x v="752"/>
    <s v="Annual"/>
    <n v="5"/>
    <n v="1"/>
    <n v="151764"/>
    <n v="758820"/>
  </r>
  <r>
    <x v="0"/>
    <n v="59"/>
    <x v="24"/>
    <x v="0"/>
    <x v="0"/>
    <n v="1005"/>
    <x v="25"/>
    <x v="0"/>
    <x v="44"/>
    <n v="3112"/>
    <x v="190"/>
    <n v="4146"/>
    <x v="176"/>
    <s v="F 5B"/>
    <n v="87"/>
    <n v="8817"/>
    <x v="752"/>
    <s v="Annual"/>
    <n v="1"/>
    <n v="1"/>
    <n v="147258"/>
    <n v="147258"/>
  </r>
  <r>
    <x v="0"/>
    <n v="59"/>
    <x v="24"/>
    <x v="0"/>
    <x v="0"/>
    <n v="1005"/>
    <x v="25"/>
    <x v="0"/>
    <x v="44"/>
    <n v="3112"/>
    <x v="190"/>
    <n v="4146"/>
    <x v="176"/>
    <s v="F 4P"/>
    <n v="87"/>
    <n v="8812"/>
    <x v="753"/>
    <s v="Annual"/>
    <n v="2"/>
    <n v="1"/>
    <n v="138378"/>
    <n v="276756"/>
  </r>
  <r>
    <x v="0"/>
    <n v="59"/>
    <x v="24"/>
    <x v="0"/>
    <x v="0"/>
    <n v="1005"/>
    <x v="25"/>
    <x v="0"/>
    <x v="44"/>
    <n v="3112"/>
    <x v="190"/>
    <n v="4146"/>
    <x v="176"/>
    <s v="F 4P"/>
    <n v="87"/>
    <n v="8812"/>
    <x v="753"/>
    <s v="Annual"/>
    <n v="2"/>
    <n v="1"/>
    <n v="134028"/>
    <n v="268056"/>
  </r>
  <r>
    <x v="0"/>
    <n v="59"/>
    <x v="24"/>
    <x v="0"/>
    <x v="0"/>
    <n v="1005"/>
    <x v="25"/>
    <x v="0"/>
    <x v="44"/>
    <n v="3112"/>
    <x v="190"/>
    <n v="4146"/>
    <x v="176"/>
    <s v="F 4P"/>
    <n v="87"/>
    <n v="8812"/>
    <x v="753"/>
    <s v="Annual"/>
    <n v="1"/>
    <n v="1"/>
    <n v="125904"/>
    <n v="125904"/>
  </r>
  <r>
    <x v="0"/>
    <n v="59"/>
    <x v="24"/>
    <x v="0"/>
    <x v="0"/>
    <n v="1005"/>
    <x v="25"/>
    <x v="0"/>
    <x v="44"/>
    <n v="3112"/>
    <x v="190"/>
    <n v="4146"/>
    <x v="176"/>
    <s v="F 4B"/>
    <n v="87"/>
    <n v="8811"/>
    <x v="754"/>
    <s v="Annual"/>
    <n v="12"/>
    <n v="1"/>
    <n v="135144"/>
    <n v="1621728"/>
  </r>
  <r>
    <x v="0"/>
    <n v="59"/>
    <x v="24"/>
    <x v="0"/>
    <x v="0"/>
    <n v="1005"/>
    <x v="25"/>
    <x v="0"/>
    <x v="44"/>
    <n v="3112"/>
    <x v="190"/>
    <n v="4146"/>
    <x v="176"/>
    <s v="F 4B"/>
    <n v="87"/>
    <n v="8811"/>
    <x v="754"/>
    <s v="Annual"/>
    <n v="5"/>
    <n v="1"/>
    <n v="130908"/>
    <n v="654540"/>
  </r>
  <r>
    <x v="0"/>
    <n v="59"/>
    <x v="24"/>
    <x v="0"/>
    <x v="0"/>
    <n v="1005"/>
    <x v="25"/>
    <x v="0"/>
    <x v="44"/>
    <n v="3112"/>
    <x v="190"/>
    <n v="4146"/>
    <x v="176"/>
    <s v="F 4B"/>
    <n v="87"/>
    <n v="8811"/>
    <x v="754"/>
    <s v="Annual"/>
    <n v="7"/>
    <n v="1"/>
    <n v="126840"/>
    <n v="887880"/>
  </r>
  <r>
    <x v="0"/>
    <n v="59"/>
    <x v="24"/>
    <x v="0"/>
    <x v="0"/>
    <n v="1005"/>
    <x v="25"/>
    <x v="0"/>
    <x v="44"/>
    <n v="3112"/>
    <x v="190"/>
    <n v="4146"/>
    <x v="176"/>
    <s v="F 4B"/>
    <n v="87"/>
    <n v="8811"/>
    <x v="754"/>
    <s v="Annual"/>
    <n v="7"/>
    <n v="1"/>
    <n v="122976"/>
    <n v="860832"/>
  </r>
  <r>
    <x v="0"/>
    <n v="59"/>
    <x v="24"/>
    <x v="0"/>
    <x v="0"/>
    <n v="1005"/>
    <x v="25"/>
    <x v="0"/>
    <x v="44"/>
    <n v="3112"/>
    <x v="190"/>
    <n v="4146"/>
    <x v="176"/>
    <s v="F 3A"/>
    <n v="87"/>
    <n v="8807"/>
    <x v="756"/>
    <s v="Annual"/>
    <n v="1"/>
    <n v="1"/>
    <n v="118830"/>
    <n v="118830"/>
  </r>
  <r>
    <x v="0"/>
    <n v="59"/>
    <x v="24"/>
    <x v="0"/>
    <x v="0"/>
    <n v="1005"/>
    <x v="25"/>
    <x v="0"/>
    <x v="44"/>
    <n v="3112"/>
    <x v="190"/>
    <n v="4146"/>
    <x v="176"/>
    <s v="F 3A"/>
    <n v="87"/>
    <n v="8807"/>
    <x v="756"/>
    <s v="Annual"/>
    <n v="1"/>
    <n v="1"/>
    <n v="114654"/>
    <n v="114654"/>
  </r>
  <r>
    <x v="0"/>
    <n v="59"/>
    <x v="24"/>
    <x v="0"/>
    <x v="0"/>
    <n v="1005"/>
    <x v="25"/>
    <x v="0"/>
    <x v="44"/>
    <n v="3112"/>
    <x v="190"/>
    <n v="4146"/>
    <x v="176"/>
    <s v="F 01"/>
    <n v="87"/>
    <n v="8802"/>
    <x v="757"/>
    <s v="Annual"/>
    <n v="1"/>
    <n v="1"/>
    <n v="88770"/>
    <n v="88770"/>
  </r>
  <r>
    <x v="0"/>
    <n v="59"/>
    <x v="24"/>
    <x v="0"/>
    <x v="0"/>
    <n v="1005"/>
    <x v="25"/>
    <x v="0"/>
    <x v="44"/>
    <n v="3112"/>
    <x v="190"/>
    <n v="4146"/>
    <x v="176"/>
    <s v="F 01"/>
    <n v="87"/>
    <n v="8802"/>
    <x v="757"/>
    <s v="Annual"/>
    <n v="1"/>
    <n v="1"/>
    <n v="84612"/>
    <n v="84612"/>
  </r>
  <r>
    <x v="0"/>
    <n v="59"/>
    <x v="24"/>
    <x v="0"/>
    <x v="0"/>
    <n v="1005"/>
    <x v="25"/>
    <x v="0"/>
    <x v="44"/>
    <n v="3112"/>
    <x v="190"/>
    <n v="4146"/>
    <x v="176"/>
    <s v="F 1B"/>
    <n v="87"/>
    <n v="8801"/>
    <x v="740"/>
    <s v="Annual"/>
    <n v="2"/>
    <n v="1"/>
    <n v="114570"/>
    <n v="229140"/>
  </r>
  <r>
    <x v="0"/>
    <n v="59"/>
    <x v="24"/>
    <x v="0"/>
    <x v="0"/>
    <n v="1005"/>
    <x v="25"/>
    <x v="0"/>
    <x v="44"/>
    <n v="3112"/>
    <x v="190"/>
    <n v="4146"/>
    <x v="176"/>
    <s v="F 1B"/>
    <n v="87"/>
    <n v="8801"/>
    <x v="740"/>
    <s v="Annual"/>
    <n v="6"/>
    <n v="1"/>
    <n v="110196"/>
    <n v="661176"/>
  </r>
  <r>
    <x v="0"/>
    <n v="59"/>
    <x v="24"/>
    <x v="0"/>
    <x v="0"/>
    <n v="1005"/>
    <x v="25"/>
    <x v="0"/>
    <x v="44"/>
    <n v="3112"/>
    <x v="190"/>
    <n v="4146"/>
    <x v="176"/>
    <s v="F 1B"/>
    <n v="87"/>
    <n v="8801"/>
    <x v="740"/>
    <s v="Annual"/>
    <n v="5"/>
    <n v="1"/>
    <n v="105936"/>
    <n v="529680"/>
  </r>
  <r>
    <x v="0"/>
    <n v="59"/>
    <x v="24"/>
    <x v="0"/>
    <x v="0"/>
    <n v="1005"/>
    <x v="25"/>
    <x v="0"/>
    <x v="44"/>
    <n v="3112"/>
    <x v="190"/>
    <n v="4146"/>
    <x v="176"/>
    <s v="F 1B"/>
    <n v="87"/>
    <n v="8801"/>
    <x v="740"/>
    <s v="Annual"/>
    <n v="1"/>
    <n v="1"/>
    <n v="102372"/>
    <n v="102372"/>
  </r>
  <r>
    <x v="0"/>
    <n v="59"/>
    <x v="24"/>
    <x v="0"/>
    <x v="0"/>
    <n v="1005"/>
    <x v="25"/>
    <x v="0"/>
    <x v="44"/>
    <n v="3112"/>
    <x v="190"/>
    <n v="4146"/>
    <x v="176"/>
    <s v="F 1B"/>
    <n v="87"/>
    <n v="8801"/>
    <x v="740"/>
    <s v="Annual"/>
    <n v="3"/>
    <n v="1"/>
    <n v="98904"/>
    <n v="296712"/>
  </r>
  <r>
    <x v="0"/>
    <n v="59"/>
    <x v="24"/>
    <x v="0"/>
    <x v="0"/>
    <n v="1005"/>
    <x v="25"/>
    <x v="0"/>
    <x v="44"/>
    <n v="3112"/>
    <x v="190"/>
    <n v="4146"/>
    <x v="176"/>
    <s v="F 04"/>
    <n v="87"/>
    <n v="8735"/>
    <x v="662"/>
    <s v="Annual"/>
    <n v="3"/>
    <n v="1"/>
    <n v="127410"/>
    <n v="382230"/>
  </r>
  <r>
    <x v="0"/>
    <n v="59"/>
    <x v="24"/>
    <x v="0"/>
    <x v="0"/>
    <n v="1005"/>
    <x v="25"/>
    <x v="0"/>
    <x v="44"/>
    <n v="3112"/>
    <x v="190"/>
    <n v="4146"/>
    <x v="176"/>
    <s v="F 04"/>
    <n v="87"/>
    <n v="8735"/>
    <x v="662"/>
    <s v="Annual"/>
    <n v="1"/>
    <n v="1"/>
    <n v="115938"/>
    <n v="115938"/>
  </r>
  <r>
    <x v="0"/>
    <n v="59"/>
    <x v="24"/>
    <x v="0"/>
    <x v="0"/>
    <n v="1005"/>
    <x v="25"/>
    <x v="0"/>
    <x v="44"/>
    <n v="3112"/>
    <x v="190"/>
    <n v="4146"/>
    <x v="176"/>
    <s v="F 01"/>
    <n v="87"/>
    <n v="8731"/>
    <x v="761"/>
    <s v="Annual"/>
    <n v="2"/>
    <n v="1"/>
    <n v="103914"/>
    <n v="207828"/>
  </r>
  <r>
    <x v="0"/>
    <n v="59"/>
    <x v="24"/>
    <x v="0"/>
    <x v="0"/>
    <n v="1005"/>
    <x v="25"/>
    <x v="0"/>
    <x v="44"/>
    <n v="3112"/>
    <x v="190"/>
    <n v="4146"/>
    <x v="176"/>
    <s v="F 01"/>
    <n v="87"/>
    <n v="8731"/>
    <x v="761"/>
    <s v="Annual"/>
    <n v="1"/>
    <n v="1"/>
    <n v="99876"/>
    <n v="99876"/>
  </r>
  <r>
    <x v="0"/>
    <n v="59"/>
    <x v="24"/>
    <x v="0"/>
    <x v="0"/>
    <n v="1005"/>
    <x v="25"/>
    <x v="0"/>
    <x v="44"/>
    <n v="3112"/>
    <x v="190"/>
    <n v="4146"/>
    <x v="176"/>
    <s v="F 01"/>
    <n v="87"/>
    <n v="8731"/>
    <x v="761"/>
    <s v="Annual"/>
    <n v="1"/>
    <n v="1"/>
    <n v="96528"/>
    <n v="96528"/>
  </r>
  <r>
    <x v="0"/>
    <n v="59"/>
    <x v="24"/>
    <x v="0"/>
    <x v="0"/>
    <n v="1005"/>
    <x v="25"/>
    <x v="0"/>
    <x v="44"/>
    <n v="3112"/>
    <x v="190"/>
    <n v="4146"/>
    <x v="176"/>
    <s v="F 02"/>
    <n v="87"/>
    <n v="8728"/>
    <x v="762"/>
    <s v="Annual"/>
    <n v="2"/>
    <n v="1"/>
    <n v="101262"/>
    <n v="202524"/>
  </r>
  <r>
    <x v="0"/>
    <n v="59"/>
    <x v="24"/>
    <x v="0"/>
    <x v="0"/>
    <n v="1005"/>
    <x v="25"/>
    <x v="0"/>
    <x v="44"/>
    <n v="3112"/>
    <x v="190"/>
    <n v="4146"/>
    <x v="176"/>
    <s v="F 6B"/>
    <n v="87"/>
    <n v="8701"/>
    <x v="764"/>
    <s v="Annual"/>
    <n v="1"/>
    <n v="1"/>
    <n v="165858"/>
    <n v="165858"/>
  </r>
  <r>
    <x v="0"/>
    <n v="59"/>
    <x v="24"/>
    <x v="0"/>
    <x v="0"/>
    <n v="1005"/>
    <x v="25"/>
    <x v="0"/>
    <x v="44"/>
    <n v="3112"/>
    <x v="190"/>
    <n v="4146"/>
    <x v="176"/>
    <s v="1 00"/>
    <n v="0"/>
    <n v="15"/>
    <x v="37"/>
    <s v="Annual"/>
    <n v="0"/>
    <n v="0"/>
    <n v="38235"/>
    <n v="38235"/>
  </r>
  <r>
    <x v="0"/>
    <n v="60"/>
    <x v="25"/>
    <x v="0"/>
    <x v="0"/>
    <n v="1005"/>
    <x v="26"/>
    <x v="0"/>
    <x v="45"/>
    <n v="3005"/>
    <x v="22"/>
    <n v="0"/>
    <x v="0"/>
    <s v="1 00"/>
    <n v="9"/>
    <s v="99A0"/>
    <x v="785"/>
    <s v="Annual"/>
    <n v="1"/>
    <n v="1"/>
    <n v="203532"/>
    <n v="203532"/>
  </r>
  <r>
    <x v="0"/>
    <n v="60"/>
    <x v="25"/>
    <x v="0"/>
    <x v="0"/>
    <n v="1005"/>
    <x v="26"/>
    <x v="0"/>
    <x v="45"/>
    <n v="3005"/>
    <x v="22"/>
    <n v="0"/>
    <x v="0"/>
    <s v="X 32"/>
    <n v="9"/>
    <n v="9680"/>
    <x v="786"/>
    <s v="Annual"/>
    <n v="1"/>
    <n v="1"/>
    <n v="139140"/>
    <n v="139140"/>
  </r>
  <r>
    <x v="0"/>
    <n v="60"/>
    <x v="25"/>
    <x v="0"/>
    <x v="0"/>
    <n v="1005"/>
    <x v="26"/>
    <x v="0"/>
    <x v="45"/>
    <n v="3005"/>
    <x v="22"/>
    <n v="0"/>
    <x v="0"/>
    <s v="X 31"/>
    <n v="0"/>
    <n v="9661"/>
    <x v="787"/>
    <s v="Annual"/>
    <n v="1"/>
    <n v="1"/>
    <n v="149448"/>
    <n v="149448"/>
  </r>
  <r>
    <x v="0"/>
    <n v="60"/>
    <x v="25"/>
    <x v="0"/>
    <x v="0"/>
    <n v="1005"/>
    <x v="26"/>
    <x v="0"/>
    <x v="45"/>
    <n v="3005"/>
    <x v="22"/>
    <n v="0"/>
    <x v="0"/>
    <s v="B 14"/>
    <n v="4"/>
    <n v="1728"/>
    <x v="788"/>
    <s v="Annual"/>
    <n v="1"/>
    <n v="1"/>
    <n v="75336"/>
    <n v="75336"/>
  </r>
  <r>
    <x v="0"/>
    <n v="60"/>
    <x v="25"/>
    <x v="0"/>
    <x v="0"/>
    <n v="1005"/>
    <x v="26"/>
    <x v="0"/>
    <x v="45"/>
    <n v="3005"/>
    <x v="22"/>
    <n v="0"/>
    <x v="0"/>
    <s v="B 14"/>
    <n v="1"/>
    <n v="1359"/>
    <x v="408"/>
    <s v="Annual"/>
    <n v="1"/>
    <n v="1"/>
    <n v="85200"/>
    <n v="85200"/>
  </r>
  <r>
    <x v="0"/>
    <n v="60"/>
    <x v="25"/>
    <x v="0"/>
    <x v="0"/>
    <n v="1005"/>
    <x v="26"/>
    <x v="0"/>
    <x v="45"/>
    <n v="3005"/>
    <x v="22"/>
    <n v="0"/>
    <x v="0"/>
    <s v="B 14"/>
    <n v="1"/>
    <n v="1359"/>
    <x v="408"/>
    <s v="Annual"/>
    <n v="1"/>
    <n v="1"/>
    <n v="77640"/>
    <n v="77640"/>
  </r>
  <r>
    <x v="0"/>
    <n v="60"/>
    <x v="25"/>
    <x v="0"/>
    <x v="0"/>
    <n v="1005"/>
    <x v="26"/>
    <x v="0"/>
    <x v="45"/>
    <n v="3005"/>
    <x v="22"/>
    <n v="0"/>
    <x v="0"/>
    <s v="GY 11"/>
    <n v="20"/>
    <n v="1324"/>
    <x v="789"/>
    <s v="Annual"/>
    <n v="1"/>
    <n v="1"/>
    <n v="121320"/>
    <n v="121320"/>
  </r>
  <r>
    <x v="0"/>
    <n v="60"/>
    <x v="25"/>
    <x v="0"/>
    <x v="0"/>
    <n v="1005"/>
    <x v="26"/>
    <x v="0"/>
    <x v="45"/>
    <n v="3005"/>
    <x v="22"/>
    <n v="0"/>
    <x v="0"/>
    <s v="B 15"/>
    <n v="1"/>
    <n v="1302"/>
    <x v="83"/>
    <s v="Annual"/>
    <n v="1"/>
    <n v="1"/>
    <n v="108576"/>
    <n v="108576"/>
  </r>
  <r>
    <x v="0"/>
    <n v="60"/>
    <x v="25"/>
    <x v="0"/>
    <x v="0"/>
    <n v="1005"/>
    <x v="26"/>
    <x v="0"/>
    <x v="45"/>
    <n v="3005"/>
    <x v="22"/>
    <n v="0"/>
    <x v="0"/>
    <s v="B 13"/>
    <n v="1"/>
    <n v="1301"/>
    <x v="227"/>
    <s v="Annual"/>
    <n v="1"/>
    <n v="1"/>
    <n v="85200"/>
    <n v="85200"/>
  </r>
  <r>
    <x v="0"/>
    <n v="60"/>
    <x v="25"/>
    <x v="0"/>
    <x v="0"/>
    <n v="1005"/>
    <x v="26"/>
    <x v="0"/>
    <x v="45"/>
    <n v="3005"/>
    <x v="22"/>
    <n v="0"/>
    <x v="0"/>
    <s v="B 15"/>
    <n v="3"/>
    <n v="1250"/>
    <x v="790"/>
    <s v="Annual"/>
    <n v="1"/>
    <n v="1"/>
    <n v="82644"/>
    <n v="82644"/>
  </r>
  <r>
    <x v="0"/>
    <n v="60"/>
    <x v="25"/>
    <x v="0"/>
    <x v="0"/>
    <n v="1005"/>
    <x v="26"/>
    <x v="0"/>
    <x v="45"/>
    <n v="3005"/>
    <x v="22"/>
    <n v="0"/>
    <x v="0"/>
    <s v="BX 16"/>
    <n v="10"/>
    <n v="802"/>
    <x v="30"/>
    <s v="Annual"/>
    <n v="1"/>
    <n v="1"/>
    <n v="83472"/>
    <n v="83472"/>
  </r>
  <r>
    <x v="0"/>
    <n v="60"/>
    <x v="25"/>
    <x v="0"/>
    <x v="0"/>
    <n v="1005"/>
    <x v="26"/>
    <x v="0"/>
    <x v="45"/>
    <n v="3005"/>
    <x v="22"/>
    <n v="0"/>
    <x v="0"/>
    <s v="B 14"/>
    <n v="1"/>
    <n v="689"/>
    <x v="269"/>
    <s v="Annual"/>
    <n v="1"/>
    <n v="1"/>
    <n v="75336"/>
    <n v="75336"/>
  </r>
  <r>
    <x v="0"/>
    <n v="60"/>
    <x v="25"/>
    <x v="0"/>
    <x v="0"/>
    <n v="1005"/>
    <x v="26"/>
    <x v="0"/>
    <x v="45"/>
    <n v="3005"/>
    <x v="22"/>
    <n v="0"/>
    <x v="0"/>
    <s v="X 33"/>
    <n v="0"/>
    <n v="601"/>
    <x v="332"/>
    <s v="Annual"/>
    <n v="1"/>
    <n v="1"/>
    <n v="121668"/>
    <n v="121668"/>
  </r>
  <r>
    <x v="0"/>
    <n v="60"/>
    <x v="25"/>
    <x v="0"/>
    <x v="0"/>
    <n v="1005"/>
    <x v="26"/>
    <x v="0"/>
    <x v="45"/>
    <n v="3005"/>
    <x v="22"/>
    <n v="0"/>
    <x v="0"/>
    <s v="X 33"/>
    <n v="20"/>
    <n v="383"/>
    <x v="89"/>
    <s v="Annual"/>
    <n v="1"/>
    <n v="1"/>
    <n v="146808"/>
    <n v="146808"/>
  </r>
  <r>
    <x v="0"/>
    <n v="60"/>
    <x v="25"/>
    <x v="0"/>
    <x v="0"/>
    <n v="1005"/>
    <x v="26"/>
    <x v="0"/>
    <x v="45"/>
    <n v="3005"/>
    <x v="22"/>
    <n v="0"/>
    <x v="0"/>
    <s v="1 00"/>
    <n v="0"/>
    <n v="15"/>
    <x v="37"/>
    <s v="Annual"/>
    <n v="0"/>
    <n v="0"/>
    <n v="26153"/>
    <n v="26153"/>
  </r>
  <r>
    <x v="0"/>
    <n v="60"/>
    <x v="25"/>
    <x v="0"/>
    <x v="0"/>
    <n v="1005"/>
    <x v="26"/>
    <x v="0"/>
    <x v="45"/>
    <n v="3010"/>
    <x v="18"/>
    <n v="0"/>
    <x v="0"/>
    <s v="X 32"/>
    <n v="9"/>
    <n v="9680"/>
    <x v="786"/>
    <s v="Annual"/>
    <n v="1"/>
    <n v="1"/>
    <n v="175512"/>
    <n v="175512"/>
  </r>
  <r>
    <x v="0"/>
    <n v="60"/>
    <x v="25"/>
    <x v="0"/>
    <x v="0"/>
    <n v="1005"/>
    <x v="26"/>
    <x v="0"/>
    <x v="45"/>
    <n v="3010"/>
    <x v="18"/>
    <n v="0"/>
    <x v="0"/>
    <s v="X 32"/>
    <n v="9"/>
    <n v="9680"/>
    <x v="786"/>
    <s v="Annual"/>
    <n v="2"/>
    <n v="1"/>
    <n v="139140"/>
    <n v="278280"/>
  </r>
  <r>
    <x v="0"/>
    <n v="60"/>
    <x v="25"/>
    <x v="0"/>
    <x v="0"/>
    <n v="1005"/>
    <x v="26"/>
    <x v="0"/>
    <x v="45"/>
    <n v="3010"/>
    <x v="18"/>
    <n v="0"/>
    <x v="0"/>
    <s v="G 07"/>
    <n v="3"/>
    <n v="1259"/>
    <x v="791"/>
    <s v="Annual"/>
    <n v="2"/>
    <n v="1"/>
    <n v="129636"/>
    <n v="259272"/>
  </r>
  <r>
    <x v="0"/>
    <n v="60"/>
    <x v="25"/>
    <x v="0"/>
    <x v="0"/>
    <n v="1005"/>
    <x v="26"/>
    <x v="0"/>
    <x v="45"/>
    <n v="3010"/>
    <x v="18"/>
    <n v="0"/>
    <x v="0"/>
    <s v="G 07"/>
    <n v="3"/>
    <n v="1259"/>
    <x v="791"/>
    <s v="Annual"/>
    <n v="4"/>
    <n v="1"/>
    <n v="97488"/>
    <n v="389952"/>
  </r>
  <r>
    <x v="0"/>
    <n v="60"/>
    <x v="25"/>
    <x v="0"/>
    <x v="0"/>
    <n v="1005"/>
    <x v="26"/>
    <x v="0"/>
    <x v="45"/>
    <n v="3010"/>
    <x v="18"/>
    <n v="0"/>
    <x v="0"/>
    <s v="G 07"/>
    <n v="3"/>
    <n v="1259"/>
    <x v="791"/>
    <s v="Annual"/>
    <n v="3"/>
    <n v="1"/>
    <n v="90144"/>
    <n v="270432"/>
  </r>
  <r>
    <x v="0"/>
    <n v="60"/>
    <x v="25"/>
    <x v="0"/>
    <x v="0"/>
    <n v="1005"/>
    <x v="26"/>
    <x v="0"/>
    <x v="45"/>
    <n v="3010"/>
    <x v="18"/>
    <n v="0"/>
    <x v="0"/>
    <s v="GY 12"/>
    <n v="20"/>
    <n v="1257"/>
    <x v="792"/>
    <s v="Annual"/>
    <n v="1"/>
    <n v="1"/>
    <n v="150624"/>
    <n v="150624"/>
  </r>
  <r>
    <x v="0"/>
    <n v="60"/>
    <x v="25"/>
    <x v="0"/>
    <x v="0"/>
    <n v="1005"/>
    <x v="26"/>
    <x v="0"/>
    <x v="45"/>
    <n v="3010"/>
    <x v="18"/>
    <n v="0"/>
    <x v="0"/>
    <s v="GY 12"/>
    <n v="20"/>
    <n v="1257"/>
    <x v="792"/>
    <s v="Annual"/>
    <n v="1"/>
    <n v="1"/>
    <n v="135744"/>
    <n v="135744"/>
  </r>
  <r>
    <x v="0"/>
    <n v="60"/>
    <x v="25"/>
    <x v="0"/>
    <x v="0"/>
    <n v="1005"/>
    <x v="26"/>
    <x v="0"/>
    <x v="45"/>
    <n v="3010"/>
    <x v="18"/>
    <n v="0"/>
    <x v="0"/>
    <s v="GY 12"/>
    <n v="20"/>
    <n v="1257"/>
    <x v="792"/>
    <s v="Annual"/>
    <n v="1"/>
    <n v="1"/>
    <n v="121320"/>
    <n v="121320"/>
  </r>
  <r>
    <x v="0"/>
    <n v="60"/>
    <x v="25"/>
    <x v="0"/>
    <x v="0"/>
    <n v="1005"/>
    <x v="26"/>
    <x v="0"/>
    <x v="45"/>
    <n v="3010"/>
    <x v="18"/>
    <n v="0"/>
    <x v="0"/>
    <s v="B 15"/>
    <n v="3"/>
    <n v="1250"/>
    <x v="790"/>
    <s v="Annual"/>
    <n v="1"/>
    <n v="1"/>
    <n v="89244"/>
    <n v="89244"/>
  </r>
  <r>
    <x v="0"/>
    <n v="60"/>
    <x v="25"/>
    <x v="0"/>
    <x v="0"/>
    <n v="1005"/>
    <x v="26"/>
    <x v="0"/>
    <x v="45"/>
    <n v="3010"/>
    <x v="18"/>
    <n v="0"/>
    <x v="0"/>
    <s v="GY 11"/>
    <n v="0"/>
    <n v="1249"/>
    <x v="793"/>
    <s v="Annual"/>
    <n v="3"/>
    <n v="1"/>
    <n v="141132"/>
    <n v="423396"/>
  </r>
  <r>
    <x v="0"/>
    <n v="60"/>
    <x v="25"/>
    <x v="0"/>
    <x v="0"/>
    <n v="1005"/>
    <x v="26"/>
    <x v="0"/>
    <x v="45"/>
    <n v="3010"/>
    <x v="18"/>
    <n v="0"/>
    <x v="0"/>
    <s v="GY 11"/>
    <n v="0"/>
    <n v="1249"/>
    <x v="793"/>
    <s v="Annual"/>
    <n v="1"/>
    <n v="1"/>
    <n v="135000"/>
    <n v="135000"/>
  </r>
  <r>
    <x v="0"/>
    <n v="60"/>
    <x v="25"/>
    <x v="0"/>
    <x v="0"/>
    <n v="1005"/>
    <x v="26"/>
    <x v="0"/>
    <x v="45"/>
    <n v="3010"/>
    <x v="18"/>
    <n v="0"/>
    <x v="0"/>
    <s v="GY 11"/>
    <n v="0"/>
    <n v="1249"/>
    <x v="793"/>
    <s v="Annual"/>
    <n v="3"/>
    <n v="1"/>
    <n v="129168"/>
    <n v="387504"/>
  </r>
  <r>
    <x v="0"/>
    <n v="60"/>
    <x v="25"/>
    <x v="0"/>
    <x v="0"/>
    <n v="1005"/>
    <x v="26"/>
    <x v="0"/>
    <x v="45"/>
    <n v="3010"/>
    <x v="18"/>
    <n v="0"/>
    <x v="0"/>
    <s v="GY 11"/>
    <n v="0"/>
    <n v="1249"/>
    <x v="793"/>
    <s v="Annual"/>
    <n v="1"/>
    <n v="1"/>
    <n v="126756"/>
    <n v="126756"/>
  </r>
  <r>
    <x v="0"/>
    <n v="60"/>
    <x v="25"/>
    <x v="0"/>
    <x v="0"/>
    <n v="1005"/>
    <x v="26"/>
    <x v="0"/>
    <x v="45"/>
    <n v="3010"/>
    <x v="18"/>
    <n v="0"/>
    <x v="0"/>
    <s v="GY 11"/>
    <n v="0"/>
    <n v="1249"/>
    <x v="793"/>
    <s v="Annual"/>
    <n v="1"/>
    <n v="1"/>
    <n v="121320"/>
    <n v="121320"/>
  </r>
  <r>
    <x v="0"/>
    <n v="60"/>
    <x v="25"/>
    <x v="0"/>
    <x v="0"/>
    <n v="1005"/>
    <x v="26"/>
    <x v="0"/>
    <x v="45"/>
    <n v="3010"/>
    <x v="18"/>
    <n v="0"/>
    <x v="0"/>
    <s v="GY 11"/>
    <n v="0"/>
    <n v="1249"/>
    <x v="793"/>
    <s v="Annual"/>
    <n v="1"/>
    <n v="1"/>
    <n v="115992"/>
    <n v="115992"/>
  </r>
  <r>
    <x v="0"/>
    <n v="60"/>
    <x v="25"/>
    <x v="0"/>
    <x v="0"/>
    <n v="1005"/>
    <x v="26"/>
    <x v="0"/>
    <x v="45"/>
    <n v="3010"/>
    <x v="18"/>
    <n v="0"/>
    <x v="0"/>
    <s v="GY 11"/>
    <n v="0"/>
    <n v="1249"/>
    <x v="793"/>
    <s v="Annual"/>
    <n v="1"/>
    <n v="1"/>
    <n v="111000"/>
    <n v="111000"/>
  </r>
  <r>
    <x v="0"/>
    <n v="60"/>
    <x v="25"/>
    <x v="0"/>
    <x v="0"/>
    <n v="1005"/>
    <x v="26"/>
    <x v="0"/>
    <x v="45"/>
    <n v="3010"/>
    <x v="18"/>
    <n v="0"/>
    <x v="0"/>
    <s v="GY 11"/>
    <n v="0"/>
    <n v="1249"/>
    <x v="793"/>
    <s v="Annual"/>
    <n v="3"/>
    <n v="1"/>
    <n v="106272"/>
    <n v="318816"/>
  </r>
  <r>
    <x v="0"/>
    <n v="60"/>
    <x v="25"/>
    <x v="0"/>
    <x v="0"/>
    <n v="1005"/>
    <x v="26"/>
    <x v="0"/>
    <x v="45"/>
    <n v="3010"/>
    <x v="18"/>
    <n v="0"/>
    <x v="0"/>
    <s v="G 08"/>
    <n v="4"/>
    <n v="1248"/>
    <x v="794"/>
    <s v="Annual"/>
    <n v="7"/>
    <n v="1"/>
    <n v="141564"/>
    <n v="990948"/>
  </r>
  <r>
    <x v="0"/>
    <n v="60"/>
    <x v="25"/>
    <x v="0"/>
    <x v="0"/>
    <n v="1005"/>
    <x v="26"/>
    <x v="0"/>
    <x v="45"/>
    <n v="3010"/>
    <x v="18"/>
    <n v="0"/>
    <x v="0"/>
    <s v="G 08"/>
    <n v="4"/>
    <n v="1248"/>
    <x v="794"/>
    <s v="Annual"/>
    <n v="1"/>
    <n v="1"/>
    <n v="122928"/>
    <n v="122928"/>
  </r>
  <r>
    <x v="0"/>
    <n v="60"/>
    <x v="25"/>
    <x v="0"/>
    <x v="0"/>
    <n v="1005"/>
    <x v="26"/>
    <x v="0"/>
    <x v="45"/>
    <n v="3010"/>
    <x v="18"/>
    <n v="0"/>
    <x v="0"/>
    <s v="G 08"/>
    <n v="4"/>
    <n v="1248"/>
    <x v="794"/>
    <s v="Annual"/>
    <n v="2"/>
    <n v="1"/>
    <n v="117636"/>
    <n v="235272"/>
  </r>
  <r>
    <x v="0"/>
    <n v="60"/>
    <x v="25"/>
    <x v="0"/>
    <x v="0"/>
    <n v="1005"/>
    <x v="26"/>
    <x v="0"/>
    <x v="45"/>
    <n v="3010"/>
    <x v="18"/>
    <n v="0"/>
    <x v="0"/>
    <s v="G 08"/>
    <n v="4"/>
    <n v="1248"/>
    <x v="794"/>
    <s v="Annual"/>
    <n v="5"/>
    <n v="1"/>
    <n v="112536"/>
    <n v="562680"/>
  </r>
  <r>
    <x v="0"/>
    <n v="60"/>
    <x v="25"/>
    <x v="0"/>
    <x v="0"/>
    <n v="1005"/>
    <x v="26"/>
    <x v="0"/>
    <x v="45"/>
    <n v="3010"/>
    <x v="18"/>
    <n v="0"/>
    <x v="0"/>
    <s v="G 08"/>
    <n v="4"/>
    <n v="1248"/>
    <x v="794"/>
    <s v="Annual"/>
    <n v="1"/>
    <n v="1"/>
    <n v="107628"/>
    <n v="107628"/>
  </r>
  <r>
    <x v="0"/>
    <n v="60"/>
    <x v="25"/>
    <x v="0"/>
    <x v="0"/>
    <n v="1005"/>
    <x v="26"/>
    <x v="0"/>
    <x v="45"/>
    <n v="3010"/>
    <x v="18"/>
    <n v="0"/>
    <x v="0"/>
    <s v="G 06"/>
    <n v="3"/>
    <n v="1247"/>
    <x v="795"/>
    <s v="Annual"/>
    <n v="1"/>
    <n v="1"/>
    <n v="143976"/>
    <n v="143976"/>
  </r>
  <r>
    <x v="0"/>
    <n v="60"/>
    <x v="25"/>
    <x v="0"/>
    <x v="0"/>
    <n v="1005"/>
    <x v="26"/>
    <x v="0"/>
    <x v="45"/>
    <n v="3010"/>
    <x v="18"/>
    <n v="0"/>
    <x v="0"/>
    <s v="G 06"/>
    <n v="3"/>
    <n v="1247"/>
    <x v="795"/>
    <s v="Annual"/>
    <n v="5"/>
    <n v="1"/>
    <n v="118836"/>
    <n v="594180"/>
  </r>
  <r>
    <x v="0"/>
    <n v="60"/>
    <x v="25"/>
    <x v="0"/>
    <x v="0"/>
    <n v="1005"/>
    <x v="26"/>
    <x v="0"/>
    <x v="45"/>
    <n v="3010"/>
    <x v="18"/>
    <n v="0"/>
    <x v="0"/>
    <s v="G 06"/>
    <n v="3"/>
    <n v="1247"/>
    <x v="795"/>
    <s v="Annual"/>
    <n v="6"/>
    <n v="1"/>
    <n v="112536"/>
    <n v="675216"/>
  </r>
  <r>
    <x v="0"/>
    <n v="60"/>
    <x v="25"/>
    <x v="0"/>
    <x v="0"/>
    <n v="1005"/>
    <x v="26"/>
    <x v="0"/>
    <x v="45"/>
    <n v="3010"/>
    <x v="18"/>
    <n v="0"/>
    <x v="0"/>
    <s v="G 06"/>
    <n v="3"/>
    <n v="1247"/>
    <x v="795"/>
    <s v="Annual"/>
    <n v="6"/>
    <n v="1"/>
    <n v="107628"/>
    <n v="645768"/>
  </r>
  <r>
    <x v="0"/>
    <n v="60"/>
    <x v="25"/>
    <x v="0"/>
    <x v="0"/>
    <n v="1005"/>
    <x v="26"/>
    <x v="0"/>
    <x v="45"/>
    <n v="3010"/>
    <x v="18"/>
    <n v="0"/>
    <x v="0"/>
    <s v="G 06"/>
    <n v="3"/>
    <n v="1247"/>
    <x v="795"/>
    <s v="Annual"/>
    <n v="1"/>
    <n v="1"/>
    <n v="102516"/>
    <n v="102516"/>
  </r>
  <r>
    <x v="0"/>
    <n v="60"/>
    <x v="25"/>
    <x v="0"/>
    <x v="0"/>
    <n v="1005"/>
    <x v="26"/>
    <x v="0"/>
    <x v="45"/>
    <n v="3010"/>
    <x v="18"/>
    <n v="0"/>
    <x v="0"/>
    <s v="G 06"/>
    <n v="3"/>
    <n v="1247"/>
    <x v="795"/>
    <s v="Annual"/>
    <n v="4"/>
    <n v="1"/>
    <n v="97488"/>
    <n v="389952"/>
  </r>
  <r>
    <x v="0"/>
    <n v="60"/>
    <x v="25"/>
    <x v="0"/>
    <x v="0"/>
    <n v="1005"/>
    <x v="26"/>
    <x v="0"/>
    <x v="45"/>
    <n v="3010"/>
    <x v="18"/>
    <n v="0"/>
    <x v="0"/>
    <s v="G 06"/>
    <n v="3"/>
    <n v="1247"/>
    <x v="795"/>
    <s v="Annual"/>
    <n v="9"/>
    <n v="1"/>
    <n v="92940"/>
    <n v="836460"/>
  </r>
  <r>
    <x v="0"/>
    <n v="60"/>
    <x v="25"/>
    <x v="0"/>
    <x v="0"/>
    <n v="1005"/>
    <x v="26"/>
    <x v="0"/>
    <x v="45"/>
    <n v="3010"/>
    <x v="18"/>
    <n v="0"/>
    <x v="0"/>
    <s v="G 06"/>
    <n v="3"/>
    <n v="1247"/>
    <x v="795"/>
    <s v="Annual"/>
    <n v="7"/>
    <n v="1"/>
    <n v="88524"/>
    <n v="619668"/>
  </r>
  <r>
    <x v="0"/>
    <n v="60"/>
    <x v="25"/>
    <x v="0"/>
    <x v="0"/>
    <n v="1005"/>
    <x v="26"/>
    <x v="0"/>
    <x v="45"/>
    <n v="3010"/>
    <x v="18"/>
    <n v="0"/>
    <x v="0"/>
    <s v="G 06"/>
    <n v="3"/>
    <n v="1247"/>
    <x v="795"/>
    <s v="Annual"/>
    <n v="6"/>
    <n v="1"/>
    <n v="81636"/>
    <n v="489816"/>
  </r>
  <r>
    <x v="0"/>
    <n v="60"/>
    <x v="25"/>
    <x v="0"/>
    <x v="0"/>
    <n v="1005"/>
    <x v="26"/>
    <x v="0"/>
    <x v="45"/>
    <n v="3010"/>
    <x v="18"/>
    <n v="0"/>
    <x v="0"/>
    <s v="G 05"/>
    <n v="1"/>
    <n v="1171"/>
    <x v="796"/>
    <s v="Annual"/>
    <n v="1"/>
    <n v="1"/>
    <n v="108708"/>
    <n v="108708"/>
  </r>
  <r>
    <x v="0"/>
    <n v="60"/>
    <x v="25"/>
    <x v="0"/>
    <x v="0"/>
    <n v="1005"/>
    <x v="26"/>
    <x v="0"/>
    <x v="45"/>
    <n v="3010"/>
    <x v="18"/>
    <n v="0"/>
    <x v="0"/>
    <s v="G 05"/>
    <n v="1"/>
    <n v="1171"/>
    <x v="796"/>
    <s v="Annual"/>
    <n v="1"/>
    <n v="1"/>
    <n v="84192"/>
    <n v="84192"/>
  </r>
  <r>
    <x v="0"/>
    <n v="60"/>
    <x v="25"/>
    <x v="0"/>
    <x v="0"/>
    <n v="1005"/>
    <x v="26"/>
    <x v="0"/>
    <x v="45"/>
    <n v="3010"/>
    <x v="18"/>
    <n v="0"/>
    <x v="0"/>
    <s v="G 05"/>
    <n v="1"/>
    <n v="1171"/>
    <x v="796"/>
    <s v="Annual"/>
    <n v="1"/>
    <n v="1"/>
    <n v="80196"/>
    <n v="80196"/>
  </r>
  <r>
    <x v="0"/>
    <n v="60"/>
    <x v="25"/>
    <x v="0"/>
    <x v="0"/>
    <n v="1005"/>
    <x v="26"/>
    <x v="0"/>
    <x v="45"/>
    <n v="3010"/>
    <x v="18"/>
    <n v="0"/>
    <x v="0"/>
    <s v="B 10"/>
    <n v="1"/>
    <n v="422"/>
    <x v="797"/>
    <s v="Annual"/>
    <n v="1"/>
    <n v="1"/>
    <n v="53532"/>
    <n v="53532"/>
  </r>
  <r>
    <x v="0"/>
    <n v="60"/>
    <x v="25"/>
    <x v="0"/>
    <x v="0"/>
    <n v="1005"/>
    <x v="26"/>
    <x v="0"/>
    <x v="45"/>
    <n v="3010"/>
    <x v="18"/>
    <n v="0"/>
    <x v="0"/>
    <s v="B 10"/>
    <n v="1"/>
    <n v="422"/>
    <x v="797"/>
    <s v="Annual"/>
    <n v="1"/>
    <n v="1"/>
    <n v="51936"/>
    <n v="51936"/>
  </r>
  <r>
    <x v="0"/>
    <n v="60"/>
    <x v="25"/>
    <x v="0"/>
    <x v="0"/>
    <n v="1005"/>
    <x v="26"/>
    <x v="0"/>
    <x v="45"/>
    <n v="3010"/>
    <x v="18"/>
    <n v="0"/>
    <x v="0"/>
    <s v="B 10"/>
    <n v="1"/>
    <s v="03A7"/>
    <x v="4"/>
    <s v="Annual"/>
    <n v="1"/>
    <n v="1"/>
    <n v="51936"/>
    <n v="51936"/>
  </r>
  <r>
    <x v="0"/>
    <n v="60"/>
    <x v="25"/>
    <x v="0"/>
    <x v="0"/>
    <n v="1005"/>
    <x v="26"/>
    <x v="0"/>
    <x v="45"/>
    <n v="3010"/>
    <x v="18"/>
    <n v="0"/>
    <x v="0"/>
    <s v="1 00"/>
    <n v="0"/>
    <n v="15"/>
    <x v="37"/>
    <s v="Annual"/>
    <n v="0"/>
    <n v="0"/>
    <n v="138817"/>
    <n v="138817"/>
  </r>
  <r>
    <x v="0"/>
    <n v="60"/>
    <x v="25"/>
    <x v="0"/>
    <x v="0"/>
    <n v="1005"/>
    <x v="26"/>
    <x v="0"/>
    <x v="45"/>
    <n v="3015"/>
    <x v="17"/>
    <n v="0"/>
    <x v="0"/>
    <s v="X 33"/>
    <n v="9"/>
    <n v="9758"/>
    <x v="650"/>
    <s v="Annual"/>
    <n v="1"/>
    <n v="1"/>
    <n v="146808"/>
    <n v="146808"/>
  </r>
  <r>
    <x v="0"/>
    <n v="60"/>
    <x v="25"/>
    <x v="0"/>
    <x v="0"/>
    <n v="1005"/>
    <x v="26"/>
    <x v="0"/>
    <x v="45"/>
    <n v="3015"/>
    <x v="17"/>
    <n v="0"/>
    <x v="0"/>
    <s v="X 32"/>
    <n v="9"/>
    <n v="9680"/>
    <x v="786"/>
    <s v="Annual"/>
    <n v="1"/>
    <n v="1"/>
    <n v="139140"/>
    <n v="139140"/>
  </r>
  <r>
    <x v="0"/>
    <n v="60"/>
    <x v="25"/>
    <x v="0"/>
    <x v="0"/>
    <n v="1005"/>
    <x v="26"/>
    <x v="0"/>
    <x v="45"/>
    <n v="3015"/>
    <x v="17"/>
    <n v="0"/>
    <x v="0"/>
    <s v="B 13"/>
    <n v="1"/>
    <n v="3575"/>
    <x v="798"/>
    <s v="Annual"/>
    <n v="1"/>
    <n v="1"/>
    <n v="68616"/>
    <n v="68616"/>
  </r>
  <r>
    <x v="0"/>
    <n v="60"/>
    <x v="25"/>
    <x v="0"/>
    <x v="0"/>
    <n v="1005"/>
    <x v="26"/>
    <x v="0"/>
    <x v="45"/>
    <n v="3015"/>
    <x v="17"/>
    <n v="0"/>
    <x v="0"/>
    <s v="GY 11"/>
    <n v="20"/>
    <n v="1668"/>
    <x v="799"/>
    <s v="Annual"/>
    <n v="1"/>
    <n v="1"/>
    <n v="111000"/>
    <n v="111000"/>
  </r>
  <r>
    <x v="0"/>
    <n v="60"/>
    <x v="25"/>
    <x v="0"/>
    <x v="0"/>
    <n v="1005"/>
    <x v="26"/>
    <x v="0"/>
    <x v="45"/>
    <n v="3015"/>
    <x v="17"/>
    <n v="0"/>
    <x v="0"/>
    <s v="GY 12"/>
    <n v="20"/>
    <n v="1666"/>
    <x v="800"/>
    <s v="Annual"/>
    <n v="1"/>
    <n v="1"/>
    <n v="115992"/>
    <n v="115992"/>
  </r>
  <r>
    <x v="0"/>
    <n v="60"/>
    <x v="25"/>
    <x v="0"/>
    <x v="0"/>
    <n v="1005"/>
    <x v="26"/>
    <x v="0"/>
    <x v="45"/>
    <n v="3015"/>
    <x v="17"/>
    <n v="0"/>
    <x v="0"/>
    <s v="GY 12"/>
    <n v="20"/>
    <n v="1664"/>
    <x v="801"/>
    <s v="Annual"/>
    <n v="1"/>
    <n v="1"/>
    <n v="126756"/>
    <n v="126756"/>
  </r>
  <r>
    <x v="0"/>
    <n v="60"/>
    <x v="25"/>
    <x v="0"/>
    <x v="0"/>
    <n v="1005"/>
    <x v="26"/>
    <x v="0"/>
    <x v="45"/>
    <n v="3015"/>
    <x v="17"/>
    <n v="0"/>
    <x v="0"/>
    <s v="G 07"/>
    <n v="4"/>
    <n v="1646"/>
    <x v="529"/>
    <s v="Annual"/>
    <n v="1"/>
    <n v="1"/>
    <n v="102516"/>
    <n v="102516"/>
  </r>
  <r>
    <x v="0"/>
    <n v="60"/>
    <x v="25"/>
    <x v="0"/>
    <x v="0"/>
    <n v="1005"/>
    <x v="26"/>
    <x v="0"/>
    <x v="45"/>
    <n v="3015"/>
    <x v="17"/>
    <n v="0"/>
    <x v="0"/>
    <s v="G 07"/>
    <n v="4"/>
    <n v="1646"/>
    <x v="529"/>
    <s v="Annual"/>
    <n v="1"/>
    <n v="1"/>
    <n v="97488"/>
    <n v="97488"/>
  </r>
  <r>
    <x v="0"/>
    <n v="60"/>
    <x v="25"/>
    <x v="0"/>
    <x v="0"/>
    <n v="1005"/>
    <x v="26"/>
    <x v="0"/>
    <x v="45"/>
    <n v="3015"/>
    <x v="17"/>
    <n v="0"/>
    <x v="0"/>
    <s v="G 07"/>
    <n v="4"/>
    <n v="1646"/>
    <x v="529"/>
    <s v="Annual"/>
    <n v="1"/>
    <n v="1"/>
    <n v="92940"/>
    <n v="92940"/>
  </r>
  <r>
    <x v="0"/>
    <n v="60"/>
    <x v="25"/>
    <x v="0"/>
    <x v="0"/>
    <n v="1005"/>
    <x v="26"/>
    <x v="0"/>
    <x v="45"/>
    <n v="3015"/>
    <x v="17"/>
    <n v="0"/>
    <x v="0"/>
    <s v="G 07"/>
    <n v="4"/>
    <n v="1646"/>
    <x v="529"/>
    <s v="Annual"/>
    <n v="1"/>
    <n v="1"/>
    <n v="90144"/>
    <n v="90144"/>
  </r>
  <r>
    <x v="0"/>
    <n v="60"/>
    <x v="25"/>
    <x v="0"/>
    <x v="0"/>
    <n v="1005"/>
    <x v="26"/>
    <x v="0"/>
    <x v="45"/>
    <n v="3015"/>
    <x v="17"/>
    <n v="0"/>
    <x v="0"/>
    <s v="GY 07"/>
    <n v="0"/>
    <n v="1645"/>
    <x v="802"/>
    <s v="Annual"/>
    <n v="1"/>
    <n v="1"/>
    <n v="79728"/>
    <n v="79728"/>
  </r>
  <r>
    <x v="0"/>
    <n v="60"/>
    <x v="25"/>
    <x v="0"/>
    <x v="0"/>
    <n v="1005"/>
    <x v="26"/>
    <x v="0"/>
    <x v="45"/>
    <n v="3015"/>
    <x v="17"/>
    <n v="0"/>
    <x v="0"/>
    <s v="GY 07"/>
    <n v="0"/>
    <n v="1645"/>
    <x v="802"/>
    <s v="Annual"/>
    <n v="1"/>
    <n v="1"/>
    <n v="76020"/>
    <n v="76020"/>
  </r>
  <r>
    <x v="0"/>
    <n v="60"/>
    <x v="25"/>
    <x v="0"/>
    <x v="0"/>
    <n v="1005"/>
    <x v="26"/>
    <x v="0"/>
    <x v="45"/>
    <n v="3015"/>
    <x v="17"/>
    <n v="0"/>
    <x v="0"/>
    <s v="B 13"/>
    <n v="1"/>
    <n v="1617"/>
    <x v="338"/>
    <s v="Annual"/>
    <n v="1"/>
    <n v="1"/>
    <n v="85200"/>
    <n v="85200"/>
  </r>
  <r>
    <x v="0"/>
    <n v="60"/>
    <x v="25"/>
    <x v="0"/>
    <x v="0"/>
    <n v="1005"/>
    <x v="26"/>
    <x v="0"/>
    <x v="45"/>
    <n v="3015"/>
    <x v="17"/>
    <n v="0"/>
    <x v="0"/>
    <s v="B 13"/>
    <n v="1"/>
    <n v="1617"/>
    <x v="338"/>
    <s v="Annual"/>
    <n v="2"/>
    <n v="1"/>
    <n v="77640"/>
    <n v="155280"/>
  </r>
  <r>
    <x v="0"/>
    <n v="60"/>
    <x v="25"/>
    <x v="0"/>
    <x v="0"/>
    <n v="1005"/>
    <x v="26"/>
    <x v="0"/>
    <x v="45"/>
    <n v="3015"/>
    <x v="17"/>
    <n v="0"/>
    <x v="0"/>
    <s v="BX 13"/>
    <n v="20"/>
    <n v="366"/>
    <x v="219"/>
    <s v="Annual"/>
    <n v="1"/>
    <n v="1"/>
    <n v="57852"/>
    <n v="57852"/>
  </r>
  <r>
    <x v="0"/>
    <n v="60"/>
    <x v="25"/>
    <x v="0"/>
    <x v="0"/>
    <n v="1005"/>
    <x v="26"/>
    <x v="0"/>
    <x v="45"/>
    <n v="3015"/>
    <x v="17"/>
    <n v="0"/>
    <x v="0"/>
    <s v="1 00"/>
    <n v="0"/>
    <n v="15"/>
    <x v="37"/>
    <s v="Annual"/>
    <n v="0"/>
    <n v="0"/>
    <n v="28328"/>
    <n v="28328"/>
  </r>
  <r>
    <x v="0"/>
    <n v="60"/>
    <x v="25"/>
    <x v="0"/>
    <x v="0"/>
    <n v="1005"/>
    <x v="26"/>
    <x v="0"/>
    <x v="45"/>
    <n v="3020"/>
    <x v="191"/>
    <n v="0"/>
    <x v="0"/>
    <s v="B 14"/>
    <n v="3"/>
    <n v="3897"/>
    <x v="558"/>
    <s v="Annual"/>
    <n v="1"/>
    <n v="1"/>
    <n v="81324"/>
    <n v="81324"/>
  </r>
  <r>
    <x v="0"/>
    <n v="60"/>
    <x v="25"/>
    <x v="0"/>
    <x v="0"/>
    <n v="1005"/>
    <x v="26"/>
    <x v="0"/>
    <x v="45"/>
    <n v="3020"/>
    <x v="191"/>
    <n v="0"/>
    <x v="0"/>
    <s v="B 14"/>
    <n v="3"/>
    <n v="3897"/>
    <x v="558"/>
    <s v="Annual"/>
    <n v="1"/>
    <n v="1"/>
    <n v="75336"/>
    <n v="75336"/>
  </r>
  <r>
    <x v="0"/>
    <n v="60"/>
    <x v="25"/>
    <x v="0"/>
    <x v="0"/>
    <n v="1005"/>
    <x v="26"/>
    <x v="0"/>
    <x v="45"/>
    <n v="3020"/>
    <x v="191"/>
    <n v="0"/>
    <x v="0"/>
    <s v="B 13"/>
    <n v="1"/>
    <n v="3575"/>
    <x v="798"/>
    <s v="Annual"/>
    <n v="1"/>
    <n v="1"/>
    <n v="94452"/>
    <n v="94452"/>
  </r>
  <r>
    <x v="0"/>
    <n v="60"/>
    <x v="25"/>
    <x v="0"/>
    <x v="0"/>
    <n v="1005"/>
    <x v="26"/>
    <x v="0"/>
    <x v="45"/>
    <n v="3020"/>
    <x v="191"/>
    <n v="0"/>
    <x v="0"/>
    <s v="B 13"/>
    <n v="1"/>
    <n v="3575"/>
    <x v="798"/>
    <s v="Annual"/>
    <n v="1"/>
    <n v="1"/>
    <n v="81324"/>
    <n v="81324"/>
  </r>
  <r>
    <x v="0"/>
    <n v="60"/>
    <x v="25"/>
    <x v="0"/>
    <x v="0"/>
    <n v="1005"/>
    <x v="26"/>
    <x v="0"/>
    <x v="45"/>
    <n v="3020"/>
    <x v="191"/>
    <n v="0"/>
    <x v="0"/>
    <s v="BX 17"/>
    <n v="10"/>
    <n v="1431"/>
    <x v="82"/>
    <s v="Annual"/>
    <n v="1"/>
    <n v="1"/>
    <n v="93384"/>
    <n v="93384"/>
  </r>
  <r>
    <x v="0"/>
    <n v="60"/>
    <x v="25"/>
    <x v="0"/>
    <x v="0"/>
    <n v="1005"/>
    <x v="26"/>
    <x v="0"/>
    <x v="45"/>
    <n v="3020"/>
    <x v="191"/>
    <n v="0"/>
    <x v="0"/>
    <s v="B 14"/>
    <n v="1"/>
    <n v="712"/>
    <x v="299"/>
    <s v="Annual"/>
    <n v="1"/>
    <n v="1"/>
    <n v="75336"/>
    <n v="75336"/>
  </r>
  <r>
    <x v="0"/>
    <n v="60"/>
    <x v="25"/>
    <x v="0"/>
    <x v="0"/>
    <n v="1005"/>
    <x v="26"/>
    <x v="0"/>
    <x v="45"/>
    <n v="3020"/>
    <x v="191"/>
    <n v="0"/>
    <x v="0"/>
    <s v="PX 02"/>
    <n v="9"/>
    <n v="705"/>
    <x v="33"/>
    <s v="Annual"/>
    <n v="2"/>
    <n v="1"/>
    <n v="128736"/>
    <n v="257472"/>
  </r>
  <r>
    <x v="0"/>
    <n v="60"/>
    <x v="25"/>
    <x v="0"/>
    <x v="0"/>
    <n v="1005"/>
    <x v="26"/>
    <x v="0"/>
    <x v="45"/>
    <n v="3020"/>
    <x v="191"/>
    <n v="0"/>
    <x v="0"/>
    <s v="1 00"/>
    <n v="0"/>
    <n v="15"/>
    <x v="37"/>
    <s v="Annual"/>
    <n v="0"/>
    <n v="0"/>
    <n v="10302"/>
    <n v="10302"/>
  </r>
  <r>
    <x v="0"/>
    <n v="60"/>
    <x v="25"/>
    <x v="0"/>
    <x v="0"/>
    <n v="1005"/>
    <x v="26"/>
    <x v="0"/>
    <x v="45"/>
    <n v="3025"/>
    <x v="192"/>
    <n v="0"/>
    <x v="0"/>
    <s v="B 13"/>
    <n v="1"/>
    <n v="3575"/>
    <x v="798"/>
    <s v="Annual"/>
    <n v="1"/>
    <n v="1"/>
    <n v="74172"/>
    <n v="74172"/>
  </r>
  <r>
    <x v="0"/>
    <n v="60"/>
    <x v="25"/>
    <x v="0"/>
    <x v="0"/>
    <n v="1005"/>
    <x v="26"/>
    <x v="0"/>
    <x v="45"/>
    <n v="3025"/>
    <x v="192"/>
    <n v="0"/>
    <x v="0"/>
    <s v="GY 12"/>
    <n v="20"/>
    <n v="1257"/>
    <x v="792"/>
    <s v="Annual"/>
    <n v="1"/>
    <n v="1"/>
    <n v="150624"/>
    <n v="150624"/>
  </r>
  <r>
    <x v="0"/>
    <n v="60"/>
    <x v="25"/>
    <x v="0"/>
    <x v="0"/>
    <n v="1005"/>
    <x v="26"/>
    <x v="0"/>
    <x v="45"/>
    <n v="3025"/>
    <x v="192"/>
    <n v="0"/>
    <x v="0"/>
    <s v="B 15"/>
    <n v="3"/>
    <n v="1250"/>
    <x v="790"/>
    <s v="Annual"/>
    <n v="2"/>
    <n v="1"/>
    <n v="82644"/>
    <n v="165288"/>
  </r>
  <r>
    <x v="0"/>
    <n v="60"/>
    <x v="25"/>
    <x v="0"/>
    <x v="0"/>
    <n v="1005"/>
    <x v="26"/>
    <x v="0"/>
    <x v="45"/>
    <n v="3025"/>
    <x v="192"/>
    <n v="0"/>
    <x v="0"/>
    <s v="GY 11"/>
    <n v="0"/>
    <n v="1249"/>
    <x v="793"/>
    <s v="Annual"/>
    <n v="1"/>
    <n v="1"/>
    <n v="126756"/>
    <n v="126756"/>
  </r>
  <r>
    <x v="0"/>
    <n v="60"/>
    <x v="25"/>
    <x v="0"/>
    <x v="0"/>
    <n v="1005"/>
    <x v="26"/>
    <x v="0"/>
    <x v="45"/>
    <n v="3025"/>
    <x v="192"/>
    <n v="0"/>
    <x v="0"/>
    <s v="B 13"/>
    <n v="1"/>
    <n v="708"/>
    <x v="84"/>
    <s v="Annual"/>
    <n v="4"/>
    <n v="1"/>
    <n v="68616"/>
    <n v="274464"/>
  </r>
  <r>
    <x v="0"/>
    <n v="60"/>
    <x v="25"/>
    <x v="0"/>
    <x v="0"/>
    <n v="1005"/>
    <x v="26"/>
    <x v="0"/>
    <x v="45"/>
    <n v="3025"/>
    <x v="192"/>
    <n v="0"/>
    <x v="0"/>
    <s v="1 00"/>
    <n v="0"/>
    <n v="15"/>
    <x v="37"/>
    <s v="Annual"/>
    <n v="0"/>
    <n v="0"/>
    <n v="2912"/>
    <n v="2912"/>
  </r>
  <r>
    <x v="0"/>
    <n v="60"/>
    <x v="25"/>
    <x v="0"/>
    <x v="0"/>
    <n v="1005"/>
    <x v="26"/>
    <x v="0"/>
    <x v="45"/>
    <n v="3030"/>
    <x v="193"/>
    <n v="0"/>
    <x v="0"/>
    <s v="X 32"/>
    <n v="9"/>
    <n v="9680"/>
    <x v="786"/>
    <s v="Annual"/>
    <n v="1"/>
    <n v="1"/>
    <n v="175512"/>
    <n v="175512"/>
  </r>
  <r>
    <x v="0"/>
    <n v="60"/>
    <x v="25"/>
    <x v="0"/>
    <x v="0"/>
    <n v="1005"/>
    <x v="26"/>
    <x v="0"/>
    <x v="45"/>
    <n v="3030"/>
    <x v="193"/>
    <n v="0"/>
    <x v="0"/>
    <s v="G 08"/>
    <n v="4"/>
    <n v="2056"/>
    <x v="803"/>
    <s v="Annual"/>
    <n v="1"/>
    <n v="1"/>
    <n v="112536"/>
    <n v="112536"/>
  </r>
  <r>
    <x v="0"/>
    <n v="60"/>
    <x v="25"/>
    <x v="0"/>
    <x v="0"/>
    <n v="1005"/>
    <x v="26"/>
    <x v="0"/>
    <x v="45"/>
    <n v="3030"/>
    <x v="193"/>
    <n v="0"/>
    <x v="0"/>
    <s v="GY 08"/>
    <n v="20"/>
    <n v="1126"/>
    <x v="50"/>
    <s v="Annual"/>
    <n v="1"/>
    <n v="1"/>
    <n v="82884"/>
    <n v="82884"/>
  </r>
  <r>
    <x v="0"/>
    <n v="60"/>
    <x v="25"/>
    <x v="0"/>
    <x v="0"/>
    <n v="1005"/>
    <x v="26"/>
    <x v="0"/>
    <x v="45"/>
    <n v="3030"/>
    <x v="193"/>
    <n v="0"/>
    <x v="0"/>
    <s v="G 10"/>
    <n v="3"/>
    <s v="06A6"/>
    <x v="625"/>
    <s v="Annual"/>
    <n v="2"/>
    <n v="1"/>
    <n v="122928"/>
    <n v="245856"/>
  </r>
  <r>
    <x v="0"/>
    <n v="60"/>
    <x v="25"/>
    <x v="0"/>
    <x v="0"/>
    <n v="1005"/>
    <x v="26"/>
    <x v="0"/>
    <x v="45"/>
    <n v="3030"/>
    <x v="193"/>
    <n v="0"/>
    <x v="0"/>
    <s v="BX 18"/>
    <n v="10"/>
    <n v="310"/>
    <x v="135"/>
    <s v="Annual"/>
    <n v="1"/>
    <n v="1"/>
    <n v="102444"/>
    <n v="102444"/>
  </r>
  <r>
    <x v="0"/>
    <n v="60"/>
    <x v="25"/>
    <x v="0"/>
    <x v="0"/>
    <n v="1005"/>
    <x v="26"/>
    <x v="0"/>
    <x v="45"/>
    <n v="3030"/>
    <x v="193"/>
    <n v="0"/>
    <x v="0"/>
    <s v="1 00"/>
    <n v="0"/>
    <n v="15"/>
    <x v="37"/>
    <s v="Annual"/>
    <n v="0"/>
    <n v="0"/>
    <n v="12433"/>
    <n v="12433"/>
  </r>
  <r>
    <x v="0"/>
    <n v="62"/>
    <x v="26"/>
    <x v="0"/>
    <x v="0"/>
    <n v="1005"/>
    <x v="27"/>
    <x v="0"/>
    <x v="46"/>
    <n v="3005"/>
    <x v="22"/>
    <n v="0"/>
    <x v="0"/>
    <s v="3 00"/>
    <n v="9"/>
    <n v="9962"/>
    <x v="804"/>
    <s v="Annual"/>
    <n v="1"/>
    <n v="1"/>
    <n v="190428"/>
    <n v="190428"/>
  </r>
  <r>
    <x v="0"/>
    <n v="62"/>
    <x v="26"/>
    <x v="0"/>
    <x v="0"/>
    <n v="1005"/>
    <x v="27"/>
    <x v="0"/>
    <x v="46"/>
    <n v="3005"/>
    <x v="22"/>
    <n v="0"/>
    <x v="0"/>
    <s v="X 31"/>
    <n v="0"/>
    <n v="9812"/>
    <x v="239"/>
    <s v="Annual"/>
    <n v="1"/>
    <n v="1"/>
    <n v="168924"/>
    <n v="168924"/>
  </r>
  <r>
    <x v="0"/>
    <n v="62"/>
    <x v="26"/>
    <x v="0"/>
    <x v="0"/>
    <n v="1005"/>
    <x v="27"/>
    <x v="0"/>
    <x v="46"/>
    <n v="3005"/>
    <x v="22"/>
    <n v="0"/>
    <x v="0"/>
    <s v="BX 16"/>
    <n v="10"/>
    <n v="802"/>
    <x v="30"/>
    <s v="Annual"/>
    <n v="1"/>
    <n v="1"/>
    <n v="108432"/>
    <n v="108432"/>
  </r>
  <r>
    <x v="0"/>
    <n v="62"/>
    <x v="26"/>
    <x v="0"/>
    <x v="0"/>
    <n v="1005"/>
    <x v="27"/>
    <x v="0"/>
    <x v="46"/>
    <n v="3005"/>
    <x v="22"/>
    <n v="0"/>
    <x v="0"/>
    <s v="X 33"/>
    <n v="20"/>
    <n v="383"/>
    <x v="89"/>
    <s v="Annual"/>
    <n v="1"/>
    <n v="1"/>
    <n v="146808"/>
    <n v="146808"/>
  </r>
  <r>
    <x v="0"/>
    <n v="62"/>
    <x v="26"/>
    <x v="0"/>
    <x v="0"/>
    <n v="1005"/>
    <x v="27"/>
    <x v="0"/>
    <x v="46"/>
    <n v="3005"/>
    <x v="22"/>
    <n v="0"/>
    <x v="0"/>
    <s v="X 33"/>
    <n v="0"/>
    <n v="306"/>
    <x v="237"/>
    <s v="Annual"/>
    <n v="1"/>
    <n v="1"/>
    <n v="121668"/>
    <n v="121668"/>
  </r>
  <r>
    <x v="0"/>
    <n v="62"/>
    <x v="26"/>
    <x v="0"/>
    <x v="0"/>
    <n v="1005"/>
    <x v="27"/>
    <x v="0"/>
    <x v="46"/>
    <n v="3005"/>
    <x v="22"/>
    <n v="0"/>
    <x v="0"/>
    <s v="1 00"/>
    <n v="0"/>
    <n v="15"/>
    <x v="37"/>
    <s v="Annual"/>
    <n v="0"/>
    <n v="0"/>
    <n v="7602"/>
    <n v="7602"/>
  </r>
  <r>
    <x v="0"/>
    <n v="62"/>
    <x v="26"/>
    <x v="0"/>
    <x v="0"/>
    <n v="1005"/>
    <x v="27"/>
    <x v="0"/>
    <x v="46"/>
    <n v="3010"/>
    <x v="194"/>
    <n v="0"/>
    <x v="0"/>
    <s v="X 32"/>
    <n v="9"/>
    <n v="9684"/>
    <x v="76"/>
    <s v="Annual"/>
    <n v="1"/>
    <n v="1"/>
    <n v="157332"/>
    <n v="157332"/>
  </r>
  <r>
    <x v="0"/>
    <n v="62"/>
    <x v="26"/>
    <x v="0"/>
    <x v="0"/>
    <n v="1005"/>
    <x v="27"/>
    <x v="0"/>
    <x v="46"/>
    <n v="3010"/>
    <x v="194"/>
    <n v="0"/>
    <x v="0"/>
    <s v="B 14"/>
    <n v="3"/>
    <n v="3897"/>
    <x v="558"/>
    <s v="Annual"/>
    <n v="5"/>
    <n v="1"/>
    <n v="81324"/>
    <n v="406620"/>
  </r>
  <r>
    <x v="0"/>
    <n v="62"/>
    <x v="26"/>
    <x v="0"/>
    <x v="0"/>
    <n v="1005"/>
    <x v="27"/>
    <x v="0"/>
    <x v="46"/>
    <n v="3010"/>
    <x v="194"/>
    <n v="0"/>
    <x v="0"/>
    <s v="B 14"/>
    <n v="3"/>
    <n v="3897"/>
    <x v="558"/>
    <s v="Annual"/>
    <n v="1"/>
    <n v="1"/>
    <n v="75336"/>
    <n v="75336"/>
  </r>
  <r>
    <x v="0"/>
    <n v="62"/>
    <x v="26"/>
    <x v="0"/>
    <x v="0"/>
    <n v="1005"/>
    <x v="27"/>
    <x v="0"/>
    <x v="46"/>
    <n v="3010"/>
    <x v="194"/>
    <n v="0"/>
    <x v="0"/>
    <s v="B 12"/>
    <n v="1"/>
    <s v="03A8"/>
    <x v="88"/>
    <s v="Annual"/>
    <n v="1"/>
    <n v="1"/>
    <n v="74172"/>
    <n v="74172"/>
  </r>
  <r>
    <x v="0"/>
    <n v="62"/>
    <x v="26"/>
    <x v="0"/>
    <x v="0"/>
    <n v="1005"/>
    <x v="27"/>
    <x v="0"/>
    <x v="46"/>
    <n v="3010"/>
    <x v="194"/>
    <n v="0"/>
    <x v="0"/>
    <s v="BX 18"/>
    <n v="10"/>
    <n v="310"/>
    <x v="135"/>
    <s v="Annual"/>
    <n v="2"/>
    <n v="1"/>
    <n v="118956"/>
    <n v="237912"/>
  </r>
  <r>
    <x v="0"/>
    <n v="62"/>
    <x v="26"/>
    <x v="0"/>
    <x v="0"/>
    <n v="1005"/>
    <x v="27"/>
    <x v="0"/>
    <x v="46"/>
    <n v="3010"/>
    <x v="194"/>
    <n v="0"/>
    <x v="0"/>
    <s v="BX 18"/>
    <n v="10"/>
    <n v="310"/>
    <x v="135"/>
    <s v="Annual"/>
    <n v="1"/>
    <n v="1"/>
    <n v="89112"/>
    <n v="89112"/>
  </r>
  <r>
    <x v="0"/>
    <n v="62"/>
    <x v="26"/>
    <x v="0"/>
    <x v="0"/>
    <n v="1005"/>
    <x v="27"/>
    <x v="0"/>
    <x v="46"/>
    <n v="3010"/>
    <x v="194"/>
    <n v="0"/>
    <x v="0"/>
    <s v="1 00"/>
    <n v="0"/>
    <n v="15"/>
    <x v="37"/>
    <s v="Annual"/>
    <n v="0"/>
    <n v="0"/>
    <n v="21032"/>
    <n v="21032"/>
  </r>
  <r>
    <x v="0"/>
    <n v="62"/>
    <x v="26"/>
    <x v="0"/>
    <x v="0"/>
    <n v="1005"/>
    <x v="27"/>
    <x v="0"/>
    <x v="46"/>
    <n v="3015"/>
    <x v="195"/>
    <n v="0"/>
    <x v="0"/>
    <s v="X 32"/>
    <n v="0"/>
    <n v="8780"/>
    <x v="805"/>
    <s v="Annual"/>
    <n v="1"/>
    <n v="1"/>
    <n v="175512"/>
    <n v="175512"/>
  </r>
  <r>
    <x v="0"/>
    <n v="62"/>
    <x v="26"/>
    <x v="0"/>
    <x v="0"/>
    <n v="1005"/>
    <x v="27"/>
    <x v="0"/>
    <x v="46"/>
    <n v="3015"/>
    <x v="195"/>
    <n v="0"/>
    <x v="0"/>
    <s v="BX 17"/>
    <n v="10"/>
    <n v="1431"/>
    <x v="82"/>
    <s v="Annual"/>
    <n v="1"/>
    <n v="1"/>
    <n v="97836"/>
    <n v="97836"/>
  </r>
  <r>
    <x v="0"/>
    <n v="62"/>
    <x v="26"/>
    <x v="0"/>
    <x v="0"/>
    <n v="1005"/>
    <x v="27"/>
    <x v="0"/>
    <x v="46"/>
    <n v="3015"/>
    <x v="195"/>
    <n v="0"/>
    <x v="0"/>
    <s v="BX 16"/>
    <n v="10"/>
    <n v="1430"/>
    <x v="355"/>
    <s v="Annual"/>
    <n v="1"/>
    <n v="1"/>
    <n v="89112"/>
    <n v="89112"/>
  </r>
  <r>
    <x v="0"/>
    <n v="62"/>
    <x v="26"/>
    <x v="0"/>
    <x v="0"/>
    <n v="1005"/>
    <x v="27"/>
    <x v="0"/>
    <x v="46"/>
    <n v="3015"/>
    <x v="195"/>
    <n v="0"/>
    <x v="0"/>
    <s v="1 00"/>
    <n v="0"/>
    <n v="15"/>
    <x v="37"/>
    <s v="Annual"/>
    <n v="0"/>
    <n v="0"/>
    <n v="3409"/>
    <n v="3409"/>
  </r>
  <r>
    <x v="0"/>
    <n v="62"/>
    <x v="26"/>
    <x v="0"/>
    <x v="0"/>
    <n v="1005"/>
    <x v="27"/>
    <x v="0"/>
    <x v="46"/>
    <n v="3020"/>
    <x v="118"/>
    <n v="0"/>
    <x v="0"/>
    <s v="X 32"/>
    <n v="9"/>
    <n v="9684"/>
    <x v="76"/>
    <s v="Annual"/>
    <n v="1"/>
    <n v="1"/>
    <n v="139140"/>
    <n v="139140"/>
  </r>
  <r>
    <x v="0"/>
    <n v="62"/>
    <x v="26"/>
    <x v="0"/>
    <x v="0"/>
    <n v="1005"/>
    <x v="27"/>
    <x v="0"/>
    <x v="46"/>
    <n v="3020"/>
    <x v="118"/>
    <n v="0"/>
    <x v="0"/>
    <s v="BX 16"/>
    <n v="10"/>
    <n v="3858"/>
    <x v="544"/>
    <s v="Annual"/>
    <n v="1"/>
    <n v="1"/>
    <n v="83052"/>
    <n v="83052"/>
  </r>
  <r>
    <x v="0"/>
    <n v="62"/>
    <x v="26"/>
    <x v="0"/>
    <x v="0"/>
    <n v="1005"/>
    <x v="27"/>
    <x v="0"/>
    <x v="46"/>
    <n v="3020"/>
    <x v="118"/>
    <n v="0"/>
    <x v="0"/>
    <s v="PX 02"/>
    <n v="9"/>
    <n v="705"/>
    <x v="33"/>
    <s v="Annual"/>
    <n v="1"/>
    <n v="1"/>
    <n v="123372"/>
    <n v="123372"/>
  </r>
  <r>
    <x v="0"/>
    <n v="62"/>
    <x v="26"/>
    <x v="0"/>
    <x v="0"/>
    <n v="1005"/>
    <x v="27"/>
    <x v="0"/>
    <x v="46"/>
    <n v="3020"/>
    <x v="118"/>
    <n v="0"/>
    <x v="0"/>
    <s v="B 14"/>
    <n v="1"/>
    <n v="703"/>
    <x v="595"/>
    <s v="Annual"/>
    <n v="1"/>
    <n v="1"/>
    <n v="75336"/>
    <n v="75336"/>
  </r>
  <r>
    <x v="0"/>
    <n v="62"/>
    <x v="26"/>
    <x v="0"/>
    <x v="0"/>
    <n v="1005"/>
    <x v="27"/>
    <x v="0"/>
    <x v="46"/>
    <n v="3020"/>
    <x v="118"/>
    <n v="0"/>
    <x v="0"/>
    <s v="1 00"/>
    <n v="0"/>
    <n v="15"/>
    <x v="37"/>
    <s v="Annual"/>
    <n v="0"/>
    <n v="0"/>
    <n v="3619"/>
    <n v="3619"/>
  </r>
  <r>
    <x v="0"/>
    <n v="62"/>
    <x v="26"/>
    <x v="0"/>
    <x v="0"/>
    <n v="1005"/>
    <x v="27"/>
    <x v="0"/>
    <x v="46"/>
    <n v="3025"/>
    <x v="17"/>
    <n v="0"/>
    <x v="0"/>
    <s v="X 32"/>
    <n v="9"/>
    <n v="9756"/>
    <x v="38"/>
    <s v="Annual"/>
    <n v="1"/>
    <n v="1"/>
    <n v="175512"/>
    <n v="175512"/>
  </r>
  <r>
    <x v="0"/>
    <n v="62"/>
    <x v="26"/>
    <x v="0"/>
    <x v="0"/>
    <n v="1005"/>
    <x v="27"/>
    <x v="0"/>
    <x v="46"/>
    <n v="3025"/>
    <x v="17"/>
    <n v="0"/>
    <x v="0"/>
    <s v="GY 12"/>
    <n v="20"/>
    <n v="1609"/>
    <x v="806"/>
    <s v="Annual"/>
    <n v="1"/>
    <n v="1"/>
    <n v="115992"/>
    <n v="115992"/>
  </r>
  <r>
    <x v="0"/>
    <n v="62"/>
    <x v="26"/>
    <x v="0"/>
    <x v="0"/>
    <n v="1005"/>
    <x v="27"/>
    <x v="0"/>
    <x v="46"/>
    <n v="3025"/>
    <x v="17"/>
    <n v="0"/>
    <x v="0"/>
    <s v="1 00"/>
    <n v="0"/>
    <n v="15"/>
    <x v="37"/>
    <s v="Annual"/>
    <n v="0"/>
    <n v="0"/>
    <n v="2922"/>
    <n v="2922"/>
  </r>
  <r>
    <x v="0"/>
    <n v="62"/>
    <x v="26"/>
    <x v="0"/>
    <x v="0"/>
    <n v="1005"/>
    <x v="27"/>
    <x v="0"/>
    <x v="46"/>
    <n v="3030"/>
    <x v="196"/>
    <n v="0"/>
    <x v="0"/>
    <s v="X 32"/>
    <n v="9"/>
    <n v="9684"/>
    <x v="76"/>
    <s v="Annual"/>
    <n v="1"/>
    <n v="1"/>
    <n v="175512"/>
    <n v="175512"/>
  </r>
  <r>
    <x v="0"/>
    <n v="62"/>
    <x v="26"/>
    <x v="0"/>
    <x v="0"/>
    <n v="1005"/>
    <x v="27"/>
    <x v="0"/>
    <x v="46"/>
    <n v="3030"/>
    <x v="196"/>
    <n v="0"/>
    <x v="0"/>
    <s v="B 12"/>
    <n v="1"/>
    <s v="03A8"/>
    <x v="88"/>
    <s v="Annual"/>
    <n v="1"/>
    <n v="1"/>
    <n v="62544"/>
    <n v="62544"/>
  </r>
  <r>
    <x v="0"/>
    <n v="62"/>
    <x v="26"/>
    <x v="0"/>
    <x v="0"/>
    <n v="1005"/>
    <x v="27"/>
    <x v="0"/>
    <x v="46"/>
    <n v="3030"/>
    <x v="196"/>
    <n v="0"/>
    <x v="0"/>
    <s v="BX 18"/>
    <n v="10"/>
    <n v="310"/>
    <x v="135"/>
    <s v="Annual"/>
    <n v="2"/>
    <n v="1"/>
    <n v="118956"/>
    <n v="237912"/>
  </r>
  <r>
    <x v="0"/>
    <n v="62"/>
    <x v="26"/>
    <x v="0"/>
    <x v="0"/>
    <n v="1005"/>
    <x v="27"/>
    <x v="0"/>
    <x v="46"/>
    <n v="3030"/>
    <x v="196"/>
    <n v="0"/>
    <x v="0"/>
    <s v="1 00"/>
    <n v="0"/>
    <n v="15"/>
    <x v="37"/>
    <s v="Annual"/>
    <n v="0"/>
    <n v="0"/>
    <n v="5646"/>
    <n v="5646"/>
  </r>
  <r>
    <x v="0"/>
    <n v="67"/>
    <x v="27"/>
    <x v="0"/>
    <x v="0"/>
    <n v="1005"/>
    <x v="28"/>
    <x v="0"/>
    <x v="47"/>
    <n v="3006"/>
    <x v="22"/>
    <n v="4001"/>
    <x v="177"/>
    <s v="1 00"/>
    <n v="9"/>
    <n v="9967"/>
    <x v="807"/>
    <s v="Annual"/>
    <n v="1"/>
    <n v="1"/>
    <n v="204420"/>
    <n v="204420"/>
  </r>
  <r>
    <x v="0"/>
    <n v="67"/>
    <x v="27"/>
    <x v="0"/>
    <x v="0"/>
    <n v="1005"/>
    <x v="28"/>
    <x v="0"/>
    <x v="47"/>
    <n v="3006"/>
    <x v="22"/>
    <n v="4001"/>
    <x v="177"/>
    <s v="X 31"/>
    <n v="9"/>
    <n v="9813"/>
    <x v="216"/>
    <s v="Annual"/>
    <n v="1"/>
    <n v="1"/>
    <n v="188400"/>
    <n v="188400"/>
  </r>
  <r>
    <x v="0"/>
    <n v="67"/>
    <x v="27"/>
    <x v="0"/>
    <x v="0"/>
    <n v="1005"/>
    <x v="28"/>
    <x v="0"/>
    <x v="47"/>
    <n v="3006"/>
    <x v="22"/>
    <n v="4001"/>
    <x v="177"/>
    <s v="X 32"/>
    <n v="9"/>
    <n v="9679"/>
    <x v="81"/>
    <s v="Annual"/>
    <n v="1"/>
    <n v="1"/>
    <n v="175512"/>
    <n v="175512"/>
  </r>
  <r>
    <x v="0"/>
    <n v="67"/>
    <x v="27"/>
    <x v="0"/>
    <x v="0"/>
    <n v="1005"/>
    <x v="28"/>
    <x v="0"/>
    <x v="47"/>
    <n v="3006"/>
    <x v="22"/>
    <n v="4001"/>
    <x v="177"/>
    <s v="X 31"/>
    <n v="9"/>
    <n v="9660"/>
    <x v="353"/>
    <s v="Annual"/>
    <n v="1"/>
    <n v="1"/>
    <n v="180324"/>
    <n v="180324"/>
  </r>
  <r>
    <x v="0"/>
    <n v="67"/>
    <x v="27"/>
    <x v="0"/>
    <x v="0"/>
    <n v="1005"/>
    <x v="28"/>
    <x v="0"/>
    <x v="47"/>
    <n v="3006"/>
    <x v="22"/>
    <n v="4001"/>
    <x v="177"/>
    <s v="B 16"/>
    <n v="3"/>
    <n v="2131"/>
    <x v="808"/>
    <s v="Annual"/>
    <n v="1"/>
    <n v="1"/>
    <n v="143400"/>
    <n v="143400"/>
  </r>
  <r>
    <x v="0"/>
    <n v="67"/>
    <x v="27"/>
    <x v="0"/>
    <x v="0"/>
    <n v="1005"/>
    <x v="28"/>
    <x v="0"/>
    <x v="47"/>
    <n v="3006"/>
    <x v="22"/>
    <n v="4001"/>
    <x v="177"/>
    <s v="B 14"/>
    <n v="4"/>
    <n v="1912"/>
    <x v="222"/>
    <s v="Annual"/>
    <n v="1"/>
    <n v="1"/>
    <n v="75336"/>
    <n v="75336"/>
  </r>
  <r>
    <x v="0"/>
    <n v="67"/>
    <x v="27"/>
    <x v="0"/>
    <x v="0"/>
    <n v="1005"/>
    <x v="28"/>
    <x v="0"/>
    <x v="47"/>
    <n v="3006"/>
    <x v="22"/>
    <n v="4001"/>
    <x v="177"/>
    <s v="BX 16"/>
    <n v="10"/>
    <n v="1430"/>
    <x v="355"/>
    <s v="Annual"/>
    <n v="1"/>
    <n v="1"/>
    <n v="108432"/>
    <n v="108432"/>
  </r>
  <r>
    <x v="0"/>
    <n v="67"/>
    <x v="27"/>
    <x v="0"/>
    <x v="0"/>
    <n v="1005"/>
    <x v="28"/>
    <x v="0"/>
    <x v="47"/>
    <n v="3006"/>
    <x v="22"/>
    <n v="4001"/>
    <x v="177"/>
    <s v="BX 16"/>
    <n v="10"/>
    <n v="1430"/>
    <x v="355"/>
    <s v="Annual"/>
    <n v="1"/>
    <n v="1"/>
    <n v="83052"/>
    <n v="83052"/>
  </r>
  <r>
    <x v="0"/>
    <n v="67"/>
    <x v="27"/>
    <x v="0"/>
    <x v="0"/>
    <n v="1005"/>
    <x v="28"/>
    <x v="0"/>
    <x v="47"/>
    <n v="3006"/>
    <x v="22"/>
    <n v="4001"/>
    <x v="177"/>
    <s v="PX 02"/>
    <n v="9"/>
    <n v="705"/>
    <x v="33"/>
    <s v="Annual"/>
    <n v="1"/>
    <n v="1"/>
    <n v="111300"/>
    <n v="111300"/>
  </r>
  <r>
    <x v="0"/>
    <n v="67"/>
    <x v="27"/>
    <x v="0"/>
    <x v="0"/>
    <n v="1005"/>
    <x v="28"/>
    <x v="0"/>
    <x v="47"/>
    <n v="3006"/>
    <x v="22"/>
    <n v="4001"/>
    <x v="177"/>
    <s v="B 13"/>
    <n v="1"/>
    <n v="308"/>
    <x v="90"/>
    <s v="Annual"/>
    <n v="1"/>
    <n v="1"/>
    <n v="119100"/>
    <n v="119100"/>
  </r>
  <r>
    <x v="0"/>
    <n v="67"/>
    <x v="27"/>
    <x v="0"/>
    <x v="0"/>
    <n v="1005"/>
    <x v="28"/>
    <x v="0"/>
    <x v="47"/>
    <n v="3006"/>
    <x v="22"/>
    <n v="4001"/>
    <x v="177"/>
    <s v="B 13"/>
    <n v="1"/>
    <n v="308"/>
    <x v="90"/>
    <s v="Annual"/>
    <n v="1"/>
    <n v="1"/>
    <n v="108576"/>
    <n v="108576"/>
  </r>
  <r>
    <x v="0"/>
    <n v="67"/>
    <x v="27"/>
    <x v="0"/>
    <x v="0"/>
    <n v="1005"/>
    <x v="28"/>
    <x v="0"/>
    <x v="47"/>
    <n v="3006"/>
    <x v="22"/>
    <n v="4001"/>
    <x v="177"/>
    <s v="1 00"/>
    <n v="0"/>
    <n v="15"/>
    <x v="37"/>
    <s v="Annual"/>
    <n v="0"/>
    <n v="0"/>
    <n v="13008"/>
    <n v="13008"/>
  </r>
  <r>
    <x v="0"/>
    <n v="67"/>
    <x v="27"/>
    <x v="0"/>
    <x v="0"/>
    <n v="1005"/>
    <x v="28"/>
    <x v="0"/>
    <x v="47"/>
    <n v="3006"/>
    <x v="22"/>
    <n v="4002"/>
    <x v="178"/>
    <s v="BX 17"/>
    <n v="20"/>
    <n v="1327"/>
    <x v="596"/>
    <s v="Annual"/>
    <n v="1"/>
    <n v="1"/>
    <n v="136692"/>
    <n v="136692"/>
  </r>
  <r>
    <x v="0"/>
    <n v="67"/>
    <x v="27"/>
    <x v="0"/>
    <x v="0"/>
    <n v="1005"/>
    <x v="28"/>
    <x v="0"/>
    <x v="47"/>
    <n v="3006"/>
    <x v="22"/>
    <n v="4002"/>
    <x v="178"/>
    <s v="B 13"/>
    <n v="1"/>
    <n v="1301"/>
    <x v="227"/>
    <s v="Annual"/>
    <n v="1"/>
    <n v="1"/>
    <n v="119100"/>
    <n v="119100"/>
  </r>
  <r>
    <x v="0"/>
    <n v="67"/>
    <x v="27"/>
    <x v="0"/>
    <x v="0"/>
    <n v="1005"/>
    <x v="28"/>
    <x v="0"/>
    <x v="47"/>
    <n v="3006"/>
    <x v="22"/>
    <n v="4002"/>
    <x v="178"/>
    <s v="B 13"/>
    <n v="1"/>
    <n v="308"/>
    <x v="90"/>
    <s v="Annual"/>
    <n v="1"/>
    <n v="1"/>
    <n v="119100"/>
    <n v="119100"/>
  </r>
  <r>
    <x v="0"/>
    <n v="67"/>
    <x v="27"/>
    <x v="0"/>
    <x v="0"/>
    <n v="1005"/>
    <x v="28"/>
    <x v="0"/>
    <x v="47"/>
    <n v="3006"/>
    <x v="22"/>
    <n v="4004"/>
    <x v="179"/>
    <s v="BX 19"/>
    <n v="10"/>
    <n v="216"/>
    <x v="809"/>
    <s v="Annual"/>
    <n v="1"/>
    <n v="1"/>
    <n v="124584"/>
    <n v="124584"/>
  </r>
  <r>
    <x v="0"/>
    <n v="67"/>
    <x v="27"/>
    <x v="0"/>
    <x v="0"/>
    <n v="1005"/>
    <x v="28"/>
    <x v="0"/>
    <x v="47"/>
    <n v="3006"/>
    <x v="22"/>
    <n v="4004"/>
    <x v="179"/>
    <s v="1 00"/>
    <n v="0"/>
    <n v="15"/>
    <x v="37"/>
    <s v="Annual"/>
    <n v="0"/>
    <n v="0"/>
    <n v="2970"/>
    <n v="2970"/>
  </r>
  <r>
    <x v="0"/>
    <n v="67"/>
    <x v="27"/>
    <x v="0"/>
    <x v="0"/>
    <n v="1005"/>
    <x v="28"/>
    <x v="0"/>
    <x v="47"/>
    <n v="3012"/>
    <x v="146"/>
    <n v="4057"/>
    <x v="88"/>
    <s v="X 32"/>
    <n v="9"/>
    <n v="9679"/>
    <x v="81"/>
    <s v="Annual"/>
    <n v="1"/>
    <n v="1"/>
    <n v="157332"/>
    <n v="157332"/>
  </r>
  <r>
    <x v="0"/>
    <n v="67"/>
    <x v="27"/>
    <x v="0"/>
    <x v="0"/>
    <n v="1005"/>
    <x v="28"/>
    <x v="0"/>
    <x v="47"/>
    <n v="3012"/>
    <x v="146"/>
    <n v="4057"/>
    <x v="88"/>
    <s v="G 08"/>
    <n v="4"/>
    <n v="673"/>
    <x v="218"/>
    <s v="Annual"/>
    <n v="1"/>
    <n v="1"/>
    <n v="141564"/>
    <n v="141564"/>
  </r>
  <r>
    <x v="0"/>
    <n v="67"/>
    <x v="27"/>
    <x v="0"/>
    <x v="0"/>
    <n v="1005"/>
    <x v="28"/>
    <x v="0"/>
    <x v="47"/>
    <n v="3012"/>
    <x v="146"/>
    <n v="4057"/>
    <x v="88"/>
    <s v="X 33"/>
    <n v="0"/>
    <n v="601"/>
    <x v="332"/>
    <s v="Annual"/>
    <n v="1"/>
    <n v="1"/>
    <n v="153384"/>
    <n v="153384"/>
  </r>
  <r>
    <x v="0"/>
    <n v="67"/>
    <x v="27"/>
    <x v="0"/>
    <x v="0"/>
    <n v="1005"/>
    <x v="28"/>
    <x v="0"/>
    <x v="47"/>
    <n v="3012"/>
    <x v="146"/>
    <n v="4057"/>
    <x v="88"/>
    <s v="1 00"/>
    <n v="0"/>
    <n v="15"/>
    <x v="37"/>
    <s v="Annual"/>
    <n v="0"/>
    <n v="0"/>
    <n v="6976"/>
    <n v="6976"/>
  </r>
  <r>
    <x v="0"/>
    <n v="67"/>
    <x v="27"/>
    <x v="0"/>
    <x v="0"/>
    <n v="1005"/>
    <x v="28"/>
    <x v="0"/>
    <x v="47"/>
    <n v="3012"/>
    <x v="146"/>
    <n v="4059"/>
    <x v="180"/>
    <s v="B 12"/>
    <n v="1"/>
    <s v="03A8"/>
    <x v="88"/>
    <s v="Annual"/>
    <n v="1"/>
    <n v="1"/>
    <n v="108576"/>
    <n v="108576"/>
  </r>
  <r>
    <x v="0"/>
    <n v="67"/>
    <x v="27"/>
    <x v="0"/>
    <x v="0"/>
    <n v="1005"/>
    <x v="28"/>
    <x v="0"/>
    <x v="47"/>
    <n v="3012"/>
    <x v="146"/>
    <n v="4059"/>
    <x v="180"/>
    <s v="B 12"/>
    <n v="1"/>
    <s v="03A8"/>
    <x v="88"/>
    <s v="Annual"/>
    <n v="1"/>
    <n v="1"/>
    <n v="74172"/>
    <n v="74172"/>
  </r>
  <r>
    <x v="0"/>
    <n v="67"/>
    <x v="27"/>
    <x v="0"/>
    <x v="0"/>
    <n v="1005"/>
    <x v="28"/>
    <x v="0"/>
    <x v="47"/>
    <n v="3012"/>
    <x v="146"/>
    <n v="4059"/>
    <x v="180"/>
    <s v="B 10"/>
    <n v="1"/>
    <s v="03A7"/>
    <x v="4"/>
    <s v="Annual"/>
    <n v="6"/>
    <n v="1"/>
    <n v="90144"/>
    <n v="540864"/>
  </r>
  <r>
    <x v="0"/>
    <n v="67"/>
    <x v="27"/>
    <x v="0"/>
    <x v="0"/>
    <n v="1005"/>
    <x v="28"/>
    <x v="0"/>
    <x v="47"/>
    <n v="3012"/>
    <x v="146"/>
    <n v="4059"/>
    <x v="180"/>
    <s v="B 10"/>
    <n v="1"/>
    <s v="03A7"/>
    <x v="4"/>
    <s v="Annual"/>
    <n v="1"/>
    <n v="1"/>
    <n v="78432"/>
    <n v="78432"/>
  </r>
  <r>
    <x v="0"/>
    <n v="67"/>
    <x v="27"/>
    <x v="0"/>
    <x v="0"/>
    <n v="1005"/>
    <x v="28"/>
    <x v="0"/>
    <x v="47"/>
    <n v="3012"/>
    <x v="146"/>
    <n v="4059"/>
    <x v="180"/>
    <s v="B 13"/>
    <n v="1"/>
    <n v="308"/>
    <x v="90"/>
    <s v="Annual"/>
    <n v="2"/>
    <n v="1"/>
    <n v="119100"/>
    <n v="238200"/>
  </r>
  <r>
    <x v="0"/>
    <n v="67"/>
    <x v="27"/>
    <x v="0"/>
    <x v="0"/>
    <n v="1005"/>
    <x v="28"/>
    <x v="0"/>
    <x v="47"/>
    <n v="3012"/>
    <x v="146"/>
    <n v="4059"/>
    <x v="180"/>
    <s v="B 13"/>
    <n v="1"/>
    <n v="308"/>
    <x v="90"/>
    <s v="Annual"/>
    <n v="1"/>
    <n v="1"/>
    <n v="77640"/>
    <n v="77640"/>
  </r>
  <r>
    <x v="0"/>
    <n v="67"/>
    <x v="27"/>
    <x v="0"/>
    <x v="0"/>
    <n v="1005"/>
    <x v="28"/>
    <x v="0"/>
    <x v="47"/>
    <n v="3012"/>
    <x v="146"/>
    <n v="4059"/>
    <x v="180"/>
    <s v="1 00"/>
    <n v="0"/>
    <n v="15"/>
    <x v="37"/>
    <s v="Annual"/>
    <n v="0"/>
    <n v="0"/>
    <n v="4204"/>
    <n v="4204"/>
  </r>
  <r>
    <x v="0"/>
    <n v="67"/>
    <x v="27"/>
    <x v="0"/>
    <x v="0"/>
    <n v="1005"/>
    <x v="28"/>
    <x v="0"/>
    <x v="47"/>
    <n v="3015"/>
    <x v="197"/>
    <n v="0"/>
    <x v="0"/>
    <s v="G 08"/>
    <n v="4"/>
    <n v="5620"/>
    <x v="810"/>
    <s v="Annual"/>
    <n v="1"/>
    <n v="1"/>
    <n v="141564"/>
    <n v="141564"/>
  </r>
  <r>
    <x v="0"/>
    <n v="67"/>
    <x v="27"/>
    <x v="0"/>
    <x v="0"/>
    <n v="1005"/>
    <x v="28"/>
    <x v="0"/>
    <x v="47"/>
    <n v="3015"/>
    <x v="197"/>
    <n v="0"/>
    <x v="0"/>
    <s v="G 08"/>
    <n v="4"/>
    <n v="5425"/>
    <x v="811"/>
    <s v="Annual"/>
    <n v="1"/>
    <n v="1"/>
    <n v="146460"/>
    <n v="146460"/>
  </r>
  <r>
    <x v="0"/>
    <n v="67"/>
    <x v="27"/>
    <x v="0"/>
    <x v="0"/>
    <n v="1005"/>
    <x v="28"/>
    <x v="0"/>
    <x v="47"/>
    <n v="3015"/>
    <x v="197"/>
    <n v="0"/>
    <x v="0"/>
    <s v="G 08"/>
    <n v="4"/>
    <n v="5425"/>
    <x v="811"/>
    <s v="Annual"/>
    <n v="5"/>
    <n v="1"/>
    <n v="141564"/>
    <n v="707820"/>
  </r>
  <r>
    <x v="0"/>
    <n v="67"/>
    <x v="27"/>
    <x v="0"/>
    <x v="0"/>
    <n v="1005"/>
    <x v="28"/>
    <x v="0"/>
    <x v="47"/>
    <n v="3015"/>
    <x v="197"/>
    <n v="0"/>
    <x v="0"/>
    <s v="G 08"/>
    <n v="4"/>
    <n v="5425"/>
    <x v="811"/>
    <s v="Annual"/>
    <n v="1"/>
    <n v="1"/>
    <n v="134184"/>
    <n v="134184"/>
  </r>
  <r>
    <x v="0"/>
    <n v="67"/>
    <x v="27"/>
    <x v="0"/>
    <x v="0"/>
    <n v="1005"/>
    <x v="28"/>
    <x v="0"/>
    <x v="47"/>
    <n v="3015"/>
    <x v="197"/>
    <n v="0"/>
    <x v="0"/>
    <s v="G 08"/>
    <n v="4"/>
    <n v="5425"/>
    <x v="811"/>
    <s v="Annual"/>
    <n v="1"/>
    <n v="1"/>
    <n v="112536"/>
    <n v="112536"/>
  </r>
  <r>
    <x v="0"/>
    <n v="67"/>
    <x v="27"/>
    <x v="0"/>
    <x v="0"/>
    <n v="1005"/>
    <x v="28"/>
    <x v="0"/>
    <x v="47"/>
    <n v="3015"/>
    <x v="197"/>
    <n v="0"/>
    <x v="0"/>
    <s v="G 08"/>
    <n v="4"/>
    <n v="5425"/>
    <x v="811"/>
    <s v="Annual"/>
    <n v="2"/>
    <n v="1"/>
    <n v="99408"/>
    <n v="198816"/>
  </r>
  <r>
    <x v="0"/>
    <n v="67"/>
    <x v="27"/>
    <x v="0"/>
    <x v="0"/>
    <n v="1005"/>
    <x v="28"/>
    <x v="0"/>
    <x v="47"/>
    <n v="3015"/>
    <x v="197"/>
    <n v="0"/>
    <x v="0"/>
    <s v="G 08"/>
    <n v="4"/>
    <n v="5404"/>
    <x v="592"/>
    <s v="Annual"/>
    <n v="7"/>
    <n v="1"/>
    <n v="141564"/>
    <n v="990948"/>
  </r>
  <r>
    <x v="0"/>
    <n v="67"/>
    <x v="27"/>
    <x v="0"/>
    <x v="0"/>
    <n v="1005"/>
    <x v="28"/>
    <x v="0"/>
    <x v="47"/>
    <n v="3015"/>
    <x v="197"/>
    <n v="0"/>
    <x v="0"/>
    <s v="G 08"/>
    <n v="4"/>
    <n v="5404"/>
    <x v="592"/>
    <s v="Annual"/>
    <n v="2"/>
    <n v="1"/>
    <n v="99408"/>
    <n v="198816"/>
  </r>
  <r>
    <x v="0"/>
    <n v="67"/>
    <x v="27"/>
    <x v="0"/>
    <x v="0"/>
    <n v="1005"/>
    <x v="28"/>
    <x v="0"/>
    <x v="47"/>
    <n v="3015"/>
    <x v="197"/>
    <n v="0"/>
    <x v="0"/>
    <s v="2 0"/>
    <n v="32"/>
    <n v="5151"/>
    <x v="812"/>
    <s v="Monthly"/>
    <n v="1"/>
    <n v="1"/>
    <n v="11011"/>
    <n v="132132"/>
  </r>
  <r>
    <x v="0"/>
    <n v="67"/>
    <x v="27"/>
    <x v="0"/>
    <x v="0"/>
    <n v="1005"/>
    <x v="28"/>
    <x v="0"/>
    <x v="47"/>
    <n v="3015"/>
    <x v="197"/>
    <n v="0"/>
    <x v="0"/>
    <s v="2 0"/>
    <n v="41"/>
    <n v="2184"/>
    <x v="813"/>
    <s v="Monthly"/>
    <n v="3"/>
    <n v="1"/>
    <n v="10218"/>
    <n v="367848"/>
  </r>
  <r>
    <x v="0"/>
    <n v="67"/>
    <x v="27"/>
    <x v="0"/>
    <x v="0"/>
    <n v="1005"/>
    <x v="28"/>
    <x v="0"/>
    <x v="47"/>
    <n v="3015"/>
    <x v="197"/>
    <n v="0"/>
    <x v="0"/>
    <s v="2 0"/>
    <n v="14"/>
    <n v="2135"/>
    <x v="814"/>
    <s v="Monthly"/>
    <n v="1"/>
    <n v="1"/>
    <n v="10573.33"/>
    <n v="126880"/>
  </r>
  <r>
    <x v="0"/>
    <n v="67"/>
    <x v="27"/>
    <x v="0"/>
    <x v="0"/>
    <n v="1005"/>
    <x v="28"/>
    <x v="0"/>
    <x v="47"/>
    <n v="3015"/>
    <x v="197"/>
    <n v="0"/>
    <x v="0"/>
    <s v="2 0"/>
    <n v="14"/>
    <n v="2135"/>
    <x v="814"/>
    <s v="Monthly"/>
    <n v="1"/>
    <n v="1"/>
    <n v="9550.67"/>
    <n v="114608"/>
  </r>
  <r>
    <x v="0"/>
    <n v="67"/>
    <x v="27"/>
    <x v="0"/>
    <x v="0"/>
    <n v="1005"/>
    <x v="28"/>
    <x v="0"/>
    <x v="47"/>
    <n v="3015"/>
    <x v="197"/>
    <n v="0"/>
    <x v="0"/>
    <s v="BX 18"/>
    <n v="10"/>
    <n v="311"/>
    <x v="253"/>
    <s v="Annual"/>
    <n v="1"/>
    <n v="1"/>
    <n v="124584"/>
    <n v="124584"/>
  </r>
  <r>
    <x v="0"/>
    <n v="67"/>
    <x v="27"/>
    <x v="0"/>
    <x v="0"/>
    <n v="1005"/>
    <x v="28"/>
    <x v="0"/>
    <x v="47"/>
    <n v="3015"/>
    <x v="197"/>
    <n v="0"/>
    <x v="0"/>
    <s v="1 00"/>
    <n v="0"/>
    <n v="15"/>
    <x v="37"/>
    <s v="Annual"/>
    <n v="0"/>
    <n v="0"/>
    <n v="5657"/>
    <n v="5657"/>
  </r>
  <r>
    <x v="0"/>
    <n v="67"/>
    <x v="27"/>
    <x v="0"/>
    <x v="0"/>
    <n v="1005"/>
    <x v="28"/>
    <x v="0"/>
    <x v="47"/>
    <n v="3015"/>
    <x v="197"/>
    <n v="0"/>
    <x v="0"/>
    <s v="1 00"/>
    <n v="0"/>
    <n v="12"/>
    <x v="291"/>
    <s v="Annual"/>
    <n v="0"/>
    <n v="0"/>
    <n v="11122"/>
    <n v="11122"/>
  </r>
  <r>
    <x v="0"/>
    <n v="67"/>
    <x v="27"/>
    <x v="0"/>
    <x v="0"/>
    <n v="1005"/>
    <x v="28"/>
    <x v="0"/>
    <x v="47"/>
    <n v="3016"/>
    <x v="198"/>
    <n v="4073"/>
    <x v="181"/>
    <s v="T 18"/>
    <n v="44"/>
    <n v="2152"/>
    <x v="815"/>
    <s v="Annual"/>
    <n v="1"/>
    <n v="1"/>
    <n v="107136"/>
    <n v="107136"/>
  </r>
  <r>
    <x v="0"/>
    <n v="67"/>
    <x v="27"/>
    <x v="0"/>
    <x v="0"/>
    <n v="1005"/>
    <x v="28"/>
    <x v="0"/>
    <x v="47"/>
    <n v="3016"/>
    <x v="198"/>
    <n v="4073"/>
    <x v="181"/>
    <s v="T 17"/>
    <n v="44"/>
    <n v="2151"/>
    <x v="572"/>
    <s v="Annual"/>
    <n v="1"/>
    <n v="1"/>
    <n v="172572"/>
    <n v="172572"/>
  </r>
  <r>
    <x v="0"/>
    <n v="67"/>
    <x v="27"/>
    <x v="0"/>
    <x v="0"/>
    <n v="1005"/>
    <x v="28"/>
    <x v="0"/>
    <x v="47"/>
    <n v="3016"/>
    <x v="198"/>
    <n v="4073"/>
    <x v="181"/>
    <s v="T 17"/>
    <n v="44"/>
    <n v="2151"/>
    <x v="572"/>
    <s v="Annual"/>
    <n v="1"/>
    <n v="1"/>
    <n v="157296"/>
    <n v="157296"/>
  </r>
  <r>
    <x v="0"/>
    <n v="67"/>
    <x v="27"/>
    <x v="0"/>
    <x v="0"/>
    <n v="1005"/>
    <x v="28"/>
    <x v="0"/>
    <x v="47"/>
    <n v="3016"/>
    <x v="198"/>
    <n v="4073"/>
    <x v="181"/>
    <s v="T 16"/>
    <n v="44"/>
    <n v="2150"/>
    <x v="573"/>
    <s v="Annual"/>
    <n v="4"/>
    <n v="1"/>
    <n v="157296"/>
    <n v="629184"/>
  </r>
  <r>
    <x v="0"/>
    <n v="67"/>
    <x v="27"/>
    <x v="0"/>
    <x v="0"/>
    <n v="1005"/>
    <x v="28"/>
    <x v="0"/>
    <x v="47"/>
    <n v="3016"/>
    <x v="198"/>
    <n v="4073"/>
    <x v="181"/>
    <s v="T 16"/>
    <n v="44"/>
    <n v="2150"/>
    <x v="573"/>
    <s v="Annual"/>
    <n v="2"/>
    <n v="1"/>
    <n v="143352"/>
    <n v="286704"/>
  </r>
  <r>
    <x v="0"/>
    <n v="67"/>
    <x v="27"/>
    <x v="0"/>
    <x v="0"/>
    <n v="1005"/>
    <x v="28"/>
    <x v="0"/>
    <x v="47"/>
    <n v="3016"/>
    <x v="198"/>
    <n v="4073"/>
    <x v="181"/>
    <s v="T 16"/>
    <n v="44"/>
    <n v="2150"/>
    <x v="573"/>
    <s v="Annual"/>
    <n v="1"/>
    <n v="1"/>
    <n v="136872"/>
    <n v="136872"/>
  </r>
  <r>
    <x v="0"/>
    <n v="67"/>
    <x v="27"/>
    <x v="0"/>
    <x v="0"/>
    <n v="1005"/>
    <x v="28"/>
    <x v="0"/>
    <x v="47"/>
    <n v="3016"/>
    <x v="198"/>
    <n v="4073"/>
    <x v="181"/>
    <s v="T 16"/>
    <n v="44"/>
    <n v="2150"/>
    <x v="573"/>
    <s v="Annual"/>
    <n v="2"/>
    <n v="1"/>
    <n v="124740"/>
    <n v="249480"/>
  </r>
  <r>
    <x v="0"/>
    <n v="67"/>
    <x v="27"/>
    <x v="0"/>
    <x v="0"/>
    <n v="1005"/>
    <x v="28"/>
    <x v="0"/>
    <x v="47"/>
    <n v="3016"/>
    <x v="198"/>
    <n v="4073"/>
    <x v="181"/>
    <s v="T 16"/>
    <n v="44"/>
    <n v="2150"/>
    <x v="573"/>
    <s v="Annual"/>
    <n v="2"/>
    <n v="1"/>
    <n v="119052"/>
    <n v="238104"/>
  </r>
  <r>
    <x v="0"/>
    <n v="67"/>
    <x v="27"/>
    <x v="0"/>
    <x v="0"/>
    <n v="1005"/>
    <x v="28"/>
    <x v="0"/>
    <x v="47"/>
    <n v="3016"/>
    <x v="198"/>
    <n v="4073"/>
    <x v="181"/>
    <s v="T 16"/>
    <n v="44"/>
    <n v="2150"/>
    <x v="573"/>
    <s v="Annual"/>
    <n v="1"/>
    <n v="1"/>
    <n v="102540"/>
    <n v="102540"/>
  </r>
  <r>
    <x v="0"/>
    <n v="67"/>
    <x v="27"/>
    <x v="0"/>
    <x v="0"/>
    <n v="1005"/>
    <x v="28"/>
    <x v="0"/>
    <x v="47"/>
    <n v="3016"/>
    <x v="198"/>
    <n v="4073"/>
    <x v="181"/>
    <s v="B 14"/>
    <n v="4"/>
    <n v="1912"/>
    <x v="222"/>
    <s v="Annual"/>
    <n v="1"/>
    <n v="1"/>
    <n v="113628"/>
    <n v="113628"/>
  </r>
  <r>
    <x v="0"/>
    <n v="67"/>
    <x v="27"/>
    <x v="0"/>
    <x v="0"/>
    <n v="1005"/>
    <x v="28"/>
    <x v="0"/>
    <x v="47"/>
    <n v="3016"/>
    <x v="198"/>
    <n v="4073"/>
    <x v="181"/>
    <s v="1 00"/>
    <n v="0"/>
    <n v="15"/>
    <x v="37"/>
    <s v="Annual"/>
    <n v="0"/>
    <n v="0"/>
    <n v="7234"/>
    <n v="7234"/>
  </r>
  <r>
    <x v="0"/>
    <n v="67"/>
    <x v="27"/>
    <x v="0"/>
    <x v="0"/>
    <n v="1005"/>
    <x v="28"/>
    <x v="0"/>
    <x v="47"/>
    <n v="3016"/>
    <x v="198"/>
    <n v="4270"/>
    <x v="182"/>
    <s v="2 0"/>
    <n v="49"/>
    <n v="8315"/>
    <x v="816"/>
    <s v="Monthly"/>
    <n v="1"/>
    <n v="1"/>
    <n v="10117.469999999999"/>
    <n v="121410"/>
  </r>
  <r>
    <x v="0"/>
    <n v="67"/>
    <x v="27"/>
    <x v="0"/>
    <x v="0"/>
    <n v="1005"/>
    <x v="28"/>
    <x v="0"/>
    <x v="47"/>
    <n v="3016"/>
    <x v="198"/>
    <n v="4270"/>
    <x v="182"/>
    <s v="T 18"/>
    <n v="44"/>
    <n v="2152"/>
    <x v="815"/>
    <s v="Annual"/>
    <n v="1"/>
    <n v="1"/>
    <n v="156924"/>
    <n v="156924"/>
  </r>
  <r>
    <x v="0"/>
    <n v="67"/>
    <x v="27"/>
    <x v="0"/>
    <x v="0"/>
    <n v="1005"/>
    <x v="28"/>
    <x v="0"/>
    <x v="47"/>
    <n v="3016"/>
    <x v="198"/>
    <n v="4270"/>
    <x v="182"/>
    <s v="T 17"/>
    <n v="44"/>
    <n v="2151"/>
    <x v="572"/>
    <s v="Annual"/>
    <n v="1"/>
    <n v="1"/>
    <n v="172572"/>
    <n v="172572"/>
  </r>
  <r>
    <x v="0"/>
    <n v="67"/>
    <x v="27"/>
    <x v="0"/>
    <x v="0"/>
    <n v="1005"/>
    <x v="28"/>
    <x v="0"/>
    <x v="47"/>
    <n v="3016"/>
    <x v="198"/>
    <n v="4270"/>
    <x v="182"/>
    <s v="T 17"/>
    <n v="44"/>
    <n v="2151"/>
    <x v="572"/>
    <s v="Annual"/>
    <n v="1"/>
    <n v="1"/>
    <n v="157296"/>
    <n v="157296"/>
  </r>
  <r>
    <x v="0"/>
    <n v="67"/>
    <x v="27"/>
    <x v="0"/>
    <x v="0"/>
    <n v="1005"/>
    <x v="28"/>
    <x v="0"/>
    <x v="47"/>
    <n v="3016"/>
    <x v="198"/>
    <n v="4270"/>
    <x v="182"/>
    <s v="T 17"/>
    <n v="44"/>
    <n v="2151"/>
    <x v="572"/>
    <s v="Annual"/>
    <n v="1"/>
    <n v="1"/>
    <n v="150180"/>
    <n v="150180"/>
  </r>
  <r>
    <x v="0"/>
    <n v="67"/>
    <x v="27"/>
    <x v="0"/>
    <x v="0"/>
    <n v="1005"/>
    <x v="28"/>
    <x v="0"/>
    <x v="47"/>
    <n v="3016"/>
    <x v="198"/>
    <n v="4270"/>
    <x v="182"/>
    <s v="T 16"/>
    <n v="44"/>
    <n v="2150"/>
    <x v="573"/>
    <s v="Annual"/>
    <n v="1"/>
    <n v="1"/>
    <n v="157296"/>
    <n v="157296"/>
  </r>
  <r>
    <x v="0"/>
    <n v="67"/>
    <x v="27"/>
    <x v="0"/>
    <x v="0"/>
    <n v="1005"/>
    <x v="28"/>
    <x v="0"/>
    <x v="47"/>
    <n v="3016"/>
    <x v="198"/>
    <n v="4270"/>
    <x v="182"/>
    <s v="T 16"/>
    <n v="44"/>
    <n v="2150"/>
    <x v="573"/>
    <s v="Annual"/>
    <n v="4"/>
    <n v="1"/>
    <n v="143352"/>
    <n v="573408"/>
  </r>
  <r>
    <x v="0"/>
    <n v="67"/>
    <x v="27"/>
    <x v="0"/>
    <x v="0"/>
    <n v="1005"/>
    <x v="28"/>
    <x v="0"/>
    <x v="47"/>
    <n v="3016"/>
    <x v="198"/>
    <n v="4270"/>
    <x v="182"/>
    <s v="T 16"/>
    <n v="44"/>
    <n v="2150"/>
    <x v="573"/>
    <s v="Annual"/>
    <n v="2"/>
    <n v="1"/>
    <n v="136872"/>
    <n v="273744"/>
  </r>
  <r>
    <x v="0"/>
    <n v="67"/>
    <x v="27"/>
    <x v="0"/>
    <x v="0"/>
    <n v="1005"/>
    <x v="28"/>
    <x v="0"/>
    <x v="47"/>
    <n v="3016"/>
    <x v="198"/>
    <n v="4270"/>
    <x v="182"/>
    <s v="T 16"/>
    <n v="44"/>
    <n v="2150"/>
    <x v="573"/>
    <s v="Annual"/>
    <n v="2"/>
    <n v="1"/>
    <n v="124740"/>
    <n v="249480"/>
  </r>
  <r>
    <x v="0"/>
    <n v="67"/>
    <x v="27"/>
    <x v="0"/>
    <x v="0"/>
    <n v="1005"/>
    <x v="28"/>
    <x v="0"/>
    <x v="47"/>
    <n v="3016"/>
    <x v="198"/>
    <n v="4270"/>
    <x v="182"/>
    <s v="T 16"/>
    <n v="44"/>
    <n v="2150"/>
    <x v="573"/>
    <s v="Annual"/>
    <n v="4"/>
    <n v="1"/>
    <n v="119052"/>
    <n v="476208"/>
  </r>
  <r>
    <x v="0"/>
    <n v="67"/>
    <x v="27"/>
    <x v="0"/>
    <x v="0"/>
    <n v="1005"/>
    <x v="28"/>
    <x v="0"/>
    <x v="47"/>
    <n v="3016"/>
    <x v="198"/>
    <n v="4270"/>
    <x v="182"/>
    <s v="T 16"/>
    <n v="44"/>
    <n v="2150"/>
    <x v="573"/>
    <s v="Annual"/>
    <n v="1"/>
    <n v="1"/>
    <n v="112488"/>
    <n v="112488"/>
  </r>
  <r>
    <x v="0"/>
    <n v="67"/>
    <x v="27"/>
    <x v="0"/>
    <x v="0"/>
    <n v="1005"/>
    <x v="28"/>
    <x v="0"/>
    <x v="47"/>
    <n v="3016"/>
    <x v="198"/>
    <n v="4270"/>
    <x v="182"/>
    <s v="T 16"/>
    <n v="44"/>
    <n v="2150"/>
    <x v="573"/>
    <s v="Annual"/>
    <n v="4"/>
    <n v="1"/>
    <n v="107460"/>
    <n v="429840"/>
  </r>
  <r>
    <x v="0"/>
    <n v="67"/>
    <x v="27"/>
    <x v="0"/>
    <x v="0"/>
    <n v="1005"/>
    <x v="28"/>
    <x v="0"/>
    <x v="47"/>
    <n v="3016"/>
    <x v="198"/>
    <n v="4270"/>
    <x v="182"/>
    <s v="T 16"/>
    <n v="44"/>
    <n v="2150"/>
    <x v="573"/>
    <s v="Annual"/>
    <n v="2"/>
    <n v="1"/>
    <n v="102540"/>
    <n v="205080"/>
  </r>
  <r>
    <x v="0"/>
    <n v="67"/>
    <x v="27"/>
    <x v="0"/>
    <x v="0"/>
    <n v="1005"/>
    <x v="28"/>
    <x v="0"/>
    <x v="47"/>
    <n v="3016"/>
    <x v="198"/>
    <n v="4270"/>
    <x v="182"/>
    <s v="T 16"/>
    <n v="44"/>
    <n v="2150"/>
    <x v="573"/>
    <s v="Annual"/>
    <n v="2"/>
    <n v="1"/>
    <n v="97932"/>
    <n v="195864"/>
  </r>
  <r>
    <x v="0"/>
    <n v="67"/>
    <x v="27"/>
    <x v="0"/>
    <x v="0"/>
    <n v="1005"/>
    <x v="28"/>
    <x v="0"/>
    <x v="47"/>
    <n v="3016"/>
    <x v="198"/>
    <n v="4270"/>
    <x v="182"/>
    <s v="T 16"/>
    <n v="44"/>
    <n v="2150"/>
    <x v="573"/>
    <s v="Annual"/>
    <n v="6"/>
    <n v="1"/>
    <n v="93468"/>
    <n v="560808"/>
  </r>
  <r>
    <x v="0"/>
    <n v="67"/>
    <x v="27"/>
    <x v="0"/>
    <x v="0"/>
    <n v="1005"/>
    <x v="28"/>
    <x v="0"/>
    <x v="47"/>
    <n v="3016"/>
    <x v="198"/>
    <n v="4270"/>
    <x v="182"/>
    <s v="B 14"/>
    <n v="4"/>
    <n v="1912"/>
    <x v="222"/>
    <s v="Annual"/>
    <n v="1"/>
    <n v="1"/>
    <n v="124848"/>
    <n v="124848"/>
  </r>
  <r>
    <x v="0"/>
    <n v="67"/>
    <x v="27"/>
    <x v="0"/>
    <x v="0"/>
    <n v="1005"/>
    <x v="28"/>
    <x v="0"/>
    <x v="47"/>
    <n v="3016"/>
    <x v="198"/>
    <n v="4270"/>
    <x v="182"/>
    <s v="B 10"/>
    <n v="1"/>
    <s v="03A7"/>
    <x v="4"/>
    <s v="Annual"/>
    <n v="1"/>
    <n v="1"/>
    <n v="90144"/>
    <n v="90144"/>
  </r>
  <r>
    <x v="0"/>
    <n v="67"/>
    <x v="27"/>
    <x v="0"/>
    <x v="0"/>
    <n v="1005"/>
    <x v="28"/>
    <x v="0"/>
    <x v="47"/>
    <n v="3016"/>
    <x v="198"/>
    <n v="4270"/>
    <x v="182"/>
    <s v="1 00"/>
    <n v="0"/>
    <n v="15"/>
    <x v="37"/>
    <s v="Annual"/>
    <n v="0"/>
    <n v="0"/>
    <n v="31126"/>
    <n v="31126"/>
  </r>
  <r>
    <x v="0"/>
    <n v="67"/>
    <x v="27"/>
    <x v="0"/>
    <x v="0"/>
    <n v="1005"/>
    <x v="28"/>
    <x v="0"/>
    <x v="47"/>
    <n v="3016"/>
    <x v="198"/>
    <n v="4270"/>
    <x v="182"/>
    <s v="1 00"/>
    <n v="0"/>
    <n v="12"/>
    <x v="291"/>
    <s v="Annual"/>
    <n v="0"/>
    <n v="0"/>
    <n v="1821"/>
    <n v="1821"/>
  </r>
  <r>
    <x v="0"/>
    <n v="67"/>
    <x v="27"/>
    <x v="0"/>
    <x v="0"/>
    <n v="1005"/>
    <x v="28"/>
    <x v="0"/>
    <x v="47"/>
    <n v="3016"/>
    <x v="198"/>
    <n v="4272"/>
    <x v="183"/>
    <s v="T 17"/>
    <n v="44"/>
    <n v="2151"/>
    <x v="572"/>
    <s v="Annual"/>
    <n v="1"/>
    <n v="1"/>
    <n v="157296"/>
    <n v="157296"/>
  </r>
  <r>
    <x v="0"/>
    <n v="67"/>
    <x v="27"/>
    <x v="0"/>
    <x v="0"/>
    <n v="1005"/>
    <x v="28"/>
    <x v="0"/>
    <x v="47"/>
    <n v="3016"/>
    <x v="198"/>
    <n v="4272"/>
    <x v="183"/>
    <s v="T 17"/>
    <n v="44"/>
    <n v="2151"/>
    <x v="572"/>
    <s v="Annual"/>
    <n v="1"/>
    <n v="1"/>
    <n v="136872"/>
    <n v="136872"/>
  </r>
  <r>
    <x v="0"/>
    <n v="67"/>
    <x v="27"/>
    <x v="0"/>
    <x v="0"/>
    <n v="1005"/>
    <x v="28"/>
    <x v="0"/>
    <x v="47"/>
    <n v="3016"/>
    <x v="198"/>
    <n v="4272"/>
    <x v="183"/>
    <s v="T 16"/>
    <n v="44"/>
    <n v="2150"/>
    <x v="573"/>
    <s v="Annual"/>
    <n v="1"/>
    <n v="1"/>
    <n v="157296"/>
    <n v="157296"/>
  </r>
  <r>
    <x v="0"/>
    <n v="67"/>
    <x v="27"/>
    <x v="0"/>
    <x v="0"/>
    <n v="1005"/>
    <x v="28"/>
    <x v="0"/>
    <x v="47"/>
    <n v="3016"/>
    <x v="198"/>
    <n v="4272"/>
    <x v="183"/>
    <s v="T 16"/>
    <n v="44"/>
    <n v="2150"/>
    <x v="573"/>
    <s v="Annual"/>
    <n v="1"/>
    <n v="1"/>
    <n v="150180"/>
    <n v="150180"/>
  </r>
  <r>
    <x v="0"/>
    <n v="67"/>
    <x v="27"/>
    <x v="0"/>
    <x v="0"/>
    <n v="1005"/>
    <x v="28"/>
    <x v="0"/>
    <x v="47"/>
    <n v="3016"/>
    <x v="198"/>
    <n v="4272"/>
    <x v="183"/>
    <s v="T 16"/>
    <n v="44"/>
    <n v="2150"/>
    <x v="573"/>
    <s v="Annual"/>
    <n v="1"/>
    <n v="1"/>
    <n v="136872"/>
    <n v="136872"/>
  </r>
  <r>
    <x v="0"/>
    <n v="67"/>
    <x v="27"/>
    <x v="0"/>
    <x v="0"/>
    <n v="1005"/>
    <x v="28"/>
    <x v="0"/>
    <x v="47"/>
    <n v="3016"/>
    <x v="198"/>
    <n v="4272"/>
    <x v="183"/>
    <s v="T 16"/>
    <n v="44"/>
    <n v="2150"/>
    <x v="573"/>
    <s v="Annual"/>
    <n v="2"/>
    <n v="1"/>
    <n v="119052"/>
    <n v="238104"/>
  </r>
  <r>
    <x v="0"/>
    <n v="67"/>
    <x v="27"/>
    <x v="0"/>
    <x v="0"/>
    <n v="1005"/>
    <x v="28"/>
    <x v="0"/>
    <x v="47"/>
    <n v="3016"/>
    <x v="198"/>
    <n v="4272"/>
    <x v="183"/>
    <s v="1 00"/>
    <n v="0"/>
    <n v="15"/>
    <x v="37"/>
    <s v="Annual"/>
    <n v="0"/>
    <n v="0"/>
    <n v="2882"/>
    <n v="2882"/>
  </r>
  <r>
    <x v="0"/>
    <n v="67"/>
    <x v="27"/>
    <x v="0"/>
    <x v="0"/>
    <n v="1005"/>
    <x v="28"/>
    <x v="0"/>
    <x v="47"/>
    <n v="3017"/>
    <x v="199"/>
    <n v="0"/>
    <x v="0"/>
    <s v="X 33"/>
    <n v="0"/>
    <n v="2120"/>
    <x v="817"/>
    <s v="Annual"/>
    <n v="1"/>
    <n v="1"/>
    <n v="158508"/>
    <n v="158508"/>
  </r>
  <r>
    <x v="0"/>
    <n v="67"/>
    <x v="27"/>
    <x v="0"/>
    <x v="0"/>
    <n v="1005"/>
    <x v="28"/>
    <x v="0"/>
    <x v="47"/>
    <n v="3017"/>
    <x v="199"/>
    <n v="0"/>
    <x v="0"/>
    <s v="B 13"/>
    <n v="1"/>
    <n v="308"/>
    <x v="90"/>
    <s v="Annual"/>
    <n v="1"/>
    <n v="1"/>
    <n v="108576"/>
    <n v="108576"/>
  </r>
  <r>
    <x v="0"/>
    <n v="67"/>
    <x v="27"/>
    <x v="0"/>
    <x v="0"/>
    <n v="1005"/>
    <x v="28"/>
    <x v="0"/>
    <x v="47"/>
    <n v="3017"/>
    <x v="199"/>
    <n v="0"/>
    <x v="0"/>
    <s v="1 00"/>
    <n v="0"/>
    <n v="15"/>
    <x v="37"/>
    <s v="Annual"/>
    <n v="0"/>
    <n v="0"/>
    <n v="2429"/>
    <n v="2429"/>
  </r>
  <r>
    <x v="0"/>
    <n v="67"/>
    <x v="27"/>
    <x v="0"/>
    <x v="0"/>
    <n v="1005"/>
    <x v="28"/>
    <x v="0"/>
    <x v="47"/>
    <n v="3025"/>
    <x v="200"/>
    <n v="4076"/>
    <x v="184"/>
    <s v="T 18"/>
    <n v="44"/>
    <n v="2152"/>
    <x v="815"/>
    <s v="Annual"/>
    <n v="1"/>
    <n v="1"/>
    <n v="107136"/>
    <n v="107136"/>
  </r>
  <r>
    <x v="0"/>
    <n v="67"/>
    <x v="27"/>
    <x v="0"/>
    <x v="0"/>
    <n v="1005"/>
    <x v="28"/>
    <x v="0"/>
    <x v="47"/>
    <n v="3025"/>
    <x v="200"/>
    <n v="4076"/>
    <x v="184"/>
    <s v="T 17"/>
    <n v="44"/>
    <n v="2151"/>
    <x v="572"/>
    <s v="Annual"/>
    <n v="2"/>
    <n v="1"/>
    <n v="172572"/>
    <n v="345144"/>
  </r>
  <r>
    <x v="0"/>
    <n v="67"/>
    <x v="27"/>
    <x v="0"/>
    <x v="0"/>
    <n v="1005"/>
    <x v="28"/>
    <x v="0"/>
    <x v="47"/>
    <n v="3025"/>
    <x v="200"/>
    <n v="4076"/>
    <x v="184"/>
    <s v="T 16"/>
    <n v="44"/>
    <n v="2150"/>
    <x v="573"/>
    <s v="Annual"/>
    <n v="6"/>
    <n v="1"/>
    <n v="157296"/>
    <n v="943776"/>
  </r>
  <r>
    <x v="0"/>
    <n v="67"/>
    <x v="27"/>
    <x v="0"/>
    <x v="0"/>
    <n v="1005"/>
    <x v="28"/>
    <x v="0"/>
    <x v="47"/>
    <n v="3025"/>
    <x v="200"/>
    <n v="4076"/>
    <x v="184"/>
    <s v="T 16"/>
    <n v="44"/>
    <n v="2150"/>
    <x v="573"/>
    <s v="Annual"/>
    <n v="1"/>
    <n v="1"/>
    <n v="150180"/>
    <n v="150180"/>
  </r>
  <r>
    <x v="0"/>
    <n v="67"/>
    <x v="27"/>
    <x v="0"/>
    <x v="0"/>
    <n v="1005"/>
    <x v="28"/>
    <x v="0"/>
    <x v="47"/>
    <n v="3025"/>
    <x v="200"/>
    <n v="4076"/>
    <x v="184"/>
    <s v="T 16"/>
    <n v="44"/>
    <n v="2150"/>
    <x v="573"/>
    <s v="Annual"/>
    <n v="1"/>
    <n v="1"/>
    <n v="143352"/>
    <n v="143352"/>
  </r>
  <r>
    <x v="0"/>
    <n v="67"/>
    <x v="27"/>
    <x v="0"/>
    <x v="0"/>
    <n v="1005"/>
    <x v="28"/>
    <x v="0"/>
    <x v="47"/>
    <n v="3025"/>
    <x v="200"/>
    <n v="4076"/>
    <x v="184"/>
    <s v="T 16"/>
    <n v="44"/>
    <n v="2150"/>
    <x v="573"/>
    <s v="Annual"/>
    <n v="2"/>
    <n v="1"/>
    <n v="124740"/>
    <n v="249480"/>
  </r>
  <r>
    <x v="0"/>
    <n v="67"/>
    <x v="27"/>
    <x v="0"/>
    <x v="0"/>
    <n v="1005"/>
    <x v="28"/>
    <x v="0"/>
    <x v="47"/>
    <n v="3025"/>
    <x v="200"/>
    <n v="4076"/>
    <x v="184"/>
    <s v="T 16"/>
    <n v="44"/>
    <n v="2150"/>
    <x v="573"/>
    <s v="Annual"/>
    <n v="3"/>
    <n v="1"/>
    <n v="119052"/>
    <n v="357156"/>
  </r>
  <r>
    <x v="0"/>
    <n v="67"/>
    <x v="27"/>
    <x v="0"/>
    <x v="0"/>
    <n v="1005"/>
    <x v="28"/>
    <x v="0"/>
    <x v="47"/>
    <n v="3025"/>
    <x v="200"/>
    <n v="4076"/>
    <x v="184"/>
    <s v="T 16"/>
    <n v="44"/>
    <n v="2150"/>
    <x v="573"/>
    <s v="Annual"/>
    <n v="1"/>
    <n v="1"/>
    <n v="102540"/>
    <n v="102540"/>
  </r>
  <r>
    <x v="0"/>
    <n v="67"/>
    <x v="27"/>
    <x v="0"/>
    <x v="0"/>
    <n v="1005"/>
    <x v="28"/>
    <x v="0"/>
    <x v="47"/>
    <n v="3025"/>
    <x v="200"/>
    <n v="4076"/>
    <x v="184"/>
    <s v="T 16"/>
    <n v="44"/>
    <n v="2150"/>
    <x v="573"/>
    <s v="Annual"/>
    <n v="1"/>
    <n v="1"/>
    <n v="97932"/>
    <n v="97932"/>
  </r>
  <r>
    <x v="0"/>
    <n v="67"/>
    <x v="27"/>
    <x v="0"/>
    <x v="0"/>
    <n v="1005"/>
    <x v="28"/>
    <x v="0"/>
    <x v="47"/>
    <n v="3025"/>
    <x v="200"/>
    <n v="4076"/>
    <x v="184"/>
    <s v="B 15"/>
    <n v="1"/>
    <n v="1302"/>
    <x v="83"/>
    <s v="Annual"/>
    <n v="1"/>
    <n v="1"/>
    <n v="143400"/>
    <n v="143400"/>
  </r>
  <r>
    <x v="0"/>
    <n v="67"/>
    <x v="27"/>
    <x v="0"/>
    <x v="0"/>
    <n v="1005"/>
    <x v="28"/>
    <x v="0"/>
    <x v="47"/>
    <n v="3025"/>
    <x v="200"/>
    <n v="4076"/>
    <x v="184"/>
    <s v="1 00"/>
    <n v="0"/>
    <n v="15"/>
    <x v="37"/>
    <s v="Annual"/>
    <n v="0"/>
    <n v="0"/>
    <n v="7455"/>
    <n v="7455"/>
  </r>
  <r>
    <x v="0"/>
    <n v="67"/>
    <x v="27"/>
    <x v="0"/>
    <x v="0"/>
    <n v="1005"/>
    <x v="28"/>
    <x v="0"/>
    <x v="47"/>
    <n v="3025"/>
    <x v="200"/>
    <n v="4077"/>
    <x v="185"/>
    <s v="T 18"/>
    <n v="44"/>
    <n v="2152"/>
    <x v="815"/>
    <s v="Annual"/>
    <n v="1"/>
    <n v="1"/>
    <n v="107136"/>
    <n v="107136"/>
  </r>
  <r>
    <x v="0"/>
    <n v="67"/>
    <x v="27"/>
    <x v="0"/>
    <x v="0"/>
    <n v="1005"/>
    <x v="28"/>
    <x v="0"/>
    <x v="47"/>
    <n v="3025"/>
    <x v="200"/>
    <n v="4077"/>
    <x v="185"/>
    <s v="T 17"/>
    <n v="44"/>
    <n v="2151"/>
    <x v="572"/>
    <s v="Annual"/>
    <n v="1"/>
    <n v="1"/>
    <n v="157296"/>
    <n v="157296"/>
  </r>
  <r>
    <x v="0"/>
    <n v="67"/>
    <x v="27"/>
    <x v="0"/>
    <x v="0"/>
    <n v="1005"/>
    <x v="28"/>
    <x v="0"/>
    <x v="47"/>
    <n v="3025"/>
    <x v="200"/>
    <n v="4077"/>
    <x v="185"/>
    <s v="T 16"/>
    <n v="44"/>
    <n v="2150"/>
    <x v="573"/>
    <s v="Annual"/>
    <n v="1"/>
    <n v="1"/>
    <n v="143352"/>
    <n v="143352"/>
  </r>
  <r>
    <x v="0"/>
    <n v="67"/>
    <x v="27"/>
    <x v="0"/>
    <x v="0"/>
    <n v="1005"/>
    <x v="28"/>
    <x v="0"/>
    <x v="47"/>
    <n v="3025"/>
    <x v="200"/>
    <n v="4077"/>
    <x v="185"/>
    <s v="T 16"/>
    <n v="44"/>
    <n v="2150"/>
    <x v="573"/>
    <s v="Annual"/>
    <n v="1"/>
    <n v="1"/>
    <n v="124740"/>
    <n v="124740"/>
  </r>
  <r>
    <x v="0"/>
    <n v="67"/>
    <x v="27"/>
    <x v="0"/>
    <x v="0"/>
    <n v="1005"/>
    <x v="28"/>
    <x v="0"/>
    <x v="47"/>
    <n v="3025"/>
    <x v="200"/>
    <n v="4077"/>
    <x v="185"/>
    <s v="T 16"/>
    <n v="44"/>
    <n v="2150"/>
    <x v="573"/>
    <s v="Annual"/>
    <n v="1"/>
    <n v="1"/>
    <n v="107460"/>
    <n v="107460"/>
  </r>
  <r>
    <x v="0"/>
    <n v="67"/>
    <x v="27"/>
    <x v="0"/>
    <x v="0"/>
    <n v="1005"/>
    <x v="28"/>
    <x v="0"/>
    <x v="47"/>
    <n v="3025"/>
    <x v="200"/>
    <n v="4077"/>
    <x v="185"/>
    <s v="T 16"/>
    <n v="44"/>
    <n v="2150"/>
    <x v="573"/>
    <s v="Annual"/>
    <n v="2"/>
    <n v="1"/>
    <n v="93468"/>
    <n v="186936"/>
  </r>
  <r>
    <x v="0"/>
    <n v="67"/>
    <x v="27"/>
    <x v="0"/>
    <x v="0"/>
    <n v="1005"/>
    <x v="28"/>
    <x v="0"/>
    <x v="47"/>
    <n v="3025"/>
    <x v="200"/>
    <n v="4077"/>
    <x v="185"/>
    <s v="1 00"/>
    <n v="0"/>
    <n v="15"/>
    <x v="37"/>
    <s v="Annual"/>
    <n v="0"/>
    <n v="0"/>
    <n v="6918"/>
    <n v="6918"/>
  </r>
  <r>
    <x v="0"/>
    <n v="67"/>
    <x v="27"/>
    <x v="0"/>
    <x v="0"/>
    <n v="1005"/>
    <x v="28"/>
    <x v="0"/>
    <x v="47"/>
    <n v="3025"/>
    <x v="200"/>
    <n v="4085"/>
    <x v="186"/>
    <s v="3 00"/>
    <n v="20"/>
    <n v="5156"/>
    <x v="818"/>
    <s v="Annual"/>
    <n v="1"/>
    <n v="1"/>
    <n v="142116"/>
    <n v="142116"/>
  </r>
  <r>
    <x v="0"/>
    <n v="67"/>
    <x v="27"/>
    <x v="0"/>
    <x v="0"/>
    <n v="1005"/>
    <x v="28"/>
    <x v="0"/>
    <x v="47"/>
    <n v="3025"/>
    <x v="200"/>
    <n v="4085"/>
    <x v="186"/>
    <s v="2 0"/>
    <n v="32"/>
    <n v="5153"/>
    <x v="819"/>
    <s v="Monthly"/>
    <n v="2"/>
    <n v="1"/>
    <n v="11392.33"/>
    <n v="273416"/>
  </r>
  <r>
    <x v="0"/>
    <n v="67"/>
    <x v="27"/>
    <x v="0"/>
    <x v="0"/>
    <n v="1005"/>
    <x v="28"/>
    <x v="0"/>
    <x v="47"/>
    <n v="3025"/>
    <x v="200"/>
    <n v="4085"/>
    <x v="186"/>
    <s v="2 0"/>
    <n v="32"/>
    <n v="5151"/>
    <x v="812"/>
    <s v="Monthly"/>
    <n v="26"/>
    <n v="1"/>
    <n v="11011"/>
    <n v="3435432"/>
  </r>
  <r>
    <x v="0"/>
    <n v="67"/>
    <x v="27"/>
    <x v="0"/>
    <x v="0"/>
    <n v="1005"/>
    <x v="28"/>
    <x v="0"/>
    <x v="47"/>
    <n v="3025"/>
    <x v="200"/>
    <n v="4085"/>
    <x v="186"/>
    <s v="1 00"/>
    <n v="0"/>
    <n v="12"/>
    <x v="291"/>
    <s v="Annual"/>
    <n v="0"/>
    <n v="0"/>
    <n v="55632"/>
    <n v="55632"/>
  </r>
  <r>
    <x v="0"/>
    <n v="67"/>
    <x v="27"/>
    <x v="0"/>
    <x v="0"/>
    <n v="1005"/>
    <x v="28"/>
    <x v="0"/>
    <x v="47"/>
    <n v="3025"/>
    <x v="200"/>
    <n v="4090"/>
    <x v="187"/>
    <s v="2 0"/>
    <n v="43"/>
    <n v="2138"/>
    <x v="820"/>
    <s v="Monthly"/>
    <n v="1"/>
    <n v="1"/>
    <n v="14644.93"/>
    <n v="175739"/>
  </r>
  <r>
    <x v="0"/>
    <n v="67"/>
    <x v="27"/>
    <x v="0"/>
    <x v="0"/>
    <n v="1005"/>
    <x v="28"/>
    <x v="0"/>
    <x v="47"/>
    <n v="3025"/>
    <x v="200"/>
    <n v="4090"/>
    <x v="187"/>
    <s v="2 0"/>
    <n v="43"/>
    <n v="2137"/>
    <x v="821"/>
    <s v="Monthly"/>
    <n v="12"/>
    <n v="1"/>
    <n v="13783.47"/>
    <n v="1984820"/>
  </r>
  <r>
    <x v="0"/>
    <n v="67"/>
    <x v="27"/>
    <x v="0"/>
    <x v="0"/>
    <n v="1005"/>
    <x v="28"/>
    <x v="0"/>
    <x v="47"/>
    <n v="3025"/>
    <x v="200"/>
    <n v="4090"/>
    <x v="187"/>
    <s v="1 00"/>
    <n v="0"/>
    <n v="12"/>
    <x v="291"/>
    <s v="Annual"/>
    <n v="0"/>
    <n v="0"/>
    <n v="32408"/>
    <n v="32408"/>
  </r>
  <r>
    <x v="0"/>
    <n v="67"/>
    <x v="27"/>
    <x v="0"/>
    <x v="0"/>
    <n v="1005"/>
    <x v="28"/>
    <x v="0"/>
    <x v="47"/>
    <n v="3025"/>
    <x v="200"/>
    <n v="4095"/>
    <x v="188"/>
    <s v="2 0"/>
    <n v="41"/>
    <n v="2188"/>
    <x v="822"/>
    <s v="Annual"/>
    <n v="1"/>
    <n v="1"/>
    <n v="143537"/>
    <n v="143537"/>
  </r>
  <r>
    <x v="0"/>
    <n v="67"/>
    <x v="27"/>
    <x v="0"/>
    <x v="0"/>
    <n v="1005"/>
    <x v="28"/>
    <x v="0"/>
    <x v="47"/>
    <n v="3025"/>
    <x v="200"/>
    <n v="4095"/>
    <x v="188"/>
    <s v="2 0"/>
    <n v="41"/>
    <n v="2184"/>
    <x v="813"/>
    <s v="Monthly"/>
    <n v="11"/>
    <n v="1"/>
    <n v="10218"/>
    <n v="1348776"/>
  </r>
  <r>
    <x v="0"/>
    <n v="67"/>
    <x v="27"/>
    <x v="0"/>
    <x v="0"/>
    <n v="1005"/>
    <x v="28"/>
    <x v="0"/>
    <x v="47"/>
    <n v="3025"/>
    <x v="200"/>
    <n v="4095"/>
    <x v="188"/>
    <s v="1 00"/>
    <n v="0"/>
    <n v="12"/>
    <x v="291"/>
    <s v="Annual"/>
    <n v="0"/>
    <n v="0"/>
    <n v="22385"/>
    <n v="22385"/>
  </r>
  <r>
    <x v="0"/>
    <n v="67"/>
    <x v="27"/>
    <x v="0"/>
    <x v="0"/>
    <n v="1005"/>
    <x v="28"/>
    <x v="0"/>
    <x v="47"/>
    <n v="3025"/>
    <x v="200"/>
    <n v="4096"/>
    <x v="189"/>
    <s v="2 0"/>
    <n v="14"/>
    <n v="2136"/>
    <x v="823"/>
    <s v="Monthly"/>
    <n v="1"/>
    <n v="1"/>
    <n v="10920"/>
    <n v="131040"/>
  </r>
  <r>
    <x v="0"/>
    <n v="67"/>
    <x v="27"/>
    <x v="0"/>
    <x v="0"/>
    <n v="1005"/>
    <x v="28"/>
    <x v="0"/>
    <x v="47"/>
    <n v="3025"/>
    <x v="200"/>
    <n v="4096"/>
    <x v="189"/>
    <s v="2 0"/>
    <n v="14"/>
    <n v="2135"/>
    <x v="814"/>
    <s v="Monthly"/>
    <n v="7"/>
    <n v="1"/>
    <n v="10573.33"/>
    <n v="888160"/>
  </r>
  <r>
    <x v="0"/>
    <n v="67"/>
    <x v="27"/>
    <x v="0"/>
    <x v="0"/>
    <n v="1005"/>
    <x v="28"/>
    <x v="0"/>
    <x v="47"/>
    <n v="3025"/>
    <x v="200"/>
    <n v="4096"/>
    <x v="189"/>
    <s v="2 0"/>
    <n v="14"/>
    <n v="2135"/>
    <x v="814"/>
    <s v="Monthly"/>
    <n v="2"/>
    <n v="1"/>
    <n v="9550.67"/>
    <n v="229216"/>
  </r>
  <r>
    <x v="0"/>
    <n v="67"/>
    <x v="27"/>
    <x v="0"/>
    <x v="0"/>
    <n v="1005"/>
    <x v="28"/>
    <x v="0"/>
    <x v="47"/>
    <n v="3025"/>
    <x v="200"/>
    <n v="4096"/>
    <x v="189"/>
    <s v="1 00"/>
    <n v="0"/>
    <n v="12"/>
    <x v="291"/>
    <s v="Annual"/>
    <n v="0"/>
    <n v="0"/>
    <n v="18726"/>
    <n v="18726"/>
  </r>
  <r>
    <x v="0"/>
    <n v="67"/>
    <x v="27"/>
    <x v="0"/>
    <x v="0"/>
    <n v="1005"/>
    <x v="28"/>
    <x v="0"/>
    <x v="47"/>
    <n v="3025"/>
    <x v="200"/>
    <n v="4100"/>
    <x v="190"/>
    <s v="2 0"/>
    <n v="24"/>
    <n v="2105"/>
    <x v="824"/>
    <s v="Monthly"/>
    <n v="6"/>
    <n v="1"/>
    <n v="10599.33"/>
    <n v="763152"/>
  </r>
  <r>
    <x v="0"/>
    <n v="67"/>
    <x v="27"/>
    <x v="0"/>
    <x v="0"/>
    <n v="1005"/>
    <x v="28"/>
    <x v="0"/>
    <x v="47"/>
    <n v="3025"/>
    <x v="200"/>
    <n v="4100"/>
    <x v="190"/>
    <s v="2 0"/>
    <n v="24"/>
    <n v="2101"/>
    <x v="825"/>
    <s v="Monthly"/>
    <n v="1"/>
    <n v="1"/>
    <n v="11627.2"/>
    <n v="139526"/>
  </r>
  <r>
    <x v="0"/>
    <n v="67"/>
    <x v="27"/>
    <x v="0"/>
    <x v="0"/>
    <n v="1005"/>
    <x v="28"/>
    <x v="0"/>
    <x v="47"/>
    <n v="3025"/>
    <x v="200"/>
    <n v="4100"/>
    <x v="190"/>
    <s v="1 00"/>
    <n v="0"/>
    <n v="12"/>
    <x v="291"/>
    <s v="Annual"/>
    <n v="0"/>
    <n v="0"/>
    <n v="13540"/>
    <n v="13540"/>
  </r>
  <r>
    <x v="0"/>
    <n v="67"/>
    <x v="27"/>
    <x v="0"/>
    <x v="0"/>
    <n v="1005"/>
    <x v="28"/>
    <x v="0"/>
    <x v="47"/>
    <n v="3025"/>
    <x v="200"/>
    <n v="4105"/>
    <x v="191"/>
    <s v="2 0"/>
    <n v="46"/>
    <n v="2164"/>
    <x v="826"/>
    <s v="Monthly"/>
    <n v="3"/>
    <n v="1"/>
    <n v="11433.07"/>
    <n v="411591"/>
  </r>
  <r>
    <x v="0"/>
    <n v="67"/>
    <x v="27"/>
    <x v="0"/>
    <x v="0"/>
    <n v="1005"/>
    <x v="28"/>
    <x v="0"/>
    <x v="47"/>
    <n v="3025"/>
    <x v="200"/>
    <n v="4105"/>
    <x v="191"/>
    <s v="1 00"/>
    <n v="0"/>
    <n v="12"/>
    <x v="291"/>
    <s v="Annual"/>
    <n v="0"/>
    <n v="0"/>
    <n v="6174"/>
    <n v="6174"/>
  </r>
  <r>
    <x v="0"/>
    <n v="67"/>
    <x v="27"/>
    <x v="0"/>
    <x v="0"/>
    <n v="1005"/>
    <x v="28"/>
    <x v="0"/>
    <x v="47"/>
    <n v="3025"/>
    <x v="200"/>
    <n v="4115"/>
    <x v="192"/>
    <s v="2 0"/>
    <n v="42"/>
    <n v="7610"/>
    <x v="827"/>
    <s v="Monthly"/>
    <n v="5"/>
    <n v="1"/>
    <n v="11925.33"/>
    <n v="715520"/>
  </r>
  <r>
    <x v="0"/>
    <n v="67"/>
    <x v="27"/>
    <x v="0"/>
    <x v="0"/>
    <n v="1005"/>
    <x v="28"/>
    <x v="0"/>
    <x v="47"/>
    <n v="3025"/>
    <x v="200"/>
    <n v="4115"/>
    <x v="192"/>
    <s v="1 00"/>
    <n v="0"/>
    <n v="12"/>
    <x v="291"/>
    <s v="Annual"/>
    <n v="0"/>
    <n v="0"/>
    <n v="10733"/>
    <n v="10733"/>
  </r>
  <r>
    <x v="0"/>
    <n v="67"/>
    <x v="27"/>
    <x v="0"/>
    <x v="0"/>
    <n v="1005"/>
    <x v="28"/>
    <x v="0"/>
    <x v="47"/>
    <n v="3040"/>
    <x v="201"/>
    <n v="4037"/>
    <x v="193"/>
    <s v="X 32"/>
    <n v="9"/>
    <n v="9679"/>
    <x v="81"/>
    <s v="Annual"/>
    <n v="1"/>
    <n v="1"/>
    <n v="167964"/>
    <n v="167964"/>
  </r>
  <r>
    <x v="0"/>
    <n v="67"/>
    <x v="27"/>
    <x v="0"/>
    <x v="0"/>
    <n v="1005"/>
    <x v="28"/>
    <x v="0"/>
    <x v="47"/>
    <n v="3040"/>
    <x v="201"/>
    <n v="4037"/>
    <x v="193"/>
    <s v="B 16"/>
    <n v="3"/>
    <n v="2131"/>
    <x v="808"/>
    <s v="Annual"/>
    <n v="1"/>
    <n v="1"/>
    <n v="150240"/>
    <n v="150240"/>
  </r>
  <r>
    <x v="0"/>
    <n v="67"/>
    <x v="27"/>
    <x v="0"/>
    <x v="0"/>
    <n v="1005"/>
    <x v="28"/>
    <x v="0"/>
    <x v="47"/>
    <n v="3040"/>
    <x v="201"/>
    <n v="4037"/>
    <x v="193"/>
    <s v="B 10"/>
    <n v="1"/>
    <s v="03A7"/>
    <x v="4"/>
    <s v="Annual"/>
    <n v="2"/>
    <n v="1"/>
    <n v="90144"/>
    <n v="180288"/>
  </r>
  <r>
    <x v="0"/>
    <n v="67"/>
    <x v="27"/>
    <x v="0"/>
    <x v="0"/>
    <n v="1005"/>
    <x v="28"/>
    <x v="0"/>
    <x v="47"/>
    <n v="3040"/>
    <x v="201"/>
    <n v="4037"/>
    <x v="193"/>
    <s v="1 00"/>
    <n v="0"/>
    <n v="15"/>
    <x v="37"/>
    <s v="Annual"/>
    <n v="0"/>
    <n v="0"/>
    <n v="4403"/>
    <n v="4403"/>
  </r>
  <r>
    <x v="0"/>
    <n v="70"/>
    <x v="28"/>
    <x v="0"/>
    <x v="0"/>
    <n v="1005"/>
    <x v="29"/>
    <x v="0"/>
    <x v="48"/>
    <n v="3005"/>
    <x v="22"/>
    <n v="4005"/>
    <x v="194"/>
    <s v="1 00"/>
    <n v="9"/>
    <n v="9970"/>
    <x v="828"/>
    <s v="Annual"/>
    <n v="1"/>
    <n v="1"/>
    <n v="197820"/>
    <n v="197820"/>
  </r>
  <r>
    <x v="0"/>
    <n v="70"/>
    <x v="28"/>
    <x v="0"/>
    <x v="0"/>
    <n v="1005"/>
    <x v="29"/>
    <x v="0"/>
    <x v="48"/>
    <n v="3005"/>
    <x v="22"/>
    <n v="4005"/>
    <x v="194"/>
    <s v="X 31"/>
    <n v="9"/>
    <n v="9813"/>
    <x v="216"/>
    <s v="Annual"/>
    <n v="1"/>
    <n v="1"/>
    <n v="168924"/>
    <n v="168924"/>
  </r>
  <r>
    <x v="0"/>
    <n v="70"/>
    <x v="28"/>
    <x v="0"/>
    <x v="0"/>
    <n v="1005"/>
    <x v="29"/>
    <x v="0"/>
    <x v="48"/>
    <n v="3005"/>
    <x v="22"/>
    <n v="4005"/>
    <x v="194"/>
    <s v="X 31"/>
    <n v="9"/>
    <n v="9660"/>
    <x v="353"/>
    <s v="Annual"/>
    <n v="1"/>
    <n v="1"/>
    <n v="180324"/>
    <n v="180324"/>
  </r>
  <r>
    <x v="0"/>
    <n v="70"/>
    <x v="28"/>
    <x v="0"/>
    <x v="0"/>
    <n v="1005"/>
    <x v="29"/>
    <x v="0"/>
    <x v="48"/>
    <n v="3005"/>
    <x v="22"/>
    <n v="4005"/>
    <x v="194"/>
    <s v="BX 16"/>
    <n v="10"/>
    <n v="1430"/>
    <x v="355"/>
    <s v="Annual"/>
    <n v="1"/>
    <n v="1"/>
    <n v="85128"/>
    <n v="85128"/>
  </r>
  <r>
    <x v="0"/>
    <n v="70"/>
    <x v="28"/>
    <x v="0"/>
    <x v="0"/>
    <n v="1005"/>
    <x v="29"/>
    <x v="0"/>
    <x v="48"/>
    <n v="3005"/>
    <x v="22"/>
    <n v="4005"/>
    <x v="194"/>
    <s v="BX 16"/>
    <n v="10"/>
    <n v="802"/>
    <x v="30"/>
    <s v="Annual"/>
    <n v="1"/>
    <n v="1"/>
    <n v="124584"/>
    <n v="124584"/>
  </r>
  <r>
    <x v="0"/>
    <n v="70"/>
    <x v="28"/>
    <x v="0"/>
    <x v="0"/>
    <n v="1005"/>
    <x v="29"/>
    <x v="0"/>
    <x v="48"/>
    <n v="3005"/>
    <x v="22"/>
    <n v="4005"/>
    <x v="194"/>
    <s v="X 33"/>
    <n v="9"/>
    <n v="313"/>
    <x v="220"/>
    <s v="Annual"/>
    <n v="1"/>
    <n v="1"/>
    <n v="146808"/>
    <n v="146808"/>
  </r>
  <r>
    <x v="0"/>
    <n v="70"/>
    <x v="28"/>
    <x v="0"/>
    <x v="0"/>
    <n v="1005"/>
    <x v="29"/>
    <x v="0"/>
    <x v="48"/>
    <n v="3005"/>
    <x v="22"/>
    <n v="4005"/>
    <x v="194"/>
    <s v="1 00"/>
    <n v="0"/>
    <n v="15"/>
    <x v="37"/>
    <s v="Annual"/>
    <n v="0"/>
    <n v="0"/>
    <n v="18720"/>
    <n v="18720"/>
  </r>
  <r>
    <x v="0"/>
    <n v="70"/>
    <x v="28"/>
    <x v="0"/>
    <x v="0"/>
    <n v="1005"/>
    <x v="29"/>
    <x v="0"/>
    <x v="48"/>
    <n v="3005"/>
    <x v="22"/>
    <n v="4009"/>
    <x v="43"/>
    <s v="BX 17"/>
    <n v="10"/>
    <n v="1651"/>
    <x v="829"/>
    <s v="Annual"/>
    <n v="1"/>
    <n v="1"/>
    <n v="89112"/>
    <n v="89112"/>
  </r>
  <r>
    <x v="0"/>
    <n v="70"/>
    <x v="28"/>
    <x v="0"/>
    <x v="0"/>
    <n v="1005"/>
    <x v="29"/>
    <x v="0"/>
    <x v="48"/>
    <n v="3005"/>
    <x v="22"/>
    <n v="4009"/>
    <x v="43"/>
    <s v="BX 16"/>
    <n v="20"/>
    <n v="1304"/>
    <x v="830"/>
    <s v="Annual"/>
    <n v="1"/>
    <n v="1"/>
    <n v="124584"/>
    <n v="124584"/>
  </r>
  <r>
    <x v="0"/>
    <n v="70"/>
    <x v="28"/>
    <x v="0"/>
    <x v="0"/>
    <n v="1005"/>
    <x v="29"/>
    <x v="0"/>
    <x v="48"/>
    <n v="3005"/>
    <x v="22"/>
    <n v="4009"/>
    <x v="43"/>
    <s v="B 13"/>
    <n v="1"/>
    <n v="1301"/>
    <x v="227"/>
    <s v="Annual"/>
    <n v="1"/>
    <n v="1"/>
    <n v="119100"/>
    <n v="119100"/>
  </r>
  <r>
    <x v="0"/>
    <n v="70"/>
    <x v="28"/>
    <x v="0"/>
    <x v="0"/>
    <n v="1005"/>
    <x v="29"/>
    <x v="0"/>
    <x v="48"/>
    <n v="3005"/>
    <x v="22"/>
    <n v="4009"/>
    <x v="43"/>
    <s v="G 08"/>
    <n v="4"/>
    <n v="604"/>
    <x v="831"/>
    <s v="Annual"/>
    <n v="1"/>
    <n v="1"/>
    <n v="141564"/>
    <n v="141564"/>
  </r>
  <r>
    <x v="0"/>
    <n v="70"/>
    <x v="28"/>
    <x v="0"/>
    <x v="0"/>
    <n v="1005"/>
    <x v="29"/>
    <x v="0"/>
    <x v="48"/>
    <n v="3005"/>
    <x v="22"/>
    <n v="4009"/>
    <x v="43"/>
    <s v="B 12"/>
    <n v="1"/>
    <s v="03A8"/>
    <x v="88"/>
    <s v="Annual"/>
    <n v="1"/>
    <n v="1"/>
    <n v="70752"/>
    <n v="70752"/>
  </r>
  <r>
    <x v="0"/>
    <n v="70"/>
    <x v="28"/>
    <x v="0"/>
    <x v="0"/>
    <n v="1005"/>
    <x v="29"/>
    <x v="0"/>
    <x v="48"/>
    <n v="3005"/>
    <x v="22"/>
    <n v="4009"/>
    <x v="43"/>
    <s v="BX 18"/>
    <n v="20"/>
    <n v="394"/>
    <x v="68"/>
    <s v="Annual"/>
    <n v="1"/>
    <n v="1"/>
    <n v="89112"/>
    <n v="89112"/>
  </r>
  <r>
    <x v="0"/>
    <n v="70"/>
    <x v="28"/>
    <x v="0"/>
    <x v="0"/>
    <n v="1005"/>
    <x v="29"/>
    <x v="0"/>
    <x v="48"/>
    <n v="3005"/>
    <x v="22"/>
    <n v="4009"/>
    <x v="43"/>
    <s v="X 33"/>
    <n v="9"/>
    <n v="313"/>
    <x v="220"/>
    <s v="Annual"/>
    <n v="1"/>
    <n v="1"/>
    <n v="121668"/>
    <n v="121668"/>
  </r>
  <r>
    <x v="0"/>
    <n v="70"/>
    <x v="28"/>
    <x v="0"/>
    <x v="0"/>
    <n v="1005"/>
    <x v="29"/>
    <x v="0"/>
    <x v="48"/>
    <n v="3005"/>
    <x v="22"/>
    <n v="4009"/>
    <x v="43"/>
    <s v="B 13"/>
    <n v="4"/>
    <n v="110"/>
    <x v="93"/>
    <s v="Annual"/>
    <n v="1"/>
    <n v="1"/>
    <n v="119100"/>
    <n v="119100"/>
  </r>
  <r>
    <x v="0"/>
    <n v="70"/>
    <x v="28"/>
    <x v="0"/>
    <x v="0"/>
    <n v="1005"/>
    <x v="29"/>
    <x v="0"/>
    <x v="48"/>
    <n v="3005"/>
    <x v="22"/>
    <n v="4009"/>
    <x v="43"/>
    <s v="1 00"/>
    <n v="0"/>
    <n v="15"/>
    <x v="37"/>
    <s v="Annual"/>
    <n v="0"/>
    <n v="0"/>
    <n v="1385"/>
    <n v="1385"/>
  </r>
  <r>
    <x v="0"/>
    <n v="70"/>
    <x v="28"/>
    <x v="0"/>
    <x v="0"/>
    <n v="1005"/>
    <x v="29"/>
    <x v="0"/>
    <x v="48"/>
    <n v="3011"/>
    <x v="202"/>
    <n v="0"/>
    <x v="0"/>
    <s v="B 14"/>
    <n v="1"/>
    <n v="712"/>
    <x v="299"/>
    <s v="Annual"/>
    <n v="1"/>
    <n v="1"/>
    <n v="124848"/>
    <n v="124848"/>
  </r>
  <r>
    <x v="0"/>
    <n v="70"/>
    <x v="28"/>
    <x v="0"/>
    <x v="0"/>
    <n v="1005"/>
    <x v="29"/>
    <x v="0"/>
    <x v="48"/>
    <n v="3011"/>
    <x v="202"/>
    <n v="0"/>
    <x v="0"/>
    <s v="B 12"/>
    <n v="1"/>
    <s v="03A8"/>
    <x v="88"/>
    <s v="Annual"/>
    <n v="1"/>
    <n v="1"/>
    <n v="98928"/>
    <n v="98928"/>
  </r>
  <r>
    <x v="0"/>
    <n v="70"/>
    <x v="28"/>
    <x v="0"/>
    <x v="0"/>
    <n v="1005"/>
    <x v="29"/>
    <x v="0"/>
    <x v="48"/>
    <n v="3011"/>
    <x v="202"/>
    <n v="0"/>
    <x v="0"/>
    <s v="X 33"/>
    <n v="9"/>
    <n v="313"/>
    <x v="220"/>
    <s v="Annual"/>
    <n v="1"/>
    <n v="1"/>
    <n v="146808"/>
    <n v="146808"/>
  </r>
  <r>
    <x v="0"/>
    <n v="70"/>
    <x v="28"/>
    <x v="0"/>
    <x v="0"/>
    <n v="1005"/>
    <x v="29"/>
    <x v="0"/>
    <x v="48"/>
    <n v="3011"/>
    <x v="202"/>
    <n v="0"/>
    <x v="0"/>
    <s v="1 00"/>
    <n v="0"/>
    <n v="15"/>
    <x v="37"/>
    <s v="Annual"/>
    <n v="0"/>
    <n v="0"/>
    <n v="7369"/>
    <n v="7369"/>
  </r>
  <r>
    <x v="0"/>
    <n v="70"/>
    <x v="28"/>
    <x v="0"/>
    <x v="0"/>
    <n v="1005"/>
    <x v="29"/>
    <x v="0"/>
    <x v="48"/>
    <n v="3012"/>
    <x v="203"/>
    <n v="0"/>
    <x v="0"/>
    <s v="BX 18"/>
    <n v="10"/>
    <n v="3092"/>
    <x v="308"/>
    <s v="Annual"/>
    <n v="1"/>
    <n v="1"/>
    <n v="102444"/>
    <n v="102444"/>
  </r>
  <r>
    <x v="0"/>
    <n v="70"/>
    <x v="28"/>
    <x v="0"/>
    <x v="0"/>
    <n v="1005"/>
    <x v="29"/>
    <x v="0"/>
    <x v="48"/>
    <n v="3012"/>
    <x v="203"/>
    <n v="0"/>
    <x v="0"/>
    <s v="B 14"/>
    <n v="4"/>
    <n v="1912"/>
    <x v="222"/>
    <s v="Annual"/>
    <n v="1"/>
    <n v="1"/>
    <n v="113628"/>
    <n v="113628"/>
  </r>
  <r>
    <x v="0"/>
    <n v="70"/>
    <x v="28"/>
    <x v="0"/>
    <x v="0"/>
    <n v="1005"/>
    <x v="29"/>
    <x v="0"/>
    <x v="48"/>
    <n v="3012"/>
    <x v="203"/>
    <n v="0"/>
    <x v="0"/>
    <s v="B 14"/>
    <n v="4"/>
    <n v="1912"/>
    <x v="222"/>
    <s v="Annual"/>
    <n v="1"/>
    <n v="1"/>
    <n v="81324"/>
    <n v="81324"/>
  </r>
  <r>
    <x v="0"/>
    <n v="70"/>
    <x v="28"/>
    <x v="0"/>
    <x v="0"/>
    <n v="1005"/>
    <x v="29"/>
    <x v="0"/>
    <x v="48"/>
    <n v="3012"/>
    <x v="203"/>
    <n v="0"/>
    <x v="0"/>
    <s v="B 14"/>
    <n v="4"/>
    <n v="1912"/>
    <x v="222"/>
    <s v="Annual"/>
    <n v="2"/>
    <n v="1"/>
    <n v="77640"/>
    <n v="155280"/>
  </r>
  <r>
    <x v="0"/>
    <n v="70"/>
    <x v="28"/>
    <x v="0"/>
    <x v="0"/>
    <n v="1005"/>
    <x v="29"/>
    <x v="0"/>
    <x v="48"/>
    <n v="3012"/>
    <x v="203"/>
    <n v="0"/>
    <x v="0"/>
    <s v="X 33"/>
    <n v="9"/>
    <n v="313"/>
    <x v="220"/>
    <s v="Annual"/>
    <n v="1"/>
    <n v="1"/>
    <n v="137532"/>
    <n v="137532"/>
  </r>
  <r>
    <x v="0"/>
    <n v="70"/>
    <x v="28"/>
    <x v="0"/>
    <x v="0"/>
    <n v="1005"/>
    <x v="29"/>
    <x v="0"/>
    <x v="48"/>
    <n v="3012"/>
    <x v="203"/>
    <n v="0"/>
    <x v="0"/>
    <s v="1 00"/>
    <n v="0"/>
    <n v="15"/>
    <x v="37"/>
    <s v="Annual"/>
    <n v="0"/>
    <n v="0"/>
    <n v="13084"/>
    <n v="13084"/>
  </r>
  <r>
    <x v="0"/>
    <n v="70"/>
    <x v="28"/>
    <x v="0"/>
    <x v="0"/>
    <n v="1005"/>
    <x v="29"/>
    <x v="0"/>
    <x v="48"/>
    <n v="3013"/>
    <x v="204"/>
    <n v="4041"/>
    <x v="195"/>
    <s v="X 32"/>
    <n v="9"/>
    <n v="9679"/>
    <x v="81"/>
    <s v="Annual"/>
    <n v="1"/>
    <n v="1"/>
    <n v="157332"/>
    <n v="157332"/>
  </r>
  <r>
    <x v="0"/>
    <n v="70"/>
    <x v="28"/>
    <x v="0"/>
    <x v="0"/>
    <n v="1005"/>
    <x v="29"/>
    <x v="0"/>
    <x v="48"/>
    <n v="3013"/>
    <x v="204"/>
    <n v="4041"/>
    <x v="195"/>
    <s v="B 14"/>
    <n v="1"/>
    <n v="9003"/>
    <x v="709"/>
    <s v="Annual"/>
    <n v="1"/>
    <n v="1"/>
    <n v="130668"/>
    <n v="130668"/>
  </r>
  <r>
    <x v="0"/>
    <n v="70"/>
    <x v="28"/>
    <x v="0"/>
    <x v="0"/>
    <n v="1005"/>
    <x v="29"/>
    <x v="0"/>
    <x v="48"/>
    <n v="3013"/>
    <x v="204"/>
    <n v="4041"/>
    <x v="195"/>
    <s v="B 14"/>
    <n v="1"/>
    <n v="9003"/>
    <x v="709"/>
    <s v="Annual"/>
    <n v="1"/>
    <n v="1"/>
    <n v="113628"/>
    <n v="113628"/>
  </r>
  <r>
    <x v="0"/>
    <n v="70"/>
    <x v="28"/>
    <x v="0"/>
    <x v="0"/>
    <n v="1005"/>
    <x v="29"/>
    <x v="0"/>
    <x v="48"/>
    <n v="3013"/>
    <x v="204"/>
    <n v="4041"/>
    <x v="195"/>
    <s v="B 14"/>
    <n v="4"/>
    <n v="1912"/>
    <x v="222"/>
    <s v="Annual"/>
    <n v="2"/>
    <n v="1"/>
    <n v="81324"/>
    <n v="162648"/>
  </r>
  <r>
    <x v="0"/>
    <n v="70"/>
    <x v="28"/>
    <x v="0"/>
    <x v="0"/>
    <n v="1005"/>
    <x v="29"/>
    <x v="0"/>
    <x v="48"/>
    <n v="3013"/>
    <x v="204"/>
    <n v="4041"/>
    <x v="195"/>
    <s v="B 12"/>
    <n v="1"/>
    <s v="03A8"/>
    <x v="88"/>
    <s v="Annual"/>
    <n v="2"/>
    <n v="1"/>
    <n v="108576"/>
    <n v="217152"/>
  </r>
  <r>
    <x v="0"/>
    <n v="70"/>
    <x v="28"/>
    <x v="0"/>
    <x v="0"/>
    <n v="1005"/>
    <x v="29"/>
    <x v="0"/>
    <x v="48"/>
    <n v="3013"/>
    <x v="204"/>
    <n v="4041"/>
    <x v="195"/>
    <s v="B 12"/>
    <n v="1"/>
    <s v="03A8"/>
    <x v="88"/>
    <s v="Annual"/>
    <n v="1"/>
    <n v="1"/>
    <n v="62544"/>
    <n v="62544"/>
  </r>
  <r>
    <x v="0"/>
    <n v="70"/>
    <x v="28"/>
    <x v="0"/>
    <x v="0"/>
    <n v="1005"/>
    <x v="29"/>
    <x v="0"/>
    <x v="48"/>
    <n v="3013"/>
    <x v="204"/>
    <n v="4041"/>
    <x v="195"/>
    <s v="BX 17"/>
    <n v="10"/>
    <n v="352"/>
    <x v="832"/>
    <s v="Annual"/>
    <n v="1"/>
    <n v="1"/>
    <n v="93384"/>
    <n v="93384"/>
  </r>
  <r>
    <x v="0"/>
    <n v="70"/>
    <x v="28"/>
    <x v="0"/>
    <x v="0"/>
    <n v="1005"/>
    <x v="29"/>
    <x v="0"/>
    <x v="48"/>
    <n v="3013"/>
    <x v="204"/>
    <n v="4041"/>
    <x v="195"/>
    <s v="X 33"/>
    <n v="9"/>
    <n v="313"/>
    <x v="220"/>
    <s v="Annual"/>
    <n v="2"/>
    <n v="1"/>
    <n v="146808"/>
    <n v="293616"/>
  </r>
  <r>
    <x v="0"/>
    <n v="70"/>
    <x v="28"/>
    <x v="0"/>
    <x v="0"/>
    <n v="1005"/>
    <x v="29"/>
    <x v="0"/>
    <x v="48"/>
    <n v="3013"/>
    <x v="204"/>
    <n v="4041"/>
    <x v="195"/>
    <s v="1 00"/>
    <n v="0"/>
    <n v="15"/>
    <x v="37"/>
    <s v="Annual"/>
    <n v="0"/>
    <n v="0"/>
    <n v="16758"/>
    <n v="16758"/>
  </r>
  <r>
    <x v="0"/>
    <n v="70"/>
    <x v="28"/>
    <x v="0"/>
    <x v="0"/>
    <n v="1005"/>
    <x v="29"/>
    <x v="0"/>
    <x v="48"/>
    <n v="3013"/>
    <x v="204"/>
    <n v="4042"/>
    <x v="196"/>
    <s v="BX 17"/>
    <n v="10"/>
    <n v="352"/>
    <x v="832"/>
    <s v="Annual"/>
    <n v="1"/>
    <n v="1"/>
    <n v="103488"/>
    <n v="103488"/>
  </r>
  <r>
    <x v="0"/>
    <n v="70"/>
    <x v="28"/>
    <x v="0"/>
    <x v="0"/>
    <n v="1005"/>
    <x v="29"/>
    <x v="0"/>
    <x v="48"/>
    <n v="3013"/>
    <x v="204"/>
    <n v="4042"/>
    <x v="196"/>
    <s v="BX 17"/>
    <n v="10"/>
    <n v="352"/>
    <x v="832"/>
    <s v="Annual"/>
    <n v="1"/>
    <n v="1"/>
    <n v="93384"/>
    <n v="93384"/>
  </r>
  <r>
    <x v="0"/>
    <n v="70"/>
    <x v="28"/>
    <x v="0"/>
    <x v="0"/>
    <n v="1005"/>
    <x v="29"/>
    <x v="0"/>
    <x v="48"/>
    <n v="3013"/>
    <x v="204"/>
    <n v="4042"/>
    <x v="196"/>
    <s v="BX 17"/>
    <n v="10"/>
    <n v="352"/>
    <x v="832"/>
    <s v="Annual"/>
    <n v="1"/>
    <n v="1"/>
    <n v="83052"/>
    <n v="83052"/>
  </r>
  <r>
    <x v="0"/>
    <n v="70"/>
    <x v="28"/>
    <x v="0"/>
    <x v="0"/>
    <n v="1005"/>
    <x v="29"/>
    <x v="0"/>
    <x v="48"/>
    <n v="3013"/>
    <x v="204"/>
    <n v="4042"/>
    <x v="196"/>
    <s v="B 14"/>
    <n v="1"/>
    <n v="351"/>
    <x v="833"/>
    <s v="Annual"/>
    <n v="2"/>
    <n v="1"/>
    <n v="119100"/>
    <n v="238200"/>
  </r>
  <r>
    <x v="0"/>
    <n v="70"/>
    <x v="28"/>
    <x v="0"/>
    <x v="0"/>
    <n v="1005"/>
    <x v="29"/>
    <x v="0"/>
    <x v="48"/>
    <n v="3013"/>
    <x v="204"/>
    <n v="4042"/>
    <x v="196"/>
    <s v="B 14"/>
    <n v="1"/>
    <n v="351"/>
    <x v="833"/>
    <s v="Annual"/>
    <n v="2"/>
    <n v="1"/>
    <n v="113628"/>
    <n v="227256"/>
  </r>
  <r>
    <x v="0"/>
    <n v="70"/>
    <x v="28"/>
    <x v="0"/>
    <x v="0"/>
    <n v="1005"/>
    <x v="29"/>
    <x v="0"/>
    <x v="48"/>
    <n v="3013"/>
    <x v="204"/>
    <n v="4042"/>
    <x v="196"/>
    <s v="B 14"/>
    <n v="1"/>
    <n v="351"/>
    <x v="833"/>
    <s v="Annual"/>
    <n v="1"/>
    <n v="1"/>
    <n v="89244"/>
    <n v="89244"/>
  </r>
  <r>
    <x v="0"/>
    <n v="70"/>
    <x v="28"/>
    <x v="0"/>
    <x v="0"/>
    <n v="1005"/>
    <x v="29"/>
    <x v="0"/>
    <x v="48"/>
    <n v="3013"/>
    <x v="204"/>
    <n v="4042"/>
    <x v="196"/>
    <s v="B 13"/>
    <n v="1"/>
    <n v="350"/>
    <x v="834"/>
    <s v="Annual"/>
    <n v="1"/>
    <n v="1"/>
    <n v="81324"/>
    <n v="81324"/>
  </r>
  <r>
    <x v="0"/>
    <n v="70"/>
    <x v="28"/>
    <x v="0"/>
    <x v="0"/>
    <n v="1005"/>
    <x v="29"/>
    <x v="0"/>
    <x v="48"/>
    <n v="3013"/>
    <x v="204"/>
    <n v="4042"/>
    <x v="196"/>
    <s v="B 13"/>
    <n v="1"/>
    <n v="350"/>
    <x v="834"/>
    <s v="Annual"/>
    <n v="5"/>
    <n v="1"/>
    <n v="77640"/>
    <n v="388200"/>
  </r>
  <r>
    <x v="0"/>
    <n v="70"/>
    <x v="28"/>
    <x v="0"/>
    <x v="0"/>
    <n v="1005"/>
    <x v="29"/>
    <x v="0"/>
    <x v="48"/>
    <n v="3013"/>
    <x v="204"/>
    <n v="4042"/>
    <x v="196"/>
    <s v="1 00"/>
    <n v="0"/>
    <n v="15"/>
    <x v="37"/>
    <s v="Annual"/>
    <n v="0"/>
    <n v="0"/>
    <n v="7828"/>
    <n v="7828"/>
  </r>
  <r>
    <x v="0"/>
    <n v="70"/>
    <x v="28"/>
    <x v="0"/>
    <x v="0"/>
    <n v="1005"/>
    <x v="29"/>
    <x v="0"/>
    <x v="48"/>
    <n v="3013"/>
    <x v="204"/>
    <n v="4043"/>
    <x v="197"/>
    <s v="B 12"/>
    <n v="1"/>
    <s v="03A8"/>
    <x v="88"/>
    <s v="Annual"/>
    <n v="1"/>
    <n v="1"/>
    <n v="98928"/>
    <n v="98928"/>
  </r>
  <r>
    <x v="0"/>
    <n v="70"/>
    <x v="28"/>
    <x v="0"/>
    <x v="0"/>
    <n v="1005"/>
    <x v="29"/>
    <x v="0"/>
    <x v="48"/>
    <n v="3013"/>
    <x v="204"/>
    <n v="4043"/>
    <x v="197"/>
    <s v="B 12"/>
    <n v="1"/>
    <s v="03A8"/>
    <x v="88"/>
    <s v="Annual"/>
    <n v="1"/>
    <n v="1"/>
    <n v="67608"/>
    <n v="67608"/>
  </r>
  <r>
    <x v="0"/>
    <n v="70"/>
    <x v="28"/>
    <x v="0"/>
    <x v="0"/>
    <n v="1005"/>
    <x v="29"/>
    <x v="0"/>
    <x v="48"/>
    <n v="3013"/>
    <x v="204"/>
    <n v="4043"/>
    <x v="197"/>
    <s v="BX 17"/>
    <n v="10"/>
    <n v="352"/>
    <x v="832"/>
    <s v="Annual"/>
    <n v="1"/>
    <n v="1"/>
    <n v="93384"/>
    <n v="93384"/>
  </r>
  <r>
    <x v="0"/>
    <n v="70"/>
    <x v="28"/>
    <x v="0"/>
    <x v="0"/>
    <n v="1005"/>
    <x v="29"/>
    <x v="0"/>
    <x v="48"/>
    <n v="3013"/>
    <x v="204"/>
    <n v="4043"/>
    <x v="197"/>
    <s v="B 13"/>
    <n v="1"/>
    <n v="350"/>
    <x v="834"/>
    <s v="Annual"/>
    <n v="1"/>
    <n v="1"/>
    <n v="77640"/>
    <n v="77640"/>
  </r>
  <r>
    <x v="0"/>
    <n v="70"/>
    <x v="28"/>
    <x v="0"/>
    <x v="0"/>
    <n v="1005"/>
    <x v="29"/>
    <x v="0"/>
    <x v="48"/>
    <n v="3013"/>
    <x v="204"/>
    <n v="4043"/>
    <x v="197"/>
    <s v="1 00"/>
    <n v="0"/>
    <n v="15"/>
    <x v="37"/>
    <s v="Annual"/>
    <n v="0"/>
    <n v="0"/>
    <n v="7659"/>
    <n v="7659"/>
  </r>
  <r>
    <x v="0"/>
    <n v="70"/>
    <x v="28"/>
    <x v="0"/>
    <x v="0"/>
    <n v="1005"/>
    <x v="29"/>
    <x v="0"/>
    <x v="48"/>
    <n v="3018"/>
    <x v="205"/>
    <n v="4024"/>
    <x v="198"/>
    <s v="X 32"/>
    <n v="9"/>
    <n v="9679"/>
    <x v="81"/>
    <s v="Annual"/>
    <n v="1"/>
    <n v="1"/>
    <n v="167964"/>
    <n v="167964"/>
  </r>
  <r>
    <x v="0"/>
    <n v="70"/>
    <x v="28"/>
    <x v="0"/>
    <x v="0"/>
    <n v="1005"/>
    <x v="29"/>
    <x v="0"/>
    <x v="48"/>
    <n v="3018"/>
    <x v="205"/>
    <n v="4024"/>
    <x v="198"/>
    <s v="B 14"/>
    <n v="1"/>
    <n v="9003"/>
    <x v="709"/>
    <s v="Annual"/>
    <n v="1"/>
    <n v="1"/>
    <n v="77640"/>
    <n v="77640"/>
  </r>
  <r>
    <x v="0"/>
    <n v="70"/>
    <x v="28"/>
    <x v="0"/>
    <x v="0"/>
    <n v="1005"/>
    <x v="29"/>
    <x v="0"/>
    <x v="48"/>
    <n v="3018"/>
    <x v="205"/>
    <n v="4024"/>
    <x v="198"/>
    <s v="BX 18"/>
    <n v="10"/>
    <n v="3092"/>
    <x v="308"/>
    <s v="Annual"/>
    <n v="1"/>
    <n v="1"/>
    <n v="150072"/>
    <n v="150072"/>
  </r>
  <r>
    <x v="0"/>
    <n v="70"/>
    <x v="28"/>
    <x v="0"/>
    <x v="0"/>
    <n v="1005"/>
    <x v="29"/>
    <x v="0"/>
    <x v="48"/>
    <n v="3018"/>
    <x v="205"/>
    <n v="4024"/>
    <x v="198"/>
    <s v="BX 15"/>
    <n v="10"/>
    <n v="1911"/>
    <x v="226"/>
    <s v="Annual"/>
    <n v="1"/>
    <n v="1"/>
    <n v="80124"/>
    <n v="80124"/>
  </r>
  <r>
    <x v="0"/>
    <n v="70"/>
    <x v="28"/>
    <x v="0"/>
    <x v="0"/>
    <n v="1005"/>
    <x v="29"/>
    <x v="0"/>
    <x v="48"/>
    <n v="3018"/>
    <x v="205"/>
    <n v="4024"/>
    <x v="198"/>
    <s v="BX 15"/>
    <n v="10"/>
    <n v="1911"/>
    <x v="226"/>
    <s v="Annual"/>
    <n v="1"/>
    <n v="1"/>
    <n v="69684"/>
    <n v="69684"/>
  </r>
  <r>
    <x v="0"/>
    <n v="70"/>
    <x v="28"/>
    <x v="0"/>
    <x v="0"/>
    <n v="1005"/>
    <x v="29"/>
    <x v="0"/>
    <x v="48"/>
    <n v="3018"/>
    <x v="205"/>
    <n v="4024"/>
    <x v="198"/>
    <s v="X 33"/>
    <n v="9"/>
    <n v="313"/>
    <x v="220"/>
    <s v="Annual"/>
    <n v="1"/>
    <n v="1"/>
    <n v="146808"/>
    <n v="146808"/>
  </r>
  <r>
    <x v="0"/>
    <n v="70"/>
    <x v="28"/>
    <x v="0"/>
    <x v="0"/>
    <n v="1005"/>
    <x v="29"/>
    <x v="0"/>
    <x v="48"/>
    <n v="3018"/>
    <x v="205"/>
    <n v="4024"/>
    <x v="198"/>
    <s v="B 13"/>
    <n v="1"/>
    <n v="308"/>
    <x v="90"/>
    <s v="Annual"/>
    <n v="1"/>
    <n v="1"/>
    <n v="108576"/>
    <n v="108576"/>
  </r>
  <r>
    <x v="0"/>
    <n v="70"/>
    <x v="28"/>
    <x v="0"/>
    <x v="0"/>
    <n v="1005"/>
    <x v="29"/>
    <x v="0"/>
    <x v="48"/>
    <n v="3018"/>
    <x v="205"/>
    <n v="4024"/>
    <x v="198"/>
    <s v="B 13"/>
    <n v="1"/>
    <n v="308"/>
    <x v="90"/>
    <s v="Annual"/>
    <n v="2"/>
    <n v="1"/>
    <n v="68616"/>
    <n v="137232"/>
  </r>
  <r>
    <x v="0"/>
    <n v="70"/>
    <x v="28"/>
    <x v="0"/>
    <x v="0"/>
    <n v="1005"/>
    <x v="29"/>
    <x v="0"/>
    <x v="48"/>
    <n v="3018"/>
    <x v="205"/>
    <n v="4024"/>
    <x v="198"/>
    <s v="1 00"/>
    <n v="0"/>
    <n v="15"/>
    <x v="37"/>
    <s v="Annual"/>
    <n v="0"/>
    <n v="0"/>
    <n v="12726"/>
    <n v="12726"/>
  </r>
  <r>
    <x v="0"/>
    <n v="70"/>
    <x v="28"/>
    <x v="0"/>
    <x v="0"/>
    <n v="1005"/>
    <x v="29"/>
    <x v="0"/>
    <x v="48"/>
    <n v="3018"/>
    <x v="205"/>
    <n v="4025"/>
    <x v="199"/>
    <s v="B 12"/>
    <n v="1"/>
    <s v="03A8"/>
    <x v="88"/>
    <s v="Annual"/>
    <n v="1"/>
    <n v="1"/>
    <n v="98928"/>
    <n v="98928"/>
  </r>
  <r>
    <x v="0"/>
    <n v="70"/>
    <x v="28"/>
    <x v="0"/>
    <x v="0"/>
    <n v="1005"/>
    <x v="29"/>
    <x v="0"/>
    <x v="48"/>
    <n v="3018"/>
    <x v="205"/>
    <n v="4025"/>
    <x v="199"/>
    <s v="B 12"/>
    <n v="1"/>
    <s v="03A8"/>
    <x v="88"/>
    <s v="Annual"/>
    <n v="2"/>
    <n v="1"/>
    <n v="70752"/>
    <n v="141504"/>
  </r>
  <r>
    <x v="0"/>
    <n v="70"/>
    <x v="28"/>
    <x v="0"/>
    <x v="0"/>
    <n v="1005"/>
    <x v="29"/>
    <x v="0"/>
    <x v="48"/>
    <n v="3018"/>
    <x v="205"/>
    <n v="4025"/>
    <x v="199"/>
    <s v="B 12"/>
    <n v="1"/>
    <s v="03A8"/>
    <x v="88"/>
    <s v="Annual"/>
    <n v="1"/>
    <n v="1"/>
    <n v="64488"/>
    <n v="64488"/>
  </r>
  <r>
    <x v="0"/>
    <n v="70"/>
    <x v="28"/>
    <x v="0"/>
    <x v="0"/>
    <n v="1005"/>
    <x v="29"/>
    <x v="0"/>
    <x v="48"/>
    <n v="3018"/>
    <x v="205"/>
    <n v="4025"/>
    <x v="199"/>
    <s v="1 00"/>
    <n v="0"/>
    <n v="15"/>
    <x v="37"/>
    <s v="Annual"/>
    <n v="0"/>
    <n v="0"/>
    <n v="3099"/>
    <n v="3099"/>
  </r>
  <r>
    <x v="0"/>
    <n v="70"/>
    <x v="28"/>
    <x v="0"/>
    <x v="0"/>
    <n v="1005"/>
    <x v="29"/>
    <x v="0"/>
    <x v="48"/>
    <n v="3018"/>
    <x v="205"/>
    <n v="4026"/>
    <x v="200"/>
    <s v="R 14"/>
    <n v="36"/>
    <n v="1276"/>
    <x v="835"/>
    <s v="Annual"/>
    <n v="1"/>
    <n v="1"/>
    <n v="130620"/>
    <n v="130620"/>
  </r>
  <r>
    <x v="0"/>
    <n v="70"/>
    <x v="28"/>
    <x v="0"/>
    <x v="0"/>
    <n v="1005"/>
    <x v="29"/>
    <x v="0"/>
    <x v="48"/>
    <n v="3018"/>
    <x v="205"/>
    <n v="4026"/>
    <x v="200"/>
    <s v="R 14"/>
    <n v="36"/>
    <n v="1276"/>
    <x v="835"/>
    <s v="Annual"/>
    <n v="1"/>
    <n v="1"/>
    <n v="89232"/>
    <n v="89232"/>
  </r>
  <r>
    <x v="0"/>
    <n v="70"/>
    <x v="28"/>
    <x v="0"/>
    <x v="0"/>
    <n v="1005"/>
    <x v="29"/>
    <x v="0"/>
    <x v="48"/>
    <n v="3018"/>
    <x v="205"/>
    <n v="4026"/>
    <x v="200"/>
    <s v="B 13"/>
    <n v="3"/>
    <n v="1275"/>
    <x v="836"/>
    <s v="Annual"/>
    <n v="2"/>
    <n v="1"/>
    <n v="119100"/>
    <n v="238200"/>
  </r>
  <r>
    <x v="0"/>
    <n v="70"/>
    <x v="28"/>
    <x v="0"/>
    <x v="0"/>
    <n v="1005"/>
    <x v="29"/>
    <x v="0"/>
    <x v="48"/>
    <n v="3018"/>
    <x v="205"/>
    <n v="4026"/>
    <x v="200"/>
    <s v="B 12"/>
    <n v="3"/>
    <n v="1274"/>
    <x v="837"/>
    <s v="Annual"/>
    <n v="1"/>
    <n v="1"/>
    <n v="108576"/>
    <n v="108576"/>
  </r>
  <r>
    <x v="0"/>
    <n v="70"/>
    <x v="28"/>
    <x v="0"/>
    <x v="0"/>
    <n v="1005"/>
    <x v="29"/>
    <x v="0"/>
    <x v="48"/>
    <n v="3018"/>
    <x v="205"/>
    <n v="4026"/>
    <x v="200"/>
    <s v="B 12"/>
    <n v="3"/>
    <n v="1274"/>
    <x v="837"/>
    <s v="Annual"/>
    <n v="1"/>
    <n v="1"/>
    <n v="62544"/>
    <n v="62544"/>
  </r>
  <r>
    <x v="0"/>
    <n v="70"/>
    <x v="28"/>
    <x v="0"/>
    <x v="0"/>
    <n v="1005"/>
    <x v="29"/>
    <x v="0"/>
    <x v="48"/>
    <n v="3018"/>
    <x v="205"/>
    <n v="4026"/>
    <x v="200"/>
    <s v="3 00"/>
    <n v="10"/>
    <n v="322"/>
    <x v="724"/>
    <s v="Annual"/>
    <n v="1"/>
    <n v="1"/>
    <n v="118908"/>
    <n v="118908"/>
  </r>
  <r>
    <x v="0"/>
    <n v="70"/>
    <x v="28"/>
    <x v="0"/>
    <x v="0"/>
    <n v="1005"/>
    <x v="29"/>
    <x v="0"/>
    <x v="48"/>
    <n v="3018"/>
    <x v="205"/>
    <n v="4026"/>
    <x v="200"/>
    <s v="1 00"/>
    <n v="0"/>
    <n v="15"/>
    <x v="37"/>
    <s v="Annual"/>
    <n v="0"/>
    <n v="0"/>
    <n v="3773"/>
    <n v="3773"/>
  </r>
  <r>
    <x v="0"/>
    <n v="70"/>
    <x v="28"/>
    <x v="0"/>
    <x v="0"/>
    <n v="1005"/>
    <x v="29"/>
    <x v="0"/>
    <x v="48"/>
    <n v="3018"/>
    <x v="205"/>
    <n v="4027"/>
    <x v="201"/>
    <s v="B 09"/>
    <n v="1"/>
    <n v="460"/>
    <x v="344"/>
    <s v="Annual"/>
    <n v="1"/>
    <n v="1"/>
    <n v="82140"/>
    <n v="82140"/>
  </r>
  <r>
    <x v="0"/>
    <n v="70"/>
    <x v="28"/>
    <x v="0"/>
    <x v="0"/>
    <n v="1005"/>
    <x v="29"/>
    <x v="0"/>
    <x v="48"/>
    <n v="3018"/>
    <x v="205"/>
    <n v="4027"/>
    <x v="201"/>
    <s v="B 12"/>
    <n v="1"/>
    <s v="03A8"/>
    <x v="88"/>
    <s v="Annual"/>
    <n v="1"/>
    <n v="1"/>
    <n v="94452"/>
    <n v="94452"/>
  </r>
  <r>
    <x v="0"/>
    <n v="70"/>
    <x v="28"/>
    <x v="0"/>
    <x v="0"/>
    <n v="1005"/>
    <x v="29"/>
    <x v="0"/>
    <x v="48"/>
    <n v="3018"/>
    <x v="205"/>
    <n v="4027"/>
    <x v="201"/>
    <s v="B 12"/>
    <n v="1"/>
    <s v="03A8"/>
    <x v="88"/>
    <s v="Annual"/>
    <n v="2"/>
    <n v="1"/>
    <n v="90144"/>
    <n v="180288"/>
  </r>
  <r>
    <x v="0"/>
    <n v="70"/>
    <x v="28"/>
    <x v="0"/>
    <x v="0"/>
    <n v="1005"/>
    <x v="29"/>
    <x v="0"/>
    <x v="48"/>
    <n v="3018"/>
    <x v="205"/>
    <n v="4027"/>
    <x v="201"/>
    <s v="B 12"/>
    <n v="1"/>
    <s v="03A8"/>
    <x v="88"/>
    <s v="Annual"/>
    <n v="1"/>
    <n v="1"/>
    <n v="62544"/>
    <n v="62544"/>
  </r>
  <r>
    <x v="0"/>
    <n v="70"/>
    <x v="28"/>
    <x v="0"/>
    <x v="0"/>
    <n v="1005"/>
    <x v="29"/>
    <x v="0"/>
    <x v="48"/>
    <n v="3018"/>
    <x v="205"/>
    <n v="4027"/>
    <x v="201"/>
    <s v="1 00"/>
    <n v="0"/>
    <n v="15"/>
    <x v="37"/>
    <s v="Annual"/>
    <n v="0"/>
    <n v="0"/>
    <n v="3226"/>
    <n v="3226"/>
  </r>
  <r>
    <x v="0"/>
    <n v="70"/>
    <x v="28"/>
    <x v="0"/>
    <x v="0"/>
    <n v="1005"/>
    <x v="29"/>
    <x v="0"/>
    <x v="48"/>
    <n v="3019"/>
    <x v="206"/>
    <n v="0"/>
    <x v="0"/>
    <s v="X 32"/>
    <n v="9"/>
    <n v="9658"/>
    <x v="838"/>
    <s v="Annual"/>
    <n v="1"/>
    <n v="1"/>
    <n v="175512"/>
    <n v="175512"/>
  </r>
  <r>
    <x v="0"/>
    <n v="70"/>
    <x v="28"/>
    <x v="0"/>
    <x v="0"/>
    <n v="1005"/>
    <x v="29"/>
    <x v="0"/>
    <x v="48"/>
    <n v="3019"/>
    <x v="206"/>
    <n v="0"/>
    <x v="0"/>
    <s v="BX 17"/>
    <n v="10"/>
    <n v="352"/>
    <x v="832"/>
    <s v="Annual"/>
    <n v="1"/>
    <n v="1"/>
    <n v="124584"/>
    <n v="124584"/>
  </r>
  <r>
    <x v="0"/>
    <n v="70"/>
    <x v="28"/>
    <x v="0"/>
    <x v="0"/>
    <n v="1005"/>
    <x v="29"/>
    <x v="0"/>
    <x v="48"/>
    <n v="3019"/>
    <x v="206"/>
    <n v="0"/>
    <x v="0"/>
    <s v="BX 17"/>
    <n v="10"/>
    <n v="352"/>
    <x v="832"/>
    <s v="Annual"/>
    <n v="1"/>
    <n v="1"/>
    <n v="83052"/>
    <n v="83052"/>
  </r>
  <r>
    <x v="0"/>
    <n v="70"/>
    <x v="28"/>
    <x v="0"/>
    <x v="0"/>
    <n v="1005"/>
    <x v="29"/>
    <x v="0"/>
    <x v="48"/>
    <n v="3019"/>
    <x v="206"/>
    <n v="0"/>
    <x v="0"/>
    <s v="B 14"/>
    <n v="1"/>
    <n v="351"/>
    <x v="833"/>
    <s v="Annual"/>
    <n v="1"/>
    <n v="1"/>
    <n v="103608"/>
    <n v="103608"/>
  </r>
  <r>
    <x v="0"/>
    <n v="70"/>
    <x v="28"/>
    <x v="0"/>
    <x v="0"/>
    <n v="1005"/>
    <x v="29"/>
    <x v="0"/>
    <x v="48"/>
    <n v="3019"/>
    <x v="206"/>
    <n v="0"/>
    <x v="0"/>
    <s v="B 14"/>
    <n v="1"/>
    <n v="351"/>
    <x v="833"/>
    <s v="Annual"/>
    <n v="1"/>
    <n v="1"/>
    <n v="89244"/>
    <n v="89244"/>
  </r>
  <r>
    <x v="0"/>
    <n v="70"/>
    <x v="28"/>
    <x v="0"/>
    <x v="0"/>
    <n v="1005"/>
    <x v="29"/>
    <x v="0"/>
    <x v="48"/>
    <n v="3019"/>
    <x v="206"/>
    <n v="0"/>
    <x v="0"/>
    <s v="B 13"/>
    <n v="1"/>
    <n v="350"/>
    <x v="834"/>
    <s v="Annual"/>
    <n v="1"/>
    <n v="1"/>
    <n v="77640"/>
    <n v="77640"/>
  </r>
  <r>
    <x v="0"/>
    <n v="70"/>
    <x v="28"/>
    <x v="0"/>
    <x v="0"/>
    <n v="1005"/>
    <x v="29"/>
    <x v="0"/>
    <x v="48"/>
    <n v="3019"/>
    <x v="206"/>
    <n v="0"/>
    <x v="0"/>
    <s v="B 13"/>
    <n v="1"/>
    <n v="350"/>
    <x v="834"/>
    <s v="Annual"/>
    <n v="1"/>
    <n v="1"/>
    <n v="74172"/>
    <n v="74172"/>
  </r>
  <r>
    <x v="0"/>
    <n v="70"/>
    <x v="28"/>
    <x v="0"/>
    <x v="0"/>
    <n v="1005"/>
    <x v="29"/>
    <x v="0"/>
    <x v="48"/>
    <n v="3019"/>
    <x v="206"/>
    <n v="0"/>
    <x v="0"/>
    <s v="B 13"/>
    <n v="1"/>
    <n v="350"/>
    <x v="834"/>
    <s v="Annual"/>
    <n v="3"/>
    <n v="1"/>
    <n v="68616"/>
    <n v="205848"/>
  </r>
  <r>
    <x v="0"/>
    <n v="70"/>
    <x v="28"/>
    <x v="0"/>
    <x v="0"/>
    <n v="1005"/>
    <x v="29"/>
    <x v="0"/>
    <x v="48"/>
    <n v="3019"/>
    <x v="206"/>
    <n v="0"/>
    <x v="0"/>
    <s v="X 33"/>
    <n v="9"/>
    <n v="313"/>
    <x v="220"/>
    <s v="Annual"/>
    <n v="1"/>
    <n v="1"/>
    <n v="146808"/>
    <n v="146808"/>
  </r>
  <r>
    <x v="0"/>
    <n v="70"/>
    <x v="28"/>
    <x v="0"/>
    <x v="0"/>
    <n v="1005"/>
    <x v="29"/>
    <x v="0"/>
    <x v="48"/>
    <n v="3019"/>
    <x v="206"/>
    <n v="0"/>
    <x v="0"/>
    <s v="BX 18"/>
    <n v="10"/>
    <n v="310"/>
    <x v="135"/>
    <s v="Annual"/>
    <n v="1"/>
    <n v="1"/>
    <n v="97836"/>
    <n v="97836"/>
  </r>
  <r>
    <x v="0"/>
    <n v="70"/>
    <x v="28"/>
    <x v="0"/>
    <x v="0"/>
    <n v="1005"/>
    <x v="29"/>
    <x v="0"/>
    <x v="48"/>
    <n v="3019"/>
    <x v="206"/>
    <n v="0"/>
    <x v="0"/>
    <s v="1 00"/>
    <n v="0"/>
    <n v="15"/>
    <x v="37"/>
    <s v="Annual"/>
    <n v="0"/>
    <n v="0"/>
    <n v="13914"/>
    <n v="13914"/>
  </r>
  <r>
    <x v="0"/>
    <n v="70"/>
    <x v="28"/>
    <x v="0"/>
    <x v="0"/>
    <n v="1005"/>
    <x v="29"/>
    <x v="0"/>
    <x v="48"/>
    <n v="3031"/>
    <x v="207"/>
    <n v="0"/>
    <x v="0"/>
    <s v="X 32"/>
    <n v="9"/>
    <n v="9679"/>
    <x v="81"/>
    <s v="Annual"/>
    <n v="1"/>
    <n v="1"/>
    <n v="167964"/>
    <n v="167964"/>
  </r>
  <r>
    <x v="0"/>
    <n v="70"/>
    <x v="28"/>
    <x v="0"/>
    <x v="0"/>
    <n v="1005"/>
    <x v="29"/>
    <x v="0"/>
    <x v="48"/>
    <n v="3031"/>
    <x v="207"/>
    <n v="0"/>
    <x v="0"/>
    <s v="BX 17"/>
    <n v="10"/>
    <n v="1212"/>
    <x v="839"/>
    <s v="Annual"/>
    <n v="1"/>
    <n v="1"/>
    <n v="136692"/>
    <n v="136692"/>
  </r>
  <r>
    <x v="0"/>
    <n v="70"/>
    <x v="28"/>
    <x v="0"/>
    <x v="0"/>
    <n v="1005"/>
    <x v="29"/>
    <x v="0"/>
    <x v="48"/>
    <n v="3031"/>
    <x v="207"/>
    <n v="0"/>
    <x v="0"/>
    <s v="BX 17"/>
    <n v="10"/>
    <n v="1212"/>
    <x v="839"/>
    <s v="Annual"/>
    <n v="1"/>
    <n v="1"/>
    <n v="124584"/>
    <n v="124584"/>
  </r>
  <r>
    <x v="0"/>
    <n v="70"/>
    <x v="28"/>
    <x v="0"/>
    <x v="0"/>
    <n v="1005"/>
    <x v="29"/>
    <x v="0"/>
    <x v="48"/>
    <n v="3031"/>
    <x v="207"/>
    <n v="0"/>
    <x v="0"/>
    <s v="BX 16"/>
    <n v="10"/>
    <n v="1211"/>
    <x v="840"/>
    <s v="Annual"/>
    <n v="2"/>
    <n v="1"/>
    <n v="124584"/>
    <n v="249168"/>
  </r>
  <r>
    <x v="0"/>
    <n v="70"/>
    <x v="28"/>
    <x v="0"/>
    <x v="0"/>
    <n v="1005"/>
    <x v="29"/>
    <x v="0"/>
    <x v="48"/>
    <n v="3031"/>
    <x v="207"/>
    <n v="0"/>
    <x v="0"/>
    <s v="BX 16"/>
    <n v="10"/>
    <n v="1211"/>
    <x v="840"/>
    <s v="Annual"/>
    <n v="2"/>
    <n v="1"/>
    <n v="108432"/>
    <n v="216864"/>
  </r>
  <r>
    <x v="0"/>
    <n v="70"/>
    <x v="28"/>
    <x v="0"/>
    <x v="0"/>
    <n v="1005"/>
    <x v="29"/>
    <x v="0"/>
    <x v="48"/>
    <n v="3031"/>
    <x v="207"/>
    <n v="0"/>
    <x v="0"/>
    <s v="BX 16"/>
    <n v="10"/>
    <n v="1211"/>
    <x v="840"/>
    <s v="Annual"/>
    <n v="2"/>
    <n v="1"/>
    <n v="89112"/>
    <n v="178224"/>
  </r>
  <r>
    <x v="0"/>
    <n v="70"/>
    <x v="28"/>
    <x v="0"/>
    <x v="0"/>
    <n v="1005"/>
    <x v="29"/>
    <x v="0"/>
    <x v="48"/>
    <n v="3031"/>
    <x v="207"/>
    <n v="0"/>
    <x v="0"/>
    <s v="BX 16"/>
    <n v="10"/>
    <n v="1211"/>
    <x v="840"/>
    <s v="Annual"/>
    <n v="1"/>
    <n v="1"/>
    <n v="85128"/>
    <n v="85128"/>
  </r>
  <r>
    <x v="0"/>
    <n v="70"/>
    <x v="28"/>
    <x v="0"/>
    <x v="0"/>
    <n v="1005"/>
    <x v="29"/>
    <x v="0"/>
    <x v="48"/>
    <n v="3031"/>
    <x v="207"/>
    <n v="0"/>
    <x v="0"/>
    <s v="BX 16"/>
    <n v="10"/>
    <n v="1211"/>
    <x v="840"/>
    <s v="Annual"/>
    <n v="1"/>
    <n v="1"/>
    <n v="83052"/>
    <n v="83052"/>
  </r>
  <r>
    <x v="0"/>
    <n v="70"/>
    <x v="28"/>
    <x v="0"/>
    <x v="0"/>
    <n v="1005"/>
    <x v="29"/>
    <x v="0"/>
    <x v="48"/>
    <n v="3031"/>
    <x v="207"/>
    <n v="0"/>
    <x v="0"/>
    <s v="BX 16"/>
    <n v="10"/>
    <n v="1211"/>
    <x v="840"/>
    <s v="Annual"/>
    <n v="1"/>
    <n v="1"/>
    <n v="80124"/>
    <n v="80124"/>
  </r>
  <r>
    <x v="0"/>
    <n v="70"/>
    <x v="28"/>
    <x v="0"/>
    <x v="0"/>
    <n v="1005"/>
    <x v="29"/>
    <x v="0"/>
    <x v="48"/>
    <n v="3031"/>
    <x v="207"/>
    <n v="0"/>
    <x v="0"/>
    <s v="BX 16"/>
    <n v="10"/>
    <n v="1211"/>
    <x v="840"/>
    <s v="Annual"/>
    <n v="1"/>
    <n v="1"/>
    <n v="76476"/>
    <n v="76476"/>
  </r>
  <r>
    <x v="0"/>
    <n v="70"/>
    <x v="28"/>
    <x v="0"/>
    <x v="0"/>
    <n v="1005"/>
    <x v="29"/>
    <x v="0"/>
    <x v="48"/>
    <n v="3031"/>
    <x v="207"/>
    <n v="0"/>
    <x v="0"/>
    <s v="B 14"/>
    <n v="1"/>
    <n v="1210"/>
    <x v="841"/>
    <s v="Annual"/>
    <n v="8"/>
    <n v="1"/>
    <n v="130668"/>
    <n v="1045344"/>
  </r>
  <r>
    <x v="0"/>
    <n v="70"/>
    <x v="28"/>
    <x v="0"/>
    <x v="0"/>
    <n v="1005"/>
    <x v="29"/>
    <x v="0"/>
    <x v="48"/>
    <n v="3031"/>
    <x v="207"/>
    <n v="0"/>
    <x v="0"/>
    <s v="B 14"/>
    <n v="1"/>
    <n v="1210"/>
    <x v="841"/>
    <s v="Annual"/>
    <n v="3"/>
    <n v="1"/>
    <n v="124848"/>
    <n v="374544"/>
  </r>
  <r>
    <x v="0"/>
    <n v="70"/>
    <x v="28"/>
    <x v="0"/>
    <x v="0"/>
    <n v="1005"/>
    <x v="29"/>
    <x v="0"/>
    <x v="48"/>
    <n v="3031"/>
    <x v="207"/>
    <n v="0"/>
    <x v="0"/>
    <s v="B 14"/>
    <n v="1"/>
    <n v="1210"/>
    <x v="841"/>
    <s v="Annual"/>
    <n v="2"/>
    <n v="1"/>
    <n v="119100"/>
    <n v="238200"/>
  </r>
  <r>
    <x v="0"/>
    <n v="70"/>
    <x v="28"/>
    <x v="0"/>
    <x v="0"/>
    <n v="1005"/>
    <x v="29"/>
    <x v="0"/>
    <x v="48"/>
    <n v="3031"/>
    <x v="207"/>
    <n v="0"/>
    <x v="0"/>
    <s v="B 14"/>
    <n v="1"/>
    <n v="1210"/>
    <x v="841"/>
    <s v="Annual"/>
    <n v="2"/>
    <n v="1"/>
    <n v="113628"/>
    <n v="227256"/>
  </r>
  <r>
    <x v="0"/>
    <n v="70"/>
    <x v="28"/>
    <x v="0"/>
    <x v="0"/>
    <n v="1005"/>
    <x v="29"/>
    <x v="0"/>
    <x v="48"/>
    <n v="3031"/>
    <x v="207"/>
    <n v="0"/>
    <x v="0"/>
    <s v="B 14"/>
    <n v="1"/>
    <n v="1210"/>
    <x v="841"/>
    <s v="Annual"/>
    <n v="1"/>
    <n v="1"/>
    <n v="103608"/>
    <n v="103608"/>
  </r>
  <r>
    <x v="0"/>
    <n v="70"/>
    <x v="28"/>
    <x v="0"/>
    <x v="0"/>
    <n v="1005"/>
    <x v="29"/>
    <x v="0"/>
    <x v="48"/>
    <n v="3031"/>
    <x v="207"/>
    <n v="0"/>
    <x v="0"/>
    <s v="B 14"/>
    <n v="1"/>
    <n v="1210"/>
    <x v="841"/>
    <s v="Annual"/>
    <n v="1"/>
    <n v="1"/>
    <n v="98928"/>
    <n v="98928"/>
  </r>
  <r>
    <x v="0"/>
    <n v="70"/>
    <x v="28"/>
    <x v="0"/>
    <x v="0"/>
    <n v="1005"/>
    <x v="29"/>
    <x v="0"/>
    <x v="48"/>
    <n v="3031"/>
    <x v="207"/>
    <n v="0"/>
    <x v="0"/>
    <s v="B 14"/>
    <n v="1"/>
    <n v="1210"/>
    <x v="841"/>
    <s v="Annual"/>
    <n v="3"/>
    <n v="1"/>
    <n v="93504"/>
    <n v="280512"/>
  </r>
  <r>
    <x v="0"/>
    <n v="70"/>
    <x v="28"/>
    <x v="0"/>
    <x v="0"/>
    <n v="1005"/>
    <x v="29"/>
    <x v="0"/>
    <x v="48"/>
    <n v="3031"/>
    <x v="207"/>
    <n v="0"/>
    <x v="0"/>
    <s v="B 14"/>
    <n v="1"/>
    <n v="1210"/>
    <x v="841"/>
    <s v="Annual"/>
    <n v="2"/>
    <n v="1"/>
    <n v="89244"/>
    <n v="178488"/>
  </r>
  <r>
    <x v="0"/>
    <n v="70"/>
    <x v="28"/>
    <x v="0"/>
    <x v="0"/>
    <n v="1005"/>
    <x v="29"/>
    <x v="0"/>
    <x v="48"/>
    <n v="3031"/>
    <x v="207"/>
    <n v="0"/>
    <x v="0"/>
    <s v="B 14"/>
    <n v="1"/>
    <n v="1210"/>
    <x v="841"/>
    <s v="Annual"/>
    <n v="2"/>
    <n v="1"/>
    <n v="85200"/>
    <n v="170400"/>
  </r>
  <r>
    <x v="0"/>
    <n v="70"/>
    <x v="28"/>
    <x v="0"/>
    <x v="0"/>
    <n v="1005"/>
    <x v="29"/>
    <x v="0"/>
    <x v="48"/>
    <n v="3031"/>
    <x v="207"/>
    <n v="0"/>
    <x v="0"/>
    <s v="B 14"/>
    <n v="1"/>
    <n v="1210"/>
    <x v="841"/>
    <s v="Annual"/>
    <n v="5"/>
    <n v="1"/>
    <n v="81324"/>
    <n v="406620"/>
  </r>
  <r>
    <x v="0"/>
    <n v="70"/>
    <x v="28"/>
    <x v="0"/>
    <x v="0"/>
    <n v="1005"/>
    <x v="29"/>
    <x v="0"/>
    <x v="48"/>
    <n v="3031"/>
    <x v="207"/>
    <n v="0"/>
    <x v="0"/>
    <s v="B 14"/>
    <n v="1"/>
    <n v="1210"/>
    <x v="841"/>
    <s v="Annual"/>
    <n v="5"/>
    <n v="1"/>
    <n v="77640"/>
    <n v="388200"/>
  </r>
  <r>
    <x v="0"/>
    <n v="70"/>
    <x v="28"/>
    <x v="0"/>
    <x v="0"/>
    <n v="1005"/>
    <x v="29"/>
    <x v="0"/>
    <x v="48"/>
    <n v="3031"/>
    <x v="207"/>
    <n v="0"/>
    <x v="0"/>
    <s v="B 14"/>
    <n v="1"/>
    <n v="1210"/>
    <x v="841"/>
    <s v="Annual"/>
    <n v="5"/>
    <n v="1"/>
    <n v="75336"/>
    <n v="376680"/>
  </r>
  <r>
    <x v="0"/>
    <n v="70"/>
    <x v="28"/>
    <x v="0"/>
    <x v="0"/>
    <n v="1005"/>
    <x v="29"/>
    <x v="0"/>
    <x v="48"/>
    <n v="3031"/>
    <x v="207"/>
    <n v="0"/>
    <x v="0"/>
    <s v="B 12"/>
    <n v="1"/>
    <s v="03A8"/>
    <x v="88"/>
    <s v="Annual"/>
    <n v="1"/>
    <n v="1"/>
    <n v="108576"/>
    <n v="108576"/>
  </r>
  <r>
    <x v="0"/>
    <n v="70"/>
    <x v="28"/>
    <x v="0"/>
    <x v="0"/>
    <n v="1005"/>
    <x v="29"/>
    <x v="0"/>
    <x v="48"/>
    <n v="3031"/>
    <x v="207"/>
    <n v="0"/>
    <x v="0"/>
    <s v="B 12"/>
    <n v="1"/>
    <s v="03A8"/>
    <x v="88"/>
    <s v="Annual"/>
    <n v="1"/>
    <n v="1"/>
    <n v="94452"/>
    <n v="94452"/>
  </r>
  <r>
    <x v="0"/>
    <n v="70"/>
    <x v="28"/>
    <x v="0"/>
    <x v="0"/>
    <n v="1005"/>
    <x v="29"/>
    <x v="0"/>
    <x v="48"/>
    <n v="3031"/>
    <x v="207"/>
    <n v="0"/>
    <x v="0"/>
    <s v="B 12"/>
    <n v="1"/>
    <s v="03A8"/>
    <x v="88"/>
    <s v="Annual"/>
    <n v="1"/>
    <n v="1"/>
    <n v="67608"/>
    <n v="67608"/>
  </r>
  <r>
    <x v="0"/>
    <n v="70"/>
    <x v="28"/>
    <x v="0"/>
    <x v="0"/>
    <n v="1005"/>
    <x v="29"/>
    <x v="0"/>
    <x v="48"/>
    <n v="3031"/>
    <x v="207"/>
    <n v="0"/>
    <x v="0"/>
    <s v="B 10"/>
    <n v="1"/>
    <s v="03A7"/>
    <x v="4"/>
    <s v="Annual"/>
    <n v="1"/>
    <n v="1"/>
    <n v="58764"/>
    <n v="58764"/>
  </r>
  <r>
    <x v="0"/>
    <n v="70"/>
    <x v="28"/>
    <x v="0"/>
    <x v="0"/>
    <n v="1005"/>
    <x v="29"/>
    <x v="0"/>
    <x v="48"/>
    <n v="3031"/>
    <x v="207"/>
    <n v="0"/>
    <x v="0"/>
    <s v="B 10"/>
    <n v="1"/>
    <s v="03A7"/>
    <x v="4"/>
    <s v="Annual"/>
    <n v="1"/>
    <n v="1"/>
    <n v="51936"/>
    <n v="51936"/>
  </r>
  <r>
    <x v="0"/>
    <n v="70"/>
    <x v="28"/>
    <x v="0"/>
    <x v="0"/>
    <n v="1005"/>
    <x v="29"/>
    <x v="0"/>
    <x v="48"/>
    <n v="3031"/>
    <x v="207"/>
    <n v="0"/>
    <x v="0"/>
    <s v="1 00"/>
    <n v="0"/>
    <n v="15"/>
    <x v="37"/>
    <s v="Annual"/>
    <n v="0"/>
    <n v="0"/>
    <n v="54586"/>
    <n v="54586"/>
  </r>
  <r>
    <x v="0"/>
    <n v="70"/>
    <x v="28"/>
    <x v="0"/>
    <x v="0"/>
    <n v="1005"/>
    <x v="29"/>
    <x v="0"/>
    <x v="48"/>
    <n v="3032"/>
    <x v="208"/>
    <n v="0"/>
    <x v="0"/>
    <s v="X 32"/>
    <n v="9"/>
    <n v="9689"/>
    <x v="842"/>
    <s v="Annual"/>
    <n v="1"/>
    <n v="1"/>
    <n v="167964"/>
    <n v="167964"/>
  </r>
  <r>
    <x v="0"/>
    <n v="70"/>
    <x v="28"/>
    <x v="0"/>
    <x v="0"/>
    <n v="1005"/>
    <x v="29"/>
    <x v="0"/>
    <x v="48"/>
    <n v="3032"/>
    <x v="208"/>
    <n v="0"/>
    <x v="0"/>
    <s v="B 14"/>
    <n v="1"/>
    <n v="1730"/>
    <x v="531"/>
    <s v="Annual"/>
    <n v="2"/>
    <n v="1"/>
    <n v="77640"/>
    <n v="155280"/>
  </r>
  <r>
    <x v="0"/>
    <n v="70"/>
    <x v="28"/>
    <x v="0"/>
    <x v="0"/>
    <n v="1005"/>
    <x v="29"/>
    <x v="0"/>
    <x v="48"/>
    <n v="3032"/>
    <x v="208"/>
    <n v="0"/>
    <x v="0"/>
    <s v="GY 09"/>
    <n v="20"/>
    <n v="1209"/>
    <x v="843"/>
    <s v="Annual"/>
    <n v="1"/>
    <n v="1"/>
    <n v="115992"/>
    <n v="115992"/>
  </r>
  <r>
    <x v="0"/>
    <n v="70"/>
    <x v="28"/>
    <x v="0"/>
    <x v="0"/>
    <n v="1005"/>
    <x v="29"/>
    <x v="0"/>
    <x v="48"/>
    <n v="3032"/>
    <x v="208"/>
    <n v="0"/>
    <x v="0"/>
    <s v="GY 09"/>
    <n v="20"/>
    <n v="1209"/>
    <x v="843"/>
    <s v="Annual"/>
    <n v="1"/>
    <n v="1"/>
    <n v="97332"/>
    <n v="97332"/>
  </r>
  <r>
    <x v="0"/>
    <n v="70"/>
    <x v="28"/>
    <x v="0"/>
    <x v="0"/>
    <n v="1005"/>
    <x v="29"/>
    <x v="0"/>
    <x v="48"/>
    <n v="3032"/>
    <x v="208"/>
    <n v="0"/>
    <x v="0"/>
    <s v="G 06"/>
    <n v="4"/>
    <n v="1208"/>
    <x v="844"/>
    <s v="Annual"/>
    <n v="1"/>
    <n v="1"/>
    <n v="97488"/>
    <n v="97488"/>
  </r>
  <r>
    <x v="0"/>
    <n v="70"/>
    <x v="28"/>
    <x v="0"/>
    <x v="0"/>
    <n v="1005"/>
    <x v="29"/>
    <x v="0"/>
    <x v="48"/>
    <n v="3032"/>
    <x v="208"/>
    <n v="0"/>
    <x v="0"/>
    <s v="G 06"/>
    <n v="4"/>
    <n v="1208"/>
    <x v="844"/>
    <s v="Annual"/>
    <n v="1"/>
    <n v="1"/>
    <n v="92940"/>
    <n v="92940"/>
  </r>
  <r>
    <x v="0"/>
    <n v="70"/>
    <x v="28"/>
    <x v="0"/>
    <x v="0"/>
    <n v="1005"/>
    <x v="29"/>
    <x v="0"/>
    <x v="48"/>
    <n v="3032"/>
    <x v="208"/>
    <n v="0"/>
    <x v="0"/>
    <s v="G 06"/>
    <n v="4"/>
    <n v="1208"/>
    <x v="844"/>
    <s v="Annual"/>
    <n v="2"/>
    <n v="1"/>
    <n v="88524"/>
    <n v="177048"/>
  </r>
  <r>
    <x v="0"/>
    <n v="70"/>
    <x v="28"/>
    <x v="0"/>
    <x v="0"/>
    <n v="1005"/>
    <x v="29"/>
    <x v="0"/>
    <x v="48"/>
    <n v="3032"/>
    <x v="208"/>
    <n v="0"/>
    <x v="0"/>
    <s v="G 06"/>
    <n v="4"/>
    <n v="1208"/>
    <x v="844"/>
    <s v="Annual"/>
    <n v="1"/>
    <n v="1"/>
    <n v="84192"/>
    <n v="84192"/>
  </r>
  <r>
    <x v="0"/>
    <n v="70"/>
    <x v="28"/>
    <x v="0"/>
    <x v="0"/>
    <n v="1005"/>
    <x v="29"/>
    <x v="0"/>
    <x v="48"/>
    <n v="3032"/>
    <x v="208"/>
    <n v="0"/>
    <x v="0"/>
    <s v="G 06"/>
    <n v="4"/>
    <n v="1208"/>
    <x v="844"/>
    <s v="Annual"/>
    <n v="2"/>
    <n v="1"/>
    <n v="81636"/>
    <n v="163272"/>
  </r>
  <r>
    <x v="0"/>
    <n v="70"/>
    <x v="28"/>
    <x v="0"/>
    <x v="0"/>
    <n v="1005"/>
    <x v="29"/>
    <x v="0"/>
    <x v="48"/>
    <n v="3032"/>
    <x v="208"/>
    <n v="0"/>
    <x v="0"/>
    <s v="B 12"/>
    <n v="1"/>
    <s v="03A8"/>
    <x v="88"/>
    <s v="Annual"/>
    <n v="1"/>
    <n v="1"/>
    <n v="98928"/>
    <n v="98928"/>
  </r>
  <r>
    <x v="0"/>
    <n v="70"/>
    <x v="28"/>
    <x v="0"/>
    <x v="0"/>
    <n v="1005"/>
    <x v="29"/>
    <x v="0"/>
    <x v="48"/>
    <n v="3032"/>
    <x v="208"/>
    <n v="0"/>
    <x v="0"/>
    <s v="X 33"/>
    <n v="9"/>
    <n v="313"/>
    <x v="220"/>
    <s v="Annual"/>
    <n v="1"/>
    <n v="1"/>
    <n v="137532"/>
    <n v="137532"/>
  </r>
  <r>
    <x v="0"/>
    <n v="70"/>
    <x v="28"/>
    <x v="0"/>
    <x v="0"/>
    <n v="1005"/>
    <x v="29"/>
    <x v="0"/>
    <x v="48"/>
    <n v="3032"/>
    <x v="208"/>
    <n v="0"/>
    <x v="0"/>
    <s v="1 00"/>
    <n v="0"/>
    <n v="15"/>
    <x v="37"/>
    <s v="Annual"/>
    <n v="0"/>
    <n v="0"/>
    <n v="34937"/>
    <n v="34937"/>
  </r>
  <r>
    <x v="0"/>
    <n v="70"/>
    <x v="28"/>
    <x v="0"/>
    <x v="0"/>
    <n v="1005"/>
    <x v="29"/>
    <x v="0"/>
    <x v="48"/>
    <n v="3046"/>
    <x v="209"/>
    <n v="4046"/>
    <x v="41"/>
    <s v="X 32"/>
    <n v="9"/>
    <n v="9679"/>
    <x v="81"/>
    <s v="Annual"/>
    <n v="1"/>
    <n v="1"/>
    <n v="167964"/>
    <n v="167964"/>
  </r>
  <r>
    <x v="0"/>
    <n v="70"/>
    <x v="28"/>
    <x v="0"/>
    <x v="0"/>
    <n v="1005"/>
    <x v="29"/>
    <x v="0"/>
    <x v="48"/>
    <n v="3046"/>
    <x v="209"/>
    <n v="4046"/>
    <x v="41"/>
    <s v="GY 07"/>
    <n v="0"/>
    <n v="1645"/>
    <x v="802"/>
    <s v="Annual"/>
    <n v="6"/>
    <n v="1"/>
    <n v="82884"/>
    <n v="497304"/>
  </r>
  <r>
    <x v="0"/>
    <n v="70"/>
    <x v="28"/>
    <x v="0"/>
    <x v="0"/>
    <n v="1005"/>
    <x v="29"/>
    <x v="0"/>
    <x v="48"/>
    <n v="3046"/>
    <x v="209"/>
    <n v="4046"/>
    <x v="41"/>
    <s v="GY 07"/>
    <n v="0"/>
    <n v="1645"/>
    <x v="802"/>
    <s v="Annual"/>
    <n v="1"/>
    <n v="1"/>
    <n v="76020"/>
    <n v="76020"/>
  </r>
  <r>
    <x v="0"/>
    <n v="70"/>
    <x v="28"/>
    <x v="0"/>
    <x v="0"/>
    <n v="1005"/>
    <x v="29"/>
    <x v="0"/>
    <x v="48"/>
    <n v="3046"/>
    <x v="209"/>
    <n v="4046"/>
    <x v="41"/>
    <s v="GY 10"/>
    <n v="10"/>
    <n v="1640"/>
    <x v="845"/>
    <s v="Annual"/>
    <n v="1"/>
    <n v="1"/>
    <n v="106272"/>
    <n v="106272"/>
  </r>
  <r>
    <x v="0"/>
    <n v="70"/>
    <x v="28"/>
    <x v="0"/>
    <x v="0"/>
    <n v="1005"/>
    <x v="29"/>
    <x v="0"/>
    <x v="48"/>
    <n v="3046"/>
    <x v="209"/>
    <n v="4046"/>
    <x v="41"/>
    <s v="4 00"/>
    <n v="9"/>
    <n v="1631"/>
    <x v="350"/>
    <s v="Hourly"/>
    <n v="11488"/>
    <n v="0"/>
    <n v="17"/>
    <n v="195296"/>
  </r>
  <r>
    <x v="0"/>
    <n v="70"/>
    <x v="28"/>
    <x v="0"/>
    <x v="0"/>
    <n v="1005"/>
    <x v="29"/>
    <x v="0"/>
    <x v="48"/>
    <n v="3046"/>
    <x v="209"/>
    <n v="4046"/>
    <x v="41"/>
    <s v="B 10"/>
    <n v="1"/>
    <s v="03A7"/>
    <x v="4"/>
    <s v="Annual"/>
    <n v="1"/>
    <n v="1"/>
    <n v="90144"/>
    <n v="90144"/>
  </r>
  <r>
    <x v="0"/>
    <n v="70"/>
    <x v="28"/>
    <x v="0"/>
    <x v="0"/>
    <n v="1005"/>
    <x v="29"/>
    <x v="0"/>
    <x v="48"/>
    <n v="3046"/>
    <x v="209"/>
    <n v="4046"/>
    <x v="41"/>
    <s v="X 33"/>
    <n v="9"/>
    <n v="313"/>
    <x v="220"/>
    <s v="Annual"/>
    <n v="1"/>
    <n v="1"/>
    <n v="146808"/>
    <n v="146808"/>
  </r>
  <r>
    <x v="0"/>
    <n v="70"/>
    <x v="28"/>
    <x v="0"/>
    <x v="0"/>
    <n v="1005"/>
    <x v="29"/>
    <x v="0"/>
    <x v="48"/>
    <n v="3046"/>
    <x v="209"/>
    <n v="4046"/>
    <x v="41"/>
    <s v="B 13"/>
    <n v="1"/>
    <n v="308"/>
    <x v="90"/>
    <s v="Annual"/>
    <n v="1"/>
    <n v="1"/>
    <n v="119100"/>
    <n v="119100"/>
  </r>
  <r>
    <x v="0"/>
    <n v="70"/>
    <x v="28"/>
    <x v="0"/>
    <x v="0"/>
    <n v="1005"/>
    <x v="29"/>
    <x v="0"/>
    <x v="48"/>
    <n v="3046"/>
    <x v="209"/>
    <n v="4046"/>
    <x v="41"/>
    <s v="1 00"/>
    <n v="0"/>
    <n v="15"/>
    <x v="37"/>
    <s v="Annual"/>
    <n v="0"/>
    <n v="0"/>
    <n v="18850"/>
    <n v="18850"/>
  </r>
  <r>
    <x v="0"/>
    <n v="70"/>
    <x v="28"/>
    <x v="0"/>
    <x v="0"/>
    <n v="1005"/>
    <x v="29"/>
    <x v="0"/>
    <x v="48"/>
    <n v="3046"/>
    <x v="209"/>
    <n v="4047"/>
    <x v="202"/>
    <s v="G 08"/>
    <n v="4"/>
    <n v="635"/>
    <x v="242"/>
    <s v="Annual"/>
    <n v="1"/>
    <n v="1"/>
    <n v="141564"/>
    <n v="141564"/>
  </r>
  <r>
    <x v="0"/>
    <n v="70"/>
    <x v="28"/>
    <x v="0"/>
    <x v="0"/>
    <n v="1005"/>
    <x v="29"/>
    <x v="0"/>
    <x v="48"/>
    <n v="3046"/>
    <x v="209"/>
    <n v="4047"/>
    <x v="202"/>
    <s v="B 12"/>
    <n v="1"/>
    <s v="03A8"/>
    <x v="88"/>
    <s v="Annual"/>
    <n v="1"/>
    <n v="1"/>
    <n v="77640"/>
    <n v="77640"/>
  </r>
  <r>
    <x v="0"/>
    <n v="70"/>
    <x v="28"/>
    <x v="0"/>
    <x v="0"/>
    <n v="1005"/>
    <x v="29"/>
    <x v="0"/>
    <x v="48"/>
    <n v="3046"/>
    <x v="209"/>
    <n v="4047"/>
    <x v="202"/>
    <s v="1 00"/>
    <n v="0"/>
    <n v="15"/>
    <x v="37"/>
    <s v="Annual"/>
    <n v="0"/>
    <n v="0"/>
    <n v="546"/>
    <n v="546"/>
  </r>
  <r>
    <x v="0"/>
    <n v="70"/>
    <x v="28"/>
    <x v="0"/>
    <x v="0"/>
    <n v="1005"/>
    <x v="29"/>
    <x v="0"/>
    <x v="48"/>
    <n v="3047"/>
    <x v="210"/>
    <n v="0"/>
    <x v="0"/>
    <s v="X 32"/>
    <n v="9"/>
    <n v="9679"/>
    <x v="81"/>
    <s v="Annual"/>
    <n v="1"/>
    <n v="1"/>
    <n v="157332"/>
    <n v="157332"/>
  </r>
  <r>
    <x v="0"/>
    <n v="70"/>
    <x v="28"/>
    <x v="0"/>
    <x v="0"/>
    <n v="1005"/>
    <x v="29"/>
    <x v="0"/>
    <x v="48"/>
    <n v="3047"/>
    <x v="210"/>
    <n v="0"/>
    <x v="0"/>
    <s v="BX 15"/>
    <n v="10"/>
    <n v="1911"/>
    <x v="226"/>
    <s v="Annual"/>
    <n v="1"/>
    <n v="1"/>
    <n v="103488"/>
    <n v="103488"/>
  </r>
  <r>
    <x v="0"/>
    <n v="70"/>
    <x v="28"/>
    <x v="0"/>
    <x v="0"/>
    <n v="1005"/>
    <x v="29"/>
    <x v="0"/>
    <x v="48"/>
    <n v="3047"/>
    <x v="210"/>
    <n v="0"/>
    <x v="0"/>
    <s v="BX 15"/>
    <n v="10"/>
    <n v="1911"/>
    <x v="226"/>
    <s v="Annual"/>
    <n v="1"/>
    <n v="1"/>
    <n v="80124"/>
    <n v="80124"/>
  </r>
  <r>
    <x v="0"/>
    <n v="70"/>
    <x v="28"/>
    <x v="0"/>
    <x v="0"/>
    <n v="1005"/>
    <x v="29"/>
    <x v="0"/>
    <x v="48"/>
    <n v="3047"/>
    <x v="210"/>
    <n v="0"/>
    <x v="0"/>
    <s v="B 15"/>
    <n v="1"/>
    <n v="729"/>
    <x v="32"/>
    <s v="Annual"/>
    <n v="1"/>
    <n v="1"/>
    <n v="93504"/>
    <n v="93504"/>
  </r>
  <r>
    <x v="0"/>
    <n v="70"/>
    <x v="28"/>
    <x v="0"/>
    <x v="0"/>
    <n v="1005"/>
    <x v="29"/>
    <x v="0"/>
    <x v="48"/>
    <n v="3047"/>
    <x v="210"/>
    <n v="0"/>
    <x v="0"/>
    <s v="B 14"/>
    <n v="1"/>
    <n v="703"/>
    <x v="595"/>
    <s v="Annual"/>
    <n v="1"/>
    <n v="1"/>
    <n v="103608"/>
    <n v="103608"/>
  </r>
  <r>
    <x v="0"/>
    <n v="70"/>
    <x v="28"/>
    <x v="0"/>
    <x v="0"/>
    <n v="1005"/>
    <x v="29"/>
    <x v="0"/>
    <x v="48"/>
    <n v="3047"/>
    <x v="210"/>
    <n v="0"/>
    <x v="0"/>
    <s v="BX 18"/>
    <n v="10"/>
    <n v="310"/>
    <x v="135"/>
    <s v="Annual"/>
    <n v="1"/>
    <n v="1"/>
    <n v="97836"/>
    <n v="97836"/>
  </r>
  <r>
    <x v="0"/>
    <n v="70"/>
    <x v="28"/>
    <x v="0"/>
    <x v="0"/>
    <n v="1005"/>
    <x v="29"/>
    <x v="0"/>
    <x v="48"/>
    <n v="3047"/>
    <x v="210"/>
    <n v="0"/>
    <x v="0"/>
    <s v="1 00"/>
    <n v="0"/>
    <n v="15"/>
    <x v="37"/>
    <s v="Annual"/>
    <n v="0"/>
    <n v="0"/>
    <n v="8925"/>
    <n v="8925"/>
  </r>
  <r>
    <x v="0"/>
    <n v="70"/>
    <x v="28"/>
    <x v="0"/>
    <x v="0"/>
    <n v="1005"/>
    <x v="29"/>
    <x v="0"/>
    <x v="48"/>
    <n v="3090"/>
    <x v="211"/>
    <n v="0"/>
    <x v="0"/>
    <s v="G 06"/>
    <n v="4"/>
    <n v="638"/>
    <x v="621"/>
    <s v="Annual"/>
    <n v="1"/>
    <n v="1"/>
    <n v="107628"/>
    <n v="107628"/>
  </r>
  <r>
    <x v="0"/>
    <n v="70"/>
    <x v="28"/>
    <x v="0"/>
    <x v="0"/>
    <n v="1005"/>
    <x v="29"/>
    <x v="0"/>
    <x v="48"/>
    <n v="3090"/>
    <x v="211"/>
    <n v="0"/>
    <x v="0"/>
    <s v="B 12"/>
    <n v="1"/>
    <s v="03A8"/>
    <x v="88"/>
    <s v="Annual"/>
    <n v="1"/>
    <n v="1"/>
    <n v="98928"/>
    <n v="98928"/>
  </r>
  <r>
    <x v="0"/>
    <n v="70"/>
    <x v="28"/>
    <x v="0"/>
    <x v="0"/>
    <n v="1005"/>
    <x v="29"/>
    <x v="0"/>
    <x v="48"/>
    <n v="3090"/>
    <x v="211"/>
    <n v="0"/>
    <x v="0"/>
    <s v="1 00"/>
    <n v="0"/>
    <n v="15"/>
    <x v="37"/>
    <s v="Annual"/>
    <n v="0"/>
    <n v="0"/>
    <n v="948"/>
    <n v="948"/>
  </r>
  <r>
    <x v="0"/>
    <n v="72"/>
    <x v="29"/>
    <x v="0"/>
    <x v="0"/>
    <n v="1010"/>
    <x v="30"/>
    <x v="3"/>
    <x v="49"/>
    <n v="3005"/>
    <x v="212"/>
    <n v="0"/>
    <x v="0"/>
    <s v="1 00"/>
    <n v="9"/>
    <s v="99A1"/>
    <x v="846"/>
    <s v="Annual"/>
    <n v="1"/>
    <n v="1"/>
    <n v="190428"/>
    <n v="190428"/>
  </r>
  <r>
    <x v="0"/>
    <n v="72"/>
    <x v="29"/>
    <x v="0"/>
    <x v="0"/>
    <n v="1010"/>
    <x v="30"/>
    <x v="3"/>
    <x v="49"/>
    <n v="3005"/>
    <x v="212"/>
    <n v="0"/>
    <x v="0"/>
    <s v="X 22"/>
    <n v="0"/>
    <n v="9677"/>
    <x v="81"/>
    <s v="Annual"/>
    <n v="1"/>
    <n v="1"/>
    <n v="158568"/>
    <n v="158568"/>
  </r>
  <r>
    <x v="0"/>
    <n v="72"/>
    <x v="29"/>
    <x v="0"/>
    <x v="0"/>
    <n v="1010"/>
    <x v="30"/>
    <x v="3"/>
    <x v="49"/>
    <n v="3005"/>
    <x v="212"/>
    <n v="0"/>
    <x v="0"/>
    <s v="BX 18"/>
    <n v="10"/>
    <n v="3092"/>
    <x v="308"/>
    <s v="Annual"/>
    <n v="1"/>
    <n v="1"/>
    <n v="107340"/>
    <n v="107340"/>
  </r>
  <r>
    <x v="0"/>
    <n v="72"/>
    <x v="29"/>
    <x v="0"/>
    <x v="0"/>
    <n v="1010"/>
    <x v="30"/>
    <x v="3"/>
    <x v="49"/>
    <n v="3005"/>
    <x v="212"/>
    <n v="0"/>
    <x v="0"/>
    <s v="BX 16"/>
    <n v="10"/>
    <n v="1430"/>
    <x v="355"/>
    <s v="Annual"/>
    <n v="1"/>
    <n v="1"/>
    <n v="80124"/>
    <n v="80124"/>
  </r>
  <r>
    <x v="0"/>
    <n v="72"/>
    <x v="29"/>
    <x v="0"/>
    <x v="0"/>
    <n v="1010"/>
    <x v="30"/>
    <x v="3"/>
    <x v="49"/>
    <n v="3005"/>
    <x v="212"/>
    <n v="0"/>
    <x v="0"/>
    <s v="B 13"/>
    <n v="1"/>
    <n v="1301"/>
    <x v="227"/>
    <s v="Annual"/>
    <n v="1"/>
    <n v="1"/>
    <n v="68616"/>
    <n v="68616"/>
  </r>
  <r>
    <x v="0"/>
    <n v="72"/>
    <x v="29"/>
    <x v="0"/>
    <x v="0"/>
    <n v="1010"/>
    <x v="30"/>
    <x v="3"/>
    <x v="49"/>
    <n v="3005"/>
    <x v="212"/>
    <n v="0"/>
    <x v="0"/>
    <s v="GY 08"/>
    <n v="20"/>
    <n v="1141"/>
    <x v="79"/>
    <s v="Annual"/>
    <n v="1"/>
    <n v="1"/>
    <n v="82884"/>
    <n v="82884"/>
  </r>
  <r>
    <x v="0"/>
    <n v="72"/>
    <x v="29"/>
    <x v="0"/>
    <x v="0"/>
    <n v="1010"/>
    <x v="30"/>
    <x v="3"/>
    <x v="49"/>
    <n v="3005"/>
    <x v="212"/>
    <n v="0"/>
    <x v="0"/>
    <s v="BX 16"/>
    <n v="10"/>
    <n v="802"/>
    <x v="30"/>
    <s v="Annual"/>
    <n v="1"/>
    <n v="1"/>
    <n v="76476"/>
    <n v="76476"/>
  </r>
  <r>
    <x v="0"/>
    <n v="72"/>
    <x v="29"/>
    <x v="0"/>
    <x v="0"/>
    <n v="1010"/>
    <x v="30"/>
    <x v="3"/>
    <x v="49"/>
    <n v="3005"/>
    <x v="212"/>
    <n v="0"/>
    <x v="0"/>
    <s v="PX 02"/>
    <n v="9"/>
    <n v="705"/>
    <x v="33"/>
    <s v="Annual"/>
    <n v="1"/>
    <n v="1"/>
    <n v="117672"/>
    <n v="117672"/>
  </r>
  <r>
    <x v="0"/>
    <n v="72"/>
    <x v="29"/>
    <x v="0"/>
    <x v="0"/>
    <n v="1010"/>
    <x v="30"/>
    <x v="3"/>
    <x v="49"/>
    <n v="3005"/>
    <x v="212"/>
    <n v="0"/>
    <x v="0"/>
    <s v="B 13"/>
    <n v="1"/>
    <n v="702"/>
    <x v="847"/>
    <s v="Annual"/>
    <n v="1"/>
    <n v="1"/>
    <n v="68616"/>
    <n v="68616"/>
  </r>
  <r>
    <x v="0"/>
    <n v="72"/>
    <x v="29"/>
    <x v="0"/>
    <x v="0"/>
    <n v="1010"/>
    <x v="30"/>
    <x v="3"/>
    <x v="49"/>
    <n v="3005"/>
    <x v="212"/>
    <n v="0"/>
    <x v="0"/>
    <s v="B 12"/>
    <n v="1"/>
    <s v="03A8"/>
    <x v="88"/>
    <s v="Annual"/>
    <n v="1"/>
    <n v="1"/>
    <n v="64488"/>
    <n v="64488"/>
  </r>
  <r>
    <x v="0"/>
    <n v="72"/>
    <x v="29"/>
    <x v="0"/>
    <x v="0"/>
    <n v="1010"/>
    <x v="30"/>
    <x v="3"/>
    <x v="49"/>
    <n v="3005"/>
    <x v="212"/>
    <n v="0"/>
    <x v="0"/>
    <s v="BX 18"/>
    <n v="20"/>
    <n v="394"/>
    <x v="68"/>
    <s v="Annual"/>
    <n v="1"/>
    <n v="1"/>
    <n v="89112"/>
    <n v="89112"/>
  </r>
  <r>
    <x v="0"/>
    <n v="72"/>
    <x v="29"/>
    <x v="0"/>
    <x v="0"/>
    <n v="1010"/>
    <x v="30"/>
    <x v="3"/>
    <x v="49"/>
    <n v="3005"/>
    <x v="212"/>
    <n v="0"/>
    <x v="0"/>
    <s v="X 33"/>
    <n v="9"/>
    <n v="313"/>
    <x v="220"/>
    <s v="Annual"/>
    <n v="2"/>
    <n v="1"/>
    <n v="121668"/>
    <n v="243336"/>
  </r>
  <r>
    <x v="0"/>
    <n v="72"/>
    <x v="29"/>
    <x v="0"/>
    <x v="0"/>
    <n v="1010"/>
    <x v="30"/>
    <x v="3"/>
    <x v="49"/>
    <n v="3005"/>
    <x v="212"/>
    <n v="0"/>
    <x v="0"/>
    <s v="BX 18"/>
    <n v="10"/>
    <n v="310"/>
    <x v="135"/>
    <s v="Annual"/>
    <n v="4"/>
    <n v="1"/>
    <n v="102444"/>
    <n v="409776"/>
  </r>
  <r>
    <x v="0"/>
    <n v="72"/>
    <x v="29"/>
    <x v="0"/>
    <x v="0"/>
    <n v="1010"/>
    <x v="30"/>
    <x v="3"/>
    <x v="49"/>
    <n v="3005"/>
    <x v="212"/>
    <n v="0"/>
    <x v="0"/>
    <s v="BX 18"/>
    <n v="10"/>
    <n v="310"/>
    <x v="135"/>
    <s v="Annual"/>
    <n v="1"/>
    <n v="1"/>
    <n v="89112"/>
    <n v="89112"/>
  </r>
  <r>
    <x v="0"/>
    <n v="72"/>
    <x v="29"/>
    <x v="0"/>
    <x v="0"/>
    <n v="1010"/>
    <x v="30"/>
    <x v="3"/>
    <x v="49"/>
    <n v="3005"/>
    <x v="212"/>
    <n v="0"/>
    <x v="0"/>
    <s v="1 00"/>
    <n v="0"/>
    <n v="15"/>
    <x v="37"/>
    <s v="Annual"/>
    <n v="0"/>
    <n v="0"/>
    <n v="12474"/>
    <n v="12474"/>
  </r>
  <r>
    <x v="0"/>
    <n v="72"/>
    <x v="29"/>
    <x v="0"/>
    <x v="0"/>
    <n v="1010"/>
    <x v="30"/>
    <x v="5"/>
    <x v="50"/>
    <n v="3015"/>
    <x v="91"/>
    <n v="0"/>
    <x v="0"/>
    <s v="X 22"/>
    <n v="0"/>
    <n v="9677"/>
    <x v="81"/>
    <s v="Annual"/>
    <n v="1"/>
    <n v="1"/>
    <n v="126396"/>
    <n v="126396"/>
  </r>
  <r>
    <x v="0"/>
    <n v="72"/>
    <x v="29"/>
    <x v="0"/>
    <x v="0"/>
    <n v="1010"/>
    <x v="30"/>
    <x v="5"/>
    <x v="50"/>
    <n v="3015"/>
    <x v="91"/>
    <n v="0"/>
    <x v="0"/>
    <s v="G 07"/>
    <n v="4"/>
    <n v="2081"/>
    <x v="468"/>
    <s v="Annual"/>
    <n v="1"/>
    <n v="1"/>
    <n v="90144"/>
    <n v="90144"/>
  </r>
  <r>
    <x v="0"/>
    <n v="72"/>
    <x v="29"/>
    <x v="0"/>
    <x v="0"/>
    <n v="1010"/>
    <x v="30"/>
    <x v="5"/>
    <x v="50"/>
    <n v="3015"/>
    <x v="91"/>
    <n v="0"/>
    <x v="0"/>
    <s v="G 08"/>
    <n v="4"/>
    <n v="2073"/>
    <x v="469"/>
    <s v="Annual"/>
    <n v="8"/>
    <n v="1"/>
    <n v="99408"/>
    <n v="795264"/>
  </r>
  <r>
    <x v="0"/>
    <n v="72"/>
    <x v="29"/>
    <x v="0"/>
    <x v="0"/>
    <n v="1010"/>
    <x v="30"/>
    <x v="5"/>
    <x v="50"/>
    <n v="3015"/>
    <x v="91"/>
    <n v="0"/>
    <x v="0"/>
    <s v="X 33"/>
    <n v="9"/>
    <n v="313"/>
    <x v="220"/>
    <s v="Annual"/>
    <n v="1"/>
    <n v="1"/>
    <n v="121668"/>
    <n v="121668"/>
  </r>
  <r>
    <x v="0"/>
    <n v="72"/>
    <x v="29"/>
    <x v="0"/>
    <x v="0"/>
    <n v="1010"/>
    <x v="30"/>
    <x v="5"/>
    <x v="50"/>
    <n v="3015"/>
    <x v="91"/>
    <n v="0"/>
    <x v="0"/>
    <s v="BX 18"/>
    <n v="10"/>
    <n v="310"/>
    <x v="135"/>
    <s v="Annual"/>
    <n v="1"/>
    <n v="1"/>
    <n v="89112"/>
    <n v="89112"/>
  </r>
  <r>
    <x v="0"/>
    <n v="72"/>
    <x v="29"/>
    <x v="0"/>
    <x v="0"/>
    <n v="1010"/>
    <x v="30"/>
    <x v="5"/>
    <x v="50"/>
    <n v="3015"/>
    <x v="91"/>
    <n v="0"/>
    <x v="0"/>
    <s v="1 00"/>
    <n v="0"/>
    <n v="15"/>
    <x v="37"/>
    <s v="Annual"/>
    <n v="0"/>
    <n v="0"/>
    <n v="2136"/>
    <n v="2136"/>
  </r>
  <r>
    <x v="0"/>
    <n v="72"/>
    <x v="29"/>
    <x v="0"/>
    <x v="0"/>
    <n v="1010"/>
    <x v="30"/>
    <x v="6"/>
    <x v="51"/>
    <n v="3020"/>
    <x v="213"/>
    <n v="0"/>
    <x v="0"/>
    <s v="X 32"/>
    <n v="0"/>
    <n v="2085"/>
    <x v="256"/>
    <s v="Annual"/>
    <n v="1"/>
    <n v="1"/>
    <n v="139140"/>
    <n v="139140"/>
  </r>
  <r>
    <x v="0"/>
    <n v="72"/>
    <x v="29"/>
    <x v="0"/>
    <x v="0"/>
    <n v="1010"/>
    <x v="30"/>
    <x v="6"/>
    <x v="51"/>
    <n v="3020"/>
    <x v="213"/>
    <n v="0"/>
    <x v="0"/>
    <s v="B 14"/>
    <n v="3"/>
    <n v="2083"/>
    <x v="574"/>
    <s v="Annual"/>
    <n v="1"/>
    <n v="1"/>
    <n v="75336"/>
    <n v="75336"/>
  </r>
  <r>
    <x v="0"/>
    <n v="72"/>
    <x v="29"/>
    <x v="0"/>
    <x v="0"/>
    <n v="1010"/>
    <x v="30"/>
    <x v="6"/>
    <x v="51"/>
    <n v="3020"/>
    <x v="213"/>
    <n v="0"/>
    <x v="0"/>
    <s v="BX 17"/>
    <n v="10"/>
    <n v="2082"/>
    <x v="575"/>
    <s v="Annual"/>
    <n v="1"/>
    <n v="1"/>
    <n v="83052"/>
    <n v="83052"/>
  </r>
  <r>
    <x v="0"/>
    <n v="72"/>
    <x v="29"/>
    <x v="0"/>
    <x v="0"/>
    <n v="1010"/>
    <x v="30"/>
    <x v="6"/>
    <x v="51"/>
    <n v="3020"/>
    <x v="213"/>
    <n v="0"/>
    <x v="0"/>
    <s v="G 07"/>
    <n v="4"/>
    <n v="2081"/>
    <x v="468"/>
    <s v="Annual"/>
    <n v="3"/>
    <n v="1"/>
    <n v="90144"/>
    <n v="270432"/>
  </r>
  <r>
    <x v="0"/>
    <n v="72"/>
    <x v="29"/>
    <x v="0"/>
    <x v="0"/>
    <n v="1010"/>
    <x v="30"/>
    <x v="6"/>
    <x v="51"/>
    <n v="3020"/>
    <x v="213"/>
    <n v="0"/>
    <x v="0"/>
    <s v="BX 15"/>
    <n v="10"/>
    <n v="2080"/>
    <x v="848"/>
    <s v="Annual"/>
    <n v="1"/>
    <n v="1"/>
    <n v="69684"/>
    <n v="69684"/>
  </r>
  <r>
    <x v="0"/>
    <n v="72"/>
    <x v="29"/>
    <x v="0"/>
    <x v="0"/>
    <n v="1010"/>
    <x v="30"/>
    <x v="6"/>
    <x v="51"/>
    <n v="3020"/>
    <x v="213"/>
    <n v="0"/>
    <x v="0"/>
    <s v="B 14"/>
    <n v="3"/>
    <n v="2077"/>
    <x v="576"/>
    <s v="Annual"/>
    <n v="11"/>
    <n v="1"/>
    <n v="75336"/>
    <n v="828696"/>
  </r>
  <r>
    <x v="0"/>
    <n v="72"/>
    <x v="29"/>
    <x v="0"/>
    <x v="0"/>
    <n v="1010"/>
    <x v="30"/>
    <x v="6"/>
    <x v="51"/>
    <n v="3020"/>
    <x v="213"/>
    <n v="0"/>
    <x v="0"/>
    <s v="G 06"/>
    <n v="4"/>
    <n v="2074"/>
    <x v="577"/>
    <s v="Annual"/>
    <n v="4"/>
    <n v="1"/>
    <n v="81636"/>
    <n v="326544"/>
  </r>
  <r>
    <x v="0"/>
    <n v="72"/>
    <x v="29"/>
    <x v="0"/>
    <x v="0"/>
    <n v="1010"/>
    <x v="30"/>
    <x v="6"/>
    <x v="51"/>
    <n v="3020"/>
    <x v="213"/>
    <n v="0"/>
    <x v="0"/>
    <s v="G 08"/>
    <n v="4"/>
    <n v="2073"/>
    <x v="469"/>
    <s v="Annual"/>
    <n v="6"/>
    <n v="1"/>
    <n v="99408"/>
    <n v="596448"/>
  </r>
  <r>
    <x v="0"/>
    <n v="72"/>
    <x v="29"/>
    <x v="0"/>
    <x v="0"/>
    <n v="1010"/>
    <x v="30"/>
    <x v="6"/>
    <x v="51"/>
    <n v="3020"/>
    <x v="213"/>
    <n v="0"/>
    <x v="0"/>
    <s v="GY 10"/>
    <n v="20"/>
    <n v="2072"/>
    <x v="578"/>
    <s v="Annual"/>
    <n v="1"/>
    <n v="1"/>
    <n v="97332"/>
    <n v="97332"/>
  </r>
  <r>
    <x v="0"/>
    <n v="72"/>
    <x v="29"/>
    <x v="0"/>
    <x v="0"/>
    <n v="1010"/>
    <x v="30"/>
    <x v="6"/>
    <x v="51"/>
    <n v="3020"/>
    <x v="213"/>
    <n v="0"/>
    <x v="0"/>
    <s v="B 14"/>
    <n v="4"/>
    <n v="1912"/>
    <x v="222"/>
    <s v="Annual"/>
    <n v="1"/>
    <n v="1"/>
    <n v="75336"/>
    <n v="75336"/>
  </r>
  <r>
    <x v="0"/>
    <n v="72"/>
    <x v="29"/>
    <x v="0"/>
    <x v="0"/>
    <n v="1010"/>
    <x v="30"/>
    <x v="6"/>
    <x v="51"/>
    <n v="3020"/>
    <x v="213"/>
    <n v="0"/>
    <x v="0"/>
    <s v="G 07"/>
    <n v="4"/>
    <n v="1646"/>
    <x v="529"/>
    <s v="Annual"/>
    <n v="1"/>
    <n v="1"/>
    <n v="90144"/>
    <n v="90144"/>
  </r>
  <r>
    <x v="0"/>
    <n v="72"/>
    <x v="29"/>
    <x v="0"/>
    <x v="0"/>
    <n v="1010"/>
    <x v="30"/>
    <x v="6"/>
    <x v="51"/>
    <n v="3020"/>
    <x v="213"/>
    <n v="0"/>
    <x v="0"/>
    <s v="B 12"/>
    <n v="1"/>
    <s v="03A8"/>
    <x v="88"/>
    <s v="Annual"/>
    <n v="1"/>
    <n v="1"/>
    <n v="62544"/>
    <n v="62544"/>
  </r>
  <r>
    <x v="0"/>
    <n v="72"/>
    <x v="29"/>
    <x v="0"/>
    <x v="0"/>
    <n v="1010"/>
    <x v="30"/>
    <x v="6"/>
    <x v="51"/>
    <n v="3020"/>
    <x v="213"/>
    <n v="0"/>
    <x v="0"/>
    <s v="1 00"/>
    <n v="0"/>
    <n v="15"/>
    <x v="37"/>
    <s v="Annual"/>
    <n v="0"/>
    <n v="0"/>
    <n v="4842"/>
    <n v="4842"/>
  </r>
  <r>
    <x v="0"/>
    <n v="73"/>
    <x v="30"/>
    <x v="0"/>
    <x v="0"/>
    <n v="1005"/>
    <x v="31"/>
    <x v="0"/>
    <x v="52"/>
    <n v="3003"/>
    <x v="22"/>
    <n v="0"/>
    <x v="0"/>
    <s v="1 00"/>
    <n v="9"/>
    <n v="9973"/>
    <x v="849"/>
    <s v="Annual"/>
    <n v="1"/>
    <n v="1"/>
    <n v="171924"/>
    <n v="171924"/>
  </r>
  <r>
    <x v="0"/>
    <n v="73"/>
    <x v="30"/>
    <x v="0"/>
    <x v="0"/>
    <n v="1005"/>
    <x v="31"/>
    <x v="0"/>
    <x v="52"/>
    <n v="3003"/>
    <x v="22"/>
    <n v="0"/>
    <x v="0"/>
    <s v="X 22"/>
    <n v="9"/>
    <n v="9674"/>
    <x v="76"/>
    <s v="Annual"/>
    <n v="1"/>
    <n v="1"/>
    <n v="158568"/>
    <n v="158568"/>
  </r>
  <r>
    <x v="0"/>
    <n v="73"/>
    <x v="30"/>
    <x v="0"/>
    <x v="0"/>
    <n v="1005"/>
    <x v="31"/>
    <x v="0"/>
    <x v="52"/>
    <n v="3003"/>
    <x v="22"/>
    <n v="0"/>
    <x v="0"/>
    <s v="B 13"/>
    <n v="1"/>
    <n v="3898"/>
    <x v="850"/>
    <s v="Annual"/>
    <n v="1"/>
    <n v="1"/>
    <n v="74172"/>
    <n v="74172"/>
  </r>
  <r>
    <x v="0"/>
    <n v="73"/>
    <x v="30"/>
    <x v="0"/>
    <x v="0"/>
    <n v="1005"/>
    <x v="31"/>
    <x v="0"/>
    <x v="52"/>
    <n v="3003"/>
    <x v="22"/>
    <n v="0"/>
    <x v="0"/>
    <s v="BX 16"/>
    <n v="10"/>
    <n v="1315"/>
    <x v="318"/>
    <s v="Annual"/>
    <n v="1"/>
    <n v="1"/>
    <n v="124584"/>
    <n v="124584"/>
  </r>
  <r>
    <x v="0"/>
    <n v="73"/>
    <x v="30"/>
    <x v="0"/>
    <x v="0"/>
    <n v="1005"/>
    <x v="31"/>
    <x v="0"/>
    <x v="52"/>
    <n v="3003"/>
    <x v="22"/>
    <n v="0"/>
    <x v="0"/>
    <s v="BX 16"/>
    <n v="10"/>
    <n v="802"/>
    <x v="30"/>
    <s v="Annual"/>
    <n v="1"/>
    <n v="1"/>
    <n v="83052"/>
    <n v="83052"/>
  </r>
  <r>
    <x v="0"/>
    <n v="73"/>
    <x v="30"/>
    <x v="0"/>
    <x v="0"/>
    <n v="1005"/>
    <x v="31"/>
    <x v="0"/>
    <x v="52"/>
    <n v="3003"/>
    <x v="22"/>
    <n v="0"/>
    <x v="0"/>
    <s v="B 13"/>
    <n v="1"/>
    <n v="308"/>
    <x v="90"/>
    <s v="Annual"/>
    <n v="1"/>
    <n v="1"/>
    <n v="119100"/>
    <n v="119100"/>
  </r>
  <r>
    <x v="0"/>
    <n v="73"/>
    <x v="30"/>
    <x v="0"/>
    <x v="0"/>
    <n v="1005"/>
    <x v="31"/>
    <x v="0"/>
    <x v="52"/>
    <n v="3003"/>
    <x v="22"/>
    <n v="0"/>
    <x v="0"/>
    <s v="B 13"/>
    <n v="1"/>
    <n v="308"/>
    <x v="90"/>
    <s v="Annual"/>
    <n v="1"/>
    <n v="1"/>
    <n v="90144"/>
    <n v="90144"/>
  </r>
  <r>
    <x v="0"/>
    <n v="73"/>
    <x v="30"/>
    <x v="0"/>
    <x v="0"/>
    <n v="1005"/>
    <x v="31"/>
    <x v="0"/>
    <x v="52"/>
    <n v="3003"/>
    <x v="22"/>
    <n v="0"/>
    <x v="0"/>
    <s v="1 00"/>
    <n v="0"/>
    <n v="15"/>
    <x v="37"/>
    <s v="Annual"/>
    <n v="0"/>
    <n v="0"/>
    <n v="7362"/>
    <n v="7362"/>
  </r>
  <r>
    <x v="0"/>
    <n v="73"/>
    <x v="30"/>
    <x v="0"/>
    <x v="0"/>
    <n v="1005"/>
    <x v="31"/>
    <x v="0"/>
    <x v="52"/>
    <n v="3005"/>
    <x v="214"/>
    <n v="0"/>
    <x v="0"/>
    <s v="1 00"/>
    <n v="9"/>
    <n v="9633"/>
    <x v="851"/>
    <s v="Annual"/>
    <n v="8"/>
    <n v="0"/>
    <n v="0"/>
    <n v="0"/>
  </r>
  <r>
    <x v="0"/>
    <n v="73"/>
    <x v="30"/>
    <x v="0"/>
    <x v="0"/>
    <n v="1005"/>
    <x v="31"/>
    <x v="0"/>
    <x v="52"/>
    <n v="3005"/>
    <x v="214"/>
    <n v="0"/>
    <x v="0"/>
    <s v="1 00"/>
    <n v="9"/>
    <n v="9621"/>
    <x v="852"/>
    <s v="Annual"/>
    <n v="1"/>
    <n v="0"/>
    <n v="0"/>
    <n v="0"/>
  </r>
  <r>
    <x v="0"/>
    <n v="73"/>
    <x v="30"/>
    <x v="0"/>
    <x v="0"/>
    <n v="1005"/>
    <x v="31"/>
    <x v="0"/>
    <x v="52"/>
    <n v="3005"/>
    <x v="214"/>
    <n v="0"/>
    <x v="0"/>
    <s v="B 11"/>
    <n v="1"/>
    <n v="7102"/>
    <x v="288"/>
    <s v="Annual"/>
    <n v="2"/>
    <n v="1"/>
    <n v="98928"/>
    <n v="197856"/>
  </r>
  <r>
    <x v="0"/>
    <n v="73"/>
    <x v="30"/>
    <x v="0"/>
    <x v="0"/>
    <n v="1005"/>
    <x v="31"/>
    <x v="0"/>
    <x v="52"/>
    <n v="3005"/>
    <x v="214"/>
    <n v="0"/>
    <x v="0"/>
    <s v="I 11"/>
    <n v="2"/>
    <n v="3496"/>
    <x v="853"/>
    <s v="Annual"/>
    <n v="5"/>
    <n v="1"/>
    <n v="78384"/>
    <n v="391920"/>
  </r>
  <r>
    <x v="0"/>
    <n v="73"/>
    <x v="30"/>
    <x v="0"/>
    <x v="0"/>
    <n v="1005"/>
    <x v="31"/>
    <x v="0"/>
    <x v="52"/>
    <n v="3005"/>
    <x v="214"/>
    <n v="0"/>
    <x v="0"/>
    <s v="I 11"/>
    <n v="2"/>
    <n v="3496"/>
    <x v="853"/>
    <s v="Annual"/>
    <n v="1"/>
    <n v="1"/>
    <n v="74844"/>
    <n v="74844"/>
  </r>
  <r>
    <x v="0"/>
    <n v="73"/>
    <x v="30"/>
    <x v="0"/>
    <x v="0"/>
    <n v="1005"/>
    <x v="31"/>
    <x v="0"/>
    <x v="52"/>
    <n v="3005"/>
    <x v="214"/>
    <n v="0"/>
    <x v="0"/>
    <s v="I 11"/>
    <n v="2"/>
    <n v="3496"/>
    <x v="853"/>
    <s v="Annual"/>
    <n v="1"/>
    <n v="1"/>
    <n v="71436"/>
    <n v="71436"/>
  </r>
  <r>
    <x v="0"/>
    <n v="73"/>
    <x v="30"/>
    <x v="0"/>
    <x v="0"/>
    <n v="1005"/>
    <x v="31"/>
    <x v="0"/>
    <x v="52"/>
    <n v="3005"/>
    <x v="214"/>
    <n v="0"/>
    <x v="0"/>
    <s v="I 11"/>
    <n v="2"/>
    <n v="3496"/>
    <x v="853"/>
    <s v="Annual"/>
    <n v="2"/>
    <n v="1"/>
    <n v="56616"/>
    <n v="113232"/>
  </r>
  <r>
    <x v="0"/>
    <n v="73"/>
    <x v="30"/>
    <x v="0"/>
    <x v="0"/>
    <n v="1005"/>
    <x v="31"/>
    <x v="0"/>
    <x v="52"/>
    <n v="3005"/>
    <x v="214"/>
    <n v="0"/>
    <x v="0"/>
    <s v="I 11"/>
    <n v="2"/>
    <n v="3496"/>
    <x v="853"/>
    <s v="Annual"/>
    <n v="4"/>
    <n v="1"/>
    <n v="50964"/>
    <n v="203856"/>
  </r>
  <r>
    <x v="0"/>
    <n v="73"/>
    <x v="30"/>
    <x v="0"/>
    <x v="0"/>
    <n v="1005"/>
    <x v="31"/>
    <x v="0"/>
    <x v="52"/>
    <n v="3005"/>
    <x v="214"/>
    <n v="0"/>
    <x v="0"/>
    <s v="I 11"/>
    <n v="2"/>
    <n v="3496"/>
    <x v="853"/>
    <s v="Annual"/>
    <n v="1"/>
    <n v="1"/>
    <n v="48588"/>
    <n v="48588"/>
  </r>
  <r>
    <x v="0"/>
    <n v="73"/>
    <x v="30"/>
    <x v="0"/>
    <x v="0"/>
    <n v="1005"/>
    <x v="31"/>
    <x v="0"/>
    <x v="52"/>
    <n v="3005"/>
    <x v="214"/>
    <n v="0"/>
    <x v="0"/>
    <s v="I 11"/>
    <n v="2"/>
    <n v="3496"/>
    <x v="853"/>
    <s v="Annual"/>
    <n v="2"/>
    <n v="1"/>
    <n v="46416"/>
    <n v="92832"/>
  </r>
  <r>
    <x v="0"/>
    <n v="73"/>
    <x v="30"/>
    <x v="0"/>
    <x v="0"/>
    <n v="1005"/>
    <x v="31"/>
    <x v="0"/>
    <x v="52"/>
    <n v="3005"/>
    <x v="214"/>
    <n v="0"/>
    <x v="0"/>
    <s v="I 11"/>
    <n v="2"/>
    <n v="3496"/>
    <x v="853"/>
    <s v="Annual"/>
    <n v="3"/>
    <n v="1"/>
    <n v="44292"/>
    <n v="132876"/>
  </r>
  <r>
    <x v="0"/>
    <n v="73"/>
    <x v="30"/>
    <x v="0"/>
    <x v="0"/>
    <n v="1005"/>
    <x v="31"/>
    <x v="0"/>
    <x v="52"/>
    <n v="3005"/>
    <x v="214"/>
    <n v="0"/>
    <x v="0"/>
    <s v="I 14"/>
    <n v="2"/>
    <n v="3495"/>
    <x v="854"/>
    <s v="Annual"/>
    <n v="1"/>
    <n v="1"/>
    <n v="120024"/>
    <n v="120024"/>
  </r>
  <r>
    <x v="0"/>
    <n v="73"/>
    <x v="30"/>
    <x v="0"/>
    <x v="0"/>
    <n v="1005"/>
    <x v="31"/>
    <x v="0"/>
    <x v="52"/>
    <n v="3005"/>
    <x v="214"/>
    <n v="0"/>
    <x v="0"/>
    <s v="I 14"/>
    <n v="2"/>
    <n v="3495"/>
    <x v="854"/>
    <s v="Annual"/>
    <n v="1"/>
    <n v="1"/>
    <n v="109404"/>
    <n v="109404"/>
  </r>
  <r>
    <x v="0"/>
    <n v="73"/>
    <x v="30"/>
    <x v="0"/>
    <x v="0"/>
    <n v="1005"/>
    <x v="31"/>
    <x v="0"/>
    <x v="52"/>
    <n v="3005"/>
    <x v="214"/>
    <n v="0"/>
    <x v="0"/>
    <s v="I 14"/>
    <n v="2"/>
    <n v="3495"/>
    <x v="854"/>
    <s v="Annual"/>
    <n v="1"/>
    <n v="1"/>
    <n v="104376"/>
    <n v="104376"/>
  </r>
  <r>
    <x v="0"/>
    <n v="73"/>
    <x v="30"/>
    <x v="0"/>
    <x v="0"/>
    <n v="1005"/>
    <x v="31"/>
    <x v="0"/>
    <x v="52"/>
    <n v="3005"/>
    <x v="214"/>
    <n v="0"/>
    <x v="0"/>
    <s v="BX 17"/>
    <n v="20"/>
    <n v="3493"/>
    <x v="855"/>
    <s v="Annual"/>
    <n v="1"/>
    <n v="1"/>
    <n v="103488"/>
    <n v="103488"/>
  </r>
  <r>
    <x v="0"/>
    <n v="73"/>
    <x v="30"/>
    <x v="0"/>
    <x v="0"/>
    <n v="1005"/>
    <x v="31"/>
    <x v="0"/>
    <x v="52"/>
    <n v="3005"/>
    <x v="214"/>
    <n v="0"/>
    <x v="0"/>
    <s v="1 00"/>
    <n v="0"/>
    <n v="15"/>
    <x v="37"/>
    <s v="Annual"/>
    <n v="0"/>
    <n v="0"/>
    <n v="11989"/>
    <n v="11989"/>
  </r>
  <r>
    <x v="0"/>
    <n v="73"/>
    <x v="30"/>
    <x v="0"/>
    <x v="0"/>
    <n v="1005"/>
    <x v="31"/>
    <x v="0"/>
    <x v="52"/>
    <n v="3010"/>
    <x v="215"/>
    <n v="0"/>
    <x v="0"/>
    <s v="B 10"/>
    <n v="3"/>
    <n v="3499"/>
    <x v="856"/>
    <s v="Annual"/>
    <n v="1"/>
    <n v="1"/>
    <n v="90144"/>
    <n v="90144"/>
  </r>
  <r>
    <x v="0"/>
    <n v="73"/>
    <x v="30"/>
    <x v="0"/>
    <x v="0"/>
    <n v="1005"/>
    <x v="31"/>
    <x v="0"/>
    <x v="52"/>
    <n v="3010"/>
    <x v="215"/>
    <n v="0"/>
    <x v="0"/>
    <s v="B 10"/>
    <n v="3"/>
    <n v="3499"/>
    <x v="856"/>
    <s v="Annual"/>
    <n v="1"/>
    <n v="1"/>
    <n v="68256"/>
    <n v="68256"/>
  </r>
  <r>
    <x v="0"/>
    <n v="73"/>
    <x v="30"/>
    <x v="0"/>
    <x v="0"/>
    <n v="1005"/>
    <x v="31"/>
    <x v="0"/>
    <x v="52"/>
    <n v="3010"/>
    <x v="215"/>
    <n v="0"/>
    <x v="0"/>
    <s v="B 10"/>
    <n v="3"/>
    <n v="3499"/>
    <x v="856"/>
    <s v="Annual"/>
    <n v="4"/>
    <n v="1"/>
    <n v="58764"/>
    <n v="235056"/>
  </r>
  <r>
    <x v="0"/>
    <n v="73"/>
    <x v="30"/>
    <x v="0"/>
    <x v="0"/>
    <n v="1005"/>
    <x v="31"/>
    <x v="0"/>
    <x v="52"/>
    <n v="3010"/>
    <x v="215"/>
    <n v="0"/>
    <x v="0"/>
    <s v="B 10"/>
    <n v="3"/>
    <n v="3499"/>
    <x v="856"/>
    <s v="Annual"/>
    <n v="4"/>
    <n v="1"/>
    <n v="56124"/>
    <n v="224496"/>
  </r>
  <r>
    <x v="0"/>
    <n v="73"/>
    <x v="30"/>
    <x v="0"/>
    <x v="0"/>
    <n v="1005"/>
    <x v="31"/>
    <x v="0"/>
    <x v="52"/>
    <n v="3010"/>
    <x v="215"/>
    <n v="0"/>
    <x v="0"/>
    <s v="B 10"/>
    <n v="3"/>
    <n v="3499"/>
    <x v="856"/>
    <s v="Annual"/>
    <n v="1"/>
    <n v="1"/>
    <n v="53532"/>
    <n v="53532"/>
  </r>
  <r>
    <x v="0"/>
    <n v="73"/>
    <x v="30"/>
    <x v="0"/>
    <x v="0"/>
    <n v="1005"/>
    <x v="31"/>
    <x v="0"/>
    <x v="52"/>
    <n v="3010"/>
    <x v="215"/>
    <n v="0"/>
    <x v="0"/>
    <s v="B 10"/>
    <n v="3"/>
    <n v="3499"/>
    <x v="856"/>
    <s v="Annual"/>
    <n v="1"/>
    <n v="1"/>
    <n v="51936"/>
    <n v="51936"/>
  </r>
  <r>
    <x v="0"/>
    <n v="73"/>
    <x v="30"/>
    <x v="0"/>
    <x v="0"/>
    <n v="1005"/>
    <x v="31"/>
    <x v="0"/>
    <x v="52"/>
    <n v="3010"/>
    <x v="215"/>
    <n v="0"/>
    <x v="0"/>
    <s v="B 10"/>
    <n v="1"/>
    <n v="3498"/>
    <x v="857"/>
    <s v="Annual"/>
    <n v="1"/>
    <n v="1"/>
    <n v="71436"/>
    <n v="71436"/>
  </r>
  <r>
    <x v="0"/>
    <n v="73"/>
    <x v="30"/>
    <x v="0"/>
    <x v="0"/>
    <n v="1005"/>
    <x v="31"/>
    <x v="0"/>
    <x v="52"/>
    <n v="3010"/>
    <x v="215"/>
    <n v="0"/>
    <x v="0"/>
    <s v="B 10"/>
    <n v="1"/>
    <n v="3498"/>
    <x v="857"/>
    <s v="Annual"/>
    <n v="1"/>
    <n v="1"/>
    <n v="61548"/>
    <n v="61548"/>
  </r>
  <r>
    <x v="0"/>
    <n v="73"/>
    <x v="30"/>
    <x v="0"/>
    <x v="0"/>
    <n v="1005"/>
    <x v="31"/>
    <x v="0"/>
    <x v="52"/>
    <n v="3010"/>
    <x v="215"/>
    <n v="0"/>
    <x v="0"/>
    <s v="B 10"/>
    <n v="1"/>
    <n v="3498"/>
    <x v="857"/>
    <s v="Annual"/>
    <n v="2"/>
    <n v="1"/>
    <n v="51936"/>
    <n v="103872"/>
  </r>
  <r>
    <x v="0"/>
    <n v="73"/>
    <x v="30"/>
    <x v="0"/>
    <x v="0"/>
    <n v="1005"/>
    <x v="31"/>
    <x v="0"/>
    <x v="52"/>
    <n v="3010"/>
    <x v="215"/>
    <n v="0"/>
    <x v="0"/>
    <s v="B 11"/>
    <n v="3"/>
    <n v="3497"/>
    <x v="858"/>
    <s v="Annual"/>
    <n v="1"/>
    <n v="1"/>
    <n v="98928"/>
    <n v="98928"/>
  </r>
  <r>
    <x v="0"/>
    <n v="73"/>
    <x v="30"/>
    <x v="0"/>
    <x v="0"/>
    <n v="1005"/>
    <x v="31"/>
    <x v="0"/>
    <x v="52"/>
    <n v="3010"/>
    <x v="215"/>
    <n v="0"/>
    <x v="0"/>
    <s v="B 11"/>
    <n v="3"/>
    <n v="3497"/>
    <x v="858"/>
    <s v="Annual"/>
    <n v="1"/>
    <n v="1"/>
    <n v="78432"/>
    <n v="78432"/>
  </r>
  <r>
    <x v="0"/>
    <n v="73"/>
    <x v="30"/>
    <x v="0"/>
    <x v="0"/>
    <n v="1005"/>
    <x v="31"/>
    <x v="0"/>
    <x v="52"/>
    <n v="3010"/>
    <x v="215"/>
    <n v="0"/>
    <x v="0"/>
    <s v="B 12"/>
    <n v="3"/>
    <n v="3492"/>
    <x v="859"/>
    <s v="Annual"/>
    <n v="1"/>
    <n v="1"/>
    <n v="103608"/>
    <n v="103608"/>
  </r>
  <r>
    <x v="0"/>
    <n v="73"/>
    <x v="30"/>
    <x v="0"/>
    <x v="0"/>
    <n v="1005"/>
    <x v="31"/>
    <x v="0"/>
    <x v="52"/>
    <n v="3010"/>
    <x v="215"/>
    <n v="0"/>
    <x v="0"/>
    <s v="B 12"/>
    <n v="3"/>
    <n v="3492"/>
    <x v="859"/>
    <s v="Annual"/>
    <n v="1"/>
    <n v="1"/>
    <n v="98928"/>
    <n v="98928"/>
  </r>
  <r>
    <x v="0"/>
    <n v="73"/>
    <x v="30"/>
    <x v="0"/>
    <x v="0"/>
    <n v="1005"/>
    <x v="31"/>
    <x v="0"/>
    <x v="52"/>
    <n v="3010"/>
    <x v="215"/>
    <n v="0"/>
    <x v="0"/>
    <s v="B 12"/>
    <n v="3"/>
    <n v="3492"/>
    <x v="859"/>
    <s v="Annual"/>
    <n v="1"/>
    <n v="1"/>
    <n v="90144"/>
    <n v="90144"/>
  </r>
  <r>
    <x v="0"/>
    <n v="73"/>
    <x v="30"/>
    <x v="0"/>
    <x v="0"/>
    <n v="1005"/>
    <x v="31"/>
    <x v="0"/>
    <x v="52"/>
    <n v="3010"/>
    <x v="215"/>
    <n v="0"/>
    <x v="0"/>
    <s v="B 12"/>
    <n v="3"/>
    <n v="3492"/>
    <x v="859"/>
    <s v="Annual"/>
    <n v="3"/>
    <n v="1"/>
    <n v="62544"/>
    <n v="187632"/>
  </r>
  <r>
    <x v="0"/>
    <n v="73"/>
    <x v="30"/>
    <x v="0"/>
    <x v="0"/>
    <n v="1005"/>
    <x v="31"/>
    <x v="0"/>
    <x v="52"/>
    <n v="3010"/>
    <x v="215"/>
    <n v="0"/>
    <x v="0"/>
    <s v="B 14"/>
    <n v="1"/>
    <n v="3489"/>
    <x v="860"/>
    <s v="Annual"/>
    <n v="1"/>
    <n v="1"/>
    <n v="98928"/>
    <n v="98928"/>
  </r>
  <r>
    <x v="0"/>
    <n v="73"/>
    <x v="30"/>
    <x v="0"/>
    <x v="0"/>
    <n v="1005"/>
    <x v="31"/>
    <x v="0"/>
    <x v="52"/>
    <n v="3010"/>
    <x v="215"/>
    <n v="0"/>
    <x v="0"/>
    <s v="B 11"/>
    <n v="3"/>
    <n v="3488"/>
    <x v="861"/>
    <s v="Annual"/>
    <n v="1"/>
    <n v="1"/>
    <n v="61548"/>
    <n v="61548"/>
  </r>
  <r>
    <x v="0"/>
    <n v="73"/>
    <x v="30"/>
    <x v="0"/>
    <x v="0"/>
    <n v="1005"/>
    <x v="31"/>
    <x v="0"/>
    <x v="52"/>
    <n v="3010"/>
    <x v="215"/>
    <n v="0"/>
    <x v="0"/>
    <s v="B 11"/>
    <n v="3"/>
    <n v="3488"/>
    <x v="861"/>
    <s v="Annual"/>
    <n v="1"/>
    <n v="1"/>
    <n v="57000"/>
    <n v="57000"/>
  </r>
  <r>
    <x v="0"/>
    <n v="73"/>
    <x v="30"/>
    <x v="0"/>
    <x v="0"/>
    <n v="1005"/>
    <x v="31"/>
    <x v="0"/>
    <x v="52"/>
    <n v="3010"/>
    <x v="215"/>
    <n v="0"/>
    <x v="0"/>
    <s v="B 14"/>
    <n v="3"/>
    <n v="3487"/>
    <x v="862"/>
    <s v="Annual"/>
    <n v="1"/>
    <n v="1"/>
    <n v="130668"/>
    <n v="130668"/>
  </r>
  <r>
    <x v="0"/>
    <n v="73"/>
    <x v="30"/>
    <x v="0"/>
    <x v="0"/>
    <n v="1005"/>
    <x v="31"/>
    <x v="0"/>
    <x v="52"/>
    <n v="3010"/>
    <x v="215"/>
    <n v="0"/>
    <x v="0"/>
    <s v="B 14"/>
    <n v="3"/>
    <n v="3487"/>
    <x v="862"/>
    <s v="Annual"/>
    <n v="1"/>
    <n v="1"/>
    <n v="124848"/>
    <n v="124848"/>
  </r>
  <r>
    <x v="0"/>
    <n v="73"/>
    <x v="30"/>
    <x v="0"/>
    <x v="0"/>
    <n v="1005"/>
    <x v="31"/>
    <x v="0"/>
    <x v="52"/>
    <n v="3010"/>
    <x v="215"/>
    <n v="0"/>
    <x v="0"/>
    <s v="B 14"/>
    <n v="3"/>
    <n v="3487"/>
    <x v="862"/>
    <s v="Annual"/>
    <n v="1"/>
    <n v="1"/>
    <n v="108576"/>
    <n v="108576"/>
  </r>
  <r>
    <x v="0"/>
    <n v="73"/>
    <x v="30"/>
    <x v="0"/>
    <x v="0"/>
    <n v="1005"/>
    <x v="31"/>
    <x v="0"/>
    <x v="52"/>
    <n v="3010"/>
    <x v="215"/>
    <n v="0"/>
    <x v="0"/>
    <s v="BX 17"/>
    <n v="10"/>
    <n v="3485"/>
    <x v="863"/>
    <s v="Annual"/>
    <n v="1"/>
    <n v="1"/>
    <n v="113568"/>
    <n v="113568"/>
  </r>
  <r>
    <x v="0"/>
    <n v="73"/>
    <x v="30"/>
    <x v="0"/>
    <x v="0"/>
    <n v="1005"/>
    <x v="31"/>
    <x v="0"/>
    <x v="52"/>
    <n v="3010"/>
    <x v="215"/>
    <n v="0"/>
    <x v="0"/>
    <s v="BX 13"/>
    <n v="10"/>
    <n v="3484"/>
    <x v="864"/>
    <s v="Annual"/>
    <n v="1"/>
    <n v="1"/>
    <n v="73728"/>
    <n v="73728"/>
  </r>
  <r>
    <x v="0"/>
    <n v="73"/>
    <x v="30"/>
    <x v="0"/>
    <x v="0"/>
    <n v="1005"/>
    <x v="31"/>
    <x v="0"/>
    <x v="52"/>
    <n v="3010"/>
    <x v="215"/>
    <n v="0"/>
    <x v="0"/>
    <s v="BX 13"/>
    <n v="10"/>
    <n v="3484"/>
    <x v="864"/>
    <s v="Annual"/>
    <n v="1"/>
    <n v="1"/>
    <n v="63504"/>
    <n v="63504"/>
  </r>
  <r>
    <x v="0"/>
    <n v="73"/>
    <x v="30"/>
    <x v="0"/>
    <x v="0"/>
    <n v="1005"/>
    <x v="31"/>
    <x v="0"/>
    <x v="52"/>
    <n v="3010"/>
    <x v="215"/>
    <n v="0"/>
    <x v="0"/>
    <s v="BX 13"/>
    <n v="10"/>
    <n v="3484"/>
    <x v="864"/>
    <s v="Annual"/>
    <n v="1"/>
    <n v="1"/>
    <n v="60660"/>
    <n v="60660"/>
  </r>
  <r>
    <x v="0"/>
    <n v="73"/>
    <x v="30"/>
    <x v="0"/>
    <x v="0"/>
    <n v="1005"/>
    <x v="31"/>
    <x v="0"/>
    <x v="52"/>
    <n v="3010"/>
    <x v="215"/>
    <n v="0"/>
    <x v="0"/>
    <s v="B 10"/>
    <n v="1"/>
    <n v="3483"/>
    <x v="865"/>
    <s v="Hourly"/>
    <n v="11440"/>
    <n v="0"/>
    <n v="27.72"/>
    <n v="317117"/>
  </r>
  <r>
    <x v="0"/>
    <n v="73"/>
    <x v="30"/>
    <x v="0"/>
    <x v="0"/>
    <n v="1005"/>
    <x v="31"/>
    <x v="0"/>
    <x v="52"/>
    <n v="3010"/>
    <x v="215"/>
    <n v="0"/>
    <x v="0"/>
    <s v="G 10"/>
    <n v="4"/>
    <n v="3310"/>
    <x v="866"/>
    <s v="Annual"/>
    <n v="2"/>
    <n v="1"/>
    <n v="164808"/>
    <n v="329616"/>
  </r>
  <r>
    <x v="0"/>
    <n v="73"/>
    <x v="30"/>
    <x v="0"/>
    <x v="0"/>
    <n v="1005"/>
    <x v="31"/>
    <x v="0"/>
    <x v="52"/>
    <n v="3010"/>
    <x v="215"/>
    <n v="0"/>
    <x v="0"/>
    <s v="G 10"/>
    <n v="4"/>
    <n v="3310"/>
    <x v="866"/>
    <s v="Annual"/>
    <n v="1"/>
    <n v="1"/>
    <n v="140148"/>
    <n v="140148"/>
  </r>
  <r>
    <x v="0"/>
    <n v="73"/>
    <x v="30"/>
    <x v="0"/>
    <x v="0"/>
    <n v="1005"/>
    <x v="31"/>
    <x v="0"/>
    <x v="52"/>
    <n v="3010"/>
    <x v="215"/>
    <n v="0"/>
    <x v="0"/>
    <s v="1 00"/>
    <n v="0"/>
    <n v="15"/>
    <x v="37"/>
    <s v="Annual"/>
    <n v="0"/>
    <n v="0"/>
    <n v="21327"/>
    <n v="21327"/>
  </r>
  <r>
    <x v="0"/>
    <n v="73"/>
    <x v="30"/>
    <x v="0"/>
    <x v="0"/>
    <n v="1005"/>
    <x v="31"/>
    <x v="0"/>
    <x v="52"/>
    <n v="3015"/>
    <x v="216"/>
    <n v="0"/>
    <x v="0"/>
    <s v="I 12"/>
    <n v="2"/>
    <n v="3491"/>
    <x v="867"/>
    <s v="Annual"/>
    <n v="1"/>
    <n v="1"/>
    <n v="86016"/>
    <n v="86016"/>
  </r>
  <r>
    <x v="0"/>
    <n v="73"/>
    <x v="30"/>
    <x v="0"/>
    <x v="0"/>
    <n v="1005"/>
    <x v="31"/>
    <x v="0"/>
    <x v="52"/>
    <n v="3015"/>
    <x v="216"/>
    <n v="0"/>
    <x v="0"/>
    <s v="I 12"/>
    <n v="2"/>
    <n v="3491"/>
    <x v="867"/>
    <s v="Annual"/>
    <n v="1"/>
    <n v="1"/>
    <n v="78384"/>
    <n v="78384"/>
  </r>
  <r>
    <x v="0"/>
    <n v="73"/>
    <x v="30"/>
    <x v="0"/>
    <x v="0"/>
    <n v="1005"/>
    <x v="31"/>
    <x v="0"/>
    <x v="52"/>
    <n v="3015"/>
    <x v="216"/>
    <n v="0"/>
    <x v="0"/>
    <s v="I 12"/>
    <n v="2"/>
    <n v="3491"/>
    <x v="867"/>
    <s v="Annual"/>
    <n v="1"/>
    <n v="1"/>
    <n v="65064"/>
    <n v="65064"/>
  </r>
  <r>
    <x v="0"/>
    <n v="73"/>
    <x v="30"/>
    <x v="0"/>
    <x v="0"/>
    <n v="1005"/>
    <x v="31"/>
    <x v="0"/>
    <x v="52"/>
    <n v="3015"/>
    <x v="216"/>
    <n v="0"/>
    <x v="0"/>
    <s v="I 12"/>
    <n v="2"/>
    <n v="3491"/>
    <x v="867"/>
    <s v="Annual"/>
    <n v="1"/>
    <n v="1"/>
    <n v="48588"/>
    <n v="48588"/>
  </r>
  <r>
    <x v="0"/>
    <n v="73"/>
    <x v="30"/>
    <x v="0"/>
    <x v="0"/>
    <n v="1005"/>
    <x v="31"/>
    <x v="0"/>
    <x v="52"/>
    <n v="3015"/>
    <x v="216"/>
    <n v="0"/>
    <x v="0"/>
    <s v="1 00"/>
    <n v="0"/>
    <n v="15"/>
    <x v="37"/>
    <s v="Annual"/>
    <n v="0"/>
    <n v="0"/>
    <n v="1188"/>
    <n v="1188"/>
  </r>
  <r>
    <x v="0"/>
    <n v="77"/>
    <x v="31"/>
    <x v="0"/>
    <x v="0"/>
    <n v="1005"/>
    <x v="32"/>
    <x v="0"/>
    <x v="53"/>
    <n v="3005"/>
    <x v="217"/>
    <n v="0"/>
    <x v="0"/>
    <s v="B 13"/>
    <n v="1"/>
    <n v="308"/>
    <x v="90"/>
    <s v="Annual"/>
    <n v="1"/>
    <n v="1"/>
    <n v="119100"/>
    <n v="119100"/>
  </r>
  <r>
    <x v="0"/>
    <n v="78"/>
    <x v="32"/>
    <x v="0"/>
    <x v="0"/>
    <n v="1005"/>
    <x v="33"/>
    <x v="0"/>
    <x v="54"/>
    <n v="3005"/>
    <x v="22"/>
    <n v="0"/>
    <x v="0"/>
    <s v="1 00"/>
    <n v="9"/>
    <n v="9978"/>
    <x v="868"/>
    <s v="Annual"/>
    <n v="1"/>
    <n v="1"/>
    <n v="165144"/>
    <n v="165144"/>
  </r>
  <r>
    <x v="0"/>
    <n v="78"/>
    <x v="32"/>
    <x v="0"/>
    <x v="0"/>
    <n v="1005"/>
    <x v="33"/>
    <x v="0"/>
    <x v="54"/>
    <n v="3005"/>
    <x v="22"/>
    <n v="0"/>
    <x v="0"/>
    <s v="GY 10"/>
    <n v="20"/>
    <n v="9718"/>
    <x v="869"/>
    <s v="Annual"/>
    <n v="1"/>
    <n v="1"/>
    <n v="97332"/>
    <n v="97332"/>
  </r>
  <r>
    <x v="0"/>
    <n v="78"/>
    <x v="32"/>
    <x v="0"/>
    <x v="0"/>
    <n v="1005"/>
    <x v="33"/>
    <x v="0"/>
    <x v="54"/>
    <n v="3005"/>
    <x v="22"/>
    <n v="0"/>
    <x v="0"/>
    <s v="X 22"/>
    <n v="9"/>
    <n v="9674"/>
    <x v="76"/>
    <s v="Annual"/>
    <n v="1"/>
    <n v="1"/>
    <n v="126396"/>
    <n v="126396"/>
  </r>
  <r>
    <x v="0"/>
    <n v="78"/>
    <x v="32"/>
    <x v="0"/>
    <x v="0"/>
    <n v="1005"/>
    <x v="33"/>
    <x v="0"/>
    <x v="54"/>
    <n v="3005"/>
    <x v="22"/>
    <n v="0"/>
    <x v="0"/>
    <s v="BX 18"/>
    <n v="10"/>
    <n v="3092"/>
    <x v="308"/>
    <s v="Annual"/>
    <n v="1"/>
    <n v="1"/>
    <n v="143232"/>
    <n v="143232"/>
  </r>
  <r>
    <x v="0"/>
    <n v="78"/>
    <x v="32"/>
    <x v="0"/>
    <x v="0"/>
    <n v="1005"/>
    <x v="33"/>
    <x v="0"/>
    <x v="54"/>
    <n v="3005"/>
    <x v="22"/>
    <n v="0"/>
    <x v="0"/>
    <s v="BX 17"/>
    <n v="10"/>
    <n v="1659"/>
    <x v="870"/>
    <s v="Annual"/>
    <n v="1"/>
    <n v="1"/>
    <n v="83052"/>
    <n v="83052"/>
  </r>
  <r>
    <x v="0"/>
    <n v="78"/>
    <x v="32"/>
    <x v="0"/>
    <x v="0"/>
    <n v="1005"/>
    <x v="33"/>
    <x v="0"/>
    <x v="54"/>
    <n v="3005"/>
    <x v="22"/>
    <n v="0"/>
    <x v="0"/>
    <s v="BX 16"/>
    <n v="10"/>
    <n v="802"/>
    <x v="30"/>
    <s v="Annual"/>
    <n v="1"/>
    <n v="1"/>
    <n v="108432"/>
    <n v="108432"/>
  </r>
  <r>
    <x v="0"/>
    <n v="78"/>
    <x v="32"/>
    <x v="0"/>
    <x v="0"/>
    <n v="1005"/>
    <x v="33"/>
    <x v="0"/>
    <x v="54"/>
    <n v="3005"/>
    <x v="22"/>
    <n v="0"/>
    <x v="0"/>
    <s v="BX 16"/>
    <n v="20"/>
    <n v="309"/>
    <x v="598"/>
    <s v="Annual"/>
    <n v="1"/>
    <n v="1"/>
    <n v="76476"/>
    <n v="76476"/>
  </r>
  <r>
    <x v="0"/>
    <n v="78"/>
    <x v="32"/>
    <x v="0"/>
    <x v="0"/>
    <n v="1005"/>
    <x v="33"/>
    <x v="0"/>
    <x v="54"/>
    <n v="3005"/>
    <x v="22"/>
    <n v="0"/>
    <x v="0"/>
    <s v="B 13"/>
    <n v="1"/>
    <n v="308"/>
    <x v="90"/>
    <s v="Annual"/>
    <n v="1"/>
    <n v="1"/>
    <n v="119100"/>
    <n v="119100"/>
  </r>
  <r>
    <x v="0"/>
    <n v="78"/>
    <x v="32"/>
    <x v="0"/>
    <x v="0"/>
    <n v="1005"/>
    <x v="33"/>
    <x v="0"/>
    <x v="54"/>
    <n v="3005"/>
    <x v="22"/>
    <n v="0"/>
    <x v="0"/>
    <s v="1 00"/>
    <n v="0"/>
    <n v="15"/>
    <x v="37"/>
    <s v="Annual"/>
    <n v="0"/>
    <n v="0"/>
    <n v="20308"/>
    <n v="20308"/>
  </r>
  <r>
    <x v="0"/>
    <n v="81"/>
    <x v="33"/>
    <x v="0"/>
    <x v="0"/>
    <n v="1005"/>
    <x v="34"/>
    <x v="0"/>
    <x v="22"/>
    <n v="3004"/>
    <x v="80"/>
    <n v="4000"/>
    <x v="177"/>
    <s v="1 00"/>
    <n v="9"/>
    <n v="9981"/>
    <x v="871"/>
    <s v="Annual"/>
    <n v="1"/>
    <n v="1"/>
    <n v="227988"/>
    <n v="227988"/>
  </r>
  <r>
    <x v="0"/>
    <n v="81"/>
    <x v="33"/>
    <x v="0"/>
    <x v="0"/>
    <n v="1005"/>
    <x v="34"/>
    <x v="0"/>
    <x v="22"/>
    <n v="3004"/>
    <x v="80"/>
    <n v="4000"/>
    <x v="177"/>
    <s v="X 41"/>
    <n v="0"/>
    <n v="9823"/>
    <x v="216"/>
    <s v="Annual"/>
    <n v="1"/>
    <n v="1"/>
    <n v="164412"/>
    <n v="164412"/>
  </r>
  <r>
    <x v="0"/>
    <n v="81"/>
    <x v="33"/>
    <x v="0"/>
    <x v="0"/>
    <n v="1005"/>
    <x v="34"/>
    <x v="0"/>
    <x v="22"/>
    <n v="3004"/>
    <x v="80"/>
    <n v="4000"/>
    <x v="177"/>
    <s v="X 42"/>
    <n v="0"/>
    <n v="9681"/>
    <x v="81"/>
    <s v="Annual"/>
    <n v="1"/>
    <n v="1"/>
    <n v="184584"/>
    <n v="184584"/>
  </r>
  <r>
    <x v="0"/>
    <n v="81"/>
    <x v="33"/>
    <x v="0"/>
    <x v="0"/>
    <n v="1005"/>
    <x v="34"/>
    <x v="0"/>
    <x v="22"/>
    <n v="3004"/>
    <x v="80"/>
    <n v="4000"/>
    <x v="177"/>
    <s v="X 41"/>
    <n v="9"/>
    <n v="9663"/>
    <x v="353"/>
    <s v="Annual"/>
    <n v="1"/>
    <n v="1"/>
    <n v="211752"/>
    <n v="211752"/>
  </r>
  <r>
    <x v="0"/>
    <n v="81"/>
    <x v="33"/>
    <x v="0"/>
    <x v="0"/>
    <n v="1005"/>
    <x v="34"/>
    <x v="0"/>
    <x v="22"/>
    <n v="3004"/>
    <x v="80"/>
    <n v="4000"/>
    <x v="177"/>
    <s v="BX 20"/>
    <n v="10"/>
    <n v="8185"/>
    <x v="872"/>
    <s v="Annual"/>
    <n v="1"/>
    <n v="1"/>
    <n v="157212"/>
    <n v="157212"/>
  </r>
  <r>
    <x v="0"/>
    <n v="81"/>
    <x v="33"/>
    <x v="0"/>
    <x v="0"/>
    <n v="1005"/>
    <x v="34"/>
    <x v="0"/>
    <x v="22"/>
    <n v="3004"/>
    <x v="80"/>
    <n v="4000"/>
    <x v="177"/>
    <s v="BX 20"/>
    <n v="10"/>
    <n v="8185"/>
    <x v="872"/>
    <s v="Annual"/>
    <n v="1"/>
    <n v="1"/>
    <n v="136692"/>
    <n v="136692"/>
  </r>
  <r>
    <x v="0"/>
    <n v="81"/>
    <x v="33"/>
    <x v="0"/>
    <x v="0"/>
    <n v="1005"/>
    <x v="34"/>
    <x v="0"/>
    <x v="22"/>
    <n v="3004"/>
    <x v="80"/>
    <n v="4000"/>
    <x v="177"/>
    <s v="BX 20"/>
    <n v="10"/>
    <n v="8185"/>
    <x v="872"/>
    <s v="Annual"/>
    <n v="1"/>
    <n v="1"/>
    <n v="117780"/>
    <n v="117780"/>
  </r>
  <r>
    <x v="0"/>
    <n v="81"/>
    <x v="33"/>
    <x v="0"/>
    <x v="0"/>
    <n v="1005"/>
    <x v="34"/>
    <x v="0"/>
    <x v="22"/>
    <n v="3004"/>
    <x v="80"/>
    <n v="4000"/>
    <x v="177"/>
    <s v="BX 15"/>
    <n v="10"/>
    <n v="1310"/>
    <x v="329"/>
    <s v="Annual"/>
    <n v="1"/>
    <n v="1"/>
    <n v="113568"/>
    <n v="113568"/>
  </r>
  <r>
    <x v="0"/>
    <n v="81"/>
    <x v="33"/>
    <x v="0"/>
    <x v="0"/>
    <n v="1005"/>
    <x v="34"/>
    <x v="0"/>
    <x v="22"/>
    <n v="3004"/>
    <x v="80"/>
    <n v="4000"/>
    <x v="177"/>
    <s v="BX 16"/>
    <n v="10"/>
    <n v="802"/>
    <x v="30"/>
    <s v="Annual"/>
    <n v="1"/>
    <n v="1"/>
    <n v="124584"/>
    <n v="124584"/>
  </r>
  <r>
    <x v="0"/>
    <n v="81"/>
    <x v="33"/>
    <x v="0"/>
    <x v="0"/>
    <n v="1005"/>
    <x v="34"/>
    <x v="0"/>
    <x v="22"/>
    <n v="3004"/>
    <x v="80"/>
    <n v="4000"/>
    <x v="177"/>
    <s v="BX 16"/>
    <n v="10"/>
    <n v="802"/>
    <x v="30"/>
    <s v="Annual"/>
    <n v="1"/>
    <n v="1"/>
    <n v="83052"/>
    <n v="83052"/>
  </r>
  <r>
    <x v="0"/>
    <n v="81"/>
    <x v="33"/>
    <x v="0"/>
    <x v="0"/>
    <n v="1005"/>
    <x v="34"/>
    <x v="0"/>
    <x v="22"/>
    <n v="3004"/>
    <x v="80"/>
    <n v="4000"/>
    <x v="177"/>
    <s v="1 00"/>
    <n v="0"/>
    <n v="15"/>
    <x v="37"/>
    <s v="Annual"/>
    <n v="0"/>
    <n v="0"/>
    <n v="17588"/>
    <n v="17588"/>
  </r>
  <r>
    <x v="0"/>
    <n v="81"/>
    <x v="33"/>
    <x v="0"/>
    <x v="0"/>
    <n v="1005"/>
    <x v="34"/>
    <x v="0"/>
    <x v="22"/>
    <n v="3004"/>
    <x v="80"/>
    <n v="4002"/>
    <x v="203"/>
    <s v="2 0"/>
    <n v="8"/>
    <n v="7123"/>
    <x v="873"/>
    <s v="Monthly"/>
    <n v="1"/>
    <n v="1"/>
    <n v="8932"/>
    <n v="107184"/>
  </r>
  <r>
    <x v="0"/>
    <n v="81"/>
    <x v="33"/>
    <x v="0"/>
    <x v="0"/>
    <n v="1005"/>
    <x v="34"/>
    <x v="0"/>
    <x v="22"/>
    <n v="3004"/>
    <x v="80"/>
    <n v="4002"/>
    <x v="203"/>
    <s v="V 13"/>
    <n v="54"/>
    <n v="6305"/>
    <x v="874"/>
    <s v="Annual"/>
    <n v="1"/>
    <n v="1"/>
    <n v="74136"/>
    <n v="74136"/>
  </r>
  <r>
    <x v="0"/>
    <n v="81"/>
    <x v="33"/>
    <x v="0"/>
    <x v="0"/>
    <n v="1005"/>
    <x v="34"/>
    <x v="0"/>
    <x v="22"/>
    <n v="3004"/>
    <x v="80"/>
    <n v="4002"/>
    <x v="203"/>
    <s v="PX 02"/>
    <n v="9"/>
    <n v="705"/>
    <x v="33"/>
    <s v="Annual"/>
    <n v="1"/>
    <n v="1"/>
    <n v="123372"/>
    <n v="123372"/>
  </r>
  <r>
    <x v="0"/>
    <n v="81"/>
    <x v="33"/>
    <x v="0"/>
    <x v="0"/>
    <n v="1005"/>
    <x v="34"/>
    <x v="0"/>
    <x v="22"/>
    <n v="3004"/>
    <x v="80"/>
    <n v="4002"/>
    <x v="203"/>
    <s v="BX 12"/>
    <n v="20"/>
    <n v="323"/>
    <x v="34"/>
    <s v="Annual"/>
    <n v="1"/>
    <n v="1"/>
    <n v="85980"/>
    <n v="85980"/>
  </r>
  <r>
    <x v="0"/>
    <n v="81"/>
    <x v="33"/>
    <x v="0"/>
    <x v="0"/>
    <n v="1005"/>
    <x v="34"/>
    <x v="0"/>
    <x v="22"/>
    <n v="3004"/>
    <x v="80"/>
    <n v="4002"/>
    <x v="203"/>
    <s v="GY 11"/>
    <n v="20"/>
    <n v="289"/>
    <x v="470"/>
    <s v="Annual"/>
    <n v="1"/>
    <n v="1"/>
    <n v="111000"/>
    <n v="111000"/>
  </r>
  <r>
    <x v="0"/>
    <n v="81"/>
    <x v="33"/>
    <x v="0"/>
    <x v="0"/>
    <n v="1005"/>
    <x v="34"/>
    <x v="0"/>
    <x v="22"/>
    <n v="3004"/>
    <x v="80"/>
    <n v="4002"/>
    <x v="203"/>
    <s v="1 00"/>
    <n v="0"/>
    <n v="15"/>
    <x v="37"/>
    <s v="Annual"/>
    <n v="0"/>
    <n v="0"/>
    <n v="7406"/>
    <n v="7406"/>
  </r>
  <r>
    <x v="0"/>
    <n v="81"/>
    <x v="33"/>
    <x v="0"/>
    <x v="0"/>
    <n v="1005"/>
    <x v="34"/>
    <x v="0"/>
    <x v="22"/>
    <n v="3004"/>
    <x v="80"/>
    <n v="4002"/>
    <x v="203"/>
    <s v="1 00"/>
    <n v="0"/>
    <n v="12"/>
    <x v="291"/>
    <s v="Annual"/>
    <n v="0"/>
    <n v="0"/>
    <n v="1608"/>
    <n v="1608"/>
  </r>
  <r>
    <x v="0"/>
    <n v="81"/>
    <x v="33"/>
    <x v="0"/>
    <x v="0"/>
    <n v="1005"/>
    <x v="34"/>
    <x v="0"/>
    <x v="22"/>
    <n v="3004"/>
    <x v="80"/>
    <n v="4003"/>
    <x v="204"/>
    <s v="V 13"/>
    <n v="54"/>
    <n v="8105"/>
    <x v="875"/>
    <s v="Annual"/>
    <n v="3"/>
    <n v="1"/>
    <n v="119052"/>
    <n v="357156"/>
  </r>
  <r>
    <x v="0"/>
    <n v="81"/>
    <x v="33"/>
    <x v="0"/>
    <x v="0"/>
    <n v="1005"/>
    <x v="34"/>
    <x v="0"/>
    <x v="22"/>
    <n v="3004"/>
    <x v="80"/>
    <n v="4003"/>
    <x v="204"/>
    <s v="V 13"/>
    <n v="54"/>
    <n v="8105"/>
    <x v="875"/>
    <s v="Annual"/>
    <n v="1"/>
    <n v="1"/>
    <n v="113592"/>
    <n v="113592"/>
  </r>
  <r>
    <x v="0"/>
    <n v="81"/>
    <x v="33"/>
    <x v="0"/>
    <x v="0"/>
    <n v="1005"/>
    <x v="34"/>
    <x v="0"/>
    <x v="22"/>
    <n v="3004"/>
    <x v="80"/>
    <n v="4003"/>
    <x v="204"/>
    <s v="X 43"/>
    <n v="0"/>
    <s v="03A2"/>
    <x v="220"/>
    <s v="Annual"/>
    <n v="1"/>
    <n v="1"/>
    <n v="160680"/>
    <n v="160680"/>
  </r>
  <r>
    <x v="0"/>
    <n v="81"/>
    <x v="33"/>
    <x v="0"/>
    <x v="0"/>
    <n v="1005"/>
    <x v="34"/>
    <x v="0"/>
    <x v="22"/>
    <n v="3004"/>
    <x v="80"/>
    <n v="4003"/>
    <x v="204"/>
    <s v="1 00"/>
    <n v="0"/>
    <n v="15"/>
    <x v="37"/>
    <s v="Annual"/>
    <n v="0"/>
    <n v="0"/>
    <n v="6084"/>
    <n v="6084"/>
  </r>
  <r>
    <x v="0"/>
    <n v="81"/>
    <x v="33"/>
    <x v="0"/>
    <x v="0"/>
    <n v="1005"/>
    <x v="34"/>
    <x v="24"/>
    <x v="55"/>
    <n v="3009"/>
    <x v="218"/>
    <n v="4013"/>
    <x v="205"/>
    <s v="BX 17"/>
    <n v="20"/>
    <n v="1331"/>
    <x v="248"/>
    <s v="Annual"/>
    <n v="1"/>
    <n v="1"/>
    <n v="108432"/>
    <n v="108432"/>
  </r>
  <r>
    <x v="0"/>
    <n v="81"/>
    <x v="33"/>
    <x v="0"/>
    <x v="0"/>
    <n v="1005"/>
    <x v="34"/>
    <x v="24"/>
    <x v="55"/>
    <n v="3009"/>
    <x v="218"/>
    <n v="4013"/>
    <x v="205"/>
    <s v="BX 17"/>
    <n v="20"/>
    <n v="1327"/>
    <x v="596"/>
    <s v="Annual"/>
    <n v="1"/>
    <n v="1"/>
    <n v="130524"/>
    <n v="130524"/>
  </r>
  <r>
    <x v="0"/>
    <n v="81"/>
    <x v="33"/>
    <x v="0"/>
    <x v="0"/>
    <n v="1005"/>
    <x v="34"/>
    <x v="24"/>
    <x v="55"/>
    <n v="3009"/>
    <x v="218"/>
    <n v="4013"/>
    <x v="205"/>
    <s v="B 15"/>
    <n v="1"/>
    <n v="1302"/>
    <x v="83"/>
    <s v="Annual"/>
    <n v="1"/>
    <n v="1"/>
    <n v="113628"/>
    <n v="113628"/>
  </r>
  <r>
    <x v="0"/>
    <n v="81"/>
    <x v="33"/>
    <x v="0"/>
    <x v="0"/>
    <n v="1005"/>
    <x v="34"/>
    <x v="24"/>
    <x v="55"/>
    <n v="3009"/>
    <x v="218"/>
    <n v="4013"/>
    <x v="205"/>
    <s v="B 15"/>
    <n v="1"/>
    <n v="1302"/>
    <x v="83"/>
    <s v="Annual"/>
    <n v="1"/>
    <n v="1"/>
    <n v="93504"/>
    <n v="93504"/>
  </r>
  <r>
    <x v="0"/>
    <n v="81"/>
    <x v="33"/>
    <x v="0"/>
    <x v="0"/>
    <n v="1005"/>
    <x v="34"/>
    <x v="24"/>
    <x v="55"/>
    <n v="3009"/>
    <x v="218"/>
    <n v="4013"/>
    <x v="205"/>
    <s v="BX 13"/>
    <n v="20"/>
    <n v="366"/>
    <x v="219"/>
    <s v="Annual"/>
    <n v="1"/>
    <n v="1"/>
    <n v="94332"/>
    <n v="94332"/>
  </r>
  <r>
    <x v="0"/>
    <n v="81"/>
    <x v="33"/>
    <x v="0"/>
    <x v="0"/>
    <n v="1005"/>
    <x v="34"/>
    <x v="24"/>
    <x v="55"/>
    <n v="3009"/>
    <x v="218"/>
    <n v="4013"/>
    <x v="205"/>
    <s v="B 13"/>
    <n v="1"/>
    <n v="308"/>
    <x v="90"/>
    <s v="Annual"/>
    <n v="1"/>
    <n v="1"/>
    <n v="119100"/>
    <n v="119100"/>
  </r>
  <r>
    <x v="0"/>
    <n v="81"/>
    <x v="33"/>
    <x v="0"/>
    <x v="0"/>
    <n v="1005"/>
    <x v="34"/>
    <x v="24"/>
    <x v="55"/>
    <n v="3009"/>
    <x v="218"/>
    <n v="4013"/>
    <x v="205"/>
    <s v="1 00"/>
    <n v="0"/>
    <n v="15"/>
    <x v="37"/>
    <s v="Annual"/>
    <n v="0"/>
    <n v="0"/>
    <n v="4339"/>
    <n v="4339"/>
  </r>
  <r>
    <x v="0"/>
    <n v="81"/>
    <x v="33"/>
    <x v="0"/>
    <x v="0"/>
    <n v="1005"/>
    <x v="34"/>
    <x v="24"/>
    <x v="55"/>
    <n v="3009"/>
    <x v="218"/>
    <n v="4014"/>
    <x v="206"/>
    <s v="V 12"/>
    <n v="54"/>
    <n v="175"/>
    <x v="609"/>
    <s v="Annual"/>
    <n v="1"/>
    <n v="1"/>
    <n v="98892"/>
    <n v="98892"/>
  </r>
  <r>
    <x v="0"/>
    <n v="81"/>
    <x v="33"/>
    <x v="0"/>
    <x v="0"/>
    <n v="1005"/>
    <x v="34"/>
    <x v="24"/>
    <x v="55"/>
    <n v="3009"/>
    <x v="218"/>
    <n v="4014"/>
    <x v="206"/>
    <s v="V 12"/>
    <n v="54"/>
    <n v="175"/>
    <x v="609"/>
    <s v="Annual"/>
    <n v="2"/>
    <n v="1"/>
    <n v="86052"/>
    <n v="172104"/>
  </r>
  <r>
    <x v="0"/>
    <n v="81"/>
    <x v="33"/>
    <x v="0"/>
    <x v="0"/>
    <n v="1005"/>
    <x v="34"/>
    <x v="24"/>
    <x v="55"/>
    <n v="3009"/>
    <x v="218"/>
    <n v="4014"/>
    <x v="206"/>
    <s v="BX 17"/>
    <n v="10"/>
    <n v="122"/>
    <x v="876"/>
    <s v="Annual"/>
    <n v="1"/>
    <n v="1"/>
    <n v="97836"/>
    <n v="97836"/>
  </r>
  <r>
    <x v="0"/>
    <n v="81"/>
    <x v="33"/>
    <x v="0"/>
    <x v="0"/>
    <n v="1005"/>
    <x v="34"/>
    <x v="24"/>
    <x v="55"/>
    <n v="3009"/>
    <x v="218"/>
    <n v="4014"/>
    <x v="206"/>
    <s v="1 00"/>
    <n v="0"/>
    <n v="15"/>
    <x v="37"/>
    <s v="Annual"/>
    <n v="0"/>
    <n v="0"/>
    <n v="7501"/>
    <n v="7501"/>
  </r>
  <r>
    <x v="0"/>
    <n v="81"/>
    <x v="33"/>
    <x v="0"/>
    <x v="0"/>
    <n v="1005"/>
    <x v="34"/>
    <x v="24"/>
    <x v="55"/>
    <n v="3010"/>
    <x v="219"/>
    <n v="4015"/>
    <x v="207"/>
    <s v="X 42"/>
    <n v="0"/>
    <n v="9681"/>
    <x v="81"/>
    <s v="Annual"/>
    <n v="1"/>
    <n v="1"/>
    <n v="184584"/>
    <n v="184584"/>
  </r>
  <r>
    <x v="0"/>
    <n v="81"/>
    <x v="33"/>
    <x v="0"/>
    <x v="0"/>
    <n v="1005"/>
    <x v="34"/>
    <x v="24"/>
    <x v="55"/>
    <n v="3010"/>
    <x v="219"/>
    <n v="4015"/>
    <x v="207"/>
    <s v="BX 17"/>
    <n v="20"/>
    <n v="381"/>
    <x v="296"/>
    <s v="Annual"/>
    <n v="1"/>
    <n v="1"/>
    <n v="103488"/>
    <n v="103488"/>
  </r>
  <r>
    <x v="0"/>
    <n v="81"/>
    <x v="33"/>
    <x v="0"/>
    <x v="0"/>
    <n v="1005"/>
    <x v="34"/>
    <x v="24"/>
    <x v="55"/>
    <n v="3010"/>
    <x v="219"/>
    <n v="4015"/>
    <x v="207"/>
    <s v="BX 17"/>
    <n v="20"/>
    <n v="381"/>
    <x v="296"/>
    <s v="Annual"/>
    <n v="1"/>
    <n v="1"/>
    <n v="93384"/>
    <n v="93384"/>
  </r>
  <r>
    <x v="0"/>
    <n v="81"/>
    <x v="33"/>
    <x v="0"/>
    <x v="0"/>
    <n v="1005"/>
    <x v="34"/>
    <x v="24"/>
    <x v="55"/>
    <n v="3010"/>
    <x v="219"/>
    <n v="4015"/>
    <x v="207"/>
    <s v="BX 17"/>
    <n v="20"/>
    <n v="381"/>
    <x v="296"/>
    <s v="Annual"/>
    <n v="1"/>
    <n v="1"/>
    <n v="83052"/>
    <n v="83052"/>
  </r>
  <r>
    <x v="0"/>
    <n v="81"/>
    <x v="33"/>
    <x v="0"/>
    <x v="0"/>
    <n v="1005"/>
    <x v="34"/>
    <x v="24"/>
    <x v="55"/>
    <n v="3010"/>
    <x v="219"/>
    <n v="4015"/>
    <x v="207"/>
    <s v="1 00"/>
    <n v="0"/>
    <n v="15"/>
    <x v="37"/>
    <s v="Annual"/>
    <n v="0"/>
    <n v="0"/>
    <n v="6830"/>
    <n v="6830"/>
  </r>
  <r>
    <x v="0"/>
    <n v="81"/>
    <x v="33"/>
    <x v="0"/>
    <x v="0"/>
    <n v="1005"/>
    <x v="34"/>
    <x v="24"/>
    <x v="55"/>
    <n v="3010"/>
    <x v="219"/>
    <n v="4016"/>
    <x v="208"/>
    <s v="B 16"/>
    <n v="4"/>
    <n v="345"/>
    <x v="108"/>
    <s v="Annual"/>
    <n v="1"/>
    <n v="1"/>
    <n v="136908"/>
    <n v="136908"/>
  </r>
  <r>
    <x v="0"/>
    <n v="81"/>
    <x v="33"/>
    <x v="0"/>
    <x v="0"/>
    <n v="1005"/>
    <x v="34"/>
    <x v="24"/>
    <x v="55"/>
    <n v="3010"/>
    <x v="219"/>
    <n v="4016"/>
    <x v="208"/>
    <s v="1 00"/>
    <n v="0"/>
    <n v="15"/>
    <x v="37"/>
    <s v="Annual"/>
    <n v="0"/>
    <n v="0"/>
    <n v="1313"/>
    <n v="1313"/>
  </r>
  <r>
    <x v="0"/>
    <n v="81"/>
    <x v="33"/>
    <x v="0"/>
    <x v="0"/>
    <n v="1005"/>
    <x v="34"/>
    <x v="24"/>
    <x v="55"/>
    <n v="3010"/>
    <x v="219"/>
    <n v="4017"/>
    <x v="209"/>
    <s v="X 43"/>
    <n v="0"/>
    <s v="06M1"/>
    <x v="332"/>
    <s v="Annual"/>
    <n v="1"/>
    <n v="1"/>
    <n v="167700"/>
    <n v="167700"/>
  </r>
  <r>
    <x v="0"/>
    <n v="81"/>
    <x v="33"/>
    <x v="0"/>
    <x v="0"/>
    <n v="1005"/>
    <x v="34"/>
    <x v="24"/>
    <x v="55"/>
    <n v="3010"/>
    <x v="219"/>
    <n v="4017"/>
    <x v="209"/>
    <s v="B 16"/>
    <n v="1"/>
    <n v="634"/>
    <x v="295"/>
    <s v="Annual"/>
    <n v="1"/>
    <n v="1"/>
    <n v="157332"/>
    <n v="157332"/>
  </r>
  <r>
    <x v="0"/>
    <n v="81"/>
    <x v="33"/>
    <x v="0"/>
    <x v="0"/>
    <n v="1005"/>
    <x v="34"/>
    <x v="24"/>
    <x v="55"/>
    <n v="3010"/>
    <x v="219"/>
    <n v="4017"/>
    <x v="209"/>
    <s v="B 16"/>
    <n v="1"/>
    <n v="634"/>
    <x v="295"/>
    <s v="Annual"/>
    <n v="1"/>
    <n v="1"/>
    <n v="112536"/>
    <n v="112536"/>
  </r>
  <r>
    <x v="0"/>
    <n v="81"/>
    <x v="33"/>
    <x v="0"/>
    <x v="0"/>
    <n v="1005"/>
    <x v="34"/>
    <x v="24"/>
    <x v="55"/>
    <n v="3010"/>
    <x v="219"/>
    <n v="4017"/>
    <x v="209"/>
    <s v="1 00"/>
    <n v="0"/>
    <n v="15"/>
    <x v="37"/>
    <s v="Annual"/>
    <n v="0"/>
    <n v="0"/>
    <n v="7964"/>
    <n v="7964"/>
  </r>
  <r>
    <x v="0"/>
    <n v="81"/>
    <x v="33"/>
    <x v="0"/>
    <x v="0"/>
    <n v="1015"/>
    <x v="35"/>
    <x v="6"/>
    <x v="56"/>
    <n v="3050"/>
    <x v="220"/>
    <n v="4021"/>
    <x v="210"/>
    <s v="X 42"/>
    <n v="0"/>
    <n v="9681"/>
    <x v="81"/>
    <s v="Annual"/>
    <n v="1"/>
    <n v="1"/>
    <n v="184584"/>
    <n v="184584"/>
  </r>
  <r>
    <x v="0"/>
    <n v="81"/>
    <x v="33"/>
    <x v="0"/>
    <x v="0"/>
    <n v="1015"/>
    <x v="35"/>
    <x v="6"/>
    <x v="56"/>
    <n v="3050"/>
    <x v="220"/>
    <n v="4021"/>
    <x v="210"/>
    <s v="BX 20"/>
    <n v="10"/>
    <n v="8185"/>
    <x v="872"/>
    <s v="Annual"/>
    <n v="1"/>
    <n v="1"/>
    <n v="157212"/>
    <n v="157212"/>
  </r>
  <r>
    <x v="0"/>
    <n v="81"/>
    <x v="33"/>
    <x v="0"/>
    <x v="0"/>
    <n v="1015"/>
    <x v="35"/>
    <x v="6"/>
    <x v="56"/>
    <n v="3050"/>
    <x v="220"/>
    <n v="4021"/>
    <x v="210"/>
    <s v="BX 20"/>
    <n v="10"/>
    <n v="8185"/>
    <x v="872"/>
    <s v="Annual"/>
    <n v="1"/>
    <n v="1"/>
    <n v="150072"/>
    <n v="150072"/>
  </r>
  <r>
    <x v="0"/>
    <n v="81"/>
    <x v="33"/>
    <x v="0"/>
    <x v="0"/>
    <n v="1015"/>
    <x v="35"/>
    <x v="6"/>
    <x v="56"/>
    <n v="3050"/>
    <x v="220"/>
    <n v="4021"/>
    <x v="210"/>
    <s v="BX 20"/>
    <n v="10"/>
    <n v="8185"/>
    <x v="872"/>
    <s v="Annual"/>
    <n v="1"/>
    <n v="1"/>
    <n v="130524"/>
    <n v="130524"/>
  </r>
  <r>
    <x v="0"/>
    <n v="81"/>
    <x v="33"/>
    <x v="0"/>
    <x v="0"/>
    <n v="1015"/>
    <x v="35"/>
    <x v="6"/>
    <x v="56"/>
    <n v="3050"/>
    <x v="220"/>
    <n v="4021"/>
    <x v="210"/>
    <s v="BX 20"/>
    <n v="10"/>
    <n v="8185"/>
    <x v="872"/>
    <s v="Annual"/>
    <n v="2"/>
    <n v="1"/>
    <n v="124584"/>
    <n v="249168"/>
  </r>
  <r>
    <x v="0"/>
    <n v="81"/>
    <x v="33"/>
    <x v="0"/>
    <x v="0"/>
    <n v="1015"/>
    <x v="35"/>
    <x v="6"/>
    <x v="56"/>
    <n v="3050"/>
    <x v="220"/>
    <n v="4021"/>
    <x v="210"/>
    <s v="BX 20"/>
    <n v="10"/>
    <n v="8185"/>
    <x v="872"/>
    <s v="Annual"/>
    <n v="1"/>
    <n v="1"/>
    <n v="117780"/>
    <n v="117780"/>
  </r>
  <r>
    <x v="0"/>
    <n v="81"/>
    <x v="33"/>
    <x v="0"/>
    <x v="0"/>
    <n v="1015"/>
    <x v="35"/>
    <x v="6"/>
    <x v="56"/>
    <n v="3050"/>
    <x v="220"/>
    <n v="4021"/>
    <x v="210"/>
    <s v="BX 20"/>
    <n v="10"/>
    <n v="8185"/>
    <x v="872"/>
    <s v="Annual"/>
    <n v="2"/>
    <n v="1"/>
    <n v="112440"/>
    <n v="224880"/>
  </r>
  <r>
    <x v="0"/>
    <n v="81"/>
    <x v="33"/>
    <x v="0"/>
    <x v="0"/>
    <n v="1015"/>
    <x v="35"/>
    <x v="6"/>
    <x v="56"/>
    <n v="3050"/>
    <x v="220"/>
    <n v="4021"/>
    <x v="210"/>
    <s v="BX 20"/>
    <n v="10"/>
    <n v="8185"/>
    <x v="872"/>
    <s v="Annual"/>
    <n v="1"/>
    <n v="1"/>
    <n v="107340"/>
    <n v="107340"/>
  </r>
  <r>
    <x v="0"/>
    <n v="81"/>
    <x v="33"/>
    <x v="0"/>
    <x v="0"/>
    <n v="1015"/>
    <x v="35"/>
    <x v="6"/>
    <x v="56"/>
    <n v="3050"/>
    <x v="220"/>
    <n v="4021"/>
    <x v="210"/>
    <s v="BX 22"/>
    <n v="10"/>
    <n v="8184"/>
    <x v="877"/>
    <s v="Annual"/>
    <n v="1"/>
    <n v="1"/>
    <n v="150072"/>
    <n v="150072"/>
  </r>
  <r>
    <x v="0"/>
    <n v="81"/>
    <x v="33"/>
    <x v="0"/>
    <x v="0"/>
    <n v="1015"/>
    <x v="35"/>
    <x v="6"/>
    <x v="56"/>
    <n v="3050"/>
    <x v="220"/>
    <n v="4021"/>
    <x v="210"/>
    <s v="BX 20"/>
    <n v="10"/>
    <n v="8175"/>
    <x v="878"/>
    <s v="Annual"/>
    <n v="3"/>
    <n v="1"/>
    <n v="157212"/>
    <n v="471636"/>
  </r>
  <r>
    <x v="0"/>
    <n v="81"/>
    <x v="33"/>
    <x v="0"/>
    <x v="0"/>
    <n v="1015"/>
    <x v="35"/>
    <x v="6"/>
    <x v="56"/>
    <n v="3050"/>
    <x v="220"/>
    <n v="4021"/>
    <x v="210"/>
    <s v="BX 20"/>
    <n v="10"/>
    <n v="8175"/>
    <x v="878"/>
    <s v="Annual"/>
    <n v="1"/>
    <n v="1"/>
    <n v="150072"/>
    <n v="150072"/>
  </r>
  <r>
    <x v="0"/>
    <n v="81"/>
    <x v="33"/>
    <x v="0"/>
    <x v="0"/>
    <n v="1015"/>
    <x v="35"/>
    <x v="6"/>
    <x v="56"/>
    <n v="3050"/>
    <x v="220"/>
    <n v="4021"/>
    <x v="210"/>
    <s v="BX 20"/>
    <n v="10"/>
    <n v="8175"/>
    <x v="878"/>
    <s v="Annual"/>
    <n v="1"/>
    <n v="1"/>
    <n v="143232"/>
    <n v="143232"/>
  </r>
  <r>
    <x v="0"/>
    <n v="81"/>
    <x v="33"/>
    <x v="0"/>
    <x v="0"/>
    <n v="1015"/>
    <x v="35"/>
    <x v="6"/>
    <x v="56"/>
    <n v="3050"/>
    <x v="220"/>
    <n v="4021"/>
    <x v="210"/>
    <s v="BX 20"/>
    <n v="10"/>
    <n v="8175"/>
    <x v="878"/>
    <s v="Annual"/>
    <n v="1"/>
    <n v="1"/>
    <n v="136692"/>
    <n v="136692"/>
  </r>
  <r>
    <x v="0"/>
    <n v="81"/>
    <x v="33"/>
    <x v="0"/>
    <x v="0"/>
    <n v="1015"/>
    <x v="35"/>
    <x v="6"/>
    <x v="56"/>
    <n v="3050"/>
    <x v="220"/>
    <n v="4021"/>
    <x v="210"/>
    <s v="BX 20"/>
    <n v="10"/>
    <n v="8175"/>
    <x v="878"/>
    <s v="Annual"/>
    <n v="1"/>
    <n v="1"/>
    <n v="130524"/>
    <n v="130524"/>
  </r>
  <r>
    <x v="0"/>
    <n v="81"/>
    <x v="33"/>
    <x v="0"/>
    <x v="0"/>
    <n v="1015"/>
    <x v="35"/>
    <x v="6"/>
    <x v="56"/>
    <n v="3050"/>
    <x v="220"/>
    <n v="4021"/>
    <x v="210"/>
    <s v="BX 20"/>
    <n v="10"/>
    <n v="8175"/>
    <x v="878"/>
    <s v="Annual"/>
    <n v="1"/>
    <n v="1"/>
    <n v="112440"/>
    <n v="112440"/>
  </r>
  <r>
    <x v="0"/>
    <n v="81"/>
    <x v="33"/>
    <x v="0"/>
    <x v="0"/>
    <n v="1015"/>
    <x v="35"/>
    <x v="6"/>
    <x v="56"/>
    <n v="3050"/>
    <x v="220"/>
    <n v="4021"/>
    <x v="210"/>
    <s v="BX 20"/>
    <n v="10"/>
    <n v="8175"/>
    <x v="878"/>
    <s v="Annual"/>
    <n v="1"/>
    <n v="1"/>
    <n v="102444"/>
    <n v="102444"/>
  </r>
  <r>
    <x v="0"/>
    <n v="81"/>
    <x v="33"/>
    <x v="0"/>
    <x v="0"/>
    <n v="1015"/>
    <x v="35"/>
    <x v="6"/>
    <x v="56"/>
    <n v="3050"/>
    <x v="220"/>
    <n v="4021"/>
    <x v="210"/>
    <s v="V 13"/>
    <n v="54"/>
    <n v="8105"/>
    <x v="875"/>
    <s v="Annual"/>
    <n v="6"/>
    <n v="1"/>
    <n v="119052"/>
    <n v="714312"/>
  </r>
  <r>
    <x v="0"/>
    <n v="81"/>
    <x v="33"/>
    <x v="0"/>
    <x v="0"/>
    <n v="1015"/>
    <x v="35"/>
    <x v="6"/>
    <x v="56"/>
    <n v="3050"/>
    <x v="220"/>
    <n v="4021"/>
    <x v="210"/>
    <s v="V 13"/>
    <n v="54"/>
    <n v="8105"/>
    <x v="875"/>
    <s v="Annual"/>
    <n v="1"/>
    <n v="1"/>
    <n v="113592"/>
    <n v="113592"/>
  </r>
  <r>
    <x v="0"/>
    <n v="81"/>
    <x v="33"/>
    <x v="0"/>
    <x v="0"/>
    <n v="1015"/>
    <x v="35"/>
    <x v="6"/>
    <x v="56"/>
    <n v="3050"/>
    <x v="220"/>
    <n v="4021"/>
    <x v="210"/>
    <s v="V 13"/>
    <n v="54"/>
    <n v="8105"/>
    <x v="875"/>
    <s v="Annual"/>
    <n v="3"/>
    <n v="1"/>
    <n v="108528"/>
    <n v="325584"/>
  </r>
  <r>
    <x v="0"/>
    <n v="81"/>
    <x v="33"/>
    <x v="0"/>
    <x v="0"/>
    <n v="1015"/>
    <x v="35"/>
    <x v="6"/>
    <x v="56"/>
    <n v="3050"/>
    <x v="220"/>
    <n v="4021"/>
    <x v="210"/>
    <s v="V 13"/>
    <n v="54"/>
    <n v="8105"/>
    <x v="875"/>
    <s v="Annual"/>
    <n v="1"/>
    <n v="1"/>
    <n v="94428"/>
    <n v="94428"/>
  </r>
  <r>
    <x v="0"/>
    <n v="81"/>
    <x v="33"/>
    <x v="0"/>
    <x v="0"/>
    <n v="1015"/>
    <x v="35"/>
    <x v="6"/>
    <x v="56"/>
    <n v="3050"/>
    <x v="220"/>
    <n v="4021"/>
    <x v="210"/>
    <s v="V 13"/>
    <n v="54"/>
    <n v="8105"/>
    <x v="875"/>
    <s v="Annual"/>
    <n v="1"/>
    <n v="1"/>
    <n v="90108"/>
    <n v="90108"/>
  </r>
  <r>
    <x v="0"/>
    <n v="81"/>
    <x v="33"/>
    <x v="0"/>
    <x v="0"/>
    <n v="1015"/>
    <x v="35"/>
    <x v="6"/>
    <x v="56"/>
    <n v="3050"/>
    <x v="220"/>
    <n v="4021"/>
    <x v="210"/>
    <s v="V 13"/>
    <n v="54"/>
    <n v="8105"/>
    <x v="875"/>
    <s v="Annual"/>
    <n v="2"/>
    <n v="1"/>
    <n v="70740"/>
    <n v="141480"/>
  </r>
  <r>
    <x v="0"/>
    <n v="81"/>
    <x v="33"/>
    <x v="0"/>
    <x v="0"/>
    <n v="1015"/>
    <x v="35"/>
    <x v="6"/>
    <x v="56"/>
    <n v="3050"/>
    <x v="220"/>
    <n v="4021"/>
    <x v="210"/>
    <s v="2 0"/>
    <n v="8"/>
    <n v="7183"/>
    <x v="449"/>
    <s v="Hourly"/>
    <n v="1"/>
    <n v="1"/>
    <n v="48.73"/>
    <n v="101358"/>
  </r>
  <r>
    <x v="0"/>
    <n v="81"/>
    <x v="33"/>
    <x v="0"/>
    <x v="0"/>
    <n v="1015"/>
    <x v="35"/>
    <x v="6"/>
    <x v="56"/>
    <n v="3050"/>
    <x v="220"/>
    <n v="4021"/>
    <x v="210"/>
    <s v="V 14"/>
    <n v="54"/>
    <n v="7152"/>
    <x v="879"/>
    <s v="Annual"/>
    <n v="23"/>
    <n v="1"/>
    <n v="130620"/>
    <n v="3004260"/>
  </r>
  <r>
    <x v="0"/>
    <n v="81"/>
    <x v="33"/>
    <x v="0"/>
    <x v="0"/>
    <n v="1015"/>
    <x v="35"/>
    <x v="6"/>
    <x v="56"/>
    <n v="3050"/>
    <x v="220"/>
    <n v="4021"/>
    <x v="210"/>
    <s v="V 14"/>
    <n v="54"/>
    <n v="7152"/>
    <x v="879"/>
    <s v="Annual"/>
    <n v="5"/>
    <n v="1"/>
    <n v="124740"/>
    <n v="623700"/>
  </r>
  <r>
    <x v="0"/>
    <n v="81"/>
    <x v="33"/>
    <x v="0"/>
    <x v="0"/>
    <n v="1015"/>
    <x v="35"/>
    <x v="6"/>
    <x v="56"/>
    <n v="3050"/>
    <x v="220"/>
    <n v="4021"/>
    <x v="210"/>
    <s v="V 14"/>
    <n v="54"/>
    <n v="7152"/>
    <x v="879"/>
    <s v="Annual"/>
    <n v="6"/>
    <n v="1"/>
    <n v="113592"/>
    <n v="681552"/>
  </r>
  <r>
    <x v="0"/>
    <n v="81"/>
    <x v="33"/>
    <x v="0"/>
    <x v="0"/>
    <n v="1015"/>
    <x v="35"/>
    <x v="6"/>
    <x v="56"/>
    <n v="3050"/>
    <x v="220"/>
    <n v="4021"/>
    <x v="210"/>
    <s v="V 14"/>
    <n v="54"/>
    <n v="7152"/>
    <x v="879"/>
    <s v="Annual"/>
    <n v="7"/>
    <n v="1"/>
    <n v="108528"/>
    <n v="759696"/>
  </r>
  <r>
    <x v="0"/>
    <n v="81"/>
    <x v="33"/>
    <x v="0"/>
    <x v="0"/>
    <n v="1015"/>
    <x v="35"/>
    <x v="6"/>
    <x v="56"/>
    <n v="3050"/>
    <x v="220"/>
    <n v="4021"/>
    <x v="210"/>
    <s v="V 14"/>
    <n v="54"/>
    <n v="7152"/>
    <x v="879"/>
    <s v="Annual"/>
    <n v="2"/>
    <n v="1"/>
    <n v="103572"/>
    <n v="207144"/>
  </r>
  <r>
    <x v="0"/>
    <n v="81"/>
    <x v="33"/>
    <x v="0"/>
    <x v="0"/>
    <n v="1015"/>
    <x v="35"/>
    <x v="6"/>
    <x v="56"/>
    <n v="3050"/>
    <x v="220"/>
    <n v="4021"/>
    <x v="210"/>
    <s v="V 14"/>
    <n v="54"/>
    <n v="7152"/>
    <x v="879"/>
    <s v="Annual"/>
    <n v="2"/>
    <n v="1"/>
    <n v="98892"/>
    <n v="197784"/>
  </r>
  <r>
    <x v="0"/>
    <n v="81"/>
    <x v="33"/>
    <x v="0"/>
    <x v="0"/>
    <n v="1015"/>
    <x v="35"/>
    <x v="6"/>
    <x v="56"/>
    <n v="3050"/>
    <x v="220"/>
    <n v="4021"/>
    <x v="210"/>
    <s v="V 14"/>
    <n v="54"/>
    <n v="7152"/>
    <x v="879"/>
    <s v="Annual"/>
    <n v="1"/>
    <n v="1"/>
    <n v="93468"/>
    <n v="93468"/>
  </r>
  <r>
    <x v="0"/>
    <n v="81"/>
    <x v="33"/>
    <x v="0"/>
    <x v="0"/>
    <n v="1015"/>
    <x v="35"/>
    <x v="6"/>
    <x v="56"/>
    <n v="3050"/>
    <x v="220"/>
    <n v="4021"/>
    <x v="210"/>
    <s v="V 10"/>
    <n v="54"/>
    <n v="441"/>
    <x v="880"/>
    <s v="Annual"/>
    <n v="8"/>
    <n v="1"/>
    <n v="90108"/>
    <n v="720864"/>
  </r>
  <r>
    <x v="0"/>
    <n v="81"/>
    <x v="33"/>
    <x v="0"/>
    <x v="0"/>
    <n v="1015"/>
    <x v="35"/>
    <x v="6"/>
    <x v="56"/>
    <n v="3050"/>
    <x v="220"/>
    <n v="4021"/>
    <x v="210"/>
    <s v="V 10"/>
    <n v="54"/>
    <n v="441"/>
    <x v="880"/>
    <s v="Annual"/>
    <n v="1"/>
    <n v="1"/>
    <n v="82080"/>
    <n v="82080"/>
  </r>
  <r>
    <x v="0"/>
    <n v="81"/>
    <x v="33"/>
    <x v="0"/>
    <x v="0"/>
    <n v="1015"/>
    <x v="35"/>
    <x v="6"/>
    <x v="56"/>
    <n v="3050"/>
    <x v="220"/>
    <n v="4021"/>
    <x v="210"/>
    <s v="V 10"/>
    <n v="54"/>
    <n v="441"/>
    <x v="880"/>
    <s v="Annual"/>
    <n v="2"/>
    <n v="1"/>
    <n v="78432"/>
    <n v="156864"/>
  </r>
  <r>
    <x v="0"/>
    <n v="81"/>
    <x v="33"/>
    <x v="0"/>
    <x v="0"/>
    <n v="1015"/>
    <x v="35"/>
    <x v="6"/>
    <x v="56"/>
    <n v="3050"/>
    <x v="220"/>
    <n v="4021"/>
    <x v="210"/>
    <s v="V 10"/>
    <n v="54"/>
    <n v="441"/>
    <x v="880"/>
    <s v="Annual"/>
    <n v="1"/>
    <n v="1"/>
    <n v="71412"/>
    <n v="71412"/>
  </r>
  <r>
    <x v="0"/>
    <n v="81"/>
    <x v="33"/>
    <x v="0"/>
    <x v="0"/>
    <n v="1015"/>
    <x v="35"/>
    <x v="6"/>
    <x v="56"/>
    <n v="3050"/>
    <x v="220"/>
    <n v="4021"/>
    <x v="210"/>
    <s v="V 10"/>
    <n v="54"/>
    <n v="441"/>
    <x v="880"/>
    <s v="Annual"/>
    <n v="1"/>
    <n v="1"/>
    <n v="64440"/>
    <n v="64440"/>
  </r>
  <r>
    <x v="0"/>
    <n v="81"/>
    <x v="33"/>
    <x v="0"/>
    <x v="0"/>
    <n v="1015"/>
    <x v="35"/>
    <x v="6"/>
    <x v="56"/>
    <n v="3050"/>
    <x v="220"/>
    <n v="4021"/>
    <x v="210"/>
    <s v="V 10"/>
    <n v="54"/>
    <n v="441"/>
    <x v="880"/>
    <s v="Annual"/>
    <n v="5"/>
    <n v="1"/>
    <n v="61524"/>
    <n v="307620"/>
  </r>
  <r>
    <x v="0"/>
    <n v="81"/>
    <x v="33"/>
    <x v="0"/>
    <x v="0"/>
    <n v="1015"/>
    <x v="35"/>
    <x v="6"/>
    <x v="56"/>
    <n v="3050"/>
    <x v="220"/>
    <n v="4021"/>
    <x v="210"/>
    <s v="V 10"/>
    <n v="54"/>
    <n v="441"/>
    <x v="880"/>
    <s v="Annual"/>
    <n v="10"/>
    <n v="1"/>
    <n v="58728"/>
    <n v="587280"/>
  </r>
  <r>
    <x v="0"/>
    <n v="81"/>
    <x v="33"/>
    <x v="0"/>
    <x v="0"/>
    <n v="1015"/>
    <x v="35"/>
    <x v="6"/>
    <x v="56"/>
    <n v="3050"/>
    <x v="220"/>
    <n v="4021"/>
    <x v="210"/>
    <s v="V 10"/>
    <n v="54"/>
    <n v="441"/>
    <x v="880"/>
    <s v="Annual"/>
    <n v="3"/>
    <n v="1"/>
    <n v="53520"/>
    <n v="160560"/>
  </r>
  <r>
    <x v="0"/>
    <n v="81"/>
    <x v="33"/>
    <x v="0"/>
    <x v="0"/>
    <n v="1015"/>
    <x v="35"/>
    <x v="6"/>
    <x v="56"/>
    <n v="3050"/>
    <x v="220"/>
    <n v="4021"/>
    <x v="210"/>
    <s v="B 12"/>
    <n v="1"/>
    <s v="03A8"/>
    <x v="88"/>
    <s v="Annual"/>
    <n v="1"/>
    <n v="1"/>
    <n v="108576"/>
    <n v="108576"/>
  </r>
  <r>
    <x v="0"/>
    <n v="81"/>
    <x v="33"/>
    <x v="0"/>
    <x v="0"/>
    <n v="1015"/>
    <x v="35"/>
    <x v="6"/>
    <x v="56"/>
    <n v="3050"/>
    <x v="220"/>
    <n v="4021"/>
    <x v="210"/>
    <s v="BX 17"/>
    <n v="10"/>
    <n v="304"/>
    <x v="881"/>
    <s v="Annual"/>
    <n v="1"/>
    <n v="1"/>
    <n v="136692"/>
    <n v="136692"/>
  </r>
  <r>
    <x v="0"/>
    <n v="81"/>
    <x v="33"/>
    <x v="0"/>
    <x v="0"/>
    <n v="1015"/>
    <x v="35"/>
    <x v="6"/>
    <x v="56"/>
    <n v="3050"/>
    <x v="220"/>
    <n v="4021"/>
    <x v="210"/>
    <s v="1 00"/>
    <n v="0"/>
    <n v="15"/>
    <x v="37"/>
    <s v="Annual"/>
    <n v="0"/>
    <n v="0"/>
    <n v="150168"/>
    <n v="150168"/>
  </r>
  <r>
    <x v="0"/>
    <n v="81"/>
    <x v="33"/>
    <x v="0"/>
    <x v="0"/>
    <n v="1015"/>
    <x v="35"/>
    <x v="6"/>
    <x v="56"/>
    <n v="3050"/>
    <x v="220"/>
    <n v="4021"/>
    <x v="210"/>
    <s v="1 00"/>
    <n v="0"/>
    <n v="12"/>
    <x v="291"/>
    <s v="Annual"/>
    <n v="0"/>
    <n v="0"/>
    <n v="1520"/>
    <n v="1520"/>
  </r>
  <r>
    <x v="0"/>
    <n v="81"/>
    <x v="33"/>
    <x v="0"/>
    <x v="0"/>
    <n v="1015"/>
    <x v="35"/>
    <x v="6"/>
    <x v="56"/>
    <n v="3050"/>
    <x v="220"/>
    <n v="4022"/>
    <x v="32"/>
    <s v="X 42"/>
    <n v="0"/>
    <n v="9681"/>
    <x v="81"/>
    <s v="Annual"/>
    <n v="1"/>
    <n v="1"/>
    <n v="184584"/>
    <n v="184584"/>
  </r>
  <r>
    <x v="0"/>
    <n v="81"/>
    <x v="33"/>
    <x v="0"/>
    <x v="0"/>
    <n v="1015"/>
    <x v="35"/>
    <x v="6"/>
    <x v="56"/>
    <n v="3050"/>
    <x v="220"/>
    <n v="4022"/>
    <x v="32"/>
    <s v="BX 18"/>
    <n v="10"/>
    <n v="3092"/>
    <x v="308"/>
    <s v="Annual"/>
    <n v="1"/>
    <n v="1"/>
    <n v="102444"/>
    <n v="102444"/>
  </r>
  <r>
    <x v="0"/>
    <n v="81"/>
    <x v="33"/>
    <x v="0"/>
    <x v="0"/>
    <n v="1015"/>
    <x v="35"/>
    <x v="6"/>
    <x v="56"/>
    <n v="3050"/>
    <x v="220"/>
    <n v="4022"/>
    <x v="32"/>
    <s v="BX 16"/>
    <n v="10"/>
    <n v="1430"/>
    <x v="355"/>
    <s v="Annual"/>
    <n v="1"/>
    <n v="1"/>
    <n v="98832"/>
    <n v="98832"/>
  </r>
  <r>
    <x v="0"/>
    <n v="81"/>
    <x v="33"/>
    <x v="0"/>
    <x v="0"/>
    <n v="1015"/>
    <x v="35"/>
    <x v="6"/>
    <x v="56"/>
    <n v="3050"/>
    <x v="220"/>
    <n v="4022"/>
    <x v="32"/>
    <s v="B 09"/>
    <n v="1"/>
    <n v="460"/>
    <x v="344"/>
    <s v="Annual"/>
    <n v="1"/>
    <n v="1"/>
    <n v="47364"/>
    <n v="47364"/>
  </r>
  <r>
    <x v="0"/>
    <n v="81"/>
    <x v="33"/>
    <x v="0"/>
    <x v="0"/>
    <n v="1015"/>
    <x v="35"/>
    <x v="6"/>
    <x v="56"/>
    <n v="3050"/>
    <x v="220"/>
    <n v="4022"/>
    <x v="32"/>
    <s v="1 00"/>
    <n v="0"/>
    <n v="15"/>
    <x v="37"/>
    <s v="Annual"/>
    <n v="0"/>
    <n v="0"/>
    <n v="9515"/>
    <n v="9515"/>
  </r>
  <r>
    <x v="0"/>
    <n v="81"/>
    <x v="33"/>
    <x v="0"/>
    <x v="0"/>
    <n v="1015"/>
    <x v="35"/>
    <x v="6"/>
    <x v="56"/>
    <n v="3050"/>
    <x v="220"/>
    <n v="4025"/>
    <x v="211"/>
    <s v="2 0"/>
    <n v="8"/>
    <n v="7184"/>
    <x v="882"/>
    <s v="Hourly"/>
    <n v="160"/>
    <n v="1"/>
    <n v="48.73"/>
    <n v="16217344"/>
  </r>
  <r>
    <x v="0"/>
    <n v="81"/>
    <x v="33"/>
    <x v="0"/>
    <x v="0"/>
    <n v="1015"/>
    <x v="35"/>
    <x v="6"/>
    <x v="56"/>
    <n v="3050"/>
    <x v="220"/>
    <n v="4025"/>
    <x v="211"/>
    <s v="2 0"/>
    <n v="8"/>
    <n v="7183"/>
    <x v="449"/>
    <s v="Hourly"/>
    <n v="182"/>
    <n v="1"/>
    <n v="48.73"/>
    <n v="18447229"/>
  </r>
  <r>
    <x v="0"/>
    <n v="81"/>
    <x v="33"/>
    <x v="0"/>
    <x v="0"/>
    <n v="1015"/>
    <x v="35"/>
    <x v="6"/>
    <x v="56"/>
    <n v="3050"/>
    <x v="220"/>
    <n v="4025"/>
    <x v="211"/>
    <s v="2 0"/>
    <n v="54"/>
    <n v="6329"/>
    <x v="883"/>
    <s v="Hourly"/>
    <n v="14000"/>
    <n v="0"/>
    <n v="25.19"/>
    <n v="352660"/>
  </r>
  <r>
    <x v="0"/>
    <n v="81"/>
    <x v="33"/>
    <x v="0"/>
    <x v="0"/>
    <n v="1015"/>
    <x v="35"/>
    <x v="6"/>
    <x v="56"/>
    <n v="3050"/>
    <x v="220"/>
    <n v="4025"/>
    <x v="211"/>
    <s v="2 0"/>
    <n v="54"/>
    <n v="6324"/>
    <x v="884"/>
    <s v="Hourly"/>
    <n v="53"/>
    <n v="1"/>
    <n v="47.79"/>
    <n v="5268370"/>
  </r>
  <r>
    <x v="0"/>
    <n v="81"/>
    <x v="33"/>
    <x v="0"/>
    <x v="0"/>
    <n v="1015"/>
    <x v="35"/>
    <x v="6"/>
    <x v="56"/>
    <n v="3050"/>
    <x v="220"/>
    <n v="4025"/>
    <x v="211"/>
    <s v="2 0"/>
    <n v="54"/>
    <n v="6324"/>
    <x v="884"/>
    <s v="Hourly"/>
    <n v="33"/>
    <n v="1"/>
    <n v="35.840000000000003"/>
    <n v="2460058"/>
  </r>
  <r>
    <x v="0"/>
    <n v="81"/>
    <x v="33"/>
    <x v="0"/>
    <x v="0"/>
    <n v="1015"/>
    <x v="35"/>
    <x v="6"/>
    <x v="56"/>
    <n v="3050"/>
    <x v="220"/>
    <n v="4025"/>
    <x v="211"/>
    <s v="2 0"/>
    <n v="54"/>
    <n v="6324"/>
    <x v="884"/>
    <s v="Hourly"/>
    <n v="9"/>
    <n v="1"/>
    <n v="31.7"/>
    <n v="593424"/>
  </r>
  <r>
    <x v="0"/>
    <n v="81"/>
    <x v="33"/>
    <x v="0"/>
    <x v="0"/>
    <n v="1015"/>
    <x v="35"/>
    <x v="6"/>
    <x v="56"/>
    <n v="3050"/>
    <x v="220"/>
    <n v="4025"/>
    <x v="211"/>
    <s v="2 0"/>
    <n v="54"/>
    <n v="6324"/>
    <x v="884"/>
    <s v="Hourly"/>
    <n v="5"/>
    <n v="1"/>
    <n v="31.06"/>
    <n v="323024"/>
  </r>
  <r>
    <x v="0"/>
    <n v="81"/>
    <x v="33"/>
    <x v="0"/>
    <x v="0"/>
    <n v="1015"/>
    <x v="35"/>
    <x v="6"/>
    <x v="56"/>
    <n v="3050"/>
    <x v="220"/>
    <n v="4025"/>
    <x v="211"/>
    <s v="2 0"/>
    <n v="54"/>
    <n v="6324"/>
    <x v="884"/>
    <s v="Hourly"/>
    <n v="1"/>
    <n v="1"/>
    <n v="30.25"/>
    <n v="62920"/>
  </r>
  <r>
    <x v="0"/>
    <n v="81"/>
    <x v="33"/>
    <x v="0"/>
    <x v="0"/>
    <n v="1015"/>
    <x v="35"/>
    <x v="6"/>
    <x v="56"/>
    <n v="3050"/>
    <x v="220"/>
    <n v="4025"/>
    <x v="211"/>
    <s v="1 00"/>
    <n v="0"/>
    <n v="12"/>
    <x v="291"/>
    <s v="Annual"/>
    <n v="0"/>
    <n v="0"/>
    <n v="655875"/>
    <n v="655875"/>
  </r>
  <r>
    <x v="0"/>
    <n v="81"/>
    <x v="33"/>
    <x v="0"/>
    <x v="0"/>
    <n v="1015"/>
    <x v="35"/>
    <x v="6"/>
    <x v="56"/>
    <n v="3050"/>
    <x v="220"/>
    <n v="4026"/>
    <x v="212"/>
    <s v="BX 20"/>
    <n v="10"/>
    <n v="8185"/>
    <x v="872"/>
    <s v="Annual"/>
    <n v="1"/>
    <n v="1"/>
    <n v="124584"/>
    <n v="124584"/>
  </r>
  <r>
    <x v="0"/>
    <n v="81"/>
    <x v="33"/>
    <x v="0"/>
    <x v="0"/>
    <n v="1015"/>
    <x v="35"/>
    <x v="6"/>
    <x v="56"/>
    <n v="3050"/>
    <x v="220"/>
    <n v="4026"/>
    <x v="212"/>
    <s v="BX 20"/>
    <n v="10"/>
    <n v="8185"/>
    <x v="872"/>
    <s v="Annual"/>
    <n v="1"/>
    <n v="1"/>
    <n v="112440"/>
    <n v="112440"/>
  </r>
  <r>
    <x v="0"/>
    <n v="81"/>
    <x v="33"/>
    <x v="0"/>
    <x v="0"/>
    <n v="1015"/>
    <x v="35"/>
    <x v="6"/>
    <x v="56"/>
    <n v="3050"/>
    <x v="220"/>
    <n v="4026"/>
    <x v="212"/>
    <s v="2 0"/>
    <n v="8"/>
    <n v="7183"/>
    <x v="449"/>
    <s v="Hourly"/>
    <n v="26"/>
    <n v="1"/>
    <n v="48.73"/>
    <n v="2635318"/>
  </r>
  <r>
    <x v="0"/>
    <n v="81"/>
    <x v="33"/>
    <x v="0"/>
    <x v="0"/>
    <n v="1015"/>
    <x v="35"/>
    <x v="6"/>
    <x v="56"/>
    <n v="3050"/>
    <x v="220"/>
    <n v="4026"/>
    <x v="212"/>
    <s v="2 0"/>
    <n v="8"/>
    <n v="7183"/>
    <x v="449"/>
    <s v="Hourly"/>
    <n v="1"/>
    <n v="1"/>
    <n v="43.86"/>
    <n v="91229"/>
  </r>
  <r>
    <x v="0"/>
    <n v="81"/>
    <x v="33"/>
    <x v="0"/>
    <x v="0"/>
    <n v="1015"/>
    <x v="35"/>
    <x v="6"/>
    <x v="56"/>
    <n v="3050"/>
    <x v="220"/>
    <n v="4026"/>
    <x v="212"/>
    <s v="V 14"/>
    <n v="54"/>
    <n v="7152"/>
    <x v="879"/>
    <s v="Annual"/>
    <n v="2"/>
    <n v="1"/>
    <n v="113592"/>
    <n v="227184"/>
  </r>
  <r>
    <x v="0"/>
    <n v="81"/>
    <x v="33"/>
    <x v="0"/>
    <x v="0"/>
    <n v="1015"/>
    <x v="35"/>
    <x v="6"/>
    <x v="56"/>
    <n v="3050"/>
    <x v="220"/>
    <n v="4026"/>
    <x v="212"/>
    <s v="V 14"/>
    <n v="54"/>
    <n v="7152"/>
    <x v="879"/>
    <s v="Annual"/>
    <n v="1"/>
    <n v="1"/>
    <n v="81276"/>
    <n v="81276"/>
  </r>
  <r>
    <x v="0"/>
    <n v="81"/>
    <x v="33"/>
    <x v="0"/>
    <x v="0"/>
    <n v="1015"/>
    <x v="35"/>
    <x v="6"/>
    <x v="56"/>
    <n v="3050"/>
    <x v="220"/>
    <n v="4026"/>
    <x v="212"/>
    <s v="V 14"/>
    <n v="54"/>
    <n v="7152"/>
    <x v="879"/>
    <s v="Annual"/>
    <n v="1"/>
    <n v="1"/>
    <n v="77628"/>
    <n v="77628"/>
  </r>
  <r>
    <x v="0"/>
    <n v="81"/>
    <x v="33"/>
    <x v="0"/>
    <x v="0"/>
    <n v="1015"/>
    <x v="35"/>
    <x v="6"/>
    <x v="56"/>
    <n v="3050"/>
    <x v="220"/>
    <n v="4026"/>
    <x v="212"/>
    <s v="2 0"/>
    <n v="54"/>
    <n v="6324"/>
    <x v="884"/>
    <s v="Hourly"/>
    <n v="2"/>
    <n v="1"/>
    <n v="49.79"/>
    <n v="207126"/>
  </r>
  <r>
    <x v="0"/>
    <n v="81"/>
    <x v="33"/>
    <x v="0"/>
    <x v="0"/>
    <n v="1015"/>
    <x v="35"/>
    <x v="6"/>
    <x v="56"/>
    <n v="3050"/>
    <x v="220"/>
    <n v="4026"/>
    <x v="212"/>
    <s v="2 0"/>
    <n v="54"/>
    <n v="6324"/>
    <x v="884"/>
    <s v="Hourly"/>
    <n v="13"/>
    <n v="1"/>
    <n v="47.79"/>
    <n v="1292242"/>
  </r>
  <r>
    <x v="0"/>
    <n v="81"/>
    <x v="33"/>
    <x v="0"/>
    <x v="0"/>
    <n v="1015"/>
    <x v="35"/>
    <x v="6"/>
    <x v="56"/>
    <n v="3050"/>
    <x v="220"/>
    <n v="4026"/>
    <x v="212"/>
    <s v="2 0"/>
    <n v="54"/>
    <n v="6324"/>
    <x v="884"/>
    <s v="Hourly"/>
    <n v="2"/>
    <n v="1"/>
    <n v="43.01"/>
    <n v="178922"/>
  </r>
  <r>
    <x v="0"/>
    <n v="81"/>
    <x v="33"/>
    <x v="0"/>
    <x v="0"/>
    <n v="1015"/>
    <x v="35"/>
    <x v="6"/>
    <x v="56"/>
    <n v="3050"/>
    <x v="220"/>
    <n v="4026"/>
    <x v="212"/>
    <s v="2 0"/>
    <n v="54"/>
    <n v="6324"/>
    <x v="884"/>
    <s v="Hourly"/>
    <n v="2"/>
    <n v="1"/>
    <n v="35.840000000000003"/>
    <n v="149094"/>
  </r>
  <r>
    <x v="0"/>
    <n v="81"/>
    <x v="33"/>
    <x v="0"/>
    <x v="0"/>
    <n v="1015"/>
    <x v="35"/>
    <x v="6"/>
    <x v="56"/>
    <n v="3050"/>
    <x v="220"/>
    <n v="4026"/>
    <x v="212"/>
    <s v="2 0"/>
    <n v="54"/>
    <n v="6324"/>
    <x v="884"/>
    <s v="Hourly"/>
    <n v="3"/>
    <n v="1"/>
    <n v="31.7"/>
    <n v="197808"/>
  </r>
  <r>
    <x v="0"/>
    <n v="81"/>
    <x v="33"/>
    <x v="0"/>
    <x v="0"/>
    <n v="1015"/>
    <x v="35"/>
    <x v="6"/>
    <x v="56"/>
    <n v="3050"/>
    <x v="220"/>
    <n v="4026"/>
    <x v="212"/>
    <s v="B 14"/>
    <n v="4"/>
    <n v="1912"/>
    <x v="222"/>
    <s v="Annual"/>
    <n v="1"/>
    <n v="1"/>
    <n v="77640"/>
    <n v="77640"/>
  </r>
  <r>
    <x v="0"/>
    <n v="81"/>
    <x v="33"/>
    <x v="0"/>
    <x v="0"/>
    <n v="1015"/>
    <x v="35"/>
    <x v="6"/>
    <x v="56"/>
    <n v="3050"/>
    <x v="220"/>
    <n v="4026"/>
    <x v="212"/>
    <s v="BX 15"/>
    <n v="10"/>
    <n v="1911"/>
    <x v="226"/>
    <s v="Annual"/>
    <n v="1"/>
    <n v="1"/>
    <n v="80124"/>
    <n v="80124"/>
  </r>
  <r>
    <x v="0"/>
    <n v="81"/>
    <x v="33"/>
    <x v="0"/>
    <x v="0"/>
    <n v="1015"/>
    <x v="35"/>
    <x v="6"/>
    <x v="56"/>
    <n v="3050"/>
    <x v="220"/>
    <n v="4026"/>
    <x v="212"/>
    <s v="X 43"/>
    <n v="0"/>
    <s v="03A2"/>
    <x v="220"/>
    <s v="Annual"/>
    <n v="1"/>
    <n v="1"/>
    <n v="160680"/>
    <n v="160680"/>
  </r>
  <r>
    <x v="0"/>
    <n v="81"/>
    <x v="33"/>
    <x v="0"/>
    <x v="0"/>
    <n v="1015"/>
    <x v="35"/>
    <x v="6"/>
    <x v="56"/>
    <n v="3050"/>
    <x v="220"/>
    <n v="4026"/>
    <x v="212"/>
    <s v="1 00"/>
    <n v="0"/>
    <n v="15"/>
    <x v="37"/>
    <s v="Annual"/>
    <n v="0"/>
    <n v="0"/>
    <n v="18953"/>
    <n v="18953"/>
  </r>
  <r>
    <x v="0"/>
    <n v="81"/>
    <x v="33"/>
    <x v="0"/>
    <x v="0"/>
    <n v="1015"/>
    <x v="35"/>
    <x v="6"/>
    <x v="56"/>
    <n v="3050"/>
    <x v="220"/>
    <n v="4026"/>
    <x v="212"/>
    <s v="1 00"/>
    <n v="0"/>
    <n v="12"/>
    <x v="291"/>
    <s v="Annual"/>
    <n v="0"/>
    <n v="0"/>
    <n v="71276"/>
    <n v="71276"/>
  </r>
  <r>
    <x v="0"/>
    <n v="81"/>
    <x v="33"/>
    <x v="0"/>
    <x v="0"/>
    <n v="1015"/>
    <x v="35"/>
    <x v="6"/>
    <x v="56"/>
    <n v="3050"/>
    <x v="220"/>
    <n v="4027"/>
    <x v="213"/>
    <s v="2 0"/>
    <n v="8"/>
    <n v="7184"/>
    <x v="882"/>
    <s v="Hourly"/>
    <n v="42000"/>
    <n v="0"/>
    <n v="38.979999999999997"/>
    <n v="1637160"/>
  </r>
  <r>
    <x v="0"/>
    <n v="81"/>
    <x v="33"/>
    <x v="0"/>
    <x v="0"/>
    <n v="1015"/>
    <x v="35"/>
    <x v="6"/>
    <x v="56"/>
    <n v="3050"/>
    <x v="220"/>
    <n v="4027"/>
    <x v="213"/>
    <s v="2 0"/>
    <n v="8"/>
    <n v="7184"/>
    <x v="882"/>
    <s v="Hourly"/>
    <n v="5"/>
    <n v="1"/>
    <n v="43.86"/>
    <n v="456144"/>
  </r>
  <r>
    <x v="0"/>
    <n v="81"/>
    <x v="33"/>
    <x v="0"/>
    <x v="0"/>
    <n v="1015"/>
    <x v="35"/>
    <x v="6"/>
    <x v="56"/>
    <n v="3050"/>
    <x v="220"/>
    <n v="4027"/>
    <x v="213"/>
    <s v="1 00"/>
    <n v="0"/>
    <n v="12"/>
    <x v="291"/>
    <s v="Annual"/>
    <n v="0"/>
    <n v="0"/>
    <n v="31399"/>
    <n v="31399"/>
  </r>
  <r>
    <x v="0"/>
    <n v="81"/>
    <x v="33"/>
    <x v="0"/>
    <x v="0"/>
    <n v="1020"/>
    <x v="36"/>
    <x v="12"/>
    <x v="57"/>
    <n v="3076"/>
    <x v="221"/>
    <n v="0"/>
    <x v="0"/>
    <s v="X 42"/>
    <n v="0"/>
    <n v="9681"/>
    <x v="81"/>
    <s v="Annual"/>
    <n v="1"/>
    <n v="1"/>
    <n v="172920"/>
    <n v="172920"/>
  </r>
  <r>
    <x v="0"/>
    <n v="81"/>
    <x v="33"/>
    <x v="0"/>
    <x v="0"/>
    <n v="1020"/>
    <x v="36"/>
    <x v="12"/>
    <x v="57"/>
    <n v="3076"/>
    <x v="221"/>
    <n v="0"/>
    <x v="0"/>
    <s v="V 10"/>
    <n v="54"/>
    <n v="441"/>
    <x v="880"/>
    <s v="Annual"/>
    <n v="1"/>
    <n v="1"/>
    <n v="90108"/>
    <n v="90108"/>
  </r>
  <r>
    <x v="0"/>
    <n v="81"/>
    <x v="33"/>
    <x v="0"/>
    <x v="0"/>
    <n v="1020"/>
    <x v="36"/>
    <x v="12"/>
    <x v="57"/>
    <n v="3076"/>
    <x v="221"/>
    <n v="0"/>
    <x v="0"/>
    <s v="V 10"/>
    <n v="54"/>
    <n v="441"/>
    <x v="880"/>
    <s v="Annual"/>
    <n v="1"/>
    <n v="1"/>
    <n v="53520"/>
    <n v="53520"/>
  </r>
  <r>
    <x v="0"/>
    <n v="81"/>
    <x v="33"/>
    <x v="0"/>
    <x v="0"/>
    <n v="1020"/>
    <x v="36"/>
    <x v="12"/>
    <x v="57"/>
    <n v="3076"/>
    <x v="221"/>
    <n v="0"/>
    <x v="0"/>
    <s v="1 00"/>
    <n v="0"/>
    <n v="15"/>
    <x v="37"/>
    <s v="Annual"/>
    <n v="0"/>
    <n v="0"/>
    <n v="2232"/>
    <n v="2232"/>
  </r>
  <r>
    <x v="0"/>
    <n v="81"/>
    <x v="33"/>
    <x v="0"/>
    <x v="0"/>
    <n v="1020"/>
    <x v="36"/>
    <x v="12"/>
    <x v="57"/>
    <n v="3077"/>
    <x v="222"/>
    <n v="0"/>
    <x v="0"/>
    <s v="BX 20"/>
    <n v="10"/>
    <n v="8185"/>
    <x v="872"/>
    <s v="Annual"/>
    <n v="1"/>
    <n v="1"/>
    <n v="157212"/>
    <n v="157212"/>
  </r>
  <r>
    <x v="0"/>
    <n v="81"/>
    <x v="33"/>
    <x v="0"/>
    <x v="0"/>
    <n v="1020"/>
    <x v="36"/>
    <x v="12"/>
    <x v="57"/>
    <n v="3077"/>
    <x v="222"/>
    <n v="0"/>
    <x v="0"/>
    <s v="2 0"/>
    <n v="8"/>
    <n v="7185"/>
    <x v="485"/>
    <s v="Hourly"/>
    <n v="1"/>
    <n v="1"/>
    <n v="52.38"/>
    <n v="108950"/>
  </r>
  <r>
    <x v="0"/>
    <n v="81"/>
    <x v="33"/>
    <x v="0"/>
    <x v="0"/>
    <n v="1020"/>
    <x v="36"/>
    <x v="12"/>
    <x v="57"/>
    <n v="3077"/>
    <x v="222"/>
    <n v="0"/>
    <x v="0"/>
    <s v="2 0"/>
    <n v="8"/>
    <n v="7184"/>
    <x v="882"/>
    <s v="Hourly"/>
    <n v="2"/>
    <n v="1"/>
    <n v="48.73"/>
    <n v="202717"/>
  </r>
  <r>
    <x v="0"/>
    <n v="81"/>
    <x v="33"/>
    <x v="0"/>
    <x v="0"/>
    <n v="1020"/>
    <x v="36"/>
    <x v="12"/>
    <x v="57"/>
    <n v="3077"/>
    <x v="222"/>
    <n v="0"/>
    <x v="0"/>
    <s v="2 0"/>
    <n v="8"/>
    <n v="7184"/>
    <x v="882"/>
    <s v="Hourly"/>
    <n v="1"/>
    <n v="1"/>
    <n v="43.86"/>
    <n v="91229"/>
  </r>
  <r>
    <x v="0"/>
    <n v="81"/>
    <x v="33"/>
    <x v="0"/>
    <x v="0"/>
    <n v="1020"/>
    <x v="36"/>
    <x v="12"/>
    <x v="57"/>
    <n v="3077"/>
    <x v="222"/>
    <n v="0"/>
    <x v="0"/>
    <s v="2 0"/>
    <n v="8"/>
    <n v="7183"/>
    <x v="449"/>
    <s v="Hourly"/>
    <n v="1"/>
    <n v="1"/>
    <n v="49.46"/>
    <n v="102877"/>
  </r>
  <r>
    <x v="0"/>
    <n v="81"/>
    <x v="33"/>
    <x v="0"/>
    <x v="0"/>
    <n v="1020"/>
    <x v="36"/>
    <x v="12"/>
    <x v="57"/>
    <n v="3077"/>
    <x v="222"/>
    <n v="0"/>
    <x v="0"/>
    <s v="2 0"/>
    <n v="8"/>
    <n v="7183"/>
    <x v="449"/>
    <s v="Hourly"/>
    <n v="20"/>
    <n v="1"/>
    <n v="48.73"/>
    <n v="2027168"/>
  </r>
  <r>
    <x v="0"/>
    <n v="81"/>
    <x v="33"/>
    <x v="0"/>
    <x v="0"/>
    <n v="1020"/>
    <x v="36"/>
    <x v="12"/>
    <x v="57"/>
    <n v="3077"/>
    <x v="222"/>
    <n v="0"/>
    <x v="0"/>
    <s v="V 14"/>
    <n v="54"/>
    <n v="7152"/>
    <x v="879"/>
    <s v="Annual"/>
    <n v="2"/>
    <n v="1"/>
    <n v="130620"/>
    <n v="261240"/>
  </r>
  <r>
    <x v="0"/>
    <n v="81"/>
    <x v="33"/>
    <x v="0"/>
    <x v="0"/>
    <n v="1020"/>
    <x v="36"/>
    <x v="12"/>
    <x v="57"/>
    <n v="3077"/>
    <x v="222"/>
    <n v="0"/>
    <x v="0"/>
    <s v="2 0"/>
    <n v="8"/>
    <n v="7140"/>
    <x v="885"/>
    <s v="Hourly"/>
    <n v="6"/>
    <n v="1"/>
    <n v="35.57"/>
    <n v="443914"/>
  </r>
  <r>
    <x v="0"/>
    <n v="81"/>
    <x v="33"/>
    <x v="0"/>
    <x v="0"/>
    <n v="1020"/>
    <x v="36"/>
    <x v="12"/>
    <x v="57"/>
    <n v="3077"/>
    <x v="222"/>
    <n v="0"/>
    <x v="0"/>
    <s v="2 0"/>
    <n v="54"/>
    <n v="6329"/>
    <x v="883"/>
    <s v="Hourly"/>
    <n v="2"/>
    <n v="1"/>
    <n v="26.28"/>
    <n v="109325"/>
  </r>
  <r>
    <x v="0"/>
    <n v="81"/>
    <x v="33"/>
    <x v="0"/>
    <x v="0"/>
    <n v="1020"/>
    <x v="36"/>
    <x v="12"/>
    <x v="57"/>
    <n v="3077"/>
    <x v="222"/>
    <n v="0"/>
    <x v="0"/>
    <s v="2 0"/>
    <n v="54"/>
    <n v="6324"/>
    <x v="884"/>
    <s v="Hourly"/>
    <n v="3"/>
    <n v="1"/>
    <n v="49.79"/>
    <n v="310690"/>
  </r>
  <r>
    <x v="0"/>
    <n v="81"/>
    <x v="33"/>
    <x v="0"/>
    <x v="0"/>
    <n v="1020"/>
    <x v="36"/>
    <x v="12"/>
    <x v="57"/>
    <n v="3077"/>
    <x v="222"/>
    <n v="0"/>
    <x v="0"/>
    <s v="2 0"/>
    <n v="54"/>
    <n v="6324"/>
    <x v="884"/>
    <s v="Hourly"/>
    <n v="23"/>
    <n v="1"/>
    <n v="47.79"/>
    <n v="2286274"/>
  </r>
  <r>
    <x v="0"/>
    <n v="81"/>
    <x v="33"/>
    <x v="0"/>
    <x v="0"/>
    <n v="1020"/>
    <x v="36"/>
    <x v="12"/>
    <x v="57"/>
    <n v="3077"/>
    <x v="222"/>
    <n v="0"/>
    <x v="0"/>
    <s v="2 0"/>
    <n v="54"/>
    <n v="6324"/>
    <x v="884"/>
    <s v="Hourly"/>
    <n v="4"/>
    <n v="1"/>
    <n v="43.01"/>
    <n v="357843"/>
  </r>
  <r>
    <x v="0"/>
    <n v="81"/>
    <x v="33"/>
    <x v="0"/>
    <x v="0"/>
    <n v="1020"/>
    <x v="36"/>
    <x v="12"/>
    <x v="57"/>
    <n v="3077"/>
    <x v="222"/>
    <n v="0"/>
    <x v="0"/>
    <s v="2 0"/>
    <n v="54"/>
    <n v="6324"/>
    <x v="884"/>
    <s v="Hourly"/>
    <n v="1"/>
    <n v="1"/>
    <n v="35.840000000000003"/>
    <n v="74547"/>
  </r>
  <r>
    <x v="0"/>
    <n v="81"/>
    <x v="33"/>
    <x v="0"/>
    <x v="0"/>
    <n v="1020"/>
    <x v="36"/>
    <x v="12"/>
    <x v="57"/>
    <n v="3077"/>
    <x v="222"/>
    <n v="0"/>
    <x v="0"/>
    <s v="2 0"/>
    <n v="54"/>
    <n v="6324"/>
    <x v="884"/>
    <s v="Hourly"/>
    <n v="1"/>
    <n v="1"/>
    <n v="31.7"/>
    <n v="65936"/>
  </r>
  <r>
    <x v="0"/>
    <n v="81"/>
    <x v="33"/>
    <x v="0"/>
    <x v="0"/>
    <n v="1020"/>
    <x v="36"/>
    <x v="12"/>
    <x v="57"/>
    <n v="3077"/>
    <x v="222"/>
    <n v="0"/>
    <x v="0"/>
    <s v="1 00"/>
    <n v="0"/>
    <n v="15"/>
    <x v="37"/>
    <s v="Annual"/>
    <n v="0"/>
    <n v="0"/>
    <n v="3732"/>
    <n v="3732"/>
  </r>
  <r>
    <x v="0"/>
    <n v="81"/>
    <x v="33"/>
    <x v="0"/>
    <x v="0"/>
    <n v="1020"/>
    <x v="36"/>
    <x v="12"/>
    <x v="57"/>
    <n v="3077"/>
    <x v="222"/>
    <n v="0"/>
    <x v="0"/>
    <s v="1 00"/>
    <n v="0"/>
    <n v="12"/>
    <x v="291"/>
    <s v="Annual"/>
    <n v="0"/>
    <n v="0"/>
    <n v="92722"/>
    <n v="92722"/>
  </r>
  <r>
    <x v="0"/>
    <n v="81"/>
    <x v="33"/>
    <x v="0"/>
    <x v="0"/>
    <n v="1020"/>
    <x v="36"/>
    <x v="12"/>
    <x v="57"/>
    <n v="3078"/>
    <x v="223"/>
    <n v="0"/>
    <x v="0"/>
    <s v="2 0"/>
    <n v="54"/>
    <n v="8244"/>
    <x v="425"/>
    <s v="Hourly"/>
    <n v="1"/>
    <n v="1"/>
    <n v="52.3"/>
    <n v="108784"/>
  </r>
  <r>
    <x v="0"/>
    <n v="81"/>
    <x v="33"/>
    <x v="0"/>
    <x v="0"/>
    <n v="1020"/>
    <x v="36"/>
    <x v="12"/>
    <x v="57"/>
    <n v="3078"/>
    <x v="223"/>
    <n v="0"/>
    <x v="0"/>
    <s v="BX 22"/>
    <n v="10"/>
    <n v="8184"/>
    <x v="877"/>
    <s v="Annual"/>
    <n v="1"/>
    <n v="1"/>
    <n v="150072"/>
    <n v="150072"/>
  </r>
  <r>
    <x v="0"/>
    <n v="81"/>
    <x v="33"/>
    <x v="0"/>
    <x v="0"/>
    <n v="1020"/>
    <x v="36"/>
    <x v="12"/>
    <x v="57"/>
    <n v="3078"/>
    <x v="223"/>
    <n v="0"/>
    <x v="0"/>
    <s v="V 13"/>
    <n v="54"/>
    <n v="8105"/>
    <x v="875"/>
    <s v="Annual"/>
    <n v="1"/>
    <n v="1"/>
    <n v="74136"/>
    <n v="74136"/>
  </r>
  <r>
    <x v="0"/>
    <n v="81"/>
    <x v="33"/>
    <x v="0"/>
    <x v="0"/>
    <n v="1020"/>
    <x v="36"/>
    <x v="12"/>
    <x v="57"/>
    <n v="3078"/>
    <x v="223"/>
    <n v="0"/>
    <x v="0"/>
    <s v="2 0"/>
    <n v="8"/>
    <n v="7184"/>
    <x v="882"/>
    <s v="Hourly"/>
    <n v="3"/>
    <n v="1"/>
    <n v="48.73"/>
    <n v="304075"/>
  </r>
  <r>
    <x v="0"/>
    <n v="81"/>
    <x v="33"/>
    <x v="0"/>
    <x v="0"/>
    <n v="1020"/>
    <x v="36"/>
    <x v="12"/>
    <x v="57"/>
    <n v="3078"/>
    <x v="223"/>
    <n v="0"/>
    <x v="0"/>
    <s v="2 0"/>
    <n v="8"/>
    <n v="7184"/>
    <x v="882"/>
    <s v="Hourly"/>
    <n v="3"/>
    <n v="1"/>
    <n v="43.86"/>
    <n v="273686"/>
  </r>
  <r>
    <x v="0"/>
    <n v="81"/>
    <x v="33"/>
    <x v="0"/>
    <x v="0"/>
    <n v="1020"/>
    <x v="36"/>
    <x v="12"/>
    <x v="57"/>
    <n v="3078"/>
    <x v="223"/>
    <n v="0"/>
    <x v="0"/>
    <s v="2 0"/>
    <n v="8"/>
    <n v="7183"/>
    <x v="449"/>
    <s v="Hourly"/>
    <n v="4"/>
    <n v="1"/>
    <n v="48.73"/>
    <n v="405434"/>
  </r>
  <r>
    <x v="0"/>
    <n v="81"/>
    <x v="33"/>
    <x v="0"/>
    <x v="0"/>
    <n v="1020"/>
    <x v="36"/>
    <x v="12"/>
    <x v="57"/>
    <n v="3078"/>
    <x v="223"/>
    <n v="0"/>
    <x v="0"/>
    <s v="V 14"/>
    <n v="54"/>
    <n v="7152"/>
    <x v="879"/>
    <s v="Annual"/>
    <n v="2"/>
    <n v="1"/>
    <n v="113592"/>
    <n v="227184"/>
  </r>
  <r>
    <x v="0"/>
    <n v="81"/>
    <x v="33"/>
    <x v="0"/>
    <x v="0"/>
    <n v="1020"/>
    <x v="36"/>
    <x v="12"/>
    <x v="57"/>
    <n v="3078"/>
    <x v="223"/>
    <n v="0"/>
    <x v="0"/>
    <s v="2 0"/>
    <n v="54"/>
    <n v="6324"/>
    <x v="884"/>
    <s v="Hourly"/>
    <n v="4"/>
    <n v="1"/>
    <n v="49.79"/>
    <n v="414253"/>
  </r>
  <r>
    <x v="0"/>
    <n v="81"/>
    <x v="33"/>
    <x v="0"/>
    <x v="0"/>
    <n v="1020"/>
    <x v="36"/>
    <x v="12"/>
    <x v="57"/>
    <n v="3078"/>
    <x v="223"/>
    <n v="0"/>
    <x v="0"/>
    <s v="2 0"/>
    <n v="54"/>
    <n v="6324"/>
    <x v="884"/>
    <s v="Hourly"/>
    <n v="9"/>
    <n v="1"/>
    <n v="47.79"/>
    <n v="894629"/>
  </r>
  <r>
    <x v="0"/>
    <n v="81"/>
    <x v="33"/>
    <x v="0"/>
    <x v="0"/>
    <n v="1020"/>
    <x v="36"/>
    <x v="12"/>
    <x v="57"/>
    <n v="3078"/>
    <x v="223"/>
    <n v="0"/>
    <x v="0"/>
    <s v="2 0"/>
    <n v="54"/>
    <n v="6324"/>
    <x v="884"/>
    <s v="Hourly"/>
    <n v="2"/>
    <n v="1"/>
    <n v="31.7"/>
    <n v="131872"/>
  </r>
  <r>
    <x v="0"/>
    <n v="81"/>
    <x v="33"/>
    <x v="0"/>
    <x v="0"/>
    <n v="1020"/>
    <x v="36"/>
    <x v="12"/>
    <x v="57"/>
    <n v="3078"/>
    <x v="223"/>
    <n v="0"/>
    <x v="0"/>
    <s v="1 00"/>
    <n v="0"/>
    <n v="15"/>
    <x v="37"/>
    <s v="Annual"/>
    <n v="0"/>
    <n v="0"/>
    <n v="9122"/>
    <n v="9122"/>
  </r>
  <r>
    <x v="0"/>
    <n v="81"/>
    <x v="33"/>
    <x v="0"/>
    <x v="0"/>
    <n v="1020"/>
    <x v="36"/>
    <x v="12"/>
    <x v="57"/>
    <n v="3078"/>
    <x v="223"/>
    <n v="0"/>
    <x v="0"/>
    <s v="1 00"/>
    <n v="0"/>
    <n v="12"/>
    <x v="291"/>
    <s v="Annual"/>
    <n v="0"/>
    <n v="0"/>
    <n v="37991"/>
    <n v="37991"/>
  </r>
  <r>
    <x v="0"/>
    <n v="81"/>
    <x v="33"/>
    <x v="0"/>
    <x v="0"/>
    <n v="1020"/>
    <x v="36"/>
    <x v="12"/>
    <x v="57"/>
    <n v="3079"/>
    <x v="224"/>
    <n v="0"/>
    <x v="0"/>
    <s v="2 0"/>
    <n v="8"/>
    <n v="7183"/>
    <x v="449"/>
    <s v="Hourly"/>
    <n v="2"/>
    <n v="1"/>
    <n v="48.73"/>
    <n v="202717"/>
  </r>
  <r>
    <x v="0"/>
    <n v="81"/>
    <x v="33"/>
    <x v="0"/>
    <x v="0"/>
    <n v="1020"/>
    <x v="36"/>
    <x v="12"/>
    <x v="57"/>
    <n v="3079"/>
    <x v="224"/>
    <n v="0"/>
    <x v="0"/>
    <s v="1 00"/>
    <n v="0"/>
    <n v="12"/>
    <x v="291"/>
    <s v="Annual"/>
    <n v="0"/>
    <n v="0"/>
    <n v="3041"/>
    <n v="3041"/>
  </r>
  <r>
    <x v="0"/>
    <n v="81"/>
    <x v="33"/>
    <x v="0"/>
    <x v="0"/>
    <n v="1030"/>
    <x v="37"/>
    <x v="16"/>
    <x v="58"/>
    <n v="3320"/>
    <x v="225"/>
    <n v="0"/>
    <x v="0"/>
    <s v="2 0"/>
    <n v="42"/>
    <n v="7635"/>
    <x v="886"/>
    <s v="Hourly"/>
    <n v="3"/>
    <n v="1"/>
    <n v="68.8"/>
    <n v="429312"/>
  </r>
  <r>
    <x v="0"/>
    <n v="81"/>
    <x v="33"/>
    <x v="0"/>
    <x v="0"/>
    <n v="1030"/>
    <x v="37"/>
    <x v="16"/>
    <x v="58"/>
    <n v="3320"/>
    <x v="225"/>
    <n v="0"/>
    <x v="0"/>
    <s v="2 0"/>
    <n v="42"/>
    <n v="7633"/>
    <x v="887"/>
    <s v="Hourly"/>
    <n v="26"/>
    <n v="1"/>
    <n v="64.8"/>
    <n v="3504384"/>
  </r>
  <r>
    <x v="0"/>
    <n v="81"/>
    <x v="33"/>
    <x v="0"/>
    <x v="0"/>
    <n v="1030"/>
    <x v="37"/>
    <x v="16"/>
    <x v="58"/>
    <n v="3320"/>
    <x v="225"/>
    <n v="0"/>
    <x v="0"/>
    <s v="1 00"/>
    <n v="0"/>
    <n v="12"/>
    <x v="291"/>
    <s v="Annual"/>
    <n v="0"/>
    <n v="0"/>
    <n v="59006"/>
    <n v="59006"/>
  </r>
  <r>
    <x v="0"/>
    <n v="81"/>
    <x v="33"/>
    <x v="0"/>
    <x v="0"/>
    <n v="1030"/>
    <x v="37"/>
    <x v="16"/>
    <x v="58"/>
    <n v="3335"/>
    <x v="226"/>
    <n v="4340"/>
    <x v="214"/>
    <s v="V 17"/>
    <n v="54"/>
    <n v="8164"/>
    <x v="888"/>
    <s v="Annual"/>
    <n v="1"/>
    <n v="1"/>
    <n v="172572"/>
    <n v="172572"/>
  </r>
  <r>
    <x v="0"/>
    <n v="81"/>
    <x v="33"/>
    <x v="0"/>
    <x v="0"/>
    <n v="1030"/>
    <x v="37"/>
    <x v="16"/>
    <x v="58"/>
    <n v="3335"/>
    <x v="226"/>
    <n v="4340"/>
    <x v="214"/>
    <s v="V 17"/>
    <n v="54"/>
    <n v="8164"/>
    <x v="888"/>
    <s v="Annual"/>
    <n v="1"/>
    <n v="1"/>
    <n v="150180"/>
    <n v="150180"/>
  </r>
  <r>
    <x v="0"/>
    <n v="81"/>
    <x v="33"/>
    <x v="0"/>
    <x v="0"/>
    <n v="1030"/>
    <x v="37"/>
    <x v="16"/>
    <x v="58"/>
    <n v="3335"/>
    <x v="226"/>
    <n v="4340"/>
    <x v="214"/>
    <s v="V 17"/>
    <n v="54"/>
    <n v="8164"/>
    <x v="888"/>
    <s v="Annual"/>
    <n v="1"/>
    <n v="1"/>
    <n v="136872"/>
    <n v="136872"/>
  </r>
  <r>
    <x v="0"/>
    <n v="81"/>
    <x v="33"/>
    <x v="0"/>
    <x v="0"/>
    <n v="1030"/>
    <x v="37"/>
    <x v="16"/>
    <x v="58"/>
    <n v="3335"/>
    <x v="226"/>
    <n v="4340"/>
    <x v="214"/>
    <s v="V 17"/>
    <n v="54"/>
    <n v="8164"/>
    <x v="888"/>
    <s v="Annual"/>
    <n v="1"/>
    <n v="1"/>
    <n v="107460"/>
    <n v="107460"/>
  </r>
  <r>
    <x v="0"/>
    <n v="81"/>
    <x v="33"/>
    <x v="0"/>
    <x v="0"/>
    <n v="1030"/>
    <x v="37"/>
    <x v="16"/>
    <x v="58"/>
    <n v="3335"/>
    <x v="226"/>
    <n v="4340"/>
    <x v="214"/>
    <s v="2 0"/>
    <n v="42"/>
    <n v="7633"/>
    <x v="887"/>
    <s v="Hourly"/>
    <n v="9"/>
    <n v="1"/>
    <n v="64.8"/>
    <n v="1213056"/>
  </r>
  <r>
    <x v="0"/>
    <n v="81"/>
    <x v="33"/>
    <x v="0"/>
    <x v="0"/>
    <n v="1030"/>
    <x v="37"/>
    <x v="16"/>
    <x v="58"/>
    <n v="3335"/>
    <x v="226"/>
    <n v="4340"/>
    <x v="214"/>
    <s v="2 0"/>
    <n v="54"/>
    <n v="6324"/>
    <x v="884"/>
    <s v="Hourly"/>
    <n v="3"/>
    <n v="1"/>
    <n v="47.79"/>
    <n v="298210"/>
  </r>
  <r>
    <x v="0"/>
    <n v="81"/>
    <x v="33"/>
    <x v="0"/>
    <x v="0"/>
    <n v="1030"/>
    <x v="37"/>
    <x v="16"/>
    <x v="58"/>
    <n v="3335"/>
    <x v="226"/>
    <n v="4340"/>
    <x v="214"/>
    <s v="1 00"/>
    <n v="0"/>
    <n v="15"/>
    <x v="37"/>
    <s v="Annual"/>
    <n v="0"/>
    <n v="0"/>
    <n v="10285"/>
    <n v="10285"/>
  </r>
  <r>
    <x v="0"/>
    <n v="81"/>
    <x v="33"/>
    <x v="0"/>
    <x v="0"/>
    <n v="1030"/>
    <x v="37"/>
    <x v="16"/>
    <x v="58"/>
    <n v="3335"/>
    <x v="226"/>
    <n v="4340"/>
    <x v="214"/>
    <s v="1 00"/>
    <n v="0"/>
    <n v="12"/>
    <x v="291"/>
    <s v="Annual"/>
    <n v="0"/>
    <n v="0"/>
    <n v="22669"/>
    <n v="22669"/>
  </r>
  <r>
    <x v="0"/>
    <n v="81"/>
    <x v="33"/>
    <x v="0"/>
    <x v="0"/>
    <n v="1030"/>
    <x v="37"/>
    <x v="16"/>
    <x v="58"/>
    <n v="3335"/>
    <x v="226"/>
    <n v="4341"/>
    <x v="215"/>
    <s v="2 0"/>
    <n v="54"/>
    <n v="6324"/>
    <x v="884"/>
    <s v="Hourly"/>
    <n v="3"/>
    <n v="1"/>
    <n v="47.79"/>
    <n v="298210"/>
  </r>
  <r>
    <x v="0"/>
    <n v="81"/>
    <x v="33"/>
    <x v="0"/>
    <x v="0"/>
    <n v="1030"/>
    <x v="37"/>
    <x v="16"/>
    <x v="58"/>
    <n v="3335"/>
    <x v="226"/>
    <n v="4341"/>
    <x v="215"/>
    <s v="2 0"/>
    <n v="39"/>
    <n v="4634"/>
    <x v="441"/>
    <s v="Hourly"/>
    <n v="12"/>
    <n v="1"/>
    <n v="54.3"/>
    <n v="1355328"/>
  </r>
  <r>
    <x v="0"/>
    <n v="81"/>
    <x v="33"/>
    <x v="0"/>
    <x v="0"/>
    <n v="1030"/>
    <x v="37"/>
    <x v="16"/>
    <x v="58"/>
    <n v="3335"/>
    <x v="226"/>
    <n v="4341"/>
    <x v="215"/>
    <s v="1 00"/>
    <n v="0"/>
    <n v="12"/>
    <x v="291"/>
    <s v="Annual"/>
    <n v="0"/>
    <n v="0"/>
    <n v="24803"/>
    <n v="24803"/>
  </r>
  <r>
    <x v="0"/>
    <n v="81"/>
    <x v="33"/>
    <x v="0"/>
    <x v="0"/>
    <n v="1030"/>
    <x v="37"/>
    <x v="16"/>
    <x v="58"/>
    <n v="3390"/>
    <x v="227"/>
    <n v="0"/>
    <x v="0"/>
    <s v="X 41"/>
    <n v="0"/>
    <n v="9823"/>
    <x v="216"/>
    <s v="Annual"/>
    <n v="1"/>
    <n v="1"/>
    <n v="205200"/>
    <n v="205200"/>
  </r>
  <r>
    <x v="0"/>
    <n v="81"/>
    <x v="33"/>
    <x v="0"/>
    <x v="0"/>
    <n v="1030"/>
    <x v="37"/>
    <x v="16"/>
    <x v="58"/>
    <n v="3390"/>
    <x v="227"/>
    <n v="0"/>
    <x v="0"/>
    <s v="2 0"/>
    <n v="54"/>
    <n v="8244"/>
    <x v="425"/>
    <s v="Hourly"/>
    <n v="5"/>
    <n v="1"/>
    <n v="52.3"/>
    <n v="543920"/>
  </r>
  <r>
    <x v="0"/>
    <n v="81"/>
    <x v="33"/>
    <x v="0"/>
    <x v="0"/>
    <n v="1030"/>
    <x v="37"/>
    <x v="16"/>
    <x v="58"/>
    <n v="3390"/>
    <x v="227"/>
    <n v="0"/>
    <x v="0"/>
    <s v="BX 20"/>
    <n v="10"/>
    <n v="8185"/>
    <x v="872"/>
    <s v="Annual"/>
    <n v="1"/>
    <n v="1"/>
    <n v="124584"/>
    <n v="124584"/>
  </r>
  <r>
    <x v="0"/>
    <n v="81"/>
    <x v="33"/>
    <x v="0"/>
    <x v="0"/>
    <n v="1030"/>
    <x v="37"/>
    <x v="16"/>
    <x v="58"/>
    <n v="3390"/>
    <x v="227"/>
    <n v="0"/>
    <x v="0"/>
    <s v="BX 18"/>
    <n v="20"/>
    <n v="8173"/>
    <x v="889"/>
    <s v="Annual"/>
    <n v="4"/>
    <n v="1"/>
    <n v="150072"/>
    <n v="600288"/>
  </r>
  <r>
    <x v="0"/>
    <n v="81"/>
    <x v="33"/>
    <x v="0"/>
    <x v="0"/>
    <n v="1030"/>
    <x v="37"/>
    <x v="16"/>
    <x v="58"/>
    <n v="3390"/>
    <x v="227"/>
    <n v="0"/>
    <x v="0"/>
    <s v="BX 18"/>
    <n v="20"/>
    <n v="8173"/>
    <x v="889"/>
    <s v="Annual"/>
    <n v="2"/>
    <n v="1"/>
    <n v="143232"/>
    <n v="286464"/>
  </r>
  <r>
    <x v="0"/>
    <n v="81"/>
    <x v="33"/>
    <x v="0"/>
    <x v="0"/>
    <n v="1030"/>
    <x v="37"/>
    <x v="16"/>
    <x v="58"/>
    <n v="3390"/>
    <x v="227"/>
    <n v="0"/>
    <x v="0"/>
    <s v="BX 18"/>
    <n v="20"/>
    <n v="8173"/>
    <x v="889"/>
    <s v="Annual"/>
    <n v="2"/>
    <n v="1"/>
    <n v="136692"/>
    <n v="273384"/>
  </r>
  <r>
    <x v="0"/>
    <n v="81"/>
    <x v="33"/>
    <x v="0"/>
    <x v="0"/>
    <n v="1030"/>
    <x v="37"/>
    <x v="16"/>
    <x v="58"/>
    <n v="3390"/>
    <x v="227"/>
    <n v="0"/>
    <x v="0"/>
    <s v="BX 18"/>
    <n v="20"/>
    <n v="8173"/>
    <x v="889"/>
    <s v="Annual"/>
    <n v="3"/>
    <n v="1"/>
    <n v="130524"/>
    <n v="391572"/>
  </r>
  <r>
    <x v="0"/>
    <n v="81"/>
    <x v="33"/>
    <x v="0"/>
    <x v="0"/>
    <n v="1030"/>
    <x v="37"/>
    <x v="16"/>
    <x v="58"/>
    <n v="3390"/>
    <x v="227"/>
    <n v="0"/>
    <x v="0"/>
    <s v="BX 18"/>
    <n v="20"/>
    <n v="8173"/>
    <x v="889"/>
    <s v="Annual"/>
    <n v="5"/>
    <n v="1"/>
    <n v="124584"/>
    <n v="622920"/>
  </r>
  <r>
    <x v="0"/>
    <n v="81"/>
    <x v="33"/>
    <x v="0"/>
    <x v="0"/>
    <n v="1030"/>
    <x v="37"/>
    <x v="16"/>
    <x v="58"/>
    <n v="3390"/>
    <x v="227"/>
    <n v="0"/>
    <x v="0"/>
    <s v="BX 18"/>
    <n v="20"/>
    <n v="8173"/>
    <x v="889"/>
    <s v="Annual"/>
    <n v="4"/>
    <n v="1"/>
    <n v="118956"/>
    <n v="475824"/>
  </r>
  <r>
    <x v="0"/>
    <n v="81"/>
    <x v="33"/>
    <x v="0"/>
    <x v="0"/>
    <n v="1030"/>
    <x v="37"/>
    <x v="16"/>
    <x v="58"/>
    <n v="3390"/>
    <x v="227"/>
    <n v="0"/>
    <x v="0"/>
    <s v="BX 18"/>
    <n v="20"/>
    <n v="8173"/>
    <x v="889"/>
    <s v="Annual"/>
    <n v="6"/>
    <n v="1"/>
    <n v="113568"/>
    <n v="681408"/>
  </r>
  <r>
    <x v="0"/>
    <n v="81"/>
    <x v="33"/>
    <x v="0"/>
    <x v="0"/>
    <n v="1030"/>
    <x v="37"/>
    <x v="16"/>
    <x v="58"/>
    <n v="3390"/>
    <x v="227"/>
    <n v="0"/>
    <x v="0"/>
    <s v="BX 18"/>
    <n v="20"/>
    <n v="8173"/>
    <x v="889"/>
    <s v="Annual"/>
    <n v="5"/>
    <n v="1"/>
    <n v="107340"/>
    <n v="536700"/>
  </r>
  <r>
    <x v="0"/>
    <n v="81"/>
    <x v="33"/>
    <x v="0"/>
    <x v="0"/>
    <n v="1030"/>
    <x v="37"/>
    <x v="16"/>
    <x v="58"/>
    <n v="3390"/>
    <x v="227"/>
    <n v="0"/>
    <x v="0"/>
    <s v="BX 18"/>
    <n v="20"/>
    <n v="8173"/>
    <x v="889"/>
    <s v="Annual"/>
    <n v="8"/>
    <n v="1"/>
    <n v="102444"/>
    <n v="819552"/>
  </r>
  <r>
    <x v="0"/>
    <n v="81"/>
    <x v="33"/>
    <x v="0"/>
    <x v="0"/>
    <n v="1030"/>
    <x v="37"/>
    <x v="16"/>
    <x v="58"/>
    <n v="3390"/>
    <x v="227"/>
    <n v="0"/>
    <x v="0"/>
    <s v="BX 18"/>
    <n v="20"/>
    <n v="8173"/>
    <x v="889"/>
    <s v="Annual"/>
    <n v="6"/>
    <n v="1"/>
    <n v="97836"/>
    <n v="587016"/>
  </r>
  <r>
    <x v="0"/>
    <n v="81"/>
    <x v="33"/>
    <x v="0"/>
    <x v="0"/>
    <n v="1030"/>
    <x v="37"/>
    <x v="16"/>
    <x v="58"/>
    <n v="3390"/>
    <x v="227"/>
    <n v="0"/>
    <x v="0"/>
    <s v="BX 18"/>
    <n v="20"/>
    <n v="8173"/>
    <x v="889"/>
    <s v="Annual"/>
    <n v="1"/>
    <n v="1"/>
    <n v="93384"/>
    <n v="93384"/>
  </r>
  <r>
    <x v="0"/>
    <n v="81"/>
    <x v="33"/>
    <x v="0"/>
    <x v="0"/>
    <n v="1030"/>
    <x v="37"/>
    <x v="16"/>
    <x v="58"/>
    <n v="3390"/>
    <x v="227"/>
    <n v="0"/>
    <x v="0"/>
    <s v="BX 18"/>
    <n v="20"/>
    <n v="8173"/>
    <x v="889"/>
    <s v="Annual"/>
    <n v="4"/>
    <n v="1"/>
    <n v="89112"/>
    <n v="356448"/>
  </r>
  <r>
    <x v="0"/>
    <n v="81"/>
    <x v="33"/>
    <x v="0"/>
    <x v="0"/>
    <n v="1030"/>
    <x v="37"/>
    <x v="16"/>
    <x v="58"/>
    <n v="3390"/>
    <x v="227"/>
    <n v="0"/>
    <x v="0"/>
    <s v="2 0"/>
    <n v="54"/>
    <n v="6329"/>
    <x v="883"/>
    <s v="Hourly"/>
    <n v="2"/>
    <n v="1"/>
    <n v="26.28"/>
    <n v="109325"/>
  </r>
  <r>
    <x v="0"/>
    <n v="81"/>
    <x v="33"/>
    <x v="0"/>
    <x v="0"/>
    <n v="1030"/>
    <x v="37"/>
    <x v="16"/>
    <x v="58"/>
    <n v="3390"/>
    <x v="227"/>
    <n v="0"/>
    <x v="0"/>
    <s v="2 0"/>
    <n v="54"/>
    <n v="6324"/>
    <x v="884"/>
    <s v="Hourly"/>
    <n v="16"/>
    <n v="1"/>
    <n v="47.79"/>
    <n v="1590451"/>
  </r>
  <r>
    <x v="0"/>
    <n v="81"/>
    <x v="33"/>
    <x v="0"/>
    <x v="0"/>
    <n v="1030"/>
    <x v="37"/>
    <x v="16"/>
    <x v="58"/>
    <n v="3390"/>
    <x v="227"/>
    <n v="0"/>
    <x v="0"/>
    <s v="2 0"/>
    <n v="54"/>
    <n v="6324"/>
    <x v="884"/>
    <s v="Hourly"/>
    <n v="1"/>
    <n v="1"/>
    <n v="31.7"/>
    <n v="65936"/>
  </r>
  <r>
    <x v="0"/>
    <n v="81"/>
    <x v="33"/>
    <x v="0"/>
    <x v="0"/>
    <n v="1030"/>
    <x v="37"/>
    <x v="16"/>
    <x v="58"/>
    <n v="3390"/>
    <x v="227"/>
    <n v="0"/>
    <x v="0"/>
    <s v="1 00"/>
    <n v="0"/>
    <n v="15"/>
    <x v="37"/>
    <s v="Annual"/>
    <n v="0"/>
    <n v="0"/>
    <n v="89417"/>
    <n v="89417"/>
  </r>
  <r>
    <x v="0"/>
    <n v="81"/>
    <x v="33"/>
    <x v="0"/>
    <x v="0"/>
    <n v="1030"/>
    <x v="37"/>
    <x v="16"/>
    <x v="58"/>
    <n v="3390"/>
    <x v="227"/>
    <n v="0"/>
    <x v="0"/>
    <s v="1 00"/>
    <n v="0"/>
    <n v="12"/>
    <x v="291"/>
    <s v="Annual"/>
    <n v="0"/>
    <n v="0"/>
    <n v="34645"/>
    <n v="34645"/>
  </r>
  <r>
    <x v="0"/>
    <n v="81"/>
    <x v="33"/>
    <x v="0"/>
    <x v="0"/>
    <n v="1045"/>
    <x v="38"/>
    <x v="25"/>
    <x v="59"/>
    <n v="3127"/>
    <x v="22"/>
    <n v="4064"/>
    <x v="203"/>
    <s v="X 42"/>
    <n v="0"/>
    <n v="9681"/>
    <x v="81"/>
    <s v="Annual"/>
    <n v="1"/>
    <n v="1"/>
    <n v="153000"/>
    <n v="153000"/>
  </r>
  <r>
    <x v="0"/>
    <n v="81"/>
    <x v="33"/>
    <x v="0"/>
    <x v="0"/>
    <n v="1045"/>
    <x v="38"/>
    <x v="25"/>
    <x v="59"/>
    <n v="3127"/>
    <x v="22"/>
    <n v="4064"/>
    <x v="203"/>
    <s v="BX 15"/>
    <n v="10"/>
    <n v="1911"/>
    <x v="226"/>
    <s v="Annual"/>
    <n v="1"/>
    <n v="1"/>
    <n v="69684"/>
    <n v="69684"/>
  </r>
  <r>
    <x v="0"/>
    <n v="81"/>
    <x v="33"/>
    <x v="0"/>
    <x v="0"/>
    <n v="1045"/>
    <x v="38"/>
    <x v="25"/>
    <x v="59"/>
    <n v="3127"/>
    <x v="22"/>
    <n v="4064"/>
    <x v="203"/>
    <s v="B 09"/>
    <n v="1"/>
    <n v="460"/>
    <x v="344"/>
    <s v="Annual"/>
    <n v="1"/>
    <n v="1"/>
    <n v="48864"/>
    <n v="48864"/>
  </r>
  <r>
    <x v="0"/>
    <n v="81"/>
    <x v="33"/>
    <x v="0"/>
    <x v="0"/>
    <n v="1045"/>
    <x v="38"/>
    <x v="25"/>
    <x v="59"/>
    <n v="3127"/>
    <x v="22"/>
    <n v="4064"/>
    <x v="203"/>
    <s v="1 00"/>
    <n v="0"/>
    <n v="15"/>
    <x v="37"/>
    <s v="Annual"/>
    <n v="0"/>
    <n v="0"/>
    <n v="21838"/>
    <n v="21838"/>
  </r>
  <r>
    <x v="0"/>
    <n v="81"/>
    <x v="33"/>
    <x v="0"/>
    <x v="0"/>
    <n v="1045"/>
    <x v="38"/>
    <x v="25"/>
    <x v="59"/>
    <n v="3128"/>
    <x v="228"/>
    <n v="4047"/>
    <x v="216"/>
    <s v="BX 20"/>
    <n v="10"/>
    <n v="8185"/>
    <x v="872"/>
    <s v="Annual"/>
    <n v="1"/>
    <n v="1"/>
    <n v="102444"/>
    <n v="102444"/>
  </r>
  <r>
    <x v="0"/>
    <n v="81"/>
    <x v="33"/>
    <x v="0"/>
    <x v="0"/>
    <n v="1045"/>
    <x v="38"/>
    <x v="25"/>
    <x v="59"/>
    <n v="3128"/>
    <x v="228"/>
    <n v="4047"/>
    <x v="216"/>
    <s v="BX 22"/>
    <n v="10"/>
    <n v="8184"/>
    <x v="877"/>
    <s v="Annual"/>
    <n v="1"/>
    <n v="1"/>
    <n v="157212"/>
    <n v="157212"/>
  </r>
  <r>
    <x v="0"/>
    <n v="81"/>
    <x v="33"/>
    <x v="0"/>
    <x v="0"/>
    <n v="1045"/>
    <x v="38"/>
    <x v="25"/>
    <x v="59"/>
    <n v="3128"/>
    <x v="228"/>
    <n v="4047"/>
    <x v="216"/>
    <s v="G 06"/>
    <n v="1"/>
    <n v="7946"/>
    <x v="890"/>
    <s v="Annual"/>
    <n v="3"/>
    <n v="1"/>
    <n v="118836"/>
    <n v="356508"/>
  </r>
  <r>
    <x v="0"/>
    <n v="81"/>
    <x v="33"/>
    <x v="0"/>
    <x v="0"/>
    <n v="1045"/>
    <x v="38"/>
    <x v="25"/>
    <x v="59"/>
    <n v="3128"/>
    <x v="228"/>
    <n v="4047"/>
    <x v="216"/>
    <s v="G 05"/>
    <n v="1"/>
    <n v="7945"/>
    <x v="891"/>
    <s v="Annual"/>
    <n v="2"/>
    <n v="1"/>
    <n v="84192"/>
    <n v="168384"/>
  </r>
  <r>
    <x v="0"/>
    <n v="81"/>
    <x v="33"/>
    <x v="0"/>
    <x v="0"/>
    <n v="1045"/>
    <x v="38"/>
    <x v="25"/>
    <x v="59"/>
    <n v="3128"/>
    <x v="228"/>
    <n v="4047"/>
    <x v="216"/>
    <s v="2 0"/>
    <n v="54"/>
    <n v="7928"/>
    <x v="892"/>
    <s v="Hourly"/>
    <n v="5"/>
    <n v="1"/>
    <n v="51.4"/>
    <n v="534560"/>
  </r>
  <r>
    <x v="0"/>
    <n v="81"/>
    <x v="33"/>
    <x v="0"/>
    <x v="0"/>
    <n v="1045"/>
    <x v="38"/>
    <x v="25"/>
    <x v="59"/>
    <n v="3128"/>
    <x v="228"/>
    <n v="4047"/>
    <x v="216"/>
    <s v="V 14"/>
    <n v="54"/>
    <n v="7916"/>
    <x v="893"/>
    <s v="Annual"/>
    <n v="5"/>
    <n v="1"/>
    <n v="130620"/>
    <n v="653100"/>
  </r>
  <r>
    <x v="0"/>
    <n v="81"/>
    <x v="33"/>
    <x v="0"/>
    <x v="0"/>
    <n v="1045"/>
    <x v="38"/>
    <x v="25"/>
    <x v="59"/>
    <n v="3128"/>
    <x v="228"/>
    <n v="4047"/>
    <x v="216"/>
    <s v="V 14"/>
    <n v="54"/>
    <n v="7916"/>
    <x v="893"/>
    <s v="Annual"/>
    <n v="1"/>
    <n v="1"/>
    <n v="108528"/>
    <n v="108528"/>
  </r>
  <r>
    <x v="0"/>
    <n v="81"/>
    <x v="33"/>
    <x v="0"/>
    <x v="0"/>
    <n v="1045"/>
    <x v="38"/>
    <x v="25"/>
    <x v="59"/>
    <n v="3128"/>
    <x v="228"/>
    <n v="4047"/>
    <x v="216"/>
    <s v="2 0"/>
    <n v="8"/>
    <n v="7184"/>
    <x v="882"/>
    <s v="Hourly"/>
    <n v="4"/>
    <n v="1"/>
    <n v="48.73"/>
    <n v="405434"/>
  </r>
  <r>
    <x v="0"/>
    <n v="81"/>
    <x v="33"/>
    <x v="0"/>
    <x v="0"/>
    <n v="1045"/>
    <x v="38"/>
    <x v="25"/>
    <x v="59"/>
    <n v="3128"/>
    <x v="228"/>
    <n v="4047"/>
    <x v="216"/>
    <s v="2 0"/>
    <n v="8"/>
    <n v="7183"/>
    <x v="449"/>
    <s v="Hourly"/>
    <n v="4"/>
    <n v="1"/>
    <n v="48.73"/>
    <n v="405434"/>
  </r>
  <r>
    <x v="0"/>
    <n v="81"/>
    <x v="33"/>
    <x v="0"/>
    <x v="0"/>
    <n v="1045"/>
    <x v="38"/>
    <x v="25"/>
    <x v="59"/>
    <n v="3128"/>
    <x v="228"/>
    <n v="4047"/>
    <x v="216"/>
    <s v="1 00"/>
    <n v="0"/>
    <n v="15"/>
    <x v="37"/>
    <s v="Annual"/>
    <n v="0"/>
    <n v="0"/>
    <n v="8668"/>
    <n v="8668"/>
  </r>
  <r>
    <x v="0"/>
    <n v="81"/>
    <x v="33"/>
    <x v="0"/>
    <x v="0"/>
    <n v="1045"/>
    <x v="38"/>
    <x v="25"/>
    <x v="59"/>
    <n v="3128"/>
    <x v="228"/>
    <n v="4047"/>
    <x v="216"/>
    <s v="1 00"/>
    <n v="0"/>
    <n v="12"/>
    <x v="291"/>
    <s v="Annual"/>
    <n v="0"/>
    <n v="0"/>
    <n v="20182"/>
    <n v="20182"/>
  </r>
  <r>
    <x v="0"/>
    <n v="81"/>
    <x v="33"/>
    <x v="0"/>
    <x v="0"/>
    <n v="1045"/>
    <x v="38"/>
    <x v="25"/>
    <x v="59"/>
    <n v="3128"/>
    <x v="228"/>
    <n v="4056"/>
    <x v="217"/>
    <s v="U 14"/>
    <n v="54"/>
    <n v="3063"/>
    <x v="894"/>
    <s v="Annual"/>
    <n v="4"/>
    <n v="1"/>
    <n v="113604"/>
    <n v="454416"/>
  </r>
  <r>
    <x v="0"/>
    <n v="81"/>
    <x v="33"/>
    <x v="0"/>
    <x v="0"/>
    <n v="1045"/>
    <x v="38"/>
    <x v="25"/>
    <x v="59"/>
    <n v="3128"/>
    <x v="228"/>
    <n v="4056"/>
    <x v="217"/>
    <s v="U 14"/>
    <n v="54"/>
    <n v="3063"/>
    <x v="894"/>
    <s v="Annual"/>
    <n v="1"/>
    <n v="1"/>
    <n v="108528"/>
    <n v="108528"/>
  </r>
  <r>
    <x v="0"/>
    <n v="81"/>
    <x v="33"/>
    <x v="0"/>
    <x v="0"/>
    <n v="1045"/>
    <x v="38"/>
    <x v="25"/>
    <x v="59"/>
    <n v="3128"/>
    <x v="228"/>
    <n v="4056"/>
    <x v="217"/>
    <s v="1 00"/>
    <n v="0"/>
    <n v="15"/>
    <x v="37"/>
    <s v="Annual"/>
    <n v="0"/>
    <n v="0"/>
    <n v="10608"/>
    <n v="10608"/>
  </r>
  <r>
    <x v="0"/>
    <n v="81"/>
    <x v="33"/>
    <x v="0"/>
    <x v="0"/>
    <n v="1045"/>
    <x v="38"/>
    <x v="25"/>
    <x v="59"/>
    <n v="3136"/>
    <x v="229"/>
    <n v="4063"/>
    <x v="218"/>
    <s v="2 0"/>
    <n v="54"/>
    <n v="7975"/>
    <x v="895"/>
    <s v="Hourly"/>
    <n v="45"/>
    <n v="1"/>
    <n v="48.37"/>
    <n v="4527432"/>
  </r>
  <r>
    <x v="0"/>
    <n v="81"/>
    <x v="33"/>
    <x v="0"/>
    <x v="0"/>
    <n v="1045"/>
    <x v="38"/>
    <x v="25"/>
    <x v="59"/>
    <n v="3136"/>
    <x v="229"/>
    <n v="4063"/>
    <x v="218"/>
    <s v="2 0"/>
    <n v="54"/>
    <n v="7975"/>
    <x v="895"/>
    <s v="Hourly"/>
    <n v="7"/>
    <n v="1"/>
    <n v="43.53"/>
    <n v="633797"/>
  </r>
  <r>
    <x v="0"/>
    <n v="81"/>
    <x v="33"/>
    <x v="0"/>
    <x v="0"/>
    <n v="1045"/>
    <x v="38"/>
    <x v="25"/>
    <x v="59"/>
    <n v="3136"/>
    <x v="229"/>
    <n v="4063"/>
    <x v="218"/>
    <s v="2 0"/>
    <n v="54"/>
    <n v="7975"/>
    <x v="895"/>
    <s v="Hourly"/>
    <n v="12"/>
    <n v="1"/>
    <n v="38.700000000000003"/>
    <n v="965952"/>
  </r>
  <r>
    <x v="0"/>
    <n v="81"/>
    <x v="33"/>
    <x v="0"/>
    <x v="0"/>
    <n v="1045"/>
    <x v="38"/>
    <x v="25"/>
    <x v="59"/>
    <n v="3136"/>
    <x v="229"/>
    <n v="4063"/>
    <x v="218"/>
    <s v="2 0"/>
    <n v="54"/>
    <n v="7975"/>
    <x v="895"/>
    <s v="Hourly"/>
    <n v="13"/>
    <n v="1"/>
    <n v="33.86"/>
    <n v="915574"/>
  </r>
  <r>
    <x v="0"/>
    <n v="81"/>
    <x v="33"/>
    <x v="0"/>
    <x v="0"/>
    <n v="1045"/>
    <x v="38"/>
    <x v="25"/>
    <x v="59"/>
    <n v="3136"/>
    <x v="229"/>
    <n v="4063"/>
    <x v="218"/>
    <s v="V 14"/>
    <n v="54"/>
    <n v="7916"/>
    <x v="893"/>
    <s v="Annual"/>
    <n v="1"/>
    <n v="1"/>
    <n v="113592"/>
    <n v="113592"/>
  </r>
  <r>
    <x v="0"/>
    <n v="81"/>
    <x v="33"/>
    <x v="0"/>
    <x v="0"/>
    <n v="1045"/>
    <x v="38"/>
    <x v="25"/>
    <x v="59"/>
    <n v="3136"/>
    <x v="229"/>
    <n v="4063"/>
    <x v="218"/>
    <s v="2 0"/>
    <n v="8"/>
    <n v="7185"/>
    <x v="485"/>
    <s v="Hourly"/>
    <n v="5"/>
    <n v="1"/>
    <n v="52.38"/>
    <n v="544752"/>
  </r>
  <r>
    <x v="0"/>
    <n v="81"/>
    <x v="33"/>
    <x v="0"/>
    <x v="0"/>
    <n v="1045"/>
    <x v="38"/>
    <x v="25"/>
    <x v="59"/>
    <n v="3136"/>
    <x v="229"/>
    <n v="4063"/>
    <x v="218"/>
    <s v="2 0"/>
    <n v="8"/>
    <n v="7184"/>
    <x v="882"/>
    <s v="Hourly"/>
    <n v="31"/>
    <n v="1"/>
    <n v="48.73"/>
    <n v="3142110"/>
  </r>
  <r>
    <x v="0"/>
    <n v="81"/>
    <x v="33"/>
    <x v="0"/>
    <x v="0"/>
    <n v="1045"/>
    <x v="38"/>
    <x v="25"/>
    <x v="59"/>
    <n v="3136"/>
    <x v="229"/>
    <n v="4063"/>
    <x v="218"/>
    <s v="2 0"/>
    <n v="8"/>
    <n v="7184"/>
    <x v="882"/>
    <s v="Hourly"/>
    <n v="4"/>
    <n v="1"/>
    <n v="43.86"/>
    <n v="364915"/>
  </r>
  <r>
    <x v="0"/>
    <n v="81"/>
    <x v="33"/>
    <x v="0"/>
    <x v="0"/>
    <n v="1045"/>
    <x v="38"/>
    <x v="25"/>
    <x v="59"/>
    <n v="3136"/>
    <x v="229"/>
    <n v="4063"/>
    <x v="218"/>
    <s v="2 0"/>
    <n v="8"/>
    <n v="7183"/>
    <x v="449"/>
    <s v="Hourly"/>
    <n v="5"/>
    <n v="1"/>
    <n v="49.46"/>
    <n v="514384"/>
  </r>
  <r>
    <x v="0"/>
    <n v="81"/>
    <x v="33"/>
    <x v="0"/>
    <x v="0"/>
    <n v="1045"/>
    <x v="38"/>
    <x v="25"/>
    <x v="59"/>
    <n v="3136"/>
    <x v="229"/>
    <n v="4063"/>
    <x v="218"/>
    <s v="2 0"/>
    <n v="8"/>
    <n v="7183"/>
    <x v="449"/>
    <s v="Hourly"/>
    <n v="26"/>
    <n v="1"/>
    <n v="48.73"/>
    <n v="2635318"/>
  </r>
  <r>
    <x v="0"/>
    <n v="81"/>
    <x v="33"/>
    <x v="0"/>
    <x v="0"/>
    <n v="1045"/>
    <x v="38"/>
    <x v="25"/>
    <x v="59"/>
    <n v="3136"/>
    <x v="229"/>
    <n v="4063"/>
    <x v="218"/>
    <s v="1 00"/>
    <n v="0"/>
    <n v="15"/>
    <x v="37"/>
    <s v="Annual"/>
    <n v="0"/>
    <n v="0"/>
    <n v="2652"/>
    <n v="2652"/>
  </r>
  <r>
    <x v="0"/>
    <n v="81"/>
    <x v="33"/>
    <x v="0"/>
    <x v="0"/>
    <n v="1045"/>
    <x v="38"/>
    <x v="25"/>
    <x v="59"/>
    <n v="3136"/>
    <x v="229"/>
    <n v="4063"/>
    <x v="218"/>
    <s v="1 00"/>
    <n v="0"/>
    <n v="12"/>
    <x v="291"/>
    <s v="Annual"/>
    <n v="0"/>
    <n v="0"/>
    <n v="213664"/>
    <n v="213664"/>
  </r>
  <r>
    <x v="0"/>
    <n v="81"/>
    <x v="33"/>
    <x v="0"/>
    <x v="0"/>
    <n v="1045"/>
    <x v="38"/>
    <x v="25"/>
    <x v="59"/>
    <n v="3136"/>
    <x v="229"/>
    <n v="4067"/>
    <x v="219"/>
    <s v="2 0"/>
    <n v="54"/>
    <n v="7975"/>
    <x v="895"/>
    <s v="Hourly"/>
    <n v="4"/>
    <n v="1"/>
    <n v="48.37"/>
    <n v="402438"/>
  </r>
  <r>
    <x v="0"/>
    <n v="81"/>
    <x v="33"/>
    <x v="0"/>
    <x v="0"/>
    <n v="1045"/>
    <x v="38"/>
    <x v="25"/>
    <x v="59"/>
    <n v="3136"/>
    <x v="229"/>
    <n v="4067"/>
    <x v="219"/>
    <s v="2 0"/>
    <n v="54"/>
    <n v="7975"/>
    <x v="895"/>
    <s v="Hourly"/>
    <n v="1"/>
    <n v="1"/>
    <n v="43.53"/>
    <n v="90542"/>
  </r>
  <r>
    <x v="0"/>
    <n v="81"/>
    <x v="33"/>
    <x v="0"/>
    <x v="0"/>
    <n v="1045"/>
    <x v="38"/>
    <x v="25"/>
    <x v="59"/>
    <n v="3136"/>
    <x v="229"/>
    <n v="4067"/>
    <x v="219"/>
    <s v="2 0"/>
    <n v="54"/>
    <n v="7975"/>
    <x v="895"/>
    <s v="Hourly"/>
    <n v="1"/>
    <n v="1"/>
    <n v="38.700000000000003"/>
    <n v="80496"/>
  </r>
  <r>
    <x v="0"/>
    <n v="81"/>
    <x v="33"/>
    <x v="0"/>
    <x v="0"/>
    <n v="1045"/>
    <x v="38"/>
    <x v="25"/>
    <x v="59"/>
    <n v="3136"/>
    <x v="229"/>
    <n v="4067"/>
    <x v="219"/>
    <s v="2 0"/>
    <n v="54"/>
    <n v="7975"/>
    <x v="895"/>
    <s v="Hourly"/>
    <n v="2"/>
    <n v="1"/>
    <n v="33.86"/>
    <n v="140858"/>
  </r>
  <r>
    <x v="0"/>
    <n v="81"/>
    <x v="33"/>
    <x v="0"/>
    <x v="0"/>
    <n v="1045"/>
    <x v="38"/>
    <x v="25"/>
    <x v="59"/>
    <n v="3136"/>
    <x v="229"/>
    <n v="4067"/>
    <x v="219"/>
    <s v="2 0"/>
    <n v="8"/>
    <n v="7183"/>
    <x v="449"/>
    <s v="Hourly"/>
    <n v="2"/>
    <n v="1"/>
    <n v="48.73"/>
    <n v="202717"/>
  </r>
  <r>
    <x v="0"/>
    <n v="81"/>
    <x v="33"/>
    <x v="0"/>
    <x v="0"/>
    <n v="1045"/>
    <x v="38"/>
    <x v="25"/>
    <x v="59"/>
    <n v="3136"/>
    <x v="229"/>
    <n v="4067"/>
    <x v="219"/>
    <s v="1 00"/>
    <n v="0"/>
    <n v="12"/>
    <x v="291"/>
    <s v="Annual"/>
    <n v="0"/>
    <n v="0"/>
    <n v="13756"/>
    <n v="13756"/>
  </r>
  <r>
    <x v="0"/>
    <n v="81"/>
    <x v="33"/>
    <x v="0"/>
    <x v="0"/>
    <n v="1045"/>
    <x v="38"/>
    <x v="25"/>
    <x v="59"/>
    <n v="3137"/>
    <x v="230"/>
    <n v="0"/>
    <x v="0"/>
    <s v="2 0"/>
    <n v="54"/>
    <n v="7975"/>
    <x v="895"/>
    <s v="Hourly"/>
    <n v="13"/>
    <n v="1"/>
    <n v="48.37"/>
    <n v="1307925"/>
  </r>
  <r>
    <x v="0"/>
    <n v="81"/>
    <x v="33"/>
    <x v="0"/>
    <x v="0"/>
    <n v="1045"/>
    <x v="38"/>
    <x v="25"/>
    <x v="59"/>
    <n v="3137"/>
    <x v="230"/>
    <n v="0"/>
    <x v="0"/>
    <s v="2 0"/>
    <n v="54"/>
    <n v="7975"/>
    <x v="895"/>
    <s v="Hourly"/>
    <n v="4"/>
    <n v="1"/>
    <n v="43.53"/>
    <n v="362170"/>
  </r>
  <r>
    <x v="0"/>
    <n v="81"/>
    <x v="33"/>
    <x v="0"/>
    <x v="0"/>
    <n v="1045"/>
    <x v="38"/>
    <x v="25"/>
    <x v="59"/>
    <n v="3137"/>
    <x v="230"/>
    <n v="0"/>
    <x v="0"/>
    <s v="2 0"/>
    <n v="54"/>
    <n v="7975"/>
    <x v="895"/>
    <s v="Hourly"/>
    <n v="8"/>
    <n v="1"/>
    <n v="38.700000000000003"/>
    <n v="643968"/>
  </r>
  <r>
    <x v="0"/>
    <n v="81"/>
    <x v="33"/>
    <x v="0"/>
    <x v="0"/>
    <n v="1045"/>
    <x v="38"/>
    <x v="25"/>
    <x v="59"/>
    <n v="3137"/>
    <x v="230"/>
    <n v="0"/>
    <x v="0"/>
    <s v="2 0"/>
    <n v="54"/>
    <n v="7975"/>
    <x v="895"/>
    <s v="Hourly"/>
    <n v="4"/>
    <n v="1"/>
    <n v="33.86"/>
    <n v="281715"/>
  </r>
  <r>
    <x v="0"/>
    <n v="81"/>
    <x v="33"/>
    <x v="0"/>
    <x v="0"/>
    <n v="1045"/>
    <x v="38"/>
    <x v="25"/>
    <x v="59"/>
    <n v="3137"/>
    <x v="230"/>
    <n v="0"/>
    <x v="0"/>
    <s v="2 0"/>
    <n v="8"/>
    <n v="7184"/>
    <x v="882"/>
    <s v="Hourly"/>
    <n v="2"/>
    <n v="1"/>
    <n v="48.73"/>
    <n v="202717"/>
  </r>
  <r>
    <x v="0"/>
    <n v="81"/>
    <x v="33"/>
    <x v="0"/>
    <x v="0"/>
    <n v="1045"/>
    <x v="38"/>
    <x v="25"/>
    <x v="59"/>
    <n v="3137"/>
    <x v="230"/>
    <n v="0"/>
    <x v="0"/>
    <s v="2 0"/>
    <n v="8"/>
    <n v="7184"/>
    <x v="882"/>
    <s v="Hourly"/>
    <n v="1"/>
    <n v="1"/>
    <n v="43.86"/>
    <n v="91229"/>
  </r>
  <r>
    <x v="0"/>
    <n v="81"/>
    <x v="33"/>
    <x v="0"/>
    <x v="0"/>
    <n v="1045"/>
    <x v="38"/>
    <x v="25"/>
    <x v="59"/>
    <n v="3137"/>
    <x v="230"/>
    <n v="0"/>
    <x v="0"/>
    <s v="2 0"/>
    <n v="8"/>
    <n v="7183"/>
    <x v="449"/>
    <s v="Hourly"/>
    <n v="7"/>
    <n v="1"/>
    <n v="48.73"/>
    <n v="709509"/>
  </r>
  <r>
    <x v="0"/>
    <n v="81"/>
    <x v="33"/>
    <x v="0"/>
    <x v="0"/>
    <n v="1045"/>
    <x v="38"/>
    <x v="25"/>
    <x v="59"/>
    <n v="3137"/>
    <x v="230"/>
    <n v="0"/>
    <x v="0"/>
    <s v="2 0"/>
    <n v="8"/>
    <n v="7183"/>
    <x v="449"/>
    <s v="Hourly"/>
    <n v="1"/>
    <n v="1"/>
    <n v="38.979999999999997"/>
    <n v="81078"/>
  </r>
  <r>
    <x v="0"/>
    <n v="81"/>
    <x v="33"/>
    <x v="0"/>
    <x v="0"/>
    <n v="1045"/>
    <x v="38"/>
    <x v="25"/>
    <x v="59"/>
    <n v="3137"/>
    <x v="230"/>
    <n v="0"/>
    <x v="0"/>
    <s v="1 00"/>
    <n v="0"/>
    <n v="12"/>
    <x v="291"/>
    <s v="Annual"/>
    <n v="0"/>
    <n v="0"/>
    <n v="55206"/>
    <n v="55206"/>
  </r>
  <r>
    <x v="0"/>
    <n v="84"/>
    <x v="34"/>
    <x v="0"/>
    <x v="0"/>
    <n v="1105"/>
    <x v="39"/>
    <x v="26"/>
    <x v="22"/>
    <n v="3201"/>
    <x v="231"/>
    <n v="0"/>
    <x v="0"/>
    <s v="1 00"/>
    <n v="9"/>
    <n v="9984"/>
    <x v="896"/>
    <s v="Annual"/>
    <n v="1"/>
    <n v="1"/>
    <n v="215460"/>
    <n v="215460"/>
  </r>
  <r>
    <x v="0"/>
    <n v="84"/>
    <x v="34"/>
    <x v="0"/>
    <x v="0"/>
    <n v="1105"/>
    <x v="39"/>
    <x v="26"/>
    <x v="22"/>
    <n v="3201"/>
    <x v="231"/>
    <n v="0"/>
    <x v="0"/>
    <s v="X 41"/>
    <n v="0"/>
    <n v="9823"/>
    <x v="216"/>
    <s v="Annual"/>
    <n v="1"/>
    <n v="1"/>
    <n v="196740"/>
    <n v="196740"/>
  </r>
  <r>
    <x v="0"/>
    <n v="84"/>
    <x v="34"/>
    <x v="0"/>
    <x v="0"/>
    <n v="1105"/>
    <x v="39"/>
    <x v="26"/>
    <x v="22"/>
    <n v="3201"/>
    <x v="231"/>
    <n v="0"/>
    <x v="0"/>
    <s v="X 41"/>
    <n v="0"/>
    <n v="9823"/>
    <x v="216"/>
    <s v="Annual"/>
    <n v="1"/>
    <n v="1"/>
    <n v="184800"/>
    <n v="184800"/>
  </r>
  <r>
    <x v="0"/>
    <n v="84"/>
    <x v="34"/>
    <x v="0"/>
    <x v="0"/>
    <n v="1105"/>
    <x v="39"/>
    <x v="26"/>
    <x v="22"/>
    <n v="3201"/>
    <x v="231"/>
    <n v="0"/>
    <x v="0"/>
    <s v="X 41"/>
    <n v="0"/>
    <n v="9823"/>
    <x v="216"/>
    <s v="Annual"/>
    <n v="1"/>
    <n v="1"/>
    <n v="164412"/>
    <n v="164412"/>
  </r>
  <r>
    <x v="0"/>
    <n v="84"/>
    <x v="34"/>
    <x v="0"/>
    <x v="0"/>
    <n v="1105"/>
    <x v="39"/>
    <x v="26"/>
    <x v="22"/>
    <n v="3201"/>
    <x v="231"/>
    <n v="0"/>
    <x v="0"/>
    <s v="X 41"/>
    <n v="9"/>
    <n v="9663"/>
    <x v="353"/>
    <s v="Annual"/>
    <n v="1"/>
    <n v="1"/>
    <n v="196740"/>
    <n v="196740"/>
  </r>
  <r>
    <x v="0"/>
    <n v="84"/>
    <x v="34"/>
    <x v="0"/>
    <x v="0"/>
    <n v="1105"/>
    <x v="39"/>
    <x v="26"/>
    <x v="22"/>
    <n v="3201"/>
    <x v="231"/>
    <n v="0"/>
    <x v="0"/>
    <s v="BX 16"/>
    <n v="10"/>
    <n v="802"/>
    <x v="30"/>
    <s v="Annual"/>
    <n v="1"/>
    <n v="1"/>
    <n v="89112"/>
    <n v="89112"/>
  </r>
  <r>
    <x v="0"/>
    <n v="84"/>
    <x v="34"/>
    <x v="0"/>
    <x v="0"/>
    <n v="1105"/>
    <x v="39"/>
    <x v="26"/>
    <x v="22"/>
    <n v="3201"/>
    <x v="231"/>
    <n v="0"/>
    <x v="0"/>
    <s v="1 00"/>
    <n v="0"/>
    <n v="15"/>
    <x v="37"/>
    <s v="Annual"/>
    <n v="0"/>
    <n v="0"/>
    <n v="15594"/>
    <n v="15594"/>
  </r>
  <r>
    <x v="0"/>
    <n v="84"/>
    <x v="34"/>
    <x v="0"/>
    <x v="0"/>
    <n v="1105"/>
    <x v="39"/>
    <x v="26"/>
    <x v="22"/>
    <n v="3204"/>
    <x v="106"/>
    <n v="0"/>
    <x v="0"/>
    <s v="PX 02"/>
    <n v="9"/>
    <n v="705"/>
    <x v="33"/>
    <s v="Annual"/>
    <n v="1"/>
    <n v="1"/>
    <n v="136308"/>
    <n v="136308"/>
  </r>
  <r>
    <x v="0"/>
    <n v="84"/>
    <x v="34"/>
    <x v="0"/>
    <x v="0"/>
    <n v="1105"/>
    <x v="39"/>
    <x v="26"/>
    <x v="22"/>
    <n v="3205"/>
    <x v="232"/>
    <n v="0"/>
    <x v="0"/>
    <s v="B 15"/>
    <n v="1"/>
    <n v="6145"/>
    <x v="897"/>
    <s v="Annual"/>
    <n v="1"/>
    <n v="1"/>
    <n v="143400"/>
    <n v="143400"/>
  </r>
  <r>
    <x v="0"/>
    <n v="84"/>
    <x v="34"/>
    <x v="0"/>
    <x v="0"/>
    <n v="1105"/>
    <x v="39"/>
    <x v="26"/>
    <x v="22"/>
    <n v="3205"/>
    <x v="232"/>
    <n v="0"/>
    <x v="0"/>
    <s v="G 07"/>
    <n v="4"/>
    <n v="5613"/>
    <x v="898"/>
    <s v="Annual"/>
    <n v="1"/>
    <n v="1"/>
    <n v="129636"/>
    <n v="129636"/>
  </r>
  <r>
    <x v="0"/>
    <n v="84"/>
    <x v="34"/>
    <x v="0"/>
    <x v="0"/>
    <n v="1105"/>
    <x v="39"/>
    <x v="26"/>
    <x v="22"/>
    <n v="3205"/>
    <x v="232"/>
    <n v="0"/>
    <x v="0"/>
    <s v="B 13"/>
    <n v="1"/>
    <n v="708"/>
    <x v="84"/>
    <s v="Annual"/>
    <n v="1"/>
    <n v="1"/>
    <n v="85200"/>
    <n v="85200"/>
  </r>
  <r>
    <x v="0"/>
    <n v="84"/>
    <x v="34"/>
    <x v="0"/>
    <x v="0"/>
    <n v="1105"/>
    <x v="39"/>
    <x v="26"/>
    <x v="22"/>
    <n v="3205"/>
    <x v="232"/>
    <n v="0"/>
    <x v="0"/>
    <s v="BX 18"/>
    <n v="10"/>
    <s v="03A9"/>
    <x v="899"/>
    <s v="Annual"/>
    <n v="1"/>
    <n v="1"/>
    <n v="89112"/>
    <n v="89112"/>
  </r>
  <r>
    <x v="0"/>
    <n v="84"/>
    <x v="34"/>
    <x v="0"/>
    <x v="0"/>
    <n v="1105"/>
    <x v="39"/>
    <x v="26"/>
    <x v="22"/>
    <n v="3205"/>
    <x v="232"/>
    <n v="0"/>
    <x v="0"/>
    <s v="X 43"/>
    <n v="0"/>
    <s v="03A2"/>
    <x v="220"/>
    <s v="Annual"/>
    <n v="1"/>
    <n v="1"/>
    <n v="160680"/>
    <n v="160680"/>
  </r>
  <r>
    <x v="0"/>
    <n v="84"/>
    <x v="34"/>
    <x v="0"/>
    <x v="0"/>
    <n v="1105"/>
    <x v="39"/>
    <x v="26"/>
    <x v="22"/>
    <n v="3205"/>
    <x v="232"/>
    <n v="0"/>
    <x v="0"/>
    <s v="3 00"/>
    <n v="10"/>
    <n v="322"/>
    <x v="724"/>
    <s v="Annual"/>
    <n v="1"/>
    <n v="1"/>
    <n v="101424"/>
    <n v="101424"/>
  </r>
  <r>
    <x v="0"/>
    <n v="84"/>
    <x v="34"/>
    <x v="0"/>
    <x v="0"/>
    <n v="1105"/>
    <x v="39"/>
    <x v="26"/>
    <x v="22"/>
    <n v="3205"/>
    <x v="232"/>
    <n v="0"/>
    <x v="0"/>
    <s v="1 00"/>
    <n v="0"/>
    <n v="15"/>
    <x v="37"/>
    <s v="Annual"/>
    <n v="0"/>
    <n v="0"/>
    <n v="5939"/>
    <n v="5939"/>
  </r>
  <r>
    <x v="0"/>
    <n v="84"/>
    <x v="34"/>
    <x v="0"/>
    <x v="0"/>
    <n v="1105"/>
    <x v="39"/>
    <x v="26"/>
    <x v="22"/>
    <n v="3207"/>
    <x v="233"/>
    <n v="0"/>
    <x v="0"/>
    <s v="G 09"/>
    <n v="3"/>
    <n v="1140"/>
    <x v="80"/>
    <s v="Annual"/>
    <n v="1"/>
    <n v="1"/>
    <n v="134184"/>
    <n v="134184"/>
  </r>
  <r>
    <x v="0"/>
    <n v="84"/>
    <x v="34"/>
    <x v="0"/>
    <x v="0"/>
    <n v="1105"/>
    <x v="39"/>
    <x v="26"/>
    <x v="22"/>
    <n v="3207"/>
    <x v="233"/>
    <n v="0"/>
    <x v="0"/>
    <s v="B 14"/>
    <n v="1"/>
    <n v="689"/>
    <x v="269"/>
    <s v="Annual"/>
    <n v="1"/>
    <n v="1"/>
    <n v="130668"/>
    <n v="130668"/>
  </r>
  <r>
    <x v="0"/>
    <n v="84"/>
    <x v="34"/>
    <x v="0"/>
    <x v="0"/>
    <n v="1105"/>
    <x v="39"/>
    <x v="26"/>
    <x v="22"/>
    <n v="3207"/>
    <x v="233"/>
    <n v="0"/>
    <x v="0"/>
    <s v="G 10"/>
    <n v="4"/>
    <n v="613"/>
    <x v="900"/>
    <s v="Annual"/>
    <n v="1"/>
    <n v="1"/>
    <n v="153228"/>
    <n v="153228"/>
  </r>
  <r>
    <x v="0"/>
    <n v="84"/>
    <x v="34"/>
    <x v="0"/>
    <x v="0"/>
    <n v="1105"/>
    <x v="39"/>
    <x v="26"/>
    <x v="22"/>
    <n v="3207"/>
    <x v="233"/>
    <n v="0"/>
    <x v="0"/>
    <s v="B 12"/>
    <n v="1"/>
    <s v="03A8"/>
    <x v="88"/>
    <s v="Annual"/>
    <n v="1"/>
    <n v="1"/>
    <n v="108576"/>
    <n v="108576"/>
  </r>
  <r>
    <x v="0"/>
    <n v="84"/>
    <x v="34"/>
    <x v="0"/>
    <x v="0"/>
    <n v="1105"/>
    <x v="39"/>
    <x v="26"/>
    <x v="22"/>
    <n v="3207"/>
    <x v="233"/>
    <n v="0"/>
    <x v="0"/>
    <s v="B 13"/>
    <n v="1"/>
    <n v="308"/>
    <x v="90"/>
    <s v="Annual"/>
    <n v="1"/>
    <n v="1"/>
    <n v="119100"/>
    <n v="119100"/>
  </r>
  <r>
    <x v="0"/>
    <n v="84"/>
    <x v="34"/>
    <x v="0"/>
    <x v="0"/>
    <n v="1105"/>
    <x v="39"/>
    <x v="26"/>
    <x v="22"/>
    <n v="3207"/>
    <x v="233"/>
    <n v="0"/>
    <x v="0"/>
    <s v="1 00"/>
    <n v="0"/>
    <n v="15"/>
    <x v="37"/>
    <s v="Annual"/>
    <n v="0"/>
    <n v="0"/>
    <n v="4400"/>
    <n v="4400"/>
  </r>
  <r>
    <x v="0"/>
    <n v="84"/>
    <x v="34"/>
    <x v="0"/>
    <x v="0"/>
    <n v="1110"/>
    <x v="40"/>
    <x v="27"/>
    <x v="60"/>
    <n v="3110"/>
    <x v="234"/>
    <n v="4110"/>
    <x v="220"/>
    <s v="GY 10"/>
    <n v="20"/>
    <n v="1441"/>
    <x v="542"/>
    <s v="Annual"/>
    <n v="1"/>
    <n v="1"/>
    <n v="121320"/>
    <n v="121320"/>
  </r>
  <r>
    <x v="0"/>
    <n v="84"/>
    <x v="34"/>
    <x v="0"/>
    <x v="0"/>
    <n v="1110"/>
    <x v="40"/>
    <x v="27"/>
    <x v="60"/>
    <n v="3110"/>
    <x v="234"/>
    <n v="4110"/>
    <x v="220"/>
    <s v="GY 10"/>
    <n v="20"/>
    <n v="1441"/>
    <x v="542"/>
    <s v="Annual"/>
    <n v="2"/>
    <n v="1"/>
    <n v="106272"/>
    <n v="212544"/>
  </r>
  <r>
    <x v="0"/>
    <n v="84"/>
    <x v="34"/>
    <x v="0"/>
    <x v="0"/>
    <n v="1110"/>
    <x v="40"/>
    <x v="27"/>
    <x v="60"/>
    <n v="3110"/>
    <x v="234"/>
    <n v="4110"/>
    <x v="220"/>
    <s v="G 06"/>
    <n v="4"/>
    <n v="1404"/>
    <x v="901"/>
    <s v="Annual"/>
    <n v="1"/>
    <n v="1"/>
    <n v="118836"/>
    <n v="118836"/>
  </r>
  <r>
    <x v="0"/>
    <n v="84"/>
    <x v="34"/>
    <x v="0"/>
    <x v="0"/>
    <n v="1110"/>
    <x v="40"/>
    <x v="27"/>
    <x v="60"/>
    <n v="3110"/>
    <x v="234"/>
    <n v="4110"/>
    <x v="220"/>
    <s v="BX 18"/>
    <n v="10"/>
    <n v="311"/>
    <x v="253"/>
    <s v="Annual"/>
    <n v="1"/>
    <n v="1"/>
    <n v="150072"/>
    <n v="150072"/>
  </r>
  <r>
    <x v="0"/>
    <n v="84"/>
    <x v="34"/>
    <x v="0"/>
    <x v="0"/>
    <n v="1110"/>
    <x v="40"/>
    <x v="27"/>
    <x v="60"/>
    <n v="3110"/>
    <x v="234"/>
    <n v="4110"/>
    <x v="220"/>
    <s v="1 00"/>
    <n v="0"/>
    <n v="15"/>
    <x v="37"/>
    <s v="Annual"/>
    <n v="0"/>
    <n v="0"/>
    <n v="7446"/>
    <n v="7446"/>
  </r>
  <r>
    <x v="0"/>
    <n v="84"/>
    <x v="34"/>
    <x v="0"/>
    <x v="0"/>
    <n v="1110"/>
    <x v="40"/>
    <x v="27"/>
    <x v="60"/>
    <n v="3110"/>
    <x v="234"/>
    <n v="4111"/>
    <x v="221"/>
    <s v="X 42"/>
    <n v="0"/>
    <n v="9681"/>
    <x v="81"/>
    <s v="Annual"/>
    <n v="1"/>
    <n v="1"/>
    <n v="172920"/>
    <n v="172920"/>
  </r>
  <r>
    <x v="0"/>
    <n v="84"/>
    <x v="34"/>
    <x v="0"/>
    <x v="0"/>
    <n v="1110"/>
    <x v="40"/>
    <x v="27"/>
    <x v="60"/>
    <n v="3110"/>
    <x v="234"/>
    <n v="4111"/>
    <x v="221"/>
    <s v="1 00"/>
    <n v="0"/>
    <n v="15"/>
    <x v="37"/>
    <s v="Annual"/>
    <n v="0"/>
    <n v="0"/>
    <n v="4860"/>
    <n v="4860"/>
  </r>
  <r>
    <x v="0"/>
    <n v="84"/>
    <x v="34"/>
    <x v="0"/>
    <x v="0"/>
    <n v="1110"/>
    <x v="40"/>
    <x v="27"/>
    <x v="60"/>
    <n v="3110"/>
    <x v="234"/>
    <n v="4112"/>
    <x v="222"/>
    <s v="PX 03"/>
    <n v="9"/>
    <n v="1434"/>
    <x v="902"/>
    <s v="Annual"/>
    <n v="1"/>
    <n v="1"/>
    <n v="122940"/>
    <n v="122940"/>
  </r>
  <r>
    <x v="0"/>
    <n v="84"/>
    <x v="34"/>
    <x v="0"/>
    <x v="0"/>
    <n v="1110"/>
    <x v="40"/>
    <x v="27"/>
    <x v="60"/>
    <n v="3110"/>
    <x v="234"/>
    <n v="4113"/>
    <x v="223"/>
    <s v="BX 18"/>
    <n v="10"/>
    <n v="3092"/>
    <x v="308"/>
    <s v="Annual"/>
    <n v="1"/>
    <n v="1"/>
    <n v="130524"/>
    <n v="130524"/>
  </r>
  <r>
    <x v="0"/>
    <n v="84"/>
    <x v="34"/>
    <x v="0"/>
    <x v="0"/>
    <n v="1110"/>
    <x v="40"/>
    <x v="27"/>
    <x v="60"/>
    <n v="3110"/>
    <x v="234"/>
    <n v="4113"/>
    <x v="223"/>
    <s v="B 14"/>
    <n v="4"/>
    <n v="1912"/>
    <x v="222"/>
    <s v="Annual"/>
    <n v="1"/>
    <n v="1"/>
    <n v="75336"/>
    <n v="75336"/>
  </r>
  <r>
    <x v="0"/>
    <n v="84"/>
    <x v="34"/>
    <x v="0"/>
    <x v="0"/>
    <n v="1110"/>
    <x v="40"/>
    <x v="27"/>
    <x v="60"/>
    <n v="3110"/>
    <x v="234"/>
    <n v="4113"/>
    <x v="223"/>
    <s v="1 00"/>
    <n v="0"/>
    <n v="15"/>
    <x v="37"/>
    <s v="Annual"/>
    <n v="0"/>
    <n v="0"/>
    <n v="257"/>
    <n v="257"/>
  </r>
  <r>
    <x v="0"/>
    <n v="84"/>
    <x v="34"/>
    <x v="0"/>
    <x v="0"/>
    <n v="1115"/>
    <x v="41"/>
    <x v="28"/>
    <x v="61"/>
    <n v="3209"/>
    <x v="235"/>
    <n v="4209"/>
    <x v="224"/>
    <s v="G 07"/>
    <n v="4"/>
    <n v="5613"/>
    <x v="898"/>
    <s v="Annual"/>
    <n v="1"/>
    <n v="1"/>
    <n v="97488"/>
    <n v="97488"/>
  </r>
  <r>
    <x v="0"/>
    <n v="84"/>
    <x v="34"/>
    <x v="0"/>
    <x v="0"/>
    <n v="1115"/>
    <x v="41"/>
    <x v="28"/>
    <x v="61"/>
    <n v="3209"/>
    <x v="235"/>
    <n v="4209"/>
    <x v="224"/>
    <s v="B 14"/>
    <n v="4"/>
    <n v="1912"/>
    <x v="222"/>
    <s v="Annual"/>
    <n v="1"/>
    <n v="1"/>
    <n v="124848"/>
    <n v="124848"/>
  </r>
  <r>
    <x v="0"/>
    <n v="84"/>
    <x v="34"/>
    <x v="0"/>
    <x v="0"/>
    <n v="1115"/>
    <x v="41"/>
    <x v="28"/>
    <x v="61"/>
    <n v="3209"/>
    <x v="235"/>
    <n v="4209"/>
    <x v="224"/>
    <s v="B 11"/>
    <n v="1"/>
    <n v="109"/>
    <x v="94"/>
    <s v="Annual"/>
    <n v="1"/>
    <n v="1"/>
    <n v="98928"/>
    <n v="98928"/>
  </r>
  <r>
    <x v="0"/>
    <n v="84"/>
    <x v="34"/>
    <x v="0"/>
    <x v="0"/>
    <n v="1115"/>
    <x v="41"/>
    <x v="28"/>
    <x v="61"/>
    <n v="3209"/>
    <x v="235"/>
    <n v="4209"/>
    <x v="224"/>
    <s v="B 11"/>
    <n v="1"/>
    <n v="109"/>
    <x v="94"/>
    <s v="Annual"/>
    <n v="1"/>
    <n v="1"/>
    <n v="64488"/>
    <n v="64488"/>
  </r>
  <r>
    <x v="0"/>
    <n v="84"/>
    <x v="34"/>
    <x v="0"/>
    <x v="0"/>
    <n v="1115"/>
    <x v="41"/>
    <x v="28"/>
    <x v="61"/>
    <n v="3209"/>
    <x v="235"/>
    <n v="4209"/>
    <x v="224"/>
    <s v="1 00"/>
    <n v="0"/>
    <n v="15"/>
    <x v="37"/>
    <s v="Annual"/>
    <n v="0"/>
    <n v="0"/>
    <n v="4144"/>
    <n v="4144"/>
  </r>
  <r>
    <x v="0"/>
    <n v="84"/>
    <x v="34"/>
    <x v="0"/>
    <x v="0"/>
    <n v="1115"/>
    <x v="41"/>
    <x v="28"/>
    <x v="61"/>
    <n v="3209"/>
    <x v="235"/>
    <n v="4210"/>
    <x v="225"/>
    <s v="G 09"/>
    <n v="4"/>
    <n v="5615"/>
    <x v="903"/>
    <s v="Annual"/>
    <n v="1"/>
    <n v="1"/>
    <n v="146448"/>
    <n v="146448"/>
  </r>
  <r>
    <x v="0"/>
    <n v="84"/>
    <x v="34"/>
    <x v="0"/>
    <x v="0"/>
    <n v="1115"/>
    <x v="41"/>
    <x v="28"/>
    <x v="61"/>
    <n v="3209"/>
    <x v="235"/>
    <n v="4210"/>
    <x v="225"/>
    <s v="G 08"/>
    <n v="4"/>
    <n v="5614"/>
    <x v="904"/>
    <s v="Annual"/>
    <n v="2"/>
    <n v="1"/>
    <n v="141564"/>
    <n v="283128"/>
  </r>
  <r>
    <x v="0"/>
    <n v="84"/>
    <x v="34"/>
    <x v="0"/>
    <x v="0"/>
    <n v="1115"/>
    <x v="41"/>
    <x v="28"/>
    <x v="61"/>
    <n v="3209"/>
    <x v="235"/>
    <n v="4210"/>
    <x v="225"/>
    <s v="G 08"/>
    <n v="4"/>
    <n v="5614"/>
    <x v="904"/>
    <s v="Annual"/>
    <n v="1"/>
    <n v="1"/>
    <n v="134184"/>
    <n v="134184"/>
  </r>
  <r>
    <x v="0"/>
    <n v="84"/>
    <x v="34"/>
    <x v="0"/>
    <x v="0"/>
    <n v="1115"/>
    <x v="41"/>
    <x v="28"/>
    <x v="61"/>
    <n v="3209"/>
    <x v="235"/>
    <n v="4210"/>
    <x v="225"/>
    <s v="G 07"/>
    <n v="4"/>
    <n v="5613"/>
    <x v="898"/>
    <s v="Annual"/>
    <n v="1"/>
    <n v="1"/>
    <n v="97488"/>
    <n v="97488"/>
  </r>
  <r>
    <x v="0"/>
    <n v="84"/>
    <x v="34"/>
    <x v="0"/>
    <x v="0"/>
    <n v="1115"/>
    <x v="41"/>
    <x v="28"/>
    <x v="61"/>
    <n v="3209"/>
    <x v="235"/>
    <n v="4210"/>
    <x v="225"/>
    <s v="1 00"/>
    <n v="0"/>
    <n v="15"/>
    <x v="37"/>
    <s v="Annual"/>
    <n v="0"/>
    <n v="0"/>
    <n v="13636"/>
    <n v="13636"/>
  </r>
  <r>
    <x v="0"/>
    <n v="84"/>
    <x v="34"/>
    <x v="0"/>
    <x v="0"/>
    <n v="1115"/>
    <x v="41"/>
    <x v="28"/>
    <x v="61"/>
    <n v="3215"/>
    <x v="231"/>
    <n v="0"/>
    <x v="0"/>
    <s v="X 42"/>
    <n v="0"/>
    <n v="9681"/>
    <x v="81"/>
    <s v="Annual"/>
    <n v="1"/>
    <n v="1"/>
    <n v="184584"/>
    <n v="184584"/>
  </r>
  <r>
    <x v="0"/>
    <n v="84"/>
    <x v="34"/>
    <x v="0"/>
    <x v="0"/>
    <n v="1115"/>
    <x v="41"/>
    <x v="28"/>
    <x v="61"/>
    <n v="3215"/>
    <x v="231"/>
    <n v="0"/>
    <x v="0"/>
    <s v="1 00"/>
    <n v="0"/>
    <n v="15"/>
    <x v="37"/>
    <s v="Annual"/>
    <n v="0"/>
    <n v="0"/>
    <n v="4823"/>
    <n v="4823"/>
  </r>
  <r>
    <x v="0"/>
    <n v="84"/>
    <x v="34"/>
    <x v="0"/>
    <x v="0"/>
    <n v="1115"/>
    <x v="41"/>
    <x v="28"/>
    <x v="61"/>
    <n v="3216"/>
    <x v="109"/>
    <n v="4212"/>
    <x v="226"/>
    <s v="B 09"/>
    <n v="1"/>
    <n v="460"/>
    <x v="344"/>
    <s v="Annual"/>
    <n v="1"/>
    <n v="1"/>
    <n v="82140"/>
    <n v="82140"/>
  </r>
  <r>
    <x v="0"/>
    <n v="84"/>
    <x v="34"/>
    <x v="0"/>
    <x v="0"/>
    <n v="1115"/>
    <x v="41"/>
    <x v="28"/>
    <x v="61"/>
    <n v="3216"/>
    <x v="109"/>
    <n v="4212"/>
    <x v="226"/>
    <s v="B 12"/>
    <n v="1"/>
    <s v="03A8"/>
    <x v="88"/>
    <s v="Annual"/>
    <n v="1"/>
    <n v="1"/>
    <n v="64488"/>
    <n v="64488"/>
  </r>
  <r>
    <x v="0"/>
    <n v="84"/>
    <x v="34"/>
    <x v="0"/>
    <x v="0"/>
    <n v="1115"/>
    <x v="41"/>
    <x v="28"/>
    <x v="61"/>
    <n v="3216"/>
    <x v="109"/>
    <n v="4212"/>
    <x v="226"/>
    <s v="BX 17"/>
    <n v="20"/>
    <n v="381"/>
    <x v="296"/>
    <s v="Annual"/>
    <n v="1"/>
    <n v="1"/>
    <n v="136692"/>
    <n v="136692"/>
  </r>
  <r>
    <x v="0"/>
    <n v="84"/>
    <x v="34"/>
    <x v="0"/>
    <x v="0"/>
    <n v="1115"/>
    <x v="41"/>
    <x v="28"/>
    <x v="61"/>
    <n v="3216"/>
    <x v="109"/>
    <n v="4212"/>
    <x v="226"/>
    <s v="B 11"/>
    <n v="1"/>
    <n v="109"/>
    <x v="94"/>
    <s v="Annual"/>
    <n v="1"/>
    <n v="1"/>
    <n v="74916"/>
    <n v="74916"/>
  </r>
  <r>
    <x v="0"/>
    <n v="84"/>
    <x v="34"/>
    <x v="0"/>
    <x v="0"/>
    <n v="1115"/>
    <x v="41"/>
    <x v="28"/>
    <x v="61"/>
    <n v="3216"/>
    <x v="109"/>
    <n v="4212"/>
    <x v="226"/>
    <s v="B 11"/>
    <n v="1"/>
    <n v="109"/>
    <x v="94"/>
    <s v="Annual"/>
    <n v="1"/>
    <n v="1"/>
    <n v="57000"/>
    <n v="57000"/>
  </r>
  <r>
    <x v="0"/>
    <n v="84"/>
    <x v="34"/>
    <x v="0"/>
    <x v="0"/>
    <n v="1115"/>
    <x v="41"/>
    <x v="28"/>
    <x v="61"/>
    <n v="3216"/>
    <x v="109"/>
    <n v="4212"/>
    <x v="226"/>
    <s v="1 00"/>
    <n v="0"/>
    <n v="15"/>
    <x v="37"/>
    <s v="Annual"/>
    <n v="0"/>
    <n v="0"/>
    <n v="3623"/>
    <n v="3623"/>
  </r>
  <r>
    <x v="0"/>
    <n v="84"/>
    <x v="34"/>
    <x v="0"/>
    <x v="0"/>
    <n v="1115"/>
    <x v="41"/>
    <x v="28"/>
    <x v="61"/>
    <n v="3216"/>
    <x v="109"/>
    <n v="4213"/>
    <x v="227"/>
    <s v="B 15"/>
    <n v="3"/>
    <n v="1814"/>
    <x v="905"/>
    <s v="Annual"/>
    <n v="1"/>
    <n v="1"/>
    <n v="124848"/>
    <n v="124848"/>
  </r>
  <r>
    <x v="0"/>
    <n v="84"/>
    <x v="34"/>
    <x v="0"/>
    <x v="0"/>
    <n v="1115"/>
    <x v="41"/>
    <x v="28"/>
    <x v="61"/>
    <n v="3216"/>
    <x v="109"/>
    <n v="4213"/>
    <x v="227"/>
    <s v="B 14"/>
    <n v="1"/>
    <n v="1576"/>
    <x v="246"/>
    <s v="Annual"/>
    <n v="1"/>
    <n v="1"/>
    <n v="98928"/>
    <n v="98928"/>
  </r>
  <r>
    <x v="0"/>
    <n v="84"/>
    <x v="34"/>
    <x v="0"/>
    <x v="0"/>
    <n v="1115"/>
    <x v="41"/>
    <x v="28"/>
    <x v="61"/>
    <n v="3216"/>
    <x v="109"/>
    <n v="4213"/>
    <x v="227"/>
    <s v="B 11"/>
    <n v="1"/>
    <n v="109"/>
    <x v="94"/>
    <s v="Annual"/>
    <n v="1"/>
    <n v="1"/>
    <n v="57000"/>
    <n v="57000"/>
  </r>
  <r>
    <x v="0"/>
    <n v="84"/>
    <x v="34"/>
    <x v="0"/>
    <x v="0"/>
    <n v="1115"/>
    <x v="41"/>
    <x v="28"/>
    <x v="61"/>
    <n v="3216"/>
    <x v="109"/>
    <n v="4214"/>
    <x v="228"/>
    <s v="B 13"/>
    <n v="1"/>
    <n v="308"/>
    <x v="90"/>
    <s v="Annual"/>
    <n v="1"/>
    <n v="1"/>
    <n v="74172"/>
    <n v="74172"/>
  </r>
  <r>
    <x v="0"/>
    <n v="84"/>
    <x v="34"/>
    <x v="0"/>
    <x v="0"/>
    <n v="1115"/>
    <x v="41"/>
    <x v="28"/>
    <x v="61"/>
    <n v="3216"/>
    <x v="109"/>
    <n v="4214"/>
    <x v="228"/>
    <s v="BX 21"/>
    <n v="10"/>
    <n v="128"/>
    <x v="906"/>
    <s v="Annual"/>
    <n v="1"/>
    <n v="1"/>
    <n v="123348"/>
    <n v="123348"/>
  </r>
  <r>
    <x v="0"/>
    <n v="84"/>
    <x v="34"/>
    <x v="0"/>
    <x v="0"/>
    <n v="1115"/>
    <x v="41"/>
    <x v="28"/>
    <x v="61"/>
    <n v="3216"/>
    <x v="109"/>
    <n v="4214"/>
    <x v="228"/>
    <s v="GY 12"/>
    <n v="20"/>
    <n v="117"/>
    <x v="606"/>
    <s v="Annual"/>
    <n v="1"/>
    <n v="1"/>
    <n v="140496"/>
    <n v="140496"/>
  </r>
  <r>
    <x v="0"/>
    <n v="84"/>
    <x v="34"/>
    <x v="0"/>
    <x v="0"/>
    <n v="1115"/>
    <x v="41"/>
    <x v="28"/>
    <x v="61"/>
    <n v="3216"/>
    <x v="109"/>
    <n v="4214"/>
    <x v="228"/>
    <s v="G 07"/>
    <n v="4"/>
    <n v="111"/>
    <x v="245"/>
    <s v="Annual"/>
    <n v="1"/>
    <n v="1"/>
    <n v="129636"/>
    <n v="129636"/>
  </r>
  <r>
    <x v="0"/>
    <n v="84"/>
    <x v="34"/>
    <x v="0"/>
    <x v="0"/>
    <n v="1115"/>
    <x v="41"/>
    <x v="28"/>
    <x v="61"/>
    <n v="3216"/>
    <x v="109"/>
    <n v="4214"/>
    <x v="228"/>
    <s v="G 07"/>
    <n v="4"/>
    <n v="111"/>
    <x v="245"/>
    <s v="Annual"/>
    <n v="1"/>
    <n v="1"/>
    <n v="97488"/>
    <n v="97488"/>
  </r>
  <r>
    <x v="0"/>
    <n v="84"/>
    <x v="34"/>
    <x v="0"/>
    <x v="0"/>
    <n v="1115"/>
    <x v="41"/>
    <x v="28"/>
    <x v="61"/>
    <n v="3216"/>
    <x v="109"/>
    <n v="4214"/>
    <x v="228"/>
    <s v="B 13"/>
    <n v="4"/>
    <n v="110"/>
    <x v="93"/>
    <s v="Annual"/>
    <n v="2"/>
    <n v="1"/>
    <n v="68616"/>
    <n v="137232"/>
  </r>
  <r>
    <x v="0"/>
    <n v="84"/>
    <x v="34"/>
    <x v="0"/>
    <x v="0"/>
    <n v="1115"/>
    <x v="41"/>
    <x v="28"/>
    <x v="61"/>
    <n v="3216"/>
    <x v="109"/>
    <n v="4214"/>
    <x v="228"/>
    <s v="B 11"/>
    <n v="1"/>
    <n v="109"/>
    <x v="94"/>
    <s v="Annual"/>
    <n v="1"/>
    <n v="1"/>
    <n v="57000"/>
    <n v="57000"/>
  </r>
  <r>
    <x v="0"/>
    <n v="84"/>
    <x v="34"/>
    <x v="0"/>
    <x v="0"/>
    <n v="1115"/>
    <x v="41"/>
    <x v="28"/>
    <x v="61"/>
    <n v="3216"/>
    <x v="109"/>
    <n v="4214"/>
    <x v="228"/>
    <s v="1 00"/>
    <n v="0"/>
    <n v="15"/>
    <x v="37"/>
    <s v="Annual"/>
    <n v="0"/>
    <n v="0"/>
    <n v="6506"/>
    <n v="6506"/>
  </r>
  <r>
    <x v="0"/>
    <n v="84"/>
    <x v="34"/>
    <x v="0"/>
    <x v="0"/>
    <n v="1115"/>
    <x v="41"/>
    <x v="28"/>
    <x v="61"/>
    <n v="3216"/>
    <x v="109"/>
    <n v="4215"/>
    <x v="229"/>
    <s v="B 12"/>
    <n v="1"/>
    <s v="03A8"/>
    <x v="88"/>
    <s v="Annual"/>
    <n v="1"/>
    <n v="1"/>
    <n v="67608"/>
    <n v="67608"/>
  </r>
  <r>
    <x v="0"/>
    <n v="84"/>
    <x v="34"/>
    <x v="0"/>
    <x v="0"/>
    <n v="1115"/>
    <x v="41"/>
    <x v="28"/>
    <x v="61"/>
    <n v="3216"/>
    <x v="109"/>
    <n v="4215"/>
    <x v="229"/>
    <s v="BX 17"/>
    <n v="20"/>
    <n v="381"/>
    <x v="296"/>
    <s v="Annual"/>
    <n v="1"/>
    <n v="1"/>
    <n v="124584"/>
    <n v="124584"/>
  </r>
  <r>
    <x v="0"/>
    <n v="84"/>
    <x v="34"/>
    <x v="0"/>
    <x v="0"/>
    <n v="1115"/>
    <x v="41"/>
    <x v="28"/>
    <x v="61"/>
    <n v="3216"/>
    <x v="109"/>
    <n v="4215"/>
    <x v="229"/>
    <s v="B 11"/>
    <n v="1"/>
    <n v="109"/>
    <x v="94"/>
    <s v="Annual"/>
    <n v="1"/>
    <n v="1"/>
    <n v="78432"/>
    <n v="78432"/>
  </r>
  <r>
    <x v="0"/>
    <n v="84"/>
    <x v="34"/>
    <x v="0"/>
    <x v="0"/>
    <n v="1115"/>
    <x v="41"/>
    <x v="28"/>
    <x v="61"/>
    <n v="3216"/>
    <x v="109"/>
    <n v="4215"/>
    <x v="229"/>
    <s v="B 11"/>
    <n v="1"/>
    <n v="109"/>
    <x v="94"/>
    <s v="Annual"/>
    <n v="1"/>
    <n v="1"/>
    <n v="70752"/>
    <n v="70752"/>
  </r>
  <r>
    <x v="0"/>
    <n v="84"/>
    <x v="34"/>
    <x v="0"/>
    <x v="0"/>
    <n v="1115"/>
    <x v="41"/>
    <x v="28"/>
    <x v="61"/>
    <n v="3216"/>
    <x v="109"/>
    <n v="4215"/>
    <x v="229"/>
    <s v="B 11"/>
    <n v="1"/>
    <n v="109"/>
    <x v="94"/>
    <s v="Annual"/>
    <n v="1"/>
    <n v="1"/>
    <n v="61548"/>
    <n v="61548"/>
  </r>
  <r>
    <x v="0"/>
    <n v="84"/>
    <x v="34"/>
    <x v="0"/>
    <x v="0"/>
    <n v="1115"/>
    <x v="41"/>
    <x v="28"/>
    <x v="61"/>
    <n v="3216"/>
    <x v="109"/>
    <n v="4215"/>
    <x v="229"/>
    <s v="B 11"/>
    <n v="1"/>
    <n v="109"/>
    <x v="94"/>
    <s v="Annual"/>
    <n v="1"/>
    <n v="1"/>
    <n v="58764"/>
    <n v="58764"/>
  </r>
  <r>
    <x v="0"/>
    <n v="84"/>
    <x v="34"/>
    <x v="0"/>
    <x v="0"/>
    <n v="1115"/>
    <x v="41"/>
    <x v="28"/>
    <x v="61"/>
    <n v="3216"/>
    <x v="109"/>
    <n v="4215"/>
    <x v="229"/>
    <s v="B 11"/>
    <n v="1"/>
    <n v="109"/>
    <x v="94"/>
    <s v="Annual"/>
    <n v="1"/>
    <n v="1"/>
    <n v="57000"/>
    <n v="57000"/>
  </r>
  <r>
    <x v="0"/>
    <n v="84"/>
    <x v="34"/>
    <x v="0"/>
    <x v="0"/>
    <n v="1115"/>
    <x v="41"/>
    <x v="28"/>
    <x v="61"/>
    <n v="3216"/>
    <x v="109"/>
    <n v="4215"/>
    <x v="229"/>
    <s v="1 00"/>
    <n v="0"/>
    <n v="15"/>
    <x v="37"/>
    <s v="Annual"/>
    <n v="0"/>
    <n v="0"/>
    <n v="6293"/>
    <n v="6293"/>
  </r>
  <r>
    <x v="0"/>
    <n v="84"/>
    <x v="34"/>
    <x v="0"/>
    <x v="0"/>
    <n v="1115"/>
    <x v="41"/>
    <x v="28"/>
    <x v="61"/>
    <n v="3216"/>
    <x v="109"/>
    <n v="4216"/>
    <x v="230"/>
    <s v="BX 17"/>
    <n v="20"/>
    <n v="381"/>
    <x v="296"/>
    <s v="Annual"/>
    <n v="1"/>
    <n v="1"/>
    <n v="136692"/>
    <n v="136692"/>
  </r>
  <r>
    <x v="0"/>
    <n v="84"/>
    <x v="34"/>
    <x v="0"/>
    <x v="0"/>
    <n v="1115"/>
    <x v="41"/>
    <x v="28"/>
    <x v="61"/>
    <n v="3216"/>
    <x v="109"/>
    <n v="4216"/>
    <x v="230"/>
    <s v="X 43"/>
    <n v="0"/>
    <n v="112"/>
    <x v="92"/>
    <s v="Annual"/>
    <n v="2"/>
    <n v="1"/>
    <n v="167700"/>
    <n v="335400"/>
  </r>
  <r>
    <x v="0"/>
    <n v="84"/>
    <x v="34"/>
    <x v="0"/>
    <x v="0"/>
    <n v="1115"/>
    <x v="41"/>
    <x v="28"/>
    <x v="61"/>
    <n v="3216"/>
    <x v="109"/>
    <n v="4216"/>
    <x v="230"/>
    <s v="1 00"/>
    <n v="0"/>
    <n v="15"/>
    <x v="37"/>
    <s v="Annual"/>
    <n v="0"/>
    <n v="0"/>
    <n v="6370"/>
    <n v="6370"/>
  </r>
  <r>
    <x v="0"/>
    <n v="84"/>
    <x v="34"/>
    <x v="0"/>
    <x v="0"/>
    <n v="1115"/>
    <x v="41"/>
    <x v="28"/>
    <x v="61"/>
    <n v="3217"/>
    <x v="236"/>
    <n v="0"/>
    <x v="0"/>
    <s v="B 13"/>
    <n v="1"/>
    <n v="1482"/>
    <x v="96"/>
    <s v="Annual"/>
    <n v="1"/>
    <n v="1"/>
    <n v="74172"/>
    <n v="74172"/>
  </r>
  <r>
    <x v="0"/>
    <n v="84"/>
    <x v="34"/>
    <x v="0"/>
    <x v="0"/>
    <n v="1115"/>
    <x v="41"/>
    <x v="28"/>
    <x v="61"/>
    <n v="3217"/>
    <x v="236"/>
    <n v="0"/>
    <x v="0"/>
    <s v="X 43"/>
    <n v="0"/>
    <n v="1195"/>
    <x v="405"/>
    <s v="Annual"/>
    <n v="1"/>
    <n v="1"/>
    <n v="160680"/>
    <n v="160680"/>
  </r>
  <r>
    <x v="0"/>
    <n v="84"/>
    <x v="34"/>
    <x v="0"/>
    <x v="0"/>
    <n v="1115"/>
    <x v="41"/>
    <x v="28"/>
    <x v="61"/>
    <n v="3217"/>
    <x v="236"/>
    <n v="0"/>
    <x v="0"/>
    <s v="B 16"/>
    <n v="4"/>
    <n v="345"/>
    <x v="108"/>
    <s v="Annual"/>
    <n v="1"/>
    <n v="1"/>
    <n v="130668"/>
    <n v="130668"/>
  </r>
  <r>
    <x v="0"/>
    <n v="84"/>
    <x v="34"/>
    <x v="0"/>
    <x v="0"/>
    <n v="1115"/>
    <x v="41"/>
    <x v="28"/>
    <x v="61"/>
    <n v="3217"/>
    <x v="236"/>
    <n v="0"/>
    <x v="0"/>
    <s v="B 16"/>
    <n v="4"/>
    <n v="345"/>
    <x v="108"/>
    <s v="Annual"/>
    <n v="1"/>
    <n v="1"/>
    <n v="90732"/>
    <n v="90732"/>
  </r>
  <r>
    <x v="0"/>
    <n v="84"/>
    <x v="34"/>
    <x v="0"/>
    <x v="0"/>
    <n v="1115"/>
    <x v="41"/>
    <x v="28"/>
    <x v="61"/>
    <n v="3217"/>
    <x v="236"/>
    <n v="0"/>
    <x v="0"/>
    <s v="1 00"/>
    <n v="0"/>
    <n v="15"/>
    <x v="37"/>
    <s v="Annual"/>
    <n v="0"/>
    <n v="0"/>
    <n v="3970"/>
    <n v="3970"/>
  </r>
  <r>
    <x v="0"/>
    <n v="84"/>
    <x v="34"/>
    <x v="0"/>
    <x v="0"/>
    <n v="1115"/>
    <x v="41"/>
    <x v="28"/>
    <x v="61"/>
    <n v="3218"/>
    <x v="84"/>
    <n v="4218"/>
    <x v="63"/>
    <s v="X 43"/>
    <n v="0"/>
    <n v="1336"/>
    <x v="388"/>
    <s v="Annual"/>
    <n v="1"/>
    <n v="1"/>
    <n v="160680"/>
    <n v="160680"/>
  </r>
  <r>
    <x v="0"/>
    <n v="84"/>
    <x v="34"/>
    <x v="0"/>
    <x v="0"/>
    <n v="1115"/>
    <x v="41"/>
    <x v="28"/>
    <x v="61"/>
    <n v="3218"/>
    <x v="84"/>
    <n v="4218"/>
    <x v="63"/>
    <s v="BX 17"/>
    <n v="20"/>
    <n v="1331"/>
    <x v="248"/>
    <s v="Annual"/>
    <n v="1"/>
    <n v="1"/>
    <n v="97836"/>
    <n v="97836"/>
  </r>
  <r>
    <x v="0"/>
    <n v="84"/>
    <x v="34"/>
    <x v="0"/>
    <x v="0"/>
    <n v="1115"/>
    <x v="41"/>
    <x v="28"/>
    <x v="61"/>
    <n v="3218"/>
    <x v="84"/>
    <n v="4218"/>
    <x v="63"/>
    <s v="B 13"/>
    <n v="1"/>
    <n v="1301"/>
    <x v="227"/>
    <s v="Annual"/>
    <n v="1"/>
    <n v="1"/>
    <n v="119100"/>
    <n v="119100"/>
  </r>
  <r>
    <x v="0"/>
    <n v="84"/>
    <x v="34"/>
    <x v="0"/>
    <x v="0"/>
    <n v="1115"/>
    <x v="41"/>
    <x v="28"/>
    <x v="61"/>
    <n v="3218"/>
    <x v="84"/>
    <n v="4218"/>
    <x v="63"/>
    <s v="B 13"/>
    <n v="1"/>
    <n v="1301"/>
    <x v="227"/>
    <s v="Annual"/>
    <n v="1"/>
    <n v="1"/>
    <n v="77640"/>
    <n v="77640"/>
  </r>
  <r>
    <x v="0"/>
    <n v="84"/>
    <x v="34"/>
    <x v="0"/>
    <x v="0"/>
    <n v="1115"/>
    <x v="41"/>
    <x v="28"/>
    <x v="61"/>
    <n v="3218"/>
    <x v="84"/>
    <n v="4218"/>
    <x v="63"/>
    <s v="B 13"/>
    <n v="1"/>
    <n v="308"/>
    <x v="90"/>
    <s v="Annual"/>
    <n v="1"/>
    <n v="1"/>
    <n v="85200"/>
    <n v="85200"/>
  </r>
  <r>
    <x v="0"/>
    <n v="84"/>
    <x v="34"/>
    <x v="0"/>
    <x v="0"/>
    <n v="1115"/>
    <x v="41"/>
    <x v="28"/>
    <x v="61"/>
    <n v="3218"/>
    <x v="84"/>
    <n v="4218"/>
    <x v="63"/>
    <s v="B 13"/>
    <n v="1"/>
    <n v="308"/>
    <x v="90"/>
    <s v="Annual"/>
    <n v="1"/>
    <n v="1"/>
    <n v="70752"/>
    <n v="70752"/>
  </r>
  <r>
    <x v="0"/>
    <n v="84"/>
    <x v="34"/>
    <x v="0"/>
    <x v="0"/>
    <n v="1115"/>
    <x v="41"/>
    <x v="28"/>
    <x v="61"/>
    <n v="3218"/>
    <x v="84"/>
    <n v="4218"/>
    <x v="63"/>
    <s v="1 00"/>
    <n v="0"/>
    <n v="15"/>
    <x v="37"/>
    <s v="Annual"/>
    <n v="0"/>
    <n v="0"/>
    <n v="8727"/>
    <n v="8727"/>
  </r>
  <r>
    <x v="0"/>
    <n v="84"/>
    <x v="34"/>
    <x v="0"/>
    <x v="0"/>
    <n v="1115"/>
    <x v="41"/>
    <x v="28"/>
    <x v="61"/>
    <n v="3218"/>
    <x v="84"/>
    <n v="4219"/>
    <x v="64"/>
    <s v="B 13"/>
    <n v="1"/>
    <n v="1301"/>
    <x v="227"/>
    <s v="Annual"/>
    <n v="1"/>
    <n v="1"/>
    <n v="70752"/>
    <n v="70752"/>
  </r>
  <r>
    <x v="0"/>
    <n v="84"/>
    <x v="34"/>
    <x v="0"/>
    <x v="0"/>
    <n v="1115"/>
    <x v="41"/>
    <x v="28"/>
    <x v="61"/>
    <n v="3218"/>
    <x v="84"/>
    <n v="4219"/>
    <x v="64"/>
    <s v="BX 15"/>
    <n v="10"/>
    <n v="396"/>
    <x v="907"/>
    <s v="Annual"/>
    <n v="1"/>
    <n v="1"/>
    <n v="113568"/>
    <n v="113568"/>
  </r>
  <r>
    <x v="0"/>
    <n v="84"/>
    <x v="34"/>
    <x v="0"/>
    <x v="0"/>
    <n v="1115"/>
    <x v="41"/>
    <x v="28"/>
    <x v="61"/>
    <n v="3218"/>
    <x v="84"/>
    <n v="4219"/>
    <x v="64"/>
    <s v="B 13"/>
    <n v="1"/>
    <n v="308"/>
    <x v="90"/>
    <s v="Annual"/>
    <n v="1"/>
    <n v="1"/>
    <n v="70752"/>
    <n v="70752"/>
  </r>
  <r>
    <x v="0"/>
    <n v="84"/>
    <x v="34"/>
    <x v="0"/>
    <x v="0"/>
    <n v="1115"/>
    <x v="41"/>
    <x v="28"/>
    <x v="61"/>
    <n v="3218"/>
    <x v="84"/>
    <n v="4219"/>
    <x v="64"/>
    <s v="V 12"/>
    <n v="54"/>
    <n v="165"/>
    <x v="908"/>
    <s v="Annual"/>
    <n v="1"/>
    <n v="1"/>
    <n v="108528"/>
    <n v="108528"/>
  </r>
  <r>
    <x v="0"/>
    <n v="84"/>
    <x v="34"/>
    <x v="0"/>
    <x v="0"/>
    <n v="1115"/>
    <x v="41"/>
    <x v="28"/>
    <x v="61"/>
    <n v="3218"/>
    <x v="84"/>
    <n v="4219"/>
    <x v="64"/>
    <s v="V 12"/>
    <n v="54"/>
    <n v="165"/>
    <x v="908"/>
    <s v="Annual"/>
    <n v="2"/>
    <n v="1"/>
    <n v="64440"/>
    <n v="128880"/>
  </r>
  <r>
    <x v="0"/>
    <n v="84"/>
    <x v="34"/>
    <x v="0"/>
    <x v="0"/>
    <n v="1115"/>
    <x v="41"/>
    <x v="28"/>
    <x v="61"/>
    <n v="3218"/>
    <x v="84"/>
    <n v="4219"/>
    <x v="64"/>
    <s v="1 00"/>
    <n v="0"/>
    <n v="15"/>
    <x v="37"/>
    <s v="Annual"/>
    <n v="0"/>
    <n v="0"/>
    <n v="4794"/>
    <n v="4794"/>
  </r>
  <r>
    <x v="0"/>
    <n v="84"/>
    <x v="34"/>
    <x v="0"/>
    <x v="0"/>
    <n v="1130"/>
    <x v="42"/>
    <x v="29"/>
    <x v="62"/>
    <n v="3130"/>
    <x v="237"/>
    <n v="0"/>
    <x v="0"/>
    <s v="X 42"/>
    <n v="0"/>
    <n v="9681"/>
    <x v="81"/>
    <s v="Annual"/>
    <n v="1"/>
    <n v="1"/>
    <n v="184584"/>
    <n v="184584"/>
  </r>
  <r>
    <x v="0"/>
    <n v="84"/>
    <x v="34"/>
    <x v="0"/>
    <x v="0"/>
    <n v="1130"/>
    <x v="42"/>
    <x v="29"/>
    <x v="62"/>
    <n v="3130"/>
    <x v="237"/>
    <n v="0"/>
    <x v="0"/>
    <s v="GY 12"/>
    <n v="20"/>
    <n v="6255"/>
    <x v="909"/>
    <s v="Annual"/>
    <n v="1"/>
    <n v="1"/>
    <n v="131124"/>
    <n v="131124"/>
  </r>
  <r>
    <x v="0"/>
    <n v="84"/>
    <x v="34"/>
    <x v="0"/>
    <x v="0"/>
    <n v="1130"/>
    <x v="42"/>
    <x v="29"/>
    <x v="62"/>
    <n v="3130"/>
    <x v="237"/>
    <n v="0"/>
    <x v="0"/>
    <s v="GY 12"/>
    <n v="20"/>
    <n v="6255"/>
    <x v="909"/>
    <s v="Annual"/>
    <n v="1"/>
    <n v="1"/>
    <n v="115992"/>
    <n v="115992"/>
  </r>
  <r>
    <x v="0"/>
    <n v="84"/>
    <x v="34"/>
    <x v="0"/>
    <x v="0"/>
    <n v="1130"/>
    <x v="42"/>
    <x v="29"/>
    <x v="62"/>
    <n v="3130"/>
    <x v="237"/>
    <n v="0"/>
    <x v="0"/>
    <s v="G 08"/>
    <n v="4"/>
    <n v="6254"/>
    <x v="910"/>
    <s v="Annual"/>
    <n v="1"/>
    <n v="1"/>
    <n v="107628"/>
    <n v="107628"/>
  </r>
  <r>
    <x v="0"/>
    <n v="84"/>
    <x v="34"/>
    <x v="0"/>
    <x v="0"/>
    <n v="1130"/>
    <x v="42"/>
    <x v="29"/>
    <x v="62"/>
    <n v="3130"/>
    <x v="237"/>
    <n v="0"/>
    <x v="0"/>
    <s v="B 11"/>
    <n v="1"/>
    <n v="6142"/>
    <x v="911"/>
    <s v="Annual"/>
    <n v="1"/>
    <n v="1"/>
    <n v="57000"/>
    <n v="57000"/>
  </r>
  <r>
    <x v="0"/>
    <n v="84"/>
    <x v="34"/>
    <x v="0"/>
    <x v="0"/>
    <n v="1130"/>
    <x v="42"/>
    <x v="29"/>
    <x v="62"/>
    <n v="3130"/>
    <x v="237"/>
    <n v="0"/>
    <x v="0"/>
    <s v="GY 13"/>
    <n v="20"/>
    <n v="5632"/>
    <x v="912"/>
    <s v="Annual"/>
    <n v="1"/>
    <n v="1"/>
    <n v="121320"/>
    <n v="121320"/>
  </r>
  <r>
    <x v="0"/>
    <n v="84"/>
    <x v="34"/>
    <x v="0"/>
    <x v="0"/>
    <n v="1130"/>
    <x v="42"/>
    <x v="29"/>
    <x v="62"/>
    <n v="3130"/>
    <x v="237"/>
    <n v="0"/>
    <x v="0"/>
    <s v="GY 12"/>
    <n v="20"/>
    <n v="5630"/>
    <x v="421"/>
    <s v="Annual"/>
    <n v="1"/>
    <n v="1"/>
    <n v="115992"/>
    <n v="115992"/>
  </r>
  <r>
    <x v="0"/>
    <n v="84"/>
    <x v="34"/>
    <x v="0"/>
    <x v="0"/>
    <n v="1130"/>
    <x v="42"/>
    <x v="29"/>
    <x v="62"/>
    <n v="3130"/>
    <x v="237"/>
    <n v="0"/>
    <x v="0"/>
    <s v="GY 11"/>
    <n v="20"/>
    <n v="1440"/>
    <x v="913"/>
    <s v="Annual"/>
    <n v="1"/>
    <n v="1"/>
    <n v="126756"/>
    <n v="126756"/>
  </r>
  <r>
    <x v="0"/>
    <n v="84"/>
    <x v="34"/>
    <x v="0"/>
    <x v="0"/>
    <n v="1130"/>
    <x v="42"/>
    <x v="29"/>
    <x v="62"/>
    <n v="3130"/>
    <x v="237"/>
    <n v="0"/>
    <x v="0"/>
    <s v="G 10"/>
    <n v="4"/>
    <n v="659"/>
    <x v="270"/>
    <s v="Annual"/>
    <n v="1"/>
    <n v="1"/>
    <n v="153228"/>
    <n v="153228"/>
  </r>
  <r>
    <x v="0"/>
    <n v="84"/>
    <x v="34"/>
    <x v="0"/>
    <x v="0"/>
    <n v="1130"/>
    <x v="42"/>
    <x v="29"/>
    <x v="62"/>
    <n v="3130"/>
    <x v="237"/>
    <n v="0"/>
    <x v="0"/>
    <s v="X 43"/>
    <n v="0"/>
    <s v="03A4"/>
    <x v="237"/>
    <s v="Annual"/>
    <n v="1"/>
    <n v="1"/>
    <n v="167700"/>
    <n v="167700"/>
  </r>
  <r>
    <x v="0"/>
    <n v="84"/>
    <x v="34"/>
    <x v="0"/>
    <x v="0"/>
    <n v="1130"/>
    <x v="42"/>
    <x v="29"/>
    <x v="62"/>
    <n v="3130"/>
    <x v="237"/>
    <n v="0"/>
    <x v="0"/>
    <s v="1 00"/>
    <n v="0"/>
    <n v="15"/>
    <x v="37"/>
    <s v="Annual"/>
    <n v="0"/>
    <n v="0"/>
    <n v="23267"/>
    <n v="23267"/>
  </r>
  <r>
    <x v="0"/>
    <n v="84"/>
    <x v="34"/>
    <x v="0"/>
    <x v="0"/>
    <n v="1140"/>
    <x v="43"/>
    <x v="10"/>
    <x v="63"/>
    <n v="3139"/>
    <x v="238"/>
    <n v="4139"/>
    <x v="231"/>
    <s v="X 42"/>
    <n v="0"/>
    <n v="9681"/>
    <x v="81"/>
    <s v="Annual"/>
    <n v="1"/>
    <n v="1"/>
    <n v="153000"/>
    <n v="153000"/>
  </r>
  <r>
    <x v="0"/>
    <n v="84"/>
    <x v="34"/>
    <x v="0"/>
    <x v="0"/>
    <n v="1140"/>
    <x v="43"/>
    <x v="10"/>
    <x v="63"/>
    <n v="3139"/>
    <x v="238"/>
    <n v="4139"/>
    <x v="231"/>
    <s v="B 10"/>
    <n v="1"/>
    <s v="03A7"/>
    <x v="4"/>
    <s v="Annual"/>
    <n v="1"/>
    <n v="1"/>
    <n v="90144"/>
    <n v="90144"/>
  </r>
  <r>
    <x v="0"/>
    <n v="84"/>
    <x v="34"/>
    <x v="0"/>
    <x v="0"/>
    <n v="1140"/>
    <x v="43"/>
    <x v="10"/>
    <x v="63"/>
    <n v="3139"/>
    <x v="238"/>
    <n v="4139"/>
    <x v="231"/>
    <s v="B 10"/>
    <n v="1"/>
    <s v="03A7"/>
    <x v="4"/>
    <s v="Annual"/>
    <n v="1"/>
    <n v="1"/>
    <n v="74916"/>
    <n v="74916"/>
  </r>
  <r>
    <x v="0"/>
    <n v="84"/>
    <x v="34"/>
    <x v="0"/>
    <x v="0"/>
    <n v="1140"/>
    <x v="43"/>
    <x v="10"/>
    <x v="63"/>
    <n v="3139"/>
    <x v="238"/>
    <n v="4139"/>
    <x v="231"/>
    <s v="B 14"/>
    <n v="1"/>
    <n v="380"/>
    <x v="914"/>
    <s v="Annual"/>
    <n v="1"/>
    <n v="1"/>
    <n v="113628"/>
    <n v="113628"/>
  </r>
  <r>
    <x v="0"/>
    <n v="84"/>
    <x v="34"/>
    <x v="0"/>
    <x v="0"/>
    <n v="1140"/>
    <x v="43"/>
    <x v="10"/>
    <x v="63"/>
    <n v="3139"/>
    <x v="238"/>
    <n v="4139"/>
    <x v="231"/>
    <s v="B 13"/>
    <n v="1"/>
    <n v="308"/>
    <x v="90"/>
    <s v="Annual"/>
    <n v="1"/>
    <n v="1"/>
    <n v="119100"/>
    <n v="119100"/>
  </r>
  <r>
    <x v="0"/>
    <n v="84"/>
    <x v="34"/>
    <x v="0"/>
    <x v="0"/>
    <n v="1140"/>
    <x v="43"/>
    <x v="10"/>
    <x v="63"/>
    <n v="3139"/>
    <x v="238"/>
    <n v="4139"/>
    <x v="231"/>
    <s v="1 00"/>
    <n v="0"/>
    <n v="15"/>
    <x v="37"/>
    <s v="Annual"/>
    <n v="0"/>
    <n v="0"/>
    <n v="6901"/>
    <n v="6901"/>
  </r>
  <r>
    <x v="0"/>
    <n v="84"/>
    <x v="34"/>
    <x v="0"/>
    <x v="0"/>
    <n v="1145"/>
    <x v="44"/>
    <x v="30"/>
    <x v="64"/>
    <n v="3245"/>
    <x v="231"/>
    <n v="0"/>
    <x v="0"/>
    <s v="X 42"/>
    <n v="0"/>
    <n v="9681"/>
    <x v="81"/>
    <s v="Annual"/>
    <n v="1"/>
    <n v="1"/>
    <n v="172920"/>
    <n v="172920"/>
  </r>
  <r>
    <x v="0"/>
    <n v="84"/>
    <x v="34"/>
    <x v="0"/>
    <x v="0"/>
    <n v="1145"/>
    <x v="44"/>
    <x v="30"/>
    <x v="64"/>
    <n v="3245"/>
    <x v="231"/>
    <n v="0"/>
    <x v="0"/>
    <s v="B 12"/>
    <n v="1"/>
    <n v="810"/>
    <x v="915"/>
    <s v="Annual"/>
    <n v="1"/>
    <n v="1"/>
    <n v="108576"/>
    <n v="108576"/>
  </r>
  <r>
    <x v="0"/>
    <n v="84"/>
    <x v="34"/>
    <x v="0"/>
    <x v="0"/>
    <n v="1145"/>
    <x v="44"/>
    <x v="30"/>
    <x v="64"/>
    <n v="3245"/>
    <x v="231"/>
    <n v="0"/>
    <x v="0"/>
    <s v="B 10"/>
    <n v="1"/>
    <s v="03A7"/>
    <x v="4"/>
    <s v="Annual"/>
    <n v="1"/>
    <n v="1"/>
    <n v="90144"/>
    <n v="90144"/>
  </r>
  <r>
    <x v="0"/>
    <n v="84"/>
    <x v="34"/>
    <x v="0"/>
    <x v="0"/>
    <n v="1145"/>
    <x v="44"/>
    <x v="30"/>
    <x v="64"/>
    <n v="3245"/>
    <x v="231"/>
    <n v="0"/>
    <x v="0"/>
    <s v="X 43"/>
    <n v="0"/>
    <s v="03A2"/>
    <x v="220"/>
    <s v="Annual"/>
    <n v="1"/>
    <n v="1"/>
    <n v="150768"/>
    <n v="150768"/>
  </r>
  <r>
    <x v="0"/>
    <n v="84"/>
    <x v="34"/>
    <x v="0"/>
    <x v="0"/>
    <n v="1145"/>
    <x v="44"/>
    <x v="30"/>
    <x v="64"/>
    <n v="3245"/>
    <x v="231"/>
    <n v="0"/>
    <x v="0"/>
    <s v="1 00"/>
    <n v="0"/>
    <n v="15"/>
    <x v="37"/>
    <s v="Annual"/>
    <n v="0"/>
    <n v="0"/>
    <n v="11274"/>
    <n v="11274"/>
  </r>
  <r>
    <x v="0"/>
    <n v="84"/>
    <x v="34"/>
    <x v="0"/>
    <x v="0"/>
    <n v="1145"/>
    <x v="44"/>
    <x v="30"/>
    <x v="64"/>
    <n v="3247"/>
    <x v="239"/>
    <n v="0"/>
    <x v="0"/>
    <s v="BX 17"/>
    <n v="20"/>
    <n v="1606"/>
    <x v="916"/>
    <s v="Annual"/>
    <n v="1"/>
    <n v="1"/>
    <n v="97836"/>
    <n v="97836"/>
  </r>
  <r>
    <x v="0"/>
    <n v="84"/>
    <x v="34"/>
    <x v="0"/>
    <x v="0"/>
    <n v="1145"/>
    <x v="44"/>
    <x v="30"/>
    <x v="64"/>
    <n v="3247"/>
    <x v="239"/>
    <n v="0"/>
    <x v="0"/>
    <s v="GY 11"/>
    <n v="20"/>
    <n v="1440"/>
    <x v="913"/>
    <s v="Annual"/>
    <n v="1"/>
    <n v="1"/>
    <n v="106272"/>
    <n v="106272"/>
  </r>
  <r>
    <x v="0"/>
    <n v="84"/>
    <x v="34"/>
    <x v="0"/>
    <x v="0"/>
    <n v="1145"/>
    <x v="44"/>
    <x v="30"/>
    <x v="64"/>
    <n v="3247"/>
    <x v="239"/>
    <n v="0"/>
    <x v="0"/>
    <s v="G 06"/>
    <n v="4"/>
    <n v="1404"/>
    <x v="901"/>
    <s v="Annual"/>
    <n v="1"/>
    <n v="1"/>
    <n v="118836"/>
    <n v="118836"/>
  </r>
  <r>
    <x v="0"/>
    <n v="84"/>
    <x v="34"/>
    <x v="0"/>
    <x v="0"/>
    <n v="1145"/>
    <x v="44"/>
    <x v="30"/>
    <x v="64"/>
    <n v="3247"/>
    <x v="239"/>
    <n v="0"/>
    <x v="0"/>
    <s v="1 00"/>
    <n v="0"/>
    <n v="15"/>
    <x v="37"/>
    <s v="Annual"/>
    <n v="0"/>
    <n v="0"/>
    <n v="2364"/>
    <n v="2364"/>
  </r>
  <r>
    <x v="0"/>
    <n v="84"/>
    <x v="34"/>
    <x v="0"/>
    <x v="0"/>
    <n v="1145"/>
    <x v="44"/>
    <x v="30"/>
    <x v="64"/>
    <n v="3248"/>
    <x v="240"/>
    <n v="4248"/>
    <x v="232"/>
    <s v="GY 12"/>
    <n v="20"/>
    <n v="6255"/>
    <x v="909"/>
    <s v="Annual"/>
    <n v="1"/>
    <n v="1"/>
    <n v="115992"/>
    <n v="115992"/>
  </r>
  <r>
    <x v="0"/>
    <n v="84"/>
    <x v="34"/>
    <x v="0"/>
    <x v="0"/>
    <n v="1145"/>
    <x v="44"/>
    <x v="30"/>
    <x v="64"/>
    <n v="3248"/>
    <x v="240"/>
    <n v="4248"/>
    <x v="232"/>
    <s v="X 43"/>
    <n v="0"/>
    <n v="5635"/>
    <x v="423"/>
    <s v="Annual"/>
    <n v="1"/>
    <n v="1"/>
    <n v="167700"/>
    <n v="167700"/>
  </r>
  <r>
    <x v="0"/>
    <n v="84"/>
    <x v="34"/>
    <x v="0"/>
    <x v="0"/>
    <n v="1145"/>
    <x v="44"/>
    <x v="30"/>
    <x v="64"/>
    <n v="3248"/>
    <x v="240"/>
    <n v="4248"/>
    <x v="232"/>
    <s v="1 00"/>
    <n v="0"/>
    <n v="15"/>
    <x v="37"/>
    <s v="Annual"/>
    <n v="0"/>
    <n v="0"/>
    <n v="5849"/>
    <n v="5849"/>
  </r>
  <r>
    <x v="0"/>
    <n v="84"/>
    <x v="34"/>
    <x v="0"/>
    <x v="0"/>
    <n v="1145"/>
    <x v="44"/>
    <x v="30"/>
    <x v="64"/>
    <n v="3248"/>
    <x v="240"/>
    <n v="4252"/>
    <x v="233"/>
    <s v="GY 12"/>
    <n v="20"/>
    <n v="6255"/>
    <x v="909"/>
    <s v="Annual"/>
    <n v="1"/>
    <n v="1"/>
    <n v="126756"/>
    <n v="126756"/>
  </r>
  <r>
    <x v="0"/>
    <n v="84"/>
    <x v="34"/>
    <x v="0"/>
    <x v="0"/>
    <n v="1145"/>
    <x v="44"/>
    <x v="30"/>
    <x v="64"/>
    <n v="3248"/>
    <x v="240"/>
    <n v="4252"/>
    <x v="233"/>
    <s v="G 08"/>
    <n v="4"/>
    <n v="6254"/>
    <x v="910"/>
    <s v="Annual"/>
    <n v="1"/>
    <n v="1"/>
    <n v="128316"/>
    <n v="128316"/>
  </r>
  <r>
    <x v="0"/>
    <n v="84"/>
    <x v="34"/>
    <x v="0"/>
    <x v="0"/>
    <n v="1145"/>
    <x v="44"/>
    <x v="30"/>
    <x v="64"/>
    <n v="3248"/>
    <x v="240"/>
    <n v="4252"/>
    <x v="233"/>
    <s v="X 43"/>
    <n v="10"/>
    <n v="5905"/>
    <x v="917"/>
    <s v="Annual"/>
    <n v="1"/>
    <n v="1"/>
    <n v="133836"/>
    <n v="133836"/>
  </r>
  <r>
    <x v="0"/>
    <n v="84"/>
    <x v="34"/>
    <x v="0"/>
    <x v="0"/>
    <n v="1145"/>
    <x v="44"/>
    <x v="30"/>
    <x v="64"/>
    <n v="3248"/>
    <x v="240"/>
    <n v="4252"/>
    <x v="233"/>
    <s v="1 00"/>
    <n v="0"/>
    <n v="15"/>
    <x v="37"/>
    <s v="Annual"/>
    <n v="0"/>
    <n v="0"/>
    <n v="2184"/>
    <n v="2184"/>
  </r>
  <r>
    <x v="0"/>
    <n v="84"/>
    <x v="34"/>
    <x v="0"/>
    <x v="0"/>
    <n v="1145"/>
    <x v="44"/>
    <x v="30"/>
    <x v="64"/>
    <n v="3248"/>
    <x v="240"/>
    <n v="4256"/>
    <x v="234"/>
    <s v="BX 18"/>
    <n v="10"/>
    <n v="3092"/>
    <x v="308"/>
    <s v="Annual"/>
    <n v="1"/>
    <n v="1"/>
    <n v="118956"/>
    <n v="118956"/>
  </r>
  <r>
    <x v="0"/>
    <n v="84"/>
    <x v="34"/>
    <x v="0"/>
    <x v="0"/>
    <n v="1145"/>
    <x v="44"/>
    <x v="30"/>
    <x v="64"/>
    <n v="3248"/>
    <x v="240"/>
    <n v="4256"/>
    <x v="234"/>
    <s v="GY 11"/>
    <n v="20"/>
    <n v="1440"/>
    <x v="913"/>
    <s v="Annual"/>
    <n v="1"/>
    <n v="1"/>
    <n v="106272"/>
    <n v="106272"/>
  </r>
  <r>
    <x v="0"/>
    <n v="84"/>
    <x v="34"/>
    <x v="0"/>
    <x v="0"/>
    <n v="1145"/>
    <x v="44"/>
    <x v="30"/>
    <x v="64"/>
    <n v="3248"/>
    <x v="240"/>
    <n v="4256"/>
    <x v="234"/>
    <s v="BX 18"/>
    <n v="10"/>
    <n v="311"/>
    <x v="253"/>
    <s v="Annual"/>
    <n v="1"/>
    <n v="1"/>
    <n v="118956"/>
    <n v="118956"/>
  </r>
  <r>
    <x v="0"/>
    <n v="84"/>
    <x v="34"/>
    <x v="0"/>
    <x v="0"/>
    <n v="1145"/>
    <x v="44"/>
    <x v="30"/>
    <x v="64"/>
    <n v="3248"/>
    <x v="240"/>
    <n v="4256"/>
    <x v="234"/>
    <s v="1 00"/>
    <n v="0"/>
    <n v="15"/>
    <x v="37"/>
    <s v="Annual"/>
    <n v="0"/>
    <n v="0"/>
    <n v="2364"/>
    <n v="2364"/>
  </r>
  <r>
    <x v="0"/>
    <n v="84"/>
    <x v="34"/>
    <x v="0"/>
    <x v="0"/>
    <n v="1145"/>
    <x v="44"/>
    <x v="30"/>
    <x v="64"/>
    <n v="3251"/>
    <x v="241"/>
    <n v="0"/>
    <x v="0"/>
    <s v="GY 12"/>
    <n v="20"/>
    <n v="5630"/>
    <x v="421"/>
    <s v="Annual"/>
    <n v="1"/>
    <n v="1"/>
    <n v="135744"/>
    <n v="135744"/>
  </r>
  <r>
    <x v="0"/>
    <n v="84"/>
    <x v="34"/>
    <x v="0"/>
    <x v="0"/>
    <n v="1145"/>
    <x v="44"/>
    <x v="30"/>
    <x v="64"/>
    <n v="3251"/>
    <x v="241"/>
    <n v="0"/>
    <x v="0"/>
    <s v="GY 12"/>
    <n v="20"/>
    <n v="5630"/>
    <x v="421"/>
    <s v="Annual"/>
    <n v="1"/>
    <n v="1"/>
    <n v="131124"/>
    <n v="131124"/>
  </r>
  <r>
    <x v="0"/>
    <n v="84"/>
    <x v="34"/>
    <x v="0"/>
    <x v="0"/>
    <n v="1145"/>
    <x v="44"/>
    <x v="30"/>
    <x v="64"/>
    <n v="3251"/>
    <x v="241"/>
    <n v="0"/>
    <x v="0"/>
    <s v="G 09"/>
    <n v="4"/>
    <n v="5615"/>
    <x v="903"/>
    <s v="Annual"/>
    <n v="1"/>
    <n v="1"/>
    <n v="154764"/>
    <n v="154764"/>
  </r>
  <r>
    <x v="0"/>
    <n v="84"/>
    <x v="34"/>
    <x v="0"/>
    <x v="0"/>
    <n v="1145"/>
    <x v="44"/>
    <x v="30"/>
    <x v="64"/>
    <n v="3251"/>
    <x v="241"/>
    <n v="0"/>
    <x v="0"/>
    <s v="BX 18"/>
    <n v="10"/>
    <n v="310"/>
    <x v="135"/>
    <s v="Annual"/>
    <n v="1"/>
    <n v="1"/>
    <n v="107340"/>
    <n v="107340"/>
  </r>
  <r>
    <x v="0"/>
    <n v="84"/>
    <x v="34"/>
    <x v="0"/>
    <x v="0"/>
    <n v="1145"/>
    <x v="44"/>
    <x v="30"/>
    <x v="64"/>
    <n v="3251"/>
    <x v="241"/>
    <n v="0"/>
    <x v="0"/>
    <s v="BX 18"/>
    <n v="10"/>
    <n v="310"/>
    <x v="135"/>
    <s v="Annual"/>
    <n v="2"/>
    <n v="1"/>
    <n v="102444"/>
    <n v="204888"/>
  </r>
  <r>
    <x v="0"/>
    <n v="84"/>
    <x v="34"/>
    <x v="0"/>
    <x v="0"/>
    <n v="1145"/>
    <x v="44"/>
    <x v="30"/>
    <x v="64"/>
    <n v="3251"/>
    <x v="241"/>
    <n v="0"/>
    <x v="0"/>
    <s v="1 00"/>
    <n v="0"/>
    <n v="15"/>
    <x v="37"/>
    <s v="Annual"/>
    <n v="0"/>
    <n v="0"/>
    <n v="4686"/>
    <n v="4686"/>
  </r>
  <r>
    <x v="0"/>
    <n v="84"/>
    <x v="34"/>
    <x v="0"/>
    <x v="0"/>
    <n v="1150"/>
    <x v="45"/>
    <x v="1"/>
    <x v="65"/>
    <n v="3270"/>
    <x v="242"/>
    <n v="4270"/>
    <x v="235"/>
    <s v="X 42"/>
    <n v="0"/>
    <n v="9681"/>
    <x v="81"/>
    <s v="Annual"/>
    <n v="1"/>
    <n v="1"/>
    <n v="172920"/>
    <n v="172920"/>
  </r>
  <r>
    <x v="0"/>
    <n v="84"/>
    <x v="34"/>
    <x v="0"/>
    <x v="0"/>
    <n v="1150"/>
    <x v="45"/>
    <x v="1"/>
    <x v="65"/>
    <n v="3270"/>
    <x v="242"/>
    <n v="4270"/>
    <x v="235"/>
    <s v="B 13"/>
    <n v="1"/>
    <n v="308"/>
    <x v="90"/>
    <s v="Annual"/>
    <n v="1"/>
    <n v="1"/>
    <n v="77640"/>
    <n v="77640"/>
  </r>
  <r>
    <x v="0"/>
    <n v="84"/>
    <x v="34"/>
    <x v="0"/>
    <x v="0"/>
    <n v="1150"/>
    <x v="45"/>
    <x v="1"/>
    <x v="65"/>
    <n v="3270"/>
    <x v="242"/>
    <n v="4270"/>
    <x v="235"/>
    <s v="1 00"/>
    <n v="0"/>
    <n v="15"/>
    <x v="37"/>
    <s v="Annual"/>
    <n v="0"/>
    <n v="0"/>
    <n v="7659"/>
    <n v="7659"/>
  </r>
  <r>
    <x v="0"/>
    <n v="84"/>
    <x v="34"/>
    <x v="0"/>
    <x v="0"/>
    <n v="1150"/>
    <x v="45"/>
    <x v="1"/>
    <x v="65"/>
    <n v="3270"/>
    <x v="242"/>
    <n v="4273"/>
    <x v="236"/>
    <s v="BX 21"/>
    <n v="10"/>
    <n v="5049"/>
    <x v="918"/>
    <s v="Annual"/>
    <n v="1"/>
    <n v="1"/>
    <n v="129228"/>
    <n v="129228"/>
  </r>
  <r>
    <x v="0"/>
    <n v="84"/>
    <x v="34"/>
    <x v="0"/>
    <x v="0"/>
    <n v="1150"/>
    <x v="45"/>
    <x v="1"/>
    <x v="65"/>
    <n v="3270"/>
    <x v="242"/>
    <n v="4273"/>
    <x v="236"/>
    <s v="1 00"/>
    <n v="0"/>
    <n v="15"/>
    <x v="37"/>
    <s v="Annual"/>
    <n v="0"/>
    <n v="0"/>
    <n v="5909"/>
    <n v="5909"/>
  </r>
  <r>
    <x v="0"/>
    <n v="84"/>
    <x v="34"/>
    <x v="0"/>
    <x v="0"/>
    <n v="1150"/>
    <x v="45"/>
    <x v="1"/>
    <x v="65"/>
    <n v="3275"/>
    <x v="243"/>
    <n v="4280"/>
    <x v="237"/>
    <s v="BX 22"/>
    <n v="10"/>
    <n v="8184"/>
    <x v="877"/>
    <s v="Annual"/>
    <n v="1"/>
    <n v="1"/>
    <n v="112440"/>
    <n v="112440"/>
  </r>
  <r>
    <x v="0"/>
    <n v="84"/>
    <x v="34"/>
    <x v="0"/>
    <x v="0"/>
    <n v="1150"/>
    <x v="45"/>
    <x v="1"/>
    <x v="65"/>
    <n v="3275"/>
    <x v="243"/>
    <n v="4280"/>
    <x v="237"/>
    <s v="2 0"/>
    <n v="36"/>
    <n v="6674"/>
    <x v="427"/>
    <s v="Hourly"/>
    <n v="1"/>
    <n v="1"/>
    <n v="60.39"/>
    <n v="125611"/>
  </r>
  <r>
    <x v="0"/>
    <n v="84"/>
    <x v="34"/>
    <x v="0"/>
    <x v="0"/>
    <n v="1150"/>
    <x v="45"/>
    <x v="1"/>
    <x v="65"/>
    <n v="3275"/>
    <x v="243"/>
    <n v="4280"/>
    <x v="237"/>
    <s v="2 0"/>
    <n v="24"/>
    <n v="6605"/>
    <x v="492"/>
    <s v="Hourly"/>
    <n v="1"/>
    <n v="1"/>
    <n v="56.1"/>
    <n v="116688"/>
  </r>
  <r>
    <x v="0"/>
    <n v="84"/>
    <x v="34"/>
    <x v="0"/>
    <x v="0"/>
    <n v="1150"/>
    <x v="45"/>
    <x v="1"/>
    <x v="65"/>
    <n v="3275"/>
    <x v="243"/>
    <n v="4280"/>
    <x v="237"/>
    <s v="2 0"/>
    <n v="29"/>
    <n v="5083"/>
    <x v="919"/>
    <s v="Hourly"/>
    <n v="1"/>
    <n v="1"/>
    <n v="70.87"/>
    <n v="147410"/>
  </r>
  <r>
    <x v="0"/>
    <n v="84"/>
    <x v="34"/>
    <x v="0"/>
    <x v="0"/>
    <n v="1150"/>
    <x v="45"/>
    <x v="1"/>
    <x v="65"/>
    <n v="3275"/>
    <x v="243"/>
    <n v="4280"/>
    <x v="237"/>
    <s v="B 15"/>
    <n v="3"/>
    <n v="1814"/>
    <x v="905"/>
    <s v="Annual"/>
    <n v="1"/>
    <n v="1"/>
    <n v="143400"/>
    <n v="143400"/>
  </r>
  <r>
    <x v="0"/>
    <n v="84"/>
    <x v="34"/>
    <x v="0"/>
    <x v="0"/>
    <n v="1150"/>
    <x v="45"/>
    <x v="1"/>
    <x v="65"/>
    <n v="3275"/>
    <x v="243"/>
    <n v="4280"/>
    <x v="237"/>
    <s v="1 00"/>
    <n v="0"/>
    <n v="12"/>
    <x v="291"/>
    <s v="Annual"/>
    <n v="0"/>
    <n v="0"/>
    <n v="5845"/>
    <n v="5845"/>
  </r>
  <r>
    <x v="0"/>
    <n v="84"/>
    <x v="34"/>
    <x v="0"/>
    <x v="0"/>
    <n v="1150"/>
    <x v="45"/>
    <x v="1"/>
    <x v="65"/>
    <n v="3275"/>
    <x v="243"/>
    <n v="4285"/>
    <x v="238"/>
    <s v="2 0"/>
    <n v="54"/>
    <n v="9534"/>
    <x v="424"/>
    <s v="Hourly"/>
    <n v="2"/>
    <n v="1"/>
    <n v="51.4"/>
    <n v="213824"/>
  </r>
  <r>
    <x v="0"/>
    <n v="84"/>
    <x v="34"/>
    <x v="0"/>
    <x v="0"/>
    <n v="1150"/>
    <x v="45"/>
    <x v="1"/>
    <x v="65"/>
    <n v="3275"/>
    <x v="243"/>
    <n v="4285"/>
    <x v="238"/>
    <s v="G 10"/>
    <n v="4"/>
    <n v="625"/>
    <x v="920"/>
    <s v="Annual"/>
    <n v="1"/>
    <n v="1"/>
    <n v="164808"/>
    <n v="164808"/>
  </r>
  <r>
    <x v="0"/>
    <n v="84"/>
    <x v="34"/>
    <x v="0"/>
    <x v="0"/>
    <n v="1150"/>
    <x v="45"/>
    <x v="1"/>
    <x v="65"/>
    <n v="3275"/>
    <x v="243"/>
    <n v="4285"/>
    <x v="238"/>
    <s v="1 00"/>
    <n v="0"/>
    <n v="12"/>
    <x v="291"/>
    <s v="Annual"/>
    <n v="0"/>
    <n v="0"/>
    <n v="3207"/>
    <n v="3207"/>
  </r>
  <r>
    <x v="0"/>
    <n v="84"/>
    <x v="34"/>
    <x v="0"/>
    <x v="0"/>
    <n v="1150"/>
    <x v="45"/>
    <x v="1"/>
    <x v="65"/>
    <n v="3275"/>
    <x v="243"/>
    <n v="4286"/>
    <x v="239"/>
    <s v="2 0"/>
    <n v="54"/>
    <n v="9534"/>
    <x v="424"/>
    <s v="Hourly"/>
    <n v="3"/>
    <n v="1"/>
    <n v="51.4"/>
    <n v="320736"/>
  </r>
  <r>
    <x v="0"/>
    <n v="84"/>
    <x v="34"/>
    <x v="0"/>
    <x v="0"/>
    <n v="1150"/>
    <x v="45"/>
    <x v="1"/>
    <x v="65"/>
    <n v="3275"/>
    <x v="243"/>
    <n v="4286"/>
    <x v="239"/>
    <s v="2 0"/>
    <n v="8"/>
    <n v="7184"/>
    <x v="882"/>
    <s v="Hourly"/>
    <n v="4"/>
    <n v="1"/>
    <n v="48.73"/>
    <n v="405434"/>
  </r>
  <r>
    <x v="0"/>
    <n v="84"/>
    <x v="34"/>
    <x v="0"/>
    <x v="0"/>
    <n v="1150"/>
    <x v="45"/>
    <x v="1"/>
    <x v="65"/>
    <n v="3275"/>
    <x v="243"/>
    <n v="4286"/>
    <x v="239"/>
    <s v="2 0"/>
    <n v="29"/>
    <n v="5089"/>
    <x v="921"/>
    <s v="Monthly"/>
    <n v="1"/>
    <n v="1"/>
    <n v="12284.13"/>
    <n v="147410"/>
  </r>
  <r>
    <x v="0"/>
    <n v="84"/>
    <x v="34"/>
    <x v="0"/>
    <x v="0"/>
    <n v="1150"/>
    <x v="45"/>
    <x v="1"/>
    <x v="65"/>
    <n v="3275"/>
    <x v="243"/>
    <n v="4286"/>
    <x v="239"/>
    <s v="2 0"/>
    <n v="29"/>
    <n v="5087"/>
    <x v="922"/>
    <s v="Monthly"/>
    <n v="4"/>
    <n v="1"/>
    <n v="11193.87"/>
    <n v="537306"/>
  </r>
  <r>
    <x v="0"/>
    <n v="84"/>
    <x v="34"/>
    <x v="0"/>
    <x v="0"/>
    <n v="1150"/>
    <x v="45"/>
    <x v="1"/>
    <x v="65"/>
    <n v="3275"/>
    <x v="243"/>
    <n v="4286"/>
    <x v="239"/>
    <s v="2 0"/>
    <n v="29"/>
    <n v="5083"/>
    <x v="919"/>
    <s v="Hourly"/>
    <n v="4"/>
    <n v="1"/>
    <n v="70.87"/>
    <n v="589638"/>
  </r>
  <r>
    <x v="0"/>
    <n v="84"/>
    <x v="34"/>
    <x v="0"/>
    <x v="0"/>
    <n v="1150"/>
    <x v="45"/>
    <x v="1"/>
    <x v="65"/>
    <n v="3275"/>
    <x v="243"/>
    <n v="4286"/>
    <x v="239"/>
    <s v="2 0"/>
    <n v="29"/>
    <n v="5081"/>
    <x v="923"/>
    <s v="Hourly"/>
    <n v="6"/>
    <n v="1"/>
    <n v="64.58"/>
    <n v="805958"/>
  </r>
  <r>
    <x v="0"/>
    <n v="84"/>
    <x v="34"/>
    <x v="0"/>
    <x v="0"/>
    <n v="1150"/>
    <x v="45"/>
    <x v="1"/>
    <x v="65"/>
    <n v="3275"/>
    <x v="243"/>
    <n v="4286"/>
    <x v="239"/>
    <s v="1 00"/>
    <n v="0"/>
    <n v="12"/>
    <x v="291"/>
    <s v="Annual"/>
    <n v="0"/>
    <n v="0"/>
    <n v="42098"/>
    <n v="42098"/>
  </r>
  <r>
    <x v="0"/>
    <n v="84"/>
    <x v="34"/>
    <x v="0"/>
    <x v="0"/>
    <n v="1155"/>
    <x v="46"/>
    <x v="31"/>
    <x v="66"/>
    <n v="3255"/>
    <x v="244"/>
    <n v="0"/>
    <x v="0"/>
    <s v="BX 21"/>
    <n v="10"/>
    <n v="8256"/>
    <x v="924"/>
    <s v="Annual"/>
    <n v="1"/>
    <n v="1"/>
    <n v="143232"/>
    <n v="143232"/>
  </r>
  <r>
    <x v="0"/>
    <n v="84"/>
    <x v="34"/>
    <x v="0"/>
    <x v="0"/>
    <n v="1155"/>
    <x v="46"/>
    <x v="31"/>
    <x v="66"/>
    <n v="3255"/>
    <x v="244"/>
    <n v="0"/>
    <x v="0"/>
    <s v="BX 18"/>
    <n v="10"/>
    <n v="311"/>
    <x v="253"/>
    <s v="Annual"/>
    <n v="1"/>
    <n v="1"/>
    <n v="150072"/>
    <n v="150072"/>
  </r>
  <r>
    <x v="0"/>
    <n v="84"/>
    <x v="34"/>
    <x v="0"/>
    <x v="0"/>
    <n v="1155"/>
    <x v="46"/>
    <x v="31"/>
    <x v="66"/>
    <n v="3255"/>
    <x v="244"/>
    <n v="0"/>
    <x v="0"/>
    <s v="BX 18"/>
    <n v="10"/>
    <n v="310"/>
    <x v="135"/>
    <s v="Annual"/>
    <n v="1"/>
    <n v="1"/>
    <n v="113568"/>
    <n v="113568"/>
  </r>
  <r>
    <x v="0"/>
    <n v="84"/>
    <x v="34"/>
    <x v="0"/>
    <x v="0"/>
    <n v="1155"/>
    <x v="46"/>
    <x v="31"/>
    <x v="66"/>
    <n v="3255"/>
    <x v="244"/>
    <n v="0"/>
    <x v="0"/>
    <s v="1 00"/>
    <n v="0"/>
    <n v="15"/>
    <x v="37"/>
    <s v="Annual"/>
    <n v="0"/>
    <n v="0"/>
    <n v="3420"/>
    <n v="3420"/>
  </r>
  <r>
    <x v="0"/>
    <n v="84"/>
    <x v="34"/>
    <x v="0"/>
    <x v="0"/>
    <n v="1155"/>
    <x v="46"/>
    <x v="31"/>
    <x v="66"/>
    <n v="3256"/>
    <x v="62"/>
    <n v="4262"/>
    <x v="240"/>
    <s v="2 0"/>
    <n v="53"/>
    <n v="9532"/>
    <x v="391"/>
    <s v="Hourly"/>
    <n v="1"/>
    <n v="1"/>
    <n v="51.4"/>
    <n v="106912"/>
  </r>
  <r>
    <x v="0"/>
    <n v="84"/>
    <x v="34"/>
    <x v="0"/>
    <x v="0"/>
    <n v="1155"/>
    <x v="46"/>
    <x v="31"/>
    <x v="66"/>
    <n v="3256"/>
    <x v="62"/>
    <n v="4262"/>
    <x v="240"/>
    <s v="W 12"/>
    <n v="31"/>
    <n v="7235"/>
    <x v="925"/>
    <s v="Annual"/>
    <n v="1"/>
    <n v="1"/>
    <n v="108528"/>
    <n v="108528"/>
  </r>
  <r>
    <x v="0"/>
    <n v="84"/>
    <x v="34"/>
    <x v="0"/>
    <x v="0"/>
    <n v="1155"/>
    <x v="46"/>
    <x v="31"/>
    <x v="66"/>
    <n v="3256"/>
    <x v="62"/>
    <n v="4262"/>
    <x v="240"/>
    <s v="W 12"/>
    <n v="31"/>
    <n v="7235"/>
    <x v="925"/>
    <s v="Annual"/>
    <n v="2"/>
    <n v="1"/>
    <n v="98892"/>
    <n v="197784"/>
  </r>
  <r>
    <x v="0"/>
    <n v="84"/>
    <x v="34"/>
    <x v="0"/>
    <x v="0"/>
    <n v="1155"/>
    <x v="46"/>
    <x v="31"/>
    <x v="66"/>
    <n v="3256"/>
    <x v="62"/>
    <n v="4262"/>
    <x v="240"/>
    <s v="W 11"/>
    <n v="31"/>
    <n v="7230"/>
    <x v="926"/>
    <s v="Annual"/>
    <n v="14"/>
    <n v="1"/>
    <n v="98892"/>
    <n v="1384488"/>
  </r>
  <r>
    <x v="0"/>
    <n v="84"/>
    <x v="34"/>
    <x v="0"/>
    <x v="0"/>
    <n v="1155"/>
    <x v="46"/>
    <x v="31"/>
    <x v="66"/>
    <n v="3256"/>
    <x v="62"/>
    <n v="4262"/>
    <x v="240"/>
    <s v="W 11"/>
    <n v="31"/>
    <n v="7230"/>
    <x v="926"/>
    <s v="Annual"/>
    <n v="4"/>
    <n v="1"/>
    <n v="90108"/>
    <n v="360432"/>
  </r>
  <r>
    <x v="0"/>
    <n v="84"/>
    <x v="34"/>
    <x v="0"/>
    <x v="0"/>
    <n v="1155"/>
    <x v="46"/>
    <x v="31"/>
    <x v="66"/>
    <n v="3256"/>
    <x v="62"/>
    <n v="4262"/>
    <x v="240"/>
    <s v="W 11"/>
    <n v="31"/>
    <n v="7230"/>
    <x v="926"/>
    <s v="Annual"/>
    <n v="1"/>
    <n v="1"/>
    <n v="86052"/>
    <n v="86052"/>
  </r>
  <r>
    <x v="0"/>
    <n v="84"/>
    <x v="34"/>
    <x v="0"/>
    <x v="0"/>
    <n v="1155"/>
    <x v="46"/>
    <x v="31"/>
    <x v="66"/>
    <n v="3256"/>
    <x v="62"/>
    <n v="4262"/>
    <x v="240"/>
    <s v="W 11"/>
    <n v="31"/>
    <n v="7230"/>
    <x v="926"/>
    <s v="Annual"/>
    <n v="3"/>
    <n v="1"/>
    <n v="82080"/>
    <n v="246240"/>
  </r>
  <r>
    <x v="0"/>
    <n v="84"/>
    <x v="34"/>
    <x v="0"/>
    <x v="0"/>
    <n v="1155"/>
    <x v="46"/>
    <x v="31"/>
    <x v="66"/>
    <n v="3256"/>
    <x v="62"/>
    <n v="4262"/>
    <x v="240"/>
    <s v="W 11"/>
    <n v="31"/>
    <n v="7230"/>
    <x v="926"/>
    <s v="Annual"/>
    <n v="7"/>
    <n v="1"/>
    <n v="78432"/>
    <n v="549024"/>
  </r>
  <r>
    <x v="0"/>
    <n v="84"/>
    <x v="34"/>
    <x v="0"/>
    <x v="0"/>
    <n v="1155"/>
    <x v="46"/>
    <x v="31"/>
    <x v="66"/>
    <n v="3256"/>
    <x v="62"/>
    <n v="4262"/>
    <x v="240"/>
    <s v="W 11"/>
    <n v="31"/>
    <n v="7230"/>
    <x v="926"/>
    <s v="Annual"/>
    <n v="2"/>
    <n v="1"/>
    <n v="74868"/>
    <n v="149736"/>
  </r>
  <r>
    <x v="0"/>
    <n v="84"/>
    <x v="34"/>
    <x v="0"/>
    <x v="0"/>
    <n v="1155"/>
    <x v="46"/>
    <x v="31"/>
    <x v="66"/>
    <n v="3256"/>
    <x v="62"/>
    <n v="4262"/>
    <x v="240"/>
    <s v="W 11"/>
    <n v="31"/>
    <n v="7230"/>
    <x v="926"/>
    <s v="Annual"/>
    <n v="2"/>
    <n v="1"/>
    <n v="70740"/>
    <n v="141480"/>
  </r>
  <r>
    <x v="0"/>
    <n v="84"/>
    <x v="34"/>
    <x v="0"/>
    <x v="0"/>
    <n v="1155"/>
    <x v="46"/>
    <x v="31"/>
    <x v="66"/>
    <n v="3256"/>
    <x v="62"/>
    <n v="4262"/>
    <x v="240"/>
    <s v="W 11"/>
    <n v="31"/>
    <n v="7230"/>
    <x v="926"/>
    <s v="Annual"/>
    <n v="6"/>
    <n v="1"/>
    <n v="67572"/>
    <n v="405432"/>
  </r>
  <r>
    <x v="0"/>
    <n v="84"/>
    <x v="34"/>
    <x v="0"/>
    <x v="0"/>
    <n v="1155"/>
    <x v="46"/>
    <x v="31"/>
    <x v="66"/>
    <n v="3256"/>
    <x v="62"/>
    <n v="4262"/>
    <x v="240"/>
    <s v="W 11"/>
    <n v="31"/>
    <n v="7230"/>
    <x v="926"/>
    <s v="Annual"/>
    <n v="2"/>
    <n v="1"/>
    <n v="64440"/>
    <n v="128880"/>
  </r>
  <r>
    <x v="0"/>
    <n v="84"/>
    <x v="34"/>
    <x v="0"/>
    <x v="0"/>
    <n v="1155"/>
    <x v="46"/>
    <x v="31"/>
    <x v="66"/>
    <n v="3256"/>
    <x v="62"/>
    <n v="4262"/>
    <x v="240"/>
    <s v="W 11"/>
    <n v="31"/>
    <n v="7230"/>
    <x v="926"/>
    <s v="Annual"/>
    <n v="2"/>
    <n v="1"/>
    <n v="61524"/>
    <n v="123048"/>
  </r>
  <r>
    <x v="0"/>
    <n v="84"/>
    <x v="34"/>
    <x v="0"/>
    <x v="0"/>
    <n v="1155"/>
    <x v="46"/>
    <x v="31"/>
    <x v="66"/>
    <n v="3256"/>
    <x v="62"/>
    <n v="4262"/>
    <x v="240"/>
    <s v="W 11"/>
    <n v="31"/>
    <n v="7230"/>
    <x v="926"/>
    <s v="Annual"/>
    <n v="4"/>
    <n v="1"/>
    <n v="58728"/>
    <n v="234912"/>
  </r>
  <r>
    <x v="0"/>
    <n v="84"/>
    <x v="34"/>
    <x v="0"/>
    <x v="0"/>
    <n v="1155"/>
    <x v="46"/>
    <x v="31"/>
    <x v="66"/>
    <n v="3256"/>
    <x v="62"/>
    <n v="4262"/>
    <x v="240"/>
    <s v="1 00"/>
    <n v="0"/>
    <n v="15"/>
    <x v="37"/>
    <s v="Annual"/>
    <n v="0"/>
    <n v="0"/>
    <n v="13955"/>
    <n v="13955"/>
  </r>
  <r>
    <x v="0"/>
    <n v="84"/>
    <x v="34"/>
    <x v="0"/>
    <x v="0"/>
    <n v="1155"/>
    <x v="46"/>
    <x v="31"/>
    <x v="66"/>
    <n v="3256"/>
    <x v="62"/>
    <n v="4262"/>
    <x v="240"/>
    <s v="1 00"/>
    <n v="0"/>
    <n v="12"/>
    <x v="291"/>
    <s v="Annual"/>
    <n v="0"/>
    <n v="0"/>
    <n v="1604"/>
    <n v="1604"/>
  </r>
  <r>
    <x v="0"/>
    <n v="84"/>
    <x v="34"/>
    <x v="0"/>
    <x v="0"/>
    <n v="1160"/>
    <x v="47"/>
    <x v="32"/>
    <x v="67"/>
    <n v="3160"/>
    <x v="245"/>
    <n v="0"/>
    <x v="0"/>
    <s v="X 42"/>
    <n v="0"/>
    <n v="9681"/>
    <x v="81"/>
    <s v="Annual"/>
    <n v="1"/>
    <n v="1"/>
    <n v="184584"/>
    <n v="184584"/>
  </r>
  <r>
    <x v="0"/>
    <n v="84"/>
    <x v="34"/>
    <x v="0"/>
    <x v="0"/>
    <n v="1160"/>
    <x v="47"/>
    <x v="32"/>
    <x v="67"/>
    <n v="3160"/>
    <x v="245"/>
    <n v="0"/>
    <x v="0"/>
    <s v="G 06"/>
    <n v="1"/>
    <n v="7946"/>
    <x v="890"/>
    <s v="Annual"/>
    <n v="1"/>
    <n v="1"/>
    <n v="118836"/>
    <n v="118836"/>
  </r>
  <r>
    <x v="0"/>
    <n v="84"/>
    <x v="34"/>
    <x v="0"/>
    <x v="0"/>
    <n v="1160"/>
    <x v="47"/>
    <x v="32"/>
    <x v="67"/>
    <n v="3160"/>
    <x v="245"/>
    <n v="0"/>
    <x v="0"/>
    <s v="GY 10"/>
    <n v="20"/>
    <n v="5636"/>
    <x v="927"/>
    <s v="Annual"/>
    <n v="1"/>
    <n v="1"/>
    <n v="106272"/>
    <n v="106272"/>
  </r>
  <r>
    <x v="0"/>
    <n v="84"/>
    <x v="34"/>
    <x v="0"/>
    <x v="0"/>
    <n v="1160"/>
    <x v="47"/>
    <x v="32"/>
    <x v="67"/>
    <n v="3160"/>
    <x v="245"/>
    <n v="0"/>
    <x v="0"/>
    <s v="BX 18"/>
    <n v="10"/>
    <n v="3092"/>
    <x v="308"/>
    <s v="Annual"/>
    <n v="1"/>
    <n v="1"/>
    <n v="97836"/>
    <n v="97836"/>
  </r>
  <r>
    <x v="0"/>
    <n v="84"/>
    <x v="34"/>
    <x v="0"/>
    <x v="0"/>
    <n v="1160"/>
    <x v="47"/>
    <x v="32"/>
    <x v="67"/>
    <n v="3160"/>
    <x v="245"/>
    <n v="0"/>
    <x v="0"/>
    <s v="BX 18"/>
    <n v="10"/>
    <n v="3092"/>
    <x v="308"/>
    <s v="Annual"/>
    <n v="1"/>
    <n v="1"/>
    <n v="93384"/>
    <n v="93384"/>
  </r>
  <r>
    <x v="0"/>
    <n v="84"/>
    <x v="34"/>
    <x v="0"/>
    <x v="0"/>
    <n v="1160"/>
    <x v="47"/>
    <x v="32"/>
    <x v="67"/>
    <n v="3160"/>
    <x v="245"/>
    <n v="0"/>
    <x v="0"/>
    <s v="BX 15"/>
    <n v="10"/>
    <n v="1911"/>
    <x v="226"/>
    <s v="Annual"/>
    <n v="1"/>
    <n v="1"/>
    <n v="113568"/>
    <n v="113568"/>
  </r>
  <r>
    <x v="0"/>
    <n v="84"/>
    <x v="34"/>
    <x v="0"/>
    <x v="0"/>
    <n v="1160"/>
    <x v="47"/>
    <x v="32"/>
    <x v="67"/>
    <n v="3160"/>
    <x v="245"/>
    <n v="0"/>
    <x v="0"/>
    <s v="GY 10"/>
    <n v="20"/>
    <n v="1441"/>
    <x v="542"/>
    <s v="Annual"/>
    <n v="1"/>
    <n v="1"/>
    <n v="106272"/>
    <n v="106272"/>
  </r>
  <r>
    <x v="0"/>
    <n v="84"/>
    <x v="34"/>
    <x v="0"/>
    <x v="0"/>
    <n v="1160"/>
    <x v="47"/>
    <x v="32"/>
    <x v="67"/>
    <n v="3160"/>
    <x v="245"/>
    <n v="0"/>
    <x v="0"/>
    <s v="X 43"/>
    <n v="0"/>
    <s v="03A2"/>
    <x v="220"/>
    <s v="Annual"/>
    <n v="1"/>
    <n v="1"/>
    <n v="150768"/>
    <n v="150768"/>
  </r>
  <r>
    <x v="0"/>
    <n v="84"/>
    <x v="34"/>
    <x v="0"/>
    <x v="0"/>
    <n v="1160"/>
    <x v="47"/>
    <x v="32"/>
    <x v="67"/>
    <n v="3160"/>
    <x v="245"/>
    <n v="0"/>
    <x v="0"/>
    <s v="B 13"/>
    <n v="1"/>
    <n v="308"/>
    <x v="90"/>
    <s v="Annual"/>
    <n v="1"/>
    <n v="1"/>
    <n v="108576"/>
    <n v="108576"/>
  </r>
  <r>
    <x v="0"/>
    <n v="84"/>
    <x v="34"/>
    <x v="0"/>
    <x v="0"/>
    <n v="1160"/>
    <x v="47"/>
    <x v="32"/>
    <x v="67"/>
    <n v="3160"/>
    <x v="245"/>
    <n v="0"/>
    <x v="0"/>
    <s v="1 00"/>
    <n v="0"/>
    <n v="15"/>
    <x v="37"/>
    <s v="Annual"/>
    <n v="0"/>
    <n v="0"/>
    <n v="21618"/>
    <n v="21618"/>
  </r>
  <r>
    <x v="0"/>
    <n v="84"/>
    <x v="34"/>
    <x v="0"/>
    <x v="0"/>
    <n v="1160"/>
    <x v="47"/>
    <x v="32"/>
    <x v="67"/>
    <n v="3161"/>
    <x v="241"/>
    <n v="0"/>
    <x v="0"/>
    <s v="G 05"/>
    <n v="1"/>
    <n v="7945"/>
    <x v="891"/>
    <s v="Annual"/>
    <n v="1"/>
    <n v="1"/>
    <n v="84192"/>
    <n v="84192"/>
  </r>
  <r>
    <x v="0"/>
    <n v="84"/>
    <x v="34"/>
    <x v="0"/>
    <x v="0"/>
    <n v="1160"/>
    <x v="47"/>
    <x v="32"/>
    <x v="67"/>
    <n v="3161"/>
    <x v="241"/>
    <n v="0"/>
    <x v="0"/>
    <s v="B 13"/>
    <n v="1"/>
    <n v="6143"/>
    <x v="928"/>
    <s v="Annual"/>
    <n v="1"/>
    <n v="1"/>
    <n v="77640"/>
    <n v="77640"/>
  </r>
  <r>
    <x v="0"/>
    <n v="84"/>
    <x v="34"/>
    <x v="0"/>
    <x v="0"/>
    <n v="1160"/>
    <x v="47"/>
    <x v="32"/>
    <x v="67"/>
    <n v="3161"/>
    <x v="241"/>
    <n v="0"/>
    <x v="0"/>
    <s v="BX 18"/>
    <n v="10"/>
    <n v="3092"/>
    <x v="308"/>
    <s v="Annual"/>
    <n v="1"/>
    <n v="1"/>
    <n v="93384"/>
    <n v="93384"/>
  </r>
  <r>
    <x v="0"/>
    <n v="84"/>
    <x v="34"/>
    <x v="0"/>
    <x v="0"/>
    <n v="1160"/>
    <x v="47"/>
    <x v="32"/>
    <x v="67"/>
    <n v="3161"/>
    <x v="241"/>
    <n v="0"/>
    <x v="0"/>
    <s v="BX 18"/>
    <n v="10"/>
    <n v="311"/>
    <x v="253"/>
    <s v="Annual"/>
    <n v="1"/>
    <n v="1"/>
    <n v="124584"/>
    <n v="124584"/>
  </r>
  <r>
    <x v="0"/>
    <n v="84"/>
    <x v="34"/>
    <x v="0"/>
    <x v="0"/>
    <n v="1160"/>
    <x v="47"/>
    <x v="32"/>
    <x v="67"/>
    <n v="3161"/>
    <x v="241"/>
    <n v="0"/>
    <x v="0"/>
    <s v="1 00"/>
    <n v="0"/>
    <n v="15"/>
    <x v="37"/>
    <s v="Annual"/>
    <n v="0"/>
    <n v="0"/>
    <n v="7077"/>
    <n v="7077"/>
  </r>
  <r>
    <x v="0"/>
    <n v="3"/>
    <x v="1"/>
    <x v="1"/>
    <x v="1"/>
    <n v="1005"/>
    <x v="1"/>
    <x v="0"/>
    <x v="1"/>
    <n v="3015"/>
    <x v="17"/>
    <n v="0"/>
    <x v="0"/>
    <s v="GY 08"/>
    <n v="20"/>
    <n v="1368"/>
    <x v="358"/>
    <s v="Annual"/>
    <n v="1"/>
    <n v="1"/>
    <n v="85236"/>
    <n v="85236"/>
  </r>
  <r>
    <x v="0"/>
    <n v="3"/>
    <x v="1"/>
    <x v="1"/>
    <x v="1"/>
    <n v="1005"/>
    <x v="1"/>
    <x v="0"/>
    <x v="1"/>
    <n v="3015"/>
    <x v="17"/>
    <n v="0"/>
    <x v="0"/>
    <s v="GY 12"/>
    <n v="0"/>
    <n v="1262"/>
    <x v="41"/>
    <s v="Annual"/>
    <n v="1"/>
    <n v="1"/>
    <n v="131124"/>
    <n v="131124"/>
  </r>
  <r>
    <x v="0"/>
    <n v="3"/>
    <x v="1"/>
    <x v="1"/>
    <x v="1"/>
    <n v="1005"/>
    <x v="1"/>
    <x v="0"/>
    <x v="1"/>
    <n v="3015"/>
    <x v="17"/>
    <n v="0"/>
    <x v="0"/>
    <s v="X 33"/>
    <n v="0"/>
    <n v="1260"/>
    <x v="46"/>
    <s v="Annual"/>
    <n v="1"/>
    <n v="1"/>
    <n v="153384"/>
    <n v="153384"/>
  </r>
  <r>
    <x v="0"/>
    <n v="3"/>
    <x v="1"/>
    <x v="1"/>
    <x v="1"/>
    <n v="1005"/>
    <x v="1"/>
    <x v="0"/>
    <x v="1"/>
    <n v="3015"/>
    <x v="17"/>
    <n v="0"/>
    <x v="0"/>
    <s v="X 33"/>
    <n v="0"/>
    <n v="1215"/>
    <x v="43"/>
    <s v="Annual"/>
    <n v="1"/>
    <n v="1"/>
    <n v="146808"/>
    <n v="146808"/>
  </r>
  <r>
    <x v="0"/>
    <n v="3"/>
    <x v="1"/>
    <x v="1"/>
    <x v="1"/>
    <n v="1005"/>
    <x v="1"/>
    <x v="0"/>
    <x v="1"/>
    <n v="3015"/>
    <x v="17"/>
    <n v="0"/>
    <x v="0"/>
    <s v="1 00"/>
    <n v="0"/>
    <n v="15"/>
    <x v="37"/>
    <s v="Annual"/>
    <n v="0"/>
    <n v="0"/>
    <n v="7047"/>
    <n v="7047"/>
  </r>
  <r>
    <x v="0"/>
    <n v="3"/>
    <x v="1"/>
    <x v="1"/>
    <x v="1"/>
    <n v="1005"/>
    <x v="1"/>
    <x v="0"/>
    <x v="1"/>
    <n v="3020"/>
    <x v="18"/>
    <n v="0"/>
    <x v="0"/>
    <s v="GY 08"/>
    <n v="0"/>
    <n v="1221"/>
    <x v="48"/>
    <s v="Annual"/>
    <n v="1"/>
    <n v="1"/>
    <n v="85236"/>
    <n v="85236"/>
  </r>
  <r>
    <x v="0"/>
    <n v="3"/>
    <x v="1"/>
    <x v="1"/>
    <x v="1"/>
    <n v="1005"/>
    <x v="1"/>
    <x v="0"/>
    <x v="1"/>
    <n v="3020"/>
    <x v="18"/>
    <n v="0"/>
    <x v="0"/>
    <s v="GY 06"/>
    <n v="0"/>
    <n v="1219"/>
    <x v="49"/>
    <s v="Annual"/>
    <n v="1"/>
    <n v="1"/>
    <n v="76020"/>
    <n v="76020"/>
  </r>
  <r>
    <x v="0"/>
    <n v="3"/>
    <x v="1"/>
    <x v="1"/>
    <x v="1"/>
    <n v="1005"/>
    <x v="1"/>
    <x v="0"/>
    <x v="1"/>
    <n v="3020"/>
    <x v="18"/>
    <n v="0"/>
    <x v="0"/>
    <s v="1 00"/>
    <n v="0"/>
    <n v="15"/>
    <x v="37"/>
    <s v="Annual"/>
    <n v="0"/>
    <n v="0"/>
    <n v="5373"/>
    <n v="5373"/>
  </r>
  <r>
    <x v="0"/>
    <n v="3"/>
    <x v="1"/>
    <x v="1"/>
    <x v="1"/>
    <n v="1005"/>
    <x v="1"/>
    <x v="0"/>
    <x v="1"/>
    <n v="3027"/>
    <x v="19"/>
    <n v="0"/>
    <x v="0"/>
    <s v="X 32"/>
    <n v="9"/>
    <n v="9659"/>
    <x v="45"/>
    <s v="Annual"/>
    <n v="1"/>
    <n v="1"/>
    <n v="175512"/>
    <n v="175512"/>
  </r>
  <r>
    <x v="0"/>
    <n v="3"/>
    <x v="1"/>
    <x v="1"/>
    <x v="1"/>
    <n v="1005"/>
    <x v="1"/>
    <x v="0"/>
    <x v="1"/>
    <n v="3027"/>
    <x v="19"/>
    <n v="0"/>
    <x v="0"/>
    <s v="GY 07"/>
    <n v="20"/>
    <n v="1125"/>
    <x v="51"/>
    <s v="Annual"/>
    <n v="1"/>
    <n v="1"/>
    <n v="85236"/>
    <n v="85236"/>
  </r>
  <r>
    <x v="0"/>
    <n v="3"/>
    <x v="1"/>
    <x v="1"/>
    <x v="1"/>
    <n v="1005"/>
    <x v="1"/>
    <x v="0"/>
    <x v="1"/>
    <n v="3027"/>
    <x v="19"/>
    <n v="0"/>
    <x v="0"/>
    <s v="GY 07"/>
    <n v="20"/>
    <n v="1125"/>
    <x v="51"/>
    <s v="Annual"/>
    <n v="1"/>
    <n v="1"/>
    <n v="79728"/>
    <n v="79728"/>
  </r>
  <r>
    <x v="0"/>
    <n v="3"/>
    <x v="1"/>
    <x v="1"/>
    <x v="1"/>
    <n v="1005"/>
    <x v="1"/>
    <x v="0"/>
    <x v="1"/>
    <n v="3027"/>
    <x v="19"/>
    <n v="0"/>
    <x v="0"/>
    <s v="1 00"/>
    <n v="0"/>
    <n v="15"/>
    <x v="37"/>
    <s v="Annual"/>
    <n v="0"/>
    <n v="0"/>
    <n v="5521"/>
    <n v="5521"/>
  </r>
  <r>
    <x v="0"/>
    <n v="3"/>
    <x v="1"/>
    <x v="1"/>
    <x v="1"/>
    <n v="1005"/>
    <x v="1"/>
    <x v="0"/>
    <x v="1"/>
    <n v="3045"/>
    <x v="21"/>
    <n v="0"/>
    <x v="0"/>
    <s v="X 33"/>
    <n v="0"/>
    <n v="1718"/>
    <x v="58"/>
    <s v="Annual"/>
    <n v="1"/>
    <n v="1"/>
    <n v="153384"/>
    <n v="153384"/>
  </r>
  <r>
    <x v="0"/>
    <n v="3"/>
    <x v="1"/>
    <x v="1"/>
    <x v="1"/>
    <n v="1005"/>
    <x v="1"/>
    <x v="0"/>
    <x v="1"/>
    <n v="3045"/>
    <x v="21"/>
    <n v="0"/>
    <x v="0"/>
    <s v="BX 17"/>
    <n v="10"/>
    <s v="06A4"/>
    <x v="62"/>
    <s v="Annual"/>
    <n v="1"/>
    <n v="1"/>
    <n v="93384"/>
    <n v="93384"/>
  </r>
  <r>
    <x v="0"/>
    <n v="3"/>
    <x v="1"/>
    <x v="1"/>
    <x v="1"/>
    <n v="1005"/>
    <x v="1"/>
    <x v="0"/>
    <x v="1"/>
    <n v="3045"/>
    <x v="21"/>
    <n v="0"/>
    <x v="0"/>
    <s v="GY 09"/>
    <n v="10"/>
    <n v="641"/>
    <x v="64"/>
    <s v="Annual"/>
    <n v="1"/>
    <n v="1"/>
    <n v="122556"/>
    <n v="122556"/>
  </r>
  <r>
    <x v="0"/>
    <n v="3"/>
    <x v="1"/>
    <x v="1"/>
    <x v="1"/>
    <n v="1005"/>
    <x v="1"/>
    <x v="0"/>
    <x v="1"/>
    <n v="3045"/>
    <x v="21"/>
    <n v="0"/>
    <x v="0"/>
    <s v="1 00"/>
    <n v="0"/>
    <n v="15"/>
    <x v="37"/>
    <s v="Annual"/>
    <n v="0"/>
    <n v="0"/>
    <n v="2989"/>
    <n v="2989"/>
  </r>
  <r>
    <x v="0"/>
    <n v="5"/>
    <x v="2"/>
    <x v="1"/>
    <x v="1"/>
    <n v="1005"/>
    <x v="2"/>
    <x v="0"/>
    <x v="2"/>
    <n v="3010"/>
    <x v="23"/>
    <n v="0"/>
    <x v="0"/>
    <s v="X 32"/>
    <n v="9"/>
    <n v="9656"/>
    <x v="69"/>
    <s v="Annual"/>
    <n v="1"/>
    <n v="1"/>
    <n v="175512"/>
    <n v="175512"/>
  </r>
  <r>
    <x v="0"/>
    <n v="5"/>
    <x v="2"/>
    <x v="1"/>
    <x v="1"/>
    <n v="1005"/>
    <x v="2"/>
    <x v="0"/>
    <x v="2"/>
    <n v="3010"/>
    <x v="23"/>
    <n v="0"/>
    <x v="0"/>
    <s v="X 33"/>
    <n v="9"/>
    <n v="1124"/>
    <x v="70"/>
    <s v="Annual"/>
    <n v="1"/>
    <n v="1"/>
    <n v="146808"/>
    <n v="146808"/>
  </r>
  <r>
    <x v="0"/>
    <n v="5"/>
    <x v="2"/>
    <x v="1"/>
    <x v="1"/>
    <n v="1005"/>
    <x v="2"/>
    <x v="0"/>
    <x v="2"/>
    <n v="3010"/>
    <x v="23"/>
    <n v="0"/>
    <x v="0"/>
    <s v="1 00"/>
    <n v="0"/>
    <n v="15"/>
    <x v="37"/>
    <s v="Annual"/>
    <n v="0"/>
    <n v="0"/>
    <n v="7245"/>
    <n v="7245"/>
  </r>
  <r>
    <x v="0"/>
    <n v="27"/>
    <x v="7"/>
    <x v="1"/>
    <x v="1"/>
    <n v="1005"/>
    <x v="8"/>
    <x v="2"/>
    <x v="9"/>
    <n v="3019"/>
    <x v="44"/>
    <n v="4054"/>
    <x v="241"/>
    <s v="GY 10"/>
    <n v="20"/>
    <n v="120"/>
    <x v="251"/>
    <s v="Annual"/>
    <n v="1"/>
    <n v="1"/>
    <n v="130476"/>
    <n v="130476"/>
  </r>
  <r>
    <x v="0"/>
    <n v="27"/>
    <x v="7"/>
    <x v="1"/>
    <x v="1"/>
    <n v="1005"/>
    <x v="8"/>
    <x v="2"/>
    <x v="9"/>
    <n v="3019"/>
    <x v="44"/>
    <n v="4054"/>
    <x v="241"/>
    <s v="GY 10"/>
    <n v="20"/>
    <n v="120"/>
    <x v="251"/>
    <s v="Annual"/>
    <n v="1"/>
    <n v="1"/>
    <n v="101628"/>
    <n v="101628"/>
  </r>
  <r>
    <x v="0"/>
    <n v="27"/>
    <x v="7"/>
    <x v="1"/>
    <x v="1"/>
    <n v="1005"/>
    <x v="8"/>
    <x v="2"/>
    <x v="9"/>
    <n v="3019"/>
    <x v="44"/>
    <n v="4054"/>
    <x v="241"/>
    <s v="G 07"/>
    <n v="4"/>
    <n v="111"/>
    <x v="245"/>
    <s v="Annual"/>
    <n v="1"/>
    <n v="1"/>
    <n v="129636"/>
    <n v="129636"/>
  </r>
  <r>
    <x v="0"/>
    <n v="27"/>
    <x v="7"/>
    <x v="1"/>
    <x v="1"/>
    <n v="1005"/>
    <x v="8"/>
    <x v="2"/>
    <x v="9"/>
    <n v="3019"/>
    <x v="44"/>
    <n v="4054"/>
    <x v="241"/>
    <s v="G 07"/>
    <n v="4"/>
    <n v="111"/>
    <x v="245"/>
    <s v="Annual"/>
    <n v="1"/>
    <n v="1"/>
    <n v="90144"/>
    <n v="90144"/>
  </r>
  <r>
    <x v="0"/>
    <n v="27"/>
    <x v="7"/>
    <x v="1"/>
    <x v="1"/>
    <n v="1005"/>
    <x v="8"/>
    <x v="2"/>
    <x v="9"/>
    <n v="3019"/>
    <x v="44"/>
    <n v="4054"/>
    <x v="241"/>
    <s v="1 00"/>
    <n v="0"/>
    <n v="15"/>
    <x v="37"/>
    <s v="Annual"/>
    <n v="0"/>
    <n v="0"/>
    <n v="2903"/>
    <n v="2903"/>
  </r>
  <r>
    <x v="0"/>
    <n v="27"/>
    <x v="7"/>
    <x v="1"/>
    <x v="1"/>
    <n v="1005"/>
    <x v="8"/>
    <x v="5"/>
    <x v="10"/>
    <n v="3016"/>
    <x v="45"/>
    <n v="4006"/>
    <x v="6"/>
    <s v="GY 07"/>
    <n v="10"/>
    <n v="144"/>
    <x v="929"/>
    <s v="Annual"/>
    <n v="1"/>
    <n v="1"/>
    <n v="102648"/>
    <n v="102648"/>
  </r>
  <r>
    <x v="0"/>
    <n v="27"/>
    <x v="7"/>
    <x v="1"/>
    <x v="1"/>
    <n v="1005"/>
    <x v="8"/>
    <x v="5"/>
    <x v="10"/>
    <n v="3016"/>
    <x v="45"/>
    <n v="4006"/>
    <x v="6"/>
    <s v="GY 08"/>
    <n v="20"/>
    <n v="139"/>
    <x v="254"/>
    <s v="Annual"/>
    <n v="1"/>
    <n v="1"/>
    <n v="112080"/>
    <n v="112080"/>
  </r>
  <r>
    <x v="0"/>
    <n v="27"/>
    <x v="7"/>
    <x v="1"/>
    <x v="1"/>
    <n v="1005"/>
    <x v="8"/>
    <x v="5"/>
    <x v="10"/>
    <n v="3017"/>
    <x v="46"/>
    <n v="4026"/>
    <x v="11"/>
    <s v="G 06"/>
    <n v="4"/>
    <n v="192"/>
    <x v="272"/>
    <s v="Annual"/>
    <n v="1"/>
    <n v="1"/>
    <n v="92940"/>
    <n v="92940"/>
  </r>
  <r>
    <x v="0"/>
    <n v="27"/>
    <x v="7"/>
    <x v="1"/>
    <x v="1"/>
    <n v="1005"/>
    <x v="8"/>
    <x v="5"/>
    <x v="10"/>
    <n v="3017"/>
    <x v="46"/>
    <n v="4026"/>
    <x v="11"/>
    <s v="B 11"/>
    <n v="1"/>
    <n v="109"/>
    <x v="94"/>
    <s v="Annual"/>
    <n v="1"/>
    <n v="1"/>
    <n v="98928"/>
    <n v="98928"/>
  </r>
  <r>
    <x v="0"/>
    <n v="27"/>
    <x v="7"/>
    <x v="1"/>
    <x v="1"/>
    <n v="1005"/>
    <x v="8"/>
    <x v="5"/>
    <x v="10"/>
    <n v="3017"/>
    <x v="46"/>
    <n v="4026"/>
    <x v="11"/>
    <s v="B 11"/>
    <n v="1"/>
    <n v="109"/>
    <x v="94"/>
    <s v="Annual"/>
    <n v="1"/>
    <n v="1"/>
    <n v="70752"/>
    <n v="70752"/>
  </r>
  <r>
    <x v="0"/>
    <n v="27"/>
    <x v="7"/>
    <x v="1"/>
    <x v="1"/>
    <n v="1005"/>
    <x v="8"/>
    <x v="5"/>
    <x v="10"/>
    <n v="3017"/>
    <x v="46"/>
    <n v="4026"/>
    <x v="11"/>
    <s v="B 11"/>
    <n v="1"/>
    <n v="109"/>
    <x v="94"/>
    <s v="Annual"/>
    <n v="2"/>
    <n v="1"/>
    <n v="64488"/>
    <n v="128976"/>
  </r>
  <r>
    <x v="0"/>
    <n v="27"/>
    <x v="7"/>
    <x v="1"/>
    <x v="1"/>
    <n v="1005"/>
    <x v="8"/>
    <x v="5"/>
    <x v="10"/>
    <n v="3017"/>
    <x v="46"/>
    <n v="4026"/>
    <x v="11"/>
    <s v="1 00"/>
    <n v="0"/>
    <n v="15"/>
    <x v="37"/>
    <s v="Annual"/>
    <n v="0"/>
    <n v="0"/>
    <n v="380"/>
    <n v="380"/>
  </r>
  <r>
    <x v="0"/>
    <n v="27"/>
    <x v="7"/>
    <x v="1"/>
    <x v="1"/>
    <n v="1005"/>
    <x v="8"/>
    <x v="6"/>
    <x v="11"/>
    <n v="3154"/>
    <x v="47"/>
    <n v="4641"/>
    <x v="13"/>
    <s v="B 12"/>
    <n v="1"/>
    <s v="03A8"/>
    <x v="88"/>
    <s v="Annual"/>
    <n v="1"/>
    <n v="1"/>
    <n v="74172"/>
    <n v="74172"/>
  </r>
  <r>
    <x v="0"/>
    <n v="27"/>
    <x v="7"/>
    <x v="1"/>
    <x v="1"/>
    <n v="1005"/>
    <x v="8"/>
    <x v="6"/>
    <x v="11"/>
    <n v="3154"/>
    <x v="47"/>
    <n v="4641"/>
    <x v="13"/>
    <s v="B 12"/>
    <n v="1"/>
    <s v="03A8"/>
    <x v="88"/>
    <s v="Annual"/>
    <n v="1"/>
    <n v="1"/>
    <n v="70752"/>
    <n v="70752"/>
  </r>
  <r>
    <x v="0"/>
    <n v="27"/>
    <x v="7"/>
    <x v="1"/>
    <x v="1"/>
    <n v="1005"/>
    <x v="8"/>
    <x v="6"/>
    <x v="11"/>
    <n v="3154"/>
    <x v="47"/>
    <n v="4641"/>
    <x v="13"/>
    <s v="B 10"/>
    <n v="1"/>
    <n v="235"/>
    <x v="279"/>
    <s v="Annual"/>
    <n v="1"/>
    <n v="1"/>
    <n v="90144"/>
    <n v="90144"/>
  </r>
  <r>
    <x v="0"/>
    <n v="27"/>
    <x v="7"/>
    <x v="1"/>
    <x v="1"/>
    <n v="1005"/>
    <x v="8"/>
    <x v="6"/>
    <x v="11"/>
    <n v="3154"/>
    <x v="47"/>
    <n v="4641"/>
    <x v="13"/>
    <s v="B 10"/>
    <n v="1"/>
    <n v="235"/>
    <x v="279"/>
    <s v="Annual"/>
    <n v="1"/>
    <n v="1"/>
    <n v="64488"/>
    <n v="64488"/>
  </r>
  <r>
    <x v="0"/>
    <n v="27"/>
    <x v="7"/>
    <x v="1"/>
    <x v="1"/>
    <n v="1005"/>
    <x v="8"/>
    <x v="6"/>
    <x v="11"/>
    <n v="3154"/>
    <x v="47"/>
    <n v="4641"/>
    <x v="13"/>
    <s v="B 10"/>
    <n v="1"/>
    <n v="235"/>
    <x v="279"/>
    <s v="Annual"/>
    <n v="1"/>
    <n v="1"/>
    <n v="61548"/>
    <n v="61548"/>
  </r>
  <r>
    <x v="0"/>
    <n v="27"/>
    <x v="7"/>
    <x v="1"/>
    <x v="1"/>
    <n v="1005"/>
    <x v="8"/>
    <x v="6"/>
    <x v="11"/>
    <n v="3154"/>
    <x v="47"/>
    <n v="4641"/>
    <x v="13"/>
    <s v="B 10"/>
    <n v="1"/>
    <n v="235"/>
    <x v="279"/>
    <s v="Annual"/>
    <n v="2"/>
    <n v="1"/>
    <n v="56124"/>
    <n v="112248"/>
  </r>
  <r>
    <x v="0"/>
    <n v="27"/>
    <x v="7"/>
    <x v="1"/>
    <x v="1"/>
    <n v="1005"/>
    <x v="8"/>
    <x v="6"/>
    <x v="11"/>
    <n v="3154"/>
    <x v="47"/>
    <n v="4641"/>
    <x v="13"/>
    <s v="B 10"/>
    <n v="1"/>
    <n v="235"/>
    <x v="279"/>
    <s v="Annual"/>
    <n v="2"/>
    <n v="1"/>
    <n v="51936"/>
    <n v="103872"/>
  </r>
  <r>
    <x v="0"/>
    <n v="27"/>
    <x v="7"/>
    <x v="1"/>
    <x v="1"/>
    <n v="1005"/>
    <x v="8"/>
    <x v="6"/>
    <x v="11"/>
    <n v="3154"/>
    <x v="47"/>
    <n v="4641"/>
    <x v="13"/>
    <s v="1 00"/>
    <n v="0"/>
    <n v="15"/>
    <x v="37"/>
    <s v="Annual"/>
    <n v="0"/>
    <n v="0"/>
    <n v="5477"/>
    <n v="5477"/>
  </r>
  <r>
    <x v="0"/>
    <n v="27"/>
    <x v="7"/>
    <x v="1"/>
    <x v="1"/>
    <n v="1005"/>
    <x v="8"/>
    <x v="6"/>
    <x v="11"/>
    <n v="3154"/>
    <x v="47"/>
    <n v="4642"/>
    <x v="14"/>
    <s v="G 07"/>
    <n v="4"/>
    <n v="111"/>
    <x v="245"/>
    <s v="Annual"/>
    <n v="1"/>
    <n v="1"/>
    <n v="129636"/>
    <n v="129636"/>
  </r>
  <r>
    <x v="0"/>
    <n v="27"/>
    <x v="7"/>
    <x v="1"/>
    <x v="1"/>
    <n v="1005"/>
    <x v="8"/>
    <x v="6"/>
    <x v="11"/>
    <n v="3154"/>
    <x v="47"/>
    <n v="4642"/>
    <x v="14"/>
    <s v="B 13"/>
    <n v="4"/>
    <n v="110"/>
    <x v="93"/>
    <s v="Annual"/>
    <n v="1"/>
    <n v="1"/>
    <n v="108576"/>
    <n v="108576"/>
  </r>
  <r>
    <x v="0"/>
    <n v="27"/>
    <x v="7"/>
    <x v="1"/>
    <x v="1"/>
    <n v="1005"/>
    <x v="8"/>
    <x v="6"/>
    <x v="11"/>
    <n v="3154"/>
    <x v="47"/>
    <n v="4642"/>
    <x v="14"/>
    <s v="1 00"/>
    <n v="0"/>
    <n v="15"/>
    <x v="37"/>
    <s v="Annual"/>
    <n v="0"/>
    <n v="0"/>
    <n v="3272"/>
    <n v="3272"/>
  </r>
  <r>
    <x v="0"/>
    <n v="27"/>
    <x v="7"/>
    <x v="1"/>
    <x v="1"/>
    <n v="1005"/>
    <x v="8"/>
    <x v="6"/>
    <x v="11"/>
    <n v="3220"/>
    <x v="50"/>
    <n v="4202"/>
    <x v="21"/>
    <s v="B 10"/>
    <n v="1"/>
    <n v="420"/>
    <x v="300"/>
    <s v="Annual"/>
    <n v="1"/>
    <n v="1"/>
    <n v="51936"/>
    <n v="51936"/>
  </r>
  <r>
    <x v="0"/>
    <n v="27"/>
    <x v="7"/>
    <x v="1"/>
    <x v="1"/>
    <n v="1005"/>
    <x v="8"/>
    <x v="6"/>
    <x v="11"/>
    <n v="3220"/>
    <x v="50"/>
    <n v="4205"/>
    <x v="242"/>
    <s v="X 32"/>
    <n v="9"/>
    <n v="9684"/>
    <x v="76"/>
    <s v="Annual"/>
    <n v="1"/>
    <n v="1"/>
    <n v="175512"/>
    <n v="175512"/>
  </r>
  <r>
    <x v="0"/>
    <n v="27"/>
    <x v="7"/>
    <x v="1"/>
    <x v="1"/>
    <n v="1005"/>
    <x v="8"/>
    <x v="6"/>
    <x v="11"/>
    <n v="3220"/>
    <x v="50"/>
    <n v="4205"/>
    <x v="242"/>
    <s v="B 13"/>
    <n v="1"/>
    <n v="1617"/>
    <x v="338"/>
    <s v="Annual"/>
    <n v="1"/>
    <n v="1"/>
    <n v="68616"/>
    <n v="68616"/>
  </r>
  <r>
    <x v="0"/>
    <n v="27"/>
    <x v="7"/>
    <x v="1"/>
    <x v="1"/>
    <n v="1005"/>
    <x v="8"/>
    <x v="6"/>
    <x v="11"/>
    <n v="3220"/>
    <x v="50"/>
    <n v="4205"/>
    <x v="242"/>
    <s v="B 10"/>
    <n v="1"/>
    <s v="03A7"/>
    <x v="4"/>
    <s v="Annual"/>
    <n v="1"/>
    <n v="1"/>
    <n v="56124"/>
    <n v="56124"/>
  </r>
  <r>
    <x v="0"/>
    <n v="27"/>
    <x v="7"/>
    <x v="1"/>
    <x v="1"/>
    <n v="1005"/>
    <x v="8"/>
    <x v="6"/>
    <x v="11"/>
    <n v="3220"/>
    <x v="50"/>
    <n v="4205"/>
    <x v="242"/>
    <s v="B 10"/>
    <n v="1"/>
    <s v="03A7"/>
    <x v="4"/>
    <s v="Annual"/>
    <n v="1"/>
    <n v="1"/>
    <n v="51936"/>
    <n v="51936"/>
  </r>
  <r>
    <x v="0"/>
    <n v="27"/>
    <x v="7"/>
    <x v="1"/>
    <x v="1"/>
    <n v="1005"/>
    <x v="8"/>
    <x v="6"/>
    <x v="11"/>
    <n v="3220"/>
    <x v="50"/>
    <n v="4205"/>
    <x v="242"/>
    <s v="B 14"/>
    <n v="4"/>
    <n v="325"/>
    <x v="930"/>
    <s v="Annual"/>
    <n v="1"/>
    <n v="1"/>
    <n v="130668"/>
    <n v="130668"/>
  </r>
  <r>
    <x v="0"/>
    <n v="27"/>
    <x v="7"/>
    <x v="1"/>
    <x v="1"/>
    <n v="1005"/>
    <x v="8"/>
    <x v="6"/>
    <x v="11"/>
    <n v="3220"/>
    <x v="50"/>
    <n v="4205"/>
    <x v="242"/>
    <s v="B 14"/>
    <n v="4"/>
    <n v="325"/>
    <x v="930"/>
    <s v="Annual"/>
    <n v="1"/>
    <n v="1"/>
    <n v="77640"/>
    <n v="77640"/>
  </r>
  <r>
    <x v="0"/>
    <n v="27"/>
    <x v="7"/>
    <x v="1"/>
    <x v="1"/>
    <n v="1005"/>
    <x v="8"/>
    <x v="6"/>
    <x v="11"/>
    <n v="3220"/>
    <x v="50"/>
    <n v="4205"/>
    <x v="242"/>
    <s v="B 13"/>
    <n v="1"/>
    <n v="308"/>
    <x v="90"/>
    <s v="Annual"/>
    <n v="1"/>
    <n v="1"/>
    <n v="119100"/>
    <n v="119100"/>
  </r>
  <r>
    <x v="0"/>
    <n v="27"/>
    <x v="7"/>
    <x v="1"/>
    <x v="1"/>
    <n v="1005"/>
    <x v="8"/>
    <x v="6"/>
    <x v="11"/>
    <n v="3220"/>
    <x v="50"/>
    <n v="4205"/>
    <x v="242"/>
    <s v="B 13"/>
    <n v="1"/>
    <n v="308"/>
    <x v="90"/>
    <s v="Annual"/>
    <n v="1"/>
    <n v="1"/>
    <n v="108576"/>
    <n v="108576"/>
  </r>
  <r>
    <x v="0"/>
    <n v="27"/>
    <x v="7"/>
    <x v="1"/>
    <x v="1"/>
    <n v="1005"/>
    <x v="8"/>
    <x v="6"/>
    <x v="11"/>
    <n v="3220"/>
    <x v="50"/>
    <n v="4205"/>
    <x v="242"/>
    <s v="X 33"/>
    <n v="0"/>
    <n v="306"/>
    <x v="237"/>
    <s v="Annual"/>
    <n v="1"/>
    <n v="1"/>
    <n v="146808"/>
    <n v="146808"/>
  </r>
  <r>
    <x v="0"/>
    <n v="27"/>
    <x v="7"/>
    <x v="1"/>
    <x v="1"/>
    <n v="1005"/>
    <x v="8"/>
    <x v="6"/>
    <x v="11"/>
    <n v="3220"/>
    <x v="50"/>
    <n v="4205"/>
    <x v="242"/>
    <s v="GY 10"/>
    <n v="10"/>
    <n v="167"/>
    <x v="303"/>
    <s v="Annual"/>
    <n v="3"/>
    <n v="1"/>
    <n v="111000"/>
    <n v="333000"/>
  </r>
  <r>
    <x v="0"/>
    <n v="27"/>
    <x v="7"/>
    <x v="1"/>
    <x v="1"/>
    <n v="1005"/>
    <x v="8"/>
    <x v="6"/>
    <x v="11"/>
    <n v="3220"/>
    <x v="50"/>
    <n v="4205"/>
    <x v="242"/>
    <s v="B 13"/>
    <n v="4"/>
    <n v="110"/>
    <x v="93"/>
    <s v="Annual"/>
    <n v="1"/>
    <n v="1"/>
    <n v="85200"/>
    <n v="85200"/>
  </r>
  <r>
    <x v="0"/>
    <n v="27"/>
    <x v="7"/>
    <x v="1"/>
    <x v="1"/>
    <n v="1005"/>
    <x v="8"/>
    <x v="6"/>
    <x v="11"/>
    <n v="3220"/>
    <x v="50"/>
    <n v="4205"/>
    <x v="242"/>
    <s v="B 13"/>
    <n v="4"/>
    <n v="110"/>
    <x v="93"/>
    <s v="Annual"/>
    <n v="3"/>
    <n v="1"/>
    <n v="68616"/>
    <n v="205848"/>
  </r>
  <r>
    <x v="0"/>
    <n v="27"/>
    <x v="7"/>
    <x v="1"/>
    <x v="1"/>
    <n v="1005"/>
    <x v="8"/>
    <x v="6"/>
    <x v="11"/>
    <n v="3220"/>
    <x v="50"/>
    <n v="4205"/>
    <x v="242"/>
    <s v="B 11"/>
    <n v="1"/>
    <n v="109"/>
    <x v="94"/>
    <s v="Annual"/>
    <n v="3"/>
    <n v="1"/>
    <n v="98928"/>
    <n v="296784"/>
  </r>
  <r>
    <x v="0"/>
    <n v="27"/>
    <x v="7"/>
    <x v="1"/>
    <x v="1"/>
    <n v="1005"/>
    <x v="8"/>
    <x v="6"/>
    <x v="11"/>
    <n v="3220"/>
    <x v="50"/>
    <n v="4205"/>
    <x v="242"/>
    <s v="B 11"/>
    <n v="1"/>
    <n v="109"/>
    <x v="94"/>
    <s v="Annual"/>
    <n v="1"/>
    <n v="1"/>
    <n v="67608"/>
    <n v="67608"/>
  </r>
  <r>
    <x v="0"/>
    <n v="27"/>
    <x v="7"/>
    <x v="1"/>
    <x v="1"/>
    <n v="1005"/>
    <x v="8"/>
    <x v="6"/>
    <x v="11"/>
    <n v="3220"/>
    <x v="50"/>
    <n v="4205"/>
    <x v="242"/>
    <s v="B 11"/>
    <n v="1"/>
    <n v="109"/>
    <x v="94"/>
    <s v="Annual"/>
    <n v="1"/>
    <n v="1"/>
    <n v="64488"/>
    <n v="64488"/>
  </r>
  <r>
    <x v="0"/>
    <n v="27"/>
    <x v="7"/>
    <x v="1"/>
    <x v="1"/>
    <n v="1005"/>
    <x v="8"/>
    <x v="6"/>
    <x v="11"/>
    <n v="3220"/>
    <x v="50"/>
    <n v="4205"/>
    <x v="242"/>
    <s v="B 11"/>
    <n v="1"/>
    <n v="109"/>
    <x v="94"/>
    <s v="Annual"/>
    <n v="1"/>
    <n v="1"/>
    <n v="61548"/>
    <n v="61548"/>
  </r>
  <r>
    <x v="0"/>
    <n v="27"/>
    <x v="7"/>
    <x v="1"/>
    <x v="1"/>
    <n v="1005"/>
    <x v="8"/>
    <x v="6"/>
    <x v="11"/>
    <n v="3220"/>
    <x v="50"/>
    <n v="4205"/>
    <x v="242"/>
    <s v="B 11"/>
    <n v="1"/>
    <n v="109"/>
    <x v="94"/>
    <s v="Annual"/>
    <n v="3"/>
    <n v="1"/>
    <n v="57000"/>
    <n v="171000"/>
  </r>
  <r>
    <x v="0"/>
    <n v="27"/>
    <x v="7"/>
    <x v="1"/>
    <x v="1"/>
    <n v="1005"/>
    <x v="8"/>
    <x v="6"/>
    <x v="11"/>
    <n v="3220"/>
    <x v="50"/>
    <n v="4205"/>
    <x v="242"/>
    <s v="B 12"/>
    <n v="4"/>
    <n v="101"/>
    <x v="931"/>
    <s v="Annual"/>
    <n v="1"/>
    <n v="1"/>
    <n v="77640"/>
    <n v="77640"/>
  </r>
  <r>
    <x v="0"/>
    <n v="27"/>
    <x v="7"/>
    <x v="1"/>
    <x v="1"/>
    <n v="1005"/>
    <x v="8"/>
    <x v="6"/>
    <x v="11"/>
    <n v="3220"/>
    <x v="50"/>
    <n v="4205"/>
    <x v="242"/>
    <s v="1 00"/>
    <n v="0"/>
    <n v="15"/>
    <x v="37"/>
    <s v="Annual"/>
    <n v="0"/>
    <n v="0"/>
    <n v="12724"/>
    <n v="12724"/>
  </r>
  <r>
    <x v="0"/>
    <n v="28"/>
    <x v="8"/>
    <x v="1"/>
    <x v="1"/>
    <n v="1005"/>
    <x v="9"/>
    <x v="0"/>
    <x v="12"/>
    <n v="3010"/>
    <x v="51"/>
    <n v="0"/>
    <x v="0"/>
    <s v="X 23"/>
    <n v="9"/>
    <n v="9676"/>
    <x v="312"/>
    <s v="Annual"/>
    <n v="1"/>
    <n v="1"/>
    <n v="124848"/>
    <n v="124848"/>
  </r>
  <r>
    <x v="0"/>
    <n v="28"/>
    <x v="8"/>
    <x v="1"/>
    <x v="1"/>
    <n v="1005"/>
    <x v="9"/>
    <x v="0"/>
    <x v="12"/>
    <n v="3010"/>
    <x v="51"/>
    <n v="0"/>
    <x v="0"/>
    <s v="BX 16"/>
    <n v="10"/>
    <n v="802"/>
    <x v="30"/>
    <s v="Annual"/>
    <n v="1"/>
    <n v="1"/>
    <n v="94332"/>
    <n v="94332"/>
  </r>
  <r>
    <x v="0"/>
    <n v="28"/>
    <x v="8"/>
    <x v="1"/>
    <x v="1"/>
    <n v="1005"/>
    <x v="9"/>
    <x v="0"/>
    <x v="12"/>
    <n v="3010"/>
    <x v="51"/>
    <n v="0"/>
    <x v="0"/>
    <s v="1 00"/>
    <n v="0"/>
    <n v="15"/>
    <x v="37"/>
    <s v="Annual"/>
    <n v="0"/>
    <n v="0"/>
    <n v="2049"/>
    <n v="2049"/>
  </r>
  <r>
    <x v="0"/>
    <n v="28"/>
    <x v="8"/>
    <x v="1"/>
    <x v="1"/>
    <n v="1005"/>
    <x v="9"/>
    <x v="0"/>
    <x v="12"/>
    <n v="3020"/>
    <x v="22"/>
    <n v="0"/>
    <x v="0"/>
    <s v="3 00"/>
    <n v="10"/>
    <n v="340"/>
    <x v="311"/>
    <s v="Annual"/>
    <n v="1"/>
    <n v="1"/>
    <n v="68004"/>
    <n v="68004"/>
  </r>
  <r>
    <x v="0"/>
    <n v="28"/>
    <x v="8"/>
    <x v="1"/>
    <x v="1"/>
    <n v="1005"/>
    <x v="9"/>
    <x v="0"/>
    <x v="12"/>
    <n v="3025"/>
    <x v="246"/>
    <n v="0"/>
    <x v="0"/>
    <s v="3 00"/>
    <n v="10"/>
    <n v="340"/>
    <x v="311"/>
    <s v="Annual"/>
    <n v="1"/>
    <n v="1"/>
    <n v="68232"/>
    <n v="68232"/>
  </r>
  <r>
    <x v="0"/>
    <n v="31"/>
    <x v="10"/>
    <x v="1"/>
    <x v="1"/>
    <n v="1005"/>
    <x v="11"/>
    <x v="0"/>
    <x v="14"/>
    <n v="3019"/>
    <x v="59"/>
    <n v="4002"/>
    <x v="243"/>
    <s v="L 03"/>
    <n v="9"/>
    <n v="1673"/>
    <x v="335"/>
    <s v="Annual"/>
    <n v="1"/>
    <n v="1"/>
    <n v="85704"/>
    <n v="85704"/>
  </r>
  <r>
    <x v="0"/>
    <n v="31"/>
    <x v="10"/>
    <x v="1"/>
    <x v="1"/>
    <n v="1005"/>
    <x v="11"/>
    <x v="0"/>
    <x v="14"/>
    <n v="3019"/>
    <x v="59"/>
    <n v="4002"/>
    <x v="243"/>
    <s v="LX 03"/>
    <n v="9"/>
    <n v="1652"/>
    <x v="336"/>
    <s v="Annual"/>
    <n v="1"/>
    <n v="1"/>
    <n v="173160"/>
    <n v="173160"/>
  </r>
  <r>
    <x v="0"/>
    <n v="31"/>
    <x v="10"/>
    <x v="1"/>
    <x v="1"/>
    <n v="1005"/>
    <x v="11"/>
    <x v="0"/>
    <x v="14"/>
    <n v="3019"/>
    <x v="59"/>
    <n v="4002"/>
    <x v="243"/>
    <s v="L 05"/>
    <n v="9"/>
    <n v="1641"/>
    <x v="337"/>
    <s v="Annual"/>
    <n v="2"/>
    <n v="1"/>
    <n v="164100"/>
    <n v="328200"/>
  </r>
  <r>
    <x v="0"/>
    <n v="31"/>
    <x v="10"/>
    <x v="1"/>
    <x v="1"/>
    <n v="1005"/>
    <x v="11"/>
    <x v="0"/>
    <x v="14"/>
    <n v="3019"/>
    <x v="59"/>
    <n v="4002"/>
    <x v="243"/>
    <s v="1 00"/>
    <n v="0"/>
    <n v="15"/>
    <x v="37"/>
    <s v="Annual"/>
    <n v="0"/>
    <n v="0"/>
    <n v="1113"/>
    <n v="1113"/>
  </r>
  <r>
    <x v="0"/>
    <n v="31"/>
    <x v="10"/>
    <x v="1"/>
    <x v="1"/>
    <n v="1005"/>
    <x v="11"/>
    <x v="0"/>
    <x v="14"/>
    <n v="3022"/>
    <x v="60"/>
    <n v="4007"/>
    <x v="244"/>
    <s v="L 03"/>
    <n v="9"/>
    <n v="1673"/>
    <x v="335"/>
    <s v="Annual"/>
    <n v="1"/>
    <n v="1"/>
    <n v="108084"/>
    <n v="108084"/>
  </r>
  <r>
    <x v="0"/>
    <n v="31"/>
    <x v="10"/>
    <x v="1"/>
    <x v="1"/>
    <n v="1005"/>
    <x v="11"/>
    <x v="0"/>
    <x v="14"/>
    <n v="3028"/>
    <x v="62"/>
    <n v="4012"/>
    <x v="245"/>
    <s v="L 02"/>
    <n v="9"/>
    <n v="1672"/>
    <x v="346"/>
    <s v="Annual"/>
    <n v="1"/>
    <n v="1"/>
    <n v="94044"/>
    <n v="94044"/>
  </r>
  <r>
    <x v="0"/>
    <n v="31"/>
    <x v="10"/>
    <x v="1"/>
    <x v="1"/>
    <n v="1005"/>
    <x v="11"/>
    <x v="0"/>
    <x v="14"/>
    <n v="3028"/>
    <x v="62"/>
    <n v="4012"/>
    <x v="245"/>
    <s v="L 05"/>
    <n v="9"/>
    <n v="1641"/>
    <x v="337"/>
    <s v="Annual"/>
    <n v="1"/>
    <n v="1"/>
    <n v="118596"/>
    <n v="118596"/>
  </r>
  <r>
    <x v="0"/>
    <n v="31"/>
    <x v="10"/>
    <x v="1"/>
    <x v="1"/>
    <n v="1005"/>
    <x v="11"/>
    <x v="0"/>
    <x v="14"/>
    <n v="3028"/>
    <x v="62"/>
    <n v="4012"/>
    <x v="245"/>
    <s v="BX 15"/>
    <n v="10"/>
    <n v="1611"/>
    <x v="39"/>
    <s v="Annual"/>
    <n v="1"/>
    <n v="1"/>
    <n v="69684"/>
    <n v="69684"/>
  </r>
  <r>
    <x v="0"/>
    <n v="31"/>
    <x v="10"/>
    <x v="1"/>
    <x v="1"/>
    <n v="1005"/>
    <x v="11"/>
    <x v="0"/>
    <x v="14"/>
    <n v="3028"/>
    <x v="62"/>
    <n v="4012"/>
    <x v="245"/>
    <s v="1 00"/>
    <n v="0"/>
    <n v="15"/>
    <x v="37"/>
    <s v="Annual"/>
    <n v="0"/>
    <n v="0"/>
    <n v="1656"/>
    <n v="1656"/>
  </r>
  <r>
    <x v="0"/>
    <n v="31"/>
    <x v="10"/>
    <x v="1"/>
    <x v="1"/>
    <n v="1005"/>
    <x v="11"/>
    <x v="0"/>
    <x v="14"/>
    <n v="3039"/>
    <x v="67"/>
    <n v="4039"/>
    <x v="40"/>
    <s v="L 04"/>
    <n v="9"/>
    <n v="1674"/>
    <x v="339"/>
    <s v="Annual"/>
    <n v="1"/>
    <n v="1"/>
    <n v="156648"/>
    <n v="156648"/>
  </r>
  <r>
    <x v="0"/>
    <n v="31"/>
    <x v="10"/>
    <x v="1"/>
    <x v="1"/>
    <n v="1005"/>
    <x v="11"/>
    <x v="0"/>
    <x v="14"/>
    <n v="3039"/>
    <x v="67"/>
    <n v="4039"/>
    <x v="40"/>
    <s v="LX 03"/>
    <n v="9"/>
    <n v="1652"/>
    <x v="336"/>
    <s v="Annual"/>
    <n v="1"/>
    <n v="1"/>
    <n v="173160"/>
    <n v="173160"/>
  </r>
  <r>
    <x v="0"/>
    <n v="31"/>
    <x v="10"/>
    <x v="1"/>
    <x v="1"/>
    <n v="1005"/>
    <x v="11"/>
    <x v="0"/>
    <x v="14"/>
    <n v="3039"/>
    <x v="67"/>
    <n v="4039"/>
    <x v="40"/>
    <s v="L 01"/>
    <n v="9"/>
    <n v="1643"/>
    <x v="340"/>
    <s v="Annual"/>
    <n v="1"/>
    <n v="1"/>
    <n v="98484"/>
    <n v="98484"/>
  </r>
  <r>
    <x v="0"/>
    <n v="31"/>
    <x v="10"/>
    <x v="1"/>
    <x v="1"/>
    <n v="1005"/>
    <x v="11"/>
    <x v="0"/>
    <x v="14"/>
    <n v="3039"/>
    <x v="67"/>
    <n v="4039"/>
    <x v="40"/>
    <s v="1 00"/>
    <n v="0"/>
    <n v="15"/>
    <x v="37"/>
    <s v="Annual"/>
    <n v="0"/>
    <n v="0"/>
    <n v="1855"/>
    <n v="1855"/>
  </r>
  <r>
    <x v="0"/>
    <n v="31"/>
    <x v="10"/>
    <x v="1"/>
    <x v="1"/>
    <n v="1005"/>
    <x v="11"/>
    <x v="0"/>
    <x v="14"/>
    <n v="3249"/>
    <x v="71"/>
    <n v="0"/>
    <x v="0"/>
    <s v="LX 02"/>
    <n v="9"/>
    <n v="1650"/>
    <x v="328"/>
    <s v="Annual"/>
    <n v="1"/>
    <n v="1"/>
    <n v="192852"/>
    <n v="192852"/>
  </r>
  <r>
    <x v="0"/>
    <n v="31"/>
    <x v="10"/>
    <x v="1"/>
    <x v="1"/>
    <n v="1005"/>
    <x v="11"/>
    <x v="0"/>
    <x v="14"/>
    <n v="3249"/>
    <x v="71"/>
    <n v="0"/>
    <x v="0"/>
    <s v="L 01"/>
    <n v="9"/>
    <n v="1643"/>
    <x v="340"/>
    <s v="Annual"/>
    <n v="1"/>
    <n v="1"/>
    <n v="85704"/>
    <n v="85704"/>
  </r>
  <r>
    <x v="0"/>
    <n v="31"/>
    <x v="10"/>
    <x v="1"/>
    <x v="1"/>
    <n v="1005"/>
    <x v="11"/>
    <x v="0"/>
    <x v="14"/>
    <n v="3249"/>
    <x v="71"/>
    <n v="0"/>
    <x v="0"/>
    <s v="1 00"/>
    <n v="0"/>
    <n v="15"/>
    <x v="37"/>
    <s v="Annual"/>
    <n v="0"/>
    <n v="0"/>
    <n v="6590"/>
    <n v="6590"/>
  </r>
  <r>
    <x v="0"/>
    <n v="31"/>
    <x v="10"/>
    <x v="1"/>
    <x v="1"/>
    <n v="1005"/>
    <x v="11"/>
    <x v="0"/>
    <x v="14"/>
    <n v="3644"/>
    <x v="68"/>
    <n v="0"/>
    <x v="0"/>
    <s v="L 05"/>
    <n v="9"/>
    <n v="1641"/>
    <x v="337"/>
    <s v="Annual"/>
    <n v="1"/>
    <n v="1"/>
    <n v="164100"/>
    <n v="164100"/>
  </r>
  <r>
    <x v="0"/>
    <n v="33"/>
    <x v="11"/>
    <x v="1"/>
    <x v="1"/>
    <n v="1005"/>
    <x v="12"/>
    <x v="0"/>
    <x v="15"/>
    <n v="3040"/>
    <x v="78"/>
    <n v="4045"/>
    <x v="48"/>
    <s v="G 04"/>
    <n v="1"/>
    <n v="1370"/>
    <x v="369"/>
    <s v="Annual"/>
    <n v="1"/>
    <n v="1"/>
    <n v="98460"/>
    <n v="98460"/>
  </r>
  <r>
    <x v="0"/>
    <n v="33"/>
    <x v="11"/>
    <x v="1"/>
    <x v="1"/>
    <n v="1005"/>
    <x v="12"/>
    <x v="0"/>
    <x v="15"/>
    <n v="3040"/>
    <x v="78"/>
    <n v="4046"/>
    <x v="49"/>
    <s v="GY 10"/>
    <n v="20"/>
    <n v="1352"/>
    <x v="932"/>
    <s v="Annual"/>
    <n v="1"/>
    <n v="1"/>
    <n v="115992"/>
    <n v="115992"/>
  </r>
  <r>
    <x v="0"/>
    <n v="33"/>
    <x v="11"/>
    <x v="1"/>
    <x v="1"/>
    <n v="1005"/>
    <x v="12"/>
    <x v="0"/>
    <x v="15"/>
    <n v="3720"/>
    <x v="78"/>
    <n v="0"/>
    <x v="0"/>
    <s v="G 05"/>
    <n v="1"/>
    <n v="1357"/>
    <x v="378"/>
    <s v="Annual"/>
    <n v="1"/>
    <n v="1"/>
    <n v="84192"/>
    <n v="84192"/>
  </r>
  <r>
    <x v="0"/>
    <n v="33"/>
    <x v="11"/>
    <x v="1"/>
    <x v="1"/>
    <n v="1005"/>
    <x v="12"/>
    <x v="0"/>
    <x v="15"/>
    <n v="3720"/>
    <x v="78"/>
    <n v="0"/>
    <x v="0"/>
    <s v="B 12"/>
    <n v="1"/>
    <s v="03A8"/>
    <x v="88"/>
    <s v="Annual"/>
    <n v="1"/>
    <n v="1"/>
    <n v="86112"/>
    <n v="86112"/>
  </r>
  <r>
    <x v="0"/>
    <n v="35"/>
    <x v="12"/>
    <x v="1"/>
    <x v="1"/>
    <n v="1005"/>
    <x v="13"/>
    <x v="0"/>
    <x v="16"/>
    <n v="3012"/>
    <x v="81"/>
    <n v="4008"/>
    <x v="55"/>
    <s v="BX 18"/>
    <n v="0"/>
    <n v="1508"/>
    <x v="395"/>
    <s v="Annual"/>
    <n v="1"/>
    <n v="1"/>
    <n v="93384"/>
    <n v="93384"/>
  </r>
  <r>
    <x v="0"/>
    <n v="35"/>
    <x v="12"/>
    <x v="1"/>
    <x v="1"/>
    <n v="1005"/>
    <x v="13"/>
    <x v="0"/>
    <x v="16"/>
    <n v="3012"/>
    <x v="81"/>
    <n v="4008"/>
    <x v="55"/>
    <s v="B 15"/>
    <n v="1"/>
    <n v="1507"/>
    <x v="396"/>
    <s v="Annual"/>
    <n v="1"/>
    <n v="1"/>
    <n v="97956"/>
    <n v="97956"/>
  </r>
  <r>
    <x v="0"/>
    <n v="35"/>
    <x v="12"/>
    <x v="1"/>
    <x v="1"/>
    <n v="1005"/>
    <x v="13"/>
    <x v="0"/>
    <x v="16"/>
    <n v="3012"/>
    <x v="81"/>
    <n v="4008"/>
    <x v="55"/>
    <s v="1 00"/>
    <n v="0"/>
    <n v="15"/>
    <x v="37"/>
    <s v="Annual"/>
    <n v="0"/>
    <n v="0"/>
    <n v="5049"/>
    <n v="5049"/>
  </r>
  <r>
    <x v="0"/>
    <n v="35"/>
    <x v="12"/>
    <x v="1"/>
    <x v="1"/>
    <n v="1005"/>
    <x v="13"/>
    <x v="0"/>
    <x v="16"/>
    <n v="3012"/>
    <x v="81"/>
    <n v="4106"/>
    <x v="57"/>
    <s v="B 15"/>
    <n v="1"/>
    <n v="1507"/>
    <x v="396"/>
    <s v="Annual"/>
    <n v="1"/>
    <n v="1"/>
    <n v="124848"/>
    <n v="124848"/>
  </r>
  <r>
    <x v="0"/>
    <n v="35"/>
    <x v="12"/>
    <x v="1"/>
    <x v="1"/>
    <n v="1005"/>
    <x v="13"/>
    <x v="0"/>
    <x v="16"/>
    <n v="3012"/>
    <x v="81"/>
    <n v="4106"/>
    <x v="57"/>
    <s v="B 15"/>
    <n v="1"/>
    <n v="1507"/>
    <x v="396"/>
    <s v="Annual"/>
    <n v="1"/>
    <n v="1"/>
    <n v="108576"/>
    <n v="108576"/>
  </r>
  <r>
    <x v="0"/>
    <n v="35"/>
    <x v="12"/>
    <x v="1"/>
    <x v="1"/>
    <n v="1005"/>
    <x v="13"/>
    <x v="0"/>
    <x v="16"/>
    <n v="3012"/>
    <x v="81"/>
    <n v="4106"/>
    <x v="57"/>
    <s v="1 00"/>
    <n v="0"/>
    <n v="15"/>
    <x v="37"/>
    <s v="Annual"/>
    <n v="0"/>
    <n v="0"/>
    <n v="1178"/>
    <n v="1178"/>
  </r>
  <r>
    <x v="0"/>
    <n v="35"/>
    <x v="12"/>
    <x v="1"/>
    <x v="1"/>
    <n v="1005"/>
    <x v="13"/>
    <x v="0"/>
    <x v="16"/>
    <n v="3024"/>
    <x v="82"/>
    <n v="4031"/>
    <x v="60"/>
    <s v="G 06"/>
    <n v="1"/>
    <n v="1504"/>
    <x v="403"/>
    <s v="Annual"/>
    <n v="1"/>
    <n v="1"/>
    <n v="97488"/>
    <n v="97488"/>
  </r>
  <r>
    <x v="0"/>
    <n v="35"/>
    <x v="12"/>
    <x v="1"/>
    <x v="1"/>
    <n v="1005"/>
    <x v="13"/>
    <x v="0"/>
    <x v="16"/>
    <n v="3024"/>
    <x v="82"/>
    <n v="4031"/>
    <x v="60"/>
    <s v="1 00"/>
    <n v="0"/>
    <n v="15"/>
    <x v="37"/>
    <s v="Annual"/>
    <n v="0"/>
    <n v="0"/>
    <n v="3663"/>
    <n v="3663"/>
  </r>
  <r>
    <x v="0"/>
    <n v="38"/>
    <x v="13"/>
    <x v="1"/>
    <x v="1"/>
    <n v="1005"/>
    <x v="14"/>
    <x v="10"/>
    <x v="20"/>
    <n v="3214"/>
    <x v="95"/>
    <n v="0"/>
    <x v="0"/>
    <s v="B 12"/>
    <n v="1"/>
    <s v="03A8"/>
    <x v="88"/>
    <s v="Annual"/>
    <n v="1"/>
    <n v="1"/>
    <n v="103608"/>
    <n v="103608"/>
  </r>
  <r>
    <x v="0"/>
    <n v="38"/>
    <x v="13"/>
    <x v="1"/>
    <x v="1"/>
    <n v="1005"/>
    <x v="14"/>
    <x v="10"/>
    <x v="20"/>
    <n v="3214"/>
    <x v="95"/>
    <n v="0"/>
    <x v="0"/>
    <s v="B 10"/>
    <n v="1"/>
    <s v="03A7"/>
    <x v="4"/>
    <s v="Annual"/>
    <n v="1"/>
    <n v="1"/>
    <n v="53532"/>
    <n v="53532"/>
  </r>
  <r>
    <x v="0"/>
    <n v="38"/>
    <x v="13"/>
    <x v="1"/>
    <x v="1"/>
    <n v="1005"/>
    <x v="14"/>
    <x v="10"/>
    <x v="20"/>
    <n v="3214"/>
    <x v="95"/>
    <n v="0"/>
    <x v="0"/>
    <s v="1 00"/>
    <n v="0"/>
    <n v="15"/>
    <x v="37"/>
    <s v="Annual"/>
    <n v="0"/>
    <n v="0"/>
    <n v="5098"/>
    <n v="5098"/>
  </r>
  <r>
    <x v="0"/>
    <n v="38"/>
    <x v="13"/>
    <x v="1"/>
    <x v="1"/>
    <n v="1005"/>
    <x v="14"/>
    <x v="10"/>
    <x v="20"/>
    <n v="3222"/>
    <x v="247"/>
    <n v="0"/>
    <x v="0"/>
    <s v="2 0"/>
    <n v="42"/>
    <n v="7638"/>
    <x v="482"/>
    <s v="Hourly"/>
    <n v="11"/>
    <n v="1"/>
    <n v="67.8"/>
    <n v="1551264"/>
  </r>
  <r>
    <x v="0"/>
    <n v="38"/>
    <x v="13"/>
    <x v="1"/>
    <x v="1"/>
    <n v="1005"/>
    <x v="14"/>
    <x v="10"/>
    <x v="20"/>
    <n v="3222"/>
    <x v="247"/>
    <n v="0"/>
    <x v="0"/>
    <s v="2 0"/>
    <n v="42"/>
    <n v="7634"/>
    <x v="483"/>
    <s v="Hourly"/>
    <n v="1"/>
    <n v="1"/>
    <n v="68.8"/>
    <n v="143104"/>
  </r>
  <r>
    <x v="0"/>
    <n v="38"/>
    <x v="13"/>
    <x v="1"/>
    <x v="1"/>
    <n v="1005"/>
    <x v="14"/>
    <x v="10"/>
    <x v="20"/>
    <n v="3222"/>
    <x v="247"/>
    <n v="0"/>
    <x v="0"/>
    <s v="2 0"/>
    <n v="8"/>
    <n v="7186"/>
    <x v="484"/>
    <s v="Hourly"/>
    <n v="4"/>
    <n v="1"/>
    <n v="49.46"/>
    <n v="411507"/>
  </r>
  <r>
    <x v="0"/>
    <n v="38"/>
    <x v="13"/>
    <x v="1"/>
    <x v="1"/>
    <n v="1005"/>
    <x v="14"/>
    <x v="10"/>
    <x v="20"/>
    <n v="3222"/>
    <x v="247"/>
    <n v="0"/>
    <x v="0"/>
    <s v="2 0"/>
    <n v="8"/>
    <n v="7183"/>
    <x v="449"/>
    <s v="Hourly"/>
    <n v="2"/>
    <n v="1"/>
    <n v="48.73"/>
    <n v="202717"/>
  </r>
  <r>
    <x v="0"/>
    <n v="38"/>
    <x v="13"/>
    <x v="1"/>
    <x v="1"/>
    <n v="1005"/>
    <x v="14"/>
    <x v="10"/>
    <x v="20"/>
    <n v="3222"/>
    <x v="247"/>
    <n v="0"/>
    <x v="0"/>
    <s v="2 0"/>
    <n v="8"/>
    <n v="7160"/>
    <x v="478"/>
    <s v="Hourly"/>
    <n v="5"/>
    <n v="1"/>
    <n v="33.619999999999997"/>
    <n v="349648"/>
  </r>
  <r>
    <x v="0"/>
    <n v="38"/>
    <x v="13"/>
    <x v="1"/>
    <x v="1"/>
    <n v="1005"/>
    <x v="14"/>
    <x v="10"/>
    <x v="20"/>
    <n v="3222"/>
    <x v="247"/>
    <n v="0"/>
    <x v="0"/>
    <s v="P 12"/>
    <n v="8"/>
    <n v="7136"/>
    <x v="486"/>
    <s v="Annual"/>
    <n v="1"/>
    <n v="1"/>
    <n v="108528"/>
    <n v="108528"/>
  </r>
  <r>
    <x v="0"/>
    <n v="38"/>
    <x v="13"/>
    <x v="1"/>
    <x v="1"/>
    <n v="1005"/>
    <x v="14"/>
    <x v="10"/>
    <x v="20"/>
    <n v="3222"/>
    <x v="247"/>
    <n v="0"/>
    <x v="0"/>
    <s v="P 12"/>
    <n v="8"/>
    <n v="7136"/>
    <x v="486"/>
    <s v="Annual"/>
    <n v="1"/>
    <n v="1"/>
    <n v="64440"/>
    <n v="64440"/>
  </r>
  <r>
    <x v="0"/>
    <n v="38"/>
    <x v="13"/>
    <x v="1"/>
    <x v="1"/>
    <n v="1005"/>
    <x v="14"/>
    <x v="10"/>
    <x v="20"/>
    <n v="3222"/>
    <x v="247"/>
    <n v="0"/>
    <x v="0"/>
    <s v="BX 18"/>
    <n v="10"/>
    <n v="7047"/>
    <x v="488"/>
    <s v="Annual"/>
    <n v="1"/>
    <n v="1"/>
    <n v="150072"/>
    <n v="150072"/>
  </r>
  <r>
    <x v="0"/>
    <n v="38"/>
    <x v="13"/>
    <x v="1"/>
    <x v="1"/>
    <n v="1005"/>
    <x v="14"/>
    <x v="10"/>
    <x v="20"/>
    <n v="3222"/>
    <x v="247"/>
    <n v="0"/>
    <x v="0"/>
    <s v="2 0"/>
    <n v="36"/>
    <n v="6679"/>
    <x v="489"/>
    <s v="Hourly"/>
    <n v="3"/>
    <n v="1"/>
    <n v="64.39"/>
    <n v="401794"/>
  </r>
  <r>
    <x v="0"/>
    <n v="38"/>
    <x v="13"/>
    <x v="1"/>
    <x v="1"/>
    <n v="1005"/>
    <x v="14"/>
    <x v="10"/>
    <x v="20"/>
    <n v="3222"/>
    <x v="247"/>
    <n v="0"/>
    <x v="0"/>
    <s v="2 0"/>
    <n v="36"/>
    <n v="6673"/>
    <x v="490"/>
    <s v="Hourly"/>
    <n v="14"/>
    <n v="1"/>
    <n v="60.39"/>
    <n v="1758557"/>
  </r>
  <r>
    <x v="0"/>
    <n v="38"/>
    <x v="13"/>
    <x v="1"/>
    <x v="1"/>
    <n v="1005"/>
    <x v="14"/>
    <x v="10"/>
    <x v="20"/>
    <n v="3222"/>
    <x v="247"/>
    <n v="0"/>
    <x v="0"/>
    <s v="2 0"/>
    <n v="24"/>
    <n v="6605"/>
    <x v="492"/>
    <s v="Hourly"/>
    <n v="2"/>
    <n v="1"/>
    <n v="56.1"/>
    <n v="233376"/>
  </r>
  <r>
    <x v="0"/>
    <n v="38"/>
    <x v="13"/>
    <x v="1"/>
    <x v="1"/>
    <n v="1005"/>
    <x v="14"/>
    <x v="10"/>
    <x v="20"/>
    <n v="3222"/>
    <x v="247"/>
    <n v="0"/>
    <x v="0"/>
    <s v="2 0"/>
    <n v="32"/>
    <n v="5034"/>
    <x v="494"/>
    <s v="Hourly"/>
    <n v="3"/>
    <n v="1"/>
    <n v="57.75"/>
    <n v="360360"/>
  </r>
  <r>
    <x v="0"/>
    <n v="38"/>
    <x v="13"/>
    <x v="1"/>
    <x v="1"/>
    <n v="1005"/>
    <x v="14"/>
    <x v="10"/>
    <x v="20"/>
    <n v="3222"/>
    <x v="247"/>
    <n v="0"/>
    <x v="0"/>
    <s v="B 10"/>
    <n v="1"/>
    <s v="03A7"/>
    <x v="4"/>
    <s v="Annual"/>
    <n v="1"/>
    <n v="1"/>
    <n v="90144"/>
    <n v="90144"/>
  </r>
  <r>
    <x v="0"/>
    <n v="38"/>
    <x v="13"/>
    <x v="1"/>
    <x v="1"/>
    <n v="1005"/>
    <x v="14"/>
    <x v="10"/>
    <x v="20"/>
    <n v="3222"/>
    <x v="247"/>
    <n v="0"/>
    <x v="0"/>
    <s v="1 00"/>
    <n v="0"/>
    <n v="15"/>
    <x v="37"/>
    <s v="Annual"/>
    <n v="0"/>
    <n v="0"/>
    <n v="1518"/>
    <n v="1518"/>
  </r>
  <r>
    <x v="0"/>
    <n v="38"/>
    <x v="13"/>
    <x v="1"/>
    <x v="1"/>
    <n v="1005"/>
    <x v="14"/>
    <x v="10"/>
    <x v="20"/>
    <n v="3222"/>
    <x v="247"/>
    <n v="0"/>
    <x v="0"/>
    <s v="1 00"/>
    <n v="0"/>
    <n v="12"/>
    <x v="291"/>
    <s v="Annual"/>
    <n v="0"/>
    <n v="0"/>
    <n v="81186"/>
    <n v="81186"/>
  </r>
  <r>
    <x v="0"/>
    <n v="67"/>
    <x v="27"/>
    <x v="1"/>
    <x v="1"/>
    <n v="1005"/>
    <x v="28"/>
    <x v="0"/>
    <x v="47"/>
    <n v="3016"/>
    <x v="198"/>
    <n v="4272"/>
    <x v="183"/>
    <s v="2 0"/>
    <n v="16"/>
    <n v="2231"/>
    <x v="933"/>
    <s v="Monthly"/>
    <n v="3"/>
    <n v="1"/>
    <n v="11119.33"/>
    <n v="400296"/>
  </r>
  <r>
    <x v="0"/>
    <n v="67"/>
    <x v="27"/>
    <x v="1"/>
    <x v="1"/>
    <n v="1005"/>
    <x v="28"/>
    <x v="0"/>
    <x v="47"/>
    <n v="3016"/>
    <x v="198"/>
    <n v="4272"/>
    <x v="183"/>
    <s v="1 00"/>
    <n v="0"/>
    <n v="12"/>
    <x v="291"/>
    <s v="Annual"/>
    <n v="0"/>
    <n v="0"/>
    <n v="6004"/>
    <n v="6004"/>
  </r>
  <r>
    <x v="0"/>
    <n v="67"/>
    <x v="27"/>
    <x v="1"/>
    <x v="1"/>
    <n v="1005"/>
    <x v="28"/>
    <x v="0"/>
    <x v="47"/>
    <n v="3025"/>
    <x v="200"/>
    <n v="4110"/>
    <x v="246"/>
    <s v="2 0"/>
    <n v="16"/>
    <n v="2235"/>
    <x v="934"/>
    <s v="Monthly"/>
    <n v="1"/>
    <n v="1"/>
    <n v="12006.97"/>
    <n v="144084"/>
  </r>
  <r>
    <x v="0"/>
    <n v="67"/>
    <x v="27"/>
    <x v="1"/>
    <x v="1"/>
    <n v="1005"/>
    <x v="28"/>
    <x v="0"/>
    <x v="47"/>
    <n v="3025"/>
    <x v="200"/>
    <n v="4110"/>
    <x v="246"/>
    <s v="2 0"/>
    <n v="16"/>
    <n v="2233"/>
    <x v="935"/>
    <s v="Monthly"/>
    <n v="1"/>
    <n v="1"/>
    <n v="11327.33"/>
    <n v="135928"/>
  </r>
  <r>
    <x v="0"/>
    <n v="67"/>
    <x v="27"/>
    <x v="1"/>
    <x v="1"/>
    <n v="1005"/>
    <x v="28"/>
    <x v="0"/>
    <x v="47"/>
    <n v="3025"/>
    <x v="200"/>
    <n v="4110"/>
    <x v="246"/>
    <s v="2 0"/>
    <n v="16"/>
    <n v="2231"/>
    <x v="933"/>
    <s v="Monthly"/>
    <n v="17"/>
    <n v="1"/>
    <n v="11119.33"/>
    <n v="2268343"/>
  </r>
  <r>
    <x v="0"/>
    <n v="67"/>
    <x v="27"/>
    <x v="1"/>
    <x v="1"/>
    <n v="1005"/>
    <x v="28"/>
    <x v="0"/>
    <x v="47"/>
    <n v="3025"/>
    <x v="200"/>
    <n v="4110"/>
    <x v="246"/>
    <s v="B 10"/>
    <n v="1"/>
    <s v="03A7"/>
    <x v="4"/>
    <s v="Annual"/>
    <n v="1"/>
    <n v="1"/>
    <n v="90144"/>
    <n v="90144"/>
  </r>
  <r>
    <x v="0"/>
    <n v="67"/>
    <x v="27"/>
    <x v="1"/>
    <x v="1"/>
    <n v="1005"/>
    <x v="28"/>
    <x v="0"/>
    <x v="47"/>
    <n v="3025"/>
    <x v="200"/>
    <n v="4110"/>
    <x v="246"/>
    <s v="1 00"/>
    <n v="0"/>
    <n v="12"/>
    <x v="291"/>
    <s v="Annual"/>
    <n v="0"/>
    <n v="0"/>
    <n v="38225"/>
    <n v="38225"/>
  </r>
  <r>
    <x v="0"/>
    <n v="67"/>
    <x v="27"/>
    <x v="1"/>
    <x v="1"/>
    <n v="1005"/>
    <x v="28"/>
    <x v="0"/>
    <x v="47"/>
    <n v="3035"/>
    <x v="248"/>
    <n v="0"/>
    <x v="0"/>
    <s v="2 0"/>
    <n v="16"/>
    <n v="2237"/>
    <x v="936"/>
    <s v="Monthly"/>
    <n v="1"/>
    <n v="1"/>
    <n v="13592.8"/>
    <n v="163114"/>
  </r>
  <r>
    <x v="0"/>
    <n v="67"/>
    <x v="27"/>
    <x v="1"/>
    <x v="1"/>
    <n v="1005"/>
    <x v="28"/>
    <x v="0"/>
    <x v="47"/>
    <n v="3035"/>
    <x v="248"/>
    <n v="0"/>
    <x v="0"/>
    <s v="1 00"/>
    <n v="0"/>
    <n v="12"/>
    <x v="291"/>
    <s v="Annual"/>
    <n v="0"/>
    <n v="0"/>
    <n v="2447"/>
    <n v="2447"/>
  </r>
  <r>
    <x v="0"/>
    <n v="67"/>
    <x v="27"/>
    <x v="1"/>
    <x v="1"/>
    <n v="1005"/>
    <x v="28"/>
    <x v="0"/>
    <x v="47"/>
    <n v="3215"/>
    <x v="197"/>
    <n v="0"/>
    <x v="0"/>
    <s v="2 0"/>
    <n v="16"/>
    <n v="2231"/>
    <x v="933"/>
    <s v="Monthly"/>
    <n v="8"/>
    <n v="1"/>
    <n v="11119.33"/>
    <n v="1067456"/>
  </r>
  <r>
    <x v="0"/>
    <n v="67"/>
    <x v="27"/>
    <x v="1"/>
    <x v="1"/>
    <n v="1005"/>
    <x v="28"/>
    <x v="0"/>
    <x v="47"/>
    <n v="3215"/>
    <x v="197"/>
    <n v="0"/>
    <x v="0"/>
    <s v="1 00"/>
    <n v="0"/>
    <n v="12"/>
    <x v="291"/>
    <s v="Annual"/>
    <n v="0"/>
    <n v="0"/>
    <n v="16012"/>
    <n v="16012"/>
  </r>
  <r>
    <x v="0"/>
    <n v="88"/>
    <x v="35"/>
    <x v="1"/>
    <x v="1"/>
    <n v="1005"/>
    <x v="34"/>
    <x v="0"/>
    <x v="22"/>
    <n v="3003"/>
    <x v="249"/>
    <n v="0"/>
    <x v="0"/>
    <s v="1 00"/>
    <n v="9"/>
    <n v="9988"/>
    <x v="937"/>
    <s v="Annual"/>
    <n v="1"/>
    <n v="1"/>
    <n v="227988"/>
    <n v="227988"/>
  </r>
  <r>
    <x v="0"/>
    <n v="88"/>
    <x v="35"/>
    <x v="1"/>
    <x v="1"/>
    <n v="1005"/>
    <x v="34"/>
    <x v="0"/>
    <x v="22"/>
    <n v="3003"/>
    <x v="249"/>
    <n v="0"/>
    <x v="0"/>
    <s v="X 41"/>
    <n v="0"/>
    <n v="9823"/>
    <x v="216"/>
    <s v="Annual"/>
    <n v="2"/>
    <n v="1"/>
    <n v="205200"/>
    <n v="410400"/>
  </r>
  <r>
    <x v="0"/>
    <n v="88"/>
    <x v="35"/>
    <x v="1"/>
    <x v="1"/>
    <n v="1005"/>
    <x v="34"/>
    <x v="0"/>
    <x v="22"/>
    <n v="3003"/>
    <x v="249"/>
    <n v="0"/>
    <x v="0"/>
    <s v="X 41"/>
    <n v="0"/>
    <n v="9823"/>
    <x v="216"/>
    <s v="Annual"/>
    <n v="2"/>
    <n v="1"/>
    <n v="184800"/>
    <n v="369600"/>
  </r>
  <r>
    <x v="0"/>
    <n v="88"/>
    <x v="35"/>
    <x v="1"/>
    <x v="1"/>
    <n v="1005"/>
    <x v="34"/>
    <x v="0"/>
    <x v="22"/>
    <n v="3003"/>
    <x v="249"/>
    <n v="0"/>
    <x v="0"/>
    <s v="X 41"/>
    <n v="9"/>
    <n v="9663"/>
    <x v="353"/>
    <s v="Annual"/>
    <n v="1"/>
    <n v="1"/>
    <n v="211752"/>
    <n v="211752"/>
  </r>
  <r>
    <x v="0"/>
    <n v="88"/>
    <x v="35"/>
    <x v="1"/>
    <x v="1"/>
    <n v="1005"/>
    <x v="34"/>
    <x v="0"/>
    <x v="22"/>
    <n v="3003"/>
    <x v="249"/>
    <n v="0"/>
    <x v="0"/>
    <s v="X 43"/>
    <n v="0"/>
    <s v="03A2"/>
    <x v="220"/>
    <s v="Annual"/>
    <n v="1"/>
    <n v="1"/>
    <n v="133836"/>
    <n v="133836"/>
  </r>
  <r>
    <x v="0"/>
    <n v="88"/>
    <x v="35"/>
    <x v="1"/>
    <x v="1"/>
    <n v="1005"/>
    <x v="34"/>
    <x v="0"/>
    <x v="22"/>
    <n v="3003"/>
    <x v="249"/>
    <n v="0"/>
    <x v="0"/>
    <s v="1 00"/>
    <n v="0"/>
    <n v="15"/>
    <x v="37"/>
    <s v="Annual"/>
    <n v="0"/>
    <n v="0"/>
    <n v="27488"/>
    <n v="27488"/>
  </r>
  <r>
    <x v="0"/>
    <n v="88"/>
    <x v="35"/>
    <x v="1"/>
    <x v="1"/>
    <n v="1005"/>
    <x v="34"/>
    <x v="0"/>
    <x v="22"/>
    <n v="3005"/>
    <x v="250"/>
    <n v="0"/>
    <x v="0"/>
    <s v="X 42"/>
    <n v="0"/>
    <n v="9681"/>
    <x v="81"/>
    <s v="Annual"/>
    <n v="1"/>
    <n v="1"/>
    <n v="184584"/>
    <n v="184584"/>
  </r>
  <r>
    <x v="0"/>
    <n v="88"/>
    <x v="35"/>
    <x v="1"/>
    <x v="1"/>
    <n v="1005"/>
    <x v="34"/>
    <x v="0"/>
    <x v="22"/>
    <n v="3005"/>
    <x v="250"/>
    <n v="0"/>
    <x v="0"/>
    <s v="BX 16"/>
    <n v="10"/>
    <n v="802"/>
    <x v="30"/>
    <s v="Annual"/>
    <n v="1"/>
    <n v="1"/>
    <n v="108432"/>
    <n v="108432"/>
  </r>
  <r>
    <x v="0"/>
    <n v="88"/>
    <x v="35"/>
    <x v="1"/>
    <x v="1"/>
    <n v="1005"/>
    <x v="34"/>
    <x v="0"/>
    <x v="22"/>
    <n v="3005"/>
    <x v="250"/>
    <n v="0"/>
    <x v="0"/>
    <s v="BX 16"/>
    <n v="10"/>
    <n v="802"/>
    <x v="30"/>
    <s v="Annual"/>
    <n v="1"/>
    <n v="1"/>
    <n v="80124"/>
    <n v="80124"/>
  </r>
  <r>
    <x v="0"/>
    <n v="88"/>
    <x v="35"/>
    <x v="1"/>
    <x v="1"/>
    <n v="1005"/>
    <x v="34"/>
    <x v="0"/>
    <x v="22"/>
    <n v="3005"/>
    <x v="250"/>
    <n v="0"/>
    <x v="0"/>
    <s v="X 43"/>
    <n v="0"/>
    <s v="03A2"/>
    <x v="220"/>
    <s v="Annual"/>
    <n v="1"/>
    <n v="1"/>
    <n v="133836"/>
    <n v="133836"/>
  </r>
  <r>
    <x v="0"/>
    <n v="88"/>
    <x v="35"/>
    <x v="1"/>
    <x v="1"/>
    <n v="1005"/>
    <x v="34"/>
    <x v="0"/>
    <x v="22"/>
    <n v="3005"/>
    <x v="250"/>
    <n v="0"/>
    <x v="0"/>
    <s v="1 00"/>
    <n v="0"/>
    <n v="15"/>
    <x v="37"/>
    <s v="Annual"/>
    <n v="0"/>
    <n v="0"/>
    <n v="8827"/>
    <n v="8827"/>
  </r>
  <r>
    <x v="0"/>
    <n v="88"/>
    <x v="35"/>
    <x v="1"/>
    <x v="1"/>
    <n v="1005"/>
    <x v="34"/>
    <x v="0"/>
    <x v="22"/>
    <n v="3010"/>
    <x v="251"/>
    <n v="0"/>
    <x v="0"/>
    <s v="BX 16"/>
    <n v="10"/>
    <n v="3076"/>
    <x v="938"/>
    <s v="Annual"/>
    <n v="2"/>
    <n v="1"/>
    <n v="76476"/>
    <n v="152952"/>
  </r>
  <r>
    <x v="0"/>
    <n v="88"/>
    <x v="35"/>
    <x v="1"/>
    <x v="1"/>
    <n v="1005"/>
    <x v="34"/>
    <x v="0"/>
    <x v="22"/>
    <n v="3010"/>
    <x v="251"/>
    <n v="0"/>
    <x v="0"/>
    <s v="B 15"/>
    <n v="1"/>
    <n v="729"/>
    <x v="32"/>
    <s v="Annual"/>
    <n v="1"/>
    <n v="1"/>
    <n v="97956"/>
    <n v="97956"/>
  </r>
  <r>
    <x v="0"/>
    <n v="88"/>
    <x v="35"/>
    <x v="1"/>
    <x v="1"/>
    <n v="1005"/>
    <x v="34"/>
    <x v="0"/>
    <x v="22"/>
    <n v="3010"/>
    <x v="251"/>
    <n v="0"/>
    <x v="0"/>
    <s v="PX 02"/>
    <n v="9"/>
    <n v="705"/>
    <x v="33"/>
    <s v="Annual"/>
    <n v="1"/>
    <n v="1"/>
    <n v="143880"/>
    <n v="143880"/>
  </r>
  <r>
    <x v="0"/>
    <n v="88"/>
    <x v="35"/>
    <x v="1"/>
    <x v="1"/>
    <n v="1005"/>
    <x v="34"/>
    <x v="0"/>
    <x v="22"/>
    <n v="3010"/>
    <x v="251"/>
    <n v="0"/>
    <x v="0"/>
    <s v="PX 02"/>
    <n v="9"/>
    <n v="705"/>
    <x v="33"/>
    <s v="Annual"/>
    <n v="1"/>
    <n v="1"/>
    <n v="139188"/>
    <n v="139188"/>
  </r>
  <r>
    <x v="0"/>
    <n v="88"/>
    <x v="35"/>
    <x v="1"/>
    <x v="1"/>
    <n v="1005"/>
    <x v="34"/>
    <x v="0"/>
    <x v="22"/>
    <n v="3010"/>
    <x v="251"/>
    <n v="0"/>
    <x v="0"/>
    <s v="1 00"/>
    <n v="0"/>
    <n v="15"/>
    <x v="37"/>
    <s v="Annual"/>
    <n v="0"/>
    <n v="0"/>
    <n v="5063"/>
    <n v="5063"/>
  </r>
  <r>
    <x v="0"/>
    <n v="88"/>
    <x v="35"/>
    <x v="1"/>
    <x v="1"/>
    <n v="1005"/>
    <x v="34"/>
    <x v="0"/>
    <x v="22"/>
    <n v="3015"/>
    <x v="252"/>
    <n v="0"/>
    <x v="0"/>
    <s v="GY 07"/>
    <n v="0"/>
    <n v="1645"/>
    <x v="802"/>
    <s v="Annual"/>
    <n v="2"/>
    <n v="1"/>
    <n v="76020"/>
    <n v="152040"/>
  </r>
  <r>
    <x v="0"/>
    <n v="88"/>
    <x v="35"/>
    <x v="1"/>
    <x v="1"/>
    <n v="1005"/>
    <x v="34"/>
    <x v="0"/>
    <x v="22"/>
    <n v="3015"/>
    <x v="252"/>
    <n v="0"/>
    <x v="0"/>
    <s v="GY 12"/>
    <n v="20"/>
    <n v="1633"/>
    <x v="394"/>
    <s v="Annual"/>
    <n v="1"/>
    <n v="1"/>
    <n v="121320"/>
    <n v="121320"/>
  </r>
  <r>
    <x v="0"/>
    <n v="88"/>
    <x v="35"/>
    <x v="1"/>
    <x v="1"/>
    <n v="1005"/>
    <x v="34"/>
    <x v="0"/>
    <x v="22"/>
    <n v="3015"/>
    <x v="252"/>
    <n v="0"/>
    <x v="0"/>
    <s v="GY 12"/>
    <n v="20"/>
    <n v="1633"/>
    <x v="394"/>
    <s v="Annual"/>
    <n v="1"/>
    <n v="1"/>
    <n v="115992"/>
    <n v="115992"/>
  </r>
  <r>
    <x v="0"/>
    <n v="88"/>
    <x v="35"/>
    <x v="1"/>
    <x v="1"/>
    <n v="1005"/>
    <x v="34"/>
    <x v="0"/>
    <x v="22"/>
    <n v="3015"/>
    <x v="252"/>
    <n v="0"/>
    <x v="0"/>
    <s v="1 00"/>
    <n v="0"/>
    <n v="15"/>
    <x v="37"/>
    <s v="Annual"/>
    <n v="0"/>
    <n v="0"/>
    <n v="8411"/>
    <n v="8411"/>
  </r>
  <r>
    <x v="0"/>
    <n v="88"/>
    <x v="35"/>
    <x v="1"/>
    <x v="1"/>
    <n v="1005"/>
    <x v="34"/>
    <x v="0"/>
    <x v="22"/>
    <n v="3075"/>
    <x v="253"/>
    <n v="0"/>
    <x v="0"/>
    <s v="2 0"/>
    <n v="53"/>
    <n v="6328"/>
    <x v="417"/>
    <s v="Hourly"/>
    <n v="12480"/>
    <n v="0"/>
    <n v="27.45"/>
    <n v="342576"/>
  </r>
  <r>
    <x v="0"/>
    <n v="88"/>
    <x v="35"/>
    <x v="1"/>
    <x v="1"/>
    <n v="1005"/>
    <x v="34"/>
    <x v="0"/>
    <x v="22"/>
    <n v="3075"/>
    <x v="253"/>
    <n v="0"/>
    <x v="0"/>
    <s v="2 0"/>
    <n v="53"/>
    <n v="6328"/>
    <x v="417"/>
    <s v="Hourly"/>
    <n v="38"/>
    <n v="1"/>
    <n v="27.45"/>
    <n v="2169648"/>
  </r>
  <r>
    <x v="0"/>
    <n v="88"/>
    <x v="35"/>
    <x v="1"/>
    <x v="1"/>
    <n v="1005"/>
    <x v="34"/>
    <x v="0"/>
    <x v="22"/>
    <n v="3075"/>
    <x v="253"/>
    <n v="0"/>
    <x v="0"/>
    <s v="2 0"/>
    <n v="53"/>
    <n v="6328"/>
    <x v="417"/>
    <s v="Hourly"/>
    <n v="2"/>
    <n v="1"/>
    <n v="24.39"/>
    <n v="101462"/>
  </r>
  <r>
    <x v="0"/>
    <n v="88"/>
    <x v="35"/>
    <x v="1"/>
    <x v="1"/>
    <n v="1005"/>
    <x v="34"/>
    <x v="0"/>
    <x v="22"/>
    <n v="3075"/>
    <x v="253"/>
    <n v="0"/>
    <x v="0"/>
    <s v="2 0"/>
    <n v="53"/>
    <n v="6310"/>
    <x v="939"/>
    <s v="Hourly"/>
    <n v="2"/>
    <n v="1"/>
    <n v="32.869999999999997"/>
    <n v="136739"/>
  </r>
  <r>
    <x v="0"/>
    <n v="88"/>
    <x v="35"/>
    <x v="1"/>
    <x v="1"/>
    <n v="1005"/>
    <x v="34"/>
    <x v="0"/>
    <x v="22"/>
    <n v="3075"/>
    <x v="253"/>
    <n v="0"/>
    <x v="0"/>
    <s v="U 14"/>
    <n v="53"/>
    <n v="6304"/>
    <x v="940"/>
    <s v="Annual"/>
    <n v="1"/>
    <n v="1"/>
    <n v="130620"/>
    <n v="130620"/>
  </r>
  <r>
    <x v="0"/>
    <n v="88"/>
    <x v="35"/>
    <x v="1"/>
    <x v="1"/>
    <n v="1005"/>
    <x v="34"/>
    <x v="0"/>
    <x v="22"/>
    <n v="3075"/>
    <x v="253"/>
    <n v="0"/>
    <x v="0"/>
    <s v="U 14"/>
    <n v="53"/>
    <n v="6304"/>
    <x v="940"/>
    <s v="Annual"/>
    <n v="1"/>
    <n v="1"/>
    <n v="124776"/>
    <n v="124776"/>
  </r>
  <r>
    <x v="0"/>
    <n v="88"/>
    <x v="35"/>
    <x v="1"/>
    <x v="1"/>
    <n v="1005"/>
    <x v="34"/>
    <x v="0"/>
    <x v="22"/>
    <n v="3075"/>
    <x v="253"/>
    <n v="0"/>
    <x v="0"/>
    <s v="U 14"/>
    <n v="53"/>
    <n v="6304"/>
    <x v="940"/>
    <s v="Annual"/>
    <n v="2"/>
    <n v="1"/>
    <n v="113604"/>
    <n v="227208"/>
  </r>
  <r>
    <x v="0"/>
    <n v="88"/>
    <x v="35"/>
    <x v="1"/>
    <x v="1"/>
    <n v="1005"/>
    <x v="34"/>
    <x v="0"/>
    <x v="22"/>
    <n v="3075"/>
    <x v="253"/>
    <n v="0"/>
    <x v="0"/>
    <s v="U 14"/>
    <n v="53"/>
    <n v="6304"/>
    <x v="940"/>
    <s v="Annual"/>
    <n v="1"/>
    <n v="1"/>
    <n v="89244"/>
    <n v="89244"/>
  </r>
  <r>
    <x v="0"/>
    <n v="88"/>
    <x v="35"/>
    <x v="1"/>
    <x v="1"/>
    <n v="1005"/>
    <x v="34"/>
    <x v="0"/>
    <x v="22"/>
    <n v="3075"/>
    <x v="253"/>
    <n v="0"/>
    <x v="0"/>
    <s v="U 14"/>
    <n v="53"/>
    <n v="6304"/>
    <x v="940"/>
    <s v="Annual"/>
    <n v="1"/>
    <n v="1"/>
    <n v="85176"/>
    <n v="85176"/>
  </r>
  <r>
    <x v="0"/>
    <n v="88"/>
    <x v="35"/>
    <x v="1"/>
    <x v="1"/>
    <n v="1005"/>
    <x v="34"/>
    <x v="0"/>
    <x v="22"/>
    <n v="3075"/>
    <x v="253"/>
    <n v="0"/>
    <x v="0"/>
    <s v="U 14"/>
    <n v="53"/>
    <n v="6304"/>
    <x v="940"/>
    <s v="Annual"/>
    <n v="1"/>
    <n v="1"/>
    <n v="77628"/>
    <n v="77628"/>
  </r>
  <r>
    <x v="0"/>
    <n v="88"/>
    <x v="35"/>
    <x v="1"/>
    <x v="1"/>
    <n v="1005"/>
    <x v="34"/>
    <x v="0"/>
    <x v="22"/>
    <n v="3075"/>
    <x v="253"/>
    <n v="0"/>
    <x v="0"/>
    <s v="BX 14"/>
    <n v="10"/>
    <n v="4218"/>
    <x v="941"/>
    <s v="Annual"/>
    <n v="1"/>
    <n v="1"/>
    <n v="80916"/>
    <n v="80916"/>
  </r>
  <r>
    <x v="0"/>
    <n v="88"/>
    <x v="35"/>
    <x v="1"/>
    <x v="1"/>
    <n v="1005"/>
    <x v="34"/>
    <x v="0"/>
    <x v="22"/>
    <n v="3075"/>
    <x v="253"/>
    <n v="0"/>
    <x v="0"/>
    <s v="B 12"/>
    <n v="1"/>
    <s v="03A8"/>
    <x v="88"/>
    <s v="Annual"/>
    <n v="1"/>
    <n v="1"/>
    <n v="108576"/>
    <n v="108576"/>
  </r>
  <r>
    <x v="0"/>
    <n v="88"/>
    <x v="35"/>
    <x v="1"/>
    <x v="1"/>
    <n v="1005"/>
    <x v="34"/>
    <x v="0"/>
    <x v="22"/>
    <n v="3075"/>
    <x v="253"/>
    <n v="0"/>
    <x v="0"/>
    <s v="B 12"/>
    <n v="1"/>
    <s v="03A8"/>
    <x v="88"/>
    <s v="Annual"/>
    <n v="2"/>
    <n v="1"/>
    <n v="62544"/>
    <n v="125088"/>
  </r>
  <r>
    <x v="0"/>
    <n v="88"/>
    <x v="35"/>
    <x v="1"/>
    <x v="1"/>
    <n v="1005"/>
    <x v="34"/>
    <x v="0"/>
    <x v="22"/>
    <n v="3075"/>
    <x v="253"/>
    <n v="0"/>
    <x v="0"/>
    <s v="X 43"/>
    <n v="0"/>
    <s v="03A2"/>
    <x v="220"/>
    <s v="Annual"/>
    <n v="1"/>
    <n v="1"/>
    <n v="160680"/>
    <n v="160680"/>
  </r>
  <r>
    <x v="0"/>
    <n v="88"/>
    <x v="35"/>
    <x v="1"/>
    <x v="1"/>
    <n v="1005"/>
    <x v="34"/>
    <x v="0"/>
    <x v="22"/>
    <n v="3075"/>
    <x v="253"/>
    <n v="0"/>
    <x v="0"/>
    <s v="X 43"/>
    <n v="0"/>
    <s v="03A2"/>
    <x v="220"/>
    <s v="Annual"/>
    <n v="1"/>
    <n v="1"/>
    <n v="133836"/>
    <n v="133836"/>
  </r>
  <r>
    <x v="0"/>
    <n v="88"/>
    <x v="35"/>
    <x v="1"/>
    <x v="1"/>
    <n v="1005"/>
    <x v="34"/>
    <x v="0"/>
    <x v="22"/>
    <n v="3075"/>
    <x v="253"/>
    <n v="0"/>
    <x v="0"/>
    <s v="BX 17"/>
    <n v="10"/>
    <n v="304"/>
    <x v="881"/>
    <s v="Annual"/>
    <n v="1"/>
    <n v="1"/>
    <n v="130524"/>
    <n v="130524"/>
  </r>
  <r>
    <x v="0"/>
    <n v="88"/>
    <x v="35"/>
    <x v="1"/>
    <x v="1"/>
    <n v="1005"/>
    <x v="34"/>
    <x v="0"/>
    <x v="22"/>
    <n v="3075"/>
    <x v="253"/>
    <n v="0"/>
    <x v="0"/>
    <s v="GY 11"/>
    <n v="20"/>
    <n v="289"/>
    <x v="470"/>
    <s v="Annual"/>
    <n v="1"/>
    <n v="1"/>
    <n v="121320"/>
    <n v="121320"/>
  </r>
  <r>
    <x v="0"/>
    <n v="88"/>
    <x v="35"/>
    <x v="1"/>
    <x v="1"/>
    <n v="1005"/>
    <x v="34"/>
    <x v="0"/>
    <x v="22"/>
    <n v="3075"/>
    <x v="253"/>
    <n v="0"/>
    <x v="0"/>
    <s v="1 00"/>
    <n v="0"/>
    <n v="15"/>
    <x v="37"/>
    <s v="Annual"/>
    <n v="0"/>
    <n v="0"/>
    <n v="15710"/>
    <n v="15710"/>
  </r>
  <r>
    <x v="0"/>
    <n v="88"/>
    <x v="35"/>
    <x v="1"/>
    <x v="1"/>
    <n v="1005"/>
    <x v="34"/>
    <x v="0"/>
    <x v="22"/>
    <n v="3075"/>
    <x v="253"/>
    <n v="0"/>
    <x v="0"/>
    <s v="1 00"/>
    <n v="0"/>
    <n v="12"/>
    <x v="291"/>
    <s v="Annual"/>
    <n v="0"/>
    <n v="0"/>
    <n v="41257"/>
    <n v="41257"/>
  </r>
  <r>
    <x v="0"/>
    <n v="88"/>
    <x v="35"/>
    <x v="1"/>
    <x v="1"/>
    <n v="1010"/>
    <x v="48"/>
    <x v="3"/>
    <x v="68"/>
    <n v="3048"/>
    <x v="249"/>
    <n v="0"/>
    <x v="0"/>
    <s v="X 42"/>
    <n v="0"/>
    <n v="9681"/>
    <x v="81"/>
    <s v="Annual"/>
    <n v="1"/>
    <n v="1"/>
    <n v="184584"/>
    <n v="184584"/>
  </r>
  <r>
    <x v="0"/>
    <n v="88"/>
    <x v="35"/>
    <x v="1"/>
    <x v="1"/>
    <n v="1010"/>
    <x v="48"/>
    <x v="3"/>
    <x v="68"/>
    <n v="3048"/>
    <x v="249"/>
    <n v="0"/>
    <x v="0"/>
    <s v="G 07"/>
    <n v="3"/>
    <n v="3052"/>
    <x v="716"/>
    <s v="Annual"/>
    <n v="1"/>
    <n v="1"/>
    <n v="97488"/>
    <n v="97488"/>
  </r>
  <r>
    <x v="0"/>
    <n v="88"/>
    <x v="35"/>
    <x v="1"/>
    <x v="1"/>
    <n v="1010"/>
    <x v="48"/>
    <x v="3"/>
    <x v="68"/>
    <n v="3048"/>
    <x v="249"/>
    <n v="0"/>
    <x v="0"/>
    <s v="1 00"/>
    <n v="0"/>
    <n v="15"/>
    <x v="37"/>
    <s v="Annual"/>
    <n v="0"/>
    <n v="0"/>
    <n v="5637"/>
    <n v="5637"/>
  </r>
  <r>
    <x v="0"/>
    <n v="88"/>
    <x v="35"/>
    <x v="1"/>
    <x v="1"/>
    <n v="1010"/>
    <x v="48"/>
    <x v="3"/>
    <x v="68"/>
    <n v="3060"/>
    <x v="254"/>
    <n v="0"/>
    <x v="0"/>
    <s v="X 42"/>
    <n v="0"/>
    <n v="9681"/>
    <x v="81"/>
    <s v="Annual"/>
    <n v="1"/>
    <n v="1"/>
    <n v="153000"/>
    <n v="153000"/>
  </r>
  <r>
    <x v="0"/>
    <n v="88"/>
    <x v="35"/>
    <x v="1"/>
    <x v="1"/>
    <n v="1010"/>
    <x v="48"/>
    <x v="3"/>
    <x v="68"/>
    <n v="3060"/>
    <x v="254"/>
    <n v="0"/>
    <x v="0"/>
    <s v="B 15"/>
    <n v="1"/>
    <n v="1572"/>
    <x v="95"/>
    <s v="Annual"/>
    <n v="1"/>
    <n v="1"/>
    <n v="113628"/>
    <n v="113628"/>
  </r>
  <r>
    <x v="0"/>
    <n v="88"/>
    <x v="35"/>
    <x v="1"/>
    <x v="1"/>
    <n v="1010"/>
    <x v="48"/>
    <x v="3"/>
    <x v="68"/>
    <n v="3060"/>
    <x v="254"/>
    <n v="0"/>
    <x v="0"/>
    <s v="B 15"/>
    <n v="1"/>
    <n v="1572"/>
    <x v="95"/>
    <s v="Annual"/>
    <n v="1"/>
    <n v="1"/>
    <n v="93504"/>
    <n v="93504"/>
  </r>
  <r>
    <x v="0"/>
    <n v="88"/>
    <x v="35"/>
    <x v="1"/>
    <x v="1"/>
    <n v="1010"/>
    <x v="48"/>
    <x v="3"/>
    <x v="68"/>
    <n v="3060"/>
    <x v="254"/>
    <n v="0"/>
    <x v="0"/>
    <s v="X 43"/>
    <n v="9"/>
    <n v="1197"/>
    <x v="405"/>
    <s v="Annual"/>
    <n v="1"/>
    <n v="1"/>
    <n v="160680"/>
    <n v="160680"/>
  </r>
  <r>
    <x v="0"/>
    <n v="88"/>
    <x v="35"/>
    <x v="1"/>
    <x v="1"/>
    <n v="1010"/>
    <x v="48"/>
    <x v="3"/>
    <x v="68"/>
    <n v="3060"/>
    <x v="254"/>
    <n v="0"/>
    <x v="0"/>
    <s v="B 16"/>
    <n v="4"/>
    <n v="345"/>
    <x v="108"/>
    <s v="Annual"/>
    <n v="1"/>
    <n v="1"/>
    <n v="112536"/>
    <n v="112536"/>
  </r>
  <r>
    <x v="0"/>
    <n v="88"/>
    <x v="35"/>
    <x v="1"/>
    <x v="1"/>
    <n v="1010"/>
    <x v="48"/>
    <x v="3"/>
    <x v="68"/>
    <n v="3060"/>
    <x v="254"/>
    <n v="0"/>
    <x v="0"/>
    <s v="1 00"/>
    <n v="0"/>
    <n v="15"/>
    <x v="37"/>
    <s v="Annual"/>
    <n v="0"/>
    <n v="0"/>
    <n v="27981"/>
    <n v="27981"/>
  </r>
  <r>
    <x v="0"/>
    <n v="88"/>
    <x v="35"/>
    <x v="1"/>
    <x v="1"/>
    <n v="1010"/>
    <x v="48"/>
    <x v="3"/>
    <x v="68"/>
    <n v="3065"/>
    <x v="255"/>
    <n v="0"/>
    <x v="0"/>
    <s v="X 42"/>
    <n v="0"/>
    <n v="9681"/>
    <x v="81"/>
    <s v="Annual"/>
    <n v="1"/>
    <n v="1"/>
    <n v="184584"/>
    <n v="184584"/>
  </r>
  <r>
    <x v="0"/>
    <n v="88"/>
    <x v="35"/>
    <x v="1"/>
    <x v="1"/>
    <n v="1010"/>
    <x v="48"/>
    <x v="3"/>
    <x v="68"/>
    <n v="3065"/>
    <x v="255"/>
    <n v="0"/>
    <x v="0"/>
    <s v="GY 05"/>
    <n v="10"/>
    <n v="1388"/>
    <x v="777"/>
    <s v="Annual"/>
    <n v="1"/>
    <n v="1"/>
    <n v="62508"/>
    <n v="62508"/>
  </r>
  <r>
    <x v="0"/>
    <n v="88"/>
    <x v="35"/>
    <x v="1"/>
    <x v="1"/>
    <n v="1010"/>
    <x v="48"/>
    <x v="3"/>
    <x v="68"/>
    <n v="3065"/>
    <x v="255"/>
    <n v="0"/>
    <x v="0"/>
    <s v="BX 18"/>
    <n v="10"/>
    <n v="1346"/>
    <x v="29"/>
    <s v="Annual"/>
    <n v="1"/>
    <n v="1"/>
    <n v="89112"/>
    <n v="89112"/>
  </r>
  <r>
    <x v="0"/>
    <n v="88"/>
    <x v="35"/>
    <x v="1"/>
    <x v="1"/>
    <n v="1010"/>
    <x v="48"/>
    <x v="3"/>
    <x v="68"/>
    <n v="3065"/>
    <x v="255"/>
    <n v="0"/>
    <x v="0"/>
    <s v="BX 17"/>
    <n v="20"/>
    <n v="1318"/>
    <x v="409"/>
    <s v="Annual"/>
    <n v="1"/>
    <n v="1"/>
    <n v="89112"/>
    <n v="89112"/>
  </r>
  <r>
    <x v="0"/>
    <n v="88"/>
    <x v="35"/>
    <x v="1"/>
    <x v="1"/>
    <n v="1010"/>
    <x v="48"/>
    <x v="3"/>
    <x v="68"/>
    <n v="3065"/>
    <x v="255"/>
    <n v="0"/>
    <x v="0"/>
    <s v="B 13"/>
    <n v="1"/>
    <n v="1301"/>
    <x v="227"/>
    <s v="Annual"/>
    <n v="5"/>
    <n v="1"/>
    <n v="68616"/>
    <n v="343080"/>
  </r>
  <r>
    <x v="0"/>
    <n v="88"/>
    <x v="35"/>
    <x v="1"/>
    <x v="1"/>
    <n v="1010"/>
    <x v="48"/>
    <x v="3"/>
    <x v="68"/>
    <n v="3065"/>
    <x v="255"/>
    <n v="0"/>
    <x v="0"/>
    <s v="B 11"/>
    <n v="1"/>
    <n v="450"/>
    <x v="407"/>
    <s v="Annual"/>
    <n v="1"/>
    <n v="1"/>
    <n v="98928"/>
    <n v="98928"/>
  </r>
  <r>
    <x v="0"/>
    <n v="88"/>
    <x v="35"/>
    <x v="1"/>
    <x v="1"/>
    <n v="1010"/>
    <x v="48"/>
    <x v="3"/>
    <x v="68"/>
    <n v="3065"/>
    <x v="255"/>
    <n v="0"/>
    <x v="0"/>
    <s v="B 11"/>
    <n v="1"/>
    <n v="450"/>
    <x v="407"/>
    <s v="Annual"/>
    <n v="1"/>
    <n v="1"/>
    <n v="64488"/>
    <n v="64488"/>
  </r>
  <r>
    <x v="0"/>
    <n v="88"/>
    <x v="35"/>
    <x v="1"/>
    <x v="1"/>
    <n v="1010"/>
    <x v="48"/>
    <x v="3"/>
    <x v="68"/>
    <n v="3065"/>
    <x v="255"/>
    <n v="0"/>
    <x v="0"/>
    <s v="B 11"/>
    <n v="1"/>
    <n v="450"/>
    <x v="407"/>
    <s v="Annual"/>
    <n v="3"/>
    <n v="1"/>
    <n v="61548"/>
    <n v="184644"/>
  </r>
  <r>
    <x v="0"/>
    <n v="88"/>
    <x v="35"/>
    <x v="1"/>
    <x v="1"/>
    <n v="1010"/>
    <x v="48"/>
    <x v="3"/>
    <x v="68"/>
    <n v="3065"/>
    <x v="255"/>
    <n v="0"/>
    <x v="0"/>
    <s v="B 11"/>
    <n v="1"/>
    <n v="450"/>
    <x v="407"/>
    <s v="Annual"/>
    <n v="1"/>
    <n v="1"/>
    <n v="58764"/>
    <n v="58764"/>
  </r>
  <r>
    <x v="0"/>
    <n v="88"/>
    <x v="35"/>
    <x v="1"/>
    <x v="1"/>
    <n v="1010"/>
    <x v="48"/>
    <x v="3"/>
    <x v="68"/>
    <n v="3065"/>
    <x v="255"/>
    <n v="0"/>
    <x v="0"/>
    <s v="B 11"/>
    <n v="1"/>
    <n v="450"/>
    <x v="407"/>
    <s v="Annual"/>
    <n v="6"/>
    <n v="1"/>
    <n v="57000"/>
    <n v="342000"/>
  </r>
  <r>
    <x v="0"/>
    <n v="88"/>
    <x v="35"/>
    <x v="1"/>
    <x v="1"/>
    <n v="1010"/>
    <x v="48"/>
    <x v="3"/>
    <x v="68"/>
    <n v="3065"/>
    <x v="255"/>
    <n v="0"/>
    <x v="0"/>
    <s v="BX 13"/>
    <n v="20"/>
    <n v="366"/>
    <x v="219"/>
    <s v="Annual"/>
    <n v="2"/>
    <n v="1"/>
    <n v="66516"/>
    <n v="133032"/>
  </r>
  <r>
    <x v="0"/>
    <n v="88"/>
    <x v="35"/>
    <x v="1"/>
    <x v="1"/>
    <n v="1010"/>
    <x v="48"/>
    <x v="3"/>
    <x v="68"/>
    <n v="3065"/>
    <x v="255"/>
    <n v="0"/>
    <x v="0"/>
    <s v="B 17"/>
    <n v="1"/>
    <n v="121"/>
    <x v="273"/>
    <s v="Annual"/>
    <n v="1"/>
    <n v="1"/>
    <n v="99480"/>
    <n v="99480"/>
  </r>
  <r>
    <x v="0"/>
    <n v="88"/>
    <x v="35"/>
    <x v="1"/>
    <x v="1"/>
    <n v="1010"/>
    <x v="48"/>
    <x v="3"/>
    <x v="68"/>
    <n v="3065"/>
    <x v="255"/>
    <n v="0"/>
    <x v="0"/>
    <s v="B 14"/>
    <n v="1"/>
    <n v="114"/>
    <x v="274"/>
    <s v="Annual"/>
    <n v="1"/>
    <n v="1"/>
    <n v="119100"/>
    <n v="119100"/>
  </r>
  <r>
    <x v="0"/>
    <n v="88"/>
    <x v="35"/>
    <x v="1"/>
    <x v="1"/>
    <n v="1010"/>
    <x v="48"/>
    <x v="3"/>
    <x v="68"/>
    <n v="3065"/>
    <x v="255"/>
    <n v="0"/>
    <x v="0"/>
    <s v="B 14"/>
    <n v="1"/>
    <n v="114"/>
    <x v="274"/>
    <s v="Annual"/>
    <n v="1"/>
    <n v="1"/>
    <n v="103608"/>
    <n v="103608"/>
  </r>
  <r>
    <x v="0"/>
    <n v="88"/>
    <x v="35"/>
    <x v="1"/>
    <x v="1"/>
    <n v="1010"/>
    <x v="48"/>
    <x v="3"/>
    <x v="68"/>
    <n v="3065"/>
    <x v="255"/>
    <n v="0"/>
    <x v="0"/>
    <s v="1 00"/>
    <n v="0"/>
    <n v="15"/>
    <x v="37"/>
    <s v="Annual"/>
    <n v="0"/>
    <n v="0"/>
    <n v="20388"/>
    <n v="20388"/>
  </r>
  <r>
    <x v="0"/>
    <n v="88"/>
    <x v="35"/>
    <x v="1"/>
    <x v="1"/>
    <n v="1010"/>
    <x v="48"/>
    <x v="3"/>
    <x v="68"/>
    <n v="3071"/>
    <x v="146"/>
    <n v="0"/>
    <x v="0"/>
    <s v="G 06"/>
    <n v="4"/>
    <n v="638"/>
    <x v="621"/>
    <s v="Annual"/>
    <n v="1"/>
    <n v="1"/>
    <n v="81636"/>
    <n v="81636"/>
  </r>
  <r>
    <x v="0"/>
    <n v="88"/>
    <x v="35"/>
    <x v="1"/>
    <x v="1"/>
    <n v="1010"/>
    <x v="48"/>
    <x v="3"/>
    <x v="68"/>
    <n v="3071"/>
    <x v="146"/>
    <n v="0"/>
    <x v="0"/>
    <s v="G 10"/>
    <n v="4"/>
    <n v="625"/>
    <x v="920"/>
    <s v="Annual"/>
    <n v="1"/>
    <n v="1"/>
    <n v="122928"/>
    <n v="122928"/>
  </r>
  <r>
    <x v="0"/>
    <n v="88"/>
    <x v="35"/>
    <x v="1"/>
    <x v="1"/>
    <n v="1010"/>
    <x v="48"/>
    <x v="3"/>
    <x v="68"/>
    <n v="3071"/>
    <x v="146"/>
    <n v="0"/>
    <x v="0"/>
    <s v="1 00"/>
    <n v="0"/>
    <n v="15"/>
    <x v="37"/>
    <s v="Annual"/>
    <n v="0"/>
    <n v="0"/>
    <n v="5014"/>
    <n v="5014"/>
  </r>
  <r>
    <x v="0"/>
    <n v="88"/>
    <x v="35"/>
    <x v="1"/>
    <x v="1"/>
    <n v="1010"/>
    <x v="48"/>
    <x v="3"/>
    <x v="68"/>
    <n v="3072"/>
    <x v="109"/>
    <n v="0"/>
    <x v="0"/>
    <s v="X 42"/>
    <n v="0"/>
    <n v="9681"/>
    <x v="81"/>
    <s v="Annual"/>
    <n v="1"/>
    <n v="1"/>
    <n v="153000"/>
    <n v="153000"/>
  </r>
  <r>
    <x v="0"/>
    <n v="88"/>
    <x v="35"/>
    <x v="1"/>
    <x v="1"/>
    <n v="1010"/>
    <x v="48"/>
    <x v="3"/>
    <x v="68"/>
    <n v="3072"/>
    <x v="109"/>
    <n v="0"/>
    <x v="0"/>
    <s v="G 06"/>
    <n v="4"/>
    <n v="1142"/>
    <x v="624"/>
    <s v="Annual"/>
    <n v="1"/>
    <n v="1"/>
    <n v="81636"/>
    <n v="81636"/>
  </r>
  <r>
    <x v="0"/>
    <n v="88"/>
    <x v="35"/>
    <x v="1"/>
    <x v="1"/>
    <n v="1010"/>
    <x v="48"/>
    <x v="3"/>
    <x v="68"/>
    <n v="3072"/>
    <x v="109"/>
    <n v="0"/>
    <x v="0"/>
    <s v="B 12"/>
    <n v="1"/>
    <s v="03A8"/>
    <x v="88"/>
    <s v="Annual"/>
    <n v="1"/>
    <n v="1"/>
    <n v="108576"/>
    <n v="108576"/>
  </r>
  <r>
    <x v="0"/>
    <n v="88"/>
    <x v="35"/>
    <x v="1"/>
    <x v="1"/>
    <n v="1010"/>
    <x v="48"/>
    <x v="3"/>
    <x v="68"/>
    <n v="3072"/>
    <x v="109"/>
    <n v="0"/>
    <x v="0"/>
    <s v="B 10"/>
    <n v="1"/>
    <s v="03A7"/>
    <x v="4"/>
    <s v="Annual"/>
    <n v="2"/>
    <n v="1"/>
    <n v="90144"/>
    <n v="180288"/>
  </r>
  <r>
    <x v="0"/>
    <n v="88"/>
    <x v="35"/>
    <x v="1"/>
    <x v="1"/>
    <n v="1010"/>
    <x v="48"/>
    <x v="3"/>
    <x v="68"/>
    <n v="3072"/>
    <x v="109"/>
    <n v="0"/>
    <x v="0"/>
    <s v="B 10"/>
    <n v="1"/>
    <s v="03A7"/>
    <x v="4"/>
    <s v="Annual"/>
    <n v="1"/>
    <n v="1"/>
    <n v="51936"/>
    <n v="51936"/>
  </r>
  <r>
    <x v="0"/>
    <n v="88"/>
    <x v="35"/>
    <x v="1"/>
    <x v="1"/>
    <n v="1010"/>
    <x v="48"/>
    <x v="3"/>
    <x v="68"/>
    <n v="3072"/>
    <x v="109"/>
    <n v="0"/>
    <x v="0"/>
    <s v="GY 11"/>
    <n v="20"/>
    <n v="187"/>
    <x v="250"/>
    <s v="Annual"/>
    <n v="1"/>
    <n v="1"/>
    <n v="135000"/>
    <n v="135000"/>
  </r>
  <r>
    <x v="0"/>
    <n v="88"/>
    <x v="35"/>
    <x v="1"/>
    <x v="1"/>
    <n v="1010"/>
    <x v="48"/>
    <x v="3"/>
    <x v="68"/>
    <n v="3072"/>
    <x v="109"/>
    <n v="0"/>
    <x v="0"/>
    <s v="GY 08"/>
    <n v="10"/>
    <n v="135"/>
    <x v="261"/>
    <s v="Annual"/>
    <n v="1"/>
    <n v="1"/>
    <n v="82884"/>
    <n v="82884"/>
  </r>
  <r>
    <x v="0"/>
    <n v="88"/>
    <x v="35"/>
    <x v="1"/>
    <x v="1"/>
    <n v="1010"/>
    <x v="48"/>
    <x v="3"/>
    <x v="68"/>
    <n v="3072"/>
    <x v="109"/>
    <n v="0"/>
    <x v="0"/>
    <s v="BX 15"/>
    <n v="10"/>
    <n v="134"/>
    <x v="74"/>
    <s v="Annual"/>
    <n v="1"/>
    <n v="1"/>
    <n v="113568"/>
    <n v="113568"/>
  </r>
  <r>
    <x v="0"/>
    <n v="88"/>
    <x v="35"/>
    <x v="1"/>
    <x v="1"/>
    <n v="1010"/>
    <x v="48"/>
    <x v="3"/>
    <x v="68"/>
    <n v="3072"/>
    <x v="109"/>
    <n v="0"/>
    <x v="0"/>
    <s v="BX 17"/>
    <n v="20"/>
    <n v="126"/>
    <x v="247"/>
    <s v="Annual"/>
    <n v="1"/>
    <n v="1"/>
    <n v="89112"/>
    <n v="89112"/>
  </r>
  <r>
    <x v="0"/>
    <n v="88"/>
    <x v="35"/>
    <x v="1"/>
    <x v="1"/>
    <n v="1010"/>
    <x v="48"/>
    <x v="3"/>
    <x v="68"/>
    <n v="3072"/>
    <x v="109"/>
    <n v="0"/>
    <x v="0"/>
    <s v="GY 10"/>
    <n v="20"/>
    <n v="120"/>
    <x v="251"/>
    <s v="Annual"/>
    <n v="1"/>
    <n v="1"/>
    <n v="130476"/>
    <n v="130476"/>
  </r>
  <r>
    <x v="0"/>
    <n v="88"/>
    <x v="35"/>
    <x v="1"/>
    <x v="1"/>
    <n v="1010"/>
    <x v="48"/>
    <x v="3"/>
    <x v="68"/>
    <n v="3072"/>
    <x v="109"/>
    <n v="0"/>
    <x v="0"/>
    <s v="GY 12"/>
    <n v="20"/>
    <n v="117"/>
    <x v="606"/>
    <s v="Annual"/>
    <n v="1"/>
    <n v="1"/>
    <n v="131124"/>
    <n v="131124"/>
  </r>
  <r>
    <x v="0"/>
    <n v="88"/>
    <x v="35"/>
    <x v="1"/>
    <x v="1"/>
    <n v="1010"/>
    <x v="48"/>
    <x v="3"/>
    <x v="68"/>
    <n v="3072"/>
    <x v="109"/>
    <n v="0"/>
    <x v="0"/>
    <s v="X 43"/>
    <n v="0"/>
    <n v="112"/>
    <x v="92"/>
    <s v="Annual"/>
    <n v="1"/>
    <n v="1"/>
    <n v="160680"/>
    <n v="160680"/>
  </r>
  <r>
    <x v="0"/>
    <n v="88"/>
    <x v="35"/>
    <x v="1"/>
    <x v="1"/>
    <n v="1010"/>
    <x v="48"/>
    <x v="3"/>
    <x v="68"/>
    <n v="3072"/>
    <x v="109"/>
    <n v="0"/>
    <x v="0"/>
    <s v="X 43"/>
    <n v="0"/>
    <n v="112"/>
    <x v="92"/>
    <s v="Annual"/>
    <n v="1"/>
    <n v="1"/>
    <n v="133836"/>
    <n v="133836"/>
  </r>
  <r>
    <x v="0"/>
    <n v="88"/>
    <x v="35"/>
    <x v="1"/>
    <x v="1"/>
    <n v="1010"/>
    <x v="48"/>
    <x v="3"/>
    <x v="68"/>
    <n v="3072"/>
    <x v="109"/>
    <n v="0"/>
    <x v="0"/>
    <s v="G 07"/>
    <n v="4"/>
    <n v="111"/>
    <x v="245"/>
    <s v="Annual"/>
    <n v="1"/>
    <n v="1"/>
    <n v="129636"/>
    <n v="129636"/>
  </r>
  <r>
    <x v="0"/>
    <n v="88"/>
    <x v="35"/>
    <x v="1"/>
    <x v="1"/>
    <n v="1010"/>
    <x v="48"/>
    <x v="3"/>
    <x v="68"/>
    <n v="3072"/>
    <x v="109"/>
    <n v="0"/>
    <x v="0"/>
    <s v="B 13"/>
    <n v="4"/>
    <n v="110"/>
    <x v="93"/>
    <s v="Annual"/>
    <n v="1"/>
    <n v="1"/>
    <n v="77640"/>
    <n v="77640"/>
  </r>
  <r>
    <x v="0"/>
    <n v="88"/>
    <x v="35"/>
    <x v="1"/>
    <x v="1"/>
    <n v="1010"/>
    <x v="48"/>
    <x v="3"/>
    <x v="68"/>
    <n v="3072"/>
    <x v="109"/>
    <n v="0"/>
    <x v="0"/>
    <s v="B 11"/>
    <n v="1"/>
    <n v="109"/>
    <x v="94"/>
    <s v="Annual"/>
    <n v="4"/>
    <n v="1"/>
    <n v="61548"/>
    <n v="246192"/>
  </r>
  <r>
    <x v="0"/>
    <n v="88"/>
    <x v="35"/>
    <x v="1"/>
    <x v="1"/>
    <n v="1010"/>
    <x v="48"/>
    <x v="3"/>
    <x v="68"/>
    <n v="3072"/>
    <x v="109"/>
    <n v="0"/>
    <x v="0"/>
    <s v="1 00"/>
    <n v="0"/>
    <n v="15"/>
    <x v="37"/>
    <s v="Annual"/>
    <n v="0"/>
    <n v="0"/>
    <n v="12305"/>
    <n v="12305"/>
  </r>
  <r>
    <x v="0"/>
    <n v="88"/>
    <x v="35"/>
    <x v="1"/>
    <x v="1"/>
    <n v="1015"/>
    <x v="49"/>
    <x v="5"/>
    <x v="69"/>
    <n v="3103"/>
    <x v="249"/>
    <n v="0"/>
    <x v="0"/>
    <s v="X 42"/>
    <n v="0"/>
    <n v="9681"/>
    <x v="81"/>
    <s v="Annual"/>
    <n v="1"/>
    <n v="1"/>
    <n v="172920"/>
    <n v="172920"/>
  </r>
  <r>
    <x v="0"/>
    <n v="88"/>
    <x v="35"/>
    <x v="1"/>
    <x v="1"/>
    <n v="1015"/>
    <x v="49"/>
    <x v="5"/>
    <x v="69"/>
    <n v="3103"/>
    <x v="249"/>
    <n v="0"/>
    <x v="0"/>
    <s v="B 13"/>
    <n v="1"/>
    <n v="308"/>
    <x v="90"/>
    <s v="Annual"/>
    <n v="1"/>
    <n v="1"/>
    <n v="108576"/>
    <n v="108576"/>
  </r>
  <r>
    <x v="0"/>
    <n v="88"/>
    <x v="35"/>
    <x v="1"/>
    <x v="1"/>
    <n v="1015"/>
    <x v="49"/>
    <x v="5"/>
    <x v="69"/>
    <n v="3103"/>
    <x v="249"/>
    <n v="0"/>
    <x v="0"/>
    <s v="1 00"/>
    <n v="0"/>
    <n v="15"/>
    <x v="37"/>
    <s v="Annual"/>
    <n v="0"/>
    <n v="0"/>
    <n v="8262"/>
    <n v="8262"/>
  </r>
  <r>
    <x v="0"/>
    <n v="88"/>
    <x v="35"/>
    <x v="1"/>
    <x v="1"/>
    <n v="1015"/>
    <x v="49"/>
    <x v="5"/>
    <x v="69"/>
    <n v="3105"/>
    <x v="256"/>
    <n v="0"/>
    <x v="0"/>
    <s v="G 08"/>
    <n v="4"/>
    <n v="6054"/>
    <x v="942"/>
    <s v="Annual"/>
    <n v="1"/>
    <n v="1"/>
    <n v="141564"/>
    <n v="141564"/>
  </r>
  <r>
    <x v="0"/>
    <n v="88"/>
    <x v="35"/>
    <x v="1"/>
    <x v="1"/>
    <n v="1015"/>
    <x v="49"/>
    <x v="5"/>
    <x v="69"/>
    <n v="3105"/>
    <x v="256"/>
    <n v="0"/>
    <x v="0"/>
    <s v="X 43"/>
    <n v="9"/>
    <n v="5693"/>
    <x v="943"/>
    <s v="Annual"/>
    <n v="2"/>
    <n v="1"/>
    <n v="167700"/>
    <n v="335400"/>
  </r>
  <r>
    <x v="0"/>
    <n v="88"/>
    <x v="35"/>
    <x v="1"/>
    <x v="1"/>
    <n v="1015"/>
    <x v="49"/>
    <x v="5"/>
    <x v="69"/>
    <n v="3105"/>
    <x v="256"/>
    <n v="0"/>
    <x v="0"/>
    <s v="X 43"/>
    <n v="9"/>
    <n v="5693"/>
    <x v="943"/>
    <s v="Annual"/>
    <n v="1"/>
    <n v="1"/>
    <n v="150768"/>
    <n v="150768"/>
  </r>
  <r>
    <x v="0"/>
    <n v="88"/>
    <x v="35"/>
    <x v="1"/>
    <x v="1"/>
    <n v="1015"/>
    <x v="49"/>
    <x v="5"/>
    <x v="69"/>
    <n v="3105"/>
    <x v="256"/>
    <n v="0"/>
    <x v="0"/>
    <s v="GY 13"/>
    <n v="20"/>
    <n v="5632"/>
    <x v="912"/>
    <s v="Annual"/>
    <n v="1"/>
    <n v="1"/>
    <n v="140496"/>
    <n v="140496"/>
  </r>
  <r>
    <x v="0"/>
    <n v="88"/>
    <x v="35"/>
    <x v="1"/>
    <x v="1"/>
    <n v="1015"/>
    <x v="49"/>
    <x v="5"/>
    <x v="69"/>
    <n v="3105"/>
    <x v="256"/>
    <n v="0"/>
    <x v="0"/>
    <s v="GY 12"/>
    <n v="20"/>
    <n v="5630"/>
    <x v="421"/>
    <s v="Annual"/>
    <n v="1"/>
    <n v="1"/>
    <n v="115992"/>
    <n v="115992"/>
  </r>
  <r>
    <x v="0"/>
    <n v="88"/>
    <x v="35"/>
    <x v="1"/>
    <x v="1"/>
    <n v="1015"/>
    <x v="49"/>
    <x v="5"/>
    <x v="69"/>
    <n v="3105"/>
    <x v="256"/>
    <n v="0"/>
    <x v="0"/>
    <s v="1 00"/>
    <n v="0"/>
    <n v="15"/>
    <x v="37"/>
    <s v="Annual"/>
    <n v="0"/>
    <n v="0"/>
    <n v="11164"/>
    <n v="11164"/>
  </r>
  <r>
    <x v="0"/>
    <n v="88"/>
    <x v="35"/>
    <x v="1"/>
    <x v="1"/>
    <n v="1015"/>
    <x v="49"/>
    <x v="5"/>
    <x v="69"/>
    <n v="3110"/>
    <x v="257"/>
    <n v="0"/>
    <x v="0"/>
    <s v="X 43"/>
    <n v="9"/>
    <n v="5693"/>
    <x v="943"/>
    <s v="Annual"/>
    <n v="2"/>
    <n v="1"/>
    <n v="133836"/>
    <n v="267672"/>
  </r>
  <r>
    <x v="0"/>
    <n v="88"/>
    <x v="35"/>
    <x v="1"/>
    <x v="1"/>
    <n v="1015"/>
    <x v="49"/>
    <x v="5"/>
    <x v="69"/>
    <n v="3110"/>
    <x v="257"/>
    <n v="0"/>
    <x v="0"/>
    <s v="GY 12"/>
    <n v="20"/>
    <n v="5630"/>
    <x v="421"/>
    <s v="Annual"/>
    <n v="1"/>
    <n v="1"/>
    <n v="115992"/>
    <n v="115992"/>
  </r>
  <r>
    <x v="0"/>
    <n v="88"/>
    <x v="35"/>
    <x v="1"/>
    <x v="1"/>
    <n v="1015"/>
    <x v="49"/>
    <x v="5"/>
    <x v="69"/>
    <n v="3110"/>
    <x v="257"/>
    <n v="0"/>
    <x v="0"/>
    <s v="GY 11"/>
    <n v="20"/>
    <n v="5615"/>
    <x v="903"/>
    <s v="Annual"/>
    <n v="1"/>
    <n v="1"/>
    <n v="126756"/>
    <n v="126756"/>
  </r>
  <r>
    <x v="0"/>
    <n v="88"/>
    <x v="35"/>
    <x v="1"/>
    <x v="1"/>
    <n v="1015"/>
    <x v="49"/>
    <x v="5"/>
    <x v="69"/>
    <n v="3110"/>
    <x v="257"/>
    <n v="0"/>
    <x v="0"/>
    <s v="GY 11"/>
    <n v="20"/>
    <n v="5615"/>
    <x v="903"/>
    <s v="Annual"/>
    <n v="1"/>
    <n v="1"/>
    <n v="111000"/>
    <n v="111000"/>
  </r>
  <r>
    <x v="0"/>
    <n v="88"/>
    <x v="35"/>
    <x v="1"/>
    <x v="1"/>
    <n v="1015"/>
    <x v="49"/>
    <x v="5"/>
    <x v="69"/>
    <n v="3110"/>
    <x v="257"/>
    <n v="0"/>
    <x v="0"/>
    <s v="GY 13"/>
    <n v="20"/>
    <n v="5611"/>
    <x v="944"/>
    <s v="Annual"/>
    <n v="1"/>
    <n v="1"/>
    <n v="144756"/>
    <n v="144756"/>
  </r>
  <r>
    <x v="0"/>
    <n v="88"/>
    <x v="35"/>
    <x v="1"/>
    <x v="1"/>
    <n v="1015"/>
    <x v="49"/>
    <x v="5"/>
    <x v="69"/>
    <n v="3110"/>
    <x v="257"/>
    <n v="0"/>
    <x v="0"/>
    <s v="1 00"/>
    <n v="0"/>
    <n v="15"/>
    <x v="37"/>
    <s v="Annual"/>
    <n v="0"/>
    <n v="0"/>
    <n v="8676"/>
    <n v="8676"/>
  </r>
  <r>
    <x v="0"/>
    <n v="88"/>
    <x v="35"/>
    <x v="1"/>
    <x v="1"/>
    <n v="1015"/>
    <x v="49"/>
    <x v="5"/>
    <x v="69"/>
    <n v="3121"/>
    <x v="258"/>
    <n v="4003"/>
    <x v="247"/>
    <s v="B 14"/>
    <n v="1"/>
    <n v="6144"/>
    <x v="729"/>
    <s v="Annual"/>
    <n v="1"/>
    <n v="1"/>
    <n v="130668"/>
    <n v="130668"/>
  </r>
  <r>
    <x v="0"/>
    <n v="88"/>
    <x v="35"/>
    <x v="1"/>
    <x v="1"/>
    <n v="1015"/>
    <x v="49"/>
    <x v="5"/>
    <x v="69"/>
    <n v="3121"/>
    <x v="258"/>
    <n v="4003"/>
    <x v="247"/>
    <s v="GY 13"/>
    <n v="20"/>
    <n v="5632"/>
    <x v="912"/>
    <s v="Annual"/>
    <n v="1"/>
    <n v="1"/>
    <n v="121320"/>
    <n v="121320"/>
  </r>
  <r>
    <x v="0"/>
    <n v="88"/>
    <x v="35"/>
    <x v="1"/>
    <x v="1"/>
    <n v="1015"/>
    <x v="49"/>
    <x v="5"/>
    <x v="69"/>
    <n v="3121"/>
    <x v="258"/>
    <n v="4003"/>
    <x v="247"/>
    <s v="GY 12"/>
    <n v="20"/>
    <n v="5630"/>
    <x v="421"/>
    <s v="Annual"/>
    <n v="4"/>
    <n v="1"/>
    <n v="115992"/>
    <n v="463968"/>
  </r>
  <r>
    <x v="0"/>
    <n v="88"/>
    <x v="35"/>
    <x v="1"/>
    <x v="1"/>
    <n v="1015"/>
    <x v="49"/>
    <x v="5"/>
    <x v="69"/>
    <n v="3121"/>
    <x v="258"/>
    <n v="4003"/>
    <x v="247"/>
    <s v="GY 11"/>
    <n v="20"/>
    <n v="5615"/>
    <x v="903"/>
    <s v="Annual"/>
    <n v="7"/>
    <n v="1"/>
    <n v="106272"/>
    <n v="743904"/>
  </r>
  <r>
    <x v="0"/>
    <n v="88"/>
    <x v="35"/>
    <x v="1"/>
    <x v="1"/>
    <n v="1015"/>
    <x v="49"/>
    <x v="5"/>
    <x v="69"/>
    <n v="3121"/>
    <x v="258"/>
    <n v="4003"/>
    <x v="247"/>
    <s v="G 08"/>
    <n v="4"/>
    <n v="5614"/>
    <x v="904"/>
    <s v="Annual"/>
    <n v="1"/>
    <n v="1"/>
    <n v="107628"/>
    <n v="107628"/>
  </r>
  <r>
    <x v="0"/>
    <n v="88"/>
    <x v="35"/>
    <x v="1"/>
    <x v="1"/>
    <n v="1015"/>
    <x v="49"/>
    <x v="5"/>
    <x v="69"/>
    <n v="3121"/>
    <x v="258"/>
    <n v="4003"/>
    <x v="247"/>
    <s v="G 08"/>
    <n v="4"/>
    <n v="5614"/>
    <x v="904"/>
    <s v="Annual"/>
    <n v="1"/>
    <n v="1"/>
    <n v="99408"/>
    <n v="99408"/>
  </r>
  <r>
    <x v="0"/>
    <n v="88"/>
    <x v="35"/>
    <x v="1"/>
    <x v="1"/>
    <n v="1015"/>
    <x v="49"/>
    <x v="5"/>
    <x v="69"/>
    <n v="3121"/>
    <x v="258"/>
    <n v="4003"/>
    <x v="247"/>
    <s v="G 07"/>
    <n v="4"/>
    <n v="5613"/>
    <x v="898"/>
    <s v="Annual"/>
    <n v="1"/>
    <n v="1"/>
    <n v="129636"/>
    <n v="129636"/>
  </r>
  <r>
    <x v="0"/>
    <n v="88"/>
    <x v="35"/>
    <x v="1"/>
    <x v="1"/>
    <n v="1015"/>
    <x v="49"/>
    <x v="5"/>
    <x v="69"/>
    <n v="3121"/>
    <x v="258"/>
    <n v="4003"/>
    <x v="247"/>
    <s v="G 07"/>
    <n v="4"/>
    <n v="5613"/>
    <x v="898"/>
    <s v="Annual"/>
    <n v="2"/>
    <n v="1"/>
    <n v="90144"/>
    <n v="180288"/>
  </r>
  <r>
    <x v="0"/>
    <n v="88"/>
    <x v="35"/>
    <x v="1"/>
    <x v="1"/>
    <n v="1015"/>
    <x v="49"/>
    <x v="5"/>
    <x v="69"/>
    <n v="3121"/>
    <x v="258"/>
    <n v="4003"/>
    <x v="247"/>
    <s v="G 06"/>
    <n v="4"/>
    <n v="5612"/>
    <x v="945"/>
    <s v="Annual"/>
    <n v="1"/>
    <n v="1"/>
    <n v="88524"/>
    <n v="88524"/>
  </r>
  <r>
    <x v="0"/>
    <n v="88"/>
    <x v="35"/>
    <x v="1"/>
    <x v="1"/>
    <n v="1015"/>
    <x v="49"/>
    <x v="5"/>
    <x v="69"/>
    <n v="3121"/>
    <x v="258"/>
    <n v="4003"/>
    <x v="247"/>
    <s v="G 06"/>
    <n v="4"/>
    <n v="5612"/>
    <x v="945"/>
    <s v="Annual"/>
    <n v="3"/>
    <n v="1"/>
    <n v="81636"/>
    <n v="244908"/>
  </r>
  <r>
    <x v="0"/>
    <n v="88"/>
    <x v="35"/>
    <x v="1"/>
    <x v="1"/>
    <n v="1015"/>
    <x v="49"/>
    <x v="5"/>
    <x v="69"/>
    <n v="3121"/>
    <x v="258"/>
    <n v="4003"/>
    <x v="247"/>
    <s v="1 00"/>
    <n v="0"/>
    <n v="15"/>
    <x v="37"/>
    <s v="Annual"/>
    <n v="0"/>
    <n v="0"/>
    <n v="33175"/>
    <n v="33175"/>
  </r>
  <r>
    <x v="0"/>
    <n v="88"/>
    <x v="35"/>
    <x v="1"/>
    <x v="1"/>
    <n v="1020"/>
    <x v="50"/>
    <x v="6"/>
    <x v="70"/>
    <n v="3203"/>
    <x v="249"/>
    <n v="0"/>
    <x v="0"/>
    <s v="X 42"/>
    <n v="0"/>
    <n v="9681"/>
    <x v="81"/>
    <s v="Annual"/>
    <n v="1"/>
    <n v="1"/>
    <n v="153000"/>
    <n v="153000"/>
  </r>
  <r>
    <x v="0"/>
    <n v="88"/>
    <x v="35"/>
    <x v="1"/>
    <x v="1"/>
    <n v="1020"/>
    <x v="50"/>
    <x v="6"/>
    <x v="70"/>
    <n v="3203"/>
    <x v="249"/>
    <n v="0"/>
    <x v="0"/>
    <s v="G 06"/>
    <n v="4"/>
    <n v="638"/>
    <x v="621"/>
    <s v="Annual"/>
    <n v="1"/>
    <n v="1"/>
    <n v="81636"/>
    <n v="81636"/>
  </r>
  <r>
    <x v="0"/>
    <n v="88"/>
    <x v="35"/>
    <x v="1"/>
    <x v="1"/>
    <n v="1020"/>
    <x v="50"/>
    <x v="6"/>
    <x v="70"/>
    <n v="3203"/>
    <x v="249"/>
    <n v="0"/>
    <x v="0"/>
    <s v="B 09"/>
    <n v="1"/>
    <n v="460"/>
    <x v="344"/>
    <s v="Annual"/>
    <n v="1"/>
    <n v="1"/>
    <n v="82140"/>
    <n v="82140"/>
  </r>
  <r>
    <x v="0"/>
    <n v="88"/>
    <x v="35"/>
    <x v="1"/>
    <x v="1"/>
    <n v="1020"/>
    <x v="50"/>
    <x v="6"/>
    <x v="70"/>
    <n v="3203"/>
    <x v="249"/>
    <n v="0"/>
    <x v="0"/>
    <s v="B 10"/>
    <n v="1"/>
    <s v="03A7"/>
    <x v="4"/>
    <s v="Annual"/>
    <n v="1"/>
    <n v="1"/>
    <n v="90144"/>
    <n v="90144"/>
  </r>
  <r>
    <x v="0"/>
    <n v="88"/>
    <x v="35"/>
    <x v="1"/>
    <x v="1"/>
    <n v="1020"/>
    <x v="50"/>
    <x v="6"/>
    <x v="70"/>
    <n v="3203"/>
    <x v="249"/>
    <n v="0"/>
    <x v="0"/>
    <s v="X 43"/>
    <n v="0"/>
    <s v="03A2"/>
    <x v="220"/>
    <s v="Annual"/>
    <n v="1"/>
    <n v="1"/>
    <n v="160680"/>
    <n v="160680"/>
  </r>
  <r>
    <x v="0"/>
    <n v="88"/>
    <x v="35"/>
    <x v="1"/>
    <x v="1"/>
    <n v="1020"/>
    <x v="50"/>
    <x v="6"/>
    <x v="70"/>
    <n v="3203"/>
    <x v="249"/>
    <n v="0"/>
    <x v="0"/>
    <s v="BX 13"/>
    <n v="20"/>
    <n v="366"/>
    <x v="219"/>
    <s v="Annual"/>
    <n v="1"/>
    <n v="1"/>
    <n v="57852"/>
    <n v="57852"/>
  </r>
  <r>
    <x v="0"/>
    <n v="88"/>
    <x v="35"/>
    <x v="1"/>
    <x v="1"/>
    <n v="1020"/>
    <x v="50"/>
    <x v="6"/>
    <x v="70"/>
    <n v="3203"/>
    <x v="249"/>
    <n v="0"/>
    <x v="0"/>
    <s v="BX 18"/>
    <n v="10"/>
    <n v="310"/>
    <x v="135"/>
    <s v="Annual"/>
    <n v="1"/>
    <n v="1"/>
    <n v="89112"/>
    <n v="89112"/>
  </r>
  <r>
    <x v="0"/>
    <n v="88"/>
    <x v="35"/>
    <x v="1"/>
    <x v="1"/>
    <n v="1020"/>
    <x v="50"/>
    <x v="6"/>
    <x v="70"/>
    <n v="3203"/>
    <x v="249"/>
    <n v="0"/>
    <x v="0"/>
    <s v="B 13"/>
    <n v="1"/>
    <n v="308"/>
    <x v="90"/>
    <s v="Annual"/>
    <n v="1"/>
    <n v="1"/>
    <n v="119100"/>
    <n v="119100"/>
  </r>
  <r>
    <x v="0"/>
    <n v="88"/>
    <x v="35"/>
    <x v="1"/>
    <x v="1"/>
    <n v="1020"/>
    <x v="50"/>
    <x v="6"/>
    <x v="70"/>
    <n v="3203"/>
    <x v="249"/>
    <n v="0"/>
    <x v="0"/>
    <s v="B 13"/>
    <n v="1"/>
    <n v="308"/>
    <x v="90"/>
    <s v="Annual"/>
    <n v="1"/>
    <n v="1"/>
    <n v="94452"/>
    <n v="94452"/>
  </r>
  <r>
    <x v="0"/>
    <n v="88"/>
    <x v="35"/>
    <x v="1"/>
    <x v="1"/>
    <n v="1020"/>
    <x v="50"/>
    <x v="6"/>
    <x v="70"/>
    <n v="3203"/>
    <x v="249"/>
    <n v="0"/>
    <x v="0"/>
    <s v="1 00"/>
    <n v="0"/>
    <n v="15"/>
    <x v="37"/>
    <s v="Annual"/>
    <n v="0"/>
    <n v="0"/>
    <n v="23736"/>
    <n v="23736"/>
  </r>
  <r>
    <x v="0"/>
    <n v="88"/>
    <x v="35"/>
    <x v="1"/>
    <x v="1"/>
    <n v="1020"/>
    <x v="50"/>
    <x v="6"/>
    <x v="70"/>
    <n v="3205"/>
    <x v="259"/>
    <n v="0"/>
    <x v="0"/>
    <s v="3 00"/>
    <n v="0"/>
    <n v="5648"/>
    <x v="946"/>
    <s v="Annual"/>
    <n v="1"/>
    <n v="1"/>
    <n v="142212"/>
    <n v="142212"/>
  </r>
  <r>
    <x v="0"/>
    <n v="88"/>
    <x v="35"/>
    <x v="1"/>
    <x v="1"/>
    <n v="1020"/>
    <x v="50"/>
    <x v="6"/>
    <x v="70"/>
    <n v="3205"/>
    <x v="259"/>
    <n v="0"/>
    <x v="0"/>
    <s v="X 43"/>
    <n v="20"/>
    <n v="5647"/>
    <x v="947"/>
    <s v="Annual"/>
    <n v="1"/>
    <n v="1"/>
    <n v="167700"/>
    <n v="167700"/>
  </r>
  <r>
    <x v="0"/>
    <n v="88"/>
    <x v="35"/>
    <x v="1"/>
    <x v="1"/>
    <n v="1020"/>
    <x v="50"/>
    <x v="6"/>
    <x v="70"/>
    <n v="3205"/>
    <x v="259"/>
    <n v="0"/>
    <x v="0"/>
    <s v="G 08"/>
    <n v="4"/>
    <n v="5644"/>
    <x v="948"/>
    <s v="Annual"/>
    <n v="2"/>
    <n v="1"/>
    <n v="112536"/>
    <n v="225072"/>
  </r>
  <r>
    <x v="0"/>
    <n v="88"/>
    <x v="35"/>
    <x v="1"/>
    <x v="1"/>
    <n v="1020"/>
    <x v="50"/>
    <x v="6"/>
    <x v="70"/>
    <n v="3205"/>
    <x v="259"/>
    <n v="0"/>
    <x v="0"/>
    <s v="G 07"/>
    <n v="4"/>
    <n v="5643"/>
    <x v="949"/>
    <s v="Annual"/>
    <n v="1"/>
    <n v="1"/>
    <n v="129636"/>
    <n v="129636"/>
  </r>
  <r>
    <x v="0"/>
    <n v="88"/>
    <x v="35"/>
    <x v="1"/>
    <x v="1"/>
    <n v="1020"/>
    <x v="50"/>
    <x v="6"/>
    <x v="70"/>
    <n v="3205"/>
    <x v="259"/>
    <n v="0"/>
    <x v="0"/>
    <s v="G 07"/>
    <n v="4"/>
    <n v="5643"/>
    <x v="949"/>
    <s v="Annual"/>
    <n v="1"/>
    <n v="1"/>
    <n v="117636"/>
    <n v="117636"/>
  </r>
  <r>
    <x v="0"/>
    <n v="88"/>
    <x v="35"/>
    <x v="1"/>
    <x v="1"/>
    <n v="1020"/>
    <x v="50"/>
    <x v="6"/>
    <x v="70"/>
    <n v="3205"/>
    <x v="259"/>
    <n v="0"/>
    <x v="0"/>
    <s v="G 07"/>
    <n v="4"/>
    <n v="5643"/>
    <x v="949"/>
    <s v="Annual"/>
    <n v="2"/>
    <n v="1"/>
    <n v="112536"/>
    <n v="225072"/>
  </r>
  <r>
    <x v="0"/>
    <n v="88"/>
    <x v="35"/>
    <x v="1"/>
    <x v="1"/>
    <n v="1020"/>
    <x v="50"/>
    <x v="6"/>
    <x v="70"/>
    <n v="3205"/>
    <x v="259"/>
    <n v="0"/>
    <x v="0"/>
    <s v="G 07"/>
    <n v="4"/>
    <n v="5643"/>
    <x v="949"/>
    <s v="Annual"/>
    <n v="1"/>
    <n v="1"/>
    <n v="90144"/>
    <n v="90144"/>
  </r>
  <r>
    <x v="0"/>
    <n v="88"/>
    <x v="35"/>
    <x v="1"/>
    <x v="1"/>
    <n v="1020"/>
    <x v="50"/>
    <x v="6"/>
    <x v="70"/>
    <n v="3205"/>
    <x v="259"/>
    <n v="0"/>
    <x v="0"/>
    <s v="G 06"/>
    <n v="4"/>
    <n v="5642"/>
    <x v="950"/>
    <s v="Annual"/>
    <n v="3"/>
    <n v="1"/>
    <n v="102516"/>
    <n v="307548"/>
  </r>
  <r>
    <x v="0"/>
    <n v="88"/>
    <x v="35"/>
    <x v="1"/>
    <x v="1"/>
    <n v="1020"/>
    <x v="50"/>
    <x v="6"/>
    <x v="70"/>
    <n v="3205"/>
    <x v="259"/>
    <n v="0"/>
    <x v="0"/>
    <s v="G 06"/>
    <n v="4"/>
    <n v="5642"/>
    <x v="950"/>
    <s v="Annual"/>
    <n v="1"/>
    <n v="1"/>
    <n v="97488"/>
    <n v="97488"/>
  </r>
  <r>
    <x v="0"/>
    <n v="88"/>
    <x v="35"/>
    <x v="1"/>
    <x v="1"/>
    <n v="1020"/>
    <x v="50"/>
    <x v="6"/>
    <x v="70"/>
    <n v="3205"/>
    <x v="259"/>
    <n v="0"/>
    <x v="0"/>
    <s v="G 06"/>
    <n v="4"/>
    <n v="5642"/>
    <x v="950"/>
    <s v="Annual"/>
    <n v="2"/>
    <n v="1"/>
    <n v="88524"/>
    <n v="177048"/>
  </r>
  <r>
    <x v="0"/>
    <n v="88"/>
    <x v="35"/>
    <x v="1"/>
    <x v="1"/>
    <n v="1020"/>
    <x v="50"/>
    <x v="6"/>
    <x v="70"/>
    <n v="3205"/>
    <x v="259"/>
    <n v="0"/>
    <x v="0"/>
    <s v="G 06"/>
    <n v="4"/>
    <n v="5642"/>
    <x v="950"/>
    <s v="Annual"/>
    <n v="1"/>
    <n v="1"/>
    <n v="84192"/>
    <n v="84192"/>
  </r>
  <r>
    <x v="0"/>
    <n v="88"/>
    <x v="35"/>
    <x v="1"/>
    <x v="1"/>
    <n v="1020"/>
    <x v="50"/>
    <x v="6"/>
    <x v="70"/>
    <n v="3205"/>
    <x v="259"/>
    <n v="0"/>
    <x v="0"/>
    <s v="G 06"/>
    <n v="4"/>
    <n v="5642"/>
    <x v="950"/>
    <s v="Annual"/>
    <n v="3"/>
    <n v="1"/>
    <n v="81636"/>
    <n v="244908"/>
  </r>
  <r>
    <x v="0"/>
    <n v="88"/>
    <x v="35"/>
    <x v="1"/>
    <x v="1"/>
    <n v="1020"/>
    <x v="50"/>
    <x v="6"/>
    <x v="70"/>
    <n v="3205"/>
    <x v="259"/>
    <n v="0"/>
    <x v="0"/>
    <s v="G 07"/>
    <n v="4"/>
    <n v="5534"/>
    <x v="951"/>
    <s v="Annual"/>
    <n v="1"/>
    <n v="1"/>
    <n v="129636"/>
    <n v="129636"/>
  </r>
  <r>
    <x v="0"/>
    <n v="88"/>
    <x v="35"/>
    <x v="1"/>
    <x v="1"/>
    <n v="1020"/>
    <x v="50"/>
    <x v="6"/>
    <x v="70"/>
    <n v="3205"/>
    <x v="259"/>
    <n v="0"/>
    <x v="0"/>
    <s v="G 06"/>
    <n v="4"/>
    <n v="5533"/>
    <x v="952"/>
    <s v="Annual"/>
    <n v="2"/>
    <n v="1"/>
    <n v="118836"/>
    <n v="237672"/>
  </r>
  <r>
    <x v="0"/>
    <n v="88"/>
    <x v="35"/>
    <x v="1"/>
    <x v="1"/>
    <n v="1020"/>
    <x v="50"/>
    <x v="6"/>
    <x v="70"/>
    <n v="3205"/>
    <x v="259"/>
    <n v="0"/>
    <x v="0"/>
    <s v="G 06"/>
    <n v="4"/>
    <n v="5533"/>
    <x v="952"/>
    <s v="Annual"/>
    <n v="1"/>
    <n v="1"/>
    <n v="81636"/>
    <n v="81636"/>
  </r>
  <r>
    <x v="0"/>
    <n v="88"/>
    <x v="35"/>
    <x v="1"/>
    <x v="1"/>
    <n v="1020"/>
    <x v="50"/>
    <x v="6"/>
    <x v="70"/>
    <n v="3205"/>
    <x v="259"/>
    <n v="0"/>
    <x v="0"/>
    <s v="G 05"/>
    <n v="4"/>
    <n v="5532"/>
    <x v="953"/>
    <s v="Annual"/>
    <n v="4"/>
    <n v="1"/>
    <n v="108708"/>
    <n v="434832"/>
  </r>
  <r>
    <x v="0"/>
    <n v="88"/>
    <x v="35"/>
    <x v="1"/>
    <x v="1"/>
    <n v="1020"/>
    <x v="50"/>
    <x v="6"/>
    <x v="70"/>
    <n v="3205"/>
    <x v="259"/>
    <n v="0"/>
    <x v="0"/>
    <s v="G 05"/>
    <n v="4"/>
    <n v="5532"/>
    <x v="953"/>
    <s v="Annual"/>
    <n v="3"/>
    <n v="1"/>
    <n v="102516"/>
    <n v="307548"/>
  </r>
  <r>
    <x v="0"/>
    <n v="88"/>
    <x v="35"/>
    <x v="1"/>
    <x v="1"/>
    <n v="1020"/>
    <x v="50"/>
    <x v="6"/>
    <x v="70"/>
    <n v="3205"/>
    <x v="259"/>
    <n v="0"/>
    <x v="0"/>
    <s v="G 09"/>
    <n v="3"/>
    <n v="5529"/>
    <x v="954"/>
    <s v="Annual"/>
    <n v="1"/>
    <n v="1"/>
    <n v="154764"/>
    <n v="154764"/>
  </r>
  <r>
    <x v="0"/>
    <n v="88"/>
    <x v="35"/>
    <x v="1"/>
    <x v="1"/>
    <n v="1020"/>
    <x v="50"/>
    <x v="6"/>
    <x v="70"/>
    <n v="3205"/>
    <x v="259"/>
    <n v="0"/>
    <x v="0"/>
    <s v="GY 15"/>
    <n v="20"/>
    <n v="5517"/>
    <x v="955"/>
    <s v="Annual"/>
    <n v="1"/>
    <n v="1"/>
    <n v="156708"/>
    <n v="156708"/>
  </r>
  <r>
    <x v="0"/>
    <n v="88"/>
    <x v="35"/>
    <x v="1"/>
    <x v="1"/>
    <n v="1020"/>
    <x v="50"/>
    <x v="6"/>
    <x v="70"/>
    <n v="3205"/>
    <x v="259"/>
    <n v="0"/>
    <x v="0"/>
    <s v="GY 15"/>
    <n v="20"/>
    <n v="5517"/>
    <x v="955"/>
    <s v="Annual"/>
    <n v="1"/>
    <n v="1"/>
    <n v="131124"/>
    <n v="131124"/>
  </r>
  <r>
    <x v="0"/>
    <n v="88"/>
    <x v="35"/>
    <x v="1"/>
    <x v="1"/>
    <n v="1020"/>
    <x v="50"/>
    <x v="6"/>
    <x v="70"/>
    <n v="3205"/>
    <x v="259"/>
    <n v="0"/>
    <x v="0"/>
    <s v="G 07"/>
    <n v="3"/>
    <n v="3179"/>
    <x v="956"/>
    <s v="Annual"/>
    <n v="1"/>
    <n v="1"/>
    <n v="92940"/>
    <n v="92940"/>
  </r>
  <r>
    <x v="0"/>
    <n v="88"/>
    <x v="35"/>
    <x v="1"/>
    <x v="1"/>
    <n v="1020"/>
    <x v="50"/>
    <x v="6"/>
    <x v="70"/>
    <n v="3205"/>
    <x v="259"/>
    <n v="0"/>
    <x v="0"/>
    <s v="G 06"/>
    <n v="3"/>
    <n v="3178"/>
    <x v="957"/>
    <s v="Annual"/>
    <n v="1"/>
    <n v="1"/>
    <n v="118836"/>
    <n v="118836"/>
  </r>
  <r>
    <x v="0"/>
    <n v="88"/>
    <x v="35"/>
    <x v="1"/>
    <x v="1"/>
    <n v="1020"/>
    <x v="50"/>
    <x v="6"/>
    <x v="70"/>
    <n v="3205"/>
    <x v="259"/>
    <n v="0"/>
    <x v="0"/>
    <s v="G 06"/>
    <n v="3"/>
    <n v="3178"/>
    <x v="957"/>
    <s v="Annual"/>
    <n v="1"/>
    <n v="1"/>
    <n v="92940"/>
    <n v="92940"/>
  </r>
  <r>
    <x v="0"/>
    <n v="88"/>
    <x v="35"/>
    <x v="1"/>
    <x v="1"/>
    <n v="1020"/>
    <x v="50"/>
    <x v="6"/>
    <x v="70"/>
    <n v="3205"/>
    <x v="259"/>
    <n v="0"/>
    <x v="0"/>
    <s v="G 06"/>
    <n v="3"/>
    <n v="3178"/>
    <x v="957"/>
    <s v="Annual"/>
    <n v="1"/>
    <n v="1"/>
    <n v="88524"/>
    <n v="88524"/>
  </r>
  <r>
    <x v="0"/>
    <n v="88"/>
    <x v="35"/>
    <x v="1"/>
    <x v="1"/>
    <n v="1020"/>
    <x v="50"/>
    <x v="6"/>
    <x v="70"/>
    <n v="3205"/>
    <x v="259"/>
    <n v="0"/>
    <x v="0"/>
    <s v="G 05"/>
    <n v="3"/>
    <n v="3177"/>
    <x v="958"/>
    <s v="Annual"/>
    <n v="2"/>
    <n v="1"/>
    <n v="80196"/>
    <n v="160392"/>
  </r>
  <r>
    <x v="0"/>
    <n v="88"/>
    <x v="35"/>
    <x v="1"/>
    <x v="1"/>
    <n v="1020"/>
    <x v="50"/>
    <x v="6"/>
    <x v="70"/>
    <n v="3205"/>
    <x v="259"/>
    <n v="0"/>
    <x v="0"/>
    <s v="G 05"/>
    <n v="3"/>
    <n v="3177"/>
    <x v="958"/>
    <s v="Annual"/>
    <n v="2"/>
    <n v="1"/>
    <n v="74160"/>
    <n v="148320"/>
  </r>
  <r>
    <x v="0"/>
    <n v="88"/>
    <x v="35"/>
    <x v="1"/>
    <x v="1"/>
    <n v="1020"/>
    <x v="50"/>
    <x v="6"/>
    <x v="70"/>
    <n v="3205"/>
    <x v="259"/>
    <n v="0"/>
    <x v="0"/>
    <s v="X 43"/>
    <n v="0"/>
    <n v="3154"/>
    <x v="959"/>
    <s v="Annual"/>
    <n v="1"/>
    <n v="1"/>
    <n v="167700"/>
    <n v="167700"/>
  </r>
  <r>
    <x v="0"/>
    <n v="88"/>
    <x v="35"/>
    <x v="1"/>
    <x v="1"/>
    <n v="1020"/>
    <x v="50"/>
    <x v="6"/>
    <x v="70"/>
    <n v="3205"/>
    <x v="259"/>
    <n v="0"/>
    <x v="0"/>
    <s v="B 11"/>
    <n v="1"/>
    <n v="3130"/>
    <x v="581"/>
    <s v="Annual"/>
    <n v="2"/>
    <n v="1"/>
    <n v="57000"/>
    <n v="114000"/>
  </r>
  <r>
    <x v="0"/>
    <n v="88"/>
    <x v="35"/>
    <x v="1"/>
    <x v="1"/>
    <n v="1020"/>
    <x v="50"/>
    <x v="6"/>
    <x v="70"/>
    <n v="3205"/>
    <x v="259"/>
    <n v="0"/>
    <x v="0"/>
    <s v="G 09"/>
    <n v="4"/>
    <n v="3108"/>
    <x v="960"/>
    <s v="Annual"/>
    <n v="1"/>
    <n v="1"/>
    <n v="128316"/>
    <n v="128316"/>
  </r>
  <r>
    <x v="0"/>
    <n v="88"/>
    <x v="35"/>
    <x v="1"/>
    <x v="1"/>
    <n v="1020"/>
    <x v="50"/>
    <x v="6"/>
    <x v="70"/>
    <n v="3205"/>
    <x v="259"/>
    <n v="0"/>
    <x v="0"/>
    <s v="B 09"/>
    <n v="1"/>
    <n v="2317"/>
    <x v="961"/>
    <s v="Annual"/>
    <n v="3"/>
    <n v="1"/>
    <n v="47364"/>
    <n v="142092"/>
  </r>
  <r>
    <x v="0"/>
    <n v="88"/>
    <x v="35"/>
    <x v="1"/>
    <x v="1"/>
    <n v="1020"/>
    <x v="50"/>
    <x v="6"/>
    <x v="70"/>
    <n v="3205"/>
    <x v="259"/>
    <n v="0"/>
    <x v="0"/>
    <s v="B 10"/>
    <n v="1"/>
    <n v="1817"/>
    <x v="451"/>
    <s v="Annual"/>
    <n v="1"/>
    <n v="1"/>
    <n v="51936"/>
    <n v="51936"/>
  </r>
  <r>
    <x v="0"/>
    <n v="88"/>
    <x v="35"/>
    <x v="1"/>
    <x v="1"/>
    <n v="1020"/>
    <x v="50"/>
    <x v="6"/>
    <x v="70"/>
    <n v="3205"/>
    <x v="259"/>
    <n v="0"/>
    <x v="0"/>
    <s v="X 43"/>
    <n v="0"/>
    <s v="03A2"/>
    <x v="220"/>
    <s v="Annual"/>
    <n v="1"/>
    <n v="1"/>
    <n v="133836"/>
    <n v="133836"/>
  </r>
  <r>
    <x v="0"/>
    <n v="88"/>
    <x v="35"/>
    <x v="1"/>
    <x v="1"/>
    <n v="1020"/>
    <x v="50"/>
    <x v="6"/>
    <x v="70"/>
    <n v="3205"/>
    <x v="259"/>
    <n v="0"/>
    <x v="0"/>
    <s v="1 00"/>
    <n v="0"/>
    <n v="15"/>
    <x v="37"/>
    <s v="Annual"/>
    <n v="0"/>
    <n v="0"/>
    <n v="52086"/>
    <n v="52086"/>
  </r>
  <r>
    <x v="0"/>
    <n v="88"/>
    <x v="35"/>
    <x v="1"/>
    <x v="1"/>
    <n v="1020"/>
    <x v="50"/>
    <x v="6"/>
    <x v="70"/>
    <n v="3210"/>
    <x v="260"/>
    <n v="0"/>
    <x v="0"/>
    <s v="2 0"/>
    <n v="23"/>
    <n v="7775"/>
    <x v="962"/>
    <s v="Hourly"/>
    <n v="1"/>
    <n v="1"/>
    <n v="43.04"/>
    <n v="89523"/>
  </r>
  <r>
    <x v="0"/>
    <n v="88"/>
    <x v="35"/>
    <x v="1"/>
    <x v="1"/>
    <n v="1020"/>
    <x v="50"/>
    <x v="6"/>
    <x v="70"/>
    <n v="3210"/>
    <x v="260"/>
    <n v="0"/>
    <x v="0"/>
    <s v="2 0"/>
    <n v="12"/>
    <n v="7745"/>
    <x v="414"/>
    <s v="Hourly"/>
    <n v="4"/>
    <n v="1"/>
    <n v="68.260000000000005"/>
    <n v="567923"/>
  </r>
  <r>
    <x v="0"/>
    <n v="88"/>
    <x v="35"/>
    <x v="1"/>
    <x v="1"/>
    <n v="1020"/>
    <x v="50"/>
    <x v="6"/>
    <x v="70"/>
    <n v="3210"/>
    <x v="260"/>
    <n v="0"/>
    <x v="0"/>
    <s v="2 0"/>
    <n v="12"/>
    <n v="7743"/>
    <x v="415"/>
    <s v="Hourly"/>
    <n v="1"/>
    <n v="1"/>
    <n v="62.05"/>
    <n v="129064"/>
  </r>
  <r>
    <x v="0"/>
    <n v="88"/>
    <x v="35"/>
    <x v="1"/>
    <x v="1"/>
    <n v="1020"/>
    <x v="50"/>
    <x v="6"/>
    <x v="70"/>
    <n v="3210"/>
    <x v="260"/>
    <n v="0"/>
    <x v="0"/>
    <s v="G 06"/>
    <n v="4"/>
    <n v="6052"/>
    <x v="963"/>
    <s v="Annual"/>
    <n v="2"/>
    <n v="1"/>
    <n v="81636"/>
    <n v="163272"/>
  </r>
  <r>
    <x v="0"/>
    <n v="88"/>
    <x v="35"/>
    <x v="1"/>
    <x v="1"/>
    <n v="1020"/>
    <x v="50"/>
    <x v="6"/>
    <x v="70"/>
    <n v="3210"/>
    <x v="260"/>
    <n v="0"/>
    <x v="0"/>
    <s v="2 0"/>
    <n v="14"/>
    <n v="4774"/>
    <x v="436"/>
    <s v="Hourly"/>
    <n v="4"/>
    <n v="1"/>
    <n v="54.1"/>
    <n v="450112"/>
  </r>
  <r>
    <x v="0"/>
    <n v="88"/>
    <x v="35"/>
    <x v="1"/>
    <x v="1"/>
    <n v="1020"/>
    <x v="50"/>
    <x v="6"/>
    <x v="70"/>
    <n v="3210"/>
    <x v="260"/>
    <n v="0"/>
    <x v="0"/>
    <s v="2 0"/>
    <n v="39"/>
    <n v="4634"/>
    <x v="441"/>
    <s v="Hourly"/>
    <n v="10400"/>
    <n v="0"/>
    <n v="54.3"/>
    <n v="564720"/>
  </r>
  <r>
    <x v="0"/>
    <n v="88"/>
    <x v="35"/>
    <x v="1"/>
    <x v="1"/>
    <n v="1020"/>
    <x v="50"/>
    <x v="6"/>
    <x v="70"/>
    <n v="3210"/>
    <x v="260"/>
    <n v="0"/>
    <x v="0"/>
    <s v="B 14"/>
    <n v="4"/>
    <n v="1912"/>
    <x v="222"/>
    <s v="Annual"/>
    <n v="1"/>
    <n v="1"/>
    <n v="75336"/>
    <n v="75336"/>
  </r>
  <r>
    <x v="0"/>
    <n v="88"/>
    <x v="35"/>
    <x v="1"/>
    <x v="1"/>
    <n v="1020"/>
    <x v="50"/>
    <x v="6"/>
    <x v="70"/>
    <n v="3210"/>
    <x v="260"/>
    <n v="0"/>
    <x v="0"/>
    <s v="1 00"/>
    <n v="0"/>
    <n v="12"/>
    <x v="291"/>
    <s v="Annual"/>
    <n v="0"/>
    <n v="0"/>
    <n v="27021"/>
    <n v="27021"/>
  </r>
  <r>
    <x v="0"/>
    <n v="88"/>
    <x v="35"/>
    <x v="1"/>
    <x v="1"/>
    <n v="1020"/>
    <x v="50"/>
    <x v="6"/>
    <x v="70"/>
    <n v="3215"/>
    <x v="261"/>
    <n v="0"/>
    <x v="0"/>
    <s v="2 0"/>
    <n v="45"/>
    <n v="9593"/>
    <x v="964"/>
    <s v="Monthly"/>
    <n v="21"/>
    <n v="1"/>
    <n v="4650.4399999999996"/>
    <n v="1171911"/>
  </r>
  <r>
    <x v="0"/>
    <n v="88"/>
    <x v="35"/>
    <x v="1"/>
    <x v="1"/>
    <n v="1020"/>
    <x v="50"/>
    <x v="6"/>
    <x v="70"/>
    <n v="3215"/>
    <x v="261"/>
    <n v="0"/>
    <x v="0"/>
    <s v="2 0"/>
    <n v="45"/>
    <n v="9593"/>
    <x v="964"/>
    <s v="Monthly"/>
    <n v="1"/>
    <n v="1"/>
    <n v="4131.8599999999997"/>
    <n v="49582"/>
  </r>
  <r>
    <x v="0"/>
    <n v="88"/>
    <x v="35"/>
    <x v="1"/>
    <x v="1"/>
    <n v="1020"/>
    <x v="50"/>
    <x v="6"/>
    <x v="70"/>
    <n v="3215"/>
    <x v="261"/>
    <n v="0"/>
    <x v="0"/>
    <s v="2 0"/>
    <n v="45"/>
    <n v="9593"/>
    <x v="964"/>
    <s v="Hourly"/>
    <n v="1"/>
    <n v="1"/>
    <n v="28.16"/>
    <n v="58573"/>
  </r>
  <r>
    <x v="0"/>
    <n v="88"/>
    <x v="35"/>
    <x v="1"/>
    <x v="1"/>
    <n v="1020"/>
    <x v="50"/>
    <x v="6"/>
    <x v="70"/>
    <n v="3215"/>
    <x v="261"/>
    <n v="0"/>
    <x v="0"/>
    <s v="2 0"/>
    <n v="45"/>
    <n v="9592"/>
    <x v="965"/>
    <s v="Monthly"/>
    <n v="2"/>
    <n v="1"/>
    <n v="5528.68"/>
    <n v="132688"/>
  </r>
  <r>
    <x v="0"/>
    <n v="88"/>
    <x v="35"/>
    <x v="1"/>
    <x v="1"/>
    <n v="1020"/>
    <x v="50"/>
    <x v="6"/>
    <x v="70"/>
    <n v="3215"/>
    <x v="261"/>
    <n v="0"/>
    <x v="0"/>
    <s v="2 0"/>
    <n v="23"/>
    <n v="7775"/>
    <x v="962"/>
    <s v="Hourly"/>
    <n v="2080"/>
    <n v="0"/>
    <n v="43.04"/>
    <n v="89523"/>
  </r>
  <r>
    <x v="0"/>
    <n v="88"/>
    <x v="35"/>
    <x v="1"/>
    <x v="1"/>
    <n v="1020"/>
    <x v="50"/>
    <x v="6"/>
    <x v="70"/>
    <n v="3215"/>
    <x v="261"/>
    <n v="0"/>
    <x v="0"/>
    <s v="2 0"/>
    <n v="23"/>
    <n v="7775"/>
    <x v="962"/>
    <s v="Hourly"/>
    <n v="8"/>
    <n v="1"/>
    <n v="43.04"/>
    <n v="716186"/>
  </r>
  <r>
    <x v="0"/>
    <n v="88"/>
    <x v="35"/>
    <x v="1"/>
    <x v="1"/>
    <n v="1020"/>
    <x v="50"/>
    <x v="6"/>
    <x v="70"/>
    <n v="3215"/>
    <x v="261"/>
    <n v="0"/>
    <x v="0"/>
    <s v="2 0"/>
    <n v="12"/>
    <n v="7747"/>
    <x v="413"/>
    <s v="Monthly"/>
    <n v="2"/>
    <n v="1"/>
    <n v="12906.4"/>
    <n v="309754"/>
  </r>
  <r>
    <x v="0"/>
    <n v="88"/>
    <x v="35"/>
    <x v="1"/>
    <x v="1"/>
    <n v="1020"/>
    <x v="50"/>
    <x v="6"/>
    <x v="70"/>
    <n v="3215"/>
    <x v="261"/>
    <n v="0"/>
    <x v="0"/>
    <s v="2 0"/>
    <n v="12"/>
    <n v="7745"/>
    <x v="414"/>
    <s v="Hourly"/>
    <n v="15"/>
    <n v="1"/>
    <n v="68.260000000000005"/>
    <n v="2129712"/>
  </r>
  <r>
    <x v="0"/>
    <n v="88"/>
    <x v="35"/>
    <x v="1"/>
    <x v="1"/>
    <n v="1020"/>
    <x v="50"/>
    <x v="6"/>
    <x v="70"/>
    <n v="3215"/>
    <x v="261"/>
    <n v="0"/>
    <x v="0"/>
    <s v="2 0"/>
    <n v="12"/>
    <n v="7743"/>
    <x v="415"/>
    <s v="Hourly"/>
    <n v="59"/>
    <n v="1"/>
    <n v="62.05"/>
    <n v="7614776"/>
  </r>
  <r>
    <x v="0"/>
    <n v="88"/>
    <x v="35"/>
    <x v="1"/>
    <x v="1"/>
    <n v="1020"/>
    <x v="50"/>
    <x v="6"/>
    <x v="70"/>
    <n v="3215"/>
    <x v="261"/>
    <n v="0"/>
    <x v="0"/>
    <s v="2 0"/>
    <n v="12"/>
    <n v="7741"/>
    <x v="966"/>
    <s v="Hourly"/>
    <n v="72"/>
    <n v="1"/>
    <n v="58.95"/>
    <n v="8828352"/>
  </r>
  <r>
    <x v="0"/>
    <n v="88"/>
    <x v="35"/>
    <x v="1"/>
    <x v="1"/>
    <n v="1020"/>
    <x v="50"/>
    <x v="6"/>
    <x v="70"/>
    <n v="3215"/>
    <x v="261"/>
    <n v="0"/>
    <x v="0"/>
    <s v="2 0"/>
    <n v="36"/>
    <n v="6676"/>
    <x v="426"/>
    <s v="Hourly"/>
    <n v="1"/>
    <n v="1"/>
    <n v="64.39"/>
    <n v="133931"/>
  </r>
  <r>
    <x v="0"/>
    <n v="88"/>
    <x v="35"/>
    <x v="1"/>
    <x v="1"/>
    <n v="1020"/>
    <x v="50"/>
    <x v="6"/>
    <x v="70"/>
    <n v="3215"/>
    <x v="261"/>
    <n v="0"/>
    <x v="0"/>
    <s v="2 0"/>
    <n v="36"/>
    <n v="6676"/>
    <x v="426"/>
    <s v="Hourly"/>
    <n v="1"/>
    <n v="1"/>
    <n v="58.24"/>
    <n v="121139"/>
  </r>
  <r>
    <x v="0"/>
    <n v="88"/>
    <x v="35"/>
    <x v="1"/>
    <x v="1"/>
    <n v="1020"/>
    <x v="50"/>
    <x v="6"/>
    <x v="70"/>
    <n v="3215"/>
    <x v="261"/>
    <n v="0"/>
    <x v="0"/>
    <s v="2 0"/>
    <n v="36"/>
    <n v="6674"/>
    <x v="427"/>
    <s v="Hourly"/>
    <n v="11"/>
    <n v="1"/>
    <n v="60.39"/>
    <n v="1381723"/>
  </r>
  <r>
    <x v="0"/>
    <n v="88"/>
    <x v="35"/>
    <x v="1"/>
    <x v="1"/>
    <n v="1020"/>
    <x v="50"/>
    <x v="6"/>
    <x v="70"/>
    <n v="3215"/>
    <x v="261"/>
    <n v="0"/>
    <x v="0"/>
    <s v="G 08"/>
    <n v="4"/>
    <n v="5814"/>
    <x v="967"/>
    <s v="Annual"/>
    <n v="2"/>
    <n v="1"/>
    <n v="99408"/>
    <n v="198816"/>
  </r>
  <r>
    <x v="0"/>
    <n v="88"/>
    <x v="35"/>
    <x v="1"/>
    <x v="1"/>
    <n v="1020"/>
    <x v="50"/>
    <x v="6"/>
    <x v="70"/>
    <n v="3215"/>
    <x v="261"/>
    <n v="0"/>
    <x v="0"/>
    <s v="X 43"/>
    <n v="9"/>
    <n v="5566"/>
    <x v="968"/>
    <s v="Annual"/>
    <n v="1"/>
    <n v="1"/>
    <n v="167700"/>
    <n v="167700"/>
  </r>
  <r>
    <x v="0"/>
    <n v="88"/>
    <x v="35"/>
    <x v="1"/>
    <x v="1"/>
    <n v="1020"/>
    <x v="50"/>
    <x v="6"/>
    <x v="70"/>
    <n v="3215"/>
    <x v="261"/>
    <n v="0"/>
    <x v="0"/>
    <s v="X 43"/>
    <n v="9"/>
    <n v="5566"/>
    <x v="968"/>
    <s v="Annual"/>
    <n v="1"/>
    <n v="1"/>
    <n v="150768"/>
    <n v="150768"/>
  </r>
  <r>
    <x v="0"/>
    <n v="88"/>
    <x v="35"/>
    <x v="1"/>
    <x v="1"/>
    <n v="1020"/>
    <x v="50"/>
    <x v="6"/>
    <x v="70"/>
    <n v="3215"/>
    <x v="261"/>
    <n v="0"/>
    <x v="0"/>
    <s v="G 07"/>
    <n v="4"/>
    <n v="5534"/>
    <x v="951"/>
    <s v="Annual"/>
    <n v="2"/>
    <n v="1"/>
    <n v="129636"/>
    <n v="259272"/>
  </r>
  <r>
    <x v="0"/>
    <n v="88"/>
    <x v="35"/>
    <x v="1"/>
    <x v="1"/>
    <n v="1020"/>
    <x v="50"/>
    <x v="6"/>
    <x v="70"/>
    <n v="3215"/>
    <x v="261"/>
    <n v="0"/>
    <x v="0"/>
    <s v="G 06"/>
    <n v="4"/>
    <n v="5533"/>
    <x v="952"/>
    <s v="Annual"/>
    <n v="2"/>
    <n v="1"/>
    <n v="118836"/>
    <n v="237672"/>
  </r>
  <r>
    <x v="0"/>
    <n v="88"/>
    <x v="35"/>
    <x v="1"/>
    <x v="1"/>
    <n v="1020"/>
    <x v="50"/>
    <x v="6"/>
    <x v="70"/>
    <n v="3215"/>
    <x v="261"/>
    <n v="0"/>
    <x v="0"/>
    <s v="G 05"/>
    <n v="4"/>
    <n v="5532"/>
    <x v="953"/>
    <s v="Annual"/>
    <n v="3"/>
    <n v="1"/>
    <n v="108708"/>
    <n v="326124"/>
  </r>
  <r>
    <x v="0"/>
    <n v="88"/>
    <x v="35"/>
    <x v="1"/>
    <x v="1"/>
    <n v="1020"/>
    <x v="50"/>
    <x v="6"/>
    <x v="70"/>
    <n v="3215"/>
    <x v="261"/>
    <n v="0"/>
    <x v="0"/>
    <s v="G 05"/>
    <n v="4"/>
    <n v="5532"/>
    <x v="953"/>
    <s v="Annual"/>
    <n v="2"/>
    <n v="1"/>
    <n v="88524"/>
    <n v="177048"/>
  </r>
  <r>
    <x v="0"/>
    <n v="88"/>
    <x v="35"/>
    <x v="1"/>
    <x v="1"/>
    <n v="1020"/>
    <x v="50"/>
    <x v="6"/>
    <x v="70"/>
    <n v="3215"/>
    <x v="261"/>
    <n v="0"/>
    <x v="0"/>
    <s v="G 05"/>
    <n v="4"/>
    <n v="5532"/>
    <x v="953"/>
    <s v="Annual"/>
    <n v="3"/>
    <n v="1"/>
    <n v="80196"/>
    <n v="240588"/>
  </r>
  <r>
    <x v="0"/>
    <n v="88"/>
    <x v="35"/>
    <x v="1"/>
    <x v="1"/>
    <n v="1020"/>
    <x v="50"/>
    <x v="6"/>
    <x v="70"/>
    <n v="3215"/>
    <x v="261"/>
    <n v="0"/>
    <x v="0"/>
    <s v="G 05"/>
    <n v="4"/>
    <n v="5532"/>
    <x v="953"/>
    <s v="Annual"/>
    <n v="3"/>
    <n v="1"/>
    <n v="76464"/>
    <n v="229392"/>
  </r>
  <r>
    <x v="0"/>
    <n v="88"/>
    <x v="35"/>
    <x v="1"/>
    <x v="1"/>
    <n v="1020"/>
    <x v="50"/>
    <x v="6"/>
    <x v="70"/>
    <n v="3215"/>
    <x v="261"/>
    <n v="0"/>
    <x v="0"/>
    <s v="G 05"/>
    <n v="4"/>
    <n v="5532"/>
    <x v="953"/>
    <s v="Annual"/>
    <n v="6"/>
    <n v="1"/>
    <n v="74160"/>
    <n v="444960"/>
  </r>
  <r>
    <x v="0"/>
    <n v="88"/>
    <x v="35"/>
    <x v="1"/>
    <x v="1"/>
    <n v="1020"/>
    <x v="50"/>
    <x v="6"/>
    <x v="70"/>
    <n v="3215"/>
    <x v="261"/>
    <n v="0"/>
    <x v="0"/>
    <s v="G 06"/>
    <n v="4"/>
    <n v="5528"/>
    <x v="969"/>
    <s v="Annual"/>
    <n v="2"/>
    <n v="1"/>
    <n v="97488"/>
    <n v="194976"/>
  </r>
  <r>
    <x v="0"/>
    <n v="88"/>
    <x v="35"/>
    <x v="1"/>
    <x v="1"/>
    <n v="1020"/>
    <x v="50"/>
    <x v="6"/>
    <x v="70"/>
    <n v="3215"/>
    <x v="261"/>
    <n v="0"/>
    <x v="0"/>
    <s v="G 06"/>
    <n v="4"/>
    <n v="5528"/>
    <x v="969"/>
    <s v="Annual"/>
    <n v="1"/>
    <n v="1"/>
    <n v="92940"/>
    <n v="92940"/>
  </r>
  <r>
    <x v="0"/>
    <n v="88"/>
    <x v="35"/>
    <x v="1"/>
    <x v="1"/>
    <n v="1020"/>
    <x v="50"/>
    <x v="6"/>
    <x v="70"/>
    <n v="3215"/>
    <x v="261"/>
    <n v="0"/>
    <x v="0"/>
    <s v="G 06"/>
    <n v="4"/>
    <n v="5528"/>
    <x v="969"/>
    <s v="Annual"/>
    <n v="2"/>
    <n v="1"/>
    <n v="84192"/>
    <n v="168384"/>
  </r>
  <r>
    <x v="0"/>
    <n v="88"/>
    <x v="35"/>
    <x v="1"/>
    <x v="1"/>
    <n v="1020"/>
    <x v="50"/>
    <x v="6"/>
    <x v="70"/>
    <n v="3215"/>
    <x v="261"/>
    <n v="0"/>
    <x v="0"/>
    <s v="G 06"/>
    <n v="4"/>
    <n v="5528"/>
    <x v="969"/>
    <s v="Annual"/>
    <n v="11"/>
    <n v="1"/>
    <n v="81636"/>
    <n v="897996"/>
  </r>
  <r>
    <x v="0"/>
    <n v="88"/>
    <x v="35"/>
    <x v="1"/>
    <x v="1"/>
    <n v="1020"/>
    <x v="50"/>
    <x v="6"/>
    <x v="70"/>
    <n v="3215"/>
    <x v="261"/>
    <n v="0"/>
    <x v="0"/>
    <s v="G 09"/>
    <n v="4"/>
    <n v="5520"/>
    <x v="970"/>
    <s v="Annual"/>
    <n v="4"/>
    <n v="1"/>
    <n v="154764"/>
    <n v="619056"/>
  </r>
  <r>
    <x v="0"/>
    <n v="88"/>
    <x v="35"/>
    <x v="1"/>
    <x v="1"/>
    <n v="1020"/>
    <x v="50"/>
    <x v="6"/>
    <x v="70"/>
    <n v="3215"/>
    <x v="261"/>
    <n v="0"/>
    <x v="0"/>
    <s v="G 09"/>
    <n v="4"/>
    <n v="5520"/>
    <x v="970"/>
    <s v="Annual"/>
    <n v="1"/>
    <n v="1"/>
    <n v="146448"/>
    <n v="146448"/>
  </r>
  <r>
    <x v="0"/>
    <n v="88"/>
    <x v="35"/>
    <x v="1"/>
    <x v="1"/>
    <n v="1020"/>
    <x v="50"/>
    <x v="6"/>
    <x v="70"/>
    <n v="3215"/>
    <x v="261"/>
    <n v="0"/>
    <x v="0"/>
    <s v="G 09"/>
    <n v="4"/>
    <n v="5520"/>
    <x v="970"/>
    <s v="Annual"/>
    <n v="1"/>
    <n v="1"/>
    <n v="109140"/>
    <n v="109140"/>
  </r>
  <r>
    <x v="0"/>
    <n v="88"/>
    <x v="35"/>
    <x v="1"/>
    <x v="1"/>
    <n v="1020"/>
    <x v="50"/>
    <x v="6"/>
    <x v="70"/>
    <n v="3215"/>
    <x v="261"/>
    <n v="0"/>
    <x v="0"/>
    <s v="G 08"/>
    <n v="4"/>
    <n v="5519"/>
    <x v="971"/>
    <s v="Annual"/>
    <n v="3"/>
    <n v="1"/>
    <n v="141564"/>
    <n v="424692"/>
  </r>
  <r>
    <x v="0"/>
    <n v="88"/>
    <x v="35"/>
    <x v="1"/>
    <x v="1"/>
    <n v="1020"/>
    <x v="50"/>
    <x v="6"/>
    <x v="70"/>
    <n v="3215"/>
    <x v="261"/>
    <n v="0"/>
    <x v="0"/>
    <s v="G 08"/>
    <n v="4"/>
    <n v="5519"/>
    <x v="971"/>
    <s v="Annual"/>
    <n v="1"/>
    <n v="1"/>
    <n v="128316"/>
    <n v="128316"/>
  </r>
  <r>
    <x v="0"/>
    <n v="88"/>
    <x v="35"/>
    <x v="1"/>
    <x v="1"/>
    <n v="1020"/>
    <x v="50"/>
    <x v="6"/>
    <x v="70"/>
    <n v="3215"/>
    <x v="261"/>
    <n v="0"/>
    <x v="0"/>
    <s v="G 08"/>
    <n v="4"/>
    <n v="5519"/>
    <x v="971"/>
    <s v="Annual"/>
    <n v="1"/>
    <n v="1"/>
    <n v="117636"/>
    <n v="117636"/>
  </r>
  <r>
    <x v="0"/>
    <n v="88"/>
    <x v="35"/>
    <x v="1"/>
    <x v="1"/>
    <n v="1020"/>
    <x v="50"/>
    <x v="6"/>
    <x v="70"/>
    <n v="3215"/>
    <x v="261"/>
    <n v="0"/>
    <x v="0"/>
    <s v="G 08"/>
    <n v="4"/>
    <n v="5519"/>
    <x v="971"/>
    <s v="Annual"/>
    <n v="1"/>
    <n v="1"/>
    <n v="112536"/>
    <n v="112536"/>
  </r>
  <r>
    <x v="0"/>
    <n v="88"/>
    <x v="35"/>
    <x v="1"/>
    <x v="1"/>
    <n v="1020"/>
    <x v="50"/>
    <x v="6"/>
    <x v="70"/>
    <n v="3215"/>
    <x v="261"/>
    <n v="0"/>
    <x v="0"/>
    <s v="G 08"/>
    <n v="4"/>
    <n v="5519"/>
    <x v="971"/>
    <s v="Annual"/>
    <n v="2"/>
    <n v="1"/>
    <n v="99408"/>
    <n v="198816"/>
  </r>
  <r>
    <x v="0"/>
    <n v="88"/>
    <x v="35"/>
    <x v="1"/>
    <x v="1"/>
    <n v="1020"/>
    <x v="50"/>
    <x v="6"/>
    <x v="70"/>
    <n v="3215"/>
    <x v="261"/>
    <n v="0"/>
    <x v="0"/>
    <s v="G 07"/>
    <n v="4"/>
    <n v="5518"/>
    <x v="972"/>
    <s v="Annual"/>
    <n v="1"/>
    <n v="1"/>
    <n v="129636"/>
    <n v="129636"/>
  </r>
  <r>
    <x v="0"/>
    <n v="88"/>
    <x v="35"/>
    <x v="1"/>
    <x v="1"/>
    <n v="1020"/>
    <x v="50"/>
    <x v="6"/>
    <x v="70"/>
    <n v="3215"/>
    <x v="261"/>
    <n v="0"/>
    <x v="0"/>
    <s v="G 07"/>
    <n v="4"/>
    <n v="5518"/>
    <x v="972"/>
    <s v="Annual"/>
    <n v="1"/>
    <n v="1"/>
    <n v="117636"/>
    <n v="117636"/>
  </r>
  <r>
    <x v="0"/>
    <n v="88"/>
    <x v="35"/>
    <x v="1"/>
    <x v="1"/>
    <n v="1020"/>
    <x v="50"/>
    <x v="6"/>
    <x v="70"/>
    <n v="3215"/>
    <x v="261"/>
    <n v="0"/>
    <x v="0"/>
    <s v="G 07"/>
    <n v="4"/>
    <n v="5518"/>
    <x v="972"/>
    <s v="Annual"/>
    <n v="2"/>
    <n v="1"/>
    <n v="107628"/>
    <n v="215256"/>
  </r>
  <r>
    <x v="0"/>
    <n v="88"/>
    <x v="35"/>
    <x v="1"/>
    <x v="1"/>
    <n v="1020"/>
    <x v="50"/>
    <x v="6"/>
    <x v="70"/>
    <n v="3215"/>
    <x v="261"/>
    <n v="0"/>
    <x v="0"/>
    <s v="G 07"/>
    <n v="4"/>
    <n v="5518"/>
    <x v="972"/>
    <s v="Annual"/>
    <n v="4"/>
    <n v="1"/>
    <n v="97488"/>
    <n v="389952"/>
  </r>
  <r>
    <x v="0"/>
    <n v="88"/>
    <x v="35"/>
    <x v="1"/>
    <x v="1"/>
    <n v="1020"/>
    <x v="50"/>
    <x v="6"/>
    <x v="70"/>
    <n v="3215"/>
    <x v="261"/>
    <n v="0"/>
    <x v="0"/>
    <s v="2 0"/>
    <n v="32"/>
    <n v="5042"/>
    <x v="429"/>
    <s v="Monthly"/>
    <n v="2"/>
    <n v="1"/>
    <n v="11511.5"/>
    <n v="276276"/>
  </r>
  <r>
    <x v="0"/>
    <n v="88"/>
    <x v="35"/>
    <x v="1"/>
    <x v="1"/>
    <n v="1020"/>
    <x v="50"/>
    <x v="6"/>
    <x v="70"/>
    <n v="3215"/>
    <x v="261"/>
    <n v="0"/>
    <x v="0"/>
    <s v="2 0"/>
    <n v="32"/>
    <n v="5040"/>
    <x v="430"/>
    <s v="Hourly"/>
    <n v="2"/>
    <n v="1"/>
    <n v="63.53"/>
    <n v="264285"/>
  </r>
  <r>
    <x v="0"/>
    <n v="88"/>
    <x v="35"/>
    <x v="1"/>
    <x v="1"/>
    <n v="1020"/>
    <x v="50"/>
    <x v="6"/>
    <x v="70"/>
    <n v="3215"/>
    <x v="261"/>
    <n v="0"/>
    <x v="0"/>
    <s v="2 0"/>
    <n v="32"/>
    <n v="5035"/>
    <x v="431"/>
    <s v="Hourly"/>
    <n v="40"/>
    <n v="1"/>
    <n v="57.75"/>
    <n v="4804800"/>
  </r>
  <r>
    <x v="0"/>
    <n v="88"/>
    <x v="35"/>
    <x v="1"/>
    <x v="1"/>
    <n v="1020"/>
    <x v="50"/>
    <x v="6"/>
    <x v="70"/>
    <n v="3215"/>
    <x v="261"/>
    <n v="0"/>
    <x v="0"/>
    <s v="2 0"/>
    <n v="14"/>
    <n v="4776"/>
    <x v="435"/>
    <s v="Hourly"/>
    <n v="2"/>
    <n v="1"/>
    <n v="63"/>
    <n v="262080"/>
  </r>
  <r>
    <x v="0"/>
    <n v="88"/>
    <x v="35"/>
    <x v="1"/>
    <x v="1"/>
    <n v="1020"/>
    <x v="50"/>
    <x v="6"/>
    <x v="70"/>
    <n v="3215"/>
    <x v="261"/>
    <n v="0"/>
    <x v="0"/>
    <s v="2 0"/>
    <n v="14"/>
    <n v="4774"/>
    <x v="436"/>
    <s v="Hourly"/>
    <n v="12"/>
    <n v="1"/>
    <n v="60"/>
    <n v="1497600"/>
  </r>
  <r>
    <x v="0"/>
    <n v="88"/>
    <x v="35"/>
    <x v="1"/>
    <x v="1"/>
    <n v="1020"/>
    <x v="50"/>
    <x v="6"/>
    <x v="70"/>
    <n v="3215"/>
    <x v="261"/>
    <n v="0"/>
    <x v="0"/>
    <s v="2 0"/>
    <n v="39"/>
    <n v="4636"/>
    <x v="440"/>
    <s v="Hourly"/>
    <n v="1"/>
    <n v="1"/>
    <n v="61.09"/>
    <n v="127067"/>
  </r>
  <r>
    <x v="0"/>
    <n v="88"/>
    <x v="35"/>
    <x v="1"/>
    <x v="1"/>
    <n v="1020"/>
    <x v="50"/>
    <x v="6"/>
    <x v="70"/>
    <n v="3215"/>
    <x v="261"/>
    <n v="0"/>
    <x v="0"/>
    <s v="2 0"/>
    <n v="39"/>
    <n v="4634"/>
    <x v="441"/>
    <s v="Hourly"/>
    <n v="5"/>
    <n v="1"/>
    <n v="54.3"/>
    <n v="564720"/>
  </r>
  <r>
    <x v="0"/>
    <n v="88"/>
    <x v="35"/>
    <x v="1"/>
    <x v="1"/>
    <n v="1020"/>
    <x v="50"/>
    <x v="6"/>
    <x v="70"/>
    <n v="3215"/>
    <x v="261"/>
    <n v="0"/>
    <x v="0"/>
    <s v="2 0"/>
    <n v="50"/>
    <n v="4301"/>
    <x v="447"/>
    <s v="Hourly"/>
    <n v="3"/>
    <n v="1"/>
    <n v="56.71"/>
    <n v="353870"/>
  </r>
  <r>
    <x v="0"/>
    <n v="88"/>
    <x v="35"/>
    <x v="1"/>
    <x v="1"/>
    <n v="1020"/>
    <x v="50"/>
    <x v="6"/>
    <x v="70"/>
    <n v="3215"/>
    <x v="261"/>
    <n v="0"/>
    <x v="0"/>
    <s v="2 0"/>
    <n v="45"/>
    <n v="4225"/>
    <x v="973"/>
    <s v="Hourly"/>
    <n v="2"/>
    <n v="1"/>
    <n v="22.8"/>
    <n v="94848"/>
  </r>
  <r>
    <x v="0"/>
    <n v="88"/>
    <x v="35"/>
    <x v="1"/>
    <x v="1"/>
    <n v="1020"/>
    <x v="50"/>
    <x v="6"/>
    <x v="70"/>
    <n v="3215"/>
    <x v="261"/>
    <n v="0"/>
    <x v="0"/>
    <s v="2 0"/>
    <n v="45"/>
    <n v="4223"/>
    <x v="412"/>
    <s v="Hourly"/>
    <n v="2"/>
    <n v="1"/>
    <n v="26.05"/>
    <n v="108368"/>
  </r>
  <r>
    <x v="0"/>
    <n v="88"/>
    <x v="35"/>
    <x v="1"/>
    <x v="1"/>
    <n v="1020"/>
    <x v="50"/>
    <x v="6"/>
    <x v="70"/>
    <n v="3215"/>
    <x v="261"/>
    <n v="0"/>
    <x v="0"/>
    <s v="2 0"/>
    <n v="45"/>
    <n v="4223"/>
    <x v="412"/>
    <s v="Hourly"/>
    <n v="6"/>
    <n v="1"/>
    <n v="19"/>
    <n v="237120"/>
  </r>
  <r>
    <x v="0"/>
    <n v="88"/>
    <x v="35"/>
    <x v="1"/>
    <x v="1"/>
    <n v="1020"/>
    <x v="50"/>
    <x v="6"/>
    <x v="70"/>
    <n v="3215"/>
    <x v="261"/>
    <n v="0"/>
    <x v="0"/>
    <s v="2 0"/>
    <n v="45"/>
    <n v="4223"/>
    <x v="412"/>
    <s v="Hourly"/>
    <n v="2"/>
    <n v="1"/>
    <n v="15.8"/>
    <n v="65728"/>
  </r>
  <r>
    <x v="0"/>
    <n v="88"/>
    <x v="35"/>
    <x v="1"/>
    <x v="1"/>
    <n v="1020"/>
    <x v="50"/>
    <x v="6"/>
    <x v="70"/>
    <n v="3215"/>
    <x v="261"/>
    <n v="0"/>
    <x v="0"/>
    <s v="B 10"/>
    <n v="1"/>
    <n v="1817"/>
    <x v="451"/>
    <s v="Annual"/>
    <n v="1"/>
    <n v="1"/>
    <n v="90144"/>
    <n v="90144"/>
  </r>
  <r>
    <x v="0"/>
    <n v="88"/>
    <x v="35"/>
    <x v="1"/>
    <x v="1"/>
    <n v="1020"/>
    <x v="50"/>
    <x v="6"/>
    <x v="70"/>
    <n v="3215"/>
    <x v="261"/>
    <n v="0"/>
    <x v="0"/>
    <s v="1 00"/>
    <n v="0"/>
    <n v="15"/>
    <x v="37"/>
    <s v="Annual"/>
    <n v="0"/>
    <n v="0"/>
    <n v="55337"/>
    <n v="55337"/>
  </r>
  <r>
    <x v="0"/>
    <n v="88"/>
    <x v="35"/>
    <x v="1"/>
    <x v="1"/>
    <n v="1020"/>
    <x v="50"/>
    <x v="6"/>
    <x v="70"/>
    <n v="3215"/>
    <x v="261"/>
    <n v="0"/>
    <x v="0"/>
    <s v="1 00"/>
    <n v="0"/>
    <n v="12"/>
    <x v="291"/>
    <s v="Annual"/>
    <n v="0"/>
    <n v="0"/>
    <n v="470921"/>
    <n v="470921"/>
  </r>
  <r>
    <x v="0"/>
    <n v="88"/>
    <x v="35"/>
    <x v="1"/>
    <x v="1"/>
    <n v="1020"/>
    <x v="50"/>
    <x v="15"/>
    <x v="71"/>
    <n v="3040"/>
    <x v="260"/>
    <n v="4148"/>
    <x v="248"/>
    <s v="2 0"/>
    <n v="23"/>
    <n v="7775"/>
    <x v="962"/>
    <s v="Hourly"/>
    <n v="5"/>
    <n v="1"/>
    <n v="43.04"/>
    <n v="447616"/>
  </r>
  <r>
    <x v="0"/>
    <n v="88"/>
    <x v="35"/>
    <x v="1"/>
    <x v="1"/>
    <n v="1020"/>
    <x v="50"/>
    <x v="15"/>
    <x v="71"/>
    <n v="3040"/>
    <x v="260"/>
    <n v="4148"/>
    <x v="248"/>
    <s v="2 0"/>
    <n v="12"/>
    <n v="7747"/>
    <x v="413"/>
    <s v="Monthly"/>
    <n v="1"/>
    <n v="1"/>
    <n v="12906.4"/>
    <n v="154877"/>
  </r>
  <r>
    <x v="0"/>
    <n v="88"/>
    <x v="35"/>
    <x v="1"/>
    <x v="1"/>
    <n v="1020"/>
    <x v="50"/>
    <x v="15"/>
    <x v="71"/>
    <n v="3040"/>
    <x v="260"/>
    <n v="4148"/>
    <x v="248"/>
    <s v="2 0"/>
    <n v="12"/>
    <n v="7745"/>
    <x v="414"/>
    <s v="Hourly"/>
    <n v="3"/>
    <n v="1"/>
    <n v="68.260000000000005"/>
    <n v="425942"/>
  </r>
  <r>
    <x v="0"/>
    <n v="88"/>
    <x v="35"/>
    <x v="1"/>
    <x v="1"/>
    <n v="1020"/>
    <x v="50"/>
    <x v="15"/>
    <x v="71"/>
    <n v="3040"/>
    <x v="260"/>
    <n v="4148"/>
    <x v="248"/>
    <s v="2 0"/>
    <n v="12"/>
    <n v="7743"/>
    <x v="415"/>
    <s v="Hourly"/>
    <n v="5"/>
    <n v="1"/>
    <n v="62.05"/>
    <n v="645320"/>
  </r>
  <r>
    <x v="0"/>
    <n v="88"/>
    <x v="35"/>
    <x v="1"/>
    <x v="1"/>
    <n v="1020"/>
    <x v="50"/>
    <x v="15"/>
    <x v="71"/>
    <n v="3040"/>
    <x v="260"/>
    <n v="4148"/>
    <x v="248"/>
    <s v="2 0"/>
    <n v="12"/>
    <n v="7741"/>
    <x v="966"/>
    <s v="Hourly"/>
    <n v="11"/>
    <n v="1"/>
    <n v="58.95"/>
    <n v="1348776"/>
  </r>
  <r>
    <x v="0"/>
    <n v="88"/>
    <x v="35"/>
    <x v="1"/>
    <x v="1"/>
    <n v="1020"/>
    <x v="50"/>
    <x v="15"/>
    <x v="71"/>
    <n v="3040"/>
    <x v="260"/>
    <n v="4148"/>
    <x v="248"/>
    <s v="2 0"/>
    <n v="14"/>
    <n v="4774"/>
    <x v="436"/>
    <s v="Hourly"/>
    <n v="5"/>
    <n v="1"/>
    <n v="60"/>
    <n v="624000"/>
  </r>
  <r>
    <x v="0"/>
    <n v="88"/>
    <x v="35"/>
    <x v="1"/>
    <x v="1"/>
    <n v="1020"/>
    <x v="50"/>
    <x v="15"/>
    <x v="71"/>
    <n v="3040"/>
    <x v="260"/>
    <n v="4148"/>
    <x v="248"/>
    <s v="2 0"/>
    <n v="50"/>
    <n v="4303"/>
    <x v="446"/>
    <s v="Hourly"/>
    <n v="1"/>
    <n v="1"/>
    <n v="59.21"/>
    <n v="123157"/>
  </r>
  <r>
    <x v="0"/>
    <n v="88"/>
    <x v="35"/>
    <x v="1"/>
    <x v="1"/>
    <n v="1020"/>
    <x v="50"/>
    <x v="15"/>
    <x v="71"/>
    <n v="3040"/>
    <x v="260"/>
    <n v="4148"/>
    <x v="248"/>
    <s v="2 0"/>
    <n v="50"/>
    <n v="4301"/>
    <x v="447"/>
    <s v="Hourly"/>
    <n v="1"/>
    <n v="1"/>
    <n v="56.71"/>
    <n v="117957"/>
  </r>
  <r>
    <x v="0"/>
    <n v="88"/>
    <x v="35"/>
    <x v="1"/>
    <x v="1"/>
    <n v="1020"/>
    <x v="50"/>
    <x v="15"/>
    <x v="71"/>
    <n v="3040"/>
    <x v="260"/>
    <n v="4148"/>
    <x v="248"/>
    <s v="1 00"/>
    <n v="0"/>
    <n v="12"/>
    <x v="291"/>
    <s v="Annual"/>
    <n v="0"/>
    <n v="0"/>
    <n v="58314"/>
    <n v="58314"/>
  </r>
  <r>
    <x v="0"/>
    <n v="88"/>
    <x v="35"/>
    <x v="1"/>
    <x v="1"/>
    <n v="1020"/>
    <x v="50"/>
    <x v="15"/>
    <x v="71"/>
    <n v="3040"/>
    <x v="260"/>
    <n v="4168"/>
    <x v="249"/>
    <s v="X 42"/>
    <n v="0"/>
    <n v="9681"/>
    <x v="81"/>
    <s v="Annual"/>
    <n v="1"/>
    <n v="1"/>
    <n v="172920"/>
    <n v="172920"/>
  </r>
  <r>
    <x v="0"/>
    <n v="88"/>
    <x v="35"/>
    <x v="1"/>
    <x v="1"/>
    <n v="1020"/>
    <x v="50"/>
    <x v="15"/>
    <x v="71"/>
    <n v="3040"/>
    <x v="260"/>
    <n v="4168"/>
    <x v="249"/>
    <s v="GY 12"/>
    <n v="20"/>
    <n v="6088"/>
    <x v="974"/>
    <s v="Annual"/>
    <n v="1"/>
    <n v="1"/>
    <n v="150624"/>
    <n v="150624"/>
  </r>
  <r>
    <x v="0"/>
    <n v="88"/>
    <x v="35"/>
    <x v="1"/>
    <x v="1"/>
    <n v="1020"/>
    <x v="50"/>
    <x v="15"/>
    <x v="71"/>
    <n v="3040"/>
    <x v="260"/>
    <n v="4168"/>
    <x v="249"/>
    <s v="X 43"/>
    <n v="9"/>
    <n v="6087"/>
    <x v="975"/>
    <s v="Annual"/>
    <n v="1"/>
    <n v="1"/>
    <n v="133836"/>
    <n v="133836"/>
  </r>
  <r>
    <x v="0"/>
    <n v="88"/>
    <x v="35"/>
    <x v="1"/>
    <x v="1"/>
    <n v="1020"/>
    <x v="50"/>
    <x v="15"/>
    <x v="71"/>
    <n v="3040"/>
    <x v="260"/>
    <n v="4168"/>
    <x v="249"/>
    <s v="GY 14"/>
    <n v="20"/>
    <n v="6086"/>
    <x v="976"/>
    <s v="Annual"/>
    <n v="1"/>
    <n v="1"/>
    <n v="150624"/>
    <n v="150624"/>
  </r>
  <r>
    <x v="0"/>
    <n v="88"/>
    <x v="35"/>
    <x v="1"/>
    <x v="1"/>
    <n v="1020"/>
    <x v="50"/>
    <x v="15"/>
    <x v="71"/>
    <n v="3040"/>
    <x v="260"/>
    <n v="4168"/>
    <x v="249"/>
    <s v="G 08"/>
    <n v="4"/>
    <n v="6054"/>
    <x v="942"/>
    <s v="Annual"/>
    <n v="1"/>
    <n v="1"/>
    <n v="141564"/>
    <n v="141564"/>
  </r>
  <r>
    <x v="0"/>
    <n v="88"/>
    <x v="35"/>
    <x v="1"/>
    <x v="1"/>
    <n v="1020"/>
    <x v="50"/>
    <x v="15"/>
    <x v="71"/>
    <n v="3040"/>
    <x v="260"/>
    <n v="4168"/>
    <x v="249"/>
    <s v="G 07"/>
    <n v="4"/>
    <n v="6053"/>
    <x v="977"/>
    <s v="Annual"/>
    <n v="1"/>
    <n v="1"/>
    <n v="90144"/>
    <n v="90144"/>
  </r>
  <r>
    <x v="0"/>
    <n v="88"/>
    <x v="35"/>
    <x v="1"/>
    <x v="1"/>
    <n v="1020"/>
    <x v="50"/>
    <x v="15"/>
    <x v="71"/>
    <n v="3040"/>
    <x v="260"/>
    <n v="4168"/>
    <x v="249"/>
    <s v="G 06"/>
    <n v="4"/>
    <n v="6052"/>
    <x v="963"/>
    <s v="Annual"/>
    <n v="1"/>
    <n v="1"/>
    <n v="92940"/>
    <n v="92940"/>
  </r>
  <r>
    <x v="0"/>
    <n v="88"/>
    <x v="35"/>
    <x v="1"/>
    <x v="1"/>
    <n v="1020"/>
    <x v="50"/>
    <x v="15"/>
    <x v="71"/>
    <n v="3040"/>
    <x v="260"/>
    <n v="4168"/>
    <x v="249"/>
    <s v="G 08"/>
    <n v="4"/>
    <n v="5814"/>
    <x v="967"/>
    <s v="Annual"/>
    <n v="1"/>
    <n v="1"/>
    <n v="134184"/>
    <n v="134184"/>
  </r>
  <r>
    <x v="0"/>
    <n v="88"/>
    <x v="35"/>
    <x v="1"/>
    <x v="1"/>
    <n v="1020"/>
    <x v="50"/>
    <x v="15"/>
    <x v="71"/>
    <n v="3040"/>
    <x v="260"/>
    <n v="4168"/>
    <x v="249"/>
    <s v="G 08"/>
    <n v="4"/>
    <n v="5814"/>
    <x v="967"/>
    <s v="Annual"/>
    <n v="1"/>
    <n v="1"/>
    <n v="99408"/>
    <n v="99408"/>
  </r>
  <r>
    <x v="0"/>
    <n v="88"/>
    <x v="35"/>
    <x v="1"/>
    <x v="1"/>
    <n v="1020"/>
    <x v="50"/>
    <x v="15"/>
    <x v="71"/>
    <n v="3040"/>
    <x v="260"/>
    <n v="4168"/>
    <x v="249"/>
    <s v="GY 11"/>
    <n v="20"/>
    <n v="5615"/>
    <x v="903"/>
    <s v="Annual"/>
    <n v="2"/>
    <n v="1"/>
    <n v="106272"/>
    <n v="212544"/>
  </r>
  <r>
    <x v="0"/>
    <n v="88"/>
    <x v="35"/>
    <x v="1"/>
    <x v="1"/>
    <n v="1020"/>
    <x v="50"/>
    <x v="15"/>
    <x v="71"/>
    <n v="3040"/>
    <x v="260"/>
    <n v="4168"/>
    <x v="249"/>
    <s v="B 14"/>
    <n v="4"/>
    <n v="1912"/>
    <x v="222"/>
    <s v="Annual"/>
    <n v="1"/>
    <n v="1"/>
    <n v="81324"/>
    <n v="81324"/>
  </r>
  <r>
    <x v="0"/>
    <n v="88"/>
    <x v="35"/>
    <x v="1"/>
    <x v="1"/>
    <n v="1020"/>
    <x v="50"/>
    <x v="15"/>
    <x v="71"/>
    <n v="3040"/>
    <x v="260"/>
    <n v="4168"/>
    <x v="249"/>
    <s v="B 12"/>
    <n v="1"/>
    <s v="03A8"/>
    <x v="88"/>
    <s v="Annual"/>
    <n v="1"/>
    <n v="1"/>
    <n v="64488"/>
    <n v="64488"/>
  </r>
  <r>
    <x v="0"/>
    <n v="88"/>
    <x v="35"/>
    <x v="1"/>
    <x v="1"/>
    <n v="1020"/>
    <x v="50"/>
    <x v="15"/>
    <x v="71"/>
    <n v="3040"/>
    <x v="260"/>
    <n v="4168"/>
    <x v="249"/>
    <s v="B 10"/>
    <n v="1"/>
    <s v="03A7"/>
    <x v="4"/>
    <s v="Annual"/>
    <n v="2"/>
    <n v="1"/>
    <n v="51936"/>
    <n v="103872"/>
  </r>
  <r>
    <x v="0"/>
    <n v="88"/>
    <x v="35"/>
    <x v="1"/>
    <x v="1"/>
    <n v="1020"/>
    <x v="50"/>
    <x v="15"/>
    <x v="71"/>
    <n v="3040"/>
    <x v="260"/>
    <n v="4168"/>
    <x v="249"/>
    <s v="1 00"/>
    <n v="0"/>
    <n v="15"/>
    <x v="37"/>
    <s v="Annual"/>
    <n v="0"/>
    <n v="0"/>
    <n v="26969"/>
    <n v="26969"/>
  </r>
  <r>
    <x v="0"/>
    <n v="88"/>
    <x v="35"/>
    <x v="1"/>
    <x v="1"/>
    <n v="1020"/>
    <x v="50"/>
    <x v="15"/>
    <x v="71"/>
    <n v="3040"/>
    <x v="260"/>
    <n v="4178"/>
    <x v="250"/>
    <s v="2 0"/>
    <n v="19"/>
    <n v="7398"/>
    <x v="978"/>
    <s v="Hourly"/>
    <n v="3"/>
    <n v="1"/>
    <n v="44.24"/>
    <n v="276058"/>
  </r>
  <r>
    <x v="0"/>
    <n v="88"/>
    <x v="35"/>
    <x v="1"/>
    <x v="1"/>
    <n v="1020"/>
    <x v="50"/>
    <x v="15"/>
    <x v="71"/>
    <n v="3040"/>
    <x v="260"/>
    <n v="4178"/>
    <x v="250"/>
    <s v="2 0"/>
    <n v="21"/>
    <n v="7357"/>
    <x v="979"/>
    <s v="Hourly"/>
    <n v="1"/>
    <n v="1"/>
    <n v="63.45"/>
    <n v="131976"/>
  </r>
  <r>
    <x v="0"/>
    <n v="88"/>
    <x v="35"/>
    <x v="1"/>
    <x v="1"/>
    <n v="1020"/>
    <x v="50"/>
    <x v="15"/>
    <x v="71"/>
    <n v="3040"/>
    <x v="260"/>
    <n v="4178"/>
    <x v="250"/>
    <s v="2 0"/>
    <n v="21"/>
    <n v="7353"/>
    <x v="980"/>
    <s v="Hourly"/>
    <n v="2"/>
    <n v="1"/>
    <n v="63.45"/>
    <n v="263952"/>
  </r>
  <r>
    <x v="0"/>
    <n v="88"/>
    <x v="35"/>
    <x v="1"/>
    <x v="1"/>
    <n v="1020"/>
    <x v="50"/>
    <x v="15"/>
    <x v="71"/>
    <n v="3040"/>
    <x v="260"/>
    <n v="4178"/>
    <x v="250"/>
    <s v="BX 18"/>
    <n v="10"/>
    <n v="310"/>
    <x v="135"/>
    <s v="Annual"/>
    <n v="1"/>
    <n v="1"/>
    <n v="89112"/>
    <n v="89112"/>
  </r>
  <r>
    <x v="0"/>
    <n v="88"/>
    <x v="35"/>
    <x v="1"/>
    <x v="1"/>
    <n v="1020"/>
    <x v="50"/>
    <x v="15"/>
    <x v="71"/>
    <n v="3040"/>
    <x v="260"/>
    <n v="4178"/>
    <x v="250"/>
    <s v="1 00"/>
    <n v="0"/>
    <n v="15"/>
    <x v="37"/>
    <s v="Annual"/>
    <n v="0"/>
    <n v="0"/>
    <n v="2136"/>
    <n v="2136"/>
  </r>
  <r>
    <x v="0"/>
    <n v="88"/>
    <x v="35"/>
    <x v="1"/>
    <x v="1"/>
    <n v="1020"/>
    <x v="50"/>
    <x v="15"/>
    <x v="71"/>
    <n v="3040"/>
    <x v="260"/>
    <n v="4178"/>
    <x v="250"/>
    <s v="1 00"/>
    <n v="0"/>
    <n v="12"/>
    <x v="291"/>
    <s v="Annual"/>
    <n v="0"/>
    <n v="0"/>
    <n v="10080"/>
    <n v="10080"/>
  </r>
  <r>
    <x v="0"/>
    <n v="88"/>
    <x v="35"/>
    <x v="1"/>
    <x v="1"/>
    <n v="1020"/>
    <x v="50"/>
    <x v="15"/>
    <x v="71"/>
    <n v="3040"/>
    <x v="260"/>
    <n v="4179"/>
    <x v="251"/>
    <s v="2 0"/>
    <n v="23"/>
    <n v="7775"/>
    <x v="962"/>
    <s v="Hourly"/>
    <n v="3"/>
    <n v="1"/>
    <n v="43.04"/>
    <n v="268570"/>
  </r>
  <r>
    <x v="0"/>
    <n v="88"/>
    <x v="35"/>
    <x v="1"/>
    <x v="1"/>
    <n v="1020"/>
    <x v="50"/>
    <x v="15"/>
    <x v="71"/>
    <n v="3040"/>
    <x v="260"/>
    <n v="4179"/>
    <x v="251"/>
    <s v="2 0"/>
    <n v="12"/>
    <n v="7747"/>
    <x v="413"/>
    <s v="Monthly"/>
    <n v="1"/>
    <n v="1"/>
    <n v="12906.4"/>
    <n v="154877"/>
  </r>
  <r>
    <x v="0"/>
    <n v="88"/>
    <x v="35"/>
    <x v="1"/>
    <x v="1"/>
    <n v="1020"/>
    <x v="50"/>
    <x v="15"/>
    <x v="71"/>
    <n v="3040"/>
    <x v="260"/>
    <n v="4179"/>
    <x v="251"/>
    <s v="2 0"/>
    <n v="12"/>
    <n v="7745"/>
    <x v="414"/>
    <s v="Hourly"/>
    <n v="3"/>
    <n v="1"/>
    <n v="68.260000000000005"/>
    <n v="425942"/>
  </r>
  <r>
    <x v="0"/>
    <n v="88"/>
    <x v="35"/>
    <x v="1"/>
    <x v="1"/>
    <n v="1020"/>
    <x v="50"/>
    <x v="15"/>
    <x v="71"/>
    <n v="3040"/>
    <x v="260"/>
    <n v="4179"/>
    <x v="251"/>
    <s v="2 0"/>
    <n v="12"/>
    <n v="7743"/>
    <x v="415"/>
    <s v="Hourly"/>
    <n v="4"/>
    <n v="1"/>
    <n v="62.05"/>
    <n v="516256"/>
  </r>
  <r>
    <x v="0"/>
    <n v="88"/>
    <x v="35"/>
    <x v="1"/>
    <x v="1"/>
    <n v="1020"/>
    <x v="50"/>
    <x v="15"/>
    <x v="71"/>
    <n v="3040"/>
    <x v="260"/>
    <n v="4179"/>
    <x v="251"/>
    <s v="2 0"/>
    <n v="12"/>
    <n v="7741"/>
    <x v="966"/>
    <s v="Hourly"/>
    <n v="10"/>
    <n v="1"/>
    <n v="58.95"/>
    <n v="1226160"/>
  </r>
  <r>
    <x v="0"/>
    <n v="88"/>
    <x v="35"/>
    <x v="1"/>
    <x v="1"/>
    <n v="1020"/>
    <x v="50"/>
    <x v="15"/>
    <x v="71"/>
    <n v="3040"/>
    <x v="260"/>
    <n v="4179"/>
    <x v="251"/>
    <s v="2 0"/>
    <n v="14"/>
    <n v="4776"/>
    <x v="435"/>
    <s v="Hourly"/>
    <n v="1"/>
    <n v="1"/>
    <n v="63"/>
    <n v="131040"/>
  </r>
  <r>
    <x v="0"/>
    <n v="88"/>
    <x v="35"/>
    <x v="1"/>
    <x v="1"/>
    <n v="1020"/>
    <x v="50"/>
    <x v="15"/>
    <x v="71"/>
    <n v="3040"/>
    <x v="260"/>
    <n v="4179"/>
    <x v="251"/>
    <s v="2 0"/>
    <n v="14"/>
    <n v="4774"/>
    <x v="436"/>
    <s v="Hourly"/>
    <n v="4"/>
    <n v="1"/>
    <n v="60"/>
    <n v="499200"/>
  </r>
  <r>
    <x v="0"/>
    <n v="88"/>
    <x v="35"/>
    <x v="1"/>
    <x v="1"/>
    <n v="1020"/>
    <x v="50"/>
    <x v="15"/>
    <x v="71"/>
    <n v="3040"/>
    <x v="260"/>
    <n v="4179"/>
    <x v="251"/>
    <s v="2 0"/>
    <n v="14"/>
    <n v="4774"/>
    <x v="436"/>
    <s v="Hourly"/>
    <n v="1"/>
    <n v="1"/>
    <n v="54.1"/>
    <n v="112528"/>
  </r>
  <r>
    <x v="0"/>
    <n v="88"/>
    <x v="35"/>
    <x v="1"/>
    <x v="1"/>
    <n v="1020"/>
    <x v="50"/>
    <x v="15"/>
    <x v="71"/>
    <n v="3040"/>
    <x v="260"/>
    <n v="4179"/>
    <x v="251"/>
    <s v="1 00"/>
    <n v="0"/>
    <n v="12"/>
    <x v="291"/>
    <s v="Annual"/>
    <n v="0"/>
    <n v="0"/>
    <n v="50019"/>
    <n v="50019"/>
  </r>
  <r>
    <x v="0"/>
    <n v="88"/>
    <x v="35"/>
    <x v="1"/>
    <x v="1"/>
    <n v="1020"/>
    <x v="50"/>
    <x v="15"/>
    <x v="71"/>
    <n v="3040"/>
    <x v="260"/>
    <n v="4188"/>
    <x v="252"/>
    <s v="2 0"/>
    <n v="53"/>
    <n v="9532"/>
    <x v="391"/>
    <s v="Hourly"/>
    <n v="1"/>
    <n v="1"/>
    <n v="51.4"/>
    <n v="106912"/>
  </r>
  <r>
    <x v="0"/>
    <n v="88"/>
    <x v="35"/>
    <x v="1"/>
    <x v="1"/>
    <n v="1020"/>
    <x v="50"/>
    <x v="15"/>
    <x v="71"/>
    <n v="3040"/>
    <x v="260"/>
    <n v="4188"/>
    <x v="252"/>
    <s v="2 0"/>
    <n v="12"/>
    <n v="7747"/>
    <x v="413"/>
    <s v="Monthly"/>
    <n v="1"/>
    <n v="1"/>
    <n v="12906.4"/>
    <n v="154877"/>
  </r>
  <r>
    <x v="0"/>
    <n v="88"/>
    <x v="35"/>
    <x v="1"/>
    <x v="1"/>
    <n v="1020"/>
    <x v="50"/>
    <x v="15"/>
    <x v="71"/>
    <n v="3040"/>
    <x v="260"/>
    <n v="4188"/>
    <x v="252"/>
    <s v="2 0"/>
    <n v="12"/>
    <n v="7745"/>
    <x v="414"/>
    <s v="Hourly"/>
    <n v="3"/>
    <n v="1"/>
    <n v="68.260000000000005"/>
    <n v="425942"/>
  </r>
  <r>
    <x v="0"/>
    <n v="88"/>
    <x v="35"/>
    <x v="1"/>
    <x v="1"/>
    <n v="1020"/>
    <x v="50"/>
    <x v="15"/>
    <x v="71"/>
    <n v="3040"/>
    <x v="260"/>
    <n v="4188"/>
    <x v="252"/>
    <s v="2 0"/>
    <n v="12"/>
    <n v="7743"/>
    <x v="415"/>
    <s v="Hourly"/>
    <n v="5"/>
    <n v="1"/>
    <n v="62.05"/>
    <n v="645320"/>
  </r>
  <r>
    <x v="0"/>
    <n v="88"/>
    <x v="35"/>
    <x v="1"/>
    <x v="1"/>
    <n v="1020"/>
    <x v="50"/>
    <x v="15"/>
    <x v="71"/>
    <n v="3040"/>
    <x v="260"/>
    <n v="4188"/>
    <x v="252"/>
    <s v="2 0"/>
    <n v="36"/>
    <n v="6676"/>
    <x v="426"/>
    <s v="Hourly"/>
    <n v="1"/>
    <n v="1"/>
    <n v="64.39"/>
    <n v="133931"/>
  </r>
  <r>
    <x v="0"/>
    <n v="88"/>
    <x v="35"/>
    <x v="1"/>
    <x v="1"/>
    <n v="1020"/>
    <x v="50"/>
    <x v="15"/>
    <x v="71"/>
    <n v="3040"/>
    <x v="260"/>
    <n v="4188"/>
    <x v="252"/>
    <s v="2 0"/>
    <n v="36"/>
    <n v="6674"/>
    <x v="427"/>
    <s v="Hourly"/>
    <n v="8"/>
    <n v="1"/>
    <n v="60.39"/>
    <n v="1004890"/>
  </r>
  <r>
    <x v="0"/>
    <n v="88"/>
    <x v="35"/>
    <x v="1"/>
    <x v="1"/>
    <n v="1020"/>
    <x v="50"/>
    <x v="15"/>
    <x v="71"/>
    <n v="3040"/>
    <x v="260"/>
    <n v="4188"/>
    <x v="252"/>
    <s v="2 0"/>
    <n v="53"/>
    <n v="1860"/>
    <x v="392"/>
    <s v="Hourly"/>
    <n v="1"/>
    <n v="1"/>
    <n v="52.5"/>
    <n v="109200"/>
  </r>
  <r>
    <x v="0"/>
    <n v="88"/>
    <x v="35"/>
    <x v="1"/>
    <x v="1"/>
    <n v="1020"/>
    <x v="50"/>
    <x v="15"/>
    <x v="71"/>
    <n v="3040"/>
    <x v="260"/>
    <n v="4188"/>
    <x v="252"/>
    <s v="1 00"/>
    <n v="0"/>
    <n v="12"/>
    <x v="291"/>
    <s v="Annual"/>
    <n v="0"/>
    <n v="0"/>
    <n v="38716"/>
    <n v="38716"/>
  </r>
  <r>
    <x v="0"/>
    <n v="88"/>
    <x v="35"/>
    <x v="1"/>
    <x v="1"/>
    <n v="1020"/>
    <x v="50"/>
    <x v="15"/>
    <x v="71"/>
    <n v="3040"/>
    <x v="260"/>
    <n v="4198"/>
    <x v="253"/>
    <s v="2 0"/>
    <n v="23"/>
    <n v="7775"/>
    <x v="962"/>
    <s v="Hourly"/>
    <n v="3"/>
    <n v="1"/>
    <n v="43.04"/>
    <n v="268570"/>
  </r>
  <r>
    <x v="0"/>
    <n v="88"/>
    <x v="35"/>
    <x v="1"/>
    <x v="1"/>
    <n v="1020"/>
    <x v="50"/>
    <x v="15"/>
    <x v="71"/>
    <n v="3040"/>
    <x v="260"/>
    <n v="4198"/>
    <x v="253"/>
    <s v="2 0"/>
    <n v="12"/>
    <n v="7747"/>
    <x v="413"/>
    <s v="Monthly"/>
    <n v="1"/>
    <n v="1"/>
    <n v="12906.4"/>
    <n v="154877"/>
  </r>
  <r>
    <x v="0"/>
    <n v="88"/>
    <x v="35"/>
    <x v="1"/>
    <x v="1"/>
    <n v="1020"/>
    <x v="50"/>
    <x v="15"/>
    <x v="71"/>
    <n v="3040"/>
    <x v="260"/>
    <n v="4198"/>
    <x v="253"/>
    <s v="2 0"/>
    <n v="12"/>
    <n v="7745"/>
    <x v="414"/>
    <s v="Hourly"/>
    <n v="3"/>
    <n v="1"/>
    <n v="68.260000000000005"/>
    <n v="425942"/>
  </r>
  <r>
    <x v="0"/>
    <n v="88"/>
    <x v="35"/>
    <x v="1"/>
    <x v="1"/>
    <n v="1020"/>
    <x v="50"/>
    <x v="15"/>
    <x v="71"/>
    <n v="3040"/>
    <x v="260"/>
    <n v="4198"/>
    <x v="253"/>
    <s v="2 0"/>
    <n v="12"/>
    <n v="7743"/>
    <x v="415"/>
    <s v="Hourly"/>
    <n v="4"/>
    <n v="1"/>
    <n v="62.05"/>
    <n v="516256"/>
  </r>
  <r>
    <x v="0"/>
    <n v="88"/>
    <x v="35"/>
    <x v="1"/>
    <x v="1"/>
    <n v="1020"/>
    <x v="50"/>
    <x v="15"/>
    <x v="71"/>
    <n v="3040"/>
    <x v="260"/>
    <n v="4198"/>
    <x v="253"/>
    <s v="2 0"/>
    <n v="12"/>
    <n v="7741"/>
    <x v="966"/>
    <s v="Hourly"/>
    <n v="11"/>
    <n v="1"/>
    <n v="58.95"/>
    <n v="1348776"/>
  </r>
  <r>
    <x v="0"/>
    <n v="88"/>
    <x v="35"/>
    <x v="1"/>
    <x v="1"/>
    <n v="1020"/>
    <x v="50"/>
    <x v="15"/>
    <x v="71"/>
    <n v="3040"/>
    <x v="260"/>
    <n v="4198"/>
    <x v="253"/>
    <s v="1 00"/>
    <n v="0"/>
    <n v="12"/>
    <x v="291"/>
    <s v="Annual"/>
    <n v="0"/>
    <n v="0"/>
    <n v="40717"/>
    <n v="40717"/>
  </r>
  <r>
    <x v="0"/>
    <n v="88"/>
    <x v="35"/>
    <x v="1"/>
    <x v="1"/>
    <n v="1020"/>
    <x v="50"/>
    <x v="15"/>
    <x v="71"/>
    <n v="3040"/>
    <x v="260"/>
    <n v="4208"/>
    <x v="254"/>
    <s v="2 0"/>
    <n v="12"/>
    <n v="7745"/>
    <x v="414"/>
    <s v="Hourly"/>
    <n v="2"/>
    <n v="1"/>
    <n v="68.260000000000005"/>
    <n v="283962"/>
  </r>
  <r>
    <x v="0"/>
    <n v="88"/>
    <x v="35"/>
    <x v="1"/>
    <x v="1"/>
    <n v="1020"/>
    <x v="50"/>
    <x v="15"/>
    <x v="71"/>
    <n v="3040"/>
    <x v="260"/>
    <n v="4208"/>
    <x v="254"/>
    <s v="2 0"/>
    <n v="12"/>
    <n v="7743"/>
    <x v="415"/>
    <s v="Hourly"/>
    <n v="4"/>
    <n v="1"/>
    <n v="62.05"/>
    <n v="516256"/>
  </r>
  <r>
    <x v="0"/>
    <n v="88"/>
    <x v="35"/>
    <x v="1"/>
    <x v="1"/>
    <n v="1020"/>
    <x v="50"/>
    <x v="15"/>
    <x v="71"/>
    <n v="3040"/>
    <x v="260"/>
    <n v="4208"/>
    <x v="254"/>
    <s v="1 00"/>
    <n v="0"/>
    <n v="12"/>
    <x v="291"/>
    <s v="Annual"/>
    <n v="0"/>
    <n v="0"/>
    <n v="12003"/>
    <n v="12003"/>
  </r>
  <r>
    <x v="0"/>
    <n v="88"/>
    <x v="35"/>
    <x v="1"/>
    <x v="1"/>
    <n v="1020"/>
    <x v="50"/>
    <x v="15"/>
    <x v="71"/>
    <n v="3040"/>
    <x v="260"/>
    <n v="4228"/>
    <x v="255"/>
    <s v="2 0"/>
    <n v="12"/>
    <n v="7747"/>
    <x v="413"/>
    <s v="Monthly"/>
    <n v="1"/>
    <n v="1"/>
    <n v="12906.4"/>
    <n v="154877"/>
  </r>
  <r>
    <x v="0"/>
    <n v="88"/>
    <x v="35"/>
    <x v="1"/>
    <x v="1"/>
    <n v="1020"/>
    <x v="50"/>
    <x v="15"/>
    <x v="71"/>
    <n v="3040"/>
    <x v="260"/>
    <n v="4228"/>
    <x v="255"/>
    <s v="2 0"/>
    <n v="12"/>
    <n v="7745"/>
    <x v="414"/>
    <s v="Hourly"/>
    <n v="4"/>
    <n v="1"/>
    <n v="68.260000000000005"/>
    <n v="567923"/>
  </r>
  <r>
    <x v="0"/>
    <n v="88"/>
    <x v="35"/>
    <x v="1"/>
    <x v="1"/>
    <n v="1020"/>
    <x v="50"/>
    <x v="15"/>
    <x v="71"/>
    <n v="3040"/>
    <x v="260"/>
    <n v="4228"/>
    <x v="255"/>
    <s v="2 0"/>
    <n v="12"/>
    <n v="7743"/>
    <x v="415"/>
    <s v="Hourly"/>
    <n v="5"/>
    <n v="1"/>
    <n v="62.05"/>
    <n v="645320"/>
  </r>
  <r>
    <x v="0"/>
    <n v="88"/>
    <x v="35"/>
    <x v="1"/>
    <x v="1"/>
    <n v="1020"/>
    <x v="50"/>
    <x v="15"/>
    <x v="71"/>
    <n v="3040"/>
    <x v="260"/>
    <n v="4228"/>
    <x v="255"/>
    <s v="2 0"/>
    <n v="12"/>
    <n v="7741"/>
    <x v="966"/>
    <s v="Hourly"/>
    <n v="3"/>
    <n v="1"/>
    <n v="58.95"/>
    <n v="367848"/>
  </r>
  <r>
    <x v="0"/>
    <n v="88"/>
    <x v="35"/>
    <x v="1"/>
    <x v="1"/>
    <n v="1020"/>
    <x v="50"/>
    <x v="15"/>
    <x v="71"/>
    <n v="3040"/>
    <x v="260"/>
    <n v="4228"/>
    <x v="255"/>
    <s v="2 0"/>
    <n v="45"/>
    <n v="4223"/>
    <x v="412"/>
    <s v="Hourly"/>
    <n v="1"/>
    <n v="1"/>
    <n v="26.05"/>
    <n v="54184"/>
  </r>
  <r>
    <x v="0"/>
    <n v="88"/>
    <x v="35"/>
    <x v="1"/>
    <x v="1"/>
    <n v="1020"/>
    <x v="50"/>
    <x v="15"/>
    <x v="71"/>
    <n v="3040"/>
    <x v="260"/>
    <n v="4228"/>
    <x v="255"/>
    <s v="1 00"/>
    <n v="0"/>
    <n v="12"/>
    <x v="291"/>
    <s v="Annual"/>
    <n v="0"/>
    <n v="0"/>
    <n v="26853"/>
    <n v="26853"/>
  </r>
  <r>
    <x v="0"/>
    <n v="88"/>
    <x v="35"/>
    <x v="1"/>
    <x v="1"/>
    <n v="1020"/>
    <x v="50"/>
    <x v="15"/>
    <x v="71"/>
    <n v="3040"/>
    <x v="260"/>
    <n v="4238"/>
    <x v="256"/>
    <s v="2 0"/>
    <n v="12"/>
    <n v="7747"/>
    <x v="413"/>
    <s v="Monthly"/>
    <n v="1"/>
    <n v="1"/>
    <n v="12906.4"/>
    <n v="154877"/>
  </r>
  <r>
    <x v="0"/>
    <n v="88"/>
    <x v="35"/>
    <x v="1"/>
    <x v="1"/>
    <n v="1020"/>
    <x v="50"/>
    <x v="15"/>
    <x v="71"/>
    <n v="3040"/>
    <x v="260"/>
    <n v="4238"/>
    <x v="256"/>
    <s v="2 0"/>
    <n v="12"/>
    <n v="7745"/>
    <x v="414"/>
    <s v="Hourly"/>
    <n v="4"/>
    <n v="1"/>
    <n v="68.260000000000005"/>
    <n v="567923"/>
  </r>
  <r>
    <x v="0"/>
    <n v="88"/>
    <x v="35"/>
    <x v="1"/>
    <x v="1"/>
    <n v="1020"/>
    <x v="50"/>
    <x v="15"/>
    <x v="71"/>
    <n v="3040"/>
    <x v="260"/>
    <n v="4238"/>
    <x v="256"/>
    <s v="2 0"/>
    <n v="12"/>
    <n v="7741"/>
    <x v="966"/>
    <s v="Hourly"/>
    <n v="1"/>
    <n v="1"/>
    <n v="58.95"/>
    <n v="122616"/>
  </r>
  <r>
    <x v="0"/>
    <n v="88"/>
    <x v="35"/>
    <x v="1"/>
    <x v="1"/>
    <n v="1020"/>
    <x v="50"/>
    <x v="15"/>
    <x v="71"/>
    <n v="3040"/>
    <x v="260"/>
    <n v="4238"/>
    <x v="256"/>
    <s v="1 00"/>
    <n v="0"/>
    <n v="12"/>
    <x v="291"/>
    <s v="Annual"/>
    <n v="0"/>
    <n v="0"/>
    <n v="12681"/>
    <n v="12681"/>
  </r>
  <r>
    <x v="0"/>
    <n v="88"/>
    <x v="35"/>
    <x v="1"/>
    <x v="1"/>
    <n v="1020"/>
    <x v="50"/>
    <x v="15"/>
    <x v="71"/>
    <n v="3040"/>
    <x v="260"/>
    <n v="4300"/>
    <x v="257"/>
    <s v="2 0"/>
    <n v="12"/>
    <n v="7747"/>
    <x v="413"/>
    <s v="Monthly"/>
    <n v="1"/>
    <n v="1"/>
    <n v="12906.4"/>
    <n v="154877"/>
  </r>
  <r>
    <x v="0"/>
    <n v="88"/>
    <x v="35"/>
    <x v="1"/>
    <x v="1"/>
    <n v="1020"/>
    <x v="50"/>
    <x v="15"/>
    <x v="71"/>
    <n v="3040"/>
    <x v="260"/>
    <n v="4300"/>
    <x v="257"/>
    <s v="2 0"/>
    <n v="12"/>
    <n v="7745"/>
    <x v="414"/>
    <s v="Hourly"/>
    <n v="5"/>
    <n v="1"/>
    <n v="68.260000000000005"/>
    <n v="709904"/>
  </r>
  <r>
    <x v="0"/>
    <n v="88"/>
    <x v="35"/>
    <x v="1"/>
    <x v="1"/>
    <n v="1020"/>
    <x v="50"/>
    <x v="15"/>
    <x v="71"/>
    <n v="3040"/>
    <x v="260"/>
    <n v="4300"/>
    <x v="257"/>
    <s v="2 0"/>
    <n v="12"/>
    <n v="7743"/>
    <x v="415"/>
    <s v="Hourly"/>
    <n v="4"/>
    <n v="1"/>
    <n v="62.05"/>
    <n v="516256"/>
  </r>
  <r>
    <x v="0"/>
    <n v="88"/>
    <x v="35"/>
    <x v="1"/>
    <x v="1"/>
    <n v="1020"/>
    <x v="50"/>
    <x v="15"/>
    <x v="71"/>
    <n v="3040"/>
    <x v="260"/>
    <n v="4300"/>
    <x v="257"/>
    <s v="2 0"/>
    <n v="12"/>
    <n v="7741"/>
    <x v="966"/>
    <s v="Hourly"/>
    <n v="13"/>
    <n v="1"/>
    <n v="58.95"/>
    <n v="1594008"/>
  </r>
  <r>
    <x v="0"/>
    <n v="88"/>
    <x v="35"/>
    <x v="1"/>
    <x v="1"/>
    <n v="1020"/>
    <x v="50"/>
    <x v="15"/>
    <x v="71"/>
    <n v="3040"/>
    <x v="260"/>
    <n v="4300"/>
    <x v="257"/>
    <s v="2 0"/>
    <n v="32"/>
    <n v="5042"/>
    <x v="429"/>
    <s v="Monthly"/>
    <n v="1"/>
    <n v="1"/>
    <n v="11511.5"/>
    <n v="138138"/>
  </r>
  <r>
    <x v="0"/>
    <n v="88"/>
    <x v="35"/>
    <x v="1"/>
    <x v="1"/>
    <n v="1020"/>
    <x v="50"/>
    <x v="15"/>
    <x v="71"/>
    <n v="3040"/>
    <x v="260"/>
    <n v="4300"/>
    <x v="257"/>
    <s v="2 0"/>
    <n v="32"/>
    <n v="5040"/>
    <x v="430"/>
    <s v="Hourly"/>
    <n v="2"/>
    <n v="1"/>
    <n v="63.53"/>
    <n v="264285"/>
  </r>
  <r>
    <x v="0"/>
    <n v="88"/>
    <x v="35"/>
    <x v="1"/>
    <x v="1"/>
    <n v="1020"/>
    <x v="50"/>
    <x v="15"/>
    <x v="71"/>
    <n v="3040"/>
    <x v="260"/>
    <n v="4300"/>
    <x v="257"/>
    <s v="2 0"/>
    <n v="32"/>
    <n v="5035"/>
    <x v="431"/>
    <s v="Hourly"/>
    <n v="19"/>
    <n v="1"/>
    <n v="57.75"/>
    <n v="2282280"/>
  </r>
  <r>
    <x v="0"/>
    <n v="88"/>
    <x v="35"/>
    <x v="1"/>
    <x v="1"/>
    <n v="1020"/>
    <x v="50"/>
    <x v="15"/>
    <x v="71"/>
    <n v="3040"/>
    <x v="260"/>
    <n v="4300"/>
    <x v="257"/>
    <s v="2 0"/>
    <n v="39"/>
    <n v="4634"/>
    <x v="441"/>
    <s v="Hourly"/>
    <n v="1"/>
    <n v="1"/>
    <n v="54.3"/>
    <n v="112944"/>
  </r>
  <r>
    <x v="0"/>
    <n v="88"/>
    <x v="35"/>
    <x v="1"/>
    <x v="1"/>
    <n v="1020"/>
    <x v="50"/>
    <x v="15"/>
    <x v="71"/>
    <n v="3040"/>
    <x v="260"/>
    <n v="4300"/>
    <x v="257"/>
    <s v="1 00"/>
    <n v="0"/>
    <n v="12"/>
    <x v="291"/>
    <s v="Annual"/>
    <n v="0"/>
    <n v="0"/>
    <n v="86590"/>
    <n v="86590"/>
  </r>
  <r>
    <x v="0"/>
    <n v="88"/>
    <x v="35"/>
    <x v="1"/>
    <x v="1"/>
    <n v="1025"/>
    <x v="51"/>
    <x v="12"/>
    <x v="72"/>
    <n v="3249"/>
    <x v="249"/>
    <n v="4005"/>
    <x v="258"/>
    <s v="X 42"/>
    <n v="0"/>
    <n v="9681"/>
    <x v="81"/>
    <s v="Annual"/>
    <n v="1"/>
    <n v="1"/>
    <n v="172920"/>
    <n v="172920"/>
  </r>
  <r>
    <x v="0"/>
    <n v="88"/>
    <x v="35"/>
    <x v="1"/>
    <x v="1"/>
    <n v="1025"/>
    <x v="51"/>
    <x v="12"/>
    <x v="72"/>
    <n v="3249"/>
    <x v="249"/>
    <n v="4005"/>
    <x v="258"/>
    <s v="BX 22"/>
    <n v="10"/>
    <n v="5985"/>
    <x v="981"/>
    <s v="Annual"/>
    <n v="1"/>
    <n v="1"/>
    <n v="112440"/>
    <n v="112440"/>
  </r>
  <r>
    <x v="0"/>
    <n v="88"/>
    <x v="35"/>
    <x v="1"/>
    <x v="1"/>
    <n v="1025"/>
    <x v="51"/>
    <x v="12"/>
    <x v="72"/>
    <n v="3249"/>
    <x v="249"/>
    <n v="4005"/>
    <x v="258"/>
    <s v="BX 13"/>
    <n v="10"/>
    <n v="803"/>
    <x v="982"/>
    <s v="Annual"/>
    <n v="1"/>
    <n v="1"/>
    <n v="83448"/>
    <n v="83448"/>
  </r>
  <r>
    <x v="0"/>
    <n v="88"/>
    <x v="35"/>
    <x v="1"/>
    <x v="1"/>
    <n v="1025"/>
    <x v="51"/>
    <x v="12"/>
    <x v="72"/>
    <n v="3249"/>
    <x v="249"/>
    <n v="4005"/>
    <x v="258"/>
    <s v="BX 13"/>
    <n v="20"/>
    <n v="366"/>
    <x v="219"/>
    <s v="Annual"/>
    <n v="1"/>
    <n v="1"/>
    <n v="57852"/>
    <n v="57852"/>
  </r>
  <r>
    <x v="0"/>
    <n v="88"/>
    <x v="35"/>
    <x v="1"/>
    <x v="1"/>
    <n v="1025"/>
    <x v="51"/>
    <x v="12"/>
    <x v="72"/>
    <n v="3249"/>
    <x v="249"/>
    <n v="4005"/>
    <x v="258"/>
    <s v="BX 15"/>
    <n v="10"/>
    <n v="321"/>
    <x v="389"/>
    <s v="Annual"/>
    <n v="1"/>
    <n v="1"/>
    <n v="98832"/>
    <n v="98832"/>
  </r>
  <r>
    <x v="0"/>
    <n v="88"/>
    <x v="35"/>
    <x v="1"/>
    <x v="1"/>
    <n v="1025"/>
    <x v="51"/>
    <x v="12"/>
    <x v="72"/>
    <n v="3249"/>
    <x v="249"/>
    <n v="4005"/>
    <x v="258"/>
    <s v="B 11"/>
    <n v="1"/>
    <n v="109"/>
    <x v="94"/>
    <s v="Annual"/>
    <n v="1"/>
    <n v="1"/>
    <n v="57000"/>
    <n v="57000"/>
  </r>
  <r>
    <x v="0"/>
    <n v="88"/>
    <x v="35"/>
    <x v="1"/>
    <x v="1"/>
    <n v="1025"/>
    <x v="51"/>
    <x v="12"/>
    <x v="72"/>
    <n v="3249"/>
    <x v="249"/>
    <n v="4005"/>
    <x v="258"/>
    <s v="1 00"/>
    <n v="0"/>
    <n v="15"/>
    <x v="37"/>
    <s v="Annual"/>
    <n v="0"/>
    <n v="0"/>
    <n v="12480"/>
    <n v="12480"/>
  </r>
  <r>
    <x v="0"/>
    <n v="88"/>
    <x v="35"/>
    <x v="1"/>
    <x v="1"/>
    <n v="1025"/>
    <x v="51"/>
    <x v="12"/>
    <x v="72"/>
    <n v="3256"/>
    <x v="262"/>
    <n v="4007"/>
    <x v="259"/>
    <s v="BX 18"/>
    <n v="10"/>
    <n v="7180"/>
    <x v="983"/>
    <s v="Annual"/>
    <n v="1"/>
    <n v="1"/>
    <n v="113568"/>
    <n v="113568"/>
  </r>
  <r>
    <x v="0"/>
    <n v="88"/>
    <x v="35"/>
    <x v="1"/>
    <x v="1"/>
    <n v="1025"/>
    <x v="51"/>
    <x v="12"/>
    <x v="72"/>
    <n v="3256"/>
    <x v="262"/>
    <n v="4007"/>
    <x v="259"/>
    <s v="2 0"/>
    <n v="36"/>
    <n v="6674"/>
    <x v="427"/>
    <s v="Hourly"/>
    <n v="2"/>
    <n v="1"/>
    <n v="60.39"/>
    <n v="251222"/>
  </r>
  <r>
    <x v="0"/>
    <n v="88"/>
    <x v="35"/>
    <x v="1"/>
    <x v="1"/>
    <n v="1025"/>
    <x v="51"/>
    <x v="12"/>
    <x v="72"/>
    <n v="3256"/>
    <x v="262"/>
    <n v="4007"/>
    <x v="259"/>
    <s v="2 0"/>
    <n v="53"/>
    <n v="1860"/>
    <x v="392"/>
    <s v="Hourly"/>
    <n v="6"/>
    <n v="1"/>
    <n v="52.5"/>
    <n v="655200"/>
  </r>
  <r>
    <x v="0"/>
    <n v="88"/>
    <x v="35"/>
    <x v="1"/>
    <x v="1"/>
    <n v="1025"/>
    <x v="51"/>
    <x v="12"/>
    <x v="72"/>
    <n v="3256"/>
    <x v="262"/>
    <n v="4007"/>
    <x v="259"/>
    <s v="B 09"/>
    <n v="1"/>
    <n v="460"/>
    <x v="344"/>
    <s v="Annual"/>
    <n v="1"/>
    <n v="1"/>
    <n v="82140"/>
    <n v="82140"/>
  </r>
  <r>
    <x v="0"/>
    <n v="88"/>
    <x v="35"/>
    <x v="1"/>
    <x v="1"/>
    <n v="1025"/>
    <x v="51"/>
    <x v="12"/>
    <x v="72"/>
    <n v="3256"/>
    <x v="262"/>
    <n v="4007"/>
    <x v="259"/>
    <s v="U 10"/>
    <n v="53"/>
    <n v="417"/>
    <x v="984"/>
    <s v="Annual"/>
    <n v="1"/>
    <n v="1"/>
    <n v="58728"/>
    <n v="58728"/>
  </r>
  <r>
    <x v="0"/>
    <n v="88"/>
    <x v="35"/>
    <x v="1"/>
    <x v="1"/>
    <n v="1025"/>
    <x v="51"/>
    <x v="12"/>
    <x v="72"/>
    <n v="3256"/>
    <x v="262"/>
    <n v="4007"/>
    <x v="259"/>
    <s v="B 10"/>
    <n v="1"/>
    <s v="03A7"/>
    <x v="4"/>
    <s v="Annual"/>
    <n v="1"/>
    <n v="1"/>
    <n v="64488"/>
    <n v="64488"/>
  </r>
  <r>
    <x v="0"/>
    <n v="88"/>
    <x v="35"/>
    <x v="1"/>
    <x v="1"/>
    <n v="1025"/>
    <x v="51"/>
    <x v="12"/>
    <x v="72"/>
    <n v="3256"/>
    <x v="262"/>
    <n v="4007"/>
    <x v="259"/>
    <s v="X 43"/>
    <n v="0"/>
    <s v="03A2"/>
    <x v="220"/>
    <s v="Annual"/>
    <n v="1"/>
    <n v="1"/>
    <n v="160680"/>
    <n v="160680"/>
  </r>
  <r>
    <x v="0"/>
    <n v="88"/>
    <x v="35"/>
    <x v="1"/>
    <x v="1"/>
    <n v="1025"/>
    <x v="51"/>
    <x v="12"/>
    <x v="72"/>
    <n v="3256"/>
    <x v="262"/>
    <n v="4007"/>
    <x v="259"/>
    <s v="1 00"/>
    <n v="0"/>
    <n v="15"/>
    <x v="37"/>
    <s v="Annual"/>
    <n v="0"/>
    <n v="0"/>
    <n v="5951"/>
    <n v="5951"/>
  </r>
  <r>
    <x v="0"/>
    <n v="88"/>
    <x v="35"/>
    <x v="1"/>
    <x v="1"/>
    <n v="1025"/>
    <x v="51"/>
    <x v="12"/>
    <x v="72"/>
    <n v="3256"/>
    <x v="262"/>
    <n v="4007"/>
    <x v="259"/>
    <s v="1 00"/>
    <n v="0"/>
    <n v="12"/>
    <x v="291"/>
    <s v="Annual"/>
    <n v="0"/>
    <n v="0"/>
    <n v="13596"/>
    <n v="13596"/>
  </r>
  <r>
    <x v="0"/>
    <n v="88"/>
    <x v="35"/>
    <x v="1"/>
    <x v="1"/>
    <n v="1025"/>
    <x v="51"/>
    <x v="12"/>
    <x v="72"/>
    <n v="3257"/>
    <x v="263"/>
    <n v="4009"/>
    <x v="260"/>
    <s v="2 0"/>
    <n v="53"/>
    <n v="9532"/>
    <x v="391"/>
    <s v="Hourly"/>
    <n v="2"/>
    <n v="1"/>
    <n v="51.4"/>
    <n v="213824"/>
  </r>
  <r>
    <x v="0"/>
    <n v="88"/>
    <x v="35"/>
    <x v="1"/>
    <x v="1"/>
    <n v="1025"/>
    <x v="51"/>
    <x v="12"/>
    <x v="72"/>
    <n v="3257"/>
    <x v="263"/>
    <n v="4009"/>
    <x v="260"/>
    <s v="2 0"/>
    <n v="53"/>
    <n v="9408"/>
    <x v="985"/>
    <s v="Hourly"/>
    <n v="2"/>
    <n v="1"/>
    <n v="51.4"/>
    <n v="213824"/>
  </r>
  <r>
    <x v="0"/>
    <n v="88"/>
    <x v="35"/>
    <x v="1"/>
    <x v="1"/>
    <n v="1025"/>
    <x v="51"/>
    <x v="12"/>
    <x v="72"/>
    <n v="3257"/>
    <x v="263"/>
    <n v="4009"/>
    <x v="260"/>
    <s v="2 0"/>
    <n v="53"/>
    <n v="8246"/>
    <x v="986"/>
    <s v="Hourly"/>
    <n v="1"/>
    <n v="1"/>
    <n v="52.5"/>
    <n v="109200"/>
  </r>
  <r>
    <x v="0"/>
    <n v="88"/>
    <x v="35"/>
    <x v="1"/>
    <x v="1"/>
    <n v="1025"/>
    <x v="51"/>
    <x v="12"/>
    <x v="72"/>
    <n v="3257"/>
    <x v="263"/>
    <n v="4009"/>
    <x v="260"/>
    <s v="V 15"/>
    <n v="53"/>
    <n v="7125"/>
    <x v="987"/>
    <s v="Annual"/>
    <n v="2"/>
    <n v="1"/>
    <n v="119052"/>
    <n v="238104"/>
  </r>
  <r>
    <x v="0"/>
    <n v="88"/>
    <x v="35"/>
    <x v="1"/>
    <x v="1"/>
    <n v="1025"/>
    <x v="51"/>
    <x v="12"/>
    <x v="72"/>
    <n v="3257"/>
    <x v="263"/>
    <n v="4009"/>
    <x v="260"/>
    <s v="2 0"/>
    <n v="53"/>
    <n v="7101"/>
    <x v="988"/>
    <s v="Hourly"/>
    <n v="6"/>
    <n v="1"/>
    <n v="51.4"/>
    <n v="641472"/>
  </r>
  <r>
    <x v="0"/>
    <n v="88"/>
    <x v="35"/>
    <x v="1"/>
    <x v="1"/>
    <n v="1025"/>
    <x v="51"/>
    <x v="12"/>
    <x v="72"/>
    <n v="3257"/>
    <x v="263"/>
    <n v="4009"/>
    <x v="260"/>
    <s v="BX 22"/>
    <n v="10"/>
    <n v="5985"/>
    <x v="981"/>
    <s v="Annual"/>
    <n v="1"/>
    <n v="1"/>
    <n v="112440"/>
    <n v="112440"/>
  </r>
  <r>
    <x v="0"/>
    <n v="88"/>
    <x v="35"/>
    <x v="1"/>
    <x v="1"/>
    <n v="1025"/>
    <x v="51"/>
    <x v="12"/>
    <x v="72"/>
    <n v="3257"/>
    <x v="263"/>
    <n v="4009"/>
    <x v="260"/>
    <s v="B 14"/>
    <n v="4"/>
    <n v="1912"/>
    <x v="222"/>
    <s v="Annual"/>
    <n v="1"/>
    <n v="1"/>
    <n v="93504"/>
    <n v="93504"/>
  </r>
  <r>
    <x v="0"/>
    <n v="88"/>
    <x v="35"/>
    <x v="1"/>
    <x v="1"/>
    <n v="1025"/>
    <x v="51"/>
    <x v="12"/>
    <x v="72"/>
    <n v="3257"/>
    <x v="263"/>
    <n v="4009"/>
    <x v="260"/>
    <s v="1 00"/>
    <n v="0"/>
    <n v="15"/>
    <x v="37"/>
    <s v="Annual"/>
    <n v="0"/>
    <n v="0"/>
    <n v="9262"/>
    <n v="9262"/>
  </r>
  <r>
    <x v="0"/>
    <n v="88"/>
    <x v="35"/>
    <x v="1"/>
    <x v="1"/>
    <n v="1025"/>
    <x v="51"/>
    <x v="12"/>
    <x v="72"/>
    <n v="3257"/>
    <x v="263"/>
    <n v="4009"/>
    <x v="260"/>
    <s v="1 00"/>
    <n v="0"/>
    <n v="12"/>
    <x v="291"/>
    <s v="Annual"/>
    <n v="0"/>
    <n v="0"/>
    <n v="17674"/>
    <n v="17674"/>
  </r>
  <r>
    <x v="0"/>
    <n v="88"/>
    <x v="35"/>
    <x v="1"/>
    <x v="1"/>
    <n v="1025"/>
    <x v="51"/>
    <x v="12"/>
    <x v="72"/>
    <n v="3259"/>
    <x v="264"/>
    <n v="0"/>
    <x v="0"/>
    <s v="B 15"/>
    <n v="1"/>
    <n v="6145"/>
    <x v="897"/>
    <s v="Annual"/>
    <n v="1"/>
    <n v="1"/>
    <n v="143400"/>
    <n v="143400"/>
  </r>
  <r>
    <x v="0"/>
    <n v="88"/>
    <x v="35"/>
    <x v="1"/>
    <x v="1"/>
    <n v="1025"/>
    <x v="51"/>
    <x v="12"/>
    <x v="72"/>
    <n v="3259"/>
    <x v="264"/>
    <n v="0"/>
    <x v="0"/>
    <s v="B 14"/>
    <n v="1"/>
    <n v="6144"/>
    <x v="729"/>
    <s v="Annual"/>
    <n v="2"/>
    <n v="1"/>
    <n v="130668"/>
    <n v="261336"/>
  </r>
  <r>
    <x v="0"/>
    <n v="88"/>
    <x v="35"/>
    <x v="1"/>
    <x v="1"/>
    <n v="1025"/>
    <x v="51"/>
    <x v="12"/>
    <x v="72"/>
    <n v="3261"/>
    <x v="265"/>
    <n v="4011"/>
    <x v="261"/>
    <s v="X 42"/>
    <n v="0"/>
    <n v="9681"/>
    <x v="81"/>
    <s v="Annual"/>
    <n v="1"/>
    <n v="1"/>
    <n v="153000"/>
    <n v="153000"/>
  </r>
  <r>
    <x v="0"/>
    <n v="88"/>
    <x v="35"/>
    <x v="1"/>
    <x v="1"/>
    <n v="1025"/>
    <x v="51"/>
    <x v="12"/>
    <x v="72"/>
    <n v="3261"/>
    <x v="265"/>
    <n v="4011"/>
    <x v="261"/>
    <s v="2 0"/>
    <n v="53"/>
    <n v="9532"/>
    <x v="391"/>
    <s v="Hourly"/>
    <n v="11"/>
    <n v="1"/>
    <n v="51.4"/>
    <n v="1176032"/>
  </r>
  <r>
    <x v="0"/>
    <n v="88"/>
    <x v="35"/>
    <x v="1"/>
    <x v="1"/>
    <n v="1025"/>
    <x v="51"/>
    <x v="12"/>
    <x v="72"/>
    <n v="3261"/>
    <x v="265"/>
    <n v="4011"/>
    <x v="261"/>
    <s v="2 0"/>
    <n v="53"/>
    <n v="9411"/>
    <x v="989"/>
    <s v="Hourly"/>
    <n v="72800"/>
    <n v="0"/>
    <n v="51.4"/>
    <n v="3741920"/>
  </r>
  <r>
    <x v="0"/>
    <n v="88"/>
    <x v="35"/>
    <x v="1"/>
    <x v="1"/>
    <n v="1025"/>
    <x v="51"/>
    <x v="12"/>
    <x v="72"/>
    <n v="3261"/>
    <x v="265"/>
    <n v="4011"/>
    <x v="261"/>
    <s v="2 0"/>
    <n v="53"/>
    <n v="9411"/>
    <x v="989"/>
    <s v="Hourly"/>
    <n v="145"/>
    <n v="1"/>
    <n v="51.4"/>
    <n v="15502240"/>
  </r>
  <r>
    <x v="0"/>
    <n v="88"/>
    <x v="35"/>
    <x v="1"/>
    <x v="1"/>
    <n v="1025"/>
    <x v="51"/>
    <x v="12"/>
    <x v="72"/>
    <n v="3261"/>
    <x v="265"/>
    <n v="4011"/>
    <x v="261"/>
    <s v="2 0"/>
    <n v="53"/>
    <n v="9410"/>
    <x v="990"/>
    <s v="Hourly"/>
    <n v="120600"/>
    <n v="0"/>
    <n v="30.84"/>
    <n v="3719304"/>
  </r>
  <r>
    <x v="0"/>
    <n v="88"/>
    <x v="35"/>
    <x v="1"/>
    <x v="1"/>
    <n v="1025"/>
    <x v="51"/>
    <x v="12"/>
    <x v="72"/>
    <n v="3261"/>
    <x v="265"/>
    <n v="4011"/>
    <x v="261"/>
    <s v="2 0"/>
    <n v="16"/>
    <n v="8394"/>
    <x v="991"/>
    <s v="Hourly"/>
    <n v="18"/>
    <n v="1"/>
    <n v="64.150000000000006"/>
    <n v="2401776"/>
  </r>
  <r>
    <x v="0"/>
    <n v="88"/>
    <x v="35"/>
    <x v="1"/>
    <x v="1"/>
    <n v="1025"/>
    <x v="51"/>
    <x v="12"/>
    <x v="72"/>
    <n v="3261"/>
    <x v="265"/>
    <n v="4011"/>
    <x v="261"/>
    <s v="J 17"/>
    <n v="16"/>
    <n v="8373"/>
    <x v="992"/>
    <s v="Annual"/>
    <n v="1"/>
    <n v="1"/>
    <n v="136872"/>
    <n v="136872"/>
  </r>
  <r>
    <x v="0"/>
    <n v="88"/>
    <x v="35"/>
    <x v="1"/>
    <x v="1"/>
    <n v="1025"/>
    <x v="51"/>
    <x v="12"/>
    <x v="72"/>
    <n v="3261"/>
    <x v="265"/>
    <n v="4011"/>
    <x v="261"/>
    <s v="2 0"/>
    <n v="16"/>
    <n v="8352"/>
    <x v="993"/>
    <s v="Monthly"/>
    <n v="12"/>
    <n v="1"/>
    <n v="11466"/>
    <n v="1651104"/>
  </r>
  <r>
    <x v="0"/>
    <n v="88"/>
    <x v="35"/>
    <x v="1"/>
    <x v="1"/>
    <n v="1025"/>
    <x v="51"/>
    <x v="12"/>
    <x v="72"/>
    <n v="3261"/>
    <x v="265"/>
    <n v="4011"/>
    <x v="261"/>
    <s v="2 0"/>
    <n v="16"/>
    <n v="8301"/>
    <x v="994"/>
    <s v="Hourly"/>
    <n v="2"/>
    <n v="1"/>
    <n v="60.5"/>
    <n v="251680"/>
  </r>
  <r>
    <x v="0"/>
    <n v="88"/>
    <x v="35"/>
    <x v="1"/>
    <x v="1"/>
    <n v="1025"/>
    <x v="51"/>
    <x v="12"/>
    <x v="72"/>
    <n v="3261"/>
    <x v="265"/>
    <n v="4011"/>
    <x v="261"/>
    <s v="2 0"/>
    <n v="16"/>
    <n v="8301"/>
    <x v="994"/>
    <s v="Hourly"/>
    <n v="2"/>
    <n v="1"/>
    <n v="54.45"/>
    <n v="226512"/>
  </r>
  <r>
    <x v="0"/>
    <n v="88"/>
    <x v="35"/>
    <x v="1"/>
    <x v="1"/>
    <n v="1025"/>
    <x v="51"/>
    <x v="12"/>
    <x v="72"/>
    <n v="3261"/>
    <x v="265"/>
    <n v="4011"/>
    <x v="261"/>
    <s v="2 0"/>
    <n v="16"/>
    <n v="8301"/>
    <x v="994"/>
    <s v="Hourly"/>
    <n v="4"/>
    <n v="1"/>
    <n v="51.43"/>
    <n v="427898"/>
  </r>
  <r>
    <x v="0"/>
    <n v="88"/>
    <x v="35"/>
    <x v="1"/>
    <x v="1"/>
    <n v="1025"/>
    <x v="51"/>
    <x v="12"/>
    <x v="72"/>
    <n v="3261"/>
    <x v="265"/>
    <n v="4011"/>
    <x v="261"/>
    <s v="2 0"/>
    <n v="53"/>
    <n v="8246"/>
    <x v="986"/>
    <s v="Hourly"/>
    <n v="3"/>
    <n v="1"/>
    <n v="52.5"/>
    <n v="327600"/>
  </r>
  <r>
    <x v="0"/>
    <n v="88"/>
    <x v="35"/>
    <x v="1"/>
    <x v="1"/>
    <n v="1025"/>
    <x v="51"/>
    <x v="12"/>
    <x v="72"/>
    <n v="3261"/>
    <x v="265"/>
    <n v="4011"/>
    <x v="261"/>
    <s v="2 0"/>
    <n v="42"/>
    <n v="7633"/>
    <x v="887"/>
    <s v="Hourly"/>
    <n v="73730"/>
    <n v="0"/>
    <n v="66.8"/>
    <n v="4925164"/>
  </r>
  <r>
    <x v="0"/>
    <n v="88"/>
    <x v="35"/>
    <x v="1"/>
    <x v="1"/>
    <n v="1025"/>
    <x v="51"/>
    <x v="12"/>
    <x v="72"/>
    <n v="3261"/>
    <x v="265"/>
    <n v="4011"/>
    <x v="261"/>
    <s v="2 0"/>
    <n v="42"/>
    <n v="7636"/>
    <x v="995"/>
    <s v="Monthly"/>
    <n v="1"/>
    <n v="1"/>
    <n v="12055.33"/>
    <n v="144664"/>
  </r>
  <r>
    <x v="0"/>
    <n v="88"/>
    <x v="35"/>
    <x v="1"/>
    <x v="1"/>
    <n v="1025"/>
    <x v="51"/>
    <x v="12"/>
    <x v="72"/>
    <n v="3261"/>
    <x v="265"/>
    <n v="4011"/>
    <x v="261"/>
    <s v="2 0"/>
    <n v="42"/>
    <n v="7635"/>
    <x v="886"/>
    <s v="Hourly"/>
    <n v="2"/>
    <n v="1"/>
    <n v="68.8"/>
    <n v="286208"/>
  </r>
  <r>
    <x v="0"/>
    <n v="88"/>
    <x v="35"/>
    <x v="1"/>
    <x v="1"/>
    <n v="1025"/>
    <x v="51"/>
    <x v="12"/>
    <x v="72"/>
    <n v="3261"/>
    <x v="265"/>
    <n v="4011"/>
    <x v="261"/>
    <s v="2 0"/>
    <n v="42"/>
    <n v="7633"/>
    <x v="887"/>
    <s v="Hourly"/>
    <n v="34"/>
    <n v="1"/>
    <n v="64.8"/>
    <n v="4582656"/>
  </r>
  <r>
    <x v="0"/>
    <n v="88"/>
    <x v="35"/>
    <x v="1"/>
    <x v="1"/>
    <n v="1025"/>
    <x v="51"/>
    <x v="12"/>
    <x v="72"/>
    <n v="3261"/>
    <x v="265"/>
    <n v="4011"/>
    <x v="261"/>
    <s v="2 0"/>
    <n v="8"/>
    <n v="7185"/>
    <x v="485"/>
    <s v="Hourly"/>
    <n v="2080"/>
    <n v="0"/>
    <n v="52.38"/>
    <n v="108950"/>
  </r>
  <r>
    <x v="0"/>
    <n v="88"/>
    <x v="35"/>
    <x v="1"/>
    <x v="1"/>
    <n v="1025"/>
    <x v="51"/>
    <x v="12"/>
    <x v="72"/>
    <n v="3261"/>
    <x v="265"/>
    <n v="4011"/>
    <x v="261"/>
    <s v="2 0"/>
    <n v="8"/>
    <n v="7185"/>
    <x v="485"/>
    <s v="Hourly"/>
    <n v="3"/>
    <n v="1"/>
    <n v="52.38"/>
    <n v="326851"/>
  </r>
  <r>
    <x v="0"/>
    <n v="88"/>
    <x v="35"/>
    <x v="1"/>
    <x v="1"/>
    <n v="1025"/>
    <x v="51"/>
    <x v="12"/>
    <x v="72"/>
    <n v="3261"/>
    <x v="265"/>
    <n v="4011"/>
    <x v="261"/>
    <s v="2 0"/>
    <n v="8"/>
    <n v="7184"/>
    <x v="882"/>
    <s v="Hourly"/>
    <n v="5"/>
    <n v="1"/>
    <n v="48.73"/>
    <n v="506792"/>
  </r>
  <r>
    <x v="0"/>
    <n v="88"/>
    <x v="35"/>
    <x v="1"/>
    <x v="1"/>
    <n v="1025"/>
    <x v="51"/>
    <x v="12"/>
    <x v="72"/>
    <n v="3261"/>
    <x v="265"/>
    <n v="4011"/>
    <x v="261"/>
    <s v="2 0"/>
    <n v="8"/>
    <n v="7184"/>
    <x v="882"/>
    <s v="Hourly"/>
    <n v="68640"/>
    <n v="0"/>
    <n v="38.979999999999997"/>
    <n v="2675587"/>
  </r>
  <r>
    <x v="0"/>
    <n v="88"/>
    <x v="35"/>
    <x v="1"/>
    <x v="1"/>
    <n v="1025"/>
    <x v="51"/>
    <x v="12"/>
    <x v="72"/>
    <n v="3261"/>
    <x v="265"/>
    <n v="4011"/>
    <x v="261"/>
    <s v="2 0"/>
    <n v="8"/>
    <n v="7183"/>
    <x v="449"/>
    <s v="Hourly"/>
    <n v="105"/>
    <n v="1"/>
    <n v="48.73"/>
    <n v="10642632"/>
  </r>
  <r>
    <x v="0"/>
    <n v="88"/>
    <x v="35"/>
    <x v="1"/>
    <x v="1"/>
    <n v="1025"/>
    <x v="51"/>
    <x v="12"/>
    <x v="72"/>
    <n v="3261"/>
    <x v="265"/>
    <n v="4011"/>
    <x v="261"/>
    <s v="U 16"/>
    <n v="53"/>
    <n v="7126"/>
    <x v="996"/>
    <s v="Annual"/>
    <n v="1"/>
    <n v="1"/>
    <n v="119052"/>
    <n v="119052"/>
  </r>
  <r>
    <x v="0"/>
    <n v="88"/>
    <x v="35"/>
    <x v="1"/>
    <x v="1"/>
    <n v="1025"/>
    <x v="51"/>
    <x v="12"/>
    <x v="72"/>
    <n v="3261"/>
    <x v="265"/>
    <n v="4011"/>
    <x v="261"/>
    <s v="2 0"/>
    <n v="53"/>
    <n v="7101"/>
    <x v="988"/>
    <s v="Hourly"/>
    <n v="10"/>
    <n v="1"/>
    <n v="51.4"/>
    <n v="1069120"/>
  </r>
  <r>
    <x v="0"/>
    <n v="88"/>
    <x v="35"/>
    <x v="1"/>
    <x v="1"/>
    <n v="1025"/>
    <x v="51"/>
    <x v="12"/>
    <x v="72"/>
    <n v="3261"/>
    <x v="265"/>
    <n v="4011"/>
    <x v="261"/>
    <s v="2 0"/>
    <n v="16"/>
    <n v="4754"/>
    <x v="439"/>
    <s v="Hourly"/>
    <n v="145600"/>
    <n v="0"/>
    <n v="60.5"/>
    <n v="8808800"/>
  </r>
  <r>
    <x v="0"/>
    <n v="88"/>
    <x v="35"/>
    <x v="1"/>
    <x v="1"/>
    <n v="1025"/>
    <x v="51"/>
    <x v="12"/>
    <x v="72"/>
    <n v="3261"/>
    <x v="265"/>
    <n v="4011"/>
    <x v="261"/>
    <s v="2 0"/>
    <n v="16"/>
    <n v="4754"/>
    <x v="439"/>
    <s v="Hourly"/>
    <n v="25"/>
    <n v="1"/>
    <n v="60.5"/>
    <n v="3146000"/>
  </r>
  <r>
    <x v="0"/>
    <n v="88"/>
    <x v="35"/>
    <x v="1"/>
    <x v="1"/>
    <n v="1025"/>
    <x v="51"/>
    <x v="12"/>
    <x v="72"/>
    <n v="3261"/>
    <x v="265"/>
    <n v="4011"/>
    <x v="261"/>
    <s v="2 0"/>
    <n v="53"/>
    <n v="4566"/>
    <x v="997"/>
    <s v="Hourly"/>
    <n v="1"/>
    <n v="1"/>
    <n v="55.79"/>
    <n v="116043"/>
  </r>
  <r>
    <x v="0"/>
    <n v="88"/>
    <x v="35"/>
    <x v="1"/>
    <x v="1"/>
    <n v="1025"/>
    <x v="51"/>
    <x v="12"/>
    <x v="72"/>
    <n v="3261"/>
    <x v="265"/>
    <n v="4011"/>
    <x v="261"/>
    <s v="2 0"/>
    <n v="49"/>
    <n v="4405"/>
    <x v="998"/>
    <s v="Hourly"/>
    <n v="1"/>
    <n v="1"/>
    <n v="58.37"/>
    <n v="121410"/>
  </r>
  <r>
    <x v="0"/>
    <n v="88"/>
    <x v="35"/>
    <x v="1"/>
    <x v="1"/>
    <n v="1025"/>
    <x v="51"/>
    <x v="12"/>
    <x v="72"/>
    <n v="3261"/>
    <x v="265"/>
    <n v="4011"/>
    <x v="261"/>
    <s v="2 0"/>
    <n v="49"/>
    <n v="4403"/>
    <x v="444"/>
    <s v="Hourly"/>
    <n v="6240"/>
    <n v="0"/>
    <n v="53.06"/>
    <n v="331094"/>
  </r>
  <r>
    <x v="0"/>
    <n v="88"/>
    <x v="35"/>
    <x v="1"/>
    <x v="1"/>
    <n v="1025"/>
    <x v="51"/>
    <x v="12"/>
    <x v="72"/>
    <n v="3261"/>
    <x v="265"/>
    <n v="4011"/>
    <x v="261"/>
    <s v="B 12"/>
    <n v="1"/>
    <s v="03A8"/>
    <x v="88"/>
    <s v="Annual"/>
    <n v="1"/>
    <n v="1"/>
    <n v="77640"/>
    <n v="77640"/>
  </r>
  <r>
    <x v="0"/>
    <n v="88"/>
    <x v="35"/>
    <x v="1"/>
    <x v="1"/>
    <n v="1025"/>
    <x v="51"/>
    <x v="12"/>
    <x v="72"/>
    <n v="3261"/>
    <x v="265"/>
    <n v="4011"/>
    <x v="261"/>
    <s v="1 00"/>
    <n v="0"/>
    <n v="15"/>
    <x v="37"/>
    <s v="Annual"/>
    <n v="0"/>
    <n v="0"/>
    <n v="5364"/>
    <n v="5364"/>
  </r>
  <r>
    <x v="0"/>
    <n v="88"/>
    <x v="35"/>
    <x v="1"/>
    <x v="1"/>
    <n v="1025"/>
    <x v="51"/>
    <x v="12"/>
    <x v="72"/>
    <n v="3261"/>
    <x v="265"/>
    <n v="4011"/>
    <x v="261"/>
    <s v="1 00"/>
    <n v="0"/>
    <n v="12"/>
    <x v="291"/>
    <s v="Annual"/>
    <n v="0"/>
    <n v="0"/>
    <n v="1008271"/>
    <n v="1008271"/>
  </r>
  <r>
    <x v="0"/>
    <n v="88"/>
    <x v="35"/>
    <x v="1"/>
    <x v="1"/>
    <n v="1025"/>
    <x v="51"/>
    <x v="12"/>
    <x v="72"/>
    <n v="3263"/>
    <x v="266"/>
    <n v="0"/>
    <x v="0"/>
    <s v="2 0"/>
    <n v="53"/>
    <n v="9411"/>
    <x v="989"/>
    <s v="Hourly"/>
    <n v="14"/>
    <n v="1"/>
    <n v="51.4"/>
    <n v="1496768"/>
  </r>
  <r>
    <x v="0"/>
    <n v="88"/>
    <x v="35"/>
    <x v="1"/>
    <x v="1"/>
    <n v="1025"/>
    <x v="51"/>
    <x v="12"/>
    <x v="72"/>
    <n v="3263"/>
    <x v="266"/>
    <n v="0"/>
    <x v="0"/>
    <s v="2 0"/>
    <n v="16"/>
    <n v="8394"/>
    <x v="991"/>
    <s v="Hourly"/>
    <n v="5"/>
    <n v="1"/>
    <n v="64.150000000000006"/>
    <n v="667160"/>
  </r>
  <r>
    <x v="0"/>
    <n v="88"/>
    <x v="35"/>
    <x v="1"/>
    <x v="1"/>
    <n v="1025"/>
    <x v="51"/>
    <x v="12"/>
    <x v="72"/>
    <n v="3263"/>
    <x v="266"/>
    <n v="0"/>
    <x v="0"/>
    <s v="2 0"/>
    <n v="16"/>
    <n v="8352"/>
    <x v="993"/>
    <s v="Monthly"/>
    <n v="4"/>
    <n v="1"/>
    <n v="11466"/>
    <n v="550368"/>
  </r>
  <r>
    <x v="0"/>
    <n v="88"/>
    <x v="35"/>
    <x v="1"/>
    <x v="1"/>
    <n v="1025"/>
    <x v="51"/>
    <x v="12"/>
    <x v="72"/>
    <n v="3263"/>
    <x v="266"/>
    <n v="0"/>
    <x v="0"/>
    <s v="2 0"/>
    <n v="16"/>
    <n v="8301"/>
    <x v="994"/>
    <s v="Hourly"/>
    <n v="1"/>
    <n v="1"/>
    <n v="60.5"/>
    <n v="125840"/>
  </r>
  <r>
    <x v="0"/>
    <n v="88"/>
    <x v="35"/>
    <x v="1"/>
    <x v="1"/>
    <n v="1025"/>
    <x v="51"/>
    <x v="12"/>
    <x v="72"/>
    <n v="3263"/>
    <x v="266"/>
    <n v="0"/>
    <x v="0"/>
    <s v="2 0"/>
    <n v="16"/>
    <n v="8301"/>
    <x v="994"/>
    <s v="Hourly"/>
    <n v="1"/>
    <n v="1"/>
    <n v="51.43"/>
    <n v="106974"/>
  </r>
  <r>
    <x v="0"/>
    <n v="88"/>
    <x v="35"/>
    <x v="1"/>
    <x v="1"/>
    <n v="1025"/>
    <x v="51"/>
    <x v="12"/>
    <x v="72"/>
    <n v="3263"/>
    <x v="266"/>
    <n v="0"/>
    <x v="0"/>
    <s v="2 0"/>
    <n v="16"/>
    <n v="4754"/>
    <x v="439"/>
    <s v="Hourly"/>
    <n v="4"/>
    <n v="1"/>
    <n v="60.5"/>
    <n v="503360"/>
  </r>
  <r>
    <x v="0"/>
    <n v="88"/>
    <x v="35"/>
    <x v="1"/>
    <x v="1"/>
    <n v="1025"/>
    <x v="51"/>
    <x v="12"/>
    <x v="72"/>
    <n v="3263"/>
    <x v="266"/>
    <n v="0"/>
    <x v="0"/>
    <s v="U 10"/>
    <n v="53"/>
    <n v="417"/>
    <x v="984"/>
    <s v="Annual"/>
    <n v="1"/>
    <n v="1"/>
    <n v="56112"/>
    <n v="56112"/>
  </r>
  <r>
    <x v="0"/>
    <n v="88"/>
    <x v="35"/>
    <x v="1"/>
    <x v="1"/>
    <n v="1025"/>
    <x v="51"/>
    <x v="12"/>
    <x v="72"/>
    <n v="3263"/>
    <x v="266"/>
    <n v="0"/>
    <x v="0"/>
    <s v="1 00"/>
    <n v="0"/>
    <n v="15"/>
    <x v="37"/>
    <s v="Annual"/>
    <n v="0"/>
    <n v="0"/>
    <n v="317"/>
    <n v="317"/>
  </r>
  <r>
    <x v="0"/>
    <n v="88"/>
    <x v="35"/>
    <x v="1"/>
    <x v="1"/>
    <n v="1025"/>
    <x v="51"/>
    <x v="12"/>
    <x v="72"/>
    <n v="3263"/>
    <x v="266"/>
    <n v="0"/>
    <x v="0"/>
    <s v="1 00"/>
    <n v="0"/>
    <n v="12"/>
    <x v="291"/>
    <s v="Annual"/>
    <n v="0"/>
    <n v="0"/>
    <n v="51758"/>
    <n v="51758"/>
  </r>
  <r>
    <x v="0"/>
    <n v="88"/>
    <x v="35"/>
    <x v="1"/>
    <x v="1"/>
    <n v="1025"/>
    <x v="51"/>
    <x v="12"/>
    <x v="72"/>
    <n v="3265"/>
    <x v="241"/>
    <n v="0"/>
    <x v="0"/>
    <s v="2 0"/>
    <n v="36"/>
    <n v="6681"/>
    <x v="999"/>
    <s v="Hourly"/>
    <n v="12480"/>
    <n v="0"/>
    <n v="30.2"/>
    <n v="376896"/>
  </r>
  <r>
    <x v="0"/>
    <n v="88"/>
    <x v="35"/>
    <x v="1"/>
    <x v="1"/>
    <n v="1025"/>
    <x v="51"/>
    <x v="12"/>
    <x v="72"/>
    <n v="3265"/>
    <x v="241"/>
    <n v="0"/>
    <x v="0"/>
    <s v="1 00"/>
    <n v="0"/>
    <n v="12"/>
    <x v="291"/>
    <s v="Annual"/>
    <n v="0"/>
    <n v="0"/>
    <n v="5653"/>
    <n v="5653"/>
  </r>
  <r>
    <x v="0"/>
    <n v="88"/>
    <x v="35"/>
    <x v="1"/>
    <x v="1"/>
    <n v="1025"/>
    <x v="51"/>
    <x v="12"/>
    <x v="72"/>
    <n v="3270"/>
    <x v="267"/>
    <n v="0"/>
    <x v="0"/>
    <s v="X 42"/>
    <n v="0"/>
    <n v="9681"/>
    <x v="81"/>
    <s v="Annual"/>
    <n v="1"/>
    <n v="1"/>
    <n v="184584"/>
    <n v="184584"/>
  </r>
  <r>
    <x v="0"/>
    <n v="88"/>
    <x v="35"/>
    <x v="1"/>
    <x v="1"/>
    <n v="1025"/>
    <x v="51"/>
    <x v="12"/>
    <x v="72"/>
    <n v="3270"/>
    <x v="267"/>
    <n v="0"/>
    <x v="0"/>
    <s v="2 0"/>
    <n v="53"/>
    <n v="9410"/>
    <x v="990"/>
    <s v="Hourly"/>
    <n v="214240"/>
    <n v="0"/>
    <n v="30.84"/>
    <n v="6607162"/>
  </r>
  <r>
    <x v="0"/>
    <n v="88"/>
    <x v="35"/>
    <x v="1"/>
    <x v="1"/>
    <n v="1025"/>
    <x v="51"/>
    <x v="12"/>
    <x v="72"/>
    <n v="3270"/>
    <x v="267"/>
    <n v="0"/>
    <x v="0"/>
    <s v="2 0"/>
    <n v="16"/>
    <n v="8394"/>
    <x v="991"/>
    <s v="Hourly"/>
    <n v="24960"/>
    <n v="0"/>
    <n v="64.150000000000006"/>
    <n v="1601184"/>
  </r>
  <r>
    <x v="0"/>
    <n v="88"/>
    <x v="35"/>
    <x v="1"/>
    <x v="1"/>
    <n v="1025"/>
    <x v="51"/>
    <x v="12"/>
    <x v="72"/>
    <n v="3270"/>
    <x v="267"/>
    <n v="0"/>
    <x v="0"/>
    <s v="2 0"/>
    <n v="42"/>
    <n v="7633"/>
    <x v="887"/>
    <s v="Hourly"/>
    <n v="49920"/>
    <n v="0"/>
    <n v="66.8"/>
    <n v="3334656"/>
  </r>
  <r>
    <x v="0"/>
    <n v="88"/>
    <x v="35"/>
    <x v="1"/>
    <x v="1"/>
    <n v="1025"/>
    <x v="51"/>
    <x v="12"/>
    <x v="72"/>
    <n v="3270"/>
    <x v="267"/>
    <n v="0"/>
    <x v="0"/>
    <s v="2 0"/>
    <n v="8"/>
    <n v="7183"/>
    <x v="449"/>
    <s v="Hourly"/>
    <n v="135200"/>
    <n v="0"/>
    <n v="48.73"/>
    <n v="6588296"/>
  </r>
  <r>
    <x v="0"/>
    <n v="88"/>
    <x v="35"/>
    <x v="1"/>
    <x v="1"/>
    <n v="1025"/>
    <x v="51"/>
    <x v="12"/>
    <x v="72"/>
    <n v="3270"/>
    <x v="267"/>
    <n v="0"/>
    <x v="0"/>
    <s v="2 0"/>
    <n v="36"/>
    <n v="6672"/>
    <x v="1000"/>
    <s v="Hourly"/>
    <n v="4160"/>
    <n v="0"/>
    <n v="51.9"/>
    <n v="215904"/>
  </r>
  <r>
    <x v="0"/>
    <n v="88"/>
    <x v="35"/>
    <x v="1"/>
    <x v="1"/>
    <n v="1025"/>
    <x v="51"/>
    <x v="12"/>
    <x v="72"/>
    <n v="3270"/>
    <x v="267"/>
    <n v="0"/>
    <x v="0"/>
    <s v="U 14"/>
    <n v="53"/>
    <n v="6304"/>
    <x v="940"/>
    <s v="Annual"/>
    <n v="1"/>
    <n v="1"/>
    <n v="113604"/>
    <n v="113604"/>
  </r>
  <r>
    <x v="0"/>
    <n v="88"/>
    <x v="35"/>
    <x v="1"/>
    <x v="1"/>
    <n v="1025"/>
    <x v="51"/>
    <x v="12"/>
    <x v="72"/>
    <n v="3270"/>
    <x v="267"/>
    <n v="0"/>
    <x v="0"/>
    <s v="G 08"/>
    <n v="4"/>
    <n v="5644"/>
    <x v="948"/>
    <s v="Annual"/>
    <n v="1"/>
    <n v="1"/>
    <n v="99408"/>
    <n v="99408"/>
  </r>
  <r>
    <x v="0"/>
    <n v="88"/>
    <x v="35"/>
    <x v="1"/>
    <x v="1"/>
    <n v="1025"/>
    <x v="51"/>
    <x v="12"/>
    <x v="72"/>
    <n v="3270"/>
    <x v="267"/>
    <n v="0"/>
    <x v="0"/>
    <s v="GY 12"/>
    <n v="20"/>
    <n v="5630"/>
    <x v="421"/>
    <s v="Annual"/>
    <n v="2"/>
    <n v="1"/>
    <n v="115992"/>
    <n v="231984"/>
  </r>
  <r>
    <x v="0"/>
    <n v="88"/>
    <x v="35"/>
    <x v="1"/>
    <x v="1"/>
    <n v="1025"/>
    <x v="51"/>
    <x v="12"/>
    <x v="72"/>
    <n v="3270"/>
    <x v="267"/>
    <n v="0"/>
    <x v="0"/>
    <s v="2 0"/>
    <n v="16"/>
    <n v="4754"/>
    <x v="439"/>
    <s v="Hourly"/>
    <n v="62400"/>
    <n v="0"/>
    <n v="60.5"/>
    <n v="3775200"/>
  </r>
  <r>
    <x v="0"/>
    <n v="88"/>
    <x v="35"/>
    <x v="1"/>
    <x v="1"/>
    <n v="1025"/>
    <x v="51"/>
    <x v="12"/>
    <x v="72"/>
    <n v="3270"/>
    <x v="267"/>
    <n v="0"/>
    <x v="0"/>
    <s v="J 13"/>
    <n v="16"/>
    <n v="1062"/>
    <x v="1001"/>
    <s v="Annual"/>
    <n v="2"/>
    <n v="1"/>
    <n v="70740"/>
    <n v="141480"/>
  </r>
  <r>
    <x v="0"/>
    <n v="88"/>
    <x v="35"/>
    <x v="1"/>
    <x v="1"/>
    <n v="1025"/>
    <x v="51"/>
    <x v="12"/>
    <x v="72"/>
    <n v="3270"/>
    <x v="267"/>
    <n v="0"/>
    <x v="0"/>
    <s v="X 43"/>
    <n v="0"/>
    <s v="03A2"/>
    <x v="220"/>
    <s v="Annual"/>
    <n v="2"/>
    <n v="1"/>
    <n v="160680"/>
    <n v="321360"/>
  </r>
  <r>
    <x v="0"/>
    <n v="88"/>
    <x v="35"/>
    <x v="1"/>
    <x v="1"/>
    <n v="1025"/>
    <x v="51"/>
    <x v="12"/>
    <x v="72"/>
    <n v="3270"/>
    <x v="267"/>
    <n v="0"/>
    <x v="0"/>
    <s v="BX 18"/>
    <n v="10"/>
    <n v="311"/>
    <x v="253"/>
    <s v="Annual"/>
    <n v="1"/>
    <n v="1"/>
    <n v="118956"/>
    <n v="118956"/>
  </r>
  <r>
    <x v="0"/>
    <n v="88"/>
    <x v="35"/>
    <x v="1"/>
    <x v="1"/>
    <n v="1025"/>
    <x v="51"/>
    <x v="12"/>
    <x v="72"/>
    <n v="3270"/>
    <x v="267"/>
    <n v="0"/>
    <x v="0"/>
    <s v="BX 18"/>
    <n v="10"/>
    <n v="310"/>
    <x v="135"/>
    <s v="Annual"/>
    <n v="1"/>
    <n v="1"/>
    <n v="89112"/>
    <n v="89112"/>
  </r>
  <r>
    <x v="0"/>
    <n v="88"/>
    <x v="35"/>
    <x v="1"/>
    <x v="1"/>
    <n v="1025"/>
    <x v="51"/>
    <x v="12"/>
    <x v="72"/>
    <n v="3270"/>
    <x v="267"/>
    <n v="0"/>
    <x v="0"/>
    <s v="1 00"/>
    <n v="0"/>
    <n v="15"/>
    <x v="37"/>
    <s v="Annual"/>
    <n v="0"/>
    <n v="0"/>
    <n v="23485"/>
    <n v="23485"/>
  </r>
  <r>
    <x v="0"/>
    <n v="88"/>
    <x v="35"/>
    <x v="1"/>
    <x v="1"/>
    <n v="1025"/>
    <x v="51"/>
    <x v="12"/>
    <x v="72"/>
    <n v="3270"/>
    <x v="267"/>
    <n v="0"/>
    <x v="0"/>
    <s v="1 00"/>
    <n v="0"/>
    <n v="12"/>
    <x v="291"/>
    <s v="Annual"/>
    <n v="0"/>
    <n v="0"/>
    <n v="331836"/>
    <n v="331836"/>
  </r>
  <r>
    <x v="0"/>
    <n v="88"/>
    <x v="35"/>
    <x v="1"/>
    <x v="1"/>
    <n v="1025"/>
    <x v="51"/>
    <x v="12"/>
    <x v="72"/>
    <n v="3364"/>
    <x v="268"/>
    <n v="4365"/>
    <x v="262"/>
    <s v="2 0"/>
    <n v="16"/>
    <n v="2237"/>
    <x v="936"/>
    <s v="Monthly"/>
    <n v="1"/>
    <n v="1"/>
    <n v="13592.8"/>
    <n v="163114"/>
  </r>
  <r>
    <x v="0"/>
    <n v="88"/>
    <x v="35"/>
    <x v="1"/>
    <x v="1"/>
    <n v="1025"/>
    <x v="51"/>
    <x v="12"/>
    <x v="72"/>
    <n v="3364"/>
    <x v="268"/>
    <n v="4365"/>
    <x v="262"/>
    <s v="2 0"/>
    <n v="16"/>
    <n v="2235"/>
    <x v="934"/>
    <s v="Monthly"/>
    <n v="1"/>
    <n v="1"/>
    <n v="12006.97"/>
    <n v="144084"/>
  </r>
  <r>
    <x v="0"/>
    <n v="88"/>
    <x v="35"/>
    <x v="1"/>
    <x v="1"/>
    <n v="1025"/>
    <x v="51"/>
    <x v="12"/>
    <x v="72"/>
    <n v="3364"/>
    <x v="268"/>
    <n v="4365"/>
    <x v="262"/>
    <s v="2 0"/>
    <n v="16"/>
    <n v="2233"/>
    <x v="935"/>
    <s v="Monthly"/>
    <n v="4"/>
    <n v="1"/>
    <n v="11327.33"/>
    <n v="543712"/>
  </r>
  <r>
    <x v="0"/>
    <n v="88"/>
    <x v="35"/>
    <x v="1"/>
    <x v="1"/>
    <n v="1025"/>
    <x v="51"/>
    <x v="12"/>
    <x v="72"/>
    <n v="3364"/>
    <x v="268"/>
    <n v="4365"/>
    <x v="262"/>
    <s v="2 0"/>
    <n v="16"/>
    <n v="2231"/>
    <x v="933"/>
    <s v="Monthly"/>
    <n v="25"/>
    <n v="1"/>
    <n v="11119.33"/>
    <n v="3335799"/>
  </r>
  <r>
    <x v="0"/>
    <n v="88"/>
    <x v="35"/>
    <x v="1"/>
    <x v="1"/>
    <n v="1025"/>
    <x v="51"/>
    <x v="12"/>
    <x v="72"/>
    <n v="3364"/>
    <x v="268"/>
    <n v="4365"/>
    <x v="262"/>
    <s v="B 08"/>
    <n v="1"/>
    <n v="430"/>
    <x v="1002"/>
    <s v="Annual"/>
    <n v="1"/>
    <n v="1"/>
    <n v="74916"/>
    <n v="74916"/>
  </r>
  <r>
    <x v="0"/>
    <n v="88"/>
    <x v="35"/>
    <x v="1"/>
    <x v="1"/>
    <n v="1025"/>
    <x v="51"/>
    <x v="12"/>
    <x v="72"/>
    <n v="3364"/>
    <x v="268"/>
    <n v="4365"/>
    <x v="262"/>
    <s v="B 12"/>
    <n v="1"/>
    <s v="03A8"/>
    <x v="88"/>
    <s v="Annual"/>
    <n v="1"/>
    <n v="1"/>
    <n v="108576"/>
    <n v="108576"/>
  </r>
  <r>
    <x v="0"/>
    <n v="88"/>
    <x v="35"/>
    <x v="1"/>
    <x v="1"/>
    <n v="1025"/>
    <x v="51"/>
    <x v="12"/>
    <x v="72"/>
    <n v="3364"/>
    <x v="268"/>
    <n v="4365"/>
    <x v="262"/>
    <s v="1 00"/>
    <n v="0"/>
    <n v="12"/>
    <x v="291"/>
    <s v="Annual"/>
    <n v="0"/>
    <n v="0"/>
    <n v="62801"/>
    <n v="62801"/>
  </r>
  <r>
    <x v="0"/>
    <n v="88"/>
    <x v="35"/>
    <x v="1"/>
    <x v="1"/>
    <n v="1035"/>
    <x v="52"/>
    <x v="14"/>
    <x v="73"/>
    <n v="3340"/>
    <x v="249"/>
    <n v="0"/>
    <x v="0"/>
    <s v="X 43"/>
    <n v="0"/>
    <s v="03A2"/>
    <x v="220"/>
    <s v="Annual"/>
    <n v="1"/>
    <n v="1"/>
    <n v="133836"/>
    <n v="133836"/>
  </r>
  <r>
    <x v="0"/>
    <n v="88"/>
    <x v="35"/>
    <x v="1"/>
    <x v="1"/>
    <n v="1035"/>
    <x v="52"/>
    <x v="14"/>
    <x v="73"/>
    <n v="3340"/>
    <x v="249"/>
    <n v="0"/>
    <x v="0"/>
    <s v="BX 17"/>
    <n v="10"/>
    <n v="304"/>
    <x v="881"/>
    <s v="Annual"/>
    <n v="1"/>
    <n v="1"/>
    <n v="136692"/>
    <n v="136692"/>
  </r>
  <r>
    <x v="0"/>
    <n v="88"/>
    <x v="35"/>
    <x v="1"/>
    <x v="1"/>
    <n v="1035"/>
    <x v="52"/>
    <x v="14"/>
    <x v="73"/>
    <n v="3345"/>
    <x v="269"/>
    <n v="0"/>
    <x v="0"/>
    <s v="BX 22"/>
    <n v="10"/>
    <n v="6556"/>
    <x v="1003"/>
    <s v="Annual"/>
    <n v="1"/>
    <n v="1"/>
    <n v="136692"/>
    <n v="136692"/>
  </r>
  <r>
    <x v="0"/>
    <n v="88"/>
    <x v="35"/>
    <x v="1"/>
    <x v="1"/>
    <n v="1035"/>
    <x v="52"/>
    <x v="14"/>
    <x v="73"/>
    <n v="3345"/>
    <x v="269"/>
    <n v="0"/>
    <x v="0"/>
    <s v="2 0"/>
    <n v="16"/>
    <n v="4756"/>
    <x v="438"/>
    <s v="Hourly"/>
    <n v="1"/>
    <n v="1"/>
    <n v="64.150000000000006"/>
    <n v="133432"/>
  </r>
  <r>
    <x v="0"/>
    <n v="88"/>
    <x v="35"/>
    <x v="1"/>
    <x v="1"/>
    <n v="1035"/>
    <x v="52"/>
    <x v="14"/>
    <x v="73"/>
    <n v="3345"/>
    <x v="269"/>
    <n v="0"/>
    <x v="0"/>
    <s v="2 0"/>
    <n v="16"/>
    <n v="2231"/>
    <x v="933"/>
    <s v="Monthly"/>
    <n v="1"/>
    <n v="1"/>
    <n v="11119.33"/>
    <n v="133432"/>
  </r>
  <r>
    <x v="0"/>
    <n v="88"/>
    <x v="35"/>
    <x v="1"/>
    <x v="1"/>
    <n v="1035"/>
    <x v="52"/>
    <x v="14"/>
    <x v="73"/>
    <n v="3345"/>
    <x v="269"/>
    <n v="0"/>
    <x v="0"/>
    <s v="J 15"/>
    <n v="16"/>
    <n v="1063"/>
    <x v="1004"/>
    <s v="Annual"/>
    <n v="1"/>
    <n v="1"/>
    <n v="143352"/>
    <n v="143352"/>
  </r>
  <r>
    <x v="0"/>
    <n v="88"/>
    <x v="35"/>
    <x v="1"/>
    <x v="1"/>
    <n v="1035"/>
    <x v="52"/>
    <x v="14"/>
    <x v="73"/>
    <n v="3345"/>
    <x v="269"/>
    <n v="0"/>
    <x v="0"/>
    <s v="J 15"/>
    <n v="16"/>
    <n v="1063"/>
    <x v="1004"/>
    <s v="Annual"/>
    <n v="1"/>
    <n v="1"/>
    <n v="85176"/>
    <n v="85176"/>
  </r>
  <r>
    <x v="0"/>
    <n v="88"/>
    <x v="35"/>
    <x v="1"/>
    <x v="1"/>
    <n v="1035"/>
    <x v="52"/>
    <x v="14"/>
    <x v="73"/>
    <n v="3345"/>
    <x v="269"/>
    <n v="0"/>
    <x v="0"/>
    <s v="J 13"/>
    <n v="16"/>
    <n v="1062"/>
    <x v="1001"/>
    <s v="Annual"/>
    <n v="4"/>
    <n v="1"/>
    <n v="85176"/>
    <n v="340704"/>
  </r>
  <r>
    <x v="0"/>
    <n v="88"/>
    <x v="35"/>
    <x v="1"/>
    <x v="1"/>
    <n v="1035"/>
    <x v="52"/>
    <x v="14"/>
    <x v="73"/>
    <n v="3345"/>
    <x v="269"/>
    <n v="0"/>
    <x v="0"/>
    <s v="J 13"/>
    <n v="16"/>
    <n v="1062"/>
    <x v="1001"/>
    <s v="Annual"/>
    <n v="3"/>
    <n v="1"/>
    <n v="70740"/>
    <n v="212220"/>
  </r>
  <r>
    <x v="0"/>
    <n v="88"/>
    <x v="35"/>
    <x v="1"/>
    <x v="1"/>
    <n v="1035"/>
    <x v="52"/>
    <x v="14"/>
    <x v="73"/>
    <n v="3345"/>
    <x v="269"/>
    <n v="0"/>
    <x v="0"/>
    <s v="J 13"/>
    <n v="16"/>
    <n v="1061"/>
    <x v="1005"/>
    <s v="Annual"/>
    <n v="5"/>
    <n v="1"/>
    <n v="119052"/>
    <n v="595260"/>
  </r>
  <r>
    <x v="0"/>
    <n v="88"/>
    <x v="35"/>
    <x v="1"/>
    <x v="1"/>
    <n v="1035"/>
    <x v="52"/>
    <x v="14"/>
    <x v="73"/>
    <n v="3345"/>
    <x v="269"/>
    <n v="0"/>
    <x v="0"/>
    <s v="J 13"/>
    <n v="16"/>
    <n v="1061"/>
    <x v="1005"/>
    <s v="Annual"/>
    <n v="1"/>
    <n v="1"/>
    <n v="94428"/>
    <n v="94428"/>
  </r>
  <r>
    <x v="0"/>
    <n v="88"/>
    <x v="35"/>
    <x v="1"/>
    <x v="1"/>
    <n v="1035"/>
    <x v="52"/>
    <x v="14"/>
    <x v="73"/>
    <n v="3345"/>
    <x v="269"/>
    <n v="0"/>
    <x v="0"/>
    <s v="J 13"/>
    <n v="16"/>
    <n v="1061"/>
    <x v="1005"/>
    <s v="Annual"/>
    <n v="2"/>
    <n v="1"/>
    <n v="85176"/>
    <n v="170352"/>
  </r>
  <r>
    <x v="0"/>
    <n v="88"/>
    <x v="35"/>
    <x v="1"/>
    <x v="1"/>
    <n v="1035"/>
    <x v="52"/>
    <x v="14"/>
    <x v="73"/>
    <n v="3345"/>
    <x v="269"/>
    <n v="0"/>
    <x v="0"/>
    <s v="J 13"/>
    <n v="16"/>
    <n v="1061"/>
    <x v="1005"/>
    <s v="Annual"/>
    <n v="4"/>
    <n v="1"/>
    <n v="81276"/>
    <n v="325104"/>
  </r>
  <r>
    <x v="0"/>
    <n v="88"/>
    <x v="35"/>
    <x v="1"/>
    <x v="1"/>
    <n v="1035"/>
    <x v="52"/>
    <x v="14"/>
    <x v="73"/>
    <n v="3345"/>
    <x v="269"/>
    <n v="0"/>
    <x v="0"/>
    <s v="J 13"/>
    <n v="16"/>
    <n v="1061"/>
    <x v="1005"/>
    <s v="Annual"/>
    <n v="3"/>
    <n v="1"/>
    <n v="77628"/>
    <n v="232884"/>
  </r>
  <r>
    <x v="0"/>
    <n v="88"/>
    <x v="35"/>
    <x v="1"/>
    <x v="1"/>
    <n v="1035"/>
    <x v="52"/>
    <x v="14"/>
    <x v="73"/>
    <n v="3345"/>
    <x v="269"/>
    <n v="0"/>
    <x v="0"/>
    <s v="J 13"/>
    <n v="16"/>
    <n v="1061"/>
    <x v="1005"/>
    <s v="Annual"/>
    <n v="3"/>
    <n v="1"/>
    <n v="74136"/>
    <n v="222408"/>
  </r>
  <r>
    <x v="0"/>
    <n v="88"/>
    <x v="35"/>
    <x v="1"/>
    <x v="1"/>
    <n v="1035"/>
    <x v="52"/>
    <x v="14"/>
    <x v="73"/>
    <n v="3345"/>
    <x v="269"/>
    <n v="0"/>
    <x v="0"/>
    <s v="J 13"/>
    <n v="16"/>
    <n v="1061"/>
    <x v="1005"/>
    <s v="Annual"/>
    <n v="2"/>
    <n v="1"/>
    <n v="70740"/>
    <n v="141480"/>
  </r>
  <r>
    <x v="0"/>
    <n v="88"/>
    <x v="35"/>
    <x v="1"/>
    <x v="1"/>
    <n v="1035"/>
    <x v="52"/>
    <x v="14"/>
    <x v="73"/>
    <n v="3345"/>
    <x v="269"/>
    <n v="0"/>
    <x v="0"/>
    <s v="B 09"/>
    <n v="1"/>
    <n v="460"/>
    <x v="344"/>
    <s v="Annual"/>
    <n v="1"/>
    <n v="1"/>
    <n v="82140"/>
    <n v="82140"/>
  </r>
  <r>
    <x v="0"/>
    <n v="88"/>
    <x v="35"/>
    <x v="1"/>
    <x v="1"/>
    <n v="1035"/>
    <x v="52"/>
    <x v="14"/>
    <x v="73"/>
    <n v="3345"/>
    <x v="269"/>
    <n v="0"/>
    <x v="0"/>
    <s v="B 09"/>
    <n v="1"/>
    <n v="460"/>
    <x v="344"/>
    <s v="Annual"/>
    <n v="1"/>
    <n v="1"/>
    <n v="47364"/>
    <n v="47364"/>
  </r>
  <r>
    <x v="0"/>
    <n v="88"/>
    <x v="35"/>
    <x v="1"/>
    <x v="1"/>
    <n v="1035"/>
    <x v="52"/>
    <x v="14"/>
    <x v="73"/>
    <n v="3345"/>
    <x v="269"/>
    <n v="0"/>
    <x v="0"/>
    <s v="U 10"/>
    <n v="53"/>
    <n v="417"/>
    <x v="984"/>
    <s v="Annual"/>
    <n v="1"/>
    <n v="1"/>
    <n v="61524"/>
    <n v="61524"/>
  </r>
  <r>
    <x v="0"/>
    <n v="88"/>
    <x v="35"/>
    <x v="1"/>
    <x v="1"/>
    <n v="1035"/>
    <x v="52"/>
    <x v="14"/>
    <x v="73"/>
    <n v="3345"/>
    <x v="269"/>
    <n v="0"/>
    <x v="0"/>
    <s v="U 10"/>
    <n v="53"/>
    <n v="417"/>
    <x v="984"/>
    <s v="Annual"/>
    <n v="2"/>
    <n v="1"/>
    <n v="58728"/>
    <n v="117456"/>
  </r>
  <r>
    <x v="0"/>
    <n v="88"/>
    <x v="35"/>
    <x v="1"/>
    <x v="1"/>
    <n v="1035"/>
    <x v="52"/>
    <x v="14"/>
    <x v="73"/>
    <n v="3345"/>
    <x v="269"/>
    <n v="0"/>
    <x v="0"/>
    <s v="U 10"/>
    <n v="53"/>
    <n v="417"/>
    <x v="984"/>
    <s v="Annual"/>
    <n v="1"/>
    <n v="1"/>
    <n v="56112"/>
    <n v="56112"/>
  </r>
  <r>
    <x v="0"/>
    <n v="88"/>
    <x v="35"/>
    <x v="1"/>
    <x v="1"/>
    <n v="1035"/>
    <x v="52"/>
    <x v="14"/>
    <x v="73"/>
    <n v="3345"/>
    <x v="269"/>
    <n v="0"/>
    <x v="0"/>
    <s v="1 00"/>
    <n v="0"/>
    <n v="15"/>
    <x v="37"/>
    <s v="Annual"/>
    <n v="0"/>
    <n v="0"/>
    <n v="30974"/>
    <n v="30974"/>
  </r>
  <r>
    <x v="0"/>
    <n v="88"/>
    <x v="35"/>
    <x v="1"/>
    <x v="1"/>
    <n v="1035"/>
    <x v="52"/>
    <x v="14"/>
    <x v="73"/>
    <n v="3345"/>
    <x v="269"/>
    <n v="0"/>
    <x v="0"/>
    <s v="1 00"/>
    <n v="0"/>
    <n v="12"/>
    <x v="291"/>
    <s v="Annual"/>
    <n v="0"/>
    <n v="0"/>
    <n v="4002"/>
    <n v="4002"/>
  </r>
  <r>
    <x v="0"/>
    <n v="88"/>
    <x v="35"/>
    <x v="1"/>
    <x v="1"/>
    <n v="1035"/>
    <x v="52"/>
    <x v="14"/>
    <x v="73"/>
    <n v="3350"/>
    <x v="270"/>
    <n v="0"/>
    <x v="0"/>
    <s v="2 0"/>
    <n v="53"/>
    <n v="9411"/>
    <x v="989"/>
    <s v="Hourly"/>
    <n v="6240"/>
    <n v="0"/>
    <n v="51.4"/>
    <n v="320736"/>
  </r>
  <r>
    <x v="0"/>
    <n v="88"/>
    <x v="35"/>
    <x v="1"/>
    <x v="1"/>
    <n v="1035"/>
    <x v="52"/>
    <x v="14"/>
    <x v="73"/>
    <n v="3350"/>
    <x v="270"/>
    <n v="0"/>
    <x v="0"/>
    <s v="2 0"/>
    <n v="53"/>
    <n v="9411"/>
    <x v="989"/>
    <s v="Hourly"/>
    <n v="17"/>
    <n v="1"/>
    <n v="51.4"/>
    <n v="1817504"/>
  </r>
  <r>
    <x v="0"/>
    <n v="88"/>
    <x v="35"/>
    <x v="1"/>
    <x v="1"/>
    <n v="1035"/>
    <x v="52"/>
    <x v="14"/>
    <x v="73"/>
    <n v="3350"/>
    <x v="270"/>
    <n v="0"/>
    <x v="0"/>
    <s v="2 0"/>
    <n v="16"/>
    <n v="8352"/>
    <x v="993"/>
    <s v="Monthly"/>
    <n v="1"/>
    <n v="1"/>
    <n v="11466"/>
    <n v="137592"/>
  </r>
  <r>
    <x v="0"/>
    <n v="88"/>
    <x v="35"/>
    <x v="1"/>
    <x v="1"/>
    <n v="1035"/>
    <x v="52"/>
    <x v="14"/>
    <x v="73"/>
    <n v="3350"/>
    <x v="270"/>
    <n v="0"/>
    <x v="0"/>
    <s v="2 0"/>
    <n v="16"/>
    <n v="8325"/>
    <x v="1006"/>
    <s v="Hourly"/>
    <n v="2"/>
    <n v="1"/>
    <n v="64.150000000000006"/>
    <n v="266864"/>
  </r>
  <r>
    <x v="0"/>
    <n v="88"/>
    <x v="35"/>
    <x v="1"/>
    <x v="1"/>
    <n v="1035"/>
    <x v="52"/>
    <x v="14"/>
    <x v="73"/>
    <n v="3350"/>
    <x v="270"/>
    <n v="0"/>
    <x v="0"/>
    <s v="2 0"/>
    <n v="53"/>
    <n v="8246"/>
    <x v="986"/>
    <s v="Hourly"/>
    <n v="1"/>
    <n v="1"/>
    <n v="52.5"/>
    <n v="109200"/>
  </r>
  <r>
    <x v="0"/>
    <n v="88"/>
    <x v="35"/>
    <x v="1"/>
    <x v="1"/>
    <n v="1035"/>
    <x v="52"/>
    <x v="14"/>
    <x v="73"/>
    <n v="3350"/>
    <x v="270"/>
    <n v="0"/>
    <x v="0"/>
    <s v="2 0"/>
    <n v="8"/>
    <n v="7183"/>
    <x v="449"/>
    <s v="Hourly"/>
    <n v="6240"/>
    <n v="0"/>
    <n v="48.73"/>
    <n v="304075"/>
  </r>
  <r>
    <x v="0"/>
    <n v="88"/>
    <x v="35"/>
    <x v="1"/>
    <x v="1"/>
    <n v="1035"/>
    <x v="52"/>
    <x v="14"/>
    <x v="73"/>
    <n v="3350"/>
    <x v="270"/>
    <n v="0"/>
    <x v="0"/>
    <s v="2 0"/>
    <n v="8"/>
    <n v="7183"/>
    <x v="449"/>
    <s v="Hourly"/>
    <n v="4"/>
    <n v="1"/>
    <n v="48.73"/>
    <n v="405434"/>
  </r>
  <r>
    <x v="0"/>
    <n v="88"/>
    <x v="35"/>
    <x v="1"/>
    <x v="1"/>
    <n v="1035"/>
    <x v="52"/>
    <x v="14"/>
    <x v="73"/>
    <n v="3350"/>
    <x v="270"/>
    <n v="0"/>
    <x v="0"/>
    <s v="2 0"/>
    <n v="36"/>
    <n v="6676"/>
    <x v="426"/>
    <s v="Hourly"/>
    <n v="4"/>
    <n v="1"/>
    <n v="64.39"/>
    <n v="535725"/>
  </r>
  <r>
    <x v="0"/>
    <n v="88"/>
    <x v="35"/>
    <x v="1"/>
    <x v="1"/>
    <n v="1035"/>
    <x v="52"/>
    <x v="14"/>
    <x v="73"/>
    <n v="3350"/>
    <x v="270"/>
    <n v="0"/>
    <x v="0"/>
    <s v="2 0"/>
    <n v="36"/>
    <n v="6674"/>
    <x v="427"/>
    <s v="Hourly"/>
    <n v="1"/>
    <n v="1"/>
    <n v="60.39"/>
    <n v="125611"/>
  </r>
  <r>
    <x v="0"/>
    <n v="88"/>
    <x v="35"/>
    <x v="1"/>
    <x v="1"/>
    <n v="1035"/>
    <x v="52"/>
    <x v="14"/>
    <x v="73"/>
    <n v="3350"/>
    <x v="270"/>
    <n v="0"/>
    <x v="0"/>
    <s v="2 0"/>
    <n v="36"/>
    <n v="6672"/>
    <x v="1000"/>
    <s v="Hourly"/>
    <n v="16"/>
    <n v="1"/>
    <n v="51.9"/>
    <n v="1727232"/>
  </r>
  <r>
    <x v="0"/>
    <n v="88"/>
    <x v="35"/>
    <x v="1"/>
    <x v="1"/>
    <n v="1035"/>
    <x v="52"/>
    <x v="14"/>
    <x v="73"/>
    <n v="3350"/>
    <x v="270"/>
    <n v="0"/>
    <x v="0"/>
    <s v="BX 19"/>
    <n v="10"/>
    <n v="6555"/>
    <x v="1007"/>
    <s v="Annual"/>
    <n v="1"/>
    <n v="1"/>
    <n v="124584"/>
    <n v="124584"/>
  </r>
  <r>
    <x v="0"/>
    <n v="88"/>
    <x v="35"/>
    <x v="1"/>
    <x v="1"/>
    <n v="1035"/>
    <x v="52"/>
    <x v="14"/>
    <x v="73"/>
    <n v="3350"/>
    <x v="270"/>
    <n v="0"/>
    <x v="0"/>
    <s v="2 0"/>
    <n v="16"/>
    <n v="4756"/>
    <x v="438"/>
    <s v="Hourly"/>
    <n v="2"/>
    <n v="1"/>
    <n v="64.150000000000006"/>
    <n v="266864"/>
  </r>
  <r>
    <x v="0"/>
    <n v="88"/>
    <x v="35"/>
    <x v="1"/>
    <x v="1"/>
    <n v="1035"/>
    <x v="52"/>
    <x v="14"/>
    <x v="73"/>
    <n v="3350"/>
    <x v="270"/>
    <n v="0"/>
    <x v="0"/>
    <s v="2 0"/>
    <n v="16"/>
    <n v="4754"/>
    <x v="439"/>
    <s v="Hourly"/>
    <n v="7"/>
    <n v="1"/>
    <n v="60.5"/>
    <n v="880880"/>
  </r>
  <r>
    <x v="0"/>
    <n v="88"/>
    <x v="35"/>
    <x v="1"/>
    <x v="1"/>
    <n v="1035"/>
    <x v="52"/>
    <x v="14"/>
    <x v="73"/>
    <n v="3350"/>
    <x v="270"/>
    <n v="0"/>
    <x v="0"/>
    <s v="2 0"/>
    <n v="16"/>
    <n v="2233"/>
    <x v="935"/>
    <s v="Monthly"/>
    <n v="1"/>
    <n v="1"/>
    <n v="11327.33"/>
    <n v="135928"/>
  </r>
  <r>
    <x v="0"/>
    <n v="88"/>
    <x v="35"/>
    <x v="1"/>
    <x v="1"/>
    <n v="1035"/>
    <x v="52"/>
    <x v="14"/>
    <x v="73"/>
    <n v="3350"/>
    <x v="270"/>
    <n v="0"/>
    <x v="0"/>
    <s v="2 0"/>
    <n v="16"/>
    <n v="2231"/>
    <x v="933"/>
    <s v="Monthly"/>
    <n v="7"/>
    <n v="1"/>
    <n v="11119.33"/>
    <n v="934024"/>
  </r>
  <r>
    <x v="0"/>
    <n v="88"/>
    <x v="35"/>
    <x v="1"/>
    <x v="1"/>
    <n v="1035"/>
    <x v="52"/>
    <x v="14"/>
    <x v="73"/>
    <n v="3350"/>
    <x v="270"/>
    <n v="0"/>
    <x v="0"/>
    <s v="2 0"/>
    <n v="53"/>
    <n v="1860"/>
    <x v="392"/>
    <s v="Hourly"/>
    <n v="1"/>
    <n v="1"/>
    <n v="52.5"/>
    <n v="109200"/>
  </r>
  <r>
    <x v="0"/>
    <n v="88"/>
    <x v="35"/>
    <x v="1"/>
    <x v="1"/>
    <n v="1035"/>
    <x v="52"/>
    <x v="14"/>
    <x v="73"/>
    <n v="3350"/>
    <x v="270"/>
    <n v="0"/>
    <x v="0"/>
    <s v="U 10"/>
    <n v="53"/>
    <n v="417"/>
    <x v="984"/>
    <s v="Annual"/>
    <n v="1"/>
    <n v="1"/>
    <n v="56112"/>
    <n v="56112"/>
  </r>
  <r>
    <x v="0"/>
    <n v="88"/>
    <x v="35"/>
    <x v="1"/>
    <x v="1"/>
    <n v="1035"/>
    <x v="52"/>
    <x v="14"/>
    <x v="73"/>
    <n v="3350"/>
    <x v="270"/>
    <n v="0"/>
    <x v="0"/>
    <s v="U 10"/>
    <n v="53"/>
    <n v="417"/>
    <x v="984"/>
    <s v="Annual"/>
    <n v="3"/>
    <n v="1"/>
    <n v="53520"/>
    <n v="160560"/>
  </r>
  <r>
    <x v="0"/>
    <n v="88"/>
    <x v="35"/>
    <x v="1"/>
    <x v="1"/>
    <n v="1035"/>
    <x v="52"/>
    <x v="14"/>
    <x v="73"/>
    <n v="3350"/>
    <x v="270"/>
    <n v="0"/>
    <x v="0"/>
    <s v="BX 18"/>
    <n v="10"/>
    <n v="311"/>
    <x v="253"/>
    <s v="Annual"/>
    <n v="1"/>
    <n v="1"/>
    <n v="89112"/>
    <n v="89112"/>
  </r>
  <r>
    <x v="0"/>
    <n v="88"/>
    <x v="35"/>
    <x v="1"/>
    <x v="1"/>
    <n v="1035"/>
    <x v="52"/>
    <x v="14"/>
    <x v="73"/>
    <n v="3350"/>
    <x v="270"/>
    <n v="0"/>
    <x v="0"/>
    <s v="1 00"/>
    <n v="0"/>
    <n v="15"/>
    <x v="37"/>
    <s v="Annual"/>
    <n v="0"/>
    <n v="0"/>
    <n v="9311"/>
    <n v="9311"/>
  </r>
  <r>
    <x v="0"/>
    <n v="88"/>
    <x v="35"/>
    <x v="1"/>
    <x v="1"/>
    <n v="1035"/>
    <x v="52"/>
    <x v="14"/>
    <x v="73"/>
    <n v="3350"/>
    <x v="270"/>
    <n v="0"/>
    <x v="0"/>
    <s v="1 00"/>
    <n v="0"/>
    <n v="12"/>
    <x v="291"/>
    <s v="Annual"/>
    <n v="0"/>
    <n v="0"/>
    <n v="121153"/>
    <n v="121153"/>
  </r>
  <r>
    <x v="0"/>
    <n v="25"/>
    <x v="6"/>
    <x v="2"/>
    <x v="2"/>
    <n v="1005"/>
    <x v="7"/>
    <x v="0"/>
    <x v="7"/>
    <n v="3025"/>
    <x v="271"/>
    <n v="0"/>
    <x v="0"/>
    <s v="X 22"/>
    <n v="9"/>
    <n v="9674"/>
    <x v="76"/>
    <s v="Annual"/>
    <n v="2"/>
    <n v="1"/>
    <n v="158568"/>
    <n v="317136"/>
  </r>
  <r>
    <x v="0"/>
    <n v="25"/>
    <x v="6"/>
    <x v="2"/>
    <x v="2"/>
    <n v="1005"/>
    <x v="7"/>
    <x v="0"/>
    <x v="7"/>
    <n v="3025"/>
    <x v="271"/>
    <n v="0"/>
    <x v="0"/>
    <s v="X 22"/>
    <n v="9"/>
    <n v="9674"/>
    <x v="76"/>
    <s v="Annual"/>
    <n v="1"/>
    <n v="1"/>
    <n v="151884"/>
    <n v="151884"/>
  </r>
  <r>
    <x v="0"/>
    <n v="25"/>
    <x v="6"/>
    <x v="2"/>
    <x v="2"/>
    <n v="1005"/>
    <x v="7"/>
    <x v="0"/>
    <x v="7"/>
    <n v="3025"/>
    <x v="271"/>
    <n v="0"/>
    <x v="0"/>
    <s v="BX 18"/>
    <n v="10"/>
    <n v="3092"/>
    <x v="308"/>
    <s v="Annual"/>
    <n v="1"/>
    <n v="1"/>
    <n v="102444"/>
    <n v="102444"/>
  </r>
  <r>
    <x v="0"/>
    <n v="25"/>
    <x v="6"/>
    <x v="2"/>
    <x v="2"/>
    <n v="1005"/>
    <x v="7"/>
    <x v="0"/>
    <x v="7"/>
    <n v="3025"/>
    <x v="271"/>
    <n v="0"/>
    <x v="0"/>
    <s v="X 23"/>
    <n v="0"/>
    <n v="3059"/>
    <x v="541"/>
    <s v="Annual"/>
    <n v="1"/>
    <n v="1"/>
    <n v="133044"/>
    <n v="133044"/>
  </r>
  <r>
    <x v="0"/>
    <n v="25"/>
    <x v="6"/>
    <x v="2"/>
    <x v="2"/>
    <n v="1005"/>
    <x v="7"/>
    <x v="0"/>
    <x v="7"/>
    <n v="3025"/>
    <x v="271"/>
    <n v="0"/>
    <x v="0"/>
    <s v="GY 07"/>
    <n v="10"/>
    <n v="1386"/>
    <x v="382"/>
    <s v="Annual"/>
    <n v="1"/>
    <n v="1"/>
    <n v="76020"/>
    <n v="76020"/>
  </r>
  <r>
    <x v="0"/>
    <n v="25"/>
    <x v="6"/>
    <x v="2"/>
    <x v="2"/>
    <n v="1005"/>
    <x v="7"/>
    <x v="0"/>
    <x v="7"/>
    <n v="3025"/>
    <x v="271"/>
    <n v="0"/>
    <x v="0"/>
    <s v="B 15"/>
    <n v="1"/>
    <n v="1302"/>
    <x v="83"/>
    <s v="Annual"/>
    <n v="1"/>
    <n v="1"/>
    <n v="108576"/>
    <n v="108576"/>
  </r>
  <r>
    <x v="0"/>
    <n v="25"/>
    <x v="6"/>
    <x v="2"/>
    <x v="2"/>
    <n v="1005"/>
    <x v="7"/>
    <x v="0"/>
    <x v="7"/>
    <n v="3025"/>
    <x v="271"/>
    <n v="0"/>
    <x v="0"/>
    <s v="X 23"/>
    <n v="0"/>
    <n v="1246"/>
    <x v="1008"/>
    <s v="Annual"/>
    <n v="1"/>
    <n v="1"/>
    <n v="124848"/>
    <n v="124848"/>
  </r>
  <r>
    <x v="0"/>
    <n v="25"/>
    <x v="6"/>
    <x v="2"/>
    <x v="2"/>
    <n v="1005"/>
    <x v="7"/>
    <x v="0"/>
    <x v="7"/>
    <n v="3025"/>
    <x v="271"/>
    <n v="0"/>
    <x v="0"/>
    <s v="B 15"/>
    <n v="1"/>
    <n v="729"/>
    <x v="32"/>
    <s v="Annual"/>
    <n v="1"/>
    <n v="1"/>
    <n v="89244"/>
    <n v="89244"/>
  </r>
  <r>
    <x v="0"/>
    <n v="25"/>
    <x v="6"/>
    <x v="2"/>
    <x v="2"/>
    <n v="1005"/>
    <x v="7"/>
    <x v="0"/>
    <x v="7"/>
    <n v="3025"/>
    <x v="271"/>
    <n v="0"/>
    <x v="0"/>
    <s v="X 23"/>
    <n v="0"/>
    <n v="442"/>
    <x v="1009"/>
    <s v="Annual"/>
    <n v="1"/>
    <n v="1"/>
    <n v="138840"/>
    <n v="138840"/>
  </r>
  <r>
    <x v="0"/>
    <n v="25"/>
    <x v="6"/>
    <x v="2"/>
    <x v="2"/>
    <n v="1005"/>
    <x v="7"/>
    <x v="0"/>
    <x v="7"/>
    <n v="3025"/>
    <x v="271"/>
    <n v="0"/>
    <x v="0"/>
    <s v="B 13"/>
    <n v="1"/>
    <n v="433"/>
    <x v="1010"/>
    <s v="Annual"/>
    <n v="1"/>
    <n v="1"/>
    <n v="119100"/>
    <n v="119100"/>
  </r>
  <r>
    <x v="0"/>
    <n v="25"/>
    <x v="6"/>
    <x v="2"/>
    <x v="2"/>
    <n v="1005"/>
    <x v="7"/>
    <x v="0"/>
    <x v="7"/>
    <n v="3025"/>
    <x v="271"/>
    <n v="0"/>
    <x v="0"/>
    <s v="B 10"/>
    <n v="1"/>
    <n v="419"/>
    <x v="1011"/>
    <s v="Annual"/>
    <n v="1"/>
    <n v="1"/>
    <n v="58764"/>
    <n v="58764"/>
  </r>
  <r>
    <x v="0"/>
    <n v="25"/>
    <x v="6"/>
    <x v="2"/>
    <x v="2"/>
    <n v="1005"/>
    <x v="7"/>
    <x v="0"/>
    <x v="7"/>
    <n v="3025"/>
    <x v="271"/>
    <n v="0"/>
    <x v="0"/>
    <s v="B 12"/>
    <n v="1"/>
    <s v="03A8"/>
    <x v="88"/>
    <s v="Annual"/>
    <n v="1"/>
    <n v="1"/>
    <n v="98928"/>
    <n v="98928"/>
  </r>
  <r>
    <x v="0"/>
    <n v="25"/>
    <x v="6"/>
    <x v="2"/>
    <x v="2"/>
    <n v="1005"/>
    <x v="7"/>
    <x v="0"/>
    <x v="7"/>
    <n v="3025"/>
    <x v="271"/>
    <n v="0"/>
    <x v="0"/>
    <s v="X 23"/>
    <n v="0"/>
    <s v="03A3"/>
    <x v="237"/>
    <s v="Annual"/>
    <n v="1"/>
    <n v="1"/>
    <n v="133044"/>
    <n v="133044"/>
  </r>
  <r>
    <x v="0"/>
    <n v="25"/>
    <x v="6"/>
    <x v="2"/>
    <x v="2"/>
    <n v="1005"/>
    <x v="7"/>
    <x v="0"/>
    <x v="7"/>
    <n v="3025"/>
    <x v="271"/>
    <n v="0"/>
    <x v="0"/>
    <s v="X 23"/>
    <n v="0"/>
    <s v="03A3"/>
    <x v="237"/>
    <s v="Annual"/>
    <n v="1"/>
    <n v="1"/>
    <n v="110856"/>
    <n v="110856"/>
  </r>
  <r>
    <x v="0"/>
    <n v="25"/>
    <x v="6"/>
    <x v="2"/>
    <x v="2"/>
    <n v="1005"/>
    <x v="7"/>
    <x v="0"/>
    <x v="7"/>
    <n v="3025"/>
    <x v="271"/>
    <n v="0"/>
    <x v="0"/>
    <s v="X 22"/>
    <n v="9"/>
    <n v="315"/>
    <x v="1012"/>
    <s v="Annual"/>
    <n v="1"/>
    <n v="1"/>
    <n v="126396"/>
    <n v="126396"/>
  </r>
  <r>
    <x v="0"/>
    <n v="25"/>
    <x v="6"/>
    <x v="2"/>
    <x v="2"/>
    <n v="1005"/>
    <x v="7"/>
    <x v="0"/>
    <x v="7"/>
    <n v="3025"/>
    <x v="271"/>
    <n v="0"/>
    <x v="0"/>
    <s v="BX 18"/>
    <n v="10"/>
    <n v="310"/>
    <x v="135"/>
    <s v="Annual"/>
    <n v="1"/>
    <n v="1"/>
    <n v="89112"/>
    <n v="89112"/>
  </r>
  <r>
    <x v="0"/>
    <n v="25"/>
    <x v="6"/>
    <x v="2"/>
    <x v="2"/>
    <n v="1005"/>
    <x v="7"/>
    <x v="0"/>
    <x v="7"/>
    <n v="3025"/>
    <x v="271"/>
    <n v="0"/>
    <x v="0"/>
    <s v="B 13"/>
    <n v="1"/>
    <n v="308"/>
    <x v="90"/>
    <s v="Annual"/>
    <n v="1"/>
    <n v="1"/>
    <n v="68616"/>
    <n v="68616"/>
  </r>
  <r>
    <x v="0"/>
    <n v="25"/>
    <x v="6"/>
    <x v="2"/>
    <x v="2"/>
    <n v="1005"/>
    <x v="7"/>
    <x v="0"/>
    <x v="7"/>
    <n v="3025"/>
    <x v="271"/>
    <n v="0"/>
    <x v="0"/>
    <s v="BX 15"/>
    <n v="10"/>
    <n v="248"/>
    <x v="277"/>
    <s v="Annual"/>
    <n v="2"/>
    <n v="1"/>
    <n v="113568"/>
    <n v="227136"/>
  </r>
  <r>
    <x v="0"/>
    <n v="25"/>
    <x v="6"/>
    <x v="2"/>
    <x v="2"/>
    <n v="1005"/>
    <x v="7"/>
    <x v="0"/>
    <x v="7"/>
    <n v="3025"/>
    <x v="271"/>
    <n v="0"/>
    <x v="0"/>
    <s v="B 10"/>
    <n v="1"/>
    <n v="236"/>
    <x v="1013"/>
    <s v="Annual"/>
    <n v="2"/>
    <n v="1"/>
    <n v="90144"/>
    <n v="180288"/>
  </r>
  <r>
    <x v="0"/>
    <n v="25"/>
    <x v="6"/>
    <x v="2"/>
    <x v="2"/>
    <n v="1005"/>
    <x v="7"/>
    <x v="0"/>
    <x v="7"/>
    <n v="3025"/>
    <x v="271"/>
    <n v="0"/>
    <x v="0"/>
    <s v="B 10"/>
    <n v="1"/>
    <n v="236"/>
    <x v="1013"/>
    <s v="Annual"/>
    <n v="1"/>
    <n v="1"/>
    <n v="68256"/>
    <n v="68256"/>
  </r>
  <r>
    <x v="0"/>
    <n v="25"/>
    <x v="6"/>
    <x v="2"/>
    <x v="2"/>
    <n v="1005"/>
    <x v="7"/>
    <x v="0"/>
    <x v="7"/>
    <n v="3025"/>
    <x v="271"/>
    <n v="0"/>
    <x v="0"/>
    <s v="B 10"/>
    <n v="1"/>
    <n v="236"/>
    <x v="1013"/>
    <s v="Annual"/>
    <n v="1"/>
    <n v="1"/>
    <n v="51936"/>
    <n v="51936"/>
  </r>
  <r>
    <x v="0"/>
    <n v="25"/>
    <x v="6"/>
    <x v="2"/>
    <x v="2"/>
    <n v="1005"/>
    <x v="7"/>
    <x v="0"/>
    <x v="7"/>
    <n v="3025"/>
    <x v="271"/>
    <n v="0"/>
    <x v="0"/>
    <s v="B 10"/>
    <n v="1"/>
    <n v="235"/>
    <x v="279"/>
    <s v="Annual"/>
    <n v="4"/>
    <n v="1"/>
    <n v="90144"/>
    <n v="360576"/>
  </r>
  <r>
    <x v="0"/>
    <n v="25"/>
    <x v="6"/>
    <x v="2"/>
    <x v="2"/>
    <n v="1005"/>
    <x v="7"/>
    <x v="0"/>
    <x v="7"/>
    <n v="3025"/>
    <x v="271"/>
    <n v="0"/>
    <x v="0"/>
    <s v="B 10"/>
    <n v="1"/>
    <n v="235"/>
    <x v="279"/>
    <s v="Annual"/>
    <n v="1"/>
    <n v="1"/>
    <n v="74916"/>
    <n v="74916"/>
  </r>
  <r>
    <x v="0"/>
    <n v="25"/>
    <x v="6"/>
    <x v="2"/>
    <x v="2"/>
    <n v="1005"/>
    <x v="7"/>
    <x v="0"/>
    <x v="7"/>
    <n v="3025"/>
    <x v="271"/>
    <n v="0"/>
    <x v="0"/>
    <s v="B 10"/>
    <n v="1"/>
    <n v="235"/>
    <x v="279"/>
    <s v="Annual"/>
    <n v="1"/>
    <n v="1"/>
    <n v="68256"/>
    <n v="68256"/>
  </r>
  <r>
    <x v="0"/>
    <n v="25"/>
    <x v="6"/>
    <x v="2"/>
    <x v="2"/>
    <n v="1005"/>
    <x v="7"/>
    <x v="0"/>
    <x v="7"/>
    <n v="3025"/>
    <x v="271"/>
    <n v="0"/>
    <x v="0"/>
    <s v="B 10"/>
    <n v="1"/>
    <n v="235"/>
    <x v="279"/>
    <s v="Annual"/>
    <n v="3"/>
    <n v="1"/>
    <n v="64488"/>
    <n v="193464"/>
  </r>
  <r>
    <x v="0"/>
    <n v="25"/>
    <x v="6"/>
    <x v="2"/>
    <x v="2"/>
    <n v="1005"/>
    <x v="7"/>
    <x v="0"/>
    <x v="7"/>
    <n v="3025"/>
    <x v="271"/>
    <n v="0"/>
    <x v="0"/>
    <s v="B 10"/>
    <n v="1"/>
    <n v="235"/>
    <x v="279"/>
    <s v="Annual"/>
    <n v="3"/>
    <n v="1"/>
    <n v="56124"/>
    <n v="168372"/>
  </r>
  <r>
    <x v="0"/>
    <n v="25"/>
    <x v="6"/>
    <x v="2"/>
    <x v="2"/>
    <n v="1005"/>
    <x v="7"/>
    <x v="0"/>
    <x v="7"/>
    <n v="3025"/>
    <x v="271"/>
    <n v="0"/>
    <x v="0"/>
    <s v="B 10"/>
    <n v="1"/>
    <n v="235"/>
    <x v="279"/>
    <s v="Annual"/>
    <n v="5"/>
    <n v="1"/>
    <n v="51936"/>
    <n v="259680"/>
  </r>
  <r>
    <x v="0"/>
    <n v="25"/>
    <x v="6"/>
    <x v="2"/>
    <x v="2"/>
    <n v="1005"/>
    <x v="7"/>
    <x v="0"/>
    <x v="7"/>
    <n v="3025"/>
    <x v="271"/>
    <n v="0"/>
    <x v="0"/>
    <s v="1 00"/>
    <n v="0"/>
    <n v="15"/>
    <x v="37"/>
    <s v="Annual"/>
    <n v="0"/>
    <n v="0"/>
    <n v="30402"/>
    <n v="30402"/>
  </r>
  <r>
    <x v="0"/>
    <n v="25"/>
    <x v="6"/>
    <x v="2"/>
    <x v="2"/>
    <n v="1005"/>
    <x v="7"/>
    <x v="0"/>
    <x v="7"/>
    <n v="3030"/>
    <x v="272"/>
    <n v="0"/>
    <x v="0"/>
    <s v="X 22"/>
    <n v="9"/>
    <n v="9674"/>
    <x v="76"/>
    <s v="Annual"/>
    <n v="1"/>
    <n v="1"/>
    <n v="151884"/>
    <n v="151884"/>
  </r>
  <r>
    <x v="0"/>
    <n v="25"/>
    <x v="6"/>
    <x v="2"/>
    <x v="2"/>
    <n v="1005"/>
    <x v="7"/>
    <x v="0"/>
    <x v="7"/>
    <n v="3030"/>
    <x v="272"/>
    <n v="0"/>
    <x v="0"/>
    <s v="B 13"/>
    <n v="1"/>
    <n v="6409"/>
    <x v="466"/>
    <s v="Annual"/>
    <n v="1"/>
    <n v="1"/>
    <n v="74172"/>
    <n v="74172"/>
  </r>
  <r>
    <x v="0"/>
    <n v="25"/>
    <x v="6"/>
    <x v="2"/>
    <x v="2"/>
    <n v="1005"/>
    <x v="7"/>
    <x v="0"/>
    <x v="7"/>
    <n v="3030"/>
    <x v="272"/>
    <n v="0"/>
    <x v="0"/>
    <s v="X 23"/>
    <n v="0"/>
    <n v="1246"/>
    <x v="1008"/>
    <s v="Annual"/>
    <n v="1"/>
    <n v="1"/>
    <n v="133044"/>
    <n v="133044"/>
  </r>
  <r>
    <x v="0"/>
    <n v="25"/>
    <x v="6"/>
    <x v="2"/>
    <x v="2"/>
    <n v="1005"/>
    <x v="7"/>
    <x v="0"/>
    <x v="7"/>
    <n v="3030"/>
    <x v="272"/>
    <n v="0"/>
    <x v="0"/>
    <s v="B 10"/>
    <n v="1"/>
    <n v="419"/>
    <x v="1011"/>
    <s v="Annual"/>
    <n v="1"/>
    <n v="1"/>
    <n v="71436"/>
    <n v="71436"/>
  </r>
  <r>
    <x v="0"/>
    <n v="25"/>
    <x v="6"/>
    <x v="2"/>
    <x v="2"/>
    <n v="1005"/>
    <x v="7"/>
    <x v="0"/>
    <x v="7"/>
    <n v="3030"/>
    <x v="272"/>
    <n v="0"/>
    <x v="0"/>
    <s v="B 10"/>
    <n v="1"/>
    <n v="419"/>
    <x v="1011"/>
    <s v="Annual"/>
    <n v="1"/>
    <n v="1"/>
    <n v="68256"/>
    <n v="68256"/>
  </r>
  <r>
    <x v="0"/>
    <n v="25"/>
    <x v="6"/>
    <x v="2"/>
    <x v="2"/>
    <n v="1005"/>
    <x v="7"/>
    <x v="0"/>
    <x v="7"/>
    <n v="3030"/>
    <x v="272"/>
    <n v="0"/>
    <x v="0"/>
    <s v="B 10"/>
    <n v="1"/>
    <n v="419"/>
    <x v="1011"/>
    <s v="Annual"/>
    <n v="1"/>
    <n v="1"/>
    <n v="58764"/>
    <n v="58764"/>
  </r>
  <r>
    <x v="0"/>
    <n v="25"/>
    <x v="6"/>
    <x v="2"/>
    <x v="2"/>
    <n v="1005"/>
    <x v="7"/>
    <x v="0"/>
    <x v="7"/>
    <n v="3030"/>
    <x v="272"/>
    <n v="0"/>
    <x v="0"/>
    <s v="B 10"/>
    <n v="1"/>
    <n v="419"/>
    <x v="1011"/>
    <s v="Annual"/>
    <n v="1"/>
    <n v="1"/>
    <n v="51936"/>
    <n v="51936"/>
  </r>
  <r>
    <x v="0"/>
    <n v="25"/>
    <x v="6"/>
    <x v="2"/>
    <x v="2"/>
    <n v="1005"/>
    <x v="7"/>
    <x v="0"/>
    <x v="7"/>
    <n v="3030"/>
    <x v="272"/>
    <n v="0"/>
    <x v="0"/>
    <s v="B 12"/>
    <n v="1"/>
    <s v="03A8"/>
    <x v="88"/>
    <s v="Annual"/>
    <n v="1"/>
    <n v="1"/>
    <n v="64488"/>
    <n v="64488"/>
  </r>
  <r>
    <x v="0"/>
    <n v="25"/>
    <x v="6"/>
    <x v="2"/>
    <x v="2"/>
    <n v="1005"/>
    <x v="7"/>
    <x v="0"/>
    <x v="7"/>
    <n v="3030"/>
    <x v="272"/>
    <n v="0"/>
    <x v="0"/>
    <s v="B 10"/>
    <n v="1"/>
    <s v="03A7"/>
    <x v="4"/>
    <s v="Annual"/>
    <n v="1"/>
    <n v="1"/>
    <n v="58764"/>
    <n v="58764"/>
  </r>
  <r>
    <x v="0"/>
    <n v="25"/>
    <x v="6"/>
    <x v="2"/>
    <x v="2"/>
    <n v="1005"/>
    <x v="7"/>
    <x v="0"/>
    <x v="7"/>
    <n v="3030"/>
    <x v="272"/>
    <n v="0"/>
    <x v="0"/>
    <s v="X 23"/>
    <n v="0"/>
    <s v="03A3"/>
    <x v="237"/>
    <s v="Annual"/>
    <n v="1"/>
    <n v="1"/>
    <n v="133044"/>
    <n v="133044"/>
  </r>
  <r>
    <x v="0"/>
    <n v="25"/>
    <x v="6"/>
    <x v="2"/>
    <x v="2"/>
    <n v="1005"/>
    <x v="7"/>
    <x v="0"/>
    <x v="7"/>
    <n v="3030"/>
    <x v="272"/>
    <n v="0"/>
    <x v="0"/>
    <s v="X 23"/>
    <n v="0"/>
    <s v="03A3"/>
    <x v="237"/>
    <s v="Annual"/>
    <n v="1"/>
    <n v="1"/>
    <n v="110856"/>
    <n v="110856"/>
  </r>
  <r>
    <x v="0"/>
    <n v="25"/>
    <x v="6"/>
    <x v="2"/>
    <x v="2"/>
    <n v="1005"/>
    <x v="7"/>
    <x v="0"/>
    <x v="7"/>
    <n v="3030"/>
    <x v="272"/>
    <n v="0"/>
    <x v="0"/>
    <s v="BX 18"/>
    <n v="10"/>
    <n v="310"/>
    <x v="135"/>
    <s v="Annual"/>
    <n v="1"/>
    <n v="1"/>
    <n v="102444"/>
    <n v="102444"/>
  </r>
  <r>
    <x v="0"/>
    <n v="25"/>
    <x v="6"/>
    <x v="2"/>
    <x v="2"/>
    <n v="1005"/>
    <x v="7"/>
    <x v="0"/>
    <x v="7"/>
    <n v="3030"/>
    <x v="272"/>
    <n v="0"/>
    <x v="0"/>
    <s v="BX 18"/>
    <n v="10"/>
    <n v="310"/>
    <x v="135"/>
    <s v="Annual"/>
    <n v="1"/>
    <n v="1"/>
    <n v="97836"/>
    <n v="97836"/>
  </r>
  <r>
    <x v="0"/>
    <n v="25"/>
    <x v="6"/>
    <x v="2"/>
    <x v="2"/>
    <n v="1005"/>
    <x v="7"/>
    <x v="0"/>
    <x v="7"/>
    <n v="3030"/>
    <x v="272"/>
    <n v="0"/>
    <x v="0"/>
    <s v="1 00"/>
    <n v="0"/>
    <n v="15"/>
    <x v="37"/>
    <s v="Annual"/>
    <n v="0"/>
    <n v="0"/>
    <n v="14559"/>
    <n v="14559"/>
  </r>
  <r>
    <x v="0"/>
    <n v="25"/>
    <x v="6"/>
    <x v="2"/>
    <x v="2"/>
    <n v="1005"/>
    <x v="7"/>
    <x v="0"/>
    <x v="7"/>
    <n v="3035"/>
    <x v="273"/>
    <n v="0"/>
    <x v="0"/>
    <s v="BX 17"/>
    <n v="10"/>
    <n v="1256"/>
    <x v="293"/>
    <s v="Annual"/>
    <n v="1"/>
    <n v="1"/>
    <n v="93384"/>
    <n v="93384"/>
  </r>
  <r>
    <x v="0"/>
    <n v="25"/>
    <x v="6"/>
    <x v="2"/>
    <x v="2"/>
    <n v="1005"/>
    <x v="7"/>
    <x v="0"/>
    <x v="7"/>
    <n v="3035"/>
    <x v="273"/>
    <n v="0"/>
    <x v="0"/>
    <s v="B 10"/>
    <n v="1"/>
    <n v="1232"/>
    <x v="1014"/>
    <s v="Annual"/>
    <n v="2"/>
    <n v="1"/>
    <n v="90144"/>
    <n v="180288"/>
  </r>
  <r>
    <x v="0"/>
    <n v="25"/>
    <x v="6"/>
    <x v="2"/>
    <x v="2"/>
    <n v="1005"/>
    <x v="7"/>
    <x v="0"/>
    <x v="7"/>
    <n v="3035"/>
    <x v="273"/>
    <n v="0"/>
    <x v="0"/>
    <s v="B 10"/>
    <n v="1"/>
    <n v="1232"/>
    <x v="1014"/>
    <s v="Annual"/>
    <n v="1"/>
    <n v="1"/>
    <n v="78432"/>
    <n v="78432"/>
  </r>
  <r>
    <x v="0"/>
    <n v="25"/>
    <x v="6"/>
    <x v="2"/>
    <x v="2"/>
    <n v="1005"/>
    <x v="7"/>
    <x v="0"/>
    <x v="7"/>
    <n v="3035"/>
    <x v="273"/>
    <n v="0"/>
    <x v="0"/>
    <s v="1 00"/>
    <n v="0"/>
    <n v="15"/>
    <x v="37"/>
    <s v="Annual"/>
    <n v="0"/>
    <n v="0"/>
    <n v="3154"/>
    <n v="3154"/>
  </r>
  <r>
    <x v="0"/>
    <n v="25"/>
    <x v="6"/>
    <x v="2"/>
    <x v="2"/>
    <n v="1005"/>
    <x v="7"/>
    <x v="0"/>
    <x v="7"/>
    <n v="3040"/>
    <x v="274"/>
    <n v="0"/>
    <x v="0"/>
    <s v="B 12"/>
    <n v="1"/>
    <n v="691"/>
    <x v="1015"/>
    <s v="Annual"/>
    <n v="1"/>
    <n v="1"/>
    <n v="108576"/>
    <n v="108576"/>
  </r>
  <r>
    <x v="0"/>
    <n v="25"/>
    <x v="6"/>
    <x v="2"/>
    <x v="2"/>
    <n v="1005"/>
    <x v="7"/>
    <x v="0"/>
    <x v="7"/>
    <n v="3040"/>
    <x v="274"/>
    <n v="0"/>
    <x v="0"/>
    <s v="B 09"/>
    <n v="1"/>
    <n v="460"/>
    <x v="344"/>
    <s v="Annual"/>
    <n v="1"/>
    <n v="1"/>
    <n v="82140"/>
    <n v="82140"/>
  </r>
  <r>
    <x v="0"/>
    <n v="27"/>
    <x v="7"/>
    <x v="2"/>
    <x v="2"/>
    <n v="1005"/>
    <x v="8"/>
    <x v="5"/>
    <x v="10"/>
    <n v="3016"/>
    <x v="45"/>
    <n v="4006"/>
    <x v="6"/>
    <s v="X 32"/>
    <n v="9"/>
    <n v="9684"/>
    <x v="76"/>
    <s v="Annual"/>
    <n v="1"/>
    <n v="1"/>
    <n v="175512"/>
    <n v="175512"/>
  </r>
  <r>
    <x v="0"/>
    <n v="27"/>
    <x v="7"/>
    <x v="2"/>
    <x v="2"/>
    <n v="1005"/>
    <x v="8"/>
    <x v="5"/>
    <x v="10"/>
    <n v="3016"/>
    <x v="45"/>
    <n v="4006"/>
    <x v="6"/>
    <s v="X 32"/>
    <n v="9"/>
    <n v="9651"/>
    <x v="241"/>
    <s v="Annual"/>
    <n v="1"/>
    <n v="1"/>
    <n v="139140"/>
    <n v="139140"/>
  </r>
  <r>
    <x v="0"/>
    <n v="27"/>
    <x v="7"/>
    <x v="2"/>
    <x v="2"/>
    <n v="1005"/>
    <x v="8"/>
    <x v="5"/>
    <x v="10"/>
    <n v="3016"/>
    <x v="45"/>
    <n v="4006"/>
    <x v="6"/>
    <s v="X 33"/>
    <n v="9"/>
    <n v="313"/>
    <x v="220"/>
    <s v="Annual"/>
    <n v="1"/>
    <n v="1"/>
    <n v="146808"/>
    <n v="146808"/>
  </r>
  <r>
    <x v="0"/>
    <n v="27"/>
    <x v="7"/>
    <x v="2"/>
    <x v="2"/>
    <n v="1005"/>
    <x v="8"/>
    <x v="5"/>
    <x v="10"/>
    <n v="3016"/>
    <x v="45"/>
    <n v="4006"/>
    <x v="6"/>
    <s v="BX 18"/>
    <n v="10"/>
    <n v="311"/>
    <x v="253"/>
    <s v="Annual"/>
    <n v="2"/>
    <n v="1"/>
    <n v="113568"/>
    <n v="227136"/>
  </r>
  <r>
    <x v="0"/>
    <n v="27"/>
    <x v="7"/>
    <x v="2"/>
    <x v="2"/>
    <n v="1005"/>
    <x v="8"/>
    <x v="5"/>
    <x v="10"/>
    <n v="3016"/>
    <x v="45"/>
    <n v="4006"/>
    <x v="6"/>
    <s v="1 00"/>
    <n v="0"/>
    <n v="15"/>
    <x v="37"/>
    <s v="Annual"/>
    <n v="0"/>
    <n v="0"/>
    <n v="8615"/>
    <n v="8615"/>
  </r>
  <r>
    <x v="0"/>
    <n v="27"/>
    <x v="7"/>
    <x v="2"/>
    <x v="2"/>
    <n v="1005"/>
    <x v="8"/>
    <x v="6"/>
    <x v="11"/>
    <n v="3154"/>
    <x v="47"/>
    <n v="4641"/>
    <x v="13"/>
    <s v="B 12"/>
    <n v="1"/>
    <s v="03A8"/>
    <x v="88"/>
    <s v="Annual"/>
    <n v="1"/>
    <n v="1"/>
    <n v="108576"/>
    <n v="108576"/>
  </r>
  <r>
    <x v="0"/>
    <n v="27"/>
    <x v="7"/>
    <x v="2"/>
    <x v="2"/>
    <n v="1005"/>
    <x v="8"/>
    <x v="6"/>
    <x v="11"/>
    <n v="3154"/>
    <x v="47"/>
    <n v="4641"/>
    <x v="13"/>
    <s v="B 12"/>
    <n v="1"/>
    <s v="03A8"/>
    <x v="88"/>
    <s v="Annual"/>
    <n v="1"/>
    <n v="1"/>
    <n v="70752"/>
    <n v="70752"/>
  </r>
  <r>
    <x v="0"/>
    <n v="27"/>
    <x v="7"/>
    <x v="2"/>
    <x v="2"/>
    <n v="1005"/>
    <x v="8"/>
    <x v="6"/>
    <x v="11"/>
    <n v="3154"/>
    <x v="47"/>
    <n v="4641"/>
    <x v="13"/>
    <s v="B 10"/>
    <n v="1"/>
    <n v="235"/>
    <x v="279"/>
    <s v="Annual"/>
    <n v="1"/>
    <n v="1"/>
    <n v="51936"/>
    <n v="51936"/>
  </r>
  <r>
    <x v="0"/>
    <n v="27"/>
    <x v="7"/>
    <x v="2"/>
    <x v="2"/>
    <n v="1005"/>
    <x v="8"/>
    <x v="6"/>
    <x v="11"/>
    <n v="3154"/>
    <x v="47"/>
    <n v="4642"/>
    <x v="14"/>
    <s v="B 10"/>
    <n v="1"/>
    <n v="236"/>
    <x v="1013"/>
    <s v="Annual"/>
    <n v="1"/>
    <n v="1"/>
    <n v="90144"/>
    <n v="90144"/>
  </r>
  <r>
    <x v="0"/>
    <n v="27"/>
    <x v="7"/>
    <x v="2"/>
    <x v="2"/>
    <n v="1005"/>
    <x v="8"/>
    <x v="6"/>
    <x v="11"/>
    <n v="3154"/>
    <x v="47"/>
    <n v="4642"/>
    <x v="14"/>
    <s v="B 10"/>
    <n v="1"/>
    <n v="236"/>
    <x v="1013"/>
    <s v="Annual"/>
    <n v="2"/>
    <n v="1"/>
    <n v="56124"/>
    <n v="112248"/>
  </r>
  <r>
    <x v="0"/>
    <n v="27"/>
    <x v="7"/>
    <x v="2"/>
    <x v="2"/>
    <n v="1005"/>
    <x v="8"/>
    <x v="6"/>
    <x v="11"/>
    <n v="3154"/>
    <x v="47"/>
    <n v="4642"/>
    <x v="14"/>
    <s v="1 00"/>
    <n v="0"/>
    <n v="15"/>
    <x v="37"/>
    <s v="Annual"/>
    <n v="0"/>
    <n v="0"/>
    <n v="3089"/>
    <n v="3089"/>
  </r>
  <r>
    <x v="0"/>
    <n v="27"/>
    <x v="7"/>
    <x v="2"/>
    <x v="2"/>
    <n v="1005"/>
    <x v="8"/>
    <x v="6"/>
    <x v="11"/>
    <n v="3220"/>
    <x v="50"/>
    <n v="4202"/>
    <x v="21"/>
    <s v="B 10"/>
    <n v="1"/>
    <s v="03A7"/>
    <x v="4"/>
    <s v="Annual"/>
    <n v="1"/>
    <n v="1"/>
    <n v="51936"/>
    <n v="51936"/>
  </r>
  <r>
    <x v="0"/>
    <n v="31"/>
    <x v="10"/>
    <x v="2"/>
    <x v="2"/>
    <n v="1005"/>
    <x v="11"/>
    <x v="0"/>
    <x v="14"/>
    <n v="3019"/>
    <x v="59"/>
    <n v="4326"/>
    <x v="34"/>
    <s v="L 05"/>
    <n v="9"/>
    <n v="1641"/>
    <x v="337"/>
    <s v="Annual"/>
    <n v="1"/>
    <n v="1"/>
    <n v="164100"/>
    <n v="164100"/>
  </r>
  <r>
    <x v="0"/>
    <n v="31"/>
    <x v="10"/>
    <x v="2"/>
    <x v="2"/>
    <n v="1005"/>
    <x v="11"/>
    <x v="0"/>
    <x v="14"/>
    <n v="3039"/>
    <x v="67"/>
    <n v="4341"/>
    <x v="41"/>
    <s v="LX 03"/>
    <n v="9"/>
    <n v="1652"/>
    <x v="336"/>
    <s v="Annual"/>
    <n v="1"/>
    <n v="1"/>
    <n v="133836"/>
    <n v="133836"/>
  </r>
  <r>
    <x v="0"/>
    <n v="31"/>
    <x v="10"/>
    <x v="2"/>
    <x v="2"/>
    <n v="1005"/>
    <x v="11"/>
    <x v="0"/>
    <x v="14"/>
    <n v="3039"/>
    <x v="67"/>
    <n v="4341"/>
    <x v="41"/>
    <s v="L 01"/>
    <n v="9"/>
    <n v="1643"/>
    <x v="340"/>
    <s v="Annual"/>
    <n v="2"/>
    <n v="1"/>
    <n v="130128"/>
    <n v="260256"/>
  </r>
  <r>
    <x v="0"/>
    <n v="31"/>
    <x v="10"/>
    <x v="2"/>
    <x v="2"/>
    <n v="1005"/>
    <x v="11"/>
    <x v="0"/>
    <x v="14"/>
    <n v="3039"/>
    <x v="67"/>
    <n v="4341"/>
    <x v="41"/>
    <s v="L 01"/>
    <n v="9"/>
    <n v="1643"/>
    <x v="340"/>
    <s v="Annual"/>
    <n v="1"/>
    <n v="1"/>
    <n v="108084"/>
    <n v="108084"/>
  </r>
  <r>
    <x v="0"/>
    <n v="31"/>
    <x v="10"/>
    <x v="2"/>
    <x v="2"/>
    <n v="1005"/>
    <x v="11"/>
    <x v="0"/>
    <x v="14"/>
    <n v="3039"/>
    <x v="67"/>
    <n v="4341"/>
    <x v="41"/>
    <s v="L 01"/>
    <n v="9"/>
    <n v="1643"/>
    <x v="340"/>
    <s v="Annual"/>
    <n v="3"/>
    <n v="1"/>
    <n v="98484"/>
    <n v="295452"/>
  </r>
  <r>
    <x v="0"/>
    <n v="31"/>
    <x v="10"/>
    <x v="2"/>
    <x v="2"/>
    <n v="1005"/>
    <x v="11"/>
    <x v="0"/>
    <x v="14"/>
    <n v="3039"/>
    <x v="67"/>
    <n v="4341"/>
    <x v="41"/>
    <s v="L 01"/>
    <n v="9"/>
    <n v="1643"/>
    <x v="340"/>
    <s v="Annual"/>
    <n v="1"/>
    <n v="1"/>
    <n v="81816"/>
    <n v="81816"/>
  </r>
  <r>
    <x v="0"/>
    <n v="31"/>
    <x v="10"/>
    <x v="2"/>
    <x v="2"/>
    <n v="1005"/>
    <x v="11"/>
    <x v="0"/>
    <x v="14"/>
    <n v="3039"/>
    <x v="67"/>
    <n v="4341"/>
    <x v="41"/>
    <s v="L 05"/>
    <n v="9"/>
    <n v="1641"/>
    <x v="337"/>
    <s v="Annual"/>
    <n v="1"/>
    <n v="1"/>
    <n v="156648"/>
    <n v="156648"/>
  </r>
  <r>
    <x v="0"/>
    <n v="31"/>
    <x v="10"/>
    <x v="2"/>
    <x v="2"/>
    <n v="1005"/>
    <x v="11"/>
    <x v="0"/>
    <x v="14"/>
    <n v="3039"/>
    <x v="67"/>
    <n v="4341"/>
    <x v="41"/>
    <s v="L 05"/>
    <n v="9"/>
    <n v="1641"/>
    <x v="337"/>
    <s v="Annual"/>
    <n v="1"/>
    <n v="1"/>
    <n v="118596"/>
    <n v="118596"/>
  </r>
  <r>
    <x v="0"/>
    <n v="31"/>
    <x v="10"/>
    <x v="2"/>
    <x v="2"/>
    <n v="1005"/>
    <x v="11"/>
    <x v="0"/>
    <x v="14"/>
    <n v="3039"/>
    <x v="67"/>
    <n v="4341"/>
    <x v="41"/>
    <s v="4 00"/>
    <n v="9"/>
    <n v="1631"/>
    <x v="350"/>
    <s v="Hourly"/>
    <n v="23510"/>
    <n v="0"/>
    <n v="15.8"/>
    <n v="371458"/>
  </r>
  <r>
    <x v="0"/>
    <n v="31"/>
    <x v="10"/>
    <x v="2"/>
    <x v="2"/>
    <n v="1005"/>
    <x v="11"/>
    <x v="0"/>
    <x v="14"/>
    <n v="3039"/>
    <x v="67"/>
    <n v="4341"/>
    <x v="41"/>
    <s v="BX 16"/>
    <n v="10"/>
    <n v="1619"/>
    <x v="341"/>
    <s v="Annual"/>
    <n v="1"/>
    <n v="1"/>
    <n v="83052"/>
    <n v="83052"/>
  </r>
  <r>
    <x v="0"/>
    <n v="31"/>
    <x v="10"/>
    <x v="2"/>
    <x v="2"/>
    <n v="1005"/>
    <x v="11"/>
    <x v="0"/>
    <x v="14"/>
    <n v="3039"/>
    <x v="67"/>
    <n v="4341"/>
    <x v="41"/>
    <s v="B 13"/>
    <n v="1"/>
    <n v="308"/>
    <x v="90"/>
    <s v="Annual"/>
    <n v="1"/>
    <n v="1"/>
    <n v="119100"/>
    <n v="119100"/>
  </r>
  <r>
    <x v="0"/>
    <n v="31"/>
    <x v="10"/>
    <x v="2"/>
    <x v="2"/>
    <n v="1005"/>
    <x v="11"/>
    <x v="0"/>
    <x v="14"/>
    <n v="3039"/>
    <x v="67"/>
    <n v="4341"/>
    <x v="41"/>
    <s v="1 00"/>
    <n v="0"/>
    <n v="15"/>
    <x v="37"/>
    <s v="Annual"/>
    <n v="0"/>
    <n v="0"/>
    <n v="2279"/>
    <n v="2279"/>
  </r>
  <r>
    <x v="0"/>
    <n v="31"/>
    <x v="10"/>
    <x v="2"/>
    <x v="2"/>
    <n v="1005"/>
    <x v="11"/>
    <x v="0"/>
    <x v="14"/>
    <n v="3049"/>
    <x v="71"/>
    <n v="0"/>
    <x v="0"/>
    <s v="L 01"/>
    <n v="9"/>
    <n v="1643"/>
    <x v="340"/>
    <s v="Annual"/>
    <n v="1"/>
    <n v="1"/>
    <n v="103176"/>
    <n v="103176"/>
  </r>
  <r>
    <x v="0"/>
    <n v="31"/>
    <x v="10"/>
    <x v="2"/>
    <x v="2"/>
    <n v="1005"/>
    <x v="11"/>
    <x v="0"/>
    <x v="14"/>
    <n v="3349"/>
    <x v="71"/>
    <n v="0"/>
    <x v="0"/>
    <s v="L 01"/>
    <n v="9"/>
    <n v="1643"/>
    <x v="340"/>
    <s v="Annual"/>
    <n v="1"/>
    <n v="1"/>
    <n v="103176"/>
    <n v="103176"/>
  </r>
  <r>
    <x v="0"/>
    <n v="31"/>
    <x v="10"/>
    <x v="2"/>
    <x v="2"/>
    <n v="1005"/>
    <x v="11"/>
    <x v="0"/>
    <x v="14"/>
    <n v="3349"/>
    <x v="71"/>
    <n v="0"/>
    <x v="0"/>
    <s v="L 01"/>
    <n v="9"/>
    <n v="1643"/>
    <x v="340"/>
    <s v="Annual"/>
    <n v="1"/>
    <n v="1"/>
    <n v="89784"/>
    <n v="89784"/>
  </r>
  <r>
    <x v="0"/>
    <n v="31"/>
    <x v="10"/>
    <x v="2"/>
    <x v="2"/>
    <n v="1005"/>
    <x v="11"/>
    <x v="0"/>
    <x v="14"/>
    <n v="3349"/>
    <x v="71"/>
    <n v="0"/>
    <x v="0"/>
    <s v="1 00"/>
    <n v="0"/>
    <n v="15"/>
    <x v="37"/>
    <s v="Annual"/>
    <n v="0"/>
    <n v="0"/>
    <n v="2250"/>
    <n v="2250"/>
  </r>
  <r>
    <x v="0"/>
    <n v="33"/>
    <x v="11"/>
    <x v="2"/>
    <x v="2"/>
    <n v="1005"/>
    <x v="12"/>
    <x v="0"/>
    <x v="15"/>
    <n v="3040"/>
    <x v="78"/>
    <n v="4046"/>
    <x v="49"/>
    <s v="G 05"/>
    <n v="1"/>
    <n v="1357"/>
    <x v="378"/>
    <s v="Annual"/>
    <n v="1"/>
    <n v="1"/>
    <n v="74160"/>
    <n v="74160"/>
  </r>
  <r>
    <x v="0"/>
    <n v="35"/>
    <x v="12"/>
    <x v="2"/>
    <x v="2"/>
    <n v="1005"/>
    <x v="13"/>
    <x v="0"/>
    <x v="16"/>
    <n v="3012"/>
    <x v="81"/>
    <n v="4110"/>
    <x v="263"/>
    <s v="BX 18"/>
    <n v="0"/>
    <n v="1508"/>
    <x v="395"/>
    <s v="Annual"/>
    <n v="1"/>
    <n v="1"/>
    <n v="93384"/>
    <n v="93384"/>
  </r>
  <r>
    <x v="0"/>
    <n v="35"/>
    <x v="12"/>
    <x v="2"/>
    <x v="2"/>
    <n v="1005"/>
    <x v="13"/>
    <x v="0"/>
    <x v="16"/>
    <n v="3012"/>
    <x v="81"/>
    <n v="4110"/>
    <x v="263"/>
    <s v="BX 18"/>
    <n v="0"/>
    <n v="1508"/>
    <x v="395"/>
    <s v="Annual"/>
    <n v="1"/>
    <n v="1"/>
    <n v="89112"/>
    <n v="89112"/>
  </r>
  <r>
    <x v="0"/>
    <n v="35"/>
    <x v="12"/>
    <x v="2"/>
    <x v="2"/>
    <n v="1005"/>
    <x v="13"/>
    <x v="0"/>
    <x v="16"/>
    <n v="3012"/>
    <x v="81"/>
    <n v="4110"/>
    <x v="263"/>
    <s v="1 00"/>
    <n v="0"/>
    <n v="15"/>
    <x v="37"/>
    <s v="Annual"/>
    <n v="0"/>
    <n v="0"/>
    <n v="6032"/>
    <n v="6032"/>
  </r>
  <r>
    <x v="0"/>
    <n v="67"/>
    <x v="27"/>
    <x v="2"/>
    <x v="2"/>
    <n v="1005"/>
    <x v="28"/>
    <x v="0"/>
    <x v="47"/>
    <n v="3006"/>
    <x v="22"/>
    <n v="4001"/>
    <x v="177"/>
    <s v="X 32"/>
    <n v="9"/>
    <n v="9679"/>
    <x v="81"/>
    <s v="Annual"/>
    <n v="1"/>
    <n v="1"/>
    <n v="167964"/>
    <n v="167964"/>
  </r>
  <r>
    <x v="0"/>
    <n v="67"/>
    <x v="27"/>
    <x v="2"/>
    <x v="2"/>
    <n v="1005"/>
    <x v="28"/>
    <x v="0"/>
    <x v="47"/>
    <n v="3006"/>
    <x v="22"/>
    <n v="4001"/>
    <x v="177"/>
    <s v="BX 16"/>
    <n v="10"/>
    <n v="802"/>
    <x v="30"/>
    <s v="Annual"/>
    <n v="1"/>
    <n v="1"/>
    <n v="83052"/>
    <n v="83052"/>
  </r>
  <r>
    <x v="0"/>
    <n v="67"/>
    <x v="27"/>
    <x v="2"/>
    <x v="2"/>
    <n v="1005"/>
    <x v="28"/>
    <x v="0"/>
    <x v="47"/>
    <n v="3006"/>
    <x v="22"/>
    <n v="4001"/>
    <x v="177"/>
    <s v="1 00"/>
    <n v="0"/>
    <n v="15"/>
    <x v="37"/>
    <s v="Annual"/>
    <n v="0"/>
    <n v="0"/>
    <n v="4836"/>
    <n v="4836"/>
  </r>
  <r>
    <x v="0"/>
    <n v="67"/>
    <x v="27"/>
    <x v="2"/>
    <x v="2"/>
    <n v="1005"/>
    <x v="28"/>
    <x v="0"/>
    <x v="47"/>
    <n v="3045"/>
    <x v="275"/>
    <n v="0"/>
    <x v="0"/>
    <s v="G 08"/>
    <n v="4"/>
    <n v="5620"/>
    <x v="810"/>
    <s v="Annual"/>
    <n v="2"/>
    <n v="1"/>
    <n v="141564"/>
    <n v="283128"/>
  </r>
  <r>
    <x v="0"/>
    <n v="67"/>
    <x v="27"/>
    <x v="2"/>
    <x v="2"/>
    <n v="1005"/>
    <x v="28"/>
    <x v="0"/>
    <x v="47"/>
    <n v="3045"/>
    <x v="275"/>
    <n v="0"/>
    <x v="0"/>
    <s v="G 09"/>
    <n v="4"/>
    <n v="5615"/>
    <x v="903"/>
    <s v="Annual"/>
    <n v="1"/>
    <n v="1"/>
    <n v="154764"/>
    <n v="154764"/>
  </r>
  <r>
    <x v="0"/>
    <n v="81"/>
    <x v="33"/>
    <x v="2"/>
    <x v="2"/>
    <n v="1030"/>
    <x v="37"/>
    <x v="16"/>
    <x v="58"/>
    <n v="3301"/>
    <x v="22"/>
    <n v="4300"/>
    <x v="203"/>
    <s v="X 42"/>
    <n v="0"/>
    <n v="9681"/>
    <x v="81"/>
    <s v="Annual"/>
    <n v="1"/>
    <n v="1"/>
    <n v="184584"/>
    <n v="184584"/>
  </r>
  <r>
    <x v="0"/>
    <n v="81"/>
    <x v="33"/>
    <x v="2"/>
    <x v="2"/>
    <n v="1030"/>
    <x v="37"/>
    <x v="16"/>
    <x v="58"/>
    <n v="3301"/>
    <x v="22"/>
    <n v="4300"/>
    <x v="203"/>
    <s v="BX 20"/>
    <n v="10"/>
    <n v="8185"/>
    <x v="872"/>
    <s v="Annual"/>
    <n v="1"/>
    <n v="1"/>
    <n v="112440"/>
    <n v="112440"/>
  </r>
  <r>
    <x v="0"/>
    <n v="81"/>
    <x v="33"/>
    <x v="2"/>
    <x v="2"/>
    <n v="1030"/>
    <x v="37"/>
    <x v="16"/>
    <x v="58"/>
    <n v="3301"/>
    <x v="22"/>
    <n v="4300"/>
    <x v="203"/>
    <s v="BX 20"/>
    <n v="10"/>
    <n v="8185"/>
    <x v="872"/>
    <s v="Annual"/>
    <n v="1"/>
    <n v="1"/>
    <n v="102444"/>
    <n v="102444"/>
  </r>
  <r>
    <x v="0"/>
    <n v="81"/>
    <x v="33"/>
    <x v="2"/>
    <x v="2"/>
    <n v="1030"/>
    <x v="37"/>
    <x v="16"/>
    <x v="58"/>
    <n v="3301"/>
    <x v="22"/>
    <n v="4300"/>
    <x v="203"/>
    <s v="BX 18"/>
    <n v="10"/>
    <n v="3092"/>
    <x v="308"/>
    <s v="Annual"/>
    <n v="1"/>
    <n v="1"/>
    <n v="102444"/>
    <n v="102444"/>
  </r>
  <r>
    <x v="0"/>
    <n v="81"/>
    <x v="33"/>
    <x v="2"/>
    <x v="2"/>
    <n v="1030"/>
    <x v="37"/>
    <x v="16"/>
    <x v="58"/>
    <n v="3301"/>
    <x v="22"/>
    <n v="4300"/>
    <x v="203"/>
    <s v="V 10"/>
    <n v="54"/>
    <n v="441"/>
    <x v="880"/>
    <s v="Annual"/>
    <n v="2"/>
    <n v="1"/>
    <n v="90108"/>
    <n v="180216"/>
  </r>
  <r>
    <x v="0"/>
    <n v="81"/>
    <x v="33"/>
    <x v="2"/>
    <x v="2"/>
    <n v="1030"/>
    <x v="37"/>
    <x v="16"/>
    <x v="58"/>
    <n v="3301"/>
    <x v="22"/>
    <n v="4300"/>
    <x v="203"/>
    <s v="V 10"/>
    <n v="54"/>
    <n v="441"/>
    <x v="880"/>
    <s v="Annual"/>
    <n v="1"/>
    <n v="1"/>
    <n v="68232"/>
    <n v="68232"/>
  </r>
  <r>
    <x v="0"/>
    <n v="81"/>
    <x v="33"/>
    <x v="2"/>
    <x v="2"/>
    <n v="1030"/>
    <x v="37"/>
    <x v="16"/>
    <x v="58"/>
    <n v="3301"/>
    <x v="22"/>
    <n v="4300"/>
    <x v="203"/>
    <s v="V 10"/>
    <n v="54"/>
    <n v="441"/>
    <x v="880"/>
    <s v="Annual"/>
    <n v="1"/>
    <n v="1"/>
    <n v="58728"/>
    <n v="58728"/>
  </r>
  <r>
    <x v="0"/>
    <n v="81"/>
    <x v="33"/>
    <x v="2"/>
    <x v="2"/>
    <n v="1030"/>
    <x v="37"/>
    <x v="16"/>
    <x v="58"/>
    <n v="3301"/>
    <x v="22"/>
    <n v="4300"/>
    <x v="203"/>
    <s v="V 10"/>
    <n v="54"/>
    <n v="441"/>
    <x v="880"/>
    <s v="Annual"/>
    <n v="1"/>
    <n v="1"/>
    <n v="53520"/>
    <n v="53520"/>
  </r>
  <r>
    <x v="0"/>
    <n v="81"/>
    <x v="33"/>
    <x v="2"/>
    <x v="2"/>
    <n v="1030"/>
    <x v="37"/>
    <x v="16"/>
    <x v="58"/>
    <n v="3301"/>
    <x v="22"/>
    <n v="4300"/>
    <x v="203"/>
    <s v="1 00"/>
    <n v="0"/>
    <n v="15"/>
    <x v="37"/>
    <s v="Annual"/>
    <n v="0"/>
    <n v="0"/>
    <n v="10120"/>
    <n v="10120"/>
  </r>
  <r>
    <x v="0"/>
    <n v="81"/>
    <x v="33"/>
    <x v="2"/>
    <x v="2"/>
    <n v="1030"/>
    <x v="37"/>
    <x v="16"/>
    <x v="58"/>
    <n v="3325"/>
    <x v="227"/>
    <n v="4324"/>
    <x v="264"/>
    <s v="V 17"/>
    <n v="54"/>
    <n v="8190"/>
    <x v="1016"/>
    <s v="Annual"/>
    <n v="1"/>
    <n v="1"/>
    <n v="172572"/>
    <n v="172572"/>
  </r>
  <r>
    <x v="0"/>
    <n v="81"/>
    <x v="33"/>
    <x v="2"/>
    <x v="2"/>
    <n v="1030"/>
    <x v="37"/>
    <x v="16"/>
    <x v="58"/>
    <n v="3325"/>
    <x v="227"/>
    <n v="4324"/>
    <x v="264"/>
    <s v="V 17"/>
    <n v="54"/>
    <n v="8190"/>
    <x v="1016"/>
    <s v="Annual"/>
    <n v="1"/>
    <n v="1"/>
    <n v="143352"/>
    <n v="143352"/>
  </r>
  <r>
    <x v="0"/>
    <n v="81"/>
    <x v="33"/>
    <x v="2"/>
    <x v="2"/>
    <n v="1030"/>
    <x v="37"/>
    <x v="16"/>
    <x v="58"/>
    <n v="3325"/>
    <x v="227"/>
    <n v="4324"/>
    <x v="264"/>
    <s v="2 0"/>
    <n v="8"/>
    <n v="7184"/>
    <x v="882"/>
    <s v="Hourly"/>
    <n v="1"/>
    <n v="1"/>
    <n v="48.73"/>
    <n v="101358"/>
  </r>
  <r>
    <x v="0"/>
    <n v="81"/>
    <x v="33"/>
    <x v="2"/>
    <x v="2"/>
    <n v="1030"/>
    <x v="37"/>
    <x v="16"/>
    <x v="58"/>
    <n v="3325"/>
    <x v="227"/>
    <n v="4324"/>
    <x v="264"/>
    <s v="2 0"/>
    <n v="8"/>
    <n v="7183"/>
    <x v="449"/>
    <s v="Hourly"/>
    <n v="3"/>
    <n v="1"/>
    <n v="49.46"/>
    <n v="308630"/>
  </r>
  <r>
    <x v="0"/>
    <n v="81"/>
    <x v="33"/>
    <x v="2"/>
    <x v="2"/>
    <n v="1030"/>
    <x v="37"/>
    <x v="16"/>
    <x v="58"/>
    <n v="3325"/>
    <x v="227"/>
    <n v="4324"/>
    <x v="264"/>
    <s v="2 0"/>
    <n v="8"/>
    <n v="7183"/>
    <x v="449"/>
    <s v="Hourly"/>
    <n v="7"/>
    <n v="1"/>
    <n v="48.73"/>
    <n v="709509"/>
  </r>
  <r>
    <x v="0"/>
    <n v="81"/>
    <x v="33"/>
    <x v="2"/>
    <x v="2"/>
    <n v="1030"/>
    <x v="37"/>
    <x v="16"/>
    <x v="58"/>
    <n v="3325"/>
    <x v="227"/>
    <n v="4324"/>
    <x v="264"/>
    <s v="2 0"/>
    <n v="54"/>
    <n v="6324"/>
    <x v="884"/>
    <s v="Hourly"/>
    <n v="2"/>
    <n v="1"/>
    <n v="47.79"/>
    <n v="198806"/>
  </r>
  <r>
    <x v="0"/>
    <n v="81"/>
    <x v="33"/>
    <x v="2"/>
    <x v="2"/>
    <n v="1030"/>
    <x v="37"/>
    <x v="16"/>
    <x v="58"/>
    <n v="3325"/>
    <x v="227"/>
    <n v="4324"/>
    <x v="264"/>
    <s v="1 00"/>
    <n v="0"/>
    <n v="15"/>
    <x v="37"/>
    <s v="Annual"/>
    <n v="0"/>
    <n v="0"/>
    <n v="1932"/>
    <n v="1932"/>
  </r>
  <r>
    <x v="0"/>
    <n v="81"/>
    <x v="33"/>
    <x v="2"/>
    <x v="2"/>
    <n v="1030"/>
    <x v="37"/>
    <x v="16"/>
    <x v="58"/>
    <n v="3325"/>
    <x v="227"/>
    <n v="4324"/>
    <x v="264"/>
    <s v="1 00"/>
    <n v="0"/>
    <n v="12"/>
    <x v="291"/>
    <s v="Annual"/>
    <n v="0"/>
    <n v="0"/>
    <n v="19774"/>
    <n v="19774"/>
  </r>
  <r>
    <x v="0"/>
    <n v="81"/>
    <x v="33"/>
    <x v="2"/>
    <x v="2"/>
    <n v="1030"/>
    <x v="37"/>
    <x v="16"/>
    <x v="58"/>
    <n v="3325"/>
    <x v="227"/>
    <n v="4326"/>
    <x v="265"/>
    <s v="2 0"/>
    <n v="8"/>
    <n v="7183"/>
    <x v="449"/>
    <s v="Hourly"/>
    <n v="3"/>
    <n v="1"/>
    <n v="48.73"/>
    <n v="304075"/>
  </r>
  <r>
    <x v="0"/>
    <n v="81"/>
    <x v="33"/>
    <x v="2"/>
    <x v="2"/>
    <n v="1030"/>
    <x v="37"/>
    <x v="16"/>
    <x v="58"/>
    <n v="3325"/>
    <x v="227"/>
    <n v="4326"/>
    <x v="265"/>
    <s v="2 0"/>
    <n v="54"/>
    <n v="6324"/>
    <x v="884"/>
    <s v="Hourly"/>
    <n v="4"/>
    <n v="1"/>
    <n v="47.79"/>
    <n v="397613"/>
  </r>
  <r>
    <x v="0"/>
    <n v="81"/>
    <x v="33"/>
    <x v="2"/>
    <x v="2"/>
    <n v="1030"/>
    <x v="37"/>
    <x v="16"/>
    <x v="58"/>
    <n v="3325"/>
    <x v="227"/>
    <n v="4326"/>
    <x v="265"/>
    <s v="1 00"/>
    <n v="0"/>
    <n v="12"/>
    <x v="291"/>
    <s v="Annual"/>
    <n v="0"/>
    <n v="0"/>
    <n v="10525"/>
    <n v="10525"/>
  </r>
  <r>
    <x v="0"/>
    <n v="81"/>
    <x v="33"/>
    <x v="2"/>
    <x v="2"/>
    <n v="1030"/>
    <x v="37"/>
    <x v="16"/>
    <x v="58"/>
    <n v="3351"/>
    <x v="276"/>
    <n v="0"/>
    <x v="0"/>
    <s v="2 0"/>
    <n v="8"/>
    <n v="7184"/>
    <x v="882"/>
    <s v="Hourly"/>
    <n v="31"/>
    <n v="1"/>
    <n v="48.73"/>
    <n v="3142110"/>
  </r>
  <r>
    <x v="0"/>
    <n v="81"/>
    <x v="33"/>
    <x v="2"/>
    <x v="2"/>
    <n v="1030"/>
    <x v="37"/>
    <x v="16"/>
    <x v="58"/>
    <n v="3351"/>
    <x v="276"/>
    <n v="0"/>
    <x v="0"/>
    <s v="2 0"/>
    <n v="8"/>
    <n v="7183"/>
    <x v="449"/>
    <s v="Hourly"/>
    <n v="4"/>
    <n v="1"/>
    <n v="49.46"/>
    <n v="411507"/>
  </r>
  <r>
    <x v="0"/>
    <n v="81"/>
    <x v="33"/>
    <x v="2"/>
    <x v="2"/>
    <n v="1030"/>
    <x v="37"/>
    <x v="16"/>
    <x v="58"/>
    <n v="3351"/>
    <x v="276"/>
    <n v="0"/>
    <x v="0"/>
    <s v="2 0"/>
    <n v="8"/>
    <n v="7183"/>
    <x v="449"/>
    <s v="Hourly"/>
    <n v="13"/>
    <n v="1"/>
    <n v="48.73"/>
    <n v="1317659"/>
  </r>
  <r>
    <x v="0"/>
    <n v="81"/>
    <x v="33"/>
    <x v="2"/>
    <x v="2"/>
    <n v="1030"/>
    <x v="37"/>
    <x v="16"/>
    <x v="58"/>
    <n v="3351"/>
    <x v="276"/>
    <n v="0"/>
    <x v="0"/>
    <s v="2 0"/>
    <n v="54"/>
    <n v="6329"/>
    <x v="883"/>
    <s v="Hourly"/>
    <n v="68850"/>
    <n v="0"/>
    <n v="25.19"/>
    <n v="1734332"/>
  </r>
  <r>
    <x v="0"/>
    <n v="81"/>
    <x v="33"/>
    <x v="2"/>
    <x v="2"/>
    <n v="1030"/>
    <x v="37"/>
    <x v="16"/>
    <x v="58"/>
    <n v="3351"/>
    <x v="276"/>
    <n v="0"/>
    <x v="0"/>
    <s v="2 0"/>
    <n v="54"/>
    <n v="6324"/>
    <x v="884"/>
    <s v="Hourly"/>
    <n v="3"/>
    <n v="1"/>
    <n v="31.06"/>
    <n v="193814"/>
  </r>
  <r>
    <x v="0"/>
    <n v="81"/>
    <x v="33"/>
    <x v="2"/>
    <x v="2"/>
    <n v="1030"/>
    <x v="37"/>
    <x v="16"/>
    <x v="58"/>
    <n v="3351"/>
    <x v="276"/>
    <n v="0"/>
    <x v="0"/>
    <s v="1 00"/>
    <n v="0"/>
    <n v="12"/>
    <x v="291"/>
    <s v="Annual"/>
    <n v="0"/>
    <n v="0"/>
    <n v="101992"/>
    <n v="101992"/>
  </r>
  <r>
    <x v="0"/>
    <n v="81"/>
    <x v="33"/>
    <x v="2"/>
    <x v="2"/>
    <n v="1030"/>
    <x v="37"/>
    <x v="16"/>
    <x v="58"/>
    <n v="3390"/>
    <x v="227"/>
    <n v="0"/>
    <x v="0"/>
    <s v="2 0"/>
    <n v="8"/>
    <n v="7185"/>
    <x v="485"/>
    <s v="Hourly"/>
    <n v="4"/>
    <n v="1"/>
    <n v="52.38"/>
    <n v="435802"/>
  </r>
  <r>
    <x v="0"/>
    <n v="81"/>
    <x v="33"/>
    <x v="2"/>
    <x v="2"/>
    <n v="1030"/>
    <x v="37"/>
    <x v="16"/>
    <x v="58"/>
    <n v="3390"/>
    <x v="227"/>
    <n v="0"/>
    <x v="0"/>
    <s v="2 0"/>
    <n v="8"/>
    <n v="7184"/>
    <x v="882"/>
    <s v="Hourly"/>
    <n v="7"/>
    <n v="1"/>
    <n v="48.73"/>
    <n v="709509"/>
  </r>
  <r>
    <x v="0"/>
    <n v="81"/>
    <x v="33"/>
    <x v="2"/>
    <x v="2"/>
    <n v="1030"/>
    <x v="37"/>
    <x v="16"/>
    <x v="58"/>
    <n v="3390"/>
    <x v="227"/>
    <n v="0"/>
    <x v="0"/>
    <s v="2 0"/>
    <n v="8"/>
    <n v="7183"/>
    <x v="449"/>
    <s v="Hourly"/>
    <n v="5"/>
    <n v="1"/>
    <n v="49.46"/>
    <n v="514384"/>
  </r>
  <r>
    <x v="0"/>
    <n v="81"/>
    <x v="33"/>
    <x v="2"/>
    <x v="2"/>
    <n v="1030"/>
    <x v="37"/>
    <x v="16"/>
    <x v="58"/>
    <n v="3390"/>
    <x v="227"/>
    <n v="0"/>
    <x v="0"/>
    <s v="2 0"/>
    <n v="8"/>
    <n v="7183"/>
    <x v="449"/>
    <s v="Hourly"/>
    <n v="28"/>
    <n v="1"/>
    <n v="48.73"/>
    <n v="2838035"/>
  </r>
  <r>
    <x v="0"/>
    <n v="81"/>
    <x v="33"/>
    <x v="2"/>
    <x v="2"/>
    <n v="1030"/>
    <x v="37"/>
    <x v="16"/>
    <x v="58"/>
    <n v="3390"/>
    <x v="227"/>
    <n v="0"/>
    <x v="0"/>
    <s v="2 0"/>
    <n v="54"/>
    <n v="6329"/>
    <x v="883"/>
    <s v="Hourly"/>
    <n v="2"/>
    <n v="1"/>
    <n v="26.28"/>
    <n v="109325"/>
  </r>
  <r>
    <x v="0"/>
    <n v="81"/>
    <x v="33"/>
    <x v="2"/>
    <x v="2"/>
    <n v="1030"/>
    <x v="37"/>
    <x v="16"/>
    <x v="58"/>
    <n v="3390"/>
    <x v="227"/>
    <n v="0"/>
    <x v="0"/>
    <s v="2 0"/>
    <n v="54"/>
    <n v="6324"/>
    <x v="884"/>
    <s v="Hourly"/>
    <n v="2"/>
    <n v="1"/>
    <n v="49.79"/>
    <n v="207126"/>
  </r>
  <r>
    <x v="0"/>
    <n v="81"/>
    <x v="33"/>
    <x v="2"/>
    <x v="2"/>
    <n v="1030"/>
    <x v="37"/>
    <x v="16"/>
    <x v="58"/>
    <n v="3390"/>
    <x v="227"/>
    <n v="0"/>
    <x v="0"/>
    <s v="2 0"/>
    <n v="54"/>
    <n v="6324"/>
    <x v="884"/>
    <s v="Hourly"/>
    <n v="22"/>
    <n v="1"/>
    <n v="47.79"/>
    <n v="2186870"/>
  </r>
  <r>
    <x v="0"/>
    <n v="81"/>
    <x v="33"/>
    <x v="2"/>
    <x v="2"/>
    <n v="1030"/>
    <x v="37"/>
    <x v="16"/>
    <x v="58"/>
    <n v="3390"/>
    <x v="227"/>
    <n v="0"/>
    <x v="0"/>
    <s v="2 0"/>
    <n v="54"/>
    <n v="6324"/>
    <x v="884"/>
    <s v="Hourly"/>
    <n v="2"/>
    <n v="1"/>
    <n v="43.01"/>
    <n v="178922"/>
  </r>
  <r>
    <x v="0"/>
    <n v="81"/>
    <x v="33"/>
    <x v="2"/>
    <x v="2"/>
    <n v="1030"/>
    <x v="37"/>
    <x v="16"/>
    <x v="58"/>
    <n v="3390"/>
    <x v="227"/>
    <n v="0"/>
    <x v="0"/>
    <s v="2 0"/>
    <n v="54"/>
    <n v="6324"/>
    <x v="884"/>
    <s v="Hourly"/>
    <n v="6"/>
    <n v="1"/>
    <n v="35.840000000000003"/>
    <n v="447283"/>
  </r>
  <r>
    <x v="0"/>
    <n v="81"/>
    <x v="33"/>
    <x v="2"/>
    <x v="2"/>
    <n v="1030"/>
    <x v="37"/>
    <x v="16"/>
    <x v="58"/>
    <n v="3390"/>
    <x v="227"/>
    <n v="0"/>
    <x v="0"/>
    <s v="X 43"/>
    <n v="0"/>
    <s v="03A2"/>
    <x v="220"/>
    <s v="Annual"/>
    <n v="1"/>
    <n v="1"/>
    <n v="133836"/>
    <n v="133836"/>
  </r>
  <r>
    <x v="0"/>
    <n v="81"/>
    <x v="33"/>
    <x v="2"/>
    <x v="2"/>
    <n v="1030"/>
    <x v="37"/>
    <x v="16"/>
    <x v="58"/>
    <n v="3390"/>
    <x v="227"/>
    <n v="0"/>
    <x v="0"/>
    <s v="1 00"/>
    <n v="0"/>
    <n v="12"/>
    <x v="291"/>
    <s v="Annual"/>
    <n v="0"/>
    <n v="0"/>
    <n v="114410"/>
    <n v="114410"/>
  </r>
  <r>
    <x v="0"/>
    <n v="81"/>
    <x v="33"/>
    <x v="2"/>
    <x v="2"/>
    <n v="1050"/>
    <x v="53"/>
    <x v="33"/>
    <x v="74"/>
    <n v="3211"/>
    <x v="22"/>
    <n v="4100"/>
    <x v="266"/>
    <s v="X 42"/>
    <n v="0"/>
    <n v="9681"/>
    <x v="81"/>
    <s v="Annual"/>
    <n v="1"/>
    <n v="1"/>
    <n v="192852"/>
    <n v="192852"/>
  </r>
  <r>
    <x v="0"/>
    <n v="81"/>
    <x v="33"/>
    <x v="2"/>
    <x v="2"/>
    <n v="1050"/>
    <x v="53"/>
    <x v="33"/>
    <x v="74"/>
    <n v="3211"/>
    <x v="22"/>
    <n v="4100"/>
    <x v="266"/>
    <s v="BX 22"/>
    <n v="10"/>
    <n v="8184"/>
    <x v="877"/>
    <s v="Annual"/>
    <n v="1"/>
    <n v="1"/>
    <n v="143232"/>
    <n v="143232"/>
  </r>
  <r>
    <x v="0"/>
    <n v="81"/>
    <x v="33"/>
    <x v="2"/>
    <x v="2"/>
    <n v="1050"/>
    <x v="53"/>
    <x v="33"/>
    <x v="74"/>
    <n v="3211"/>
    <x v="22"/>
    <n v="4100"/>
    <x v="266"/>
    <s v="BX 15"/>
    <n v="10"/>
    <n v="1310"/>
    <x v="329"/>
    <s v="Annual"/>
    <n v="1"/>
    <n v="1"/>
    <n v="108432"/>
    <n v="108432"/>
  </r>
  <r>
    <x v="0"/>
    <n v="81"/>
    <x v="33"/>
    <x v="2"/>
    <x v="2"/>
    <n v="1050"/>
    <x v="53"/>
    <x v="33"/>
    <x v="74"/>
    <n v="3211"/>
    <x v="22"/>
    <n v="4100"/>
    <x v="266"/>
    <s v="B 09"/>
    <n v="1"/>
    <n v="460"/>
    <x v="344"/>
    <s v="Annual"/>
    <n v="1"/>
    <n v="1"/>
    <n v="47364"/>
    <n v="47364"/>
  </r>
  <r>
    <x v="0"/>
    <n v="81"/>
    <x v="33"/>
    <x v="2"/>
    <x v="2"/>
    <n v="1050"/>
    <x v="53"/>
    <x v="33"/>
    <x v="74"/>
    <n v="3211"/>
    <x v="22"/>
    <n v="4100"/>
    <x v="266"/>
    <s v="B 12"/>
    <n v="1"/>
    <s v="03A8"/>
    <x v="88"/>
    <s v="Annual"/>
    <n v="1"/>
    <n v="1"/>
    <n v="67608"/>
    <n v="67608"/>
  </r>
  <r>
    <x v="0"/>
    <n v="81"/>
    <x v="33"/>
    <x v="2"/>
    <x v="2"/>
    <n v="1050"/>
    <x v="53"/>
    <x v="33"/>
    <x v="74"/>
    <n v="3211"/>
    <x v="22"/>
    <n v="4100"/>
    <x v="266"/>
    <s v="B 13"/>
    <n v="1"/>
    <n v="308"/>
    <x v="90"/>
    <s v="Annual"/>
    <n v="2"/>
    <n v="1"/>
    <n v="77640"/>
    <n v="155280"/>
  </r>
  <r>
    <x v="0"/>
    <n v="81"/>
    <x v="33"/>
    <x v="2"/>
    <x v="2"/>
    <n v="1050"/>
    <x v="53"/>
    <x v="33"/>
    <x v="74"/>
    <n v="3211"/>
    <x v="22"/>
    <n v="4100"/>
    <x v="266"/>
    <s v="X 43"/>
    <n v="0"/>
    <n v="112"/>
    <x v="92"/>
    <s v="Annual"/>
    <n v="1"/>
    <n v="1"/>
    <n v="167700"/>
    <n v="167700"/>
  </r>
  <r>
    <x v="0"/>
    <n v="81"/>
    <x v="33"/>
    <x v="2"/>
    <x v="2"/>
    <n v="1050"/>
    <x v="53"/>
    <x v="33"/>
    <x v="74"/>
    <n v="3211"/>
    <x v="22"/>
    <n v="4100"/>
    <x v="266"/>
    <s v="1 00"/>
    <n v="0"/>
    <n v="15"/>
    <x v="37"/>
    <s v="Annual"/>
    <n v="0"/>
    <n v="0"/>
    <n v="12236"/>
    <n v="12236"/>
  </r>
  <r>
    <x v="0"/>
    <n v="81"/>
    <x v="33"/>
    <x v="2"/>
    <x v="2"/>
    <n v="1050"/>
    <x v="53"/>
    <x v="33"/>
    <x v="74"/>
    <n v="3214"/>
    <x v="277"/>
    <n v="0"/>
    <x v="0"/>
    <s v="2 0"/>
    <n v="8"/>
    <n v="7184"/>
    <x v="882"/>
    <s v="Hourly"/>
    <n v="5"/>
    <n v="1"/>
    <n v="48.73"/>
    <n v="506792"/>
  </r>
  <r>
    <x v="0"/>
    <n v="81"/>
    <x v="33"/>
    <x v="2"/>
    <x v="2"/>
    <n v="1050"/>
    <x v="53"/>
    <x v="33"/>
    <x v="74"/>
    <n v="3214"/>
    <x v="277"/>
    <n v="0"/>
    <x v="0"/>
    <s v="2 0"/>
    <n v="8"/>
    <n v="7183"/>
    <x v="449"/>
    <s v="Hourly"/>
    <n v="2"/>
    <n v="1"/>
    <n v="49.46"/>
    <n v="205754"/>
  </r>
  <r>
    <x v="0"/>
    <n v="81"/>
    <x v="33"/>
    <x v="2"/>
    <x v="2"/>
    <n v="1050"/>
    <x v="53"/>
    <x v="33"/>
    <x v="74"/>
    <n v="3214"/>
    <x v="277"/>
    <n v="0"/>
    <x v="0"/>
    <s v="2 0"/>
    <n v="8"/>
    <n v="7183"/>
    <x v="449"/>
    <s v="Hourly"/>
    <n v="15"/>
    <n v="1"/>
    <n v="48.73"/>
    <n v="1520376"/>
  </r>
  <r>
    <x v="0"/>
    <n v="81"/>
    <x v="33"/>
    <x v="2"/>
    <x v="2"/>
    <n v="1050"/>
    <x v="53"/>
    <x v="33"/>
    <x v="74"/>
    <n v="3214"/>
    <x v="277"/>
    <n v="0"/>
    <x v="0"/>
    <s v="2 0"/>
    <n v="54"/>
    <n v="6324"/>
    <x v="884"/>
    <s v="Hourly"/>
    <n v="1"/>
    <n v="1"/>
    <n v="49.79"/>
    <n v="103563"/>
  </r>
  <r>
    <x v="0"/>
    <n v="81"/>
    <x v="33"/>
    <x v="2"/>
    <x v="2"/>
    <n v="1050"/>
    <x v="53"/>
    <x v="33"/>
    <x v="74"/>
    <n v="3214"/>
    <x v="277"/>
    <n v="0"/>
    <x v="0"/>
    <s v="2 0"/>
    <n v="54"/>
    <n v="6324"/>
    <x v="884"/>
    <s v="Hourly"/>
    <n v="5"/>
    <n v="1"/>
    <n v="47.79"/>
    <n v="497016"/>
  </r>
  <r>
    <x v="0"/>
    <n v="81"/>
    <x v="33"/>
    <x v="2"/>
    <x v="2"/>
    <n v="1050"/>
    <x v="53"/>
    <x v="33"/>
    <x v="74"/>
    <n v="3214"/>
    <x v="277"/>
    <n v="0"/>
    <x v="0"/>
    <s v="V 13"/>
    <n v="54"/>
    <n v="6295"/>
    <x v="1017"/>
    <s v="Annual"/>
    <n v="1"/>
    <n v="1"/>
    <n v="90108"/>
    <n v="90108"/>
  </r>
  <r>
    <x v="0"/>
    <n v="81"/>
    <x v="33"/>
    <x v="2"/>
    <x v="2"/>
    <n v="1050"/>
    <x v="53"/>
    <x v="33"/>
    <x v="74"/>
    <n v="3214"/>
    <x v="277"/>
    <n v="0"/>
    <x v="0"/>
    <s v="V 10"/>
    <n v="54"/>
    <n v="441"/>
    <x v="880"/>
    <s v="Annual"/>
    <n v="1"/>
    <n v="1"/>
    <n v="58728"/>
    <n v="58728"/>
  </r>
  <r>
    <x v="0"/>
    <n v="81"/>
    <x v="33"/>
    <x v="2"/>
    <x v="2"/>
    <n v="1050"/>
    <x v="53"/>
    <x v="33"/>
    <x v="74"/>
    <n v="3214"/>
    <x v="277"/>
    <n v="0"/>
    <x v="0"/>
    <s v="B 12"/>
    <n v="1"/>
    <s v="03A8"/>
    <x v="88"/>
    <s v="Annual"/>
    <n v="1"/>
    <n v="1"/>
    <n v="70752"/>
    <n v="70752"/>
  </r>
  <r>
    <x v="0"/>
    <n v="81"/>
    <x v="33"/>
    <x v="2"/>
    <x v="2"/>
    <n v="1050"/>
    <x v="53"/>
    <x v="33"/>
    <x v="74"/>
    <n v="3214"/>
    <x v="277"/>
    <n v="0"/>
    <x v="0"/>
    <s v="1 00"/>
    <n v="0"/>
    <n v="15"/>
    <x v="37"/>
    <s v="Annual"/>
    <n v="0"/>
    <n v="0"/>
    <n v="4121"/>
    <n v="4121"/>
  </r>
  <r>
    <x v="0"/>
    <n v="81"/>
    <x v="33"/>
    <x v="2"/>
    <x v="2"/>
    <n v="1050"/>
    <x v="53"/>
    <x v="33"/>
    <x v="74"/>
    <n v="3214"/>
    <x v="277"/>
    <n v="0"/>
    <x v="0"/>
    <s v="1 00"/>
    <n v="0"/>
    <n v="12"/>
    <x v="291"/>
    <s v="Annual"/>
    <n v="0"/>
    <n v="0"/>
    <n v="42502"/>
    <n v="42502"/>
  </r>
  <r>
    <x v="0"/>
    <n v="81"/>
    <x v="33"/>
    <x v="2"/>
    <x v="2"/>
    <n v="1050"/>
    <x v="53"/>
    <x v="33"/>
    <x v="74"/>
    <n v="3217"/>
    <x v="278"/>
    <n v="4155"/>
    <x v="267"/>
    <s v="BX 20"/>
    <n v="10"/>
    <n v="8185"/>
    <x v="872"/>
    <s v="Annual"/>
    <n v="1"/>
    <n v="1"/>
    <n v="157212"/>
    <n v="157212"/>
  </r>
  <r>
    <x v="0"/>
    <n v="81"/>
    <x v="33"/>
    <x v="2"/>
    <x v="2"/>
    <n v="1050"/>
    <x v="53"/>
    <x v="33"/>
    <x v="74"/>
    <n v="3217"/>
    <x v="278"/>
    <n v="4155"/>
    <x v="267"/>
    <s v="BX 20"/>
    <n v="10"/>
    <n v="8185"/>
    <x v="872"/>
    <s v="Annual"/>
    <n v="1"/>
    <n v="1"/>
    <n v="112440"/>
    <n v="112440"/>
  </r>
  <r>
    <x v="0"/>
    <n v="81"/>
    <x v="33"/>
    <x v="2"/>
    <x v="2"/>
    <n v="1050"/>
    <x v="53"/>
    <x v="33"/>
    <x v="74"/>
    <n v="3217"/>
    <x v="278"/>
    <n v="4155"/>
    <x v="267"/>
    <s v="V 13"/>
    <n v="54"/>
    <n v="8105"/>
    <x v="875"/>
    <s v="Annual"/>
    <n v="1"/>
    <n v="1"/>
    <n v="113592"/>
    <n v="113592"/>
  </r>
  <r>
    <x v="0"/>
    <n v="81"/>
    <x v="33"/>
    <x v="2"/>
    <x v="2"/>
    <n v="1050"/>
    <x v="53"/>
    <x v="33"/>
    <x v="74"/>
    <n v="3217"/>
    <x v="278"/>
    <n v="4155"/>
    <x v="267"/>
    <s v="V 13"/>
    <n v="54"/>
    <n v="8105"/>
    <x v="875"/>
    <s v="Annual"/>
    <n v="4"/>
    <n v="1"/>
    <n v="108528"/>
    <n v="434112"/>
  </r>
  <r>
    <x v="0"/>
    <n v="81"/>
    <x v="33"/>
    <x v="2"/>
    <x v="2"/>
    <n v="1050"/>
    <x v="53"/>
    <x v="33"/>
    <x v="74"/>
    <n v="3217"/>
    <x v="278"/>
    <n v="4155"/>
    <x v="267"/>
    <s v="V 13"/>
    <n v="54"/>
    <n v="8105"/>
    <x v="875"/>
    <s v="Annual"/>
    <n v="2"/>
    <n v="1"/>
    <n v="103572"/>
    <n v="207144"/>
  </r>
  <r>
    <x v="0"/>
    <n v="81"/>
    <x v="33"/>
    <x v="2"/>
    <x v="2"/>
    <n v="1050"/>
    <x v="53"/>
    <x v="33"/>
    <x v="74"/>
    <n v="3217"/>
    <x v="278"/>
    <n v="4155"/>
    <x v="267"/>
    <s v="V 13"/>
    <n v="54"/>
    <n v="8105"/>
    <x v="875"/>
    <s v="Annual"/>
    <n v="1"/>
    <n v="1"/>
    <n v="85176"/>
    <n v="85176"/>
  </r>
  <r>
    <x v="0"/>
    <n v="81"/>
    <x v="33"/>
    <x v="2"/>
    <x v="2"/>
    <n v="1050"/>
    <x v="53"/>
    <x v="33"/>
    <x v="74"/>
    <n v="3217"/>
    <x v="278"/>
    <n v="4155"/>
    <x v="267"/>
    <s v="V 13"/>
    <n v="54"/>
    <n v="8105"/>
    <x v="875"/>
    <s v="Annual"/>
    <n v="2"/>
    <n v="1"/>
    <n v="81276"/>
    <n v="162552"/>
  </r>
  <r>
    <x v="0"/>
    <n v="81"/>
    <x v="33"/>
    <x v="2"/>
    <x v="2"/>
    <n v="1050"/>
    <x v="53"/>
    <x v="33"/>
    <x v="74"/>
    <n v="3217"/>
    <x v="278"/>
    <n v="4155"/>
    <x v="267"/>
    <s v="V 13"/>
    <n v="54"/>
    <n v="8105"/>
    <x v="875"/>
    <s v="Annual"/>
    <n v="1"/>
    <n v="1"/>
    <n v="70740"/>
    <n v="70740"/>
  </r>
  <r>
    <x v="0"/>
    <n v="81"/>
    <x v="33"/>
    <x v="2"/>
    <x v="2"/>
    <n v="1050"/>
    <x v="53"/>
    <x v="33"/>
    <x v="74"/>
    <n v="3217"/>
    <x v="278"/>
    <n v="4155"/>
    <x v="267"/>
    <s v="V 14"/>
    <n v="54"/>
    <n v="6287"/>
    <x v="1018"/>
    <s v="Annual"/>
    <n v="2"/>
    <n v="1"/>
    <n v="103572"/>
    <n v="207144"/>
  </r>
  <r>
    <x v="0"/>
    <n v="81"/>
    <x v="33"/>
    <x v="2"/>
    <x v="2"/>
    <n v="1050"/>
    <x v="53"/>
    <x v="33"/>
    <x v="74"/>
    <n v="3217"/>
    <x v="278"/>
    <n v="4155"/>
    <x v="267"/>
    <s v="V 14"/>
    <n v="54"/>
    <n v="6287"/>
    <x v="1018"/>
    <s v="Annual"/>
    <n v="1"/>
    <n v="1"/>
    <n v="98892"/>
    <n v="98892"/>
  </r>
  <r>
    <x v="0"/>
    <n v="81"/>
    <x v="33"/>
    <x v="2"/>
    <x v="2"/>
    <n v="1050"/>
    <x v="53"/>
    <x v="33"/>
    <x v="74"/>
    <n v="3217"/>
    <x v="278"/>
    <n v="4155"/>
    <x v="267"/>
    <s v="V 14"/>
    <n v="54"/>
    <n v="6287"/>
    <x v="1018"/>
    <s v="Annual"/>
    <n v="1"/>
    <n v="1"/>
    <n v="77628"/>
    <n v="77628"/>
  </r>
  <r>
    <x v="0"/>
    <n v="81"/>
    <x v="33"/>
    <x v="2"/>
    <x v="2"/>
    <n v="1050"/>
    <x v="53"/>
    <x v="33"/>
    <x v="74"/>
    <n v="3217"/>
    <x v="278"/>
    <n v="4155"/>
    <x v="267"/>
    <s v="V 10"/>
    <n v="54"/>
    <n v="441"/>
    <x v="880"/>
    <s v="Annual"/>
    <n v="1"/>
    <n v="1"/>
    <n v="71412"/>
    <n v="71412"/>
  </r>
  <r>
    <x v="0"/>
    <n v="81"/>
    <x v="33"/>
    <x v="2"/>
    <x v="2"/>
    <n v="1050"/>
    <x v="53"/>
    <x v="33"/>
    <x v="74"/>
    <n v="3217"/>
    <x v="278"/>
    <n v="4155"/>
    <x v="267"/>
    <s v="V 10"/>
    <n v="54"/>
    <n v="441"/>
    <x v="880"/>
    <s v="Annual"/>
    <n v="1"/>
    <n v="1"/>
    <n v="68232"/>
    <n v="68232"/>
  </r>
  <r>
    <x v="0"/>
    <n v="81"/>
    <x v="33"/>
    <x v="2"/>
    <x v="2"/>
    <n v="1050"/>
    <x v="53"/>
    <x v="33"/>
    <x v="74"/>
    <n v="3217"/>
    <x v="278"/>
    <n v="4155"/>
    <x v="267"/>
    <s v="1 00"/>
    <n v="0"/>
    <n v="15"/>
    <x v="37"/>
    <s v="Annual"/>
    <n v="0"/>
    <n v="0"/>
    <n v="38010"/>
    <n v="38010"/>
  </r>
  <r>
    <x v="0"/>
    <n v="81"/>
    <x v="33"/>
    <x v="2"/>
    <x v="2"/>
    <n v="1050"/>
    <x v="53"/>
    <x v="33"/>
    <x v="74"/>
    <n v="3222"/>
    <x v="279"/>
    <n v="4151"/>
    <x v="268"/>
    <s v="P 14"/>
    <n v="8"/>
    <n v="6292"/>
    <x v="1019"/>
    <s v="Annual"/>
    <n v="2"/>
    <n v="1"/>
    <n v="130620"/>
    <n v="261240"/>
  </r>
  <r>
    <x v="0"/>
    <n v="81"/>
    <x v="33"/>
    <x v="2"/>
    <x v="2"/>
    <n v="1050"/>
    <x v="53"/>
    <x v="33"/>
    <x v="74"/>
    <n v="3222"/>
    <x v="279"/>
    <n v="4151"/>
    <x v="268"/>
    <s v="P 14"/>
    <n v="8"/>
    <n v="6292"/>
    <x v="1019"/>
    <s v="Annual"/>
    <n v="1"/>
    <n v="1"/>
    <n v="108528"/>
    <n v="108528"/>
  </r>
  <r>
    <x v="0"/>
    <n v="81"/>
    <x v="33"/>
    <x v="2"/>
    <x v="2"/>
    <n v="1050"/>
    <x v="53"/>
    <x v="33"/>
    <x v="74"/>
    <n v="3222"/>
    <x v="279"/>
    <n v="4151"/>
    <x v="268"/>
    <s v="P 14"/>
    <n v="8"/>
    <n v="6292"/>
    <x v="1019"/>
    <s v="Annual"/>
    <n v="1"/>
    <n v="1"/>
    <n v="85176"/>
    <n v="85176"/>
  </r>
  <r>
    <x v="0"/>
    <n v="81"/>
    <x v="33"/>
    <x v="2"/>
    <x v="2"/>
    <n v="1050"/>
    <x v="53"/>
    <x v="33"/>
    <x v="74"/>
    <n v="3222"/>
    <x v="279"/>
    <n v="4151"/>
    <x v="268"/>
    <s v="1 00"/>
    <n v="0"/>
    <n v="15"/>
    <x v="37"/>
    <s v="Annual"/>
    <n v="0"/>
    <n v="0"/>
    <n v="2869"/>
    <n v="2869"/>
  </r>
  <r>
    <x v="0"/>
    <n v="81"/>
    <x v="33"/>
    <x v="2"/>
    <x v="2"/>
    <n v="1050"/>
    <x v="53"/>
    <x v="33"/>
    <x v="74"/>
    <n v="3222"/>
    <x v="279"/>
    <n v="4152"/>
    <x v="269"/>
    <s v="BX 20"/>
    <n v="10"/>
    <n v="8185"/>
    <x v="872"/>
    <s v="Annual"/>
    <n v="1"/>
    <n v="1"/>
    <n v="150072"/>
    <n v="150072"/>
  </r>
  <r>
    <x v="0"/>
    <n v="81"/>
    <x v="33"/>
    <x v="2"/>
    <x v="2"/>
    <n v="1050"/>
    <x v="53"/>
    <x v="33"/>
    <x v="74"/>
    <n v="3222"/>
    <x v="279"/>
    <n v="4152"/>
    <x v="269"/>
    <s v="B 10"/>
    <n v="1"/>
    <n v="6333"/>
    <x v="1020"/>
    <s v="Annual"/>
    <n v="10"/>
    <n v="1"/>
    <n v="90144"/>
    <n v="901440"/>
  </r>
  <r>
    <x v="0"/>
    <n v="81"/>
    <x v="33"/>
    <x v="2"/>
    <x v="2"/>
    <n v="1050"/>
    <x v="53"/>
    <x v="33"/>
    <x v="74"/>
    <n v="3222"/>
    <x v="279"/>
    <n v="4152"/>
    <x v="269"/>
    <s v="B 10"/>
    <n v="1"/>
    <n v="6333"/>
    <x v="1020"/>
    <s v="Annual"/>
    <n v="1"/>
    <n v="1"/>
    <n v="86112"/>
    <n v="86112"/>
  </r>
  <r>
    <x v="0"/>
    <n v="81"/>
    <x v="33"/>
    <x v="2"/>
    <x v="2"/>
    <n v="1050"/>
    <x v="53"/>
    <x v="33"/>
    <x v="74"/>
    <n v="3222"/>
    <x v="279"/>
    <n v="4152"/>
    <x v="269"/>
    <s v="B 10"/>
    <n v="1"/>
    <n v="6333"/>
    <x v="1020"/>
    <s v="Annual"/>
    <n v="1"/>
    <n v="1"/>
    <n v="78432"/>
    <n v="78432"/>
  </r>
  <r>
    <x v="0"/>
    <n v="81"/>
    <x v="33"/>
    <x v="2"/>
    <x v="2"/>
    <n v="1050"/>
    <x v="53"/>
    <x v="33"/>
    <x v="74"/>
    <n v="3222"/>
    <x v="279"/>
    <n v="4152"/>
    <x v="269"/>
    <s v="B 10"/>
    <n v="1"/>
    <n v="6333"/>
    <x v="1020"/>
    <s v="Annual"/>
    <n v="2"/>
    <n v="1"/>
    <n v="71436"/>
    <n v="142872"/>
  </r>
  <r>
    <x v="0"/>
    <n v="81"/>
    <x v="33"/>
    <x v="2"/>
    <x v="2"/>
    <n v="1050"/>
    <x v="53"/>
    <x v="33"/>
    <x v="74"/>
    <n v="3222"/>
    <x v="279"/>
    <n v="4152"/>
    <x v="269"/>
    <s v="B 10"/>
    <n v="1"/>
    <n v="6333"/>
    <x v="1020"/>
    <s v="Annual"/>
    <n v="3"/>
    <n v="1"/>
    <n v="68256"/>
    <n v="204768"/>
  </r>
  <r>
    <x v="0"/>
    <n v="81"/>
    <x v="33"/>
    <x v="2"/>
    <x v="2"/>
    <n v="1050"/>
    <x v="53"/>
    <x v="33"/>
    <x v="74"/>
    <n v="3222"/>
    <x v="279"/>
    <n v="4152"/>
    <x v="269"/>
    <s v="B 10"/>
    <n v="1"/>
    <n v="6333"/>
    <x v="1020"/>
    <s v="Annual"/>
    <n v="1"/>
    <n v="1"/>
    <n v="64488"/>
    <n v="64488"/>
  </r>
  <r>
    <x v="0"/>
    <n v="81"/>
    <x v="33"/>
    <x v="2"/>
    <x v="2"/>
    <n v="1050"/>
    <x v="53"/>
    <x v="33"/>
    <x v="74"/>
    <n v="3222"/>
    <x v="279"/>
    <n v="4152"/>
    <x v="269"/>
    <s v="B 10"/>
    <n v="1"/>
    <n v="6333"/>
    <x v="1020"/>
    <s v="Annual"/>
    <n v="2"/>
    <n v="1"/>
    <n v="61548"/>
    <n v="123096"/>
  </r>
  <r>
    <x v="0"/>
    <n v="81"/>
    <x v="33"/>
    <x v="2"/>
    <x v="2"/>
    <n v="1050"/>
    <x v="53"/>
    <x v="33"/>
    <x v="74"/>
    <n v="3222"/>
    <x v="279"/>
    <n v="4152"/>
    <x v="269"/>
    <s v="B 10"/>
    <n v="1"/>
    <n v="6333"/>
    <x v="1020"/>
    <s v="Annual"/>
    <n v="3"/>
    <n v="1"/>
    <n v="58764"/>
    <n v="176292"/>
  </r>
  <r>
    <x v="0"/>
    <n v="81"/>
    <x v="33"/>
    <x v="2"/>
    <x v="2"/>
    <n v="1050"/>
    <x v="53"/>
    <x v="33"/>
    <x v="74"/>
    <n v="3222"/>
    <x v="279"/>
    <n v="4152"/>
    <x v="269"/>
    <s v="B 10"/>
    <n v="1"/>
    <n v="6333"/>
    <x v="1020"/>
    <s v="Annual"/>
    <n v="2"/>
    <n v="1"/>
    <n v="56124"/>
    <n v="112248"/>
  </r>
  <r>
    <x v="0"/>
    <n v="81"/>
    <x v="33"/>
    <x v="2"/>
    <x v="2"/>
    <n v="1050"/>
    <x v="53"/>
    <x v="33"/>
    <x v="74"/>
    <n v="3222"/>
    <x v="279"/>
    <n v="4152"/>
    <x v="269"/>
    <s v="B 10"/>
    <n v="1"/>
    <n v="6333"/>
    <x v="1020"/>
    <s v="Annual"/>
    <n v="5"/>
    <n v="1"/>
    <n v="53532"/>
    <n v="267660"/>
  </r>
  <r>
    <x v="0"/>
    <n v="81"/>
    <x v="33"/>
    <x v="2"/>
    <x v="2"/>
    <n v="1050"/>
    <x v="53"/>
    <x v="33"/>
    <x v="74"/>
    <n v="3222"/>
    <x v="279"/>
    <n v="4152"/>
    <x v="269"/>
    <s v="B 10"/>
    <n v="1"/>
    <n v="6333"/>
    <x v="1020"/>
    <s v="Annual"/>
    <n v="3"/>
    <n v="1"/>
    <n v="51936"/>
    <n v="155808"/>
  </r>
  <r>
    <x v="0"/>
    <n v="81"/>
    <x v="33"/>
    <x v="2"/>
    <x v="2"/>
    <n v="1050"/>
    <x v="53"/>
    <x v="33"/>
    <x v="74"/>
    <n v="3222"/>
    <x v="279"/>
    <n v="4152"/>
    <x v="269"/>
    <s v="P 14"/>
    <n v="8"/>
    <n v="6292"/>
    <x v="1019"/>
    <s v="Annual"/>
    <n v="2"/>
    <n v="1"/>
    <n v="130620"/>
    <n v="261240"/>
  </r>
  <r>
    <x v="0"/>
    <n v="81"/>
    <x v="33"/>
    <x v="2"/>
    <x v="2"/>
    <n v="1050"/>
    <x v="53"/>
    <x v="33"/>
    <x v="74"/>
    <n v="3222"/>
    <x v="279"/>
    <n v="4152"/>
    <x v="269"/>
    <s v="P 14"/>
    <n v="8"/>
    <n v="6292"/>
    <x v="1019"/>
    <s v="Annual"/>
    <n v="1"/>
    <n v="1"/>
    <n v="108528"/>
    <n v="108528"/>
  </r>
  <r>
    <x v="0"/>
    <n v="81"/>
    <x v="33"/>
    <x v="2"/>
    <x v="2"/>
    <n v="1050"/>
    <x v="53"/>
    <x v="33"/>
    <x v="74"/>
    <n v="3222"/>
    <x v="279"/>
    <n v="4152"/>
    <x v="269"/>
    <s v="P 14"/>
    <n v="8"/>
    <n v="6292"/>
    <x v="1019"/>
    <s v="Annual"/>
    <n v="1"/>
    <n v="1"/>
    <n v="89232"/>
    <n v="89232"/>
  </r>
  <r>
    <x v="0"/>
    <n v="81"/>
    <x v="33"/>
    <x v="2"/>
    <x v="2"/>
    <n v="1050"/>
    <x v="53"/>
    <x v="33"/>
    <x v="74"/>
    <n v="3222"/>
    <x v="279"/>
    <n v="4152"/>
    <x v="269"/>
    <s v="1 00"/>
    <n v="0"/>
    <n v="15"/>
    <x v="37"/>
    <s v="Annual"/>
    <n v="0"/>
    <n v="0"/>
    <n v="23650"/>
    <n v="23650"/>
  </r>
  <r>
    <x v="0"/>
    <n v="81"/>
    <x v="33"/>
    <x v="2"/>
    <x v="2"/>
    <n v="1050"/>
    <x v="53"/>
    <x v="33"/>
    <x v="74"/>
    <n v="3222"/>
    <x v="279"/>
    <n v="4153"/>
    <x v="270"/>
    <s v="P 14"/>
    <n v="8"/>
    <n v="6292"/>
    <x v="1019"/>
    <s v="Annual"/>
    <n v="1"/>
    <n v="1"/>
    <n v="98892"/>
    <n v="98892"/>
  </r>
  <r>
    <x v="0"/>
    <n v="81"/>
    <x v="33"/>
    <x v="2"/>
    <x v="2"/>
    <n v="1050"/>
    <x v="53"/>
    <x v="33"/>
    <x v="74"/>
    <n v="3222"/>
    <x v="279"/>
    <n v="4153"/>
    <x v="270"/>
    <s v="B 09"/>
    <n v="1"/>
    <n v="460"/>
    <x v="344"/>
    <s v="Annual"/>
    <n v="1"/>
    <n v="1"/>
    <n v="82140"/>
    <n v="82140"/>
  </r>
  <r>
    <x v="0"/>
    <n v="81"/>
    <x v="33"/>
    <x v="2"/>
    <x v="2"/>
    <n v="1050"/>
    <x v="53"/>
    <x v="33"/>
    <x v="74"/>
    <n v="3222"/>
    <x v="279"/>
    <n v="4153"/>
    <x v="270"/>
    <s v="B 09"/>
    <n v="1"/>
    <n v="460"/>
    <x v="344"/>
    <s v="Annual"/>
    <n v="1"/>
    <n v="1"/>
    <n v="48864"/>
    <n v="48864"/>
  </r>
  <r>
    <x v="0"/>
    <n v="81"/>
    <x v="33"/>
    <x v="2"/>
    <x v="2"/>
    <n v="1050"/>
    <x v="53"/>
    <x v="33"/>
    <x v="74"/>
    <n v="3222"/>
    <x v="279"/>
    <n v="4153"/>
    <x v="270"/>
    <s v="B 09"/>
    <n v="1"/>
    <n v="460"/>
    <x v="344"/>
    <s v="Annual"/>
    <n v="1"/>
    <n v="1"/>
    <n v="47364"/>
    <n v="47364"/>
  </r>
  <r>
    <x v="0"/>
    <n v="81"/>
    <x v="33"/>
    <x v="2"/>
    <x v="2"/>
    <n v="1050"/>
    <x v="53"/>
    <x v="33"/>
    <x v="74"/>
    <n v="3222"/>
    <x v="279"/>
    <n v="4153"/>
    <x v="270"/>
    <s v="B 09"/>
    <n v="1"/>
    <n v="415"/>
    <x v="619"/>
    <s v="Annual"/>
    <n v="1"/>
    <n v="1"/>
    <n v="53532"/>
    <n v="53532"/>
  </r>
  <r>
    <x v="0"/>
    <n v="81"/>
    <x v="33"/>
    <x v="2"/>
    <x v="2"/>
    <n v="1050"/>
    <x v="53"/>
    <x v="33"/>
    <x v="74"/>
    <n v="3222"/>
    <x v="279"/>
    <n v="4153"/>
    <x v="270"/>
    <s v="B 09"/>
    <n v="1"/>
    <n v="415"/>
    <x v="619"/>
    <s v="Annual"/>
    <n v="1"/>
    <n v="1"/>
    <n v="51108"/>
    <n v="51108"/>
  </r>
  <r>
    <x v="0"/>
    <n v="81"/>
    <x v="33"/>
    <x v="2"/>
    <x v="2"/>
    <n v="1050"/>
    <x v="53"/>
    <x v="33"/>
    <x v="74"/>
    <n v="3222"/>
    <x v="279"/>
    <n v="4153"/>
    <x v="270"/>
    <s v="B 12"/>
    <n v="1"/>
    <s v="03A8"/>
    <x v="88"/>
    <s v="Annual"/>
    <n v="1"/>
    <n v="1"/>
    <n v="74172"/>
    <n v="74172"/>
  </r>
  <r>
    <x v="0"/>
    <n v="81"/>
    <x v="33"/>
    <x v="2"/>
    <x v="2"/>
    <n v="1050"/>
    <x v="53"/>
    <x v="33"/>
    <x v="74"/>
    <n v="3222"/>
    <x v="279"/>
    <n v="4153"/>
    <x v="270"/>
    <s v="B 12"/>
    <n v="1"/>
    <s v="03A8"/>
    <x v="88"/>
    <s v="Annual"/>
    <n v="1"/>
    <n v="1"/>
    <n v="67608"/>
    <n v="67608"/>
  </r>
  <r>
    <x v="0"/>
    <n v="81"/>
    <x v="33"/>
    <x v="2"/>
    <x v="2"/>
    <n v="1050"/>
    <x v="53"/>
    <x v="33"/>
    <x v="74"/>
    <n v="3222"/>
    <x v="279"/>
    <n v="4153"/>
    <x v="270"/>
    <s v="B 13"/>
    <n v="1"/>
    <n v="308"/>
    <x v="90"/>
    <s v="Annual"/>
    <n v="1"/>
    <n v="1"/>
    <n v="68616"/>
    <n v="68616"/>
  </r>
  <r>
    <x v="0"/>
    <n v="81"/>
    <x v="33"/>
    <x v="2"/>
    <x v="2"/>
    <n v="1050"/>
    <x v="53"/>
    <x v="33"/>
    <x v="74"/>
    <n v="3222"/>
    <x v="279"/>
    <n v="4153"/>
    <x v="270"/>
    <s v="1 00"/>
    <n v="0"/>
    <n v="15"/>
    <x v="37"/>
    <s v="Annual"/>
    <n v="0"/>
    <n v="0"/>
    <n v="5709"/>
    <n v="5709"/>
  </r>
  <r>
    <x v="0"/>
    <n v="81"/>
    <x v="33"/>
    <x v="2"/>
    <x v="2"/>
    <n v="1050"/>
    <x v="53"/>
    <x v="33"/>
    <x v="74"/>
    <n v="3223"/>
    <x v="280"/>
    <n v="0"/>
    <x v="0"/>
    <s v="BX 22"/>
    <n v="10"/>
    <n v="8184"/>
    <x v="877"/>
    <s v="Annual"/>
    <n v="1"/>
    <n v="1"/>
    <n v="150072"/>
    <n v="150072"/>
  </r>
  <r>
    <x v="0"/>
    <n v="81"/>
    <x v="33"/>
    <x v="2"/>
    <x v="2"/>
    <n v="1050"/>
    <x v="53"/>
    <x v="33"/>
    <x v="74"/>
    <n v="3223"/>
    <x v="280"/>
    <n v="0"/>
    <x v="0"/>
    <s v="2 0"/>
    <n v="8"/>
    <n v="7127"/>
    <x v="497"/>
    <s v="Hourly"/>
    <n v="3"/>
    <n v="1"/>
    <n v="51.29"/>
    <n v="320050"/>
  </r>
  <r>
    <x v="0"/>
    <n v="81"/>
    <x v="33"/>
    <x v="2"/>
    <x v="2"/>
    <n v="1050"/>
    <x v="53"/>
    <x v="33"/>
    <x v="74"/>
    <n v="3223"/>
    <x v="280"/>
    <n v="0"/>
    <x v="0"/>
    <s v="2 0"/>
    <n v="8"/>
    <n v="7124"/>
    <x v="498"/>
    <s v="Hourly"/>
    <n v="14"/>
    <n v="1"/>
    <n v="49.58"/>
    <n v="1443770"/>
  </r>
  <r>
    <x v="0"/>
    <n v="81"/>
    <x v="33"/>
    <x v="2"/>
    <x v="2"/>
    <n v="1050"/>
    <x v="53"/>
    <x v="33"/>
    <x v="74"/>
    <n v="3223"/>
    <x v="280"/>
    <n v="0"/>
    <x v="0"/>
    <s v="1 00"/>
    <n v="0"/>
    <n v="15"/>
    <x v="37"/>
    <s v="Annual"/>
    <n v="0"/>
    <n v="0"/>
    <n v="3570"/>
    <n v="3570"/>
  </r>
  <r>
    <x v="0"/>
    <n v="81"/>
    <x v="33"/>
    <x v="2"/>
    <x v="2"/>
    <n v="1050"/>
    <x v="53"/>
    <x v="33"/>
    <x v="74"/>
    <n v="3223"/>
    <x v="280"/>
    <n v="0"/>
    <x v="0"/>
    <s v="1 00"/>
    <n v="0"/>
    <n v="12"/>
    <x v="291"/>
    <s v="Annual"/>
    <n v="0"/>
    <n v="0"/>
    <n v="26458"/>
    <n v="26458"/>
  </r>
  <r>
    <x v="0"/>
    <n v="81"/>
    <x v="33"/>
    <x v="2"/>
    <x v="2"/>
    <n v="1050"/>
    <x v="53"/>
    <x v="33"/>
    <x v="74"/>
    <n v="3224"/>
    <x v="281"/>
    <n v="0"/>
    <x v="0"/>
    <s v="2 0"/>
    <n v="8"/>
    <n v="7187"/>
    <x v="1021"/>
    <s v="Hourly"/>
    <n v="1"/>
    <n v="1"/>
    <n v="54.09"/>
    <n v="112507"/>
  </r>
  <r>
    <x v="0"/>
    <n v="81"/>
    <x v="33"/>
    <x v="2"/>
    <x v="2"/>
    <n v="1050"/>
    <x v="53"/>
    <x v="33"/>
    <x v="74"/>
    <n v="3224"/>
    <x v="281"/>
    <n v="0"/>
    <x v="0"/>
    <s v="2 0"/>
    <n v="8"/>
    <n v="7185"/>
    <x v="485"/>
    <s v="Hourly"/>
    <n v="6"/>
    <n v="1"/>
    <n v="52.38"/>
    <n v="653702"/>
  </r>
  <r>
    <x v="0"/>
    <n v="81"/>
    <x v="33"/>
    <x v="2"/>
    <x v="2"/>
    <n v="1050"/>
    <x v="53"/>
    <x v="33"/>
    <x v="74"/>
    <n v="3224"/>
    <x v="281"/>
    <n v="0"/>
    <x v="0"/>
    <s v="1 00"/>
    <n v="0"/>
    <n v="12"/>
    <x v="291"/>
    <s v="Annual"/>
    <n v="0"/>
    <n v="0"/>
    <n v="11494"/>
    <n v="11494"/>
  </r>
  <r>
    <x v="0"/>
    <n v="81"/>
    <x v="33"/>
    <x v="2"/>
    <x v="2"/>
    <n v="1050"/>
    <x v="53"/>
    <x v="33"/>
    <x v="74"/>
    <n v="3225"/>
    <x v="282"/>
    <n v="0"/>
    <x v="0"/>
    <s v="2 0"/>
    <n v="8"/>
    <n v="7184"/>
    <x v="882"/>
    <s v="Hourly"/>
    <n v="17"/>
    <n v="1"/>
    <n v="48.73"/>
    <n v="1723093"/>
  </r>
  <r>
    <x v="0"/>
    <n v="81"/>
    <x v="33"/>
    <x v="2"/>
    <x v="2"/>
    <n v="1050"/>
    <x v="53"/>
    <x v="33"/>
    <x v="74"/>
    <n v="3225"/>
    <x v="282"/>
    <n v="0"/>
    <x v="0"/>
    <s v="2 0"/>
    <n v="8"/>
    <n v="7184"/>
    <x v="882"/>
    <s v="Hourly"/>
    <n v="1"/>
    <n v="1"/>
    <n v="43.86"/>
    <n v="91229"/>
  </r>
  <r>
    <x v="0"/>
    <n v="81"/>
    <x v="33"/>
    <x v="2"/>
    <x v="2"/>
    <n v="1050"/>
    <x v="53"/>
    <x v="33"/>
    <x v="74"/>
    <n v="3225"/>
    <x v="282"/>
    <n v="0"/>
    <x v="0"/>
    <s v="2 0"/>
    <n v="8"/>
    <n v="7183"/>
    <x v="449"/>
    <s v="Hourly"/>
    <n v="4"/>
    <n v="1"/>
    <n v="49.46"/>
    <n v="411507"/>
  </r>
  <r>
    <x v="0"/>
    <n v="81"/>
    <x v="33"/>
    <x v="2"/>
    <x v="2"/>
    <n v="1050"/>
    <x v="53"/>
    <x v="33"/>
    <x v="74"/>
    <n v="3225"/>
    <x v="282"/>
    <n v="0"/>
    <x v="0"/>
    <s v="2 0"/>
    <n v="8"/>
    <n v="7183"/>
    <x v="449"/>
    <s v="Hourly"/>
    <n v="16"/>
    <n v="1"/>
    <n v="48.73"/>
    <n v="1621734"/>
  </r>
  <r>
    <x v="0"/>
    <n v="81"/>
    <x v="33"/>
    <x v="2"/>
    <x v="2"/>
    <n v="1050"/>
    <x v="53"/>
    <x v="33"/>
    <x v="74"/>
    <n v="3225"/>
    <x v="282"/>
    <n v="0"/>
    <x v="0"/>
    <s v="1 00"/>
    <n v="0"/>
    <n v="12"/>
    <x v="291"/>
    <s v="Annual"/>
    <n v="0"/>
    <n v="0"/>
    <n v="57713"/>
    <n v="57713"/>
  </r>
  <r>
    <x v="0"/>
    <n v="84"/>
    <x v="34"/>
    <x v="2"/>
    <x v="2"/>
    <n v="1125"/>
    <x v="54"/>
    <x v="34"/>
    <x v="75"/>
    <n v="3222"/>
    <x v="283"/>
    <n v="0"/>
    <x v="0"/>
    <s v="G 08"/>
    <n v="4"/>
    <n v="5814"/>
    <x v="967"/>
    <s v="Annual"/>
    <n v="1"/>
    <n v="1"/>
    <n v="128316"/>
    <n v="128316"/>
  </r>
  <r>
    <x v="0"/>
    <n v="84"/>
    <x v="34"/>
    <x v="2"/>
    <x v="2"/>
    <n v="1125"/>
    <x v="54"/>
    <x v="34"/>
    <x v="75"/>
    <n v="3222"/>
    <x v="283"/>
    <n v="0"/>
    <x v="0"/>
    <s v="X 43"/>
    <n v="0"/>
    <n v="5635"/>
    <x v="423"/>
    <s v="Annual"/>
    <n v="1"/>
    <n v="1"/>
    <n v="133836"/>
    <n v="133836"/>
  </r>
  <r>
    <x v="0"/>
    <n v="84"/>
    <x v="34"/>
    <x v="2"/>
    <x v="2"/>
    <n v="1125"/>
    <x v="54"/>
    <x v="34"/>
    <x v="75"/>
    <n v="3222"/>
    <x v="283"/>
    <n v="0"/>
    <x v="0"/>
    <s v="G 08"/>
    <n v="4"/>
    <n v="5614"/>
    <x v="904"/>
    <s v="Annual"/>
    <n v="1"/>
    <n v="1"/>
    <n v="141564"/>
    <n v="141564"/>
  </r>
  <r>
    <x v="0"/>
    <n v="84"/>
    <x v="34"/>
    <x v="2"/>
    <x v="2"/>
    <n v="1125"/>
    <x v="54"/>
    <x v="34"/>
    <x v="75"/>
    <n v="3222"/>
    <x v="283"/>
    <n v="0"/>
    <x v="0"/>
    <s v="B 10"/>
    <n v="1"/>
    <s v="03A7"/>
    <x v="4"/>
    <s v="Annual"/>
    <n v="1"/>
    <n v="1"/>
    <n v="90144"/>
    <n v="90144"/>
  </r>
  <r>
    <x v="0"/>
    <n v="84"/>
    <x v="34"/>
    <x v="2"/>
    <x v="2"/>
    <n v="1125"/>
    <x v="54"/>
    <x v="34"/>
    <x v="75"/>
    <n v="3222"/>
    <x v="283"/>
    <n v="0"/>
    <x v="0"/>
    <s v="1 00"/>
    <n v="0"/>
    <n v="15"/>
    <x v="37"/>
    <s v="Annual"/>
    <n v="0"/>
    <n v="0"/>
    <n v="474"/>
    <n v="474"/>
  </r>
  <r>
    <x v="0"/>
    <n v="84"/>
    <x v="34"/>
    <x v="2"/>
    <x v="2"/>
    <n v="1125"/>
    <x v="54"/>
    <x v="34"/>
    <x v="75"/>
    <n v="3223"/>
    <x v="284"/>
    <n v="0"/>
    <x v="0"/>
    <s v="B 15"/>
    <n v="1"/>
    <n v="6145"/>
    <x v="897"/>
    <s v="Annual"/>
    <n v="1"/>
    <n v="1"/>
    <n v="143400"/>
    <n v="143400"/>
  </r>
  <r>
    <x v="0"/>
    <n v="84"/>
    <x v="34"/>
    <x v="2"/>
    <x v="2"/>
    <n v="1125"/>
    <x v="54"/>
    <x v="34"/>
    <x v="75"/>
    <n v="3223"/>
    <x v="284"/>
    <n v="0"/>
    <x v="0"/>
    <s v="B 15"/>
    <n v="1"/>
    <n v="6145"/>
    <x v="897"/>
    <s v="Annual"/>
    <n v="1"/>
    <n v="1"/>
    <n v="82644"/>
    <n v="82644"/>
  </r>
  <r>
    <x v="0"/>
    <n v="84"/>
    <x v="34"/>
    <x v="2"/>
    <x v="2"/>
    <n v="1125"/>
    <x v="54"/>
    <x v="34"/>
    <x v="75"/>
    <n v="3223"/>
    <x v="284"/>
    <n v="0"/>
    <x v="0"/>
    <s v="B 13"/>
    <n v="1"/>
    <n v="6143"/>
    <x v="928"/>
    <s v="Annual"/>
    <n v="1"/>
    <n v="1"/>
    <n v="85200"/>
    <n v="85200"/>
  </r>
  <r>
    <x v="0"/>
    <n v="84"/>
    <x v="34"/>
    <x v="2"/>
    <x v="2"/>
    <n v="1125"/>
    <x v="54"/>
    <x v="34"/>
    <x v="75"/>
    <n v="3223"/>
    <x v="284"/>
    <n v="0"/>
    <x v="0"/>
    <s v="X 43"/>
    <n v="10"/>
    <n v="5905"/>
    <x v="917"/>
    <s v="Annual"/>
    <n v="1"/>
    <n v="1"/>
    <n v="160680"/>
    <n v="160680"/>
  </r>
  <r>
    <x v="0"/>
    <n v="84"/>
    <x v="34"/>
    <x v="2"/>
    <x v="2"/>
    <n v="1125"/>
    <x v="54"/>
    <x v="34"/>
    <x v="75"/>
    <n v="3223"/>
    <x v="284"/>
    <n v="0"/>
    <x v="0"/>
    <s v="GY 12"/>
    <n v="20"/>
    <n v="5630"/>
    <x v="421"/>
    <s v="Annual"/>
    <n v="1"/>
    <n v="1"/>
    <n v="135744"/>
    <n v="135744"/>
  </r>
  <r>
    <x v="0"/>
    <n v="84"/>
    <x v="34"/>
    <x v="2"/>
    <x v="2"/>
    <n v="1125"/>
    <x v="54"/>
    <x v="34"/>
    <x v="75"/>
    <n v="3223"/>
    <x v="284"/>
    <n v="0"/>
    <x v="0"/>
    <s v="G 08"/>
    <n v="4"/>
    <n v="5614"/>
    <x v="904"/>
    <s v="Annual"/>
    <n v="1"/>
    <n v="1"/>
    <n v="141564"/>
    <n v="141564"/>
  </r>
  <r>
    <x v="0"/>
    <n v="84"/>
    <x v="34"/>
    <x v="2"/>
    <x v="2"/>
    <n v="1125"/>
    <x v="54"/>
    <x v="34"/>
    <x v="75"/>
    <n v="3223"/>
    <x v="284"/>
    <n v="0"/>
    <x v="0"/>
    <s v="G 08"/>
    <n v="4"/>
    <n v="5614"/>
    <x v="904"/>
    <s v="Annual"/>
    <n v="1"/>
    <n v="1"/>
    <n v="117636"/>
    <n v="117636"/>
  </r>
  <r>
    <x v="0"/>
    <n v="84"/>
    <x v="34"/>
    <x v="2"/>
    <x v="2"/>
    <n v="1125"/>
    <x v="54"/>
    <x v="34"/>
    <x v="75"/>
    <n v="3223"/>
    <x v="284"/>
    <n v="0"/>
    <x v="0"/>
    <s v="1 00"/>
    <n v="0"/>
    <n v="15"/>
    <x v="37"/>
    <s v="Annual"/>
    <n v="0"/>
    <n v="0"/>
    <n v="4449"/>
    <n v="4449"/>
  </r>
  <r>
    <x v="0"/>
    <n v="84"/>
    <x v="34"/>
    <x v="2"/>
    <x v="2"/>
    <n v="1125"/>
    <x v="54"/>
    <x v="34"/>
    <x v="75"/>
    <n v="3224"/>
    <x v="285"/>
    <n v="4226"/>
    <x v="271"/>
    <s v="G 08"/>
    <n v="4"/>
    <n v="6254"/>
    <x v="910"/>
    <s v="Annual"/>
    <n v="1"/>
    <n v="1"/>
    <n v="134184"/>
    <n v="134184"/>
  </r>
  <r>
    <x v="0"/>
    <n v="84"/>
    <x v="34"/>
    <x v="2"/>
    <x v="2"/>
    <n v="1125"/>
    <x v="54"/>
    <x v="34"/>
    <x v="75"/>
    <n v="3224"/>
    <x v="285"/>
    <n v="4226"/>
    <x v="271"/>
    <s v="X 43"/>
    <n v="10"/>
    <n v="5905"/>
    <x v="917"/>
    <s v="Annual"/>
    <n v="1"/>
    <n v="1"/>
    <n v="167700"/>
    <n v="167700"/>
  </r>
  <r>
    <x v="0"/>
    <n v="84"/>
    <x v="34"/>
    <x v="2"/>
    <x v="2"/>
    <n v="1125"/>
    <x v="54"/>
    <x v="34"/>
    <x v="75"/>
    <n v="3224"/>
    <x v="285"/>
    <n v="4226"/>
    <x v="271"/>
    <s v="GY 12"/>
    <n v="20"/>
    <n v="5630"/>
    <x v="421"/>
    <s v="Annual"/>
    <n v="1"/>
    <n v="1"/>
    <n v="131124"/>
    <n v="131124"/>
  </r>
  <r>
    <x v="0"/>
    <n v="84"/>
    <x v="34"/>
    <x v="2"/>
    <x v="2"/>
    <n v="1125"/>
    <x v="54"/>
    <x v="34"/>
    <x v="75"/>
    <n v="3224"/>
    <x v="285"/>
    <n v="4226"/>
    <x v="271"/>
    <s v="GY 12"/>
    <n v="20"/>
    <n v="5630"/>
    <x v="421"/>
    <s v="Annual"/>
    <n v="1"/>
    <n v="1"/>
    <n v="115992"/>
    <n v="115992"/>
  </r>
  <r>
    <x v="0"/>
    <n v="84"/>
    <x v="34"/>
    <x v="2"/>
    <x v="2"/>
    <n v="1125"/>
    <x v="54"/>
    <x v="34"/>
    <x v="75"/>
    <n v="3224"/>
    <x v="285"/>
    <n v="4226"/>
    <x v="271"/>
    <s v="G 09"/>
    <n v="4"/>
    <n v="5615"/>
    <x v="903"/>
    <s v="Annual"/>
    <n v="1"/>
    <n v="1"/>
    <n v="154764"/>
    <n v="154764"/>
  </r>
  <r>
    <x v="0"/>
    <n v="84"/>
    <x v="34"/>
    <x v="2"/>
    <x v="2"/>
    <n v="1125"/>
    <x v="54"/>
    <x v="34"/>
    <x v="75"/>
    <n v="3224"/>
    <x v="285"/>
    <n v="4226"/>
    <x v="271"/>
    <s v="G 09"/>
    <n v="4"/>
    <n v="5615"/>
    <x v="903"/>
    <s v="Annual"/>
    <n v="1"/>
    <n v="1"/>
    <n v="146448"/>
    <n v="146448"/>
  </r>
  <r>
    <x v="0"/>
    <n v="84"/>
    <x v="34"/>
    <x v="2"/>
    <x v="2"/>
    <n v="1125"/>
    <x v="54"/>
    <x v="34"/>
    <x v="75"/>
    <n v="3224"/>
    <x v="285"/>
    <n v="4226"/>
    <x v="271"/>
    <s v="G 08"/>
    <n v="4"/>
    <n v="5614"/>
    <x v="904"/>
    <s v="Annual"/>
    <n v="1"/>
    <n v="1"/>
    <n v="99408"/>
    <n v="99408"/>
  </r>
  <r>
    <x v="0"/>
    <n v="84"/>
    <x v="34"/>
    <x v="2"/>
    <x v="2"/>
    <n v="1125"/>
    <x v="54"/>
    <x v="34"/>
    <x v="75"/>
    <n v="3224"/>
    <x v="285"/>
    <n v="4226"/>
    <x v="271"/>
    <s v="G 07"/>
    <n v="4"/>
    <n v="5613"/>
    <x v="898"/>
    <s v="Annual"/>
    <n v="1"/>
    <n v="1"/>
    <n v="102516"/>
    <n v="102516"/>
  </r>
  <r>
    <x v="0"/>
    <n v="84"/>
    <x v="34"/>
    <x v="2"/>
    <x v="2"/>
    <n v="1125"/>
    <x v="54"/>
    <x v="34"/>
    <x v="75"/>
    <n v="3224"/>
    <x v="285"/>
    <n v="4226"/>
    <x v="271"/>
    <s v="1 00"/>
    <n v="0"/>
    <n v="15"/>
    <x v="37"/>
    <s v="Annual"/>
    <n v="0"/>
    <n v="0"/>
    <n v="11646"/>
    <n v="11646"/>
  </r>
  <r>
    <x v="0"/>
    <n v="84"/>
    <x v="34"/>
    <x v="2"/>
    <x v="2"/>
    <n v="1125"/>
    <x v="54"/>
    <x v="34"/>
    <x v="75"/>
    <n v="3225"/>
    <x v="231"/>
    <n v="0"/>
    <x v="0"/>
    <s v="X 42"/>
    <n v="0"/>
    <n v="9681"/>
    <x v="81"/>
    <s v="Annual"/>
    <n v="1"/>
    <n v="1"/>
    <n v="184584"/>
    <n v="184584"/>
  </r>
  <r>
    <x v="0"/>
    <n v="84"/>
    <x v="34"/>
    <x v="2"/>
    <x v="2"/>
    <n v="1125"/>
    <x v="54"/>
    <x v="34"/>
    <x v="75"/>
    <n v="3225"/>
    <x v="231"/>
    <n v="0"/>
    <x v="0"/>
    <s v="B 16"/>
    <n v="4"/>
    <n v="345"/>
    <x v="108"/>
    <s v="Annual"/>
    <n v="1"/>
    <n v="1"/>
    <n v="107508"/>
    <n v="107508"/>
  </r>
  <r>
    <x v="0"/>
    <n v="84"/>
    <x v="34"/>
    <x v="2"/>
    <x v="2"/>
    <n v="1125"/>
    <x v="54"/>
    <x v="34"/>
    <x v="75"/>
    <n v="3225"/>
    <x v="231"/>
    <n v="0"/>
    <x v="0"/>
    <s v="B 13"/>
    <n v="1"/>
    <n v="308"/>
    <x v="90"/>
    <s v="Annual"/>
    <n v="1"/>
    <n v="1"/>
    <n v="119100"/>
    <n v="119100"/>
  </r>
  <r>
    <x v="0"/>
    <n v="84"/>
    <x v="34"/>
    <x v="2"/>
    <x v="2"/>
    <n v="1125"/>
    <x v="54"/>
    <x v="34"/>
    <x v="75"/>
    <n v="3225"/>
    <x v="231"/>
    <n v="0"/>
    <x v="0"/>
    <s v="1 00"/>
    <n v="0"/>
    <n v="15"/>
    <x v="37"/>
    <s v="Annual"/>
    <n v="0"/>
    <n v="0"/>
    <n v="6451"/>
    <n v="6451"/>
  </r>
  <r>
    <x v="0"/>
    <n v="84"/>
    <x v="34"/>
    <x v="2"/>
    <x v="2"/>
    <n v="1125"/>
    <x v="54"/>
    <x v="34"/>
    <x v="75"/>
    <n v="3228"/>
    <x v="286"/>
    <n v="0"/>
    <x v="0"/>
    <s v="X 43"/>
    <n v="10"/>
    <n v="5905"/>
    <x v="917"/>
    <s v="Annual"/>
    <n v="1"/>
    <n v="1"/>
    <n v="160680"/>
    <n v="160680"/>
  </r>
  <r>
    <x v="0"/>
    <n v="84"/>
    <x v="34"/>
    <x v="2"/>
    <x v="2"/>
    <n v="1125"/>
    <x v="54"/>
    <x v="34"/>
    <x v="75"/>
    <n v="3228"/>
    <x v="286"/>
    <n v="0"/>
    <x v="0"/>
    <s v="G 08"/>
    <n v="4"/>
    <n v="5614"/>
    <x v="904"/>
    <s v="Annual"/>
    <n v="1"/>
    <n v="1"/>
    <n v="141564"/>
    <n v="141564"/>
  </r>
  <r>
    <x v="0"/>
    <n v="84"/>
    <x v="34"/>
    <x v="2"/>
    <x v="2"/>
    <n v="1125"/>
    <x v="54"/>
    <x v="34"/>
    <x v="75"/>
    <n v="3228"/>
    <x v="286"/>
    <n v="0"/>
    <x v="0"/>
    <s v="G 08"/>
    <n v="4"/>
    <n v="5614"/>
    <x v="904"/>
    <s v="Annual"/>
    <n v="1"/>
    <n v="1"/>
    <n v="117636"/>
    <n v="117636"/>
  </r>
  <r>
    <x v="0"/>
    <n v="84"/>
    <x v="34"/>
    <x v="2"/>
    <x v="2"/>
    <n v="1125"/>
    <x v="54"/>
    <x v="34"/>
    <x v="75"/>
    <n v="3228"/>
    <x v="286"/>
    <n v="0"/>
    <x v="0"/>
    <s v="1 00"/>
    <n v="0"/>
    <n v="15"/>
    <x v="37"/>
    <s v="Annual"/>
    <n v="0"/>
    <n v="0"/>
    <n v="858"/>
    <n v="858"/>
  </r>
  <r>
    <x v="0"/>
    <n v="84"/>
    <x v="34"/>
    <x v="2"/>
    <x v="2"/>
    <n v="1125"/>
    <x v="54"/>
    <x v="34"/>
    <x v="75"/>
    <n v="3229"/>
    <x v="287"/>
    <n v="4228"/>
    <x v="272"/>
    <s v="X 43"/>
    <n v="10"/>
    <n v="5905"/>
    <x v="917"/>
    <s v="Annual"/>
    <n v="1"/>
    <n v="1"/>
    <n v="160680"/>
    <n v="160680"/>
  </r>
  <r>
    <x v="0"/>
    <n v="84"/>
    <x v="34"/>
    <x v="2"/>
    <x v="2"/>
    <n v="1125"/>
    <x v="54"/>
    <x v="34"/>
    <x v="75"/>
    <n v="3229"/>
    <x v="287"/>
    <n v="4228"/>
    <x v="272"/>
    <s v="GY 12"/>
    <n v="20"/>
    <n v="5630"/>
    <x v="421"/>
    <s v="Annual"/>
    <n v="1"/>
    <n v="1"/>
    <n v="115992"/>
    <n v="115992"/>
  </r>
  <r>
    <x v="0"/>
    <n v="84"/>
    <x v="34"/>
    <x v="2"/>
    <x v="2"/>
    <n v="1125"/>
    <x v="54"/>
    <x v="34"/>
    <x v="75"/>
    <n v="3229"/>
    <x v="287"/>
    <n v="4228"/>
    <x v="272"/>
    <s v="G 09"/>
    <n v="4"/>
    <n v="5615"/>
    <x v="903"/>
    <s v="Annual"/>
    <n v="1"/>
    <n v="1"/>
    <n v="109140"/>
    <n v="109140"/>
  </r>
  <r>
    <x v="0"/>
    <n v="84"/>
    <x v="34"/>
    <x v="2"/>
    <x v="2"/>
    <n v="1125"/>
    <x v="54"/>
    <x v="34"/>
    <x v="75"/>
    <n v="3229"/>
    <x v="287"/>
    <n v="4228"/>
    <x v="272"/>
    <s v="G 08"/>
    <n v="4"/>
    <n v="5614"/>
    <x v="904"/>
    <s v="Annual"/>
    <n v="2"/>
    <n v="1"/>
    <n v="122928"/>
    <n v="245856"/>
  </r>
  <r>
    <x v="0"/>
    <n v="84"/>
    <x v="34"/>
    <x v="2"/>
    <x v="2"/>
    <n v="1125"/>
    <x v="54"/>
    <x v="34"/>
    <x v="75"/>
    <n v="3229"/>
    <x v="287"/>
    <n v="4228"/>
    <x v="272"/>
    <s v="G 08"/>
    <n v="4"/>
    <n v="5614"/>
    <x v="904"/>
    <s v="Annual"/>
    <n v="1"/>
    <n v="1"/>
    <n v="102516"/>
    <n v="102516"/>
  </r>
  <r>
    <x v="0"/>
    <n v="84"/>
    <x v="34"/>
    <x v="2"/>
    <x v="2"/>
    <n v="1125"/>
    <x v="54"/>
    <x v="34"/>
    <x v="75"/>
    <n v="3229"/>
    <x v="287"/>
    <n v="4228"/>
    <x v="272"/>
    <s v="G 08"/>
    <n v="4"/>
    <n v="5614"/>
    <x v="904"/>
    <s v="Annual"/>
    <n v="1"/>
    <n v="1"/>
    <n v="99408"/>
    <n v="99408"/>
  </r>
  <r>
    <x v="0"/>
    <n v="84"/>
    <x v="34"/>
    <x v="2"/>
    <x v="2"/>
    <n v="1125"/>
    <x v="54"/>
    <x v="34"/>
    <x v="75"/>
    <n v="3229"/>
    <x v="287"/>
    <n v="4228"/>
    <x v="272"/>
    <s v="1 00"/>
    <n v="0"/>
    <n v="15"/>
    <x v="37"/>
    <s v="Annual"/>
    <n v="0"/>
    <n v="0"/>
    <n v="9605"/>
    <n v="9605"/>
  </r>
  <r>
    <x v="0"/>
    <n v="84"/>
    <x v="34"/>
    <x v="2"/>
    <x v="2"/>
    <n v="1125"/>
    <x v="54"/>
    <x v="34"/>
    <x v="75"/>
    <n v="3230"/>
    <x v="288"/>
    <n v="0"/>
    <x v="0"/>
    <s v="B 15"/>
    <n v="1"/>
    <n v="6145"/>
    <x v="897"/>
    <s v="Annual"/>
    <n v="1"/>
    <n v="1"/>
    <n v="102588"/>
    <n v="102588"/>
  </r>
  <r>
    <x v="0"/>
    <n v="84"/>
    <x v="34"/>
    <x v="2"/>
    <x v="2"/>
    <n v="1125"/>
    <x v="54"/>
    <x v="34"/>
    <x v="75"/>
    <n v="3230"/>
    <x v="288"/>
    <n v="0"/>
    <x v="0"/>
    <s v="X 43"/>
    <n v="10"/>
    <n v="5905"/>
    <x v="917"/>
    <s v="Annual"/>
    <n v="1"/>
    <n v="1"/>
    <n v="150768"/>
    <n v="150768"/>
  </r>
  <r>
    <x v="0"/>
    <n v="84"/>
    <x v="34"/>
    <x v="2"/>
    <x v="2"/>
    <n v="1125"/>
    <x v="54"/>
    <x v="34"/>
    <x v="75"/>
    <n v="3230"/>
    <x v="288"/>
    <n v="0"/>
    <x v="0"/>
    <s v="G 09"/>
    <n v="4"/>
    <n v="5615"/>
    <x v="903"/>
    <s v="Annual"/>
    <n v="1"/>
    <n v="1"/>
    <n v="154764"/>
    <n v="154764"/>
  </r>
  <r>
    <x v="0"/>
    <n v="84"/>
    <x v="34"/>
    <x v="2"/>
    <x v="2"/>
    <n v="1125"/>
    <x v="54"/>
    <x v="34"/>
    <x v="75"/>
    <n v="3230"/>
    <x v="288"/>
    <n v="0"/>
    <x v="0"/>
    <s v="G 09"/>
    <n v="4"/>
    <n v="5615"/>
    <x v="903"/>
    <s v="Annual"/>
    <n v="1"/>
    <n v="1"/>
    <n v="122928"/>
    <n v="122928"/>
  </r>
  <r>
    <x v="0"/>
    <n v="84"/>
    <x v="34"/>
    <x v="2"/>
    <x v="2"/>
    <n v="1125"/>
    <x v="54"/>
    <x v="34"/>
    <x v="75"/>
    <n v="3230"/>
    <x v="288"/>
    <n v="0"/>
    <x v="0"/>
    <s v="G 09"/>
    <n v="4"/>
    <n v="5615"/>
    <x v="903"/>
    <s v="Annual"/>
    <n v="2"/>
    <n v="1"/>
    <n v="109140"/>
    <n v="218280"/>
  </r>
  <r>
    <x v="0"/>
    <n v="84"/>
    <x v="34"/>
    <x v="2"/>
    <x v="2"/>
    <n v="1125"/>
    <x v="54"/>
    <x v="34"/>
    <x v="75"/>
    <n v="3230"/>
    <x v="288"/>
    <n v="0"/>
    <x v="0"/>
    <s v="G 08"/>
    <n v="4"/>
    <n v="5614"/>
    <x v="904"/>
    <s v="Annual"/>
    <n v="3"/>
    <n v="1"/>
    <n v="141564"/>
    <n v="424692"/>
  </r>
  <r>
    <x v="0"/>
    <n v="84"/>
    <x v="34"/>
    <x v="2"/>
    <x v="2"/>
    <n v="1125"/>
    <x v="54"/>
    <x v="34"/>
    <x v="75"/>
    <n v="3230"/>
    <x v="288"/>
    <n v="0"/>
    <x v="0"/>
    <s v="G 08"/>
    <n v="4"/>
    <n v="5614"/>
    <x v="904"/>
    <s v="Annual"/>
    <n v="1"/>
    <n v="1"/>
    <n v="134184"/>
    <n v="134184"/>
  </r>
  <r>
    <x v="0"/>
    <n v="84"/>
    <x v="34"/>
    <x v="2"/>
    <x v="2"/>
    <n v="1125"/>
    <x v="54"/>
    <x v="34"/>
    <x v="75"/>
    <n v="3230"/>
    <x v="288"/>
    <n v="0"/>
    <x v="0"/>
    <s v="G 08"/>
    <n v="4"/>
    <n v="5614"/>
    <x v="904"/>
    <s v="Annual"/>
    <n v="4"/>
    <n v="1"/>
    <n v="99408"/>
    <n v="397632"/>
  </r>
  <r>
    <x v="0"/>
    <n v="84"/>
    <x v="34"/>
    <x v="2"/>
    <x v="2"/>
    <n v="1125"/>
    <x v="54"/>
    <x v="34"/>
    <x v="75"/>
    <n v="3230"/>
    <x v="288"/>
    <n v="0"/>
    <x v="0"/>
    <s v="1 00"/>
    <n v="0"/>
    <n v="15"/>
    <x v="37"/>
    <s v="Annual"/>
    <n v="0"/>
    <n v="0"/>
    <n v="16573"/>
    <n v="16573"/>
  </r>
  <r>
    <x v="0"/>
    <n v="84"/>
    <x v="34"/>
    <x v="2"/>
    <x v="2"/>
    <n v="1125"/>
    <x v="54"/>
    <x v="34"/>
    <x v="75"/>
    <n v="3231"/>
    <x v="289"/>
    <n v="0"/>
    <x v="0"/>
    <s v="B 15"/>
    <n v="1"/>
    <n v="6145"/>
    <x v="897"/>
    <s v="Annual"/>
    <n v="1"/>
    <n v="1"/>
    <n v="143400"/>
    <n v="143400"/>
  </r>
  <r>
    <x v="0"/>
    <n v="84"/>
    <x v="34"/>
    <x v="2"/>
    <x v="2"/>
    <n v="1125"/>
    <x v="54"/>
    <x v="34"/>
    <x v="75"/>
    <n v="3231"/>
    <x v="289"/>
    <n v="0"/>
    <x v="0"/>
    <s v="G 09"/>
    <n v="4"/>
    <n v="5615"/>
    <x v="903"/>
    <s v="Annual"/>
    <n v="1"/>
    <n v="1"/>
    <n v="154764"/>
    <n v="154764"/>
  </r>
  <r>
    <x v="0"/>
    <n v="84"/>
    <x v="34"/>
    <x v="2"/>
    <x v="2"/>
    <n v="1125"/>
    <x v="54"/>
    <x v="34"/>
    <x v="75"/>
    <n v="3231"/>
    <x v="289"/>
    <n v="0"/>
    <x v="0"/>
    <s v="G 09"/>
    <n v="4"/>
    <n v="5615"/>
    <x v="903"/>
    <s v="Annual"/>
    <n v="1"/>
    <n v="1"/>
    <n v="117636"/>
    <n v="117636"/>
  </r>
  <r>
    <x v="0"/>
    <n v="84"/>
    <x v="34"/>
    <x v="2"/>
    <x v="2"/>
    <n v="1125"/>
    <x v="54"/>
    <x v="34"/>
    <x v="75"/>
    <n v="3231"/>
    <x v="289"/>
    <n v="0"/>
    <x v="0"/>
    <s v="G 08"/>
    <n v="4"/>
    <n v="5614"/>
    <x v="904"/>
    <s v="Annual"/>
    <n v="1"/>
    <n v="1"/>
    <n v="102516"/>
    <n v="102516"/>
  </r>
  <r>
    <x v="0"/>
    <n v="84"/>
    <x v="34"/>
    <x v="2"/>
    <x v="2"/>
    <n v="1125"/>
    <x v="54"/>
    <x v="34"/>
    <x v="75"/>
    <n v="3231"/>
    <x v="289"/>
    <n v="0"/>
    <x v="0"/>
    <s v="B 10"/>
    <n v="1"/>
    <s v="03A7"/>
    <x v="4"/>
    <s v="Annual"/>
    <n v="1"/>
    <n v="1"/>
    <n v="90144"/>
    <n v="90144"/>
  </r>
  <r>
    <x v="0"/>
    <n v="84"/>
    <x v="34"/>
    <x v="2"/>
    <x v="2"/>
    <n v="1125"/>
    <x v="54"/>
    <x v="34"/>
    <x v="75"/>
    <n v="3231"/>
    <x v="289"/>
    <n v="0"/>
    <x v="0"/>
    <s v="1 00"/>
    <n v="0"/>
    <n v="15"/>
    <x v="37"/>
    <s v="Annual"/>
    <n v="0"/>
    <n v="0"/>
    <n v="6722"/>
    <n v="6722"/>
  </r>
  <r>
    <x v="0"/>
    <n v="84"/>
    <x v="34"/>
    <x v="2"/>
    <x v="2"/>
    <n v="1125"/>
    <x v="54"/>
    <x v="34"/>
    <x v="75"/>
    <n v="3233"/>
    <x v="290"/>
    <n v="0"/>
    <x v="0"/>
    <s v="G 08"/>
    <n v="4"/>
    <n v="5614"/>
    <x v="904"/>
    <s v="Annual"/>
    <n v="1"/>
    <n v="1"/>
    <n v="134184"/>
    <n v="134184"/>
  </r>
  <r>
    <x v="0"/>
    <n v="84"/>
    <x v="34"/>
    <x v="2"/>
    <x v="2"/>
    <n v="1125"/>
    <x v="54"/>
    <x v="34"/>
    <x v="75"/>
    <n v="3233"/>
    <x v="290"/>
    <n v="0"/>
    <x v="0"/>
    <s v="G 08"/>
    <n v="4"/>
    <n v="5404"/>
    <x v="592"/>
    <s v="Annual"/>
    <n v="2"/>
    <n v="1"/>
    <n v="141564"/>
    <n v="283128"/>
  </r>
  <r>
    <x v="0"/>
    <n v="84"/>
    <x v="34"/>
    <x v="2"/>
    <x v="2"/>
    <n v="1125"/>
    <x v="54"/>
    <x v="34"/>
    <x v="75"/>
    <n v="3233"/>
    <x v="290"/>
    <n v="0"/>
    <x v="0"/>
    <s v="1 00"/>
    <n v="0"/>
    <n v="15"/>
    <x v="37"/>
    <s v="Annual"/>
    <n v="0"/>
    <n v="0"/>
    <n v="597"/>
    <n v="597"/>
  </r>
  <r>
    <x v="0"/>
    <n v="84"/>
    <x v="34"/>
    <x v="2"/>
    <x v="2"/>
    <n v="1125"/>
    <x v="54"/>
    <x v="34"/>
    <x v="75"/>
    <n v="3234"/>
    <x v="291"/>
    <n v="0"/>
    <x v="0"/>
    <s v="G 08"/>
    <n v="4"/>
    <n v="6254"/>
    <x v="910"/>
    <s v="Annual"/>
    <n v="1"/>
    <n v="1"/>
    <n v="107628"/>
    <n v="107628"/>
  </r>
  <r>
    <x v="0"/>
    <n v="84"/>
    <x v="34"/>
    <x v="2"/>
    <x v="2"/>
    <n v="1125"/>
    <x v="54"/>
    <x v="34"/>
    <x v="75"/>
    <n v="3234"/>
    <x v="291"/>
    <n v="0"/>
    <x v="0"/>
    <s v="G 09"/>
    <n v="4"/>
    <n v="5615"/>
    <x v="903"/>
    <s v="Annual"/>
    <n v="1"/>
    <n v="1"/>
    <n v="117636"/>
    <n v="117636"/>
  </r>
  <r>
    <x v="0"/>
    <n v="84"/>
    <x v="34"/>
    <x v="2"/>
    <x v="2"/>
    <n v="1125"/>
    <x v="54"/>
    <x v="34"/>
    <x v="75"/>
    <n v="3234"/>
    <x v="291"/>
    <n v="0"/>
    <x v="0"/>
    <s v="G 08"/>
    <n v="4"/>
    <n v="5614"/>
    <x v="904"/>
    <s v="Annual"/>
    <n v="1"/>
    <n v="1"/>
    <n v="107628"/>
    <n v="107628"/>
  </r>
  <r>
    <x v="0"/>
    <n v="84"/>
    <x v="34"/>
    <x v="2"/>
    <x v="2"/>
    <n v="1125"/>
    <x v="54"/>
    <x v="34"/>
    <x v="75"/>
    <n v="3234"/>
    <x v="291"/>
    <n v="0"/>
    <x v="0"/>
    <s v="G 08"/>
    <n v="4"/>
    <n v="5614"/>
    <x v="904"/>
    <s v="Annual"/>
    <n v="1"/>
    <n v="1"/>
    <n v="99408"/>
    <n v="99408"/>
  </r>
  <r>
    <x v="0"/>
    <n v="84"/>
    <x v="34"/>
    <x v="2"/>
    <x v="2"/>
    <n v="1125"/>
    <x v="54"/>
    <x v="34"/>
    <x v="75"/>
    <n v="3234"/>
    <x v="291"/>
    <n v="0"/>
    <x v="0"/>
    <s v="G 07"/>
    <n v="4"/>
    <n v="5613"/>
    <x v="898"/>
    <s v="Annual"/>
    <n v="1"/>
    <n v="1"/>
    <n v="102516"/>
    <n v="102516"/>
  </r>
  <r>
    <x v="0"/>
    <n v="84"/>
    <x v="34"/>
    <x v="2"/>
    <x v="2"/>
    <n v="1125"/>
    <x v="54"/>
    <x v="34"/>
    <x v="75"/>
    <n v="3234"/>
    <x v="291"/>
    <n v="0"/>
    <x v="0"/>
    <s v="1 00"/>
    <n v="0"/>
    <n v="15"/>
    <x v="37"/>
    <s v="Annual"/>
    <n v="0"/>
    <n v="0"/>
    <n v="7586"/>
    <n v="7586"/>
  </r>
  <r>
    <x v="0"/>
    <n v="84"/>
    <x v="34"/>
    <x v="2"/>
    <x v="2"/>
    <n v="1135"/>
    <x v="55"/>
    <x v="35"/>
    <x v="76"/>
    <n v="3236"/>
    <x v="292"/>
    <n v="4234"/>
    <x v="273"/>
    <s v="X 42"/>
    <n v="0"/>
    <n v="9681"/>
    <x v="81"/>
    <s v="Annual"/>
    <n v="1"/>
    <n v="1"/>
    <n v="184584"/>
    <n v="184584"/>
  </r>
  <r>
    <x v="0"/>
    <n v="84"/>
    <x v="34"/>
    <x v="2"/>
    <x v="2"/>
    <n v="1135"/>
    <x v="55"/>
    <x v="35"/>
    <x v="76"/>
    <n v="3236"/>
    <x v="292"/>
    <n v="4234"/>
    <x v="273"/>
    <s v="V 16"/>
    <n v="54"/>
    <n v="6139"/>
    <x v="1022"/>
    <s v="Annual"/>
    <n v="4"/>
    <n v="1"/>
    <n v="157296"/>
    <n v="629184"/>
  </r>
  <r>
    <x v="0"/>
    <n v="84"/>
    <x v="34"/>
    <x v="2"/>
    <x v="2"/>
    <n v="1135"/>
    <x v="55"/>
    <x v="35"/>
    <x v="76"/>
    <n v="3236"/>
    <x v="292"/>
    <n v="4234"/>
    <x v="273"/>
    <s v="V 16"/>
    <n v="54"/>
    <n v="6139"/>
    <x v="1022"/>
    <s v="Annual"/>
    <n v="1"/>
    <n v="1"/>
    <n v="107460"/>
    <n v="107460"/>
  </r>
  <r>
    <x v="0"/>
    <n v="84"/>
    <x v="34"/>
    <x v="2"/>
    <x v="2"/>
    <n v="1135"/>
    <x v="55"/>
    <x v="35"/>
    <x v="76"/>
    <n v="3236"/>
    <x v="292"/>
    <n v="4234"/>
    <x v="273"/>
    <s v="V 14"/>
    <n v="54"/>
    <n v="6138"/>
    <x v="1023"/>
    <s v="Annual"/>
    <n v="2"/>
    <n v="1"/>
    <n v="130620"/>
    <n v="261240"/>
  </r>
  <r>
    <x v="0"/>
    <n v="84"/>
    <x v="34"/>
    <x v="2"/>
    <x v="2"/>
    <n v="1135"/>
    <x v="55"/>
    <x v="35"/>
    <x v="76"/>
    <n v="3236"/>
    <x v="292"/>
    <n v="4234"/>
    <x v="273"/>
    <s v="V 14"/>
    <n v="54"/>
    <n v="6138"/>
    <x v="1023"/>
    <s v="Annual"/>
    <n v="1"/>
    <n v="1"/>
    <n v="124740"/>
    <n v="124740"/>
  </r>
  <r>
    <x v="0"/>
    <n v="84"/>
    <x v="34"/>
    <x v="2"/>
    <x v="2"/>
    <n v="1135"/>
    <x v="55"/>
    <x v="35"/>
    <x v="76"/>
    <n v="3236"/>
    <x v="292"/>
    <n v="4234"/>
    <x v="273"/>
    <s v="V 14"/>
    <n v="54"/>
    <n v="6138"/>
    <x v="1023"/>
    <s v="Annual"/>
    <n v="3"/>
    <n v="1"/>
    <n v="103572"/>
    <n v="310716"/>
  </r>
  <r>
    <x v="0"/>
    <n v="84"/>
    <x v="34"/>
    <x v="2"/>
    <x v="2"/>
    <n v="1135"/>
    <x v="55"/>
    <x v="35"/>
    <x v="76"/>
    <n v="3236"/>
    <x v="292"/>
    <n v="4234"/>
    <x v="273"/>
    <s v="V 14"/>
    <n v="54"/>
    <n v="6138"/>
    <x v="1023"/>
    <s v="Annual"/>
    <n v="2"/>
    <n v="1"/>
    <n v="77628"/>
    <n v="155256"/>
  </r>
  <r>
    <x v="0"/>
    <n v="84"/>
    <x v="34"/>
    <x v="2"/>
    <x v="2"/>
    <n v="1135"/>
    <x v="55"/>
    <x v="35"/>
    <x v="76"/>
    <n v="3236"/>
    <x v="292"/>
    <n v="4234"/>
    <x v="273"/>
    <s v="V 13"/>
    <n v="54"/>
    <n v="6137"/>
    <x v="1024"/>
    <s v="Annual"/>
    <n v="3"/>
    <n v="1"/>
    <n v="119052"/>
    <n v="357156"/>
  </r>
  <r>
    <x v="0"/>
    <n v="84"/>
    <x v="34"/>
    <x v="2"/>
    <x v="2"/>
    <n v="1135"/>
    <x v="55"/>
    <x v="35"/>
    <x v="76"/>
    <n v="3236"/>
    <x v="292"/>
    <n v="4234"/>
    <x v="273"/>
    <s v="V 13"/>
    <n v="54"/>
    <n v="6137"/>
    <x v="1024"/>
    <s v="Annual"/>
    <n v="1"/>
    <n v="1"/>
    <n v="113592"/>
    <n v="113592"/>
  </r>
  <r>
    <x v="0"/>
    <n v="84"/>
    <x v="34"/>
    <x v="2"/>
    <x v="2"/>
    <n v="1135"/>
    <x v="55"/>
    <x v="35"/>
    <x v="76"/>
    <n v="3236"/>
    <x v="292"/>
    <n v="4234"/>
    <x v="273"/>
    <s v="V 13"/>
    <n v="54"/>
    <n v="6137"/>
    <x v="1024"/>
    <s v="Annual"/>
    <n v="1"/>
    <n v="1"/>
    <n v="108528"/>
    <n v="108528"/>
  </r>
  <r>
    <x v="0"/>
    <n v="84"/>
    <x v="34"/>
    <x v="2"/>
    <x v="2"/>
    <n v="1135"/>
    <x v="55"/>
    <x v="35"/>
    <x v="76"/>
    <n v="3236"/>
    <x v="292"/>
    <n v="4234"/>
    <x v="273"/>
    <s v="V 13"/>
    <n v="54"/>
    <n v="6137"/>
    <x v="1024"/>
    <s v="Annual"/>
    <n v="1"/>
    <n v="1"/>
    <n v="103572"/>
    <n v="103572"/>
  </r>
  <r>
    <x v="0"/>
    <n v="84"/>
    <x v="34"/>
    <x v="2"/>
    <x v="2"/>
    <n v="1135"/>
    <x v="55"/>
    <x v="35"/>
    <x v="76"/>
    <n v="3236"/>
    <x v="292"/>
    <n v="4234"/>
    <x v="273"/>
    <s v="V 13"/>
    <n v="54"/>
    <n v="6137"/>
    <x v="1024"/>
    <s v="Annual"/>
    <n v="4"/>
    <n v="1"/>
    <n v="94428"/>
    <n v="377712"/>
  </r>
  <r>
    <x v="0"/>
    <n v="84"/>
    <x v="34"/>
    <x v="2"/>
    <x v="2"/>
    <n v="1135"/>
    <x v="55"/>
    <x v="35"/>
    <x v="76"/>
    <n v="3236"/>
    <x v="292"/>
    <n v="4234"/>
    <x v="273"/>
    <s v="V 13"/>
    <n v="54"/>
    <n v="6137"/>
    <x v="1024"/>
    <s v="Annual"/>
    <n v="1"/>
    <n v="1"/>
    <n v="90108"/>
    <n v="90108"/>
  </r>
  <r>
    <x v="0"/>
    <n v="84"/>
    <x v="34"/>
    <x v="2"/>
    <x v="2"/>
    <n v="1135"/>
    <x v="55"/>
    <x v="35"/>
    <x v="76"/>
    <n v="3236"/>
    <x v="292"/>
    <n v="4234"/>
    <x v="273"/>
    <s v="V 13"/>
    <n v="54"/>
    <n v="6137"/>
    <x v="1024"/>
    <s v="Annual"/>
    <n v="1"/>
    <n v="1"/>
    <n v="85176"/>
    <n v="85176"/>
  </r>
  <r>
    <x v="0"/>
    <n v="84"/>
    <x v="34"/>
    <x v="2"/>
    <x v="2"/>
    <n v="1135"/>
    <x v="55"/>
    <x v="35"/>
    <x v="76"/>
    <n v="3236"/>
    <x v="292"/>
    <n v="4234"/>
    <x v="273"/>
    <s v="V 13"/>
    <n v="54"/>
    <n v="6137"/>
    <x v="1024"/>
    <s v="Annual"/>
    <n v="3"/>
    <n v="1"/>
    <n v="81276"/>
    <n v="243828"/>
  </r>
  <r>
    <x v="0"/>
    <n v="84"/>
    <x v="34"/>
    <x v="2"/>
    <x v="2"/>
    <n v="1135"/>
    <x v="55"/>
    <x v="35"/>
    <x v="76"/>
    <n v="3236"/>
    <x v="292"/>
    <n v="4234"/>
    <x v="273"/>
    <s v="V 13"/>
    <n v="54"/>
    <n v="6137"/>
    <x v="1024"/>
    <s v="Annual"/>
    <n v="6"/>
    <n v="1"/>
    <n v="77628"/>
    <n v="465768"/>
  </r>
  <r>
    <x v="0"/>
    <n v="84"/>
    <x v="34"/>
    <x v="2"/>
    <x v="2"/>
    <n v="1135"/>
    <x v="55"/>
    <x v="35"/>
    <x v="76"/>
    <n v="3236"/>
    <x v="292"/>
    <n v="4234"/>
    <x v="273"/>
    <s v="V 13"/>
    <n v="54"/>
    <n v="6137"/>
    <x v="1024"/>
    <s v="Annual"/>
    <n v="1"/>
    <n v="1"/>
    <n v="74136"/>
    <n v="74136"/>
  </r>
  <r>
    <x v="0"/>
    <n v="84"/>
    <x v="34"/>
    <x v="2"/>
    <x v="2"/>
    <n v="1135"/>
    <x v="55"/>
    <x v="35"/>
    <x v="76"/>
    <n v="3236"/>
    <x v="292"/>
    <n v="4234"/>
    <x v="273"/>
    <s v="V 13"/>
    <n v="54"/>
    <n v="6137"/>
    <x v="1024"/>
    <s v="Annual"/>
    <n v="7"/>
    <n v="1"/>
    <n v="70740"/>
    <n v="495180"/>
  </r>
  <r>
    <x v="0"/>
    <n v="84"/>
    <x v="34"/>
    <x v="2"/>
    <x v="2"/>
    <n v="1135"/>
    <x v="55"/>
    <x v="35"/>
    <x v="76"/>
    <n v="3236"/>
    <x v="292"/>
    <n v="4234"/>
    <x v="273"/>
    <s v="BX 20"/>
    <n v="10"/>
    <n v="6135"/>
    <x v="1025"/>
    <s v="Annual"/>
    <n v="1"/>
    <n v="1"/>
    <n v="102444"/>
    <n v="102444"/>
  </r>
  <r>
    <x v="0"/>
    <n v="84"/>
    <x v="34"/>
    <x v="2"/>
    <x v="2"/>
    <n v="1135"/>
    <x v="55"/>
    <x v="35"/>
    <x v="76"/>
    <n v="3236"/>
    <x v="292"/>
    <n v="4234"/>
    <x v="273"/>
    <s v="X 43"/>
    <n v="0"/>
    <s v="03A2"/>
    <x v="220"/>
    <s v="Annual"/>
    <n v="1"/>
    <n v="1"/>
    <n v="160680"/>
    <n v="160680"/>
  </r>
  <r>
    <x v="0"/>
    <n v="84"/>
    <x v="34"/>
    <x v="2"/>
    <x v="2"/>
    <n v="1135"/>
    <x v="55"/>
    <x v="35"/>
    <x v="76"/>
    <n v="3236"/>
    <x v="292"/>
    <n v="4234"/>
    <x v="273"/>
    <s v="1 00"/>
    <n v="0"/>
    <n v="15"/>
    <x v="37"/>
    <s v="Annual"/>
    <n v="0"/>
    <n v="0"/>
    <n v="61077"/>
    <n v="61077"/>
  </r>
  <r>
    <x v="0"/>
    <n v="84"/>
    <x v="34"/>
    <x v="2"/>
    <x v="2"/>
    <n v="1135"/>
    <x v="55"/>
    <x v="35"/>
    <x v="76"/>
    <n v="3236"/>
    <x v="292"/>
    <n v="4235"/>
    <x v="274"/>
    <s v="G 09"/>
    <n v="4"/>
    <n v="5615"/>
    <x v="903"/>
    <s v="Annual"/>
    <n v="1"/>
    <n v="1"/>
    <n v="134184"/>
    <n v="134184"/>
  </r>
  <r>
    <x v="0"/>
    <n v="84"/>
    <x v="34"/>
    <x v="2"/>
    <x v="2"/>
    <n v="1135"/>
    <x v="55"/>
    <x v="35"/>
    <x v="76"/>
    <n v="3236"/>
    <x v="292"/>
    <n v="4235"/>
    <x v="274"/>
    <s v="G 08"/>
    <n v="4"/>
    <n v="5614"/>
    <x v="904"/>
    <s v="Annual"/>
    <n v="1"/>
    <n v="1"/>
    <n v="107628"/>
    <n v="107628"/>
  </r>
  <r>
    <x v="0"/>
    <n v="84"/>
    <x v="34"/>
    <x v="2"/>
    <x v="2"/>
    <n v="1135"/>
    <x v="55"/>
    <x v="35"/>
    <x v="76"/>
    <n v="3236"/>
    <x v="292"/>
    <n v="4235"/>
    <x v="274"/>
    <s v="1 00"/>
    <n v="0"/>
    <n v="15"/>
    <x v="37"/>
    <s v="Annual"/>
    <n v="0"/>
    <n v="0"/>
    <n v="4943"/>
    <n v="4943"/>
  </r>
  <r>
    <x v="0"/>
    <n v="84"/>
    <x v="34"/>
    <x v="2"/>
    <x v="2"/>
    <n v="1135"/>
    <x v="55"/>
    <x v="35"/>
    <x v="76"/>
    <n v="3236"/>
    <x v="292"/>
    <n v="4237"/>
    <x v="275"/>
    <s v="BX 21"/>
    <n v="10"/>
    <n v="8256"/>
    <x v="924"/>
    <s v="Annual"/>
    <n v="1"/>
    <n v="1"/>
    <n v="143232"/>
    <n v="143232"/>
  </r>
  <r>
    <x v="0"/>
    <n v="84"/>
    <x v="34"/>
    <x v="2"/>
    <x v="2"/>
    <n v="1135"/>
    <x v="55"/>
    <x v="35"/>
    <x v="76"/>
    <n v="3236"/>
    <x v="292"/>
    <n v="4237"/>
    <x v="275"/>
    <s v="BX 16"/>
    <n v="10"/>
    <n v="8232"/>
    <x v="1026"/>
    <s v="Annual"/>
    <n v="1"/>
    <n v="1"/>
    <n v="124584"/>
    <n v="124584"/>
  </r>
  <r>
    <x v="0"/>
    <n v="84"/>
    <x v="34"/>
    <x v="2"/>
    <x v="2"/>
    <n v="1135"/>
    <x v="55"/>
    <x v="35"/>
    <x v="76"/>
    <n v="3236"/>
    <x v="292"/>
    <n v="4237"/>
    <x v="275"/>
    <s v="BX 16"/>
    <n v="10"/>
    <n v="8232"/>
    <x v="1026"/>
    <s v="Annual"/>
    <n v="1"/>
    <n v="1"/>
    <n v="118956"/>
    <n v="118956"/>
  </r>
  <r>
    <x v="0"/>
    <n v="84"/>
    <x v="34"/>
    <x v="2"/>
    <x v="2"/>
    <n v="1135"/>
    <x v="55"/>
    <x v="35"/>
    <x v="76"/>
    <n v="3236"/>
    <x v="292"/>
    <n v="4237"/>
    <x v="275"/>
    <s v="BX 16"/>
    <n v="10"/>
    <n v="8232"/>
    <x v="1026"/>
    <s v="Annual"/>
    <n v="1"/>
    <n v="1"/>
    <n v="80124"/>
    <n v="80124"/>
  </r>
  <r>
    <x v="0"/>
    <n v="84"/>
    <x v="34"/>
    <x v="2"/>
    <x v="2"/>
    <n v="1135"/>
    <x v="55"/>
    <x v="35"/>
    <x v="76"/>
    <n v="3236"/>
    <x v="292"/>
    <n v="4237"/>
    <x v="275"/>
    <s v="G 06"/>
    <n v="4"/>
    <n v="5612"/>
    <x v="945"/>
    <s v="Annual"/>
    <n v="1"/>
    <n v="1"/>
    <n v="92940"/>
    <n v="92940"/>
  </r>
  <r>
    <x v="0"/>
    <n v="84"/>
    <x v="34"/>
    <x v="2"/>
    <x v="2"/>
    <n v="1135"/>
    <x v="55"/>
    <x v="35"/>
    <x v="76"/>
    <n v="3236"/>
    <x v="292"/>
    <n v="4237"/>
    <x v="275"/>
    <s v="G 06"/>
    <n v="4"/>
    <n v="5612"/>
    <x v="945"/>
    <s v="Annual"/>
    <n v="2"/>
    <n v="1"/>
    <n v="88524"/>
    <n v="177048"/>
  </r>
  <r>
    <x v="0"/>
    <n v="84"/>
    <x v="34"/>
    <x v="2"/>
    <x v="2"/>
    <n v="1135"/>
    <x v="55"/>
    <x v="35"/>
    <x v="76"/>
    <n v="3236"/>
    <x v="292"/>
    <n v="4237"/>
    <x v="275"/>
    <s v="G 06"/>
    <n v="4"/>
    <n v="5612"/>
    <x v="945"/>
    <s v="Annual"/>
    <n v="1"/>
    <n v="1"/>
    <n v="84192"/>
    <n v="84192"/>
  </r>
  <r>
    <x v="0"/>
    <n v="84"/>
    <x v="34"/>
    <x v="2"/>
    <x v="2"/>
    <n v="1135"/>
    <x v="55"/>
    <x v="35"/>
    <x v="76"/>
    <n v="3236"/>
    <x v="292"/>
    <n v="4237"/>
    <x v="275"/>
    <s v="G 06"/>
    <n v="4"/>
    <n v="5612"/>
    <x v="945"/>
    <s v="Annual"/>
    <n v="2"/>
    <n v="1"/>
    <n v="81636"/>
    <n v="163272"/>
  </r>
  <r>
    <x v="0"/>
    <n v="84"/>
    <x v="34"/>
    <x v="2"/>
    <x v="2"/>
    <n v="1135"/>
    <x v="55"/>
    <x v="35"/>
    <x v="76"/>
    <n v="3236"/>
    <x v="292"/>
    <n v="4237"/>
    <x v="275"/>
    <s v="B 12"/>
    <n v="1"/>
    <s v="03A8"/>
    <x v="88"/>
    <s v="Annual"/>
    <n v="1"/>
    <n v="1"/>
    <n v="103608"/>
    <n v="103608"/>
  </r>
  <r>
    <x v="0"/>
    <n v="84"/>
    <x v="34"/>
    <x v="2"/>
    <x v="2"/>
    <n v="1135"/>
    <x v="55"/>
    <x v="35"/>
    <x v="76"/>
    <n v="3236"/>
    <x v="292"/>
    <n v="4237"/>
    <x v="275"/>
    <s v="B 10"/>
    <n v="1"/>
    <s v="03A7"/>
    <x v="4"/>
    <s v="Annual"/>
    <n v="3"/>
    <n v="1"/>
    <n v="90144"/>
    <n v="270432"/>
  </r>
  <r>
    <x v="0"/>
    <n v="84"/>
    <x v="34"/>
    <x v="2"/>
    <x v="2"/>
    <n v="1135"/>
    <x v="55"/>
    <x v="35"/>
    <x v="76"/>
    <n v="3236"/>
    <x v="292"/>
    <n v="4237"/>
    <x v="275"/>
    <s v="X 43"/>
    <n v="0"/>
    <s v="03A2"/>
    <x v="220"/>
    <s v="Annual"/>
    <n v="1"/>
    <n v="1"/>
    <n v="160680"/>
    <n v="160680"/>
  </r>
  <r>
    <x v="0"/>
    <n v="84"/>
    <x v="34"/>
    <x v="2"/>
    <x v="2"/>
    <n v="1135"/>
    <x v="55"/>
    <x v="35"/>
    <x v="76"/>
    <n v="3236"/>
    <x v="292"/>
    <n v="4237"/>
    <x v="275"/>
    <s v="B 13"/>
    <n v="4"/>
    <n v="110"/>
    <x v="93"/>
    <s v="Annual"/>
    <n v="1"/>
    <n v="1"/>
    <n v="119100"/>
    <n v="119100"/>
  </r>
  <r>
    <x v="0"/>
    <n v="84"/>
    <x v="34"/>
    <x v="2"/>
    <x v="2"/>
    <n v="1135"/>
    <x v="55"/>
    <x v="35"/>
    <x v="76"/>
    <n v="3236"/>
    <x v="292"/>
    <n v="4237"/>
    <x v="275"/>
    <s v="1 00"/>
    <n v="0"/>
    <n v="15"/>
    <x v="37"/>
    <s v="Annual"/>
    <n v="0"/>
    <n v="0"/>
    <n v="16021"/>
    <n v="16021"/>
  </r>
  <r>
    <x v="0"/>
    <n v="84"/>
    <x v="34"/>
    <x v="2"/>
    <x v="2"/>
    <n v="1135"/>
    <x v="55"/>
    <x v="35"/>
    <x v="76"/>
    <n v="3236"/>
    <x v="292"/>
    <n v="4238"/>
    <x v="276"/>
    <s v="B 11"/>
    <n v="1"/>
    <n v="6142"/>
    <x v="911"/>
    <s v="Annual"/>
    <n v="1"/>
    <n v="1"/>
    <n v="64488"/>
    <n v="64488"/>
  </r>
  <r>
    <x v="0"/>
    <n v="84"/>
    <x v="34"/>
    <x v="2"/>
    <x v="2"/>
    <n v="1135"/>
    <x v="55"/>
    <x v="35"/>
    <x v="76"/>
    <n v="3236"/>
    <x v="292"/>
    <n v="4238"/>
    <x v="276"/>
    <s v="X 43"/>
    <n v="0"/>
    <n v="5635"/>
    <x v="423"/>
    <s v="Annual"/>
    <n v="1"/>
    <n v="1"/>
    <n v="160680"/>
    <n v="160680"/>
  </r>
  <r>
    <x v="0"/>
    <n v="84"/>
    <x v="34"/>
    <x v="2"/>
    <x v="2"/>
    <n v="1135"/>
    <x v="55"/>
    <x v="35"/>
    <x v="76"/>
    <n v="3236"/>
    <x v="292"/>
    <n v="4238"/>
    <x v="276"/>
    <s v="G 08"/>
    <n v="4"/>
    <n v="5614"/>
    <x v="904"/>
    <s v="Annual"/>
    <n v="1"/>
    <n v="1"/>
    <n v="107628"/>
    <n v="107628"/>
  </r>
  <r>
    <x v="0"/>
    <n v="84"/>
    <x v="34"/>
    <x v="2"/>
    <x v="2"/>
    <n v="1135"/>
    <x v="55"/>
    <x v="35"/>
    <x v="76"/>
    <n v="3236"/>
    <x v="292"/>
    <n v="4238"/>
    <x v="276"/>
    <s v="G 06"/>
    <n v="4"/>
    <n v="5612"/>
    <x v="945"/>
    <s v="Annual"/>
    <n v="2"/>
    <n v="1"/>
    <n v="84192"/>
    <n v="168384"/>
  </r>
  <r>
    <x v="0"/>
    <n v="84"/>
    <x v="34"/>
    <x v="2"/>
    <x v="2"/>
    <n v="1135"/>
    <x v="55"/>
    <x v="35"/>
    <x v="76"/>
    <n v="3236"/>
    <x v="292"/>
    <n v="4238"/>
    <x v="276"/>
    <s v="1 00"/>
    <n v="0"/>
    <n v="15"/>
    <x v="37"/>
    <s v="Annual"/>
    <n v="0"/>
    <n v="0"/>
    <n v="12547"/>
    <n v="12547"/>
  </r>
  <r>
    <x v="0"/>
    <n v="84"/>
    <x v="34"/>
    <x v="2"/>
    <x v="2"/>
    <n v="1135"/>
    <x v="55"/>
    <x v="35"/>
    <x v="76"/>
    <n v="3264"/>
    <x v="293"/>
    <n v="0"/>
    <x v="0"/>
    <s v="BX 16"/>
    <n v="10"/>
    <n v="8232"/>
    <x v="1026"/>
    <s v="Annual"/>
    <n v="1"/>
    <n v="1"/>
    <n v="94332"/>
    <n v="94332"/>
  </r>
  <r>
    <x v="0"/>
    <n v="84"/>
    <x v="34"/>
    <x v="2"/>
    <x v="2"/>
    <n v="1135"/>
    <x v="55"/>
    <x v="35"/>
    <x v="76"/>
    <n v="3264"/>
    <x v="293"/>
    <n v="0"/>
    <x v="0"/>
    <s v="BX 16"/>
    <n v="10"/>
    <n v="8232"/>
    <x v="1026"/>
    <s v="Annual"/>
    <n v="1"/>
    <n v="1"/>
    <n v="80124"/>
    <n v="80124"/>
  </r>
  <r>
    <x v="0"/>
    <n v="84"/>
    <x v="34"/>
    <x v="2"/>
    <x v="2"/>
    <n v="1135"/>
    <x v="55"/>
    <x v="35"/>
    <x v="76"/>
    <n v="3264"/>
    <x v="293"/>
    <n v="0"/>
    <x v="0"/>
    <s v="B 14"/>
    <n v="1"/>
    <n v="6144"/>
    <x v="729"/>
    <s v="Annual"/>
    <n v="1"/>
    <n v="1"/>
    <n v="77640"/>
    <n v="77640"/>
  </r>
  <r>
    <x v="0"/>
    <n v="84"/>
    <x v="34"/>
    <x v="2"/>
    <x v="2"/>
    <n v="1135"/>
    <x v="55"/>
    <x v="35"/>
    <x v="76"/>
    <n v="3264"/>
    <x v="293"/>
    <n v="0"/>
    <x v="0"/>
    <s v="B 14"/>
    <n v="1"/>
    <n v="6144"/>
    <x v="729"/>
    <s v="Annual"/>
    <n v="1"/>
    <n v="1"/>
    <n v="75336"/>
    <n v="75336"/>
  </r>
  <r>
    <x v="0"/>
    <n v="84"/>
    <x v="34"/>
    <x v="2"/>
    <x v="2"/>
    <n v="1135"/>
    <x v="55"/>
    <x v="35"/>
    <x v="76"/>
    <n v="3264"/>
    <x v="293"/>
    <n v="0"/>
    <x v="0"/>
    <s v="B 10"/>
    <n v="1"/>
    <s v="03A7"/>
    <x v="4"/>
    <s v="Annual"/>
    <n v="2"/>
    <n v="1"/>
    <n v="90144"/>
    <n v="180288"/>
  </r>
  <r>
    <x v="0"/>
    <n v="84"/>
    <x v="34"/>
    <x v="2"/>
    <x v="2"/>
    <n v="1135"/>
    <x v="55"/>
    <x v="35"/>
    <x v="76"/>
    <n v="3264"/>
    <x v="293"/>
    <n v="0"/>
    <x v="0"/>
    <s v="B 10"/>
    <n v="1"/>
    <s v="03A7"/>
    <x v="4"/>
    <s v="Annual"/>
    <n v="1"/>
    <n v="1"/>
    <n v="86112"/>
    <n v="86112"/>
  </r>
  <r>
    <x v="0"/>
    <n v="84"/>
    <x v="34"/>
    <x v="2"/>
    <x v="2"/>
    <n v="1135"/>
    <x v="55"/>
    <x v="35"/>
    <x v="76"/>
    <n v="3264"/>
    <x v="293"/>
    <n v="0"/>
    <x v="0"/>
    <s v="B 10"/>
    <n v="1"/>
    <s v="03A7"/>
    <x v="4"/>
    <s v="Annual"/>
    <n v="1"/>
    <n v="1"/>
    <n v="71436"/>
    <n v="71436"/>
  </r>
  <r>
    <x v="0"/>
    <n v="84"/>
    <x v="34"/>
    <x v="2"/>
    <x v="2"/>
    <n v="1135"/>
    <x v="55"/>
    <x v="35"/>
    <x v="76"/>
    <n v="3264"/>
    <x v="293"/>
    <n v="0"/>
    <x v="0"/>
    <s v="B 10"/>
    <n v="1"/>
    <s v="03A7"/>
    <x v="4"/>
    <s v="Annual"/>
    <n v="1"/>
    <n v="1"/>
    <n v="61548"/>
    <n v="61548"/>
  </r>
  <r>
    <x v="0"/>
    <n v="84"/>
    <x v="34"/>
    <x v="2"/>
    <x v="2"/>
    <n v="1135"/>
    <x v="55"/>
    <x v="35"/>
    <x v="76"/>
    <n v="3264"/>
    <x v="293"/>
    <n v="0"/>
    <x v="0"/>
    <s v="B 10"/>
    <n v="1"/>
    <s v="03A7"/>
    <x v="4"/>
    <s v="Annual"/>
    <n v="3"/>
    <n v="1"/>
    <n v="53532"/>
    <n v="160596"/>
  </r>
  <r>
    <x v="0"/>
    <n v="84"/>
    <x v="34"/>
    <x v="2"/>
    <x v="2"/>
    <n v="1135"/>
    <x v="55"/>
    <x v="35"/>
    <x v="76"/>
    <n v="3264"/>
    <x v="293"/>
    <n v="0"/>
    <x v="0"/>
    <s v="1 00"/>
    <n v="0"/>
    <n v="15"/>
    <x v="37"/>
    <s v="Annual"/>
    <n v="0"/>
    <n v="0"/>
    <n v="11650"/>
    <n v="11650"/>
  </r>
  <r>
    <x v="0"/>
    <n v="84"/>
    <x v="34"/>
    <x v="2"/>
    <x v="2"/>
    <n v="1135"/>
    <x v="55"/>
    <x v="35"/>
    <x v="76"/>
    <n v="3265"/>
    <x v="294"/>
    <n v="0"/>
    <x v="0"/>
    <s v="G 10"/>
    <n v="1"/>
    <n v="629"/>
    <x v="271"/>
    <s v="Annual"/>
    <n v="1"/>
    <n v="1"/>
    <n v="164808"/>
    <n v="164808"/>
  </r>
  <r>
    <x v="0"/>
    <n v="84"/>
    <x v="34"/>
    <x v="2"/>
    <x v="2"/>
    <n v="1135"/>
    <x v="55"/>
    <x v="35"/>
    <x v="76"/>
    <n v="3265"/>
    <x v="294"/>
    <n v="0"/>
    <x v="0"/>
    <s v="B 10"/>
    <n v="1"/>
    <s v="03A7"/>
    <x v="4"/>
    <s v="Annual"/>
    <n v="1"/>
    <n v="1"/>
    <n v="56124"/>
    <n v="56124"/>
  </r>
  <r>
    <x v="0"/>
    <n v="84"/>
    <x v="34"/>
    <x v="2"/>
    <x v="2"/>
    <n v="1135"/>
    <x v="55"/>
    <x v="35"/>
    <x v="76"/>
    <n v="3265"/>
    <x v="294"/>
    <n v="0"/>
    <x v="0"/>
    <s v="BX 15"/>
    <n v="10"/>
    <n v="396"/>
    <x v="907"/>
    <s v="Annual"/>
    <n v="1"/>
    <n v="1"/>
    <n v="113568"/>
    <n v="113568"/>
  </r>
  <r>
    <x v="0"/>
    <n v="84"/>
    <x v="34"/>
    <x v="2"/>
    <x v="2"/>
    <n v="1135"/>
    <x v="55"/>
    <x v="35"/>
    <x v="76"/>
    <n v="3265"/>
    <x v="294"/>
    <n v="0"/>
    <x v="0"/>
    <s v="1 00"/>
    <n v="0"/>
    <n v="15"/>
    <x v="37"/>
    <s v="Annual"/>
    <n v="0"/>
    <n v="0"/>
    <n v="1278"/>
    <n v="1278"/>
  </r>
  <r>
    <x v="0"/>
    <n v="84"/>
    <x v="34"/>
    <x v="2"/>
    <x v="2"/>
    <n v="1155"/>
    <x v="46"/>
    <x v="31"/>
    <x v="66"/>
    <n v="3255"/>
    <x v="244"/>
    <n v="0"/>
    <x v="0"/>
    <s v="BX 20"/>
    <n v="10"/>
    <n v="8259"/>
    <x v="1027"/>
    <s v="Annual"/>
    <n v="1"/>
    <n v="1"/>
    <n v="117780"/>
    <n v="117780"/>
  </r>
  <r>
    <x v="0"/>
    <n v="84"/>
    <x v="34"/>
    <x v="2"/>
    <x v="2"/>
    <n v="1155"/>
    <x v="46"/>
    <x v="31"/>
    <x v="66"/>
    <n v="3280"/>
    <x v="241"/>
    <n v="0"/>
    <x v="0"/>
    <s v="2 0"/>
    <n v="54"/>
    <n v="9539"/>
    <x v="1028"/>
    <s v="Hourly"/>
    <n v="108160"/>
    <n v="0"/>
    <n v="51.47"/>
    <n v="5566995"/>
  </r>
  <r>
    <x v="0"/>
    <n v="84"/>
    <x v="34"/>
    <x v="2"/>
    <x v="2"/>
    <n v="1155"/>
    <x v="46"/>
    <x v="31"/>
    <x v="66"/>
    <n v="3280"/>
    <x v="241"/>
    <n v="0"/>
    <x v="0"/>
    <s v="2 0"/>
    <n v="54"/>
    <n v="9539"/>
    <x v="1028"/>
    <s v="Hourly"/>
    <n v="86"/>
    <n v="1"/>
    <n v="51.4"/>
    <n v="9194432"/>
  </r>
  <r>
    <x v="0"/>
    <n v="84"/>
    <x v="34"/>
    <x v="2"/>
    <x v="2"/>
    <n v="1155"/>
    <x v="46"/>
    <x v="31"/>
    <x v="66"/>
    <n v="3280"/>
    <x v="241"/>
    <n v="0"/>
    <x v="0"/>
    <s v="2 0"/>
    <n v="54"/>
    <n v="9464"/>
    <x v="1029"/>
    <s v="Hourly"/>
    <n v="45758"/>
    <n v="0"/>
    <n v="51.4"/>
    <n v="2351961"/>
  </r>
  <r>
    <x v="0"/>
    <n v="84"/>
    <x v="34"/>
    <x v="2"/>
    <x v="2"/>
    <n v="1155"/>
    <x v="46"/>
    <x v="31"/>
    <x v="66"/>
    <n v="3280"/>
    <x v="241"/>
    <n v="0"/>
    <x v="0"/>
    <s v="2 0"/>
    <n v="54"/>
    <n v="9464"/>
    <x v="1029"/>
    <s v="Hourly"/>
    <n v="17"/>
    <n v="1"/>
    <n v="51.4"/>
    <n v="1817504"/>
  </r>
  <r>
    <x v="0"/>
    <n v="84"/>
    <x v="34"/>
    <x v="2"/>
    <x v="2"/>
    <n v="1155"/>
    <x v="46"/>
    <x v="31"/>
    <x v="66"/>
    <n v="3280"/>
    <x v="241"/>
    <n v="0"/>
    <x v="0"/>
    <s v="2 0"/>
    <n v="54"/>
    <n v="8323"/>
    <x v="1030"/>
    <s v="Hourly"/>
    <n v="2"/>
    <n v="1"/>
    <n v="51.4"/>
    <n v="213824"/>
  </r>
  <r>
    <x v="0"/>
    <n v="84"/>
    <x v="34"/>
    <x v="2"/>
    <x v="2"/>
    <n v="1155"/>
    <x v="46"/>
    <x v="31"/>
    <x v="66"/>
    <n v="3280"/>
    <x v="241"/>
    <n v="0"/>
    <x v="0"/>
    <s v="2 0"/>
    <n v="54"/>
    <n v="8323"/>
    <x v="1030"/>
    <s v="Hourly"/>
    <n v="1"/>
    <n v="1"/>
    <n v="44.4"/>
    <n v="92352"/>
  </r>
  <r>
    <x v="0"/>
    <n v="84"/>
    <x v="34"/>
    <x v="2"/>
    <x v="2"/>
    <n v="1155"/>
    <x v="46"/>
    <x v="31"/>
    <x v="66"/>
    <n v="3280"/>
    <x v="241"/>
    <n v="0"/>
    <x v="0"/>
    <s v="2 0"/>
    <n v="54"/>
    <n v="8322"/>
    <x v="1031"/>
    <s v="Hourly"/>
    <n v="1"/>
    <n v="1"/>
    <n v="51.4"/>
    <n v="106912"/>
  </r>
  <r>
    <x v="0"/>
    <n v="84"/>
    <x v="34"/>
    <x v="2"/>
    <x v="2"/>
    <n v="1155"/>
    <x v="46"/>
    <x v="31"/>
    <x v="66"/>
    <n v="3280"/>
    <x v="241"/>
    <n v="0"/>
    <x v="0"/>
    <s v="2 0"/>
    <n v="54"/>
    <n v="8249"/>
    <x v="1032"/>
    <s v="Hourly"/>
    <n v="18"/>
    <n v="1"/>
    <n v="52.3"/>
    <n v="1958112"/>
  </r>
  <r>
    <x v="0"/>
    <n v="84"/>
    <x v="34"/>
    <x v="2"/>
    <x v="2"/>
    <n v="1155"/>
    <x v="46"/>
    <x v="31"/>
    <x v="66"/>
    <n v="3280"/>
    <x v="241"/>
    <n v="0"/>
    <x v="0"/>
    <s v="2 0"/>
    <n v="54"/>
    <n v="8248"/>
    <x v="1033"/>
    <s v="Hourly"/>
    <n v="10"/>
    <n v="1"/>
    <n v="52.3"/>
    <n v="1087840"/>
  </r>
  <r>
    <x v="0"/>
    <n v="84"/>
    <x v="34"/>
    <x v="2"/>
    <x v="2"/>
    <n v="1155"/>
    <x v="46"/>
    <x v="31"/>
    <x v="66"/>
    <n v="3280"/>
    <x v="241"/>
    <n v="0"/>
    <x v="0"/>
    <s v="2 0"/>
    <n v="42"/>
    <n v="7633"/>
    <x v="887"/>
    <s v="Hourly"/>
    <n v="54075"/>
    <n v="0"/>
    <n v="66.8"/>
    <n v="3612210"/>
  </r>
  <r>
    <x v="0"/>
    <n v="84"/>
    <x v="34"/>
    <x v="2"/>
    <x v="2"/>
    <n v="1155"/>
    <x v="46"/>
    <x v="31"/>
    <x v="66"/>
    <n v="3280"/>
    <x v="241"/>
    <n v="0"/>
    <x v="0"/>
    <s v="2 0"/>
    <n v="42"/>
    <n v="7633"/>
    <x v="887"/>
    <s v="Hourly"/>
    <n v="19"/>
    <n v="1"/>
    <n v="64.8"/>
    <n v="2560896"/>
  </r>
  <r>
    <x v="0"/>
    <n v="84"/>
    <x v="34"/>
    <x v="2"/>
    <x v="2"/>
    <n v="1155"/>
    <x v="46"/>
    <x v="31"/>
    <x v="66"/>
    <n v="3280"/>
    <x v="241"/>
    <n v="0"/>
    <x v="0"/>
    <s v="2 0"/>
    <n v="42"/>
    <n v="7633"/>
    <x v="887"/>
    <s v="Hourly"/>
    <n v="1"/>
    <n v="1"/>
    <n v="63.5"/>
    <n v="132080"/>
  </r>
  <r>
    <x v="0"/>
    <n v="84"/>
    <x v="34"/>
    <x v="2"/>
    <x v="2"/>
    <n v="1155"/>
    <x v="46"/>
    <x v="31"/>
    <x v="66"/>
    <n v="3280"/>
    <x v="241"/>
    <n v="0"/>
    <x v="0"/>
    <s v="2 0"/>
    <n v="8"/>
    <n v="7184"/>
    <x v="882"/>
    <s v="Hourly"/>
    <n v="166423"/>
    <n v="0"/>
    <n v="48.73"/>
    <n v="8109793"/>
  </r>
  <r>
    <x v="0"/>
    <n v="84"/>
    <x v="34"/>
    <x v="2"/>
    <x v="2"/>
    <n v="1155"/>
    <x v="46"/>
    <x v="31"/>
    <x v="66"/>
    <n v="3280"/>
    <x v="241"/>
    <n v="0"/>
    <x v="0"/>
    <s v="2 0"/>
    <n v="8"/>
    <n v="7184"/>
    <x v="882"/>
    <s v="Hourly"/>
    <n v="26"/>
    <n v="1"/>
    <n v="48.73"/>
    <n v="2635318"/>
  </r>
  <r>
    <x v="0"/>
    <n v="84"/>
    <x v="34"/>
    <x v="2"/>
    <x v="2"/>
    <n v="1155"/>
    <x v="46"/>
    <x v="31"/>
    <x v="66"/>
    <n v="3280"/>
    <x v="241"/>
    <n v="0"/>
    <x v="0"/>
    <s v="2 0"/>
    <n v="8"/>
    <n v="7183"/>
    <x v="449"/>
    <s v="Hourly"/>
    <n v="31"/>
    <n v="1"/>
    <n v="48.73"/>
    <n v="3142110"/>
  </r>
  <r>
    <x v="0"/>
    <n v="84"/>
    <x v="34"/>
    <x v="2"/>
    <x v="2"/>
    <n v="1155"/>
    <x v="46"/>
    <x v="31"/>
    <x v="66"/>
    <n v="3280"/>
    <x v="241"/>
    <n v="0"/>
    <x v="0"/>
    <s v="2 0"/>
    <n v="32"/>
    <n v="5035"/>
    <x v="431"/>
    <s v="Hourly"/>
    <n v="13870"/>
    <n v="0"/>
    <n v="57.75"/>
    <n v="800993"/>
  </r>
  <r>
    <x v="0"/>
    <n v="84"/>
    <x v="34"/>
    <x v="2"/>
    <x v="2"/>
    <n v="1155"/>
    <x v="46"/>
    <x v="31"/>
    <x v="66"/>
    <n v="3280"/>
    <x v="241"/>
    <n v="0"/>
    <x v="0"/>
    <s v="2 0"/>
    <n v="32"/>
    <n v="5035"/>
    <x v="431"/>
    <s v="Hourly"/>
    <n v="7"/>
    <n v="1"/>
    <n v="57.75"/>
    <n v="840840"/>
  </r>
  <r>
    <x v="0"/>
    <n v="84"/>
    <x v="34"/>
    <x v="2"/>
    <x v="2"/>
    <n v="1155"/>
    <x v="46"/>
    <x v="31"/>
    <x v="66"/>
    <n v="3280"/>
    <x v="241"/>
    <n v="0"/>
    <x v="0"/>
    <s v="2 0"/>
    <n v="46"/>
    <n v="4834"/>
    <x v="1034"/>
    <s v="Hourly"/>
    <n v="4"/>
    <n v="1"/>
    <n v="62.46"/>
    <n v="519667"/>
  </r>
  <r>
    <x v="0"/>
    <n v="84"/>
    <x v="34"/>
    <x v="2"/>
    <x v="2"/>
    <n v="1155"/>
    <x v="46"/>
    <x v="31"/>
    <x v="66"/>
    <n v="3280"/>
    <x v="241"/>
    <n v="0"/>
    <x v="0"/>
    <s v="2 0"/>
    <n v="33"/>
    <n v="4435"/>
    <x v="1035"/>
    <s v="Hourly"/>
    <n v="13870"/>
    <n v="0"/>
    <n v="53.1"/>
    <n v="736497"/>
  </r>
  <r>
    <x v="0"/>
    <n v="84"/>
    <x v="34"/>
    <x v="2"/>
    <x v="2"/>
    <n v="1155"/>
    <x v="46"/>
    <x v="31"/>
    <x v="66"/>
    <n v="3280"/>
    <x v="241"/>
    <n v="0"/>
    <x v="0"/>
    <s v="2 0"/>
    <n v="33"/>
    <n v="4437"/>
    <x v="1036"/>
    <s v="Hourly"/>
    <n v="22"/>
    <n v="1"/>
    <n v="55.1"/>
    <n v="2521376"/>
  </r>
  <r>
    <x v="0"/>
    <n v="84"/>
    <x v="34"/>
    <x v="2"/>
    <x v="2"/>
    <n v="1155"/>
    <x v="46"/>
    <x v="31"/>
    <x v="66"/>
    <n v="3280"/>
    <x v="241"/>
    <n v="0"/>
    <x v="0"/>
    <s v="2 0"/>
    <n v="33"/>
    <n v="4435"/>
    <x v="1035"/>
    <s v="Hourly"/>
    <n v="27"/>
    <n v="1"/>
    <n v="53.1"/>
    <n v="2982096"/>
  </r>
  <r>
    <x v="0"/>
    <n v="84"/>
    <x v="34"/>
    <x v="2"/>
    <x v="2"/>
    <n v="1155"/>
    <x v="46"/>
    <x v="31"/>
    <x v="66"/>
    <n v="3280"/>
    <x v="241"/>
    <n v="0"/>
    <x v="0"/>
    <s v="2 0"/>
    <n v="50"/>
    <n v="4301"/>
    <x v="447"/>
    <s v="Hourly"/>
    <n v="4"/>
    <n v="1"/>
    <n v="56.71"/>
    <n v="471827"/>
  </r>
  <r>
    <x v="0"/>
    <n v="84"/>
    <x v="34"/>
    <x v="2"/>
    <x v="2"/>
    <n v="1155"/>
    <x v="46"/>
    <x v="31"/>
    <x v="66"/>
    <n v="3280"/>
    <x v="241"/>
    <n v="0"/>
    <x v="0"/>
    <s v="1 00"/>
    <n v="0"/>
    <n v="12"/>
    <x v="291"/>
    <s v="Annual"/>
    <n v="0"/>
    <n v="0"/>
    <n v="771834"/>
    <n v="771834"/>
  </r>
  <r>
    <x v="0"/>
    <n v="84"/>
    <x v="34"/>
    <x v="2"/>
    <x v="2"/>
    <n v="1155"/>
    <x v="46"/>
    <x v="31"/>
    <x v="66"/>
    <n v="3355"/>
    <x v="244"/>
    <n v="0"/>
    <x v="0"/>
    <s v="X 42"/>
    <n v="0"/>
    <n v="9681"/>
    <x v="81"/>
    <s v="Annual"/>
    <n v="1"/>
    <n v="1"/>
    <n v="184584"/>
    <n v="184584"/>
  </r>
  <r>
    <x v="0"/>
    <n v="84"/>
    <x v="34"/>
    <x v="2"/>
    <x v="2"/>
    <n v="1155"/>
    <x v="46"/>
    <x v="31"/>
    <x v="66"/>
    <n v="3355"/>
    <x v="244"/>
    <n v="0"/>
    <x v="0"/>
    <s v="BX 22"/>
    <n v="10"/>
    <n v="8184"/>
    <x v="877"/>
    <s v="Annual"/>
    <n v="1"/>
    <n v="1"/>
    <n v="164676"/>
    <n v="164676"/>
  </r>
  <r>
    <x v="0"/>
    <n v="84"/>
    <x v="34"/>
    <x v="2"/>
    <x v="2"/>
    <n v="1155"/>
    <x v="46"/>
    <x v="31"/>
    <x v="66"/>
    <n v="3355"/>
    <x v="244"/>
    <n v="0"/>
    <x v="0"/>
    <s v="V 13"/>
    <n v="54"/>
    <n v="6305"/>
    <x v="874"/>
    <s v="Annual"/>
    <n v="2"/>
    <n v="1"/>
    <n v="74136"/>
    <n v="148272"/>
  </r>
  <r>
    <x v="0"/>
    <n v="84"/>
    <x v="34"/>
    <x v="2"/>
    <x v="2"/>
    <n v="1155"/>
    <x v="46"/>
    <x v="31"/>
    <x v="66"/>
    <n v="3355"/>
    <x v="244"/>
    <n v="0"/>
    <x v="0"/>
    <s v="BX 13"/>
    <n v="10"/>
    <n v="803"/>
    <x v="982"/>
    <s v="Annual"/>
    <n v="1"/>
    <n v="1"/>
    <n v="73728"/>
    <n v="73728"/>
  </r>
  <r>
    <x v="0"/>
    <n v="84"/>
    <x v="34"/>
    <x v="2"/>
    <x v="2"/>
    <n v="1155"/>
    <x v="46"/>
    <x v="31"/>
    <x v="66"/>
    <n v="3355"/>
    <x v="244"/>
    <n v="0"/>
    <x v="0"/>
    <s v="GY 11"/>
    <n v="20"/>
    <n v="289"/>
    <x v="470"/>
    <s v="Annual"/>
    <n v="1"/>
    <n v="1"/>
    <n v="111000"/>
    <n v="111000"/>
  </r>
  <r>
    <x v="0"/>
    <n v="84"/>
    <x v="34"/>
    <x v="2"/>
    <x v="2"/>
    <n v="1155"/>
    <x v="46"/>
    <x v="31"/>
    <x v="66"/>
    <n v="3355"/>
    <x v="244"/>
    <n v="0"/>
    <x v="0"/>
    <s v="1 00"/>
    <n v="0"/>
    <n v="15"/>
    <x v="37"/>
    <s v="Annual"/>
    <n v="0"/>
    <n v="0"/>
    <n v="11748"/>
    <n v="11748"/>
  </r>
  <r>
    <x v="0"/>
    <n v="84"/>
    <x v="34"/>
    <x v="3"/>
    <x v="3"/>
    <n v="1140"/>
    <x v="43"/>
    <x v="10"/>
    <x v="63"/>
    <n v="3139"/>
    <x v="238"/>
    <n v="4140"/>
    <x v="277"/>
    <s v="2 0"/>
    <n v="54"/>
    <n v="9534"/>
    <x v="424"/>
    <s v="Hourly"/>
    <n v="5"/>
    <n v="1"/>
    <n v="51.4"/>
    <n v="534560"/>
  </r>
  <r>
    <x v="0"/>
    <n v="84"/>
    <x v="34"/>
    <x v="3"/>
    <x v="3"/>
    <n v="1140"/>
    <x v="43"/>
    <x v="10"/>
    <x v="63"/>
    <n v="3139"/>
    <x v="238"/>
    <n v="4140"/>
    <x v="277"/>
    <s v="2 0"/>
    <n v="54"/>
    <n v="9534"/>
    <x v="424"/>
    <s v="Hourly"/>
    <n v="2"/>
    <n v="1"/>
    <n v="46.26"/>
    <n v="192442"/>
  </r>
  <r>
    <x v="0"/>
    <n v="84"/>
    <x v="34"/>
    <x v="3"/>
    <x v="3"/>
    <n v="1140"/>
    <x v="43"/>
    <x v="10"/>
    <x v="63"/>
    <n v="3139"/>
    <x v="238"/>
    <n v="4140"/>
    <x v="277"/>
    <s v="2 0"/>
    <n v="41"/>
    <n v="8263"/>
    <x v="1037"/>
    <s v="Hourly"/>
    <n v="3120"/>
    <n v="0"/>
    <n v="43.66"/>
    <n v="136219"/>
  </r>
  <r>
    <x v="0"/>
    <n v="84"/>
    <x v="34"/>
    <x v="3"/>
    <x v="3"/>
    <n v="1140"/>
    <x v="43"/>
    <x v="10"/>
    <x v="63"/>
    <n v="3139"/>
    <x v="238"/>
    <n v="4140"/>
    <x v="277"/>
    <s v="2 0"/>
    <n v="41"/>
    <n v="8263"/>
    <x v="1037"/>
    <s v="Hourly"/>
    <n v="8320"/>
    <n v="0"/>
    <n v="37.11"/>
    <n v="308755"/>
  </r>
  <r>
    <x v="0"/>
    <n v="84"/>
    <x v="34"/>
    <x v="3"/>
    <x v="3"/>
    <n v="1140"/>
    <x v="43"/>
    <x v="10"/>
    <x v="63"/>
    <n v="3139"/>
    <x v="238"/>
    <n v="4140"/>
    <x v="277"/>
    <s v="2 0"/>
    <n v="25"/>
    <n v="8267"/>
    <x v="1038"/>
    <s v="Hourly"/>
    <n v="1"/>
    <n v="1"/>
    <n v="52.53"/>
    <n v="109262"/>
  </r>
  <r>
    <x v="0"/>
    <n v="84"/>
    <x v="34"/>
    <x v="3"/>
    <x v="3"/>
    <n v="1140"/>
    <x v="43"/>
    <x v="10"/>
    <x v="63"/>
    <n v="3139"/>
    <x v="238"/>
    <n v="4140"/>
    <x v="277"/>
    <s v="2 0"/>
    <n v="41"/>
    <n v="8265"/>
    <x v="1039"/>
    <s v="Hourly"/>
    <n v="1"/>
    <n v="1"/>
    <n v="47.16"/>
    <n v="98093"/>
  </r>
  <r>
    <x v="0"/>
    <n v="84"/>
    <x v="34"/>
    <x v="3"/>
    <x v="3"/>
    <n v="1140"/>
    <x v="43"/>
    <x v="10"/>
    <x v="63"/>
    <n v="3139"/>
    <x v="238"/>
    <n v="4140"/>
    <x v="277"/>
    <s v="2 0"/>
    <n v="41"/>
    <n v="8263"/>
    <x v="1037"/>
    <s v="Hourly"/>
    <n v="14"/>
    <n v="1"/>
    <n v="43.66"/>
    <n v="1271379"/>
  </r>
  <r>
    <x v="0"/>
    <n v="84"/>
    <x v="34"/>
    <x v="3"/>
    <x v="3"/>
    <n v="1140"/>
    <x v="43"/>
    <x v="10"/>
    <x v="63"/>
    <n v="3139"/>
    <x v="238"/>
    <n v="4140"/>
    <x v="277"/>
    <s v="2 0"/>
    <n v="41"/>
    <n v="8263"/>
    <x v="1037"/>
    <s v="Hourly"/>
    <n v="1"/>
    <n v="1"/>
    <n v="39.29"/>
    <n v="81723"/>
  </r>
  <r>
    <x v="0"/>
    <n v="84"/>
    <x v="34"/>
    <x v="3"/>
    <x v="3"/>
    <n v="1140"/>
    <x v="43"/>
    <x v="10"/>
    <x v="63"/>
    <n v="3139"/>
    <x v="238"/>
    <n v="4140"/>
    <x v="277"/>
    <s v="2 0"/>
    <n v="41"/>
    <n v="8263"/>
    <x v="1037"/>
    <s v="Hourly"/>
    <n v="5"/>
    <n v="1"/>
    <n v="37.11"/>
    <n v="385944"/>
  </r>
  <r>
    <x v="0"/>
    <n v="84"/>
    <x v="34"/>
    <x v="3"/>
    <x v="3"/>
    <n v="1140"/>
    <x v="43"/>
    <x v="10"/>
    <x v="63"/>
    <n v="3139"/>
    <x v="238"/>
    <n v="4140"/>
    <x v="277"/>
    <s v="2 0"/>
    <n v="53"/>
    <n v="8244"/>
    <x v="425"/>
    <s v="Hourly"/>
    <n v="1"/>
    <n v="1"/>
    <n v="52.3"/>
    <n v="108784"/>
  </r>
  <r>
    <x v="0"/>
    <n v="84"/>
    <x v="34"/>
    <x v="3"/>
    <x v="3"/>
    <n v="1140"/>
    <x v="43"/>
    <x v="10"/>
    <x v="63"/>
    <n v="3139"/>
    <x v="238"/>
    <n v="4140"/>
    <x v="277"/>
    <s v="V 13"/>
    <n v="54"/>
    <n v="6295"/>
    <x v="1017"/>
    <s v="Annual"/>
    <n v="1"/>
    <n v="1"/>
    <n v="119052"/>
    <n v="119052"/>
  </r>
  <r>
    <x v="0"/>
    <n v="84"/>
    <x v="34"/>
    <x v="3"/>
    <x v="3"/>
    <n v="1140"/>
    <x v="43"/>
    <x v="10"/>
    <x v="63"/>
    <n v="3139"/>
    <x v="238"/>
    <n v="4140"/>
    <x v="277"/>
    <s v="V 13"/>
    <n v="54"/>
    <n v="6295"/>
    <x v="1017"/>
    <s v="Annual"/>
    <n v="1"/>
    <n v="1"/>
    <n v="98892"/>
    <n v="98892"/>
  </r>
  <r>
    <x v="0"/>
    <n v="84"/>
    <x v="34"/>
    <x v="3"/>
    <x v="3"/>
    <n v="1140"/>
    <x v="43"/>
    <x v="10"/>
    <x v="63"/>
    <n v="3139"/>
    <x v="238"/>
    <n v="4140"/>
    <x v="277"/>
    <s v="G 08"/>
    <n v="4"/>
    <n v="6254"/>
    <x v="910"/>
    <s v="Annual"/>
    <n v="1"/>
    <n v="1"/>
    <n v="117636"/>
    <n v="117636"/>
  </r>
  <r>
    <x v="0"/>
    <n v="84"/>
    <x v="34"/>
    <x v="3"/>
    <x v="3"/>
    <n v="1140"/>
    <x v="43"/>
    <x v="10"/>
    <x v="63"/>
    <n v="3139"/>
    <x v="238"/>
    <n v="4140"/>
    <x v="277"/>
    <s v="V 16"/>
    <n v="54"/>
    <n v="6139"/>
    <x v="1022"/>
    <s v="Annual"/>
    <n v="1"/>
    <n v="1"/>
    <n v="157296"/>
    <n v="157296"/>
  </r>
  <r>
    <x v="0"/>
    <n v="84"/>
    <x v="34"/>
    <x v="3"/>
    <x v="3"/>
    <n v="1140"/>
    <x v="43"/>
    <x v="10"/>
    <x v="63"/>
    <n v="3139"/>
    <x v="238"/>
    <n v="4140"/>
    <x v="277"/>
    <s v="V 13"/>
    <n v="54"/>
    <n v="6137"/>
    <x v="1024"/>
    <s v="Annual"/>
    <n v="2"/>
    <n v="1"/>
    <n v="90108"/>
    <n v="180216"/>
  </r>
  <r>
    <x v="0"/>
    <n v="84"/>
    <x v="34"/>
    <x v="3"/>
    <x v="3"/>
    <n v="1140"/>
    <x v="43"/>
    <x v="10"/>
    <x v="63"/>
    <n v="3139"/>
    <x v="238"/>
    <n v="4140"/>
    <x v="277"/>
    <s v="V 13"/>
    <n v="54"/>
    <n v="6137"/>
    <x v="1024"/>
    <s v="Annual"/>
    <n v="4"/>
    <n v="1"/>
    <n v="74136"/>
    <n v="296544"/>
  </r>
  <r>
    <x v="0"/>
    <n v="84"/>
    <x v="34"/>
    <x v="3"/>
    <x v="3"/>
    <n v="1140"/>
    <x v="43"/>
    <x v="10"/>
    <x v="63"/>
    <n v="3139"/>
    <x v="238"/>
    <n v="4140"/>
    <x v="277"/>
    <s v="BX 20"/>
    <n v="10"/>
    <n v="6135"/>
    <x v="1025"/>
    <s v="Annual"/>
    <n v="1"/>
    <n v="1"/>
    <n v="143232"/>
    <n v="143232"/>
  </r>
  <r>
    <x v="0"/>
    <n v="84"/>
    <x v="34"/>
    <x v="3"/>
    <x v="3"/>
    <n v="1140"/>
    <x v="43"/>
    <x v="10"/>
    <x v="63"/>
    <n v="3139"/>
    <x v="238"/>
    <n v="4140"/>
    <x v="277"/>
    <s v="2 0"/>
    <n v="25"/>
    <n v="4654"/>
    <x v="1040"/>
    <s v="Hourly"/>
    <n v="2774"/>
    <n v="0"/>
    <n v="39.590000000000003"/>
    <n v="109823"/>
  </r>
  <r>
    <x v="0"/>
    <n v="84"/>
    <x v="34"/>
    <x v="3"/>
    <x v="3"/>
    <n v="1140"/>
    <x v="43"/>
    <x v="10"/>
    <x v="63"/>
    <n v="3139"/>
    <x v="238"/>
    <n v="4140"/>
    <x v="277"/>
    <s v="2 0"/>
    <n v="25"/>
    <n v="4656"/>
    <x v="1041"/>
    <s v="Hourly"/>
    <n v="6"/>
    <n v="1"/>
    <n v="46.76"/>
    <n v="583565"/>
  </r>
  <r>
    <x v="0"/>
    <n v="84"/>
    <x v="34"/>
    <x v="3"/>
    <x v="3"/>
    <n v="1140"/>
    <x v="43"/>
    <x v="10"/>
    <x v="63"/>
    <n v="3139"/>
    <x v="238"/>
    <n v="4140"/>
    <x v="277"/>
    <s v="B 12"/>
    <n v="1"/>
    <s v="03A8"/>
    <x v="88"/>
    <s v="Annual"/>
    <n v="1"/>
    <n v="1"/>
    <n v="94452"/>
    <n v="94452"/>
  </r>
  <r>
    <x v="0"/>
    <n v="84"/>
    <x v="34"/>
    <x v="3"/>
    <x v="3"/>
    <n v="1140"/>
    <x v="43"/>
    <x v="10"/>
    <x v="63"/>
    <n v="3139"/>
    <x v="238"/>
    <n v="4140"/>
    <x v="277"/>
    <s v="B 12"/>
    <n v="1"/>
    <s v="03A8"/>
    <x v="88"/>
    <s v="Annual"/>
    <n v="1"/>
    <n v="1"/>
    <n v="62544"/>
    <n v="62544"/>
  </r>
  <r>
    <x v="0"/>
    <n v="84"/>
    <x v="34"/>
    <x v="3"/>
    <x v="3"/>
    <n v="1140"/>
    <x v="43"/>
    <x v="10"/>
    <x v="63"/>
    <n v="3139"/>
    <x v="238"/>
    <n v="4140"/>
    <x v="277"/>
    <s v="1 00"/>
    <n v="0"/>
    <n v="15"/>
    <x v="37"/>
    <s v="Annual"/>
    <n v="0"/>
    <n v="0"/>
    <n v="36593"/>
    <n v="36593"/>
  </r>
  <r>
    <x v="0"/>
    <n v="84"/>
    <x v="34"/>
    <x v="3"/>
    <x v="3"/>
    <n v="1140"/>
    <x v="43"/>
    <x v="10"/>
    <x v="63"/>
    <n v="3139"/>
    <x v="238"/>
    <n v="4140"/>
    <x v="277"/>
    <s v="1 00"/>
    <n v="0"/>
    <n v="12"/>
    <x v="291"/>
    <s v="Annual"/>
    <n v="0"/>
    <n v="0"/>
    <n v="58807"/>
    <n v="58807"/>
  </r>
  <r>
    <x v="0"/>
    <n v="84"/>
    <x v="34"/>
    <x v="3"/>
    <x v="3"/>
    <n v="1150"/>
    <x v="45"/>
    <x v="1"/>
    <x v="65"/>
    <n v="3270"/>
    <x v="242"/>
    <n v="4273"/>
    <x v="236"/>
    <s v="2 0"/>
    <n v="54"/>
    <n v="9534"/>
    <x v="424"/>
    <s v="Hourly"/>
    <n v="16"/>
    <n v="1"/>
    <n v="51.4"/>
    <n v="1710592"/>
  </r>
  <r>
    <x v="0"/>
    <n v="84"/>
    <x v="34"/>
    <x v="3"/>
    <x v="3"/>
    <n v="1150"/>
    <x v="45"/>
    <x v="1"/>
    <x v="65"/>
    <n v="3270"/>
    <x v="242"/>
    <n v="4273"/>
    <x v="236"/>
    <s v="2 0"/>
    <n v="54"/>
    <n v="9534"/>
    <x v="424"/>
    <s v="Hourly"/>
    <n v="1"/>
    <n v="1"/>
    <n v="51.05"/>
    <n v="106184"/>
  </r>
  <r>
    <x v="0"/>
    <n v="84"/>
    <x v="34"/>
    <x v="3"/>
    <x v="3"/>
    <n v="1150"/>
    <x v="45"/>
    <x v="1"/>
    <x v="65"/>
    <n v="3270"/>
    <x v="242"/>
    <n v="4273"/>
    <x v="236"/>
    <s v="2 0"/>
    <n v="29"/>
    <n v="7120"/>
    <x v="1042"/>
    <s v="Monthly"/>
    <n v="10"/>
    <n v="1"/>
    <n v="11193.87"/>
    <n v="1343264"/>
  </r>
  <r>
    <x v="0"/>
    <n v="84"/>
    <x v="34"/>
    <x v="3"/>
    <x v="3"/>
    <n v="1150"/>
    <x v="45"/>
    <x v="1"/>
    <x v="65"/>
    <n v="3270"/>
    <x v="242"/>
    <n v="4273"/>
    <x v="236"/>
    <s v="2 0"/>
    <n v="29"/>
    <n v="5088"/>
    <x v="1043"/>
    <s v="Monthly"/>
    <n v="7"/>
    <n v="1"/>
    <n v="12284.13"/>
    <n v="1031867"/>
  </r>
  <r>
    <x v="0"/>
    <n v="84"/>
    <x v="34"/>
    <x v="3"/>
    <x v="3"/>
    <n v="1150"/>
    <x v="45"/>
    <x v="1"/>
    <x v="65"/>
    <n v="3270"/>
    <x v="242"/>
    <n v="4273"/>
    <x v="236"/>
    <s v="2 0"/>
    <n v="29"/>
    <n v="5086"/>
    <x v="1044"/>
    <s v="Monthly"/>
    <n v="38"/>
    <n v="1"/>
    <n v="11193.87"/>
    <n v="5104405"/>
  </r>
  <r>
    <x v="0"/>
    <n v="84"/>
    <x v="34"/>
    <x v="3"/>
    <x v="3"/>
    <n v="1150"/>
    <x v="45"/>
    <x v="1"/>
    <x v="65"/>
    <n v="3270"/>
    <x v="242"/>
    <n v="4273"/>
    <x v="236"/>
    <s v="2 0"/>
    <n v="29"/>
    <n v="5085"/>
    <x v="1045"/>
    <s v="Monthly"/>
    <n v="2"/>
    <n v="1"/>
    <n v="13074.53"/>
    <n v="313789"/>
  </r>
  <r>
    <x v="0"/>
    <n v="84"/>
    <x v="34"/>
    <x v="3"/>
    <x v="3"/>
    <n v="1150"/>
    <x v="45"/>
    <x v="1"/>
    <x v="65"/>
    <n v="3270"/>
    <x v="242"/>
    <n v="4273"/>
    <x v="236"/>
    <s v="2 0"/>
    <n v="29"/>
    <n v="5083"/>
    <x v="919"/>
    <s v="Hourly"/>
    <n v="3"/>
    <n v="1"/>
    <n v="70.87"/>
    <n v="442229"/>
  </r>
  <r>
    <x v="0"/>
    <n v="84"/>
    <x v="34"/>
    <x v="3"/>
    <x v="3"/>
    <n v="1150"/>
    <x v="45"/>
    <x v="1"/>
    <x v="65"/>
    <n v="3270"/>
    <x v="242"/>
    <n v="4273"/>
    <x v="236"/>
    <s v="2 0"/>
    <n v="29"/>
    <n v="5081"/>
    <x v="923"/>
    <s v="Hourly"/>
    <n v="17"/>
    <n v="1"/>
    <n v="64.58"/>
    <n v="2283549"/>
  </r>
  <r>
    <x v="0"/>
    <n v="84"/>
    <x v="34"/>
    <x v="3"/>
    <x v="3"/>
    <n v="1150"/>
    <x v="45"/>
    <x v="1"/>
    <x v="65"/>
    <n v="3270"/>
    <x v="242"/>
    <n v="4273"/>
    <x v="236"/>
    <s v="2 0"/>
    <n v="29"/>
    <n v="5061"/>
    <x v="1046"/>
    <s v="Hourly"/>
    <n v="3"/>
    <n v="1"/>
    <n v="45.34"/>
    <n v="282922"/>
  </r>
  <r>
    <x v="0"/>
    <n v="84"/>
    <x v="34"/>
    <x v="3"/>
    <x v="3"/>
    <n v="1150"/>
    <x v="45"/>
    <x v="1"/>
    <x v="65"/>
    <n v="3270"/>
    <x v="242"/>
    <n v="4273"/>
    <x v="236"/>
    <s v="2 0"/>
    <n v="29"/>
    <n v="5061"/>
    <x v="1046"/>
    <s v="Hourly"/>
    <n v="11"/>
    <n v="1"/>
    <n v="40.299999999999997"/>
    <n v="922064"/>
  </r>
  <r>
    <x v="0"/>
    <n v="84"/>
    <x v="34"/>
    <x v="3"/>
    <x v="3"/>
    <n v="1150"/>
    <x v="45"/>
    <x v="1"/>
    <x v="65"/>
    <n v="3270"/>
    <x v="242"/>
    <n v="4273"/>
    <x v="236"/>
    <s v="2 0"/>
    <n v="29"/>
    <n v="5061"/>
    <x v="1046"/>
    <s v="Hourly"/>
    <n v="20"/>
    <n v="1"/>
    <n v="35.26"/>
    <n v="1466816"/>
  </r>
  <r>
    <x v="0"/>
    <n v="84"/>
    <x v="34"/>
    <x v="3"/>
    <x v="3"/>
    <n v="1150"/>
    <x v="45"/>
    <x v="1"/>
    <x v="65"/>
    <n v="3270"/>
    <x v="242"/>
    <n v="4273"/>
    <x v="236"/>
    <s v="1 00"/>
    <n v="0"/>
    <n v="12"/>
    <x v="291"/>
    <s v="Annual"/>
    <n v="0"/>
    <n v="0"/>
    <n v="225115"/>
    <n v="225115"/>
  </r>
  <r>
    <x v="0"/>
    <n v="84"/>
    <x v="34"/>
    <x v="3"/>
    <x v="3"/>
    <n v="1150"/>
    <x v="45"/>
    <x v="1"/>
    <x v="65"/>
    <n v="3270"/>
    <x v="242"/>
    <n v="4274"/>
    <x v="278"/>
    <s v="2 0"/>
    <n v="29"/>
    <n v="5089"/>
    <x v="921"/>
    <s v="Monthly"/>
    <n v="2"/>
    <n v="1"/>
    <n v="12284.13"/>
    <n v="294819"/>
  </r>
  <r>
    <x v="0"/>
    <n v="84"/>
    <x v="34"/>
    <x v="3"/>
    <x v="3"/>
    <n v="1150"/>
    <x v="45"/>
    <x v="1"/>
    <x v="65"/>
    <n v="3270"/>
    <x v="242"/>
    <n v="4274"/>
    <x v="278"/>
    <s v="2 0"/>
    <n v="29"/>
    <n v="5087"/>
    <x v="922"/>
    <s v="Monthly"/>
    <n v="24"/>
    <n v="1"/>
    <n v="11193.87"/>
    <n v="3223835"/>
  </r>
  <r>
    <x v="0"/>
    <n v="84"/>
    <x v="34"/>
    <x v="3"/>
    <x v="3"/>
    <n v="1150"/>
    <x v="45"/>
    <x v="1"/>
    <x v="65"/>
    <n v="3270"/>
    <x v="242"/>
    <n v="4274"/>
    <x v="278"/>
    <s v="2 0"/>
    <n v="29"/>
    <n v="5085"/>
    <x v="1045"/>
    <s v="Monthly"/>
    <n v="1"/>
    <n v="1"/>
    <n v="13074.53"/>
    <n v="156894"/>
  </r>
  <r>
    <x v="0"/>
    <n v="84"/>
    <x v="34"/>
    <x v="3"/>
    <x v="3"/>
    <n v="1150"/>
    <x v="45"/>
    <x v="1"/>
    <x v="65"/>
    <n v="3270"/>
    <x v="242"/>
    <n v="4274"/>
    <x v="278"/>
    <s v="1 00"/>
    <n v="0"/>
    <n v="12"/>
    <x v="291"/>
    <s v="Annual"/>
    <n v="0"/>
    <n v="0"/>
    <n v="55133"/>
    <n v="55133"/>
  </r>
  <r>
    <x v="0"/>
    <n v="84"/>
    <x v="34"/>
    <x v="3"/>
    <x v="3"/>
    <n v="1150"/>
    <x v="45"/>
    <x v="1"/>
    <x v="65"/>
    <n v="3270"/>
    <x v="242"/>
    <n v="4278"/>
    <x v="279"/>
    <s v="2 0"/>
    <n v="8"/>
    <n v="7185"/>
    <x v="485"/>
    <s v="Hourly"/>
    <n v="2"/>
    <n v="1"/>
    <n v="52.38"/>
    <n v="217901"/>
  </r>
  <r>
    <x v="0"/>
    <n v="84"/>
    <x v="34"/>
    <x v="3"/>
    <x v="3"/>
    <n v="1150"/>
    <x v="45"/>
    <x v="1"/>
    <x v="65"/>
    <n v="3270"/>
    <x v="242"/>
    <n v="4278"/>
    <x v="279"/>
    <s v="2 0"/>
    <n v="8"/>
    <n v="7184"/>
    <x v="882"/>
    <s v="Hourly"/>
    <n v="14"/>
    <n v="1"/>
    <n v="48.73"/>
    <n v="1419018"/>
  </r>
  <r>
    <x v="0"/>
    <n v="84"/>
    <x v="34"/>
    <x v="3"/>
    <x v="3"/>
    <n v="1150"/>
    <x v="45"/>
    <x v="1"/>
    <x v="65"/>
    <n v="3270"/>
    <x v="242"/>
    <n v="4278"/>
    <x v="279"/>
    <s v="2 0"/>
    <n v="8"/>
    <n v="7183"/>
    <x v="449"/>
    <s v="Hourly"/>
    <n v="22"/>
    <n v="1"/>
    <n v="48.73"/>
    <n v="2229885"/>
  </r>
  <r>
    <x v="0"/>
    <n v="84"/>
    <x v="34"/>
    <x v="3"/>
    <x v="3"/>
    <n v="1150"/>
    <x v="45"/>
    <x v="1"/>
    <x v="65"/>
    <n v="3270"/>
    <x v="242"/>
    <n v="4278"/>
    <x v="279"/>
    <s v="1 00"/>
    <n v="0"/>
    <n v="12"/>
    <x v="291"/>
    <s v="Annual"/>
    <n v="0"/>
    <n v="0"/>
    <n v="58002"/>
    <n v="58002"/>
  </r>
  <r>
    <x v="0"/>
    <n v="84"/>
    <x v="34"/>
    <x v="3"/>
    <x v="3"/>
    <n v="1150"/>
    <x v="45"/>
    <x v="1"/>
    <x v="65"/>
    <n v="3275"/>
    <x v="243"/>
    <n v="4280"/>
    <x v="237"/>
    <s v="2 0"/>
    <n v="54"/>
    <n v="9534"/>
    <x v="424"/>
    <s v="Hourly"/>
    <n v="12"/>
    <n v="1"/>
    <n v="51.4"/>
    <n v="1282944"/>
  </r>
  <r>
    <x v="0"/>
    <n v="84"/>
    <x v="34"/>
    <x v="3"/>
    <x v="3"/>
    <n v="1150"/>
    <x v="45"/>
    <x v="1"/>
    <x v="65"/>
    <n v="3275"/>
    <x v="243"/>
    <n v="4280"/>
    <x v="237"/>
    <s v="2 0"/>
    <n v="54"/>
    <n v="9534"/>
    <x v="424"/>
    <s v="Hourly"/>
    <n v="1"/>
    <n v="1"/>
    <n v="51.05"/>
    <n v="106184"/>
  </r>
  <r>
    <x v="0"/>
    <n v="84"/>
    <x v="34"/>
    <x v="3"/>
    <x v="3"/>
    <n v="1150"/>
    <x v="45"/>
    <x v="1"/>
    <x v="65"/>
    <n v="3275"/>
    <x v="243"/>
    <n v="4280"/>
    <x v="237"/>
    <s v="2 0"/>
    <n v="53"/>
    <n v="8244"/>
    <x v="425"/>
    <s v="Hourly"/>
    <n v="3"/>
    <n v="1"/>
    <n v="52.3"/>
    <n v="326352"/>
  </r>
  <r>
    <x v="0"/>
    <n v="84"/>
    <x v="34"/>
    <x v="3"/>
    <x v="3"/>
    <n v="1150"/>
    <x v="45"/>
    <x v="1"/>
    <x v="65"/>
    <n v="3275"/>
    <x v="243"/>
    <n v="4280"/>
    <x v="237"/>
    <s v="2 0"/>
    <n v="8"/>
    <n v="7185"/>
    <x v="485"/>
    <s v="Hourly"/>
    <n v="1"/>
    <n v="1"/>
    <n v="52.38"/>
    <n v="108950"/>
  </r>
  <r>
    <x v="0"/>
    <n v="84"/>
    <x v="34"/>
    <x v="3"/>
    <x v="3"/>
    <n v="1150"/>
    <x v="45"/>
    <x v="1"/>
    <x v="65"/>
    <n v="3275"/>
    <x v="243"/>
    <n v="4280"/>
    <x v="237"/>
    <s v="2 0"/>
    <n v="8"/>
    <n v="7184"/>
    <x v="882"/>
    <s v="Hourly"/>
    <n v="1"/>
    <n v="1"/>
    <n v="48.73"/>
    <n v="101358"/>
  </r>
  <r>
    <x v="0"/>
    <n v="84"/>
    <x v="34"/>
    <x v="3"/>
    <x v="3"/>
    <n v="1150"/>
    <x v="45"/>
    <x v="1"/>
    <x v="65"/>
    <n v="3275"/>
    <x v="243"/>
    <n v="4280"/>
    <x v="237"/>
    <s v="2 0"/>
    <n v="8"/>
    <n v="7183"/>
    <x v="449"/>
    <s v="Hourly"/>
    <n v="4"/>
    <n v="1"/>
    <n v="48.73"/>
    <n v="405434"/>
  </r>
  <r>
    <x v="0"/>
    <n v="84"/>
    <x v="34"/>
    <x v="3"/>
    <x v="3"/>
    <n v="1150"/>
    <x v="45"/>
    <x v="1"/>
    <x v="65"/>
    <n v="3275"/>
    <x v="243"/>
    <n v="4280"/>
    <x v="237"/>
    <s v="2 0"/>
    <n v="29"/>
    <n v="5085"/>
    <x v="1045"/>
    <s v="Monthly"/>
    <n v="2"/>
    <n v="1"/>
    <n v="13074.53"/>
    <n v="313789"/>
  </r>
  <r>
    <x v="0"/>
    <n v="84"/>
    <x v="34"/>
    <x v="3"/>
    <x v="3"/>
    <n v="1150"/>
    <x v="45"/>
    <x v="1"/>
    <x v="65"/>
    <n v="3275"/>
    <x v="243"/>
    <n v="4280"/>
    <x v="237"/>
    <s v="2 0"/>
    <n v="29"/>
    <n v="5083"/>
    <x v="919"/>
    <s v="Hourly"/>
    <n v="9"/>
    <n v="1"/>
    <n v="70.87"/>
    <n v="1326686"/>
  </r>
  <r>
    <x v="0"/>
    <n v="84"/>
    <x v="34"/>
    <x v="3"/>
    <x v="3"/>
    <n v="1150"/>
    <x v="45"/>
    <x v="1"/>
    <x v="65"/>
    <n v="3275"/>
    <x v="243"/>
    <n v="4280"/>
    <x v="237"/>
    <s v="2 0"/>
    <n v="29"/>
    <n v="5081"/>
    <x v="923"/>
    <s v="Hourly"/>
    <n v="28"/>
    <n v="1"/>
    <n v="64.58"/>
    <n v="3761139"/>
  </r>
  <r>
    <x v="0"/>
    <n v="84"/>
    <x v="34"/>
    <x v="3"/>
    <x v="3"/>
    <n v="1150"/>
    <x v="45"/>
    <x v="1"/>
    <x v="65"/>
    <n v="3275"/>
    <x v="243"/>
    <n v="4280"/>
    <x v="237"/>
    <s v="BX 21"/>
    <n v="10"/>
    <n v="5049"/>
    <x v="918"/>
    <s v="Annual"/>
    <n v="1"/>
    <n v="1"/>
    <n v="117780"/>
    <n v="117780"/>
  </r>
  <r>
    <x v="0"/>
    <n v="84"/>
    <x v="34"/>
    <x v="3"/>
    <x v="3"/>
    <n v="1150"/>
    <x v="45"/>
    <x v="1"/>
    <x v="65"/>
    <n v="3275"/>
    <x v="243"/>
    <n v="4280"/>
    <x v="237"/>
    <s v="1 00"/>
    <n v="0"/>
    <n v="15"/>
    <x v="37"/>
    <s v="Annual"/>
    <n v="0"/>
    <n v="0"/>
    <n v="464"/>
    <n v="464"/>
  </r>
  <r>
    <x v="0"/>
    <n v="84"/>
    <x v="34"/>
    <x v="3"/>
    <x v="3"/>
    <n v="1150"/>
    <x v="45"/>
    <x v="1"/>
    <x v="65"/>
    <n v="3275"/>
    <x v="243"/>
    <n v="4280"/>
    <x v="237"/>
    <s v="1 00"/>
    <n v="0"/>
    <n v="12"/>
    <x v="291"/>
    <s v="Annual"/>
    <n v="0"/>
    <n v="0"/>
    <n v="115992"/>
    <n v="115992"/>
  </r>
  <r>
    <x v="0"/>
    <n v="84"/>
    <x v="34"/>
    <x v="3"/>
    <x v="3"/>
    <n v="1155"/>
    <x v="46"/>
    <x v="31"/>
    <x v="66"/>
    <n v="3256"/>
    <x v="62"/>
    <n v="4260"/>
    <x v="280"/>
    <s v="2 0"/>
    <n v="54"/>
    <n v="9539"/>
    <x v="1028"/>
    <s v="Hourly"/>
    <n v="14"/>
    <n v="1"/>
    <n v="51.4"/>
    <n v="1496768"/>
  </r>
  <r>
    <x v="0"/>
    <n v="84"/>
    <x v="34"/>
    <x v="3"/>
    <x v="3"/>
    <n v="1155"/>
    <x v="46"/>
    <x v="31"/>
    <x v="66"/>
    <n v="3256"/>
    <x v="62"/>
    <n v="4260"/>
    <x v="280"/>
    <s v="2 0"/>
    <n v="54"/>
    <n v="8323"/>
    <x v="1030"/>
    <s v="Hourly"/>
    <n v="4"/>
    <n v="1"/>
    <n v="51.4"/>
    <n v="427648"/>
  </r>
  <r>
    <x v="0"/>
    <n v="84"/>
    <x v="34"/>
    <x v="3"/>
    <x v="3"/>
    <n v="1155"/>
    <x v="46"/>
    <x v="31"/>
    <x v="66"/>
    <n v="3256"/>
    <x v="62"/>
    <n v="4260"/>
    <x v="280"/>
    <s v="2 0"/>
    <n v="33"/>
    <n v="8258"/>
    <x v="1047"/>
    <s v="Hourly"/>
    <n v="1"/>
    <n v="1"/>
    <n v="55.6"/>
    <n v="115648"/>
  </r>
  <r>
    <x v="0"/>
    <n v="84"/>
    <x v="34"/>
    <x v="3"/>
    <x v="3"/>
    <n v="1155"/>
    <x v="46"/>
    <x v="31"/>
    <x v="66"/>
    <n v="3256"/>
    <x v="62"/>
    <n v="4260"/>
    <x v="280"/>
    <s v="2 0"/>
    <n v="54"/>
    <n v="8255"/>
    <x v="1048"/>
    <s v="Hourly"/>
    <n v="2"/>
    <n v="1"/>
    <n v="55.79"/>
    <n v="232086"/>
  </r>
  <r>
    <x v="0"/>
    <n v="84"/>
    <x v="34"/>
    <x v="3"/>
    <x v="3"/>
    <n v="1155"/>
    <x v="46"/>
    <x v="31"/>
    <x v="66"/>
    <n v="3256"/>
    <x v="62"/>
    <n v="4260"/>
    <x v="280"/>
    <s v="2 0"/>
    <n v="54"/>
    <n v="8249"/>
    <x v="1032"/>
    <s v="Hourly"/>
    <n v="5"/>
    <n v="1"/>
    <n v="52.3"/>
    <n v="543920"/>
  </r>
  <r>
    <x v="0"/>
    <n v="84"/>
    <x v="34"/>
    <x v="3"/>
    <x v="3"/>
    <n v="1155"/>
    <x v="46"/>
    <x v="31"/>
    <x v="66"/>
    <n v="3256"/>
    <x v="62"/>
    <n v="4260"/>
    <x v="280"/>
    <s v="2 0"/>
    <n v="42"/>
    <n v="7635"/>
    <x v="886"/>
    <s v="Hourly"/>
    <n v="1"/>
    <n v="1"/>
    <n v="68.8"/>
    <n v="143104"/>
  </r>
  <r>
    <x v="0"/>
    <n v="84"/>
    <x v="34"/>
    <x v="3"/>
    <x v="3"/>
    <n v="1155"/>
    <x v="46"/>
    <x v="31"/>
    <x v="66"/>
    <n v="3256"/>
    <x v="62"/>
    <n v="4260"/>
    <x v="280"/>
    <s v="2 0"/>
    <n v="42"/>
    <n v="7633"/>
    <x v="887"/>
    <s v="Hourly"/>
    <n v="5"/>
    <n v="1"/>
    <n v="64.8"/>
    <n v="673920"/>
  </r>
  <r>
    <x v="0"/>
    <n v="84"/>
    <x v="34"/>
    <x v="3"/>
    <x v="3"/>
    <n v="1155"/>
    <x v="46"/>
    <x v="31"/>
    <x v="66"/>
    <n v="3256"/>
    <x v="62"/>
    <n v="4260"/>
    <x v="280"/>
    <s v="2 0"/>
    <n v="8"/>
    <n v="7183"/>
    <x v="449"/>
    <s v="Hourly"/>
    <n v="2"/>
    <n v="1"/>
    <n v="48.73"/>
    <n v="202717"/>
  </r>
  <r>
    <x v="0"/>
    <n v="84"/>
    <x v="34"/>
    <x v="3"/>
    <x v="3"/>
    <n v="1155"/>
    <x v="46"/>
    <x v="31"/>
    <x v="66"/>
    <n v="3256"/>
    <x v="62"/>
    <n v="4260"/>
    <x v="280"/>
    <s v="2 0"/>
    <n v="33"/>
    <n v="4437"/>
    <x v="1036"/>
    <s v="Hourly"/>
    <n v="10"/>
    <n v="1"/>
    <n v="55.1"/>
    <n v="1146080"/>
  </r>
  <r>
    <x v="0"/>
    <n v="84"/>
    <x v="34"/>
    <x v="3"/>
    <x v="3"/>
    <n v="1155"/>
    <x v="46"/>
    <x v="31"/>
    <x v="66"/>
    <n v="3256"/>
    <x v="62"/>
    <n v="4260"/>
    <x v="280"/>
    <s v="2 0"/>
    <n v="33"/>
    <n v="4435"/>
    <x v="1035"/>
    <s v="Hourly"/>
    <n v="3"/>
    <n v="1"/>
    <n v="53.1"/>
    <n v="331344"/>
  </r>
  <r>
    <x v="0"/>
    <n v="84"/>
    <x v="34"/>
    <x v="3"/>
    <x v="3"/>
    <n v="1155"/>
    <x v="46"/>
    <x v="31"/>
    <x v="66"/>
    <n v="3256"/>
    <x v="62"/>
    <n v="4260"/>
    <x v="280"/>
    <s v="2 0"/>
    <n v="33"/>
    <n v="4434"/>
    <x v="1049"/>
    <s v="Hourly"/>
    <n v="4"/>
    <n v="1"/>
    <n v="42.48"/>
    <n v="353434"/>
  </r>
  <r>
    <x v="0"/>
    <n v="84"/>
    <x v="34"/>
    <x v="3"/>
    <x v="3"/>
    <n v="1155"/>
    <x v="46"/>
    <x v="31"/>
    <x v="66"/>
    <n v="3256"/>
    <x v="62"/>
    <n v="4260"/>
    <x v="280"/>
    <s v="V 10"/>
    <n v="54"/>
    <n v="427"/>
    <x v="1050"/>
    <s v="Annual"/>
    <n v="1"/>
    <n v="1"/>
    <n v="78432"/>
    <n v="78432"/>
  </r>
  <r>
    <x v="0"/>
    <n v="84"/>
    <x v="34"/>
    <x v="3"/>
    <x v="3"/>
    <n v="1155"/>
    <x v="46"/>
    <x v="31"/>
    <x v="66"/>
    <n v="3256"/>
    <x v="62"/>
    <n v="4260"/>
    <x v="280"/>
    <s v="V 10"/>
    <n v="54"/>
    <n v="427"/>
    <x v="1050"/>
    <s v="Annual"/>
    <n v="1"/>
    <n v="1"/>
    <n v="58728"/>
    <n v="58728"/>
  </r>
  <r>
    <x v="0"/>
    <n v="84"/>
    <x v="34"/>
    <x v="3"/>
    <x v="3"/>
    <n v="1155"/>
    <x v="46"/>
    <x v="31"/>
    <x v="66"/>
    <n v="3256"/>
    <x v="62"/>
    <n v="4260"/>
    <x v="280"/>
    <s v="1 00"/>
    <n v="0"/>
    <n v="15"/>
    <x v="37"/>
    <s v="Annual"/>
    <n v="0"/>
    <n v="0"/>
    <n v="2157"/>
    <n v="2157"/>
  </r>
  <r>
    <x v="0"/>
    <n v="84"/>
    <x v="34"/>
    <x v="3"/>
    <x v="3"/>
    <n v="1155"/>
    <x v="46"/>
    <x v="31"/>
    <x v="66"/>
    <n v="3256"/>
    <x v="62"/>
    <n v="4260"/>
    <x v="280"/>
    <s v="1 00"/>
    <n v="0"/>
    <n v="12"/>
    <x v="291"/>
    <s v="Annual"/>
    <n v="0"/>
    <n v="0"/>
    <n v="85002"/>
    <n v="85002"/>
  </r>
  <r>
    <x v="0"/>
    <n v="84"/>
    <x v="34"/>
    <x v="3"/>
    <x v="3"/>
    <n v="1155"/>
    <x v="46"/>
    <x v="31"/>
    <x v="66"/>
    <n v="3256"/>
    <x v="62"/>
    <n v="4262"/>
    <x v="240"/>
    <s v="2 0"/>
    <n v="53"/>
    <n v="9411"/>
    <x v="989"/>
    <s v="Hourly"/>
    <n v="17"/>
    <n v="1"/>
    <n v="51.4"/>
    <n v="1817504"/>
  </r>
  <r>
    <x v="0"/>
    <n v="84"/>
    <x v="34"/>
    <x v="3"/>
    <x v="3"/>
    <n v="1155"/>
    <x v="46"/>
    <x v="31"/>
    <x v="66"/>
    <n v="3256"/>
    <x v="62"/>
    <n v="4262"/>
    <x v="240"/>
    <s v="2 0"/>
    <n v="53"/>
    <n v="8246"/>
    <x v="986"/>
    <s v="Hourly"/>
    <n v="3"/>
    <n v="1"/>
    <n v="52.5"/>
    <n v="327600"/>
  </r>
  <r>
    <x v="0"/>
    <n v="84"/>
    <x v="34"/>
    <x v="3"/>
    <x v="3"/>
    <n v="1155"/>
    <x v="46"/>
    <x v="31"/>
    <x v="66"/>
    <n v="3256"/>
    <x v="62"/>
    <n v="4262"/>
    <x v="240"/>
    <s v="BX 20"/>
    <n v="10"/>
    <n v="8185"/>
    <x v="872"/>
    <s v="Annual"/>
    <n v="1"/>
    <n v="1"/>
    <n v="112440"/>
    <n v="112440"/>
  </r>
  <r>
    <x v="0"/>
    <n v="84"/>
    <x v="34"/>
    <x v="3"/>
    <x v="3"/>
    <n v="1155"/>
    <x v="46"/>
    <x v="31"/>
    <x v="66"/>
    <n v="3256"/>
    <x v="62"/>
    <n v="4262"/>
    <x v="240"/>
    <s v="2 0"/>
    <n v="42"/>
    <n v="7636"/>
    <x v="995"/>
    <s v="Monthly"/>
    <n v="1"/>
    <n v="1"/>
    <n v="12055.33"/>
    <n v="144664"/>
  </r>
  <r>
    <x v="0"/>
    <n v="84"/>
    <x v="34"/>
    <x v="3"/>
    <x v="3"/>
    <n v="1155"/>
    <x v="46"/>
    <x v="31"/>
    <x v="66"/>
    <n v="3256"/>
    <x v="62"/>
    <n v="4262"/>
    <x v="240"/>
    <s v="2 0"/>
    <n v="42"/>
    <n v="7633"/>
    <x v="887"/>
    <s v="Hourly"/>
    <n v="7"/>
    <n v="1"/>
    <n v="64.8"/>
    <n v="943488"/>
  </r>
  <r>
    <x v="0"/>
    <n v="84"/>
    <x v="34"/>
    <x v="3"/>
    <x v="3"/>
    <n v="1155"/>
    <x v="46"/>
    <x v="31"/>
    <x v="66"/>
    <n v="3256"/>
    <x v="62"/>
    <n v="4262"/>
    <x v="240"/>
    <s v="2 0"/>
    <n v="8"/>
    <n v="7185"/>
    <x v="485"/>
    <s v="Hourly"/>
    <n v="1"/>
    <n v="1"/>
    <n v="52.38"/>
    <n v="108950"/>
  </r>
  <r>
    <x v="0"/>
    <n v="84"/>
    <x v="34"/>
    <x v="3"/>
    <x v="3"/>
    <n v="1155"/>
    <x v="46"/>
    <x v="31"/>
    <x v="66"/>
    <n v="3256"/>
    <x v="62"/>
    <n v="4262"/>
    <x v="240"/>
    <s v="2 0"/>
    <n v="8"/>
    <n v="7183"/>
    <x v="449"/>
    <s v="Hourly"/>
    <n v="1"/>
    <n v="1"/>
    <n v="48.73"/>
    <n v="101358"/>
  </r>
  <r>
    <x v="0"/>
    <n v="84"/>
    <x v="34"/>
    <x v="3"/>
    <x v="3"/>
    <n v="1155"/>
    <x v="46"/>
    <x v="31"/>
    <x v="66"/>
    <n v="3256"/>
    <x v="62"/>
    <n v="4262"/>
    <x v="240"/>
    <s v="2 0"/>
    <n v="36"/>
    <n v="6680"/>
    <x v="1051"/>
    <s v="Monthly"/>
    <n v="1"/>
    <n v="1"/>
    <n v="11334.27"/>
    <n v="136011"/>
  </r>
  <r>
    <x v="0"/>
    <n v="84"/>
    <x v="34"/>
    <x v="3"/>
    <x v="3"/>
    <n v="1155"/>
    <x v="46"/>
    <x v="31"/>
    <x v="66"/>
    <n v="3256"/>
    <x v="62"/>
    <n v="4262"/>
    <x v="240"/>
    <s v="2 0"/>
    <n v="32"/>
    <n v="5035"/>
    <x v="431"/>
    <s v="Hourly"/>
    <n v="1"/>
    <n v="1"/>
    <n v="57.75"/>
    <n v="120120"/>
  </r>
  <r>
    <x v="0"/>
    <n v="84"/>
    <x v="34"/>
    <x v="3"/>
    <x v="3"/>
    <n v="1155"/>
    <x v="46"/>
    <x v="31"/>
    <x v="66"/>
    <n v="3256"/>
    <x v="62"/>
    <n v="4262"/>
    <x v="240"/>
    <s v="2 0"/>
    <n v="41"/>
    <n v="4856"/>
    <x v="432"/>
    <s v="Hourly"/>
    <n v="1"/>
    <n v="1"/>
    <n v="58.95"/>
    <n v="122616"/>
  </r>
  <r>
    <x v="0"/>
    <n v="84"/>
    <x v="34"/>
    <x v="3"/>
    <x v="3"/>
    <n v="1155"/>
    <x v="46"/>
    <x v="31"/>
    <x v="66"/>
    <n v="3256"/>
    <x v="62"/>
    <n v="4262"/>
    <x v="240"/>
    <s v="2 0"/>
    <n v="41"/>
    <n v="4855"/>
    <x v="433"/>
    <s v="Hourly"/>
    <n v="2"/>
    <n v="1"/>
    <n v="54.58"/>
    <n v="227053"/>
  </r>
  <r>
    <x v="0"/>
    <n v="84"/>
    <x v="34"/>
    <x v="3"/>
    <x v="3"/>
    <n v="1155"/>
    <x v="46"/>
    <x v="31"/>
    <x v="66"/>
    <n v="3256"/>
    <x v="62"/>
    <n v="4262"/>
    <x v="240"/>
    <s v="2 0"/>
    <n v="46"/>
    <n v="4838"/>
    <x v="1052"/>
    <s v="Monthly"/>
    <n v="1"/>
    <n v="1"/>
    <n v="11779.73"/>
    <n v="141357"/>
  </r>
  <r>
    <x v="0"/>
    <n v="84"/>
    <x v="34"/>
    <x v="3"/>
    <x v="3"/>
    <n v="1155"/>
    <x v="46"/>
    <x v="31"/>
    <x v="66"/>
    <n v="3256"/>
    <x v="62"/>
    <n v="4262"/>
    <x v="240"/>
    <s v="2 0"/>
    <n v="14"/>
    <n v="4776"/>
    <x v="435"/>
    <s v="Hourly"/>
    <n v="1"/>
    <n v="1"/>
    <n v="57.1"/>
    <n v="118768"/>
  </r>
  <r>
    <x v="0"/>
    <n v="84"/>
    <x v="34"/>
    <x v="3"/>
    <x v="3"/>
    <n v="1155"/>
    <x v="46"/>
    <x v="31"/>
    <x v="66"/>
    <n v="3256"/>
    <x v="62"/>
    <n v="4262"/>
    <x v="240"/>
    <s v="2 0"/>
    <n v="14"/>
    <n v="4774"/>
    <x v="436"/>
    <s v="Hourly"/>
    <n v="2"/>
    <n v="1"/>
    <n v="60"/>
    <n v="249600"/>
  </r>
  <r>
    <x v="0"/>
    <n v="84"/>
    <x v="34"/>
    <x v="3"/>
    <x v="3"/>
    <n v="1155"/>
    <x v="46"/>
    <x v="31"/>
    <x v="66"/>
    <n v="3256"/>
    <x v="62"/>
    <n v="4262"/>
    <x v="240"/>
    <s v="2 0"/>
    <n v="16"/>
    <n v="4756"/>
    <x v="438"/>
    <s v="Hourly"/>
    <n v="1"/>
    <n v="1"/>
    <n v="64.150000000000006"/>
    <n v="133432"/>
  </r>
  <r>
    <x v="0"/>
    <n v="84"/>
    <x v="34"/>
    <x v="3"/>
    <x v="3"/>
    <n v="1155"/>
    <x v="46"/>
    <x v="31"/>
    <x v="66"/>
    <n v="3256"/>
    <x v="62"/>
    <n v="4262"/>
    <x v="240"/>
    <s v="2 0"/>
    <n v="16"/>
    <n v="4754"/>
    <x v="439"/>
    <s v="Hourly"/>
    <n v="4"/>
    <n v="1"/>
    <n v="60.5"/>
    <n v="503360"/>
  </r>
  <r>
    <x v="0"/>
    <n v="84"/>
    <x v="34"/>
    <x v="3"/>
    <x v="3"/>
    <n v="1155"/>
    <x v="46"/>
    <x v="31"/>
    <x v="66"/>
    <n v="3256"/>
    <x v="62"/>
    <n v="4262"/>
    <x v="240"/>
    <s v="2 0"/>
    <n v="53"/>
    <n v="4566"/>
    <x v="997"/>
    <s v="Hourly"/>
    <n v="1"/>
    <n v="1"/>
    <n v="55.79"/>
    <n v="116043"/>
  </r>
  <r>
    <x v="0"/>
    <n v="84"/>
    <x v="34"/>
    <x v="3"/>
    <x v="3"/>
    <n v="1155"/>
    <x v="46"/>
    <x v="31"/>
    <x v="66"/>
    <n v="3256"/>
    <x v="62"/>
    <n v="4262"/>
    <x v="240"/>
    <s v="2 0"/>
    <n v="50"/>
    <n v="4526"/>
    <x v="442"/>
    <s v="Monthly"/>
    <n v="2"/>
    <n v="1"/>
    <n v="11909.73"/>
    <n v="285834"/>
  </r>
  <r>
    <x v="0"/>
    <n v="84"/>
    <x v="34"/>
    <x v="3"/>
    <x v="3"/>
    <n v="1155"/>
    <x v="46"/>
    <x v="31"/>
    <x v="66"/>
    <n v="3256"/>
    <x v="62"/>
    <n v="4262"/>
    <x v="240"/>
    <s v="2 0"/>
    <n v="49"/>
    <n v="4401"/>
    <x v="444"/>
    <s v="Hourly"/>
    <n v="2773"/>
    <n v="0"/>
    <n v="53.06"/>
    <n v="147135"/>
  </r>
  <r>
    <x v="0"/>
    <n v="84"/>
    <x v="34"/>
    <x v="3"/>
    <x v="3"/>
    <n v="1155"/>
    <x v="46"/>
    <x v="31"/>
    <x v="66"/>
    <n v="3256"/>
    <x v="62"/>
    <n v="4262"/>
    <x v="240"/>
    <s v="2 0"/>
    <n v="49"/>
    <n v="4405"/>
    <x v="998"/>
    <s v="Hourly"/>
    <n v="1"/>
    <n v="1"/>
    <n v="58.37"/>
    <n v="121410"/>
  </r>
  <r>
    <x v="0"/>
    <n v="84"/>
    <x v="34"/>
    <x v="3"/>
    <x v="3"/>
    <n v="1155"/>
    <x v="46"/>
    <x v="31"/>
    <x v="66"/>
    <n v="3256"/>
    <x v="62"/>
    <n v="4262"/>
    <x v="240"/>
    <s v="2 0"/>
    <n v="49"/>
    <n v="4403"/>
    <x v="444"/>
    <s v="Hourly"/>
    <n v="1"/>
    <n v="1"/>
    <n v="53.06"/>
    <n v="110365"/>
  </r>
  <r>
    <x v="0"/>
    <n v="84"/>
    <x v="34"/>
    <x v="3"/>
    <x v="3"/>
    <n v="1155"/>
    <x v="46"/>
    <x v="31"/>
    <x v="66"/>
    <n v="3256"/>
    <x v="62"/>
    <n v="4262"/>
    <x v="240"/>
    <s v="2 0"/>
    <n v="50"/>
    <n v="4304"/>
    <x v="1053"/>
    <s v="Monthly"/>
    <n v="1"/>
    <n v="1"/>
    <n v="10869.73"/>
    <n v="130437"/>
  </r>
  <r>
    <x v="0"/>
    <n v="84"/>
    <x v="34"/>
    <x v="3"/>
    <x v="3"/>
    <n v="1155"/>
    <x v="46"/>
    <x v="31"/>
    <x v="66"/>
    <n v="3256"/>
    <x v="62"/>
    <n v="4262"/>
    <x v="240"/>
    <s v="2 0"/>
    <n v="50"/>
    <n v="4303"/>
    <x v="446"/>
    <s v="Hourly"/>
    <n v="5"/>
    <n v="1"/>
    <n v="59.21"/>
    <n v="615784"/>
  </r>
  <r>
    <x v="0"/>
    <n v="84"/>
    <x v="34"/>
    <x v="3"/>
    <x v="3"/>
    <n v="1155"/>
    <x v="46"/>
    <x v="31"/>
    <x v="66"/>
    <n v="3256"/>
    <x v="62"/>
    <n v="4262"/>
    <x v="240"/>
    <s v="2 0"/>
    <n v="50"/>
    <n v="4301"/>
    <x v="447"/>
    <s v="Hourly"/>
    <n v="5"/>
    <n v="1"/>
    <n v="56.71"/>
    <n v="589784"/>
  </r>
  <r>
    <x v="0"/>
    <n v="84"/>
    <x v="34"/>
    <x v="3"/>
    <x v="3"/>
    <n v="1155"/>
    <x v="46"/>
    <x v="31"/>
    <x v="66"/>
    <n v="3256"/>
    <x v="62"/>
    <n v="4262"/>
    <x v="240"/>
    <s v="1 00"/>
    <n v="0"/>
    <n v="15"/>
    <x v="37"/>
    <s v="Annual"/>
    <n v="0"/>
    <n v="0"/>
    <n v="1780"/>
    <n v="1780"/>
  </r>
  <r>
    <x v="0"/>
    <n v="84"/>
    <x v="34"/>
    <x v="3"/>
    <x v="3"/>
    <n v="1155"/>
    <x v="46"/>
    <x v="31"/>
    <x v="66"/>
    <n v="3256"/>
    <x v="62"/>
    <n v="4262"/>
    <x v="240"/>
    <s v="1 00"/>
    <n v="0"/>
    <n v="12"/>
    <x v="291"/>
    <s v="Annual"/>
    <n v="0"/>
    <n v="0"/>
    <n v="109690"/>
    <n v="109690"/>
  </r>
  <r>
    <x v="0"/>
    <n v="84"/>
    <x v="34"/>
    <x v="3"/>
    <x v="3"/>
    <n v="1155"/>
    <x v="46"/>
    <x v="31"/>
    <x v="66"/>
    <n v="3256"/>
    <x v="62"/>
    <n v="4266"/>
    <x v="281"/>
    <s v="2 0"/>
    <n v="54"/>
    <n v="9464"/>
    <x v="1029"/>
    <s v="Hourly"/>
    <n v="27040"/>
    <n v="0"/>
    <n v="51.4"/>
    <n v="1389856"/>
  </r>
  <r>
    <x v="0"/>
    <n v="84"/>
    <x v="34"/>
    <x v="3"/>
    <x v="3"/>
    <n v="1155"/>
    <x v="46"/>
    <x v="31"/>
    <x v="66"/>
    <n v="3256"/>
    <x v="62"/>
    <n v="4266"/>
    <x v="281"/>
    <s v="2 0"/>
    <n v="54"/>
    <n v="9464"/>
    <x v="1029"/>
    <s v="Hourly"/>
    <n v="54"/>
    <n v="1"/>
    <n v="51.4"/>
    <n v="5773248"/>
  </r>
  <r>
    <x v="0"/>
    <n v="84"/>
    <x v="34"/>
    <x v="3"/>
    <x v="3"/>
    <n v="1155"/>
    <x v="46"/>
    <x v="31"/>
    <x v="66"/>
    <n v="3256"/>
    <x v="62"/>
    <n v="4266"/>
    <x v="281"/>
    <s v="2 0"/>
    <n v="54"/>
    <n v="9464"/>
    <x v="1029"/>
    <s v="Hourly"/>
    <n v="1"/>
    <n v="1"/>
    <n v="46.26"/>
    <n v="96221"/>
  </r>
  <r>
    <x v="0"/>
    <n v="84"/>
    <x v="34"/>
    <x v="3"/>
    <x v="3"/>
    <n v="1155"/>
    <x v="46"/>
    <x v="31"/>
    <x v="66"/>
    <n v="3256"/>
    <x v="62"/>
    <n v="4266"/>
    <x v="281"/>
    <s v="2 0"/>
    <n v="54"/>
    <n v="9464"/>
    <x v="1029"/>
    <s v="Hourly"/>
    <n v="9"/>
    <n v="1"/>
    <n v="35.979999999999997"/>
    <n v="673546"/>
  </r>
  <r>
    <x v="0"/>
    <n v="84"/>
    <x v="34"/>
    <x v="3"/>
    <x v="3"/>
    <n v="1155"/>
    <x v="46"/>
    <x v="31"/>
    <x v="66"/>
    <n v="3256"/>
    <x v="62"/>
    <n v="4266"/>
    <x v="281"/>
    <s v="2 0"/>
    <n v="54"/>
    <n v="8322"/>
    <x v="1031"/>
    <s v="Hourly"/>
    <n v="10"/>
    <n v="1"/>
    <n v="51.4"/>
    <n v="1069120"/>
  </r>
  <r>
    <x v="0"/>
    <n v="84"/>
    <x v="34"/>
    <x v="3"/>
    <x v="3"/>
    <n v="1155"/>
    <x v="46"/>
    <x v="31"/>
    <x v="66"/>
    <n v="3256"/>
    <x v="62"/>
    <n v="4266"/>
    <x v="281"/>
    <s v="2 0"/>
    <n v="54"/>
    <n v="8257"/>
    <x v="1054"/>
    <s v="Hourly"/>
    <n v="2"/>
    <n v="1"/>
    <n v="55.22"/>
    <n v="229715"/>
  </r>
  <r>
    <x v="0"/>
    <n v="84"/>
    <x v="34"/>
    <x v="3"/>
    <x v="3"/>
    <n v="1155"/>
    <x v="46"/>
    <x v="31"/>
    <x v="66"/>
    <n v="3256"/>
    <x v="62"/>
    <n v="4266"/>
    <x v="281"/>
    <s v="2 0"/>
    <n v="54"/>
    <n v="8255"/>
    <x v="1048"/>
    <s v="Hourly"/>
    <n v="1"/>
    <n v="1"/>
    <n v="55.79"/>
    <n v="116043"/>
  </r>
  <r>
    <x v="0"/>
    <n v="84"/>
    <x v="34"/>
    <x v="3"/>
    <x v="3"/>
    <n v="1155"/>
    <x v="46"/>
    <x v="31"/>
    <x v="66"/>
    <n v="3256"/>
    <x v="62"/>
    <n v="4266"/>
    <x v="281"/>
    <s v="2 0"/>
    <n v="54"/>
    <n v="8248"/>
    <x v="1033"/>
    <s v="Hourly"/>
    <n v="28"/>
    <n v="1"/>
    <n v="52.3"/>
    <n v="3045952"/>
  </r>
  <r>
    <x v="0"/>
    <n v="84"/>
    <x v="34"/>
    <x v="3"/>
    <x v="3"/>
    <n v="1155"/>
    <x v="46"/>
    <x v="31"/>
    <x v="66"/>
    <n v="3256"/>
    <x v="62"/>
    <n v="4266"/>
    <x v="281"/>
    <s v="2 0"/>
    <n v="53"/>
    <n v="8243"/>
    <x v="1055"/>
    <s v="Hourly"/>
    <n v="1"/>
    <n v="1"/>
    <n v="55.79"/>
    <n v="116043"/>
  </r>
  <r>
    <x v="0"/>
    <n v="84"/>
    <x v="34"/>
    <x v="3"/>
    <x v="3"/>
    <n v="1155"/>
    <x v="46"/>
    <x v="31"/>
    <x v="66"/>
    <n v="3256"/>
    <x v="62"/>
    <n v="4266"/>
    <x v="281"/>
    <s v="2 0"/>
    <n v="42"/>
    <n v="7633"/>
    <x v="887"/>
    <s v="Hourly"/>
    <n v="5"/>
    <n v="1"/>
    <n v="64.8"/>
    <n v="673920"/>
  </r>
  <r>
    <x v="0"/>
    <n v="84"/>
    <x v="34"/>
    <x v="3"/>
    <x v="3"/>
    <n v="1155"/>
    <x v="46"/>
    <x v="31"/>
    <x v="66"/>
    <n v="3256"/>
    <x v="62"/>
    <n v="4266"/>
    <x v="281"/>
    <s v="2 0"/>
    <n v="8"/>
    <n v="7184"/>
    <x v="882"/>
    <s v="Hourly"/>
    <n v="2"/>
    <n v="1"/>
    <n v="48.73"/>
    <n v="202717"/>
  </r>
  <r>
    <x v="0"/>
    <n v="84"/>
    <x v="34"/>
    <x v="3"/>
    <x v="3"/>
    <n v="1155"/>
    <x v="46"/>
    <x v="31"/>
    <x v="66"/>
    <n v="3256"/>
    <x v="62"/>
    <n v="4266"/>
    <x v="281"/>
    <s v="2 0"/>
    <n v="8"/>
    <n v="7183"/>
    <x v="449"/>
    <s v="Hourly"/>
    <n v="19"/>
    <n v="1"/>
    <n v="48.73"/>
    <n v="1925810"/>
  </r>
  <r>
    <x v="0"/>
    <n v="84"/>
    <x v="34"/>
    <x v="3"/>
    <x v="3"/>
    <n v="1155"/>
    <x v="46"/>
    <x v="31"/>
    <x v="66"/>
    <n v="3256"/>
    <x v="62"/>
    <n v="4266"/>
    <x v="281"/>
    <s v="V 10"/>
    <n v="54"/>
    <n v="427"/>
    <x v="1050"/>
    <s v="Annual"/>
    <n v="1"/>
    <n v="1"/>
    <n v="58728"/>
    <n v="58728"/>
  </r>
  <r>
    <x v="0"/>
    <n v="84"/>
    <x v="34"/>
    <x v="3"/>
    <x v="3"/>
    <n v="1155"/>
    <x v="46"/>
    <x v="31"/>
    <x v="66"/>
    <n v="3256"/>
    <x v="62"/>
    <n v="4266"/>
    <x v="281"/>
    <s v="1 00"/>
    <n v="0"/>
    <n v="15"/>
    <x v="37"/>
    <s v="Annual"/>
    <n v="0"/>
    <n v="0"/>
    <n v="2157"/>
    <n v="2157"/>
  </r>
  <r>
    <x v="0"/>
    <n v="84"/>
    <x v="34"/>
    <x v="3"/>
    <x v="3"/>
    <n v="1155"/>
    <x v="46"/>
    <x v="31"/>
    <x v="66"/>
    <n v="3256"/>
    <x v="62"/>
    <n v="4266"/>
    <x v="281"/>
    <s v="1 00"/>
    <n v="0"/>
    <n v="12"/>
    <x v="291"/>
    <s v="Annual"/>
    <n v="0"/>
    <n v="0"/>
    <n v="229684"/>
    <n v="229684"/>
  </r>
  <r>
    <x v="0"/>
    <n v="84"/>
    <x v="34"/>
    <x v="3"/>
    <x v="3"/>
    <n v="1155"/>
    <x v="46"/>
    <x v="31"/>
    <x v="66"/>
    <n v="3256"/>
    <x v="62"/>
    <n v="4267"/>
    <x v="282"/>
    <s v="2 0"/>
    <n v="54"/>
    <n v="9534"/>
    <x v="424"/>
    <s v="Hourly"/>
    <n v="2608"/>
    <n v="0"/>
    <n v="51.05"/>
    <n v="133138"/>
  </r>
  <r>
    <x v="0"/>
    <n v="84"/>
    <x v="34"/>
    <x v="3"/>
    <x v="3"/>
    <n v="1155"/>
    <x v="46"/>
    <x v="31"/>
    <x v="66"/>
    <n v="3256"/>
    <x v="62"/>
    <n v="4267"/>
    <x v="282"/>
    <s v="2 0"/>
    <n v="54"/>
    <n v="9534"/>
    <x v="424"/>
    <s v="Hourly"/>
    <n v="3"/>
    <n v="1"/>
    <n v="51.4"/>
    <n v="320736"/>
  </r>
  <r>
    <x v="0"/>
    <n v="84"/>
    <x v="34"/>
    <x v="3"/>
    <x v="3"/>
    <n v="1155"/>
    <x v="46"/>
    <x v="31"/>
    <x v="66"/>
    <n v="3256"/>
    <x v="62"/>
    <n v="4267"/>
    <x v="282"/>
    <s v="2 0"/>
    <n v="39"/>
    <n v="4634"/>
    <x v="441"/>
    <s v="Hourly"/>
    <n v="15088"/>
    <n v="0"/>
    <n v="54.3"/>
    <n v="819278"/>
  </r>
  <r>
    <x v="0"/>
    <n v="84"/>
    <x v="34"/>
    <x v="3"/>
    <x v="3"/>
    <n v="1155"/>
    <x v="46"/>
    <x v="31"/>
    <x v="66"/>
    <n v="3256"/>
    <x v="62"/>
    <n v="4267"/>
    <x v="282"/>
    <s v="1 00"/>
    <n v="0"/>
    <n v="12"/>
    <x v="291"/>
    <s v="Annual"/>
    <n v="0"/>
    <n v="0"/>
    <n v="19097"/>
    <n v="19097"/>
  </r>
  <r>
    <x v="0"/>
    <n v="84"/>
    <x v="34"/>
    <x v="3"/>
    <x v="3"/>
    <n v="1155"/>
    <x v="46"/>
    <x v="31"/>
    <x v="66"/>
    <n v="3256"/>
    <x v="62"/>
    <n v="4268"/>
    <x v="283"/>
    <s v="2 0"/>
    <n v="36"/>
    <n v="6681"/>
    <x v="999"/>
    <s v="Hourly"/>
    <n v="4297"/>
    <n v="0"/>
    <n v="30.2"/>
    <n v="129769"/>
  </r>
  <r>
    <x v="0"/>
    <n v="84"/>
    <x v="34"/>
    <x v="3"/>
    <x v="3"/>
    <n v="1155"/>
    <x v="46"/>
    <x v="31"/>
    <x v="66"/>
    <n v="3256"/>
    <x v="62"/>
    <n v="4268"/>
    <x v="283"/>
    <s v="2 0"/>
    <n v="36"/>
    <n v="6676"/>
    <x v="426"/>
    <s v="Hourly"/>
    <n v="2"/>
    <n v="1"/>
    <n v="64.39"/>
    <n v="267862"/>
  </r>
  <r>
    <x v="0"/>
    <n v="84"/>
    <x v="34"/>
    <x v="3"/>
    <x v="3"/>
    <n v="1155"/>
    <x v="46"/>
    <x v="31"/>
    <x v="66"/>
    <n v="3256"/>
    <x v="62"/>
    <n v="4268"/>
    <x v="283"/>
    <s v="2 0"/>
    <n v="36"/>
    <n v="6676"/>
    <x v="426"/>
    <s v="Hourly"/>
    <n v="2"/>
    <n v="1"/>
    <n v="58.24"/>
    <n v="242278"/>
  </r>
  <r>
    <x v="0"/>
    <n v="84"/>
    <x v="34"/>
    <x v="3"/>
    <x v="3"/>
    <n v="1155"/>
    <x v="46"/>
    <x v="31"/>
    <x v="66"/>
    <n v="3256"/>
    <x v="62"/>
    <n v="4268"/>
    <x v="283"/>
    <s v="2 0"/>
    <n v="36"/>
    <n v="6674"/>
    <x v="427"/>
    <s v="Hourly"/>
    <n v="5"/>
    <n v="1"/>
    <n v="60.39"/>
    <n v="628056"/>
  </r>
  <r>
    <x v="0"/>
    <n v="84"/>
    <x v="34"/>
    <x v="3"/>
    <x v="3"/>
    <n v="1155"/>
    <x v="46"/>
    <x v="31"/>
    <x v="66"/>
    <n v="3256"/>
    <x v="62"/>
    <n v="4268"/>
    <x v="283"/>
    <s v="2 0"/>
    <n v="32"/>
    <n v="5042"/>
    <x v="429"/>
    <s v="Monthly"/>
    <n v="1"/>
    <n v="1"/>
    <n v="11511.5"/>
    <n v="138138"/>
  </r>
  <r>
    <x v="0"/>
    <n v="84"/>
    <x v="34"/>
    <x v="3"/>
    <x v="3"/>
    <n v="1155"/>
    <x v="46"/>
    <x v="31"/>
    <x v="66"/>
    <n v="3256"/>
    <x v="62"/>
    <n v="4268"/>
    <x v="283"/>
    <s v="2 0"/>
    <n v="32"/>
    <n v="5040"/>
    <x v="430"/>
    <s v="Hourly"/>
    <n v="3"/>
    <n v="1"/>
    <n v="63.53"/>
    <n v="396427"/>
  </r>
  <r>
    <x v="0"/>
    <n v="84"/>
    <x v="34"/>
    <x v="3"/>
    <x v="3"/>
    <n v="1155"/>
    <x v="46"/>
    <x v="31"/>
    <x v="66"/>
    <n v="3256"/>
    <x v="62"/>
    <n v="4268"/>
    <x v="283"/>
    <s v="2 0"/>
    <n v="32"/>
    <n v="5035"/>
    <x v="431"/>
    <s v="Hourly"/>
    <n v="13"/>
    <n v="1"/>
    <n v="57.75"/>
    <n v="1561560"/>
  </r>
  <r>
    <x v="0"/>
    <n v="84"/>
    <x v="34"/>
    <x v="3"/>
    <x v="3"/>
    <n v="1155"/>
    <x v="46"/>
    <x v="31"/>
    <x v="66"/>
    <n v="3256"/>
    <x v="62"/>
    <n v="4268"/>
    <x v="283"/>
    <s v="2 0"/>
    <n v="46"/>
    <n v="4836"/>
    <x v="1056"/>
    <s v="Hourly"/>
    <n v="4"/>
    <n v="1"/>
    <n v="65.959999999999994"/>
    <n v="548787"/>
  </r>
  <r>
    <x v="0"/>
    <n v="84"/>
    <x v="34"/>
    <x v="3"/>
    <x v="3"/>
    <n v="1155"/>
    <x v="46"/>
    <x v="31"/>
    <x v="66"/>
    <n v="3256"/>
    <x v="62"/>
    <n v="4268"/>
    <x v="283"/>
    <s v="2 0"/>
    <n v="46"/>
    <n v="4834"/>
    <x v="1034"/>
    <s v="Hourly"/>
    <n v="14"/>
    <n v="1"/>
    <n v="62.46"/>
    <n v="1818835"/>
  </r>
  <r>
    <x v="0"/>
    <n v="84"/>
    <x v="34"/>
    <x v="3"/>
    <x v="3"/>
    <n v="1155"/>
    <x v="46"/>
    <x v="31"/>
    <x v="66"/>
    <n v="3256"/>
    <x v="62"/>
    <n v="4268"/>
    <x v="283"/>
    <s v="2 0"/>
    <n v="47"/>
    <n v="4805"/>
    <x v="434"/>
    <s v="Hourly"/>
    <n v="4"/>
    <n v="1"/>
    <n v="59.26"/>
    <n v="493043"/>
  </r>
  <r>
    <x v="0"/>
    <n v="84"/>
    <x v="34"/>
    <x v="3"/>
    <x v="3"/>
    <n v="1155"/>
    <x v="46"/>
    <x v="31"/>
    <x v="66"/>
    <n v="3256"/>
    <x v="62"/>
    <n v="4268"/>
    <x v="283"/>
    <s v="2 0"/>
    <n v="47"/>
    <n v="4804"/>
    <x v="1057"/>
    <s v="Hourly"/>
    <n v="2"/>
    <n v="1"/>
    <n v="62.26"/>
    <n v="259002"/>
  </r>
  <r>
    <x v="0"/>
    <n v="84"/>
    <x v="34"/>
    <x v="3"/>
    <x v="3"/>
    <n v="1155"/>
    <x v="46"/>
    <x v="31"/>
    <x v="66"/>
    <n v="3256"/>
    <x v="62"/>
    <n v="4268"/>
    <x v="283"/>
    <s v="2 0"/>
    <n v="39"/>
    <n v="4636"/>
    <x v="440"/>
    <s v="Hourly"/>
    <n v="1"/>
    <n v="1"/>
    <n v="61.09"/>
    <n v="127067"/>
  </r>
  <r>
    <x v="0"/>
    <n v="84"/>
    <x v="34"/>
    <x v="3"/>
    <x v="3"/>
    <n v="1155"/>
    <x v="46"/>
    <x v="31"/>
    <x v="66"/>
    <n v="3256"/>
    <x v="62"/>
    <n v="4268"/>
    <x v="283"/>
    <s v="2 0"/>
    <n v="39"/>
    <n v="4634"/>
    <x v="441"/>
    <s v="Hourly"/>
    <n v="1"/>
    <n v="1"/>
    <n v="54.3"/>
    <n v="112944"/>
  </r>
  <r>
    <x v="0"/>
    <n v="84"/>
    <x v="34"/>
    <x v="3"/>
    <x v="3"/>
    <n v="1155"/>
    <x v="46"/>
    <x v="31"/>
    <x v="66"/>
    <n v="3256"/>
    <x v="62"/>
    <n v="4268"/>
    <x v="283"/>
    <s v="1 00"/>
    <n v="0"/>
    <n v="12"/>
    <x v="291"/>
    <s v="Annual"/>
    <n v="0"/>
    <n v="0"/>
    <n v="100857"/>
    <n v="100857"/>
  </r>
  <r>
    <x v="0"/>
    <n v="3"/>
    <x v="1"/>
    <x v="4"/>
    <x v="4"/>
    <n v="1005"/>
    <x v="1"/>
    <x v="0"/>
    <x v="1"/>
    <n v="3015"/>
    <x v="17"/>
    <n v="0"/>
    <x v="0"/>
    <s v="GY 12"/>
    <n v="0"/>
    <n v="1262"/>
    <x v="41"/>
    <s v="Annual"/>
    <n v="1"/>
    <n v="1"/>
    <n v="131124"/>
    <n v="131124"/>
  </r>
  <r>
    <x v="0"/>
    <n v="3"/>
    <x v="1"/>
    <x v="4"/>
    <x v="4"/>
    <n v="1005"/>
    <x v="1"/>
    <x v="0"/>
    <x v="1"/>
    <n v="3015"/>
    <x v="17"/>
    <n v="0"/>
    <x v="0"/>
    <s v="GY 12"/>
    <n v="0"/>
    <n v="1262"/>
    <x v="41"/>
    <s v="Annual"/>
    <n v="1"/>
    <n v="1"/>
    <n v="115992"/>
    <n v="115992"/>
  </r>
  <r>
    <x v="0"/>
    <n v="3"/>
    <x v="1"/>
    <x v="4"/>
    <x v="4"/>
    <n v="1005"/>
    <x v="1"/>
    <x v="0"/>
    <x v="1"/>
    <n v="3015"/>
    <x v="17"/>
    <n v="0"/>
    <x v="0"/>
    <s v="1 00"/>
    <n v="0"/>
    <n v="15"/>
    <x v="37"/>
    <s v="Annual"/>
    <n v="0"/>
    <n v="0"/>
    <n v="3434"/>
    <n v="3434"/>
  </r>
  <r>
    <x v="0"/>
    <n v="3"/>
    <x v="1"/>
    <x v="4"/>
    <x v="4"/>
    <n v="1005"/>
    <x v="1"/>
    <x v="0"/>
    <x v="1"/>
    <n v="3020"/>
    <x v="18"/>
    <n v="0"/>
    <x v="0"/>
    <s v="X 33"/>
    <n v="0"/>
    <n v="1260"/>
    <x v="46"/>
    <s v="Annual"/>
    <n v="1"/>
    <n v="1"/>
    <n v="153384"/>
    <n v="153384"/>
  </r>
  <r>
    <x v="0"/>
    <n v="3"/>
    <x v="1"/>
    <x v="4"/>
    <x v="4"/>
    <n v="1005"/>
    <x v="1"/>
    <x v="0"/>
    <x v="1"/>
    <n v="3020"/>
    <x v="18"/>
    <n v="0"/>
    <x v="0"/>
    <s v="X 33"/>
    <n v="0"/>
    <n v="1260"/>
    <x v="46"/>
    <s v="Annual"/>
    <n v="1"/>
    <n v="1"/>
    <n v="121668"/>
    <n v="121668"/>
  </r>
  <r>
    <x v="0"/>
    <n v="3"/>
    <x v="1"/>
    <x v="4"/>
    <x v="4"/>
    <n v="1005"/>
    <x v="1"/>
    <x v="0"/>
    <x v="1"/>
    <n v="3020"/>
    <x v="18"/>
    <n v="0"/>
    <x v="0"/>
    <s v="GY 06"/>
    <n v="0"/>
    <n v="1219"/>
    <x v="49"/>
    <s v="Annual"/>
    <n v="1"/>
    <n v="1"/>
    <n v="68856"/>
    <n v="68856"/>
  </r>
  <r>
    <x v="0"/>
    <n v="3"/>
    <x v="1"/>
    <x v="4"/>
    <x v="4"/>
    <n v="1005"/>
    <x v="1"/>
    <x v="0"/>
    <x v="1"/>
    <n v="3020"/>
    <x v="18"/>
    <n v="0"/>
    <x v="0"/>
    <s v="1 00"/>
    <n v="0"/>
    <n v="15"/>
    <x v="37"/>
    <s v="Annual"/>
    <n v="0"/>
    <n v="0"/>
    <n v="13565"/>
    <n v="13565"/>
  </r>
  <r>
    <x v="0"/>
    <n v="3"/>
    <x v="1"/>
    <x v="4"/>
    <x v="4"/>
    <n v="1005"/>
    <x v="1"/>
    <x v="0"/>
    <x v="1"/>
    <n v="3027"/>
    <x v="19"/>
    <n v="0"/>
    <x v="0"/>
    <s v="GY 11"/>
    <n v="20"/>
    <n v="1127"/>
    <x v="54"/>
    <s v="Annual"/>
    <n v="1"/>
    <n v="1"/>
    <n v="129168"/>
    <n v="129168"/>
  </r>
  <r>
    <x v="0"/>
    <n v="3"/>
    <x v="1"/>
    <x v="4"/>
    <x v="4"/>
    <n v="1005"/>
    <x v="1"/>
    <x v="0"/>
    <x v="1"/>
    <n v="3027"/>
    <x v="19"/>
    <n v="0"/>
    <x v="0"/>
    <s v="GY 08"/>
    <n v="20"/>
    <n v="1126"/>
    <x v="50"/>
    <s v="Annual"/>
    <n v="1"/>
    <n v="1"/>
    <n v="93156"/>
    <n v="93156"/>
  </r>
  <r>
    <x v="0"/>
    <n v="3"/>
    <x v="1"/>
    <x v="4"/>
    <x v="4"/>
    <n v="1005"/>
    <x v="1"/>
    <x v="0"/>
    <x v="1"/>
    <n v="3027"/>
    <x v="19"/>
    <n v="0"/>
    <x v="0"/>
    <s v="1 00"/>
    <n v="0"/>
    <n v="15"/>
    <x v="37"/>
    <s v="Annual"/>
    <n v="0"/>
    <n v="0"/>
    <n v="5352"/>
    <n v="5352"/>
  </r>
  <r>
    <x v="0"/>
    <n v="28"/>
    <x v="8"/>
    <x v="4"/>
    <x v="4"/>
    <n v="1005"/>
    <x v="9"/>
    <x v="0"/>
    <x v="12"/>
    <n v="3010"/>
    <x v="51"/>
    <n v="0"/>
    <x v="0"/>
    <s v="3 00"/>
    <n v="10"/>
    <n v="340"/>
    <x v="311"/>
    <s v="Annual"/>
    <n v="1"/>
    <n v="1"/>
    <n v="84000"/>
    <n v="84000"/>
  </r>
  <r>
    <x v="0"/>
    <n v="28"/>
    <x v="8"/>
    <x v="4"/>
    <x v="4"/>
    <n v="1005"/>
    <x v="9"/>
    <x v="0"/>
    <x v="12"/>
    <n v="3010"/>
    <x v="51"/>
    <n v="0"/>
    <x v="0"/>
    <s v="G 07"/>
    <n v="1"/>
    <n v="242"/>
    <x v="313"/>
    <s v="Annual"/>
    <n v="1"/>
    <n v="1"/>
    <n v="90144"/>
    <n v="90144"/>
  </r>
  <r>
    <x v="0"/>
    <n v="31"/>
    <x v="10"/>
    <x v="4"/>
    <x v="4"/>
    <n v="1005"/>
    <x v="11"/>
    <x v="0"/>
    <x v="14"/>
    <n v="3019"/>
    <x v="59"/>
    <n v="4003"/>
    <x v="284"/>
    <s v="L 03"/>
    <n v="9"/>
    <n v="1673"/>
    <x v="335"/>
    <s v="Annual"/>
    <n v="2"/>
    <n v="1"/>
    <n v="118596"/>
    <n v="237192"/>
  </r>
  <r>
    <x v="0"/>
    <n v="31"/>
    <x v="10"/>
    <x v="4"/>
    <x v="4"/>
    <n v="1005"/>
    <x v="11"/>
    <x v="0"/>
    <x v="14"/>
    <n v="3019"/>
    <x v="59"/>
    <n v="4003"/>
    <x v="284"/>
    <s v="L 03"/>
    <n v="9"/>
    <n v="1673"/>
    <x v="335"/>
    <s v="Annual"/>
    <n v="1"/>
    <n v="1"/>
    <n v="85704"/>
    <n v="85704"/>
  </r>
  <r>
    <x v="0"/>
    <n v="31"/>
    <x v="10"/>
    <x v="4"/>
    <x v="4"/>
    <n v="1005"/>
    <x v="11"/>
    <x v="0"/>
    <x v="14"/>
    <n v="3019"/>
    <x v="59"/>
    <n v="4003"/>
    <x v="284"/>
    <s v="LX 03"/>
    <n v="9"/>
    <n v="1652"/>
    <x v="336"/>
    <s v="Annual"/>
    <n v="1"/>
    <n v="1"/>
    <n v="173160"/>
    <n v="173160"/>
  </r>
  <r>
    <x v="0"/>
    <n v="31"/>
    <x v="10"/>
    <x v="4"/>
    <x v="4"/>
    <n v="1005"/>
    <x v="11"/>
    <x v="0"/>
    <x v="14"/>
    <n v="3019"/>
    <x v="59"/>
    <n v="4003"/>
    <x v="284"/>
    <s v="LX 02"/>
    <n v="9"/>
    <n v="1650"/>
    <x v="328"/>
    <s v="Annual"/>
    <n v="1"/>
    <n v="1"/>
    <n v="192852"/>
    <n v="192852"/>
  </r>
  <r>
    <x v="0"/>
    <n v="31"/>
    <x v="10"/>
    <x v="4"/>
    <x v="4"/>
    <n v="1005"/>
    <x v="11"/>
    <x v="0"/>
    <x v="14"/>
    <n v="3019"/>
    <x v="59"/>
    <n v="4003"/>
    <x v="284"/>
    <s v="L 05"/>
    <n v="9"/>
    <n v="1641"/>
    <x v="337"/>
    <s v="Annual"/>
    <n v="1"/>
    <n v="1"/>
    <n v="164100"/>
    <n v="164100"/>
  </r>
  <r>
    <x v="0"/>
    <n v="31"/>
    <x v="10"/>
    <x v="4"/>
    <x v="4"/>
    <n v="1005"/>
    <x v="11"/>
    <x v="0"/>
    <x v="14"/>
    <n v="3019"/>
    <x v="59"/>
    <n v="4003"/>
    <x v="284"/>
    <s v="1 00"/>
    <n v="0"/>
    <n v="15"/>
    <x v="37"/>
    <s v="Annual"/>
    <n v="0"/>
    <n v="0"/>
    <n v="8991"/>
    <n v="8991"/>
  </r>
  <r>
    <x v="0"/>
    <n v="31"/>
    <x v="10"/>
    <x v="4"/>
    <x v="4"/>
    <n v="1005"/>
    <x v="11"/>
    <x v="0"/>
    <x v="14"/>
    <n v="3349"/>
    <x v="71"/>
    <n v="0"/>
    <x v="0"/>
    <s v="L 05"/>
    <n v="9"/>
    <n v="1641"/>
    <x v="337"/>
    <s v="Annual"/>
    <n v="1"/>
    <n v="1"/>
    <n v="142776"/>
    <n v="142776"/>
  </r>
  <r>
    <x v="0"/>
    <n v="38"/>
    <x v="13"/>
    <x v="4"/>
    <x v="4"/>
    <n v="1005"/>
    <x v="14"/>
    <x v="10"/>
    <x v="20"/>
    <n v="3223"/>
    <x v="295"/>
    <n v="0"/>
    <x v="0"/>
    <s v="2 0"/>
    <n v="42"/>
    <n v="7638"/>
    <x v="482"/>
    <s v="Hourly"/>
    <n v="14"/>
    <n v="1"/>
    <n v="67.8"/>
    <n v="1974336"/>
  </r>
  <r>
    <x v="0"/>
    <n v="38"/>
    <x v="13"/>
    <x v="4"/>
    <x v="4"/>
    <n v="1005"/>
    <x v="14"/>
    <x v="10"/>
    <x v="20"/>
    <n v="3223"/>
    <x v="295"/>
    <n v="0"/>
    <x v="0"/>
    <s v="2 0"/>
    <n v="42"/>
    <n v="7635"/>
    <x v="886"/>
    <s v="Hourly"/>
    <n v="1"/>
    <n v="1"/>
    <n v="68.8"/>
    <n v="143104"/>
  </r>
  <r>
    <x v="0"/>
    <n v="38"/>
    <x v="13"/>
    <x v="4"/>
    <x v="4"/>
    <n v="1005"/>
    <x v="14"/>
    <x v="10"/>
    <x v="20"/>
    <n v="3223"/>
    <x v="295"/>
    <n v="0"/>
    <x v="0"/>
    <s v="2 0"/>
    <n v="42"/>
    <n v="7634"/>
    <x v="483"/>
    <s v="Hourly"/>
    <n v="1"/>
    <n v="1"/>
    <n v="68.8"/>
    <n v="143104"/>
  </r>
  <r>
    <x v="0"/>
    <n v="38"/>
    <x v="13"/>
    <x v="4"/>
    <x v="4"/>
    <n v="1005"/>
    <x v="14"/>
    <x v="10"/>
    <x v="20"/>
    <n v="3223"/>
    <x v="295"/>
    <n v="0"/>
    <x v="0"/>
    <s v="2 0"/>
    <n v="36"/>
    <n v="6679"/>
    <x v="489"/>
    <s v="Hourly"/>
    <n v="1"/>
    <n v="1"/>
    <n v="58.24"/>
    <n v="121139"/>
  </r>
  <r>
    <x v="0"/>
    <n v="38"/>
    <x v="13"/>
    <x v="4"/>
    <x v="4"/>
    <n v="1005"/>
    <x v="14"/>
    <x v="10"/>
    <x v="20"/>
    <n v="3223"/>
    <x v="295"/>
    <n v="0"/>
    <x v="0"/>
    <s v="2 0"/>
    <n v="36"/>
    <n v="6673"/>
    <x v="490"/>
    <s v="Hourly"/>
    <n v="9"/>
    <n v="1"/>
    <n v="60.39"/>
    <n v="1130501"/>
  </r>
  <r>
    <x v="0"/>
    <n v="38"/>
    <x v="13"/>
    <x v="4"/>
    <x v="4"/>
    <n v="1005"/>
    <x v="14"/>
    <x v="10"/>
    <x v="20"/>
    <n v="3223"/>
    <x v="295"/>
    <n v="0"/>
    <x v="0"/>
    <s v="2 0"/>
    <n v="24"/>
    <n v="6605"/>
    <x v="492"/>
    <s v="Hourly"/>
    <n v="1"/>
    <n v="1"/>
    <n v="56.1"/>
    <n v="116688"/>
  </r>
  <r>
    <x v="0"/>
    <n v="38"/>
    <x v="13"/>
    <x v="4"/>
    <x v="4"/>
    <n v="1005"/>
    <x v="14"/>
    <x v="10"/>
    <x v="20"/>
    <n v="3223"/>
    <x v="295"/>
    <n v="0"/>
    <x v="0"/>
    <s v="2 0"/>
    <n v="32"/>
    <n v="5034"/>
    <x v="494"/>
    <s v="Hourly"/>
    <n v="1"/>
    <n v="1"/>
    <n v="57.75"/>
    <n v="120120"/>
  </r>
  <r>
    <x v="0"/>
    <n v="38"/>
    <x v="13"/>
    <x v="4"/>
    <x v="4"/>
    <n v="1005"/>
    <x v="14"/>
    <x v="10"/>
    <x v="20"/>
    <n v="3223"/>
    <x v="295"/>
    <n v="0"/>
    <x v="0"/>
    <s v="1 00"/>
    <n v="0"/>
    <n v="12"/>
    <x v="291"/>
    <s v="Annual"/>
    <n v="0"/>
    <n v="0"/>
    <n v="56236"/>
    <n v="56236"/>
  </r>
  <r>
    <x v="0"/>
    <n v="67"/>
    <x v="27"/>
    <x v="4"/>
    <x v="4"/>
    <n v="1005"/>
    <x v="28"/>
    <x v="0"/>
    <x v="47"/>
    <n v="3030"/>
    <x v="257"/>
    <n v="0"/>
    <x v="0"/>
    <s v="X 32"/>
    <n v="9"/>
    <n v="9679"/>
    <x v="81"/>
    <s v="Annual"/>
    <n v="1"/>
    <n v="1"/>
    <n v="175512"/>
    <n v="175512"/>
  </r>
  <r>
    <x v="0"/>
    <n v="67"/>
    <x v="27"/>
    <x v="4"/>
    <x v="4"/>
    <n v="1005"/>
    <x v="28"/>
    <x v="0"/>
    <x v="47"/>
    <n v="3030"/>
    <x v="257"/>
    <n v="0"/>
    <x v="0"/>
    <s v="B 13"/>
    <n v="1"/>
    <n v="6143"/>
    <x v="928"/>
    <s v="Annual"/>
    <n v="1"/>
    <n v="1"/>
    <n v="119100"/>
    <n v="119100"/>
  </r>
  <r>
    <x v="0"/>
    <n v="67"/>
    <x v="27"/>
    <x v="4"/>
    <x v="4"/>
    <n v="1005"/>
    <x v="28"/>
    <x v="0"/>
    <x v="47"/>
    <n v="3030"/>
    <x v="257"/>
    <n v="0"/>
    <x v="0"/>
    <s v="GY 14"/>
    <n v="20"/>
    <n v="5675"/>
    <x v="1058"/>
    <s v="Annual"/>
    <n v="1"/>
    <n v="1"/>
    <n v="140496"/>
    <n v="140496"/>
  </r>
  <r>
    <x v="0"/>
    <n v="67"/>
    <x v="27"/>
    <x v="4"/>
    <x v="4"/>
    <n v="1005"/>
    <x v="28"/>
    <x v="0"/>
    <x v="47"/>
    <n v="3030"/>
    <x v="257"/>
    <n v="0"/>
    <x v="0"/>
    <s v="G 08"/>
    <n v="4"/>
    <n v="5425"/>
    <x v="811"/>
    <s v="Annual"/>
    <n v="2"/>
    <n v="1"/>
    <n v="99408"/>
    <n v="198816"/>
  </r>
  <r>
    <x v="0"/>
    <n v="67"/>
    <x v="27"/>
    <x v="4"/>
    <x v="4"/>
    <n v="1005"/>
    <x v="28"/>
    <x v="0"/>
    <x v="47"/>
    <n v="3030"/>
    <x v="257"/>
    <n v="0"/>
    <x v="0"/>
    <s v="BX 16"/>
    <n v="10"/>
    <n v="802"/>
    <x v="30"/>
    <s v="Annual"/>
    <n v="1"/>
    <n v="1"/>
    <n v="94332"/>
    <n v="94332"/>
  </r>
  <r>
    <x v="0"/>
    <n v="67"/>
    <x v="27"/>
    <x v="4"/>
    <x v="4"/>
    <n v="1005"/>
    <x v="28"/>
    <x v="0"/>
    <x v="47"/>
    <n v="3030"/>
    <x v="257"/>
    <n v="0"/>
    <x v="0"/>
    <s v="B 12"/>
    <n v="1"/>
    <s v="03A8"/>
    <x v="88"/>
    <s v="Annual"/>
    <n v="1"/>
    <n v="1"/>
    <n v="103608"/>
    <n v="103608"/>
  </r>
  <r>
    <x v="0"/>
    <n v="67"/>
    <x v="27"/>
    <x v="4"/>
    <x v="4"/>
    <n v="1005"/>
    <x v="28"/>
    <x v="0"/>
    <x v="47"/>
    <n v="3030"/>
    <x v="257"/>
    <n v="0"/>
    <x v="0"/>
    <s v="B 10"/>
    <n v="1"/>
    <s v="03A7"/>
    <x v="4"/>
    <s v="Annual"/>
    <n v="1"/>
    <n v="1"/>
    <n v="90144"/>
    <n v="90144"/>
  </r>
  <r>
    <x v="0"/>
    <n v="67"/>
    <x v="27"/>
    <x v="4"/>
    <x v="4"/>
    <n v="1005"/>
    <x v="28"/>
    <x v="0"/>
    <x v="47"/>
    <n v="3030"/>
    <x v="257"/>
    <n v="0"/>
    <x v="0"/>
    <s v="B 10"/>
    <n v="1"/>
    <s v="03A7"/>
    <x v="4"/>
    <s v="Annual"/>
    <n v="1"/>
    <n v="1"/>
    <n v="68256"/>
    <n v="68256"/>
  </r>
  <r>
    <x v="0"/>
    <n v="67"/>
    <x v="27"/>
    <x v="4"/>
    <x v="4"/>
    <n v="1005"/>
    <x v="28"/>
    <x v="0"/>
    <x v="47"/>
    <n v="3030"/>
    <x v="257"/>
    <n v="0"/>
    <x v="0"/>
    <s v="X 33"/>
    <n v="9"/>
    <n v="313"/>
    <x v="220"/>
    <s v="Annual"/>
    <n v="1"/>
    <n v="1"/>
    <n v="137532"/>
    <n v="137532"/>
  </r>
  <r>
    <x v="0"/>
    <n v="67"/>
    <x v="27"/>
    <x v="4"/>
    <x v="4"/>
    <n v="1005"/>
    <x v="28"/>
    <x v="0"/>
    <x v="47"/>
    <n v="3030"/>
    <x v="257"/>
    <n v="0"/>
    <x v="0"/>
    <s v="BX 18"/>
    <n v="10"/>
    <n v="311"/>
    <x v="253"/>
    <s v="Annual"/>
    <n v="2"/>
    <n v="1"/>
    <n v="124584"/>
    <n v="249168"/>
  </r>
  <r>
    <x v="0"/>
    <n v="67"/>
    <x v="27"/>
    <x v="4"/>
    <x v="4"/>
    <n v="1005"/>
    <x v="28"/>
    <x v="0"/>
    <x v="47"/>
    <n v="3030"/>
    <x v="257"/>
    <n v="0"/>
    <x v="0"/>
    <s v="B 13"/>
    <n v="1"/>
    <n v="308"/>
    <x v="90"/>
    <s v="Annual"/>
    <n v="2"/>
    <n v="1"/>
    <n v="119100"/>
    <n v="238200"/>
  </r>
  <r>
    <x v="0"/>
    <n v="67"/>
    <x v="27"/>
    <x v="4"/>
    <x v="4"/>
    <n v="1005"/>
    <x v="28"/>
    <x v="0"/>
    <x v="47"/>
    <n v="3030"/>
    <x v="257"/>
    <n v="0"/>
    <x v="0"/>
    <s v="1 00"/>
    <n v="0"/>
    <n v="15"/>
    <x v="37"/>
    <s v="Annual"/>
    <n v="0"/>
    <n v="0"/>
    <n v="19943"/>
    <n v="19943"/>
  </r>
  <r>
    <x v="0"/>
    <n v="67"/>
    <x v="27"/>
    <x v="4"/>
    <x v="4"/>
    <n v="1005"/>
    <x v="28"/>
    <x v="0"/>
    <x v="47"/>
    <n v="3035"/>
    <x v="248"/>
    <n v="0"/>
    <x v="0"/>
    <s v="2 0"/>
    <n v="16"/>
    <n v="2231"/>
    <x v="933"/>
    <s v="Monthly"/>
    <n v="2"/>
    <n v="1"/>
    <n v="11119.33"/>
    <n v="266864"/>
  </r>
  <r>
    <x v="0"/>
    <n v="67"/>
    <x v="27"/>
    <x v="4"/>
    <x v="4"/>
    <n v="1005"/>
    <x v="28"/>
    <x v="0"/>
    <x v="47"/>
    <n v="3035"/>
    <x v="248"/>
    <n v="0"/>
    <x v="0"/>
    <s v="1 00"/>
    <n v="0"/>
    <n v="12"/>
    <x v="291"/>
    <s v="Annual"/>
    <n v="0"/>
    <n v="0"/>
    <n v="4003"/>
    <n v="4003"/>
  </r>
  <r>
    <x v="0"/>
    <n v="88"/>
    <x v="35"/>
    <x v="4"/>
    <x v="4"/>
    <n v="1015"/>
    <x v="49"/>
    <x v="5"/>
    <x v="69"/>
    <n v="3121"/>
    <x v="258"/>
    <n v="4004"/>
    <x v="285"/>
    <s v="X 42"/>
    <n v="0"/>
    <n v="9681"/>
    <x v="81"/>
    <s v="Annual"/>
    <n v="1"/>
    <n v="1"/>
    <n v="172920"/>
    <n v="172920"/>
  </r>
  <r>
    <x v="0"/>
    <n v="88"/>
    <x v="35"/>
    <x v="4"/>
    <x v="4"/>
    <n v="1015"/>
    <x v="49"/>
    <x v="5"/>
    <x v="69"/>
    <n v="3121"/>
    <x v="258"/>
    <n v="4004"/>
    <x v="285"/>
    <s v="B 13"/>
    <n v="1"/>
    <n v="6143"/>
    <x v="928"/>
    <s v="Annual"/>
    <n v="2"/>
    <n v="1"/>
    <n v="119100"/>
    <n v="238200"/>
  </r>
  <r>
    <x v="0"/>
    <n v="88"/>
    <x v="35"/>
    <x v="4"/>
    <x v="4"/>
    <n v="1015"/>
    <x v="49"/>
    <x v="5"/>
    <x v="69"/>
    <n v="3121"/>
    <x v="258"/>
    <n v="4004"/>
    <x v="285"/>
    <s v="X 43"/>
    <n v="9"/>
    <n v="5676"/>
    <x v="1059"/>
    <s v="Annual"/>
    <n v="1"/>
    <n v="1"/>
    <n v="133836"/>
    <n v="133836"/>
  </r>
  <r>
    <x v="0"/>
    <n v="88"/>
    <x v="35"/>
    <x v="4"/>
    <x v="4"/>
    <n v="1015"/>
    <x v="49"/>
    <x v="5"/>
    <x v="69"/>
    <n v="3121"/>
    <x v="258"/>
    <n v="4004"/>
    <x v="285"/>
    <s v="GY 14"/>
    <n v="20"/>
    <n v="5675"/>
    <x v="1058"/>
    <s v="Annual"/>
    <n v="1"/>
    <n v="1"/>
    <n v="150624"/>
    <n v="150624"/>
  </r>
  <r>
    <x v="0"/>
    <n v="88"/>
    <x v="35"/>
    <x v="4"/>
    <x v="4"/>
    <n v="1015"/>
    <x v="49"/>
    <x v="5"/>
    <x v="69"/>
    <n v="3121"/>
    <x v="258"/>
    <n v="4004"/>
    <x v="285"/>
    <s v="GY 14"/>
    <n v="20"/>
    <n v="5675"/>
    <x v="1058"/>
    <s v="Annual"/>
    <n v="1"/>
    <n v="1"/>
    <n v="126756"/>
    <n v="126756"/>
  </r>
  <r>
    <x v="0"/>
    <n v="88"/>
    <x v="35"/>
    <x v="4"/>
    <x v="4"/>
    <n v="1015"/>
    <x v="49"/>
    <x v="5"/>
    <x v="69"/>
    <n v="3121"/>
    <x v="258"/>
    <n v="4004"/>
    <x v="285"/>
    <s v="GY 13"/>
    <n v="20"/>
    <n v="5632"/>
    <x v="912"/>
    <s v="Annual"/>
    <n v="1"/>
    <n v="1"/>
    <n v="144756"/>
    <n v="144756"/>
  </r>
  <r>
    <x v="0"/>
    <n v="88"/>
    <x v="35"/>
    <x v="4"/>
    <x v="4"/>
    <n v="1015"/>
    <x v="49"/>
    <x v="5"/>
    <x v="69"/>
    <n v="3121"/>
    <x v="258"/>
    <n v="4004"/>
    <x v="285"/>
    <s v="GY 13"/>
    <n v="20"/>
    <n v="5632"/>
    <x v="912"/>
    <s v="Annual"/>
    <n v="1"/>
    <n v="1"/>
    <n v="140496"/>
    <n v="140496"/>
  </r>
  <r>
    <x v="0"/>
    <n v="88"/>
    <x v="35"/>
    <x v="4"/>
    <x v="4"/>
    <n v="1015"/>
    <x v="49"/>
    <x v="5"/>
    <x v="69"/>
    <n v="3121"/>
    <x v="258"/>
    <n v="4004"/>
    <x v="285"/>
    <s v="GY 12"/>
    <n v="20"/>
    <n v="5630"/>
    <x v="421"/>
    <s v="Annual"/>
    <n v="1"/>
    <n v="1"/>
    <n v="140496"/>
    <n v="140496"/>
  </r>
  <r>
    <x v="0"/>
    <n v="88"/>
    <x v="35"/>
    <x v="4"/>
    <x v="4"/>
    <n v="1015"/>
    <x v="49"/>
    <x v="5"/>
    <x v="69"/>
    <n v="3121"/>
    <x v="258"/>
    <n v="4004"/>
    <x v="285"/>
    <s v="GY 12"/>
    <n v="20"/>
    <n v="5630"/>
    <x v="421"/>
    <s v="Annual"/>
    <n v="1"/>
    <n v="1"/>
    <n v="115992"/>
    <n v="115992"/>
  </r>
  <r>
    <x v="0"/>
    <n v="88"/>
    <x v="35"/>
    <x v="4"/>
    <x v="4"/>
    <n v="1015"/>
    <x v="49"/>
    <x v="5"/>
    <x v="69"/>
    <n v="3121"/>
    <x v="258"/>
    <n v="4004"/>
    <x v="285"/>
    <s v="GY 11"/>
    <n v="20"/>
    <n v="5615"/>
    <x v="903"/>
    <s v="Annual"/>
    <n v="1"/>
    <n v="1"/>
    <n v="111000"/>
    <n v="111000"/>
  </r>
  <r>
    <x v="0"/>
    <n v="88"/>
    <x v="35"/>
    <x v="4"/>
    <x v="4"/>
    <n v="1015"/>
    <x v="49"/>
    <x v="5"/>
    <x v="69"/>
    <n v="3121"/>
    <x v="258"/>
    <n v="4004"/>
    <x v="285"/>
    <s v="GY 11"/>
    <n v="20"/>
    <n v="5615"/>
    <x v="903"/>
    <s v="Annual"/>
    <n v="1"/>
    <n v="1"/>
    <n v="106272"/>
    <n v="106272"/>
  </r>
  <r>
    <x v="0"/>
    <n v="88"/>
    <x v="35"/>
    <x v="4"/>
    <x v="4"/>
    <n v="1015"/>
    <x v="49"/>
    <x v="5"/>
    <x v="69"/>
    <n v="3121"/>
    <x v="258"/>
    <n v="4004"/>
    <x v="285"/>
    <s v="G 08"/>
    <n v="4"/>
    <n v="5614"/>
    <x v="904"/>
    <s v="Annual"/>
    <n v="3"/>
    <n v="1"/>
    <n v="141564"/>
    <n v="424692"/>
  </r>
  <r>
    <x v="0"/>
    <n v="88"/>
    <x v="35"/>
    <x v="4"/>
    <x v="4"/>
    <n v="1015"/>
    <x v="49"/>
    <x v="5"/>
    <x v="69"/>
    <n v="3121"/>
    <x v="258"/>
    <n v="4004"/>
    <x v="285"/>
    <s v="G 08"/>
    <n v="4"/>
    <n v="5614"/>
    <x v="904"/>
    <s v="Annual"/>
    <n v="3"/>
    <n v="1"/>
    <n v="112536"/>
    <n v="337608"/>
  </r>
  <r>
    <x v="0"/>
    <n v="88"/>
    <x v="35"/>
    <x v="4"/>
    <x v="4"/>
    <n v="1015"/>
    <x v="49"/>
    <x v="5"/>
    <x v="69"/>
    <n v="3121"/>
    <x v="258"/>
    <n v="4004"/>
    <x v="285"/>
    <s v="G 08"/>
    <n v="4"/>
    <n v="5614"/>
    <x v="904"/>
    <s v="Annual"/>
    <n v="1"/>
    <n v="1"/>
    <n v="102516"/>
    <n v="102516"/>
  </r>
  <r>
    <x v="0"/>
    <n v="88"/>
    <x v="35"/>
    <x v="4"/>
    <x v="4"/>
    <n v="1015"/>
    <x v="49"/>
    <x v="5"/>
    <x v="69"/>
    <n v="3121"/>
    <x v="258"/>
    <n v="4004"/>
    <x v="285"/>
    <s v="G 08"/>
    <n v="4"/>
    <n v="5614"/>
    <x v="904"/>
    <s v="Annual"/>
    <n v="2"/>
    <n v="1"/>
    <n v="99408"/>
    <n v="198816"/>
  </r>
  <r>
    <x v="0"/>
    <n v="88"/>
    <x v="35"/>
    <x v="4"/>
    <x v="4"/>
    <n v="1015"/>
    <x v="49"/>
    <x v="5"/>
    <x v="69"/>
    <n v="3121"/>
    <x v="258"/>
    <n v="4004"/>
    <x v="285"/>
    <s v="G 07"/>
    <n v="4"/>
    <n v="5613"/>
    <x v="898"/>
    <s v="Annual"/>
    <n v="1"/>
    <n v="1"/>
    <n v="92940"/>
    <n v="92940"/>
  </r>
  <r>
    <x v="0"/>
    <n v="88"/>
    <x v="35"/>
    <x v="4"/>
    <x v="4"/>
    <n v="1015"/>
    <x v="49"/>
    <x v="5"/>
    <x v="69"/>
    <n v="3121"/>
    <x v="258"/>
    <n v="4004"/>
    <x v="285"/>
    <s v="G 07"/>
    <n v="4"/>
    <n v="5613"/>
    <x v="898"/>
    <s v="Annual"/>
    <n v="2"/>
    <n v="1"/>
    <n v="90144"/>
    <n v="180288"/>
  </r>
  <r>
    <x v="0"/>
    <n v="88"/>
    <x v="35"/>
    <x v="4"/>
    <x v="4"/>
    <n v="1015"/>
    <x v="49"/>
    <x v="5"/>
    <x v="69"/>
    <n v="3121"/>
    <x v="258"/>
    <n v="4004"/>
    <x v="285"/>
    <s v="GY 13"/>
    <n v="20"/>
    <n v="5611"/>
    <x v="944"/>
    <s v="Annual"/>
    <n v="1"/>
    <n v="1"/>
    <n v="144756"/>
    <n v="144756"/>
  </r>
  <r>
    <x v="0"/>
    <n v="88"/>
    <x v="35"/>
    <x v="4"/>
    <x v="4"/>
    <n v="1015"/>
    <x v="49"/>
    <x v="5"/>
    <x v="69"/>
    <n v="3121"/>
    <x v="258"/>
    <n v="4004"/>
    <x v="285"/>
    <s v="X 43"/>
    <n v="0"/>
    <n v="1195"/>
    <x v="405"/>
    <s v="Annual"/>
    <n v="2"/>
    <n v="1"/>
    <n v="160680"/>
    <n v="321360"/>
  </r>
  <r>
    <x v="0"/>
    <n v="88"/>
    <x v="35"/>
    <x v="4"/>
    <x v="4"/>
    <n v="1015"/>
    <x v="49"/>
    <x v="5"/>
    <x v="69"/>
    <n v="3121"/>
    <x v="258"/>
    <n v="4004"/>
    <x v="285"/>
    <s v="B 12"/>
    <n v="1"/>
    <s v="03A8"/>
    <x v="88"/>
    <s v="Annual"/>
    <n v="1"/>
    <n v="1"/>
    <n v="62544"/>
    <n v="62544"/>
  </r>
  <r>
    <x v="0"/>
    <n v="88"/>
    <x v="35"/>
    <x v="4"/>
    <x v="4"/>
    <n v="1015"/>
    <x v="49"/>
    <x v="5"/>
    <x v="69"/>
    <n v="3121"/>
    <x v="258"/>
    <n v="4004"/>
    <x v="285"/>
    <s v="1 00"/>
    <n v="0"/>
    <n v="15"/>
    <x v="37"/>
    <s v="Annual"/>
    <n v="0"/>
    <n v="0"/>
    <n v="54238"/>
    <n v="54238"/>
  </r>
  <r>
    <x v="0"/>
    <n v="88"/>
    <x v="35"/>
    <x v="4"/>
    <x v="4"/>
    <n v="1025"/>
    <x v="51"/>
    <x v="12"/>
    <x v="72"/>
    <n v="3025"/>
    <x v="296"/>
    <n v="0"/>
    <x v="0"/>
    <s v="X 42"/>
    <n v="0"/>
    <n v="9681"/>
    <x v="81"/>
    <s v="Annual"/>
    <n v="1"/>
    <n v="1"/>
    <n v="184584"/>
    <n v="184584"/>
  </r>
  <r>
    <x v="0"/>
    <n v="88"/>
    <x v="35"/>
    <x v="4"/>
    <x v="4"/>
    <n v="1025"/>
    <x v="51"/>
    <x v="12"/>
    <x v="72"/>
    <n v="3025"/>
    <x v="296"/>
    <n v="0"/>
    <x v="0"/>
    <s v="2 0"/>
    <n v="33"/>
    <n v="8258"/>
    <x v="1047"/>
    <s v="Hourly"/>
    <n v="1"/>
    <n v="1"/>
    <n v="55.6"/>
    <n v="115648"/>
  </r>
  <r>
    <x v="0"/>
    <n v="88"/>
    <x v="35"/>
    <x v="4"/>
    <x v="4"/>
    <n v="1025"/>
    <x v="51"/>
    <x v="12"/>
    <x v="72"/>
    <n v="3025"/>
    <x v="296"/>
    <n v="0"/>
    <x v="0"/>
    <s v="BX 21"/>
    <n v="10"/>
    <n v="8256"/>
    <x v="924"/>
    <s v="Annual"/>
    <n v="1"/>
    <n v="1"/>
    <n v="107340"/>
    <n v="107340"/>
  </r>
  <r>
    <x v="0"/>
    <n v="88"/>
    <x v="35"/>
    <x v="4"/>
    <x v="4"/>
    <n v="1025"/>
    <x v="51"/>
    <x v="12"/>
    <x v="72"/>
    <n v="3025"/>
    <x v="296"/>
    <n v="0"/>
    <x v="0"/>
    <s v="BX 22"/>
    <n v="10"/>
    <n v="5985"/>
    <x v="981"/>
    <s v="Annual"/>
    <n v="1"/>
    <n v="1"/>
    <n v="150072"/>
    <n v="150072"/>
  </r>
  <r>
    <x v="0"/>
    <n v="88"/>
    <x v="35"/>
    <x v="4"/>
    <x v="4"/>
    <n v="1025"/>
    <x v="51"/>
    <x v="12"/>
    <x v="72"/>
    <n v="3025"/>
    <x v="296"/>
    <n v="0"/>
    <x v="0"/>
    <s v="2 0"/>
    <n v="33"/>
    <n v="4437"/>
    <x v="1036"/>
    <s v="Hourly"/>
    <n v="3"/>
    <n v="1"/>
    <n v="55.1"/>
    <n v="343824"/>
  </r>
  <r>
    <x v="0"/>
    <n v="88"/>
    <x v="35"/>
    <x v="4"/>
    <x v="4"/>
    <n v="1025"/>
    <x v="51"/>
    <x v="12"/>
    <x v="72"/>
    <n v="3025"/>
    <x v="296"/>
    <n v="0"/>
    <x v="0"/>
    <s v="2 0"/>
    <n v="33"/>
    <n v="4435"/>
    <x v="1035"/>
    <s v="Hourly"/>
    <n v="8"/>
    <n v="1"/>
    <n v="53.1"/>
    <n v="883584"/>
  </r>
  <r>
    <x v="0"/>
    <n v="88"/>
    <x v="35"/>
    <x v="4"/>
    <x v="4"/>
    <n v="1025"/>
    <x v="51"/>
    <x v="12"/>
    <x v="72"/>
    <n v="3025"/>
    <x v="296"/>
    <n v="0"/>
    <x v="0"/>
    <s v="1 00"/>
    <n v="0"/>
    <n v="15"/>
    <x v="37"/>
    <s v="Annual"/>
    <n v="0"/>
    <n v="0"/>
    <n v="7373"/>
    <n v="7373"/>
  </r>
  <r>
    <x v="0"/>
    <n v="88"/>
    <x v="35"/>
    <x v="4"/>
    <x v="4"/>
    <n v="1025"/>
    <x v="51"/>
    <x v="12"/>
    <x v="72"/>
    <n v="3025"/>
    <x v="296"/>
    <n v="0"/>
    <x v="0"/>
    <s v="1 00"/>
    <n v="0"/>
    <n v="12"/>
    <x v="291"/>
    <s v="Annual"/>
    <n v="0"/>
    <n v="0"/>
    <n v="20146"/>
    <n v="20146"/>
  </r>
  <r>
    <x v="0"/>
    <n v="88"/>
    <x v="35"/>
    <x v="4"/>
    <x v="4"/>
    <n v="1025"/>
    <x v="51"/>
    <x v="12"/>
    <x v="72"/>
    <n v="3249"/>
    <x v="249"/>
    <n v="4006"/>
    <x v="286"/>
    <s v="B 14"/>
    <n v="1"/>
    <n v="6144"/>
    <x v="729"/>
    <s v="Annual"/>
    <n v="1"/>
    <n v="1"/>
    <n v="75336"/>
    <n v="75336"/>
  </r>
  <r>
    <x v="0"/>
    <n v="88"/>
    <x v="35"/>
    <x v="4"/>
    <x v="4"/>
    <n v="1025"/>
    <x v="51"/>
    <x v="12"/>
    <x v="72"/>
    <n v="3249"/>
    <x v="249"/>
    <n v="4006"/>
    <x v="286"/>
    <s v="X 43"/>
    <n v="20"/>
    <n v="5848"/>
    <x v="1060"/>
    <s v="Annual"/>
    <n v="2"/>
    <n v="1"/>
    <n v="167700"/>
    <n v="335400"/>
  </r>
  <r>
    <x v="0"/>
    <n v="88"/>
    <x v="35"/>
    <x v="4"/>
    <x v="4"/>
    <n v="1025"/>
    <x v="51"/>
    <x v="12"/>
    <x v="72"/>
    <n v="3249"/>
    <x v="249"/>
    <n v="4006"/>
    <x v="286"/>
    <s v="B 12"/>
    <n v="1"/>
    <s v="03A8"/>
    <x v="88"/>
    <s v="Annual"/>
    <n v="1"/>
    <n v="1"/>
    <n v="62544"/>
    <n v="62544"/>
  </r>
  <r>
    <x v="0"/>
    <n v="88"/>
    <x v="35"/>
    <x v="4"/>
    <x v="4"/>
    <n v="1025"/>
    <x v="51"/>
    <x v="12"/>
    <x v="72"/>
    <n v="3249"/>
    <x v="249"/>
    <n v="4006"/>
    <x v="286"/>
    <s v="1 00"/>
    <n v="0"/>
    <n v="15"/>
    <x v="37"/>
    <s v="Annual"/>
    <n v="0"/>
    <n v="0"/>
    <n v="6370"/>
    <n v="6370"/>
  </r>
  <r>
    <x v="0"/>
    <n v="88"/>
    <x v="35"/>
    <x v="4"/>
    <x v="4"/>
    <n v="1025"/>
    <x v="51"/>
    <x v="12"/>
    <x v="72"/>
    <n v="3257"/>
    <x v="263"/>
    <n v="4010"/>
    <x v="287"/>
    <s v="2 0"/>
    <n v="8"/>
    <n v="7124"/>
    <x v="498"/>
    <s v="Hourly"/>
    <n v="3"/>
    <n v="1"/>
    <n v="49.58"/>
    <n v="309379"/>
  </r>
  <r>
    <x v="0"/>
    <n v="88"/>
    <x v="35"/>
    <x v="4"/>
    <x v="4"/>
    <n v="1025"/>
    <x v="51"/>
    <x v="12"/>
    <x v="72"/>
    <n v="3257"/>
    <x v="263"/>
    <n v="4010"/>
    <x v="287"/>
    <s v="2 0"/>
    <n v="53"/>
    <n v="7101"/>
    <x v="988"/>
    <s v="Hourly"/>
    <n v="7"/>
    <n v="1"/>
    <n v="51.4"/>
    <n v="748384"/>
  </r>
  <r>
    <x v="0"/>
    <n v="88"/>
    <x v="35"/>
    <x v="4"/>
    <x v="4"/>
    <n v="1025"/>
    <x v="51"/>
    <x v="12"/>
    <x v="72"/>
    <n v="3257"/>
    <x v="263"/>
    <n v="4010"/>
    <x v="287"/>
    <s v="1 00"/>
    <n v="0"/>
    <n v="12"/>
    <x v="291"/>
    <s v="Annual"/>
    <n v="0"/>
    <n v="0"/>
    <n v="15867"/>
    <n v="15867"/>
  </r>
  <r>
    <x v="0"/>
    <n v="88"/>
    <x v="35"/>
    <x v="4"/>
    <x v="4"/>
    <n v="1025"/>
    <x v="51"/>
    <x v="12"/>
    <x v="72"/>
    <n v="3261"/>
    <x v="265"/>
    <n v="4012"/>
    <x v="288"/>
    <s v="2 0"/>
    <n v="53"/>
    <n v="9584"/>
    <x v="1061"/>
    <s v="Hourly"/>
    <n v="27"/>
    <n v="1"/>
    <n v="52.2"/>
    <n v="2931552"/>
  </r>
  <r>
    <x v="0"/>
    <n v="88"/>
    <x v="35"/>
    <x v="4"/>
    <x v="4"/>
    <n v="1025"/>
    <x v="51"/>
    <x v="12"/>
    <x v="72"/>
    <n v="3261"/>
    <x v="265"/>
    <n v="4012"/>
    <x v="288"/>
    <s v="2 0"/>
    <n v="53"/>
    <n v="9532"/>
    <x v="391"/>
    <s v="Hourly"/>
    <n v="9"/>
    <n v="1"/>
    <n v="51.4"/>
    <n v="962208"/>
  </r>
  <r>
    <x v="0"/>
    <n v="88"/>
    <x v="35"/>
    <x v="4"/>
    <x v="4"/>
    <n v="1025"/>
    <x v="51"/>
    <x v="12"/>
    <x v="72"/>
    <n v="3261"/>
    <x v="265"/>
    <n v="4012"/>
    <x v="288"/>
    <s v="2 0"/>
    <n v="53"/>
    <n v="9411"/>
    <x v="989"/>
    <s v="Hourly"/>
    <n v="122"/>
    <n v="1"/>
    <n v="51.4"/>
    <n v="13043264"/>
  </r>
  <r>
    <x v="0"/>
    <n v="88"/>
    <x v="35"/>
    <x v="4"/>
    <x v="4"/>
    <n v="1025"/>
    <x v="51"/>
    <x v="12"/>
    <x v="72"/>
    <n v="3261"/>
    <x v="265"/>
    <n v="4012"/>
    <x v="288"/>
    <s v="2 0"/>
    <n v="53"/>
    <n v="9411"/>
    <x v="989"/>
    <s v="Hourly"/>
    <n v="93600"/>
    <n v="0"/>
    <n v="51.52"/>
    <n v="4822272"/>
  </r>
  <r>
    <x v="0"/>
    <n v="88"/>
    <x v="35"/>
    <x v="4"/>
    <x v="4"/>
    <n v="1025"/>
    <x v="51"/>
    <x v="12"/>
    <x v="72"/>
    <n v="3261"/>
    <x v="265"/>
    <n v="4012"/>
    <x v="288"/>
    <s v="2 0"/>
    <n v="53"/>
    <n v="9410"/>
    <x v="990"/>
    <s v="Hourly"/>
    <n v="65340"/>
    <n v="0"/>
    <n v="30.84"/>
    <n v="2015086"/>
  </r>
  <r>
    <x v="0"/>
    <n v="88"/>
    <x v="35"/>
    <x v="4"/>
    <x v="4"/>
    <n v="1025"/>
    <x v="51"/>
    <x v="12"/>
    <x v="72"/>
    <n v="3261"/>
    <x v="265"/>
    <n v="4012"/>
    <x v="288"/>
    <s v="2 0"/>
    <n v="53"/>
    <n v="9408"/>
    <x v="985"/>
    <s v="Hourly"/>
    <n v="1"/>
    <n v="1"/>
    <n v="51.4"/>
    <n v="106912"/>
  </r>
  <r>
    <x v="0"/>
    <n v="88"/>
    <x v="35"/>
    <x v="4"/>
    <x v="4"/>
    <n v="1025"/>
    <x v="51"/>
    <x v="12"/>
    <x v="72"/>
    <n v="3261"/>
    <x v="265"/>
    <n v="4012"/>
    <x v="288"/>
    <s v="J 17"/>
    <n v="16"/>
    <n v="8373"/>
    <x v="992"/>
    <s v="Annual"/>
    <n v="1"/>
    <n v="1"/>
    <n v="150180"/>
    <n v="150180"/>
  </r>
  <r>
    <x v="0"/>
    <n v="88"/>
    <x v="35"/>
    <x v="4"/>
    <x v="4"/>
    <n v="1025"/>
    <x v="51"/>
    <x v="12"/>
    <x v="72"/>
    <n v="3261"/>
    <x v="265"/>
    <n v="4012"/>
    <x v="288"/>
    <s v="J 17"/>
    <n v="16"/>
    <n v="8373"/>
    <x v="992"/>
    <s v="Annual"/>
    <n v="1"/>
    <n v="1"/>
    <n v="136872"/>
    <n v="136872"/>
  </r>
  <r>
    <x v="0"/>
    <n v="88"/>
    <x v="35"/>
    <x v="4"/>
    <x v="4"/>
    <n v="1025"/>
    <x v="51"/>
    <x v="12"/>
    <x v="72"/>
    <n v="3261"/>
    <x v="265"/>
    <n v="4012"/>
    <x v="288"/>
    <s v="2 0"/>
    <n v="16"/>
    <n v="8352"/>
    <x v="993"/>
    <s v="Monthly"/>
    <n v="6"/>
    <n v="1"/>
    <n v="11466"/>
    <n v="825552"/>
  </r>
  <r>
    <x v="0"/>
    <n v="88"/>
    <x v="35"/>
    <x v="4"/>
    <x v="4"/>
    <n v="1025"/>
    <x v="51"/>
    <x v="12"/>
    <x v="72"/>
    <n v="3261"/>
    <x v="265"/>
    <n v="4012"/>
    <x v="288"/>
    <s v="2 0"/>
    <n v="16"/>
    <n v="8345"/>
    <x v="1062"/>
    <s v="Hourly"/>
    <n v="5"/>
    <n v="1"/>
    <n v="64.150000000000006"/>
    <n v="667160"/>
  </r>
  <r>
    <x v="0"/>
    <n v="88"/>
    <x v="35"/>
    <x v="4"/>
    <x v="4"/>
    <n v="1025"/>
    <x v="51"/>
    <x v="12"/>
    <x v="72"/>
    <n v="3261"/>
    <x v="265"/>
    <n v="4012"/>
    <x v="288"/>
    <s v="2 0"/>
    <n v="53"/>
    <n v="8246"/>
    <x v="986"/>
    <s v="Hourly"/>
    <n v="1"/>
    <n v="1"/>
    <n v="52.5"/>
    <n v="109200"/>
  </r>
  <r>
    <x v="0"/>
    <n v="88"/>
    <x v="35"/>
    <x v="4"/>
    <x v="4"/>
    <n v="1025"/>
    <x v="51"/>
    <x v="12"/>
    <x v="72"/>
    <n v="3261"/>
    <x v="265"/>
    <n v="4012"/>
    <x v="288"/>
    <s v="2 0"/>
    <n v="42"/>
    <n v="7633"/>
    <x v="887"/>
    <s v="Hourly"/>
    <n v="37630"/>
    <n v="0"/>
    <n v="66.8"/>
    <n v="2513684"/>
  </r>
  <r>
    <x v="0"/>
    <n v="88"/>
    <x v="35"/>
    <x v="4"/>
    <x v="4"/>
    <n v="1025"/>
    <x v="51"/>
    <x v="12"/>
    <x v="72"/>
    <n v="3261"/>
    <x v="265"/>
    <n v="4012"/>
    <x v="288"/>
    <s v="2 0"/>
    <n v="42"/>
    <n v="7635"/>
    <x v="886"/>
    <s v="Hourly"/>
    <n v="3"/>
    <n v="1"/>
    <n v="68.8"/>
    <n v="429312"/>
  </r>
  <r>
    <x v="0"/>
    <n v="88"/>
    <x v="35"/>
    <x v="4"/>
    <x v="4"/>
    <n v="1025"/>
    <x v="51"/>
    <x v="12"/>
    <x v="72"/>
    <n v="3261"/>
    <x v="265"/>
    <n v="4012"/>
    <x v="288"/>
    <s v="2 0"/>
    <n v="42"/>
    <n v="7633"/>
    <x v="887"/>
    <s v="Hourly"/>
    <n v="50"/>
    <n v="1"/>
    <n v="64.8"/>
    <n v="6739200"/>
  </r>
  <r>
    <x v="0"/>
    <n v="88"/>
    <x v="35"/>
    <x v="4"/>
    <x v="4"/>
    <n v="1025"/>
    <x v="51"/>
    <x v="12"/>
    <x v="72"/>
    <n v="3261"/>
    <x v="265"/>
    <n v="4012"/>
    <x v="288"/>
    <s v="2 0"/>
    <n v="8"/>
    <n v="7185"/>
    <x v="485"/>
    <s v="Hourly"/>
    <n v="1"/>
    <n v="1"/>
    <n v="52.38"/>
    <n v="108950"/>
  </r>
  <r>
    <x v="0"/>
    <n v="88"/>
    <x v="35"/>
    <x v="4"/>
    <x v="4"/>
    <n v="1025"/>
    <x v="51"/>
    <x v="12"/>
    <x v="72"/>
    <n v="3261"/>
    <x v="265"/>
    <n v="4012"/>
    <x v="288"/>
    <s v="2 0"/>
    <n v="8"/>
    <n v="7184"/>
    <x v="882"/>
    <s v="Hourly"/>
    <n v="47840"/>
    <n v="0"/>
    <n v="38.979999999999997"/>
    <n v="1864803"/>
  </r>
  <r>
    <x v="0"/>
    <n v="88"/>
    <x v="35"/>
    <x v="4"/>
    <x v="4"/>
    <n v="1025"/>
    <x v="51"/>
    <x v="12"/>
    <x v="72"/>
    <n v="3261"/>
    <x v="265"/>
    <n v="4012"/>
    <x v="288"/>
    <s v="2 0"/>
    <n v="8"/>
    <n v="7183"/>
    <x v="449"/>
    <s v="Hourly"/>
    <n v="55"/>
    <n v="1"/>
    <n v="48.73"/>
    <n v="5574712"/>
  </r>
  <r>
    <x v="0"/>
    <n v="88"/>
    <x v="35"/>
    <x v="4"/>
    <x v="4"/>
    <n v="1025"/>
    <x v="51"/>
    <x v="12"/>
    <x v="72"/>
    <n v="3261"/>
    <x v="265"/>
    <n v="4012"/>
    <x v="288"/>
    <s v="U 14"/>
    <n v="53"/>
    <n v="6304"/>
    <x v="940"/>
    <s v="Annual"/>
    <n v="1"/>
    <n v="1"/>
    <n v="130620"/>
    <n v="130620"/>
  </r>
  <r>
    <x v="0"/>
    <n v="88"/>
    <x v="35"/>
    <x v="4"/>
    <x v="4"/>
    <n v="1025"/>
    <x v="51"/>
    <x v="12"/>
    <x v="72"/>
    <n v="3261"/>
    <x v="265"/>
    <n v="4012"/>
    <x v="288"/>
    <s v="U 14"/>
    <n v="53"/>
    <n v="6304"/>
    <x v="940"/>
    <s v="Annual"/>
    <n v="1"/>
    <n v="1"/>
    <n v="124776"/>
    <n v="124776"/>
  </r>
  <r>
    <x v="0"/>
    <n v="88"/>
    <x v="35"/>
    <x v="4"/>
    <x v="4"/>
    <n v="1025"/>
    <x v="51"/>
    <x v="12"/>
    <x v="72"/>
    <n v="3261"/>
    <x v="265"/>
    <n v="4012"/>
    <x v="288"/>
    <s v="U 14"/>
    <n v="53"/>
    <n v="6304"/>
    <x v="940"/>
    <s v="Annual"/>
    <n v="1"/>
    <n v="1"/>
    <n v="98892"/>
    <n v="98892"/>
  </r>
  <r>
    <x v="0"/>
    <n v="88"/>
    <x v="35"/>
    <x v="4"/>
    <x v="4"/>
    <n v="1025"/>
    <x v="51"/>
    <x v="12"/>
    <x v="72"/>
    <n v="3261"/>
    <x v="265"/>
    <n v="4012"/>
    <x v="288"/>
    <s v="U 14"/>
    <n v="53"/>
    <n v="6304"/>
    <x v="940"/>
    <s v="Annual"/>
    <n v="1"/>
    <n v="1"/>
    <n v="77628"/>
    <n v="77628"/>
  </r>
  <r>
    <x v="0"/>
    <n v="88"/>
    <x v="35"/>
    <x v="4"/>
    <x v="4"/>
    <n v="1025"/>
    <x v="51"/>
    <x v="12"/>
    <x v="72"/>
    <n v="3261"/>
    <x v="265"/>
    <n v="4012"/>
    <x v="288"/>
    <s v="BX 22"/>
    <n v="10"/>
    <n v="5985"/>
    <x v="981"/>
    <s v="Annual"/>
    <n v="2"/>
    <n v="1"/>
    <n v="150072"/>
    <n v="300144"/>
  </r>
  <r>
    <x v="0"/>
    <n v="88"/>
    <x v="35"/>
    <x v="4"/>
    <x v="4"/>
    <n v="1025"/>
    <x v="51"/>
    <x v="12"/>
    <x v="72"/>
    <n v="3261"/>
    <x v="265"/>
    <n v="4012"/>
    <x v="288"/>
    <s v="2 0"/>
    <n v="32"/>
    <n v="5035"/>
    <x v="431"/>
    <s v="Hourly"/>
    <n v="2"/>
    <n v="1"/>
    <n v="57.75"/>
    <n v="240240"/>
  </r>
  <r>
    <x v="0"/>
    <n v="88"/>
    <x v="35"/>
    <x v="4"/>
    <x v="4"/>
    <n v="1025"/>
    <x v="51"/>
    <x v="12"/>
    <x v="72"/>
    <n v="3261"/>
    <x v="265"/>
    <n v="4012"/>
    <x v="288"/>
    <s v="2 0"/>
    <n v="16"/>
    <n v="4754"/>
    <x v="439"/>
    <s v="Hourly"/>
    <n v="6240"/>
    <n v="0"/>
    <n v="60.5"/>
    <n v="377520"/>
  </r>
  <r>
    <x v="0"/>
    <n v="88"/>
    <x v="35"/>
    <x v="4"/>
    <x v="4"/>
    <n v="1025"/>
    <x v="51"/>
    <x v="12"/>
    <x v="72"/>
    <n v="3261"/>
    <x v="265"/>
    <n v="4012"/>
    <x v="288"/>
    <s v="2 0"/>
    <n v="49"/>
    <n v="4403"/>
    <x v="1063"/>
    <s v="Hourly"/>
    <n v="52000"/>
    <n v="0"/>
    <n v="53.06"/>
    <n v="2759120"/>
  </r>
  <r>
    <x v="0"/>
    <n v="88"/>
    <x v="35"/>
    <x v="4"/>
    <x v="4"/>
    <n v="1025"/>
    <x v="51"/>
    <x v="12"/>
    <x v="72"/>
    <n v="3261"/>
    <x v="265"/>
    <n v="4012"/>
    <x v="288"/>
    <s v="2 0"/>
    <n v="49"/>
    <n v="4406"/>
    <x v="1064"/>
    <s v="Hourly"/>
    <n v="1"/>
    <n v="1"/>
    <n v="61.02"/>
    <n v="126922"/>
  </r>
  <r>
    <x v="0"/>
    <n v="88"/>
    <x v="35"/>
    <x v="4"/>
    <x v="4"/>
    <n v="1025"/>
    <x v="51"/>
    <x v="12"/>
    <x v="72"/>
    <n v="3261"/>
    <x v="265"/>
    <n v="4012"/>
    <x v="288"/>
    <s v="2 0"/>
    <n v="49"/>
    <n v="4405"/>
    <x v="998"/>
    <s v="Hourly"/>
    <n v="1"/>
    <n v="1"/>
    <n v="58.37"/>
    <n v="121410"/>
  </r>
  <r>
    <x v="0"/>
    <n v="88"/>
    <x v="35"/>
    <x v="4"/>
    <x v="4"/>
    <n v="1025"/>
    <x v="51"/>
    <x v="12"/>
    <x v="72"/>
    <n v="3261"/>
    <x v="265"/>
    <n v="4012"/>
    <x v="288"/>
    <s v="2 0"/>
    <n v="49"/>
    <n v="4404"/>
    <x v="1065"/>
    <s v="Hourly"/>
    <n v="12"/>
    <n v="1"/>
    <n v="58.37"/>
    <n v="1456915"/>
  </r>
  <r>
    <x v="0"/>
    <n v="88"/>
    <x v="35"/>
    <x v="4"/>
    <x v="4"/>
    <n v="1025"/>
    <x v="51"/>
    <x v="12"/>
    <x v="72"/>
    <n v="3261"/>
    <x v="265"/>
    <n v="4012"/>
    <x v="288"/>
    <s v="2 0"/>
    <n v="49"/>
    <n v="4403"/>
    <x v="444"/>
    <s v="Hourly"/>
    <n v="28"/>
    <n v="1"/>
    <n v="53.06"/>
    <n v="3090214"/>
  </r>
  <r>
    <x v="0"/>
    <n v="88"/>
    <x v="35"/>
    <x v="4"/>
    <x v="4"/>
    <n v="1025"/>
    <x v="51"/>
    <x v="12"/>
    <x v="72"/>
    <n v="3261"/>
    <x v="265"/>
    <n v="4012"/>
    <x v="288"/>
    <s v="2 0"/>
    <n v="53"/>
    <n v="1860"/>
    <x v="392"/>
    <s v="Hourly"/>
    <n v="2"/>
    <n v="1"/>
    <n v="52.5"/>
    <n v="218400"/>
  </r>
  <r>
    <x v="0"/>
    <n v="88"/>
    <x v="35"/>
    <x v="4"/>
    <x v="4"/>
    <n v="1025"/>
    <x v="51"/>
    <x v="12"/>
    <x v="72"/>
    <n v="3261"/>
    <x v="265"/>
    <n v="4012"/>
    <x v="288"/>
    <s v="U 10"/>
    <n v="53"/>
    <n v="417"/>
    <x v="984"/>
    <s v="Annual"/>
    <n v="2"/>
    <n v="1"/>
    <n v="71412"/>
    <n v="142824"/>
  </r>
  <r>
    <x v="0"/>
    <n v="88"/>
    <x v="35"/>
    <x v="4"/>
    <x v="4"/>
    <n v="1025"/>
    <x v="51"/>
    <x v="12"/>
    <x v="72"/>
    <n v="3261"/>
    <x v="265"/>
    <n v="4012"/>
    <x v="288"/>
    <s v="U 10"/>
    <n v="53"/>
    <n v="417"/>
    <x v="984"/>
    <s v="Annual"/>
    <n v="3"/>
    <n v="1"/>
    <n v="53520"/>
    <n v="160560"/>
  </r>
  <r>
    <x v="0"/>
    <n v="88"/>
    <x v="35"/>
    <x v="4"/>
    <x v="4"/>
    <n v="1025"/>
    <x v="51"/>
    <x v="12"/>
    <x v="72"/>
    <n v="3261"/>
    <x v="265"/>
    <n v="4012"/>
    <x v="288"/>
    <s v="B 12"/>
    <n v="1"/>
    <s v="03A8"/>
    <x v="88"/>
    <s v="Annual"/>
    <n v="1"/>
    <n v="1"/>
    <n v="108576"/>
    <n v="108576"/>
  </r>
  <r>
    <x v="0"/>
    <n v="88"/>
    <x v="35"/>
    <x v="4"/>
    <x v="4"/>
    <n v="1025"/>
    <x v="51"/>
    <x v="12"/>
    <x v="72"/>
    <n v="3261"/>
    <x v="265"/>
    <n v="4012"/>
    <x v="288"/>
    <s v="1 00"/>
    <n v="0"/>
    <n v="15"/>
    <x v="37"/>
    <s v="Annual"/>
    <n v="0"/>
    <n v="0"/>
    <n v="20172"/>
    <n v="20172"/>
  </r>
  <r>
    <x v="0"/>
    <n v="88"/>
    <x v="35"/>
    <x v="4"/>
    <x v="4"/>
    <n v="1025"/>
    <x v="51"/>
    <x v="12"/>
    <x v="72"/>
    <n v="3261"/>
    <x v="265"/>
    <n v="4012"/>
    <x v="288"/>
    <s v="1 00"/>
    <n v="0"/>
    <n v="12"/>
    <x v="291"/>
    <s v="Annual"/>
    <n v="0"/>
    <n v="0"/>
    <n v="766569"/>
    <n v="766569"/>
  </r>
  <r>
    <x v="0"/>
    <n v="88"/>
    <x v="35"/>
    <x v="4"/>
    <x v="4"/>
    <n v="1025"/>
    <x v="51"/>
    <x v="12"/>
    <x v="72"/>
    <n v="3270"/>
    <x v="267"/>
    <n v="0"/>
    <x v="0"/>
    <s v="2 0"/>
    <n v="53"/>
    <n v="9411"/>
    <x v="989"/>
    <s v="Hourly"/>
    <n v="49920"/>
    <n v="0"/>
    <n v="51.4"/>
    <n v="2565888"/>
  </r>
  <r>
    <x v="0"/>
    <n v="88"/>
    <x v="35"/>
    <x v="4"/>
    <x v="4"/>
    <n v="1025"/>
    <x v="51"/>
    <x v="12"/>
    <x v="72"/>
    <n v="3270"/>
    <x v="267"/>
    <n v="0"/>
    <x v="0"/>
    <s v="2 0"/>
    <n v="53"/>
    <n v="9408"/>
    <x v="985"/>
    <s v="Hourly"/>
    <n v="1"/>
    <n v="1"/>
    <n v="51.4"/>
    <n v="106912"/>
  </r>
  <r>
    <x v="0"/>
    <n v="88"/>
    <x v="35"/>
    <x v="4"/>
    <x v="4"/>
    <n v="1025"/>
    <x v="51"/>
    <x v="12"/>
    <x v="72"/>
    <n v="3270"/>
    <x v="267"/>
    <n v="0"/>
    <x v="0"/>
    <s v="2 0"/>
    <n v="16"/>
    <n v="8394"/>
    <x v="991"/>
    <s v="Hourly"/>
    <n v="6240"/>
    <n v="0"/>
    <n v="64.150000000000006"/>
    <n v="400296"/>
  </r>
  <r>
    <x v="0"/>
    <n v="88"/>
    <x v="35"/>
    <x v="4"/>
    <x v="4"/>
    <n v="1025"/>
    <x v="51"/>
    <x v="12"/>
    <x v="72"/>
    <n v="3270"/>
    <x v="267"/>
    <n v="0"/>
    <x v="0"/>
    <s v="2 0"/>
    <n v="42"/>
    <n v="7633"/>
    <x v="887"/>
    <s v="Hourly"/>
    <n v="12480"/>
    <n v="0"/>
    <n v="66.8"/>
    <n v="833664"/>
  </r>
  <r>
    <x v="0"/>
    <n v="88"/>
    <x v="35"/>
    <x v="4"/>
    <x v="4"/>
    <n v="1025"/>
    <x v="51"/>
    <x v="12"/>
    <x v="72"/>
    <n v="3270"/>
    <x v="267"/>
    <n v="0"/>
    <x v="0"/>
    <s v="G 06"/>
    <n v="4"/>
    <n v="5612"/>
    <x v="945"/>
    <s v="Annual"/>
    <n v="1"/>
    <n v="1"/>
    <n v="81636"/>
    <n v="81636"/>
  </r>
  <r>
    <x v="0"/>
    <n v="88"/>
    <x v="35"/>
    <x v="4"/>
    <x v="4"/>
    <n v="1025"/>
    <x v="51"/>
    <x v="12"/>
    <x v="72"/>
    <n v="3270"/>
    <x v="267"/>
    <n v="0"/>
    <x v="0"/>
    <s v="1 00"/>
    <n v="0"/>
    <n v="12"/>
    <x v="291"/>
    <s v="Annual"/>
    <n v="0"/>
    <n v="0"/>
    <n v="58601"/>
    <n v="58601"/>
  </r>
  <r>
    <x v="0"/>
    <n v="88"/>
    <x v="35"/>
    <x v="4"/>
    <x v="4"/>
    <n v="1025"/>
    <x v="51"/>
    <x v="12"/>
    <x v="72"/>
    <n v="3359"/>
    <x v="264"/>
    <n v="0"/>
    <x v="0"/>
    <s v="B 13"/>
    <n v="1"/>
    <n v="6143"/>
    <x v="928"/>
    <s v="Annual"/>
    <n v="1"/>
    <n v="1"/>
    <n v="68616"/>
    <n v="68616"/>
  </r>
  <r>
    <x v="0"/>
    <n v="88"/>
    <x v="35"/>
    <x v="4"/>
    <x v="4"/>
    <n v="1025"/>
    <x v="51"/>
    <x v="12"/>
    <x v="72"/>
    <n v="3359"/>
    <x v="264"/>
    <n v="0"/>
    <x v="0"/>
    <s v="G 07"/>
    <n v="4"/>
    <n v="5613"/>
    <x v="898"/>
    <s v="Annual"/>
    <n v="2"/>
    <n v="1"/>
    <n v="90144"/>
    <n v="180288"/>
  </r>
  <r>
    <x v="0"/>
    <n v="88"/>
    <x v="35"/>
    <x v="4"/>
    <x v="4"/>
    <n v="1025"/>
    <x v="51"/>
    <x v="12"/>
    <x v="72"/>
    <n v="3359"/>
    <x v="264"/>
    <n v="0"/>
    <x v="0"/>
    <s v="G 06"/>
    <n v="4"/>
    <n v="5612"/>
    <x v="945"/>
    <s v="Annual"/>
    <n v="2"/>
    <n v="1"/>
    <n v="81636"/>
    <n v="163272"/>
  </r>
  <r>
    <x v="0"/>
    <n v="88"/>
    <x v="35"/>
    <x v="4"/>
    <x v="4"/>
    <n v="1025"/>
    <x v="51"/>
    <x v="12"/>
    <x v="72"/>
    <n v="3363"/>
    <x v="266"/>
    <n v="0"/>
    <x v="0"/>
    <s v="B 13"/>
    <n v="1"/>
    <n v="6143"/>
    <x v="928"/>
    <s v="Annual"/>
    <n v="2"/>
    <n v="1"/>
    <n v="68616"/>
    <n v="137232"/>
  </r>
  <r>
    <x v="0"/>
    <n v="88"/>
    <x v="35"/>
    <x v="4"/>
    <x v="4"/>
    <n v="1025"/>
    <x v="51"/>
    <x v="12"/>
    <x v="72"/>
    <n v="3363"/>
    <x v="266"/>
    <n v="0"/>
    <x v="0"/>
    <s v="BX 22"/>
    <n v="10"/>
    <n v="5985"/>
    <x v="981"/>
    <s v="Annual"/>
    <n v="1"/>
    <n v="1"/>
    <n v="150072"/>
    <n v="150072"/>
  </r>
  <r>
    <x v="0"/>
    <n v="88"/>
    <x v="35"/>
    <x v="4"/>
    <x v="4"/>
    <n v="1025"/>
    <x v="51"/>
    <x v="12"/>
    <x v="72"/>
    <n v="3363"/>
    <x v="266"/>
    <n v="0"/>
    <x v="0"/>
    <s v="G 07"/>
    <n v="4"/>
    <n v="5613"/>
    <x v="898"/>
    <s v="Annual"/>
    <n v="2"/>
    <n v="1"/>
    <n v="129636"/>
    <n v="259272"/>
  </r>
  <r>
    <x v="0"/>
    <n v="88"/>
    <x v="35"/>
    <x v="4"/>
    <x v="4"/>
    <n v="1025"/>
    <x v="51"/>
    <x v="12"/>
    <x v="72"/>
    <n v="3363"/>
    <x v="266"/>
    <n v="0"/>
    <x v="0"/>
    <s v="G 07"/>
    <n v="4"/>
    <n v="5613"/>
    <x v="898"/>
    <s v="Annual"/>
    <n v="2"/>
    <n v="1"/>
    <n v="92940"/>
    <n v="185880"/>
  </r>
  <r>
    <x v="0"/>
    <n v="88"/>
    <x v="35"/>
    <x v="4"/>
    <x v="4"/>
    <n v="1025"/>
    <x v="51"/>
    <x v="12"/>
    <x v="72"/>
    <n v="3363"/>
    <x v="266"/>
    <n v="0"/>
    <x v="0"/>
    <s v="G 07"/>
    <n v="4"/>
    <n v="5613"/>
    <x v="898"/>
    <s v="Annual"/>
    <n v="1"/>
    <n v="1"/>
    <n v="90144"/>
    <n v="90144"/>
  </r>
  <r>
    <x v="0"/>
    <n v="88"/>
    <x v="35"/>
    <x v="4"/>
    <x v="4"/>
    <n v="1025"/>
    <x v="51"/>
    <x v="12"/>
    <x v="72"/>
    <n v="3363"/>
    <x v="266"/>
    <n v="0"/>
    <x v="0"/>
    <s v="1 00"/>
    <n v="0"/>
    <n v="15"/>
    <x v="37"/>
    <s v="Annual"/>
    <n v="0"/>
    <n v="0"/>
    <n v="10005"/>
    <n v="10005"/>
  </r>
  <r>
    <x v="0"/>
    <n v="88"/>
    <x v="35"/>
    <x v="4"/>
    <x v="4"/>
    <n v="1025"/>
    <x v="51"/>
    <x v="12"/>
    <x v="72"/>
    <n v="3364"/>
    <x v="268"/>
    <n v="4364"/>
    <x v="289"/>
    <s v="2 0"/>
    <n v="49"/>
    <n v="8316"/>
    <x v="1066"/>
    <s v="Monthly"/>
    <n v="1"/>
    <n v="1"/>
    <n v="10637.47"/>
    <n v="127650"/>
  </r>
  <r>
    <x v="0"/>
    <n v="88"/>
    <x v="35"/>
    <x v="4"/>
    <x v="4"/>
    <n v="1025"/>
    <x v="51"/>
    <x v="12"/>
    <x v="72"/>
    <n v="3364"/>
    <x v="268"/>
    <n v="4364"/>
    <x v="289"/>
    <s v="2 0"/>
    <n v="49"/>
    <n v="8315"/>
    <x v="816"/>
    <s v="Monthly"/>
    <n v="11"/>
    <n v="1"/>
    <n v="10117.469999999999"/>
    <n v="1335506"/>
  </r>
  <r>
    <x v="0"/>
    <n v="88"/>
    <x v="35"/>
    <x v="4"/>
    <x v="4"/>
    <n v="1025"/>
    <x v="51"/>
    <x v="12"/>
    <x v="72"/>
    <n v="3364"/>
    <x v="268"/>
    <n v="4364"/>
    <x v="289"/>
    <s v="2 0"/>
    <n v="16"/>
    <n v="2147"/>
    <x v="1067"/>
    <s v="Monthly"/>
    <n v="1"/>
    <n v="1"/>
    <n v="11292.67"/>
    <n v="135512"/>
  </r>
  <r>
    <x v="0"/>
    <n v="88"/>
    <x v="35"/>
    <x v="4"/>
    <x v="4"/>
    <n v="1025"/>
    <x v="51"/>
    <x v="12"/>
    <x v="72"/>
    <n v="3364"/>
    <x v="268"/>
    <n v="4364"/>
    <x v="289"/>
    <s v="2 0"/>
    <n v="16"/>
    <n v="2143"/>
    <x v="1068"/>
    <s v="Monthly"/>
    <n v="7"/>
    <n v="1"/>
    <n v="11119.33"/>
    <n v="934024"/>
  </r>
  <r>
    <x v="0"/>
    <n v="88"/>
    <x v="35"/>
    <x v="4"/>
    <x v="4"/>
    <n v="1025"/>
    <x v="51"/>
    <x v="12"/>
    <x v="72"/>
    <n v="3364"/>
    <x v="268"/>
    <n v="4364"/>
    <x v="289"/>
    <s v="2 0"/>
    <n v="16"/>
    <n v="2143"/>
    <x v="1068"/>
    <s v="Monthly"/>
    <n v="2"/>
    <n v="1"/>
    <n v="10234"/>
    <n v="245616"/>
  </r>
  <r>
    <x v="0"/>
    <n v="88"/>
    <x v="35"/>
    <x v="4"/>
    <x v="4"/>
    <n v="1025"/>
    <x v="51"/>
    <x v="12"/>
    <x v="72"/>
    <n v="3364"/>
    <x v="268"/>
    <n v="4364"/>
    <x v="289"/>
    <s v="B 10"/>
    <n v="1"/>
    <s v="03A7"/>
    <x v="4"/>
    <s v="Annual"/>
    <n v="2"/>
    <n v="1"/>
    <n v="58764"/>
    <n v="117528"/>
  </r>
  <r>
    <x v="0"/>
    <n v="88"/>
    <x v="35"/>
    <x v="4"/>
    <x v="4"/>
    <n v="1025"/>
    <x v="51"/>
    <x v="12"/>
    <x v="72"/>
    <n v="3364"/>
    <x v="268"/>
    <n v="4364"/>
    <x v="289"/>
    <s v="B 13"/>
    <n v="1"/>
    <n v="308"/>
    <x v="90"/>
    <s v="Annual"/>
    <n v="1"/>
    <n v="1"/>
    <n v="68616"/>
    <n v="68616"/>
  </r>
  <r>
    <x v="0"/>
    <n v="88"/>
    <x v="35"/>
    <x v="4"/>
    <x v="4"/>
    <n v="1025"/>
    <x v="51"/>
    <x v="12"/>
    <x v="72"/>
    <n v="3364"/>
    <x v="268"/>
    <n v="4364"/>
    <x v="289"/>
    <s v="1 00"/>
    <n v="0"/>
    <n v="12"/>
    <x v="291"/>
    <s v="Annual"/>
    <n v="0"/>
    <n v="0"/>
    <n v="41675"/>
    <n v="41675"/>
  </r>
  <r>
    <x v="0"/>
    <n v="91"/>
    <x v="36"/>
    <x v="5"/>
    <x v="5"/>
    <n v="1005"/>
    <x v="56"/>
    <x v="0"/>
    <x v="77"/>
    <n v="3005"/>
    <x v="297"/>
    <n v="0"/>
    <x v="0"/>
    <s v="1 00"/>
    <n v="9"/>
    <n v="9991"/>
    <x v="1069"/>
    <s v="Annual"/>
    <n v="1"/>
    <n v="1"/>
    <n v="223740"/>
    <n v="223740"/>
  </r>
  <r>
    <x v="0"/>
    <n v="91"/>
    <x v="36"/>
    <x v="5"/>
    <x v="5"/>
    <n v="1005"/>
    <x v="56"/>
    <x v="0"/>
    <x v="77"/>
    <n v="3005"/>
    <x v="297"/>
    <n v="0"/>
    <x v="0"/>
    <s v="X 32"/>
    <n v="9"/>
    <n v="9679"/>
    <x v="81"/>
    <s v="Annual"/>
    <n v="1"/>
    <n v="1"/>
    <n v="175512"/>
    <n v="175512"/>
  </r>
  <r>
    <x v="0"/>
    <n v="91"/>
    <x v="36"/>
    <x v="5"/>
    <x v="5"/>
    <n v="1005"/>
    <x v="56"/>
    <x v="0"/>
    <x v="77"/>
    <n v="3005"/>
    <x v="297"/>
    <n v="0"/>
    <x v="0"/>
    <s v="X 32"/>
    <n v="9"/>
    <n v="9679"/>
    <x v="81"/>
    <s v="Annual"/>
    <n v="1"/>
    <n v="1"/>
    <n v="157332"/>
    <n v="157332"/>
  </r>
  <r>
    <x v="0"/>
    <n v="91"/>
    <x v="36"/>
    <x v="5"/>
    <x v="5"/>
    <n v="1005"/>
    <x v="56"/>
    <x v="0"/>
    <x v="77"/>
    <n v="3005"/>
    <x v="297"/>
    <n v="0"/>
    <x v="0"/>
    <s v="X 31"/>
    <n v="9"/>
    <n v="9660"/>
    <x v="353"/>
    <s v="Annual"/>
    <n v="1"/>
    <n v="1"/>
    <n v="194688"/>
    <n v="194688"/>
  </r>
  <r>
    <x v="0"/>
    <n v="91"/>
    <x v="36"/>
    <x v="5"/>
    <x v="5"/>
    <n v="1005"/>
    <x v="56"/>
    <x v="0"/>
    <x v="77"/>
    <n v="3005"/>
    <x v="297"/>
    <n v="0"/>
    <x v="0"/>
    <s v="B 13"/>
    <n v="1"/>
    <n v="6409"/>
    <x v="466"/>
    <s v="Annual"/>
    <n v="1"/>
    <n v="1"/>
    <n v="81324"/>
    <n v="81324"/>
  </r>
  <r>
    <x v="0"/>
    <n v="91"/>
    <x v="36"/>
    <x v="5"/>
    <x v="5"/>
    <n v="1005"/>
    <x v="56"/>
    <x v="0"/>
    <x v="77"/>
    <n v="3005"/>
    <x v="297"/>
    <n v="0"/>
    <x v="0"/>
    <s v="BX 17"/>
    <n v="10"/>
    <n v="5753"/>
    <x v="1070"/>
    <s v="Annual"/>
    <n v="1"/>
    <n v="1"/>
    <n v="118956"/>
    <n v="118956"/>
  </r>
  <r>
    <x v="0"/>
    <n v="91"/>
    <x v="36"/>
    <x v="5"/>
    <x v="5"/>
    <n v="1005"/>
    <x v="56"/>
    <x v="0"/>
    <x v="77"/>
    <n v="3005"/>
    <x v="297"/>
    <n v="0"/>
    <x v="0"/>
    <s v="B 10"/>
    <n v="1"/>
    <n v="5742"/>
    <x v="1071"/>
    <s v="Annual"/>
    <n v="1"/>
    <n v="1"/>
    <n v="58764"/>
    <n v="58764"/>
  </r>
  <r>
    <x v="0"/>
    <n v="91"/>
    <x v="36"/>
    <x v="5"/>
    <x v="5"/>
    <n v="1005"/>
    <x v="56"/>
    <x v="0"/>
    <x v="77"/>
    <n v="3005"/>
    <x v="297"/>
    <n v="0"/>
    <x v="0"/>
    <s v="BX 18"/>
    <n v="10"/>
    <n v="4544"/>
    <x v="1072"/>
    <s v="Annual"/>
    <n v="1"/>
    <n v="1"/>
    <n v="93384"/>
    <n v="93384"/>
  </r>
  <r>
    <x v="0"/>
    <n v="91"/>
    <x v="36"/>
    <x v="5"/>
    <x v="5"/>
    <n v="1005"/>
    <x v="56"/>
    <x v="0"/>
    <x v="77"/>
    <n v="3005"/>
    <x v="297"/>
    <n v="0"/>
    <x v="0"/>
    <s v="G 07"/>
    <n v="3"/>
    <n v="3052"/>
    <x v="716"/>
    <s v="Annual"/>
    <n v="1"/>
    <n v="1"/>
    <n v="97488"/>
    <n v="97488"/>
  </r>
  <r>
    <x v="0"/>
    <n v="91"/>
    <x v="36"/>
    <x v="5"/>
    <x v="5"/>
    <n v="1005"/>
    <x v="56"/>
    <x v="0"/>
    <x v="77"/>
    <n v="3005"/>
    <x v="297"/>
    <n v="0"/>
    <x v="0"/>
    <s v="GY 11"/>
    <n v="20"/>
    <n v="3051"/>
    <x v="27"/>
    <s v="Annual"/>
    <n v="1"/>
    <n v="1"/>
    <n v="106272"/>
    <n v="106272"/>
  </r>
  <r>
    <x v="0"/>
    <n v="91"/>
    <x v="36"/>
    <x v="5"/>
    <x v="5"/>
    <n v="1005"/>
    <x v="56"/>
    <x v="0"/>
    <x v="77"/>
    <n v="3005"/>
    <x v="297"/>
    <n v="0"/>
    <x v="0"/>
    <s v="B 14"/>
    <n v="4"/>
    <n v="1912"/>
    <x v="222"/>
    <s v="Annual"/>
    <n v="1"/>
    <n v="1"/>
    <n v="81324"/>
    <n v="81324"/>
  </r>
  <r>
    <x v="0"/>
    <n v="91"/>
    <x v="36"/>
    <x v="5"/>
    <x v="5"/>
    <n v="1005"/>
    <x v="56"/>
    <x v="0"/>
    <x v="77"/>
    <n v="3005"/>
    <x v="297"/>
    <n v="0"/>
    <x v="0"/>
    <s v="B 14"/>
    <n v="4"/>
    <n v="1912"/>
    <x v="222"/>
    <s v="Annual"/>
    <n v="1"/>
    <n v="1"/>
    <n v="77640"/>
    <n v="77640"/>
  </r>
  <r>
    <x v="0"/>
    <n v="91"/>
    <x v="36"/>
    <x v="5"/>
    <x v="5"/>
    <n v="1005"/>
    <x v="56"/>
    <x v="0"/>
    <x v="77"/>
    <n v="3005"/>
    <x v="297"/>
    <n v="0"/>
    <x v="0"/>
    <s v="B 08"/>
    <n v="1"/>
    <n v="1813"/>
    <x v="779"/>
    <s v="Annual"/>
    <n v="2"/>
    <n v="1"/>
    <n v="74916"/>
    <n v="149832"/>
  </r>
  <r>
    <x v="0"/>
    <n v="91"/>
    <x v="36"/>
    <x v="5"/>
    <x v="5"/>
    <n v="1005"/>
    <x v="56"/>
    <x v="0"/>
    <x v="77"/>
    <n v="3005"/>
    <x v="297"/>
    <n v="0"/>
    <x v="0"/>
    <s v="BX 18"/>
    <n v="10"/>
    <n v="1346"/>
    <x v="29"/>
    <s v="Annual"/>
    <n v="1"/>
    <n v="1"/>
    <n v="93384"/>
    <n v="93384"/>
  </r>
  <r>
    <x v="0"/>
    <n v="91"/>
    <x v="36"/>
    <x v="5"/>
    <x v="5"/>
    <n v="1005"/>
    <x v="56"/>
    <x v="0"/>
    <x v="77"/>
    <n v="3005"/>
    <x v="297"/>
    <n v="0"/>
    <x v="0"/>
    <s v="X 33"/>
    <n v="0"/>
    <n v="1338"/>
    <x v="388"/>
    <s v="Annual"/>
    <n v="1"/>
    <n v="1"/>
    <n v="121668"/>
    <n v="121668"/>
  </r>
  <r>
    <x v="0"/>
    <n v="91"/>
    <x v="36"/>
    <x v="5"/>
    <x v="5"/>
    <n v="1005"/>
    <x v="56"/>
    <x v="0"/>
    <x v="77"/>
    <n v="3005"/>
    <x v="297"/>
    <n v="0"/>
    <x v="0"/>
    <s v="BX 17"/>
    <n v="20"/>
    <n v="1331"/>
    <x v="248"/>
    <s v="Annual"/>
    <n v="1"/>
    <n v="1"/>
    <n v="108432"/>
    <n v="108432"/>
  </r>
  <r>
    <x v="0"/>
    <n v="91"/>
    <x v="36"/>
    <x v="5"/>
    <x v="5"/>
    <n v="1005"/>
    <x v="56"/>
    <x v="0"/>
    <x v="77"/>
    <n v="3005"/>
    <x v="297"/>
    <n v="0"/>
    <x v="0"/>
    <s v="B 13"/>
    <n v="1"/>
    <n v="1320"/>
    <x v="613"/>
    <s v="Annual"/>
    <n v="1"/>
    <n v="1"/>
    <n v="74172"/>
    <n v="74172"/>
  </r>
  <r>
    <x v="0"/>
    <n v="91"/>
    <x v="36"/>
    <x v="5"/>
    <x v="5"/>
    <n v="1005"/>
    <x v="56"/>
    <x v="0"/>
    <x v="77"/>
    <n v="3005"/>
    <x v="297"/>
    <n v="0"/>
    <x v="0"/>
    <s v="B 13"/>
    <n v="1"/>
    <n v="1301"/>
    <x v="227"/>
    <s v="Annual"/>
    <n v="3"/>
    <n v="1"/>
    <n v="119100"/>
    <n v="357300"/>
  </r>
  <r>
    <x v="0"/>
    <n v="91"/>
    <x v="36"/>
    <x v="5"/>
    <x v="5"/>
    <n v="1005"/>
    <x v="56"/>
    <x v="0"/>
    <x v="77"/>
    <n v="3005"/>
    <x v="297"/>
    <n v="0"/>
    <x v="0"/>
    <s v="B 13"/>
    <n v="1"/>
    <n v="1301"/>
    <x v="227"/>
    <s v="Annual"/>
    <n v="1"/>
    <n v="1"/>
    <n v="113628"/>
    <n v="113628"/>
  </r>
  <r>
    <x v="0"/>
    <n v="91"/>
    <x v="36"/>
    <x v="5"/>
    <x v="5"/>
    <n v="1005"/>
    <x v="56"/>
    <x v="0"/>
    <x v="77"/>
    <n v="3005"/>
    <x v="297"/>
    <n v="0"/>
    <x v="0"/>
    <s v="B 13"/>
    <n v="1"/>
    <n v="1301"/>
    <x v="227"/>
    <s v="Annual"/>
    <n v="1"/>
    <n v="1"/>
    <n v="103608"/>
    <n v="103608"/>
  </r>
  <r>
    <x v="0"/>
    <n v="91"/>
    <x v="36"/>
    <x v="5"/>
    <x v="5"/>
    <n v="1005"/>
    <x v="56"/>
    <x v="0"/>
    <x v="77"/>
    <n v="3005"/>
    <x v="297"/>
    <n v="0"/>
    <x v="0"/>
    <s v="B 13"/>
    <n v="1"/>
    <n v="1301"/>
    <x v="227"/>
    <s v="Annual"/>
    <n v="1"/>
    <n v="1"/>
    <n v="94452"/>
    <n v="94452"/>
  </r>
  <r>
    <x v="0"/>
    <n v="91"/>
    <x v="36"/>
    <x v="5"/>
    <x v="5"/>
    <n v="1005"/>
    <x v="56"/>
    <x v="0"/>
    <x v="77"/>
    <n v="3005"/>
    <x v="297"/>
    <n v="0"/>
    <x v="0"/>
    <s v="B 13"/>
    <n v="1"/>
    <n v="1301"/>
    <x v="227"/>
    <s v="Annual"/>
    <n v="1"/>
    <n v="1"/>
    <n v="74172"/>
    <n v="74172"/>
  </r>
  <r>
    <x v="0"/>
    <n v="91"/>
    <x v="36"/>
    <x v="5"/>
    <x v="5"/>
    <n v="1005"/>
    <x v="56"/>
    <x v="0"/>
    <x v="77"/>
    <n v="3005"/>
    <x v="297"/>
    <n v="0"/>
    <x v="0"/>
    <s v="X 33"/>
    <n v="20"/>
    <n v="1191"/>
    <x v="405"/>
    <s v="Annual"/>
    <n v="1"/>
    <n v="1"/>
    <n v="146808"/>
    <n v="146808"/>
  </r>
  <r>
    <x v="0"/>
    <n v="91"/>
    <x v="36"/>
    <x v="5"/>
    <x v="5"/>
    <n v="1005"/>
    <x v="56"/>
    <x v="0"/>
    <x v="77"/>
    <n v="3005"/>
    <x v="297"/>
    <n v="0"/>
    <x v="0"/>
    <s v="B 11"/>
    <n v="5"/>
    <n v="901"/>
    <x v="1073"/>
    <s v="Annual"/>
    <n v="2"/>
    <n v="1"/>
    <n v="98928"/>
    <n v="197856"/>
  </r>
  <r>
    <x v="0"/>
    <n v="91"/>
    <x v="36"/>
    <x v="5"/>
    <x v="5"/>
    <n v="1005"/>
    <x v="56"/>
    <x v="0"/>
    <x v="77"/>
    <n v="3005"/>
    <x v="297"/>
    <n v="0"/>
    <x v="0"/>
    <s v="B 11"/>
    <n v="5"/>
    <n v="901"/>
    <x v="1073"/>
    <s v="Annual"/>
    <n v="1"/>
    <n v="1"/>
    <n v="94452"/>
    <n v="94452"/>
  </r>
  <r>
    <x v="0"/>
    <n v="91"/>
    <x v="36"/>
    <x v="5"/>
    <x v="5"/>
    <n v="1005"/>
    <x v="56"/>
    <x v="0"/>
    <x v="77"/>
    <n v="3005"/>
    <x v="297"/>
    <n v="0"/>
    <x v="0"/>
    <s v="B 11"/>
    <n v="5"/>
    <n v="901"/>
    <x v="1073"/>
    <s v="Annual"/>
    <n v="1"/>
    <n v="1"/>
    <n v="74916"/>
    <n v="74916"/>
  </r>
  <r>
    <x v="0"/>
    <n v="91"/>
    <x v="36"/>
    <x v="5"/>
    <x v="5"/>
    <n v="1005"/>
    <x v="56"/>
    <x v="0"/>
    <x v="77"/>
    <n v="3005"/>
    <x v="297"/>
    <n v="0"/>
    <x v="0"/>
    <s v="B 11"/>
    <n v="5"/>
    <n v="901"/>
    <x v="1073"/>
    <s v="Annual"/>
    <n v="1"/>
    <n v="1"/>
    <n v="57000"/>
    <n v="57000"/>
  </r>
  <r>
    <x v="0"/>
    <n v="91"/>
    <x v="36"/>
    <x v="5"/>
    <x v="5"/>
    <n v="1005"/>
    <x v="56"/>
    <x v="0"/>
    <x v="77"/>
    <n v="3005"/>
    <x v="297"/>
    <n v="0"/>
    <x v="0"/>
    <s v="BX 16"/>
    <n v="10"/>
    <n v="802"/>
    <x v="30"/>
    <s v="Annual"/>
    <n v="1"/>
    <n v="1"/>
    <n v="113568"/>
    <n v="113568"/>
  </r>
  <r>
    <x v="0"/>
    <n v="91"/>
    <x v="36"/>
    <x v="5"/>
    <x v="5"/>
    <n v="1005"/>
    <x v="56"/>
    <x v="0"/>
    <x v="77"/>
    <n v="3005"/>
    <x v="297"/>
    <n v="0"/>
    <x v="0"/>
    <s v="BX 16"/>
    <n v="10"/>
    <n v="802"/>
    <x v="30"/>
    <s v="Annual"/>
    <n v="1"/>
    <n v="1"/>
    <n v="103488"/>
    <n v="103488"/>
  </r>
  <r>
    <x v="0"/>
    <n v="91"/>
    <x v="36"/>
    <x v="5"/>
    <x v="5"/>
    <n v="1005"/>
    <x v="56"/>
    <x v="0"/>
    <x v="77"/>
    <n v="3005"/>
    <x v="297"/>
    <n v="0"/>
    <x v="0"/>
    <s v="PX 03"/>
    <n v="9"/>
    <n v="719"/>
    <x v="1074"/>
    <s v="Annual"/>
    <n v="1"/>
    <n v="1"/>
    <n v="114120"/>
    <n v="114120"/>
  </r>
  <r>
    <x v="0"/>
    <n v="91"/>
    <x v="36"/>
    <x v="5"/>
    <x v="5"/>
    <n v="1005"/>
    <x v="56"/>
    <x v="0"/>
    <x v="77"/>
    <n v="3005"/>
    <x v="297"/>
    <n v="0"/>
    <x v="0"/>
    <s v="PX 02"/>
    <n v="9"/>
    <n v="705"/>
    <x v="33"/>
    <s v="Annual"/>
    <n v="1"/>
    <n v="1"/>
    <n v="143880"/>
    <n v="143880"/>
  </r>
  <r>
    <x v="0"/>
    <n v="91"/>
    <x v="36"/>
    <x v="5"/>
    <x v="5"/>
    <n v="1005"/>
    <x v="56"/>
    <x v="0"/>
    <x v="77"/>
    <n v="3005"/>
    <x v="297"/>
    <n v="0"/>
    <x v="0"/>
    <s v="B 14"/>
    <n v="1"/>
    <n v="703"/>
    <x v="595"/>
    <s v="Annual"/>
    <n v="1"/>
    <n v="1"/>
    <n v="130668"/>
    <n v="130668"/>
  </r>
  <r>
    <x v="0"/>
    <n v="91"/>
    <x v="36"/>
    <x v="5"/>
    <x v="5"/>
    <n v="1005"/>
    <x v="56"/>
    <x v="0"/>
    <x v="77"/>
    <n v="3005"/>
    <x v="297"/>
    <n v="0"/>
    <x v="0"/>
    <s v="B 14"/>
    <n v="1"/>
    <n v="703"/>
    <x v="595"/>
    <s v="Annual"/>
    <n v="2"/>
    <n v="1"/>
    <n v="75336"/>
    <n v="150672"/>
  </r>
  <r>
    <x v="0"/>
    <n v="91"/>
    <x v="36"/>
    <x v="5"/>
    <x v="5"/>
    <n v="1005"/>
    <x v="56"/>
    <x v="0"/>
    <x v="77"/>
    <n v="3005"/>
    <x v="297"/>
    <n v="0"/>
    <x v="0"/>
    <s v="B 13"/>
    <n v="1"/>
    <n v="702"/>
    <x v="847"/>
    <s v="Annual"/>
    <n v="2"/>
    <n v="1"/>
    <n v="77640"/>
    <n v="155280"/>
  </r>
  <r>
    <x v="0"/>
    <n v="91"/>
    <x v="36"/>
    <x v="5"/>
    <x v="5"/>
    <n v="1005"/>
    <x v="56"/>
    <x v="0"/>
    <x v="77"/>
    <n v="3005"/>
    <x v="297"/>
    <n v="0"/>
    <x v="0"/>
    <s v="B 12"/>
    <n v="1"/>
    <n v="701"/>
    <x v="1075"/>
    <s v="Annual"/>
    <n v="1"/>
    <n v="1"/>
    <n v="108576"/>
    <n v="108576"/>
  </r>
  <r>
    <x v="0"/>
    <n v="91"/>
    <x v="36"/>
    <x v="5"/>
    <x v="5"/>
    <n v="1005"/>
    <x v="56"/>
    <x v="0"/>
    <x v="77"/>
    <n v="3005"/>
    <x v="297"/>
    <n v="0"/>
    <x v="0"/>
    <s v="B 10"/>
    <n v="1"/>
    <n v="694"/>
    <x v="464"/>
    <s v="Annual"/>
    <n v="2"/>
    <n v="1"/>
    <n v="90144"/>
    <n v="180288"/>
  </r>
  <r>
    <x v="0"/>
    <n v="91"/>
    <x v="36"/>
    <x v="5"/>
    <x v="5"/>
    <n v="1005"/>
    <x v="56"/>
    <x v="0"/>
    <x v="77"/>
    <n v="3005"/>
    <x v="297"/>
    <n v="0"/>
    <x v="0"/>
    <s v="BX 18"/>
    <n v="10"/>
    <n v="676"/>
    <x v="1076"/>
    <s v="Annual"/>
    <n v="1"/>
    <n v="1"/>
    <n v="89112"/>
    <n v="89112"/>
  </r>
  <r>
    <x v="0"/>
    <n v="91"/>
    <x v="36"/>
    <x v="5"/>
    <x v="5"/>
    <n v="1005"/>
    <x v="56"/>
    <x v="0"/>
    <x v="77"/>
    <n v="3005"/>
    <x v="297"/>
    <n v="0"/>
    <x v="0"/>
    <s v="X 33"/>
    <n v="0"/>
    <n v="674"/>
    <x v="1077"/>
    <s v="Annual"/>
    <n v="1"/>
    <n v="1"/>
    <n v="153384"/>
    <n v="153384"/>
  </r>
  <r>
    <x v="0"/>
    <n v="91"/>
    <x v="36"/>
    <x v="5"/>
    <x v="5"/>
    <n v="1005"/>
    <x v="56"/>
    <x v="0"/>
    <x v="77"/>
    <n v="3005"/>
    <x v="297"/>
    <n v="0"/>
    <x v="0"/>
    <s v="B 16"/>
    <n v="3"/>
    <n v="642"/>
    <x v="1078"/>
    <s v="Annual"/>
    <n v="1"/>
    <n v="1"/>
    <n v="130668"/>
    <n v="130668"/>
  </r>
  <r>
    <x v="0"/>
    <n v="91"/>
    <x v="36"/>
    <x v="5"/>
    <x v="5"/>
    <n v="1005"/>
    <x v="56"/>
    <x v="0"/>
    <x v="77"/>
    <n v="3005"/>
    <x v="297"/>
    <n v="0"/>
    <x v="0"/>
    <s v="G 07"/>
    <n v="5"/>
    <n v="579"/>
    <x v="1079"/>
    <s v="Annual"/>
    <n v="1"/>
    <n v="1"/>
    <n v="129636"/>
    <n v="129636"/>
  </r>
  <r>
    <x v="0"/>
    <n v="91"/>
    <x v="36"/>
    <x v="5"/>
    <x v="5"/>
    <n v="1005"/>
    <x v="56"/>
    <x v="0"/>
    <x v="77"/>
    <n v="3005"/>
    <x v="297"/>
    <n v="0"/>
    <x v="0"/>
    <s v="GY 10"/>
    <n v="20"/>
    <n v="531"/>
    <x v="1080"/>
    <s v="Annual"/>
    <n v="1"/>
    <n v="1"/>
    <n v="111000"/>
    <n v="111000"/>
  </r>
  <r>
    <x v="0"/>
    <n v="91"/>
    <x v="36"/>
    <x v="5"/>
    <x v="5"/>
    <n v="1005"/>
    <x v="56"/>
    <x v="0"/>
    <x v="77"/>
    <n v="3005"/>
    <x v="297"/>
    <n v="0"/>
    <x v="0"/>
    <s v="GY 08"/>
    <n v="20"/>
    <n v="529"/>
    <x v="1081"/>
    <s v="Annual"/>
    <n v="1"/>
    <n v="1"/>
    <n v="89112"/>
    <n v="89112"/>
  </r>
  <r>
    <x v="0"/>
    <n v="91"/>
    <x v="36"/>
    <x v="5"/>
    <x v="5"/>
    <n v="1005"/>
    <x v="56"/>
    <x v="0"/>
    <x v="77"/>
    <n v="3005"/>
    <x v="297"/>
    <n v="0"/>
    <x v="0"/>
    <s v="GY 10"/>
    <n v="20"/>
    <n v="511"/>
    <x v="1082"/>
    <s v="Annual"/>
    <n v="1"/>
    <n v="1"/>
    <n v="111000"/>
    <n v="111000"/>
  </r>
  <r>
    <x v="0"/>
    <n v="91"/>
    <x v="36"/>
    <x v="5"/>
    <x v="5"/>
    <n v="1005"/>
    <x v="56"/>
    <x v="0"/>
    <x v="77"/>
    <n v="3005"/>
    <x v="297"/>
    <n v="0"/>
    <x v="0"/>
    <s v="GY 11"/>
    <n v="20"/>
    <n v="510"/>
    <x v="1083"/>
    <s v="Annual"/>
    <n v="1"/>
    <n v="1"/>
    <n v="135000"/>
    <n v="135000"/>
  </r>
  <r>
    <x v="0"/>
    <n v="91"/>
    <x v="36"/>
    <x v="5"/>
    <x v="5"/>
    <n v="1005"/>
    <x v="56"/>
    <x v="0"/>
    <x v="77"/>
    <n v="3005"/>
    <x v="297"/>
    <n v="0"/>
    <x v="0"/>
    <s v="B 09"/>
    <n v="1"/>
    <n v="460"/>
    <x v="344"/>
    <s v="Annual"/>
    <n v="1"/>
    <n v="1"/>
    <n v="65112"/>
    <n v="65112"/>
  </r>
  <r>
    <x v="0"/>
    <n v="91"/>
    <x v="36"/>
    <x v="5"/>
    <x v="5"/>
    <n v="1005"/>
    <x v="56"/>
    <x v="0"/>
    <x v="77"/>
    <n v="3005"/>
    <x v="297"/>
    <n v="0"/>
    <x v="0"/>
    <s v="B 09"/>
    <n v="1"/>
    <n v="460"/>
    <x v="344"/>
    <s v="Annual"/>
    <n v="1"/>
    <n v="1"/>
    <n v="56124"/>
    <n v="56124"/>
  </r>
  <r>
    <x v="0"/>
    <n v="91"/>
    <x v="36"/>
    <x v="5"/>
    <x v="5"/>
    <n v="1005"/>
    <x v="56"/>
    <x v="0"/>
    <x v="77"/>
    <n v="3005"/>
    <x v="297"/>
    <n v="0"/>
    <x v="0"/>
    <s v="B 08"/>
    <n v="1"/>
    <n v="447"/>
    <x v="1084"/>
    <s v="Annual"/>
    <n v="1"/>
    <n v="1"/>
    <n v="44496"/>
    <n v="44496"/>
  </r>
  <r>
    <x v="0"/>
    <n v="91"/>
    <x v="36"/>
    <x v="5"/>
    <x v="5"/>
    <n v="1005"/>
    <x v="56"/>
    <x v="0"/>
    <x v="77"/>
    <n v="3005"/>
    <x v="297"/>
    <n v="0"/>
    <x v="0"/>
    <s v="B 12"/>
    <n v="1"/>
    <s v="03A8"/>
    <x v="88"/>
    <s v="Annual"/>
    <n v="3"/>
    <n v="1"/>
    <n v="108576"/>
    <n v="325728"/>
  </r>
  <r>
    <x v="0"/>
    <n v="91"/>
    <x v="36"/>
    <x v="5"/>
    <x v="5"/>
    <n v="1005"/>
    <x v="56"/>
    <x v="0"/>
    <x v="77"/>
    <n v="3005"/>
    <x v="297"/>
    <n v="0"/>
    <x v="0"/>
    <s v="B 12"/>
    <n v="1"/>
    <s v="03A8"/>
    <x v="88"/>
    <s v="Annual"/>
    <n v="1"/>
    <n v="1"/>
    <n v="62544"/>
    <n v="62544"/>
  </r>
  <r>
    <x v="0"/>
    <n v="91"/>
    <x v="36"/>
    <x v="5"/>
    <x v="5"/>
    <n v="1005"/>
    <x v="56"/>
    <x v="0"/>
    <x v="77"/>
    <n v="3005"/>
    <x v="297"/>
    <n v="0"/>
    <x v="0"/>
    <s v="B 10"/>
    <n v="1"/>
    <s v="03A7"/>
    <x v="4"/>
    <s v="Annual"/>
    <n v="1"/>
    <n v="1"/>
    <n v="71436"/>
    <n v="71436"/>
  </r>
  <r>
    <x v="0"/>
    <n v="91"/>
    <x v="36"/>
    <x v="5"/>
    <x v="5"/>
    <n v="1005"/>
    <x v="56"/>
    <x v="0"/>
    <x v="77"/>
    <n v="3005"/>
    <x v="297"/>
    <n v="0"/>
    <x v="0"/>
    <s v="B 10"/>
    <n v="1"/>
    <s v="03A7"/>
    <x v="4"/>
    <s v="Annual"/>
    <n v="1"/>
    <n v="1"/>
    <n v="56124"/>
    <n v="56124"/>
  </r>
  <r>
    <x v="0"/>
    <n v="91"/>
    <x v="36"/>
    <x v="5"/>
    <x v="5"/>
    <n v="1005"/>
    <x v="56"/>
    <x v="0"/>
    <x v="77"/>
    <n v="3005"/>
    <x v="297"/>
    <n v="0"/>
    <x v="0"/>
    <s v="B 10"/>
    <n v="1"/>
    <s v="03A7"/>
    <x v="4"/>
    <s v="Annual"/>
    <n v="1"/>
    <n v="1"/>
    <n v="53532"/>
    <n v="53532"/>
  </r>
  <r>
    <x v="0"/>
    <n v="91"/>
    <x v="36"/>
    <x v="5"/>
    <x v="5"/>
    <n v="1005"/>
    <x v="56"/>
    <x v="0"/>
    <x v="77"/>
    <n v="3005"/>
    <x v="297"/>
    <n v="0"/>
    <x v="0"/>
    <s v="X 33"/>
    <n v="9"/>
    <n v="313"/>
    <x v="220"/>
    <s v="Annual"/>
    <n v="1"/>
    <n v="1"/>
    <n v="146808"/>
    <n v="146808"/>
  </r>
  <r>
    <x v="0"/>
    <n v="91"/>
    <x v="36"/>
    <x v="5"/>
    <x v="5"/>
    <n v="1005"/>
    <x v="56"/>
    <x v="0"/>
    <x v="77"/>
    <n v="3005"/>
    <x v="297"/>
    <n v="0"/>
    <x v="0"/>
    <s v="X 33"/>
    <n v="9"/>
    <n v="313"/>
    <x v="220"/>
    <s v="Annual"/>
    <n v="1"/>
    <n v="1"/>
    <n v="137532"/>
    <n v="137532"/>
  </r>
  <r>
    <x v="0"/>
    <n v="91"/>
    <x v="36"/>
    <x v="5"/>
    <x v="5"/>
    <n v="1005"/>
    <x v="56"/>
    <x v="0"/>
    <x v="77"/>
    <n v="3005"/>
    <x v="297"/>
    <n v="0"/>
    <x v="0"/>
    <s v="B 13"/>
    <n v="1"/>
    <n v="308"/>
    <x v="90"/>
    <s v="Annual"/>
    <n v="3"/>
    <n v="1"/>
    <n v="119100"/>
    <n v="357300"/>
  </r>
  <r>
    <x v="0"/>
    <n v="91"/>
    <x v="36"/>
    <x v="5"/>
    <x v="5"/>
    <n v="1005"/>
    <x v="56"/>
    <x v="0"/>
    <x v="77"/>
    <n v="3005"/>
    <x v="297"/>
    <n v="0"/>
    <x v="0"/>
    <s v="X 33"/>
    <n v="0"/>
    <n v="118"/>
    <x v="92"/>
    <s v="Annual"/>
    <n v="1"/>
    <n v="1"/>
    <n v="153384"/>
    <n v="153384"/>
  </r>
  <r>
    <x v="0"/>
    <n v="91"/>
    <x v="36"/>
    <x v="5"/>
    <x v="5"/>
    <n v="1005"/>
    <x v="56"/>
    <x v="0"/>
    <x v="77"/>
    <n v="3005"/>
    <x v="297"/>
    <n v="0"/>
    <x v="0"/>
    <s v="B 13"/>
    <n v="4"/>
    <n v="110"/>
    <x v="93"/>
    <s v="Annual"/>
    <n v="3"/>
    <n v="1"/>
    <n v="119100"/>
    <n v="357300"/>
  </r>
  <r>
    <x v="0"/>
    <n v="91"/>
    <x v="36"/>
    <x v="5"/>
    <x v="5"/>
    <n v="1005"/>
    <x v="56"/>
    <x v="0"/>
    <x v="77"/>
    <n v="3005"/>
    <x v="297"/>
    <n v="0"/>
    <x v="0"/>
    <s v="B 11"/>
    <n v="1"/>
    <n v="109"/>
    <x v="94"/>
    <s v="Annual"/>
    <n v="2"/>
    <n v="1"/>
    <n v="98928"/>
    <n v="197856"/>
  </r>
  <r>
    <x v="0"/>
    <n v="91"/>
    <x v="36"/>
    <x v="5"/>
    <x v="5"/>
    <n v="1005"/>
    <x v="56"/>
    <x v="0"/>
    <x v="77"/>
    <n v="3005"/>
    <x v="297"/>
    <n v="0"/>
    <x v="0"/>
    <s v="B 12"/>
    <n v="4"/>
    <n v="101"/>
    <x v="931"/>
    <s v="Annual"/>
    <n v="1"/>
    <n v="1"/>
    <n v="108576"/>
    <n v="108576"/>
  </r>
  <r>
    <x v="0"/>
    <n v="91"/>
    <x v="36"/>
    <x v="5"/>
    <x v="5"/>
    <n v="1005"/>
    <x v="56"/>
    <x v="0"/>
    <x v="77"/>
    <n v="3005"/>
    <x v="297"/>
    <n v="0"/>
    <x v="0"/>
    <s v="1 00"/>
    <n v="0"/>
    <n v="15"/>
    <x v="37"/>
    <s v="Annual"/>
    <n v="0"/>
    <n v="0"/>
    <n v="81598"/>
    <n v="81598"/>
  </r>
  <r>
    <x v="0"/>
    <n v="91"/>
    <x v="36"/>
    <x v="5"/>
    <x v="5"/>
    <n v="1005"/>
    <x v="56"/>
    <x v="0"/>
    <x v="77"/>
    <n v="3010"/>
    <x v="298"/>
    <n v="0"/>
    <x v="0"/>
    <s v="GY 09"/>
    <n v="20"/>
    <n v="1325"/>
    <x v="1085"/>
    <s v="Annual"/>
    <n v="1"/>
    <n v="1"/>
    <n v="101628"/>
    <n v="101628"/>
  </r>
  <r>
    <x v="0"/>
    <n v="91"/>
    <x v="36"/>
    <x v="5"/>
    <x v="5"/>
    <n v="1005"/>
    <x v="56"/>
    <x v="0"/>
    <x v="77"/>
    <n v="3010"/>
    <x v="298"/>
    <n v="0"/>
    <x v="0"/>
    <s v="GY 11"/>
    <n v="10"/>
    <n v="1130"/>
    <x v="400"/>
    <s v="Annual"/>
    <n v="1"/>
    <n v="1"/>
    <n v="111000"/>
    <n v="111000"/>
  </r>
  <r>
    <x v="0"/>
    <n v="91"/>
    <x v="36"/>
    <x v="5"/>
    <x v="5"/>
    <n v="1005"/>
    <x v="56"/>
    <x v="0"/>
    <x v="77"/>
    <n v="3010"/>
    <x v="298"/>
    <n v="0"/>
    <x v="0"/>
    <s v="B 13"/>
    <n v="4"/>
    <n v="950"/>
    <x v="1086"/>
    <s v="Annual"/>
    <n v="1"/>
    <n v="1"/>
    <n v="74172"/>
    <n v="74172"/>
  </r>
  <r>
    <x v="0"/>
    <n v="91"/>
    <x v="36"/>
    <x v="5"/>
    <x v="5"/>
    <n v="1005"/>
    <x v="56"/>
    <x v="0"/>
    <x v="77"/>
    <n v="3010"/>
    <x v="298"/>
    <n v="0"/>
    <x v="0"/>
    <s v="BX 11"/>
    <n v="10"/>
    <n v="840"/>
    <x v="1087"/>
    <s v="Annual"/>
    <n v="1"/>
    <n v="1"/>
    <n v="80916"/>
    <n v="80916"/>
  </r>
  <r>
    <x v="0"/>
    <n v="91"/>
    <x v="36"/>
    <x v="5"/>
    <x v="5"/>
    <n v="1005"/>
    <x v="56"/>
    <x v="0"/>
    <x v="77"/>
    <n v="3010"/>
    <x v="298"/>
    <n v="0"/>
    <x v="0"/>
    <s v="B 15"/>
    <n v="1"/>
    <n v="729"/>
    <x v="32"/>
    <s v="Annual"/>
    <n v="1"/>
    <n v="1"/>
    <n v="89244"/>
    <n v="89244"/>
  </r>
  <r>
    <x v="0"/>
    <n v="91"/>
    <x v="36"/>
    <x v="5"/>
    <x v="5"/>
    <n v="1005"/>
    <x v="56"/>
    <x v="0"/>
    <x v="77"/>
    <n v="3010"/>
    <x v="298"/>
    <n v="0"/>
    <x v="0"/>
    <s v="G 07"/>
    <n v="5"/>
    <n v="579"/>
    <x v="1079"/>
    <s v="Annual"/>
    <n v="59"/>
    <n v="1"/>
    <n v="129636"/>
    <n v="7648524"/>
  </r>
  <r>
    <x v="0"/>
    <n v="91"/>
    <x v="36"/>
    <x v="5"/>
    <x v="5"/>
    <n v="1005"/>
    <x v="56"/>
    <x v="0"/>
    <x v="77"/>
    <n v="3010"/>
    <x v="298"/>
    <n v="0"/>
    <x v="0"/>
    <s v="G 07"/>
    <n v="5"/>
    <n v="579"/>
    <x v="1079"/>
    <s v="Annual"/>
    <n v="4"/>
    <n v="1"/>
    <n v="122928"/>
    <n v="491712"/>
  </r>
  <r>
    <x v="0"/>
    <n v="91"/>
    <x v="36"/>
    <x v="5"/>
    <x v="5"/>
    <n v="1005"/>
    <x v="56"/>
    <x v="0"/>
    <x v="77"/>
    <n v="3010"/>
    <x v="298"/>
    <n v="0"/>
    <x v="0"/>
    <s v="G 07"/>
    <n v="5"/>
    <n v="579"/>
    <x v="1079"/>
    <s v="Annual"/>
    <n v="3"/>
    <n v="1"/>
    <n v="117636"/>
    <n v="352908"/>
  </r>
  <r>
    <x v="0"/>
    <n v="91"/>
    <x v="36"/>
    <x v="5"/>
    <x v="5"/>
    <n v="1005"/>
    <x v="56"/>
    <x v="0"/>
    <x v="77"/>
    <n v="3010"/>
    <x v="298"/>
    <n v="0"/>
    <x v="0"/>
    <s v="G 07"/>
    <n v="5"/>
    <n v="579"/>
    <x v="1079"/>
    <s v="Annual"/>
    <n v="2"/>
    <n v="1"/>
    <n v="112536"/>
    <n v="225072"/>
  </r>
  <r>
    <x v="0"/>
    <n v="91"/>
    <x v="36"/>
    <x v="5"/>
    <x v="5"/>
    <n v="1005"/>
    <x v="56"/>
    <x v="0"/>
    <x v="77"/>
    <n v="3010"/>
    <x v="298"/>
    <n v="0"/>
    <x v="0"/>
    <s v="G 07"/>
    <n v="5"/>
    <n v="579"/>
    <x v="1079"/>
    <s v="Annual"/>
    <n v="5"/>
    <n v="1"/>
    <n v="107628"/>
    <n v="538140"/>
  </r>
  <r>
    <x v="0"/>
    <n v="91"/>
    <x v="36"/>
    <x v="5"/>
    <x v="5"/>
    <n v="1005"/>
    <x v="56"/>
    <x v="0"/>
    <x v="77"/>
    <n v="3010"/>
    <x v="298"/>
    <n v="0"/>
    <x v="0"/>
    <s v="G 07"/>
    <n v="5"/>
    <n v="579"/>
    <x v="1079"/>
    <s v="Annual"/>
    <n v="9"/>
    <n v="1"/>
    <n v="102516"/>
    <n v="922644"/>
  </r>
  <r>
    <x v="0"/>
    <n v="91"/>
    <x v="36"/>
    <x v="5"/>
    <x v="5"/>
    <n v="1005"/>
    <x v="56"/>
    <x v="0"/>
    <x v="77"/>
    <n v="3010"/>
    <x v="298"/>
    <n v="0"/>
    <x v="0"/>
    <s v="G 07"/>
    <n v="5"/>
    <n v="579"/>
    <x v="1079"/>
    <s v="Annual"/>
    <n v="2"/>
    <n v="1"/>
    <n v="92940"/>
    <n v="185880"/>
  </r>
  <r>
    <x v="0"/>
    <n v="91"/>
    <x v="36"/>
    <x v="5"/>
    <x v="5"/>
    <n v="1005"/>
    <x v="56"/>
    <x v="0"/>
    <x v="77"/>
    <n v="3010"/>
    <x v="298"/>
    <n v="0"/>
    <x v="0"/>
    <s v="G 07"/>
    <n v="5"/>
    <n v="579"/>
    <x v="1079"/>
    <s v="Annual"/>
    <n v="1"/>
    <n v="1"/>
    <n v="90144"/>
    <n v="90144"/>
  </r>
  <r>
    <x v="0"/>
    <n v="91"/>
    <x v="36"/>
    <x v="5"/>
    <x v="5"/>
    <n v="1005"/>
    <x v="56"/>
    <x v="0"/>
    <x v="77"/>
    <n v="3010"/>
    <x v="298"/>
    <n v="0"/>
    <x v="0"/>
    <s v="G 07"/>
    <n v="4"/>
    <n v="576"/>
    <x v="1088"/>
    <s v="Annual"/>
    <n v="1"/>
    <n v="1"/>
    <n v="102516"/>
    <n v="102516"/>
  </r>
  <r>
    <x v="0"/>
    <n v="91"/>
    <x v="36"/>
    <x v="5"/>
    <x v="5"/>
    <n v="1005"/>
    <x v="56"/>
    <x v="0"/>
    <x v="77"/>
    <n v="3010"/>
    <x v="298"/>
    <n v="0"/>
    <x v="0"/>
    <s v="G 03"/>
    <n v="5"/>
    <n v="575"/>
    <x v="1089"/>
    <s v="Hourly"/>
    <n v="66804"/>
    <n v="0"/>
    <n v="32.299999999999997"/>
    <n v="2157769"/>
  </r>
  <r>
    <x v="0"/>
    <n v="91"/>
    <x v="36"/>
    <x v="5"/>
    <x v="5"/>
    <n v="1005"/>
    <x v="56"/>
    <x v="0"/>
    <x v="77"/>
    <n v="3010"/>
    <x v="298"/>
    <n v="0"/>
    <x v="0"/>
    <s v="G 06"/>
    <n v="5"/>
    <n v="574"/>
    <x v="1090"/>
    <s v="Annual"/>
    <n v="38"/>
    <n v="1"/>
    <n v="118836"/>
    <n v="4515768"/>
  </r>
  <r>
    <x v="0"/>
    <n v="91"/>
    <x v="36"/>
    <x v="5"/>
    <x v="5"/>
    <n v="1005"/>
    <x v="56"/>
    <x v="0"/>
    <x v="77"/>
    <n v="3010"/>
    <x v="298"/>
    <n v="0"/>
    <x v="0"/>
    <s v="G 06"/>
    <n v="5"/>
    <n v="574"/>
    <x v="1090"/>
    <s v="Annual"/>
    <n v="3"/>
    <n v="1"/>
    <n v="112536"/>
    <n v="337608"/>
  </r>
  <r>
    <x v="0"/>
    <n v="91"/>
    <x v="36"/>
    <x v="5"/>
    <x v="5"/>
    <n v="1005"/>
    <x v="56"/>
    <x v="0"/>
    <x v="77"/>
    <n v="3010"/>
    <x v="298"/>
    <n v="0"/>
    <x v="0"/>
    <s v="G 06"/>
    <n v="5"/>
    <n v="574"/>
    <x v="1090"/>
    <s v="Annual"/>
    <n v="9"/>
    <n v="1"/>
    <n v="107628"/>
    <n v="968652"/>
  </r>
  <r>
    <x v="0"/>
    <n v="91"/>
    <x v="36"/>
    <x v="5"/>
    <x v="5"/>
    <n v="1005"/>
    <x v="56"/>
    <x v="0"/>
    <x v="77"/>
    <n v="3010"/>
    <x v="298"/>
    <n v="0"/>
    <x v="0"/>
    <s v="G 06"/>
    <n v="5"/>
    <n v="574"/>
    <x v="1090"/>
    <s v="Annual"/>
    <n v="4"/>
    <n v="1"/>
    <n v="102516"/>
    <n v="410064"/>
  </r>
  <r>
    <x v="0"/>
    <n v="91"/>
    <x v="36"/>
    <x v="5"/>
    <x v="5"/>
    <n v="1005"/>
    <x v="56"/>
    <x v="0"/>
    <x v="77"/>
    <n v="3010"/>
    <x v="298"/>
    <n v="0"/>
    <x v="0"/>
    <s v="G 06"/>
    <n v="5"/>
    <n v="574"/>
    <x v="1090"/>
    <s v="Annual"/>
    <n v="8"/>
    <n v="1"/>
    <n v="97488"/>
    <n v="779904"/>
  </r>
  <r>
    <x v="0"/>
    <n v="91"/>
    <x v="36"/>
    <x v="5"/>
    <x v="5"/>
    <n v="1005"/>
    <x v="56"/>
    <x v="0"/>
    <x v="77"/>
    <n v="3010"/>
    <x v="298"/>
    <n v="0"/>
    <x v="0"/>
    <s v="G 06"/>
    <n v="5"/>
    <n v="574"/>
    <x v="1090"/>
    <s v="Annual"/>
    <n v="9"/>
    <n v="1"/>
    <n v="92940"/>
    <n v="836460"/>
  </r>
  <r>
    <x v="0"/>
    <n v="91"/>
    <x v="36"/>
    <x v="5"/>
    <x v="5"/>
    <n v="1005"/>
    <x v="56"/>
    <x v="0"/>
    <x v="77"/>
    <n v="3010"/>
    <x v="298"/>
    <n v="0"/>
    <x v="0"/>
    <s v="G 06"/>
    <n v="5"/>
    <n v="574"/>
    <x v="1090"/>
    <s v="Annual"/>
    <n v="3"/>
    <n v="1"/>
    <n v="88524"/>
    <n v="265572"/>
  </r>
  <r>
    <x v="0"/>
    <n v="91"/>
    <x v="36"/>
    <x v="5"/>
    <x v="5"/>
    <n v="1005"/>
    <x v="56"/>
    <x v="0"/>
    <x v="77"/>
    <n v="3010"/>
    <x v="298"/>
    <n v="0"/>
    <x v="0"/>
    <s v="G 06"/>
    <n v="5"/>
    <n v="574"/>
    <x v="1090"/>
    <s v="Annual"/>
    <n v="3"/>
    <n v="1"/>
    <n v="84192"/>
    <n v="252576"/>
  </r>
  <r>
    <x v="0"/>
    <n v="91"/>
    <x v="36"/>
    <x v="5"/>
    <x v="5"/>
    <n v="1005"/>
    <x v="56"/>
    <x v="0"/>
    <x v="77"/>
    <n v="3010"/>
    <x v="298"/>
    <n v="0"/>
    <x v="0"/>
    <s v="G 06"/>
    <n v="5"/>
    <n v="574"/>
    <x v="1090"/>
    <s v="Annual"/>
    <n v="5"/>
    <n v="1"/>
    <n v="81636"/>
    <n v="408180"/>
  </r>
  <r>
    <x v="0"/>
    <n v="91"/>
    <x v="36"/>
    <x v="5"/>
    <x v="5"/>
    <n v="1005"/>
    <x v="56"/>
    <x v="0"/>
    <x v="77"/>
    <n v="3010"/>
    <x v="298"/>
    <n v="0"/>
    <x v="0"/>
    <s v="G 03"/>
    <n v="5"/>
    <n v="573"/>
    <x v="1091"/>
    <s v="Annual"/>
    <n v="7"/>
    <n v="1"/>
    <n v="89412"/>
    <n v="625884"/>
  </r>
  <r>
    <x v="0"/>
    <n v="91"/>
    <x v="36"/>
    <x v="5"/>
    <x v="5"/>
    <n v="1005"/>
    <x v="56"/>
    <x v="0"/>
    <x v="77"/>
    <n v="3010"/>
    <x v="298"/>
    <n v="0"/>
    <x v="0"/>
    <s v="G 03"/>
    <n v="5"/>
    <n v="573"/>
    <x v="1091"/>
    <s v="Annual"/>
    <n v="1"/>
    <n v="1"/>
    <n v="84192"/>
    <n v="84192"/>
  </r>
  <r>
    <x v="0"/>
    <n v="91"/>
    <x v="36"/>
    <x v="5"/>
    <x v="5"/>
    <n v="1005"/>
    <x v="56"/>
    <x v="0"/>
    <x v="77"/>
    <n v="3010"/>
    <x v="298"/>
    <n v="0"/>
    <x v="0"/>
    <s v="G 03"/>
    <n v="5"/>
    <n v="573"/>
    <x v="1091"/>
    <s v="Annual"/>
    <n v="1"/>
    <n v="1"/>
    <n v="80196"/>
    <n v="80196"/>
  </r>
  <r>
    <x v="0"/>
    <n v="91"/>
    <x v="36"/>
    <x v="5"/>
    <x v="5"/>
    <n v="1005"/>
    <x v="56"/>
    <x v="0"/>
    <x v="77"/>
    <n v="3010"/>
    <x v="298"/>
    <n v="0"/>
    <x v="0"/>
    <s v="G 03"/>
    <n v="5"/>
    <n v="573"/>
    <x v="1091"/>
    <s v="Annual"/>
    <n v="4"/>
    <n v="1"/>
    <n v="76464"/>
    <n v="305856"/>
  </r>
  <r>
    <x v="0"/>
    <n v="91"/>
    <x v="36"/>
    <x v="5"/>
    <x v="5"/>
    <n v="1005"/>
    <x v="56"/>
    <x v="0"/>
    <x v="77"/>
    <n v="3010"/>
    <x v="298"/>
    <n v="0"/>
    <x v="0"/>
    <s v="G 03"/>
    <n v="5"/>
    <n v="573"/>
    <x v="1091"/>
    <s v="Annual"/>
    <n v="2"/>
    <n v="1"/>
    <n v="72684"/>
    <n v="145368"/>
  </r>
  <r>
    <x v="0"/>
    <n v="91"/>
    <x v="36"/>
    <x v="5"/>
    <x v="5"/>
    <n v="1005"/>
    <x v="56"/>
    <x v="0"/>
    <x v="77"/>
    <n v="3010"/>
    <x v="298"/>
    <n v="0"/>
    <x v="0"/>
    <s v="G 03"/>
    <n v="5"/>
    <n v="573"/>
    <x v="1091"/>
    <s v="Annual"/>
    <n v="5"/>
    <n v="1"/>
    <n v="69396"/>
    <n v="346980"/>
  </r>
  <r>
    <x v="0"/>
    <n v="91"/>
    <x v="36"/>
    <x v="5"/>
    <x v="5"/>
    <n v="1005"/>
    <x v="56"/>
    <x v="0"/>
    <x v="77"/>
    <n v="3010"/>
    <x v="298"/>
    <n v="0"/>
    <x v="0"/>
    <s v="G 03"/>
    <n v="5"/>
    <n v="573"/>
    <x v="1091"/>
    <s v="Annual"/>
    <n v="2"/>
    <n v="1"/>
    <n v="65928"/>
    <n v="131856"/>
  </r>
  <r>
    <x v="0"/>
    <n v="91"/>
    <x v="36"/>
    <x v="5"/>
    <x v="5"/>
    <n v="1005"/>
    <x v="56"/>
    <x v="0"/>
    <x v="77"/>
    <n v="3010"/>
    <x v="298"/>
    <n v="0"/>
    <x v="0"/>
    <s v="G 03"/>
    <n v="5"/>
    <n v="573"/>
    <x v="1091"/>
    <s v="Annual"/>
    <n v="5"/>
    <n v="1"/>
    <n v="62976"/>
    <n v="314880"/>
  </r>
  <r>
    <x v="0"/>
    <n v="91"/>
    <x v="36"/>
    <x v="5"/>
    <x v="5"/>
    <n v="1005"/>
    <x v="56"/>
    <x v="0"/>
    <x v="77"/>
    <n v="3010"/>
    <x v="298"/>
    <n v="0"/>
    <x v="0"/>
    <s v="G 03"/>
    <n v="5"/>
    <n v="573"/>
    <x v="1091"/>
    <s v="Annual"/>
    <n v="1"/>
    <n v="1"/>
    <n v="61092"/>
    <n v="61092"/>
  </r>
  <r>
    <x v="0"/>
    <n v="91"/>
    <x v="36"/>
    <x v="5"/>
    <x v="5"/>
    <n v="1005"/>
    <x v="56"/>
    <x v="0"/>
    <x v="77"/>
    <n v="3010"/>
    <x v="298"/>
    <n v="0"/>
    <x v="0"/>
    <s v="4 00"/>
    <n v="5"/>
    <n v="539"/>
    <x v="1092"/>
    <s v="Hourly"/>
    <n v="195975"/>
    <n v="0"/>
    <n v="15.4"/>
    <n v="3018015"/>
  </r>
  <r>
    <x v="0"/>
    <n v="91"/>
    <x v="36"/>
    <x v="5"/>
    <x v="5"/>
    <n v="1005"/>
    <x v="56"/>
    <x v="0"/>
    <x v="77"/>
    <n v="3010"/>
    <x v="298"/>
    <n v="0"/>
    <x v="0"/>
    <s v="GY 10"/>
    <n v="20"/>
    <n v="511"/>
    <x v="1082"/>
    <s v="Annual"/>
    <n v="2"/>
    <n v="1"/>
    <n v="130476"/>
    <n v="260952"/>
  </r>
  <r>
    <x v="0"/>
    <n v="91"/>
    <x v="36"/>
    <x v="5"/>
    <x v="5"/>
    <n v="1005"/>
    <x v="56"/>
    <x v="0"/>
    <x v="77"/>
    <n v="3010"/>
    <x v="298"/>
    <n v="0"/>
    <x v="0"/>
    <s v="GY 10"/>
    <n v="20"/>
    <n v="511"/>
    <x v="1082"/>
    <s v="Annual"/>
    <n v="3"/>
    <n v="1"/>
    <n v="121320"/>
    <n v="363960"/>
  </r>
  <r>
    <x v="0"/>
    <n v="91"/>
    <x v="36"/>
    <x v="5"/>
    <x v="5"/>
    <n v="1005"/>
    <x v="56"/>
    <x v="0"/>
    <x v="77"/>
    <n v="3010"/>
    <x v="298"/>
    <n v="0"/>
    <x v="0"/>
    <s v="GY 10"/>
    <n v="20"/>
    <n v="511"/>
    <x v="1082"/>
    <s v="Annual"/>
    <n v="1"/>
    <n v="1"/>
    <n v="111000"/>
    <n v="111000"/>
  </r>
  <r>
    <x v="0"/>
    <n v="91"/>
    <x v="36"/>
    <x v="5"/>
    <x v="5"/>
    <n v="1005"/>
    <x v="56"/>
    <x v="0"/>
    <x v="77"/>
    <n v="3010"/>
    <x v="298"/>
    <n v="0"/>
    <x v="0"/>
    <s v="GY 10"/>
    <n v="20"/>
    <n v="511"/>
    <x v="1082"/>
    <s v="Annual"/>
    <n v="1"/>
    <n v="1"/>
    <n v="106272"/>
    <n v="106272"/>
  </r>
  <r>
    <x v="0"/>
    <n v="91"/>
    <x v="36"/>
    <x v="5"/>
    <x v="5"/>
    <n v="1005"/>
    <x v="56"/>
    <x v="0"/>
    <x v="77"/>
    <n v="3010"/>
    <x v="298"/>
    <n v="0"/>
    <x v="0"/>
    <s v="GY 10"/>
    <n v="20"/>
    <n v="511"/>
    <x v="1082"/>
    <s v="Annual"/>
    <n v="1"/>
    <n v="1"/>
    <n v="97332"/>
    <n v="97332"/>
  </r>
  <r>
    <x v="0"/>
    <n v="91"/>
    <x v="36"/>
    <x v="5"/>
    <x v="5"/>
    <n v="1005"/>
    <x v="56"/>
    <x v="0"/>
    <x v="77"/>
    <n v="3010"/>
    <x v="298"/>
    <n v="0"/>
    <x v="0"/>
    <s v="GY 11"/>
    <n v="20"/>
    <n v="510"/>
    <x v="1083"/>
    <s v="Annual"/>
    <n v="2"/>
    <n v="1"/>
    <n v="141132"/>
    <n v="282264"/>
  </r>
  <r>
    <x v="0"/>
    <n v="91"/>
    <x v="36"/>
    <x v="5"/>
    <x v="5"/>
    <n v="1005"/>
    <x v="56"/>
    <x v="0"/>
    <x v="77"/>
    <n v="3010"/>
    <x v="298"/>
    <n v="0"/>
    <x v="0"/>
    <s v="GY 11"/>
    <n v="20"/>
    <n v="510"/>
    <x v="1083"/>
    <s v="Annual"/>
    <n v="1"/>
    <n v="1"/>
    <n v="126756"/>
    <n v="126756"/>
  </r>
  <r>
    <x v="0"/>
    <n v="91"/>
    <x v="36"/>
    <x v="5"/>
    <x v="5"/>
    <n v="1005"/>
    <x v="56"/>
    <x v="0"/>
    <x v="77"/>
    <n v="3010"/>
    <x v="298"/>
    <n v="0"/>
    <x v="0"/>
    <s v="GY 11"/>
    <n v="20"/>
    <n v="510"/>
    <x v="1083"/>
    <s v="Annual"/>
    <n v="1"/>
    <n v="1"/>
    <n v="115992"/>
    <n v="115992"/>
  </r>
  <r>
    <x v="0"/>
    <n v="91"/>
    <x v="36"/>
    <x v="5"/>
    <x v="5"/>
    <n v="1005"/>
    <x v="56"/>
    <x v="0"/>
    <x v="77"/>
    <n v="3010"/>
    <x v="298"/>
    <n v="0"/>
    <x v="0"/>
    <s v="GY 11"/>
    <n v="20"/>
    <n v="510"/>
    <x v="1083"/>
    <s v="Annual"/>
    <n v="1"/>
    <n v="1"/>
    <n v="106272"/>
    <n v="106272"/>
  </r>
  <r>
    <x v="0"/>
    <n v="91"/>
    <x v="36"/>
    <x v="5"/>
    <x v="5"/>
    <n v="1005"/>
    <x v="56"/>
    <x v="0"/>
    <x v="77"/>
    <n v="3010"/>
    <x v="298"/>
    <n v="0"/>
    <x v="0"/>
    <s v="G 05"/>
    <n v="5"/>
    <n v="507"/>
    <x v="1093"/>
    <s v="Annual"/>
    <n v="1"/>
    <n v="1"/>
    <n v="108708"/>
    <n v="108708"/>
  </r>
  <r>
    <x v="0"/>
    <n v="91"/>
    <x v="36"/>
    <x v="5"/>
    <x v="5"/>
    <n v="1005"/>
    <x v="56"/>
    <x v="0"/>
    <x v="77"/>
    <n v="3010"/>
    <x v="298"/>
    <n v="0"/>
    <x v="0"/>
    <s v="G 05"/>
    <n v="5"/>
    <n v="506"/>
    <x v="1094"/>
    <s v="Annual"/>
    <n v="32"/>
    <n v="1"/>
    <n v="108708"/>
    <n v="3478656"/>
  </r>
  <r>
    <x v="0"/>
    <n v="91"/>
    <x v="36"/>
    <x v="5"/>
    <x v="5"/>
    <n v="1005"/>
    <x v="56"/>
    <x v="0"/>
    <x v="77"/>
    <n v="3010"/>
    <x v="298"/>
    <n v="0"/>
    <x v="0"/>
    <s v="G 05"/>
    <n v="5"/>
    <n v="506"/>
    <x v="1094"/>
    <s v="Annual"/>
    <n v="7"/>
    <n v="1"/>
    <n v="102516"/>
    <n v="717612"/>
  </r>
  <r>
    <x v="0"/>
    <n v="91"/>
    <x v="36"/>
    <x v="5"/>
    <x v="5"/>
    <n v="1005"/>
    <x v="56"/>
    <x v="0"/>
    <x v="77"/>
    <n v="3010"/>
    <x v="298"/>
    <n v="0"/>
    <x v="0"/>
    <s v="G 05"/>
    <n v="5"/>
    <n v="506"/>
    <x v="1094"/>
    <s v="Annual"/>
    <n v="7"/>
    <n v="1"/>
    <n v="97488"/>
    <n v="682416"/>
  </r>
  <r>
    <x v="0"/>
    <n v="91"/>
    <x v="36"/>
    <x v="5"/>
    <x v="5"/>
    <n v="1005"/>
    <x v="56"/>
    <x v="0"/>
    <x v="77"/>
    <n v="3010"/>
    <x v="298"/>
    <n v="0"/>
    <x v="0"/>
    <s v="G 05"/>
    <n v="5"/>
    <n v="506"/>
    <x v="1094"/>
    <s v="Annual"/>
    <n v="1"/>
    <n v="1"/>
    <n v="92940"/>
    <n v="92940"/>
  </r>
  <r>
    <x v="0"/>
    <n v="91"/>
    <x v="36"/>
    <x v="5"/>
    <x v="5"/>
    <n v="1005"/>
    <x v="56"/>
    <x v="0"/>
    <x v="77"/>
    <n v="3010"/>
    <x v="298"/>
    <n v="0"/>
    <x v="0"/>
    <s v="G 05"/>
    <n v="5"/>
    <n v="506"/>
    <x v="1094"/>
    <s v="Annual"/>
    <n v="5"/>
    <n v="1"/>
    <n v="88524"/>
    <n v="442620"/>
  </r>
  <r>
    <x v="0"/>
    <n v="91"/>
    <x v="36"/>
    <x v="5"/>
    <x v="5"/>
    <n v="1005"/>
    <x v="56"/>
    <x v="0"/>
    <x v="77"/>
    <n v="3010"/>
    <x v="298"/>
    <n v="0"/>
    <x v="0"/>
    <s v="G 05"/>
    <n v="5"/>
    <n v="506"/>
    <x v="1094"/>
    <s v="Annual"/>
    <n v="9"/>
    <n v="1"/>
    <n v="84192"/>
    <n v="757728"/>
  </r>
  <r>
    <x v="0"/>
    <n v="91"/>
    <x v="36"/>
    <x v="5"/>
    <x v="5"/>
    <n v="1005"/>
    <x v="56"/>
    <x v="0"/>
    <x v="77"/>
    <n v="3010"/>
    <x v="298"/>
    <n v="0"/>
    <x v="0"/>
    <s v="G 05"/>
    <n v="5"/>
    <n v="506"/>
    <x v="1094"/>
    <s v="Annual"/>
    <n v="6"/>
    <n v="1"/>
    <n v="80196"/>
    <n v="481176"/>
  </r>
  <r>
    <x v="0"/>
    <n v="91"/>
    <x v="36"/>
    <x v="5"/>
    <x v="5"/>
    <n v="1005"/>
    <x v="56"/>
    <x v="0"/>
    <x v="77"/>
    <n v="3010"/>
    <x v="298"/>
    <n v="0"/>
    <x v="0"/>
    <s v="G 05"/>
    <n v="5"/>
    <n v="506"/>
    <x v="1094"/>
    <s v="Annual"/>
    <n v="1"/>
    <n v="1"/>
    <n v="76464"/>
    <n v="76464"/>
  </r>
  <r>
    <x v="0"/>
    <n v="91"/>
    <x v="36"/>
    <x v="5"/>
    <x v="5"/>
    <n v="1005"/>
    <x v="56"/>
    <x v="0"/>
    <x v="77"/>
    <n v="3010"/>
    <x v="298"/>
    <n v="0"/>
    <x v="0"/>
    <s v="G 04"/>
    <n v="5"/>
    <n v="503"/>
    <x v="1095"/>
    <s v="Hourly"/>
    <n v="2080"/>
    <n v="0"/>
    <n v="35.58"/>
    <n v="74006"/>
  </r>
  <r>
    <x v="0"/>
    <n v="91"/>
    <x v="36"/>
    <x v="5"/>
    <x v="5"/>
    <n v="1005"/>
    <x v="56"/>
    <x v="0"/>
    <x v="77"/>
    <n v="3010"/>
    <x v="298"/>
    <n v="0"/>
    <x v="0"/>
    <s v="G 04"/>
    <n v="5"/>
    <n v="502"/>
    <x v="236"/>
    <s v="Annual"/>
    <n v="1"/>
    <n v="1"/>
    <n v="88524"/>
    <n v="88524"/>
  </r>
  <r>
    <x v="0"/>
    <n v="91"/>
    <x v="36"/>
    <x v="5"/>
    <x v="5"/>
    <n v="1005"/>
    <x v="56"/>
    <x v="0"/>
    <x v="77"/>
    <n v="3010"/>
    <x v="298"/>
    <n v="0"/>
    <x v="0"/>
    <s v="G 04"/>
    <n v="5"/>
    <n v="502"/>
    <x v="236"/>
    <s v="Annual"/>
    <n v="1"/>
    <n v="1"/>
    <n v="67284"/>
    <n v="67284"/>
  </r>
  <r>
    <x v="0"/>
    <n v="91"/>
    <x v="36"/>
    <x v="5"/>
    <x v="5"/>
    <n v="1005"/>
    <x v="56"/>
    <x v="0"/>
    <x v="77"/>
    <n v="3010"/>
    <x v="298"/>
    <n v="0"/>
    <x v="0"/>
    <s v="G 04"/>
    <n v="5"/>
    <n v="501"/>
    <x v="1096"/>
    <s v="Annual"/>
    <n v="30"/>
    <n v="1"/>
    <n v="98460"/>
    <n v="2953800"/>
  </r>
  <r>
    <x v="0"/>
    <n v="91"/>
    <x v="36"/>
    <x v="5"/>
    <x v="5"/>
    <n v="1005"/>
    <x v="56"/>
    <x v="0"/>
    <x v="77"/>
    <n v="3010"/>
    <x v="298"/>
    <n v="0"/>
    <x v="0"/>
    <s v="G 04"/>
    <n v="5"/>
    <n v="501"/>
    <x v="1096"/>
    <s v="Annual"/>
    <n v="1"/>
    <n v="1"/>
    <n v="92940"/>
    <n v="92940"/>
  </r>
  <r>
    <x v="0"/>
    <n v="91"/>
    <x v="36"/>
    <x v="5"/>
    <x v="5"/>
    <n v="1005"/>
    <x v="56"/>
    <x v="0"/>
    <x v="77"/>
    <n v="3010"/>
    <x v="298"/>
    <n v="0"/>
    <x v="0"/>
    <s v="G 04"/>
    <n v="5"/>
    <n v="501"/>
    <x v="1096"/>
    <s v="Annual"/>
    <n v="13"/>
    <n v="1"/>
    <n v="88524"/>
    <n v="1150812"/>
  </r>
  <r>
    <x v="0"/>
    <n v="91"/>
    <x v="36"/>
    <x v="5"/>
    <x v="5"/>
    <n v="1005"/>
    <x v="56"/>
    <x v="0"/>
    <x v="77"/>
    <n v="3010"/>
    <x v="298"/>
    <n v="0"/>
    <x v="0"/>
    <s v="G 04"/>
    <n v="5"/>
    <n v="501"/>
    <x v="1096"/>
    <s v="Annual"/>
    <n v="7"/>
    <n v="1"/>
    <n v="84192"/>
    <n v="589344"/>
  </r>
  <r>
    <x v="0"/>
    <n v="91"/>
    <x v="36"/>
    <x v="5"/>
    <x v="5"/>
    <n v="1005"/>
    <x v="56"/>
    <x v="0"/>
    <x v="77"/>
    <n v="3010"/>
    <x v="298"/>
    <n v="0"/>
    <x v="0"/>
    <s v="G 04"/>
    <n v="5"/>
    <n v="501"/>
    <x v="1096"/>
    <s v="Annual"/>
    <n v="5"/>
    <n v="1"/>
    <n v="80196"/>
    <n v="400980"/>
  </r>
  <r>
    <x v="0"/>
    <n v="91"/>
    <x v="36"/>
    <x v="5"/>
    <x v="5"/>
    <n v="1005"/>
    <x v="56"/>
    <x v="0"/>
    <x v="77"/>
    <n v="3010"/>
    <x v="298"/>
    <n v="0"/>
    <x v="0"/>
    <s v="G 04"/>
    <n v="5"/>
    <n v="501"/>
    <x v="1096"/>
    <s v="Annual"/>
    <n v="32"/>
    <n v="1"/>
    <n v="76464"/>
    <n v="2446848"/>
  </r>
  <r>
    <x v="0"/>
    <n v="91"/>
    <x v="36"/>
    <x v="5"/>
    <x v="5"/>
    <n v="1005"/>
    <x v="56"/>
    <x v="0"/>
    <x v="77"/>
    <n v="3010"/>
    <x v="298"/>
    <n v="0"/>
    <x v="0"/>
    <s v="G 04"/>
    <n v="5"/>
    <n v="501"/>
    <x v="1096"/>
    <s v="Annual"/>
    <n v="45"/>
    <n v="1"/>
    <n v="72684"/>
    <n v="3270780"/>
  </r>
  <r>
    <x v="0"/>
    <n v="91"/>
    <x v="36"/>
    <x v="5"/>
    <x v="5"/>
    <n v="1005"/>
    <x v="56"/>
    <x v="0"/>
    <x v="77"/>
    <n v="3010"/>
    <x v="298"/>
    <n v="0"/>
    <x v="0"/>
    <s v="G 04"/>
    <n v="5"/>
    <n v="501"/>
    <x v="1096"/>
    <s v="Annual"/>
    <n v="2"/>
    <n v="1"/>
    <n v="69396"/>
    <n v="138792"/>
  </r>
  <r>
    <x v="0"/>
    <n v="91"/>
    <x v="36"/>
    <x v="5"/>
    <x v="5"/>
    <n v="1005"/>
    <x v="56"/>
    <x v="0"/>
    <x v="77"/>
    <n v="3010"/>
    <x v="298"/>
    <n v="0"/>
    <x v="0"/>
    <s v="G 04"/>
    <n v="5"/>
    <n v="501"/>
    <x v="1096"/>
    <s v="Annual"/>
    <n v="19"/>
    <n v="1"/>
    <n v="67284"/>
    <n v="1278396"/>
  </r>
  <r>
    <x v="0"/>
    <n v="91"/>
    <x v="36"/>
    <x v="5"/>
    <x v="5"/>
    <n v="1005"/>
    <x v="56"/>
    <x v="0"/>
    <x v="77"/>
    <n v="3010"/>
    <x v="298"/>
    <n v="0"/>
    <x v="0"/>
    <s v="B 10"/>
    <n v="1"/>
    <n v="449"/>
    <x v="1097"/>
    <s v="Annual"/>
    <n v="38"/>
    <n v="1"/>
    <n v="90144"/>
    <n v="3425472"/>
  </r>
  <r>
    <x v="0"/>
    <n v="91"/>
    <x v="36"/>
    <x v="5"/>
    <x v="5"/>
    <n v="1005"/>
    <x v="56"/>
    <x v="0"/>
    <x v="77"/>
    <n v="3010"/>
    <x v="298"/>
    <n v="0"/>
    <x v="0"/>
    <s v="B 10"/>
    <n v="1"/>
    <n v="449"/>
    <x v="1097"/>
    <s v="Annual"/>
    <n v="2"/>
    <n v="1"/>
    <n v="86112"/>
    <n v="172224"/>
  </r>
  <r>
    <x v="0"/>
    <n v="91"/>
    <x v="36"/>
    <x v="5"/>
    <x v="5"/>
    <n v="1005"/>
    <x v="56"/>
    <x v="0"/>
    <x v="77"/>
    <n v="3010"/>
    <x v="298"/>
    <n v="0"/>
    <x v="0"/>
    <s v="B 10"/>
    <n v="1"/>
    <n v="449"/>
    <x v="1097"/>
    <s v="Annual"/>
    <n v="2"/>
    <n v="1"/>
    <n v="82140"/>
    <n v="164280"/>
  </r>
  <r>
    <x v="0"/>
    <n v="91"/>
    <x v="36"/>
    <x v="5"/>
    <x v="5"/>
    <n v="1005"/>
    <x v="56"/>
    <x v="0"/>
    <x v="77"/>
    <n v="3010"/>
    <x v="298"/>
    <n v="0"/>
    <x v="0"/>
    <s v="B 10"/>
    <n v="1"/>
    <n v="449"/>
    <x v="1097"/>
    <s v="Annual"/>
    <n v="5"/>
    <n v="1"/>
    <n v="78432"/>
    <n v="392160"/>
  </r>
  <r>
    <x v="0"/>
    <n v="91"/>
    <x v="36"/>
    <x v="5"/>
    <x v="5"/>
    <n v="1005"/>
    <x v="56"/>
    <x v="0"/>
    <x v="77"/>
    <n v="3010"/>
    <x v="298"/>
    <n v="0"/>
    <x v="0"/>
    <s v="B 10"/>
    <n v="1"/>
    <n v="449"/>
    <x v="1097"/>
    <s v="Annual"/>
    <n v="2"/>
    <n v="1"/>
    <n v="74916"/>
    <n v="149832"/>
  </r>
  <r>
    <x v="0"/>
    <n v="91"/>
    <x v="36"/>
    <x v="5"/>
    <x v="5"/>
    <n v="1005"/>
    <x v="56"/>
    <x v="0"/>
    <x v="77"/>
    <n v="3010"/>
    <x v="298"/>
    <n v="0"/>
    <x v="0"/>
    <s v="B 10"/>
    <n v="1"/>
    <n v="449"/>
    <x v="1097"/>
    <s v="Annual"/>
    <n v="1"/>
    <n v="1"/>
    <n v="71436"/>
    <n v="71436"/>
  </r>
  <r>
    <x v="0"/>
    <n v="91"/>
    <x v="36"/>
    <x v="5"/>
    <x v="5"/>
    <n v="1005"/>
    <x v="56"/>
    <x v="0"/>
    <x v="77"/>
    <n v="3010"/>
    <x v="298"/>
    <n v="0"/>
    <x v="0"/>
    <s v="B 10"/>
    <n v="1"/>
    <n v="449"/>
    <x v="1097"/>
    <s v="Annual"/>
    <n v="3"/>
    <n v="1"/>
    <n v="68256"/>
    <n v="204768"/>
  </r>
  <r>
    <x v="0"/>
    <n v="91"/>
    <x v="36"/>
    <x v="5"/>
    <x v="5"/>
    <n v="1005"/>
    <x v="56"/>
    <x v="0"/>
    <x v="77"/>
    <n v="3010"/>
    <x v="298"/>
    <n v="0"/>
    <x v="0"/>
    <s v="B 10"/>
    <n v="1"/>
    <n v="449"/>
    <x v="1097"/>
    <s v="Annual"/>
    <n v="6"/>
    <n v="1"/>
    <n v="61548"/>
    <n v="369288"/>
  </r>
  <r>
    <x v="0"/>
    <n v="91"/>
    <x v="36"/>
    <x v="5"/>
    <x v="5"/>
    <n v="1005"/>
    <x v="56"/>
    <x v="0"/>
    <x v="77"/>
    <n v="3010"/>
    <x v="298"/>
    <n v="0"/>
    <x v="0"/>
    <s v="B 10"/>
    <n v="1"/>
    <n v="449"/>
    <x v="1097"/>
    <s v="Annual"/>
    <n v="3"/>
    <n v="1"/>
    <n v="58764"/>
    <n v="176292"/>
  </r>
  <r>
    <x v="0"/>
    <n v="91"/>
    <x v="36"/>
    <x v="5"/>
    <x v="5"/>
    <n v="1005"/>
    <x v="56"/>
    <x v="0"/>
    <x v="77"/>
    <n v="3010"/>
    <x v="298"/>
    <n v="0"/>
    <x v="0"/>
    <s v="B 10"/>
    <n v="1"/>
    <n v="449"/>
    <x v="1097"/>
    <s v="Annual"/>
    <n v="6"/>
    <n v="1"/>
    <n v="56124"/>
    <n v="336744"/>
  </r>
  <r>
    <x v="0"/>
    <n v="91"/>
    <x v="36"/>
    <x v="5"/>
    <x v="5"/>
    <n v="1005"/>
    <x v="56"/>
    <x v="0"/>
    <x v="77"/>
    <n v="3010"/>
    <x v="298"/>
    <n v="0"/>
    <x v="0"/>
    <s v="B 10"/>
    <n v="1"/>
    <n v="449"/>
    <x v="1097"/>
    <s v="Annual"/>
    <n v="6"/>
    <n v="1"/>
    <n v="53532"/>
    <n v="321192"/>
  </r>
  <r>
    <x v="0"/>
    <n v="91"/>
    <x v="36"/>
    <x v="5"/>
    <x v="5"/>
    <n v="1005"/>
    <x v="56"/>
    <x v="0"/>
    <x v="77"/>
    <n v="3010"/>
    <x v="298"/>
    <n v="0"/>
    <x v="0"/>
    <s v="B 10"/>
    <n v="1"/>
    <n v="449"/>
    <x v="1097"/>
    <s v="Annual"/>
    <n v="1"/>
    <n v="1"/>
    <n v="51936"/>
    <n v="51936"/>
  </r>
  <r>
    <x v="0"/>
    <n v="91"/>
    <x v="36"/>
    <x v="5"/>
    <x v="5"/>
    <n v="1005"/>
    <x v="56"/>
    <x v="0"/>
    <x v="77"/>
    <n v="3010"/>
    <x v="298"/>
    <n v="0"/>
    <x v="0"/>
    <s v="B 08"/>
    <n v="1"/>
    <n v="447"/>
    <x v="1084"/>
    <s v="Annual"/>
    <n v="11"/>
    <n v="1"/>
    <n v="74916"/>
    <n v="824076"/>
  </r>
  <r>
    <x v="0"/>
    <n v="91"/>
    <x v="36"/>
    <x v="5"/>
    <x v="5"/>
    <n v="1005"/>
    <x v="56"/>
    <x v="0"/>
    <x v="77"/>
    <n v="3010"/>
    <x v="298"/>
    <n v="0"/>
    <x v="0"/>
    <s v="B 08"/>
    <n v="1"/>
    <n v="447"/>
    <x v="1084"/>
    <s v="Annual"/>
    <n v="2"/>
    <n v="1"/>
    <n v="68256"/>
    <n v="136512"/>
  </r>
  <r>
    <x v="0"/>
    <n v="91"/>
    <x v="36"/>
    <x v="5"/>
    <x v="5"/>
    <n v="1005"/>
    <x v="56"/>
    <x v="0"/>
    <x v="77"/>
    <n v="3010"/>
    <x v="298"/>
    <n v="0"/>
    <x v="0"/>
    <s v="B 08"/>
    <n v="1"/>
    <n v="447"/>
    <x v="1084"/>
    <s v="Annual"/>
    <n v="1"/>
    <n v="1"/>
    <n v="65112"/>
    <n v="65112"/>
  </r>
  <r>
    <x v="0"/>
    <n v="91"/>
    <x v="36"/>
    <x v="5"/>
    <x v="5"/>
    <n v="1005"/>
    <x v="56"/>
    <x v="0"/>
    <x v="77"/>
    <n v="3010"/>
    <x v="298"/>
    <n v="0"/>
    <x v="0"/>
    <s v="B 08"/>
    <n v="1"/>
    <n v="447"/>
    <x v="1084"/>
    <s v="Annual"/>
    <n v="1"/>
    <n v="1"/>
    <n v="62136"/>
    <n v="62136"/>
  </r>
  <r>
    <x v="0"/>
    <n v="91"/>
    <x v="36"/>
    <x v="5"/>
    <x v="5"/>
    <n v="1005"/>
    <x v="56"/>
    <x v="0"/>
    <x v="77"/>
    <n v="3010"/>
    <x v="298"/>
    <n v="0"/>
    <x v="0"/>
    <s v="B 08"/>
    <n v="1"/>
    <n v="447"/>
    <x v="1084"/>
    <s v="Annual"/>
    <n v="1"/>
    <n v="1"/>
    <n v="43164"/>
    <n v="43164"/>
  </r>
  <r>
    <x v="0"/>
    <n v="91"/>
    <x v="36"/>
    <x v="5"/>
    <x v="5"/>
    <n v="1005"/>
    <x v="56"/>
    <x v="0"/>
    <x v="77"/>
    <n v="3010"/>
    <x v="298"/>
    <n v="0"/>
    <x v="0"/>
    <s v="B 08"/>
    <n v="1"/>
    <n v="446"/>
    <x v="1098"/>
    <s v="Hourly"/>
    <n v="89792"/>
    <n v="0"/>
    <n v="21.5"/>
    <n v="1930528"/>
  </r>
  <r>
    <x v="0"/>
    <n v="91"/>
    <x v="36"/>
    <x v="5"/>
    <x v="5"/>
    <n v="1005"/>
    <x v="56"/>
    <x v="0"/>
    <x v="77"/>
    <n v="3010"/>
    <x v="298"/>
    <n v="0"/>
    <x v="0"/>
    <s v="B 08"/>
    <n v="1"/>
    <n v="445"/>
    <x v="1099"/>
    <s v="Annual"/>
    <n v="22"/>
    <n v="1"/>
    <n v="74916"/>
    <n v="1648152"/>
  </r>
  <r>
    <x v="0"/>
    <n v="91"/>
    <x v="36"/>
    <x v="5"/>
    <x v="5"/>
    <n v="1005"/>
    <x v="56"/>
    <x v="0"/>
    <x v="77"/>
    <n v="3010"/>
    <x v="298"/>
    <n v="0"/>
    <x v="0"/>
    <s v="B 08"/>
    <n v="1"/>
    <n v="445"/>
    <x v="1099"/>
    <s v="Annual"/>
    <n v="1"/>
    <n v="1"/>
    <n v="71436"/>
    <n v="71436"/>
  </r>
  <r>
    <x v="0"/>
    <n v="91"/>
    <x v="36"/>
    <x v="5"/>
    <x v="5"/>
    <n v="1005"/>
    <x v="56"/>
    <x v="0"/>
    <x v="77"/>
    <n v="3010"/>
    <x v="298"/>
    <n v="0"/>
    <x v="0"/>
    <s v="B 08"/>
    <n v="1"/>
    <n v="445"/>
    <x v="1099"/>
    <s v="Annual"/>
    <n v="3"/>
    <n v="1"/>
    <n v="68256"/>
    <n v="204768"/>
  </r>
  <r>
    <x v="0"/>
    <n v="91"/>
    <x v="36"/>
    <x v="5"/>
    <x v="5"/>
    <n v="1005"/>
    <x v="56"/>
    <x v="0"/>
    <x v="77"/>
    <n v="3010"/>
    <x v="298"/>
    <n v="0"/>
    <x v="0"/>
    <s v="B 08"/>
    <n v="1"/>
    <n v="445"/>
    <x v="1099"/>
    <s v="Annual"/>
    <n v="1"/>
    <n v="1"/>
    <n v="65112"/>
    <n v="65112"/>
  </r>
  <r>
    <x v="0"/>
    <n v="91"/>
    <x v="36"/>
    <x v="5"/>
    <x v="5"/>
    <n v="1005"/>
    <x v="56"/>
    <x v="0"/>
    <x v="77"/>
    <n v="3010"/>
    <x v="298"/>
    <n v="0"/>
    <x v="0"/>
    <s v="B 08"/>
    <n v="1"/>
    <n v="445"/>
    <x v="1099"/>
    <s v="Annual"/>
    <n v="1"/>
    <n v="1"/>
    <n v="62136"/>
    <n v="62136"/>
  </r>
  <r>
    <x v="0"/>
    <n v="91"/>
    <x v="36"/>
    <x v="5"/>
    <x v="5"/>
    <n v="1005"/>
    <x v="56"/>
    <x v="0"/>
    <x v="77"/>
    <n v="3010"/>
    <x v="298"/>
    <n v="0"/>
    <x v="0"/>
    <s v="B 08"/>
    <n v="1"/>
    <n v="445"/>
    <x v="1099"/>
    <s v="Annual"/>
    <n v="4"/>
    <n v="1"/>
    <n v="59364"/>
    <n v="237456"/>
  </r>
  <r>
    <x v="0"/>
    <n v="91"/>
    <x v="36"/>
    <x v="5"/>
    <x v="5"/>
    <n v="1005"/>
    <x v="56"/>
    <x v="0"/>
    <x v="77"/>
    <n v="3010"/>
    <x v="298"/>
    <n v="0"/>
    <x v="0"/>
    <s v="B 08"/>
    <n v="1"/>
    <n v="445"/>
    <x v="1099"/>
    <s v="Annual"/>
    <n v="3"/>
    <n v="1"/>
    <n v="56712"/>
    <n v="170136"/>
  </r>
  <r>
    <x v="0"/>
    <n v="91"/>
    <x v="36"/>
    <x v="5"/>
    <x v="5"/>
    <n v="1005"/>
    <x v="56"/>
    <x v="0"/>
    <x v="77"/>
    <n v="3010"/>
    <x v="298"/>
    <n v="0"/>
    <x v="0"/>
    <s v="B 08"/>
    <n v="1"/>
    <n v="445"/>
    <x v="1099"/>
    <s v="Annual"/>
    <n v="7"/>
    <n v="1"/>
    <n v="53532"/>
    <n v="374724"/>
  </r>
  <r>
    <x v="0"/>
    <n v="91"/>
    <x v="36"/>
    <x v="5"/>
    <x v="5"/>
    <n v="1005"/>
    <x v="56"/>
    <x v="0"/>
    <x v="77"/>
    <n v="3010"/>
    <x v="298"/>
    <n v="0"/>
    <x v="0"/>
    <s v="B 08"/>
    <n v="1"/>
    <n v="445"/>
    <x v="1099"/>
    <s v="Annual"/>
    <n v="7"/>
    <n v="1"/>
    <n v="51108"/>
    <n v="357756"/>
  </r>
  <r>
    <x v="0"/>
    <n v="91"/>
    <x v="36"/>
    <x v="5"/>
    <x v="5"/>
    <n v="1005"/>
    <x v="56"/>
    <x v="0"/>
    <x v="77"/>
    <n v="3010"/>
    <x v="298"/>
    <n v="0"/>
    <x v="0"/>
    <s v="B 08"/>
    <n v="1"/>
    <n v="445"/>
    <x v="1099"/>
    <s v="Annual"/>
    <n v="3"/>
    <n v="1"/>
    <n v="48864"/>
    <n v="146592"/>
  </r>
  <r>
    <x v="0"/>
    <n v="91"/>
    <x v="36"/>
    <x v="5"/>
    <x v="5"/>
    <n v="1005"/>
    <x v="56"/>
    <x v="0"/>
    <x v="77"/>
    <n v="3010"/>
    <x v="298"/>
    <n v="0"/>
    <x v="0"/>
    <s v="B 08"/>
    <n v="1"/>
    <n v="445"/>
    <x v="1099"/>
    <s v="Annual"/>
    <n v="25"/>
    <n v="1"/>
    <n v="46560"/>
    <n v="1164000"/>
  </r>
  <r>
    <x v="0"/>
    <n v="91"/>
    <x v="36"/>
    <x v="5"/>
    <x v="5"/>
    <n v="1005"/>
    <x v="56"/>
    <x v="0"/>
    <x v="77"/>
    <n v="3010"/>
    <x v="298"/>
    <n v="0"/>
    <x v="0"/>
    <s v="B 08"/>
    <n v="1"/>
    <n v="445"/>
    <x v="1099"/>
    <s v="Annual"/>
    <n v="40"/>
    <n v="1"/>
    <n v="44496"/>
    <n v="1779840"/>
  </r>
  <r>
    <x v="0"/>
    <n v="91"/>
    <x v="36"/>
    <x v="5"/>
    <x v="5"/>
    <n v="1005"/>
    <x v="56"/>
    <x v="0"/>
    <x v="77"/>
    <n v="3010"/>
    <x v="298"/>
    <n v="0"/>
    <x v="0"/>
    <s v="B 08"/>
    <n v="1"/>
    <n v="445"/>
    <x v="1099"/>
    <s v="Annual"/>
    <n v="14"/>
    <n v="1"/>
    <n v="43164"/>
    <n v="604296"/>
  </r>
  <r>
    <x v="0"/>
    <n v="91"/>
    <x v="36"/>
    <x v="5"/>
    <x v="5"/>
    <n v="1005"/>
    <x v="56"/>
    <x v="0"/>
    <x v="77"/>
    <n v="3010"/>
    <x v="298"/>
    <n v="0"/>
    <x v="0"/>
    <s v="B 12"/>
    <n v="1"/>
    <s v="03A8"/>
    <x v="88"/>
    <s v="Annual"/>
    <n v="2"/>
    <n v="1"/>
    <n v="108576"/>
    <n v="217152"/>
  </r>
  <r>
    <x v="0"/>
    <n v="91"/>
    <x v="36"/>
    <x v="5"/>
    <x v="5"/>
    <n v="1005"/>
    <x v="56"/>
    <x v="0"/>
    <x v="77"/>
    <n v="3010"/>
    <x v="298"/>
    <n v="0"/>
    <x v="0"/>
    <s v="B 12"/>
    <n v="1"/>
    <s v="03A8"/>
    <x v="88"/>
    <s v="Annual"/>
    <n v="1"/>
    <n v="1"/>
    <n v="67608"/>
    <n v="67608"/>
  </r>
  <r>
    <x v="0"/>
    <n v="91"/>
    <x v="36"/>
    <x v="5"/>
    <x v="5"/>
    <n v="1005"/>
    <x v="56"/>
    <x v="0"/>
    <x v="77"/>
    <n v="3010"/>
    <x v="298"/>
    <n v="0"/>
    <x v="0"/>
    <s v="B 10"/>
    <n v="1"/>
    <s v="03A7"/>
    <x v="4"/>
    <s v="Annual"/>
    <n v="3"/>
    <n v="1"/>
    <n v="90144"/>
    <n v="270432"/>
  </r>
  <r>
    <x v="0"/>
    <n v="91"/>
    <x v="36"/>
    <x v="5"/>
    <x v="5"/>
    <n v="1005"/>
    <x v="56"/>
    <x v="0"/>
    <x v="77"/>
    <n v="3010"/>
    <x v="298"/>
    <n v="0"/>
    <x v="0"/>
    <s v="B 10"/>
    <n v="1"/>
    <s v="03A7"/>
    <x v="4"/>
    <s v="Annual"/>
    <n v="1"/>
    <n v="1"/>
    <n v="82140"/>
    <n v="82140"/>
  </r>
  <r>
    <x v="0"/>
    <n v="91"/>
    <x v="36"/>
    <x v="5"/>
    <x v="5"/>
    <n v="1005"/>
    <x v="56"/>
    <x v="0"/>
    <x v="77"/>
    <n v="3010"/>
    <x v="298"/>
    <n v="0"/>
    <x v="0"/>
    <s v="B 10"/>
    <n v="1"/>
    <s v="03A7"/>
    <x v="4"/>
    <s v="Annual"/>
    <n v="1"/>
    <n v="1"/>
    <n v="71436"/>
    <n v="71436"/>
  </r>
  <r>
    <x v="0"/>
    <n v="91"/>
    <x v="36"/>
    <x v="5"/>
    <x v="5"/>
    <n v="1005"/>
    <x v="56"/>
    <x v="0"/>
    <x v="77"/>
    <n v="3010"/>
    <x v="298"/>
    <n v="0"/>
    <x v="0"/>
    <s v="B 10"/>
    <n v="1"/>
    <s v="03A7"/>
    <x v="4"/>
    <s v="Annual"/>
    <n v="1"/>
    <n v="1"/>
    <n v="61548"/>
    <n v="61548"/>
  </r>
  <r>
    <x v="0"/>
    <n v="91"/>
    <x v="36"/>
    <x v="5"/>
    <x v="5"/>
    <n v="1005"/>
    <x v="56"/>
    <x v="0"/>
    <x v="77"/>
    <n v="3010"/>
    <x v="298"/>
    <n v="0"/>
    <x v="0"/>
    <s v="B 10"/>
    <n v="1"/>
    <s v="03A7"/>
    <x v="4"/>
    <s v="Annual"/>
    <n v="1"/>
    <n v="1"/>
    <n v="51936"/>
    <n v="51936"/>
  </r>
  <r>
    <x v="0"/>
    <n v="91"/>
    <x v="36"/>
    <x v="5"/>
    <x v="5"/>
    <n v="1005"/>
    <x v="56"/>
    <x v="0"/>
    <x v="77"/>
    <n v="3010"/>
    <x v="298"/>
    <n v="0"/>
    <x v="0"/>
    <s v="X 33"/>
    <n v="9"/>
    <n v="313"/>
    <x v="220"/>
    <s v="Annual"/>
    <n v="1"/>
    <n v="1"/>
    <n v="153384"/>
    <n v="153384"/>
  </r>
  <r>
    <x v="0"/>
    <n v="91"/>
    <x v="36"/>
    <x v="5"/>
    <x v="5"/>
    <n v="1005"/>
    <x v="56"/>
    <x v="0"/>
    <x v="77"/>
    <n v="3010"/>
    <x v="298"/>
    <n v="0"/>
    <x v="0"/>
    <s v="BX 16"/>
    <n v="20"/>
    <n v="309"/>
    <x v="598"/>
    <s v="Annual"/>
    <n v="1"/>
    <n v="1"/>
    <n v="98832"/>
    <n v="98832"/>
  </r>
  <r>
    <x v="0"/>
    <n v="91"/>
    <x v="36"/>
    <x v="5"/>
    <x v="5"/>
    <n v="1005"/>
    <x v="56"/>
    <x v="0"/>
    <x v="77"/>
    <n v="3010"/>
    <x v="298"/>
    <n v="0"/>
    <x v="0"/>
    <s v="B 13"/>
    <n v="1"/>
    <n v="308"/>
    <x v="90"/>
    <s v="Annual"/>
    <n v="1"/>
    <n v="1"/>
    <n v="70752"/>
    <n v="70752"/>
  </r>
  <r>
    <x v="0"/>
    <n v="91"/>
    <x v="36"/>
    <x v="5"/>
    <x v="5"/>
    <n v="1005"/>
    <x v="56"/>
    <x v="0"/>
    <x v="77"/>
    <n v="3010"/>
    <x v="298"/>
    <n v="0"/>
    <x v="0"/>
    <s v="1 00"/>
    <n v="0"/>
    <n v="15"/>
    <x v="37"/>
    <s v="Annual"/>
    <n v="0"/>
    <n v="0"/>
    <n v="529776"/>
    <n v="529776"/>
  </r>
  <r>
    <x v="0"/>
    <n v="91"/>
    <x v="36"/>
    <x v="5"/>
    <x v="5"/>
    <n v="1005"/>
    <x v="56"/>
    <x v="0"/>
    <x v="77"/>
    <n v="3016"/>
    <x v="299"/>
    <n v="0"/>
    <x v="0"/>
    <s v="GY 08"/>
    <n v="20"/>
    <n v="1141"/>
    <x v="79"/>
    <s v="Annual"/>
    <n v="1"/>
    <n v="1"/>
    <n v="112080"/>
    <n v="112080"/>
  </r>
  <r>
    <x v="0"/>
    <n v="91"/>
    <x v="36"/>
    <x v="5"/>
    <x v="5"/>
    <n v="1005"/>
    <x v="56"/>
    <x v="0"/>
    <x v="77"/>
    <n v="3016"/>
    <x v="299"/>
    <n v="0"/>
    <x v="0"/>
    <s v="B 12"/>
    <n v="1"/>
    <n v="690"/>
    <x v="1100"/>
    <s v="Annual"/>
    <n v="1"/>
    <n v="1"/>
    <n v="70752"/>
    <n v="70752"/>
  </r>
  <r>
    <x v="0"/>
    <n v="91"/>
    <x v="36"/>
    <x v="5"/>
    <x v="5"/>
    <n v="1005"/>
    <x v="56"/>
    <x v="0"/>
    <x v="77"/>
    <n v="3016"/>
    <x v="299"/>
    <n v="0"/>
    <x v="0"/>
    <s v="B 12"/>
    <n v="1"/>
    <n v="690"/>
    <x v="1100"/>
    <s v="Annual"/>
    <n v="1"/>
    <n v="1"/>
    <n v="67608"/>
    <n v="67608"/>
  </r>
  <r>
    <x v="0"/>
    <n v="91"/>
    <x v="36"/>
    <x v="5"/>
    <x v="5"/>
    <n v="1005"/>
    <x v="56"/>
    <x v="0"/>
    <x v="77"/>
    <n v="3016"/>
    <x v="299"/>
    <n v="0"/>
    <x v="0"/>
    <s v="B 14"/>
    <n v="1"/>
    <n v="689"/>
    <x v="269"/>
    <s v="Annual"/>
    <n v="4"/>
    <n v="1"/>
    <n v="130668"/>
    <n v="522672"/>
  </r>
  <r>
    <x v="0"/>
    <n v="91"/>
    <x v="36"/>
    <x v="5"/>
    <x v="5"/>
    <n v="1005"/>
    <x v="56"/>
    <x v="0"/>
    <x v="77"/>
    <n v="3016"/>
    <x v="299"/>
    <n v="0"/>
    <x v="0"/>
    <s v="B 14"/>
    <n v="1"/>
    <n v="689"/>
    <x v="269"/>
    <s v="Annual"/>
    <n v="1"/>
    <n v="1"/>
    <n v="81324"/>
    <n v="81324"/>
  </r>
  <r>
    <x v="0"/>
    <n v="91"/>
    <x v="36"/>
    <x v="5"/>
    <x v="5"/>
    <n v="1005"/>
    <x v="56"/>
    <x v="0"/>
    <x v="77"/>
    <n v="3016"/>
    <x v="299"/>
    <n v="0"/>
    <x v="0"/>
    <s v="BX 17"/>
    <n v="10"/>
    <n v="687"/>
    <x v="1101"/>
    <s v="Annual"/>
    <n v="1"/>
    <n v="1"/>
    <n v="136692"/>
    <n v="136692"/>
  </r>
  <r>
    <x v="0"/>
    <n v="91"/>
    <x v="36"/>
    <x v="5"/>
    <x v="5"/>
    <n v="1005"/>
    <x v="56"/>
    <x v="0"/>
    <x v="77"/>
    <n v="3016"/>
    <x v="299"/>
    <n v="0"/>
    <x v="0"/>
    <s v="X 33"/>
    <n v="10"/>
    <n v="644"/>
    <x v="380"/>
    <s v="Annual"/>
    <n v="1"/>
    <n v="1"/>
    <n v="153384"/>
    <n v="153384"/>
  </r>
  <r>
    <x v="0"/>
    <n v="91"/>
    <x v="36"/>
    <x v="5"/>
    <x v="5"/>
    <n v="1005"/>
    <x v="56"/>
    <x v="0"/>
    <x v="77"/>
    <n v="3016"/>
    <x v="299"/>
    <n v="0"/>
    <x v="0"/>
    <s v="B 16"/>
    <n v="1"/>
    <n v="634"/>
    <x v="295"/>
    <s v="Annual"/>
    <n v="1"/>
    <n v="1"/>
    <n v="102588"/>
    <n v="102588"/>
  </r>
  <r>
    <x v="0"/>
    <n v="91"/>
    <x v="36"/>
    <x v="5"/>
    <x v="5"/>
    <n v="1005"/>
    <x v="56"/>
    <x v="0"/>
    <x v="77"/>
    <n v="3016"/>
    <x v="299"/>
    <n v="0"/>
    <x v="0"/>
    <s v="B 17"/>
    <n v="1"/>
    <n v="633"/>
    <x v="1102"/>
    <s v="Annual"/>
    <n v="1"/>
    <n v="1"/>
    <n v="172584"/>
    <n v="172584"/>
  </r>
  <r>
    <x v="0"/>
    <n v="91"/>
    <x v="36"/>
    <x v="5"/>
    <x v="5"/>
    <n v="1005"/>
    <x v="56"/>
    <x v="0"/>
    <x v="77"/>
    <n v="3016"/>
    <x v="299"/>
    <n v="0"/>
    <x v="0"/>
    <s v="B 15"/>
    <n v="1"/>
    <n v="627"/>
    <x v="622"/>
    <s v="Annual"/>
    <n v="1"/>
    <n v="1"/>
    <n v="93504"/>
    <n v="93504"/>
  </r>
  <r>
    <x v="0"/>
    <n v="91"/>
    <x v="36"/>
    <x v="5"/>
    <x v="5"/>
    <n v="1005"/>
    <x v="56"/>
    <x v="0"/>
    <x v="77"/>
    <n v="3016"/>
    <x v="299"/>
    <n v="0"/>
    <x v="0"/>
    <s v="G 07"/>
    <n v="5"/>
    <n v="579"/>
    <x v="1079"/>
    <s v="Annual"/>
    <n v="1"/>
    <n v="1"/>
    <n v="129636"/>
    <n v="129636"/>
  </r>
  <r>
    <x v="0"/>
    <n v="91"/>
    <x v="36"/>
    <x v="5"/>
    <x v="5"/>
    <n v="1005"/>
    <x v="56"/>
    <x v="0"/>
    <x v="77"/>
    <n v="3016"/>
    <x v="299"/>
    <n v="0"/>
    <x v="0"/>
    <s v="G 07"/>
    <n v="5"/>
    <n v="579"/>
    <x v="1079"/>
    <s v="Annual"/>
    <n v="1"/>
    <n v="1"/>
    <n v="112536"/>
    <n v="112536"/>
  </r>
  <r>
    <x v="0"/>
    <n v="91"/>
    <x v="36"/>
    <x v="5"/>
    <x v="5"/>
    <n v="1005"/>
    <x v="56"/>
    <x v="0"/>
    <x v="77"/>
    <n v="3016"/>
    <x v="299"/>
    <n v="0"/>
    <x v="0"/>
    <s v="G 07"/>
    <n v="4"/>
    <n v="576"/>
    <x v="1088"/>
    <s v="Annual"/>
    <n v="1"/>
    <n v="1"/>
    <n v="102516"/>
    <n v="102516"/>
  </r>
  <r>
    <x v="0"/>
    <n v="91"/>
    <x v="36"/>
    <x v="5"/>
    <x v="5"/>
    <n v="1005"/>
    <x v="56"/>
    <x v="0"/>
    <x v="77"/>
    <n v="3016"/>
    <x v="299"/>
    <n v="0"/>
    <x v="0"/>
    <s v="G 03"/>
    <n v="5"/>
    <n v="573"/>
    <x v="1091"/>
    <s v="Annual"/>
    <n v="1"/>
    <n v="1"/>
    <n v="65928"/>
    <n v="65928"/>
  </r>
  <r>
    <x v="0"/>
    <n v="91"/>
    <x v="36"/>
    <x v="5"/>
    <x v="5"/>
    <n v="1005"/>
    <x v="56"/>
    <x v="0"/>
    <x v="77"/>
    <n v="3016"/>
    <x v="299"/>
    <n v="0"/>
    <x v="0"/>
    <s v="G 04"/>
    <n v="5"/>
    <n v="501"/>
    <x v="1096"/>
    <s v="Annual"/>
    <n v="1"/>
    <n v="1"/>
    <n v="67284"/>
    <n v="67284"/>
  </r>
  <r>
    <x v="0"/>
    <n v="91"/>
    <x v="36"/>
    <x v="5"/>
    <x v="5"/>
    <n v="1005"/>
    <x v="56"/>
    <x v="0"/>
    <x v="77"/>
    <n v="3016"/>
    <x v="299"/>
    <n v="0"/>
    <x v="0"/>
    <s v="B 09"/>
    <n v="1"/>
    <n v="460"/>
    <x v="344"/>
    <s v="Annual"/>
    <n v="3"/>
    <n v="1"/>
    <n v="82140"/>
    <n v="246420"/>
  </r>
  <r>
    <x v="0"/>
    <n v="91"/>
    <x v="36"/>
    <x v="5"/>
    <x v="5"/>
    <n v="1005"/>
    <x v="56"/>
    <x v="0"/>
    <x v="77"/>
    <n v="3016"/>
    <x v="299"/>
    <n v="0"/>
    <x v="0"/>
    <s v="B 09"/>
    <n v="1"/>
    <n v="460"/>
    <x v="344"/>
    <s v="Annual"/>
    <n v="1"/>
    <n v="1"/>
    <n v="47364"/>
    <n v="47364"/>
  </r>
  <r>
    <x v="0"/>
    <n v="91"/>
    <x v="36"/>
    <x v="5"/>
    <x v="5"/>
    <n v="1005"/>
    <x v="56"/>
    <x v="0"/>
    <x v="77"/>
    <n v="3016"/>
    <x v="299"/>
    <n v="0"/>
    <x v="0"/>
    <s v="B 08"/>
    <n v="1"/>
    <n v="445"/>
    <x v="1099"/>
    <s v="Annual"/>
    <n v="1"/>
    <n v="1"/>
    <n v="51108"/>
    <n v="51108"/>
  </r>
  <r>
    <x v="0"/>
    <n v="91"/>
    <x v="36"/>
    <x v="5"/>
    <x v="5"/>
    <n v="1005"/>
    <x v="56"/>
    <x v="0"/>
    <x v="77"/>
    <n v="3016"/>
    <x v="299"/>
    <n v="0"/>
    <x v="0"/>
    <s v="B 12"/>
    <n v="1"/>
    <s v="03A8"/>
    <x v="88"/>
    <s v="Annual"/>
    <n v="1"/>
    <n v="1"/>
    <n v="98928"/>
    <n v="98928"/>
  </r>
  <r>
    <x v="0"/>
    <n v="91"/>
    <x v="36"/>
    <x v="5"/>
    <x v="5"/>
    <n v="1005"/>
    <x v="56"/>
    <x v="0"/>
    <x v="77"/>
    <n v="3016"/>
    <x v="299"/>
    <n v="0"/>
    <x v="0"/>
    <s v="B 10"/>
    <n v="1"/>
    <s v="03A7"/>
    <x v="4"/>
    <s v="Annual"/>
    <n v="4"/>
    <n v="1"/>
    <n v="90144"/>
    <n v="360576"/>
  </r>
  <r>
    <x v="0"/>
    <n v="91"/>
    <x v="36"/>
    <x v="5"/>
    <x v="5"/>
    <n v="1005"/>
    <x v="56"/>
    <x v="0"/>
    <x v="77"/>
    <n v="3016"/>
    <x v="299"/>
    <n v="0"/>
    <x v="0"/>
    <s v="B 10"/>
    <n v="1"/>
    <s v="03A7"/>
    <x v="4"/>
    <s v="Annual"/>
    <n v="1"/>
    <n v="1"/>
    <n v="86112"/>
    <n v="86112"/>
  </r>
  <r>
    <x v="0"/>
    <n v="91"/>
    <x v="36"/>
    <x v="5"/>
    <x v="5"/>
    <n v="1005"/>
    <x v="56"/>
    <x v="0"/>
    <x v="77"/>
    <n v="3016"/>
    <x v="299"/>
    <n v="0"/>
    <x v="0"/>
    <s v="B 10"/>
    <n v="1"/>
    <s v="03A7"/>
    <x v="4"/>
    <s v="Annual"/>
    <n v="1"/>
    <n v="1"/>
    <n v="56124"/>
    <n v="56124"/>
  </r>
  <r>
    <x v="0"/>
    <n v="91"/>
    <x v="36"/>
    <x v="5"/>
    <x v="5"/>
    <n v="1005"/>
    <x v="56"/>
    <x v="0"/>
    <x v="77"/>
    <n v="3016"/>
    <x v="299"/>
    <n v="0"/>
    <x v="0"/>
    <s v="BX 18"/>
    <n v="10"/>
    <n v="310"/>
    <x v="135"/>
    <s v="Annual"/>
    <n v="1"/>
    <n v="1"/>
    <n v="93384"/>
    <n v="93384"/>
  </r>
  <r>
    <x v="0"/>
    <n v="91"/>
    <x v="36"/>
    <x v="5"/>
    <x v="5"/>
    <n v="1005"/>
    <x v="56"/>
    <x v="0"/>
    <x v="77"/>
    <n v="3016"/>
    <x v="299"/>
    <n v="0"/>
    <x v="0"/>
    <s v="1 00"/>
    <n v="0"/>
    <n v="15"/>
    <x v="37"/>
    <s v="Annual"/>
    <n v="0"/>
    <n v="0"/>
    <n v="19458"/>
    <n v="19458"/>
  </r>
  <r>
    <x v="0"/>
    <n v="91"/>
    <x v="36"/>
    <x v="5"/>
    <x v="5"/>
    <n v="1005"/>
    <x v="56"/>
    <x v="0"/>
    <x v="77"/>
    <n v="3021"/>
    <x v="300"/>
    <n v="0"/>
    <x v="0"/>
    <s v="2 0"/>
    <n v="8"/>
    <n v="7185"/>
    <x v="485"/>
    <s v="Hourly"/>
    <n v="1"/>
    <n v="1"/>
    <n v="52.38"/>
    <n v="108950"/>
  </r>
  <r>
    <x v="0"/>
    <n v="91"/>
    <x v="36"/>
    <x v="5"/>
    <x v="5"/>
    <n v="1005"/>
    <x v="56"/>
    <x v="0"/>
    <x v="77"/>
    <n v="3021"/>
    <x v="300"/>
    <n v="0"/>
    <x v="0"/>
    <s v="2 0"/>
    <n v="8"/>
    <n v="7183"/>
    <x v="449"/>
    <s v="Hourly"/>
    <n v="7"/>
    <n v="1"/>
    <n v="50.44"/>
    <n v="734406"/>
  </r>
  <r>
    <x v="0"/>
    <n v="91"/>
    <x v="36"/>
    <x v="5"/>
    <x v="5"/>
    <n v="1005"/>
    <x v="56"/>
    <x v="0"/>
    <x v="77"/>
    <n v="3021"/>
    <x v="300"/>
    <n v="0"/>
    <x v="0"/>
    <s v="2 0"/>
    <n v="8"/>
    <n v="7183"/>
    <x v="449"/>
    <s v="Hourly"/>
    <n v="2"/>
    <n v="1"/>
    <n v="48.73"/>
    <n v="202717"/>
  </r>
  <r>
    <x v="0"/>
    <n v="91"/>
    <x v="36"/>
    <x v="5"/>
    <x v="5"/>
    <n v="1005"/>
    <x v="56"/>
    <x v="0"/>
    <x v="77"/>
    <n v="3021"/>
    <x v="300"/>
    <n v="0"/>
    <x v="0"/>
    <s v="B 10"/>
    <n v="1"/>
    <n v="1817"/>
    <x v="451"/>
    <s v="Annual"/>
    <n v="1"/>
    <n v="1"/>
    <n v="51936"/>
    <n v="51936"/>
  </r>
  <r>
    <x v="0"/>
    <n v="91"/>
    <x v="36"/>
    <x v="5"/>
    <x v="5"/>
    <n v="1005"/>
    <x v="56"/>
    <x v="0"/>
    <x v="77"/>
    <n v="3021"/>
    <x v="300"/>
    <n v="0"/>
    <x v="0"/>
    <s v="B 08"/>
    <n v="1"/>
    <n v="1813"/>
    <x v="779"/>
    <s v="Annual"/>
    <n v="2"/>
    <n v="1"/>
    <n v="74916"/>
    <n v="149832"/>
  </r>
  <r>
    <x v="0"/>
    <n v="91"/>
    <x v="36"/>
    <x v="5"/>
    <x v="5"/>
    <n v="1005"/>
    <x v="56"/>
    <x v="0"/>
    <x v="77"/>
    <n v="3021"/>
    <x v="300"/>
    <n v="0"/>
    <x v="0"/>
    <s v="1 00"/>
    <n v="0"/>
    <n v="12"/>
    <x v="291"/>
    <s v="Annual"/>
    <n v="0"/>
    <n v="0"/>
    <n v="15691"/>
    <n v="15691"/>
  </r>
  <r>
    <x v="0"/>
    <n v="51"/>
    <x v="19"/>
    <x v="6"/>
    <x v="6"/>
    <n v="1005"/>
    <x v="20"/>
    <x v="0"/>
    <x v="33"/>
    <n v="3020"/>
    <x v="146"/>
    <n v="4205"/>
    <x v="88"/>
    <s v="BX 14"/>
    <n v="10"/>
    <n v="9194"/>
    <x v="708"/>
    <s v="Annual"/>
    <n v="1"/>
    <n v="1"/>
    <n v="69684"/>
    <n v="69684"/>
  </r>
  <r>
    <x v="0"/>
    <n v="51"/>
    <x v="19"/>
    <x v="6"/>
    <x v="6"/>
    <n v="1005"/>
    <x v="20"/>
    <x v="0"/>
    <x v="33"/>
    <n v="3020"/>
    <x v="146"/>
    <n v="4205"/>
    <x v="88"/>
    <s v="B 13"/>
    <n v="1"/>
    <s v="06D3"/>
    <x v="1103"/>
    <s v="Annual"/>
    <n v="2"/>
    <n v="1"/>
    <n v="68616"/>
    <n v="137232"/>
  </r>
  <r>
    <x v="0"/>
    <n v="51"/>
    <x v="19"/>
    <x v="6"/>
    <x v="6"/>
    <n v="1005"/>
    <x v="20"/>
    <x v="0"/>
    <x v="33"/>
    <n v="3020"/>
    <x v="146"/>
    <n v="4205"/>
    <x v="88"/>
    <s v="G 08"/>
    <n v="4"/>
    <n v="673"/>
    <x v="218"/>
    <s v="Annual"/>
    <n v="1"/>
    <n v="1"/>
    <n v="141564"/>
    <n v="141564"/>
  </r>
  <r>
    <x v="0"/>
    <n v="51"/>
    <x v="19"/>
    <x v="6"/>
    <x v="6"/>
    <n v="1005"/>
    <x v="20"/>
    <x v="0"/>
    <x v="33"/>
    <n v="3020"/>
    <x v="146"/>
    <n v="4205"/>
    <x v="88"/>
    <s v="G 08"/>
    <n v="4"/>
    <n v="635"/>
    <x v="242"/>
    <s v="Annual"/>
    <n v="1"/>
    <n v="1"/>
    <n v="99408"/>
    <n v="99408"/>
  </r>
  <r>
    <x v="0"/>
    <n v="51"/>
    <x v="19"/>
    <x v="6"/>
    <x v="6"/>
    <n v="1005"/>
    <x v="20"/>
    <x v="0"/>
    <x v="33"/>
    <n v="3020"/>
    <x v="146"/>
    <n v="4205"/>
    <x v="88"/>
    <s v="G 10"/>
    <n v="4"/>
    <n v="625"/>
    <x v="920"/>
    <s v="Annual"/>
    <n v="3"/>
    <n v="1"/>
    <n v="164808"/>
    <n v="494424"/>
  </r>
  <r>
    <x v="0"/>
    <n v="51"/>
    <x v="19"/>
    <x v="6"/>
    <x v="6"/>
    <n v="1005"/>
    <x v="20"/>
    <x v="0"/>
    <x v="33"/>
    <n v="3020"/>
    <x v="146"/>
    <n v="4205"/>
    <x v="88"/>
    <s v="B 14"/>
    <n v="4"/>
    <n v="620"/>
    <x v="1104"/>
    <s v="Annual"/>
    <n v="1"/>
    <n v="1"/>
    <n v="75336"/>
    <n v="75336"/>
  </r>
  <r>
    <x v="0"/>
    <n v="51"/>
    <x v="19"/>
    <x v="6"/>
    <x v="6"/>
    <n v="1005"/>
    <x v="20"/>
    <x v="0"/>
    <x v="33"/>
    <n v="3020"/>
    <x v="146"/>
    <n v="4205"/>
    <x v="88"/>
    <s v="G 10"/>
    <n v="1"/>
    <n v="619"/>
    <x v="1105"/>
    <s v="Annual"/>
    <n v="1"/>
    <n v="1"/>
    <n v="153228"/>
    <n v="153228"/>
  </r>
  <r>
    <x v="0"/>
    <n v="51"/>
    <x v="19"/>
    <x v="6"/>
    <x v="6"/>
    <n v="1005"/>
    <x v="20"/>
    <x v="0"/>
    <x v="33"/>
    <n v="3020"/>
    <x v="146"/>
    <n v="4205"/>
    <x v="88"/>
    <s v="G 10"/>
    <n v="1"/>
    <n v="602"/>
    <x v="1106"/>
    <s v="Annual"/>
    <n v="2"/>
    <n v="1"/>
    <n v="164808"/>
    <n v="329616"/>
  </r>
  <r>
    <x v="0"/>
    <n v="51"/>
    <x v="19"/>
    <x v="6"/>
    <x v="6"/>
    <n v="1005"/>
    <x v="20"/>
    <x v="0"/>
    <x v="33"/>
    <n v="3020"/>
    <x v="146"/>
    <n v="4205"/>
    <x v="88"/>
    <s v="X 33"/>
    <n v="0"/>
    <n v="601"/>
    <x v="332"/>
    <s v="Annual"/>
    <n v="1"/>
    <n v="1"/>
    <n v="153384"/>
    <n v="153384"/>
  </r>
  <r>
    <x v="0"/>
    <n v="51"/>
    <x v="19"/>
    <x v="6"/>
    <x v="6"/>
    <n v="1005"/>
    <x v="20"/>
    <x v="0"/>
    <x v="33"/>
    <n v="3020"/>
    <x v="146"/>
    <n v="4205"/>
    <x v="88"/>
    <s v="BX 18"/>
    <n v="10"/>
    <n v="310"/>
    <x v="135"/>
    <s v="Annual"/>
    <n v="1"/>
    <n v="1"/>
    <n v="124584"/>
    <n v="124584"/>
  </r>
  <r>
    <x v="0"/>
    <n v="51"/>
    <x v="19"/>
    <x v="6"/>
    <x v="6"/>
    <n v="1005"/>
    <x v="20"/>
    <x v="0"/>
    <x v="33"/>
    <n v="3020"/>
    <x v="146"/>
    <n v="4205"/>
    <x v="88"/>
    <s v="BX 18"/>
    <n v="10"/>
    <n v="310"/>
    <x v="135"/>
    <s v="Annual"/>
    <n v="2"/>
    <n v="1"/>
    <n v="113568"/>
    <n v="227136"/>
  </r>
  <r>
    <x v="0"/>
    <n v="51"/>
    <x v="19"/>
    <x v="6"/>
    <x v="6"/>
    <n v="1005"/>
    <x v="20"/>
    <x v="0"/>
    <x v="33"/>
    <n v="3020"/>
    <x v="146"/>
    <n v="4205"/>
    <x v="88"/>
    <s v="BX 18"/>
    <n v="10"/>
    <n v="310"/>
    <x v="135"/>
    <s v="Annual"/>
    <n v="1"/>
    <n v="1"/>
    <n v="102444"/>
    <n v="102444"/>
  </r>
  <r>
    <x v="0"/>
    <n v="51"/>
    <x v="19"/>
    <x v="6"/>
    <x v="6"/>
    <n v="1005"/>
    <x v="20"/>
    <x v="0"/>
    <x v="33"/>
    <n v="3020"/>
    <x v="146"/>
    <n v="4205"/>
    <x v="88"/>
    <s v="BX 18"/>
    <n v="10"/>
    <n v="310"/>
    <x v="135"/>
    <s v="Annual"/>
    <n v="1"/>
    <n v="1"/>
    <n v="89112"/>
    <n v="89112"/>
  </r>
  <r>
    <x v="0"/>
    <n v="51"/>
    <x v="19"/>
    <x v="6"/>
    <x v="6"/>
    <n v="1005"/>
    <x v="20"/>
    <x v="0"/>
    <x v="33"/>
    <n v="3020"/>
    <x v="146"/>
    <n v="4205"/>
    <x v="88"/>
    <s v="1 00"/>
    <n v="0"/>
    <n v="15"/>
    <x v="37"/>
    <s v="Annual"/>
    <n v="0"/>
    <n v="0"/>
    <n v="8433"/>
    <n v="8433"/>
  </r>
  <r>
    <x v="0"/>
    <n v="51"/>
    <x v="19"/>
    <x v="6"/>
    <x v="6"/>
    <n v="1005"/>
    <x v="20"/>
    <x v="0"/>
    <x v="33"/>
    <n v="3020"/>
    <x v="146"/>
    <n v="4210"/>
    <x v="89"/>
    <s v="X 32"/>
    <n v="9"/>
    <n v="9684"/>
    <x v="76"/>
    <s v="Annual"/>
    <n v="1"/>
    <n v="1"/>
    <n v="175512"/>
    <n v="175512"/>
  </r>
  <r>
    <x v="0"/>
    <n v="51"/>
    <x v="19"/>
    <x v="6"/>
    <x v="6"/>
    <n v="1005"/>
    <x v="20"/>
    <x v="0"/>
    <x v="33"/>
    <n v="3020"/>
    <x v="146"/>
    <n v="4210"/>
    <x v="89"/>
    <s v="2 0"/>
    <n v="54"/>
    <n v="9528"/>
    <x v="1107"/>
    <s v="Hourly"/>
    <n v="2"/>
    <n v="1"/>
    <n v="51.4"/>
    <n v="213824"/>
  </r>
  <r>
    <x v="0"/>
    <n v="51"/>
    <x v="19"/>
    <x v="6"/>
    <x v="6"/>
    <n v="1005"/>
    <x v="20"/>
    <x v="0"/>
    <x v="33"/>
    <n v="3020"/>
    <x v="146"/>
    <n v="4210"/>
    <x v="89"/>
    <s v="2 0"/>
    <n v="8"/>
    <n v="7183"/>
    <x v="449"/>
    <s v="Hourly"/>
    <n v="3"/>
    <n v="1"/>
    <n v="48.73"/>
    <n v="304075"/>
  </r>
  <r>
    <x v="0"/>
    <n v="51"/>
    <x v="19"/>
    <x v="6"/>
    <x v="6"/>
    <n v="1005"/>
    <x v="20"/>
    <x v="0"/>
    <x v="33"/>
    <n v="3020"/>
    <x v="146"/>
    <n v="4210"/>
    <x v="89"/>
    <s v="2 0"/>
    <n v="36"/>
    <n v="6674"/>
    <x v="427"/>
    <s v="Hourly"/>
    <n v="2"/>
    <n v="1"/>
    <n v="60.39"/>
    <n v="251222"/>
  </r>
  <r>
    <x v="0"/>
    <n v="51"/>
    <x v="19"/>
    <x v="6"/>
    <x v="6"/>
    <n v="1005"/>
    <x v="20"/>
    <x v="0"/>
    <x v="33"/>
    <n v="3020"/>
    <x v="146"/>
    <n v="4210"/>
    <x v="89"/>
    <s v="G 08"/>
    <n v="4"/>
    <n v="5814"/>
    <x v="967"/>
    <s v="Annual"/>
    <n v="1"/>
    <n v="1"/>
    <n v="141564"/>
    <n v="141564"/>
  </r>
  <r>
    <x v="0"/>
    <n v="51"/>
    <x v="19"/>
    <x v="6"/>
    <x v="6"/>
    <n v="1005"/>
    <x v="20"/>
    <x v="0"/>
    <x v="33"/>
    <n v="3020"/>
    <x v="146"/>
    <n v="4210"/>
    <x v="89"/>
    <s v="2 0"/>
    <n v="29"/>
    <n v="5085"/>
    <x v="1045"/>
    <s v="Monthly"/>
    <n v="1"/>
    <n v="1"/>
    <n v="13074.53"/>
    <n v="156894"/>
  </r>
  <r>
    <x v="0"/>
    <n v="51"/>
    <x v="19"/>
    <x v="6"/>
    <x v="6"/>
    <n v="1005"/>
    <x v="20"/>
    <x v="0"/>
    <x v="33"/>
    <n v="3020"/>
    <x v="146"/>
    <n v="4210"/>
    <x v="89"/>
    <s v="2 0"/>
    <n v="29"/>
    <n v="5084"/>
    <x v="1108"/>
    <s v="Monthly"/>
    <n v="5"/>
    <n v="1"/>
    <n v="12284.13"/>
    <n v="737048"/>
  </r>
  <r>
    <x v="0"/>
    <n v="51"/>
    <x v="19"/>
    <x v="6"/>
    <x v="6"/>
    <n v="1005"/>
    <x v="20"/>
    <x v="0"/>
    <x v="33"/>
    <n v="3020"/>
    <x v="146"/>
    <n v="4210"/>
    <x v="89"/>
    <s v="2 0"/>
    <n v="29"/>
    <n v="5081"/>
    <x v="923"/>
    <s v="Hourly"/>
    <n v="12"/>
    <n v="1"/>
    <n v="64.58"/>
    <n v="1611917"/>
  </r>
  <r>
    <x v="0"/>
    <n v="51"/>
    <x v="19"/>
    <x v="6"/>
    <x v="6"/>
    <n v="1005"/>
    <x v="20"/>
    <x v="0"/>
    <x v="33"/>
    <n v="3020"/>
    <x v="146"/>
    <n v="4210"/>
    <x v="89"/>
    <s v="2 0"/>
    <n v="29"/>
    <n v="5080"/>
    <x v="1109"/>
    <s v="Monthly"/>
    <n v="19"/>
    <n v="1"/>
    <n v="11193.87"/>
    <n v="2552202"/>
  </r>
  <r>
    <x v="0"/>
    <n v="51"/>
    <x v="19"/>
    <x v="6"/>
    <x v="6"/>
    <n v="1005"/>
    <x v="20"/>
    <x v="0"/>
    <x v="33"/>
    <n v="3020"/>
    <x v="146"/>
    <n v="4210"/>
    <x v="89"/>
    <s v="2 0"/>
    <n v="32"/>
    <n v="5040"/>
    <x v="430"/>
    <s v="Hourly"/>
    <n v="1"/>
    <n v="1"/>
    <n v="63.53"/>
    <n v="132142"/>
  </r>
  <r>
    <x v="0"/>
    <n v="51"/>
    <x v="19"/>
    <x v="6"/>
    <x v="6"/>
    <n v="1005"/>
    <x v="20"/>
    <x v="0"/>
    <x v="33"/>
    <n v="3020"/>
    <x v="146"/>
    <n v="4210"/>
    <x v="89"/>
    <s v="2 0"/>
    <n v="32"/>
    <n v="5036"/>
    <x v="1110"/>
    <s v="Monthly"/>
    <n v="4"/>
    <n v="1"/>
    <n v="10010"/>
    <n v="480480"/>
  </r>
  <r>
    <x v="0"/>
    <n v="51"/>
    <x v="19"/>
    <x v="6"/>
    <x v="6"/>
    <n v="1005"/>
    <x v="20"/>
    <x v="0"/>
    <x v="33"/>
    <n v="3020"/>
    <x v="146"/>
    <n v="4210"/>
    <x v="89"/>
    <s v="2 0"/>
    <n v="32"/>
    <n v="5035"/>
    <x v="431"/>
    <s v="Hourly"/>
    <n v="7"/>
    <n v="1"/>
    <n v="57.75"/>
    <n v="840840"/>
  </r>
  <r>
    <x v="0"/>
    <n v="51"/>
    <x v="19"/>
    <x v="6"/>
    <x v="6"/>
    <n v="1005"/>
    <x v="20"/>
    <x v="0"/>
    <x v="33"/>
    <n v="3020"/>
    <x v="146"/>
    <n v="4210"/>
    <x v="89"/>
    <s v="1 00"/>
    <n v="0"/>
    <n v="15"/>
    <x v="37"/>
    <s v="Annual"/>
    <n v="0"/>
    <n v="0"/>
    <n v="3409"/>
    <n v="3409"/>
  </r>
  <r>
    <x v="0"/>
    <n v="51"/>
    <x v="19"/>
    <x v="6"/>
    <x v="6"/>
    <n v="1005"/>
    <x v="20"/>
    <x v="0"/>
    <x v="33"/>
    <n v="3020"/>
    <x v="146"/>
    <n v="4210"/>
    <x v="89"/>
    <s v="1 00"/>
    <n v="0"/>
    <n v="12"/>
    <x v="291"/>
    <s v="Annual"/>
    <n v="0"/>
    <n v="0"/>
    <n v="109209"/>
    <n v="109209"/>
  </r>
  <r>
    <x v="0"/>
    <n v="51"/>
    <x v="19"/>
    <x v="6"/>
    <x v="6"/>
    <n v="1005"/>
    <x v="20"/>
    <x v="0"/>
    <x v="33"/>
    <n v="3020"/>
    <x v="146"/>
    <n v="4220"/>
    <x v="290"/>
    <s v="X 32"/>
    <n v="9"/>
    <n v="9684"/>
    <x v="76"/>
    <s v="Annual"/>
    <n v="1"/>
    <n v="1"/>
    <n v="175512"/>
    <n v="175512"/>
  </r>
  <r>
    <x v="0"/>
    <n v="51"/>
    <x v="19"/>
    <x v="6"/>
    <x v="6"/>
    <n v="1005"/>
    <x v="20"/>
    <x v="0"/>
    <x v="33"/>
    <n v="3020"/>
    <x v="146"/>
    <n v="4220"/>
    <x v="290"/>
    <s v="2 0"/>
    <n v="32"/>
    <n v="5040"/>
    <x v="430"/>
    <s v="Hourly"/>
    <n v="4"/>
    <n v="1"/>
    <n v="63.53"/>
    <n v="528570"/>
  </r>
  <r>
    <x v="0"/>
    <n v="51"/>
    <x v="19"/>
    <x v="6"/>
    <x v="6"/>
    <n v="1005"/>
    <x v="20"/>
    <x v="0"/>
    <x v="33"/>
    <n v="3020"/>
    <x v="146"/>
    <n v="4220"/>
    <x v="290"/>
    <s v="2 0"/>
    <n v="32"/>
    <n v="5035"/>
    <x v="431"/>
    <s v="Hourly"/>
    <n v="31"/>
    <n v="1"/>
    <n v="57.75"/>
    <n v="3723720"/>
  </r>
  <r>
    <x v="0"/>
    <n v="51"/>
    <x v="19"/>
    <x v="6"/>
    <x v="6"/>
    <n v="1005"/>
    <x v="20"/>
    <x v="0"/>
    <x v="33"/>
    <n v="3020"/>
    <x v="146"/>
    <n v="4220"/>
    <x v="290"/>
    <s v="B 14"/>
    <n v="1"/>
    <n v="1854"/>
    <x v="611"/>
    <s v="Annual"/>
    <n v="1"/>
    <n v="1"/>
    <n v="113628"/>
    <n v="113628"/>
  </r>
  <r>
    <x v="0"/>
    <n v="51"/>
    <x v="19"/>
    <x v="6"/>
    <x v="6"/>
    <n v="1005"/>
    <x v="20"/>
    <x v="0"/>
    <x v="33"/>
    <n v="3020"/>
    <x v="146"/>
    <n v="4220"/>
    <x v="290"/>
    <s v="BX 18"/>
    <n v="10"/>
    <n v="311"/>
    <x v="253"/>
    <s v="Annual"/>
    <n v="1"/>
    <n v="1"/>
    <n v="150072"/>
    <n v="150072"/>
  </r>
  <r>
    <x v="0"/>
    <n v="51"/>
    <x v="19"/>
    <x v="6"/>
    <x v="6"/>
    <n v="1005"/>
    <x v="20"/>
    <x v="0"/>
    <x v="33"/>
    <n v="3020"/>
    <x v="146"/>
    <n v="4220"/>
    <x v="290"/>
    <s v="1 00"/>
    <n v="0"/>
    <n v="15"/>
    <x v="37"/>
    <s v="Annual"/>
    <n v="0"/>
    <n v="0"/>
    <n v="8282"/>
    <n v="8282"/>
  </r>
  <r>
    <x v="0"/>
    <n v="51"/>
    <x v="19"/>
    <x v="6"/>
    <x v="6"/>
    <n v="1005"/>
    <x v="20"/>
    <x v="0"/>
    <x v="33"/>
    <n v="3020"/>
    <x v="146"/>
    <n v="4220"/>
    <x v="290"/>
    <s v="1 00"/>
    <n v="0"/>
    <n v="12"/>
    <x v="291"/>
    <s v="Annual"/>
    <n v="0"/>
    <n v="0"/>
    <n v="63785"/>
    <n v="63785"/>
  </r>
  <r>
    <x v="0"/>
    <n v="58"/>
    <x v="23"/>
    <x v="6"/>
    <x v="6"/>
    <n v="1010"/>
    <x v="24"/>
    <x v="23"/>
    <x v="43"/>
    <n v="3005"/>
    <x v="185"/>
    <n v="4005"/>
    <x v="154"/>
    <s v="BX 16"/>
    <n v="10"/>
    <n v="1430"/>
    <x v="355"/>
    <s v="Annual"/>
    <n v="1"/>
    <n v="1"/>
    <n v="76476"/>
    <n v="76476"/>
  </r>
  <r>
    <x v="0"/>
    <n v="58"/>
    <x v="23"/>
    <x v="6"/>
    <x v="6"/>
    <n v="1010"/>
    <x v="24"/>
    <x v="23"/>
    <x v="43"/>
    <n v="3010"/>
    <x v="16"/>
    <n v="4030"/>
    <x v="65"/>
    <s v="SP 01"/>
    <n v="57"/>
    <n v="8604"/>
    <x v="1111"/>
    <s v="Annual"/>
    <n v="1"/>
    <n v="1"/>
    <n v="127284"/>
    <n v="127284"/>
  </r>
  <r>
    <x v="0"/>
    <n v="58"/>
    <x v="23"/>
    <x v="6"/>
    <x v="6"/>
    <n v="1010"/>
    <x v="24"/>
    <x v="23"/>
    <x v="43"/>
    <n v="3010"/>
    <x v="16"/>
    <n v="4030"/>
    <x v="65"/>
    <s v="I 14"/>
    <n v="2"/>
    <n v="8602"/>
    <x v="718"/>
    <s v="Annual"/>
    <n v="1"/>
    <n v="1"/>
    <n v="109404"/>
    <n v="109404"/>
  </r>
  <r>
    <x v="0"/>
    <n v="58"/>
    <x v="23"/>
    <x v="6"/>
    <x v="6"/>
    <n v="1010"/>
    <x v="24"/>
    <x v="23"/>
    <x v="43"/>
    <n v="3010"/>
    <x v="16"/>
    <n v="4030"/>
    <x v="65"/>
    <s v="I 14"/>
    <n v="2"/>
    <n v="8602"/>
    <x v="718"/>
    <s v="Annual"/>
    <n v="1"/>
    <n v="1"/>
    <n v="77988"/>
    <n v="77988"/>
  </r>
  <r>
    <x v="0"/>
    <n v="58"/>
    <x v="23"/>
    <x v="6"/>
    <x v="6"/>
    <n v="1010"/>
    <x v="24"/>
    <x v="23"/>
    <x v="43"/>
    <n v="3010"/>
    <x v="16"/>
    <n v="4030"/>
    <x v="65"/>
    <s v="I 14"/>
    <n v="2"/>
    <n v="8602"/>
    <x v="718"/>
    <s v="Annual"/>
    <n v="1"/>
    <n v="1"/>
    <n v="74520"/>
    <n v="74520"/>
  </r>
  <r>
    <x v="0"/>
    <n v="58"/>
    <x v="23"/>
    <x v="6"/>
    <x v="6"/>
    <n v="1010"/>
    <x v="24"/>
    <x v="23"/>
    <x v="43"/>
    <n v="3010"/>
    <x v="16"/>
    <n v="4030"/>
    <x v="65"/>
    <s v="I 14"/>
    <n v="2"/>
    <n v="8602"/>
    <x v="718"/>
    <s v="Annual"/>
    <n v="1"/>
    <n v="1"/>
    <n v="71076"/>
    <n v="71076"/>
  </r>
  <r>
    <x v="0"/>
    <n v="58"/>
    <x v="23"/>
    <x v="6"/>
    <x v="6"/>
    <n v="1010"/>
    <x v="24"/>
    <x v="23"/>
    <x v="43"/>
    <n v="3010"/>
    <x v="16"/>
    <n v="4030"/>
    <x v="65"/>
    <s v="I 14"/>
    <n v="2"/>
    <n v="8602"/>
    <x v="718"/>
    <s v="Annual"/>
    <n v="4"/>
    <n v="1"/>
    <n v="67884"/>
    <n v="271536"/>
  </r>
  <r>
    <x v="0"/>
    <n v="58"/>
    <x v="23"/>
    <x v="6"/>
    <x v="6"/>
    <n v="1010"/>
    <x v="24"/>
    <x v="23"/>
    <x v="43"/>
    <n v="3010"/>
    <x v="16"/>
    <n v="4030"/>
    <x v="65"/>
    <s v="1 00"/>
    <n v="0"/>
    <n v="15"/>
    <x v="37"/>
    <s v="Annual"/>
    <n v="0"/>
    <n v="0"/>
    <n v="9978"/>
    <n v="9978"/>
  </r>
  <r>
    <x v="0"/>
    <n v="58"/>
    <x v="23"/>
    <x v="6"/>
    <x v="6"/>
    <n v="1010"/>
    <x v="24"/>
    <x v="23"/>
    <x v="43"/>
    <n v="3010"/>
    <x v="16"/>
    <n v="4040"/>
    <x v="291"/>
    <s v="X 32"/>
    <n v="9"/>
    <n v="9684"/>
    <x v="76"/>
    <s v="Annual"/>
    <n v="1"/>
    <n v="1"/>
    <n v="157332"/>
    <n v="157332"/>
  </r>
  <r>
    <x v="0"/>
    <n v="58"/>
    <x v="23"/>
    <x v="6"/>
    <x v="6"/>
    <n v="1010"/>
    <x v="24"/>
    <x v="23"/>
    <x v="43"/>
    <n v="3010"/>
    <x v="16"/>
    <n v="4040"/>
    <x v="291"/>
    <s v="I 15"/>
    <n v="2"/>
    <n v="8633"/>
    <x v="1112"/>
    <s v="Annual"/>
    <n v="25"/>
    <n v="1"/>
    <n v="74520"/>
    <n v="1863000"/>
  </r>
  <r>
    <x v="0"/>
    <n v="58"/>
    <x v="23"/>
    <x v="6"/>
    <x v="6"/>
    <n v="1010"/>
    <x v="24"/>
    <x v="23"/>
    <x v="43"/>
    <n v="3010"/>
    <x v="16"/>
    <n v="4040"/>
    <x v="291"/>
    <s v="X 33"/>
    <n v="0"/>
    <n v="8608"/>
    <x v="1113"/>
    <s v="Annual"/>
    <n v="3"/>
    <n v="1"/>
    <n v="153384"/>
    <n v="460152"/>
  </r>
  <r>
    <x v="0"/>
    <n v="58"/>
    <x v="23"/>
    <x v="6"/>
    <x v="6"/>
    <n v="1010"/>
    <x v="24"/>
    <x v="23"/>
    <x v="43"/>
    <n v="3010"/>
    <x v="16"/>
    <n v="4040"/>
    <x v="291"/>
    <s v="X 33"/>
    <n v="0"/>
    <n v="8608"/>
    <x v="1113"/>
    <s v="Annual"/>
    <n v="2"/>
    <n v="1"/>
    <n v="146808"/>
    <n v="293616"/>
  </r>
  <r>
    <x v="0"/>
    <n v="58"/>
    <x v="23"/>
    <x v="6"/>
    <x v="6"/>
    <n v="1010"/>
    <x v="24"/>
    <x v="23"/>
    <x v="43"/>
    <n v="3010"/>
    <x v="16"/>
    <n v="4040"/>
    <x v="291"/>
    <s v="X 33"/>
    <n v="0"/>
    <n v="8608"/>
    <x v="1113"/>
    <s v="Annual"/>
    <n v="2"/>
    <n v="1"/>
    <n v="137532"/>
    <n v="275064"/>
  </r>
  <r>
    <x v="0"/>
    <n v="58"/>
    <x v="23"/>
    <x v="6"/>
    <x v="6"/>
    <n v="1010"/>
    <x v="24"/>
    <x v="23"/>
    <x v="43"/>
    <n v="3010"/>
    <x v="16"/>
    <n v="4040"/>
    <x v="291"/>
    <s v="X 33"/>
    <n v="0"/>
    <n v="8608"/>
    <x v="1113"/>
    <s v="Annual"/>
    <n v="1"/>
    <n v="1"/>
    <n v="121668"/>
    <n v="121668"/>
  </r>
  <r>
    <x v="0"/>
    <n v="58"/>
    <x v="23"/>
    <x v="6"/>
    <x v="6"/>
    <n v="1010"/>
    <x v="24"/>
    <x v="23"/>
    <x v="43"/>
    <n v="3010"/>
    <x v="16"/>
    <n v="4040"/>
    <x v="291"/>
    <s v="SP 01"/>
    <n v="57"/>
    <n v="8604"/>
    <x v="1111"/>
    <s v="Annual"/>
    <n v="1"/>
    <n v="1"/>
    <n v="131436"/>
    <n v="131436"/>
  </r>
  <r>
    <x v="0"/>
    <n v="58"/>
    <x v="23"/>
    <x v="6"/>
    <x v="6"/>
    <n v="1010"/>
    <x v="24"/>
    <x v="23"/>
    <x v="43"/>
    <n v="3010"/>
    <x v="16"/>
    <n v="4040"/>
    <x v="291"/>
    <s v="SP 01"/>
    <n v="57"/>
    <n v="8604"/>
    <x v="1111"/>
    <s v="Annual"/>
    <n v="3"/>
    <n v="1"/>
    <n v="130788"/>
    <n v="392364"/>
  </r>
  <r>
    <x v="0"/>
    <n v="58"/>
    <x v="23"/>
    <x v="6"/>
    <x v="6"/>
    <n v="1010"/>
    <x v="24"/>
    <x v="23"/>
    <x v="43"/>
    <n v="3010"/>
    <x v="16"/>
    <n v="4040"/>
    <x v="291"/>
    <s v="SP 01"/>
    <n v="57"/>
    <n v="8604"/>
    <x v="1111"/>
    <s v="Annual"/>
    <n v="2"/>
    <n v="1"/>
    <n v="129852"/>
    <n v="259704"/>
  </r>
  <r>
    <x v="0"/>
    <n v="58"/>
    <x v="23"/>
    <x v="6"/>
    <x v="6"/>
    <n v="1010"/>
    <x v="24"/>
    <x v="23"/>
    <x v="43"/>
    <n v="3010"/>
    <x v="16"/>
    <n v="4040"/>
    <x v="291"/>
    <s v="SP 01"/>
    <n v="57"/>
    <n v="8604"/>
    <x v="1111"/>
    <s v="Annual"/>
    <n v="2"/>
    <n v="1"/>
    <n v="128892"/>
    <n v="257784"/>
  </r>
  <r>
    <x v="0"/>
    <n v="58"/>
    <x v="23"/>
    <x v="6"/>
    <x v="6"/>
    <n v="1010"/>
    <x v="24"/>
    <x v="23"/>
    <x v="43"/>
    <n v="3010"/>
    <x v="16"/>
    <n v="4040"/>
    <x v="291"/>
    <s v="SP 01"/>
    <n v="57"/>
    <n v="8604"/>
    <x v="1111"/>
    <s v="Annual"/>
    <n v="6"/>
    <n v="1"/>
    <n v="127956"/>
    <n v="767736"/>
  </r>
  <r>
    <x v="0"/>
    <n v="58"/>
    <x v="23"/>
    <x v="6"/>
    <x v="6"/>
    <n v="1010"/>
    <x v="24"/>
    <x v="23"/>
    <x v="43"/>
    <n v="3010"/>
    <x v="16"/>
    <n v="4040"/>
    <x v="291"/>
    <s v="SP 01"/>
    <n v="57"/>
    <n v="8604"/>
    <x v="1111"/>
    <s v="Annual"/>
    <n v="6"/>
    <n v="1"/>
    <n v="127284"/>
    <n v="763704"/>
  </r>
  <r>
    <x v="0"/>
    <n v="58"/>
    <x v="23"/>
    <x v="6"/>
    <x v="6"/>
    <n v="1010"/>
    <x v="24"/>
    <x v="23"/>
    <x v="43"/>
    <n v="3010"/>
    <x v="16"/>
    <n v="4040"/>
    <x v="291"/>
    <s v="SP 01"/>
    <n v="57"/>
    <n v="8604"/>
    <x v="1111"/>
    <s v="Annual"/>
    <n v="10"/>
    <n v="1"/>
    <n v="125208"/>
    <n v="1252080"/>
  </r>
  <r>
    <x v="0"/>
    <n v="58"/>
    <x v="23"/>
    <x v="6"/>
    <x v="6"/>
    <n v="1010"/>
    <x v="24"/>
    <x v="23"/>
    <x v="43"/>
    <n v="3010"/>
    <x v="16"/>
    <n v="4040"/>
    <x v="291"/>
    <s v="I 14"/>
    <n v="2"/>
    <n v="8602"/>
    <x v="718"/>
    <s v="Annual"/>
    <n v="29"/>
    <n v="1"/>
    <n v="120024"/>
    <n v="3480696"/>
  </r>
  <r>
    <x v="0"/>
    <n v="58"/>
    <x v="23"/>
    <x v="6"/>
    <x v="6"/>
    <n v="1010"/>
    <x v="24"/>
    <x v="23"/>
    <x v="43"/>
    <n v="3010"/>
    <x v="16"/>
    <n v="4040"/>
    <x v="291"/>
    <s v="I 14"/>
    <n v="2"/>
    <n v="8602"/>
    <x v="718"/>
    <s v="Annual"/>
    <n v="8"/>
    <n v="1"/>
    <n v="114636"/>
    <n v="917088"/>
  </r>
  <r>
    <x v="0"/>
    <n v="58"/>
    <x v="23"/>
    <x v="6"/>
    <x v="6"/>
    <n v="1010"/>
    <x v="24"/>
    <x v="23"/>
    <x v="43"/>
    <n v="3010"/>
    <x v="16"/>
    <n v="4040"/>
    <x v="291"/>
    <s v="I 14"/>
    <n v="2"/>
    <n v="8602"/>
    <x v="718"/>
    <s v="Annual"/>
    <n v="12"/>
    <n v="1"/>
    <n v="109404"/>
    <n v="1312848"/>
  </r>
  <r>
    <x v="0"/>
    <n v="58"/>
    <x v="23"/>
    <x v="6"/>
    <x v="6"/>
    <n v="1010"/>
    <x v="24"/>
    <x v="23"/>
    <x v="43"/>
    <n v="3010"/>
    <x v="16"/>
    <n v="4040"/>
    <x v="291"/>
    <s v="I 14"/>
    <n v="2"/>
    <n v="8602"/>
    <x v="718"/>
    <s v="Annual"/>
    <n v="7"/>
    <n v="1"/>
    <n v="104376"/>
    <n v="730632"/>
  </r>
  <r>
    <x v="0"/>
    <n v="58"/>
    <x v="23"/>
    <x v="6"/>
    <x v="6"/>
    <n v="1010"/>
    <x v="24"/>
    <x v="23"/>
    <x v="43"/>
    <n v="3010"/>
    <x v="16"/>
    <n v="4040"/>
    <x v="291"/>
    <s v="I 14"/>
    <n v="2"/>
    <n v="8602"/>
    <x v="718"/>
    <s v="Annual"/>
    <n v="10"/>
    <n v="1"/>
    <n v="99708"/>
    <n v="997080"/>
  </r>
  <r>
    <x v="0"/>
    <n v="58"/>
    <x v="23"/>
    <x v="6"/>
    <x v="6"/>
    <n v="1010"/>
    <x v="24"/>
    <x v="23"/>
    <x v="43"/>
    <n v="3010"/>
    <x v="16"/>
    <n v="4040"/>
    <x v="291"/>
    <s v="I 14"/>
    <n v="2"/>
    <n v="8602"/>
    <x v="718"/>
    <s v="Annual"/>
    <n v="12"/>
    <n v="1"/>
    <n v="95160"/>
    <n v="1141920"/>
  </r>
  <r>
    <x v="0"/>
    <n v="58"/>
    <x v="23"/>
    <x v="6"/>
    <x v="6"/>
    <n v="1010"/>
    <x v="24"/>
    <x v="23"/>
    <x v="43"/>
    <n v="3010"/>
    <x v="16"/>
    <n v="4040"/>
    <x v="291"/>
    <s v="I 14"/>
    <n v="2"/>
    <n v="8602"/>
    <x v="718"/>
    <s v="Annual"/>
    <n v="22"/>
    <n v="1"/>
    <n v="90876"/>
    <n v="1999272"/>
  </r>
  <r>
    <x v="0"/>
    <n v="58"/>
    <x v="23"/>
    <x v="6"/>
    <x v="6"/>
    <n v="1010"/>
    <x v="24"/>
    <x v="23"/>
    <x v="43"/>
    <n v="3010"/>
    <x v="16"/>
    <n v="4040"/>
    <x v="291"/>
    <s v="I 14"/>
    <n v="2"/>
    <n v="8602"/>
    <x v="718"/>
    <s v="Annual"/>
    <n v="34"/>
    <n v="1"/>
    <n v="86772"/>
    <n v="2950248"/>
  </r>
  <r>
    <x v="0"/>
    <n v="58"/>
    <x v="23"/>
    <x v="6"/>
    <x v="6"/>
    <n v="1010"/>
    <x v="24"/>
    <x v="23"/>
    <x v="43"/>
    <n v="3010"/>
    <x v="16"/>
    <n v="4040"/>
    <x v="291"/>
    <s v="I 14"/>
    <n v="2"/>
    <n v="8602"/>
    <x v="718"/>
    <s v="Annual"/>
    <n v="28"/>
    <n v="1"/>
    <n v="77988"/>
    <n v="2183664"/>
  </r>
  <r>
    <x v="0"/>
    <n v="58"/>
    <x v="23"/>
    <x v="6"/>
    <x v="6"/>
    <n v="1010"/>
    <x v="24"/>
    <x v="23"/>
    <x v="43"/>
    <n v="3010"/>
    <x v="16"/>
    <n v="4040"/>
    <x v="291"/>
    <s v="I 14"/>
    <n v="2"/>
    <n v="8602"/>
    <x v="718"/>
    <s v="Annual"/>
    <n v="18"/>
    <n v="1"/>
    <n v="74520"/>
    <n v="1341360"/>
  </r>
  <r>
    <x v="0"/>
    <n v="58"/>
    <x v="23"/>
    <x v="6"/>
    <x v="6"/>
    <n v="1010"/>
    <x v="24"/>
    <x v="23"/>
    <x v="43"/>
    <n v="3010"/>
    <x v="16"/>
    <n v="4040"/>
    <x v="291"/>
    <s v="I 14"/>
    <n v="2"/>
    <n v="8602"/>
    <x v="718"/>
    <s v="Annual"/>
    <n v="7"/>
    <n v="1"/>
    <n v="71076"/>
    <n v="497532"/>
  </r>
  <r>
    <x v="0"/>
    <n v="58"/>
    <x v="23"/>
    <x v="6"/>
    <x v="6"/>
    <n v="1010"/>
    <x v="24"/>
    <x v="23"/>
    <x v="43"/>
    <n v="3010"/>
    <x v="16"/>
    <n v="4040"/>
    <x v="291"/>
    <s v="I 14"/>
    <n v="2"/>
    <n v="8602"/>
    <x v="718"/>
    <s v="Annual"/>
    <n v="63"/>
    <n v="1"/>
    <n v="67884"/>
    <n v="4276692"/>
  </r>
  <r>
    <x v="0"/>
    <n v="58"/>
    <x v="23"/>
    <x v="6"/>
    <x v="6"/>
    <n v="1010"/>
    <x v="24"/>
    <x v="23"/>
    <x v="43"/>
    <n v="3010"/>
    <x v="16"/>
    <n v="4040"/>
    <x v="291"/>
    <s v="I 13"/>
    <n v="2"/>
    <n v="8601"/>
    <x v="1114"/>
    <s v="Annual"/>
    <n v="20"/>
    <n v="1"/>
    <n v="109404"/>
    <n v="2188080"/>
  </r>
  <r>
    <x v="0"/>
    <n v="58"/>
    <x v="23"/>
    <x v="6"/>
    <x v="6"/>
    <n v="1010"/>
    <x v="24"/>
    <x v="23"/>
    <x v="43"/>
    <n v="3010"/>
    <x v="16"/>
    <n v="4040"/>
    <x v="291"/>
    <s v="I 13"/>
    <n v="2"/>
    <n v="8601"/>
    <x v="1114"/>
    <s v="Annual"/>
    <n v="13"/>
    <n v="1"/>
    <n v="104376"/>
    <n v="1356888"/>
  </r>
  <r>
    <x v="0"/>
    <n v="58"/>
    <x v="23"/>
    <x v="6"/>
    <x v="6"/>
    <n v="1010"/>
    <x v="24"/>
    <x v="23"/>
    <x v="43"/>
    <n v="3010"/>
    <x v="16"/>
    <n v="4040"/>
    <x v="291"/>
    <s v="I 13"/>
    <n v="2"/>
    <n v="8601"/>
    <x v="1114"/>
    <s v="Annual"/>
    <n v="8"/>
    <n v="1"/>
    <n v="99708"/>
    <n v="797664"/>
  </r>
  <r>
    <x v="0"/>
    <n v="58"/>
    <x v="23"/>
    <x v="6"/>
    <x v="6"/>
    <n v="1010"/>
    <x v="24"/>
    <x v="23"/>
    <x v="43"/>
    <n v="3010"/>
    <x v="16"/>
    <n v="4040"/>
    <x v="291"/>
    <s v="I 13"/>
    <n v="2"/>
    <n v="8601"/>
    <x v="1114"/>
    <s v="Annual"/>
    <n v="9"/>
    <n v="1"/>
    <n v="95160"/>
    <n v="856440"/>
  </r>
  <r>
    <x v="0"/>
    <n v="58"/>
    <x v="23"/>
    <x v="6"/>
    <x v="6"/>
    <n v="1010"/>
    <x v="24"/>
    <x v="23"/>
    <x v="43"/>
    <n v="3010"/>
    <x v="16"/>
    <n v="4040"/>
    <x v="291"/>
    <s v="I 13"/>
    <n v="2"/>
    <n v="8601"/>
    <x v="1114"/>
    <s v="Annual"/>
    <n v="9"/>
    <n v="1"/>
    <n v="90876"/>
    <n v="817884"/>
  </r>
  <r>
    <x v="0"/>
    <n v="58"/>
    <x v="23"/>
    <x v="6"/>
    <x v="6"/>
    <n v="1010"/>
    <x v="24"/>
    <x v="23"/>
    <x v="43"/>
    <n v="3010"/>
    <x v="16"/>
    <n v="4040"/>
    <x v="291"/>
    <s v="I 13"/>
    <n v="2"/>
    <n v="8601"/>
    <x v="1114"/>
    <s v="Annual"/>
    <n v="3"/>
    <n v="1"/>
    <n v="86772"/>
    <n v="260316"/>
  </r>
  <r>
    <x v="0"/>
    <n v="58"/>
    <x v="23"/>
    <x v="6"/>
    <x v="6"/>
    <n v="1010"/>
    <x v="24"/>
    <x v="23"/>
    <x v="43"/>
    <n v="3010"/>
    <x v="16"/>
    <n v="4040"/>
    <x v="291"/>
    <s v="I 13"/>
    <n v="2"/>
    <n v="8601"/>
    <x v="1114"/>
    <s v="Annual"/>
    <n v="37"/>
    <n v="1"/>
    <n v="82836"/>
    <n v="3064932"/>
  </r>
  <r>
    <x v="0"/>
    <n v="58"/>
    <x v="23"/>
    <x v="6"/>
    <x v="6"/>
    <n v="1010"/>
    <x v="24"/>
    <x v="23"/>
    <x v="43"/>
    <n v="3010"/>
    <x v="16"/>
    <n v="4040"/>
    <x v="291"/>
    <s v="I 13"/>
    <n v="2"/>
    <n v="8601"/>
    <x v="1114"/>
    <s v="Annual"/>
    <n v="11"/>
    <n v="1"/>
    <n v="79056"/>
    <n v="869616"/>
  </r>
  <r>
    <x v="0"/>
    <n v="58"/>
    <x v="23"/>
    <x v="6"/>
    <x v="6"/>
    <n v="1010"/>
    <x v="24"/>
    <x v="23"/>
    <x v="43"/>
    <n v="3010"/>
    <x v="16"/>
    <n v="4040"/>
    <x v="291"/>
    <s v="I 13"/>
    <n v="2"/>
    <n v="8601"/>
    <x v="1114"/>
    <s v="Annual"/>
    <n v="16"/>
    <n v="1"/>
    <n v="71076"/>
    <n v="1137216"/>
  </r>
  <r>
    <x v="0"/>
    <n v="58"/>
    <x v="23"/>
    <x v="6"/>
    <x v="6"/>
    <n v="1010"/>
    <x v="24"/>
    <x v="23"/>
    <x v="43"/>
    <n v="3010"/>
    <x v="16"/>
    <n v="4040"/>
    <x v="291"/>
    <s v="I 13"/>
    <n v="2"/>
    <n v="8601"/>
    <x v="1114"/>
    <s v="Annual"/>
    <n v="16"/>
    <n v="1"/>
    <n v="67884"/>
    <n v="1086144"/>
  </r>
  <r>
    <x v="0"/>
    <n v="58"/>
    <x v="23"/>
    <x v="6"/>
    <x v="6"/>
    <n v="1010"/>
    <x v="24"/>
    <x v="23"/>
    <x v="43"/>
    <n v="3010"/>
    <x v="16"/>
    <n v="4040"/>
    <x v="291"/>
    <s v="I 13"/>
    <n v="2"/>
    <n v="8601"/>
    <x v="1114"/>
    <s v="Annual"/>
    <n v="25"/>
    <n v="1"/>
    <n v="64836"/>
    <n v="1620900"/>
  </r>
  <r>
    <x v="0"/>
    <n v="58"/>
    <x v="23"/>
    <x v="6"/>
    <x v="6"/>
    <n v="1010"/>
    <x v="24"/>
    <x v="23"/>
    <x v="43"/>
    <n v="3010"/>
    <x v="16"/>
    <n v="4040"/>
    <x v="291"/>
    <s v="I 13"/>
    <n v="2"/>
    <n v="8601"/>
    <x v="1114"/>
    <s v="Annual"/>
    <n v="36"/>
    <n v="1"/>
    <n v="61824"/>
    <n v="2225664"/>
  </r>
  <r>
    <x v="0"/>
    <n v="58"/>
    <x v="23"/>
    <x v="6"/>
    <x v="6"/>
    <n v="1010"/>
    <x v="24"/>
    <x v="23"/>
    <x v="43"/>
    <n v="3010"/>
    <x v="16"/>
    <n v="4040"/>
    <x v="291"/>
    <s v="B 15"/>
    <n v="1"/>
    <n v="729"/>
    <x v="32"/>
    <s v="Annual"/>
    <n v="1"/>
    <n v="1"/>
    <n v="93504"/>
    <n v="93504"/>
  </r>
  <r>
    <x v="0"/>
    <n v="58"/>
    <x v="23"/>
    <x v="6"/>
    <x v="6"/>
    <n v="1010"/>
    <x v="24"/>
    <x v="23"/>
    <x v="43"/>
    <n v="3010"/>
    <x v="16"/>
    <n v="4040"/>
    <x v="291"/>
    <s v="X 33"/>
    <n v="0"/>
    <n v="306"/>
    <x v="237"/>
    <s v="Annual"/>
    <n v="1"/>
    <n v="1"/>
    <n v="153384"/>
    <n v="153384"/>
  </r>
  <r>
    <x v="0"/>
    <n v="58"/>
    <x v="23"/>
    <x v="6"/>
    <x v="6"/>
    <n v="1010"/>
    <x v="24"/>
    <x v="23"/>
    <x v="43"/>
    <n v="3010"/>
    <x v="16"/>
    <n v="4040"/>
    <x v="291"/>
    <s v="1 00"/>
    <n v="0"/>
    <n v="15"/>
    <x v="37"/>
    <s v="Annual"/>
    <n v="0"/>
    <n v="0"/>
    <n v="375724"/>
    <n v="375724"/>
  </r>
  <r>
    <x v="0"/>
    <n v="58"/>
    <x v="23"/>
    <x v="6"/>
    <x v="6"/>
    <n v="1010"/>
    <x v="24"/>
    <x v="23"/>
    <x v="43"/>
    <n v="3010"/>
    <x v="16"/>
    <n v="4045"/>
    <x v="292"/>
    <s v="2 0"/>
    <n v="29"/>
    <n v="8609"/>
    <x v="1115"/>
    <s v="Monthly"/>
    <n v="2"/>
    <n v="1"/>
    <n v="13074.53"/>
    <n v="313789"/>
  </r>
  <r>
    <x v="0"/>
    <n v="58"/>
    <x v="23"/>
    <x v="6"/>
    <x v="6"/>
    <n v="1010"/>
    <x v="24"/>
    <x v="23"/>
    <x v="43"/>
    <n v="3010"/>
    <x v="16"/>
    <n v="4045"/>
    <x v="292"/>
    <s v="2 0"/>
    <n v="29"/>
    <n v="8607"/>
    <x v="1116"/>
    <s v="Monthly"/>
    <n v="12"/>
    <n v="1"/>
    <n v="12284.13"/>
    <n v="1768915"/>
  </r>
  <r>
    <x v="0"/>
    <n v="58"/>
    <x v="23"/>
    <x v="6"/>
    <x v="6"/>
    <n v="1010"/>
    <x v="24"/>
    <x v="23"/>
    <x v="43"/>
    <n v="3010"/>
    <x v="16"/>
    <n v="4045"/>
    <x v="292"/>
    <s v="Q 02"/>
    <n v="29"/>
    <n v="8606"/>
    <x v="1117"/>
    <s v="Annual"/>
    <n v="27"/>
    <n v="1"/>
    <n v="123120"/>
    <n v="3324240"/>
  </r>
  <r>
    <x v="0"/>
    <n v="58"/>
    <x v="23"/>
    <x v="6"/>
    <x v="6"/>
    <n v="1010"/>
    <x v="24"/>
    <x v="23"/>
    <x v="43"/>
    <n v="3010"/>
    <x v="16"/>
    <n v="4045"/>
    <x v="292"/>
    <s v="Q 02"/>
    <n v="29"/>
    <n v="8606"/>
    <x v="1117"/>
    <s v="Annual"/>
    <n v="12"/>
    <n v="1"/>
    <n v="104616"/>
    <n v="1255392"/>
  </r>
  <r>
    <x v="0"/>
    <n v="58"/>
    <x v="23"/>
    <x v="6"/>
    <x v="6"/>
    <n v="1010"/>
    <x v="24"/>
    <x v="23"/>
    <x v="43"/>
    <n v="3010"/>
    <x v="16"/>
    <n v="4045"/>
    <x v="292"/>
    <s v="Q 01"/>
    <n v="29"/>
    <n v="8605"/>
    <x v="1118"/>
    <s v="Annual"/>
    <n v="27"/>
    <n v="1"/>
    <n v="87888"/>
    <n v="2372976"/>
  </r>
  <r>
    <x v="0"/>
    <n v="58"/>
    <x v="23"/>
    <x v="6"/>
    <x v="6"/>
    <n v="1010"/>
    <x v="24"/>
    <x v="23"/>
    <x v="43"/>
    <n v="3010"/>
    <x v="16"/>
    <n v="4045"/>
    <x v="292"/>
    <s v="Q 01"/>
    <n v="29"/>
    <n v="8605"/>
    <x v="1118"/>
    <s v="Annual"/>
    <n v="8"/>
    <n v="1"/>
    <n v="83592"/>
    <n v="668736"/>
  </r>
  <r>
    <x v="0"/>
    <n v="58"/>
    <x v="23"/>
    <x v="6"/>
    <x v="6"/>
    <n v="1010"/>
    <x v="24"/>
    <x v="23"/>
    <x v="43"/>
    <n v="3010"/>
    <x v="16"/>
    <n v="4045"/>
    <x v="292"/>
    <s v="Q 01"/>
    <n v="29"/>
    <n v="8605"/>
    <x v="1118"/>
    <s v="Annual"/>
    <n v="8"/>
    <n v="1"/>
    <n v="65916"/>
    <n v="527328"/>
  </r>
  <r>
    <x v="0"/>
    <n v="58"/>
    <x v="23"/>
    <x v="6"/>
    <x v="6"/>
    <n v="1010"/>
    <x v="24"/>
    <x v="23"/>
    <x v="43"/>
    <n v="3010"/>
    <x v="16"/>
    <n v="4045"/>
    <x v="292"/>
    <s v="B 13"/>
    <n v="1"/>
    <n v="308"/>
    <x v="90"/>
    <s v="Annual"/>
    <n v="1"/>
    <n v="1"/>
    <n v="68616"/>
    <n v="68616"/>
  </r>
  <r>
    <x v="0"/>
    <n v="58"/>
    <x v="23"/>
    <x v="6"/>
    <x v="6"/>
    <n v="1010"/>
    <x v="24"/>
    <x v="23"/>
    <x v="43"/>
    <n v="3010"/>
    <x v="16"/>
    <n v="4045"/>
    <x v="292"/>
    <s v="1 00"/>
    <n v="0"/>
    <n v="15"/>
    <x v="37"/>
    <s v="Annual"/>
    <n v="0"/>
    <n v="0"/>
    <n v="30303"/>
    <n v="30303"/>
  </r>
  <r>
    <x v="0"/>
    <n v="58"/>
    <x v="23"/>
    <x v="6"/>
    <x v="6"/>
    <n v="1010"/>
    <x v="24"/>
    <x v="23"/>
    <x v="43"/>
    <n v="3010"/>
    <x v="16"/>
    <n v="4045"/>
    <x v="292"/>
    <s v="1 00"/>
    <n v="0"/>
    <n v="12"/>
    <x v="291"/>
    <s v="Annual"/>
    <n v="0"/>
    <n v="0"/>
    <n v="31241"/>
    <n v="31241"/>
  </r>
  <r>
    <x v="0"/>
    <n v="58"/>
    <x v="23"/>
    <x v="6"/>
    <x v="6"/>
    <n v="1010"/>
    <x v="24"/>
    <x v="23"/>
    <x v="43"/>
    <n v="3010"/>
    <x v="16"/>
    <n v="4150"/>
    <x v="293"/>
    <s v="2 0"/>
    <n v="29"/>
    <n v="8609"/>
    <x v="1115"/>
    <s v="Monthly"/>
    <n v="1"/>
    <n v="1"/>
    <n v="13074.53"/>
    <n v="156894"/>
  </r>
  <r>
    <x v="0"/>
    <n v="58"/>
    <x v="23"/>
    <x v="6"/>
    <x v="6"/>
    <n v="1010"/>
    <x v="24"/>
    <x v="23"/>
    <x v="43"/>
    <n v="3010"/>
    <x v="16"/>
    <n v="4150"/>
    <x v="293"/>
    <s v="2 0"/>
    <n v="29"/>
    <n v="8607"/>
    <x v="1116"/>
    <s v="Monthly"/>
    <n v="2"/>
    <n v="1"/>
    <n v="12284.13"/>
    <n v="294819"/>
  </r>
  <r>
    <x v="0"/>
    <n v="58"/>
    <x v="23"/>
    <x v="6"/>
    <x v="6"/>
    <n v="1010"/>
    <x v="24"/>
    <x v="23"/>
    <x v="43"/>
    <n v="3010"/>
    <x v="16"/>
    <n v="4150"/>
    <x v="293"/>
    <s v="Q 02"/>
    <n v="29"/>
    <n v="8606"/>
    <x v="1117"/>
    <s v="Annual"/>
    <n v="4"/>
    <n v="1"/>
    <n v="104616"/>
    <n v="418464"/>
  </r>
  <r>
    <x v="0"/>
    <n v="58"/>
    <x v="23"/>
    <x v="6"/>
    <x v="6"/>
    <n v="1010"/>
    <x v="24"/>
    <x v="23"/>
    <x v="43"/>
    <n v="3010"/>
    <x v="16"/>
    <n v="4150"/>
    <x v="293"/>
    <s v="Q 01"/>
    <n v="29"/>
    <n v="8605"/>
    <x v="1118"/>
    <s v="Annual"/>
    <n v="1"/>
    <n v="1"/>
    <n v="87888"/>
    <n v="87888"/>
  </r>
  <r>
    <x v="0"/>
    <n v="58"/>
    <x v="23"/>
    <x v="6"/>
    <x v="6"/>
    <n v="1010"/>
    <x v="24"/>
    <x v="23"/>
    <x v="43"/>
    <n v="3010"/>
    <x v="16"/>
    <n v="4150"/>
    <x v="293"/>
    <s v="Q 01"/>
    <n v="29"/>
    <n v="8605"/>
    <x v="1118"/>
    <s v="Annual"/>
    <n v="5"/>
    <n v="1"/>
    <n v="65916"/>
    <n v="329580"/>
  </r>
  <r>
    <x v="0"/>
    <n v="58"/>
    <x v="23"/>
    <x v="6"/>
    <x v="6"/>
    <n v="1010"/>
    <x v="24"/>
    <x v="23"/>
    <x v="43"/>
    <n v="3010"/>
    <x v="16"/>
    <n v="4150"/>
    <x v="293"/>
    <s v="B 14"/>
    <n v="4"/>
    <n v="1912"/>
    <x v="222"/>
    <s v="Annual"/>
    <n v="1"/>
    <n v="1"/>
    <n v="75336"/>
    <n v="75336"/>
  </r>
  <r>
    <x v="0"/>
    <n v="58"/>
    <x v="23"/>
    <x v="6"/>
    <x v="6"/>
    <n v="1010"/>
    <x v="24"/>
    <x v="23"/>
    <x v="43"/>
    <n v="3010"/>
    <x v="16"/>
    <n v="4150"/>
    <x v="293"/>
    <s v="1 00"/>
    <n v="0"/>
    <n v="15"/>
    <x v="37"/>
    <s v="Annual"/>
    <n v="0"/>
    <n v="0"/>
    <n v="15364"/>
    <n v="15364"/>
  </r>
  <r>
    <x v="0"/>
    <n v="58"/>
    <x v="23"/>
    <x v="6"/>
    <x v="6"/>
    <n v="1010"/>
    <x v="24"/>
    <x v="23"/>
    <x v="43"/>
    <n v="3010"/>
    <x v="16"/>
    <n v="4150"/>
    <x v="293"/>
    <s v="1 00"/>
    <n v="0"/>
    <n v="12"/>
    <x v="291"/>
    <s v="Annual"/>
    <n v="0"/>
    <n v="0"/>
    <n v="6775"/>
    <n v="6775"/>
  </r>
  <r>
    <x v="0"/>
    <n v="58"/>
    <x v="23"/>
    <x v="6"/>
    <x v="6"/>
    <n v="1010"/>
    <x v="24"/>
    <x v="23"/>
    <x v="43"/>
    <n v="3020"/>
    <x v="186"/>
    <n v="4016"/>
    <x v="156"/>
    <s v="BX 17"/>
    <n v="10"/>
    <n v="790"/>
    <x v="31"/>
    <s v="Annual"/>
    <n v="1"/>
    <n v="1"/>
    <n v="83052"/>
    <n v="83052"/>
  </r>
  <r>
    <x v="0"/>
    <n v="58"/>
    <x v="23"/>
    <x v="6"/>
    <x v="6"/>
    <n v="1010"/>
    <x v="24"/>
    <x v="23"/>
    <x v="43"/>
    <n v="3020"/>
    <x v="186"/>
    <n v="4016"/>
    <x v="156"/>
    <s v="1 00"/>
    <n v="0"/>
    <n v="15"/>
    <x v="37"/>
    <s v="Annual"/>
    <n v="0"/>
    <n v="0"/>
    <n v="1038"/>
    <n v="1038"/>
  </r>
  <r>
    <x v="0"/>
    <n v="58"/>
    <x v="23"/>
    <x v="6"/>
    <x v="6"/>
    <n v="1010"/>
    <x v="24"/>
    <x v="23"/>
    <x v="43"/>
    <n v="3020"/>
    <x v="186"/>
    <n v="4021"/>
    <x v="294"/>
    <s v="X 32"/>
    <n v="9"/>
    <n v="9684"/>
    <x v="76"/>
    <s v="Annual"/>
    <n v="1"/>
    <n v="1"/>
    <n v="139140"/>
    <n v="139140"/>
  </r>
  <r>
    <x v="0"/>
    <n v="58"/>
    <x v="23"/>
    <x v="6"/>
    <x v="6"/>
    <n v="1010"/>
    <x v="24"/>
    <x v="23"/>
    <x v="43"/>
    <n v="3020"/>
    <x v="186"/>
    <n v="4021"/>
    <x v="294"/>
    <s v="I 13"/>
    <n v="2"/>
    <n v="8601"/>
    <x v="1114"/>
    <s v="Annual"/>
    <n v="2"/>
    <n v="1"/>
    <n v="99708"/>
    <n v="199416"/>
  </r>
  <r>
    <x v="0"/>
    <n v="58"/>
    <x v="23"/>
    <x v="6"/>
    <x v="6"/>
    <n v="1010"/>
    <x v="24"/>
    <x v="23"/>
    <x v="43"/>
    <n v="3020"/>
    <x v="186"/>
    <n v="4021"/>
    <x v="294"/>
    <s v="I 13"/>
    <n v="2"/>
    <n v="8601"/>
    <x v="1114"/>
    <s v="Annual"/>
    <n v="1"/>
    <n v="1"/>
    <n v="90876"/>
    <n v="90876"/>
  </r>
  <r>
    <x v="0"/>
    <n v="58"/>
    <x v="23"/>
    <x v="6"/>
    <x v="6"/>
    <n v="1010"/>
    <x v="24"/>
    <x v="23"/>
    <x v="43"/>
    <n v="3020"/>
    <x v="186"/>
    <n v="4021"/>
    <x v="294"/>
    <s v="I 13"/>
    <n v="2"/>
    <n v="8601"/>
    <x v="1114"/>
    <s v="Annual"/>
    <n v="1"/>
    <n v="1"/>
    <n v="86772"/>
    <n v="86772"/>
  </r>
  <r>
    <x v="0"/>
    <n v="58"/>
    <x v="23"/>
    <x v="6"/>
    <x v="6"/>
    <n v="1010"/>
    <x v="24"/>
    <x v="23"/>
    <x v="43"/>
    <n v="3020"/>
    <x v="186"/>
    <n v="4021"/>
    <x v="294"/>
    <s v="I 13"/>
    <n v="2"/>
    <n v="8601"/>
    <x v="1114"/>
    <s v="Annual"/>
    <n v="1"/>
    <n v="1"/>
    <n v="64836"/>
    <n v="64836"/>
  </r>
  <r>
    <x v="0"/>
    <n v="58"/>
    <x v="23"/>
    <x v="6"/>
    <x v="6"/>
    <n v="1010"/>
    <x v="24"/>
    <x v="23"/>
    <x v="43"/>
    <n v="3020"/>
    <x v="186"/>
    <n v="4021"/>
    <x v="294"/>
    <s v="I 13"/>
    <n v="2"/>
    <n v="8601"/>
    <x v="1114"/>
    <s v="Annual"/>
    <n v="1"/>
    <n v="1"/>
    <n v="61824"/>
    <n v="61824"/>
  </r>
  <r>
    <x v="0"/>
    <n v="58"/>
    <x v="23"/>
    <x v="6"/>
    <x v="6"/>
    <n v="1010"/>
    <x v="24"/>
    <x v="23"/>
    <x v="43"/>
    <n v="3020"/>
    <x v="186"/>
    <n v="4021"/>
    <x v="294"/>
    <s v="B 12"/>
    <n v="1"/>
    <s v="03A8"/>
    <x v="88"/>
    <s v="Annual"/>
    <n v="1"/>
    <n v="1"/>
    <n v="62544"/>
    <n v="62544"/>
  </r>
  <r>
    <x v="0"/>
    <n v="58"/>
    <x v="23"/>
    <x v="6"/>
    <x v="6"/>
    <n v="1010"/>
    <x v="24"/>
    <x v="23"/>
    <x v="43"/>
    <n v="3020"/>
    <x v="186"/>
    <n v="4021"/>
    <x v="294"/>
    <s v="B 10"/>
    <n v="1"/>
    <s v="03A7"/>
    <x v="4"/>
    <s v="Annual"/>
    <n v="1"/>
    <n v="1"/>
    <n v="71436"/>
    <n v="71436"/>
  </r>
  <r>
    <x v="0"/>
    <n v="58"/>
    <x v="23"/>
    <x v="6"/>
    <x v="6"/>
    <n v="1010"/>
    <x v="24"/>
    <x v="23"/>
    <x v="43"/>
    <n v="3020"/>
    <x v="186"/>
    <n v="4021"/>
    <x v="294"/>
    <s v="B 10"/>
    <n v="1"/>
    <s v="03A7"/>
    <x v="4"/>
    <s v="Annual"/>
    <n v="2"/>
    <n v="1"/>
    <n v="53532"/>
    <n v="107064"/>
  </r>
  <r>
    <x v="0"/>
    <n v="58"/>
    <x v="23"/>
    <x v="6"/>
    <x v="6"/>
    <n v="1010"/>
    <x v="24"/>
    <x v="23"/>
    <x v="43"/>
    <n v="3020"/>
    <x v="186"/>
    <n v="4021"/>
    <x v="294"/>
    <s v="B 10"/>
    <n v="1"/>
    <s v="03A7"/>
    <x v="4"/>
    <s v="Annual"/>
    <n v="1"/>
    <n v="1"/>
    <n v="51936"/>
    <n v="51936"/>
  </r>
  <r>
    <x v="0"/>
    <n v="58"/>
    <x v="23"/>
    <x v="6"/>
    <x v="6"/>
    <n v="1010"/>
    <x v="24"/>
    <x v="23"/>
    <x v="43"/>
    <n v="3020"/>
    <x v="186"/>
    <n v="4021"/>
    <x v="294"/>
    <s v="1 00"/>
    <n v="0"/>
    <n v="15"/>
    <x v="37"/>
    <s v="Annual"/>
    <n v="0"/>
    <n v="0"/>
    <n v="5812"/>
    <n v="5812"/>
  </r>
  <r>
    <x v="0"/>
    <n v="58"/>
    <x v="23"/>
    <x v="6"/>
    <x v="6"/>
    <n v="1010"/>
    <x v="24"/>
    <x v="23"/>
    <x v="43"/>
    <n v="3030"/>
    <x v="301"/>
    <n v="4086"/>
    <x v="295"/>
    <s v="X 32"/>
    <n v="9"/>
    <n v="9684"/>
    <x v="76"/>
    <s v="Annual"/>
    <n v="1"/>
    <n v="1"/>
    <n v="157332"/>
    <n v="157332"/>
  </r>
  <r>
    <x v="0"/>
    <n v="58"/>
    <x v="23"/>
    <x v="6"/>
    <x v="6"/>
    <n v="1010"/>
    <x v="24"/>
    <x v="23"/>
    <x v="43"/>
    <n v="3030"/>
    <x v="301"/>
    <n v="4086"/>
    <x v="295"/>
    <s v="B 17"/>
    <n v="3"/>
    <n v="8621"/>
    <x v="1119"/>
    <s v="Annual"/>
    <n v="1"/>
    <n v="1"/>
    <n v="150240"/>
    <n v="150240"/>
  </r>
  <r>
    <x v="0"/>
    <n v="58"/>
    <x v="23"/>
    <x v="6"/>
    <x v="6"/>
    <n v="1010"/>
    <x v="24"/>
    <x v="23"/>
    <x v="43"/>
    <n v="3030"/>
    <x v="301"/>
    <n v="4086"/>
    <x v="295"/>
    <s v="B 17"/>
    <n v="3"/>
    <n v="8621"/>
    <x v="1119"/>
    <s v="Annual"/>
    <n v="1"/>
    <n v="1"/>
    <n v="117912"/>
    <n v="117912"/>
  </r>
  <r>
    <x v="0"/>
    <n v="58"/>
    <x v="23"/>
    <x v="6"/>
    <x v="6"/>
    <n v="1010"/>
    <x v="24"/>
    <x v="23"/>
    <x v="43"/>
    <n v="3030"/>
    <x v="301"/>
    <n v="4086"/>
    <x v="295"/>
    <s v="B 17"/>
    <n v="3"/>
    <n v="8621"/>
    <x v="1119"/>
    <s v="Annual"/>
    <n v="1"/>
    <n v="1"/>
    <n v="112536"/>
    <n v="112536"/>
  </r>
  <r>
    <x v="0"/>
    <n v="58"/>
    <x v="23"/>
    <x v="6"/>
    <x v="6"/>
    <n v="1010"/>
    <x v="24"/>
    <x v="23"/>
    <x v="43"/>
    <n v="3030"/>
    <x v="301"/>
    <n v="4086"/>
    <x v="295"/>
    <s v="B 17"/>
    <n v="3"/>
    <n v="8621"/>
    <x v="1119"/>
    <s v="Annual"/>
    <n v="1"/>
    <n v="1"/>
    <n v="99480"/>
    <n v="99480"/>
  </r>
  <r>
    <x v="0"/>
    <n v="58"/>
    <x v="23"/>
    <x v="6"/>
    <x v="6"/>
    <n v="1010"/>
    <x v="24"/>
    <x v="23"/>
    <x v="43"/>
    <n v="3030"/>
    <x v="301"/>
    <n v="4086"/>
    <x v="295"/>
    <s v="B 16"/>
    <n v="4"/>
    <n v="8620"/>
    <x v="547"/>
    <s v="Annual"/>
    <n v="1"/>
    <n v="1"/>
    <n v="157332"/>
    <n v="157332"/>
  </r>
  <r>
    <x v="0"/>
    <n v="58"/>
    <x v="23"/>
    <x v="6"/>
    <x v="6"/>
    <n v="1010"/>
    <x v="24"/>
    <x v="23"/>
    <x v="43"/>
    <n v="3030"/>
    <x v="301"/>
    <n v="4086"/>
    <x v="295"/>
    <s v="B 16"/>
    <n v="4"/>
    <n v="8620"/>
    <x v="547"/>
    <s v="Annual"/>
    <n v="1"/>
    <n v="1"/>
    <n v="150240"/>
    <n v="150240"/>
  </r>
  <r>
    <x v="0"/>
    <n v="58"/>
    <x v="23"/>
    <x v="6"/>
    <x v="6"/>
    <n v="1010"/>
    <x v="24"/>
    <x v="23"/>
    <x v="43"/>
    <n v="3030"/>
    <x v="301"/>
    <n v="4086"/>
    <x v="295"/>
    <s v="B 16"/>
    <n v="4"/>
    <n v="8620"/>
    <x v="547"/>
    <s v="Annual"/>
    <n v="2"/>
    <n v="1"/>
    <n v="143400"/>
    <n v="286800"/>
  </r>
  <r>
    <x v="0"/>
    <n v="58"/>
    <x v="23"/>
    <x v="6"/>
    <x v="6"/>
    <n v="1010"/>
    <x v="24"/>
    <x v="23"/>
    <x v="43"/>
    <n v="3030"/>
    <x v="301"/>
    <n v="4086"/>
    <x v="295"/>
    <s v="B 16"/>
    <n v="4"/>
    <n v="8620"/>
    <x v="547"/>
    <s v="Annual"/>
    <n v="1"/>
    <n v="1"/>
    <n v="136908"/>
    <n v="136908"/>
  </r>
  <r>
    <x v="0"/>
    <n v="58"/>
    <x v="23"/>
    <x v="6"/>
    <x v="6"/>
    <n v="1010"/>
    <x v="24"/>
    <x v="23"/>
    <x v="43"/>
    <n v="3030"/>
    <x v="301"/>
    <n v="4086"/>
    <x v="295"/>
    <s v="B 16"/>
    <n v="4"/>
    <n v="8620"/>
    <x v="547"/>
    <s v="Annual"/>
    <n v="2"/>
    <n v="1"/>
    <n v="130668"/>
    <n v="261336"/>
  </r>
  <r>
    <x v="0"/>
    <n v="58"/>
    <x v="23"/>
    <x v="6"/>
    <x v="6"/>
    <n v="1010"/>
    <x v="24"/>
    <x v="23"/>
    <x v="43"/>
    <n v="3030"/>
    <x v="301"/>
    <n v="4086"/>
    <x v="295"/>
    <s v="B 16"/>
    <n v="4"/>
    <n v="8620"/>
    <x v="547"/>
    <s v="Annual"/>
    <n v="1"/>
    <n v="1"/>
    <n v="119100"/>
    <n v="119100"/>
  </r>
  <r>
    <x v="0"/>
    <n v="58"/>
    <x v="23"/>
    <x v="6"/>
    <x v="6"/>
    <n v="1010"/>
    <x v="24"/>
    <x v="23"/>
    <x v="43"/>
    <n v="3030"/>
    <x v="301"/>
    <n v="4086"/>
    <x v="295"/>
    <s v="B 16"/>
    <n v="4"/>
    <n v="8620"/>
    <x v="547"/>
    <s v="Annual"/>
    <n v="1"/>
    <n v="1"/>
    <n v="107508"/>
    <n v="107508"/>
  </r>
  <r>
    <x v="0"/>
    <n v="58"/>
    <x v="23"/>
    <x v="6"/>
    <x v="6"/>
    <n v="1010"/>
    <x v="24"/>
    <x v="23"/>
    <x v="43"/>
    <n v="3030"/>
    <x v="301"/>
    <n v="4086"/>
    <x v="295"/>
    <s v="B 16"/>
    <n v="4"/>
    <n v="8620"/>
    <x v="547"/>
    <s v="Annual"/>
    <n v="5"/>
    <n v="1"/>
    <n v="102588"/>
    <n v="512940"/>
  </r>
  <r>
    <x v="0"/>
    <n v="58"/>
    <x v="23"/>
    <x v="6"/>
    <x v="6"/>
    <n v="1010"/>
    <x v="24"/>
    <x v="23"/>
    <x v="43"/>
    <n v="3030"/>
    <x v="301"/>
    <n v="4086"/>
    <x v="295"/>
    <s v="B 16"/>
    <n v="4"/>
    <n v="8620"/>
    <x v="547"/>
    <s v="Annual"/>
    <n v="3"/>
    <n v="1"/>
    <n v="97956"/>
    <n v="293868"/>
  </r>
  <r>
    <x v="0"/>
    <n v="58"/>
    <x v="23"/>
    <x v="6"/>
    <x v="6"/>
    <n v="1010"/>
    <x v="24"/>
    <x v="23"/>
    <x v="43"/>
    <n v="3030"/>
    <x v="301"/>
    <n v="4086"/>
    <x v="295"/>
    <s v="B 16"/>
    <n v="4"/>
    <n v="8620"/>
    <x v="547"/>
    <s v="Annual"/>
    <n v="4"/>
    <n v="1"/>
    <n v="90732"/>
    <n v="362928"/>
  </r>
  <r>
    <x v="0"/>
    <n v="58"/>
    <x v="23"/>
    <x v="6"/>
    <x v="6"/>
    <n v="1010"/>
    <x v="24"/>
    <x v="23"/>
    <x v="43"/>
    <n v="3030"/>
    <x v="301"/>
    <n v="4086"/>
    <x v="295"/>
    <s v="B 14"/>
    <n v="4"/>
    <n v="1912"/>
    <x v="222"/>
    <s v="Annual"/>
    <n v="1"/>
    <n v="1"/>
    <n v="75336"/>
    <n v="75336"/>
  </r>
  <r>
    <x v="0"/>
    <n v="58"/>
    <x v="23"/>
    <x v="6"/>
    <x v="6"/>
    <n v="1010"/>
    <x v="24"/>
    <x v="23"/>
    <x v="43"/>
    <n v="3030"/>
    <x v="301"/>
    <n v="4086"/>
    <x v="295"/>
    <s v="BX 18"/>
    <n v="10"/>
    <n v="310"/>
    <x v="135"/>
    <s v="Annual"/>
    <n v="1"/>
    <n v="1"/>
    <n v="124584"/>
    <n v="124584"/>
  </r>
  <r>
    <x v="0"/>
    <n v="58"/>
    <x v="23"/>
    <x v="6"/>
    <x v="6"/>
    <n v="1010"/>
    <x v="24"/>
    <x v="23"/>
    <x v="43"/>
    <n v="3030"/>
    <x v="301"/>
    <n v="4086"/>
    <x v="295"/>
    <s v="1 00"/>
    <n v="0"/>
    <n v="15"/>
    <x v="37"/>
    <s v="Annual"/>
    <n v="0"/>
    <n v="0"/>
    <n v="34429"/>
    <n v="34429"/>
  </r>
  <r>
    <x v="0"/>
    <n v="58"/>
    <x v="23"/>
    <x v="6"/>
    <x v="6"/>
    <n v="1010"/>
    <x v="24"/>
    <x v="23"/>
    <x v="43"/>
    <n v="3050"/>
    <x v="188"/>
    <n v="4145"/>
    <x v="158"/>
    <s v="BX 16"/>
    <n v="10"/>
    <n v="802"/>
    <x v="30"/>
    <s v="Annual"/>
    <n v="1"/>
    <n v="1"/>
    <n v="76476"/>
    <n v="76476"/>
  </r>
  <r>
    <x v="0"/>
    <n v="58"/>
    <x v="23"/>
    <x v="6"/>
    <x v="6"/>
    <n v="1010"/>
    <x v="24"/>
    <x v="23"/>
    <x v="43"/>
    <n v="3050"/>
    <x v="188"/>
    <n v="4145"/>
    <x v="158"/>
    <s v="B 13"/>
    <n v="1"/>
    <n v="308"/>
    <x v="90"/>
    <s v="Annual"/>
    <n v="1"/>
    <n v="1"/>
    <n v="108576"/>
    <n v="108576"/>
  </r>
  <r>
    <x v="0"/>
    <n v="58"/>
    <x v="23"/>
    <x v="6"/>
    <x v="6"/>
    <n v="1010"/>
    <x v="24"/>
    <x v="23"/>
    <x v="43"/>
    <n v="3050"/>
    <x v="188"/>
    <n v="4145"/>
    <x v="158"/>
    <s v="1 00"/>
    <n v="0"/>
    <n v="15"/>
    <x v="37"/>
    <s v="Annual"/>
    <n v="0"/>
    <n v="0"/>
    <n v="2265"/>
    <n v="2265"/>
  </r>
  <r>
    <x v="0"/>
    <n v="58"/>
    <x v="23"/>
    <x v="6"/>
    <x v="6"/>
    <n v="1010"/>
    <x v="24"/>
    <x v="23"/>
    <x v="43"/>
    <n v="3050"/>
    <x v="188"/>
    <n v="4165"/>
    <x v="296"/>
    <s v="X 32"/>
    <n v="9"/>
    <n v="9684"/>
    <x v="76"/>
    <s v="Annual"/>
    <n v="1"/>
    <n v="1"/>
    <n v="167964"/>
    <n v="167964"/>
  </r>
  <r>
    <x v="0"/>
    <n v="58"/>
    <x v="23"/>
    <x v="6"/>
    <x v="6"/>
    <n v="1010"/>
    <x v="24"/>
    <x v="23"/>
    <x v="43"/>
    <n v="3050"/>
    <x v="188"/>
    <n v="4165"/>
    <x v="296"/>
    <s v="4 00"/>
    <n v="0"/>
    <n v="9108"/>
    <x v="690"/>
    <s v="Hourly"/>
    <n v="2080"/>
    <n v="0"/>
    <n v="18.920000000000002"/>
    <n v="39354"/>
  </r>
  <r>
    <x v="0"/>
    <n v="58"/>
    <x v="23"/>
    <x v="6"/>
    <x v="6"/>
    <n v="1010"/>
    <x v="24"/>
    <x v="23"/>
    <x v="43"/>
    <n v="3050"/>
    <x v="188"/>
    <n v="4165"/>
    <x v="296"/>
    <s v="B 12"/>
    <n v="1"/>
    <n v="8625"/>
    <x v="1120"/>
    <s v="Annual"/>
    <n v="2"/>
    <n v="1"/>
    <n v="94452"/>
    <n v="188904"/>
  </r>
  <r>
    <x v="0"/>
    <n v="58"/>
    <x v="23"/>
    <x v="6"/>
    <x v="6"/>
    <n v="1010"/>
    <x v="24"/>
    <x v="23"/>
    <x v="43"/>
    <n v="3050"/>
    <x v="188"/>
    <n v="4165"/>
    <x v="296"/>
    <s v="B 12"/>
    <n v="1"/>
    <n v="8625"/>
    <x v="1120"/>
    <s v="Annual"/>
    <n v="1"/>
    <n v="1"/>
    <n v="82140"/>
    <n v="82140"/>
  </r>
  <r>
    <x v="0"/>
    <n v="58"/>
    <x v="23"/>
    <x v="6"/>
    <x v="6"/>
    <n v="1010"/>
    <x v="24"/>
    <x v="23"/>
    <x v="43"/>
    <n v="3050"/>
    <x v="188"/>
    <n v="4165"/>
    <x v="296"/>
    <s v="B 12"/>
    <n v="1"/>
    <n v="8625"/>
    <x v="1120"/>
    <s v="Annual"/>
    <n v="2"/>
    <n v="1"/>
    <n v="77640"/>
    <n v="155280"/>
  </r>
  <r>
    <x v="0"/>
    <n v="58"/>
    <x v="23"/>
    <x v="6"/>
    <x v="6"/>
    <n v="1010"/>
    <x v="24"/>
    <x v="23"/>
    <x v="43"/>
    <n v="3050"/>
    <x v="188"/>
    <n v="4165"/>
    <x v="296"/>
    <s v="B 12"/>
    <n v="1"/>
    <n v="8625"/>
    <x v="1120"/>
    <s v="Annual"/>
    <n v="1"/>
    <n v="1"/>
    <n v="67608"/>
    <n v="67608"/>
  </r>
  <r>
    <x v="0"/>
    <n v="58"/>
    <x v="23"/>
    <x v="6"/>
    <x v="6"/>
    <n v="1010"/>
    <x v="24"/>
    <x v="23"/>
    <x v="43"/>
    <n v="3050"/>
    <x v="188"/>
    <n v="4165"/>
    <x v="296"/>
    <s v="B 12"/>
    <n v="1"/>
    <n v="8625"/>
    <x v="1120"/>
    <s v="Annual"/>
    <n v="1"/>
    <n v="1"/>
    <n v="64488"/>
    <n v="64488"/>
  </r>
  <r>
    <x v="0"/>
    <n v="58"/>
    <x v="23"/>
    <x v="6"/>
    <x v="6"/>
    <n v="1010"/>
    <x v="24"/>
    <x v="23"/>
    <x v="43"/>
    <n v="3050"/>
    <x v="188"/>
    <n v="4165"/>
    <x v="296"/>
    <s v="B 12"/>
    <n v="1"/>
    <n v="8625"/>
    <x v="1120"/>
    <s v="Annual"/>
    <n v="1"/>
    <n v="1"/>
    <n v="62544"/>
    <n v="62544"/>
  </r>
  <r>
    <x v="0"/>
    <n v="58"/>
    <x v="23"/>
    <x v="6"/>
    <x v="6"/>
    <n v="1010"/>
    <x v="24"/>
    <x v="23"/>
    <x v="43"/>
    <n v="3050"/>
    <x v="188"/>
    <n v="4165"/>
    <x v="296"/>
    <s v="1 00"/>
    <n v="0"/>
    <n v="15"/>
    <x v="37"/>
    <s v="Annual"/>
    <n v="0"/>
    <n v="0"/>
    <n v="14731"/>
    <n v="14731"/>
  </r>
  <r>
    <x v="0"/>
    <n v="1"/>
    <x v="0"/>
    <x v="7"/>
    <x v="7"/>
    <n v="1005"/>
    <x v="0"/>
    <x v="0"/>
    <x v="0"/>
    <n v="3007"/>
    <x v="2"/>
    <n v="0"/>
    <x v="0"/>
    <s v="1 00"/>
    <n v="9"/>
    <n v="9870"/>
    <x v="6"/>
    <s v="Annual"/>
    <n v="2"/>
    <n v="1"/>
    <n v="74592"/>
    <n v="149184"/>
  </r>
  <r>
    <x v="0"/>
    <n v="1"/>
    <x v="0"/>
    <x v="7"/>
    <x v="7"/>
    <n v="1005"/>
    <x v="0"/>
    <x v="0"/>
    <x v="0"/>
    <n v="3015"/>
    <x v="4"/>
    <n v="0"/>
    <x v="0"/>
    <s v="1 00"/>
    <n v="9"/>
    <n v="9616"/>
    <x v="14"/>
    <s v="Annual"/>
    <n v="1"/>
    <n v="1"/>
    <n v="88644"/>
    <n v="88644"/>
  </r>
  <r>
    <x v="0"/>
    <n v="1"/>
    <x v="0"/>
    <x v="7"/>
    <x v="7"/>
    <n v="1005"/>
    <x v="0"/>
    <x v="0"/>
    <x v="0"/>
    <n v="3135"/>
    <x v="10"/>
    <n v="0"/>
    <x v="0"/>
    <s v="1 00"/>
    <n v="9"/>
    <n v="9877"/>
    <x v="1"/>
    <s v="Annual"/>
    <n v="1"/>
    <n v="1"/>
    <n v="129432"/>
    <n v="129432"/>
  </r>
  <r>
    <x v="0"/>
    <n v="1"/>
    <x v="0"/>
    <x v="7"/>
    <x v="7"/>
    <n v="1005"/>
    <x v="0"/>
    <x v="0"/>
    <x v="0"/>
    <n v="3135"/>
    <x v="10"/>
    <n v="0"/>
    <x v="0"/>
    <s v="1 00"/>
    <n v="9"/>
    <n v="9877"/>
    <x v="1"/>
    <s v="Annual"/>
    <n v="1"/>
    <n v="1"/>
    <n v="118176"/>
    <n v="118176"/>
  </r>
  <r>
    <x v="0"/>
    <n v="23"/>
    <x v="37"/>
    <x v="7"/>
    <x v="7"/>
    <n v="1005"/>
    <x v="57"/>
    <x v="5"/>
    <x v="78"/>
    <n v="3200"/>
    <x v="134"/>
    <n v="0"/>
    <x v="0"/>
    <s v="1 00"/>
    <n v="9"/>
    <n v="9923"/>
    <x v="1121"/>
    <s v="Annual"/>
    <n v="1"/>
    <n v="1"/>
    <n v="189828"/>
    <n v="189828"/>
  </r>
  <r>
    <x v="0"/>
    <n v="23"/>
    <x v="37"/>
    <x v="7"/>
    <x v="7"/>
    <n v="1005"/>
    <x v="57"/>
    <x v="5"/>
    <x v="78"/>
    <n v="3200"/>
    <x v="134"/>
    <n v="0"/>
    <x v="0"/>
    <s v="X 31"/>
    <n v="9"/>
    <n v="9660"/>
    <x v="353"/>
    <s v="Annual"/>
    <n v="1"/>
    <n v="1"/>
    <n v="149448"/>
    <n v="149448"/>
  </r>
  <r>
    <x v="0"/>
    <n v="23"/>
    <x v="37"/>
    <x v="7"/>
    <x v="7"/>
    <n v="1005"/>
    <x v="57"/>
    <x v="5"/>
    <x v="78"/>
    <n v="3200"/>
    <x v="134"/>
    <n v="0"/>
    <x v="0"/>
    <s v="BX 16"/>
    <n v="10"/>
    <n v="1430"/>
    <x v="355"/>
    <s v="Annual"/>
    <n v="2"/>
    <n v="1"/>
    <n v="76476"/>
    <n v="152952"/>
  </r>
  <r>
    <x v="0"/>
    <n v="23"/>
    <x v="37"/>
    <x v="7"/>
    <x v="7"/>
    <n v="1005"/>
    <x v="57"/>
    <x v="5"/>
    <x v="78"/>
    <n v="3200"/>
    <x v="134"/>
    <n v="0"/>
    <x v="0"/>
    <s v="B 15"/>
    <n v="1"/>
    <n v="1302"/>
    <x v="83"/>
    <s v="Annual"/>
    <n v="1"/>
    <n v="1"/>
    <n v="89244"/>
    <n v="89244"/>
  </r>
  <r>
    <x v="0"/>
    <n v="23"/>
    <x v="37"/>
    <x v="7"/>
    <x v="7"/>
    <n v="1005"/>
    <x v="57"/>
    <x v="5"/>
    <x v="78"/>
    <n v="3200"/>
    <x v="134"/>
    <n v="0"/>
    <x v="0"/>
    <s v="BX 16"/>
    <n v="10"/>
    <n v="802"/>
    <x v="30"/>
    <s v="Annual"/>
    <n v="1"/>
    <n v="1"/>
    <n v="80124"/>
    <n v="80124"/>
  </r>
  <r>
    <x v="0"/>
    <n v="23"/>
    <x v="37"/>
    <x v="7"/>
    <x v="7"/>
    <n v="1005"/>
    <x v="57"/>
    <x v="5"/>
    <x v="78"/>
    <n v="3200"/>
    <x v="134"/>
    <n v="0"/>
    <x v="0"/>
    <s v="BX 16"/>
    <n v="10"/>
    <n v="802"/>
    <x v="30"/>
    <s v="Annual"/>
    <n v="1"/>
    <n v="1"/>
    <n v="76476"/>
    <n v="76476"/>
  </r>
  <r>
    <x v="0"/>
    <n v="23"/>
    <x v="37"/>
    <x v="7"/>
    <x v="7"/>
    <n v="1005"/>
    <x v="57"/>
    <x v="5"/>
    <x v="78"/>
    <n v="3200"/>
    <x v="134"/>
    <n v="0"/>
    <x v="0"/>
    <s v="B 16"/>
    <n v="1"/>
    <n v="634"/>
    <x v="295"/>
    <s v="Annual"/>
    <n v="1"/>
    <n v="1"/>
    <n v="150240"/>
    <n v="150240"/>
  </r>
  <r>
    <x v="0"/>
    <n v="23"/>
    <x v="37"/>
    <x v="7"/>
    <x v="7"/>
    <n v="1005"/>
    <x v="57"/>
    <x v="5"/>
    <x v="78"/>
    <n v="3200"/>
    <x v="134"/>
    <n v="0"/>
    <x v="0"/>
    <s v="X 33"/>
    <n v="9"/>
    <n v="313"/>
    <x v="220"/>
    <s v="Annual"/>
    <n v="1"/>
    <n v="1"/>
    <n v="146808"/>
    <n v="146808"/>
  </r>
  <r>
    <x v="0"/>
    <n v="23"/>
    <x v="37"/>
    <x v="7"/>
    <x v="7"/>
    <n v="1005"/>
    <x v="57"/>
    <x v="5"/>
    <x v="78"/>
    <n v="3200"/>
    <x v="134"/>
    <n v="0"/>
    <x v="0"/>
    <s v="BX 18"/>
    <n v="10"/>
    <n v="311"/>
    <x v="253"/>
    <s v="Annual"/>
    <n v="1"/>
    <n v="1"/>
    <n v="89112"/>
    <n v="89112"/>
  </r>
  <r>
    <x v="0"/>
    <n v="23"/>
    <x v="37"/>
    <x v="7"/>
    <x v="7"/>
    <n v="1005"/>
    <x v="57"/>
    <x v="5"/>
    <x v="78"/>
    <n v="3200"/>
    <x v="134"/>
    <n v="0"/>
    <x v="0"/>
    <s v="1 00"/>
    <n v="0"/>
    <n v="15"/>
    <x v="37"/>
    <s v="Annual"/>
    <n v="0"/>
    <n v="0"/>
    <n v="16732"/>
    <n v="16732"/>
  </r>
  <r>
    <x v="0"/>
    <n v="23"/>
    <x v="37"/>
    <x v="7"/>
    <x v="7"/>
    <n v="1005"/>
    <x v="57"/>
    <x v="5"/>
    <x v="78"/>
    <n v="3205"/>
    <x v="54"/>
    <n v="0"/>
    <x v="0"/>
    <s v="X 32"/>
    <n v="9"/>
    <n v="9679"/>
    <x v="81"/>
    <s v="Annual"/>
    <n v="1"/>
    <n v="1"/>
    <n v="167964"/>
    <n v="167964"/>
  </r>
  <r>
    <x v="0"/>
    <n v="23"/>
    <x v="37"/>
    <x v="7"/>
    <x v="7"/>
    <n v="1005"/>
    <x v="57"/>
    <x v="5"/>
    <x v="78"/>
    <n v="3205"/>
    <x v="54"/>
    <n v="0"/>
    <x v="0"/>
    <s v="BX 17"/>
    <n v="20"/>
    <n v="1778"/>
    <x v="1122"/>
    <s v="Annual"/>
    <n v="1"/>
    <n v="1"/>
    <n v="136692"/>
    <n v="136692"/>
  </r>
  <r>
    <x v="0"/>
    <n v="23"/>
    <x v="37"/>
    <x v="7"/>
    <x v="7"/>
    <n v="1005"/>
    <x v="57"/>
    <x v="5"/>
    <x v="78"/>
    <n v="3205"/>
    <x v="54"/>
    <n v="0"/>
    <x v="0"/>
    <s v="X 33"/>
    <n v="10"/>
    <n v="1757"/>
    <x v="1123"/>
    <s v="Annual"/>
    <n v="1"/>
    <n v="1"/>
    <n v="121668"/>
    <n v="121668"/>
  </r>
  <r>
    <x v="0"/>
    <n v="23"/>
    <x v="37"/>
    <x v="7"/>
    <x v="7"/>
    <n v="1005"/>
    <x v="57"/>
    <x v="5"/>
    <x v="78"/>
    <n v="3205"/>
    <x v="54"/>
    <n v="0"/>
    <x v="0"/>
    <s v="B 14"/>
    <n v="1"/>
    <n v="1576"/>
    <x v="246"/>
    <s v="Annual"/>
    <n v="1"/>
    <n v="1"/>
    <n v="81324"/>
    <n v="81324"/>
  </r>
  <r>
    <x v="0"/>
    <n v="23"/>
    <x v="37"/>
    <x v="7"/>
    <x v="7"/>
    <n v="1005"/>
    <x v="57"/>
    <x v="5"/>
    <x v="78"/>
    <n v="3205"/>
    <x v="54"/>
    <n v="0"/>
    <x v="0"/>
    <s v="X 33"/>
    <n v="10"/>
    <n v="1525"/>
    <x v="1124"/>
    <s v="Annual"/>
    <n v="1"/>
    <n v="1"/>
    <n v="146808"/>
    <n v="146808"/>
  </r>
  <r>
    <x v="0"/>
    <n v="23"/>
    <x v="37"/>
    <x v="7"/>
    <x v="7"/>
    <n v="1005"/>
    <x v="57"/>
    <x v="5"/>
    <x v="78"/>
    <n v="3205"/>
    <x v="54"/>
    <n v="0"/>
    <x v="0"/>
    <s v="BX 16"/>
    <n v="10"/>
    <n v="347"/>
    <x v="1125"/>
    <s v="Annual"/>
    <n v="1"/>
    <n v="1"/>
    <n v="94332"/>
    <n v="94332"/>
  </r>
  <r>
    <x v="0"/>
    <n v="23"/>
    <x v="37"/>
    <x v="7"/>
    <x v="7"/>
    <n v="1005"/>
    <x v="57"/>
    <x v="5"/>
    <x v="78"/>
    <n v="3205"/>
    <x v="54"/>
    <n v="0"/>
    <x v="0"/>
    <s v="BX 16"/>
    <n v="10"/>
    <n v="347"/>
    <x v="1125"/>
    <s v="Annual"/>
    <n v="1"/>
    <n v="1"/>
    <n v="80124"/>
    <n v="80124"/>
  </r>
  <r>
    <x v="0"/>
    <n v="23"/>
    <x v="37"/>
    <x v="7"/>
    <x v="7"/>
    <n v="1005"/>
    <x v="57"/>
    <x v="5"/>
    <x v="78"/>
    <n v="3205"/>
    <x v="54"/>
    <n v="0"/>
    <x v="0"/>
    <s v="B 16"/>
    <n v="4"/>
    <n v="345"/>
    <x v="108"/>
    <s v="Annual"/>
    <n v="1"/>
    <n v="1"/>
    <n v="112536"/>
    <n v="112536"/>
  </r>
  <r>
    <x v="0"/>
    <n v="23"/>
    <x v="37"/>
    <x v="7"/>
    <x v="7"/>
    <n v="1005"/>
    <x v="57"/>
    <x v="5"/>
    <x v="78"/>
    <n v="3205"/>
    <x v="54"/>
    <n v="0"/>
    <x v="0"/>
    <s v="B 16"/>
    <n v="4"/>
    <n v="345"/>
    <x v="108"/>
    <s v="Annual"/>
    <n v="1"/>
    <n v="1"/>
    <n v="97956"/>
    <n v="97956"/>
  </r>
  <r>
    <x v="0"/>
    <n v="23"/>
    <x v="37"/>
    <x v="7"/>
    <x v="7"/>
    <n v="1005"/>
    <x v="57"/>
    <x v="5"/>
    <x v="78"/>
    <n v="3205"/>
    <x v="54"/>
    <n v="0"/>
    <x v="0"/>
    <s v="BX 18"/>
    <n v="10"/>
    <n v="311"/>
    <x v="253"/>
    <s v="Annual"/>
    <n v="1"/>
    <n v="1"/>
    <n v="89112"/>
    <n v="89112"/>
  </r>
  <r>
    <x v="0"/>
    <n v="23"/>
    <x v="37"/>
    <x v="7"/>
    <x v="7"/>
    <n v="1005"/>
    <x v="57"/>
    <x v="5"/>
    <x v="78"/>
    <n v="3205"/>
    <x v="54"/>
    <n v="0"/>
    <x v="0"/>
    <s v="X 33"/>
    <n v="0"/>
    <n v="118"/>
    <x v="92"/>
    <s v="Annual"/>
    <n v="1"/>
    <n v="1"/>
    <n v="137532"/>
    <n v="137532"/>
  </r>
  <r>
    <x v="0"/>
    <n v="23"/>
    <x v="37"/>
    <x v="7"/>
    <x v="7"/>
    <n v="1005"/>
    <x v="57"/>
    <x v="5"/>
    <x v="78"/>
    <n v="3205"/>
    <x v="54"/>
    <n v="0"/>
    <x v="0"/>
    <s v="1 00"/>
    <n v="0"/>
    <n v="15"/>
    <x v="37"/>
    <s v="Annual"/>
    <n v="0"/>
    <n v="0"/>
    <n v="28121"/>
    <n v="28121"/>
  </r>
  <r>
    <x v="0"/>
    <n v="23"/>
    <x v="37"/>
    <x v="7"/>
    <x v="7"/>
    <n v="1005"/>
    <x v="57"/>
    <x v="5"/>
    <x v="78"/>
    <n v="3211"/>
    <x v="302"/>
    <n v="0"/>
    <x v="0"/>
    <s v="X 32"/>
    <n v="9"/>
    <n v="9679"/>
    <x v="81"/>
    <s v="Annual"/>
    <n v="1"/>
    <n v="1"/>
    <n v="139140"/>
    <n v="139140"/>
  </r>
  <r>
    <x v="0"/>
    <n v="23"/>
    <x v="37"/>
    <x v="7"/>
    <x v="7"/>
    <n v="1005"/>
    <x v="57"/>
    <x v="5"/>
    <x v="78"/>
    <n v="3211"/>
    <x v="302"/>
    <n v="0"/>
    <x v="0"/>
    <s v="X 33"/>
    <n v="10"/>
    <n v="1757"/>
    <x v="1123"/>
    <s v="Annual"/>
    <n v="1"/>
    <n v="1"/>
    <n v="146808"/>
    <n v="146808"/>
  </r>
  <r>
    <x v="0"/>
    <n v="23"/>
    <x v="37"/>
    <x v="7"/>
    <x v="7"/>
    <n v="1005"/>
    <x v="57"/>
    <x v="5"/>
    <x v="78"/>
    <n v="3211"/>
    <x v="302"/>
    <n v="0"/>
    <x v="0"/>
    <s v="X 33"/>
    <n v="10"/>
    <n v="1757"/>
    <x v="1123"/>
    <s v="Annual"/>
    <n v="1"/>
    <n v="1"/>
    <n v="121668"/>
    <n v="121668"/>
  </r>
  <r>
    <x v="0"/>
    <n v="23"/>
    <x v="37"/>
    <x v="7"/>
    <x v="7"/>
    <n v="1005"/>
    <x v="57"/>
    <x v="5"/>
    <x v="78"/>
    <n v="3211"/>
    <x v="302"/>
    <n v="0"/>
    <x v="0"/>
    <s v="BX 15"/>
    <n v="10"/>
    <n v="1756"/>
    <x v="1126"/>
    <s v="Annual"/>
    <n v="1"/>
    <n v="1"/>
    <n v="90000"/>
    <n v="90000"/>
  </r>
  <r>
    <x v="0"/>
    <n v="23"/>
    <x v="37"/>
    <x v="7"/>
    <x v="7"/>
    <n v="1005"/>
    <x v="57"/>
    <x v="5"/>
    <x v="78"/>
    <n v="3211"/>
    <x v="302"/>
    <n v="0"/>
    <x v="0"/>
    <s v="BX 15"/>
    <n v="10"/>
    <n v="1756"/>
    <x v="1126"/>
    <s v="Annual"/>
    <n v="2"/>
    <n v="1"/>
    <n v="83052"/>
    <n v="166104"/>
  </r>
  <r>
    <x v="0"/>
    <n v="23"/>
    <x v="37"/>
    <x v="7"/>
    <x v="7"/>
    <n v="1005"/>
    <x v="57"/>
    <x v="5"/>
    <x v="78"/>
    <n v="3211"/>
    <x v="302"/>
    <n v="0"/>
    <x v="0"/>
    <s v="BX 15"/>
    <n v="10"/>
    <n v="1756"/>
    <x v="1126"/>
    <s v="Annual"/>
    <n v="2"/>
    <n v="1"/>
    <n v="76476"/>
    <n v="152952"/>
  </r>
  <r>
    <x v="0"/>
    <n v="23"/>
    <x v="37"/>
    <x v="7"/>
    <x v="7"/>
    <n v="1005"/>
    <x v="57"/>
    <x v="5"/>
    <x v="78"/>
    <n v="3211"/>
    <x v="302"/>
    <n v="0"/>
    <x v="0"/>
    <s v="BX 15"/>
    <n v="10"/>
    <n v="1756"/>
    <x v="1126"/>
    <s v="Annual"/>
    <n v="3"/>
    <n v="1"/>
    <n v="69684"/>
    <n v="209052"/>
  </r>
  <r>
    <x v="0"/>
    <n v="23"/>
    <x v="37"/>
    <x v="7"/>
    <x v="7"/>
    <n v="1005"/>
    <x v="57"/>
    <x v="5"/>
    <x v="78"/>
    <n v="3211"/>
    <x v="302"/>
    <n v="0"/>
    <x v="0"/>
    <s v="B 12"/>
    <n v="1"/>
    <s v="03A8"/>
    <x v="88"/>
    <s v="Annual"/>
    <n v="1"/>
    <n v="1"/>
    <n v="67608"/>
    <n v="67608"/>
  </r>
  <r>
    <x v="0"/>
    <n v="23"/>
    <x v="37"/>
    <x v="7"/>
    <x v="7"/>
    <n v="1005"/>
    <x v="57"/>
    <x v="5"/>
    <x v="78"/>
    <n v="3211"/>
    <x v="302"/>
    <n v="0"/>
    <x v="0"/>
    <s v="1 00"/>
    <n v="0"/>
    <n v="15"/>
    <x v="37"/>
    <s v="Annual"/>
    <n v="0"/>
    <n v="0"/>
    <n v="34173"/>
    <n v="34173"/>
  </r>
  <r>
    <x v="0"/>
    <n v="23"/>
    <x v="37"/>
    <x v="7"/>
    <x v="7"/>
    <n v="1005"/>
    <x v="57"/>
    <x v="5"/>
    <x v="78"/>
    <n v="3221"/>
    <x v="303"/>
    <n v="0"/>
    <x v="0"/>
    <s v="X 32"/>
    <n v="9"/>
    <n v="9679"/>
    <x v="81"/>
    <s v="Annual"/>
    <n v="1"/>
    <n v="1"/>
    <n v="157332"/>
    <n v="157332"/>
  </r>
  <r>
    <x v="0"/>
    <n v="23"/>
    <x v="37"/>
    <x v="7"/>
    <x v="7"/>
    <n v="1005"/>
    <x v="57"/>
    <x v="5"/>
    <x v="78"/>
    <n v="3221"/>
    <x v="303"/>
    <n v="0"/>
    <x v="0"/>
    <s v="X 33"/>
    <n v="10"/>
    <n v="1757"/>
    <x v="1123"/>
    <s v="Annual"/>
    <n v="2"/>
    <n v="1"/>
    <n v="146808"/>
    <n v="293616"/>
  </r>
  <r>
    <x v="0"/>
    <n v="23"/>
    <x v="37"/>
    <x v="7"/>
    <x v="7"/>
    <n v="1005"/>
    <x v="57"/>
    <x v="5"/>
    <x v="78"/>
    <n v="3221"/>
    <x v="303"/>
    <n v="0"/>
    <x v="0"/>
    <s v="BX 15"/>
    <n v="10"/>
    <n v="1756"/>
    <x v="1126"/>
    <s v="Annual"/>
    <n v="3"/>
    <n v="1"/>
    <n v="69684"/>
    <n v="209052"/>
  </r>
  <r>
    <x v="0"/>
    <n v="23"/>
    <x v="37"/>
    <x v="7"/>
    <x v="7"/>
    <n v="1005"/>
    <x v="57"/>
    <x v="5"/>
    <x v="78"/>
    <n v="3221"/>
    <x v="303"/>
    <n v="0"/>
    <x v="0"/>
    <s v="BX 16"/>
    <n v="10"/>
    <n v="347"/>
    <x v="1125"/>
    <s v="Annual"/>
    <n v="1"/>
    <n v="1"/>
    <n v="124584"/>
    <n v="124584"/>
  </r>
  <r>
    <x v="0"/>
    <n v="23"/>
    <x v="37"/>
    <x v="7"/>
    <x v="7"/>
    <n v="1005"/>
    <x v="57"/>
    <x v="5"/>
    <x v="78"/>
    <n v="3221"/>
    <x v="303"/>
    <n v="0"/>
    <x v="0"/>
    <s v="BX 18"/>
    <n v="10"/>
    <n v="311"/>
    <x v="253"/>
    <s v="Annual"/>
    <n v="1"/>
    <n v="1"/>
    <n v="113568"/>
    <n v="113568"/>
  </r>
  <r>
    <x v="0"/>
    <n v="23"/>
    <x v="37"/>
    <x v="7"/>
    <x v="7"/>
    <n v="1005"/>
    <x v="57"/>
    <x v="5"/>
    <x v="78"/>
    <n v="3221"/>
    <x v="303"/>
    <n v="0"/>
    <x v="0"/>
    <s v="B 13"/>
    <n v="1"/>
    <n v="308"/>
    <x v="90"/>
    <s v="Annual"/>
    <n v="1"/>
    <n v="1"/>
    <n v="74172"/>
    <n v="74172"/>
  </r>
  <r>
    <x v="0"/>
    <n v="23"/>
    <x v="37"/>
    <x v="7"/>
    <x v="7"/>
    <n v="1005"/>
    <x v="57"/>
    <x v="5"/>
    <x v="78"/>
    <n v="3221"/>
    <x v="303"/>
    <n v="0"/>
    <x v="0"/>
    <s v="1 00"/>
    <n v="0"/>
    <n v="15"/>
    <x v="37"/>
    <s v="Annual"/>
    <n v="0"/>
    <n v="0"/>
    <n v="19080"/>
    <n v="19080"/>
  </r>
  <r>
    <x v="0"/>
    <n v="23"/>
    <x v="37"/>
    <x v="7"/>
    <x v="7"/>
    <n v="1005"/>
    <x v="57"/>
    <x v="5"/>
    <x v="78"/>
    <n v="3226"/>
    <x v="304"/>
    <n v="0"/>
    <x v="0"/>
    <s v="X 32"/>
    <n v="9"/>
    <n v="9679"/>
    <x v="81"/>
    <s v="Annual"/>
    <n v="1"/>
    <n v="1"/>
    <n v="157332"/>
    <n v="157332"/>
  </r>
  <r>
    <x v="0"/>
    <n v="23"/>
    <x v="37"/>
    <x v="7"/>
    <x v="7"/>
    <n v="1005"/>
    <x v="57"/>
    <x v="5"/>
    <x v="78"/>
    <n v="3226"/>
    <x v="304"/>
    <n v="0"/>
    <x v="0"/>
    <s v="BX 16"/>
    <n v="10"/>
    <n v="5737"/>
    <x v="467"/>
    <s v="Annual"/>
    <n v="1"/>
    <n v="1"/>
    <n v="76476"/>
    <n v="76476"/>
  </r>
  <r>
    <x v="0"/>
    <n v="23"/>
    <x v="37"/>
    <x v="7"/>
    <x v="7"/>
    <n v="1005"/>
    <x v="57"/>
    <x v="5"/>
    <x v="78"/>
    <n v="3226"/>
    <x v="304"/>
    <n v="0"/>
    <x v="0"/>
    <s v="B 14"/>
    <n v="4"/>
    <n v="1912"/>
    <x v="222"/>
    <s v="Annual"/>
    <n v="1"/>
    <n v="1"/>
    <n v="124848"/>
    <n v="124848"/>
  </r>
  <r>
    <x v="0"/>
    <n v="23"/>
    <x v="37"/>
    <x v="7"/>
    <x v="7"/>
    <n v="1005"/>
    <x v="57"/>
    <x v="5"/>
    <x v="78"/>
    <n v="3226"/>
    <x v="304"/>
    <n v="0"/>
    <x v="0"/>
    <s v="X 33"/>
    <n v="10"/>
    <n v="1757"/>
    <x v="1123"/>
    <s v="Annual"/>
    <n v="1"/>
    <n v="1"/>
    <n v="121668"/>
    <n v="121668"/>
  </r>
  <r>
    <x v="0"/>
    <n v="23"/>
    <x v="37"/>
    <x v="7"/>
    <x v="7"/>
    <n v="1005"/>
    <x v="57"/>
    <x v="5"/>
    <x v="78"/>
    <n v="3226"/>
    <x v="304"/>
    <n v="0"/>
    <x v="0"/>
    <s v="BX 15"/>
    <n v="10"/>
    <n v="1756"/>
    <x v="1126"/>
    <s v="Annual"/>
    <n v="1"/>
    <n v="1"/>
    <n v="80124"/>
    <n v="80124"/>
  </r>
  <r>
    <x v="0"/>
    <n v="23"/>
    <x v="37"/>
    <x v="7"/>
    <x v="7"/>
    <n v="1005"/>
    <x v="57"/>
    <x v="5"/>
    <x v="78"/>
    <n v="3226"/>
    <x v="304"/>
    <n v="0"/>
    <x v="0"/>
    <s v="BX 17"/>
    <n v="10"/>
    <n v="790"/>
    <x v="31"/>
    <s v="Annual"/>
    <n v="1"/>
    <n v="1"/>
    <n v="85128"/>
    <n v="85128"/>
  </r>
  <r>
    <x v="0"/>
    <n v="23"/>
    <x v="37"/>
    <x v="7"/>
    <x v="7"/>
    <n v="1005"/>
    <x v="57"/>
    <x v="5"/>
    <x v="78"/>
    <n v="3226"/>
    <x v="304"/>
    <n v="0"/>
    <x v="0"/>
    <s v="BX 17"/>
    <n v="10"/>
    <n v="790"/>
    <x v="31"/>
    <s v="Annual"/>
    <n v="1"/>
    <n v="1"/>
    <n v="83052"/>
    <n v="83052"/>
  </r>
  <r>
    <x v="0"/>
    <n v="23"/>
    <x v="37"/>
    <x v="7"/>
    <x v="7"/>
    <n v="1005"/>
    <x v="57"/>
    <x v="5"/>
    <x v="78"/>
    <n v="3226"/>
    <x v="304"/>
    <n v="0"/>
    <x v="0"/>
    <s v="BX 15"/>
    <n v="10"/>
    <n v="789"/>
    <x v="75"/>
    <s v="Annual"/>
    <n v="1"/>
    <n v="1"/>
    <n v="113568"/>
    <n v="113568"/>
  </r>
  <r>
    <x v="0"/>
    <n v="23"/>
    <x v="37"/>
    <x v="7"/>
    <x v="7"/>
    <n v="1005"/>
    <x v="57"/>
    <x v="5"/>
    <x v="78"/>
    <n v="3226"/>
    <x v="304"/>
    <n v="0"/>
    <x v="0"/>
    <s v="1 00"/>
    <n v="0"/>
    <n v="15"/>
    <x v="37"/>
    <s v="Annual"/>
    <n v="0"/>
    <n v="0"/>
    <n v="18102"/>
    <n v="18102"/>
  </r>
  <r>
    <x v="0"/>
    <n v="23"/>
    <x v="37"/>
    <x v="7"/>
    <x v="7"/>
    <n v="1005"/>
    <x v="57"/>
    <x v="5"/>
    <x v="78"/>
    <n v="3235"/>
    <x v="305"/>
    <n v="0"/>
    <x v="0"/>
    <s v="X 32"/>
    <n v="9"/>
    <n v="9679"/>
    <x v="81"/>
    <s v="Annual"/>
    <n v="1"/>
    <n v="1"/>
    <n v="139140"/>
    <n v="139140"/>
  </r>
  <r>
    <x v="0"/>
    <n v="23"/>
    <x v="37"/>
    <x v="7"/>
    <x v="7"/>
    <n v="1005"/>
    <x v="57"/>
    <x v="5"/>
    <x v="78"/>
    <n v="3235"/>
    <x v="305"/>
    <n v="0"/>
    <x v="0"/>
    <s v="BX 15"/>
    <n v="10"/>
    <n v="1756"/>
    <x v="1126"/>
    <s v="Annual"/>
    <n v="1"/>
    <n v="1"/>
    <n v="83052"/>
    <n v="83052"/>
  </r>
  <r>
    <x v="0"/>
    <n v="23"/>
    <x v="37"/>
    <x v="7"/>
    <x v="7"/>
    <n v="1005"/>
    <x v="57"/>
    <x v="5"/>
    <x v="78"/>
    <n v="3235"/>
    <x v="305"/>
    <n v="0"/>
    <x v="0"/>
    <s v="BX 15"/>
    <n v="10"/>
    <n v="1756"/>
    <x v="1126"/>
    <s v="Annual"/>
    <n v="1"/>
    <n v="1"/>
    <n v="80124"/>
    <n v="80124"/>
  </r>
  <r>
    <x v="0"/>
    <n v="23"/>
    <x v="37"/>
    <x v="7"/>
    <x v="7"/>
    <n v="1005"/>
    <x v="57"/>
    <x v="5"/>
    <x v="78"/>
    <n v="3235"/>
    <x v="305"/>
    <n v="0"/>
    <x v="0"/>
    <s v="BX 15"/>
    <n v="10"/>
    <n v="1756"/>
    <x v="1126"/>
    <s v="Annual"/>
    <n v="1"/>
    <n v="1"/>
    <n v="69684"/>
    <n v="69684"/>
  </r>
  <r>
    <x v="0"/>
    <n v="23"/>
    <x v="37"/>
    <x v="7"/>
    <x v="7"/>
    <n v="1005"/>
    <x v="57"/>
    <x v="5"/>
    <x v="78"/>
    <n v="3235"/>
    <x v="305"/>
    <n v="0"/>
    <x v="0"/>
    <s v="BX 16"/>
    <n v="10"/>
    <n v="1430"/>
    <x v="355"/>
    <s v="Annual"/>
    <n v="1"/>
    <n v="1"/>
    <n v="76476"/>
    <n v="76476"/>
  </r>
  <r>
    <x v="0"/>
    <n v="23"/>
    <x v="37"/>
    <x v="7"/>
    <x v="7"/>
    <n v="1005"/>
    <x v="57"/>
    <x v="5"/>
    <x v="78"/>
    <n v="3235"/>
    <x v="305"/>
    <n v="0"/>
    <x v="0"/>
    <s v="X 33"/>
    <n v="9"/>
    <n v="346"/>
    <x v="1127"/>
    <s v="Annual"/>
    <n v="1"/>
    <n v="1"/>
    <n v="146808"/>
    <n v="146808"/>
  </r>
  <r>
    <x v="0"/>
    <n v="23"/>
    <x v="37"/>
    <x v="7"/>
    <x v="7"/>
    <n v="1005"/>
    <x v="57"/>
    <x v="5"/>
    <x v="78"/>
    <n v="3235"/>
    <x v="305"/>
    <n v="0"/>
    <x v="0"/>
    <s v="1 00"/>
    <n v="0"/>
    <n v="15"/>
    <x v="37"/>
    <s v="Annual"/>
    <n v="0"/>
    <n v="0"/>
    <n v="14978"/>
    <n v="14978"/>
  </r>
  <r>
    <x v="0"/>
    <n v="23"/>
    <x v="37"/>
    <x v="7"/>
    <x v="7"/>
    <n v="1005"/>
    <x v="57"/>
    <x v="5"/>
    <x v="78"/>
    <n v="3236"/>
    <x v="16"/>
    <n v="0"/>
    <x v="0"/>
    <s v="X 32"/>
    <n v="9"/>
    <n v="9679"/>
    <x v="81"/>
    <s v="Annual"/>
    <n v="1"/>
    <n v="1"/>
    <n v="139140"/>
    <n v="139140"/>
  </r>
  <r>
    <x v="0"/>
    <n v="23"/>
    <x v="37"/>
    <x v="7"/>
    <x v="7"/>
    <n v="1005"/>
    <x v="57"/>
    <x v="5"/>
    <x v="78"/>
    <n v="3236"/>
    <x v="16"/>
    <n v="0"/>
    <x v="0"/>
    <s v="BX 17"/>
    <n v="20"/>
    <n v="1778"/>
    <x v="1122"/>
    <s v="Annual"/>
    <n v="1"/>
    <n v="1"/>
    <n v="136692"/>
    <n v="136692"/>
  </r>
  <r>
    <x v="0"/>
    <n v="23"/>
    <x v="37"/>
    <x v="7"/>
    <x v="7"/>
    <n v="1005"/>
    <x v="57"/>
    <x v="5"/>
    <x v="78"/>
    <n v="3236"/>
    <x v="16"/>
    <n v="0"/>
    <x v="0"/>
    <s v="X 33"/>
    <n v="10"/>
    <n v="1757"/>
    <x v="1123"/>
    <s v="Annual"/>
    <n v="2"/>
    <n v="1"/>
    <n v="146808"/>
    <n v="293616"/>
  </r>
  <r>
    <x v="0"/>
    <n v="23"/>
    <x v="37"/>
    <x v="7"/>
    <x v="7"/>
    <n v="1005"/>
    <x v="57"/>
    <x v="5"/>
    <x v="78"/>
    <n v="3236"/>
    <x v="16"/>
    <n v="0"/>
    <x v="0"/>
    <s v="BX 15"/>
    <n v="10"/>
    <n v="1756"/>
    <x v="1126"/>
    <s v="Annual"/>
    <n v="1"/>
    <n v="1"/>
    <n v="98832"/>
    <n v="98832"/>
  </r>
  <r>
    <x v="0"/>
    <n v="23"/>
    <x v="37"/>
    <x v="7"/>
    <x v="7"/>
    <n v="1005"/>
    <x v="57"/>
    <x v="5"/>
    <x v="78"/>
    <n v="3236"/>
    <x v="16"/>
    <n v="0"/>
    <x v="0"/>
    <s v="BX 15"/>
    <n v="10"/>
    <n v="1756"/>
    <x v="1126"/>
    <s v="Annual"/>
    <n v="1"/>
    <n v="1"/>
    <n v="85980"/>
    <n v="85980"/>
  </r>
  <r>
    <x v="0"/>
    <n v="23"/>
    <x v="37"/>
    <x v="7"/>
    <x v="7"/>
    <n v="1005"/>
    <x v="57"/>
    <x v="5"/>
    <x v="78"/>
    <n v="3236"/>
    <x v="16"/>
    <n v="0"/>
    <x v="0"/>
    <s v="BX 15"/>
    <n v="10"/>
    <n v="1756"/>
    <x v="1126"/>
    <s v="Annual"/>
    <n v="1"/>
    <n v="1"/>
    <n v="80124"/>
    <n v="80124"/>
  </r>
  <r>
    <x v="0"/>
    <n v="23"/>
    <x v="37"/>
    <x v="7"/>
    <x v="7"/>
    <n v="1005"/>
    <x v="57"/>
    <x v="5"/>
    <x v="78"/>
    <n v="3236"/>
    <x v="16"/>
    <n v="0"/>
    <x v="0"/>
    <s v="BX 15"/>
    <n v="10"/>
    <n v="1756"/>
    <x v="1126"/>
    <s v="Annual"/>
    <n v="1"/>
    <n v="1"/>
    <n v="72996"/>
    <n v="72996"/>
  </r>
  <r>
    <x v="0"/>
    <n v="23"/>
    <x v="37"/>
    <x v="7"/>
    <x v="7"/>
    <n v="1005"/>
    <x v="57"/>
    <x v="5"/>
    <x v="78"/>
    <n v="3236"/>
    <x v="16"/>
    <n v="0"/>
    <x v="0"/>
    <s v="X 33"/>
    <n v="9"/>
    <n v="346"/>
    <x v="1127"/>
    <s v="Annual"/>
    <n v="1"/>
    <n v="1"/>
    <n v="146808"/>
    <n v="146808"/>
  </r>
  <r>
    <x v="0"/>
    <n v="23"/>
    <x v="37"/>
    <x v="7"/>
    <x v="7"/>
    <n v="1005"/>
    <x v="57"/>
    <x v="5"/>
    <x v="78"/>
    <n v="3236"/>
    <x v="16"/>
    <n v="0"/>
    <x v="0"/>
    <s v="BX 18"/>
    <n v="10"/>
    <n v="311"/>
    <x v="253"/>
    <s v="Annual"/>
    <n v="1"/>
    <n v="1"/>
    <n v="113568"/>
    <n v="113568"/>
  </r>
  <r>
    <x v="0"/>
    <n v="23"/>
    <x v="37"/>
    <x v="7"/>
    <x v="7"/>
    <n v="1005"/>
    <x v="57"/>
    <x v="5"/>
    <x v="78"/>
    <n v="3236"/>
    <x v="16"/>
    <n v="0"/>
    <x v="0"/>
    <s v="B 13"/>
    <n v="1"/>
    <n v="308"/>
    <x v="90"/>
    <s v="Annual"/>
    <n v="1"/>
    <n v="1"/>
    <n v="74172"/>
    <n v="74172"/>
  </r>
  <r>
    <x v="0"/>
    <n v="23"/>
    <x v="37"/>
    <x v="7"/>
    <x v="7"/>
    <n v="1005"/>
    <x v="57"/>
    <x v="5"/>
    <x v="78"/>
    <n v="3236"/>
    <x v="16"/>
    <n v="0"/>
    <x v="0"/>
    <s v="1 00"/>
    <n v="0"/>
    <n v="15"/>
    <x v="37"/>
    <s v="Annual"/>
    <n v="0"/>
    <n v="0"/>
    <n v="14740"/>
    <n v="14740"/>
  </r>
  <r>
    <x v="0"/>
    <n v="23"/>
    <x v="37"/>
    <x v="7"/>
    <x v="7"/>
    <n v="1005"/>
    <x v="57"/>
    <x v="5"/>
    <x v="78"/>
    <n v="3240"/>
    <x v="306"/>
    <n v="0"/>
    <x v="0"/>
    <s v="X 32"/>
    <n v="9"/>
    <n v="9684"/>
    <x v="76"/>
    <s v="Annual"/>
    <n v="1"/>
    <n v="1"/>
    <n v="157332"/>
    <n v="157332"/>
  </r>
  <r>
    <x v="0"/>
    <n v="23"/>
    <x v="37"/>
    <x v="7"/>
    <x v="7"/>
    <n v="1005"/>
    <x v="57"/>
    <x v="5"/>
    <x v="78"/>
    <n v="3240"/>
    <x v="306"/>
    <n v="0"/>
    <x v="0"/>
    <s v="X 33"/>
    <n v="10"/>
    <n v="1757"/>
    <x v="1123"/>
    <s v="Annual"/>
    <n v="1"/>
    <n v="1"/>
    <n v="146808"/>
    <n v="146808"/>
  </r>
  <r>
    <x v="0"/>
    <n v="23"/>
    <x v="37"/>
    <x v="7"/>
    <x v="7"/>
    <n v="1005"/>
    <x v="57"/>
    <x v="5"/>
    <x v="78"/>
    <n v="3240"/>
    <x v="306"/>
    <n v="0"/>
    <x v="0"/>
    <s v="X 33"/>
    <n v="10"/>
    <n v="1757"/>
    <x v="1123"/>
    <s v="Annual"/>
    <n v="2"/>
    <n v="1"/>
    <n v="121668"/>
    <n v="243336"/>
  </r>
  <r>
    <x v="0"/>
    <n v="23"/>
    <x v="37"/>
    <x v="7"/>
    <x v="7"/>
    <n v="1005"/>
    <x v="57"/>
    <x v="5"/>
    <x v="78"/>
    <n v="3240"/>
    <x v="306"/>
    <n v="0"/>
    <x v="0"/>
    <s v="BX 15"/>
    <n v="10"/>
    <n v="1756"/>
    <x v="1126"/>
    <s v="Annual"/>
    <n v="2"/>
    <n v="1"/>
    <n v="90000"/>
    <n v="180000"/>
  </r>
  <r>
    <x v="0"/>
    <n v="23"/>
    <x v="37"/>
    <x v="7"/>
    <x v="7"/>
    <n v="1005"/>
    <x v="57"/>
    <x v="5"/>
    <x v="78"/>
    <n v="3240"/>
    <x v="306"/>
    <n v="0"/>
    <x v="0"/>
    <s v="BX 15"/>
    <n v="10"/>
    <n v="1756"/>
    <x v="1126"/>
    <s v="Annual"/>
    <n v="1"/>
    <n v="1"/>
    <n v="83052"/>
    <n v="83052"/>
  </r>
  <r>
    <x v="0"/>
    <n v="23"/>
    <x v="37"/>
    <x v="7"/>
    <x v="7"/>
    <n v="1005"/>
    <x v="57"/>
    <x v="5"/>
    <x v="78"/>
    <n v="3240"/>
    <x v="306"/>
    <n v="0"/>
    <x v="0"/>
    <s v="BX 15"/>
    <n v="10"/>
    <n v="1756"/>
    <x v="1126"/>
    <s v="Annual"/>
    <n v="2"/>
    <n v="1"/>
    <n v="80124"/>
    <n v="160248"/>
  </r>
  <r>
    <x v="0"/>
    <n v="23"/>
    <x v="37"/>
    <x v="7"/>
    <x v="7"/>
    <n v="1005"/>
    <x v="57"/>
    <x v="5"/>
    <x v="78"/>
    <n v="3240"/>
    <x v="306"/>
    <n v="0"/>
    <x v="0"/>
    <s v="BX 15"/>
    <n v="10"/>
    <n v="1756"/>
    <x v="1126"/>
    <s v="Annual"/>
    <n v="1"/>
    <n v="1"/>
    <n v="69684"/>
    <n v="69684"/>
  </r>
  <r>
    <x v="0"/>
    <n v="23"/>
    <x v="37"/>
    <x v="7"/>
    <x v="7"/>
    <n v="1005"/>
    <x v="57"/>
    <x v="5"/>
    <x v="78"/>
    <n v="3240"/>
    <x v="306"/>
    <n v="0"/>
    <x v="0"/>
    <s v="BX 15"/>
    <n v="10"/>
    <n v="715"/>
    <x v="1128"/>
    <s v="Annual"/>
    <n v="1"/>
    <n v="1"/>
    <n v="72996"/>
    <n v="72996"/>
  </r>
  <r>
    <x v="0"/>
    <n v="23"/>
    <x v="37"/>
    <x v="7"/>
    <x v="7"/>
    <n v="1005"/>
    <x v="57"/>
    <x v="5"/>
    <x v="78"/>
    <n v="3240"/>
    <x v="306"/>
    <n v="0"/>
    <x v="0"/>
    <s v="BX 16"/>
    <n v="10"/>
    <n v="347"/>
    <x v="1125"/>
    <s v="Annual"/>
    <n v="1"/>
    <n v="1"/>
    <n v="76476"/>
    <n v="76476"/>
  </r>
  <r>
    <x v="0"/>
    <n v="23"/>
    <x v="37"/>
    <x v="7"/>
    <x v="7"/>
    <n v="1005"/>
    <x v="57"/>
    <x v="5"/>
    <x v="78"/>
    <n v="3240"/>
    <x v="306"/>
    <n v="0"/>
    <x v="0"/>
    <s v="BX 18"/>
    <n v="10"/>
    <n v="311"/>
    <x v="253"/>
    <s v="Annual"/>
    <n v="1"/>
    <n v="1"/>
    <n v="113568"/>
    <n v="113568"/>
  </r>
  <r>
    <x v="0"/>
    <n v="23"/>
    <x v="37"/>
    <x v="7"/>
    <x v="7"/>
    <n v="1005"/>
    <x v="57"/>
    <x v="5"/>
    <x v="78"/>
    <n v="3240"/>
    <x v="306"/>
    <n v="0"/>
    <x v="0"/>
    <s v="1 00"/>
    <n v="0"/>
    <n v="15"/>
    <x v="37"/>
    <s v="Annual"/>
    <n v="0"/>
    <n v="0"/>
    <n v="23717"/>
    <n v="23717"/>
  </r>
  <r>
    <x v="0"/>
    <n v="3"/>
    <x v="1"/>
    <x v="8"/>
    <x v="8"/>
    <n v="1005"/>
    <x v="1"/>
    <x v="0"/>
    <x v="1"/>
    <n v="3020"/>
    <x v="18"/>
    <n v="0"/>
    <x v="0"/>
    <s v="GY 08"/>
    <n v="0"/>
    <n v="1221"/>
    <x v="48"/>
    <s v="Annual"/>
    <n v="1"/>
    <n v="1"/>
    <n v="85236"/>
    <n v="85236"/>
  </r>
  <r>
    <x v="0"/>
    <n v="3"/>
    <x v="1"/>
    <x v="8"/>
    <x v="8"/>
    <n v="1005"/>
    <x v="1"/>
    <x v="0"/>
    <x v="1"/>
    <n v="3020"/>
    <x v="18"/>
    <n v="0"/>
    <x v="0"/>
    <s v="GY 06"/>
    <n v="0"/>
    <n v="1219"/>
    <x v="49"/>
    <s v="Annual"/>
    <n v="1"/>
    <n v="1"/>
    <n v="76020"/>
    <n v="76020"/>
  </r>
  <r>
    <x v="0"/>
    <n v="3"/>
    <x v="1"/>
    <x v="8"/>
    <x v="8"/>
    <n v="1005"/>
    <x v="1"/>
    <x v="0"/>
    <x v="1"/>
    <n v="3020"/>
    <x v="18"/>
    <n v="0"/>
    <x v="0"/>
    <s v="1 00"/>
    <n v="0"/>
    <n v="15"/>
    <x v="37"/>
    <s v="Annual"/>
    <n v="0"/>
    <n v="0"/>
    <n v="7107"/>
    <n v="7107"/>
  </r>
  <r>
    <x v="0"/>
    <n v="3"/>
    <x v="1"/>
    <x v="8"/>
    <x v="8"/>
    <n v="1005"/>
    <x v="1"/>
    <x v="0"/>
    <x v="1"/>
    <n v="3027"/>
    <x v="19"/>
    <n v="0"/>
    <x v="0"/>
    <s v="GY 07"/>
    <n v="20"/>
    <n v="1125"/>
    <x v="51"/>
    <s v="Annual"/>
    <n v="1"/>
    <n v="1"/>
    <n v="82884"/>
    <n v="82884"/>
  </r>
  <r>
    <x v="0"/>
    <n v="3"/>
    <x v="1"/>
    <x v="8"/>
    <x v="8"/>
    <n v="1005"/>
    <x v="1"/>
    <x v="0"/>
    <x v="1"/>
    <n v="3027"/>
    <x v="19"/>
    <n v="0"/>
    <x v="0"/>
    <s v="1 00"/>
    <n v="0"/>
    <n v="15"/>
    <x v="37"/>
    <s v="Annual"/>
    <n v="0"/>
    <n v="0"/>
    <n v="1960"/>
    <n v="1960"/>
  </r>
  <r>
    <x v="0"/>
    <n v="27"/>
    <x v="7"/>
    <x v="8"/>
    <x v="8"/>
    <n v="1005"/>
    <x v="8"/>
    <x v="2"/>
    <x v="9"/>
    <n v="3019"/>
    <x v="44"/>
    <n v="4054"/>
    <x v="241"/>
    <s v="B 13"/>
    <n v="4"/>
    <n v="110"/>
    <x v="93"/>
    <s v="Annual"/>
    <n v="1"/>
    <n v="1"/>
    <n v="119100"/>
    <n v="119100"/>
  </r>
  <r>
    <x v="0"/>
    <n v="27"/>
    <x v="7"/>
    <x v="8"/>
    <x v="8"/>
    <n v="1005"/>
    <x v="8"/>
    <x v="2"/>
    <x v="9"/>
    <n v="3019"/>
    <x v="44"/>
    <n v="4054"/>
    <x v="241"/>
    <s v="B 13"/>
    <n v="4"/>
    <n v="110"/>
    <x v="93"/>
    <s v="Annual"/>
    <n v="1"/>
    <n v="1"/>
    <n v="68616"/>
    <n v="68616"/>
  </r>
  <r>
    <x v="0"/>
    <n v="27"/>
    <x v="7"/>
    <x v="8"/>
    <x v="8"/>
    <n v="1005"/>
    <x v="8"/>
    <x v="5"/>
    <x v="10"/>
    <n v="3016"/>
    <x v="45"/>
    <n v="4079"/>
    <x v="8"/>
    <s v="G 07"/>
    <n v="4"/>
    <n v="193"/>
    <x v="244"/>
    <s v="Annual"/>
    <n v="1"/>
    <n v="1"/>
    <n v="90144"/>
    <n v="90144"/>
  </r>
  <r>
    <x v="0"/>
    <n v="27"/>
    <x v="7"/>
    <x v="8"/>
    <x v="8"/>
    <n v="1005"/>
    <x v="8"/>
    <x v="5"/>
    <x v="10"/>
    <n v="3016"/>
    <x v="45"/>
    <n v="4080"/>
    <x v="9"/>
    <s v="B 13"/>
    <n v="1"/>
    <n v="308"/>
    <x v="90"/>
    <s v="Annual"/>
    <n v="1"/>
    <n v="1"/>
    <n v="74172"/>
    <n v="74172"/>
  </r>
  <r>
    <x v="0"/>
    <n v="27"/>
    <x v="7"/>
    <x v="8"/>
    <x v="8"/>
    <n v="1005"/>
    <x v="8"/>
    <x v="5"/>
    <x v="10"/>
    <n v="3016"/>
    <x v="45"/>
    <n v="4080"/>
    <x v="9"/>
    <s v="1 00"/>
    <n v="0"/>
    <n v="15"/>
    <x v="37"/>
    <s v="Annual"/>
    <n v="0"/>
    <n v="0"/>
    <n v="2670"/>
    <n v="2670"/>
  </r>
  <r>
    <x v="0"/>
    <n v="28"/>
    <x v="8"/>
    <x v="8"/>
    <x v="8"/>
    <n v="1005"/>
    <x v="9"/>
    <x v="0"/>
    <x v="12"/>
    <n v="3010"/>
    <x v="51"/>
    <n v="0"/>
    <x v="0"/>
    <s v="BX 18"/>
    <n v="10"/>
    <n v="310"/>
    <x v="135"/>
    <s v="Annual"/>
    <n v="1"/>
    <n v="1"/>
    <n v="93384"/>
    <n v="93384"/>
  </r>
  <r>
    <x v="0"/>
    <n v="28"/>
    <x v="8"/>
    <x v="8"/>
    <x v="8"/>
    <n v="1005"/>
    <x v="9"/>
    <x v="0"/>
    <x v="12"/>
    <n v="3010"/>
    <x v="51"/>
    <n v="0"/>
    <x v="0"/>
    <s v="G 07"/>
    <n v="1"/>
    <n v="242"/>
    <x v="313"/>
    <s v="Annual"/>
    <n v="1"/>
    <n v="1"/>
    <n v="122928"/>
    <n v="122928"/>
  </r>
  <r>
    <x v="0"/>
    <n v="28"/>
    <x v="8"/>
    <x v="8"/>
    <x v="8"/>
    <n v="1005"/>
    <x v="9"/>
    <x v="0"/>
    <x v="12"/>
    <n v="3010"/>
    <x v="51"/>
    <n v="0"/>
    <x v="0"/>
    <s v="1 00"/>
    <n v="0"/>
    <n v="15"/>
    <x v="37"/>
    <s v="Annual"/>
    <n v="0"/>
    <n v="0"/>
    <n v="3225"/>
    <n v="3225"/>
  </r>
  <r>
    <x v="0"/>
    <n v="28"/>
    <x v="8"/>
    <x v="8"/>
    <x v="8"/>
    <n v="1005"/>
    <x v="9"/>
    <x v="0"/>
    <x v="12"/>
    <n v="3015"/>
    <x v="52"/>
    <n v="0"/>
    <x v="0"/>
    <s v="B 13"/>
    <n v="1"/>
    <n v="308"/>
    <x v="90"/>
    <s v="Annual"/>
    <n v="1"/>
    <n v="1"/>
    <n v="98928"/>
    <n v="98928"/>
  </r>
  <r>
    <x v="0"/>
    <n v="28"/>
    <x v="8"/>
    <x v="8"/>
    <x v="8"/>
    <n v="1005"/>
    <x v="9"/>
    <x v="0"/>
    <x v="12"/>
    <n v="3015"/>
    <x v="52"/>
    <n v="0"/>
    <x v="0"/>
    <s v="1 00"/>
    <n v="0"/>
    <n v="15"/>
    <x v="37"/>
    <s v="Annual"/>
    <n v="0"/>
    <n v="0"/>
    <n v="4169"/>
    <n v="4169"/>
  </r>
  <r>
    <x v="0"/>
    <n v="31"/>
    <x v="10"/>
    <x v="8"/>
    <x v="8"/>
    <n v="1005"/>
    <x v="11"/>
    <x v="0"/>
    <x v="14"/>
    <n v="3038"/>
    <x v="66"/>
    <n v="4034"/>
    <x v="297"/>
    <s v="LX 03"/>
    <n v="9"/>
    <n v="1652"/>
    <x v="336"/>
    <s v="Annual"/>
    <n v="1"/>
    <n v="1"/>
    <n v="173160"/>
    <n v="173160"/>
  </r>
  <r>
    <x v="0"/>
    <n v="31"/>
    <x v="10"/>
    <x v="8"/>
    <x v="8"/>
    <n v="1005"/>
    <x v="11"/>
    <x v="0"/>
    <x v="14"/>
    <n v="3038"/>
    <x v="66"/>
    <n v="4034"/>
    <x v="297"/>
    <s v="L 05"/>
    <n v="9"/>
    <n v="1641"/>
    <x v="337"/>
    <s v="Annual"/>
    <n v="1"/>
    <n v="1"/>
    <n v="149556"/>
    <n v="149556"/>
  </r>
  <r>
    <x v="0"/>
    <n v="31"/>
    <x v="10"/>
    <x v="8"/>
    <x v="8"/>
    <n v="1005"/>
    <x v="11"/>
    <x v="0"/>
    <x v="14"/>
    <n v="3038"/>
    <x v="66"/>
    <n v="4034"/>
    <x v="297"/>
    <s v="1 00"/>
    <n v="0"/>
    <n v="15"/>
    <x v="37"/>
    <s v="Annual"/>
    <n v="0"/>
    <n v="0"/>
    <n v="1855"/>
    <n v="1855"/>
  </r>
  <r>
    <x v="0"/>
    <n v="31"/>
    <x v="10"/>
    <x v="8"/>
    <x v="8"/>
    <n v="1005"/>
    <x v="11"/>
    <x v="0"/>
    <x v="14"/>
    <n v="3644"/>
    <x v="68"/>
    <n v="0"/>
    <x v="0"/>
    <s v="L 05"/>
    <n v="9"/>
    <n v="1641"/>
    <x v="337"/>
    <s v="Annual"/>
    <n v="1"/>
    <n v="1"/>
    <n v="142776"/>
    <n v="142776"/>
  </r>
  <r>
    <x v="0"/>
    <n v="31"/>
    <x v="10"/>
    <x v="8"/>
    <x v="8"/>
    <n v="1005"/>
    <x v="11"/>
    <x v="0"/>
    <x v="14"/>
    <n v="3644"/>
    <x v="68"/>
    <n v="0"/>
    <x v="0"/>
    <s v="1 00"/>
    <n v="0"/>
    <n v="15"/>
    <x v="37"/>
    <s v="Annual"/>
    <n v="0"/>
    <n v="0"/>
    <n v="4238"/>
    <n v="4238"/>
  </r>
  <r>
    <x v="0"/>
    <n v="33"/>
    <x v="11"/>
    <x v="8"/>
    <x v="8"/>
    <n v="1005"/>
    <x v="12"/>
    <x v="0"/>
    <x v="15"/>
    <n v="3620"/>
    <x v="78"/>
    <n v="0"/>
    <x v="0"/>
    <s v="G 08"/>
    <n v="4"/>
    <n v="1380"/>
    <x v="376"/>
    <s v="Annual"/>
    <n v="1"/>
    <n v="1"/>
    <n v="141564"/>
    <n v="141564"/>
  </r>
  <r>
    <x v="0"/>
    <n v="35"/>
    <x v="12"/>
    <x v="8"/>
    <x v="8"/>
    <n v="1005"/>
    <x v="13"/>
    <x v="0"/>
    <x v="16"/>
    <n v="3012"/>
    <x v="81"/>
    <n v="4110"/>
    <x v="263"/>
    <s v="BX 18"/>
    <n v="0"/>
    <n v="1508"/>
    <x v="395"/>
    <s v="Annual"/>
    <n v="3"/>
    <n v="1"/>
    <n v="93384"/>
    <n v="280152"/>
  </r>
  <r>
    <x v="0"/>
    <n v="35"/>
    <x v="12"/>
    <x v="8"/>
    <x v="8"/>
    <n v="1005"/>
    <x v="13"/>
    <x v="0"/>
    <x v="16"/>
    <n v="3012"/>
    <x v="81"/>
    <n v="4110"/>
    <x v="263"/>
    <s v="B 15"/>
    <n v="1"/>
    <n v="1507"/>
    <x v="396"/>
    <s v="Annual"/>
    <n v="1"/>
    <n v="1"/>
    <n v="82644"/>
    <n v="82644"/>
  </r>
  <r>
    <x v="0"/>
    <n v="35"/>
    <x v="12"/>
    <x v="8"/>
    <x v="8"/>
    <n v="1005"/>
    <x v="13"/>
    <x v="0"/>
    <x v="16"/>
    <n v="3012"/>
    <x v="81"/>
    <n v="4110"/>
    <x v="263"/>
    <s v="1 00"/>
    <n v="0"/>
    <n v="15"/>
    <x v="37"/>
    <s v="Annual"/>
    <n v="0"/>
    <n v="0"/>
    <n v="9461"/>
    <n v="9461"/>
  </r>
  <r>
    <x v="0"/>
    <n v="35"/>
    <x v="12"/>
    <x v="8"/>
    <x v="8"/>
    <n v="1005"/>
    <x v="13"/>
    <x v="0"/>
    <x v="16"/>
    <n v="3024"/>
    <x v="82"/>
    <n v="4031"/>
    <x v="60"/>
    <s v="G 06"/>
    <n v="1"/>
    <n v="1504"/>
    <x v="403"/>
    <s v="Annual"/>
    <n v="1"/>
    <n v="1"/>
    <n v="97488"/>
    <n v="97488"/>
  </r>
  <r>
    <x v="0"/>
    <n v="35"/>
    <x v="12"/>
    <x v="8"/>
    <x v="8"/>
    <n v="1005"/>
    <x v="13"/>
    <x v="0"/>
    <x v="16"/>
    <n v="3024"/>
    <x v="82"/>
    <n v="4031"/>
    <x v="60"/>
    <s v="1 00"/>
    <n v="0"/>
    <n v="15"/>
    <x v="37"/>
    <s v="Annual"/>
    <n v="0"/>
    <n v="0"/>
    <n v="3663"/>
    <n v="3663"/>
  </r>
  <r>
    <x v="0"/>
    <n v="38"/>
    <x v="13"/>
    <x v="8"/>
    <x v="8"/>
    <n v="1005"/>
    <x v="14"/>
    <x v="10"/>
    <x v="20"/>
    <n v="3224"/>
    <x v="307"/>
    <n v="0"/>
    <x v="0"/>
    <s v="2 0"/>
    <n v="8"/>
    <n v="7160"/>
    <x v="478"/>
    <s v="Hourly"/>
    <n v="4"/>
    <n v="1"/>
    <n v="33.619999999999997"/>
    <n v="279718"/>
  </r>
  <r>
    <x v="0"/>
    <n v="38"/>
    <x v="13"/>
    <x v="8"/>
    <x v="8"/>
    <n v="1005"/>
    <x v="14"/>
    <x v="10"/>
    <x v="20"/>
    <n v="3224"/>
    <x v="307"/>
    <n v="0"/>
    <x v="0"/>
    <s v="P 12"/>
    <n v="8"/>
    <n v="7136"/>
    <x v="486"/>
    <s v="Annual"/>
    <n v="1"/>
    <n v="1"/>
    <n v="108528"/>
    <n v="108528"/>
  </r>
  <r>
    <x v="0"/>
    <n v="38"/>
    <x v="13"/>
    <x v="8"/>
    <x v="8"/>
    <n v="1005"/>
    <x v="14"/>
    <x v="10"/>
    <x v="20"/>
    <n v="3224"/>
    <x v="307"/>
    <n v="0"/>
    <x v="0"/>
    <s v="BX 18"/>
    <n v="10"/>
    <n v="7047"/>
    <x v="488"/>
    <s v="Annual"/>
    <n v="1"/>
    <n v="1"/>
    <n v="143232"/>
    <n v="143232"/>
  </r>
  <r>
    <x v="0"/>
    <n v="38"/>
    <x v="13"/>
    <x v="8"/>
    <x v="8"/>
    <n v="1005"/>
    <x v="14"/>
    <x v="10"/>
    <x v="20"/>
    <n v="3224"/>
    <x v="307"/>
    <n v="0"/>
    <x v="0"/>
    <s v="2 0"/>
    <n v="36"/>
    <n v="6679"/>
    <x v="489"/>
    <s v="Hourly"/>
    <n v="2"/>
    <n v="1"/>
    <n v="64.39"/>
    <n v="267862"/>
  </r>
  <r>
    <x v="0"/>
    <n v="38"/>
    <x v="13"/>
    <x v="8"/>
    <x v="8"/>
    <n v="1005"/>
    <x v="14"/>
    <x v="10"/>
    <x v="20"/>
    <n v="3224"/>
    <x v="307"/>
    <n v="0"/>
    <x v="0"/>
    <s v="2 0"/>
    <n v="36"/>
    <n v="6673"/>
    <x v="490"/>
    <s v="Hourly"/>
    <n v="8"/>
    <n v="1"/>
    <n v="60.39"/>
    <n v="1004890"/>
  </r>
  <r>
    <x v="0"/>
    <n v="38"/>
    <x v="13"/>
    <x v="8"/>
    <x v="8"/>
    <n v="1005"/>
    <x v="14"/>
    <x v="10"/>
    <x v="20"/>
    <n v="3224"/>
    <x v="307"/>
    <n v="0"/>
    <x v="0"/>
    <s v="1 00"/>
    <n v="0"/>
    <n v="15"/>
    <x v="37"/>
    <s v="Annual"/>
    <n v="0"/>
    <n v="0"/>
    <n v="855"/>
    <n v="855"/>
  </r>
  <r>
    <x v="0"/>
    <n v="38"/>
    <x v="13"/>
    <x v="8"/>
    <x v="8"/>
    <n v="1005"/>
    <x v="14"/>
    <x v="10"/>
    <x v="20"/>
    <n v="3224"/>
    <x v="307"/>
    <n v="0"/>
    <x v="0"/>
    <s v="1 00"/>
    <n v="0"/>
    <n v="12"/>
    <x v="291"/>
    <s v="Annual"/>
    <n v="0"/>
    <n v="0"/>
    <n v="23287"/>
    <n v="23287"/>
  </r>
  <r>
    <x v="0"/>
    <n v="57"/>
    <x v="22"/>
    <x v="8"/>
    <x v="8"/>
    <n v="1005"/>
    <x v="23"/>
    <x v="21"/>
    <x v="40"/>
    <n v="3336"/>
    <x v="308"/>
    <n v="0"/>
    <x v="0"/>
    <s v="E 05"/>
    <n v="75"/>
    <n v="9175"/>
    <x v="665"/>
    <s v="Annual"/>
    <n v="1"/>
    <n v="1"/>
    <n v="181188"/>
    <n v="181188"/>
  </r>
  <r>
    <x v="0"/>
    <n v="57"/>
    <x v="22"/>
    <x v="8"/>
    <x v="8"/>
    <n v="1005"/>
    <x v="23"/>
    <x v="21"/>
    <x v="40"/>
    <n v="3336"/>
    <x v="308"/>
    <n v="0"/>
    <x v="0"/>
    <s v="E 04"/>
    <n v="73"/>
    <n v="9173"/>
    <x v="662"/>
    <s v="Annual"/>
    <n v="1"/>
    <n v="1"/>
    <n v="170700"/>
    <n v="170700"/>
  </r>
  <r>
    <x v="0"/>
    <n v="57"/>
    <x v="22"/>
    <x v="8"/>
    <x v="8"/>
    <n v="1005"/>
    <x v="23"/>
    <x v="21"/>
    <x v="40"/>
    <n v="3336"/>
    <x v="308"/>
    <n v="0"/>
    <x v="0"/>
    <s v="E 03"/>
    <n v="71"/>
    <n v="9171"/>
    <x v="651"/>
    <s v="Annual"/>
    <n v="3"/>
    <n v="1"/>
    <n v="152010"/>
    <n v="456030"/>
  </r>
  <r>
    <x v="0"/>
    <n v="57"/>
    <x v="22"/>
    <x v="8"/>
    <x v="8"/>
    <n v="1005"/>
    <x v="23"/>
    <x v="21"/>
    <x v="40"/>
    <n v="3336"/>
    <x v="308"/>
    <n v="0"/>
    <x v="0"/>
    <s v="E 03"/>
    <n v="71"/>
    <n v="9171"/>
    <x v="651"/>
    <s v="Annual"/>
    <n v="2"/>
    <n v="1"/>
    <n v="147252"/>
    <n v="294504"/>
  </r>
  <r>
    <x v="0"/>
    <n v="57"/>
    <x v="22"/>
    <x v="8"/>
    <x v="8"/>
    <n v="1005"/>
    <x v="23"/>
    <x v="21"/>
    <x v="40"/>
    <n v="3336"/>
    <x v="308"/>
    <n v="0"/>
    <x v="0"/>
    <s v="E 03"/>
    <n v="71"/>
    <n v="9171"/>
    <x v="651"/>
    <s v="Annual"/>
    <n v="1"/>
    <n v="1"/>
    <n v="142668"/>
    <n v="142668"/>
  </r>
  <r>
    <x v="0"/>
    <n v="57"/>
    <x v="22"/>
    <x v="8"/>
    <x v="8"/>
    <n v="1005"/>
    <x v="23"/>
    <x v="21"/>
    <x v="40"/>
    <n v="3336"/>
    <x v="308"/>
    <n v="0"/>
    <x v="0"/>
    <s v="E 03"/>
    <n v="71"/>
    <n v="9171"/>
    <x v="651"/>
    <s v="Annual"/>
    <n v="3"/>
    <n v="1"/>
    <n v="138318"/>
    <n v="414954"/>
  </r>
  <r>
    <x v="0"/>
    <n v="57"/>
    <x v="22"/>
    <x v="8"/>
    <x v="8"/>
    <n v="1005"/>
    <x v="23"/>
    <x v="21"/>
    <x v="40"/>
    <n v="3336"/>
    <x v="308"/>
    <n v="0"/>
    <x v="0"/>
    <s v="D 01"/>
    <n v="91"/>
    <n v="9161"/>
    <x v="655"/>
    <s v="Annual"/>
    <n v="11"/>
    <n v="1"/>
    <n v="127146"/>
    <n v="1398606"/>
  </r>
  <r>
    <x v="0"/>
    <n v="57"/>
    <x v="22"/>
    <x v="8"/>
    <x v="8"/>
    <n v="1005"/>
    <x v="23"/>
    <x v="21"/>
    <x v="40"/>
    <n v="3336"/>
    <x v="308"/>
    <n v="0"/>
    <x v="0"/>
    <s v="D 01"/>
    <n v="91"/>
    <n v="9161"/>
    <x v="655"/>
    <s v="Annual"/>
    <n v="3"/>
    <n v="1"/>
    <n v="123576"/>
    <n v="370728"/>
  </r>
  <r>
    <x v="0"/>
    <n v="57"/>
    <x v="22"/>
    <x v="8"/>
    <x v="8"/>
    <n v="1005"/>
    <x v="23"/>
    <x v="21"/>
    <x v="40"/>
    <n v="3336"/>
    <x v="308"/>
    <n v="0"/>
    <x v="0"/>
    <s v="D 01"/>
    <n v="91"/>
    <n v="9161"/>
    <x v="655"/>
    <s v="Annual"/>
    <n v="1"/>
    <n v="1"/>
    <n v="115158"/>
    <n v="115158"/>
  </r>
  <r>
    <x v="0"/>
    <n v="57"/>
    <x v="22"/>
    <x v="8"/>
    <x v="8"/>
    <n v="1005"/>
    <x v="23"/>
    <x v="21"/>
    <x v="40"/>
    <n v="3336"/>
    <x v="308"/>
    <n v="0"/>
    <x v="0"/>
    <s v="D 01"/>
    <n v="91"/>
    <n v="9161"/>
    <x v="655"/>
    <s v="Annual"/>
    <n v="2"/>
    <n v="1"/>
    <n v="111252"/>
    <n v="222504"/>
  </r>
  <r>
    <x v="0"/>
    <n v="57"/>
    <x v="22"/>
    <x v="8"/>
    <x v="8"/>
    <n v="1005"/>
    <x v="23"/>
    <x v="21"/>
    <x v="40"/>
    <n v="3336"/>
    <x v="308"/>
    <n v="0"/>
    <x v="0"/>
    <s v="D 01"/>
    <n v="91"/>
    <n v="9161"/>
    <x v="655"/>
    <s v="Annual"/>
    <n v="26"/>
    <n v="1"/>
    <n v="95982"/>
    <n v="2495532"/>
  </r>
  <r>
    <x v="0"/>
    <n v="57"/>
    <x v="22"/>
    <x v="8"/>
    <x v="8"/>
    <n v="1005"/>
    <x v="23"/>
    <x v="21"/>
    <x v="40"/>
    <n v="3336"/>
    <x v="308"/>
    <n v="0"/>
    <x v="0"/>
    <s v="D 01"/>
    <n v="91"/>
    <n v="9161"/>
    <x v="655"/>
    <s v="Annual"/>
    <n v="14"/>
    <n v="1"/>
    <n v="63636"/>
    <n v="890904"/>
  </r>
  <r>
    <x v="0"/>
    <n v="57"/>
    <x v="22"/>
    <x v="8"/>
    <x v="8"/>
    <n v="1005"/>
    <x v="23"/>
    <x v="21"/>
    <x v="40"/>
    <n v="3336"/>
    <x v="308"/>
    <n v="0"/>
    <x v="0"/>
    <s v="D 02"/>
    <n v="91"/>
    <n v="9153"/>
    <x v="694"/>
    <s v="Annual"/>
    <n v="2"/>
    <n v="1"/>
    <n v="129774"/>
    <n v="259548"/>
  </r>
  <r>
    <x v="0"/>
    <n v="57"/>
    <x v="22"/>
    <x v="8"/>
    <x v="8"/>
    <n v="1005"/>
    <x v="23"/>
    <x v="21"/>
    <x v="40"/>
    <n v="3336"/>
    <x v="308"/>
    <n v="0"/>
    <x v="0"/>
    <s v="D 02"/>
    <n v="91"/>
    <n v="9153"/>
    <x v="694"/>
    <s v="Annual"/>
    <n v="1"/>
    <n v="1"/>
    <n v="125112"/>
    <n v="125112"/>
  </r>
  <r>
    <x v="0"/>
    <n v="57"/>
    <x v="22"/>
    <x v="8"/>
    <x v="8"/>
    <n v="1005"/>
    <x v="23"/>
    <x v="21"/>
    <x v="40"/>
    <n v="3336"/>
    <x v="308"/>
    <n v="0"/>
    <x v="0"/>
    <s v="B 09"/>
    <n v="1"/>
    <n v="460"/>
    <x v="344"/>
    <s v="Annual"/>
    <n v="1"/>
    <n v="1"/>
    <n v="47364"/>
    <n v="47364"/>
  </r>
  <r>
    <x v="0"/>
    <n v="57"/>
    <x v="22"/>
    <x v="8"/>
    <x v="8"/>
    <n v="1005"/>
    <x v="23"/>
    <x v="21"/>
    <x v="40"/>
    <n v="3336"/>
    <x v="308"/>
    <n v="0"/>
    <x v="0"/>
    <s v="1 00"/>
    <n v="0"/>
    <n v="15"/>
    <x v="37"/>
    <s v="Annual"/>
    <n v="0"/>
    <n v="0"/>
    <n v="77297"/>
    <n v="77297"/>
  </r>
  <r>
    <x v="0"/>
    <n v="58"/>
    <x v="23"/>
    <x v="8"/>
    <x v="8"/>
    <n v="1010"/>
    <x v="24"/>
    <x v="23"/>
    <x v="43"/>
    <n v="3050"/>
    <x v="188"/>
    <n v="4645"/>
    <x v="158"/>
    <s v="I 10"/>
    <n v="2"/>
    <n v="9112"/>
    <x v="1129"/>
    <s v="Annual"/>
    <n v="6"/>
    <n v="1"/>
    <n v="59820"/>
    <n v="358920"/>
  </r>
  <r>
    <x v="0"/>
    <n v="58"/>
    <x v="23"/>
    <x v="8"/>
    <x v="8"/>
    <n v="1010"/>
    <x v="24"/>
    <x v="23"/>
    <x v="43"/>
    <n v="3050"/>
    <x v="188"/>
    <n v="4645"/>
    <x v="158"/>
    <s v="I 10"/>
    <n v="2"/>
    <n v="9112"/>
    <x v="1129"/>
    <s v="Annual"/>
    <n v="1"/>
    <n v="1"/>
    <n v="51348"/>
    <n v="51348"/>
  </r>
  <r>
    <x v="0"/>
    <n v="58"/>
    <x v="23"/>
    <x v="8"/>
    <x v="8"/>
    <n v="1010"/>
    <x v="24"/>
    <x v="23"/>
    <x v="43"/>
    <n v="3050"/>
    <x v="188"/>
    <n v="4645"/>
    <x v="158"/>
    <s v="I 10"/>
    <n v="2"/>
    <n v="9112"/>
    <x v="1129"/>
    <s v="Annual"/>
    <n v="3"/>
    <n v="1"/>
    <n v="49056"/>
    <n v="147168"/>
  </r>
  <r>
    <x v="0"/>
    <n v="58"/>
    <x v="23"/>
    <x v="8"/>
    <x v="8"/>
    <n v="1010"/>
    <x v="24"/>
    <x v="23"/>
    <x v="43"/>
    <n v="3050"/>
    <x v="188"/>
    <n v="4645"/>
    <x v="158"/>
    <s v="I 12"/>
    <n v="2"/>
    <n v="9105"/>
    <x v="725"/>
    <s v="Annual"/>
    <n v="1"/>
    <n v="1"/>
    <n v="74844"/>
    <n v="74844"/>
  </r>
  <r>
    <x v="0"/>
    <n v="58"/>
    <x v="23"/>
    <x v="8"/>
    <x v="8"/>
    <n v="1010"/>
    <x v="24"/>
    <x v="23"/>
    <x v="43"/>
    <n v="3050"/>
    <x v="188"/>
    <n v="4645"/>
    <x v="158"/>
    <s v="I 12"/>
    <n v="2"/>
    <n v="9105"/>
    <x v="725"/>
    <s v="Annual"/>
    <n v="1"/>
    <n v="1"/>
    <n v="71436"/>
    <n v="71436"/>
  </r>
  <r>
    <x v="0"/>
    <n v="58"/>
    <x v="23"/>
    <x v="8"/>
    <x v="8"/>
    <n v="1010"/>
    <x v="24"/>
    <x v="23"/>
    <x v="43"/>
    <n v="3050"/>
    <x v="188"/>
    <n v="4645"/>
    <x v="158"/>
    <s v="I 12"/>
    <n v="2"/>
    <n v="9105"/>
    <x v="725"/>
    <s v="Annual"/>
    <n v="1"/>
    <n v="1"/>
    <n v="68196"/>
    <n v="68196"/>
  </r>
  <r>
    <x v="0"/>
    <n v="58"/>
    <x v="23"/>
    <x v="8"/>
    <x v="8"/>
    <n v="1010"/>
    <x v="24"/>
    <x v="23"/>
    <x v="43"/>
    <n v="3050"/>
    <x v="188"/>
    <n v="4645"/>
    <x v="158"/>
    <s v="I 12"/>
    <n v="2"/>
    <n v="9105"/>
    <x v="725"/>
    <s v="Annual"/>
    <n v="2"/>
    <n v="1"/>
    <n v="62136"/>
    <n v="124272"/>
  </r>
  <r>
    <x v="0"/>
    <n v="58"/>
    <x v="23"/>
    <x v="8"/>
    <x v="8"/>
    <n v="1010"/>
    <x v="24"/>
    <x v="23"/>
    <x v="43"/>
    <n v="3050"/>
    <x v="188"/>
    <n v="4645"/>
    <x v="158"/>
    <s v="I 10"/>
    <n v="2"/>
    <n v="9104"/>
    <x v="726"/>
    <s v="Hourly"/>
    <n v="45000"/>
    <n v="0"/>
    <n v="25.54"/>
    <n v="1149300"/>
  </r>
  <r>
    <x v="0"/>
    <n v="58"/>
    <x v="23"/>
    <x v="8"/>
    <x v="8"/>
    <n v="1010"/>
    <x v="24"/>
    <x v="23"/>
    <x v="43"/>
    <n v="3050"/>
    <x v="188"/>
    <n v="4645"/>
    <x v="158"/>
    <s v="BX 16"/>
    <n v="10"/>
    <n v="6290"/>
    <x v="728"/>
    <s v="Annual"/>
    <n v="1"/>
    <n v="1"/>
    <n v="113568"/>
    <n v="113568"/>
  </r>
  <r>
    <x v="0"/>
    <n v="58"/>
    <x v="23"/>
    <x v="8"/>
    <x v="8"/>
    <n v="1010"/>
    <x v="24"/>
    <x v="23"/>
    <x v="43"/>
    <n v="3050"/>
    <x v="188"/>
    <n v="4645"/>
    <x v="158"/>
    <s v="1 00"/>
    <n v="0"/>
    <n v="15"/>
    <x v="37"/>
    <s v="Annual"/>
    <n v="0"/>
    <n v="0"/>
    <n v="19312"/>
    <n v="19312"/>
  </r>
  <r>
    <x v="0"/>
    <n v="59"/>
    <x v="24"/>
    <x v="8"/>
    <x v="8"/>
    <n v="1005"/>
    <x v="25"/>
    <x v="0"/>
    <x v="44"/>
    <n v="3104"/>
    <x v="16"/>
    <n v="4618"/>
    <x v="169"/>
    <s v="F 5B"/>
    <n v="87"/>
    <n v="8817"/>
    <x v="752"/>
    <s v="Annual"/>
    <n v="2"/>
    <n v="1"/>
    <n v="151764"/>
    <n v="303528"/>
  </r>
  <r>
    <x v="0"/>
    <n v="59"/>
    <x v="24"/>
    <x v="8"/>
    <x v="8"/>
    <n v="1005"/>
    <x v="25"/>
    <x v="0"/>
    <x v="44"/>
    <n v="3104"/>
    <x v="16"/>
    <n v="4618"/>
    <x v="169"/>
    <s v="F 5B"/>
    <n v="87"/>
    <n v="8817"/>
    <x v="752"/>
    <s v="Annual"/>
    <n v="1"/>
    <n v="1"/>
    <n v="147258"/>
    <n v="147258"/>
  </r>
  <r>
    <x v="0"/>
    <n v="59"/>
    <x v="24"/>
    <x v="8"/>
    <x v="8"/>
    <n v="1005"/>
    <x v="25"/>
    <x v="0"/>
    <x v="44"/>
    <n v="3104"/>
    <x v="16"/>
    <n v="4618"/>
    <x v="169"/>
    <s v="F 4P"/>
    <n v="87"/>
    <n v="8812"/>
    <x v="753"/>
    <s v="Annual"/>
    <n v="1"/>
    <n v="1"/>
    <n v="125904"/>
    <n v="125904"/>
  </r>
  <r>
    <x v="0"/>
    <n v="59"/>
    <x v="24"/>
    <x v="8"/>
    <x v="8"/>
    <n v="1005"/>
    <x v="25"/>
    <x v="0"/>
    <x v="44"/>
    <n v="3104"/>
    <x v="16"/>
    <n v="4618"/>
    <x v="169"/>
    <s v="F 4B"/>
    <n v="87"/>
    <n v="8811"/>
    <x v="754"/>
    <s v="Annual"/>
    <n v="1"/>
    <n v="1"/>
    <n v="135144"/>
    <n v="135144"/>
  </r>
  <r>
    <x v="0"/>
    <n v="59"/>
    <x v="24"/>
    <x v="8"/>
    <x v="8"/>
    <n v="1005"/>
    <x v="25"/>
    <x v="0"/>
    <x v="44"/>
    <n v="3104"/>
    <x v="16"/>
    <n v="4618"/>
    <x v="169"/>
    <s v="F 4B"/>
    <n v="87"/>
    <n v="8811"/>
    <x v="754"/>
    <s v="Annual"/>
    <n v="1"/>
    <n v="1"/>
    <n v="130908"/>
    <n v="130908"/>
  </r>
  <r>
    <x v="0"/>
    <n v="59"/>
    <x v="24"/>
    <x v="8"/>
    <x v="8"/>
    <n v="1005"/>
    <x v="25"/>
    <x v="0"/>
    <x v="44"/>
    <n v="3104"/>
    <x v="16"/>
    <n v="4618"/>
    <x v="169"/>
    <s v="F 4B"/>
    <n v="87"/>
    <n v="8811"/>
    <x v="754"/>
    <s v="Annual"/>
    <n v="2"/>
    <n v="1"/>
    <n v="126840"/>
    <n v="253680"/>
  </r>
  <r>
    <x v="0"/>
    <n v="59"/>
    <x v="24"/>
    <x v="8"/>
    <x v="8"/>
    <n v="1005"/>
    <x v="25"/>
    <x v="0"/>
    <x v="44"/>
    <n v="3104"/>
    <x v="16"/>
    <n v="4618"/>
    <x v="169"/>
    <s v="F 4B"/>
    <n v="87"/>
    <n v="8811"/>
    <x v="754"/>
    <s v="Annual"/>
    <n v="1"/>
    <n v="1"/>
    <n v="122976"/>
    <n v="122976"/>
  </r>
  <r>
    <x v="0"/>
    <n v="59"/>
    <x v="24"/>
    <x v="8"/>
    <x v="8"/>
    <n v="1005"/>
    <x v="25"/>
    <x v="0"/>
    <x v="44"/>
    <n v="3104"/>
    <x v="16"/>
    <n v="4618"/>
    <x v="169"/>
    <s v="F 3A"/>
    <n v="87"/>
    <n v="8807"/>
    <x v="756"/>
    <s v="Annual"/>
    <n v="1"/>
    <n v="1"/>
    <n v="122274"/>
    <n v="122274"/>
  </r>
  <r>
    <x v="0"/>
    <n v="59"/>
    <x v="24"/>
    <x v="8"/>
    <x v="8"/>
    <n v="1005"/>
    <x v="25"/>
    <x v="0"/>
    <x v="44"/>
    <n v="3104"/>
    <x v="16"/>
    <n v="4618"/>
    <x v="169"/>
    <s v="F 3A"/>
    <n v="87"/>
    <n v="8807"/>
    <x v="756"/>
    <s v="Annual"/>
    <n v="1"/>
    <n v="1"/>
    <n v="118830"/>
    <n v="118830"/>
  </r>
  <r>
    <x v="0"/>
    <n v="59"/>
    <x v="24"/>
    <x v="8"/>
    <x v="8"/>
    <n v="1005"/>
    <x v="25"/>
    <x v="0"/>
    <x v="44"/>
    <n v="3104"/>
    <x v="16"/>
    <n v="4618"/>
    <x v="169"/>
    <s v="F 3A"/>
    <n v="87"/>
    <n v="8807"/>
    <x v="756"/>
    <s v="Annual"/>
    <n v="1"/>
    <n v="1"/>
    <n v="114654"/>
    <n v="114654"/>
  </r>
  <r>
    <x v="0"/>
    <n v="59"/>
    <x v="24"/>
    <x v="8"/>
    <x v="8"/>
    <n v="1005"/>
    <x v="25"/>
    <x v="0"/>
    <x v="44"/>
    <n v="3104"/>
    <x v="16"/>
    <n v="4618"/>
    <x v="169"/>
    <s v="F 3A"/>
    <n v="87"/>
    <n v="8807"/>
    <x v="756"/>
    <s v="Annual"/>
    <n v="5"/>
    <n v="1"/>
    <n v="110766"/>
    <n v="553830"/>
  </r>
  <r>
    <x v="0"/>
    <n v="59"/>
    <x v="24"/>
    <x v="8"/>
    <x v="8"/>
    <n v="1005"/>
    <x v="25"/>
    <x v="0"/>
    <x v="44"/>
    <n v="3104"/>
    <x v="16"/>
    <n v="4618"/>
    <x v="169"/>
    <s v="F 01"/>
    <n v="87"/>
    <n v="8802"/>
    <x v="757"/>
    <s v="Annual"/>
    <n v="1"/>
    <n v="1"/>
    <n v="62466"/>
    <n v="62466"/>
  </r>
  <r>
    <x v="0"/>
    <n v="59"/>
    <x v="24"/>
    <x v="8"/>
    <x v="8"/>
    <n v="1005"/>
    <x v="25"/>
    <x v="0"/>
    <x v="44"/>
    <n v="3104"/>
    <x v="16"/>
    <n v="4618"/>
    <x v="169"/>
    <s v="F 1B"/>
    <n v="87"/>
    <n v="8801"/>
    <x v="740"/>
    <s v="Annual"/>
    <n v="3"/>
    <n v="1"/>
    <n v="114570"/>
    <n v="343710"/>
  </r>
  <r>
    <x v="0"/>
    <n v="59"/>
    <x v="24"/>
    <x v="8"/>
    <x v="8"/>
    <n v="1005"/>
    <x v="25"/>
    <x v="0"/>
    <x v="44"/>
    <n v="3104"/>
    <x v="16"/>
    <n v="4618"/>
    <x v="169"/>
    <s v="F 1B"/>
    <n v="87"/>
    <n v="8801"/>
    <x v="740"/>
    <s v="Annual"/>
    <n v="7"/>
    <n v="1"/>
    <n v="110196"/>
    <n v="771372"/>
  </r>
  <r>
    <x v="0"/>
    <n v="59"/>
    <x v="24"/>
    <x v="8"/>
    <x v="8"/>
    <n v="1005"/>
    <x v="25"/>
    <x v="0"/>
    <x v="44"/>
    <n v="3104"/>
    <x v="16"/>
    <n v="4618"/>
    <x v="169"/>
    <s v="F 1B"/>
    <n v="87"/>
    <n v="8801"/>
    <x v="740"/>
    <s v="Annual"/>
    <n v="1"/>
    <n v="1"/>
    <n v="105936"/>
    <n v="105936"/>
  </r>
  <r>
    <x v="0"/>
    <n v="59"/>
    <x v="24"/>
    <x v="8"/>
    <x v="8"/>
    <n v="1005"/>
    <x v="25"/>
    <x v="0"/>
    <x v="44"/>
    <n v="3104"/>
    <x v="16"/>
    <n v="4618"/>
    <x v="169"/>
    <s v="F 1B"/>
    <n v="87"/>
    <n v="8801"/>
    <x v="740"/>
    <s v="Annual"/>
    <n v="5"/>
    <n v="1"/>
    <n v="98904"/>
    <n v="494520"/>
  </r>
  <r>
    <x v="0"/>
    <n v="59"/>
    <x v="24"/>
    <x v="8"/>
    <x v="8"/>
    <n v="1005"/>
    <x v="25"/>
    <x v="0"/>
    <x v="44"/>
    <n v="3104"/>
    <x v="16"/>
    <n v="4618"/>
    <x v="169"/>
    <s v="F 1B"/>
    <n v="87"/>
    <n v="8801"/>
    <x v="740"/>
    <s v="Annual"/>
    <n v="2"/>
    <n v="1"/>
    <n v="66264"/>
    <n v="132528"/>
  </r>
  <r>
    <x v="0"/>
    <n v="59"/>
    <x v="24"/>
    <x v="8"/>
    <x v="8"/>
    <n v="1005"/>
    <x v="25"/>
    <x v="0"/>
    <x v="44"/>
    <n v="3104"/>
    <x v="16"/>
    <n v="4618"/>
    <x v="169"/>
    <s v="F 05"/>
    <n v="89"/>
    <n v="8761"/>
    <x v="1130"/>
    <s v="Annual"/>
    <n v="1"/>
    <n v="1"/>
    <n v="138828"/>
    <n v="138828"/>
  </r>
  <r>
    <x v="0"/>
    <n v="59"/>
    <x v="24"/>
    <x v="8"/>
    <x v="8"/>
    <n v="1005"/>
    <x v="25"/>
    <x v="0"/>
    <x v="44"/>
    <n v="3104"/>
    <x v="16"/>
    <n v="4618"/>
    <x v="169"/>
    <s v="F 05"/>
    <n v="89"/>
    <n v="8761"/>
    <x v="1130"/>
    <s v="Annual"/>
    <n v="1"/>
    <n v="1"/>
    <n v="130698"/>
    <n v="130698"/>
  </r>
  <r>
    <x v="0"/>
    <n v="59"/>
    <x v="24"/>
    <x v="8"/>
    <x v="8"/>
    <n v="1005"/>
    <x v="25"/>
    <x v="0"/>
    <x v="44"/>
    <n v="3104"/>
    <x v="16"/>
    <n v="4618"/>
    <x v="169"/>
    <s v="F 3A"/>
    <n v="87"/>
    <n v="8733"/>
    <x v="760"/>
    <s v="Annual"/>
    <n v="1"/>
    <n v="1"/>
    <n v="115308"/>
    <n v="115308"/>
  </r>
  <r>
    <x v="0"/>
    <n v="59"/>
    <x v="24"/>
    <x v="8"/>
    <x v="8"/>
    <n v="1005"/>
    <x v="25"/>
    <x v="0"/>
    <x v="44"/>
    <n v="3104"/>
    <x v="16"/>
    <n v="4618"/>
    <x v="169"/>
    <s v="F 3A"/>
    <n v="87"/>
    <n v="8733"/>
    <x v="760"/>
    <s v="Annual"/>
    <n v="1"/>
    <n v="1"/>
    <n v="104430"/>
    <n v="104430"/>
  </r>
  <r>
    <x v="0"/>
    <n v="59"/>
    <x v="24"/>
    <x v="8"/>
    <x v="8"/>
    <n v="1005"/>
    <x v="25"/>
    <x v="0"/>
    <x v="44"/>
    <n v="3104"/>
    <x v="16"/>
    <n v="4618"/>
    <x v="169"/>
    <s v="F 01"/>
    <n v="87"/>
    <n v="8731"/>
    <x v="761"/>
    <s v="Annual"/>
    <n v="1"/>
    <n v="1"/>
    <n v="108036"/>
    <n v="108036"/>
  </r>
  <r>
    <x v="0"/>
    <n v="59"/>
    <x v="24"/>
    <x v="8"/>
    <x v="8"/>
    <n v="1005"/>
    <x v="25"/>
    <x v="0"/>
    <x v="44"/>
    <n v="3104"/>
    <x v="16"/>
    <n v="4618"/>
    <x v="169"/>
    <s v="F 01"/>
    <n v="87"/>
    <n v="8731"/>
    <x v="761"/>
    <s v="Annual"/>
    <n v="2"/>
    <n v="1"/>
    <n v="62466"/>
    <n v="124932"/>
  </r>
  <r>
    <x v="0"/>
    <n v="59"/>
    <x v="24"/>
    <x v="8"/>
    <x v="8"/>
    <n v="1005"/>
    <x v="25"/>
    <x v="0"/>
    <x v="44"/>
    <n v="3104"/>
    <x v="16"/>
    <n v="4618"/>
    <x v="169"/>
    <s v="F 02"/>
    <n v="87"/>
    <n v="8728"/>
    <x v="762"/>
    <s v="Annual"/>
    <n v="3"/>
    <n v="1"/>
    <n v="104814"/>
    <n v="314442"/>
  </r>
  <r>
    <x v="0"/>
    <n v="59"/>
    <x v="24"/>
    <x v="8"/>
    <x v="8"/>
    <n v="1005"/>
    <x v="25"/>
    <x v="0"/>
    <x v="44"/>
    <n v="3104"/>
    <x v="16"/>
    <n v="4618"/>
    <x v="169"/>
    <s v="F 02"/>
    <n v="87"/>
    <n v="8728"/>
    <x v="762"/>
    <s v="Annual"/>
    <n v="8"/>
    <n v="1"/>
    <n v="101262"/>
    <n v="810096"/>
  </r>
  <r>
    <x v="0"/>
    <n v="59"/>
    <x v="24"/>
    <x v="8"/>
    <x v="8"/>
    <n v="1005"/>
    <x v="25"/>
    <x v="0"/>
    <x v="44"/>
    <n v="3104"/>
    <x v="16"/>
    <n v="4618"/>
    <x v="169"/>
    <s v="F 02"/>
    <n v="87"/>
    <n v="8728"/>
    <x v="762"/>
    <s v="Annual"/>
    <n v="1"/>
    <n v="1"/>
    <n v="78624"/>
    <n v="78624"/>
  </r>
  <r>
    <x v="0"/>
    <n v="59"/>
    <x v="24"/>
    <x v="8"/>
    <x v="8"/>
    <n v="1005"/>
    <x v="25"/>
    <x v="0"/>
    <x v="44"/>
    <n v="3104"/>
    <x v="16"/>
    <n v="4618"/>
    <x v="169"/>
    <s v="F 6P"/>
    <n v="87"/>
    <n v="8702"/>
    <x v="763"/>
    <s v="Annual"/>
    <n v="1"/>
    <n v="1"/>
    <n v="169830"/>
    <n v="169830"/>
  </r>
  <r>
    <x v="0"/>
    <n v="59"/>
    <x v="24"/>
    <x v="8"/>
    <x v="8"/>
    <n v="1005"/>
    <x v="25"/>
    <x v="0"/>
    <x v="44"/>
    <n v="3104"/>
    <x v="16"/>
    <n v="4618"/>
    <x v="169"/>
    <s v="F 6B"/>
    <n v="87"/>
    <n v="8701"/>
    <x v="764"/>
    <s v="Annual"/>
    <n v="2"/>
    <n v="1"/>
    <n v="165858"/>
    <n v="331716"/>
  </r>
  <r>
    <x v="0"/>
    <n v="59"/>
    <x v="24"/>
    <x v="8"/>
    <x v="8"/>
    <n v="1005"/>
    <x v="25"/>
    <x v="0"/>
    <x v="44"/>
    <n v="3104"/>
    <x v="16"/>
    <n v="4618"/>
    <x v="169"/>
    <s v="1 00"/>
    <n v="0"/>
    <n v="15"/>
    <x v="37"/>
    <s v="Annual"/>
    <n v="0"/>
    <n v="0"/>
    <n v="2882"/>
    <n v="2882"/>
  </r>
  <r>
    <x v="0"/>
    <n v="59"/>
    <x v="24"/>
    <x v="8"/>
    <x v="8"/>
    <n v="1005"/>
    <x v="25"/>
    <x v="0"/>
    <x v="44"/>
    <n v="3104"/>
    <x v="16"/>
    <n v="4620"/>
    <x v="170"/>
    <s v="F 01"/>
    <n v="87"/>
    <n v="8750"/>
    <x v="741"/>
    <s v="Annual"/>
    <n v="1"/>
    <n v="1"/>
    <n v="96528"/>
    <n v="96528"/>
  </r>
  <r>
    <x v="0"/>
    <n v="59"/>
    <x v="24"/>
    <x v="8"/>
    <x v="8"/>
    <n v="1005"/>
    <x v="25"/>
    <x v="0"/>
    <x v="44"/>
    <n v="3104"/>
    <x v="16"/>
    <n v="4620"/>
    <x v="170"/>
    <s v="F 01"/>
    <n v="87"/>
    <n v="8750"/>
    <x v="741"/>
    <s v="Annual"/>
    <n v="3"/>
    <n v="1"/>
    <n v="93252"/>
    <n v="279756"/>
  </r>
  <r>
    <x v="0"/>
    <n v="59"/>
    <x v="24"/>
    <x v="8"/>
    <x v="8"/>
    <n v="1005"/>
    <x v="25"/>
    <x v="0"/>
    <x v="44"/>
    <n v="3104"/>
    <x v="16"/>
    <n v="4620"/>
    <x v="170"/>
    <s v="F 3A"/>
    <n v="87"/>
    <n v="8749"/>
    <x v="742"/>
    <s v="Annual"/>
    <n v="4"/>
    <n v="1"/>
    <n v="104430"/>
    <n v="417720"/>
  </r>
  <r>
    <x v="0"/>
    <n v="59"/>
    <x v="24"/>
    <x v="8"/>
    <x v="8"/>
    <n v="1005"/>
    <x v="25"/>
    <x v="0"/>
    <x v="44"/>
    <n v="3104"/>
    <x v="16"/>
    <n v="4620"/>
    <x v="170"/>
    <s v="F 05"/>
    <n v="87"/>
    <n v="8745"/>
    <x v="745"/>
    <s v="Annual"/>
    <n v="1"/>
    <n v="1"/>
    <n v="138828"/>
    <n v="138828"/>
  </r>
  <r>
    <x v="0"/>
    <n v="85"/>
    <x v="38"/>
    <x v="8"/>
    <x v="8"/>
    <n v="1005"/>
    <x v="58"/>
    <x v="3"/>
    <x v="79"/>
    <n v="3010"/>
    <x v="309"/>
    <n v="4300"/>
    <x v="23"/>
    <s v="X 41"/>
    <n v="0"/>
    <n v="9823"/>
    <x v="216"/>
    <s v="Annual"/>
    <n v="1"/>
    <n v="1"/>
    <n v="205200"/>
    <n v="205200"/>
  </r>
  <r>
    <x v="0"/>
    <n v="85"/>
    <x v="38"/>
    <x v="8"/>
    <x v="8"/>
    <n v="1005"/>
    <x v="58"/>
    <x v="3"/>
    <x v="79"/>
    <n v="3010"/>
    <x v="309"/>
    <n v="4300"/>
    <x v="23"/>
    <s v="X 42"/>
    <n v="0"/>
    <n v="9681"/>
    <x v="81"/>
    <s v="Annual"/>
    <n v="1"/>
    <n v="1"/>
    <n v="184584"/>
    <n v="184584"/>
  </r>
  <r>
    <x v="0"/>
    <n v="85"/>
    <x v="38"/>
    <x v="8"/>
    <x v="8"/>
    <n v="1005"/>
    <x v="58"/>
    <x v="3"/>
    <x v="79"/>
    <n v="3010"/>
    <x v="309"/>
    <n v="4300"/>
    <x v="23"/>
    <s v="BX 13"/>
    <n v="10"/>
    <n v="7045"/>
    <x v="1131"/>
    <s v="Annual"/>
    <n v="1"/>
    <n v="1"/>
    <n v="57852"/>
    <n v="57852"/>
  </r>
  <r>
    <x v="0"/>
    <n v="85"/>
    <x v="38"/>
    <x v="8"/>
    <x v="8"/>
    <n v="1005"/>
    <x v="58"/>
    <x v="3"/>
    <x v="79"/>
    <n v="3010"/>
    <x v="309"/>
    <n v="4300"/>
    <x v="23"/>
    <s v="B 10"/>
    <n v="1"/>
    <n v="7042"/>
    <x v="1132"/>
    <s v="Annual"/>
    <n v="5"/>
    <n v="1"/>
    <n v="51936"/>
    <n v="259680"/>
  </r>
  <r>
    <x v="0"/>
    <n v="85"/>
    <x v="38"/>
    <x v="8"/>
    <x v="8"/>
    <n v="1005"/>
    <x v="58"/>
    <x v="3"/>
    <x v="79"/>
    <n v="3010"/>
    <x v="309"/>
    <n v="4300"/>
    <x v="23"/>
    <s v="BX 15"/>
    <n v="10"/>
    <n v="7011"/>
    <x v="1133"/>
    <s v="Annual"/>
    <n v="1"/>
    <n v="1"/>
    <n v="113568"/>
    <n v="113568"/>
  </r>
  <r>
    <x v="0"/>
    <n v="85"/>
    <x v="38"/>
    <x v="8"/>
    <x v="8"/>
    <n v="1005"/>
    <x v="58"/>
    <x v="3"/>
    <x v="79"/>
    <n v="3010"/>
    <x v="309"/>
    <n v="4300"/>
    <x v="23"/>
    <s v="B 15"/>
    <n v="1"/>
    <n v="1302"/>
    <x v="83"/>
    <s v="Annual"/>
    <n v="1"/>
    <n v="1"/>
    <n v="89244"/>
    <n v="89244"/>
  </r>
  <r>
    <x v="0"/>
    <n v="85"/>
    <x v="38"/>
    <x v="8"/>
    <x v="8"/>
    <n v="1005"/>
    <x v="58"/>
    <x v="3"/>
    <x v="79"/>
    <n v="3010"/>
    <x v="309"/>
    <n v="4300"/>
    <x v="23"/>
    <s v="B 13"/>
    <n v="1"/>
    <n v="1301"/>
    <x v="227"/>
    <s v="Annual"/>
    <n v="1"/>
    <n v="1"/>
    <n v="113628"/>
    <n v="113628"/>
  </r>
  <r>
    <x v="0"/>
    <n v="85"/>
    <x v="38"/>
    <x v="8"/>
    <x v="8"/>
    <n v="1005"/>
    <x v="58"/>
    <x v="3"/>
    <x v="79"/>
    <n v="3010"/>
    <x v="309"/>
    <n v="4300"/>
    <x v="23"/>
    <s v="B 12"/>
    <n v="1"/>
    <s v="03A8"/>
    <x v="88"/>
    <s v="Annual"/>
    <n v="1"/>
    <n v="1"/>
    <n v="108576"/>
    <n v="108576"/>
  </r>
  <r>
    <x v="0"/>
    <n v="85"/>
    <x v="38"/>
    <x v="8"/>
    <x v="8"/>
    <n v="1005"/>
    <x v="58"/>
    <x v="3"/>
    <x v="79"/>
    <n v="3010"/>
    <x v="309"/>
    <n v="4300"/>
    <x v="23"/>
    <s v="B 12"/>
    <n v="1"/>
    <s v="03A8"/>
    <x v="88"/>
    <s v="Annual"/>
    <n v="1"/>
    <n v="1"/>
    <n v="62544"/>
    <n v="62544"/>
  </r>
  <r>
    <x v="0"/>
    <n v="85"/>
    <x v="38"/>
    <x v="8"/>
    <x v="8"/>
    <n v="1005"/>
    <x v="58"/>
    <x v="3"/>
    <x v="79"/>
    <n v="3010"/>
    <x v="309"/>
    <n v="4300"/>
    <x v="23"/>
    <s v="X 43"/>
    <n v="0"/>
    <s v="03A2"/>
    <x v="220"/>
    <s v="Annual"/>
    <n v="1"/>
    <n v="1"/>
    <n v="160680"/>
    <n v="160680"/>
  </r>
  <r>
    <x v="0"/>
    <n v="85"/>
    <x v="38"/>
    <x v="8"/>
    <x v="8"/>
    <n v="1005"/>
    <x v="58"/>
    <x v="3"/>
    <x v="79"/>
    <n v="3010"/>
    <x v="309"/>
    <n v="4300"/>
    <x v="23"/>
    <s v="BX 18"/>
    <n v="10"/>
    <n v="311"/>
    <x v="253"/>
    <s v="Annual"/>
    <n v="1"/>
    <n v="1"/>
    <n v="102444"/>
    <n v="102444"/>
  </r>
  <r>
    <x v="0"/>
    <n v="85"/>
    <x v="38"/>
    <x v="8"/>
    <x v="8"/>
    <n v="1005"/>
    <x v="58"/>
    <x v="3"/>
    <x v="79"/>
    <n v="3010"/>
    <x v="309"/>
    <n v="4300"/>
    <x v="23"/>
    <s v="BX 18"/>
    <n v="10"/>
    <n v="311"/>
    <x v="253"/>
    <s v="Annual"/>
    <n v="1"/>
    <n v="1"/>
    <n v="93384"/>
    <n v="93384"/>
  </r>
  <r>
    <x v="0"/>
    <n v="85"/>
    <x v="38"/>
    <x v="8"/>
    <x v="8"/>
    <n v="1005"/>
    <x v="58"/>
    <x v="3"/>
    <x v="79"/>
    <n v="3010"/>
    <x v="309"/>
    <n v="4300"/>
    <x v="23"/>
    <s v="BX 18"/>
    <n v="10"/>
    <n v="310"/>
    <x v="135"/>
    <s v="Annual"/>
    <n v="1"/>
    <n v="1"/>
    <n v="102444"/>
    <n v="102444"/>
  </r>
  <r>
    <x v="0"/>
    <n v="85"/>
    <x v="38"/>
    <x v="8"/>
    <x v="8"/>
    <n v="1005"/>
    <x v="58"/>
    <x v="3"/>
    <x v="79"/>
    <n v="3010"/>
    <x v="309"/>
    <n v="4300"/>
    <x v="23"/>
    <s v="BX 18"/>
    <n v="10"/>
    <n v="310"/>
    <x v="135"/>
    <s v="Annual"/>
    <n v="1"/>
    <n v="1"/>
    <n v="89112"/>
    <n v="89112"/>
  </r>
  <r>
    <x v="0"/>
    <n v="85"/>
    <x v="38"/>
    <x v="8"/>
    <x v="8"/>
    <n v="1005"/>
    <x v="58"/>
    <x v="3"/>
    <x v="79"/>
    <n v="3010"/>
    <x v="309"/>
    <n v="4300"/>
    <x v="23"/>
    <s v="B 13"/>
    <n v="1"/>
    <n v="308"/>
    <x v="90"/>
    <s v="Annual"/>
    <n v="1"/>
    <n v="1"/>
    <n v="119100"/>
    <n v="119100"/>
  </r>
  <r>
    <x v="0"/>
    <n v="85"/>
    <x v="38"/>
    <x v="8"/>
    <x v="8"/>
    <n v="1005"/>
    <x v="58"/>
    <x v="3"/>
    <x v="79"/>
    <n v="3010"/>
    <x v="309"/>
    <n v="4300"/>
    <x v="23"/>
    <s v="G 07"/>
    <n v="4"/>
    <n v="124"/>
    <x v="91"/>
    <s v="Annual"/>
    <n v="1"/>
    <n v="1"/>
    <n v="129636"/>
    <n v="129636"/>
  </r>
  <r>
    <x v="0"/>
    <n v="85"/>
    <x v="38"/>
    <x v="8"/>
    <x v="8"/>
    <n v="1005"/>
    <x v="58"/>
    <x v="3"/>
    <x v="79"/>
    <n v="3010"/>
    <x v="309"/>
    <n v="4300"/>
    <x v="23"/>
    <s v="1 00"/>
    <n v="0"/>
    <n v="15"/>
    <x v="37"/>
    <s v="Annual"/>
    <n v="0"/>
    <n v="0"/>
    <n v="19395"/>
    <n v="19395"/>
  </r>
  <r>
    <x v="0"/>
    <n v="85"/>
    <x v="38"/>
    <x v="8"/>
    <x v="8"/>
    <n v="1005"/>
    <x v="58"/>
    <x v="3"/>
    <x v="79"/>
    <n v="3010"/>
    <x v="309"/>
    <n v="4303"/>
    <x v="298"/>
    <s v="2 0"/>
    <n v="54"/>
    <n v="9535"/>
    <x v="1134"/>
    <s v="Hourly"/>
    <n v="6"/>
    <n v="1"/>
    <n v="26.28"/>
    <n v="327974"/>
  </r>
  <r>
    <x v="0"/>
    <n v="85"/>
    <x v="38"/>
    <x v="8"/>
    <x v="8"/>
    <n v="1005"/>
    <x v="58"/>
    <x v="3"/>
    <x v="79"/>
    <n v="3010"/>
    <x v="309"/>
    <n v="4303"/>
    <x v="298"/>
    <s v="2 0"/>
    <n v="54"/>
    <n v="9533"/>
    <x v="424"/>
    <s v="Hourly"/>
    <n v="12"/>
    <n v="1"/>
    <n v="47.79"/>
    <n v="1192838"/>
  </r>
  <r>
    <x v="0"/>
    <n v="85"/>
    <x v="38"/>
    <x v="8"/>
    <x v="8"/>
    <n v="1005"/>
    <x v="58"/>
    <x v="3"/>
    <x v="79"/>
    <n v="3010"/>
    <x v="309"/>
    <n v="4303"/>
    <x v="298"/>
    <s v="2 0"/>
    <n v="54"/>
    <n v="9533"/>
    <x v="424"/>
    <s v="Hourly"/>
    <n v="3"/>
    <n v="1"/>
    <n v="43.01"/>
    <n v="268382"/>
  </r>
  <r>
    <x v="0"/>
    <n v="85"/>
    <x v="38"/>
    <x v="8"/>
    <x v="8"/>
    <n v="1005"/>
    <x v="58"/>
    <x v="3"/>
    <x v="79"/>
    <n v="3010"/>
    <x v="309"/>
    <n v="4303"/>
    <x v="298"/>
    <s v="2 0"/>
    <n v="54"/>
    <n v="9533"/>
    <x v="424"/>
    <s v="Hourly"/>
    <n v="8"/>
    <n v="1"/>
    <n v="35.840000000000003"/>
    <n v="596378"/>
  </r>
  <r>
    <x v="0"/>
    <n v="85"/>
    <x v="38"/>
    <x v="8"/>
    <x v="8"/>
    <n v="1005"/>
    <x v="58"/>
    <x v="3"/>
    <x v="79"/>
    <n v="3010"/>
    <x v="309"/>
    <n v="4303"/>
    <x v="298"/>
    <s v="2 0"/>
    <n v="54"/>
    <n v="9533"/>
    <x v="424"/>
    <s v="Hourly"/>
    <n v="7"/>
    <n v="1"/>
    <n v="31.06"/>
    <n v="452234"/>
  </r>
  <r>
    <x v="0"/>
    <n v="85"/>
    <x v="38"/>
    <x v="8"/>
    <x v="8"/>
    <n v="1005"/>
    <x v="58"/>
    <x v="3"/>
    <x v="79"/>
    <n v="3010"/>
    <x v="309"/>
    <n v="4303"/>
    <x v="298"/>
    <s v="2 0"/>
    <n v="53"/>
    <n v="8243"/>
    <x v="1055"/>
    <s v="Hourly"/>
    <n v="1"/>
    <n v="1"/>
    <n v="55.79"/>
    <n v="116043"/>
  </r>
  <r>
    <x v="0"/>
    <n v="85"/>
    <x v="38"/>
    <x v="8"/>
    <x v="8"/>
    <n v="1005"/>
    <x v="58"/>
    <x v="3"/>
    <x v="79"/>
    <n v="3010"/>
    <x v="309"/>
    <n v="4303"/>
    <x v="298"/>
    <s v="BX 22"/>
    <n v="10"/>
    <n v="7020"/>
    <x v="1135"/>
    <s v="Annual"/>
    <n v="1"/>
    <n v="1"/>
    <n v="136692"/>
    <n v="136692"/>
  </r>
  <r>
    <x v="0"/>
    <n v="85"/>
    <x v="38"/>
    <x v="8"/>
    <x v="8"/>
    <n v="1005"/>
    <x v="58"/>
    <x v="3"/>
    <x v="79"/>
    <n v="3010"/>
    <x v="309"/>
    <n v="4303"/>
    <x v="298"/>
    <s v="2 0"/>
    <n v="54"/>
    <n v="7005"/>
    <x v="1136"/>
    <s v="Hourly"/>
    <n v="4"/>
    <n v="1"/>
    <n v="52.3"/>
    <n v="435136"/>
  </r>
  <r>
    <x v="0"/>
    <n v="85"/>
    <x v="38"/>
    <x v="8"/>
    <x v="8"/>
    <n v="1005"/>
    <x v="58"/>
    <x v="3"/>
    <x v="79"/>
    <n v="3010"/>
    <x v="309"/>
    <n v="4303"/>
    <x v="298"/>
    <s v="B 15"/>
    <n v="3"/>
    <n v="1814"/>
    <x v="905"/>
    <s v="Annual"/>
    <n v="1"/>
    <n v="1"/>
    <n v="93504"/>
    <n v="93504"/>
  </r>
  <r>
    <x v="0"/>
    <n v="85"/>
    <x v="38"/>
    <x v="8"/>
    <x v="8"/>
    <n v="1005"/>
    <x v="58"/>
    <x v="3"/>
    <x v="79"/>
    <n v="3010"/>
    <x v="309"/>
    <n v="4303"/>
    <x v="298"/>
    <s v="1 00"/>
    <n v="0"/>
    <n v="15"/>
    <x v="37"/>
    <s v="Annual"/>
    <n v="0"/>
    <n v="0"/>
    <n v="4140"/>
    <n v="4140"/>
  </r>
  <r>
    <x v="0"/>
    <n v="85"/>
    <x v="38"/>
    <x v="8"/>
    <x v="8"/>
    <n v="1005"/>
    <x v="58"/>
    <x v="3"/>
    <x v="79"/>
    <n v="3010"/>
    <x v="309"/>
    <n v="4303"/>
    <x v="298"/>
    <s v="1 00"/>
    <n v="0"/>
    <n v="12"/>
    <x v="291"/>
    <s v="Annual"/>
    <n v="0"/>
    <n v="0"/>
    <n v="50837"/>
    <n v="50837"/>
  </r>
  <r>
    <x v="0"/>
    <n v="85"/>
    <x v="38"/>
    <x v="8"/>
    <x v="8"/>
    <n v="1005"/>
    <x v="58"/>
    <x v="3"/>
    <x v="79"/>
    <n v="3010"/>
    <x v="309"/>
    <n v="4313"/>
    <x v="299"/>
    <s v="X 41"/>
    <n v="0"/>
    <n v="9823"/>
    <x v="216"/>
    <s v="Annual"/>
    <n v="1"/>
    <n v="1"/>
    <n v="211752"/>
    <n v="211752"/>
  </r>
  <r>
    <x v="0"/>
    <n v="85"/>
    <x v="38"/>
    <x v="8"/>
    <x v="8"/>
    <n v="1005"/>
    <x v="58"/>
    <x v="3"/>
    <x v="79"/>
    <n v="3010"/>
    <x v="309"/>
    <n v="4313"/>
    <x v="299"/>
    <s v="2 0"/>
    <n v="8"/>
    <n v="7184"/>
    <x v="882"/>
    <s v="Hourly"/>
    <n v="62400"/>
    <n v="0"/>
    <n v="48.73"/>
    <n v="3040752"/>
  </r>
  <r>
    <x v="0"/>
    <n v="85"/>
    <x v="38"/>
    <x v="8"/>
    <x v="8"/>
    <n v="1005"/>
    <x v="58"/>
    <x v="3"/>
    <x v="79"/>
    <n v="3010"/>
    <x v="309"/>
    <n v="4313"/>
    <x v="299"/>
    <s v="2 0"/>
    <n v="8"/>
    <n v="7185"/>
    <x v="485"/>
    <s v="Hourly"/>
    <n v="6"/>
    <n v="1"/>
    <n v="52.38"/>
    <n v="653702"/>
  </r>
  <r>
    <x v="0"/>
    <n v="85"/>
    <x v="38"/>
    <x v="8"/>
    <x v="8"/>
    <n v="1005"/>
    <x v="58"/>
    <x v="3"/>
    <x v="79"/>
    <n v="3010"/>
    <x v="309"/>
    <n v="4313"/>
    <x v="299"/>
    <s v="2 0"/>
    <n v="8"/>
    <n v="7183"/>
    <x v="449"/>
    <s v="Hourly"/>
    <n v="85"/>
    <n v="1"/>
    <n v="48.73"/>
    <n v="8615464"/>
  </r>
  <r>
    <x v="0"/>
    <n v="85"/>
    <x v="38"/>
    <x v="8"/>
    <x v="8"/>
    <n v="1005"/>
    <x v="58"/>
    <x v="3"/>
    <x v="79"/>
    <n v="3010"/>
    <x v="309"/>
    <n v="4313"/>
    <x v="299"/>
    <s v="BX 18"/>
    <n v="10"/>
    <n v="7141"/>
    <x v="496"/>
    <s v="Annual"/>
    <n v="1"/>
    <n v="1"/>
    <n v="107340"/>
    <n v="107340"/>
  </r>
  <r>
    <x v="0"/>
    <n v="85"/>
    <x v="38"/>
    <x v="8"/>
    <x v="8"/>
    <n v="1005"/>
    <x v="58"/>
    <x v="3"/>
    <x v="79"/>
    <n v="3010"/>
    <x v="309"/>
    <n v="4313"/>
    <x v="299"/>
    <s v="2 0"/>
    <n v="8"/>
    <n v="7124"/>
    <x v="498"/>
    <s v="Hourly"/>
    <n v="5"/>
    <n v="1"/>
    <n v="49.58"/>
    <n v="515632"/>
  </r>
  <r>
    <x v="0"/>
    <n v="85"/>
    <x v="38"/>
    <x v="8"/>
    <x v="8"/>
    <n v="1005"/>
    <x v="58"/>
    <x v="3"/>
    <x v="79"/>
    <n v="3010"/>
    <x v="309"/>
    <n v="4313"/>
    <x v="299"/>
    <s v="2 0"/>
    <n v="8"/>
    <n v="7123"/>
    <x v="873"/>
    <s v="Monthly"/>
    <n v="3"/>
    <n v="1"/>
    <n v="8932"/>
    <n v="321552"/>
  </r>
  <r>
    <x v="0"/>
    <n v="85"/>
    <x v="38"/>
    <x v="8"/>
    <x v="8"/>
    <n v="1005"/>
    <x v="58"/>
    <x v="3"/>
    <x v="79"/>
    <n v="3010"/>
    <x v="309"/>
    <n v="4313"/>
    <x v="299"/>
    <s v="BX 19"/>
    <n v="10"/>
    <n v="7026"/>
    <x v="1137"/>
    <s v="Annual"/>
    <n v="1"/>
    <n v="1"/>
    <n v="143232"/>
    <n v="143232"/>
  </r>
  <r>
    <x v="0"/>
    <n v="85"/>
    <x v="38"/>
    <x v="8"/>
    <x v="8"/>
    <n v="1005"/>
    <x v="58"/>
    <x v="3"/>
    <x v="79"/>
    <n v="3010"/>
    <x v="309"/>
    <n v="4313"/>
    <x v="299"/>
    <s v="BX 19"/>
    <n v="10"/>
    <n v="7026"/>
    <x v="1137"/>
    <s v="Annual"/>
    <n v="2"/>
    <n v="1"/>
    <n v="107340"/>
    <n v="214680"/>
  </r>
  <r>
    <x v="0"/>
    <n v="85"/>
    <x v="38"/>
    <x v="8"/>
    <x v="8"/>
    <n v="1005"/>
    <x v="58"/>
    <x v="3"/>
    <x v="79"/>
    <n v="3010"/>
    <x v="309"/>
    <n v="4313"/>
    <x v="299"/>
    <s v="BX 19"/>
    <n v="10"/>
    <n v="7026"/>
    <x v="1137"/>
    <s v="Annual"/>
    <n v="1"/>
    <n v="1"/>
    <n v="97836"/>
    <n v="97836"/>
  </r>
  <r>
    <x v="0"/>
    <n v="85"/>
    <x v="38"/>
    <x v="8"/>
    <x v="8"/>
    <n v="1005"/>
    <x v="58"/>
    <x v="3"/>
    <x v="79"/>
    <n v="3010"/>
    <x v="309"/>
    <n v="4313"/>
    <x v="299"/>
    <s v="V 16"/>
    <n v="54"/>
    <n v="7025"/>
    <x v="1138"/>
    <s v="Annual"/>
    <n v="4"/>
    <n v="1"/>
    <n v="157296"/>
    <n v="629184"/>
  </r>
  <r>
    <x v="0"/>
    <n v="85"/>
    <x v="38"/>
    <x v="8"/>
    <x v="8"/>
    <n v="1005"/>
    <x v="58"/>
    <x v="3"/>
    <x v="79"/>
    <n v="3010"/>
    <x v="309"/>
    <n v="4313"/>
    <x v="299"/>
    <s v="V 15"/>
    <n v="54"/>
    <n v="7021"/>
    <x v="1139"/>
    <s v="Annual"/>
    <n v="2"/>
    <n v="1"/>
    <n v="143352"/>
    <n v="286704"/>
  </r>
  <r>
    <x v="0"/>
    <n v="85"/>
    <x v="38"/>
    <x v="8"/>
    <x v="8"/>
    <n v="1005"/>
    <x v="58"/>
    <x v="3"/>
    <x v="79"/>
    <n v="3010"/>
    <x v="309"/>
    <n v="4313"/>
    <x v="299"/>
    <s v="V 15"/>
    <n v="54"/>
    <n v="7021"/>
    <x v="1139"/>
    <s v="Annual"/>
    <n v="1"/>
    <n v="1"/>
    <n v="136872"/>
    <n v="136872"/>
  </r>
  <r>
    <x v="0"/>
    <n v="85"/>
    <x v="38"/>
    <x v="8"/>
    <x v="8"/>
    <n v="1005"/>
    <x v="58"/>
    <x v="3"/>
    <x v="79"/>
    <n v="3010"/>
    <x v="309"/>
    <n v="4313"/>
    <x v="299"/>
    <s v="V 15"/>
    <n v="54"/>
    <n v="7021"/>
    <x v="1139"/>
    <s v="Annual"/>
    <n v="1"/>
    <n v="1"/>
    <n v="124740"/>
    <n v="124740"/>
  </r>
  <r>
    <x v="0"/>
    <n v="85"/>
    <x v="38"/>
    <x v="8"/>
    <x v="8"/>
    <n v="1005"/>
    <x v="58"/>
    <x v="3"/>
    <x v="79"/>
    <n v="3010"/>
    <x v="309"/>
    <n v="4313"/>
    <x v="299"/>
    <s v="V 15"/>
    <n v="54"/>
    <n v="7021"/>
    <x v="1139"/>
    <s v="Annual"/>
    <n v="3"/>
    <n v="1"/>
    <n v="108528"/>
    <n v="325584"/>
  </r>
  <r>
    <x v="0"/>
    <n v="85"/>
    <x v="38"/>
    <x v="8"/>
    <x v="8"/>
    <n v="1005"/>
    <x v="58"/>
    <x v="3"/>
    <x v="79"/>
    <n v="3010"/>
    <x v="309"/>
    <n v="4313"/>
    <x v="299"/>
    <s v="V 15"/>
    <n v="54"/>
    <n v="7021"/>
    <x v="1139"/>
    <s v="Annual"/>
    <n v="2"/>
    <n v="1"/>
    <n v="102540"/>
    <n v="205080"/>
  </r>
  <r>
    <x v="0"/>
    <n v="85"/>
    <x v="38"/>
    <x v="8"/>
    <x v="8"/>
    <n v="1005"/>
    <x v="58"/>
    <x v="3"/>
    <x v="79"/>
    <n v="3010"/>
    <x v="309"/>
    <n v="4313"/>
    <x v="299"/>
    <s v="V 15"/>
    <n v="54"/>
    <n v="7021"/>
    <x v="1139"/>
    <s v="Annual"/>
    <n v="3"/>
    <n v="1"/>
    <n v="85176"/>
    <n v="255528"/>
  </r>
  <r>
    <x v="0"/>
    <n v="85"/>
    <x v="38"/>
    <x v="8"/>
    <x v="8"/>
    <n v="1005"/>
    <x v="58"/>
    <x v="3"/>
    <x v="79"/>
    <n v="3010"/>
    <x v="309"/>
    <n v="4313"/>
    <x v="299"/>
    <s v="BX 22"/>
    <n v="10"/>
    <n v="7020"/>
    <x v="1135"/>
    <s v="Annual"/>
    <n v="1"/>
    <n v="1"/>
    <n v="136692"/>
    <n v="136692"/>
  </r>
  <r>
    <x v="0"/>
    <n v="85"/>
    <x v="38"/>
    <x v="8"/>
    <x v="8"/>
    <n v="1005"/>
    <x v="58"/>
    <x v="3"/>
    <x v="79"/>
    <n v="3010"/>
    <x v="309"/>
    <n v="4313"/>
    <x v="299"/>
    <s v="BX 22"/>
    <n v="10"/>
    <n v="7020"/>
    <x v="1135"/>
    <s v="Annual"/>
    <n v="1"/>
    <n v="1"/>
    <n v="123348"/>
    <n v="123348"/>
  </r>
  <r>
    <x v="0"/>
    <n v="85"/>
    <x v="38"/>
    <x v="8"/>
    <x v="8"/>
    <n v="1005"/>
    <x v="58"/>
    <x v="3"/>
    <x v="79"/>
    <n v="3010"/>
    <x v="309"/>
    <n v="4313"/>
    <x v="299"/>
    <s v="BX 22"/>
    <n v="10"/>
    <n v="7020"/>
    <x v="1135"/>
    <s v="Annual"/>
    <n v="1"/>
    <n v="1"/>
    <n v="112440"/>
    <n v="112440"/>
  </r>
  <r>
    <x v="0"/>
    <n v="85"/>
    <x v="38"/>
    <x v="8"/>
    <x v="8"/>
    <n v="1005"/>
    <x v="58"/>
    <x v="3"/>
    <x v="79"/>
    <n v="3010"/>
    <x v="309"/>
    <n v="4313"/>
    <x v="299"/>
    <s v="BX 16"/>
    <n v="20"/>
    <n v="7014"/>
    <x v="1140"/>
    <s v="Annual"/>
    <n v="1"/>
    <n v="1"/>
    <n v="76476"/>
    <n v="76476"/>
  </r>
  <r>
    <x v="0"/>
    <n v="85"/>
    <x v="38"/>
    <x v="8"/>
    <x v="8"/>
    <n v="1005"/>
    <x v="58"/>
    <x v="3"/>
    <x v="79"/>
    <n v="3010"/>
    <x v="309"/>
    <n v="4313"/>
    <x v="299"/>
    <s v="V 14"/>
    <n v="54"/>
    <n v="7010"/>
    <x v="1141"/>
    <s v="Annual"/>
    <n v="1"/>
    <n v="1"/>
    <n v="130620"/>
    <n v="130620"/>
  </r>
  <r>
    <x v="0"/>
    <n v="85"/>
    <x v="38"/>
    <x v="8"/>
    <x v="8"/>
    <n v="1005"/>
    <x v="58"/>
    <x v="3"/>
    <x v="79"/>
    <n v="3010"/>
    <x v="309"/>
    <n v="4313"/>
    <x v="299"/>
    <s v="V 14"/>
    <n v="54"/>
    <n v="7010"/>
    <x v="1141"/>
    <s v="Annual"/>
    <n v="1"/>
    <n v="1"/>
    <n v="113592"/>
    <n v="113592"/>
  </r>
  <r>
    <x v="0"/>
    <n v="85"/>
    <x v="38"/>
    <x v="8"/>
    <x v="8"/>
    <n v="1005"/>
    <x v="58"/>
    <x v="3"/>
    <x v="79"/>
    <n v="3010"/>
    <x v="309"/>
    <n v="4313"/>
    <x v="299"/>
    <s v="V 14"/>
    <n v="54"/>
    <n v="7010"/>
    <x v="1141"/>
    <s v="Annual"/>
    <n v="2"/>
    <n v="1"/>
    <n v="108528"/>
    <n v="217056"/>
  </r>
  <r>
    <x v="0"/>
    <n v="85"/>
    <x v="38"/>
    <x v="8"/>
    <x v="8"/>
    <n v="1005"/>
    <x v="58"/>
    <x v="3"/>
    <x v="79"/>
    <n v="3010"/>
    <x v="309"/>
    <n v="4313"/>
    <x v="299"/>
    <s v="V 14"/>
    <n v="54"/>
    <n v="7010"/>
    <x v="1141"/>
    <s v="Annual"/>
    <n v="1"/>
    <n v="1"/>
    <n v="98892"/>
    <n v="98892"/>
  </r>
  <r>
    <x v="0"/>
    <n v="85"/>
    <x v="38"/>
    <x v="8"/>
    <x v="8"/>
    <n v="1005"/>
    <x v="58"/>
    <x v="3"/>
    <x v="79"/>
    <n v="3010"/>
    <x v="309"/>
    <n v="4313"/>
    <x v="299"/>
    <s v="V 14"/>
    <n v="54"/>
    <n v="7010"/>
    <x v="1141"/>
    <s v="Annual"/>
    <n v="1"/>
    <n v="1"/>
    <n v="89232"/>
    <n v="89232"/>
  </r>
  <r>
    <x v="0"/>
    <n v="85"/>
    <x v="38"/>
    <x v="8"/>
    <x v="8"/>
    <n v="1005"/>
    <x v="58"/>
    <x v="3"/>
    <x v="79"/>
    <n v="3010"/>
    <x v="309"/>
    <n v="4313"/>
    <x v="299"/>
    <s v="V 14"/>
    <n v="54"/>
    <n v="7010"/>
    <x v="1141"/>
    <s v="Annual"/>
    <n v="2"/>
    <n v="1"/>
    <n v="81276"/>
    <n v="162552"/>
  </r>
  <r>
    <x v="0"/>
    <n v="85"/>
    <x v="38"/>
    <x v="8"/>
    <x v="8"/>
    <n v="1005"/>
    <x v="58"/>
    <x v="3"/>
    <x v="79"/>
    <n v="3010"/>
    <x v="309"/>
    <n v="4313"/>
    <x v="299"/>
    <s v="V 14"/>
    <n v="54"/>
    <n v="7010"/>
    <x v="1141"/>
    <s v="Annual"/>
    <n v="6"/>
    <n v="1"/>
    <n v="77628"/>
    <n v="465768"/>
  </r>
  <r>
    <x v="0"/>
    <n v="85"/>
    <x v="38"/>
    <x v="8"/>
    <x v="8"/>
    <n v="1005"/>
    <x v="58"/>
    <x v="3"/>
    <x v="79"/>
    <n v="3010"/>
    <x v="309"/>
    <n v="4313"/>
    <x v="299"/>
    <s v="BX 14"/>
    <n v="10"/>
    <n v="4201"/>
    <x v="1142"/>
    <s v="Annual"/>
    <n v="2"/>
    <n v="1"/>
    <n v="72996"/>
    <n v="145992"/>
  </r>
  <r>
    <x v="0"/>
    <n v="85"/>
    <x v="38"/>
    <x v="8"/>
    <x v="8"/>
    <n v="1005"/>
    <x v="58"/>
    <x v="3"/>
    <x v="79"/>
    <n v="3010"/>
    <x v="309"/>
    <n v="4313"/>
    <x v="299"/>
    <s v="BX 14"/>
    <n v="10"/>
    <n v="4201"/>
    <x v="1142"/>
    <s v="Annual"/>
    <n v="1"/>
    <n v="1"/>
    <n v="63504"/>
    <n v="63504"/>
  </r>
  <r>
    <x v="0"/>
    <n v="85"/>
    <x v="38"/>
    <x v="8"/>
    <x v="8"/>
    <n v="1005"/>
    <x v="58"/>
    <x v="3"/>
    <x v="79"/>
    <n v="3010"/>
    <x v="309"/>
    <n v="4313"/>
    <x v="299"/>
    <s v="BX 17"/>
    <n v="20"/>
    <n v="1318"/>
    <x v="409"/>
    <s v="Annual"/>
    <n v="1"/>
    <n v="1"/>
    <n v="108432"/>
    <n v="108432"/>
  </r>
  <r>
    <x v="0"/>
    <n v="85"/>
    <x v="38"/>
    <x v="8"/>
    <x v="8"/>
    <n v="1005"/>
    <x v="58"/>
    <x v="3"/>
    <x v="79"/>
    <n v="3010"/>
    <x v="309"/>
    <n v="4313"/>
    <x v="299"/>
    <s v="B 12"/>
    <n v="1"/>
    <n v="801"/>
    <x v="639"/>
    <s v="Annual"/>
    <n v="1"/>
    <n v="1"/>
    <n v="62544"/>
    <n v="62544"/>
  </r>
  <r>
    <x v="0"/>
    <n v="85"/>
    <x v="38"/>
    <x v="8"/>
    <x v="8"/>
    <n v="1005"/>
    <x v="58"/>
    <x v="3"/>
    <x v="79"/>
    <n v="3010"/>
    <x v="309"/>
    <n v="4313"/>
    <x v="299"/>
    <s v="X 43"/>
    <n v="0"/>
    <s v="03A2"/>
    <x v="220"/>
    <s v="Annual"/>
    <n v="1"/>
    <n v="1"/>
    <n v="133836"/>
    <n v="133836"/>
  </r>
  <r>
    <x v="0"/>
    <n v="85"/>
    <x v="38"/>
    <x v="8"/>
    <x v="8"/>
    <n v="1005"/>
    <x v="58"/>
    <x v="3"/>
    <x v="79"/>
    <n v="3010"/>
    <x v="309"/>
    <n v="4313"/>
    <x v="299"/>
    <s v="1 00"/>
    <n v="0"/>
    <n v="15"/>
    <x v="37"/>
    <s v="Annual"/>
    <n v="0"/>
    <n v="0"/>
    <n v="52701"/>
    <n v="52701"/>
  </r>
  <r>
    <x v="0"/>
    <n v="85"/>
    <x v="38"/>
    <x v="8"/>
    <x v="8"/>
    <n v="1005"/>
    <x v="58"/>
    <x v="3"/>
    <x v="79"/>
    <n v="3010"/>
    <x v="309"/>
    <n v="4313"/>
    <x v="299"/>
    <s v="1 00"/>
    <n v="0"/>
    <n v="12"/>
    <x v="291"/>
    <s v="Annual"/>
    <n v="0"/>
    <n v="0"/>
    <n v="197206"/>
    <n v="197206"/>
  </r>
  <r>
    <x v="0"/>
    <n v="85"/>
    <x v="38"/>
    <x v="8"/>
    <x v="8"/>
    <n v="1005"/>
    <x v="58"/>
    <x v="3"/>
    <x v="79"/>
    <n v="3010"/>
    <x v="309"/>
    <n v="4333"/>
    <x v="300"/>
    <s v="I 12"/>
    <n v="2"/>
    <n v="4211"/>
    <x v="1143"/>
    <s v="Hourly"/>
    <n v="5805"/>
    <n v="0"/>
    <n v="28.76"/>
    <n v="166952"/>
  </r>
  <r>
    <x v="0"/>
    <n v="85"/>
    <x v="38"/>
    <x v="8"/>
    <x v="8"/>
    <n v="1005"/>
    <x v="58"/>
    <x v="3"/>
    <x v="79"/>
    <n v="3010"/>
    <x v="309"/>
    <n v="4333"/>
    <x v="300"/>
    <s v="I 13"/>
    <n v="2"/>
    <n v="4210"/>
    <x v="1144"/>
    <s v="Annual"/>
    <n v="13"/>
    <n v="1"/>
    <n v="109404"/>
    <n v="1422252"/>
  </r>
  <r>
    <x v="0"/>
    <n v="85"/>
    <x v="38"/>
    <x v="8"/>
    <x v="8"/>
    <n v="1005"/>
    <x v="58"/>
    <x v="3"/>
    <x v="79"/>
    <n v="3010"/>
    <x v="309"/>
    <n v="4333"/>
    <x v="300"/>
    <s v="I 13"/>
    <n v="2"/>
    <n v="4210"/>
    <x v="1144"/>
    <s v="Annual"/>
    <n v="9"/>
    <n v="1"/>
    <n v="104376"/>
    <n v="939384"/>
  </r>
  <r>
    <x v="0"/>
    <n v="85"/>
    <x v="38"/>
    <x v="8"/>
    <x v="8"/>
    <n v="1005"/>
    <x v="58"/>
    <x v="3"/>
    <x v="79"/>
    <n v="3010"/>
    <x v="309"/>
    <n v="4333"/>
    <x v="300"/>
    <s v="I 13"/>
    <n v="2"/>
    <n v="4210"/>
    <x v="1144"/>
    <s v="Annual"/>
    <n v="2"/>
    <n v="1"/>
    <n v="99708"/>
    <n v="199416"/>
  </r>
  <r>
    <x v="0"/>
    <n v="85"/>
    <x v="38"/>
    <x v="8"/>
    <x v="8"/>
    <n v="1005"/>
    <x v="58"/>
    <x v="3"/>
    <x v="79"/>
    <n v="3010"/>
    <x v="309"/>
    <n v="4333"/>
    <x v="300"/>
    <s v="I 13"/>
    <n v="2"/>
    <n v="4210"/>
    <x v="1144"/>
    <s v="Annual"/>
    <n v="2"/>
    <n v="1"/>
    <n v="95160"/>
    <n v="190320"/>
  </r>
  <r>
    <x v="0"/>
    <n v="85"/>
    <x v="38"/>
    <x v="8"/>
    <x v="8"/>
    <n v="1005"/>
    <x v="58"/>
    <x v="3"/>
    <x v="79"/>
    <n v="3010"/>
    <x v="309"/>
    <n v="4333"/>
    <x v="300"/>
    <s v="I 13"/>
    <n v="2"/>
    <n v="4210"/>
    <x v="1144"/>
    <s v="Annual"/>
    <n v="2"/>
    <n v="1"/>
    <n v="90876"/>
    <n v="181752"/>
  </r>
  <r>
    <x v="0"/>
    <n v="85"/>
    <x v="38"/>
    <x v="8"/>
    <x v="8"/>
    <n v="1005"/>
    <x v="58"/>
    <x v="3"/>
    <x v="79"/>
    <n v="3010"/>
    <x v="309"/>
    <n v="4333"/>
    <x v="300"/>
    <s v="I 13"/>
    <n v="2"/>
    <n v="4210"/>
    <x v="1144"/>
    <s v="Annual"/>
    <n v="1"/>
    <n v="1"/>
    <n v="86772"/>
    <n v="86772"/>
  </r>
  <r>
    <x v="0"/>
    <n v="85"/>
    <x v="38"/>
    <x v="8"/>
    <x v="8"/>
    <n v="1005"/>
    <x v="58"/>
    <x v="3"/>
    <x v="79"/>
    <n v="3010"/>
    <x v="309"/>
    <n v="4333"/>
    <x v="300"/>
    <s v="I 13"/>
    <n v="2"/>
    <n v="4210"/>
    <x v="1144"/>
    <s v="Annual"/>
    <n v="3"/>
    <n v="1"/>
    <n v="82836"/>
    <n v="248508"/>
  </r>
  <r>
    <x v="0"/>
    <n v="85"/>
    <x v="38"/>
    <x v="8"/>
    <x v="8"/>
    <n v="1005"/>
    <x v="58"/>
    <x v="3"/>
    <x v="79"/>
    <n v="3010"/>
    <x v="309"/>
    <n v="4333"/>
    <x v="300"/>
    <s v="I 13"/>
    <n v="2"/>
    <n v="4210"/>
    <x v="1144"/>
    <s v="Annual"/>
    <n v="7"/>
    <n v="1"/>
    <n v="79056"/>
    <n v="553392"/>
  </r>
  <r>
    <x v="0"/>
    <n v="85"/>
    <x v="38"/>
    <x v="8"/>
    <x v="8"/>
    <n v="1005"/>
    <x v="58"/>
    <x v="3"/>
    <x v="79"/>
    <n v="3010"/>
    <x v="309"/>
    <n v="4333"/>
    <x v="300"/>
    <s v="I 13"/>
    <n v="2"/>
    <n v="4210"/>
    <x v="1144"/>
    <s v="Annual"/>
    <n v="7"/>
    <n v="1"/>
    <n v="71076"/>
    <n v="497532"/>
  </r>
  <r>
    <x v="0"/>
    <n v="85"/>
    <x v="38"/>
    <x v="8"/>
    <x v="8"/>
    <n v="1005"/>
    <x v="58"/>
    <x v="3"/>
    <x v="79"/>
    <n v="3010"/>
    <x v="309"/>
    <n v="4333"/>
    <x v="300"/>
    <s v="I 13"/>
    <n v="2"/>
    <n v="4210"/>
    <x v="1144"/>
    <s v="Annual"/>
    <n v="1"/>
    <n v="1"/>
    <n v="67884"/>
    <n v="67884"/>
  </r>
  <r>
    <x v="0"/>
    <n v="85"/>
    <x v="38"/>
    <x v="8"/>
    <x v="8"/>
    <n v="1005"/>
    <x v="58"/>
    <x v="3"/>
    <x v="79"/>
    <n v="3010"/>
    <x v="309"/>
    <n v="4333"/>
    <x v="300"/>
    <s v="I 13"/>
    <n v="2"/>
    <n v="4210"/>
    <x v="1144"/>
    <s v="Annual"/>
    <n v="17"/>
    <n v="1"/>
    <n v="64836"/>
    <n v="1102212"/>
  </r>
  <r>
    <x v="0"/>
    <n v="85"/>
    <x v="38"/>
    <x v="8"/>
    <x v="8"/>
    <n v="1005"/>
    <x v="58"/>
    <x v="3"/>
    <x v="79"/>
    <n v="3010"/>
    <x v="309"/>
    <n v="4333"/>
    <x v="300"/>
    <s v="I 13"/>
    <n v="2"/>
    <n v="4210"/>
    <x v="1144"/>
    <s v="Annual"/>
    <n v="4"/>
    <n v="1"/>
    <n v="61824"/>
    <n v="247296"/>
  </r>
  <r>
    <x v="0"/>
    <n v="85"/>
    <x v="38"/>
    <x v="8"/>
    <x v="8"/>
    <n v="1005"/>
    <x v="58"/>
    <x v="3"/>
    <x v="79"/>
    <n v="3010"/>
    <x v="309"/>
    <n v="4333"/>
    <x v="300"/>
    <s v="Y 15"/>
    <n v="58"/>
    <n v="4209"/>
    <x v="1145"/>
    <s v="Annual"/>
    <n v="1"/>
    <n v="1"/>
    <n v="122712"/>
    <n v="122712"/>
  </r>
  <r>
    <x v="0"/>
    <n v="85"/>
    <x v="38"/>
    <x v="8"/>
    <x v="8"/>
    <n v="1005"/>
    <x v="58"/>
    <x v="3"/>
    <x v="79"/>
    <n v="3010"/>
    <x v="309"/>
    <n v="4333"/>
    <x v="300"/>
    <s v="Y 15"/>
    <n v="58"/>
    <n v="4209"/>
    <x v="1145"/>
    <s v="Annual"/>
    <n v="1"/>
    <n v="1"/>
    <n v="117132"/>
    <n v="117132"/>
  </r>
  <r>
    <x v="0"/>
    <n v="85"/>
    <x v="38"/>
    <x v="8"/>
    <x v="8"/>
    <n v="1005"/>
    <x v="58"/>
    <x v="3"/>
    <x v="79"/>
    <n v="3010"/>
    <x v="309"/>
    <n v="4333"/>
    <x v="300"/>
    <s v="Y 15"/>
    <n v="58"/>
    <n v="4209"/>
    <x v="1145"/>
    <s v="Annual"/>
    <n v="1"/>
    <n v="1"/>
    <n v="111780"/>
    <n v="111780"/>
  </r>
  <r>
    <x v="0"/>
    <n v="85"/>
    <x v="38"/>
    <x v="8"/>
    <x v="8"/>
    <n v="1005"/>
    <x v="58"/>
    <x v="3"/>
    <x v="79"/>
    <n v="3010"/>
    <x v="309"/>
    <n v="4333"/>
    <x v="300"/>
    <s v="Y 15"/>
    <n v="58"/>
    <n v="4209"/>
    <x v="1145"/>
    <s v="Annual"/>
    <n v="2"/>
    <n v="1"/>
    <n v="97260"/>
    <n v="194520"/>
  </r>
  <r>
    <x v="0"/>
    <n v="85"/>
    <x v="38"/>
    <x v="8"/>
    <x v="8"/>
    <n v="1005"/>
    <x v="58"/>
    <x v="3"/>
    <x v="79"/>
    <n v="3010"/>
    <x v="309"/>
    <n v="4333"/>
    <x v="300"/>
    <s v="Y 15"/>
    <n v="58"/>
    <n v="4209"/>
    <x v="1145"/>
    <s v="Annual"/>
    <n v="3"/>
    <n v="1"/>
    <n v="86556"/>
    <n v="259668"/>
  </r>
  <r>
    <x v="0"/>
    <n v="85"/>
    <x v="38"/>
    <x v="8"/>
    <x v="8"/>
    <n v="1005"/>
    <x v="58"/>
    <x v="3"/>
    <x v="79"/>
    <n v="3010"/>
    <x v="309"/>
    <n v="4333"/>
    <x v="300"/>
    <s v="Y 15"/>
    <n v="58"/>
    <n v="4209"/>
    <x v="1145"/>
    <s v="Annual"/>
    <n v="2"/>
    <n v="1"/>
    <n v="82584"/>
    <n v="165168"/>
  </r>
  <r>
    <x v="0"/>
    <n v="85"/>
    <x v="38"/>
    <x v="8"/>
    <x v="8"/>
    <n v="1005"/>
    <x v="58"/>
    <x v="3"/>
    <x v="79"/>
    <n v="3010"/>
    <x v="309"/>
    <n v="4333"/>
    <x v="300"/>
    <s v="BX 17"/>
    <n v="10"/>
    <n v="4208"/>
    <x v="1146"/>
    <s v="Annual"/>
    <n v="1"/>
    <n v="1"/>
    <n v="136692"/>
    <n v="136692"/>
  </r>
  <r>
    <x v="0"/>
    <n v="85"/>
    <x v="38"/>
    <x v="8"/>
    <x v="8"/>
    <n v="1005"/>
    <x v="58"/>
    <x v="3"/>
    <x v="79"/>
    <n v="3010"/>
    <x v="309"/>
    <n v="4333"/>
    <x v="300"/>
    <s v="BX 17"/>
    <n v="10"/>
    <n v="4208"/>
    <x v="1146"/>
    <s v="Annual"/>
    <n v="1"/>
    <n v="1"/>
    <n v="97836"/>
    <n v="97836"/>
  </r>
  <r>
    <x v="0"/>
    <n v="85"/>
    <x v="38"/>
    <x v="8"/>
    <x v="8"/>
    <n v="1005"/>
    <x v="58"/>
    <x v="3"/>
    <x v="79"/>
    <n v="3010"/>
    <x v="309"/>
    <n v="4333"/>
    <x v="300"/>
    <s v="BX 17"/>
    <n v="10"/>
    <n v="4208"/>
    <x v="1146"/>
    <s v="Annual"/>
    <n v="1"/>
    <n v="1"/>
    <n v="93384"/>
    <n v="93384"/>
  </r>
  <r>
    <x v="0"/>
    <n v="85"/>
    <x v="38"/>
    <x v="8"/>
    <x v="8"/>
    <n v="1005"/>
    <x v="58"/>
    <x v="3"/>
    <x v="79"/>
    <n v="3010"/>
    <x v="309"/>
    <n v="4333"/>
    <x v="300"/>
    <s v="BX 17"/>
    <n v="10"/>
    <n v="4208"/>
    <x v="1146"/>
    <s v="Annual"/>
    <n v="2"/>
    <n v="1"/>
    <n v="85128"/>
    <n v="170256"/>
  </r>
  <r>
    <x v="0"/>
    <n v="85"/>
    <x v="38"/>
    <x v="8"/>
    <x v="8"/>
    <n v="1005"/>
    <x v="58"/>
    <x v="3"/>
    <x v="79"/>
    <n v="3010"/>
    <x v="309"/>
    <n v="4333"/>
    <x v="300"/>
    <s v="BX 17"/>
    <n v="10"/>
    <n v="4208"/>
    <x v="1146"/>
    <s v="Annual"/>
    <n v="2"/>
    <n v="1"/>
    <n v="83052"/>
    <n v="166104"/>
  </r>
  <r>
    <x v="0"/>
    <n v="85"/>
    <x v="38"/>
    <x v="8"/>
    <x v="8"/>
    <n v="1005"/>
    <x v="58"/>
    <x v="3"/>
    <x v="79"/>
    <n v="3010"/>
    <x v="309"/>
    <n v="4333"/>
    <x v="300"/>
    <s v="B 12"/>
    <n v="1"/>
    <s v="03A8"/>
    <x v="88"/>
    <s v="Annual"/>
    <n v="1"/>
    <n v="1"/>
    <n v="103608"/>
    <n v="103608"/>
  </r>
  <r>
    <x v="0"/>
    <n v="85"/>
    <x v="38"/>
    <x v="8"/>
    <x v="8"/>
    <n v="1005"/>
    <x v="58"/>
    <x v="3"/>
    <x v="79"/>
    <n v="3010"/>
    <x v="309"/>
    <n v="4333"/>
    <x v="300"/>
    <s v="X 43"/>
    <n v="0"/>
    <s v="03A2"/>
    <x v="220"/>
    <s v="Annual"/>
    <n v="1"/>
    <n v="1"/>
    <n v="160680"/>
    <n v="160680"/>
  </r>
  <r>
    <x v="0"/>
    <n v="85"/>
    <x v="38"/>
    <x v="8"/>
    <x v="8"/>
    <n v="1005"/>
    <x v="58"/>
    <x v="3"/>
    <x v="79"/>
    <n v="3010"/>
    <x v="309"/>
    <n v="4333"/>
    <x v="300"/>
    <s v="BX 18"/>
    <n v="10"/>
    <n v="311"/>
    <x v="253"/>
    <s v="Annual"/>
    <n v="1"/>
    <n v="1"/>
    <n v="107340"/>
    <n v="107340"/>
  </r>
  <r>
    <x v="0"/>
    <n v="85"/>
    <x v="38"/>
    <x v="8"/>
    <x v="8"/>
    <n v="1005"/>
    <x v="58"/>
    <x v="3"/>
    <x v="79"/>
    <n v="3010"/>
    <x v="309"/>
    <n v="4333"/>
    <x v="300"/>
    <s v="1 00"/>
    <n v="0"/>
    <n v="15"/>
    <x v="37"/>
    <s v="Annual"/>
    <n v="0"/>
    <n v="0"/>
    <n v="87123"/>
    <n v="87123"/>
  </r>
  <r>
    <x v="0"/>
    <n v="85"/>
    <x v="38"/>
    <x v="8"/>
    <x v="8"/>
    <n v="1005"/>
    <x v="58"/>
    <x v="3"/>
    <x v="79"/>
    <n v="3010"/>
    <x v="309"/>
    <n v="4335"/>
    <x v="301"/>
    <s v="B 12"/>
    <n v="1"/>
    <s v="03A8"/>
    <x v="88"/>
    <s v="Annual"/>
    <n v="1"/>
    <n v="1"/>
    <n v="74172"/>
    <n v="74172"/>
  </r>
  <r>
    <x v="0"/>
    <n v="85"/>
    <x v="38"/>
    <x v="8"/>
    <x v="8"/>
    <n v="1005"/>
    <x v="58"/>
    <x v="3"/>
    <x v="79"/>
    <n v="3010"/>
    <x v="309"/>
    <n v="4335"/>
    <x v="301"/>
    <s v="B 12"/>
    <n v="1"/>
    <s v="03A8"/>
    <x v="88"/>
    <s v="Annual"/>
    <n v="1"/>
    <n v="1"/>
    <n v="62544"/>
    <n v="62544"/>
  </r>
  <r>
    <x v="0"/>
    <n v="85"/>
    <x v="38"/>
    <x v="8"/>
    <x v="8"/>
    <n v="1005"/>
    <x v="58"/>
    <x v="3"/>
    <x v="79"/>
    <n v="3010"/>
    <x v="309"/>
    <n v="4335"/>
    <x v="301"/>
    <s v="B 10"/>
    <n v="1"/>
    <s v="03A7"/>
    <x v="4"/>
    <s v="Annual"/>
    <n v="1"/>
    <n v="1"/>
    <n v="90144"/>
    <n v="90144"/>
  </r>
  <r>
    <x v="0"/>
    <n v="85"/>
    <x v="38"/>
    <x v="8"/>
    <x v="8"/>
    <n v="1005"/>
    <x v="58"/>
    <x v="3"/>
    <x v="79"/>
    <n v="3010"/>
    <x v="309"/>
    <n v="4335"/>
    <x v="301"/>
    <s v="B 10"/>
    <n v="1"/>
    <s v="03A7"/>
    <x v="4"/>
    <s v="Annual"/>
    <n v="1"/>
    <n v="1"/>
    <n v="82140"/>
    <n v="82140"/>
  </r>
  <r>
    <x v="0"/>
    <n v="85"/>
    <x v="38"/>
    <x v="8"/>
    <x v="8"/>
    <n v="1005"/>
    <x v="58"/>
    <x v="3"/>
    <x v="79"/>
    <n v="3010"/>
    <x v="309"/>
    <n v="4335"/>
    <x v="301"/>
    <s v="B 10"/>
    <n v="1"/>
    <s v="03A7"/>
    <x v="4"/>
    <s v="Annual"/>
    <n v="1"/>
    <n v="1"/>
    <n v="64488"/>
    <n v="64488"/>
  </r>
  <r>
    <x v="0"/>
    <n v="85"/>
    <x v="38"/>
    <x v="8"/>
    <x v="8"/>
    <n v="1005"/>
    <x v="58"/>
    <x v="3"/>
    <x v="79"/>
    <n v="3010"/>
    <x v="309"/>
    <n v="4335"/>
    <x v="301"/>
    <s v="B 10"/>
    <n v="1"/>
    <s v="03A7"/>
    <x v="4"/>
    <s v="Annual"/>
    <n v="1"/>
    <n v="1"/>
    <n v="58764"/>
    <n v="58764"/>
  </r>
  <r>
    <x v="0"/>
    <n v="85"/>
    <x v="38"/>
    <x v="8"/>
    <x v="8"/>
    <n v="1005"/>
    <x v="58"/>
    <x v="3"/>
    <x v="79"/>
    <n v="3010"/>
    <x v="309"/>
    <n v="4335"/>
    <x v="301"/>
    <s v="B 10"/>
    <n v="1"/>
    <s v="03A7"/>
    <x v="4"/>
    <s v="Annual"/>
    <n v="1"/>
    <n v="1"/>
    <n v="51936"/>
    <n v="51936"/>
  </r>
  <r>
    <x v="0"/>
    <n v="85"/>
    <x v="38"/>
    <x v="8"/>
    <x v="8"/>
    <n v="1005"/>
    <x v="58"/>
    <x v="3"/>
    <x v="79"/>
    <n v="3010"/>
    <x v="309"/>
    <n v="4335"/>
    <x v="301"/>
    <s v="BX 16"/>
    <n v="10"/>
    <n v="375"/>
    <x v="1147"/>
    <s v="Annual"/>
    <n v="1"/>
    <n v="1"/>
    <n v="85128"/>
    <n v="85128"/>
  </r>
  <r>
    <x v="0"/>
    <n v="85"/>
    <x v="38"/>
    <x v="8"/>
    <x v="8"/>
    <n v="1005"/>
    <x v="58"/>
    <x v="3"/>
    <x v="79"/>
    <n v="3010"/>
    <x v="309"/>
    <n v="4335"/>
    <x v="301"/>
    <s v="1 00"/>
    <n v="0"/>
    <n v="15"/>
    <x v="37"/>
    <s v="Annual"/>
    <n v="0"/>
    <n v="0"/>
    <n v="4810"/>
    <n v="4810"/>
  </r>
  <r>
    <x v="0"/>
    <n v="85"/>
    <x v="38"/>
    <x v="8"/>
    <x v="8"/>
    <n v="1005"/>
    <x v="58"/>
    <x v="3"/>
    <x v="79"/>
    <n v="3010"/>
    <x v="309"/>
    <n v="4338"/>
    <x v="302"/>
    <s v="I 15"/>
    <n v="2"/>
    <n v="7009"/>
    <x v="1148"/>
    <s v="Annual"/>
    <n v="1"/>
    <n v="1"/>
    <n v="114636"/>
    <n v="114636"/>
  </r>
  <r>
    <x v="0"/>
    <n v="85"/>
    <x v="38"/>
    <x v="8"/>
    <x v="8"/>
    <n v="1005"/>
    <x v="58"/>
    <x v="3"/>
    <x v="79"/>
    <n v="3010"/>
    <x v="309"/>
    <n v="4338"/>
    <x v="302"/>
    <s v="BX 17"/>
    <n v="10"/>
    <n v="7004"/>
    <x v="1149"/>
    <s v="Annual"/>
    <n v="1"/>
    <n v="1"/>
    <n v="103488"/>
    <n v="103488"/>
  </r>
  <r>
    <x v="0"/>
    <n v="85"/>
    <x v="38"/>
    <x v="8"/>
    <x v="8"/>
    <n v="1005"/>
    <x v="58"/>
    <x v="3"/>
    <x v="79"/>
    <n v="3010"/>
    <x v="309"/>
    <n v="4338"/>
    <x v="302"/>
    <s v="I 14"/>
    <n v="2"/>
    <n v="7003"/>
    <x v="1150"/>
    <s v="Annual"/>
    <n v="1"/>
    <n v="1"/>
    <n v="120024"/>
    <n v="120024"/>
  </r>
  <r>
    <x v="0"/>
    <n v="85"/>
    <x v="38"/>
    <x v="8"/>
    <x v="8"/>
    <n v="1005"/>
    <x v="58"/>
    <x v="3"/>
    <x v="79"/>
    <n v="3010"/>
    <x v="309"/>
    <n v="4338"/>
    <x v="302"/>
    <s v="I 14"/>
    <n v="2"/>
    <n v="7003"/>
    <x v="1150"/>
    <s v="Annual"/>
    <n v="1"/>
    <n v="1"/>
    <n v="109404"/>
    <n v="109404"/>
  </r>
  <r>
    <x v="0"/>
    <n v="85"/>
    <x v="38"/>
    <x v="8"/>
    <x v="8"/>
    <n v="1005"/>
    <x v="58"/>
    <x v="3"/>
    <x v="79"/>
    <n v="3010"/>
    <x v="309"/>
    <n v="4338"/>
    <x v="302"/>
    <s v="I 14"/>
    <n v="2"/>
    <n v="7003"/>
    <x v="1150"/>
    <s v="Annual"/>
    <n v="2"/>
    <n v="1"/>
    <n v="104376"/>
    <n v="208752"/>
  </r>
  <r>
    <x v="0"/>
    <n v="85"/>
    <x v="38"/>
    <x v="8"/>
    <x v="8"/>
    <n v="1005"/>
    <x v="58"/>
    <x v="3"/>
    <x v="79"/>
    <n v="3010"/>
    <x v="309"/>
    <n v="4338"/>
    <x v="302"/>
    <s v="I 14"/>
    <n v="2"/>
    <n v="7003"/>
    <x v="1150"/>
    <s v="Annual"/>
    <n v="4"/>
    <n v="1"/>
    <n v="86772"/>
    <n v="347088"/>
  </r>
  <r>
    <x v="0"/>
    <n v="85"/>
    <x v="38"/>
    <x v="8"/>
    <x v="8"/>
    <n v="1005"/>
    <x v="58"/>
    <x v="3"/>
    <x v="79"/>
    <n v="3010"/>
    <x v="309"/>
    <n v="4338"/>
    <x v="302"/>
    <s v="I 14"/>
    <n v="2"/>
    <n v="7003"/>
    <x v="1150"/>
    <s v="Annual"/>
    <n v="5"/>
    <n v="1"/>
    <n v="77988"/>
    <n v="389940"/>
  </r>
  <r>
    <x v="0"/>
    <n v="85"/>
    <x v="38"/>
    <x v="8"/>
    <x v="8"/>
    <n v="1005"/>
    <x v="58"/>
    <x v="3"/>
    <x v="79"/>
    <n v="3010"/>
    <x v="309"/>
    <n v="4338"/>
    <x v="302"/>
    <s v="I 14"/>
    <n v="2"/>
    <n v="7003"/>
    <x v="1150"/>
    <s v="Annual"/>
    <n v="2"/>
    <n v="1"/>
    <n v="71076"/>
    <n v="142152"/>
  </r>
  <r>
    <x v="0"/>
    <n v="85"/>
    <x v="38"/>
    <x v="8"/>
    <x v="8"/>
    <n v="1005"/>
    <x v="58"/>
    <x v="3"/>
    <x v="79"/>
    <n v="3010"/>
    <x v="309"/>
    <n v="4338"/>
    <x v="302"/>
    <s v="I 14"/>
    <n v="2"/>
    <n v="7003"/>
    <x v="1150"/>
    <s v="Annual"/>
    <n v="6"/>
    <n v="1"/>
    <n v="67884"/>
    <n v="407304"/>
  </r>
  <r>
    <x v="0"/>
    <n v="85"/>
    <x v="38"/>
    <x v="8"/>
    <x v="8"/>
    <n v="1005"/>
    <x v="58"/>
    <x v="3"/>
    <x v="79"/>
    <n v="3010"/>
    <x v="309"/>
    <n v="4338"/>
    <x v="302"/>
    <s v="O 15"/>
    <n v="59"/>
    <n v="7002"/>
    <x v="1151"/>
    <s v="Annual"/>
    <n v="1"/>
    <n v="1"/>
    <n v="116952"/>
    <n v="116952"/>
  </r>
  <r>
    <x v="0"/>
    <n v="85"/>
    <x v="38"/>
    <x v="8"/>
    <x v="8"/>
    <n v="1005"/>
    <x v="58"/>
    <x v="3"/>
    <x v="79"/>
    <n v="3010"/>
    <x v="309"/>
    <n v="4338"/>
    <x v="302"/>
    <s v="O 15"/>
    <n v="59"/>
    <n v="7002"/>
    <x v="1151"/>
    <s v="Annual"/>
    <n v="1"/>
    <n v="1"/>
    <n v="106572"/>
    <n v="106572"/>
  </r>
  <r>
    <x v="0"/>
    <n v="85"/>
    <x v="38"/>
    <x v="8"/>
    <x v="8"/>
    <n v="1005"/>
    <x v="58"/>
    <x v="3"/>
    <x v="79"/>
    <n v="3010"/>
    <x v="309"/>
    <n v="4338"/>
    <x v="302"/>
    <s v="O 15"/>
    <n v="59"/>
    <n v="7002"/>
    <x v="1151"/>
    <s v="Annual"/>
    <n v="1"/>
    <n v="1"/>
    <n v="92700"/>
    <n v="92700"/>
  </r>
  <r>
    <x v="0"/>
    <n v="85"/>
    <x v="38"/>
    <x v="8"/>
    <x v="8"/>
    <n v="1005"/>
    <x v="58"/>
    <x v="3"/>
    <x v="79"/>
    <n v="3010"/>
    <x v="309"/>
    <n v="4338"/>
    <x v="302"/>
    <s v="O 15"/>
    <n v="59"/>
    <n v="7002"/>
    <x v="1151"/>
    <s v="Annual"/>
    <n v="1"/>
    <n v="1"/>
    <n v="82464"/>
    <n v="82464"/>
  </r>
  <r>
    <x v="0"/>
    <n v="85"/>
    <x v="38"/>
    <x v="8"/>
    <x v="8"/>
    <n v="1005"/>
    <x v="58"/>
    <x v="3"/>
    <x v="79"/>
    <n v="3010"/>
    <x v="309"/>
    <n v="4338"/>
    <x v="302"/>
    <s v="O 15"/>
    <n v="59"/>
    <n v="7002"/>
    <x v="1151"/>
    <s v="Annual"/>
    <n v="2"/>
    <n v="1"/>
    <n v="75168"/>
    <n v="150336"/>
  </r>
  <r>
    <x v="0"/>
    <n v="85"/>
    <x v="38"/>
    <x v="8"/>
    <x v="8"/>
    <n v="1005"/>
    <x v="58"/>
    <x v="3"/>
    <x v="79"/>
    <n v="3010"/>
    <x v="309"/>
    <n v="4338"/>
    <x v="302"/>
    <s v="1 00"/>
    <n v="0"/>
    <n v="15"/>
    <x v="37"/>
    <s v="Annual"/>
    <n v="0"/>
    <n v="0"/>
    <n v="19234"/>
    <n v="19234"/>
  </r>
  <r>
    <x v="0"/>
    <n v="85"/>
    <x v="38"/>
    <x v="8"/>
    <x v="8"/>
    <n v="1005"/>
    <x v="58"/>
    <x v="3"/>
    <x v="79"/>
    <n v="3010"/>
    <x v="309"/>
    <n v="4343"/>
    <x v="303"/>
    <s v="2 0"/>
    <n v="53"/>
    <n v="9410"/>
    <x v="990"/>
    <s v="Hourly"/>
    <n v="2773"/>
    <n v="0"/>
    <n v="30.84"/>
    <n v="85519"/>
  </r>
  <r>
    <x v="0"/>
    <n v="85"/>
    <x v="38"/>
    <x v="8"/>
    <x v="8"/>
    <n v="1005"/>
    <x v="58"/>
    <x v="3"/>
    <x v="79"/>
    <n v="3010"/>
    <x v="309"/>
    <n v="4343"/>
    <x v="303"/>
    <s v="2 0"/>
    <n v="53"/>
    <n v="9411"/>
    <x v="989"/>
    <s v="Hourly"/>
    <n v="5"/>
    <n v="1"/>
    <n v="51.4"/>
    <n v="534560"/>
  </r>
  <r>
    <x v="0"/>
    <n v="85"/>
    <x v="38"/>
    <x v="8"/>
    <x v="8"/>
    <n v="1005"/>
    <x v="58"/>
    <x v="3"/>
    <x v="79"/>
    <n v="3010"/>
    <x v="309"/>
    <n v="4343"/>
    <x v="303"/>
    <s v="2 0"/>
    <n v="53"/>
    <n v="8246"/>
    <x v="986"/>
    <s v="Hourly"/>
    <n v="1"/>
    <n v="1"/>
    <n v="52.5"/>
    <n v="109200"/>
  </r>
  <r>
    <x v="0"/>
    <n v="85"/>
    <x v="38"/>
    <x v="8"/>
    <x v="8"/>
    <n v="1005"/>
    <x v="58"/>
    <x v="3"/>
    <x v="79"/>
    <n v="3010"/>
    <x v="309"/>
    <n v="4343"/>
    <x v="303"/>
    <s v="BX 17"/>
    <n v="10"/>
    <n v="7099"/>
    <x v="1152"/>
    <s v="Annual"/>
    <n v="1"/>
    <n v="1"/>
    <n v="130524"/>
    <n v="130524"/>
  </r>
  <r>
    <x v="0"/>
    <n v="85"/>
    <x v="38"/>
    <x v="8"/>
    <x v="8"/>
    <n v="1005"/>
    <x v="58"/>
    <x v="3"/>
    <x v="79"/>
    <n v="3010"/>
    <x v="309"/>
    <n v="4343"/>
    <x v="303"/>
    <s v="BX 17"/>
    <n v="10"/>
    <n v="7099"/>
    <x v="1152"/>
    <s v="Annual"/>
    <n v="1"/>
    <n v="1"/>
    <n v="97836"/>
    <n v="97836"/>
  </r>
  <r>
    <x v="0"/>
    <n v="85"/>
    <x v="38"/>
    <x v="8"/>
    <x v="8"/>
    <n v="1005"/>
    <x v="58"/>
    <x v="3"/>
    <x v="79"/>
    <n v="3010"/>
    <x v="309"/>
    <n v="4343"/>
    <x v="303"/>
    <s v="BX 17"/>
    <n v="10"/>
    <n v="7099"/>
    <x v="1152"/>
    <s v="Annual"/>
    <n v="1"/>
    <n v="1"/>
    <n v="93384"/>
    <n v="93384"/>
  </r>
  <r>
    <x v="0"/>
    <n v="85"/>
    <x v="38"/>
    <x v="8"/>
    <x v="8"/>
    <n v="1005"/>
    <x v="58"/>
    <x v="3"/>
    <x v="79"/>
    <n v="3010"/>
    <x v="309"/>
    <n v="4343"/>
    <x v="303"/>
    <s v="BX 17"/>
    <n v="10"/>
    <n v="7099"/>
    <x v="1152"/>
    <s v="Annual"/>
    <n v="1"/>
    <n v="1"/>
    <n v="89112"/>
    <n v="89112"/>
  </r>
  <r>
    <x v="0"/>
    <n v="85"/>
    <x v="38"/>
    <x v="8"/>
    <x v="8"/>
    <n v="1005"/>
    <x v="58"/>
    <x v="3"/>
    <x v="79"/>
    <n v="3010"/>
    <x v="309"/>
    <n v="4343"/>
    <x v="303"/>
    <s v="BX 17"/>
    <n v="10"/>
    <n v="7099"/>
    <x v="1152"/>
    <s v="Annual"/>
    <n v="1"/>
    <n v="1"/>
    <n v="85128"/>
    <n v="85128"/>
  </r>
  <r>
    <x v="0"/>
    <n v="85"/>
    <x v="38"/>
    <x v="8"/>
    <x v="8"/>
    <n v="1005"/>
    <x v="58"/>
    <x v="3"/>
    <x v="79"/>
    <n v="3010"/>
    <x v="309"/>
    <n v="4343"/>
    <x v="303"/>
    <s v="2 0"/>
    <n v="32"/>
    <n v="5040"/>
    <x v="430"/>
    <s v="Hourly"/>
    <n v="2"/>
    <n v="1"/>
    <n v="63.53"/>
    <n v="264285"/>
  </r>
  <r>
    <x v="0"/>
    <n v="85"/>
    <x v="38"/>
    <x v="8"/>
    <x v="8"/>
    <n v="1005"/>
    <x v="58"/>
    <x v="3"/>
    <x v="79"/>
    <n v="3010"/>
    <x v="309"/>
    <n v="4343"/>
    <x v="303"/>
    <s v="2 0"/>
    <n v="32"/>
    <n v="5035"/>
    <x v="431"/>
    <s v="Hourly"/>
    <n v="13"/>
    <n v="1"/>
    <n v="57.75"/>
    <n v="1561560"/>
  </r>
  <r>
    <x v="0"/>
    <n v="85"/>
    <x v="38"/>
    <x v="8"/>
    <x v="8"/>
    <n v="1005"/>
    <x v="58"/>
    <x v="3"/>
    <x v="79"/>
    <n v="3010"/>
    <x v="309"/>
    <n v="4343"/>
    <x v="303"/>
    <s v="2 0"/>
    <n v="39"/>
    <n v="4634"/>
    <x v="441"/>
    <s v="Hourly"/>
    <n v="1"/>
    <n v="1"/>
    <n v="54.3"/>
    <n v="112944"/>
  </r>
  <r>
    <x v="0"/>
    <n v="85"/>
    <x v="38"/>
    <x v="8"/>
    <x v="8"/>
    <n v="1005"/>
    <x v="58"/>
    <x v="3"/>
    <x v="79"/>
    <n v="3010"/>
    <x v="309"/>
    <n v="4343"/>
    <x v="303"/>
    <s v="X 43"/>
    <n v="0"/>
    <n v="4543"/>
    <x v="410"/>
    <s v="Annual"/>
    <n v="1"/>
    <n v="1"/>
    <n v="160680"/>
    <n v="160680"/>
  </r>
  <r>
    <x v="0"/>
    <n v="85"/>
    <x v="38"/>
    <x v="8"/>
    <x v="8"/>
    <n v="1005"/>
    <x v="58"/>
    <x v="3"/>
    <x v="79"/>
    <n v="3010"/>
    <x v="309"/>
    <n v="4343"/>
    <x v="303"/>
    <s v="2 0"/>
    <n v="50"/>
    <n v="4301"/>
    <x v="447"/>
    <s v="Hourly"/>
    <n v="1"/>
    <n v="1"/>
    <n v="56.71"/>
    <n v="117957"/>
  </r>
  <r>
    <x v="0"/>
    <n v="85"/>
    <x v="38"/>
    <x v="8"/>
    <x v="8"/>
    <n v="1005"/>
    <x v="58"/>
    <x v="3"/>
    <x v="79"/>
    <n v="3010"/>
    <x v="309"/>
    <n v="4343"/>
    <x v="303"/>
    <s v="B 13"/>
    <n v="1"/>
    <n v="308"/>
    <x v="90"/>
    <s v="Annual"/>
    <n v="1"/>
    <n v="1"/>
    <n v="81324"/>
    <n v="81324"/>
  </r>
  <r>
    <x v="0"/>
    <n v="85"/>
    <x v="38"/>
    <x v="8"/>
    <x v="8"/>
    <n v="1005"/>
    <x v="58"/>
    <x v="3"/>
    <x v="79"/>
    <n v="3010"/>
    <x v="309"/>
    <n v="4343"/>
    <x v="303"/>
    <s v="1 00"/>
    <n v="0"/>
    <n v="15"/>
    <x v="37"/>
    <s v="Annual"/>
    <n v="0"/>
    <n v="0"/>
    <n v="15044"/>
    <n v="15044"/>
  </r>
  <r>
    <x v="0"/>
    <n v="85"/>
    <x v="38"/>
    <x v="8"/>
    <x v="8"/>
    <n v="1005"/>
    <x v="58"/>
    <x v="3"/>
    <x v="79"/>
    <n v="3010"/>
    <x v="309"/>
    <n v="4343"/>
    <x v="303"/>
    <s v="1 00"/>
    <n v="0"/>
    <n v="12"/>
    <x v="291"/>
    <s v="Annual"/>
    <n v="0"/>
    <n v="0"/>
    <n v="41789"/>
    <n v="41789"/>
  </r>
  <r>
    <x v="0"/>
    <n v="85"/>
    <x v="38"/>
    <x v="8"/>
    <x v="8"/>
    <n v="1005"/>
    <x v="58"/>
    <x v="3"/>
    <x v="79"/>
    <n v="3010"/>
    <x v="309"/>
    <n v="4363"/>
    <x v="161"/>
    <s v="BX 17"/>
    <n v="10"/>
    <n v="7007"/>
    <x v="1153"/>
    <s v="Annual"/>
    <n v="1"/>
    <n v="1"/>
    <n v="83052"/>
    <n v="83052"/>
  </r>
  <r>
    <x v="0"/>
    <n v="85"/>
    <x v="38"/>
    <x v="8"/>
    <x v="8"/>
    <n v="1005"/>
    <x v="58"/>
    <x v="3"/>
    <x v="79"/>
    <n v="3010"/>
    <x v="309"/>
    <n v="4363"/>
    <x v="161"/>
    <s v="B 13"/>
    <n v="1"/>
    <n v="6122"/>
    <x v="874"/>
    <s v="Annual"/>
    <n v="1"/>
    <n v="1"/>
    <n v="119100"/>
    <n v="119100"/>
  </r>
  <r>
    <x v="0"/>
    <n v="85"/>
    <x v="38"/>
    <x v="8"/>
    <x v="8"/>
    <n v="1005"/>
    <x v="58"/>
    <x v="3"/>
    <x v="79"/>
    <n v="3010"/>
    <x v="309"/>
    <n v="4363"/>
    <x v="161"/>
    <s v="B 13"/>
    <n v="1"/>
    <n v="6122"/>
    <x v="874"/>
    <s v="Annual"/>
    <n v="1"/>
    <n v="1"/>
    <n v="108576"/>
    <n v="108576"/>
  </r>
  <r>
    <x v="0"/>
    <n v="85"/>
    <x v="38"/>
    <x v="8"/>
    <x v="8"/>
    <n v="1005"/>
    <x v="58"/>
    <x v="3"/>
    <x v="79"/>
    <n v="3010"/>
    <x v="309"/>
    <n v="4363"/>
    <x v="161"/>
    <s v="1 00"/>
    <n v="0"/>
    <n v="15"/>
    <x v="37"/>
    <s v="Annual"/>
    <n v="0"/>
    <n v="0"/>
    <n v="1038"/>
    <n v="1038"/>
  </r>
  <r>
    <x v="0"/>
    <n v="3"/>
    <x v="1"/>
    <x v="9"/>
    <x v="9"/>
    <n v="1005"/>
    <x v="1"/>
    <x v="0"/>
    <x v="1"/>
    <n v="3010"/>
    <x v="16"/>
    <n v="0"/>
    <x v="0"/>
    <s v="X 32"/>
    <n v="9"/>
    <n v="9659"/>
    <x v="45"/>
    <s v="Annual"/>
    <n v="1"/>
    <n v="1"/>
    <n v="175512"/>
    <n v="175512"/>
  </r>
  <r>
    <x v="0"/>
    <n v="3"/>
    <x v="1"/>
    <x v="9"/>
    <x v="9"/>
    <n v="1005"/>
    <x v="1"/>
    <x v="0"/>
    <x v="1"/>
    <n v="3010"/>
    <x v="16"/>
    <n v="0"/>
    <x v="0"/>
    <s v="1 00"/>
    <n v="0"/>
    <n v="15"/>
    <x v="37"/>
    <s v="Annual"/>
    <n v="0"/>
    <n v="0"/>
    <n v="3409"/>
    <n v="3409"/>
  </r>
  <r>
    <x v="0"/>
    <n v="3"/>
    <x v="1"/>
    <x v="9"/>
    <x v="9"/>
    <n v="1005"/>
    <x v="1"/>
    <x v="0"/>
    <x v="1"/>
    <n v="3015"/>
    <x v="17"/>
    <n v="0"/>
    <x v="0"/>
    <s v="GY 08"/>
    <n v="20"/>
    <n v="1368"/>
    <x v="358"/>
    <s v="Annual"/>
    <n v="1"/>
    <n v="1"/>
    <n v="89112"/>
    <n v="89112"/>
  </r>
  <r>
    <x v="0"/>
    <n v="3"/>
    <x v="1"/>
    <x v="9"/>
    <x v="9"/>
    <n v="1005"/>
    <x v="1"/>
    <x v="0"/>
    <x v="1"/>
    <n v="3015"/>
    <x v="17"/>
    <n v="0"/>
    <x v="0"/>
    <s v="1 00"/>
    <n v="0"/>
    <n v="15"/>
    <x v="37"/>
    <s v="Annual"/>
    <n v="0"/>
    <n v="0"/>
    <n v="3370"/>
    <n v="3370"/>
  </r>
  <r>
    <x v="0"/>
    <n v="3"/>
    <x v="1"/>
    <x v="9"/>
    <x v="9"/>
    <n v="1005"/>
    <x v="1"/>
    <x v="0"/>
    <x v="1"/>
    <n v="3020"/>
    <x v="18"/>
    <n v="0"/>
    <x v="0"/>
    <s v="GY 09"/>
    <n v="0"/>
    <n v="1222"/>
    <x v="47"/>
    <s v="Annual"/>
    <n v="1"/>
    <n v="1"/>
    <n v="97332"/>
    <n v="97332"/>
  </r>
  <r>
    <x v="0"/>
    <n v="3"/>
    <x v="1"/>
    <x v="9"/>
    <x v="9"/>
    <n v="1005"/>
    <x v="1"/>
    <x v="0"/>
    <x v="1"/>
    <n v="3020"/>
    <x v="18"/>
    <n v="0"/>
    <x v="0"/>
    <s v="GY 09"/>
    <n v="0"/>
    <n v="1222"/>
    <x v="47"/>
    <s v="Annual"/>
    <n v="1"/>
    <n v="1"/>
    <n v="93156"/>
    <n v="93156"/>
  </r>
  <r>
    <x v="0"/>
    <n v="3"/>
    <x v="1"/>
    <x v="9"/>
    <x v="9"/>
    <n v="1005"/>
    <x v="1"/>
    <x v="0"/>
    <x v="1"/>
    <n v="3020"/>
    <x v="18"/>
    <n v="0"/>
    <x v="0"/>
    <s v="GY 08"/>
    <n v="0"/>
    <n v="1221"/>
    <x v="48"/>
    <s v="Annual"/>
    <n v="2"/>
    <n v="1"/>
    <n v="85236"/>
    <n v="170472"/>
  </r>
  <r>
    <x v="0"/>
    <n v="3"/>
    <x v="1"/>
    <x v="9"/>
    <x v="9"/>
    <n v="1005"/>
    <x v="1"/>
    <x v="0"/>
    <x v="1"/>
    <n v="3020"/>
    <x v="18"/>
    <n v="0"/>
    <x v="0"/>
    <s v="X 33"/>
    <n v="9"/>
    <n v="1213"/>
    <x v="1154"/>
    <s v="Annual"/>
    <n v="1"/>
    <n v="1"/>
    <n v="158508"/>
    <n v="158508"/>
  </r>
  <r>
    <x v="0"/>
    <n v="3"/>
    <x v="1"/>
    <x v="9"/>
    <x v="9"/>
    <n v="1005"/>
    <x v="1"/>
    <x v="0"/>
    <x v="1"/>
    <n v="3020"/>
    <x v="18"/>
    <n v="0"/>
    <x v="0"/>
    <s v="1 00"/>
    <n v="0"/>
    <n v="15"/>
    <x v="37"/>
    <s v="Annual"/>
    <n v="0"/>
    <n v="0"/>
    <n v="6962"/>
    <n v="6962"/>
  </r>
  <r>
    <x v="0"/>
    <n v="3"/>
    <x v="1"/>
    <x v="9"/>
    <x v="9"/>
    <n v="1005"/>
    <x v="1"/>
    <x v="0"/>
    <x v="1"/>
    <n v="3027"/>
    <x v="19"/>
    <n v="0"/>
    <x v="0"/>
    <s v="GY 11"/>
    <n v="20"/>
    <n v="1127"/>
    <x v="54"/>
    <s v="Annual"/>
    <n v="2"/>
    <n v="1"/>
    <n v="129168"/>
    <n v="258336"/>
  </r>
  <r>
    <x v="0"/>
    <n v="3"/>
    <x v="1"/>
    <x v="9"/>
    <x v="9"/>
    <n v="1005"/>
    <x v="1"/>
    <x v="0"/>
    <x v="1"/>
    <n v="3027"/>
    <x v="19"/>
    <n v="0"/>
    <x v="0"/>
    <s v="GY 07"/>
    <n v="20"/>
    <n v="1125"/>
    <x v="51"/>
    <s v="Annual"/>
    <n v="1"/>
    <n v="1"/>
    <n v="82884"/>
    <n v="82884"/>
  </r>
  <r>
    <x v="0"/>
    <n v="3"/>
    <x v="1"/>
    <x v="9"/>
    <x v="9"/>
    <n v="1005"/>
    <x v="1"/>
    <x v="0"/>
    <x v="1"/>
    <n v="3027"/>
    <x v="19"/>
    <n v="0"/>
    <x v="0"/>
    <s v="GY 07"/>
    <n v="20"/>
    <n v="1125"/>
    <x v="51"/>
    <s v="Annual"/>
    <n v="1"/>
    <n v="1"/>
    <n v="79728"/>
    <n v="79728"/>
  </r>
  <r>
    <x v="0"/>
    <n v="3"/>
    <x v="1"/>
    <x v="9"/>
    <x v="9"/>
    <n v="1005"/>
    <x v="1"/>
    <x v="0"/>
    <x v="1"/>
    <n v="3027"/>
    <x v="19"/>
    <n v="0"/>
    <x v="0"/>
    <s v="1 00"/>
    <n v="0"/>
    <n v="15"/>
    <x v="37"/>
    <s v="Annual"/>
    <n v="0"/>
    <n v="0"/>
    <n v="9896"/>
    <n v="9896"/>
  </r>
  <r>
    <x v="0"/>
    <n v="3"/>
    <x v="1"/>
    <x v="9"/>
    <x v="9"/>
    <n v="1005"/>
    <x v="1"/>
    <x v="0"/>
    <x v="1"/>
    <n v="3032"/>
    <x v="20"/>
    <n v="0"/>
    <x v="0"/>
    <s v="GY 08"/>
    <n v="20"/>
    <n v="1126"/>
    <x v="50"/>
    <s v="Annual"/>
    <n v="1"/>
    <n v="1"/>
    <n v="89112"/>
    <n v="89112"/>
  </r>
  <r>
    <x v="0"/>
    <n v="3"/>
    <x v="1"/>
    <x v="9"/>
    <x v="9"/>
    <n v="1005"/>
    <x v="1"/>
    <x v="0"/>
    <x v="1"/>
    <n v="3032"/>
    <x v="20"/>
    <n v="0"/>
    <x v="0"/>
    <s v="1 00"/>
    <n v="0"/>
    <n v="15"/>
    <x v="37"/>
    <s v="Annual"/>
    <n v="0"/>
    <n v="0"/>
    <n v="3876"/>
    <n v="3876"/>
  </r>
  <r>
    <x v="0"/>
    <n v="27"/>
    <x v="7"/>
    <x v="9"/>
    <x v="9"/>
    <n v="1005"/>
    <x v="8"/>
    <x v="2"/>
    <x v="9"/>
    <n v="3019"/>
    <x v="44"/>
    <n v="4054"/>
    <x v="241"/>
    <s v="X 32"/>
    <n v="9"/>
    <n v="9651"/>
    <x v="241"/>
    <s v="Annual"/>
    <n v="1"/>
    <n v="1"/>
    <n v="175512"/>
    <n v="175512"/>
  </r>
  <r>
    <x v="0"/>
    <n v="27"/>
    <x v="7"/>
    <x v="9"/>
    <x v="9"/>
    <n v="1005"/>
    <x v="8"/>
    <x v="2"/>
    <x v="9"/>
    <n v="3019"/>
    <x v="44"/>
    <n v="4054"/>
    <x v="241"/>
    <s v="G 09"/>
    <n v="4"/>
    <n v="194"/>
    <x v="282"/>
    <s v="Annual"/>
    <n v="1"/>
    <n v="1"/>
    <n v="134184"/>
    <n v="134184"/>
  </r>
  <r>
    <x v="0"/>
    <n v="27"/>
    <x v="7"/>
    <x v="9"/>
    <x v="9"/>
    <n v="1005"/>
    <x v="8"/>
    <x v="2"/>
    <x v="9"/>
    <n v="3019"/>
    <x v="44"/>
    <n v="4054"/>
    <x v="241"/>
    <s v="GY 11"/>
    <n v="20"/>
    <n v="187"/>
    <x v="250"/>
    <s v="Annual"/>
    <n v="3"/>
    <n v="1"/>
    <n v="141132"/>
    <n v="423396"/>
  </r>
  <r>
    <x v="0"/>
    <n v="27"/>
    <x v="7"/>
    <x v="9"/>
    <x v="9"/>
    <n v="1005"/>
    <x v="8"/>
    <x v="2"/>
    <x v="9"/>
    <n v="3019"/>
    <x v="44"/>
    <n v="4054"/>
    <x v="241"/>
    <s v="GY 11"/>
    <n v="20"/>
    <n v="187"/>
    <x v="250"/>
    <s v="Annual"/>
    <n v="1"/>
    <n v="1"/>
    <n v="121320"/>
    <n v="121320"/>
  </r>
  <r>
    <x v="0"/>
    <n v="27"/>
    <x v="7"/>
    <x v="9"/>
    <x v="9"/>
    <n v="1005"/>
    <x v="8"/>
    <x v="2"/>
    <x v="9"/>
    <n v="3019"/>
    <x v="44"/>
    <n v="4054"/>
    <x v="241"/>
    <s v="GY 10"/>
    <n v="20"/>
    <n v="120"/>
    <x v="251"/>
    <s v="Annual"/>
    <n v="1"/>
    <n v="1"/>
    <n v="130476"/>
    <n v="130476"/>
  </r>
  <r>
    <x v="0"/>
    <n v="27"/>
    <x v="7"/>
    <x v="9"/>
    <x v="9"/>
    <n v="1005"/>
    <x v="8"/>
    <x v="2"/>
    <x v="9"/>
    <n v="3019"/>
    <x v="44"/>
    <n v="4054"/>
    <x v="241"/>
    <s v="GY 10"/>
    <n v="20"/>
    <n v="120"/>
    <x v="251"/>
    <s v="Annual"/>
    <n v="1"/>
    <n v="1"/>
    <n v="101628"/>
    <n v="101628"/>
  </r>
  <r>
    <x v="0"/>
    <n v="27"/>
    <x v="7"/>
    <x v="9"/>
    <x v="9"/>
    <n v="1005"/>
    <x v="8"/>
    <x v="2"/>
    <x v="9"/>
    <n v="3019"/>
    <x v="44"/>
    <n v="4054"/>
    <x v="241"/>
    <s v="G 07"/>
    <n v="4"/>
    <n v="111"/>
    <x v="245"/>
    <s v="Annual"/>
    <n v="1"/>
    <n v="1"/>
    <n v="122928"/>
    <n v="122928"/>
  </r>
  <r>
    <x v="0"/>
    <n v="27"/>
    <x v="7"/>
    <x v="9"/>
    <x v="9"/>
    <n v="1005"/>
    <x v="8"/>
    <x v="2"/>
    <x v="9"/>
    <n v="3019"/>
    <x v="44"/>
    <n v="4054"/>
    <x v="241"/>
    <s v="G 07"/>
    <n v="4"/>
    <n v="111"/>
    <x v="245"/>
    <s v="Annual"/>
    <n v="1"/>
    <n v="1"/>
    <n v="97488"/>
    <n v="97488"/>
  </r>
  <r>
    <x v="0"/>
    <n v="27"/>
    <x v="7"/>
    <x v="9"/>
    <x v="9"/>
    <n v="1005"/>
    <x v="8"/>
    <x v="2"/>
    <x v="9"/>
    <n v="3019"/>
    <x v="44"/>
    <n v="4054"/>
    <x v="241"/>
    <s v="G 07"/>
    <n v="4"/>
    <n v="111"/>
    <x v="245"/>
    <s v="Annual"/>
    <n v="1"/>
    <n v="1"/>
    <n v="92940"/>
    <n v="92940"/>
  </r>
  <r>
    <x v="0"/>
    <n v="27"/>
    <x v="7"/>
    <x v="9"/>
    <x v="9"/>
    <n v="1005"/>
    <x v="8"/>
    <x v="2"/>
    <x v="9"/>
    <n v="3019"/>
    <x v="44"/>
    <n v="4054"/>
    <x v="241"/>
    <s v="B 13"/>
    <n v="4"/>
    <n v="110"/>
    <x v="93"/>
    <s v="Annual"/>
    <n v="3"/>
    <n v="1"/>
    <n v="119100"/>
    <n v="357300"/>
  </r>
  <r>
    <x v="0"/>
    <n v="27"/>
    <x v="7"/>
    <x v="9"/>
    <x v="9"/>
    <n v="1005"/>
    <x v="8"/>
    <x v="2"/>
    <x v="9"/>
    <n v="3019"/>
    <x v="44"/>
    <n v="4054"/>
    <x v="241"/>
    <s v="B 13"/>
    <n v="4"/>
    <n v="110"/>
    <x v="93"/>
    <s v="Annual"/>
    <n v="1"/>
    <n v="1"/>
    <n v="90144"/>
    <n v="90144"/>
  </r>
  <r>
    <x v="0"/>
    <n v="27"/>
    <x v="7"/>
    <x v="9"/>
    <x v="9"/>
    <n v="1005"/>
    <x v="8"/>
    <x v="2"/>
    <x v="9"/>
    <n v="3019"/>
    <x v="44"/>
    <n v="4054"/>
    <x v="241"/>
    <s v="B 13"/>
    <n v="4"/>
    <n v="110"/>
    <x v="93"/>
    <s v="Annual"/>
    <n v="1"/>
    <n v="1"/>
    <n v="85200"/>
    <n v="85200"/>
  </r>
  <r>
    <x v="0"/>
    <n v="27"/>
    <x v="7"/>
    <x v="9"/>
    <x v="9"/>
    <n v="1005"/>
    <x v="8"/>
    <x v="2"/>
    <x v="9"/>
    <n v="3019"/>
    <x v="44"/>
    <n v="4054"/>
    <x v="241"/>
    <s v="B 13"/>
    <n v="4"/>
    <n v="110"/>
    <x v="93"/>
    <s v="Annual"/>
    <n v="1"/>
    <n v="1"/>
    <n v="77640"/>
    <n v="77640"/>
  </r>
  <r>
    <x v="0"/>
    <n v="27"/>
    <x v="7"/>
    <x v="9"/>
    <x v="9"/>
    <n v="1005"/>
    <x v="8"/>
    <x v="2"/>
    <x v="9"/>
    <n v="3019"/>
    <x v="44"/>
    <n v="4054"/>
    <x v="241"/>
    <s v="B 13"/>
    <n v="4"/>
    <n v="110"/>
    <x v="93"/>
    <s v="Annual"/>
    <n v="1"/>
    <n v="1"/>
    <n v="74172"/>
    <n v="74172"/>
  </r>
  <r>
    <x v="0"/>
    <n v="27"/>
    <x v="7"/>
    <x v="9"/>
    <x v="9"/>
    <n v="1005"/>
    <x v="8"/>
    <x v="2"/>
    <x v="9"/>
    <n v="3019"/>
    <x v="44"/>
    <n v="4054"/>
    <x v="241"/>
    <s v="B 13"/>
    <n v="4"/>
    <n v="110"/>
    <x v="93"/>
    <s v="Annual"/>
    <n v="1"/>
    <n v="1"/>
    <n v="70752"/>
    <n v="70752"/>
  </r>
  <r>
    <x v="0"/>
    <n v="27"/>
    <x v="7"/>
    <x v="9"/>
    <x v="9"/>
    <n v="1005"/>
    <x v="8"/>
    <x v="2"/>
    <x v="9"/>
    <n v="3019"/>
    <x v="44"/>
    <n v="4054"/>
    <x v="241"/>
    <s v="B 13"/>
    <n v="4"/>
    <n v="110"/>
    <x v="93"/>
    <s v="Annual"/>
    <n v="1"/>
    <n v="1"/>
    <n v="68616"/>
    <n v="68616"/>
  </r>
  <r>
    <x v="0"/>
    <n v="27"/>
    <x v="7"/>
    <x v="9"/>
    <x v="9"/>
    <n v="1005"/>
    <x v="8"/>
    <x v="2"/>
    <x v="9"/>
    <n v="3019"/>
    <x v="44"/>
    <n v="4054"/>
    <x v="241"/>
    <s v="X 33"/>
    <n v="0"/>
    <n v="105"/>
    <x v="252"/>
    <s v="Annual"/>
    <n v="1"/>
    <n v="1"/>
    <n v="158508"/>
    <n v="158508"/>
  </r>
  <r>
    <x v="0"/>
    <n v="27"/>
    <x v="7"/>
    <x v="9"/>
    <x v="9"/>
    <n v="1005"/>
    <x v="8"/>
    <x v="2"/>
    <x v="9"/>
    <n v="3019"/>
    <x v="44"/>
    <n v="4054"/>
    <x v="241"/>
    <s v="1 00"/>
    <n v="0"/>
    <n v="15"/>
    <x v="37"/>
    <s v="Annual"/>
    <n v="0"/>
    <n v="0"/>
    <n v="33551"/>
    <n v="33551"/>
  </r>
  <r>
    <x v="0"/>
    <n v="27"/>
    <x v="7"/>
    <x v="9"/>
    <x v="9"/>
    <n v="1005"/>
    <x v="8"/>
    <x v="5"/>
    <x v="10"/>
    <n v="3016"/>
    <x v="45"/>
    <n v="4006"/>
    <x v="6"/>
    <s v="B 12"/>
    <n v="1"/>
    <n v="801"/>
    <x v="639"/>
    <s v="Annual"/>
    <n v="1"/>
    <n v="1"/>
    <n v="103608"/>
    <n v="103608"/>
  </r>
  <r>
    <x v="0"/>
    <n v="27"/>
    <x v="7"/>
    <x v="9"/>
    <x v="9"/>
    <n v="1005"/>
    <x v="8"/>
    <x v="5"/>
    <x v="10"/>
    <n v="3016"/>
    <x v="45"/>
    <n v="4006"/>
    <x v="6"/>
    <s v="GY 07"/>
    <n v="10"/>
    <n v="144"/>
    <x v="929"/>
    <s v="Annual"/>
    <n v="1"/>
    <n v="1"/>
    <n v="76020"/>
    <n v="76020"/>
  </r>
  <r>
    <x v="0"/>
    <n v="27"/>
    <x v="7"/>
    <x v="9"/>
    <x v="9"/>
    <n v="1005"/>
    <x v="8"/>
    <x v="5"/>
    <x v="10"/>
    <n v="3016"/>
    <x v="45"/>
    <n v="4006"/>
    <x v="6"/>
    <s v="1 00"/>
    <n v="0"/>
    <n v="15"/>
    <x v="37"/>
    <s v="Annual"/>
    <n v="0"/>
    <n v="0"/>
    <n v="3859"/>
    <n v="3859"/>
  </r>
  <r>
    <x v="0"/>
    <n v="27"/>
    <x v="7"/>
    <x v="9"/>
    <x v="9"/>
    <n v="1005"/>
    <x v="8"/>
    <x v="5"/>
    <x v="10"/>
    <n v="3016"/>
    <x v="45"/>
    <n v="4080"/>
    <x v="9"/>
    <s v="B 14"/>
    <n v="3"/>
    <n v="1711"/>
    <x v="263"/>
    <s v="Annual"/>
    <n v="1"/>
    <n v="1"/>
    <n v="77640"/>
    <n v="77640"/>
  </r>
  <r>
    <x v="0"/>
    <n v="27"/>
    <x v="7"/>
    <x v="9"/>
    <x v="9"/>
    <n v="1005"/>
    <x v="8"/>
    <x v="5"/>
    <x v="10"/>
    <n v="3016"/>
    <x v="45"/>
    <n v="4080"/>
    <x v="9"/>
    <s v="BX 18"/>
    <n v="10"/>
    <n v="310"/>
    <x v="135"/>
    <s v="Annual"/>
    <n v="1"/>
    <n v="1"/>
    <n v="97836"/>
    <n v="97836"/>
  </r>
  <r>
    <x v="0"/>
    <n v="27"/>
    <x v="7"/>
    <x v="9"/>
    <x v="9"/>
    <n v="1005"/>
    <x v="8"/>
    <x v="5"/>
    <x v="10"/>
    <n v="3016"/>
    <x v="45"/>
    <n v="4080"/>
    <x v="9"/>
    <s v="X 33"/>
    <n v="0"/>
    <n v="105"/>
    <x v="252"/>
    <s v="Annual"/>
    <n v="1"/>
    <n v="1"/>
    <n v="121668"/>
    <n v="121668"/>
  </r>
  <r>
    <x v="0"/>
    <n v="27"/>
    <x v="7"/>
    <x v="9"/>
    <x v="9"/>
    <n v="1005"/>
    <x v="8"/>
    <x v="5"/>
    <x v="10"/>
    <n v="3016"/>
    <x v="45"/>
    <n v="4080"/>
    <x v="9"/>
    <s v="1 00"/>
    <n v="0"/>
    <n v="15"/>
    <x v="37"/>
    <s v="Annual"/>
    <n v="0"/>
    <n v="0"/>
    <n v="4539"/>
    <n v="4539"/>
  </r>
  <r>
    <x v="0"/>
    <n v="27"/>
    <x v="7"/>
    <x v="9"/>
    <x v="9"/>
    <n v="1005"/>
    <x v="8"/>
    <x v="5"/>
    <x v="10"/>
    <n v="3016"/>
    <x v="45"/>
    <n v="4089"/>
    <x v="10"/>
    <s v="BX 15"/>
    <n v="10"/>
    <n v="1203"/>
    <x v="267"/>
    <s v="Annual"/>
    <n v="1"/>
    <n v="1"/>
    <n v="83052"/>
    <n v="83052"/>
  </r>
  <r>
    <x v="0"/>
    <n v="27"/>
    <x v="7"/>
    <x v="9"/>
    <x v="9"/>
    <n v="1005"/>
    <x v="8"/>
    <x v="5"/>
    <x v="10"/>
    <n v="3017"/>
    <x v="46"/>
    <n v="4026"/>
    <x v="11"/>
    <s v="G 07"/>
    <n v="4"/>
    <n v="193"/>
    <x v="244"/>
    <s v="Annual"/>
    <n v="1"/>
    <n v="1"/>
    <n v="90144"/>
    <n v="90144"/>
  </r>
  <r>
    <x v="0"/>
    <n v="27"/>
    <x v="7"/>
    <x v="9"/>
    <x v="9"/>
    <n v="1005"/>
    <x v="8"/>
    <x v="5"/>
    <x v="10"/>
    <n v="3017"/>
    <x v="46"/>
    <n v="4026"/>
    <x v="11"/>
    <s v="B 11"/>
    <n v="1"/>
    <n v="109"/>
    <x v="94"/>
    <s v="Annual"/>
    <n v="1"/>
    <n v="1"/>
    <n v="74916"/>
    <n v="74916"/>
  </r>
  <r>
    <x v="0"/>
    <n v="27"/>
    <x v="7"/>
    <x v="9"/>
    <x v="9"/>
    <n v="1005"/>
    <x v="8"/>
    <x v="5"/>
    <x v="10"/>
    <n v="3017"/>
    <x v="46"/>
    <n v="4026"/>
    <x v="11"/>
    <s v="B 11"/>
    <n v="1"/>
    <n v="109"/>
    <x v="94"/>
    <s v="Annual"/>
    <n v="1"/>
    <n v="1"/>
    <n v="57000"/>
    <n v="57000"/>
  </r>
  <r>
    <x v="0"/>
    <n v="27"/>
    <x v="7"/>
    <x v="9"/>
    <x v="9"/>
    <n v="1005"/>
    <x v="8"/>
    <x v="5"/>
    <x v="10"/>
    <n v="3017"/>
    <x v="46"/>
    <n v="4026"/>
    <x v="11"/>
    <s v="X 33"/>
    <n v="0"/>
    <n v="105"/>
    <x v="252"/>
    <s v="Annual"/>
    <n v="1"/>
    <n v="1"/>
    <n v="153384"/>
    <n v="153384"/>
  </r>
  <r>
    <x v="0"/>
    <n v="27"/>
    <x v="7"/>
    <x v="9"/>
    <x v="9"/>
    <n v="1005"/>
    <x v="8"/>
    <x v="5"/>
    <x v="10"/>
    <n v="3017"/>
    <x v="46"/>
    <n v="4026"/>
    <x v="11"/>
    <s v="1 00"/>
    <n v="0"/>
    <n v="15"/>
    <x v="37"/>
    <s v="Annual"/>
    <n v="0"/>
    <n v="0"/>
    <n v="2989"/>
    <n v="2989"/>
  </r>
  <r>
    <x v="0"/>
    <n v="28"/>
    <x v="8"/>
    <x v="9"/>
    <x v="9"/>
    <n v="1005"/>
    <x v="9"/>
    <x v="0"/>
    <x v="12"/>
    <n v="3010"/>
    <x v="51"/>
    <n v="0"/>
    <x v="0"/>
    <s v="X 22"/>
    <n v="9"/>
    <n v="9673"/>
    <x v="314"/>
    <s v="Annual"/>
    <n v="1"/>
    <n v="1"/>
    <n v="177384"/>
    <n v="177384"/>
  </r>
  <r>
    <x v="0"/>
    <n v="28"/>
    <x v="8"/>
    <x v="9"/>
    <x v="9"/>
    <n v="1005"/>
    <x v="9"/>
    <x v="0"/>
    <x v="12"/>
    <n v="3010"/>
    <x v="51"/>
    <n v="0"/>
    <x v="0"/>
    <s v="3 00"/>
    <n v="10"/>
    <n v="340"/>
    <x v="311"/>
    <s v="Annual"/>
    <n v="1"/>
    <n v="1"/>
    <n v="97704"/>
    <n v="97704"/>
  </r>
  <r>
    <x v="0"/>
    <n v="28"/>
    <x v="8"/>
    <x v="9"/>
    <x v="9"/>
    <n v="1005"/>
    <x v="9"/>
    <x v="0"/>
    <x v="12"/>
    <n v="3015"/>
    <x v="52"/>
    <n v="0"/>
    <x v="0"/>
    <s v="BX 16"/>
    <n v="10"/>
    <n v="802"/>
    <x v="30"/>
    <s v="Annual"/>
    <n v="1"/>
    <n v="1"/>
    <n v="80124"/>
    <n v="80124"/>
  </r>
  <r>
    <x v="0"/>
    <n v="28"/>
    <x v="8"/>
    <x v="9"/>
    <x v="9"/>
    <n v="1005"/>
    <x v="9"/>
    <x v="0"/>
    <x v="12"/>
    <n v="3015"/>
    <x v="52"/>
    <n v="0"/>
    <x v="0"/>
    <s v="G 07"/>
    <n v="1"/>
    <n v="242"/>
    <x v="313"/>
    <s v="Annual"/>
    <n v="1"/>
    <n v="1"/>
    <n v="122928"/>
    <n v="122928"/>
  </r>
  <r>
    <x v="0"/>
    <n v="28"/>
    <x v="8"/>
    <x v="9"/>
    <x v="9"/>
    <n v="1005"/>
    <x v="9"/>
    <x v="0"/>
    <x v="12"/>
    <n v="3015"/>
    <x v="52"/>
    <n v="0"/>
    <x v="0"/>
    <s v="G 07"/>
    <n v="4"/>
    <n v="111"/>
    <x v="245"/>
    <s v="Annual"/>
    <n v="1"/>
    <n v="1"/>
    <n v="129636"/>
    <n v="129636"/>
  </r>
  <r>
    <x v="0"/>
    <n v="28"/>
    <x v="8"/>
    <x v="9"/>
    <x v="9"/>
    <n v="1005"/>
    <x v="9"/>
    <x v="0"/>
    <x v="12"/>
    <n v="3015"/>
    <x v="52"/>
    <n v="0"/>
    <x v="0"/>
    <s v="G 07"/>
    <n v="4"/>
    <n v="111"/>
    <x v="245"/>
    <s v="Annual"/>
    <n v="1"/>
    <n v="1"/>
    <n v="107628"/>
    <n v="107628"/>
  </r>
  <r>
    <x v="0"/>
    <n v="28"/>
    <x v="8"/>
    <x v="9"/>
    <x v="9"/>
    <n v="1005"/>
    <x v="9"/>
    <x v="0"/>
    <x v="12"/>
    <n v="3015"/>
    <x v="52"/>
    <n v="0"/>
    <x v="0"/>
    <s v="B 13"/>
    <n v="4"/>
    <n v="110"/>
    <x v="93"/>
    <s v="Annual"/>
    <n v="1"/>
    <n v="1"/>
    <n v="119100"/>
    <n v="119100"/>
  </r>
  <r>
    <x v="0"/>
    <n v="28"/>
    <x v="8"/>
    <x v="9"/>
    <x v="9"/>
    <n v="1005"/>
    <x v="9"/>
    <x v="0"/>
    <x v="12"/>
    <n v="3015"/>
    <x v="52"/>
    <n v="0"/>
    <x v="0"/>
    <s v="1 00"/>
    <n v="0"/>
    <n v="15"/>
    <x v="37"/>
    <s v="Annual"/>
    <n v="0"/>
    <n v="0"/>
    <n v="2889"/>
    <n v="2889"/>
  </r>
  <r>
    <x v="0"/>
    <n v="28"/>
    <x v="8"/>
    <x v="9"/>
    <x v="9"/>
    <n v="1005"/>
    <x v="9"/>
    <x v="0"/>
    <x v="12"/>
    <n v="3020"/>
    <x v="22"/>
    <n v="0"/>
    <x v="0"/>
    <s v="3 00"/>
    <n v="10"/>
    <n v="340"/>
    <x v="311"/>
    <s v="Annual"/>
    <n v="1"/>
    <n v="1"/>
    <n v="68004"/>
    <n v="68004"/>
  </r>
  <r>
    <x v="0"/>
    <n v="28"/>
    <x v="8"/>
    <x v="9"/>
    <x v="9"/>
    <n v="1005"/>
    <x v="9"/>
    <x v="0"/>
    <x v="12"/>
    <n v="3025"/>
    <x v="246"/>
    <n v="0"/>
    <x v="0"/>
    <s v="G 07"/>
    <n v="1"/>
    <n v="242"/>
    <x v="313"/>
    <s v="Annual"/>
    <n v="1"/>
    <n v="1"/>
    <n v="122928"/>
    <n v="122928"/>
  </r>
  <r>
    <x v="0"/>
    <n v="28"/>
    <x v="8"/>
    <x v="9"/>
    <x v="9"/>
    <n v="1005"/>
    <x v="9"/>
    <x v="0"/>
    <x v="12"/>
    <n v="3025"/>
    <x v="246"/>
    <n v="0"/>
    <x v="0"/>
    <s v="1 00"/>
    <n v="0"/>
    <n v="15"/>
    <x v="37"/>
    <s v="Annual"/>
    <n v="0"/>
    <n v="0"/>
    <n v="813"/>
    <n v="813"/>
  </r>
  <r>
    <x v="0"/>
    <n v="31"/>
    <x v="10"/>
    <x v="9"/>
    <x v="9"/>
    <n v="1005"/>
    <x v="11"/>
    <x v="0"/>
    <x v="14"/>
    <n v="3022"/>
    <x v="60"/>
    <n v="4008"/>
    <x v="36"/>
    <s v="BX 13"/>
    <n v="10"/>
    <n v="1623"/>
    <x v="347"/>
    <s v="Annual"/>
    <n v="1"/>
    <n v="1"/>
    <n v="57852"/>
    <n v="57852"/>
  </r>
  <r>
    <x v="0"/>
    <n v="31"/>
    <x v="10"/>
    <x v="9"/>
    <x v="9"/>
    <n v="1005"/>
    <x v="11"/>
    <x v="0"/>
    <x v="14"/>
    <n v="3022"/>
    <x v="60"/>
    <n v="4008"/>
    <x v="36"/>
    <s v="1 00"/>
    <n v="0"/>
    <n v="15"/>
    <x v="37"/>
    <s v="Annual"/>
    <n v="0"/>
    <n v="0"/>
    <n v="1404"/>
    <n v="1404"/>
  </r>
  <r>
    <x v="0"/>
    <n v="31"/>
    <x v="10"/>
    <x v="9"/>
    <x v="9"/>
    <n v="1005"/>
    <x v="11"/>
    <x v="0"/>
    <x v="14"/>
    <n v="3028"/>
    <x v="62"/>
    <n v="4014"/>
    <x v="304"/>
    <s v="LX 03"/>
    <n v="9"/>
    <n v="1658"/>
    <x v="1155"/>
    <s v="Annual"/>
    <n v="1"/>
    <n v="1"/>
    <n v="184800"/>
    <n v="184800"/>
  </r>
  <r>
    <x v="0"/>
    <n v="31"/>
    <x v="10"/>
    <x v="9"/>
    <x v="9"/>
    <n v="1005"/>
    <x v="11"/>
    <x v="0"/>
    <x v="14"/>
    <n v="3028"/>
    <x v="62"/>
    <n v="4014"/>
    <x v="304"/>
    <s v="LX 03"/>
    <n v="9"/>
    <n v="1652"/>
    <x v="336"/>
    <s v="Annual"/>
    <n v="1"/>
    <n v="1"/>
    <n v="173160"/>
    <n v="173160"/>
  </r>
  <r>
    <x v="0"/>
    <n v="31"/>
    <x v="10"/>
    <x v="9"/>
    <x v="9"/>
    <n v="1005"/>
    <x v="11"/>
    <x v="0"/>
    <x v="14"/>
    <n v="3028"/>
    <x v="62"/>
    <n v="4014"/>
    <x v="304"/>
    <s v="LX 02"/>
    <n v="9"/>
    <n v="1649"/>
    <x v="1156"/>
    <s v="Annual"/>
    <n v="1"/>
    <n v="1"/>
    <n v="212784"/>
    <n v="212784"/>
  </r>
  <r>
    <x v="0"/>
    <n v="31"/>
    <x v="10"/>
    <x v="9"/>
    <x v="9"/>
    <n v="1005"/>
    <x v="11"/>
    <x v="0"/>
    <x v="14"/>
    <n v="3028"/>
    <x v="62"/>
    <n v="4014"/>
    <x v="304"/>
    <s v="1 00"/>
    <n v="0"/>
    <n v="15"/>
    <x v="37"/>
    <s v="Annual"/>
    <n v="0"/>
    <n v="0"/>
    <n v="4405"/>
    <n v="4405"/>
  </r>
  <r>
    <x v="0"/>
    <n v="31"/>
    <x v="10"/>
    <x v="9"/>
    <x v="9"/>
    <n v="1005"/>
    <x v="11"/>
    <x v="0"/>
    <x v="14"/>
    <n v="3038"/>
    <x v="66"/>
    <n v="4034"/>
    <x v="297"/>
    <s v="BX 15"/>
    <n v="0"/>
    <n v="1689"/>
    <x v="324"/>
    <s v="Annual"/>
    <n v="1"/>
    <n v="1"/>
    <n v="113568"/>
    <n v="113568"/>
  </r>
  <r>
    <x v="0"/>
    <n v="31"/>
    <x v="10"/>
    <x v="9"/>
    <x v="9"/>
    <n v="1005"/>
    <x v="11"/>
    <x v="0"/>
    <x v="14"/>
    <n v="3038"/>
    <x v="66"/>
    <n v="4034"/>
    <x v="297"/>
    <s v="L 02"/>
    <n v="9"/>
    <n v="1672"/>
    <x v="346"/>
    <s v="Annual"/>
    <n v="1"/>
    <n v="1"/>
    <n v="108084"/>
    <n v="108084"/>
  </r>
  <r>
    <x v="0"/>
    <n v="31"/>
    <x v="10"/>
    <x v="9"/>
    <x v="9"/>
    <n v="1005"/>
    <x v="11"/>
    <x v="0"/>
    <x v="14"/>
    <n v="3038"/>
    <x v="66"/>
    <n v="4034"/>
    <x v="297"/>
    <s v="L 02"/>
    <n v="9"/>
    <n v="1672"/>
    <x v="346"/>
    <s v="Annual"/>
    <n v="3"/>
    <n v="1"/>
    <n v="98484"/>
    <n v="295452"/>
  </r>
  <r>
    <x v="0"/>
    <n v="31"/>
    <x v="10"/>
    <x v="9"/>
    <x v="9"/>
    <n v="1005"/>
    <x v="11"/>
    <x v="0"/>
    <x v="14"/>
    <n v="3038"/>
    <x v="66"/>
    <n v="4034"/>
    <x v="297"/>
    <s v="L 02"/>
    <n v="9"/>
    <n v="1672"/>
    <x v="346"/>
    <s v="Annual"/>
    <n v="2"/>
    <n v="1"/>
    <n v="81816"/>
    <n v="163632"/>
  </r>
  <r>
    <x v="0"/>
    <n v="31"/>
    <x v="10"/>
    <x v="9"/>
    <x v="9"/>
    <n v="1005"/>
    <x v="11"/>
    <x v="0"/>
    <x v="14"/>
    <n v="3038"/>
    <x v="66"/>
    <n v="4034"/>
    <x v="297"/>
    <s v="LX 02"/>
    <n v="9"/>
    <n v="1650"/>
    <x v="328"/>
    <s v="Annual"/>
    <n v="1"/>
    <n v="1"/>
    <n v="192852"/>
    <n v="192852"/>
  </r>
  <r>
    <x v="0"/>
    <n v="31"/>
    <x v="10"/>
    <x v="9"/>
    <x v="9"/>
    <n v="1005"/>
    <x v="11"/>
    <x v="0"/>
    <x v="14"/>
    <n v="3038"/>
    <x v="66"/>
    <n v="4034"/>
    <x v="297"/>
    <s v="L 05"/>
    <n v="9"/>
    <n v="1641"/>
    <x v="337"/>
    <s v="Annual"/>
    <n v="2"/>
    <n v="1"/>
    <n v="164100"/>
    <n v="328200"/>
  </r>
  <r>
    <x v="0"/>
    <n v="31"/>
    <x v="10"/>
    <x v="9"/>
    <x v="9"/>
    <n v="1005"/>
    <x v="11"/>
    <x v="0"/>
    <x v="14"/>
    <n v="3038"/>
    <x v="66"/>
    <n v="4034"/>
    <x v="297"/>
    <s v="L 05"/>
    <n v="9"/>
    <n v="1641"/>
    <x v="337"/>
    <s v="Annual"/>
    <n v="1"/>
    <n v="1"/>
    <n v="156648"/>
    <n v="156648"/>
  </r>
  <r>
    <x v="0"/>
    <n v="31"/>
    <x v="10"/>
    <x v="9"/>
    <x v="9"/>
    <n v="1005"/>
    <x v="11"/>
    <x v="0"/>
    <x v="14"/>
    <n v="3038"/>
    <x v="66"/>
    <n v="4034"/>
    <x v="297"/>
    <s v="L 05"/>
    <n v="9"/>
    <n v="1641"/>
    <x v="337"/>
    <s v="Annual"/>
    <n v="1"/>
    <n v="1"/>
    <n v="136284"/>
    <n v="136284"/>
  </r>
  <r>
    <x v="0"/>
    <n v="31"/>
    <x v="10"/>
    <x v="9"/>
    <x v="9"/>
    <n v="1005"/>
    <x v="11"/>
    <x v="0"/>
    <x v="14"/>
    <n v="3038"/>
    <x v="66"/>
    <n v="4034"/>
    <x v="297"/>
    <s v="L 05"/>
    <n v="9"/>
    <n v="1641"/>
    <x v="337"/>
    <s v="Annual"/>
    <n v="2"/>
    <n v="1"/>
    <n v="130128"/>
    <n v="260256"/>
  </r>
  <r>
    <x v="0"/>
    <n v="31"/>
    <x v="10"/>
    <x v="9"/>
    <x v="9"/>
    <n v="1005"/>
    <x v="11"/>
    <x v="0"/>
    <x v="14"/>
    <n v="3038"/>
    <x v="66"/>
    <n v="4034"/>
    <x v="297"/>
    <s v="B 12"/>
    <n v="1"/>
    <n v="863"/>
    <x v="349"/>
    <s v="Annual"/>
    <n v="1"/>
    <n v="1"/>
    <n v="67608"/>
    <n v="67608"/>
  </r>
  <r>
    <x v="0"/>
    <n v="31"/>
    <x v="10"/>
    <x v="9"/>
    <x v="9"/>
    <n v="1005"/>
    <x v="11"/>
    <x v="0"/>
    <x v="14"/>
    <n v="3038"/>
    <x v="66"/>
    <n v="4034"/>
    <x v="297"/>
    <s v="1 00"/>
    <n v="0"/>
    <n v="15"/>
    <x v="37"/>
    <s v="Annual"/>
    <n v="0"/>
    <n v="0"/>
    <n v="6891"/>
    <n v="6891"/>
  </r>
  <r>
    <x v="0"/>
    <n v="31"/>
    <x v="10"/>
    <x v="9"/>
    <x v="9"/>
    <n v="1005"/>
    <x v="11"/>
    <x v="0"/>
    <x v="14"/>
    <n v="3707"/>
    <x v="56"/>
    <n v="0"/>
    <x v="0"/>
    <s v="L 03"/>
    <n v="9"/>
    <n v="1673"/>
    <x v="335"/>
    <s v="Annual"/>
    <n v="1"/>
    <n v="1"/>
    <n v="118596"/>
    <n v="118596"/>
  </r>
  <r>
    <x v="0"/>
    <n v="31"/>
    <x v="10"/>
    <x v="9"/>
    <x v="9"/>
    <n v="1005"/>
    <x v="11"/>
    <x v="0"/>
    <x v="14"/>
    <n v="3749"/>
    <x v="71"/>
    <n v="0"/>
    <x v="0"/>
    <s v="L 01"/>
    <n v="9"/>
    <n v="1643"/>
    <x v="340"/>
    <s v="Annual"/>
    <n v="1"/>
    <n v="1"/>
    <n v="130128"/>
    <n v="130128"/>
  </r>
  <r>
    <x v="0"/>
    <n v="33"/>
    <x v="11"/>
    <x v="9"/>
    <x v="9"/>
    <n v="1005"/>
    <x v="12"/>
    <x v="0"/>
    <x v="15"/>
    <n v="3040"/>
    <x v="78"/>
    <n v="4045"/>
    <x v="48"/>
    <s v="G 04"/>
    <n v="1"/>
    <n v="1370"/>
    <x v="369"/>
    <s v="Annual"/>
    <n v="1"/>
    <n v="1"/>
    <n v="98460"/>
    <n v="98460"/>
  </r>
  <r>
    <x v="0"/>
    <n v="33"/>
    <x v="11"/>
    <x v="9"/>
    <x v="9"/>
    <n v="1005"/>
    <x v="12"/>
    <x v="0"/>
    <x v="15"/>
    <n v="3040"/>
    <x v="78"/>
    <n v="4046"/>
    <x v="49"/>
    <s v="G 05"/>
    <n v="1"/>
    <n v="1357"/>
    <x v="378"/>
    <s v="Annual"/>
    <n v="1"/>
    <n v="1"/>
    <n v="80196"/>
    <n v="80196"/>
  </r>
  <r>
    <x v="0"/>
    <n v="33"/>
    <x v="11"/>
    <x v="9"/>
    <x v="9"/>
    <n v="1005"/>
    <x v="12"/>
    <x v="0"/>
    <x v="15"/>
    <n v="3040"/>
    <x v="78"/>
    <n v="4046"/>
    <x v="49"/>
    <s v="GY 07"/>
    <n v="20"/>
    <n v="1347"/>
    <x v="362"/>
    <s v="Annual"/>
    <n v="1"/>
    <n v="1"/>
    <n v="76020"/>
    <n v="76020"/>
  </r>
  <r>
    <x v="0"/>
    <n v="33"/>
    <x v="11"/>
    <x v="9"/>
    <x v="9"/>
    <n v="1005"/>
    <x v="12"/>
    <x v="0"/>
    <x v="15"/>
    <n v="3040"/>
    <x v="78"/>
    <n v="4046"/>
    <x v="49"/>
    <s v="1 00"/>
    <n v="0"/>
    <n v="15"/>
    <x v="37"/>
    <s v="Annual"/>
    <n v="0"/>
    <n v="0"/>
    <n v="3078"/>
    <n v="3078"/>
  </r>
  <r>
    <x v="0"/>
    <n v="33"/>
    <x v="11"/>
    <x v="9"/>
    <x v="9"/>
    <n v="1005"/>
    <x v="12"/>
    <x v="0"/>
    <x v="15"/>
    <n v="3720"/>
    <x v="78"/>
    <n v="0"/>
    <x v="0"/>
    <s v="G 08"/>
    <n v="4"/>
    <n v="1380"/>
    <x v="376"/>
    <s v="Annual"/>
    <n v="2"/>
    <n v="1"/>
    <n v="141564"/>
    <n v="283128"/>
  </r>
  <r>
    <x v="0"/>
    <n v="35"/>
    <x v="12"/>
    <x v="9"/>
    <x v="9"/>
    <n v="1005"/>
    <x v="13"/>
    <x v="0"/>
    <x v="16"/>
    <n v="3006"/>
    <x v="80"/>
    <n v="4006"/>
    <x v="23"/>
    <s v="GY 12"/>
    <n v="20"/>
    <n v="1633"/>
    <x v="394"/>
    <s v="Annual"/>
    <n v="1"/>
    <n v="1"/>
    <n v="131124"/>
    <n v="131124"/>
  </r>
  <r>
    <x v="0"/>
    <n v="35"/>
    <x v="12"/>
    <x v="9"/>
    <x v="9"/>
    <n v="1005"/>
    <x v="13"/>
    <x v="0"/>
    <x v="16"/>
    <n v="3006"/>
    <x v="80"/>
    <n v="4006"/>
    <x v="23"/>
    <s v="1 00"/>
    <n v="0"/>
    <n v="15"/>
    <x v="37"/>
    <s v="Annual"/>
    <n v="0"/>
    <n v="0"/>
    <n v="2310"/>
    <n v="2310"/>
  </r>
  <r>
    <x v="0"/>
    <n v="35"/>
    <x v="12"/>
    <x v="9"/>
    <x v="9"/>
    <n v="1005"/>
    <x v="13"/>
    <x v="0"/>
    <x v="16"/>
    <n v="3012"/>
    <x v="81"/>
    <n v="4008"/>
    <x v="55"/>
    <s v="BX 18"/>
    <n v="0"/>
    <n v="1508"/>
    <x v="395"/>
    <s v="Annual"/>
    <n v="1"/>
    <n v="1"/>
    <n v="89112"/>
    <n v="89112"/>
  </r>
  <r>
    <x v="0"/>
    <n v="35"/>
    <x v="12"/>
    <x v="9"/>
    <x v="9"/>
    <n v="1005"/>
    <x v="13"/>
    <x v="0"/>
    <x v="16"/>
    <n v="3012"/>
    <x v="81"/>
    <n v="4008"/>
    <x v="55"/>
    <s v="B 15"/>
    <n v="1"/>
    <n v="1507"/>
    <x v="396"/>
    <s v="Annual"/>
    <n v="1"/>
    <n v="1"/>
    <n v="108576"/>
    <n v="108576"/>
  </r>
  <r>
    <x v="0"/>
    <n v="35"/>
    <x v="12"/>
    <x v="9"/>
    <x v="9"/>
    <n v="1005"/>
    <x v="13"/>
    <x v="0"/>
    <x v="16"/>
    <n v="3012"/>
    <x v="81"/>
    <n v="4008"/>
    <x v="55"/>
    <s v="1 00"/>
    <n v="0"/>
    <n v="15"/>
    <x v="37"/>
    <s v="Annual"/>
    <n v="0"/>
    <n v="0"/>
    <n v="2136"/>
    <n v="2136"/>
  </r>
  <r>
    <x v="0"/>
    <n v="35"/>
    <x v="12"/>
    <x v="9"/>
    <x v="9"/>
    <n v="1005"/>
    <x v="13"/>
    <x v="0"/>
    <x v="16"/>
    <n v="3012"/>
    <x v="81"/>
    <n v="4026"/>
    <x v="56"/>
    <s v="B 12"/>
    <n v="1"/>
    <s v="03A8"/>
    <x v="88"/>
    <s v="Annual"/>
    <n v="1"/>
    <n v="1"/>
    <n v="62544"/>
    <n v="62544"/>
  </r>
  <r>
    <x v="0"/>
    <n v="35"/>
    <x v="12"/>
    <x v="9"/>
    <x v="9"/>
    <n v="1005"/>
    <x v="13"/>
    <x v="0"/>
    <x v="16"/>
    <n v="3012"/>
    <x v="81"/>
    <n v="4026"/>
    <x v="56"/>
    <s v="B 10"/>
    <n v="1"/>
    <s v="03A7"/>
    <x v="4"/>
    <s v="Annual"/>
    <n v="1"/>
    <n v="1"/>
    <n v="56124"/>
    <n v="56124"/>
  </r>
  <r>
    <x v="0"/>
    <n v="35"/>
    <x v="12"/>
    <x v="9"/>
    <x v="9"/>
    <n v="1005"/>
    <x v="13"/>
    <x v="0"/>
    <x v="16"/>
    <n v="3012"/>
    <x v="81"/>
    <n v="4026"/>
    <x v="56"/>
    <s v="B 10"/>
    <n v="1"/>
    <s v="03A7"/>
    <x v="4"/>
    <s v="Annual"/>
    <n v="1"/>
    <n v="1"/>
    <n v="51936"/>
    <n v="51936"/>
  </r>
  <r>
    <x v="0"/>
    <n v="35"/>
    <x v="12"/>
    <x v="9"/>
    <x v="9"/>
    <n v="1005"/>
    <x v="13"/>
    <x v="0"/>
    <x v="16"/>
    <n v="3012"/>
    <x v="81"/>
    <n v="4026"/>
    <x v="56"/>
    <s v="1 00"/>
    <n v="0"/>
    <n v="15"/>
    <x v="37"/>
    <s v="Annual"/>
    <n v="0"/>
    <n v="0"/>
    <n v="2024"/>
    <n v="2024"/>
  </r>
  <r>
    <x v="0"/>
    <n v="35"/>
    <x v="12"/>
    <x v="9"/>
    <x v="9"/>
    <n v="1005"/>
    <x v="13"/>
    <x v="0"/>
    <x v="16"/>
    <n v="3012"/>
    <x v="81"/>
    <n v="4106"/>
    <x v="57"/>
    <s v="B 15"/>
    <n v="1"/>
    <n v="1507"/>
    <x v="396"/>
    <s v="Annual"/>
    <n v="1"/>
    <n v="1"/>
    <n v="102588"/>
    <n v="102588"/>
  </r>
  <r>
    <x v="0"/>
    <n v="35"/>
    <x v="12"/>
    <x v="9"/>
    <x v="9"/>
    <n v="1005"/>
    <x v="13"/>
    <x v="0"/>
    <x v="16"/>
    <n v="3012"/>
    <x v="81"/>
    <n v="4106"/>
    <x v="57"/>
    <s v="B 15"/>
    <n v="1"/>
    <n v="1507"/>
    <x v="396"/>
    <s v="Annual"/>
    <n v="1"/>
    <n v="1"/>
    <n v="97956"/>
    <n v="97956"/>
  </r>
  <r>
    <x v="0"/>
    <n v="35"/>
    <x v="12"/>
    <x v="9"/>
    <x v="9"/>
    <n v="1005"/>
    <x v="13"/>
    <x v="0"/>
    <x v="16"/>
    <n v="3012"/>
    <x v="81"/>
    <n v="4106"/>
    <x v="57"/>
    <s v="1 00"/>
    <n v="0"/>
    <n v="15"/>
    <x v="37"/>
    <s v="Annual"/>
    <n v="0"/>
    <n v="0"/>
    <n v="563"/>
    <n v="563"/>
  </r>
  <r>
    <x v="0"/>
    <n v="35"/>
    <x v="12"/>
    <x v="9"/>
    <x v="9"/>
    <n v="1005"/>
    <x v="13"/>
    <x v="0"/>
    <x v="16"/>
    <n v="3012"/>
    <x v="81"/>
    <n v="4110"/>
    <x v="263"/>
    <s v="X 32"/>
    <n v="9"/>
    <n v="1556"/>
    <x v="386"/>
    <s v="Annual"/>
    <n v="1"/>
    <n v="1"/>
    <n v="157332"/>
    <n v="157332"/>
  </r>
  <r>
    <x v="0"/>
    <n v="35"/>
    <x v="12"/>
    <x v="9"/>
    <x v="9"/>
    <n v="1005"/>
    <x v="13"/>
    <x v="0"/>
    <x v="16"/>
    <n v="3012"/>
    <x v="81"/>
    <n v="4110"/>
    <x v="263"/>
    <s v="X 33"/>
    <n v="9"/>
    <n v="1554"/>
    <x v="387"/>
    <s v="Annual"/>
    <n v="1"/>
    <n v="1"/>
    <n v="146808"/>
    <n v="146808"/>
  </r>
  <r>
    <x v="0"/>
    <n v="35"/>
    <x v="12"/>
    <x v="9"/>
    <x v="9"/>
    <n v="1005"/>
    <x v="13"/>
    <x v="0"/>
    <x v="16"/>
    <n v="3012"/>
    <x v="81"/>
    <n v="4110"/>
    <x v="263"/>
    <s v="BX 18"/>
    <n v="10"/>
    <n v="1512"/>
    <x v="398"/>
    <s v="Annual"/>
    <n v="1"/>
    <n v="1"/>
    <n v="89112"/>
    <n v="89112"/>
  </r>
  <r>
    <x v="0"/>
    <n v="35"/>
    <x v="12"/>
    <x v="9"/>
    <x v="9"/>
    <n v="1005"/>
    <x v="13"/>
    <x v="0"/>
    <x v="16"/>
    <n v="3012"/>
    <x v="81"/>
    <n v="4110"/>
    <x v="263"/>
    <s v="BX 18"/>
    <n v="0"/>
    <n v="1508"/>
    <x v="395"/>
    <s v="Annual"/>
    <n v="1"/>
    <n v="1"/>
    <n v="143232"/>
    <n v="143232"/>
  </r>
  <r>
    <x v="0"/>
    <n v="35"/>
    <x v="12"/>
    <x v="9"/>
    <x v="9"/>
    <n v="1005"/>
    <x v="13"/>
    <x v="0"/>
    <x v="16"/>
    <n v="3012"/>
    <x v="81"/>
    <n v="4110"/>
    <x v="263"/>
    <s v="BX 18"/>
    <n v="0"/>
    <n v="1508"/>
    <x v="395"/>
    <s v="Annual"/>
    <n v="1"/>
    <n v="1"/>
    <n v="102444"/>
    <n v="102444"/>
  </r>
  <r>
    <x v="0"/>
    <n v="35"/>
    <x v="12"/>
    <x v="9"/>
    <x v="9"/>
    <n v="1005"/>
    <x v="13"/>
    <x v="0"/>
    <x v="16"/>
    <n v="3012"/>
    <x v="81"/>
    <n v="4110"/>
    <x v="263"/>
    <s v="BX 18"/>
    <n v="0"/>
    <n v="1508"/>
    <x v="395"/>
    <s v="Annual"/>
    <n v="3"/>
    <n v="1"/>
    <n v="89112"/>
    <n v="267336"/>
  </r>
  <r>
    <x v="0"/>
    <n v="35"/>
    <x v="12"/>
    <x v="9"/>
    <x v="9"/>
    <n v="1005"/>
    <x v="13"/>
    <x v="0"/>
    <x v="16"/>
    <n v="3012"/>
    <x v="81"/>
    <n v="4110"/>
    <x v="263"/>
    <s v="B 15"/>
    <n v="1"/>
    <n v="1507"/>
    <x v="396"/>
    <s v="Annual"/>
    <n v="1"/>
    <n v="1"/>
    <n v="82644"/>
    <n v="82644"/>
  </r>
  <r>
    <x v="0"/>
    <n v="35"/>
    <x v="12"/>
    <x v="9"/>
    <x v="9"/>
    <n v="1005"/>
    <x v="13"/>
    <x v="0"/>
    <x v="16"/>
    <n v="3012"/>
    <x v="81"/>
    <n v="4110"/>
    <x v="263"/>
    <s v="1 00"/>
    <n v="0"/>
    <n v="15"/>
    <x v="37"/>
    <s v="Annual"/>
    <n v="0"/>
    <n v="0"/>
    <n v="18976"/>
    <n v="18976"/>
  </r>
  <r>
    <x v="0"/>
    <n v="35"/>
    <x v="12"/>
    <x v="9"/>
    <x v="9"/>
    <n v="1005"/>
    <x v="13"/>
    <x v="0"/>
    <x v="16"/>
    <n v="3024"/>
    <x v="82"/>
    <n v="4031"/>
    <x v="60"/>
    <s v="G 08"/>
    <n v="1"/>
    <n v="1505"/>
    <x v="402"/>
    <s v="Annual"/>
    <n v="1"/>
    <n v="1"/>
    <n v="99408"/>
    <n v="99408"/>
  </r>
  <r>
    <x v="0"/>
    <n v="35"/>
    <x v="12"/>
    <x v="9"/>
    <x v="9"/>
    <n v="1005"/>
    <x v="13"/>
    <x v="0"/>
    <x v="16"/>
    <n v="3024"/>
    <x v="82"/>
    <n v="4031"/>
    <x v="60"/>
    <s v="G 06"/>
    <n v="1"/>
    <n v="1504"/>
    <x v="403"/>
    <s v="Annual"/>
    <n v="1"/>
    <n v="1"/>
    <n v="118836"/>
    <n v="118836"/>
  </r>
  <r>
    <x v="0"/>
    <n v="35"/>
    <x v="12"/>
    <x v="9"/>
    <x v="9"/>
    <n v="1005"/>
    <x v="13"/>
    <x v="0"/>
    <x v="16"/>
    <n v="3024"/>
    <x v="82"/>
    <n v="4031"/>
    <x v="60"/>
    <s v="G 06"/>
    <n v="1"/>
    <n v="1504"/>
    <x v="403"/>
    <s v="Annual"/>
    <n v="1"/>
    <n v="1"/>
    <n v="97488"/>
    <n v="97488"/>
  </r>
  <r>
    <x v="0"/>
    <n v="35"/>
    <x v="12"/>
    <x v="9"/>
    <x v="9"/>
    <n v="1005"/>
    <x v="13"/>
    <x v="0"/>
    <x v="16"/>
    <n v="3024"/>
    <x v="82"/>
    <n v="4031"/>
    <x v="60"/>
    <s v="G 06"/>
    <n v="1"/>
    <n v="1504"/>
    <x v="403"/>
    <s v="Annual"/>
    <n v="1"/>
    <n v="1"/>
    <n v="88524"/>
    <n v="88524"/>
  </r>
  <r>
    <x v="0"/>
    <n v="35"/>
    <x v="12"/>
    <x v="9"/>
    <x v="9"/>
    <n v="1005"/>
    <x v="13"/>
    <x v="0"/>
    <x v="16"/>
    <n v="3024"/>
    <x v="82"/>
    <n v="4031"/>
    <x v="60"/>
    <s v="1 00"/>
    <n v="0"/>
    <n v="15"/>
    <x v="37"/>
    <s v="Annual"/>
    <n v="0"/>
    <n v="0"/>
    <n v="2292"/>
    <n v="2292"/>
  </r>
  <r>
    <x v="0"/>
    <n v="38"/>
    <x v="13"/>
    <x v="9"/>
    <x v="9"/>
    <n v="1005"/>
    <x v="14"/>
    <x v="10"/>
    <x v="20"/>
    <n v="3201"/>
    <x v="94"/>
    <n v="0"/>
    <x v="0"/>
    <s v="BX 15"/>
    <n v="10"/>
    <n v="7177"/>
    <x v="1157"/>
    <s v="Annual"/>
    <n v="1"/>
    <n v="1"/>
    <n v="80124"/>
    <n v="80124"/>
  </r>
  <r>
    <x v="0"/>
    <n v="38"/>
    <x v="13"/>
    <x v="9"/>
    <x v="9"/>
    <n v="1005"/>
    <x v="14"/>
    <x v="10"/>
    <x v="20"/>
    <n v="3201"/>
    <x v="94"/>
    <n v="0"/>
    <x v="0"/>
    <s v="GY 08"/>
    <n v="10"/>
    <n v="6085"/>
    <x v="472"/>
    <s v="Annual"/>
    <n v="1"/>
    <n v="1"/>
    <n v="112080"/>
    <n v="112080"/>
  </r>
  <r>
    <x v="0"/>
    <n v="38"/>
    <x v="13"/>
    <x v="9"/>
    <x v="9"/>
    <n v="1005"/>
    <x v="14"/>
    <x v="10"/>
    <x v="20"/>
    <n v="3214"/>
    <x v="95"/>
    <n v="0"/>
    <x v="0"/>
    <s v="B 09"/>
    <n v="1"/>
    <n v="460"/>
    <x v="344"/>
    <s v="Annual"/>
    <n v="1"/>
    <n v="1"/>
    <n v="47364"/>
    <n v="47364"/>
  </r>
  <r>
    <x v="0"/>
    <n v="38"/>
    <x v="13"/>
    <x v="9"/>
    <x v="9"/>
    <n v="1005"/>
    <x v="14"/>
    <x v="10"/>
    <x v="20"/>
    <n v="3220"/>
    <x v="98"/>
    <n v="0"/>
    <x v="0"/>
    <s v="2 0"/>
    <n v="8"/>
    <n v="7124"/>
    <x v="498"/>
    <s v="Hourly"/>
    <n v="1"/>
    <n v="1"/>
    <n v="49.58"/>
    <n v="103126"/>
  </r>
  <r>
    <x v="0"/>
    <n v="38"/>
    <x v="13"/>
    <x v="9"/>
    <x v="9"/>
    <n v="1005"/>
    <x v="14"/>
    <x v="10"/>
    <x v="20"/>
    <n v="3220"/>
    <x v="98"/>
    <n v="0"/>
    <x v="0"/>
    <s v="1 00"/>
    <n v="0"/>
    <n v="12"/>
    <x v="291"/>
    <s v="Annual"/>
    <n v="0"/>
    <n v="0"/>
    <n v="1547"/>
    <n v="1547"/>
  </r>
  <r>
    <x v="0"/>
    <n v="38"/>
    <x v="13"/>
    <x v="9"/>
    <x v="9"/>
    <n v="1005"/>
    <x v="14"/>
    <x v="10"/>
    <x v="20"/>
    <n v="3225"/>
    <x v="310"/>
    <n v="0"/>
    <x v="0"/>
    <s v="2 0"/>
    <n v="8"/>
    <n v="7186"/>
    <x v="484"/>
    <s v="Hourly"/>
    <n v="2"/>
    <n v="1"/>
    <n v="49.46"/>
    <n v="205754"/>
  </r>
  <r>
    <x v="0"/>
    <n v="38"/>
    <x v="13"/>
    <x v="9"/>
    <x v="9"/>
    <n v="1005"/>
    <x v="14"/>
    <x v="10"/>
    <x v="20"/>
    <n v="3225"/>
    <x v="310"/>
    <n v="0"/>
    <x v="0"/>
    <s v="2 0"/>
    <n v="8"/>
    <n v="7183"/>
    <x v="449"/>
    <s v="Hourly"/>
    <n v="2"/>
    <n v="1"/>
    <n v="48.73"/>
    <n v="202717"/>
  </r>
  <r>
    <x v="0"/>
    <n v="38"/>
    <x v="13"/>
    <x v="9"/>
    <x v="9"/>
    <n v="1005"/>
    <x v="14"/>
    <x v="10"/>
    <x v="20"/>
    <n v="3225"/>
    <x v="310"/>
    <n v="0"/>
    <x v="0"/>
    <s v="2 0"/>
    <n v="8"/>
    <n v="7160"/>
    <x v="478"/>
    <s v="Hourly"/>
    <n v="18"/>
    <n v="1"/>
    <n v="33.619999999999997"/>
    <n v="1258733"/>
  </r>
  <r>
    <x v="0"/>
    <n v="38"/>
    <x v="13"/>
    <x v="9"/>
    <x v="9"/>
    <n v="1005"/>
    <x v="14"/>
    <x v="10"/>
    <x v="20"/>
    <n v="3225"/>
    <x v="310"/>
    <n v="0"/>
    <x v="0"/>
    <s v="P 12"/>
    <n v="8"/>
    <n v="7136"/>
    <x v="486"/>
    <s v="Annual"/>
    <n v="1"/>
    <n v="1"/>
    <n v="108528"/>
    <n v="108528"/>
  </r>
  <r>
    <x v="0"/>
    <n v="38"/>
    <x v="13"/>
    <x v="9"/>
    <x v="9"/>
    <n v="1005"/>
    <x v="14"/>
    <x v="10"/>
    <x v="20"/>
    <n v="3225"/>
    <x v="310"/>
    <n v="0"/>
    <x v="0"/>
    <s v="P 12"/>
    <n v="8"/>
    <n v="7136"/>
    <x v="486"/>
    <s v="Annual"/>
    <n v="1"/>
    <n v="1"/>
    <n v="98892"/>
    <n v="98892"/>
  </r>
  <r>
    <x v="0"/>
    <n v="38"/>
    <x v="13"/>
    <x v="9"/>
    <x v="9"/>
    <n v="1005"/>
    <x v="14"/>
    <x v="10"/>
    <x v="20"/>
    <n v="3225"/>
    <x v="310"/>
    <n v="0"/>
    <x v="0"/>
    <s v="P 12"/>
    <n v="8"/>
    <n v="7136"/>
    <x v="486"/>
    <s v="Annual"/>
    <n v="1"/>
    <n v="1"/>
    <n v="82080"/>
    <n v="82080"/>
  </r>
  <r>
    <x v="0"/>
    <n v="38"/>
    <x v="13"/>
    <x v="9"/>
    <x v="9"/>
    <n v="1005"/>
    <x v="14"/>
    <x v="10"/>
    <x v="20"/>
    <n v="3225"/>
    <x v="310"/>
    <n v="0"/>
    <x v="0"/>
    <s v="BX 18"/>
    <n v="10"/>
    <n v="7047"/>
    <x v="488"/>
    <s v="Annual"/>
    <n v="1"/>
    <n v="1"/>
    <n v="124584"/>
    <n v="124584"/>
  </r>
  <r>
    <x v="0"/>
    <n v="38"/>
    <x v="13"/>
    <x v="9"/>
    <x v="9"/>
    <n v="1005"/>
    <x v="14"/>
    <x v="10"/>
    <x v="20"/>
    <n v="3225"/>
    <x v="310"/>
    <n v="0"/>
    <x v="0"/>
    <s v="2 0"/>
    <n v="36"/>
    <n v="6679"/>
    <x v="489"/>
    <s v="Hourly"/>
    <n v="8"/>
    <n v="1"/>
    <n v="64.39"/>
    <n v="1071450"/>
  </r>
  <r>
    <x v="0"/>
    <n v="38"/>
    <x v="13"/>
    <x v="9"/>
    <x v="9"/>
    <n v="1005"/>
    <x v="14"/>
    <x v="10"/>
    <x v="20"/>
    <n v="3225"/>
    <x v="310"/>
    <n v="0"/>
    <x v="0"/>
    <s v="2 0"/>
    <n v="36"/>
    <n v="6673"/>
    <x v="490"/>
    <s v="Hourly"/>
    <n v="46"/>
    <n v="1"/>
    <n v="60.39"/>
    <n v="5778115"/>
  </r>
  <r>
    <x v="0"/>
    <n v="38"/>
    <x v="13"/>
    <x v="9"/>
    <x v="9"/>
    <n v="1005"/>
    <x v="14"/>
    <x v="10"/>
    <x v="20"/>
    <n v="3225"/>
    <x v="310"/>
    <n v="0"/>
    <x v="0"/>
    <s v="2 0"/>
    <n v="32"/>
    <n v="5045"/>
    <x v="493"/>
    <s v="Hourly"/>
    <n v="2"/>
    <n v="1"/>
    <n v="63.53"/>
    <n v="264285"/>
  </r>
  <r>
    <x v="0"/>
    <n v="38"/>
    <x v="13"/>
    <x v="9"/>
    <x v="9"/>
    <n v="1005"/>
    <x v="14"/>
    <x v="10"/>
    <x v="20"/>
    <n v="3225"/>
    <x v="310"/>
    <n v="0"/>
    <x v="0"/>
    <s v="2 0"/>
    <n v="32"/>
    <n v="5034"/>
    <x v="494"/>
    <s v="Hourly"/>
    <n v="14"/>
    <n v="1"/>
    <n v="57.75"/>
    <n v="1681680"/>
  </r>
  <r>
    <x v="0"/>
    <n v="38"/>
    <x v="13"/>
    <x v="9"/>
    <x v="9"/>
    <n v="1005"/>
    <x v="14"/>
    <x v="10"/>
    <x v="20"/>
    <n v="3225"/>
    <x v="310"/>
    <n v="0"/>
    <x v="0"/>
    <s v="B 11"/>
    <n v="1"/>
    <n v="109"/>
    <x v="94"/>
    <s v="Annual"/>
    <n v="1"/>
    <n v="1"/>
    <n v="57000"/>
    <n v="57000"/>
  </r>
  <r>
    <x v="0"/>
    <n v="38"/>
    <x v="13"/>
    <x v="9"/>
    <x v="9"/>
    <n v="1005"/>
    <x v="14"/>
    <x v="10"/>
    <x v="20"/>
    <n v="3225"/>
    <x v="310"/>
    <n v="0"/>
    <x v="0"/>
    <s v="1 00"/>
    <n v="0"/>
    <n v="15"/>
    <x v="37"/>
    <s v="Annual"/>
    <n v="0"/>
    <n v="0"/>
    <n v="3732"/>
    <n v="3732"/>
  </r>
  <r>
    <x v="0"/>
    <n v="38"/>
    <x v="13"/>
    <x v="9"/>
    <x v="9"/>
    <n v="1005"/>
    <x v="14"/>
    <x v="10"/>
    <x v="20"/>
    <n v="3225"/>
    <x v="310"/>
    <n v="0"/>
    <x v="0"/>
    <s v="1 00"/>
    <n v="0"/>
    <n v="12"/>
    <x v="291"/>
    <s v="Annual"/>
    <n v="0"/>
    <n v="0"/>
    <n v="156941"/>
    <n v="156941"/>
  </r>
  <r>
    <x v="0"/>
    <n v="57"/>
    <x v="22"/>
    <x v="9"/>
    <x v="9"/>
    <n v="1005"/>
    <x v="23"/>
    <x v="21"/>
    <x v="40"/>
    <n v="3335"/>
    <x v="311"/>
    <n v="0"/>
    <x v="0"/>
    <s v="3 00"/>
    <n v="99"/>
    <n v="9752"/>
    <x v="647"/>
    <s v="Annual"/>
    <n v="1"/>
    <n v="1"/>
    <n v="192240"/>
    <n v="192240"/>
  </r>
  <r>
    <x v="0"/>
    <n v="57"/>
    <x v="22"/>
    <x v="9"/>
    <x v="9"/>
    <n v="1005"/>
    <x v="23"/>
    <x v="21"/>
    <x v="40"/>
    <n v="3335"/>
    <x v="311"/>
    <n v="0"/>
    <x v="0"/>
    <s v="E 04"/>
    <n v="73"/>
    <n v="9173"/>
    <x v="662"/>
    <s v="Annual"/>
    <n v="1"/>
    <n v="1"/>
    <n v="170700"/>
    <n v="170700"/>
  </r>
  <r>
    <x v="0"/>
    <n v="57"/>
    <x v="22"/>
    <x v="9"/>
    <x v="9"/>
    <n v="1005"/>
    <x v="23"/>
    <x v="21"/>
    <x v="40"/>
    <n v="3335"/>
    <x v="311"/>
    <n v="0"/>
    <x v="0"/>
    <s v="E 04"/>
    <n v="73"/>
    <n v="9173"/>
    <x v="662"/>
    <s v="Annual"/>
    <n v="1"/>
    <n v="1"/>
    <n v="165624"/>
    <n v="165624"/>
  </r>
  <r>
    <x v="0"/>
    <n v="57"/>
    <x v="22"/>
    <x v="9"/>
    <x v="9"/>
    <n v="1005"/>
    <x v="23"/>
    <x v="21"/>
    <x v="40"/>
    <n v="3335"/>
    <x v="311"/>
    <n v="0"/>
    <x v="0"/>
    <s v="E 03"/>
    <n v="71"/>
    <n v="9171"/>
    <x v="651"/>
    <s v="Annual"/>
    <n v="1"/>
    <n v="1"/>
    <n v="156564"/>
    <n v="156564"/>
  </r>
  <r>
    <x v="0"/>
    <n v="57"/>
    <x v="22"/>
    <x v="9"/>
    <x v="9"/>
    <n v="1005"/>
    <x v="23"/>
    <x v="21"/>
    <x v="40"/>
    <n v="3335"/>
    <x v="311"/>
    <n v="0"/>
    <x v="0"/>
    <s v="E 03"/>
    <n v="71"/>
    <n v="9171"/>
    <x v="651"/>
    <s v="Annual"/>
    <n v="6"/>
    <n v="1"/>
    <n v="152010"/>
    <n v="912060"/>
  </r>
  <r>
    <x v="0"/>
    <n v="57"/>
    <x v="22"/>
    <x v="9"/>
    <x v="9"/>
    <n v="1005"/>
    <x v="23"/>
    <x v="21"/>
    <x v="40"/>
    <n v="3335"/>
    <x v="311"/>
    <n v="0"/>
    <x v="0"/>
    <s v="E 03"/>
    <n v="71"/>
    <n v="9171"/>
    <x v="651"/>
    <s v="Annual"/>
    <n v="3"/>
    <n v="1"/>
    <n v="147252"/>
    <n v="441756"/>
  </r>
  <r>
    <x v="0"/>
    <n v="57"/>
    <x v="22"/>
    <x v="9"/>
    <x v="9"/>
    <n v="1005"/>
    <x v="23"/>
    <x v="21"/>
    <x v="40"/>
    <n v="3335"/>
    <x v="311"/>
    <n v="0"/>
    <x v="0"/>
    <s v="E 03"/>
    <n v="71"/>
    <n v="9171"/>
    <x v="651"/>
    <s v="Annual"/>
    <n v="1"/>
    <n v="1"/>
    <n v="142668"/>
    <n v="142668"/>
  </r>
  <r>
    <x v="0"/>
    <n v="57"/>
    <x v="22"/>
    <x v="9"/>
    <x v="9"/>
    <n v="1005"/>
    <x v="23"/>
    <x v="21"/>
    <x v="40"/>
    <n v="3335"/>
    <x v="311"/>
    <n v="0"/>
    <x v="0"/>
    <s v="E 03"/>
    <n v="71"/>
    <n v="9171"/>
    <x v="651"/>
    <s v="Annual"/>
    <n v="3"/>
    <n v="1"/>
    <n v="133890"/>
    <n v="401670"/>
  </r>
  <r>
    <x v="0"/>
    <n v="57"/>
    <x v="22"/>
    <x v="9"/>
    <x v="9"/>
    <n v="1005"/>
    <x v="23"/>
    <x v="21"/>
    <x v="40"/>
    <n v="3335"/>
    <x v="311"/>
    <n v="0"/>
    <x v="0"/>
    <s v="D 01"/>
    <n v="91"/>
    <n v="9161"/>
    <x v="655"/>
    <s v="Annual"/>
    <n v="40"/>
    <n v="1"/>
    <n v="127146"/>
    <n v="5085840"/>
  </r>
  <r>
    <x v="0"/>
    <n v="57"/>
    <x v="22"/>
    <x v="9"/>
    <x v="9"/>
    <n v="1005"/>
    <x v="23"/>
    <x v="21"/>
    <x v="40"/>
    <n v="3335"/>
    <x v="311"/>
    <n v="0"/>
    <x v="0"/>
    <s v="D 01"/>
    <n v="91"/>
    <n v="9161"/>
    <x v="655"/>
    <s v="Annual"/>
    <n v="12"/>
    <n v="1"/>
    <n v="123576"/>
    <n v="1482912"/>
  </r>
  <r>
    <x v="0"/>
    <n v="57"/>
    <x v="22"/>
    <x v="9"/>
    <x v="9"/>
    <n v="1005"/>
    <x v="23"/>
    <x v="21"/>
    <x v="40"/>
    <n v="3335"/>
    <x v="311"/>
    <n v="0"/>
    <x v="0"/>
    <s v="D 01"/>
    <n v="91"/>
    <n v="9161"/>
    <x v="655"/>
    <s v="Annual"/>
    <n v="7"/>
    <n v="1"/>
    <n v="119154"/>
    <n v="834078"/>
  </r>
  <r>
    <x v="0"/>
    <n v="57"/>
    <x v="22"/>
    <x v="9"/>
    <x v="9"/>
    <n v="1005"/>
    <x v="23"/>
    <x v="21"/>
    <x v="40"/>
    <n v="3335"/>
    <x v="311"/>
    <n v="0"/>
    <x v="0"/>
    <s v="D 01"/>
    <n v="91"/>
    <n v="9161"/>
    <x v="655"/>
    <s v="Annual"/>
    <n v="1"/>
    <n v="1"/>
    <n v="115158"/>
    <n v="115158"/>
  </r>
  <r>
    <x v="0"/>
    <n v="57"/>
    <x v="22"/>
    <x v="9"/>
    <x v="9"/>
    <n v="1005"/>
    <x v="23"/>
    <x v="21"/>
    <x v="40"/>
    <n v="3335"/>
    <x v="311"/>
    <n v="0"/>
    <x v="0"/>
    <s v="D 01"/>
    <n v="91"/>
    <n v="9161"/>
    <x v="655"/>
    <s v="Annual"/>
    <n v="5"/>
    <n v="1"/>
    <n v="111252"/>
    <n v="556260"/>
  </r>
  <r>
    <x v="0"/>
    <n v="57"/>
    <x v="22"/>
    <x v="9"/>
    <x v="9"/>
    <n v="1005"/>
    <x v="23"/>
    <x v="21"/>
    <x v="40"/>
    <n v="3335"/>
    <x v="311"/>
    <n v="0"/>
    <x v="0"/>
    <s v="D 01"/>
    <n v="91"/>
    <n v="9161"/>
    <x v="655"/>
    <s v="Annual"/>
    <n v="1"/>
    <n v="1"/>
    <n v="105906"/>
    <n v="105906"/>
  </r>
  <r>
    <x v="0"/>
    <n v="57"/>
    <x v="22"/>
    <x v="9"/>
    <x v="9"/>
    <n v="1005"/>
    <x v="23"/>
    <x v="21"/>
    <x v="40"/>
    <n v="3335"/>
    <x v="311"/>
    <n v="0"/>
    <x v="0"/>
    <s v="D 01"/>
    <n v="91"/>
    <n v="9161"/>
    <x v="655"/>
    <s v="Annual"/>
    <n v="6"/>
    <n v="1"/>
    <n v="100950"/>
    <n v="605700"/>
  </r>
  <r>
    <x v="0"/>
    <n v="57"/>
    <x v="22"/>
    <x v="9"/>
    <x v="9"/>
    <n v="1005"/>
    <x v="23"/>
    <x v="21"/>
    <x v="40"/>
    <n v="3335"/>
    <x v="311"/>
    <n v="0"/>
    <x v="0"/>
    <s v="D 01"/>
    <n v="91"/>
    <n v="9161"/>
    <x v="655"/>
    <s v="Annual"/>
    <n v="48"/>
    <n v="1"/>
    <n v="95982"/>
    <n v="4607136"/>
  </r>
  <r>
    <x v="0"/>
    <n v="57"/>
    <x v="22"/>
    <x v="9"/>
    <x v="9"/>
    <n v="1005"/>
    <x v="23"/>
    <x v="21"/>
    <x v="40"/>
    <n v="3335"/>
    <x v="311"/>
    <n v="0"/>
    <x v="0"/>
    <s v="D 01"/>
    <n v="91"/>
    <n v="9161"/>
    <x v="655"/>
    <s v="Annual"/>
    <n v="52"/>
    <n v="1"/>
    <n v="63636"/>
    <n v="3309072"/>
  </r>
  <r>
    <x v="0"/>
    <n v="57"/>
    <x v="22"/>
    <x v="9"/>
    <x v="9"/>
    <n v="1005"/>
    <x v="23"/>
    <x v="21"/>
    <x v="40"/>
    <n v="3335"/>
    <x v="311"/>
    <n v="0"/>
    <x v="0"/>
    <s v="D 02"/>
    <n v="91"/>
    <n v="9153"/>
    <x v="694"/>
    <s v="Annual"/>
    <n v="14"/>
    <n v="1"/>
    <n v="133650"/>
    <n v="1871100"/>
  </r>
  <r>
    <x v="0"/>
    <n v="57"/>
    <x v="22"/>
    <x v="9"/>
    <x v="9"/>
    <n v="1005"/>
    <x v="23"/>
    <x v="21"/>
    <x v="40"/>
    <n v="3335"/>
    <x v="311"/>
    <n v="0"/>
    <x v="0"/>
    <s v="D 02"/>
    <n v="91"/>
    <n v="9153"/>
    <x v="694"/>
    <s v="Annual"/>
    <n v="3"/>
    <n v="1"/>
    <n v="129774"/>
    <n v="389322"/>
  </r>
  <r>
    <x v="0"/>
    <n v="57"/>
    <x v="22"/>
    <x v="9"/>
    <x v="9"/>
    <n v="1005"/>
    <x v="23"/>
    <x v="21"/>
    <x v="40"/>
    <n v="3335"/>
    <x v="311"/>
    <n v="0"/>
    <x v="0"/>
    <s v="D 02"/>
    <n v="91"/>
    <n v="9153"/>
    <x v="694"/>
    <s v="Annual"/>
    <n v="3"/>
    <n v="1"/>
    <n v="125112"/>
    <n v="375336"/>
  </r>
  <r>
    <x v="0"/>
    <n v="57"/>
    <x v="22"/>
    <x v="9"/>
    <x v="9"/>
    <n v="1005"/>
    <x v="23"/>
    <x v="21"/>
    <x v="40"/>
    <n v="3335"/>
    <x v="311"/>
    <n v="0"/>
    <x v="0"/>
    <s v="D 02"/>
    <n v="91"/>
    <n v="9153"/>
    <x v="694"/>
    <s v="Annual"/>
    <n v="3"/>
    <n v="1"/>
    <n v="120900"/>
    <n v="362700"/>
  </r>
  <r>
    <x v="0"/>
    <n v="57"/>
    <x v="22"/>
    <x v="9"/>
    <x v="9"/>
    <n v="1005"/>
    <x v="23"/>
    <x v="21"/>
    <x v="40"/>
    <n v="3335"/>
    <x v="311"/>
    <n v="0"/>
    <x v="0"/>
    <s v="D 02"/>
    <n v="91"/>
    <n v="9153"/>
    <x v="694"/>
    <s v="Annual"/>
    <n v="1"/>
    <n v="1"/>
    <n v="116856"/>
    <n v="116856"/>
  </r>
  <r>
    <x v="0"/>
    <n v="57"/>
    <x v="22"/>
    <x v="9"/>
    <x v="9"/>
    <n v="1005"/>
    <x v="23"/>
    <x v="21"/>
    <x v="40"/>
    <n v="3335"/>
    <x v="311"/>
    <n v="0"/>
    <x v="0"/>
    <s v="1 00"/>
    <n v="0"/>
    <n v="15"/>
    <x v="37"/>
    <s v="Annual"/>
    <n v="0"/>
    <n v="0"/>
    <n v="170248"/>
    <n v="170248"/>
  </r>
  <r>
    <x v="0"/>
    <n v="57"/>
    <x v="22"/>
    <x v="9"/>
    <x v="9"/>
    <n v="1005"/>
    <x v="23"/>
    <x v="21"/>
    <x v="40"/>
    <n v="3338"/>
    <x v="171"/>
    <n v="4228"/>
    <x v="305"/>
    <s v="D 03"/>
    <n v="91"/>
    <n v="9158"/>
    <x v="699"/>
    <s v="Annual"/>
    <n v="1"/>
    <n v="1"/>
    <n v="147252"/>
    <n v="147252"/>
  </r>
  <r>
    <x v="0"/>
    <n v="57"/>
    <x v="22"/>
    <x v="9"/>
    <x v="9"/>
    <n v="1005"/>
    <x v="23"/>
    <x v="21"/>
    <x v="40"/>
    <n v="3338"/>
    <x v="171"/>
    <n v="4228"/>
    <x v="305"/>
    <s v="D 03"/>
    <n v="91"/>
    <n v="9158"/>
    <x v="699"/>
    <s v="Annual"/>
    <n v="1"/>
    <n v="1"/>
    <n v="142668"/>
    <n v="142668"/>
  </r>
  <r>
    <x v="0"/>
    <n v="57"/>
    <x v="22"/>
    <x v="9"/>
    <x v="9"/>
    <n v="1005"/>
    <x v="23"/>
    <x v="21"/>
    <x v="40"/>
    <n v="3338"/>
    <x v="171"/>
    <n v="4228"/>
    <x v="305"/>
    <s v="D 03"/>
    <n v="91"/>
    <n v="9158"/>
    <x v="699"/>
    <s v="Annual"/>
    <n v="2"/>
    <n v="1"/>
    <n v="138318"/>
    <n v="276636"/>
  </r>
  <r>
    <x v="0"/>
    <n v="57"/>
    <x v="22"/>
    <x v="9"/>
    <x v="9"/>
    <n v="1005"/>
    <x v="23"/>
    <x v="21"/>
    <x v="40"/>
    <n v="3338"/>
    <x v="171"/>
    <n v="4228"/>
    <x v="305"/>
    <s v="D 03"/>
    <n v="91"/>
    <n v="9158"/>
    <x v="699"/>
    <s v="Annual"/>
    <n v="1"/>
    <n v="1"/>
    <n v="133884"/>
    <n v="133884"/>
  </r>
  <r>
    <x v="0"/>
    <n v="57"/>
    <x v="22"/>
    <x v="9"/>
    <x v="9"/>
    <n v="1005"/>
    <x v="23"/>
    <x v="21"/>
    <x v="40"/>
    <n v="3338"/>
    <x v="171"/>
    <n v="4228"/>
    <x v="305"/>
    <s v="1 00"/>
    <n v="0"/>
    <n v="15"/>
    <x v="37"/>
    <s v="Annual"/>
    <n v="0"/>
    <n v="0"/>
    <n v="7300"/>
    <n v="7300"/>
  </r>
  <r>
    <x v="0"/>
    <n v="58"/>
    <x v="23"/>
    <x v="9"/>
    <x v="9"/>
    <n v="1010"/>
    <x v="24"/>
    <x v="23"/>
    <x v="43"/>
    <n v="3045"/>
    <x v="187"/>
    <n v="4135"/>
    <x v="157"/>
    <s v="B 10"/>
    <n v="1"/>
    <n v="8615"/>
    <x v="721"/>
    <s v="Annual"/>
    <n v="2"/>
    <n v="1"/>
    <n v="90144"/>
    <n v="180288"/>
  </r>
  <r>
    <x v="0"/>
    <n v="58"/>
    <x v="23"/>
    <x v="9"/>
    <x v="9"/>
    <n v="1010"/>
    <x v="24"/>
    <x v="23"/>
    <x v="43"/>
    <n v="3045"/>
    <x v="187"/>
    <n v="4135"/>
    <x v="157"/>
    <s v="B 10"/>
    <n v="1"/>
    <n v="8615"/>
    <x v="721"/>
    <s v="Annual"/>
    <n v="1"/>
    <n v="1"/>
    <n v="78432"/>
    <n v="78432"/>
  </r>
  <r>
    <x v="0"/>
    <n v="58"/>
    <x v="23"/>
    <x v="9"/>
    <x v="9"/>
    <n v="1010"/>
    <x v="24"/>
    <x v="23"/>
    <x v="43"/>
    <n v="3045"/>
    <x v="187"/>
    <n v="4135"/>
    <x v="157"/>
    <s v="B 10"/>
    <n v="1"/>
    <n v="8615"/>
    <x v="721"/>
    <s v="Annual"/>
    <n v="2"/>
    <n v="1"/>
    <n v="64488"/>
    <n v="128976"/>
  </r>
  <r>
    <x v="0"/>
    <n v="58"/>
    <x v="23"/>
    <x v="9"/>
    <x v="9"/>
    <n v="1010"/>
    <x v="24"/>
    <x v="23"/>
    <x v="43"/>
    <n v="3045"/>
    <x v="187"/>
    <n v="4135"/>
    <x v="157"/>
    <s v="B 10"/>
    <n v="1"/>
    <n v="8615"/>
    <x v="721"/>
    <s v="Annual"/>
    <n v="1"/>
    <n v="1"/>
    <n v="58764"/>
    <n v="58764"/>
  </r>
  <r>
    <x v="0"/>
    <n v="58"/>
    <x v="23"/>
    <x v="9"/>
    <x v="9"/>
    <n v="1010"/>
    <x v="24"/>
    <x v="23"/>
    <x v="43"/>
    <n v="3045"/>
    <x v="187"/>
    <n v="4135"/>
    <x v="157"/>
    <s v="B 10"/>
    <n v="1"/>
    <n v="8615"/>
    <x v="721"/>
    <s v="Annual"/>
    <n v="3"/>
    <n v="1"/>
    <n v="53532"/>
    <n v="160596"/>
  </r>
  <r>
    <x v="0"/>
    <n v="58"/>
    <x v="23"/>
    <x v="9"/>
    <x v="9"/>
    <n v="1010"/>
    <x v="24"/>
    <x v="23"/>
    <x v="43"/>
    <n v="3045"/>
    <x v="187"/>
    <n v="4135"/>
    <x v="157"/>
    <s v="B 10"/>
    <n v="1"/>
    <n v="8615"/>
    <x v="721"/>
    <s v="Annual"/>
    <n v="6"/>
    <n v="1"/>
    <n v="51936"/>
    <n v="311616"/>
  </r>
  <r>
    <x v="0"/>
    <n v="58"/>
    <x v="23"/>
    <x v="9"/>
    <x v="9"/>
    <n v="1010"/>
    <x v="24"/>
    <x v="23"/>
    <x v="43"/>
    <n v="3045"/>
    <x v="187"/>
    <n v="4135"/>
    <x v="157"/>
    <s v="B 14"/>
    <n v="1"/>
    <n v="8614"/>
    <x v="722"/>
    <s v="Annual"/>
    <n v="1"/>
    <n v="1"/>
    <n v="85200"/>
    <n v="85200"/>
  </r>
  <r>
    <x v="0"/>
    <n v="58"/>
    <x v="23"/>
    <x v="9"/>
    <x v="9"/>
    <n v="1010"/>
    <x v="24"/>
    <x v="23"/>
    <x v="43"/>
    <n v="3045"/>
    <x v="187"/>
    <n v="4135"/>
    <x v="157"/>
    <s v="B 10"/>
    <n v="1"/>
    <s v="03A7"/>
    <x v="4"/>
    <s v="Annual"/>
    <n v="1"/>
    <n v="1"/>
    <n v="82140"/>
    <n v="82140"/>
  </r>
  <r>
    <x v="0"/>
    <n v="58"/>
    <x v="23"/>
    <x v="9"/>
    <x v="9"/>
    <n v="1010"/>
    <x v="24"/>
    <x v="23"/>
    <x v="43"/>
    <n v="3045"/>
    <x v="187"/>
    <n v="4135"/>
    <x v="157"/>
    <s v="1 00"/>
    <n v="0"/>
    <n v="15"/>
    <x v="37"/>
    <s v="Annual"/>
    <n v="0"/>
    <n v="0"/>
    <n v="6930"/>
    <n v="6930"/>
  </r>
  <r>
    <x v="0"/>
    <n v="58"/>
    <x v="23"/>
    <x v="9"/>
    <x v="9"/>
    <n v="1010"/>
    <x v="24"/>
    <x v="23"/>
    <x v="43"/>
    <n v="3050"/>
    <x v="188"/>
    <n v="4145"/>
    <x v="158"/>
    <s v="I 10"/>
    <n v="2"/>
    <n v="9112"/>
    <x v="1129"/>
    <s v="Annual"/>
    <n v="5"/>
    <n v="1"/>
    <n v="82812"/>
    <n v="414060"/>
  </r>
  <r>
    <x v="0"/>
    <n v="58"/>
    <x v="23"/>
    <x v="9"/>
    <x v="9"/>
    <n v="1010"/>
    <x v="24"/>
    <x v="23"/>
    <x v="43"/>
    <n v="3050"/>
    <x v="188"/>
    <n v="4145"/>
    <x v="158"/>
    <s v="I 10"/>
    <n v="2"/>
    <n v="9112"/>
    <x v="1129"/>
    <s v="Annual"/>
    <n v="4"/>
    <n v="1"/>
    <n v="75444"/>
    <n v="301776"/>
  </r>
  <r>
    <x v="0"/>
    <n v="58"/>
    <x v="23"/>
    <x v="9"/>
    <x v="9"/>
    <n v="1010"/>
    <x v="24"/>
    <x v="23"/>
    <x v="43"/>
    <n v="3050"/>
    <x v="188"/>
    <n v="4145"/>
    <x v="158"/>
    <s v="I 10"/>
    <n v="2"/>
    <n v="9112"/>
    <x v="1129"/>
    <s v="Annual"/>
    <n v="19"/>
    <n v="1"/>
    <n v="59820"/>
    <n v="1136580"/>
  </r>
  <r>
    <x v="0"/>
    <n v="58"/>
    <x v="23"/>
    <x v="9"/>
    <x v="9"/>
    <n v="1010"/>
    <x v="24"/>
    <x v="23"/>
    <x v="43"/>
    <n v="3050"/>
    <x v="188"/>
    <n v="4145"/>
    <x v="158"/>
    <s v="I 10"/>
    <n v="2"/>
    <n v="9112"/>
    <x v="1129"/>
    <s v="Annual"/>
    <n v="1"/>
    <n v="1"/>
    <n v="53820"/>
    <n v="53820"/>
  </r>
  <r>
    <x v="0"/>
    <n v="58"/>
    <x v="23"/>
    <x v="9"/>
    <x v="9"/>
    <n v="1010"/>
    <x v="24"/>
    <x v="23"/>
    <x v="43"/>
    <n v="3050"/>
    <x v="188"/>
    <n v="4145"/>
    <x v="158"/>
    <s v="I 10"/>
    <n v="2"/>
    <n v="9112"/>
    <x v="1129"/>
    <s v="Annual"/>
    <n v="4"/>
    <n v="1"/>
    <n v="51348"/>
    <n v="205392"/>
  </r>
  <r>
    <x v="0"/>
    <n v="58"/>
    <x v="23"/>
    <x v="9"/>
    <x v="9"/>
    <n v="1010"/>
    <x v="24"/>
    <x v="23"/>
    <x v="43"/>
    <n v="3050"/>
    <x v="188"/>
    <n v="4145"/>
    <x v="158"/>
    <s v="I 10"/>
    <n v="2"/>
    <n v="9112"/>
    <x v="1129"/>
    <s v="Annual"/>
    <n v="7"/>
    <n v="1"/>
    <n v="49056"/>
    <n v="343392"/>
  </r>
  <r>
    <x v="0"/>
    <n v="58"/>
    <x v="23"/>
    <x v="9"/>
    <x v="9"/>
    <n v="1010"/>
    <x v="24"/>
    <x v="23"/>
    <x v="43"/>
    <n v="3050"/>
    <x v="188"/>
    <n v="4145"/>
    <x v="158"/>
    <s v="I 10"/>
    <n v="2"/>
    <n v="9112"/>
    <x v="1129"/>
    <s v="Annual"/>
    <n v="7"/>
    <n v="1"/>
    <n v="46824"/>
    <n v="327768"/>
  </r>
  <r>
    <x v="0"/>
    <n v="58"/>
    <x v="23"/>
    <x v="9"/>
    <x v="9"/>
    <n v="1010"/>
    <x v="24"/>
    <x v="23"/>
    <x v="43"/>
    <n v="3050"/>
    <x v="188"/>
    <n v="4145"/>
    <x v="158"/>
    <s v="I 12"/>
    <n v="2"/>
    <n v="9105"/>
    <x v="725"/>
    <s v="Annual"/>
    <n v="2"/>
    <n v="1"/>
    <n v="74844"/>
    <n v="149688"/>
  </r>
  <r>
    <x v="0"/>
    <n v="58"/>
    <x v="23"/>
    <x v="9"/>
    <x v="9"/>
    <n v="1010"/>
    <x v="24"/>
    <x v="23"/>
    <x v="43"/>
    <n v="3050"/>
    <x v="188"/>
    <n v="4145"/>
    <x v="158"/>
    <s v="I 12"/>
    <n v="2"/>
    <n v="9105"/>
    <x v="725"/>
    <s v="Annual"/>
    <n v="2"/>
    <n v="1"/>
    <n v="50964"/>
    <n v="101928"/>
  </r>
  <r>
    <x v="0"/>
    <n v="58"/>
    <x v="23"/>
    <x v="9"/>
    <x v="9"/>
    <n v="1010"/>
    <x v="24"/>
    <x v="23"/>
    <x v="43"/>
    <n v="3050"/>
    <x v="188"/>
    <n v="4145"/>
    <x v="158"/>
    <s v="I 12"/>
    <n v="2"/>
    <n v="9105"/>
    <x v="725"/>
    <s v="Annual"/>
    <n v="1"/>
    <n v="1"/>
    <n v="48588"/>
    <n v="48588"/>
  </r>
  <r>
    <x v="0"/>
    <n v="58"/>
    <x v="23"/>
    <x v="9"/>
    <x v="9"/>
    <n v="1010"/>
    <x v="24"/>
    <x v="23"/>
    <x v="43"/>
    <n v="3050"/>
    <x v="188"/>
    <n v="4145"/>
    <x v="158"/>
    <s v="I 10"/>
    <n v="2"/>
    <n v="9104"/>
    <x v="726"/>
    <s v="Hourly"/>
    <n v="34519"/>
    <n v="0"/>
    <n v="25.54"/>
    <n v="881615"/>
  </r>
  <r>
    <x v="0"/>
    <n v="58"/>
    <x v="23"/>
    <x v="9"/>
    <x v="9"/>
    <n v="1010"/>
    <x v="24"/>
    <x v="23"/>
    <x v="43"/>
    <n v="3050"/>
    <x v="188"/>
    <n v="4145"/>
    <x v="158"/>
    <s v="BX 16"/>
    <n v="10"/>
    <n v="6290"/>
    <x v="728"/>
    <s v="Annual"/>
    <n v="1"/>
    <n v="1"/>
    <n v="76476"/>
    <n v="76476"/>
  </r>
  <r>
    <x v="0"/>
    <n v="58"/>
    <x v="23"/>
    <x v="9"/>
    <x v="9"/>
    <n v="1010"/>
    <x v="24"/>
    <x v="23"/>
    <x v="43"/>
    <n v="3050"/>
    <x v="188"/>
    <n v="4145"/>
    <x v="158"/>
    <s v="B 10"/>
    <n v="1"/>
    <s v="03A7"/>
    <x v="4"/>
    <s v="Annual"/>
    <n v="1"/>
    <n v="1"/>
    <n v="78432"/>
    <n v="78432"/>
  </r>
  <r>
    <x v="0"/>
    <n v="58"/>
    <x v="23"/>
    <x v="9"/>
    <x v="9"/>
    <n v="1010"/>
    <x v="24"/>
    <x v="23"/>
    <x v="43"/>
    <n v="3050"/>
    <x v="188"/>
    <n v="4145"/>
    <x v="158"/>
    <s v="1 00"/>
    <n v="0"/>
    <n v="15"/>
    <x v="37"/>
    <s v="Annual"/>
    <n v="0"/>
    <n v="0"/>
    <n v="60805"/>
    <n v="60805"/>
  </r>
  <r>
    <x v="0"/>
    <n v="59"/>
    <x v="24"/>
    <x v="9"/>
    <x v="9"/>
    <n v="1005"/>
    <x v="25"/>
    <x v="0"/>
    <x v="44"/>
    <n v="3104"/>
    <x v="16"/>
    <n v="4718"/>
    <x v="169"/>
    <s v="F 3A"/>
    <n v="87"/>
    <n v="8820"/>
    <x v="749"/>
    <s v="Annual"/>
    <n v="2"/>
    <n v="1"/>
    <n v="118830"/>
    <n v="237660"/>
  </r>
  <r>
    <x v="0"/>
    <n v="59"/>
    <x v="24"/>
    <x v="9"/>
    <x v="9"/>
    <n v="1005"/>
    <x v="25"/>
    <x v="0"/>
    <x v="44"/>
    <n v="3104"/>
    <x v="16"/>
    <n v="4718"/>
    <x v="169"/>
    <s v="F 3A"/>
    <n v="87"/>
    <n v="8819"/>
    <x v="750"/>
    <s v="Annual"/>
    <n v="1"/>
    <n v="1"/>
    <n v="125202"/>
    <n v="125202"/>
  </r>
  <r>
    <x v="0"/>
    <n v="59"/>
    <x v="24"/>
    <x v="9"/>
    <x v="9"/>
    <n v="1005"/>
    <x v="25"/>
    <x v="0"/>
    <x v="44"/>
    <n v="3104"/>
    <x v="16"/>
    <n v="4718"/>
    <x v="169"/>
    <s v="F 5B"/>
    <n v="87"/>
    <n v="8817"/>
    <x v="752"/>
    <s v="Annual"/>
    <n v="11"/>
    <n v="1"/>
    <n v="151764"/>
    <n v="1669404"/>
  </r>
  <r>
    <x v="0"/>
    <n v="59"/>
    <x v="24"/>
    <x v="9"/>
    <x v="9"/>
    <n v="1005"/>
    <x v="25"/>
    <x v="0"/>
    <x v="44"/>
    <n v="3104"/>
    <x v="16"/>
    <n v="4718"/>
    <x v="169"/>
    <s v="F 5B"/>
    <n v="87"/>
    <n v="8817"/>
    <x v="752"/>
    <s v="Annual"/>
    <n v="1"/>
    <n v="1"/>
    <n v="147258"/>
    <n v="147258"/>
  </r>
  <r>
    <x v="0"/>
    <n v="59"/>
    <x v="24"/>
    <x v="9"/>
    <x v="9"/>
    <n v="1005"/>
    <x v="25"/>
    <x v="0"/>
    <x v="44"/>
    <n v="3104"/>
    <x v="16"/>
    <n v="4718"/>
    <x v="169"/>
    <s v="F 4P"/>
    <n v="87"/>
    <n v="8812"/>
    <x v="753"/>
    <s v="Annual"/>
    <n v="1"/>
    <n v="1"/>
    <n v="138378"/>
    <n v="138378"/>
  </r>
  <r>
    <x v="0"/>
    <n v="59"/>
    <x v="24"/>
    <x v="9"/>
    <x v="9"/>
    <n v="1005"/>
    <x v="25"/>
    <x v="0"/>
    <x v="44"/>
    <n v="3104"/>
    <x v="16"/>
    <n v="4718"/>
    <x v="169"/>
    <s v="F 4P"/>
    <n v="87"/>
    <n v="8812"/>
    <x v="753"/>
    <s v="Annual"/>
    <n v="1"/>
    <n v="1"/>
    <n v="134028"/>
    <n v="134028"/>
  </r>
  <r>
    <x v="0"/>
    <n v="59"/>
    <x v="24"/>
    <x v="9"/>
    <x v="9"/>
    <n v="1005"/>
    <x v="25"/>
    <x v="0"/>
    <x v="44"/>
    <n v="3104"/>
    <x v="16"/>
    <n v="4718"/>
    <x v="169"/>
    <s v="F 4P"/>
    <n v="87"/>
    <n v="8812"/>
    <x v="753"/>
    <s v="Annual"/>
    <n v="3"/>
    <n v="1"/>
    <n v="125904"/>
    <n v="377712"/>
  </r>
  <r>
    <x v="0"/>
    <n v="59"/>
    <x v="24"/>
    <x v="9"/>
    <x v="9"/>
    <n v="1005"/>
    <x v="25"/>
    <x v="0"/>
    <x v="44"/>
    <n v="3104"/>
    <x v="16"/>
    <n v="4718"/>
    <x v="169"/>
    <s v="F 4B"/>
    <n v="87"/>
    <n v="8811"/>
    <x v="754"/>
    <s v="Annual"/>
    <n v="7"/>
    <n v="1"/>
    <n v="135144"/>
    <n v="946008"/>
  </r>
  <r>
    <x v="0"/>
    <n v="59"/>
    <x v="24"/>
    <x v="9"/>
    <x v="9"/>
    <n v="1005"/>
    <x v="25"/>
    <x v="0"/>
    <x v="44"/>
    <n v="3104"/>
    <x v="16"/>
    <n v="4718"/>
    <x v="169"/>
    <s v="F 4B"/>
    <n v="87"/>
    <n v="8811"/>
    <x v="754"/>
    <s v="Annual"/>
    <n v="4"/>
    <n v="1"/>
    <n v="130908"/>
    <n v="523632"/>
  </r>
  <r>
    <x v="0"/>
    <n v="59"/>
    <x v="24"/>
    <x v="9"/>
    <x v="9"/>
    <n v="1005"/>
    <x v="25"/>
    <x v="0"/>
    <x v="44"/>
    <n v="3104"/>
    <x v="16"/>
    <n v="4718"/>
    <x v="169"/>
    <s v="F 4B"/>
    <n v="87"/>
    <n v="8811"/>
    <x v="754"/>
    <s v="Annual"/>
    <n v="7"/>
    <n v="1"/>
    <n v="126840"/>
    <n v="887880"/>
  </r>
  <r>
    <x v="0"/>
    <n v="59"/>
    <x v="24"/>
    <x v="9"/>
    <x v="9"/>
    <n v="1005"/>
    <x v="25"/>
    <x v="0"/>
    <x v="44"/>
    <n v="3104"/>
    <x v="16"/>
    <n v="4718"/>
    <x v="169"/>
    <s v="F 4B"/>
    <n v="87"/>
    <n v="8811"/>
    <x v="754"/>
    <s v="Annual"/>
    <n v="7"/>
    <n v="1"/>
    <n v="122976"/>
    <n v="860832"/>
  </r>
  <r>
    <x v="0"/>
    <n v="59"/>
    <x v="24"/>
    <x v="9"/>
    <x v="9"/>
    <n v="1005"/>
    <x v="25"/>
    <x v="0"/>
    <x v="44"/>
    <n v="3104"/>
    <x v="16"/>
    <n v="4718"/>
    <x v="169"/>
    <s v="F 3A"/>
    <n v="87"/>
    <n v="8808"/>
    <x v="755"/>
    <s v="Annual"/>
    <n v="1"/>
    <n v="1"/>
    <n v="125202"/>
    <n v="125202"/>
  </r>
  <r>
    <x v="0"/>
    <n v="59"/>
    <x v="24"/>
    <x v="9"/>
    <x v="9"/>
    <n v="1005"/>
    <x v="25"/>
    <x v="0"/>
    <x v="44"/>
    <n v="3104"/>
    <x v="16"/>
    <n v="4718"/>
    <x v="169"/>
    <s v="F 3A"/>
    <n v="87"/>
    <n v="8808"/>
    <x v="755"/>
    <s v="Annual"/>
    <n v="1"/>
    <n v="1"/>
    <n v="121656"/>
    <n v="121656"/>
  </r>
  <r>
    <x v="0"/>
    <n v="59"/>
    <x v="24"/>
    <x v="9"/>
    <x v="9"/>
    <n v="1005"/>
    <x v="25"/>
    <x v="0"/>
    <x v="44"/>
    <n v="3104"/>
    <x v="16"/>
    <n v="4718"/>
    <x v="169"/>
    <s v="F 3A"/>
    <n v="87"/>
    <n v="8808"/>
    <x v="755"/>
    <s v="Annual"/>
    <n v="1"/>
    <n v="1"/>
    <n v="117384"/>
    <n v="117384"/>
  </r>
  <r>
    <x v="0"/>
    <n v="59"/>
    <x v="24"/>
    <x v="9"/>
    <x v="9"/>
    <n v="1005"/>
    <x v="25"/>
    <x v="0"/>
    <x v="44"/>
    <n v="3104"/>
    <x v="16"/>
    <n v="4718"/>
    <x v="169"/>
    <s v="F 3A"/>
    <n v="87"/>
    <n v="8807"/>
    <x v="756"/>
    <s v="Annual"/>
    <n v="6"/>
    <n v="1"/>
    <n v="122274"/>
    <n v="733644"/>
  </r>
  <r>
    <x v="0"/>
    <n v="59"/>
    <x v="24"/>
    <x v="9"/>
    <x v="9"/>
    <n v="1005"/>
    <x v="25"/>
    <x v="0"/>
    <x v="44"/>
    <n v="3104"/>
    <x v="16"/>
    <n v="4718"/>
    <x v="169"/>
    <s v="F 3A"/>
    <n v="87"/>
    <n v="8807"/>
    <x v="756"/>
    <s v="Annual"/>
    <n v="8"/>
    <n v="1"/>
    <n v="118830"/>
    <n v="950640"/>
  </r>
  <r>
    <x v="0"/>
    <n v="59"/>
    <x v="24"/>
    <x v="9"/>
    <x v="9"/>
    <n v="1005"/>
    <x v="25"/>
    <x v="0"/>
    <x v="44"/>
    <n v="3104"/>
    <x v="16"/>
    <n v="4718"/>
    <x v="169"/>
    <s v="F 3A"/>
    <n v="87"/>
    <n v="8807"/>
    <x v="756"/>
    <s v="Annual"/>
    <n v="14"/>
    <n v="1"/>
    <n v="114654"/>
    <n v="1605156"/>
  </r>
  <r>
    <x v="0"/>
    <n v="59"/>
    <x v="24"/>
    <x v="9"/>
    <x v="9"/>
    <n v="1005"/>
    <x v="25"/>
    <x v="0"/>
    <x v="44"/>
    <n v="3104"/>
    <x v="16"/>
    <n v="4718"/>
    <x v="169"/>
    <s v="F 3A"/>
    <n v="87"/>
    <n v="8807"/>
    <x v="756"/>
    <s v="Annual"/>
    <n v="10"/>
    <n v="1"/>
    <n v="110766"/>
    <n v="1107660"/>
  </r>
  <r>
    <x v="0"/>
    <n v="59"/>
    <x v="24"/>
    <x v="9"/>
    <x v="9"/>
    <n v="1005"/>
    <x v="25"/>
    <x v="0"/>
    <x v="44"/>
    <n v="3104"/>
    <x v="16"/>
    <n v="4718"/>
    <x v="169"/>
    <s v="F 3A"/>
    <n v="87"/>
    <n v="8807"/>
    <x v="756"/>
    <s v="Annual"/>
    <n v="2"/>
    <n v="1"/>
    <n v="107166"/>
    <n v="214332"/>
  </r>
  <r>
    <x v="0"/>
    <n v="59"/>
    <x v="24"/>
    <x v="9"/>
    <x v="9"/>
    <n v="1005"/>
    <x v="25"/>
    <x v="0"/>
    <x v="44"/>
    <n v="3104"/>
    <x v="16"/>
    <n v="4718"/>
    <x v="169"/>
    <s v="F 1B"/>
    <n v="87"/>
    <n v="8801"/>
    <x v="740"/>
    <s v="Annual"/>
    <n v="5"/>
    <n v="1"/>
    <n v="114570"/>
    <n v="572850"/>
  </r>
  <r>
    <x v="0"/>
    <n v="59"/>
    <x v="24"/>
    <x v="9"/>
    <x v="9"/>
    <n v="1005"/>
    <x v="25"/>
    <x v="0"/>
    <x v="44"/>
    <n v="3104"/>
    <x v="16"/>
    <n v="4718"/>
    <x v="169"/>
    <s v="F 1B"/>
    <n v="87"/>
    <n v="8801"/>
    <x v="740"/>
    <s v="Annual"/>
    <n v="9"/>
    <n v="1"/>
    <n v="110196"/>
    <n v="991764"/>
  </r>
  <r>
    <x v="0"/>
    <n v="59"/>
    <x v="24"/>
    <x v="9"/>
    <x v="9"/>
    <n v="1005"/>
    <x v="25"/>
    <x v="0"/>
    <x v="44"/>
    <n v="3104"/>
    <x v="16"/>
    <n v="4718"/>
    <x v="169"/>
    <s v="F 1B"/>
    <n v="87"/>
    <n v="8801"/>
    <x v="740"/>
    <s v="Annual"/>
    <n v="6"/>
    <n v="1"/>
    <n v="105936"/>
    <n v="635616"/>
  </r>
  <r>
    <x v="0"/>
    <n v="59"/>
    <x v="24"/>
    <x v="9"/>
    <x v="9"/>
    <n v="1005"/>
    <x v="25"/>
    <x v="0"/>
    <x v="44"/>
    <n v="3104"/>
    <x v="16"/>
    <n v="4718"/>
    <x v="169"/>
    <s v="F 1B"/>
    <n v="87"/>
    <n v="8801"/>
    <x v="740"/>
    <s v="Annual"/>
    <n v="2"/>
    <n v="1"/>
    <n v="102372"/>
    <n v="204744"/>
  </r>
  <r>
    <x v="0"/>
    <n v="59"/>
    <x v="24"/>
    <x v="9"/>
    <x v="9"/>
    <n v="1005"/>
    <x v="25"/>
    <x v="0"/>
    <x v="44"/>
    <n v="3104"/>
    <x v="16"/>
    <n v="4718"/>
    <x v="169"/>
    <s v="F 1B"/>
    <n v="87"/>
    <n v="8801"/>
    <x v="740"/>
    <s v="Annual"/>
    <n v="39"/>
    <n v="1"/>
    <n v="98904"/>
    <n v="3857256"/>
  </r>
  <r>
    <x v="0"/>
    <n v="59"/>
    <x v="24"/>
    <x v="9"/>
    <x v="9"/>
    <n v="1005"/>
    <x v="25"/>
    <x v="0"/>
    <x v="44"/>
    <n v="3104"/>
    <x v="16"/>
    <n v="4718"/>
    <x v="169"/>
    <s v="F 1B"/>
    <n v="87"/>
    <n v="8801"/>
    <x v="740"/>
    <s v="Annual"/>
    <n v="10"/>
    <n v="1"/>
    <n v="66264"/>
    <n v="662640"/>
  </r>
  <r>
    <x v="0"/>
    <n v="59"/>
    <x v="24"/>
    <x v="9"/>
    <x v="9"/>
    <n v="1005"/>
    <x v="25"/>
    <x v="0"/>
    <x v="44"/>
    <n v="3104"/>
    <x v="16"/>
    <n v="4718"/>
    <x v="169"/>
    <s v="3 00"/>
    <n v="89"/>
    <n v="8763"/>
    <x v="731"/>
    <s v="Annual"/>
    <n v="1"/>
    <n v="1"/>
    <n v="205560"/>
    <n v="205560"/>
  </r>
  <r>
    <x v="0"/>
    <n v="59"/>
    <x v="24"/>
    <x v="9"/>
    <x v="9"/>
    <n v="1005"/>
    <x v="25"/>
    <x v="0"/>
    <x v="44"/>
    <n v="3104"/>
    <x v="16"/>
    <n v="4718"/>
    <x v="169"/>
    <s v="F 05"/>
    <n v="89"/>
    <n v="8761"/>
    <x v="1130"/>
    <s v="Annual"/>
    <n v="4"/>
    <n v="1"/>
    <n v="130698"/>
    <n v="522792"/>
  </r>
  <r>
    <x v="0"/>
    <n v="59"/>
    <x v="24"/>
    <x v="9"/>
    <x v="9"/>
    <n v="1005"/>
    <x v="25"/>
    <x v="0"/>
    <x v="44"/>
    <n v="3104"/>
    <x v="16"/>
    <n v="4718"/>
    <x v="169"/>
    <s v="F 05"/>
    <n v="87"/>
    <n v="8760"/>
    <x v="1158"/>
    <s v="Annual"/>
    <n v="1"/>
    <n v="1"/>
    <n v="143076"/>
    <n v="143076"/>
  </r>
  <r>
    <x v="0"/>
    <n v="59"/>
    <x v="24"/>
    <x v="9"/>
    <x v="9"/>
    <n v="1005"/>
    <x v="25"/>
    <x v="0"/>
    <x v="44"/>
    <n v="3104"/>
    <x v="16"/>
    <n v="4718"/>
    <x v="169"/>
    <s v="3 00"/>
    <n v="89"/>
    <n v="8755"/>
    <x v="747"/>
    <s v="Annual"/>
    <n v="1"/>
    <n v="1"/>
    <n v="219048"/>
    <n v="219048"/>
  </r>
  <r>
    <x v="0"/>
    <n v="59"/>
    <x v="24"/>
    <x v="9"/>
    <x v="9"/>
    <n v="1005"/>
    <x v="25"/>
    <x v="0"/>
    <x v="44"/>
    <n v="3104"/>
    <x v="16"/>
    <n v="4718"/>
    <x v="169"/>
    <s v="F 05"/>
    <n v="87"/>
    <n v="8737"/>
    <x v="665"/>
    <s v="Annual"/>
    <n v="1"/>
    <n v="1"/>
    <n v="143076"/>
    <n v="143076"/>
  </r>
  <r>
    <x v="0"/>
    <n v="59"/>
    <x v="24"/>
    <x v="9"/>
    <x v="9"/>
    <n v="1005"/>
    <x v="25"/>
    <x v="0"/>
    <x v="44"/>
    <n v="3104"/>
    <x v="16"/>
    <n v="4718"/>
    <x v="169"/>
    <s v="F 05"/>
    <n v="87"/>
    <n v="8737"/>
    <x v="665"/>
    <s v="Annual"/>
    <n v="1"/>
    <n v="1"/>
    <n v="130698"/>
    <n v="130698"/>
  </r>
  <r>
    <x v="0"/>
    <n v="59"/>
    <x v="24"/>
    <x v="9"/>
    <x v="9"/>
    <n v="1005"/>
    <x v="25"/>
    <x v="0"/>
    <x v="44"/>
    <n v="3104"/>
    <x v="16"/>
    <n v="4718"/>
    <x v="169"/>
    <s v="F 04"/>
    <n v="87"/>
    <n v="8735"/>
    <x v="662"/>
    <s v="Annual"/>
    <n v="1"/>
    <n v="1"/>
    <n v="127410"/>
    <n v="127410"/>
  </r>
  <r>
    <x v="0"/>
    <n v="59"/>
    <x v="24"/>
    <x v="9"/>
    <x v="9"/>
    <n v="1005"/>
    <x v="25"/>
    <x v="0"/>
    <x v="44"/>
    <n v="3104"/>
    <x v="16"/>
    <n v="4718"/>
    <x v="169"/>
    <s v="F 04"/>
    <n v="87"/>
    <n v="8735"/>
    <x v="662"/>
    <s v="Annual"/>
    <n v="1"/>
    <n v="1"/>
    <n v="123420"/>
    <n v="123420"/>
  </r>
  <r>
    <x v="0"/>
    <n v="59"/>
    <x v="24"/>
    <x v="9"/>
    <x v="9"/>
    <n v="1005"/>
    <x v="25"/>
    <x v="0"/>
    <x v="44"/>
    <n v="3104"/>
    <x v="16"/>
    <n v="4718"/>
    <x v="169"/>
    <s v="F 04"/>
    <n v="87"/>
    <n v="8735"/>
    <x v="662"/>
    <s v="Annual"/>
    <n v="2"/>
    <n v="1"/>
    <n v="115938"/>
    <n v="231876"/>
  </r>
  <r>
    <x v="0"/>
    <n v="59"/>
    <x v="24"/>
    <x v="9"/>
    <x v="9"/>
    <n v="1005"/>
    <x v="25"/>
    <x v="0"/>
    <x v="44"/>
    <n v="3104"/>
    <x v="16"/>
    <n v="4718"/>
    <x v="169"/>
    <s v="F 3A"/>
    <n v="87"/>
    <n v="8733"/>
    <x v="760"/>
    <s v="Annual"/>
    <n v="3"/>
    <n v="1"/>
    <n v="115308"/>
    <n v="345924"/>
  </r>
  <r>
    <x v="0"/>
    <n v="59"/>
    <x v="24"/>
    <x v="9"/>
    <x v="9"/>
    <n v="1005"/>
    <x v="25"/>
    <x v="0"/>
    <x v="44"/>
    <n v="3104"/>
    <x v="16"/>
    <n v="4718"/>
    <x v="169"/>
    <s v="F 3A"/>
    <n v="87"/>
    <n v="8733"/>
    <x v="760"/>
    <s v="Annual"/>
    <n v="3"/>
    <n v="1"/>
    <n v="112020"/>
    <n v="336060"/>
  </r>
  <r>
    <x v="0"/>
    <n v="59"/>
    <x v="24"/>
    <x v="9"/>
    <x v="9"/>
    <n v="1005"/>
    <x v="25"/>
    <x v="0"/>
    <x v="44"/>
    <n v="3104"/>
    <x v="16"/>
    <n v="4718"/>
    <x v="169"/>
    <s v="F 01"/>
    <n v="87"/>
    <n v="8731"/>
    <x v="761"/>
    <s v="Annual"/>
    <n v="7"/>
    <n v="1"/>
    <n v="103914"/>
    <n v="727398"/>
  </r>
  <r>
    <x v="0"/>
    <n v="59"/>
    <x v="24"/>
    <x v="9"/>
    <x v="9"/>
    <n v="1005"/>
    <x v="25"/>
    <x v="0"/>
    <x v="44"/>
    <n v="3104"/>
    <x v="16"/>
    <n v="4718"/>
    <x v="169"/>
    <s v="F 01"/>
    <n v="87"/>
    <n v="8731"/>
    <x v="761"/>
    <s v="Annual"/>
    <n v="5"/>
    <n v="1"/>
    <n v="62466"/>
    <n v="312330"/>
  </r>
  <r>
    <x v="0"/>
    <n v="59"/>
    <x v="24"/>
    <x v="9"/>
    <x v="9"/>
    <n v="1005"/>
    <x v="25"/>
    <x v="0"/>
    <x v="44"/>
    <n v="3104"/>
    <x v="16"/>
    <n v="4718"/>
    <x v="169"/>
    <s v="F 02"/>
    <n v="87"/>
    <n v="8728"/>
    <x v="762"/>
    <s v="Annual"/>
    <n v="1"/>
    <n v="1"/>
    <n v="117324"/>
    <n v="117324"/>
  </r>
  <r>
    <x v="0"/>
    <n v="59"/>
    <x v="24"/>
    <x v="9"/>
    <x v="9"/>
    <n v="1005"/>
    <x v="25"/>
    <x v="0"/>
    <x v="44"/>
    <n v="3104"/>
    <x v="16"/>
    <n v="4718"/>
    <x v="169"/>
    <s v="F 02"/>
    <n v="87"/>
    <n v="8728"/>
    <x v="762"/>
    <s v="Annual"/>
    <n v="2"/>
    <n v="1"/>
    <n v="112812"/>
    <n v="225624"/>
  </r>
  <r>
    <x v="0"/>
    <n v="59"/>
    <x v="24"/>
    <x v="9"/>
    <x v="9"/>
    <n v="1005"/>
    <x v="25"/>
    <x v="0"/>
    <x v="44"/>
    <n v="3104"/>
    <x v="16"/>
    <n v="4718"/>
    <x v="169"/>
    <s v="F 02"/>
    <n v="87"/>
    <n v="8728"/>
    <x v="762"/>
    <s v="Annual"/>
    <n v="1"/>
    <n v="1"/>
    <n v="108444"/>
    <n v="108444"/>
  </r>
  <r>
    <x v="0"/>
    <n v="59"/>
    <x v="24"/>
    <x v="9"/>
    <x v="9"/>
    <n v="1005"/>
    <x v="25"/>
    <x v="0"/>
    <x v="44"/>
    <n v="3104"/>
    <x v="16"/>
    <n v="4718"/>
    <x v="169"/>
    <s v="F 02"/>
    <n v="87"/>
    <n v="8728"/>
    <x v="762"/>
    <s v="Annual"/>
    <n v="10"/>
    <n v="1"/>
    <n v="104814"/>
    <n v="1048140"/>
  </r>
  <r>
    <x v="0"/>
    <n v="59"/>
    <x v="24"/>
    <x v="9"/>
    <x v="9"/>
    <n v="1005"/>
    <x v="25"/>
    <x v="0"/>
    <x v="44"/>
    <n v="3104"/>
    <x v="16"/>
    <n v="4718"/>
    <x v="169"/>
    <s v="F 02"/>
    <n v="87"/>
    <n v="8728"/>
    <x v="762"/>
    <s v="Annual"/>
    <n v="5"/>
    <n v="1"/>
    <n v="101262"/>
    <n v="506310"/>
  </r>
  <r>
    <x v="0"/>
    <n v="59"/>
    <x v="24"/>
    <x v="9"/>
    <x v="9"/>
    <n v="1005"/>
    <x v="25"/>
    <x v="0"/>
    <x v="44"/>
    <n v="3104"/>
    <x v="16"/>
    <n v="4718"/>
    <x v="169"/>
    <s v="F 02"/>
    <n v="87"/>
    <n v="8728"/>
    <x v="762"/>
    <s v="Annual"/>
    <n v="2"/>
    <n v="1"/>
    <n v="96402"/>
    <n v="192804"/>
  </r>
  <r>
    <x v="0"/>
    <n v="59"/>
    <x v="24"/>
    <x v="9"/>
    <x v="9"/>
    <n v="1005"/>
    <x v="25"/>
    <x v="0"/>
    <x v="44"/>
    <n v="3104"/>
    <x v="16"/>
    <n v="4718"/>
    <x v="169"/>
    <s v="F 02"/>
    <n v="87"/>
    <n v="8728"/>
    <x v="762"/>
    <s v="Annual"/>
    <n v="1"/>
    <n v="1"/>
    <n v="78624"/>
    <n v="78624"/>
  </r>
  <r>
    <x v="0"/>
    <n v="59"/>
    <x v="24"/>
    <x v="9"/>
    <x v="9"/>
    <n v="1005"/>
    <x v="25"/>
    <x v="0"/>
    <x v="44"/>
    <n v="3104"/>
    <x v="16"/>
    <n v="4718"/>
    <x v="169"/>
    <s v="F 6B"/>
    <n v="87"/>
    <n v="8701"/>
    <x v="764"/>
    <s v="Annual"/>
    <n v="6"/>
    <n v="1"/>
    <n v="165858"/>
    <n v="995148"/>
  </r>
  <r>
    <x v="0"/>
    <n v="59"/>
    <x v="24"/>
    <x v="9"/>
    <x v="9"/>
    <n v="1005"/>
    <x v="25"/>
    <x v="0"/>
    <x v="44"/>
    <n v="3104"/>
    <x v="16"/>
    <n v="4718"/>
    <x v="169"/>
    <s v="B 12"/>
    <n v="1"/>
    <s v="03A8"/>
    <x v="88"/>
    <s v="Annual"/>
    <n v="1"/>
    <n v="1"/>
    <n v="62544"/>
    <n v="62544"/>
  </r>
  <r>
    <x v="0"/>
    <n v="59"/>
    <x v="24"/>
    <x v="9"/>
    <x v="9"/>
    <n v="1005"/>
    <x v="25"/>
    <x v="0"/>
    <x v="44"/>
    <n v="3104"/>
    <x v="16"/>
    <n v="4718"/>
    <x v="169"/>
    <s v="1 00"/>
    <n v="0"/>
    <n v="15"/>
    <x v="37"/>
    <s v="Annual"/>
    <n v="0"/>
    <n v="0"/>
    <n v="84571"/>
    <n v="84571"/>
  </r>
  <r>
    <x v="0"/>
    <n v="59"/>
    <x v="24"/>
    <x v="9"/>
    <x v="9"/>
    <n v="1005"/>
    <x v="25"/>
    <x v="0"/>
    <x v="44"/>
    <n v="3104"/>
    <x v="16"/>
    <n v="4720"/>
    <x v="170"/>
    <s v="F 3A"/>
    <n v="87"/>
    <n v="8819"/>
    <x v="750"/>
    <s v="Annual"/>
    <n v="1"/>
    <n v="1"/>
    <n v="125202"/>
    <n v="125202"/>
  </r>
  <r>
    <x v="0"/>
    <n v="59"/>
    <x v="24"/>
    <x v="9"/>
    <x v="9"/>
    <n v="1005"/>
    <x v="25"/>
    <x v="0"/>
    <x v="44"/>
    <n v="3104"/>
    <x v="16"/>
    <n v="4720"/>
    <x v="170"/>
    <s v="F 01"/>
    <n v="87"/>
    <n v="8750"/>
    <x v="741"/>
    <s v="Annual"/>
    <n v="3"/>
    <n v="1"/>
    <n v="108036"/>
    <n v="324108"/>
  </r>
  <r>
    <x v="0"/>
    <n v="59"/>
    <x v="24"/>
    <x v="9"/>
    <x v="9"/>
    <n v="1005"/>
    <x v="25"/>
    <x v="0"/>
    <x v="44"/>
    <n v="3104"/>
    <x v="16"/>
    <n v="4720"/>
    <x v="170"/>
    <s v="F 01"/>
    <n v="87"/>
    <n v="8750"/>
    <x v="741"/>
    <s v="Annual"/>
    <n v="6"/>
    <n v="1"/>
    <n v="103914"/>
    <n v="623484"/>
  </r>
  <r>
    <x v="0"/>
    <n v="59"/>
    <x v="24"/>
    <x v="9"/>
    <x v="9"/>
    <n v="1005"/>
    <x v="25"/>
    <x v="0"/>
    <x v="44"/>
    <n v="3104"/>
    <x v="16"/>
    <n v="4720"/>
    <x v="170"/>
    <s v="F 01"/>
    <n v="87"/>
    <n v="8750"/>
    <x v="741"/>
    <s v="Annual"/>
    <n v="2"/>
    <n v="1"/>
    <n v="99876"/>
    <n v="199752"/>
  </r>
  <r>
    <x v="0"/>
    <n v="59"/>
    <x v="24"/>
    <x v="9"/>
    <x v="9"/>
    <n v="1005"/>
    <x v="25"/>
    <x v="0"/>
    <x v="44"/>
    <n v="3104"/>
    <x v="16"/>
    <n v="4720"/>
    <x v="170"/>
    <s v="F 3A"/>
    <n v="87"/>
    <n v="8749"/>
    <x v="742"/>
    <s v="Annual"/>
    <n v="2"/>
    <n v="1"/>
    <n v="115308"/>
    <n v="230616"/>
  </r>
  <r>
    <x v="0"/>
    <n v="59"/>
    <x v="24"/>
    <x v="9"/>
    <x v="9"/>
    <n v="1005"/>
    <x v="25"/>
    <x v="0"/>
    <x v="44"/>
    <n v="3104"/>
    <x v="16"/>
    <n v="4720"/>
    <x v="170"/>
    <s v="F 3A"/>
    <n v="87"/>
    <n v="8749"/>
    <x v="742"/>
    <s v="Annual"/>
    <n v="6"/>
    <n v="1"/>
    <n v="112020"/>
    <n v="672120"/>
  </r>
  <r>
    <x v="0"/>
    <n v="59"/>
    <x v="24"/>
    <x v="9"/>
    <x v="9"/>
    <n v="1005"/>
    <x v="25"/>
    <x v="0"/>
    <x v="44"/>
    <n v="3104"/>
    <x v="16"/>
    <n v="4720"/>
    <x v="170"/>
    <s v="F 3A"/>
    <n v="87"/>
    <n v="8749"/>
    <x v="742"/>
    <s v="Annual"/>
    <n v="1"/>
    <n v="1"/>
    <n v="108096"/>
    <n v="108096"/>
  </r>
  <r>
    <x v="0"/>
    <n v="59"/>
    <x v="24"/>
    <x v="9"/>
    <x v="9"/>
    <n v="1005"/>
    <x v="25"/>
    <x v="0"/>
    <x v="44"/>
    <n v="3104"/>
    <x v="16"/>
    <n v="4720"/>
    <x v="170"/>
    <s v="F 05"/>
    <n v="87"/>
    <n v="8745"/>
    <x v="745"/>
    <s v="Annual"/>
    <n v="2"/>
    <n v="1"/>
    <n v="143076"/>
    <n v="286152"/>
  </r>
  <r>
    <x v="0"/>
    <n v="59"/>
    <x v="24"/>
    <x v="9"/>
    <x v="9"/>
    <n v="1005"/>
    <x v="25"/>
    <x v="0"/>
    <x v="44"/>
    <n v="3104"/>
    <x v="16"/>
    <n v="4720"/>
    <x v="170"/>
    <s v="F 05"/>
    <n v="87"/>
    <n v="8745"/>
    <x v="745"/>
    <s v="Annual"/>
    <n v="1"/>
    <n v="1"/>
    <n v="138828"/>
    <n v="138828"/>
  </r>
  <r>
    <x v="0"/>
    <n v="59"/>
    <x v="24"/>
    <x v="9"/>
    <x v="9"/>
    <n v="1005"/>
    <x v="25"/>
    <x v="0"/>
    <x v="44"/>
    <n v="3104"/>
    <x v="16"/>
    <n v="4720"/>
    <x v="170"/>
    <s v="1 00"/>
    <n v="0"/>
    <n v="15"/>
    <x v="37"/>
    <s v="Annual"/>
    <n v="0"/>
    <n v="0"/>
    <n v="15482"/>
    <n v="15482"/>
  </r>
  <r>
    <x v="0"/>
    <n v="85"/>
    <x v="38"/>
    <x v="9"/>
    <x v="9"/>
    <n v="1005"/>
    <x v="58"/>
    <x v="5"/>
    <x v="80"/>
    <n v="3015"/>
    <x v="312"/>
    <n v="4400"/>
    <x v="23"/>
    <s v="1 00"/>
    <n v="9"/>
    <n v="9985"/>
    <x v="1159"/>
    <s v="Annual"/>
    <n v="1"/>
    <n v="1"/>
    <n v="350000"/>
    <n v="350000"/>
  </r>
  <r>
    <x v="0"/>
    <n v="85"/>
    <x v="38"/>
    <x v="9"/>
    <x v="9"/>
    <n v="1005"/>
    <x v="58"/>
    <x v="5"/>
    <x v="80"/>
    <n v="3015"/>
    <x v="312"/>
    <n v="4400"/>
    <x v="23"/>
    <s v="X 41"/>
    <n v="0"/>
    <n v="9823"/>
    <x v="216"/>
    <s v="Annual"/>
    <n v="3"/>
    <n v="1"/>
    <n v="211752"/>
    <n v="635256"/>
  </r>
  <r>
    <x v="0"/>
    <n v="85"/>
    <x v="38"/>
    <x v="9"/>
    <x v="9"/>
    <n v="1005"/>
    <x v="58"/>
    <x v="5"/>
    <x v="80"/>
    <n v="3015"/>
    <x v="312"/>
    <n v="4400"/>
    <x v="23"/>
    <s v="X 41"/>
    <n v="0"/>
    <n v="9823"/>
    <x v="216"/>
    <s v="Annual"/>
    <n v="1"/>
    <n v="1"/>
    <n v="205200"/>
    <n v="205200"/>
  </r>
  <r>
    <x v="0"/>
    <n v="85"/>
    <x v="38"/>
    <x v="9"/>
    <x v="9"/>
    <n v="1005"/>
    <x v="58"/>
    <x v="5"/>
    <x v="80"/>
    <n v="3015"/>
    <x v="312"/>
    <n v="4400"/>
    <x v="23"/>
    <s v="X 41"/>
    <n v="0"/>
    <n v="9823"/>
    <x v="216"/>
    <s v="Annual"/>
    <n v="2"/>
    <n v="1"/>
    <n v="196740"/>
    <n v="393480"/>
  </r>
  <r>
    <x v="0"/>
    <n v="85"/>
    <x v="38"/>
    <x v="9"/>
    <x v="9"/>
    <n v="1005"/>
    <x v="58"/>
    <x v="5"/>
    <x v="80"/>
    <n v="3015"/>
    <x v="312"/>
    <n v="4400"/>
    <x v="23"/>
    <s v="X 41"/>
    <n v="9"/>
    <n v="9663"/>
    <x v="353"/>
    <s v="Annual"/>
    <n v="1"/>
    <n v="1"/>
    <n v="164412"/>
    <n v="164412"/>
  </r>
  <r>
    <x v="0"/>
    <n v="85"/>
    <x v="38"/>
    <x v="9"/>
    <x v="9"/>
    <n v="1005"/>
    <x v="58"/>
    <x v="5"/>
    <x v="80"/>
    <n v="3015"/>
    <x v="312"/>
    <n v="4400"/>
    <x v="23"/>
    <s v="B 14"/>
    <n v="4"/>
    <n v="1912"/>
    <x v="222"/>
    <s v="Annual"/>
    <n v="1"/>
    <n v="1"/>
    <n v="103608"/>
    <n v="103608"/>
  </r>
  <r>
    <x v="0"/>
    <n v="85"/>
    <x v="38"/>
    <x v="9"/>
    <x v="9"/>
    <n v="1005"/>
    <x v="58"/>
    <x v="5"/>
    <x v="80"/>
    <n v="3015"/>
    <x v="312"/>
    <n v="4400"/>
    <x v="23"/>
    <s v="BX 16"/>
    <n v="10"/>
    <n v="1430"/>
    <x v="355"/>
    <s v="Annual"/>
    <n v="1"/>
    <n v="1"/>
    <n v="76476"/>
    <n v="76476"/>
  </r>
  <r>
    <x v="0"/>
    <n v="85"/>
    <x v="38"/>
    <x v="9"/>
    <x v="9"/>
    <n v="1005"/>
    <x v="58"/>
    <x v="5"/>
    <x v="80"/>
    <n v="3015"/>
    <x v="312"/>
    <n v="4400"/>
    <x v="23"/>
    <s v="BX 16"/>
    <n v="10"/>
    <n v="802"/>
    <x v="30"/>
    <s v="Annual"/>
    <n v="1"/>
    <n v="1"/>
    <n v="85128"/>
    <n v="85128"/>
  </r>
  <r>
    <x v="0"/>
    <n v="85"/>
    <x v="38"/>
    <x v="9"/>
    <x v="9"/>
    <n v="1005"/>
    <x v="58"/>
    <x v="5"/>
    <x v="80"/>
    <n v="3015"/>
    <x v="312"/>
    <n v="4400"/>
    <x v="23"/>
    <s v="BX 16"/>
    <n v="10"/>
    <n v="802"/>
    <x v="30"/>
    <s v="Annual"/>
    <n v="1"/>
    <n v="1"/>
    <n v="83052"/>
    <n v="83052"/>
  </r>
  <r>
    <x v="0"/>
    <n v="85"/>
    <x v="38"/>
    <x v="9"/>
    <x v="9"/>
    <n v="1005"/>
    <x v="58"/>
    <x v="5"/>
    <x v="80"/>
    <n v="3015"/>
    <x v="312"/>
    <n v="4400"/>
    <x v="23"/>
    <s v="X 43"/>
    <n v="0"/>
    <s v="03A2"/>
    <x v="220"/>
    <s v="Annual"/>
    <n v="1"/>
    <n v="1"/>
    <n v="160680"/>
    <n v="160680"/>
  </r>
  <r>
    <x v="0"/>
    <n v="85"/>
    <x v="38"/>
    <x v="9"/>
    <x v="9"/>
    <n v="1005"/>
    <x v="58"/>
    <x v="5"/>
    <x v="80"/>
    <n v="3015"/>
    <x v="312"/>
    <n v="4400"/>
    <x v="23"/>
    <s v="X 43"/>
    <n v="0"/>
    <s v="03A2"/>
    <x v="220"/>
    <s v="Annual"/>
    <n v="1"/>
    <n v="1"/>
    <n v="150768"/>
    <n v="150768"/>
  </r>
  <r>
    <x v="0"/>
    <n v="85"/>
    <x v="38"/>
    <x v="9"/>
    <x v="9"/>
    <n v="1005"/>
    <x v="58"/>
    <x v="5"/>
    <x v="80"/>
    <n v="3015"/>
    <x v="312"/>
    <n v="4400"/>
    <x v="23"/>
    <s v="X 43"/>
    <n v="0"/>
    <s v="03A2"/>
    <x v="220"/>
    <s v="Annual"/>
    <n v="2"/>
    <n v="1"/>
    <n v="133836"/>
    <n v="267672"/>
  </r>
  <r>
    <x v="0"/>
    <n v="85"/>
    <x v="38"/>
    <x v="9"/>
    <x v="9"/>
    <n v="1005"/>
    <x v="58"/>
    <x v="5"/>
    <x v="80"/>
    <n v="3015"/>
    <x v="312"/>
    <n v="4400"/>
    <x v="23"/>
    <s v="BX 13"/>
    <n v="20"/>
    <n v="366"/>
    <x v="219"/>
    <s v="Annual"/>
    <n v="1"/>
    <n v="1"/>
    <n v="66516"/>
    <n v="66516"/>
  </r>
  <r>
    <x v="0"/>
    <n v="85"/>
    <x v="38"/>
    <x v="9"/>
    <x v="9"/>
    <n v="1005"/>
    <x v="58"/>
    <x v="5"/>
    <x v="80"/>
    <n v="3015"/>
    <x v="312"/>
    <n v="4400"/>
    <x v="23"/>
    <s v="1 00"/>
    <n v="0"/>
    <n v="15"/>
    <x v="37"/>
    <s v="Annual"/>
    <n v="0"/>
    <n v="0"/>
    <n v="64204"/>
    <n v="64204"/>
  </r>
  <r>
    <x v="0"/>
    <n v="85"/>
    <x v="38"/>
    <x v="9"/>
    <x v="9"/>
    <n v="1005"/>
    <x v="58"/>
    <x v="5"/>
    <x v="80"/>
    <n v="3015"/>
    <x v="312"/>
    <n v="4402"/>
    <x v="85"/>
    <s v="X 42"/>
    <n v="0"/>
    <n v="9681"/>
    <x v="81"/>
    <s v="Annual"/>
    <n v="1"/>
    <n v="1"/>
    <n v="184584"/>
    <n v="184584"/>
  </r>
  <r>
    <x v="0"/>
    <n v="85"/>
    <x v="38"/>
    <x v="9"/>
    <x v="9"/>
    <n v="1005"/>
    <x v="58"/>
    <x v="5"/>
    <x v="80"/>
    <n v="3015"/>
    <x v="312"/>
    <n v="4402"/>
    <x v="85"/>
    <s v="GY 07"/>
    <n v="10"/>
    <n v="1386"/>
    <x v="382"/>
    <s v="Annual"/>
    <n v="1"/>
    <n v="1"/>
    <n v="79728"/>
    <n v="79728"/>
  </r>
  <r>
    <x v="0"/>
    <n v="85"/>
    <x v="38"/>
    <x v="9"/>
    <x v="9"/>
    <n v="1005"/>
    <x v="58"/>
    <x v="5"/>
    <x v="80"/>
    <n v="3015"/>
    <x v="312"/>
    <n v="4402"/>
    <x v="85"/>
    <s v="GY 07"/>
    <n v="10"/>
    <n v="1386"/>
    <x v="382"/>
    <s v="Annual"/>
    <n v="1"/>
    <n v="1"/>
    <n v="76020"/>
    <n v="76020"/>
  </r>
  <r>
    <x v="0"/>
    <n v="85"/>
    <x v="38"/>
    <x v="9"/>
    <x v="9"/>
    <n v="1005"/>
    <x v="58"/>
    <x v="5"/>
    <x v="80"/>
    <n v="3015"/>
    <x v="312"/>
    <n v="4402"/>
    <x v="85"/>
    <s v="GY 08"/>
    <n v="20"/>
    <n v="1368"/>
    <x v="358"/>
    <s v="Annual"/>
    <n v="2"/>
    <n v="1"/>
    <n v="93156"/>
    <n v="186312"/>
  </r>
  <r>
    <x v="0"/>
    <n v="85"/>
    <x v="38"/>
    <x v="9"/>
    <x v="9"/>
    <n v="1005"/>
    <x v="58"/>
    <x v="5"/>
    <x v="80"/>
    <n v="3015"/>
    <x v="312"/>
    <n v="4402"/>
    <x v="85"/>
    <s v="X 43"/>
    <n v="0"/>
    <n v="1336"/>
    <x v="388"/>
    <s v="Annual"/>
    <n v="1"/>
    <n v="1"/>
    <n v="150768"/>
    <n v="150768"/>
  </r>
  <r>
    <x v="0"/>
    <n v="85"/>
    <x v="38"/>
    <x v="9"/>
    <x v="9"/>
    <n v="1005"/>
    <x v="58"/>
    <x v="5"/>
    <x v="80"/>
    <n v="3015"/>
    <x v="312"/>
    <n v="4402"/>
    <x v="85"/>
    <s v="BX 17"/>
    <n v="20"/>
    <n v="1331"/>
    <x v="248"/>
    <s v="Annual"/>
    <n v="1"/>
    <n v="1"/>
    <n v="93384"/>
    <n v="93384"/>
  </r>
  <r>
    <x v="0"/>
    <n v="85"/>
    <x v="38"/>
    <x v="9"/>
    <x v="9"/>
    <n v="1005"/>
    <x v="58"/>
    <x v="5"/>
    <x v="80"/>
    <n v="3015"/>
    <x v="312"/>
    <n v="4402"/>
    <x v="85"/>
    <s v="BX 17"/>
    <n v="20"/>
    <n v="1327"/>
    <x v="596"/>
    <s v="Annual"/>
    <n v="1"/>
    <n v="1"/>
    <n v="118956"/>
    <n v="118956"/>
  </r>
  <r>
    <x v="0"/>
    <n v="85"/>
    <x v="38"/>
    <x v="9"/>
    <x v="9"/>
    <n v="1005"/>
    <x v="58"/>
    <x v="5"/>
    <x v="80"/>
    <n v="3015"/>
    <x v="312"/>
    <n v="4402"/>
    <x v="85"/>
    <s v="BX 17"/>
    <n v="20"/>
    <n v="1327"/>
    <x v="596"/>
    <s v="Annual"/>
    <n v="1"/>
    <n v="1"/>
    <n v="83052"/>
    <n v="83052"/>
  </r>
  <r>
    <x v="0"/>
    <n v="85"/>
    <x v="38"/>
    <x v="9"/>
    <x v="9"/>
    <n v="1005"/>
    <x v="58"/>
    <x v="5"/>
    <x v="80"/>
    <n v="3015"/>
    <x v="312"/>
    <n v="4402"/>
    <x v="85"/>
    <s v="BX 16"/>
    <n v="10"/>
    <n v="1315"/>
    <x v="318"/>
    <s v="Annual"/>
    <n v="1"/>
    <n v="1"/>
    <n v="80124"/>
    <n v="80124"/>
  </r>
  <r>
    <x v="0"/>
    <n v="85"/>
    <x v="38"/>
    <x v="9"/>
    <x v="9"/>
    <n v="1005"/>
    <x v="58"/>
    <x v="5"/>
    <x v="80"/>
    <n v="3015"/>
    <x v="312"/>
    <n v="4402"/>
    <x v="85"/>
    <s v="B 15"/>
    <n v="1"/>
    <n v="1302"/>
    <x v="83"/>
    <s v="Annual"/>
    <n v="1"/>
    <n v="1"/>
    <n v="143400"/>
    <n v="143400"/>
  </r>
  <r>
    <x v="0"/>
    <n v="85"/>
    <x v="38"/>
    <x v="9"/>
    <x v="9"/>
    <n v="1005"/>
    <x v="58"/>
    <x v="5"/>
    <x v="80"/>
    <n v="3015"/>
    <x v="312"/>
    <n v="4402"/>
    <x v="85"/>
    <s v="B 15"/>
    <n v="1"/>
    <n v="1302"/>
    <x v="83"/>
    <s v="Annual"/>
    <n v="1"/>
    <n v="1"/>
    <n v="136908"/>
    <n v="136908"/>
  </r>
  <r>
    <x v="0"/>
    <n v="85"/>
    <x v="38"/>
    <x v="9"/>
    <x v="9"/>
    <n v="1005"/>
    <x v="58"/>
    <x v="5"/>
    <x v="80"/>
    <n v="3015"/>
    <x v="312"/>
    <n v="4402"/>
    <x v="85"/>
    <s v="B 15"/>
    <n v="1"/>
    <n v="1302"/>
    <x v="83"/>
    <s v="Annual"/>
    <n v="1"/>
    <n v="1"/>
    <n v="130668"/>
    <n v="130668"/>
  </r>
  <r>
    <x v="0"/>
    <n v="85"/>
    <x v="38"/>
    <x v="9"/>
    <x v="9"/>
    <n v="1005"/>
    <x v="58"/>
    <x v="5"/>
    <x v="80"/>
    <n v="3015"/>
    <x v="312"/>
    <n v="4402"/>
    <x v="85"/>
    <s v="B 15"/>
    <n v="1"/>
    <n v="1302"/>
    <x v="83"/>
    <s v="Annual"/>
    <n v="1"/>
    <n v="1"/>
    <n v="119100"/>
    <n v="119100"/>
  </r>
  <r>
    <x v="0"/>
    <n v="85"/>
    <x v="38"/>
    <x v="9"/>
    <x v="9"/>
    <n v="1005"/>
    <x v="58"/>
    <x v="5"/>
    <x v="80"/>
    <n v="3015"/>
    <x v="312"/>
    <n v="4402"/>
    <x v="85"/>
    <s v="B 15"/>
    <n v="1"/>
    <n v="1302"/>
    <x v="83"/>
    <s v="Annual"/>
    <n v="1"/>
    <n v="1"/>
    <n v="108576"/>
    <n v="108576"/>
  </r>
  <r>
    <x v="0"/>
    <n v="85"/>
    <x v="38"/>
    <x v="9"/>
    <x v="9"/>
    <n v="1005"/>
    <x v="58"/>
    <x v="5"/>
    <x v="80"/>
    <n v="3015"/>
    <x v="312"/>
    <n v="4402"/>
    <x v="85"/>
    <s v="B 13"/>
    <n v="1"/>
    <n v="1301"/>
    <x v="227"/>
    <s v="Annual"/>
    <n v="1"/>
    <n v="1"/>
    <n v="77640"/>
    <n v="77640"/>
  </r>
  <r>
    <x v="0"/>
    <n v="85"/>
    <x v="38"/>
    <x v="9"/>
    <x v="9"/>
    <n v="1005"/>
    <x v="58"/>
    <x v="5"/>
    <x v="80"/>
    <n v="3015"/>
    <x v="312"/>
    <n v="4402"/>
    <x v="85"/>
    <s v="B 13"/>
    <n v="1"/>
    <n v="1301"/>
    <x v="227"/>
    <s v="Annual"/>
    <n v="1"/>
    <n v="1"/>
    <n v="70752"/>
    <n v="70752"/>
  </r>
  <r>
    <x v="0"/>
    <n v="85"/>
    <x v="38"/>
    <x v="9"/>
    <x v="9"/>
    <n v="1005"/>
    <x v="58"/>
    <x v="5"/>
    <x v="80"/>
    <n v="3015"/>
    <x v="312"/>
    <n v="4402"/>
    <x v="85"/>
    <s v="B 13"/>
    <n v="1"/>
    <n v="1301"/>
    <x v="227"/>
    <s v="Annual"/>
    <n v="1"/>
    <n v="1"/>
    <n v="68616"/>
    <n v="68616"/>
  </r>
  <r>
    <x v="0"/>
    <n v="85"/>
    <x v="38"/>
    <x v="9"/>
    <x v="9"/>
    <n v="1005"/>
    <x v="58"/>
    <x v="5"/>
    <x v="80"/>
    <n v="3015"/>
    <x v="312"/>
    <n v="4402"/>
    <x v="85"/>
    <s v="B 09"/>
    <n v="1"/>
    <n v="460"/>
    <x v="344"/>
    <s v="Annual"/>
    <n v="1"/>
    <n v="1"/>
    <n v="48864"/>
    <n v="48864"/>
  </r>
  <r>
    <x v="0"/>
    <n v="85"/>
    <x v="38"/>
    <x v="9"/>
    <x v="9"/>
    <n v="1005"/>
    <x v="58"/>
    <x v="5"/>
    <x v="80"/>
    <n v="3015"/>
    <x v="312"/>
    <n v="4402"/>
    <x v="85"/>
    <s v="B 09"/>
    <n v="1"/>
    <n v="460"/>
    <x v="344"/>
    <s v="Annual"/>
    <n v="1"/>
    <n v="1"/>
    <n v="47364"/>
    <n v="47364"/>
  </r>
  <r>
    <x v="0"/>
    <n v="85"/>
    <x v="38"/>
    <x v="9"/>
    <x v="9"/>
    <n v="1005"/>
    <x v="58"/>
    <x v="5"/>
    <x v="80"/>
    <n v="3015"/>
    <x v="312"/>
    <n v="4402"/>
    <x v="85"/>
    <s v="BX 18"/>
    <n v="10"/>
    <n v="311"/>
    <x v="253"/>
    <s v="Annual"/>
    <n v="1"/>
    <n v="1"/>
    <n v="107340"/>
    <n v="107340"/>
  </r>
  <r>
    <x v="0"/>
    <n v="85"/>
    <x v="38"/>
    <x v="9"/>
    <x v="9"/>
    <n v="1005"/>
    <x v="58"/>
    <x v="5"/>
    <x v="80"/>
    <n v="3015"/>
    <x v="312"/>
    <n v="4402"/>
    <x v="85"/>
    <s v="B 13"/>
    <n v="1"/>
    <n v="308"/>
    <x v="90"/>
    <s v="Annual"/>
    <n v="1"/>
    <n v="1"/>
    <n v="74172"/>
    <n v="74172"/>
  </r>
  <r>
    <x v="0"/>
    <n v="85"/>
    <x v="38"/>
    <x v="9"/>
    <x v="9"/>
    <n v="1005"/>
    <x v="58"/>
    <x v="5"/>
    <x v="80"/>
    <n v="3015"/>
    <x v="312"/>
    <n v="4402"/>
    <x v="85"/>
    <s v="1 00"/>
    <n v="0"/>
    <n v="15"/>
    <x v="37"/>
    <s v="Annual"/>
    <n v="0"/>
    <n v="0"/>
    <n v="43593"/>
    <n v="43593"/>
  </r>
  <r>
    <x v="0"/>
    <n v="85"/>
    <x v="38"/>
    <x v="9"/>
    <x v="9"/>
    <n v="1005"/>
    <x v="58"/>
    <x v="5"/>
    <x v="80"/>
    <n v="3015"/>
    <x v="312"/>
    <n v="4404"/>
    <x v="306"/>
    <s v="B 09"/>
    <n v="1"/>
    <n v="460"/>
    <x v="344"/>
    <s v="Annual"/>
    <n v="1"/>
    <n v="1"/>
    <n v="47364"/>
    <n v="47364"/>
  </r>
  <r>
    <x v="0"/>
    <n v="85"/>
    <x v="38"/>
    <x v="9"/>
    <x v="9"/>
    <n v="1005"/>
    <x v="58"/>
    <x v="5"/>
    <x v="80"/>
    <n v="3015"/>
    <x v="312"/>
    <n v="4404"/>
    <x v="306"/>
    <s v="B 11"/>
    <n v="1"/>
    <n v="450"/>
    <x v="407"/>
    <s v="Annual"/>
    <n v="1"/>
    <n v="1"/>
    <n v="98928"/>
    <n v="98928"/>
  </r>
  <r>
    <x v="0"/>
    <n v="85"/>
    <x v="38"/>
    <x v="9"/>
    <x v="9"/>
    <n v="1005"/>
    <x v="58"/>
    <x v="5"/>
    <x v="80"/>
    <n v="3015"/>
    <x v="312"/>
    <n v="4404"/>
    <x v="306"/>
    <s v="B 11"/>
    <n v="1"/>
    <n v="450"/>
    <x v="407"/>
    <s v="Annual"/>
    <n v="1"/>
    <n v="1"/>
    <n v="64488"/>
    <n v="64488"/>
  </r>
  <r>
    <x v="0"/>
    <n v="85"/>
    <x v="38"/>
    <x v="9"/>
    <x v="9"/>
    <n v="1005"/>
    <x v="58"/>
    <x v="5"/>
    <x v="80"/>
    <n v="3015"/>
    <x v="312"/>
    <n v="4404"/>
    <x v="306"/>
    <s v="B 11"/>
    <n v="1"/>
    <n v="450"/>
    <x v="407"/>
    <s v="Annual"/>
    <n v="1"/>
    <n v="1"/>
    <n v="61548"/>
    <n v="61548"/>
  </r>
  <r>
    <x v="0"/>
    <n v="85"/>
    <x v="38"/>
    <x v="9"/>
    <x v="9"/>
    <n v="1005"/>
    <x v="58"/>
    <x v="5"/>
    <x v="80"/>
    <n v="3015"/>
    <x v="312"/>
    <n v="4404"/>
    <x v="306"/>
    <s v="B 11"/>
    <n v="1"/>
    <n v="450"/>
    <x v="407"/>
    <s v="Annual"/>
    <n v="2"/>
    <n v="1"/>
    <n v="58764"/>
    <n v="117528"/>
  </r>
  <r>
    <x v="0"/>
    <n v="85"/>
    <x v="38"/>
    <x v="9"/>
    <x v="9"/>
    <n v="1005"/>
    <x v="58"/>
    <x v="5"/>
    <x v="80"/>
    <n v="3015"/>
    <x v="312"/>
    <n v="4404"/>
    <x v="306"/>
    <s v="B 11"/>
    <n v="1"/>
    <n v="450"/>
    <x v="407"/>
    <s v="Annual"/>
    <n v="3"/>
    <n v="1"/>
    <n v="57000"/>
    <n v="171000"/>
  </r>
  <r>
    <x v="0"/>
    <n v="85"/>
    <x v="38"/>
    <x v="9"/>
    <x v="9"/>
    <n v="1005"/>
    <x v="58"/>
    <x v="5"/>
    <x v="80"/>
    <n v="3015"/>
    <x v="312"/>
    <n v="4404"/>
    <x v="306"/>
    <s v="B 10"/>
    <n v="1"/>
    <s v="03A7"/>
    <x v="4"/>
    <s v="Annual"/>
    <n v="1"/>
    <n v="1"/>
    <n v="51936"/>
    <n v="51936"/>
  </r>
  <r>
    <x v="0"/>
    <n v="85"/>
    <x v="38"/>
    <x v="9"/>
    <x v="9"/>
    <n v="1005"/>
    <x v="58"/>
    <x v="5"/>
    <x v="80"/>
    <n v="3015"/>
    <x v="312"/>
    <n v="4404"/>
    <x v="306"/>
    <s v="BX 17"/>
    <n v="10"/>
    <n v="122"/>
    <x v="876"/>
    <s v="Annual"/>
    <n v="1"/>
    <n v="1"/>
    <n v="130524"/>
    <n v="130524"/>
  </r>
  <r>
    <x v="0"/>
    <n v="85"/>
    <x v="38"/>
    <x v="9"/>
    <x v="9"/>
    <n v="1005"/>
    <x v="58"/>
    <x v="5"/>
    <x v="80"/>
    <n v="3015"/>
    <x v="312"/>
    <n v="4404"/>
    <x v="306"/>
    <s v="B 17"/>
    <n v="1"/>
    <n v="121"/>
    <x v="273"/>
    <s v="Annual"/>
    <n v="1"/>
    <n v="1"/>
    <n v="99480"/>
    <n v="99480"/>
  </r>
  <r>
    <x v="0"/>
    <n v="85"/>
    <x v="38"/>
    <x v="9"/>
    <x v="9"/>
    <n v="1005"/>
    <x v="58"/>
    <x v="5"/>
    <x v="80"/>
    <n v="3015"/>
    <x v="312"/>
    <n v="4404"/>
    <x v="306"/>
    <s v="B 14"/>
    <n v="1"/>
    <n v="114"/>
    <x v="274"/>
    <s v="Annual"/>
    <n v="1"/>
    <n v="1"/>
    <n v="119100"/>
    <n v="119100"/>
  </r>
  <r>
    <x v="0"/>
    <n v="85"/>
    <x v="38"/>
    <x v="9"/>
    <x v="9"/>
    <n v="1005"/>
    <x v="58"/>
    <x v="5"/>
    <x v="80"/>
    <n v="3015"/>
    <x v="312"/>
    <n v="4404"/>
    <x v="306"/>
    <s v="B 14"/>
    <n v="1"/>
    <n v="114"/>
    <x v="274"/>
    <s v="Annual"/>
    <n v="1"/>
    <n v="1"/>
    <n v="75336"/>
    <n v="75336"/>
  </r>
  <r>
    <x v="0"/>
    <n v="85"/>
    <x v="38"/>
    <x v="9"/>
    <x v="9"/>
    <n v="1005"/>
    <x v="58"/>
    <x v="5"/>
    <x v="80"/>
    <n v="3015"/>
    <x v="312"/>
    <n v="4404"/>
    <x v="306"/>
    <s v="1 00"/>
    <n v="0"/>
    <n v="15"/>
    <x v="37"/>
    <s v="Annual"/>
    <n v="0"/>
    <n v="0"/>
    <n v="12308"/>
    <n v="12308"/>
  </r>
  <r>
    <x v="0"/>
    <n v="85"/>
    <x v="38"/>
    <x v="9"/>
    <x v="9"/>
    <n v="1005"/>
    <x v="58"/>
    <x v="5"/>
    <x v="80"/>
    <n v="3015"/>
    <x v="312"/>
    <n v="4405"/>
    <x v="307"/>
    <s v="BX 15"/>
    <n v="10"/>
    <n v="1911"/>
    <x v="226"/>
    <s v="Annual"/>
    <n v="1"/>
    <n v="1"/>
    <n v="69684"/>
    <n v="69684"/>
  </r>
  <r>
    <x v="0"/>
    <n v="85"/>
    <x v="38"/>
    <x v="9"/>
    <x v="9"/>
    <n v="1005"/>
    <x v="58"/>
    <x v="5"/>
    <x v="80"/>
    <n v="3015"/>
    <x v="312"/>
    <n v="4405"/>
    <x v="307"/>
    <s v="X 43"/>
    <n v="0"/>
    <s v="03A2"/>
    <x v="220"/>
    <s v="Annual"/>
    <n v="1"/>
    <n v="1"/>
    <n v="160680"/>
    <n v="160680"/>
  </r>
  <r>
    <x v="0"/>
    <n v="85"/>
    <x v="38"/>
    <x v="9"/>
    <x v="9"/>
    <n v="1005"/>
    <x v="58"/>
    <x v="5"/>
    <x v="80"/>
    <n v="3015"/>
    <x v="312"/>
    <n v="4405"/>
    <x v="307"/>
    <s v="BX 18"/>
    <n v="10"/>
    <n v="311"/>
    <x v="253"/>
    <s v="Annual"/>
    <n v="1"/>
    <n v="1"/>
    <n v="107340"/>
    <n v="107340"/>
  </r>
  <r>
    <x v="0"/>
    <n v="85"/>
    <x v="38"/>
    <x v="9"/>
    <x v="9"/>
    <n v="1005"/>
    <x v="58"/>
    <x v="5"/>
    <x v="80"/>
    <n v="3015"/>
    <x v="312"/>
    <n v="4405"/>
    <x v="307"/>
    <s v="BX 18"/>
    <n v="10"/>
    <n v="311"/>
    <x v="253"/>
    <s v="Annual"/>
    <n v="1"/>
    <n v="1"/>
    <n v="89112"/>
    <n v="89112"/>
  </r>
  <r>
    <x v="0"/>
    <n v="85"/>
    <x v="38"/>
    <x v="9"/>
    <x v="9"/>
    <n v="1005"/>
    <x v="58"/>
    <x v="5"/>
    <x v="80"/>
    <n v="3015"/>
    <x v="312"/>
    <n v="4405"/>
    <x v="307"/>
    <s v="1 00"/>
    <n v="0"/>
    <n v="15"/>
    <x v="37"/>
    <s v="Annual"/>
    <n v="0"/>
    <n v="0"/>
    <n v="5547"/>
    <n v="5547"/>
  </r>
  <r>
    <x v="0"/>
    <n v="85"/>
    <x v="38"/>
    <x v="9"/>
    <x v="9"/>
    <n v="1005"/>
    <x v="58"/>
    <x v="5"/>
    <x v="80"/>
    <n v="3015"/>
    <x v="312"/>
    <n v="4406"/>
    <x v="308"/>
    <s v="PX 03"/>
    <n v="9"/>
    <n v="1434"/>
    <x v="902"/>
    <s v="Annual"/>
    <n v="1"/>
    <n v="1"/>
    <n v="128736"/>
    <n v="128736"/>
  </r>
  <r>
    <x v="0"/>
    <n v="85"/>
    <x v="38"/>
    <x v="9"/>
    <x v="9"/>
    <n v="1005"/>
    <x v="58"/>
    <x v="5"/>
    <x v="80"/>
    <n v="3015"/>
    <x v="312"/>
    <n v="4406"/>
    <x v="308"/>
    <s v="BX 17"/>
    <n v="10"/>
    <n v="790"/>
    <x v="31"/>
    <s v="Annual"/>
    <n v="1"/>
    <n v="1"/>
    <n v="93384"/>
    <n v="93384"/>
  </r>
  <r>
    <x v="0"/>
    <n v="85"/>
    <x v="38"/>
    <x v="9"/>
    <x v="9"/>
    <n v="1005"/>
    <x v="58"/>
    <x v="5"/>
    <x v="80"/>
    <n v="3015"/>
    <x v="312"/>
    <n v="4406"/>
    <x v="308"/>
    <s v="B 15"/>
    <n v="1"/>
    <n v="729"/>
    <x v="32"/>
    <s v="Annual"/>
    <n v="1"/>
    <n v="1"/>
    <n v="102588"/>
    <n v="102588"/>
  </r>
  <r>
    <x v="0"/>
    <n v="85"/>
    <x v="38"/>
    <x v="9"/>
    <x v="9"/>
    <n v="1005"/>
    <x v="58"/>
    <x v="5"/>
    <x v="80"/>
    <n v="3015"/>
    <x v="312"/>
    <n v="4406"/>
    <x v="308"/>
    <s v="B 15"/>
    <n v="1"/>
    <n v="729"/>
    <x v="32"/>
    <s v="Annual"/>
    <n v="1"/>
    <n v="1"/>
    <n v="89244"/>
    <n v="89244"/>
  </r>
  <r>
    <x v="0"/>
    <n v="85"/>
    <x v="38"/>
    <x v="9"/>
    <x v="9"/>
    <n v="1005"/>
    <x v="58"/>
    <x v="5"/>
    <x v="80"/>
    <n v="3015"/>
    <x v="312"/>
    <n v="4406"/>
    <x v="308"/>
    <s v="PX 01"/>
    <n v="9"/>
    <n v="721"/>
    <x v="1160"/>
    <s v="Annual"/>
    <n v="1"/>
    <n v="1"/>
    <n v="143688"/>
    <n v="143688"/>
  </r>
  <r>
    <x v="0"/>
    <n v="85"/>
    <x v="38"/>
    <x v="9"/>
    <x v="9"/>
    <n v="1005"/>
    <x v="58"/>
    <x v="5"/>
    <x v="80"/>
    <n v="3015"/>
    <x v="312"/>
    <n v="4406"/>
    <x v="308"/>
    <s v="B 13"/>
    <n v="1"/>
    <n v="708"/>
    <x v="84"/>
    <s v="Annual"/>
    <n v="1"/>
    <n v="1"/>
    <n v="68616"/>
    <n v="68616"/>
  </r>
  <r>
    <x v="0"/>
    <n v="85"/>
    <x v="38"/>
    <x v="9"/>
    <x v="9"/>
    <n v="1005"/>
    <x v="58"/>
    <x v="5"/>
    <x v="80"/>
    <n v="3015"/>
    <x v="312"/>
    <n v="4406"/>
    <x v="308"/>
    <s v="PX 02"/>
    <n v="9"/>
    <n v="705"/>
    <x v="33"/>
    <s v="Annual"/>
    <n v="1"/>
    <n v="1"/>
    <n v="143880"/>
    <n v="143880"/>
  </r>
  <r>
    <x v="0"/>
    <n v="85"/>
    <x v="38"/>
    <x v="9"/>
    <x v="9"/>
    <n v="1005"/>
    <x v="58"/>
    <x v="5"/>
    <x v="80"/>
    <n v="3015"/>
    <x v="312"/>
    <n v="4406"/>
    <x v="308"/>
    <s v="X 43"/>
    <n v="0"/>
    <s v="03A2"/>
    <x v="220"/>
    <s v="Annual"/>
    <n v="1"/>
    <n v="1"/>
    <n v="133836"/>
    <n v="133836"/>
  </r>
  <r>
    <x v="0"/>
    <n v="85"/>
    <x v="38"/>
    <x v="9"/>
    <x v="9"/>
    <n v="1005"/>
    <x v="58"/>
    <x v="5"/>
    <x v="80"/>
    <n v="3015"/>
    <x v="312"/>
    <n v="4406"/>
    <x v="308"/>
    <s v="1 00"/>
    <n v="0"/>
    <n v="15"/>
    <x v="37"/>
    <s v="Annual"/>
    <n v="0"/>
    <n v="0"/>
    <n v="8383"/>
    <n v="8383"/>
  </r>
  <r>
    <x v="0"/>
    <n v="85"/>
    <x v="38"/>
    <x v="9"/>
    <x v="9"/>
    <n v="1005"/>
    <x v="58"/>
    <x v="5"/>
    <x v="80"/>
    <n v="3015"/>
    <x v="312"/>
    <n v="4407"/>
    <x v="309"/>
    <s v="B 14"/>
    <n v="4"/>
    <n v="1912"/>
    <x v="222"/>
    <s v="Annual"/>
    <n v="3"/>
    <n v="1"/>
    <n v="75336"/>
    <n v="226008"/>
  </r>
  <r>
    <x v="0"/>
    <n v="85"/>
    <x v="38"/>
    <x v="9"/>
    <x v="9"/>
    <n v="1005"/>
    <x v="58"/>
    <x v="5"/>
    <x v="80"/>
    <n v="3015"/>
    <x v="312"/>
    <n v="4407"/>
    <x v="309"/>
    <s v="B 15"/>
    <n v="1"/>
    <n v="729"/>
    <x v="32"/>
    <s v="Annual"/>
    <n v="1"/>
    <n v="1"/>
    <n v="93504"/>
    <n v="93504"/>
  </r>
  <r>
    <x v="0"/>
    <n v="85"/>
    <x v="38"/>
    <x v="9"/>
    <x v="9"/>
    <n v="1005"/>
    <x v="58"/>
    <x v="5"/>
    <x v="80"/>
    <n v="3015"/>
    <x v="312"/>
    <n v="4407"/>
    <x v="309"/>
    <s v="X 43"/>
    <n v="0"/>
    <s v="03A2"/>
    <x v="220"/>
    <s v="Annual"/>
    <n v="3"/>
    <n v="1"/>
    <n v="160680"/>
    <n v="482040"/>
  </r>
  <r>
    <x v="0"/>
    <n v="85"/>
    <x v="38"/>
    <x v="9"/>
    <x v="9"/>
    <n v="1005"/>
    <x v="58"/>
    <x v="5"/>
    <x v="80"/>
    <n v="3015"/>
    <x v="312"/>
    <n v="4407"/>
    <x v="309"/>
    <s v="BX 18"/>
    <n v="10"/>
    <n v="311"/>
    <x v="253"/>
    <s v="Annual"/>
    <n v="1"/>
    <n v="1"/>
    <n v="89112"/>
    <n v="89112"/>
  </r>
  <r>
    <x v="0"/>
    <n v="85"/>
    <x v="38"/>
    <x v="9"/>
    <x v="9"/>
    <n v="1005"/>
    <x v="58"/>
    <x v="5"/>
    <x v="80"/>
    <n v="3015"/>
    <x v="312"/>
    <n v="4407"/>
    <x v="309"/>
    <s v="BX 18"/>
    <n v="10"/>
    <n v="310"/>
    <x v="135"/>
    <s v="Annual"/>
    <n v="1"/>
    <n v="1"/>
    <n v="118956"/>
    <n v="118956"/>
  </r>
  <r>
    <x v="0"/>
    <n v="85"/>
    <x v="38"/>
    <x v="9"/>
    <x v="9"/>
    <n v="1005"/>
    <x v="58"/>
    <x v="5"/>
    <x v="80"/>
    <n v="3015"/>
    <x v="312"/>
    <n v="4407"/>
    <x v="309"/>
    <s v="BX 18"/>
    <n v="10"/>
    <n v="310"/>
    <x v="135"/>
    <s v="Annual"/>
    <n v="2"/>
    <n v="1"/>
    <n v="113568"/>
    <n v="227136"/>
  </r>
  <r>
    <x v="0"/>
    <n v="85"/>
    <x v="38"/>
    <x v="9"/>
    <x v="9"/>
    <n v="1005"/>
    <x v="58"/>
    <x v="5"/>
    <x v="80"/>
    <n v="3015"/>
    <x v="312"/>
    <n v="4407"/>
    <x v="309"/>
    <s v="BX 18"/>
    <n v="10"/>
    <n v="310"/>
    <x v="135"/>
    <s v="Annual"/>
    <n v="1"/>
    <n v="1"/>
    <n v="107340"/>
    <n v="107340"/>
  </r>
  <r>
    <x v="0"/>
    <n v="85"/>
    <x v="38"/>
    <x v="9"/>
    <x v="9"/>
    <n v="1005"/>
    <x v="58"/>
    <x v="5"/>
    <x v="80"/>
    <n v="3015"/>
    <x v="312"/>
    <n v="4407"/>
    <x v="309"/>
    <s v="BX 18"/>
    <n v="10"/>
    <n v="310"/>
    <x v="135"/>
    <s v="Annual"/>
    <n v="1"/>
    <n v="1"/>
    <n v="102444"/>
    <n v="102444"/>
  </r>
  <r>
    <x v="0"/>
    <n v="85"/>
    <x v="38"/>
    <x v="9"/>
    <x v="9"/>
    <n v="1005"/>
    <x v="58"/>
    <x v="5"/>
    <x v="80"/>
    <n v="3015"/>
    <x v="312"/>
    <n v="4407"/>
    <x v="309"/>
    <s v="BX 18"/>
    <n v="10"/>
    <n v="310"/>
    <x v="135"/>
    <s v="Annual"/>
    <n v="1"/>
    <n v="1"/>
    <n v="89112"/>
    <n v="89112"/>
  </r>
  <r>
    <x v="0"/>
    <n v="85"/>
    <x v="38"/>
    <x v="9"/>
    <x v="9"/>
    <n v="1005"/>
    <x v="58"/>
    <x v="5"/>
    <x v="80"/>
    <n v="3015"/>
    <x v="312"/>
    <n v="4407"/>
    <x v="309"/>
    <s v="1 00"/>
    <n v="0"/>
    <n v="15"/>
    <x v="37"/>
    <s v="Annual"/>
    <n v="0"/>
    <n v="0"/>
    <n v="11586"/>
    <n v="11586"/>
  </r>
  <r>
    <x v="0"/>
    <n v="85"/>
    <x v="38"/>
    <x v="9"/>
    <x v="9"/>
    <n v="1005"/>
    <x v="58"/>
    <x v="5"/>
    <x v="80"/>
    <n v="3015"/>
    <x v="312"/>
    <n v="4408"/>
    <x v="310"/>
    <s v="BX 18"/>
    <n v="10"/>
    <n v="1512"/>
    <x v="398"/>
    <s v="Annual"/>
    <n v="1"/>
    <n v="1"/>
    <n v="89112"/>
    <n v="89112"/>
  </r>
  <r>
    <x v="0"/>
    <n v="85"/>
    <x v="38"/>
    <x v="9"/>
    <x v="9"/>
    <n v="1005"/>
    <x v="58"/>
    <x v="5"/>
    <x v="80"/>
    <n v="3015"/>
    <x v="312"/>
    <n v="4408"/>
    <x v="310"/>
    <s v="B 13"/>
    <n v="1"/>
    <n v="1482"/>
    <x v="96"/>
    <s v="Annual"/>
    <n v="1"/>
    <n v="1"/>
    <n v="119100"/>
    <n v="119100"/>
  </r>
  <r>
    <x v="0"/>
    <n v="85"/>
    <x v="38"/>
    <x v="9"/>
    <x v="9"/>
    <n v="1005"/>
    <x v="58"/>
    <x v="5"/>
    <x v="80"/>
    <n v="3015"/>
    <x v="312"/>
    <n v="4408"/>
    <x v="310"/>
    <s v="X 43"/>
    <n v="0"/>
    <n v="1195"/>
    <x v="405"/>
    <s v="Annual"/>
    <n v="1"/>
    <n v="1"/>
    <n v="160680"/>
    <n v="160680"/>
  </r>
  <r>
    <x v="0"/>
    <n v="85"/>
    <x v="38"/>
    <x v="9"/>
    <x v="9"/>
    <n v="1005"/>
    <x v="58"/>
    <x v="5"/>
    <x v="80"/>
    <n v="3015"/>
    <x v="312"/>
    <n v="4408"/>
    <x v="310"/>
    <s v="X 43"/>
    <n v="0"/>
    <n v="1195"/>
    <x v="405"/>
    <s v="Annual"/>
    <n v="1"/>
    <n v="1"/>
    <n v="150768"/>
    <n v="150768"/>
  </r>
  <r>
    <x v="0"/>
    <n v="85"/>
    <x v="38"/>
    <x v="9"/>
    <x v="9"/>
    <n v="1005"/>
    <x v="58"/>
    <x v="5"/>
    <x v="80"/>
    <n v="3015"/>
    <x v="312"/>
    <n v="4408"/>
    <x v="310"/>
    <s v="X 43"/>
    <n v="0"/>
    <n v="1195"/>
    <x v="405"/>
    <s v="Annual"/>
    <n v="1"/>
    <n v="1"/>
    <n v="133836"/>
    <n v="133836"/>
  </r>
  <r>
    <x v="0"/>
    <n v="85"/>
    <x v="38"/>
    <x v="9"/>
    <x v="9"/>
    <n v="1005"/>
    <x v="58"/>
    <x v="5"/>
    <x v="80"/>
    <n v="3015"/>
    <x v="312"/>
    <n v="4408"/>
    <x v="310"/>
    <s v="X 43"/>
    <n v="0"/>
    <s v="03A2"/>
    <x v="220"/>
    <s v="Annual"/>
    <n v="1"/>
    <n v="1"/>
    <n v="160680"/>
    <n v="160680"/>
  </r>
  <r>
    <x v="0"/>
    <n v="85"/>
    <x v="38"/>
    <x v="9"/>
    <x v="9"/>
    <n v="1005"/>
    <x v="58"/>
    <x v="5"/>
    <x v="80"/>
    <n v="3015"/>
    <x v="312"/>
    <n v="4408"/>
    <x v="310"/>
    <s v="B 16"/>
    <n v="4"/>
    <n v="345"/>
    <x v="108"/>
    <s v="Annual"/>
    <n v="1"/>
    <n v="1"/>
    <n v="124848"/>
    <n v="124848"/>
  </r>
  <r>
    <x v="0"/>
    <n v="85"/>
    <x v="38"/>
    <x v="9"/>
    <x v="9"/>
    <n v="1005"/>
    <x v="58"/>
    <x v="5"/>
    <x v="80"/>
    <n v="3015"/>
    <x v="312"/>
    <n v="4408"/>
    <x v="310"/>
    <s v="B 16"/>
    <n v="4"/>
    <n v="345"/>
    <x v="108"/>
    <s v="Annual"/>
    <n v="1"/>
    <n v="1"/>
    <n v="90732"/>
    <n v="90732"/>
  </r>
  <r>
    <x v="0"/>
    <n v="85"/>
    <x v="38"/>
    <x v="9"/>
    <x v="9"/>
    <n v="1005"/>
    <x v="58"/>
    <x v="5"/>
    <x v="80"/>
    <n v="3015"/>
    <x v="312"/>
    <n v="4408"/>
    <x v="310"/>
    <s v="1 00"/>
    <n v="0"/>
    <n v="15"/>
    <x v="37"/>
    <s v="Annual"/>
    <n v="0"/>
    <n v="0"/>
    <n v="20858"/>
    <n v="20858"/>
  </r>
  <r>
    <x v="0"/>
    <n v="85"/>
    <x v="38"/>
    <x v="9"/>
    <x v="9"/>
    <n v="1005"/>
    <x v="58"/>
    <x v="5"/>
    <x v="80"/>
    <n v="3015"/>
    <x v="312"/>
    <n v="4409"/>
    <x v="311"/>
    <s v="2 0"/>
    <n v="53"/>
    <n v="9532"/>
    <x v="391"/>
    <s v="Hourly"/>
    <n v="6"/>
    <n v="1"/>
    <n v="51.4"/>
    <n v="641472"/>
  </r>
  <r>
    <x v="0"/>
    <n v="85"/>
    <x v="38"/>
    <x v="9"/>
    <x v="9"/>
    <n v="1005"/>
    <x v="58"/>
    <x v="5"/>
    <x v="80"/>
    <n v="3015"/>
    <x v="312"/>
    <n v="4409"/>
    <x v="311"/>
    <s v="2 0"/>
    <n v="53"/>
    <n v="1819"/>
    <x v="1161"/>
    <s v="Hourly"/>
    <n v="5"/>
    <n v="1"/>
    <n v="52.5"/>
    <n v="546000"/>
  </r>
  <r>
    <x v="0"/>
    <n v="85"/>
    <x v="38"/>
    <x v="9"/>
    <x v="9"/>
    <n v="1005"/>
    <x v="58"/>
    <x v="5"/>
    <x v="80"/>
    <n v="3015"/>
    <x v="312"/>
    <n v="4409"/>
    <x v="311"/>
    <s v="B 15"/>
    <n v="3"/>
    <n v="1814"/>
    <x v="905"/>
    <s v="Annual"/>
    <n v="1"/>
    <n v="1"/>
    <n v="136908"/>
    <n v="136908"/>
  </r>
  <r>
    <x v="0"/>
    <n v="85"/>
    <x v="38"/>
    <x v="9"/>
    <x v="9"/>
    <n v="1005"/>
    <x v="58"/>
    <x v="5"/>
    <x v="80"/>
    <n v="3015"/>
    <x v="312"/>
    <n v="4409"/>
    <x v="311"/>
    <s v="BX 17"/>
    <n v="10"/>
    <n v="1812"/>
    <x v="1162"/>
    <s v="Annual"/>
    <n v="1"/>
    <n v="1"/>
    <n v="113568"/>
    <n v="113568"/>
  </r>
  <r>
    <x v="0"/>
    <n v="85"/>
    <x v="38"/>
    <x v="9"/>
    <x v="9"/>
    <n v="1005"/>
    <x v="58"/>
    <x v="5"/>
    <x v="80"/>
    <n v="3015"/>
    <x v="312"/>
    <n v="4409"/>
    <x v="311"/>
    <s v="B 12"/>
    <n v="1"/>
    <s v="03A8"/>
    <x v="88"/>
    <s v="Annual"/>
    <n v="1"/>
    <n v="1"/>
    <n v="108576"/>
    <n v="108576"/>
  </r>
  <r>
    <x v="0"/>
    <n v="85"/>
    <x v="38"/>
    <x v="9"/>
    <x v="9"/>
    <n v="1005"/>
    <x v="58"/>
    <x v="5"/>
    <x v="80"/>
    <n v="3015"/>
    <x v="312"/>
    <n v="4409"/>
    <x v="311"/>
    <s v="B 16"/>
    <n v="4"/>
    <n v="345"/>
    <x v="108"/>
    <s v="Annual"/>
    <n v="1"/>
    <n v="1"/>
    <n v="157332"/>
    <n v="157332"/>
  </r>
  <r>
    <x v="0"/>
    <n v="85"/>
    <x v="38"/>
    <x v="9"/>
    <x v="9"/>
    <n v="1005"/>
    <x v="58"/>
    <x v="5"/>
    <x v="80"/>
    <n v="3015"/>
    <x v="312"/>
    <n v="4409"/>
    <x v="311"/>
    <s v="1 00"/>
    <n v="0"/>
    <n v="15"/>
    <x v="37"/>
    <s v="Annual"/>
    <n v="0"/>
    <n v="0"/>
    <n v="10490"/>
    <n v="10490"/>
  </r>
  <r>
    <x v="0"/>
    <n v="85"/>
    <x v="38"/>
    <x v="9"/>
    <x v="9"/>
    <n v="1005"/>
    <x v="58"/>
    <x v="5"/>
    <x v="80"/>
    <n v="3015"/>
    <x v="312"/>
    <n v="4409"/>
    <x v="311"/>
    <s v="1 00"/>
    <n v="0"/>
    <n v="12"/>
    <x v="291"/>
    <s v="Annual"/>
    <n v="0"/>
    <n v="0"/>
    <n v="17812"/>
    <n v="17812"/>
  </r>
  <r>
    <x v="0"/>
    <n v="85"/>
    <x v="38"/>
    <x v="9"/>
    <x v="9"/>
    <n v="1005"/>
    <x v="58"/>
    <x v="5"/>
    <x v="80"/>
    <n v="3015"/>
    <x v="312"/>
    <n v="4410"/>
    <x v="312"/>
    <s v="X 42"/>
    <n v="0"/>
    <n v="9681"/>
    <x v="81"/>
    <s v="Annual"/>
    <n v="1"/>
    <n v="1"/>
    <n v="192852"/>
    <n v="192852"/>
  </r>
  <r>
    <x v="0"/>
    <n v="85"/>
    <x v="38"/>
    <x v="9"/>
    <x v="9"/>
    <n v="1005"/>
    <x v="58"/>
    <x v="5"/>
    <x v="80"/>
    <n v="3015"/>
    <x v="312"/>
    <n v="4410"/>
    <x v="312"/>
    <s v="B 13"/>
    <n v="1"/>
    <n v="6409"/>
    <x v="466"/>
    <s v="Annual"/>
    <n v="1"/>
    <n v="1"/>
    <n v="68616"/>
    <n v="68616"/>
  </r>
  <r>
    <x v="0"/>
    <n v="85"/>
    <x v="38"/>
    <x v="9"/>
    <x v="9"/>
    <n v="1005"/>
    <x v="58"/>
    <x v="5"/>
    <x v="80"/>
    <n v="3015"/>
    <x v="312"/>
    <n v="4410"/>
    <x v="312"/>
    <s v="BX 17"/>
    <n v="10"/>
    <n v="5753"/>
    <x v="1070"/>
    <s v="Annual"/>
    <n v="1"/>
    <n v="1"/>
    <n v="85128"/>
    <n v="85128"/>
  </r>
  <r>
    <x v="0"/>
    <n v="85"/>
    <x v="38"/>
    <x v="9"/>
    <x v="9"/>
    <n v="1005"/>
    <x v="58"/>
    <x v="5"/>
    <x v="80"/>
    <n v="3015"/>
    <x v="312"/>
    <n v="4410"/>
    <x v="312"/>
    <s v="B 12"/>
    <n v="1"/>
    <n v="810"/>
    <x v="915"/>
    <s v="Annual"/>
    <n v="1"/>
    <n v="1"/>
    <n v="62544"/>
    <n v="62544"/>
  </r>
  <r>
    <x v="0"/>
    <n v="85"/>
    <x v="38"/>
    <x v="9"/>
    <x v="9"/>
    <n v="1005"/>
    <x v="58"/>
    <x v="5"/>
    <x v="80"/>
    <n v="3015"/>
    <x v="312"/>
    <n v="4410"/>
    <x v="312"/>
    <s v="B 09"/>
    <n v="1"/>
    <n v="460"/>
    <x v="344"/>
    <s v="Annual"/>
    <n v="1"/>
    <n v="1"/>
    <n v="47364"/>
    <n v="47364"/>
  </r>
  <r>
    <x v="0"/>
    <n v="85"/>
    <x v="38"/>
    <x v="9"/>
    <x v="9"/>
    <n v="1005"/>
    <x v="58"/>
    <x v="5"/>
    <x v="80"/>
    <n v="3015"/>
    <x v="312"/>
    <n v="4410"/>
    <x v="312"/>
    <s v="B 10"/>
    <n v="1"/>
    <s v="03A7"/>
    <x v="4"/>
    <s v="Annual"/>
    <n v="1"/>
    <n v="1"/>
    <n v="51936"/>
    <n v="51936"/>
  </r>
  <r>
    <x v="0"/>
    <n v="85"/>
    <x v="38"/>
    <x v="9"/>
    <x v="9"/>
    <n v="1005"/>
    <x v="58"/>
    <x v="5"/>
    <x v="80"/>
    <n v="3015"/>
    <x v="312"/>
    <n v="4410"/>
    <x v="312"/>
    <s v="X 43"/>
    <n v="0"/>
    <s v="03A2"/>
    <x v="220"/>
    <s v="Annual"/>
    <n v="1"/>
    <n v="1"/>
    <n v="133836"/>
    <n v="133836"/>
  </r>
  <r>
    <x v="0"/>
    <n v="85"/>
    <x v="38"/>
    <x v="9"/>
    <x v="9"/>
    <n v="1005"/>
    <x v="58"/>
    <x v="5"/>
    <x v="80"/>
    <n v="3015"/>
    <x v="312"/>
    <n v="4410"/>
    <x v="312"/>
    <s v="BX 18"/>
    <n v="10"/>
    <n v="311"/>
    <x v="253"/>
    <s v="Annual"/>
    <n v="1"/>
    <n v="1"/>
    <n v="118956"/>
    <n v="118956"/>
  </r>
  <r>
    <x v="0"/>
    <n v="85"/>
    <x v="38"/>
    <x v="9"/>
    <x v="9"/>
    <n v="1005"/>
    <x v="58"/>
    <x v="5"/>
    <x v="80"/>
    <n v="3015"/>
    <x v="312"/>
    <n v="4410"/>
    <x v="312"/>
    <s v="BX 18"/>
    <n v="10"/>
    <n v="310"/>
    <x v="135"/>
    <s v="Annual"/>
    <n v="1"/>
    <n v="1"/>
    <n v="118956"/>
    <n v="118956"/>
  </r>
  <r>
    <x v="0"/>
    <n v="85"/>
    <x v="38"/>
    <x v="9"/>
    <x v="9"/>
    <n v="1005"/>
    <x v="58"/>
    <x v="5"/>
    <x v="80"/>
    <n v="3015"/>
    <x v="312"/>
    <n v="4410"/>
    <x v="312"/>
    <s v="BX 18"/>
    <n v="10"/>
    <n v="310"/>
    <x v="135"/>
    <s v="Annual"/>
    <n v="1"/>
    <n v="1"/>
    <n v="113568"/>
    <n v="113568"/>
  </r>
  <r>
    <x v="0"/>
    <n v="85"/>
    <x v="38"/>
    <x v="9"/>
    <x v="9"/>
    <n v="1005"/>
    <x v="58"/>
    <x v="5"/>
    <x v="80"/>
    <n v="3015"/>
    <x v="312"/>
    <n v="4410"/>
    <x v="312"/>
    <s v="BX 18"/>
    <n v="10"/>
    <n v="310"/>
    <x v="135"/>
    <s v="Annual"/>
    <n v="2"/>
    <n v="1"/>
    <n v="89112"/>
    <n v="178224"/>
  </r>
  <r>
    <x v="0"/>
    <n v="85"/>
    <x v="38"/>
    <x v="9"/>
    <x v="9"/>
    <n v="1005"/>
    <x v="58"/>
    <x v="5"/>
    <x v="80"/>
    <n v="3015"/>
    <x v="312"/>
    <n v="4410"/>
    <x v="312"/>
    <s v="B 13"/>
    <n v="1"/>
    <n v="308"/>
    <x v="90"/>
    <s v="Annual"/>
    <n v="2"/>
    <n v="1"/>
    <n v="68616"/>
    <n v="137232"/>
  </r>
  <r>
    <x v="0"/>
    <n v="85"/>
    <x v="38"/>
    <x v="9"/>
    <x v="9"/>
    <n v="1005"/>
    <x v="58"/>
    <x v="5"/>
    <x v="80"/>
    <n v="3015"/>
    <x v="312"/>
    <n v="4410"/>
    <x v="312"/>
    <s v="G 06"/>
    <n v="4"/>
    <n v="192"/>
    <x v="272"/>
    <s v="Annual"/>
    <n v="1"/>
    <n v="1"/>
    <n v="118836"/>
    <n v="118836"/>
  </r>
  <r>
    <x v="0"/>
    <n v="85"/>
    <x v="38"/>
    <x v="9"/>
    <x v="9"/>
    <n v="1005"/>
    <x v="58"/>
    <x v="5"/>
    <x v="80"/>
    <n v="3015"/>
    <x v="312"/>
    <n v="4410"/>
    <x v="312"/>
    <s v="G 06"/>
    <n v="4"/>
    <n v="192"/>
    <x v="272"/>
    <s v="Annual"/>
    <n v="1"/>
    <n v="1"/>
    <n v="81636"/>
    <n v="81636"/>
  </r>
  <r>
    <x v="0"/>
    <n v="85"/>
    <x v="38"/>
    <x v="9"/>
    <x v="9"/>
    <n v="1005"/>
    <x v="58"/>
    <x v="5"/>
    <x v="80"/>
    <n v="3015"/>
    <x v="312"/>
    <n v="4410"/>
    <x v="312"/>
    <s v="1 00"/>
    <n v="0"/>
    <n v="15"/>
    <x v="37"/>
    <s v="Annual"/>
    <n v="0"/>
    <n v="0"/>
    <n v="13992"/>
    <n v="13992"/>
  </r>
  <r>
    <x v="0"/>
    <n v="85"/>
    <x v="38"/>
    <x v="9"/>
    <x v="9"/>
    <n v="1005"/>
    <x v="58"/>
    <x v="5"/>
    <x v="80"/>
    <n v="3015"/>
    <x v="312"/>
    <n v="4411"/>
    <x v="313"/>
    <s v="X 43"/>
    <n v="0"/>
    <s v="03A2"/>
    <x v="220"/>
    <s v="Annual"/>
    <n v="1"/>
    <n v="1"/>
    <n v="167700"/>
    <n v="167700"/>
  </r>
  <r>
    <x v="0"/>
    <n v="85"/>
    <x v="38"/>
    <x v="9"/>
    <x v="9"/>
    <n v="1005"/>
    <x v="58"/>
    <x v="5"/>
    <x v="80"/>
    <n v="3015"/>
    <x v="312"/>
    <n v="4411"/>
    <x v="313"/>
    <s v="BX 18"/>
    <n v="10"/>
    <n v="310"/>
    <x v="135"/>
    <s v="Annual"/>
    <n v="1"/>
    <n v="1"/>
    <n v="89112"/>
    <n v="89112"/>
  </r>
  <r>
    <x v="0"/>
    <n v="85"/>
    <x v="38"/>
    <x v="9"/>
    <x v="9"/>
    <n v="1005"/>
    <x v="58"/>
    <x v="5"/>
    <x v="80"/>
    <n v="3015"/>
    <x v="312"/>
    <n v="4411"/>
    <x v="313"/>
    <s v="G 06"/>
    <n v="4"/>
    <n v="228"/>
    <x v="1163"/>
    <s v="Annual"/>
    <n v="1"/>
    <n v="1"/>
    <n v="81636"/>
    <n v="81636"/>
  </r>
  <r>
    <x v="0"/>
    <n v="85"/>
    <x v="38"/>
    <x v="9"/>
    <x v="9"/>
    <n v="1005"/>
    <x v="58"/>
    <x v="5"/>
    <x v="80"/>
    <n v="3015"/>
    <x v="312"/>
    <n v="4411"/>
    <x v="313"/>
    <s v="BX 15"/>
    <n v="10"/>
    <n v="134"/>
    <x v="74"/>
    <s v="Annual"/>
    <n v="1"/>
    <n v="1"/>
    <n v="80124"/>
    <n v="80124"/>
  </r>
  <r>
    <x v="0"/>
    <n v="85"/>
    <x v="38"/>
    <x v="9"/>
    <x v="9"/>
    <n v="1005"/>
    <x v="58"/>
    <x v="5"/>
    <x v="80"/>
    <n v="3015"/>
    <x v="312"/>
    <n v="4411"/>
    <x v="313"/>
    <s v="BX 15"/>
    <n v="10"/>
    <n v="134"/>
    <x v="74"/>
    <s v="Annual"/>
    <n v="1"/>
    <n v="1"/>
    <n v="69684"/>
    <n v="69684"/>
  </r>
  <r>
    <x v="0"/>
    <n v="85"/>
    <x v="38"/>
    <x v="9"/>
    <x v="9"/>
    <n v="1005"/>
    <x v="58"/>
    <x v="5"/>
    <x v="80"/>
    <n v="3015"/>
    <x v="312"/>
    <n v="4411"/>
    <x v="313"/>
    <s v="X 43"/>
    <n v="0"/>
    <n v="112"/>
    <x v="92"/>
    <s v="Annual"/>
    <n v="1"/>
    <n v="1"/>
    <n v="133836"/>
    <n v="133836"/>
  </r>
  <r>
    <x v="0"/>
    <n v="85"/>
    <x v="38"/>
    <x v="9"/>
    <x v="9"/>
    <n v="1005"/>
    <x v="58"/>
    <x v="5"/>
    <x v="80"/>
    <n v="3015"/>
    <x v="312"/>
    <n v="4411"/>
    <x v="313"/>
    <s v="G 07"/>
    <n v="4"/>
    <n v="111"/>
    <x v="245"/>
    <s v="Annual"/>
    <n v="1"/>
    <n v="1"/>
    <n v="90144"/>
    <n v="90144"/>
  </r>
  <r>
    <x v="0"/>
    <n v="85"/>
    <x v="38"/>
    <x v="9"/>
    <x v="9"/>
    <n v="1005"/>
    <x v="58"/>
    <x v="5"/>
    <x v="80"/>
    <n v="3015"/>
    <x v="312"/>
    <n v="4411"/>
    <x v="313"/>
    <s v="B 13"/>
    <n v="4"/>
    <n v="110"/>
    <x v="93"/>
    <s v="Annual"/>
    <n v="1"/>
    <n v="1"/>
    <n v="113628"/>
    <n v="113628"/>
  </r>
  <r>
    <x v="0"/>
    <n v="85"/>
    <x v="38"/>
    <x v="9"/>
    <x v="9"/>
    <n v="1005"/>
    <x v="58"/>
    <x v="5"/>
    <x v="80"/>
    <n v="3015"/>
    <x v="312"/>
    <n v="4411"/>
    <x v="313"/>
    <s v="1 00"/>
    <n v="0"/>
    <n v="15"/>
    <x v="37"/>
    <s v="Annual"/>
    <n v="0"/>
    <n v="0"/>
    <n v="9870"/>
    <n v="9870"/>
  </r>
  <r>
    <x v="0"/>
    <n v="85"/>
    <x v="38"/>
    <x v="9"/>
    <x v="9"/>
    <n v="1005"/>
    <x v="58"/>
    <x v="5"/>
    <x v="80"/>
    <n v="3015"/>
    <x v="312"/>
    <n v="4412"/>
    <x v="314"/>
    <s v="B 14"/>
    <n v="4"/>
    <n v="1912"/>
    <x v="222"/>
    <s v="Annual"/>
    <n v="1"/>
    <n v="1"/>
    <n v="85200"/>
    <n v="85200"/>
  </r>
  <r>
    <x v="0"/>
    <n v="85"/>
    <x v="38"/>
    <x v="9"/>
    <x v="9"/>
    <n v="1005"/>
    <x v="58"/>
    <x v="5"/>
    <x v="80"/>
    <n v="3015"/>
    <x v="312"/>
    <n v="4412"/>
    <x v="314"/>
    <s v="B 14"/>
    <n v="4"/>
    <n v="1912"/>
    <x v="222"/>
    <s v="Annual"/>
    <n v="1"/>
    <n v="1"/>
    <n v="81324"/>
    <n v="81324"/>
  </r>
  <r>
    <x v="0"/>
    <n v="85"/>
    <x v="38"/>
    <x v="9"/>
    <x v="9"/>
    <n v="1005"/>
    <x v="58"/>
    <x v="5"/>
    <x v="80"/>
    <n v="3015"/>
    <x v="312"/>
    <n v="4412"/>
    <x v="314"/>
    <s v="B 14"/>
    <n v="4"/>
    <n v="1912"/>
    <x v="222"/>
    <s v="Annual"/>
    <n v="1"/>
    <n v="1"/>
    <n v="77640"/>
    <n v="77640"/>
  </r>
  <r>
    <x v="0"/>
    <n v="85"/>
    <x v="38"/>
    <x v="9"/>
    <x v="9"/>
    <n v="1005"/>
    <x v="58"/>
    <x v="5"/>
    <x v="80"/>
    <n v="3015"/>
    <x v="312"/>
    <n v="4412"/>
    <x v="314"/>
    <s v="X 43"/>
    <n v="0"/>
    <s v="06M2"/>
    <x v="243"/>
    <s v="Annual"/>
    <n v="1"/>
    <n v="1"/>
    <n v="167700"/>
    <n v="167700"/>
  </r>
  <r>
    <x v="0"/>
    <n v="85"/>
    <x v="38"/>
    <x v="9"/>
    <x v="9"/>
    <n v="1005"/>
    <x v="58"/>
    <x v="5"/>
    <x v="80"/>
    <n v="3015"/>
    <x v="312"/>
    <n v="4412"/>
    <x v="314"/>
    <s v="X 43"/>
    <n v="0"/>
    <s v="06M1"/>
    <x v="332"/>
    <s v="Annual"/>
    <n v="1"/>
    <n v="1"/>
    <n v="160680"/>
    <n v="160680"/>
  </r>
  <r>
    <x v="0"/>
    <n v="85"/>
    <x v="38"/>
    <x v="9"/>
    <x v="9"/>
    <n v="1005"/>
    <x v="58"/>
    <x v="5"/>
    <x v="80"/>
    <n v="3015"/>
    <x v="312"/>
    <n v="4412"/>
    <x v="314"/>
    <s v="GY 12"/>
    <n v="20"/>
    <s v="06A9"/>
    <x v="1164"/>
    <s v="Annual"/>
    <n v="1"/>
    <n v="1"/>
    <n v="126756"/>
    <n v="126756"/>
  </r>
  <r>
    <x v="0"/>
    <n v="85"/>
    <x v="38"/>
    <x v="9"/>
    <x v="9"/>
    <n v="1005"/>
    <x v="58"/>
    <x v="5"/>
    <x v="80"/>
    <n v="3015"/>
    <x v="312"/>
    <n v="4412"/>
    <x v="314"/>
    <s v="GY 12"/>
    <n v="20"/>
    <s v="06A9"/>
    <x v="1164"/>
    <s v="Annual"/>
    <n v="1"/>
    <n v="1"/>
    <n v="115992"/>
    <n v="115992"/>
  </r>
  <r>
    <x v="0"/>
    <n v="85"/>
    <x v="38"/>
    <x v="9"/>
    <x v="9"/>
    <n v="1005"/>
    <x v="58"/>
    <x v="5"/>
    <x v="80"/>
    <n v="3015"/>
    <x v="312"/>
    <n v="4412"/>
    <x v="314"/>
    <s v="GY 11"/>
    <n v="20"/>
    <n v="677"/>
    <x v="1165"/>
    <s v="Annual"/>
    <n v="3"/>
    <n v="1"/>
    <n v="111000"/>
    <n v="333000"/>
  </r>
  <r>
    <x v="0"/>
    <n v="85"/>
    <x v="38"/>
    <x v="9"/>
    <x v="9"/>
    <n v="1005"/>
    <x v="58"/>
    <x v="5"/>
    <x v="80"/>
    <n v="3015"/>
    <x v="312"/>
    <n v="4412"/>
    <x v="314"/>
    <s v="GY 11"/>
    <n v="20"/>
    <n v="677"/>
    <x v="1165"/>
    <s v="Annual"/>
    <n v="5"/>
    <n v="1"/>
    <n v="106272"/>
    <n v="531360"/>
  </r>
  <r>
    <x v="0"/>
    <n v="85"/>
    <x v="38"/>
    <x v="9"/>
    <x v="9"/>
    <n v="1005"/>
    <x v="58"/>
    <x v="5"/>
    <x v="80"/>
    <n v="3015"/>
    <x v="312"/>
    <n v="4412"/>
    <x v="314"/>
    <s v="B 15"/>
    <n v="1"/>
    <n v="653"/>
    <x v="1166"/>
    <s v="Annual"/>
    <n v="1"/>
    <n v="1"/>
    <n v="108576"/>
    <n v="108576"/>
  </r>
  <r>
    <x v="0"/>
    <n v="85"/>
    <x v="38"/>
    <x v="9"/>
    <x v="9"/>
    <n v="1005"/>
    <x v="58"/>
    <x v="5"/>
    <x v="80"/>
    <n v="3015"/>
    <x v="312"/>
    <n v="4412"/>
    <x v="314"/>
    <s v="G 06"/>
    <n v="4"/>
    <n v="638"/>
    <x v="621"/>
    <s v="Annual"/>
    <n v="1"/>
    <n v="1"/>
    <n v="92940"/>
    <n v="92940"/>
  </r>
  <r>
    <x v="0"/>
    <n v="85"/>
    <x v="38"/>
    <x v="9"/>
    <x v="9"/>
    <n v="1005"/>
    <x v="58"/>
    <x v="5"/>
    <x v="80"/>
    <n v="3015"/>
    <x v="312"/>
    <n v="4412"/>
    <x v="314"/>
    <s v="B 17"/>
    <n v="1"/>
    <n v="633"/>
    <x v="1102"/>
    <s v="Annual"/>
    <n v="1"/>
    <n v="1"/>
    <n v="172584"/>
    <n v="172584"/>
  </r>
  <r>
    <x v="0"/>
    <n v="85"/>
    <x v="38"/>
    <x v="9"/>
    <x v="9"/>
    <n v="1005"/>
    <x v="58"/>
    <x v="5"/>
    <x v="80"/>
    <n v="3015"/>
    <x v="312"/>
    <n v="4412"/>
    <x v="314"/>
    <s v="B 15"/>
    <n v="1"/>
    <n v="627"/>
    <x v="622"/>
    <s v="Annual"/>
    <n v="2"/>
    <n v="1"/>
    <n v="93504"/>
    <n v="187008"/>
  </r>
  <r>
    <x v="0"/>
    <n v="85"/>
    <x v="38"/>
    <x v="9"/>
    <x v="9"/>
    <n v="1005"/>
    <x v="58"/>
    <x v="5"/>
    <x v="80"/>
    <n v="3015"/>
    <x v="312"/>
    <n v="4412"/>
    <x v="314"/>
    <s v="GY 13"/>
    <n v="20"/>
    <n v="614"/>
    <x v="1167"/>
    <s v="Annual"/>
    <n v="1"/>
    <n v="1"/>
    <n v="126756"/>
    <n v="126756"/>
  </r>
  <r>
    <x v="0"/>
    <n v="85"/>
    <x v="38"/>
    <x v="9"/>
    <x v="9"/>
    <n v="1005"/>
    <x v="58"/>
    <x v="5"/>
    <x v="80"/>
    <n v="3015"/>
    <x v="312"/>
    <n v="4412"/>
    <x v="314"/>
    <s v="BX 18"/>
    <n v="10"/>
    <n v="311"/>
    <x v="253"/>
    <s v="Annual"/>
    <n v="1"/>
    <n v="1"/>
    <n v="113568"/>
    <n v="113568"/>
  </r>
  <r>
    <x v="0"/>
    <n v="85"/>
    <x v="38"/>
    <x v="9"/>
    <x v="9"/>
    <n v="1005"/>
    <x v="58"/>
    <x v="5"/>
    <x v="80"/>
    <n v="3015"/>
    <x v="312"/>
    <n v="4412"/>
    <x v="314"/>
    <s v="BX 18"/>
    <n v="10"/>
    <n v="310"/>
    <x v="135"/>
    <s v="Annual"/>
    <n v="1"/>
    <n v="1"/>
    <n v="113568"/>
    <n v="113568"/>
  </r>
  <r>
    <x v="0"/>
    <n v="85"/>
    <x v="38"/>
    <x v="9"/>
    <x v="9"/>
    <n v="1005"/>
    <x v="58"/>
    <x v="5"/>
    <x v="80"/>
    <n v="3015"/>
    <x v="312"/>
    <n v="4412"/>
    <x v="314"/>
    <s v="BX 16"/>
    <n v="20"/>
    <n v="309"/>
    <x v="598"/>
    <s v="Annual"/>
    <n v="1"/>
    <n v="1"/>
    <n v="124584"/>
    <n v="124584"/>
  </r>
  <r>
    <x v="0"/>
    <n v="85"/>
    <x v="38"/>
    <x v="9"/>
    <x v="9"/>
    <n v="1005"/>
    <x v="58"/>
    <x v="5"/>
    <x v="80"/>
    <n v="3015"/>
    <x v="312"/>
    <n v="4412"/>
    <x v="314"/>
    <s v="B 13"/>
    <n v="1"/>
    <n v="308"/>
    <x v="90"/>
    <s v="Annual"/>
    <n v="1"/>
    <n v="1"/>
    <n v="94452"/>
    <n v="94452"/>
  </r>
  <r>
    <x v="0"/>
    <n v="85"/>
    <x v="38"/>
    <x v="9"/>
    <x v="9"/>
    <n v="1005"/>
    <x v="58"/>
    <x v="5"/>
    <x v="80"/>
    <n v="3015"/>
    <x v="312"/>
    <n v="4412"/>
    <x v="314"/>
    <s v="B 13"/>
    <n v="1"/>
    <n v="308"/>
    <x v="90"/>
    <s v="Annual"/>
    <n v="1"/>
    <n v="1"/>
    <n v="68616"/>
    <n v="68616"/>
  </r>
  <r>
    <x v="0"/>
    <n v="85"/>
    <x v="38"/>
    <x v="9"/>
    <x v="9"/>
    <n v="1005"/>
    <x v="58"/>
    <x v="5"/>
    <x v="80"/>
    <n v="3015"/>
    <x v="312"/>
    <n v="4412"/>
    <x v="314"/>
    <s v="1 00"/>
    <n v="0"/>
    <n v="15"/>
    <x v="37"/>
    <s v="Annual"/>
    <n v="0"/>
    <n v="0"/>
    <n v="36340"/>
    <n v="36340"/>
  </r>
  <r>
    <x v="0"/>
    <n v="85"/>
    <x v="38"/>
    <x v="9"/>
    <x v="9"/>
    <n v="1005"/>
    <x v="58"/>
    <x v="5"/>
    <x v="80"/>
    <n v="3015"/>
    <x v="312"/>
    <n v="4414"/>
    <x v="315"/>
    <s v="X 43"/>
    <n v="9"/>
    <n v="3027"/>
    <x v="1168"/>
    <s v="Annual"/>
    <n v="1"/>
    <n v="1"/>
    <n v="133836"/>
    <n v="133836"/>
  </r>
  <r>
    <x v="0"/>
    <n v="85"/>
    <x v="38"/>
    <x v="9"/>
    <x v="9"/>
    <n v="1005"/>
    <x v="58"/>
    <x v="5"/>
    <x v="80"/>
    <n v="3015"/>
    <x v="312"/>
    <n v="4414"/>
    <x v="315"/>
    <s v="BX 19"/>
    <n v="10"/>
    <n v="2926"/>
    <x v="1169"/>
    <s v="Annual"/>
    <n v="1"/>
    <n v="1"/>
    <n v="97836"/>
    <n v="97836"/>
  </r>
  <r>
    <x v="0"/>
    <n v="85"/>
    <x v="38"/>
    <x v="9"/>
    <x v="9"/>
    <n v="1005"/>
    <x v="58"/>
    <x v="5"/>
    <x v="80"/>
    <n v="3015"/>
    <x v="312"/>
    <n v="4414"/>
    <x v="315"/>
    <s v="X 43"/>
    <n v="0"/>
    <s v="03A2"/>
    <x v="220"/>
    <s v="Annual"/>
    <n v="1"/>
    <n v="1"/>
    <n v="133836"/>
    <n v="133836"/>
  </r>
  <r>
    <x v="0"/>
    <n v="85"/>
    <x v="38"/>
    <x v="9"/>
    <x v="9"/>
    <n v="1005"/>
    <x v="58"/>
    <x v="5"/>
    <x v="80"/>
    <n v="3015"/>
    <x v="312"/>
    <n v="4414"/>
    <x v="315"/>
    <s v="BX 18"/>
    <n v="10"/>
    <n v="310"/>
    <x v="135"/>
    <s v="Annual"/>
    <n v="1"/>
    <n v="1"/>
    <n v="89112"/>
    <n v="89112"/>
  </r>
  <r>
    <x v="0"/>
    <n v="85"/>
    <x v="38"/>
    <x v="9"/>
    <x v="9"/>
    <n v="1005"/>
    <x v="58"/>
    <x v="5"/>
    <x v="80"/>
    <n v="3015"/>
    <x v="312"/>
    <n v="4414"/>
    <x v="315"/>
    <s v="BX 14"/>
    <n v="10"/>
    <n v="156"/>
    <x v="1170"/>
    <s v="Annual"/>
    <n v="1"/>
    <n v="1"/>
    <n v="69684"/>
    <n v="69684"/>
  </r>
  <r>
    <x v="0"/>
    <n v="85"/>
    <x v="38"/>
    <x v="9"/>
    <x v="9"/>
    <n v="1005"/>
    <x v="58"/>
    <x v="5"/>
    <x v="80"/>
    <n v="3015"/>
    <x v="312"/>
    <n v="4414"/>
    <x v="315"/>
    <s v="BX 15"/>
    <n v="10"/>
    <n v="134"/>
    <x v="74"/>
    <s v="Annual"/>
    <n v="1"/>
    <n v="1"/>
    <n v="72996"/>
    <n v="72996"/>
  </r>
  <r>
    <x v="0"/>
    <n v="85"/>
    <x v="38"/>
    <x v="9"/>
    <x v="9"/>
    <n v="1005"/>
    <x v="58"/>
    <x v="5"/>
    <x v="80"/>
    <n v="3015"/>
    <x v="312"/>
    <n v="4414"/>
    <x v="315"/>
    <s v="BX 15"/>
    <n v="10"/>
    <n v="134"/>
    <x v="74"/>
    <s v="Annual"/>
    <n v="1"/>
    <n v="1"/>
    <n v="69684"/>
    <n v="69684"/>
  </r>
  <r>
    <x v="0"/>
    <n v="85"/>
    <x v="38"/>
    <x v="9"/>
    <x v="9"/>
    <n v="1005"/>
    <x v="58"/>
    <x v="5"/>
    <x v="80"/>
    <n v="3015"/>
    <x v="312"/>
    <n v="4414"/>
    <x v="315"/>
    <s v="X 43"/>
    <n v="0"/>
    <n v="112"/>
    <x v="92"/>
    <s v="Annual"/>
    <n v="1"/>
    <n v="1"/>
    <n v="160680"/>
    <n v="160680"/>
  </r>
  <r>
    <x v="0"/>
    <n v="85"/>
    <x v="38"/>
    <x v="9"/>
    <x v="9"/>
    <n v="1005"/>
    <x v="58"/>
    <x v="5"/>
    <x v="80"/>
    <n v="3015"/>
    <x v="312"/>
    <n v="4414"/>
    <x v="315"/>
    <s v="1 00"/>
    <n v="0"/>
    <n v="15"/>
    <x v="37"/>
    <s v="Annual"/>
    <n v="0"/>
    <n v="0"/>
    <n v="28307"/>
    <n v="28307"/>
  </r>
  <r>
    <x v="0"/>
    <n v="85"/>
    <x v="38"/>
    <x v="9"/>
    <x v="9"/>
    <n v="1005"/>
    <x v="58"/>
    <x v="5"/>
    <x v="80"/>
    <n v="3015"/>
    <x v="312"/>
    <n v="4416"/>
    <x v="316"/>
    <s v="B 14"/>
    <n v="4"/>
    <n v="1912"/>
    <x v="222"/>
    <s v="Annual"/>
    <n v="1"/>
    <n v="1"/>
    <n v="93504"/>
    <n v="93504"/>
  </r>
  <r>
    <x v="0"/>
    <n v="85"/>
    <x v="38"/>
    <x v="9"/>
    <x v="9"/>
    <n v="1005"/>
    <x v="58"/>
    <x v="5"/>
    <x v="80"/>
    <n v="3015"/>
    <x v="312"/>
    <n v="4416"/>
    <x v="316"/>
    <s v="B 14"/>
    <n v="4"/>
    <n v="1912"/>
    <x v="222"/>
    <s v="Annual"/>
    <n v="1"/>
    <n v="1"/>
    <n v="75336"/>
    <n v="75336"/>
  </r>
  <r>
    <x v="0"/>
    <n v="85"/>
    <x v="38"/>
    <x v="9"/>
    <x v="9"/>
    <n v="1005"/>
    <x v="58"/>
    <x v="5"/>
    <x v="80"/>
    <n v="3015"/>
    <x v="312"/>
    <n v="4416"/>
    <x v="316"/>
    <s v="BX 15"/>
    <n v="10"/>
    <n v="134"/>
    <x v="74"/>
    <s v="Annual"/>
    <n v="1"/>
    <n v="1"/>
    <n v="69684"/>
    <n v="69684"/>
  </r>
  <r>
    <x v="0"/>
    <n v="85"/>
    <x v="38"/>
    <x v="9"/>
    <x v="9"/>
    <n v="1005"/>
    <x v="58"/>
    <x v="5"/>
    <x v="80"/>
    <n v="3015"/>
    <x v="312"/>
    <n v="4416"/>
    <x v="316"/>
    <s v="BX 17"/>
    <n v="20"/>
    <n v="126"/>
    <x v="247"/>
    <s v="Annual"/>
    <n v="1"/>
    <n v="1"/>
    <n v="83052"/>
    <n v="83052"/>
  </r>
  <r>
    <x v="0"/>
    <n v="85"/>
    <x v="38"/>
    <x v="9"/>
    <x v="9"/>
    <n v="1005"/>
    <x v="58"/>
    <x v="5"/>
    <x v="80"/>
    <n v="3015"/>
    <x v="312"/>
    <n v="4416"/>
    <x v="316"/>
    <s v="GY 10"/>
    <n v="20"/>
    <n v="120"/>
    <x v="251"/>
    <s v="Annual"/>
    <n v="1"/>
    <n v="1"/>
    <n v="126756"/>
    <n v="126756"/>
  </r>
  <r>
    <x v="0"/>
    <n v="85"/>
    <x v="38"/>
    <x v="9"/>
    <x v="9"/>
    <n v="1005"/>
    <x v="58"/>
    <x v="5"/>
    <x v="80"/>
    <n v="3015"/>
    <x v="312"/>
    <n v="4416"/>
    <x v="316"/>
    <s v="GY 10"/>
    <n v="20"/>
    <n v="120"/>
    <x v="251"/>
    <s v="Annual"/>
    <n v="1"/>
    <n v="1"/>
    <n v="97332"/>
    <n v="97332"/>
  </r>
  <r>
    <x v="0"/>
    <n v="85"/>
    <x v="38"/>
    <x v="9"/>
    <x v="9"/>
    <n v="1005"/>
    <x v="58"/>
    <x v="5"/>
    <x v="80"/>
    <n v="3015"/>
    <x v="312"/>
    <n v="4416"/>
    <x v="316"/>
    <s v="X 43"/>
    <n v="0"/>
    <n v="112"/>
    <x v="92"/>
    <s v="Annual"/>
    <n v="1"/>
    <n v="1"/>
    <n v="160680"/>
    <n v="160680"/>
  </r>
  <r>
    <x v="0"/>
    <n v="85"/>
    <x v="38"/>
    <x v="9"/>
    <x v="9"/>
    <n v="1005"/>
    <x v="58"/>
    <x v="5"/>
    <x v="80"/>
    <n v="3015"/>
    <x v="312"/>
    <n v="4416"/>
    <x v="316"/>
    <s v="G 07"/>
    <n v="4"/>
    <n v="111"/>
    <x v="245"/>
    <s v="Annual"/>
    <n v="1"/>
    <n v="1"/>
    <n v="129636"/>
    <n v="129636"/>
  </r>
  <r>
    <x v="0"/>
    <n v="85"/>
    <x v="38"/>
    <x v="9"/>
    <x v="9"/>
    <n v="1005"/>
    <x v="58"/>
    <x v="5"/>
    <x v="80"/>
    <n v="3015"/>
    <x v="312"/>
    <n v="4416"/>
    <x v="316"/>
    <s v="G 07"/>
    <n v="4"/>
    <n v="111"/>
    <x v="245"/>
    <s v="Annual"/>
    <n v="1"/>
    <n v="1"/>
    <n v="90144"/>
    <n v="90144"/>
  </r>
  <r>
    <x v="0"/>
    <n v="85"/>
    <x v="38"/>
    <x v="9"/>
    <x v="9"/>
    <n v="1005"/>
    <x v="58"/>
    <x v="5"/>
    <x v="80"/>
    <n v="3015"/>
    <x v="312"/>
    <n v="4416"/>
    <x v="316"/>
    <s v="B 13"/>
    <n v="4"/>
    <n v="110"/>
    <x v="93"/>
    <s v="Annual"/>
    <n v="1"/>
    <n v="1"/>
    <n v="68616"/>
    <n v="68616"/>
  </r>
  <r>
    <x v="0"/>
    <n v="85"/>
    <x v="38"/>
    <x v="9"/>
    <x v="9"/>
    <n v="1005"/>
    <x v="58"/>
    <x v="5"/>
    <x v="80"/>
    <n v="3015"/>
    <x v="312"/>
    <n v="4416"/>
    <x v="316"/>
    <s v="B 11"/>
    <n v="1"/>
    <n v="109"/>
    <x v="94"/>
    <s v="Annual"/>
    <n v="1"/>
    <n v="1"/>
    <n v="98928"/>
    <n v="98928"/>
  </r>
  <r>
    <x v="0"/>
    <n v="85"/>
    <x v="38"/>
    <x v="9"/>
    <x v="9"/>
    <n v="1005"/>
    <x v="58"/>
    <x v="5"/>
    <x v="80"/>
    <n v="3015"/>
    <x v="312"/>
    <n v="4416"/>
    <x v="316"/>
    <s v="B 11"/>
    <n v="1"/>
    <n v="109"/>
    <x v="94"/>
    <s v="Annual"/>
    <n v="1"/>
    <n v="1"/>
    <n v="74916"/>
    <n v="74916"/>
  </r>
  <r>
    <x v="0"/>
    <n v="85"/>
    <x v="38"/>
    <x v="9"/>
    <x v="9"/>
    <n v="1005"/>
    <x v="58"/>
    <x v="5"/>
    <x v="80"/>
    <n v="3015"/>
    <x v="312"/>
    <n v="4416"/>
    <x v="316"/>
    <s v="B 11"/>
    <n v="1"/>
    <n v="109"/>
    <x v="94"/>
    <s v="Annual"/>
    <n v="2"/>
    <n v="1"/>
    <n v="64488"/>
    <n v="128976"/>
  </r>
  <r>
    <x v="0"/>
    <n v="85"/>
    <x v="38"/>
    <x v="9"/>
    <x v="9"/>
    <n v="1005"/>
    <x v="58"/>
    <x v="5"/>
    <x v="80"/>
    <n v="3015"/>
    <x v="312"/>
    <n v="4416"/>
    <x v="316"/>
    <s v="B 11"/>
    <n v="1"/>
    <n v="109"/>
    <x v="94"/>
    <s v="Annual"/>
    <n v="2"/>
    <n v="1"/>
    <n v="61548"/>
    <n v="123096"/>
  </r>
  <r>
    <x v="0"/>
    <n v="85"/>
    <x v="38"/>
    <x v="9"/>
    <x v="9"/>
    <n v="1005"/>
    <x v="58"/>
    <x v="5"/>
    <x v="80"/>
    <n v="3015"/>
    <x v="312"/>
    <n v="4416"/>
    <x v="316"/>
    <s v="B 11"/>
    <n v="1"/>
    <n v="109"/>
    <x v="94"/>
    <s v="Annual"/>
    <n v="1"/>
    <n v="1"/>
    <n v="58764"/>
    <n v="58764"/>
  </r>
  <r>
    <x v="0"/>
    <n v="85"/>
    <x v="38"/>
    <x v="9"/>
    <x v="9"/>
    <n v="1005"/>
    <x v="58"/>
    <x v="5"/>
    <x v="80"/>
    <n v="3015"/>
    <x v="312"/>
    <n v="4416"/>
    <x v="316"/>
    <s v="B 11"/>
    <n v="1"/>
    <n v="109"/>
    <x v="94"/>
    <s v="Annual"/>
    <n v="3"/>
    <n v="1"/>
    <n v="57000"/>
    <n v="171000"/>
  </r>
  <r>
    <x v="0"/>
    <n v="85"/>
    <x v="38"/>
    <x v="9"/>
    <x v="9"/>
    <n v="1005"/>
    <x v="58"/>
    <x v="5"/>
    <x v="80"/>
    <n v="3015"/>
    <x v="312"/>
    <n v="4416"/>
    <x v="316"/>
    <s v="1 00"/>
    <n v="0"/>
    <n v="15"/>
    <x v="37"/>
    <s v="Annual"/>
    <n v="0"/>
    <n v="0"/>
    <n v="19216"/>
    <n v="19216"/>
  </r>
  <r>
    <x v="0"/>
    <n v="85"/>
    <x v="38"/>
    <x v="9"/>
    <x v="9"/>
    <n v="1005"/>
    <x v="58"/>
    <x v="5"/>
    <x v="80"/>
    <n v="3015"/>
    <x v="312"/>
    <n v="4419"/>
    <x v="317"/>
    <s v="X 42"/>
    <n v="0"/>
    <n v="9681"/>
    <x v="81"/>
    <s v="Annual"/>
    <n v="1"/>
    <n v="1"/>
    <n v="184584"/>
    <n v="184584"/>
  </r>
  <r>
    <x v="0"/>
    <n v="85"/>
    <x v="38"/>
    <x v="9"/>
    <x v="9"/>
    <n v="1005"/>
    <x v="58"/>
    <x v="5"/>
    <x v="80"/>
    <n v="3015"/>
    <x v="312"/>
    <n v="4419"/>
    <x v="317"/>
    <s v="BX 18"/>
    <n v="10"/>
    <n v="3092"/>
    <x v="308"/>
    <s v="Annual"/>
    <n v="1"/>
    <n v="1"/>
    <n v="102444"/>
    <n v="102444"/>
  </r>
  <r>
    <x v="0"/>
    <n v="85"/>
    <x v="38"/>
    <x v="9"/>
    <x v="9"/>
    <n v="1005"/>
    <x v="58"/>
    <x v="5"/>
    <x v="80"/>
    <n v="3015"/>
    <x v="312"/>
    <n v="4419"/>
    <x v="317"/>
    <s v="BX 18"/>
    <n v="10"/>
    <n v="3092"/>
    <x v="308"/>
    <s v="Annual"/>
    <n v="1"/>
    <n v="1"/>
    <n v="93384"/>
    <n v="93384"/>
  </r>
  <r>
    <x v="0"/>
    <n v="85"/>
    <x v="38"/>
    <x v="9"/>
    <x v="9"/>
    <n v="1005"/>
    <x v="58"/>
    <x v="5"/>
    <x v="80"/>
    <n v="3015"/>
    <x v="312"/>
    <n v="4419"/>
    <x v="317"/>
    <s v="B 14"/>
    <n v="4"/>
    <n v="1912"/>
    <x v="222"/>
    <s v="Annual"/>
    <n v="2"/>
    <n v="1"/>
    <n v="85200"/>
    <n v="170400"/>
  </r>
  <r>
    <x v="0"/>
    <n v="85"/>
    <x v="38"/>
    <x v="9"/>
    <x v="9"/>
    <n v="1005"/>
    <x v="58"/>
    <x v="5"/>
    <x v="80"/>
    <n v="3015"/>
    <x v="312"/>
    <n v="4419"/>
    <x v="317"/>
    <s v="B 14"/>
    <n v="1"/>
    <n v="1359"/>
    <x v="408"/>
    <s v="Annual"/>
    <n v="1"/>
    <n v="1"/>
    <n v="130668"/>
    <n v="130668"/>
  </r>
  <r>
    <x v="0"/>
    <n v="85"/>
    <x v="38"/>
    <x v="9"/>
    <x v="9"/>
    <n v="1005"/>
    <x v="58"/>
    <x v="5"/>
    <x v="80"/>
    <n v="3015"/>
    <x v="312"/>
    <n v="4419"/>
    <x v="317"/>
    <s v="B 14"/>
    <n v="1"/>
    <n v="1359"/>
    <x v="408"/>
    <s v="Annual"/>
    <n v="1"/>
    <n v="1"/>
    <n v="85200"/>
    <n v="85200"/>
  </r>
  <r>
    <x v="0"/>
    <n v="85"/>
    <x v="38"/>
    <x v="9"/>
    <x v="9"/>
    <n v="1005"/>
    <x v="58"/>
    <x v="5"/>
    <x v="80"/>
    <n v="3015"/>
    <x v="312"/>
    <n v="4419"/>
    <x v="317"/>
    <s v="BX 17"/>
    <n v="20"/>
    <n v="1318"/>
    <x v="409"/>
    <s v="Annual"/>
    <n v="1"/>
    <n v="1"/>
    <n v="93384"/>
    <n v="93384"/>
  </r>
  <r>
    <x v="0"/>
    <n v="85"/>
    <x v="38"/>
    <x v="9"/>
    <x v="9"/>
    <n v="1005"/>
    <x v="58"/>
    <x v="5"/>
    <x v="80"/>
    <n v="3015"/>
    <x v="312"/>
    <n v="4419"/>
    <x v="317"/>
    <s v="B 09"/>
    <n v="1"/>
    <n v="460"/>
    <x v="344"/>
    <s v="Annual"/>
    <n v="1"/>
    <n v="1"/>
    <n v="47364"/>
    <n v="47364"/>
  </r>
  <r>
    <x v="0"/>
    <n v="85"/>
    <x v="38"/>
    <x v="9"/>
    <x v="9"/>
    <n v="1005"/>
    <x v="58"/>
    <x v="5"/>
    <x v="80"/>
    <n v="3015"/>
    <x v="312"/>
    <n v="4419"/>
    <x v="317"/>
    <s v="B 09"/>
    <n v="1"/>
    <n v="415"/>
    <x v="619"/>
    <s v="Annual"/>
    <n v="1"/>
    <n v="1"/>
    <n v="47364"/>
    <n v="47364"/>
  </r>
  <r>
    <x v="0"/>
    <n v="85"/>
    <x v="38"/>
    <x v="9"/>
    <x v="9"/>
    <n v="1005"/>
    <x v="58"/>
    <x v="5"/>
    <x v="80"/>
    <n v="3015"/>
    <x v="312"/>
    <n v="4419"/>
    <x v="317"/>
    <s v="X 43"/>
    <n v="0"/>
    <s v="03A2"/>
    <x v="220"/>
    <s v="Annual"/>
    <n v="1"/>
    <n v="1"/>
    <n v="160680"/>
    <n v="160680"/>
  </r>
  <r>
    <x v="0"/>
    <n v="85"/>
    <x v="38"/>
    <x v="9"/>
    <x v="9"/>
    <n v="1005"/>
    <x v="58"/>
    <x v="5"/>
    <x v="80"/>
    <n v="3015"/>
    <x v="312"/>
    <n v="4419"/>
    <x v="317"/>
    <s v="BX 18"/>
    <n v="10"/>
    <n v="310"/>
    <x v="135"/>
    <s v="Annual"/>
    <n v="1"/>
    <n v="1"/>
    <n v="89112"/>
    <n v="89112"/>
  </r>
  <r>
    <x v="0"/>
    <n v="85"/>
    <x v="38"/>
    <x v="9"/>
    <x v="9"/>
    <n v="1005"/>
    <x v="58"/>
    <x v="5"/>
    <x v="80"/>
    <n v="3015"/>
    <x v="312"/>
    <n v="4419"/>
    <x v="317"/>
    <s v="B 13"/>
    <n v="1"/>
    <n v="308"/>
    <x v="90"/>
    <s v="Annual"/>
    <n v="1"/>
    <n v="1"/>
    <n v="68616"/>
    <n v="68616"/>
  </r>
  <r>
    <x v="0"/>
    <n v="85"/>
    <x v="38"/>
    <x v="9"/>
    <x v="9"/>
    <n v="1005"/>
    <x v="58"/>
    <x v="5"/>
    <x v="80"/>
    <n v="3015"/>
    <x v="312"/>
    <n v="4419"/>
    <x v="317"/>
    <s v="1 00"/>
    <n v="0"/>
    <n v="15"/>
    <x v="37"/>
    <s v="Annual"/>
    <n v="0"/>
    <n v="0"/>
    <n v="22874"/>
    <n v="22874"/>
  </r>
  <r>
    <x v="0"/>
    <n v="85"/>
    <x v="38"/>
    <x v="9"/>
    <x v="9"/>
    <n v="1005"/>
    <x v="58"/>
    <x v="5"/>
    <x v="80"/>
    <n v="3015"/>
    <x v="312"/>
    <n v="4423"/>
    <x v="318"/>
    <s v="X 43"/>
    <n v="9"/>
    <n v="7098"/>
    <x v="1171"/>
    <s v="Annual"/>
    <n v="2"/>
    <n v="1"/>
    <n v="150768"/>
    <n v="301536"/>
  </r>
  <r>
    <x v="0"/>
    <n v="85"/>
    <x v="38"/>
    <x v="9"/>
    <x v="9"/>
    <n v="1005"/>
    <x v="58"/>
    <x v="5"/>
    <x v="80"/>
    <n v="3015"/>
    <x v="312"/>
    <n v="4423"/>
    <x v="318"/>
    <s v="B 14"/>
    <n v="4"/>
    <n v="1912"/>
    <x v="222"/>
    <s v="Annual"/>
    <n v="1"/>
    <n v="1"/>
    <n v="93504"/>
    <n v="93504"/>
  </r>
  <r>
    <x v="0"/>
    <n v="85"/>
    <x v="38"/>
    <x v="9"/>
    <x v="9"/>
    <n v="1005"/>
    <x v="58"/>
    <x v="5"/>
    <x v="80"/>
    <n v="3015"/>
    <x v="312"/>
    <n v="4423"/>
    <x v="318"/>
    <s v="B 14"/>
    <n v="4"/>
    <n v="1912"/>
    <x v="222"/>
    <s v="Annual"/>
    <n v="1"/>
    <n v="1"/>
    <n v="89244"/>
    <n v="89244"/>
  </r>
  <r>
    <x v="0"/>
    <n v="85"/>
    <x v="38"/>
    <x v="9"/>
    <x v="9"/>
    <n v="1005"/>
    <x v="58"/>
    <x v="5"/>
    <x v="80"/>
    <n v="3015"/>
    <x v="312"/>
    <n v="4423"/>
    <x v="318"/>
    <s v="B 14"/>
    <n v="4"/>
    <n v="1912"/>
    <x v="222"/>
    <s v="Annual"/>
    <n v="2"/>
    <n v="1"/>
    <n v="75336"/>
    <n v="150672"/>
  </r>
  <r>
    <x v="0"/>
    <n v="85"/>
    <x v="38"/>
    <x v="9"/>
    <x v="9"/>
    <n v="1005"/>
    <x v="58"/>
    <x v="5"/>
    <x v="80"/>
    <n v="3015"/>
    <x v="312"/>
    <n v="4423"/>
    <x v="318"/>
    <s v="X 43"/>
    <n v="0"/>
    <s v="03A2"/>
    <x v="220"/>
    <s v="Annual"/>
    <n v="1"/>
    <n v="1"/>
    <n v="160680"/>
    <n v="160680"/>
  </r>
  <r>
    <x v="0"/>
    <n v="85"/>
    <x v="38"/>
    <x v="9"/>
    <x v="9"/>
    <n v="1005"/>
    <x v="58"/>
    <x v="5"/>
    <x v="80"/>
    <n v="3015"/>
    <x v="312"/>
    <n v="4423"/>
    <x v="318"/>
    <s v="BX 18"/>
    <n v="10"/>
    <n v="311"/>
    <x v="253"/>
    <s v="Annual"/>
    <n v="1"/>
    <n v="1"/>
    <n v="102444"/>
    <n v="102444"/>
  </r>
  <r>
    <x v="0"/>
    <n v="85"/>
    <x v="38"/>
    <x v="9"/>
    <x v="9"/>
    <n v="1005"/>
    <x v="58"/>
    <x v="5"/>
    <x v="80"/>
    <n v="3015"/>
    <x v="312"/>
    <n v="4423"/>
    <x v="318"/>
    <s v="1 00"/>
    <n v="0"/>
    <n v="15"/>
    <x v="37"/>
    <s v="Annual"/>
    <n v="0"/>
    <n v="0"/>
    <n v="15995"/>
    <n v="15995"/>
  </r>
  <r>
    <x v="0"/>
    <n v="85"/>
    <x v="38"/>
    <x v="9"/>
    <x v="9"/>
    <n v="1005"/>
    <x v="58"/>
    <x v="5"/>
    <x v="80"/>
    <n v="3015"/>
    <x v="312"/>
    <n v="4424"/>
    <x v="319"/>
    <s v="X 42"/>
    <n v="0"/>
    <n v="9681"/>
    <x v="81"/>
    <s v="Annual"/>
    <n v="1"/>
    <n v="1"/>
    <n v="184584"/>
    <n v="184584"/>
  </r>
  <r>
    <x v="0"/>
    <n v="85"/>
    <x v="38"/>
    <x v="9"/>
    <x v="9"/>
    <n v="1005"/>
    <x v="58"/>
    <x v="5"/>
    <x v="80"/>
    <n v="3015"/>
    <x v="312"/>
    <n v="4424"/>
    <x v="319"/>
    <s v="B 14"/>
    <n v="4"/>
    <n v="1912"/>
    <x v="222"/>
    <s v="Annual"/>
    <n v="2"/>
    <n v="1"/>
    <n v="77640"/>
    <n v="155280"/>
  </r>
  <r>
    <x v="0"/>
    <n v="85"/>
    <x v="38"/>
    <x v="9"/>
    <x v="9"/>
    <n v="1005"/>
    <x v="58"/>
    <x v="5"/>
    <x v="80"/>
    <n v="3015"/>
    <x v="312"/>
    <n v="4424"/>
    <x v="319"/>
    <s v="B 15"/>
    <n v="1"/>
    <n v="729"/>
    <x v="32"/>
    <s v="Annual"/>
    <n v="1"/>
    <n v="1"/>
    <n v="108576"/>
    <n v="108576"/>
  </r>
  <r>
    <x v="0"/>
    <n v="85"/>
    <x v="38"/>
    <x v="9"/>
    <x v="9"/>
    <n v="1005"/>
    <x v="58"/>
    <x v="5"/>
    <x v="80"/>
    <n v="3015"/>
    <x v="312"/>
    <n v="4424"/>
    <x v="319"/>
    <s v="B 15"/>
    <n v="1"/>
    <n v="729"/>
    <x v="32"/>
    <s v="Annual"/>
    <n v="1"/>
    <n v="1"/>
    <n v="85200"/>
    <n v="85200"/>
  </r>
  <r>
    <x v="0"/>
    <n v="85"/>
    <x v="38"/>
    <x v="9"/>
    <x v="9"/>
    <n v="1005"/>
    <x v="58"/>
    <x v="5"/>
    <x v="80"/>
    <n v="3015"/>
    <x v="312"/>
    <n v="4424"/>
    <x v="319"/>
    <s v="PX 03"/>
    <n v="9"/>
    <n v="719"/>
    <x v="1074"/>
    <s v="Annual"/>
    <n v="1"/>
    <n v="1"/>
    <n v="122940"/>
    <n v="122940"/>
  </r>
  <r>
    <x v="0"/>
    <n v="85"/>
    <x v="38"/>
    <x v="9"/>
    <x v="9"/>
    <n v="1005"/>
    <x v="58"/>
    <x v="5"/>
    <x v="80"/>
    <n v="3015"/>
    <x v="312"/>
    <n v="4424"/>
    <x v="319"/>
    <s v="X 43"/>
    <n v="0"/>
    <s v="03A2"/>
    <x v="220"/>
    <s v="Annual"/>
    <n v="1"/>
    <n v="1"/>
    <n v="160680"/>
    <n v="160680"/>
  </r>
  <r>
    <x v="0"/>
    <n v="85"/>
    <x v="38"/>
    <x v="9"/>
    <x v="9"/>
    <n v="1005"/>
    <x v="58"/>
    <x v="5"/>
    <x v="80"/>
    <n v="3015"/>
    <x v="312"/>
    <n v="4424"/>
    <x v="319"/>
    <s v="X 43"/>
    <n v="0"/>
    <s v="03A2"/>
    <x v="220"/>
    <s v="Annual"/>
    <n v="1"/>
    <n v="1"/>
    <n v="133836"/>
    <n v="133836"/>
  </r>
  <r>
    <x v="0"/>
    <n v="85"/>
    <x v="38"/>
    <x v="9"/>
    <x v="9"/>
    <n v="1005"/>
    <x v="58"/>
    <x v="5"/>
    <x v="80"/>
    <n v="3015"/>
    <x v="312"/>
    <n v="4424"/>
    <x v="319"/>
    <s v="BX 18"/>
    <n v="10"/>
    <n v="311"/>
    <x v="253"/>
    <s v="Annual"/>
    <n v="1"/>
    <n v="1"/>
    <n v="107340"/>
    <n v="107340"/>
  </r>
  <r>
    <x v="0"/>
    <n v="85"/>
    <x v="38"/>
    <x v="9"/>
    <x v="9"/>
    <n v="1005"/>
    <x v="58"/>
    <x v="5"/>
    <x v="80"/>
    <n v="3015"/>
    <x v="312"/>
    <n v="4424"/>
    <x v="319"/>
    <s v="BX 18"/>
    <n v="10"/>
    <n v="311"/>
    <x v="253"/>
    <s v="Annual"/>
    <n v="2"/>
    <n v="1"/>
    <n v="102444"/>
    <n v="204888"/>
  </r>
  <r>
    <x v="0"/>
    <n v="85"/>
    <x v="38"/>
    <x v="9"/>
    <x v="9"/>
    <n v="1005"/>
    <x v="58"/>
    <x v="5"/>
    <x v="80"/>
    <n v="3015"/>
    <x v="312"/>
    <n v="4424"/>
    <x v="319"/>
    <s v="B 13"/>
    <n v="1"/>
    <n v="308"/>
    <x v="90"/>
    <s v="Annual"/>
    <n v="1"/>
    <n v="1"/>
    <n v="108576"/>
    <n v="108576"/>
  </r>
  <r>
    <x v="0"/>
    <n v="85"/>
    <x v="38"/>
    <x v="9"/>
    <x v="9"/>
    <n v="1005"/>
    <x v="58"/>
    <x v="5"/>
    <x v="80"/>
    <n v="3015"/>
    <x v="312"/>
    <n v="4424"/>
    <x v="319"/>
    <s v="1 00"/>
    <n v="0"/>
    <n v="15"/>
    <x v="37"/>
    <s v="Annual"/>
    <n v="0"/>
    <n v="0"/>
    <n v="23648"/>
    <n v="23648"/>
  </r>
  <r>
    <x v="0"/>
    <n v="85"/>
    <x v="38"/>
    <x v="9"/>
    <x v="9"/>
    <n v="1005"/>
    <x v="58"/>
    <x v="5"/>
    <x v="80"/>
    <n v="3015"/>
    <x v="312"/>
    <n v="4425"/>
    <x v="320"/>
    <s v="X 42"/>
    <n v="0"/>
    <n v="9681"/>
    <x v="81"/>
    <s v="Annual"/>
    <n v="1"/>
    <n v="1"/>
    <n v="184584"/>
    <n v="184584"/>
  </r>
  <r>
    <x v="0"/>
    <n v="85"/>
    <x v="38"/>
    <x v="9"/>
    <x v="9"/>
    <n v="1005"/>
    <x v="58"/>
    <x v="5"/>
    <x v="80"/>
    <n v="3015"/>
    <x v="312"/>
    <n v="4425"/>
    <x v="320"/>
    <s v="BX 13"/>
    <n v="10"/>
    <n v="7045"/>
    <x v="1131"/>
    <s v="Annual"/>
    <n v="1"/>
    <n v="1"/>
    <n v="66516"/>
    <n v="66516"/>
  </r>
  <r>
    <x v="0"/>
    <n v="85"/>
    <x v="38"/>
    <x v="9"/>
    <x v="9"/>
    <n v="1005"/>
    <x v="58"/>
    <x v="5"/>
    <x v="80"/>
    <n v="3015"/>
    <x v="312"/>
    <n v="4425"/>
    <x v="320"/>
    <s v="BX 13"/>
    <n v="10"/>
    <n v="7045"/>
    <x v="1131"/>
    <s v="Annual"/>
    <n v="2"/>
    <n v="1"/>
    <n v="63504"/>
    <n v="127008"/>
  </r>
  <r>
    <x v="0"/>
    <n v="85"/>
    <x v="38"/>
    <x v="9"/>
    <x v="9"/>
    <n v="1005"/>
    <x v="58"/>
    <x v="5"/>
    <x v="80"/>
    <n v="3015"/>
    <x v="312"/>
    <n v="4425"/>
    <x v="320"/>
    <s v="BX 13"/>
    <n v="10"/>
    <n v="7045"/>
    <x v="1131"/>
    <s v="Annual"/>
    <n v="3"/>
    <n v="1"/>
    <n v="57852"/>
    <n v="173556"/>
  </r>
  <r>
    <x v="0"/>
    <n v="85"/>
    <x v="38"/>
    <x v="9"/>
    <x v="9"/>
    <n v="1005"/>
    <x v="58"/>
    <x v="5"/>
    <x v="80"/>
    <n v="3015"/>
    <x v="312"/>
    <n v="4425"/>
    <x v="320"/>
    <s v="B 10"/>
    <n v="1"/>
    <n v="7042"/>
    <x v="1132"/>
    <s v="Annual"/>
    <n v="8"/>
    <n v="1"/>
    <n v="56124"/>
    <n v="448992"/>
  </r>
  <r>
    <x v="0"/>
    <n v="85"/>
    <x v="38"/>
    <x v="9"/>
    <x v="9"/>
    <n v="1005"/>
    <x v="58"/>
    <x v="5"/>
    <x v="80"/>
    <n v="3015"/>
    <x v="312"/>
    <n v="4425"/>
    <x v="320"/>
    <s v="B 10"/>
    <n v="1"/>
    <n v="7042"/>
    <x v="1132"/>
    <s v="Annual"/>
    <n v="5"/>
    <n v="1"/>
    <n v="53532"/>
    <n v="267660"/>
  </r>
  <r>
    <x v="0"/>
    <n v="85"/>
    <x v="38"/>
    <x v="9"/>
    <x v="9"/>
    <n v="1005"/>
    <x v="58"/>
    <x v="5"/>
    <x v="80"/>
    <n v="3015"/>
    <x v="312"/>
    <n v="4425"/>
    <x v="320"/>
    <s v="B 10"/>
    <n v="1"/>
    <n v="7042"/>
    <x v="1132"/>
    <s v="Annual"/>
    <n v="12"/>
    <n v="1"/>
    <n v="51936"/>
    <n v="623232"/>
  </r>
  <r>
    <x v="0"/>
    <n v="85"/>
    <x v="38"/>
    <x v="9"/>
    <x v="9"/>
    <n v="1005"/>
    <x v="58"/>
    <x v="5"/>
    <x v="80"/>
    <n v="3015"/>
    <x v="312"/>
    <n v="4425"/>
    <x v="320"/>
    <s v="BX 15"/>
    <n v="10"/>
    <n v="1911"/>
    <x v="226"/>
    <s v="Annual"/>
    <n v="2"/>
    <n v="1"/>
    <n v="69684"/>
    <n v="139368"/>
  </r>
  <r>
    <x v="0"/>
    <n v="85"/>
    <x v="38"/>
    <x v="9"/>
    <x v="9"/>
    <n v="1005"/>
    <x v="58"/>
    <x v="5"/>
    <x v="80"/>
    <n v="3015"/>
    <x v="312"/>
    <n v="4425"/>
    <x v="320"/>
    <s v="X 43"/>
    <n v="0"/>
    <s v="03A2"/>
    <x v="220"/>
    <s v="Annual"/>
    <n v="1"/>
    <n v="1"/>
    <n v="133836"/>
    <n v="133836"/>
  </r>
  <r>
    <x v="0"/>
    <n v="85"/>
    <x v="38"/>
    <x v="9"/>
    <x v="9"/>
    <n v="1005"/>
    <x v="58"/>
    <x v="5"/>
    <x v="80"/>
    <n v="3015"/>
    <x v="312"/>
    <n v="4425"/>
    <x v="320"/>
    <s v="BX 18"/>
    <n v="10"/>
    <n v="311"/>
    <x v="253"/>
    <s v="Annual"/>
    <n v="1"/>
    <n v="1"/>
    <n v="107340"/>
    <n v="107340"/>
  </r>
  <r>
    <x v="0"/>
    <n v="85"/>
    <x v="38"/>
    <x v="9"/>
    <x v="9"/>
    <n v="1005"/>
    <x v="58"/>
    <x v="5"/>
    <x v="80"/>
    <n v="3015"/>
    <x v="312"/>
    <n v="4425"/>
    <x v="320"/>
    <s v="BX 18"/>
    <n v="10"/>
    <n v="311"/>
    <x v="253"/>
    <s v="Annual"/>
    <n v="1"/>
    <n v="1"/>
    <n v="93384"/>
    <n v="93384"/>
  </r>
  <r>
    <x v="0"/>
    <n v="85"/>
    <x v="38"/>
    <x v="9"/>
    <x v="9"/>
    <n v="1005"/>
    <x v="58"/>
    <x v="5"/>
    <x v="80"/>
    <n v="3015"/>
    <x v="312"/>
    <n v="4425"/>
    <x v="320"/>
    <s v="1 00"/>
    <n v="0"/>
    <n v="15"/>
    <x v="37"/>
    <s v="Annual"/>
    <n v="0"/>
    <n v="0"/>
    <n v="48026"/>
    <n v="48026"/>
  </r>
  <r>
    <x v="0"/>
    <n v="85"/>
    <x v="38"/>
    <x v="9"/>
    <x v="9"/>
    <n v="1005"/>
    <x v="58"/>
    <x v="5"/>
    <x v="80"/>
    <n v="3015"/>
    <x v="312"/>
    <n v="4430"/>
    <x v="78"/>
    <s v="X 42"/>
    <n v="0"/>
    <n v="9681"/>
    <x v="81"/>
    <s v="Annual"/>
    <n v="1"/>
    <n v="1"/>
    <n v="184584"/>
    <n v="184584"/>
  </r>
  <r>
    <x v="0"/>
    <n v="85"/>
    <x v="38"/>
    <x v="9"/>
    <x v="9"/>
    <n v="1005"/>
    <x v="58"/>
    <x v="5"/>
    <x v="80"/>
    <n v="3015"/>
    <x v="312"/>
    <n v="4430"/>
    <x v="78"/>
    <s v="BX 15"/>
    <n v="10"/>
    <n v="7011"/>
    <x v="1133"/>
    <s v="Annual"/>
    <n v="2"/>
    <n v="1"/>
    <n v="76476"/>
    <n v="152952"/>
  </r>
  <r>
    <x v="0"/>
    <n v="85"/>
    <x v="38"/>
    <x v="9"/>
    <x v="9"/>
    <n v="1005"/>
    <x v="58"/>
    <x v="5"/>
    <x v="80"/>
    <n v="3015"/>
    <x v="312"/>
    <n v="4430"/>
    <x v="78"/>
    <s v="B 14"/>
    <n v="4"/>
    <n v="1912"/>
    <x v="222"/>
    <s v="Annual"/>
    <n v="1"/>
    <n v="1"/>
    <n v="81324"/>
    <n v="81324"/>
  </r>
  <r>
    <x v="0"/>
    <n v="85"/>
    <x v="38"/>
    <x v="9"/>
    <x v="9"/>
    <n v="1005"/>
    <x v="58"/>
    <x v="5"/>
    <x v="80"/>
    <n v="3015"/>
    <x v="312"/>
    <n v="4430"/>
    <x v="78"/>
    <s v="B 14"/>
    <n v="4"/>
    <n v="1912"/>
    <x v="222"/>
    <s v="Annual"/>
    <n v="1"/>
    <n v="1"/>
    <n v="75336"/>
    <n v="75336"/>
  </r>
  <r>
    <x v="0"/>
    <n v="85"/>
    <x v="38"/>
    <x v="9"/>
    <x v="9"/>
    <n v="1005"/>
    <x v="58"/>
    <x v="5"/>
    <x v="80"/>
    <n v="3015"/>
    <x v="312"/>
    <n v="4430"/>
    <x v="78"/>
    <s v="BX 16"/>
    <n v="10"/>
    <n v="1665"/>
    <x v="1172"/>
    <s v="Annual"/>
    <n v="1"/>
    <n v="1"/>
    <n v="76476"/>
    <n v="76476"/>
  </r>
  <r>
    <x v="0"/>
    <n v="85"/>
    <x v="38"/>
    <x v="9"/>
    <x v="9"/>
    <n v="1005"/>
    <x v="58"/>
    <x v="5"/>
    <x v="80"/>
    <n v="3015"/>
    <x v="312"/>
    <n v="4430"/>
    <x v="78"/>
    <s v="X 43"/>
    <n v="0"/>
    <s v="03A2"/>
    <x v="220"/>
    <s v="Annual"/>
    <n v="1"/>
    <n v="1"/>
    <n v="150768"/>
    <n v="150768"/>
  </r>
  <r>
    <x v="0"/>
    <n v="85"/>
    <x v="38"/>
    <x v="9"/>
    <x v="9"/>
    <n v="1005"/>
    <x v="58"/>
    <x v="5"/>
    <x v="80"/>
    <n v="3015"/>
    <x v="312"/>
    <n v="4430"/>
    <x v="78"/>
    <s v="BX 18"/>
    <n v="10"/>
    <n v="311"/>
    <x v="253"/>
    <s v="Annual"/>
    <n v="2"/>
    <n v="1"/>
    <n v="107340"/>
    <n v="214680"/>
  </r>
  <r>
    <x v="0"/>
    <n v="85"/>
    <x v="38"/>
    <x v="9"/>
    <x v="9"/>
    <n v="1005"/>
    <x v="58"/>
    <x v="5"/>
    <x v="80"/>
    <n v="3015"/>
    <x v="312"/>
    <n v="4430"/>
    <x v="78"/>
    <s v="BX 18"/>
    <n v="10"/>
    <n v="311"/>
    <x v="253"/>
    <s v="Annual"/>
    <n v="1"/>
    <n v="1"/>
    <n v="89112"/>
    <n v="89112"/>
  </r>
  <r>
    <x v="0"/>
    <n v="85"/>
    <x v="38"/>
    <x v="9"/>
    <x v="9"/>
    <n v="1005"/>
    <x v="58"/>
    <x v="5"/>
    <x v="80"/>
    <n v="3015"/>
    <x v="312"/>
    <n v="4430"/>
    <x v="78"/>
    <s v="BX 18"/>
    <n v="10"/>
    <n v="310"/>
    <x v="135"/>
    <s v="Annual"/>
    <n v="1"/>
    <n v="1"/>
    <n v="93384"/>
    <n v="93384"/>
  </r>
  <r>
    <x v="0"/>
    <n v="85"/>
    <x v="38"/>
    <x v="9"/>
    <x v="9"/>
    <n v="1005"/>
    <x v="58"/>
    <x v="5"/>
    <x v="80"/>
    <n v="3015"/>
    <x v="312"/>
    <n v="4430"/>
    <x v="78"/>
    <s v="B 13"/>
    <n v="1"/>
    <n v="308"/>
    <x v="90"/>
    <s v="Annual"/>
    <n v="1"/>
    <n v="1"/>
    <n v="68616"/>
    <n v="68616"/>
  </r>
  <r>
    <x v="0"/>
    <n v="85"/>
    <x v="38"/>
    <x v="9"/>
    <x v="9"/>
    <n v="1005"/>
    <x v="58"/>
    <x v="5"/>
    <x v="80"/>
    <n v="3015"/>
    <x v="312"/>
    <n v="4430"/>
    <x v="78"/>
    <s v="1 00"/>
    <n v="0"/>
    <n v="15"/>
    <x v="37"/>
    <s v="Annual"/>
    <n v="0"/>
    <n v="0"/>
    <n v="21192"/>
    <n v="21192"/>
  </r>
  <r>
    <x v="0"/>
    <n v="85"/>
    <x v="38"/>
    <x v="9"/>
    <x v="9"/>
    <n v="1005"/>
    <x v="58"/>
    <x v="5"/>
    <x v="80"/>
    <n v="3015"/>
    <x v="312"/>
    <n v="4431"/>
    <x v="321"/>
    <s v="B 14"/>
    <n v="4"/>
    <n v="1912"/>
    <x v="222"/>
    <s v="Annual"/>
    <n v="1"/>
    <n v="1"/>
    <n v="81324"/>
    <n v="81324"/>
  </r>
  <r>
    <x v="0"/>
    <n v="85"/>
    <x v="38"/>
    <x v="9"/>
    <x v="9"/>
    <n v="1005"/>
    <x v="58"/>
    <x v="5"/>
    <x v="80"/>
    <n v="3015"/>
    <x v="312"/>
    <n v="4431"/>
    <x v="321"/>
    <s v="B 14"/>
    <n v="4"/>
    <n v="1912"/>
    <x v="222"/>
    <s v="Annual"/>
    <n v="1"/>
    <n v="1"/>
    <n v="75336"/>
    <n v="75336"/>
  </r>
  <r>
    <x v="0"/>
    <n v="85"/>
    <x v="38"/>
    <x v="9"/>
    <x v="9"/>
    <n v="1005"/>
    <x v="58"/>
    <x v="5"/>
    <x v="80"/>
    <n v="3015"/>
    <x v="312"/>
    <n v="4431"/>
    <x v="321"/>
    <s v="X 43"/>
    <n v="0"/>
    <s v="03A2"/>
    <x v="220"/>
    <s v="Annual"/>
    <n v="1"/>
    <n v="1"/>
    <n v="133836"/>
    <n v="133836"/>
  </r>
  <r>
    <x v="0"/>
    <n v="85"/>
    <x v="38"/>
    <x v="9"/>
    <x v="9"/>
    <n v="1005"/>
    <x v="58"/>
    <x v="5"/>
    <x v="80"/>
    <n v="3015"/>
    <x v="312"/>
    <n v="4431"/>
    <x v="321"/>
    <s v="1 00"/>
    <n v="0"/>
    <n v="15"/>
    <x v="37"/>
    <s v="Annual"/>
    <n v="0"/>
    <n v="0"/>
    <n v="626"/>
    <n v="626"/>
  </r>
  <r>
    <x v="0"/>
    <n v="85"/>
    <x v="38"/>
    <x v="9"/>
    <x v="9"/>
    <n v="1005"/>
    <x v="58"/>
    <x v="5"/>
    <x v="80"/>
    <n v="3015"/>
    <x v="312"/>
    <n v="4510"/>
    <x v="322"/>
    <s v="X 42"/>
    <n v="0"/>
    <n v="9681"/>
    <x v="81"/>
    <s v="Annual"/>
    <n v="1"/>
    <n v="1"/>
    <n v="184584"/>
    <n v="184584"/>
  </r>
  <r>
    <x v="0"/>
    <n v="85"/>
    <x v="38"/>
    <x v="9"/>
    <x v="9"/>
    <n v="1005"/>
    <x v="58"/>
    <x v="5"/>
    <x v="80"/>
    <n v="3015"/>
    <x v="312"/>
    <n v="4510"/>
    <x v="322"/>
    <s v="G 07"/>
    <n v="4"/>
    <n v="1646"/>
    <x v="529"/>
    <s v="Annual"/>
    <n v="1"/>
    <n v="1"/>
    <n v="126240"/>
    <n v="126240"/>
  </r>
  <r>
    <x v="0"/>
    <n v="85"/>
    <x v="38"/>
    <x v="9"/>
    <x v="9"/>
    <n v="1005"/>
    <x v="58"/>
    <x v="5"/>
    <x v="80"/>
    <n v="3015"/>
    <x v="312"/>
    <n v="4510"/>
    <x v="322"/>
    <s v="GY 12"/>
    <n v="20"/>
    <n v="1633"/>
    <x v="394"/>
    <s v="Annual"/>
    <n v="1"/>
    <n v="1"/>
    <n v="140496"/>
    <n v="140496"/>
  </r>
  <r>
    <x v="0"/>
    <n v="85"/>
    <x v="38"/>
    <x v="9"/>
    <x v="9"/>
    <n v="1005"/>
    <x v="58"/>
    <x v="5"/>
    <x v="80"/>
    <n v="3015"/>
    <x v="312"/>
    <n v="4510"/>
    <x v="322"/>
    <s v="GY 12"/>
    <n v="20"/>
    <n v="1633"/>
    <x v="394"/>
    <s v="Annual"/>
    <n v="3"/>
    <n v="1"/>
    <n v="135744"/>
    <n v="407232"/>
  </r>
  <r>
    <x v="0"/>
    <n v="85"/>
    <x v="38"/>
    <x v="9"/>
    <x v="9"/>
    <n v="1005"/>
    <x v="58"/>
    <x v="5"/>
    <x v="80"/>
    <n v="3015"/>
    <x v="312"/>
    <n v="4510"/>
    <x v="322"/>
    <s v="GY 12"/>
    <n v="20"/>
    <n v="1633"/>
    <x v="394"/>
    <s v="Annual"/>
    <n v="3"/>
    <n v="1"/>
    <n v="115992"/>
    <n v="347976"/>
  </r>
  <r>
    <x v="0"/>
    <n v="85"/>
    <x v="38"/>
    <x v="9"/>
    <x v="9"/>
    <n v="1005"/>
    <x v="58"/>
    <x v="5"/>
    <x v="80"/>
    <n v="3015"/>
    <x v="312"/>
    <n v="4510"/>
    <x v="322"/>
    <s v="B 13"/>
    <n v="1"/>
    <n v="1617"/>
    <x v="338"/>
    <s v="Annual"/>
    <n v="1"/>
    <n v="1"/>
    <n v="77640"/>
    <n v="77640"/>
  </r>
  <r>
    <x v="0"/>
    <n v="85"/>
    <x v="38"/>
    <x v="9"/>
    <x v="9"/>
    <n v="1005"/>
    <x v="58"/>
    <x v="5"/>
    <x v="80"/>
    <n v="3015"/>
    <x v="312"/>
    <n v="4510"/>
    <x v="322"/>
    <s v="B 13"/>
    <n v="1"/>
    <n v="1617"/>
    <x v="338"/>
    <s v="Annual"/>
    <n v="2"/>
    <n v="1"/>
    <n v="68616"/>
    <n v="137232"/>
  </r>
  <r>
    <x v="0"/>
    <n v="85"/>
    <x v="38"/>
    <x v="9"/>
    <x v="9"/>
    <n v="1005"/>
    <x v="58"/>
    <x v="5"/>
    <x v="80"/>
    <n v="3015"/>
    <x v="312"/>
    <n v="4510"/>
    <x v="322"/>
    <s v="GY 07"/>
    <n v="10"/>
    <n v="1386"/>
    <x v="382"/>
    <s v="Annual"/>
    <n v="1"/>
    <n v="1"/>
    <n v="76020"/>
    <n v="76020"/>
  </r>
  <r>
    <x v="0"/>
    <n v="85"/>
    <x v="38"/>
    <x v="9"/>
    <x v="9"/>
    <n v="1005"/>
    <x v="58"/>
    <x v="5"/>
    <x v="80"/>
    <n v="3015"/>
    <x v="312"/>
    <n v="4510"/>
    <x v="322"/>
    <s v="BX 13"/>
    <n v="20"/>
    <n v="366"/>
    <x v="219"/>
    <s v="Annual"/>
    <n v="1"/>
    <n v="1"/>
    <n v="63504"/>
    <n v="63504"/>
  </r>
  <r>
    <x v="0"/>
    <n v="85"/>
    <x v="38"/>
    <x v="9"/>
    <x v="9"/>
    <n v="1005"/>
    <x v="58"/>
    <x v="5"/>
    <x v="80"/>
    <n v="3015"/>
    <x v="312"/>
    <n v="4510"/>
    <x v="322"/>
    <s v="1 00"/>
    <n v="0"/>
    <n v="15"/>
    <x v="37"/>
    <s v="Annual"/>
    <n v="0"/>
    <n v="0"/>
    <n v="27007"/>
    <n v="27007"/>
  </r>
  <r>
    <x v="0"/>
    <n v="85"/>
    <x v="38"/>
    <x v="9"/>
    <x v="9"/>
    <n v="1005"/>
    <x v="58"/>
    <x v="5"/>
    <x v="80"/>
    <n v="3015"/>
    <x v="312"/>
    <n v="4606"/>
    <x v="323"/>
    <s v="X 42"/>
    <n v="0"/>
    <n v="9681"/>
    <x v="81"/>
    <s v="Annual"/>
    <n v="1"/>
    <n v="1"/>
    <n v="184584"/>
    <n v="184584"/>
  </r>
  <r>
    <x v="0"/>
    <n v="85"/>
    <x v="38"/>
    <x v="9"/>
    <x v="9"/>
    <n v="1005"/>
    <x v="58"/>
    <x v="5"/>
    <x v="80"/>
    <n v="3015"/>
    <x v="312"/>
    <n v="4606"/>
    <x v="323"/>
    <s v="BX 17"/>
    <n v="10"/>
    <n v="7099"/>
    <x v="1152"/>
    <s v="Annual"/>
    <n v="1"/>
    <n v="1"/>
    <n v="89112"/>
    <n v="89112"/>
  </r>
  <r>
    <x v="0"/>
    <n v="85"/>
    <x v="38"/>
    <x v="9"/>
    <x v="9"/>
    <n v="1005"/>
    <x v="58"/>
    <x v="5"/>
    <x v="80"/>
    <n v="3015"/>
    <x v="312"/>
    <n v="4606"/>
    <x v="323"/>
    <s v="BX 17"/>
    <n v="10"/>
    <n v="7099"/>
    <x v="1152"/>
    <s v="Annual"/>
    <n v="1"/>
    <n v="1"/>
    <n v="83052"/>
    <n v="83052"/>
  </r>
  <r>
    <x v="0"/>
    <n v="85"/>
    <x v="38"/>
    <x v="9"/>
    <x v="9"/>
    <n v="1005"/>
    <x v="58"/>
    <x v="5"/>
    <x v="80"/>
    <n v="3015"/>
    <x v="312"/>
    <n v="4606"/>
    <x v="323"/>
    <s v="BX 19"/>
    <n v="10"/>
    <n v="7026"/>
    <x v="1137"/>
    <s v="Annual"/>
    <n v="1"/>
    <n v="1"/>
    <n v="157212"/>
    <n v="157212"/>
  </r>
  <r>
    <x v="0"/>
    <n v="85"/>
    <x v="38"/>
    <x v="9"/>
    <x v="9"/>
    <n v="1005"/>
    <x v="58"/>
    <x v="5"/>
    <x v="80"/>
    <n v="3015"/>
    <x v="312"/>
    <n v="4606"/>
    <x v="323"/>
    <s v="BX 19"/>
    <n v="10"/>
    <n v="7026"/>
    <x v="1137"/>
    <s v="Annual"/>
    <n v="3"/>
    <n v="1"/>
    <n v="113568"/>
    <n v="340704"/>
  </r>
  <r>
    <x v="0"/>
    <n v="85"/>
    <x v="38"/>
    <x v="9"/>
    <x v="9"/>
    <n v="1005"/>
    <x v="58"/>
    <x v="5"/>
    <x v="80"/>
    <n v="3015"/>
    <x v="312"/>
    <n v="4606"/>
    <x v="323"/>
    <s v="BX 19"/>
    <n v="10"/>
    <n v="7026"/>
    <x v="1137"/>
    <s v="Annual"/>
    <n v="1"/>
    <n v="1"/>
    <n v="107340"/>
    <n v="107340"/>
  </r>
  <r>
    <x v="0"/>
    <n v="85"/>
    <x v="38"/>
    <x v="9"/>
    <x v="9"/>
    <n v="1005"/>
    <x v="58"/>
    <x v="5"/>
    <x v="80"/>
    <n v="3015"/>
    <x v="312"/>
    <n v="4606"/>
    <x v="323"/>
    <s v="V 16"/>
    <n v="54"/>
    <n v="7025"/>
    <x v="1138"/>
    <s v="Annual"/>
    <n v="1"/>
    <n v="1"/>
    <n v="157296"/>
    <n v="157296"/>
  </r>
  <r>
    <x v="0"/>
    <n v="85"/>
    <x v="38"/>
    <x v="9"/>
    <x v="9"/>
    <n v="1005"/>
    <x v="58"/>
    <x v="5"/>
    <x v="80"/>
    <n v="3015"/>
    <x v="312"/>
    <n v="4606"/>
    <x v="323"/>
    <s v="V 16"/>
    <n v="54"/>
    <n v="7025"/>
    <x v="1138"/>
    <s v="Annual"/>
    <n v="1"/>
    <n v="1"/>
    <n v="150180"/>
    <n v="150180"/>
  </r>
  <r>
    <x v="0"/>
    <n v="85"/>
    <x v="38"/>
    <x v="9"/>
    <x v="9"/>
    <n v="1005"/>
    <x v="58"/>
    <x v="5"/>
    <x v="80"/>
    <n v="3015"/>
    <x v="312"/>
    <n v="4606"/>
    <x v="323"/>
    <s v="V 16"/>
    <n v="54"/>
    <n v="7025"/>
    <x v="1138"/>
    <s v="Annual"/>
    <n v="1"/>
    <n v="1"/>
    <n v="130620"/>
    <n v="130620"/>
  </r>
  <r>
    <x v="0"/>
    <n v="85"/>
    <x v="38"/>
    <x v="9"/>
    <x v="9"/>
    <n v="1005"/>
    <x v="58"/>
    <x v="5"/>
    <x v="80"/>
    <n v="3015"/>
    <x v="312"/>
    <n v="4606"/>
    <x v="323"/>
    <s v="V 15"/>
    <n v="54"/>
    <n v="7021"/>
    <x v="1139"/>
    <s v="Annual"/>
    <n v="3"/>
    <n v="1"/>
    <n v="143352"/>
    <n v="430056"/>
  </r>
  <r>
    <x v="0"/>
    <n v="85"/>
    <x v="38"/>
    <x v="9"/>
    <x v="9"/>
    <n v="1005"/>
    <x v="58"/>
    <x v="5"/>
    <x v="80"/>
    <n v="3015"/>
    <x v="312"/>
    <n v="4606"/>
    <x v="323"/>
    <s v="V 15"/>
    <n v="54"/>
    <n v="7021"/>
    <x v="1139"/>
    <s v="Annual"/>
    <n v="2"/>
    <n v="1"/>
    <n v="130620"/>
    <n v="261240"/>
  </r>
  <r>
    <x v="0"/>
    <n v="85"/>
    <x v="38"/>
    <x v="9"/>
    <x v="9"/>
    <n v="1005"/>
    <x v="58"/>
    <x v="5"/>
    <x v="80"/>
    <n v="3015"/>
    <x v="312"/>
    <n v="4606"/>
    <x v="323"/>
    <s v="V 15"/>
    <n v="54"/>
    <n v="7021"/>
    <x v="1139"/>
    <s v="Annual"/>
    <n v="2"/>
    <n v="1"/>
    <n v="124740"/>
    <n v="249480"/>
  </r>
  <r>
    <x v="0"/>
    <n v="85"/>
    <x v="38"/>
    <x v="9"/>
    <x v="9"/>
    <n v="1005"/>
    <x v="58"/>
    <x v="5"/>
    <x v="80"/>
    <n v="3015"/>
    <x v="312"/>
    <n v="4606"/>
    <x v="323"/>
    <s v="V 15"/>
    <n v="54"/>
    <n v="7021"/>
    <x v="1139"/>
    <s v="Annual"/>
    <n v="3"/>
    <n v="1"/>
    <n v="119052"/>
    <n v="357156"/>
  </r>
  <r>
    <x v="0"/>
    <n v="85"/>
    <x v="38"/>
    <x v="9"/>
    <x v="9"/>
    <n v="1005"/>
    <x v="58"/>
    <x v="5"/>
    <x v="80"/>
    <n v="3015"/>
    <x v="312"/>
    <n v="4606"/>
    <x v="323"/>
    <s v="V 15"/>
    <n v="54"/>
    <n v="7021"/>
    <x v="1139"/>
    <s v="Annual"/>
    <n v="1"/>
    <n v="1"/>
    <n v="113592"/>
    <n v="113592"/>
  </r>
  <r>
    <x v="0"/>
    <n v="85"/>
    <x v="38"/>
    <x v="9"/>
    <x v="9"/>
    <n v="1005"/>
    <x v="58"/>
    <x v="5"/>
    <x v="80"/>
    <n v="3015"/>
    <x v="312"/>
    <n v="4606"/>
    <x v="323"/>
    <s v="V 15"/>
    <n v="54"/>
    <n v="7021"/>
    <x v="1139"/>
    <s v="Annual"/>
    <n v="3"/>
    <n v="1"/>
    <n v="108528"/>
    <n v="325584"/>
  </r>
  <r>
    <x v="0"/>
    <n v="85"/>
    <x v="38"/>
    <x v="9"/>
    <x v="9"/>
    <n v="1005"/>
    <x v="58"/>
    <x v="5"/>
    <x v="80"/>
    <n v="3015"/>
    <x v="312"/>
    <n v="4606"/>
    <x v="323"/>
    <s v="V 15"/>
    <n v="54"/>
    <n v="7021"/>
    <x v="1139"/>
    <s v="Annual"/>
    <n v="2"/>
    <n v="1"/>
    <n v="102540"/>
    <n v="205080"/>
  </r>
  <r>
    <x v="0"/>
    <n v="85"/>
    <x v="38"/>
    <x v="9"/>
    <x v="9"/>
    <n v="1005"/>
    <x v="58"/>
    <x v="5"/>
    <x v="80"/>
    <n v="3015"/>
    <x v="312"/>
    <n v="4606"/>
    <x v="323"/>
    <s v="V 15"/>
    <n v="54"/>
    <n v="7021"/>
    <x v="1139"/>
    <s v="Annual"/>
    <n v="4"/>
    <n v="1"/>
    <n v="97932"/>
    <n v="391728"/>
  </r>
  <r>
    <x v="0"/>
    <n v="85"/>
    <x v="38"/>
    <x v="9"/>
    <x v="9"/>
    <n v="1005"/>
    <x v="58"/>
    <x v="5"/>
    <x v="80"/>
    <n v="3015"/>
    <x v="312"/>
    <n v="4606"/>
    <x v="323"/>
    <s v="V 15"/>
    <n v="54"/>
    <n v="7021"/>
    <x v="1139"/>
    <s v="Annual"/>
    <n v="1"/>
    <n v="1"/>
    <n v="93468"/>
    <n v="93468"/>
  </r>
  <r>
    <x v="0"/>
    <n v="85"/>
    <x v="38"/>
    <x v="9"/>
    <x v="9"/>
    <n v="1005"/>
    <x v="58"/>
    <x v="5"/>
    <x v="80"/>
    <n v="3015"/>
    <x v="312"/>
    <n v="4606"/>
    <x v="323"/>
    <s v="V 15"/>
    <n v="54"/>
    <n v="7021"/>
    <x v="1139"/>
    <s v="Annual"/>
    <n v="3"/>
    <n v="1"/>
    <n v="89232"/>
    <n v="267696"/>
  </r>
  <r>
    <x v="0"/>
    <n v="85"/>
    <x v="38"/>
    <x v="9"/>
    <x v="9"/>
    <n v="1005"/>
    <x v="58"/>
    <x v="5"/>
    <x v="80"/>
    <n v="3015"/>
    <x v="312"/>
    <n v="4606"/>
    <x v="323"/>
    <s v="V 15"/>
    <n v="54"/>
    <n v="7021"/>
    <x v="1139"/>
    <s v="Annual"/>
    <n v="4"/>
    <n v="1"/>
    <n v="85176"/>
    <n v="340704"/>
  </r>
  <r>
    <x v="0"/>
    <n v="85"/>
    <x v="38"/>
    <x v="9"/>
    <x v="9"/>
    <n v="1005"/>
    <x v="58"/>
    <x v="5"/>
    <x v="80"/>
    <n v="3015"/>
    <x v="312"/>
    <n v="4606"/>
    <x v="323"/>
    <s v="BX 22"/>
    <n v="10"/>
    <n v="7020"/>
    <x v="1135"/>
    <s v="Annual"/>
    <n v="2"/>
    <n v="1"/>
    <n v="112440"/>
    <n v="224880"/>
  </r>
  <r>
    <x v="0"/>
    <n v="85"/>
    <x v="38"/>
    <x v="9"/>
    <x v="9"/>
    <n v="1005"/>
    <x v="58"/>
    <x v="5"/>
    <x v="80"/>
    <n v="3015"/>
    <x v="312"/>
    <n v="4606"/>
    <x v="323"/>
    <s v="V 14"/>
    <n v="54"/>
    <n v="7010"/>
    <x v="1141"/>
    <s v="Annual"/>
    <n v="1"/>
    <n v="1"/>
    <n v="130620"/>
    <n v="130620"/>
  </r>
  <r>
    <x v="0"/>
    <n v="85"/>
    <x v="38"/>
    <x v="9"/>
    <x v="9"/>
    <n v="1005"/>
    <x v="58"/>
    <x v="5"/>
    <x v="80"/>
    <n v="3015"/>
    <x v="312"/>
    <n v="4606"/>
    <x v="323"/>
    <s v="V 14"/>
    <n v="54"/>
    <n v="7010"/>
    <x v="1141"/>
    <s v="Annual"/>
    <n v="1"/>
    <n v="1"/>
    <n v="108528"/>
    <n v="108528"/>
  </r>
  <r>
    <x v="0"/>
    <n v="85"/>
    <x v="38"/>
    <x v="9"/>
    <x v="9"/>
    <n v="1005"/>
    <x v="58"/>
    <x v="5"/>
    <x v="80"/>
    <n v="3015"/>
    <x v="312"/>
    <n v="4606"/>
    <x v="323"/>
    <s v="V 14"/>
    <n v="54"/>
    <n v="7010"/>
    <x v="1141"/>
    <s v="Annual"/>
    <n v="1"/>
    <n v="1"/>
    <n v="103572"/>
    <n v="103572"/>
  </r>
  <r>
    <x v="0"/>
    <n v="85"/>
    <x v="38"/>
    <x v="9"/>
    <x v="9"/>
    <n v="1005"/>
    <x v="58"/>
    <x v="5"/>
    <x v="80"/>
    <n v="3015"/>
    <x v="312"/>
    <n v="4606"/>
    <x v="323"/>
    <s v="V 14"/>
    <n v="54"/>
    <n v="7010"/>
    <x v="1141"/>
    <s v="Annual"/>
    <n v="1"/>
    <n v="1"/>
    <n v="98892"/>
    <n v="98892"/>
  </r>
  <r>
    <x v="0"/>
    <n v="85"/>
    <x v="38"/>
    <x v="9"/>
    <x v="9"/>
    <n v="1005"/>
    <x v="58"/>
    <x v="5"/>
    <x v="80"/>
    <n v="3015"/>
    <x v="312"/>
    <n v="4606"/>
    <x v="323"/>
    <s v="V 14"/>
    <n v="54"/>
    <n v="7010"/>
    <x v="1141"/>
    <s v="Annual"/>
    <n v="2"/>
    <n v="1"/>
    <n v="93468"/>
    <n v="186936"/>
  </r>
  <r>
    <x v="0"/>
    <n v="85"/>
    <x v="38"/>
    <x v="9"/>
    <x v="9"/>
    <n v="1005"/>
    <x v="58"/>
    <x v="5"/>
    <x v="80"/>
    <n v="3015"/>
    <x v="312"/>
    <n v="4606"/>
    <x v="323"/>
    <s v="V 14"/>
    <n v="54"/>
    <n v="7010"/>
    <x v="1141"/>
    <s v="Annual"/>
    <n v="1"/>
    <n v="1"/>
    <n v="89232"/>
    <n v="89232"/>
  </r>
  <r>
    <x v="0"/>
    <n v="85"/>
    <x v="38"/>
    <x v="9"/>
    <x v="9"/>
    <n v="1005"/>
    <x v="58"/>
    <x v="5"/>
    <x v="80"/>
    <n v="3015"/>
    <x v="312"/>
    <n v="4606"/>
    <x v="323"/>
    <s v="V 14"/>
    <n v="54"/>
    <n v="7010"/>
    <x v="1141"/>
    <s v="Annual"/>
    <n v="8"/>
    <n v="1"/>
    <n v="85176"/>
    <n v="681408"/>
  </r>
  <r>
    <x v="0"/>
    <n v="85"/>
    <x v="38"/>
    <x v="9"/>
    <x v="9"/>
    <n v="1005"/>
    <x v="58"/>
    <x v="5"/>
    <x v="80"/>
    <n v="3015"/>
    <x v="312"/>
    <n v="4606"/>
    <x v="323"/>
    <s v="V 14"/>
    <n v="54"/>
    <n v="7010"/>
    <x v="1141"/>
    <s v="Annual"/>
    <n v="4"/>
    <n v="1"/>
    <n v="81276"/>
    <n v="325104"/>
  </r>
  <r>
    <x v="0"/>
    <n v="85"/>
    <x v="38"/>
    <x v="9"/>
    <x v="9"/>
    <n v="1005"/>
    <x v="58"/>
    <x v="5"/>
    <x v="80"/>
    <n v="3015"/>
    <x v="312"/>
    <n v="4606"/>
    <x v="323"/>
    <s v="V 14"/>
    <n v="54"/>
    <n v="7010"/>
    <x v="1141"/>
    <s v="Annual"/>
    <n v="10"/>
    <n v="1"/>
    <n v="77628"/>
    <n v="776280"/>
  </r>
  <r>
    <x v="0"/>
    <n v="85"/>
    <x v="38"/>
    <x v="9"/>
    <x v="9"/>
    <n v="1005"/>
    <x v="58"/>
    <x v="5"/>
    <x v="80"/>
    <n v="3015"/>
    <x v="312"/>
    <n v="4606"/>
    <x v="323"/>
    <s v="B 12"/>
    <n v="1"/>
    <n v="810"/>
    <x v="915"/>
    <s v="Annual"/>
    <n v="1"/>
    <n v="1"/>
    <n v="108576"/>
    <n v="108576"/>
  </r>
  <r>
    <x v="0"/>
    <n v="85"/>
    <x v="38"/>
    <x v="9"/>
    <x v="9"/>
    <n v="1005"/>
    <x v="58"/>
    <x v="5"/>
    <x v="80"/>
    <n v="3015"/>
    <x v="312"/>
    <n v="4606"/>
    <x v="323"/>
    <s v="X 43"/>
    <n v="0"/>
    <s v="03A2"/>
    <x v="220"/>
    <s v="Annual"/>
    <n v="3"/>
    <n v="1"/>
    <n v="160680"/>
    <n v="482040"/>
  </r>
  <r>
    <x v="0"/>
    <n v="85"/>
    <x v="38"/>
    <x v="9"/>
    <x v="9"/>
    <n v="1005"/>
    <x v="58"/>
    <x v="5"/>
    <x v="80"/>
    <n v="3015"/>
    <x v="312"/>
    <n v="4606"/>
    <x v="323"/>
    <s v="1 00"/>
    <n v="0"/>
    <n v="15"/>
    <x v="37"/>
    <s v="Annual"/>
    <n v="0"/>
    <n v="0"/>
    <n v="92889"/>
    <n v="92889"/>
  </r>
  <r>
    <x v="0"/>
    <n v="85"/>
    <x v="38"/>
    <x v="9"/>
    <x v="9"/>
    <n v="1005"/>
    <x v="58"/>
    <x v="5"/>
    <x v="80"/>
    <n v="3015"/>
    <x v="312"/>
    <n v="4626"/>
    <x v="324"/>
    <s v="2 0"/>
    <n v="42"/>
    <n v="7633"/>
    <x v="887"/>
    <s v="Hourly"/>
    <n v="4"/>
    <n v="1"/>
    <n v="64.8"/>
    <n v="539136"/>
  </r>
  <r>
    <x v="0"/>
    <n v="85"/>
    <x v="38"/>
    <x v="9"/>
    <x v="9"/>
    <n v="1005"/>
    <x v="58"/>
    <x v="5"/>
    <x v="80"/>
    <n v="3015"/>
    <x v="312"/>
    <n v="4626"/>
    <x v="324"/>
    <s v="2 0"/>
    <n v="8"/>
    <n v="7184"/>
    <x v="882"/>
    <s v="Hourly"/>
    <n v="248560"/>
    <n v="0"/>
    <n v="48.73"/>
    <n v="12112329"/>
  </r>
  <r>
    <x v="0"/>
    <n v="85"/>
    <x v="38"/>
    <x v="9"/>
    <x v="9"/>
    <n v="1005"/>
    <x v="58"/>
    <x v="5"/>
    <x v="80"/>
    <n v="3015"/>
    <x v="312"/>
    <n v="4626"/>
    <x v="324"/>
    <s v="2 0"/>
    <n v="8"/>
    <n v="7185"/>
    <x v="485"/>
    <s v="Hourly"/>
    <n v="8"/>
    <n v="1"/>
    <n v="52.38"/>
    <n v="871603"/>
  </r>
  <r>
    <x v="0"/>
    <n v="85"/>
    <x v="38"/>
    <x v="9"/>
    <x v="9"/>
    <n v="1005"/>
    <x v="58"/>
    <x v="5"/>
    <x v="80"/>
    <n v="3015"/>
    <x v="312"/>
    <n v="4626"/>
    <x v="324"/>
    <s v="2 0"/>
    <n v="8"/>
    <n v="7183"/>
    <x v="449"/>
    <s v="Hourly"/>
    <n v="282"/>
    <n v="1"/>
    <n v="48.73"/>
    <n v="28583069"/>
  </r>
  <r>
    <x v="0"/>
    <n v="85"/>
    <x v="38"/>
    <x v="9"/>
    <x v="9"/>
    <n v="1005"/>
    <x v="58"/>
    <x v="5"/>
    <x v="80"/>
    <n v="3015"/>
    <x v="312"/>
    <n v="4626"/>
    <x v="324"/>
    <s v="BX 18"/>
    <n v="10"/>
    <n v="7141"/>
    <x v="496"/>
    <s v="Annual"/>
    <n v="1"/>
    <n v="1"/>
    <n v="113568"/>
    <n v="113568"/>
  </r>
  <r>
    <x v="0"/>
    <n v="85"/>
    <x v="38"/>
    <x v="9"/>
    <x v="9"/>
    <n v="1005"/>
    <x v="58"/>
    <x v="5"/>
    <x v="80"/>
    <n v="3015"/>
    <x v="312"/>
    <n v="4626"/>
    <x v="324"/>
    <s v="BX 18"/>
    <n v="10"/>
    <n v="7141"/>
    <x v="496"/>
    <s v="Annual"/>
    <n v="1"/>
    <n v="1"/>
    <n v="107340"/>
    <n v="107340"/>
  </r>
  <r>
    <x v="0"/>
    <n v="85"/>
    <x v="38"/>
    <x v="9"/>
    <x v="9"/>
    <n v="1005"/>
    <x v="58"/>
    <x v="5"/>
    <x v="80"/>
    <n v="3015"/>
    <x v="312"/>
    <n v="4626"/>
    <x v="324"/>
    <s v="BX 18"/>
    <n v="10"/>
    <n v="7141"/>
    <x v="496"/>
    <s v="Annual"/>
    <n v="2"/>
    <n v="1"/>
    <n v="89112"/>
    <n v="178224"/>
  </r>
  <r>
    <x v="0"/>
    <n v="85"/>
    <x v="38"/>
    <x v="9"/>
    <x v="9"/>
    <n v="1005"/>
    <x v="58"/>
    <x v="5"/>
    <x v="80"/>
    <n v="3015"/>
    <x v="312"/>
    <n v="4626"/>
    <x v="324"/>
    <s v="2 0"/>
    <n v="8"/>
    <n v="7140"/>
    <x v="885"/>
    <s v="Hourly"/>
    <n v="7"/>
    <n v="1"/>
    <n v="35.57"/>
    <n v="517899"/>
  </r>
  <r>
    <x v="0"/>
    <n v="85"/>
    <x v="38"/>
    <x v="9"/>
    <x v="9"/>
    <n v="1005"/>
    <x v="58"/>
    <x v="5"/>
    <x v="80"/>
    <n v="3015"/>
    <x v="312"/>
    <n v="4626"/>
    <x v="324"/>
    <s v="2 0"/>
    <n v="8"/>
    <n v="7124"/>
    <x v="498"/>
    <s v="Hourly"/>
    <n v="7"/>
    <n v="1"/>
    <n v="49.58"/>
    <n v="721885"/>
  </r>
  <r>
    <x v="0"/>
    <n v="85"/>
    <x v="38"/>
    <x v="9"/>
    <x v="9"/>
    <n v="1005"/>
    <x v="58"/>
    <x v="5"/>
    <x v="80"/>
    <n v="3015"/>
    <x v="312"/>
    <n v="4626"/>
    <x v="324"/>
    <s v="2 0"/>
    <n v="8"/>
    <n v="7123"/>
    <x v="873"/>
    <s v="Monthly"/>
    <n v="11"/>
    <n v="1"/>
    <n v="8932"/>
    <n v="1179024"/>
  </r>
  <r>
    <x v="0"/>
    <n v="85"/>
    <x v="38"/>
    <x v="9"/>
    <x v="9"/>
    <n v="1005"/>
    <x v="58"/>
    <x v="5"/>
    <x v="80"/>
    <n v="3015"/>
    <x v="312"/>
    <n v="4626"/>
    <x v="324"/>
    <s v="BX 22"/>
    <n v="10"/>
    <n v="7020"/>
    <x v="1135"/>
    <s v="Annual"/>
    <n v="1"/>
    <n v="1"/>
    <n v="123348"/>
    <n v="123348"/>
  </r>
  <r>
    <x v="0"/>
    <n v="85"/>
    <x v="38"/>
    <x v="9"/>
    <x v="9"/>
    <n v="1005"/>
    <x v="58"/>
    <x v="5"/>
    <x v="80"/>
    <n v="3015"/>
    <x v="312"/>
    <n v="4626"/>
    <x v="324"/>
    <s v="BX 22"/>
    <n v="10"/>
    <n v="7020"/>
    <x v="1135"/>
    <s v="Annual"/>
    <n v="1"/>
    <n v="1"/>
    <n v="112440"/>
    <n v="112440"/>
  </r>
  <r>
    <x v="0"/>
    <n v="85"/>
    <x v="38"/>
    <x v="9"/>
    <x v="9"/>
    <n v="1005"/>
    <x v="58"/>
    <x v="5"/>
    <x v="80"/>
    <n v="3015"/>
    <x v="312"/>
    <n v="4626"/>
    <x v="324"/>
    <s v="3 00"/>
    <n v="20"/>
    <n v="7015"/>
    <x v="1173"/>
    <s v="Annual"/>
    <n v="3"/>
    <n v="1"/>
    <n v="83052"/>
    <n v="249156"/>
  </r>
  <r>
    <x v="0"/>
    <n v="85"/>
    <x v="38"/>
    <x v="9"/>
    <x v="9"/>
    <n v="1005"/>
    <x v="58"/>
    <x v="5"/>
    <x v="80"/>
    <n v="3015"/>
    <x v="312"/>
    <n v="4626"/>
    <x v="324"/>
    <s v="2 0"/>
    <n v="25"/>
    <n v="4656"/>
    <x v="1041"/>
    <s v="Hourly"/>
    <n v="1"/>
    <n v="1"/>
    <n v="41.55"/>
    <n v="86424"/>
  </r>
  <r>
    <x v="0"/>
    <n v="85"/>
    <x v="38"/>
    <x v="9"/>
    <x v="9"/>
    <n v="1005"/>
    <x v="58"/>
    <x v="5"/>
    <x v="80"/>
    <n v="3015"/>
    <x v="312"/>
    <n v="4626"/>
    <x v="324"/>
    <s v="BX 17"/>
    <n v="20"/>
    <n v="1318"/>
    <x v="409"/>
    <s v="Annual"/>
    <n v="2"/>
    <n v="1"/>
    <n v="113568"/>
    <n v="227136"/>
  </r>
  <r>
    <x v="0"/>
    <n v="85"/>
    <x v="38"/>
    <x v="9"/>
    <x v="9"/>
    <n v="1005"/>
    <x v="58"/>
    <x v="5"/>
    <x v="80"/>
    <n v="3015"/>
    <x v="312"/>
    <n v="4626"/>
    <x v="324"/>
    <s v="X 43"/>
    <n v="0"/>
    <s v="03A2"/>
    <x v="220"/>
    <s v="Annual"/>
    <n v="1"/>
    <n v="1"/>
    <n v="133836"/>
    <n v="133836"/>
  </r>
  <r>
    <x v="0"/>
    <n v="85"/>
    <x v="38"/>
    <x v="9"/>
    <x v="9"/>
    <n v="1005"/>
    <x v="58"/>
    <x v="5"/>
    <x v="80"/>
    <n v="3015"/>
    <x v="312"/>
    <n v="4626"/>
    <x v="324"/>
    <s v="B 13"/>
    <n v="1"/>
    <n v="308"/>
    <x v="90"/>
    <s v="Annual"/>
    <n v="1"/>
    <n v="1"/>
    <n v="119100"/>
    <n v="119100"/>
  </r>
  <r>
    <x v="0"/>
    <n v="85"/>
    <x v="38"/>
    <x v="9"/>
    <x v="9"/>
    <n v="1005"/>
    <x v="58"/>
    <x v="5"/>
    <x v="80"/>
    <n v="3015"/>
    <x v="312"/>
    <n v="4626"/>
    <x v="324"/>
    <s v="1 00"/>
    <n v="0"/>
    <n v="15"/>
    <x v="37"/>
    <s v="Annual"/>
    <n v="0"/>
    <n v="0"/>
    <n v="11983"/>
    <n v="11983"/>
  </r>
  <r>
    <x v="0"/>
    <n v="85"/>
    <x v="38"/>
    <x v="9"/>
    <x v="9"/>
    <n v="1005"/>
    <x v="58"/>
    <x v="5"/>
    <x v="80"/>
    <n v="3015"/>
    <x v="312"/>
    <n v="4626"/>
    <x v="324"/>
    <s v="1 00"/>
    <n v="0"/>
    <n v="12"/>
    <x v="291"/>
    <s v="Annual"/>
    <n v="0"/>
    <n v="0"/>
    <n v="669169"/>
    <n v="669169"/>
  </r>
  <r>
    <x v="0"/>
    <n v="85"/>
    <x v="38"/>
    <x v="9"/>
    <x v="9"/>
    <n v="1005"/>
    <x v="58"/>
    <x v="5"/>
    <x v="80"/>
    <n v="3015"/>
    <x v="312"/>
    <n v="4700"/>
    <x v="325"/>
    <s v="X 42"/>
    <n v="0"/>
    <n v="9681"/>
    <x v="81"/>
    <s v="Annual"/>
    <n v="1"/>
    <n v="1"/>
    <n v="184584"/>
    <n v="184584"/>
  </r>
  <r>
    <x v="0"/>
    <n v="85"/>
    <x v="38"/>
    <x v="9"/>
    <x v="9"/>
    <n v="1005"/>
    <x v="58"/>
    <x v="5"/>
    <x v="80"/>
    <n v="3015"/>
    <x v="312"/>
    <n v="4700"/>
    <x v="325"/>
    <s v="BX 17"/>
    <n v="10"/>
    <n v="7099"/>
    <x v="1152"/>
    <s v="Annual"/>
    <n v="1"/>
    <n v="1"/>
    <n v="124584"/>
    <n v="124584"/>
  </r>
  <r>
    <x v="0"/>
    <n v="85"/>
    <x v="38"/>
    <x v="9"/>
    <x v="9"/>
    <n v="1005"/>
    <x v="58"/>
    <x v="5"/>
    <x v="80"/>
    <n v="3015"/>
    <x v="312"/>
    <n v="4700"/>
    <x v="325"/>
    <s v="BX 17"/>
    <n v="10"/>
    <n v="7099"/>
    <x v="1152"/>
    <s v="Annual"/>
    <n v="1"/>
    <n v="1"/>
    <n v="97836"/>
    <n v="97836"/>
  </r>
  <r>
    <x v="0"/>
    <n v="85"/>
    <x v="38"/>
    <x v="9"/>
    <x v="9"/>
    <n v="1005"/>
    <x v="58"/>
    <x v="5"/>
    <x v="80"/>
    <n v="3015"/>
    <x v="312"/>
    <n v="4700"/>
    <x v="325"/>
    <s v="BX 17"/>
    <n v="10"/>
    <n v="7099"/>
    <x v="1152"/>
    <s v="Annual"/>
    <n v="1"/>
    <n v="1"/>
    <n v="85128"/>
    <n v="85128"/>
  </r>
  <r>
    <x v="0"/>
    <n v="85"/>
    <x v="38"/>
    <x v="9"/>
    <x v="9"/>
    <n v="1005"/>
    <x v="58"/>
    <x v="5"/>
    <x v="80"/>
    <n v="3015"/>
    <x v="312"/>
    <n v="4700"/>
    <x v="325"/>
    <s v="BX 17"/>
    <n v="10"/>
    <n v="7099"/>
    <x v="1152"/>
    <s v="Annual"/>
    <n v="1"/>
    <n v="1"/>
    <n v="83052"/>
    <n v="83052"/>
  </r>
  <r>
    <x v="0"/>
    <n v="85"/>
    <x v="38"/>
    <x v="9"/>
    <x v="9"/>
    <n v="1005"/>
    <x v="58"/>
    <x v="5"/>
    <x v="80"/>
    <n v="3015"/>
    <x v="312"/>
    <n v="4700"/>
    <x v="325"/>
    <s v="BX 17"/>
    <n v="10"/>
    <n v="7027"/>
    <x v="1174"/>
    <s v="Annual"/>
    <n v="1"/>
    <n v="1"/>
    <n v="136692"/>
    <n v="136692"/>
  </r>
  <r>
    <x v="0"/>
    <n v="85"/>
    <x v="38"/>
    <x v="9"/>
    <x v="9"/>
    <n v="1005"/>
    <x v="58"/>
    <x v="5"/>
    <x v="80"/>
    <n v="3015"/>
    <x v="312"/>
    <n v="4700"/>
    <x v="325"/>
    <s v="BX 17"/>
    <n v="10"/>
    <n v="7027"/>
    <x v="1174"/>
    <s v="Annual"/>
    <n v="1"/>
    <n v="1"/>
    <n v="93384"/>
    <n v="93384"/>
  </r>
  <r>
    <x v="0"/>
    <n v="85"/>
    <x v="38"/>
    <x v="9"/>
    <x v="9"/>
    <n v="1005"/>
    <x v="58"/>
    <x v="5"/>
    <x v="80"/>
    <n v="3015"/>
    <x v="312"/>
    <n v="4700"/>
    <x v="325"/>
    <s v="BX 14"/>
    <n v="10"/>
    <n v="7024"/>
    <x v="1175"/>
    <s v="Annual"/>
    <n v="1"/>
    <n v="1"/>
    <n v="63504"/>
    <n v="63504"/>
  </r>
  <r>
    <x v="0"/>
    <n v="85"/>
    <x v="38"/>
    <x v="9"/>
    <x v="9"/>
    <n v="1005"/>
    <x v="58"/>
    <x v="5"/>
    <x v="80"/>
    <n v="3015"/>
    <x v="312"/>
    <n v="4700"/>
    <x v="325"/>
    <s v="BX 22"/>
    <n v="10"/>
    <n v="7020"/>
    <x v="1135"/>
    <s v="Annual"/>
    <n v="1"/>
    <n v="1"/>
    <n v="143232"/>
    <n v="143232"/>
  </r>
  <r>
    <x v="0"/>
    <n v="85"/>
    <x v="38"/>
    <x v="9"/>
    <x v="9"/>
    <n v="1005"/>
    <x v="58"/>
    <x v="5"/>
    <x v="80"/>
    <n v="3015"/>
    <x v="312"/>
    <n v="4700"/>
    <x v="325"/>
    <s v="BX 22"/>
    <n v="10"/>
    <n v="7020"/>
    <x v="1135"/>
    <s v="Annual"/>
    <n v="1"/>
    <n v="1"/>
    <n v="112440"/>
    <n v="112440"/>
  </r>
  <r>
    <x v="0"/>
    <n v="85"/>
    <x v="38"/>
    <x v="9"/>
    <x v="9"/>
    <n v="1005"/>
    <x v="58"/>
    <x v="5"/>
    <x v="80"/>
    <n v="3015"/>
    <x v="312"/>
    <n v="4700"/>
    <x v="325"/>
    <s v="GY 12"/>
    <n v="20"/>
    <n v="5410"/>
    <x v="422"/>
    <s v="Annual"/>
    <n v="1"/>
    <n v="1"/>
    <n v="131124"/>
    <n v="131124"/>
  </r>
  <r>
    <x v="0"/>
    <n v="85"/>
    <x v="38"/>
    <x v="9"/>
    <x v="9"/>
    <n v="1005"/>
    <x v="58"/>
    <x v="5"/>
    <x v="80"/>
    <n v="3015"/>
    <x v="312"/>
    <n v="4700"/>
    <x v="325"/>
    <s v="B 09"/>
    <n v="1"/>
    <n v="460"/>
    <x v="344"/>
    <s v="Annual"/>
    <n v="2"/>
    <n v="1"/>
    <n v="48864"/>
    <n v="97728"/>
  </r>
  <r>
    <x v="0"/>
    <n v="85"/>
    <x v="38"/>
    <x v="9"/>
    <x v="9"/>
    <n v="1005"/>
    <x v="58"/>
    <x v="5"/>
    <x v="80"/>
    <n v="3015"/>
    <x v="312"/>
    <n v="4700"/>
    <x v="325"/>
    <s v="B 12"/>
    <n v="1"/>
    <s v="03A8"/>
    <x v="88"/>
    <s v="Annual"/>
    <n v="1"/>
    <n v="1"/>
    <n v="98928"/>
    <n v="98928"/>
  </r>
  <r>
    <x v="0"/>
    <n v="85"/>
    <x v="38"/>
    <x v="9"/>
    <x v="9"/>
    <n v="1005"/>
    <x v="58"/>
    <x v="5"/>
    <x v="80"/>
    <n v="3015"/>
    <x v="312"/>
    <n v="4700"/>
    <x v="325"/>
    <s v="B 12"/>
    <n v="1"/>
    <s v="03A8"/>
    <x v="88"/>
    <s v="Annual"/>
    <n v="1"/>
    <n v="1"/>
    <n v="94452"/>
    <n v="94452"/>
  </r>
  <r>
    <x v="0"/>
    <n v="85"/>
    <x v="38"/>
    <x v="9"/>
    <x v="9"/>
    <n v="1005"/>
    <x v="58"/>
    <x v="5"/>
    <x v="80"/>
    <n v="3015"/>
    <x v="312"/>
    <n v="4700"/>
    <x v="325"/>
    <s v="B 12"/>
    <n v="1"/>
    <s v="03A8"/>
    <x v="88"/>
    <s v="Annual"/>
    <n v="1"/>
    <n v="1"/>
    <n v="77640"/>
    <n v="77640"/>
  </r>
  <r>
    <x v="0"/>
    <n v="85"/>
    <x v="38"/>
    <x v="9"/>
    <x v="9"/>
    <n v="1005"/>
    <x v="58"/>
    <x v="5"/>
    <x v="80"/>
    <n v="3015"/>
    <x v="312"/>
    <n v="4700"/>
    <x v="325"/>
    <s v="X 43"/>
    <n v="0"/>
    <s v="03A2"/>
    <x v="220"/>
    <s v="Annual"/>
    <n v="2"/>
    <n v="1"/>
    <n v="160680"/>
    <n v="321360"/>
  </r>
  <r>
    <x v="0"/>
    <n v="85"/>
    <x v="38"/>
    <x v="9"/>
    <x v="9"/>
    <n v="1005"/>
    <x v="58"/>
    <x v="5"/>
    <x v="80"/>
    <n v="3015"/>
    <x v="312"/>
    <n v="4700"/>
    <x v="325"/>
    <s v="B 16"/>
    <n v="4"/>
    <n v="345"/>
    <x v="108"/>
    <s v="Annual"/>
    <n v="1"/>
    <n v="1"/>
    <n v="90732"/>
    <n v="90732"/>
  </r>
  <r>
    <x v="0"/>
    <n v="85"/>
    <x v="38"/>
    <x v="9"/>
    <x v="9"/>
    <n v="1005"/>
    <x v="58"/>
    <x v="5"/>
    <x v="80"/>
    <n v="3015"/>
    <x v="312"/>
    <n v="4700"/>
    <x v="325"/>
    <s v="BX 18"/>
    <n v="10"/>
    <n v="310"/>
    <x v="135"/>
    <s v="Annual"/>
    <n v="1"/>
    <n v="1"/>
    <n v="118956"/>
    <n v="118956"/>
  </r>
  <r>
    <x v="0"/>
    <n v="85"/>
    <x v="38"/>
    <x v="9"/>
    <x v="9"/>
    <n v="1005"/>
    <x v="58"/>
    <x v="5"/>
    <x v="80"/>
    <n v="3015"/>
    <x v="312"/>
    <n v="4700"/>
    <x v="325"/>
    <s v="BX 18"/>
    <n v="10"/>
    <n v="310"/>
    <x v="135"/>
    <s v="Annual"/>
    <n v="1"/>
    <n v="1"/>
    <n v="89112"/>
    <n v="89112"/>
  </r>
  <r>
    <x v="0"/>
    <n v="85"/>
    <x v="38"/>
    <x v="9"/>
    <x v="9"/>
    <n v="1005"/>
    <x v="58"/>
    <x v="5"/>
    <x v="80"/>
    <n v="3015"/>
    <x v="312"/>
    <n v="4700"/>
    <x v="325"/>
    <s v="B 13"/>
    <n v="1"/>
    <n v="308"/>
    <x v="90"/>
    <s v="Annual"/>
    <n v="1"/>
    <n v="1"/>
    <n v="103608"/>
    <n v="103608"/>
  </r>
  <r>
    <x v="0"/>
    <n v="85"/>
    <x v="38"/>
    <x v="9"/>
    <x v="9"/>
    <n v="1005"/>
    <x v="58"/>
    <x v="5"/>
    <x v="80"/>
    <n v="3015"/>
    <x v="312"/>
    <n v="4700"/>
    <x v="325"/>
    <s v="1 00"/>
    <n v="0"/>
    <n v="15"/>
    <x v="37"/>
    <s v="Annual"/>
    <n v="0"/>
    <n v="0"/>
    <n v="34148"/>
    <n v="34148"/>
  </r>
  <r>
    <x v="0"/>
    <n v="85"/>
    <x v="38"/>
    <x v="9"/>
    <x v="9"/>
    <n v="1005"/>
    <x v="58"/>
    <x v="5"/>
    <x v="80"/>
    <n v="3015"/>
    <x v="312"/>
    <n v="4707"/>
    <x v="326"/>
    <s v="2 0"/>
    <n v="23"/>
    <n v="7775"/>
    <x v="962"/>
    <s v="Hourly"/>
    <n v="6"/>
    <n v="1"/>
    <n v="43.04"/>
    <n v="537139"/>
  </r>
  <r>
    <x v="0"/>
    <n v="85"/>
    <x v="38"/>
    <x v="9"/>
    <x v="9"/>
    <n v="1005"/>
    <x v="58"/>
    <x v="5"/>
    <x v="80"/>
    <n v="3015"/>
    <x v="312"/>
    <n v="4707"/>
    <x v="326"/>
    <s v="2 0"/>
    <n v="12"/>
    <n v="7747"/>
    <x v="413"/>
    <s v="Monthly"/>
    <n v="1"/>
    <n v="1"/>
    <n v="12906.4"/>
    <n v="154877"/>
  </r>
  <r>
    <x v="0"/>
    <n v="85"/>
    <x v="38"/>
    <x v="9"/>
    <x v="9"/>
    <n v="1005"/>
    <x v="58"/>
    <x v="5"/>
    <x v="80"/>
    <n v="3015"/>
    <x v="312"/>
    <n v="4707"/>
    <x v="326"/>
    <s v="2 0"/>
    <n v="12"/>
    <n v="7745"/>
    <x v="414"/>
    <s v="Hourly"/>
    <n v="15"/>
    <n v="1"/>
    <n v="68.260000000000005"/>
    <n v="2129712"/>
  </r>
  <r>
    <x v="0"/>
    <n v="85"/>
    <x v="38"/>
    <x v="9"/>
    <x v="9"/>
    <n v="1005"/>
    <x v="58"/>
    <x v="5"/>
    <x v="80"/>
    <n v="3015"/>
    <x v="312"/>
    <n v="4707"/>
    <x v="326"/>
    <s v="2 0"/>
    <n v="12"/>
    <n v="7743"/>
    <x v="415"/>
    <s v="Hourly"/>
    <n v="44"/>
    <n v="1"/>
    <n v="62.05"/>
    <n v="5678816"/>
  </r>
  <r>
    <x v="0"/>
    <n v="85"/>
    <x v="38"/>
    <x v="9"/>
    <x v="9"/>
    <n v="1005"/>
    <x v="58"/>
    <x v="5"/>
    <x v="80"/>
    <n v="3015"/>
    <x v="312"/>
    <n v="4707"/>
    <x v="326"/>
    <s v="2 0"/>
    <n v="12"/>
    <n v="7741"/>
    <x v="966"/>
    <s v="Hourly"/>
    <n v="54"/>
    <n v="1"/>
    <n v="58.95"/>
    <n v="6621264"/>
  </r>
  <r>
    <x v="0"/>
    <n v="85"/>
    <x v="38"/>
    <x v="9"/>
    <x v="9"/>
    <n v="1005"/>
    <x v="58"/>
    <x v="5"/>
    <x v="80"/>
    <n v="3015"/>
    <x v="312"/>
    <n v="4707"/>
    <x v="326"/>
    <s v="2 0"/>
    <n v="32"/>
    <n v="5040"/>
    <x v="430"/>
    <s v="Hourly"/>
    <n v="2"/>
    <n v="1"/>
    <n v="63.53"/>
    <n v="264285"/>
  </r>
  <r>
    <x v="0"/>
    <n v="85"/>
    <x v="38"/>
    <x v="9"/>
    <x v="9"/>
    <n v="1005"/>
    <x v="58"/>
    <x v="5"/>
    <x v="80"/>
    <n v="3015"/>
    <x v="312"/>
    <n v="4707"/>
    <x v="326"/>
    <s v="2 0"/>
    <n v="32"/>
    <n v="5035"/>
    <x v="431"/>
    <s v="Hourly"/>
    <n v="10"/>
    <n v="1"/>
    <n v="57.75"/>
    <n v="1201200"/>
  </r>
  <r>
    <x v="0"/>
    <n v="85"/>
    <x v="38"/>
    <x v="9"/>
    <x v="9"/>
    <n v="1005"/>
    <x v="58"/>
    <x v="5"/>
    <x v="80"/>
    <n v="3015"/>
    <x v="312"/>
    <n v="4707"/>
    <x v="326"/>
    <s v="2 0"/>
    <n v="39"/>
    <n v="4636"/>
    <x v="440"/>
    <s v="Hourly"/>
    <n v="1"/>
    <n v="1"/>
    <n v="61.09"/>
    <n v="127067"/>
  </r>
  <r>
    <x v="0"/>
    <n v="85"/>
    <x v="38"/>
    <x v="9"/>
    <x v="9"/>
    <n v="1005"/>
    <x v="58"/>
    <x v="5"/>
    <x v="80"/>
    <n v="3015"/>
    <x v="312"/>
    <n v="4707"/>
    <x v="326"/>
    <s v="1 00"/>
    <n v="0"/>
    <n v="12"/>
    <x v="291"/>
    <s v="Annual"/>
    <n v="0"/>
    <n v="0"/>
    <n v="250715"/>
    <n v="250715"/>
  </r>
  <r>
    <x v="0"/>
    <n v="85"/>
    <x v="38"/>
    <x v="9"/>
    <x v="9"/>
    <n v="1005"/>
    <x v="58"/>
    <x v="5"/>
    <x v="80"/>
    <n v="3015"/>
    <x v="312"/>
    <n v="4717"/>
    <x v="303"/>
    <s v="2 0"/>
    <n v="54"/>
    <n v="9528"/>
    <x v="1107"/>
    <s v="Hourly"/>
    <n v="1"/>
    <n v="1"/>
    <n v="51.4"/>
    <n v="106912"/>
  </r>
  <r>
    <x v="0"/>
    <n v="85"/>
    <x v="38"/>
    <x v="9"/>
    <x v="9"/>
    <n v="1005"/>
    <x v="58"/>
    <x v="5"/>
    <x v="80"/>
    <n v="3015"/>
    <x v="312"/>
    <n v="4717"/>
    <x v="303"/>
    <s v="2 0"/>
    <n v="53"/>
    <n v="9410"/>
    <x v="990"/>
    <s v="Hourly"/>
    <n v="4160"/>
    <n v="0"/>
    <n v="30.84"/>
    <n v="128294"/>
  </r>
  <r>
    <x v="0"/>
    <n v="85"/>
    <x v="38"/>
    <x v="9"/>
    <x v="9"/>
    <n v="1005"/>
    <x v="58"/>
    <x v="5"/>
    <x v="80"/>
    <n v="3015"/>
    <x v="312"/>
    <n v="4717"/>
    <x v="303"/>
    <s v="2 0"/>
    <n v="53"/>
    <n v="9411"/>
    <x v="989"/>
    <s v="Hourly"/>
    <n v="22"/>
    <n v="1"/>
    <n v="51.4"/>
    <n v="2352064"/>
  </r>
  <r>
    <x v="0"/>
    <n v="85"/>
    <x v="38"/>
    <x v="9"/>
    <x v="9"/>
    <n v="1005"/>
    <x v="58"/>
    <x v="5"/>
    <x v="80"/>
    <n v="3015"/>
    <x v="312"/>
    <n v="4717"/>
    <x v="303"/>
    <s v="2 0"/>
    <n v="25"/>
    <n v="8267"/>
    <x v="1038"/>
    <s v="Hourly"/>
    <n v="1"/>
    <n v="1"/>
    <n v="52.53"/>
    <n v="109262"/>
  </r>
  <r>
    <x v="0"/>
    <n v="85"/>
    <x v="38"/>
    <x v="9"/>
    <x v="9"/>
    <n v="1005"/>
    <x v="58"/>
    <x v="5"/>
    <x v="80"/>
    <n v="3015"/>
    <x v="312"/>
    <n v="4717"/>
    <x v="303"/>
    <s v="2 0"/>
    <n v="53"/>
    <n v="8246"/>
    <x v="986"/>
    <s v="Hourly"/>
    <n v="1"/>
    <n v="1"/>
    <n v="52.5"/>
    <n v="109200"/>
  </r>
  <r>
    <x v="0"/>
    <n v="85"/>
    <x v="38"/>
    <x v="9"/>
    <x v="9"/>
    <n v="1005"/>
    <x v="58"/>
    <x v="5"/>
    <x v="80"/>
    <n v="3015"/>
    <x v="312"/>
    <n v="4717"/>
    <x v="303"/>
    <s v="2 0"/>
    <n v="36"/>
    <n v="6676"/>
    <x v="426"/>
    <s v="Hourly"/>
    <n v="1"/>
    <n v="1"/>
    <n v="64.39"/>
    <n v="133931"/>
  </r>
  <r>
    <x v="0"/>
    <n v="85"/>
    <x v="38"/>
    <x v="9"/>
    <x v="9"/>
    <n v="1005"/>
    <x v="58"/>
    <x v="5"/>
    <x v="80"/>
    <n v="3015"/>
    <x v="312"/>
    <n v="4717"/>
    <x v="303"/>
    <s v="2 0"/>
    <n v="36"/>
    <n v="6674"/>
    <x v="427"/>
    <s v="Hourly"/>
    <n v="9"/>
    <n v="1"/>
    <n v="60.39"/>
    <n v="1130501"/>
  </r>
  <r>
    <x v="0"/>
    <n v="85"/>
    <x v="38"/>
    <x v="9"/>
    <x v="9"/>
    <n v="1005"/>
    <x v="58"/>
    <x v="5"/>
    <x v="80"/>
    <n v="3015"/>
    <x v="312"/>
    <n v="4717"/>
    <x v="303"/>
    <s v="2 0"/>
    <n v="32"/>
    <n v="5042"/>
    <x v="429"/>
    <s v="Monthly"/>
    <n v="1"/>
    <n v="1"/>
    <n v="11511.5"/>
    <n v="138138"/>
  </r>
  <r>
    <x v="0"/>
    <n v="85"/>
    <x v="38"/>
    <x v="9"/>
    <x v="9"/>
    <n v="1005"/>
    <x v="58"/>
    <x v="5"/>
    <x v="80"/>
    <n v="3015"/>
    <x v="312"/>
    <n v="4717"/>
    <x v="303"/>
    <s v="2 0"/>
    <n v="32"/>
    <n v="5040"/>
    <x v="430"/>
    <s v="Hourly"/>
    <n v="9"/>
    <n v="1"/>
    <n v="63.53"/>
    <n v="1189282"/>
  </r>
  <r>
    <x v="0"/>
    <n v="85"/>
    <x v="38"/>
    <x v="9"/>
    <x v="9"/>
    <n v="1005"/>
    <x v="58"/>
    <x v="5"/>
    <x v="80"/>
    <n v="3015"/>
    <x v="312"/>
    <n v="4717"/>
    <x v="303"/>
    <s v="2 0"/>
    <n v="32"/>
    <n v="5035"/>
    <x v="431"/>
    <s v="Hourly"/>
    <n v="66"/>
    <n v="1"/>
    <n v="57.75"/>
    <n v="7927920"/>
  </r>
  <r>
    <x v="0"/>
    <n v="85"/>
    <x v="38"/>
    <x v="9"/>
    <x v="9"/>
    <n v="1005"/>
    <x v="58"/>
    <x v="5"/>
    <x v="80"/>
    <n v="3015"/>
    <x v="312"/>
    <n v="4717"/>
    <x v="303"/>
    <s v="2 0"/>
    <n v="41"/>
    <n v="4856"/>
    <x v="432"/>
    <s v="Hourly"/>
    <n v="1"/>
    <n v="1"/>
    <n v="58.95"/>
    <n v="122616"/>
  </r>
  <r>
    <x v="0"/>
    <n v="85"/>
    <x v="38"/>
    <x v="9"/>
    <x v="9"/>
    <n v="1005"/>
    <x v="58"/>
    <x v="5"/>
    <x v="80"/>
    <n v="3015"/>
    <x v="312"/>
    <n v="4717"/>
    <x v="303"/>
    <s v="2 0"/>
    <n v="41"/>
    <n v="4855"/>
    <x v="433"/>
    <s v="Hourly"/>
    <n v="6"/>
    <n v="1"/>
    <n v="54.58"/>
    <n v="681158"/>
  </r>
  <r>
    <x v="0"/>
    <n v="85"/>
    <x v="38"/>
    <x v="9"/>
    <x v="9"/>
    <n v="1005"/>
    <x v="58"/>
    <x v="5"/>
    <x v="80"/>
    <n v="3015"/>
    <x v="312"/>
    <n v="4717"/>
    <x v="303"/>
    <s v="2 0"/>
    <n v="14"/>
    <n v="4776"/>
    <x v="435"/>
    <s v="Hourly"/>
    <n v="2"/>
    <n v="1"/>
    <n v="63"/>
    <n v="262080"/>
  </r>
  <r>
    <x v="0"/>
    <n v="85"/>
    <x v="38"/>
    <x v="9"/>
    <x v="9"/>
    <n v="1005"/>
    <x v="58"/>
    <x v="5"/>
    <x v="80"/>
    <n v="3015"/>
    <x v="312"/>
    <n v="4717"/>
    <x v="303"/>
    <s v="2 0"/>
    <n v="14"/>
    <n v="4774"/>
    <x v="436"/>
    <s v="Hourly"/>
    <n v="12"/>
    <n v="1"/>
    <n v="60"/>
    <n v="1497600"/>
  </r>
  <r>
    <x v="0"/>
    <n v="85"/>
    <x v="38"/>
    <x v="9"/>
    <x v="9"/>
    <n v="1005"/>
    <x v="58"/>
    <x v="5"/>
    <x v="80"/>
    <n v="3015"/>
    <x v="312"/>
    <n v="4717"/>
    <x v="303"/>
    <s v="2 0"/>
    <n v="25"/>
    <n v="4656"/>
    <x v="1041"/>
    <s v="Hourly"/>
    <n v="3"/>
    <n v="1"/>
    <n v="46.76"/>
    <n v="291782"/>
  </r>
  <r>
    <x v="0"/>
    <n v="85"/>
    <x v="38"/>
    <x v="9"/>
    <x v="9"/>
    <n v="1005"/>
    <x v="58"/>
    <x v="5"/>
    <x v="80"/>
    <n v="3015"/>
    <x v="312"/>
    <n v="4717"/>
    <x v="303"/>
    <s v="2 0"/>
    <n v="25"/>
    <n v="4656"/>
    <x v="1041"/>
    <s v="Hourly"/>
    <n v="1"/>
    <n v="1"/>
    <n v="41.55"/>
    <n v="86424"/>
  </r>
  <r>
    <x v="0"/>
    <n v="85"/>
    <x v="38"/>
    <x v="9"/>
    <x v="9"/>
    <n v="1005"/>
    <x v="58"/>
    <x v="5"/>
    <x v="80"/>
    <n v="3015"/>
    <x v="312"/>
    <n v="4717"/>
    <x v="303"/>
    <s v="2 0"/>
    <n v="39"/>
    <n v="4636"/>
    <x v="440"/>
    <s v="Hourly"/>
    <n v="2"/>
    <n v="1"/>
    <n v="61.09"/>
    <n v="254134"/>
  </r>
  <r>
    <x v="0"/>
    <n v="85"/>
    <x v="38"/>
    <x v="9"/>
    <x v="9"/>
    <n v="1005"/>
    <x v="58"/>
    <x v="5"/>
    <x v="80"/>
    <n v="3015"/>
    <x v="312"/>
    <n v="4717"/>
    <x v="303"/>
    <s v="2 0"/>
    <n v="39"/>
    <n v="4634"/>
    <x v="441"/>
    <s v="Hourly"/>
    <n v="27"/>
    <n v="1"/>
    <n v="54.3"/>
    <n v="3049488"/>
  </r>
  <r>
    <x v="0"/>
    <n v="85"/>
    <x v="38"/>
    <x v="9"/>
    <x v="9"/>
    <n v="1005"/>
    <x v="58"/>
    <x v="5"/>
    <x v="80"/>
    <n v="3015"/>
    <x v="312"/>
    <n v="4717"/>
    <x v="303"/>
    <s v="2 0"/>
    <n v="53"/>
    <n v="4566"/>
    <x v="997"/>
    <s v="Hourly"/>
    <n v="1"/>
    <n v="1"/>
    <n v="55.79"/>
    <n v="116043"/>
  </r>
  <r>
    <x v="0"/>
    <n v="85"/>
    <x v="38"/>
    <x v="9"/>
    <x v="9"/>
    <n v="1005"/>
    <x v="58"/>
    <x v="5"/>
    <x v="80"/>
    <n v="3015"/>
    <x v="312"/>
    <n v="4717"/>
    <x v="303"/>
    <s v="2 0"/>
    <n v="50"/>
    <n v="4304"/>
    <x v="1053"/>
    <s v="Monthly"/>
    <n v="1"/>
    <n v="1"/>
    <n v="10869.73"/>
    <n v="130437"/>
  </r>
  <r>
    <x v="0"/>
    <n v="85"/>
    <x v="38"/>
    <x v="9"/>
    <x v="9"/>
    <n v="1005"/>
    <x v="58"/>
    <x v="5"/>
    <x v="80"/>
    <n v="3015"/>
    <x v="312"/>
    <n v="4717"/>
    <x v="303"/>
    <s v="2 0"/>
    <n v="50"/>
    <n v="4303"/>
    <x v="446"/>
    <s v="Hourly"/>
    <n v="1"/>
    <n v="1"/>
    <n v="59.21"/>
    <n v="123157"/>
  </r>
  <r>
    <x v="0"/>
    <n v="85"/>
    <x v="38"/>
    <x v="9"/>
    <x v="9"/>
    <n v="1005"/>
    <x v="58"/>
    <x v="5"/>
    <x v="80"/>
    <n v="3015"/>
    <x v="312"/>
    <n v="4717"/>
    <x v="303"/>
    <s v="2 0"/>
    <n v="50"/>
    <n v="4301"/>
    <x v="447"/>
    <s v="Hourly"/>
    <n v="22"/>
    <n v="1"/>
    <n v="56.71"/>
    <n v="2595050"/>
  </r>
  <r>
    <x v="0"/>
    <n v="85"/>
    <x v="38"/>
    <x v="9"/>
    <x v="9"/>
    <n v="1005"/>
    <x v="58"/>
    <x v="5"/>
    <x v="80"/>
    <n v="3015"/>
    <x v="312"/>
    <n v="4717"/>
    <x v="303"/>
    <s v="2 0"/>
    <n v="16"/>
    <n v="2231"/>
    <x v="933"/>
    <s v="Monthly"/>
    <n v="3"/>
    <n v="1"/>
    <n v="11119.33"/>
    <n v="400296"/>
  </r>
  <r>
    <x v="0"/>
    <n v="85"/>
    <x v="38"/>
    <x v="9"/>
    <x v="9"/>
    <n v="1005"/>
    <x v="58"/>
    <x v="5"/>
    <x v="80"/>
    <n v="3015"/>
    <x v="312"/>
    <n v="4717"/>
    <x v="303"/>
    <s v="1 00"/>
    <n v="0"/>
    <n v="12"/>
    <x v="291"/>
    <s v="Annual"/>
    <n v="0"/>
    <n v="0"/>
    <n v="344036"/>
    <n v="344036"/>
  </r>
  <r>
    <x v="0"/>
    <n v="85"/>
    <x v="38"/>
    <x v="9"/>
    <x v="9"/>
    <n v="1005"/>
    <x v="58"/>
    <x v="5"/>
    <x v="80"/>
    <n v="3015"/>
    <x v="312"/>
    <n v="4727"/>
    <x v="298"/>
    <s v="2 0"/>
    <n v="54"/>
    <n v="9535"/>
    <x v="1134"/>
    <s v="Hourly"/>
    <n v="8320"/>
    <n v="0"/>
    <n v="24.94"/>
    <n v="207501"/>
  </r>
  <r>
    <x v="0"/>
    <n v="85"/>
    <x v="38"/>
    <x v="9"/>
    <x v="9"/>
    <n v="1005"/>
    <x v="58"/>
    <x v="5"/>
    <x v="80"/>
    <n v="3015"/>
    <x v="312"/>
    <n v="4727"/>
    <x v="298"/>
    <s v="2 0"/>
    <n v="54"/>
    <n v="9535"/>
    <x v="1134"/>
    <s v="Hourly"/>
    <n v="4160"/>
    <n v="0"/>
    <n v="24.19"/>
    <n v="100630"/>
  </r>
  <r>
    <x v="0"/>
    <n v="85"/>
    <x v="38"/>
    <x v="9"/>
    <x v="9"/>
    <n v="1005"/>
    <x v="58"/>
    <x v="5"/>
    <x v="80"/>
    <n v="3015"/>
    <x v="312"/>
    <n v="4727"/>
    <x v="298"/>
    <s v="2 0"/>
    <n v="54"/>
    <n v="9535"/>
    <x v="1134"/>
    <s v="Hourly"/>
    <n v="4160"/>
    <n v="0"/>
    <n v="23.46"/>
    <n v="97594"/>
  </r>
  <r>
    <x v="0"/>
    <n v="85"/>
    <x v="38"/>
    <x v="9"/>
    <x v="9"/>
    <n v="1005"/>
    <x v="58"/>
    <x v="5"/>
    <x v="80"/>
    <n v="3015"/>
    <x v="312"/>
    <n v="4727"/>
    <x v="298"/>
    <s v="2 0"/>
    <n v="54"/>
    <n v="9535"/>
    <x v="1134"/>
    <s v="Hourly"/>
    <n v="2080"/>
    <n v="0"/>
    <n v="22.05"/>
    <n v="45864"/>
  </r>
  <r>
    <x v="0"/>
    <n v="85"/>
    <x v="38"/>
    <x v="9"/>
    <x v="9"/>
    <n v="1005"/>
    <x v="58"/>
    <x v="5"/>
    <x v="80"/>
    <n v="3015"/>
    <x v="312"/>
    <n v="4727"/>
    <x v="298"/>
    <s v="2 0"/>
    <n v="54"/>
    <n v="9535"/>
    <x v="1134"/>
    <s v="Hourly"/>
    <n v="10400"/>
    <n v="0"/>
    <n v="21.38"/>
    <n v="222352"/>
  </r>
  <r>
    <x v="0"/>
    <n v="85"/>
    <x v="38"/>
    <x v="9"/>
    <x v="9"/>
    <n v="1005"/>
    <x v="58"/>
    <x v="5"/>
    <x v="80"/>
    <n v="3015"/>
    <x v="312"/>
    <n v="4727"/>
    <x v="298"/>
    <s v="2 0"/>
    <n v="54"/>
    <n v="9535"/>
    <x v="1134"/>
    <s v="Hourly"/>
    <n v="18"/>
    <n v="1"/>
    <n v="26.28"/>
    <n v="983923"/>
  </r>
  <r>
    <x v="0"/>
    <n v="85"/>
    <x v="38"/>
    <x v="9"/>
    <x v="9"/>
    <n v="1005"/>
    <x v="58"/>
    <x v="5"/>
    <x v="80"/>
    <n v="3015"/>
    <x v="312"/>
    <n v="4727"/>
    <x v="298"/>
    <s v="2 0"/>
    <n v="54"/>
    <n v="9533"/>
    <x v="424"/>
    <s v="Hourly"/>
    <n v="47"/>
    <n v="1"/>
    <n v="47.79"/>
    <n v="4671950"/>
  </r>
  <r>
    <x v="0"/>
    <n v="85"/>
    <x v="38"/>
    <x v="9"/>
    <x v="9"/>
    <n v="1005"/>
    <x v="58"/>
    <x v="5"/>
    <x v="80"/>
    <n v="3015"/>
    <x v="312"/>
    <n v="4727"/>
    <x v="298"/>
    <s v="2 0"/>
    <n v="54"/>
    <n v="9533"/>
    <x v="424"/>
    <s v="Hourly"/>
    <n v="9"/>
    <n v="1"/>
    <n v="43.27"/>
    <n v="810014"/>
  </r>
  <r>
    <x v="0"/>
    <n v="85"/>
    <x v="38"/>
    <x v="9"/>
    <x v="9"/>
    <n v="1005"/>
    <x v="58"/>
    <x v="5"/>
    <x v="80"/>
    <n v="3015"/>
    <x v="312"/>
    <n v="4727"/>
    <x v="298"/>
    <s v="2 0"/>
    <n v="54"/>
    <n v="9533"/>
    <x v="424"/>
    <s v="Hourly"/>
    <n v="8"/>
    <n v="1"/>
    <n v="43.01"/>
    <n v="715686"/>
  </r>
  <r>
    <x v="0"/>
    <n v="85"/>
    <x v="38"/>
    <x v="9"/>
    <x v="9"/>
    <n v="1005"/>
    <x v="58"/>
    <x v="5"/>
    <x v="80"/>
    <n v="3015"/>
    <x v="312"/>
    <n v="4727"/>
    <x v="298"/>
    <s v="2 0"/>
    <n v="54"/>
    <n v="9533"/>
    <x v="424"/>
    <s v="Hourly"/>
    <n v="12"/>
    <n v="1"/>
    <n v="35.840000000000003"/>
    <n v="894566"/>
  </r>
  <r>
    <x v="0"/>
    <n v="85"/>
    <x v="38"/>
    <x v="9"/>
    <x v="9"/>
    <n v="1005"/>
    <x v="58"/>
    <x v="5"/>
    <x v="80"/>
    <n v="3015"/>
    <x v="312"/>
    <n v="4727"/>
    <x v="298"/>
    <s v="2 0"/>
    <n v="54"/>
    <n v="9533"/>
    <x v="424"/>
    <s v="Hourly"/>
    <n v="17"/>
    <n v="1"/>
    <n v="31.06"/>
    <n v="1098282"/>
  </r>
  <r>
    <x v="0"/>
    <n v="85"/>
    <x v="38"/>
    <x v="9"/>
    <x v="9"/>
    <n v="1005"/>
    <x v="58"/>
    <x v="5"/>
    <x v="80"/>
    <n v="3015"/>
    <x v="312"/>
    <n v="4727"/>
    <x v="298"/>
    <s v="2 0"/>
    <n v="53"/>
    <n v="8243"/>
    <x v="1055"/>
    <s v="Hourly"/>
    <n v="1"/>
    <n v="1"/>
    <n v="55.79"/>
    <n v="116043"/>
  </r>
  <r>
    <x v="0"/>
    <n v="85"/>
    <x v="38"/>
    <x v="9"/>
    <x v="9"/>
    <n v="1005"/>
    <x v="58"/>
    <x v="5"/>
    <x v="80"/>
    <n v="3015"/>
    <x v="312"/>
    <n v="4727"/>
    <x v="298"/>
    <s v="2 0"/>
    <n v="54"/>
    <n v="7005"/>
    <x v="1136"/>
    <s v="Hourly"/>
    <n v="9"/>
    <n v="1"/>
    <n v="52.3"/>
    <n v="979056"/>
  </r>
  <r>
    <x v="0"/>
    <n v="85"/>
    <x v="38"/>
    <x v="9"/>
    <x v="9"/>
    <n v="1005"/>
    <x v="58"/>
    <x v="5"/>
    <x v="80"/>
    <n v="3015"/>
    <x v="312"/>
    <n v="4727"/>
    <x v="298"/>
    <s v="2 0"/>
    <n v="35"/>
    <n v="4286"/>
    <x v="1176"/>
    <s v="Hourly"/>
    <n v="1"/>
    <n v="1"/>
    <n v="30.6"/>
    <n v="63648"/>
  </r>
  <r>
    <x v="0"/>
    <n v="85"/>
    <x v="38"/>
    <x v="9"/>
    <x v="9"/>
    <n v="1005"/>
    <x v="58"/>
    <x v="5"/>
    <x v="80"/>
    <n v="3015"/>
    <x v="312"/>
    <n v="4727"/>
    <x v="298"/>
    <s v="2 0"/>
    <n v="35"/>
    <n v="4285"/>
    <x v="448"/>
    <s v="Hourly"/>
    <n v="7"/>
    <n v="1"/>
    <n v="29.8"/>
    <n v="433888"/>
  </r>
  <r>
    <x v="0"/>
    <n v="85"/>
    <x v="38"/>
    <x v="9"/>
    <x v="9"/>
    <n v="1005"/>
    <x v="58"/>
    <x v="5"/>
    <x v="80"/>
    <n v="3015"/>
    <x v="312"/>
    <n v="4727"/>
    <x v="298"/>
    <s v="2 0"/>
    <n v="45"/>
    <n v="4225"/>
    <x v="973"/>
    <s v="Hourly"/>
    <n v="1"/>
    <n v="1"/>
    <n v="26.45"/>
    <n v="55016"/>
  </r>
  <r>
    <x v="0"/>
    <n v="85"/>
    <x v="38"/>
    <x v="9"/>
    <x v="9"/>
    <n v="1005"/>
    <x v="58"/>
    <x v="5"/>
    <x v="80"/>
    <n v="3015"/>
    <x v="312"/>
    <n v="4727"/>
    <x v="298"/>
    <s v="2 0"/>
    <n v="45"/>
    <n v="4225"/>
    <x v="973"/>
    <s v="Hourly"/>
    <n v="5"/>
    <n v="1"/>
    <n v="22.8"/>
    <n v="237120"/>
  </r>
  <r>
    <x v="0"/>
    <n v="85"/>
    <x v="38"/>
    <x v="9"/>
    <x v="9"/>
    <n v="1005"/>
    <x v="58"/>
    <x v="5"/>
    <x v="80"/>
    <n v="3015"/>
    <x v="312"/>
    <n v="4727"/>
    <x v="298"/>
    <s v="2 0"/>
    <n v="45"/>
    <n v="4225"/>
    <x v="973"/>
    <s v="Hourly"/>
    <n v="1"/>
    <n v="1"/>
    <n v="19.600000000000001"/>
    <n v="40768"/>
  </r>
  <r>
    <x v="0"/>
    <n v="85"/>
    <x v="38"/>
    <x v="9"/>
    <x v="9"/>
    <n v="1005"/>
    <x v="58"/>
    <x v="5"/>
    <x v="80"/>
    <n v="3015"/>
    <x v="312"/>
    <n v="4727"/>
    <x v="298"/>
    <s v="2 0"/>
    <n v="45"/>
    <n v="4223"/>
    <x v="412"/>
    <s v="Hourly"/>
    <n v="7"/>
    <n v="1"/>
    <n v="26.05"/>
    <n v="379288"/>
  </r>
  <r>
    <x v="0"/>
    <n v="85"/>
    <x v="38"/>
    <x v="9"/>
    <x v="9"/>
    <n v="1005"/>
    <x v="58"/>
    <x v="5"/>
    <x v="80"/>
    <n v="3015"/>
    <x v="312"/>
    <n v="4727"/>
    <x v="298"/>
    <s v="2 0"/>
    <n v="45"/>
    <n v="4223"/>
    <x v="412"/>
    <s v="Hourly"/>
    <n v="22"/>
    <n v="1"/>
    <n v="22.4"/>
    <n v="1025024"/>
  </r>
  <r>
    <x v="0"/>
    <n v="85"/>
    <x v="38"/>
    <x v="9"/>
    <x v="9"/>
    <n v="1005"/>
    <x v="58"/>
    <x v="5"/>
    <x v="80"/>
    <n v="3015"/>
    <x v="312"/>
    <n v="4727"/>
    <x v="298"/>
    <s v="2 0"/>
    <n v="45"/>
    <n v="4223"/>
    <x v="412"/>
    <s v="Hourly"/>
    <n v="3"/>
    <n v="1"/>
    <n v="20.5"/>
    <n v="127920"/>
  </r>
  <r>
    <x v="0"/>
    <n v="85"/>
    <x v="38"/>
    <x v="9"/>
    <x v="9"/>
    <n v="1005"/>
    <x v="58"/>
    <x v="5"/>
    <x v="80"/>
    <n v="3015"/>
    <x v="312"/>
    <n v="4727"/>
    <x v="298"/>
    <s v="2 0"/>
    <n v="45"/>
    <n v="4223"/>
    <x v="412"/>
    <s v="Hourly"/>
    <n v="7"/>
    <n v="1"/>
    <n v="20"/>
    <n v="291200"/>
  </r>
  <r>
    <x v="0"/>
    <n v="85"/>
    <x v="38"/>
    <x v="9"/>
    <x v="9"/>
    <n v="1005"/>
    <x v="58"/>
    <x v="5"/>
    <x v="80"/>
    <n v="3015"/>
    <x v="312"/>
    <n v="4727"/>
    <x v="298"/>
    <s v="2 0"/>
    <n v="45"/>
    <n v="4223"/>
    <x v="412"/>
    <s v="Hourly"/>
    <n v="14"/>
    <n v="1"/>
    <n v="19.5"/>
    <n v="567840"/>
  </r>
  <r>
    <x v="0"/>
    <n v="85"/>
    <x v="38"/>
    <x v="9"/>
    <x v="9"/>
    <n v="1005"/>
    <x v="58"/>
    <x v="5"/>
    <x v="80"/>
    <n v="3015"/>
    <x v="312"/>
    <n v="4727"/>
    <x v="298"/>
    <s v="2 0"/>
    <n v="45"/>
    <n v="4223"/>
    <x v="412"/>
    <s v="Hourly"/>
    <n v="31"/>
    <n v="1"/>
    <n v="19"/>
    <n v="1225120"/>
  </r>
  <r>
    <x v="0"/>
    <n v="85"/>
    <x v="38"/>
    <x v="9"/>
    <x v="9"/>
    <n v="1005"/>
    <x v="58"/>
    <x v="5"/>
    <x v="80"/>
    <n v="3015"/>
    <x v="312"/>
    <n v="4727"/>
    <x v="298"/>
    <s v="2 0"/>
    <n v="45"/>
    <n v="4223"/>
    <x v="412"/>
    <s v="Hourly"/>
    <n v="1"/>
    <n v="1"/>
    <n v="15.8"/>
    <n v="32864"/>
  </r>
  <r>
    <x v="0"/>
    <n v="85"/>
    <x v="38"/>
    <x v="9"/>
    <x v="9"/>
    <n v="1005"/>
    <x v="58"/>
    <x v="5"/>
    <x v="80"/>
    <n v="3015"/>
    <x v="312"/>
    <n v="4727"/>
    <x v="298"/>
    <s v="1 00"/>
    <n v="0"/>
    <n v="12"/>
    <x v="291"/>
    <s v="Annual"/>
    <n v="0"/>
    <n v="0"/>
    <n v="231347"/>
    <n v="231347"/>
  </r>
  <r>
    <x v="0"/>
    <n v="85"/>
    <x v="38"/>
    <x v="9"/>
    <x v="9"/>
    <n v="1005"/>
    <x v="58"/>
    <x v="5"/>
    <x v="80"/>
    <n v="3015"/>
    <x v="312"/>
    <n v="4800"/>
    <x v="327"/>
    <s v="X 41"/>
    <n v="0"/>
    <n v="9823"/>
    <x v="216"/>
    <s v="Annual"/>
    <n v="1"/>
    <n v="1"/>
    <n v="205200"/>
    <n v="205200"/>
  </r>
  <r>
    <x v="0"/>
    <n v="85"/>
    <x v="38"/>
    <x v="9"/>
    <x v="9"/>
    <n v="1005"/>
    <x v="58"/>
    <x v="5"/>
    <x v="80"/>
    <n v="3015"/>
    <x v="312"/>
    <n v="4800"/>
    <x v="327"/>
    <s v="X 42"/>
    <n v="0"/>
    <n v="9681"/>
    <x v="81"/>
    <s v="Annual"/>
    <n v="1"/>
    <n v="1"/>
    <n v="184584"/>
    <n v="184584"/>
  </r>
  <r>
    <x v="0"/>
    <n v="85"/>
    <x v="38"/>
    <x v="9"/>
    <x v="9"/>
    <n v="1005"/>
    <x v="58"/>
    <x v="5"/>
    <x v="80"/>
    <n v="3015"/>
    <x v="312"/>
    <n v="4800"/>
    <x v="327"/>
    <s v="YZ 12"/>
    <n v="60"/>
    <n v="7008"/>
    <x v="1177"/>
    <s v="Annual"/>
    <n v="8"/>
    <n v="1"/>
    <n v="66972"/>
    <n v="535776"/>
  </r>
  <r>
    <x v="0"/>
    <n v="85"/>
    <x v="38"/>
    <x v="9"/>
    <x v="9"/>
    <n v="1005"/>
    <x v="58"/>
    <x v="5"/>
    <x v="80"/>
    <n v="3015"/>
    <x v="312"/>
    <n v="4800"/>
    <x v="327"/>
    <s v="YZ 12"/>
    <n v="60"/>
    <n v="7008"/>
    <x v="1177"/>
    <s v="Annual"/>
    <n v="1"/>
    <n v="1"/>
    <n v="63852"/>
    <n v="63852"/>
  </r>
  <r>
    <x v="0"/>
    <n v="85"/>
    <x v="38"/>
    <x v="9"/>
    <x v="9"/>
    <n v="1005"/>
    <x v="58"/>
    <x v="5"/>
    <x v="80"/>
    <n v="3015"/>
    <x v="312"/>
    <n v="4800"/>
    <x v="327"/>
    <s v="YZ 12"/>
    <n v="60"/>
    <n v="7008"/>
    <x v="1177"/>
    <s v="Annual"/>
    <n v="3"/>
    <n v="1"/>
    <n v="61032"/>
    <n v="183096"/>
  </r>
  <r>
    <x v="0"/>
    <n v="85"/>
    <x v="38"/>
    <x v="9"/>
    <x v="9"/>
    <n v="1005"/>
    <x v="58"/>
    <x v="5"/>
    <x v="80"/>
    <n v="3015"/>
    <x v="312"/>
    <n v="4800"/>
    <x v="327"/>
    <s v="YZ 12"/>
    <n v="60"/>
    <n v="7008"/>
    <x v="1177"/>
    <s v="Annual"/>
    <n v="1"/>
    <n v="1"/>
    <n v="58188"/>
    <n v="58188"/>
  </r>
  <r>
    <x v="0"/>
    <n v="85"/>
    <x v="38"/>
    <x v="9"/>
    <x v="9"/>
    <n v="1005"/>
    <x v="58"/>
    <x v="5"/>
    <x v="80"/>
    <n v="3015"/>
    <x v="312"/>
    <n v="4800"/>
    <x v="327"/>
    <s v="BX 17"/>
    <n v="10"/>
    <n v="7004"/>
    <x v="1149"/>
    <s v="Annual"/>
    <n v="1"/>
    <n v="1"/>
    <n v="136692"/>
    <n v="136692"/>
  </r>
  <r>
    <x v="0"/>
    <n v="85"/>
    <x v="38"/>
    <x v="9"/>
    <x v="9"/>
    <n v="1005"/>
    <x v="58"/>
    <x v="5"/>
    <x v="80"/>
    <n v="3015"/>
    <x v="312"/>
    <n v="4800"/>
    <x v="327"/>
    <s v="I 14"/>
    <n v="2"/>
    <n v="4212"/>
    <x v="1178"/>
    <s v="Annual"/>
    <n v="1"/>
    <n v="1"/>
    <n v="99708"/>
    <n v="99708"/>
  </r>
  <r>
    <x v="0"/>
    <n v="85"/>
    <x v="38"/>
    <x v="9"/>
    <x v="9"/>
    <n v="1005"/>
    <x v="58"/>
    <x v="5"/>
    <x v="80"/>
    <n v="3015"/>
    <x v="312"/>
    <n v="4800"/>
    <x v="327"/>
    <s v="I 14"/>
    <n v="2"/>
    <n v="4212"/>
    <x v="1178"/>
    <s v="Annual"/>
    <n v="2"/>
    <n v="1"/>
    <n v="90876"/>
    <n v="181752"/>
  </r>
  <r>
    <x v="0"/>
    <n v="85"/>
    <x v="38"/>
    <x v="9"/>
    <x v="9"/>
    <n v="1005"/>
    <x v="58"/>
    <x v="5"/>
    <x v="80"/>
    <n v="3015"/>
    <x v="312"/>
    <n v="4800"/>
    <x v="327"/>
    <s v="I 14"/>
    <n v="2"/>
    <n v="4212"/>
    <x v="1178"/>
    <s v="Annual"/>
    <n v="2"/>
    <n v="1"/>
    <n v="86772"/>
    <n v="173544"/>
  </r>
  <r>
    <x v="0"/>
    <n v="85"/>
    <x v="38"/>
    <x v="9"/>
    <x v="9"/>
    <n v="1005"/>
    <x v="58"/>
    <x v="5"/>
    <x v="80"/>
    <n v="3015"/>
    <x v="312"/>
    <n v="4800"/>
    <x v="327"/>
    <s v="I 14"/>
    <n v="2"/>
    <n v="4212"/>
    <x v="1178"/>
    <s v="Annual"/>
    <n v="1"/>
    <n v="1"/>
    <n v="77988"/>
    <n v="77988"/>
  </r>
  <r>
    <x v="0"/>
    <n v="85"/>
    <x v="38"/>
    <x v="9"/>
    <x v="9"/>
    <n v="1005"/>
    <x v="58"/>
    <x v="5"/>
    <x v="80"/>
    <n v="3015"/>
    <x v="312"/>
    <n v="4800"/>
    <x v="327"/>
    <s v="I 14"/>
    <n v="2"/>
    <n v="4212"/>
    <x v="1178"/>
    <s v="Annual"/>
    <n v="1"/>
    <n v="1"/>
    <n v="67884"/>
    <n v="67884"/>
  </r>
  <r>
    <x v="0"/>
    <n v="85"/>
    <x v="38"/>
    <x v="9"/>
    <x v="9"/>
    <n v="1005"/>
    <x v="58"/>
    <x v="5"/>
    <x v="80"/>
    <n v="3015"/>
    <x v="312"/>
    <n v="4800"/>
    <x v="327"/>
    <s v="I 12"/>
    <n v="2"/>
    <n v="4211"/>
    <x v="1143"/>
    <s v="Hourly"/>
    <n v="35740"/>
    <n v="0"/>
    <n v="28.76"/>
    <n v="1027882"/>
  </r>
  <r>
    <x v="0"/>
    <n v="85"/>
    <x v="38"/>
    <x v="9"/>
    <x v="9"/>
    <n v="1005"/>
    <x v="58"/>
    <x v="5"/>
    <x v="80"/>
    <n v="3015"/>
    <x v="312"/>
    <n v="4800"/>
    <x v="327"/>
    <s v="I 13"/>
    <n v="2"/>
    <n v="4210"/>
    <x v="1144"/>
    <s v="Annual"/>
    <n v="28"/>
    <n v="1"/>
    <n v="109404"/>
    <n v="3063312"/>
  </r>
  <r>
    <x v="0"/>
    <n v="85"/>
    <x v="38"/>
    <x v="9"/>
    <x v="9"/>
    <n v="1005"/>
    <x v="58"/>
    <x v="5"/>
    <x v="80"/>
    <n v="3015"/>
    <x v="312"/>
    <n v="4800"/>
    <x v="327"/>
    <s v="I 13"/>
    <n v="2"/>
    <n v="4210"/>
    <x v="1144"/>
    <s v="Annual"/>
    <n v="4"/>
    <n v="1"/>
    <n v="104376"/>
    <n v="417504"/>
  </r>
  <r>
    <x v="0"/>
    <n v="85"/>
    <x v="38"/>
    <x v="9"/>
    <x v="9"/>
    <n v="1005"/>
    <x v="58"/>
    <x v="5"/>
    <x v="80"/>
    <n v="3015"/>
    <x v="312"/>
    <n v="4800"/>
    <x v="327"/>
    <s v="I 13"/>
    <n v="2"/>
    <n v="4210"/>
    <x v="1144"/>
    <s v="Annual"/>
    <n v="9"/>
    <n v="1"/>
    <n v="99708"/>
    <n v="897372"/>
  </r>
  <r>
    <x v="0"/>
    <n v="85"/>
    <x v="38"/>
    <x v="9"/>
    <x v="9"/>
    <n v="1005"/>
    <x v="58"/>
    <x v="5"/>
    <x v="80"/>
    <n v="3015"/>
    <x v="312"/>
    <n v="4800"/>
    <x v="327"/>
    <s v="I 13"/>
    <n v="2"/>
    <n v="4210"/>
    <x v="1144"/>
    <s v="Annual"/>
    <n v="13"/>
    <n v="1"/>
    <n v="95160"/>
    <n v="1237080"/>
  </r>
  <r>
    <x v="0"/>
    <n v="85"/>
    <x v="38"/>
    <x v="9"/>
    <x v="9"/>
    <n v="1005"/>
    <x v="58"/>
    <x v="5"/>
    <x v="80"/>
    <n v="3015"/>
    <x v="312"/>
    <n v="4800"/>
    <x v="327"/>
    <s v="I 13"/>
    <n v="2"/>
    <n v="4210"/>
    <x v="1144"/>
    <s v="Annual"/>
    <n v="14"/>
    <n v="1"/>
    <n v="90876"/>
    <n v="1272264"/>
  </r>
  <r>
    <x v="0"/>
    <n v="85"/>
    <x v="38"/>
    <x v="9"/>
    <x v="9"/>
    <n v="1005"/>
    <x v="58"/>
    <x v="5"/>
    <x v="80"/>
    <n v="3015"/>
    <x v="312"/>
    <n v="4800"/>
    <x v="327"/>
    <s v="I 13"/>
    <n v="2"/>
    <n v="4210"/>
    <x v="1144"/>
    <s v="Annual"/>
    <n v="14"/>
    <n v="1"/>
    <n v="86772"/>
    <n v="1214808"/>
  </r>
  <r>
    <x v="0"/>
    <n v="85"/>
    <x v="38"/>
    <x v="9"/>
    <x v="9"/>
    <n v="1005"/>
    <x v="58"/>
    <x v="5"/>
    <x v="80"/>
    <n v="3015"/>
    <x v="312"/>
    <n v="4800"/>
    <x v="327"/>
    <s v="I 13"/>
    <n v="2"/>
    <n v="4210"/>
    <x v="1144"/>
    <s v="Annual"/>
    <n v="14"/>
    <n v="1"/>
    <n v="82836"/>
    <n v="1159704"/>
  </r>
  <r>
    <x v="0"/>
    <n v="85"/>
    <x v="38"/>
    <x v="9"/>
    <x v="9"/>
    <n v="1005"/>
    <x v="58"/>
    <x v="5"/>
    <x v="80"/>
    <n v="3015"/>
    <x v="312"/>
    <n v="4800"/>
    <x v="327"/>
    <s v="I 13"/>
    <n v="2"/>
    <n v="4210"/>
    <x v="1144"/>
    <s v="Annual"/>
    <n v="26"/>
    <n v="1"/>
    <n v="79056"/>
    <n v="2055456"/>
  </r>
  <r>
    <x v="0"/>
    <n v="85"/>
    <x v="38"/>
    <x v="9"/>
    <x v="9"/>
    <n v="1005"/>
    <x v="58"/>
    <x v="5"/>
    <x v="80"/>
    <n v="3015"/>
    <x v="312"/>
    <n v="4800"/>
    <x v="327"/>
    <s v="I 13"/>
    <n v="2"/>
    <n v="4210"/>
    <x v="1144"/>
    <s v="Annual"/>
    <n v="31"/>
    <n v="1"/>
    <n v="71076"/>
    <n v="2203356"/>
  </r>
  <r>
    <x v="0"/>
    <n v="85"/>
    <x v="38"/>
    <x v="9"/>
    <x v="9"/>
    <n v="1005"/>
    <x v="58"/>
    <x v="5"/>
    <x v="80"/>
    <n v="3015"/>
    <x v="312"/>
    <n v="4800"/>
    <x v="327"/>
    <s v="I 13"/>
    <n v="2"/>
    <n v="4210"/>
    <x v="1144"/>
    <s v="Annual"/>
    <n v="22"/>
    <n v="1"/>
    <n v="67884"/>
    <n v="1493448"/>
  </r>
  <r>
    <x v="0"/>
    <n v="85"/>
    <x v="38"/>
    <x v="9"/>
    <x v="9"/>
    <n v="1005"/>
    <x v="58"/>
    <x v="5"/>
    <x v="80"/>
    <n v="3015"/>
    <x v="312"/>
    <n v="4800"/>
    <x v="327"/>
    <s v="I 13"/>
    <n v="2"/>
    <n v="4210"/>
    <x v="1144"/>
    <s v="Annual"/>
    <n v="59"/>
    <n v="1"/>
    <n v="64836"/>
    <n v="3825324"/>
  </r>
  <r>
    <x v="0"/>
    <n v="85"/>
    <x v="38"/>
    <x v="9"/>
    <x v="9"/>
    <n v="1005"/>
    <x v="58"/>
    <x v="5"/>
    <x v="80"/>
    <n v="3015"/>
    <x v="312"/>
    <n v="4800"/>
    <x v="327"/>
    <s v="I 13"/>
    <n v="2"/>
    <n v="4210"/>
    <x v="1144"/>
    <s v="Annual"/>
    <n v="75"/>
    <n v="1"/>
    <n v="61824"/>
    <n v="4636800"/>
  </r>
  <r>
    <x v="0"/>
    <n v="85"/>
    <x v="38"/>
    <x v="9"/>
    <x v="9"/>
    <n v="1005"/>
    <x v="58"/>
    <x v="5"/>
    <x v="80"/>
    <n v="3015"/>
    <x v="312"/>
    <n v="4800"/>
    <x v="327"/>
    <s v="Y 15"/>
    <n v="58"/>
    <n v="4209"/>
    <x v="1145"/>
    <s v="Annual"/>
    <n v="4"/>
    <n v="1"/>
    <n v="122712"/>
    <n v="490848"/>
  </r>
  <r>
    <x v="0"/>
    <n v="85"/>
    <x v="38"/>
    <x v="9"/>
    <x v="9"/>
    <n v="1005"/>
    <x v="58"/>
    <x v="5"/>
    <x v="80"/>
    <n v="3015"/>
    <x v="312"/>
    <n v="4800"/>
    <x v="327"/>
    <s v="Y 15"/>
    <n v="58"/>
    <n v="4209"/>
    <x v="1145"/>
    <s v="Annual"/>
    <n v="1"/>
    <n v="1"/>
    <n v="106776"/>
    <n v="106776"/>
  </r>
  <r>
    <x v="0"/>
    <n v="85"/>
    <x v="38"/>
    <x v="9"/>
    <x v="9"/>
    <n v="1005"/>
    <x v="58"/>
    <x v="5"/>
    <x v="80"/>
    <n v="3015"/>
    <x v="312"/>
    <n v="4800"/>
    <x v="327"/>
    <s v="Y 15"/>
    <n v="58"/>
    <n v="4209"/>
    <x v="1145"/>
    <s v="Annual"/>
    <n v="1"/>
    <n v="1"/>
    <n v="97260"/>
    <n v="97260"/>
  </r>
  <r>
    <x v="0"/>
    <n v="85"/>
    <x v="38"/>
    <x v="9"/>
    <x v="9"/>
    <n v="1005"/>
    <x v="58"/>
    <x v="5"/>
    <x v="80"/>
    <n v="3015"/>
    <x v="312"/>
    <n v="4800"/>
    <x v="327"/>
    <s v="Y 15"/>
    <n v="58"/>
    <n v="4209"/>
    <x v="1145"/>
    <s v="Annual"/>
    <n v="1"/>
    <n v="1"/>
    <n v="92892"/>
    <n v="92892"/>
  </r>
  <r>
    <x v="0"/>
    <n v="85"/>
    <x v="38"/>
    <x v="9"/>
    <x v="9"/>
    <n v="1005"/>
    <x v="58"/>
    <x v="5"/>
    <x v="80"/>
    <n v="3015"/>
    <x v="312"/>
    <n v="4800"/>
    <x v="327"/>
    <s v="Y 15"/>
    <n v="58"/>
    <n v="4209"/>
    <x v="1145"/>
    <s v="Annual"/>
    <n v="3"/>
    <n v="1"/>
    <n v="87768"/>
    <n v="263304"/>
  </r>
  <r>
    <x v="0"/>
    <n v="85"/>
    <x v="38"/>
    <x v="9"/>
    <x v="9"/>
    <n v="1005"/>
    <x v="58"/>
    <x v="5"/>
    <x v="80"/>
    <n v="3015"/>
    <x v="312"/>
    <n v="4800"/>
    <x v="327"/>
    <s v="Y 15"/>
    <n v="58"/>
    <n v="4209"/>
    <x v="1145"/>
    <s v="Annual"/>
    <n v="6"/>
    <n v="1"/>
    <n v="86556"/>
    <n v="519336"/>
  </r>
  <r>
    <x v="0"/>
    <n v="85"/>
    <x v="38"/>
    <x v="9"/>
    <x v="9"/>
    <n v="1005"/>
    <x v="58"/>
    <x v="5"/>
    <x v="80"/>
    <n v="3015"/>
    <x v="312"/>
    <n v="4800"/>
    <x v="327"/>
    <s v="Y 15"/>
    <n v="58"/>
    <n v="4209"/>
    <x v="1145"/>
    <s v="Annual"/>
    <n v="5"/>
    <n v="1"/>
    <n v="82584"/>
    <n v="412920"/>
  </r>
  <r>
    <x v="0"/>
    <n v="85"/>
    <x v="38"/>
    <x v="9"/>
    <x v="9"/>
    <n v="1005"/>
    <x v="58"/>
    <x v="5"/>
    <x v="80"/>
    <n v="3015"/>
    <x v="312"/>
    <n v="4800"/>
    <x v="327"/>
    <s v="Y 15"/>
    <n v="58"/>
    <n v="4209"/>
    <x v="1145"/>
    <s v="Annual"/>
    <n v="3"/>
    <n v="1"/>
    <n v="78852"/>
    <n v="236556"/>
  </r>
  <r>
    <x v="0"/>
    <n v="85"/>
    <x v="38"/>
    <x v="9"/>
    <x v="9"/>
    <n v="1005"/>
    <x v="58"/>
    <x v="5"/>
    <x v="80"/>
    <n v="3015"/>
    <x v="312"/>
    <n v="4800"/>
    <x v="327"/>
    <s v="Y 15"/>
    <n v="58"/>
    <n v="4209"/>
    <x v="1145"/>
    <s v="Annual"/>
    <n v="8"/>
    <n v="1"/>
    <n v="75276"/>
    <n v="602208"/>
  </r>
  <r>
    <x v="0"/>
    <n v="85"/>
    <x v="38"/>
    <x v="9"/>
    <x v="9"/>
    <n v="1005"/>
    <x v="58"/>
    <x v="5"/>
    <x v="80"/>
    <n v="3015"/>
    <x v="312"/>
    <n v="4800"/>
    <x v="327"/>
    <s v="BX 17"/>
    <n v="10"/>
    <n v="4208"/>
    <x v="1146"/>
    <s v="Annual"/>
    <n v="2"/>
    <n v="1"/>
    <n v="136692"/>
    <n v="273384"/>
  </r>
  <r>
    <x v="0"/>
    <n v="85"/>
    <x v="38"/>
    <x v="9"/>
    <x v="9"/>
    <n v="1005"/>
    <x v="58"/>
    <x v="5"/>
    <x v="80"/>
    <n v="3015"/>
    <x v="312"/>
    <n v="4800"/>
    <x v="327"/>
    <s v="BX 17"/>
    <n v="10"/>
    <n v="4208"/>
    <x v="1146"/>
    <s v="Annual"/>
    <n v="2"/>
    <n v="1"/>
    <n v="124584"/>
    <n v="249168"/>
  </r>
  <r>
    <x v="0"/>
    <n v="85"/>
    <x v="38"/>
    <x v="9"/>
    <x v="9"/>
    <n v="1005"/>
    <x v="58"/>
    <x v="5"/>
    <x v="80"/>
    <n v="3015"/>
    <x v="312"/>
    <n v="4800"/>
    <x v="327"/>
    <s v="BX 17"/>
    <n v="10"/>
    <n v="4208"/>
    <x v="1146"/>
    <s v="Annual"/>
    <n v="1"/>
    <n v="1"/>
    <n v="108432"/>
    <n v="108432"/>
  </r>
  <r>
    <x v="0"/>
    <n v="85"/>
    <x v="38"/>
    <x v="9"/>
    <x v="9"/>
    <n v="1005"/>
    <x v="58"/>
    <x v="5"/>
    <x v="80"/>
    <n v="3015"/>
    <x v="312"/>
    <n v="4800"/>
    <x v="327"/>
    <s v="BX 17"/>
    <n v="10"/>
    <n v="4208"/>
    <x v="1146"/>
    <s v="Annual"/>
    <n v="1"/>
    <n v="1"/>
    <n v="103488"/>
    <n v="103488"/>
  </r>
  <r>
    <x v="0"/>
    <n v="85"/>
    <x v="38"/>
    <x v="9"/>
    <x v="9"/>
    <n v="1005"/>
    <x v="58"/>
    <x v="5"/>
    <x v="80"/>
    <n v="3015"/>
    <x v="312"/>
    <n v="4800"/>
    <x v="327"/>
    <s v="BX 17"/>
    <n v="10"/>
    <n v="4208"/>
    <x v="1146"/>
    <s v="Annual"/>
    <n v="1"/>
    <n v="1"/>
    <n v="97836"/>
    <n v="97836"/>
  </r>
  <r>
    <x v="0"/>
    <n v="85"/>
    <x v="38"/>
    <x v="9"/>
    <x v="9"/>
    <n v="1005"/>
    <x v="58"/>
    <x v="5"/>
    <x v="80"/>
    <n v="3015"/>
    <x v="312"/>
    <n v="4800"/>
    <x v="327"/>
    <s v="BX 17"/>
    <n v="10"/>
    <n v="4208"/>
    <x v="1146"/>
    <s v="Annual"/>
    <n v="1"/>
    <n v="1"/>
    <n v="93384"/>
    <n v="93384"/>
  </r>
  <r>
    <x v="0"/>
    <n v="85"/>
    <x v="38"/>
    <x v="9"/>
    <x v="9"/>
    <n v="1005"/>
    <x v="58"/>
    <x v="5"/>
    <x v="80"/>
    <n v="3015"/>
    <x v="312"/>
    <n v="4800"/>
    <x v="327"/>
    <s v="BX 17"/>
    <n v="10"/>
    <n v="4208"/>
    <x v="1146"/>
    <s v="Annual"/>
    <n v="2"/>
    <n v="1"/>
    <n v="89112"/>
    <n v="178224"/>
  </r>
  <r>
    <x v="0"/>
    <n v="85"/>
    <x v="38"/>
    <x v="9"/>
    <x v="9"/>
    <n v="1005"/>
    <x v="58"/>
    <x v="5"/>
    <x v="80"/>
    <n v="3015"/>
    <x v="312"/>
    <n v="4800"/>
    <x v="327"/>
    <s v="BX 17"/>
    <n v="10"/>
    <n v="4208"/>
    <x v="1146"/>
    <s v="Annual"/>
    <n v="4"/>
    <n v="1"/>
    <n v="83052"/>
    <n v="332208"/>
  </r>
  <r>
    <x v="0"/>
    <n v="85"/>
    <x v="38"/>
    <x v="9"/>
    <x v="9"/>
    <n v="1005"/>
    <x v="58"/>
    <x v="5"/>
    <x v="80"/>
    <n v="3015"/>
    <x v="312"/>
    <n v="4800"/>
    <x v="327"/>
    <s v="BX 17"/>
    <n v="20"/>
    <n v="1318"/>
    <x v="409"/>
    <s v="Annual"/>
    <n v="1"/>
    <n v="1"/>
    <n v="93384"/>
    <n v="93384"/>
  </r>
  <r>
    <x v="0"/>
    <n v="85"/>
    <x v="38"/>
    <x v="9"/>
    <x v="9"/>
    <n v="1005"/>
    <x v="58"/>
    <x v="5"/>
    <x v="80"/>
    <n v="3015"/>
    <x v="312"/>
    <n v="4800"/>
    <x v="327"/>
    <s v="B 12"/>
    <n v="1"/>
    <s v="03A8"/>
    <x v="88"/>
    <s v="Annual"/>
    <n v="1"/>
    <n v="1"/>
    <n v="108576"/>
    <n v="108576"/>
  </r>
  <r>
    <x v="0"/>
    <n v="85"/>
    <x v="38"/>
    <x v="9"/>
    <x v="9"/>
    <n v="1005"/>
    <x v="58"/>
    <x v="5"/>
    <x v="80"/>
    <n v="3015"/>
    <x v="312"/>
    <n v="4800"/>
    <x v="327"/>
    <s v="B 12"/>
    <n v="1"/>
    <s v="03A8"/>
    <x v="88"/>
    <s v="Annual"/>
    <n v="1"/>
    <n v="1"/>
    <n v="70752"/>
    <n v="70752"/>
  </r>
  <r>
    <x v="0"/>
    <n v="85"/>
    <x v="38"/>
    <x v="9"/>
    <x v="9"/>
    <n v="1005"/>
    <x v="58"/>
    <x v="5"/>
    <x v="80"/>
    <n v="3015"/>
    <x v="312"/>
    <n v="4800"/>
    <x v="327"/>
    <s v="B 12"/>
    <n v="1"/>
    <s v="03A8"/>
    <x v="88"/>
    <s v="Annual"/>
    <n v="1"/>
    <n v="1"/>
    <n v="62544"/>
    <n v="62544"/>
  </r>
  <r>
    <x v="0"/>
    <n v="85"/>
    <x v="38"/>
    <x v="9"/>
    <x v="9"/>
    <n v="1005"/>
    <x v="58"/>
    <x v="5"/>
    <x v="80"/>
    <n v="3015"/>
    <x v="312"/>
    <n v="4800"/>
    <x v="327"/>
    <s v="X 43"/>
    <n v="0"/>
    <s v="03A2"/>
    <x v="220"/>
    <s v="Annual"/>
    <n v="3"/>
    <n v="1"/>
    <n v="160680"/>
    <n v="482040"/>
  </r>
  <r>
    <x v="0"/>
    <n v="85"/>
    <x v="38"/>
    <x v="9"/>
    <x v="9"/>
    <n v="1005"/>
    <x v="58"/>
    <x v="5"/>
    <x v="80"/>
    <n v="3015"/>
    <x v="312"/>
    <n v="4800"/>
    <x v="327"/>
    <s v="X 43"/>
    <n v="0"/>
    <s v="03A2"/>
    <x v="220"/>
    <s v="Annual"/>
    <n v="1"/>
    <n v="1"/>
    <n v="133836"/>
    <n v="133836"/>
  </r>
  <r>
    <x v="0"/>
    <n v="85"/>
    <x v="38"/>
    <x v="9"/>
    <x v="9"/>
    <n v="1005"/>
    <x v="58"/>
    <x v="5"/>
    <x v="80"/>
    <n v="3015"/>
    <x v="312"/>
    <n v="4800"/>
    <x v="327"/>
    <s v="BX 18"/>
    <n v="10"/>
    <n v="311"/>
    <x v="253"/>
    <s v="Annual"/>
    <n v="2"/>
    <n v="1"/>
    <n v="107340"/>
    <n v="214680"/>
  </r>
  <r>
    <x v="0"/>
    <n v="85"/>
    <x v="38"/>
    <x v="9"/>
    <x v="9"/>
    <n v="1005"/>
    <x v="58"/>
    <x v="5"/>
    <x v="80"/>
    <n v="3015"/>
    <x v="312"/>
    <n v="4800"/>
    <x v="327"/>
    <s v="BX 18"/>
    <n v="10"/>
    <n v="311"/>
    <x v="253"/>
    <s v="Annual"/>
    <n v="1"/>
    <n v="1"/>
    <n v="102444"/>
    <n v="102444"/>
  </r>
  <r>
    <x v="0"/>
    <n v="85"/>
    <x v="38"/>
    <x v="9"/>
    <x v="9"/>
    <n v="1005"/>
    <x v="58"/>
    <x v="5"/>
    <x v="80"/>
    <n v="3015"/>
    <x v="312"/>
    <n v="4800"/>
    <x v="327"/>
    <s v="BX 18"/>
    <n v="10"/>
    <n v="311"/>
    <x v="253"/>
    <s v="Annual"/>
    <n v="1"/>
    <n v="1"/>
    <n v="93384"/>
    <n v="93384"/>
  </r>
  <r>
    <x v="0"/>
    <n v="85"/>
    <x v="38"/>
    <x v="9"/>
    <x v="9"/>
    <n v="1005"/>
    <x v="58"/>
    <x v="5"/>
    <x v="80"/>
    <n v="3015"/>
    <x v="312"/>
    <n v="4800"/>
    <x v="327"/>
    <s v="BX 18"/>
    <n v="10"/>
    <n v="311"/>
    <x v="253"/>
    <s v="Annual"/>
    <n v="1"/>
    <n v="1"/>
    <n v="89112"/>
    <n v="89112"/>
  </r>
  <r>
    <x v="0"/>
    <n v="85"/>
    <x v="38"/>
    <x v="9"/>
    <x v="9"/>
    <n v="1005"/>
    <x v="58"/>
    <x v="5"/>
    <x v="80"/>
    <n v="3015"/>
    <x v="312"/>
    <n v="4800"/>
    <x v="327"/>
    <s v="BX 18"/>
    <n v="10"/>
    <n v="310"/>
    <x v="135"/>
    <s v="Annual"/>
    <n v="2"/>
    <n v="1"/>
    <n v="102444"/>
    <n v="204888"/>
  </r>
  <r>
    <x v="0"/>
    <n v="85"/>
    <x v="38"/>
    <x v="9"/>
    <x v="9"/>
    <n v="1005"/>
    <x v="58"/>
    <x v="5"/>
    <x v="80"/>
    <n v="3015"/>
    <x v="312"/>
    <n v="4800"/>
    <x v="327"/>
    <s v="BX 18"/>
    <n v="10"/>
    <n v="310"/>
    <x v="135"/>
    <s v="Annual"/>
    <n v="1"/>
    <n v="1"/>
    <n v="89112"/>
    <n v="89112"/>
  </r>
  <r>
    <x v="0"/>
    <n v="85"/>
    <x v="38"/>
    <x v="9"/>
    <x v="9"/>
    <n v="1005"/>
    <x v="58"/>
    <x v="5"/>
    <x v="80"/>
    <n v="3015"/>
    <x v="312"/>
    <n v="4800"/>
    <x v="327"/>
    <s v="B 13"/>
    <n v="1"/>
    <n v="308"/>
    <x v="90"/>
    <s v="Annual"/>
    <n v="2"/>
    <n v="1"/>
    <n v="68616"/>
    <n v="137232"/>
  </r>
  <r>
    <x v="0"/>
    <n v="85"/>
    <x v="38"/>
    <x v="9"/>
    <x v="9"/>
    <n v="1005"/>
    <x v="58"/>
    <x v="5"/>
    <x v="80"/>
    <n v="3015"/>
    <x v="312"/>
    <n v="4800"/>
    <x v="327"/>
    <s v="1 00"/>
    <n v="0"/>
    <n v="15"/>
    <x v="37"/>
    <s v="Annual"/>
    <n v="0"/>
    <n v="0"/>
    <n v="419182"/>
    <n v="419182"/>
  </r>
  <r>
    <x v="0"/>
    <n v="85"/>
    <x v="38"/>
    <x v="9"/>
    <x v="9"/>
    <n v="1005"/>
    <x v="58"/>
    <x v="5"/>
    <x v="80"/>
    <n v="3015"/>
    <x v="312"/>
    <n v="4808"/>
    <x v="302"/>
    <s v="I 15"/>
    <n v="2"/>
    <n v="7009"/>
    <x v="1148"/>
    <s v="Annual"/>
    <n v="1"/>
    <n v="1"/>
    <n v="131736"/>
    <n v="131736"/>
  </r>
  <r>
    <x v="0"/>
    <n v="85"/>
    <x v="38"/>
    <x v="9"/>
    <x v="9"/>
    <n v="1005"/>
    <x v="58"/>
    <x v="5"/>
    <x v="80"/>
    <n v="3015"/>
    <x v="312"/>
    <n v="4808"/>
    <x v="302"/>
    <s v="I 15"/>
    <n v="2"/>
    <n v="7009"/>
    <x v="1148"/>
    <s v="Annual"/>
    <n v="1"/>
    <n v="1"/>
    <n v="125808"/>
    <n v="125808"/>
  </r>
  <r>
    <x v="0"/>
    <n v="85"/>
    <x v="38"/>
    <x v="9"/>
    <x v="9"/>
    <n v="1005"/>
    <x v="58"/>
    <x v="5"/>
    <x v="80"/>
    <n v="3015"/>
    <x v="312"/>
    <n v="4808"/>
    <x v="302"/>
    <s v="I 15"/>
    <n v="2"/>
    <n v="7009"/>
    <x v="1148"/>
    <s v="Annual"/>
    <n v="1"/>
    <n v="1"/>
    <n v="81792"/>
    <n v="81792"/>
  </r>
  <r>
    <x v="0"/>
    <n v="85"/>
    <x v="38"/>
    <x v="9"/>
    <x v="9"/>
    <n v="1005"/>
    <x v="58"/>
    <x v="5"/>
    <x v="80"/>
    <n v="3015"/>
    <x v="312"/>
    <n v="4808"/>
    <x v="302"/>
    <s v="BX 17"/>
    <n v="10"/>
    <n v="7004"/>
    <x v="1149"/>
    <s v="Annual"/>
    <n v="1"/>
    <n v="1"/>
    <n v="93384"/>
    <n v="93384"/>
  </r>
  <r>
    <x v="0"/>
    <n v="85"/>
    <x v="38"/>
    <x v="9"/>
    <x v="9"/>
    <n v="1005"/>
    <x v="58"/>
    <x v="5"/>
    <x v="80"/>
    <n v="3015"/>
    <x v="312"/>
    <n v="4808"/>
    <x v="302"/>
    <s v="I 14"/>
    <n v="2"/>
    <n v="7003"/>
    <x v="1150"/>
    <s v="Annual"/>
    <n v="2"/>
    <n v="1"/>
    <n v="120024"/>
    <n v="240048"/>
  </r>
  <r>
    <x v="0"/>
    <n v="85"/>
    <x v="38"/>
    <x v="9"/>
    <x v="9"/>
    <n v="1005"/>
    <x v="58"/>
    <x v="5"/>
    <x v="80"/>
    <n v="3015"/>
    <x v="312"/>
    <n v="4808"/>
    <x v="302"/>
    <s v="I 14"/>
    <n v="2"/>
    <n v="7003"/>
    <x v="1150"/>
    <s v="Annual"/>
    <n v="3"/>
    <n v="1"/>
    <n v="114636"/>
    <n v="343908"/>
  </r>
  <r>
    <x v="0"/>
    <n v="85"/>
    <x v="38"/>
    <x v="9"/>
    <x v="9"/>
    <n v="1005"/>
    <x v="58"/>
    <x v="5"/>
    <x v="80"/>
    <n v="3015"/>
    <x v="312"/>
    <n v="4808"/>
    <x v="302"/>
    <s v="I 14"/>
    <n v="2"/>
    <n v="7003"/>
    <x v="1150"/>
    <s v="Annual"/>
    <n v="3"/>
    <n v="1"/>
    <n v="109404"/>
    <n v="328212"/>
  </r>
  <r>
    <x v="0"/>
    <n v="85"/>
    <x v="38"/>
    <x v="9"/>
    <x v="9"/>
    <n v="1005"/>
    <x v="58"/>
    <x v="5"/>
    <x v="80"/>
    <n v="3015"/>
    <x v="312"/>
    <n v="4808"/>
    <x v="302"/>
    <s v="I 14"/>
    <n v="2"/>
    <n v="7003"/>
    <x v="1150"/>
    <s v="Annual"/>
    <n v="1"/>
    <n v="1"/>
    <n v="99708"/>
    <n v="99708"/>
  </r>
  <r>
    <x v="0"/>
    <n v="85"/>
    <x v="38"/>
    <x v="9"/>
    <x v="9"/>
    <n v="1005"/>
    <x v="58"/>
    <x v="5"/>
    <x v="80"/>
    <n v="3015"/>
    <x v="312"/>
    <n v="4808"/>
    <x v="302"/>
    <s v="I 14"/>
    <n v="2"/>
    <n v="7003"/>
    <x v="1150"/>
    <s v="Annual"/>
    <n v="2"/>
    <n v="1"/>
    <n v="95160"/>
    <n v="190320"/>
  </r>
  <r>
    <x v="0"/>
    <n v="85"/>
    <x v="38"/>
    <x v="9"/>
    <x v="9"/>
    <n v="1005"/>
    <x v="58"/>
    <x v="5"/>
    <x v="80"/>
    <n v="3015"/>
    <x v="312"/>
    <n v="4808"/>
    <x v="302"/>
    <s v="I 14"/>
    <n v="2"/>
    <n v="7003"/>
    <x v="1150"/>
    <s v="Annual"/>
    <n v="1"/>
    <n v="1"/>
    <n v="90876"/>
    <n v="90876"/>
  </r>
  <r>
    <x v="0"/>
    <n v="85"/>
    <x v="38"/>
    <x v="9"/>
    <x v="9"/>
    <n v="1005"/>
    <x v="58"/>
    <x v="5"/>
    <x v="80"/>
    <n v="3015"/>
    <x v="312"/>
    <n v="4808"/>
    <x v="302"/>
    <s v="I 14"/>
    <n v="2"/>
    <n v="7003"/>
    <x v="1150"/>
    <s v="Annual"/>
    <n v="4"/>
    <n v="1"/>
    <n v="86772"/>
    <n v="347088"/>
  </r>
  <r>
    <x v="0"/>
    <n v="85"/>
    <x v="38"/>
    <x v="9"/>
    <x v="9"/>
    <n v="1005"/>
    <x v="58"/>
    <x v="5"/>
    <x v="80"/>
    <n v="3015"/>
    <x v="312"/>
    <n v="4808"/>
    <x v="302"/>
    <s v="I 14"/>
    <n v="2"/>
    <n v="7003"/>
    <x v="1150"/>
    <s v="Annual"/>
    <n v="3"/>
    <n v="1"/>
    <n v="77988"/>
    <n v="233964"/>
  </r>
  <r>
    <x v="0"/>
    <n v="85"/>
    <x v="38"/>
    <x v="9"/>
    <x v="9"/>
    <n v="1005"/>
    <x v="58"/>
    <x v="5"/>
    <x v="80"/>
    <n v="3015"/>
    <x v="312"/>
    <n v="4808"/>
    <x v="302"/>
    <s v="I 14"/>
    <n v="2"/>
    <n v="7003"/>
    <x v="1150"/>
    <s v="Annual"/>
    <n v="1"/>
    <n v="1"/>
    <n v="74520"/>
    <n v="74520"/>
  </r>
  <r>
    <x v="0"/>
    <n v="85"/>
    <x v="38"/>
    <x v="9"/>
    <x v="9"/>
    <n v="1005"/>
    <x v="58"/>
    <x v="5"/>
    <x v="80"/>
    <n v="3015"/>
    <x v="312"/>
    <n v="4808"/>
    <x v="302"/>
    <s v="I 14"/>
    <n v="2"/>
    <n v="7003"/>
    <x v="1150"/>
    <s v="Annual"/>
    <n v="5"/>
    <n v="1"/>
    <n v="71076"/>
    <n v="355380"/>
  </r>
  <r>
    <x v="0"/>
    <n v="85"/>
    <x v="38"/>
    <x v="9"/>
    <x v="9"/>
    <n v="1005"/>
    <x v="58"/>
    <x v="5"/>
    <x v="80"/>
    <n v="3015"/>
    <x v="312"/>
    <n v="4808"/>
    <x v="302"/>
    <s v="I 14"/>
    <n v="2"/>
    <n v="7003"/>
    <x v="1150"/>
    <s v="Annual"/>
    <n v="8"/>
    <n v="1"/>
    <n v="67884"/>
    <n v="543072"/>
  </r>
  <r>
    <x v="0"/>
    <n v="85"/>
    <x v="38"/>
    <x v="9"/>
    <x v="9"/>
    <n v="1005"/>
    <x v="58"/>
    <x v="5"/>
    <x v="80"/>
    <n v="3015"/>
    <x v="312"/>
    <n v="4808"/>
    <x v="302"/>
    <s v="O 15"/>
    <n v="59"/>
    <n v="7002"/>
    <x v="1151"/>
    <s v="Annual"/>
    <n v="3"/>
    <n v="1"/>
    <n v="122484"/>
    <n v="367452"/>
  </r>
  <r>
    <x v="0"/>
    <n v="85"/>
    <x v="38"/>
    <x v="9"/>
    <x v="9"/>
    <n v="1005"/>
    <x v="58"/>
    <x v="5"/>
    <x v="80"/>
    <n v="3015"/>
    <x v="312"/>
    <n v="4808"/>
    <x v="302"/>
    <s v="O 15"/>
    <n v="59"/>
    <n v="7002"/>
    <x v="1151"/>
    <s v="Annual"/>
    <n v="1"/>
    <n v="1"/>
    <n v="101700"/>
    <n v="101700"/>
  </r>
  <r>
    <x v="0"/>
    <n v="85"/>
    <x v="38"/>
    <x v="9"/>
    <x v="9"/>
    <n v="1005"/>
    <x v="58"/>
    <x v="5"/>
    <x v="80"/>
    <n v="3015"/>
    <x v="312"/>
    <n v="4808"/>
    <x v="302"/>
    <s v="O 15"/>
    <n v="59"/>
    <n v="7002"/>
    <x v="1151"/>
    <s v="Annual"/>
    <n v="1"/>
    <n v="1"/>
    <n v="92700"/>
    <n v="92700"/>
  </r>
  <r>
    <x v="0"/>
    <n v="85"/>
    <x v="38"/>
    <x v="9"/>
    <x v="9"/>
    <n v="1005"/>
    <x v="58"/>
    <x v="5"/>
    <x v="80"/>
    <n v="3015"/>
    <x v="312"/>
    <n v="4808"/>
    <x v="302"/>
    <s v="O 15"/>
    <n v="59"/>
    <n v="7002"/>
    <x v="1151"/>
    <s v="Annual"/>
    <n v="1"/>
    <n v="1"/>
    <n v="87564"/>
    <n v="87564"/>
  </r>
  <r>
    <x v="0"/>
    <n v="85"/>
    <x v="38"/>
    <x v="9"/>
    <x v="9"/>
    <n v="1005"/>
    <x v="58"/>
    <x v="5"/>
    <x v="80"/>
    <n v="3015"/>
    <x v="312"/>
    <n v="4808"/>
    <x v="302"/>
    <s v="O 15"/>
    <n v="59"/>
    <n v="7002"/>
    <x v="1151"/>
    <s v="Annual"/>
    <n v="1"/>
    <n v="1"/>
    <n v="82464"/>
    <n v="82464"/>
  </r>
  <r>
    <x v="0"/>
    <n v="85"/>
    <x v="38"/>
    <x v="9"/>
    <x v="9"/>
    <n v="1005"/>
    <x v="58"/>
    <x v="5"/>
    <x v="80"/>
    <n v="3015"/>
    <x v="312"/>
    <n v="4808"/>
    <x v="302"/>
    <s v="O 15"/>
    <n v="59"/>
    <n v="7002"/>
    <x v="1151"/>
    <s v="Annual"/>
    <n v="2"/>
    <n v="1"/>
    <n v="75168"/>
    <n v="150336"/>
  </r>
  <r>
    <x v="0"/>
    <n v="85"/>
    <x v="38"/>
    <x v="9"/>
    <x v="9"/>
    <n v="1005"/>
    <x v="58"/>
    <x v="5"/>
    <x v="80"/>
    <n v="3015"/>
    <x v="312"/>
    <n v="4808"/>
    <x v="302"/>
    <s v="X 43"/>
    <n v="0"/>
    <s v="03A2"/>
    <x v="220"/>
    <s v="Annual"/>
    <n v="1"/>
    <n v="1"/>
    <n v="160680"/>
    <n v="160680"/>
  </r>
  <r>
    <x v="0"/>
    <n v="85"/>
    <x v="38"/>
    <x v="9"/>
    <x v="9"/>
    <n v="1005"/>
    <x v="58"/>
    <x v="5"/>
    <x v="80"/>
    <n v="3015"/>
    <x v="312"/>
    <n v="4808"/>
    <x v="302"/>
    <s v="BX 18"/>
    <n v="10"/>
    <n v="310"/>
    <x v="135"/>
    <s v="Annual"/>
    <n v="1"/>
    <n v="1"/>
    <n v="113568"/>
    <n v="113568"/>
  </r>
  <r>
    <x v="0"/>
    <n v="85"/>
    <x v="38"/>
    <x v="9"/>
    <x v="9"/>
    <n v="1005"/>
    <x v="58"/>
    <x v="5"/>
    <x v="80"/>
    <n v="3015"/>
    <x v="312"/>
    <n v="4808"/>
    <x v="302"/>
    <s v="1 00"/>
    <n v="0"/>
    <n v="15"/>
    <x v="37"/>
    <s v="Annual"/>
    <n v="0"/>
    <n v="0"/>
    <n v="40455"/>
    <n v="40455"/>
  </r>
  <r>
    <x v="0"/>
    <n v="85"/>
    <x v="38"/>
    <x v="9"/>
    <x v="9"/>
    <n v="1005"/>
    <x v="58"/>
    <x v="5"/>
    <x v="80"/>
    <n v="3015"/>
    <x v="312"/>
    <n v="4810"/>
    <x v="161"/>
    <s v="BX 17"/>
    <n v="10"/>
    <n v="7007"/>
    <x v="1153"/>
    <s v="Annual"/>
    <n v="2"/>
    <n v="1"/>
    <n v="83052"/>
    <n v="166104"/>
  </r>
  <r>
    <x v="0"/>
    <n v="85"/>
    <x v="38"/>
    <x v="9"/>
    <x v="9"/>
    <n v="1005"/>
    <x v="58"/>
    <x v="5"/>
    <x v="80"/>
    <n v="3015"/>
    <x v="312"/>
    <n v="4810"/>
    <x v="161"/>
    <s v="V 13"/>
    <n v="54"/>
    <n v="6305"/>
    <x v="874"/>
    <s v="Annual"/>
    <n v="1"/>
    <n v="1"/>
    <n v="103572"/>
    <n v="103572"/>
  </r>
  <r>
    <x v="0"/>
    <n v="85"/>
    <x v="38"/>
    <x v="9"/>
    <x v="9"/>
    <n v="1005"/>
    <x v="58"/>
    <x v="5"/>
    <x v="80"/>
    <n v="3015"/>
    <x v="312"/>
    <n v="4810"/>
    <x v="161"/>
    <s v="V 13"/>
    <n v="54"/>
    <n v="6305"/>
    <x v="874"/>
    <s v="Annual"/>
    <n v="1"/>
    <n v="1"/>
    <n v="77628"/>
    <n v="77628"/>
  </r>
  <r>
    <x v="0"/>
    <n v="85"/>
    <x v="38"/>
    <x v="9"/>
    <x v="9"/>
    <n v="1005"/>
    <x v="58"/>
    <x v="5"/>
    <x v="80"/>
    <n v="3015"/>
    <x v="312"/>
    <n v="4810"/>
    <x v="161"/>
    <s v="V 13"/>
    <n v="54"/>
    <n v="6305"/>
    <x v="874"/>
    <s v="Annual"/>
    <n v="3"/>
    <n v="1"/>
    <n v="74136"/>
    <n v="222408"/>
  </r>
  <r>
    <x v="0"/>
    <n v="85"/>
    <x v="38"/>
    <x v="9"/>
    <x v="9"/>
    <n v="1005"/>
    <x v="58"/>
    <x v="5"/>
    <x v="80"/>
    <n v="3015"/>
    <x v="312"/>
    <n v="4810"/>
    <x v="161"/>
    <s v="V 13"/>
    <n v="54"/>
    <n v="6305"/>
    <x v="874"/>
    <s v="Annual"/>
    <n v="6"/>
    <n v="1"/>
    <n v="70740"/>
    <n v="424440"/>
  </r>
  <r>
    <x v="0"/>
    <n v="85"/>
    <x v="38"/>
    <x v="9"/>
    <x v="9"/>
    <n v="1005"/>
    <x v="58"/>
    <x v="5"/>
    <x v="80"/>
    <n v="3015"/>
    <x v="312"/>
    <n v="4810"/>
    <x v="161"/>
    <s v="B 14"/>
    <n v="4"/>
    <n v="1912"/>
    <x v="222"/>
    <s v="Annual"/>
    <n v="1"/>
    <n v="1"/>
    <n v="81324"/>
    <n v="81324"/>
  </r>
  <r>
    <x v="0"/>
    <n v="85"/>
    <x v="38"/>
    <x v="9"/>
    <x v="9"/>
    <n v="1005"/>
    <x v="58"/>
    <x v="5"/>
    <x v="80"/>
    <n v="3015"/>
    <x v="312"/>
    <n v="4810"/>
    <x v="161"/>
    <s v="B 10"/>
    <n v="1"/>
    <s v="03A7"/>
    <x v="4"/>
    <s v="Annual"/>
    <n v="1"/>
    <n v="1"/>
    <n v="90144"/>
    <n v="90144"/>
  </r>
  <r>
    <x v="0"/>
    <n v="85"/>
    <x v="38"/>
    <x v="9"/>
    <x v="9"/>
    <n v="1005"/>
    <x v="58"/>
    <x v="5"/>
    <x v="80"/>
    <n v="3015"/>
    <x v="312"/>
    <n v="4810"/>
    <x v="161"/>
    <s v="X 43"/>
    <n v="0"/>
    <s v="03A2"/>
    <x v="220"/>
    <s v="Annual"/>
    <n v="1"/>
    <n v="1"/>
    <n v="160680"/>
    <n v="160680"/>
  </r>
  <r>
    <x v="0"/>
    <n v="85"/>
    <x v="38"/>
    <x v="9"/>
    <x v="9"/>
    <n v="1005"/>
    <x v="58"/>
    <x v="5"/>
    <x v="80"/>
    <n v="3015"/>
    <x v="312"/>
    <n v="4810"/>
    <x v="161"/>
    <s v="BX 18"/>
    <n v="10"/>
    <n v="311"/>
    <x v="253"/>
    <s v="Annual"/>
    <n v="1"/>
    <n v="1"/>
    <n v="102444"/>
    <n v="102444"/>
  </r>
  <r>
    <x v="0"/>
    <n v="85"/>
    <x v="38"/>
    <x v="9"/>
    <x v="9"/>
    <n v="1005"/>
    <x v="58"/>
    <x v="5"/>
    <x v="80"/>
    <n v="3015"/>
    <x v="312"/>
    <n v="4810"/>
    <x v="161"/>
    <s v="1 00"/>
    <n v="0"/>
    <n v="15"/>
    <x v="37"/>
    <s v="Annual"/>
    <n v="0"/>
    <n v="0"/>
    <n v="22558"/>
    <n v="22558"/>
  </r>
  <r>
    <x v="0"/>
    <n v="85"/>
    <x v="38"/>
    <x v="9"/>
    <x v="9"/>
    <n v="1005"/>
    <x v="58"/>
    <x v="5"/>
    <x v="80"/>
    <n v="3015"/>
    <x v="312"/>
    <n v="4812"/>
    <x v="328"/>
    <s v="O 14"/>
    <n v="59"/>
    <n v="8631"/>
    <x v="1179"/>
    <s v="Annual"/>
    <n v="3"/>
    <n v="1"/>
    <n v="75204"/>
    <n v="225612"/>
  </r>
  <r>
    <x v="0"/>
    <n v="85"/>
    <x v="38"/>
    <x v="9"/>
    <x v="9"/>
    <n v="1005"/>
    <x v="58"/>
    <x v="5"/>
    <x v="80"/>
    <n v="3015"/>
    <x v="312"/>
    <n v="4812"/>
    <x v="328"/>
    <s v="O 14"/>
    <n v="59"/>
    <n v="8631"/>
    <x v="1179"/>
    <s v="Annual"/>
    <n v="2"/>
    <n v="1"/>
    <n v="71784"/>
    <n v="143568"/>
  </r>
  <r>
    <x v="0"/>
    <n v="85"/>
    <x v="38"/>
    <x v="9"/>
    <x v="9"/>
    <n v="1005"/>
    <x v="58"/>
    <x v="5"/>
    <x v="80"/>
    <n v="3015"/>
    <x v="312"/>
    <n v="4812"/>
    <x v="328"/>
    <s v="O 14"/>
    <n v="59"/>
    <n v="8631"/>
    <x v="1179"/>
    <s v="Annual"/>
    <n v="1"/>
    <n v="1"/>
    <n v="68520"/>
    <n v="68520"/>
  </r>
  <r>
    <x v="0"/>
    <n v="85"/>
    <x v="38"/>
    <x v="9"/>
    <x v="9"/>
    <n v="1005"/>
    <x v="58"/>
    <x v="5"/>
    <x v="80"/>
    <n v="3015"/>
    <x v="312"/>
    <n v="4812"/>
    <x v="328"/>
    <s v="O 14"/>
    <n v="59"/>
    <n v="8631"/>
    <x v="1179"/>
    <s v="Annual"/>
    <n v="3"/>
    <n v="1"/>
    <n v="65436"/>
    <n v="196308"/>
  </r>
  <r>
    <x v="0"/>
    <n v="85"/>
    <x v="38"/>
    <x v="9"/>
    <x v="9"/>
    <n v="1005"/>
    <x v="58"/>
    <x v="5"/>
    <x v="80"/>
    <n v="3015"/>
    <x v="312"/>
    <n v="4812"/>
    <x v="328"/>
    <s v="B 17"/>
    <n v="3"/>
    <n v="8621"/>
    <x v="1119"/>
    <s v="Annual"/>
    <n v="1"/>
    <n v="1"/>
    <n v="157332"/>
    <n v="157332"/>
  </r>
  <r>
    <x v="0"/>
    <n v="85"/>
    <x v="38"/>
    <x v="9"/>
    <x v="9"/>
    <n v="1005"/>
    <x v="58"/>
    <x v="5"/>
    <x v="80"/>
    <n v="3015"/>
    <x v="312"/>
    <n v="4812"/>
    <x v="328"/>
    <s v="B 17"/>
    <n v="3"/>
    <n v="8621"/>
    <x v="1119"/>
    <s v="Annual"/>
    <n v="1"/>
    <n v="1"/>
    <n v="112536"/>
    <n v="112536"/>
  </r>
  <r>
    <x v="0"/>
    <n v="85"/>
    <x v="38"/>
    <x v="9"/>
    <x v="9"/>
    <n v="1005"/>
    <x v="58"/>
    <x v="5"/>
    <x v="80"/>
    <n v="3015"/>
    <x v="312"/>
    <n v="4812"/>
    <x v="328"/>
    <s v="B 17"/>
    <n v="3"/>
    <n v="8621"/>
    <x v="1119"/>
    <s v="Annual"/>
    <n v="1"/>
    <n v="1"/>
    <n v="102588"/>
    <n v="102588"/>
  </r>
  <r>
    <x v="0"/>
    <n v="85"/>
    <x v="38"/>
    <x v="9"/>
    <x v="9"/>
    <n v="1005"/>
    <x v="58"/>
    <x v="5"/>
    <x v="80"/>
    <n v="3015"/>
    <x v="312"/>
    <n v="4812"/>
    <x v="328"/>
    <s v="B 17"/>
    <n v="3"/>
    <n v="8621"/>
    <x v="1119"/>
    <s v="Annual"/>
    <n v="1"/>
    <n v="1"/>
    <n v="99480"/>
    <n v="99480"/>
  </r>
  <r>
    <x v="0"/>
    <n v="85"/>
    <x v="38"/>
    <x v="9"/>
    <x v="9"/>
    <n v="1005"/>
    <x v="58"/>
    <x v="5"/>
    <x v="80"/>
    <n v="3015"/>
    <x v="312"/>
    <n v="4812"/>
    <x v="328"/>
    <s v="B 16"/>
    <n v="4"/>
    <n v="8620"/>
    <x v="547"/>
    <s v="Annual"/>
    <n v="1"/>
    <n v="1"/>
    <n v="143400"/>
    <n v="143400"/>
  </r>
  <r>
    <x v="0"/>
    <n v="85"/>
    <x v="38"/>
    <x v="9"/>
    <x v="9"/>
    <n v="1005"/>
    <x v="58"/>
    <x v="5"/>
    <x v="80"/>
    <n v="3015"/>
    <x v="312"/>
    <n v="4812"/>
    <x v="328"/>
    <s v="B 16"/>
    <n v="4"/>
    <n v="8620"/>
    <x v="547"/>
    <s v="Annual"/>
    <n v="1"/>
    <n v="1"/>
    <n v="93504"/>
    <n v="93504"/>
  </r>
  <r>
    <x v="0"/>
    <n v="85"/>
    <x v="38"/>
    <x v="9"/>
    <x v="9"/>
    <n v="1005"/>
    <x v="58"/>
    <x v="5"/>
    <x v="80"/>
    <n v="3015"/>
    <x v="312"/>
    <n v="4812"/>
    <x v="328"/>
    <s v="B 16"/>
    <n v="4"/>
    <n v="8620"/>
    <x v="547"/>
    <s v="Annual"/>
    <n v="3"/>
    <n v="1"/>
    <n v="90732"/>
    <n v="272196"/>
  </r>
  <r>
    <x v="0"/>
    <n v="85"/>
    <x v="38"/>
    <x v="9"/>
    <x v="9"/>
    <n v="1005"/>
    <x v="58"/>
    <x v="5"/>
    <x v="80"/>
    <n v="3015"/>
    <x v="312"/>
    <n v="4812"/>
    <x v="328"/>
    <s v="B 14"/>
    <n v="1"/>
    <n v="8618"/>
    <x v="1180"/>
    <s v="Annual"/>
    <n v="1"/>
    <n v="1"/>
    <n v="93504"/>
    <n v="93504"/>
  </r>
  <r>
    <x v="0"/>
    <n v="85"/>
    <x v="38"/>
    <x v="9"/>
    <x v="9"/>
    <n v="1005"/>
    <x v="58"/>
    <x v="5"/>
    <x v="80"/>
    <n v="3015"/>
    <x v="312"/>
    <n v="4812"/>
    <x v="328"/>
    <s v="B 14"/>
    <n v="1"/>
    <n v="8618"/>
    <x v="1180"/>
    <s v="Annual"/>
    <n v="2"/>
    <n v="1"/>
    <n v="85200"/>
    <n v="170400"/>
  </r>
  <r>
    <x v="0"/>
    <n v="85"/>
    <x v="38"/>
    <x v="9"/>
    <x v="9"/>
    <n v="1005"/>
    <x v="58"/>
    <x v="5"/>
    <x v="80"/>
    <n v="3015"/>
    <x v="312"/>
    <n v="4812"/>
    <x v="328"/>
    <s v="B 14"/>
    <n v="1"/>
    <n v="8618"/>
    <x v="1180"/>
    <s v="Annual"/>
    <n v="1"/>
    <n v="1"/>
    <n v="81324"/>
    <n v="81324"/>
  </r>
  <r>
    <x v="0"/>
    <n v="85"/>
    <x v="38"/>
    <x v="9"/>
    <x v="9"/>
    <n v="1005"/>
    <x v="58"/>
    <x v="5"/>
    <x v="80"/>
    <n v="3015"/>
    <x v="312"/>
    <n v="4812"/>
    <x v="328"/>
    <s v="B 14"/>
    <n v="1"/>
    <n v="8618"/>
    <x v="1180"/>
    <s v="Annual"/>
    <n v="1"/>
    <n v="1"/>
    <n v="77640"/>
    <n v="77640"/>
  </r>
  <r>
    <x v="0"/>
    <n v="85"/>
    <x v="38"/>
    <x v="9"/>
    <x v="9"/>
    <n v="1005"/>
    <x v="58"/>
    <x v="5"/>
    <x v="80"/>
    <n v="3015"/>
    <x v="312"/>
    <n v="4812"/>
    <x v="328"/>
    <s v="B 14"/>
    <n v="1"/>
    <n v="8618"/>
    <x v="1180"/>
    <s v="Annual"/>
    <n v="4"/>
    <n v="1"/>
    <n v="75336"/>
    <n v="301344"/>
  </r>
  <r>
    <x v="0"/>
    <n v="85"/>
    <x v="38"/>
    <x v="9"/>
    <x v="9"/>
    <n v="1005"/>
    <x v="58"/>
    <x v="5"/>
    <x v="80"/>
    <n v="3015"/>
    <x v="312"/>
    <n v="4812"/>
    <x v="328"/>
    <s v="X 43"/>
    <n v="0"/>
    <n v="2906"/>
    <x v="1181"/>
    <s v="Annual"/>
    <n v="1"/>
    <n v="1"/>
    <n v="133836"/>
    <n v="133836"/>
  </r>
  <r>
    <x v="0"/>
    <n v="85"/>
    <x v="38"/>
    <x v="9"/>
    <x v="9"/>
    <n v="1005"/>
    <x v="58"/>
    <x v="5"/>
    <x v="80"/>
    <n v="3015"/>
    <x v="312"/>
    <n v="4812"/>
    <x v="328"/>
    <s v="X 43"/>
    <n v="0"/>
    <s v="03A2"/>
    <x v="220"/>
    <s v="Annual"/>
    <n v="1"/>
    <n v="1"/>
    <n v="160680"/>
    <n v="160680"/>
  </r>
  <r>
    <x v="0"/>
    <n v="85"/>
    <x v="38"/>
    <x v="9"/>
    <x v="9"/>
    <n v="1005"/>
    <x v="58"/>
    <x v="5"/>
    <x v="80"/>
    <n v="3015"/>
    <x v="312"/>
    <n v="4812"/>
    <x v="328"/>
    <s v="1 00"/>
    <n v="0"/>
    <n v="15"/>
    <x v="37"/>
    <s v="Annual"/>
    <n v="0"/>
    <n v="0"/>
    <n v="33737"/>
    <n v="33737"/>
  </r>
  <r>
    <x v="0"/>
    <n v="85"/>
    <x v="38"/>
    <x v="9"/>
    <x v="9"/>
    <n v="1005"/>
    <x v="58"/>
    <x v="5"/>
    <x v="80"/>
    <n v="3015"/>
    <x v="312"/>
    <n v="4818"/>
    <x v="301"/>
    <s v="B 12"/>
    <n v="1"/>
    <s v="03A8"/>
    <x v="88"/>
    <s v="Annual"/>
    <n v="1"/>
    <n v="1"/>
    <n v="108576"/>
    <n v="108576"/>
  </r>
  <r>
    <x v="0"/>
    <n v="85"/>
    <x v="38"/>
    <x v="9"/>
    <x v="9"/>
    <n v="1005"/>
    <x v="58"/>
    <x v="5"/>
    <x v="80"/>
    <n v="3015"/>
    <x v="312"/>
    <n v="4818"/>
    <x v="301"/>
    <s v="B 12"/>
    <n v="1"/>
    <s v="03A8"/>
    <x v="88"/>
    <s v="Annual"/>
    <n v="1"/>
    <n v="1"/>
    <n v="98928"/>
    <n v="98928"/>
  </r>
  <r>
    <x v="0"/>
    <n v="85"/>
    <x v="38"/>
    <x v="9"/>
    <x v="9"/>
    <n v="1005"/>
    <x v="58"/>
    <x v="5"/>
    <x v="80"/>
    <n v="3015"/>
    <x v="312"/>
    <n v="4818"/>
    <x v="301"/>
    <s v="B 12"/>
    <n v="1"/>
    <s v="03A8"/>
    <x v="88"/>
    <s v="Annual"/>
    <n v="2"/>
    <n v="1"/>
    <n v="82140"/>
    <n v="164280"/>
  </r>
  <r>
    <x v="0"/>
    <n v="85"/>
    <x v="38"/>
    <x v="9"/>
    <x v="9"/>
    <n v="1005"/>
    <x v="58"/>
    <x v="5"/>
    <x v="80"/>
    <n v="3015"/>
    <x v="312"/>
    <n v="4818"/>
    <x v="301"/>
    <s v="B 12"/>
    <n v="1"/>
    <s v="03A8"/>
    <x v="88"/>
    <s v="Annual"/>
    <n v="1"/>
    <n v="1"/>
    <n v="77640"/>
    <n v="77640"/>
  </r>
  <r>
    <x v="0"/>
    <n v="85"/>
    <x v="38"/>
    <x v="9"/>
    <x v="9"/>
    <n v="1005"/>
    <x v="58"/>
    <x v="5"/>
    <x v="80"/>
    <n v="3015"/>
    <x v="312"/>
    <n v="4818"/>
    <x v="301"/>
    <s v="B 12"/>
    <n v="1"/>
    <s v="03A8"/>
    <x v="88"/>
    <s v="Annual"/>
    <n v="1"/>
    <n v="1"/>
    <n v="70752"/>
    <n v="70752"/>
  </r>
  <r>
    <x v="0"/>
    <n v="85"/>
    <x v="38"/>
    <x v="9"/>
    <x v="9"/>
    <n v="1005"/>
    <x v="58"/>
    <x v="5"/>
    <x v="80"/>
    <n v="3015"/>
    <x v="312"/>
    <n v="4818"/>
    <x v="301"/>
    <s v="B 12"/>
    <n v="1"/>
    <s v="03A8"/>
    <x v="88"/>
    <s v="Annual"/>
    <n v="2"/>
    <n v="1"/>
    <n v="62544"/>
    <n v="125088"/>
  </r>
  <r>
    <x v="0"/>
    <n v="85"/>
    <x v="38"/>
    <x v="9"/>
    <x v="9"/>
    <n v="1005"/>
    <x v="58"/>
    <x v="5"/>
    <x v="80"/>
    <n v="3015"/>
    <x v="312"/>
    <n v="4818"/>
    <x v="301"/>
    <s v="B 10"/>
    <n v="1"/>
    <s v="03A7"/>
    <x v="4"/>
    <s v="Annual"/>
    <n v="2"/>
    <n v="1"/>
    <n v="90144"/>
    <n v="180288"/>
  </r>
  <r>
    <x v="0"/>
    <n v="85"/>
    <x v="38"/>
    <x v="9"/>
    <x v="9"/>
    <n v="1005"/>
    <x v="58"/>
    <x v="5"/>
    <x v="80"/>
    <n v="3015"/>
    <x v="312"/>
    <n v="4818"/>
    <x v="301"/>
    <s v="B 10"/>
    <n v="1"/>
    <s v="03A7"/>
    <x v="4"/>
    <s v="Annual"/>
    <n v="1"/>
    <n v="1"/>
    <n v="61548"/>
    <n v="61548"/>
  </r>
  <r>
    <x v="0"/>
    <n v="85"/>
    <x v="38"/>
    <x v="9"/>
    <x v="9"/>
    <n v="1005"/>
    <x v="58"/>
    <x v="5"/>
    <x v="80"/>
    <n v="3015"/>
    <x v="312"/>
    <n v="4818"/>
    <x v="301"/>
    <s v="B 10"/>
    <n v="1"/>
    <s v="03A7"/>
    <x v="4"/>
    <s v="Annual"/>
    <n v="4"/>
    <n v="1"/>
    <n v="58764"/>
    <n v="235056"/>
  </r>
  <r>
    <x v="0"/>
    <n v="85"/>
    <x v="38"/>
    <x v="9"/>
    <x v="9"/>
    <n v="1005"/>
    <x v="58"/>
    <x v="5"/>
    <x v="80"/>
    <n v="3015"/>
    <x v="312"/>
    <n v="4818"/>
    <x v="301"/>
    <s v="B 10"/>
    <n v="1"/>
    <s v="03A7"/>
    <x v="4"/>
    <s v="Annual"/>
    <n v="7"/>
    <n v="1"/>
    <n v="56124"/>
    <n v="392868"/>
  </r>
  <r>
    <x v="0"/>
    <n v="85"/>
    <x v="38"/>
    <x v="9"/>
    <x v="9"/>
    <n v="1005"/>
    <x v="58"/>
    <x v="5"/>
    <x v="80"/>
    <n v="3015"/>
    <x v="312"/>
    <n v="4818"/>
    <x v="301"/>
    <s v="B 10"/>
    <n v="1"/>
    <s v="03A7"/>
    <x v="4"/>
    <s v="Annual"/>
    <n v="5"/>
    <n v="1"/>
    <n v="53532"/>
    <n v="267660"/>
  </r>
  <r>
    <x v="0"/>
    <n v="85"/>
    <x v="38"/>
    <x v="9"/>
    <x v="9"/>
    <n v="1005"/>
    <x v="58"/>
    <x v="5"/>
    <x v="80"/>
    <n v="3015"/>
    <x v="312"/>
    <n v="4818"/>
    <x v="301"/>
    <s v="B 10"/>
    <n v="1"/>
    <s v="03A7"/>
    <x v="4"/>
    <s v="Annual"/>
    <n v="12"/>
    <n v="1"/>
    <n v="51936"/>
    <n v="623232"/>
  </r>
  <r>
    <x v="0"/>
    <n v="85"/>
    <x v="38"/>
    <x v="9"/>
    <x v="9"/>
    <n v="1005"/>
    <x v="58"/>
    <x v="5"/>
    <x v="80"/>
    <n v="3015"/>
    <x v="312"/>
    <n v="4818"/>
    <x v="301"/>
    <s v="X 43"/>
    <n v="0"/>
    <s v="03A2"/>
    <x v="220"/>
    <s v="Annual"/>
    <n v="1"/>
    <n v="1"/>
    <n v="160680"/>
    <n v="160680"/>
  </r>
  <r>
    <x v="0"/>
    <n v="85"/>
    <x v="38"/>
    <x v="9"/>
    <x v="9"/>
    <n v="1005"/>
    <x v="58"/>
    <x v="5"/>
    <x v="80"/>
    <n v="3015"/>
    <x v="312"/>
    <n v="4818"/>
    <x v="301"/>
    <s v="BX 16"/>
    <n v="10"/>
    <n v="375"/>
    <x v="1147"/>
    <s v="Annual"/>
    <n v="1"/>
    <n v="1"/>
    <n v="98832"/>
    <n v="98832"/>
  </r>
  <r>
    <x v="0"/>
    <n v="85"/>
    <x v="38"/>
    <x v="9"/>
    <x v="9"/>
    <n v="1005"/>
    <x v="58"/>
    <x v="5"/>
    <x v="80"/>
    <n v="3015"/>
    <x v="312"/>
    <n v="4818"/>
    <x v="301"/>
    <s v="BX 16"/>
    <n v="10"/>
    <n v="375"/>
    <x v="1147"/>
    <s v="Annual"/>
    <n v="2"/>
    <n v="1"/>
    <n v="85128"/>
    <n v="170256"/>
  </r>
  <r>
    <x v="0"/>
    <n v="85"/>
    <x v="38"/>
    <x v="9"/>
    <x v="9"/>
    <n v="1005"/>
    <x v="58"/>
    <x v="5"/>
    <x v="80"/>
    <n v="3015"/>
    <x v="312"/>
    <n v="4818"/>
    <x v="301"/>
    <s v="BX 16"/>
    <n v="10"/>
    <n v="375"/>
    <x v="1147"/>
    <s v="Annual"/>
    <n v="1"/>
    <n v="1"/>
    <n v="80124"/>
    <n v="80124"/>
  </r>
  <r>
    <x v="0"/>
    <n v="85"/>
    <x v="38"/>
    <x v="9"/>
    <x v="9"/>
    <n v="1005"/>
    <x v="58"/>
    <x v="5"/>
    <x v="80"/>
    <n v="3015"/>
    <x v="312"/>
    <n v="4818"/>
    <x v="301"/>
    <s v="B 13"/>
    <n v="1"/>
    <n v="308"/>
    <x v="90"/>
    <s v="Annual"/>
    <n v="1"/>
    <n v="1"/>
    <n v="77640"/>
    <n v="77640"/>
  </r>
  <r>
    <x v="0"/>
    <n v="85"/>
    <x v="38"/>
    <x v="9"/>
    <x v="9"/>
    <n v="1005"/>
    <x v="58"/>
    <x v="5"/>
    <x v="80"/>
    <n v="3015"/>
    <x v="312"/>
    <n v="4818"/>
    <x v="301"/>
    <s v="1 00"/>
    <n v="0"/>
    <n v="15"/>
    <x v="37"/>
    <s v="Annual"/>
    <n v="0"/>
    <n v="0"/>
    <n v="32513"/>
    <n v="32513"/>
  </r>
  <r>
    <x v="0"/>
    <n v="85"/>
    <x v="38"/>
    <x v="9"/>
    <x v="9"/>
    <n v="1005"/>
    <x v="58"/>
    <x v="5"/>
    <x v="80"/>
    <n v="3015"/>
    <x v="312"/>
    <n v="4909"/>
    <x v="329"/>
    <s v="I 10"/>
    <n v="2"/>
    <n v="7482"/>
    <x v="284"/>
    <s v="Annual"/>
    <n v="2"/>
    <n v="1"/>
    <n v="82812"/>
    <n v="165624"/>
  </r>
  <r>
    <x v="0"/>
    <n v="85"/>
    <x v="38"/>
    <x v="9"/>
    <x v="9"/>
    <n v="1005"/>
    <x v="58"/>
    <x v="5"/>
    <x v="80"/>
    <n v="3015"/>
    <x v="312"/>
    <n v="4909"/>
    <x v="329"/>
    <s v="BX 13"/>
    <n v="10"/>
    <n v="7052"/>
    <x v="1182"/>
    <s v="Annual"/>
    <n v="1"/>
    <n v="1"/>
    <n v="94332"/>
    <n v="94332"/>
  </r>
  <r>
    <x v="0"/>
    <n v="85"/>
    <x v="38"/>
    <x v="9"/>
    <x v="9"/>
    <n v="1005"/>
    <x v="58"/>
    <x v="5"/>
    <x v="80"/>
    <n v="3015"/>
    <x v="312"/>
    <n v="4909"/>
    <x v="329"/>
    <s v="BX 13"/>
    <n v="10"/>
    <n v="7052"/>
    <x v="1182"/>
    <s v="Annual"/>
    <n v="2"/>
    <n v="1"/>
    <n v="69684"/>
    <n v="139368"/>
  </r>
  <r>
    <x v="0"/>
    <n v="85"/>
    <x v="38"/>
    <x v="9"/>
    <x v="9"/>
    <n v="1005"/>
    <x v="58"/>
    <x v="5"/>
    <x v="80"/>
    <n v="3015"/>
    <x v="312"/>
    <n v="4909"/>
    <x v="329"/>
    <s v="BX 22"/>
    <n v="10"/>
    <n v="7020"/>
    <x v="1135"/>
    <s v="Annual"/>
    <n v="1"/>
    <n v="1"/>
    <n v="136692"/>
    <n v="136692"/>
  </r>
  <r>
    <x v="0"/>
    <n v="85"/>
    <x v="38"/>
    <x v="9"/>
    <x v="9"/>
    <n v="1005"/>
    <x v="58"/>
    <x v="5"/>
    <x v="80"/>
    <n v="3015"/>
    <x v="312"/>
    <n v="4909"/>
    <x v="329"/>
    <s v="BX 14"/>
    <n v="10"/>
    <n v="4201"/>
    <x v="1142"/>
    <s v="Annual"/>
    <n v="1"/>
    <n v="1"/>
    <n v="103488"/>
    <n v="103488"/>
  </r>
  <r>
    <x v="0"/>
    <n v="85"/>
    <x v="38"/>
    <x v="9"/>
    <x v="9"/>
    <n v="1005"/>
    <x v="58"/>
    <x v="5"/>
    <x v="80"/>
    <n v="3015"/>
    <x v="312"/>
    <n v="4909"/>
    <x v="329"/>
    <s v="BX 14"/>
    <n v="10"/>
    <n v="4201"/>
    <x v="1142"/>
    <s v="Annual"/>
    <n v="1"/>
    <n v="1"/>
    <n v="83448"/>
    <n v="83448"/>
  </r>
  <r>
    <x v="0"/>
    <n v="85"/>
    <x v="38"/>
    <x v="9"/>
    <x v="9"/>
    <n v="1005"/>
    <x v="58"/>
    <x v="5"/>
    <x v="80"/>
    <n v="3015"/>
    <x v="312"/>
    <n v="4909"/>
    <x v="329"/>
    <s v="BX 14"/>
    <n v="10"/>
    <n v="4201"/>
    <x v="1142"/>
    <s v="Annual"/>
    <n v="1"/>
    <n v="1"/>
    <n v="76476"/>
    <n v="76476"/>
  </r>
  <r>
    <x v="0"/>
    <n v="85"/>
    <x v="38"/>
    <x v="9"/>
    <x v="9"/>
    <n v="1005"/>
    <x v="58"/>
    <x v="5"/>
    <x v="80"/>
    <n v="3015"/>
    <x v="312"/>
    <n v="4909"/>
    <x v="329"/>
    <s v="BX 14"/>
    <n v="10"/>
    <n v="4201"/>
    <x v="1142"/>
    <s v="Annual"/>
    <n v="1"/>
    <n v="1"/>
    <n v="63504"/>
    <n v="63504"/>
  </r>
  <r>
    <x v="0"/>
    <n v="85"/>
    <x v="38"/>
    <x v="9"/>
    <x v="9"/>
    <n v="1005"/>
    <x v="58"/>
    <x v="5"/>
    <x v="80"/>
    <n v="3015"/>
    <x v="312"/>
    <n v="4909"/>
    <x v="329"/>
    <s v="BX 18"/>
    <n v="10"/>
    <n v="311"/>
    <x v="253"/>
    <s v="Annual"/>
    <n v="1"/>
    <n v="1"/>
    <n v="102444"/>
    <n v="102444"/>
  </r>
  <r>
    <x v="0"/>
    <n v="85"/>
    <x v="38"/>
    <x v="9"/>
    <x v="9"/>
    <n v="1005"/>
    <x v="58"/>
    <x v="5"/>
    <x v="80"/>
    <n v="3015"/>
    <x v="312"/>
    <n v="4909"/>
    <x v="329"/>
    <s v="BX 18"/>
    <n v="10"/>
    <n v="311"/>
    <x v="253"/>
    <s v="Annual"/>
    <n v="1"/>
    <n v="1"/>
    <n v="93384"/>
    <n v="93384"/>
  </r>
  <r>
    <x v="0"/>
    <n v="85"/>
    <x v="38"/>
    <x v="9"/>
    <x v="9"/>
    <n v="1005"/>
    <x v="58"/>
    <x v="5"/>
    <x v="80"/>
    <n v="3015"/>
    <x v="312"/>
    <n v="4909"/>
    <x v="329"/>
    <s v="1 00"/>
    <n v="0"/>
    <n v="15"/>
    <x v="37"/>
    <s v="Annual"/>
    <n v="0"/>
    <n v="0"/>
    <n v="9486"/>
    <n v="9486"/>
  </r>
  <r>
    <x v="0"/>
    <n v="85"/>
    <x v="38"/>
    <x v="9"/>
    <x v="9"/>
    <n v="1005"/>
    <x v="58"/>
    <x v="5"/>
    <x v="80"/>
    <n v="3015"/>
    <x v="312"/>
    <n v="4910"/>
    <x v="330"/>
    <s v="X 42"/>
    <n v="0"/>
    <n v="9681"/>
    <x v="81"/>
    <s v="Annual"/>
    <n v="1"/>
    <n v="1"/>
    <n v="184584"/>
    <n v="184584"/>
  </r>
  <r>
    <x v="0"/>
    <n v="85"/>
    <x v="38"/>
    <x v="9"/>
    <x v="9"/>
    <n v="1005"/>
    <x v="58"/>
    <x v="5"/>
    <x v="80"/>
    <n v="3015"/>
    <x v="312"/>
    <n v="4910"/>
    <x v="330"/>
    <s v="BX 17"/>
    <n v="10"/>
    <n v="7099"/>
    <x v="1152"/>
    <s v="Annual"/>
    <n v="5"/>
    <n v="1"/>
    <n v="103488"/>
    <n v="517440"/>
  </r>
  <r>
    <x v="0"/>
    <n v="85"/>
    <x v="38"/>
    <x v="9"/>
    <x v="9"/>
    <n v="1005"/>
    <x v="58"/>
    <x v="5"/>
    <x v="80"/>
    <n v="3015"/>
    <x v="312"/>
    <n v="4910"/>
    <x v="330"/>
    <s v="BX 17"/>
    <n v="10"/>
    <n v="7099"/>
    <x v="1152"/>
    <s v="Annual"/>
    <n v="1"/>
    <n v="1"/>
    <n v="97836"/>
    <n v="97836"/>
  </r>
  <r>
    <x v="0"/>
    <n v="85"/>
    <x v="38"/>
    <x v="9"/>
    <x v="9"/>
    <n v="1005"/>
    <x v="58"/>
    <x v="5"/>
    <x v="80"/>
    <n v="3015"/>
    <x v="312"/>
    <n v="4910"/>
    <x v="330"/>
    <s v="BX 17"/>
    <n v="10"/>
    <n v="7099"/>
    <x v="1152"/>
    <s v="Annual"/>
    <n v="2"/>
    <n v="1"/>
    <n v="93384"/>
    <n v="186768"/>
  </r>
  <r>
    <x v="0"/>
    <n v="85"/>
    <x v="38"/>
    <x v="9"/>
    <x v="9"/>
    <n v="1005"/>
    <x v="58"/>
    <x v="5"/>
    <x v="80"/>
    <n v="3015"/>
    <x v="312"/>
    <n v="4910"/>
    <x v="330"/>
    <s v="BX 17"/>
    <n v="10"/>
    <n v="7099"/>
    <x v="1152"/>
    <s v="Annual"/>
    <n v="1"/>
    <n v="1"/>
    <n v="89112"/>
    <n v="89112"/>
  </r>
  <r>
    <x v="0"/>
    <n v="85"/>
    <x v="38"/>
    <x v="9"/>
    <x v="9"/>
    <n v="1005"/>
    <x v="58"/>
    <x v="5"/>
    <x v="80"/>
    <n v="3015"/>
    <x v="312"/>
    <n v="4910"/>
    <x v="330"/>
    <s v="BX 17"/>
    <n v="10"/>
    <n v="7099"/>
    <x v="1152"/>
    <s v="Annual"/>
    <n v="1"/>
    <n v="1"/>
    <n v="83052"/>
    <n v="83052"/>
  </r>
  <r>
    <x v="0"/>
    <n v="85"/>
    <x v="38"/>
    <x v="9"/>
    <x v="9"/>
    <n v="1005"/>
    <x v="58"/>
    <x v="5"/>
    <x v="80"/>
    <n v="3015"/>
    <x v="312"/>
    <n v="4910"/>
    <x v="330"/>
    <s v="BX 17"/>
    <n v="10"/>
    <n v="7027"/>
    <x v="1174"/>
    <s v="Annual"/>
    <n v="1"/>
    <n v="1"/>
    <n v="136692"/>
    <n v="136692"/>
  </r>
  <r>
    <x v="0"/>
    <n v="85"/>
    <x v="38"/>
    <x v="9"/>
    <x v="9"/>
    <n v="1005"/>
    <x v="58"/>
    <x v="5"/>
    <x v="80"/>
    <n v="3015"/>
    <x v="312"/>
    <n v="4910"/>
    <x v="330"/>
    <s v="BX 22"/>
    <n v="10"/>
    <n v="7023"/>
    <x v="1183"/>
    <s v="Annual"/>
    <n v="1"/>
    <n v="1"/>
    <n v="143232"/>
    <n v="143232"/>
  </r>
  <r>
    <x v="0"/>
    <n v="85"/>
    <x v="38"/>
    <x v="9"/>
    <x v="9"/>
    <n v="1005"/>
    <x v="58"/>
    <x v="5"/>
    <x v="80"/>
    <n v="3015"/>
    <x v="312"/>
    <n v="4910"/>
    <x v="330"/>
    <s v="BX 22"/>
    <n v="10"/>
    <n v="7020"/>
    <x v="1135"/>
    <s v="Annual"/>
    <n v="1"/>
    <n v="1"/>
    <n v="136692"/>
    <n v="136692"/>
  </r>
  <r>
    <x v="0"/>
    <n v="85"/>
    <x v="38"/>
    <x v="9"/>
    <x v="9"/>
    <n v="1005"/>
    <x v="58"/>
    <x v="5"/>
    <x v="80"/>
    <n v="3015"/>
    <x v="312"/>
    <n v="4910"/>
    <x v="330"/>
    <s v="X 43"/>
    <n v="0"/>
    <s v="03A2"/>
    <x v="220"/>
    <s v="Annual"/>
    <n v="1"/>
    <n v="1"/>
    <n v="160680"/>
    <n v="160680"/>
  </r>
  <r>
    <x v="0"/>
    <n v="85"/>
    <x v="38"/>
    <x v="9"/>
    <x v="9"/>
    <n v="1005"/>
    <x v="58"/>
    <x v="5"/>
    <x v="80"/>
    <n v="3015"/>
    <x v="312"/>
    <n v="4910"/>
    <x v="330"/>
    <s v="BX 18"/>
    <n v="10"/>
    <n v="310"/>
    <x v="135"/>
    <s v="Annual"/>
    <n v="1"/>
    <n v="1"/>
    <n v="113568"/>
    <n v="113568"/>
  </r>
  <r>
    <x v="0"/>
    <n v="85"/>
    <x v="38"/>
    <x v="9"/>
    <x v="9"/>
    <n v="1005"/>
    <x v="58"/>
    <x v="5"/>
    <x v="80"/>
    <n v="3015"/>
    <x v="312"/>
    <n v="4910"/>
    <x v="330"/>
    <s v="B 13"/>
    <n v="1"/>
    <n v="308"/>
    <x v="90"/>
    <s v="Annual"/>
    <n v="1"/>
    <n v="1"/>
    <n v="70752"/>
    <n v="70752"/>
  </r>
  <r>
    <x v="0"/>
    <n v="85"/>
    <x v="38"/>
    <x v="9"/>
    <x v="9"/>
    <n v="1005"/>
    <x v="58"/>
    <x v="5"/>
    <x v="80"/>
    <n v="3015"/>
    <x v="312"/>
    <n v="4910"/>
    <x v="330"/>
    <s v="1 00"/>
    <n v="0"/>
    <n v="15"/>
    <x v="37"/>
    <s v="Annual"/>
    <n v="0"/>
    <n v="0"/>
    <n v="27517"/>
    <n v="27517"/>
  </r>
  <r>
    <x v="0"/>
    <n v="85"/>
    <x v="38"/>
    <x v="9"/>
    <x v="9"/>
    <n v="1005"/>
    <x v="58"/>
    <x v="5"/>
    <x v="80"/>
    <n v="3015"/>
    <x v="312"/>
    <n v="4912"/>
    <x v="331"/>
    <s v="X 42"/>
    <n v="0"/>
    <n v="9681"/>
    <x v="81"/>
    <s v="Annual"/>
    <n v="1"/>
    <n v="1"/>
    <n v="184584"/>
    <n v="184584"/>
  </r>
  <r>
    <x v="0"/>
    <n v="85"/>
    <x v="38"/>
    <x v="9"/>
    <x v="9"/>
    <n v="1005"/>
    <x v="58"/>
    <x v="5"/>
    <x v="80"/>
    <n v="3015"/>
    <x v="312"/>
    <n v="4912"/>
    <x v="331"/>
    <s v="B 15"/>
    <n v="1"/>
    <n v="1572"/>
    <x v="95"/>
    <s v="Annual"/>
    <n v="1"/>
    <n v="1"/>
    <n v="143400"/>
    <n v="143400"/>
  </r>
  <r>
    <x v="0"/>
    <n v="85"/>
    <x v="38"/>
    <x v="9"/>
    <x v="9"/>
    <n v="1005"/>
    <x v="58"/>
    <x v="5"/>
    <x v="80"/>
    <n v="3015"/>
    <x v="312"/>
    <n v="4912"/>
    <x v="331"/>
    <s v="B 15"/>
    <n v="1"/>
    <n v="1572"/>
    <x v="95"/>
    <s v="Annual"/>
    <n v="1"/>
    <n v="1"/>
    <n v="130668"/>
    <n v="130668"/>
  </r>
  <r>
    <x v="0"/>
    <n v="85"/>
    <x v="38"/>
    <x v="9"/>
    <x v="9"/>
    <n v="1005"/>
    <x v="58"/>
    <x v="5"/>
    <x v="80"/>
    <n v="3015"/>
    <x v="312"/>
    <n v="4912"/>
    <x v="331"/>
    <s v="B 15"/>
    <n v="1"/>
    <n v="1572"/>
    <x v="95"/>
    <s v="Annual"/>
    <n v="1"/>
    <n v="1"/>
    <n v="85200"/>
    <n v="85200"/>
  </r>
  <r>
    <x v="0"/>
    <n v="85"/>
    <x v="38"/>
    <x v="9"/>
    <x v="9"/>
    <n v="1005"/>
    <x v="58"/>
    <x v="5"/>
    <x v="80"/>
    <n v="3015"/>
    <x v="312"/>
    <n v="4912"/>
    <x v="331"/>
    <s v="X 43"/>
    <n v="9"/>
    <n v="1197"/>
    <x v="405"/>
    <s v="Annual"/>
    <n v="1"/>
    <n v="1"/>
    <n v="160680"/>
    <n v="160680"/>
  </r>
  <r>
    <x v="0"/>
    <n v="85"/>
    <x v="38"/>
    <x v="9"/>
    <x v="9"/>
    <n v="1005"/>
    <x v="58"/>
    <x v="5"/>
    <x v="80"/>
    <n v="3015"/>
    <x v="312"/>
    <n v="4912"/>
    <x v="331"/>
    <s v="X 43"/>
    <n v="0"/>
    <s v="03A2"/>
    <x v="220"/>
    <s v="Annual"/>
    <n v="3"/>
    <n v="1"/>
    <n v="160680"/>
    <n v="482040"/>
  </r>
  <r>
    <x v="0"/>
    <n v="85"/>
    <x v="38"/>
    <x v="9"/>
    <x v="9"/>
    <n v="1005"/>
    <x v="58"/>
    <x v="5"/>
    <x v="80"/>
    <n v="3015"/>
    <x v="312"/>
    <n v="4912"/>
    <x v="331"/>
    <s v="BX 14"/>
    <n v="20"/>
    <n v="318"/>
    <x v="389"/>
    <s v="Annual"/>
    <n v="1"/>
    <n v="1"/>
    <n v="103488"/>
    <n v="103488"/>
  </r>
  <r>
    <x v="0"/>
    <n v="85"/>
    <x v="38"/>
    <x v="9"/>
    <x v="9"/>
    <n v="1005"/>
    <x v="58"/>
    <x v="5"/>
    <x v="80"/>
    <n v="3015"/>
    <x v="312"/>
    <n v="4912"/>
    <x v="331"/>
    <s v="BX 18"/>
    <n v="10"/>
    <n v="310"/>
    <x v="135"/>
    <s v="Annual"/>
    <n v="3"/>
    <n v="1"/>
    <n v="118956"/>
    <n v="356868"/>
  </r>
  <r>
    <x v="0"/>
    <n v="85"/>
    <x v="38"/>
    <x v="9"/>
    <x v="9"/>
    <n v="1005"/>
    <x v="58"/>
    <x v="5"/>
    <x v="80"/>
    <n v="3015"/>
    <x v="312"/>
    <n v="4912"/>
    <x v="331"/>
    <s v="BX 18"/>
    <n v="10"/>
    <n v="310"/>
    <x v="135"/>
    <s v="Annual"/>
    <n v="3"/>
    <n v="1"/>
    <n v="113568"/>
    <n v="340704"/>
  </r>
  <r>
    <x v="0"/>
    <n v="85"/>
    <x v="38"/>
    <x v="9"/>
    <x v="9"/>
    <n v="1005"/>
    <x v="58"/>
    <x v="5"/>
    <x v="80"/>
    <n v="3015"/>
    <x v="312"/>
    <n v="4912"/>
    <x v="331"/>
    <s v="BX 18"/>
    <n v="10"/>
    <n v="310"/>
    <x v="135"/>
    <s v="Annual"/>
    <n v="5"/>
    <n v="1"/>
    <n v="89112"/>
    <n v="445560"/>
  </r>
  <r>
    <x v="0"/>
    <n v="85"/>
    <x v="38"/>
    <x v="9"/>
    <x v="9"/>
    <n v="1005"/>
    <x v="58"/>
    <x v="5"/>
    <x v="80"/>
    <n v="3015"/>
    <x v="312"/>
    <n v="4912"/>
    <x v="331"/>
    <s v="B 13"/>
    <n v="1"/>
    <n v="308"/>
    <x v="90"/>
    <s v="Annual"/>
    <n v="1"/>
    <n v="1"/>
    <n v="108576"/>
    <n v="108576"/>
  </r>
  <r>
    <x v="0"/>
    <n v="85"/>
    <x v="38"/>
    <x v="9"/>
    <x v="9"/>
    <n v="1005"/>
    <x v="58"/>
    <x v="5"/>
    <x v="80"/>
    <n v="3015"/>
    <x v="312"/>
    <n v="4912"/>
    <x v="331"/>
    <s v="1 00"/>
    <n v="0"/>
    <n v="15"/>
    <x v="37"/>
    <s v="Annual"/>
    <n v="0"/>
    <n v="0"/>
    <n v="35908"/>
    <n v="35908"/>
  </r>
  <r>
    <x v="0"/>
    <n v="85"/>
    <x v="38"/>
    <x v="9"/>
    <x v="9"/>
    <n v="1005"/>
    <x v="58"/>
    <x v="5"/>
    <x v="80"/>
    <n v="3015"/>
    <x v="312"/>
    <n v="4913"/>
    <x v="332"/>
    <s v="GY 11"/>
    <n v="20"/>
    <n v="6055"/>
    <x v="1184"/>
    <s v="Annual"/>
    <n v="1"/>
    <n v="1"/>
    <n v="126756"/>
    <n v="126756"/>
  </r>
  <r>
    <x v="0"/>
    <n v="85"/>
    <x v="38"/>
    <x v="9"/>
    <x v="9"/>
    <n v="1005"/>
    <x v="58"/>
    <x v="5"/>
    <x v="80"/>
    <n v="3015"/>
    <x v="312"/>
    <n v="4913"/>
    <x v="332"/>
    <s v="G 08"/>
    <n v="4"/>
    <n v="6054"/>
    <x v="942"/>
    <s v="Annual"/>
    <n v="1"/>
    <n v="1"/>
    <n v="99408"/>
    <n v="99408"/>
  </r>
  <r>
    <x v="0"/>
    <n v="85"/>
    <x v="38"/>
    <x v="9"/>
    <x v="9"/>
    <n v="1005"/>
    <x v="58"/>
    <x v="5"/>
    <x v="80"/>
    <n v="3015"/>
    <x v="312"/>
    <n v="4913"/>
    <x v="332"/>
    <s v="G 08"/>
    <n v="4"/>
    <n v="5814"/>
    <x v="967"/>
    <s v="Annual"/>
    <n v="1"/>
    <n v="1"/>
    <n v="141564"/>
    <n v="141564"/>
  </r>
  <r>
    <x v="0"/>
    <n v="85"/>
    <x v="38"/>
    <x v="9"/>
    <x v="9"/>
    <n v="1005"/>
    <x v="58"/>
    <x v="5"/>
    <x v="80"/>
    <n v="3015"/>
    <x v="312"/>
    <n v="4913"/>
    <x v="332"/>
    <s v="G 08"/>
    <n v="4"/>
    <n v="5814"/>
    <x v="967"/>
    <s v="Annual"/>
    <n v="1"/>
    <n v="1"/>
    <n v="128316"/>
    <n v="128316"/>
  </r>
  <r>
    <x v="0"/>
    <n v="85"/>
    <x v="38"/>
    <x v="9"/>
    <x v="9"/>
    <n v="1005"/>
    <x v="58"/>
    <x v="5"/>
    <x v="80"/>
    <n v="3015"/>
    <x v="312"/>
    <n v="4913"/>
    <x v="332"/>
    <s v="GY 12"/>
    <n v="20"/>
    <n v="5630"/>
    <x v="421"/>
    <s v="Annual"/>
    <n v="1"/>
    <n v="1"/>
    <n v="126756"/>
    <n v="126756"/>
  </r>
  <r>
    <x v="0"/>
    <n v="85"/>
    <x v="38"/>
    <x v="9"/>
    <x v="9"/>
    <n v="1005"/>
    <x v="58"/>
    <x v="5"/>
    <x v="80"/>
    <n v="3015"/>
    <x v="312"/>
    <n v="4913"/>
    <x v="332"/>
    <s v="GY 12"/>
    <n v="20"/>
    <n v="5630"/>
    <x v="421"/>
    <s v="Annual"/>
    <n v="1"/>
    <n v="1"/>
    <n v="115992"/>
    <n v="115992"/>
  </r>
  <r>
    <x v="0"/>
    <n v="85"/>
    <x v="38"/>
    <x v="9"/>
    <x v="9"/>
    <n v="1005"/>
    <x v="58"/>
    <x v="5"/>
    <x v="80"/>
    <n v="3015"/>
    <x v="312"/>
    <n v="4913"/>
    <x v="332"/>
    <s v="G 08"/>
    <n v="4"/>
    <n v="5620"/>
    <x v="810"/>
    <s v="Annual"/>
    <n v="1"/>
    <n v="1"/>
    <n v="128316"/>
    <n v="128316"/>
  </r>
  <r>
    <x v="0"/>
    <n v="85"/>
    <x v="38"/>
    <x v="9"/>
    <x v="9"/>
    <n v="1005"/>
    <x v="58"/>
    <x v="5"/>
    <x v="80"/>
    <n v="3015"/>
    <x v="312"/>
    <n v="4913"/>
    <x v="332"/>
    <s v="G 08"/>
    <n v="4"/>
    <n v="5620"/>
    <x v="810"/>
    <s v="Annual"/>
    <n v="1"/>
    <n v="1"/>
    <n v="107628"/>
    <n v="107628"/>
  </r>
  <r>
    <x v="0"/>
    <n v="85"/>
    <x v="38"/>
    <x v="9"/>
    <x v="9"/>
    <n v="1005"/>
    <x v="58"/>
    <x v="5"/>
    <x v="80"/>
    <n v="3015"/>
    <x v="312"/>
    <n v="4913"/>
    <x v="332"/>
    <s v="G 08"/>
    <n v="4"/>
    <n v="5614"/>
    <x v="904"/>
    <s v="Annual"/>
    <n v="1"/>
    <n v="1"/>
    <n v="134184"/>
    <n v="134184"/>
  </r>
  <r>
    <x v="0"/>
    <n v="85"/>
    <x v="38"/>
    <x v="9"/>
    <x v="9"/>
    <n v="1005"/>
    <x v="58"/>
    <x v="5"/>
    <x v="80"/>
    <n v="3015"/>
    <x v="312"/>
    <n v="4913"/>
    <x v="332"/>
    <s v="G 08"/>
    <n v="4"/>
    <n v="5614"/>
    <x v="904"/>
    <s v="Annual"/>
    <n v="2"/>
    <n v="1"/>
    <n v="128316"/>
    <n v="256632"/>
  </r>
  <r>
    <x v="0"/>
    <n v="85"/>
    <x v="38"/>
    <x v="9"/>
    <x v="9"/>
    <n v="1005"/>
    <x v="58"/>
    <x v="5"/>
    <x v="80"/>
    <n v="3015"/>
    <x v="312"/>
    <n v="4913"/>
    <x v="332"/>
    <s v="G 08"/>
    <n v="4"/>
    <n v="5614"/>
    <x v="904"/>
    <s v="Annual"/>
    <n v="1"/>
    <n v="1"/>
    <n v="112536"/>
    <n v="112536"/>
  </r>
  <r>
    <x v="0"/>
    <n v="85"/>
    <x v="38"/>
    <x v="9"/>
    <x v="9"/>
    <n v="1005"/>
    <x v="58"/>
    <x v="5"/>
    <x v="80"/>
    <n v="3015"/>
    <x v="312"/>
    <n v="4913"/>
    <x v="332"/>
    <s v="G 08"/>
    <n v="4"/>
    <n v="5614"/>
    <x v="904"/>
    <s v="Annual"/>
    <n v="1"/>
    <n v="1"/>
    <n v="99408"/>
    <n v="99408"/>
  </r>
  <r>
    <x v="0"/>
    <n v="85"/>
    <x v="38"/>
    <x v="9"/>
    <x v="9"/>
    <n v="1005"/>
    <x v="58"/>
    <x v="5"/>
    <x v="80"/>
    <n v="3015"/>
    <x v="312"/>
    <n v="4913"/>
    <x v="332"/>
    <s v="G 07"/>
    <n v="4"/>
    <n v="5613"/>
    <x v="898"/>
    <s v="Annual"/>
    <n v="1"/>
    <n v="1"/>
    <n v="107628"/>
    <n v="107628"/>
  </r>
  <r>
    <x v="0"/>
    <n v="85"/>
    <x v="38"/>
    <x v="9"/>
    <x v="9"/>
    <n v="1005"/>
    <x v="58"/>
    <x v="5"/>
    <x v="80"/>
    <n v="3015"/>
    <x v="312"/>
    <n v="4913"/>
    <x v="332"/>
    <s v="GY 12"/>
    <n v="20"/>
    <n v="5410"/>
    <x v="422"/>
    <s v="Annual"/>
    <n v="2"/>
    <n v="1"/>
    <n v="126756"/>
    <n v="253512"/>
  </r>
  <r>
    <x v="0"/>
    <n v="85"/>
    <x v="38"/>
    <x v="9"/>
    <x v="9"/>
    <n v="1005"/>
    <x v="58"/>
    <x v="5"/>
    <x v="80"/>
    <n v="3015"/>
    <x v="312"/>
    <n v="4913"/>
    <x v="332"/>
    <s v="G 08"/>
    <n v="4"/>
    <n v="5404"/>
    <x v="592"/>
    <s v="Annual"/>
    <n v="1"/>
    <n v="1"/>
    <n v="122928"/>
    <n v="122928"/>
  </r>
  <r>
    <x v="0"/>
    <n v="85"/>
    <x v="38"/>
    <x v="9"/>
    <x v="9"/>
    <n v="1005"/>
    <x v="58"/>
    <x v="5"/>
    <x v="80"/>
    <n v="3015"/>
    <x v="312"/>
    <n v="4913"/>
    <x v="332"/>
    <s v="G 08"/>
    <n v="4"/>
    <n v="5404"/>
    <x v="592"/>
    <s v="Annual"/>
    <n v="1"/>
    <n v="1"/>
    <n v="107628"/>
    <n v="107628"/>
  </r>
  <r>
    <x v="0"/>
    <n v="85"/>
    <x v="38"/>
    <x v="9"/>
    <x v="9"/>
    <n v="1005"/>
    <x v="58"/>
    <x v="5"/>
    <x v="80"/>
    <n v="3015"/>
    <x v="312"/>
    <n v="4913"/>
    <x v="332"/>
    <s v="G 08"/>
    <n v="4"/>
    <n v="5404"/>
    <x v="592"/>
    <s v="Annual"/>
    <n v="1"/>
    <n v="1"/>
    <n v="99408"/>
    <n v="99408"/>
  </r>
  <r>
    <x v="0"/>
    <n v="85"/>
    <x v="38"/>
    <x v="9"/>
    <x v="9"/>
    <n v="1005"/>
    <x v="58"/>
    <x v="5"/>
    <x v="80"/>
    <n v="3015"/>
    <x v="312"/>
    <n v="4913"/>
    <x v="332"/>
    <s v="G 07"/>
    <n v="4"/>
    <n v="5403"/>
    <x v="1185"/>
    <s v="Annual"/>
    <n v="2"/>
    <n v="1"/>
    <n v="102516"/>
    <n v="205032"/>
  </r>
  <r>
    <x v="0"/>
    <n v="85"/>
    <x v="38"/>
    <x v="9"/>
    <x v="9"/>
    <n v="1005"/>
    <x v="58"/>
    <x v="5"/>
    <x v="80"/>
    <n v="3015"/>
    <x v="312"/>
    <n v="4913"/>
    <x v="332"/>
    <s v="X 43"/>
    <n v="0"/>
    <s v="03A2"/>
    <x v="220"/>
    <s v="Annual"/>
    <n v="2"/>
    <n v="1"/>
    <n v="160680"/>
    <n v="321360"/>
  </r>
  <r>
    <x v="0"/>
    <n v="85"/>
    <x v="38"/>
    <x v="9"/>
    <x v="9"/>
    <n v="1005"/>
    <x v="58"/>
    <x v="5"/>
    <x v="80"/>
    <n v="3015"/>
    <x v="312"/>
    <n v="4913"/>
    <x v="332"/>
    <s v="BX 18"/>
    <n v="10"/>
    <n v="310"/>
    <x v="135"/>
    <s v="Annual"/>
    <n v="2"/>
    <n v="1"/>
    <n v="89112"/>
    <n v="178224"/>
  </r>
  <r>
    <x v="0"/>
    <n v="85"/>
    <x v="38"/>
    <x v="9"/>
    <x v="9"/>
    <n v="1005"/>
    <x v="58"/>
    <x v="5"/>
    <x v="80"/>
    <n v="3015"/>
    <x v="312"/>
    <n v="4913"/>
    <x v="332"/>
    <s v="1 00"/>
    <n v="0"/>
    <n v="15"/>
    <x v="37"/>
    <s v="Annual"/>
    <n v="0"/>
    <n v="0"/>
    <n v="41702"/>
    <n v="41702"/>
  </r>
  <r>
    <x v="0"/>
    <n v="85"/>
    <x v="38"/>
    <x v="9"/>
    <x v="9"/>
    <n v="1005"/>
    <x v="58"/>
    <x v="5"/>
    <x v="80"/>
    <n v="3015"/>
    <x v="312"/>
    <n v="4914"/>
    <x v="333"/>
    <s v="B 14"/>
    <n v="1"/>
    <n v="6144"/>
    <x v="729"/>
    <s v="Annual"/>
    <n v="1"/>
    <n v="1"/>
    <n v="75336"/>
    <n v="75336"/>
  </r>
  <r>
    <x v="0"/>
    <n v="85"/>
    <x v="38"/>
    <x v="9"/>
    <x v="9"/>
    <n v="1005"/>
    <x v="58"/>
    <x v="5"/>
    <x v="80"/>
    <n v="3015"/>
    <x v="312"/>
    <n v="4914"/>
    <x v="333"/>
    <s v="G 08"/>
    <n v="4"/>
    <n v="2073"/>
    <x v="469"/>
    <s v="Annual"/>
    <n v="1"/>
    <n v="1"/>
    <n v="99408"/>
    <n v="99408"/>
  </r>
  <r>
    <x v="0"/>
    <n v="85"/>
    <x v="38"/>
    <x v="9"/>
    <x v="9"/>
    <n v="1005"/>
    <x v="58"/>
    <x v="5"/>
    <x v="80"/>
    <n v="3015"/>
    <x v="312"/>
    <n v="4914"/>
    <x v="333"/>
    <s v="BX 18"/>
    <n v="10"/>
    <n v="310"/>
    <x v="135"/>
    <s v="Annual"/>
    <n v="1"/>
    <n v="1"/>
    <n v="89112"/>
    <n v="89112"/>
  </r>
  <r>
    <x v="0"/>
    <n v="85"/>
    <x v="38"/>
    <x v="9"/>
    <x v="9"/>
    <n v="1005"/>
    <x v="58"/>
    <x v="5"/>
    <x v="80"/>
    <n v="3015"/>
    <x v="312"/>
    <n v="4914"/>
    <x v="333"/>
    <s v="1 00"/>
    <n v="0"/>
    <n v="15"/>
    <x v="37"/>
    <s v="Annual"/>
    <n v="0"/>
    <n v="0"/>
    <n v="2136"/>
    <n v="2136"/>
  </r>
  <r>
    <x v="0"/>
    <n v="85"/>
    <x v="38"/>
    <x v="9"/>
    <x v="9"/>
    <n v="1005"/>
    <x v="58"/>
    <x v="5"/>
    <x v="80"/>
    <n v="3015"/>
    <x v="312"/>
    <n v="4915"/>
    <x v="334"/>
    <s v="X 43"/>
    <n v="0"/>
    <s v="03A2"/>
    <x v="220"/>
    <s v="Annual"/>
    <n v="1"/>
    <n v="1"/>
    <n v="160680"/>
    <n v="160680"/>
  </r>
  <r>
    <x v="0"/>
    <n v="85"/>
    <x v="38"/>
    <x v="9"/>
    <x v="9"/>
    <n v="1005"/>
    <x v="58"/>
    <x v="5"/>
    <x v="80"/>
    <n v="3015"/>
    <x v="312"/>
    <n v="4915"/>
    <x v="334"/>
    <s v="BX 18"/>
    <n v="10"/>
    <n v="311"/>
    <x v="253"/>
    <s v="Annual"/>
    <n v="1"/>
    <n v="1"/>
    <n v="89112"/>
    <n v="89112"/>
  </r>
  <r>
    <x v="0"/>
    <n v="85"/>
    <x v="38"/>
    <x v="9"/>
    <x v="9"/>
    <n v="1005"/>
    <x v="58"/>
    <x v="5"/>
    <x v="80"/>
    <n v="3015"/>
    <x v="312"/>
    <n v="4915"/>
    <x v="334"/>
    <s v="BX 18"/>
    <n v="10"/>
    <n v="310"/>
    <x v="135"/>
    <s v="Annual"/>
    <n v="1"/>
    <n v="1"/>
    <n v="93384"/>
    <n v="93384"/>
  </r>
  <r>
    <x v="0"/>
    <n v="85"/>
    <x v="38"/>
    <x v="9"/>
    <x v="9"/>
    <n v="1005"/>
    <x v="58"/>
    <x v="5"/>
    <x v="80"/>
    <n v="3015"/>
    <x v="312"/>
    <n v="4915"/>
    <x v="334"/>
    <s v="BX 18"/>
    <n v="10"/>
    <n v="310"/>
    <x v="135"/>
    <s v="Annual"/>
    <n v="1"/>
    <n v="1"/>
    <n v="89112"/>
    <n v="89112"/>
  </r>
  <r>
    <x v="0"/>
    <n v="85"/>
    <x v="38"/>
    <x v="9"/>
    <x v="9"/>
    <n v="1005"/>
    <x v="58"/>
    <x v="5"/>
    <x v="80"/>
    <n v="3015"/>
    <x v="312"/>
    <n v="4915"/>
    <x v="334"/>
    <s v="1 00"/>
    <n v="0"/>
    <n v="15"/>
    <x v="37"/>
    <s v="Annual"/>
    <n v="0"/>
    <n v="0"/>
    <n v="7530"/>
    <n v="7530"/>
  </r>
  <r>
    <x v="0"/>
    <n v="85"/>
    <x v="38"/>
    <x v="9"/>
    <x v="9"/>
    <n v="1005"/>
    <x v="58"/>
    <x v="5"/>
    <x v="80"/>
    <n v="3015"/>
    <x v="312"/>
    <n v="4916"/>
    <x v="335"/>
    <s v="X 42"/>
    <n v="0"/>
    <n v="9681"/>
    <x v="81"/>
    <s v="Annual"/>
    <n v="1"/>
    <n v="1"/>
    <n v="184584"/>
    <n v="184584"/>
  </r>
  <r>
    <x v="0"/>
    <n v="85"/>
    <x v="38"/>
    <x v="9"/>
    <x v="9"/>
    <n v="1005"/>
    <x v="58"/>
    <x v="5"/>
    <x v="80"/>
    <n v="3015"/>
    <x v="312"/>
    <n v="4916"/>
    <x v="335"/>
    <s v="G 08"/>
    <n v="4"/>
    <n v="2073"/>
    <x v="469"/>
    <s v="Annual"/>
    <n v="1"/>
    <n v="1"/>
    <n v="122928"/>
    <n v="122928"/>
  </r>
  <r>
    <x v="0"/>
    <n v="85"/>
    <x v="38"/>
    <x v="9"/>
    <x v="9"/>
    <n v="1005"/>
    <x v="58"/>
    <x v="5"/>
    <x v="80"/>
    <n v="3015"/>
    <x v="312"/>
    <n v="4916"/>
    <x v="335"/>
    <s v="G 08"/>
    <n v="4"/>
    <n v="2073"/>
    <x v="469"/>
    <s v="Annual"/>
    <n v="2"/>
    <n v="1"/>
    <n v="112536"/>
    <n v="225072"/>
  </r>
  <r>
    <x v="0"/>
    <n v="85"/>
    <x v="38"/>
    <x v="9"/>
    <x v="9"/>
    <n v="1005"/>
    <x v="58"/>
    <x v="5"/>
    <x v="80"/>
    <n v="3015"/>
    <x v="312"/>
    <n v="4916"/>
    <x v="335"/>
    <s v="G 08"/>
    <n v="4"/>
    <n v="2073"/>
    <x v="469"/>
    <s v="Annual"/>
    <n v="1"/>
    <n v="1"/>
    <n v="99408"/>
    <n v="99408"/>
  </r>
  <r>
    <x v="0"/>
    <n v="85"/>
    <x v="38"/>
    <x v="9"/>
    <x v="9"/>
    <n v="1005"/>
    <x v="58"/>
    <x v="5"/>
    <x v="80"/>
    <n v="3015"/>
    <x v="312"/>
    <n v="4916"/>
    <x v="335"/>
    <s v="X 43"/>
    <n v="0"/>
    <s v="03A2"/>
    <x v="220"/>
    <s v="Annual"/>
    <n v="1"/>
    <n v="1"/>
    <n v="150768"/>
    <n v="150768"/>
  </r>
  <r>
    <x v="0"/>
    <n v="85"/>
    <x v="38"/>
    <x v="9"/>
    <x v="9"/>
    <n v="1005"/>
    <x v="58"/>
    <x v="5"/>
    <x v="80"/>
    <n v="3015"/>
    <x v="312"/>
    <n v="4916"/>
    <x v="335"/>
    <s v="B 13"/>
    <n v="1"/>
    <n v="308"/>
    <x v="90"/>
    <s v="Annual"/>
    <n v="1"/>
    <n v="1"/>
    <n v="77640"/>
    <n v="77640"/>
  </r>
  <r>
    <x v="0"/>
    <n v="85"/>
    <x v="38"/>
    <x v="9"/>
    <x v="9"/>
    <n v="1005"/>
    <x v="58"/>
    <x v="5"/>
    <x v="80"/>
    <n v="3015"/>
    <x v="312"/>
    <n v="4916"/>
    <x v="335"/>
    <s v="1 00"/>
    <n v="0"/>
    <n v="15"/>
    <x v="37"/>
    <s v="Annual"/>
    <n v="0"/>
    <n v="0"/>
    <n v="22380"/>
    <n v="22380"/>
  </r>
  <r>
    <x v="0"/>
    <n v="85"/>
    <x v="38"/>
    <x v="9"/>
    <x v="9"/>
    <n v="1005"/>
    <x v="58"/>
    <x v="5"/>
    <x v="80"/>
    <n v="3015"/>
    <x v="312"/>
    <n v="4917"/>
    <x v="336"/>
    <s v="GY 12"/>
    <n v="0"/>
    <s v="06A2"/>
    <x v="1186"/>
    <s v="Annual"/>
    <n v="1"/>
    <n v="1"/>
    <n v="115992"/>
    <n v="115992"/>
  </r>
  <r>
    <x v="0"/>
    <n v="85"/>
    <x v="38"/>
    <x v="9"/>
    <x v="9"/>
    <n v="1005"/>
    <x v="58"/>
    <x v="5"/>
    <x v="80"/>
    <n v="3015"/>
    <x v="312"/>
    <n v="4917"/>
    <x v="336"/>
    <s v="G 09"/>
    <n v="4"/>
    <n v="624"/>
    <x v="1187"/>
    <s v="Annual"/>
    <n v="2"/>
    <n v="1"/>
    <n v="134184"/>
    <n v="268368"/>
  </r>
  <r>
    <x v="0"/>
    <n v="85"/>
    <x v="38"/>
    <x v="9"/>
    <x v="9"/>
    <n v="1005"/>
    <x v="58"/>
    <x v="5"/>
    <x v="80"/>
    <n v="3015"/>
    <x v="312"/>
    <n v="4917"/>
    <x v="336"/>
    <s v="G 09"/>
    <n v="4"/>
    <n v="624"/>
    <x v="1187"/>
    <s v="Annual"/>
    <n v="1"/>
    <n v="1"/>
    <n v="128316"/>
    <n v="128316"/>
  </r>
  <r>
    <x v="0"/>
    <n v="85"/>
    <x v="38"/>
    <x v="9"/>
    <x v="9"/>
    <n v="1005"/>
    <x v="58"/>
    <x v="5"/>
    <x v="80"/>
    <n v="3015"/>
    <x v="312"/>
    <n v="4917"/>
    <x v="336"/>
    <s v="B 14"/>
    <n v="4"/>
    <n v="620"/>
    <x v="1104"/>
    <s v="Annual"/>
    <n v="1"/>
    <n v="1"/>
    <n v="75336"/>
    <n v="75336"/>
  </r>
  <r>
    <x v="0"/>
    <n v="85"/>
    <x v="38"/>
    <x v="9"/>
    <x v="9"/>
    <n v="1005"/>
    <x v="58"/>
    <x v="5"/>
    <x v="80"/>
    <n v="3015"/>
    <x v="312"/>
    <n v="4917"/>
    <x v="336"/>
    <s v="X 43"/>
    <n v="0"/>
    <s v="03A2"/>
    <x v="220"/>
    <s v="Annual"/>
    <n v="1"/>
    <n v="1"/>
    <n v="133836"/>
    <n v="133836"/>
  </r>
  <r>
    <x v="0"/>
    <n v="85"/>
    <x v="38"/>
    <x v="9"/>
    <x v="9"/>
    <n v="1005"/>
    <x v="58"/>
    <x v="5"/>
    <x v="80"/>
    <n v="3015"/>
    <x v="312"/>
    <n v="4917"/>
    <x v="336"/>
    <s v="BX 18"/>
    <n v="10"/>
    <n v="310"/>
    <x v="135"/>
    <s v="Annual"/>
    <n v="1"/>
    <n v="1"/>
    <n v="118956"/>
    <n v="118956"/>
  </r>
  <r>
    <x v="0"/>
    <n v="85"/>
    <x v="38"/>
    <x v="9"/>
    <x v="9"/>
    <n v="1005"/>
    <x v="58"/>
    <x v="5"/>
    <x v="80"/>
    <n v="3015"/>
    <x v="312"/>
    <n v="4917"/>
    <x v="336"/>
    <s v="BX 18"/>
    <n v="10"/>
    <n v="310"/>
    <x v="135"/>
    <s v="Annual"/>
    <n v="1"/>
    <n v="1"/>
    <n v="102444"/>
    <n v="102444"/>
  </r>
  <r>
    <x v="0"/>
    <n v="85"/>
    <x v="38"/>
    <x v="9"/>
    <x v="9"/>
    <n v="1005"/>
    <x v="58"/>
    <x v="5"/>
    <x v="80"/>
    <n v="3015"/>
    <x v="312"/>
    <n v="4917"/>
    <x v="336"/>
    <s v="1 00"/>
    <n v="0"/>
    <n v="15"/>
    <x v="37"/>
    <s v="Annual"/>
    <n v="0"/>
    <n v="0"/>
    <n v="19497"/>
    <n v="19497"/>
  </r>
  <r>
    <x v="0"/>
    <n v="85"/>
    <x v="38"/>
    <x v="9"/>
    <x v="9"/>
    <n v="1005"/>
    <x v="58"/>
    <x v="5"/>
    <x v="80"/>
    <n v="3015"/>
    <x v="312"/>
    <n v="4918"/>
    <x v="337"/>
    <s v="X 43"/>
    <n v="0"/>
    <n v="2906"/>
    <x v="1181"/>
    <s v="Annual"/>
    <n v="1"/>
    <n v="1"/>
    <n v="160680"/>
    <n v="160680"/>
  </r>
  <r>
    <x v="0"/>
    <n v="85"/>
    <x v="38"/>
    <x v="9"/>
    <x v="9"/>
    <n v="1005"/>
    <x v="58"/>
    <x v="5"/>
    <x v="80"/>
    <n v="3015"/>
    <x v="312"/>
    <n v="4918"/>
    <x v="337"/>
    <s v="GY 10"/>
    <n v="20"/>
    <n v="1441"/>
    <x v="542"/>
    <s v="Annual"/>
    <n v="1"/>
    <n v="1"/>
    <n v="106272"/>
    <n v="106272"/>
  </r>
  <r>
    <x v="0"/>
    <n v="85"/>
    <x v="38"/>
    <x v="9"/>
    <x v="9"/>
    <n v="1005"/>
    <x v="58"/>
    <x v="5"/>
    <x v="80"/>
    <n v="3015"/>
    <x v="312"/>
    <n v="4918"/>
    <x v="337"/>
    <s v="GY 10"/>
    <n v="20"/>
    <n v="1441"/>
    <x v="542"/>
    <s v="Annual"/>
    <n v="1"/>
    <n v="1"/>
    <n v="97332"/>
    <n v="97332"/>
  </r>
  <r>
    <x v="0"/>
    <n v="85"/>
    <x v="38"/>
    <x v="9"/>
    <x v="9"/>
    <n v="1005"/>
    <x v="58"/>
    <x v="5"/>
    <x v="80"/>
    <n v="3015"/>
    <x v="312"/>
    <n v="4918"/>
    <x v="337"/>
    <s v="GY 11"/>
    <n v="20"/>
    <n v="1440"/>
    <x v="913"/>
    <s v="Annual"/>
    <n v="1"/>
    <n v="1"/>
    <n v="111000"/>
    <n v="111000"/>
  </r>
  <r>
    <x v="0"/>
    <n v="85"/>
    <x v="38"/>
    <x v="9"/>
    <x v="9"/>
    <n v="1005"/>
    <x v="58"/>
    <x v="5"/>
    <x v="80"/>
    <n v="3015"/>
    <x v="312"/>
    <n v="4918"/>
    <x v="337"/>
    <s v="GY 11"/>
    <n v="20"/>
    <n v="1440"/>
    <x v="913"/>
    <s v="Annual"/>
    <n v="1"/>
    <n v="1"/>
    <n v="106272"/>
    <n v="106272"/>
  </r>
  <r>
    <x v="0"/>
    <n v="85"/>
    <x v="38"/>
    <x v="9"/>
    <x v="9"/>
    <n v="1005"/>
    <x v="58"/>
    <x v="5"/>
    <x v="80"/>
    <n v="3015"/>
    <x v="312"/>
    <n v="4918"/>
    <x v="337"/>
    <s v="1 00"/>
    <n v="0"/>
    <n v="15"/>
    <x v="37"/>
    <s v="Annual"/>
    <n v="0"/>
    <n v="0"/>
    <n v="5736"/>
    <n v="5736"/>
  </r>
  <r>
    <x v="0"/>
    <n v="21"/>
    <x v="5"/>
    <x v="10"/>
    <x v="10"/>
    <n v="1005"/>
    <x v="6"/>
    <x v="3"/>
    <x v="6"/>
    <n v="3030"/>
    <x v="22"/>
    <n v="0"/>
    <x v="0"/>
    <s v="BX 16"/>
    <n v="10"/>
    <n v="1438"/>
    <x v="217"/>
    <s v="Annual"/>
    <n v="1"/>
    <n v="1"/>
    <n v="76476"/>
    <n v="76476"/>
  </r>
  <r>
    <x v="0"/>
    <n v="21"/>
    <x v="5"/>
    <x v="10"/>
    <x v="10"/>
    <n v="1005"/>
    <x v="6"/>
    <x v="3"/>
    <x v="6"/>
    <n v="3037"/>
    <x v="313"/>
    <n v="4135"/>
    <x v="338"/>
    <s v="B 14"/>
    <n v="4"/>
    <n v="1912"/>
    <x v="222"/>
    <s v="Annual"/>
    <n v="1"/>
    <n v="1"/>
    <n v="93504"/>
    <n v="93504"/>
  </r>
  <r>
    <x v="0"/>
    <n v="21"/>
    <x v="5"/>
    <x v="10"/>
    <x v="10"/>
    <n v="1005"/>
    <x v="6"/>
    <x v="3"/>
    <x v="6"/>
    <n v="3037"/>
    <x v="313"/>
    <n v="4135"/>
    <x v="338"/>
    <s v="B 14"/>
    <n v="4"/>
    <n v="1912"/>
    <x v="222"/>
    <s v="Annual"/>
    <n v="1"/>
    <n v="1"/>
    <n v="81324"/>
    <n v="81324"/>
  </r>
  <r>
    <x v="0"/>
    <n v="21"/>
    <x v="5"/>
    <x v="10"/>
    <x v="10"/>
    <n v="1005"/>
    <x v="6"/>
    <x v="3"/>
    <x v="6"/>
    <n v="3037"/>
    <x v="313"/>
    <n v="4135"/>
    <x v="338"/>
    <s v="BX 18"/>
    <n v="10"/>
    <n v="310"/>
    <x v="135"/>
    <s v="Annual"/>
    <n v="1"/>
    <n v="1"/>
    <n v="89112"/>
    <n v="89112"/>
  </r>
  <r>
    <x v="0"/>
    <n v="21"/>
    <x v="5"/>
    <x v="10"/>
    <x v="10"/>
    <n v="1005"/>
    <x v="6"/>
    <x v="3"/>
    <x v="6"/>
    <n v="3037"/>
    <x v="313"/>
    <n v="4135"/>
    <x v="338"/>
    <s v="1 00"/>
    <n v="0"/>
    <n v="15"/>
    <x v="37"/>
    <s v="Annual"/>
    <n v="0"/>
    <n v="0"/>
    <n v="6274"/>
    <n v="6274"/>
  </r>
  <r>
    <x v="0"/>
    <n v="21"/>
    <x v="5"/>
    <x v="10"/>
    <x v="10"/>
    <n v="1005"/>
    <x v="6"/>
    <x v="3"/>
    <x v="6"/>
    <n v="3060"/>
    <x v="36"/>
    <n v="0"/>
    <x v="0"/>
    <s v="B 14"/>
    <n v="4"/>
    <n v="1912"/>
    <x v="222"/>
    <s v="Annual"/>
    <n v="1"/>
    <n v="1"/>
    <n v="81324"/>
    <n v="81324"/>
  </r>
  <r>
    <x v="0"/>
    <n v="21"/>
    <x v="5"/>
    <x v="10"/>
    <x v="10"/>
    <n v="1005"/>
    <x v="6"/>
    <x v="3"/>
    <x v="6"/>
    <n v="3060"/>
    <x v="36"/>
    <n v="0"/>
    <x v="0"/>
    <s v="X 33"/>
    <n v="9"/>
    <n v="313"/>
    <x v="220"/>
    <s v="Annual"/>
    <n v="1"/>
    <n v="1"/>
    <n v="146808"/>
    <n v="146808"/>
  </r>
  <r>
    <x v="0"/>
    <n v="21"/>
    <x v="5"/>
    <x v="10"/>
    <x v="10"/>
    <n v="1005"/>
    <x v="6"/>
    <x v="3"/>
    <x v="6"/>
    <n v="3060"/>
    <x v="36"/>
    <n v="0"/>
    <x v="0"/>
    <s v="1 00"/>
    <n v="0"/>
    <n v="15"/>
    <x v="37"/>
    <s v="Annual"/>
    <n v="0"/>
    <n v="0"/>
    <n v="4462"/>
    <n v="4462"/>
  </r>
  <r>
    <x v="0"/>
    <n v="1"/>
    <x v="0"/>
    <x v="11"/>
    <x v="11"/>
    <n v="1005"/>
    <x v="0"/>
    <x v="0"/>
    <x v="0"/>
    <n v="3135"/>
    <x v="10"/>
    <n v="0"/>
    <x v="0"/>
    <s v="1 00"/>
    <n v="9"/>
    <n v="9877"/>
    <x v="1"/>
    <s v="Annual"/>
    <n v="1"/>
    <n v="1"/>
    <n v="128772"/>
    <n v="128772"/>
  </r>
  <r>
    <x v="0"/>
    <n v="5"/>
    <x v="2"/>
    <x v="11"/>
    <x v="11"/>
    <n v="1005"/>
    <x v="2"/>
    <x v="0"/>
    <x v="2"/>
    <n v="3010"/>
    <x v="23"/>
    <n v="0"/>
    <x v="0"/>
    <s v="X 33"/>
    <n v="9"/>
    <n v="1124"/>
    <x v="70"/>
    <s v="Annual"/>
    <n v="1"/>
    <n v="1"/>
    <n v="146808"/>
    <n v="146808"/>
  </r>
  <r>
    <x v="0"/>
    <n v="5"/>
    <x v="2"/>
    <x v="11"/>
    <x v="11"/>
    <n v="1005"/>
    <x v="2"/>
    <x v="0"/>
    <x v="2"/>
    <n v="3010"/>
    <x v="23"/>
    <n v="0"/>
    <x v="0"/>
    <s v="X 33"/>
    <n v="9"/>
    <n v="1124"/>
    <x v="70"/>
    <s v="Annual"/>
    <n v="1"/>
    <n v="1"/>
    <n v="121668"/>
    <n v="121668"/>
  </r>
  <r>
    <x v="0"/>
    <n v="5"/>
    <x v="2"/>
    <x v="11"/>
    <x v="11"/>
    <n v="1005"/>
    <x v="2"/>
    <x v="0"/>
    <x v="2"/>
    <n v="3010"/>
    <x v="23"/>
    <n v="0"/>
    <x v="0"/>
    <s v="GY 08"/>
    <n v="10"/>
    <n v="135"/>
    <x v="261"/>
    <s v="Annual"/>
    <n v="1"/>
    <n v="1"/>
    <n v="85236"/>
    <n v="85236"/>
  </r>
  <r>
    <x v="0"/>
    <n v="5"/>
    <x v="2"/>
    <x v="11"/>
    <x v="11"/>
    <n v="1005"/>
    <x v="2"/>
    <x v="0"/>
    <x v="2"/>
    <n v="3010"/>
    <x v="23"/>
    <n v="0"/>
    <x v="0"/>
    <s v="BX 15"/>
    <n v="10"/>
    <n v="134"/>
    <x v="74"/>
    <s v="Annual"/>
    <n v="1"/>
    <n v="1"/>
    <n v="69684"/>
    <n v="69684"/>
  </r>
  <r>
    <x v="0"/>
    <n v="5"/>
    <x v="2"/>
    <x v="11"/>
    <x v="11"/>
    <n v="1005"/>
    <x v="2"/>
    <x v="0"/>
    <x v="2"/>
    <n v="3010"/>
    <x v="23"/>
    <n v="0"/>
    <x v="0"/>
    <s v="1 00"/>
    <n v="0"/>
    <n v="15"/>
    <x v="37"/>
    <s v="Annual"/>
    <n v="0"/>
    <n v="0"/>
    <n v="18702"/>
    <n v="18702"/>
  </r>
  <r>
    <x v="0"/>
    <n v="21"/>
    <x v="5"/>
    <x v="11"/>
    <x v="11"/>
    <n v="1005"/>
    <x v="6"/>
    <x v="3"/>
    <x v="6"/>
    <n v="3030"/>
    <x v="22"/>
    <n v="0"/>
    <x v="0"/>
    <s v="G 06"/>
    <n v="4"/>
    <n v="1142"/>
    <x v="624"/>
    <s v="Annual"/>
    <n v="1"/>
    <n v="1"/>
    <n v="84192"/>
    <n v="84192"/>
  </r>
  <r>
    <x v="0"/>
    <n v="21"/>
    <x v="5"/>
    <x v="11"/>
    <x v="11"/>
    <n v="1005"/>
    <x v="6"/>
    <x v="3"/>
    <x v="6"/>
    <n v="3030"/>
    <x v="22"/>
    <n v="0"/>
    <x v="0"/>
    <s v="BX 13"/>
    <n v="20"/>
    <n v="366"/>
    <x v="219"/>
    <s v="Annual"/>
    <n v="1"/>
    <n v="1"/>
    <n v="66516"/>
    <n v="66516"/>
  </r>
  <r>
    <x v="0"/>
    <n v="21"/>
    <x v="5"/>
    <x v="11"/>
    <x v="11"/>
    <n v="1005"/>
    <x v="6"/>
    <x v="3"/>
    <x v="6"/>
    <n v="3030"/>
    <x v="22"/>
    <n v="0"/>
    <x v="0"/>
    <s v="BX 18"/>
    <n v="10"/>
    <n v="310"/>
    <x v="135"/>
    <s v="Annual"/>
    <n v="1"/>
    <n v="1"/>
    <n v="97836"/>
    <n v="97836"/>
  </r>
  <r>
    <x v="0"/>
    <n v="21"/>
    <x v="5"/>
    <x v="11"/>
    <x v="11"/>
    <n v="1005"/>
    <x v="6"/>
    <x v="3"/>
    <x v="6"/>
    <n v="3037"/>
    <x v="313"/>
    <n v="4135"/>
    <x v="338"/>
    <s v="GY 09"/>
    <n v="20"/>
    <n v="1437"/>
    <x v="223"/>
    <s v="Annual"/>
    <n v="1"/>
    <n v="1"/>
    <n v="122556"/>
    <n v="122556"/>
  </r>
  <r>
    <x v="0"/>
    <n v="21"/>
    <x v="5"/>
    <x v="11"/>
    <x v="11"/>
    <n v="1005"/>
    <x v="6"/>
    <x v="3"/>
    <x v="6"/>
    <n v="3037"/>
    <x v="313"/>
    <n v="4135"/>
    <x v="338"/>
    <s v="GY 09"/>
    <n v="20"/>
    <n v="1437"/>
    <x v="223"/>
    <s v="Annual"/>
    <n v="1"/>
    <n v="1"/>
    <n v="106272"/>
    <n v="106272"/>
  </r>
  <r>
    <x v="0"/>
    <n v="21"/>
    <x v="5"/>
    <x v="11"/>
    <x v="11"/>
    <n v="1005"/>
    <x v="6"/>
    <x v="3"/>
    <x v="6"/>
    <n v="3037"/>
    <x v="313"/>
    <n v="4135"/>
    <x v="338"/>
    <s v="GY 09"/>
    <n v="20"/>
    <n v="1437"/>
    <x v="223"/>
    <s v="Annual"/>
    <n v="2"/>
    <n v="1"/>
    <n v="101628"/>
    <n v="203256"/>
  </r>
  <r>
    <x v="0"/>
    <n v="21"/>
    <x v="5"/>
    <x v="11"/>
    <x v="11"/>
    <n v="1005"/>
    <x v="6"/>
    <x v="3"/>
    <x v="6"/>
    <n v="3037"/>
    <x v="313"/>
    <n v="4135"/>
    <x v="338"/>
    <s v="GY 09"/>
    <n v="20"/>
    <n v="1437"/>
    <x v="223"/>
    <s v="Annual"/>
    <n v="2"/>
    <n v="1"/>
    <n v="97332"/>
    <n v="194664"/>
  </r>
  <r>
    <x v="0"/>
    <n v="21"/>
    <x v="5"/>
    <x v="11"/>
    <x v="11"/>
    <n v="1005"/>
    <x v="6"/>
    <x v="3"/>
    <x v="6"/>
    <n v="3037"/>
    <x v="313"/>
    <n v="4135"/>
    <x v="338"/>
    <s v="GY 09"/>
    <n v="20"/>
    <n v="1437"/>
    <x v="223"/>
    <s v="Annual"/>
    <n v="3"/>
    <n v="1"/>
    <n v="89112"/>
    <n v="267336"/>
  </r>
  <r>
    <x v="0"/>
    <n v="21"/>
    <x v="5"/>
    <x v="11"/>
    <x v="11"/>
    <n v="1005"/>
    <x v="6"/>
    <x v="3"/>
    <x v="6"/>
    <n v="3037"/>
    <x v="313"/>
    <n v="4135"/>
    <x v="338"/>
    <s v="GY 08"/>
    <n v="10"/>
    <n v="1405"/>
    <x v="629"/>
    <s v="Annual"/>
    <n v="1"/>
    <n v="1"/>
    <n v="82884"/>
    <n v="82884"/>
  </r>
  <r>
    <x v="0"/>
    <n v="21"/>
    <x v="5"/>
    <x v="11"/>
    <x v="11"/>
    <n v="1005"/>
    <x v="6"/>
    <x v="3"/>
    <x v="6"/>
    <n v="3037"/>
    <x v="313"/>
    <n v="4135"/>
    <x v="338"/>
    <s v="1 00"/>
    <n v="0"/>
    <n v="15"/>
    <x v="37"/>
    <s v="Annual"/>
    <n v="0"/>
    <n v="0"/>
    <n v="14247"/>
    <n v="14247"/>
  </r>
  <r>
    <x v="0"/>
    <n v="21"/>
    <x v="5"/>
    <x v="11"/>
    <x v="11"/>
    <n v="1005"/>
    <x v="6"/>
    <x v="3"/>
    <x v="6"/>
    <n v="3045"/>
    <x v="34"/>
    <n v="0"/>
    <x v="0"/>
    <s v="G 07"/>
    <n v="4"/>
    <n v="5403"/>
    <x v="1185"/>
    <s v="Annual"/>
    <n v="1"/>
    <n v="1"/>
    <n v="129636"/>
    <n v="129636"/>
  </r>
  <r>
    <x v="0"/>
    <n v="21"/>
    <x v="5"/>
    <x v="11"/>
    <x v="11"/>
    <n v="1005"/>
    <x v="6"/>
    <x v="3"/>
    <x v="6"/>
    <n v="3045"/>
    <x v="34"/>
    <n v="0"/>
    <x v="0"/>
    <s v="G 06"/>
    <n v="4"/>
    <n v="5402"/>
    <x v="635"/>
    <s v="Annual"/>
    <n v="1"/>
    <n v="1"/>
    <n v="81636"/>
    <n v="81636"/>
  </r>
  <r>
    <x v="0"/>
    <n v="21"/>
    <x v="5"/>
    <x v="11"/>
    <x v="11"/>
    <n v="1005"/>
    <x v="6"/>
    <x v="3"/>
    <x v="6"/>
    <n v="3045"/>
    <x v="34"/>
    <n v="0"/>
    <x v="0"/>
    <s v="BX 16"/>
    <n v="10"/>
    <n v="2916"/>
    <x v="1188"/>
    <s v="Annual"/>
    <n v="1"/>
    <n v="1"/>
    <n v="76476"/>
    <n v="76476"/>
  </r>
  <r>
    <x v="0"/>
    <n v="21"/>
    <x v="5"/>
    <x v="11"/>
    <x v="11"/>
    <n v="1005"/>
    <x v="6"/>
    <x v="3"/>
    <x v="6"/>
    <n v="3045"/>
    <x v="34"/>
    <n v="0"/>
    <x v="0"/>
    <s v="B 14"/>
    <n v="1"/>
    <n v="2908"/>
    <x v="1189"/>
    <s v="Annual"/>
    <n v="1"/>
    <n v="1"/>
    <n v="98928"/>
    <n v="98928"/>
  </r>
  <r>
    <x v="0"/>
    <n v="21"/>
    <x v="5"/>
    <x v="11"/>
    <x v="11"/>
    <n v="1005"/>
    <x v="6"/>
    <x v="3"/>
    <x v="6"/>
    <n v="3045"/>
    <x v="34"/>
    <n v="0"/>
    <x v="0"/>
    <s v="B 14"/>
    <n v="1"/>
    <n v="2908"/>
    <x v="1189"/>
    <s v="Annual"/>
    <n v="9"/>
    <n v="1"/>
    <n v="77640"/>
    <n v="698760"/>
  </r>
  <r>
    <x v="0"/>
    <n v="21"/>
    <x v="5"/>
    <x v="11"/>
    <x v="11"/>
    <n v="1005"/>
    <x v="6"/>
    <x v="3"/>
    <x v="6"/>
    <n v="3045"/>
    <x v="34"/>
    <n v="0"/>
    <x v="0"/>
    <s v="B 14"/>
    <n v="1"/>
    <n v="2908"/>
    <x v="1189"/>
    <s v="Annual"/>
    <n v="1"/>
    <n v="1"/>
    <n v="75336"/>
    <n v="75336"/>
  </r>
  <r>
    <x v="0"/>
    <n v="21"/>
    <x v="5"/>
    <x v="11"/>
    <x v="11"/>
    <n v="1005"/>
    <x v="6"/>
    <x v="3"/>
    <x v="6"/>
    <n v="3045"/>
    <x v="34"/>
    <n v="0"/>
    <x v="0"/>
    <s v="B 15"/>
    <n v="3"/>
    <n v="1939"/>
    <x v="1190"/>
    <s v="Annual"/>
    <n v="1"/>
    <n v="1"/>
    <n v="85200"/>
    <n v="85200"/>
  </r>
  <r>
    <x v="0"/>
    <n v="21"/>
    <x v="5"/>
    <x v="11"/>
    <x v="11"/>
    <n v="1005"/>
    <x v="6"/>
    <x v="3"/>
    <x v="6"/>
    <n v="3045"/>
    <x v="34"/>
    <n v="0"/>
    <x v="0"/>
    <s v="1 00"/>
    <n v="0"/>
    <n v="15"/>
    <x v="37"/>
    <s v="Annual"/>
    <n v="0"/>
    <n v="0"/>
    <n v="17880"/>
    <n v="17880"/>
  </r>
  <r>
    <x v="0"/>
    <n v="27"/>
    <x v="7"/>
    <x v="11"/>
    <x v="11"/>
    <n v="1005"/>
    <x v="8"/>
    <x v="2"/>
    <x v="9"/>
    <n v="3019"/>
    <x v="44"/>
    <n v="4051"/>
    <x v="5"/>
    <s v="GY 11"/>
    <n v="20"/>
    <n v="187"/>
    <x v="250"/>
    <s v="Annual"/>
    <n v="1"/>
    <n v="1"/>
    <n v="135000"/>
    <n v="135000"/>
  </r>
  <r>
    <x v="0"/>
    <n v="27"/>
    <x v="7"/>
    <x v="11"/>
    <x v="11"/>
    <n v="1005"/>
    <x v="8"/>
    <x v="2"/>
    <x v="9"/>
    <n v="3019"/>
    <x v="44"/>
    <n v="4051"/>
    <x v="5"/>
    <s v="GY 10"/>
    <n v="20"/>
    <n v="120"/>
    <x v="251"/>
    <s v="Annual"/>
    <n v="1"/>
    <n v="1"/>
    <n v="97332"/>
    <n v="97332"/>
  </r>
  <r>
    <x v="0"/>
    <n v="27"/>
    <x v="7"/>
    <x v="11"/>
    <x v="11"/>
    <n v="1005"/>
    <x v="8"/>
    <x v="2"/>
    <x v="9"/>
    <n v="3019"/>
    <x v="44"/>
    <n v="4051"/>
    <x v="5"/>
    <s v="G 07"/>
    <n v="4"/>
    <n v="111"/>
    <x v="245"/>
    <s v="Annual"/>
    <n v="1"/>
    <n v="1"/>
    <n v="97488"/>
    <n v="97488"/>
  </r>
  <r>
    <x v="0"/>
    <n v="27"/>
    <x v="7"/>
    <x v="11"/>
    <x v="11"/>
    <n v="1005"/>
    <x v="8"/>
    <x v="2"/>
    <x v="9"/>
    <n v="3019"/>
    <x v="44"/>
    <n v="4051"/>
    <x v="5"/>
    <s v="B 13"/>
    <n v="4"/>
    <n v="110"/>
    <x v="93"/>
    <s v="Annual"/>
    <n v="2"/>
    <n v="1"/>
    <n v="68616"/>
    <n v="137232"/>
  </r>
  <r>
    <x v="0"/>
    <n v="27"/>
    <x v="7"/>
    <x v="11"/>
    <x v="11"/>
    <n v="1005"/>
    <x v="8"/>
    <x v="2"/>
    <x v="9"/>
    <n v="3019"/>
    <x v="44"/>
    <n v="4051"/>
    <x v="5"/>
    <s v="1 00"/>
    <n v="0"/>
    <n v="15"/>
    <x v="37"/>
    <s v="Annual"/>
    <n v="0"/>
    <n v="0"/>
    <n v="10311"/>
    <n v="10311"/>
  </r>
  <r>
    <x v="0"/>
    <n v="28"/>
    <x v="8"/>
    <x v="11"/>
    <x v="11"/>
    <n v="1005"/>
    <x v="9"/>
    <x v="0"/>
    <x v="12"/>
    <n v="3010"/>
    <x v="51"/>
    <n v="0"/>
    <x v="0"/>
    <s v="X 23"/>
    <n v="9"/>
    <n v="9676"/>
    <x v="312"/>
    <s v="Annual"/>
    <n v="1"/>
    <n v="1"/>
    <n v="133044"/>
    <n v="133044"/>
  </r>
  <r>
    <x v="0"/>
    <n v="28"/>
    <x v="8"/>
    <x v="11"/>
    <x v="11"/>
    <n v="1005"/>
    <x v="9"/>
    <x v="0"/>
    <x v="12"/>
    <n v="3010"/>
    <x v="51"/>
    <n v="0"/>
    <x v="0"/>
    <s v="1 00"/>
    <n v="0"/>
    <n v="15"/>
    <x v="37"/>
    <s v="Annual"/>
    <n v="0"/>
    <n v="0"/>
    <n v="483"/>
    <n v="483"/>
  </r>
  <r>
    <x v="0"/>
    <n v="28"/>
    <x v="8"/>
    <x v="11"/>
    <x v="11"/>
    <n v="1005"/>
    <x v="9"/>
    <x v="0"/>
    <x v="12"/>
    <n v="3015"/>
    <x v="52"/>
    <n v="0"/>
    <x v="0"/>
    <s v="3 00"/>
    <n v="10"/>
    <n v="340"/>
    <x v="311"/>
    <s v="Annual"/>
    <n v="1"/>
    <n v="1"/>
    <n v="81036"/>
    <n v="81036"/>
  </r>
  <r>
    <x v="0"/>
    <n v="28"/>
    <x v="8"/>
    <x v="11"/>
    <x v="11"/>
    <n v="1005"/>
    <x v="9"/>
    <x v="0"/>
    <x v="12"/>
    <n v="3015"/>
    <x v="52"/>
    <n v="0"/>
    <x v="0"/>
    <s v="B 13"/>
    <n v="4"/>
    <n v="110"/>
    <x v="93"/>
    <s v="Annual"/>
    <n v="1"/>
    <n v="1"/>
    <n v="77640"/>
    <n v="77640"/>
  </r>
  <r>
    <x v="0"/>
    <n v="28"/>
    <x v="8"/>
    <x v="11"/>
    <x v="11"/>
    <n v="1005"/>
    <x v="9"/>
    <x v="0"/>
    <x v="12"/>
    <n v="3015"/>
    <x v="52"/>
    <n v="0"/>
    <x v="0"/>
    <s v="1 00"/>
    <n v="0"/>
    <n v="15"/>
    <x v="37"/>
    <s v="Annual"/>
    <n v="0"/>
    <n v="0"/>
    <n v="1490"/>
    <n v="1490"/>
  </r>
  <r>
    <x v="0"/>
    <n v="28"/>
    <x v="8"/>
    <x v="11"/>
    <x v="11"/>
    <n v="1005"/>
    <x v="9"/>
    <x v="0"/>
    <x v="12"/>
    <n v="3025"/>
    <x v="246"/>
    <n v="0"/>
    <x v="0"/>
    <s v="X 22"/>
    <n v="9"/>
    <n v="9673"/>
    <x v="314"/>
    <s v="Annual"/>
    <n v="1"/>
    <n v="1"/>
    <n v="158568"/>
    <n v="158568"/>
  </r>
  <r>
    <x v="0"/>
    <n v="28"/>
    <x v="8"/>
    <x v="11"/>
    <x v="11"/>
    <n v="1005"/>
    <x v="9"/>
    <x v="0"/>
    <x v="12"/>
    <n v="3025"/>
    <x v="246"/>
    <n v="0"/>
    <x v="0"/>
    <s v="1 00"/>
    <n v="0"/>
    <n v="15"/>
    <x v="37"/>
    <s v="Annual"/>
    <n v="0"/>
    <n v="0"/>
    <n v="3017"/>
    <n v="3017"/>
  </r>
  <r>
    <x v="0"/>
    <n v="31"/>
    <x v="10"/>
    <x v="11"/>
    <x v="11"/>
    <n v="1005"/>
    <x v="11"/>
    <x v="0"/>
    <x v="14"/>
    <n v="3044"/>
    <x v="68"/>
    <n v="0"/>
    <x v="0"/>
    <s v="L 02"/>
    <n v="9"/>
    <n v="1672"/>
    <x v="346"/>
    <s v="Annual"/>
    <n v="1"/>
    <n v="1"/>
    <n v="142776"/>
    <n v="142776"/>
  </r>
  <r>
    <x v="0"/>
    <n v="31"/>
    <x v="10"/>
    <x v="11"/>
    <x v="11"/>
    <n v="1005"/>
    <x v="11"/>
    <x v="0"/>
    <x v="14"/>
    <n v="3044"/>
    <x v="68"/>
    <n v="0"/>
    <x v="0"/>
    <s v="L 02"/>
    <n v="9"/>
    <n v="1672"/>
    <x v="346"/>
    <s v="Annual"/>
    <n v="2"/>
    <n v="1"/>
    <n v="118596"/>
    <n v="237192"/>
  </r>
  <r>
    <x v="0"/>
    <n v="31"/>
    <x v="10"/>
    <x v="11"/>
    <x v="11"/>
    <n v="1005"/>
    <x v="11"/>
    <x v="0"/>
    <x v="14"/>
    <n v="3044"/>
    <x v="68"/>
    <n v="0"/>
    <x v="0"/>
    <s v="L 02"/>
    <n v="9"/>
    <n v="1672"/>
    <x v="346"/>
    <s v="Annual"/>
    <n v="1"/>
    <n v="1"/>
    <n v="108084"/>
    <n v="108084"/>
  </r>
  <r>
    <x v="0"/>
    <n v="31"/>
    <x v="10"/>
    <x v="11"/>
    <x v="11"/>
    <n v="1005"/>
    <x v="11"/>
    <x v="0"/>
    <x v="14"/>
    <n v="3044"/>
    <x v="68"/>
    <n v="0"/>
    <x v="0"/>
    <s v="L 02"/>
    <n v="9"/>
    <n v="1672"/>
    <x v="346"/>
    <s v="Annual"/>
    <n v="1"/>
    <n v="1"/>
    <n v="103176"/>
    <n v="103176"/>
  </r>
  <r>
    <x v="0"/>
    <n v="31"/>
    <x v="10"/>
    <x v="11"/>
    <x v="11"/>
    <n v="1005"/>
    <x v="11"/>
    <x v="0"/>
    <x v="14"/>
    <n v="3044"/>
    <x v="68"/>
    <n v="0"/>
    <x v="0"/>
    <s v="L 02"/>
    <n v="9"/>
    <n v="1672"/>
    <x v="346"/>
    <s v="Annual"/>
    <n v="1"/>
    <n v="1"/>
    <n v="94044"/>
    <n v="94044"/>
  </r>
  <r>
    <x v="0"/>
    <n v="31"/>
    <x v="10"/>
    <x v="11"/>
    <x v="11"/>
    <n v="1005"/>
    <x v="11"/>
    <x v="0"/>
    <x v="14"/>
    <n v="3044"/>
    <x v="68"/>
    <n v="0"/>
    <x v="0"/>
    <s v="L 02"/>
    <n v="9"/>
    <n v="1672"/>
    <x v="346"/>
    <s v="Annual"/>
    <n v="2"/>
    <n v="1"/>
    <n v="81816"/>
    <n v="163632"/>
  </r>
  <r>
    <x v="0"/>
    <n v="31"/>
    <x v="10"/>
    <x v="11"/>
    <x v="11"/>
    <n v="1005"/>
    <x v="11"/>
    <x v="0"/>
    <x v="14"/>
    <n v="3044"/>
    <x v="68"/>
    <n v="0"/>
    <x v="0"/>
    <s v="LX 03"/>
    <n v="9"/>
    <n v="1652"/>
    <x v="336"/>
    <s v="Annual"/>
    <n v="1"/>
    <n v="1"/>
    <n v="177612"/>
    <n v="177612"/>
  </r>
  <r>
    <x v="0"/>
    <n v="31"/>
    <x v="10"/>
    <x v="11"/>
    <x v="11"/>
    <n v="1005"/>
    <x v="11"/>
    <x v="0"/>
    <x v="14"/>
    <n v="3044"/>
    <x v="68"/>
    <n v="0"/>
    <x v="0"/>
    <s v="BX 16"/>
    <n v="10"/>
    <n v="1619"/>
    <x v="341"/>
    <s v="Annual"/>
    <n v="1"/>
    <n v="1"/>
    <n v="83052"/>
    <n v="83052"/>
  </r>
  <r>
    <x v="0"/>
    <n v="31"/>
    <x v="10"/>
    <x v="11"/>
    <x v="11"/>
    <n v="1005"/>
    <x v="11"/>
    <x v="0"/>
    <x v="14"/>
    <n v="3044"/>
    <x v="68"/>
    <n v="0"/>
    <x v="0"/>
    <s v="1 00"/>
    <n v="0"/>
    <n v="15"/>
    <x v="37"/>
    <s v="Annual"/>
    <n v="0"/>
    <n v="0"/>
    <n v="3048"/>
    <n v="3048"/>
  </r>
  <r>
    <x v="0"/>
    <n v="54"/>
    <x v="20"/>
    <x v="11"/>
    <x v="11"/>
    <n v="1005"/>
    <x v="21"/>
    <x v="0"/>
    <x v="34"/>
    <n v="3035"/>
    <x v="22"/>
    <n v="4001"/>
    <x v="90"/>
    <s v="B 14"/>
    <n v="1"/>
    <n v="1576"/>
    <x v="246"/>
    <s v="Annual"/>
    <n v="1"/>
    <n v="1"/>
    <n v="130668"/>
    <n v="130668"/>
  </r>
  <r>
    <x v="0"/>
    <n v="54"/>
    <x v="20"/>
    <x v="11"/>
    <x v="11"/>
    <n v="1005"/>
    <x v="21"/>
    <x v="0"/>
    <x v="34"/>
    <n v="3035"/>
    <x v="22"/>
    <n v="4001"/>
    <x v="90"/>
    <s v="B 13"/>
    <n v="1"/>
    <n v="1482"/>
    <x v="96"/>
    <s v="Annual"/>
    <n v="1"/>
    <n v="1"/>
    <n v="70752"/>
    <n v="70752"/>
  </r>
  <r>
    <x v="0"/>
    <n v="54"/>
    <x v="20"/>
    <x v="11"/>
    <x v="11"/>
    <n v="1005"/>
    <x v="21"/>
    <x v="0"/>
    <x v="34"/>
    <n v="3035"/>
    <x v="22"/>
    <n v="4001"/>
    <x v="90"/>
    <s v="G 07"/>
    <n v="4"/>
    <n v="111"/>
    <x v="245"/>
    <s v="Annual"/>
    <n v="1"/>
    <n v="1"/>
    <n v="90144"/>
    <n v="90144"/>
  </r>
  <r>
    <x v="0"/>
    <n v="54"/>
    <x v="20"/>
    <x v="11"/>
    <x v="11"/>
    <n v="1005"/>
    <x v="21"/>
    <x v="0"/>
    <x v="34"/>
    <n v="3035"/>
    <x v="22"/>
    <n v="4001"/>
    <x v="90"/>
    <s v="B 13"/>
    <n v="4"/>
    <n v="110"/>
    <x v="93"/>
    <s v="Annual"/>
    <n v="1"/>
    <n v="1"/>
    <n v="119100"/>
    <n v="119100"/>
  </r>
  <r>
    <x v="0"/>
    <n v="54"/>
    <x v="20"/>
    <x v="11"/>
    <x v="11"/>
    <n v="1005"/>
    <x v="21"/>
    <x v="0"/>
    <x v="34"/>
    <n v="3035"/>
    <x v="22"/>
    <n v="4001"/>
    <x v="90"/>
    <s v="B 11"/>
    <n v="1"/>
    <n v="109"/>
    <x v="94"/>
    <s v="Annual"/>
    <n v="1"/>
    <n v="1"/>
    <n v="57000"/>
    <n v="57000"/>
  </r>
  <r>
    <x v="0"/>
    <n v="54"/>
    <x v="20"/>
    <x v="11"/>
    <x v="11"/>
    <n v="1005"/>
    <x v="21"/>
    <x v="0"/>
    <x v="34"/>
    <n v="3035"/>
    <x v="22"/>
    <n v="4001"/>
    <x v="90"/>
    <s v="1 00"/>
    <n v="0"/>
    <n v="15"/>
    <x v="37"/>
    <s v="Annual"/>
    <n v="0"/>
    <n v="0"/>
    <n v="2632"/>
    <n v="2632"/>
  </r>
  <r>
    <x v="0"/>
    <n v="54"/>
    <x v="20"/>
    <x v="11"/>
    <x v="11"/>
    <n v="1005"/>
    <x v="21"/>
    <x v="0"/>
    <x v="34"/>
    <n v="3035"/>
    <x v="22"/>
    <n v="4002"/>
    <x v="32"/>
    <s v="BX 16"/>
    <n v="10"/>
    <n v="3585"/>
    <x v="649"/>
    <s v="Annual"/>
    <n v="1"/>
    <n v="1"/>
    <n v="124584"/>
    <n v="124584"/>
  </r>
  <r>
    <x v="0"/>
    <n v="54"/>
    <x v="20"/>
    <x v="11"/>
    <x v="11"/>
    <n v="1005"/>
    <x v="21"/>
    <x v="0"/>
    <x v="34"/>
    <n v="3035"/>
    <x v="22"/>
    <n v="4002"/>
    <x v="32"/>
    <s v="B 14"/>
    <n v="4"/>
    <n v="1912"/>
    <x v="222"/>
    <s v="Annual"/>
    <n v="1"/>
    <n v="1"/>
    <n v="108576"/>
    <n v="108576"/>
  </r>
  <r>
    <x v="0"/>
    <n v="54"/>
    <x v="20"/>
    <x v="11"/>
    <x v="11"/>
    <n v="1005"/>
    <x v="21"/>
    <x v="0"/>
    <x v="34"/>
    <n v="3035"/>
    <x v="22"/>
    <n v="4002"/>
    <x v="32"/>
    <s v="BX 16"/>
    <n v="10"/>
    <n v="1430"/>
    <x v="355"/>
    <s v="Annual"/>
    <n v="1"/>
    <n v="1"/>
    <n v="80124"/>
    <n v="80124"/>
  </r>
  <r>
    <x v="0"/>
    <n v="54"/>
    <x v="20"/>
    <x v="11"/>
    <x v="11"/>
    <n v="1005"/>
    <x v="21"/>
    <x v="0"/>
    <x v="34"/>
    <n v="3035"/>
    <x v="22"/>
    <n v="4002"/>
    <x v="32"/>
    <s v="BX 14"/>
    <n v="10"/>
    <n v="1335"/>
    <x v="1191"/>
    <s v="Annual"/>
    <n v="1"/>
    <n v="1"/>
    <n v="72996"/>
    <n v="72996"/>
  </r>
  <r>
    <x v="0"/>
    <n v="54"/>
    <x v="20"/>
    <x v="11"/>
    <x v="11"/>
    <n v="1005"/>
    <x v="21"/>
    <x v="0"/>
    <x v="34"/>
    <n v="3035"/>
    <x v="22"/>
    <n v="4002"/>
    <x v="32"/>
    <s v="BX 17"/>
    <n v="20"/>
    <n v="1318"/>
    <x v="409"/>
    <s v="Annual"/>
    <n v="1"/>
    <n v="1"/>
    <n v="83052"/>
    <n v="83052"/>
  </r>
  <r>
    <x v="0"/>
    <n v="54"/>
    <x v="20"/>
    <x v="11"/>
    <x v="11"/>
    <n v="1005"/>
    <x v="21"/>
    <x v="0"/>
    <x v="34"/>
    <n v="3035"/>
    <x v="22"/>
    <n v="4002"/>
    <x v="32"/>
    <s v="BX 15"/>
    <n v="10"/>
    <n v="1310"/>
    <x v="329"/>
    <s v="Annual"/>
    <n v="1"/>
    <n v="1"/>
    <n v="80124"/>
    <n v="80124"/>
  </r>
  <r>
    <x v="0"/>
    <n v="54"/>
    <x v="20"/>
    <x v="11"/>
    <x v="11"/>
    <n v="1005"/>
    <x v="21"/>
    <x v="0"/>
    <x v="34"/>
    <n v="3035"/>
    <x v="22"/>
    <n v="4002"/>
    <x v="32"/>
    <s v="X 33"/>
    <n v="0"/>
    <n v="601"/>
    <x v="332"/>
    <s v="Annual"/>
    <n v="1"/>
    <n v="1"/>
    <n v="137532"/>
    <n v="137532"/>
  </r>
  <r>
    <x v="0"/>
    <n v="54"/>
    <x v="20"/>
    <x v="11"/>
    <x v="11"/>
    <n v="1005"/>
    <x v="21"/>
    <x v="0"/>
    <x v="34"/>
    <n v="3035"/>
    <x v="22"/>
    <n v="4002"/>
    <x v="32"/>
    <s v="1 00"/>
    <n v="0"/>
    <n v="15"/>
    <x v="37"/>
    <s v="Annual"/>
    <n v="0"/>
    <n v="0"/>
    <n v="14338"/>
    <n v="14338"/>
  </r>
  <r>
    <x v="0"/>
    <n v="54"/>
    <x v="20"/>
    <x v="11"/>
    <x v="11"/>
    <n v="1005"/>
    <x v="21"/>
    <x v="0"/>
    <x v="34"/>
    <n v="3041"/>
    <x v="246"/>
    <n v="4056"/>
    <x v="339"/>
    <s v="GY 09"/>
    <n v="20"/>
    <n v="1437"/>
    <x v="223"/>
    <s v="Annual"/>
    <n v="2"/>
    <n v="1"/>
    <n v="122556"/>
    <n v="245112"/>
  </r>
  <r>
    <x v="0"/>
    <n v="54"/>
    <x v="20"/>
    <x v="11"/>
    <x v="11"/>
    <n v="1005"/>
    <x v="21"/>
    <x v="0"/>
    <x v="34"/>
    <n v="3041"/>
    <x v="246"/>
    <n v="4056"/>
    <x v="339"/>
    <s v="GY 09"/>
    <n v="20"/>
    <n v="1437"/>
    <x v="223"/>
    <s v="Annual"/>
    <n v="2"/>
    <n v="1"/>
    <n v="101628"/>
    <n v="203256"/>
  </r>
  <r>
    <x v="0"/>
    <n v="54"/>
    <x v="20"/>
    <x v="11"/>
    <x v="11"/>
    <n v="1005"/>
    <x v="21"/>
    <x v="0"/>
    <x v="34"/>
    <n v="3041"/>
    <x v="246"/>
    <n v="4056"/>
    <x v="339"/>
    <s v="GY 09"/>
    <n v="20"/>
    <n v="1437"/>
    <x v="223"/>
    <s v="Annual"/>
    <n v="1"/>
    <n v="1"/>
    <n v="97332"/>
    <n v="97332"/>
  </r>
  <r>
    <x v="0"/>
    <n v="54"/>
    <x v="20"/>
    <x v="11"/>
    <x v="11"/>
    <n v="1005"/>
    <x v="21"/>
    <x v="0"/>
    <x v="34"/>
    <n v="3041"/>
    <x v="246"/>
    <n v="4056"/>
    <x v="339"/>
    <s v="GY 09"/>
    <n v="20"/>
    <n v="1437"/>
    <x v="223"/>
    <s v="Annual"/>
    <n v="2"/>
    <n v="1"/>
    <n v="93156"/>
    <n v="186312"/>
  </r>
  <r>
    <x v="0"/>
    <n v="54"/>
    <x v="20"/>
    <x v="11"/>
    <x v="11"/>
    <n v="1005"/>
    <x v="21"/>
    <x v="0"/>
    <x v="34"/>
    <n v="3041"/>
    <x v="246"/>
    <n v="4056"/>
    <x v="339"/>
    <s v="GY 09"/>
    <n v="20"/>
    <n v="1437"/>
    <x v="223"/>
    <s v="Annual"/>
    <n v="2"/>
    <n v="1"/>
    <n v="89112"/>
    <n v="178224"/>
  </r>
  <r>
    <x v="0"/>
    <n v="54"/>
    <x v="20"/>
    <x v="11"/>
    <x v="11"/>
    <n v="1005"/>
    <x v="21"/>
    <x v="0"/>
    <x v="34"/>
    <n v="3041"/>
    <x v="246"/>
    <n v="4056"/>
    <x v="339"/>
    <s v="X 33"/>
    <n v="9"/>
    <n v="313"/>
    <x v="220"/>
    <s v="Annual"/>
    <n v="1"/>
    <n v="1"/>
    <n v="121668"/>
    <n v="121668"/>
  </r>
  <r>
    <x v="0"/>
    <n v="54"/>
    <x v="20"/>
    <x v="11"/>
    <x v="11"/>
    <n v="1005"/>
    <x v="21"/>
    <x v="0"/>
    <x v="34"/>
    <n v="3041"/>
    <x v="246"/>
    <n v="4056"/>
    <x v="339"/>
    <s v="1 00"/>
    <n v="0"/>
    <n v="15"/>
    <x v="37"/>
    <s v="Annual"/>
    <n v="0"/>
    <n v="0"/>
    <n v="33192"/>
    <n v="33192"/>
  </r>
  <r>
    <x v="0"/>
    <n v="54"/>
    <x v="20"/>
    <x v="11"/>
    <x v="11"/>
    <n v="1005"/>
    <x v="21"/>
    <x v="0"/>
    <x v="34"/>
    <n v="3041"/>
    <x v="246"/>
    <n v="4057"/>
    <x v="340"/>
    <s v="X 31"/>
    <n v="9"/>
    <n v="9813"/>
    <x v="216"/>
    <s v="Annual"/>
    <n v="1"/>
    <n v="1"/>
    <n v="188400"/>
    <n v="188400"/>
  </r>
  <r>
    <x v="0"/>
    <n v="54"/>
    <x v="20"/>
    <x v="11"/>
    <x v="11"/>
    <n v="1005"/>
    <x v="21"/>
    <x v="0"/>
    <x v="34"/>
    <n v="3041"/>
    <x v="246"/>
    <n v="4057"/>
    <x v="340"/>
    <s v="X 32"/>
    <n v="9"/>
    <n v="9679"/>
    <x v="81"/>
    <s v="Annual"/>
    <n v="1"/>
    <n v="1"/>
    <n v="167964"/>
    <n v="167964"/>
  </r>
  <r>
    <x v="0"/>
    <n v="54"/>
    <x v="20"/>
    <x v="11"/>
    <x v="11"/>
    <n v="1005"/>
    <x v="21"/>
    <x v="0"/>
    <x v="34"/>
    <n v="3041"/>
    <x v="246"/>
    <n v="4057"/>
    <x v="340"/>
    <s v="BX 16"/>
    <n v="10"/>
    <n v="1984"/>
    <x v="631"/>
    <s v="Annual"/>
    <n v="1"/>
    <n v="1"/>
    <n v="85128"/>
    <n v="85128"/>
  </r>
  <r>
    <x v="0"/>
    <n v="54"/>
    <x v="20"/>
    <x v="11"/>
    <x v="11"/>
    <n v="1005"/>
    <x v="21"/>
    <x v="0"/>
    <x v="34"/>
    <n v="3041"/>
    <x v="246"/>
    <n v="4057"/>
    <x v="340"/>
    <s v="BX 16"/>
    <n v="10"/>
    <n v="1984"/>
    <x v="631"/>
    <s v="Annual"/>
    <n v="1"/>
    <n v="1"/>
    <n v="83052"/>
    <n v="83052"/>
  </r>
  <r>
    <x v="0"/>
    <n v="54"/>
    <x v="20"/>
    <x v="11"/>
    <x v="11"/>
    <n v="1005"/>
    <x v="21"/>
    <x v="0"/>
    <x v="34"/>
    <n v="3041"/>
    <x v="246"/>
    <n v="4057"/>
    <x v="340"/>
    <s v="BX 16"/>
    <n v="10"/>
    <n v="1984"/>
    <x v="631"/>
    <s v="Annual"/>
    <n v="1"/>
    <n v="1"/>
    <n v="76476"/>
    <n v="76476"/>
  </r>
  <r>
    <x v="0"/>
    <n v="54"/>
    <x v="20"/>
    <x v="11"/>
    <x v="11"/>
    <n v="1005"/>
    <x v="21"/>
    <x v="0"/>
    <x v="34"/>
    <n v="3041"/>
    <x v="246"/>
    <n v="4057"/>
    <x v="340"/>
    <s v="X 33"/>
    <n v="20"/>
    <n v="1752"/>
    <x v="1192"/>
    <s v="Annual"/>
    <n v="1"/>
    <n v="1"/>
    <n v="153384"/>
    <n v="153384"/>
  </r>
  <r>
    <x v="0"/>
    <n v="54"/>
    <x v="20"/>
    <x v="11"/>
    <x v="11"/>
    <n v="1005"/>
    <x v="21"/>
    <x v="0"/>
    <x v="34"/>
    <n v="3041"/>
    <x v="246"/>
    <n v="4057"/>
    <x v="340"/>
    <s v="1 00"/>
    <n v="0"/>
    <n v="15"/>
    <x v="37"/>
    <s v="Annual"/>
    <n v="0"/>
    <n v="0"/>
    <n v="15720"/>
    <n v="15720"/>
  </r>
  <r>
    <x v="0"/>
    <n v="54"/>
    <x v="20"/>
    <x v="11"/>
    <x v="11"/>
    <n v="1005"/>
    <x v="21"/>
    <x v="0"/>
    <x v="34"/>
    <n v="3041"/>
    <x v="246"/>
    <n v="4058"/>
    <x v="341"/>
    <s v="GY 09"/>
    <n v="20"/>
    <n v="1437"/>
    <x v="223"/>
    <s v="Annual"/>
    <n v="3"/>
    <n v="1"/>
    <n v="122556"/>
    <n v="367668"/>
  </r>
  <r>
    <x v="0"/>
    <n v="54"/>
    <x v="20"/>
    <x v="11"/>
    <x v="11"/>
    <n v="1005"/>
    <x v="21"/>
    <x v="0"/>
    <x v="34"/>
    <n v="3041"/>
    <x v="246"/>
    <n v="4058"/>
    <x v="341"/>
    <s v="GY 09"/>
    <n v="20"/>
    <n v="1437"/>
    <x v="223"/>
    <s v="Annual"/>
    <n v="1"/>
    <n v="1"/>
    <n v="115992"/>
    <n v="115992"/>
  </r>
  <r>
    <x v="0"/>
    <n v="54"/>
    <x v="20"/>
    <x v="11"/>
    <x v="11"/>
    <n v="1005"/>
    <x v="21"/>
    <x v="0"/>
    <x v="34"/>
    <n v="3041"/>
    <x v="246"/>
    <n v="4058"/>
    <x v="341"/>
    <s v="GY 09"/>
    <n v="20"/>
    <n v="1437"/>
    <x v="223"/>
    <s v="Annual"/>
    <n v="1"/>
    <n v="1"/>
    <n v="101628"/>
    <n v="101628"/>
  </r>
  <r>
    <x v="0"/>
    <n v="54"/>
    <x v="20"/>
    <x v="11"/>
    <x v="11"/>
    <n v="1005"/>
    <x v="21"/>
    <x v="0"/>
    <x v="34"/>
    <n v="3041"/>
    <x v="246"/>
    <n v="4058"/>
    <x v="341"/>
    <s v="GY 09"/>
    <n v="20"/>
    <n v="1437"/>
    <x v="223"/>
    <s v="Annual"/>
    <n v="2"/>
    <n v="1"/>
    <n v="97332"/>
    <n v="194664"/>
  </r>
  <r>
    <x v="0"/>
    <n v="54"/>
    <x v="20"/>
    <x v="11"/>
    <x v="11"/>
    <n v="1005"/>
    <x v="21"/>
    <x v="0"/>
    <x v="34"/>
    <n v="3041"/>
    <x v="246"/>
    <n v="4058"/>
    <x v="341"/>
    <s v="X 33"/>
    <n v="9"/>
    <n v="313"/>
    <x v="220"/>
    <s v="Annual"/>
    <n v="1"/>
    <n v="1"/>
    <n v="146808"/>
    <n v="146808"/>
  </r>
  <r>
    <x v="0"/>
    <n v="54"/>
    <x v="20"/>
    <x v="11"/>
    <x v="11"/>
    <n v="1005"/>
    <x v="21"/>
    <x v="0"/>
    <x v="34"/>
    <n v="3041"/>
    <x v="246"/>
    <n v="4058"/>
    <x v="341"/>
    <s v="1 00"/>
    <n v="0"/>
    <n v="15"/>
    <x v="37"/>
    <s v="Annual"/>
    <n v="0"/>
    <n v="0"/>
    <n v="9969"/>
    <n v="9969"/>
  </r>
  <r>
    <x v="0"/>
    <n v="54"/>
    <x v="20"/>
    <x v="11"/>
    <x v="11"/>
    <n v="1005"/>
    <x v="21"/>
    <x v="0"/>
    <x v="34"/>
    <n v="3042"/>
    <x v="147"/>
    <n v="4100"/>
    <x v="342"/>
    <s v="X 31"/>
    <n v="9"/>
    <n v="9813"/>
    <x v="216"/>
    <s v="Annual"/>
    <n v="1"/>
    <n v="1"/>
    <n v="188400"/>
    <n v="188400"/>
  </r>
  <r>
    <x v="0"/>
    <n v="54"/>
    <x v="20"/>
    <x v="11"/>
    <x v="11"/>
    <n v="1005"/>
    <x v="21"/>
    <x v="0"/>
    <x v="34"/>
    <n v="3042"/>
    <x v="147"/>
    <n v="4100"/>
    <x v="342"/>
    <s v="BX 13"/>
    <n v="20"/>
    <n v="366"/>
    <x v="219"/>
    <s v="Annual"/>
    <n v="1"/>
    <n v="1"/>
    <n v="66516"/>
    <n v="66516"/>
  </r>
  <r>
    <x v="0"/>
    <n v="54"/>
    <x v="20"/>
    <x v="11"/>
    <x v="11"/>
    <n v="1005"/>
    <x v="21"/>
    <x v="0"/>
    <x v="34"/>
    <n v="3042"/>
    <x v="147"/>
    <n v="4100"/>
    <x v="342"/>
    <s v="1 00"/>
    <n v="0"/>
    <n v="15"/>
    <x v="37"/>
    <s v="Annual"/>
    <n v="0"/>
    <n v="0"/>
    <n v="3668"/>
    <n v="3668"/>
  </r>
  <r>
    <x v="0"/>
    <n v="54"/>
    <x v="20"/>
    <x v="11"/>
    <x v="11"/>
    <n v="1005"/>
    <x v="21"/>
    <x v="0"/>
    <x v="34"/>
    <n v="3042"/>
    <x v="147"/>
    <n v="4102"/>
    <x v="93"/>
    <s v="GY 10"/>
    <n v="10"/>
    <n v="1408"/>
    <x v="628"/>
    <s v="Annual"/>
    <n v="1"/>
    <n v="1"/>
    <n v="115992"/>
    <n v="115992"/>
  </r>
  <r>
    <x v="0"/>
    <n v="54"/>
    <x v="20"/>
    <x v="11"/>
    <x v="11"/>
    <n v="1005"/>
    <x v="21"/>
    <x v="0"/>
    <x v="34"/>
    <n v="3042"/>
    <x v="147"/>
    <n v="4102"/>
    <x v="93"/>
    <s v="GY 10"/>
    <n v="10"/>
    <n v="1408"/>
    <x v="628"/>
    <s v="Annual"/>
    <n v="2"/>
    <n v="1"/>
    <n v="111000"/>
    <n v="222000"/>
  </r>
  <r>
    <x v="0"/>
    <n v="54"/>
    <x v="20"/>
    <x v="11"/>
    <x v="11"/>
    <n v="1005"/>
    <x v="21"/>
    <x v="0"/>
    <x v="34"/>
    <n v="3042"/>
    <x v="147"/>
    <n v="4102"/>
    <x v="93"/>
    <s v="GY 10"/>
    <n v="10"/>
    <n v="1408"/>
    <x v="628"/>
    <s v="Annual"/>
    <n v="1"/>
    <n v="1"/>
    <n v="101628"/>
    <n v="101628"/>
  </r>
  <r>
    <x v="0"/>
    <n v="54"/>
    <x v="20"/>
    <x v="11"/>
    <x v="11"/>
    <n v="1005"/>
    <x v="21"/>
    <x v="0"/>
    <x v="34"/>
    <n v="3042"/>
    <x v="147"/>
    <n v="4102"/>
    <x v="93"/>
    <s v="GY 08"/>
    <n v="10"/>
    <n v="1405"/>
    <x v="629"/>
    <s v="Annual"/>
    <n v="1"/>
    <n v="1"/>
    <n v="97332"/>
    <n v="97332"/>
  </r>
  <r>
    <x v="0"/>
    <n v="54"/>
    <x v="20"/>
    <x v="11"/>
    <x v="11"/>
    <n v="1005"/>
    <x v="21"/>
    <x v="0"/>
    <x v="34"/>
    <n v="3042"/>
    <x v="147"/>
    <n v="4102"/>
    <x v="93"/>
    <s v="GY 08"/>
    <n v="10"/>
    <n v="1405"/>
    <x v="629"/>
    <s v="Annual"/>
    <n v="1"/>
    <n v="1"/>
    <n v="93156"/>
    <n v="93156"/>
  </r>
  <r>
    <x v="0"/>
    <n v="54"/>
    <x v="20"/>
    <x v="11"/>
    <x v="11"/>
    <n v="1005"/>
    <x v="21"/>
    <x v="0"/>
    <x v="34"/>
    <n v="3042"/>
    <x v="147"/>
    <n v="4102"/>
    <x v="93"/>
    <s v="GY 08"/>
    <n v="10"/>
    <n v="1405"/>
    <x v="629"/>
    <s v="Annual"/>
    <n v="2"/>
    <n v="1"/>
    <n v="85236"/>
    <n v="170472"/>
  </r>
  <r>
    <x v="0"/>
    <n v="54"/>
    <x v="20"/>
    <x v="11"/>
    <x v="11"/>
    <n v="1005"/>
    <x v="21"/>
    <x v="0"/>
    <x v="34"/>
    <n v="3042"/>
    <x v="147"/>
    <n v="4102"/>
    <x v="93"/>
    <s v="GY 08"/>
    <n v="10"/>
    <n v="1405"/>
    <x v="629"/>
    <s v="Annual"/>
    <n v="2"/>
    <n v="1"/>
    <n v="82884"/>
    <n v="165768"/>
  </r>
  <r>
    <x v="0"/>
    <n v="54"/>
    <x v="20"/>
    <x v="11"/>
    <x v="11"/>
    <n v="1005"/>
    <x v="21"/>
    <x v="0"/>
    <x v="34"/>
    <n v="3042"/>
    <x v="147"/>
    <n v="4102"/>
    <x v="93"/>
    <s v="X 33"/>
    <n v="9"/>
    <n v="313"/>
    <x v="220"/>
    <s v="Annual"/>
    <n v="1"/>
    <n v="1"/>
    <n v="121668"/>
    <n v="121668"/>
  </r>
  <r>
    <x v="0"/>
    <n v="54"/>
    <x v="20"/>
    <x v="11"/>
    <x v="11"/>
    <n v="1005"/>
    <x v="21"/>
    <x v="0"/>
    <x v="34"/>
    <n v="3042"/>
    <x v="147"/>
    <n v="4102"/>
    <x v="93"/>
    <s v="1 00"/>
    <n v="0"/>
    <n v="15"/>
    <x v="37"/>
    <s v="Annual"/>
    <n v="0"/>
    <n v="0"/>
    <n v="19911"/>
    <n v="19911"/>
  </r>
  <r>
    <x v="0"/>
    <n v="54"/>
    <x v="20"/>
    <x v="11"/>
    <x v="11"/>
    <n v="1005"/>
    <x v="21"/>
    <x v="0"/>
    <x v="34"/>
    <n v="3042"/>
    <x v="147"/>
    <n v="4106"/>
    <x v="343"/>
    <s v="GY 08"/>
    <n v="10"/>
    <n v="1407"/>
    <x v="630"/>
    <s v="Annual"/>
    <n v="1"/>
    <n v="1"/>
    <n v="93156"/>
    <n v="93156"/>
  </r>
  <r>
    <x v="0"/>
    <n v="54"/>
    <x v="20"/>
    <x v="11"/>
    <x v="11"/>
    <n v="1005"/>
    <x v="21"/>
    <x v="0"/>
    <x v="34"/>
    <n v="3042"/>
    <x v="147"/>
    <n v="4106"/>
    <x v="343"/>
    <s v="GY 08"/>
    <n v="10"/>
    <n v="1405"/>
    <x v="629"/>
    <s v="Annual"/>
    <n v="1"/>
    <n v="1"/>
    <n v="97332"/>
    <n v="97332"/>
  </r>
  <r>
    <x v="0"/>
    <n v="54"/>
    <x v="20"/>
    <x v="11"/>
    <x v="11"/>
    <n v="1005"/>
    <x v="21"/>
    <x v="0"/>
    <x v="34"/>
    <n v="3042"/>
    <x v="147"/>
    <n v="4106"/>
    <x v="343"/>
    <s v="GY 08"/>
    <n v="10"/>
    <n v="1405"/>
    <x v="629"/>
    <s v="Annual"/>
    <n v="1"/>
    <n v="1"/>
    <n v="93156"/>
    <n v="93156"/>
  </r>
  <r>
    <x v="0"/>
    <n v="54"/>
    <x v="20"/>
    <x v="11"/>
    <x v="11"/>
    <n v="1005"/>
    <x v="21"/>
    <x v="0"/>
    <x v="34"/>
    <n v="3042"/>
    <x v="147"/>
    <n v="4106"/>
    <x v="343"/>
    <s v="X 33"/>
    <n v="9"/>
    <n v="313"/>
    <x v="220"/>
    <s v="Annual"/>
    <n v="1"/>
    <n v="1"/>
    <n v="146808"/>
    <n v="146808"/>
  </r>
  <r>
    <x v="0"/>
    <n v="54"/>
    <x v="20"/>
    <x v="11"/>
    <x v="11"/>
    <n v="1005"/>
    <x v="21"/>
    <x v="0"/>
    <x v="34"/>
    <n v="3042"/>
    <x v="147"/>
    <n v="4106"/>
    <x v="343"/>
    <s v="1 00"/>
    <n v="0"/>
    <n v="15"/>
    <x v="37"/>
    <s v="Annual"/>
    <n v="0"/>
    <n v="0"/>
    <n v="7724"/>
    <n v="7724"/>
  </r>
  <r>
    <x v="0"/>
    <n v="54"/>
    <x v="20"/>
    <x v="11"/>
    <x v="11"/>
    <n v="1005"/>
    <x v="21"/>
    <x v="0"/>
    <x v="34"/>
    <n v="3044"/>
    <x v="148"/>
    <n v="4094"/>
    <x v="94"/>
    <s v="BX 16"/>
    <n v="10"/>
    <n v="1984"/>
    <x v="631"/>
    <s v="Annual"/>
    <n v="1"/>
    <n v="1"/>
    <n v="80124"/>
    <n v="80124"/>
  </r>
  <r>
    <x v="0"/>
    <n v="54"/>
    <x v="20"/>
    <x v="11"/>
    <x v="11"/>
    <n v="1005"/>
    <x v="21"/>
    <x v="0"/>
    <x v="34"/>
    <n v="3044"/>
    <x v="148"/>
    <n v="4094"/>
    <x v="94"/>
    <s v="B 14"/>
    <n v="4"/>
    <n v="1912"/>
    <x v="222"/>
    <s v="Annual"/>
    <n v="1"/>
    <n v="1"/>
    <n v="85200"/>
    <n v="85200"/>
  </r>
  <r>
    <x v="0"/>
    <n v="54"/>
    <x v="20"/>
    <x v="11"/>
    <x v="11"/>
    <n v="1005"/>
    <x v="21"/>
    <x v="0"/>
    <x v="34"/>
    <n v="3044"/>
    <x v="148"/>
    <n v="4094"/>
    <x v="94"/>
    <s v="B 12"/>
    <n v="1"/>
    <s v="03A8"/>
    <x v="88"/>
    <s v="Annual"/>
    <n v="1"/>
    <n v="1"/>
    <n v="108576"/>
    <n v="108576"/>
  </r>
  <r>
    <x v="0"/>
    <n v="54"/>
    <x v="20"/>
    <x v="11"/>
    <x v="11"/>
    <n v="1005"/>
    <x v="21"/>
    <x v="0"/>
    <x v="34"/>
    <n v="3044"/>
    <x v="148"/>
    <n v="4094"/>
    <x v="94"/>
    <s v="1 00"/>
    <n v="0"/>
    <n v="15"/>
    <x v="37"/>
    <s v="Annual"/>
    <n v="0"/>
    <n v="0"/>
    <n v="2860"/>
    <n v="2860"/>
  </r>
  <r>
    <x v="0"/>
    <n v="54"/>
    <x v="20"/>
    <x v="11"/>
    <x v="11"/>
    <n v="1005"/>
    <x v="21"/>
    <x v="0"/>
    <x v="34"/>
    <n v="3044"/>
    <x v="148"/>
    <n v="4095"/>
    <x v="95"/>
    <s v="X 32"/>
    <n v="9"/>
    <n v="9679"/>
    <x v="81"/>
    <s v="Annual"/>
    <n v="1"/>
    <n v="1"/>
    <n v="167964"/>
    <n v="167964"/>
  </r>
  <r>
    <x v="0"/>
    <n v="54"/>
    <x v="20"/>
    <x v="11"/>
    <x v="11"/>
    <n v="1005"/>
    <x v="21"/>
    <x v="0"/>
    <x v="34"/>
    <n v="3044"/>
    <x v="148"/>
    <n v="4095"/>
    <x v="95"/>
    <s v="BX 16"/>
    <n v="10"/>
    <n v="1984"/>
    <x v="631"/>
    <s v="Annual"/>
    <n v="1"/>
    <n v="1"/>
    <n v="85128"/>
    <n v="85128"/>
  </r>
  <r>
    <x v="0"/>
    <n v="54"/>
    <x v="20"/>
    <x v="11"/>
    <x v="11"/>
    <n v="1005"/>
    <x v="21"/>
    <x v="0"/>
    <x v="34"/>
    <n v="3044"/>
    <x v="148"/>
    <n v="4095"/>
    <x v="95"/>
    <s v="BX 16"/>
    <n v="10"/>
    <n v="1984"/>
    <x v="631"/>
    <s v="Annual"/>
    <n v="1"/>
    <n v="1"/>
    <n v="80124"/>
    <n v="80124"/>
  </r>
  <r>
    <x v="0"/>
    <n v="54"/>
    <x v="20"/>
    <x v="11"/>
    <x v="11"/>
    <n v="1005"/>
    <x v="21"/>
    <x v="0"/>
    <x v="34"/>
    <n v="3044"/>
    <x v="148"/>
    <n v="4095"/>
    <x v="95"/>
    <s v="1 00"/>
    <n v="0"/>
    <n v="15"/>
    <x v="37"/>
    <s v="Annual"/>
    <n v="0"/>
    <n v="0"/>
    <n v="7087"/>
    <n v="7087"/>
  </r>
  <r>
    <x v="0"/>
    <n v="54"/>
    <x v="20"/>
    <x v="11"/>
    <x v="11"/>
    <n v="1005"/>
    <x v="21"/>
    <x v="0"/>
    <x v="34"/>
    <n v="3044"/>
    <x v="148"/>
    <n v="4096"/>
    <x v="317"/>
    <s v="BX 16"/>
    <n v="10"/>
    <n v="1984"/>
    <x v="631"/>
    <s v="Annual"/>
    <n v="1"/>
    <n v="1"/>
    <n v="89112"/>
    <n v="89112"/>
  </r>
  <r>
    <x v="0"/>
    <n v="54"/>
    <x v="20"/>
    <x v="11"/>
    <x v="11"/>
    <n v="1005"/>
    <x v="21"/>
    <x v="0"/>
    <x v="34"/>
    <n v="3044"/>
    <x v="148"/>
    <n v="4096"/>
    <x v="317"/>
    <s v="BX 16"/>
    <n v="10"/>
    <n v="1984"/>
    <x v="631"/>
    <s v="Annual"/>
    <n v="1"/>
    <n v="1"/>
    <n v="83052"/>
    <n v="83052"/>
  </r>
  <r>
    <x v="0"/>
    <n v="54"/>
    <x v="20"/>
    <x v="11"/>
    <x v="11"/>
    <n v="1005"/>
    <x v="21"/>
    <x v="0"/>
    <x v="34"/>
    <n v="3044"/>
    <x v="148"/>
    <n v="4096"/>
    <x v="317"/>
    <s v="1 00"/>
    <n v="0"/>
    <n v="15"/>
    <x v="37"/>
    <s v="Annual"/>
    <n v="0"/>
    <n v="0"/>
    <n v="5606"/>
    <n v="5606"/>
  </r>
  <r>
    <x v="0"/>
    <n v="54"/>
    <x v="20"/>
    <x v="11"/>
    <x v="11"/>
    <n v="1005"/>
    <x v="21"/>
    <x v="0"/>
    <x v="34"/>
    <n v="3046"/>
    <x v="149"/>
    <n v="4169"/>
    <x v="96"/>
    <s v="X 33"/>
    <n v="20"/>
    <n v="2901"/>
    <x v="528"/>
    <s v="Annual"/>
    <n v="1"/>
    <n v="1"/>
    <n v="137532"/>
    <n v="137532"/>
  </r>
  <r>
    <x v="0"/>
    <n v="54"/>
    <x v="20"/>
    <x v="11"/>
    <x v="11"/>
    <n v="1005"/>
    <x v="21"/>
    <x v="0"/>
    <x v="34"/>
    <n v="3046"/>
    <x v="149"/>
    <n v="4169"/>
    <x v="96"/>
    <s v="GY 10"/>
    <n v="20"/>
    <n v="1441"/>
    <x v="542"/>
    <s v="Annual"/>
    <n v="1"/>
    <n v="1"/>
    <n v="106272"/>
    <n v="106272"/>
  </r>
  <r>
    <x v="0"/>
    <n v="54"/>
    <x v="20"/>
    <x v="11"/>
    <x v="11"/>
    <n v="1005"/>
    <x v="21"/>
    <x v="0"/>
    <x v="34"/>
    <n v="3046"/>
    <x v="149"/>
    <n v="4169"/>
    <x v="96"/>
    <s v="GY 08"/>
    <n v="10"/>
    <n v="1405"/>
    <x v="629"/>
    <s v="Annual"/>
    <n v="1"/>
    <n v="1"/>
    <n v="89112"/>
    <n v="89112"/>
  </r>
  <r>
    <x v="0"/>
    <n v="54"/>
    <x v="20"/>
    <x v="11"/>
    <x v="11"/>
    <n v="1005"/>
    <x v="21"/>
    <x v="0"/>
    <x v="34"/>
    <n v="3046"/>
    <x v="149"/>
    <n v="4169"/>
    <x v="96"/>
    <s v="1 00"/>
    <n v="0"/>
    <n v="15"/>
    <x v="37"/>
    <s v="Annual"/>
    <n v="0"/>
    <n v="0"/>
    <n v="11294"/>
    <n v="11294"/>
  </r>
  <r>
    <x v="0"/>
    <n v="54"/>
    <x v="20"/>
    <x v="11"/>
    <x v="11"/>
    <n v="1005"/>
    <x v="21"/>
    <x v="0"/>
    <x v="34"/>
    <n v="3046"/>
    <x v="149"/>
    <n v="4184"/>
    <x v="98"/>
    <s v="GY 10"/>
    <n v="20"/>
    <n v="1441"/>
    <x v="542"/>
    <s v="Annual"/>
    <n v="1"/>
    <n v="1"/>
    <n v="106272"/>
    <n v="106272"/>
  </r>
  <r>
    <x v="0"/>
    <n v="84"/>
    <x v="34"/>
    <x v="11"/>
    <x v="11"/>
    <n v="1115"/>
    <x v="41"/>
    <x v="28"/>
    <x v="61"/>
    <n v="3216"/>
    <x v="109"/>
    <n v="4216"/>
    <x v="230"/>
    <s v="G 07"/>
    <n v="4"/>
    <n v="5613"/>
    <x v="898"/>
    <s v="Annual"/>
    <n v="1"/>
    <n v="1"/>
    <n v="90144"/>
    <n v="90144"/>
  </r>
  <r>
    <x v="0"/>
    <n v="84"/>
    <x v="34"/>
    <x v="11"/>
    <x v="11"/>
    <n v="1115"/>
    <x v="41"/>
    <x v="28"/>
    <x v="61"/>
    <n v="3216"/>
    <x v="109"/>
    <n v="4216"/>
    <x v="230"/>
    <s v="BX 17"/>
    <n v="20"/>
    <n v="381"/>
    <x v="296"/>
    <s v="Annual"/>
    <n v="1"/>
    <n v="1"/>
    <n v="89112"/>
    <n v="89112"/>
  </r>
  <r>
    <x v="0"/>
    <n v="84"/>
    <x v="34"/>
    <x v="11"/>
    <x v="11"/>
    <n v="1115"/>
    <x v="41"/>
    <x v="28"/>
    <x v="61"/>
    <n v="3216"/>
    <x v="109"/>
    <n v="4216"/>
    <x v="230"/>
    <s v="BX 18"/>
    <n v="10"/>
    <n v="310"/>
    <x v="135"/>
    <s v="Annual"/>
    <n v="1"/>
    <n v="1"/>
    <n v="89112"/>
    <n v="89112"/>
  </r>
  <r>
    <x v="0"/>
    <n v="84"/>
    <x v="34"/>
    <x v="11"/>
    <x v="11"/>
    <n v="1115"/>
    <x v="41"/>
    <x v="28"/>
    <x v="61"/>
    <n v="3216"/>
    <x v="109"/>
    <n v="4216"/>
    <x v="230"/>
    <s v="BX 21"/>
    <n v="10"/>
    <n v="128"/>
    <x v="906"/>
    <s v="Annual"/>
    <n v="1"/>
    <n v="1"/>
    <n v="129228"/>
    <n v="129228"/>
  </r>
  <r>
    <x v="0"/>
    <n v="84"/>
    <x v="34"/>
    <x v="11"/>
    <x v="11"/>
    <n v="1115"/>
    <x v="41"/>
    <x v="28"/>
    <x v="61"/>
    <n v="3216"/>
    <x v="109"/>
    <n v="4216"/>
    <x v="230"/>
    <s v="B 13"/>
    <n v="4"/>
    <n v="110"/>
    <x v="93"/>
    <s v="Annual"/>
    <n v="1"/>
    <n v="1"/>
    <n v="68616"/>
    <n v="68616"/>
  </r>
  <r>
    <x v="0"/>
    <n v="84"/>
    <x v="34"/>
    <x v="11"/>
    <x v="11"/>
    <n v="1115"/>
    <x v="41"/>
    <x v="28"/>
    <x v="61"/>
    <n v="3216"/>
    <x v="109"/>
    <n v="4216"/>
    <x v="230"/>
    <s v="1 00"/>
    <n v="0"/>
    <n v="15"/>
    <x v="37"/>
    <s v="Annual"/>
    <n v="0"/>
    <n v="0"/>
    <n v="4984"/>
    <n v="4984"/>
  </r>
  <r>
    <x v="0"/>
    <n v="81"/>
    <x v="33"/>
    <x v="12"/>
    <x v="12"/>
    <n v="1015"/>
    <x v="35"/>
    <x v="6"/>
    <x v="56"/>
    <n v="3050"/>
    <x v="220"/>
    <n v="4025"/>
    <x v="211"/>
    <s v="2 0"/>
    <n v="8"/>
    <n v="7185"/>
    <x v="485"/>
    <s v="Hourly"/>
    <n v="13"/>
    <n v="1"/>
    <n v="52.38"/>
    <n v="1416355"/>
  </r>
  <r>
    <x v="0"/>
    <n v="81"/>
    <x v="33"/>
    <x v="12"/>
    <x v="12"/>
    <n v="1015"/>
    <x v="35"/>
    <x v="6"/>
    <x v="56"/>
    <n v="3050"/>
    <x v="220"/>
    <n v="4025"/>
    <x v="211"/>
    <s v="2 0"/>
    <n v="8"/>
    <n v="7184"/>
    <x v="882"/>
    <s v="Hourly"/>
    <n v="31"/>
    <n v="1"/>
    <n v="48.73"/>
    <n v="3142110"/>
  </r>
  <r>
    <x v="0"/>
    <n v="81"/>
    <x v="33"/>
    <x v="12"/>
    <x v="12"/>
    <n v="1015"/>
    <x v="35"/>
    <x v="6"/>
    <x v="56"/>
    <n v="3050"/>
    <x v="220"/>
    <n v="4025"/>
    <x v="211"/>
    <s v="2 0"/>
    <n v="8"/>
    <n v="7184"/>
    <x v="882"/>
    <s v="Hourly"/>
    <n v="8"/>
    <n v="1"/>
    <n v="43.86"/>
    <n v="729830"/>
  </r>
  <r>
    <x v="0"/>
    <n v="81"/>
    <x v="33"/>
    <x v="12"/>
    <x v="12"/>
    <n v="1015"/>
    <x v="35"/>
    <x v="6"/>
    <x v="56"/>
    <n v="3050"/>
    <x v="220"/>
    <n v="4025"/>
    <x v="211"/>
    <s v="2 0"/>
    <n v="8"/>
    <n v="7183"/>
    <x v="449"/>
    <s v="Hourly"/>
    <n v="41"/>
    <n v="1"/>
    <n v="48.73"/>
    <n v="4155694"/>
  </r>
  <r>
    <x v="0"/>
    <n v="81"/>
    <x v="33"/>
    <x v="12"/>
    <x v="12"/>
    <n v="1015"/>
    <x v="35"/>
    <x v="6"/>
    <x v="56"/>
    <n v="3050"/>
    <x v="220"/>
    <n v="4025"/>
    <x v="211"/>
    <s v="2 0"/>
    <n v="54"/>
    <n v="6329"/>
    <x v="883"/>
    <s v="Hourly"/>
    <n v="67"/>
    <n v="1"/>
    <n v="26.28"/>
    <n v="3662381"/>
  </r>
  <r>
    <x v="0"/>
    <n v="81"/>
    <x v="33"/>
    <x v="12"/>
    <x v="12"/>
    <n v="1015"/>
    <x v="35"/>
    <x v="6"/>
    <x v="56"/>
    <n v="3050"/>
    <x v="220"/>
    <n v="4025"/>
    <x v="211"/>
    <s v="2 0"/>
    <n v="54"/>
    <n v="6324"/>
    <x v="884"/>
    <s v="Hourly"/>
    <n v="3"/>
    <n v="1"/>
    <n v="49.79"/>
    <n v="310690"/>
  </r>
  <r>
    <x v="0"/>
    <n v="81"/>
    <x v="33"/>
    <x v="12"/>
    <x v="12"/>
    <n v="1015"/>
    <x v="35"/>
    <x v="6"/>
    <x v="56"/>
    <n v="3050"/>
    <x v="220"/>
    <n v="4025"/>
    <x v="211"/>
    <s v="2 0"/>
    <n v="54"/>
    <n v="6324"/>
    <x v="884"/>
    <s v="Hourly"/>
    <n v="345"/>
    <n v="1"/>
    <n v="47.79"/>
    <n v="34294104"/>
  </r>
  <r>
    <x v="0"/>
    <n v="81"/>
    <x v="33"/>
    <x v="12"/>
    <x v="12"/>
    <n v="1015"/>
    <x v="35"/>
    <x v="6"/>
    <x v="56"/>
    <n v="3050"/>
    <x v="220"/>
    <n v="4025"/>
    <x v="211"/>
    <s v="2 0"/>
    <n v="54"/>
    <n v="6324"/>
    <x v="884"/>
    <s v="Hourly"/>
    <n v="91"/>
    <n v="1"/>
    <n v="43.01"/>
    <n v="8140933"/>
  </r>
  <r>
    <x v="0"/>
    <n v="81"/>
    <x v="33"/>
    <x v="12"/>
    <x v="12"/>
    <n v="1015"/>
    <x v="35"/>
    <x v="6"/>
    <x v="56"/>
    <n v="3050"/>
    <x v="220"/>
    <n v="4025"/>
    <x v="211"/>
    <s v="2 0"/>
    <n v="54"/>
    <n v="6324"/>
    <x v="884"/>
    <s v="Hourly"/>
    <n v="50"/>
    <n v="1"/>
    <n v="35.840000000000003"/>
    <n v="3727360"/>
  </r>
  <r>
    <x v="0"/>
    <n v="81"/>
    <x v="33"/>
    <x v="12"/>
    <x v="12"/>
    <n v="1015"/>
    <x v="35"/>
    <x v="6"/>
    <x v="56"/>
    <n v="3050"/>
    <x v="220"/>
    <n v="4025"/>
    <x v="211"/>
    <s v="2 0"/>
    <n v="54"/>
    <n v="6324"/>
    <x v="884"/>
    <s v="Hourly"/>
    <n v="10"/>
    <n v="1"/>
    <n v="31.7"/>
    <n v="659360"/>
  </r>
  <r>
    <x v="0"/>
    <n v="81"/>
    <x v="33"/>
    <x v="12"/>
    <x v="12"/>
    <n v="1015"/>
    <x v="35"/>
    <x v="6"/>
    <x v="56"/>
    <n v="3050"/>
    <x v="220"/>
    <n v="4025"/>
    <x v="211"/>
    <s v="2 0"/>
    <n v="54"/>
    <n v="6324"/>
    <x v="884"/>
    <s v="Hourly"/>
    <n v="16"/>
    <n v="1"/>
    <n v="31.06"/>
    <n v="1033677"/>
  </r>
  <r>
    <x v="0"/>
    <n v="81"/>
    <x v="33"/>
    <x v="12"/>
    <x v="12"/>
    <n v="1015"/>
    <x v="35"/>
    <x v="6"/>
    <x v="56"/>
    <n v="3050"/>
    <x v="220"/>
    <n v="4025"/>
    <x v="211"/>
    <s v="1 00"/>
    <n v="0"/>
    <n v="12"/>
    <x v="291"/>
    <s v="Annual"/>
    <n v="0"/>
    <n v="0"/>
    <n v="919086"/>
    <n v="919086"/>
  </r>
  <r>
    <x v="0"/>
    <n v="70"/>
    <x v="28"/>
    <x v="13"/>
    <x v="13"/>
    <n v="1005"/>
    <x v="29"/>
    <x v="0"/>
    <x v="48"/>
    <n v="3018"/>
    <x v="205"/>
    <n v="4024"/>
    <x v="198"/>
    <s v="BX 15"/>
    <n v="10"/>
    <n v="1911"/>
    <x v="226"/>
    <s v="Annual"/>
    <n v="1"/>
    <n v="1"/>
    <n v="72996"/>
    <n v="72996"/>
  </r>
  <r>
    <x v="0"/>
    <n v="70"/>
    <x v="28"/>
    <x v="13"/>
    <x v="13"/>
    <n v="1005"/>
    <x v="29"/>
    <x v="0"/>
    <x v="48"/>
    <n v="3018"/>
    <x v="205"/>
    <n v="4024"/>
    <x v="198"/>
    <s v="BX 16"/>
    <n v="10"/>
    <n v="1211"/>
    <x v="840"/>
    <s v="Annual"/>
    <n v="1"/>
    <n v="1"/>
    <n v="124584"/>
    <n v="124584"/>
  </r>
  <r>
    <x v="0"/>
    <n v="70"/>
    <x v="28"/>
    <x v="13"/>
    <x v="13"/>
    <n v="1005"/>
    <x v="29"/>
    <x v="0"/>
    <x v="48"/>
    <n v="3018"/>
    <x v="205"/>
    <n v="4024"/>
    <x v="198"/>
    <s v="B 14"/>
    <n v="1"/>
    <n v="1210"/>
    <x v="841"/>
    <s v="Annual"/>
    <n v="2"/>
    <n v="1"/>
    <n v="130668"/>
    <n v="261336"/>
  </r>
  <r>
    <x v="0"/>
    <n v="70"/>
    <x v="28"/>
    <x v="13"/>
    <x v="13"/>
    <n v="1005"/>
    <x v="29"/>
    <x v="0"/>
    <x v="48"/>
    <n v="3018"/>
    <x v="205"/>
    <n v="4024"/>
    <x v="198"/>
    <s v="B 14"/>
    <n v="1"/>
    <n v="1210"/>
    <x v="841"/>
    <s v="Annual"/>
    <n v="1"/>
    <n v="1"/>
    <n v="119100"/>
    <n v="119100"/>
  </r>
  <r>
    <x v="0"/>
    <n v="70"/>
    <x v="28"/>
    <x v="13"/>
    <x v="13"/>
    <n v="1005"/>
    <x v="29"/>
    <x v="0"/>
    <x v="48"/>
    <n v="3018"/>
    <x v="205"/>
    <n v="4024"/>
    <x v="198"/>
    <s v="B 14"/>
    <n v="1"/>
    <n v="1210"/>
    <x v="841"/>
    <s v="Annual"/>
    <n v="1"/>
    <n v="1"/>
    <n v="75336"/>
    <n v="75336"/>
  </r>
  <r>
    <x v="0"/>
    <n v="70"/>
    <x v="28"/>
    <x v="13"/>
    <x v="13"/>
    <n v="1005"/>
    <x v="29"/>
    <x v="0"/>
    <x v="48"/>
    <n v="3018"/>
    <x v="205"/>
    <n v="4024"/>
    <x v="198"/>
    <s v="1 00"/>
    <n v="0"/>
    <n v="15"/>
    <x v="37"/>
    <s v="Annual"/>
    <n v="0"/>
    <n v="0"/>
    <n v="2030"/>
    <n v="2030"/>
  </r>
  <r>
    <x v="0"/>
    <n v="70"/>
    <x v="28"/>
    <x v="14"/>
    <x v="14"/>
    <n v="1005"/>
    <x v="29"/>
    <x v="0"/>
    <x v="48"/>
    <n v="3047"/>
    <x v="210"/>
    <n v="0"/>
    <x v="0"/>
    <s v="BX 15"/>
    <n v="10"/>
    <n v="948"/>
    <x v="1193"/>
    <s v="Annual"/>
    <n v="1"/>
    <n v="1"/>
    <n v="113568"/>
    <n v="113568"/>
  </r>
  <r>
    <x v="0"/>
    <n v="70"/>
    <x v="28"/>
    <x v="14"/>
    <x v="14"/>
    <n v="1005"/>
    <x v="29"/>
    <x v="0"/>
    <x v="48"/>
    <n v="3047"/>
    <x v="210"/>
    <n v="0"/>
    <x v="0"/>
    <s v="BX 15"/>
    <n v="10"/>
    <n v="948"/>
    <x v="1193"/>
    <s v="Annual"/>
    <n v="2"/>
    <n v="1"/>
    <n v="80124"/>
    <n v="160248"/>
  </r>
  <r>
    <x v="0"/>
    <n v="70"/>
    <x v="28"/>
    <x v="14"/>
    <x v="14"/>
    <n v="1005"/>
    <x v="29"/>
    <x v="0"/>
    <x v="48"/>
    <n v="3047"/>
    <x v="210"/>
    <n v="0"/>
    <x v="0"/>
    <s v="BX 12"/>
    <n v="10"/>
    <n v="945"/>
    <x v="1194"/>
    <s v="Annual"/>
    <n v="1"/>
    <n v="1"/>
    <n v="57852"/>
    <n v="57852"/>
  </r>
  <r>
    <x v="0"/>
    <n v="70"/>
    <x v="28"/>
    <x v="14"/>
    <x v="14"/>
    <n v="1005"/>
    <x v="29"/>
    <x v="0"/>
    <x v="48"/>
    <n v="3047"/>
    <x v="210"/>
    <n v="0"/>
    <x v="0"/>
    <s v="BX 16"/>
    <n v="10"/>
    <n v="944"/>
    <x v="1195"/>
    <s v="Annual"/>
    <n v="1"/>
    <n v="1"/>
    <n v="94332"/>
    <n v="94332"/>
  </r>
  <r>
    <x v="0"/>
    <n v="70"/>
    <x v="28"/>
    <x v="14"/>
    <x v="14"/>
    <n v="1005"/>
    <x v="29"/>
    <x v="0"/>
    <x v="48"/>
    <n v="3047"/>
    <x v="210"/>
    <n v="0"/>
    <x v="0"/>
    <s v="BX 18"/>
    <n v="10"/>
    <n v="943"/>
    <x v="1196"/>
    <s v="Annual"/>
    <n v="1"/>
    <n v="1"/>
    <n v="136692"/>
    <n v="136692"/>
  </r>
  <r>
    <x v="0"/>
    <n v="70"/>
    <x v="28"/>
    <x v="14"/>
    <x v="14"/>
    <n v="1005"/>
    <x v="29"/>
    <x v="0"/>
    <x v="48"/>
    <n v="3047"/>
    <x v="210"/>
    <n v="0"/>
    <x v="0"/>
    <s v="BX 14"/>
    <n v="10"/>
    <n v="940"/>
    <x v="1197"/>
    <s v="Annual"/>
    <n v="1"/>
    <n v="1"/>
    <n v="94332"/>
    <n v="94332"/>
  </r>
  <r>
    <x v="0"/>
    <n v="70"/>
    <x v="28"/>
    <x v="14"/>
    <x v="14"/>
    <n v="1005"/>
    <x v="29"/>
    <x v="0"/>
    <x v="48"/>
    <n v="3047"/>
    <x v="210"/>
    <n v="0"/>
    <x v="0"/>
    <s v="BX 12"/>
    <n v="10"/>
    <n v="938"/>
    <x v="1198"/>
    <s v="Annual"/>
    <n v="1"/>
    <n v="1"/>
    <n v="85980"/>
    <n v="85980"/>
  </r>
  <r>
    <x v="0"/>
    <n v="70"/>
    <x v="28"/>
    <x v="14"/>
    <x v="14"/>
    <n v="1005"/>
    <x v="29"/>
    <x v="0"/>
    <x v="48"/>
    <n v="3047"/>
    <x v="210"/>
    <n v="0"/>
    <x v="0"/>
    <s v="BX 12"/>
    <n v="10"/>
    <n v="938"/>
    <x v="1198"/>
    <s v="Annual"/>
    <n v="1"/>
    <n v="1"/>
    <n v="80916"/>
    <n v="80916"/>
  </r>
  <r>
    <x v="0"/>
    <n v="70"/>
    <x v="28"/>
    <x v="14"/>
    <x v="14"/>
    <n v="1005"/>
    <x v="29"/>
    <x v="0"/>
    <x v="48"/>
    <n v="3047"/>
    <x v="210"/>
    <n v="0"/>
    <x v="0"/>
    <s v="BX 12"/>
    <n v="10"/>
    <n v="938"/>
    <x v="1198"/>
    <s v="Annual"/>
    <n v="1"/>
    <n v="1"/>
    <n v="57852"/>
    <n v="57852"/>
  </r>
  <r>
    <x v="0"/>
    <n v="70"/>
    <x v="28"/>
    <x v="14"/>
    <x v="14"/>
    <n v="1005"/>
    <x v="29"/>
    <x v="0"/>
    <x v="48"/>
    <n v="3047"/>
    <x v="210"/>
    <n v="0"/>
    <x v="0"/>
    <s v="BX 14"/>
    <n v="10"/>
    <n v="937"/>
    <x v="1199"/>
    <s v="Annual"/>
    <n v="1"/>
    <n v="1"/>
    <n v="103488"/>
    <n v="103488"/>
  </r>
  <r>
    <x v="0"/>
    <n v="70"/>
    <x v="28"/>
    <x v="14"/>
    <x v="14"/>
    <n v="1005"/>
    <x v="29"/>
    <x v="0"/>
    <x v="48"/>
    <n v="3047"/>
    <x v="210"/>
    <n v="0"/>
    <x v="0"/>
    <s v="BX 16"/>
    <n v="10"/>
    <n v="927"/>
    <x v="1200"/>
    <s v="Annual"/>
    <n v="1"/>
    <n v="1"/>
    <n v="85128"/>
    <n v="85128"/>
  </r>
  <r>
    <x v="0"/>
    <n v="70"/>
    <x v="28"/>
    <x v="14"/>
    <x v="14"/>
    <n v="1005"/>
    <x v="29"/>
    <x v="0"/>
    <x v="48"/>
    <n v="3047"/>
    <x v="210"/>
    <n v="0"/>
    <x v="0"/>
    <s v="BX 14"/>
    <n v="10"/>
    <n v="926"/>
    <x v="1201"/>
    <s v="Annual"/>
    <n v="1"/>
    <n v="1"/>
    <n v="80916"/>
    <n v="80916"/>
  </r>
  <r>
    <x v="0"/>
    <n v="70"/>
    <x v="28"/>
    <x v="14"/>
    <x v="14"/>
    <n v="1005"/>
    <x v="29"/>
    <x v="0"/>
    <x v="48"/>
    <n v="3047"/>
    <x v="210"/>
    <n v="0"/>
    <x v="0"/>
    <s v="BX 14"/>
    <n v="10"/>
    <n v="926"/>
    <x v="1201"/>
    <s v="Annual"/>
    <n v="1"/>
    <n v="1"/>
    <n v="76476"/>
    <n v="76476"/>
  </r>
  <r>
    <x v="0"/>
    <n v="70"/>
    <x v="28"/>
    <x v="14"/>
    <x v="14"/>
    <n v="1005"/>
    <x v="29"/>
    <x v="0"/>
    <x v="48"/>
    <n v="3047"/>
    <x v="210"/>
    <n v="0"/>
    <x v="0"/>
    <s v="BX 14"/>
    <n v="10"/>
    <n v="926"/>
    <x v="1201"/>
    <s v="Annual"/>
    <n v="1"/>
    <n v="1"/>
    <n v="72996"/>
    <n v="72996"/>
  </r>
  <r>
    <x v="0"/>
    <n v="70"/>
    <x v="28"/>
    <x v="14"/>
    <x v="14"/>
    <n v="1005"/>
    <x v="29"/>
    <x v="0"/>
    <x v="48"/>
    <n v="3047"/>
    <x v="210"/>
    <n v="0"/>
    <x v="0"/>
    <s v="1 00"/>
    <n v="0"/>
    <n v="15"/>
    <x v="37"/>
    <s v="Annual"/>
    <n v="0"/>
    <n v="0"/>
    <n v="11442"/>
    <n v="11442"/>
  </r>
  <r>
    <x v="0"/>
    <n v="1"/>
    <x v="0"/>
    <x v="15"/>
    <x v="15"/>
    <n v="1005"/>
    <x v="0"/>
    <x v="0"/>
    <x v="0"/>
    <n v="3140"/>
    <x v="314"/>
    <n v="0"/>
    <x v="0"/>
    <s v="1 00"/>
    <n v="9"/>
    <n v="9877"/>
    <x v="1"/>
    <s v="Annual"/>
    <n v="1"/>
    <n v="1"/>
    <n v="135912"/>
    <n v="135912"/>
  </r>
  <r>
    <x v="0"/>
    <n v="1"/>
    <x v="0"/>
    <x v="15"/>
    <x v="15"/>
    <n v="1005"/>
    <x v="0"/>
    <x v="0"/>
    <x v="0"/>
    <n v="3140"/>
    <x v="314"/>
    <n v="0"/>
    <x v="0"/>
    <s v="1 00"/>
    <n v="9"/>
    <n v="9875"/>
    <x v="2"/>
    <s v="Annual"/>
    <n v="1"/>
    <n v="1"/>
    <n v="106596"/>
    <n v="106596"/>
  </r>
  <r>
    <x v="0"/>
    <n v="1"/>
    <x v="0"/>
    <x v="15"/>
    <x v="15"/>
    <n v="1005"/>
    <x v="0"/>
    <x v="0"/>
    <x v="0"/>
    <n v="3140"/>
    <x v="314"/>
    <n v="0"/>
    <x v="0"/>
    <s v="1 00"/>
    <n v="9"/>
    <n v="9875"/>
    <x v="2"/>
    <s v="Annual"/>
    <n v="1"/>
    <n v="1"/>
    <n v="103488"/>
    <n v="103488"/>
  </r>
  <r>
    <x v="0"/>
    <n v="1"/>
    <x v="0"/>
    <x v="15"/>
    <x v="15"/>
    <n v="1005"/>
    <x v="0"/>
    <x v="0"/>
    <x v="0"/>
    <n v="3140"/>
    <x v="314"/>
    <n v="0"/>
    <x v="0"/>
    <s v="1 00"/>
    <n v="9"/>
    <n v="9875"/>
    <x v="2"/>
    <s v="Annual"/>
    <n v="2"/>
    <n v="1"/>
    <n v="100464"/>
    <n v="200928"/>
  </r>
  <r>
    <x v="0"/>
    <n v="1"/>
    <x v="0"/>
    <x v="15"/>
    <x v="15"/>
    <n v="1005"/>
    <x v="0"/>
    <x v="0"/>
    <x v="0"/>
    <n v="3140"/>
    <x v="314"/>
    <n v="0"/>
    <x v="0"/>
    <s v="1 00"/>
    <n v="9"/>
    <n v="9872"/>
    <x v="24"/>
    <s v="Annual"/>
    <n v="1"/>
    <n v="1"/>
    <n v="195000"/>
    <n v="195000"/>
  </r>
  <r>
    <x v="0"/>
    <n v="1"/>
    <x v="0"/>
    <x v="15"/>
    <x v="15"/>
    <n v="1005"/>
    <x v="0"/>
    <x v="0"/>
    <x v="0"/>
    <n v="3140"/>
    <x v="314"/>
    <n v="0"/>
    <x v="0"/>
    <s v="1 00"/>
    <n v="9"/>
    <n v="9871"/>
    <x v="21"/>
    <s v="Annual"/>
    <n v="1"/>
    <n v="1"/>
    <n v="144648"/>
    <n v="144648"/>
  </r>
  <r>
    <x v="0"/>
    <n v="1"/>
    <x v="0"/>
    <x v="15"/>
    <x v="15"/>
    <n v="1005"/>
    <x v="0"/>
    <x v="0"/>
    <x v="0"/>
    <n v="3140"/>
    <x v="314"/>
    <n v="0"/>
    <x v="0"/>
    <s v="3 00"/>
    <n v="9"/>
    <n v="9866"/>
    <x v="25"/>
    <s v="Annual"/>
    <n v="1"/>
    <n v="1"/>
    <n v="100464"/>
    <n v="100464"/>
  </r>
  <r>
    <x v="0"/>
    <n v="50"/>
    <x v="18"/>
    <x v="15"/>
    <x v="15"/>
    <n v="1005"/>
    <x v="19"/>
    <x v="0"/>
    <x v="32"/>
    <n v="3025"/>
    <x v="142"/>
    <n v="0"/>
    <x v="0"/>
    <s v="B 15"/>
    <n v="1"/>
    <n v="3955"/>
    <x v="599"/>
    <s v="Annual"/>
    <n v="1"/>
    <n v="1"/>
    <n v="119100"/>
    <n v="119100"/>
  </r>
  <r>
    <x v="0"/>
    <n v="50"/>
    <x v="18"/>
    <x v="15"/>
    <x v="15"/>
    <n v="1005"/>
    <x v="19"/>
    <x v="0"/>
    <x v="32"/>
    <n v="3025"/>
    <x v="142"/>
    <n v="0"/>
    <x v="0"/>
    <s v="B 15"/>
    <n v="1"/>
    <n v="3955"/>
    <x v="599"/>
    <s v="Annual"/>
    <n v="2"/>
    <n v="1"/>
    <n v="93504"/>
    <n v="187008"/>
  </r>
  <r>
    <x v="0"/>
    <n v="50"/>
    <x v="18"/>
    <x v="15"/>
    <x v="15"/>
    <n v="1005"/>
    <x v="19"/>
    <x v="0"/>
    <x v="32"/>
    <n v="3025"/>
    <x v="142"/>
    <n v="0"/>
    <x v="0"/>
    <s v="B 15"/>
    <n v="1"/>
    <n v="3955"/>
    <x v="599"/>
    <s v="Annual"/>
    <n v="3"/>
    <n v="1"/>
    <n v="89244"/>
    <n v="267732"/>
  </r>
  <r>
    <x v="0"/>
    <n v="50"/>
    <x v="18"/>
    <x v="15"/>
    <x v="15"/>
    <n v="1005"/>
    <x v="19"/>
    <x v="0"/>
    <x v="32"/>
    <n v="3025"/>
    <x v="142"/>
    <n v="0"/>
    <x v="0"/>
    <s v="BX 18"/>
    <n v="10"/>
    <n v="310"/>
    <x v="135"/>
    <s v="Annual"/>
    <n v="1"/>
    <n v="1"/>
    <n v="107340"/>
    <n v="107340"/>
  </r>
  <r>
    <x v="0"/>
    <n v="50"/>
    <x v="18"/>
    <x v="15"/>
    <x v="15"/>
    <n v="1005"/>
    <x v="19"/>
    <x v="0"/>
    <x v="32"/>
    <n v="3025"/>
    <x v="142"/>
    <n v="0"/>
    <x v="0"/>
    <s v="BX 18"/>
    <n v="10"/>
    <n v="310"/>
    <x v="135"/>
    <s v="Annual"/>
    <n v="1"/>
    <n v="1"/>
    <n v="102444"/>
    <n v="102444"/>
  </r>
  <r>
    <x v="0"/>
    <n v="50"/>
    <x v="18"/>
    <x v="15"/>
    <x v="15"/>
    <n v="1005"/>
    <x v="19"/>
    <x v="0"/>
    <x v="32"/>
    <n v="3025"/>
    <x v="142"/>
    <n v="0"/>
    <x v="0"/>
    <s v="1 00"/>
    <n v="0"/>
    <n v="15"/>
    <x v="37"/>
    <s v="Annual"/>
    <n v="0"/>
    <n v="0"/>
    <n v="6369"/>
    <n v="6369"/>
  </r>
  <r>
    <x v="0"/>
    <n v="57"/>
    <x v="22"/>
    <x v="15"/>
    <x v="15"/>
    <n v="1005"/>
    <x v="23"/>
    <x v="15"/>
    <x v="42"/>
    <n v="3358"/>
    <x v="179"/>
    <n v="4362"/>
    <x v="344"/>
    <s v="X 42"/>
    <n v="9"/>
    <n v="9704"/>
    <x v="744"/>
    <s v="Annual"/>
    <n v="1"/>
    <n v="1"/>
    <n v="192852"/>
    <n v="192852"/>
  </r>
  <r>
    <x v="0"/>
    <n v="57"/>
    <x v="22"/>
    <x v="15"/>
    <x v="15"/>
    <n v="1005"/>
    <x v="23"/>
    <x v="15"/>
    <x v="42"/>
    <n v="3358"/>
    <x v="179"/>
    <n v="4362"/>
    <x v="344"/>
    <s v="X 42"/>
    <n v="9"/>
    <n v="9675"/>
    <x v="76"/>
    <s v="Annual"/>
    <n v="1"/>
    <n v="1"/>
    <n v="192852"/>
    <n v="192852"/>
  </r>
  <r>
    <x v="0"/>
    <n v="57"/>
    <x v="22"/>
    <x v="15"/>
    <x v="15"/>
    <n v="1005"/>
    <x v="23"/>
    <x v="15"/>
    <x v="42"/>
    <n v="3358"/>
    <x v="179"/>
    <n v="4362"/>
    <x v="344"/>
    <s v="E 05"/>
    <n v="75"/>
    <n v="9175"/>
    <x v="665"/>
    <s v="Annual"/>
    <n v="1"/>
    <n v="1"/>
    <n v="181188"/>
    <n v="181188"/>
  </r>
  <r>
    <x v="0"/>
    <n v="57"/>
    <x v="22"/>
    <x v="15"/>
    <x v="15"/>
    <n v="1005"/>
    <x v="23"/>
    <x v="15"/>
    <x v="42"/>
    <n v="3358"/>
    <x v="179"/>
    <n v="4362"/>
    <x v="344"/>
    <s v="D 01"/>
    <n v="91"/>
    <n v="9161"/>
    <x v="655"/>
    <s v="Annual"/>
    <n v="1"/>
    <n v="1"/>
    <n v="63636"/>
    <n v="63636"/>
  </r>
  <r>
    <x v="0"/>
    <n v="57"/>
    <x v="22"/>
    <x v="15"/>
    <x v="15"/>
    <n v="1005"/>
    <x v="23"/>
    <x v="15"/>
    <x v="42"/>
    <n v="3358"/>
    <x v="179"/>
    <n v="4362"/>
    <x v="344"/>
    <s v="D 03"/>
    <n v="91"/>
    <n v="9156"/>
    <x v="1202"/>
    <s v="Annual"/>
    <n v="1"/>
    <n v="1"/>
    <n v="147252"/>
    <n v="147252"/>
  </r>
  <r>
    <x v="0"/>
    <n v="57"/>
    <x v="22"/>
    <x v="15"/>
    <x v="15"/>
    <n v="1005"/>
    <x v="23"/>
    <x v="15"/>
    <x v="42"/>
    <n v="3358"/>
    <x v="179"/>
    <n v="4362"/>
    <x v="344"/>
    <s v="G 09"/>
    <n v="4"/>
    <n v="3537"/>
    <x v="1203"/>
    <s v="Annual"/>
    <n v="1"/>
    <n v="1"/>
    <n v="146448"/>
    <n v="146448"/>
  </r>
  <r>
    <x v="0"/>
    <n v="57"/>
    <x v="22"/>
    <x v="15"/>
    <x v="15"/>
    <n v="1005"/>
    <x v="23"/>
    <x v="15"/>
    <x v="42"/>
    <n v="3358"/>
    <x v="179"/>
    <n v="4362"/>
    <x v="344"/>
    <s v="G 09"/>
    <n v="4"/>
    <n v="3537"/>
    <x v="1203"/>
    <s v="Annual"/>
    <n v="2"/>
    <n v="1"/>
    <n v="117636"/>
    <n v="235272"/>
  </r>
  <r>
    <x v="0"/>
    <n v="57"/>
    <x v="22"/>
    <x v="15"/>
    <x v="15"/>
    <n v="1005"/>
    <x v="23"/>
    <x v="15"/>
    <x v="42"/>
    <n v="3358"/>
    <x v="179"/>
    <n v="4362"/>
    <x v="344"/>
    <s v="G 08"/>
    <n v="4"/>
    <n v="3536"/>
    <x v="1204"/>
    <s v="Annual"/>
    <n v="5"/>
    <n v="1"/>
    <n v="122928"/>
    <n v="614640"/>
  </r>
  <r>
    <x v="0"/>
    <n v="57"/>
    <x v="22"/>
    <x v="15"/>
    <x v="15"/>
    <n v="1005"/>
    <x v="23"/>
    <x v="15"/>
    <x v="42"/>
    <n v="3358"/>
    <x v="179"/>
    <n v="4362"/>
    <x v="344"/>
    <s v="G 08"/>
    <n v="4"/>
    <n v="3536"/>
    <x v="1204"/>
    <s v="Annual"/>
    <n v="3"/>
    <n v="1"/>
    <n v="117636"/>
    <n v="352908"/>
  </r>
  <r>
    <x v="0"/>
    <n v="57"/>
    <x v="22"/>
    <x v="15"/>
    <x v="15"/>
    <n v="1005"/>
    <x v="23"/>
    <x v="15"/>
    <x v="42"/>
    <n v="3358"/>
    <x v="179"/>
    <n v="4362"/>
    <x v="344"/>
    <s v="G 08"/>
    <n v="4"/>
    <n v="3536"/>
    <x v="1204"/>
    <s v="Annual"/>
    <n v="8"/>
    <n v="1"/>
    <n v="107628"/>
    <n v="861024"/>
  </r>
  <r>
    <x v="0"/>
    <n v="57"/>
    <x v="22"/>
    <x v="15"/>
    <x v="15"/>
    <n v="1005"/>
    <x v="23"/>
    <x v="15"/>
    <x v="42"/>
    <n v="3358"/>
    <x v="179"/>
    <n v="4362"/>
    <x v="344"/>
    <s v="G 08"/>
    <n v="4"/>
    <n v="3536"/>
    <x v="1204"/>
    <s v="Annual"/>
    <n v="6"/>
    <n v="1"/>
    <n v="99408"/>
    <n v="596448"/>
  </r>
  <r>
    <x v="0"/>
    <n v="57"/>
    <x v="22"/>
    <x v="15"/>
    <x v="15"/>
    <n v="1005"/>
    <x v="23"/>
    <x v="15"/>
    <x v="42"/>
    <n v="3358"/>
    <x v="179"/>
    <n v="4362"/>
    <x v="344"/>
    <s v="X 43"/>
    <n v="0"/>
    <s v="03A4"/>
    <x v="237"/>
    <s v="Annual"/>
    <n v="1"/>
    <n v="1"/>
    <n v="160680"/>
    <n v="160680"/>
  </r>
  <r>
    <x v="0"/>
    <n v="57"/>
    <x v="22"/>
    <x v="15"/>
    <x v="15"/>
    <n v="1005"/>
    <x v="23"/>
    <x v="15"/>
    <x v="42"/>
    <n v="3358"/>
    <x v="179"/>
    <n v="4362"/>
    <x v="344"/>
    <s v="1 00"/>
    <n v="0"/>
    <n v="15"/>
    <x v="37"/>
    <s v="Annual"/>
    <n v="0"/>
    <n v="0"/>
    <n v="35348"/>
    <n v="35348"/>
  </r>
  <r>
    <x v="0"/>
    <n v="1"/>
    <x v="0"/>
    <x v="16"/>
    <x v="16"/>
    <n v="1005"/>
    <x v="0"/>
    <x v="0"/>
    <x v="0"/>
    <n v="3140"/>
    <x v="314"/>
    <n v="0"/>
    <x v="0"/>
    <s v="1 00"/>
    <n v="9"/>
    <n v="9877"/>
    <x v="1"/>
    <s v="Annual"/>
    <n v="2"/>
    <n v="1"/>
    <n v="135360"/>
    <n v="270720"/>
  </r>
  <r>
    <x v="0"/>
    <n v="1"/>
    <x v="0"/>
    <x v="16"/>
    <x v="16"/>
    <n v="1005"/>
    <x v="0"/>
    <x v="0"/>
    <x v="0"/>
    <n v="3140"/>
    <x v="314"/>
    <n v="0"/>
    <x v="0"/>
    <s v="1 00"/>
    <n v="9"/>
    <n v="9875"/>
    <x v="2"/>
    <s v="Annual"/>
    <n v="1"/>
    <n v="1"/>
    <n v="115416"/>
    <n v="115416"/>
  </r>
  <r>
    <x v="0"/>
    <n v="1"/>
    <x v="0"/>
    <x v="16"/>
    <x v="16"/>
    <n v="1005"/>
    <x v="0"/>
    <x v="0"/>
    <x v="0"/>
    <n v="3175"/>
    <x v="315"/>
    <n v="0"/>
    <x v="0"/>
    <s v="1 00"/>
    <n v="9"/>
    <n v="9877"/>
    <x v="1"/>
    <s v="Annual"/>
    <n v="1"/>
    <n v="1"/>
    <n v="146544"/>
    <n v="146544"/>
  </r>
  <r>
    <x v="0"/>
    <n v="1"/>
    <x v="0"/>
    <x v="16"/>
    <x v="16"/>
    <n v="1005"/>
    <x v="0"/>
    <x v="0"/>
    <x v="0"/>
    <n v="3175"/>
    <x v="315"/>
    <n v="0"/>
    <x v="0"/>
    <s v="1 00"/>
    <n v="9"/>
    <n v="9875"/>
    <x v="2"/>
    <s v="Annual"/>
    <n v="1"/>
    <n v="1"/>
    <n v="109176"/>
    <n v="109176"/>
  </r>
  <r>
    <x v="0"/>
    <n v="1"/>
    <x v="0"/>
    <x v="16"/>
    <x v="16"/>
    <n v="1005"/>
    <x v="0"/>
    <x v="0"/>
    <x v="0"/>
    <n v="3175"/>
    <x v="315"/>
    <n v="0"/>
    <x v="0"/>
    <s v="1 00"/>
    <n v="9"/>
    <n v="9874"/>
    <x v="5"/>
    <s v="Annual"/>
    <n v="1"/>
    <n v="1"/>
    <n v="99684"/>
    <n v="99684"/>
  </r>
  <r>
    <x v="0"/>
    <n v="1"/>
    <x v="0"/>
    <x v="16"/>
    <x v="16"/>
    <n v="1005"/>
    <x v="0"/>
    <x v="0"/>
    <x v="0"/>
    <n v="3175"/>
    <x v="315"/>
    <n v="0"/>
    <x v="0"/>
    <s v="1 00"/>
    <n v="9"/>
    <n v="9874"/>
    <x v="5"/>
    <s v="Annual"/>
    <n v="1"/>
    <n v="1"/>
    <n v="89616"/>
    <n v="89616"/>
  </r>
  <r>
    <x v="0"/>
    <n v="41"/>
    <x v="15"/>
    <x v="17"/>
    <x v="17"/>
    <n v="1005"/>
    <x v="16"/>
    <x v="0"/>
    <x v="81"/>
    <n v="3006"/>
    <x v="106"/>
    <n v="0"/>
    <x v="0"/>
    <s v="B 15"/>
    <n v="1"/>
    <n v="729"/>
    <x v="32"/>
    <s v="Annual"/>
    <n v="1"/>
    <n v="1"/>
    <n v="89244"/>
    <n v="89244"/>
  </r>
  <r>
    <x v="0"/>
    <n v="41"/>
    <x v="15"/>
    <x v="17"/>
    <x v="17"/>
    <n v="1005"/>
    <x v="16"/>
    <x v="0"/>
    <x v="81"/>
    <n v="3006"/>
    <x v="106"/>
    <n v="0"/>
    <x v="0"/>
    <s v="1 00"/>
    <n v="0"/>
    <n v="15"/>
    <x v="37"/>
    <s v="Annual"/>
    <n v="0"/>
    <n v="0"/>
    <n v="3278"/>
    <n v="3278"/>
  </r>
  <r>
    <x v="0"/>
    <n v="41"/>
    <x v="15"/>
    <x v="17"/>
    <x v="17"/>
    <n v="1005"/>
    <x v="16"/>
    <x v="0"/>
    <x v="81"/>
    <n v="3037"/>
    <x v="316"/>
    <n v="0"/>
    <x v="0"/>
    <s v="B 14"/>
    <n v="4"/>
    <n v="3466"/>
    <x v="545"/>
    <s v="Annual"/>
    <n v="1"/>
    <n v="1"/>
    <n v="81324"/>
    <n v="81324"/>
  </r>
  <r>
    <x v="0"/>
    <n v="41"/>
    <x v="15"/>
    <x v="17"/>
    <x v="17"/>
    <n v="1005"/>
    <x v="16"/>
    <x v="0"/>
    <x v="81"/>
    <n v="3037"/>
    <x v="316"/>
    <n v="0"/>
    <x v="0"/>
    <s v="GY 11"/>
    <n v="20"/>
    <n v="3408"/>
    <x v="533"/>
    <s v="Annual"/>
    <n v="1"/>
    <n v="1"/>
    <n v="111000"/>
    <n v="111000"/>
  </r>
  <r>
    <x v="0"/>
    <n v="41"/>
    <x v="15"/>
    <x v="17"/>
    <x v="17"/>
    <n v="1005"/>
    <x v="16"/>
    <x v="0"/>
    <x v="81"/>
    <n v="3037"/>
    <x v="316"/>
    <n v="0"/>
    <x v="0"/>
    <s v="X 33"/>
    <n v="20"/>
    <n v="3057"/>
    <x v="541"/>
    <s v="Annual"/>
    <n v="1"/>
    <n v="1"/>
    <n v="137532"/>
    <n v="137532"/>
  </r>
  <r>
    <x v="0"/>
    <n v="41"/>
    <x v="15"/>
    <x v="17"/>
    <x v="17"/>
    <n v="1005"/>
    <x v="16"/>
    <x v="0"/>
    <x v="81"/>
    <n v="3037"/>
    <x v="316"/>
    <n v="0"/>
    <x v="0"/>
    <s v="BX 17"/>
    <n v="10"/>
    <n v="1431"/>
    <x v="82"/>
    <s v="Annual"/>
    <n v="1"/>
    <n v="1"/>
    <n v="97836"/>
    <n v="97836"/>
  </r>
  <r>
    <x v="0"/>
    <n v="41"/>
    <x v="15"/>
    <x v="17"/>
    <x v="17"/>
    <n v="1005"/>
    <x v="16"/>
    <x v="0"/>
    <x v="81"/>
    <n v="3037"/>
    <x v="316"/>
    <n v="0"/>
    <x v="0"/>
    <s v="B 14"/>
    <n v="4"/>
    <n v="620"/>
    <x v="1104"/>
    <s v="Annual"/>
    <n v="1"/>
    <n v="1"/>
    <n v="75336"/>
    <n v="75336"/>
  </r>
  <r>
    <x v="0"/>
    <n v="41"/>
    <x v="15"/>
    <x v="17"/>
    <x v="17"/>
    <n v="1005"/>
    <x v="16"/>
    <x v="0"/>
    <x v="81"/>
    <n v="3037"/>
    <x v="316"/>
    <n v="0"/>
    <x v="0"/>
    <s v="G 10"/>
    <n v="4"/>
    <n v="613"/>
    <x v="900"/>
    <s v="Annual"/>
    <n v="1"/>
    <n v="1"/>
    <n v="128316"/>
    <n v="128316"/>
  </r>
  <r>
    <x v="0"/>
    <n v="41"/>
    <x v="15"/>
    <x v="17"/>
    <x v="17"/>
    <n v="1005"/>
    <x v="16"/>
    <x v="0"/>
    <x v="81"/>
    <n v="3037"/>
    <x v="316"/>
    <n v="0"/>
    <x v="0"/>
    <s v="B 10"/>
    <n v="1"/>
    <s v="03A7"/>
    <x v="4"/>
    <s v="Annual"/>
    <n v="1"/>
    <n v="1"/>
    <n v="51936"/>
    <n v="51936"/>
  </r>
  <r>
    <x v="0"/>
    <n v="41"/>
    <x v="15"/>
    <x v="17"/>
    <x v="17"/>
    <n v="1005"/>
    <x v="16"/>
    <x v="0"/>
    <x v="81"/>
    <n v="3037"/>
    <x v="316"/>
    <n v="0"/>
    <x v="0"/>
    <s v="B 14"/>
    <n v="1"/>
    <n v="380"/>
    <x v="914"/>
    <s v="Annual"/>
    <n v="1"/>
    <n v="1"/>
    <n v="130668"/>
    <n v="130668"/>
  </r>
  <r>
    <x v="0"/>
    <n v="41"/>
    <x v="15"/>
    <x v="17"/>
    <x v="17"/>
    <n v="1005"/>
    <x v="16"/>
    <x v="0"/>
    <x v="81"/>
    <n v="3037"/>
    <x v="316"/>
    <n v="0"/>
    <x v="0"/>
    <s v="X 33"/>
    <n v="9"/>
    <n v="313"/>
    <x v="220"/>
    <s v="Annual"/>
    <n v="1"/>
    <n v="1"/>
    <n v="146808"/>
    <n v="146808"/>
  </r>
  <r>
    <x v="0"/>
    <n v="41"/>
    <x v="15"/>
    <x v="17"/>
    <x v="17"/>
    <n v="1005"/>
    <x v="16"/>
    <x v="0"/>
    <x v="81"/>
    <n v="3037"/>
    <x v="316"/>
    <n v="0"/>
    <x v="0"/>
    <s v="BX 18"/>
    <n v="10"/>
    <n v="311"/>
    <x v="253"/>
    <s v="Annual"/>
    <n v="1"/>
    <n v="1"/>
    <n v="107340"/>
    <n v="107340"/>
  </r>
  <r>
    <x v="0"/>
    <n v="41"/>
    <x v="15"/>
    <x v="17"/>
    <x v="17"/>
    <n v="1005"/>
    <x v="16"/>
    <x v="0"/>
    <x v="81"/>
    <n v="3037"/>
    <x v="316"/>
    <n v="0"/>
    <x v="0"/>
    <s v="BX 18"/>
    <n v="10"/>
    <n v="311"/>
    <x v="253"/>
    <s v="Annual"/>
    <n v="1"/>
    <n v="1"/>
    <n v="102444"/>
    <n v="102444"/>
  </r>
  <r>
    <x v="0"/>
    <n v="41"/>
    <x v="15"/>
    <x v="17"/>
    <x v="17"/>
    <n v="1005"/>
    <x v="16"/>
    <x v="0"/>
    <x v="81"/>
    <n v="3037"/>
    <x v="316"/>
    <n v="0"/>
    <x v="0"/>
    <s v="BX 18"/>
    <n v="10"/>
    <n v="311"/>
    <x v="253"/>
    <s v="Annual"/>
    <n v="3"/>
    <n v="1"/>
    <n v="93384"/>
    <n v="280152"/>
  </r>
  <r>
    <x v="0"/>
    <n v="41"/>
    <x v="15"/>
    <x v="17"/>
    <x v="17"/>
    <n v="1005"/>
    <x v="16"/>
    <x v="0"/>
    <x v="81"/>
    <n v="3037"/>
    <x v="316"/>
    <n v="0"/>
    <x v="0"/>
    <s v="B 13"/>
    <n v="1"/>
    <n v="308"/>
    <x v="90"/>
    <s v="Annual"/>
    <n v="1"/>
    <n v="1"/>
    <n v="68616"/>
    <n v="68616"/>
  </r>
  <r>
    <x v="0"/>
    <n v="41"/>
    <x v="15"/>
    <x v="17"/>
    <x v="17"/>
    <n v="1005"/>
    <x v="16"/>
    <x v="0"/>
    <x v="81"/>
    <n v="3037"/>
    <x v="316"/>
    <n v="0"/>
    <x v="0"/>
    <s v="G 09"/>
    <n v="4"/>
    <n v="194"/>
    <x v="282"/>
    <s v="Annual"/>
    <n v="1"/>
    <n v="1"/>
    <n v="109140"/>
    <n v="109140"/>
  </r>
  <r>
    <x v="0"/>
    <n v="41"/>
    <x v="15"/>
    <x v="17"/>
    <x v="17"/>
    <n v="1005"/>
    <x v="16"/>
    <x v="0"/>
    <x v="81"/>
    <n v="3037"/>
    <x v="316"/>
    <n v="0"/>
    <x v="0"/>
    <s v="G 07"/>
    <n v="4"/>
    <n v="124"/>
    <x v="91"/>
    <s v="Annual"/>
    <n v="1"/>
    <n v="1"/>
    <n v="97488"/>
    <n v="97488"/>
  </r>
  <r>
    <x v="0"/>
    <n v="41"/>
    <x v="15"/>
    <x v="17"/>
    <x v="17"/>
    <n v="1005"/>
    <x v="16"/>
    <x v="0"/>
    <x v="81"/>
    <n v="3037"/>
    <x v="316"/>
    <n v="0"/>
    <x v="0"/>
    <s v="1 00"/>
    <n v="0"/>
    <n v="15"/>
    <x v="37"/>
    <s v="Annual"/>
    <n v="0"/>
    <n v="0"/>
    <n v="16077"/>
    <n v="16077"/>
  </r>
  <r>
    <x v="0"/>
    <n v="41"/>
    <x v="15"/>
    <x v="17"/>
    <x v="17"/>
    <n v="1005"/>
    <x v="16"/>
    <x v="16"/>
    <x v="27"/>
    <n v="3176"/>
    <x v="317"/>
    <n v="0"/>
    <x v="0"/>
    <s v="G 07"/>
    <n v="4"/>
    <n v="3414"/>
    <x v="532"/>
    <s v="Annual"/>
    <n v="1"/>
    <n v="1"/>
    <n v="102516"/>
    <n v="102516"/>
  </r>
  <r>
    <x v="0"/>
    <n v="41"/>
    <x v="15"/>
    <x v="18"/>
    <x v="18"/>
    <n v="1005"/>
    <x v="16"/>
    <x v="11"/>
    <x v="22"/>
    <n v="3116"/>
    <x v="106"/>
    <n v="0"/>
    <x v="0"/>
    <s v="PX 03"/>
    <n v="9"/>
    <n v="719"/>
    <x v="1074"/>
    <s v="Annual"/>
    <n v="1"/>
    <n v="1"/>
    <n v="114120"/>
    <n v="114120"/>
  </r>
  <r>
    <x v="0"/>
    <n v="41"/>
    <x v="15"/>
    <x v="18"/>
    <x v="18"/>
    <n v="1005"/>
    <x v="16"/>
    <x v="11"/>
    <x v="22"/>
    <n v="3116"/>
    <x v="106"/>
    <n v="0"/>
    <x v="0"/>
    <s v="1 00"/>
    <n v="0"/>
    <n v="15"/>
    <x v="37"/>
    <s v="Annual"/>
    <n v="0"/>
    <n v="0"/>
    <n v="2070"/>
    <n v="2070"/>
  </r>
  <r>
    <x v="0"/>
    <n v="41"/>
    <x v="15"/>
    <x v="18"/>
    <x v="18"/>
    <n v="1005"/>
    <x v="16"/>
    <x v="0"/>
    <x v="81"/>
    <n v="3036"/>
    <x v="318"/>
    <n v="0"/>
    <x v="0"/>
    <s v="B 14"/>
    <n v="4"/>
    <n v="3466"/>
    <x v="545"/>
    <s v="Annual"/>
    <n v="1"/>
    <n v="1"/>
    <n v="75336"/>
    <n v="75336"/>
  </r>
  <r>
    <x v="0"/>
    <n v="41"/>
    <x v="15"/>
    <x v="18"/>
    <x v="18"/>
    <n v="1005"/>
    <x v="16"/>
    <x v="0"/>
    <x v="81"/>
    <n v="3036"/>
    <x v="318"/>
    <n v="0"/>
    <x v="0"/>
    <s v="G 09"/>
    <n v="4"/>
    <n v="194"/>
    <x v="282"/>
    <s v="Annual"/>
    <n v="1"/>
    <n v="1"/>
    <n v="109140"/>
    <n v="109140"/>
  </r>
  <r>
    <x v="0"/>
    <n v="41"/>
    <x v="15"/>
    <x v="19"/>
    <x v="19"/>
    <n v="1005"/>
    <x v="16"/>
    <x v="17"/>
    <x v="28"/>
    <n v="3192"/>
    <x v="129"/>
    <n v="0"/>
    <x v="0"/>
    <s v="G 06"/>
    <n v="4"/>
    <n v="2074"/>
    <x v="577"/>
    <s v="Annual"/>
    <n v="1"/>
    <n v="1"/>
    <n v="92940"/>
    <n v="92940"/>
  </r>
  <r>
    <x v="0"/>
    <n v="72"/>
    <x v="29"/>
    <x v="19"/>
    <x v="19"/>
    <n v="1010"/>
    <x v="30"/>
    <x v="6"/>
    <x v="51"/>
    <n v="3020"/>
    <x v="213"/>
    <n v="0"/>
    <x v="0"/>
    <s v="G 06"/>
    <n v="4"/>
    <n v="2074"/>
    <x v="577"/>
    <s v="Annual"/>
    <n v="1"/>
    <n v="1"/>
    <n v="81636"/>
    <n v="81636"/>
  </r>
  <r>
    <x v="0"/>
    <n v="54"/>
    <x v="20"/>
    <x v="20"/>
    <x v="20"/>
    <n v="1005"/>
    <x v="21"/>
    <x v="0"/>
    <x v="34"/>
    <n v="3044"/>
    <x v="148"/>
    <n v="4097"/>
    <x v="345"/>
    <s v="X 32"/>
    <n v="9"/>
    <n v="9679"/>
    <x v="81"/>
    <s v="Annual"/>
    <n v="1"/>
    <n v="1"/>
    <n v="157332"/>
    <n v="157332"/>
  </r>
  <r>
    <x v="0"/>
    <n v="54"/>
    <x v="20"/>
    <x v="20"/>
    <x v="20"/>
    <n v="1005"/>
    <x v="21"/>
    <x v="0"/>
    <x v="34"/>
    <n v="3044"/>
    <x v="148"/>
    <n v="4097"/>
    <x v="345"/>
    <s v="BX 16"/>
    <n v="10"/>
    <n v="1984"/>
    <x v="631"/>
    <s v="Annual"/>
    <n v="1"/>
    <n v="1"/>
    <n v="85128"/>
    <n v="85128"/>
  </r>
  <r>
    <x v="0"/>
    <n v="54"/>
    <x v="20"/>
    <x v="20"/>
    <x v="20"/>
    <n v="1005"/>
    <x v="21"/>
    <x v="0"/>
    <x v="34"/>
    <n v="3044"/>
    <x v="148"/>
    <n v="4097"/>
    <x v="345"/>
    <s v="BX 16"/>
    <n v="10"/>
    <n v="1984"/>
    <x v="631"/>
    <s v="Annual"/>
    <n v="1"/>
    <n v="1"/>
    <n v="76476"/>
    <n v="76476"/>
  </r>
  <r>
    <x v="0"/>
    <n v="54"/>
    <x v="20"/>
    <x v="20"/>
    <x v="20"/>
    <n v="1005"/>
    <x v="21"/>
    <x v="0"/>
    <x v="34"/>
    <n v="3044"/>
    <x v="148"/>
    <n v="4097"/>
    <x v="345"/>
    <s v="BX 18"/>
    <n v="10"/>
    <n v="311"/>
    <x v="253"/>
    <s v="Annual"/>
    <n v="1"/>
    <n v="1"/>
    <n v="113568"/>
    <n v="113568"/>
  </r>
  <r>
    <x v="0"/>
    <n v="54"/>
    <x v="20"/>
    <x v="20"/>
    <x v="20"/>
    <n v="1005"/>
    <x v="21"/>
    <x v="0"/>
    <x v="34"/>
    <n v="3044"/>
    <x v="148"/>
    <n v="4097"/>
    <x v="345"/>
    <s v="1 00"/>
    <n v="0"/>
    <n v="15"/>
    <x v="37"/>
    <s v="Annual"/>
    <n v="0"/>
    <n v="0"/>
    <n v="1824"/>
    <n v="1824"/>
  </r>
  <r>
    <x v="1"/>
    <n v="5"/>
    <x v="2"/>
    <x v="21"/>
    <x v="21"/>
    <n v="1005"/>
    <x v="2"/>
    <x v="36"/>
    <x v="82"/>
    <n v="3935"/>
    <x v="319"/>
    <n v="0"/>
    <x v="0"/>
    <s v="X 32"/>
    <n v="9"/>
    <n v="9656"/>
    <x v="69"/>
    <s v="Annual"/>
    <n v="1"/>
    <n v="1"/>
    <n v="167964"/>
    <n v="167964"/>
  </r>
  <r>
    <x v="1"/>
    <n v="5"/>
    <x v="2"/>
    <x v="21"/>
    <x v="21"/>
    <n v="1005"/>
    <x v="2"/>
    <x v="36"/>
    <x v="82"/>
    <n v="3935"/>
    <x v="319"/>
    <n v="0"/>
    <x v="0"/>
    <s v="BX 19"/>
    <n v="10"/>
    <n v="2925"/>
    <x v="1205"/>
    <s v="Annual"/>
    <n v="3"/>
    <n v="1"/>
    <n v="118956"/>
    <n v="356868"/>
  </r>
  <r>
    <x v="1"/>
    <n v="5"/>
    <x v="2"/>
    <x v="21"/>
    <x v="21"/>
    <n v="1005"/>
    <x v="2"/>
    <x v="36"/>
    <x v="82"/>
    <n v="3935"/>
    <x v="319"/>
    <n v="0"/>
    <x v="0"/>
    <s v="BX 16"/>
    <n v="10"/>
    <n v="1333"/>
    <x v="77"/>
    <s v="Annual"/>
    <n v="1"/>
    <n v="1"/>
    <n v="124584"/>
    <n v="124584"/>
  </r>
  <r>
    <x v="1"/>
    <n v="5"/>
    <x v="2"/>
    <x v="21"/>
    <x v="21"/>
    <n v="1005"/>
    <x v="2"/>
    <x v="36"/>
    <x v="82"/>
    <n v="3935"/>
    <x v="319"/>
    <n v="0"/>
    <x v="0"/>
    <s v="BX 16"/>
    <n v="10"/>
    <n v="1333"/>
    <x v="77"/>
    <s v="Annual"/>
    <n v="1"/>
    <n v="1"/>
    <n v="85128"/>
    <n v="85128"/>
  </r>
  <r>
    <x v="1"/>
    <n v="5"/>
    <x v="2"/>
    <x v="21"/>
    <x v="21"/>
    <n v="1005"/>
    <x v="2"/>
    <x v="36"/>
    <x v="82"/>
    <n v="3935"/>
    <x v="319"/>
    <n v="0"/>
    <x v="0"/>
    <s v="X 33"/>
    <n v="9"/>
    <n v="1124"/>
    <x v="70"/>
    <s v="Annual"/>
    <n v="1"/>
    <n v="1"/>
    <n v="146808"/>
    <n v="146808"/>
  </r>
  <r>
    <x v="1"/>
    <n v="5"/>
    <x v="2"/>
    <x v="21"/>
    <x v="21"/>
    <n v="1005"/>
    <x v="2"/>
    <x v="36"/>
    <x v="82"/>
    <n v="3935"/>
    <x v="319"/>
    <n v="0"/>
    <x v="0"/>
    <s v="X 31"/>
    <n v="9"/>
    <n v="1120"/>
    <x v="67"/>
    <s v="Annual"/>
    <n v="1"/>
    <n v="1"/>
    <n v="188400"/>
    <n v="188400"/>
  </r>
  <r>
    <x v="1"/>
    <n v="5"/>
    <x v="2"/>
    <x v="21"/>
    <x v="21"/>
    <n v="1005"/>
    <x v="2"/>
    <x v="36"/>
    <x v="82"/>
    <n v="3935"/>
    <x v="319"/>
    <n v="0"/>
    <x v="0"/>
    <s v="GY 05"/>
    <n v="20"/>
    <n v="1103"/>
    <x v="73"/>
    <s v="Annual"/>
    <n v="1"/>
    <n v="1"/>
    <n v="68856"/>
    <n v="68856"/>
  </r>
  <r>
    <x v="1"/>
    <n v="5"/>
    <x v="2"/>
    <x v="21"/>
    <x v="21"/>
    <n v="1005"/>
    <x v="2"/>
    <x v="36"/>
    <x v="82"/>
    <n v="3935"/>
    <x v="319"/>
    <n v="0"/>
    <x v="0"/>
    <s v="X 33"/>
    <n v="0"/>
    <n v="603"/>
    <x v="243"/>
    <s v="Annual"/>
    <n v="1"/>
    <n v="1"/>
    <n v="153384"/>
    <n v="153384"/>
  </r>
  <r>
    <x v="1"/>
    <n v="5"/>
    <x v="2"/>
    <x v="21"/>
    <x v="21"/>
    <n v="1005"/>
    <x v="2"/>
    <x v="36"/>
    <x v="82"/>
    <n v="3935"/>
    <x v="319"/>
    <n v="0"/>
    <x v="0"/>
    <s v="1 00"/>
    <n v="0"/>
    <n v="44"/>
    <x v="1206"/>
    <s v="Annual"/>
    <n v="0"/>
    <n v="0"/>
    <n v="723000"/>
    <n v="723000"/>
  </r>
  <r>
    <x v="1"/>
    <n v="5"/>
    <x v="2"/>
    <x v="21"/>
    <x v="21"/>
    <n v="1005"/>
    <x v="2"/>
    <x v="36"/>
    <x v="82"/>
    <n v="3935"/>
    <x v="319"/>
    <n v="0"/>
    <x v="0"/>
    <s v="1 00"/>
    <n v="0"/>
    <n v="15"/>
    <x v="37"/>
    <s v="Annual"/>
    <n v="0"/>
    <n v="0"/>
    <n v="11083"/>
    <n v="11083"/>
  </r>
  <r>
    <x v="1"/>
    <n v="21"/>
    <x v="5"/>
    <x v="21"/>
    <x v="21"/>
    <n v="1005"/>
    <x v="6"/>
    <x v="37"/>
    <x v="83"/>
    <n v="3846"/>
    <x v="320"/>
    <n v="0"/>
    <x v="0"/>
    <s v="X 32"/>
    <n v="9"/>
    <n v="9679"/>
    <x v="81"/>
    <s v="Annual"/>
    <n v="1"/>
    <n v="1"/>
    <n v="157332"/>
    <n v="157332"/>
  </r>
  <r>
    <x v="1"/>
    <n v="21"/>
    <x v="5"/>
    <x v="21"/>
    <x v="21"/>
    <n v="1005"/>
    <x v="6"/>
    <x v="37"/>
    <x v="83"/>
    <n v="3846"/>
    <x v="320"/>
    <n v="0"/>
    <x v="0"/>
    <s v="BX 16"/>
    <n v="10"/>
    <n v="1438"/>
    <x v="217"/>
    <s v="Annual"/>
    <n v="1"/>
    <n v="1"/>
    <n v="80124"/>
    <n v="80124"/>
  </r>
  <r>
    <x v="1"/>
    <n v="21"/>
    <x v="5"/>
    <x v="21"/>
    <x v="21"/>
    <n v="1005"/>
    <x v="6"/>
    <x v="37"/>
    <x v="83"/>
    <n v="3846"/>
    <x v="320"/>
    <n v="0"/>
    <x v="0"/>
    <s v="B 12"/>
    <n v="1"/>
    <s v="03A8"/>
    <x v="88"/>
    <s v="Annual"/>
    <n v="1"/>
    <n v="1"/>
    <n v="70752"/>
    <n v="70752"/>
  </r>
  <r>
    <x v="1"/>
    <n v="21"/>
    <x v="5"/>
    <x v="21"/>
    <x v="21"/>
    <n v="1005"/>
    <x v="6"/>
    <x v="37"/>
    <x v="83"/>
    <n v="3846"/>
    <x v="320"/>
    <n v="0"/>
    <x v="0"/>
    <s v="BX 18"/>
    <n v="10"/>
    <n v="310"/>
    <x v="135"/>
    <s v="Annual"/>
    <n v="1"/>
    <n v="1"/>
    <n v="107340"/>
    <n v="107340"/>
  </r>
  <r>
    <x v="1"/>
    <n v="21"/>
    <x v="5"/>
    <x v="21"/>
    <x v="21"/>
    <n v="1005"/>
    <x v="6"/>
    <x v="37"/>
    <x v="83"/>
    <n v="3846"/>
    <x v="320"/>
    <n v="0"/>
    <x v="0"/>
    <s v="1 00"/>
    <n v="0"/>
    <n v="44"/>
    <x v="1206"/>
    <s v="Annual"/>
    <n v="0"/>
    <n v="0"/>
    <n v="232540"/>
    <n v="232540"/>
  </r>
  <r>
    <x v="1"/>
    <n v="21"/>
    <x v="5"/>
    <x v="21"/>
    <x v="21"/>
    <n v="1005"/>
    <x v="6"/>
    <x v="37"/>
    <x v="83"/>
    <n v="3846"/>
    <x v="320"/>
    <n v="0"/>
    <x v="0"/>
    <s v="1 00"/>
    <n v="0"/>
    <n v="15"/>
    <x v="37"/>
    <s v="Annual"/>
    <n v="0"/>
    <n v="0"/>
    <n v="15086"/>
    <n v="15086"/>
  </r>
  <r>
    <x v="1"/>
    <n v="21"/>
    <x v="5"/>
    <x v="21"/>
    <x v="21"/>
    <n v="1005"/>
    <x v="6"/>
    <x v="38"/>
    <x v="84"/>
    <n v="3847"/>
    <x v="33"/>
    <n v="0"/>
    <x v="0"/>
    <s v="X 32"/>
    <n v="9"/>
    <n v="9679"/>
    <x v="81"/>
    <s v="Annual"/>
    <n v="1"/>
    <n v="1"/>
    <n v="139140"/>
    <n v="139140"/>
  </r>
  <r>
    <x v="1"/>
    <n v="21"/>
    <x v="5"/>
    <x v="21"/>
    <x v="21"/>
    <n v="1005"/>
    <x v="6"/>
    <x v="38"/>
    <x v="84"/>
    <n v="3847"/>
    <x v="33"/>
    <n v="0"/>
    <x v="0"/>
    <s v="BX 18"/>
    <n v="10"/>
    <n v="3092"/>
    <x v="308"/>
    <s v="Annual"/>
    <n v="1"/>
    <n v="1"/>
    <n v="143232"/>
    <n v="143232"/>
  </r>
  <r>
    <x v="1"/>
    <n v="21"/>
    <x v="5"/>
    <x v="21"/>
    <x v="21"/>
    <n v="1005"/>
    <x v="6"/>
    <x v="38"/>
    <x v="84"/>
    <n v="3847"/>
    <x v="33"/>
    <n v="0"/>
    <x v="0"/>
    <s v="B 13"/>
    <n v="1"/>
    <n v="1987"/>
    <x v="221"/>
    <s v="Annual"/>
    <n v="1"/>
    <n v="1"/>
    <n v="119100"/>
    <n v="119100"/>
  </r>
  <r>
    <x v="1"/>
    <n v="21"/>
    <x v="5"/>
    <x v="21"/>
    <x v="21"/>
    <n v="1005"/>
    <x v="6"/>
    <x v="38"/>
    <x v="84"/>
    <n v="3847"/>
    <x v="33"/>
    <n v="0"/>
    <x v="0"/>
    <s v="B 14"/>
    <n v="4"/>
    <n v="1912"/>
    <x v="222"/>
    <s v="Annual"/>
    <n v="1"/>
    <n v="1"/>
    <n v="77640"/>
    <n v="77640"/>
  </r>
  <r>
    <x v="1"/>
    <n v="21"/>
    <x v="5"/>
    <x v="21"/>
    <x v="21"/>
    <n v="1005"/>
    <x v="6"/>
    <x v="38"/>
    <x v="84"/>
    <n v="3847"/>
    <x v="33"/>
    <n v="0"/>
    <x v="0"/>
    <s v="1 00"/>
    <n v="0"/>
    <n v="44"/>
    <x v="1206"/>
    <s v="Annual"/>
    <n v="0"/>
    <n v="0"/>
    <n v="268111"/>
    <n v="268111"/>
  </r>
  <r>
    <x v="1"/>
    <n v="21"/>
    <x v="5"/>
    <x v="21"/>
    <x v="21"/>
    <n v="1005"/>
    <x v="6"/>
    <x v="38"/>
    <x v="84"/>
    <n v="3847"/>
    <x v="33"/>
    <n v="0"/>
    <x v="0"/>
    <s v="1 00"/>
    <n v="0"/>
    <n v="15"/>
    <x v="37"/>
    <s v="Annual"/>
    <n v="0"/>
    <n v="0"/>
    <n v="7961"/>
    <n v="7961"/>
  </r>
  <r>
    <x v="1"/>
    <n v="27"/>
    <x v="7"/>
    <x v="21"/>
    <x v="21"/>
    <n v="1005"/>
    <x v="8"/>
    <x v="36"/>
    <x v="82"/>
    <n v="3802"/>
    <x v="321"/>
    <n v="4800"/>
    <x v="32"/>
    <s v="X 32"/>
    <n v="9"/>
    <n v="9651"/>
    <x v="241"/>
    <s v="Annual"/>
    <n v="1"/>
    <n v="1"/>
    <n v="175512"/>
    <n v="175512"/>
  </r>
  <r>
    <x v="1"/>
    <n v="27"/>
    <x v="7"/>
    <x v="21"/>
    <x v="21"/>
    <n v="1005"/>
    <x v="8"/>
    <x v="36"/>
    <x v="82"/>
    <n v="3802"/>
    <x v="321"/>
    <n v="4800"/>
    <x v="32"/>
    <s v="X 33"/>
    <n v="0"/>
    <n v="105"/>
    <x v="252"/>
    <s v="Annual"/>
    <n v="1"/>
    <n v="1"/>
    <n v="158508"/>
    <n v="158508"/>
  </r>
  <r>
    <x v="1"/>
    <n v="27"/>
    <x v="7"/>
    <x v="21"/>
    <x v="21"/>
    <n v="1005"/>
    <x v="8"/>
    <x v="36"/>
    <x v="82"/>
    <n v="3802"/>
    <x v="321"/>
    <n v="4800"/>
    <x v="32"/>
    <s v="X 33"/>
    <n v="0"/>
    <n v="105"/>
    <x v="252"/>
    <s v="Annual"/>
    <n v="1"/>
    <n v="1"/>
    <n v="137532"/>
    <n v="137532"/>
  </r>
  <r>
    <x v="1"/>
    <n v="27"/>
    <x v="7"/>
    <x v="21"/>
    <x v="21"/>
    <n v="1005"/>
    <x v="8"/>
    <x v="36"/>
    <x v="82"/>
    <n v="3802"/>
    <x v="321"/>
    <n v="4800"/>
    <x v="32"/>
    <s v="1 00"/>
    <n v="0"/>
    <n v="44"/>
    <x v="1206"/>
    <s v="Annual"/>
    <n v="0"/>
    <n v="0"/>
    <n v="263881"/>
    <n v="263881"/>
  </r>
  <r>
    <x v="1"/>
    <n v="27"/>
    <x v="7"/>
    <x v="21"/>
    <x v="21"/>
    <n v="1005"/>
    <x v="8"/>
    <x v="36"/>
    <x v="82"/>
    <n v="3802"/>
    <x v="321"/>
    <n v="4800"/>
    <x v="32"/>
    <s v="1 00"/>
    <n v="0"/>
    <n v="15"/>
    <x v="37"/>
    <s v="Annual"/>
    <n v="0"/>
    <n v="0"/>
    <n v="13568"/>
    <n v="13568"/>
  </r>
  <r>
    <x v="1"/>
    <n v="27"/>
    <x v="7"/>
    <x v="21"/>
    <x v="21"/>
    <n v="1005"/>
    <x v="8"/>
    <x v="36"/>
    <x v="82"/>
    <n v="3802"/>
    <x v="321"/>
    <n v="4801"/>
    <x v="346"/>
    <s v="GY 11"/>
    <n v="20"/>
    <n v="187"/>
    <x v="250"/>
    <s v="Annual"/>
    <n v="1"/>
    <n v="1"/>
    <n v="121320"/>
    <n v="121320"/>
  </r>
  <r>
    <x v="1"/>
    <n v="27"/>
    <x v="7"/>
    <x v="21"/>
    <x v="21"/>
    <n v="1005"/>
    <x v="8"/>
    <x v="36"/>
    <x v="82"/>
    <n v="3802"/>
    <x v="321"/>
    <n v="4801"/>
    <x v="346"/>
    <s v="GY 10"/>
    <n v="20"/>
    <n v="120"/>
    <x v="251"/>
    <s v="Annual"/>
    <n v="1"/>
    <n v="1"/>
    <n v="130476"/>
    <n v="130476"/>
  </r>
  <r>
    <x v="1"/>
    <n v="27"/>
    <x v="7"/>
    <x v="21"/>
    <x v="21"/>
    <n v="1005"/>
    <x v="8"/>
    <x v="36"/>
    <x v="82"/>
    <n v="3802"/>
    <x v="321"/>
    <n v="4801"/>
    <x v="346"/>
    <s v="GY 10"/>
    <n v="20"/>
    <n v="120"/>
    <x v="251"/>
    <s v="Annual"/>
    <n v="1"/>
    <n v="1"/>
    <n v="126756"/>
    <n v="126756"/>
  </r>
  <r>
    <x v="1"/>
    <n v="27"/>
    <x v="7"/>
    <x v="21"/>
    <x v="21"/>
    <n v="1005"/>
    <x v="8"/>
    <x v="36"/>
    <x v="82"/>
    <n v="3802"/>
    <x v="321"/>
    <n v="4801"/>
    <x v="346"/>
    <s v="G 07"/>
    <n v="4"/>
    <n v="111"/>
    <x v="245"/>
    <s v="Annual"/>
    <n v="2"/>
    <n v="1"/>
    <n v="129636"/>
    <n v="259272"/>
  </r>
  <r>
    <x v="1"/>
    <n v="27"/>
    <x v="7"/>
    <x v="21"/>
    <x v="21"/>
    <n v="1005"/>
    <x v="8"/>
    <x v="36"/>
    <x v="82"/>
    <n v="3802"/>
    <x v="321"/>
    <n v="4801"/>
    <x v="346"/>
    <s v="G 07"/>
    <n v="4"/>
    <n v="111"/>
    <x v="245"/>
    <s v="Annual"/>
    <n v="1"/>
    <n v="1"/>
    <n v="97488"/>
    <n v="97488"/>
  </r>
  <r>
    <x v="1"/>
    <n v="27"/>
    <x v="7"/>
    <x v="21"/>
    <x v="21"/>
    <n v="1005"/>
    <x v="8"/>
    <x v="36"/>
    <x v="82"/>
    <n v="3802"/>
    <x v="321"/>
    <n v="4801"/>
    <x v="346"/>
    <s v="B 13"/>
    <n v="4"/>
    <n v="110"/>
    <x v="93"/>
    <s v="Annual"/>
    <n v="1"/>
    <n v="1"/>
    <n v="119100"/>
    <n v="119100"/>
  </r>
  <r>
    <x v="1"/>
    <n v="27"/>
    <x v="7"/>
    <x v="21"/>
    <x v="21"/>
    <n v="1005"/>
    <x v="8"/>
    <x v="36"/>
    <x v="82"/>
    <n v="3802"/>
    <x v="321"/>
    <n v="4801"/>
    <x v="346"/>
    <s v="B 13"/>
    <n v="4"/>
    <n v="110"/>
    <x v="93"/>
    <s v="Annual"/>
    <n v="1"/>
    <n v="1"/>
    <n v="98928"/>
    <n v="98928"/>
  </r>
  <r>
    <x v="1"/>
    <n v="27"/>
    <x v="7"/>
    <x v="21"/>
    <x v="21"/>
    <n v="1005"/>
    <x v="8"/>
    <x v="36"/>
    <x v="82"/>
    <n v="3802"/>
    <x v="321"/>
    <n v="4801"/>
    <x v="346"/>
    <s v="B 13"/>
    <n v="4"/>
    <n v="110"/>
    <x v="93"/>
    <s v="Annual"/>
    <n v="1"/>
    <n v="1"/>
    <n v="74172"/>
    <n v="74172"/>
  </r>
  <r>
    <x v="1"/>
    <n v="27"/>
    <x v="7"/>
    <x v="21"/>
    <x v="21"/>
    <n v="1005"/>
    <x v="8"/>
    <x v="36"/>
    <x v="82"/>
    <n v="3802"/>
    <x v="321"/>
    <n v="4801"/>
    <x v="346"/>
    <s v="B 13"/>
    <n v="4"/>
    <n v="110"/>
    <x v="93"/>
    <s v="Annual"/>
    <n v="1"/>
    <n v="1"/>
    <n v="68616"/>
    <n v="68616"/>
  </r>
  <r>
    <x v="1"/>
    <n v="27"/>
    <x v="7"/>
    <x v="21"/>
    <x v="21"/>
    <n v="1005"/>
    <x v="8"/>
    <x v="36"/>
    <x v="82"/>
    <n v="3802"/>
    <x v="321"/>
    <n v="4801"/>
    <x v="346"/>
    <s v="1 00"/>
    <n v="0"/>
    <n v="44"/>
    <x v="1206"/>
    <s v="Annual"/>
    <n v="0"/>
    <n v="0"/>
    <n v="613394"/>
    <n v="613394"/>
  </r>
  <r>
    <x v="1"/>
    <n v="27"/>
    <x v="7"/>
    <x v="21"/>
    <x v="21"/>
    <n v="1005"/>
    <x v="8"/>
    <x v="36"/>
    <x v="82"/>
    <n v="3802"/>
    <x v="321"/>
    <n v="4801"/>
    <x v="346"/>
    <s v="1 00"/>
    <n v="0"/>
    <n v="15"/>
    <x v="37"/>
    <s v="Annual"/>
    <n v="0"/>
    <n v="0"/>
    <n v="13193"/>
    <n v="13193"/>
  </r>
  <r>
    <x v="1"/>
    <n v="27"/>
    <x v="7"/>
    <x v="21"/>
    <x v="21"/>
    <n v="1005"/>
    <x v="8"/>
    <x v="36"/>
    <x v="82"/>
    <n v="3802"/>
    <x v="321"/>
    <n v="4802"/>
    <x v="347"/>
    <s v="GY 11"/>
    <n v="20"/>
    <n v="187"/>
    <x v="250"/>
    <s v="Annual"/>
    <n v="1"/>
    <n v="1"/>
    <n v="141132"/>
    <n v="141132"/>
  </r>
  <r>
    <x v="1"/>
    <n v="27"/>
    <x v="7"/>
    <x v="21"/>
    <x v="21"/>
    <n v="1005"/>
    <x v="8"/>
    <x v="36"/>
    <x v="82"/>
    <n v="3802"/>
    <x v="321"/>
    <n v="4802"/>
    <x v="347"/>
    <s v="GY 10"/>
    <n v="20"/>
    <n v="120"/>
    <x v="251"/>
    <s v="Annual"/>
    <n v="1"/>
    <n v="1"/>
    <n v="106272"/>
    <n v="106272"/>
  </r>
  <r>
    <x v="1"/>
    <n v="27"/>
    <x v="7"/>
    <x v="21"/>
    <x v="21"/>
    <n v="1005"/>
    <x v="8"/>
    <x v="36"/>
    <x v="82"/>
    <n v="3802"/>
    <x v="321"/>
    <n v="4802"/>
    <x v="347"/>
    <s v="G 07"/>
    <n v="4"/>
    <n v="111"/>
    <x v="245"/>
    <s v="Annual"/>
    <n v="1"/>
    <n v="1"/>
    <n v="102516"/>
    <n v="102516"/>
  </r>
  <r>
    <x v="1"/>
    <n v="27"/>
    <x v="7"/>
    <x v="21"/>
    <x v="21"/>
    <n v="1005"/>
    <x v="8"/>
    <x v="36"/>
    <x v="82"/>
    <n v="3802"/>
    <x v="321"/>
    <n v="4802"/>
    <x v="347"/>
    <s v="B 11"/>
    <n v="1"/>
    <n v="109"/>
    <x v="94"/>
    <s v="Annual"/>
    <n v="1"/>
    <n v="1"/>
    <n v="58764"/>
    <n v="58764"/>
  </r>
  <r>
    <x v="1"/>
    <n v="27"/>
    <x v="7"/>
    <x v="21"/>
    <x v="21"/>
    <n v="1005"/>
    <x v="8"/>
    <x v="36"/>
    <x v="82"/>
    <n v="3802"/>
    <x v="321"/>
    <n v="4802"/>
    <x v="347"/>
    <s v="1 00"/>
    <n v="0"/>
    <n v="44"/>
    <x v="1206"/>
    <s v="Annual"/>
    <n v="0"/>
    <n v="0"/>
    <n v="228699"/>
    <n v="228699"/>
  </r>
  <r>
    <x v="1"/>
    <n v="27"/>
    <x v="7"/>
    <x v="21"/>
    <x v="21"/>
    <n v="1005"/>
    <x v="8"/>
    <x v="36"/>
    <x v="82"/>
    <n v="3802"/>
    <x v="321"/>
    <n v="4802"/>
    <x v="347"/>
    <s v="1 00"/>
    <n v="0"/>
    <n v="15"/>
    <x v="37"/>
    <s v="Annual"/>
    <n v="0"/>
    <n v="0"/>
    <n v="8098"/>
    <n v="8098"/>
  </r>
  <r>
    <x v="1"/>
    <n v="27"/>
    <x v="7"/>
    <x v="21"/>
    <x v="21"/>
    <n v="1005"/>
    <x v="8"/>
    <x v="36"/>
    <x v="82"/>
    <n v="3802"/>
    <x v="321"/>
    <n v="4803"/>
    <x v="348"/>
    <s v="GY 11"/>
    <n v="20"/>
    <n v="187"/>
    <x v="250"/>
    <s v="Annual"/>
    <n v="1"/>
    <n v="1"/>
    <n v="141132"/>
    <n v="141132"/>
  </r>
  <r>
    <x v="1"/>
    <n v="27"/>
    <x v="7"/>
    <x v="21"/>
    <x v="21"/>
    <n v="1005"/>
    <x v="8"/>
    <x v="36"/>
    <x v="82"/>
    <n v="3802"/>
    <x v="321"/>
    <n v="4803"/>
    <x v="348"/>
    <s v="GY 10"/>
    <n v="20"/>
    <n v="120"/>
    <x v="251"/>
    <s v="Annual"/>
    <n v="1"/>
    <n v="1"/>
    <n v="101628"/>
    <n v="101628"/>
  </r>
  <r>
    <x v="1"/>
    <n v="27"/>
    <x v="7"/>
    <x v="21"/>
    <x v="21"/>
    <n v="1005"/>
    <x v="8"/>
    <x v="36"/>
    <x v="82"/>
    <n v="3802"/>
    <x v="321"/>
    <n v="4803"/>
    <x v="348"/>
    <s v="G 07"/>
    <n v="4"/>
    <n v="111"/>
    <x v="245"/>
    <s v="Annual"/>
    <n v="1"/>
    <n v="1"/>
    <n v="90144"/>
    <n v="90144"/>
  </r>
  <r>
    <x v="1"/>
    <n v="27"/>
    <x v="7"/>
    <x v="21"/>
    <x v="21"/>
    <n v="1005"/>
    <x v="8"/>
    <x v="36"/>
    <x v="82"/>
    <n v="3802"/>
    <x v="321"/>
    <n v="4803"/>
    <x v="348"/>
    <s v="B 13"/>
    <n v="4"/>
    <n v="110"/>
    <x v="93"/>
    <s v="Annual"/>
    <n v="1"/>
    <n v="1"/>
    <n v="119100"/>
    <n v="119100"/>
  </r>
  <r>
    <x v="1"/>
    <n v="27"/>
    <x v="7"/>
    <x v="21"/>
    <x v="21"/>
    <n v="1005"/>
    <x v="8"/>
    <x v="36"/>
    <x v="82"/>
    <n v="3802"/>
    <x v="321"/>
    <n v="4803"/>
    <x v="348"/>
    <s v="1 00"/>
    <n v="0"/>
    <n v="44"/>
    <x v="1206"/>
    <s v="Annual"/>
    <n v="0"/>
    <n v="0"/>
    <n v="252941"/>
    <n v="252941"/>
  </r>
  <r>
    <x v="1"/>
    <n v="27"/>
    <x v="7"/>
    <x v="21"/>
    <x v="21"/>
    <n v="1005"/>
    <x v="8"/>
    <x v="36"/>
    <x v="82"/>
    <n v="3802"/>
    <x v="321"/>
    <n v="4803"/>
    <x v="348"/>
    <s v="1 00"/>
    <n v="0"/>
    <n v="15"/>
    <x v="37"/>
    <s v="Annual"/>
    <n v="0"/>
    <n v="0"/>
    <n v="3677"/>
    <n v="3677"/>
  </r>
  <r>
    <x v="1"/>
    <n v="27"/>
    <x v="7"/>
    <x v="21"/>
    <x v="21"/>
    <n v="1005"/>
    <x v="8"/>
    <x v="36"/>
    <x v="82"/>
    <n v="3802"/>
    <x v="321"/>
    <n v="4804"/>
    <x v="349"/>
    <s v="G 04"/>
    <n v="4"/>
    <n v="1143"/>
    <x v="268"/>
    <s v="Annual"/>
    <n v="1"/>
    <n v="1"/>
    <n v="98460"/>
    <n v="98460"/>
  </r>
  <r>
    <x v="1"/>
    <n v="27"/>
    <x v="7"/>
    <x v="21"/>
    <x v="21"/>
    <n v="1005"/>
    <x v="8"/>
    <x v="36"/>
    <x v="82"/>
    <n v="3802"/>
    <x v="321"/>
    <n v="4804"/>
    <x v="349"/>
    <s v="GY 11"/>
    <n v="20"/>
    <n v="187"/>
    <x v="250"/>
    <s v="Annual"/>
    <n v="1"/>
    <n v="1"/>
    <n v="141132"/>
    <n v="141132"/>
  </r>
  <r>
    <x v="1"/>
    <n v="27"/>
    <x v="7"/>
    <x v="21"/>
    <x v="21"/>
    <n v="1005"/>
    <x v="8"/>
    <x v="36"/>
    <x v="82"/>
    <n v="3802"/>
    <x v="321"/>
    <n v="4804"/>
    <x v="349"/>
    <s v="B 13"/>
    <n v="4"/>
    <n v="110"/>
    <x v="93"/>
    <s v="Annual"/>
    <n v="1"/>
    <n v="1"/>
    <n v="119100"/>
    <n v="119100"/>
  </r>
  <r>
    <x v="1"/>
    <n v="27"/>
    <x v="7"/>
    <x v="21"/>
    <x v="21"/>
    <n v="1005"/>
    <x v="8"/>
    <x v="36"/>
    <x v="82"/>
    <n v="3802"/>
    <x v="321"/>
    <n v="4804"/>
    <x v="349"/>
    <s v="1 00"/>
    <n v="0"/>
    <n v="44"/>
    <x v="1206"/>
    <s v="Annual"/>
    <n v="0"/>
    <n v="0"/>
    <n v="200723"/>
    <n v="200723"/>
  </r>
  <r>
    <x v="1"/>
    <n v="27"/>
    <x v="7"/>
    <x v="21"/>
    <x v="21"/>
    <n v="1005"/>
    <x v="8"/>
    <x v="36"/>
    <x v="82"/>
    <n v="3802"/>
    <x v="321"/>
    <n v="4805"/>
    <x v="350"/>
    <s v="GY 11"/>
    <n v="20"/>
    <n v="187"/>
    <x v="250"/>
    <s v="Annual"/>
    <n v="1"/>
    <n v="1"/>
    <n v="121320"/>
    <n v="121320"/>
  </r>
  <r>
    <x v="1"/>
    <n v="27"/>
    <x v="7"/>
    <x v="21"/>
    <x v="21"/>
    <n v="1005"/>
    <x v="8"/>
    <x v="36"/>
    <x v="82"/>
    <n v="3802"/>
    <x v="321"/>
    <n v="4805"/>
    <x v="350"/>
    <s v="GY 10"/>
    <n v="20"/>
    <n v="120"/>
    <x v="251"/>
    <s v="Annual"/>
    <n v="1"/>
    <n v="1"/>
    <n v="126756"/>
    <n v="126756"/>
  </r>
  <r>
    <x v="1"/>
    <n v="27"/>
    <x v="7"/>
    <x v="21"/>
    <x v="21"/>
    <n v="1005"/>
    <x v="8"/>
    <x v="36"/>
    <x v="82"/>
    <n v="3802"/>
    <x v="321"/>
    <n v="4805"/>
    <x v="350"/>
    <s v="G 07"/>
    <n v="4"/>
    <n v="111"/>
    <x v="245"/>
    <s v="Annual"/>
    <n v="1"/>
    <n v="1"/>
    <n v="129636"/>
    <n v="129636"/>
  </r>
  <r>
    <x v="1"/>
    <n v="27"/>
    <x v="7"/>
    <x v="21"/>
    <x v="21"/>
    <n v="1005"/>
    <x v="8"/>
    <x v="36"/>
    <x v="82"/>
    <n v="3802"/>
    <x v="321"/>
    <n v="4805"/>
    <x v="350"/>
    <s v="G 07"/>
    <n v="4"/>
    <n v="111"/>
    <x v="245"/>
    <s v="Annual"/>
    <n v="1"/>
    <n v="1"/>
    <n v="92940"/>
    <n v="92940"/>
  </r>
  <r>
    <x v="1"/>
    <n v="27"/>
    <x v="7"/>
    <x v="21"/>
    <x v="21"/>
    <n v="1005"/>
    <x v="8"/>
    <x v="36"/>
    <x v="82"/>
    <n v="3802"/>
    <x v="321"/>
    <n v="4805"/>
    <x v="350"/>
    <s v="B 13"/>
    <n v="4"/>
    <n v="110"/>
    <x v="93"/>
    <s v="Annual"/>
    <n v="1"/>
    <n v="1"/>
    <n v="119100"/>
    <n v="119100"/>
  </r>
  <r>
    <x v="1"/>
    <n v="27"/>
    <x v="7"/>
    <x v="21"/>
    <x v="21"/>
    <n v="1005"/>
    <x v="8"/>
    <x v="36"/>
    <x v="82"/>
    <n v="3802"/>
    <x v="321"/>
    <n v="4805"/>
    <x v="350"/>
    <s v="B 13"/>
    <n v="4"/>
    <n v="110"/>
    <x v="93"/>
    <s v="Annual"/>
    <n v="2"/>
    <n v="1"/>
    <n v="68616"/>
    <n v="137232"/>
  </r>
  <r>
    <x v="1"/>
    <n v="27"/>
    <x v="7"/>
    <x v="21"/>
    <x v="21"/>
    <n v="1005"/>
    <x v="8"/>
    <x v="36"/>
    <x v="82"/>
    <n v="3802"/>
    <x v="321"/>
    <n v="4805"/>
    <x v="350"/>
    <s v="1 00"/>
    <n v="0"/>
    <n v="44"/>
    <x v="1206"/>
    <s v="Annual"/>
    <n v="0"/>
    <n v="0"/>
    <n v="406820"/>
    <n v="406820"/>
  </r>
  <r>
    <x v="1"/>
    <n v="27"/>
    <x v="7"/>
    <x v="21"/>
    <x v="21"/>
    <n v="1005"/>
    <x v="8"/>
    <x v="36"/>
    <x v="82"/>
    <n v="3802"/>
    <x v="321"/>
    <n v="4805"/>
    <x v="350"/>
    <s v="1 00"/>
    <n v="0"/>
    <n v="15"/>
    <x v="37"/>
    <s v="Annual"/>
    <n v="0"/>
    <n v="0"/>
    <n v="4668"/>
    <n v="4668"/>
  </r>
  <r>
    <x v="1"/>
    <n v="27"/>
    <x v="7"/>
    <x v="21"/>
    <x v="21"/>
    <n v="1005"/>
    <x v="8"/>
    <x v="36"/>
    <x v="82"/>
    <n v="3802"/>
    <x v="321"/>
    <n v="4806"/>
    <x v="351"/>
    <s v="B 14"/>
    <n v="1"/>
    <n v="1576"/>
    <x v="246"/>
    <s v="Annual"/>
    <n v="2"/>
    <n v="1"/>
    <n v="81324"/>
    <n v="162648"/>
  </r>
  <r>
    <x v="1"/>
    <n v="27"/>
    <x v="7"/>
    <x v="21"/>
    <x v="21"/>
    <n v="1005"/>
    <x v="8"/>
    <x v="36"/>
    <x v="82"/>
    <n v="3802"/>
    <x v="321"/>
    <n v="4806"/>
    <x v="351"/>
    <s v="B 11"/>
    <n v="1"/>
    <n v="109"/>
    <x v="94"/>
    <s v="Annual"/>
    <n v="1"/>
    <n v="1"/>
    <n v="98928"/>
    <n v="98928"/>
  </r>
  <r>
    <x v="1"/>
    <n v="27"/>
    <x v="7"/>
    <x v="21"/>
    <x v="21"/>
    <n v="1005"/>
    <x v="8"/>
    <x v="36"/>
    <x v="82"/>
    <n v="3802"/>
    <x v="321"/>
    <n v="4806"/>
    <x v="351"/>
    <s v="B 11"/>
    <n v="1"/>
    <n v="109"/>
    <x v="94"/>
    <s v="Annual"/>
    <n v="2"/>
    <n v="1"/>
    <n v="64488"/>
    <n v="128976"/>
  </r>
  <r>
    <x v="1"/>
    <n v="27"/>
    <x v="7"/>
    <x v="21"/>
    <x v="21"/>
    <n v="1005"/>
    <x v="8"/>
    <x v="36"/>
    <x v="82"/>
    <n v="3802"/>
    <x v="321"/>
    <n v="4806"/>
    <x v="351"/>
    <s v="B 11"/>
    <n v="1"/>
    <n v="109"/>
    <x v="94"/>
    <s v="Annual"/>
    <n v="1"/>
    <n v="1"/>
    <n v="61548"/>
    <n v="61548"/>
  </r>
  <r>
    <x v="1"/>
    <n v="27"/>
    <x v="7"/>
    <x v="21"/>
    <x v="21"/>
    <n v="1005"/>
    <x v="8"/>
    <x v="36"/>
    <x v="82"/>
    <n v="3802"/>
    <x v="321"/>
    <n v="4806"/>
    <x v="351"/>
    <s v="B 11"/>
    <n v="1"/>
    <n v="109"/>
    <x v="94"/>
    <s v="Annual"/>
    <n v="1"/>
    <n v="1"/>
    <n v="57000"/>
    <n v="57000"/>
  </r>
  <r>
    <x v="1"/>
    <n v="27"/>
    <x v="7"/>
    <x v="21"/>
    <x v="21"/>
    <n v="1005"/>
    <x v="8"/>
    <x v="36"/>
    <x v="82"/>
    <n v="3802"/>
    <x v="321"/>
    <n v="4806"/>
    <x v="351"/>
    <s v="1 00"/>
    <n v="0"/>
    <n v="44"/>
    <x v="1206"/>
    <s v="Annual"/>
    <n v="0"/>
    <n v="0"/>
    <n v="284892"/>
    <n v="284892"/>
  </r>
  <r>
    <x v="1"/>
    <n v="27"/>
    <x v="7"/>
    <x v="21"/>
    <x v="21"/>
    <n v="1005"/>
    <x v="8"/>
    <x v="36"/>
    <x v="82"/>
    <n v="3802"/>
    <x v="321"/>
    <n v="4806"/>
    <x v="351"/>
    <s v="1 00"/>
    <n v="0"/>
    <n v="15"/>
    <x v="37"/>
    <s v="Annual"/>
    <n v="0"/>
    <n v="0"/>
    <n v="3639"/>
    <n v="3639"/>
  </r>
  <r>
    <x v="1"/>
    <n v="33"/>
    <x v="11"/>
    <x v="21"/>
    <x v="21"/>
    <n v="1005"/>
    <x v="12"/>
    <x v="39"/>
    <x v="82"/>
    <n v="3800"/>
    <x v="322"/>
    <n v="0"/>
    <x v="0"/>
    <s v="G 08"/>
    <n v="4"/>
    <n v="1380"/>
    <x v="376"/>
    <s v="Annual"/>
    <n v="1"/>
    <n v="1"/>
    <n v="141564"/>
    <n v="141564"/>
  </r>
  <r>
    <x v="1"/>
    <n v="33"/>
    <x v="11"/>
    <x v="21"/>
    <x v="21"/>
    <n v="1005"/>
    <x v="12"/>
    <x v="39"/>
    <x v="82"/>
    <n v="3800"/>
    <x v="322"/>
    <n v="0"/>
    <x v="0"/>
    <s v="G 08"/>
    <n v="4"/>
    <n v="1380"/>
    <x v="376"/>
    <s v="Annual"/>
    <n v="1"/>
    <n v="1"/>
    <n v="134184"/>
    <n v="134184"/>
  </r>
  <r>
    <x v="1"/>
    <n v="33"/>
    <x v="11"/>
    <x v="21"/>
    <x v="21"/>
    <n v="1005"/>
    <x v="12"/>
    <x v="39"/>
    <x v="82"/>
    <n v="3800"/>
    <x v="322"/>
    <n v="0"/>
    <x v="0"/>
    <s v="B 12"/>
    <n v="1"/>
    <n v="1358"/>
    <x v="377"/>
    <s v="Annual"/>
    <n v="1"/>
    <n v="1"/>
    <n v="64488"/>
    <n v="64488"/>
  </r>
  <r>
    <x v="1"/>
    <n v="33"/>
    <x v="11"/>
    <x v="21"/>
    <x v="21"/>
    <n v="1005"/>
    <x v="12"/>
    <x v="39"/>
    <x v="82"/>
    <n v="3800"/>
    <x v="322"/>
    <n v="0"/>
    <x v="0"/>
    <s v="GY 12"/>
    <n v="20"/>
    <n v="1356"/>
    <x v="379"/>
    <s v="Annual"/>
    <n v="1"/>
    <n v="1"/>
    <n v="121320"/>
    <n v="121320"/>
  </r>
  <r>
    <x v="1"/>
    <n v="33"/>
    <x v="11"/>
    <x v="21"/>
    <x v="21"/>
    <n v="1005"/>
    <x v="12"/>
    <x v="39"/>
    <x v="82"/>
    <n v="3800"/>
    <x v="322"/>
    <n v="0"/>
    <x v="0"/>
    <s v="G 05"/>
    <n v="1"/>
    <n v="1308"/>
    <x v="363"/>
    <s v="Annual"/>
    <n v="1"/>
    <n v="1"/>
    <n v="76464"/>
    <n v="76464"/>
  </r>
  <r>
    <x v="1"/>
    <n v="33"/>
    <x v="11"/>
    <x v="21"/>
    <x v="21"/>
    <n v="1005"/>
    <x v="12"/>
    <x v="39"/>
    <x v="82"/>
    <n v="3800"/>
    <x v="322"/>
    <n v="0"/>
    <x v="0"/>
    <s v="BX 12"/>
    <n v="10"/>
    <n v="1231"/>
    <x v="1207"/>
    <s v="Annual"/>
    <n v="1"/>
    <n v="1"/>
    <n v="55272"/>
    <n v="55272"/>
  </r>
  <r>
    <x v="1"/>
    <n v="33"/>
    <x v="11"/>
    <x v="21"/>
    <x v="21"/>
    <n v="1005"/>
    <x v="12"/>
    <x v="39"/>
    <x v="82"/>
    <n v="3800"/>
    <x v="322"/>
    <n v="0"/>
    <x v="0"/>
    <s v="1 00"/>
    <n v="0"/>
    <n v="44"/>
    <x v="1206"/>
    <s v="Annual"/>
    <n v="0"/>
    <n v="0"/>
    <n v="332005"/>
    <n v="332005"/>
  </r>
  <r>
    <x v="1"/>
    <n v="33"/>
    <x v="11"/>
    <x v="21"/>
    <x v="21"/>
    <n v="1005"/>
    <x v="12"/>
    <x v="39"/>
    <x v="82"/>
    <n v="3800"/>
    <x v="322"/>
    <n v="0"/>
    <x v="0"/>
    <s v="1 00"/>
    <n v="0"/>
    <n v="15"/>
    <x v="37"/>
    <s v="Annual"/>
    <n v="0"/>
    <n v="0"/>
    <n v="14761"/>
    <n v="14761"/>
  </r>
  <r>
    <x v="1"/>
    <n v="41"/>
    <x v="15"/>
    <x v="21"/>
    <x v="21"/>
    <n v="1005"/>
    <x v="16"/>
    <x v="40"/>
    <x v="85"/>
    <s v="380C"/>
    <x v="323"/>
    <n v="0"/>
    <x v="0"/>
    <s v="G 07"/>
    <n v="3"/>
    <n v="2989"/>
    <x v="1208"/>
    <s v="Annual"/>
    <n v="1"/>
    <n v="1"/>
    <n v="90144"/>
    <n v="90144"/>
  </r>
  <r>
    <x v="1"/>
    <n v="41"/>
    <x v="15"/>
    <x v="21"/>
    <x v="21"/>
    <n v="1005"/>
    <x v="16"/>
    <x v="40"/>
    <x v="85"/>
    <s v="380C"/>
    <x v="323"/>
    <n v="0"/>
    <x v="0"/>
    <s v="BX 19"/>
    <n v="10"/>
    <n v="2926"/>
    <x v="1169"/>
    <s v="Annual"/>
    <n v="1"/>
    <n v="1"/>
    <n v="113568"/>
    <n v="113568"/>
  </r>
  <r>
    <x v="1"/>
    <n v="41"/>
    <x v="15"/>
    <x v="21"/>
    <x v="21"/>
    <n v="1005"/>
    <x v="16"/>
    <x v="40"/>
    <x v="85"/>
    <s v="380C"/>
    <x v="323"/>
    <n v="0"/>
    <x v="0"/>
    <s v="B 14"/>
    <n v="4"/>
    <n v="2905"/>
    <x v="1209"/>
    <s v="Annual"/>
    <n v="1"/>
    <n v="1"/>
    <n v="75336"/>
    <n v="75336"/>
  </r>
  <r>
    <x v="1"/>
    <n v="41"/>
    <x v="15"/>
    <x v="21"/>
    <x v="21"/>
    <n v="1005"/>
    <x v="16"/>
    <x v="40"/>
    <x v="85"/>
    <s v="380C"/>
    <x v="323"/>
    <n v="0"/>
    <x v="0"/>
    <s v="X 33"/>
    <n v="9"/>
    <n v="313"/>
    <x v="220"/>
    <s v="Annual"/>
    <n v="1"/>
    <n v="1"/>
    <n v="146808"/>
    <n v="146808"/>
  </r>
  <r>
    <x v="1"/>
    <n v="41"/>
    <x v="15"/>
    <x v="21"/>
    <x v="21"/>
    <n v="1005"/>
    <x v="16"/>
    <x v="40"/>
    <x v="85"/>
    <s v="380C"/>
    <x v="323"/>
    <n v="0"/>
    <x v="0"/>
    <s v="1 00"/>
    <n v="0"/>
    <n v="44"/>
    <x v="1206"/>
    <s v="Annual"/>
    <n v="0"/>
    <n v="0"/>
    <n v="238310"/>
    <n v="238310"/>
  </r>
  <r>
    <x v="1"/>
    <n v="41"/>
    <x v="15"/>
    <x v="21"/>
    <x v="21"/>
    <n v="1005"/>
    <x v="16"/>
    <x v="40"/>
    <x v="85"/>
    <s v="380C"/>
    <x v="323"/>
    <n v="0"/>
    <x v="0"/>
    <s v="1 00"/>
    <n v="0"/>
    <n v="15"/>
    <x v="37"/>
    <s v="Annual"/>
    <n v="0"/>
    <n v="0"/>
    <n v="3836"/>
    <n v="3836"/>
  </r>
  <r>
    <x v="1"/>
    <n v="41"/>
    <x v="15"/>
    <x v="21"/>
    <x v="21"/>
    <n v="1005"/>
    <x v="16"/>
    <x v="40"/>
    <x v="85"/>
    <s v="380D"/>
    <x v="236"/>
    <n v="0"/>
    <x v="0"/>
    <s v="B 15"/>
    <n v="1"/>
    <n v="1572"/>
    <x v="95"/>
    <s v="Annual"/>
    <n v="1"/>
    <n v="1"/>
    <n v="143400"/>
    <n v="143400"/>
  </r>
  <r>
    <x v="1"/>
    <n v="41"/>
    <x v="15"/>
    <x v="21"/>
    <x v="21"/>
    <n v="1005"/>
    <x v="16"/>
    <x v="40"/>
    <x v="85"/>
    <s v="380D"/>
    <x v="236"/>
    <n v="0"/>
    <x v="0"/>
    <s v="B 13"/>
    <n v="1"/>
    <n v="1482"/>
    <x v="96"/>
    <s v="Annual"/>
    <n v="1"/>
    <n v="1"/>
    <n v="77640"/>
    <n v="77640"/>
  </r>
  <r>
    <x v="1"/>
    <n v="41"/>
    <x v="15"/>
    <x v="21"/>
    <x v="21"/>
    <n v="1005"/>
    <x v="16"/>
    <x v="40"/>
    <x v="85"/>
    <s v="380D"/>
    <x v="236"/>
    <n v="0"/>
    <x v="0"/>
    <s v="B 13"/>
    <n v="1"/>
    <n v="1482"/>
    <x v="96"/>
    <s v="Annual"/>
    <n v="2"/>
    <n v="1"/>
    <n v="68616"/>
    <n v="137232"/>
  </r>
  <r>
    <x v="1"/>
    <n v="41"/>
    <x v="15"/>
    <x v="21"/>
    <x v="21"/>
    <n v="1005"/>
    <x v="16"/>
    <x v="40"/>
    <x v="85"/>
    <s v="380D"/>
    <x v="236"/>
    <n v="0"/>
    <x v="0"/>
    <s v="X 33"/>
    <n v="20"/>
    <n v="1191"/>
    <x v="405"/>
    <s v="Annual"/>
    <n v="1"/>
    <n v="1"/>
    <n v="137532"/>
    <n v="137532"/>
  </r>
  <r>
    <x v="1"/>
    <n v="41"/>
    <x v="15"/>
    <x v="21"/>
    <x v="21"/>
    <n v="1005"/>
    <x v="16"/>
    <x v="40"/>
    <x v="85"/>
    <s v="380D"/>
    <x v="236"/>
    <n v="0"/>
    <x v="0"/>
    <s v="X 33"/>
    <n v="9"/>
    <n v="313"/>
    <x v="220"/>
    <s v="Annual"/>
    <n v="1"/>
    <n v="1"/>
    <n v="146808"/>
    <n v="146808"/>
  </r>
  <r>
    <x v="1"/>
    <n v="41"/>
    <x v="15"/>
    <x v="21"/>
    <x v="21"/>
    <n v="1005"/>
    <x v="16"/>
    <x v="40"/>
    <x v="85"/>
    <s v="380D"/>
    <x v="236"/>
    <n v="0"/>
    <x v="0"/>
    <s v="1 00"/>
    <n v="0"/>
    <n v="44"/>
    <x v="1206"/>
    <s v="Annual"/>
    <n v="0"/>
    <n v="0"/>
    <n v="359606"/>
    <n v="359606"/>
  </r>
  <r>
    <x v="1"/>
    <n v="41"/>
    <x v="15"/>
    <x v="21"/>
    <x v="21"/>
    <n v="1005"/>
    <x v="16"/>
    <x v="40"/>
    <x v="85"/>
    <s v="380D"/>
    <x v="236"/>
    <n v="0"/>
    <x v="0"/>
    <s v="1 00"/>
    <n v="0"/>
    <n v="15"/>
    <x v="37"/>
    <s v="Annual"/>
    <n v="0"/>
    <n v="0"/>
    <n v="13950"/>
    <n v="13950"/>
  </r>
  <r>
    <x v="1"/>
    <n v="50"/>
    <x v="18"/>
    <x v="21"/>
    <x v="21"/>
    <n v="1005"/>
    <x v="19"/>
    <x v="41"/>
    <x v="85"/>
    <n v="3800"/>
    <x v="324"/>
    <n v="0"/>
    <x v="0"/>
    <s v="X 32"/>
    <n v="9"/>
    <n v="9679"/>
    <x v="81"/>
    <s v="Annual"/>
    <n v="1"/>
    <n v="1"/>
    <n v="167964"/>
    <n v="167964"/>
  </r>
  <r>
    <x v="1"/>
    <n v="50"/>
    <x v="18"/>
    <x v="21"/>
    <x v="21"/>
    <n v="1005"/>
    <x v="19"/>
    <x v="41"/>
    <x v="85"/>
    <n v="3800"/>
    <x v="324"/>
    <n v="0"/>
    <x v="0"/>
    <s v="B 15"/>
    <n v="1"/>
    <n v="1572"/>
    <x v="95"/>
    <s v="Annual"/>
    <n v="1"/>
    <n v="1"/>
    <n v="136908"/>
    <n v="136908"/>
  </r>
  <r>
    <x v="1"/>
    <n v="50"/>
    <x v="18"/>
    <x v="21"/>
    <x v="21"/>
    <n v="1005"/>
    <x v="19"/>
    <x v="41"/>
    <x v="85"/>
    <n v="3800"/>
    <x v="324"/>
    <n v="0"/>
    <x v="0"/>
    <s v="B 15"/>
    <n v="1"/>
    <n v="1572"/>
    <x v="95"/>
    <s v="Annual"/>
    <n v="1"/>
    <n v="1"/>
    <n v="82644"/>
    <n v="82644"/>
  </r>
  <r>
    <x v="1"/>
    <n v="50"/>
    <x v="18"/>
    <x v="21"/>
    <x v="21"/>
    <n v="1005"/>
    <x v="19"/>
    <x v="41"/>
    <x v="85"/>
    <n v="3800"/>
    <x v="324"/>
    <n v="0"/>
    <x v="0"/>
    <s v="BX 16"/>
    <n v="10"/>
    <n v="1569"/>
    <x v="1210"/>
    <s v="Annual"/>
    <n v="1"/>
    <n v="1"/>
    <n v="83052"/>
    <n v="83052"/>
  </r>
  <r>
    <x v="1"/>
    <n v="50"/>
    <x v="18"/>
    <x v="21"/>
    <x v="21"/>
    <n v="1005"/>
    <x v="19"/>
    <x v="41"/>
    <x v="85"/>
    <n v="3800"/>
    <x v="324"/>
    <n v="0"/>
    <x v="0"/>
    <s v="B 13"/>
    <n v="1"/>
    <n v="1482"/>
    <x v="96"/>
    <s v="Annual"/>
    <n v="1"/>
    <n v="1"/>
    <n v="103608"/>
    <n v="103608"/>
  </r>
  <r>
    <x v="1"/>
    <n v="50"/>
    <x v="18"/>
    <x v="21"/>
    <x v="21"/>
    <n v="1005"/>
    <x v="19"/>
    <x v="41"/>
    <x v="85"/>
    <n v="3800"/>
    <x v="324"/>
    <n v="0"/>
    <x v="0"/>
    <s v="B 13"/>
    <n v="1"/>
    <n v="1482"/>
    <x v="96"/>
    <s v="Annual"/>
    <n v="1"/>
    <n v="1"/>
    <n v="74172"/>
    <n v="74172"/>
  </r>
  <r>
    <x v="1"/>
    <n v="50"/>
    <x v="18"/>
    <x v="21"/>
    <x v="21"/>
    <n v="1005"/>
    <x v="19"/>
    <x v="41"/>
    <x v="85"/>
    <n v="3800"/>
    <x v="324"/>
    <n v="0"/>
    <x v="0"/>
    <s v="B 13"/>
    <n v="1"/>
    <n v="1482"/>
    <x v="96"/>
    <s v="Annual"/>
    <n v="1"/>
    <n v="1"/>
    <n v="68616"/>
    <n v="68616"/>
  </r>
  <r>
    <x v="1"/>
    <n v="50"/>
    <x v="18"/>
    <x v="21"/>
    <x v="21"/>
    <n v="1005"/>
    <x v="19"/>
    <x v="41"/>
    <x v="85"/>
    <n v="3800"/>
    <x v="324"/>
    <n v="0"/>
    <x v="0"/>
    <s v="X 33"/>
    <n v="20"/>
    <n v="1191"/>
    <x v="405"/>
    <s v="Annual"/>
    <n v="1"/>
    <n v="1"/>
    <n v="153384"/>
    <n v="153384"/>
  </r>
  <r>
    <x v="1"/>
    <n v="50"/>
    <x v="18"/>
    <x v="21"/>
    <x v="21"/>
    <n v="1005"/>
    <x v="19"/>
    <x v="41"/>
    <x v="85"/>
    <n v="3800"/>
    <x v="324"/>
    <n v="0"/>
    <x v="0"/>
    <s v="B 10"/>
    <n v="1"/>
    <s v="03A7"/>
    <x v="4"/>
    <s v="Annual"/>
    <n v="1"/>
    <n v="1"/>
    <n v="51936"/>
    <n v="51936"/>
  </r>
  <r>
    <x v="1"/>
    <n v="50"/>
    <x v="18"/>
    <x v="21"/>
    <x v="21"/>
    <n v="1005"/>
    <x v="19"/>
    <x v="41"/>
    <x v="85"/>
    <n v="3800"/>
    <x v="324"/>
    <n v="0"/>
    <x v="0"/>
    <s v="B 13"/>
    <n v="1"/>
    <n v="308"/>
    <x v="90"/>
    <s v="Annual"/>
    <n v="1"/>
    <n v="1"/>
    <n v="119100"/>
    <n v="119100"/>
  </r>
  <r>
    <x v="1"/>
    <n v="50"/>
    <x v="18"/>
    <x v="21"/>
    <x v="21"/>
    <n v="1005"/>
    <x v="19"/>
    <x v="41"/>
    <x v="85"/>
    <n v="3800"/>
    <x v="324"/>
    <n v="0"/>
    <x v="0"/>
    <s v="1 00"/>
    <n v="0"/>
    <n v="44"/>
    <x v="1206"/>
    <s v="Annual"/>
    <n v="0"/>
    <n v="0"/>
    <n v="582760"/>
    <n v="582760"/>
  </r>
  <r>
    <x v="1"/>
    <n v="50"/>
    <x v="18"/>
    <x v="21"/>
    <x v="21"/>
    <n v="1005"/>
    <x v="19"/>
    <x v="41"/>
    <x v="85"/>
    <n v="3800"/>
    <x v="324"/>
    <n v="0"/>
    <x v="0"/>
    <s v="1 00"/>
    <n v="0"/>
    <n v="15"/>
    <x v="37"/>
    <s v="Annual"/>
    <n v="0"/>
    <n v="0"/>
    <n v="11868"/>
    <n v="11868"/>
  </r>
  <r>
    <x v="1"/>
    <n v="50"/>
    <x v="18"/>
    <x v="21"/>
    <x v="21"/>
    <n v="1005"/>
    <x v="19"/>
    <x v="41"/>
    <x v="85"/>
    <n v="3804"/>
    <x v="325"/>
    <n v="0"/>
    <x v="0"/>
    <s v="X 33"/>
    <n v="0"/>
    <n v="3018"/>
    <x v="600"/>
    <s v="Annual"/>
    <n v="1"/>
    <n v="1"/>
    <n v="153384"/>
    <n v="153384"/>
  </r>
  <r>
    <x v="1"/>
    <n v="50"/>
    <x v="18"/>
    <x v="21"/>
    <x v="21"/>
    <n v="1005"/>
    <x v="19"/>
    <x v="41"/>
    <x v="85"/>
    <n v="3804"/>
    <x v="325"/>
    <n v="0"/>
    <x v="0"/>
    <s v="X 33"/>
    <n v="9"/>
    <n v="3010"/>
    <x v="1211"/>
    <s v="Annual"/>
    <n v="1"/>
    <n v="1"/>
    <n v="121668"/>
    <n v="121668"/>
  </r>
  <r>
    <x v="1"/>
    <n v="50"/>
    <x v="18"/>
    <x v="21"/>
    <x v="21"/>
    <n v="1005"/>
    <x v="19"/>
    <x v="41"/>
    <x v="85"/>
    <n v="3804"/>
    <x v="325"/>
    <n v="0"/>
    <x v="0"/>
    <s v="BX 17"/>
    <n v="10"/>
    <n v="1431"/>
    <x v="82"/>
    <s v="Annual"/>
    <n v="1"/>
    <n v="1"/>
    <n v="113568"/>
    <n v="113568"/>
  </r>
  <r>
    <x v="1"/>
    <n v="50"/>
    <x v="18"/>
    <x v="21"/>
    <x v="21"/>
    <n v="1005"/>
    <x v="19"/>
    <x v="41"/>
    <x v="85"/>
    <n v="3804"/>
    <x v="325"/>
    <n v="0"/>
    <x v="0"/>
    <s v="BX 16"/>
    <n v="10"/>
    <n v="1430"/>
    <x v="355"/>
    <s v="Annual"/>
    <n v="3"/>
    <n v="1"/>
    <n v="98832"/>
    <n v="296496"/>
  </r>
  <r>
    <x v="1"/>
    <n v="50"/>
    <x v="18"/>
    <x v="21"/>
    <x v="21"/>
    <n v="1005"/>
    <x v="19"/>
    <x v="41"/>
    <x v="85"/>
    <n v="3804"/>
    <x v="325"/>
    <n v="0"/>
    <x v="0"/>
    <s v="GY 08"/>
    <n v="20"/>
    <n v="1141"/>
    <x v="79"/>
    <s v="Annual"/>
    <n v="3"/>
    <n v="1"/>
    <n v="89112"/>
    <n v="267336"/>
  </r>
  <r>
    <x v="1"/>
    <n v="50"/>
    <x v="18"/>
    <x v="21"/>
    <x v="21"/>
    <n v="1005"/>
    <x v="19"/>
    <x v="41"/>
    <x v="85"/>
    <n v="3804"/>
    <x v="325"/>
    <n v="0"/>
    <x v="0"/>
    <s v="GY 11"/>
    <n v="10"/>
    <n v="1130"/>
    <x v="400"/>
    <s v="Annual"/>
    <n v="1"/>
    <n v="1"/>
    <n v="106272"/>
    <n v="106272"/>
  </r>
  <r>
    <x v="1"/>
    <n v="50"/>
    <x v="18"/>
    <x v="21"/>
    <x v="21"/>
    <n v="1005"/>
    <x v="19"/>
    <x v="41"/>
    <x v="85"/>
    <n v="3804"/>
    <x v="325"/>
    <n v="0"/>
    <x v="0"/>
    <s v="1 00"/>
    <n v="0"/>
    <n v="44"/>
    <x v="1206"/>
    <s v="Annual"/>
    <n v="0"/>
    <n v="0"/>
    <n v="592462"/>
    <n v="592462"/>
  </r>
  <r>
    <x v="1"/>
    <n v="50"/>
    <x v="18"/>
    <x v="21"/>
    <x v="21"/>
    <n v="1005"/>
    <x v="19"/>
    <x v="41"/>
    <x v="85"/>
    <n v="3804"/>
    <x v="325"/>
    <n v="0"/>
    <x v="0"/>
    <s v="1 00"/>
    <n v="0"/>
    <n v="15"/>
    <x v="37"/>
    <s v="Annual"/>
    <n v="0"/>
    <n v="0"/>
    <n v="16962"/>
    <n v="16962"/>
  </r>
  <r>
    <x v="1"/>
    <n v="50"/>
    <x v="18"/>
    <x v="21"/>
    <x v="21"/>
    <n v="1005"/>
    <x v="19"/>
    <x v="41"/>
    <x v="85"/>
    <n v="3810"/>
    <x v="326"/>
    <n v="0"/>
    <x v="0"/>
    <s v="BX 16"/>
    <n v="10"/>
    <n v="2916"/>
    <x v="1188"/>
    <s v="Annual"/>
    <n v="1"/>
    <n v="1"/>
    <n v="94332"/>
    <n v="94332"/>
  </r>
  <r>
    <x v="1"/>
    <n v="50"/>
    <x v="18"/>
    <x v="21"/>
    <x v="21"/>
    <n v="1005"/>
    <x v="19"/>
    <x v="41"/>
    <x v="85"/>
    <n v="3810"/>
    <x v="326"/>
    <n v="0"/>
    <x v="0"/>
    <s v="B 14"/>
    <n v="1"/>
    <n v="2908"/>
    <x v="1189"/>
    <s v="Annual"/>
    <n v="3"/>
    <n v="1"/>
    <n v="130668"/>
    <n v="392004"/>
  </r>
  <r>
    <x v="1"/>
    <n v="50"/>
    <x v="18"/>
    <x v="21"/>
    <x v="21"/>
    <n v="1005"/>
    <x v="19"/>
    <x v="41"/>
    <x v="85"/>
    <n v="3810"/>
    <x v="326"/>
    <n v="0"/>
    <x v="0"/>
    <s v="B 14"/>
    <n v="1"/>
    <n v="2908"/>
    <x v="1189"/>
    <s v="Annual"/>
    <n v="1"/>
    <n v="1"/>
    <n v="124848"/>
    <n v="124848"/>
  </r>
  <r>
    <x v="1"/>
    <n v="50"/>
    <x v="18"/>
    <x v="21"/>
    <x v="21"/>
    <n v="1005"/>
    <x v="19"/>
    <x v="41"/>
    <x v="85"/>
    <n v="3810"/>
    <x v="326"/>
    <n v="0"/>
    <x v="0"/>
    <s v="B 14"/>
    <n v="1"/>
    <n v="2908"/>
    <x v="1189"/>
    <s v="Annual"/>
    <n v="1"/>
    <n v="1"/>
    <n v="119100"/>
    <n v="119100"/>
  </r>
  <r>
    <x v="1"/>
    <n v="50"/>
    <x v="18"/>
    <x v="21"/>
    <x v="21"/>
    <n v="1005"/>
    <x v="19"/>
    <x v="41"/>
    <x v="85"/>
    <n v="3810"/>
    <x v="326"/>
    <n v="0"/>
    <x v="0"/>
    <s v="B 14"/>
    <n v="1"/>
    <n v="2908"/>
    <x v="1189"/>
    <s v="Annual"/>
    <n v="2"/>
    <n v="1"/>
    <n v="77640"/>
    <n v="155280"/>
  </r>
  <r>
    <x v="1"/>
    <n v="50"/>
    <x v="18"/>
    <x v="21"/>
    <x v="21"/>
    <n v="1005"/>
    <x v="19"/>
    <x v="41"/>
    <x v="85"/>
    <n v="3810"/>
    <x v="326"/>
    <n v="0"/>
    <x v="0"/>
    <s v="B 14"/>
    <n v="1"/>
    <n v="2908"/>
    <x v="1189"/>
    <s v="Annual"/>
    <n v="2"/>
    <n v="1"/>
    <n v="75336"/>
    <n v="150672"/>
  </r>
  <r>
    <x v="1"/>
    <n v="50"/>
    <x v="18"/>
    <x v="21"/>
    <x v="21"/>
    <n v="1005"/>
    <x v="19"/>
    <x v="41"/>
    <x v="85"/>
    <n v="3810"/>
    <x v="326"/>
    <n v="0"/>
    <x v="0"/>
    <s v="BX 18"/>
    <n v="20"/>
    <n v="1484"/>
    <x v="1212"/>
    <s v="Annual"/>
    <n v="1"/>
    <n v="1"/>
    <n v="150072"/>
    <n v="150072"/>
  </r>
  <r>
    <x v="1"/>
    <n v="50"/>
    <x v="18"/>
    <x v="21"/>
    <x v="21"/>
    <n v="1005"/>
    <x v="19"/>
    <x v="41"/>
    <x v="85"/>
    <n v="3810"/>
    <x v="326"/>
    <n v="0"/>
    <x v="0"/>
    <s v="G 07"/>
    <n v="4"/>
    <n v="193"/>
    <x v="244"/>
    <s v="Annual"/>
    <n v="1"/>
    <n v="1"/>
    <n v="129636"/>
    <n v="129636"/>
  </r>
  <r>
    <x v="1"/>
    <n v="50"/>
    <x v="18"/>
    <x v="21"/>
    <x v="21"/>
    <n v="1005"/>
    <x v="19"/>
    <x v="41"/>
    <x v="85"/>
    <n v="3810"/>
    <x v="326"/>
    <n v="0"/>
    <x v="0"/>
    <s v="G 06"/>
    <n v="4"/>
    <n v="192"/>
    <x v="272"/>
    <s v="Annual"/>
    <n v="2"/>
    <n v="1"/>
    <n v="118836"/>
    <n v="237672"/>
  </r>
  <r>
    <x v="1"/>
    <n v="50"/>
    <x v="18"/>
    <x v="21"/>
    <x v="21"/>
    <n v="1005"/>
    <x v="19"/>
    <x v="41"/>
    <x v="85"/>
    <n v="3810"/>
    <x v="326"/>
    <n v="0"/>
    <x v="0"/>
    <s v="G 06"/>
    <n v="4"/>
    <n v="192"/>
    <x v="272"/>
    <s v="Annual"/>
    <n v="1"/>
    <n v="1"/>
    <n v="102516"/>
    <n v="102516"/>
  </r>
  <r>
    <x v="1"/>
    <n v="50"/>
    <x v="18"/>
    <x v="21"/>
    <x v="21"/>
    <n v="1005"/>
    <x v="19"/>
    <x v="41"/>
    <x v="85"/>
    <n v="3810"/>
    <x v="326"/>
    <n v="0"/>
    <x v="0"/>
    <s v="G 06"/>
    <n v="4"/>
    <n v="192"/>
    <x v="272"/>
    <s v="Annual"/>
    <n v="1"/>
    <n v="1"/>
    <n v="81636"/>
    <n v="81636"/>
  </r>
  <r>
    <x v="1"/>
    <n v="50"/>
    <x v="18"/>
    <x v="21"/>
    <x v="21"/>
    <n v="1005"/>
    <x v="19"/>
    <x v="41"/>
    <x v="85"/>
    <n v="3810"/>
    <x v="326"/>
    <n v="0"/>
    <x v="0"/>
    <s v="GY 11"/>
    <n v="20"/>
    <n v="149"/>
    <x v="281"/>
    <s v="Annual"/>
    <n v="1"/>
    <n v="1"/>
    <n v="115992"/>
    <n v="115992"/>
  </r>
  <r>
    <x v="1"/>
    <n v="50"/>
    <x v="18"/>
    <x v="21"/>
    <x v="21"/>
    <n v="1005"/>
    <x v="19"/>
    <x v="41"/>
    <x v="85"/>
    <n v="3810"/>
    <x v="326"/>
    <n v="0"/>
    <x v="0"/>
    <s v="1 00"/>
    <n v="0"/>
    <n v="44"/>
    <x v="1206"/>
    <s v="Annual"/>
    <n v="0"/>
    <n v="0"/>
    <n v="1037363"/>
    <n v="1037363"/>
  </r>
  <r>
    <x v="1"/>
    <n v="50"/>
    <x v="18"/>
    <x v="21"/>
    <x v="21"/>
    <n v="1005"/>
    <x v="19"/>
    <x v="41"/>
    <x v="85"/>
    <n v="3810"/>
    <x v="326"/>
    <n v="0"/>
    <x v="0"/>
    <s v="1 00"/>
    <n v="0"/>
    <n v="15"/>
    <x v="37"/>
    <s v="Annual"/>
    <n v="0"/>
    <n v="0"/>
    <n v="10056"/>
    <n v="10056"/>
  </r>
  <r>
    <x v="1"/>
    <n v="51"/>
    <x v="19"/>
    <x v="21"/>
    <x v="21"/>
    <n v="1005"/>
    <x v="20"/>
    <x v="39"/>
    <x v="82"/>
    <n v="3800"/>
    <x v="323"/>
    <n v="0"/>
    <x v="0"/>
    <s v="X 33"/>
    <n v="9"/>
    <n v="3010"/>
    <x v="1211"/>
    <s v="Annual"/>
    <n v="1"/>
    <n v="1"/>
    <n v="153384"/>
    <n v="153384"/>
  </r>
  <r>
    <x v="1"/>
    <n v="51"/>
    <x v="19"/>
    <x v="21"/>
    <x v="21"/>
    <n v="1005"/>
    <x v="20"/>
    <x v="39"/>
    <x v="82"/>
    <n v="3800"/>
    <x v="323"/>
    <n v="0"/>
    <x v="0"/>
    <s v="G 07"/>
    <n v="3"/>
    <n v="2989"/>
    <x v="1208"/>
    <s v="Annual"/>
    <n v="1"/>
    <n v="1"/>
    <n v="129636"/>
    <n v="129636"/>
  </r>
  <r>
    <x v="1"/>
    <n v="51"/>
    <x v="19"/>
    <x v="21"/>
    <x v="21"/>
    <n v="1005"/>
    <x v="20"/>
    <x v="39"/>
    <x v="82"/>
    <n v="3800"/>
    <x v="323"/>
    <n v="0"/>
    <x v="0"/>
    <s v="G 07"/>
    <n v="3"/>
    <n v="2989"/>
    <x v="1208"/>
    <s v="Annual"/>
    <n v="1"/>
    <n v="1"/>
    <n v="97488"/>
    <n v="97488"/>
  </r>
  <r>
    <x v="1"/>
    <n v="51"/>
    <x v="19"/>
    <x v="21"/>
    <x v="21"/>
    <n v="1005"/>
    <x v="20"/>
    <x v="39"/>
    <x v="82"/>
    <n v="3800"/>
    <x v="323"/>
    <n v="0"/>
    <x v="0"/>
    <s v="G 07"/>
    <n v="3"/>
    <n v="2989"/>
    <x v="1208"/>
    <s v="Annual"/>
    <n v="1"/>
    <n v="1"/>
    <n v="90144"/>
    <n v="90144"/>
  </r>
  <r>
    <x v="1"/>
    <n v="51"/>
    <x v="19"/>
    <x v="21"/>
    <x v="21"/>
    <n v="1005"/>
    <x v="20"/>
    <x v="39"/>
    <x v="82"/>
    <n v="3800"/>
    <x v="323"/>
    <n v="0"/>
    <x v="0"/>
    <s v="B 12"/>
    <n v="1"/>
    <s v="03A8"/>
    <x v="88"/>
    <s v="Annual"/>
    <n v="1"/>
    <n v="1"/>
    <n v="108576"/>
    <n v="108576"/>
  </r>
  <r>
    <x v="1"/>
    <n v="51"/>
    <x v="19"/>
    <x v="21"/>
    <x v="21"/>
    <n v="1005"/>
    <x v="20"/>
    <x v="39"/>
    <x v="82"/>
    <n v="3800"/>
    <x v="323"/>
    <n v="0"/>
    <x v="0"/>
    <s v="1 00"/>
    <n v="0"/>
    <n v="44"/>
    <x v="1206"/>
    <s v="Annual"/>
    <n v="0"/>
    <n v="0"/>
    <n v="324136"/>
    <n v="324136"/>
  </r>
  <r>
    <x v="1"/>
    <n v="51"/>
    <x v="19"/>
    <x v="21"/>
    <x v="21"/>
    <n v="1005"/>
    <x v="20"/>
    <x v="39"/>
    <x v="82"/>
    <n v="3800"/>
    <x v="323"/>
    <n v="0"/>
    <x v="0"/>
    <s v="1 00"/>
    <n v="0"/>
    <n v="15"/>
    <x v="37"/>
    <s v="Annual"/>
    <n v="0"/>
    <n v="0"/>
    <n v="2339"/>
    <n v="2339"/>
  </r>
  <r>
    <x v="1"/>
    <n v="70"/>
    <x v="28"/>
    <x v="21"/>
    <x v="21"/>
    <n v="1005"/>
    <x v="29"/>
    <x v="39"/>
    <x v="82"/>
    <n v="3800"/>
    <x v="323"/>
    <n v="0"/>
    <x v="0"/>
    <s v="G 07"/>
    <n v="3"/>
    <n v="2989"/>
    <x v="1208"/>
    <s v="Annual"/>
    <n v="1"/>
    <n v="1"/>
    <n v="102516"/>
    <n v="102516"/>
  </r>
  <r>
    <x v="1"/>
    <n v="70"/>
    <x v="28"/>
    <x v="21"/>
    <x v="21"/>
    <n v="1005"/>
    <x v="29"/>
    <x v="39"/>
    <x v="82"/>
    <n v="3800"/>
    <x v="323"/>
    <n v="0"/>
    <x v="0"/>
    <s v="1 00"/>
    <n v="0"/>
    <n v="44"/>
    <x v="1206"/>
    <s v="Annual"/>
    <n v="0"/>
    <n v="0"/>
    <n v="57368"/>
    <n v="57368"/>
  </r>
  <r>
    <x v="1"/>
    <n v="72"/>
    <x v="29"/>
    <x v="21"/>
    <x v="21"/>
    <n v="1010"/>
    <x v="30"/>
    <x v="42"/>
    <x v="82"/>
    <n v="3807"/>
    <x v="323"/>
    <n v="0"/>
    <x v="0"/>
    <s v="G 07"/>
    <n v="3"/>
    <n v="2989"/>
    <x v="1208"/>
    <s v="Annual"/>
    <n v="1"/>
    <n v="1"/>
    <n v="107628"/>
    <n v="107628"/>
  </r>
  <r>
    <x v="1"/>
    <n v="72"/>
    <x v="29"/>
    <x v="21"/>
    <x v="21"/>
    <n v="1010"/>
    <x v="30"/>
    <x v="42"/>
    <x v="82"/>
    <n v="3807"/>
    <x v="323"/>
    <n v="0"/>
    <x v="0"/>
    <s v="1 00"/>
    <n v="0"/>
    <n v="44"/>
    <x v="1206"/>
    <s v="Annual"/>
    <n v="0"/>
    <n v="0"/>
    <n v="60229"/>
    <n v="60229"/>
  </r>
  <r>
    <x v="1"/>
    <n v="72"/>
    <x v="29"/>
    <x v="21"/>
    <x v="21"/>
    <n v="1010"/>
    <x v="30"/>
    <x v="42"/>
    <x v="82"/>
    <n v="3807"/>
    <x v="323"/>
    <n v="0"/>
    <x v="0"/>
    <s v="1 00"/>
    <n v="0"/>
    <n v="15"/>
    <x v="37"/>
    <s v="Annual"/>
    <n v="0"/>
    <n v="0"/>
    <n v="2978"/>
    <n v="2978"/>
  </r>
  <r>
    <x v="1"/>
    <n v="84"/>
    <x v="34"/>
    <x v="21"/>
    <x v="21"/>
    <n v="1145"/>
    <x v="44"/>
    <x v="43"/>
    <x v="82"/>
    <s v="381W"/>
    <x v="327"/>
    <n v="0"/>
    <x v="0"/>
    <s v="X 43"/>
    <n v="9"/>
    <n v="3027"/>
    <x v="1168"/>
    <s v="Annual"/>
    <n v="1"/>
    <n v="1"/>
    <n v="160680"/>
    <n v="160680"/>
  </r>
  <r>
    <x v="1"/>
    <n v="84"/>
    <x v="34"/>
    <x v="21"/>
    <x v="21"/>
    <n v="1145"/>
    <x v="44"/>
    <x v="43"/>
    <x v="82"/>
    <s v="381W"/>
    <x v="327"/>
    <n v="0"/>
    <x v="0"/>
    <s v="GY 10"/>
    <n v="20"/>
    <n v="1441"/>
    <x v="542"/>
    <s v="Annual"/>
    <n v="1"/>
    <n v="1"/>
    <n v="115992"/>
    <n v="115992"/>
  </r>
  <r>
    <x v="1"/>
    <n v="84"/>
    <x v="34"/>
    <x v="21"/>
    <x v="21"/>
    <n v="1145"/>
    <x v="44"/>
    <x v="43"/>
    <x v="82"/>
    <s v="381W"/>
    <x v="327"/>
    <n v="0"/>
    <x v="0"/>
    <s v="1 00"/>
    <n v="0"/>
    <n v="44"/>
    <x v="1206"/>
    <s v="Annual"/>
    <n v="0"/>
    <n v="0"/>
    <n v="154826"/>
    <n v="154826"/>
  </r>
  <r>
    <x v="1"/>
    <n v="84"/>
    <x v="34"/>
    <x v="21"/>
    <x v="21"/>
    <n v="1145"/>
    <x v="44"/>
    <x v="43"/>
    <x v="82"/>
    <s v="381W"/>
    <x v="327"/>
    <n v="0"/>
    <x v="0"/>
    <s v="1 00"/>
    <n v="0"/>
    <n v="15"/>
    <x v="37"/>
    <s v="Annual"/>
    <n v="0"/>
    <n v="0"/>
    <n v="5589"/>
    <n v="5589"/>
  </r>
  <r>
    <x v="1"/>
    <n v="21"/>
    <x v="5"/>
    <x v="22"/>
    <x v="22"/>
    <n v="1005"/>
    <x v="6"/>
    <x v="44"/>
    <x v="86"/>
    <n v="3833"/>
    <x v="328"/>
    <n v="0"/>
    <x v="0"/>
    <s v="1 00"/>
    <n v="9"/>
    <n v="9643"/>
    <x v="1213"/>
    <s v="Annual"/>
    <n v="1"/>
    <n v="1"/>
    <n v="101424"/>
    <n v="101424"/>
  </r>
  <r>
    <x v="1"/>
    <n v="21"/>
    <x v="5"/>
    <x v="22"/>
    <x v="22"/>
    <n v="1005"/>
    <x v="6"/>
    <x v="44"/>
    <x v="86"/>
    <n v="3833"/>
    <x v="328"/>
    <n v="0"/>
    <x v="0"/>
    <s v="1 00"/>
    <n v="0"/>
    <n v="44"/>
    <x v="1206"/>
    <s v="Annual"/>
    <n v="0"/>
    <n v="0"/>
    <n v="56757"/>
    <n v="56757"/>
  </r>
  <r>
    <x v="1"/>
    <n v="41"/>
    <x v="15"/>
    <x v="22"/>
    <x v="22"/>
    <n v="1005"/>
    <x v="16"/>
    <x v="45"/>
    <x v="87"/>
    <n v="3710"/>
    <x v="329"/>
    <n v="0"/>
    <x v="0"/>
    <s v="B 14"/>
    <n v="4"/>
    <n v="3466"/>
    <x v="545"/>
    <s v="Annual"/>
    <n v="2"/>
    <n v="1"/>
    <n v="77640"/>
    <n v="155280"/>
  </r>
  <r>
    <x v="1"/>
    <n v="41"/>
    <x v="15"/>
    <x v="22"/>
    <x v="22"/>
    <n v="1005"/>
    <x v="16"/>
    <x v="45"/>
    <x v="87"/>
    <n v="3710"/>
    <x v="329"/>
    <n v="0"/>
    <x v="0"/>
    <s v="BX 16"/>
    <n v="10"/>
    <n v="3464"/>
    <x v="1214"/>
    <s v="Annual"/>
    <n v="1"/>
    <n v="1"/>
    <n v="85128"/>
    <n v="85128"/>
  </r>
  <r>
    <x v="1"/>
    <n v="41"/>
    <x v="15"/>
    <x v="22"/>
    <x v="22"/>
    <n v="1005"/>
    <x v="16"/>
    <x v="45"/>
    <x v="87"/>
    <n v="3710"/>
    <x v="329"/>
    <n v="0"/>
    <x v="0"/>
    <s v="X 33"/>
    <n v="0"/>
    <n v="3425"/>
    <x v="1215"/>
    <s v="Annual"/>
    <n v="1"/>
    <n v="1"/>
    <n v="121668"/>
    <n v="121668"/>
  </r>
  <r>
    <x v="1"/>
    <n v="41"/>
    <x v="15"/>
    <x v="22"/>
    <x v="22"/>
    <n v="1005"/>
    <x v="16"/>
    <x v="45"/>
    <x v="87"/>
    <n v="3710"/>
    <x v="329"/>
    <n v="0"/>
    <x v="0"/>
    <s v="G 07"/>
    <n v="4"/>
    <n v="3414"/>
    <x v="532"/>
    <s v="Annual"/>
    <n v="1"/>
    <n v="1"/>
    <n v="102516"/>
    <n v="102516"/>
  </r>
  <r>
    <x v="1"/>
    <n v="41"/>
    <x v="15"/>
    <x v="22"/>
    <x v="22"/>
    <n v="1005"/>
    <x v="16"/>
    <x v="45"/>
    <x v="87"/>
    <n v="3710"/>
    <x v="329"/>
    <n v="0"/>
    <x v="0"/>
    <s v="G 07"/>
    <n v="4"/>
    <n v="3414"/>
    <x v="532"/>
    <s v="Annual"/>
    <n v="1"/>
    <n v="1"/>
    <n v="97488"/>
    <n v="97488"/>
  </r>
  <r>
    <x v="1"/>
    <n v="41"/>
    <x v="15"/>
    <x v="22"/>
    <x v="22"/>
    <n v="1005"/>
    <x v="16"/>
    <x v="45"/>
    <x v="87"/>
    <n v="3710"/>
    <x v="329"/>
    <n v="0"/>
    <x v="0"/>
    <s v="G 09"/>
    <n v="4"/>
    <n v="3407"/>
    <x v="534"/>
    <s v="Annual"/>
    <n v="1"/>
    <n v="1"/>
    <n v="122928"/>
    <n v="122928"/>
  </r>
  <r>
    <x v="1"/>
    <n v="41"/>
    <x v="15"/>
    <x v="22"/>
    <x v="22"/>
    <n v="1005"/>
    <x v="16"/>
    <x v="45"/>
    <x v="87"/>
    <n v="3710"/>
    <x v="329"/>
    <n v="0"/>
    <x v="0"/>
    <s v="GY 10"/>
    <n v="20"/>
    <n v="3405"/>
    <x v="1216"/>
    <s v="Annual"/>
    <n v="1"/>
    <n v="1"/>
    <n v="115992"/>
    <n v="115992"/>
  </r>
  <r>
    <x v="1"/>
    <n v="41"/>
    <x v="15"/>
    <x v="22"/>
    <x v="22"/>
    <n v="1005"/>
    <x v="16"/>
    <x v="45"/>
    <x v="87"/>
    <n v="3710"/>
    <x v="329"/>
    <n v="0"/>
    <x v="0"/>
    <s v="GY 10"/>
    <n v="20"/>
    <n v="3405"/>
    <x v="1216"/>
    <s v="Annual"/>
    <n v="1"/>
    <n v="1"/>
    <n v="106272"/>
    <n v="106272"/>
  </r>
  <r>
    <x v="1"/>
    <n v="41"/>
    <x v="15"/>
    <x v="22"/>
    <x v="22"/>
    <n v="1005"/>
    <x v="16"/>
    <x v="45"/>
    <x v="87"/>
    <n v="3710"/>
    <x v="329"/>
    <n v="0"/>
    <x v="0"/>
    <s v="GY 10"/>
    <n v="20"/>
    <n v="3401"/>
    <x v="1217"/>
    <s v="Annual"/>
    <n v="1"/>
    <n v="1"/>
    <n v="106272"/>
    <n v="106272"/>
  </r>
  <r>
    <x v="1"/>
    <n v="41"/>
    <x v="15"/>
    <x v="22"/>
    <x v="22"/>
    <n v="1005"/>
    <x v="16"/>
    <x v="45"/>
    <x v="87"/>
    <n v="3710"/>
    <x v="329"/>
    <n v="0"/>
    <x v="0"/>
    <s v="G 10"/>
    <n v="3"/>
    <s v="06A6"/>
    <x v="625"/>
    <s v="Annual"/>
    <n v="1"/>
    <n v="1"/>
    <n v="134184"/>
    <n v="134184"/>
  </r>
  <r>
    <x v="1"/>
    <n v="41"/>
    <x v="15"/>
    <x v="22"/>
    <x v="22"/>
    <n v="1005"/>
    <x v="16"/>
    <x v="45"/>
    <x v="87"/>
    <n v="3710"/>
    <x v="329"/>
    <n v="0"/>
    <x v="0"/>
    <s v="GY 10"/>
    <n v="20"/>
    <s v="06A3"/>
    <x v="1218"/>
    <s v="Annual"/>
    <n v="1"/>
    <n v="1"/>
    <n v="97332"/>
    <n v="97332"/>
  </r>
  <r>
    <x v="1"/>
    <n v="41"/>
    <x v="15"/>
    <x v="22"/>
    <x v="22"/>
    <n v="1005"/>
    <x v="16"/>
    <x v="45"/>
    <x v="87"/>
    <n v="3710"/>
    <x v="329"/>
    <n v="0"/>
    <x v="0"/>
    <s v="BX 18"/>
    <n v="10"/>
    <n v="311"/>
    <x v="253"/>
    <s v="Annual"/>
    <n v="2"/>
    <n v="1"/>
    <n v="143232"/>
    <n v="286464"/>
  </r>
  <r>
    <x v="1"/>
    <n v="41"/>
    <x v="15"/>
    <x v="22"/>
    <x v="22"/>
    <n v="1005"/>
    <x v="16"/>
    <x v="45"/>
    <x v="87"/>
    <n v="3710"/>
    <x v="329"/>
    <n v="0"/>
    <x v="0"/>
    <s v="BX 18"/>
    <n v="10"/>
    <n v="310"/>
    <x v="135"/>
    <s v="Annual"/>
    <n v="1"/>
    <n v="1"/>
    <n v="124584"/>
    <n v="124584"/>
  </r>
  <r>
    <x v="1"/>
    <n v="41"/>
    <x v="15"/>
    <x v="22"/>
    <x v="22"/>
    <n v="1005"/>
    <x v="16"/>
    <x v="45"/>
    <x v="87"/>
    <n v="3710"/>
    <x v="329"/>
    <n v="0"/>
    <x v="0"/>
    <s v="BX 18"/>
    <n v="10"/>
    <n v="310"/>
    <x v="135"/>
    <s v="Annual"/>
    <n v="2"/>
    <n v="1"/>
    <n v="113568"/>
    <n v="227136"/>
  </r>
  <r>
    <x v="1"/>
    <n v="41"/>
    <x v="15"/>
    <x v="22"/>
    <x v="22"/>
    <n v="1005"/>
    <x v="16"/>
    <x v="45"/>
    <x v="87"/>
    <n v="3710"/>
    <x v="329"/>
    <n v="0"/>
    <x v="0"/>
    <s v="1 00"/>
    <n v="0"/>
    <n v="44"/>
    <x v="1206"/>
    <s v="Annual"/>
    <n v="0"/>
    <n v="0"/>
    <n v="1053863"/>
    <n v="1053863"/>
  </r>
  <r>
    <x v="1"/>
    <n v="41"/>
    <x v="15"/>
    <x v="22"/>
    <x v="22"/>
    <n v="1005"/>
    <x v="16"/>
    <x v="45"/>
    <x v="87"/>
    <n v="3710"/>
    <x v="329"/>
    <n v="0"/>
    <x v="0"/>
    <s v="1 00"/>
    <n v="0"/>
    <n v="15"/>
    <x v="37"/>
    <s v="Annual"/>
    <n v="0"/>
    <n v="0"/>
    <n v="25947"/>
    <n v="25947"/>
  </r>
  <r>
    <x v="1"/>
    <n v="41"/>
    <x v="15"/>
    <x v="22"/>
    <x v="22"/>
    <n v="1005"/>
    <x v="16"/>
    <x v="46"/>
    <x v="88"/>
    <s v="382N"/>
    <x v="330"/>
    <n v="0"/>
    <x v="0"/>
    <s v="B 13"/>
    <n v="1"/>
    <n v="6409"/>
    <x v="466"/>
    <s v="Annual"/>
    <n v="1"/>
    <n v="1"/>
    <n v="74172"/>
    <n v="74172"/>
  </r>
  <r>
    <x v="1"/>
    <n v="41"/>
    <x v="15"/>
    <x v="22"/>
    <x v="22"/>
    <n v="1005"/>
    <x v="16"/>
    <x v="46"/>
    <x v="88"/>
    <s v="382N"/>
    <x v="330"/>
    <n v="0"/>
    <x v="0"/>
    <s v="S 05"/>
    <n v="37"/>
    <n v="3752"/>
    <x v="543"/>
    <s v="Annual"/>
    <n v="1"/>
    <n v="1"/>
    <n v="87504"/>
    <n v="87504"/>
  </r>
  <r>
    <x v="1"/>
    <n v="41"/>
    <x v="15"/>
    <x v="22"/>
    <x v="22"/>
    <n v="1005"/>
    <x v="16"/>
    <x v="46"/>
    <x v="88"/>
    <s v="382N"/>
    <x v="330"/>
    <n v="0"/>
    <x v="0"/>
    <s v="S 04"/>
    <n v="37"/>
    <n v="3751"/>
    <x v="549"/>
    <s v="Annual"/>
    <n v="1"/>
    <n v="1"/>
    <n v="87504"/>
    <n v="87504"/>
  </r>
  <r>
    <x v="1"/>
    <n v="41"/>
    <x v="15"/>
    <x v="22"/>
    <x v="22"/>
    <n v="1005"/>
    <x v="16"/>
    <x v="46"/>
    <x v="88"/>
    <s v="382N"/>
    <x v="330"/>
    <n v="0"/>
    <x v="0"/>
    <s v="B 16"/>
    <n v="4"/>
    <n v="3467"/>
    <x v="537"/>
    <s v="Annual"/>
    <n v="1"/>
    <n v="1"/>
    <n v="90732"/>
    <n v="90732"/>
  </r>
  <r>
    <x v="1"/>
    <n v="41"/>
    <x v="15"/>
    <x v="22"/>
    <x v="22"/>
    <n v="1005"/>
    <x v="16"/>
    <x v="46"/>
    <x v="88"/>
    <s v="382N"/>
    <x v="330"/>
    <n v="0"/>
    <x v="0"/>
    <s v="B 14"/>
    <n v="4"/>
    <n v="3466"/>
    <x v="545"/>
    <s v="Annual"/>
    <n v="1"/>
    <n v="1"/>
    <n v="85200"/>
    <n v="85200"/>
  </r>
  <r>
    <x v="1"/>
    <n v="41"/>
    <x v="15"/>
    <x v="22"/>
    <x v="22"/>
    <n v="1005"/>
    <x v="16"/>
    <x v="46"/>
    <x v="88"/>
    <s v="382N"/>
    <x v="330"/>
    <n v="0"/>
    <x v="0"/>
    <s v="B 14"/>
    <n v="4"/>
    <n v="3466"/>
    <x v="545"/>
    <s v="Annual"/>
    <n v="1"/>
    <n v="1"/>
    <n v="75336"/>
    <n v="75336"/>
  </r>
  <r>
    <x v="1"/>
    <n v="41"/>
    <x v="15"/>
    <x v="22"/>
    <x v="22"/>
    <n v="1005"/>
    <x v="16"/>
    <x v="46"/>
    <x v="88"/>
    <s v="382N"/>
    <x v="330"/>
    <n v="0"/>
    <x v="0"/>
    <s v="BX 16"/>
    <n v="10"/>
    <n v="3464"/>
    <x v="1214"/>
    <s v="Annual"/>
    <n v="1"/>
    <n v="1"/>
    <n v="108432"/>
    <n v="108432"/>
  </r>
  <r>
    <x v="1"/>
    <n v="41"/>
    <x v="15"/>
    <x v="22"/>
    <x v="22"/>
    <n v="1005"/>
    <x v="16"/>
    <x v="46"/>
    <x v="88"/>
    <s v="382N"/>
    <x v="330"/>
    <n v="0"/>
    <x v="0"/>
    <s v="BX 16"/>
    <n v="10"/>
    <n v="3464"/>
    <x v="1214"/>
    <s v="Annual"/>
    <n v="1"/>
    <n v="1"/>
    <n v="83052"/>
    <n v="83052"/>
  </r>
  <r>
    <x v="1"/>
    <n v="41"/>
    <x v="15"/>
    <x v="22"/>
    <x v="22"/>
    <n v="1005"/>
    <x v="16"/>
    <x v="46"/>
    <x v="88"/>
    <s v="382N"/>
    <x v="330"/>
    <n v="0"/>
    <x v="0"/>
    <s v="GY 11"/>
    <n v="20"/>
    <n v="3408"/>
    <x v="533"/>
    <s v="Annual"/>
    <n v="1"/>
    <n v="1"/>
    <n v="121320"/>
    <n v="121320"/>
  </r>
  <r>
    <x v="1"/>
    <n v="41"/>
    <x v="15"/>
    <x v="22"/>
    <x v="22"/>
    <n v="1005"/>
    <x v="16"/>
    <x v="46"/>
    <x v="88"/>
    <s v="382N"/>
    <x v="330"/>
    <n v="0"/>
    <x v="0"/>
    <s v="GY 10"/>
    <n v="20"/>
    <n v="3405"/>
    <x v="1216"/>
    <s v="Annual"/>
    <n v="1"/>
    <n v="1"/>
    <n v="106272"/>
    <n v="106272"/>
  </r>
  <r>
    <x v="1"/>
    <n v="41"/>
    <x v="15"/>
    <x v="22"/>
    <x v="22"/>
    <n v="1005"/>
    <x v="16"/>
    <x v="46"/>
    <x v="88"/>
    <s v="382N"/>
    <x v="330"/>
    <n v="0"/>
    <x v="0"/>
    <s v="BX 18"/>
    <n v="10"/>
    <n v="3092"/>
    <x v="308"/>
    <s v="Annual"/>
    <n v="1"/>
    <n v="1"/>
    <n v="97836"/>
    <n v="97836"/>
  </r>
  <r>
    <x v="1"/>
    <n v="41"/>
    <x v="15"/>
    <x v="22"/>
    <x v="22"/>
    <n v="1005"/>
    <x v="16"/>
    <x v="46"/>
    <x v="88"/>
    <s v="382N"/>
    <x v="330"/>
    <n v="0"/>
    <x v="0"/>
    <s v="BX 16"/>
    <n v="10"/>
    <n v="3076"/>
    <x v="938"/>
    <s v="Annual"/>
    <n v="1"/>
    <n v="1"/>
    <n v="124584"/>
    <n v="124584"/>
  </r>
  <r>
    <x v="1"/>
    <n v="41"/>
    <x v="15"/>
    <x v="22"/>
    <x v="22"/>
    <n v="1005"/>
    <x v="16"/>
    <x v="46"/>
    <x v="88"/>
    <s v="382N"/>
    <x v="330"/>
    <n v="0"/>
    <x v="0"/>
    <s v="G 07"/>
    <n v="3"/>
    <n v="2989"/>
    <x v="1208"/>
    <s v="Annual"/>
    <n v="2"/>
    <n v="1"/>
    <n v="102516"/>
    <n v="205032"/>
  </r>
  <r>
    <x v="1"/>
    <n v="41"/>
    <x v="15"/>
    <x v="22"/>
    <x v="22"/>
    <n v="1005"/>
    <x v="16"/>
    <x v="46"/>
    <x v="88"/>
    <s v="382N"/>
    <x v="330"/>
    <n v="0"/>
    <x v="0"/>
    <s v="G 07"/>
    <n v="3"/>
    <n v="2989"/>
    <x v="1208"/>
    <s v="Annual"/>
    <n v="2"/>
    <n v="1"/>
    <n v="97488"/>
    <n v="194976"/>
  </r>
  <r>
    <x v="1"/>
    <n v="41"/>
    <x v="15"/>
    <x v="22"/>
    <x v="22"/>
    <n v="1005"/>
    <x v="16"/>
    <x v="46"/>
    <x v="88"/>
    <s v="382N"/>
    <x v="330"/>
    <n v="0"/>
    <x v="0"/>
    <s v="X 33"/>
    <n v="20"/>
    <n v="2901"/>
    <x v="528"/>
    <s v="Annual"/>
    <n v="1"/>
    <n v="1"/>
    <n v="153384"/>
    <n v="153384"/>
  </r>
  <r>
    <x v="1"/>
    <n v="41"/>
    <x v="15"/>
    <x v="22"/>
    <x v="22"/>
    <n v="1005"/>
    <x v="16"/>
    <x v="46"/>
    <x v="88"/>
    <s v="382N"/>
    <x v="330"/>
    <n v="0"/>
    <x v="0"/>
    <s v="B 14"/>
    <n v="4"/>
    <n v="1912"/>
    <x v="222"/>
    <s v="Annual"/>
    <n v="1"/>
    <n v="1"/>
    <n v="81324"/>
    <n v="81324"/>
  </r>
  <r>
    <x v="1"/>
    <n v="41"/>
    <x v="15"/>
    <x v="22"/>
    <x v="22"/>
    <n v="1005"/>
    <x v="16"/>
    <x v="46"/>
    <x v="88"/>
    <s v="382N"/>
    <x v="330"/>
    <n v="0"/>
    <x v="0"/>
    <s v="B 14"/>
    <n v="4"/>
    <n v="1912"/>
    <x v="222"/>
    <s v="Annual"/>
    <n v="1"/>
    <n v="1"/>
    <n v="75336"/>
    <n v="75336"/>
  </r>
  <r>
    <x v="1"/>
    <n v="41"/>
    <x v="15"/>
    <x v="22"/>
    <x v="22"/>
    <n v="1005"/>
    <x v="16"/>
    <x v="46"/>
    <x v="88"/>
    <s v="382N"/>
    <x v="330"/>
    <n v="0"/>
    <x v="0"/>
    <s v="BX 17"/>
    <n v="20"/>
    <n v="1318"/>
    <x v="409"/>
    <s v="Annual"/>
    <n v="1"/>
    <n v="1"/>
    <n v="93384"/>
    <n v="93384"/>
  </r>
  <r>
    <x v="1"/>
    <n v="41"/>
    <x v="15"/>
    <x v="22"/>
    <x v="22"/>
    <n v="1005"/>
    <x v="16"/>
    <x v="46"/>
    <x v="88"/>
    <s v="382N"/>
    <x v="330"/>
    <n v="0"/>
    <x v="0"/>
    <s v="B 11"/>
    <n v="5"/>
    <n v="901"/>
    <x v="1073"/>
    <s v="Annual"/>
    <n v="1"/>
    <n v="1"/>
    <n v="67608"/>
    <n v="67608"/>
  </r>
  <r>
    <x v="1"/>
    <n v="41"/>
    <x v="15"/>
    <x v="22"/>
    <x v="22"/>
    <n v="1005"/>
    <x v="16"/>
    <x v="46"/>
    <x v="88"/>
    <s v="382N"/>
    <x v="330"/>
    <n v="0"/>
    <x v="0"/>
    <s v="G 06"/>
    <n v="4"/>
    <n v="684"/>
    <x v="536"/>
    <s v="Annual"/>
    <n v="1"/>
    <n v="1"/>
    <n v="92940"/>
    <n v="92940"/>
  </r>
  <r>
    <x v="1"/>
    <n v="41"/>
    <x v="15"/>
    <x v="22"/>
    <x v="22"/>
    <n v="1005"/>
    <x v="16"/>
    <x v="46"/>
    <x v="88"/>
    <s v="382N"/>
    <x v="330"/>
    <n v="0"/>
    <x v="0"/>
    <s v="B 15"/>
    <n v="1"/>
    <n v="653"/>
    <x v="1166"/>
    <s v="Annual"/>
    <n v="1"/>
    <n v="1"/>
    <n v="97956"/>
    <n v="97956"/>
  </r>
  <r>
    <x v="1"/>
    <n v="41"/>
    <x v="15"/>
    <x v="22"/>
    <x v="22"/>
    <n v="1005"/>
    <x v="16"/>
    <x v="46"/>
    <x v="88"/>
    <s v="382N"/>
    <x v="330"/>
    <n v="0"/>
    <x v="0"/>
    <s v="G 08"/>
    <n v="4"/>
    <n v="635"/>
    <x v="242"/>
    <s v="Annual"/>
    <n v="1"/>
    <n v="1"/>
    <n v="107628"/>
    <n v="107628"/>
  </r>
  <r>
    <x v="1"/>
    <n v="41"/>
    <x v="15"/>
    <x v="22"/>
    <x v="22"/>
    <n v="1005"/>
    <x v="16"/>
    <x v="46"/>
    <x v="88"/>
    <s v="382N"/>
    <x v="330"/>
    <n v="0"/>
    <x v="0"/>
    <s v="G 10"/>
    <n v="1"/>
    <n v="629"/>
    <x v="271"/>
    <s v="Annual"/>
    <n v="1"/>
    <n v="1"/>
    <n v="122928"/>
    <n v="122928"/>
  </r>
  <r>
    <x v="1"/>
    <n v="41"/>
    <x v="15"/>
    <x v="22"/>
    <x v="22"/>
    <n v="1005"/>
    <x v="16"/>
    <x v="46"/>
    <x v="88"/>
    <s v="382N"/>
    <x v="330"/>
    <n v="0"/>
    <x v="0"/>
    <s v="B 09"/>
    <n v="1"/>
    <n v="460"/>
    <x v="344"/>
    <s v="Annual"/>
    <n v="1"/>
    <n v="1"/>
    <n v="48864"/>
    <n v="48864"/>
  </r>
  <r>
    <x v="1"/>
    <n v="41"/>
    <x v="15"/>
    <x v="22"/>
    <x v="22"/>
    <n v="1005"/>
    <x v="16"/>
    <x v="46"/>
    <x v="88"/>
    <s v="382N"/>
    <x v="330"/>
    <n v="0"/>
    <x v="0"/>
    <s v="4 00"/>
    <n v="9"/>
    <n v="404"/>
    <x v="1219"/>
    <s v="Hourly"/>
    <n v="2"/>
    <n v="1"/>
    <n v="16.2"/>
    <n v="67392"/>
  </r>
  <r>
    <x v="1"/>
    <n v="41"/>
    <x v="15"/>
    <x v="22"/>
    <x v="22"/>
    <n v="1005"/>
    <x v="16"/>
    <x v="46"/>
    <x v="88"/>
    <s v="382N"/>
    <x v="330"/>
    <n v="0"/>
    <x v="0"/>
    <s v="B 12"/>
    <n v="1"/>
    <s v="03A8"/>
    <x v="88"/>
    <s v="Annual"/>
    <n v="1"/>
    <n v="1"/>
    <n v="64488"/>
    <n v="64488"/>
  </r>
  <r>
    <x v="1"/>
    <n v="41"/>
    <x v="15"/>
    <x v="22"/>
    <x v="22"/>
    <n v="1005"/>
    <x v="16"/>
    <x v="46"/>
    <x v="88"/>
    <s v="382N"/>
    <x v="330"/>
    <n v="0"/>
    <x v="0"/>
    <s v="X 33"/>
    <n v="9"/>
    <n v="313"/>
    <x v="220"/>
    <s v="Annual"/>
    <n v="1"/>
    <n v="1"/>
    <n v="137532"/>
    <n v="137532"/>
  </r>
  <r>
    <x v="1"/>
    <n v="41"/>
    <x v="15"/>
    <x v="22"/>
    <x v="22"/>
    <n v="1005"/>
    <x v="16"/>
    <x v="46"/>
    <x v="88"/>
    <s v="382N"/>
    <x v="330"/>
    <n v="0"/>
    <x v="0"/>
    <s v="BX 18"/>
    <n v="10"/>
    <n v="311"/>
    <x v="253"/>
    <s v="Annual"/>
    <n v="1"/>
    <n v="1"/>
    <n v="136692"/>
    <n v="136692"/>
  </r>
  <r>
    <x v="1"/>
    <n v="41"/>
    <x v="15"/>
    <x v="22"/>
    <x v="22"/>
    <n v="1005"/>
    <x v="16"/>
    <x v="46"/>
    <x v="88"/>
    <s v="382N"/>
    <x v="330"/>
    <n v="0"/>
    <x v="0"/>
    <s v="BX 18"/>
    <n v="10"/>
    <n v="311"/>
    <x v="253"/>
    <s v="Annual"/>
    <n v="1"/>
    <n v="1"/>
    <n v="118956"/>
    <n v="118956"/>
  </r>
  <r>
    <x v="1"/>
    <n v="41"/>
    <x v="15"/>
    <x v="22"/>
    <x v="22"/>
    <n v="1005"/>
    <x v="16"/>
    <x v="46"/>
    <x v="88"/>
    <s v="382N"/>
    <x v="330"/>
    <n v="0"/>
    <x v="0"/>
    <s v="BX 18"/>
    <n v="10"/>
    <n v="311"/>
    <x v="253"/>
    <s v="Annual"/>
    <n v="1"/>
    <n v="1"/>
    <n v="89112"/>
    <n v="89112"/>
  </r>
  <r>
    <x v="1"/>
    <n v="41"/>
    <x v="15"/>
    <x v="22"/>
    <x v="22"/>
    <n v="1005"/>
    <x v="16"/>
    <x v="46"/>
    <x v="88"/>
    <s v="382N"/>
    <x v="330"/>
    <n v="0"/>
    <x v="0"/>
    <s v="BX 18"/>
    <n v="10"/>
    <n v="310"/>
    <x v="135"/>
    <s v="Annual"/>
    <n v="2"/>
    <n v="1"/>
    <n v="113568"/>
    <n v="227136"/>
  </r>
  <r>
    <x v="1"/>
    <n v="41"/>
    <x v="15"/>
    <x v="22"/>
    <x v="22"/>
    <n v="1005"/>
    <x v="16"/>
    <x v="46"/>
    <x v="88"/>
    <s v="382N"/>
    <x v="330"/>
    <n v="0"/>
    <x v="0"/>
    <s v="BX 18"/>
    <n v="10"/>
    <n v="310"/>
    <x v="135"/>
    <s v="Annual"/>
    <n v="1"/>
    <n v="1"/>
    <n v="107340"/>
    <n v="107340"/>
  </r>
  <r>
    <x v="1"/>
    <n v="41"/>
    <x v="15"/>
    <x v="22"/>
    <x v="22"/>
    <n v="1005"/>
    <x v="16"/>
    <x v="46"/>
    <x v="88"/>
    <s v="382N"/>
    <x v="330"/>
    <n v="0"/>
    <x v="0"/>
    <s v="BX 18"/>
    <n v="10"/>
    <n v="310"/>
    <x v="135"/>
    <s v="Annual"/>
    <n v="1"/>
    <n v="1"/>
    <n v="102444"/>
    <n v="102444"/>
  </r>
  <r>
    <x v="1"/>
    <n v="41"/>
    <x v="15"/>
    <x v="22"/>
    <x v="22"/>
    <n v="1005"/>
    <x v="16"/>
    <x v="46"/>
    <x v="88"/>
    <s v="382N"/>
    <x v="330"/>
    <n v="0"/>
    <x v="0"/>
    <s v="BX 18"/>
    <n v="10"/>
    <n v="310"/>
    <x v="135"/>
    <s v="Annual"/>
    <n v="1"/>
    <n v="1"/>
    <n v="93384"/>
    <n v="93384"/>
  </r>
  <r>
    <x v="1"/>
    <n v="41"/>
    <x v="15"/>
    <x v="22"/>
    <x v="22"/>
    <n v="1005"/>
    <x v="16"/>
    <x v="46"/>
    <x v="88"/>
    <s v="382N"/>
    <x v="330"/>
    <n v="0"/>
    <x v="0"/>
    <s v="BX 18"/>
    <n v="10"/>
    <n v="310"/>
    <x v="135"/>
    <s v="Annual"/>
    <n v="3"/>
    <n v="1"/>
    <n v="89112"/>
    <n v="267336"/>
  </r>
  <r>
    <x v="1"/>
    <n v="41"/>
    <x v="15"/>
    <x v="22"/>
    <x v="22"/>
    <n v="1005"/>
    <x v="16"/>
    <x v="46"/>
    <x v="88"/>
    <s v="382N"/>
    <x v="330"/>
    <n v="0"/>
    <x v="0"/>
    <s v="GY 11"/>
    <n v="20"/>
    <n v="289"/>
    <x v="470"/>
    <s v="Annual"/>
    <n v="1"/>
    <n v="1"/>
    <n v="111000"/>
    <n v="111000"/>
  </r>
  <r>
    <x v="1"/>
    <n v="41"/>
    <x v="15"/>
    <x v="22"/>
    <x v="22"/>
    <n v="1005"/>
    <x v="16"/>
    <x v="46"/>
    <x v="88"/>
    <s v="382N"/>
    <x v="330"/>
    <n v="0"/>
    <x v="0"/>
    <s v="G 07"/>
    <n v="4"/>
    <n v="193"/>
    <x v="244"/>
    <s v="Annual"/>
    <n v="1"/>
    <n v="1"/>
    <n v="107628"/>
    <n v="107628"/>
  </r>
  <r>
    <x v="1"/>
    <n v="41"/>
    <x v="15"/>
    <x v="22"/>
    <x v="22"/>
    <n v="1005"/>
    <x v="16"/>
    <x v="46"/>
    <x v="88"/>
    <s v="382N"/>
    <x v="330"/>
    <n v="0"/>
    <x v="0"/>
    <s v="1 00"/>
    <n v="0"/>
    <n v="44"/>
    <x v="1206"/>
    <s v="Annual"/>
    <n v="0"/>
    <n v="0"/>
    <n v="2302054"/>
    <n v="2302054"/>
  </r>
  <r>
    <x v="1"/>
    <n v="41"/>
    <x v="15"/>
    <x v="22"/>
    <x v="22"/>
    <n v="1005"/>
    <x v="16"/>
    <x v="46"/>
    <x v="88"/>
    <s v="382N"/>
    <x v="330"/>
    <n v="0"/>
    <x v="0"/>
    <s v="1 00"/>
    <n v="0"/>
    <n v="15"/>
    <x v="37"/>
    <s v="Annual"/>
    <n v="0"/>
    <n v="0"/>
    <n v="56844"/>
    <n v="56844"/>
  </r>
  <r>
    <x v="1"/>
    <n v="50"/>
    <x v="18"/>
    <x v="22"/>
    <x v="22"/>
    <n v="1005"/>
    <x v="19"/>
    <x v="47"/>
    <x v="86"/>
    <s v="380E"/>
    <x v="328"/>
    <n v="0"/>
    <x v="0"/>
    <s v="BX 18"/>
    <n v="10"/>
    <n v="310"/>
    <x v="135"/>
    <s v="Annual"/>
    <n v="1"/>
    <n v="1"/>
    <n v="107340"/>
    <n v="107340"/>
  </r>
  <r>
    <x v="1"/>
    <n v="50"/>
    <x v="18"/>
    <x v="22"/>
    <x v="22"/>
    <n v="1005"/>
    <x v="19"/>
    <x v="47"/>
    <x v="86"/>
    <s v="380E"/>
    <x v="328"/>
    <n v="0"/>
    <x v="0"/>
    <s v="BX 18"/>
    <n v="10"/>
    <n v="310"/>
    <x v="135"/>
    <s v="Annual"/>
    <n v="1"/>
    <n v="1"/>
    <n v="89112"/>
    <n v="89112"/>
  </r>
  <r>
    <x v="1"/>
    <n v="50"/>
    <x v="18"/>
    <x v="22"/>
    <x v="22"/>
    <n v="1005"/>
    <x v="19"/>
    <x v="47"/>
    <x v="86"/>
    <s v="380E"/>
    <x v="328"/>
    <n v="0"/>
    <x v="0"/>
    <s v="B 13"/>
    <n v="4"/>
    <n v="110"/>
    <x v="93"/>
    <s v="Annual"/>
    <n v="1"/>
    <n v="1"/>
    <n v="113628"/>
    <n v="113628"/>
  </r>
  <r>
    <x v="1"/>
    <n v="50"/>
    <x v="18"/>
    <x v="22"/>
    <x v="22"/>
    <n v="1005"/>
    <x v="19"/>
    <x v="47"/>
    <x v="86"/>
    <s v="380E"/>
    <x v="328"/>
    <n v="0"/>
    <x v="0"/>
    <s v="1 00"/>
    <n v="0"/>
    <n v="44"/>
    <x v="1206"/>
    <s v="Annual"/>
    <n v="0"/>
    <n v="0"/>
    <n v="173520"/>
    <n v="173520"/>
  </r>
  <r>
    <x v="1"/>
    <n v="50"/>
    <x v="18"/>
    <x v="22"/>
    <x v="22"/>
    <n v="1005"/>
    <x v="19"/>
    <x v="47"/>
    <x v="86"/>
    <s v="380E"/>
    <x v="328"/>
    <n v="0"/>
    <x v="0"/>
    <s v="1 00"/>
    <n v="0"/>
    <n v="15"/>
    <x v="37"/>
    <s v="Annual"/>
    <n v="0"/>
    <n v="0"/>
    <n v="5237"/>
    <n v="5237"/>
  </r>
  <r>
    <x v="1"/>
    <n v="5"/>
    <x v="2"/>
    <x v="23"/>
    <x v="23"/>
    <n v="1005"/>
    <x v="2"/>
    <x v="48"/>
    <x v="89"/>
    <n v="3825"/>
    <x v="331"/>
    <n v="0"/>
    <x v="0"/>
    <s v="1 00"/>
    <n v="9"/>
    <n v="9644"/>
    <x v="1220"/>
    <s v="Annual"/>
    <n v="1"/>
    <n v="1"/>
    <n v="135360"/>
    <n v="135360"/>
  </r>
  <r>
    <x v="1"/>
    <n v="5"/>
    <x v="2"/>
    <x v="23"/>
    <x v="23"/>
    <n v="1005"/>
    <x v="2"/>
    <x v="48"/>
    <x v="89"/>
    <n v="3825"/>
    <x v="331"/>
    <n v="0"/>
    <x v="0"/>
    <s v="1 00"/>
    <n v="0"/>
    <n v="44"/>
    <x v="1206"/>
    <s v="Annual"/>
    <n v="0"/>
    <n v="0"/>
    <n v="75747"/>
    <n v="75747"/>
  </r>
  <r>
    <x v="1"/>
    <n v="50"/>
    <x v="18"/>
    <x v="23"/>
    <x v="23"/>
    <n v="1005"/>
    <x v="19"/>
    <x v="49"/>
    <x v="89"/>
    <s v="380V"/>
    <x v="331"/>
    <n v="0"/>
    <x v="0"/>
    <s v="1 00"/>
    <n v="9"/>
    <n v="9643"/>
    <x v="1213"/>
    <s v="Annual"/>
    <n v="2"/>
    <n v="1"/>
    <n v="104484"/>
    <n v="208968"/>
  </r>
  <r>
    <x v="1"/>
    <n v="50"/>
    <x v="18"/>
    <x v="23"/>
    <x v="23"/>
    <n v="1005"/>
    <x v="19"/>
    <x v="49"/>
    <x v="89"/>
    <s v="380V"/>
    <x v="331"/>
    <n v="0"/>
    <x v="0"/>
    <s v="BX 18"/>
    <n v="10"/>
    <n v="310"/>
    <x v="135"/>
    <s v="Annual"/>
    <n v="1"/>
    <n v="1"/>
    <n v="113568"/>
    <n v="113568"/>
  </r>
  <r>
    <x v="1"/>
    <n v="50"/>
    <x v="18"/>
    <x v="23"/>
    <x v="23"/>
    <n v="1005"/>
    <x v="19"/>
    <x v="49"/>
    <x v="89"/>
    <s v="380V"/>
    <x v="331"/>
    <n v="0"/>
    <x v="0"/>
    <s v="1 00"/>
    <n v="0"/>
    <n v="44"/>
    <x v="1206"/>
    <s v="Annual"/>
    <n v="0"/>
    <n v="0"/>
    <n v="180491"/>
    <n v="180491"/>
  </r>
  <r>
    <x v="1"/>
    <n v="50"/>
    <x v="18"/>
    <x v="23"/>
    <x v="23"/>
    <n v="1005"/>
    <x v="19"/>
    <x v="49"/>
    <x v="89"/>
    <s v="380V"/>
    <x v="331"/>
    <n v="0"/>
    <x v="0"/>
    <s v="1 00"/>
    <n v="0"/>
    <n v="15"/>
    <x v="37"/>
    <s v="Annual"/>
    <n v="0"/>
    <n v="0"/>
    <n v="2694"/>
    <n v="2694"/>
  </r>
  <r>
    <x v="1"/>
    <n v="5"/>
    <x v="2"/>
    <x v="24"/>
    <x v="24"/>
    <n v="1005"/>
    <x v="2"/>
    <x v="50"/>
    <x v="90"/>
    <n v="3505"/>
    <x v="332"/>
    <n v="0"/>
    <x v="0"/>
    <s v="BX 19"/>
    <n v="10"/>
    <n v="2925"/>
    <x v="1205"/>
    <s v="Annual"/>
    <n v="1"/>
    <n v="1"/>
    <n v="113568"/>
    <n v="113568"/>
  </r>
  <r>
    <x v="1"/>
    <n v="5"/>
    <x v="2"/>
    <x v="24"/>
    <x v="24"/>
    <n v="1005"/>
    <x v="2"/>
    <x v="50"/>
    <x v="90"/>
    <n v="3505"/>
    <x v="332"/>
    <n v="0"/>
    <x v="0"/>
    <s v="GY 07"/>
    <n v="20"/>
    <n v="1105"/>
    <x v="72"/>
    <s v="Annual"/>
    <n v="1"/>
    <n v="1"/>
    <n v="82884"/>
    <n v="82884"/>
  </r>
  <r>
    <x v="1"/>
    <n v="5"/>
    <x v="2"/>
    <x v="24"/>
    <x v="24"/>
    <n v="1005"/>
    <x v="2"/>
    <x v="50"/>
    <x v="90"/>
    <n v="3505"/>
    <x v="332"/>
    <n v="0"/>
    <x v="0"/>
    <s v="1 00"/>
    <n v="0"/>
    <n v="44"/>
    <x v="1206"/>
    <s v="Annual"/>
    <n v="0"/>
    <n v="0"/>
    <n v="109935"/>
    <n v="109935"/>
  </r>
  <r>
    <x v="1"/>
    <n v="5"/>
    <x v="2"/>
    <x v="24"/>
    <x v="24"/>
    <n v="1005"/>
    <x v="2"/>
    <x v="50"/>
    <x v="90"/>
    <n v="3505"/>
    <x v="332"/>
    <n v="0"/>
    <x v="0"/>
    <s v="1 00"/>
    <n v="0"/>
    <n v="15"/>
    <x v="37"/>
    <s v="Annual"/>
    <n v="0"/>
    <n v="0"/>
    <n v="98"/>
    <n v="98"/>
  </r>
  <r>
    <x v="1"/>
    <n v="21"/>
    <x v="5"/>
    <x v="24"/>
    <x v="24"/>
    <n v="1005"/>
    <x v="6"/>
    <x v="51"/>
    <x v="91"/>
    <n v="3559"/>
    <x v="333"/>
    <n v="0"/>
    <x v="0"/>
    <s v="G 07"/>
    <n v="3"/>
    <n v="3052"/>
    <x v="716"/>
    <s v="Annual"/>
    <n v="2"/>
    <n v="1"/>
    <n v="92940"/>
    <n v="185880"/>
  </r>
  <r>
    <x v="1"/>
    <n v="21"/>
    <x v="5"/>
    <x v="24"/>
    <x v="24"/>
    <n v="1005"/>
    <x v="6"/>
    <x v="51"/>
    <x v="91"/>
    <n v="3559"/>
    <x v="333"/>
    <n v="0"/>
    <x v="0"/>
    <s v="B 14"/>
    <n v="1"/>
    <n v="703"/>
    <x v="595"/>
    <s v="Annual"/>
    <n v="1"/>
    <n v="1"/>
    <n v="81324"/>
    <n v="81324"/>
  </r>
  <r>
    <x v="1"/>
    <n v="21"/>
    <x v="5"/>
    <x v="24"/>
    <x v="24"/>
    <n v="1005"/>
    <x v="6"/>
    <x v="51"/>
    <x v="91"/>
    <n v="3559"/>
    <x v="333"/>
    <n v="0"/>
    <x v="0"/>
    <s v="B 14"/>
    <n v="1"/>
    <n v="703"/>
    <x v="595"/>
    <s v="Annual"/>
    <n v="1"/>
    <n v="1"/>
    <n v="77640"/>
    <n v="77640"/>
  </r>
  <r>
    <x v="1"/>
    <n v="21"/>
    <x v="5"/>
    <x v="24"/>
    <x v="24"/>
    <n v="1005"/>
    <x v="6"/>
    <x v="51"/>
    <x v="91"/>
    <n v="3559"/>
    <x v="333"/>
    <n v="0"/>
    <x v="0"/>
    <s v="BX 16"/>
    <n v="20"/>
    <n v="309"/>
    <x v="598"/>
    <s v="Annual"/>
    <n v="1"/>
    <n v="1"/>
    <n v="124584"/>
    <n v="124584"/>
  </r>
  <r>
    <x v="1"/>
    <n v="21"/>
    <x v="5"/>
    <x v="24"/>
    <x v="24"/>
    <n v="1005"/>
    <x v="6"/>
    <x v="51"/>
    <x v="91"/>
    <n v="3559"/>
    <x v="333"/>
    <n v="0"/>
    <x v="0"/>
    <s v="1 00"/>
    <n v="0"/>
    <n v="44"/>
    <x v="1206"/>
    <s v="Annual"/>
    <n v="0"/>
    <n v="0"/>
    <n v="262691"/>
    <n v="262691"/>
  </r>
  <r>
    <x v="1"/>
    <n v="21"/>
    <x v="5"/>
    <x v="24"/>
    <x v="24"/>
    <n v="1005"/>
    <x v="6"/>
    <x v="51"/>
    <x v="91"/>
    <n v="3559"/>
    <x v="333"/>
    <n v="0"/>
    <x v="0"/>
    <s v="1 00"/>
    <n v="0"/>
    <n v="15"/>
    <x v="37"/>
    <s v="Annual"/>
    <n v="0"/>
    <n v="0"/>
    <n v="12179"/>
    <n v="12179"/>
  </r>
  <r>
    <x v="1"/>
    <n v="21"/>
    <x v="5"/>
    <x v="24"/>
    <x v="24"/>
    <n v="1005"/>
    <x v="6"/>
    <x v="52"/>
    <x v="92"/>
    <n v="3560"/>
    <x v="334"/>
    <n v="0"/>
    <x v="0"/>
    <s v="BX 18"/>
    <n v="10"/>
    <n v="3092"/>
    <x v="308"/>
    <s v="Annual"/>
    <n v="2"/>
    <n v="1"/>
    <n v="93384"/>
    <n v="186768"/>
  </r>
  <r>
    <x v="1"/>
    <n v="21"/>
    <x v="5"/>
    <x v="24"/>
    <x v="24"/>
    <n v="1005"/>
    <x v="6"/>
    <x v="52"/>
    <x v="92"/>
    <n v="3560"/>
    <x v="334"/>
    <n v="0"/>
    <x v="0"/>
    <s v="G 07"/>
    <n v="3"/>
    <n v="3052"/>
    <x v="716"/>
    <s v="Annual"/>
    <n v="1"/>
    <n v="1"/>
    <n v="97488"/>
    <n v="97488"/>
  </r>
  <r>
    <x v="1"/>
    <n v="21"/>
    <x v="5"/>
    <x v="24"/>
    <x v="24"/>
    <n v="1005"/>
    <x v="6"/>
    <x v="52"/>
    <x v="92"/>
    <n v="3560"/>
    <x v="334"/>
    <n v="0"/>
    <x v="0"/>
    <s v="G 07"/>
    <n v="3"/>
    <n v="3052"/>
    <x v="716"/>
    <s v="Annual"/>
    <n v="1"/>
    <n v="1"/>
    <n v="92940"/>
    <n v="92940"/>
  </r>
  <r>
    <x v="1"/>
    <n v="21"/>
    <x v="5"/>
    <x v="24"/>
    <x v="24"/>
    <n v="1005"/>
    <x v="6"/>
    <x v="52"/>
    <x v="92"/>
    <n v="3560"/>
    <x v="334"/>
    <n v="0"/>
    <x v="0"/>
    <s v="B 14"/>
    <n v="1"/>
    <n v="2908"/>
    <x v="1189"/>
    <s v="Annual"/>
    <n v="1"/>
    <n v="1"/>
    <n v="130668"/>
    <n v="130668"/>
  </r>
  <r>
    <x v="1"/>
    <n v="21"/>
    <x v="5"/>
    <x v="24"/>
    <x v="24"/>
    <n v="1005"/>
    <x v="6"/>
    <x v="52"/>
    <x v="92"/>
    <n v="3560"/>
    <x v="334"/>
    <n v="0"/>
    <x v="0"/>
    <s v="B 14"/>
    <n v="4"/>
    <n v="1912"/>
    <x v="222"/>
    <s v="Annual"/>
    <n v="1"/>
    <n v="1"/>
    <n v="77640"/>
    <n v="77640"/>
  </r>
  <r>
    <x v="1"/>
    <n v="21"/>
    <x v="5"/>
    <x v="24"/>
    <x v="24"/>
    <n v="1005"/>
    <x v="6"/>
    <x v="52"/>
    <x v="92"/>
    <n v="3560"/>
    <x v="334"/>
    <n v="0"/>
    <x v="0"/>
    <s v="1 00"/>
    <n v="0"/>
    <n v="44"/>
    <x v="1206"/>
    <s v="Annual"/>
    <n v="0"/>
    <n v="0"/>
    <n v="327647"/>
    <n v="327647"/>
  </r>
  <r>
    <x v="1"/>
    <n v="21"/>
    <x v="5"/>
    <x v="24"/>
    <x v="24"/>
    <n v="1005"/>
    <x v="6"/>
    <x v="52"/>
    <x v="92"/>
    <n v="3560"/>
    <x v="334"/>
    <n v="0"/>
    <x v="0"/>
    <s v="1 00"/>
    <n v="0"/>
    <n v="15"/>
    <x v="37"/>
    <s v="Annual"/>
    <n v="0"/>
    <n v="0"/>
    <n v="9901"/>
    <n v="9901"/>
  </r>
  <r>
    <x v="1"/>
    <n v="21"/>
    <x v="5"/>
    <x v="24"/>
    <x v="24"/>
    <n v="1005"/>
    <x v="6"/>
    <x v="53"/>
    <x v="90"/>
    <n v="3565"/>
    <x v="331"/>
    <n v="0"/>
    <x v="0"/>
    <s v="G 07"/>
    <n v="3"/>
    <n v="2989"/>
    <x v="1208"/>
    <s v="Annual"/>
    <n v="1"/>
    <n v="1"/>
    <n v="129636"/>
    <n v="129636"/>
  </r>
  <r>
    <x v="1"/>
    <n v="21"/>
    <x v="5"/>
    <x v="24"/>
    <x v="24"/>
    <n v="1005"/>
    <x v="6"/>
    <x v="53"/>
    <x v="90"/>
    <n v="3565"/>
    <x v="331"/>
    <n v="0"/>
    <x v="0"/>
    <s v="X 33"/>
    <n v="20"/>
    <n v="2901"/>
    <x v="528"/>
    <s v="Annual"/>
    <n v="1"/>
    <n v="1"/>
    <n v="121668"/>
    <n v="121668"/>
  </r>
  <r>
    <x v="1"/>
    <n v="21"/>
    <x v="5"/>
    <x v="24"/>
    <x v="24"/>
    <n v="1005"/>
    <x v="6"/>
    <x v="53"/>
    <x v="90"/>
    <n v="3565"/>
    <x v="331"/>
    <n v="0"/>
    <x v="0"/>
    <s v="BX 17"/>
    <n v="10"/>
    <n v="1431"/>
    <x v="82"/>
    <s v="Annual"/>
    <n v="1"/>
    <n v="1"/>
    <n v="83052"/>
    <n v="83052"/>
  </r>
  <r>
    <x v="1"/>
    <n v="21"/>
    <x v="5"/>
    <x v="24"/>
    <x v="24"/>
    <n v="1005"/>
    <x v="6"/>
    <x v="53"/>
    <x v="90"/>
    <n v="3565"/>
    <x v="331"/>
    <n v="0"/>
    <x v="0"/>
    <s v="BX 16"/>
    <n v="10"/>
    <n v="1430"/>
    <x v="355"/>
    <s v="Annual"/>
    <n v="2"/>
    <n v="1"/>
    <n v="98832"/>
    <n v="197664"/>
  </r>
  <r>
    <x v="1"/>
    <n v="21"/>
    <x v="5"/>
    <x v="24"/>
    <x v="24"/>
    <n v="1005"/>
    <x v="6"/>
    <x v="53"/>
    <x v="90"/>
    <n v="3565"/>
    <x v="331"/>
    <n v="0"/>
    <x v="0"/>
    <s v="GY 08"/>
    <n v="10"/>
    <n v="1405"/>
    <x v="629"/>
    <s v="Annual"/>
    <n v="1"/>
    <n v="1"/>
    <n v="89112"/>
    <n v="89112"/>
  </r>
  <r>
    <x v="1"/>
    <n v="21"/>
    <x v="5"/>
    <x v="24"/>
    <x v="24"/>
    <n v="1005"/>
    <x v="6"/>
    <x v="53"/>
    <x v="90"/>
    <n v="3565"/>
    <x v="331"/>
    <n v="0"/>
    <x v="0"/>
    <s v="GY 08"/>
    <n v="10"/>
    <n v="1405"/>
    <x v="629"/>
    <s v="Annual"/>
    <n v="1"/>
    <n v="1"/>
    <n v="82884"/>
    <n v="82884"/>
  </r>
  <r>
    <x v="1"/>
    <n v="21"/>
    <x v="5"/>
    <x v="24"/>
    <x v="24"/>
    <n v="1005"/>
    <x v="6"/>
    <x v="53"/>
    <x v="90"/>
    <n v="3565"/>
    <x v="331"/>
    <n v="0"/>
    <x v="0"/>
    <s v="1 00"/>
    <n v="0"/>
    <n v="44"/>
    <x v="1206"/>
    <s v="Annual"/>
    <n v="0"/>
    <n v="0"/>
    <n v="393967"/>
    <n v="393967"/>
  </r>
  <r>
    <x v="1"/>
    <n v="21"/>
    <x v="5"/>
    <x v="24"/>
    <x v="24"/>
    <n v="1005"/>
    <x v="6"/>
    <x v="53"/>
    <x v="90"/>
    <n v="3565"/>
    <x v="331"/>
    <n v="0"/>
    <x v="0"/>
    <s v="1 00"/>
    <n v="0"/>
    <n v="15"/>
    <x v="37"/>
    <s v="Annual"/>
    <n v="0"/>
    <n v="0"/>
    <n v="3397"/>
    <n v="3397"/>
  </r>
  <r>
    <x v="1"/>
    <n v="21"/>
    <x v="5"/>
    <x v="24"/>
    <x v="24"/>
    <n v="1005"/>
    <x v="6"/>
    <x v="54"/>
    <x v="93"/>
    <n v="3585"/>
    <x v="335"/>
    <n v="0"/>
    <x v="0"/>
    <s v="GY 09"/>
    <n v="20"/>
    <n v="1437"/>
    <x v="223"/>
    <s v="Annual"/>
    <n v="1"/>
    <n v="1"/>
    <n v="111000"/>
    <n v="111000"/>
  </r>
  <r>
    <x v="1"/>
    <n v="21"/>
    <x v="5"/>
    <x v="24"/>
    <x v="24"/>
    <n v="1005"/>
    <x v="6"/>
    <x v="54"/>
    <x v="93"/>
    <n v="3585"/>
    <x v="335"/>
    <n v="0"/>
    <x v="0"/>
    <s v="GY 09"/>
    <n v="20"/>
    <n v="1437"/>
    <x v="223"/>
    <s v="Annual"/>
    <n v="2"/>
    <n v="1"/>
    <n v="101628"/>
    <n v="203256"/>
  </r>
  <r>
    <x v="1"/>
    <n v="21"/>
    <x v="5"/>
    <x v="24"/>
    <x v="24"/>
    <n v="1005"/>
    <x v="6"/>
    <x v="54"/>
    <x v="93"/>
    <n v="3585"/>
    <x v="335"/>
    <n v="0"/>
    <x v="0"/>
    <s v="GY 09"/>
    <n v="20"/>
    <n v="1437"/>
    <x v="223"/>
    <s v="Annual"/>
    <n v="2"/>
    <n v="1"/>
    <n v="89112"/>
    <n v="178224"/>
  </r>
  <r>
    <x v="1"/>
    <n v="21"/>
    <x v="5"/>
    <x v="24"/>
    <x v="24"/>
    <n v="1005"/>
    <x v="6"/>
    <x v="54"/>
    <x v="93"/>
    <n v="3585"/>
    <x v="335"/>
    <n v="0"/>
    <x v="0"/>
    <s v="X 33"/>
    <n v="9"/>
    <n v="313"/>
    <x v="220"/>
    <s v="Annual"/>
    <n v="1"/>
    <n v="1"/>
    <n v="121668"/>
    <n v="121668"/>
  </r>
  <r>
    <x v="1"/>
    <n v="21"/>
    <x v="5"/>
    <x v="24"/>
    <x v="24"/>
    <n v="1005"/>
    <x v="6"/>
    <x v="54"/>
    <x v="93"/>
    <n v="3585"/>
    <x v="335"/>
    <n v="0"/>
    <x v="0"/>
    <s v="1 00"/>
    <n v="0"/>
    <n v="44"/>
    <x v="1206"/>
    <s v="Annual"/>
    <n v="0"/>
    <n v="0"/>
    <n v="343677"/>
    <n v="343677"/>
  </r>
  <r>
    <x v="1"/>
    <n v="21"/>
    <x v="5"/>
    <x v="24"/>
    <x v="24"/>
    <n v="1005"/>
    <x v="6"/>
    <x v="54"/>
    <x v="93"/>
    <n v="3585"/>
    <x v="335"/>
    <n v="0"/>
    <x v="0"/>
    <s v="1 00"/>
    <n v="0"/>
    <n v="15"/>
    <x v="37"/>
    <s v="Annual"/>
    <n v="0"/>
    <n v="0"/>
    <n v="22391"/>
    <n v="22391"/>
  </r>
  <r>
    <x v="1"/>
    <n v="21"/>
    <x v="5"/>
    <x v="24"/>
    <x v="24"/>
    <n v="1005"/>
    <x v="6"/>
    <x v="54"/>
    <x v="93"/>
    <n v="3586"/>
    <x v="34"/>
    <n v="0"/>
    <x v="0"/>
    <s v="X 32"/>
    <n v="9"/>
    <n v="9679"/>
    <x v="81"/>
    <s v="Annual"/>
    <n v="1"/>
    <n v="1"/>
    <n v="157332"/>
    <n v="157332"/>
  </r>
  <r>
    <x v="1"/>
    <n v="21"/>
    <x v="5"/>
    <x v="24"/>
    <x v="24"/>
    <n v="1005"/>
    <x v="6"/>
    <x v="54"/>
    <x v="93"/>
    <n v="3586"/>
    <x v="34"/>
    <n v="0"/>
    <x v="0"/>
    <s v="G 07"/>
    <n v="4"/>
    <n v="5403"/>
    <x v="1185"/>
    <s v="Annual"/>
    <n v="1"/>
    <n v="1"/>
    <n v="90144"/>
    <n v="90144"/>
  </r>
  <r>
    <x v="1"/>
    <n v="21"/>
    <x v="5"/>
    <x v="24"/>
    <x v="24"/>
    <n v="1005"/>
    <x v="6"/>
    <x v="54"/>
    <x v="93"/>
    <n v="3586"/>
    <x v="34"/>
    <n v="0"/>
    <x v="0"/>
    <s v="GY 11"/>
    <n v="20"/>
    <n v="3051"/>
    <x v="27"/>
    <s v="Annual"/>
    <n v="1"/>
    <n v="1"/>
    <n v="106272"/>
    <n v="106272"/>
  </r>
  <r>
    <x v="1"/>
    <n v="21"/>
    <x v="5"/>
    <x v="24"/>
    <x v="24"/>
    <n v="1005"/>
    <x v="6"/>
    <x v="54"/>
    <x v="93"/>
    <n v="3586"/>
    <x v="34"/>
    <n v="0"/>
    <x v="0"/>
    <s v="B 14"/>
    <n v="1"/>
    <n v="2908"/>
    <x v="1189"/>
    <s v="Annual"/>
    <n v="6"/>
    <n v="1"/>
    <n v="77640"/>
    <n v="465840"/>
  </r>
  <r>
    <x v="1"/>
    <n v="21"/>
    <x v="5"/>
    <x v="24"/>
    <x v="24"/>
    <n v="1005"/>
    <x v="6"/>
    <x v="54"/>
    <x v="93"/>
    <n v="3586"/>
    <x v="34"/>
    <n v="0"/>
    <x v="0"/>
    <s v="B 15"/>
    <n v="3"/>
    <n v="1939"/>
    <x v="1190"/>
    <s v="Annual"/>
    <n v="2"/>
    <n v="1"/>
    <n v="108576"/>
    <n v="217152"/>
  </r>
  <r>
    <x v="1"/>
    <n v="21"/>
    <x v="5"/>
    <x v="24"/>
    <x v="24"/>
    <n v="1005"/>
    <x v="6"/>
    <x v="54"/>
    <x v="93"/>
    <n v="3586"/>
    <x v="34"/>
    <n v="0"/>
    <x v="0"/>
    <s v="B 15"/>
    <n v="3"/>
    <n v="1939"/>
    <x v="1190"/>
    <s v="Annual"/>
    <n v="1"/>
    <n v="1"/>
    <n v="102588"/>
    <n v="102588"/>
  </r>
  <r>
    <x v="1"/>
    <n v="21"/>
    <x v="5"/>
    <x v="24"/>
    <x v="24"/>
    <n v="1005"/>
    <x v="6"/>
    <x v="54"/>
    <x v="93"/>
    <n v="3586"/>
    <x v="34"/>
    <n v="0"/>
    <x v="0"/>
    <s v="B 15"/>
    <n v="3"/>
    <n v="1939"/>
    <x v="1190"/>
    <s v="Annual"/>
    <n v="3"/>
    <n v="1"/>
    <n v="93504"/>
    <n v="280512"/>
  </r>
  <r>
    <x v="1"/>
    <n v="21"/>
    <x v="5"/>
    <x v="24"/>
    <x v="24"/>
    <n v="1005"/>
    <x v="6"/>
    <x v="54"/>
    <x v="93"/>
    <n v="3586"/>
    <x v="34"/>
    <n v="0"/>
    <x v="0"/>
    <s v="B 15"/>
    <n v="3"/>
    <n v="1939"/>
    <x v="1190"/>
    <s v="Annual"/>
    <n v="1"/>
    <n v="1"/>
    <n v="89244"/>
    <n v="89244"/>
  </r>
  <r>
    <x v="1"/>
    <n v="21"/>
    <x v="5"/>
    <x v="24"/>
    <x v="24"/>
    <n v="1005"/>
    <x v="6"/>
    <x v="54"/>
    <x v="93"/>
    <n v="3586"/>
    <x v="34"/>
    <n v="0"/>
    <x v="0"/>
    <s v="B 15"/>
    <n v="3"/>
    <n v="1939"/>
    <x v="1190"/>
    <s v="Annual"/>
    <n v="1"/>
    <n v="1"/>
    <n v="82644"/>
    <n v="82644"/>
  </r>
  <r>
    <x v="1"/>
    <n v="21"/>
    <x v="5"/>
    <x v="24"/>
    <x v="24"/>
    <n v="1005"/>
    <x v="6"/>
    <x v="54"/>
    <x v="93"/>
    <n v="3586"/>
    <x v="34"/>
    <n v="0"/>
    <x v="0"/>
    <s v="B 12"/>
    <n v="1"/>
    <n v="810"/>
    <x v="915"/>
    <s v="Annual"/>
    <n v="1"/>
    <n v="1"/>
    <n v="94452"/>
    <n v="94452"/>
  </r>
  <r>
    <x v="1"/>
    <n v="21"/>
    <x v="5"/>
    <x v="24"/>
    <x v="24"/>
    <n v="1005"/>
    <x v="6"/>
    <x v="54"/>
    <x v="93"/>
    <n v="3586"/>
    <x v="34"/>
    <n v="0"/>
    <x v="0"/>
    <s v="X 33"/>
    <n v="9"/>
    <n v="313"/>
    <x v="220"/>
    <s v="Annual"/>
    <n v="1"/>
    <n v="1"/>
    <n v="146808"/>
    <n v="146808"/>
  </r>
  <r>
    <x v="1"/>
    <n v="21"/>
    <x v="5"/>
    <x v="24"/>
    <x v="24"/>
    <n v="1005"/>
    <x v="6"/>
    <x v="54"/>
    <x v="93"/>
    <n v="3586"/>
    <x v="34"/>
    <n v="0"/>
    <x v="0"/>
    <s v="X 33"/>
    <n v="9"/>
    <n v="313"/>
    <x v="220"/>
    <s v="Annual"/>
    <n v="1"/>
    <n v="1"/>
    <n v="137532"/>
    <n v="137532"/>
  </r>
  <r>
    <x v="1"/>
    <n v="21"/>
    <x v="5"/>
    <x v="24"/>
    <x v="24"/>
    <n v="1005"/>
    <x v="6"/>
    <x v="54"/>
    <x v="93"/>
    <n v="3586"/>
    <x v="34"/>
    <n v="0"/>
    <x v="0"/>
    <s v="BX 18"/>
    <n v="10"/>
    <n v="310"/>
    <x v="135"/>
    <s v="Annual"/>
    <n v="1"/>
    <n v="1"/>
    <n v="102444"/>
    <n v="102444"/>
  </r>
  <r>
    <x v="1"/>
    <n v="21"/>
    <x v="5"/>
    <x v="24"/>
    <x v="24"/>
    <n v="1005"/>
    <x v="6"/>
    <x v="54"/>
    <x v="93"/>
    <n v="3586"/>
    <x v="34"/>
    <n v="0"/>
    <x v="0"/>
    <s v="1 00"/>
    <n v="0"/>
    <n v="44"/>
    <x v="1206"/>
    <s v="Annual"/>
    <n v="0"/>
    <n v="0"/>
    <n v="1160032"/>
    <n v="1160032"/>
  </r>
  <r>
    <x v="1"/>
    <n v="21"/>
    <x v="5"/>
    <x v="24"/>
    <x v="24"/>
    <n v="1005"/>
    <x v="6"/>
    <x v="54"/>
    <x v="93"/>
    <n v="3586"/>
    <x v="34"/>
    <n v="0"/>
    <x v="0"/>
    <s v="1 00"/>
    <n v="0"/>
    <n v="15"/>
    <x v="37"/>
    <s v="Annual"/>
    <n v="0"/>
    <n v="0"/>
    <n v="31368"/>
    <n v="31368"/>
  </r>
  <r>
    <x v="1"/>
    <n v="41"/>
    <x v="15"/>
    <x v="24"/>
    <x v="24"/>
    <n v="1005"/>
    <x v="16"/>
    <x v="55"/>
    <x v="94"/>
    <n v="3555"/>
    <x v="336"/>
    <n v="0"/>
    <x v="0"/>
    <s v="S 05"/>
    <n v="37"/>
    <n v="3752"/>
    <x v="543"/>
    <s v="Annual"/>
    <n v="1"/>
    <n v="1"/>
    <n v="101448"/>
    <n v="101448"/>
  </r>
  <r>
    <x v="1"/>
    <n v="41"/>
    <x v="15"/>
    <x v="24"/>
    <x v="24"/>
    <n v="1005"/>
    <x v="16"/>
    <x v="55"/>
    <x v="94"/>
    <n v="3555"/>
    <x v="336"/>
    <n v="0"/>
    <x v="0"/>
    <s v="SZ 07"/>
    <n v="56"/>
    <n v="3701"/>
    <x v="560"/>
    <s v="Annual"/>
    <n v="1"/>
    <n v="1"/>
    <n v="147672"/>
    <n v="147672"/>
  </r>
  <r>
    <x v="1"/>
    <n v="41"/>
    <x v="15"/>
    <x v="24"/>
    <x v="24"/>
    <n v="1005"/>
    <x v="16"/>
    <x v="55"/>
    <x v="94"/>
    <n v="3555"/>
    <x v="336"/>
    <n v="0"/>
    <x v="0"/>
    <s v="SZ 07"/>
    <n v="56"/>
    <n v="3701"/>
    <x v="560"/>
    <s v="Annual"/>
    <n v="1"/>
    <n v="1"/>
    <n v="98856"/>
    <n v="98856"/>
  </r>
  <r>
    <x v="1"/>
    <n v="41"/>
    <x v="15"/>
    <x v="24"/>
    <x v="24"/>
    <n v="1005"/>
    <x v="16"/>
    <x v="55"/>
    <x v="94"/>
    <n v="3555"/>
    <x v="336"/>
    <n v="0"/>
    <x v="0"/>
    <s v="B 11"/>
    <n v="3"/>
    <n v="3429"/>
    <x v="1221"/>
    <s v="Annual"/>
    <n v="1"/>
    <n v="1"/>
    <n v="86112"/>
    <n v="86112"/>
  </r>
  <r>
    <x v="1"/>
    <n v="41"/>
    <x v="15"/>
    <x v="24"/>
    <x v="24"/>
    <n v="1005"/>
    <x v="16"/>
    <x v="55"/>
    <x v="94"/>
    <n v="3555"/>
    <x v="336"/>
    <n v="0"/>
    <x v="0"/>
    <s v="G 09"/>
    <n v="4"/>
    <n v="3407"/>
    <x v="534"/>
    <s v="Annual"/>
    <n v="1"/>
    <n v="1"/>
    <n v="154764"/>
    <n v="154764"/>
  </r>
  <r>
    <x v="1"/>
    <n v="41"/>
    <x v="15"/>
    <x v="24"/>
    <x v="24"/>
    <n v="1005"/>
    <x v="16"/>
    <x v="55"/>
    <x v="94"/>
    <n v="3555"/>
    <x v="336"/>
    <n v="0"/>
    <x v="0"/>
    <s v="T 17"/>
    <n v="44"/>
    <n v="2151"/>
    <x v="572"/>
    <s v="Annual"/>
    <n v="1"/>
    <n v="1"/>
    <n v="150180"/>
    <n v="150180"/>
  </r>
  <r>
    <x v="1"/>
    <n v="41"/>
    <x v="15"/>
    <x v="24"/>
    <x v="24"/>
    <n v="1005"/>
    <x v="16"/>
    <x v="55"/>
    <x v="94"/>
    <n v="3555"/>
    <x v="336"/>
    <n v="0"/>
    <x v="0"/>
    <s v="T 17"/>
    <n v="44"/>
    <n v="2151"/>
    <x v="572"/>
    <s v="Annual"/>
    <n v="1"/>
    <n v="1"/>
    <n v="123528"/>
    <n v="123528"/>
  </r>
  <r>
    <x v="1"/>
    <n v="41"/>
    <x v="15"/>
    <x v="24"/>
    <x v="24"/>
    <n v="1005"/>
    <x v="16"/>
    <x v="55"/>
    <x v="94"/>
    <n v="3555"/>
    <x v="336"/>
    <n v="0"/>
    <x v="0"/>
    <s v="T 16"/>
    <n v="44"/>
    <n v="2150"/>
    <x v="573"/>
    <s v="Annual"/>
    <n v="3"/>
    <n v="1"/>
    <n v="157296"/>
    <n v="471888"/>
  </r>
  <r>
    <x v="1"/>
    <n v="41"/>
    <x v="15"/>
    <x v="24"/>
    <x v="24"/>
    <n v="1005"/>
    <x v="16"/>
    <x v="55"/>
    <x v="94"/>
    <n v="3555"/>
    <x v="336"/>
    <n v="0"/>
    <x v="0"/>
    <s v="T 16"/>
    <n v="44"/>
    <n v="2150"/>
    <x v="573"/>
    <s v="Annual"/>
    <n v="1"/>
    <n v="1"/>
    <n v="143352"/>
    <n v="143352"/>
  </r>
  <r>
    <x v="1"/>
    <n v="41"/>
    <x v="15"/>
    <x v="24"/>
    <x v="24"/>
    <n v="1005"/>
    <x v="16"/>
    <x v="55"/>
    <x v="94"/>
    <n v="3555"/>
    <x v="336"/>
    <n v="0"/>
    <x v="0"/>
    <s v="T 16"/>
    <n v="44"/>
    <n v="2150"/>
    <x v="573"/>
    <s v="Annual"/>
    <n v="2"/>
    <n v="1"/>
    <n v="112488"/>
    <n v="224976"/>
  </r>
  <r>
    <x v="1"/>
    <n v="41"/>
    <x v="15"/>
    <x v="24"/>
    <x v="24"/>
    <n v="1005"/>
    <x v="16"/>
    <x v="55"/>
    <x v="94"/>
    <n v="3555"/>
    <x v="336"/>
    <n v="0"/>
    <x v="0"/>
    <s v="T 16"/>
    <n v="44"/>
    <n v="2150"/>
    <x v="573"/>
    <s v="Annual"/>
    <n v="1"/>
    <n v="1"/>
    <n v="107460"/>
    <n v="107460"/>
  </r>
  <r>
    <x v="1"/>
    <n v="41"/>
    <x v="15"/>
    <x v="24"/>
    <x v="24"/>
    <n v="1005"/>
    <x v="16"/>
    <x v="55"/>
    <x v="94"/>
    <n v="3555"/>
    <x v="336"/>
    <n v="0"/>
    <x v="0"/>
    <s v="T 16"/>
    <n v="44"/>
    <n v="2150"/>
    <x v="573"/>
    <s v="Annual"/>
    <n v="1"/>
    <n v="1"/>
    <n v="102540"/>
    <n v="102540"/>
  </r>
  <r>
    <x v="1"/>
    <n v="41"/>
    <x v="15"/>
    <x v="24"/>
    <x v="24"/>
    <n v="1005"/>
    <x v="16"/>
    <x v="55"/>
    <x v="94"/>
    <n v="3555"/>
    <x v="336"/>
    <n v="0"/>
    <x v="0"/>
    <s v="T 16"/>
    <n v="44"/>
    <n v="2150"/>
    <x v="573"/>
    <s v="Annual"/>
    <n v="3"/>
    <n v="1"/>
    <n v="97932"/>
    <n v="293796"/>
  </r>
  <r>
    <x v="1"/>
    <n v="41"/>
    <x v="15"/>
    <x v="24"/>
    <x v="24"/>
    <n v="1005"/>
    <x v="16"/>
    <x v="55"/>
    <x v="94"/>
    <n v="3555"/>
    <x v="336"/>
    <n v="0"/>
    <x v="0"/>
    <s v="T 16"/>
    <n v="44"/>
    <n v="2150"/>
    <x v="573"/>
    <s v="Annual"/>
    <n v="2"/>
    <n v="1"/>
    <n v="93468"/>
    <n v="186936"/>
  </r>
  <r>
    <x v="1"/>
    <n v="41"/>
    <x v="15"/>
    <x v="24"/>
    <x v="24"/>
    <n v="1005"/>
    <x v="16"/>
    <x v="55"/>
    <x v="94"/>
    <n v="3555"/>
    <x v="336"/>
    <n v="0"/>
    <x v="0"/>
    <s v="B 09"/>
    <n v="1"/>
    <n v="460"/>
    <x v="344"/>
    <s v="Annual"/>
    <n v="1"/>
    <n v="1"/>
    <n v="82140"/>
    <n v="82140"/>
  </r>
  <r>
    <x v="1"/>
    <n v="41"/>
    <x v="15"/>
    <x v="24"/>
    <x v="24"/>
    <n v="1005"/>
    <x v="16"/>
    <x v="55"/>
    <x v="94"/>
    <n v="3555"/>
    <x v="336"/>
    <n v="0"/>
    <x v="0"/>
    <s v="B 09"/>
    <n v="1"/>
    <n v="460"/>
    <x v="344"/>
    <s v="Annual"/>
    <n v="1"/>
    <n v="1"/>
    <n v="48864"/>
    <n v="48864"/>
  </r>
  <r>
    <x v="1"/>
    <n v="41"/>
    <x v="15"/>
    <x v="24"/>
    <x v="24"/>
    <n v="1005"/>
    <x v="16"/>
    <x v="55"/>
    <x v="94"/>
    <n v="3555"/>
    <x v="336"/>
    <n v="0"/>
    <x v="0"/>
    <s v="B 10"/>
    <n v="1"/>
    <s v="03A7"/>
    <x v="4"/>
    <s v="Annual"/>
    <n v="1"/>
    <n v="1"/>
    <n v="90144"/>
    <n v="90144"/>
  </r>
  <r>
    <x v="1"/>
    <n v="41"/>
    <x v="15"/>
    <x v="24"/>
    <x v="24"/>
    <n v="1005"/>
    <x v="16"/>
    <x v="55"/>
    <x v="94"/>
    <n v="3555"/>
    <x v="336"/>
    <n v="0"/>
    <x v="0"/>
    <s v="B 10"/>
    <n v="1"/>
    <s v="03A7"/>
    <x v="4"/>
    <s v="Annual"/>
    <n v="1"/>
    <n v="1"/>
    <n v="56124"/>
    <n v="56124"/>
  </r>
  <r>
    <x v="1"/>
    <n v="41"/>
    <x v="15"/>
    <x v="24"/>
    <x v="24"/>
    <n v="1005"/>
    <x v="16"/>
    <x v="55"/>
    <x v="94"/>
    <n v="3555"/>
    <x v="336"/>
    <n v="0"/>
    <x v="0"/>
    <s v="1 00"/>
    <n v="0"/>
    <n v="44"/>
    <x v="1206"/>
    <s v="Annual"/>
    <n v="0"/>
    <n v="0"/>
    <n v="1494569"/>
    <n v="1494569"/>
  </r>
  <r>
    <x v="1"/>
    <n v="41"/>
    <x v="15"/>
    <x v="24"/>
    <x v="24"/>
    <n v="1005"/>
    <x v="16"/>
    <x v="55"/>
    <x v="94"/>
    <n v="3555"/>
    <x v="336"/>
    <n v="0"/>
    <x v="0"/>
    <s v="1 00"/>
    <n v="0"/>
    <n v="15"/>
    <x v="37"/>
    <s v="Annual"/>
    <n v="0"/>
    <n v="0"/>
    <n v="22426"/>
    <n v="22426"/>
  </r>
  <r>
    <x v="1"/>
    <n v="41"/>
    <x v="15"/>
    <x v="24"/>
    <x v="24"/>
    <n v="1005"/>
    <x v="16"/>
    <x v="56"/>
    <x v="95"/>
    <n v="3577"/>
    <x v="337"/>
    <n v="0"/>
    <x v="0"/>
    <s v="SZ 07"/>
    <n v="56"/>
    <n v="3701"/>
    <x v="560"/>
    <s v="Annual"/>
    <n v="1"/>
    <n v="1"/>
    <n v="94080"/>
    <n v="94080"/>
  </r>
  <r>
    <x v="1"/>
    <n v="41"/>
    <x v="15"/>
    <x v="24"/>
    <x v="24"/>
    <n v="1005"/>
    <x v="16"/>
    <x v="56"/>
    <x v="95"/>
    <n v="3577"/>
    <x v="337"/>
    <n v="0"/>
    <x v="0"/>
    <s v="B 10"/>
    <n v="1"/>
    <n v="3566"/>
    <x v="561"/>
    <s v="Annual"/>
    <n v="4"/>
    <n v="1"/>
    <n v="90144"/>
    <n v="360576"/>
  </r>
  <r>
    <x v="1"/>
    <n v="41"/>
    <x v="15"/>
    <x v="24"/>
    <x v="24"/>
    <n v="1005"/>
    <x v="16"/>
    <x v="56"/>
    <x v="95"/>
    <n v="3577"/>
    <x v="337"/>
    <n v="0"/>
    <x v="0"/>
    <s v="B 10"/>
    <n v="1"/>
    <n v="3566"/>
    <x v="561"/>
    <s v="Annual"/>
    <n v="1"/>
    <n v="1"/>
    <n v="64488"/>
    <n v="64488"/>
  </r>
  <r>
    <x v="1"/>
    <n v="41"/>
    <x v="15"/>
    <x v="24"/>
    <x v="24"/>
    <n v="1005"/>
    <x v="16"/>
    <x v="56"/>
    <x v="95"/>
    <n v="3577"/>
    <x v="337"/>
    <n v="0"/>
    <x v="0"/>
    <s v="B 10"/>
    <n v="1"/>
    <n v="3566"/>
    <x v="561"/>
    <s v="Annual"/>
    <n v="2"/>
    <n v="1"/>
    <n v="58764"/>
    <n v="117528"/>
  </r>
  <r>
    <x v="1"/>
    <n v="41"/>
    <x v="15"/>
    <x v="24"/>
    <x v="24"/>
    <n v="1005"/>
    <x v="16"/>
    <x v="56"/>
    <x v="95"/>
    <n v="3577"/>
    <x v="337"/>
    <n v="0"/>
    <x v="0"/>
    <s v="B 10"/>
    <n v="1"/>
    <n v="3566"/>
    <x v="561"/>
    <s v="Annual"/>
    <n v="1"/>
    <n v="1"/>
    <n v="51936"/>
    <n v="51936"/>
  </r>
  <r>
    <x v="1"/>
    <n v="41"/>
    <x v="15"/>
    <x v="24"/>
    <x v="24"/>
    <n v="1005"/>
    <x v="16"/>
    <x v="56"/>
    <x v="95"/>
    <n v="3577"/>
    <x v="337"/>
    <n v="0"/>
    <x v="0"/>
    <s v="G 08"/>
    <n v="4"/>
    <n v="3548"/>
    <x v="1222"/>
    <s v="Annual"/>
    <n v="1"/>
    <n v="1"/>
    <n v="141564"/>
    <n v="141564"/>
  </r>
  <r>
    <x v="1"/>
    <n v="41"/>
    <x v="15"/>
    <x v="24"/>
    <x v="24"/>
    <n v="1005"/>
    <x v="16"/>
    <x v="56"/>
    <x v="95"/>
    <n v="3577"/>
    <x v="337"/>
    <n v="0"/>
    <x v="0"/>
    <s v="G 08"/>
    <n v="4"/>
    <n v="3548"/>
    <x v="1222"/>
    <s v="Annual"/>
    <n v="1"/>
    <n v="1"/>
    <n v="122928"/>
    <n v="122928"/>
  </r>
  <r>
    <x v="1"/>
    <n v="41"/>
    <x v="15"/>
    <x v="24"/>
    <x v="24"/>
    <n v="1005"/>
    <x v="16"/>
    <x v="56"/>
    <x v="95"/>
    <n v="3577"/>
    <x v="337"/>
    <n v="0"/>
    <x v="0"/>
    <s v="G 07"/>
    <n v="4"/>
    <n v="3534"/>
    <x v="563"/>
    <s v="Annual"/>
    <n v="9"/>
    <n v="1"/>
    <n v="129636"/>
    <n v="1166724"/>
  </r>
  <r>
    <x v="1"/>
    <n v="41"/>
    <x v="15"/>
    <x v="24"/>
    <x v="24"/>
    <n v="1005"/>
    <x v="16"/>
    <x v="56"/>
    <x v="95"/>
    <n v="3577"/>
    <x v="337"/>
    <n v="0"/>
    <x v="0"/>
    <s v="G 07"/>
    <n v="4"/>
    <n v="3534"/>
    <x v="563"/>
    <s v="Annual"/>
    <n v="2"/>
    <n v="1"/>
    <n v="117636"/>
    <n v="235272"/>
  </r>
  <r>
    <x v="1"/>
    <n v="41"/>
    <x v="15"/>
    <x v="24"/>
    <x v="24"/>
    <n v="1005"/>
    <x v="16"/>
    <x v="56"/>
    <x v="95"/>
    <n v="3577"/>
    <x v="337"/>
    <n v="0"/>
    <x v="0"/>
    <s v="G 07"/>
    <n v="4"/>
    <n v="3534"/>
    <x v="563"/>
    <s v="Annual"/>
    <n v="1"/>
    <n v="1"/>
    <n v="112536"/>
    <n v="112536"/>
  </r>
  <r>
    <x v="1"/>
    <n v="41"/>
    <x v="15"/>
    <x v="24"/>
    <x v="24"/>
    <n v="1005"/>
    <x v="16"/>
    <x v="56"/>
    <x v="95"/>
    <n v="3577"/>
    <x v="337"/>
    <n v="0"/>
    <x v="0"/>
    <s v="G 07"/>
    <n v="4"/>
    <n v="3534"/>
    <x v="563"/>
    <s v="Annual"/>
    <n v="1"/>
    <n v="1"/>
    <n v="107628"/>
    <n v="107628"/>
  </r>
  <r>
    <x v="1"/>
    <n v="41"/>
    <x v="15"/>
    <x v="24"/>
    <x v="24"/>
    <n v="1005"/>
    <x v="16"/>
    <x v="56"/>
    <x v="95"/>
    <n v="3577"/>
    <x v="337"/>
    <n v="0"/>
    <x v="0"/>
    <s v="G 07"/>
    <n v="4"/>
    <n v="3534"/>
    <x v="563"/>
    <s v="Annual"/>
    <n v="4"/>
    <n v="1"/>
    <n v="102516"/>
    <n v="410064"/>
  </r>
  <r>
    <x v="1"/>
    <n v="41"/>
    <x v="15"/>
    <x v="24"/>
    <x v="24"/>
    <n v="1005"/>
    <x v="16"/>
    <x v="56"/>
    <x v="95"/>
    <n v="3577"/>
    <x v="337"/>
    <n v="0"/>
    <x v="0"/>
    <s v="G 07"/>
    <n v="4"/>
    <n v="3534"/>
    <x v="563"/>
    <s v="Annual"/>
    <n v="1"/>
    <n v="1"/>
    <n v="97488"/>
    <n v="97488"/>
  </r>
  <r>
    <x v="1"/>
    <n v="41"/>
    <x v="15"/>
    <x v="24"/>
    <x v="24"/>
    <n v="1005"/>
    <x v="16"/>
    <x v="56"/>
    <x v="95"/>
    <n v="3577"/>
    <x v="337"/>
    <n v="0"/>
    <x v="0"/>
    <s v="G 07"/>
    <n v="4"/>
    <n v="3534"/>
    <x v="563"/>
    <s v="Annual"/>
    <n v="2"/>
    <n v="1"/>
    <n v="92940"/>
    <n v="185880"/>
  </r>
  <r>
    <x v="1"/>
    <n v="41"/>
    <x v="15"/>
    <x v="24"/>
    <x v="24"/>
    <n v="1005"/>
    <x v="16"/>
    <x v="56"/>
    <x v="95"/>
    <n v="3577"/>
    <x v="337"/>
    <n v="0"/>
    <x v="0"/>
    <s v="G 07"/>
    <n v="4"/>
    <n v="3534"/>
    <x v="563"/>
    <s v="Annual"/>
    <n v="1"/>
    <n v="1"/>
    <n v="90144"/>
    <n v="90144"/>
  </r>
  <r>
    <x v="1"/>
    <n v="41"/>
    <x v="15"/>
    <x v="24"/>
    <x v="24"/>
    <n v="1005"/>
    <x v="16"/>
    <x v="56"/>
    <x v="95"/>
    <n v="3577"/>
    <x v="337"/>
    <n v="0"/>
    <x v="0"/>
    <s v="GY 12"/>
    <n v="20"/>
    <n v="3531"/>
    <x v="1223"/>
    <s v="Annual"/>
    <n v="1"/>
    <n v="1"/>
    <n v="131124"/>
    <n v="131124"/>
  </r>
  <r>
    <x v="1"/>
    <n v="41"/>
    <x v="15"/>
    <x v="24"/>
    <x v="24"/>
    <n v="1005"/>
    <x v="16"/>
    <x v="56"/>
    <x v="95"/>
    <n v="3577"/>
    <x v="337"/>
    <n v="0"/>
    <x v="0"/>
    <s v="G 07"/>
    <n v="4"/>
    <n v="3530"/>
    <x v="554"/>
    <s v="Annual"/>
    <n v="2"/>
    <n v="1"/>
    <n v="107628"/>
    <n v="215256"/>
  </r>
  <r>
    <x v="1"/>
    <n v="41"/>
    <x v="15"/>
    <x v="24"/>
    <x v="24"/>
    <n v="1005"/>
    <x v="16"/>
    <x v="56"/>
    <x v="95"/>
    <n v="3577"/>
    <x v="337"/>
    <n v="0"/>
    <x v="0"/>
    <s v="B 16"/>
    <n v="4"/>
    <n v="3467"/>
    <x v="537"/>
    <s v="Annual"/>
    <n v="1"/>
    <n v="1"/>
    <n v="130668"/>
    <n v="130668"/>
  </r>
  <r>
    <x v="1"/>
    <n v="41"/>
    <x v="15"/>
    <x v="24"/>
    <x v="24"/>
    <n v="1005"/>
    <x v="16"/>
    <x v="56"/>
    <x v="95"/>
    <n v="3577"/>
    <x v="337"/>
    <n v="0"/>
    <x v="0"/>
    <s v="B 16"/>
    <n v="4"/>
    <n v="3467"/>
    <x v="537"/>
    <s v="Annual"/>
    <n v="1"/>
    <n v="1"/>
    <n v="107508"/>
    <n v="107508"/>
  </r>
  <r>
    <x v="1"/>
    <n v="41"/>
    <x v="15"/>
    <x v="24"/>
    <x v="24"/>
    <n v="1005"/>
    <x v="16"/>
    <x v="56"/>
    <x v="95"/>
    <n v="3577"/>
    <x v="337"/>
    <n v="0"/>
    <x v="0"/>
    <s v="B 14"/>
    <n v="4"/>
    <n v="3466"/>
    <x v="545"/>
    <s v="Annual"/>
    <n v="1"/>
    <n v="1"/>
    <n v="75336"/>
    <n v="75336"/>
  </r>
  <r>
    <x v="1"/>
    <n v="41"/>
    <x v="15"/>
    <x v="24"/>
    <x v="24"/>
    <n v="1005"/>
    <x v="16"/>
    <x v="56"/>
    <x v="95"/>
    <n v="3577"/>
    <x v="337"/>
    <n v="0"/>
    <x v="0"/>
    <s v="B 11"/>
    <n v="3"/>
    <n v="3417"/>
    <x v="546"/>
    <s v="Annual"/>
    <n v="1"/>
    <n v="1"/>
    <n v="57000"/>
    <n v="57000"/>
  </r>
  <r>
    <x v="1"/>
    <n v="41"/>
    <x v="15"/>
    <x v="24"/>
    <x v="24"/>
    <n v="1005"/>
    <x v="16"/>
    <x v="56"/>
    <x v="95"/>
    <n v="3577"/>
    <x v="337"/>
    <n v="0"/>
    <x v="0"/>
    <s v="G 09"/>
    <n v="4"/>
    <n v="3407"/>
    <x v="534"/>
    <s v="Annual"/>
    <n v="1"/>
    <n v="1"/>
    <n v="109140"/>
    <n v="109140"/>
  </r>
  <r>
    <x v="1"/>
    <n v="41"/>
    <x v="15"/>
    <x v="24"/>
    <x v="24"/>
    <n v="1005"/>
    <x v="16"/>
    <x v="56"/>
    <x v="95"/>
    <n v="3577"/>
    <x v="337"/>
    <n v="0"/>
    <x v="0"/>
    <s v="MX 02"/>
    <n v="9"/>
    <n v="3384"/>
    <x v="566"/>
    <s v="Hourly"/>
    <n v="2000"/>
    <n v="0"/>
    <n v="138.4"/>
    <n v="276800"/>
  </r>
  <r>
    <x v="1"/>
    <n v="41"/>
    <x v="15"/>
    <x v="24"/>
    <x v="24"/>
    <n v="1005"/>
    <x v="16"/>
    <x v="56"/>
    <x v="95"/>
    <n v="3577"/>
    <x v="337"/>
    <n v="0"/>
    <x v="0"/>
    <s v="BX 18"/>
    <n v="10"/>
    <n v="3092"/>
    <x v="308"/>
    <s v="Annual"/>
    <n v="1"/>
    <n v="1"/>
    <n v="89112"/>
    <n v="89112"/>
  </r>
  <r>
    <x v="1"/>
    <n v="41"/>
    <x v="15"/>
    <x v="24"/>
    <x v="24"/>
    <n v="1005"/>
    <x v="16"/>
    <x v="56"/>
    <x v="95"/>
    <n v="3577"/>
    <x v="337"/>
    <n v="0"/>
    <x v="0"/>
    <s v="B 13"/>
    <n v="1"/>
    <n v="1482"/>
    <x v="96"/>
    <s v="Annual"/>
    <n v="1"/>
    <n v="1"/>
    <n v="70752"/>
    <n v="70752"/>
  </r>
  <r>
    <x v="1"/>
    <n v="41"/>
    <x v="15"/>
    <x v="24"/>
    <x v="24"/>
    <n v="1005"/>
    <x v="16"/>
    <x v="56"/>
    <x v="95"/>
    <n v="3577"/>
    <x v="337"/>
    <n v="0"/>
    <x v="0"/>
    <s v="B 09"/>
    <n v="1"/>
    <n v="460"/>
    <x v="344"/>
    <s v="Annual"/>
    <n v="1"/>
    <n v="1"/>
    <n v="51108"/>
    <n v="51108"/>
  </r>
  <r>
    <x v="1"/>
    <n v="41"/>
    <x v="15"/>
    <x v="24"/>
    <x v="24"/>
    <n v="1005"/>
    <x v="16"/>
    <x v="56"/>
    <x v="95"/>
    <n v="3577"/>
    <x v="337"/>
    <n v="0"/>
    <x v="0"/>
    <s v="B 12"/>
    <n v="1"/>
    <s v="03A8"/>
    <x v="88"/>
    <s v="Annual"/>
    <n v="3"/>
    <n v="1"/>
    <n v="67608"/>
    <n v="202824"/>
  </r>
  <r>
    <x v="1"/>
    <n v="41"/>
    <x v="15"/>
    <x v="24"/>
    <x v="24"/>
    <n v="1005"/>
    <x v="16"/>
    <x v="56"/>
    <x v="95"/>
    <n v="3577"/>
    <x v="337"/>
    <n v="0"/>
    <x v="0"/>
    <s v="B 12"/>
    <n v="1"/>
    <s v="03A8"/>
    <x v="88"/>
    <s v="Annual"/>
    <n v="2"/>
    <n v="1"/>
    <n v="64488"/>
    <n v="128976"/>
  </r>
  <r>
    <x v="1"/>
    <n v="41"/>
    <x v="15"/>
    <x v="24"/>
    <x v="24"/>
    <n v="1005"/>
    <x v="16"/>
    <x v="56"/>
    <x v="95"/>
    <n v="3577"/>
    <x v="337"/>
    <n v="0"/>
    <x v="0"/>
    <s v="B 12"/>
    <n v="1"/>
    <s v="03A8"/>
    <x v="88"/>
    <s v="Annual"/>
    <n v="1"/>
    <n v="1"/>
    <n v="62544"/>
    <n v="62544"/>
  </r>
  <r>
    <x v="1"/>
    <n v="41"/>
    <x v="15"/>
    <x v="24"/>
    <x v="24"/>
    <n v="1005"/>
    <x v="16"/>
    <x v="56"/>
    <x v="95"/>
    <n v="3577"/>
    <x v="337"/>
    <n v="0"/>
    <x v="0"/>
    <s v="B 13"/>
    <n v="1"/>
    <n v="308"/>
    <x v="90"/>
    <s v="Annual"/>
    <n v="1"/>
    <n v="1"/>
    <n v="70752"/>
    <n v="70752"/>
  </r>
  <r>
    <x v="1"/>
    <n v="41"/>
    <x v="15"/>
    <x v="24"/>
    <x v="24"/>
    <n v="1005"/>
    <x v="16"/>
    <x v="56"/>
    <x v="95"/>
    <n v="3577"/>
    <x v="337"/>
    <n v="0"/>
    <x v="0"/>
    <s v="G 07"/>
    <n v="4"/>
    <n v="124"/>
    <x v="91"/>
    <s v="Annual"/>
    <n v="1"/>
    <n v="1"/>
    <n v="97488"/>
    <n v="97488"/>
  </r>
  <r>
    <x v="1"/>
    <n v="41"/>
    <x v="15"/>
    <x v="24"/>
    <x v="24"/>
    <n v="1005"/>
    <x v="16"/>
    <x v="56"/>
    <x v="95"/>
    <n v="3577"/>
    <x v="337"/>
    <n v="0"/>
    <x v="0"/>
    <s v="1 00"/>
    <n v="0"/>
    <n v="44"/>
    <x v="1206"/>
    <s v="Annual"/>
    <n v="0"/>
    <n v="0"/>
    <n v="2929630"/>
    <n v="2929630"/>
  </r>
  <r>
    <x v="1"/>
    <n v="41"/>
    <x v="15"/>
    <x v="24"/>
    <x v="24"/>
    <n v="1005"/>
    <x v="16"/>
    <x v="56"/>
    <x v="95"/>
    <n v="3577"/>
    <x v="337"/>
    <n v="0"/>
    <x v="0"/>
    <s v="1 00"/>
    <n v="0"/>
    <n v="15"/>
    <x v="37"/>
    <s v="Annual"/>
    <n v="0"/>
    <n v="0"/>
    <n v="56216"/>
    <n v="56216"/>
  </r>
  <r>
    <x v="1"/>
    <n v="45"/>
    <x v="16"/>
    <x v="24"/>
    <x v="24"/>
    <n v="1005"/>
    <x v="17"/>
    <x v="57"/>
    <x v="96"/>
    <n v="3510"/>
    <x v="338"/>
    <n v="0"/>
    <x v="0"/>
    <s v="G 06"/>
    <n v="3"/>
    <n v="3085"/>
    <x v="585"/>
    <s v="Annual"/>
    <n v="3"/>
    <n v="1"/>
    <n v="118836"/>
    <n v="356508"/>
  </r>
  <r>
    <x v="1"/>
    <n v="45"/>
    <x v="16"/>
    <x v="24"/>
    <x v="24"/>
    <n v="1005"/>
    <x v="17"/>
    <x v="57"/>
    <x v="96"/>
    <n v="3510"/>
    <x v="338"/>
    <n v="0"/>
    <x v="0"/>
    <s v="X 23"/>
    <n v="10"/>
    <n v="3015"/>
    <x v="587"/>
    <s v="Annual"/>
    <n v="1"/>
    <n v="1"/>
    <n v="138840"/>
    <n v="138840"/>
  </r>
  <r>
    <x v="1"/>
    <n v="45"/>
    <x v="16"/>
    <x v="24"/>
    <x v="24"/>
    <n v="1005"/>
    <x v="17"/>
    <x v="57"/>
    <x v="96"/>
    <n v="3510"/>
    <x v="338"/>
    <n v="0"/>
    <x v="0"/>
    <s v="1 00"/>
    <n v="0"/>
    <n v="44"/>
    <x v="1206"/>
    <s v="Annual"/>
    <n v="0"/>
    <n v="0"/>
    <n v="277197"/>
    <n v="277197"/>
  </r>
  <r>
    <x v="1"/>
    <n v="45"/>
    <x v="16"/>
    <x v="24"/>
    <x v="24"/>
    <n v="1005"/>
    <x v="17"/>
    <x v="57"/>
    <x v="96"/>
    <n v="3511"/>
    <x v="339"/>
    <n v="0"/>
    <x v="0"/>
    <s v="B 14"/>
    <n v="3"/>
    <n v="3094"/>
    <x v="1224"/>
    <s v="Annual"/>
    <n v="1"/>
    <n v="1"/>
    <n v="119100"/>
    <n v="119100"/>
  </r>
  <r>
    <x v="1"/>
    <n v="45"/>
    <x v="16"/>
    <x v="24"/>
    <x v="24"/>
    <n v="1005"/>
    <x v="17"/>
    <x v="57"/>
    <x v="96"/>
    <n v="3511"/>
    <x v="339"/>
    <n v="0"/>
    <x v="0"/>
    <s v="B 14"/>
    <n v="4"/>
    <n v="1912"/>
    <x v="222"/>
    <s v="Annual"/>
    <n v="1"/>
    <n v="1"/>
    <n v="77640"/>
    <n v="77640"/>
  </r>
  <r>
    <x v="1"/>
    <n v="45"/>
    <x v="16"/>
    <x v="24"/>
    <x v="24"/>
    <n v="1005"/>
    <x v="17"/>
    <x v="57"/>
    <x v="96"/>
    <n v="3511"/>
    <x v="339"/>
    <n v="0"/>
    <x v="0"/>
    <s v="1 00"/>
    <n v="0"/>
    <n v="44"/>
    <x v="1206"/>
    <s v="Annual"/>
    <n v="0"/>
    <n v="0"/>
    <n v="110095"/>
    <n v="110095"/>
  </r>
  <r>
    <x v="1"/>
    <n v="45"/>
    <x v="16"/>
    <x v="24"/>
    <x v="24"/>
    <n v="1005"/>
    <x v="17"/>
    <x v="57"/>
    <x v="96"/>
    <n v="3511"/>
    <x v="339"/>
    <n v="0"/>
    <x v="0"/>
    <s v="1 00"/>
    <n v="0"/>
    <n v="15"/>
    <x v="37"/>
    <s v="Annual"/>
    <n v="0"/>
    <n v="0"/>
    <n v="3427"/>
    <n v="3427"/>
  </r>
  <r>
    <x v="1"/>
    <n v="48"/>
    <x v="17"/>
    <x v="24"/>
    <x v="24"/>
    <n v="1005"/>
    <x v="18"/>
    <x v="58"/>
    <x v="90"/>
    <n v="3503"/>
    <x v="22"/>
    <n v="0"/>
    <x v="0"/>
    <s v="B 15"/>
    <n v="1"/>
    <n v="1302"/>
    <x v="83"/>
    <s v="Annual"/>
    <n v="1"/>
    <n v="1"/>
    <n v="93504"/>
    <n v="93504"/>
  </r>
  <r>
    <x v="1"/>
    <n v="48"/>
    <x v="17"/>
    <x v="24"/>
    <x v="24"/>
    <n v="1005"/>
    <x v="18"/>
    <x v="58"/>
    <x v="90"/>
    <n v="3503"/>
    <x v="22"/>
    <n v="0"/>
    <x v="0"/>
    <s v="B 13"/>
    <n v="1"/>
    <n v="308"/>
    <x v="90"/>
    <s v="Annual"/>
    <n v="1"/>
    <n v="1"/>
    <n v="119100"/>
    <n v="119100"/>
  </r>
  <r>
    <x v="1"/>
    <n v="48"/>
    <x v="17"/>
    <x v="24"/>
    <x v="24"/>
    <n v="1005"/>
    <x v="18"/>
    <x v="58"/>
    <x v="90"/>
    <n v="3503"/>
    <x v="22"/>
    <n v="0"/>
    <x v="0"/>
    <s v="1 00"/>
    <n v="0"/>
    <n v="44"/>
    <x v="1206"/>
    <s v="Annual"/>
    <n v="0"/>
    <n v="0"/>
    <n v="118973"/>
    <n v="118973"/>
  </r>
  <r>
    <x v="1"/>
    <n v="48"/>
    <x v="17"/>
    <x v="24"/>
    <x v="24"/>
    <n v="1005"/>
    <x v="18"/>
    <x v="58"/>
    <x v="90"/>
    <n v="3503"/>
    <x v="22"/>
    <n v="0"/>
    <x v="0"/>
    <s v="1 00"/>
    <n v="0"/>
    <n v="15"/>
    <x v="37"/>
    <s v="Annual"/>
    <n v="0"/>
    <n v="0"/>
    <n v="1800"/>
    <n v="1800"/>
  </r>
  <r>
    <x v="1"/>
    <n v="48"/>
    <x v="17"/>
    <x v="24"/>
    <x v="24"/>
    <n v="1005"/>
    <x v="18"/>
    <x v="59"/>
    <x v="97"/>
    <n v="3535"/>
    <x v="340"/>
    <n v="0"/>
    <x v="0"/>
    <s v="BX 18"/>
    <n v="10"/>
    <n v="3092"/>
    <x v="308"/>
    <s v="Annual"/>
    <n v="1"/>
    <n v="1"/>
    <n v="143232"/>
    <n v="143232"/>
  </r>
  <r>
    <x v="1"/>
    <n v="48"/>
    <x v="17"/>
    <x v="24"/>
    <x v="24"/>
    <n v="1005"/>
    <x v="18"/>
    <x v="59"/>
    <x v="97"/>
    <n v="3535"/>
    <x v="340"/>
    <n v="0"/>
    <x v="0"/>
    <s v="G 05"/>
    <n v="3"/>
    <n v="3073"/>
    <x v="589"/>
    <s v="Annual"/>
    <n v="1"/>
    <n v="1"/>
    <n v="108708"/>
    <n v="108708"/>
  </r>
  <r>
    <x v="1"/>
    <n v="48"/>
    <x v="17"/>
    <x v="24"/>
    <x v="24"/>
    <n v="1005"/>
    <x v="18"/>
    <x v="59"/>
    <x v="97"/>
    <n v="3535"/>
    <x v="340"/>
    <n v="0"/>
    <x v="0"/>
    <s v="G 05"/>
    <n v="3"/>
    <n v="3073"/>
    <x v="589"/>
    <s v="Annual"/>
    <n v="1"/>
    <n v="1"/>
    <n v="88524"/>
    <n v="88524"/>
  </r>
  <r>
    <x v="1"/>
    <n v="48"/>
    <x v="17"/>
    <x v="24"/>
    <x v="24"/>
    <n v="1005"/>
    <x v="18"/>
    <x v="59"/>
    <x v="97"/>
    <n v="3535"/>
    <x v="340"/>
    <n v="0"/>
    <x v="0"/>
    <s v="G 05"/>
    <n v="3"/>
    <n v="3073"/>
    <x v="589"/>
    <s v="Annual"/>
    <n v="1"/>
    <n v="1"/>
    <n v="84192"/>
    <n v="84192"/>
  </r>
  <r>
    <x v="1"/>
    <n v="48"/>
    <x v="17"/>
    <x v="24"/>
    <x v="24"/>
    <n v="1005"/>
    <x v="18"/>
    <x v="59"/>
    <x v="97"/>
    <n v="3535"/>
    <x v="340"/>
    <n v="0"/>
    <x v="0"/>
    <s v="1 00"/>
    <n v="0"/>
    <n v="44"/>
    <x v="1206"/>
    <s v="Annual"/>
    <n v="0"/>
    <n v="0"/>
    <n v="237638"/>
    <n v="237638"/>
  </r>
  <r>
    <x v="1"/>
    <n v="48"/>
    <x v="17"/>
    <x v="24"/>
    <x v="24"/>
    <n v="1005"/>
    <x v="18"/>
    <x v="59"/>
    <x v="97"/>
    <n v="3535"/>
    <x v="340"/>
    <n v="0"/>
    <x v="0"/>
    <s v="1 00"/>
    <n v="0"/>
    <n v="15"/>
    <x v="37"/>
    <s v="Annual"/>
    <n v="0"/>
    <n v="0"/>
    <n v="2282"/>
    <n v="2282"/>
  </r>
  <r>
    <x v="1"/>
    <n v="48"/>
    <x v="17"/>
    <x v="24"/>
    <x v="24"/>
    <n v="1005"/>
    <x v="18"/>
    <x v="60"/>
    <x v="98"/>
    <n v="3530"/>
    <x v="341"/>
    <n v="0"/>
    <x v="0"/>
    <s v="BX 18"/>
    <n v="10"/>
    <n v="3092"/>
    <x v="308"/>
    <s v="Annual"/>
    <n v="1"/>
    <n v="1"/>
    <n v="89112"/>
    <n v="89112"/>
  </r>
  <r>
    <x v="1"/>
    <n v="48"/>
    <x v="17"/>
    <x v="24"/>
    <x v="24"/>
    <n v="1005"/>
    <x v="18"/>
    <x v="60"/>
    <x v="98"/>
    <n v="3530"/>
    <x v="341"/>
    <n v="0"/>
    <x v="0"/>
    <s v="G 05"/>
    <n v="3"/>
    <n v="3073"/>
    <x v="589"/>
    <s v="Annual"/>
    <n v="3"/>
    <n v="1"/>
    <n v="108708"/>
    <n v="326124"/>
  </r>
  <r>
    <x v="1"/>
    <n v="48"/>
    <x v="17"/>
    <x v="24"/>
    <x v="24"/>
    <n v="1005"/>
    <x v="18"/>
    <x v="60"/>
    <x v="98"/>
    <n v="3530"/>
    <x v="341"/>
    <n v="0"/>
    <x v="0"/>
    <s v="1 00"/>
    <n v="0"/>
    <n v="44"/>
    <x v="1206"/>
    <s v="Annual"/>
    <n v="0"/>
    <n v="0"/>
    <n v="232366"/>
    <n v="232366"/>
  </r>
  <r>
    <x v="1"/>
    <n v="48"/>
    <x v="17"/>
    <x v="24"/>
    <x v="24"/>
    <n v="1005"/>
    <x v="18"/>
    <x v="60"/>
    <x v="98"/>
    <n v="3530"/>
    <x v="341"/>
    <n v="0"/>
    <x v="0"/>
    <s v="1 00"/>
    <n v="0"/>
    <n v="15"/>
    <x v="37"/>
    <s v="Annual"/>
    <n v="0"/>
    <n v="0"/>
    <n v="2136"/>
    <n v="2136"/>
  </r>
  <r>
    <x v="1"/>
    <n v="50"/>
    <x v="18"/>
    <x v="24"/>
    <x v="24"/>
    <n v="1005"/>
    <x v="19"/>
    <x v="61"/>
    <x v="99"/>
    <n v="3511"/>
    <x v="342"/>
    <n v="0"/>
    <x v="0"/>
    <s v="B 14"/>
    <n v="4"/>
    <n v="1912"/>
    <x v="222"/>
    <s v="Annual"/>
    <n v="1"/>
    <n v="1"/>
    <n v="81324"/>
    <n v="81324"/>
  </r>
  <r>
    <x v="1"/>
    <n v="50"/>
    <x v="18"/>
    <x v="24"/>
    <x v="24"/>
    <n v="1005"/>
    <x v="19"/>
    <x v="61"/>
    <x v="99"/>
    <n v="3511"/>
    <x v="342"/>
    <n v="0"/>
    <x v="0"/>
    <s v="1 00"/>
    <n v="0"/>
    <n v="44"/>
    <x v="1206"/>
    <s v="Annual"/>
    <n v="0"/>
    <n v="0"/>
    <n v="45509"/>
    <n v="45509"/>
  </r>
  <r>
    <x v="1"/>
    <n v="50"/>
    <x v="18"/>
    <x v="24"/>
    <x v="24"/>
    <n v="1005"/>
    <x v="19"/>
    <x v="61"/>
    <x v="99"/>
    <n v="3511"/>
    <x v="342"/>
    <n v="0"/>
    <x v="0"/>
    <s v="1 00"/>
    <n v="0"/>
    <n v="15"/>
    <x v="37"/>
    <s v="Annual"/>
    <n v="0"/>
    <n v="0"/>
    <n v="313"/>
    <n v="313"/>
  </r>
  <r>
    <x v="1"/>
    <n v="50"/>
    <x v="18"/>
    <x v="24"/>
    <x v="24"/>
    <n v="1005"/>
    <x v="19"/>
    <x v="62"/>
    <x v="100"/>
    <n v="3516"/>
    <x v="143"/>
    <n v="0"/>
    <x v="0"/>
    <s v="X 32"/>
    <n v="9"/>
    <n v="9679"/>
    <x v="81"/>
    <s v="Annual"/>
    <n v="1"/>
    <n v="1"/>
    <n v="167964"/>
    <n v="167964"/>
  </r>
  <r>
    <x v="1"/>
    <n v="50"/>
    <x v="18"/>
    <x v="24"/>
    <x v="24"/>
    <n v="1005"/>
    <x v="19"/>
    <x v="62"/>
    <x v="100"/>
    <n v="3516"/>
    <x v="143"/>
    <n v="0"/>
    <x v="0"/>
    <s v="2 0"/>
    <n v="8"/>
    <n v="7132"/>
    <x v="1225"/>
    <s v="Hourly"/>
    <n v="1"/>
    <n v="1"/>
    <n v="48.73"/>
    <n v="101358"/>
  </r>
  <r>
    <x v="1"/>
    <n v="50"/>
    <x v="18"/>
    <x v="24"/>
    <x v="24"/>
    <n v="1005"/>
    <x v="19"/>
    <x v="62"/>
    <x v="100"/>
    <n v="3516"/>
    <x v="143"/>
    <n v="0"/>
    <x v="0"/>
    <s v="B 13"/>
    <n v="3"/>
    <n v="3825"/>
    <x v="552"/>
    <s v="Annual"/>
    <n v="1"/>
    <n v="1"/>
    <n v="119100"/>
    <n v="119100"/>
  </r>
  <r>
    <x v="1"/>
    <n v="50"/>
    <x v="18"/>
    <x v="24"/>
    <x v="24"/>
    <n v="1005"/>
    <x v="19"/>
    <x v="62"/>
    <x v="100"/>
    <n v="3516"/>
    <x v="143"/>
    <n v="0"/>
    <x v="0"/>
    <s v="B 13"/>
    <n v="3"/>
    <n v="3825"/>
    <x v="552"/>
    <s v="Annual"/>
    <n v="1"/>
    <n v="1"/>
    <n v="85200"/>
    <n v="85200"/>
  </r>
  <r>
    <x v="1"/>
    <n v="50"/>
    <x v="18"/>
    <x v="24"/>
    <x v="24"/>
    <n v="1005"/>
    <x v="19"/>
    <x v="62"/>
    <x v="100"/>
    <n v="3516"/>
    <x v="143"/>
    <n v="0"/>
    <x v="0"/>
    <s v="B 13"/>
    <n v="3"/>
    <n v="3825"/>
    <x v="552"/>
    <s v="Annual"/>
    <n v="3"/>
    <n v="1"/>
    <n v="77640"/>
    <n v="232920"/>
  </r>
  <r>
    <x v="1"/>
    <n v="50"/>
    <x v="18"/>
    <x v="24"/>
    <x v="24"/>
    <n v="1005"/>
    <x v="19"/>
    <x v="62"/>
    <x v="100"/>
    <n v="3516"/>
    <x v="143"/>
    <n v="0"/>
    <x v="0"/>
    <s v="B 13"/>
    <n v="3"/>
    <n v="3825"/>
    <x v="552"/>
    <s v="Annual"/>
    <n v="1"/>
    <n v="1"/>
    <n v="74172"/>
    <n v="74172"/>
  </r>
  <r>
    <x v="1"/>
    <n v="50"/>
    <x v="18"/>
    <x v="24"/>
    <x v="24"/>
    <n v="1005"/>
    <x v="19"/>
    <x v="62"/>
    <x v="100"/>
    <n v="3516"/>
    <x v="143"/>
    <n v="0"/>
    <x v="0"/>
    <s v="B 13"/>
    <n v="3"/>
    <n v="3825"/>
    <x v="552"/>
    <s v="Annual"/>
    <n v="3"/>
    <n v="1"/>
    <n v="68616"/>
    <n v="205848"/>
  </r>
  <r>
    <x v="1"/>
    <n v="50"/>
    <x v="18"/>
    <x v="24"/>
    <x v="24"/>
    <n v="1005"/>
    <x v="19"/>
    <x v="62"/>
    <x v="100"/>
    <n v="3516"/>
    <x v="143"/>
    <n v="0"/>
    <x v="0"/>
    <s v="X 33"/>
    <n v="0"/>
    <n v="3019"/>
    <x v="602"/>
    <s v="Annual"/>
    <n v="1"/>
    <n v="1"/>
    <n v="121668"/>
    <n v="121668"/>
  </r>
  <r>
    <x v="1"/>
    <n v="50"/>
    <x v="18"/>
    <x v="24"/>
    <x v="24"/>
    <n v="1005"/>
    <x v="19"/>
    <x v="62"/>
    <x v="100"/>
    <n v="3516"/>
    <x v="143"/>
    <n v="0"/>
    <x v="0"/>
    <s v="B 10"/>
    <n v="1"/>
    <s v="03A7"/>
    <x v="4"/>
    <s v="Annual"/>
    <n v="1"/>
    <n v="1"/>
    <n v="90144"/>
    <n v="90144"/>
  </r>
  <r>
    <x v="1"/>
    <n v="50"/>
    <x v="18"/>
    <x v="24"/>
    <x v="24"/>
    <n v="1005"/>
    <x v="19"/>
    <x v="62"/>
    <x v="100"/>
    <n v="3516"/>
    <x v="143"/>
    <n v="0"/>
    <x v="0"/>
    <s v="1 00"/>
    <n v="0"/>
    <n v="44"/>
    <x v="1206"/>
    <s v="Annual"/>
    <n v="0"/>
    <n v="0"/>
    <n v="670611"/>
    <n v="670611"/>
  </r>
  <r>
    <x v="1"/>
    <n v="50"/>
    <x v="18"/>
    <x v="24"/>
    <x v="24"/>
    <n v="1005"/>
    <x v="19"/>
    <x v="62"/>
    <x v="100"/>
    <n v="3516"/>
    <x v="143"/>
    <n v="0"/>
    <x v="0"/>
    <s v="1 00"/>
    <n v="0"/>
    <n v="15"/>
    <x v="37"/>
    <s v="Annual"/>
    <n v="0"/>
    <n v="0"/>
    <n v="7772"/>
    <n v="7772"/>
  </r>
  <r>
    <x v="1"/>
    <n v="50"/>
    <x v="18"/>
    <x v="24"/>
    <x v="24"/>
    <n v="1005"/>
    <x v="19"/>
    <x v="62"/>
    <x v="100"/>
    <n v="3516"/>
    <x v="143"/>
    <n v="0"/>
    <x v="0"/>
    <s v="1 00"/>
    <n v="0"/>
    <n v="12"/>
    <x v="291"/>
    <s v="Annual"/>
    <n v="0"/>
    <n v="0"/>
    <n v="1520"/>
    <n v="1520"/>
  </r>
  <r>
    <x v="1"/>
    <n v="50"/>
    <x v="18"/>
    <x v="24"/>
    <x v="24"/>
    <n v="1005"/>
    <x v="19"/>
    <x v="63"/>
    <x v="101"/>
    <n v="3530"/>
    <x v="343"/>
    <n v="0"/>
    <x v="0"/>
    <s v="X 32"/>
    <n v="9"/>
    <n v="9679"/>
    <x v="81"/>
    <s v="Annual"/>
    <n v="1"/>
    <n v="1"/>
    <n v="167964"/>
    <n v="167964"/>
  </r>
  <r>
    <x v="1"/>
    <n v="50"/>
    <x v="18"/>
    <x v="24"/>
    <x v="24"/>
    <n v="1005"/>
    <x v="19"/>
    <x v="63"/>
    <x v="101"/>
    <n v="3530"/>
    <x v="343"/>
    <n v="0"/>
    <x v="0"/>
    <s v="BX 17"/>
    <n v="20"/>
    <n v="3011"/>
    <x v="603"/>
    <s v="Annual"/>
    <n v="1"/>
    <n v="1"/>
    <n v="83052"/>
    <n v="83052"/>
  </r>
  <r>
    <x v="1"/>
    <n v="50"/>
    <x v="18"/>
    <x v="24"/>
    <x v="24"/>
    <n v="1005"/>
    <x v="19"/>
    <x v="63"/>
    <x v="101"/>
    <n v="3530"/>
    <x v="343"/>
    <n v="0"/>
    <x v="0"/>
    <s v="B 14"/>
    <n v="4"/>
    <n v="1912"/>
    <x v="222"/>
    <s v="Annual"/>
    <n v="1"/>
    <n v="1"/>
    <n v="119100"/>
    <n v="119100"/>
  </r>
  <r>
    <x v="1"/>
    <n v="50"/>
    <x v="18"/>
    <x v="24"/>
    <x v="24"/>
    <n v="1005"/>
    <x v="19"/>
    <x v="63"/>
    <x v="101"/>
    <n v="3530"/>
    <x v="343"/>
    <n v="0"/>
    <x v="0"/>
    <s v="B 14"/>
    <n v="4"/>
    <n v="1912"/>
    <x v="222"/>
    <s v="Annual"/>
    <n v="1"/>
    <n v="1"/>
    <n v="85200"/>
    <n v="85200"/>
  </r>
  <r>
    <x v="1"/>
    <n v="50"/>
    <x v="18"/>
    <x v="24"/>
    <x v="24"/>
    <n v="1005"/>
    <x v="19"/>
    <x v="63"/>
    <x v="101"/>
    <n v="3530"/>
    <x v="343"/>
    <n v="0"/>
    <x v="0"/>
    <s v="B 14"/>
    <n v="4"/>
    <n v="1912"/>
    <x v="222"/>
    <s v="Annual"/>
    <n v="1"/>
    <n v="1"/>
    <n v="81324"/>
    <n v="81324"/>
  </r>
  <r>
    <x v="1"/>
    <n v="50"/>
    <x v="18"/>
    <x v="24"/>
    <x v="24"/>
    <n v="1005"/>
    <x v="19"/>
    <x v="63"/>
    <x v="101"/>
    <n v="3530"/>
    <x v="343"/>
    <n v="0"/>
    <x v="0"/>
    <s v="B 13"/>
    <n v="1"/>
    <n v="308"/>
    <x v="90"/>
    <s v="Annual"/>
    <n v="1"/>
    <n v="1"/>
    <n v="119100"/>
    <n v="119100"/>
  </r>
  <r>
    <x v="1"/>
    <n v="50"/>
    <x v="18"/>
    <x v="24"/>
    <x v="24"/>
    <n v="1005"/>
    <x v="19"/>
    <x v="63"/>
    <x v="101"/>
    <n v="3530"/>
    <x v="343"/>
    <n v="0"/>
    <x v="0"/>
    <s v="1 00"/>
    <n v="0"/>
    <n v="44"/>
    <x v="1206"/>
    <s v="Annual"/>
    <n v="0"/>
    <n v="0"/>
    <n v="366952"/>
    <n v="366952"/>
  </r>
  <r>
    <x v="1"/>
    <n v="50"/>
    <x v="18"/>
    <x v="24"/>
    <x v="24"/>
    <n v="1005"/>
    <x v="19"/>
    <x v="63"/>
    <x v="101"/>
    <n v="3530"/>
    <x v="343"/>
    <n v="0"/>
    <x v="0"/>
    <s v="1 00"/>
    <n v="0"/>
    <n v="15"/>
    <x v="37"/>
    <s v="Annual"/>
    <n v="0"/>
    <n v="0"/>
    <n v="11142"/>
    <n v="11142"/>
  </r>
  <r>
    <x v="1"/>
    <n v="50"/>
    <x v="18"/>
    <x v="24"/>
    <x v="24"/>
    <n v="1005"/>
    <x v="19"/>
    <x v="60"/>
    <x v="102"/>
    <n v="3550"/>
    <x v="141"/>
    <n v="0"/>
    <x v="0"/>
    <s v="X 33"/>
    <n v="0"/>
    <n v="3018"/>
    <x v="600"/>
    <s v="Annual"/>
    <n v="1"/>
    <n v="1"/>
    <n v="121668"/>
    <n v="121668"/>
  </r>
  <r>
    <x v="1"/>
    <n v="50"/>
    <x v="18"/>
    <x v="24"/>
    <x v="24"/>
    <n v="1005"/>
    <x v="19"/>
    <x v="60"/>
    <x v="102"/>
    <n v="3550"/>
    <x v="141"/>
    <n v="0"/>
    <x v="0"/>
    <s v="BX 17"/>
    <n v="20"/>
    <n v="3011"/>
    <x v="603"/>
    <s v="Annual"/>
    <n v="1"/>
    <n v="1"/>
    <n v="124584"/>
    <n v="124584"/>
  </r>
  <r>
    <x v="1"/>
    <n v="50"/>
    <x v="18"/>
    <x v="24"/>
    <x v="24"/>
    <n v="1005"/>
    <x v="19"/>
    <x v="60"/>
    <x v="102"/>
    <n v="3550"/>
    <x v="141"/>
    <n v="0"/>
    <x v="0"/>
    <s v="G 07"/>
    <n v="3"/>
    <n v="2989"/>
    <x v="1208"/>
    <s v="Annual"/>
    <n v="1"/>
    <n v="1"/>
    <n v="97488"/>
    <n v="97488"/>
  </r>
  <r>
    <x v="1"/>
    <n v="50"/>
    <x v="18"/>
    <x v="24"/>
    <x v="24"/>
    <n v="1005"/>
    <x v="19"/>
    <x v="60"/>
    <x v="102"/>
    <n v="3550"/>
    <x v="141"/>
    <n v="0"/>
    <x v="0"/>
    <s v="B 14"/>
    <n v="4"/>
    <n v="1912"/>
    <x v="222"/>
    <s v="Annual"/>
    <n v="1"/>
    <n v="1"/>
    <n v="85200"/>
    <n v="85200"/>
  </r>
  <r>
    <x v="1"/>
    <n v="50"/>
    <x v="18"/>
    <x v="24"/>
    <x v="24"/>
    <n v="1005"/>
    <x v="19"/>
    <x v="60"/>
    <x v="102"/>
    <n v="3550"/>
    <x v="141"/>
    <n v="0"/>
    <x v="0"/>
    <s v="B 14"/>
    <n v="4"/>
    <n v="1912"/>
    <x v="222"/>
    <s v="Annual"/>
    <n v="1"/>
    <n v="1"/>
    <n v="81324"/>
    <n v="81324"/>
  </r>
  <r>
    <x v="1"/>
    <n v="50"/>
    <x v="18"/>
    <x v="24"/>
    <x v="24"/>
    <n v="1005"/>
    <x v="19"/>
    <x v="60"/>
    <x v="102"/>
    <n v="3550"/>
    <x v="141"/>
    <n v="0"/>
    <x v="0"/>
    <s v="BX 18"/>
    <n v="10"/>
    <n v="310"/>
    <x v="135"/>
    <s v="Annual"/>
    <n v="1"/>
    <n v="1"/>
    <n v="107340"/>
    <n v="107340"/>
  </r>
  <r>
    <x v="1"/>
    <n v="50"/>
    <x v="18"/>
    <x v="24"/>
    <x v="24"/>
    <n v="1005"/>
    <x v="19"/>
    <x v="60"/>
    <x v="102"/>
    <n v="3550"/>
    <x v="141"/>
    <n v="0"/>
    <x v="0"/>
    <s v="1 00"/>
    <n v="0"/>
    <n v="44"/>
    <x v="1206"/>
    <s v="Annual"/>
    <n v="0"/>
    <n v="0"/>
    <n v="345610"/>
    <n v="345610"/>
  </r>
  <r>
    <x v="1"/>
    <n v="50"/>
    <x v="18"/>
    <x v="24"/>
    <x v="24"/>
    <n v="1005"/>
    <x v="19"/>
    <x v="60"/>
    <x v="102"/>
    <n v="3550"/>
    <x v="141"/>
    <n v="0"/>
    <x v="0"/>
    <s v="1 00"/>
    <n v="0"/>
    <n v="15"/>
    <x v="37"/>
    <s v="Annual"/>
    <n v="0"/>
    <n v="0"/>
    <n v="7516"/>
    <n v="7516"/>
  </r>
  <r>
    <x v="1"/>
    <n v="54"/>
    <x v="20"/>
    <x v="24"/>
    <x v="24"/>
    <n v="1005"/>
    <x v="21"/>
    <x v="50"/>
    <x v="90"/>
    <n v="3502"/>
    <x v="109"/>
    <n v="0"/>
    <x v="0"/>
    <s v="B 14"/>
    <n v="1"/>
    <n v="2908"/>
    <x v="1189"/>
    <s v="Annual"/>
    <n v="1"/>
    <n v="1"/>
    <n v="75336"/>
    <n v="75336"/>
  </r>
  <r>
    <x v="1"/>
    <n v="54"/>
    <x v="20"/>
    <x v="24"/>
    <x v="24"/>
    <n v="1005"/>
    <x v="21"/>
    <x v="50"/>
    <x v="90"/>
    <n v="3502"/>
    <x v="109"/>
    <n v="0"/>
    <x v="0"/>
    <s v="B 13"/>
    <n v="1"/>
    <n v="1482"/>
    <x v="96"/>
    <s v="Annual"/>
    <n v="1"/>
    <n v="1"/>
    <n v="70752"/>
    <n v="70752"/>
  </r>
  <r>
    <x v="1"/>
    <n v="54"/>
    <x v="20"/>
    <x v="24"/>
    <x v="24"/>
    <n v="1005"/>
    <x v="21"/>
    <x v="50"/>
    <x v="90"/>
    <n v="3502"/>
    <x v="109"/>
    <n v="0"/>
    <x v="0"/>
    <s v="B 13"/>
    <n v="1"/>
    <n v="1482"/>
    <x v="96"/>
    <s v="Annual"/>
    <n v="1"/>
    <n v="1"/>
    <n v="68616"/>
    <n v="68616"/>
  </r>
  <r>
    <x v="1"/>
    <n v="54"/>
    <x v="20"/>
    <x v="24"/>
    <x v="24"/>
    <n v="1005"/>
    <x v="21"/>
    <x v="50"/>
    <x v="90"/>
    <n v="3502"/>
    <x v="109"/>
    <n v="0"/>
    <x v="0"/>
    <s v="BX 15"/>
    <n v="10"/>
    <n v="134"/>
    <x v="74"/>
    <s v="Annual"/>
    <n v="2"/>
    <n v="1"/>
    <n v="69684"/>
    <n v="139368"/>
  </r>
  <r>
    <x v="1"/>
    <n v="54"/>
    <x v="20"/>
    <x v="24"/>
    <x v="24"/>
    <n v="1005"/>
    <x v="21"/>
    <x v="50"/>
    <x v="90"/>
    <n v="3502"/>
    <x v="109"/>
    <n v="0"/>
    <x v="0"/>
    <s v="B 11"/>
    <n v="1"/>
    <n v="109"/>
    <x v="94"/>
    <s v="Annual"/>
    <n v="1"/>
    <n v="1"/>
    <n v="64488"/>
    <n v="64488"/>
  </r>
  <r>
    <x v="1"/>
    <n v="54"/>
    <x v="20"/>
    <x v="24"/>
    <x v="24"/>
    <n v="1005"/>
    <x v="21"/>
    <x v="50"/>
    <x v="90"/>
    <n v="3502"/>
    <x v="109"/>
    <n v="0"/>
    <x v="0"/>
    <s v="1 00"/>
    <n v="0"/>
    <n v="44"/>
    <x v="1206"/>
    <s v="Annual"/>
    <n v="0"/>
    <n v="0"/>
    <n v="234226"/>
    <n v="234226"/>
  </r>
  <r>
    <x v="1"/>
    <n v="54"/>
    <x v="20"/>
    <x v="24"/>
    <x v="24"/>
    <n v="1005"/>
    <x v="21"/>
    <x v="50"/>
    <x v="90"/>
    <n v="3502"/>
    <x v="109"/>
    <n v="0"/>
    <x v="0"/>
    <s v="1 00"/>
    <n v="0"/>
    <n v="15"/>
    <x v="37"/>
    <s v="Annual"/>
    <n v="0"/>
    <n v="0"/>
    <n v="6450"/>
    <n v="6450"/>
  </r>
  <r>
    <x v="1"/>
    <n v="54"/>
    <x v="20"/>
    <x v="24"/>
    <x v="24"/>
    <n v="1005"/>
    <x v="21"/>
    <x v="50"/>
    <x v="90"/>
    <n v="3503"/>
    <x v="16"/>
    <n v="0"/>
    <x v="0"/>
    <s v="G 05"/>
    <n v="4"/>
    <n v="2921"/>
    <x v="691"/>
    <s v="Annual"/>
    <n v="1"/>
    <n v="1"/>
    <n v="108708"/>
    <n v="108708"/>
  </r>
  <r>
    <x v="1"/>
    <n v="54"/>
    <x v="20"/>
    <x v="24"/>
    <x v="24"/>
    <n v="1005"/>
    <x v="21"/>
    <x v="50"/>
    <x v="90"/>
    <n v="3503"/>
    <x v="16"/>
    <n v="0"/>
    <x v="0"/>
    <s v="BX 14"/>
    <n v="10"/>
    <n v="1335"/>
    <x v="1191"/>
    <s v="Annual"/>
    <n v="1"/>
    <n v="1"/>
    <n v="63504"/>
    <n v="63504"/>
  </r>
  <r>
    <x v="1"/>
    <n v="54"/>
    <x v="20"/>
    <x v="24"/>
    <x v="24"/>
    <n v="1005"/>
    <x v="21"/>
    <x v="50"/>
    <x v="90"/>
    <n v="3503"/>
    <x v="16"/>
    <n v="0"/>
    <x v="0"/>
    <s v="G 08"/>
    <n v="4"/>
    <n v="635"/>
    <x v="242"/>
    <s v="Annual"/>
    <n v="1"/>
    <n v="1"/>
    <n v="141564"/>
    <n v="141564"/>
  </r>
  <r>
    <x v="1"/>
    <n v="54"/>
    <x v="20"/>
    <x v="24"/>
    <x v="24"/>
    <n v="1005"/>
    <x v="21"/>
    <x v="50"/>
    <x v="90"/>
    <n v="3503"/>
    <x v="16"/>
    <n v="0"/>
    <x v="0"/>
    <s v="B 10"/>
    <n v="1"/>
    <s v="03A7"/>
    <x v="4"/>
    <s v="Annual"/>
    <n v="1"/>
    <n v="1"/>
    <n v="58764"/>
    <n v="58764"/>
  </r>
  <r>
    <x v="1"/>
    <n v="54"/>
    <x v="20"/>
    <x v="24"/>
    <x v="24"/>
    <n v="1005"/>
    <x v="21"/>
    <x v="50"/>
    <x v="90"/>
    <n v="3503"/>
    <x v="16"/>
    <n v="0"/>
    <x v="0"/>
    <s v="B 13"/>
    <n v="1"/>
    <n v="308"/>
    <x v="90"/>
    <s v="Annual"/>
    <n v="1"/>
    <n v="1"/>
    <n v="119100"/>
    <n v="119100"/>
  </r>
  <r>
    <x v="1"/>
    <n v="54"/>
    <x v="20"/>
    <x v="24"/>
    <x v="24"/>
    <n v="1005"/>
    <x v="21"/>
    <x v="50"/>
    <x v="90"/>
    <n v="3503"/>
    <x v="16"/>
    <n v="0"/>
    <x v="0"/>
    <s v="1 00"/>
    <n v="0"/>
    <n v="44"/>
    <x v="1206"/>
    <s v="Annual"/>
    <n v="0"/>
    <n v="0"/>
    <n v="275121"/>
    <n v="275121"/>
  </r>
  <r>
    <x v="1"/>
    <n v="54"/>
    <x v="20"/>
    <x v="24"/>
    <x v="24"/>
    <n v="1005"/>
    <x v="21"/>
    <x v="50"/>
    <x v="90"/>
    <n v="3503"/>
    <x v="16"/>
    <n v="0"/>
    <x v="0"/>
    <s v="1 00"/>
    <n v="0"/>
    <n v="15"/>
    <x v="37"/>
    <s v="Annual"/>
    <n v="0"/>
    <n v="0"/>
    <n v="1506"/>
    <n v="1506"/>
  </r>
  <r>
    <x v="1"/>
    <n v="54"/>
    <x v="20"/>
    <x v="24"/>
    <x v="24"/>
    <n v="1005"/>
    <x v="21"/>
    <x v="50"/>
    <x v="90"/>
    <n v="3506"/>
    <x v="210"/>
    <n v="0"/>
    <x v="0"/>
    <s v="B 15"/>
    <n v="1"/>
    <n v="729"/>
    <x v="32"/>
    <s v="Annual"/>
    <n v="1"/>
    <n v="1"/>
    <n v="97956"/>
    <n v="97956"/>
  </r>
  <r>
    <x v="1"/>
    <n v="54"/>
    <x v="20"/>
    <x v="24"/>
    <x v="24"/>
    <n v="1005"/>
    <x v="21"/>
    <x v="50"/>
    <x v="90"/>
    <n v="3506"/>
    <x v="210"/>
    <n v="0"/>
    <x v="0"/>
    <s v="B 15"/>
    <n v="1"/>
    <n v="729"/>
    <x v="32"/>
    <s v="Annual"/>
    <n v="1"/>
    <n v="1"/>
    <n v="82644"/>
    <n v="82644"/>
  </r>
  <r>
    <x v="1"/>
    <n v="54"/>
    <x v="20"/>
    <x v="24"/>
    <x v="24"/>
    <n v="1005"/>
    <x v="21"/>
    <x v="50"/>
    <x v="90"/>
    <n v="3506"/>
    <x v="210"/>
    <n v="0"/>
    <x v="0"/>
    <s v="1 00"/>
    <n v="0"/>
    <n v="44"/>
    <x v="1206"/>
    <s v="Annual"/>
    <n v="0"/>
    <n v="0"/>
    <n v="101064"/>
    <n v="101064"/>
  </r>
  <r>
    <x v="1"/>
    <n v="54"/>
    <x v="20"/>
    <x v="24"/>
    <x v="24"/>
    <n v="1005"/>
    <x v="21"/>
    <x v="50"/>
    <x v="90"/>
    <n v="3506"/>
    <x v="210"/>
    <n v="0"/>
    <x v="0"/>
    <s v="1 00"/>
    <n v="0"/>
    <n v="15"/>
    <x v="37"/>
    <s v="Annual"/>
    <n v="0"/>
    <n v="0"/>
    <n v="188"/>
    <n v="188"/>
  </r>
  <r>
    <x v="1"/>
    <n v="72"/>
    <x v="29"/>
    <x v="24"/>
    <x v="24"/>
    <n v="1010"/>
    <x v="30"/>
    <x v="64"/>
    <x v="90"/>
    <n v="3800"/>
    <x v="331"/>
    <n v="0"/>
    <x v="0"/>
    <s v="G 08"/>
    <n v="4"/>
    <n v="2073"/>
    <x v="469"/>
    <s v="Annual"/>
    <n v="1"/>
    <n v="1"/>
    <n v="141564"/>
    <n v="141564"/>
  </r>
  <r>
    <x v="1"/>
    <n v="72"/>
    <x v="29"/>
    <x v="24"/>
    <x v="24"/>
    <n v="1010"/>
    <x v="30"/>
    <x v="64"/>
    <x v="90"/>
    <n v="3800"/>
    <x v="331"/>
    <n v="0"/>
    <x v="0"/>
    <s v="G 08"/>
    <n v="4"/>
    <n v="2073"/>
    <x v="469"/>
    <s v="Annual"/>
    <n v="1"/>
    <n v="1"/>
    <n v="128316"/>
    <n v="128316"/>
  </r>
  <r>
    <x v="1"/>
    <n v="72"/>
    <x v="29"/>
    <x v="24"/>
    <x v="24"/>
    <n v="1010"/>
    <x v="30"/>
    <x v="64"/>
    <x v="90"/>
    <n v="3800"/>
    <x v="331"/>
    <n v="0"/>
    <x v="0"/>
    <s v="1 00"/>
    <n v="0"/>
    <n v="44"/>
    <x v="1206"/>
    <s v="Annual"/>
    <n v="0"/>
    <n v="0"/>
    <n v="151025"/>
    <n v="151025"/>
  </r>
  <r>
    <x v="1"/>
    <n v="72"/>
    <x v="29"/>
    <x v="24"/>
    <x v="24"/>
    <n v="1010"/>
    <x v="30"/>
    <x v="64"/>
    <x v="90"/>
    <n v="3800"/>
    <x v="331"/>
    <n v="0"/>
    <x v="0"/>
    <s v="1 00"/>
    <n v="0"/>
    <n v="15"/>
    <x v="37"/>
    <s v="Annual"/>
    <n v="0"/>
    <n v="0"/>
    <n v="2133"/>
    <n v="2133"/>
  </r>
  <r>
    <x v="1"/>
    <n v="6"/>
    <x v="3"/>
    <x v="25"/>
    <x v="25"/>
    <n v="1005"/>
    <x v="3"/>
    <x v="48"/>
    <x v="103"/>
    <n v="3825"/>
    <x v="344"/>
    <n v="0"/>
    <x v="0"/>
    <s v="IT 01"/>
    <n v="20"/>
    <n v="6000000"/>
    <x v="1226"/>
    <s v="Annual"/>
    <n v="2"/>
    <n v="1"/>
    <n v="110940"/>
    <n v="221880"/>
  </r>
  <r>
    <x v="1"/>
    <n v="6"/>
    <x v="3"/>
    <x v="25"/>
    <x v="25"/>
    <n v="1005"/>
    <x v="3"/>
    <x v="48"/>
    <x v="103"/>
    <n v="3825"/>
    <x v="344"/>
    <n v="0"/>
    <x v="0"/>
    <s v="IT 02"/>
    <n v="20"/>
    <n v="60000"/>
    <x v="1227"/>
    <s v="Annual"/>
    <n v="2"/>
    <n v="1"/>
    <n v="125016"/>
    <n v="250032"/>
  </r>
  <r>
    <x v="1"/>
    <n v="6"/>
    <x v="3"/>
    <x v="25"/>
    <x v="25"/>
    <n v="1005"/>
    <x v="3"/>
    <x v="48"/>
    <x v="103"/>
    <n v="3825"/>
    <x v="344"/>
    <n v="0"/>
    <x v="0"/>
    <s v="1 00"/>
    <n v="0"/>
    <n v="44"/>
    <x v="1206"/>
    <s v="Annual"/>
    <n v="0"/>
    <n v="0"/>
    <n v="264082"/>
    <n v="264082"/>
  </r>
  <r>
    <x v="1"/>
    <n v="6"/>
    <x v="3"/>
    <x v="25"/>
    <x v="25"/>
    <n v="1005"/>
    <x v="3"/>
    <x v="48"/>
    <x v="103"/>
    <n v="3825"/>
    <x v="344"/>
    <n v="0"/>
    <x v="0"/>
    <s v="1 00"/>
    <n v="0"/>
    <n v="15"/>
    <x v="37"/>
    <s v="Annual"/>
    <n v="0"/>
    <n v="0"/>
    <n v="21344"/>
    <n v="21344"/>
  </r>
  <r>
    <x v="1"/>
    <n v="21"/>
    <x v="5"/>
    <x v="25"/>
    <x v="25"/>
    <n v="1005"/>
    <x v="6"/>
    <x v="44"/>
    <x v="86"/>
    <n v="3803"/>
    <x v="345"/>
    <n v="0"/>
    <x v="0"/>
    <s v="X 32"/>
    <n v="9"/>
    <n v="9679"/>
    <x v="81"/>
    <s v="Annual"/>
    <n v="1"/>
    <n v="1"/>
    <n v="167964"/>
    <n v="167964"/>
  </r>
  <r>
    <x v="1"/>
    <n v="21"/>
    <x v="5"/>
    <x v="25"/>
    <x v="25"/>
    <n v="1005"/>
    <x v="6"/>
    <x v="44"/>
    <x v="86"/>
    <n v="3803"/>
    <x v="345"/>
    <n v="0"/>
    <x v="0"/>
    <s v="BX 15"/>
    <n v="10"/>
    <n v="1911"/>
    <x v="226"/>
    <s v="Annual"/>
    <n v="1"/>
    <n v="1"/>
    <n v="72996"/>
    <n v="72996"/>
  </r>
  <r>
    <x v="1"/>
    <n v="21"/>
    <x v="5"/>
    <x v="25"/>
    <x v="25"/>
    <n v="1005"/>
    <x v="6"/>
    <x v="44"/>
    <x v="86"/>
    <n v="3803"/>
    <x v="345"/>
    <n v="0"/>
    <x v="0"/>
    <s v="BX 16"/>
    <n v="10"/>
    <n v="1438"/>
    <x v="217"/>
    <s v="Annual"/>
    <n v="1"/>
    <n v="1"/>
    <n v="83052"/>
    <n v="83052"/>
  </r>
  <r>
    <x v="1"/>
    <n v="21"/>
    <x v="5"/>
    <x v="25"/>
    <x v="25"/>
    <n v="1005"/>
    <x v="6"/>
    <x v="44"/>
    <x v="86"/>
    <n v="3803"/>
    <x v="345"/>
    <n v="0"/>
    <x v="0"/>
    <s v="GY 09"/>
    <n v="20"/>
    <n v="1437"/>
    <x v="223"/>
    <s v="Annual"/>
    <n v="2"/>
    <n v="1"/>
    <n v="122556"/>
    <n v="245112"/>
  </r>
  <r>
    <x v="1"/>
    <n v="21"/>
    <x v="5"/>
    <x v="25"/>
    <x v="25"/>
    <n v="1005"/>
    <x v="6"/>
    <x v="44"/>
    <x v="86"/>
    <n v="3803"/>
    <x v="345"/>
    <n v="0"/>
    <x v="0"/>
    <s v="X 33"/>
    <n v="9"/>
    <n v="313"/>
    <x v="220"/>
    <s v="Annual"/>
    <n v="1"/>
    <n v="1"/>
    <n v="137532"/>
    <n v="137532"/>
  </r>
  <r>
    <x v="1"/>
    <n v="21"/>
    <x v="5"/>
    <x v="25"/>
    <x v="25"/>
    <n v="1005"/>
    <x v="6"/>
    <x v="44"/>
    <x v="86"/>
    <n v="3803"/>
    <x v="345"/>
    <n v="0"/>
    <x v="0"/>
    <s v="1 00"/>
    <n v="0"/>
    <n v="44"/>
    <x v="1206"/>
    <s v="Annual"/>
    <n v="0"/>
    <n v="0"/>
    <n v="395446"/>
    <n v="395446"/>
  </r>
  <r>
    <x v="1"/>
    <n v="21"/>
    <x v="5"/>
    <x v="25"/>
    <x v="25"/>
    <n v="1005"/>
    <x v="6"/>
    <x v="44"/>
    <x v="86"/>
    <n v="3803"/>
    <x v="345"/>
    <n v="0"/>
    <x v="0"/>
    <s v="1 00"/>
    <n v="0"/>
    <n v="15"/>
    <x v="37"/>
    <s v="Annual"/>
    <n v="0"/>
    <n v="0"/>
    <n v="12040"/>
    <n v="12040"/>
  </r>
  <r>
    <x v="1"/>
    <n v="21"/>
    <x v="5"/>
    <x v="25"/>
    <x v="25"/>
    <n v="1005"/>
    <x v="6"/>
    <x v="44"/>
    <x v="86"/>
    <n v="3834"/>
    <x v="34"/>
    <n v="0"/>
    <x v="0"/>
    <s v="BX 16"/>
    <n v="10"/>
    <n v="2916"/>
    <x v="1188"/>
    <s v="Annual"/>
    <n v="1"/>
    <n v="1"/>
    <n v="85128"/>
    <n v="85128"/>
  </r>
  <r>
    <x v="1"/>
    <n v="21"/>
    <x v="5"/>
    <x v="25"/>
    <x v="25"/>
    <n v="1005"/>
    <x v="6"/>
    <x v="44"/>
    <x v="86"/>
    <n v="3834"/>
    <x v="34"/>
    <n v="0"/>
    <x v="0"/>
    <s v="B 14"/>
    <n v="1"/>
    <n v="2908"/>
    <x v="1189"/>
    <s v="Annual"/>
    <n v="2"/>
    <n v="1"/>
    <n v="130668"/>
    <n v="261336"/>
  </r>
  <r>
    <x v="1"/>
    <n v="21"/>
    <x v="5"/>
    <x v="25"/>
    <x v="25"/>
    <n v="1005"/>
    <x v="6"/>
    <x v="44"/>
    <x v="86"/>
    <n v="3834"/>
    <x v="34"/>
    <n v="0"/>
    <x v="0"/>
    <s v="X 33"/>
    <n v="9"/>
    <n v="313"/>
    <x v="220"/>
    <s v="Annual"/>
    <n v="1"/>
    <n v="1"/>
    <n v="137532"/>
    <n v="137532"/>
  </r>
  <r>
    <x v="1"/>
    <n v="21"/>
    <x v="5"/>
    <x v="25"/>
    <x v="25"/>
    <n v="1005"/>
    <x v="6"/>
    <x v="44"/>
    <x v="86"/>
    <n v="3834"/>
    <x v="34"/>
    <n v="0"/>
    <x v="0"/>
    <s v="1 00"/>
    <n v="0"/>
    <n v="44"/>
    <x v="1206"/>
    <s v="Annual"/>
    <n v="0"/>
    <n v="0"/>
    <n v="270845"/>
    <n v="270845"/>
  </r>
  <r>
    <x v="1"/>
    <n v="21"/>
    <x v="5"/>
    <x v="25"/>
    <x v="25"/>
    <n v="1005"/>
    <x v="6"/>
    <x v="44"/>
    <x v="86"/>
    <n v="3834"/>
    <x v="34"/>
    <n v="0"/>
    <x v="0"/>
    <s v="1 00"/>
    <n v="0"/>
    <n v="15"/>
    <x v="37"/>
    <s v="Annual"/>
    <n v="0"/>
    <n v="0"/>
    <n v="4420"/>
    <n v="4420"/>
  </r>
  <r>
    <x v="1"/>
    <n v="41"/>
    <x v="15"/>
    <x v="25"/>
    <x v="25"/>
    <n v="1005"/>
    <x v="16"/>
    <x v="45"/>
    <x v="87"/>
    <n v="3710"/>
    <x v="329"/>
    <n v="0"/>
    <x v="0"/>
    <s v="G 07"/>
    <n v="4"/>
    <n v="3414"/>
    <x v="532"/>
    <s v="Annual"/>
    <n v="1"/>
    <n v="1"/>
    <n v="129636"/>
    <n v="129636"/>
  </r>
  <r>
    <x v="1"/>
    <n v="41"/>
    <x v="15"/>
    <x v="25"/>
    <x v="25"/>
    <n v="1005"/>
    <x v="16"/>
    <x v="45"/>
    <x v="87"/>
    <n v="3710"/>
    <x v="329"/>
    <n v="0"/>
    <x v="0"/>
    <s v="G 07"/>
    <n v="4"/>
    <n v="3414"/>
    <x v="532"/>
    <s v="Annual"/>
    <n v="1"/>
    <n v="1"/>
    <n v="102516"/>
    <n v="102516"/>
  </r>
  <r>
    <x v="1"/>
    <n v="41"/>
    <x v="15"/>
    <x v="25"/>
    <x v="25"/>
    <n v="1005"/>
    <x v="16"/>
    <x v="45"/>
    <x v="87"/>
    <n v="3710"/>
    <x v="329"/>
    <n v="0"/>
    <x v="0"/>
    <s v="GY 11"/>
    <n v="20"/>
    <n v="3408"/>
    <x v="533"/>
    <s v="Annual"/>
    <n v="1"/>
    <n v="1"/>
    <n v="106272"/>
    <n v="106272"/>
  </r>
  <r>
    <x v="1"/>
    <n v="41"/>
    <x v="15"/>
    <x v="25"/>
    <x v="25"/>
    <n v="1005"/>
    <x v="16"/>
    <x v="45"/>
    <x v="87"/>
    <n v="3710"/>
    <x v="329"/>
    <n v="0"/>
    <x v="0"/>
    <s v="4 00"/>
    <n v="9"/>
    <n v="404"/>
    <x v="1219"/>
    <s v="Hourly"/>
    <n v="2"/>
    <n v="1"/>
    <n v="16.2"/>
    <n v="67392"/>
  </r>
  <r>
    <x v="1"/>
    <n v="41"/>
    <x v="15"/>
    <x v="25"/>
    <x v="25"/>
    <n v="1005"/>
    <x v="16"/>
    <x v="45"/>
    <x v="87"/>
    <n v="3710"/>
    <x v="329"/>
    <n v="0"/>
    <x v="0"/>
    <s v="BX 18"/>
    <n v="10"/>
    <n v="311"/>
    <x v="253"/>
    <s v="Annual"/>
    <n v="1"/>
    <n v="1"/>
    <n v="107340"/>
    <n v="107340"/>
  </r>
  <r>
    <x v="1"/>
    <n v="41"/>
    <x v="15"/>
    <x v="25"/>
    <x v="25"/>
    <n v="1005"/>
    <x v="16"/>
    <x v="45"/>
    <x v="87"/>
    <n v="3710"/>
    <x v="329"/>
    <n v="0"/>
    <x v="0"/>
    <s v="1 00"/>
    <n v="0"/>
    <n v="44"/>
    <x v="1206"/>
    <s v="Annual"/>
    <n v="0"/>
    <n v="0"/>
    <n v="287162"/>
    <n v="287162"/>
  </r>
  <r>
    <x v="1"/>
    <n v="41"/>
    <x v="15"/>
    <x v="25"/>
    <x v="25"/>
    <n v="1005"/>
    <x v="16"/>
    <x v="45"/>
    <x v="87"/>
    <n v="3710"/>
    <x v="329"/>
    <n v="0"/>
    <x v="0"/>
    <s v="1 00"/>
    <n v="0"/>
    <n v="15"/>
    <x v="37"/>
    <s v="Annual"/>
    <n v="0"/>
    <n v="0"/>
    <n v="1656"/>
    <n v="1656"/>
  </r>
  <r>
    <x v="1"/>
    <n v="41"/>
    <x v="15"/>
    <x v="25"/>
    <x v="25"/>
    <n v="1005"/>
    <x v="16"/>
    <x v="65"/>
    <x v="104"/>
    <n v="3731"/>
    <x v="346"/>
    <n v="0"/>
    <x v="0"/>
    <s v="B 16"/>
    <n v="4"/>
    <n v="3467"/>
    <x v="537"/>
    <s v="Annual"/>
    <n v="2"/>
    <n v="1"/>
    <n v="157332"/>
    <n v="314664"/>
  </r>
  <r>
    <x v="1"/>
    <n v="41"/>
    <x v="15"/>
    <x v="25"/>
    <x v="25"/>
    <n v="1005"/>
    <x v="16"/>
    <x v="65"/>
    <x v="104"/>
    <n v="3731"/>
    <x v="346"/>
    <n v="0"/>
    <x v="0"/>
    <s v="B 16"/>
    <n v="4"/>
    <n v="3467"/>
    <x v="537"/>
    <s v="Annual"/>
    <n v="1"/>
    <n v="1"/>
    <n v="130668"/>
    <n v="130668"/>
  </r>
  <r>
    <x v="1"/>
    <n v="41"/>
    <x v="15"/>
    <x v="25"/>
    <x v="25"/>
    <n v="1005"/>
    <x v="16"/>
    <x v="65"/>
    <x v="104"/>
    <n v="3731"/>
    <x v="346"/>
    <n v="0"/>
    <x v="0"/>
    <s v="B 14"/>
    <n v="4"/>
    <n v="3466"/>
    <x v="545"/>
    <s v="Annual"/>
    <n v="1"/>
    <n v="1"/>
    <n v="130668"/>
    <n v="130668"/>
  </r>
  <r>
    <x v="1"/>
    <n v="41"/>
    <x v="15"/>
    <x v="25"/>
    <x v="25"/>
    <n v="1005"/>
    <x v="16"/>
    <x v="65"/>
    <x v="104"/>
    <n v="3731"/>
    <x v="346"/>
    <n v="0"/>
    <x v="0"/>
    <s v="B 14"/>
    <n v="4"/>
    <n v="3466"/>
    <x v="545"/>
    <s v="Annual"/>
    <n v="2"/>
    <n v="1"/>
    <n v="93504"/>
    <n v="187008"/>
  </r>
  <r>
    <x v="1"/>
    <n v="41"/>
    <x v="15"/>
    <x v="25"/>
    <x v="25"/>
    <n v="1005"/>
    <x v="16"/>
    <x v="65"/>
    <x v="104"/>
    <n v="3731"/>
    <x v="346"/>
    <n v="0"/>
    <x v="0"/>
    <s v="BX 16"/>
    <n v="10"/>
    <n v="3464"/>
    <x v="1214"/>
    <s v="Annual"/>
    <n v="1"/>
    <n v="1"/>
    <n v="89112"/>
    <n v="89112"/>
  </r>
  <r>
    <x v="1"/>
    <n v="41"/>
    <x v="15"/>
    <x v="25"/>
    <x v="25"/>
    <n v="1005"/>
    <x v="16"/>
    <x v="65"/>
    <x v="104"/>
    <n v="3731"/>
    <x v="346"/>
    <n v="0"/>
    <x v="0"/>
    <s v="X 33"/>
    <n v="20"/>
    <n v="3057"/>
    <x v="541"/>
    <s v="Annual"/>
    <n v="1"/>
    <n v="1"/>
    <n v="146808"/>
    <n v="146808"/>
  </r>
  <r>
    <x v="1"/>
    <n v="41"/>
    <x v="15"/>
    <x v="25"/>
    <x v="25"/>
    <n v="1005"/>
    <x v="16"/>
    <x v="65"/>
    <x v="104"/>
    <n v="3731"/>
    <x v="346"/>
    <n v="0"/>
    <x v="0"/>
    <s v="B 15"/>
    <n v="1"/>
    <n v="729"/>
    <x v="32"/>
    <s v="Annual"/>
    <n v="1"/>
    <n v="1"/>
    <n v="97956"/>
    <n v="97956"/>
  </r>
  <r>
    <x v="1"/>
    <n v="41"/>
    <x v="15"/>
    <x v="25"/>
    <x v="25"/>
    <n v="1005"/>
    <x v="16"/>
    <x v="65"/>
    <x v="104"/>
    <n v="3731"/>
    <x v="346"/>
    <n v="0"/>
    <x v="0"/>
    <s v="BX 17"/>
    <n v="20"/>
    <n v="381"/>
    <x v="296"/>
    <s v="Annual"/>
    <n v="1"/>
    <n v="1"/>
    <n v="93384"/>
    <n v="93384"/>
  </r>
  <r>
    <x v="1"/>
    <n v="41"/>
    <x v="15"/>
    <x v="25"/>
    <x v="25"/>
    <n v="1005"/>
    <x v="16"/>
    <x v="65"/>
    <x v="104"/>
    <n v="3731"/>
    <x v="346"/>
    <n v="0"/>
    <x v="0"/>
    <s v="B 14"/>
    <n v="1"/>
    <n v="380"/>
    <x v="914"/>
    <s v="Annual"/>
    <n v="1"/>
    <n v="1"/>
    <n v="85200"/>
    <n v="85200"/>
  </r>
  <r>
    <x v="1"/>
    <n v="41"/>
    <x v="15"/>
    <x v="25"/>
    <x v="25"/>
    <n v="1005"/>
    <x v="16"/>
    <x v="65"/>
    <x v="104"/>
    <n v="3731"/>
    <x v="346"/>
    <n v="0"/>
    <x v="0"/>
    <s v="BX 18"/>
    <n v="10"/>
    <n v="311"/>
    <x v="253"/>
    <s v="Annual"/>
    <n v="1"/>
    <n v="1"/>
    <n v="102444"/>
    <n v="102444"/>
  </r>
  <r>
    <x v="1"/>
    <n v="41"/>
    <x v="15"/>
    <x v="25"/>
    <x v="25"/>
    <n v="1005"/>
    <x v="16"/>
    <x v="65"/>
    <x v="104"/>
    <n v="3731"/>
    <x v="346"/>
    <n v="0"/>
    <x v="0"/>
    <s v="B 13"/>
    <n v="1"/>
    <n v="308"/>
    <x v="90"/>
    <s v="Annual"/>
    <n v="2"/>
    <n v="1"/>
    <n v="119100"/>
    <n v="238200"/>
  </r>
  <r>
    <x v="1"/>
    <n v="41"/>
    <x v="15"/>
    <x v="25"/>
    <x v="25"/>
    <n v="1005"/>
    <x v="16"/>
    <x v="65"/>
    <x v="104"/>
    <n v="3731"/>
    <x v="346"/>
    <n v="0"/>
    <x v="0"/>
    <s v="B 13"/>
    <n v="1"/>
    <n v="308"/>
    <x v="90"/>
    <s v="Annual"/>
    <n v="1"/>
    <n v="1"/>
    <n v="70752"/>
    <n v="70752"/>
  </r>
  <r>
    <x v="1"/>
    <n v="41"/>
    <x v="15"/>
    <x v="25"/>
    <x v="25"/>
    <n v="1005"/>
    <x v="16"/>
    <x v="65"/>
    <x v="104"/>
    <n v="3731"/>
    <x v="346"/>
    <n v="0"/>
    <x v="0"/>
    <s v="1 00"/>
    <n v="0"/>
    <n v="44"/>
    <x v="1206"/>
    <s v="Annual"/>
    <n v="0"/>
    <n v="0"/>
    <n v="943971"/>
    <n v="943971"/>
  </r>
  <r>
    <x v="1"/>
    <n v="41"/>
    <x v="15"/>
    <x v="25"/>
    <x v="25"/>
    <n v="1005"/>
    <x v="16"/>
    <x v="65"/>
    <x v="104"/>
    <n v="3731"/>
    <x v="346"/>
    <n v="0"/>
    <x v="0"/>
    <s v="1 00"/>
    <n v="0"/>
    <n v="15"/>
    <x v="37"/>
    <s v="Annual"/>
    <n v="0"/>
    <n v="0"/>
    <n v="13858"/>
    <n v="13858"/>
  </r>
  <r>
    <x v="1"/>
    <n v="41"/>
    <x v="15"/>
    <x v="25"/>
    <x v="25"/>
    <n v="1005"/>
    <x v="16"/>
    <x v="66"/>
    <x v="105"/>
    <n v="3910"/>
    <x v="347"/>
    <n v="0"/>
    <x v="0"/>
    <s v="X 33"/>
    <n v="20"/>
    <n v="3437"/>
    <x v="1228"/>
    <s v="Annual"/>
    <n v="1"/>
    <n v="1"/>
    <n v="137532"/>
    <n v="137532"/>
  </r>
  <r>
    <x v="1"/>
    <n v="41"/>
    <x v="15"/>
    <x v="25"/>
    <x v="25"/>
    <n v="1005"/>
    <x v="16"/>
    <x v="66"/>
    <x v="105"/>
    <n v="3910"/>
    <x v="347"/>
    <n v="0"/>
    <x v="0"/>
    <s v="G 04"/>
    <n v="3"/>
    <n v="3422"/>
    <x v="1229"/>
    <s v="Annual"/>
    <n v="1"/>
    <n v="1"/>
    <n v="98460"/>
    <n v="98460"/>
  </r>
  <r>
    <x v="1"/>
    <n v="41"/>
    <x v="15"/>
    <x v="25"/>
    <x v="25"/>
    <n v="1005"/>
    <x v="16"/>
    <x v="66"/>
    <x v="105"/>
    <n v="3910"/>
    <x v="347"/>
    <n v="0"/>
    <x v="0"/>
    <s v="G 04"/>
    <n v="3"/>
    <n v="3422"/>
    <x v="1229"/>
    <s v="Annual"/>
    <n v="2"/>
    <n v="1"/>
    <n v="72684"/>
    <n v="145368"/>
  </r>
  <r>
    <x v="1"/>
    <n v="41"/>
    <x v="15"/>
    <x v="25"/>
    <x v="25"/>
    <n v="1005"/>
    <x v="16"/>
    <x v="66"/>
    <x v="105"/>
    <n v="3910"/>
    <x v="347"/>
    <n v="0"/>
    <x v="0"/>
    <s v="G 04"/>
    <n v="3"/>
    <n v="3422"/>
    <x v="1229"/>
    <s v="Annual"/>
    <n v="11"/>
    <n v="1"/>
    <n v="67284"/>
    <n v="740124"/>
  </r>
  <r>
    <x v="1"/>
    <n v="41"/>
    <x v="15"/>
    <x v="25"/>
    <x v="25"/>
    <n v="1005"/>
    <x v="16"/>
    <x v="66"/>
    <x v="105"/>
    <n v="3910"/>
    <x v="347"/>
    <n v="0"/>
    <x v="0"/>
    <s v="G 05"/>
    <n v="3"/>
    <n v="3418"/>
    <x v="1230"/>
    <s v="Annual"/>
    <n v="1"/>
    <n v="1"/>
    <n v="80196"/>
    <n v="80196"/>
  </r>
  <r>
    <x v="1"/>
    <n v="41"/>
    <x v="15"/>
    <x v="25"/>
    <x v="25"/>
    <n v="1005"/>
    <x v="16"/>
    <x v="66"/>
    <x v="105"/>
    <n v="3910"/>
    <x v="347"/>
    <n v="0"/>
    <x v="0"/>
    <s v="G 05"/>
    <n v="3"/>
    <n v="3418"/>
    <x v="1230"/>
    <s v="Annual"/>
    <n v="1"/>
    <n v="1"/>
    <n v="76464"/>
    <n v="76464"/>
  </r>
  <r>
    <x v="1"/>
    <n v="41"/>
    <x v="15"/>
    <x v="25"/>
    <x v="25"/>
    <n v="1005"/>
    <x v="16"/>
    <x v="66"/>
    <x v="105"/>
    <n v="3910"/>
    <x v="347"/>
    <n v="0"/>
    <x v="0"/>
    <s v="G 05"/>
    <n v="3"/>
    <n v="3418"/>
    <x v="1230"/>
    <s v="Annual"/>
    <n v="5"/>
    <n v="1"/>
    <n v="74160"/>
    <n v="370800"/>
  </r>
  <r>
    <x v="1"/>
    <n v="41"/>
    <x v="15"/>
    <x v="25"/>
    <x v="25"/>
    <n v="1005"/>
    <x v="16"/>
    <x v="66"/>
    <x v="105"/>
    <n v="3910"/>
    <x v="347"/>
    <n v="0"/>
    <x v="0"/>
    <s v="G 07"/>
    <n v="1"/>
    <n v="3413"/>
    <x v="1231"/>
    <s v="Annual"/>
    <n v="1"/>
    <n v="1"/>
    <n v="102516"/>
    <n v="102516"/>
  </r>
  <r>
    <x v="1"/>
    <n v="41"/>
    <x v="15"/>
    <x v="25"/>
    <x v="25"/>
    <n v="1005"/>
    <x v="16"/>
    <x v="66"/>
    <x v="105"/>
    <n v="3910"/>
    <x v="347"/>
    <n v="0"/>
    <x v="0"/>
    <s v="G 07"/>
    <n v="1"/>
    <n v="3413"/>
    <x v="1231"/>
    <s v="Annual"/>
    <n v="1"/>
    <n v="1"/>
    <n v="97488"/>
    <n v="97488"/>
  </r>
  <r>
    <x v="1"/>
    <n v="41"/>
    <x v="15"/>
    <x v="25"/>
    <x v="25"/>
    <n v="1005"/>
    <x v="16"/>
    <x v="66"/>
    <x v="105"/>
    <n v="3910"/>
    <x v="347"/>
    <n v="0"/>
    <x v="0"/>
    <s v="B 09"/>
    <n v="1"/>
    <n v="460"/>
    <x v="344"/>
    <s v="Annual"/>
    <n v="2"/>
    <n v="1"/>
    <n v="78432"/>
    <n v="156864"/>
  </r>
  <r>
    <x v="1"/>
    <n v="41"/>
    <x v="15"/>
    <x v="25"/>
    <x v="25"/>
    <n v="1005"/>
    <x v="16"/>
    <x v="66"/>
    <x v="105"/>
    <n v="3910"/>
    <x v="347"/>
    <n v="0"/>
    <x v="0"/>
    <s v="B 09"/>
    <n v="1"/>
    <n v="460"/>
    <x v="344"/>
    <s v="Annual"/>
    <n v="4"/>
    <n v="1"/>
    <n v="48864"/>
    <n v="195456"/>
  </r>
  <r>
    <x v="1"/>
    <n v="41"/>
    <x v="15"/>
    <x v="25"/>
    <x v="25"/>
    <n v="1005"/>
    <x v="16"/>
    <x v="66"/>
    <x v="105"/>
    <n v="3910"/>
    <x v="347"/>
    <n v="0"/>
    <x v="0"/>
    <s v="B 09"/>
    <n v="1"/>
    <n v="460"/>
    <x v="344"/>
    <s v="Annual"/>
    <n v="2"/>
    <n v="1"/>
    <n v="47364"/>
    <n v="94728"/>
  </r>
  <r>
    <x v="1"/>
    <n v="41"/>
    <x v="15"/>
    <x v="25"/>
    <x v="25"/>
    <n v="1005"/>
    <x v="16"/>
    <x v="66"/>
    <x v="105"/>
    <n v="3910"/>
    <x v="347"/>
    <n v="0"/>
    <x v="0"/>
    <s v="1 00"/>
    <n v="0"/>
    <n v="44"/>
    <x v="1206"/>
    <s v="Annual"/>
    <n v="0"/>
    <n v="0"/>
    <n v="1284839"/>
    <n v="1284839"/>
  </r>
  <r>
    <x v="1"/>
    <n v="41"/>
    <x v="15"/>
    <x v="25"/>
    <x v="25"/>
    <n v="1005"/>
    <x v="16"/>
    <x v="66"/>
    <x v="105"/>
    <n v="3910"/>
    <x v="347"/>
    <n v="0"/>
    <x v="0"/>
    <s v="1 00"/>
    <n v="0"/>
    <n v="15"/>
    <x v="37"/>
    <s v="Annual"/>
    <n v="0"/>
    <n v="0"/>
    <n v="15086"/>
    <n v="15086"/>
  </r>
  <r>
    <x v="1"/>
    <n v="41"/>
    <x v="15"/>
    <x v="25"/>
    <x v="25"/>
    <n v="1005"/>
    <x v="16"/>
    <x v="67"/>
    <x v="106"/>
    <s v="380L"/>
    <x v="348"/>
    <n v="0"/>
    <x v="0"/>
    <s v="B 14"/>
    <n v="4"/>
    <n v="3466"/>
    <x v="545"/>
    <s v="Annual"/>
    <n v="1"/>
    <n v="1"/>
    <n v="119100"/>
    <n v="119100"/>
  </r>
  <r>
    <x v="1"/>
    <n v="41"/>
    <x v="15"/>
    <x v="25"/>
    <x v="25"/>
    <n v="1005"/>
    <x v="16"/>
    <x v="67"/>
    <x v="106"/>
    <s v="380L"/>
    <x v="348"/>
    <n v="0"/>
    <x v="0"/>
    <s v="1 00"/>
    <n v="0"/>
    <n v="44"/>
    <x v="1206"/>
    <s v="Annual"/>
    <n v="0"/>
    <n v="0"/>
    <n v="66648"/>
    <n v="66648"/>
  </r>
  <r>
    <x v="1"/>
    <n v="41"/>
    <x v="15"/>
    <x v="25"/>
    <x v="25"/>
    <n v="1005"/>
    <x v="16"/>
    <x v="67"/>
    <x v="106"/>
    <s v="380L"/>
    <x v="348"/>
    <n v="0"/>
    <x v="0"/>
    <s v="1 00"/>
    <n v="0"/>
    <n v="15"/>
    <x v="37"/>
    <s v="Annual"/>
    <n v="0"/>
    <n v="0"/>
    <n v="1860"/>
    <n v="1860"/>
  </r>
  <r>
    <x v="1"/>
    <n v="41"/>
    <x v="15"/>
    <x v="25"/>
    <x v="25"/>
    <n v="1005"/>
    <x v="16"/>
    <x v="68"/>
    <x v="107"/>
    <s v="380Y"/>
    <x v="349"/>
    <n v="0"/>
    <x v="0"/>
    <s v="S 05"/>
    <n v="37"/>
    <n v="3752"/>
    <x v="543"/>
    <s v="Annual"/>
    <n v="2"/>
    <n v="1"/>
    <n v="137376"/>
    <n v="274752"/>
  </r>
  <r>
    <x v="1"/>
    <n v="41"/>
    <x v="15"/>
    <x v="25"/>
    <x v="25"/>
    <n v="1005"/>
    <x v="16"/>
    <x v="68"/>
    <x v="107"/>
    <s v="380Y"/>
    <x v="349"/>
    <n v="0"/>
    <x v="0"/>
    <s v="SZ 07"/>
    <n v="56"/>
    <n v="3701"/>
    <x v="560"/>
    <s v="Annual"/>
    <n v="1"/>
    <n v="1"/>
    <n v="147672"/>
    <n v="147672"/>
  </r>
  <r>
    <x v="1"/>
    <n v="41"/>
    <x v="15"/>
    <x v="25"/>
    <x v="25"/>
    <n v="1005"/>
    <x v="16"/>
    <x v="68"/>
    <x v="107"/>
    <s v="380Y"/>
    <x v="349"/>
    <n v="0"/>
    <x v="0"/>
    <s v="B 16"/>
    <n v="4"/>
    <n v="3467"/>
    <x v="537"/>
    <s v="Annual"/>
    <n v="1"/>
    <n v="1"/>
    <n v="143400"/>
    <n v="143400"/>
  </r>
  <r>
    <x v="1"/>
    <n v="41"/>
    <x v="15"/>
    <x v="25"/>
    <x v="25"/>
    <n v="1005"/>
    <x v="16"/>
    <x v="68"/>
    <x v="107"/>
    <s v="380Y"/>
    <x v="349"/>
    <n v="0"/>
    <x v="0"/>
    <s v="B 16"/>
    <n v="4"/>
    <n v="3467"/>
    <x v="537"/>
    <s v="Annual"/>
    <n v="1"/>
    <n v="1"/>
    <n v="136908"/>
    <n v="136908"/>
  </r>
  <r>
    <x v="1"/>
    <n v="41"/>
    <x v="15"/>
    <x v="25"/>
    <x v="25"/>
    <n v="1005"/>
    <x v="16"/>
    <x v="68"/>
    <x v="107"/>
    <s v="380Y"/>
    <x v="349"/>
    <n v="0"/>
    <x v="0"/>
    <s v="B 14"/>
    <n v="4"/>
    <n v="3466"/>
    <x v="545"/>
    <s v="Annual"/>
    <n v="1"/>
    <n v="1"/>
    <n v="130668"/>
    <n v="130668"/>
  </r>
  <r>
    <x v="1"/>
    <n v="41"/>
    <x v="15"/>
    <x v="25"/>
    <x v="25"/>
    <n v="1005"/>
    <x v="16"/>
    <x v="68"/>
    <x v="107"/>
    <s v="380Y"/>
    <x v="349"/>
    <n v="0"/>
    <x v="0"/>
    <s v="B 14"/>
    <n v="4"/>
    <n v="3466"/>
    <x v="545"/>
    <s v="Annual"/>
    <n v="1"/>
    <n v="1"/>
    <n v="108576"/>
    <n v="108576"/>
  </r>
  <r>
    <x v="1"/>
    <n v="41"/>
    <x v="15"/>
    <x v="25"/>
    <x v="25"/>
    <n v="1005"/>
    <x v="16"/>
    <x v="68"/>
    <x v="107"/>
    <s v="380Y"/>
    <x v="349"/>
    <n v="0"/>
    <x v="0"/>
    <s v="B 14"/>
    <n v="4"/>
    <n v="3466"/>
    <x v="545"/>
    <s v="Annual"/>
    <n v="1"/>
    <n v="1"/>
    <n v="85200"/>
    <n v="85200"/>
  </r>
  <r>
    <x v="1"/>
    <n v="41"/>
    <x v="15"/>
    <x v="25"/>
    <x v="25"/>
    <n v="1005"/>
    <x v="16"/>
    <x v="68"/>
    <x v="107"/>
    <s v="380Y"/>
    <x v="349"/>
    <n v="0"/>
    <x v="0"/>
    <s v="B 14"/>
    <n v="4"/>
    <n v="3466"/>
    <x v="545"/>
    <s v="Annual"/>
    <n v="1"/>
    <n v="1"/>
    <n v="81324"/>
    <n v="81324"/>
  </r>
  <r>
    <x v="1"/>
    <n v="41"/>
    <x v="15"/>
    <x v="25"/>
    <x v="25"/>
    <n v="1005"/>
    <x v="16"/>
    <x v="68"/>
    <x v="107"/>
    <s v="380Y"/>
    <x v="349"/>
    <n v="0"/>
    <x v="0"/>
    <s v="B 14"/>
    <n v="4"/>
    <n v="3466"/>
    <x v="545"/>
    <s v="Annual"/>
    <n v="1"/>
    <n v="1"/>
    <n v="75336"/>
    <n v="75336"/>
  </r>
  <r>
    <x v="1"/>
    <n v="41"/>
    <x v="15"/>
    <x v="25"/>
    <x v="25"/>
    <n v="1005"/>
    <x v="16"/>
    <x v="68"/>
    <x v="107"/>
    <s v="380Y"/>
    <x v="349"/>
    <n v="0"/>
    <x v="0"/>
    <s v="BX 16"/>
    <n v="10"/>
    <n v="3464"/>
    <x v="1214"/>
    <s v="Annual"/>
    <n v="3"/>
    <n v="1"/>
    <n v="85128"/>
    <n v="255384"/>
  </r>
  <r>
    <x v="1"/>
    <n v="41"/>
    <x v="15"/>
    <x v="25"/>
    <x v="25"/>
    <n v="1005"/>
    <x v="16"/>
    <x v="68"/>
    <x v="107"/>
    <s v="380Y"/>
    <x v="349"/>
    <n v="0"/>
    <x v="0"/>
    <s v="BX 18"/>
    <n v="10"/>
    <n v="3443"/>
    <x v="1232"/>
    <s v="Annual"/>
    <n v="1"/>
    <n v="1"/>
    <n v="150072"/>
    <n v="150072"/>
  </r>
  <r>
    <x v="1"/>
    <n v="41"/>
    <x v="15"/>
    <x v="25"/>
    <x v="25"/>
    <n v="1005"/>
    <x v="16"/>
    <x v="68"/>
    <x v="107"/>
    <s v="380Y"/>
    <x v="349"/>
    <n v="0"/>
    <x v="0"/>
    <s v="BX 18"/>
    <n v="10"/>
    <n v="3443"/>
    <x v="1232"/>
    <s v="Annual"/>
    <n v="1"/>
    <n v="1"/>
    <n v="97836"/>
    <n v="97836"/>
  </r>
  <r>
    <x v="1"/>
    <n v="41"/>
    <x v="15"/>
    <x v="25"/>
    <x v="25"/>
    <n v="1005"/>
    <x v="16"/>
    <x v="68"/>
    <x v="107"/>
    <s v="380Y"/>
    <x v="349"/>
    <n v="0"/>
    <x v="0"/>
    <s v="B 13"/>
    <n v="3"/>
    <n v="3434"/>
    <x v="551"/>
    <s v="Annual"/>
    <n v="1"/>
    <n v="1"/>
    <n v="103608"/>
    <n v="103608"/>
  </r>
  <r>
    <x v="1"/>
    <n v="41"/>
    <x v="15"/>
    <x v="25"/>
    <x v="25"/>
    <n v="1005"/>
    <x v="16"/>
    <x v="68"/>
    <x v="107"/>
    <s v="380Y"/>
    <x v="349"/>
    <n v="0"/>
    <x v="0"/>
    <s v="B 13"/>
    <n v="3"/>
    <n v="3434"/>
    <x v="551"/>
    <s v="Annual"/>
    <n v="1"/>
    <n v="1"/>
    <n v="94452"/>
    <n v="94452"/>
  </r>
  <r>
    <x v="1"/>
    <n v="41"/>
    <x v="15"/>
    <x v="25"/>
    <x v="25"/>
    <n v="1005"/>
    <x v="16"/>
    <x v="68"/>
    <x v="107"/>
    <s v="380Y"/>
    <x v="349"/>
    <n v="0"/>
    <x v="0"/>
    <s v="B 13"/>
    <n v="3"/>
    <n v="3434"/>
    <x v="551"/>
    <s v="Annual"/>
    <n v="2"/>
    <n v="1"/>
    <n v="74172"/>
    <n v="148344"/>
  </r>
  <r>
    <x v="1"/>
    <n v="41"/>
    <x v="15"/>
    <x v="25"/>
    <x v="25"/>
    <n v="1005"/>
    <x v="16"/>
    <x v="68"/>
    <x v="107"/>
    <s v="380Y"/>
    <x v="349"/>
    <n v="0"/>
    <x v="0"/>
    <s v="B 13"/>
    <n v="3"/>
    <n v="3434"/>
    <x v="551"/>
    <s v="Annual"/>
    <n v="2"/>
    <n v="1"/>
    <n v="70752"/>
    <n v="141504"/>
  </r>
  <r>
    <x v="1"/>
    <n v="41"/>
    <x v="15"/>
    <x v="25"/>
    <x v="25"/>
    <n v="1005"/>
    <x v="16"/>
    <x v="68"/>
    <x v="107"/>
    <s v="380Y"/>
    <x v="349"/>
    <n v="0"/>
    <x v="0"/>
    <s v="B 13"/>
    <n v="3"/>
    <n v="3434"/>
    <x v="551"/>
    <s v="Annual"/>
    <n v="3"/>
    <n v="1"/>
    <n v="68616"/>
    <n v="205848"/>
  </r>
  <r>
    <x v="1"/>
    <n v="41"/>
    <x v="15"/>
    <x v="25"/>
    <x v="25"/>
    <n v="1005"/>
    <x v="16"/>
    <x v="68"/>
    <x v="107"/>
    <s v="380Y"/>
    <x v="349"/>
    <n v="0"/>
    <x v="0"/>
    <s v="G 07"/>
    <n v="4"/>
    <n v="3414"/>
    <x v="532"/>
    <s v="Annual"/>
    <n v="1"/>
    <n v="1"/>
    <n v="129636"/>
    <n v="129636"/>
  </r>
  <r>
    <x v="1"/>
    <n v="41"/>
    <x v="15"/>
    <x v="25"/>
    <x v="25"/>
    <n v="1005"/>
    <x v="16"/>
    <x v="68"/>
    <x v="107"/>
    <s v="380Y"/>
    <x v="349"/>
    <n v="0"/>
    <x v="0"/>
    <s v="GY 11"/>
    <n v="20"/>
    <n v="3408"/>
    <x v="533"/>
    <s v="Annual"/>
    <n v="1"/>
    <n v="1"/>
    <n v="111000"/>
    <n v="111000"/>
  </r>
  <r>
    <x v="1"/>
    <n v="41"/>
    <x v="15"/>
    <x v="25"/>
    <x v="25"/>
    <n v="1005"/>
    <x v="16"/>
    <x v="68"/>
    <x v="107"/>
    <s v="380Y"/>
    <x v="349"/>
    <n v="0"/>
    <x v="0"/>
    <s v="G 09"/>
    <n v="4"/>
    <n v="3407"/>
    <x v="534"/>
    <s v="Annual"/>
    <n v="1"/>
    <n v="1"/>
    <n v="134184"/>
    <n v="134184"/>
  </r>
  <r>
    <x v="1"/>
    <n v="41"/>
    <x v="15"/>
    <x v="25"/>
    <x v="25"/>
    <n v="1005"/>
    <x v="16"/>
    <x v="68"/>
    <x v="107"/>
    <s v="380Y"/>
    <x v="349"/>
    <n v="0"/>
    <x v="0"/>
    <s v="G 09"/>
    <n v="4"/>
    <n v="3407"/>
    <x v="534"/>
    <s v="Annual"/>
    <n v="1"/>
    <n v="1"/>
    <n v="117636"/>
    <n v="117636"/>
  </r>
  <r>
    <x v="1"/>
    <n v="41"/>
    <x v="15"/>
    <x v="25"/>
    <x v="25"/>
    <n v="1005"/>
    <x v="16"/>
    <x v="68"/>
    <x v="107"/>
    <s v="380Y"/>
    <x v="349"/>
    <n v="0"/>
    <x v="0"/>
    <s v="X 31"/>
    <n v="9"/>
    <n v="3348"/>
    <x v="539"/>
    <s v="Annual"/>
    <n v="1"/>
    <n v="1"/>
    <n v="199800"/>
    <n v="199800"/>
  </r>
  <r>
    <x v="1"/>
    <n v="41"/>
    <x v="15"/>
    <x v="25"/>
    <x v="25"/>
    <n v="1005"/>
    <x v="16"/>
    <x v="68"/>
    <x v="107"/>
    <s v="380Y"/>
    <x v="349"/>
    <n v="0"/>
    <x v="0"/>
    <s v="B 09"/>
    <n v="1"/>
    <n v="3139"/>
    <x v="580"/>
    <s v="Annual"/>
    <n v="2"/>
    <n v="1"/>
    <n v="82140"/>
    <n v="164280"/>
  </r>
  <r>
    <x v="1"/>
    <n v="41"/>
    <x v="15"/>
    <x v="25"/>
    <x v="25"/>
    <n v="1005"/>
    <x v="16"/>
    <x v="68"/>
    <x v="107"/>
    <s v="380Y"/>
    <x v="349"/>
    <n v="0"/>
    <x v="0"/>
    <s v="B 09"/>
    <n v="1"/>
    <n v="3139"/>
    <x v="580"/>
    <s v="Annual"/>
    <n v="1"/>
    <n v="1"/>
    <n v="47364"/>
    <n v="47364"/>
  </r>
  <r>
    <x v="1"/>
    <n v="41"/>
    <x v="15"/>
    <x v="25"/>
    <x v="25"/>
    <n v="1005"/>
    <x v="16"/>
    <x v="68"/>
    <x v="107"/>
    <s v="380Y"/>
    <x v="349"/>
    <n v="0"/>
    <x v="0"/>
    <s v="B 11"/>
    <n v="1"/>
    <n v="3130"/>
    <x v="581"/>
    <s v="Annual"/>
    <n v="1"/>
    <n v="1"/>
    <n v="98928"/>
    <n v="98928"/>
  </r>
  <r>
    <x v="1"/>
    <n v="41"/>
    <x v="15"/>
    <x v="25"/>
    <x v="25"/>
    <n v="1005"/>
    <x v="16"/>
    <x v="68"/>
    <x v="107"/>
    <s v="380Y"/>
    <x v="349"/>
    <n v="0"/>
    <x v="0"/>
    <s v="X 33"/>
    <n v="20"/>
    <n v="3057"/>
    <x v="541"/>
    <s v="Annual"/>
    <n v="1"/>
    <n v="1"/>
    <n v="153384"/>
    <n v="153384"/>
  </r>
  <r>
    <x v="1"/>
    <n v="41"/>
    <x v="15"/>
    <x v="25"/>
    <x v="25"/>
    <n v="1005"/>
    <x v="16"/>
    <x v="68"/>
    <x v="107"/>
    <s v="380Y"/>
    <x v="349"/>
    <n v="0"/>
    <x v="0"/>
    <s v="B 14"/>
    <n v="1"/>
    <n v="1576"/>
    <x v="246"/>
    <s v="Annual"/>
    <n v="2"/>
    <n v="1"/>
    <n v="81324"/>
    <n v="162648"/>
  </r>
  <r>
    <x v="1"/>
    <n v="41"/>
    <x v="15"/>
    <x v="25"/>
    <x v="25"/>
    <n v="1005"/>
    <x v="16"/>
    <x v="68"/>
    <x v="107"/>
    <s v="380Y"/>
    <x v="349"/>
    <n v="0"/>
    <x v="0"/>
    <s v="B 09"/>
    <n v="1"/>
    <n v="460"/>
    <x v="344"/>
    <s v="Annual"/>
    <n v="2"/>
    <n v="1"/>
    <n v="51108"/>
    <n v="102216"/>
  </r>
  <r>
    <x v="1"/>
    <n v="41"/>
    <x v="15"/>
    <x v="25"/>
    <x v="25"/>
    <n v="1005"/>
    <x v="16"/>
    <x v="68"/>
    <x v="107"/>
    <s v="380Y"/>
    <x v="349"/>
    <n v="0"/>
    <x v="0"/>
    <s v="B 09"/>
    <n v="1"/>
    <n v="460"/>
    <x v="344"/>
    <s v="Annual"/>
    <n v="1"/>
    <n v="1"/>
    <n v="48864"/>
    <n v="48864"/>
  </r>
  <r>
    <x v="1"/>
    <n v="41"/>
    <x v="15"/>
    <x v="25"/>
    <x v="25"/>
    <n v="1005"/>
    <x v="16"/>
    <x v="68"/>
    <x v="107"/>
    <s v="380Y"/>
    <x v="349"/>
    <n v="0"/>
    <x v="0"/>
    <s v="B 12"/>
    <n v="1"/>
    <s v="03A8"/>
    <x v="88"/>
    <s v="Annual"/>
    <n v="1"/>
    <n v="1"/>
    <n v="67608"/>
    <n v="67608"/>
  </r>
  <r>
    <x v="1"/>
    <n v="41"/>
    <x v="15"/>
    <x v="25"/>
    <x v="25"/>
    <n v="1005"/>
    <x v="16"/>
    <x v="68"/>
    <x v="107"/>
    <s v="380Y"/>
    <x v="349"/>
    <n v="0"/>
    <x v="0"/>
    <s v="BX 18"/>
    <n v="10"/>
    <n v="310"/>
    <x v="135"/>
    <s v="Annual"/>
    <n v="1"/>
    <n v="1"/>
    <n v="107340"/>
    <n v="107340"/>
  </r>
  <r>
    <x v="1"/>
    <n v="41"/>
    <x v="15"/>
    <x v="25"/>
    <x v="25"/>
    <n v="1005"/>
    <x v="16"/>
    <x v="68"/>
    <x v="107"/>
    <s v="380Y"/>
    <x v="349"/>
    <n v="0"/>
    <x v="0"/>
    <s v="1 00"/>
    <n v="0"/>
    <n v="44"/>
    <x v="1206"/>
    <s v="Annual"/>
    <n v="0"/>
    <n v="0"/>
    <n v="2252821"/>
    <n v="2252821"/>
  </r>
  <r>
    <x v="1"/>
    <n v="41"/>
    <x v="15"/>
    <x v="25"/>
    <x v="25"/>
    <n v="1005"/>
    <x v="16"/>
    <x v="68"/>
    <x v="107"/>
    <s v="380Y"/>
    <x v="349"/>
    <n v="0"/>
    <x v="0"/>
    <s v="1 00"/>
    <n v="0"/>
    <n v="15"/>
    <x v="37"/>
    <s v="Annual"/>
    <n v="0"/>
    <n v="0"/>
    <n v="35848"/>
    <n v="35848"/>
  </r>
  <r>
    <x v="1"/>
    <n v="41"/>
    <x v="15"/>
    <x v="25"/>
    <x v="25"/>
    <n v="1005"/>
    <x v="16"/>
    <x v="69"/>
    <x v="108"/>
    <n v="3924"/>
    <x v="350"/>
    <n v="0"/>
    <x v="0"/>
    <s v="BX 19"/>
    <n v="10"/>
    <n v="3469"/>
    <x v="565"/>
    <s v="Annual"/>
    <n v="1"/>
    <n v="1"/>
    <n v="107340"/>
    <n v="107340"/>
  </r>
  <r>
    <x v="1"/>
    <n v="41"/>
    <x v="15"/>
    <x v="25"/>
    <x v="25"/>
    <n v="1005"/>
    <x v="16"/>
    <x v="69"/>
    <x v="108"/>
    <n v="3924"/>
    <x v="350"/>
    <n v="0"/>
    <x v="0"/>
    <s v="B 14"/>
    <n v="4"/>
    <n v="3466"/>
    <x v="545"/>
    <s v="Annual"/>
    <n v="2"/>
    <n v="1"/>
    <n v="85200"/>
    <n v="170400"/>
  </r>
  <r>
    <x v="1"/>
    <n v="41"/>
    <x v="15"/>
    <x v="25"/>
    <x v="25"/>
    <n v="1005"/>
    <x v="16"/>
    <x v="69"/>
    <x v="108"/>
    <n v="3924"/>
    <x v="350"/>
    <n v="0"/>
    <x v="0"/>
    <s v="BX 14"/>
    <n v="10"/>
    <n v="3438"/>
    <x v="1233"/>
    <s v="Annual"/>
    <n v="1"/>
    <n v="1"/>
    <n v="103488"/>
    <n v="103488"/>
  </r>
  <r>
    <x v="1"/>
    <n v="41"/>
    <x v="15"/>
    <x v="25"/>
    <x v="25"/>
    <n v="1005"/>
    <x v="16"/>
    <x v="69"/>
    <x v="108"/>
    <n v="3924"/>
    <x v="350"/>
    <n v="0"/>
    <x v="0"/>
    <s v="B 13"/>
    <n v="3"/>
    <n v="3434"/>
    <x v="551"/>
    <s v="Annual"/>
    <n v="3"/>
    <n v="1"/>
    <n v="119100"/>
    <n v="357300"/>
  </r>
  <r>
    <x v="1"/>
    <n v="41"/>
    <x v="15"/>
    <x v="25"/>
    <x v="25"/>
    <n v="1005"/>
    <x v="16"/>
    <x v="69"/>
    <x v="108"/>
    <n v="3924"/>
    <x v="350"/>
    <n v="0"/>
    <x v="0"/>
    <s v="B 13"/>
    <n v="3"/>
    <n v="3434"/>
    <x v="551"/>
    <s v="Annual"/>
    <n v="1"/>
    <n v="1"/>
    <n v="68616"/>
    <n v="68616"/>
  </r>
  <r>
    <x v="1"/>
    <n v="41"/>
    <x v="15"/>
    <x v="25"/>
    <x v="25"/>
    <n v="1005"/>
    <x v="16"/>
    <x v="69"/>
    <x v="108"/>
    <n v="3924"/>
    <x v="350"/>
    <n v="0"/>
    <x v="0"/>
    <s v="G 07"/>
    <n v="4"/>
    <n v="3414"/>
    <x v="532"/>
    <s v="Annual"/>
    <n v="1"/>
    <n v="1"/>
    <n v="92940"/>
    <n v="92940"/>
  </r>
  <r>
    <x v="1"/>
    <n v="41"/>
    <x v="15"/>
    <x v="25"/>
    <x v="25"/>
    <n v="1005"/>
    <x v="16"/>
    <x v="69"/>
    <x v="108"/>
    <n v="3924"/>
    <x v="350"/>
    <n v="0"/>
    <x v="0"/>
    <s v="X 33"/>
    <n v="20"/>
    <n v="3057"/>
    <x v="541"/>
    <s v="Annual"/>
    <n v="1"/>
    <n v="1"/>
    <n v="153384"/>
    <n v="153384"/>
  </r>
  <r>
    <x v="1"/>
    <n v="41"/>
    <x v="15"/>
    <x v="25"/>
    <x v="25"/>
    <n v="1005"/>
    <x v="16"/>
    <x v="69"/>
    <x v="108"/>
    <n v="3924"/>
    <x v="350"/>
    <n v="0"/>
    <x v="0"/>
    <s v="1 00"/>
    <n v="0"/>
    <n v="44"/>
    <x v="1206"/>
    <s v="Annual"/>
    <n v="0"/>
    <n v="0"/>
    <n v="589521"/>
    <n v="589521"/>
  </r>
  <r>
    <x v="1"/>
    <n v="41"/>
    <x v="15"/>
    <x v="25"/>
    <x v="25"/>
    <n v="1005"/>
    <x v="16"/>
    <x v="69"/>
    <x v="108"/>
    <n v="3924"/>
    <x v="350"/>
    <n v="0"/>
    <x v="0"/>
    <s v="1 00"/>
    <n v="0"/>
    <n v="15"/>
    <x v="37"/>
    <s v="Annual"/>
    <n v="0"/>
    <n v="0"/>
    <n v="10053"/>
    <n v="10053"/>
  </r>
  <r>
    <x v="1"/>
    <n v="41"/>
    <x v="15"/>
    <x v="25"/>
    <x v="25"/>
    <n v="1005"/>
    <x v="16"/>
    <x v="70"/>
    <x v="109"/>
    <s v="381D"/>
    <x v="351"/>
    <n v="0"/>
    <x v="0"/>
    <s v="B 14"/>
    <n v="4"/>
    <n v="3466"/>
    <x v="545"/>
    <s v="Annual"/>
    <n v="2"/>
    <n v="1"/>
    <n v="85200"/>
    <n v="170400"/>
  </r>
  <r>
    <x v="1"/>
    <n v="41"/>
    <x v="15"/>
    <x v="25"/>
    <x v="25"/>
    <n v="1005"/>
    <x v="16"/>
    <x v="70"/>
    <x v="109"/>
    <s v="381D"/>
    <x v="351"/>
    <n v="0"/>
    <x v="0"/>
    <s v="G 07"/>
    <n v="3"/>
    <n v="2989"/>
    <x v="1208"/>
    <s v="Annual"/>
    <n v="1"/>
    <n v="1"/>
    <n v="97488"/>
    <n v="97488"/>
  </r>
  <r>
    <x v="1"/>
    <n v="41"/>
    <x v="15"/>
    <x v="25"/>
    <x v="25"/>
    <n v="1005"/>
    <x v="16"/>
    <x v="70"/>
    <x v="109"/>
    <s v="381D"/>
    <x v="351"/>
    <n v="0"/>
    <x v="0"/>
    <s v="G 05"/>
    <n v="4"/>
    <n v="2921"/>
    <x v="691"/>
    <s v="Annual"/>
    <n v="1"/>
    <n v="1"/>
    <n v="80196"/>
    <n v="80196"/>
  </r>
  <r>
    <x v="1"/>
    <n v="41"/>
    <x v="15"/>
    <x v="25"/>
    <x v="25"/>
    <n v="1005"/>
    <x v="16"/>
    <x v="70"/>
    <x v="109"/>
    <s v="381D"/>
    <x v="351"/>
    <n v="0"/>
    <x v="0"/>
    <s v="1 00"/>
    <n v="0"/>
    <n v="44"/>
    <x v="1206"/>
    <s v="Annual"/>
    <n v="0"/>
    <n v="0"/>
    <n v="194788"/>
    <n v="194788"/>
  </r>
  <r>
    <x v="1"/>
    <n v="41"/>
    <x v="15"/>
    <x v="25"/>
    <x v="25"/>
    <n v="1005"/>
    <x v="16"/>
    <x v="70"/>
    <x v="109"/>
    <s v="381D"/>
    <x v="351"/>
    <n v="0"/>
    <x v="0"/>
    <s v="1 00"/>
    <n v="0"/>
    <n v="15"/>
    <x v="37"/>
    <s v="Annual"/>
    <n v="0"/>
    <n v="0"/>
    <n v="12182"/>
    <n v="12182"/>
  </r>
  <r>
    <x v="1"/>
    <n v="41"/>
    <x v="15"/>
    <x v="25"/>
    <x v="25"/>
    <n v="1005"/>
    <x v="16"/>
    <x v="71"/>
    <x v="110"/>
    <s v="381T"/>
    <x v="352"/>
    <n v="0"/>
    <x v="0"/>
    <s v="BX 19"/>
    <n v="10"/>
    <n v="3469"/>
    <x v="565"/>
    <s v="Annual"/>
    <n v="1"/>
    <n v="1"/>
    <n v="113568"/>
    <n v="113568"/>
  </r>
  <r>
    <x v="1"/>
    <n v="41"/>
    <x v="15"/>
    <x v="25"/>
    <x v="25"/>
    <n v="1005"/>
    <x v="16"/>
    <x v="71"/>
    <x v="110"/>
    <s v="381T"/>
    <x v="352"/>
    <n v="0"/>
    <x v="0"/>
    <s v="B 14"/>
    <n v="4"/>
    <n v="3466"/>
    <x v="545"/>
    <s v="Annual"/>
    <n v="1"/>
    <n v="1"/>
    <n v="124848"/>
    <n v="124848"/>
  </r>
  <r>
    <x v="1"/>
    <n v="41"/>
    <x v="15"/>
    <x v="25"/>
    <x v="25"/>
    <n v="1005"/>
    <x v="16"/>
    <x v="71"/>
    <x v="110"/>
    <s v="381T"/>
    <x v="352"/>
    <n v="0"/>
    <x v="0"/>
    <s v="B 14"/>
    <n v="4"/>
    <n v="3466"/>
    <x v="545"/>
    <s v="Annual"/>
    <n v="1"/>
    <n v="1"/>
    <n v="113628"/>
    <n v="113628"/>
  </r>
  <r>
    <x v="1"/>
    <n v="41"/>
    <x v="15"/>
    <x v="25"/>
    <x v="25"/>
    <n v="1005"/>
    <x v="16"/>
    <x v="71"/>
    <x v="110"/>
    <s v="381T"/>
    <x v="352"/>
    <n v="0"/>
    <x v="0"/>
    <s v="B 14"/>
    <n v="4"/>
    <n v="3466"/>
    <x v="545"/>
    <s v="Annual"/>
    <n v="1"/>
    <n v="1"/>
    <n v="85200"/>
    <n v="85200"/>
  </r>
  <r>
    <x v="1"/>
    <n v="41"/>
    <x v="15"/>
    <x v="25"/>
    <x v="25"/>
    <n v="1005"/>
    <x v="16"/>
    <x v="71"/>
    <x v="110"/>
    <s v="381T"/>
    <x v="352"/>
    <n v="0"/>
    <x v="0"/>
    <s v="B 14"/>
    <n v="4"/>
    <n v="3466"/>
    <x v="545"/>
    <s v="Annual"/>
    <n v="3"/>
    <n v="1"/>
    <n v="81324"/>
    <n v="243972"/>
  </r>
  <r>
    <x v="1"/>
    <n v="41"/>
    <x v="15"/>
    <x v="25"/>
    <x v="25"/>
    <n v="1005"/>
    <x v="16"/>
    <x v="71"/>
    <x v="110"/>
    <s v="381T"/>
    <x v="352"/>
    <n v="0"/>
    <x v="0"/>
    <s v="B 13"/>
    <n v="3"/>
    <n v="3434"/>
    <x v="551"/>
    <s v="Annual"/>
    <n v="1"/>
    <n v="1"/>
    <n v="103608"/>
    <n v="103608"/>
  </r>
  <r>
    <x v="1"/>
    <n v="41"/>
    <x v="15"/>
    <x v="25"/>
    <x v="25"/>
    <n v="1005"/>
    <x v="16"/>
    <x v="71"/>
    <x v="110"/>
    <s v="381T"/>
    <x v="352"/>
    <n v="0"/>
    <x v="0"/>
    <s v="B 13"/>
    <n v="3"/>
    <n v="3434"/>
    <x v="551"/>
    <s v="Annual"/>
    <n v="1"/>
    <n v="1"/>
    <n v="70752"/>
    <n v="70752"/>
  </r>
  <r>
    <x v="1"/>
    <n v="41"/>
    <x v="15"/>
    <x v="25"/>
    <x v="25"/>
    <n v="1005"/>
    <x v="16"/>
    <x v="71"/>
    <x v="110"/>
    <s v="381T"/>
    <x v="352"/>
    <n v="0"/>
    <x v="0"/>
    <s v="B 13"/>
    <n v="3"/>
    <n v="3434"/>
    <x v="551"/>
    <s v="Annual"/>
    <n v="1"/>
    <n v="1"/>
    <n v="68616"/>
    <n v="68616"/>
  </r>
  <r>
    <x v="1"/>
    <n v="41"/>
    <x v="15"/>
    <x v="25"/>
    <x v="25"/>
    <n v="1005"/>
    <x v="16"/>
    <x v="71"/>
    <x v="110"/>
    <s v="381T"/>
    <x v="352"/>
    <n v="0"/>
    <x v="0"/>
    <s v="GY 10"/>
    <n v="20"/>
    <n v="3401"/>
    <x v="1217"/>
    <s v="Annual"/>
    <n v="1"/>
    <n v="1"/>
    <n v="97332"/>
    <n v="97332"/>
  </r>
  <r>
    <x v="1"/>
    <n v="41"/>
    <x v="15"/>
    <x v="25"/>
    <x v="25"/>
    <n v="1005"/>
    <x v="16"/>
    <x v="71"/>
    <x v="110"/>
    <s v="381T"/>
    <x v="352"/>
    <n v="0"/>
    <x v="0"/>
    <s v="1 00"/>
    <n v="0"/>
    <n v="44"/>
    <x v="1206"/>
    <s v="Annual"/>
    <n v="0"/>
    <n v="0"/>
    <n v="571646"/>
    <n v="571646"/>
  </r>
  <r>
    <x v="1"/>
    <n v="41"/>
    <x v="15"/>
    <x v="25"/>
    <x v="25"/>
    <n v="1005"/>
    <x v="16"/>
    <x v="71"/>
    <x v="110"/>
    <s v="381T"/>
    <x v="352"/>
    <n v="0"/>
    <x v="0"/>
    <s v="1 00"/>
    <n v="0"/>
    <n v="15"/>
    <x v="37"/>
    <s v="Annual"/>
    <n v="0"/>
    <n v="0"/>
    <n v="17595"/>
    <n v="17595"/>
  </r>
  <r>
    <x v="1"/>
    <n v="41"/>
    <x v="15"/>
    <x v="25"/>
    <x v="25"/>
    <n v="1005"/>
    <x v="16"/>
    <x v="72"/>
    <x v="111"/>
    <n v="3934"/>
    <x v="353"/>
    <n v="0"/>
    <x v="0"/>
    <s v="S 05"/>
    <n v="37"/>
    <n v="3752"/>
    <x v="543"/>
    <s v="Annual"/>
    <n v="1"/>
    <n v="1"/>
    <n v="107544"/>
    <n v="107544"/>
  </r>
  <r>
    <x v="1"/>
    <n v="41"/>
    <x v="15"/>
    <x v="25"/>
    <x v="25"/>
    <n v="1005"/>
    <x v="16"/>
    <x v="72"/>
    <x v="111"/>
    <n v="3934"/>
    <x v="353"/>
    <n v="0"/>
    <x v="0"/>
    <s v="S 04"/>
    <n v="37"/>
    <n v="3751"/>
    <x v="549"/>
    <s v="Annual"/>
    <n v="2"/>
    <n v="1"/>
    <n v="97644"/>
    <n v="195288"/>
  </r>
  <r>
    <x v="1"/>
    <n v="41"/>
    <x v="15"/>
    <x v="25"/>
    <x v="25"/>
    <n v="1005"/>
    <x v="16"/>
    <x v="72"/>
    <x v="111"/>
    <n v="3934"/>
    <x v="353"/>
    <n v="0"/>
    <x v="0"/>
    <s v="SZ 07"/>
    <n v="56"/>
    <n v="3701"/>
    <x v="560"/>
    <s v="Annual"/>
    <n v="1"/>
    <n v="1"/>
    <n v="147672"/>
    <n v="147672"/>
  </r>
  <r>
    <x v="1"/>
    <n v="41"/>
    <x v="15"/>
    <x v="25"/>
    <x v="25"/>
    <n v="1005"/>
    <x v="16"/>
    <x v="72"/>
    <x v="111"/>
    <n v="3934"/>
    <x v="353"/>
    <n v="0"/>
    <x v="0"/>
    <s v="B 16"/>
    <n v="4"/>
    <n v="3467"/>
    <x v="537"/>
    <s v="Annual"/>
    <n v="1"/>
    <n v="1"/>
    <n v="130668"/>
    <n v="130668"/>
  </r>
  <r>
    <x v="1"/>
    <n v="41"/>
    <x v="15"/>
    <x v="25"/>
    <x v="25"/>
    <n v="1005"/>
    <x v="16"/>
    <x v="72"/>
    <x v="111"/>
    <n v="3934"/>
    <x v="353"/>
    <n v="0"/>
    <x v="0"/>
    <s v="B 14"/>
    <n v="4"/>
    <n v="3466"/>
    <x v="545"/>
    <s v="Annual"/>
    <n v="1"/>
    <n v="1"/>
    <n v="130668"/>
    <n v="130668"/>
  </r>
  <r>
    <x v="1"/>
    <n v="41"/>
    <x v="15"/>
    <x v="25"/>
    <x v="25"/>
    <n v="1005"/>
    <x v="16"/>
    <x v="72"/>
    <x v="111"/>
    <n v="3934"/>
    <x v="353"/>
    <n v="0"/>
    <x v="0"/>
    <s v="B 12"/>
    <n v="4"/>
    <n v="3465"/>
    <x v="1234"/>
    <s v="Annual"/>
    <n v="3"/>
    <n v="1"/>
    <n v="108576"/>
    <n v="325728"/>
  </r>
  <r>
    <x v="1"/>
    <n v="41"/>
    <x v="15"/>
    <x v="25"/>
    <x v="25"/>
    <n v="1005"/>
    <x v="16"/>
    <x v="72"/>
    <x v="111"/>
    <n v="3934"/>
    <x v="353"/>
    <n v="0"/>
    <x v="0"/>
    <s v="BX 16"/>
    <n v="10"/>
    <n v="3464"/>
    <x v="1214"/>
    <s v="Annual"/>
    <n v="1"/>
    <n v="1"/>
    <n v="118956"/>
    <n v="118956"/>
  </r>
  <r>
    <x v="1"/>
    <n v="41"/>
    <x v="15"/>
    <x v="25"/>
    <x v="25"/>
    <n v="1005"/>
    <x v="16"/>
    <x v="72"/>
    <x v="111"/>
    <n v="3934"/>
    <x v="353"/>
    <n v="0"/>
    <x v="0"/>
    <s v="B 13"/>
    <n v="3"/>
    <n v="3434"/>
    <x v="551"/>
    <s v="Annual"/>
    <n v="1"/>
    <n v="1"/>
    <n v="119100"/>
    <n v="119100"/>
  </r>
  <r>
    <x v="1"/>
    <n v="41"/>
    <x v="15"/>
    <x v="25"/>
    <x v="25"/>
    <n v="1005"/>
    <x v="16"/>
    <x v="72"/>
    <x v="111"/>
    <n v="3934"/>
    <x v="353"/>
    <n v="0"/>
    <x v="0"/>
    <s v="G 07"/>
    <n v="4"/>
    <n v="3414"/>
    <x v="532"/>
    <s v="Annual"/>
    <n v="1"/>
    <n v="1"/>
    <n v="102516"/>
    <n v="102516"/>
  </r>
  <r>
    <x v="1"/>
    <n v="41"/>
    <x v="15"/>
    <x v="25"/>
    <x v="25"/>
    <n v="1005"/>
    <x v="16"/>
    <x v="72"/>
    <x v="111"/>
    <n v="3934"/>
    <x v="353"/>
    <n v="0"/>
    <x v="0"/>
    <s v="GY 11"/>
    <n v="20"/>
    <n v="3408"/>
    <x v="533"/>
    <s v="Annual"/>
    <n v="1"/>
    <n v="1"/>
    <n v="129168"/>
    <n v="129168"/>
  </r>
  <r>
    <x v="1"/>
    <n v="41"/>
    <x v="15"/>
    <x v="25"/>
    <x v="25"/>
    <n v="1005"/>
    <x v="16"/>
    <x v="72"/>
    <x v="111"/>
    <n v="3934"/>
    <x v="353"/>
    <n v="0"/>
    <x v="0"/>
    <s v="X 31"/>
    <n v="9"/>
    <n v="3348"/>
    <x v="539"/>
    <s v="Annual"/>
    <n v="1"/>
    <n v="1"/>
    <n v="199800"/>
    <n v="199800"/>
  </r>
  <r>
    <x v="1"/>
    <n v="41"/>
    <x v="15"/>
    <x v="25"/>
    <x v="25"/>
    <n v="1005"/>
    <x v="16"/>
    <x v="72"/>
    <x v="111"/>
    <n v="3934"/>
    <x v="353"/>
    <n v="0"/>
    <x v="0"/>
    <s v="X 33"/>
    <n v="20"/>
    <n v="3057"/>
    <x v="541"/>
    <s v="Annual"/>
    <n v="1"/>
    <n v="1"/>
    <n v="121668"/>
    <n v="121668"/>
  </r>
  <r>
    <x v="1"/>
    <n v="41"/>
    <x v="15"/>
    <x v="25"/>
    <x v="25"/>
    <n v="1005"/>
    <x v="16"/>
    <x v="72"/>
    <x v="111"/>
    <n v="3934"/>
    <x v="353"/>
    <n v="0"/>
    <x v="0"/>
    <s v="B 14"/>
    <n v="1"/>
    <n v="689"/>
    <x v="269"/>
    <s v="Annual"/>
    <n v="1"/>
    <n v="1"/>
    <n v="81324"/>
    <n v="81324"/>
  </r>
  <r>
    <x v="1"/>
    <n v="41"/>
    <x v="15"/>
    <x v="25"/>
    <x v="25"/>
    <n v="1005"/>
    <x v="16"/>
    <x v="72"/>
    <x v="111"/>
    <n v="3934"/>
    <x v="353"/>
    <n v="0"/>
    <x v="0"/>
    <s v="B 09"/>
    <n v="1"/>
    <n v="460"/>
    <x v="344"/>
    <s v="Annual"/>
    <n v="1"/>
    <n v="1"/>
    <n v="47364"/>
    <n v="47364"/>
  </r>
  <r>
    <x v="1"/>
    <n v="41"/>
    <x v="15"/>
    <x v="25"/>
    <x v="25"/>
    <n v="1005"/>
    <x v="16"/>
    <x v="72"/>
    <x v="111"/>
    <n v="3934"/>
    <x v="353"/>
    <n v="0"/>
    <x v="0"/>
    <s v="B 12"/>
    <n v="1"/>
    <s v="03A8"/>
    <x v="88"/>
    <s v="Annual"/>
    <n v="1"/>
    <n v="1"/>
    <n v="108576"/>
    <n v="108576"/>
  </r>
  <r>
    <x v="1"/>
    <n v="41"/>
    <x v="15"/>
    <x v="25"/>
    <x v="25"/>
    <n v="1005"/>
    <x v="16"/>
    <x v="72"/>
    <x v="111"/>
    <n v="3934"/>
    <x v="353"/>
    <n v="0"/>
    <x v="0"/>
    <s v="BX 18"/>
    <n v="10"/>
    <n v="311"/>
    <x v="253"/>
    <s v="Annual"/>
    <n v="3"/>
    <n v="1"/>
    <n v="107340"/>
    <n v="322020"/>
  </r>
  <r>
    <x v="1"/>
    <n v="41"/>
    <x v="15"/>
    <x v="25"/>
    <x v="25"/>
    <n v="1005"/>
    <x v="16"/>
    <x v="72"/>
    <x v="111"/>
    <n v="3934"/>
    <x v="353"/>
    <n v="0"/>
    <x v="0"/>
    <s v="1 00"/>
    <n v="0"/>
    <n v="44"/>
    <x v="1206"/>
    <s v="Annual"/>
    <n v="0"/>
    <n v="0"/>
    <n v="1336357"/>
    <n v="1336357"/>
  </r>
  <r>
    <x v="1"/>
    <n v="41"/>
    <x v="15"/>
    <x v="25"/>
    <x v="25"/>
    <n v="1005"/>
    <x v="16"/>
    <x v="72"/>
    <x v="111"/>
    <n v="3934"/>
    <x v="353"/>
    <n v="0"/>
    <x v="0"/>
    <s v="1 00"/>
    <n v="0"/>
    <n v="15"/>
    <x v="37"/>
    <s v="Annual"/>
    <n v="0"/>
    <n v="0"/>
    <n v="28483"/>
    <n v="28483"/>
  </r>
  <r>
    <x v="1"/>
    <n v="41"/>
    <x v="15"/>
    <x v="25"/>
    <x v="25"/>
    <n v="1005"/>
    <x v="16"/>
    <x v="73"/>
    <x v="112"/>
    <n v="3938"/>
    <x v="354"/>
    <n v="0"/>
    <x v="0"/>
    <s v="S 05"/>
    <n v="37"/>
    <n v="3752"/>
    <x v="543"/>
    <s v="Annual"/>
    <n v="1"/>
    <n v="1"/>
    <n v="91956"/>
    <n v="91956"/>
  </r>
  <r>
    <x v="1"/>
    <n v="41"/>
    <x v="15"/>
    <x v="25"/>
    <x v="25"/>
    <n v="1005"/>
    <x v="16"/>
    <x v="73"/>
    <x v="112"/>
    <n v="3938"/>
    <x v="354"/>
    <n v="0"/>
    <x v="0"/>
    <s v="B 15"/>
    <n v="3"/>
    <n v="3442"/>
    <x v="1235"/>
    <s v="Annual"/>
    <n v="1"/>
    <n v="1"/>
    <n v="143400"/>
    <n v="143400"/>
  </r>
  <r>
    <x v="1"/>
    <n v="41"/>
    <x v="15"/>
    <x v="25"/>
    <x v="25"/>
    <n v="1005"/>
    <x v="16"/>
    <x v="73"/>
    <x v="112"/>
    <n v="3938"/>
    <x v="354"/>
    <n v="0"/>
    <x v="0"/>
    <s v="B 14"/>
    <n v="3"/>
    <n v="3441"/>
    <x v="1236"/>
    <s v="Annual"/>
    <n v="1"/>
    <n v="1"/>
    <n v="130668"/>
    <n v="130668"/>
  </r>
  <r>
    <x v="1"/>
    <n v="41"/>
    <x v="15"/>
    <x v="25"/>
    <x v="25"/>
    <n v="1005"/>
    <x v="16"/>
    <x v="73"/>
    <x v="112"/>
    <n v="3938"/>
    <x v="354"/>
    <n v="0"/>
    <x v="0"/>
    <s v="B 13"/>
    <n v="3"/>
    <n v="3434"/>
    <x v="551"/>
    <s v="Annual"/>
    <n v="1"/>
    <n v="1"/>
    <n v="113628"/>
    <n v="113628"/>
  </r>
  <r>
    <x v="1"/>
    <n v="41"/>
    <x v="15"/>
    <x v="25"/>
    <x v="25"/>
    <n v="1005"/>
    <x v="16"/>
    <x v="73"/>
    <x v="112"/>
    <n v="3938"/>
    <x v="354"/>
    <n v="0"/>
    <x v="0"/>
    <s v="G 09"/>
    <n v="4"/>
    <n v="3407"/>
    <x v="534"/>
    <s v="Annual"/>
    <n v="1"/>
    <n v="1"/>
    <n v="154764"/>
    <n v="154764"/>
  </r>
  <r>
    <x v="1"/>
    <n v="41"/>
    <x v="15"/>
    <x v="25"/>
    <x v="25"/>
    <n v="1005"/>
    <x v="16"/>
    <x v="73"/>
    <x v="112"/>
    <n v="3938"/>
    <x v="354"/>
    <n v="0"/>
    <x v="0"/>
    <s v="1 00"/>
    <n v="0"/>
    <n v="44"/>
    <x v="1206"/>
    <s v="Annual"/>
    <n v="0"/>
    <n v="0"/>
    <n v="355020"/>
    <n v="355020"/>
  </r>
  <r>
    <x v="1"/>
    <n v="41"/>
    <x v="15"/>
    <x v="25"/>
    <x v="25"/>
    <n v="1005"/>
    <x v="16"/>
    <x v="73"/>
    <x v="112"/>
    <n v="3938"/>
    <x v="354"/>
    <n v="0"/>
    <x v="0"/>
    <s v="1 00"/>
    <n v="0"/>
    <n v="15"/>
    <x v="37"/>
    <s v="Annual"/>
    <n v="0"/>
    <n v="0"/>
    <n v="2880"/>
    <n v="2880"/>
  </r>
  <r>
    <x v="1"/>
    <n v="41"/>
    <x v="15"/>
    <x v="25"/>
    <x v="25"/>
    <n v="1005"/>
    <x v="16"/>
    <x v="74"/>
    <x v="113"/>
    <n v="3829"/>
    <x v="355"/>
    <n v="0"/>
    <x v="0"/>
    <s v="B 17"/>
    <n v="3"/>
    <n v="8621"/>
    <x v="1119"/>
    <s v="Annual"/>
    <n v="1"/>
    <n v="1"/>
    <n v="99480"/>
    <n v="99480"/>
  </r>
  <r>
    <x v="1"/>
    <n v="41"/>
    <x v="15"/>
    <x v="25"/>
    <x v="25"/>
    <n v="1005"/>
    <x v="16"/>
    <x v="74"/>
    <x v="113"/>
    <n v="3829"/>
    <x v="355"/>
    <n v="0"/>
    <x v="0"/>
    <s v="B 16"/>
    <n v="4"/>
    <n v="8620"/>
    <x v="547"/>
    <s v="Annual"/>
    <n v="1"/>
    <n v="1"/>
    <n v="157332"/>
    <n v="157332"/>
  </r>
  <r>
    <x v="1"/>
    <n v="41"/>
    <x v="15"/>
    <x v="25"/>
    <x v="25"/>
    <n v="1005"/>
    <x v="16"/>
    <x v="74"/>
    <x v="113"/>
    <n v="3829"/>
    <x v="355"/>
    <n v="0"/>
    <x v="0"/>
    <s v="B 16"/>
    <n v="4"/>
    <n v="8620"/>
    <x v="547"/>
    <s v="Annual"/>
    <n v="2"/>
    <n v="1"/>
    <n v="119100"/>
    <n v="238200"/>
  </r>
  <r>
    <x v="1"/>
    <n v="41"/>
    <x v="15"/>
    <x v="25"/>
    <x v="25"/>
    <n v="1005"/>
    <x v="16"/>
    <x v="74"/>
    <x v="113"/>
    <n v="3829"/>
    <x v="355"/>
    <n v="0"/>
    <x v="0"/>
    <s v="B 16"/>
    <n v="4"/>
    <n v="8620"/>
    <x v="547"/>
    <s v="Annual"/>
    <n v="1"/>
    <n v="1"/>
    <n v="97956"/>
    <n v="97956"/>
  </r>
  <r>
    <x v="1"/>
    <n v="41"/>
    <x v="15"/>
    <x v="25"/>
    <x v="25"/>
    <n v="1005"/>
    <x v="16"/>
    <x v="74"/>
    <x v="113"/>
    <n v="3829"/>
    <x v="355"/>
    <n v="0"/>
    <x v="0"/>
    <s v="B 16"/>
    <n v="4"/>
    <n v="8620"/>
    <x v="547"/>
    <s v="Annual"/>
    <n v="1"/>
    <n v="1"/>
    <n v="93504"/>
    <n v="93504"/>
  </r>
  <r>
    <x v="1"/>
    <n v="41"/>
    <x v="15"/>
    <x v="25"/>
    <x v="25"/>
    <n v="1005"/>
    <x v="16"/>
    <x v="74"/>
    <x v="113"/>
    <n v="3829"/>
    <x v="355"/>
    <n v="0"/>
    <x v="0"/>
    <s v="B 16"/>
    <n v="4"/>
    <n v="8620"/>
    <x v="547"/>
    <s v="Annual"/>
    <n v="1"/>
    <n v="1"/>
    <n v="90732"/>
    <n v="90732"/>
  </r>
  <r>
    <x v="1"/>
    <n v="41"/>
    <x v="15"/>
    <x v="25"/>
    <x v="25"/>
    <n v="1005"/>
    <x v="16"/>
    <x v="74"/>
    <x v="113"/>
    <n v="3829"/>
    <x v="355"/>
    <n v="0"/>
    <x v="0"/>
    <s v="B 14"/>
    <n v="4"/>
    <n v="3466"/>
    <x v="545"/>
    <s v="Annual"/>
    <n v="1"/>
    <n v="1"/>
    <n v="85200"/>
    <n v="85200"/>
  </r>
  <r>
    <x v="1"/>
    <n v="41"/>
    <x v="15"/>
    <x v="25"/>
    <x v="25"/>
    <n v="1005"/>
    <x v="16"/>
    <x v="74"/>
    <x v="113"/>
    <n v="3829"/>
    <x v="355"/>
    <n v="0"/>
    <x v="0"/>
    <s v="BX 18"/>
    <n v="10"/>
    <n v="3443"/>
    <x v="1232"/>
    <s v="Annual"/>
    <n v="1"/>
    <n v="1"/>
    <n v="93384"/>
    <n v="93384"/>
  </r>
  <r>
    <x v="1"/>
    <n v="41"/>
    <x v="15"/>
    <x v="25"/>
    <x v="25"/>
    <n v="1005"/>
    <x v="16"/>
    <x v="74"/>
    <x v="113"/>
    <n v="3829"/>
    <x v="355"/>
    <n v="0"/>
    <x v="0"/>
    <s v="GY 11"/>
    <n v="20"/>
    <n v="3408"/>
    <x v="533"/>
    <s v="Annual"/>
    <n v="1"/>
    <n v="1"/>
    <n v="121320"/>
    <n v="121320"/>
  </r>
  <r>
    <x v="1"/>
    <n v="41"/>
    <x v="15"/>
    <x v="25"/>
    <x v="25"/>
    <n v="1005"/>
    <x v="16"/>
    <x v="74"/>
    <x v="113"/>
    <n v="3829"/>
    <x v="355"/>
    <n v="0"/>
    <x v="0"/>
    <s v="G 09"/>
    <n v="4"/>
    <n v="3407"/>
    <x v="534"/>
    <s v="Annual"/>
    <n v="3"/>
    <n v="1"/>
    <n v="154764"/>
    <n v="464292"/>
  </r>
  <r>
    <x v="1"/>
    <n v="41"/>
    <x v="15"/>
    <x v="25"/>
    <x v="25"/>
    <n v="1005"/>
    <x v="16"/>
    <x v="74"/>
    <x v="113"/>
    <n v="3829"/>
    <x v="355"/>
    <n v="0"/>
    <x v="0"/>
    <s v="GY 10"/>
    <n v="20"/>
    <n v="3401"/>
    <x v="1217"/>
    <s v="Annual"/>
    <n v="1"/>
    <n v="1"/>
    <n v="106272"/>
    <n v="106272"/>
  </r>
  <r>
    <x v="1"/>
    <n v="41"/>
    <x v="15"/>
    <x v="25"/>
    <x v="25"/>
    <n v="1005"/>
    <x v="16"/>
    <x v="74"/>
    <x v="113"/>
    <n v="3829"/>
    <x v="355"/>
    <n v="0"/>
    <x v="0"/>
    <s v="G 07"/>
    <n v="3"/>
    <n v="2989"/>
    <x v="1208"/>
    <s v="Annual"/>
    <n v="1"/>
    <n v="1"/>
    <n v="122928"/>
    <n v="122928"/>
  </r>
  <r>
    <x v="1"/>
    <n v="41"/>
    <x v="15"/>
    <x v="25"/>
    <x v="25"/>
    <n v="1005"/>
    <x v="16"/>
    <x v="74"/>
    <x v="113"/>
    <n v="3829"/>
    <x v="355"/>
    <n v="0"/>
    <x v="0"/>
    <s v="G 07"/>
    <n v="3"/>
    <n v="2989"/>
    <x v="1208"/>
    <s v="Annual"/>
    <n v="1"/>
    <n v="1"/>
    <n v="92940"/>
    <n v="92940"/>
  </r>
  <r>
    <x v="1"/>
    <n v="41"/>
    <x v="15"/>
    <x v="25"/>
    <x v="25"/>
    <n v="1005"/>
    <x v="16"/>
    <x v="74"/>
    <x v="113"/>
    <n v="3829"/>
    <x v="355"/>
    <n v="0"/>
    <x v="0"/>
    <s v="X 33"/>
    <n v="20"/>
    <n v="2901"/>
    <x v="528"/>
    <s v="Annual"/>
    <n v="1"/>
    <n v="1"/>
    <n v="146808"/>
    <n v="146808"/>
  </r>
  <r>
    <x v="1"/>
    <n v="41"/>
    <x v="15"/>
    <x v="25"/>
    <x v="25"/>
    <n v="1005"/>
    <x v="16"/>
    <x v="74"/>
    <x v="113"/>
    <n v="3829"/>
    <x v="355"/>
    <n v="0"/>
    <x v="0"/>
    <s v="B 14"/>
    <n v="3"/>
    <n v="2381"/>
    <x v="571"/>
    <s v="Annual"/>
    <n v="1"/>
    <n v="1"/>
    <n v="89244"/>
    <n v="89244"/>
  </r>
  <r>
    <x v="1"/>
    <n v="41"/>
    <x v="15"/>
    <x v="25"/>
    <x v="25"/>
    <n v="1005"/>
    <x v="16"/>
    <x v="74"/>
    <x v="113"/>
    <n v="3829"/>
    <x v="355"/>
    <n v="0"/>
    <x v="0"/>
    <s v="B 14"/>
    <n v="4"/>
    <n v="1912"/>
    <x v="222"/>
    <s v="Annual"/>
    <n v="1"/>
    <n v="1"/>
    <n v="81324"/>
    <n v="81324"/>
  </r>
  <r>
    <x v="1"/>
    <n v="41"/>
    <x v="15"/>
    <x v="25"/>
    <x v="25"/>
    <n v="1005"/>
    <x v="16"/>
    <x v="74"/>
    <x v="113"/>
    <n v="3829"/>
    <x v="355"/>
    <n v="0"/>
    <x v="0"/>
    <s v="B 10"/>
    <n v="1"/>
    <n v="1817"/>
    <x v="451"/>
    <s v="Annual"/>
    <n v="1"/>
    <n v="1"/>
    <n v="68256"/>
    <n v="68256"/>
  </r>
  <r>
    <x v="1"/>
    <n v="41"/>
    <x v="15"/>
    <x v="25"/>
    <x v="25"/>
    <n v="1005"/>
    <x v="16"/>
    <x v="74"/>
    <x v="113"/>
    <n v="3829"/>
    <x v="355"/>
    <n v="0"/>
    <x v="0"/>
    <s v="B 15"/>
    <n v="1"/>
    <n v="729"/>
    <x v="32"/>
    <s v="Annual"/>
    <n v="1"/>
    <n v="1"/>
    <n v="93504"/>
    <n v="93504"/>
  </r>
  <r>
    <x v="1"/>
    <n v="41"/>
    <x v="15"/>
    <x v="25"/>
    <x v="25"/>
    <n v="1005"/>
    <x v="16"/>
    <x v="74"/>
    <x v="113"/>
    <n v="3829"/>
    <x v="355"/>
    <n v="0"/>
    <x v="0"/>
    <s v="G 08"/>
    <n v="4"/>
    <n v="635"/>
    <x v="242"/>
    <s v="Annual"/>
    <n v="1"/>
    <n v="1"/>
    <n v="99408"/>
    <n v="99408"/>
  </r>
  <r>
    <x v="1"/>
    <n v="41"/>
    <x v="15"/>
    <x v="25"/>
    <x v="25"/>
    <n v="1005"/>
    <x v="16"/>
    <x v="74"/>
    <x v="113"/>
    <n v="3829"/>
    <x v="355"/>
    <n v="0"/>
    <x v="0"/>
    <s v="B 12"/>
    <n v="1"/>
    <s v="03A8"/>
    <x v="88"/>
    <s v="Annual"/>
    <n v="1"/>
    <n v="1"/>
    <n v="108576"/>
    <n v="108576"/>
  </r>
  <r>
    <x v="1"/>
    <n v="41"/>
    <x v="15"/>
    <x v="25"/>
    <x v="25"/>
    <n v="1005"/>
    <x v="16"/>
    <x v="74"/>
    <x v="113"/>
    <n v="3829"/>
    <x v="355"/>
    <n v="0"/>
    <x v="0"/>
    <s v="B 12"/>
    <n v="1"/>
    <s v="03A8"/>
    <x v="88"/>
    <s v="Annual"/>
    <n v="2"/>
    <n v="1"/>
    <n v="67608"/>
    <n v="135216"/>
  </r>
  <r>
    <x v="1"/>
    <n v="41"/>
    <x v="15"/>
    <x v="25"/>
    <x v="25"/>
    <n v="1005"/>
    <x v="16"/>
    <x v="74"/>
    <x v="113"/>
    <n v="3829"/>
    <x v="355"/>
    <n v="0"/>
    <x v="0"/>
    <s v="B 14"/>
    <n v="1"/>
    <n v="380"/>
    <x v="914"/>
    <s v="Annual"/>
    <n v="1"/>
    <n v="1"/>
    <n v="89244"/>
    <n v="89244"/>
  </r>
  <r>
    <x v="1"/>
    <n v="41"/>
    <x v="15"/>
    <x v="25"/>
    <x v="25"/>
    <n v="1005"/>
    <x v="16"/>
    <x v="74"/>
    <x v="113"/>
    <n v="3829"/>
    <x v="355"/>
    <n v="0"/>
    <x v="0"/>
    <s v="BX 18"/>
    <n v="10"/>
    <n v="311"/>
    <x v="253"/>
    <s v="Annual"/>
    <n v="1"/>
    <n v="1"/>
    <n v="150072"/>
    <n v="150072"/>
  </r>
  <r>
    <x v="1"/>
    <n v="41"/>
    <x v="15"/>
    <x v="25"/>
    <x v="25"/>
    <n v="1005"/>
    <x v="16"/>
    <x v="74"/>
    <x v="113"/>
    <n v="3829"/>
    <x v="355"/>
    <n v="0"/>
    <x v="0"/>
    <s v="BX 18"/>
    <n v="10"/>
    <n v="311"/>
    <x v="253"/>
    <s v="Annual"/>
    <n v="1"/>
    <n v="1"/>
    <n v="124584"/>
    <n v="124584"/>
  </r>
  <r>
    <x v="1"/>
    <n v="41"/>
    <x v="15"/>
    <x v="25"/>
    <x v="25"/>
    <n v="1005"/>
    <x v="16"/>
    <x v="74"/>
    <x v="113"/>
    <n v="3829"/>
    <x v="355"/>
    <n v="0"/>
    <x v="0"/>
    <s v="BX 18"/>
    <n v="10"/>
    <n v="311"/>
    <x v="253"/>
    <s v="Annual"/>
    <n v="1"/>
    <n v="1"/>
    <n v="102444"/>
    <n v="102444"/>
  </r>
  <r>
    <x v="1"/>
    <n v="41"/>
    <x v="15"/>
    <x v="25"/>
    <x v="25"/>
    <n v="1005"/>
    <x v="16"/>
    <x v="74"/>
    <x v="113"/>
    <n v="3829"/>
    <x v="355"/>
    <n v="0"/>
    <x v="0"/>
    <s v="BX 18"/>
    <n v="10"/>
    <n v="310"/>
    <x v="135"/>
    <s v="Annual"/>
    <n v="1"/>
    <n v="1"/>
    <n v="107340"/>
    <n v="107340"/>
  </r>
  <r>
    <x v="1"/>
    <n v="41"/>
    <x v="15"/>
    <x v="25"/>
    <x v="25"/>
    <n v="1005"/>
    <x v="16"/>
    <x v="74"/>
    <x v="113"/>
    <n v="3829"/>
    <x v="355"/>
    <n v="0"/>
    <x v="0"/>
    <s v="G 07"/>
    <n v="4"/>
    <n v="193"/>
    <x v="244"/>
    <s v="Annual"/>
    <n v="1"/>
    <n v="1"/>
    <n v="129636"/>
    <n v="129636"/>
  </r>
  <r>
    <x v="1"/>
    <n v="41"/>
    <x v="15"/>
    <x v="25"/>
    <x v="25"/>
    <n v="1005"/>
    <x v="16"/>
    <x v="74"/>
    <x v="113"/>
    <n v="3829"/>
    <x v="355"/>
    <n v="0"/>
    <x v="0"/>
    <s v="1 00"/>
    <n v="0"/>
    <n v="44"/>
    <x v="1206"/>
    <s v="Annual"/>
    <n v="0"/>
    <n v="0"/>
    <n v="1896596"/>
    <n v="1896596"/>
  </r>
  <r>
    <x v="1"/>
    <n v="41"/>
    <x v="15"/>
    <x v="25"/>
    <x v="25"/>
    <n v="1005"/>
    <x v="16"/>
    <x v="74"/>
    <x v="113"/>
    <n v="3829"/>
    <x v="355"/>
    <n v="0"/>
    <x v="0"/>
    <s v="1 00"/>
    <n v="0"/>
    <n v="15"/>
    <x v="37"/>
    <s v="Annual"/>
    <n v="0"/>
    <n v="0"/>
    <n v="30579"/>
    <n v="30579"/>
  </r>
  <r>
    <x v="1"/>
    <n v="41"/>
    <x v="15"/>
    <x v="25"/>
    <x v="25"/>
    <n v="1005"/>
    <x v="16"/>
    <x v="75"/>
    <x v="114"/>
    <s v="382M"/>
    <x v="356"/>
    <n v="0"/>
    <x v="0"/>
    <s v="B 16"/>
    <n v="4"/>
    <n v="3467"/>
    <x v="537"/>
    <s v="Annual"/>
    <n v="1"/>
    <n v="1"/>
    <n v="102588"/>
    <n v="102588"/>
  </r>
  <r>
    <x v="1"/>
    <n v="41"/>
    <x v="15"/>
    <x v="25"/>
    <x v="25"/>
    <n v="1005"/>
    <x v="16"/>
    <x v="75"/>
    <x v="114"/>
    <s v="382M"/>
    <x v="356"/>
    <n v="0"/>
    <x v="0"/>
    <s v="1 00"/>
    <n v="0"/>
    <n v="44"/>
    <x v="1206"/>
    <s v="Annual"/>
    <n v="0"/>
    <n v="0"/>
    <n v="57408"/>
    <n v="57408"/>
  </r>
  <r>
    <x v="1"/>
    <n v="41"/>
    <x v="15"/>
    <x v="25"/>
    <x v="25"/>
    <n v="1005"/>
    <x v="16"/>
    <x v="46"/>
    <x v="88"/>
    <s v="382N"/>
    <x v="330"/>
    <n v="0"/>
    <x v="0"/>
    <s v="BX 16"/>
    <n v="10"/>
    <n v="1430"/>
    <x v="355"/>
    <s v="Annual"/>
    <n v="2"/>
    <n v="1"/>
    <n v="85128"/>
    <n v="170256"/>
  </r>
  <r>
    <x v="1"/>
    <n v="41"/>
    <x v="15"/>
    <x v="25"/>
    <x v="25"/>
    <n v="1005"/>
    <x v="16"/>
    <x v="46"/>
    <x v="88"/>
    <s v="382N"/>
    <x v="330"/>
    <n v="0"/>
    <x v="0"/>
    <s v="BX 17"/>
    <n v="20"/>
    <n v="381"/>
    <x v="296"/>
    <s v="Annual"/>
    <n v="2"/>
    <n v="1"/>
    <n v="85128"/>
    <n v="170256"/>
  </r>
  <r>
    <x v="1"/>
    <n v="41"/>
    <x v="15"/>
    <x v="25"/>
    <x v="25"/>
    <n v="1005"/>
    <x v="16"/>
    <x v="46"/>
    <x v="88"/>
    <s v="382N"/>
    <x v="330"/>
    <n v="0"/>
    <x v="0"/>
    <s v="1 00"/>
    <n v="0"/>
    <n v="44"/>
    <x v="1206"/>
    <s v="Annual"/>
    <n v="0"/>
    <n v="0"/>
    <n v="190550"/>
    <n v="190550"/>
  </r>
  <r>
    <x v="1"/>
    <n v="41"/>
    <x v="15"/>
    <x v="25"/>
    <x v="25"/>
    <n v="1005"/>
    <x v="16"/>
    <x v="46"/>
    <x v="88"/>
    <s v="382N"/>
    <x v="330"/>
    <n v="0"/>
    <x v="0"/>
    <s v="1 00"/>
    <n v="0"/>
    <n v="15"/>
    <x v="37"/>
    <s v="Annual"/>
    <n v="0"/>
    <n v="0"/>
    <n v="7138"/>
    <n v="7138"/>
  </r>
  <r>
    <x v="1"/>
    <n v="41"/>
    <x v="15"/>
    <x v="25"/>
    <x v="25"/>
    <n v="1005"/>
    <x v="16"/>
    <x v="76"/>
    <x v="115"/>
    <s v="382Q"/>
    <x v="357"/>
    <n v="0"/>
    <x v="0"/>
    <s v="S 05"/>
    <n v="37"/>
    <n v="3752"/>
    <x v="543"/>
    <s v="Annual"/>
    <n v="1"/>
    <n v="1"/>
    <n v="137376"/>
    <n v="137376"/>
  </r>
  <r>
    <x v="1"/>
    <n v="41"/>
    <x v="15"/>
    <x v="25"/>
    <x v="25"/>
    <n v="1005"/>
    <x v="16"/>
    <x v="76"/>
    <x v="115"/>
    <s v="382Q"/>
    <x v="357"/>
    <n v="0"/>
    <x v="0"/>
    <s v="S 05"/>
    <n v="37"/>
    <n v="3752"/>
    <x v="543"/>
    <s v="Annual"/>
    <n v="1"/>
    <n v="1"/>
    <n v="113004"/>
    <n v="113004"/>
  </r>
  <r>
    <x v="1"/>
    <n v="41"/>
    <x v="15"/>
    <x v="25"/>
    <x v="25"/>
    <n v="1005"/>
    <x v="16"/>
    <x v="76"/>
    <x v="115"/>
    <s v="382Q"/>
    <x v="357"/>
    <n v="0"/>
    <x v="0"/>
    <s v="S 05"/>
    <n v="37"/>
    <n v="3752"/>
    <x v="543"/>
    <s v="Annual"/>
    <n v="1"/>
    <n v="1"/>
    <n v="101448"/>
    <n v="101448"/>
  </r>
  <r>
    <x v="1"/>
    <n v="41"/>
    <x v="15"/>
    <x v="25"/>
    <x v="25"/>
    <n v="1005"/>
    <x v="16"/>
    <x v="76"/>
    <x v="115"/>
    <s v="382Q"/>
    <x v="357"/>
    <n v="0"/>
    <x v="0"/>
    <s v="S 05"/>
    <n v="37"/>
    <n v="3752"/>
    <x v="543"/>
    <s v="Annual"/>
    <n v="1"/>
    <n v="1"/>
    <n v="87504"/>
    <n v="87504"/>
  </r>
  <r>
    <x v="1"/>
    <n v="41"/>
    <x v="15"/>
    <x v="25"/>
    <x v="25"/>
    <n v="1005"/>
    <x v="16"/>
    <x v="76"/>
    <x v="115"/>
    <s v="382Q"/>
    <x v="357"/>
    <n v="0"/>
    <x v="0"/>
    <s v="SZ 07"/>
    <n v="56"/>
    <n v="3701"/>
    <x v="560"/>
    <s v="Annual"/>
    <n v="1"/>
    <n v="1"/>
    <n v="103944"/>
    <n v="103944"/>
  </r>
  <r>
    <x v="1"/>
    <n v="41"/>
    <x v="15"/>
    <x v="25"/>
    <x v="25"/>
    <n v="1005"/>
    <x v="16"/>
    <x v="76"/>
    <x v="115"/>
    <s v="382Q"/>
    <x v="357"/>
    <n v="0"/>
    <x v="0"/>
    <s v="1 00"/>
    <n v="0"/>
    <n v="44"/>
    <x v="1206"/>
    <s v="Annual"/>
    <n v="0"/>
    <n v="0"/>
    <n v="304017"/>
    <n v="304017"/>
  </r>
  <r>
    <x v="1"/>
    <n v="41"/>
    <x v="15"/>
    <x v="25"/>
    <x v="25"/>
    <n v="1005"/>
    <x v="16"/>
    <x v="76"/>
    <x v="115"/>
    <s v="382Q"/>
    <x v="357"/>
    <n v="0"/>
    <x v="0"/>
    <s v="1 00"/>
    <n v="0"/>
    <n v="15"/>
    <x v="37"/>
    <s v="Annual"/>
    <n v="0"/>
    <n v="0"/>
    <n v="6617"/>
    <n v="6617"/>
  </r>
  <r>
    <x v="1"/>
    <n v="41"/>
    <x v="15"/>
    <x v="25"/>
    <x v="25"/>
    <n v="1005"/>
    <x v="16"/>
    <x v="77"/>
    <x v="116"/>
    <s v="382U"/>
    <x v="358"/>
    <n v="0"/>
    <x v="0"/>
    <s v="T 16"/>
    <n v="44"/>
    <n v="2150"/>
    <x v="573"/>
    <s v="Annual"/>
    <n v="1"/>
    <n v="1"/>
    <n v="124740"/>
    <n v="124740"/>
  </r>
  <r>
    <x v="1"/>
    <n v="41"/>
    <x v="15"/>
    <x v="25"/>
    <x v="25"/>
    <n v="1005"/>
    <x v="16"/>
    <x v="77"/>
    <x v="116"/>
    <s v="382U"/>
    <x v="358"/>
    <n v="0"/>
    <x v="0"/>
    <s v="1 00"/>
    <n v="0"/>
    <n v="44"/>
    <x v="1206"/>
    <s v="Annual"/>
    <n v="0"/>
    <n v="0"/>
    <n v="69805"/>
    <n v="69805"/>
  </r>
  <r>
    <x v="1"/>
    <n v="41"/>
    <x v="15"/>
    <x v="25"/>
    <x v="25"/>
    <n v="1005"/>
    <x v="16"/>
    <x v="78"/>
    <x v="117"/>
    <n v="3819"/>
    <x v="359"/>
    <n v="0"/>
    <x v="0"/>
    <s v="B 16"/>
    <n v="4"/>
    <n v="8620"/>
    <x v="547"/>
    <s v="Annual"/>
    <n v="1"/>
    <n v="1"/>
    <n v="112536"/>
    <n v="112536"/>
  </r>
  <r>
    <x v="1"/>
    <n v="41"/>
    <x v="15"/>
    <x v="25"/>
    <x v="25"/>
    <n v="1005"/>
    <x v="16"/>
    <x v="78"/>
    <x v="117"/>
    <n v="3819"/>
    <x v="359"/>
    <n v="0"/>
    <x v="0"/>
    <s v="G 07"/>
    <n v="3"/>
    <n v="2989"/>
    <x v="1208"/>
    <s v="Annual"/>
    <n v="1"/>
    <n v="1"/>
    <n v="107628"/>
    <n v="107628"/>
  </r>
  <r>
    <x v="1"/>
    <n v="41"/>
    <x v="15"/>
    <x v="25"/>
    <x v="25"/>
    <n v="1005"/>
    <x v="16"/>
    <x v="78"/>
    <x v="117"/>
    <n v="3819"/>
    <x v="359"/>
    <n v="0"/>
    <x v="0"/>
    <s v="BX 18"/>
    <n v="10"/>
    <n v="311"/>
    <x v="253"/>
    <s v="Annual"/>
    <n v="1"/>
    <n v="1"/>
    <n v="130524"/>
    <n v="130524"/>
  </r>
  <r>
    <x v="1"/>
    <n v="41"/>
    <x v="15"/>
    <x v="25"/>
    <x v="25"/>
    <n v="1005"/>
    <x v="16"/>
    <x v="78"/>
    <x v="117"/>
    <n v="3819"/>
    <x v="359"/>
    <n v="0"/>
    <x v="0"/>
    <s v="BX 18"/>
    <n v="10"/>
    <n v="310"/>
    <x v="135"/>
    <s v="Annual"/>
    <n v="1"/>
    <n v="1"/>
    <n v="89112"/>
    <n v="89112"/>
  </r>
  <r>
    <x v="1"/>
    <n v="41"/>
    <x v="15"/>
    <x v="25"/>
    <x v="25"/>
    <n v="1005"/>
    <x v="16"/>
    <x v="78"/>
    <x v="117"/>
    <n v="3819"/>
    <x v="359"/>
    <n v="0"/>
    <x v="0"/>
    <s v="1 00"/>
    <n v="0"/>
    <n v="44"/>
    <x v="1206"/>
    <s v="Annual"/>
    <n v="0"/>
    <n v="0"/>
    <n v="246112"/>
    <n v="246112"/>
  </r>
  <r>
    <x v="1"/>
    <n v="41"/>
    <x v="15"/>
    <x v="25"/>
    <x v="25"/>
    <n v="1005"/>
    <x v="16"/>
    <x v="78"/>
    <x v="117"/>
    <n v="3819"/>
    <x v="359"/>
    <n v="0"/>
    <x v="0"/>
    <s v="1 00"/>
    <n v="0"/>
    <n v="15"/>
    <x v="37"/>
    <s v="Annual"/>
    <n v="0"/>
    <n v="0"/>
    <n v="5521"/>
    <n v="5521"/>
  </r>
  <r>
    <x v="1"/>
    <n v="41"/>
    <x v="15"/>
    <x v="25"/>
    <x v="25"/>
    <n v="1005"/>
    <x v="16"/>
    <x v="79"/>
    <x v="118"/>
    <n v="3911"/>
    <x v="360"/>
    <n v="0"/>
    <x v="0"/>
    <s v="S 05"/>
    <n v="37"/>
    <n v="3752"/>
    <x v="543"/>
    <s v="Annual"/>
    <n v="3"/>
    <n v="1"/>
    <n v="137376"/>
    <n v="412128"/>
  </r>
  <r>
    <x v="1"/>
    <n v="41"/>
    <x v="15"/>
    <x v="25"/>
    <x v="25"/>
    <n v="1005"/>
    <x v="16"/>
    <x v="79"/>
    <x v="118"/>
    <n v="3911"/>
    <x v="360"/>
    <n v="0"/>
    <x v="0"/>
    <s v="S 05"/>
    <n v="37"/>
    <n v="3752"/>
    <x v="543"/>
    <s v="Annual"/>
    <n v="1"/>
    <n v="1"/>
    <n v="113004"/>
    <n v="113004"/>
  </r>
  <r>
    <x v="1"/>
    <n v="41"/>
    <x v="15"/>
    <x v="25"/>
    <x v="25"/>
    <n v="1005"/>
    <x v="16"/>
    <x v="79"/>
    <x v="118"/>
    <n v="3911"/>
    <x v="360"/>
    <n v="0"/>
    <x v="0"/>
    <s v="S 05"/>
    <n v="37"/>
    <n v="3752"/>
    <x v="543"/>
    <s v="Annual"/>
    <n v="1"/>
    <n v="1"/>
    <n v="101448"/>
    <n v="101448"/>
  </r>
  <r>
    <x v="1"/>
    <n v="41"/>
    <x v="15"/>
    <x v="25"/>
    <x v="25"/>
    <n v="1005"/>
    <x v="16"/>
    <x v="79"/>
    <x v="118"/>
    <n v="3911"/>
    <x v="360"/>
    <n v="0"/>
    <x v="0"/>
    <s v="S 05"/>
    <n v="37"/>
    <n v="3752"/>
    <x v="543"/>
    <s v="Annual"/>
    <n v="3"/>
    <n v="1"/>
    <n v="96708"/>
    <n v="290124"/>
  </r>
  <r>
    <x v="1"/>
    <n v="41"/>
    <x v="15"/>
    <x v="25"/>
    <x v="25"/>
    <n v="1005"/>
    <x v="16"/>
    <x v="79"/>
    <x v="118"/>
    <n v="3911"/>
    <x v="360"/>
    <n v="0"/>
    <x v="0"/>
    <s v="S 05"/>
    <n v="37"/>
    <n v="3752"/>
    <x v="543"/>
    <s v="Annual"/>
    <n v="1"/>
    <n v="1"/>
    <n v="87504"/>
    <n v="87504"/>
  </r>
  <r>
    <x v="1"/>
    <n v="41"/>
    <x v="15"/>
    <x v="25"/>
    <x v="25"/>
    <n v="1005"/>
    <x v="16"/>
    <x v="79"/>
    <x v="118"/>
    <n v="3911"/>
    <x v="360"/>
    <n v="0"/>
    <x v="0"/>
    <s v="SZ 07"/>
    <n v="56"/>
    <n v="3701"/>
    <x v="560"/>
    <s v="Annual"/>
    <n v="2"/>
    <n v="1"/>
    <n v="147672"/>
    <n v="295344"/>
  </r>
  <r>
    <x v="1"/>
    <n v="41"/>
    <x v="15"/>
    <x v="25"/>
    <x v="25"/>
    <n v="1005"/>
    <x v="16"/>
    <x v="79"/>
    <x v="118"/>
    <n v="3911"/>
    <x v="360"/>
    <n v="0"/>
    <x v="0"/>
    <s v="B 16"/>
    <n v="4"/>
    <n v="3467"/>
    <x v="537"/>
    <s v="Annual"/>
    <n v="1"/>
    <n v="1"/>
    <n v="157332"/>
    <n v="157332"/>
  </r>
  <r>
    <x v="1"/>
    <n v="41"/>
    <x v="15"/>
    <x v="25"/>
    <x v="25"/>
    <n v="1005"/>
    <x v="16"/>
    <x v="79"/>
    <x v="118"/>
    <n v="3911"/>
    <x v="360"/>
    <n v="0"/>
    <x v="0"/>
    <s v="B 14"/>
    <n v="4"/>
    <n v="3466"/>
    <x v="545"/>
    <s v="Annual"/>
    <n v="1"/>
    <n v="1"/>
    <n v="75336"/>
    <n v="75336"/>
  </r>
  <r>
    <x v="1"/>
    <n v="41"/>
    <x v="15"/>
    <x v="25"/>
    <x v="25"/>
    <n v="1005"/>
    <x v="16"/>
    <x v="79"/>
    <x v="118"/>
    <n v="3911"/>
    <x v="360"/>
    <n v="0"/>
    <x v="0"/>
    <s v="B 11"/>
    <n v="3"/>
    <n v="3429"/>
    <x v="1221"/>
    <s v="Annual"/>
    <n v="1"/>
    <n v="1"/>
    <n v="98928"/>
    <n v="98928"/>
  </r>
  <r>
    <x v="1"/>
    <n v="41"/>
    <x v="15"/>
    <x v="25"/>
    <x v="25"/>
    <n v="1005"/>
    <x v="16"/>
    <x v="79"/>
    <x v="118"/>
    <n v="3911"/>
    <x v="360"/>
    <n v="0"/>
    <x v="0"/>
    <s v="G 07"/>
    <n v="4"/>
    <n v="3414"/>
    <x v="532"/>
    <s v="Annual"/>
    <n v="2"/>
    <n v="1"/>
    <n v="102516"/>
    <n v="205032"/>
  </r>
  <r>
    <x v="1"/>
    <n v="41"/>
    <x v="15"/>
    <x v="25"/>
    <x v="25"/>
    <n v="1005"/>
    <x v="16"/>
    <x v="79"/>
    <x v="118"/>
    <n v="3911"/>
    <x v="360"/>
    <n v="0"/>
    <x v="0"/>
    <s v="X 33"/>
    <n v="20"/>
    <n v="3057"/>
    <x v="541"/>
    <s v="Annual"/>
    <n v="1"/>
    <n v="1"/>
    <n v="146808"/>
    <n v="146808"/>
  </r>
  <r>
    <x v="1"/>
    <n v="41"/>
    <x v="15"/>
    <x v="25"/>
    <x v="25"/>
    <n v="1005"/>
    <x v="16"/>
    <x v="79"/>
    <x v="118"/>
    <n v="3911"/>
    <x v="360"/>
    <n v="0"/>
    <x v="0"/>
    <s v="BX 17"/>
    <n v="20"/>
    <n v="381"/>
    <x v="296"/>
    <s v="Annual"/>
    <n v="1"/>
    <n v="1"/>
    <n v="85128"/>
    <n v="85128"/>
  </r>
  <r>
    <x v="1"/>
    <n v="41"/>
    <x v="15"/>
    <x v="25"/>
    <x v="25"/>
    <n v="1005"/>
    <x v="16"/>
    <x v="79"/>
    <x v="118"/>
    <n v="3911"/>
    <x v="360"/>
    <n v="0"/>
    <x v="0"/>
    <s v="X 33"/>
    <n v="9"/>
    <n v="313"/>
    <x v="220"/>
    <s v="Annual"/>
    <n v="1"/>
    <n v="1"/>
    <n v="146808"/>
    <n v="146808"/>
  </r>
  <r>
    <x v="1"/>
    <n v="41"/>
    <x v="15"/>
    <x v="25"/>
    <x v="25"/>
    <n v="1005"/>
    <x v="16"/>
    <x v="79"/>
    <x v="118"/>
    <n v="3911"/>
    <x v="360"/>
    <n v="0"/>
    <x v="0"/>
    <s v="1 00"/>
    <n v="0"/>
    <n v="44"/>
    <x v="1206"/>
    <s v="Annual"/>
    <n v="0"/>
    <n v="0"/>
    <n v="1239472"/>
    <n v="1239472"/>
  </r>
  <r>
    <x v="1"/>
    <n v="41"/>
    <x v="15"/>
    <x v="25"/>
    <x v="25"/>
    <n v="1005"/>
    <x v="16"/>
    <x v="79"/>
    <x v="118"/>
    <n v="3911"/>
    <x v="360"/>
    <n v="0"/>
    <x v="0"/>
    <s v="1 00"/>
    <n v="0"/>
    <n v="15"/>
    <x v="37"/>
    <s v="Annual"/>
    <n v="0"/>
    <n v="0"/>
    <n v="18150"/>
    <n v="18150"/>
  </r>
  <r>
    <x v="1"/>
    <n v="41"/>
    <x v="15"/>
    <x v="25"/>
    <x v="25"/>
    <n v="1005"/>
    <x v="16"/>
    <x v="80"/>
    <x v="119"/>
    <n v="3993"/>
    <x v="361"/>
    <n v="0"/>
    <x v="0"/>
    <s v="B 16"/>
    <n v="4"/>
    <n v="3467"/>
    <x v="537"/>
    <s v="Annual"/>
    <n v="1"/>
    <n v="1"/>
    <n v="90732"/>
    <n v="90732"/>
  </r>
  <r>
    <x v="1"/>
    <n v="41"/>
    <x v="15"/>
    <x v="25"/>
    <x v="25"/>
    <n v="1005"/>
    <x v="16"/>
    <x v="80"/>
    <x v="119"/>
    <n v="3993"/>
    <x v="361"/>
    <n v="0"/>
    <x v="0"/>
    <s v="B 14"/>
    <n v="4"/>
    <n v="3466"/>
    <x v="545"/>
    <s v="Annual"/>
    <n v="1"/>
    <n v="1"/>
    <n v="77640"/>
    <n v="77640"/>
  </r>
  <r>
    <x v="1"/>
    <n v="41"/>
    <x v="15"/>
    <x v="25"/>
    <x v="25"/>
    <n v="1005"/>
    <x v="16"/>
    <x v="80"/>
    <x v="119"/>
    <n v="3993"/>
    <x v="361"/>
    <n v="0"/>
    <x v="0"/>
    <s v="BX 16"/>
    <n v="10"/>
    <n v="3464"/>
    <x v="1214"/>
    <s v="Annual"/>
    <n v="1"/>
    <n v="1"/>
    <n v="85128"/>
    <n v="85128"/>
  </r>
  <r>
    <x v="1"/>
    <n v="41"/>
    <x v="15"/>
    <x v="25"/>
    <x v="25"/>
    <n v="1005"/>
    <x v="16"/>
    <x v="80"/>
    <x v="119"/>
    <n v="3993"/>
    <x v="361"/>
    <n v="0"/>
    <x v="0"/>
    <s v="BX 18"/>
    <n v="10"/>
    <n v="3092"/>
    <x v="308"/>
    <s v="Annual"/>
    <n v="1"/>
    <n v="1"/>
    <n v="102444"/>
    <n v="102444"/>
  </r>
  <r>
    <x v="1"/>
    <n v="41"/>
    <x v="15"/>
    <x v="25"/>
    <x v="25"/>
    <n v="1005"/>
    <x v="16"/>
    <x v="80"/>
    <x v="119"/>
    <n v="3993"/>
    <x v="361"/>
    <n v="0"/>
    <x v="0"/>
    <s v="1 00"/>
    <n v="0"/>
    <n v="44"/>
    <x v="1206"/>
    <s v="Annual"/>
    <n v="0"/>
    <n v="0"/>
    <n v="199187"/>
    <n v="199187"/>
  </r>
  <r>
    <x v="1"/>
    <n v="41"/>
    <x v="15"/>
    <x v="25"/>
    <x v="25"/>
    <n v="1005"/>
    <x v="16"/>
    <x v="80"/>
    <x v="119"/>
    <n v="3993"/>
    <x v="361"/>
    <n v="0"/>
    <x v="0"/>
    <s v="1 00"/>
    <n v="0"/>
    <n v="15"/>
    <x v="37"/>
    <s v="Annual"/>
    <n v="0"/>
    <n v="0"/>
    <n v="4589"/>
    <n v="4589"/>
  </r>
  <r>
    <x v="1"/>
    <n v="41"/>
    <x v="15"/>
    <x v="25"/>
    <x v="25"/>
    <n v="1005"/>
    <x v="16"/>
    <x v="81"/>
    <x v="120"/>
    <n v="3944"/>
    <x v="362"/>
    <n v="0"/>
    <x v="0"/>
    <s v="B 14"/>
    <n v="4"/>
    <n v="1912"/>
    <x v="222"/>
    <s v="Annual"/>
    <n v="1"/>
    <n v="1"/>
    <n v="81324"/>
    <n v="81324"/>
  </r>
  <r>
    <x v="1"/>
    <n v="41"/>
    <x v="15"/>
    <x v="25"/>
    <x v="25"/>
    <n v="1005"/>
    <x v="16"/>
    <x v="81"/>
    <x v="120"/>
    <n v="3944"/>
    <x v="362"/>
    <n v="0"/>
    <x v="0"/>
    <s v="1 00"/>
    <n v="0"/>
    <n v="44"/>
    <x v="1206"/>
    <s v="Annual"/>
    <n v="0"/>
    <n v="0"/>
    <n v="45509"/>
    <n v="45509"/>
  </r>
  <r>
    <x v="1"/>
    <n v="41"/>
    <x v="15"/>
    <x v="25"/>
    <x v="25"/>
    <n v="1005"/>
    <x v="16"/>
    <x v="81"/>
    <x v="120"/>
    <n v="3944"/>
    <x v="362"/>
    <n v="0"/>
    <x v="0"/>
    <s v="1 00"/>
    <n v="0"/>
    <n v="15"/>
    <x v="37"/>
    <s v="Annual"/>
    <n v="0"/>
    <n v="0"/>
    <n v="626"/>
    <n v="626"/>
  </r>
  <r>
    <x v="1"/>
    <n v="41"/>
    <x v="15"/>
    <x v="25"/>
    <x v="25"/>
    <n v="1005"/>
    <x v="16"/>
    <x v="82"/>
    <x v="121"/>
    <n v="3841"/>
    <x v="363"/>
    <n v="0"/>
    <x v="0"/>
    <s v="B 14"/>
    <n v="4"/>
    <n v="3466"/>
    <x v="545"/>
    <s v="Annual"/>
    <n v="1"/>
    <n v="1"/>
    <n v="85200"/>
    <n v="85200"/>
  </r>
  <r>
    <x v="1"/>
    <n v="41"/>
    <x v="15"/>
    <x v="25"/>
    <x v="25"/>
    <n v="1005"/>
    <x v="16"/>
    <x v="82"/>
    <x v="121"/>
    <n v="3841"/>
    <x v="363"/>
    <n v="0"/>
    <x v="0"/>
    <s v="1 00"/>
    <n v="0"/>
    <n v="44"/>
    <x v="1206"/>
    <s v="Annual"/>
    <n v="0"/>
    <n v="0"/>
    <n v="47678"/>
    <n v="47678"/>
  </r>
  <r>
    <x v="1"/>
    <n v="41"/>
    <x v="15"/>
    <x v="25"/>
    <x v="25"/>
    <n v="1005"/>
    <x v="16"/>
    <x v="82"/>
    <x v="121"/>
    <n v="3841"/>
    <x v="363"/>
    <n v="0"/>
    <x v="0"/>
    <s v="1 00"/>
    <n v="0"/>
    <n v="15"/>
    <x v="37"/>
    <s v="Annual"/>
    <n v="0"/>
    <n v="0"/>
    <n v="2780"/>
    <n v="2780"/>
  </r>
  <r>
    <x v="1"/>
    <n v="48"/>
    <x v="17"/>
    <x v="25"/>
    <x v="25"/>
    <n v="1005"/>
    <x v="18"/>
    <x v="83"/>
    <x v="122"/>
    <n v="3805"/>
    <x v="364"/>
    <n v="0"/>
    <x v="0"/>
    <s v="B 13"/>
    <n v="1"/>
    <n v="3898"/>
    <x v="850"/>
    <s v="Annual"/>
    <n v="1"/>
    <n v="1"/>
    <n v="68616"/>
    <n v="68616"/>
  </r>
  <r>
    <x v="1"/>
    <n v="48"/>
    <x v="17"/>
    <x v="25"/>
    <x v="25"/>
    <n v="1005"/>
    <x v="18"/>
    <x v="83"/>
    <x v="122"/>
    <n v="3805"/>
    <x v="364"/>
    <n v="0"/>
    <x v="0"/>
    <s v="BX 15"/>
    <n v="10"/>
    <n v="1911"/>
    <x v="226"/>
    <s v="Annual"/>
    <n v="1"/>
    <n v="1"/>
    <n v="76476"/>
    <n v="76476"/>
  </r>
  <r>
    <x v="1"/>
    <n v="48"/>
    <x v="17"/>
    <x v="25"/>
    <x v="25"/>
    <n v="1005"/>
    <x v="18"/>
    <x v="83"/>
    <x v="122"/>
    <n v="3805"/>
    <x v="364"/>
    <n v="0"/>
    <x v="0"/>
    <s v="1 00"/>
    <n v="0"/>
    <n v="44"/>
    <x v="1206"/>
    <s v="Annual"/>
    <n v="0"/>
    <n v="0"/>
    <n v="81194"/>
    <n v="81194"/>
  </r>
  <r>
    <x v="1"/>
    <n v="48"/>
    <x v="17"/>
    <x v="25"/>
    <x v="25"/>
    <n v="1005"/>
    <x v="18"/>
    <x v="83"/>
    <x v="122"/>
    <n v="3805"/>
    <x v="364"/>
    <n v="0"/>
    <x v="0"/>
    <s v="1 00"/>
    <n v="0"/>
    <n v="15"/>
    <x v="37"/>
    <s v="Annual"/>
    <n v="0"/>
    <n v="0"/>
    <n v="152"/>
    <n v="152"/>
  </r>
  <r>
    <x v="1"/>
    <n v="48"/>
    <x v="17"/>
    <x v="25"/>
    <x v="25"/>
    <n v="1005"/>
    <x v="18"/>
    <x v="84"/>
    <x v="123"/>
    <n v="3834"/>
    <x v="365"/>
    <n v="0"/>
    <x v="0"/>
    <s v="B 14"/>
    <n v="4"/>
    <n v="1912"/>
    <x v="222"/>
    <s v="Annual"/>
    <n v="1"/>
    <n v="1"/>
    <n v="75336"/>
    <n v="75336"/>
  </r>
  <r>
    <x v="1"/>
    <n v="48"/>
    <x v="17"/>
    <x v="25"/>
    <x v="25"/>
    <n v="1005"/>
    <x v="18"/>
    <x v="84"/>
    <x v="123"/>
    <n v="3834"/>
    <x v="365"/>
    <n v="0"/>
    <x v="0"/>
    <s v="1 00"/>
    <n v="0"/>
    <n v="44"/>
    <x v="1206"/>
    <s v="Annual"/>
    <n v="0"/>
    <n v="0"/>
    <n v="42158"/>
    <n v="42158"/>
  </r>
  <r>
    <x v="1"/>
    <n v="50"/>
    <x v="18"/>
    <x v="25"/>
    <x v="25"/>
    <n v="1005"/>
    <x v="19"/>
    <x v="83"/>
    <x v="124"/>
    <n v="3805"/>
    <x v="366"/>
    <n v="0"/>
    <x v="0"/>
    <s v="BX 19"/>
    <n v="10"/>
    <n v="3942"/>
    <x v="1237"/>
    <s v="Annual"/>
    <n v="1"/>
    <n v="1"/>
    <n v="124584"/>
    <n v="124584"/>
  </r>
  <r>
    <x v="1"/>
    <n v="50"/>
    <x v="18"/>
    <x v="25"/>
    <x v="25"/>
    <n v="1005"/>
    <x v="19"/>
    <x v="83"/>
    <x v="124"/>
    <n v="3805"/>
    <x v="366"/>
    <n v="0"/>
    <x v="0"/>
    <s v="G 06"/>
    <n v="4"/>
    <n v="3934"/>
    <x v="1238"/>
    <s v="Annual"/>
    <n v="4"/>
    <n v="1"/>
    <n v="118836"/>
    <n v="475344"/>
  </r>
  <r>
    <x v="1"/>
    <n v="50"/>
    <x v="18"/>
    <x v="25"/>
    <x v="25"/>
    <n v="1005"/>
    <x v="19"/>
    <x v="83"/>
    <x v="124"/>
    <n v="3805"/>
    <x v="366"/>
    <n v="0"/>
    <x v="0"/>
    <s v="G 06"/>
    <n v="4"/>
    <n v="3934"/>
    <x v="1238"/>
    <s v="Annual"/>
    <n v="2"/>
    <n v="1"/>
    <n v="81636"/>
    <n v="163272"/>
  </r>
  <r>
    <x v="1"/>
    <n v="50"/>
    <x v="18"/>
    <x v="25"/>
    <x v="25"/>
    <n v="1005"/>
    <x v="19"/>
    <x v="83"/>
    <x v="124"/>
    <n v="3805"/>
    <x v="366"/>
    <n v="0"/>
    <x v="0"/>
    <s v="BX 15"/>
    <n v="10"/>
    <n v="3818"/>
    <x v="1239"/>
    <s v="Annual"/>
    <n v="1"/>
    <n v="1"/>
    <n v="83052"/>
    <n v="83052"/>
  </r>
  <r>
    <x v="1"/>
    <n v="50"/>
    <x v="18"/>
    <x v="25"/>
    <x v="25"/>
    <n v="1005"/>
    <x v="19"/>
    <x v="83"/>
    <x v="124"/>
    <n v="3805"/>
    <x v="366"/>
    <n v="0"/>
    <x v="0"/>
    <s v="BX 15"/>
    <n v="10"/>
    <n v="3818"/>
    <x v="1239"/>
    <s v="Annual"/>
    <n v="3"/>
    <n v="1"/>
    <n v="80124"/>
    <n v="240372"/>
  </r>
  <r>
    <x v="1"/>
    <n v="50"/>
    <x v="18"/>
    <x v="25"/>
    <x v="25"/>
    <n v="1005"/>
    <x v="19"/>
    <x v="83"/>
    <x v="124"/>
    <n v="3805"/>
    <x v="366"/>
    <n v="0"/>
    <x v="0"/>
    <s v="BX 15"/>
    <n v="10"/>
    <n v="3818"/>
    <x v="1239"/>
    <s v="Annual"/>
    <n v="1"/>
    <n v="1"/>
    <n v="69684"/>
    <n v="69684"/>
  </r>
  <r>
    <x v="1"/>
    <n v="50"/>
    <x v="18"/>
    <x v="25"/>
    <x v="25"/>
    <n v="1005"/>
    <x v="19"/>
    <x v="83"/>
    <x v="124"/>
    <n v="3805"/>
    <x v="366"/>
    <n v="0"/>
    <x v="0"/>
    <s v="BX 17"/>
    <n v="20"/>
    <n v="3817"/>
    <x v="1240"/>
    <s v="Annual"/>
    <n v="1"/>
    <n v="1"/>
    <n v="136692"/>
    <n v="136692"/>
  </r>
  <r>
    <x v="1"/>
    <n v="50"/>
    <x v="18"/>
    <x v="25"/>
    <x v="25"/>
    <n v="1005"/>
    <x v="19"/>
    <x v="83"/>
    <x v="124"/>
    <n v="3805"/>
    <x v="366"/>
    <n v="0"/>
    <x v="0"/>
    <s v="BX 17"/>
    <n v="20"/>
    <n v="3817"/>
    <x v="1240"/>
    <s v="Annual"/>
    <n v="1"/>
    <n v="1"/>
    <n v="118956"/>
    <n v="118956"/>
  </r>
  <r>
    <x v="1"/>
    <n v="50"/>
    <x v="18"/>
    <x v="25"/>
    <x v="25"/>
    <n v="1005"/>
    <x v="19"/>
    <x v="83"/>
    <x v="124"/>
    <n v="3805"/>
    <x v="366"/>
    <n v="0"/>
    <x v="0"/>
    <s v="BX 17"/>
    <n v="20"/>
    <n v="3817"/>
    <x v="1240"/>
    <s v="Annual"/>
    <n v="1"/>
    <n v="1"/>
    <n v="108432"/>
    <n v="108432"/>
  </r>
  <r>
    <x v="1"/>
    <n v="50"/>
    <x v="18"/>
    <x v="25"/>
    <x v="25"/>
    <n v="1005"/>
    <x v="19"/>
    <x v="83"/>
    <x v="124"/>
    <n v="3805"/>
    <x v="366"/>
    <n v="0"/>
    <x v="0"/>
    <s v="BX 17"/>
    <n v="20"/>
    <n v="3817"/>
    <x v="1240"/>
    <s v="Annual"/>
    <n v="1"/>
    <n v="1"/>
    <n v="97836"/>
    <n v="97836"/>
  </r>
  <r>
    <x v="1"/>
    <n v="50"/>
    <x v="18"/>
    <x v="25"/>
    <x v="25"/>
    <n v="1005"/>
    <x v="19"/>
    <x v="83"/>
    <x v="124"/>
    <n v="3805"/>
    <x v="366"/>
    <n v="0"/>
    <x v="0"/>
    <s v="BX 17"/>
    <n v="20"/>
    <n v="3817"/>
    <x v="1240"/>
    <s v="Annual"/>
    <n v="1"/>
    <n v="1"/>
    <n v="93384"/>
    <n v="93384"/>
  </r>
  <r>
    <x v="1"/>
    <n v="50"/>
    <x v="18"/>
    <x v="25"/>
    <x v="25"/>
    <n v="1005"/>
    <x v="19"/>
    <x v="83"/>
    <x v="124"/>
    <n v="3805"/>
    <x v="366"/>
    <n v="0"/>
    <x v="0"/>
    <s v="BX 17"/>
    <n v="20"/>
    <n v="3817"/>
    <x v="1240"/>
    <s v="Annual"/>
    <n v="1"/>
    <n v="1"/>
    <n v="89112"/>
    <n v="89112"/>
  </r>
  <r>
    <x v="1"/>
    <n v="50"/>
    <x v="18"/>
    <x v="25"/>
    <x v="25"/>
    <n v="1005"/>
    <x v="19"/>
    <x v="83"/>
    <x v="124"/>
    <n v="3805"/>
    <x v="366"/>
    <n v="0"/>
    <x v="0"/>
    <s v="B 13"/>
    <n v="3"/>
    <n v="3807"/>
    <x v="1241"/>
    <s v="Annual"/>
    <n v="3"/>
    <n v="1"/>
    <n v="119100"/>
    <n v="357300"/>
  </r>
  <r>
    <x v="1"/>
    <n v="50"/>
    <x v="18"/>
    <x v="25"/>
    <x v="25"/>
    <n v="1005"/>
    <x v="19"/>
    <x v="83"/>
    <x v="124"/>
    <n v="3805"/>
    <x v="366"/>
    <n v="0"/>
    <x v="0"/>
    <s v="B 13"/>
    <n v="3"/>
    <n v="3807"/>
    <x v="1241"/>
    <s v="Annual"/>
    <n v="3"/>
    <n v="1"/>
    <n v="113628"/>
    <n v="340884"/>
  </r>
  <r>
    <x v="1"/>
    <n v="50"/>
    <x v="18"/>
    <x v="25"/>
    <x v="25"/>
    <n v="1005"/>
    <x v="19"/>
    <x v="83"/>
    <x v="124"/>
    <n v="3805"/>
    <x v="366"/>
    <n v="0"/>
    <x v="0"/>
    <s v="B 13"/>
    <n v="3"/>
    <n v="3807"/>
    <x v="1241"/>
    <s v="Annual"/>
    <n v="5"/>
    <n v="1"/>
    <n v="108576"/>
    <n v="542880"/>
  </r>
  <r>
    <x v="1"/>
    <n v="50"/>
    <x v="18"/>
    <x v="25"/>
    <x v="25"/>
    <n v="1005"/>
    <x v="19"/>
    <x v="83"/>
    <x v="124"/>
    <n v="3805"/>
    <x v="366"/>
    <n v="0"/>
    <x v="0"/>
    <s v="B 13"/>
    <n v="3"/>
    <n v="3807"/>
    <x v="1241"/>
    <s v="Annual"/>
    <n v="3"/>
    <n v="1"/>
    <n v="103608"/>
    <n v="310824"/>
  </r>
  <r>
    <x v="1"/>
    <n v="50"/>
    <x v="18"/>
    <x v="25"/>
    <x v="25"/>
    <n v="1005"/>
    <x v="19"/>
    <x v="83"/>
    <x v="124"/>
    <n v="3805"/>
    <x v="366"/>
    <n v="0"/>
    <x v="0"/>
    <s v="B 13"/>
    <n v="3"/>
    <n v="3807"/>
    <x v="1241"/>
    <s v="Annual"/>
    <n v="1"/>
    <n v="1"/>
    <n v="85200"/>
    <n v="85200"/>
  </r>
  <r>
    <x v="1"/>
    <n v="50"/>
    <x v="18"/>
    <x v="25"/>
    <x v="25"/>
    <n v="1005"/>
    <x v="19"/>
    <x v="83"/>
    <x v="124"/>
    <n v="3805"/>
    <x v="366"/>
    <n v="0"/>
    <x v="0"/>
    <s v="B 13"/>
    <n v="3"/>
    <n v="3807"/>
    <x v="1241"/>
    <s v="Annual"/>
    <n v="2"/>
    <n v="1"/>
    <n v="81324"/>
    <n v="162648"/>
  </r>
  <r>
    <x v="1"/>
    <n v="50"/>
    <x v="18"/>
    <x v="25"/>
    <x v="25"/>
    <n v="1005"/>
    <x v="19"/>
    <x v="83"/>
    <x v="124"/>
    <n v="3805"/>
    <x v="366"/>
    <n v="0"/>
    <x v="0"/>
    <s v="B 13"/>
    <n v="3"/>
    <n v="3807"/>
    <x v="1241"/>
    <s v="Annual"/>
    <n v="1"/>
    <n v="1"/>
    <n v="74172"/>
    <n v="74172"/>
  </r>
  <r>
    <x v="1"/>
    <n v="50"/>
    <x v="18"/>
    <x v="25"/>
    <x v="25"/>
    <n v="1005"/>
    <x v="19"/>
    <x v="83"/>
    <x v="124"/>
    <n v="3805"/>
    <x v="366"/>
    <n v="0"/>
    <x v="0"/>
    <s v="B 13"/>
    <n v="3"/>
    <n v="3807"/>
    <x v="1241"/>
    <s v="Annual"/>
    <n v="4"/>
    <n v="1"/>
    <n v="68616"/>
    <n v="274464"/>
  </r>
  <r>
    <x v="1"/>
    <n v="50"/>
    <x v="18"/>
    <x v="25"/>
    <x v="25"/>
    <n v="1005"/>
    <x v="19"/>
    <x v="83"/>
    <x v="124"/>
    <n v="3805"/>
    <x v="366"/>
    <n v="0"/>
    <x v="0"/>
    <s v="BX 16"/>
    <n v="10"/>
    <n v="3076"/>
    <x v="938"/>
    <s v="Annual"/>
    <n v="1"/>
    <n v="1"/>
    <n v="113568"/>
    <n v="113568"/>
  </r>
  <r>
    <x v="1"/>
    <n v="50"/>
    <x v="18"/>
    <x v="25"/>
    <x v="25"/>
    <n v="1005"/>
    <x v="19"/>
    <x v="83"/>
    <x v="124"/>
    <n v="3805"/>
    <x v="366"/>
    <n v="0"/>
    <x v="0"/>
    <s v="X 33"/>
    <n v="0"/>
    <n v="3018"/>
    <x v="600"/>
    <s v="Annual"/>
    <n v="1"/>
    <n v="1"/>
    <n v="146808"/>
    <n v="146808"/>
  </r>
  <r>
    <x v="1"/>
    <n v="50"/>
    <x v="18"/>
    <x v="25"/>
    <x v="25"/>
    <n v="1005"/>
    <x v="19"/>
    <x v="83"/>
    <x v="124"/>
    <n v="3805"/>
    <x v="366"/>
    <n v="0"/>
    <x v="0"/>
    <s v="G 07"/>
    <n v="3"/>
    <n v="2989"/>
    <x v="1208"/>
    <s v="Annual"/>
    <n v="1"/>
    <n v="1"/>
    <n v="97488"/>
    <n v="97488"/>
  </r>
  <r>
    <x v="1"/>
    <n v="50"/>
    <x v="18"/>
    <x v="25"/>
    <x v="25"/>
    <n v="1005"/>
    <x v="19"/>
    <x v="83"/>
    <x v="124"/>
    <n v="3805"/>
    <x v="366"/>
    <n v="0"/>
    <x v="0"/>
    <s v="GY 07"/>
    <n v="10"/>
    <n v="2902"/>
    <x v="1242"/>
    <s v="Annual"/>
    <n v="1"/>
    <n v="1"/>
    <n v="89112"/>
    <n v="89112"/>
  </r>
  <r>
    <x v="1"/>
    <n v="50"/>
    <x v="18"/>
    <x v="25"/>
    <x v="25"/>
    <n v="1005"/>
    <x v="19"/>
    <x v="83"/>
    <x v="124"/>
    <n v="3805"/>
    <x v="366"/>
    <n v="0"/>
    <x v="0"/>
    <s v="B 10"/>
    <n v="1"/>
    <s v="03A7"/>
    <x v="4"/>
    <s v="Annual"/>
    <n v="2"/>
    <n v="1"/>
    <n v="90144"/>
    <n v="180288"/>
  </r>
  <r>
    <x v="1"/>
    <n v="50"/>
    <x v="18"/>
    <x v="25"/>
    <x v="25"/>
    <n v="1005"/>
    <x v="19"/>
    <x v="83"/>
    <x v="124"/>
    <n v="3805"/>
    <x v="366"/>
    <n v="0"/>
    <x v="0"/>
    <s v="B 10"/>
    <n v="1"/>
    <s v="03A7"/>
    <x v="4"/>
    <s v="Annual"/>
    <n v="1"/>
    <n v="1"/>
    <n v="68256"/>
    <n v="68256"/>
  </r>
  <r>
    <x v="1"/>
    <n v="50"/>
    <x v="18"/>
    <x v="25"/>
    <x v="25"/>
    <n v="1005"/>
    <x v="19"/>
    <x v="83"/>
    <x v="124"/>
    <n v="3805"/>
    <x v="366"/>
    <n v="0"/>
    <x v="0"/>
    <s v="B 10"/>
    <n v="1"/>
    <s v="03A7"/>
    <x v="4"/>
    <s v="Annual"/>
    <n v="2"/>
    <n v="1"/>
    <n v="51936"/>
    <n v="103872"/>
  </r>
  <r>
    <x v="1"/>
    <n v="50"/>
    <x v="18"/>
    <x v="25"/>
    <x v="25"/>
    <n v="1005"/>
    <x v="19"/>
    <x v="83"/>
    <x v="124"/>
    <n v="3805"/>
    <x v="366"/>
    <n v="0"/>
    <x v="0"/>
    <s v="BX 18"/>
    <n v="10"/>
    <n v="310"/>
    <x v="135"/>
    <s v="Annual"/>
    <n v="1"/>
    <n v="1"/>
    <n v="107340"/>
    <n v="107340"/>
  </r>
  <r>
    <x v="1"/>
    <n v="50"/>
    <x v="18"/>
    <x v="25"/>
    <x v="25"/>
    <n v="1005"/>
    <x v="19"/>
    <x v="83"/>
    <x v="124"/>
    <n v="3805"/>
    <x v="366"/>
    <n v="0"/>
    <x v="0"/>
    <s v="1 00"/>
    <n v="0"/>
    <n v="44"/>
    <x v="1206"/>
    <s v="Annual"/>
    <n v="0"/>
    <n v="0"/>
    <n v="2717321"/>
    <n v="2717321"/>
  </r>
  <r>
    <x v="1"/>
    <n v="50"/>
    <x v="18"/>
    <x v="25"/>
    <x v="25"/>
    <n v="1005"/>
    <x v="19"/>
    <x v="83"/>
    <x v="124"/>
    <n v="3805"/>
    <x v="366"/>
    <n v="0"/>
    <x v="0"/>
    <s v="1 00"/>
    <n v="0"/>
    <n v="15"/>
    <x v="37"/>
    <s v="Annual"/>
    <n v="0"/>
    <n v="0"/>
    <n v="30511"/>
    <n v="30511"/>
  </r>
  <r>
    <x v="1"/>
    <n v="50"/>
    <x v="18"/>
    <x v="25"/>
    <x v="25"/>
    <n v="1005"/>
    <x v="19"/>
    <x v="85"/>
    <x v="125"/>
    <s v="380U"/>
    <x v="367"/>
    <n v="0"/>
    <x v="0"/>
    <s v="B 11"/>
    <n v="3"/>
    <n v="3025"/>
    <x v="1243"/>
    <s v="Annual"/>
    <n v="2"/>
    <n v="1"/>
    <n v="98928"/>
    <n v="197856"/>
  </r>
  <r>
    <x v="1"/>
    <n v="50"/>
    <x v="18"/>
    <x v="25"/>
    <x v="25"/>
    <n v="1005"/>
    <x v="19"/>
    <x v="85"/>
    <x v="125"/>
    <s v="380U"/>
    <x v="367"/>
    <n v="0"/>
    <x v="0"/>
    <s v="B 11"/>
    <n v="3"/>
    <n v="3025"/>
    <x v="1243"/>
    <s v="Annual"/>
    <n v="1"/>
    <n v="1"/>
    <n v="90144"/>
    <n v="90144"/>
  </r>
  <r>
    <x v="1"/>
    <n v="50"/>
    <x v="18"/>
    <x v="25"/>
    <x v="25"/>
    <n v="1005"/>
    <x v="19"/>
    <x v="85"/>
    <x v="125"/>
    <s v="380U"/>
    <x v="367"/>
    <n v="0"/>
    <x v="0"/>
    <s v="B 11"/>
    <n v="3"/>
    <n v="3025"/>
    <x v="1243"/>
    <s v="Annual"/>
    <n v="1"/>
    <n v="1"/>
    <n v="57000"/>
    <n v="57000"/>
  </r>
  <r>
    <x v="1"/>
    <n v="50"/>
    <x v="18"/>
    <x v="25"/>
    <x v="25"/>
    <n v="1005"/>
    <x v="19"/>
    <x v="85"/>
    <x v="125"/>
    <s v="380U"/>
    <x v="367"/>
    <n v="0"/>
    <x v="0"/>
    <s v="1 00"/>
    <n v="0"/>
    <n v="44"/>
    <x v="1206"/>
    <s v="Annual"/>
    <n v="0"/>
    <n v="0"/>
    <n v="193062"/>
    <n v="193062"/>
  </r>
  <r>
    <x v="1"/>
    <n v="50"/>
    <x v="18"/>
    <x v="25"/>
    <x v="25"/>
    <n v="1005"/>
    <x v="19"/>
    <x v="85"/>
    <x v="125"/>
    <s v="380U"/>
    <x v="367"/>
    <n v="0"/>
    <x v="0"/>
    <s v="1 00"/>
    <n v="0"/>
    <n v="15"/>
    <x v="37"/>
    <s v="Annual"/>
    <n v="0"/>
    <n v="0"/>
    <n v="3839"/>
    <n v="3839"/>
  </r>
  <r>
    <x v="1"/>
    <n v="50"/>
    <x v="18"/>
    <x v="25"/>
    <x v="25"/>
    <n v="1005"/>
    <x v="19"/>
    <x v="86"/>
    <x v="126"/>
    <n v="3815"/>
    <x v="368"/>
    <n v="0"/>
    <x v="0"/>
    <s v="G 05"/>
    <n v="3"/>
    <n v="3023"/>
    <x v="1244"/>
    <s v="Annual"/>
    <n v="1"/>
    <n v="1"/>
    <n v="108708"/>
    <n v="108708"/>
  </r>
  <r>
    <x v="1"/>
    <n v="50"/>
    <x v="18"/>
    <x v="25"/>
    <x v="25"/>
    <n v="1005"/>
    <x v="19"/>
    <x v="86"/>
    <x v="126"/>
    <n v="3815"/>
    <x v="368"/>
    <n v="0"/>
    <x v="0"/>
    <s v="B 08"/>
    <n v="1"/>
    <n v="459"/>
    <x v="679"/>
    <s v="Annual"/>
    <n v="1"/>
    <n v="1"/>
    <n v="43164"/>
    <n v="43164"/>
  </r>
  <r>
    <x v="1"/>
    <n v="50"/>
    <x v="18"/>
    <x v="25"/>
    <x v="25"/>
    <n v="1005"/>
    <x v="19"/>
    <x v="86"/>
    <x v="126"/>
    <n v="3815"/>
    <x v="368"/>
    <n v="0"/>
    <x v="0"/>
    <s v="1 00"/>
    <n v="0"/>
    <n v="44"/>
    <x v="1206"/>
    <s v="Annual"/>
    <n v="0"/>
    <n v="0"/>
    <n v="84988"/>
    <n v="84988"/>
  </r>
  <r>
    <x v="1"/>
    <n v="50"/>
    <x v="18"/>
    <x v="25"/>
    <x v="25"/>
    <n v="1005"/>
    <x v="19"/>
    <x v="87"/>
    <x v="127"/>
    <n v="3905"/>
    <x v="369"/>
    <n v="0"/>
    <x v="0"/>
    <s v="X 32"/>
    <n v="9"/>
    <n v="9679"/>
    <x v="81"/>
    <s v="Annual"/>
    <n v="1"/>
    <n v="1"/>
    <n v="175512"/>
    <n v="175512"/>
  </r>
  <r>
    <x v="1"/>
    <n v="50"/>
    <x v="18"/>
    <x v="25"/>
    <x v="25"/>
    <n v="1005"/>
    <x v="19"/>
    <x v="87"/>
    <x v="127"/>
    <n v="3905"/>
    <x v="369"/>
    <n v="0"/>
    <x v="0"/>
    <s v="BX 16"/>
    <n v="10"/>
    <n v="3953"/>
    <x v="1245"/>
    <s v="Annual"/>
    <n v="1"/>
    <n v="1"/>
    <n v="89112"/>
    <n v="89112"/>
  </r>
  <r>
    <x v="1"/>
    <n v="50"/>
    <x v="18"/>
    <x v="25"/>
    <x v="25"/>
    <n v="1005"/>
    <x v="19"/>
    <x v="87"/>
    <x v="127"/>
    <n v="3905"/>
    <x v="369"/>
    <n v="0"/>
    <x v="0"/>
    <s v="BX 16"/>
    <n v="10"/>
    <n v="3953"/>
    <x v="1245"/>
    <s v="Annual"/>
    <n v="5"/>
    <n v="1"/>
    <n v="76476"/>
    <n v="382380"/>
  </r>
  <r>
    <x v="1"/>
    <n v="50"/>
    <x v="18"/>
    <x v="25"/>
    <x v="25"/>
    <n v="1005"/>
    <x v="19"/>
    <x v="87"/>
    <x v="127"/>
    <n v="3905"/>
    <x v="369"/>
    <n v="0"/>
    <x v="0"/>
    <s v="B 14"/>
    <n v="1"/>
    <n v="3914"/>
    <x v="1246"/>
    <s v="Annual"/>
    <n v="3"/>
    <n v="1"/>
    <n v="130668"/>
    <n v="392004"/>
  </r>
  <r>
    <x v="1"/>
    <n v="50"/>
    <x v="18"/>
    <x v="25"/>
    <x v="25"/>
    <n v="1005"/>
    <x v="19"/>
    <x v="87"/>
    <x v="127"/>
    <n v="3905"/>
    <x v="369"/>
    <n v="0"/>
    <x v="0"/>
    <s v="B 14"/>
    <n v="1"/>
    <n v="3914"/>
    <x v="1246"/>
    <s v="Annual"/>
    <n v="2"/>
    <n v="1"/>
    <n v="124848"/>
    <n v="249696"/>
  </r>
  <r>
    <x v="1"/>
    <n v="50"/>
    <x v="18"/>
    <x v="25"/>
    <x v="25"/>
    <n v="1005"/>
    <x v="19"/>
    <x v="87"/>
    <x v="127"/>
    <n v="3905"/>
    <x v="369"/>
    <n v="0"/>
    <x v="0"/>
    <s v="B 14"/>
    <n v="1"/>
    <n v="3914"/>
    <x v="1246"/>
    <s v="Annual"/>
    <n v="7"/>
    <n v="1"/>
    <n v="113628"/>
    <n v="795396"/>
  </r>
  <r>
    <x v="1"/>
    <n v="50"/>
    <x v="18"/>
    <x v="25"/>
    <x v="25"/>
    <n v="1005"/>
    <x v="19"/>
    <x v="87"/>
    <x v="127"/>
    <n v="3905"/>
    <x v="369"/>
    <n v="0"/>
    <x v="0"/>
    <s v="B 14"/>
    <n v="1"/>
    <n v="3914"/>
    <x v="1246"/>
    <s v="Annual"/>
    <n v="6"/>
    <n v="1"/>
    <n v="98928"/>
    <n v="593568"/>
  </r>
  <r>
    <x v="1"/>
    <n v="50"/>
    <x v="18"/>
    <x v="25"/>
    <x v="25"/>
    <n v="1005"/>
    <x v="19"/>
    <x v="87"/>
    <x v="127"/>
    <n v="3905"/>
    <x v="369"/>
    <n v="0"/>
    <x v="0"/>
    <s v="B 14"/>
    <n v="1"/>
    <n v="3914"/>
    <x v="1246"/>
    <s v="Annual"/>
    <n v="5"/>
    <n v="1"/>
    <n v="77640"/>
    <n v="388200"/>
  </r>
  <r>
    <x v="1"/>
    <n v="50"/>
    <x v="18"/>
    <x v="25"/>
    <x v="25"/>
    <n v="1005"/>
    <x v="19"/>
    <x v="87"/>
    <x v="127"/>
    <n v="3905"/>
    <x v="369"/>
    <n v="0"/>
    <x v="0"/>
    <s v="B 14"/>
    <n v="1"/>
    <n v="3914"/>
    <x v="1246"/>
    <s v="Annual"/>
    <n v="4"/>
    <n v="1"/>
    <n v="75336"/>
    <n v="301344"/>
  </r>
  <r>
    <x v="1"/>
    <n v="50"/>
    <x v="18"/>
    <x v="25"/>
    <x v="25"/>
    <n v="1005"/>
    <x v="19"/>
    <x v="87"/>
    <x v="127"/>
    <n v="3905"/>
    <x v="369"/>
    <n v="0"/>
    <x v="0"/>
    <s v="BX 18"/>
    <n v="10"/>
    <n v="3906"/>
    <x v="1247"/>
    <s v="Annual"/>
    <n v="1"/>
    <n v="1"/>
    <n v="118956"/>
    <n v="118956"/>
  </r>
  <r>
    <x v="1"/>
    <n v="50"/>
    <x v="18"/>
    <x v="25"/>
    <x v="25"/>
    <n v="1005"/>
    <x v="19"/>
    <x v="87"/>
    <x v="127"/>
    <n v="3905"/>
    <x v="369"/>
    <n v="0"/>
    <x v="0"/>
    <s v="BX 18"/>
    <n v="10"/>
    <n v="3906"/>
    <x v="1247"/>
    <s v="Annual"/>
    <n v="1"/>
    <n v="1"/>
    <n v="93384"/>
    <n v="93384"/>
  </r>
  <r>
    <x v="1"/>
    <n v="50"/>
    <x v="18"/>
    <x v="25"/>
    <x v="25"/>
    <n v="1005"/>
    <x v="19"/>
    <x v="87"/>
    <x v="127"/>
    <n v="3905"/>
    <x v="369"/>
    <n v="0"/>
    <x v="0"/>
    <s v="G 07"/>
    <n v="3"/>
    <n v="2989"/>
    <x v="1208"/>
    <s v="Annual"/>
    <n v="1"/>
    <n v="1"/>
    <n v="122928"/>
    <n v="122928"/>
  </r>
  <r>
    <x v="1"/>
    <n v="50"/>
    <x v="18"/>
    <x v="25"/>
    <x v="25"/>
    <n v="1005"/>
    <x v="19"/>
    <x v="87"/>
    <x v="127"/>
    <n v="3905"/>
    <x v="369"/>
    <n v="0"/>
    <x v="0"/>
    <s v="B 14"/>
    <n v="4"/>
    <n v="1912"/>
    <x v="222"/>
    <s v="Annual"/>
    <n v="2"/>
    <n v="1"/>
    <n v="75336"/>
    <n v="150672"/>
  </r>
  <r>
    <x v="1"/>
    <n v="50"/>
    <x v="18"/>
    <x v="25"/>
    <x v="25"/>
    <n v="1005"/>
    <x v="19"/>
    <x v="87"/>
    <x v="127"/>
    <n v="3905"/>
    <x v="369"/>
    <n v="0"/>
    <x v="0"/>
    <s v="B 14"/>
    <n v="1"/>
    <n v="1730"/>
    <x v="531"/>
    <s v="Annual"/>
    <n v="1"/>
    <n v="1"/>
    <n v="75336"/>
    <n v="75336"/>
  </r>
  <r>
    <x v="1"/>
    <n v="50"/>
    <x v="18"/>
    <x v="25"/>
    <x v="25"/>
    <n v="1005"/>
    <x v="19"/>
    <x v="87"/>
    <x v="127"/>
    <n v="3905"/>
    <x v="369"/>
    <n v="0"/>
    <x v="0"/>
    <s v="B 13"/>
    <n v="1"/>
    <n v="1233"/>
    <x v="1248"/>
    <s v="Annual"/>
    <n v="1"/>
    <n v="1"/>
    <n v="119100"/>
    <n v="119100"/>
  </r>
  <r>
    <x v="1"/>
    <n v="50"/>
    <x v="18"/>
    <x v="25"/>
    <x v="25"/>
    <n v="1005"/>
    <x v="19"/>
    <x v="87"/>
    <x v="127"/>
    <n v="3905"/>
    <x v="369"/>
    <n v="0"/>
    <x v="0"/>
    <s v="B 12"/>
    <n v="3"/>
    <n v="904"/>
    <x v="1249"/>
    <s v="Annual"/>
    <n v="1"/>
    <n v="1"/>
    <n v="94452"/>
    <n v="94452"/>
  </r>
  <r>
    <x v="1"/>
    <n v="50"/>
    <x v="18"/>
    <x v="25"/>
    <x v="25"/>
    <n v="1005"/>
    <x v="19"/>
    <x v="87"/>
    <x v="127"/>
    <n v="3905"/>
    <x v="369"/>
    <n v="0"/>
    <x v="0"/>
    <s v="B 10"/>
    <n v="3"/>
    <n v="903"/>
    <x v="1250"/>
    <s v="Annual"/>
    <n v="1"/>
    <n v="1"/>
    <n v="90144"/>
    <n v="90144"/>
  </r>
  <r>
    <x v="1"/>
    <n v="50"/>
    <x v="18"/>
    <x v="25"/>
    <x v="25"/>
    <n v="1005"/>
    <x v="19"/>
    <x v="87"/>
    <x v="127"/>
    <n v="3905"/>
    <x v="369"/>
    <n v="0"/>
    <x v="0"/>
    <s v="B 10"/>
    <n v="3"/>
    <n v="903"/>
    <x v="1250"/>
    <s v="Annual"/>
    <n v="1"/>
    <n v="1"/>
    <n v="51936"/>
    <n v="51936"/>
  </r>
  <r>
    <x v="1"/>
    <n v="50"/>
    <x v="18"/>
    <x v="25"/>
    <x v="25"/>
    <n v="1005"/>
    <x v="19"/>
    <x v="87"/>
    <x v="127"/>
    <n v="3905"/>
    <x v="369"/>
    <n v="0"/>
    <x v="0"/>
    <s v="BX 12"/>
    <n v="10"/>
    <n v="804"/>
    <x v="1251"/>
    <s v="Annual"/>
    <n v="1"/>
    <n v="1"/>
    <n v="52716"/>
    <n v="52716"/>
  </r>
  <r>
    <x v="1"/>
    <n v="50"/>
    <x v="18"/>
    <x v="25"/>
    <x v="25"/>
    <n v="1005"/>
    <x v="19"/>
    <x v="87"/>
    <x v="127"/>
    <n v="3905"/>
    <x v="369"/>
    <n v="0"/>
    <x v="0"/>
    <s v="G 08"/>
    <n v="4"/>
    <n v="673"/>
    <x v="218"/>
    <s v="Annual"/>
    <n v="1"/>
    <n v="1"/>
    <n v="122928"/>
    <n v="122928"/>
  </r>
  <r>
    <x v="1"/>
    <n v="50"/>
    <x v="18"/>
    <x v="25"/>
    <x v="25"/>
    <n v="1005"/>
    <x v="19"/>
    <x v="87"/>
    <x v="127"/>
    <n v="3905"/>
    <x v="369"/>
    <n v="0"/>
    <x v="0"/>
    <s v="B 10"/>
    <n v="1"/>
    <s v="03A7"/>
    <x v="4"/>
    <s v="Annual"/>
    <n v="1"/>
    <n v="1"/>
    <n v="82140"/>
    <n v="82140"/>
  </r>
  <r>
    <x v="1"/>
    <n v="50"/>
    <x v="18"/>
    <x v="25"/>
    <x v="25"/>
    <n v="1005"/>
    <x v="19"/>
    <x v="87"/>
    <x v="127"/>
    <n v="3905"/>
    <x v="369"/>
    <n v="0"/>
    <x v="0"/>
    <s v="B 10"/>
    <n v="1"/>
    <s v="03A7"/>
    <x v="4"/>
    <s v="Annual"/>
    <n v="1"/>
    <n v="1"/>
    <n v="51936"/>
    <n v="51936"/>
  </r>
  <r>
    <x v="1"/>
    <n v="50"/>
    <x v="18"/>
    <x v="25"/>
    <x v="25"/>
    <n v="1005"/>
    <x v="19"/>
    <x v="87"/>
    <x v="127"/>
    <n v="3905"/>
    <x v="369"/>
    <n v="0"/>
    <x v="0"/>
    <s v="GY 11"/>
    <n v="20"/>
    <n v="187"/>
    <x v="250"/>
    <s v="Annual"/>
    <n v="1"/>
    <n v="1"/>
    <n v="106272"/>
    <n v="106272"/>
  </r>
  <r>
    <x v="1"/>
    <n v="50"/>
    <x v="18"/>
    <x v="25"/>
    <x v="25"/>
    <n v="1005"/>
    <x v="19"/>
    <x v="87"/>
    <x v="127"/>
    <n v="3905"/>
    <x v="369"/>
    <n v="0"/>
    <x v="0"/>
    <s v="B 13"/>
    <n v="4"/>
    <n v="110"/>
    <x v="93"/>
    <s v="Annual"/>
    <n v="1"/>
    <n v="1"/>
    <n v="119100"/>
    <n v="119100"/>
  </r>
  <r>
    <x v="1"/>
    <n v="50"/>
    <x v="18"/>
    <x v="25"/>
    <x v="25"/>
    <n v="1005"/>
    <x v="19"/>
    <x v="87"/>
    <x v="127"/>
    <n v="3905"/>
    <x v="369"/>
    <n v="0"/>
    <x v="0"/>
    <s v="B 13"/>
    <n v="4"/>
    <n v="110"/>
    <x v="93"/>
    <s v="Annual"/>
    <n v="1"/>
    <n v="1"/>
    <n v="94452"/>
    <n v="94452"/>
  </r>
  <r>
    <x v="1"/>
    <n v="50"/>
    <x v="18"/>
    <x v="25"/>
    <x v="25"/>
    <n v="1005"/>
    <x v="19"/>
    <x v="87"/>
    <x v="127"/>
    <n v="3905"/>
    <x v="369"/>
    <n v="0"/>
    <x v="0"/>
    <s v="B 13"/>
    <n v="4"/>
    <n v="110"/>
    <x v="93"/>
    <s v="Annual"/>
    <n v="1"/>
    <n v="1"/>
    <n v="68616"/>
    <n v="68616"/>
  </r>
  <r>
    <x v="1"/>
    <n v="50"/>
    <x v="18"/>
    <x v="25"/>
    <x v="25"/>
    <n v="1005"/>
    <x v="19"/>
    <x v="87"/>
    <x v="127"/>
    <n v="3905"/>
    <x v="369"/>
    <n v="0"/>
    <x v="0"/>
    <s v="B 11"/>
    <n v="1"/>
    <n v="109"/>
    <x v="94"/>
    <s v="Annual"/>
    <n v="1"/>
    <n v="1"/>
    <n v="98928"/>
    <n v="98928"/>
  </r>
  <r>
    <x v="1"/>
    <n v="50"/>
    <x v="18"/>
    <x v="25"/>
    <x v="25"/>
    <n v="1005"/>
    <x v="19"/>
    <x v="87"/>
    <x v="127"/>
    <n v="3905"/>
    <x v="369"/>
    <n v="0"/>
    <x v="0"/>
    <s v="1 00"/>
    <n v="0"/>
    <n v="44"/>
    <x v="1206"/>
    <s v="Annual"/>
    <n v="0"/>
    <n v="0"/>
    <n v="2843446"/>
    <n v="2843446"/>
  </r>
  <r>
    <x v="1"/>
    <n v="50"/>
    <x v="18"/>
    <x v="25"/>
    <x v="25"/>
    <n v="1005"/>
    <x v="19"/>
    <x v="87"/>
    <x v="127"/>
    <n v="3905"/>
    <x v="369"/>
    <n v="0"/>
    <x v="0"/>
    <s v="1 00"/>
    <n v="0"/>
    <n v="15"/>
    <x v="37"/>
    <s v="Annual"/>
    <n v="0"/>
    <n v="0"/>
    <n v="31788"/>
    <n v="31788"/>
  </r>
  <r>
    <x v="1"/>
    <n v="50"/>
    <x v="18"/>
    <x v="25"/>
    <x v="25"/>
    <n v="1005"/>
    <x v="19"/>
    <x v="88"/>
    <x v="128"/>
    <n v="3868"/>
    <x v="370"/>
    <n v="0"/>
    <x v="0"/>
    <s v="G 05"/>
    <n v="3"/>
    <n v="3023"/>
    <x v="1244"/>
    <s v="Annual"/>
    <n v="1"/>
    <n v="1"/>
    <n v="108708"/>
    <n v="108708"/>
  </r>
  <r>
    <x v="1"/>
    <n v="50"/>
    <x v="18"/>
    <x v="25"/>
    <x v="25"/>
    <n v="1005"/>
    <x v="19"/>
    <x v="88"/>
    <x v="128"/>
    <n v="3868"/>
    <x v="370"/>
    <n v="0"/>
    <x v="0"/>
    <s v="1 00"/>
    <n v="0"/>
    <n v="44"/>
    <x v="1206"/>
    <s v="Annual"/>
    <n v="0"/>
    <n v="0"/>
    <n v="60833"/>
    <n v="60833"/>
  </r>
  <r>
    <x v="1"/>
    <n v="50"/>
    <x v="18"/>
    <x v="25"/>
    <x v="25"/>
    <n v="1005"/>
    <x v="19"/>
    <x v="89"/>
    <x v="129"/>
    <n v="3904"/>
    <x v="371"/>
    <n v="0"/>
    <x v="0"/>
    <s v="X 32"/>
    <n v="9"/>
    <n v="9679"/>
    <x v="81"/>
    <s v="Annual"/>
    <n v="2"/>
    <n v="1"/>
    <n v="167964"/>
    <n v="335928"/>
  </r>
  <r>
    <x v="1"/>
    <n v="50"/>
    <x v="18"/>
    <x v="25"/>
    <x v="25"/>
    <n v="1005"/>
    <x v="19"/>
    <x v="89"/>
    <x v="129"/>
    <n v="3904"/>
    <x v="371"/>
    <n v="0"/>
    <x v="0"/>
    <s v="BX 19"/>
    <n v="10"/>
    <n v="3942"/>
    <x v="1237"/>
    <s v="Annual"/>
    <n v="1"/>
    <n v="1"/>
    <n v="102444"/>
    <n v="102444"/>
  </r>
  <r>
    <x v="1"/>
    <n v="50"/>
    <x v="18"/>
    <x v="25"/>
    <x v="25"/>
    <n v="1005"/>
    <x v="19"/>
    <x v="89"/>
    <x v="129"/>
    <n v="3904"/>
    <x v="371"/>
    <n v="0"/>
    <x v="0"/>
    <s v="B 13"/>
    <n v="1"/>
    <n v="3898"/>
    <x v="850"/>
    <s v="Annual"/>
    <n v="1"/>
    <n v="1"/>
    <n v="68616"/>
    <n v="68616"/>
  </r>
  <r>
    <x v="1"/>
    <n v="50"/>
    <x v="18"/>
    <x v="25"/>
    <x v="25"/>
    <n v="1005"/>
    <x v="19"/>
    <x v="89"/>
    <x v="129"/>
    <n v="3904"/>
    <x v="371"/>
    <n v="0"/>
    <x v="0"/>
    <s v="B 08"/>
    <n v="3"/>
    <n v="3077"/>
    <x v="1252"/>
    <s v="Hourly"/>
    <n v="1040"/>
    <n v="0"/>
    <n v="22.82"/>
    <n v="23733"/>
  </r>
  <r>
    <x v="1"/>
    <n v="50"/>
    <x v="18"/>
    <x v="25"/>
    <x v="25"/>
    <n v="1005"/>
    <x v="19"/>
    <x v="89"/>
    <x v="129"/>
    <n v="3904"/>
    <x v="371"/>
    <n v="0"/>
    <x v="0"/>
    <s v="GY 07"/>
    <n v="10"/>
    <n v="3068"/>
    <x v="1253"/>
    <s v="Annual"/>
    <n v="1"/>
    <n v="1"/>
    <n v="102648"/>
    <n v="102648"/>
  </r>
  <r>
    <x v="1"/>
    <n v="50"/>
    <x v="18"/>
    <x v="25"/>
    <x v="25"/>
    <n v="1005"/>
    <x v="19"/>
    <x v="89"/>
    <x v="129"/>
    <n v="3904"/>
    <x v="371"/>
    <n v="0"/>
    <x v="0"/>
    <s v="G 04"/>
    <n v="3"/>
    <n v="3066"/>
    <x v="1254"/>
    <s v="Annual"/>
    <n v="2"/>
    <n v="1"/>
    <n v="98460"/>
    <n v="196920"/>
  </r>
  <r>
    <x v="1"/>
    <n v="50"/>
    <x v="18"/>
    <x v="25"/>
    <x v="25"/>
    <n v="1005"/>
    <x v="19"/>
    <x v="89"/>
    <x v="129"/>
    <n v="3904"/>
    <x v="371"/>
    <n v="0"/>
    <x v="0"/>
    <s v="G 04"/>
    <n v="3"/>
    <n v="3066"/>
    <x v="1254"/>
    <s v="Annual"/>
    <n v="1"/>
    <n v="1"/>
    <n v="88524"/>
    <n v="88524"/>
  </r>
  <r>
    <x v="1"/>
    <n v="50"/>
    <x v="18"/>
    <x v="25"/>
    <x v="25"/>
    <n v="1005"/>
    <x v="19"/>
    <x v="89"/>
    <x v="129"/>
    <n v="3904"/>
    <x v="371"/>
    <n v="0"/>
    <x v="0"/>
    <s v="4 00"/>
    <n v="9"/>
    <n v="3049"/>
    <x v="1255"/>
    <s v="Hourly"/>
    <n v="78000"/>
    <n v="0"/>
    <n v="15.4"/>
    <n v="1201200"/>
  </r>
  <r>
    <x v="1"/>
    <n v="50"/>
    <x v="18"/>
    <x v="25"/>
    <x v="25"/>
    <n v="1005"/>
    <x v="19"/>
    <x v="89"/>
    <x v="129"/>
    <n v="3904"/>
    <x v="371"/>
    <n v="0"/>
    <x v="0"/>
    <s v="BX 15"/>
    <n v="10"/>
    <n v="3033"/>
    <x v="1256"/>
    <s v="Annual"/>
    <n v="1"/>
    <n v="1"/>
    <n v="108432"/>
    <n v="108432"/>
  </r>
  <r>
    <x v="1"/>
    <n v="50"/>
    <x v="18"/>
    <x v="25"/>
    <x v="25"/>
    <n v="1005"/>
    <x v="19"/>
    <x v="89"/>
    <x v="129"/>
    <n v="3904"/>
    <x v="371"/>
    <n v="0"/>
    <x v="0"/>
    <s v="BX 15"/>
    <n v="10"/>
    <n v="3033"/>
    <x v="1256"/>
    <s v="Annual"/>
    <n v="1"/>
    <n v="1"/>
    <n v="83052"/>
    <n v="83052"/>
  </r>
  <r>
    <x v="1"/>
    <n v="50"/>
    <x v="18"/>
    <x v="25"/>
    <x v="25"/>
    <n v="1005"/>
    <x v="19"/>
    <x v="89"/>
    <x v="129"/>
    <n v="3904"/>
    <x v="371"/>
    <n v="0"/>
    <x v="0"/>
    <s v="BX 15"/>
    <n v="10"/>
    <n v="3033"/>
    <x v="1256"/>
    <s v="Annual"/>
    <n v="2"/>
    <n v="1"/>
    <n v="80124"/>
    <n v="160248"/>
  </r>
  <r>
    <x v="1"/>
    <n v="50"/>
    <x v="18"/>
    <x v="25"/>
    <x v="25"/>
    <n v="1005"/>
    <x v="19"/>
    <x v="89"/>
    <x v="129"/>
    <n v="3904"/>
    <x v="371"/>
    <n v="0"/>
    <x v="0"/>
    <s v="BX 15"/>
    <n v="10"/>
    <n v="3033"/>
    <x v="1256"/>
    <s v="Annual"/>
    <n v="1"/>
    <n v="1"/>
    <n v="76476"/>
    <n v="76476"/>
  </r>
  <r>
    <x v="1"/>
    <n v="50"/>
    <x v="18"/>
    <x v="25"/>
    <x v="25"/>
    <n v="1005"/>
    <x v="19"/>
    <x v="89"/>
    <x v="129"/>
    <n v="3904"/>
    <x v="371"/>
    <n v="0"/>
    <x v="0"/>
    <s v="BX 16"/>
    <n v="10"/>
    <n v="3032"/>
    <x v="1257"/>
    <s v="Annual"/>
    <n v="1"/>
    <n v="1"/>
    <n v="118956"/>
    <n v="118956"/>
  </r>
  <r>
    <x v="1"/>
    <n v="50"/>
    <x v="18"/>
    <x v="25"/>
    <x v="25"/>
    <n v="1005"/>
    <x v="19"/>
    <x v="89"/>
    <x v="129"/>
    <n v="3904"/>
    <x v="371"/>
    <n v="0"/>
    <x v="0"/>
    <s v="BX 16"/>
    <n v="10"/>
    <n v="3032"/>
    <x v="1257"/>
    <s v="Annual"/>
    <n v="1"/>
    <n v="1"/>
    <n v="108432"/>
    <n v="108432"/>
  </r>
  <r>
    <x v="1"/>
    <n v="50"/>
    <x v="18"/>
    <x v="25"/>
    <x v="25"/>
    <n v="1005"/>
    <x v="19"/>
    <x v="89"/>
    <x v="129"/>
    <n v="3904"/>
    <x v="371"/>
    <n v="0"/>
    <x v="0"/>
    <s v="BX 16"/>
    <n v="10"/>
    <n v="3032"/>
    <x v="1257"/>
    <s v="Annual"/>
    <n v="1"/>
    <n v="1"/>
    <n v="98832"/>
    <n v="98832"/>
  </r>
  <r>
    <x v="1"/>
    <n v="50"/>
    <x v="18"/>
    <x v="25"/>
    <x v="25"/>
    <n v="1005"/>
    <x v="19"/>
    <x v="89"/>
    <x v="129"/>
    <n v="3904"/>
    <x v="371"/>
    <n v="0"/>
    <x v="0"/>
    <s v="BX 16"/>
    <n v="10"/>
    <n v="3032"/>
    <x v="1257"/>
    <s v="Annual"/>
    <n v="1"/>
    <n v="1"/>
    <n v="94332"/>
    <n v="94332"/>
  </r>
  <r>
    <x v="1"/>
    <n v="50"/>
    <x v="18"/>
    <x v="25"/>
    <x v="25"/>
    <n v="1005"/>
    <x v="19"/>
    <x v="89"/>
    <x v="129"/>
    <n v="3904"/>
    <x v="371"/>
    <n v="0"/>
    <x v="0"/>
    <s v="BX 16"/>
    <n v="10"/>
    <n v="3032"/>
    <x v="1257"/>
    <s v="Annual"/>
    <n v="2"/>
    <n v="1"/>
    <n v="85128"/>
    <n v="170256"/>
  </r>
  <r>
    <x v="1"/>
    <n v="50"/>
    <x v="18"/>
    <x v="25"/>
    <x v="25"/>
    <n v="1005"/>
    <x v="19"/>
    <x v="89"/>
    <x v="129"/>
    <n v="3904"/>
    <x v="371"/>
    <n v="0"/>
    <x v="0"/>
    <s v="B 11"/>
    <n v="3"/>
    <n v="3025"/>
    <x v="1243"/>
    <s v="Annual"/>
    <n v="3"/>
    <n v="1"/>
    <n v="98928"/>
    <n v="296784"/>
  </r>
  <r>
    <x v="1"/>
    <n v="50"/>
    <x v="18"/>
    <x v="25"/>
    <x v="25"/>
    <n v="1005"/>
    <x v="19"/>
    <x v="89"/>
    <x v="129"/>
    <n v="3904"/>
    <x v="371"/>
    <n v="0"/>
    <x v="0"/>
    <s v="B 11"/>
    <n v="3"/>
    <n v="3025"/>
    <x v="1243"/>
    <s v="Annual"/>
    <n v="2"/>
    <n v="1"/>
    <n v="64488"/>
    <n v="128976"/>
  </r>
  <r>
    <x v="1"/>
    <n v="50"/>
    <x v="18"/>
    <x v="25"/>
    <x v="25"/>
    <n v="1005"/>
    <x v="19"/>
    <x v="89"/>
    <x v="129"/>
    <n v="3904"/>
    <x v="371"/>
    <n v="0"/>
    <x v="0"/>
    <s v="B 11"/>
    <n v="3"/>
    <n v="3025"/>
    <x v="1243"/>
    <s v="Annual"/>
    <n v="7"/>
    <n v="1"/>
    <n v="61548"/>
    <n v="430836"/>
  </r>
  <r>
    <x v="1"/>
    <n v="50"/>
    <x v="18"/>
    <x v="25"/>
    <x v="25"/>
    <n v="1005"/>
    <x v="19"/>
    <x v="89"/>
    <x v="129"/>
    <n v="3904"/>
    <x v="371"/>
    <n v="0"/>
    <x v="0"/>
    <s v="B 11"/>
    <n v="3"/>
    <n v="3025"/>
    <x v="1243"/>
    <s v="Annual"/>
    <n v="10"/>
    <n v="1"/>
    <n v="57000"/>
    <n v="570000"/>
  </r>
  <r>
    <x v="1"/>
    <n v="50"/>
    <x v="18"/>
    <x v="25"/>
    <x v="25"/>
    <n v="1005"/>
    <x v="19"/>
    <x v="89"/>
    <x v="129"/>
    <n v="3904"/>
    <x v="371"/>
    <n v="0"/>
    <x v="0"/>
    <s v="G 05"/>
    <n v="3"/>
    <n v="3024"/>
    <x v="1258"/>
    <s v="Hourly"/>
    <n v="3120"/>
    <n v="0"/>
    <n v="39.6"/>
    <n v="123552"/>
  </r>
  <r>
    <x v="1"/>
    <n v="50"/>
    <x v="18"/>
    <x v="25"/>
    <x v="25"/>
    <n v="1005"/>
    <x v="19"/>
    <x v="89"/>
    <x v="129"/>
    <n v="3904"/>
    <x v="371"/>
    <n v="0"/>
    <x v="0"/>
    <s v="G 05"/>
    <n v="3"/>
    <n v="3023"/>
    <x v="1244"/>
    <s v="Annual"/>
    <n v="1"/>
    <n v="1"/>
    <n v="108708"/>
    <n v="108708"/>
  </r>
  <r>
    <x v="1"/>
    <n v="50"/>
    <x v="18"/>
    <x v="25"/>
    <x v="25"/>
    <n v="1005"/>
    <x v="19"/>
    <x v="89"/>
    <x v="129"/>
    <n v="3904"/>
    <x v="371"/>
    <n v="0"/>
    <x v="0"/>
    <s v="G 05"/>
    <n v="3"/>
    <n v="3023"/>
    <x v="1244"/>
    <s v="Annual"/>
    <n v="1"/>
    <n v="1"/>
    <n v="88524"/>
    <n v="88524"/>
  </r>
  <r>
    <x v="1"/>
    <n v="50"/>
    <x v="18"/>
    <x v="25"/>
    <x v="25"/>
    <n v="1005"/>
    <x v="19"/>
    <x v="89"/>
    <x v="129"/>
    <n v="3904"/>
    <x v="371"/>
    <n v="0"/>
    <x v="0"/>
    <s v="G 05"/>
    <n v="3"/>
    <n v="3023"/>
    <x v="1244"/>
    <s v="Annual"/>
    <n v="1"/>
    <n v="1"/>
    <n v="84192"/>
    <n v="84192"/>
  </r>
  <r>
    <x v="1"/>
    <n v="50"/>
    <x v="18"/>
    <x v="25"/>
    <x v="25"/>
    <n v="1005"/>
    <x v="19"/>
    <x v="89"/>
    <x v="129"/>
    <n v="3904"/>
    <x v="371"/>
    <n v="0"/>
    <x v="0"/>
    <s v="G 05"/>
    <n v="3"/>
    <n v="3023"/>
    <x v="1244"/>
    <s v="Annual"/>
    <n v="1"/>
    <n v="1"/>
    <n v="80196"/>
    <n v="80196"/>
  </r>
  <r>
    <x v="1"/>
    <n v="50"/>
    <x v="18"/>
    <x v="25"/>
    <x v="25"/>
    <n v="1005"/>
    <x v="19"/>
    <x v="89"/>
    <x v="129"/>
    <n v="3904"/>
    <x v="371"/>
    <n v="0"/>
    <x v="0"/>
    <s v="G 05"/>
    <n v="3"/>
    <n v="3023"/>
    <x v="1244"/>
    <s v="Annual"/>
    <n v="1"/>
    <n v="1"/>
    <n v="76464"/>
    <n v="76464"/>
  </r>
  <r>
    <x v="1"/>
    <n v="50"/>
    <x v="18"/>
    <x v="25"/>
    <x v="25"/>
    <n v="1005"/>
    <x v="19"/>
    <x v="89"/>
    <x v="129"/>
    <n v="3904"/>
    <x v="371"/>
    <n v="0"/>
    <x v="0"/>
    <s v="G 05"/>
    <n v="3"/>
    <n v="3023"/>
    <x v="1244"/>
    <s v="Annual"/>
    <n v="1"/>
    <n v="1"/>
    <n v="74160"/>
    <n v="74160"/>
  </r>
  <r>
    <x v="1"/>
    <n v="50"/>
    <x v="18"/>
    <x v="25"/>
    <x v="25"/>
    <n v="1005"/>
    <x v="19"/>
    <x v="89"/>
    <x v="129"/>
    <n v="3904"/>
    <x v="371"/>
    <n v="0"/>
    <x v="0"/>
    <s v="BX 15"/>
    <n v="10"/>
    <n v="3022"/>
    <x v="1259"/>
    <s v="Annual"/>
    <n v="1"/>
    <n v="1"/>
    <n v="80124"/>
    <n v="80124"/>
  </r>
  <r>
    <x v="1"/>
    <n v="50"/>
    <x v="18"/>
    <x v="25"/>
    <x v="25"/>
    <n v="1005"/>
    <x v="19"/>
    <x v="89"/>
    <x v="129"/>
    <n v="3904"/>
    <x v="371"/>
    <n v="0"/>
    <x v="0"/>
    <s v="BX 17"/>
    <n v="10"/>
    <n v="3021"/>
    <x v="1260"/>
    <s v="Annual"/>
    <n v="1"/>
    <n v="1"/>
    <n v="93384"/>
    <n v="93384"/>
  </r>
  <r>
    <x v="1"/>
    <n v="50"/>
    <x v="18"/>
    <x v="25"/>
    <x v="25"/>
    <n v="1005"/>
    <x v="19"/>
    <x v="89"/>
    <x v="129"/>
    <n v="3904"/>
    <x v="371"/>
    <n v="0"/>
    <x v="0"/>
    <s v="X 33"/>
    <n v="0"/>
    <n v="3018"/>
    <x v="600"/>
    <s v="Annual"/>
    <n v="1"/>
    <n v="1"/>
    <n v="146808"/>
    <n v="146808"/>
  </r>
  <r>
    <x v="1"/>
    <n v="50"/>
    <x v="18"/>
    <x v="25"/>
    <x v="25"/>
    <n v="1005"/>
    <x v="19"/>
    <x v="89"/>
    <x v="129"/>
    <n v="3904"/>
    <x v="371"/>
    <n v="0"/>
    <x v="0"/>
    <s v="BX 17"/>
    <n v="20"/>
    <n v="3011"/>
    <x v="603"/>
    <s v="Annual"/>
    <n v="2"/>
    <n v="1"/>
    <n v="97836"/>
    <n v="195672"/>
  </r>
  <r>
    <x v="1"/>
    <n v="50"/>
    <x v="18"/>
    <x v="25"/>
    <x v="25"/>
    <n v="1005"/>
    <x v="19"/>
    <x v="89"/>
    <x v="129"/>
    <n v="3904"/>
    <x v="371"/>
    <n v="0"/>
    <x v="0"/>
    <s v="G 07"/>
    <n v="3"/>
    <n v="2989"/>
    <x v="1208"/>
    <s v="Annual"/>
    <n v="1"/>
    <n v="1"/>
    <n v="107628"/>
    <n v="107628"/>
  </r>
  <r>
    <x v="1"/>
    <n v="50"/>
    <x v="18"/>
    <x v="25"/>
    <x v="25"/>
    <n v="1005"/>
    <x v="19"/>
    <x v="89"/>
    <x v="129"/>
    <n v="3904"/>
    <x v="371"/>
    <n v="0"/>
    <x v="0"/>
    <s v="B 14"/>
    <n v="4"/>
    <n v="1912"/>
    <x v="222"/>
    <s v="Annual"/>
    <n v="1"/>
    <n v="1"/>
    <n v="85200"/>
    <n v="85200"/>
  </r>
  <r>
    <x v="1"/>
    <n v="50"/>
    <x v="18"/>
    <x v="25"/>
    <x v="25"/>
    <n v="1005"/>
    <x v="19"/>
    <x v="89"/>
    <x v="129"/>
    <n v="3904"/>
    <x v="371"/>
    <n v="0"/>
    <x v="0"/>
    <s v="B 14"/>
    <n v="4"/>
    <n v="1912"/>
    <x v="222"/>
    <s v="Annual"/>
    <n v="3"/>
    <n v="1"/>
    <n v="81324"/>
    <n v="243972"/>
  </r>
  <r>
    <x v="1"/>
    <n v="50"/>
    <x v="18"/>
    <x v="25"/>
    <x v="25"/>
    <n v="1005"/>
    <x v="19"/>
    <x v="89"/>
    <x v="129"/>
    <n v="3904"/>
    <x v="371"/>
    <n v="0"/>
    <x v="0"/>
    <s v="B 14"/>
    <n v="4"/>
    <n v="1912"/>
    <x v="222"/>
    <s v="Annual"/>
    <n v="1"/>
    <n v="1"/>
    <n v="75336"/>
    <n v="75336"/>
  </r>
  <r>
    <x v="1"/>
    <n v="50"/>
    <x v="18"/>
    <x v="25"/>
    <x v="25"/>
    <n v="1005"/>
    <x v="19"/>
    <x v="89"/>
    <x v="129"/>
    <n v="3904"/>
    <x v="371"/>
    <n v="0"/>
    <x v="0"/>
    <s v="GY 08"/>
    <n v="20"/>
    <n v="1141"/>
    <x v="79"/>
    <s v="Annual"/>
    <n v="1"/>
    <n v="1"/>
    <n v="89112"/>
    <n v="89112"/>
  </r>
  <r>
    <x v="1"/>
    <n v="50"/>
    <x v="18"/>
    <x v="25"/>
    <x v="25"/>
    <n v="1005"/>
    <x v="19"/>
    <x v="89"/>
    <x v="129"/>
    <n v="3904"/>
    <x v="371"/>
    <n v="0"/>
    <x v="0"/>
    <s v="B 08"/>
    <n v="1"/>
    <n v="459"/>
    <x v="679"/>
    <s v="Annual"/>
    <n v="1"/>
    <n v="1"/>
    <n v="71436"/>
    <n v="71436"/>
  </r>
  <r>
    <x v="1"/>
    <n v="50"/>
    <x v="18"/>
    <x v="25"/>
    <x v="25"/>
    <n v="1005"/>
    <x v="19"/>
    <x v="89"/>
    <x v="129"/>
    <n v="3904"/>
    <x v="371"/>
    <n v="0"/>
    <x v="0"/>
    <s v="B 08"/>
    <n v="1"/>
    <n v="459"/>
    <x v="679"/>
    <s v="Annual"/>
    <n v="1"/>
    <n v="1"/>
    <n v="44496"/>
    <n v="44496"/>
  </r>
  <r>
    <x v="1"/>
    <n v="50"/>
    <x v="18"/>
    <x v="25"/>
    <x v="25"/>
    <n v="1005"/>
    <x v="19"/>
    <x v="89"/>
    <x v="129"/>
    <n v="3904"/>
    <x v="371"/>
    <n v="0"/>
    <x v="0"/>
    <s v="B 08"/>
    <n v="1"/>
    <n v="459"/>
    <x v="679"/>
    <s v="Annual"/>
    <n v="1"/>
    <n v="1"/>
    <n v="43164"/>
    <n v="43164"/>
  </r>
  <r>
    <x v="1"/>
    <n v="50"/>
    <x v="18"/>
    <x v="25"/>
    <x v="25"/>
    <n v="1005"/>
    <x v="19"/>
    <x v="89"/>
    <x v="129"/>
    <n v="3904"/>
    <x v="371"/>
    <n v="0"/>
    <x v="0"/>
    <s v="B 10"/>
    <n v="1"/>
    <s v="03A7"/>
    <x v="4"/>
    <s v="Annual"/>
    <n v="2"/>
    <n v="1"/>
    <n v="90144"/>
    <n v="180288"/>
  </r>
  <r>
    <x v="1"/>
    <n v="50"/>
    <x v="18"/>
    <x v="25"/>
    <x v="25"/>
    <n v="1005"/>
    <x v="19"/>
    <x v="89"/>
    <x v="129"/>
    <n v="3904"/>
    <x v="371"/>
    <n v="0"/>
    <x v="0"/>
    <s v="B 10"/>
    <n v="1"/>
    <s v="03A7"/>
    <x v="4"/>
    <s v="Annual"/>
    <n v="1"/>
    <n v="1"/>
    <n v="74916"/>
    <n v="74916"/>
  </r>
  <r>
    <x v="1"/>
    <n v="50"/>
    <x v="18"/>
    <x v="25"/>
    <x v="25"/>
    <n v="1005"/>
    <x v="19"/>
    <x v="89"/>
    <x v="129"/>
    <n v="3904"/>
    <x v="371"/>
    <n v="0"/>
    <x v="0"/>
    <s v="B 10"/>
    <n v="1"/>
    <s v="03A7"/>
    <x v="4"/>
    <s v="Annual"/>
    <n v="1"/>
    <n v="1"/>
    <n v="71436"/>
    <n v="71436"/>
  </r>
  <r>
    <x v="1"/>
    <n v="50"/>
    <x v="18"/>
    <x v="25"/>
    <x v="25"/>
    <n v="1005"/>
    <x v="19"/>
    <x v="89"/>
    <x v="129"/>
    <n v="3904"/>
    <x v="371"/>
    <n v="0"/>
    <x v="0"/>
    <s v="X 33"/>
    <n v="9"/>
    <n v="313"/>
    <x v="220"/>
    <s v="Annual"/>
    <n v="1"/>
    <n v="1"/>
    <n v="153384"/>
    <n v="153384"/>
  </r>
  <r>
    <x v="1"/>
    <n v="50"/>
    <x v="18"/>
    <x v="25"/>
    <x v="25"/>
    <n v="1005"/>
    <x v="19"/>
    <x v="89"/>
    <x v="129"/>
    <n v="3904"/>
    <x v="371"/>
    <n v="0"/>
    <x v="0"/>
    <s v="B 13"/>
    <n v="1"/>
    <n v="308"/>
    <x v="90"/>
    <s v="Annual"/>
    <n v="2"/>
    <n v="1"/>
    <n v="68616"/>
    <n v="137232"/>
  </r>
  <r>
    <x v="1"/>
    <n v="50"/>
    <x v="18"/>
    <x v="25"/>
    <x v="25"/>
    <n v="1005"/>
    <x v="19"/>
    <x v="89"/>
    <x v="129"/>
    <n v="3904"/>
    <x v="371"/>
    <n v="0"/>
    <x v="0"/>
    <s v="BX 17"/>
    <n v="10"/>
    <n v="304"/>
    <x v="881"/>
    <s v="Annual"/>
    <n v="1"/>
    <n v="1"/>
    <n v="136692"/>
    <n v="136692"/>
  </r>
  <r>
    <x v="1"/>
    <n v="50"/>
    <x v="18"/>
    <x v="25"/>
    <x v="25"/>
    <n v="1005"/>
    <x v="19"/>
    <x v="89"/>
    <x v="129"/>
    <n v="3904"/>
    <x v="371"/>
    <n v="0"/>
    <x v="0"/>
    <s v="GY 11"/>
    <n v="20"/>
    <n v="187"/>
    <x v="250"/>
    <s v="Annual"/>
    <n v="1"/>
    <n v="1"/>
    <n v="126756"/>
    <n v="126756"/>
  </r>
  <r>
    <x v="1"/>
    <n v="50"/>
    <x v="18"/>
    <x v="25"/>
    <x v="25"/>
    <n v="1005"/>
    <x v="19"/>
    <x v="89"/>
    <x v="129"/>
    <n v="3904"/>
    <x v="371"/>
    <n v="0"/>
    <x v="0"/>
    <s v="GY 10"/>
    <n v="20"/>
    <n v="120"/>
    <x v="251"/>
    <s v="Annual"/>
    <n v="1"/>
    <n v="1"/>
    <n v="130476"/>
    <n v="130476"/>
  </r>
  <r>
    <x v="1"/>
    <n v="50"/>
    <x v="18"/>
    <x v="25"/>
    <x v="25"/>
    <n v="1005"/>
    <x v="19"/>
    <x v="89"/>
    <x v="129"/>
    <n v="3904"/>
    <x v="371"/>
    <n v="0"/>
    <x v="0"/>
    <s v="G 07"/>
    <n v="4"/>
    <n v="111"/>
    <x v="245"/>
    <s v="Annual"/>
    <n v="1"/>
    <n v="1"/>
    <n v="122928"/>
    <n v="122928"/>
  </r>
  <r>
    <x v="1"/>
    <n v="50"/>
    <x v="18"/>
    <x v="25"/>
    <x v="25"/>
    <n v="1005"/>
    <x v="19"/>
    <x v="89"/>
    <x v="129"/>
    <n v="3904"/>
    <x v="371"/>
    <n v="0"/>
    <x v="0"/>
    <s v="B 13"/>
    <n v="4"/>
    <n v="110"/>
    <x v="93"/>
    <s v="Annual"/>
    <n v="1"/>
    <n v="1"/>
    <n v="70752"/>
    <n v="70752"/>
  </r>
  <r>
    <x v="1"/>
    <n v="50"/>
    <x v="18"/>
    <x v="25"/>
    <x v="25"/>
    <n v="1005"/>
    <x v="19"/>
    <x v="89"/>
    <x v="129"/>
    <n v="3904"/>
    <x v="371"/>
    <n v="0"/>
    <x v="0"/>
    <s v="B 11"/>
    <n v="1"/>
    <n v="109"/>
    <x v="94"/>
    <s v="Annual"/>
    <n v="2"/>
    <n v="1"/>
    <n v="57000"/>
    <n v="114000"/>
  </r>
  <r>
    <x v="1"/>
    <n v="50"/>
    <x v="18"/>
    <x v="25"/>
    <x v="25"/>
    <n v="1005"/>
    <x v="19"/>
    <x v="89"/>
    <x v="129"/>
    <n v="3904"/>
    <x v="371"/>
    <n v="0"/>
    <x v="0"/>
    <s v="1 00"/>
    <n v="0"/>
    <n v="44"/>
    <x v="1206"/>
    <s v="Annual"/>
    <n v="0"/>
    <n v="0"/>
    <n v="4362989"/>
    <n v="4362989"/>
  </r>
  <r>
    <x v="1"/>
    <n v="50"/>
    <x v="18"/>
    <x v="25"/>
    <x v="25"/>
    <n v="1005"/>
    <x v="19"/>
    <x v="89"/>
    <x v="129"/>
    <n v="3904"/>
    <x v="371"/>
    <n v="0"/>
    <x v="0"/>
    <s v="1 00"/>
    <n v="0"/>
    <n v="15"/>
    <x v="37"/>
    <s v="Annual"/>
    <n v="0"/>
    <n v="0"/>
    <n v="54653"/>
    <n v="54653"/>
  </r>
  <r>
    <x v="1"/>
    <n v="50"/>
    <x v="18"/>
    <x v="25"/>
    <x v="25"/>
    <n v="1005"/>
    <x v="19"/>
    <x v="90"/>
    <x v="130"/>
    <n v="3943"/>
    <x v="372"/>
    <n v="0"/>
    <x v="0"/>
    <s v="BX 16"/>
    <n v="10"/>
    <n v="3953"/>
    <x v="1245"/>
    <s v="Annual"/>
    <n v="1"/>
    <n v="1"/>
    <n v="80124"/>
    <n v="80124"/>
  </r>
  <r>
    <x v="1"/>
    <n v="50"/>
    <x v="18"/>
    <x v="25"/>
    <x v="25"/>
    <n v="1005"/>
    <x v="19"/>
    <x v="90"/>
    <x v="130"/>
    <n v="3943"/>
    <x v="372"/>
    <n v="0"/>
    <x v="0"/>
    <s v="B 14"/>
    <n v="1"/>
    <n v="3914"/>
    <x v="1246"/>
    <s v="Annual"/>
    <n v="2"/>
    <n v="1"/>
    <n v="124848"/>
    <n v="249696"/>
  </r>
  <r>
    <x v="1"/>
    <n v="50"/>
    <x v="18"/>
    <x v="25"/>
    <x v="25"/>
    <n v="1005"/>
    <x v="19"/>
    <x v="90"/>
    <x v="130"/>
    <n v="3943"/>
    <x v="372"/>
    <n v="0"/>
    <x v="0"/>
    <s v="B 14"/>
    <n v="1"/>
    <n v="3914"/>
    <x v="1246"/>
    <s v="Annual"/>
    <n v="3"/>
    <n v="1"/>
    <n v="113628"/>
    <n v="340884"/>
  </r>
  <r>
    <x v="1"/>
    <n v="50"/>
    <x v="18"/>
    <x v="25"/>
    <x v="25"/>
    <n v="1005"/>
    <x v="19"/>
    <x v="90"/>
    <x v="130"/>
    <n v="3943"/>
    <x v="372"/>
    <n v="0"/>
    <x v="0"/>
    <s v="B 09"/>
    <n v="1"/>
    <n v="460"/>
    <x v="344"/>
    <s v="Annual"/>
    <n v="1"/>
    <n v="1"/>
    <n v="82140"/>
    <n v="82140"/>
  </r>
  <r>
    <x v="1"/>
    <n v="50"/>
    <x v="18"/>
    <x v="25"/>
    <x v="25"/>
    <n v="1005"/>
    <x v="19"/>
    <x v="90"/>
    <x v="130"/>
    <n v="3943"/>
    <x v="372"/>
    <n v="0"/>
    <x v="0"/>
    <s v="B 09"/>
    <n v="1"/>
    <n v="460"/>
    <x v="344"/>
    <s v="Annual"/>
    <n v="1"/>
    <n v="1"/>
    <n v="48864"/>
    <n v="48864"/>
  </r>
  <r>
    <x v="1"/>
    <n v="50"/>
    <x v="18"/>
    <x v="25"/>
    <x v="25"/>
    <n v="1005"/>
    <x v="19"/>
    <x v="90"/>
    <x v="130"/>
    <n v="3943"/>
    <x v="372"/>
    <n v="0"/>
    <x v="0"/>
    <s v="G 07"/>
    <n v="4"/>
    <n v="111"/>
    <x v="245"/>
    <s v="Annual"/>
    <n v="1"/>
    <n v="1"/>
    <n v="129636"/>
    <n v="129636"/>
  </r>
  <r>
    <x v="1"/>
    <n v="50"/>
    <x v="18"/>
    <x v="25"/>
    <x v="25"/>
    <n v="1005"/>
    <x v="19"/>
    <x v="90"/>
    <x v="130"/>
    <n v="3943"/>
    <x v="372"/>
    <n v="0"/>
    <x v="0"/>
    <s v="1 00"/>
    <n v="0"/>
    <n v="44"/>
    <x v="1206"/>
    <s v="Annual"/>
    <n v="0"/>
    <n v="0"/>
    <n v="521180"/>
    <n v="521180"/>
  </r>
  <r>
    <x v="1"/>
    <n v="50"/>
    <x v="18"/>
    <x v="25"/>
    <x v="25"/>
    <n v="1005"/>
    <x v="19"/>
    <x v="90"/>
    <x v="130"/>
    <n v="3943"/>
    <x v="372"/>
    <n v="0"/>
    <x v="0"/>
    <s v="1 00"/>
    <n v="0"/>
    <n v="15"/>
    <x v="37"/>
    <s v="Annual"/>
    <n v="0"/>
    <n v="0"/>
    <n v="2190"/>
    <n v="2190"/>
  </r>
  <r>
    <x v="1"/>
    <n v="50"/>
    <x v="18"/>
    <x v="25"/>
    <x v="25"/>
    <n v="1005"/>
    <x v="19"/>
    <x v="81"/>
    <x v="131"/>
    <n v="3944"/>
    <x v="373"/>
    <n v="0"/>
    <x v="0"/>
    <s v="X 33"/>
    <n v="0"/>
    <n v="3019"/>
    <x v="602"/>
    <s v="Annual"/>
    <n v="1"/>
    <n v="1"/>
    <n v="121668"/>
    <n v="121668"/>
  </r>
  <r>
    <x v="1"/>
    <n v="50"/>
    <x v="18"/>
    <x v="25"/>
    <x v="25"/>
    <n v="1005"/>
    <x v="19"/>
    <x v="81"/>
    <x v="131"/>
    <n v="3944"/>
    <x v="373"/>
    <n v="0"/>
    <x v="0"/>
    <s v="B 14"/>
    <n v="4"/>
    <n v="1912"/>
    <x v="222"/>
    <s v="Annual"/>
    <n v="1"/>
    <n v="1"/>
    <n v="77640"/>
    <n v="77640"/>
  </r>
  <r>
    <x v="1"/>
    <n v="50"/>
    <x v="18"/>
    <x v="25"/>
    <x v="25"/>
    <n v="1005"/>
    <x v="19"/>
    <x v="81"/>
    <x v="131"/>
    <n v="3944"/>
    <x v="373"/>
    <n v="0"/>
    <x v="0"/>
    <s v="B 14"/>
    <n v="4"/>
    <n v="1912"/>
    <x v="222"/>
    <s v="Annual"/>
    <n v="1"/>
    <n v="1"/>
    <n v="75336"/>
    <n v="75336"/>
  </r>
  <r>
    <x v="1"/>
    <n v="50"/>
    <x v="18"/>
    <x v="25"/>
    <x v="25"/>
    <n v="1005"/>
    <x v="19"/>
    <x v="81"/>
    <x v="131"/>
    <n v="3944"/>
    <x v="373"/>
    <n v="0"/>
    <x v="0"/>
    <s v="B 14"/>
    <n v="1"/>
    <n v="1730"/>
    <x v="531"/>
    <s v="Annual"/>
    <n v="1"/>
    <n v="1"/>
    <n v="89244"/>
    <n v="89244"/>
  </r>
  <r>
    <x v="1"/>
    <n v="50"/>
    <x v="18"/>
    <x v="25"/>
    <x v="25"/>
    <n v="1005"/>
    <x v="19"/>
    <x v="81"/>
    <x v="131"/>
    <n v="3944"/>
    <x v="373"/>
    <n v="0"/>
    <x v="0"/>
    <s v="G 07"/>
    <n v="4"/>
    <n v="111"/>
    <x v="245"/>
    <s v="Annual"/>
    <n v="1"/>
    <n v="1"/>
    <n v="129636"/>
    <n v="129636"/>
  </r>
  <r>
    <x v="1"/>
    <n v="50"/>
    <x v="18"/>
    <x v="25"/>
    <x v="25"/>
    <n v="1005"/>
    <x v="19"/>
    <x v="81"/>
    <x v="131"/>
    <n v="3944"/>
    <x v="373"/>
    <n v="0"/>
    <x v="0"/>
    <s v="1 00"/>
    <n v="0"/>
    <n v="44"/>
    <x v="1206"/>
    <s v="Annual"/>
    <n v="0"/>
    <n v="0"/>
    <n v="276175"/>
    <n v="276175"/>
  </r>
  <r>
    <x v="1"/>
    <n v="50"/>
    <x v="18"/>
    <x v="25"/>
    <x v="25"/>
    <n v="1005"/>
    <x v="19"/>
    <x v="81"/>
    <x v="131"/>
    <n v="3944"/>
    <x v="373"/>
    <n v="0"/>
    <x v="0"/>
    <s v="1 00"/>
    <n v="0"/>
    <n v="15"/>
    <x v="37"/>
    <s v="Annual"/>
    <n v="0"/>
    <n v="0"/>
    <n v="3372"/>
    <n v="3372"/>
  </r>
  <r>
    <x v="1"/>
    <n v="51"/>
    <x v="19"/>
    <x v="25"/>
    <x v="25"/>
    <n v="1005"/>
    <x v="20"/>
    <x v="86"/>
    <x v="103"/>
    <n v="3815"/>
    <x v="344"/>
    <n v="0"/>
    <x v="0"/>
    <s v="G 07"/>
    <n v="3"/>
    <n v="2989"/>
    <x v="1208"/>
    <s v="Annual"/>
    <n v="1"/>
    <n v="1"/>
    <n v="107628"/>
    <n v="107628"/>
  </r>
  <r>
    <x v="1"/>
    <n v="51"/>
    <x v="19"/>
    <x v="25"/>
    <x v="25"/>
    <n v="1005"/>
    <x v="20"/>
    <x v="86"/>
    <x v="103"/>
    <n v="3815"/>
    <x v="344"/>
    <n v="0"/>
    <x v="0"/>
    <s v="BX 19"/>
    <n v="10"/>
    <n v="2926"/>
    <x v="1169"/>
    <s v="Annual"/>
    <n v="1"/>
    <n v="1"/>
    <n v="97836"/>
    <n v="97836"/>
  </r>
  <r>
    <x v="1"/>
    <n v="51"/>
    <x v="19"/>
    <x v="25"/>
    <x v="25"/>
    <n v="1005"/>
    <x v="20"/>
    <x v="86"/>
    <x v="103"/>
    <n v="3815"/>
    <x v="344"/>
    <n v="0"/>
    <x v="0"/>
    <s v="B 14"/>
    <n v="1"/>
    <n v="1854"/>
    <x v="611"/>
    <s v="Annual"/>
    <n v="1"/>
    <n v="1"/>
    <n v="98928"/>
    <n v="98928"/>
  </r>
  <r>
    <x v="1"/>
    <n v="51"/>
    <x v="19"/>
    <x v="25"/>
    <x v="25"/>
    <n v="1005"/>
    <x v="20"/>
    <x v="86"/>
    <x v="103"/>
    <n v="3815"/>
    <x v="344"/>
    <n v="0"/>
    <x v="0"/>
    <s v="B 14"/>
    <n v="1"/>
    <n v="1576"/>
    <x v="246"/>
    <s v="Annual"/>
    <n v="1"/>
    <n v="1"/>
    <n v="130668"/>
    <n v="130668"/>
  </r>
  <r>
    <x v="1"/>
    <n v="51"/>
    <x v="19"/>
    <x v="25"/>
    <x v="25"/>
    <n v="1005"/>
    <x v="20"/>
    <x v="86"/>
    <x v="103"/>
    <n v="3815"/>
    <x v="344"/>
    <n v="0"/>
    <x v="0"/>
    <s v="B 14"/>
    <n v="1"/>
    <n v="1576"/>
    <x v="246"/>
    <s v="Annual"/>
    <n v="1"/>
    <n v="1"/>
    <n v="75336"/>
    <n v="75336"/>
  </r>
  <r>
    <x v="1"/>
    <n v="51"/>
    <x v="19"/>
    <x v="25"/>
    <x v="25"/>
    <n v="1005"/>
    <x v="20"/>
    <x v="86"/>
    <x v="103"/>
    <n v="3815"/>
    <x v="344"/>
    <n v="0"/>
    <x v="0"/>
    <s v="B 17"/>
    <n v="3"/>
    <n v="1562"/>
    <x v="1261"/>
    <s v="Annual"/>
    <n v="1"/>
    <n v="1"/>
    <n v="172584"/>
    <n v="172584"/>
  </r>
  <r>
    <x v="1"/>
    <n v="51"/>
    <x v="19"/>
    <x v="25"/>
    <x v="25"/>
    <n v="1005"/>
    <x v="20"/>
    <x v="86"/>
    <x v="103"/>
    <n v="3815"/>
    <x v="344"/>
    <n v="0"/>
    <x v="0"/>
    <s v="GY 11"/>
    <n v="20"/>
    <n v="677"/>
    <x v="1165"/>
    <s v="Annual"/>
    <n v="1"/>
    <n v="1"/>
    <n v="106272"/>
    <n v="106272"/>
  </r>
  <r>
    <x v="1"/>
    <n v="51"/>
    <x v="19"/>
    <x v="25"/>
    <x v="25"/>
    <n v="1005"/>
    <x v="20"/>
    <x v="86"/>
    <x v="103"/>
    <n v="3815"/>
    <x v="344"/>
    <n v="0"/>
    <x v="0"/>
    <s v="B 16"/>
    <n v="4"/>
    <n v="345"/>
    <x v="108"/>
    <s v="Annual"/>
    <n v="1"/>
    <n v="1"/>
    <n v="136908"/>
    <n v="136908"/>
  </r>
  <r>
    <x v="1"/>
    <n v="51"/>
    <x v="19"/>
    <x v="25"/>
    <x v="25"/>
    <n v="1005"/>
    <x v="20"/>
    <x v="86"/>
    <x v="103"/>
    <n v="3815"/>
    <x v="344"/>
    <n v="0"/>
    <x v="0"/>
    <s v="BX 18"/>
    <n v="10"/>
    <n v="310"/>
    <x v="135"/>
    <s v="Annual"/>
    <n v="1"/>
    <n v="1"/>
    <n v="124584"/>
    <n v="124584"/>
  </r>
  <r>
    <x v="1"/>
    <n v="51"/>
    <x v="19"/>
    <x v="25"/>
    <x v="25"/>
    <n v="1005"/>
    <x v="20"/>
    <x v="86"/>
    <x v="103"/>
    <n v="3815"/>
    <x v="344"/>
    <n v="0"/>
    <x v="0"/>
    <s v="B 13"/>
    <n v="1"/>
    <n v="308"/>
    <x v="90"/>
    <s v="Annual"/>
    <n v="1"/>
    <n v="1"/>
    <n v="81324"/>
    <n v="81324"/>
  </r>
  <r>
    <x v="1"/>
    <n v="51"/>
    <x v="19"/>
    <x v="25"/>
    <x v="25"/>
    <n v="1005"/>
    <x v="20"/>
    <x v="86"/>
    <x v="103"/>
    <n v="3815"/>
    <x v="344"/>
    <n v="0"/>
    <x v="0"/>
    <s v="B 16"/>
    <n v="1"/>
    <n v="123"/>
    <x v="605"/>
    <s v="Annual"/>
    <n v="1"/>
    <n v="1"/>
    <n v="112536"/>
    <n v="112536"/>
  </r>
  <r>
    <x v="1"/>
    <n v="51"/>
    <x v="19"/>
    <x v="25"/>
    <x v="25"/>
    <n v="1005"/>
    <x v="20"/>
    <x v="86"/>
    <x v="103"/>
    <n v="3815"/>
    <x v="344"/>
    <n v="0"/>
    <x v="0"/>
    <s v="1 00"/>
    <n v="0"/>
    <n v="44"/>
    <x v="1206"/>
    <s v="Annual"/>
    <n v="0"/>
    <n v="0"/>
    <n v="696481"/>
    <n v="696481"/>
  </r>
  <r>
    <x v="1"/>
    <n v="51"/>
    <x v="19"/>
    <x v="25"/>
    <x v="25"/>
    <n v="1005"/>
    <x v="20"/>
    <x v="86"/>
    <x v="103"/>
    <n v="3815"/>
    <x v="344"/>
    <n v="0"/>
    <x v="0"/>
    <s v="1 00"/>
    <n v="0"/>
    <n v="15"/>
    <x v="37"/>
    <s v="Annual"/>
    <n v="0"/>
    <n v="0"/>
    <n v="14367"/>
    <n v="14367"/>
  </r>
  <r>
    <x v="1"/>
    <n v="51"/>
    <x v="19"/>
    <x v="25"/>
    <x v="25"/>
    <n v="1005"/>
    <x v="20"/>
    <x v="91"/>
    <x v="132"/>
    <n v="3996"/>
    <x v="374"/>
    <n v="0"/>
    <x v="0"/>
    <s v="BX 18"/>
    <n v="10"/>
    <n v="311"/>
    <x v="253"/>
    <s v="Annual"/>
    <n v="1"/>
    <n v="1"/>
    <n v="89112"/>
    <n v="89112"/>
  </r>
  <r>
    <x v="1"/>
    <n v="51"/>
    <x v="19"/>
    <x v="25"/>
    <x v="25"/>
    <n v="1005"/>
    <x v="20"/>
    <x v="91"/>
    <x v="132"/>
    <n v="3996"/>
    <x v="374"/>
    <n v="0"/>
    <x v="0"/>
    <s v="1 00"/>
    <n v="0"/>
    <n v="44"/>
    <x v="1206"/>
    <s v="Annual"/>
    <n v="0"/>
    <n v="0"/>
    <n v="49867"/>
    <n v="49867"/>
  </r>
  <r>
    <x v="1"/>
    <n v="51"/>
    <x v="19"/>
    <x v="25"/>
    <x v="25"/>
    <n v="1005"/>
    <x v="20"/>
    <x v="91"/>
    <x v="132"/>
    <n v="3996"/>
    <x v="374"/>
    <n v="0"/>
    <x v="0"/>
    <s v="1 00"/>
    <n v="0"/>
    <n v="15"/>
    <x v="37"/>
    <s v="Annual"/>
    <n v="0"/>
    <n v="0"/>
    <n v="2136"/>
    <n v="2136"/>
  </r>
  <r>
    <x v="1"/>
    <n v="57"/>
    <x v="22"/>
    <x v="25"/>
    <x v="25"/>
    <n v="1005"/>
    <x v="23"/>
    <x v="49"/>
    <x v="103"/>
    <s v="380V"/>
    <x v="344"/>
    <n v="0"/>
    <x v="0"/>
    <s v="BX 17"/>
    <n v="10"/>
    <n v="9119"/>
    <x v="1262"/>
    <s v="Annual"/>
    <n v="1"/>
    <n v="1"/>
    <n v="83052"/>
    <n v="83052"/>
  </r>
  <r>
    <x v="1"/>
    <n v="57"/>
    <x v="22"/>
    <x v="25"/>
    <x v="25"/>
    <n v="1005"/>
    <x v="23"/>
    <x v="49"/>
    <x v="103"/>
    <s v="380V"/>
    <x v="344"/>
    <n v="0"/>
    <x v="0"/>
    <s v="1 00"/>
    <n v="0"/>
    <n v="44"/>
    <x v="1206"/>
    <s v="Annual"/>
    <n v="0"/>
    <n v="0"/>
    <n v="46476"/>
    <n v="46476"/>
  </r>
  <r>
    <x v="1"/>
    <n v="57"/>
    <x v="22"/>
    <x v="25"/>
    <x v="25"/>
    <n v="1005"/>
    <x v="23"/>
    <x v="49"/>
    <x v="103"/>
    <s v="380V"/>
    <x v="344"/>
    <n v="0"/>
    <x v="0"/>
    <s v="1 00"/>
    <n v="0"/>
    <n v="15"/>
    <x v="37"/>
    <s v="Annual"/>
    <n v="0"/>
    <n v="0"/>
    <n v="1038"/>
    <n v="1038"/>
  </r>
  <r>
    <x v="1"/>
    <n v="57"/>
    <x v="22"/>
    <x v="25"/>
    <x v="25"/>
    <n v="1005"/>
    <x v="23"/>
    <x v="92"/>
    <x v="133"/>
    <s v="382E"/>
    <x v="375"/>
    <n v="0"/>
    <x v="0"/>
    <s v="D 01"/>
    <n v="91"/>
    <n v="9161"/>
    <x v="655"/>
    <s v="Annual"/>
    <n v="45"/>
    <n v="1"/>
    <n v="105906"/>
    <n v="4765770"/>
  </r>
  <r>
    <x v="1"/>
    <n v="57"/>
    <x v="22"/>
    <x v="25"/>
    <x v="25"/>
    <n v="1005"/>
    <x v="23"/>
    <x v="92"/>
    <x v="133"/>
    <s v="382E"/>
    <x v="375"/>
    <n v="0"/>
    <x v="0"/>
    <s v="D 01"/>
    <n v="91"/>
    <n v="9161"/>
    <x v="655"/>
    <s v="Annual"/>
    <n v="1"/>
    <n v="1"/>
    <n v="100950"/>
    <n v="100950"/>
  </r>
  <r>
    <x v="1"/>
    <n v="57"/>
    <x v="22"/>
    <x v="25"/>
    <x v="25"/>
    <n v="1005"/>
    <x v="23"/>
    <x v="92"/>
    <x v="133"/>
    <s v="382E"/>
    <x v="375"/>
    <n v="0"/>
    <x v="0"/>
    <s v="D 01"/>
    <n v="91"/>
    <n v="9161"/>
    <x v="655"/>
    <s v="Annual"/>
    <n v="52"/>
    <n v="1"/>
    <n v="63636"/>
    <n v="3309072"/>
  </r>
  <r>
    <x v="1"/>
    <n v="57"/>
    <x v="22"/>
    <x v="25"/>
    <x v="25"/>
    <n v="1005"/>
    <x v="23"/>
    <x v="92"/>
    <x v="133"/>
    <s v="382E"/>
    <x v="375"/>
    <n v="0"/>
    <x v="0"/>
    <s v="1 00"/>
    <n v="0"/>
    <n v="44"/>
    <x v="1206"/>
    <s v="Annual"/>
    <n v="0"/>
    <n v="0"/>
    <n v="4575174"/>
    <n v="4575174"/>
  </r>
  <r>
    <x v="1"/>
    <n v="57"/>
    <x v="22"/>
    <x v="25"/>
    <x v="25"/>
    <n v="1005"/>
    <x v="23"/>
    <x v="92"/>
    <x v="133"/>
    <s v="382E"/>
    <x v="375"/>
    <n v="0"/>
    <x v="0"/>
    <s v="1 00"/>
    <n v="0"/>
    <n v="15"/>
    <x v="37"/>
    <s v="Annual"/>
    <n v="0"/>
    <n v="0"/>
    <n v="113103"/>
    <n v="113103"/>
  </r>
  <r>
    <x v="1"/>
    <n v="57"/>
    <x v="22"/>
    <x v="25"/>
    <x v="25"/>
    <n v="1005"/>
    <x v="23"/>
    <x v="93"/>
    <x v="134"/>
    <s v="382F"/>
    <x v="376"/>
    <n v="0"/>
    <x v="0"/>
    <s v="GY 08"/>
    <n v="20"/>
    <n v="1141"/>
    <x v="79"/>
    <s v="Annual"/>
    <n v="1"/>
    <n v="1"/>
    <n v="82884"/>
    <n v="82884"/>
  </r>
  <r>
    <x v="1"/>
    <n v="57"/>
    <x v="22"/>
    <x v="25"/>
    <x v="25"/>
    <n v="1005"/>
    <x v="23"/>
    <x v="93"/>
    <x v="134"/>
    <s v="382F"/>
    <x v="376"/>
    <n v="0"/>
    <x v="0"/>
    <s v="1 00"/>
    <n v="0"/>
    <n v="44"/>
    <x v="1206"/>
    <s v="Annual"/>
    <n v="0"/>
    <n v="0"/>
    <n v="46382"/>
    <n v="46382"/>
  </r>
  <r>
    <x v="1"/>
    <n v="57"/>
    <x v="22"/>
    <x v="25"/>
    <x v="25"/>
    <n v="1005"/>
    <x v="23"/>
    <x v="93"/>
    <x v="134"/>
    <s v="382F"/>
    <x v="376"/>
    <n v="0"/>
    <x v="0"/>
    <s v="1 00"/>
    <n v="0"/>
    <n v="15"/>
    <x v="37"/>
    <s v="Annual"/>
    <n v="0"/>
    <n v="0"/>
    <n v="1176"/>
    <n v="1176"/>
  </r>
  <r>
    <x v="1"/>
    <n v="57"/>
    <x v="22"/>
    <x v="25"/>
    <x v="25"/>
    <n v="1005"/>
    <x v="23"/>
    <x v="94"/>
    <x v="135"/>
    <n v="3921"/>
    <x v="377"/>
    <n v="0"/>
    <x v="0"/>
    <s v="D 01"/>
    <n v="91"/>
    <n v="9161"/>
    <x v="655"/>
    <s v="Annual"/>
    <n v="23"/>
    <n v="1"/>
    <n v="111252"/>
    <n v="2558796"/>
  </r>
  <r>
    <x v="1"/>
    <n v="57"/>
    <x v="22"/>
    <x v="25"/>
    <x v="25"/>
    <n v="1005"/>
    <x v="23"/>
    <x v="94"/>
    <x v="135"/>
    <n v="3921"/>
    <x v="377"/>
    <n v="0"/>
    <x v="0"/>
    <s v="D 01"/>
    <n v="91"/>
    <n v="9161"/>
    <x v="655"/>
    <s v="Annual"/>
    <n v="9"/>
    <n v="1"/>
    <n v="63636"/>
    <n v="572724"/>
  </r>
  <r>
    <x v="1"/>
    <n v="57"/>
    <x v="22"/>
    <x v="25"/>
    <x v="25"/>
    <n v="1005"/>
    <x v="23"/>
    <x v="94"/>
    <x v="135"/>
    <n v="3921"/>
    <x v="377"/>
    <n v="0"/>
    <x v="0"/>
    <s v="D 03"/>
    <n v="91"/>
    <n v="9158"/>
    <x v="699"/>
    <s v="Annual"/>
    <n v="1"/>
    <n v="1"/>
    <n v="147252"/>
    <n v="147252"/>
  </r>
  <r>
    <x v="1"/>
    <n v="57"/>
    <x v="22"/>
    <x v="25"/>
    <x v="25"/>
    <n v="1005"/>
    <x v="23"/>
    <x v="94"/>
    <x v="135"/>
    <n v="3921"/>
    <x v="377"/>
    <n v="0"/>
    <x v="0"/>
    <s v="D 03"/>
    <n v="91"/>
    <n v="9158"/>
    <x v="699"/>
    <s v="Annual"/>
    <n v="1"/>
    <n v="1"/>
    <n v="142668"/>
    <n v="142668"/>
  </r>
  <r>
    <x v="1"/>
    <n v="57"/>
    <x v="22"/>
    <x v="25"/>
    <x v="25"/>
    <n v="1005"/>
    <x v="23"/>
    <x v="94"/>
    <x v="135"/>
    <n v="3921"/>
    <x v="377"/>
    <n v="0"/>
    <x v="0"/>
    <s v="1 00"/>
    <n v="0"/>
    <n v="44"/>
    <x v="1206"/>
    <s v="Annual"/>
    <n v="0"/>
    <n v="0"/>
    <n v="1914637"/>
    <n v="1914637"/>
  </r>
  <r>
    <x v="1"/>
    <n v="57"/>
    <x v="22"/>
    <x v="25"/>
    <x v="25"/>
    <n v="1005"/>
    <x v="23"/>
    <x v="91"/>
    <x v="132"/>
    <n v="3996"/>
    <x v="378"/>
    <n v="0"/>
    <x v="0"/>
    <s v="4 00"/>
    <n v="0"/>
    <n v="9107"/>
    <x v="681"/>
    <s v="Hourly"/>
    <n v="14335"/>
    <n v="0"/>
    <n v="35"/>
    <n v="501725"/>
  </r>
  <r>
    <x v="1"/>
    <n v="57"/>
    <x v="22"/>
    <x v="25"/>
    <x v="25"/>
    <n v="1005"/>
    <x v="23"/>
    <x v="91"/>
    <x v="132"/>
    <n v="3996"/>
    <x v="378"/>
    <n v="0"/>
    <x v="0"/>
    <s v="1 00"/>
    <n v="0"/>
    <n v="44"/>
    <x v="1206"/>
    <s v="Annual"/>
    <n v="0"/>
    <n v="0"/>
    <n v="280765"/>
    <n v="280765"/>
  </r>
  <r>
    <x v="1"/>
    <n v="59"/>
    <x v="24"/>
    <x v="25"/>
    <x v="25"/>
    <n v="1005"/>
    <x v="25"/>
    <x v="95"/>
    <x v="136"/>
    <n v="3823"/>
    <x v="379"/>
    <n v="0"/>
    <x v="0"/>
    <s v="F 6B"/>
    <n v="80"/>
    <n v="8726"/>
    <x v="733"/>
    <s v="Annual"/>
    <n v="1"/>
    <n v="1"/>
    <n v="156726"/>
    <n v="156726"/>
  </r>
  <r>
    <x v="1"/>
    <n v="59"/>
    <x v="24"/>
    <x v="25"/>
    <x v="25"/>
    <n v="1005"/>
    <x v="25"/>
    <x v="95"/>
    <x v="136"/>
    <n v="3823"/>
    <x v="379"/>
    <n v="0"/>
    <x v="0"/>
    <s v="BX 18"/>
    <n v="10"/>
    <n v="311"/>
    <x v="253"/>
    <s v="Annual"/>
    <n v="1"/>
    <n v="1"/>
    <n v="118956"/>
    <n v="118956"/>
  </r>
  <r>
    <x v="1"/>
    <n v="59"/>
    <x v="24"/>
    <x v="25"/>
    <x v="25"/>
    <n v="1005"/>
    <x v="25"/>
    <x v="95"/>
    <x v="136"/>
    <n v="3823"/>
    <x v="379"/>
    <n v="0"/>
    <x v="0"/>
    <s v="BX 18"/>
    <n v="10"/>
    <n v="310"/>
    <x v="135"/>
    <s v="Annual"/>
    <n v="1"/>
    <n v="1"/>
    <n v="102444"/>
    <n v="102444"/>
  </r>
  <r>
    <x v="1"/>
    <n v="59"/>
    <x v="24"/>
    <x v="25"/>
    <x v="25"/>
    <n v="1005"/>
    <x v="25"/>
    <x v="95"/>
    <x v="136"/>
    <n v="3823"/>
    <x v="379"/>
    <n v="0"/>
    <x v="0"/>
    <s v="1 00"/>
    <n v="0"/>
    <n v="44"/>
    <x v="1206"/>
    <s v="Annual"/>
    <n v="0"/>
    <n v="0"/>
    <n v="211600"/>
    <n v="211600"/>
  </r>
  <r>
    <x v="1"/>
    <n v="72"/>
    <x v="29"/>
    <x v="25"/>
    <x v="25"/>
    <n v="1010"/>
    <x v="30"/>
    <x v="96"/>
    <x v="137"/>
    <n v="3805"/>
    <x v="380"/>
    <n v="0"/>
    <x v="0"/>
    <s v="G 07"/>
    <n v="4"/>
    <n v="2081"/>
    <x v="468"/>
    <s v="Annual"/>
    <n v="1"/>
    <n v="1"/>
    <n v="97488"/>
    <n v="97488"/>
  </r>
  <r>
    <x v="1"/>
    <n v="72"/>
    <x v="29"/>
    <x v="25"/>
    <x v="25"/>
    <n v="1010"/>
    <x v="30"/>
    <x v="96"/>
    <x v="137"/>
    <n v="3805"/>
    <x v="380"/>
    <n v="0"/>
    <x v="0"/>
    <s v="B 14"/>
    <n v="3"/>
    <n v="2077"/>
    <x v="576"/>
    <s v="Annual"/>
    <n v="1"/>
    <n v="1"/>
    <n v="93504"/>
    <n v="93504"/>
  </r>
  <r>
    <x v="1"/>
    <n v="72"/>
    <x v="29"/>
    <x v="25"/>
    <x v="25"/>
    <n v="1010"/>
    <x v="30"/>
    <x v="96"/>
    <x v="137"/>
    <n v="3805"/>
    <x v="380"/>
    <n v="0"/>
    <x v="0"/>
    <s v="B 14"/>
    <n v="3"/>
    <n v="2077"/>
    <x v="576"/>
    <s v="Annual"/>
    <n v="1"/>
    <n v="1"/>
    <n v="75336"/>
    <n v="75336"/>
  </r>
  <r>
    <x v="1"/>
    <n v="72"/>
    <x v="29"/>
    <x v="25"/>
    <x v="25"/>
    <n v="1010"/>
    <x v="30"/>
    <x v="96"/>
    <x v="137"/>
    <n v="3805"/>
    <x v="380"/>
    <n v="0"/>
    <x v="0"/>
    <s v="1 00"/>
    <n v="0"/>
    <n v="44"/>
    <x v="1206"/>
    <s v="Annual"/>
    <n v="0"/>
    <n v="0"/>
    <n v="149037"/>
    <n v="149037"/>
  </r>
  <r>
    <x v="1"/>
    <n v="72"/>
    <x v="29"/>
    <x v="25"/>
    <x v="25"/>
    <n v="1010"/>
    <x v="30"/>
    <x v="96"/>
    <x v="137"/>
    <n v="3805"/>
    <x v="380"/>
    <n v="0"/>
    <x v="0"/>
    <s v="1 00"/>
    <n v="0"/>
    <n v="15"/>
    <x v="37"/>
    <s v="Annual"/>
    <n v="0"/>
    <n v="0"/>
    <n v="4070"/>
    <n v="4070"/>
  </r>
  <r>
    <x v="1"/>
    <n v="72"/>
    <x v="29"/>
    <x v="25"/>
    <x v="25"/>
    <n v="1010"/>
    <x v="30"/>
    <x v="97"/>
    <x v="138"/>
    <n v="3830"/>
    <x v="381"/>
    <n v="0"/>
    <x v="0"/>
    <s v="G 08"/>
    <n v="4"/>
    <n v="2073"/>
    <x v="469"/>
    <s v="Annual"/>
    <n v="1"/>
    <n v="1"/>
    <n v="122928"/>
    <n v="122928"/>
  </r>
  <r>
    <x v="1"/>
    <n v="72"/>
    <x v="29"/>
    <x v="25"/>
    <x v="25"/>
    <n v="1010"/>
    <x v="30"/>
    <x v="97"/>
    <x v="138"/>
    <n v="3830"/>
    <x v="381"/>
    <n v="0"/>
    <x v="0"/>
    <s v="G 08"/>
    <n v="4"/>
    <n v="2073"/>
    <x v="469"/>
    <s v="Annual"/>
    <n v="1"/>
    <n v="1"/>
    <n v="99408"/>
    <n v="99408"/>
  </r>
  <r>
    <x v="1"/>
    <n v="72"/>
    <x v="29"/>
    <x v="25"/>
    <x v="25"/>
    <n v="1010"/>
    <x v="30"/>
    <x v="97"/>
    <x v="138"/>
    <n v="3830"/>
    <x v="381"/>
    <n v="0"/>
    <x v="0"/>
    <s v="1 00"/>
    <n v="0"/>
    <n v="44"/>
    <x v="1206"/>
    <s v="Annual"/>
    <n v="0"/>
    <n v="0"/>
    <n v="124420"/>
    <n v="124420"/>
  </r>
  <r>
    <x v="1"/>
    <n v="72"/>
    <x v="29"/>
    <x v="25"/>
    <x v="25"/>
    <n v="1010"/>
    <x v="30"/>
    <x v="97"/>
    <x v="138"/>
    <n v="3830"/>
    <x v="381"/>
    <n v="0"/>
    <x v="0"/>
    <s v="1 00"/>
    <n v="0"/>
    <n v="15"/>
    <x v="37"/>
    <s v="Annual"/>
    <n v="0"/>
    <n v="0"/>
    <n v="872"/>
    <n v="872"/>
  </r>
  <r>
    <x v="1"/>
    <n v="81"/>
    <x v="33"/>
    <x v="25"/>
    <x v="25"/>
    <n v="1045"/>
    <x v="38"/>
    <x v="98"/>
    <x v="139"/>
    <n v="3813"/>
    <x v="382"/>
    <n v="0"/>
    <x v="0"/>
    <s v="G 06"/>
    <n v="1"/>
    <n v="7946"/>
    <x v="890"/>
    <s v="Annual"/>
    <n v="1"/>
    <n v="1"/>
    <n v="81636"/>
    <n v="81636"/>
  </r>
  <r>
    <x v="1"/>
    <n v="81"/>
    <x v="33"/>
    <x v="25"/>
    <x v="25"/>
    <n v="1045"/>
    <x v="38"/>
    <x v="98"/>
    <x v="139"/>
    <n v="3813"/>
    <x v="382"/>
    <n v="0"/>
    <x v="0"/>
    <s v="G 05"/>
    <n v="1"/>
    <n v="7945"/>
    <x v="891"/>
    <s v="Annual"/>
    <n v="1"/>
    <n v="1"/>
    <n v="74160"/>
    <n v="74160"/>
  </r>
  <r>
    <x v="1"/>
    <n v="81"/>
    <x v="33"/>
    <x v="25"/>
    <x v="25"/>
    <n v="1045"/>
    <x v="38"/>
    <x v="98"/>
    <x v="139"/>
    <n v="3813"/>
    <x v="382"/>
    <n v="0"/>
    <x v="0"/>
    <s v="1 00"/>
    <n v="0"/>
    <n v="44"/>
    <x v="1206"/>
    <s v="Annual"/>
    <n v="0"/>
    <n v="0"/>
    <n v="87184"/>
    <n v="87184"/>
  </r>
  <r>
    <x v="1"/>
    <n v="84"/>
    <x v="34"/>
    <x v="25"/>
    <x v="25"/>
    <n v="1125"/>
    <x v="54"/>
    <x v="99"/>
    <x v="140"/>
    <s v="381S"/>
    <x v="383"/>
    <n v="0"/>
    <x v="0"/>
    <s v="GY 10"/>
    <n v="20"/>
    <n v="1441"/>
    <x v="542"/>
    <s v="Annual"/>
    <n v="1"/>
    <n v="1"/>
    <n v="115992"/>
    <n v="115992"/>
  </r>
  <r>
    <x v="1"/>
    <n v="84"/>
    <x v="34"/>
    <x v="25"/>
    <x v="25"/>
    <n v="1125"/>
    <x v="54"/>
    <x v="99"/>
    <x v="140"/>
    <s v="381S"/>
    <x v="383"/>
    <n v="0"/>
    <x v="0"/>
    <s v="GY 08"/>
    <n v="10"/>
    <n v="1405"/>
    <x v="629"/>
    <s v="Annual"/>
    <n v="1"/>
    <n v="1"/>
    <n v="97332"/>
    <n v="97332"/>
  </r>
  <r>
    <x v="1"/>
    <n v="84"/>
    <x v="34"/>
    <x v="25"/>
    <x v="25"/>
    <n v="1125"/>
    <x v="54"/>
    <x v="99"/>
    <x v="140"/>
    <s v="381S"/>
    <x v="383"/>
    <n v="0"/>
    <x v="0"/>
    <s v="GY 08"/>
    <n v="10"/>
    <n v="1405"/>
    <x v="629"/>
    <s v="Annual"/>
    <n v="1"/>
    <n v="1"/>
    <n v="93156"/>
    <n v="93156"/>
  </r>
  <r>
    <x v="1"/>
    <n v="84"/>
    <x v="34"/>
    <x v="25"/>
    <x v="25"/>
    <n v="1125"/>
    <x v="54"/>
    <x v="99"/>
    <x v="140"/>
    <s v="381S"/>
    <x v="383"/>
    <n v="0"/>
    <x v="0"/>
    <s v="1 00"/>
    <n v="0"/>
    <n v="44"/>
    <x v="1206"/>
    <s v="Annual"/>
    <n v="0"/>
    <n v="0"/>
    <n v="171506"/>
    <n v="171506"/>
  </r>
  <r>
    <x v="1"/>
    <n v="84"/>
    <x v="34"/>
    <x v="25"/>
    <x v="25"/>
    <n v="1125"/>
    <x v="54"/>
    <x v="99"/>
    <x v="140"/>
    <s v="381S"/>
    <x v="383"/>
    <n v="0"/>
    <x v="0"/>
    <s v="1 00"/>
    <n v="0"/>
    <n v="15"/>
    <x v="37"/>
    <s v="Annual"/>
    <n v="0"/>
    <n v="0"/>
    <n v="5980"/>
    <n v="5980"/>
  </r>
  <r>
    <x v="1"/>
    <n v="1"/>
    <x v="0"/>
    <x v="26"/>
    <x v="26"/>
    <n v="1005"/>
    <x v="0"/>
    <x v="66"/>
    <x v="141"/>
    <n v="3808"/>
    <x v="384"/>
    <n v="0"/>
    <x v="0"/>
    <s v="1 00"/>
    <n v="9"/>
    <n v="9863"/>
    <x v="1263"/>
    <s v="Annual"/>
    <n v="1"/>
    <n v="1"/>
    <n v="98832"/>
    <n v="98832"/>
  </r>
  <r>
    <x v="1"/>
    <n v="1"/>
    <x v="0"/>
    <x v="26"/>
    <x v="26"/>
    <n v="1005"/>
    <x v="0"/>
    <x v="66"/>
    <x v="141"/>
    <n v="3808"/>
    <x v="384"/>
    <n v="0"/>
    <x v="0"/>
    <s v="1 00"/>
    <n v="0"/>
    <n v="44"/>
    <x v="1206"/>
    <s v="Annual"/>
    <n v="0"/>
    <n v="0"/>
    <n v="55306"/>
    <n v="55306"/>
  </r>
  <r>
    <x v="1"/>
    <n v="1"/>
    <x v="0"/>
    <x v="26"/>
    <x v="26"/>
    <n v="1005"/>
    <x v="0"/>
    <x v="100"/>
    <x v="142"/>
    <n v="3846"/>
    <x v="11"/>
    <n v="0"/>
    <x v="0"/>
    <s v="1 00"/>
    <n v="9"/>
    <n v="9898"/>
    <x v="9"/>
    <s v="Annual"/>
    <n v="1"/>
    <n v="1"/>
    <n v="177840"/>
    <n v="177840"/>
  </r>
  <r>
    <x v="1"/>
    <n v="1"/>
    <x v="0"/>
    <x v="26"/>
    <x v="26"/>
    <n v="1005"/>
    <x v="0"/>
    <x v="100"/>
    <x v="142"/>
    <n v="3846"/>
    <x v="11"/>
    <n v="0"/>
    <x v="0"/>
    <s v="1 00"/>
    <n v="0"/>
    <n v="44"/>
    <x v="1206"/>
    <s v="Annual"/>
    <n v="0"/>
    <n v="0"/>
    <n v="99519"/>
    <n v="99519"/>
  </r>
  <r>
    <x v="1"/>
    <n v="57"/>
    <x v="22"/>
    <x v="26"/>
    <x v="26"/>
    <n v="1005"/>
    <x v="23"/>
    <x v="92"/>
    <x v="133"/>
    <s v="382E"/>
    <x v="375"/>
    <n v="0"/>
    <x v="0"/>
    <s v="D 01"/>
    <n v="91"/>
    <n v="9161"/>
    <x v="655"/>
    <s v="Annual"/>
    <n v="45"/>
    <n v="1"/>
    <n v="100950"/>
    <n v="4542750"/>
  </r>
  <r>
    <x v="1"/>
    <n v="57"/>
    <x v="22"/>
    <x v="26"/>
    <x v="26"/>
    <n v="1005"/>
    <x v="23"/>
    <x v="92"/>
    <x v="133"/>
    <s v="382E"/>
    <x v="375"/>
    <n v="0"/>
    <x v="0"/>
    <s v="D 01"/>
    <n v="91"/>
    <n v="9161"/>
    <x v="655"/>
    <s v="Annual"/>
    <n v="5"/>
    <n v="1"/>
    <n v="63636"/>
    <n v="318180"/>
  </r>
  <r>
    <x v="1"/>
    <n v="57"/>
    <x v="22"/>
    <x v="26"/>
    <x v="26"/>
    <n v="1005"/>
    <x v="23"/>
    <x v="92"/>
    <x v="133"/>
    <s v="382E"/>
    <x v="375"/>
    <n v="0"/>
    <x v="0"/>
    <s v="1 00"/>
    <n v="0"/>
    <n v="44"/>
    <x v="1206"/>
    <s v="Annual"/>
    <n v="0"/>
    <n v="0"/>
    <n v="2720177"/>
    <n v="2720177"/>
  </r>
  <r>
    <x v="1"/>
    <n v="57"/>
    <x v="22"/>
    <x v="26"/>
    <x v="26"/>
    <n v="1005"/>
    <x v="23"/>
    <x v="92"/>
    <x v="133"/>
    <s v="382E"/>
    <x v="375"/>
    <n v="0"/>
    <x v="0"/>
    <s v="1 00"/>
    <n v="0"/>
    <n v="15"/>
    <x v="37"/>
    <s v="Annual"/>
    <n v="0"/>
    <n v="0"/>
    <n v="117315"/>
    <n v="117315"/>
  </r>
  <r>
    <x v="1"/>
    <n v="72"/>
    <x v="29"/>
    <x v="26"/>
    <x v="26"/>
    <n v="1010"/>
    <x v="30"/>
    <x v="96"/>
    <x v="137"/>
    <n v="3805"/>
    <x v="380"/>
    <n v="0"/>
    <x v="0"/>
    <s v="G 07"/>
    <n v="4"/>
    <n v="2081"/>
    <x v="468"/>
    <s v="Annual"/>
    <n v="1"/>
    <n v="1"/>
    <n v="129636"/>
    <n v="129636"/>
  </r>
  <r>
    <x v="1"/>
    <n v="72"/>
    <x v="29"/>
    <x v="26"/>
    <x v="26"/>
    <n v="1010"/>
    <x v="30"/>
    <x v="96"/>
    <x v="137"/>
    <n v="3805"/>
    <x v="380"/>
    <n v="0"/>
    <x v="0"/>
    <s v="G 08"/>
    <n v="4"/>
    <n v="2073"/>
    <x v="469"/>
    <s v="Annual"/>
    <n v="1"/>
    <n v="1"/>
    <n v="141564"/>
    <n v="141564"/>
  </r>
  <r>
    <x v="1"/>
    <n v="72"/>
    <x v="29"/>
    <x v="26"/>
    <x v="26"/>
    <n v="1010"/>
    <x v="30"/>
    <x v="96"/>
    <x v="137"/>
    <n v="3805"/>
    <x v="380"/>
    <n v="0"/>
    <x v="0"/>
    <s v="1 00"/>
    <n v="0"/>
    <n v="44"/>
    <x v="1206"/>
    <s v="Annual"/>
    <n v="0"/>
    <n v="0"/>
    <n v="151763"/>
    <n v="151763"/>
  </r>
  <r>
    <x v="1"/>
    <n v="21"/>
    <x v="5"/>
    <x v="27"/>
    <x v="27"/>
    <n v="1005"/>
    <x v="6"/>
    <x v="101"/>
    <x v="143"/>
    <n v="3835"/>
    <x v="385"/>
    <n v="0"/>
    <x v="0"/>
    <s v="B 14"/>
    <n v="4"/>
    <n v="1912"/>
    <x v="222"/>
    <s v="Annual"/>
    <n v="1"/>
    <n v="1"/>
    <n v="77640"/>
    <n v="77640"/>
  </r>
  <r>
    <x v="1"/>
    <n v="21"/>
    <x v="5"/>
    <x v="27"/>
    <x v="27"/>
    <n v="1005"/>
    <x v="6"/>
    <x v="101"/>
    <x v="143"/>
    <n v="3835"/>
    <x v="385"/>
    <n v="0"/>
    <x v="0"/>
    <s v="1 00"/>
    <n v="0"/>
    <n v="44"/>
    <x v="1206"/>
    <s v="Annual"/>
    <n v="0"/>
    <n v="0"/>
    <n v="43447"/>
    <n v="43447"/>
  </r>
  <r>
    <x v="1"/>
    <n v="27"/>
    <x v="7"/>
    <x v="27"/>
    <x v="27"/>
    <n v="1005"/>
    <x v="8"/>
    <x v="102"/>
    <x v="144"/>
    <n v="3838"/>
    <x v="386"/>
    <n v="0"/>
    <x v="0"/>
    <s v="BX 18"/>
    <n v="10"/>
    <n v="310"/>
    <x v="135"/>
    <s v="Annual"/>
    <n v="1"/>
    <n v="1"/>
    <n v="89112"/>
    <n v="89112"/>
  </r>
  <r>
    <x v="1"/>
    <n v="27"/>
    <x v="7"/>
    <x v="27"/>
    <x v="27"/>
    <n v="1005"/>
    <x v="8"/>
    <x v="102"/>
    <x v="144"/>
    <n v="3838"/>
    <x v="386"/>
    <n v="0"/>
    <x v="0"/>
    <s v="1 00"/>
    <n v="0"/>
    <n v="44"/>
    <x v="1206"/>
    <s v="Annual"/>
    <n v="0"/>
    <n v="0"/>
    <n v="49867"/>
    <n v="49867"/>
  </r>
  <r>
    <x v="1"/>
    <n v="27"/>
    <x v="7"/>
    <x v="27"/>
    <x v="27"/>
    <n v="1005"/>
    <x v="8"/>
    <x v="102"/>
    <x v="144"/>
    <n v="3838"/>
    <x v="386"/>
    <n v="0"/>
    <x v="0"/>
    <s v="1 00"/>
    <n v="0"/>
    <n v="15"/>
    <x v="37"/>
    <s v="Annual"/>
    <n v="0"/>
    <n v="0"/>
    <n v="2136"/>
    <n v="2136"/>
  </r>
  <r>
    <x v="1"/>
    <n v="31"/>
    <x v="10"/>
    <x v="27"/>
    <x v="27"/>
    <n v="1005"/>
    <x v="11"/>
    <x v="102"/>
    <x v="144"/>
    <n v="3838"/>
    <x v="386"/>
    <n v="0"/>
    <x v="0"/>
    <s v="L 01"/>
    <n v="9"/>
    <n v="1643"/>
    <x v="340"/>
    <s v="Annual"/>
    <n v="1"/>
    <n v="1"/>
    <n v="78108"/>
    <n v="78108"/>
  </r>
  <r>
    <x v="1"/>
    <n v="31"/>
    <x v="10"/>
    <x v="27"/>
    <x v="27"/>
    <n v="1005"/>
    <x v="11"/>
    <x v="102"/>
    <x v="144"/>
    <n v="3838"/>
    <x v="386"/>
    <n v="0"/>
    <x v="0"/>
    <s v="1 00"/>
    <n v="0"/>
    <n v="44"/>
    <x v="1206"/>
    <s v="Annual"/>
    <n v="0"/>
    <n v="0"/>
    <n v="43709"/>
    <n v="43709"/>
  </r>
  <r>
    <x v="1"/>
    <n v="41"/>
    <x v="15"/>
    <x v="27"/>
    <x v="27"/>
    <n v="1005"/>
    <x v="16"/>
    <x v="103"/>
    <x v="145"/>
    <s v="381V"/>
    <x v="387"/>
    <n v="0"/>
    <x v="0"/>
    <s v="S 05"/>
    <n v="37"/>
    <n v="3752"/>
    <x v="543"/>
    <s v="Annual"/>
    <n v="1"/>
    <n v="1"/>
    <n v="137376"/>
    <n v="137376"/>
  </r>
  <r>
    <x v="1"/>
    <n v="41"/>
    <x v="15"/>
    <x v="27"/>
    <x v="27"/>
    <n v="1005"/>
    <x v="16"/>
    <x v="103"/>
    <x v="145"/>
    <s v="381V"/>
    <x v="387"/>
    <n v="0"/>
    <x v="0"/>
    <s v="S 05"/>
    <n v="37"/>
    <n v="3752"/>
    <x v="543"/>
    <s v="Annual"/>
    <n v="1"/>
    <n v="1"/>
    <n v="101448"/>
    <n v="101448"/>
  </r>
  <r>
    <x v="1"/>
    <n v="41"/>
    <x v="15"/>
    <x v="27"/>
    <x v="27"/>
    <n v="1005"/>
    <x v="16"/>
    <x v="103"/>
    <x v="145"/>
    <s v="381V"/>
    <x v="387"/>
    <n v="0"/>
    <x v="0"/>
    <s v="S 05"/>
    <n v="37"/>
    <n v="3752"/>
    <x v="543"/>
    <s v="Annual"/>
    <n v="1"/>
    <n v="1"/>
    <n v="96708"/>
    <n v="96708"/>
  </r>
  <r>
    <x v="1"/>
    <n v="41"/>
    <x v="15"/>
    <x v="27"/>
    <x v="27"/>
    <n v="1005"/>
    <x v="16"/>
    <x v="103"/>
    <x v="145"/>
    <s v="381V"/>
    <x v="387"/>
    <n v="0"/>
    <x v="0"/>
    <s v="S 05"/>
    <n v="37"/>
    <n v="3752"/>
    <x v="543"/>
    <s v="Annual"/>
    <n v="2"/>
    <n v="1"/>
    <n v="91956"/>
    <n v="183912"/>
  </r>
  <r>
    <x v="1"/>
    <n v="41"/>
    <x v="15"/>
    <x v="27"/>
    <x v="27"/>
    <n v="1005"/>
    <x v="16"/>
    <x v="103"/>
    <x v="145"/>
    <s v="381V"/>
    <x v="387"/>
    <n v="0"/>
    <x v="0"/>
    <s v="B 11"/>
    <n v="3"/>
    <n v="3429"/>
    <x v="1221"/>
    <s v="Annual"/>
    <n v="1"/>
    <n v="1"/>
    <n v="98928"/>
    <n v="98928"/>
  </r>
  <r>
    <x v="1"/>
    <n v="41"/>
    <x v="15"/>
    <x v="27"/>
    <x v="27"/>
    <n v="1005"/>
    <x v="16"/>
    <x v="103"/>
    <x v="145"/>
    <s v="381V"/>
    <x v="387"/>
    <n v="0"/>
    <x v="0"/>
    <s v="1 00"/>
    <n v="0"/>
    <n v="44"/>
    <x v="1206"/>
    <s v="Annual"/>
    <n v="0"/>
    <n v="0"/>
    <n v="346041"/>
    <n v="346041"/>
  </r>
  <r>
    <x v="1"/>
    <n v="41"/>
    <x v="15"/>
    <x v="27"/>
    <x v="27"/>
    <n v="1005"/>
    <x v="16"/>
    <x v="103"/>
    <x v="145"/>
    <s v="381V"/>
    <x v="387"/>
    <n v="0"/>
    <x v="0"/>
    <s v="1 00"/>
    <n v="0"/>
    <n v="15"/>
    <x v="37"/>
    <s v="Annual"/>
    <n v="0"/>
    <n v="0"/>
    <n v="16559"/>
    <n v="16559"/>
  </r>
  <r>
    <x v="1"/>
    <n v="41"/>
    <x v="15"/>
    <x v="27"/>
    <x v="27"/>
    <n v="1005"/>
    <x v="16"/>
    <x v="104"/>
    <x v="146"/>
    <s v="382P"/>
    <x v="127"/>
    <n v="0"/>
    <x v="0"/>
    <s v="B 14"/>
    <n v="3"/>
    <n v="3441"/>
    <x v="1236"/>
    <s v="Annual"/>
    <n v="2"/>
    <n v="1"/>
    <n v="119100"/>
    <n v="238200"/>
  </r>
  <r>
    <x v="1"/>
    <n v="41"/>
    <x v="15"/>
    <x v="27"/>
    <x v="27"/>
    <n v="1005"/>
    <x v="16"/>
    <x v="104"/>
    <x v="146"/>
    <s v="382P"/>
    <x v="127"/>
    <n v="0"/>
    <x v="0"/>
    <s v="B 13"/>
    <n v="3"/>
    <n v="3434"/>
    <x v="551"/>
    <s v="Annual"/>
    <n v="2"/>
    <n v="1"/>
    <n v="119100"/>
    <n v="238200"/>
  </r>
  <r>
    <x v="1"/>
    <n v="41"/>
    <x v="15"/>
    <x v="27"/>
    <x v="27"/>
    <n v="1005"/>
    <x v="16"/>
    <x v="104"/>
    <x v="146"/>
    <s v="382P"/>
    <x v="127"/>
    <n v="0"/>
    <x v="0"/>
    <s v="B 13"/>
    <n v="3"/>
    <n v="3434"/>
    <x v="551"/>
    <s v="Annual"/>
    <n v="1"/>
    <n v="1"/>
    <n v="113628"/>
    <n v="113628"/>
  </r>
  <r>
    <x v="1"/>
    <n v="41"/>
    <x v="15"/>
    <x v="27"/>
    <x v="27"/>
    <n v="1005"/>
    <x v="16"/>
    <x v="104"/>
    <x v="146"/>
    <s v="382P"/>
    <x v="127"/>
    <n v="0"/>
    <x v="0"/>
    <s v="B 13"/>
    <n v="3"/>
    <n v="3434"/>
    <x v="551"/>
    <s v="Annual"/>
    <n v="1"/>
    <n v="1"/>
    <n v="108576"/>
    <n v="108576"/>
  </r>
  <r>
    <x v="1"/>
    <n v="41"/>
    <x v="15"/>
    <x v="27"/>
    <x v="27"/>
    <n v="1005"/>
    <x v="16"/>
    <x v="104"/>
    <x v="146"/>
    <s v="382P"/>
    <x v="127"/>
    <n v="0"/>
    <x v="0"/>
    <s v="B 13"/>
    <n v="3"/>
    <n v="3434"/>
    <x v="551"/>
    <s v="Annual"/>
    <n v="1"/>
    <n v="1"/>
    <n v="94452"/>
    <n v="94452"/>
  </r>
  <r>
    <x v="1"/>
    <n v="41"/>
    <x v="15"/>
    <x v="27"/>
    <x v="27"/>
    <n v="1005"/>
    <x v="16"/>
    <x v="104"/>
    <x v="146"/>
    <s v="382P"/>
    <x v="127"/>
    <n v="0"/>
    <x v="0"/>
    <s v="X 31"/>
    <n v="9"/>
    <n v="3348"/>
    <x v="539"/>
    <s v="Annual"/>
    <n v="1"/>
    <n v="1"/>
    <n v="199800"/>
    <n v="199800"/>
  </r>
  <r>
    <x v="1"/>
    <n v="41"/>
    <x v="15"/>
    <x v="27"/>
    <x v="27"/>
    <n v="1005"/>
    <x v="16"/>
    <x v="104"/>
    <x v="146"/>
    <s v="382P"/>
    <x v="127"/>
    <n v="0"/>
    <x v="0"/>
    <s v="B 11"/>
    <n v="1"/>
    <n v="3130"/>
    <x v="581"/>
    <s v="Annual"/>
    <n v="1"/>
    <n v="1"/>
    <n v="98928"/>
    <n v="98928"/>
  </r>
  <r>
    <x v="1"/>
    <n v="41"/>
    <x v="15"/>
    <x v="27"/>
    <x v="27"/>
    <n v="1005"/>
    <x v="16"/>
    <x v="104"/>
    <x v="146"/>
    <s v="382P"/>
    <x v="127"/>
    <n v="0"/>
    <x v="0"/>
    <s v="B 14"/>
    <n v="3"/>
    <n v="2381"/>
    <x v="571"/>
    <s v="Annual"/>
    <n v="4"/>
    <n v="1"/>
    <n v="130668"/>
    <n v="522672"/>
  </r>
  <r>
    <x v="1"/>
    <n v="41"/>
    <x v="15"/>
    <x v="27"/>
    <x v="27"/>
    <n v="1005"/>
    <x v="16"/>
    <x v="104"/>
    <x v="146"/>
    <s v="382P"/>
    <x v="127"/>
    <n v="0"/>
    <x v="0"/>
    <s v="B 14"/>
    <n v="3"/>
    <n v="2381"/>
    <x v="571"/>
    <s v="Annual"/>
    <n v="1"/>
    <n v="1"/>
    <n v="119100"/>
    <n v="119100"/>
  </r>
  <r>
    <x v="1"/>
    <n v="41"/>
    <x v="15"/>
    <x v="27"/>
    <x v="27"/>
    <n v="1005"/>
    <x v="16"/>
    <x v="104"/>
    <x v="146"/>
    <s v="382P"/>
    <x v="127"/>
    <n v="0"/>
    <x v="0"/>
    <s v="B 14"/>
    <n v="3"/>
    <n v="2381"/>
    <x v="571"/>
    <s v="Annual"/>
    <n v="1"/>
    <n v="1"/>
    <n v="98928"/>
    <n v="98928"/>
  </r>
  <r>
    <x v="1"/>
    <n v="41"/>
    <x v="15"/>
    <x v="27"/>
    <x v="27"/>
    <n v="1005"/>
    <x v="16"/>
    <x v="104"/>
    <x v="146"/>
    <s v="382P"/>
    <x v="127"/>
    <n v="0"/>
    <x v="0"/>
    <s v="B 14"/>
    <n v="3"/>
    <n v="2381"/>
    <x v="571"/>
    <s v="Annual"/>
    <n v="2"/>
    <n v="1"/>
    <n v="85200"/>
    <n v="170400"/>
  </r>
  <r>
    <x v="1"/>
    <n v="41"/>
    <x v="15"/>
    <x v="27"/>
    <x v="27"/>
    <n v="1005"/>
    <x v="16"/>
    <x v="104"/>
    <x v="146"/>
    <s v="382P"/>
    <x v="127"/>
    <n v="0"/>
    <x v="0"/>
    <s v="B 14"/>
    <n v="3"/>
    <n v="2381"/>
    <x v="571"/>
    <s v="Annual"/>
    <n v="1"/>
    <n v="1"/>
    <n v="75336"/>
    <n v="75336"/>
  </r>
  <r>
    <x v="1"/>
    <n v="41"/>
    <x v="15"/>
    <x v="27"/>
    <x v="27"/>
    <n v="1005"/>
    <x v="16"/>
    <x v="104"/>
    <x v="146"/>
    <s v="382P"/>
    <x v="127"/>
    <n v="0"/>
    <x v="0"/>
    <s v="B 10"/>
    <n v="1"/>
    <s v="03A7"/>
    <x v="4"/>
    <s v="Annual"/>
    <n v="1"/>
    <n v="1"/>
    <n v="90144"/>
    <n v="90144"/>
  </r>
  <r>
    <x v="1"/>
    <n v="41"/>
    <x v="15"/>
    <x v="27"/>
    <x v="27"/>
    <n v="1005"/>
    <x v="16"/>
    <x v="104"/>
    <x v="146"/>
    <s v="382P"/>
    <x v="127"/>
    <n v="0"/>
    <x v="0"/>
    <s v="1 00"/>
    <n v="0"/>
    <n v="44"/>
    <x v="1206"/>
    <s v="Annual"/>
    <n v="0"/>
    <n v="0"/>
    <n v="1213416"/>
    <n v="1213416"/>
  </r>
  <r>
    <x v="1"/>
    <n v="41"/>
    <x v="15"/>
    <x v="27"/>
    <x v="27"/>
    <n v="1005"/>
    <x v="16"/>
    <x v="104"/>
    <x v="146"/>
    <s v="382P"/>
    <x v="127"/>
    <n v="0"/>
    <x v="0"/>
    <s v="1 00"/>
    <n v="0"/>
    <n v="15"/>
    <x v="37"/>
    <s v="Annual"/>
    <n v="0"/>
    <n v="0"/>
    <n v="12291"/>
    <n v="12291"/>
  </r>
  <r>
    <x v="1"/>
    <n v="41"/>
    <x v="15"/>
    <x v="27"/>
    <x v="27"/>
    <n v="1005"/>
    <x v="16"/>
    <x v="104"/>
    <x v="146"/>
    <s v="382R"/>
    <x v="388"/>
    <n v="0"/>
    <x v="0"/>
    <s v="S 05"/>
    <n v="37"/>
    <n v="3752"/>
    <x v="543"/>
    <s v="Annual"/>
    <n v="5"/>
    <n v="1"/>
    <n v="137376"/>
    <n v="686880"/>
  </r>
  <r>
    <x v="1"/>
    <n v="41"/>
    <x v="15"/>
    <x v="27"/>
    <x v="27"/>
    <n v="1005"/>
    <x v="16"/>
    <x v="104"/>
    <x v="146"/>
    <s v="382R"/>
    <x v="388"/>
    <n v="0"/>
    <x v="0"/>
    <s v="S 05"/>
    <n v="37"/>
    <n v="3752"/>
    <x v="543"/>
    <s v="Annual"/>
    <n v="1"/>
    <n v="1"/>
    <n v="101448"/>
    <n v="101448"/>
  </r>
  <r>
    <x v="1"/>
    <n v="41"/>
    <x v="15"/>
    <x v="27"/>
    <x v="27"/>
    <n v="1005"/>
    <x v="16"/>
    <x v="104"/>
    <x v="146"/>
    <s v="382R"/>
    <x v="388"/>
    <n v="0"/>
    <x v="0"/>
    <s v="B 11"/>
    <n v="3"/>
    <n v="3429"/>
    <x v="1221"/>
    <s v="Annual"/>
    <n v="1"/>
    <n v="1"/>
    <n v="57000"/>
    <n v="57000"/>
  </r>
  <r>
    <x v="1"/>
    <n v="41"/>
    <x v="15"/>
    <x v="27"/>
    <x v="27"/>
    <n v="1005"/>
    <x v="16"/>
    <x v="104"/>
    <x v="146"/>
    <s v="382R"/>
    <x v="388"/>
    <n v="0"/>
    <x v="0"/>
    <s v="B 09"/>
    <n v="1"/>
    <n v="3139"/>
    <x v="580"/>
    <s v="Annual"/>
    <n v="1"/>
    <n v="1"/>
    <n v="56124"/>
    <n v="56124"/>
  </r>
  <r>
    <x v="1"/>
    <n v="41"/>
    <x v="15"/>
    <x v="27"/>
    <x v="27"/>
    <n v="1005"/>
    <x v="16"/>
    <x v="104"/>
    <x v="146"/>
    <s v="382R"/>
    <x v="388"/>
    <n v="0"/>
    <x v="0"/>
    <s v="B 09"/>
    <n v="1"/>
    <n v="3139"/>
    <x v="580"/>
    <s v="Annual"/>
    <n v="1"/>
    <n v="1"/>
    <n v="48864"/>
    <n v="48864"/>
  </r>
  <r>
    <x v="1"/>
    <n v="41"/>
    <x v="15"/>
    <x v="27"/>
    <x v="27"/>
    <n v="1005"/>
    <x v="16"/>
    <x v="104"/>
    <x v="146"/>
    <s v="382R"/>
    <x v="388"/>
    <n v="0"/>
    <x v="0"/>
    <s v="X 33"/>
    <n v="20"/>
    <n v="3057"/>
    <x v="541"/>
    <s v="Annual"/>
    <n v="1"/>
    <n v="1"/>
    <n v="153384"/>
    <n v="153384"/>
  </r>
  <r>
    <x v="1"/>
    <n v="41"/>
    <x v="15"/>
    <x v="27"/>
    <x v="27"/>
    <n v="1005"/>
    <x v="16"/>
    <x v="104"/>
    <x v="146"/>
    <s v="382R"/>
    <x v="388"/>
    <n v="0"/>
    <x v="0"/>
    <s v="T 16"/>
    <n v="44"/>
    <n v="2150"/>
    <x v="573"/>
    <s v="Annual"/>
    <n v="1"/>
    <n v="1"/>
    <n v="107460"/>
    <n v="107460"/>
  </r>
  <r>
    <x v="1"/>
    <n v="41"/>
    <x v="15"/>
    <x v="27"/>
    <x v="27"/>
    <n v="1005"/>
    <x v="16"/>
    <x v="104"/>
    <x v="146"/>
    <s v="382R"/>
    <x v="388"/>
    <n v="0"/>
    <x v="0"/>
    <s v="T 16"/>
    <n v="44"/>
    <n v="2150"/>
    <x v="573"/>
    <s v="Annual"/>
    <n v="1"/>
    <n v="1"/>
    <n v="102540"/>
    <n v="102540"/>
  </r>
  <r>
    <x v="1"/>
    <n v="41"/>
    <x v="15"/>
    <x v="27"/>
    <x v="27"/>
    <n v="1005"/>
    <x v="16"/>
    <x v="104"/>
    <x v="146"/>
    <s v="382R"/>
    <x v="388"/>
    <n v="0"/>
    <x v="0"/>
    <s v="T 16"/>
    <n v="44"/>
    <n v="2150"/>
    <x v="573"/>
    <s v="Annual"/>
    <n v="1"/>
    <n v="1"/>
    <n v="93468"/>
    <n v="93468"/>
  </r>
  <r>
    <x v="1"/>
    <n v="41"/>
    <x v="15"/>
    <x v="27"/>
    <x v="27"/>
    <n v="1005"/>
    <x v="16"/>
    <x v="104"/>
    <x v="146"/>
    <s v="382R"/>
    <x v="388"/>
    <n v="0"/>
    <x v="0"/>
    <s v="G 07"/>
    <n v="4"/>
    <n v="124"/>
    <x v="91"/>
    <s v="Annual"/>
    <n v="1"/>
    <n v="1"/>
    <n v="122928"/>
    <n v="122928"/>
  </r>
  <r>
    <x v="1"/>
    <n v="41"/>
    <x v="15"/>
    <x v="27"/>
    <x v="27"/>
    <n v="1005"/>
    <x v="16"/>
    <x v="104"/>
    <x v="146"/>
    <s v="382R"/>
    <x v="388"/>
    <n v="0"/>
    <x v="0"/>
    <s v="1 00"/>
    <n v="0"/>
    <n v="44"/>
    <x v="1206"/>
    <s v="Annual"/>
    <n v="0"/>
    <n v="0"/>
    <n v="856242"/>
    <n v="856242"/>
  </r>
  <r>
    <x v="1"/>
    <n v="41"/>
    <x v="15"/>
    <x v="27"/>
    <x v="27"/>
    <n v="1005"/>
    <x v="16"/>
    <x v="104"/>
    <x v="146"/>
    <s v="382R"/>
    <x v="388"/>
    <n v="0"/>
    <x v="0"/>
    <s v="1 00"/>
    <n v="0"/>
    <n v="15"/>
    <x v="37"/>
    <s v="Annual"/>
    <n v="0"/>
    <n v="0"/>
    <n v="9776"/>
    <n v="9776"/>
  </r>
  <r>
    <x v="1"/>
    <n v="41"/>
    <x v="15"/>
    <x v="27"/>
    <x v="27"/>
    <n v="1005"/>
    <x v="16"/>
    <x v="104"/>
    <x v="146"/>
    <s v="382T"/>
    <x v="389"/>
    <n v="0"/>
    <x v="0"/>
    <s v="B 16"/>
    <n v="4"/>
    <n v="3467"/>
    <x v="537"/>
    <s v="Annual"/>
    <n v="1"/>
    <n v="1"/>
    <n v="157332"/>
    <n v="157332"/>
  </r>
  <r>
    <x v="1"/>
    <n v="41"/>
    <x v="15"/>
    <x v="27"/>
    <x v="27"/>
    <n v="1005"/>
    <x v="16"/>
    <x v="104"/>
    <x v="146"/>
    <s v="382T"/>
    <x v="389"/>
    <n v="0"/>
    <x v="0"/>
    <s v="1 00"/>
    <n v="0"/>
    <n v="44"/>
    <x v="1206"/>
    <s v="Annual"/>
    <n v="0"/>
    <n v="0"/>
    <n v="88043"/>
    <n v="88043"/>
  </r>
  <r>
    <x v="1"/>
    <n v="41"/>
    <x v="15"/>
    <x v="27"/>
    <x v="27"/>
    <n v="1005"/>
    <x v="16"/>
    <x v="88"/>
    <x v="147"/>
    <n v="3806"/>
    <x v="390"/>
    <n v="0"/>
    <x v="0"/>
    <s v="B 16"/>
    <n v="4"/>
    <n v="3467"/>
    <x v="537"/>
    <s v="Annual"/>
    <n v="1"/>
    <n v="1"/>
    <n v="97956"/>
    <n v="97956"/>
  </r>
  <r>
    <x v="1"/>
    <n v="41"/>
    <x v="15"/>
    <x v="27"/>
    <x v="27"/>
    <n v="1005"/>
    <x v="16"/>
    <x v="88"/>
    <x v="147"/>
    <n v="3806"/>
    <x v="390"/>
    <n v="0"/>
    <x v="0"/>
    <s v="B 14"/>
    <n v="3"/>
    <n v="2381"/>
    <x v="571"/>
    <s v="Annual"/>
    <n v="1"/>
    <n v="1"/>
    <n v="130668"/>
    <n v="130668"/>
  </r>
  <r>
    <x v="1"/>
    <n v="41"/>
    <x v="15"/>
    <x v="27"/>
    <x v="27"/>
    <n v="1005"/>
    <x v="16"/>
    <x v="88"/>
    <x v="147"/>
    <n v="3806"/>
    <x v="390"/>
    <n v="0"/>
    <x v="0"/>
    <s v="1 00"/>
    <n v="0"/>
    <n v="44"/>
    <x v="1206"/>
    <s v="Annual"/>
    <n v="0"/>
    <n v="0"/>
    <n v="127938"/>
    <n v="127938"/>
  </r>
  <r>
    <x v="1"/>
    <n v="41"/>
    <x v="15"/>
    <x v="27"/>
    <x v="27"/>
    <n v="1005"/>
    <x v="16"/>
    <x v="88"/>
    <x v="147"/>
    <n v="3806"/>
    <x v="390"/>
    <n v="0"/>
    <x v="0"/>
    <s v="1 00"/>
    <n v="0"/>
    <n v="15"/>
    <x v="37"/>
    <s v="Annual"/>
    <n v="0"/>
    <n v="0"/>
    <n v="4125"/>
    <n v="4125"/>
  </r>
  <r>
    <x v="1"/>
    <n v="50"/>
    <x v="18"/>
    <x v="27"/>
    <x v="27"/>
    <n v="1005"/>
    <x v="19"/>
    <x v="105"/>
    <x v="148"/>
    <n v="3836"/>
    <x v="391"/>
    <n v="0"/>
    <x v="0"/>
    <s v="G 04"/>
    <n v="3"/>
    <n v="3066"/>
    <x v="1254"/>
    <s v="Annual"/>
    <n v="4"/>
    <n v="1"/>
    <n v="76464"/>
    <n v="305856"/>
  </r>
  <r>
    <x v="1"/>
    <n v="50"/>
    <x v="18"/>
    <x v="27"/>
    <x v="27"/>
    <n v="1005"/>
    <x v="19"/>
    <x v="105"/>
    <x v="148"/>
    <n v="3836"/>
    <x v="391"/>
    <n v="0"/>
    <x v="0"/>
    <s v="G 04"/>
    <n v="3"/>
    <n v="3066"/>
    <x v="1254"/>
    <s v="Annual"/>
    <n v="1"/>
    <n v="1"/>
    <n v="67284"/>
    <n v="67284"/>
  </r>
  <r>
    <x v="1"/>
    <n v="50"/>
    <x v="18"/>
    <x v="27"/>
    <x v="27"/>
    <n v="1005"/>
    <x v="19"/>
    <x v="105"/>
    <x v="148"/>
    <n v="3836"/>
    <x v="391"/>
    <n v="0"/>
    <x v="0"/>
    <s v="1 00"/>
    <n v="0"/>
    <n v="44"/>
    <x v="1206"/>
    <s v="Annual"/>
    <n v="0"/>
    <n v="0"/>
    <n v="208809"/>
    <n v="208809"/>
  </r>
  <r>
    <x v="1"/>
    <n v="50"/>
    <x v="18"/>
    <x v="27"/>
    <x v="27"/>
    <n v="1005"/>
    <x v="19"/>
    <x v="105"/>
    <x v="148"/>
    <n v="3836"/>
    <x v="391"/>
    <n v="0"/>
    <x v="0"/>
    <s v="1 00"/>
    <n v="0"/>
    <n v="15"/>
    <x v="37"/>
    <s v="Annual"/>
    <n v="0"/>
    <n v="0"/>
    <n v="4681"/>
    <n v="4681"/>
  </r>
  <r>
    <x v="1"/>
    <n v="50"/>
    <x v="18"/>
    <x v="27"/>
    <x v="27"/>
    <n v="1005"/>
    <x v="19"/>
    <x v="89"/>
    <x v="129"/>
    <n v="3904"/>
    <x v="371"/>
    <n v="0"/>
    <x v="0"/>
    <s v="B 11"/>
    <n v="3"/>
    <n v="3025"/>
    <x v="1243"/>
    <s v="Annual"/>
    <n v="1"/>
    <n v="1"/>
    <n v="57000"/>
    <n v="57000"/>
  </r>
  <r>
    <x v="1"/>
    <n v="50"/>
    <x v="18"/>
    <x v="27"/>
    <x v="27"/>
    <n v="1005"/>
    <x v="19"/>
    <x v="89"/>
    <x v="129"/>
    <n v="3904"/>
    <x v="371"/>
    <n v="0"/>
    <x v="0"/>
    <s v="1 00"/>
    <n v="0"/>
    <n v="44"/>
    <x v="1206"/>
    <s v="Annual"/>
    <n v="0"/>
    <n v="0"/>
    <n v="31897"/>
    <n v="31897"/>
  </r>
  <r>
    <x v="1"/>
    <n v="50"/>
    <x v="18"/>
    <x v="27"/>
    <x v="27"/>
    <n v="1005"/>
    <x v="19"/>
    <x v="106"/>
    <x v="149"/>
    <n v="3942"/>
    <x v="392"/>
    <n v="0"/>
    <x v="0"/>
    <s v="B 14"/>
    <n v="1"/>
    <n v="3914"/>
    <x v="1246"/>
    <s v="Annual"/>
    <n v="1"/>
    <n v="1"/>
    <n v="113628"/>
    <n v="113628"/>
  </r>
  <r>
    <x v="1"/>
    <n v="50"/>
    <x v="18"/>
    <x v="27"/>
    <x v="27"/>
    <n v="1005"/>
    <x v="19"/>
    <x v="106"/>
    <x v="149"/>
    <n v="3942"/>
    <x v="392"/>
    <n v="0"/>
    <x v="0"/>
    <s v="X 33"/>
    <n v="0"/>
    <n v="3019"/>
    <x v="602"/>
    <s v="Annual"/>
    <n v="1"/>
    <n v="1"/>
    <n v="146808"/>
    <n v="146808"/>
  </r>
  <r>
    <x v="1"/>
    <n v="50"/>
    <x v="18"/>
    <x v="27"/>
    <x v="27"/>
    <n v="1005"/>
    <x v="19"/>
    <x v="106"/>
    <x v="149"/>
    <n v="3942"/>
    <x v="392"/>
    <n v="0"/>
    <x v="0"/>
    <s v="B 14"/>
    <n v="4"/>
    <n v="1912"/>
    <x v="222"/>
    <s v="Annual"/>
    <n v="1"/>
    <n v="1"/>
    <n v="75336"/>
    <n v="75336"/>
  </r>
  <r>
    <x v="1"/>
    <n v="50"/>
    <x v="18"/>
    <x v="27"/>
    <x v="27"/>
    <n v="1005"/>
    <x v="19"/>
    <x v="106"/>
    <x v="149"/>
    <n v="3942"/>
    <x v="392"/>
    <n v="0"/>
    <x v="0"/>
    <s v="B 14"/>
    <n v="1"/>
    <n v="1730"/>
    <x v="531"/>
    <s v="Annual"/>
    <n v="1"/>
    <n v="1"/>
    <n v="130668"/>
    <n v="130668"/>
  </r>
  <r>
    <x v="1"/>
    <n v="50"/>
    <x v="18"/>
    <x v="27"/>
    <x v="27"/>
    <n v="1005"/>
    <x v="19"/>
    <x v="106"/>
    <x v="149"/>
    <n v="3942"/>
    <x v="392"/>
    <n v="0"/>
    <x v="0"/>
    <s v="BX 18"/>
    <n v="10"/>
    <n v="310"/>
    <x v="135"/>
    <s v="Annual"/>
    <n v="1"/>
    <n v="1"/>
    <n v="102444"/>
    <n v="102444"/>
  </r>
  <r>
    <x v="1"/>
    <n v="50"/>
    <x v="18"/>
    <x v="27"/>
    <x v="27"/>
    <n v="1005"/>
    <x v="19"/>
    <x v="106"/>
    <x v="149"/>
    <n v="3942"/>
    <x v="392"/>
    <n v="0"/>
    <x v="0"/>
    <s v="GY 10"/>
    <n v="20"/>
    <n v="120"/>
    <x v="251"/>
    <s v="Annual"/>
    <n v="1"/>
    <n v="1"/>
    <n v="130476"/>
    <n v="130476"/>
  </r>
  <r>
    <x v="1"/>
    <n v="50"/>
    <x v="18"/>
    <x v="27"/>
    <x v="27"/>
    <n v="1005"/>
    <x v="19"/>
    <x v="106"/>
    <x v="149"/>
    <n v="3942"/>
    <x v="392"/>
    <n v="0"/>
    <x v="0"/>
    <s v="1 00"/>
    <n v="0"/>
    <n v="44"/>
    <x v="1206"/>
    <s v="Annual"/>
    <n v="0"/>
    <n v="0"/>
    <n v="391362"/>
    <n v="391362"/>
  </r>
  <r>
    <x v="1"/>
    <n v="50"/>
    <x v="18"/>
    <x v="27"/>
    <x v="27"/>
    <n v="1005"/>
    <x v="19"/>
    <x v="106"/>
    <x v="149"/>
    <n v="3942"/>
    <x v="392"/>
    <n v="0"/>
    <x v="0"/>
    <s v="1 00"/>
    <n v="0"/>
    <n v="15"/>
    <x v="37"/>
    <s v="Annual"/>
    <n v="0"/>
    <n v="0"/>
    <n v="3836"/>
    <n v="3836"/>
  </r>
  <r>
    <x v="1"/>
    <n v="50"/>
    <x v="18"/>
    <x v="27"/>
    <x v="27"/>
    <n v="1005"/>
    <x v="19"/>
    <x v="107"/>
    <x v="150"/>
    <n v="3946"/>
    <x v="393"/>
    <n v="0"/>
    <x v="0"/>
    <s v="B 11"/>
    <n v="3"/>
    <n v="3025"/>
    <x v="1243"/>
    <s v="Annual"/>
    <n v="2"/>
    <n v="1"/>
    <n v="98928"/>
    <n v="197856"/>
  </r>
  <r>
    <x v="1"/>
    <n v="50"/>
    <x v="18"/>
    <x v="27"/>
    <x v="27"/>
    <n v="1005"/>
    <x v="19"/>
    <x v="107"/>
    <x v="150"/>
    <n v="3946"/>
    <x v="393"/>
    <n v="0"/>
    <x v="0"/>
    <s v="1 00"/>
    <n v="0"/>
    <n v="44"/>
    <x v="1206"/>
    <s v="Annual"/>
    <n v="0"/>
    <n v="0"/>
    <n v="110720"/>
    <n v="110720"/>
  </r>
  <r>
    <x v="1"/>
    <n v="50"/>
    <x v="18"/>
    <x v="27"/>
    <x v="27"/>
    <n v="1005"/>
    <x v="19"/>
    <x v="108"/>
    <x v="151"/>
    <n v="3962"/>
    <x v="394"/>
    <n v="0"/>
    <x v="0"/>
    <s v="BX 19"/>
    <n v="10"/>
    <n v="3954"/>
    <x v="1264"/>
    <s v="Annual"/>
    <n v="1"/>
    <n v="1"/>
    <n v="124584"/>
    <n v="124584"/>
  </r>
  <r>
    <x v="1"/>
    <n v="50"/>
    <x v="18"/>
    <x v="27"/>
    <x v="27"/>
    <n v="1005"/>
    <x v="19"/>
    <x v="108"/>
    <x v="151"/>
    <n v="3962"/>
    <x v="394"/>
    <n v="0"/>
    <x v="0"/>
    <s v="B 14"/>
    <n v="1"/>
    <n v="3914"/>
    <x v="1246"/>
    <s v="Annual"/>
    <n v="2"/>
    <n v="1"/>
    <n v="113628"/>
    <n v="227256"/>
  </r>
  <r>
    <x v="1"/>
    <n v="50"/>
    <x v="18"/>
    <x v="27"/>
    <x v="27"/>
    <n v="1005"/>
    <x v="19"/>
    <x v="108"/>
    <x v="151"/>
    <n v="3962"/>
    <x v="394"/>
    <n v="0"/>
    <x v="0"/>
    <s v="B 14"/>
    <n v="1"/>
    <n v="3914"/>
    <x v="1246"/>
    <s v="Annual"/>
    <n v="1"/>
    <n v="1"/>
    <n v="93504"/>
    <n v="93504"/>
  </r>
  <r>
    <x v="1"/>
    <n v="50"/>
    <x v="18"/>
    <x v="27"/>
    <x v="27"/>
    <n v="1005"/>
    <x v="19"/>
    <x v="108"/>
    <x v="151"/>
    <n v="3962"/>
    <x v="394"/>
    <n v="0"/>
    <x v="0"/>
    <s v="B 14"/>
    <n v="1"/>
    <n v="3914"/>
    <x v="1246"/>
    <s v="Annual"/>
    <n v="2"/>
    <n v="1"/>
    <n v="77640"/>
    <n v="155280"/>
  </r>
  <r>
    <x v="1"/>
    <n v="50"/>
    <x v="18"/>
    <x v="27"/>
    <x v="27"/>
    <n v="1005"/>
    <x v="19"/>
    <x v="108"/>
    <x v="151"/>
    <n v="3962"/>
    <x v="394"/>
    <n v="0"/>
    <x v="0"/>
    <s v="B 14"/>
    <n v="1"/>
    <n v="3914"/>
    <x v="1246"/>
    <s v="Annual"/>
    <n v="2"/>
    <n v="1"/>
    <n v="75336"/>
    <n v="150672"/>
  </r>
  <r>
    <x v="1"/>
    <n v="50"/>
    <x v="18"/>
    <x v="27"/>
    <x v="27"/>
    <n v="1005"/>
    <x v="19"/>
    <x v="108"/>
    <x v="151"/>
    <n v="3962"/>
    <x v="394"/>
    <n v="0"/>
    <x v="0"/>
    <s v="BX 18"/>
    <n v="10"/>
    <n v="3906"/>
    <x v="1247"/>
    <s v="Annual"/>
    <n v="1"/>
    <n v="1"/>
    <n v="118956"/>
    <n v="118956"/>
  </r>
  <r>
    <x v="1"/>
    <n v="50"/>
    <x v="18"/>
    <x v="27"/>
    <x v="27"/>
    <n v="1005"/>
    <x v="19"/>
    <x v="108"/>
    <x v="151"/>
    <n v="3962"/>
    <x v="394"/>
    <n v="0"/>
    <x v="0"/>
    <s v="BX 18"/>
    <n v="10"/>
    <n v="3906"/>
    <x v="1247"/>
    <s v="Annual"/>
    <n v="1"/>
    <n v="1"/>
    <n v="93384"/>
    <n v="93384"/>
  </r>
  <r>
    <x v="1"/>
    <n v="50"/>
    <x v="18"/>
    <x v="27"/>
    <x v="27"/>
    <n v="1005"/>
    <x v="19"/>
    <x v="108"/>
    <x v="151"/>
    <n v="3962"/>
    <x v="394"/>
    <n v="0"/>
    <x v="0"/>
    <s v="X 33"/>
    <n v="0"/>
    <n v="3018"/>
    <x v="600"/>
    <s v="Annual"/>
    <n v="2"/>
    <n v="1"/>
    <n v="153384"/>
    <n v="306768"/>
  </r>
  <r>
    <x v="1"/>
    <n v="50"/>
    <x v="18"/>
    <x v="27"/>
    <x v="27"/>
    <n v="1005"/>
    <x v="19"/>
    <x v="108"/>
    <x v="151"/>
    <n v="3962"/>
    <x v="394"/>
    <n v="0"/>
    <x v="0"/>
    <s v="BX 18"/>
    <n v="10"/>
    <n v="310"/>
    <x v="135"/>
    <s v="Annual"/>
    <n v="1"/>
    <n v="1"/>
    <n v="102444"/>
    <n v="102444"/>
  </r>
  <r>
    <x v="1"/>
    <n v="50"/>
    <x v="18"/>
    <x v="27"/>
    <x v="27"/>
    <n v="1005"/>
    <x v="19"/>
    <x v="108"/>
    <x v="151"/>
    <n v="3962"/>
    <x v="394"/>
    <n v="0"/>
    <x v="0"/>
    <s v="GY 10"/>
    <n v="20"/>
    <n v="120"/>
    <x v="251"/>
    <s v="Annual"/>
    <n v="1"/>
    <n v="1"/>
    <n v="130476"/>
    <n v="130476"/>
  </r>
  <r>
    <x v="1"/>
    <n v="50"/>
    <x v="18"/>
    <x v="27"/>
    <x v="27"/>
    <n v="1005"/>
    <x v="19"/>
    <x v="108"/>
    <x v="151"/>
    <n v="3962"/>
    <x v="394"/>
    <n v="0"/>
    <x v="0"/>
    <s v="G 07"/>
    <n v="4"/>
    <n v="111"/>
    <x v="245"/>
    <s v="Annual"/>
    <n v="1"/>
    <n v="1"/>
    <n v="129636"/>
    <n v="129636"/>
  </r>
  <r>
    <x v="1"/>
    <n v="50"/>
    <x v="18"/>
    <x v="27"/>
    <x v="27"/>
    <n v="1005"/>
    <x v="19"/>
    <x v="108"/>
    <x v="151"/>
    <n v="3962"/>
    <x v="394"/>
    <n v="0"/>
    <x v="0"/>
    <s v="1 00"/>
    <n v="0"/>
    <n v="44"/>
    <x v="1206"/>
    <s v="Annual"/>
    <n v="0"/>
    <n v="0"/>
    <n v="913804"/>
    <n v="913804"/>
  </r>
  <r>
    <x v="1"/>
    <n v="50"/>
    <x v="18"/>
    <x v="27"/>
    <x v="27"/>
    <n v="1005"/>
    <x v="19"/>
    <x v="108"/>
    <x v="151"/>
    <n v="3962"/>
    <x v="394"/>
    <n v="0"/>
    <x v="0"/>
    <s v="1 00"/>
    <n v="0"/>
    <n v="15"/>
    <x v="37"/>
    <s v="Annual"/>
    <n v="0"/>
    <n v="0"/>
    <n v="13687"/>
    <n v="13687"/>
  </r>
  <r>
    <x v="1"/>
    <n v="58"/>
    <x v="23"/>
    <x v="27"/>
    <x v="27"/>
    <n v="1010"/>
    <x v="24"/>
    <x v="103"/>
    <x v="152"/>
    <s v="381V"/>
    <x v="395"/>
    <n v="0"/>
    <x v="0"/>
    <s v="G 07"/>
    <n v="4"/>
    <n v="3534"/>
    <x v="563"/>
    <s v="Annual"/>
    <n v="1"/>
    <n v="1"/>
    <n v="92940"/>
    <n v="92940"/>
  </r>
  <r>
    <x v="1"/>
    <n v="58"/>
    <x v="23"/>
    <x v="27"/>
    <x v="27"/>
    <n v="1010"/>
    <x v="24"/>
    <x v="103"/>
    <x v="152"/>
    <s v="381V"/>
    <x v="395"/>
    <n v="0"/>
    <x v="0"/>
    <s v="G 07"/>
    <n v="4"/>
    <n v="3534"/>
    <x v="563"/>
    <s v="Annual"/>
    <n v="1"/>
    <n v="1"/>
    <n v="90144"/>
    <n v="90144"/>
  </r>
  <r>
    <x v="1"/>
    <n v="58"/>
    <x v="23"/>
    <x v="27"/>
    <x v="27"/>
    <n v="1010"/>
    <x v="24"/>
    <x v="103"/>
    <x v="152"/>
    <s v="381V"/>
    <x v="395"/>
    <n v="0"/>
    <x v="0"/>
    <s v="1 00"/>
    <n v="0"/>
    <n v="44"/>
    <x v="1206"/>
    <s v="Annual"/>
    <n v="0"/>
    <n v="0"/>
    <n v="102454"/>
    <n v="102454"/>
  </r>
  <r>
    <x v="1"/>
    <n v="58"/>
    <x v="23"/>
    <x v="27"/>
    <x v="27"/>
    <n v="1010"/>
    <x v="24"/>
    <x v="103"/>
    <x v="152"/>
    <s v="381V"/>
    <x v="395"/>
    <n v="0"/>
    <x v="0"/>
    <s v="1 00"/>
    <n v="0"/>
    <n v="15"/>
    <x v="37"/>
    <s v="Annual"/>
    <n v="0"/>
    <n v="0"/>
    <n v="3312"/>
    <n v="3312"/>
  </r>
  <r>
    <x v="1"/>
    <n v="59"/>
    <x v="24"/>
    <x v="27"/>
    <x v="27"/>
    <n v="1005"/>
    <x v="25"/>
    <x v="109"/>
    <x v="153"/>
    <n v="3810"/>
    <x v="396"/>
    <n v="0"/>
    <x v="0"/>
    <s v="3 00"/>
    <n v="80"/>
    <n v="8786"/>
    <x v="1265"/>
    <s v="Annual"/>
    <n v="1"/>
    <n v="1"/>
    <n v="175296"/>
    <n v="175296"/>
  </r>
  <r>
    <x v="1"/>
    <n v="59"/>
    <x v="24"/>
    <x v="27"/>
    <x v="27"/>
    <n v="1005"/>
    <x v="25"/>
    <x v="109"/>
    <x v="153"/>
    <n v="3810"/>
    <x v="396"/>
    <n v="0"/>
    <x v="0"/>
    <s v="3 00"/>
    <n v="89"/>
    <n v="8764"/>
    <x v="758"/>
    <s v="Annual"/>
    <n v="1"/>
    <n v="1"/>
    <n v="191724"/>
    <n v="191724"/>
  </r>
  <r>
    <x v="1"/>
    <n v="59"/>
    <x v="24"/>
    <x v="27"/>
    <x v="27"/>
    <n v="1005"/>
    <x v="25"/>
    <x v="109"/>
    <x v="153"/>
    <n v="3810"/>
    <x v="396"/>
    <n v="0"/>
    <x v="0"/>
    <s v="F 6B"/>
    <n v="80"/>
    <n v="8726"/>
    <x v="733"/>
    <s v="Annual"/>
    <n v="1"/>
    <n v="1"/>
    <n v="165858"/>
    <n v="165858"/>
  </r>
  <r>
    <x v="1"/>
    <n v="59"/>
    <x v="24"/>
    <x v="27"/>
    <x v="27"/>
    <n v="1005"/>
    <x v="25"/>
    <x v="109"/>
    <x v="153"/>
    <n v="3810"/>
    <x v="396"/>
    <n v="0"/>
    <x v="0"/>
    <s v="F 6B"/>
    <n v="80"/>
    <n v="8726"/>
    <x v="733"/>
    <s v="Annual"/>
    <n v="1"/>
    <n v="1"/>
    <n v="161082"/>
    <n v="161082"/>
  </r>
  <r>
    <x v="1"/>
    <n v="59"/>
    <x v="24"/>
    <x v="27"/>
    <x v="27"/>
    <n v="1005"/>
    <x v="25"/>
    <x v="109"/>
    <x v="153"/>
    <n v="3810"/>
    <x v="396"/>
    <n v="0"/>
    <x v="0"/>
    <s v="F 6B"/>
    <n v="80"/>
    <n v="8726"/>
    <x v="733"/>
    <s v="Annual"/>
    <n v="1"/>
    <n v="1"/>
    <n v="156726"/>
    <n v="156726"/>
  </r>
  <r>
    <x v="1"/>
    <n v="59"/>
    <x v="24"/>
    <x v="27"/>
    <x v="27"/>
    <n v="1005"/>
    <x v="25"/>
    <x v="109"/>
    <x v="153"/>
    <n v="3810"/>
    <x v="396"/>
    <n v="0"/>
    <x v="0"/>
    <s v="F 06"/>
    <n v="80"/>
    <n v="8725"/>
    <x v="647"/>
    <s v="Annual"/>
    <n v="1"/>
    <n v="1"/>
    <n v="151860"/>
    <n v="151860"/>
  </r>
  <r>
    <x v="1"/>
    <n v="59"/>
    <x v="24"/>
    <x v="27"/>
    <x v="27"/>
    <n v="1005"/>
    <x v="25"/>
    <x v="109"/>
    <x v="153"/>
    <n v="3810"/>
    <x v="396"/>
    <n v="0"/>
    <x v="0"/>
    <s v="F 04"/>
    <n v="87"/>
    <n v="8707"/>
    <x v="737"/>
    <s v="Annual"/>
    <n v="1"/>
    <n v="1"/>
    <n v="119580"/>
    <n v="119580"/>
  </r>
  <r>
    <x v="1"/>
    <n v="59"/>
    <x v="24"/>
    <x v="27"/>
    <x v="27"/>
    <n v="1005"/>
    <x v="25"/>
    <x v="109"/>
    <x v="153"/>
    <n v="3810"/>
    <x v="396"/>
    <n v="0"/>
    <x v="0"/>
    <s v="F 04"/>
    <n v="87"/>
    <n v="8707"/>
    <x v="737"/>
    <s v="Annual"/>
    <n v="1"/>
    <n v="1"/>
    <n v="112218"/>
    <n v="112218"/>
  </r>
  <r>
    <x v="1"/>
    <n v="59"/>
    <x v="24"/>
    <x v="27"/>
    <x v="27"/>
    <n v="1005"/>
    <x v="25"/>
    <x v="109"/>
    <x v="153"/>
    <n v="3810"/>
    <x v="396"/>
    <n v="0"/>
    <x v="0"/>
    <s v="F 04"/>
    <n v="87"/>
    <n v="8703"/>
    <x v="738"/>
    <s v="Annual"/>
    <n v="1"/>
    <n v="1"/>
    <n v="115938"/>
    <n v="115938"/>
  </r>
  <r>
    <x v="1"/>
    <n v="59"/>
    <x v="24"/>
    <x v="27"/>
    <x v="27"/>
    <n v="1005"/>
    <x v="25"/>
    <x v="109"/>
    <x v="153"/>
    <n v="3810"/>
    <x v="396"/>
    <n v="0"/>
    <x v="0"/>
    <s v="B 12"/>
    <n v="1"/>
    <s v="03A8"/>
    <x v="88"/>
    <s v="Annual"/>
    <n v="1"/>
    <n v="1"/>
    <n v="77640"/>
    <n v="77640"/>
  </r>
  <r>
    <x v="1"/>
    <n v="59"/>
    <x v="24"/>
    <x v="27"/>
    <x v="27"/>
    <n v="1005"/>
    <x v="25"/>
    <x v="109"/>
    <x v="153"/>
    <n v="3810"/>
    <x v="396"/>
    <n v="0"/>
    <x v="0"/>
    <s v="B 13"/>
    <n v="4"/>
    <n v="378"/>
    <x v="597"/>
    <s v="Annual"/>
    <n v="1"/>
    <n v="1"/>
    <n v="74172"/>
    <n v="74172"/>
  </r>
  <r>
    <x v="1"/>
    <n v="59"/>
    <x v="24"/>
    <x v="27"/>
    <x v="27"/>
    <n v="1005"/>
    <x v="25"/>
    <x v="109"/>
    <x v="153"/>
    <n v="3810"/>
    <x v="396"/>
    <n v="0"/>
    <x v="0"/>
    <s v="1 00"/>
    <n v="0"/>
    <n v="44"/>
    <x v="1206"/>
    <s v="Annual"/>
    <n v="0"/>
    <n v="0"/>
    <n v="840572"/>
    <n v="840572"/>
  </r>
  <r>
    <x v="1"/>
    <n v="59"/>
    <x v="24"/>
    <x v="27"/>
    <x v="27"/>
    <n v="1005"/>
    <x v="25"/>
    <x v="109"/>
    <x v="153"/>
    <n v="3810"/>
    <x v="396"/>
    <n v="0"/>
    <x v="0"/>
    <s v="1 00"/>
    <n v="0"/>
    <n v="15"/>
    <x v="37"/>
    <s v="Annual"/>
    <n v="0"/>
    <n v="0"/>
    <n v="1514"/>
    <n v="1514"/>
  </r>
  <r>
    <x v="1"/>
    <n v="59"/>
    <x v="24"/>
    <x v="27"/>
    <x v="27"/>
    <n v="1005"/>
    <x v="25"/>
    <x v="103"/>
    <x v="152"/>
    <s v="381V"/>
    <x v="395"/>
    <n v="0"/>
    <x v="0"/>
    <s v="G 07"/>
    <n v="4"/>
    <n v="3534"/>
    <x v="563"/>
    <s v="Annual"/>
    <n v="2"/>
    <n v="1"/>
    <n v="92940"/>
    <n v="185880"/>
  </r>
  <r>
    <x v="1"/>
    <n v="59"/>
    <x v="24"/>
    <x v="27"/>
    <x v="27"/>
    <n v="1005"/>
    <x v="25"/>
    <x v="103"/>
    <x v="152"/>
    <s v="381V"/>
    <x v="395"/>
    <n v="0"/>
    <x v="0"/>
    <s v="G 07"/>
    <n v="4"/>
    <n v="3534"/>
    <x v="563"/>
    <s v="Annual"/>
    <n v="1"/>
    <n v="1"/>
    <n v="90144"/>
    <n v="90144"/>
  </r>
  <r>
    <x v="1"/>
    <n v="59"/>
    <x v="24"/>
    <x v="27"/>
    <x v="27"/>
    <n v="1005"/>
    <x v="25"/>
    <x v="103"/>
    <x v="152"/>
    <s v="381V"/>
    <x v="395"/>
    <n v="0"/>
    <x v="0"/>
    <s v="B 13"/>
    <n v="1"/>
    <n v="308"/>
    <x v="90"/>
    <s v="Annual"/>
    <n v="1"/>
    <n v="1"/>
    <n v="68616"/>
    <n v="68616"/>
  </r>
  <r>
    <x v="1"/>
    <n v="59"/>
    <x v="24"/>
    <x v="27"/>
    <x v="27"/>
    <n v="1005"/>
    <x v="25"/>
    <x v="103"/>
    <x v="152"/>
    <s v="381V"/>
    <x v="395"/>
    <n v="0"/>
    <x v="0"/>
    <s v="1 00"/>
    <n v="0"/>
    <n v="44"/>
    <x v="1206"/>
    <s v="Annual"/>
    <n v="0"/>
    <n v="0"/>
    <n v="192861"/>
    <n v="192861"/>
  </r>
  <r>
    <x v="1"/>
    <n v="59"/>
    <x v="24"/>
    <x v="27"/>
    <x v="27"/>
    <n v="1005"/>
    <x v="25"/>
    <x v="103"/>
    <x v="152"/>
    <s v="381V"/>
    <x v="395"/>
    <n v="0"/>
    <x v="0"/>
    <s v="1 00"/>
    <n v="0"/>
    <n v="15"/>
    <x v="37"/>
    <s v="Annual"/>
    <n v="0"/>
    <n v="0"/>
    <n v="8464"/>
    <n v="8464"/>
  </r>
  <r>
    <x v="1"/>
    <n v="72"/>
    <x v="29"/>
    <x v="27"/>
    <x v="27"/>
    <n v="1010"/>
    <x v="30"/>
    <x v="110"/>
    <x v="154"/>
    <n v="3810"/>
    <x v="397"/>
    <n v="0"/>
    <x v="0"/>
    <s v="B 14"/>
    <n v="3"/>
    <n v="2083"/>
    <x v="574"/>
    <s v="Annual"/>
    <n v="1"/>
    <n v="1"/>
    <n v="113628"/>
    <n v="113628"/>
  </r>
  <r>
    <x v="1"/>
    <n v="72"/>
    <x v="29"/>
    <x v="27"/>
    <x v="27"/>
    <n v="1010"/>
    <x v="30"/>
    <x v="110"/>
    <x v="154"/>
    <n v="3810"/>
    <x v="397"/>
    <n v="0"/>
    <x v="0"/>
    <s v="B 14"/>
    <n v="3"/>
    <n v="2077"/>
    <x v="576"/>
    <s v="Annual"/>
    <n v="1"/>
    <n v="1"/>
    <n v="124848"/>
    <n v="124848"/>
  </r>
  <r>
    <x v="1"/>
    <n v="72"/>
    <x v="29"/>
    <x v="27"/>
    <x v="27"/>
    <n v="1010"/>
    <x v="30"/>
    <x v="110"/>
    <x v="154"/>
    <n v="3810"/>
    <x v="397"/>
    <n v="0"/>
    <x v="0"/>
    <s v="GY 10"/>
    <n v="20"/>
    <n v="2072"/>
    <x v="578"/>
    <s v="Annual"/>
    <n v="1"/>
    <n v="1"/>
    <n v="97332"/>
    <n v="97332"/>
  </r>
  <r>
    <x v="1"/>
    <n v="72"/>
    <x v="29"/>
    <x v="27"/>
    <x v="27"/>
    <n v="1010"/>
    <x v="30"/>
    <x v="110"/>
    <x v="154"/>
    <n v="3810"/>
    <x v="397"/>
    <n v="0"/>
    <x v="0"/>
    <s v="B 12"/>
    <n v="1"/>
    <s v="03A8"/>
    <x v="88"/>
    <s v="Annual"/>
    <n v="1"/>
    <n v="1"/>
    <n v="77640"/>
    <n v="77640"/>
  </r>
  <r>
    <x v="1"/>
    <n v="72"/>
    <x v="29"/>
    <x v="27"/>
    <x v="27"/>
    <n v="1010"/>
    <x v="30"/>
    <x v="110"/>
    <x v="154"/>
    <n v="3810"/>
    <x v="397"/>
    <n v="0"/>
    <x v="0"/>
    <s v="1 00"/>
    <n v="0"/>
    <n v="44"/>
    <x v="1206"/>
    <s v="Annual"/>
    <n v="0"/>
    <n v="0"/>
    <n v="231365"/>
    <n v="231365"/>
  </r>
  <r>
    <x v="1"/>
    <n v="72"/>
    <x v="29"/>
    <x v="27"/>
    <x v="27"/>
    <n v="1010"/>
    <x v="30"/>
    <x v="110"/>
    <x v="154"/>
    <n v="3810"/>
    <x v="397"/>
    <n v="0"/>
    <x v="0"/>
    <s v="1 00"/>
    <n v="0"/>
    <n v="15"/>
    <x v="37"/>
    <s v="Annual"/>
    <n v="0"/>
    <n v="0"/>
    <n v="2876"/>
    <n v="2876"/>
  </r>
  <r>
    <x v="1"/>
    <n v="72"/>
    <x v="29"/>
    <x v="27"/>
    <x v="27"/>
    <n v="1010"/>
    <x v="30"/>
    <x v="47"/>
    <x v="155"/>
    <n v="3815"/>
    <x v="398"/>
    <n v="0"/>
    <x v="0"/>
    <s v="X 33"/>
    <n v="9"/>
    <n v="313"/>
    <x v="220"/>
    <s v="Annual"/>
    <n v="1"/>
    <n v="1"/>
    <n v="146808"/>
    <n v="146808"/>
  </r>
  <r>
    <x v="1"/>
    <n v="72"/>
    <x v="29"/>
    <x v="27"/>
    <x v="27"/>
    <n v="1010"/>
    <x v="30"/>
    <x v="47"/>
    <x v="155"/>
    <n v="3815"/>
    <x v="398"/>
    <n v="0"/>
    <x v="0"/>
    <s v="1 00"/>
    <n v="0"/>
    <n v="44"/>
    <x v="1206"/>
    <s v="Annual"/>
    <n v="0"/>
    <n v="0"/>
    <n v="82154"/>
    <n v="82154"/>
  </r>
  <r>
    <x v="1"/>
    <n v="72"/>
    <x v="29"/>
    <x v="27"/>
    <x v="27"/>
    <n v="1010"/>
    <x v="30"/>
    <x v="47"/>
    <x v="155"/>
    <n v="3815"/>
    <x v="398"/>
    <n v="0"/>
    <x v="0"/>
    <s v="1 00"/>
    <n v="0"/>
    <n v="15"/>
    <x v="37"/>
    <s v="Annual"/>
    <n v="0"/>
    <n v="0"/>
    <n v="2740"/>
    <n v="2740"/>
  </r>
  <r>
    <x v="1"/>
    <n v="72"/>
    <x v="29"/>
    <x v="27"/>
    <x v="27"/>
    <n v="1010"/>
    <x v="30"/>
    <x v="111"/>
    <x v="156"/>
    <n v="3820"/>
    <x v="399"/>
    <n v="0"/>
    <x v="0"/>
    <s v="B 14"/>
    <n v="3"/>
    <n v="2077"/>
    <x v="576"/>
    <s v="Annual"/>
    <n v="1"/>
    <n v="1"/>
    <n v="75336"/>
    <n v="75336"/>
  </r>
  <r>
    <x v="1"/>
    <n v="72"/>
    <x v="29"/>
    <x v="27"/>
    <x v="27"/>
    <n v="1010"/>
    <x v="30"/>
    <x v="111"/>
    <x v="156"/>
    <n v="3820"/>
    <x v="399"/>
    <n v="0"/>
    <x v="0"/>
    <s v="1 00"/>
    <n v="0"/>
    <n v="44"/>
    <x v="1206"/>
    <s v="Annual"/>
    <n v="0"/>
    <n v="0"/>
    <n v="42158"/>
    <n v="42158"/>
  </r>
  <r>
    <x v="1"/>
    <n v="72"/>
    <x v="29"/>
    <x v="27"/>
    <x v="27"/>
    <n v="1010"/>
    <x v="30"/>
    <x v="111"/>
    <x v="156"/>
    <n v="3820"/>
    <x v="399"/>
    <n v="0"/>
    <x v="0"/>
    <s v="1 00"/>
    <n v="0"/>
    <n v="15"/>
    <x v="37"/>
    <s v="Annual"/>
    <n v="0"/>
    <n v="0"/>
    <n v="1252"/>
    <n v="1252"/>
  </r>
  <r>
    <x v="1"/>
    <n v="91"/>
    <x v="36"/>
    <x v="27"/>
    <x v="27"/>
    <n v="1005"/>
    <x v="56"/>
    <x v="112"/>
    <x v="157"/>
    <n v="3910"/>
    <x v="400"/>
    <n v="0"/>
    <x v="0"/>
    <s v="G 07"/>
    <n v="5"/>
    <n v="579"/>
    <x v="1079"/>
    <s v="Annual"/>
    <n v="5"/>
    <n v="1"/>
    <n v="129636"/>
    <n v="648180"/>
  </r>
  <r>
    <x v="1"/>
    <n v="91"/>
    <x v="36"/>
    <x v="27"/>
    <x v="27"/>
    <n v="1005"/>
    <x v="56"/>
    <x v="112"/>
    <x v="157"/>
    <n v="3910"/>
    <x v="400"/>
    <n v="0"/>
    <x v="0"/>
    <s v="G 07"/>
    <n v="5"/>
    <n v="579"/>
    <x v="1079"/>
    <s v="Annual"/>
    <n v="1"/>
    <n v="1"/>
    <n v="117636"/>
    <n v="117636"/>
  </r>
  <r>
    <x v="1"/>
    <n v="91"/>
    <x v="36"/>
    <x v="27"/>
    <x v="27"/>
    <n v="1005"/>
    <x v="56"/>
    <x v="112"/>
    <x v="157"/>
    <n v="3910"/>
    <x v="400"/>
    <n v="0"/>
    <x v="0"/>
    <s v="G 07"/>
    <n v="5"/>
    <n v="579"/>
    <x v="1079"/>
    <s v="Annual"/>
    <n v="1"/>
    <n v="1"/>
    <n v="97488"/>
    <n v="97488"/>
  </r>
  <r>
    <x v="1"/>
    <n v="91"/>
    <x v="36"/>
    <x v="27"/>
    <x v="27"/>
    <n v="1005"/>
    <x v="56"/>
    <x v="112"/>
    <x v="157"/>
    <n v="3910"/>
    <x v="400"/>
    <n v="0"/>
    <x v="0"/>
    <s v="G 07"/>
    <n v="5"/>
    <n v="579"/>
    <x v="1079"/>
    <s v="Annual"/>
    <n v="1"/>
    <n v="1"/>
    <n v="90144"/>
    <n v="90144"/>
  </r>
  <r>
    <x v="1"/>
    <n v="91"/>
    <x v="36"/>
    <x v="27"/>
    <x v="27"/>
    <n v="1005"/>
    <x v="56"/>
    <x v="112"/>
    <x v="157"/>
    <n v="3910"/>
    <x v="400"/>
    <n v="0"/>
    <x v="0"/>
    <s v="G 03"/>
    <n v="5"/>
    <n v="575"/>
    <x v="1089"/>
    <s v="Hourly"/>
    <n v="3840"/>
    <n v="0"/>
    <n v="32.299999999999997"/>
    <n v="124032"/>
  </r>
  <r>
    <x v="1"/>
    <n v="91"/>
    <x v="36"/>
    <x v="27"/>
    <x v="27"/>
    <n v="1005"/>
    <x v="56"/>
    <x v="112"/>
    <x v="157"/>
    <n v="3910"/>
    <x v="400"/>
    <n v="0"/>
    <x v="0"/>
    <s v="G 06"/>
    <n v="5"/>
    <n v="574"/>
    <x v="1090"/>
    <s v="Annual"/>
    <n v="2"/>
    <n v="1"/>
    <n v="118836"/>
    <n v="237672"/>
  </r>
  <r>
    <x v="1"/>
    <n v="91"/>
    <x v="36"/>
    <x v="27"/>
    <x v="27"/>
    <n v="1005"/>
    <x v="56"/>
    <x v="112"/>
    <x v="157"/>
    <n v="3910"/>
    <x v="400"/>
    <n v="0"/>
    <x v="0"/>
    <s v="G 06"/>
    <n v="5"/>
    <n v="574"/>
    <x v="1090"/>
    <s v="Annual"/>
    <n v="1"/>
    <n v="1"/>
    <n v="88524"/>
    <n v="88524"/>
  </r>
  <r>
    <x v="1"/>
    <n v="91"/>
    <x v="36"/>
    <x v="27"/>
    <x v="27"/>
    <n v="1005"/>
    <x v="56"/>
    <x v="112"/>
    <x v="157"/>
    <n v="3910"/>
    <x v="400"/>
    <n v="0"/>
    <x v="0"/>
    <s v="G 03"/>
    <n v="5"/>
    <n v="573"/>
    <x v="1091"/>
    <s v="Annual"/>
    <n v="12"/>
    <n v="1"/>
    <n v="89412"/>
    <n v="1072944"/>
  </r>
  <r>
    <x v="1"/>
    <n v="91"/>
    <x v="36"/>
    <x v="27"/>
    <x v="27"/>
    <n v="1005"/>
    <x v="56"/>
    <x v="112"/>
    <x v="157"/>
    <n v="3910"/>
    <x v="400"/>
    <n v="0"/>
    <x v="0"/>
    <s v="G 03"/>
    <n v="5"/>
    <n v="573"/>
    <x v="1091"/>
    <s v="Annual"/>
    <n v="6"/>
    <n v="1"/>
    <n v="69396"/>
    <n v="416376"/>
  </r>
  <r>
    <x v="1"/>
    <n v="91"/>
    <x v="36"/>
    <x v="27"/>
    <x v="27"/>
    <n v="1005"/>
    <x v="56"/>
    <x v="112"/>
    <x v="157"/>
    <n v="3910"/>
    <x v="400"/>
    <n v="0"/>
    <x v="0"/>
    <s v="G 03"/>
    <n v="5"/>
    <n v="573"/>
    <x v="1091"/>
    <s v="Annual"/>
    <n v="1"/>
    <n v="1"/>
    <n v="65928"/>
    <n v="65928"/>
  </r>
  <r>
    <x v="1"/>
    <n v="91"/>
    <x v="36"/>
    <x v="27"/>
    <x v="27"/>
    <n v="1005"/>
    <x v="56"/>
    <x v="112"/>
    <x v="157"/>
    <n v="3910"/>
    <x v="400"/>
    <n v="0"/>
    <x v="0"/>
    <s v="G 03"/>
    <n v="5"/>
    <n v="573"/>
    <x v="1091"/>
    <s v="Annual"/>
    <n v="4"/>
    <n v="1"/>
    <n v="62976"/>
    <n v="251904"/>
  </r>
  <r>
    <x v="1"/>
    <n v="91"/>
    <x v="36"/>
    <x v="27"/>
    <x v="27"/>
    <n v="1005"/>
    <x v="56"/>
    <x v="112"/>
    <x v="157"/>
    <n v="3910"/>
    <x v="400"/>
    <n v="0"/>
    <x v="0"/>
    <s v="G 03"/>
    <n v="5"/>
    <n v="573"/>
    <x v="1091"/>
    <s v="Annual"/>
    <n v="1"/>
    <n v="1"/>
    <n v="61092"/>
    <n v="61092"/>
  </r>
  <r>
    <x v="1"/>
    <n v="91"/>
    <x v="36"/>
    <x v="27"/>
    <x v="27"/>
    <n v="1005"/>
    <x v="56"/>
    <x v="112"/>
    <x v="157"/>
    <n v="3910"/>
    <x v="400"/>
    <n v="0"/>
    <x v="0"/>
    <s v="G 05"/>
    <n v="5"/>
    <n v="507"/>
    <x v="1093"/>
    <s v="Annual"/>
    <n v="2"/>
    <n v="1"/>
    <n v="108708"/>
    <n v="217416"/>
  </r>
  <r>
    <x v="1"/>
    <n v="91"/>
    <x v="36"/>
    <x v="27"/>
    <x v="27"/>
    <n v="1005"/>
    <x v="56"/>
    <x v="112"/>
    <x v="157"/>
    <n v="3910"/>
    <x v="400"/>
    <n v="0"/>
    <x v="0"/>
    <s v="G 05"/>
    <n v="5"/>
    <n v="507"/>
    <x v="1093"/>
    <s v="Annual"/>
    <n v="1"/>
    <n v="1"/>
    <n v="84192"/>
    <n v="84192"/>
  </r>
  <r>
    <x v="1"/>
    <n v="91"/>
    <x v="36"/>
    <x v="27"/>
    <x v="27"/>
    <n v="1005"/>
    <x v="56"/>
    <x v="112"/>
    <x v="157"/>
    <n v="3910"/>
    <x v="400"/>
    <n v="0"/>
    <x v="0"/>
    <s v="G 05"/>
    <n v="5"/>
    <n v="507"/>
    <x v="1093"/>
    <s v="Annual"/>
    <n v="1"/>
    <n v="1"/>
    <n v="74160"/>
    <n v="74160"/>
  </r>
  <r>
    <x v="1"/>
    <n v="91"/>
    <x v="36"/>
    <x v="27"/>
    <x v="27"/>
    <n v="1005"/>
    <x v="56"/>
    <x v="112"/>
    <x v="157"/>
    <n v="3910"/>
    <x v="400"/>
    <n v="0"/>
    <x v="0"/>
    <s v="G 05"/>
    <n v="5"/>
    <n v="506"/>
    <x v="1094"/>
    <s v="Annual"/>
    <n v="1"/>
    <n v="1"/>
    <n v="108708"/>
    <n v="108708"/>
  </r>
  <r>
    <x v="1"/>
    <n v="91"/>
    <x v="36"/>
    <x v="27"/>
    <x v="27"/>
    <n v="1005"/>
    <x v="56"/>
    <x v="112"/>
    <x v="157"/>
    <n v="3910"/>
    <x v="400"/>
    <n v="0"/>
    <x v="0"/>
    <s v="G 05"/>
    <n v="5"/>
    <n v="506"/>
    <x v="1094"/>
    <s v="Annual"/>
    <n v="1"/>
    <n v="1"/>
    <n v="76464"/>
    <n v="76464"/>
  </r>
  <r>
    <x v="1"/>
    <n v="91"/>
    <x v="36"/>
    <x v="27"/>
    <x v="27"/>
    <n v="1005"/>
    <x v="56"/>
    <x v="112"/>
    <x v="157"/>
    <n v="3910"/>
    <x v="400"/>
    <n v="0"/>
    <x v="0"/>
    <s v="G 04"/>
    <n v="5"/>
    <n v="502"/>
    <x v="236"/>
    <s v="Annual"/>
    <n v="1"/>
    <n v="1"/>
    <n v="67284"/>
    <n v="67284"/>
  </r>
  <r>
    <x v="1"/>
    <n v="91"/>
    <x v="36"/>
    <x v="27"/>
    <x v="27"/>
    <n v="1005"/>
    <x v="56"/>
    <x v="112"/>
    <x v="157"/>
    <n v="3910"/>
    <x v="400"/>
    <n v="0"/>
    <x v="0"/>
    <s v="G 04"/>
    <n v="5"/>
    <n v="501"/>
    <x v="1096"/>
    <s v="Annual"/>
    <n v="5"/>
    <n v="1"/>
    <n v="98460"/>
    <n v="492300"/>
  </r>
  <r>
    <x v="1"/>
    <n v="91"/>
    <x v="36"/>
    <x v="27"/>
    <x v="27"/>
    <n v="1005"/>
    <x v="56"/>
    <x v="112"/>
    <x v="157"/>
    <n v="3910"/>
    <x v="400"/>
    <n v="0"/>
    <x v="0"/>
    <s v="G 04"/>
    <n v="5"/>
    <n v="501"/>
    <x v="1096"/>
    <s v="Annual"/>
    <n v="3"/>
    <n v="1"/>
    <n v="72684"/>
    <n v="218052"/>
  </r>
  <r>
    <x v="1"/>
    <n v="91"/>
    <x v="36"/>
    <x v="27"/>
    <x v="27"/>
    <n v="1005"/>
    <x v="56"/>
    <x v="112"/>
    <x v="157"/>
    <n v="3910"/>
    <x v="400"/>
    <n v="0"/>
    <x v="0"/>
    <s v="G 04"/>
    <n v="5"/>
    <n v="501"/>
    <x v="1096"/>
    <s v="Annual"/>
    <n v="1"/>
    <n v="1"/>
    <n v="67284"/>
    <n v="67284"/>
  </r>
  <r>
    <x v="1"/>
    <n v="91"/>
    <x v="36"/>
    <x v="27"/>
    <x v="27"/>
    <n v="1005"/>
    <x v="56"/>
    <x v="112"/>
    <x v="157"/>
    <n v="3910"/>
    <x v="400"/>
    <n v="0"/>
    <x v="0"/>
    <s v="B 09"/>
    <n v="1"/>
    <n v="460"/>
    <x v="344"/>
    <s v="Annual"/>
    <n v="1"/>
    <n v="1"/>
    <n v="78432"/>
    <n v="78432"/>
  </r>
  <r>
    <x v="1"/>
    <n v="91"/>
    <x v="36"/>
    <x v="27"/>
    <x v="27"/>
    <n v="1005"/>
    <x v="56"/>
    <x v="112"/>
    <x v="157"/>
    <n v="3910"/>
    <x v="400"/>
    <n v="0"/>
    <x v="0"/>
    <s v="B 10"/>
    <n v="1"/>
    <n v="449"/>
    <x v="1097"/>
    <s v="Annual"/>
    <n v="2"/>
    <n v="1"/>
    <n v="90144"/>
    <n v="180288"/>
  </r>
  <r>
    <x v="1"/>
    <n v="91"/>
    <x v="36"/>
    <x v="27"/>
    <x v="27"/>
    <n v="1005"/>
    <x v="56"/>
    <x v="112"/>
    <x v="157"/>
    <n v="3910"/>
    <x v="400"/>
    <n v="0"/>
    <x v="0"/>
    <s v="B 10"/>
    <n v="1"/>
    <n v="449"/>
    <x v="1097"/>
    <s v="Annual"/>
    <n v="3"/>
    <n v="1"/>
    <n v="74916"/>
    <n v="224748"/>
  </r>
  <r>
    <x v="1"/>
    <n v="91"/>
    <x v="36"/>
    <x v="27"/>
    <x v="27"/>
    <n v="1005"/>
    <x v="56"/>
    <x v="112"/>
    <x v="157"/>
    <n v="3910"/>
    <x v="400"/>
    <n v="0"/>
    <x v="0"/>
    <s v="B 10"/>
    <n v="1"/>
    <n v="449"/>
    <x v="1097"/>
    <s v="Annual"/>
    <n v="1"/>
    <n v="1"/>
    <n v="71436"/>
    <n v="71436"/>
  </r>
  <r>
    <x v="1"/>
    <n v="91"/>
    <x v="36"/>
    <x v="27"/>
    <x v="27"/>
    <n v="1005"/>
    <x v="56"/>
    <x v="112"/>
    <x v="157"/>
    <n v="3910"/>
    <x v="400"/>
    <n v="0"/>
    <x v="0"/>
    <s v="B 08"/>
    <n v="1"/>
    <n v="447"/>
    <x v="1084"/>
    <s v="Annual"/>
    <n v="5"/>
    <n v="1"/>
    <n v="74916"/>
    <n v="374580"/>
  </r>
  <r>
    <x v="1"/>
    <n v="91"/>
    <x v="36"/>
    <x v="27"/>
    <x v="27"/>
    <n v="1005"/>
    <x v="56"/>
    <x v="112"/>
    <x v="157"/>
    <n v="3910"/>
    <x v="400"/>
    <n v="0"/>
    <x v="0"/>
    <s v="B 08"/>
    <n v="1"/>
    <n v="447"/>
    <x v="1084"/>
    <s v="Annual"/>
    <n v="1"/>
    <n v="1"/>
    <n v="43164"/>
    <n v="43164"/>
  </r>
  <r>
    <x v="1"/>
    <n v="91"/>
    <x v="36"/>
    <x v="27"/>
    <x v="27"/>
    <n v="1005"/>
    <x v="56"/>
    <x v="112"/>
    <x v="157"/>
    <n v="3910"/>
    <x v="400"/>
    <n v="0"/>
    <x v="0"/>
    <s v="B 12"/>
    <n v="1"/>
    <s v="03A8"/>
    <x v="88"/>
    <s v="Annual"/>
    <n v="1"/>
    <n v="1"/>
    <n v="64488"/>
    <n v="64488"/>
  </r>
  <r>
    <x v="1"/>
    <n v="91"/>
    <x v="36"/>
    <x v="27"/>
    <x v="27"/>
    <n v="1005"/>
    <x v="56"/>
    <x v="112"/>
    <x v="157"/>
    <n v="3910"/>
    <x v="400"/>
    <n v="0"/>
    <x v="0"/>
    <s v="1 00"/>
    <n v="0"/>
    <n v="44"/>
    <x v="1206"/>
    <s v="Annual"/>
    <n v="0"/>
    <n v="0"/>
    <n v="3198066"/>
    <n v="3198066"/>
  </r>
  <r>
    <x v="1"/>
    <n v="91"/>
    <x v="36"/>
    <x v="27"/>
    <x v="27"/>
    <n v="1005"/>
    <x v="56"/>
    <x v="112"/>
    <x v="157"/>
    <n v="3910"/>
    <x v="400"/>
    <n v="0"/>
    <x v="0"/>
    <s v="1 00"/>
    <n v="0"/>
    <n v="15"/>
    <x v="37"/>
    <s v="Annual"/>
    <n v="0"/>
    <n v="0"/>
    <n v="27806"/>
    <n v="27806"/>
  </r>
  <r>
    <x v="1"/>
    <n v="91"/>
    <x v="36"/>
    <x v="27"/>
    <x v="27"/>
    <n v="1005"/>
    <x v="56"/>
    <x v="112"/>
    <x v="157"/>
    <n v="3915"/>
    <x v="401"/>
    <n v="0"/>
    <x v="0"/>
    <s v="B 08"/>
    <n v="1"/>
    <n v="445"/>
    <x v="1099"/>
    <s v="Annual"/>
    <n v="1"/>
    <n v="1"/>
    <n v="44496"/>
    <n v="44496"/>
  </r>
  <r>
    <x v="1"/>
    <n v="91"/>
    <x v="36"/>
    <x v="27"/>
    <x v="27"/>
    <n v="1005"/>
    <x v="56"/>
    <x v="112"/>
    <x v="157"/>
    <n v="3915"/>
    <x v="401"/>
    <n v="0"/>
    <x v="0"/>
    <s v="B 08"/>
    <n v="1"/>
    <n v="445"/>
    <x v="1099"/>
    <s v="Annual"/>
    <n v="2"/>
    <n v="1"/>
    <n v="43164"/>
    <n v="86328"/>
  </r>
  <r>
    <x v="1"/>
    <n v="91"/>
    <x v="36"/>
    <x v="27"/>
    <x v="27"/>
    <n v="1005"/>
    <x v="56"/>
    <x v="112"/>
    <x v="157"/>
    <n v="3915"/>
    <x v="401"/>
    <n v="0"/>
    <x v="0"/>
    <s v="B 12"/>
    <n v="1"/>
    <s v="03A8"/>
    <x v="88"/>
    <s v="Annual"/>
    <n v="1"/>
    <n v="1"/>
    <n v="62544"/>
    <n v="62544"/>
  </r>
  <r>
    <x v="1"/>
    <n v="91"/>
    <x v="36"/>
    <x v="27"/>
    <x v="27"/>
    <n v="1005"/>
    <x v="56"/>
    <x v="112"/>
    <x v="157"/>
    <n v="3915"/>
    <x v="401"/>
    <n v="0"/>
    <x v="0"/>
    <s v="B 13"/>
    <n v="1"/>
    <n v="308"/>
    <x v="90"/>
    <s v="Annual"/>
    <n v="1"/>
    <n v="1"/>
    <n v="119100"/>
    <n v="119100"/>
  </r>
  <r>
    <x v="1"/>
    <n v="91"/>
    <x v="36"/>
    <x v="27"/>
    <x v="27"/>
    <n v="1005"/>
    <x v="56"/>
    <x v="112"/>
    <x v="157"/>
    <n v="3915"/>
    <x v="401"/>
    <n v="0"/>
    <x v="0"/>
    <s v="1 00"/>
    <n v="0"/>
    <n v="44"/>
    <x v="1206"/>
    <s v="Annual"/>
    <n v="0"/>
    <n v="0"/>
    <n v="174857"/>
    <n v="174857"/>
  </r>
  <r>
    <x v="1"/>
    <n v="91"/>
    <x v="36"/>
    <x v="27"/>
    <x v="27"/>
    <n v="1005"/>
    <x v="56"/>
    <x v="112"/>
    <x v="157"/>
    <n v="3915"/>
    <x v="401"/>
    <n v="0"/>
    <x v="0"/>
    <s v="1 00"/>
    <n v="0"/>
    <n v="15"/>
    <x v="37"/>
    <s v="Annual"/>
    <n v="0"/>
    <n v="0"/>
    <n v="1002"/>
    <n v="1002"/>
  </r>
  <r>
    <x v="1"/>
    <n v="1"/>
    <x v="0"/>
    <x v="28"/>
    <x v="28"/>
    <n v="1005"/>
    <x v="0"/>
    <x v="113"/>
    <x v="158"/>
    <s v="390H"/>
    <x v="402"/>
    <n v="0"/>
    <x v="0"/>
    <s v="1 00"/>
    <n v="9"/>
    <n v="9643"/>
    <x v="1213"/>
    <s v="Annual"/>
    <n v="1"/>
    <n v="1"/>
    <n v="109824"/>
    <n v="109824"/>
  </r>
  <r>
    <x v="1"/>
    <n v="1"/>
    <x v="0"/>
    <x v="28"/>
    <x v="28"/>
    <n v="1005"/>
    <x v="0"/>
    <x v="113"/>
    <x v="158"/>
    <s v="390H"/>
    <x v="402"/>
    <n v="0"/>
    <x v="0"/>
    <s v="1 00"/>
    <n v="0"/>
    <n v="44"/>
    <x v="1206"/>
    <s v="Annual"/>
    <n v="0"/>
    <n v="0"/>
    <n v="61458"/>
    <n v="61458"/>
  </r>
  <r>
    <x v="1"/>
    <n v="5"/>
    <x v="2"/>
    <x v="28"/>
    <x v="28"/>
    <n v="1005"/>
    <x v="2"/>
    <x v="113"/>
    <x v="158"/>
    <s v="390H"/>
    <x v="402"/>
    <n v="0"/>
    <x v="0"/>
    <s v="1 00"/>
    <n v="9"/>
    <n v="9643"/>
    <x v="1213"/>
    <s v="Annual"/>
    <n v="1"/>
    <n v="1"/>
    <n v="109824"/>
    <n v="109824"/>
  </r>
  <r>
    <x v="1"/>
    <n v="5"/>
    <x v="2"/>
    <x v="28"/>
    <x v="28"/>
    <n v="1005"/>
    <x v="2"/>
    <x v="113"/>
    <x v="158"/>
    <s v="390H"/>
    <x v="402"/>
    <n v="0"/>
    <x v="0"/>
    <s v="1 00"/>
    <n v="0"/>
    <n v="44"/>
    <x v="1206"/>
    <s v="Annual"/>
    <n v="0"/>
    <n v="0"/>
    <n v="61458"/>
    <n v="61458"/>
  </r>
  <r>
    <x v="1"/>
    <n v="41"/>
    <x v="15"/>
    <x v="28"/>
    <x v="28"/>
    <n v="1005"/>
    <x v="16"/>
    <x v="113"/>
    <x v="158"/>
    <s v="390H"/>
    <x v="402"/>
    <n v="0"/>
    <x v="0"/>
    <s v="1 00"/>
    <n v="9"/>
    <n v="9644"/>
    <x v="1220"/>
    <s v="Annual"/>
    <n v="1"/>
    <n v="1"/>
    <n v="131124"/>
    <n v="131124"/>
  </r>
  <r>
    <x v="1"/>
    <n v="41"/>
    <x v="15"/>
    <x v="28"/>
    <x v="28"/>
    <n v="1005"/>
    <x v="16"/>
    <x v="113"/>
    <x v="158"/>
    <s v="390H"/>
    <x v="402"/>
    <n v="0"/>
    <x v="0"/>
    <s v="1 00"/>
    <n v="9"/>
    <n v="9643"/>
    <x v="1213"/>
    <s v="Annual"/>
    <n v="1"/>
    <n v="1"/>
    <n v="112020"/>
    <n v="112020"/>
  </r>
  <r>
    <x v="1"/>
    <n v="41"/>
    <x v="15"/>
    <x v="28"/>
    <x v="28"/>
    <n v="1005"/>
    <x v="16"/>
    <x v="113"/>
    <x v="158"/>
    <s v="390H"/>
    <x v="402"/>
    <n v="0"/>
    <x v="0"/>
    <s v="1 00"/>
    <n v="0"/>
    <n v="44"/>
    <x v="1206"/>
    <s v="Annual"/>
    <n v="0"/>
    <n v="0"/>
    <n v="136063"/>
    <n v="136063"/>
  </r>
  <r>
    <x v="1"/>
    <n v="54"/>
    <x v="20"/>
    <x v="28"/>
    <x v="28"/>
    <n v="1005"/>
    <x v="21"/>
    <x v="113"/>
    <x v="158"/>
    <s v="390H"/>
    <x v="402"/>
    <n v="0"/>
    <x v="0"/>
    <s v="1 00"/>
    <n v="9"/>
    <n v="9646"/>
    <x v="1266"/>
    <s v="Annual"/>
    <n v="1"/>
    <n v="1"/>
    <n v="135384"/>
    <n v="135384"/>
  </r>
  <r>
    <x v="1"/>
    <n v="54"/>
    <x v="20"/>
    <x v="28"/>
    <x v="28"/>
    <n v="1005"/>
    <x v="21"/>
    <x v="113"/>
    <x v="158"/>
    <s v="390H"/>
    <x v="402"/>
    <n v="0"/>
    <x v="0"/>
    <s v="1 00"/>
    <n v="0"/>
    <n v="44"/>
    <x v="1206"/>
    <s v="Annual"/>
    <n v="0"/>
    <n v="0"/>
    <n v="75761"/>
    <n v="75761"/>
  </r>
  <r>
    <x v="1"/>
    <n v="70"/>
    <x v="28"/>
    <x v="28"/>
    <x v="28"/>
    <n v="1005"/>
    <x v="29"/>
    <x v="113"/>
    <x v="158"/>
    <s v="390H"/>
    <x v="402"/>
    <n v="0"/>
    <x v="0"/>
    <s v="1 00"/>
    <n v="9"/>
    <n v="9646"/>
    <x v="1266"/>
    <s v="Annual"/>
    <n v="1"/>
    <n v="1"/>
    <n v="140808"/>
    <n v="140808"/>
  </r>
  <r>
    <x v="1"/>
    <n v="70"/>
    <x v="28"/>
    <x v="28"/>
    <x v="28"/>
    <n v="1005"/>
    <x v="29"/>
    <x v="113"/>
    <x v="158"/>
    <s v="390H"/>
    <x v="402"/>
    <n v="0"/>
    <x v="0"/>
    <s v="BX 18"/>
    <n v="10"/>
    <n v="311"/>
    <x v="253"/>
    <s v="Annual"/>
    <n v="2"/>
    <n v="1"/>
    <n v="102444"/>
    <n v="204888"/>
  </r>
  <r>
    <x v="1"/>
    <n v="70"/>
    <x v="28"/>
    <x v="28"/>
    <x v="28"/>
    <n v="1005"/>
    <x v="29"/>
    <x v="113"/>
    <x v="158"/>
    <s v="390H"/>
    <x v="402"/>
    <n v="0"/>
    <x v="0"/>
    <s v="1 00"/>
    <n v="0"/>
    <n v="44"/>
    <x v="1206"/>
    <s v="Annual"/>
    <n v="0"/>
    <n v="0"/>
    <n v="193451"/>
    <n v="1934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01734E-12F1-46F0-9013-EDCE95C1E5C9}" name="PivotTable1" cacheId="1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3">
  <location ref="A3:B14" firstHeaderRow="1" firstDataRow="1" firstDataCol="1"/>
  <pivotFields count="22"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40">
        <item x="14"/>
        <item x="32"/>
        <item x="30"/>
        <item x="16"/>
        <item x="38"/>
        <item x="15"/>
        <item x="34"/>
        <item x="24"/>
        <item x="21"/>
        <item x="22"/>
        <item x="36"/>
        <item x="4"/>
        <item x="8"/>
        <item x="25"/>
        <item x="26"/>
        <item x="9"/>
        <item x="27"/>
        <item x="28"/>
        <item x="37"/>
        <item x="29"/>
        <item x="18"/>
        <item x="7"/>
        <item x="13"/>
        <item x="5"/>
        <item x="11"/>
        <item x="10"/>
        <item x="20"/>
        <item x="12"/>
        <item x="33"/>
        <item x="3"/>
        <item x="35"/>
        <item x="31"/>
        <item x="17"/>
        <item x="2"/>
        <item x="6"/>
        <item x="23"/>
        <item x="1"/>
        <item x="19"/>
        <item x="0"/>
        <item t="default"/>
      </items>
    </pivotField>
    <pivotField compact="0" outline="0" showAll="0">
      <items count="30">
        <item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3"/>
        <item x="24"/>
        <item x="25"/>
        <item x="26"/>
        <item x="27"/>
        <item x="28"/>
        <item t="default"/>
      </items>
    </pivotField>
    <pivotField compact="0" outline="0" showAll="0">
      <items count="30">
        <item x="10"/>
        <item x="14"/>
        <item x="16"/>
        <item x="8"/>
        <item x="9"/>
        <item x="15"/>
        <item x="19"/>
        <item x="28"/>
        <item x="0"/>
        <item x="22"/>
        <item x="23"/>
        <item x="6"/>
        <item x="24"/>
        <item x="25"/>
        <item x="12"/>
        <item x="21"/>
        <item x="5"/>
        <item x="26"/>
        <item x="3"/>
        <item x="20"/>
        <item x="17"/>
        <item x="4"/>
        <item x="7"/>
        <item x="27"/>
        <item x="11"/>
        <item x="18"/>
        <item x="2"/>
        <item x="1"/>
        <item x="13"/>
        <item t="default"/>
      </items>
    </pivotField>
    <pivotField compact="0" outline="0" showAll="0"/>
    <pivotField compact="0" outline="0" showAll="0">
      <items count="60">
        <item x="15"/>
        <item x="33"/>
        <item x="48"/>
        <item x="49"/>
        <item x="38"/>
        <item x="52"/>
        <item x="51"/>
        <item x="36"/>
        <item x="35"/>
        <item x="37"/>
        <item x="53"/>
        <item x="50"/>
        <item x="31"/>
        <item x="17"/>
        <item x="58"/>
        <item x="25"/>
        <item x="22"/>
        <item x="23"/>
        <item x="56"/>
        <item x="4"/>
        <item x="9"/>
        <item x="47"/>
        <item x="26"/>
        <item x="34"/>
        <item x="27"/>
        <item x="5"/>
        <item x="10"/>
        <item x="28"/>
        <item x="29"/>
        <item x="57"/>
        <item x="30"/>
        <item x="19"/>
        <item x="6"/>
        <item x="12"/>
        <item x="11"/>
        <item x="21"/>
        <item x="13"/>
        <item x="16"/>
        <item x="3"/>
        <item x="41"/>
        <item x="45"/>
        <item x="54"/>
        <item x="55"/>
        <item x="46"/>
        <item x="44"/>
        <item x="43"/>
        <item x="42"/>
        <item x="8"/>
        <item x="14"/>
        <item x="32"/>
        <item x="18"/>
        <item x="2"/>
        <item x="7"/>
        <item x="24"/>
        <item x="1"/>
        <item x="20"/>
        <item x="39"/>
        <item x="0"/>
        <item x="40"/>
        <item t="default"/>
      </items>
    </pivotField>
    <pivotField compact="0" outline="0" showAll="0">
      <items count="115">
        <item x="11"/>
        <item x="0"/>
        <item x="24"/>
        <item x="19"/>
        <item x="3"/>
        <item x="4"/>
        <item x="2"/>
        <item x="5"/>
        <item x="20"/>
        <item x="6"/>
        <item x="12"/>
        <item x="21"/>
        <item x="13"/>
        <item x="14"/>
        <item x="22"/>
        <item x="15"/>
        <item x="16"/>
        <item x="17"/>
        <item x="18"/>
        <item x="25"/>
        <item x="33"/>
        <item x="7"/>
        <item x="26"/>
        <item x="27"/>
        <item x="28"/>
        <item x="34"/>
        <item x="8"/>
        <item x="29"/>
        <item x="9"/>
        <item x="35"/>
        <item x="10"/>
        <item x="30"/>
        <item x="1"/>
        <item x="31"/>
        <item x="32"/>
        <item x="58"/>
        <item x="50"/>
        <item x="57"/>
        <item x="61"/>
        <item x="62"/>
        <item x="63"/>
        <item x="59"/>
        <item x="60"/>
        <item x="55"/>
        <item x="51"/>
        <item x="52"/>
        <item x="53"/>
        <item x="54"/>
        <item x="56"/>
        <item x="23"/>
        <item x="45"/>
        <item x="65"/>
        <item x="39"/>
        <item x="83"/>
        <item x="42"/>
        <item x="66"/>
        <item x="109"/>
        <item x="98"/>
        <item x="69"/>
        <item x="86"/>
        <item x="72"/>
        <item x="95"/>
        <item x="73"/>
        <item x="48"/>
        <item x="74"/>
        <item x="44"/>
        <item x="84"/>
        <item x="101"/>
        <item x="105"/>
        <item x="102"/>
        <item x="100"/>
        <item x="37"/>
        <item x="38"/>
        <item x="36"/>
        <item x="87"/>
        <item x="88"/>
        <item x="78"/>
        <item x="112"/>
        <item x="89"/>
        <item x="79"/>
        <item x="94"/>
        <item x="80"/>
        <item x="106"/>
        <item x="90"/>
        <item x="81"/>
        <item x="107"/>
        <item x="108"/>
        <item x="82"/>
        <item x="91"/>
        <item x="64"/>
        <item x="96"/>
        <item x="110"/>
        <item x="47"/>
        <item x="111"/>
        <item x="97"/>
        <item x="67"/>
        <item x="85"/>
        <item x="49"/>
        <item x="41"/>
        <item x="68"/>
        <item x="70"/>
        <item x="99"/>
        <item x="71"/>
        <item x="103"/>
        <item x="43"/>
        <item x="92"/>
        <item x="93"/>
        <item x="75"/>
        <item x="46"/>
        <item x="104"/>
        <item x="76"/>
        <item x="40"/>
        <item x="77"/>
        <item x="113"/>
        <item t="default"/>
      </items>
    </pivotField>
    <pivotField axis="axisRow" compact="0" outline="0" showAll="0" measureFilter="1" sortType="descending">
      <items count="160">
        <item x="9"/>
        <item x="55"/>
        <item x="27"/>
        <item x="54"/>
        <item x="68"/>
        <item x="19"/>
        <item x="3"/>
        <item x="40"/>
        <item x="41"/>
        <item x="39"/>
        <item x="69"/>
        <item x="18"/>
        <item x="17"/>
        <item x="20"/>
        <item x="59"/>
        <item x="73"/>
        <item x="72"/>
        <item x="57"/>
        <item x="56"/>
        <item x="58"/>
        <item x="74"/>
        <item x="70"/>
        <item x="52"/>
        <item x="30"/>
        <item x="44"/>
        <item x="79"/>
        <item x="35"/>
        <item x="36"/>
        <item x="77"/>
        <item x="80"/>
        <item x="8"/>
        <item x="4"/>
        <item x="12"/>
        <item x="67"/>
        <item x="45"/>
        <item x="126"/>
        <item x="128"/>
        <item x="22"/>
        <item x="46"/>
        <item x="5"/>
        <item x="82"/>
        <item x="84"/>
        <item x="83"/>
        <item x="24"/>
        <item x="13"/>
        <item x="47"/>
        <item x="48"/>
        <item x="78"/>
        <item x="49"/>
        <item x="32"/>
        <item x="6"/>
        <item x="15"/>
        <item x="14"/>
        <item x="34"/>
        <item x="16"/>
        <item x="81"/>
        <item x="136"/>
        <item x="135"/>
        <item x="103"/>
        <item x="26"/>
        <item x="61"/>
        <item x="65"/>
        <item x="75"/>
        <item x="76"/>
        <item x="66"/>
        <item x="64"/>
        <item x="63"/>
        <item x="62"/>
        <item x="133"/>
        <item x="123"/>
        <item x="132"/>
        <item x="134"/>
        <item x="140"/>
        <item x="21"/>
        <item x="137"/>
        <item x="138"/>
        <item x="25"/>
        <item x="23"/>
        <item x="10"/>
        <item x="85"/>
        <item x="50"/>
        <item x="28"/>
        <item x="124"/>
        <item x="127"/>
        <item x="130"/>
        <item x="115"/>
        <item x="129"/>
        <item x="106"/>
        <item x="88"/>
        <item x="87"/>
        <item x="107"/>
        <item x="111"/>
        <item x="109"/>
        <item x="113"/>
        <item x="108"/>
        <item x="114"/>
        <item x="112"/>
        <item x="121"/>
        <item x="110"/>
        <item x="104"/>
        <item x="118"/>
        <item x="117"/>
        <item x="122"/>
        <item x="90"/>
        <item x="98"/>
        <item x="102"/>
        <item x="101"/>
        <item x="96"/>
        <item x="99"/>
        <item x="100"/>
        <item x="92"/>
        <item x="91"/>
        <item x="95"/>
        <item x="94"/>
        <item x="93"/>
        <item x="97"/>
        <item x="89"/>
        <item x="131"/>
        <item x="86"/>
        <item x="119"/>
        <item x="116"/>
        <item x="120"/>
        <item x="125"/>
        <item x="152"/>
        <item x="149"/>
        <item x="145"/>
        <item x="148"/>
        <item x="150"/>
        <item x="146"/>
        <item x="147"/>
        <item x="155"/>
        <item x="156"/>
        <item x="144"/>
        <item x="143"/>
        <item x="151"/>
        <item x="53"/>
        <item x="31"/>
        <item x="2"/>
        <item x="7"/>
        <item x="42"/>
        <item x="43"/>
        <item x="51"/>
        <item x="1"/>
        <item x="33"/>
        <item x="37"/>
        <item x="0"/>
        <item x="153"/>
        <item x="154"/>
        <item x="38"/>
        <item x="60"/>
        <item x="71"/>
        <item x="142"/>
        <item x="141"/>
        <item x="11"/>
        <item x="157"/>
        <item x="29"/>
        <item x="158"/>
        <item x="105"/>
        <item x="1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404">
        <item x="138"/>
        <item x="96"/>
        <item x="44"/>
        <item x="50"/>
        <item x="22"/>
        <item x="332"/>
        <item x="297"/>
        <item x="157"/>
        <item x="3"/>
        <item x="186"/>
        <item x="174"/>
        <item x="178"/>
        <item x="363"/>
        <item x="61"/>
        <item x="249"/>
        <item x="380"/>
        <item x="311"/>
        <item x="308"/>
        <item x="402"/>
        <item x="381"/>
        <item x="215"/>
        <item x="214"/>
        <item x="216"/>
        <item x="56"/>
        <item x="87"/>
        <item x="371"/>
        <item x="163"/>
        <item x="162"/>
        <item x="19"/>
        <item x="279"/>
        <item x="66"/>
        <item x="288"/>
        <item x="23"/>
        <item x="386"/>
        <item x="57"/>
        <item x="329"/>
        <item x="169"/>
        <item x="164"/>
        <item x="154"/>
        <item x="161"/>
        <item x="207"/>
        <item x="256"/>
        <item x="124"/>
        <item x="223"/>
        <item x="322"/>
        <item x="166"/>
        <item x="305"/>
        <item x="395"/>
        <item x="309"/>
        <item x="151"/>
        <item x="312"/>
        <item x="372"/>
        <item x="115"/>
        <item x="318"/>
        <item x="31"/>
        <item x="38"/>
        <item x="188"/>
        <item x="280"/>
        <item x="149"/>
        <item x="245"/>
        <item x="212"/>
        <item x="199"/>
        <item x="198"/>
        <item x="71"/>
        <item x="121"/>
        <item x="135"/>
        <item x="263"/>
        <item x="210"/>
        <item x="196"/>
        <item x="118"/>
        <item x="35"/>
        <item x="103"/>
        <item x="366"/>
        <item x="365"/>
        <item x="58"/>
        <item x="34"/>
        <item x="235"/>
        <item x="287"/>
        <item x="81"/>
        <item x="236"/>
        <item x="324"/>
        <item x="278"/>
        <item x="1"/>
        <item x="252"/>
        <item x="32"/>
        <item x="172"/>
        <item x="99"/>
        <item x="173"/>
        <item x="303"/>
        <item x="272"/>
        <item x="224"/>
        <item x="275"/>
        <item x="80"/>
        <item x="105"/>
        <item x="285"/>
        <item x="258"/>
        <item x="159"/>
        <item x="194"/>
        <item x="90"/>
        <item x="141"/>
        <item x="394"/>
        <item x="246"/>
        <item x="339"/>
        <item x="374"/>
        <item x="378"/>
        <item x="101"/>
        <item x="243"/>
        <item x="283"/>
        <item x="242"/>
        <item x="100"/>
        <item x="392"/>
        <item x="301"/>
        <item x="355"/>
        <item x="373"/>
        <item x="137"/>
        <item x="60"/>
        <item x="78"/>
        <item x="352"/>
        <item x="89"/>
        <item x="291"/>
        <item x="257"/>
        <item x="389"/>
        <item x="91"/>
        <item x="129"/>
        <item x="317"/>
        <item x="123"/>
        <item x="112"/>
        <item x="262"/>
        <item x="94"/>
        <item x="225"/>
        <item x="264"/>
        <item x="0"/>
        <item x="134"/>
        <item x="140"/>
        <item x="86"/>
        <item x="338"/>
        <item x="387"/>
        <item x="74"/>
        <item x="227"/>
        <item x="109"/>
        <item x="54"/>
        <item x="68"/>
        <item x="219"/>
        <item x="46"/>
        <item x="52"/>
        <item x="45"/>
        <item x="41"/>
        <item x="396"/>
        <item x="190"/>
        <item x="42"/>
        <item x="326"/>
        <item x="93"/>
        <item x="108"/>
        <item x="97"/>
        <item x="307"/>
        <item x="310"/>
        <item x="295"/>
        <item x="247"/>
        <item x="127"/>
        <item x="167"/>
        <item x="228"/>
        <item x="229"/>
        <item x="368"/>
        <item x="95"/>
        <item x="107"/>
        <item x="231"/>
        <item x="160"/>
        <item x="226"/>
        <item x="321"/>
        <item x="325"/>
        <item x="319"/>
        <item x="323"/>
        <item x="88"/>
        <item x="369"/>
        <item x="122"/>
        <item x="358"/>
        <item x="383"/>
        <item x="349"/>
        <item x="130"/>
        <item x="328"/>
        <item x="340"/>
        <item x="143"/>
        <item x="334"/>
        <item x="33"/>
        <item x="359"/>
        <item x="313"/>
        <item x="361"/>
        <item x="320"/>
        <item x="333"/>
        <item x="84"/>
        <item x="120"/>
        <item x="37"/>
        <item x="111"/>
        <item x="76"/>
        <item x="113"/>
        <item x="146"/>
        <item x="21"/>
        <item x="351"/>
        <item x="125"/>
        <item x="268"/>
        <item x="175"/>
        <item x="202"/>
        <item x="232"/>
        <item x="40"/>
        <item x="18"/>
        <item x="67"/>
        <item x="168"/>
        <item x="271"/>
        <item x="28"/>
        <item x="30"/>
        <item x="27"/>
        <item x="29"/>
        <item x="144"/>
        <item x="62"/>
        <item x="362"/>
        <item x="336"/>
        <item x="388"/>
        <item x="128"/>
        <item x="348"/>
        <item x="267"/>
        <item x="92"/>
        <item x="17"/>
        <item x="63"/>
        <item x="273"/>
        <item x="217"/>
        <item x="206"/>
        <item x="391"/>
        <item x="385"/>
        <item x="274"/>
        <item x="286"/>
        <item x="250"/>
        <item x="304"/>
        <item x="72"/>
        <item x="116"/>
        <item x="360"/>
        <item x="337"/>
        <item x="126"/>
        <item x="269"/>
        <item x="367"/>
        <item x="211"/>
        <item x="345"/>
        <item x="240"/>
        <item x="289"/>
        <item x="36"/>
        <item x="187"/>
        <item x="117"/>
        <item x="10"/>
        <item x="26"/>
        <item x="6"/>
        <item x="155"/>
        <item x="314"/>
        <item x="177"/>
        <item x="82"/>
        <item x="180"/>
        <item x="14"/>
        <item x="181"/>
        <item x="9"/>
        <item x="15"/>
        <item x="12"/>
        <item x="7"/>
        <item x="8"/>
        <item x="13"/>
        <item x="208"/>
        <item x="11"/>
        <item x="315"/>
        <item x="5"/>
        <item x="153"/>
        <item x="39"/>
        <item x="83"/>
        <item x="53"/>
        <item x="185"/>
        <item x="189"/>
        <item x="4"/>
        <item x="152"/>
        <item x="293"/>
        <item x="55"/>
        <item x="16"/>
        <item x="316"/>
        <item x="79"/>
        <item x="47"/>
        <item x="233"/>
        <item x="213"/>
        <item x="43"/>
        <item x="145"/>
        <item x="255"/>
        <item x="218"/>
        <item x="197"/>
        <item x="331"/>
        <item x="147"/>
        <item x="248"/>
        <item x="193"/>
        <item x="234"/>
        <item x="195"/>
        <item x="51"/>
        <item x="182"/>
        <item x="114"/>
        <item x="294"/>
        <item x="302"/>
        <item x="244"/>
        <item x="133"/>
        <item x="300"/>
        <item x="209"/>
        <item x="119"/>
        <item x="106"/>
        <item x="191"/>
        <item x="139"/>
        <item x="251"/>
        <item x="20"/>
        <item x="375"/>
        <item x="64"/>
        <item x="341"/>
        <item x="342"/>
        <item x="170"/>
        <item x="205"/>
        <item x="292"/>
        <item x="239"/>
        <item x="254"/>
        <item x="284"/>
        <item x="69"/>
        <item x="356"/>
        <item x="400"/>
        <item x="298"/>
        <item x="335"/>
        <item x="241"/>
        <item x="184"/>
        <item x="398"/>
        <item x="296"/>
        <item x="70"/>
        <item x="65"/>
        <item x="98"/>
        <item x="221"/>
        <item x="346"/>
        <item x="253"/>
        <item x="2"/>
        <item x="379"/>
        <item x="370"/>
        <item x="393"/>
        <item x="238"/>
        <item x="203"/>
        <item x="204"/>
        <item x="148"/>
        <item x="201"/>
        <item x="357"/>
        <item x="220"/>
        <item x="399"/>
        <item x="156"/>
        <item x="158"/>
        <item x="73"/>
        <item x="171"/>
        <item x="277"/>
        <item x="132"/>
        <item x="350"/>
        <item x="24"/>
        <item x="176"/>
        <item x="49"/>
        <item x="276"/>
        <item x="330"/>
        <item x="364"/>
        <item x="136"/>
        <item x="265"/>
        <item x="85"/>
        <item x="266"/>
        <item x="183"/>
        <item x="48"/>
        <item x="110"/>
        <item x="200"/>
        <item x="299"/>
        <item x="77"/>
        <item x="390"/>
        <item x="59"/>
        <item x="282"/>
        <item x="237"/>
        <item x="281"/>
        <item x="179"/>
        <item x="290"/>
        <item x="377"/>
        <item x="327"/>
        <item x="230"/>
        <item x="354"/>
        <item x="131"/>
        <item x="401"/>
        <item x="397"/>
        <item x="382"/>
        <item x="344"/>
        <item x="353"/>
        <item x="222"/>
        <item x="192"/>
        <item x="376"/>
        <item x="306"/>
        <item x="104"/>
        <item x="102"/>
        <item x="270"/>
        <item x="384"/>
        <item x="260"/>
        <item x="259"/>
        <item x="261"/>
        <item x="347"/>
        <item x="75"/>
        <item x="25"/>
        <item x="343"/>
        <item x="165"/>
        <item x="142"/>
        <item x="150"/>
        <item t="default"/>
      </items>
    </pivotField>
    <pivotField compact="0" outline="0" showAll="0"/>
    <pivotField compact="0" outline="0" showAll="0">
      <items count="353">
        <item x="267"/>
        <item x="228"/>
        <item x="207"/>
        <item x="229"/>
        <item x="202"/>
        <item x="23"/>
        <item x="325"/>
        <item x="32"/>
        <item x="203"/>
        <item x="140"/>
        <item x="205"/>
        <item x="340"/>
        <item x="21"/>
        <item x="249"/>
        <item x="319"/>
        <item x="323"/>
        <item x="332"/>
        <item x="36"/>
        <item x="304"/>
        <item x="337"/>
        <item x="142"/>
        <item x="2"/>
        <item x="71"/>
        <item x="117"/>
        <item x="137"/>
        <item x="238"/>
        <item x="195"/>
        <item x="151"/>
        <item x="226"/>
        <item x="269"/>
        <item x="268"/>
        <item x="297"/>
        <item x="293"/>
        <item x="242"/>
        <item x="190"/>
        <item x="128"/>
        <item x="305"/>
        <item x="18"/>
        <item x="283"/>
        <item x="240"/>
        <item x="69"/>
        <item x="27"/>
        <item x="110"/>
        <item x="127"/>
        <item x="315"/>
        <item x="321"/>
        <item x="11"/>
        <item x="13"/>
        <item x="116"/>
        <item x="251"/>
        <item x="257"/>
        <item x="22"/>
        <item x="7"/>
        <item x="223"/>
        <item x="42"/>
        <item x="91"/>
        <item x="302"/>
        <item x="107"/>
        <item x="349"/>
        <item x="204"/>
        <item x="1"/>
        <item x="234"/>
        <item x="318"/>
        <item x="144"/>
        <item x="309"/>
        <item x="280"/>
        <item x="132"/>
        <item x="182"/>
        <item x="331"/>
        <item x="273"/>
        <item x="192"/>
        <item x="72"/>
        <item x="28"/>
        <item x="224"/>
        <item x="272"/>
        <item x="62"/>
        <item x="208"/>
        <item x="60"/>
        <item x="310"/>
        <item x="39"/>
        <item x="35"/>
        <item x="37"/>
        <item x="38"/>
        <item x="33"/>
        <item x="31"/>
        <item x="141"/>
        <item x="133"/>
        <item x="115"/>
        <item x="148"/>
        <item x="68"/>
        <item x="298"/>
        <item x="320"/>
        <item x="26"/>
        <item x="3"/>
        <item x="180"/>
        <item x="312"/>
        <item x="131"/>
        <item x="55"/>
        <item x="77"/>
        <item x="343"/>
        <item x="348"/>
        <item x="219"/>
        <item x="235"/>
        <item x="186"/>
        <item x="237"/>
        <item x="239"/>
        <item x="187"/>
        <item x="328"/>
        <item x="170"/>
        <item x="8"/>
        <item x="47"/>
        <item x="49"/>
        <item x="79"/>
        <item x="19"/>
        <item x="222"/>
        <item x="241"/>
        <item x="263"/>
        <item x="335"/>
        <item x="175"/>
        <item x="122"/>
        <item x="154"/>
        <item x="266"/>
        <item x="308"/>
        <item x="67"/>
        <item x="138"/>
        <item x="20"/>
        <item x="80"/>
        <item x="61"/>
        <item x="81"/>
        <item x="43"/>
        <item x="178"/>
        <item x="90"/>
        <item x="53"/>
        <item x="119"/>
        <item x="230"/>
        <item x="6"/>
        <item x="25"/>
        <item x="292"/>
        <item x="172"/>
        <item x="169"/>
        <item x="152"/>
        <item x="121"/>
        <item x="179"/>
        <item x="120"/>
        <item x="135"/>
        <item x="5"/>
        <item x="155"/>
        <item x="83"/>
        <item x="336"/>
        <item x="57"/>
        <item x="215"/>
        <item x="214"/>
        <item x="350"/>
        <item x="271"/>
        <item x="48"/>
        <item x="98"/>
        <item x="338"/>
        <item x="166"/>
        <item x="85"/>
        <item x="44"/>
        <item x="145"/>
        <item x="326"/>
        <item x="301"/>
        <item x="88"/>
        <item x="52"/>
        <item x="87"/>
        <item x="89"/>
        <item x="176"/>
        <item x="130"/>
        <item x="307"/>
        <item x="162"/>
        <item x="290"/>
        <item x="294"/>
        <item x="191"/>
        <item x="50"/>
        <item x="108"/>
        <item x="97"/>
        <item x="329"/>
        <item x="78"/>
        <item x="54"/>
        <item x="163"/>
        <item x="106"/>
        <item x="40"/>
        <item x="322"/>
        <item x="256"/>
        <item x="232"/>
        <item x="95"/>
        <item x="118"/>
        <item x="194"/>
        <item x="209"/>
        <item x="173"/>
        <item x="125"/>
        <item x="248"/>
        <item x="188"/>
        <item x="199"/>
        <item x="156"/>
        <item x="86"/>
        <item x="164"/>
        <item x="146"/>
        <item x="314"/>
        <item x="167"/>
        <item x="341"/>
        <item x="126"/>
        <item x="279"/>
        <item x="29"/>
        <item x="134"/>
        <item x="345"/>
        <item x="184"/>
        <item x="334"/>
        <item x="92"/>
        <item x="168"/>
        <item x="159"/>
        <item x="105"/>
        <item x="177"/>
        <item x="149"/>
        <item x="216"/>
        <item x="299"/>
        <item x="296"/>
        <item x="157"/>
        <item x="196"/>
        <item x="227"/>
        <item x="17"/>
        <item x="282"/>
        <item x="316"/>
        <item x="64"/>
        <item x="306"/>
        <item x="206"/>
        <item x="12"/>
        <item x="4"/>
        <item x="66"/>
        <item x="101"/>
        <item x="275"/>
        <item x="63"/>
        <item x="84"/>
        <item x="75"/>
        <item x="99"/>
        <item x="220"/>
        <item x="333"/>
        <item x="342"/>
        <item x="295"/>
        <item x="246"/>
        <item x="291"/>
        <item x="221"/>
        <item x="281"/>
        <item x="76"/>
        <item x="82"/>
        <item x="344"/>
        <item x="58"/>
        <item x="265"/>
        <item x="41"/>
        <item x="346"/>
        <item x="160"/>
        <item x="165"/>
        <item x="201"/>
        <item x="198"/>
        <item x="197"/>
        <item x="274"/>
        <item x="111"/>
        <item x="14"/>
        <item x="225"/>
        <item x="139"/>
        <item x="45"/>
        <item x="112"/>
        <item x="212"/>
        <item x="150"/>
        <item x="189"/>
        <item x="211"/>
        <item x="74"/>
        <item x="153"/>
        <item x="313"/>
        <item x="9"/>
        <item x="109"/>
        <item x="252"/>
        <item x="161"/>
        <item x="300"/>
        <item x="327"/>
        <item x="70"/>
        <item x="286"/>
        <item x="287"/>
        <item x="285"/>
        <item x="289"/>
        <item x="288"/>
        <item x="284"/>
        <item x="56"/>
        <item x="193"/>
        <item x="231"/>
        <item x="277"/>
        <item x="303"/>
        <item x="93"/>
        <item x="254"/>
        <item x="123"/>
        <item x="185"/>
        <item x="114"/>
        <item x="171"/>
        <item x="94"/>
        <item x="255"/>
        <item x="59"/>
        <item x="143"/>
        <item x="51"/>
        <item x="183"/>
        <item x="236"/>
        <item x="210"/>
        <item x="174"/>
        <item x="24"/>
        <item x="124"/>
        <item x="347"/>
        <item x="96"/>
        <item x="15"/>
        <item x="16"/>
        <item x="46"/>
        <item x="330"/>
        <item x="34"/>
        <item x="73"/>
        <item x="233"/>
        <item x="158"/>
        <item x="129"/>
        <item x="278"/>
        <item x="65"/>
        <item x="217"/>
        <item x="147"/>
        <item x="218"/>
        <item x="250"/>
        <item x="276"/>
        <item x="339"/>
        <item x="264"/>
        <item x="181"/>
        <item x="30"/>
        <item x="270"/>
        <item x="200"/>
        <item x="324"/>
        <item x="136"/>
        <item x="351"/>
        <item x="311"/>
        <item x="258"/>
        <item x="260"/>
        <item x="247"/>
        <item x="244"/>
        <item x="259"/>
        <item x="262"/>
        <item x="245"/>
        <item x="261"/>
        <item x="243"/>
        <item x="253"/>
        <item x="213"/>
        <item x="10"/>
        <item x="317"/>
        <item x="113"/>
        <item x="102"/>
        <item x="103"/>
        <item x="104"/>
        <item x="100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268">
        <item x="593"/>
        <item x="479"/>
        <item x="93"/>
        <item x="931"/>
        <item x="94"/>
        <item x="500"/>
        <item x="4"/>
        <item x="302"/>
        <item x="34"/>
        <item x="324"/>
        <item x="503"/>
        <item x="68"/>
        <item x="227"/>
        <item x="530"/>
        <item x="83"/>
        <item x="329"/>
        <item x="597"/>
        <item x="228"/>
        <item x="6"/>
        <item x="1260"/>
        <item x="1171"/>
        <item x="1152"/>
        <item x="1132"/>
        <item x="1131"/>
        <item x="1136"/>
        <item x="1140"/>
        <item x="1173"/>
        <item x="1179"/>
        <item x="1141"/>
        <item x="1139"/>
        <item x="196"/>
        <item x="195"/>
        <item x="194"/>
        <item x="193"/>
        <item x="192"/>
        <item x="191"/>
        <item x="190"/>
        <item x="189"/>
        <item x="188"/>
        <item x="187"/>
        <item x="205"/>
        <item x="186"/>
        <item x="185"/>
        <item x="184"/>
        <item x="183"/>
        <item x="182"/>
        <item x="181"/>
        <item x="180"/>
        <item x="179"/>
        <item x="178"/>
        <item x="177"/>
        <item x="204"/>
        <item x="176"/>
        <item x="175"/>
        <item x="174"/>
        <item x="173"/>
        <item x="172"/>
        <item x="171"/>
        <item x="170"/>
        <item x="169"/>
        <item x="168"/>
        <item x="167"/>
        <item x="203"/>
        <item x="166"/>
        <item x="165"/>
        <item x="164"/>
        <item x="163"/>
        <item x="162"/>
        <item x="161"/>
        <item x="160"/>
        <item x="159"/>
        <item x="158"/>
        <item x="157"/>
        <item x="202"/>
        <item x="156"/>
        <item x="201"/>
        <item x="200"/>
        <item x="199"/>
        <item x="198"/>
        <item x="197"/>
        <item x="745"/>
        <item x="590"/>
        <item x="12"/>
        <item x="856"/>
        <item x="858"/>
        <item x="857"/>
        <item x="865"/>
        <item x="867"/>
        <item x="853"/>
        <item x="864"/>
        <item x="863"/>
        <item x="132"/>
        <item x="117"/>
        <item x="145"/>
        <item x="149"/>
        <item x="635"/>
        <item x="1185"/>
        <item x="592"/>
        <item x="434"/>
        <item x="236"/>
        <item x="670"/>
        <item x="443"/>
        <item x="1033"/>
        <item x="1029"/>
        <item x="1259"/>
        <item x="1133"/>
        <item x="257"/>
        <item x="70"/>
        <item x="1138"/>
        <item x="987"/>
        <item x="820"/>
        <item x="917"/>
        <item x="1058"/>
        <item x="1155"/>
        <item x="414"/>
        <item x="934"/>
        <item x="312"/>
        <item x="776"/>
        <item x="220"/>
        <item x="1243"/>
        <item x="252"/>
        <item x="340"/>
        <item x="346"/>
        <item x="335"/>
        <item x="339"/>
        <item x="337"/>
        <item x="211"/>
        <item x="11"/>
        <item x="767"/>
        <item x="747"/>
        <item x="21"/>
        <item x="237"/>
        <item x="301"/>
        <item x="7"/>
        <item x="1247"/>
        <item x="1072"/>
        <item x="606"/>
        <item x="243"/>
        <item x="383"/>
        <item x="1081"/>
        <item x="654"/>
        <item x="1239"/>
        <item x="993"/>
        <item x="932"/>
        <item x="976"/>
        <item x="502"/>
        <item x="650"/>
        <item x="872"/>
        <item x="41"/>
        <item x="1082"/>
        <item x="511"/>
        <item x="309"/>
        <item x="233"/>
        <item x="274"/>
        <item x="14"/>
        <item x="387"/>
        <item x="927"/>
        <item x="1256"/>
        <item x="210"/>
        <item x="1027"/>
        <item x="1007"/>
        <item x="1087"/>
        <item x="518"/>
        <item x="881"/>
        <item x="207"/>
        <item x="311"/>
        <item x="389"/>
        <item x="276"/>
        <item x="508"/>
        <item x="638"/>
        <item x="374"/>
        <item x="362"/>
        <item x="784"/>
        <item x="44"/>
        <item x="806"/>
        <item x="1191"/>
        <item x="555"/>
        <item x="802"/>
        <item x="529"/>
        <item x="40"/>
        <item x="394"/>
        <item x="1250"/>
        <item x="1073"/>
        <item x="280"/>
        <item x="272"/>
        <item x="244"/>
        <item x="282"/>
        <item x="390"/>
        <item x="1019"/>
        <item x="495"/>
        <item x="1150"/>
        <item x="1148"/>
        <item x="1153"/>
        <item x="1164"/>
        <item x="1144"/>
        <item x="1143"/>
        <item x="1178"/>
        <item x="1145"/>
        <item x="1177"/>
        <item x="759"/>
        <item x="764"/>
        <item x="763"/>
        <item x="561"/>
        <item x="259"/>
        <item x="258"/>
        <item x="492"/>
        <item x="824"/>
        <item x="289"/>
        <item x="444"/>
        <item x="1034"/>
        <item x="926"/>
        <item x="73"/>
        <item x="65"/>
        <item x="573"/>
        <item x="102"/>
        <item x="841"/>
        <item x="834"/>
        <item x="832"/>
        <item x="134"/>
        <item x="123"/>
        <item x="665"/>
        <item x="752"/>
        <item x="751"/>
        <item x="591"/>
        <item x="447"/>
        <item x="39"/>
        <item x="798"/>
        <item x="1221"/>
        <item x="994"/>
        <item x="1035"/>
        <item x="1049"/>
        <item x="403"/>
        <item x="580"/>
        <item x="852"/>
        <item x="583"/>
        <item x="660"/>
        <item x="214"/>
        <item x="785"/>
        <item x="1137"/>
        <item x="400"/>
        <item x="336"/>
        <item x="43"/>
        <item x="825"/>
        <item x="815"/>
        <item x="95"/>
        <item x="59"/>
        <item x="996"/>
        <item x="496"/>
        <item x="818"/>
        <item x="1059"/>
        <item x="955"/>
        <item x="20"/>
        <item x="58"/>
        <item x="769"/>
        <item x="87"/>
        <item x="154"/>
        <item x="53"/>
        <item x="800"/>
        <item x="46"/>
        <item x="1156"/>
        <item x="640"/>
        <item x="1172"/>
        <item x="1066"/>
        <item x="618"/>
        <item x="330"/>
        <item x="960"/>
        <item x="8"/>
        <item x="413"/>
        <item x="80"/>
        <item x="54"/>
        <item x="936"/>
        <item x="384"/>
        <item x="920"/>
        <item x="380"/>
        <item x="1242"/>
        <item x="1161"/>
        <item x="846"/>
        <item x="1105"/>
        <item x="822"/>
        <item x="246"/>
        <item x="954"/>
        <item x="943"/>
        <item x="643"/>
        <item x="224"/>
        <item x="238"/>
        <item x="891"/>
        <item x="627"/>
        <item x="901"/>
        <item x="629"/>
        <item x="348"/>
        <item x="310"/>
        <item x="945"/>
        <item x="898"/>
        <item x="904"/>
        <item x="903"/>
        <item x="345"/>
        <item x="265"/>
        <item x="371"/>
        <item x="507"/>
        <item x="1002"/>
        <item x="366"/>
        <item x="407"/>
        <item x="564"/>
        <item x="563"/>
        <item x="146"/>
        <item x="300"/>
        <item x="647"/>
        <item x="733"/>
        <item x="748"/>
        <item x="778"/>
        <item x="775"/>
        <item x="1159"/>
        <item x="807"/>
        <item x="828"/>
        <item x="1069"/>
        <item x="1121"/>
        <item x="594"/>
        <item x="404"/>
        <item x="527"/>
        <item x="215"/>
        <item x="352"/>
        <item x="588"/>
        <item x="623"/>
        <item x="871"/>
        <item x="896"/>
        <item x="937"/>
        <item x="551"/>
        <item x="1113"/>
        <item x="13"/>
        <item x="721"/>
        <item x="720"/>
        <item x="552"/>
        <item x="601"/>
        <item x="1244"/>
        <item x="1258"/>
        <item x="667"/>
        <item x="558"/>
        <item x="546"/>
        <item x="850"/>
        <item x="524"/>
        <item x="77"/>
        <item x="1207"/>
        <item x="42"/>
        <item x="358"/>
        <item x="513"/>
        <item x="512"/>
        <item x="1028"/>
        <item x="1174"/>
        <item x="827"/>
        <item x="989"/>
        <item x="1061"/>
        <item x="131"/>
        <item x="126"/>
        <item x="96"/>
        <item x="291"/>
        <item x="405"/>
        <item x="108"/>
        <item x="504"/>
        <item x="1261"/>
        <item x="814"/>
        <item x="422"/>
        <item x="421"/>
        <item x="912"/>
        <item x="1115"/>
        <item x="542"/>
        <item x="913"/>
        <item x="611"/>
        <item x="780"/>
        <item x="938"/>
        <item x="743"/>
        <item x="631"/>
        <item x="632"/>
        <item x="1209"/>
        <item x="1265"/>
        <item x="1175"/>
        <item x="278"/>
        <item x="457"/>
        <item x="649"/>
        <item x="420"/>
        <item x="941"/>
        <item x="732"/>
        <item x="598"/>
        <item x="808"/>
        <item x="1026"/>
        <item x="1195"/>
        <item x="905"/>
        <item x="322"/>
        <item x="467"/>
        <item x="681"/>
        <item x="690"/>
        <item x="709"/>
        <item x="674"/>
        <item x="692"/>
        <item x="683"/>
        <item x="1126"/>
        <item x="1128"/>
        <item x="412"/>
        <item x="1011"/>
        <item x="307"/>
        <item x="1103"/>
        <item x="124"/>
        <item x="133"/>
        <item x="536"/>
        <item x="129"/>
        <item x="128"/>
        <item x="625"/>
        <item x="295"/>
        <item x="62"/>
        <item x="120"/>
        <item x="143"/>
        <item x="978"/>
        <item x="538"/>
        <item x="540"/>
        <item x="213"/>
        <item x="69"/>
        <item x="659"/>
        <item x="786"/>
        <item x="9"/>
        <item x="1012"/>
        <item x="314"/>
        <item x="81"/>
        <item x="241"/>
        <item x="328"/>
        <item x="76"/>
        <item x="317"/>
        <item x="758"/>
        <item x="746"/>
        <item x="735"/>
        <item x="45"/>
        <item x="235"/>
        <item x="24"/>
        <item x="386"/>
        <item x="397"/>
        <item x="712"/>
        <item x="676"/>
        <item x="115"/>
        <item x="121"/>
        <item x="455"/>
        <item x="790"/>
        <item x="1086"/>
        <item x="657"/>
        <item x="708"/>
        <item x="1168"/>
        <item x="1"/>
        <item x="544"/>
        <item x="562"/>
        <item x="719"/>
        <item x="250"/>
        <item x="914"/>
        <item x="907"/>
        <item x="296"/>
        <item x="316"/>
        <item x="89"/>
        <item x="370"/>
        <item x="327"/>
        <item x="666"/>
        <item x="1264"/>
        <item x="373"/>
        <item x="1160"/>
        <item x="553"/>
        <item x="1232"/>
        <item x="739"/>
        <item x="256"/>
        <item x="575"/>
        <item x="535"/>
        <item x="410"/>
        <item x="1237"/>
        <item x="92"/>
        <item x="568"/>
        <item x="1211"/>
        <item x="602"/>
        <item x="388"/>
        <item x="587"/>
        <item x="332"/>
        <item x="586"/>
        <item x="240"/>
        <item x="792"/>
        <item x="381"/>
        <item x="842"/>
        <item x="1215"/>
        <item x="633"/>
        <item x="1080"/>
        <item x="1085"/>
        <item x="1077"/>
        <item x="1008"/>
        <item x="1009"/>
        <item x="453"/>
        <item x="487"/>
        <item x="1074"/>
        <item x="799"/>
        <item x="1212"/>
        <item x="323"/>
        <item x="1228"/>
        <item x="333"/>
        <item x="528"/>
        <item x="1181"/>
        <item x="706"/>
        <item x="375"/>
        <item x="744"/>
        <item x="541"/>
        <item x="33"/>
        <item x="565"/>
        <item x="902"/>
        <item x="1124"/>
        <item x="805"/>
        <item x="419"/>
        <item x="1154"/>
        <item x="86"/>
        <item x="359"/>
        <item x="789"/>
        <item x="959"/>
        <item x="947"/>
        <item x="266"/>
        <item x="356"/>
        <item x="589"/>
        <item x="288"/>
        <item x="287"/>
        <item x="892"/>
        <item x="1031"/>
        <item x="1030"/>
        <item x="1054"/>
        <item x="731"/>
        <item x="984"/>
        <item x="1050"/>
        <item x="1047"/>
        <item x="1240"/>
        <item x="992"/>
        <item x="888"/>
        <item x="501"/>
        <item x="878"/>
        <item x="1192"/>
        <item x="97"/>
        <item x="231"/>
        <item x="361"/>
        <item x="1254"/>
        <item x="1253"/>
        <item x="522"/>
        <item x="521"/>
        <item x="520"/>
        <item x="519"/>
        <item x="967"/>
        <item x="812"/>
        <item x="431"/>
        <item x="494"/>
        <item x="1110"/>
        <item x="1088"/>
        <item x="428"/>
        <item x="821"/>
        <item x="988"/>
        <item x="1120"/>
        <item x="1180"/>
        <item x="557"/>
        <item x="626"/>
        <item x="354"/>
        <item x="556"/>
        <item x="147"/>
        <item x="974"/>
        <item x="975"/>
        <item x="968"/>
        <item x="911"/>
        <item x="928"/>
        <item x="729"/>
        <item x="897"/>
        <item x="107"/>
        <item x="99"/>
        <item x="577"/>
        <item x="468"/>
        <item x="469"/>
        <item x="255"/>
        <item x="574"/>
        <item x="532"/>
        <item x="534"/>
        <item x="533"/>
        <item x="357"/>
        <item x="498"/>
        <item x="497"/>
        <item x="1157"/>
        <item x="873"/>
        <item x="716"/>
        <item x="639"/>
        <item x="982"/>
        <item x="30"/>
        <item x="868"/>
        <item x="804"/>
        <item x="717"/>
        <item x="604"/>
        <item x="645"/>
        <item x="849"/>
        <item x="915"/>
        <item x="1251"/>
        <item x="699"/>
        <item x="1130"/>
        <item x="609"/>
        <item x="875"/>
        <item x="1025"/>
        <item x="1024"/>
        <item x="1023"/>
        <item x="1022"/>
        <item x="285"/>
        <item x="286"/>
        <item x="969"/>
        <item x="972"/>
        <item x="971"/>
        <item x="970"/>
        <item x="36"/>
        <item x="91"/>
        <item x="334"/>
        <item x="74"/>
        <item x="247"/>
        <item x="223"/>
        <item x="705"/>
        <item x="704"/>
        <item x="703"/>
        <item x="730"/>
        <item x="1118"/>
        <item x="1117"/>
        <item x="760"/>
        <item x="756"/>
        <item x="755"/>
        <item x="774"/>
        <item x="773"/>
        <item x="783"/>
        <item x="761"/>
        <item x="740"/>
        <item x="757"/>
        <item x="762"/>
        <item x="749"/>
        <item x="750"/>
        <item x="325"/>
        <item x="66"/>
        <item x="787"/>
        <item x="10"/>
        <item x="225"/>
        <item x="315"/>
        <item x="353"/>
        <item x="239"/>
        <item x="736"/>
        <item x="385"/>
        <item x="672"/>
        <item x="906"/>
        <item x="605"/>
        <item x="929"/>
        <item x="478"/>
        <item x="477"/>
        <item x="84"/>
        <item x="1057"/>
        <item x="491"/>
        <item x="998"/>
        <item x="1056"/>
        <item x="446"/>
        <item x="1036"/>
        <item x="986"/>
        <item x="973"/>
        <item x="430"/>
        <item x="493"/>
        <item x="483"/>
        <item x="886"/>
        <item x="1032"/>
        <item x="425"/>
        <item x="919"/>
        <item x="1108"/>
        <item x="426"/>
        <item x="489"/>
        <item x="485"/>
        <item x="440"/>
        <item x="392"/>
        <item x="438"/>
        <item x="1065"/>
        <item x="1062"/>
        <item x="432"/>
        <item x="1039"/>
        <item x="1038"/>
        <item x="965"/>
        <item x="435"/>
        <item x="1043"/>
        <item x="921"/>
        <item x="991"/>
        <item x="1176"/>
        <item x="64"/>
        <item x="684"/>
        <item x="685"/>
        <item x="893"/>
        <item x="1206"/>
        <item x="476"/>
        <item x="38"/>
        <item x="1064"/>
        <item x="1052"/>
        <item x="1053"/>
        <item x="997"/>
        <item x="429"/>
        <item x="442"/>
        <item x="995"/>
        <item x="1055"/>
        <item x="1048"/>
        <item x="1045"/>
        <item x="1051"/>
        <item x="1021"/>
        <item x="1134"/>
        <item x="883"/>
        <item x="1135"/>
        <item x="1183"/>
        <item x="877"/>
        <item x="727"/>
        <item x="981"/>
        <item x="1104"/>
        <item x="1187"/>
        <item x="900"/>
        <item x="1186"/>
        <item x="445"/>
        <item x="103"/>
        <item x="1205"/>
        <item x="1208"/>
        <item x="1071"/>
        <item x="466"/>
        <item x="1070"/>
        <item x="584"/>
        <item x="1097"/>
        <item x="118"/>
        <item x="98"/>
        <item x="140"/>
        <item x="451"/>
        <item x="406"/>
        <item x="567"/>
        <item x="617"/>
        <item x="1101"/>
        <item x="1078"/>
        <item x="1100"/>
        <item x="887"/>
        <item x="482"/>
        <item x="1255"/>
        <item x="1068"/>
        <item x="217"/>
        <item x="363"/>
        <item x="365"/>
        <item x="364"/>
        <item x="585"/>
        <item x="1224"/>
        <item x="28"/>
        <item x="318"/>
        <item x="1241"/>
        <item x="230"/>
        <item x="1216"/>
        <item x="55"/>
        <item x="32"/>
        <item x="155"/>
        <item x="1167"/>
        <item x="671"/>
        <item x="653"/>
        <item x="150"/>
        <item x="141"/>
        <item x="619"/>
        <item x="26"/>
        <item x="797"/>
        <item x="52"/>
        <item x="614"/>
        <item x="795"/>
        <item x="869"/>
        <item x="49"/>
        <item x="48"/>
        <item x="47"/>
        <item x="734"/>
        <item x="664"/>
        <item x="826"/>
        <item x="1165"/>
        <item x="1218"/>
        <item x="61"/>
        <item x="777"/>
        <item x="248"/>
        <item x="844"/>
        <item x="581"/>
        <item x="424"/>
        <item x="990"/>
        <item x="1107"/>
        <item x="298"/>
        <item x="985"/>
        <item x="1046"/>
        <item x="1142"/>
        <item x="669"/>
        <item x="350"/>
        <item x="245"/>
        <item x="461"/>
        <item x="471"/>
        <item x="613"/>
        <item x="870"/>
        <item x="349"/>
        <item x="206"/>
        <item x="22"/>
        <item x="212"/>
        <item x="1096"/>
        <item x="1095"/>
        <item x="1094"/>
        <item x="1090"/>
        <item x="1079"/>
        <item x="1091"/>
        <item x="1089"/>
        <item x="1099"/>
        <item x="1098"/>
        <item x="1083"/>
        <item x="1092"/>
        <item x="1248"/>
        <item x="1014"/>
        <item x="662"/>
        <item x="1158"/>
        <item x="754"/>
        <item x="768"/>
        <item x="753"/>
        <item x="923"/>
        <item x="1109"/>
        <item x="1042"/>
        <item x="221"/>
        <item x="838"/>
        <item x="427"/>
        <item x="999"/>
        <item x="490"/>
        <item x="794"/>
        <item x="1147"/>
        <item x="473"/>
        <item x="488"/>
        <item x="644"/>
        <item x="723"/>
        <item x="319"/>
        <item x="260"/>
        <item x="283"/>
        <item x="411"/>
        <item x="839"/>
        <item x="401"/>
        <item x="304"/>
        <item x="809"/>
        <item x="1119"/>
        <item x="600"/>
        <item x="35"/>
        <item x="983"/>
        <item x="475"/>
        <item x="569"/>
        <item x="463"/>
        <item x="29"/>
        <item x="612"/>
        <item x="582"/>
        <item x="916"/>
        <item x="297"/>
        <item x="607"/>
        <item x="1217"/>
        <item x="817"/>
        <item x="303"/>
        <item x="1149"/>
        <item x="480"/>
        <item x="1162"/>
        <item x="67"/>
        <item x="216"/>
        <item x="249"/>
        <item x="326"/>
        <item x="275"/>
        <item x="393"/>
        <item x="234"/>
        <item x="944"/>
        <item x="980"/>
        <item x="979"/>
        <item x="770"/>
        <item x="816"/>
        <item x="0"/>
        <item x="963"/>
        <item x="977"/>
        <item x="942"/>
        <item x="1184"/>
        <item x="620"/>
        <item x="539"/>
        <item x="615"/>
        <item x="851"/>
        <item x="554"/>
        <item x="899"/>
        <item x="958"/>
        <item x="957"/>
        <item x="956"/>
        <item x="1225"/>
        <item x="449"/>
        <item x="484"/>
        <item x="148"/>
        <item x="142"/>
        <item x="885"/>
        <item x="548"/>
        <item x="616"/>
        <item x="829"/>
        <item x="679"/>
        <item x="462"/>
        <item x="377"/>
        <item x="415"/>
        <item x="966"/>
        <item x="268"/>
        <item x="855"/>
        <item x="104"/>
        <item x="441"/>
        <item x="338"/>
        <item x="347"/>
        <item x="741"/>
        <item x="765"/>
        <item x="766"/>
        <item x="738"/>
        <item x="742"/>
        <item x="737"/>
        <item x="284"/>
        <item x="294"/>
        <item x="1013"/>
        <item x="279"/>
        <item x="273"/>
        <item x="876"/>
        <item x="51"/>
        <item x="16"/>
        <item x="17"/>
        <item x="656"/>
        <item x="1006"/>
        <item x="439"/>
        <item x="933"/>
        <item x="935"/>
        <item x="677"/>
        <item x="661"/>
        <item x="678"/>
        <item x="1114"/>
        <item x="718"/>
        <item x="1112"/>
        <item x="687"/>
        <item x="652"/>
        <item x="1204"/>
        <item x="655"/>
        <item x="715"/>
        <item x="698"/>
        <item x="663"/>
        <item x="686"/>
        <item x="694"/>
        <item x="689"/>
        <item x="695"/>
        <item x="697"/>
        <item x="673"/>
        <item x="688"/>
        <item x="1202"/>
        <item x="682"/>
        <item x="675"/>
        <item x="696"/>
        <item x="680"/>
        <item x="701"/>
        <item x="355"/>
        <item x="1263"/>
        <item x="515"/>
        <item x="514"/>
        <item x="882"/>
        <item x="313"/>
        <item x="460"/>
        <item x="19"/>
        <item x="18"/>
        <item x="15"/>
        <item x="71"/>
        <item x="506"/>
        <item x="110"/>
        <item x="270"/>
        <item x="136"/>
        <item x="109"/>
        <item x="79"/>
        <item x="456"/>
        <item x="271"/>
        <item x="1163"/>
        <item x="710"/>
        <item x="137"/>
        <item x="1106"/>
        <item x="1102"/>
        <item x="459"/>
        <item x="343"/>
        <item x="1210"/>
        <item x="399"/>
        <item x="396"/>
        <item x="398"/>
        <item x="702"/>
        <item x="531"/>
        <item x="550"/>
        <item x="1122"/>
        <item x="308"/>
        <item x="1123"/>
        <item x="1127"/>
        <item x="621"/>
        <item x="331"/>
        <item x="509"/>
        <item x="222"/>
        <item x="226"/>
        <item x="423"/>
        <item x="114"/>
        <item x="135"/>
        <item x="811"/>
        <item x="112"/>
        <item x="5"/>
        <item x="713"/>
        <item x="253"/>
        <item x="229"/>
        <item x="610"/>
        <item x="1020"/>
        <item x="559"/>
        <item x="566"/>
        <item x="1222"/>
        <item x="1234"/>
        <item x="545"/>
        <item x="537"/>
        <item x="549"/>
        <item x="543"/>
        <item x="1229"/>
        <item x="31"/>
        <item x="75"/>
        <item x="1075"/>
        <item x="847"/>
        <item x="595"/>
        <item x="837"/>
        <item x="122"/>
        <item x="796"/>
        <item x="1266"/>
        <item x="1213"/>
        <item x="376"/>
        <item x="378"/>
        <item x="379"/>
        <item x="879"/>
        <item x="1235"/>
        <item x="1257"/>
        <item x="1231"/>
        <item x="1190"/>
        <item x="232"/>
        <item x="465"/>
        <item x="464"/>
        <item x="1015"/>
        <item x="714"/>
        <item x="803"/>
        <item x="264"/>
        <item x="262"/>
        <item x="658"/>
        <item x="470"/>
        <item x="874"/>
        <item x="940"/>
        <item x="571"/>
        <item x="950"/>
        <item x="949"/>
        <item x="948"/>
        <item x="880"/>
        <item x="884"/>
        <item x="37"/>
        <item x="1226"/>
        <item x="1227"/>
        <item x="88"/>
        <item x="320"/>
        <item x="3"/>
        <item x="782"/>
        <item x="25"/>
        <item x="1093"/>
        <item x="845"/>
        <item x="472"/>
        <item x="72"/>
        <item x="833"/>
        <item x="402"/>
        <item x="890"/>
        <item x="372"/>
        <item x="505"/>
        <item x="139"/>
        <item x="151"/>
        <item x="111"/>
        <item x="218"/>
        <item x="1223"/>
        <item x="547"/>
        <item x="576"/>
        <item x="27"/>
        <item x="261"/>
        <item x="254"/>
        <item x="57"/>
        <item x="321"/>
        <item x="269"/>
        <item x="788"/>
        <item x="56"/>
        <item x="138"/>
        <item x="1262"/>
        <item x="382"/>
        <item x="634"/>
        <item x="641"/>
        <item x="351"/>
        <item x="23"/>
        <item x="1084"/>
        <item x="801"/>
        <item x="344"/>
        <item x="624"/>
        <item x="50"/>
        <item x="82"/>
        <item x="395"/>
        <item x="1197"/>
        <item x="1189"/>
        <item x="78"/>
        <item x="242"/>
        <item x="85"/>
        <item x="2"/>
        <item x="299"/>
        <item x="836"/>
        <item x="1220"/>
        <item x="691"/>
        <item x="263"/>
        <item x="153"/>
        <item x="152"/>
        <item x="779"/>
        <item x="1194"/>
        <item x="517"/>
        <item x="831"/>
        <item x="622"/>
        <item x="1200"/>
        <item x="367"/>
        <item x="1198"/>
        <item x="636"/>
        <item x="651"/>
        <item x="209"/>
        <item x="1252"/>
        <item x="144"/>
        <item x="119"/>
        <item x="486"/>
        <item x="499"/>
        <item x="1063"/>
        <item x="433"/>
        <item x="1182"/>
        <item x="1146"/>
        <item x="1151"/>
        <item x="1037"/>
        <item x="1041"/>
        <item x="1040"/>
        <item x="1238"/>
        <item x="510"/>
        <item x="106"/>
        <item x="724"/>
        <item x="791"/>
        <item x="1125"/>
        <item x="437"/>
        <item x="1214"/>
        <item x="90"/>
        <item x="219"/>
        <item x="208"/>
        <item x="964"/>
        <item x="1196"/>
        <item x="962"/>
        <item x="436"/>
        <item x="452"/>
        <item x="391"/>
        <item x="105"/>
        <item x="1044"/>
        <item x="810"/>
        <item x="1219"/>
        <item x="1193"/>
        <item x="711"/>
        <item x="1060"/>
        <item x="918"/>
        <item x="924"/>
        <item x="646"/>
        <item x="728"/>
        <item x="1003"/>
        <item x="648"/>
        <item x="342"/>
        <item x="781"/>
        <item x="861"/>
        <item x="1249"/>
        <item x="290"/>
        <item x="925"/>
        <item x="572"/>
        <item x="454"/>
        <item x="823"/>
        <item x="1236"/>
        <item x="1233"/>
        <item x="578"/>
        <item x="848"/>
        <item x="1116"/>
        <item x="772"/>
        <item x="771"/>
        <item x="1067"/>
        <item x="293"/>
        <item x="793"/>
        <item x="341"/>
        <item x="458"/>
        <item x="579"/>
        <item x="628"/>
        <item x="1111"/>
        <item x="1203"/>
        <item x="1188"/>
        <item x="693"/>
        <item x="570"/>
        <item x="560"/>
        <item x="1230"/>
        <item x="908"/>
        <item x="725"/>
        <item x="306"/>
        <item x="860"/>
        <item x="1199"/>
        <item x="416"/>
        <item x="418"/>
        <item x="939"/>
        <item x="722"/>
        <item x="251"/>
        <item x="862"/>
        <item x="854"/>
        <item x="281"/>
        <item x="292"/>
        <item x="840"/>
        <item x="1245"/>
        <item x="930"/>
        <item x="819"/>
        <item x="603"/>
        <item x="1018"/>
        <item x="1169"/>
        <item x="843"/>
        <item x="1010"/>
        <item x="1016"/>
        <item x="525"/>
        <item x="277"/>
        <item x="596"/>
        <item x="830"/>
        <item x="516"/>
        <item x="835"/>
        <item x="526"/>
        <item x="1170"/>
        <item x="1004"/>
        <item x="1246"/>
        <item x="700"/>
        <item x="63"/>
        <item x="1201"/>
        <item x="369"/>
        <item x="368"/>
        <item x="608"/>
        <item x="1129"/>
        <item x="726"/>
        <item x="305"/>
        <item x="910"/>
        <item x="909"/>
        <item x="1017"/>
        <item x="922"/>
        <item x="894"/>
        <item x="360"/>
        <item x="409"/>
        <item x="408"/>
        <item x="895"/>
        <item x="450"/>
        <item x="630"/>
        <item x="125"/>
        <item x="116"/>
        <item x="474"/>
        <item x="100"/>
        <item x="101"/>
        <item x="813"/>
        <item x="866"/>
        <item x="859"/>
        <item x="668"/>
        <item x="889"/>
        <item x="523"/>
        <item x="707"/>
        <item x="481"/>
        <item x="417"/>
        <item x="953"/>
        <item x="952"/>
        <item x="951"/>
        <item x="1001"/>
        <item x="1000"/>
        <item x="961"/>
        <item x="946"/>
        <item x="1005"/>
        <item x="1166"/>
        <item x="130"/>
        <item x="113"/>
        <item x="1076"/>
        <item x="60"/>
        <item x="127"/>
        <item x="448"/>
        <item x="267"/>
        <item x="599"/>
        <item x="637"/>
        <item x="64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8"/>
  </rowFields>
  <rowItems count="11">
    <i>
      <x v="148"/>
    </i>
    <i>
      <x v="24"/>
    </i>
    <i>
      <x v="29"/>
    </i>
    <i>
      <x v="16"/>
    </i>
    <i>
      <x v="7"/>
    </i>
    <i>
      <x v="18"/>
    </i>
    <i>
      <x v="64"/>
    </i>
    <i>
      <x v="140"/>
    </i>
    <i>
      <x v="28"/>
    </i>
    <i>
      <x v="9"/>
    </i>
    <i t="grand">
      <x/>
    </i>
  </rowItems>
  <colItems count="1">
    <i/>
  </colItems>
  <dataFields count="1">
    <dataField name="Sum of TOTAL BUDGETED AMOUNT" fld="21" baseField="0" baseItem="0" numFmtId="164"/>
  </dataFields>
  <formats count="1">
    <format dxfId="10">
      <pivotArea outline="0" fieldPosition="0">
        <references count="1">
          <reference field="4294967294" count="1" selected="0">
            <x v="0"/>
          </reference>
        </references>
      </pivotArea>
    </format>
  </formats>
  <chartFormats count="1129">
    <chartFormat chart="3" format="3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2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8"/>
          </reference>
        </references>
      </pivotArea>
    </chartFormat>
    <chartFormat chart="3" format="322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3" format="323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3" format="324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3" format="325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3" format="326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3" format="327">
      <pivotArea type="data" outline="0" fieldPosition="0">
        <references count="2">
          <reference field="4294967294" count="1" selected="0">
            <x v="0"/>
          </reference>
          <reference field="8" count="1" selected="0">
            <x v="64"/>
          </reference>
        </references>
      </pivotArea>
    </chartFormat>
    <chartFormat chart="3" format="32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0"/>
          </reference>
        </references>
      </pivotArea>
    </chartFormat>
    <chartFormat chart="3" format="329">
      <pivotArea type="data" outline="0" fieldPosition="0">
        <references count="2">
          <reference field="4294967294" count="1" selected="0">
            <x v="0"/>
          </reference>
          <reference field="8" count="1" selected="0">
            <x v="28"/>
          </reference>
        </references>
      </pivotArea>
    </chartFormat>
    <chartFormat chart="3" format="330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3" format="33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3" format="332">
      <pivotArea type="data" outline="0" fieldPosition="0">
        <references count="2">
          <reference field="4294967294" count="1" selected="0">
            <x v="0"/>
          </reference>
          <reference field="8" count="1" selected="0">
            <x v="139"/>
          </reference>
        </references>
      </pivotArea>
    </chartFormat>
    <chartFormat chart="3" format="333">
      <pivotArea type="data" outline="0" fieldPosition="0">
        <references count="2">
          <reference field="4294967294" count="1" selected="0">
            <x v="0"/>
          </reference>
          <reference field="8" count="1" selected="0">
            <x v="52"/>
          </reference>
        </references>
      </pivotArea>
    </chartFormat>
    <chartFormat chart="3" format="334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3" format="335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3" format="336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3" format="337">
      <pivotArea type="data" outline="0" fieldPosition="0">
        <references count="2">
          <reference field="4294967294" count="1" selected="0">
            <x v="0"/>
          </reference>
          <reference field="8" count="1" selected="0">
            <x v="27"/>
          </reference>
        </references>
      </pivotArea>
    </chartFormat>
    <chartFormat chart="3" format="33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3"/>
          </reference>
        </references>
      </pivotArea>
    </chartFormat>
    <chartFormat chart="3" format="339">
      <pivotArea type="data" outline="0" fieldPosition="0">
        <references count="2">
          <reference field="4294967294" count="1" selected="0">
            <x v="0"/>
          </reference>
          <reference field="8" count="1" selected="0">
            <x v="45"/>
          </reference>
        </references>
      </pivotArea>
    </chartFormat>
    <chartFormat chart="3" format="340">
      <pivotArea type="data" outline="0" fieldPosition="0">
        <references count="2">
          <reference field="4294967294" count="1" selected="0">
            <x v="0"/>
          </reference>
          <reference field="8" count="1" selected="0">
            <x v="61"/>
          </reference>
        </references>
      </pivotArea>
    </chartFormat>
    <chartFormat chart="3" format="34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3" format="342">
      <pivotArea type="data" outline="0" fieldPosition="0">
        <references count="2">
          <reference field="4294967294" count="1" selected="0">
            <x v="0"/>
          </reference>
          <reference field="8" count="1" selected="0">
            <x v="153"/>
          </reference>
        </references>
      </pivotArea>
    </chartFormat>
    <chartFormat chart="3" format="343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3" format="34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0"/>
          </reference>
        </references>
      </pivotArea>
    </chartFormat>
    <chartFormat chart="3" format="34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3" format="346">
      <pivotArea type="data" outline="0" fieldPosition="0">
        <references count="2">
          <reference field="4294967294" count="1" selected="0">
            <x v="0"/>
          </reference>
          <reference field="8" count="1" selected="0">
            <x v="46"/>
          </reference>
        </references>
      </pivotArea>
    </chartFormat>
    <chartFormat chart="3" format="347">
      <pivotArea type="data" outline="0" fieldPosition="0">
        <references count="2">
          <reference field="4294967294" count="1" selected="0">
            <x v="0"/>
          </reference>
          <reference field="8" count="1" selected="0">
            <x v="68"/>
          </reference>
        </references>
      </pivotArea>
    </chartFormat>
    <chartFormat chart="3" format="348">
      <pivotArea type="data" outline="0" fieldPosition="0">
        <references count="2">
          <reference field="4294967294" count="1" selected="0">
            <x v="0"/>
          </reference>
          <reference field="8" count="1" selected="0">
            <x v="53"/>
          </reference>
        </references>
      </pivotArea>
    </chartFormat>
    <chartFormat chart="3" format="349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3" format="350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3" format="351">
      <pivotArea type="data" outline="0" fieldPosition="0">
        <references count="2">
          <reference field="4294967294" count="1" selected="0">
            <x v="0"/>
          </reference>
          <reference field="8" count="1" selected="0">
            <x v="34"/>
          </reference>
        </references>
      </pivotArea>
    </chartFormat>
    <chartFormat chart="3" format="352">
      <pivotArea type="data" outline="0" fieldPosition="0">
        <references count="2">
          <reference field="4294967294" count="1" selected="0">
            <x v="0"/>
          </reference>
          <reference field="8" count="1" selected="0">
            <x v="37"/>
          </reference>
        </references>
      </pivotArea>
    </chartFormat>
    <chartFormat chart="3" format="353">
      <pivotArea type="data" outline="0" fieldPosition="0">
        <references count="2">
          <reference field="4294967294" count="1" selected="0">
            <x v="0"/>
          </reference>
          <reference field="8" count="1" selected="0">
            <x v="54"/>
          </reference>
        </references>
      </pivotArea>
    </chartFormat>
    <chartFormat chart="3" format="354">
      <pivotArea type="data" outline="0" fieldPosition="0">
        <references count="2">
          <reference field="4294967294" count="1" selected="0">
            <x v="0"/>
          </reference>
          <reference field="8" count="1" selected="0">
            <x v="145"/>
          </reference>
        </references>
      </pivotArea>
    </chartFormat>
    <chartFormat chart="3" format="35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2"/>
          </reference>
        </references>
      </pivotArea>
    </chartFormat>
    <chartFormat chart="3" format="356">
      <pivotArea type="data" outline="0" fieldPosition="0">
        <references count="2">
          <reference field="4294967294" count="1" selected="0">
            <x v="0"/>
          </reference>
          <reference field="8" count="1" selected="0">
            <x v="86"/>
          </reference>
        </references>
      </pivotArea>
    </chartFormat>
    <chartFormat chart="3" format="357">
      <pivotArea type="data" outline="0" fieldPosition="0">
        <references count="2">
          <reference field="4294967294" count="1" selected="0">
            <x v="0"/>
          </reference>
          <reference field="8" count="1" selected="0">
            <x v="51"/>
          </reference>
        </references>
      </pivotArea>
    </chartFormat>
    <chartFormat chart="3" format="358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3" format="359">
      <pivotArea type="data" outline="0" fieldPosition="0">
        <references count="2">
          <reference field="4294967294" count="1" selected="0">
            <x v="0"/>
          </reference>
          <reference field="8" count="1" selected="0">
            <x v="40"/>
          </reference>
        </references>
      </pivotArea>
    </chartFormat>
    <chartFormat chart="3" format="360">
      <pivotArea type="data" outline="0" fieldPosition="0">
        <references count="2">
          <reference field="4294967294" count="1" selected="0">
            <x v="0"/>
          </reference>
          <reference field="8" count="1" selected="0">
            <x v="49"/>
          </reference>
        </references>
      </pivotArea>
    </chartFormat>
    <chartFormat chart="3" format="36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3" format="362">
      <pivotArea type="data" outline="0" fieldPosition="0">
        <references count="2">
          <reference field="4294967294" count="1" selected="0">
            <x v="0"/>
          </reference>
          <reference field="8" count="1" selected="0">
            <x v="78"/>
          </reference>
        </references>
      </pivotArea>
    </chartFormat>
    <chartFormat chart="3" format="363">
      <pivotArea type="data" outline="0" fieldPosition="0">
        <references count="2">
          <reference field="4294967294" count="1" selected="0">
            <x v="0"/>
          </reference>
          <reference field="8" count="1" selected="0">
            <x v="81"/>
          </reference>
        </references>
      </pivotArea>
    </chartFormat>
    <chartFormat chart="3" format="36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4"/>
          </reference>
        </references>
      </pivotArea>
    </chartFormat>
    <chartFormat chart="3" format="36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366">
      <pivotArea type="data" outline="0" fieldPosition="0">
        <references count="2">
          <reference field="4294967294" count="1" selected="0">
            <x v="0"/>
          </reference>
          <reference field="8" count="1" selected="0">
            <x v="144"/>
          </reference>
        </references>
      </pivotArea>
    </chartFormat>
    <chartFormat chart="3" format="36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8"/>
          </reference>
        </references>
      </pivotArea>
    </chartFormat>
    <chartFormat chart="3" format="368">
      <pivotArea type="data" outline="0" fieldPosition="0">
        <references count="2">
          <reference field="4294967294" count="1" selected="0">
            <x v="0"/>
          </reference>
          <reference field="8" count="1" selected="0">
            <x v="47"/>
          </reference>
        </references>
      </pivotArea>
    </chartFormat>
    <chartFormat chart="3" format="369">
      <pivotArea type="data" outline="0" fieldPosition="0">
        <references count="2">
          <reference field="4294967294" count="1" selected="0">
            <x v="0"/>
          </reference>
          <reference field="8" count="1" selected="0">
            <x v="63"/>
          </reference>
        </references>
      </pivotArea>
    </chartFormat>
    <chartFormat chart="3" format="370">
      <pivotArea type="data" outline="0" fieldPosition="0">
        <references count="2">
          <reference field="4294967294" count="1" selected="0">
            <x v="0"/>
          </reference>
          <reference field="8" count="1" selected="0">
            <x v="112"/>
          </reference>
        </references>
      </pivotArea>
    </chartFormat>
    <chartFormat chart="3" format="371">
      <pivotArea type="data" outline="0" fieldPosition="0">
        <references count="2">
          <reference field="4294967294" count="1" selected="0">
            <x v="0"/>
          </reference>
          <reference field="8" count="1" selected="0">
            <x v="31"/>
          </reference>
        </references>
      </pivotArea>
    </chartFormat>
    <chartFormat chart="3" format="372">
      <pivotArea type="data" outline="0" fieldPosition="0">
        <references count="2">
          <reference field="4294967294" count="1" selected="0">
            <x v="0"/>
          </reference>
          <reference field="8" count="1" selected="0">
            <x v="73"/>
          </reference>
        </references>
      </pivotArea>
    </chartFormat>
    <chartFormat chart="3" format="373">
      <pivotArea type="data" outline="0" fieldPosition="0">
        <references count="2">
          <reference field="4294967294" count="1" selected="0">
            <x v="0"/>
          </reference>
          <reference field="8" count="1" selected="0">
            <x v="83"/>
          </reference>
        </references>
      </pivotArea>
    </chartFormat>
    <chartFormat chart="3" format="374">
      <pivotArea type="data" outline="0" fieldPosition="0">
        <references count="2">
          <reference field="4294967294" count="1" selected="0">
            <x v="0"/>
          </reference>
          <reference field="8" count="1" selected="0">
            <x v="79"/>
          </reference>
        </references>
      </pivotArea>
    </chartFormat>
    <chartFormat chart="3" format="37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3" format="376">
      <pivotArea type="data" outline="0" fieldPosition="0">
        <references count="2">
          <reference field="4294967294" count="1" selected="0">
            <x v="0"/>
          </reference>
          <reference field="8" count="1" selected="0">
            <x v="82"/>
          </reference>
        </references>
      </pivotArea>
    </chartFormat>
    <chartFormat chart="3" format="377">
      <pivotArea type="data" outline="0" fieldPosition="0">
        <references count="2">
          <reference field="4294967294" count="1" selected="0">
            <x v="0"/>
          </reference>
          <reference field="8" count="1" selected="0">
            <x v="62"/>
          </reference>
        </references>
      </pivotArea>
    </chartFormat>
    <chartFormat chart="3" format="378">
      <pivotArea type="data" outline="0" fieldPosition="0">
        <references count="2">
          <reference field="4294967294" count="1" selected="0">
            <x v="0"/>
          </reference>
          <reference field="8" count="1" selected="0">
            <x v="88"/>
          </reference>
        </references>
      </pivotArea>
    </chartFormat>
    <chartFormat chart="3" format="379">
      <pivotArea type="data" outline="0" fieldPosition="0">
        <references count="2">
          <reference field="4294967294" count="1" selected="0">
            <x v="0"/>
          </reference>
          <reference field="8" count="1" selected="0">
            <x v="90"/>
          </reference>
        </references>
      </pivotArea>
    </chartFormat>
    <chartFormat chart="3" format="380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3" format="38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8"/>
          </reference>
        </references>
      </pivotArea>
    </chartFormat>
    <chartFormat chart="3" format="382">
      <pivotArea type="data" outline="0" fieldPosition="0">
        <references count="2">
          <reference field="4294967294" count="1" selected="0">
            <x v="0"/>
          </reference>
          <reference field="8" count="1" selected="0">
            <x v="66"/>
          </reference>
        </references>
      </pivotArea>
    </chartFormat>
    <chartFormat chart="3" format="383">
      <pivotArea type="data" outline="0" fieldPosition="0">
        <references count="2">
          <reference field="4294967294" count="1" selected="0">
            <x v="0"/>
          </reference>
          <reference field="8" count="1" selected="0">
            <x v="60"/>
          </reference>
        </references>
      </pivotArea>
    </chartFormat>
    <chartFormat chart="3" format="384">
      <pivotArea type="data" outline="0" fieldPosition="0">
        <references count="2">
          <reference field="4294967294" count="1" selected="0">
            <x v="0"/>
          </reference>
          <reference field="8" count="1" selected="0">
            <x v="50"/>
          </reference>
        </references>
      </pivotArea>
    </chartFormat>
    <chartFormat chart="3" format="385">
      <pivotArea type="data" outline="0" fieldPosition="0">
        <references count="2">
          <reference field="4294967294" count="1" selected="0">
            <x v="0"/>
          </reference>
          <reference field="8" count="1" selected="0">
            <x v="57"/>
          </reference>
        </references>
      </pivotArea>
    </chartFormat>
    <chartFormat chart="3" format="386">
      <pivotArea type="data" outline="0" fieldPosition="0">
        <references count="2">
          <reference field="4294967294" count="1" selected="0">
            <x v="0"/>
          </reference>
          <reference field="8" count="1" selected="0">
            <x v="93"/>
          </reference>
        </references>
      </pivotArea>
    </chartFormat>
    <chartFormat chart="3" format="387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" format="38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389">
      <pivotArea type="data" outline="0" fieldPosition="0">
        <references count="2">
          <reference field="4294967294" count="1" selected="0">
            <x v="0"/>
          </reference>
          <reference field="8" count="1" selected="0">
            <x v="137"/>
          </reference>
        </references>
      </pivotArea>
    </chartFormat>
    <chartFormat chart="3" format="390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3" format="391">
      <pivotArea type="data" outline="0" fieldPosition="0">
        <references count="2">
          <reference field="4294967294" count="1" selected="0">
            <x v="0"/>
          </reference>
          <reference field="8" count="1" selected="0">
            <x v="32"/>
          </reference>
        </references>
      </pivotArea>
    </chartFormat>
    <chartFormat chart="3" format="39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4"/>
          </reference>
        </references>
      </pivotArea>
    </chartFormat>
    <chartFormat chart="3" format="39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3"/>
          </reference>
        </references>
      </pivotArea>
    </chartFormat>
    <chartFormat chart="3" format="39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3" format="395">
      <pivotArea type="data" outline="0" fieldPosition="0">
        <references count="2">
          <reference field="4294967294" count="1" selected="0">
            <x v="0"/>
          </reference>
          <reference field="8" count="1" selected="0">
            <x v="30"/>
          </reference>
        </references>
      </pivotArea>
    </chartFormat>
    <chartFormat chart="3" format="396">
      <pivotArea type="data" outline="0" fieldPosition="0">
        <references count="2">
          <reference field="4294967294" count="1" selected="0">
            <x v="0"/>
          </reference>
          <reference field="8" count="1" selected="0">
            <x v="103"/>
          </reference>
        </references>
      </pivotArea>
    </chartFormat>
    <chartFormat chart="3" format="397">
      <pivotArea type="data" outline="0" fieldPosition="0">
        <references count="2">
          <reference field="4294967294" count="1" selected="0">
            <x v="0"/>
          </reference>
          <reference field="8" count="1" selected="0">
            <x v="89"/>
          </reference>
        </references>
      </pivotArea>
    </chartFormat>
    <chartFormat chart="3" format="398">
      <pivotArea type="data" outline="0" fieldPosition="0">
        <references count="2">
          <reference field="4294967294" count="1" selected="0">
            <x v="0"/>
          </reference>
          <reference field="8" count="1" selected="0">
            <x v="91"/>
          </reference>
        </references>
      </pivotArea>
    </chartFormat>
    <chartFormat chart="3" format="399">
      <pivotArea type="data" outline="0" fieldPosition="0">
        <references count="2">
          <reference field="4294967294" count="1" selected="0">
            <x v="0"/>
          </reference>
          <reference field="8" count="1" selected="0">
            <x v="44"/>
          </reference>
        </references>
      </pivotArea>
    </chartFormat>
    <chartFormat chart="3" format="400">
      <pivotArea type="data" outline="0" fieldPosition="0">
        <references count="2">
          <reference field="4294967294" count="1" selected="0">
            <x v="0"/>
          </reference>
          <reference field="8" count="1" selected="0">
            <x v="157"/>
          </reference>
        </references>
      </pivotArea>
    </chartFormat>
    <chartFormat chart="3" format="40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0"/>
          </reference>
        </references>
      </pivotArea>
    </chartFormat>
    <chartFormat chart="3" format="402">
      <pivotArea type="data" outline="0" fieldPosition="0">
        <references count="2">
          <reference field="4294967294" count="1" selected="0">
            <x v="0"/>
          </reference>
          <reference field="8" count="1" selected="0">
            <x v="38"/>
          </reference>
        </references>
      </pivotArea>
    </chartFormat>
    <chartFormat chart="3" format="403">
      <pivotArea type="data" outline="0" fieldPosition="0">
        <references count="2">
          <reference field="4294967294" count="1" selected="0">
            <x v="0"/>
          </reference>
          <reference field="8" count="1" selected="0">
            <x v="77"/>
          </reference>
        </references>
      </pivotArea>
    </chartFormat>
    <chartFormat chart="3" format="404">
      <pivotArea type="data" outline="0" fieldPosition="0">
        <references count="2">
          <reference field="4294967294" count="1" selected="0">
            <x v="0"/>
          </reference>
          <reference field="8" count="1" selected="0">
            <x v="59"/>
          </reference>
        </references>
      </pivotArea>
    </chartFormat>
    <chartFormat chart="3" format="405">
      <pivotArea type="data" outline="0" fieldPosition="0">
        <references count="2">
          <reference field="4294967294" count="1" selected="0">
            <x v="0"/>
          </reference>
          <reference field="8" count="1" selected="0">
            <x v="58"/>
          </reference>
        </references>
      </pivotArea>
    </chartFormat>
    <chartFormat chart="3" format="406">
      <pivotArea type="data" outline="0" fieldPosition="0">
        <references count="2">
          <reference field="4294967294" count="1" selected="0">
            <x v="0"/>
          </reference>
          <reference field="8" count="1" selected="0">
            <x v="141"/>
          </reference>
        </references>
      </pivotArea>
    </chartFormat>
    <chartFormat chart="3" format="40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6"/>
          </reference>
        </references>
      </pivotArea>
    </chartFormat>
    <chartFormat chart="3" format="408">
      <pivotArea type="data" outline="0" fieldPosition="0">
        <references count="2">
          <reference field="4294967294" count="1" selected="0">
            <x v="0"/>
          </reference>
          <reference field="8" count="1" selected="0">
            <x v="99"/>
          </reference>
        </references>
      </pivotArea>
    </chartFormat>
    <chartFormat chart="3" format="409">
      <pivotArea type="data" outline="0" fieldPosition="0">
        <references count="2">
          <reference field="4294967294" count="1" selected="0">
            <x v="0"/>
          </reference>
          <reference field="8" count="1" selected="0">
            <x v="76"/>
          </reference>
        </references>
      </pivotArea>
    </chartFormat>
    <chartFormat chart="3" format="410">
      <pivotArea type="data" outline="0" fieldPosition="0">
        <references count="2">
          <reference field="4294967294" count="1" selected="0">
            <x v="0"/>
          </reference>
          <reference field="8" count="1" selected="0">
            <x v="65"/>
          </reference>
        </references>
      </pivotArea>
    </chartFormat>
    <chartFormat chart="3" format="4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4"/>
          </reference>
        </references>
      </pivotArea>
    </chartFormat>
    <chartFormat chart="3" format="4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8"/>
          </reference>
        </references>
      </pivotArea>
    </chartFormat>
    <chartFormat chart="3" format="413">
      <pivotArea type="data" outline="0" fieldPosition="0">
        <references count="2">
          <reference field="4294967294" count="1" selected="0">
            <x v="0"/>
          </reference>
          <reference field="8" count="1" selected="0">
            <x v="155"/>
          </reference>
        </references>
      </pivotArea>
    </chartFormat>
    <chartFormat chart="3" format="4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46"/>
          </reference>
        </references>
      </pivotArea>
    </chartFormat>
    <chartFormat chart="3" format="41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416">
      <pivotArea type="data" outline="0" fieldPosition="0">
        <references count="2">
          <reference field="4294967294" count="1" selected="0">
            <x v="0"/>
          </reference>
          <reference field="8" count="1" selected="0">
            <x v="43"/>
          </reference>
        </references>
      </pivotArea>
    </chartFormat>
    <chartFormat chart="3" format="417">
      <pivotArea type="data" outline="0" fieldPosition="0">
        <references count="2">
          <reference field="4294967294" count="1" selected="0">
            <x v="0"/>
          </reference>
          <reference field="8" count="1" selected="0">
            <x v="55"/>
          </reference>
        </references>
      </pivotArea>
    </chartFormat>
    <chartFormat chart="3" format="418">
      <pivotArea type="data" outline="0" fieldPosition="0">
        <references count="2">
          <reference field="4294967294" count="1" selected="0">
            <x v="0"/>
          </reference>
          <reference field="8" count="1" selected="0">
            <x v="109"/>
          </reference>
        </references>
      </pivotArea>
    </chartFormat>
    <chartFormat chart="3" format="419">
      <pivotArea type="data" outline="0" fieldPosition="0">
        <references count="2">
          <reference field="4294967294" count="1" selected="0">
            <x v="0"/>
          </reference>
          <reference field="8" count="1" selected="0">
            <x v="48"/>
          </reference>
        </references>
      </pivotArea>
    </chartFormat>
    <chartFormat chart="3" format="420">
      <pivotArea type="data" outline="0" fieldPosition="0">
        <references count="2">
          <reference field="4294967294" count="1" selected="0">
            <x v="0"/>
          </reference>
          <reference field="8" count="1" selected="0">
            <x v="94"/>
          </reference>
        </references>
      </pivotArea>
    </chartFormat>
    <chartFormat chart="3" format="42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3" format="422">
      <pivotArea type="data" outline="0" fieldPosition="0">
        <references count="2">
          <reference field="4294967294" count="1" selected="0">
            <x v="0"/>
          </reference>
          <reference field="8" count="1" selected="0">
            <x v="98"/>
          </reference>
        </references>
      </pivotArea>
    </chartFormat>
    <chartFormat chart="3" format="423">
      <pivotArea type="data" outline="0" fieldPosition="0">
        <references count="2">
          <reference field="4294967294" count="1" selected="0">
            <x v="0"/>
          </reference>
          <reference field="8" count="1" selected="0">
            <x v="33"/>
          </reference>
        </references>
      </pivotArea>
    </chartFormat>
    <chartFormat chart="3" format="42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6"/>
          </reference>
        </references>
      </pivotArea>
    </chartFormat>
    <chartFormat chart="3" format="425">
      <pivotArea type="data" outline="0" fieldPosition="0">
        <references count="2">
          <reference field="4294967294" count="1" selected="0">
            <x v="0"/>
          </reference>
          <reference field="8" count="1" selected="0">
            <x v="84"/>
          </reference>
        </references>
      </pivotArea>
    </chartFormat>
    <chartFormat chart="3" format="426">
      <pivotArea type="data" outline="0" fieldPosition="0">
        <references count="2">
          <reference field="4294967294" count="1" selected="0">
            <x v="0"/>
          </reference>
          <reference field="8" count="1" selected="0">
            <x v="67"/>
          </reference>
        </references>
      </pivotArea>
    </chartFormat>
    <chartFormat chart="3" format="427">
      <pivotArea type="data" outline="0" fieldPosition="0">
        <references count="2">
          <reference field="4294967294" count="1" selected="0">
            <x v="0"/>
          </reference>
          <reference field="8" count="1" selected="0">
            <x v="80"/>
          </reference>
        </references>
      </pivotArea>
    </chartFormat>
    <chartFormat chart="3" format="42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9"/>
          </reference>
        </references>
      </pivotArea>
    </chartFormat>
    <chartFormat chart="3" format="429">
      <pivotArea type="data" outline="0" fieldPosition="0">
        <references count="2">
          <reference field="4294967294" count="1" selected="0">
            <x v="0"/>
          </reference>
          <reference field="8" count="1" selected="0">
            <x v="124"/>
          </reference>
        </references>
      </pivotArea>
    </chartFormat>
    <chartFormat chart="3" format="430">
      <pivotArea type="data" outline="0" fieldPosition="0">
        <references count="2">
          <reference field="4294967294" count="1" selected="0">
            <x v="0"/>
          </reference>
          <reference field="8" count="1" selected="0">
            <x v="107"/>
          </reference>
        </references>
      </pivotArea>
    </chartFormat>
    <chartFormat chart="3" format="43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6"/>
          </reference>
        </references>
      </pivotArea>
    </chartFormat>
    <chartFormat chart="3" format="432">
      <pivotArea type="data" outline="0" fieldPosition="0">
        <references count="2">
          <reference field="4294967294" count="1" selected="0">
            <x v="0"/>
          </reference>
          <reference field="8" count="1" selected="0">
            <x v="96"/>
          </reference>
        </references>
      </pivotArea>
    </chartFormat>
    <chartFormat chart="3" format="433">
      <pivotArea type="data" outline="0" fieldPosition="0">
        <references count="2">
          <reference field="4294967294" count="1" selected="0">
            <x v="0"/>
          </reference>
          <reference field="8" count="1" selected="0">
            <x v="125"/>
          </reference>
        </references>
      </pivotArea>
    </chartFormat>
    <chartFormat chart="3" format="434">
      <pivotArea type="data" outline="0" fieldPosition="0">
        <references count="2">
          <reference field="4294967294" count="1" selected="0">
            <x v="0"/>
          </reference>
          <reference field="8" count="1" selected="0">
            <x v="105"/>
          </reference>
        </references>
      </pivotArea>
    </chartFormat>
    <chartFormat chart="3" format="43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436">
      <pivotArea type="data" outline="0" fieldPosition="0">
        <references count="2">
          <reference field="4294967294" count="1" selected="0">
            <x v="0"/>
          </reference>
          <reference field="8" count="1" selected="0">
            <x v="70"/>
          </reference>
        </references>
      </pivotArea>
    </chartFormat>
    <chartFormat chart="3" format="437">
      <pivotArea type="data" outline="0" fieldPosition="0">
        <references count="2">
          <reference field="4294967294" count="1" selected="0">
            <x v="0"/>
          </reference>
          <reference field="8" count="1" selected="0">
            <x v="110"/>
          </reference>
        </references>
      </pivotArea>
    </chartFormat>
    <chartFormat chart="3" format="438">
      <pivotArea type="data" outline="0" fieldPosition="0">
        <references count="2">
          <reference field="4294967294" count="1" selected="0">
            <x v="0"/>
          </reference>
          <reference field="8" count="1" selected="0">
            <x v="85"/>
          </reference>
        </references>
      </pivotArea>
    </chartFormat>
    <chartFormat chart="3" format="439">
      <pivotArea type="data" outline="0" fieldPosition="0">
        <references count="2">
          <reference field="4294967294" count="1" selected="0">
            <x v="0"/>
          </reference>
          <reference field="8" count="1" selected="0">
            <x v="74"/>
          </reference>
        </references>
      </pivotArea>
    </chartFormat>
    <chartFormat chart="3" format="440">
      <pivotArea type="data" outline="0" fieldPosition="0">
        <references count="2">
          <reference field="4294967294" count="1" selected="0">
            <x v="0"/>
          </reference>
          <reference field="8" count="1" selected="0">
            <x v="123"/>
          </reference>
        </references>
      </pivotArea>
    </chartFormat>
    <chartFormat chart="3" format="44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7"/>
          </reference>
        </references>
      </pivotArea>
    </chartFormat>
    <chartFormat chart="3" format="442">
      <pivotArea type="data" outline="0" fieldPosition="0">
        <references count="2">
          <reference field="4294967294" count="1" selected="0">
            <x v="0"/>
          </reference>
          <reference field="8" count="1" selected="0">
            <x v="41"/>
          </reference>
        </references>
      </pivotArea>
    </chartFormat>
    <chartFormat chart="3" format="44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1"/>
          </reference>
        </references>
      </pivotArea>
    </chartFormat>
    <chartFormat chart="3" format="444">
      <pivotArea type="data" outline="0" fieldPosition="0">
        <references count="2">
          <reference field="4294967294" count="1" selected="0">
            <x v="0"/>
          </reference>
          <reference field="8" count="1" selected="0">
            <x v="116"/>
          </reference>
        </references>
      </pivotArea>
    </chartFormat>
    <chartFormat chart="3" format="44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1"/>
          </reference>
        </references>
      </pivotArea>
    </chartFormat>
    <chartFormat chart="3" format="446">
      <pivotArea type="data" outline="0" fieldPosition="0">
        <references count="2">
          <reference field="4294967294" count="1" selected="0">
            <x v="0"/>
          </reference>
          <reference field="8" count="1" selected="0">
            <x v="115"/>
          </reference>
        </references>
      </pivotArea>
    </chartFormat>
    <chartFormat chart="3" format="447">
      <pivotArea type="data" outline="0" fieldPosition="0">
        <references count="2">
          <reference field="4294967294" count="1" selected="0">
            <x v="0"/>
          </reference>
          <reference field="8" count="1" selected="0">
            <x v="42"/>
          </reference>
        </references>
      </pivotArea>
    </chartFormat>
    <chartFormat chart="3" format="448">
      <pivotArea type="data" outline="0" fieldPosition="0">
        <references count="2">
          <reference field="4294967294" count="1" selected="0">
            <x v="0"/>
          </reference>
          <reference field="8" count="1" selected="0">
            <x v="104"/>
          </reference>
        </references>
      </pivotArea>
    </chartFormat>
    <chartFormat chart="3" format="449">
      <pivotArea type="data" outline="0" fieldPosition="0">
        <references count="2">
          <reference field="4294967294" count="1" selected="0">
            <x v="0"/>
          </reference>
          <reference field="8" count="1" selected="0">
            <x v="147"/>
          </reference>
        </references>
      </pivotArea>
    </chartFormat>
    <chartFormat chart="3" format="450">
      <pivotArea type="data" outline="0" fieldPosition="0">
        <references count="2">
          <reference field="4294967294" count="1" selected="0">
            <x v="0"/>
          </reference>
          <reference field="8" count="1" selected="0">
            <x v="56"/>
          </reference>
        </references>
      </pivotArea>
    </chartFormat>
    <chartFormat chart="3" format="45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6"/>
          </reference>
        </references>
      </pivotArea>
    </chartFormat>
    <chartFormat chart="3" format="45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9"/>
          </reference>
        </references>
      </pivotArea>
    </chartFormat>
    <chartFormat chart="3" format="453">
      <pivotArea type="data" outline="0" fieldPosition="0">
        <references count="2">
          <reference field="4294967294" count="1" selected="0">
            <x v="0"/>
          </reference>
          <reference field="8" count="1" selected="0">
            <x v="92"/>
          </reference>
        </references>
      </pivotArea>
    </chartFormat>
    <chartFormat chart="3" format="45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2"/>
          </reference>
        </references>
      </pivotArea>
    </chartFormat>
    <chartFormat chart="3" format="455">
      <pivotArea type="data" outline="0" fieldPosition="0">
        <references count="2">
          <reference field="4294967294" count="1" selected="0">
            <x v="0"/>
          </reference>
          <reference field="8" count="1" selected="0">
            <x v="39"/>
          </reference>
        </references>
      </pivotArea>
    </chartFormat>
    <chartFormat chart="3" format="456">
      <pivotArea type="data" outline="0" fieldPosition="0">
        <references count="2">
          <reference field="4294967294" count="1" selected="0">
            <x v="0"/>
          </reference>
          <reference field="8" count="1" selected="0">
            <x v="72"/>
          </reference>
        </references>
      </pivotArea>
    </chartFormat>
    <chartFormat chart="3" format="457">
      <pivotArea type="data" outline="0" fieldPosition="0">
        <references count="2">
          <reference field="4294967294" count="1" selected="0">
            <x v="0"/>
          </reference>
          <reference field="8" count="1" selected="0">
            <x v="129"/>
          </reference>
        </references>
      </pivotArea>
    </chartFormat>
    <chartFormat chart="3" format="458">
      <pivotArea type="data" outline="0" fieldPosition="0">
        <references count="2">
          <reference field="4294967294" count="1" selected="0">
            <x v="0"/>
          </reference>
          <reference field="8" count="1" selected="0">
            <x v="75"/>
          </reference>
        </references>
      </pivotArea>
    </chartFormat>
    <chartFormat chart="3" format="459">
      <pivotArea type="data" outline="0" fieldPosition="0">
        <references count="2">
          <reference field="4294967294" count="1" selected="0">
            <x v="0"/>
          </reference>
          <reference field="8" count="1" selected="0">
            <x v="127"/>
          </reference>
        </references>
      </pivotArea>
    </chartFormat>
    <chartFormat chart="3" format="460">
      <pivotArea type="data" outline="0" fieldPosition="0">
        <references count="2">
          <reference field="4294967294" count="1" selected="0">
            <x v="0"/>
          </reference>
          <reference field="8" count="1" selected="0">
            <x v="151"/>
          </reference>
        </references>
      </pivotArea>
    </chartFormat>
    <chartFormat chart="3" format="46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2"/>
          </reference>
        </references>
      </pivotArea>
    </chartFormat>
    <chartFormat chart="3" format="462">
      <pivotArea type="data" outline="0" fieldPosition="0">
        <references count="2">
          <reference field="4294967294" count="1" selected="0">
            <x v="0"/>
          </reference>
          <reference field="8" count="1" selected="0">
            <x v="158"/>
          </reference>
        </references>
      </pivotArea>
    </chartFormat>
    <chartFormat chart="3" format="463">
      <pivotArea type="data" outline="0" fieldPosition="0">
        <references count="2">
          <reference field="4294967294" count="1" selected="0">
            <x v="0"/>
          </reference>
          <reference field="8" count="1" selected="0">
            <x v="35"/>
          </reference>
        </references>
      </pivotArea>
    </chartFormat>
    <chartFormat chart="3" format="464">
      <pivotArea type="data" outline="0" fieldPosition="0">
        <references count="2">
          <reference field="4294967294" count="1" selected="0">
            <x v="0"/>
          </reference>
          <reference field="8" count="1" selected="0">
            <x v="130"/>
          </reference>
        </references>
      </pivotArea>
    </chartFormat>
    <chartFormat chart="3" format="46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2"/>
          </reference>
        </references>
      </pivotArea>
    </chartFormat>
    <chartFormat chart="3" format="466">
      <pivotArea type="data" outline="0" fieldPosition="0">
        <references count="2">
          <reference field="4294967294" count="1" selected="0">
            <x v="0"/>
          </reference>
          <reference field="8" count="1" selected="0">
            <x v="26"/>
          </reference>
        </references>
      </pivotArea>
    </chartFormat>
    <chartFormat chart="3" format="467">
      <pivotArea type="data" outline="0" fieldPosition="0">
        <references count="2">
          <reference field="4294967294" count="1" selected="0">
            <x v="0"/>
          </reference>
          <reference field="8" count="1" selected="0">
            <x v="120"/>
          </reference>
        </references>
      </pivotArea>
    </chartFormat>
    <chartFormat chart="3" format="468">
      <pivotArea type="data" outline="0" fieldPosition="0">
        <references count="2">
          <reference field="4294967294" count="1" selected="0">
            <x v="0"/>
          </reference>
          <reference field="8" count="1" selected="0">
            <x v="87"/>
          </reference>
        </references>
      </pivotArea>
    </chartFormat>
    <chartFormat chart="3" format="469">
      <pivotArea type="data" outline="0" fieldPosition="0">
        <references count="2">
          <reference field="4294967294" count="1" selected="0">
            <x v="0"/>
          </reference>
          <reference field="8" count="1" selected="0">
            <x v="36"/>
          </reference>
        </references>
      </pivotArea>
    </chartFormat>
    <chartFormat chart="3" format="470">
      <pivotArea type="data" outline="0" fieldPosition="0">
        <references count="2">
          <reference field="4294967294" count="1" selected="0">
            <x v="0"/>
          </reference>
          <reference field="8" count="1" selected="0">
            <x v="95"/>
          </reference>
        </references>
      </pivotArea>
    </chartFormat>
    <chartFormat chart="3" format="47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2"/>
          </reference>
        </references>
      </pivotArea>
    </chartFormat>
    <chartFormat chart="3" format="472">
      <pivotArea type="data" outline="0" fieldPosition="0">
        <references count="2">
          <reference field="4294967294" count="1" selected="0">
            <x v="0"/>
          </reference>
          <reference field="8" count="1" selected="0">
            <x v="97"/>
          </reference>
        </references>
      </pivotArea>
    </chartFormat>
    <chartFormat chart="3" format="473">
      <pivotArea type="data" outline="0" fieldPosition="0">
        <references count="2">
          <reference field="4294967294" count="1" selected="0">
            <x v="0"/>
          </reference>
          <reference field="8" count="1" selected="0">
            <x v="71"/>
          </reference>
        </references>
      </pivotArea>
    </chartFormat>
    <chartFormat chart="3" format="47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1"/>
          </reference>
        </references>
      </pivotArea>
    </chartFormat>
    <chartFormat chart="3" format="47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8"/>
          </reference>
        </references>
      </pivotArea>
    </chartFormat>
    <chartFormat chart="3" format="476">
      <pivotArea type="data" outline="0" fieldPosition="0">
        <references count="2">
          <reference field="4294967294" count="1" selected="0">
            <x v="0"/>
          </reference>
          <reference field="8" count="1" selected="0">
            <x v="133"/>
          </reference>
        </references>
      </pivotArea>
    </chartFormat>
    <chartFormat chart="3" format="47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5"/>
          </reference>
        </references>
      </pivotArea>
    </chartFormat>
    <chartFormat chart="3" format="478">
      <pivotArea type="data" outline="0" fieldPosition="0">
        <references count="2">
          <reference field="4294967294" count="1" selected="0">
            <x v="0"/>
          </reference>
          <reference field="8" count="1" selected="0">
            <x v="131"/>
          </reference>
        </references>
      </pivotArea>
    </chartFormat>
    <chartFormat chart="3" format="479">
      <pivotArea type="data" outline="0" fieldPosition="0">
        <references count="2">
          <reference field="4294967294" count="1" selected="0">
            <x v="0"/>
          </reference>
          <reference field="8" count="1" selected="0">
            <x v="69"/>
          </reference>
        </references>
      </pivotArea>
    </chartFormat>
    <chartFormat chart="4" format="6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4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8"/>
          </reference>
        </references>
      </pivotArea>
    </chartFormat>
    <chartFormat chart="4" format="642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4" format="643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4" format="644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4" format="645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4" format="646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4" format="647">
      <pivotArea type="data" outline="0" fieldPosition="0">
        <references count="2">
          <reference field="4294967294" count="1" selected="0">
            <x v="0"/>
          </reference>
          <reference field="8" count="1" selected="0">
            <x v="64"/>
          </reference>
        </references>
      </pivotArea>
    </chartFormat>
    <chartFormat chart="4" format="64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0"/>
          </reference>
        </references>
      </pivotArea>
    </chartFormat>
    <chartFormat chart="4" format="649">
      <pivotArea type="data" outline="0" fieldPosition="0">
        <references count="2">
          <reference field="4294967294" count="1" selected="0">
            <x v="0"/>
          </reference>
          <reference field="8" count="1" selected="0">
            <x v="28"/>
          </reference>
        </references>
      </pivotArea>
    </chartFormat>
    <chartFormat chart="4" format="650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4" format="65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4" format="652">
      <pivotArea type="data" outline="0" fieldPosition="0">
        <references count="2">
          <reference field="4294967294" count="1" selected="0">
            <x v="0"/>
          </reference>
          <reference field="8" count="1" selected="0">
            <x v="139"/>
          </reference>
        </references>
      </pivotArea>
    </chartFormat>
    <chartFormat chart="4" format="653">
      <pivotArea type="data" outline="0" fieldPosition="0">
        <references count="2">
          <reference field="4294967294" count="1" selected="0">
            <x v="0"/>
          </reference>
          <reference field="8" count="1" selected="0">
            <x v="52"/>
          </reference>
        </references>
      </pivotArea>
    </chartFormat>
    <chartFormat chart="4" format="654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4" format="655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4" format="656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4" format="657">
      <pivotArea type="data" outline="0" fieldPosition="0">
        <references count="2">
          <reference field="4294967294" count="1" selected="0">
            <x v="0"/>
          </reference>
          <reference field="8" count="1" selected="0">
            <x v="27"/>
          </reference>
        </references>
      </pivotArea>
    </chartFormat>
    <chartFormat chart="4" format="65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3"/>
          </reference>
        </references>
      </pivotArea>
    </chartFormat>
    <chartFormat chart="4" format="659">
      <pivotArea type="data" outline="0" fieldPosition="0">
        <references count="2">
          <reference field="4294967294" count="1" selected="0">
            <x v="0"/>
          </reference>
          <reference field="8" count="1" selected="0">
            <x v="45"/>
          </reference>
        </references>
      </pivotArea>
    </chartFormat>
    <chartFormat chart="4" format="660">
      <pivotArea type="data" outline="0" fieldPosition="0">
        <references count="2">
          <reference field="4294967294" count="1" selected="0">
            <x v="0"/>
          </reference>
          <reference field="8" count="1" selected="0">
            <x v="61"/>
          </reference>
        </references>
      </pivotArea>
    </chartFormat>
    <chartFormat chart="4" format="66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4" format="662">
      <pivotArea type="data" outline="0" fieldPosition="0">
        <references count="2">
          <reference field="4294967294" count="1" selected="0">
            <x v="0"/>
          </reference>
          <reference field="8" count="1" selected="0">
            <x v="153"/>
          </reference>
        </references>
      </pivotArea>
    </chartFormat>
    <chartFormat chart="4" format="663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4" format="66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0"/>
          </reference>
        </references>
      </pivotArea>
    </chartFormat>
    <chartFormat chart="4" format="66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4" format="666">
      <pivotArea type="data" outline="0" fieldPosition="0">
        <references count="2">
          <reference field="4294967294" count="1" selected="0">
            <x v="0"/>
          </reference>
          <reference field="8" count="1" selected="0">
            <x v="46"/>
          </reference>
        </references>
      </pivotArea>
    </chartFormat>
    <chartFormat chart="4" format="667">
      <pivotArea type="data" outline="0" fieldPosition="0">
        <references count="2">
          <reference field="4294967294" count="1" selected="0">
            <x v="0"/>
          </reference>
          <reference field="8" count="1" selected="0">
            <x v="68"/>
          </reference>
        </references>
      </pivotArea>
    </chartFormat>
    <chartFormat chart="4" format="668">
      <pivotArea type="data" outline="0" fieldPosition="0">
        <references count="2">
          <reference field="4294967294" count="1" selected="0">
            <x v="0"/>
          </reference>
          <reference field="8" count="1" selected="0">
            <x v="53"/>
          </reference>
        </references>
      </pivotArea>
    </chartFormat>
    <chartFormat chart="4" format="669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4" format="670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4" format="671">
      <pivotArea type="data" outline="0" fieldPosition="0">
        <references count="2">
          <reference field="4294967294" count="1" selected="0">
            <x v="0"/>
          </reference>
          <reference field="8" count="1" selected="0">
            <x v="34"/>
          </reference>
        </references>
      </pivotArea>
    </chartFormat>
    <chartFormat chart="4" format="672">
      <pivotArea type="data" outline="0" fieldPosition="0">
        <references count="2">
          <reference field="4294967294" count="1" selected="0">
            <x v="0"/>
          </reference>
          <reference field="8" count="1" selected="0">
            <x v="37"/>
          </reference>
        </references>
      </pivotArea>
    </chartFormat>
    <chartFormat chart="4" format="673">
      <pivotArea type="data" outline="0" fieldPosition="0">
        <references count="2">
          <reference field="4294967294" count="1" selected="0">
            <x v="0"/>
          </reference>
          <reference field="8" count="1" selected="0">
            <x v="54"/>
          </reference>
        </references>
      </pivotArea>
    </chartFormat>
    <chartFormat chart="4" format="674">
      <pivotArea type="data" outline="0" fieldPosition="0">
        <references count="2">
          <reference field="4294967294" count="1" selected="0">
            <x v="0"/>
          </reference>
          <reference field="8" count="1" selected="0">
            <x v="145"/>
          </reference>
        </references>
      </pivotArea>
    </chartFormat>
    <chartFormat chart="4" format="67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2"/>
          </reference>
        </references>
      </pivotArea>
    </chartFormat>
    <chartFormat chart="4" format="676">
      <pivotArea type="data" outline="0" fieldPosition="0">
        <references count="2">
          <reference field="4294967294" count="1" selected="0">
            <x v="0"/>
          </reference>
          <reference field="8" count="1" selected="0">
            <x v="86"/>
          </reference>
        </references>
      </pivotArea>
    </chartFormat>
    <chartFormat chart="4" format="677">
      <pivotArea type="data" outline="0" fieldPosition="0">
        <references count="2">
          <reference field="4294967294" count="1" selected="0">
            <x v="0"/>
          </reference>
          <reference field="8" count="1" selected="0">
            <x v="51"/>
          </reference>
        </references>
      </pivotArea>
    </chartFormat>
    <chartFormat chart="4" format="678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4" format="679">
      <pivotArea type="data" outline="0" fieldPosition="0">
        <references count="2">
          <reference field="4294967294" count="1" selected="0">
            <x v="0"/>
          </reference>
          <reference field="8" count="1" selected="0">
            <x v="40"/>
          </reference>
        </references>
      </pivotArea>
    </chartFormat>
    <chartFormat chart="4" format="680">
      <pivotArea type="data" outline="0" fieldPosition="0">
        <references count="2">
          <reference field="4294967294" count="1" selected="0">
            <x v="0"/>
          </reference>
          <reference field="8" count="1" selected="0">
            <x v="49"/>
          </reference>
        </references>
      </pivotArea>
    </chartFormat>
    <chartFormat chart="4" format="68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4" format="682">
      <pivotArea type="data" outline="0" fieldPosition="0">
        <references count="2">
          <reference field="4294967294" count="1" selected="0">
            <x v="0"/>
          </reference>
          <reference field="8" count="1" selected="0">
            <x v="78"/>
          </reference>
        </references>
      </pivotArea>
    </chartFormat>
    <chartFormat chart="4" format="683">
      <pivotArea type="data" outline="0" fieldPosition="0">
        <references count="2">
          <reference field="4294967294" count="1" selected="0">
            <x v="0"/>
          </reference>
          <reference field="8" count="1" selected="0">
            <x v="81"/>
          </reference>
        </references>
      </pivotArea>
    </chartFormat>
    <chartFormat chart="4" format="68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4"/>
          </reference>
        </references>
      </pivotArea>
    </chartFormat>
    <chartFormat chart="4" format="68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686">
      <pivotArea type="data" outline="0" fieldPosition="0">
        <references count="2">
          <reference field="4294967294" count="1" selected="0">
            <x v="0"/>
          </reference>
          <reference field="8" count="1" selected="0">
            <x v="144"/>
          </reference>
        </references>
      </pivotArea>
    </chartFormat>
    <chartFormat chart="4" format="68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8"/>
          </reference>
        </references>
      </pivotArea>
    </chartFormat>
    <chartFormat chart="4" format="688">
      <pivotArea type="data" outline="0" fieldPosition="0">
        <references count="2">
          <reference field="4294967294" count="1" selected="0">
            <x v="0"/>
          </reference>
          <reference field="8" count="1" selected="0">
            <x v="47"/>
          </reference>
        </references>
      </pivotArea>
    </chartFormat>
    <chartFormat chart="4" format="689">
      <pivotArea type="data" outline="0" fieldPosition="0">
        <references count="2">
          <reference field="4294967294" count="1" selected="0">
            <x v="0"/>
          </reference>
          <reference field="8" count="1" selected="0">
            <x v="63"/>
          </reference>
        </references>
      </pivotArea>
    </chartFormat>
    <chartFormat chart="4" format="690">
      <pivotArea type="data" outline="0" fieldPosition="0">
        <references count="2">
          <reference field="4294967294" count="1" selected="0">
            <x v="0"/>
          </reference>
          <reference field="8" count="1" selected="0">
            <x v="112"/>
          </reference>
        </references>
      </pivotArea>
    </chartFormat>
    <chartFormat chart="4" format="691">
      <pivotArea type="data" outline="0" fieldPosition="0">
        <references count="2">
          <reference field="4294967294" count="1" selected="0">
            <x v="0"/>
          </reference>
          <reference field="8" count="1" selected="0">
            <x v="31"/>
          </reference>
        </references>
      </pivotArea>
    </chartFormat>
    <chartFormat chart="4" format="692">
      <pivotArea type="data" outline="0" fieldPosition="0">
        <references count="2">
          <reference field="4294967294" count="1" selected="0">
            <x v="0"/>
          </reference>
          <reference field="8" count="1" selected="0">
            <x v="73"/>
          </reference>
        </references>
      </pivotArea>
    </chartFormat>
    <chartFormat chart="4" format="693">
      <pivotArea type="data" outline="0" fieldPosition="0">
        <references count="2">
          <reference field="4294967294" count="1" selected="0">
            <x v="0"/>
          </reference>
          <reference field="8" count="1" selected="0">
            <x v="83"/>
          </reference>
        </references>
      </pivotArea>
    </chartFormat>
    <chartFormat chart="4" format="694">
      <pivotArea type="data" outline="0" fieldPosition="0">
        <references count="2">
          <reference field="4294967294" count="1" selected="0">
            <x v="0"/>
          </reference>
          <reference field="8" count="1" selected="0">
            <x v="79"/>
          </reference>
        </references>
      </pivotArea>
    </chartFormat>
    <chartFormat chart="4" format="69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4" format="696">
      <pivotArea type="data" outline="0" fieldPosition="0">
        <references count="2">
          <reference field="4294967294" count="1" selected="0">
            <x v="0"/>
          </reference>
          <reference field="8" count="1" selected="0">
            <x v="82"/>
          </reference>
        </references>
      </pivotArea>
    </chartFormat>
    <chartFormat chart="4" format="697">
      <pivotArea type="data" outline="0" fieldPosition="0">
        <references count="2">
          <reference field="4294967294" count="1" selected="0">
            <x v="0"/>
          </reference>
          <reference field="8" count="1" selected="0">
            <x v="62"/>
          </reference>
        </references>
      </pivotArea>
    </chartFormat>
    <chartFormat chart="4" format="698">
      <pivotArea type="data" outline="0" fieldPosition="0">
        <references count="2">
          <reference field="4294967294" count="1" selected="0">
            <x v="0"/>
          </reference>
          <reference field="8" count="1" selected="0">
            <x v="88"/>
          </reference>
        </references>
      </pivotArea>
    </chartFormat>
    <chartFormat chart="4" format="699">
      <pivotArea type="data" outline="0" fieldPosition="0">
        <references count="2">
          <reference field="4294967294" count="1" selected="0">
            <x v="0"/>
          </reference>
          <reference field="8" count="1" selected="0">
            <x v="90"/>
          </reference>
        </references>
      </pivotArea>
    </chartFormat>
    <chartFormat chart="4" format="700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4" format="70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8"/>
          </reference>
        </references>
      </pivotArea>
    </chartFormat>
    <chartFormat chart="4" format="702">
      <pivotArea type="data" outline="0" fieldPosition="0">
        <references count="2">
          <reference field="4294967294" count="1" selected="0">
            <x v="0"/>
          </reference>
          <reference field="8" count="1" selected="0">
            <x v="66"/>
          </reference>
        </references>
      </pivotArea>
    </chartFormat>
    <chartFormat chart="4" format="703">
      <pivotArea type="data" outline="0" fieldPosition="0">
        <references count="2">
          <reference field="4294967294" count="1" selected="0">
            <x v="0"/>
          </reference>
          <reference field="8" count="1" selected="0">
            <x v="60"/>
          </reference>
        </references>
      </pivotArea>
    </chartFormat>
    <chartFormat chart="4" format="704">
      <pivotArea type="data" outline="0" fieldPosition="0">
        <references count="2">
          <reference field="4294967294" count="1" selected="0">
            <x v="0"/>
          </reference>
          <reference field="8" count="1" selected="0">
            <x v="50"/>
          </reference>
        </references>
      </pivotArea>
    </chartFormat>
    <chartFormat chart="4" format="705">
      <pivotArea type="data" outline="0" fieldPosition="0">
        <references count="2">
          <reference field="4294967294" count="1" selected="0">
            <x v="0"/>
          </reference>
          <reference field="8" count="1" selected="0">
            <x v="57"/>
          </reference>
        </references>
      </pivotArea>
    </chartFormat>
    <chartFormat chart="4" format="706">
      <pivotArea type="data" outline="0" fieldPosition="0">
        <references count="2">
          <reference field="4294967294" count="1" selected="0">
            <x v="0"/>
          </reference>
          <reference field="8" count="1" selected="0">
            <x v="93"/>
          </reference>
        </references>
      </pivotArea>
    </chartFormat>
    <chartFormat chart="4" format="707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" format="70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709">
      <pivotArea type="data" outline="0" fieldPosition="0">
        <references count="2">
          <reference field="4294967294" count="1" selected="0">
            <x v="0"/>
          </reference>
          <reference field="8" count="1" selected="0">
            <x v="137"/>
          </reference>
        </references>
      </pivotArea>
    </chartFormat>
    <chartFormat chart="4" format="710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4" format="7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2"/>
          </reference>
        </references>
      </pivotArea>
    </chartFormat>
    <chartFormat chart="4" format="7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4"/>
          </reference>
        </references>
      </pivotArea>
    </chartFormat>
    <chartFormat chart="4" format="71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3"/>
          </reference>
        </references>
      </pivotArea>
    </chartFormat>
    <chartFormat chart="4" format="7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4" format="715">
      <pivotArea type="data" outline="0" fieldPosition="0">
        <references count="2">
          <reference field="4294967294" count="1" selected="0">
            <x v="0"/>
          </reference>
          <reference field="8" count="1" selected="0">
            <x v="30"/>
          </reference>
        </references>
      </pivotArea>
    </chartFormat>
    <chartFormat chart="4" format="716">
      <pivotArea type="data" outline="0" fieldPosition="0">
        <references count="2">
          <reference field="4294967294" count="1" selected="0">
            <x v="0"/>
          </reference>
          <reference field="8" count="1" selected="0">
            <x v="103"/>
          </reference>
        </references>
      </pivotArea>
    </chartFormat>
    <chartFormat chart="4" format="717">
      <pivotArea type="data" outline="0" fieldPosition="0">
        <references count="2">
          <reference field="4294967294" count="1" selected="0">
            <x v="0"/>
          </reference>
          <reference field="8" count="1" selected="0">
            <x v="89"/>
          </reference>
        </references>
      </pivotArea>
    </chartFormat>
    <chartFormat chart="4" format="718">
      <pivotArea type="data" outline="0" fieldPosition="0">
        <references count="2">
          <reference field="4294967294" count="1" selected="0">
            <x v="0"/>
          </reference>
          <reference field="8" count="1" selected="0">
            <x v="91"/>
          </reference>
        </references>
      </pivotArea>
    </chartFormat>
    <chartFormat chart="4" format="719">
      <pivotArea type="data" outline="0" fieldPosition="0">
        <references count="2">
          <reference field="4294967294" count="1" selected="0">
            <x v="0"/>
          </reference>
          <reference field="8" count="1" selected="0">
            <x v="44"/>
          </reference>
        </references>
      </pivotArea>
    </chartFormat>
    <chartFormat chart="4" format="720">
      <pivotArea type="data" outline="0" fieldPosition="0">
        <references count="2">
          <reference field="4294967294" count="1" selected="0">
            <x v="0"/>
          </reference>
          <reference field="8" count="1" selected="0">
            <x v="157"/>
          </reference>
        </references>
      </pivotArea>
    </chartFormat>
    <chartFormat chart="4" format="72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0"/>
          </reference>
        </references>
      </pivotArea>
    </chartFormat>
    <chartFormat chart="4" format="722">
      <pivotArea type="data" outline="0" fieldPosition="0">
        <references count="2">
          <reference field="4294967294" count="1" selected="0">
            <x v="0"/>
          </reference>
          <reference field="8" count="1" selected="0">
            <x v="38"/>
          </reference>
        </references>
      </pivotArea>
    </chartFormat>
    <chartFormat chart="4" format="723">
      <pivotArea type="data" outline="0" fieldPosition="0">
        <references count="2">
          <reference field="4294967294" count="1" selected="0">
            <x v="0"/>
          </reference>
          <reference field="8" count="1" selected="0">
            <x v="77"/>
          </reference>
        </references>
      </pivotArea>
    </chartFormat>
    <chartFormat chart="4" format="724">
      <pivotArea type="data" outline="0" fieldPosition="0">
        <references count="2">
          <reference field="4294967294" count="1" selected="0">
            <x v="0"/>
          </reference>
          <reference field="8" count="1" selected="0">
            <x v="59"/>
          </reference>
        </references>
      </pivotArea>
    </chartFormat>
    <chartFormat chart="4" format="725">
      <pivotArea type="data" outline="0" fieldPosition="0">
        <references count="2">
          <reference field="4294967294" count="1" selected="0">
            <x v="0"/>
          </reference>
          <reference field="8" count="1" selected="0">
            <x v="58"/>
          </reference>
        </references>
      </pivotArea>
    </chartFormat>
    <chartFormat chart="4" format="726">
      <pivotArea type="data" outline="0" fieldPosition="0">
        <references count="2">
          <reference field="4294967294" count="1" selected="0">
            <x v="0"/>
          </reference>
          <reference field="8" count="1" selected="0">
            <x v="141"/>
          </reference>
        </references>
      </pivotArea>
    </chartFormat>
    <chartFormat chart="4" format="72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6"/>
          </reference>
        </references>
      </pivotArea>
    </chartFormat>
    <chartFormat chart="4" format="728">
      <pivotArea type="data" outline="0" fieldPosition="0">
        <references count="2">
          <reference field="4294967294" count="1" selected="0">
            <x v="0"/>
          </reference>
          <reference field="8" count="1" selected="0">
            <x v="99"/>
          </reference>
        </references>
      </pivotArea>
    </chartFormat>
    <chartFormat chart="4" format="729">
      <pivotArea type="data" outline="0" fieldPosition="0">
        <references count="2">
          <reference field="4294967294" count="1" selected="0">
            <x v="0"/>
          </reference>
          <reference field="8" count="1" selected="0">
            <x v="76"/>
          </reference>
        </references>
      </pivotArea>
    </chartFormat>
    <chartFormat chart="4" format="730">
      <pivotArea type="data" outline="0" fieldPosition="0">
        <references count="2">
          <reference field="4294967294" count="1" selected="0">
            <x v="0"/>
          </reference>
          <reference field="8" count="1" selected="0">
            <x v="65"/>
          </reference>
        </references>
      </pivotArea>
    </chartFormat>
    <chartFormat chart="4" format="73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4"/>
          </reference>
        </references>
      </pivotArea>
    </chartFormat>
    <chartFormat chart="4" format="73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8"/>
          </reference>
        </references>
      </pivotArea>
    </chartFormat>
    <chartFormat chart="4" format="733">
      <pivotArea type="data" outline="0" fieldPosition="0">
        <references count="2">
          <reference field="4294967294" count="1" selected="0">
            <x v="0"/>
          </reference>
          <reference field="8" count="1" selected="0">
            <x v="155"/>
          </reference>
        </references>
      </pivotArea>
    </chartFormat>
    <chartFormat chart="4" format="734">
      <pivotArea type="data" outline="0" fieldPosition="0">
        <references count="2">
          <reference field="4294967294" count="1" selected="0">
            <x v="0"/>
          </reference>
          <reference field="8" count="1" selected="0">
            <x v="146"/>
          </reference>
        </references>
      </pivotArea>
    </chartFormat>
    <chartFormat chart="4" format="73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736">
      <pivotArea type="data" outline="0" fieldPosition="0">
        <references count="2">
          <reference field="4294967294" count="1" selected="0">
            <x v="0"/>
          </reference>
          <reference field="8" count="1" selected="0">
            <x v="43"/>
          </reference>
        </references>
      </pivotArea>
    </chartFormat>
    <chartFormat chart="4" format="737">
      <pivotArea type="data" outline="0" fieldPosition="0">
        <references count="2">
          <reference field="4294967294" count="1" selected="0">
            <x v="0"/>
          </reference>
          <reference field="8" count="1" selected="0">
            <x v="55"/>
          </reference>
        </references>
      </pivotArea>
    </chartFormat>
    <chartFormat chart="4" format="738">
      <pivotArea type="data" outline="0" fieldPosition="0">
        <references count="2">
          <reference field="4294967294" count="1" selected="0">
            <x v="0"/>
          </reference>
          <reference field="8" count="1" selected="0">
            <x v="109"/>
          </reference>
        </references>
      </pivotArea>
    </chartFormat>
    <chartFormat chart="4" format="739">
      <pivotArea type="data" outline="0" fieldPosition="0">
        <references count="2">
          <reference field="4294967294" count="1" selected="0">
            <x v="0"/>
          </reference>
          <reference field="8" count="1" selected="0">
            <x v="48"/>
          </reference>
        </references>
      </pivotArea>
    </chartFormat>
    <chartFormat chart="4" format="740">
      <pivotArea type="data" outline="0" fieldPosition="0">
        <references count="2">
          <reference field="4294967294" count="1" selected="0">
            <x v="0"/>
          </reference>
          <reference field="8" count="1" selected="0">
            <x v="94"/>
          </reference>
        </references>
      </pivotArea>
    </chartFormat>
    <chartFormat chart="4" format="74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4" format="742">
      <pivotArea type="data" outline="0" fieldPosition="0">
        <references count="2">
          <reference field="4294967294" count="1" selected="0">
            <x v="0"/>
          </reference>
          <reference field="8" count="1" selected="0">
            <x v="98"/>
          </reference>
        </references>
      </pivotArea>
    </chartFormat>
    <chartFormat chart="4" format="743">
      <pivotArea type="data" outline="0" fieldPosition="0">
        <references count="2">
          <reference field="4294967294" count="1" selected="0">
            <x v="0"/>
          </reference>
          <reference field="8" count="1" selected="0">
            <x v="33"/>
          </reference>
        </references>
      </pivotArea>
    </chartFormat>
    <chartFormat chart="4" format="74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6"/>
          </reference>
        </references>
      </pivotArea>
    </chartFormat>
    <chartFormat chart="4" format="745">
      <pivotArea type="data" outline="0" fieldPosition="0">
        <references count="2">
          <reference field="4294967294" count="1" selected="0">
            <x v="0"/>
          </reference>
          <reference field="8" count="1" selected="0">
            <x v="84"/>
          </reference>
        </references>
      </pivotArea>
    </chartFormat>
    <chartFormat chart="4" format="746">
      <pivotArea type="data" outline="0" fieldPosition="0">
        <references count="2">
          <reference field="4294967294" count="1" selected="0">
            <x v="0"/>
          </reference>
          <reference field="8" count="1" selected="0">
            <x v="67"/>
          </reference>
        </references>
      </pivotArea>
    </chartFormat>
    <chartFormat chart="4" format="747">
      <pivotArea type="data" outline="0" fieldPosition="0">
        <references count="2">
          <reference field="4294967294" count="1" selected="0">
            <x v="0"/>
          </reference>
          <reference field="8" count="1" selected="0">
            <x v="80"/>
          </reference>
        </references>
      </pivotArea>
    </chartFormat>
    <chartFormat chart="4" format="74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9"/>
          </reference>
        </references>
      </pivotArea>
    </chartFormat>
    <chartFormat chart="4" format="749">
      <pivotArea type="data" outline="0" fieldPosition="0">
        <references count="2">
          <reference field="4294967294" count="1" selected="0">
            <x v="0"/>
          </reference>
          <reference field="8" count="1" selected="0">
            <x v="124"/>
          </reference>
        </references>
      </pivotArea>
    </chartFormat>
    <chartFormat chart="4" format="750">
      <pivotArea type="data" outline="0" fieldPosition="0">
        <references count="2">
          <reference field="4294967294" count="1" selected="0">
            <x v="0"/>
          </reference>
          <reference field="8" count="1" selected="0">
            <x v="107"/>
          </reference>
        </references>
      </pivotArea>
    </chartFormat>
    <chartFormat chart="4" format="75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6"/>
          </reference>
        </references>
      </pivotArea>
    </chartFormat>
    <chartFormat chart="4" format="752">
      <pivotArea type="data" outline="0" fieldPosition="0">
        <references count="2">
          <reference field="4294967294" count="1" selected="0">
            <x v="0"/>
          </reference>
          <reference field="8" count="1" selected="0">
            <x v="96"/>
          </reference>
        </references>
      </pivotArea>
    </chartFormat>
    <chartFormat chart="4" format="753">
      <pivotArea type="data" outline="0" fieldPosition="0">
        <references count="2">
          <reference field="4294967294" count="1" selected="0">
            <x v="0"/>
          </reference>
          <reference field="8" count="1" selected="0">
            <x v="125"/>
          </reference>
        </references>
      </pivotArea>
    </chartFormat>
    <chartFormat chart="4" format="754">
      <pivotArea type="data" outline="0" fieldPosition="0">
        <references count="2">
          <reference field="4294967294" count="1" selected="0">
            <x v="0"/>
          </reference>
          <reference field="8" count="1" selected="0">
            <x v="105"/>
          </reference>
        </references>
      </pivotArea>
    </chartFormat>
    <chartFormat chart="4" format="75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756">
      <pivotArea type="data" outline="0" fieldPosition="0">
        <references count="2">
          <reference field="4294967294" count="1" selected="0">
            <x v="0"/>
          </reference>
          <reference field="8" count="1" selected="0">
            <x v="70"/>
          </reference>
        </references>
      </pivotArea>
    </chartFormat>
    <chartFormat chart="4" format="757">
      <pivotArea type="data" outline="0" fieldPosition="0">
        <references count="2">
          <reference field="4294967294" count="1" selected="0">
            <x v="0"/>
          </reference>
          <reference field="8" count="1" selected="0">
            <x v="110"/>
          </reference>
        </references>
      </pivotArea>
    </chartFormat>
    <chartFormat chart="4" format="758">
      <pivotArea type="data" outline="0" fieldPosition="0">
        <references count="2">
          <reference field="4294967294" count="1" selected="0">
            <x v="0"/>
          </reference>
          <reference field="8" count="1" selected="0">
            <x v="85"/>
          </reference>
        </references>
      </pivotArea>
    </chartFormat>
    <chartFormat chart="4" format="759">
      <pivotArea type="data" outline="0" fieldPosition="0">
        <references count="2">
          <reference field="4294967294" count="1" selected="0">
            <x v="0"/>
          </reference>
          <reference field="8" count="1" selected="0">
            <x v="74"/>
          </reference>
        </references>
      </pivotArea>
    </chartFormat>
    <chartFormat chart="4" format="760">
      <pivotArea type="data" outline="0" fieldPosition="0">
        <references count="2">
          <reference field="4294967294" count="1" selected="0">
            <x v="0"/>
          </reference>
          <reference field="8" count="1" selected="0">
            <x v="123"/>
          </reference>
        </references>
      </pivotArea>
    </chartFormat>
    <chartFormat chart="4" format="76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7"/>
          </reference>
        </references>
      </pivotArea>
    </chartFormat>
    <chartFormat chart="4" format="762">
      <pivotArea type="data" outline="0" fieldPosition="0">
        <references count="2">
          <reference field="4294967294" count="1" selected="0">
            <x v="0"/>
          </reference>
          <reference field="8" count="1" selected="0">
            <x v="41"/>
          </reference>
        </references>
      </pivotArea>
    </chartFormat>
    <chartFormat chart="4" format="76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1"/>
          </reference>
        </references>
      </pivotArea>
    </chartFormat>
    <chartFormat chart="4" format="764">
      <pivotArea type="data" outline="0" fieldPosition="0">
        <references count="2">
          <reference field="4294967294" count="1" selected="0">
            <x v="0"/>
          </reference>
          <reference field="8" count="1" selected="0">
            <x v="116"/>
          </reference>
        </references>
      </pivotArea>
    </chartFormat>
    <chartFormat chart="4" format="76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1"/>
          </reference>
        </references>
      </pivotArea>
    </chartFormat>
    <chartFormat chart="4" format="766">
      <pivotArea type="data" outline="0" fieldPosition="0">
        <references count="2">
          <reference field="4294967294" count="1" selected="0">
            <x v="0"/>
          </reference>
          <reference field="8" count="1" selected="0">
            <x v="115"/>
          </reference>
        </references>
      </pivotArea>
    </chartFormat>
    <chartFormat chart="4" format="767">
      <pivotArea type="data" outline="0" fieldPosition="0">
        <references count="2">
          <reference field="4294967294" count="1" selected="0">
            <x v="0"/>
          </reference>
          <reference field="8" count="1" selected="0">
            <x v="42"/>
          </reference>
        </references>
      </pivotArea>
    </chartFormat>
    <chartFormat chart="4" format="768">
      <pivotArea type="data" outline="0" fieldPosition="0">
        <references count="2">
          <reference field="4294967294" count="1" selected="0">
            <x v="0"/>
          </reference>
          <reference field="8" count="1" selected="0">
            <x v="104"/>
          </reference>
        </references>
      </pivotArea>
    </chartFormat>
    <chartFormat chart="4" format="769">
      <pivotArea type="data" outline="0" fieldPosition="0">
        <references count="2">
          <reference field="4294967294" count="1" selected="0">
            <x v="0"/>
          </reference>
          <reference field="8" count="1" selected="0">
            <x v="147"/>
          </reference>
        </references>
      </pivotArea>
    </chartFormat>
    <chartFormat chart="4" format="770">
      <pivotArea type="data" outline="0" fieldPosition="0">
        <references count="2">
          <reference field="4294967294" count="1" selected="0">
            <x v="0"/>
          </reference>
          <reference field="8" count="1" selected="0">
            <x v="56"/>
          </reference>
        </references>
      </pivotArea>
    </chartFormat>
    <chartFormat chart="4" format="77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6"/>
          </reference>
        </references>
      </pivotArea>
    </chartFormat>
    <chartFormat chart="4" format="77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9"/>
          </reference>
        </references>
      </pivotArea>
    </chartFormat>
    <chartFormat chart="4" format="773">
      <pivotArea type="data" outline="0" fieldPosition="0">
        <references count="2">
          <reference field="4294967294" count="1" selected="0">
            <x v="0"/>
          </reference>
          <reference field="8" count="1" selected="0">
            <x v="92"/>
          </reference>
        </references>
      </pivotArea>
    </chartFormat>
    <chartFormat chart="4" format="77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2"/>
          </reference>
        </references>
      </pivotArea>
    </chartFormat>
    <chartFormat chart="4" format="775">
      <pivotArea type="data" outline="0" fieldPosition="0">
        <references count="2">
          <reference field="4294967294" count="1" selected="0">
            <x v="0"/>
          </reference>
          <reference field="8" count="1" selected="0">
            <x v="39"/>
          </reference>
        </references>
      </pivotArea>
    </chartFormat>
    <chartFormat chart="4" format="776">
      <pivotArea type="data" outline="0" fieldPosition="0">
        <references count="2">
          <reference field="4294967294" count="1" selected="0">
            <x v="0"/>
          </reference>
          <reference field="8" count="1" selected="0">
            <x v="72"/>
          </reference>
        </references>
      </pivotArea>
    </chartFormat>
    <chartFormat chart="4" format="777">
      <pivotArea type="data" outline="0" fieldPosition="0">
        <references count="2">
          <reference field="4294967294" count="1" selected="0">
            <x v="0"/>
          </reference>
          <reference field="8" count="1" selected="0">
            <x v="129"/>
          </reference>
        </references>
      </pivotArea>
    </chartFormat>
    <chartFormat chart="4" format="778">
      <pivotArea type="data" outline="0" fieldPosition="0">
        <references count="2">
          <reference field="4294967294" count="1" selected="0">
            <x v="0"/>
          </reference>
          <reference field="8" count="1" selected="0">
            <x v="75"/>
          </reference>
        </references>
      </pivotArea>
    </chartFormat>
    <chartFormat chart="4" format="779">
      <pivotArea type="data" outline="0" fieldPosition="0">
        <references count="2">
          <reference field="4294967294" count="1" selected="0">
            <x v="0"/>
          </reference>
          <reference field="8" count="1" selected="0">
            <x v="127"/>
          </reference>
        </references>
      </pivotArea>
    </chartFormat>
    <chartFormat chart="4" format="780">
      <pivotArea type="data" outline="0" fieldPosition="0">
        <references count="2">
          <reference field="4294967294" count="1" selected="0">
            <x v="0"/>
          </reference>
          <reference field="8" count="1" selected="0">
            <x v="151"/>
          </reference>
        </references>
      </pivotArea>
    </chartFormat>
    <chartFormat chart="4" format="78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2"/>
          </reference>
        </references>
      </pivotArea>
    </chartFormat>
    <chartFormat chart="4" format="782">
      <pivotArea type="data" outline="0" fieldPosition="0">
        <references count="2">
          <reference field="4294967294" count="1" selected="0">
            <x v="0"/>
          </reference>
          <reference field="8" count="1" selected="0">
            <x v="158"/>
          </reference>
        </references>
      </pivotArea>
    </chartFormat>
    <chartFormat chart="4" format="783">
      <pivotArea type="data" outline="0" fieldPosition="0">
        <references count="2">
          <reference field="4294967294" count="1" selected="0">
            <x v="0"/>
          </reference>
          <reference field="8" count="1" selected="0">
            <x v="35"/>
          </reference>
        </references>
      </pivotArea>
    </chartFormat>
    <chartFormat chart="4" format="784">
      <pivotArea type="data" outline="0" fieldPosition="0">
        <references count="2">
          <reference field="4294967294" count="1" selected="0">
            <x v="0"/>
          </reference>
          <reference field="8" count="1" selected="0">
            <x v="130"/>
          </reference>
        </references>
      </pivotArea>
    </chartFormat>
    <chartFormat chart="4" format="78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2"/>
          </reference>
        </references>
      </pivotArea>
    </chartFormat>
    <chartFormat chart="4" format="786">
      <pivotArea type="data" outline="0" fieldPosition="0">
        <references count="2">
          <reference field="4294967294" count="1" selected="0">
            <x v="0"/>
          </reference>
          <reference field="8" count="1" selected="0">
            <x v="26"/>
          </reference>
        </references>
      </pivotArea>
    </chartFormat>
    <chartFormat chart="4" format="787">
      <pivotArea type="data" outline="0" fieldPosition="0">
        <references count="2">
          <reference field="4294967294" count="1" selected="0">
            <x v="0"/>
          </reference>
          <reference field="8" count="1" selected="0">
            <x v="120"/>
          </reference>
        </references>
      </pivotArea>
    </chartFormat>
    <chartFormat chart="4" format="788">
      <pivotArea type="data" outline="0" fieldPosition="0">
        <references count="2">
          <reference field="4294967294" count="1" selected="0">
            <x v="0"/>
          </reference>
          <reference field="8" count="1" selected="0">
            <x v="87"/>
          </reference>
        </references>
      </pivotArea>
    </chartFormat>
    <chartFormat chart="4" format="789">
      <pivotArea type="data" outline="0" fieldPosition="0">
        <references count="2">
          <reference field="4294967294" count="1" selected="0">
            <x v="0"/>
          </reference>
          <reference field="8" count="1" selected="0">
            <x v="36"/>
          </reference>
        </references>
      </pivotArea>
    </chartFormat>
    <chartFormat chart="4" format="790">
      <pivotArea type="data" outline="0" fieldPosition="0">
        <references count="2">
          <reference field="4294967294" count="1" selected="0">
            <x v="0"/>
          </reference>
          <reference field="8" count="1" selected="0">
            <x v="95"/>
          </reference>
        </references>
      </pivotArea>
    </chartFormat>
    <chartFormat chart="4" format="79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2"/>
          </reference>
        </references>
      </pivotArea>
    </chartFormat>
    <chartFormat chart="4" format="792">
      <pivotArea type="data" outline="0" fieldPosition="0">
        <references count="2">
          <reference field="4294967294" count="1" selected="0">
            <x v="0"/>
          </reference>
          <reference field="8" count="1" selected="0">
            <x v="97"/>
          </reference>
        </references>
      </pivotArea>
    </chartFormat>
    <chartFormat chart="4" format="793">
      <pivotArea type="data" outline="0" fieldPosition="0">
        <references count="2">
          <reference field="4294967294" count="1" selected="0">
            <x v="0"/>
          </reference>
          <reference field="8" count="1" selected="0">
            <x v="71"/>
          </reference>
        </references>
      </pivotArea>
    </chartFormat>
    <chartFormat chart="4" format="79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1"/>
          </reference>
        </references>
      </pivotArea>
    </chartFormat>
    <chartFormat chart="4" format="79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8"/>
          </reference>
        </references>
      </pivotArea>
    </chartFormat>
    <chartFormat chart="4" format="796">
      <pivotArea type="data" outline="0" fieldPosition="0">
        <references count="2">
          <reference field="4294967294" count="1" selected="0">
            <x v="0"/>
          </reference>
          <reference field="8" count="1" selected="0">
            <x v="133"/>
          </reference>
        </references>
      </pivotArea>
    </chartFormat>
    <chartFormat chart="4" format="79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5"/>
          </reference>
        </references>
      </pivotArea>
    </chartFormat>
    <chartFormat chart="4" format="798">
      <pivotArea type="data" outline="0" fieldPosition="0">
        <references count="2">
          <reference field="4294967294" count="1" selected="0">
            <x v="0"/>
          </reference>
          <reference field="8" count="1" selected="0">
            <x v="131"/>
          </reference>
        </references>
      </pivotArea>
    </chartFormat>
    <chartFormat chart="4" format="799">
      <pivotArea type="data" outline="0" fieldPosition="0">
        <references count="2">
          <reference field="4294967294" count="1" selected="0">
            <x v="0"/>
          </reference>
          <reference field="8" count="1" selected="0">
            <x v="69"/>
          </reference>
        </references>
      </pivotArea>
    </chartFormat>
    <chartFormat chart="5" format="9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6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8"/>
          </reference>
        </references>
      </pivotArea>
    </chartFormat>
    <chartFormat chart="5" format="962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5" format="963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5" format="964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5" format="965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5" format="966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5" format="967">
      <pivotArea type="data" outline="0" fieldPosition="0">
        <references count="2">
          <reference field="4294967294" count="1" selected="0">
            <x v="0"/>
          </reference>
          <reference field="8" count="1" selected="0">
            <x v="64"/>
          </reference>
        </references>
      </pivotArea>
    </chartFormat>
    <chartFormat chart="5" format="96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0"/>
          </reference>
        </references>
      </pivotArea>
    </chartFormat>
    <chartFormat chart="5" format="969">
      <pivotArea type="data" outline="0" fieldPosition="0">
        <references count="2">
          <reference field="4294967294" count="1" selected="0">
            <x v="0"/>
          </reference>
          <reference field="8" count="1" selected="0">
            <x v="28"/>
          </reference>
        </references>
      </pivotArea>
    </chartFormat>
    <chartFormat chart="5" format="970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5" format="97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5" format="972">
      <pivotArea type="data" outline="0" fieldPosition="0">
        <references count="2">
          <reference field="4294967294" count="1" selected="0">
            <x v="0"/>
          </reference>
          <reference field="8" count="1" selected="0">
            <x v="139"/>
          </reference>
        </references>
      </pivotArea>
    </chartFormat>
    <chartFormat chart="5" format="973">
      <pivotArea type="data" outline="0" fieldPosition="0">
        <references count="2">
          <reference field="4294967294" count="1" selected="0">
            <x v="0"/>
          </reference>
          <reference field="8" count="1" selected="0">
            <x v="52"/>
          </reference>
        </references>
      </pivotArea>
    </chartFormat>
    <chartFormat chart="5" format="974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5" format="975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5" format="976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5" format="977">
      <pivotArea type="data" outline="0" fieldPosition="0">
        <references count="2">
          <reference field="4294967294" count="1" selected="0">
            <x v="0"/>
          </reference>
          <reference field="8" count="1" selected="0">
            <x v="27"/>
          </reference>
        </references>
      </pivotArea>
    </chartFormat>
    <chartFormat chart="5" format="97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3"/>
          </reference>
        </references>
      </pivotArea>
    </chartFormat>
    <chartFormat chart="5" format="979">
      <pivotArea type="data" outline="0" fieldPosition="0">
        <references count="2">
          <reference field="4294967294" count="1" selected="0">
            <x v="0"/>
          </reference>
          <reference field="8" count="1" selected="0">
            <x v="45"/>
          </reference>
        </references>
      </pivotArea>
    </chartFormat>
    <chartFormat chart="5" format="980">
      <pivotArea type="data" outline="0" fieldPosition="0">
        <references count="2">
          <reference field="4294967294" count="1" selected="0">
            <x v="0"/>
          </reference>
          <reference field="8" count="1" selected="0">
            <x v="61"/>
          </reference>
        </references>
      </pivotArea>
    </chartFormat>
    <chartFormat chart="5" format="98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5" format="982">
      <pivotArea type="data" outline="0" fieldPosition="0">
        <references count="2">
          <reference field="4294967294" count="1" selected="0">
            <x v="0"/>
          </reference>
          <reference field="8" count="1" selected="0">
            <x v="153"/>
          </reference>
        </references>
      </pivotArea>
    </chartFormat>
    <chartFormat chart="5" format="983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5" format="98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0"/>
          </reference>
        </references>
      </pivotArea>
    </chartFormat>
    <chartFormat chart="5" format="98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5" format="986">
      <pivotArea type="data" outline="0" fieldPosition="0">
        <references count="2">
          <reference field="4294967294" count="1" selected="0">
            <x v="0"/>
          </reference>
          <reference field="8" count="1" selected="0">
            <x v="46"/>
          </reference>
        </references>
      </pivotArea>
    </chartFormat>
    <chartFormat chart="5" format="987">
      <pivotArea type="data" outline="0" fieldPosition="0">
        <references count="2">
          <reference field="4294967294" count="1" selected="0">
            <x v="0"/>
          </reference>
          <reference field="8" count="1" selected="0">
            <x v="68"/>
          </reference>
        </references>
      </pivotArea>
    </chartFormat>
    <chartFormat chart="5" format="988">
      <pivotArea type="data" outline="0" fieldPosition="0">
        <references count="2">
          <reference field="4294967294" count="1" selected="0">
            <x v="0"/>
          </reference>
          <reference field="8" count="1" selected="0">
            <x v="53"/>
          </reference>
        </references>
      </pivotArea>
    </chartFormat>
    <chartFormat chart="5" format="989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5" format="990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5" format="991">
      <pivotArea type="data" outline="0" fieldPosition="0">
        <references count="2">
          <reference field="4294967294" count="1" selected="0">
            <x v="0"/>
          </reference>
          <reference field="8" count="1" selected="0">
            <x v="34"/>
          </reference>
        </references>
      </pivotArea>
    </chartFormat>
    <chartFormat chart="5" format="992">
      <pivotArea type="data" outline="0" fieldPosition="0">
        <references count="2">
          <reference field="4294967294" count="1" selected="0">
            <x v="0"/>
          </reference>
          <reference field="8" count="1" selected="0">
            <x v="37"/>
          </reference>
        </references>
      </pivotArea>
    </chartFormat>
    <chartFormat chart="5" format="993">
      <pivotArea type="data" outline="0" fieldPosition="0">
        <references count="2">
          <reference field="4294967294" count="1" selected="0">
            <x v="0"/>
          </reference>
          <reference field="8" count="1" selected="0">
            <x v="54"/>
          </reference>
        </references>
      </pivotArea>
    </chartFormat>
    <chartFormat chart="5" format="994">
      <pivotArea type="data" outline="0" fieldPosition="0">
        <references count="2">
          <reference field="4294967294" count="1" selected="0">
            <x v="0"/>
          </reference>
          <reference field="8" count="1" selected="0">
            <x v="145"/>
          </reference>
        </references>
      </pivotArea>
    </chartFormat>
    <chartFormat chart="5" format="99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2"/>
          </reference>
        </references>
      </pivotArea>
    </chartFormat>
    <chartFormat chart="5" format="996">
      <pivotArea type="data" outline="0" fieldPosition="0">
        <references count="2">
          <reference field="4294967294" count="1" selected="0">
            <x v="0"/>
          </reference>
          <reference field="8" count="1" selected="0">
            <x v="86"/>
          </reference>
        </references>
      </pivotArea>
    </chartFormat>
    <chartFormat chart="5" format="997">
      <pivotArea type="data" outline="0" fieldPosition="0">
        <references count="2">
          <reference field="4294967294" count="1" selected="0">
            <x v="0"/>
          </reference>
          <reference field="8" count="1" selected="0">
            <x v="51"/>
          </reference>
        </references>
      </pivotArea>
    </chartFormat>
    <chartFormat chart="5" format="998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5" format="999">
      <pivotArea type="data" outline="0" fieldPosition="0">
        <references count="2">
          <reference field="4294967294" count="1" selected="0">
            <x v="0"/>
          </reference>
          <reference field="8" count="1" selected="0">
            <x v="40"/>
          </reference>
        </references>
      </pivotArea>
    </chartFormat>
    <chartFormat chart="5" format="1000">
      <pivotArea type="data" outline="0" fieldPosition="0">
        <references count="2">
          <reference field="4294967294" count="1" selected="0">
            <x v="0"/>
          </reference>
          <reference field="8" count="1" selected="0">
            <x v="49"/>
          </reference>
        </references>
      </pivotArea>
    </chartFormat>
    <chartFormat chart="5" format="100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5" format="1002">
      <pivotArea type="data" outline="0" fieldPosition="0">
        <references count="2">
          <reference field="4294967294" count="1" selected="0">
            <x v="0"/>
          </reference>
          <reference field="8" count="1" selected="0">
            <x v="78"/>
          </reference>
        </references>
      </pivotArea>
    </chartFormat>
    <chartFormat chart="5" format="1003">
      <pivotArea type="data" outline="0" fieldPosition="0">
        <references count="2">
          <reference field="4294967294" count="1" selected="0">
            <x v="0"/>
          </reference>
          <reference field="8" count="1" selected="0">
            <x v="81"/>
          </reference>
        </references>
      </pivotArea>
    </chartFormat>
    <chartFormat chart="5" format="100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4"/>
          </reference>
        </references>
      </pivotArea>
    </chartFormat>
    <chartFormat chart="5" format="100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1006">
      <pivotArea type="data" outline="0" fieldPosition="0">
        <references count="2">
          <reference field="4294967294" count="1" selected="0">
            <x v="0"/>
          </reference>
          <reference field="8" count="1" selected="0">
            <x v="144"/>
          </reference>
        </references>
      </pivotArea>
    </chartFormat>
    <chartFormat chart="5" format="100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8"/>
          </reference>
        </references>
      </pivotArea>
    </chartFormat>
    <chartFormat chart="5" format="1008">
      <pivotArea type="data" outline="0" fieldPosition="0">
        <references count="2">
          <reference field="4294967294" count="1" selected="0">
            <x v="0"/>
          </reference>
          <reference field="8" count="1" selected="0">
            <x v="47"/>
          </reference>
        </references>
      </pivotArea>
    </chartFormat>
    <chartFormat chart="5" format="1009">
      <pivotArea type="data" outline="0" fieldPosition="0">
        <references count="2">
          <reference field="4294967294" count="1" selected="0">
            <x v="0"/>
          </reference>
          <reference field="8" count="1" selected="0">
            <x v="63"/>
          </reference>
        </references>
      </pivotArea>
    </chartFormat>
    <chartFormat chart="5" format="1010">
      <pivotArea type="data" outline="0" fieldPosition="0">
        <references count="2">
          <reference field="4294967294" count="1" selected="0">
            <x v="0"/>
          </reference>
          <reference field="8" count="1" selected="0">
            <x v="112"/>
          </reference>
        </references>
      </pivotArea>
    </chartFormat>
    <chartFormat chart="5" format="10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1"/>
          </reference>
        </references>
      </pivotArea>
    </chartFormat>
    <chartFormat chart="5" format="1012">
      <pivotArea type="data" outline="0" fieldPosition="0">
        <references count="2">
          <reference field="4294967294" count="1" selected="0">
            <x v="0"/>
          </reference>
          <reference field="8" count="1" selected="0">
            <x v="73"/>
          </reference>
        </references>
      </pivotArea>
    </chartFormat>
    <chartFormat chart="5" format="1013">
      <pivotArea type="data" outline="0" fieldPosition="0">
        <references count="2">
          <reference field="4294967294" count="1" selected="0">
            <x v="0"/>
          </reference>
          <reference field="8" count="1" selected="0">
            <x v="83"/>
          </reference>
        </references>
      </pivotArea>
    </chartFormat>
    <chartFormat chart="5" format="1014">
      <pivotArea type="data" outline="0" fieldPosition="0">
        <references count="2">
          <reference field="4294967294" count="1" selected="0">
            <x v="0"/>
          </reference>
          <reference field="8" count="1" selected="0">
            <x v="79"/>
          </reference>
        </references>
      </pivotArea>
    </chartFormat>
    <chartFormat chart="5" format="101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5" format="1016">
      <pivotArea type="data" outline="0" fieldPosition="0">
        <references count="2">
          <reference field="4294967294" count="1" selected="0">
            <x v="0"/>
          </reference>
          <reference field="8" count="1" selected="0">
            <x v="82"/>
          </reference>
        </references>
      </pivotArea>
    </chartFormat>
    <chartFormat chart="5" format="1017">
      <pivotArea type="data" outline="0" fieldPosition="0">
        <references count="2">
          <reference field="4294967294" count="1" selected="0">
            <x v="0"/>
          </reference>
          <reference field="8" count="1" selected="0">
            <x v="62"/>
          </reference>
        </references>
      </pivotArea>
    </chartFormat>
    <chartFormat chart="5" format="1018">
      <pivotArea type="data" outline="0" fieldPosition="0">
        <references count="2">
          <reference field="4294967294" count="1" selected="0">
            <x v="0"/>
          </reference>
          <reference field="8" count="1" selected="0">
            <x v="88"/>
          </reference>
        </references>
      </pivotArea>
    </chartFormat>
    <chartFormat chart="5" format="1019">
      <pivotArea type="data" outline="0" fieldPosition="0">
        <references count="2">
          <reference field="4294967294" count="1" selected="0">
            <x v="0"/>
          </reference>
          <reference field="8" count="1" selected="0">
            <x v="90"/>
          </reference>
        </references>
      </pivotArea>
    </chartFormat>
    <chartFormat chart="5" format="1020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5" format="102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8"/>
          </reference>
        </references>
      </pivotArea>
    </chartFormat>
    <chartFormat chart="5" format="1022">
      <pivotArea type="data" outline="0" fieldPosition="0">
        <references count="2">
          <reference field="4294967294" count="1" selected="0">
            <x v="0"/>
          </reference>
          <reference field="8" count="1" selected="0">
            <x v="66"/>
          </reference>
        </references>
      </pivotArea>
    </chartFormat>
    <chartFormat chart="5" format="1023">
      <pivotArea type="data" outline="0" fieldPosition="0">
        <references count="2">
          <reference field="4294967294" count="1" selected="0">
            <x v="0"/>
          </reference>
          <reference field="8" count="1" selected="0">
            <x v="60"/>
          </reference>
        </references>
      </pivotArea>
    </chartFormat>
    <chartFormat chart="5" format="1024">
      <pivotArea type="data" outline="0" fieldPosition="0">
        <references count="2">
          <reference field="4294967294" count="1" selected="0">
            <x v="0"/>
          </reference>
          <reference field="8" count="1" selected="0">
            <x v="50"/>
          </reference>
        </references>
      </pivotArea>
    </chartFormat>
    <chartFormat chart="5" format="1025">
      <pivotArea type="data" outline="0" fieldPosition="0">
        <references count="2">
          <reference field="4294967294" count="1" selected="0">
            <x v="0"/>
          </reference>
          <reference field="8" count="1" selected="0">
            <x v="57"/>
          </reference>
        </references>
      </pivotArea>
    </chartFormat>
    <chartFormat chart="5" format="1026">
      <pivotArea type="data" outline="0" fieldPosition="0">
        <references count="2">
          <reference field="4294967294" count="1" selected="0">
            <x v="0"/>
          </reference>
          <reference field="8" count="1" selected="0">
            <x v="93"/>
          </reference>
        </references>
      </pivotArea>
    </chartFormat>
    <chartFormat chart="5" format="1027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5" format="102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1029">
      <pivotArea type="data" outline="0" fieldPosition="0">
        <references count="2">
          <reference field="4294967294" count="1" selected="0">
            <x v="0"/>
          </reference>
          <reference field="8" count="1" selected="0">
            <x v="137"/>
          </reference>
        </references>
      </pivotArea>
    </chartFormat>
    <chartFormat chart="5" format="1030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5" format="1031">
      <pivotArea type="data" outline="0" fieldPosition="0">
        <references count="2">
          <reference field="4294967294" count="1" selected="0">
            <x v="0"/>
          </reference>
          <reference field="8" count="1" selected="0">
            <x v="32"/>
          </reference>
        </references>
      </pivotArea>
    </chartFormat>
    <chartFormat chart="5" format="103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4"/>
          </reference>
        </references>
      </pivotArea>
    </chartFormat>
    <chartFormat chart="5" format="103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3"/>
          </reference>
        </references>
      </pivotArea>
    </chartFormat>
    <chartFormat chart="5" format="103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5" format="1035">
      <pivotArea type="data" outline="0" fieldPosition="0">
        <references count="2">
          <reference field="4294967294" count="1" selected="0">
            <x v="0"/>
          </reference>
          <reference field="8" count="1" selected="0">
            <x v="30"/>
          </reference>
        </references>
      </pivotArea>
    </chartFormat>
    <chartFormat chart="5" format="1036">
      <pivotArea type="data" outline="0" fieldPosition="0">
        <references count="2">
          <reference field="4294967294" count="1" selected="0">
            <x v="0"/>
          </reference>
          <reference field="8" count="1" selected="0">
            <x v="103"/>
          </reference>
        </references>
      </pivotArea>
    </chartFormat>
    <chartFormat chart="5" format="1037">
      <pivotArea type="data" outline="0" fieldPosition="0">
        <references count="2">
          <reference field="4294967294" count="1" selected="0">
            <x v="0"/>
          </reference>
          <reference field="8" count="1" selected="0">
            <x v="89"/>
          </reference>
        </references>
      </pivotArea>
    </chartFormat>
    <chartFormat chart="5" format="1038">
      <pivotArea type="data" outline="0" fieldPosition="0">
        <references count="2">
          <reference field="4294967294" count="1" selected="0">
            <x v="0"/>
          </reference>
          <reference field="8" count="1" selected="0">
            <x v="91"/>
          </reference>
        </references>
      </pivotArea>
    </chartFormat>
    <chartFormat chart="5" format="1039">
      <pivotArea type="data" outline="0" fieldPosition="0">
        <references count="2">
          <reference field="4294967294" count="1" selected="0">
            <x v="0"/>
          </reference>
          <reference field="8" count="1" selected="0">
            <x v="44"/>
          </reference>
        </references>
      </pivotArea>
    </chartFormat>
    <chartFormat chart="5" format="1040">
      <pivotArea type="data" outline="0" fieldPosition="0">
        <references count="2">
          <reference field="4294967294" count="1" selected="0">
            <x v="0"/>
          </reference>
          <reference field="8" count="1" selected="0">
            <x v="157"/>
          </reference>
        </references>
      </pivotArea>
    </chartFormat>
    <chartFormat chart="5" format="104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0"/>
          </reference>
        </references>
      </pivotArea>
    </chartFormat>
    <chartFormat chart="5" format="1042">
      <pivotArea type="data" outline="0" fieldPosition="0">
        <references count="2">
          <reference field="4294967294" count="1" selected="0">
            <x v="0"/>
          </reference>
          <reference field="8" count="1" selected="0">
            <x v="38"/>
          </reference>
        </references>
      </pivotArea>
    </chartFormat>
    <chartFormat chart="5" format="1043">
      <pivotArea type="data" outline="0" fieldPosition="0">
        <references count="2">
          <reference field="4294967294" count="1" selected="0">
            <x v="0"/>
          </reference>
          <reference field="8" count="1" selected="0">
            <x v="77"/>
          </reference>
        </references>
      </pivotArea>
    </chartFormat>
    <chartFormat chart="5" format="1044">
      <pivotArea type="data" outline="0" fieldPosition="0">
        <references count="2">
          <reference field="4294967294" count="1" selected="0">
            <x v="0"/>
          </reference>
          <reference field="8" count="1" selected="0">
            <x v="59"/>
          </reference>
        </references>
      </pivotArea>
    </chartFormat>
    <chartFormat chart="5" format="1045">
      <pivotArea type="data" outline="0" fieldPosition="0">
        <references count="2">
          <reference field="4294967294" count="1" selected="0">
            <x v="0"/>
          </reference>
          <reference field="8" count="1" selected="0">
            <x v="58"/>
          </reference>
        </references>
      </pivotArea>
    </chartFormat>
    <chartFormat chart="5" format="1046">
      <pivotArea type="data" outline="0" fieldPosition="0">
        <references count="2">
          <reference field="4294967294" count="1" selected="0">
            <x v="0"/>
          </reference>
          <reference field="8" count="1" selected="0">
            <x v="141"/>
          </reference>
        </references>
      </pivotArea>
    </chartFormat>
    <chartFormat chart="5" format="104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6"/>
          </reference>
        </references>
      </pivotArea>
    </chartFormat>
    <chartFormat chart="5" format="1048">
      <pivotArea type="data" outline="0" fieldPosition="0">
        <references count="2">
          <reference field="4294967294" count="1" selected="0">
            <x v="0"/>
          </reference>
          <reference field="8" count="1" selected="0">
            <x v="99"/>
          </reference>
        </references>
      </pivotArea>
    </chartFormat>
    <chartFormat chart="5" format="1049">
      <pivotArea type="data" outline="0" fieldPosition="0">
        <references count="2">
          <reference field="4294967294" count="1" selected="0">
            <x v="0"/>
          </reference>
          <reference field="8" count="1" selected="0">
            <x v="76"/>
          </reference>
        </references>
      </pivotArea>
    </chartFormat>
    <chartFormat chart="5" format="1050">
      <pivotArea type="data" outline="0" fieldPosition="0">
        <references count="2">
          <reference field="4294967294" count="1" selected="0">
            <x v="0"/>
          </reference>
          <reference field="8" count="1" selected="0">
            <x v="65"/>
          </reference>
        </references>
      </pivotArea>
    </chartFormat>
    <chartFormat chart="5" format="105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4"/>
          </reference>
        </references>
      </pivotArea>
    </chartFormat>
    <chartFormat chart="5" format="105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8"/>
          </reference>
        </references>
      </pivotArea>
    </chartFormat>
    <chartFormat chart="5" format="1053">
      <pivotArea type="data" outline="0" fieldPosition="0">
        <references count="2">
          <reference field="4294967294" count="1" selected="0">
            <x v="0"/>
          </reference>
          <reference field="8" count="1" selected="0">
            <x v="155"/>
          </reference>
        </references>
      </pivotArea>
    </chartFormat>
    <chartFormat chart="5" format="1054">
      <pivotArea type="data" outline="0" fieldPosition="0">
        <references count="2">
          <reference field="4294967294" count="1" selected="0">
            <x v="0"/>
          </reference>
          <reference field="8" count="1" selected="0">
            <x v="146"/>
          </reference>
        </references>
      </pivotArea>
    </chartFormat>
    <chartFormat chart="5" format="105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1056">
      <pivotArea type="data" outline="0" fieldPosition="0">
        <references count="2">
          <reference field="4294967294" count="1" selected="0">
            <x v="0"/>
          </reference>
          <reference field="8" count="1" selected="0">
            <x v="43"/>
          </reference>
        </references>
      </pivotArea>
    </chartFormat>
    <chartFormat chart="5" format="1057">
      <pivotArea type="data" outline="0" fieldPosition="0">
        <references count="2">
          <reference field="4294967294" count="1" selected="0">
            <x v="0"/>
          </reference>
          <reference field="8" count="1" selected="0">
            <x v="55"/>
          </reference>
        </references>
      </pivotArea>
    </chartFormat>
    <chartFormat chart="5" format="1058">
      <pivotArea type="data" outline="0" fieldPosition="0">
        <references count="2">
          <reference field="4294967294" count="1" selected="0">
            <x v="0"/>
          </reference>
          <reference field="8" count="1" selected="0">
            <x v="109"/>
          </reference>
        </references>
      </pivotArea>
    </chartFormat>
    <chartFormat chart="5" format="1059">
      <pivotArea type="data" outline="0" fieldPosition="0">
        <references count="2">
          <reference field="4294967294" count="1" selected="0">
            <x v="0"/>
          </reference>
          <reference field="8" count="1" selected="0">
            <x v="48"/>
          </reference>
        </references>
      </pivotArea>
    </chartFormat>
    <chartFormat chart="5" format="1060">
      <pivotArea type="data" outline="0" fieldPosition="0">
        <references count="2">
          <reference field="4294967294" count="1" selected="0">
            <x v="0"/>
          </reference>
          <reference field="8" count="1" selected="0">
            <x v="94"/>
          </reference>
        </references>
      </pivotArea>
    </chartFormat>
    <chartFormat chart="5" format="106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5" format="1062">
      <pivotArea type="data" outline="0" fieldPosition="0">
        <references count="2">
          <reference field="4294967294" count="1" selected="0">
            <x v="0"/>
          </reference>
          <reference field="8" count="1" selected="0">
            <x v="98"/>
          </reference>
        </references>
      </pivotArea>
    </chartFormat>
    <chartFormat chart="5" format="1063">
      <pivotArea type="data" outline="0" fieldPosition="0">
        <references count="2">
          <reference field="4294967294" count="1" selected="0">
            <x v="0"/>
          </reference>
          <reference field="8" count="1" selected="0">
            <x v="33"/>
          </reference>
        </references>
      </pivotArea>
    </chartFormat>
    <chartFormat chart="5" format="106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6"/>
          </reference>
        </references>
      </pivotArea>
    </chartFormat>
    <chartFormat chart="5" format="1065">
      <pivotArea type="data" outline="0" fieldPosition="0">
        <references count="2">
          <reference field="4294967294" count="1" selected="0">
            <x v="0"/>
          </reference>
          <reference field="8" count="1" selected="0">
            <x v="84"/>
          </reference>
        </references>
      </pivotArea>
    </chartFormat>
    <chartFormat chart="5" format="1066">
      <pivotArea type="data" outline="0" fieldPosition="0">
        <references count="2">
          <reference field="4294967294" count="1" selected="0">
            <x v="0"/>
          </reference>
          <reference field="8" count="1" selected="0">
            <x v="67"/>
          </reference>
        </references>
      </pivotArea>
    </chartFormat>
    <chartFormat chart="5" format="1067">
      <pivotArea type="data" outline="0" fieldPosition="0">
        <references count="2">
          <reference field="4294967294" count="1" selected="0">
            <x v="0"/>
          </reference>
          <reference field="8" count="1" selected="0">
            <x v="80"/>
          </reference>
        </references>
      </pivotArea>
    </chartFormat>
    <chartFormat chart="5" format="106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9"/>
          </reference>
        </references>
      </pivotArea>
    </chartFormat>
    <chartFormat chart="5" format="1069">
      <pivotArea type="data" outline="0" fieldPosition="0">
        <references count="2">
          <reference field="4294967294" count="1" selected="0">
            <x v="0"/>
          </reference>
          <reference field="8" count="1" selected="0">
            <x v="124"/>
          </reference>
        </references>
      </pivotArea>
    </chartFormat>
    <chartFormat chart="5" format="1070">
      <pivotArea type="data" outline="0" fieldPosition="0">
        <references count="2">
          <reference field="4294967294" count="1" selected="0">
            <x v="0"/>
          </reference>
          <reference field="8" count="1" selected="0">
            <x v="107"/>
          </reference>
        </references>
      </pivotArea>
    </chartFormat>
    <chartFormat chart="5" format="107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6"/>
          </reference>
        </references>
      </pivotArea>
    </chartFormat>
    <chartFormat chart="5" format="1072">
      <pivotArea type="data" outline="0" fieldPosition="0">
        <references count="2">
          <reference field="4294967294" count="1" selected="0">
            <x v="0"/>
          </reference>
          <reference field="8" count="1" selected="0">
            <x v="96"/>
          </reference>
        </references>
      </pivotArea>
    </chartFormat>
    <chartFormat chart="5" format="1073">
      <pivotArea type="data" outline="0" fieldPosition="0">
        <references count="2">
          <reference field="4294967294" count="1" selected="0">
            <x v="0"/>
          </reference>
          <reference field="8" count="1" selected="0">
            <x v="125"/>
          </reference>
        </references>
      </pivotArea>
    </chartFormat>
    <chartFormat chart="5" format="1074">
      <pivotArea type="data" outline="0" fieldPosition="0">
        <references count="2">
          <reference field="4294967294" count="1" selected="0">
            <x v="0"/>
          </reference>
          <reference field="8" count="1" selected="0">
            <x v="105"/>
          </reference>
        </references>
      </pivotArea>
    </chartFormat>
    <chartFormat chart="5" format="107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5" format="1076">
      <pivotArea type="data" outline="0" fieldPosition="0">
        <references count="2">
          <reference field="4294967294" count="1" selected="0">
            <x v="0"/>
          </reference>
          <reference field="8" count="1" selected="0">
            <x v="70"/>
          </reference>
        </references>
      </pivotArea>
    </chartFormat>
    <chartFormat chart="5" format="1077">
      <pivotArea type="data" outline="0" fieldPosition="0">
        <references count="2">
          <reference field="4294967294" count="1" selected="0">
            <x v="0"/>
          </reference>
          <reference field="8" count="1" selected="0">
            <x v="110"/>
          </reference>
        </references>
      </pivotArea>
    </chartFormat>
    <chartFormat chart="5" format="1078">
      <pivotArea type="data" outline="0" fieldPosition="0">
        <references count="2">
          <reference field="4294967294" count="1" selected="0">
            <x v="0"/>
          </reference>
          <reference field="8" count="1" selected="0">
            <x v="85"/>
          </reference>
        </references>
      </pivotArea>
    </chartFormat>
    <chartFormat chart="5" format="1079">
      <pivotArea type="data" outline="0" fieldPosition="0">
        <references count="2">
          <reference field="4294967294" count="1" selected="0">
            <x v="0"/>
          </reference>
          <reference field="8" count="1" selected="0">
            <x v="74"/>
          </reference>
        </references>
      </pivotArea>
    </chartFormat>
    <chartFormat chart="5" format="1080">
      <pivotArea type="data" outline="0" fieldPosition="0">
        <references count="2">
          <reference field="4294967294" count="1" selected="0">
            <x v="0"/>
          </reference>
          <reference field="8" count="1" selected="0">
            <x v="123"/>
          </reference>
        </references>
      </pivotArea>
    </chartFormat>
    <chartFormat chart="5" format="108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7"/>
          </reference>
        </references>
      </pivotArea>
    </chartFormat>
    <chartFormat chart="5" format="1082">
      <pivotArea type="data" outline="0" fieldPosition="0">
        <references count="2">
          <reference field="4294967294" count="1" selected="0">
            <x v="0"/>
          </reference>
          <reference field="8" count="1" selected="0">
            <x v="41"/>
          </reference>
        </references>
      </pivotArea>
    </chartFormat>
    <chartFormat chart="5" format="108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1"/>
          </reference>
        </references>
      </pivotArea>
    </chartFormat>
    <chartFormat chart="5" format="1084">
      <pivotArea type="data" outline="0" fieldPosition="0">
        <references count="2">
          <reference field="4294967294" count="1" selected="0">
            <x v="0"/>
          </reference>
          <reference field="8" count="1" selected="0">
            <x v="116"/>
          </reference>
        </references>
      </pivotArea>
    </chartFormat>
    <chartFormat chart="5" format="108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1"/>
          </reference>
        </references>
      </pivotArea>
    </chartFormat>
    <chartFormat chart="5" format="1086">
      <pivotArea type="data" outline="0" fieldPosition="0">
        <references count="2">
          <reference field="4294967294" count="1" selected="0">
            <x v="0"/>
          </reference>
          <reference field="8" count="1" selected="0">
            <x v="115"/>
          </reference>
        </references>
      </pivotArea>
    </chartFormat>
    <chartFormat chart="5" format="1087">
      <pivotArea type="data" outline="0" fieldPosition="0">
        <references count="2">
          <reference field="4294967294" count="1" selected="0">
            <x v="0"/>
          </reference>
          <reference field="8" count="1" selected="0">
            <x v="42"/>
          </reference>
        </references>
      </pivotArea>
    </chartFormat>
    <chartFormat chart="5" format="1088">
      <pivotArea type="data" outline="0" fieldPosition="0">
        <references count="2">
          <reference field="4294967294" count="1" selected="0">
            <x v="0"/>
          </reference>
          <reference field="8" count="1" selected="0">
            <x v="104"/>
          </reference>
        </references>
      </pivotArea>
    </chartFormat>
    <chartFormat chart="5" format="1089">
      <pivotArea type="data" outline="0" fieldPosition="0">
        <references count="2">
          <reference field="4294967294" count="1" selected="0">
            <x v="0"/>
          </reference>
          <reference field="8" count="1" selected="0">
            <x v="147"/>
          </reference>
        </references>
      </pivotArea>
    </chartFormat>
    <chartFormat chart="5" format="1090">
      <pivotArea type="data" outline="0" fieldPosition="0">
        <references count="2">
          <reference field="4294967294" count="1" selected="0">
            <x v="0"/>
          </reference>
          <reference field="8" count="1" selected="0">
            <x v="56"/>
          </reference>
        </references>
      </pivotArea>
    </chartFormat>
    <chartFormat chart="5" format="109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6"/>
          </reference>
        </references>
      </pivotArea>
    </chartFormat>
    <chartFormat chart="5" format="109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9"/>
          </reference>
        </references>
      </pivotArea>
    </chartFormat>
    <chartFormat chart="5" format="1093">
      <pivotArea type="data" outline="0" fieldPosition="0">
        <references count="2">
          <reference field="4294967294" count="1" selected="0">
            <x v="0"/>
          </reference>
          <reference field="8" count="1" selected="0">
            <x v="92"/>
          </reference>
        </references>
      </pivotArea>
    </chartFormat>
    <chartFormat chart="5" format="109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2"/>
          </reference>
        </references>
      </pivotArea>
    </chartFormat>
    <chartFormat chart="5" format="1095">
      <pivotArea type="data" outline="0" fieldPosition="0">
        <references count="2">
          <reference field="4294967294" count="1" selected="0">
            <x v="0"/>
          </reference>
          <reference field="8" count="1" selected="0">
            <x v="39"/>
          </reference>
        </references>
      </pivotArea>
    </chartFormat>
    <chartFormat chart="5" format="1096">
      <pivotArea type="data" outline="0" fieldPosition="0">
        <references count="2">
          <reference field="4294967294" count="1" selected="0">
            <x v="0"/>
          </reference>
          <reference field="8" count="1" selected="0">
            <x v="72"/>
          </reference>
        </references>
      </pivotArea>
    </chartFormat>
    <chartFormat chart="5" format="1097">
      <pivotArea type="data" outline="0" fieldPosition="0">
        <references count="2">
          <reference field="4294967294" count="1" selected="0">
            <x v="0"/>
          </reference>
          <reference field="8" count="1" selected="0">
            <x v="129"/>
          </reference>
        </references>
      </pivotArea>
    </chartFormat>
    <chartFormat chart="5" format="1098">
      <pivotArea type="data" outline="0" fieldPosition="0">
        <references count="2">
          <reference field="4294967294" count="1" selected="0">
            <x v="0"/>
          </reference>
          <reference field="8" count="1" selected="0">
            <x v="75"/>
          </reference>
        </references>
      </pivotArea>
    </chartFormat>
    <chartFormat chart="5" format="1099">
      <pivotArea type="data" outline="0" fieldPosition="0">
        <references count="2">
          <reference field="4294967294" count="1" selected="0">
            <x v="0"/>
          </reference>
          <reference field="8" count="1" selected="0">
            <x v="127"/>
          </reference>
        </references>
      </pivotArea>
    </chartFormat>
    <chartFormat chart="5" format="1100">
      <pivotArea type="data" outline="0" fieldPosition="0">
        <references count="2">
          <reference field="4294967294" count="1" selected="0">
            <x v="0"/>
          </reference>
          <reference field="8" count="1" selected="0">
            <x v="151"/>
          </reference>
        </references>
      </pivotArea>
    </chartFormat>
    <chartFormat chart="5" format="110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2"/>
          </reference>
        </references>
      </pivotArea>
    </chartFormat>
    <chartFormat chart="5" format="1102">
      <pivotArea type="data" outline="0" fieldPosition="0">
        <references count="2">
          <reference field="4294967294" count="1" selected="0">
            <x v="0"/>
          </reference>
          <reference field="8" count="1" selected="0">
            <x v="158"/>
          </reference>
        </references>
      </pivotArea>
    </chartFormat>
    <chartFormat chart="5" format="1103">
      <pivotArea type="data" outline="0" fieldPosition="0">
        <references count="2">
          <reference field="4294967294" count="1" selected="0">
            <x v="0"/>
          </reference>
          <reference field="8" count="1" selected="0">
            <x v="35"/>
          </reference>
        </references>
      </pivotArea>
    </chartFormat>
    <chartFormat chart="5" format="1104">
      <pivotArea type="data" outline="0" fieldPosition="0">
        <references count="2">
          <reference field="4294967294" count="1" selected="0">
            <x v="0"/>
          </reference>
          <reference field="8" count="1" selected="0">
            <x v="130"/>
          </reference>
        </references>
      </pivotArea>
    </chartFormat>
    <chartFormat chart="5" format="110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2"/>
          </reference>
        </references>
      </pivotArea>
    </chartFormat>
    <chartFormat chart="5" format="1106">
      <pivotArea type="data" outline="0" fieldPosition="0">
        <references count="2">
          <reference field="4294967294" count="1" selected="0">
            <x v="0"/>
          </reference>
          <reference field="8" count="1" selected="0">
            <x v="26"/>
          </reference>
        </references>
      </pivotArea>
    </chartFormat>
    <chartFormat chart="5" format="1107">
      <pivotArea type="data" outline="0" fieldPosition="0">
        <references count="2">
          <reference field="4294967294" count="1" selected="0">
            <x v="0"/>
          </reference>
          <reference field="8" count="1" selected="0">
            <x v="120"/>
          </reference>
        </references>
      </pivotArea>
    </chartFormat>
    <chartFormat chart="5" format="1108">
      <pivotArea type="data" outline="0" fieldPosition="0">
        <references count="2">
          <reference field="4294967294" count="1" selected="0">
            <x v="0"/>
          </reference>
          <reference field="8" count="1" selected="0">
            <x v="87"/>
          </reference>
        </references>
      </pivotArea>
    </chartFormat>
    <chartFormat chart="5" format="1109">
      <pivotArea type="data" outline="0" fieldPosition="0">
        <references count="2">
          <reference field="4294967294" count="1" selected="0">
            <x v="0"/>
          </reference>
          <reference field="8" count="1" selected="0">
            <x v="36"/>
          </reference>
        </references>
      </pivotArea>
    </chartFormat>
    <chartFormat chart="5" format="1110">
      <pivotArea type="data" outline="0" fieldPosition="0">
        <references count="2">
          <reference field="4294967294" count="1" selected="0">
            <x v="0"/>
          </reference>
          <reference field="8" count="1" selected="0">
            <x v="95"/>
          </reference>
        </references>
      </pivotArea>
    </chartFormat>
    <chartFormat chart="5" format="11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2"/>
          </reference>
        </references>
      </pivotArea>
    </chartFormat>
    <chartFormat chart="5" format="1112">
      <pivotArea type="data" outline="0" fieldPosition="0">
        <references count="2">
          <reference field="4294967294" count="1" selected="0">
            <x v="0"/>
          </reference>
          <reference field="8" count="1" selected="0">
            <x v="97"/>
          </reference>
        </references>
      </pivotArea>
    </chartFormat>
    <chartFormat chart="5" format="1113">
      <pivotArea type="data" outline="0" fieldPosition="0">
        <references count="2">
          <reference field="4294967294" count="1" selected="0">
            <x v="0"/>
          </reference>
          <reference field="8" count="1" selected="0">
            <x v="71"/>
          </reference>
        </references>
      </pivotArea>
    </chartFormat>
    <chartFormat chart="5" format="11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1"/>
          </reference>
        </references>
      </pivotArea>
    </chartFormat>
    <chartFormat chart="5" format="111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8"/>
          </reference>
        </references>
      </pivotArea>
    </chartFormat>
    <chartFormat chart="5" format="1116">
      <pivotArea type="data" outline="0" fieldPosition="0">
        <references count="2">
          <reference field="4294967294" count="1" selected="0">
            <x v="0"/>
          </reference>
          <reference field="8" count="1" selected="0">
            <x v="133"/>
          </reference>
        </references>
      </pivotArea>
    </chartFormat>
    <chartFormat chart="5" format="111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5"/>
          </reference>
        </references>
      </pivotArea>
    </chartFormat>
    <chartFormat chart="5" format="1118">
      <pivotArea type="data" outline="0" fieldPosition="0">
        <references count="2">
          <reference field="4294967294" count="1" selected="0">
            <x v="0"/>
          </reference>
          <reference field="8" count="1" selected="0">
            <x v="131"/>
          </reference>
        </references>
      </pivotArea>
    </chartFormat>
    <chartFormat chart="5" format="1119">
      <pivotArea type="data" outline="0" fieldPosition="0">
        <references count="2">
          <reference field="4294967294" count="1" selected="0">
            <x v="0"/>
          </reference>
          <reference field="8" count="1" selected="0">
            <x v="69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2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8"/>
          </reference>
        </references>
      </pivotArea>
    </chartFormat>
    <chartFormat chart="11" format="322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11" format="323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11" format="324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11" format="325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11" format="326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11" format="327">
      <pivotArea type="data" outline="0" fieldPosition="0">
        <references count="2">
          <reference field="4294967294" count="1" selected="0">
            <x v="0"/>
          </reference>
          <reference field="8" count="1" selected="0">
            <x v="64"/>
          </reference>
        </references>
      </pivotArea>
    </chartFormat>
    <chartFormat chart="11" format="32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0"/>
          </reference>
        </references>
      </pivotArea>
    </chartFormat>
    <chartFormat chart="11" format="329">
      <pivotArea type="data" outline="0" fieldPosition="0">
        <references count="2">
          <reference field="4294967294" count="1" selected="0">
            <x v="0"/>
          </reference>
          <reference field="8" count="1" selected="0">
            <x v="28"/>
          </reference>
        </references>
      </pivotArea>
    </chartFormat>
    <chartFormat chart="11" format="330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11" format="33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11" format="332">
      <pivotArea type="data" outline="0" fieldPosition="0">
        <references count="2">
          <reference field="4294967294" count="1" selected="0">
            <x v="0"/>
          </reference>
          <reference field="8" count="1" selected="0">
            <x v="139"/>
          </reference>
        </references>
      </pivotArea>
    </chartFormat>
    <chartFormat chart="11" format="333">
      <pivotArea type="data" outline="0" fieldPosition="0">
        <references count="2">
          <reference field="4294967294" count="1" selected="0">
            <x v="0"/>
          </reference>
          <reference field="8" count="1" selected="0">
            <x v="52"/>
          </reference>
        </references>
      </pivotArea>
    </chartFormat>
    <chartFormat chart="11" format="334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11" format="335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11" format="336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11" format="337">
      <pivotArea type="data" outline="0" fieldPosition="0">
        <references count="2">
          <reference field="4294967294" count="1" selected="0">
            <x v="0"/>
          </reference>
          <reference field="8" count="1" selected="0">
            <x v="27"/>
          </reference>
        </references>
      </pivotArea>
    </chartFormat>
    <chartFormat chart="11" format="33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3"/>
          </reference>
        </references>
      </pivotArea>
    </chartFormat>
    <chartFormat chart="11" format="339">
      <pivotArea type="data" outline="0" fieldPosition="0">
        <references count="2">
          <reference field="4294967294" count="1" selected="0">
            <x v="0"/>
          </reference>
          <reference field="8" count="1" selected="0">
            <x v="45"/>
          </reference>
        </references>
      </pivotArea>
    </chartFormat>
    <chartFormat chart="11" format="340">
      <pivotArea type="data" outline="0" fieldPosition="0">
        <references count="2">
          <reference field="4294967294" count="1" selected="0">
            <x v="0"/>
          </reference>
          <reference field="8" count="1" selected="0">
            <x v="61"/>
          </reference>
        </references>
      </pivotArea>
    </chartFormat>
    <chartFormat chart="11" format="34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11" format="342">
      <pivotArea type="data" outline="0" fieldPosition="0">
        <references count="2">
          <reference field="4294967294" count="1" selected="0">
            <x v="0"/>
          </reference>
          <reference field="8" count="1" selected="0">
            <x v="153"/>
          </reference>
        </references>
      </pivotArea>
    </chartFormat>
    <chartFormat chart="11" format="343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11" format="34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0"/>
          </reference>
        </references>
      </pivotArea>
    </chartFormat>
    <chartFormat chart="11" format="34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11" format="346">
      <pivotArea type="data" outline="0" fieldPosition="0">
        <references count="2">
          <reference field="4294967294" count="1" selected="0">
            <x v="0"/>
          </reference>
          <reference field="8" count="1" selected="0">
            <x v="46"/>
          </reference>
        </references>
      </pivotArea>
    </chartFormat>
    <chartFormat chart="11" format="347">
      <pivotArea type="data" outline="0" fieldPosition="0">
        <references count="2">
          <reference field="4294967294" count="1" selected="0">
            <x v="0"/>
          </reference>
          <reference field="8" count="1" selected="0">
            <x v="68"/>
          </reference>
        </references>
      </pivotArea>
    </chartFormat>
    <chartFormat chart="11" format="348">
      <pivotArea type="data" outline="0" fieldPosition="0">
        <references count="2">
          <reference field="4294967294" count="1" selected="0">
            <x v="0"/>
          </reference>
          <reference field="8" count="1" selected="0">
            <x v="53"/>
          </reference>
        </references>
      </pivotArea>
    </chartFormat>
    <chartFormat chart="11" format="349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1" format="350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11" format="351">
      <pivotArea type="data" outline="0" fieldPosition="0">
        <references count="2">
          <reference field="4294967294" count="1" selected="0">
            <x v="0"/>
          </reference>
          <reference field="8" count="1" selected="0">
            <x v="34"/>
          </reference>
        </references>
      </pivotArea>
    </chartFormat>
    <chartFormat chart="11" format="352">
      <pivotArea type="data" outline="0" fieldPosition="0">
        <references count="2">
          <reference field="4294967294" count="1" selected="0">
            <x v="0"/>
          </reference>
          <reference field="8" count="1" selected="0">
            <x v="37"/>
          </reference>
        </references>
      </pivotArea>
    </chartFormat>
    <chartFormat chart="11" format="353">
      <pivotArea type="data" outline="0" fieldPosition="0">
        <references count="2">
          <reference field="4294967294" count="1" selected="0">
            <x v="0"/>
          </reference>
          <reference field="8" count="1" selected="0">
            <x v="54"/>
          </reference>
        </references>
      </pivotArea>
    </chartFormat>
    <chartFormat chart="11" format="354">
      <pivotArea type="data" outline="0" fieldPosition="0">
        <references count="2">
          <reference field="4294967294" count="1" selected="0">
            <x v="0"/>
          </reference>
          <reference field="8" count="1" selected="0">
            <x v="145"/>
          </reference>
        </references>
      </pivotArea>
    </chartFormat>
    <chartFormat chart="11" format="35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2"/>
          </reference>
        </references>
      </pivotArea>
    </chartFormat>
    <chartFormat chart="11" format="356">
      <pivotArea type="data" outline="0" fieldPosition="0">
        <references count="2">
          <reference field="4294967294" count="1" selected="0">
            <x v="0"/>
          </reference>
          <reference field="8" count="1" selected="0">
            <x v="86"/>
          </reference>
        </references>
      </pivotArea>
    </chartFormat>
    <chartFormat chart="11" format="357">
      <pivotArea type="data" outline="0" fieldPosition="0">
        <references count="2">
          <reference field="4294967294" count="1" selected="0">
            <x v="0"/>
          </reference>
          <reference field="8" count="1" selected="0">
            <x v="51"/>
          </reference>
        </references>
      </pivotArea>
    </chartFormat>
    <chartFormat chart="11" format="358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11" format="359">
      <pivotArea type="data" outline="0" fieldPosition="0">
        <references count="2">
          <reference field="4294967294" count="1" selected="0">
            <x v="0"/>
          </reference>
          <reference field="8" count="1" selected="0">
            <x v="40"/>
          </reference>
        </references>
      </pivotArea>
    </chartFormat>
    <chartFormat chart="11" format="360">
      <pivotArea type="data" outline="0" fieldPosition="0">
        <references count="2">
          <reference field="4294967294" count="1" selected="0">
            <x v="0"/>
          </reference>
          <reference field="8" count="1" selected="0">
            <x v="49"/>
          </reference>
        </references>
      </pivotArea>
    </chartFormat>
    <chartFormat chart="11" format="36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11" format="362">
      <pivotArea type="data" outline="0" fieldPosition="0">
        <references count="2">
          <reference field="4294967294" count="1" selected="0">
            <x v="0"/>
          </reference>
          <reference field="8" count="1" selected="0">
            <x v="78"/>
          </reference>
        </references>
      </pivotArea>
    </chartFormat>
    <chartFormat chart="11" format="363">
      <pivotArea type="data" outline="0" fieldPosition="0">
        <references count="2">
          <reference field="4294967294" count="1" selected="0">
            <x v="0"/>
          </reference>
          <reference field="8" count="1" selected="0">
            <x v="81"/>
          </reference>
        </references>
      </pivotArea>
    </chartFormat>
    <chartFormat chart="11" format="36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4"/>
          </reference>
        </references>
      </pivotArea>
    </chartFormat>
    <chartFormat chart="11" format="36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1" format="366">
      <pivotArea type="data" outline="0" fieldPosition="0">
        <references count="2">
          <reference field="4294967294" count="1" selected="0">
            <x v="0"/>
          </reference>
          <reference field="8" count="1" selected="0">
            <x v="144"/>
          </reference>
        </references>
      </pivotArea>
    </chartFormat>
    <chartFormat chart="11" format="36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8"/>
          </reference>
        </references>
      </pivotArea>
    </chartFormat>
    <chartFormat chart="11" format="368">
      <pivotArea type="data" outline="0" fieldPosition="0">
        <references count="2">
          <reference field="4294967294" count="1" selected="0">
            <x v="0"/>
          </reference>
          <reference field="8" count="1" selected="0">
            <x v="47"/>
          </reference>
        </references>
      </pivotArea>
    </chartFormat>
    <chartFormat chart="11" format="369">
      <pivotArea type="data" outline="0" fieldPosition="0">
        <references count="2">
          <reference field="4294967294" count="1" selected="0">
            <x v="0"/>
          </reference>
          <reference field="8" count="1" selected="0">
            <x v="63"/>
          </reference>
        </references>
      </pivotArea>
    </chartFormat>
    <chartFormat chart="11" format="370">
      <pivotArea type="data" outline="0" fieldPosition="0">
        <references count="2">
          <reference field="4294967294" count="1" selected="0">
            <x v="0"/>
          </reference>
          <reference field="8" count="1" selected="0">
            <x v="112"/>
          </reference>
        </references>
      </pivotArea>
    </chartFormat>
    <chartFormat chart="11" format="371">
      <pivotArea type="data" outline="0" fieldPosition="0">
        <references count="2">
          <reference field="4294967294" count="1" selected="0">
            <x v="0"/>
          </reference>
          <reference field="8" count="1" selected="0">
            <x v="31"/>
          </reference>
        </references>
      </pivotArea>
    </chartFormat>
    <chartFormat chart="11" format="372">
      <pivotArea type="data" outline="0" fieldPosition="0">
        <references count="2">
          <reference field="4294967294" count="1" selected="0">
            <x v="0"/>
          </reference>
          <reference field="8" count="1" selected="0">
            <x v="73"/>
          </reference>
        </references>
      </pivotArea>
    </chartFormat>
    <chartFormat chart="11" format="373">
      <pivotArea type="data" outline="0" fieldPosition="0">
        <references count="2">
          <reference field="4294967294" count="1" selected="0">
            <x v="0"/>
          </reference>
          <reference field="8" count="1" selected="0">
            <x v="83"/>
          </reference>
        </references>
      </pivotArea>
    </chartFormat>
    <chartFormat chart="11" format="374">
      <pivotArea type="data" outline="0" fieldPosition="0">
        <references count="2">
          <reference field="4294967294" count="1" selected="0">
            <x v="0"/>
          </reference>
          <reference field="8" count="1" selected="0">
            <x v="79"/>
          </reference>
        </references>
      </pivotArea>
    </chartFormat>
    <chartFormat chart="11" format="37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11" format="376">
      <pivotArea type="data" outline="0" fieldPosition="0">
        <references count="2">
          <reference field="4294967294" count="1" selected="0">
            <x v="0"/>
          </reference>
          <reference field="8" count="1" selected="0">
            <x v="82"/>
          </reference>
        </references>
      </pivotArea>
    </chartFormat>
    <chartFormat chart="11" format="377">
      <pivotArea type="data" outline="0" fieldPosition="0">
        <references count="2">
          <reference field="4294967294" count="1" selected="0">
            <x v="0"/>
          </reference>
          <reference field="8" count="1" selected="0">
            <x v="62"/>
          </reference>
        </references>
      </pivotArea>
    </chartFormat>
    <chartFormat chart="11" format="378">
      <pivotArea type="data" outline="0" fieldPosition="0">
        <references count="2">
          <reference field="4294967294" count="1" selected="0">
            <x v="0"/>
          </reference>
          <reference field="8" count="1" selected="0">
            <x v="88"/>
          </reference>
        </references>
      </pivotArea>
    </chartFormat>
    <chartFormat chart="11" format="379">
      <pivotArea type="data" outline="0" fieldPosition="0">
        <references count="2">
          <reference field="4294967294" count="1" selected="0">
            <x v="0"/>
          </reference>
          <reference field="8" count="1" selected="0">
            <x v="90"/>
          </reference>
        </references>
      </pivotArea>
    </chartFormat>
    <chartFormat chart="11" format="380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11" format="38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8"/>
          </reference>
        </references>
      </pivotArea>
    </chartFormat>
    <chartFormat chart="11" format="382">
      <pivotArea type="data" outline="0" fieldPosition="0">
        <references count="2">
          <reference field="4294967294" count="1" selected="0">
            <x v="0"/>
          </reference>
          <reference field="8" count="1" selected="0">
            <x v="66"/>
          </reference>
        </references>
      </pivotArea>
    </chartFormat>
    <chartFormat chart="11" format="383">
      <pivotArea type="data" outline="0" fieldPosition="0">
        <references count="2">
          <reference field="4294967294" count="1" selected="0">
            <x v="0"/>
          </reference>
          <reference field="8" count="1" selected="0">
            <x v="60"/>
          </reference>
        </references>
      </pivotArea>
    </chartFormat>
    <chartFormat chart="11" format="384">
      <pivotArea type="data" outline="0" fieldPosition="0">
        <references count="2">
          <reference field="4294967294" count="1" selected="0">
            <x v="0"/>
          </reference>
          <reference field="8" count="1" selected="0">
            <x v="50"/>
          </reference>
        </references>
      </pivotArea>
    </chartFormat>
    <chartFormat chart="11" format="385">
      <pivotArea type="data" outline="0" fieldPosition="0">
        <references count="2">
          <reference field="4294967294" count="1" selected="0">
            <x v="0"/>
          </reference>
          <reference field="8" count="1" selected="0">
            <x v="57"/>
          </reference>
        </references>
      </pivotArea>
    </chartFormat>
    <chartFormat chart="11" format="386">
      <pivotArea type="data" outline="0" fieldPosition="0">
        <references count="2">
          <reference field="4294967294" count="1" selected="0">
            <x v="0"/>
          </reference>
          <reference field="8" count="1" selected="0">
            <x v="93"/>
          </reference>
        </references>
      </pivotArea>
    </chartFormat>
    <chartFormat chart="11" format="387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1" format="38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1" format="389">
      <pivotArea type="data" outline="0" fieldPosition="0">
        <references count="2">
          <reference field="4294967294" count="1" selected="0">
            <x v="0"/>
          </reference>
          <reference field="8" count="1" selected="0">
            <x v="137"/>
          </reference>
        </references>
      </pivotArea>
    </chartFormat>
    <chartFormat chart="11" format="390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1" format="391">
      <pivotArea type="data" outline="0" fieldPosition="0">
        <references count="2">
          <reference field="4294967294" count="1" selected="0">
            <x v="0"/>
          </reference>
          <reference field="8" count="1" selected="0">
            <x v="32"/>
          </reference>
        </references>
      </pivotArea>
    </chartFormat>
    <chartFormat chart="11" format="39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4"/>
          </reference>
        </references>
      </pivotArea>
    </chartFormat>
    <chartFormat chart="11" format="39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3"/>
          </reference>
        </references>
      </pivotArea>
    </chartFormat>
    <chartFormat chart="11" format="39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11" format="395">
      <pivotArea type="data" outline="0" fieldPosition="0">
        <references count="2">
          <reference field="4294967294" count="1" selected="0">
            <x v="0"/>
          </reference>
          <reference field="8" count="1" selected="0">
            <x v="30"/>
          </reference>
        </references>
      </pivotArea>
    </chartFormat>
    <chartFormat chart="11" format="396">
      <pivotArea type="data" outline="0" fieldPosition="0">
        <references count="2">
          <reference field="4294967294" count="1" selected="0">
            <x v="0"/>
          </reference>
          <reference field="8" count="1" selected="0">
            <x v="103"/>
          </reference>
        </references>
      </pivotArea>
    </chartFormat>
    <chartFormat chart="11" format="397">
      <pivotArea type="data" outline="0" fieldPosition="0">
        <references count="2">
          <reference field="4294967294" count="1" selected="0">
            <x v="0"/>
          </reference>
          <reference field="8" count="1" selected="0">
            <x v="89"/>
          </reference>
        </references>
      </pivotArea>
    </chartFormat>
    <chartFormat chart="11" format="398">
      <pivotArea type="data" outline="0" fieldPosition="0">
        <references count="2">
          <reference field="4294967294" count="1" selected="0">
            <x v="0"/>
          </reference>
          <reference field="8" count="1" selected="0">
            <x v="91"/>
          </reference>
        </references>
      </pivotArea>
    </chartFormat>
    <chartFormat chart="11" format="399">
      <pivotArea type="data" outline="0" fieldPosition="0">
        <references count="2">
          <reference field="4294967294" count="1" selected="0">
            <x v="0"/>
          </reference>
          <reference field="8" count="1" selected="0">
            <x v="44"/>
          </reference>
        </references>
      </pivotArea>
    </chartFormat>
    <chartFormat chart="11" format="400">
      <pivotArea type="data" outline="0" fieldPosition="0">
        <references count="2">
          <reference field="4294967294" count="1" selected="0">
            <x v="0"/>
          </reference>
          <reference field="8" count="1" selected="0">
            <x v="157"/>
          </reference>
        </references>
      </pivotArea>
    </chartFormat>
    <chartFormat chart="11" format="40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0"/>
          </reference>
        </references>
      </pivotArea>
    </chartFormat>
    <chartFormat chart="11" format="402">
      <pivotArea type="data" outline="0" fieldPosition="0">
        <references count="2">
          <reference field="4294967294" count="1" selected="0">
            <x v="0"/>
          </reference>
          <reference field="8" count="1" selected="0">
            <x v="38"/>
          </reference>
        </references>
      </pivotArea>
    </chartFormat>
    <chartFormat chart="11" format="403">
      <pivotArea type="data" outline="0" fieldPosition="0">
        <references count="2">
          <reference field="4294967294" count="1" selected="0">
            <x v="0"/>
          </reference>
          <reference field="8" count="1" selected="0">
            <x v="77"/>
          </reference>
        </references>
      </pivotArea>
    </chartFormat>
    <chartFormat chart="11" format="404">
      <pivotArea type="data" outline="0" fieldPosition="0">
        <references count="2">
          <reference field="4294967294" count="1" selected="0">
            <x v="0"/>
          </reference>
          <reference field="8" count="1" selected="0">
            <x v="59"/>
          </reference>
        </references>
      </pivotArea>
    </chartFormat>
    <chartFormat chart="11" format="405">
      <pivotArea type="data" outline="0" fieldPosition="0">
        <references count="2">
          <reference field="4294967294" count="1" selected="0">
            <x v="0"/>
          </reference>
          <reference field="8" count="1" selected="0">
            <x v="58"/>
          </reference>
        </references>
      </pivotArea>
    </chartFormat>
    <chartFormat chart="11" format="406">
      <pivotArea type="data" outline="0" fieldPosition="0">
        <references count="2">
          <reference field="4294967294" count="1" selected="0">
            <x v="0"/>
          </reference>
          <reference field="8" count="1" selected="0">
            <x v="141"/>
          </reference>
        </references>
      </pivotArea>
    </chartFormat>
    <chartFormat chart="11" format="40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6"/>
          </reference>
        </references>
      </pivotArea>
    </chartFormat>
    <chartFormat chart="11" format="408">
      <pivotArea type="data" outline="0" fieldPosition="0">
        <references count="2">
          <reference field="4294967294" count="1" selected="0">
            <x v="0"/>
          </reference>
          <reference field="8" count="1" selected="0">
            <x v="99"/>
          </reference>
        </references>
      </pivotArea>
    </chartFormat>
    <chartFormat chart="11" format="409">
      <pivotArea type="data" outline="0" fieldPosition="0">
        <references count="2">
          <reference field="4294967294" count="1" selected="0">
            <x v="0"/>
          </reference>
          <reference field="8" count="1" selected="0">
            <x v="76"/>
          </reference>
        </references>
      </pivotArea>
    </chartFormat>
    <chartFormat chart="11" format="410">
      <pivotArea type="data" outline="0" fieldPosition="0">
        <references count="2">
          <reference field="4294967294" count="1" selected="0">
            <x v="0"/>
          </reference>
          <reference field="8" count="1" selected="0">
            <x v="65"/>
          </reference>
        </references>
      </pivotArea>
    </chartFormat>
    <chartFormat chart="11" format="4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4"/>
          </reference>
        </references>
      </pivotArea>
    </chartFormat>
    <chartFormat chart="11" format="4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8"/>
          </reference>
        </references>
      </pivotArea>
    </chartFormat>
    <chartFormat chart="11" format="413">
      <pivotArea type="data" outline="0" fieldPosition="0">
        <references count="2">
          <reference field="4294967294" count="1" selected="0">
            <x v="0"/>
          </reference>
          <reference field="8" count="1" selected="0">
            <x v="155"/>
          </reference>
        </references>
      </pivotArea>
    </chartFormat>
    <chartFormat chart="11" format="4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46"/>
          </reference>
        </references>
      </pivotArea>
    </chartFormat>
    <chartFormat chart="11" format="41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1" format="416">
      <pivotArea type="data" outline="0" fieldPosition="0">
        <references count="2">
          <reference field="4294967294" count="1" selected="0">
            <x v="0"/>
          </reference>
          <reference field="8" count="1" selected="0">
            <x v="43"/>
          </reference>
        </references>
      </pivotArea>
    </chartFormat>
    <chartFormat chart="11" format="417">
      <pivotArea type="data" outline="0" fieldPosition="0">
        <references count="2">
          <reference field="4294967294" count="1" selected="0">
            <x v="0"/>
          </reference>
          <reference field="8" count="1" selected="0">
            <x v="55"/>
          </reference>
        </references>
      </pivotArea>
    </chartFormat>
    <chartFormat chart="11" format="418">
      <pivotArea type="data" outline="0" fieldPosition="0">
        <references count="2">
          <reference field="4294967294" count="1" selected="0">
            <x v="0"/>
          </reference>
          <reference field="8" count="1" selected="0">
            <x v="109"/>
          </reference>
        </references>
      </pivotArea>
    </chartFormat>
    <chartFormat chart="11" format="419">
      <pivotArea type="data" outline="0" fieldPosition="0">
        <references count="2">
          <reference field="4294967294" count="1" selected="0">
            <x v="0"/>
          </reference>
          <reference field="8" count="1" selected="0">
            <x v="48"/>
          </reference>
        </references>
      </pivotArea>
    </chartFormat>
    <chartFormat chart="11" format="420">
      <pivotArea type="data" outline="0" fieldPosition="0">
        <references count="2">
          <reference field="4294967294" count="1" selected="0">
            <x v="0"/>
          </reference>
          <reference field="8" count="1" selected="0">
            <x v="94"/>
          </reference>
        </references>
      </pivotArea>
    </chartFormat>
    <chartFormat chart="11" format="42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11" format="422">
      <pivotArea type="data" outline="0" fieldPosition="0">
        <references count="2">
          <reference field="4294967294" count="1" selected="0">
            <x v="0"/>
          </reference>
          <reference field="8" count="1" selected="0">
            <x v="98"/>
          </reference>
        </references>
      </pivotArea>
    </chartFormat>
    <chartFormat chart="11" format="423">
      <pivotArea type="data" outline="0" fieldPosition="0">
        <references count="2">
          <reference field="4294967294" count="1" selected="0">
            <x v="0"/>
          </reference>
          <reference field="8" count="1" selected="0">
            <x v="33"/>
          </reference>
        </references>
      </pivotArea>
    </chartFormat>
    <chartFormat chart="11" format="42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6"/>
          </reference>
        </references>
      </pivotArea>
    </chartFormat>
    <chartFormat chart="11" format="425">
      <pivotArea type="data" outline="0" fieldPosition="0">
        <references count="2">
          <reference field="4294967294" count="1" selected="0">
            <x v="0"/>
          </reference>
          <reference field="8" count="1" selected="0">
            <x v="84"/>
          </reference>
        </references>
      </pivotArea>
    </chartFormat>
    <chartFormat chart="11" format="426">
      <pivotArea type="data" outline="0" fieldPosition="0">
        <references count="2">
          <reference field="4294967294" count="1" selected="0">
            <x v="0"/>
          </reference>
          <reference field="8" count="1" selected="0">
            <x v="67"/>
          </reference>
        </references>
      </pivotArea>
    </chartFormat>
    <chartFormat chart="11" format="427">
      <pivotArea type="data" outline="0" fieldPosition="0">
        <references count="2">
          <reference field="4294967294" count="1" selected="0">
            <x v="0"/>
          </reference>
          <reference field="8" count="1" selected="0">
            <x v="80"/>
          </reference>
        </references>
      </pivotArea>
    </chartFormat>
    <chartFormat chart="11" format="42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9"/>
          </reference>
        </references>
      </pivotArea>
    </chartFormat>
    <chartFormat chart="11" format="429">
      <pivotArea type="data" outline="0" fieldPosition="0">
        <references count="2">
          <reference field="4294967294" count="1" selected="0">
            <x v="0"/>
          </reference>
          <reference field="8" count="1" selected="0">
            <x v="124"/>
          </reference>
        </references>
      </pivotArea>
    </chartFormat>
    <chartFormat chart="11" format="430">
      <pivotArea type="data" outline="0" fieldPosition="0">
        <references count="2">
          <reference field="4294967294" count="1" selected="0">
            <x v="0"/>
          </reference>
          <reference field="8" count="1" selected="0">
            <x v="107"/>
          </reference>
        </references>
      </pivotArea>
    </chartFormat>
    <chartFormat chart="11" format="43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6"/>
          </reference>
        </references>
      </pivotArea>
    </chartFormat>
    <chartFormat chart="11" format="432">
      <pivotArea type="data" outline="0" fieldPosition="0">
        <references count="2">
          <reference field="4294967294" count="1" selected="0">
            <x v="0"/>
          </reference>
          <reference field="8" count="1" selected="0">
            <x v="96"/>
          </reference>
        </references>
      </pivotArea>
    </chartFormat>
    <chartFormat chart="11" format="433">
      <pivotArea type="data" outline="0" fieldPosition="0">
        <references count="2">
          <reference field="4294967294" count="1" selected="0">
            <x v="0"/>
          </reference>
          <reference field="8" count="1" selected="0">
            <x v="125"/>
          </reference>
        </references>
      </pivotArea>
    </chartFormat>
    <chartFormat chart="11" format="434">
      <pivotArea type="data" outline="0" fieldPosition="0">
        <references count="2">
          <reference field="4294967294" count="1" selected="0">
            <x v="0"/>
          </reference>
          <reference field="8" count="1" selected="0">
            <x v="105"/>
          </reference>
        </references>
      </pivotArea>
    </chartFormat>
    <chartFormat chart="11" format="43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1" format="436">
      <pivotArea type="data" outline="0" fieldPosition="0">
        <references count="2">
          <reference field="4294967294" count="1" selected="0">
            <x v="0"/>
          </reference>
          <reference field="8" count="1" selected="0">
            <x v="70"/>
          </reference>
        </references>
      </pivotArea>
    </chartFormat>
    <chartFormat chart="11" format="437">
      <pivotArea type="data" outline="0" fieldPosition="0">
        <references count="2">
          <reference field="4294967294" count="1" selected="0">
            <x v="0"/>
          </reference>
          <reference field="8" count="1" selected="0">
            <x v="110"/>
          </reference>
        </references>
      </pivotArea>
    </chartFormat>
    <chartFormat chart="11" format="438">
      <pivotArea type="data" outline="0" fieldPosition="0">
        <references count="2">
          <reference field="4294967294" count="1" selected="0">
            <x v="0"/>
          </reference>
          <reference field="8" count="1" selected="0">
            <x v="85"/>
          </reference>
        </references>
      </pivotArea>
    </chartFormat>
    <chartFormat chart="11" format="439">
      <pivotArea type="data" outline="0" fieldPosition="0">
        <references count="2">
          <reference field="4294967294" count="1" selected="0">
            <x v="0"/>
          </reference>
          <reference field="8" count="1" selected="0">
            <x v="74"/>
          </reference>
        </references>
      </pivotArea>
    </chartFormat>
    <chartFormat chart="11" format="440">
      <pivotArea type="data" outline="0" fieldPosition="0">
        <references count="2">
          <reference field="4294967294" count="1" selected="0">
            <x v="0"/>
          </reference>
          <reference field="8" count="1" selected="0">
            <x v="123"/>
          </reference>
        </references>
      </pivotArea>
    </chartFormat>
    <chartFormat chart="11" format="44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7"/>
          </reference>
        </references>
      </pivotArea>
    </chartFormat>
    <chartFormat chart="11" format="442">
      <pivotArea type="data" outline="0" fieldPosition="0">
        <references count="2">
          <reference field="4294967294" count="1" selected="0">
            <x v="0"/>
          </reference>
          <reference field="8" count="1" selected="0">
            <x v="41"/>
          </reference>
        </references>
      </pivotArea>
    </chartFormat>
    <chartFormat chart="11" format="44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1"/>
          </reference>
        </references>
      </pivotArea>
    </chartFormat>
    <chartFormat chart="11" format="444">
      <pivotArea type="data" outline="0" fieldPosition="0">
        <references count="2">
          <reference field="4294967294" count="1" selected="0">
            <x v="0"/>
          </reference>
          <reference field="8" count="1" selected="0">
            <x v="116"/>
          </reference>
        </references>
      </pivotArea>
    </chartFormat>
    <chartFormat chart="11" format="44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1"/>
          </reference>
        </references>
      </pivotArea>
    </chartFormat>
    <chartFormat chart="11" format="446">
      <pivotArea type="data" outline="0" fieldPosition="0">
        <references count="2">
          <reference field="4294967294" count="1" selected="0">
            <x v="0"/>
          </reference>
          <reference field="8" count="1" selected="0">
            <x v="115"/>
          </reference>
        </references>
      </pivotArea>
    </chartFormat>
    <chartFormat chart="11" format="447">
      <pivotArea type="data" outline="0" fieldPosition="0">
        <references count="2">
          <reference field="4294967294" count="1" selected="0">
            <x v="0"/>
          </reference>
          <reference field="8" count="1" selected="0">
            <x v="42"/>
          </reference>
        </references>
      </pivotArea>
    </chartFormat>
    <chartFormat chart="11" format="448">
      <pivotArea type="data" outline="0" fieldPosition="0">
        <references count="2">
          <reference field="4294967294" count="1" selected="0">
            <x v="0"/>
          </reference>
          <reference field="8" count="1" selected="0">
            <x v="104"/>
          </reference>
        </references>
      </pivotArea>
    </chartFormat>
    <chartFormat chart="11" format="449">
      <pivotArea type="data" outline="0" fieldPosition="0">
        <references count="2">
          <reference field="4294967294" count="1" selected="0">
            <x v="0"/>
          </reference>
          <reference field="8" count="1" selected="0">
            <x v="147"/>
          </reference>
        </references>
      </pivotArea>
    </chartFormat>
    <chartFormat chart="11" format="450">
      <pivotArea type="data" outline="0" fieldPosition="0">
        <references count="2">
          <reference field="4294967294" count="1" selected="0">
            <x v="0"/>
          </reference>
          <reference field="8" count="1" selected="0">
            <x v="56"/>
          </reference>
        </references>
      </pivotArea>
    </chartFormat>
    <chartFormat chart="11" format="45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6"/>
          </reference>
        </references>
      </pivotArea>
    </chartFormat>
    <chartFormat chart="11" format="45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9"/>
          </reference>
        </references>
      </pivotArea>
    </chartFormat>
    <chartFormat chart="11" format="453">
      <pivotArea type="data" outline="0" fieldPosition="0">
        <references count="2">
          <reference field="4294967294" count="1" selected="0">
            <x v="0"/>
          </reference>
          <reference field="8" count="1" selected="0">
            <x v="92"/>
          </reference>
        </references>
      </pivotArea>
    </chartFormat>
    <chartFormat chart="11" format="45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2"/>
          </reference>
        </references>
      </pivotArea>
    </chartFormat>
    <chartFormat chart="11" format="455">
      <pivotArea type="data" outline="0" fieldPosition="0">
        <references count="2">
          <reference field="4294967294" count="1" selected="0">
            <x v="0"/>
          </reference>
          <reference field="8" count="1" selected="0">
            <x v="39"/>
          </reference>
        </references>
      </pivotArea>
    </chartFormat>
    <chartFormat chart="11" format="456">
      <pivotArea type="data" outline="0" fieldPosition="0">
        <references count="2">
          <reference field="4294967294" count="1" selected="0">
            <x v="0"/>
          </reference>
          <reference field="8" count="1" selected="0">
            <x v="72"/>
          </reference>
        </references>
      </pivotArea>
    </chartFormat>
    <chartFormat chart="11" format="457">
      <pivotArea type="data" outline="0" fieldPosition="0">
        <references count="2">
          <reference field="4294967294" count="1" selected="0">
            <x v="0"/>
          </reference>
          <reference field="8" count="1" selected="0">
            <x v="129"/>
          </reference>
        </references>
      </pivotArea>
    </chartFormat>
    <chartFormat chart="11" format="458">
      <pivotArea type="data" outline="0" fieldPosition="0">
        <references count="2">
          <reference field="4294967294" count="1" selected="0">
            <x v="0"/>
          </reference>
          <reference field="8" count="1" selected="0">
            <x v="75"/>
          </reference>
        </references>
      </pivotArea>
    </chartFormat>
    <chartFormat chart="11" format="459">
      <pivotArea type="data" outline="0" fieldPosition="0">
        <references count="2">
          <reference field="4294967294" count="1" selected="0">
            <x v="0"/>
          </reference>
          <reference field="8" count="1" selected="0">
            <x v="127"/>
          </reference>
        </references>
      </pivotArea>
    </chartFormat>
    <chartFormat chart="11" format="460">
      <pivotArea type="data" outline="0" fieldPosition="0">
        <references count="2">
          <reference field="4294967294" count="1" selected="0">
            <x v="0"/>
          </reference>
          <reference field="8" count="1" selected="0">
            <x v="151"/>
          </reference>
        </references>
      </pivotArea>
    </chartFormat>
    <chartFormat chart="11" format="46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2"/>
          </reference>
        </references>
      </pivotArea>
    </chartFormat>
    <chartFormat chart="11" format="462">
      <pivotArea type="data" outline="0" fieldPosition="0">
        <references count="2">
          <reference field="4294967294" count="1" selected="0">
            <x v="0"/>
          </reference>
          <reference field="8" count="1" selected="0">
            <x v="158"/>
          </reference>
        </references>
      </pivotArea>
    </chartFormat>
    <chartFormat chart="11" format="463">
      <pivotArea type="data" outline="0" fieldPosition="0">
        <references count="2">
          <reference field="4294967294" count="1" selected="0">
            <x v="0"/>
          </reference>
          <reference field="8" count="1" selected="0">
            <x v="35"/>
          </reference>
        </references>
      </pivotArea>
    </chartFormat>
    <chartFormat chart="11" format="464">
      <pivotArea type="data" outline="0" fieldPosition="0">
        <references count="2">
          <reference field="4294967294" count="1" selected="0">
            <x v="0"/>
          </reference>
          <reference field="8" count="1" selected="0">
            <x v="130"/>
          </reference>
        </references>
      </pivotArea>
    </chartFormat>
    <chartFormat chart="11" format="46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2"/>
          </reference>
        </references>
      </pivotArea>
    </chartFormat>
    <chartFormat chart="11" format="466">
      <pivotArea type="data" outline="0" fieldPosition="0">
        <references count="2">
          <reference field="4294967294" count="1" selected="0">
            <x v="0"/>
          </reference>
          <reference field="8" count="1" selected="0">
            <x v="26"/>
          </reference>
        </references>
      </pivotArea>
    </chartFormat>
    <chartFormat chart="11" format="467">
      <pivotArea type="data" outline="0" fieldPosition="0">
        <references count="2">
          <reference field="4294967294" count="1" selected="0">
            <x v="0"/>
          </reference>
          <reference field="8" count="1" selected="0">
            <x v="120"/>
          </reference>
        </references>
      </pivotArea>
    </chartFormat>
    <chartFormat chart="11" format="468">
      <pivotArea type="data" outline="0" fieldPosition="0">
        <references count="2">
          <reference field="4294967294" count="1" selected="0">
            <x v="0"/>
          </reference>
          <reference field="8" count="1" selected="0">
            <x v="87"/>
          </reference>
        </references>
      </pivotArea>
    </chartFormat>
    <chartFormat chart="11" format="469">
      <pivotArea type="data" outline="0" fieldPosition="0">
        <references count="2">
          <reference field="4294967294" count="1" selected="0">
            <x v="0"/>
          </reference>
          <reference field="8" count="1" selected="0">
            <x v="36"/>
          </reference>
        </references>
      </pivotArea>
    </chartFormat>
    <chartFormat chart="11" format="470">
      <pivotArea type="data" outline="0" fieldPosition="0">
        <references count="2">
          <reference field="4294967294" count="1" selected="0">
            <x v="0"/>
          </reference>
          <reference field="8" count="1" selected="0">
            <x v="95"/>
          </reference>
        </references>
      </pivotArea>
    </chartFormat>
    <chartFormat chart="11" format="47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2"/>
          </reference>
        </references>
      </pivotArea>
    </chartFormat>
    <chartFormat chart="11" format="472">
      <pivotArea type="data" outline="0" fieldPosition="0">
        <references count="2">
          <reference field="4294967294" count="1" selected="0">
            <x v="0"/>
          </reference>
          <reference field="8" count="1" selected="0">
            <x v="97"/>
          </reference>
        </references>
      </pivotArea>
    </chartFormat>
    <chartFormat chart="11" format="473">
      <pivotArea type="data" outline="0" fieldPosition="0">
        <references count="2">
          <reference field="4294967294" count="1" selected="0">
            <x v="0"/>
          </reference>
          <reference field="8" count="1" selected="0">
            <x v="71"/>
          </reference>
        </references>
      </pivotArea>
    </chartFormat>
    <chartFormat chart="11" format="47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1"/>
          </reference>
        </references>
      </pivotArea>
    </chartFormat>
    <chartFormat chart="11" format="47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8"/>
          </reference>
        </references>
      </pivotArea>
    </chartFormat>
    <chartFormat chart="11" format="476">
      <pivotArea type="data" outline="0" fieldPosition="0">
        <references count="2">
          <reference field="4294967294" count="1" selected="0">
            <x v="0"/>
          </reference>
          <reference field="8" count="1" selected="0">
            <x v="133"/>
          </reference>
        </references>
      </pivotArea>
    </chartFormat>
    <chartFormat chart="11" format="47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5"/>
          </reference>
        </references>
      </pivotArea>
    </chartFormat>
    <chartFormat chart="11" format="478">
      <pivotArea type="data" outline="0" fieldPosition="0">
        <references count="2">
          <reference field="4294967294" count="1" selected="0">
            <x v="0"/>
          </reference>
          <reference field="8" count="1" selected="0">
            <x v="131"/>
          </reference>
        </references>
      </pivotArea>
    </chartFormat>
    <chartFormat chart="11" format="479">
      <pivotArea type="data" outline="0" fieldPosition="0">
        <references count="2">
          <reference field="4294967294" count="1" selected="0">
            <x v="0"/>
          </reference>
          <reference field="8" count="1" selected="0">
            <x v="69"/>
          </reference>
        </references>
      </pivotArea>
    </chartFormat>
    <chartFormat chart="12" format="6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4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8"/>
          </reference>
        </references>
      </pivotArea>
    </chartFormat>
    <chartFormat chart="12" format="642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12" format="643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12" format="644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12" format="645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12" format="646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12" format="647">
      <pivotArea type="data" outline="0" fieldPosition="0">
        <references count="2">
          <reference field="4294967294" count="1" selected="0">
            <x v="0"/>
          </reference>
          <reference field="8" count="1" selected="0">
            <x v="64"/>
          </reference>
        </references>
      </pivotArea>
    </chartFormat>
    <chartFormat chart="12" format="64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0"/>
          </reference>
        </references>
      </pivotArea>
    </chartFormat>
    <chartFormat chart="12" format="649">
      <pivotArea type="data" outline="0" fieldPosition="0">
        <references count="2">
          <reference field="4294967294" count="1" selected="0">
            <x v="0"/>
          </reference>
          <reference field="8" count="1" selected="0">
            <x v="28"/>
          </reference>
        </references>
      </pivotArea>
    </chartFormat>
    <chartFormat chart="12" format="650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12" format="65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12" format="652">
      <pivotArea type="data" outline="0" fieldPosition="0">
        <references count="2">
          <reference field="4294967294" count="1" selected="0">
            <x v="0"/>
          </reference>
          <reference field="8" count="1" selected="0">
            <x v="139"/>
          </reference>
        </references>
      </pivotArea>
    </chartFormat>
    <chartFormat chart="12" format="653">
      <pivotArea type="data" outline="0" fieldPosition="0">
        <references count="2">
          <reference field="4294967294" count="1" selected="0">
            <x v="0"/>
          </reference>
          <reference field="8" count="1" selected="0">
            <x v="52"/>
          </reference>
        </references>
      </pivotArea>
    </chartFormat>
    <chartFormat chart="12" format="654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12" format="655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12" format="656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12" format="657">
      <pivotArea type="data" outline="0" fieldPosition="0">
        <references count="2">
          <reference field="4294967294" count="1" selected="0">
            <x v="0"/>
          </reference>
          <reference field="8" count="1" selected="0">
            <x v="27"/>
          </reference>
        </references>
      </pivotArea>
    </chartFormat>
    <chartFormat chart="12" format="65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3"/>
          </reference>
        </references>
      </pivotArea>
    </chartFormat>
    <chartFormat chart="12" format="659">
      <pivotArea type="data" outline="0" fieldPosition="0">
        <references count="2">
          <reference field="4294967294" count="1" selected="0">
            <x v="0"/>
          </reference>
          <reference field="8" count="1" selected="0">
            <x v="45"/>
          </reference>
        </references>
      </pivotArea>
    </chartFormat>
    <chartFormat chart="12" format="660">
      <pivotArea type="data" outline="0" fieldPosition="0">
        <references count="2">
          <reference field="4294967294" count="1" selected="0">
            <x v="0"/>
          </reference>
          <reference field="8" count="1" selected="0">
            <x v="61"/>
          </reference>
        </references>
      </pivotArea>
    </chartFormat>
    <chartFormat chart="12" format="66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12" format="662">
      <pivotArea type="data" outline="0" fieldPosition="0">
        <references count="2">
          <reference field="4294967294" count="1" selected="0">
            <x v="0"/>
          </reference>
          <reference field="8" count="1" selected="0">
            <x v="153"/>
          </reference>
        </references>
      </pivotArea>
    </chartFormat>
    <chartFormat chart="12" format="663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12" format="66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0"/>
          </reference>
        </references>
      </pivotArea>
    </chartFormat>
    <chartFormat chart="12" format="66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12" format="666">
      <pivotArea type="data" outline="0" fieldPosition="0">
        <references count="2">
          <reference field="4294967294" count="1" selected="0">
            <x v="0"/>
          </reference>
          <reference field="8" count="1" selected="0">
            <x v="46"/>
          </reference>
        </references>
      </pivotArea>
    </chartFormat>
    <chartFormat chart="12" format="667">
      <pivotArea type="data" outline="0" fieldPosition="0">
        <references count="2">
          <reference field="4294967294" count="1" selected="0">
            <x v="0"/>
          </reference>
          <reference field="8" count="1" selected="0">
            <x v="68"/>
          </reference>
        </references>
      </pivotArea>
    </chartFormat>
    <chartFormat chart="12" format="668">
      <pivotArea type="data" outline="0" fieldPosition="0">
        <references count="2">
          <reference field="4294967294" count="1" selected="0">
            <x v="0"/>
          </reference>
          <reference field="8" count="1" selected="0">
            <x v="53"/>
          </reference>
        </references>
      </pivotArea>
    </chartFormat>
    <chartFormat chart="12" format="669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2" format="670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12" format="671">
      <pivotArea type="data" outline="0" fieldPosition="0">
        <references count="2">
          <reference field="4294967294" count="1" selected="0">
            <x v="0"/>
          </reference>
          <reference field="8" count="1" selected="0">
            <x v="34"/>
          </reference>
        </references>
      </pivotArea>
    </chartFormat>
    <chartFormat chart="12" format="672">
      <pivotArea type="data" outline="0" fieldPosition="0">
        <references count="2">
          <reference field="4294967294" count="1" selected="0">
            <x v="0"/>
          </reference>
          <reference field="8" count="1" selected="0">
            <x v="37"/>
          </reference>
        </references>
      </pivotArea>
    </chartFormat>
    <chartFormat chart="12" format="673">
      <pivotArea type="data" outline="0" fieldPosition="0">
        <references count="2">
          <reference field="4294967294" count="1" selected="0">
            <x v="0"/>
          </reference>
          <reference field="8" count="1" selected="0">
            <x v="54"/>
          </reference>
        </references>
      </pivotArea>
    </chartFormat>
    <chartFormat chart="12" format="674">
      <pivotArea type="data" outline="0" fieldPosition="0">
        <references count="2">
          <reference field="4294967294" count="1" selected="0">
            <x v="0"/>
          </reference>
          <reference field="8" count="1" selected="0">
            <x v="145"/>
          </reference>
        </references>
      </pivotArea>
    </chartFormat>
    <chartFormat chart="12" format="67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2"/>
          </reference>
        </references>
      </pivotArea>
    </chartFormat>
    <chartFormat chart="12" format="676">
      <pivotArea type="data" outline="0" fieldPosition="0">
        <references count="2">
          <reference field="4294967294" count="1" selected="0">
            <x v="0"/>
          </reference>
          <reference field="8" count="1" selected="0">
            <x v="86"/>
          </reference>
        </references>
      </pivotArea>
    </chartFormat>
    <chartFormat chart="12" format="677">
      <pivotArea type="data" outline="0" fieldPosition="0">
        <references count="2">
          <reference field="4294967294" count="1" selected="0">
            <x v="0"/>
          </reference>
          <reference field="8" count="1" selected="0">
            <x v="51"/>
          </reference>
        </references>
      </pivotArea>
    </chartFormat>
    <chartFormat chart="12" format="678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12" format="679">
      <pivotArea type="data" outline="0" fieldPosition="0">
        <references count="2">
          <reference field="4294967294" count="1" selected="0">
            <x v="0"/>
          </reference>
          <reference field="8" count="1" selected="0">
            <x v="40"/>
          </reference>
        </references>
      </pivotArea>
    </chartFormat>
    <chartFormat chart="12" format="680">
      <pivotArea type="data" outline="0" fieldPosition="0">
        <references count="2">
          <reference field="4294967294" count="1" selected="0">
            <x v="0"/>
          </reference>
          <reference field="8" count="1" selected="0">
            <x v="49"/>
          </reference>
        </references>
      </pivotArea>
    </chartFormat>
    <chartFormat chart="12" format="68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12" format="682">
      <pivotArea type="data" outline="0" fieldPosition="0">
        <references count="2">
          <reference field="4294967294" count="1" selected="0">
            <x v="0"/>
          </reference>
          <reference field="8" count="1" selected="0">
            <x v="78"/>
          </reference>
        </references>
      </pivotArea>
    </chartFormat>
    <chartFormat chart="12" format="683">
      <pivotArea type="data" outline="0" fieldPosition="0">
        <references count="2">
          <reference field="4294967294" count="1" selected="0">
            <x v="0"/>
          </reference>
          <reference field="8" count="1" selected="0">
            <x v="81"/>
          </reference>
        </references>
      </pivotArea>
    </chartFormat>
    <chartFormat chart="12" format="68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4"/>
          </reference>
        </references>
      </pivotArea>
    </chartFormat>
    <chartFormat chart="12" format="68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2" format="686">
      <pivotArea type="data" outline="0" fieldPosition="0">
        <references count="2">
          <reference field="4294967294" count="1" selected="0">
            <x v="0"/>
          </reference>
          <reference field="8" count="1" selected="0">
            <x v="144"/>
          </reference>
        </references>
      </pivotArea>
    </chartFormat>
    <chartFormat chart="12" format="68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8"/>
          </reference>
        </references>
      </pivotArea>
    </chartFormat>
    <chartFormat chart="12" format="688">
      <pivotArea type="data" outline="0" fieldPosition="0">
        <references count="2">
          <reference field="4294967294" count="1" selected="0">
            <x v="0"/>
          </reference>
          <reference field="8" count="1" selected="0">
            <x v="47"/>
          </reference>
        </references>
      </pivotArea>
    </chartFormat>
    <chartFormat chart="12" format="689">
      <pivotArea type="data" outline="0" fieldPosition="0">
        <references count="2">
          <reference field="4294967294" count="1" selected="0">
            <x v="0"/>
          </reference>
          <reference field="8" count="1" selected="0">
            <x v="63"/>
          </reference>
        </references>
      </pivotArea>
    </chartFormat>
    <chartFormat chart="12" format="690">
      <pivotArea type="data" outline="0" fieldPosition="0">
        <references count="2">
          <reference field="4294967294" count="1" selected="0">
            <x v="0"/>
          </reference>
          <reference field="8" count="1" selected="0">
            <x v="112"/>
          </reference>
        </references>
      </pivotArea>
    </chartFormat>
    <chartFormat chart="12" format="691">
      <pivotArea type="data" outline="0" fieldPosition="0">
        <references count="2">
          <reference field="4294967294" count="1" selected="0">
            <x v="0"/>
          </reference>
          <reference field="8" count="1" selected="0">
            <x v="31"/>
          </reference>
        </references>
      </pivotArea>
    </chartFormat>
    <chartFormat chart="12" format="692">
      <pivotArea type="data" outline="0" fieldPosition="0">
        <references count="2">
          <reference field="4294967294" count="1" selected="0">
            <x v="0"/>
          </reference>
          <reference field="8" count="1" selected="0">
            <x v="73"/>
          </reference>
        </references>
      </pivotArea>
    </chartFormat>
    <chartFormat chart="12" format="693">
      <pivotArea type="data" outline="0" fieldPosition="0">
        <references count="2">
          <reference field="4294967294" count="1" selected="0">
            <x v="0"/>
          </reference>
          <reference field="8" count="1" selected="0">
            <x v="83"/>
          </reference>
        </references>
      </pivotArea>
    </chartFormat>
    <chartFormat chart="12" format="694">
      <pivotArea type="data" outline="0" fieldPosition="0">
        <references count="2">
          <reference field="4294967294" count="1" selected="0">
            <x v="0"/>
          </reference>
          <reference field="8" count="1" selected="0">
            <x v="79"/>
          </reference>
        </references>
      </pivotArea>
    </chartFormat>
    <chartFormat chart="12" format="69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12" format="696">
      <pivotArea type="data" outline="0" fieldPosition="0">
        <references count="2">
          <reference field="4294967294" count="1" selected="0">
            <x v="0"/>
          </reference>
          <reference field="8" count="1" selected="0">
            <x v="82"/>
          </reference>
        </references>
      </pivotArea>
    </chartFormat>
    <chartFormat chart="12" format="697">
      <pivotArea type="data" outline="0" fieldPosition="0">
        <references count="2">
          <reference field="4294967294" count="1" selected="0">
            <x v="0"/>
          </reference>
          <reference field="8" count="1" selected="0">
            <x v="62"/>
          </reference>
        </references>
      </pivotArea>
    </chartFormat>
    <chartFormat chart="12" format="698">
      <pivotArea type="data" outline="0" fieldPosition="0">
        <references count="2">
          <reference field="4294967294" count="1" selected="0">
            <x v="0"/>
          </reference>
          <reference field="8" count="1" selected="0">
            <x v="88"/>
          </reference>
        </references>
      </pivotArea>
    </chartFormat>
    <chartFormat chart="12" format="699">
      <pivotArea type="data" outline="0" fieldPosition="0">
        <references count="2">
          <reference field="4294967294" count="1" selected="0">
            <x v="0"/>
          </reference>
          <reference field="8" count="1" selected="0">
            <x v="90"/>
          </reference>
        </references>
      </pivotArea>
    </chartFormat>
    <chartFormat chart="12" format="700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12" format="70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8"/>
          </reference>
        </references>
      </pivotArea>
    </chartFormat>
    <chartFormat chart="12" format="702">
      <pivotArea type="data" outline="0" fieldPosition="0">
        <references count="2">
          <reference field="4294967294" count="1" selected="0">
            <x v="0"/>
          </reference>
          <reference field="8" count="1" selected="0">
            <x v="66"/>
          </reference>
        </references>
      </pivotArea>
    </chartFormat>
    <chartFormat chart="12" format="703">
      <pivotArea type="data" outline="0" fieldPosition="0">
        <references count="2">
          <reference field="4294967294" count="1" selected="0">
            <x v="0"/>
          </reference>
          <reference field="8" count="1" selected="0">
            <x v="60"/>
          </reference>
        </references>
      </pivotArea>
    </chartFormat>
    <chartFormat chart="12" format="704">
      <pivotArea type="data" outline="0" fieldPosition="0">
        <references count="2">
          <reference field="4294967294" count="1" selected="0">
            <x v="0"/>
          </reference>
          <reference field="8" count="1" selected="0">
            <x v="50"/>
          </reference>
        </references>
      </pivotArea>
    </chartFormat>
    <chartFormat chart="12" format="705">
      <pivotArea type="data" outline="0" fieldPosition="0">
        <references count="2">
          <reference field="4294967294" count="1" selected="0">
            <x v="0"/>
          </reference>
          <reference field="8" count="1" selected="0">
            <x v="57"/>
          </reference>
        </references>
      </pivotArea>
    </chartFormat>
    <chartFormat chart="12" format="706">
      <pivotArea type="data" outline="0" fieldPosition="0">
        <references count="2">
          <reference field="4294967294" count="1" selected="0">
            <x v="0"/>
          </reference>
          <reference field="8" count="1" selected="0">
            <x v="93"/>
          </reference>
        </references>
      </pivotArea>
    </chartFormat>
    <chartFormat chart="12" format="707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2" format="70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2" format="709">
      <pivotArea type="data" outline="0" fieldPosition="0">
        <references count="2">
          <reference field="4294967294" count="1" selected="0">
            <x v="0"/>
          </reference>
          <reference field="8" count="1" selected="0">
            <x v="137"/>
          </reference>
        </references>
      </pivotArea>
    </chartFormat>
    <chartFormat chart="12" format="710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2" format="7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2"/>
          </reference>
        </references>
      </pivotArea>
    </chartFormat>
    <chartFormat chart="12" format="7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4"/>
          </reference>
        </references>
      </pivotArea>
    </chartFormat>
    <chartFormat chart="12" format="71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3"/>
          </reference>
        </references>
      </pivotArea>
    </chartFormat>
    <chartFormat chart="12" format="7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12" format="715">
      <pivotArea type="data" outline="0" fieldPosition="0">
        <references count="2">
          <reference field="4294967294" count="1" selected="0">
            <x v="0"/>
          </reference>
          <reference field="8" count="1" selected="0">
            <x v="30"/>
          </reference>
        </references>
      </pivotArea>
    </chartFormat>
    <chartFormat chart="12" format="716">
      <pivotArea type="data" outline="0" fieldPosition="0">
        <references count="2">
          <reference field="4294967294" count="1" selected="0">
            <x v="0"/>
          </reference>
          <reference field="8" count="1" selected="0">
            <x v="103"/>
          </reference>
        </references>
      </pivotArea>
    </chartFormat>
    <chartFormat chart="12" format="717">
      <pivotArea type="data" outline="0" fieldPosition="0">
        <references count="2">
          <reference field="4294967294" count="1" selected="0">
            <x v="0"/>
          </reference>
          <reference field="8" count="1" selected="0">
            <x v="89"/>
          </reference>
        </references>
      </pivotArea>
    </chartFormat>
    <chartFormat chart="12" format="718">
      <pivotArea type="data" outline="0" fieldPosition="0">
        <references count="2">
          <reference field="4294967294" count="1" selected="0">
            <x v="0"/>
          </reference>
          <reference field="8" count="1" selected="0">
            <x v="91"/>
          </reference>
        </references>
      </pivotArea>
    </chartFormat>
    <chartFormat chart="12" format="719">
      <pivotArea type="data" outline="0" fieldPosition="0">
        <references count="2">
          <reference field="4294967294" count="1" selected="0">
            <x v="0"/>
          </reference>
          <reference field="8" count="1" selected="0">
            <x v="44"/>
          </reference>
        </references>
      </pivotArea>
    </chartFormat>
    <chartFormat chart="12" format="720">
      <pivotArea type="data" outline="0" fieldPosition="0">
        <references count="2">
          <reference field="4294967294" count="1" selected="0">
            <x v="0"/>
          </reference>
          <reference field="8" count="1" selected="0">
            <x v="157"/>
          </reference>
        </references>
      </pivotArea>
    </chartFormat>
    <chartFormat chart="12" format="72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0"/>
          </reference>
        </references>
      </pivotArea>
    </chartFormat>
    <chartFormat chart="12" format="722">
      <pivotArea type="data" outline="0" fieldPosition="0">
        <references count="2">
          <reference field="4294967294" count="1" selected="0">
            <x v="0"/>
          </reference>
          <reference field="8" count="1" selected="0">
            <x v="38"/>
          </reference>
        </references>
      </pivotArea>
    </chartFormat>
    <chartFormat chart="12" format="723">
      <pivotArea type="data" outline="0" fieldPosition="0">
        <references count="2">
          <reference field="4294967294" count="1" selected="0">
            <x v="0"/>
          </reference>
          <reference field="8" count="1" selected="0">
            <x v="77"/>
          </reference>
        </references>
      </pivotArea>
    </chartFormat>
    <chartFormat chart="12" format="724">
      <pivotArea type="data" outline="0" fieldPosition="0">
        <references count="2">
          <reference field="4294967294" count="1" selected="0">
            <x v="0"/>
          </reference>
          <reference field="8" count="1" selected="0">
            <x v="59"/>
          </reference>
        </references>
      </pivotArea>
    </chartFormat>
    <chartFormat chart="12" format="725">
      <pivotArea type="data" outline="0" fieldPosition="0">
        <references count="2">
          <reference field="4294967294" count="1" selected="0">
            <x v="0"/>
          </reference>
          <reference field="8" count="1" selected="0">
            <x v="58"/>
          </reference>
        </references>
      </pivotArea>
    </chartFormat>
    <chartFormat chart="12" format="726">
      <pivotArea type="data" outline="0" fieldPosition="0">
        <references count="2">
          <reference field="4294967294" count="1" selected="0">
            <x v="0"/>
          </reference>
          <reference field="8" count="1" selected="0">
            <x v="141"/>
          </reference>
        </references>
      </pivotArea>
    </chartFormat>
    <chartFormat chart="12" format="72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6"/>
          </reference>
        </references>
      </pivotArea>
    </chartFormat>
    <chartFormat chart="12" format="728">
      <pivotArea type="data" outline="0" fieldPosition="0">
        <references count="2">
          <reference field="4294967294" count="1" selected="0">
            <x v="0"/>
          </reference>
          <reference field="8" count="1" selected="0">
            <x v="99"/>
          </reference>
        </references>
      </pivotArea>
    </chartFormat>
    <chartFormat chart="12" format="729">
      <pivotArea type="data" outline="0" fieldPosition="0">
        <references count="2">
          <reference field="4294967294" count="1" selected="0">
            <x v="0"/>
          </reference>
          <reference field="8" count="1" selected="0">
            <x v="76"/>
          </reference>
        </references>
      </pivotArea>
    </chartFormat>
    <chartFormat chart="12" format="730">
      <pivotArea type="data" outline="0" fieldPosition="0">
        <references count="2">
          <reference field="4294967294" count="1" selected="0">
            <x v="0"/>
          </reference>
          <reference field="8" count="1" selected="0">
            <x v="65"/>
          </reference>
        </references>
      </pivotArea>
    </chartFormat>
    <chartFormat chart="12" format="73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4"/>
          </reference>
        </references>
      </pivotArea>
    </chartFormat>
    <chartFormat chart="12" format="73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8"/>
          </reference>
        </references>
      </pivotArea>
    </chartFormat>
    <chartFormat chart="12" format="733">
      <pivotArea type="data" outline="0" fieldPosition="0">
        <references count="2">
          <reference field="4294967294" count="1" selected="0">
            <x v="0"/>
          </reference>
          <reference field="8" count="1" selected="0">
            <x v="155"/>
          </reference>
        </references>
      </pivotArea>
    </chartFormat>
    <chartFormat chart="12" format="734">
      <pivotArea type="data" outline="0" fieldPosition="0">
        <references count="2">
          <reference field="4294967294" count="1" selected="0">
            <x v="0"/>
          </reference>
          <reference field="8" count="1" selected="0">
            <x v="146"/>
          </reference>
        </references>
      </pivotArea>
    </chartFormat>
    <chartFormat chart="12" format="73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2" format="736">
      <pivotArea type="data" outline="0" fieldPosition="0">
        <references count="2">
          <reference field="4294967294" count="1" selected="0">
            <x v="0"/>
          </reference>
          <reference field="8" count="1" selected="0">
            <x v="43"/>
          </reference>
        </references>
      </pivotArea>
    </chartFormat>
    <chartFormat chart="12" format="737">
      <pivotArea type="data" outline="0" fieldPosition="0">
        <references count="2">
          <reference field="4294967294" count="1" selected="0">
            <x v="0"/>
          </reference>
          <reference field="8" count="1" selected="0">
            <x v="55"/>
          </reference>
        </references>
      </pivotArea>
    </chartFormat>
    <chartFormat chart="12" format="738">
      <pivotArea type="data" outline="0" fieldPosition="0">
        <references count="2">
          <reference field="4294967294" count="1" selected="0">
            <x v="0"/>
          </reference>
          <reference field="8" count="1" selected="0">
            <x v="109"/>
          </reference>
        </references>
      </pivotArea>
    </chartFormat>
    <chartFormat chart="12" format="739">
      <pivotArea type="data" outline="0" fieldPosition="0">
        <references count="2">
          <reference field="4294967294" count="1" selected="0">
            <x v="0"/>
          </reference>
          <reference field="8" count="1" selected="0">
            <x v="48"/>
          </reference>
        </references>
      </pivotArea>
    </chartFormat>
    <chartFormat chart="12" format="740">
      <pivotArea type="data" outline="0" fieldPosition="0">
        <references count="2">
          <reference field="4294967294" count="1" selected="0">
            <x v="0"/>
          </reference>
          <reference field="8" count="1" selected="0">
            <x v="94"/>
          </reference>
        </references>
      </pivotArea>
    </chartFormat>
    <chartFormat chart="12" format="74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12" format="742">
      <pivotArea type="data" outline="0" fieldPosition="0">
        <references count="2">
          <reference field="4294967294" count="1" selected="0">
            <x v="0"/>
          </reference>
          <reference field="8" count="1" selected="0">
            <x v="98"/>
          </reference>
        </references>
      </pivotArea>
    </chartFormat>
    <chartFormat chart="12" format="743">
      <pivotArea type="data" outline="0" fieldPosition="0">
        <references count="2">
          <reference field="4294967294" count="1" selected="0">
            <x v="0"/>
          </reference>
          <reference field="8" count="1" selected="0">
            <x v="33"/>
          </reference>
        </references>
      </pivotArea>
    </chartFormat>
    <chartFormat chart="12" format="74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6"/>
          </reference>
        </references>
      </pivotArea>
    </chartFormat>
    <chartFormat chart="12" format="745">
      <pivotArea type="data" outline="0" fieldPosition="0">
        <references count="2">
          <reference field="4294967294" count="1" selected="0">
            <x v="0"/>
          </reference>
          <reference field="8" count="1" selected="0">
            <x v="84"/>
          </reference>
        </references>
      </pivotArea>
    </chartFormat>
    <chartFormat chart="12" format="746">
      <pivotArea type="data" outline="0" fieldPosition="0">
        <references count="2">
          <reference field="4294967294" count="1" selected="0">
            <x v="0"/>
          </reference>
          <reference field="8" count="1" selected="0">
            <x v="67"/>
          </reference>
        </references>
      </pivotArea>
    </chartFormat>
    <chartFormat chart="12" format="747">
      <pivotArea type="data" outline="0" fieldPosition="0">
        <references count="2">
          <reference field="4294967294" count="1" selected="0">
            <x v="0"/>
          </reference>
          <reference field="8" count="1" selected="0">
            <x v="80"/>
          </reference>
        </references>
      </pivotArea>
    </chartFormat>
    <chartFormat chart="12" format="74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9"/>
          </reference>
        </references>
      </pivotArea>
    </chartFormat>
    <chartFormat chart="12" format="749">
      <pivotArea type="data" outline="0" fieldPosition="0">
        <references count="2">
          <reference field="4294967294" count="1" selected="0">
            <x v="0"/>
          </reference>
          <reference field="8" count="1" selected="0">
            <x v="124"/>
          </reference>
        </references>
      </pivotArea>
    </chartFormat>
    <chartFormat chart="12" format="750">
      <pivotArea type="data" outline="0" fieldPosition="0">
        <references count="2">
          <reference field="4294967294" count="1" selected="0">
            <x v="0"/>
          </reference>
          <reference field="8" count="1" selected="0">
            <x v="107"/>
          </reference>
        </references>
      </pivotArea>
    </chartFormat>
    <chartFormat chart="12" format="75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6"/>
          </reference>
        </references>
      </pivotArea>
    </chartFormat>
    <chartFormat chart="12" format="752">
      <pivotArea type="data" outline="0" fieldPosition="0">
        <references count="2">
          <reference field="4294967294" count="1" selected="0">
            <x v="0"/>
          </reference>
          <reference field="8" count="1" selected="0">
            <x v="96"/>
          </reference>
        </references>
      </pivotArea>
    </chartFormat>
    <chartFormat chart="12" format="753">
      <pivotArea type="data" outline="0" fieldPosition="0">
        <references count="2">
          <reference field="4294967294" count="1" selected="0">
            <x v="0"/>
          </reference>
          <reference field="8" count="1" selected="0">
            <x v="125"/>
          </reference>
        </references>
      </pivotArea>
    </chartFormat>
    <chartFormat chart="12" format="754">
      <pivotArea type="data" outline="0" fieldPosition="0">
        <references count="2">
          <reference field="4294967294" count="1" selected="0">
            <x v="0"/>
          </reference>
          <reference field="8" count="1" selected="0">
            <x v="105"/>
          </reference>
        </references>
      </pivotArea>
    </chartFormat>
    <chartFormat chart="12" format="75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2" format="756">
      <pivotArea type="data" outline="0" fieldPosition="0">
        <references count="2">
          <reference field="4294967294" count="1" selected="0">
            <x v="0"/>
          </reference>
          <reference field="8" count="1" selected="0">
            <x v="70"/>
          </reference>
        </references>
      </pivotArea>
    </chartFormat>
    <chartFormat chart="12" format="757">
      <pivotArea type="data" outline="0" fieldPosition="0">
        <references count="2">
          <reference field="4294967294" count="1" selected="0">
            <x v="0"/>
          </reference>
          <reference field="8" count="1" selected="0">
            <x v="110"/>
          </reference>
        </references>
      </pivotArea>
    </chartFormat>
    <chartFormat chart="12" format="758">
      <pivotArea type="data" outline="0" fieldPosition="0">
        <references count="2">
          <reference field="4294967294" count="1" selected="0">
            <x v="0"/>
          </reference>
          <reference field="8" count="1" selected="0">
            <x v="85"/>
          </reference>
        </references>
      </pivotArea>
    </chartFormat>
    <chartFormat chart="12" format="759">
      <pivotArea type="data" outline="0" fieldPosition="0">
        <references count="2">
          <reference field="4294967294" count="1" selected="0">
            <x v="0"/>
          </reference>
          <reference field="8" count="1" selected="0">
            <x v="74"/>
          </reference>
        </references>
      </pivotArea>
    </chartFormat>
    <chartFormat chart="12" format="760">
      <pivotArea type="data" outline="0" fieldPosition="0">
        <references count="2">
          <reference field="4294967294" count="1" selected="0">
            <x v="0"/>
          </reference>
          <reference field="8" count="1" selected="0">
            <x v="123"/>
          </reference>
        </references>
      </pivotArea>
    </chartFormat>
    <chartFormat chart="12" format="76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7"/>
          </reference>
        </references>
      </pivotArea>
    </chartFormat>
    <chartFormat chart="12" format="762">
      <pivotArea type="data" outline="0" fieldPosition="0">
        <references count="2">
          <reference field="4294967294" count="1" selected="0">
            <x v="0"/>
          </reference>
          <reference field="8" count="1" selected="0">
            <x v="41"/>
          </reference>
        </references>
      </pivotArea>
    </chartFormat>
    <chartFormat chart="12" format="76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1"/>
          </reference>
        </references>
      </pivotArea>
    </chartFormat>
    <chartFormat chart="12" format="764">
      <pivotArea type="data" outline="0" fieldPosition="0">
        <references count="2">
          <reference field="4294967294" count="1" selected="0">
            <x v="0"/>
          </reference>
          <reference field="8" count="1" selected="0">
            <x v="116"/>
          </reference>
        </references>
      </pivotArea>
    </chartFormat>
    <chartFormat chart="12" format="76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1"/>
          </reference>
        </references>
      </pivotArea>
    </chartFormat>
    <chartFormat chart="12" format="766">
      <pivotArea type="data" outline="0" fieldPosition="0">
        <references count="2">
          <reference field="4294967294" count="1" selected="0">
            <x v="0"/>
          </reference>
          <reference field="8" count="1" selected="0">
            <x v="115"/>
          </reference>
        </references>
      </pivotArea>
    </chartFormat>
    <chartFormat chart="12" format="767">
      <pivotArea type="data" outline="0" fieldPosition="0">
        <references count="2">
          <reference field="4294967294" count="1" selected="0">
            <x v="0"/>
          </reference>
          <reference field="8" count="1" selected="0">
            <x v="42"/>
          </reference>
        </references>
      </pivotArea>
    </chartFormat>
    <chartFormat chart="12" format="768">
      <pivotArea type="data" outline="0" fieldPosition="0">
        <references count="2">
          <reference field="4294967294" count="1" selected="0">
            <x v="0"/>
          </reference>
          <reference field="8" count="1" selected="0">
            <x v="104"/>
          </reference>
        </references>
      </pivotArea>
    </chartFormat>
    <chartFormat chart="12" format="769">
      <pivotArea type="data" outline="0" fieldPosition="0">
        <references count="2">
          <reference field="4294967294" count="1" selected="0">
            <x v="0"/>
          </reference>
          <reference field="8" count="1" selected="0">
            <x v="147"/>
          </reference>
        </references>
      </pivotArea>
    </chartFormat>
    <chartFormat chart="12" format="770">
      <pivotArea type="data" outline="0" fieldPosition="0">
        <references count="2">
          <reference field="4294967294" count="1" selected="0">
            <x v="0"/>
          </reference>
          <reference field="8" count="1" selected="0">
            <x v="56"/>
          </reference>
        </references>
      </pivotArea>
    </chartFormat>
    <chartFormat chart="12" format="77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6"/>
          </reference>
        </references>
      </pivotArea>
    </chartFormat>
    <chartFormat chart="12" format="77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9"/>
          </reference>
        </references>
      </pivotArea>
    </chartFormat>
    <chartFormat chart="12" format="773">
      <pivotArea type="data" outline="0" fieldPosition="0">
        <references count="2">
          <reference field="4294967294" count="1" selected="0">
            <x v="0"/>
          </reference>
          <reference field="8" count="1" selected="0">
            <x v="92"/>
          </reference>
        </references>
      </pivotArea>
    </chartFormat>
    <chartFormat chart="12" format="77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2"/>
          </reference>
        </references>
      </pivotArea>
    </chartFormat>
    <chartFormat chart="12" format="775">
      <pivotArea type="data" outline="0" fieldPosition="0">
        <references count="2">
          <reference field="4294967294" count="1" selected="0">
            <x v="0"/>
          </reference>
          <reference field="8" count="1" selected="0">
            <x v="39"/>
          </reference>
        </references>
      </pivotArea>
    </chartFormat>
    <chartFormat chart="12" format="776">
      <pivotArea type="data" outline="0" fieldPosition="0">
        <references count="2">
          <reference field="4294967294" count="1" selected="0">
            <x v="0"/>
          </reference>
          <reference field="8" count="1" selected="0">
            <x v="72"/>
          </reference>
        </references>
      </pivotArea>
    </chartFormat>
    <chartFormat chart="12" format="777">
      <pivotArea type="data" outline="0" fieldPosition="0">
        <references count="2">
          <reference field="4294967294" count="1" selected="0">
            <x v="0"/>
          </reference>
          <reference field="8" count="1" selected="0">
            <x v="129"/>
          </reference>
        </references>
      </pivotArea>
    </chartFormat>
    <chartFormat chart="12" format="778">
      <pivotArea type="data" outline="0" fieldPosition="0">
        <references count="2">
          <reference field="4294967294" count="1" selected="0">
            <x v="0"/>
          </reference>
          <reference field="8" count="1" selected="0">
            <x v="75"/>
          </reference>
        </references>
      </pivotArea>
    </chartFormat>
    <chartFormat chart="12" format="779">
      <pivotArea type="data" outline="0" fieldPosition="0">
        <references count="2">
          <reference field="4294967294" count="1" selected="0">
            <x v="0"/>
          </reference>
          <reference field="8" count="1" selected="0">
            <x v="127"/>
          </reference>
        </references>
      </pivotArea>
    </chartFormat>
    <chartFormat chart="12" format="780">
      <pivotArea type="data" outline="0" fieldPosition="0">
        <references count="2">
          <reference field="4294967294" count="1" selected="0">
            <x v="0"/>
          </reference>
          <reference field="8" count="1" selected="0">
            <x v="151"/>
          </reference>
        </references>
      </pivotArea>
    </chartFormat>
    <chartFormat chart="12" format="78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2"/>
          </reference>
        </references>
      </pivotArea>
    </chartFormat>
    <chartFormat chart="12" format="782">
      <pivotArea type="data" outline="0" fieldPosition="0">
        <references count="2">
          <reference field="4294967294" count="1" selected="0">
            <x v="0"/>
          </reference>
          <reference field="8" count="1" selected="0">
            <x v="158"/>
          </reference>
        </references>
      </pivotArea>
    </chartFormat>
    <chartFormat chart="12" format="783">
      <pivotArea type="data" outline="0" fieldPosition="0">
        <references count="2">
          <reference field="4294967294" count="1" selected="0">
            <x v="0"/>
          </reference>
          <reference field="8" count="1" selected="0">
            <x v="35"/>
          </reference>
        </references>
      </pivotArea>
    </chartFormat>
    <chartFormat chart="12" format="784">
      <pivotArea type="data" outline="0" fieldPosition="0">
        <references count="2">
          <reference field="4294967294" count="1" selected="0">
            <x v="0"/>
          </reference>
          <reference field="8" count="1" selected="0">
            <x v="130"/>
          </reference>
        </references>
      </pivotArea>
    </chartFormat>
    <chartFormat chart="12" format="78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2"/>
          </reference>
        </references>
      </pivotArea>
    </chartFormat>
    <chartFormat chart="12" format="786">
      <pivotArea type="data" outline="0" fieldPosition="0">
        <references count="2">
          <reference field="4294967294" count="1" selected="0">
            <x v="0"/>
          </reference>
          <reference field="8" count="1" selected="0">
            <x v="26"/>
          </reference>
        </references>
      </pivotArea>
    </chartFormat>
    <chartFormat chart="12" format="787">
      <pivotArea type="data" outline="0" fieldPosition="0">
        <references count="2">
          <reference field="4294967294" count="1" selected="0">
            <x v="0"/>
          </reference>
          <reference field="8" count="1" selected="0">
            <x v="120"/>
          </reference>
        </references>
      </pivotArea>
    </chartFormat>
    <chartFormat chart="12" format="788">
      <pivotArea type="data" outline="0" fieldPosition="0">
        <references count="2">
          <reference field="4294967294" count="1" selected="0">
            <x v="0"/>
          </reference>
          <reference field="8" count="1" selected="0">
            <x v="87"/>
          </reference>
        </references>
      </pivotArea>
    </chartFormat>
    <chartFormat chart="12" format="789">
      <pivotArea type="data" outline="0" fieldPosition="0">
        <references count="2">
          <reference field="4294967294" count="1" selected="0">
            <x v="0"/>
          </reference>
          <reference field="8" count="1" selected="0">
            <x v="36"/>
          </reference>
        </references>
      </pivotArea>
    </chartFormat>
    <chartFormat chart="12" format="790">
      <pivotArea type="data" outline="0" fieldPosition="0">
        <references count="2">
          <reference field="4294967294" count="1" selected="0">
            <x v="0"/>
          </reference>
          <reference field="8" count="1" selected="0">
            <x v="95"/>
          </reference>
        </references>
      </pivotArea>
    </chartFormat>
    <chartFormat chart="12" format="79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2"/>
          </reference>
        </references>
      </pivotArea>
    </chartFormat>
    <chartFormat chart="12" format="792">
      <pivotArea type="data" outline="0" fieldPosition="0">
        <references count="2">
          <reference field="4294967294" count="1" selected="0">
            <x v="0"/>
          </reference>
          <reference field="8" count="1" selected="0">
            <x v="97"/>
          </reference>
        </references>
      </pivotArea>
    </chartFormat>
    <chartFormat chart="12" format="793">
      <pivotArea type="data" outline="0" fieldPosition="0">
        <references count="2">
          <reference field="4294967294" count="1" selected="0">
            <x v="0"/>
          </reference>
          <reference field="8" count="1" selected="0">
            <x v="71"/>
          </reference>
        </references>
      </pivotArea>
    </chartFormat>
    <chartFormat chart="12" format="79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1"/>
          </reference>
        </references>
      </pivotArea>
    </chartFormat>
    <chartFormat chart="12" format="79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8"/>
          </reference>
        </references>
      </pivotArea>
    </chartFormat>
    <chartFormat chart="12" format="796">
      <pivotArea type="data" outline="0" fieldPosition="0">
        <references count="2">
          <reference field="4294967294" count="1" selected="0">
            <x v="0"/>
          </reference>
          <reference field="8" count="1" selected="0">
            <x v="133"/>
          </reference>
        </references>
      </pivotArea>
    </chartFormat>
    <chartFormat chart="12" format="79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5"/>
          </reference>
        </references>
      </pivotArea>
    </chartFormat>
    <chartFormat chart="12" format="798">
      <pivotArea type="data" outline="0" fieldPosition="0">
        <references count="2">
          <reference field="4294967294" count="1" selected="0">
            <x v="0"/>
          </reference>
          <reference field="8" count="1" selected="0">
            <x v="131"/>
          </reference>
        </references>
      </pivotArea>
    </chartFormat>
    <chartFormat chart="12" format="799">
      <pivotArea type="data" outline="0" fieldPosition="0">
        <references count="2">
          <reference field="4294967294" count="1" selected="0">
            <x v="0"/>
          </reference>
          <reference field="8" count="1" selected="0">
            <x v="69"/>
          </reference>
        </references>
      </pivotArea>
    </chartFormat>
    <chartFormat chart="13" format="9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6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8"/>
          </reference>
        </references>
      </pivotArea>
    </chartFormat>
    <chartFormat chart="13" format="962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13" format="963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13" format="964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13" format="965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13" format="966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13" format="967">
      <pivotArea type="data" outline="0" fieldPosition="0">
        <references count="2">
          <reference field="4294967294" count="1" selected="0">
            <x v="0"/>
          </reference>
          <reference field="8" count="1" selected="0">
            <x v="64"/>
          </reference>
        </references>
      </pivotArea>
    </chartFormat>
    <chartFormat chart="13" format="96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0"/>
          </reference>
        </references>
      </pivotArea>
    </chartFormat>
    <chartFormat chart="13" format="969">
      <pivotArea type="data" outline="0" fieldPosition="0">
        <references count="2">
          <reference field="4294967294" count="1" selected="0">
            <x v="0"/>
          </reference>
          <reference field="8" count="1" selected="0">
            <x v="28"/>
          </reference>
        </references>
      </pivotArea>
    </chartFormat>
    <chartFormat chart="13" format="970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13" format="97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13" format="972">
      <pivotArea type="data" outline="0" fieldPosition="0">
        <references count="2">
          <reference field="4294967294" count="1" selected="0">
            <x v="0"/>
          </reference>
          <reference field="8" count="1" selected="0">
            <x v="139"/>
          </reference>
        </references>
      </pivotArea>
    </chartFormat>
    <chartFormat chart="13" format="973">
      <pivotArea type="data" outline="0" fieldPosition="0">
        <references count="2">
          <reference field="4294967294" count="1" selected="0">
            <x v="0"/>
          </reference>
          <reference field="8" count="1" selected="0">
            <x v="52"/>
          </reference>
        </references>
      </pivotArea>
    </chartFormat>
    <chartFormat chart="13" format="974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13" format="975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13" format="976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13" format="977">
      <pivotArea type="data" outline="0" fieldPosition="0">
        <references count="2">
          <reference field="4294967294" count="1" selected="0">
            <x v="0"/>
          </reference>
          <reference field="8" count="1" selected="0">
            <x v="27"/>
          </reference>
        </references>
      </pivotArea>
    </chartFormat>
    <chartFormat chart="13" format="97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3"/>
          </reference>
        </references>
      </pivotArea>
    </chartFormat>
    <chartFormat chart="13" format="979">
      <pivotArea type="data" outline="0" fieldPosition="0">
        <references count="2">
          <reference field="4294967294" count="1" selected="0">
            <x v="0"/>
          </reference>
          <reference field="8" count="1" selected="0">
            <x v="45"/>
          </reference>
        </references>
      </pivotArea>
    </chartFormat>
    <chartFormat chart="13" format="980">
      <pivotArea type="data" outline="0" fieldPosition="0">
        <references count="2">
          <reference field="4294967294" count="1" selected="0">
            <x v="0"/>
          </reference>
          <reference field="8" count="1" selected="0">
            <x v="61"/>
          </reference>
        </references>
      </pivotArea>
    </chartFormat>
    <chartFormat chart="13" format="98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13" format="982">
      <pivotArea type="data" outline="0" fieldPosition="0">
        <references count="2">
          <reference field="4294967294" count="1" selected="0">
            <x v="0"/>
          </reference>
          <reference field="8" count="1" selected="0">
            <x v="153"/>
          </reference>
        </references>
      </pivotArea>
    </chartFormat>
    <chartFormat chart="13" format="983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13" format="98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0"/>
          </reference>
        </references>
      </pivotArea>
    </chartFormat>
    <chartFormat chart="13" format="98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13" format="986">
      <pivotArea type="data" outline="0" fieldPosition="0">
        <references count="2">
          <reference field="4294967294" count="1" selected="0">
            <x v="0"/>
          </reference>
          <reference field="8" count="1" selected="0">
            <x v="46"/>
          </reference>
        </references>
      </pivotArea>
    </chartFormat>
    <chartFormat chart="13" format="987">
      <pivotArea type="data" outline="0" fieldPosition="0">
        <references count="2">
          <reference field="4294967294" count="1" selected="0">
            <x v="0"/>
          </reference>
          <reference field="8" count="1" selected="0">
            <x v="68"/>
          </reference>
        </references>
      </pivotArea>
    </chartFormat>
    <chartFormat chart="13" format="988">
      <pivotArea type="data" outline="0" fieldPosition="0">
        <references count="2">
          <reference field="4294967294" count="1" selected="0">
            <x v="0"/>
          </reference>
          <reference field="8" count="1" selected="0">
            <x v="53"/>
          </reference>
        </references>
      </pivotArea>
    </chartFormat>
    <chartFormat chart="13" format="989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3" format="990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13" format="991">
      <pivotArea type="data" outline="0" fieldPosition="0">
        <references count="2">
          <reference field="4294967294" count="1" selected="0">
            <x v="0"/>
          </reference>
          <reference field="8" count="1" selected="0">
            <x v="34"/>
          </reference>
        </references>
      </pivotArea>
    </chartFormat>
    <chartFormat chart="13" format="992">
      <pivotArea type="data" outline="0" fieldPosition="0">
        <references count="2">
          <reference field="4294967294" count="1" selected="0">
            <x v="0"/>
          </reference>
          <reference field="8" count="1" selected="0">
            <x v="37"/>
          </reference>
        </references>
      </pivotArea>
    </chartFormat>
    <chartFormat chart="13" format="993">
      <pivotArea type="data" outline="0" fieldPosition="0">
        <references count="2">
          <reference field="4294967294" count="1" selected="0">
            <x v="0"/>
          </reference>
          <reference field="8" count="1" selected="0">
            <x v="54"/>
          </reference>
        </references>
      </pivotArea>
    </chartFormat>
    <chartFormat chart="13" format="994">
      <pivotArea type="data" outline="0" fieldPosition="0">
        <references count="2">
          <reference field="4294967294" count="1" selected="0">
            <x v="0"/>
          </reference>
          <reference field="8" count="1" selected="0">
            <x v="145"/>
          </reference>
        </references>
      </pivotArea>
    </chartFormat>
    <chartFormat chart="13" format="99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2"/>
          </reference>
        </references>
      </pivotArea>
    </chartFormat>
    <chartFormat chart="13" format="996">
      <pivotArea type="data" outline="0" fieldPosition="0">
        <references count="2">
          <reference field="4294967294" count="1" selected="0">
            <x v="0"/>
          </reference>
          <reference field="8" count="1" selected="0">
            <x v="86"/>
          </reference>
        </references>
      </pivotArea>
    </chartFormat>
    <chartFormat chart="13" format="997">
      <pivotArea type="data" outline="0" fieldPosition="0">
        <references count="2">
          <reference field="4294967294" count="1" selected="0">
            <x v="0"/>
          </reference>
          <reference field="8" count="1" selected="0">
            <x v="51"/>
          </reference>
        </references>
      </pivotArea>
    </chartFormat>
    <chartFormat chart="13" format="998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13" format="999">
      <pivotArea type="data" outline="0" fieldPosition="0">
        <references count="2">
          <reference field="4294967294" count="1" selected="0">
            <x v="0"/>
          </reference>
          <reference field="8" count="1" selected="0">
            <x v="40"/>
          </reference>
        </references>
      </pivotArea>
    </chartFormat>
    <chartFormat chart="13" format="1000">
      <pivotArea type="data" outline="0" fieldPosition="0">
        <references count="2">
          <reference field="4294967294" count="1" selected="0">
            <x v="0"/>
          </reference>
          <reference field="8" count="1" selected="0">
            <x v="49"/>
          </reference>
        </references>
      </pivotArea>
    </chartFormat>
    <chartFormat chart="13" format="100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13" format="1002">
      <pivotArea type="data" outline="0" fieldPosition="0">
        <references count="2">
          <reference field="4294967294" count="1" selected="0">
            <x v="0"/>
          </reference>
          <reference field="8" count="1" selected="0">
            <x v="78"/>
          </reference>
        </references>
      </pivotArea>
    </chartFormat>
    <chartFormat chart="13" format="1003">
      <pivotArea type="data" outline="0" fieldPosition="0">
        <references count="2">
          <reference field="4294967294" count="1" selected="0">
            <x v="0"/>
          </reference>
          <reference field="8" count="1" selected="0">
            <x v="81"/>
          </reference>
        </references>
      </pivotArea>
    </chartFormat>
    <chartFormat chart="13" format="100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4"/>
          </reference>
        </references>
      </pivotArea>
    </chartFormat>
    <chartFormat chart="13" format="100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3" format="1006">
      <pivotArea type="data" outline="0" fieldPosition="0">
        <references count="2">
          <reference field="4294967294" count="1" selected="0">
            <x v="0"/>
          </reference>
          <reference field="8" count="1" selected="0">
            <x v="144"/>
          </reference>
        </references>
      </pivotArea>
    </chartFormat>
    <chartFormat chart="13" format="100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8"/>
          </reference>
        </references>
      </pivotArea>
    </chartFormat>
    <chartFormat chart="13" format="1008">
      <pivotArea type="data" outline="0" fieldPosition="0">
        <references count="2">
          <reference field="4294967294" count="1" selected="0">
            <x v="0"/>
          </reference>
          <reference field="8" count="1" selected="0">
            <x v="47"/>
          </reference>
        </references>
      </pivotArea>
    </chartFormat>
    <chartFormat chart="13" format="1009">
      <pivotArea type="data" outline="0" fieldPosition="0">
        <references count="2">
          <reference field="4294967294" count="1" selected="0">
            <x v="0"/>
          </reference>
          <reference field="8" count="1" selected="0">
            <x v="63"/>
          </reference>
        </references>
      </pivotArea>
    </chartFormat>
    <chartFormat chart="13" format="1010">
      <pivotArea type="data" outline="0" fieldPosition="0">
        <references count="2">
          <reference field="4294967294" count="1" selected="0">
            <x v="0"/>
          </reference>
          <reference field="8" count="1" selected="0">
            <x v="112"/>
          </reference>
        </references>
      </pivotArea>
    </chartFormat>
    <chartFormat chart="13" format="10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1"/>
          </reference>
        </references>
      </pivotArea>
    </chartFormat>
    <chartFormat chart="13" format="1012">
      <pivotArea type="data" outline="0" fieldPosition="0">
        <references count="2">
          <reference field="4294967294" count="1" selected="0">
            <x v="0"/>
          </reference>
          <reference field="8" count="1" selected="0">
            <x v="73"/>
          </reference>
        </references>
      </pivotArea>
    </chartFormat>
    <chartFormat chart="13" format="1013">
      <pivotArea type="data" outline="0" fieldPosition="0">
        <references count="2">
          <reference field="4294967294" count="1" selected="0">
            <x v="0"/>
          </reference>
          <reference field="8" count="1" selected="0">
            <x v="83"/>
          </reference>
        </references>
      </pivotArea>
    </chartFormat>
    <chartFormat chart="13" format="1014">
      <pivotArea type="data" outline="0" fieldPosition="0">
        <references count="2">
          <reference field="4294967294" count="1" selected="0">
            <x v="0"/>
          </reference>
          <reference field="8" count="1" selected="0">
            <x v="79"/>
          </reference>
        </references>
      </pivotArea>
    </chartFormat>
    <chartFormat chart="13" format="101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13" format="1016">
      <pivotArea type="data" outline="0" fieldPosition="0">
        <references count="2">
          <reference field="4294967294" count="1" selected="0">
            <x v="0"/>
          </reference>
          <reference field="8" count="1" selected="0">
            <x v="82"/>
          </reference>
        </references>
      </pivotArea>
    </chartFormat>
    <chartFormat chart="13" format="1017">
      <pivotArea type="data" outline="0" fieldPosition="0">
        <references count="2">
          <reference field="4294967294" count="1" selected="0">
            <x v="0"/>
          </reference>
          <reference field="8" count="1" selected="0">
            <x v="62"/>
          </reference>
        </references>
      </pivotArea>
    </chartFormat>
    <chartFormat chart="13" format="1018">
      <pivotArea type="data" outline="0" fieldPosition="0">
        <references count="2">
          <reference field="4294967294" count="1" selected="0">
            <x v="0"/>
          </reference>
          <reference field="8" count="1" selected="0">
            <x v="88"/>
          </reference>
        </references>
      </pivotArea>
    </chartFormat>
    <chartFormat chart="13" format="1019">
      <pivotArea type="data" outline="0" fieldPosition="0">
        <references count="2">
          <reference field="4294967294" count="1" selected="0">
            <x v="0"/>
          </reference>
          <reference field="8" count="1" selected="0">
            <x v="90"/>
          </reference>
        </references>
      </pivotArea>
    </chartFormat>
    <chartFormat chart="13" format="1020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13" format="102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8"/>
          </reference>
        </references>
      </pivotArea>
    </chartFormat>
    <chartFormat chart="13" format="1022">
      <pivotArea type="data" outline="0" fieldPosition="0">
        <references count="2">
          <reference field="4294967294" count="1" selected="0">
            <x v="0"/>
          </reference>
          <reference field="8" count="1" selected="0">
            <x v="66"/>
          </reference>
        </references>
      </pivotArea>
    </chartFormat>
    <chartFormat chart="13" format="1023">
      <pivotArea type="data" outline="0" fieldPosition="0">
        <references count="2">
          <reference field="4294967294" count="1" selected="0">
            <x v="0"/>
          </reference>
          <reference field="8" count="1" selected="0">
            <x v="60"/>
          </reference>
        </references>
      </pivotArea>
    </chartFormat>
    <chartFormat chart="13" format="1024">
      <pivotArea type="data" outline="0" fieldPosition="0">
        <references count="2">
          <reference field="4294967294" count="1" selected="0">
            <x v="0"/>
          </reference>
          <reference field="8" count="1" selected="0">
            <x v="50"/>
          </reference>
        </references>
      </pivotArea>
    </chartFormat>
    <chartFormat chart="13" format="1025">
      <pivotArea type="data" outline="0" fieldPosition="0">
        <references count="2">
          <reference field="4294967294" count="1" selected="0">
            <x v="0"/>
          </reference>
          <reference field="8" count="1" selected="0">
            <x v="57"/>
          </reference>
        </references>
      </pivotArea>
    </chartFormat>
    <chartFormat chart="13" format="1026">
      <pivotArea type="data" outline="0" fieldPosition="0">
        <references count="2">
          <reference field="4294967294" count="1" selected="0">
            <x v="0"/>
          </reference>
          <reference field="8" count="1" selected="0">
            <x v="93"/>
          </reference>
        </references>
      </pivotArea>
    </chartFormat>
    <chartFormat chart="13" format="1027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3" format="102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3" format="1029">
      <pivotArea type="data" outline="0" fieldPosition="0">
        <references count="2">
          <reference field="4294967294" count="1" selected="0">
            <x v="0"/>
          </reference>
          <reference field="8" count="1" selected="0">
            <x v="137"/>
          </reference>
        </references>
      </pivotArea>
    </chartFormat>
    <chartFormat chart="13" format="1030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3" format="1031">
      <pivotArea type="data" outline="0" fieldPosition="0">
        <references count="2">
          <reference field="4294967294" count="1" selected="0">
            <x v="0"/>
          </reference>
          <reference field="8" count="1" selected="0">
            <x v="32"/>
          </reference>
        </references>
      </pivotArea>
    </chartFormat>
    <chartFormat chart="13" format="103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4"/>
          </reference>
        </references>
      </pivotArea>
    </chartFormat>
    <chartFormat chart="13" format="103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3"/>
          </reference>
        </references>
      </pivotArea>
    </chartFormat>
    <chartFormat chart="13" format="103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13" format="1035">
      <pivotArea type="data" outline="0" fieldPosition="0">
        <references count="2">
          <reference field="4294967294" count="1" selected="0">
            <x v="0"/>
          </reference>
          <reference field="8" count="1" selected="0">
            <x v="30"/>
          </reference>
        </references>
      </pivotArea>
    </chartFormat>
    <chartFormat chart="13" format="1036">
      <pivotArea type="data" outline="0" fieldPosition="0">
        <references count="2">
          <reference field="4294967294" count="1" selected="0">
            <x v="0"/>
          </reference>
          <reference field="8" count="1" selected="0">
            <x v="103"/>
          </reference>
        </references>
      </pivotArea>
    </chartFormat>
    <chartFormat chart="13" format="1037">
      <pivotArea type="data" outline="0" fieldPosition="0">
        <references count="2">
          <reference field="4294967294" count="1" selected="0">
            <x v="0"/>
          </reference>
          <reference field="8" count="1" selected="0">
            <x v="89"/>
          </reference>
        </references>
      </pivotArea>
    </chartFormat>
    <chartFormat chart="13" format="1038">
      <pivotArea type="data" outline="0" fieldPosition="0">
        <references count="2">
          <reference field="4294967294" count="1" selected="0">
            <x v="0"/>
          </reference>
          <reference field="8" count="1" selected="0">
            <x v="91"/>
          </reference>
        </references>
      </pivotArea>
    </chartFormat>
    <chartFormat chart="13" format="1039">
      <pivotArea type="data" outline="0" fieldPosition="0">
        <references count="2">
          <reference field="4294967294" count="1" selected="0">
            <x v="0"/>
          </reference>
          <reference field="8" count="1" selected="0">
            <x v="44"/>
          </reference>
        </references>
      </pivotArea>
    </chartFormat>
    <chartFormat chart="13" format="1040">
      <pivotArea type="data" outline="0" fieldPosition="0">
        <references count="2">
          <reference field="4294967294" count="1" selected="0">
            <x v="0"/>
          </reference>
          <reference field="8" count="1" selected="0">
            <x v="157"/>
          </reference>
        </references>
      </pivotArea>
    </chartFormat>
    <chartFormat chart="13" format="104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0"/>
          </reference>
        </references>
      </pivotArea>
    </chartFormat>
    <chartFormat chart="13" format="1042">
      <pivotArea type="data" outline="0" fieldPosition="0">
        <references count="2">
          <reference field="4294967294" count="1" selected="0">
            <x v="0"/>
          </reference>
          <reference field="8" count="1" selected="0">
            <x v="38"/>
          </reference>
        </references>
      </pivotArea>
    </chartFormat>
    <chartFormat chart="13" format="1043">
      <pivotArea type="data" outline="0" fieldPosition="0">
        <references count="2">
          <reference field="4294967294" count="1" selected="0">
            <x v="0"/>
          </reference>
          <reference field="8" count="1" selected="0">
            <x v="77"/>
          </reference>
        </references>
      </pivotArea>
    </chartFormat>
    <chartFormat chart="13" format="1044">
      <pivotArea type="data" outline="0" fieldPosition="0">
        <references count="2">
          <reference field="4294967294" count="1" selected="0">
            <x v="0"/>
          </reference>
          <reference field="8" count="1" selected="0">
            <x v="59"/>
          </reference>
        </references>
      </pivotArea>
    </chartFormat>
    <chartFormat chart="13" format="1045">
      <pivotArea type="data" outline="0" fieldPosition="0">
        <references count="2">
          <reference field="4294967294" count="1" selected="0">
            <x v="0"/>
          </reference>
          <reference field="8" count="1" selected="0">
            <x v="58"/>
          </reference>
        </references>
      </pivotArea>
    </chartFormat>
    <chartFormat chart="13" format="1046">
      <pivotArea type="data" outline="0" fieldPosition="0">
        <references count="2">
          <reference field="4294967294" count="1" selected="0">
            <x v="0"/>
          </reference>
          <reference field="8" count="1" selected="0">
            <x v="141"/>
          </reference>
        </references>
      </pivotArea>
    </chartFormat>
    <chartFormat chart="13" format="104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6"/>
          </reference>
        </references>
      </pivotArea>
    </chartFormat>
    <chartFormat chart="13" format="1048">
      <pivotArea type="data" outline="0" fieldPosition="0">
        <references count="2">
          <reference field="4294967294" count="1" selected="0">
            <x v="0"/>
          </reference>
          <reference field="8" count="1" selected="0">
            <x v="99"/>
          </reference>
        </references>
      </pivotArea>
    </chartFormat>
    <chartFormat chart="13" format="1049">
      <pivotArea type="data" outline="0" fieldPosition="0">
        <references count="2">
          <reference field="4294967294" count="1" selected="0">
            <x v="0"/>
          </reference>
          <reference field="8" count="1" selected="0">
            <x v="76"/>
          </reference>
        </references>
      </pivotArea>
    </chartFormat>
    <chartFormat chart="13" format="1050">
      <pivotArea type="data" outline="0" fieldPosition="0">
        <references count="2">
          <reference field="4294967294" count="1" selected="0">
            <x v="0"/>
          </reference>
          <reference field="8" count="1" selected="0">
            <x v="65"/>
          </reference>
        </references>
      </pivotArea>
    </chartFormat>
    <chartFormat chart="13" format="105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4"/>
          </reference>
        </references>
      </pivotArea>
    </chartFormat>
    <chartFormat chart="13" format="105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8"/>
          </reference>
        </references>
      </pivotArea>
    </chartFormat>
    <chartFormat chart="13" format="1053">
      <pivotArea type="data" outline="0" fieldPosition="0">
        <references count="2">
          <reference field="4294967294" count="1" selected="0">
            <x v="0"/>
          </reference>
          <reference field="8" count="1" selected="0">
            <x v="155"/>
          </reference>
        </references>
      </pivotArea>
    </chartFormat>
    <chartFormat chart="13" format="1054">
      <pivotArea type="data" outline="0" fieldPosition="0">
        <references count="2">
          <reference field="4294967294" count="1" selected="0">
            <x v="0"/>
          </reference>
          <reference field="8" count="1" selected="0">
            <x v="146"/>
          </reference>
        </references>
      </pivotArea>
    </chartFormat>
    <chartFormat chart="13" format="105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3" format="1056">
      <pivotArea type="data" outline="0" fieldPosition="0">
        <references count="2">
          <reference field="4294967294" count="1" selected="0">
            <x v="0"/>
          </reference>
          <reference field="8" count="1" selected="0">
            <x v="43"/>
          </reference>
        </references>
      </pivotArea>
    </chartFormat>
    <chartFormat chart="13" format="1057">
      <pivotArea type="data" outline="0" fieldPosition="0">
        <references count="2">
          <reference field="4294967294" count="1" selected="0">
            <x v="0"/>
          </reference>
          <reference field="8" count="1" selected="0">
            <x v="55"/>
          </reference>
        </references>
      </pivotArea>
    </chartFormat>
    <chartFormat chart="13" format="1058">
      <pivotArea type="data" outline="0" fieldPosition="0">
        <references count="2">
          <reference field="4294967294" count="1" selected="0">
            <x v="0"/>
          </reference>
          <reference field="8" count="1" selected="0">
            <x v="109"/>
          </reference>
        </references>
      </pivotArea>
    </chartFormat>
    <chartFormat chart="13" format="1059">
      <pivotArea type="data" outline="0" fieldPosition="0">
        <references count="2">
          <reference field="4294967294" count="1" selected="0">
            <x v="0"/>
          </reference>
          <reference field="8" count="1" selected="0">
            <x v="48"/>
          </reference>
        </references>
      </pivotArea>
    </chartFormat>
    <chartFormat chart="13" format="1060">
      <pivotArea type="data" outline="0" fieldPosition="0">
        <references count="2">
          <reference field="4294967294" count="1" selected="0">
            <x v="0"/>
          </reference>
          <reference field="8" count="1" selected="0">
            <x v="94"/>
          </reference>
        </references>
      </pivotArea>
    </chartFormat>
    <chartFormat chart="13" format="106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13" format="1062">
      <pivotArea type="data" outline="0" fieldPosition="0">
        <references count="2">
          <reference field="4294967294" count="1" selected="0">
            <x v="0"/>
          </reference>
          <reference field="8" count="1" selected="0">
            <x v="98"/>
          </reference>
        </references>
      </pivotArea>
    </chartFormat>
    <chartFormat chart="13" format="1063">
      <pivotArea type="data" outline="0" fieldPosition="0">
        <references count="2">
          <reference field="4294967294" count="1" selected="0">
            <x v="0"/>
          </reference>
          <reference field="8" count="1" selected="0">
            <x v="33"/>
          </reference>
        </references>
      </pivotArea>
    </chartFormat>
    <chartFormat chart="13" format="106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6"/>
          </reference>
        </references>
      </pivotArea>
    </chartFormat>
    <chartFormat chart="13" format="1065">
      <pivotArea type="data" outline="0" fieldPosition="0">
        <references count="2">
          <reference field="4294967294" count="1" selected="0">
            <x v="0"/>
          </reference>
          <reference field="8" count="1" selected="0">
            <x v="84"/>
          </reference>
        </references>
      </pivotArea>
    </chartFormat>
    <chartFormat chart="13" format="1066">
      <pivotArea type="data" outline="0" fieldPosition="0">
        <references count="2">
          <reference field="4294967294" count="1" selected="0">
            <x v="0"/>
          </reference>
          <reference field="8" count="1" selected="0">
            <x v="67"/>
          </reference>
        </references>
      </pivotArea>
    </chartFormat>
    <chartFormat chart="13" format="1067">
      <pivotArea type="data" outline="0" fieldPosition="0">
        <references count="2">
          <reference field="4294967294" count="1" selected="0">
            <x v="0"/>
          </reference>
          <reference field="8" count="1" selected="0">
            <x v="80"/>
          </reference>
        </references>
      </pivotArea>
    </chartFormat>
    <chartFormat chart="13" format="106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9"/>
          </reference>
        </references>
      </pivotArea>
    </chartFormat>
    <chartFormat chart="13" format="1069">
      <pivotArea type="data" outline="0" fieldPosition="0">
        <references count="2">
          <reference field="4294967294" count="1" selected="0">
            <x v="0"/>
          </reference>
          <reference field="8" count="1" selected="0">
            <x v="124"/>
          </reference>
        </references>
      </pivotArea>
    </chartFormat>
    <chartFormat chart="13" format="1070">
      <pivotArea type="data" outline="0" fieldPosition="0">
        <references count="2">
          <reference field="4294967294" count="1" selected="0">
            <x v="0"/>
          </reference>
          <reference field="8" count="1" selected="0">
            <x v="107"/>
          </reference>
        </references>
      </pivotArea>
    </chartFormat>
    <chartFormat chart="13" format="107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6"/>
          </reference>
        </references>
      </pivotArea>
    </chartFormat>
    <chartFormat chart="13" format="1072">
      <pivotArea type="data" outline="0" fieldPosition="0">
        <references count="2">
          <reference field="4294967294" count="1" selected="0">
            <x v="0"/>
          </reference>
          <reference field="8" count="1" selected="0">
            <x v="96"/>
          </reference>
        </references>
      </pivotArea>
    </chartFormat>
    <chartFormat chart="13" format="1073">
      <pivotArea type="data" outline="0" fieldPosition="0">
        <references count="2">
          <reference field="4294967294" count="1" selected="0">
            <x v="0"/>
          </reference>
          <reference field="8" count="1" selected="0">
            <x v="125"/>
          </reference>
        </references>
      </pivotArea>
    </chartFormat>
    <chartFormat chart="13" format="1074">
      <pivotArea type="data" outline="0" fieldPosition="0">
        <references count="2">
          <reference field="4294967294" count="1" selected="0">
            <x v="0"/>
          </reference>
          <reference field="8" count="1" selected="0">
            <x v="105"/>
          </reference>
        </references>
      </pivotArea>
    </chartFormat>
    <chartFormat chart="13" format="107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3" format="1076">
      <pivotArea type="data" outline="0" fieldPosition="0">
        <references count="2">
          <reference field="4294967294" count="1" selected="0">
            <x v="0"/>
          </reference>
          <reference field="8" count="1" selected="0">
            <x v="70"/>
          </reference>
        </references>
      </pivotArea>
    </chartFormat>
    <chartFormat chart="13" format="1077">
      <pivotArea type="data" outline="0" fieldPosition="0">
        <references count="2">
          <reference field="4294967294" count="1" selected="0">
            <x v="0"/>
          </reference>
          <reference field="8" count="1" selected="0">
            <x v="110"/>
          </reference>
        </references>
      </pivotArea>
    </chartFormat>
    <chartFormat chart="13" format="1078">
      <pivotArea type="data" outline="0" fieldPosition="0">
        <references count="2">
          <reference field="4294967294" count="1" selected="0">
            <x v="0"/>
          </reference>
          <reference field="8" count="1" selected="0">
            <x v="85"/>
          </reference>
        </references>
      </pivotArea>
    </chartFormat>
    <chartFormat chart="13" format="1079">
      <pivotArea type="data" outline="0" fieldPosition="0">
        <references count="2">
          <reference field="4294967294" count="1" selected="0">
            <x v="0"/>
          </reference>
          <reference field="8" count="1" selected="0">
            <x v="74"/>
          </reference>
        </references>
      </pivotArea>
    </chartFormat>
    <chartFormat chart="13" format="1080">
      <pivotArea type="data" outline="0" fieldPosition="0">
        <references count="2">
          <reference field="4294967294" count="1" selected="0">
            <x v="0"/>
          </reference>
          <reference field="8" count="1" selected="0">
            <x v="123"/>
          </reference>
        </references>
      </pivotArea>
    </chartFormat>
    <chartFormat chart="13" format="108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7"/>
          </reference>
        </references>
      </pivotArea>
    </chartFormat>
    <chartFormat chart="13" format="1082">
      <pivotArea type="data" outline="0" fieldPosition="0">
        <references count="2">
          <reference field="4294967294" count="1" selected="0">
            <x v="0"/>
          </reference>
          <reference field="8" count="1" selected="0">
            <x v="41"/>
          </reference>
        </references>
      </pivotArea>
    </chartFormat>
    <chartFormat chart="13" format="108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1"/>
          </reference>
        </references>
      </pivotArea>
    </chartFormat>
    <chartFormat chart="13" format="1084">
      <pivotArea type="data" outline="0" fieldPosition="0">
        <references count="2">
          <reference field="4294967294" count="1" selected="0">
            <x v="0"/>
          </reference>
          <reference field="8" count="1" selected="0">
            <x v="116"/>
          </reference>
        </references>
      </pivotArea>
    </chartFormat>
    <chartFormat chart="13" format="108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1"/>
          </reference>
        </references>
      </pivotArea>
    </chartFormat>
    <chartFormat chart="13" format="1086">
      <pivotArea type="data" outline="0" fieldPosition="0">
        <references count="2">
          <reference field="4294967294" count="1" selected="0">
            <x v="0"/>
          </reference>
          <reference field="8" count="1" selected="0">
            <x v="115"/>
          </reference>
        </references>
      </pivotArea>
    </chartFormat>
    <chartFormat chart="13" format="1087">
      <pivotArea type="data" outline="0" fieldPosition="0">
        <references count="2">
          <reference field="4294967294" count="1" selected="0">
            <x v="0"/>
          </reference>
          <reference field="8" count="1" selected="0">
            <x v="42"/>
          </reference>
        </references>
      </pivotArea>
    </chartFormat>
    <chartFormat chart="13" format="1088">
      <pivotArea type="data" outline="0" fieldPosition="0">
        <references count="2">
          <reference field="4294967294" count="1" selected="0">
            <x v="0"/>
          </reference>
          <reference field="8" count="1" selected="0">
            <x v="104"/>
          </reference>
        </references>
      </pivotArea>
    </chartFormat>
    <chartFormat chart="13" format="1089">
      <pivotArea type="data" outline="0" fieldPosition="0">
        <references count="2">
          <reference field="4294967294" count="1" selected="0">
            <x v="0"/>
          </reference>
          <reference field="8" count="1" selected="0">
            <x v="147"/>
          </reference>
        </references>
      </pivotArea>
    </chartFormat>
    <chartFormat chart="13" format="1090">
      <pivotArea type="data" outline="0" fieldPosition="0">
        <references count="2">
          <reference field="4294967294" count="1" selected="0">
            <x v="0"/>
          </reference>
          <reference field="8" count="1" selected="0">
            <x v="56"/>
          </reference>
        </references>
      </pivotArea>
    </chartFormat>
    <chartFormat chart="13" format="109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6"/>
          </reference>
        </references>
      </pivotArea>
    </chartFormat>
    <chartFormat chart="13" format="109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9"/>
          </reference>
        </references>
      </pivotArea>
    </chartFormat>
    <chartFormat chart="13" format="1093">
      <pivotArea type="data" outline="0" fieldPosition="0">
        <references count="2">
          <reference field="4294967294" count="1" selected="0">
            <x v="0"/>
          </reference>
          <reference field="8" count="1" selected="0">
            <x v="92"/>
          </reference>
        </references>
      </pivotArea>
    </chartFormat>
    <chartFormat chart="13" format="109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2"/>
          </reference>
        </references>
      </pivotArea>
    </chartFormat>
    <chartFormat chart="13" format="1095">
      <pivotArea type="data" outline="0" fieldPosition="0">
        <references count="2">
          <reference field="4294967294" count="1" selected="0">
            <x v="0"/>
          </reference>
          <reference field="8" count="1" selected="0">
            <x v="39"/>
          </reference>
        </references>
      </pivotArea>
    </chartFormat>
    <chartFormat chart="13" format="1096">
      <pivotArea type="data" outline="0" fieldPosition="0">
        <references count="2">
          <reference field="4294967294" count="1" selected="0">
            <x v="0"/>
          </reference>
          <reference field="8" count="1" selected="0">
            <x v="72"/>
          </reference>
        </references>
      </pivotArea>
    </chartFormat>
    <chartFormat chart="13" format="1097">
      <pivotArea type="data" outline="0" fieldPosition="0">
        <references count="2">
          <reference field="4294967294" count="1" selected="0">
            <x v="0"/>
          </reference>
          <reference field="8" count="1" selected="0">
            <x v="129"/>
          </reference>
        </references>
      </pivotArea>
    </chartFormat>
    <chartFormat chart="13" format="1098">
      <pivotArea type="data" outline="0" fieldPosition="0">
        <references count="2">
          <reference field="4294967294" count="1" selected="0">
            <x v="0"/>
          </reference>
          <reference field="8" count="1" selected="0">
            <x v="75"/>
          </reference>
        </references>
      </pivotArea>
    </chartFormat>
    <chartFormat chart="13" format="1099">
      <pivotArea type="data" outline="0" fieldPosition="0">
        <references count="2">
          <reference field="4294967294" count="1" selected="0">
            <x v="0"/>
          </reference>
          <reference field="8" count="1" selected="0">
            <x v="127"/>
          </reference>
        </references>
      </pivotArea>
    </chartFormat>
    <chartFormat chart="13" format="1100">
      <pivotArea type="data" outline="0" fieldPosition="0">
        <references count="2">
          <reference field="4294967294" count="1" selected="0">
            <x v="0"/>
          </reference>
          <reference field="8" count="1" selected="0">
            <x v="151"/>
          </reference>
        </references>
      </pivotArea>
    </chartFormat>
    <chartFormat chart="13" format="110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2"/>
          </reference>
        </references>
      </pivotArea>
    </chartFormat>
    <chartFormat chart="13" format="1102">
      <pivotArea type="data" outline="0" fieldPosition="0">
        <references count="2">
          <reference field="4294967294" count="1" selected="0">
            <x v="0"/>
          </reference>
          <reference field="8" count="1" selected="0">
            <x v="158"/>
          </reference>
        </references>
      </pivotArea>
    </chartFormat>
    <chartFormat chart="13" format="1103">
      <pivotArea type="data" outline="0" fieldPosition="0">
        <references count="2">
          <reference field="4294967294" count="1" selected="0">
            <x v="0"/>
          </reference>
          <reference field="8" count="1" selected="0">
            <x v="35"/>
          </reference>
        </references>
      </pivotArea>
    </chartFormat>
    <chartFormat chart="13" format="1104">
      <pivotArea type="data" outline="0" fieldPosition="0">
        <references count="2">
          <reference field="4294967294" count="1" selected="0">
            <x v="0"/>
          </reference>
          <reference field="8" count="1" selected="0">
            <x v="130"/>
          </reference>
        </references>
      </pivotArea>
    </chartFormat>
    <chartFormat chart="13" format="110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2"/>
          </reference>
        </references>
      </pivotArea>
    </chartFormat>
    <chartFormat chart="13" format="1106">
      <pivotArea type="data" outline="0" fieldPosition="0">
        <references count="2">
          <reference field="4294967294" count="1" selected="0">
            <x v="0"/>
          </reference>
          <reference field="8" count="1" selected="0">
            <x v="26"/>
          </reference>
        </references>
      </pivotArea>
    </chartFormat>
    <chartFormat chart="13" format="1107">
      <pivotArea type="data" outline="0" fieldPosition="0">
        <references count="2">
          <reference field="4294967294" count="1" selected="0">
            <x v="0"/>
          </reference>
          <reference field="8" count="1" selected="0">
            <x v="120"/>
          </reference>
        </references>
      </pivotArea>
    </chartFormat>
    <chartFormat chart="13" format="1108">
      <pivotArea type="data" outline="0" fieldPosition="0">
        <references count="2">
          <reference field="4294967294" count="1" selected="0">
            <x v="0"/>
          </reference>
          <reference field="8" count="1" selected="0">
            <x v="87"/>
          </reference>
        </references>
      </pivotArea>
    </chartFormat>
    <chartFormat chart="13" format="1109">
      <pivotArea type="data" outline="0" fieldPosition="0">
        <references count="2">
          <reference field="4294967294" count="1" selected="0">
            <x v="0"/>
          </reference>
          <reference field="8" count="1" selected="0">
            <x v="36"/>
          </reference>
        </references>
      </pivotArea>
    </chartFormat>
    <chartFormat chart="13" format="1110">
      <pivotArea type="data" outline="0" fieldPosition="0">
        <references count="2">
          <reference field="4294967294" count="1" selected="0">
            <x v="0"/>
          </reference>
          <reference field="8" count="1" selected="0">
            <x v="95"/>
          </reference>
        </references>
      </pivotArea>
    </chartFormat>
    <chartFormat chart="13" format="11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2"/>
          </reference>
        </references>
      </pivotArea>
    </chartFormat>
    <chartFormat chart="13" format="1112">
      <pivotArea type="data" outline="0" fieldPosition="0">
        <references count="2">
          <reference field="4294967294" count="1" selected="0">
            <x v="0"/>
          </reference>
          <reference field="8" count="1" selected="0">
            <x v="97"/>
          </reference>
        </references>
      </pivotArea>
    </chartFormat>
    <chartFormat chart="13" format="1113">
      <pivotArea type="data" outline="0" fieldPosition="0">
        <references count="2">
          <reference field="4294967294" count="1" selected="0">
            <x v="0"/>
          </reference>
          <reference field="8" count="1" selected="0">
            <x v="71"/>
          </reference>
        </references>
      </pivotArea>
    </chartFormat>
    <chartFormat chart="13" format="11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1"/>
          </reference>
        </references>
      </pivotArea>
    </chartFormat>
    <chartFormat chart="13" format="111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8"/>
          </reference>
        </references>
      </pivotArea>
    </chartFormat>
    <chartFormat chart="13" format="1116">
      <pivotArea type="data" outline="0" fieldPosition="0">
        <references count="2">
          <reference field="4294967294" count="1" selected="0">
            <x v="0"/>
          </reference>
          <reference field="8" count="1" selected="0">
            <x v="133"/>
          </reference>
        </references>
      </pivotArea>
    </chartFormat>
    <chartFormat chart="13" format="111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5"/>
          </reference>
        </references>
      </pivotArea>
    </chartFormat>
    <chartFormat chart="13" format="1118">
      <pivotArea type="data" outline="0" fieldPosition="0">
        <references count="2">
          <reference field="4294967294" count="1" selected="0">
            <x v="0"/>
          </reference>
          <reference field="8" count="1" selected="0">
            <x v="131"/>
          </reference>
        </references>
      </pivotArea>
    </chartFormat>
    <chartFormat chart="13" format="1119">
      <pivotArea type="data" outline="0" fieldPosition="0">
        <references count="2">
          <reference field="4294967294" count="1" selected="0">
            <x v="0"/>
          </reference>
          <reference field="8" count="1" selected="0">
            <x v="69"/>
          </reference>
        </references>
      </pivotArea>
    </chartFormat>
    <chartFormat chart="14" format="128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28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8"/>
          </reference>
        </references>
      </pivotArea>
    </chartFormat>
    <chartFormat chart="14" format="1282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14" format="1283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14" format="1284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14" format="1285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14" format="1286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14" format="1287">
      <pivotArea type="data" outline="0" fieldPosition="0">
        <references count="2">
          <reference field="4294967294" count="1" selected="0">
            <x v="0"/>
          </reference>
          <reference field="8" count="1" selected="0">
            <x v="64"/>
          </reference>
        </references>
      </pivotArea>
    </chartFormat>
    <chartFormat chart="14" format="128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0"/>
          </reference>
        </references>
      </pivotArea>
    </chartFormat>
    <chartFormat chart="14" format="1289">
      <pivotArea type="data" outline="0" fieldPosition="0">
        <references count="2">
          <reference field="4294967294" count="1" selected="0">
            <x v="0"/>
          </reference>
          <reference field="8" count="1" selected="0">
            <x v="28"/>
          </reference>
        </references>
      </pivotArea>
    </chartFormat>
    <chartFormat chart="14" format="1290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14" format="129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14" format="1292">
      <pivotArea type="data" outline="0" fieldPosition="0">
        <references count="2">
          <reference field="4294967294" count="1" selected="0">
            <x v="0"/>
          </reference>
          <reference field="8" count="1" selected="0">
            <x v="139"/>
          </reference>
        </references>
      </pivotArea>
    </chartFormat>
    <chartFormat chart="14" format="1293">
      <pivotArea type="data" outline="0" fieldPosition="0">
        <references count="2">
          <reference field="4294967294" count="1" selected="0">
            <x v="0"/>
          </reference>
          <reference field="8" count="1" selected="0">
            <x v="52"/>
          </reference>
        </references>
      </pivotArea>
    </chartFormat>
    <chartFormat chart="14" format="1294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14" format="1295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14" format="1296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14" format="1297">
      <pivotArea type="data" outline="0" fieldPosition="0">
        <references count="2">
          <reference field="4294967294" count="1" selected="0">
            <x v="0"/>
          </reference>
          <reference field="8" count="1" selected="0">
            <x v="27"/>
          </reference>
        </references>
      </pivotArea>
    </chartFormat>
    <chartFormat chart="14" format="129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3"/>
          </reference>
        </references>
      </pivotArea>
    </chartFormat>
    <chartFormat chart="14" format="1299">
      <pivotArea type="data" outline="0" fieldPosition="0">
        <references count="2">
          <reference field="4294967294" count="1" selected="0">
            <x v="0"/>
          </reference>
          <reference field="8" count="1" selected="0">
            <x v="45"/>
          </reference>
        </references>
      </pivotArea>
    </chartFormat>
    <chartFormat chart="14" format="1300">
      <pivotArea type="data" outline="0" fieldPosition="0">
        <references count="2">
          <reference field="4294967294" count="1" selected="0">
            <x v="0"/>
          </reference>
          <reference field="8" count="1" selected="0">
            <x v="61"/>
          </reference>
        </references>
      </pivotArea>
    </chartFormat>
    <chartFormat chart="14" format="130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14" format="1302">
      <pivotArea type="data" outline="0" fieldPosition="0">
        <references count="2">
          <reference field="4294967294" count="1" selected="0">
            <x v="0"/>
          </reference>
          <reference field="8" count="1" selected="0">
            <x v="153"/>
          </reference>
        </references>
      </pivotArea>
    </chartFormat>
    <chartFormat chart="14" format="1303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14" format="130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0"/>
          </reference>
        </references>
      </pivotArea>
    </chartFormat>
    <chartFormat chart="14" format="130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14" format="1306">
      <pivotArea type="data" outline="0" fieldPosition="0">
        <references count="2">
          <reference field="4294967294" count="1" selected="0">
            <x v="0"/>
          </reference>
          <reference field="8" count="1" selected="0">
            <x v="46"/>
          </reference>
        </references>
      </pivotArea>
    </chartFormat>
    <chartFormat chart="14" format="1307">
      <pivotArea type="data" outline="0" fieldPosition="0">
        <references count="2">
          <reference field="4294967294" count="1" selected="0">
            <x v="0"/>
          </reference>
          <reference field="8" count="1" selected="0">
            <x v="68"/>
          </reference>
        </references>
      </pivotArea>
    </chartFormat>
    <chartFormat chart="14" format="1308">
      <pivotArea type="data" outline="0" fieldPosition="0">
        <references count="2">
          <reference field="4294967294" count="1" selected="0">
            <x v="0"/>
          </reference>
          <reference field="8" count="1" selected="0">
            <x v="53"/>
          </reference>
        </references>
      </pivotArea>
    </chartFormat>
    <chartFormat chart="14" format="1309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4" format="1310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14" format="13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4"/>
          </reference>
        </references>
      </pivotArea>
    </chartFormat>
    <chartFormat chart="14" format="1312">
      <pivotArea type="data" outline="0" fieldPosition="0">
        <references count="2">
          <reference field="4294967294" count="1" selected="0">
            <x v="0"/>
          </reference>
          <reference field="8" count="1" selected="0">
            <x v="37"/>
          </reference>
        </references>
      </pivotArea>
    </chartFormat>
    <chartFormat chart="14" format="1313">
      <pivotArea type="data" outline="0" fieldPosition="0">
        <references count="2">
          <reference field="4294967294" count="1" selected="0">
            <x v="0"/>
          </reference>
          <reference field="8" count="1" selected="0">
            <x v="54"/>
          </reference>
        </references>
      </pivotArea>
    </chartFormat>
    <chartFormat chart="14" format="13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45"/>
          </reference>
        </references>
      </pivotArea>
    </chartFormat>
    <chartFormat chart="14" format="131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2"/>
          </reference>
        </references>
      </pivotArea>
    </chartFormat>
    <chartFormat chart="14" format="1316">
      <pivotArea type="data" outline="0" fieldPosition="0">
        <references count="2">
          <reference field="4294967294" count="1" selected="0">
            <x v="0"/>
          </reference>
          <reference field="8" count="1" selected="0">
            <x v="86"/>
          </reference>
        </references>
      </pivotArea>
    </chartFormat>
    <chartFormat chart="14" format="1317">
      <pivotArea type="data" outline="0" fieldPosition="0">
        <references count="2">
          <reference field="4294967294" count="1" selected="0">
            <x v="0"/>
          </reference>
          <reference field="8" count="1" selected="0">
            <x v="51"/>
          </reference>
        </references>
      </pivotArea>
    </chartFormat>
    <chartFormat chart="14" format="1318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14" format="1319">
      <pivotArea type="data" outline="0" fieldPosition="0">
        <references count="2">
          <reference field="4294967294" count="1" selected="0">
            <x v="0"/>
          </reference>
          <reference field="8" count="1" selected="0">
            <x v="40"/>
          </reference>
        </references>
      </pivotArea>
    </chartFormat>
    <chartFormat chart="14" format="1320">
      <pivotArea type="data" outline="0" fieldPosition="0">
        <references count="2">
          <reference field="4294967294" count="1" selected="0">
            <x v="0"/>
          </reference>
          <reference field="8" count="1" selected="0">
            <x v="49"/>
          </reference>
        </references>
      </pivotArea>
    </chartFormat>
    <chartFormat chart="14" format="132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14" format="1322">
      <pivotArea type="data" outline="0" fieldPosition="0">
        <references count="2">
          <reference field="4294967294" count="1" selected="0">
            <x v="0"/>
          </reference>
          <reference field="8" count="1" selected="0">
            <x v="78"/>
          </reference>
        </references>
      </pivotArea>
    </chartFormat>
    <chartFormat chart="14" format="1323">
      <pivotArea type="data" outline="0" fieldPosition="0">
        <references count="2">
          <reference field="4294967294" count="1" selected="0">
            <x v="0"/>
          </reference>
          <reference field="8" count="1" selected="0">
            <x v="81"/>
          </reference>
        </references>
      </pivotArea>
    </chartFormat>
    <chartFormat chart="14" format="132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4"/>
          </reference>
        </references>
      </pivotArea>
    </chartFormat>
    <chartFormat chart="14" format="132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4" format="1326">
      <pivotArea type="data" outline="0" fieldPosition="0">
        <references count="2">
          <reference field="4294967294" count="1" selected="0">
            <x v="0"/>
          </reference>
          <reference field="8" count="1" selected="0">
            <x v="144"/>
          </reference>
        </references>
      </pivotArea>
    </chartFormat>
    <chartFormat chart="14" format="132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8"/>
          </reference>
        </references>
      </pivotArea>
    </chartFormat>
    <chartFormat chart="14" format="1328">
      <pivotArea type="data" outline="0" fieldPosition="0">
        <references count="2">
          <reference field="4294967294" count="1" selected="0">
            <x v="0"/>
          </reference>
          <reference field="8" count="1" selected="0">
            <x v="47"/>
          </reference>
        </references>
      </pivotArea>
    </chartFormat>
    <chartFormat chart="14" format="1329">
      <pivotArea type="data" outline="0" fieldPosition="0">
        <references count="2">
          <reference field="4294967294" count="1" selected="0">
            <x v="0"/>
          </reference>
          <reference field="8" count="1" selected="0">
            <x v="63"/>
          </reference>
        </references>
      </pivotArea>
    </chartFormat>
    <chartFormat chart="14" format="1330">
      <pivotArea type="data" outline="0" fieldPosition="0">
        <references count="2">
          <reference field="4294967294" count="1" selected="0">
            <x v="0"/>
          </reference>
          <reference field="8" count="1" selected="0">
            <x v="112"/>
          </reference>
        </references>
      </pivotArea>
    </chartFormat>
    <chartFormat chart="14" format="1331">
      <pivotArea type="data" outline="0" fieldPosition="0">
        <references count="2">
          <reference field="4294967294" count="1" selected="0">
            <x v="0"/>
          </reference>
          <reference field="8" count="1" selected="0">
            <x v="31"/>
          </reference>
        </references>
      </pivotArea>
    </chartFormat>
    <chartFormat chart="14" format="1332">
      <pivotArea type="data" outline="0" fieldPosition="0">
        <references count="2">
          <reference field="4294967294" count="1" selected="0">
            <x v="0"/>
          </reference>
          <reference field="8" count="1" selected="0">
            <x v="73"/>
          </reference>
        </references>
      </pivotArea>
    </chartFormat>
    <chartFormat chart="14" format="1333">
      <pivotArea type="data" outline="0" fieldPosition="0">
        <references count="2">
          <reference field="4294967294" count="1" selected="0">
            <x v="0"/>
          </reference>
          <reference field="8" count="1" selected="0">
            <x v="83"/>
          </reference>
        </references>
      </pivotArea>
    </chartFormat>
    <chartFormat chart="14" format="1334">
      <pivotArea type="data" outline="0" fieldPosition="0">
        <references count="2">
          <reference field="4294967294" count="1" selected="0">
            <x v="0"/>
          </reference>
          <reference field="8" count="1" selected="0">
            <x v="79"/>
          </reference>
        </references>
      </pivotArea>
    </chartFormat>
    <chartFormat chart="14" format="133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14" format="1336">
      <pivotArea type="data" outline="0" fieldPosition="0">
        <references count="2">
          <reference field="4294967294" count="1" selected="0">
            <x v="0"/>
          </reference>
          <reference field="8" count="1" selected="0">
            <x v="82"/>
          </reference>
        </references>
      </pivotArea>
    </chartFormat>
    <chartFormat chart="14" format="1337">
      <pivotArea type="data" outline="0" fieldPosition="0">
        <references count="2">
          <reference field="4294967294" count="1" selected="0">
            <x v="0"/>
          </reference>
          <reference field="8" count="1" selected="0">
            <x v="62"/>
          </reference>
        </references>
      </pivotArea>
    </chartFormat>
    <chartFormat chart="14" format="1338">
      <pivotArea type="data" outline="0" fieldPosition="0">
        <references count="2">
          <reference field="4294967294" count="1" selected="0">
            <x v="0"/>
          </reference>
          <reference field="8" count="1" selected="0">
            <x v="88"/>
          </reference>
        </references>
      </pivotArea>
    </chartFormat>
    <chartFormat chart="14" format="1339">
      <pivotArea type="data" outline="0" fieldPosition="0">
        <references count="2">
          <reference field="4294967294" count="1" selected="0">
            <x v="0"/>
          </reference>
          <reference field="8" count="1" selected="0">
            <x v="90"/>
          </reference>
        </references>
      </pivotArea>
    </chartFormat>
    <chartFormat chart="14" format="1340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14" format="134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8"/>
          </reference>
        </references>
      </pivotArea>
    </chartFormat>
    <chartFormat chart="14" format="1342">
      <pivotArea type="data" outline="0" fieldPosition="0">
        <references count="2">
          <reference field="4294967294" count="1" selected="0">
            <x v="0"/>
          </reference>
          <reference field="8" count="1" selected="0">
            <x v="66"/>
          </reference>
        </references>
      </pivotArea>
    </chartFormat>
    <chartFormat chart="14" format="1343">
      <pivotArea type="data" outline="0" fieldPosition="0">
        <references count="2">
          <reference field="4294967294" count="1" selected="0">
            <x v="0"/>
          </reference>
          <reference field="8" count="1" selected="0">
            <x v="60"/>
          </reference>
        </references>
      </pivotArea>
    </chartFormat>
    <chartFormat chart="14" format="1344">
      <pivotArea type="data" outline="0" fieldPosition="0">
        <references count="2">
          <reference field="4294967294" count="1" selected="0">
            <x v="0"/>
          </reference>
          <reference field="8" count="1" selected="0">
            <x v="50"/>
          </reference>
        </references>
      </pivotArea>
    </chartFormat>
    <chartFormat chart="14" format="1345">
      <pivotArea type="data" outline="0" fieldPosition="0">
        <references count="2">
          <reference field="4294967294" count="1" selected="0">
            <x v="0"/>
          </reference>
          <reference field="8" count="1" selected="0">
            <x v="57"/>
          </reference>
        </references>
      </pivotArea>
    </chartFormat>
    <chartFormat chart="14" format="1346">
      <pivotArea type="data" outline="0" fieldPosition="0">
        <references count="2">
          <reference field="4294967294" count="1" selected="0">
            <x v="0"/>
          </reference>
          <reference field="8" count="1" selected="0">
            <x v="93"/>
          </reference>
        </references>
      </pivotArea>
    </chartFormat>
    <chartFormat chart="14" format="1347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4" format="134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4" format="1349">
      <pivotArea type="data" outline="0" fieldPosition="0">
        <references count="2">
          <reference field="4294967294" count="1" selected="0">
            <x v="0"/>
          </reference>
          <reference field="8" count="1" selected="0">
            <x v="137"/>
          </reference>
        </references>
      </pivotArea>
    </chartFormat>
    <chartFormat chart="14" format="1350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4" format="1351">
      <pivotArea type="data" outline="0" fieldPosition="0">
        <references count="2">
          <reference field="4294967294" count="1" selected="0">
            <x v="0"/>
          </reference>
          <reference field="8" count="1" selected="0">
            <x v="32"/>
          </reference>
        </references>
      </pivotArea>
    </chartFormat>
    <chartFormat chart="14" format="135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4"/>
          </reference>
        </references>
      </pivotArea>
    </chartFormat>
    <chartFormat chart="14" format="135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3"/>
          </reference>
        </references>
      </pivotArea>
    </chartFormat>
    <chartFormat chart="14" format="135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14" format="1355">
      <pivotArea type="data" outline="0" fieldPosition="0">
        <references count="2">
          <reference field="4294967294" count="1" selected="0">
            <x v="0"/>
          </reference>
          <reference field="8" count="1" selected="0">
            <x v="30"/>
          </reference>
        </references>
      </pivotArea>
    </chartFormat>
    <chartFormat chart="14" format="1356">
      <pivotArea type="data" outline="0" fieldPosition="0">
        <references count="2">
          <reference field="4294967294" count="1" selected="0">
            <x v="0"/>
          </reference>
          <reference field="8" count="1" selected="0">
            <x v="103"/>
          </reference>
        </references>
      </pivotArea>
    </chartFormat>
    <chartFormat chart="14" format="1357">
      <pivotArea type="data" outline="0" fieldPosition="0">
        <references count="2">
          <reference field="4294967294" count="1" selected="0">
            <x v="0"/>
          </reference>
          <reference field="8" count="1" selected="0">
            <x v="89"/>
          </reference>
        </references>
      </pivotArea>
    </chartFormat>
    <chartFormat chart="14" format="1358">
      <pivotArea type="data" outline="0" fieldPosition="0">
        <references count="2">
          <reference field="4294967294" count="1" selected="0">
            <x v="0"/>
          </reference>
          <reference field="8" count="1" selected="0">
            <x v="91"/>
          </reference>
        </references>
      </pivotArea>
    </chartFormat>
    <chartFormat chart="14" format="1359">
      <pivotArea type="data" outline="0" fieldPosition="0">
        <references count="2">
          <reference field="4294967294" count="1" selected="0">
            <x v="0"/>
          </reference>
          <reference field="8" count="1" selected="0">
            <x v="44"/>
          </reference>
        </references>
      </pivotArea>
    </chartFormat>
    <chartFormat chart="14" format="1360">
      <pivotArea type="data" outline="0" fieldPosition="0">
        <references count="2">
          <reference field="4294967294" count="1" selected="0">
            <x v="0"/>
          </reference>
          <reference field="8" count="1" selected="0">
            <x v="157"/>
          </reference>
        </references>
      </pivotArea>
    </chartFormat>
    <chartFormat chart="14" format="136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0"/>
          </reference>
        </references>
      </pivotArea>
    </chartFormat>
    <chartFormat chart="14" format="1362">
      <pivotArea type="data" outline="0" fieldPosition="0">
        <references count="2">
          <reference field="4294967294" count="1" selected="0">
            <x v="0"/>
          </reference>
          <reference field="8" count="1" selected="0">
            <x v="38"/>
          </reference>
        </references>
      </pivotArea>
    </chartFormat>
    <chartFormat chart="14" format="1363">
      <pivotArea type="data" outline="0" fieldPosition="0">
        <references count="2">
          <reference field="4294967294" count="1" selected="0">
            <x v="0"/>
          </reference>
          <reference field="8" count="1" selected="0">
            <x v="77"/>
          </reference>
        </references>
      </pivotArea>
    </chartFormat>
    <chartFormat chart="14" format="1364">
      <pivotArea type="data" outline="0" fieldPosition="0">
        <references count="2">
          <reference field="4294967294" count="1" selected="0">
            <x v="0"/>
          </reference>
          <reference field="8" count="1" selected="0">
            <x v="59"/>
          </reference>
        </references>
      </pivotArea>
    </chartFormat>
    <chartFormat chart="14" format="1365">
      <pivotArea type="data" outline="0" fieldPosition="0">
        <references count="2">
          <reference field="4294967294" count="1" selected="0">
            <x v="0"/>
          </reference>
          <reference field="8" count="1" selected="0">
            <x v="58"/>
          </reference>
        </references>
      </pivotArea>
    </chartFormat>
    <chartFormat chart="14" format="1366">
      <pivotArea type="data" outline="0" fieldPosition="0">
        <references count="2">
          <reference field="4294967294" count="1" selected="0">
            <x v="0"/>
          </reference>
          <reference field="8" count="1" selected="0">
            <x v="141"/>
          </reference>
        </references>
      </pivotArea>
    </chartFormat>
    <chartFormat chart="14" format="136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6"/>
          </reference>
        </references>
      </pivotArea>
    </chartFormat>
    <chartFormat chart="14" format="1368">
      <pivotArea type="data" outline="0" fieldPosition="0">
        <references count="2">
          <reference field="4294967294" count="1" selected="0">
            <x v="0"/>
          </reference>
          <reference field="8" count="1" selected="0">
            <x v="99"/>
          </reference>
        </references>
      </pivotArea>
    </chartFormat>
    <chartFormat chart="14" format="1369">
      <pivotArea type="data" outline="0" fieldPosition="0">
        <references count="2">
          <reference field="4294967294" count="1" selected="0">
            <x v="0"/>
          </reference>
          <reference field="8" count="1" selected="0">
            <x v="76"/>
          </reference>
        </references>
      </pivotArea>
    </chartFormat>
    <chartFormat chart="14" format="1370">
      <pivotArea type="data" outline="0" fieldPosition="0">
        <references count="2">
          <reference field="4294967294" count="1" selected="0">
            <x v="0"/>
          </reference>
          <reference field="8" count="1" selected="0">
            <x v="65"/>
          </reference>
        </references>
      </pivotArea>
    </chartFormat>
    <chartFormat chart="14" format="137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4"/>
          </reference>
        </references>
      </pivotArea>
    </chartFormat>
    <chartFormat chart="14" format="137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8"/>
          </reference>
        </references>
      </pivotArea>
    </chartFormat>
    <chartFormat chart="14" format="1373">
      <pivotArea type="data" outline="0" fieldPosition="0">
        <references count="2">
          <reference field="4294967294" count="1" selected="0">
            <x v="0"/>
          </reference>
          <reference field="8" count="1" selected="0">
            <x v="155"/>
          </reference>
        </references>
      </pivotArea>
    </chartFormat>
    <chartFormat chart="14" format="1374">
      <pivotArea type="data" outline="0" fieldPosition="0">
        <references count="2">
          <reference field="4294967294" count="1" selected="0">
            <x v="0"/>
          </reference>
          <reference field="8" count="1" selected="0">
            <x v="146"/>
          </reference>
        </references>
      </pivotArea>
    </chartFormat>
    <chartFormat chart="14" format="137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4" format="1376">
      <pivotArea type="data" outline="0" fieldPosition="0">
        <references count="2">
          <reference field="4294967294" count="1" selected="0">
            <x v="0"/>
          </reference>
          <reference field="8" count="1" selected="0">
            <x v="43"/>
          </reference>
        </references>
      </pivotArea>
    </chartFormat>
    <chartFormat chart="14" format="1377">
      <pivotArea type="data" outline="0" fieldPosition="0">
        <references count="2">
          <reference field="4294967294" count="1" selected="0">
            <x v="0"/>
          </reference>
          <reference field="8" count="1" selected="0">
            <x v="55"/>
          </reference>
        </references>
      </pivotArea>
    </chartFormat>
    <chartFormat chart="14" format="1378">
      <pivotArea type="data" outline="0" fieldPosition="0">
        <references count="2">
          <reference field="4294967294" count="1" selected="0">
            <x v="0"/>
          </reference>
          <reference field="8" count="1" selected="0">
            <x v="109"/>
          </reference>
        </references>
      </pivotArea>
    </chartFormat>
    <chartFormat chart="14" format="1379">
      <pivotArea type="data" outline="0" fieldPosition="0">
        <references count="2">
          <reference field="4294967294" count="1" selected="0">
            <x v="0"/>
          </reference>
          <reference field="8" count="1" selected="0">
            <x v="48"/>
          </reference>
        </references>
      </pivotArea>
    </chartFormat>
    <chartFormat chart="14" format="1380">
      <pivotArea type="data" outline="0" fieldPosition="0">
        <references count="2">
          <reference field="4294967294" count="1" selected="0">
            <x v="0"/>
          </reference>
          <reference field="8" count="1" selected="0">
            <x v="94"/>
          </reference>
        </references>
      </pivotArea>
    </chartFormat>
    <chartFormat chart="14" format="138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14" format="1382">
      <pivotArea type="data" outline="0" fieldPosition="0">
        <references count="2">
          <reference field="4294967294" count="1" selected="0">
            <x v="0"/>
          </reference>
          <reference field="8" count="1" selected="0">
            <x v="98"/>
          </reference>
        </references>
      </pivotArea>
    </chartFormat>
    <chartFormat chart="14" format="1383">
      <pivotArea type="data" outline="0" fieldPosition="0">
        <references count="2">
          <reference field="4294967294" count="1" selected="0">
            <x v="0"/>
          </reference>
          <reference field="8" count="1" selected="0">
            <x v="33"/>
          </reference>
        </references>
      </pivotArea>
    </chartFormat>
    <chartFormat chart="14" format="138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6"/>
          </reference>
        </references>
      </pivotArea>
    </chartFormat>
    <chartFormat chart="14" format="1385">
      <pivotArea type="data" outline="0" fieldPosition="0">
        <references count="2">
          <reference field="4294967294" count="1" selected="0">
            <x v="0"/>
          </reference>
          <reference field="8" count="1" selected="0">
            <x v="84"/>
          </reference>
        </references>
      </pivotArea>
    </chartFormat>
    <chartFormat chart="14" format="1386">
      <pivotArea type="data" outline="0" fieldPosition="0">
        <references count="2">
          <reference field="4294967294" count="1" selected="0">
            <x v="0"/>
          </reference>
          <reference field="8" count="1" selected="0">
            <x v="67"/>
          </reference>
        </references>
      </pivotArea>
    </chartFormat>
    <chartFormat chart="14" format="1387">
      <pivotArea type="data" outline="0" fieldPosition="0">
        <references count="2">
          <reference field="4294967294" count="1" selected="0">
            <x v="0"/>
          </reference>
          <reference field="8" count="1" selected="0">
            <x v="80"/>
          </reference>
        </references>
      </pivotArea>
    </chartFormat>
    <chartFormat chart="14" format="138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9"/>
          </reference>
        </references>
      </pivotArea>
    </chartFormat>
    <chartFormat chart="14" format="1389">
      <pivotArea type="data" outline="0" fieldPosition="0">
        <references count="2">
          <reference field="4294967294" count="1" selected="0">
            <x v="0"/>
          </reference>
          <reference field="8" count="1" selected="0">
            <x v="124"/>
          </reference>
        </references>
      </pivotArea>
    </chartFormat>
    <chartFormat chart="14" format="1390">
      <pivotArea type="data" outline="0" fieldPosition="0">
        <references count="2">
          <reference field="4294967294" count="1" selected="0">
            <x v="0"/>
          </reference>
          <reference field="8" count="1" selected="0">
            <x v="107"/>
          </reference>
        </references>
      </pivotArea>
    </chartFormat>
    <chartFormat chart="14" format="139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6"/>
          </reference>
        </references>
      </pivotArea>
    </chartFormat>
    <chartFormat chart="14" format="1392">
      <pivotArea type="data" outline="0" fieldPosition="0">
        <references count="2">
          <reference field="4294967294" count="1" selected="0">
            <x v="0"/>
          </reference>
          <reference field="8" count="1" selected="0">
            <x v="96"/>
          </reference>
        </references>
      </pivotArea>
    </chartFormat>
    <chartFormat chart="14" format="1393">
      <pivotArea type="data" outline="0" fieldPosition="0">
        <references count="2">
          <reference field="4294967294" count="1" selected="0">
            <x v="0"/>
          </reference>
          <reference field="8" count="1" selected="0">
            <x v="125"/>
          </reference>
        </references>
      </pivotArea>
    </chartFormat>
    <chartFormat chart="14" format="1394">
      <pivotArea type="data" outline="0" fieldPosition="0">
        <references count="2">
          <reference field="4294967294" count="1" selected="0">
            <x v="0"/>
          </reference>
          <reference field="8" count="1" selected="0">
            <x v="105"/>
          </reference>
        </references>
      </pivotArea>
    </chartFormat>
    <chartFormat chart="14" format="139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4" format="1396">
      <pivotArea type="data" outline="0" fieldPosition="0">
        <references count="2">
          <reference field="4294967294" count="1" selected="0">
            <x v="0"/>
          </reference>
          <reference field="8" count="1" selected="0">
            <x v="70"/>
          </reference>
        </references>
      </pivotArea>
    </chartFormat>
    <chartFormat chart="14" format="1397">
      <pivotArea type="data" outline="0" fieldPosition="0">
        <references count="2">
          <reference field="4294967294" count="1" selected="0">
            <x v="0"/>
          </reference>
          <reference field="8" count="1" selected="0">
            <x v="110"/>
          </reference>
        </references>
      </pivotArea>
    </chartFormat>
    <chartFormat chart="14" format="1398">
      <pivotArea type="data" outline="0" fieldPosition="0">
        <references count="2">
          <reference field="4294967294" count="1" selected="0">
            <x v="0"/>
          </reference>
          <reference field="8" count="1" selected="0">
            <x v="85"/>
          </reference>
        </references>
      </pivotArea>
    </chartFormat>
    <chartFormat chart="14" format="1399">
      <pivotArea type="data" outline="0" fieldPosition="0">
        <references count="2">
          <reference field="4294967294" count="1" selected="0">
            <x v="0"/>
          </reference>
          <reference field="8" count="1" selected="0">
            <x v="74"/>
          </reference>
        </references>
      </pivotArea>
    </chartFormat>
    <chartFormat chart="14" format="1400">
      <pivotArea type="data" outline="0" fieldPosition="0">
        <references count="2">
          <reference field="4294967294" count="1" selected="0">
            <x v="0"/>
          </reference>
          <reference field="8" count="1" selected="0">
            <x v="123"/>
          </reference>
        </references>
      </pivotArea>
    </chartFormat>
    <chartFormat chart="14" format="140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7"/>
          </reference>
        </references>
      </pivotArea>
    </chartFormat>
    <chartFormat chart="14" format="1402">
      <pivotArea type="data" outline="0" fieldPosition="0">
        <references count="2">
          <reference field="4294967294" count="1" selected="0">
            <x v="0"/>
          </reference>
          <reference field="8" count="1" selected="0">
            <x v="41"/>
          </reference>
        </references>
      </pivotArea>
    </chartFormat>
    <chartFormat chart="14" format="140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1"/>
          </reference>
        </references>
      </pivotArea>
    </chartFormat>
    <chartFormat chart="14" format="1404">
      <pivotArea type="data" outline="0" fieldPosition="0">
        <references count="2">
          <reference field="4294967294" count="1" selected="0">
            <x v="0"/>
          </reference>
          <reference field="8" count="1" selected="0">
            <x v="116"/>
          </reference>
        </references>
      </pivotArea>
    </chartFormat>
    <chartFormat chart="14" format="140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1"/>
          </reference>
        </references>
      </pivotArea>
    </chartFormat>
    <chartFormat chart="14" format="1406">
      <pivotArea type="data" outline="0" fieldPosition="0">
        <references count="2">
          <reference field="4294967294" count="1" selected="0">
            <x v="0"/>
          </reference>
          <reference field="8" count="1" selected="0">
            <x v="115"/>
          </reference>
        </references>
      </pivotArea>
    </chartFormat>
    <chartFormat chart="14" format="1407">
      <pivotArea type="data" outline="0" fieldPosition="0">
        <references count="2">
          <reference field="4294967294" count="1" selected="0">
            <x v="0"/>
          </reference>
          <reference field="8" count="1" selected="0">
            <x v="42"/>
          </reference>
        </references>
      </pivotArea>
    </chartFormat>
    <chartFormat chart="14" format="1408">
      <pivotArea type="data" outline="0" fieldPosition="0">
        <references count="2">
          <reference field="4294967294" count="1" selected="0">
            <x v="0"/>
          </reference>
          <reference field="8" count="1" selected="0">
            <x v="104"/>
          </reference>
        </references>
      </pivotArea>
    </chartFormat>
    <chartFormat chart="14" format="1409">
      <pivotArea type="data" outline="0" fieldPosition="0">
        <references count="2">
          <reference field="4294967294" count="1" selected="0">
            <x v="0"/>
          </reference>
          <reference field="8" count="1" selected="0">
            <x v="147"/>
          </reference>
        </references>
      </pivotArea>
    </chartFormat>
    <chartFormat chart="14" format="1410">
      <pivotArea type="data" outline="0" fieldPosition="0">
        <references count="2">
          <reference field="4294967294" count="1" selected="0">
            <x v="0"/>
          </reference>
          <reference field="8" count="1" selected="0">
            <x v="56"/>
          </reference>
        </references>
      </pivotArea>
    </chartFormat>
    <chartFormat chart="14" format="14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6"/>
          </reference>
        </references>
      </pivotArea>
    </chartFormat>
    <chartFormat chart="14" format="14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9"/>
          </reference>
        </references>
      </pivotArea>
    </chartFormat>
    <chartFormat chart="14" format="1413">
      <pivotArea type="data" outline="0" fieldPosition="0">
        <references count="2">
          <reference field="4294967294" count="1" selected="0">
            <x v="0"/>
          </reference>
          <reference field="8" count="1" selected="0">
            <x v="92"/>
          </reference>
        </references>
      </pivotArea>
    </chartFormat>
    <chartFormat chart="14" format="14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2"/>
          </reference>
        </references>
      </pivotArea>
    </chartFormat>
    <chartFormat chart="14" format="1415">
      <pivotArea type="data" outline="0" fieldPosition="0">
        <references count="2">
          <reference field="4294967294" count="1" selected="0">
            <x v="0"/>
          </reference>
          <reference field="8" count="1" selected="0">
            <x v="39"/>
          </reference>
        </references>
      </pivotArea>
    </chartFormat>
    <chartFormat chart="14" format="1416">
      <pivotArea type="data" outline="0" fieldPosition="0">
        <references count="2">
          <reference field="4294967294" count="1" selected="0">
            <x v="0"/>
          </reference>
          <reference field="8" count="1" selected="0">
            <x v="72"/>
          </reference>
        </references>
      </pivotArea>
    </chartFormat>
    <chartFormat chart="14" format="1417">
      <pivotArea type="data" outline="0" fieldPosition="0">
        <references count="2">
          <reference field="4294967294" count="1" selected="0">
            <x v="0"/>
          </reference>
          <reference field="8" count="1" selected="0">
            <x v="129"/>
          </reference>
        </references>
      </pivotArea>
    </chartFormat>
    <chartFormat chart="14" format="1418">
      <pivotArea type="data" outline="0" fieldPosition="0">
        <references count="2">
          <reference field="4294967294" count="1" selected="0">
            <x v="0"/>
          </reference>
          <reference field="8" count="1" selected="0">
            <x v="75"/>
          </reference>
        </references>
      </pivotArea>
    </chartFormat>
    <chartFormat chart="14" format="1419">
      <pivotArea type="data" outline="0" fieldPosition="0">
        <references count="2">
          <reference field="4294967294" count="1" selected="0">
            <x v="0"/>
          </reference>
          <reference field="8" count="1" selected="0">
            <x v="127"/>
          </reference>
        </references>
      </pivotArea>
    </chartFormat>
    <chartFormat chart="14" format="1420">
      <pivotArea type="data" outline="0" fieldPosition="0">
        <references count="2">
          <reference field="4294967294" count="1" selected="0">
            <x v="0"/>
          </reference>
          <reference field="8" count="1" selected="0">
            <x v="151"/>
          </reference>
        </references>
      </pivotArea>
    </chartFormat>
    <chartFormat chart="14" format="142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2"/>
          </reference>
        </references>
      </pivotArea>
    </chartFormat>
    <chartFormat chart="14" format="1422">
      <pivotArea type="data" outline="0" fieldPosition="0">
        <references count="2">
          <reference field="4294967294" count="1" selected="0">
            <x v="0"/>
          </reference>
          <reference field="8" count="1" selected="0">
            <x v="158"/>
          </reference>
        </references>
      </pivotArea>
    </chartFormat>
    <chartFormat chart="14" format="1423">
      <pivotArea type="data" outline="0" fieldPosition="0">
        <references count="2">
          <reference field="4294967294" count="1" selected="0">
            <x v="0"/>
          </reference>
          <reference field="8" count="1" selected="0">
            <x v="35"/>
          </reference>
        </references>
      </pivotArea>
    </chartFormat>
    <chartFormat chart="14" format="1424">
      <pivotArea type="data" outline="0" fieldPosition="0">
        <references count="2">
          <reference field="4294967294" count="1" selected="0">
            <x v="0"/>
          </reference>
          <reference field="8" count="1" selected="0">
            <x v="130"/>
          </reference>
        </references>
      </pivotArea>
    </chartFormat>
    <chartFormat chart="14" format="142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2"/>
          </reference>
        </references>
      </pivotArea>
    </chartFormat>
    <chartFormat chart="14" format="1426">
      <pivotArea type="data" outline="0" fieldPosition="0">
        <references count="2">
          <reference field="4294967294" count="1" selected="0">
            <x v="0"/>
          </reference>
          <reference field="8" count="1" selected="0">
            <x v="26"/>
          </reference>
        </references>
      </pivotArea>
    </chartFormat>
    <chartFormat chart="14" format="1427">
      <pivotArea type="data" outline="0" fieldPosition="0">
        <references count="2">
          <reference field="4294967294" count="1" selected="0">
            <x v="0"/>
          </reference>
          <reference field="8" count="1" selected="0">
            <x v="120"/>
          </reference>
        </references>
      </pivotArea>
    </chartFormat>
    <chartFormat chart="14" format="1428">
      <pivotArea type="data" outline="0" fieldPosition="0">
        <references count="2">
          <reference field="4294967294" count="1" selected="0">
            <x v="0"/>
          </reference>
          <reference field="8" count="1" selected="0">
            <x v="87"/>
          </reference>
        </references>
      </pivotArea>
    </chartFormat>
    <chartFormat chart="14" format="1429">
      <pivotArea type="data" outline="0" fieldPosition="0">
        <references count="2">
          <reference field="4294967294" count="1" selected="0">
            <x v="0"/>
          </reference>
          <reference field="8" count="1" selected="0">
            <x v="36"/>
          </reference>
        </references>
      </pivotArea>
    </chartFormat>
    <chartFormat chart="14" format="1430">
      <pivotArea type="data" outline="0" fieldPosition="0">
        <references count="2">
          <reference field="4294967294" count="1" selected="0">
            <x v="0"/>
          </reference>
          <reference field="8" count="1" selected="0">
            <x v="95"/>
          </reference>
        </references>
      </pivotArea>
    </chartFormat>
    <chartFormat chart="14" format="143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2"/>
          </reference>
        </references>
      </pivotArea>
    </chartFormat>
    <chartFormat chart="14" format="1432">
      <pivotArea type="data" outline="0" fieldPosition="0">
        <references count="2">
          <reference field="4294967294" count="1" selected="0">
            <x v="0"/>
          </reference>
          <reference field="8" count="1" selected="0">
            <x v="97"/>
          </reference>
        </references>
      </pivotArea>
    </chartFormat>
    <chartFormat chart="14" format="1433">
      <pivotArea type="data" outline="0" fieldPosition="0">
        <references count="2">
          <reference field="4294967294" count="1" selected="0">
            <x v="0"/>
          </reference>
          <reference field="8" count="1" selected="0">
            <x v="71"/>
          </reference>
        </references>
      </pivotArea>
    </chartFormat>
    <chartFormat chart="14" format="143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1"/>
          </reference>
        </references>
      </pivotArea>
    </chartFormat>
    <chartFormat chart="14" format="143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8"/>
          </reference>
        </references>
      </pivotArea>
    </chartFormat>
    <chartFormat chart="14" format="1436">
      <pivotArea type="data" outline="0" fieldPosition="0">
        <references count="2">
          <reference field="4294967294" count="1" selected="0">
            <x v="0"/>
          </reference>
          <reference field="8" count="1" selected="0">
            <x v="133"/>
          </reference>
        </references>
      </pivotArea>
    </chartFormat>
    <chartFormat chart="14" format="143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5"/>
          </reference>
        </references>
      </pivotArea>
    </chartFormat>
    <chartFormat chart="14" format="1438">
      <pivotArea type="data" outline="0" fieldPosition="0">
        <references count="2">
          <reference field="4294967294" count="1" selected="0">
            <x v="0"/>
          </reference>
          <reference field="8" count="1" selected="0">
            <x v="131"/>
          </reference>
        </references>
      </pivotArea>
    </chartFormat>
    <chartFormat chart="14" format="1439">
      <pivotArea type="data" outline="0" fieldPosition="0">
        <references count="2">
          <reference field="4294967294" count="1" selected="0">
            <x v="0"/>
          </reference>
          <reference field="8" count="1" selected="0">
            <x v="69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D6601-1061-4236-A399-2F0515791279}" name="PivotTable1" cacheId="1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3">
  <location ref="A51:C211" firstHeaderRow="0" firstDataRow="1" firstDataCol="1"/>
  <pivotFields count="22"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40">
        <item x="14"/>
        <item x="32"/>
        <item x="30"/>
        <item x="16"/>
        <item x="38"/>
        <item x="15"/>
        <item x="34"/>
        <item x="24"/>
        <item x="21"/>
        <item x="22"/>
        <item x="36"/>
        <item x="4"/>
        <item x="8"/>
        <item x="25"/>
        <item x="26"/>
        <item x="9"/>
        <item x="27"/>
        <item x="28"/>
        <item x="37"/>
        <item x="29"/>
        <item x="18"/>
        <item x="7"/>
        <item x="13"/>
        <item x="5"/>
        <item x="11"/>
        <item x="10"/>
        <item x="20"/>
        <item x="12"/>
        <item x="33"/>
        <item x="3"/>
        <item x="35"/>
        <item x="31"/>
        <item x="17"/>
        <item x="2"/>
        <item x="6"/>
        <item x="23"/>
        <item x="1"/>
        <item x="19"/>
        <item x="0"/>
        <item t="default"/>
      </items>
    </pivotField>
    <pivotField compact="0" outline="0" showAll="0">
      <items count="30">
        <item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3"/>
        <item x="24"/>
        <item x="25"/>
        <item x="26"/>
        <item x="27"/>
        <item x="28"/>
        <item t="default"/>
      </items>
    </pivotField>
    <pivotField compact="0" outline="0" showAll="0">
      <items count="30">
        <item x="10"/>
        <item x="14"/>
        <item x="16"/>
        <item x="8"/>
        <item x="9"/>
        <item x="15"/>
        <item x="19"/>
        <item x="28"/>
        <item x="0"/>
        <item x="22"/>
        <item x="23"/>
        <item x="6"/>
        <item x="24"/>
        <item x="25"/>
        <item x="12"/>
        <item x="21"/>
        <item x="5"/>
        <item x="26"/>
        <item x="3"/>
        <item x="20"/>
        <item x="17"/>
        <item x="4"/>
        <item x="7"/>
        <item x="27"/>
        <item x="11"/>
        <item x="18"/>
        <item x="2"/>
        <item x="1"/>
        <item x="13"/>
        <item t="default"/>
      </items>
    </pivotField>
    <pivotField compact="0" outline="0" showAll="0"/>
    <pivotField compact="0" outline="0" showAll="0">
      <items count="60">
        <item x="15"/>
        <item x="33"/>
        <item x="48"/>
        <item x="49"/>
        <item x="38"/>
        <item x="52"/>
        <item x="51"/>
        <item x="36"/>
        <item x="35"/>
        <item x="37"/>
        <item x="53"/>
        <item x="50"/>
        <item x="31"/>
        <item x="17"/>
        <item x="58"/>
        <item x="25"/>
        <item x="22"/>
        <item x="23"/>
        <item x="56"/>
        <item x="4"/>
        <item x="9"/>
        <item x="47"/>
        <item x="26"/>
        <item x="34"/>
        <item x="27"/>
        <item x="5"/>
        <item x="10"/>
        <item x="28"/>
        <item x="29"/>
        <item x="57"/>
        <item x="30"/>
        <item x="19"/>
        <item x="6"/>
        <item x="12"/>
        <item x="11"/>
        <item x="21"/>
        <item x="13"/>
        <item x="16"/>
        <item x="3"/>
        <item x="41"/>
        <item x="45"/>
        <item x="54"/>
        <item x="55"/>
        <item x="46"/>
        <item x="44"/>
        <item x="43"/>
        <item x="42"/>
        <item x="8"/>
        <item x="14"/>
        <item x="32"/>
        <item x="18"/>
        <item x="2"/>
        <item x="7"/>
        <item x="24"/>
        <item x="1"/>
        <item x="20"/>
        <item x="39"/>
        <item x="0"/>
        <item x="40"/>
        <item t="default"/>
      </items>
    </pivotField>
    <pivotField compact="0" outline="0" showAll="0">
      <items count="115">
        <item x="11"/>
        <item x="0"/>
        <item x="24"/>
        <item x="19"/>
        <item x="3"/>
        <item x="4"/>
        <item x="2"/>
        <item x="5"/>
        <item x="20"/>
        <item x="6"/>
        <item x="12"/>
        <item x="21"/>
        <item x="13"/>
        <item x="14"/>
        <item x="22"/>
        <item x="15"/>
        <item x="16"/>
        <item x="17"/>
        <item x="18"/>
        <item x="25"/>
        <item x="33"/>
        <item x="7"/>
        <item x="26"/>
        <item x="27"/>
        <item x="28"/>
        <item x="34"/>
        <item x="8"/>
        <item x="29"/>
        <item x="9"/>
        <item x="35"/>
        <item x="10"/>
        <item x="30"/>
        <item x="1"/>
        <item x="31"/>
        <item x="32"/>
        <item x="58"/>
        <item x="50"/>
        <item x="57"/>
        <item x="61"/>
        <item x="62"/>
        <item x="63"/>
        <item x="59"/>
        <item x="60"/>
        <item x="55"/>
        <item x="51"/>
        <item x="52"/>
        <item x="53"/>
        <item x="54"/>
        <item x="56"/>
        <item x="23"/>
        <item x="45"/>
        <item x="65"/>
        <item x="39"/>
        <item x="83"/>
        <item x="42"/>
        <item x="66"/>
        <item x="109"/>
        <item x="98"/>
        <item x="69"/>
        <item x="86"/>
        <item x="72"/>
        <item x="95"/>
        <item x="73"/>
        <item x="48"/>
        <item x="74"/>
        <item x="44"/>
        <item x="84"/>
        <item x="101"/>
        <item x="105"/>
        <item x="102"/>
        <item x="100"/>
        <item x="37"/>
        <item x="38"/>
        <item x="36"/>
        <item x="87"/>
        <item x="88"/>
        <item x="78"/>
        <item x="112"/>
        <item x="89"/>
        <item x="79"/>
        <item x="94"/>
        <item x="80"/>
        <item x="106"/>
        <item x="90"/>
        <item x="81"/>
        <item x="107"/>
        <item x="108"/>
        <item x="82"/>
        <item x="91"/>
        <item x="64"/>
        <item x="96"/>
        <item x="110"/>
        <item x="47"/>
        <item x="111"/>
        <item x="97"/>
        <item x="67"/>
        <item x="85"/>
        <item x="49"/>
        <item x="41"/>
        <item x="68"/>
        <item x="70"/>
        <item x="99"/>
        <item x="71"/>
        <item x="103"/>
        <item x="43"/>
        <item x="92"/>
        <item x="93"/>
        <item x="75"/>
        <item x="46"/>
        <item x="104"/>
        <item x="76"/>
        <item x="40"/>
        <item x="77"/>
        <item x="113"/>
        <item t="default"/>
      </items>
    </pivotField>
    <pivotField axis="axisRow" compact="0" outline="0" showAll="0" sortType="descending">
      <items count="160">
        <item x="9"/>
        <item x="55"/>
        <item x="27"/>
        <item x="54"/>
        <item x="68"/>
        <item x="19"/>
        <item x="3"/>
        <item x="40"/>
        <item x="41"/>
        <item x="39"/>
        <item x="69"/>
        <item x="18"/>
        <item x="17"/>
        <item x="20"/>
        <item x="59"/>
        <item x="73"/>
        <item x="72"/>
        <item x="57"/>
        <item x="56"/>
        <item x="58"/>
        <item x="74"/>
        <item x="70"/>
        <item x="52"/>
        <item x="30"/>
        <item x="44"/>
        <item x="79"/>
        <item x="35"/>
        <item x="36"/>
        <item x="77"/>
        <item x="80"/>
        <item x="8"/>
        <item x="4"/>
        <item x="12"/>
        <item x="67"/>
        <item x="45"/>
        <item x="126"/>
        <item x="128"/>
        <item x="22"/>
        <item x="46"/>
        <item x="5"/>
        <item x="82"/>
        <item x="84"/>
        <item x="83"/>
        <item x="24"/>
        <item x="13"/>
        <item x="47"/>
        <item x="48"/>
        <item x="78"/>
        <item x="49"/>
        <item x="32"/>
        <item x="6"/>
        <item x="15"/>
        <item x="14"/>
        <item x="34"/>
        <item x="16"/>
        <item x="81"/>
        <item x="136"/>
        <item x="135"/>
        <item x="103"/>
        <item x="26"/>
        <item x="61"/>
        <item x="65"/>
        <item x="75"/>
        <item x="76"/>
        <item x="66"/>
        <item x="64"/>
        <item x="63"/>
        <item x="62"/>
        <item x="133"/>
        <item x="123"/>
        <item x="132"/>
        <item x="134"/>
        <item x="140"/>
        <item x="21"/>
        <item x="137"/>
        <item x="138"/>
        <item x="25"/>
        <item x="23"/>
        <item x="10"/>
        <item x="85"/>
        <item x="50"/>
        <item x="28"/>
        <item x="124"/>
        <item x="127"/>
        <item x="130"/>
        <item x="115"/>
        <item x="129"/>
        <item x="106"/>
        <item x="88"/>
        <item x="87"/>
        <item x="107"/>
        <item x="111"/>
        <item x="109"/>
        <item x="113"/>
        <item x="108"/>
        <item x="114"/>
        <item x="112"/>
        <item x="121"/>
        <item x="110"/>
        <item x="104"/>
        <item x="118"/>
        <item x="117"/>
        <item x="122"/>
        <item x="90"/>
        <item x="98"/>
        <item x="102"/>
        <item x="101"/>
        <item x="96"/>
        <item x="99"/>
        <item x="100"/>
        <item x="92"/>
        <item x="91"/>
        <item x="95"/>
        <item x="94"/>
        <item x="93"/>
        <item x="97"/>
        <item x="89"/>
        <item x="131"/>
        <item x="86"/>
        <item x="119"/>
        <item x="116"/>
        <item x="120"/>
        <item x="125"/>
        <item x="152"/>
        <item x="149"/>
        <item x="145"/>
        <item x="148"/>
        <item x="150"/>
        <item x="146"/>
        <item x="147"/>
        <item x="155"/>
        <item x="156"/>
        <item x="144"/>
        <item x="143"/>
        <item x="151"/>
        <item x="53"/>
        <item x="31"/>
        <item x="2"/>
        <item x="7"/>
        <item x="42"/>
        <item x="43"/>
        <item x="51"/>
        <item x="1"/>
        <item x="33"/>
        <item x="37"/>
        <item x="0"/>
        <item x="153"/>
        <item x="154"/>
        <item x="38"/>
        <item x="60"/>
        <item x="71"/>
        <item x="142"/>
        <item x="141"/>
        <item x="11"/>
        <item x="157"/>
        <item x="29"/>
        <item x="158"/>
        <item x="105"/>
        <item x="1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404">
        <item x="138"/>
        <item x="96"/>
        <item x="44"/>
        <item x="50"/>
        <item x="22"/>
        <item x="332"/>
        <item x="297"/>
        <item x="157"/>
        <item x="3"/>
        <item x="186"/>
        <item x="174"/>
        <item x="178"/>
        <item x="363"/>
        <item x="61"/>
        <item x="249"/>
        <item x="380"/>
        <item x="311"/>
        <item x="308"/>
        <item x="402"/>
        <item x="381"/>
        <item x="215"/>
        <item x="214"/>
        <item x="216"/>
        <item x="56"/>
        <item x="87"/>
        <item x="371"/>
        <item x="163"/>
        <item x="162"/>
        <item x="19"/>
        <item x="279"/>
        <item x="66"/>
        <item x="288"/>
        <item x="23"/>
        <item x="386"/>
        <item x="57"/>
        <item x="329"/>
        <item x="169"/>
        <item x="164"/>
        <item x="154"/>
        <item x="161"/>
        <item x="207"/>
        <item x="256"/>
        <item x="124"/>
        <item x="223"/>
        <item x="322"/>
        <item x="166"/>
        <item x="305"/>
        <item x="395"/>
        <item x="309"/>
        <item x="151"/>
        <item x="312"/>
        <item x="372"/>
        <item x="115"/>
        <item x="318"/>
        <item x="31"/>
        <item x="38"/>
        <item x="188"/>
        <item x="280"/>
        <item x="149"/>
        <item x="245"/>
        <item x="212"/>
        <item x="199"/>
        <item x="198"/>
        <item x="71"/>
        <item x="121"/>
        <item x="135"/>
        <item x="263"/>
        <item x="210"/>
        <item x="196"/>
        <item x="118"/>
        <item x="35"/>
        <item x="103"/>
        <item x="366"/>
        <item x="365"/>
        <item x="58"/>
        <item x="34"/>
        <item x="235"/>
        <item x="287"/>
        <item x="81"/>
        <item x="236"/>
        <item x="324"/>
        <item x="278"/>
        <item x="1"/>
        <item x="252"/>
        <item x="32"/>
        <item x="172"/>
        <item x="99"/>
        <item x="173"/>
        <item x="303"/>
        <item x="272"/>
        <item x="224"/>
        <item x="275"/>
        <item x="80"/>
        <item x="105"/>
        <item x="285"/>
        <item x="258"/>
        <item x="159"/>
        <item x="194"/>
        <item x="90"/>
        <item x="141"/>
        <item x="394"/>
        <item x="246"/>
        <item x="339"/>
        <item x="374"/>
        <item x="378"/>
        <item x="101"/>
        <item x="243"/>
        <item x="283"/>
        <item x="242"/>
        <item x="100"/>
        <item x="392"/>
        <item x="301"/>
        <item x="355"/>
        <item x="373"/>
        <item x="137"/>
        <item x="60"/>
        <item x="78"/>
        <item x="352"/>
        <item x="89"/>
        <item x="291"/>
        <item x="257"/>
        <item x="389"/>
        <item x="91"/>
        <item x="129"/>
        <item x="317"/>
        <item x="123"/>
        <item x="112"/>
        <item x="262"/>
        <item x="94"/>
        <item x="225"/>
        <item x="264"/>
        <item x="0"/>
        <item x="134"/>
        <item x="140"/>
        <item x="86"/>
        <item x="338"/>
        <item x="387"/>
        <item x="74"/>
        <item x="227"/>
        <item x="109"/>
        <item x="54"/>
        <item x="68"/>
        <item x="219"/>
        <item x="46"/>
        <item x="52"/>
        <item x="45"/>
        <item x="41"/>
        <item x="396"/>
        <item x="190"/>
        <item x="42"/>
        <item x="326"/>
        <item x="93"/>
        <item x="108"/>
        <item x="97"/>
        <item x="307"/>
        <item x="310"/>
        <item x="295"/>
        <item x="247"/>
        <item x="127"/>
        <item x="167"/>
        <item x="228"/>
        <item x="229"/>
        <item x="368"/>
        <item x="95"/>
        <item x="107"/>
        <item x="231"/>
        <item x="160"/>
        <item x="226"/>
        <item x="321"/>
        <item x="325"/>
        <item x="319"/>
        <item x="323"/>
        <item x="88"/>
        <item x="369"/>
        <item x="122"/>
        <item x="358"/>
        <item x="383"/>
        <item x="349"/>
        <item x="130"/>
        <item x="328"/>
        <item x="340"/>
        <item x="143"/>
        <item x="334"/>
        <item x="33"/>
        <item x="359"/>
        <item x="313"/>
        <item x="361"/>
        <item x="320"/>
        <item x="333"/>
        <item x="84"/>
        <item x="120"/>
        <item x="37"/>
        <item x="111"/>
        <item x="76"/>
        <item x="113"/>
        <item x="146"/>
        <item x="21"/>
        <item x="351"/>
        <item x="125"/>
        <item x="268"/>
        <item x="175"/>
        <item x="202"/>
        <item x="232"/>
        <item x="40"/>
        <item x="18"/>
        <item x="67"/>
        <item x="168"/>
        <item x="271"/>
        <item x="28"/>
        <item x="30"/>
        <item x="27"/>
        <item x="29"/>
        <item x="144"/>
        <item x="62"/>
        <item x="362"/>
        <item x="336"/>
        <item x="388"/>
        <item x="128"/>
        <item x="348"/>
        <item x="267"/>
        <item x="92"/>
        <item x="17"/>
        <item x="63"/>
        <item x="273"/>
        <item x="217"/>
        <item x="206"/>
        <item x="391"/>
        <item x="385"/>
        <item x="274"/>
        <item x="286"/>
        <item x="250"/>
        <item x="304"/>
        <item x="72"/>
        <item x="116"/>
        <item x="360"/>
        <item x="337"/>
        <item x="126"/>
        <item x="269"/>
        <item x="367"/>
        <item x="211"/>
        <item x="345"/>
        <item x="240"/>
        <item x="289"/>
        <item x="36"/>
        <item x="187"/>
        <item x="117"/>
        <item x="10"/>
        <item x="26"/>
        <item x="6"/>
        <item x="155"/>
        <item x="314"/>
        <item x="177"/>
        <item x="82"/>
        <item x="180"/>
        <item x="14"/>
        <item x="181"/>
        <item x="9"/>
        <item x="15"/>
        <item x="12"/>
        <item x="7"/>
        <item x="8"/>
        <item x="13"/>
        <item x="208"/>
        <item x="11"/>
        <item x="315"/>
        <item x="5"/>
        <item x="153"/>
        <item x="39"/>
        <item x="83"/>
        <item x="53"/>
        <item x="185"/>
        <item x="189"/>
        <item x="4"/>
        <item x="152"/>
        <item x="293"/>
        <item x="55"/>
        <item x="16"/>
        <item x="316"/>
        <item x="79"/>
        <item x="47"/>
        <item x="233"/>
        <item x="213"/>
        <item x="43"/>
        <item x="145"/>
        <item x="255"/>
        <item x="218"/>
        <item x="197"/>
        <item x="331"/>
        <item x="147"/>
        <item x="248"/>
        <item x="193"/>
        <item x="234"/>
        <item x="195"/>
        <item x="51"/>
        <item x="182"/>
        <item x="114"/>
        <item x="294"/>
        <item x="302"/>
        <item x="244"/>
        <item x="133"/>
        <item x="300"/>
        <item x="209"/>
        <item x="119"/>
        <item x="106"/>
        <item x="191"/>
        <item x="139"/>
        <item x="251"/>
        <item x="20"/>
        <item x="375"/>
        <item x="64"/>
        <item x="341"/>
        <item x="342"/>
        <item x="170"/>
        <item x="205"/>
        <item x="292"/>
        <item x="239"/>
        <item x="254"/>
        <item x="284"/>
        <item x="69"/>
        <item x="356"/>
        <item x="400"/>
        <item x="298"/>
        <item x="335"/>
        <item x="241"/>
        <item x="184"/>
        <item x="398"/>
        <item x="296"/>
        <item x="70"/>
        <item x="65"/>
        <item x="98"/>
        <item x="221"/>
        <item x="346"/>
        <item x="253"/>
        <item x="2"/>
        <item x="379"/>
        <item x="370"/>
        <item x="393"/>
        <item x="238"/>
        <item x="203"/>
        <item x="204"/>
        <item x="148"/>
        <item x="201"/>
        <item x="357"/>
        <item x="220"/>
        <item x="399"/>
        <item x="156"/>
        <item x="158"/>
        <item x="73"/>
        <item x="171"/>
        <item x="277"/>
        <item x="132"/>
        <item x="350"/>
        <item x="24"/>
        <item x="176"/>
        <item x="49"/>
        <item x="276"/>
        <item x="330"/>
        <item x="364"/>
        <item x="136"/>
        <item x="265"/>
        <item x="85"/>
        <item x="266"/>
        <item x="183"/>
        <item x="48"/>
        <item x="110"/>
        <item x="200"/>
        <item x="299"/>
        <item x="77"/>
        <item x="390"/>
        <item x="59"/>
        <item x="282"/>
        <item x="237"/>
        <item x="281"/>
        <item x="179"/>
        <item x="290"/>
        <item x="377"/>
        <item x="327"/>
        <item x="230"/>
        <item x="354"/>
        <item x="131"/>
        <item x="401"/>
        <item x="397"/>
        <item x="382"/>
        <item x="344"/>
        <item x="353"/>
        <item x="222"/>
        <item x="192"/>
        <item x="376"/>
        <item x="306"/>
        <item x="104"/>
        <item x="102"/>
        <item x="270"/>
        <item x="384"/>
        <item x="260"/>
        <item x="259"/>
        <item x="261"/>
        <item x="347"/>
        <item x="75"/>
        <item x="25"/>
        <item x="343"/>
        <item x="165"/>
        <item x="142"/>
        <item x="150"/>
        <item t="default"/>
      </items>
    </pivotField>
    <pivotField compact="0" outline="0" showAll="0"/>
    <pivotField compact="0" outline="0" showAll="0">
      <items count="353">
        <item x="267"/>
        <item x="228"/>
        <item x="207"/>
        <item x="229"/>
        <item x="202"/>
        <item x="23"/>
        <item x="325"/>
        <item x="32"/>
        <item x="203"/>
        <item x="140"/>
        <item x="205"/>
        <item x="340"/>
        <item x="21"/>
        <item x="249"/>
        <item x="319"/>
        <item x="323"/>
        <item x="332"/>
        <item x="36"/>
        <item x="304"/>
        <item x="337"/>
        <item x="142"/>
        <item x="2"/>
        <item x="71"/>
        <item x="117"/>
        <item x="137"/>
        <item x="238"/>
        <item x="195"/>
        <item x="151"/>
        <item x="226"/>
        <item x="269"/>
        <item x="268"/>
        <item x="297"/>
        <item x="293"/>
        <item x="242"/>
        <item x="190"/>
        <item x="128"/>
        <item x="305"/>
        <item x="18"/>
        <item x="283"/>
        <item x="240"/>
        <item x="69"/>
        <item x="27"/>
        <item x="110"/>
        <item x="127"/>
        <item x="315"/>
        <item x="321"/>
        <item x="11"/>
        <item x="13"/>
        <item x="116"/>
        <item x="251"/>
        <item x="257"/>
        <item x="22"/>
        <item x="7"/>
        <item x="223"/>
        <item x="42"/>
        <item x="91"/>
        <item x="302"/>
        <item x="107"/>
        <item x="349"/>
        <item x="204"/>
        <item x="1"/>
        <item x="234"/>
        <item x="318"/>
        <item x="144"/>
        <item x="309"/>
        <item x="280"/>
        <item x="132"/>
        <item x="182"/>
        <item x="331"/>
        <item x="273"/>
        <item x="192"/>
        <item x="72"/>
        <item x="28"/>
        <item x="224"/>
        <item x="272"/>
        <item x="62"/>
        <item x="208"/>
        <item x="60"/>
        <item x="310"/>
        <item x="39"/>
        <item x="35"/>
        <item x="37"/>
        <item x="38"/>
        <item x="33"/>
        <item x="31"/>
        <item x="141"/>
        <item x="133"/>
        <item x="115"/>
        <item x="148"/>
        <item x="68"/>
        <item x="298"/>
        <item x="320"/>
        <item x="26"/>
        <item x="3"/>
        <item x="180"/>
        <item x="312"/>
        <item x="131"/>
        <item x="55"/>
        <item x="77"/>
        <item x="343"/>
        <item x="348"/>
        <item x="219"/>
        <item x="235"/>
        <item x="186"/>
        <item x="237"/>
        <item x="239"/>
        <item x="187"/>
        <item x="328"/>
        <item x="170"/>
        <item x="8"/>
        <item x="47"/>
        <item x="49"/>
        <item x="79"/>
        <item x="19"/>
        <item x="222"/>
        <item x="241"/>
        <item x="263"/>
        <item x="335"/>
        <item x="175"/>
        <item x="122"/>
        <item x="154"/>
        <item x="266"/>
        <item x="308"/>
        <item x="67"/>
        <item x="138"/>
        <item x="20"/>
        <item x="80"/>
        <item x="61"/>
        <item x="81"/>
        <item x="43"/>
        <item x="178"/>
        <item x="90"/>
        <item x="53"/>
        <item x="119"/>
        <item x="230"/>
        <item x="6"/>
        <item x="25"/>
        <item x="292"/>
        <item x="172"/>
        <item x="169"/>
        <item x="152"/>
        <item x="121"/>
        <item x="179"/>
        <item x="120"/>
        <item x="135"/>
        <item x="5"/>
        <item x="155"/>
        <item x="83"/>
        <item x="336"/>
        <item x="57"/>
        <item x="215"/>
        <item x="214"/>
        <item x="350"/>
        <item x="271"/>
        <item x="48"/>
        <item x="98"/>
        <item x="338"/>
        <item x="166"/>
        <item x="85"/>
        <item x="44"/>
        <item x="145"/>
        <item x="326"/>
        <item x="301"/>
        <item x="88"/>
        <item x="52"/>
        <item x="87"/>
        <item x="89"/>
        <item x="176"/>
        <item x="130"/>
        <item x="307"/>
        <item x="162"/>
        <item x="290"/>
        <item x="294"/>
        <item x="191"/>
        <item x="50"/>
        <item x="108"/>
        <item x="97"/>
        <item x="329"/>
        <item x="78"/>
        <item x="54"/>
        <item x="163"/>
        <item x="106"/>
        <item x="40"/>
        <item x="322"/>
        <item x="256"/>
        <item x="232"/>
        <item x="95"/>
        <item x="118"/>
        <item x="194"/>
        <item x="209"/>
        <item x="173"/>
        <item x="125"/>
        <item x="248"/>
        <item x="188"/>
        <item x="199"/>
        <item x="156"/>
        <item x="86"/>
        <item x="164"/>
        <item x="146"/>
        <item x="314"/>
        <item x="167"/>
        <item x="341"/>
        <item x="126"/>
        <item x="279"/>
        <item x="29"/>
        <item x="134"/>
        <item x="345"/>
        <item x="184"/>
        <item x="334"/>
        <item x="92"/>
        <item x="168"/>
        <item x="159"/>
        <item x="105"/>
        <item x="177"/>
        <item x="149"/>
        <item x="216"/>
        <item x="299"/>
        <item x="296"/>
        <item x="157"/>
        <item x="196"/>
        <item x="227"/>
        <item x="17"/>
        <item x="282"/>
        <item x="316"/>
        <item x="64"/>
        <item x="306"/>
        <item x="206"/>
        <item x="12"/>
        <item x="4"/>
        <item x="66"/>
        <item x="101"/>
        <item x="275"/>
        <item x="63"/>
        <item x="84"/>
        <item x="75"/>
        <item x="99"/>
        <item x="220"/>
        <item x="333"/>
        <item x="342"/>
        <item x="295"/>
        <item x="246"/>
        <item x="291"/>
        <item x="221"/>
        <item x="281"/>
        <item x="76"/>
        <item x="82"/>
        <item x="344"/>
        <item x="58"/>
        <item x="265"/>
        <item x="41"/>
        <item x="346"/>
        <item x="160"/>
        <item x="165"/>
        <item x="201"/>
        <item x="198"/>
        <item x="197"/>
        <item x="274"/>
        <item x="111"/>
        <item x="14"/>
        <item x="225"/>
        <item x="139"/>
        <item x="45"/>
        <item x="112"/>
        <item x="212"/>
        <item x="150"/>
        <item x="189"/>
        <item x="211"/>
        <item x="74"/>
        <item x="153"/>
        <item x="313"/>
        <item x="9"/>
        <item x="109"/>
        <item x="252"/>
        <item x="161"/>
        <item x="300"/>
        <item x="327"/>
        <item x="70"/>
        <item x="286"/>
        <item x="287"/>
        <item x="285"/>
        <item x="289"/>
        <item x="288"/>
        <item x="284"/>
        <item x="56"/>
        <item x="193"/>
        <item x="231"/>
        <item x="277"/>
        <item x="303"/>
        <item x="93"/>
        <item x="254"/>
        <item x="123"/>
        <item x="185"/>
        <item x="114"/>
        <item x="171"/>
        <item x="94"/>
        <item x="255"/>
        <item x="59"/>
        <item x="143"/>
        <item x="51"/>
        <item x="183"/>
        <item x="236"/>
        <item x="210"/>
        <item x="174"/>
        <item x="24"/>
        <item x="124"/>
        <item x="347"/>
        <item x="96"/>
        <item x="15"/>
        <item x="16"/>
        <item x="46"/>
        <item x="330"/>
        <item x="34"/>
        <item x="73"/>
        <item x="233"/>
        <item x="158"/>
        <item x="129"/>
        <item x="278"/>
        <item x="65"/>
        <item x="217"/>
        <item x="147"/>
        <item x="218"/>
        <item x="250"/>
        <item x="276"/>
        <item x="339"/>
        <item x="264"/>
        <item x="181"/>
        <item x="30"/>
        <item x="270"/>
        <item x="200"/>
        <item x="324"/>
        <item x="136"/>
        <item x="351"/>
        <item x="311"/>
        <item x="258"/>
        <item x="260"/>
        <item x="247"/>
        <item x="244"/>
        <item x="259"/>
        <item x="262"/>
        <item x="245"/>
        <item x="261"/>
        <item x="243"/>
        <item x="253"/>
        <item x="213"/>
        <item x="10"/>
        <item x="317"/>
        <item x="113"/>
        <item x="102"/>
        <item x="103"/>
        <item x="104"/>
        <item x="100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268">
        <item x="593"/>
        <item x="479"/>
        <item x="93"/>
        <item x="931"/>
        <item x="94"/>
        <item x="500"/>
        <item x="4"/>
        <item x="302"/>
        <item x="34"/>
        <item x="324"/>
        <item x="503"/>
        <item x="68"/>
        <item x="227"/>
        <item x="530"/>
        <item x="83"/>
        <item x="329"/>
        <item x="597"/>
        <item x="228"/>
        <item x="6"/>
        <item x="1260"/>
        <item x="1171"/>
        <item x="1152"/>
        <item x="1132"/>
        <item x="1131"/>
        <item x="1136"/>
        <item x="1140"/>
        <item x="1173"/>
        <item x="1179"/>
        <item x="1141"/>
        <item x="1139"/>
        <item x="196"/>
        <item x="195"/>
        <item x="194"/>
        <item x="193"/>
        <item x="192"/>
        <item x="191"/>
        <item x="190"/>
        <item x="189"/>
        <item x="188"/>
        <item x="187"/>
        <item x="205"/>
        <item x="186"/>
        <item x="185"/>
        <item x="184"/>
        <item x="183"/>
        <item x="182"/>
        <item x="181"/>
        <item x="180"/>
        <item x="179"/>
        <item x="178"/>
        <item x="177"/>
        <item x="204"/>
        <item x="176"/>
        <item x="175"/>
        <item x="174"/>
        <item x="173"/>
        <item x="172"/>
        <item x="171"/>
        <item x="170"/>
        <item x="169"/>
        <item x="168"/>
        <item x="167"/>
        <item x="203"/>
        <item x="166"/>
        <item x="165"/>
        <item x="164"/>
        <item x="163"/>
        <item x="162"/>
        <item x="161"/>
        <item x="160"/>
        <item x="159"/>
        <item x="158"/>
        <item x="157"/>
        <item x="202"/>
        <item x="156"/>
        <item x="201"/>
        <item x="200"/>
        <item x="199"/>
        <item x="198"/>
        <item x="197"/>
        <item x="745"/>
        <item x="590"/>
        <item x="12"/>
        <item x="856"/>
        <item x="858"/>
        <item x="857"/>
        <item x="865"/>
        <item x="867"/>
        <item x="853"/>
        <item x="864"/>
        <item x="863"/>
        <item x="132"/>
        <item x="117"/>
        <item x="145"/>
        <item x="149"/>
        <item x="635"/>
        <item x="1185"/>
        <item x="592"/>
        <item x="434"/>
        <item x="236"/>
        <item x="670"/>
        <item x="443"/>
        <item x="1033"/>
        <item x="1029"/>
        <item x="1259"/>
        <item x="1133"/>
        <item x="257"/>
        <item x="70"/>
        <item x="1138"/>
        <item x="987"/>
        <item x="820"/>
        <item x="917"/>
        <item x="1058"/>
        <item x="1155"/>
        <item x="414"/>
        <item x="934"/>
        <item x="312"/>
        <item x="776"/>
        <item x="220"/>
        <item x="1243"/>
        <item x="252"/>
        <item x="340"/>
        <item x="346"/>
        <item x="335"/>
        <item x="339"/>
        <item x="337"/>
        <item x="211"/>
        <item x="11"/>
        <item x="767"/>
        <item x="747"/>
        <item x="21"/>
        <item x="237"/>
        <item x="301"/>
        <item x="7"/>
        <item x="1247"/>
        <item x="1072"/>
        <item x="606"/>
        <item x="243"/>
        <item x="383"/>
        <item x="1081"/>
        <item x="654"/>
        <item x="1239"/>
        <item x="993"/>
        <item x="932"/>
        <item x="976"/>
        <item x="502"/>
        <item x="650"/>
        <item x="872"/>
        <item x="41"/>
        <item x="1082"/>
        <item x="511"/>
        <item x="309"/>
        <item x="233"/>
        <item x="274"/>
        <item x="14"/>
        <item x="387"/>
        <item x="927"/>
        <item x="1256"/>
        <item x="210"/>
        <item x="1027"/>
        <item x="1007"/>
        <item x="1087"/>
        <item x="518"/>
        <item x="881"/>
        <item x="207"/>
        <item x="311"/>
        <item x="389"/>
        <item x="276"/>
        <item x="508"/>
        <item x="638"/>
        <item x="374"/>
        <item x="362"/>
        <item x="784"/>
        <item x="44"/>
        <item x="806"/>
        <item x="1191"/>
        <item x="555"/>
        <item x="802"/>
        <item x="529"/>
        <item x="40"/>
        <item x="394"/>
        <item x="1250"/>
        <item x="1073"/>
        <item x="280"/>
        <item x="272"/>
        <item x="244"/>
        <item x="282"/>
        <item x="390"/>
        <item x="1019"/>
        <item x="495"/>
        <item x="1150"/>
        <item x="1148"/>
        <item x="1153"/>
        <item x="1164"/>
        <item x="1144"/>
        <item x="1143"/>
        <item x="1178"/>
        <item x="1145"/>
        <item x="1177"/>
        <item x="759"/>
        <item x="764"/>
        <item x="763"/>
        <item x="561"/>
        <item x="259"/>
        <item x="258"/>
        <item x="492"/>
        <item x="824"/>
        <item x="289"/>
        <item x="444"/>
        <item x="1034"/>
        <item x="926"/>
        <item x="73"/>
        <item x="65"/>
        <item x="573"/>
        <item x="102"/>
        <item x="841"/>
        <item x="834"/>
        <item x="832"/>
        <item x="134"/>
        <item x="123"/>
        <item x="665"/>
        <item x="752"/>
        <item x="751"/>
        <item x="591"/>
        <item x="447"/>
        <item x="39"/>
        <item x="798"/>
        <item x="1221"/>
        <item x="994"/>
        <item x="1035"/>
        <item x="1049"/>
        <item x="403"/>
        <item x="580"/>
        <item x="852"/>
        <item x="583"/>
        <item x="660"/>
        <item x="214"/>
        <item x="785"/>
        <item x="1137"/>
        <item x="400"/>
        <item x="336"/>
        <item x="43"/>
        <item x="825"/>
        <item x="815"/>
        <item x="95"/>
        <item x="59"/>
        <item x="996"/>
        <item x="496"/>
        <item x="818"/>
        <item x="1059"/>
        <item x="955"/>
        <item x="20"/>
        <item x="58"/>
        <item x="769"/>
        <item x="87"/>
        <item x="154"/>
        <item x="53"/>
        <item x="800"/>
        <item x="46"/>
        <item x="1156"/>
        <item x="640"/>
        <item x="1172"/>
        <item x="1066"/>
        <item x="618"/>
        <item x="330"/>
        <item x="960"/>
        <item x="8"/>
        <item x="413"/>
        <item x="80"/>
        <item x="54"/>
        <item x="936"/>
        <item x="384"/>
        <item x="920"/>
        <item x="380"/>
        <item x="1242"/>
        <item x="1161"/>
        <item x="846"/>
        <item x="1105"/>
        <item x="822"/>
        <item x="246"/>
        <item x="954"/>
        <item x="943"/>
        <item x="643"/>
        <item x="224"/>
        <item x="238"/>
        <item x="891"/>
        <item x="627"/>
        <item x="901"/>
        <item x="629"/>
        <item x="348"/>
        <item x="310"/>
        <item x="945"/>
        <item x="898"/>
        <item x="904"/>
        <item x="903"/>
        <item x="345"/>
        <item x="265"/>
        <item x="371"/>
        <item x="507"/>
        <item x="1002"/>
        <item x="366"/>
        <item x="407"/>
        <item x="564"/>
        <item x="563"/>
        <item x="146"/>
        <item x="300"/>
        <item x="647"/>
        <item x="733"/>
        <item x="748"/>
        <item x="778"/>
        <item x="775"/>
        <item x="1159"/>
        <item x="807"/>
        <item x="828"/>
        <item x="1069"/>
        <item x="1121"/>
        <item x="594"/>
        <item x="404"/>
        <item x="527"/>
        <item x="215"/>
        <item x="352"/>
        <item x="588"/>
        <item x="623"/>
        <item x="871"/>
        <item x="896"/>
        <item x="937"/>
        <item x="551"/>
        <item x="1113"/>
        <item x="13"/>
        <item x="721"/>
        <item x="720"/>
        <item x="552"/>
        <item x="601"/>
        <item x="1244"/>
        <item x="1258"/>
        <item x="667"/>
        <item x="558"/>
        <item x="546"/>
        <item x="850"/>
        <item x="524"/>
        <item x="77"/>
        <item x="1207"/>
        <item x="42"/>
        <item x="358"/>
        <item x="513"/>
        <item x="512"/>
        <item x="1028"/>
        <item x="1174"/>
        <item x="827"/>
        <item x="989"/>
        <item x="1061"/>
        <item x="131"/>
        <item x="126"/>
        <item x="96"/>
        <item x="291"/>
        <item x="405"/>
        <item x="108"/>
        <item x="504"/>
        <item x="1261"/>
        <item x="814"/>
        <item x="422"/>
        <item x="421"/>
        <item x="912"/>
        <item x="1115"/>
        <item x="542"/>
        <item x="913"/>
        <item x="611"/>
        <item x="780"/>
        <item x="938"/>
        <item x="743"/>
        <item x="631"/>
        <item x="632"/>
        <item x="1209"/>
        <item x="1265"/>
        <item x="1175"/>
        <item x="278"/>
        <item x="457"/>
        <item x="649"/>
        <item x="420"/>
        <item x="941"/>
        <item x="732"/>
        <item x="598"/>
        <item x="808"/>
        <item x="1026"/>
        <item x="1195"/>
        <item x="905"/>
        <item x="322"/>
        <item x="467"/>
        <item x="681"/>
        <item x="690"/>
        <item x="709"/>
        <item x="674"/>
        <item x="692"/>
        <item x="683"/>
        <item x="1126"/>
        <item x="1128"/>
        <item x="412"/>
        <item x="1011"/>
        <item x="307"/>
        <item x="1103"/>
        <item x="124"/>
        <item x="133"/>
        <item x="536"/>
        <item x="129"/>
        <item x="128"/>
        <item x="625"/>
        <item x="295"/>
        <item x="62"/>
        <item x="120"/>
        <item x="143"/>
        <item x="978"/>
        <item x="538"/>
        <item x="540"/>
        <item x="213"/>
        <item x="69"/>
        <item x="659"/>
        <item x="786"/>
        <item x="9"/>
        <item x="1012"/>
        <item x="314"/>
        <item x="81"/>
        <item x="241"/>
        <item x="328"/>
        <item x="76"/>
        <item x="317"/>
        <item x="758"/>
        <item x="746"/>
        <item x="735"/>
        <item x="45"/>
        <item x="235"/>
        <item x="24"/>
        <item x="386"/>
        <item x="397"/>
        <item x="712"/>
        <item x="676"/>
        <item x="115"/>
        <item x="121"/>
        <item x="455"/>
        <item x="790"/>
        <item x="1086"/>
        <item x="657"/>
        <item x="708"/>
        <item x="1168"/>
        <item x="1"/>
        <item x="544"/>
        <item x="562"/>
        <item x="719"/>
        <item x="250"/>
        <item x="914"/>
        <item x="907"/>
        <item x="296"/>
        <item x="316"/>
        <item x="89"/>
        <item x="370"/>
        <item x="327"/>
        <item x="666"/>
        <item x="1264"/>
        <item x="373"/>
        <item x="1160"/>
        <item x="553"/>
        <item x="1232"/>
        <item x="739"/>
        <item x="256"/>
        <item x="575"/>
        <item x="535"/>
        <item x="410"/>
        <item x="1237"/>
        <item x="92"/>
        <item x="568"/>
        <item x="1211"/>
        <item x="602"/>
        <item x="388"/>
        <item x="587"/>
        <item x="332"/>
        <item x="586"/>
        <item x="240"/>
        <item x="792"/>
        <item x="381"/>
        <item x="842"/>
        <item x="1215"/>
        <item x="633"/>
        <item x="1080"/>
        <item x="1085"/>
        <item x="1077"/>
        <item x="1008"/>
        <item x="1009"/>
        <item x="453"/>
        <item x="487"/>
        <item x="1074"/>
        <item x="799"/>
        <item x="1212"/>
        <item x="323"/>
        <item x="1228"/>
        <item x="333"/>
        <item x="528"/>
        <item x="1181"/>
        <item x="706"/>
        <item x="375"/>
        <item x="744"/>
        <item x="541"/>
        <item x="33"/>
        <item x="565"/>
        <item x="902"/>
        <item x="1124"/>
        <item x="805"/>
        <item x="419"/>
        <item x="1154"/>
        <item x="86"/>
        <item x="359"/>
        <item x="789"/>
        <item x="959"/>
        <item x="947"/>
        <item x="266"/>
        <item x="356"/>
        <item x="589"/>
        <item x="288"/>
        <item x="287"/>
        <item x="892"/>
        <item x="1031"/>
        <item x="1030"/>
        <item x="1054"/>
        <item x="731"/>
        <item x="984"/>
        <item x="1050"/>
        <item x="1047"/>
        <item x="1240"/>
        <item x="992"/>
        <item x="888"/>
        <item x="501"/>
        <item x="878"/>
        <item x="1192"/>
        <item x="97"/>
        <item x="231"/>
        <item x="361"/>
        <item x="1254"/>
        <item x="1253"/>
        <item x="522"/>
        <item x="521"/>
        <item x="520"/>
        <item x="519"/>
        <item x="967"/>
        <item x="812"/>
        <item x="431"/>
        <item x="494"/>
        <item x="1110"/>
        <item x="1088"/>
        <item x="428"/>
        <item x="821"/>
        <item x="988"/>
        <item x="1120"/>
        <item x="1180"/>
        <item x="557"/>
        <item x="626"/>
        <item x="354"/>
        <item x="556"/>
        <item x="147"/>
        <item x="974"/>
        <item x="975"/>
        <item x="968"/>
        <item x="911"/>
        <item x="928"/>
        <item x="729"/>
        <item x="897"/>
        <item x="107"/>
        <item x="99"/>
        <item x="577"/>
        <item x="468"/>
        <item x="469"/>
        <item x="255"/>
        <item x="574"/>
        <item x="532"/>
        <item x="534"/>
        <item x="533"/>
        <item x="357"/>
        <item x="498"/>
        <item x="497"/>
        <item x="1157"/>
        <item x="873"/>
        <item x="716"/>
        <item x="639"/>
        <item x="982"/>
        <item x="30"/>
        <item x="868"/>
        <item x="804"/>
        <item x="717"/>
        <item x="604"/>
        <item x="645"/>
        <item x="849"/>
        <item x="915"/>
        <item x="1251"/>
        <item x="699"/>
        <item x="1130"/>
        <item x="609"/>
        <item x="875"/>
        <item x="1025"/>
        <item x="1024"/>
        <item x="1023"/>
        <item x="1022"/>
        <item x="285"/>
        <item x="286"/>
        <item x="969"/>
        <item x="972"/>
        <item x="971"/>
        <item x="970"/>
        <item x="36"/>
        <item x="91"/>
        <item x="334"/>
        <item x="74"/>
        <item x="247"/>
        <item x="223"/>
        <item x="705"/>
        <item x="704"/>
        <item x="703"/>
        <item x="730"/>
        <item x="1118"/>
        <item x="1117"/>
        <item x="760"/>
        <item x="756"/>
        <item x="755"/>
        <item x="774"/>
        <item x="773"/>
        <item x="783"/>
        <item x="761"/>
        <item x="740"/>
        <item x="757"/>
        <item x="762"/>
        <item x="749"/>
        <item x="750"/>
        <item x="325"/>
        <item x="66"/>
        <item x="787"/>
        <item x="10"/>
        <item x="225"/>
        <item x="315"/>
        <item x="353"/>
        <item x="239"/>
        <item x="736"/>
        <item x="385"/>
        <item x="672"/>
        <item x="906"/>
        <item x="605"/>
        <item x="929"/>
        <item x="478"/>
        <item x="477"/>
        <item x="84"/>
        <item x="1057"/>
        <item x="491"/>
        <item x="998"/>
        <item x="1056"/>
        <item x="446"/>
        <item x="1036"/>
        <item x="986"/>
        <item x="973"/>
        <item x="430"/>
        <item x="493"/>
        <item x="483"/>
        <item x="886"/>
        <item x="1032"/>
        <item x="425"/>
        <item x="919"/>
        <item x="1108"/>
        <item x="426"/>
        <item x="489"/>
        <item x="485"/>
        <item x="440"/>
        <item x="392"/>
        <item x="438"/>
        <item x="1065"/>
        <item x="1062"/>
        <item x="432"/>
        <item x="1039"/>
        <item x="1038"/>
        <item x="965"/>
        <item x="435"/>
        <item x="1043"/>
        <item x="921"/>
        <item x="991"/>
        <item x="1176"/>
        <item x="64"/>
        <item x="684"/>
        <item x="685"/>
        <item x="893"/>
        <item x="1206"/>
        <item x="476"/>
        <item x="38"/>
        <item x="1064"/>
        <item x="1052"/>
        <item x="1053"/>
        <item x="997"/>
        <item x="429"/>
        <item x="442"/>
        <item x="995"/>
        <item x="1055"/>
        <item x="1048"/>
        <item x="1045"/>
        <item x="1051"/>
        <item x="1021"/>
        <item x="1134"/>
        <item x="883"/>
        <item x="1135"/>
        <item x="1183"/>
        <item x="877"/>
        <item x="727"/>
        <item x="981"/>
        <item x="1104"/>
        <item x="1187"/>
        <item x="900"/>
        <item x="1186"/>
        <item x="445"/>
        <item x="103"/>
        <item x="1205"/>
        <item x="1208"/>
        <item x="1071"/>
        <item x="466"/>
        <item x="1070"/>
        <item x="584"/>
        <item x="1097"/>
        <item x="118"/>
        <item x="98"/>
        <item x="140"/>
        <item x="451"/>
        <item x="406"/>
        <item x="567"/>
        <item x="617"/>
        <item x="1101"/>
        <item x="1078"/>
        <item x="1100"/>
        <item x="887"/>
        <item x="482"/>
        <item x="1255"/>
        <item x="1068"/>
        <item x="217"/>
        <item x="363"/>
        <item x="365"/>
        <item x="364"/>
        <item x="585"/>
        <item x="1224"/>
        <item x="28"/>
        <item x="318"/>
        <item x="1241"/>
        <item x="230"/>
        <item x="1216"/>
        <item x="55"/>
        <item x="32"/>
        <item x="155"/>
        <item x="1167"/>
        <item x="671"/>
        <item x="653"/>
        <item x="150"/>
        <item x="141"/>
        <item x="619"/>
        <item x="26"/>
        <item x="797"/>
        <item x="52"/>
        <item x="614"/>
        <item x="795"/>
        <item x="869"/>
        <item x="49"/>
        <item x="48"/>
        <item x="47"/>
        <item x="734"/>
        <item x="664"/>
        <item x="826"/>
        <item x="1165"/>
        <item x="1218"/>
        <item x="61"/>
        <item x="777"/>
        <item x="248"/>
        <item x="844"/>
        <item x="581"/>
        <item x="424"/>
        <item x="990"/>
        <item x="1107"/>
        <item x="298"/>
        <item x="985"/>
        <item x="1046"/>
        <item x="1142"/>
        <item x="669"/>
        <item x="350"/>
        <item x="245"/>
        <item x="461"/>
        <item x="471"/>
        <item x="613"/>
        <item x="870"/>
        <item x="349"/>
        <item x="206"/>
        <item x="22"/>
        <item x="212"/>
        <item x="1096"/>
        <item x="1095"/>
        <item x="1094"/>
        <item x="1090"/>
        <item x="1079"/>
        <item x="1091"/>
        <item x="1089"/>
        <item x="1099"/>
        <item x="1098"/>
        <item x="1083"/>
        <item x="1092"/>
        <item x="1248"/>
        <item x="1014"/>
        <item x="662"/>
        <item x="1158"/>
        <item x="754"/>
        <item x="768"/>
        <item x="753"/>
        <item x="923"/>
        <item x="1109"/>
        <item x="1042"/>
        <item x="221"/>
        <item x="838"/>
        <item x="427"/>
        <item x="999"/>
        <item x="490"/>
        <item x="794"/>
        <item x="1147"/>
        <item x="473"/>
        <item x="488"/>
        <item x="644"/>
        <item x="723"/>
        <item x="319"/>
        <item x="260"/>
        <item x="283"/>
        <item x="411"/>
        <item x="839"/>
        <item x="401"/>
        <item x="304"/>
        <item x="809"/>
        <item x="1119"/>
        <item x="600"/>
        <item x="35"/>
        <item x="983"/>
        <item x="475"/>
        <item x="569"/>
        <item x="463"/>
        <item x="29"/>
        <item x="612"/>
        <item x="582"/>
        <item x="916"/>
        <item x="297"/>
        <item x="607"/>
        <item x="1217"/>
        <item x="817"/>
        <item x="303"/>
        <item x="1149"/>
        <item x="480"/>
        <item x="1162"/>
        <item x="67"/>
        <item x="216"/>
        <item x="249"/>
        <item x="326"/>
        <item x="275"/>
        <item x="393"/>
        <item x="234"/>
        <item x="944"/>
        <item x="980"/>
        <item x="979"/>
        <item x="770"/>
        <item x="816"/>
        <item x="0"/>
        <item x="963"/>
        <item x="977"/>
        <item x="942"/>
        <item x="1184"/>
        <item x="620"/>
        <item x="539"/>
        <item x="615"/>
        <item x="851"/>
        <item x="554"/>
        <item x="899"/>
        <item x="958"/>
        <item x="957"/>
        <item x="956"/>
        <item x="1225"/>
        <item x="449"/>
        <item x="484"/>
        <item x="148"/>
        <item x="142"/>
        <item x="885"/>
        <item x="548"/>
        <item x="616"/>
        <item x="829"/>
        <item x="679"/>
        <item x="462"/>
        <item x="377"/>
        <item x="415"/>
        <item x="966"/>
        <item x="268"/>
        <item x="855"/>
        <item x="104"/>
        <item x="441"/>
        <item x="338"/>
        <item x="347"/>
        <item x="741"/>
        <item x="765"/>
        <item x="766"/>
        <item x="738"/>
        <item x="742"/>
        <item x="737"/>
        <item x="284"/>
        <item x="294"/>
        <item x="1013"/>
        <item x="279"/>
        <item x="273"/>
        <item x="876"/>
        <item x="51"/>
        <item x="16"/>
        <item x="17"/>
        <item x="656"/>
        <item x="1006"/>
        <item x="439"/>
        <item x="933"/>
        <item x="935"/>
        <item x="677"/>
        <item x="661"/>
        <item x="678"/>
        <item x="1114"/>
        <item x="718"/>
        <item x="1112"/>
        <item x="687"/>
        <item x="652"/>
        <item x="1204"/>
        <item x="655"/>
        <item x="715"/>
        <item x="698"/>
        <item x="663"/>
        <item x="686"/>
        <item x="694"/>
        <item x="689"/>
        <item x="695"/>
        <item x="697"/>
        <item x="673"/>
        <item x="688"/>
        <item x="1202"/>
        <item x="682"/>
        <item x="675"/>
        <item x="696"/>
        <item x="680"/>
        <item x="701"/>
        <item x="355"/>
        <item x="1263"/>
        <item x="515"/>
        <item x="514"/>
        <item x="882"/>
        <item x="313"/>
        <item x="460"/>
        <item x="19"/>
        <item x="18"/>
        <item x="15"/>
        <item x="71"/>
        <item x="506"/>
        <item x="110"/>
        <item x="270"/>
        <item x="136"/>
        <item x="109"/>
        <item x="79"/>
        <item x="456"/>
        <item x="271"/>
        <item x="1163"/>
        <item x="710"/>
        <item x="137"/>
        <item x="1106"/>
        <item x="1102"/>
        <item x="459"/>
        <item x="343"/>
        <item x="1210"/>
        <item x="399"/>
        <item x="396"/>
        <item x="398"/>
        <item x="702"/>
        <item x="531"/>
        <item x="550"/>
        <item x="1122"/>
        <item x="308"/>
        <item x="1123"/>
        <item x="1127"/>
        <item x="621"/>
        <item x="331"/>
        <item x="509"/>
        <item x="222"/>
        <item x="226"/>
        <item x="423"/>
        <item x="114"/>
        <item x="135"/>
        <item x="811"/>
        <item x="112"/>
        <item x="5"/>
        <item x="713"/>
        <item x="253"/>
        <item x="229"/>
        <item x="610"/>
        <item x="1020"/>
        <item x="559"/>
        <item x="566"/>
        <item x="1222"/>
        <item x="1234"/>
        <item x="545"/>
        <item x="537"/>
        <item x="549"/>
        <item x="543"/>
        <item x="1229"/>
        <item x="31"/>
        <item x="75"/>
        <item x="1075"/>
        <item x="847"/>
        <item x="595"/>
        <item x="837"/>
        <item x="122"/>
        <item x="796"/>
        <item x="1266"/>
        <item x="1213"/>
        <item x="376"/>
        <item x="378"/>
        <item x="379"/>
        <item x="879"/>
        <item x="1235"/>
        <item x="1257"/>
        <item x="1231"/>
        <item x="1190"/>
        <item x="232"/>
        <item x="465"/>
        <item x="464"/>
        <item x="1015"/>
        <item x="714"/>
        <item x="803"/>
        <item x="264"/>
        <item x="262"/>
        <item x="658"/>
        <item x="470"/>
        <item x="874"/>
        <item x="940"/>
        <item x="571"/>
        <item x="950"/>
        <item x="949"/>
        <item x="948"/>
        <item x="880"/>
        <item x="884"/>
        <item x="37"/>
        <item x="1226"/>
        <item x="1227"/>
        <item x="88"/>
        <item x="320"/>
        <item x="3"/>
        <item x="782"/>
        <item x="25"/>
        <item x="1093"/>
        <item x="845"/>
        <item x="472"/>
        <item x="72"/>
        <item x="833"/>
        <item x="402"/>
        <item x="890"/>
        <item x="372"/>
        <item x="505"/>
        <item x="139"/>
        <item x="151"/>
        <item x="111"/>
        <item x="218"/>
        <item x="1223"/>
        <item x="547"/>
        <item x="576"/>
        <item x="27"/>
        <item x="261"/>
        <item x="254"/>
        <item x="57"/>
        <item x="321"/>
        <item x="269"/>
        <item x="788"/>
        <item x="56"/>
        <item x="138"/>
        <item x="1262"/>
        <item x="382"/>
        <item x="634"/>
        <item x="641"/>
        <item x="351"/>
        <item x="23"/>
        <item x="1084"/>
        <item x="801"/>
        <item x="344"/>
        <item x="624"/>
        <item x="50"/>
        <item x="82"/>
        <item x="395"/>
        <item x="1197"/>
        <item x="1189"/>
        <item x="78"/>
        <item x="242"/>
        <item x="85"/>
        <item x="2"/>
        <item x="299"/>
        <item x="836"/>
        <item x="1220"/>
        <item x="691"/>
        <item x="263"/>
        <item x="153"/>
        <item x="152"/>
        <item x="779"/>
        <item x="1194"/>
        <item x="517"/>
        <item x="831"/>
        <item x="622"/>
        <item x="1200"/>
        <item x="367"/>
        <item x="1198"/>
        <item x="636"/>
        <item x="651"/>
        <item x="209"/>
        <item x="1252"/>
        <item x="144"/>
        <item x="119"/>
        <item x="486"/>
        <item x="499"/>
        <item x="1063"/>
        <item x="433"/>
        <item x="1182"/>
        <item x="1146"/>
        <item x="1151"/>
        <item x="1037"/>
        <item x="1041"/>
        <item x="1040"/>
        <item x="1238"/>
        <item x="510"/>
        <item x="106"/>
        <item x="724"/>
        <item x="791"/>
        <item x="1125"/>
        <item x="437"/>
        <item x="1214"/>
        <item x="90"/>
        <item x="219"/>
        <item x="208"/>
        <item x="964"/>
        <item x="1196"/>
        <item x="962"/>
        <item x="436"/>
        <item x="452"/>
        <item x="391"/>
        <item x="105"/>
        <item x="1044"/>
        <item x="810"/>
        <item x="1219"/>
        <item x="1193"/>
        <item x="711"/>
        <item x="1060"/>
        <item x="918"/>
        <item x="924"/>
        <item x="646"/>
        <item x="728"/>
        <item x="1003"/>
        <item x="648"/>
        <item x="342"/>
        <item x="781"/>
        <item x="861"/>
        <item x="1249"/>
        <item x="290"/>
        <item x="925"/>
        <item x="572"/>
        <item x="454"/>
        <item x="823"/>
        <item x="1236"/>
        <item x="1233"/>
        <item x="578"/>
        <item x="848"/>
        <item x="1116"/>
        <item x="772"/>
        <item x="771"/>
        <item x="1067"/>
        <item x="293"/>
        <item x="793"/>
        <item x="341"/>
        <item x="458"/>
        <item x="579"/>
        <item x="628"/>
        <item x="1111"/>
        <item x="1203"/>
        <item x="1188"/>
        <item x="693"/>
        <item x="570"/>
        <item x="560"/>
        <item x="1230"/>
        <item x="908"/>
        <item x="725"/>
        <item x="306"/>
        <item x="860"/>
        <item x="1199"/>
        <item x="416"/>
        <item x="418"/>
        <item x="939"/>
        <item x="722"/>
        <item x="251"/>
        <item x="862"/>
        <item x="854"/>
        <item x="281"/>
        <item x="292"/>
        <item x="840"/>
        <item x="1245"/>
        <item x="930"/>
        <item x="819"/>
        <item x="603"/>
        <item x="1018"/>
        <item x="1169"/>
        <item x="843"/>
        <item x="1010"/>
        <item x="1016"/>
        <item x="525"/>
        <item x="277"/>
        <item x="596"/>
        <item x="830"/>
        <item x="516"/>
        <item x="835"/>
        <item x="526"/>
        <item x="1170"/>
        <item x="1004"/>
        <item x="1246"/>
        <item x="700"/>
        <item x="63"/>
        <item x="1201"/>
        <item x="369"/>
        <item x="368"/>
        <item x="608"/>
        <item x="1129"/>
        <item x="726"/>
        <item x="305"/>
        <item x="910"/>
        <item x="909"/>
        <item x="1017"/>
        <item x="922"/>
        <item x="894"/>
        <item x="360"/>
        <item x="409"/>
        <item x="408"/>
        <item x="895"/>
        <item x="450"/>
        <item x="630"/>
        <item x="125"/>
        <item x="116"/>
        <item x="474"/>
        <item x="100"/>
        <item x="101"/>
        <item x="813"/>
        <item x="866"/>
        <item x="859"/>
        <item x="668"/>
        <item x="889"/>
        <item x="523"/>
        <item x="707"/>
        <item x="481"/>
        <item x="417"/>
        <item x="953"/>
        <item x="952"/>
        <item x="951"/>
        <item x="1001"/>
        <item x="1000"/>
        <item x="961"/>
        <item x="946"/>
        <item x="1005"/>
        <item x="1166"/>
        <item x="130"/>
        <item x="113"/>
        <item x="1076"/>
        <item x="60"/>
        <item x="127"/>
        <item x="448"/>
        <item x="267"/>
        <item x="599"/>
        <item x="637"/>
        <item x="64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1">
    <field x="8"/>
  </rowFields>
  <rowItems count="160">
    <i>
      <x v="148"/>
    </i>
    <i>
      <x v="24"/>
    </i>
    <i>
      <x v="29"/>
    </i>
    <i>
      <x v="16"/>
    </i>
    <i>
      <x v="7"/>
    </i>
    <i>
      <x v="18"/>
    </i>
    <i>
      <x v="64"/>
    </i>
    <i>
      <x v="140"/>
    </i>
    <i>
      <x v="28"/>
    </i>
    <i>
      <x v="9"/>
    </i>
    <i>
      <x v="13"/>
    </i>
    <i>
      <x v="139"/>
    </i>
    <i>
      <x v="52"/>
    </i>
    <i>
      <x v="21"/>
    </i>
    <i>
      <x v="11"/>
    </i>
    <i>
      <x v="25"/>
    </i>
    <i>
      <x v="27"/>
    </i>
    <i>
      <x v="143"/>
    </i>
    <i>
      <x v="45"/>
    </i>
    <i>
      <x v="61"/>
    </i>
    <i>
      <x v="19"/>
    </i>
    <i>
      <x v="153"/>
    </i>
    <i>
      <x v="8"/>
    </i>
    <i>
      <x v="150"/>
    </i>
    <i>
      <x v="14"/>
    </i>
    <i>
      <x v="46"/>
    </i>
    <i>
      <x v="68"/>
    </i>
    <i>
      <x v="53"/>
    </i>
    <i>
      <x v="6"/>
    </i>
    <i>
      <x v="20"/>
    </i>
    <i>
      <x v="34"/>
    </i>
    <i>
      <x v="37"/>
    </i>
    <i>
      <x v="54"/>
    </i>
    <i>
      <x v="145"/>
    </i>
    <i>
      <x v="142"/>
    </i>
    <i>
      <x v="86"/>
    </i>
    <i>
      <x v="51"/>
    </i>
    <i>
      <x v="15"/>
    </i>
    <i>
      <x v="40"/>
    </i>
    <i>
      <x v="49"/>
    </i>
    <i>
      <x v="17"/>
    </i>
    <i>
      <x v="78"/>
    </i>
    <i>
      <x v="81"/>
    </i>
    <i>
      <x v="154"/>
    </i>
    <i>
      <x v="2"/>
    </i>
    <i>
      <x v="144"/>
    </i>
    <i>
      <x v="138"/>
    </i>
    <i>
      <x v="47"/>
    </i>
    <i>
      <x v="63"/>
    </i>
    <i>
      <x v="112"/>
    </i>
    <i>
      <x v="31"/>
    </i>
    <i>
      <x v="73"/>
    </i>
    <i>
      <x v="83"/>
    </i>
    <i>
      <x v="79"/>
    </i>
    <i>
      <x v="10"/>
    </i>
    <i>
      <x v="82"/>
    </i>
    <i>
      <x v="62"/>
    </i>
    <i>
      <x v="88"/>
    </i>
    <i>
      <x v="90"/>
    </i>
    <i>
      <x v="22"/>
    </i>
    <i>
      <x v="128"/>
    </i>
    <i>
      <x v="66"/>
    </i>
    <i>
      <x v="60"/>
    </i>
    <i>
      <x v="50"/>
    </i>
    <i>
      <x v="57"/>
    </i>
    <i>
      <x v="93"/>
    </i>
    <i>
      <x v="4"/>
    </i>
    <i>
      <x/>
    </i>
    <i>
      <x v="137"/>
    </i>
    <i>
      <x v="5"/>
    </i>
    <i>
      <x v="32"/>
    </i>
    <i>
      <x v="114"/>
    </i>
    <i>
      <x v="113"/>
    </i>
    <i>
      <x v="12"/>
    </i>
    <i>
      <x v="30"/>
    </i>
    <i>
      <x v="103"/>
    </i>
    <i>
      <x v="89"/>
    </i>
    <i>
      <x v="91"/>
    </i>
    <i>
      <x v="44"/>
    </i>
    <i>
      <x v="157"/>
    </i>
    <i>
      <x v="100"/>
    </i>
    <i>
      <x v="38"/>
    </i>
    <i>
      <x v="77"/>
    </i>
    <i>
      <x v="59"/>
    </i>
    <i>
      <x v="58"/>
    </i>
    <i>
      <x v="141"/>
    </i>
    <i>
      <x v="136"/>
    </i>
    <i>
      <x v="99"/>
    </i>
    <i>
      <x v="76"/>
    </i>
    <i>
      <x v="65"/>
    </i>
    <i>
      <x v="134"/>
    </i>
    <i>
      <x v="118"/>
    </i>
    <i>
      <x v="155"/>
    </i>
    <i>
      <x v="146"/>
    </i>
    <i>
      <x v="1"/>
    </i>
    <i>
      <x v="43"/>
    </i>
    <i>
      <x v="55"/>
    </i>
    <i>
      <x v="109"/>
    </i>
    <i>
      <x v="48"/>
    </i>
    <i>
      <x v="94"/>
    </i>
    <i>
      <x v="23"/>
    </i>
    <i>
      <x v="98"/>
    </i>
    <i>
      <x v="33"/>
    </i>
    <i>
      <x v="156"/>
    </i>
    <i>
      <x v="84"/>
    </i>
    <i>
      <x v="67"/>
    </i>
    <i>
      <x v="80"/>
    </i>
    <i>
      <x v="149"/>
    </i>
    <i>
      <x v="124"/>
    </i>
    <i>
      <x v="107"/>
    </i>
    <i>
      <x v="106"/>
    </i>
    <i>
      <x v="96"/>
    </i>
    <i>
      <x v="125"/>
    </i>
    <i>
      <x v="105"/>
    </i>
    <i>
      <x v="3"/>
    </i>
    <i>
      <x v="70"/>
    </i>
    <i>
      <x v="110"/>
    </i>
    <i>
      <x v="85"/>
    </i>
    <i>
      <x v="74"/>
    </i>
    <i>
      <x v="123"/>
    </i>
    <i>
      <x v="117"/>
    </i>
    <i>
      <x v="41"/>
    </i>
    <i>
      <x v="111"/>
    </i>
    <i>
      <x v="116"/>
    </i>
    <i>
      <x v="101"/>
    </i>
    <i>
      <x v="115"/>
    </i>
    <i>
      <x v="42"/>
    </i>
    <i>
      <x v="104"/>
    </i>
    <i>
      <x v="147"/>
    </i>
    <i>
      <x v="56"/>
    </i>
    <i>
      <x v="126"/>
    </i>
    <i>
      <x v="119"/>
    </i>
    <i>
      <x v="92"/>
    </i>
    <i>
      <x v="122"/>
    </i>
    <i>
      <x v="39"/>
    </i>
    <i>
      <x v="72"/>
    </i>
    <i>
      <x v="129"/>
    </i>
    <i>
      <x v="75"/>
    </i>
    <i>
      <x v="127"/>
    </i>
    <i>
      <x v="151"/>
    </i>
    <i>
      <x v="132"/>
    </i>
    <i>
      <x v="158"/>
    </i>
    <i>
      <x v="35"/>
    </i>
    <i>
      <x v="130"/>
    </i>
    <i>
      <x v="102"/>
    </i>
    <i>
      <x v="26"/>
    </i>
    <i>
      <x v="120"/>
    </i>
    <i>
      <x v="87"/>
    </i>
    <i>
      <x v="36"/>
    </i>
    <i>
      <x v="95"/>
    </i>
    <i>
      <x v="152"/>
    </i>
    <i>
      <x v="97"/>
    </i>
    <i>
      <x v="71"/>
    </i>
    <i>
      <x v="121"/>
    </i>
    <i>
      <x v="108"/>
    </i>
    <i>
      <x v="133"/>
    </i>
    <i>
      <x v="135"/>
    </i>
    <i>
      <x v="131"/>
    </i>
    <i>
      <x v="6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BUDGETED AMOUNT" fld="21" baseField="0" baseItem="0" numFmtId="164"/>
    <dataField name="Sum of TOTAL BUDGETED UNIT" fld="18" baseField="0" baseItem="0"/>
  </dataFields>
  <formats count="1">
    <format dxfId="9">
      <pivotArea outline="0" fieldPosition="0">
        <references count="1">
          <reference field="4294967294" count="1" selected="0">
            <x v="0"/>
          </reference>
        </references>
      </pivotArea>
    </format>
  </formats>
  <chartFormats count="258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48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64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14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28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139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52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27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143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45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8" count="1" selected="0">
            <x v="61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153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8" count="1" selected="0">
            <x v="150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0"/>
          </reference>
          <reference field="8" count="1" selected="0">
            <x v="46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8" count="1" selected="0">
            <x v="68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0"/>
          </reference>
          <reference field="8" count="1" selected="0">
            <x v="53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0"/>
          </reference>
          <reference field="8" count="1" selected="0">
            <x v="34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0"/>
          </reference>
          <reference field="8" count="1" selected="0">
            <x v="37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0"/>
          </reference>
          <reference field="8" count="1" selected="0">
            <x v="54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5"/>
          </reference>
        </references>
      </pivotArea>
    </chartFormat>
    <chartFormat chart="0" format="36">
      <pivotArea type="data" outline="0" fieldPosition="0">
        <references count="2">
          <reference field="4294967294" count="1" selected="0">
            <x v="0"/>
          </reference>
          <reference field="8" count="1" selected="0">
            <x v="142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0"/>
          </reference>
          <reference field="8" count="1" selected="0">
            <x v="86"/>
          </reference>
        </references>
      </pivotArea>
    </chartFormat>
    <chartFormat chart="0" format="38">
      <pivotArea type="data" outline="0" fieldPosition="0">
        <references count="2">
          <reference field="4294967294" count="1" selected="0">
            <x v="0"/>
          </reference>
          <reference field="8" count="1" selected="0">
            <x v="51"/>
          </reference>
        </references>
      </pivotArea>
    </chartFormat>
    <chartFormat chart="0" format="39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0" format="40">
      <pivotArea type="data" outline="0" fieldPosition="0">
        <references count="2">
          <reference field="4294967294" count="1" selected="0">
            <x v="0"/>
          </reference>
          <reference field="8" count="1" selected="0">
            <x v="40"/>
          </reference>
        </references>
      </pivotArea>
    </chartFormat>
    <chartFormat chart="0" format="41">
      <pivotArea type="data" outline="0" fieldPosition="0">
        <references count="2">
          <reference field="4294967294" count="1" selected="0">
            <x v="0"/>
          </reference>
          <reference field="8" count="1" selected="0">
            <x v="49"/>
          </reference>
        </references>
      </pivotArea>
    </chartFormat>
    <chartFormat chart="0" format="42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0" format="43">
      <pivotArea type="data" outline="0" fieldPosition="0">
        <references count="2">
          <reference field="4294967294" count="1" selected="0">
            <x v="0"/>
          </reference>
          <reference field="8" count="1" selected="0">
            <x v="78"/>
          </reference>
        </references>
      </pivotArea>
    </chartFormat>
    <chartFormat chart="0" format="44">
      <pivotArea type="data" outline="0" fieldPosition="0">
        <references count="2">
          <reference field="4294967294" count="1" selected="0">
            <x v="0"/>
          </reference>
          <reference field="8" count="1" selected="0">
            <x v="81"/>
          </reference>
        </references>
      </pivotArea>
    </chartFormat>
    <chartFormat chart="0" format="45">
      <pivotArea type="data" outline="0" fieldPosition="0">
        <references count="2">
          <reference field="4294967294" count="1" selected="0">
            <x v="0"/>
          </reference>
          <reference field="8" count="1" selected="0">
            <x v="154"/>
          </reference>
        </references>
      </pivotArea>
    </chartFormat>
    <chartFormat chart="0" format="46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7">
      <pivotArea type="data" outline="0" fieldPosition="0">
        <references count="2">
          <reference field="4294967294" count="1" selected="0">
            <x v="0"/>
          </reference>
          <reference field="8" count="1" selected="0">
            <x v="144"/>
          </reference>
        </references>
      </pivotArea>
    </chartFormat>
    <chartFormat chart="0" format="48">
      <pivotArea type="data" outline="0" fieldPosition="0">
        <references count="2">
          <reference field="4294967294" count="1" selected="0">
            <x v="0"/>
          </reference>
          <reference field="8" count="1" selected="0">
            <x v="138"/>
          </reference>
        </references>
      </pivotArea>
    </chartFormat>
    <chartFormat chart="0" format="49">
      <pivotArea type="data" outline="0" fieldPosition="0">
        <references count="2">
          <reference field="4294967294" count="1" selected="0">
            <x v="0"/>
          </reference>
          <reference field="8" count="1" selected="0">
            <x v="47"/>
          </reference>
        </references>
      </pivotArea>
    </chartFormat>
    <chartFormat chart="0" format="50">
      <pivotArea type="data" outline="0" fieldPosition="0">
        <references count="2">
          <reference field="4294967294" count="1" selected="0">
            <x v="0"/>
          </reference>
          <reference field="8" count="1" selected="0">
            <x v="63"/>
          </reference>
        </references>
      </pivotArea>
    </chartFormat>
    <chartFormat chart="0" format="5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2"/>
          </reference>
        </references>
      </pivotArea>
    </chartFormat>
    <chartFormat chart="0" format="52">
      <pivotArea type="data" outline="0" fieldPosition="0">
        <references count="2">
          <reference field="4294967294" count="1" selected="0">
            <x v="0"/>
          </reference>
          <reference field="8" count="1" selected="0">
            <x v="31"/>
          </reference>
        </references>
      </pivotArea>
    </chartFormat>
    <chartFormat chart="0" format="53">
      <pivotArea type="data" outline="0" fieldPosition="0">
        <references count="2">
          <reference field="4294967294" count="1" selected="0">
            <x v="0"/>
          </reference>
          <reference field="8" count="1" selected="0">
            <x v="73"/>
          </reference>
        </references>
      </pivotArea>
    </chartFormat>
    <chartFormat chart="0" format="54">
      <pivotArea type="data" outline="0" fieldPosition="0">
        <references count="2">
          <reference field="4294967294" count="1" selected="0">
            <x v="0"/>
          </reference>
          <reference field="8" count="1" selected="0">
            <x v="83"/>
          </reference>
        </references>
      </pivotArea>
    </chartFormat>
    <chartFormat chart="0" format="55">
      <pivotArea type="data" outline="0" fieldPosition="0">
        <references count="2">
          <reference field="4294967294" count="1" selected="0">
            <x v="0"/>
          </reference>
          <reference field="8" count="1" selected="0">
            <x v="79"/>
          </reference>
        </references>
      </pivotArea>
    </chartFormat>
    <chartFormat chart="0" format="56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0" format="57">
      <pivotArea type="data" outline="0" fieldPosition="0">
        <references count="2">
          <reference field="4294967294" count="1" selected="0">
            <x v="0"/>
          </reference>
          <reference field="8" count="1" selected="0">
            <x v="82"/>
          </reference>
        </references>
      </pivotArea>
    </chartFormat>
    <chartFormat chart="0" format="58">
      <pivotArea type="data" outline="0" fieldPosition="0">
        <references count="2">
          <reference field="4294967294" count="1" selected="0">
            <x v="0"/>
          </reference>
          <reference field="8" count="1" selected="0">
            <x v="62"/>
          </reference>
        </references>
      </pivotArea>
    </chartFormat>
    <chartFormat chart="0" format="59">
      <pivotArea type="data" outline="0" fieldPosition="0">
        <references count="2">
          <reference field="4294967294" count="1" selected="0">
            <x v="0"/>
          </reference>
          <reference field="8" count="1" selected="0">
            <x v="88"/>
          </reference>
        </references>
      </pivotArea>
    </chartFormat>
    <chartFormat chart="0" format="60">
      <pivotArea type="data" outline="0" fieldPosition="0">
        <references count="2">
          <reference field="4294967294" count="1" selected="0">
            <x v="0"/>
          </reference>
          <reference field="8" count="1" selected="0">
            <x v="90"/>
          </reference>
        </references>
      </pivotArea>
    </chartFormat>
    <chartFormat chart="0" format="6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0" format="62">
      <pivotArea type="data" outline="0" fieldPosition="0">
        <references count="2">
          <reference field="4294967294" count="1" selected="0">
            <x v="0"/>
          </reference>
          <reference field="8" count="1" selected="0">
            <x v="128"/>
          </reference>
        </references>
      </pivotArea>
    </chartFormat>
    <chartFormat chart="0" format="63">
      <pivotArea type="data" outline="0" fieldPosition="0">
        <references count="2">
          <reference field="4294967294" count="1" selected="0">
            <x v="0"/>
          </reference>
          <reference field="8" count="1" selected="0">
            <x v="66"/>
          </reference>
        </references>
      </pivotArea>
    </chartFormat>
    <chartFormat chart="0" format="64">
      <pivotArea type="data" outline="0" fieldPosition="0">
        <references count="2">
          <reference field="4294967294" count="1" selected="0">
            <x v="0"/>
          </reference>
          <reference field="8" count="1" selected="0">
            <x v="60"/>
          </reference>
        </references>
      </pivotArea>
    </chartFormat>
    <chartFormat chart="0" format="65">
      <pivotArea type="data" outline="0" fieldPosition="0">
        <references count="2">
          <reference field="4294967294" count="1" selected="0">
            <x v="0"/>
          </reference>
          <reference field="8" count="1" selected="0">
            <x v="50"/>
          </reference>
        </references>
      </pivotArea>
    </chartFormat>
    <chartFormat chart="0" format="66">
      <pivotArea type="data" outline="0" fieldPosition="0">
        <references count="2">
          <reference field="4294967294" count="1" selected="0">
            <x v="0"/>
          </reference>
          <reference field="8" count="1" selected="0">
            <x v="57"/>
          </reference>
        </references>
      </pivotArea>
    </chartFormat>
    <chartFormat chart="0" format="67">
      <pivotArea type="data" outline="0" fieldPosition="0">
        <references count="2">
          <reference field="4294967294" count="1" selected="0">
            <x v="0"/>
          </reference>
          <reference field="8" count="1" selected="0">
            <x v="93"/>
          </reference>
        </references>
      </pivotArea>
    </chartFormat>
    <chartFormat chart="0" format="68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6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70">
      <pivotArea type="data" outline="0" fieldPosition="0">
        <references count="2">
          <reference field="4294967294" count="1" selected="0">
            <x v="0"/>
          </reference>
          <reference field="8" count="1" selected="0">
            <x v="137"/>
          </reference>
        </references>
      </pivotArea>
    </chartFormat>
    <chartFormat chart="0" format="7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72">
      <pivotArea type="data" outline="0" fieldPosition="0">
        <references count="2">
          <reference field="4294967294" count="1" selected="0">
            <x v="0"/>
          </reference>
          <reference field="8" count="1" selected="0">
            <x v="32"/>
          </reference>
        </references>
      </pivotArea>
    </chartFormat>
    <chartFormat chart="0" format="7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4"/>
          </reference>
        </references>
      </pivotArea>
    </chartFormat>
    <chartFormat chart="0" format="74">
      <pivotArea type="data" outline="0" fieldPosition="0">
        <references count="2">
          <reference field="4294967294" count="1" selected="0">
            <x v="0"/>
          </reference>
          <reference field="8" count="1" selected="0">
            <x v="113"/>
          </reference>
        </references>
      </pivotArea>
    </chartFormat>
    <chartFormat chart="0" format="75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0" format="76">
      <pivotArea type="data" outline="0" fieldPosition="0">
        <references count="2">
          <reference field="4294967294" count="1" selected="0">
            <x v="0"/>
          </reference>
          <reference field="8" count="1" selected="0">
            <x v="30"/>
          </reference>
        </references>
      </pivotArea>
    </chartFormat>
    <chartFormat chart="0" format="77">
      <pivotArea type="data" outline="0" fieldPosition="0">
        <references count="2">
          <reference field="4294967294" count="1" selected="0">
            <x v="0"/>
          </reference>
          <reference field="8" count="1" selected="0">
            <x v="103"/>
          </reference>
        </references>
      </pivotArea>
    </chartFormat>
    <chartFormat chart="0" format="78">
      <pivotArea type="data" outline="0" fieldPosition="0">
        <references count="2">
          <reference field="4294967294" count="1" selected="0">
            <x v="0"/>
          </reference>
          <reference field="8" count="1" selected="0">
            <x v="89"/>
          </reference>
        </references>
      </pivotArea>
    </chartFormat>
    <chartFormat chart="0" format="79">
      <pivotArea type="data" outline="0" fieldPosition="0">
        <references count="2">
          <reference field="4294967294" count="1" selected="0">
            <x v="0"/>
          </reference>
          <reference field="8" count="1" selected="0">
            <x v="91"/>
          </reference>
        </references>
      </pivotArea>
    </chartFormat>
    <chartFormat chart="0" format="80">
      <pivotArea type="data" outline="0" fieldPosition="0">
        <references count="2">
          <reference field="4294967294" count="1" selected="0">
            <x v="0"/>
          </reference>
          <reference field="8" count="1" selected="0">
            <x v="44"/>
          </reference>
        </references>
      </pivotArea>
    </chartFormat>
    <chartFormat chart="0" format="8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7"/>
          </reference>
        </references>
      </pivotArea>
    </chartFormat>
    <chartFormat chart="0" format="82">
      <pivotArea type="data" outline="0" fieldPosition="0">
        <references count="2">
          <reference field="4294967294" count="1" selected="0">
            <x v="0"/>
          </reference>
          <reference field="8" count="1" selected="0">
            <x v="100"/>
          </reference>
        </references>
      </pivotArea>
    </chartFormat>
    <chartFormat chart="0" format="83">
      <pivotArea type="data" outline="0" fieldPosition="0">
        <references count="2">
          <reference field="4294967294" count="1" selected="0">
            <x v="0"/>
          </reference>
          <reference field="8" count="1" selected="0">
            <x v="38"/>
          </reference>
        </references>
      </pivotArea>
    </chartFormat>
    <chartFormat chart="0" format="84">
      <pivotArea type="data" outline="0" fieldPosition="0">
        <references count="2">
          <reference field="4294967294" count="1" selected="0">
            <x v="0"/>
          </reference>
          <reference field="8" count="1" selected="0">
            <x v="77"/>
          </reference>
        </references>
      </pivotArea>
    </chartFormat>
    <chartFormat chart="0" format="85">
      <pivotArea type="data" outline="0" fieldPosition="0">
        <references count="2">
          <reference field="4294967294" count="1" selected="0">
            <x v="0"/>
          </reference>
          <reference field="8" count="1" selected="0">
            <x v="59"/>
          </reference>
        </references>
      </pivotArea>
    </chartFormat>
    <chartFormat chart="0" format="86">
      <pivotArea type="data" outline="0" fieldPosition="0">
        <references count="2">
          <reference field="4294967294" count="1" selected="0">
            <x v="0"/>
          </reference>
          <reference field="8" count="1" selected="0">
            <x v="58"/>
          </reference>
        </references>
      </pivotArea>
    </chartFormat>
    <chartFormat chart="0" format="87">
      <pivotArea type="data" outline="0" fieldPosition="0">
        <references count="2">
          <reference field="4294967294" count="1" selected="0">
            <x v="0"/>
          </reference>
          <reference field="8" count="1" selected="0">
            <x v="141"/>
          </reference>
        </references>
      </pivotArea>
    </chartFormat>
    <chartFormat chart="0" format="88">
      <pivotArea type="data" outline="0" fieldPosition="0">
        <references count="2">
          <reference field="4294967294" count="1" selected="0">
            <x v="0"/>
          </reference>
          <reference field="8" count="1" selected="0">
            <x v="136"/>
          </reference>
        </references>
      </pivotArea>
    </chartFormat>
    <chartFormat chart="0" format="89">
      <pivotArea type="data" outline="0" fieldPosition="0">
        <references count="2">
          <reference field="4294967294" count="1" selected="0">
            <x v="0"/>
          </reference>
          <reference field="8" count="1" selected="0">
            <x v="99"/>
          </reference>
        </references>
      </pivotArea>
    </chartFormat>
    <chartFormat chart="0" format="90">
      <pivotArea type="data" outline="0" fieldPosition="0">
        <references count="2">
          <reference field="4294967294" count="1" selected="0">
            <x v="0"/>
          </reference>
          <reference field="8" count="1" selected="0">
            <x v="76"/>
          </reference>
        </references>
      </pivotArea>
    </chartFormat>
    <chartFormat chart="0" format="91">
      <pivotArea type="data" outline="0" fieldPosition="0">
        <references count="2">
          <reference field="4294967294" count="1" selected="0">
            <x v="0"/>
          </reference>
          <reference field="8" count="1" selected="0">
            <x v="65"/>
          </reference>
        </references>
      </pivotArea>
    </chartFormat>
    <chartFormat chart="0" format="92">
      <pivotArea type="data" outline="0" fieldPosition="0">
        <references count="2">
          <reference field="4294967294" count="1" selected="0">
            <x v="0"/>
          </reference>
          <reference field="8" count="1" selected="0">
            <x v="134"/>
          </reference>
        </references>
      </pivotArea>
    </chartFormat>
    <chartFormat chart="0" format="9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8"/>
          </reference>
        </references>
      </pivotArea>
    </chartFormat>
    <chartFormat chart="0" format="9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5"/>
          </reference>
        </references>
      </pivotArea>
    </chartFormat>
    <chartFormat chart="0" format="9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6"/>
          </reference>
        </references>
      </pivotArea>
    </chartFormat>
    <chartFormat chart="0" format="9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97">
      <pivotArea type="data" outline="0" fieldPosition="0">
        <references count="2">
          <reference field="4294967294" count="1" selected="0">
            <x v="0"/>
          </reference>
          <reference field="8" count="1" selected="0">
            <x v="43"/>
          </reference>
        </references>
      </pivotArea>
    </chartFormat>
    <chartFormat chart="0" format="98">
      <pivotArea type="data" outline="0" fieldPosition="0">
        <references count="2">
          <reference field="4294967294" count="1" selected="0">
            <x v="0"/>
          </reference>
          <reference field="8" count="1" selected="0">
            <x v="55"/>
          </reference>
        </references>
      </pivotArea>
    </chartFormat>
    <chartFormat chart="0" format="99">
      <pivotArea type="data" outline="0" fieldPosition="0">
        <references count="2">
          <reference field="4294967294" count="1" selected="0">
            <x v="0"/>
          </reference>
          <reference field="8" count="1" selected="0">
            <x v="109"/>
          </reference>
        </references>
      </pivotArea>
    </chartFormat>
    <chartFormat chart="0" format="100">
      <pivotArea type="data" outline="0" fieldPosition="0">
        <references count="2">
          <reference field="4294967294" count="1" selected="0">
            <x v="0"/>
          </reference>
          <reference field="8" count="1" selected="0">
            <x v="48"/>
          </reference>
        </references>
      </pivotArea>
    </chartFormat>
    <chartFormat chart="0" format="101">
      <pivotArea type="data" outline="0" fieldPosition="0">
        <references count="2">
          <reference field="4294967294" count="1" selected="0">
            <x v="0"/>
          </reference>
          <reference field="8" count="1" selected="0">
            <x v="94"/>
          </reference>
        </references>
      </pivotArea>
    </chartFormat>
    <chartFormat chart="0" format="102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0" format="103">
      <pivotArea type="data" outline="0" fieldPosition="0">
        <references count="2">
          <reference field="4294967294" count="1" selected="0">
            <x v="0"/>
          </reference>
          <reference field="8" count="1" selected="0">
            <x v="98"/>
          </reference>
        </references>
      </pivotArea>
    </chartFormat>
    <chartFormat chart="0" format="104">
      <pivotArea type="data" outline="0" fieldPosition="0">
        <references count="2">
          <reference field="4294967294" count="1" selected="0">
            <x v="0"/>
          </reference>
          <reference field="8" count="1" selected="0">
            <x v="33"/>
          </reference>
        </references>
      </pivotArea>
    </chartFormat>
    <chartFormat chart="0" format="105">
      <pivotArea type="data" outline="0" fieldPosition="0">
        <references count="2">
          <reference field="4294967294" count="1" selected="0">
            <x v="0"/>
          </reference>
          <reference field="8" count="1" selected="0">
            <x v="156"/>
          </reference>
        </references>
      </pivotArea>
    </chartFormat>
    <chartFormat chart="0" format="106">
      <pivotArea type="data" outline="0" fieldPosition="0">
        <references count="2">
          <reference field="4294967294" count="1" selected="0">
            <x v="0"/>
          </reference>
          <reference field="8" count="1" selected="0">
            <x v="84"/>
          </reference>
        </references>
      </pivotArea>
    </chartFormat>
    <chartFormat chart="0" format="107">
      <pivotArea type="data" outline="0" fieldPosition="0">
        <references count="2">
          <reference field="4294967294" count="1" selected="0">
            <x v="0"/>
          </reference>
          <reference field="8" count="1" selected="0">
            <x v="67"/>
          </reference>
        </references>
      </pivotArea>
    </chartFormat>
    <chartFormat chart="0" format="108">
      <pivotArea type="data" outline="0" fieldPosition="0">
        <references count="2">
          <reference field="4294967294" count="1" selected="0">
            <x v="0"/>
          </reference>
          <reference field="8" count="1" selected="0">
            <x v="80"/>
          </reference>
        </references>
      </pivotArea>
    </chartFormat>
    <chartFormat chart="0" format="109">
      <pivotArea type="data" outline="0" fieldPosition="0">
        <references count="2">
          <reference field="4294967294" count="1" selected="0">
            <x v="0"/>
          </reference>
          <reference field="8" count="1" selected="0">
            <x v="149"/>
          </reference>
        </references>
      </pivotArea>
    </chartFormat>
    <chartFormat chart="0" format="110">
      <pivotArea type="data" outline="0" fieldPosition="0">
        <references count="2">
          <reference field="4294967294" count="1" selected="0">
            <x v="0"/>
          </reference>
          <reference field="8" count="1" selected="0">
            <x v="124"/>
          </reference>
        </references>
      </pivotArea>
    </chartFormat>
    <chartFormat chart="0" format="1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7"/>
          </reference>
        </references>
      </pivotArea>
    </chartFormat>
    <chartFormat chart="0" format="1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06"/>
          </reference>
        </references>
      </pivotArea>
    </chartFormat>
    <chartFormat chart="0" format="113">
      <pivotArea type="data" outline="0" fieldPosition="0">
        <references count="2">
          <reference field="4294967294" count="1" selected="0">
            <x v="0"/>
          </reference>
          <reference field="8" count="1" selected="0">
            <x v="96"/>
          </reference>
        </references>
      </pivotArea>
    </chartFormat>
    <chartFormat chart="0" format="1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5"/>
          </reference>
        </references>
      </pivotArea>
    </chartFormat>
    <chartFormat chart="0" format="11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5"/>
          </reference>
        </references>
      </pivotArea>
    </chartFormat>
    <chartFormat chart="0" format="116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117">
      <pivotArea type="data" outline="0" fieldPosition="0">
        <references count="2">
          <reference field="4294967294" count="1" selected="0">
            <x v="0"/>
          </reference>
          <reference field="8" count="1" selected="0">
            <x v="70"/>
          </reference>
        </references>
      </pivotArea>
    </chartFormat>
    <chartFormat chart="0" format="118">
      <pivotArea type="data" outline="0" fieldPosition="0">
        <references count="2">
          <reference field="4294967294" count="1" selected="0">
            <x v="0"/>
          </reference>
          <reference field="8" count="1" selected="0">
            <x v="110"/>
          </reference>
        </references>
      </pivotArea>
    </chartFormat>
    <chartFormat chart="0" format="119">
      <pivotArea type="data" outline="0" fieldPosition="0">
        <references count="2">
          <reference field="4294967294" count="1" selected="0">
            <x v="0"/>
          </reference>
          <reference field="8" count="1" selected="0">
            <x v="85"/>
          </reference>
        </references>
      </pivotArea>
    </chartFormat>
    <chartFormat chart="0" format="120">
      <pivotArea type="data" outline="0" fieldPosition="0">
        <references count="2">
          <reference field="4294967294" count="1" selected="0">
            <x v="0"/>
          </reference>
          <reference field="8" count="1" selected="0">
            <x v="74"/>
          </reference>
        </references>
      </pivotArea>
    </chartFormat>
    <chartFormat chart="0" format="12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3"/>
          </reference>
        </references>
      </pivotArea>
    </chartFormat>
    <chartFormat chart="0" format="12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7"/>
          </reference>
        </references>
      </pivotArea>
    </chartFormat>
    <chartFormat chart="0" format="123">
      <pivotArea type="data" outline="0" fieldPosition="0">
        <references count="2">
          <reference field="4294967294" count="1" selected="0">
            <x v="0"/>
          </reference>
          <reference field="8" count="1" selected="0">
            <x v="41"/>
          </reference>
        </references>
      </pivotArea>
    </chartFormat>
    <chartFormat chart="0" format="124">
      <pivotArea type="data" outline="0" fieldPosition="0">
        <references count="2">
          <reference field="4294967294" count="1" selected="0">
            <x v="0"/>
          </reference>
          <reference field="8" count="1" selected="0">
            <x v="111"/>
          </reference>
        </references>
      </pivotArea>
    </chartFormat>
    <chartFormat chart="0" format="125">
      <pivotArea type="data" outline="0" fieldPosition="0">
        <references count="2">
          <reference field="4294967294" count="1" selected="0">
            <x v="0"/>
          </reference>
          <reference field="8" count="1" selected="0">
            <x v="116"/>
          </reference>
        </references>
      </pivotArea>
    </chartFormat>
    <chartFormat chart="0" format="126">
      <pivotArea type="data" outline="0" fieldPosition="0">
        <references count="2">
          <reference field="4294967294" count="1" selected="0">
            <x v="0"/>
          </reference>
          <reference field="8" count="1" selected="0">
            <x v="101"/>
          </reference>
        </references>
      </pivotArea>
    </chartFormat>
    <chartFormat chart="0" format="127">
      <pivotArea type="data" outline="0" fieldPosition="0">
        <references count="2">
          <reference field="4294967294" count="1" selected="0">
            <x v="0"/>
          </reference>
          <reference field="8" count="1" selected="0">
            <x v="115"/>
          </reference>
        </references>
      </pivotArea>
    </chartFormat>
    <chartFormat chart="0" format="128">
      <pivotArea type="data" outline="0" fieldPosition="0">
        <references count="2">
          <reference field="4294967294" count="1" selected="0">
            <x v="0"/>
          </reference>
          <reference field="8" count="1" selected="0">
            <x v="42"/>
          </reference>
        </references>
      </pivotArea>
    </chartFormat>
    <chartFormat chart="0" format="129">
      <pivotArea type="data" outline="0" fieldPosition="0">
        <references count="2">
          <reference field="4294967294" count="1" selected="0">
            <x v="0"/>
          </reference>
          <reference field="8" count="1" selected="0">
            <x v="104"/>
          </reference>
        </references>
      </pivotArea>
    </chartFormat>
    <chartFormat chart="0" format="130">
      <pivotArea type="data" outline="0" fieldPosition="0">
        <references count="2">
          <reference field="4294967294" count="1" selected="0">
            <x v="0"/>
          </reference>
          <reference field="8" count="1" selected="0">
            <x v="147"/>
          </reference>
        </references>
      </pivotArea>
    </chartFormat>
    <chartFormat chart="0" format="131">
      <pivotArea type="data" outline="0" fieldPosition="0">
        <references count="2">
          <reference field="4294967294" count="1" selected="0">
            <x v="0"/>
          </reference>
          <reference field="8" count="1" selected="0">
            <x v="56"/>
          </reference>
        </references>
      </pivotArea>
    </chartFormat>
    <chartFormat chart="0" format="132">
      <pivotArea type="data" outline="0" fieldPosition="0">
        <references count="2">
          <reference field="4294967294" count="1" selected="0">
            <x v="0"/>
          </reference>
          <reference field="8" count="1" selected="0">
            <x v="126"/>
          </reference>
        </references>
      </pivotArea>
    </chartFormat>
    <chartFormat chart="0" format="13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9"/>
          </reference>
        </references>
      </pivotArea>
    </chartFormat>
    <chartFormat chart="0" format="134">
      <pivotArea type="data" outline="0" fieldPosition="0">
        <references count="2">
          <reference field="4294967294" count="1" selected="0">
            <x v="0"/>
          </reference>
          <reference field="8" count="1" selected="0">
            <x v="92"/>
          </reference>
        </references>
      </pivotArea>
    </chartFormat>
    <chartFormat chart="0" format="135">
      <pivotArea type="data" outline="0" fieldPosition="0">
        <references count="2">
          <reference field="4294967294" count="1" selected="0">
            <x v="0"/>
          </reference>
          <reference field="8" count="1" selected="0">
            <x v="122"/>
          </reference>
        </references>
      </pivotArea>
    </chartFormat>
    <chartFormat chart="0" format="136">
      <pivotArea type="data" outline="0" fieldPosition="0">
        <references count="2">
          <reference field="4294967294" count="1" selected="0">
            <x v="0"/>
          </reference>
          <reference field="8" count="1" selected="0">
            <x v="39"/>
          </reference>
        </references>
      </pivotArea>
    </chartFormat>
    <chartFormat chart="0" format="137">
      <pivotArea type="data" outline="0" fieldPosition="0">
        <references count="2">
          <reference field="4294967294" count="1" selected="0">
            <x v="0"/>
          </reference>
          <reference field="8" count="1" selected="0">
            <x v="72"/>
          </reference>
        </references>
      </pivotArea>
    </chartFormat>
    <chartFormat chart="0" format="138">
      <pivotArea type="data" outline="0" fieldPosition="0">
        <references count="2">
          <reference field="4294967294" count="1" selected="0">
            <x v="0"/>
          </reference>
          <reference field="8" count="1" selected="0">
            <x v="129"/>
          </reference>
        </references>
      </pivotArea>
    </chartFormat>
    <chartFormat chart="0" format="139">
      <pivotArea type="data" outline="0" fieldPosition="0">
        <references count="2">
          <reference field="4294967294" count="1" selected="0">
            <x v="0"/>
          </reference>
          <reference field="8" count="1" selected="0">
            <x v="75"/>
          </reference>
        </references>
      </pivotArea>
    </chartFormat>
    <chartFormat chart="0" format="140">
      <pivotArea type="data" outline="0" fieldPosition="0">
        <references count="2">
          <reference field="4294967294" count="1" selected="0">
            <x v="0"/>
          </reference>
          <reference field="8" count="1" selected="0">
            <x v="127"/>
          </reference>
        </references>
      </pivotArea>
    </chartFormat>
    <chartFormat chart="0" format="14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1"/>
          </reference>
        </references>
      </pivotArea>
    </chartFormat>
    <chartFormat chart="0" format="142">
      <pivotArea type="data" outline="0" fieldPosition="0">
        <references count="2">
          <reference field="4294967294" count="1" selected="0">
            <x v="0"/>
          </reference>
          <reference field="8" count="1" selected="0">
            <x v="132"/>
          </reference>
        </references>
      </pivotArea>
    </chartFormat>
    <chartFormat chart="0" format="143">
      <pivotArea type="data" outline="0" fieldPosition="0">
        <references count="2">
          <reference field="4294967294" count="1" selected="0">
            <x v="0"/>
          </reference>
          <reference field="8" count="1" selected="0">
            <x v="158"/>
          </reference>
        </references>
      </pivotArea>
    </chartFormat>
    <chartFormat chart="0" format="144">
      <pivotArea type="data" outline="0" fieldPosition="0">
        <references count="2">
          <reference field="4294967294" count="1" selected="0">
            <x v="0"/>
          </reference>
          <reference field="8" count="1" selected="0">
            <x v="35"/>
          </reference>
        </references>
      </pivotArea>
    </chartFormat>
    <chartFormat chart="0" format="145">
      <pivotArea type="data" outline="0" fieldPosition="0">
        <references count="2">
          <reference field="4294967294" count="1" selected="0">
            <x v="0"/>
          </reference>
          <reference field="8" count="1" selected="0">
            <x v="130"/>
          </reference>
        </references>
      </pivotArea>
    </chartFormat>
    <chartFormat chart="0" format="146">
      <pivotArea type="data" outline="0" fieldPosition="0">
        <references count="2">
          <reference field="4294967294" count="1" selected="0">
            <x v="0"/>
          </reference>
          <reference field="8" count="1" selected="0">
            <x v="102"/>
          </reference>
        </references>
      </pivotArea>
    </chartFormat>
    <chartFormat chart="0" format="147">
      <pivotArea type="data" outline="0" fieldPosition="0">
        <references count="2">
          <reference field="4294967294" count="1" selected="0">
            <x v="0"/>
          </reference>
          <reference field="8" count="1" selected="0">
            <x v="26"/>
          </reference>
        </references>
      </pivotArea>
    </chartFormat>
    <chartFormat chart="0" format="148">
      <pivotArea type="data" outline="0" fieldPosition="0">
        <references count="2">
          <reference field="4294967294" count="1" selected="0">
            <x v="0"/>
          </reference>
          <reference field="8" count="1" selected="0">
            <x v="120"/>
          </reference>
        </references>
      </pivotArea>
    </chartFormat>
    <chartFormat chart="0" format="149">
      <pivotArea type="data" outline="0" fieldPosition="0">
        <references count="2">
          <reference field="4294967294" count="1" selected="0">
            <x v="0"/>
          </reference>
          <reference field="8" count="1" selected="0">
            <x v="87"/>
          </reference>
        </references>
      </pivotArea>
    </chartFormat>
    <chartFormat chart="0" format="150">
      <pivotArea type="data" outline="0" fieldPosition="0">
        <references count="2">
          <reference field="4294967294" count="1" selected="0">
            <x v="0"/>
          </reference>
          <reference field="8" count="1" selected="0">
            <x v="36"/>
          </reference>
        </references>
      </pivotArea>
    </chartFormat>
    <chartFormat chart="0" format="151">
      <pivotArea type="data" outline="0" fieldPosition="0">
        <references count="2">
          <reference field="4294967294" count="1" selected="0">
            <x v="0"/>
          </reference>
          <reference field="8" count="1" selected="0">
            <x v="95"/>
          </reference>
        </references>
      </pivotArea>
    </chartFormat>
    <chartFormat chart="0" format="152">
      <pivotArea type="data" outline="0" fieldPosition="0">
        <references count="2">
          <reference field="4294967294" count="1" selected="0">
            <x v="0"/>
          </reference>
          <reference field="8" count="1" selected="0">
            <x v="152"/>
          </reference>
        </references>
      </pivotArea>
    </chartFormat>
    <chartFormat chart="0" format="153">
      <pivotArea type="data" outline="0" fieldPosition="0">
        <references count="2">
          <reference field="4294967294" count="1" selected="0">
            <x v="0"/>
          </reference>
          <reference field="8" count="1" selected="0">
            <x v="97"/>
          </reference>
        </references>
      </pivotArea>
    </chartFormat>
    <chartFormat chart="0" format="154">
      <pivotArea type="data" outline="0" fieldPosition="0">
        <references count="2">
          <reference field="4294967294" count="1" selected="0">
            <x v="0"/>
          </reference>
          <reference field="8" count="1" selected="0">
            <x v="71"/>
          </reference>
        </references>
      </pivotArea>
    </chartFormat>
    <chartFormat chart="0" format="155">
      <pivotArea type="data" outline="0" fieldPosition="0">
        <references count="2">
          <reference field="4294967294" count="1" selected="0">
            <x v="0"/>
          </reference>
          <reference field="8" count="1" selected="0">
            <x v="121"/>
          </reference>
        </references>
      </pivotArea>
    </chartFormat>
    <chartFormat chart="0" format="156">
      <pivotArea type="data" outline="0" fieldPosition="0">
        <references count="2">
          <reference field="4294967294" count="1" selected="0">
            <x v="0"/>
          </reference>
          <reference field="8" count="1" selected="0">
            <x v="108"/>
          </reference>
        </references>
      </pivotArea>
    </chartFormat>
    <chartFormat chart="0" format="15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3"/>
          </reference>
        </references>
      </pivotArea>
    </chartFormat>
    <chartFormat chart="0" format="158">
      <pivotArea type="data" outline="0" fieldPosition="0">
        <references count="2">
          <reference field="4294967294" count="1" selected="0">
            <x v="0"/>
          </reference>
          <reference field="8" count="1" selected="0">
            <x v="135"/>
          </reference>
        </references>
      </pivotArea>
    </chartFormat>
    <chartFormat chart="0" format="159">
      <pivotArea type="data" outline="0" fieldPosition="0">
        <references count="2">
          <reference field="4294967294" count="1" selected="0">
            <x v="0"/>
          </reference>
          <reference field="8" count="1" selected="0">
            <x v="131"/>
          </reference>
        </references>
      </pivotArea>
    </chartFormat>
    <chartFormat chart="0" format="160">
      <pivotArea type="data" outline="0" fieldPosition="0">
        <references count="2">
          <reference field="4294967294" count="1" selected="0">
            <x v="0"/>
          </reference>
          <reference field="8" count="1" selected="0">
            <x v="69"/>
          </reference>
        </references>
      </pivotArea>
    </chartFormat>
    <chartFormat chart="0" format="161">
      <pivotArea type="data" outline="0" fieldPosition="0">
        <references count="2">
          <reference field="4294967294" count="1" selected="0">
            <x v="1"/>
          </reference>
          <reference field="8" count="1" selected="0">
            <x v="148"/>
          </reference>
        </references>
      </pivotArea>
    </chartFormat>
    <chartFormat chart="0" format="162">
      <pivotArea type="data" outline="0" fieldPosition="0">
        <references count="2">
          <reference field="4294967294" count="1" selected="0">
            <x v="1"/>
          </reference>
          <reference field="8" count="1" selected="0">
            <x v="24"/>
          </reference>
        </references>
      </pivotArea>
    </chartFormat>
    <chartFormat chart="0" format="163">
      <pivotArea type="data" outline="0" fieldPosition="0">
        <references count="2">
          <reference field="4294967294" count="1" selected="0">
            <x v="1"/>
          </reference>
          <reference field="8" count="1" selected="0">
            <x v="29"/>
          </reference>
        </references>
      </pivotArea>
    </chartFormat>
    <chartFormat chart="0" format="164">
      <pivotArea type="data" outline="0" fieldPosition="0">
        <references count="2">
          <reference field="4294967294" count="1" selected="0">
            <x v="1"/>
          </reference>
          <reference field="8" count="1" selected="0">
            <x v="16"/>
          </reference>
        </references>
      </pivotArea>
    </chartFormat>
    <chartFormat chart="0" format="165">
      <pivotArea type="data" outline="0" fieldPosition="0">
        <references count="2">
          <reference field="4294967294" count="1" selected="0">
            <x v="1"/>
          </reference>
          <reference field="8" count="1" selected="0">
            <x v="7"/>
          </reference>
        </references>
      </pivotArea>
    </chartFormat>
    <chartFormat chart="0" format="166">
      <pivotArea type="data" outline="0" fieldPosition="0">
        <references count="2">
          <reference field="4294967294" count="1" selected="0">
            <x v="1"/>
          </reference>
          <reference field="8" count="1" selected="0">
            <x v="18"/>
          </reference>
        </references>
      </pivotArea>
    </chartFormat>
    <chartFormat chart="0" format="167">
      <pivotArea type="data" outline="0" fieldPosition="0">
        <references count="2">
          <reference field="4294967294" count="1" selected="0">
            <x v="1"/>
          </reference>
          <reference field="8" count="1" selected="0">
            <x v="64"/>
          </reference>
        </references>
      </pivotArea>
    </chartFormat>
    <chartFormat chart="0" format="168">
      <pivotArea type="data" outline="0" fieldPosition="0">
        <references count="2">
          <reference field="4294967294" count="1" selected="0">
            <x v="1"/>
          </reference>
          <reference field="8" count="1" selected="0">
            <x v="140"/>
          </reference>
        </references>
      </pivotArea>
    </chartFormat>
    <chartFormat chart="0" format="169">
      <pivotArea type="data" outline="0" fieldPosition="0">
        <references count="2">
          <reference field="4294967294" count="1" selected="0">
            <x v="1"/>
          </reference>
          <reference field="8" count="1" selected="0">
            <x v="28"/>
          </reference>
        </references>
      </pivotArea>
    </chartFormat>
    <chartFormat chart="0" format="170">
      <pivotArea type="data" outline="0" fieldPosition="0">
        <references count="2">
          <reference field="4294967294" count="1" selected="0">
            <x v="1"/>
          </reference>
          <reference field="8" count="1" selected="0">
            <x v="9"/>
          </reference>
        </references>
      </pivotArea>
    </chartFormat>
    <chartFormat chart="0" format="171">
      <pivotArea type="data" outline="0" fieldPosition="0">
        <references count="2">
          <reference field="4294967294" count="1" selected="0">
            <x v="1"/>
          </reference>
          <reference field="8" count="1" selected="0">
            <x v="13"/>
          </reference>
        </references>
      </pivotArea>
    </chartFormat>
    <chartFormat chart="0" format="172">
      <pivotArea type="data" outline="0" fieldPosition="0">
        <references count="2">
          <reference field="4294967294" count="1" selected="0">
            <x v="1"/>
          </reference>
          <reference field="8" count="1" selected="0">
            <x v="139"/>
          </reference>
        </references>
      </pivotArea>
    </chartFormat>
    <chartFormat chart="0" format="173">
      <pivotArea type="data" outline="0" fieldPosition="0">
        <references count="2">
          <reference field="4294967294" count="1" selected="0">
            <x v="1"/>
          </reference>
          <reference field="8" count="1" selected="0">
            <x v="52"/>
          </reference>
        </references>
      </pivotArea>
    </chartFormat>
    <chartFormat chart="0" format="174">
      <pivotArea type="data" outline="0" fieldPosition="0">
        <references count="2">
          <reference field="4294967294" count="1" selected="0">
            <x v="1"/>
          </reference>
          <reference field="8" count="1" selected="0">
            <x v="21"/>
          </reference>
        </references>
      </pivotArea>
    </chartFormat>
    <chartFormat chart="0" format="175">
      <pivotArea type="data" outline="0" fieldPosition="0">
        <references count="2">
          <reference field="4294967294" count="1" selected="0">
            <x v="1"/>
          </reference>
          <reference field="8" count="1" selected="0">
            <x v="11"/>
          </reference>
        </references>
      </pivotArea>
    </chartFormat>
    <chartFormat chart="0" format="176">
      <pivotArea type="data" outline="0" fieldPosition="0">
        <references count="2">
          <reference field="4294967294" count="1" selected="0">
            <x v="1"/>
          </reference>
          <reference field="8" count="1" selected="0">
            <x v="25"/>
          </reference>
        </references>
      </pivotArea>
    </chartFormat>
    <chartFormat chart="0" format="177">
      <pivotArea type="data" outline="0" fieldPosition="0">
        <references count="2">
          <reference field="4294967294" count="1" selected="0">
            <x v="1"/>
          </reference>
          <reference field="8" count="1" selected="0">
            <x v="27"/>
          </reference>
        </references>
      </pivotArea>
    </chartFormat>
    <chartFormat chart="0" format="178">
      <pivotArea type="data" outline="0" fieldPosition="0">
        <references count="2">
          <reference field="4294967294" count="1" selected="0">
            <x v="1"/>
          </reference>
          <reference field="8" count="1" selected="0">
            <x v="143"/>
          </reference>
        </references>
      </pivotArea>
    </chartFormat>
    <chartFormat chart="0" format="179">
      <pivotArea type="data" outline="0" fieldPosition="0">
        <references count="2">
          <reference field="4294967294" count="1" selected="0">
            <x v="1"/>
          </reference>
          <reference field="8" count="1" selected="0">
            <x v="45"/>
          </reference>
        </references>
      </pivotArea>
    </chartFormat>
    <chartFormat chart="0" format="180">
      <pivotArea type="data" outline="0" fieldPosition="0">
        <references count="2">
          <reference field="4294967294" count="1" selected="0">
            <x v="1"/>
          </reference>
          <reference field="8" count="1" selected="0">
            <x v="61"/>
          </reference>
        </references>
      </pivotArea>
    </chartFormat>
    <chartFormat chart="0" format="181">
      <pivotArea type="data" outline="0" fieldPosition="0">
        <references count="2">
          <reference field="4294967294" count="1" selected="0">
            <x v="1"/>
          </reference>
          <reference field="8" count="1" selected="0">
            <x v="19"/>
          </reference>
        </references>
      </pivotArea>
    </chartFormat>
    <chartFormat chart="0" format="182">
      <pivotArea type="data" outline="0" fieldPosition="0">
        <references count="2">
          <reference field="4294967294" count="1" selected="0">
            <x v="1"/>
          </reference>
          <reference field="8" count="1" selected="0">
            <x v="153"/>
          </reference>
        </references>
      </pivotArea>
    </chartFormat>
    <chartFormat chart="0" format="183">
      <pivotArea type="data" outline="0" fieldPosition="0">
        <references count="2">
          <reference field="4294967294" count="1" selected="0">
            <x v="1"/>
          </reference>
          <reference field="8" count="1" selected="0">
            <x v="8"/>
          </reference>
        </references>
      </pivotArea>
    </chartFormat>
    <chartFormat chart="0" format="184">
      <pivotArea type="data" outline="0" fieldPosition="0">
        <references count="2">
          <reference field="4294967294" count="1" selected="0">
            <x v="1"/>
          </reference>
          <reference field="8" count="1" selected="0">
            <x v="150"/>
          </reference>
        </references>
      </pivotArea>
    </chartFormat>
    <chartFormat chart="0" format="185">
      <pivotArea type="data" outline="0" fieldPosition="0">
        <references count="2">
          <reference field="4294967294" count="1" selected="0">
            <x v="1"/>
          </reference>
          <reference field="8" count="1" selected="0">
            <x v="14"/>
          </reference>
        </references>
      </pivotArea>
    </chartFormat>
    <chartFormat chart="0" format="186">
      <pivotArea type="data" outline="0" fieldPosition="0">
        <references count="2">
          <reference field="4294967294" count="1" selected="0">
            <x v="1"/>
          </reference>
          <reference field="8" count="1" selected="0">
            <x v="46"/>
          </reference>
        </references>
      </pivotArea>
    </chartFormat>
    <chartFormat chart="0" format="187">
      <pivotArea type="data" outline="0" fieldPosition="0">
        <references count="2">
          <reference field="4294967294" count="1" selected="0">
            <x v="1"/>
          </reference>
          <reference field="8" count="1" selected="0">
            <x v="68"/>
          </reference>
        </references>
      </pivotArea>
    </chartFormat>
    <chartFormat chart="0" format="188">
      <pivotArea type="data" outline="0" fieldPosition="0">
        <references count="2">
          <reference field="4294967294" count="1" selected="0">
            <x v="1"/>
          </reference>
          <reference field="8" count="1" selected="0">
            <x v="53"/>
          </reference>
        </references>
      </pivotArea>
    </chartFormat>
    <chartFormat chart="0" format="189">
      <pivotArea type="data" outline="0" fieldPosition="0">
        <references count="2">
          <reference field="4294967294" count="1" selected="0">
            <x v="1"/>
          </reference>
          <reference field="8" count="1" selected="0">
            <x v="6"/>
          </reference>
        </references>
      </pivotArea>
    </chartFormat>
    <chartFormat chart="0" format="190">
      <pivotArea type="data" outline="0" fieldPosition="0">
        <references count="2">
          <reference field="4294967294" count="1" selected="0">
            <x v="1"/>
          </reference>
          <reference field="8" count="1" selected="0">
            <x v="20"/>
          </reference>
        </references>
      </pivotArea>
    </chartFormat>
    <chartFormat chart="0" format="191">
      <pivotArea type="data" outline="0" fieldPosition="0">
        <references count="2">
          <reference field="4294967294" count="1" selected="0">
            <x v="1"/>
          </reference>
          <reference field="8" count="1" selected="0">
            <x v="34"/>
          </reference>
        </references>
      </pivotArea>
    </chartFormat>
    <chartFormat chart="0" format="192">
      <pivotArea type="data" outline="0" fieldPosition="0">
        <references count="2">
          <reference field="4294967294" count="1" selected="0">
            <x v="1"/>
          </reference>
          <reference field="8" count="1" selected="0">
            <x v="37"/>
          </reference>
        </references>
      </pivotArea>
    </chartFormat>
    <chartFormat chart="0" format="193">
      <pivotArea type="data" outline="0" fieldPosition="0">
        <references count="2">
          <reference field="4294967294" count="1" selected="0">
            <x v="1"/>
          </reference>
          <reference field="8" count="1" selected="0">
            <x v="54"/>
          </reference>
        </references>
      </pivotArea>
    </chartFormat>
    <chartFormat chart="0" format="194">
      <pivotArea type="data" outline="0" fieldPosition="0">
        <references count="2">
          <reference field="4294967294" count="1" selected="0">
            <x v="1"/>
          </reference>
          <reference field="8" count="1" selected="0">
            <x v="145"/>
          </reference>
        </references>
      </pivotArea>
    </chartFormat>
    <chartFormat chart="0" format="195">
      <pivotArea type="data" outline="0" fieldPosition="0">
        <references count="2">
          <reference field="4294967294" count="1" selected="0">
            <x v="1"/>
          </reference>
          <reference field="8" count="1" selected="0">
            <x v="142"/>
          </reference>
        </references>
      </pivotArea>
    </chartFormat>
    <chartFormat chart="0" format="196">
      <pivotArea type="data" outline="0" fieldPosition="0">
        <references count="2">
          <reference field="4294967294" count="1" selected="0">
            <x v="1"/>
          </reference>
          <reference field="8" count="1" selected="0">
            <x v="86"/>
          </reference>
        </references>
      </pivotArea>
    </chartFormat>
    <chartFormat chart="0" format="197">
      <pivotArea type="data" outline="0" fieldPosition="0">
        <references count="2">
          <reference field="4294967294" count="1" selected="0">
            <x v="1"/>
          </reference>
          <reference field="8" count="1" selected="0">
            <x v="51"/>
          </reference>
        </references>
      </pivotArea>
    </chartFormat>
    <chartFormat chart="0" format="198">
      <pivotArea type="data" outline="0" fieldPosition="0">
        <references count="2">
          <reference field="4294967294" count="1" selected="0">
            <x v="1"/>
          </reference>
          <reference field="8" count="1" selected="0">
            <x v="15"/>
          </reference>
        </references>
      </pivotArea>
    </chartFormat>
    <chartFormat chart="0" format="199">
      <pivotArea type="data" outline="0" fieldPosition="0">
        <references count="2">
          <reference field="4294967294" count="1" selected="0">
            <x v="1"/>
          </reference>
          <reference field="8" count="1" selected="0">
            <x v="40"/>
          </reference>
        </references>
      </pivotArea>
    </chartFormat>
    <chartFormat chart="0" format="200">
      <pivotArea type="data" outline="0" fieldPosition="0">
        <references count="2">
          <reference field="4294967294" count="1" selected="0">
            <x v="1"/>
          </reference>
          <reference field="8" count="1" selected="0">
            <x v="49"/>
          </reference>
        </references>
      </pivotArea>
    </chartFormat>
    <chartFormat chart="0" format="201">
      <pivotArea type="data" outline="0" fieldPosition="0">
        <references count="2">
          <reference field="4294967294" count="1" selected="0">
            <x v="1"/>
          </reference>
          <reference field="8" count="1" selected="0">
            <x v="17"/>
          </reference>
        </references>
      </pivotArea>
    </chartFormat>
    <chartFormat chart="0" format="202">
      <pivotArea type="data" outline="0" fieldPosition="0">
        <references count="2">
          <reference field="4294967294" count="1" selected="0">
            <x v="1"/>
          </reference>
          <reference field="8" count="1" selected="0">
            <x v="78"/>
          </reference>
        </references>
      </pivotArea>
    </chartFormat>
    <chartFormat chart="0" format="203">
      <pivotArea type="data" outline="0" fieldPosition="0">
        <references count="2">
          <reference field="4294967294" count="1" selected="0">
            <x v="1"/>
          </reference>
          <reference field="8" count="1" selected="0">
            <x v="81"/>
          </reference>
        </references>
      </pivotArea>
    </chartFormat>
    <chartFormat chart="0" format="204">
      <pivotArea type="data" outline="0" fieldPosition="0">
        <references count="2">
          <reference field="4294967294" count="1" selected="0">
            <x v="1"/>
          </reference>
          <reference field="8" count="1" selected="0">
            <x v="154"/>
          </reference>
        </references>
      </pivotArea>
    </chartFormat>
    <chartFormat chart="0" format="205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0" format="206">
      <pivotArea type="data" outline="0" fieldPosition="0">
        <references count="2">
          <reference field="4294967294" count="1" selected="0">
            <x v="1"/>
          </reference>
          <reference field="8" count="1" selected="0">
            <x v="144"/>
          </reference>
        </references>
      </pivotArea>
    </chartFormat>
    <chartFormat chart="0" format="207">
      <pivotArea type="data" outline="0" fieldPosition="0">
        <references count="2">
          <reference field="4294967294" count="1" selected="0">
            <x v="1"/>
          </reference>
          <reference field="8" count="1" selected="0">
            <x v="138"/>
          </reference>
        </references>
      </pivotArea>
    </chartFormat>
    <chartFormat chart="0" format="208">
      <pivotArea type="data" outline="0" fieldPosition="0">
        <references count="2">
          <reference field="4294967294" count="1" selected="0">
            <x v="1"/>
          </reference>
          <reference field="8" count="1" selected="0">
            <x v="47"/>
          </reference>
        </references>
      </pivotArea>
    </chartFormat>
    <chartFormat chart="0" format="209">
      <pivotArea type="data" outline="0" fieldPosition="0">
        <references count="2">
          <reference field="4294967294" count="1" selected="0">
            <x v="1"/>
          </reference>
          <reference field="8" count="1" selected="0">
            <x v="63"/>
          </reference>
        </references>
      </pivotArea>
    </chartFormat>
    <chartFormat chart="0" format="210">
      <pivotArea type="data" outline="0" fieldPosition="0">
        <references count="2">
          <reference field="4294967294" count="1" selected="0">
            <x v="1"/>
          </reference>
          <reference field="8" count="1" selected="0">
            <x v="112"/>
          </reference>
        </references>
      </pivotArea>
    </chartFormat>
    <chartFormat chart="0" format="211">
      <pivotArea type="data" outline="0" fieldPosition="0">
        <references count="2">
          <reference field="4294967294" count="1" selected="0">
            <x v="1"/>
          </reference>
          <reference field="8" count="1" selected="0">
            <x v="31"/>
          </reference>
        </references>
      </pivotArea>
    </chartFormat>
    <chartFormat chart="0" format="212">
      <pivotArea type="data" outline="0" fieldPosition="0">
        <references count="2">
          <reference field="4294967294" count="1" selected="0">
            <x v="1"/>
          </reference>
          <reference field="8" count="1" selected="0">
            <x v="73"/>
          </reference>
        </references>
      </pivotArea>
    </chartFormat>
    <chartFormat chart="0" format="213">
      <pivotArea type="data" outline="0" fieldPosition="0">
        <references count="2">
          <reference field="4294967294" count="1" selected="0">
            <x v="1"/>
          </reference>
          <reference field="8" count="1" selected="0">
            <x v="83"/>
          </reference>
        </references>
      </pivotArea>
    </chartFormat>
    <chartFormat chart="0" format="214">
      <pivotArea type="data" outline="0" fieldPosition="0">
        <references count="2">
          <reference field="4294967294" count="1" selected="0">
            <x v="1"/>
          </reference>
          <reference field="8" count="1" selected="0">
            <x v="79"/>
          </reference>
        </references>
      </pivotArea>
    </chartFormat>
    <chartFormat chart="0" format="21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"/>
          </reference>
        </references>
      </pivotArea>
    </chartFormat>
    <chartFormat chart="0" format="216">
      <pivotArea type="data" outline="0" fieldPosition="0">
        <references count="2">
          <reference field="4294967294" count="1" selected="0">
            <x v="1"/>
          </reference>
          <reference field="8" count="1" selected="0">
            <x v="82"/>
          </reference>
        </references>
      </pivotArea>
    </chartFormat>
    <chartFormat chart="0" format="217">
      <pivotArea type="data" outline="0" fieldPosition="0">
        <references count="2">
          <reference field="4294967294" count="1" selected="0">
            <x v="1"/>
          </reference>
          <reference field="8" count="1" selected="0">
            <x v="62"/>
          </reference>
        </references>
      </pivotArea>
    </chartFormat>
    <chartFormat chart="0" format="218">
      <pivotArea type="data" outline="0" fieldPosition="0">
        <references count="2">
          <reference field="4294967294" count="1" selected="0">
            <x v="1"/>
          </reference>
          <reference field="8" count="1" selected="0">
            <x v="88"/>
          </reference>
        </references>
      </pivotArea>
    </chartFormat>
    <chartFormat chart="0" format="219">
      <pivotArea type="data" outline="0" fieldPosition="0">
        <references count="2">
          <reference field="4294967294" count="1" selected="0">
            <x v="1"/>
          </reference>
          <reference field="8" count="1" selected="0">
            <x v="90"/>
          </reference>
        </references>
      </pivotArea>
    </chartFormat>
    <chartFormat chart="0" format="220">
      <pivotArea type="data" outline="0" fieldPosition="0">
        <references count="2">
          <reference field="4294967294" count="1" selected="0">
            <x v="1"/>
          </reference>
          <reference field="8" count="1" selected="0">
            <x v="22"/>
          </reference>
        </references>
      </pivotArea>
    </chartFormat>
    <chartFormat chart="0" format="221">
      <pivotArea type="data" outline="0" fieldPosition="0">
        <references count="2">
          <reference field="4294967294" count="1" selected="0">
            <x v="1"/>
          </reference>
          <reference field="8" count="1" selected="0">
            <x v="128"/>
          </reference>
        </references>
      </pivotArea>
    </chartFormat>
    <chartFormat chart="0" format="222">
      <pivotArea type="data" outline="0" fieldPosition="0">
        <references count="2">
          <reference field="4294967294" count="1" selected="0">
            <x v="1"/>
          </reference>
          <reference field="8" count="1" selected="0">
            <x v="66"/>
          </reference>
        </references>
      </pivotArea>
    </chartFormat>
    <chartFormat chart="0" format="223">
      <pivotArea type="data" outline="0" fieldPosition="0">
        <references count="2">
          <reference field="4294967294" count="1" selected="0">
            <x v="1"/>
          </reference>
          <reference field="8" count="1" selected="0">
            <x v="60"/>
          </reference>
        </references>
      </pivotArea>
    </chartFormat>
    <chartFormat chart="0" format="224">
      <pivotArea type="data" outline="0" fieldPosition="0">
        <references count="2">
          <reference field="4294967294" count="1" selected="0">
            <x v="1"/>
          </reference>
          <reference field="8" count="1" selected="0">
            <x v="50"/>
          </reference>
        </references>
      </pivotArea>
    </chartFormat>
    <chartFormat chart="0" format="225">
      <pivotArea type="data" outline="0" fieldPosition="0">
        <references count="2">
          <reference field="4294967294" count="1" selected="0">
            <x v="1"/>
          </reference>
          <reference field="8" count="1" selected="0">
            <x v="57"/>
          </reference>
        </references>
      </pivotArea>
    </chartFormat>
    <chartFormat chart="0" format="226">
      <pivotArea type="data" outline="0" fieldPosition="0">
        <references count="2">
          <reference field="4294967294" count="1" selected="0">
            <x v="1"/>
          </reference>
          <reference field="8" count="1" selected="0">
            <x v="93"/>
          </reference>
        </references>
      </pivotArea>
    </chartFormat>
    <chartFormat chart="0" format="227">
      <pivotArea type="data" outline="0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chartFormat>
    <chartFormat chart="0" format="228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0" format="229">
      <pivotArea type="data" outline="0" fieldPosition="0">
        <references count="2">
          <reference field="4294967294" count="1" selected="0">
            <x v="1"/>
          </reference>
          <reference field="8" count="1" selected="0">
            <x v="137"/>
          </reference>
        </references>
      </pivotArea>
    </chartFormat>
    <chartFormat chart="0" format="230">
      <pivotArea type="data" outline="0" fieldPosition="0">
        <references count="2">
          <reference field="4294967294" count="1" selected="0">
            <x v="1"/>
          </reference>
          <reference field="8" count="1" selected="0">
            <x v="5"/>
          </reference>
        </references>
      </pivotArea>
    </chartFormat>
    <chartFormat chart="0" format="231">
      <pivotArea type="data" outline="0" fieldPosition="0">
        <references count="2">
          <reference field="4294967294" count="1" selected="0">
            <x v="1"/>
          </reference>
          <reference field="8" count="1" selected="0">
            <x v="32"/>
          </reference>
        </references>
      </pivotArea>
    </chartFormat>
    <chartFormat chart="0" format="232">
      <pivotArea type="data" outline="0" fieldPosition="0">
        <references count="2">
          <reference field="4294967294" count="1" selected="0">
            <x v="1"/>
          </reference>
          <reference field="8" count="1" selected="0">
            <x v="114"/>
          </reference>
        </references>
      </pivotArea>
    </chartFormat>
    <chartFormat chart="0" format="233">
      <pivotArea type="data" outline="0" fieldPosition="0">
        <references count="2">
          <reference field="4294967294" count="1" selected="0">
            <x v="1"/>
          </reference>
          <reference field="8" count="1" selected="0">
            <x v="113"/>
          </reference>
        </references>
      </pivotArea>
    </chartFormat>
    <chartFormat chart="0" format="234">
      <pivotArea type="data" outline="0" fieldPosition="0">
        <references count="2">
          <reference field="4294967294" count="1" selected="0">
            <x v="1"/>
          </reference>
          <reference field="8" count="1" selected="0">
            <x v="12"/>
          </reference>
        </references>
      </pivotArea>
    </chartFormat>
    <chartFormat chart="0" format="235">
      <pivotArea type="data" outline="0" fieldPosition="0">
        <references count="2">
          <reference field="4294967294" count="1" selected="0">
            <x v="1"/>
          </reference>
          <reference field="8" count="1" selected="0">
            <x v="30"/>
          </reference>
        </references>
      </pivotArea>
    </chartFormat>
    <chartFormat chart="0" format="236">
      <pivotArea type="data" outline="0" fieldPosition="0">
        <references count="2">
          <reference field="4294967294" count="1" selected="0">
            <x v="1"/>
          </reference>
          <reference field="8" count="1" selected="0">
            <x v="103"/>
          </reference>
        </references>
      </pivotArea>
    </chartFormat>
    <chartFormat chart="0" format="237">
      <pivotArea type="data" outline="0" fieldPosition="0">
        <references count="2">
          <reference field="4294967294" count="1" selected="0">
            <x v="1"/>
          </reference>
          <reference field="8" count="1" selected="0">
            <x v="89"/>
          </reference>
        </references>
      </pivotArea>
    </chartFormat>
    <chartFormat chart="0" format="238">
      <pivotArea type="data" outline="0" fieldPosition="0">
        <references count="2">
          <reference field="4294967294" count="1" selected="0">
            <x v="1"/>
          </reference>
          <reference field="8" count="1" selected="0">
            <x v="91"/>
          </reference>
        </references>
      </pivotArea>
    </chartFormat>
    <chartFormat chart="0" format="239">
      <pivotArea type="data" outline="0" fieldPosition="0">
        <references count="2">
          <reference field="4294967294" count="1" selected="0">
            <x v="1"/>
          </reference>
          <reference field="8" count="1" selected="0">
            <x v="44"/>
          </reference>
        </references>
      </pivotArea>
    </chartFormat>
    <chartFormat chart="0" format="240">
      <pivotArea type="data" outline="0" fieldPosition="0">
        <references count="2">
          <reference field="4294967294" count="1" selected="0">
            <x v="1"/>
          </reference>
          <reference field="8" count="1" selected="0">
            <x v="157"/>
          </reference>
        </references>
      </pivotArea>
    </chartFormat>
    <chartFormat chart="0" format="241">
      <pivotArea type="data" outline="0" fieldPosition="0">
        <references count="2">
          <reference field="4294967294" count="1" selected="0">
            <x v="1"/>
          </reference>
          <reference field="8" count="1" selected="0">
            <x v="100"/>
          </reference>
        </references>
      </pivotArea>
    </chartFormat>
    <chartFormat chart="0" format="242">
      <pivotArea type="data" outline="0" fieldPosition="0">
        <references count="2">
          <reference field="4294967294" count="1" selected="0">
            <x v="1"/>
          </reference>
          <reference field="8" count="1" selected="0">
            <x v="38"/>
          </reference>
        </references>
      </pivotArea>
    </chartFormat>
    <chartFormat chart="0" format="243">
      <pivotArea type="data" outline="0" fieldPosition="0">
        <references count="2">
          <reference field="4294967294" count="1" selected="0">
            <x v="1"/>
          </reference>
          <reference field="8" count="1" selected="0">
            <x v="77"/>
          </reference>
        </references>
      </pivotArea>
    </chartFormat>
    <chartFormat chart="0" format="244">
      <pivotArea type="data" outline="0" fieldPosition="0">
        <references count="2">
          <reference field="4294967294" count="1" selected="0">
            <x v="1"/>
          </reference>
          <reference field="8" count="1" selected="0">
            <x v="59"/>
          </reference>
        </references>
      </pivotArea>
    </chartFormat>
    <chartFormat chart="0" format="245">
      <pivotArea type="data" outline="0" fieldPosition="0">
        <references count="2">
          <reference field="4294967294" count="1" selected="0">
            <x v="1"/>
          </reference>
          <reference field="8" count="1" selected="0">
            <x v="58"/>
          </reference>
        </references>
      </pivotArea>
    </chartFormat>
    <chartFormat chart="0" format="246">
      <pivotArea type="data" outline="0" fieldPosition="0">
        <references count="2">
          <reference field="4294967294" count="1" selected="0">
            <x v="1"/>
          </reference>
          <reference field="8" count="1" selected="0">
            <x v="141"/>
          </reference>
        </references>
      </pivotArea>
    </chartFormat>
    <chartFormat chart="0" format="247">
      <pivotArea type="data" outline="0" fieldPosition="0">
        <references count="2">
          <reference field="4294967294" count="1" selected="0">
            <x v="1"/>
          </reference>
          <reference field="8" count="1" selected="0">
            <x v="136"/>
          </reference>
        </references>
      </pivotArea>
    </chartFormat>
    <chartFormat chart="0" format="248">
      <pivotArea type="data" outline="0" fieldPosition="0">
        <references count="2">
          <reference field="4294967294" count="1" selected="0">
            <x v="1"/>
          </reference>
          <reference field="8" count="1" selected="0">
            <x v="99"/>
          </reference>
        </references>
      </pivotArea>
    </chartFormat>
    <chartFormat chart="0" format="249">
      <pivotArea type="data" outline="0" fieldPosition="0">
        <references count="2">
          <reference field="4294967294" count="1" selected="0">
            <x v="1"/>
          </reference>
          <reference field="8" count="1" selected="0">
            <x v="76"/>
          </reference>
        </references>
      </pivotArea>
    </chartFormat>
    <chartFormat chart="0" format="250">
      <pivotArea type="data" outline="0" fieldPosition="0">
        <references count="2">
          <reference field="4294967294" count="1" selected="0">
            <x v="1"/>
          </reference>
          <reference field="8" count="1" selected="0">
            <x v="65"/>
          </reference>
        </references>
      </pivotArea>
    </chartFormat>
    <chartFormat chart="0" format="251">
      <pivotArea type="data" outline="0" fieldPosition="0">
        <references count="2">
          <reference field="4294967294" count="1" selected="0">
            <x v="1"/>
          </reference>
          <reference field="8" count="1" selected="0">
            <x v="134"/>
          </reference>
        </references>
      </pivotArea>
    </chartFormat>
    <chartFormat chart="0" format="252">
      <pivotArea type="data" outline="0" fieldPosition="0">
        <references count="2">
          <reference field="4294967294" count="1" selected="0">
            <x v="1"/>
          </reference>
          <reference field="8" count="1" selected="0">
            <x v="118"/>
          </reference>
        </references>
      </pivotArea>
    </chartFormat>
    <chartFormat chart="0" format="253">
      <pivotArea type="data" outline="0" fieldPosition="0">
        <references count="2">
          <reference field="4294967294" count="1" selected="0">
            <x v="1"/>
          </reference>
          <reference field="8" count="1" selected="0">
            <x v="155"/>
          </reference>
        </references>
      </pivotArea>
    </chartFormat>
    <chartFormat chart="0" format="254">
      <pivotArea type="data" outline="0" fieldPosition="0">
        <references count="2">
          <reference field="4294967294" count="1" selected="0">
            <x v="1"/>
          </reference>
          <reference field="8" count="1" selected="0">
            <x v="146"/>
          </reference>
        </references>
      </pivotArea>
    </chartFormat>
    <chartFormat chart="0" format="255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0" format="256">
      <pivotArea type="data" outline="0" fieldPosition="0">
        <references count="2">
          <reference field="4294967294" count="1" selected="0">
            <x v="1"/>
          </reference>
          <reference field="8" count="1" selected="0">
            <x v="43"/>
          </reference>
        </references>
      </pivotArea>
    </chartFormat>
    <chartFormat chart="0" format="257">
      <pivotArea type="data" outline="0" fieldPosition="0">
        <references count="2">
          <reference field="4294967294" count="1" selected="0">
            <x v="1"/>
          </reference>
          <reference field="8" count="1" selected="0">
            <x v="55"/>
          </reference>
        </references>
      </pivotArea>
    </chartFormat>
    <chartFormat chart="0" format="258">
      <pivotArea type="data" outline="0" fieldPosition="0">
        <references count="2">
          <reference field="4294967294" count="1" selected="0">
            <x v="1"/>
          </reference>
          <reference field="8" count="1" selected="0">
            <x v="109"/>
          </reference>
        </references>
      </pivotArea>
    </chartFormat>
    <chartFormat chart="0" format="259">
      <pivotArea type="data" outline="0" fieldPosition="0">
        <references count="2">
          <reference field="4294967294" count="1" selected="0">
            <x v="1"/>
          </reference>
          <reference field="8" count="1" selected="0">
            <x v="48"/>
          </reference>
        </references>
      </pivotArea>
    </chartFormat>
    <chartFormat chart="0" format="260">
      <pivotArea type="data" outline="0" fieldPosition="0">
        <references count="2">
          <reference field="4294967294" count="1" selected="0">
            <x v="1"/>
          </reference>
          <reference field="8" count="1" selected="0">
            <x v="94"/>
          </reference>
        </references>
      </pivotArea>
    </chartFormat>
    <chartFormat chart="0" format="261">
      <pivotArea type="data" outline="0" fieldPosition="0">
        <references count="2">
          <reference field="4294967294" count="1" selected="0">
            <x v="1"/>
          </reference>
          <reference field="8" count="1" selected="0">
            <x v="23"/>
          </reference>
        </references>
      </pivotArea>
    </chartFormat>
    <chartFormat chart="0" format="262">
      <pivotArea type="data" outline="0" fieldPosition="0">
        <references count="2">
          <reference field="4294967294" count="1" selected="0">
            <x v="1"/>
          </reference>
          <reference field="8" count="1" selected="0">
            <x v="98"/>
          </reference>
        </references>
      </pivotArea>
    </chartFormat>
    <chartFormat chart="0" format="263">
      <pivotArea type="data" outline="0" fieldPosition="0">
        <references count="2">
          <reference field="4294967294" count="1" selected="0">
            <x v="1"/>
          </reference>
          <reference field="8" count="1" selected="0">
            <x v="33"/>
          </reference>
        </references>
      </pivotArea>
    </chartFormat>
    <chartFormat chart="0" format="264">
      <pivotArea type="data" outline="0" fieldPosition="0">
        <references count="2">
          <reference field="4294967294" count="1" selected="0">
            <x v="1"/>
          </reference>
          <reference field="8" count="1" selected="0">
            <x v="156"/>
          </reference>
        </references>
      </pivotArea>
    </chartFormat>
    <chartFormat chart="0" format="265">
      <pivotArea type="data" outline="0" fieldPosition="0">
        <references count="2">
          <reference field="4294967294" count="1" selected="0">
            <x v="1"/>
          </reference>
          <reference field="8" count="1" selected="0">
            <x v="84"/>
          </reference>
        </references>
      </pivotArea>
    </chartFormat>
    <chartFormat chart="0" format="266">
      <pivotArea type="data" outline="0" fieldPosition="0">
        <references count="2">
          <reference field="4294967294" count="1" selected="0">
            <x v="1"/>
          </reference>
          <reference field="8" count="1" selected="0">
            <x v="67"/>
          </reference>
        </references>
      </pivotArea>
    </chartFormat>
    <chartFormat chart="0" format="267">
      <pivotArea type="data" outline="0" fieldPosition="0">
        <references count="2">
          <reference field="4294967294" count="1" selected="0">
            <x v="1"/>
          </reference>
          <reference field="8" count="1" selected="0">
            <x v="80"/>
          </reference>
        </references>
      </pivotArea>
    </chartFormat>
    <chartFormat chart="0" format="268">
      <pivotArea type="data" outline="0" fieldPosition="0">
        <references count="2">
          <reference field="4294967294" count="1" selected="0">
            <x v="1"/>
          </reference>
          <reference field="8" count="1" selected="0">
            <x v="149"/>
          </reference>
        </references>
      </pivotArea>
    </chartFormat>
    <chartFormat chart="0" format="269">
      <pivotArea type="data" outline="0" fieldPosition="0">
        <references count="2">
          <reference field="4294967294" count="1" selected="0">
            <x v="1"/>
          </reference>
          <reference field="8" count="1" selected="0">
            <x v="124"/>
          </reference>
        </references>
      </pivotArea>
    </chartFormat>
    <chartFormat chart="0" format="270">
      <pivotArea type="data" outline="0" fieldPosition="0">
        <references count="2">
          <reference field="4294967294" count="1" selected="0">
            <x v="1"/>
          </reference>
          <reference field="8" count="1" selected="0">
            <x v="107"/>
          </reference>
        </references>
      </pivotArea>
    </chartFormat>
    <chartFormat chart="0" format="271">
      <pivotArea type="data" outline="0" fieldPosition="0">
        <references count="2">
          <reference field="4294967294" count="1" selected="0">
            <x v="1"/>
          </reference>
          <reference field="8" count="1" selected="0">
            <x v="106"/>
          </reference>
        </references>
      </pivotArea>
    </chartFormat>
    <chartFormat chart="0" format="272">
      <pivotArea type="data" outline="0" fieldPosition="0">
        <references count="2">
          <reference field="4294967294" count="1" selected="0">
            <x v="1"/>
          </reference>
          <reference field="8" count="1" selected="0">
            <x v="96"/>
          </reference>
        </references>
      </pivotArea>
    </chartFormat>
    <chartFormat chart="0" format="273">
      <pivotArea type="data" outline="0" fieldPosition="0">
        <references count="2">
          <reference field="4294967294" count="1" selected="0">
            <x v="1"/>
          </reference>
          <reference field="8" count="1" selected="0">
            <x v="125"/>
          </reference>
        </references>
      </pivotArea>
    </chartFormat>
    <chartFormat chart="0" format="274">
      <pivotArea type="data" outline="0" fieldPosition="0">
        <references count="2">
          <reference field="4294967294" count="1" selected="0">
            <x v="1"/>
          </reference>
          <reference field="8" count="1" selected="0">
            <x v="105"/>
          </reference>
        </references>
      </pivotArea>
    </chartFormat>
    <chartFormat chart="0" format="275">
      <pivotArea type="data" outline="0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chartFormat>
    <chartFormat chart="0" format="276">
      <pivotArea type="data" outline="0" fieldPosition="0">
        <references count="2">
          <reference field="4294967294" count="1" selected="0">
            <x v="1"/>
          </reference>
          <reference field="8" count="1" selected="0">
            <x v="70"/>
          </reference>
        </references>
      </pivotArea>
    </chartFormat>
    <chartFormat chart="0" format="277">
      <pivotArea type="data" outline="0" fieldPosition="0">
        <references count="2">
          <reference field="4294967294" count="1" selected="0">
            <x v="1"/>
          </reference>
          <reference field="8" count="1" selected="0">
            <x v="110"/>
          </reference>
        </references>
      </pivotArea>
    </chartFormat>
    <chartFormat chart="0" format="278">
      <pivotArea type="data" outline="0" fieldPosition="0">
        <references count="2">
          <reference field="4294967294" count="1" selected="0">
            <x v="1"/>
          </reference>
          <reference field="8" count="1" selected="0">
            <x v="85"/>
          </reference>
        </references>
      </pivotArea>
    </chartFormat>
    <chartFormat chart="0" format="279">
      <pivotArea type="data" outline="0" fieldPosition="0">
        <references count="2">
          <reference field="4294967294" count="1" selected="0">
            <x v="1"/>
          </reference>
          <reference field="8" count="1" selected="0">
            <x v="74"/>
          </reference>
        </references>
      </pivotArea>
    </chartFormat>
    <chartFormat chart="0" format="280">
      <pivotArea type="data" outline="0" fieldPosition="0">
        <references count="2">
          <reference field="4294967294" count="1" selected="0">
            <x v="1"/>
          </reference>
          <reference field="8" count="1" selected="0">
            <x v="123"/>
          </reference>
        </references>
      </pivotArea>
    </chartFormat>
    <chartFormat chart="0" format="281">
      <pivotArea type="data" outline="0" fieldPosition="0">
        <references count="2">
          <reference field="4294967294" count="1" selected="0">
            <x v="1"/>
          </reference>
          <reference field="8" count="1" selected="0">
            <x v="117"/>
          </reference>
        </references>
      </pivotArea>
    </chartFormat>
    <chartFormat chart="0" format="282">
      <pivotArea type="data" outline="0" fieldPosition="0">
        <references count="2">
          <reference field="4294967294" count="1" selected="0">
            <x v="1"/>
          </reference>
          <reference field="8" count="1" selected="0">
            <x v="41"/>
          </reference>
        </references>
      </pivotArea>
    </chartFormat>
    <chartFormat chart="0" format="283">
      <pivotArea type="data" outline="0" fieldPosition="0">
        <references count="2">
          <reference field="4294967294" count="1" selected="0">
            <x v="1"/>
          </reference>
          <reference field="8" count="1" selected="0">
            <x v="111"/>
          </reference>
        </references>
      </pivotArea>
    </chartFormat>
    <chartFormat chart="0" format="284">
      <pivotArea type="data" outline="0" fieldPosition="0">
        <references count="2">
          <reference field="4294967294" count="1" selected="0">
            <x v="1"/>
          </reference>
          <reference field="8" count="1" selected="0">
            <x v="116"/>
          </reference>
        </references>
      </pivotArea>
    </chartFormat>
    <chartFormat chart="0" format="28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1"/>
          </reference>
        </references>
      </pivotArea>
    </chartFormat>
    <chartFormat chart="0" format="286">
      <pivotArea type="data" outline="0" fieldPosition="0">
        <references count="2">
          <reference field="4294967294" count="1" selected="0">
            <x v="1"/>
          </reference>
          <reference field="8" count="1" selected="0">
            <x v="115"/>
          </reference>
        </references>
      </pivotArea>
    </chartFormat>
    <chartFormat chart="0" format="287">
      <pivotArea type="data" outline="0" fieldPosition="0">
        <references count="2">
          <reference field="4294967294" count="1" selected="0">
            <x v="1"/>
          </reference>
          <reference field="8" count="1" selected="0">
            <x v="42"/>
          </reference>
        </references>
      </pivotArea>
    </chartFormat>
    <chartFormat chart="0" format="288">
      <pivotArea type="data" outline="0" fieldPosition="0">
        <references count="2">
          <reference field="4294967294" count="1" selected="0">
            <x v="1"/>
          </reference>
          <reference field="8" count="1" selected="0">
            <x v="104"/>
          </reference>
        </references>
      </pivotArea>
    </chartFormat>
    <chartFormat chart="0" format="289">
      <pivotArea type="data" outline="0" fieldPosition="0">
        <references count="2">
          <reference field="4294967294" count="1" selected="0">
            <x v="1"/>
          </reference>
          <reference field="8" count="1" selected="0">
            <x v="147"/>
          </reference>
        </references>
      </pivotArea>
    </chartFormat>
    <chartFormat chart="0" format="290">
      <pivotArea type="data" outline="0" fieldPosition="0">
        <references count="2">
          <reference field="4294967294" count="1" selected="0">
            <x v="1"/>
          </reference>
          <reference field="8" count="1" selected="0">
            <x v="56"/>
          </reference>
        </references>
      </pivotArea>
    </chartFormat>
    <chartFormat chart="0" format="291">
      <pivotArea type="data" outline="0" fieldPosition="0">
        <references count="2">
          <reference field="4294967294" count="1" selected="0">
            <x v="1"/>
          </reference>
          <reference field="8" count="1" selected="0">
            <x v="126"/>
          </reference>
        </references>
      </pivotArea>
    </chartFormat>
    <chartFormat chart="0" format="292">
      <pivotArea type="data" outline="0" fieldPosition="0">
        <references count="2">
          <reference field="4294967294" count="1" selected="0">
            <x v="1"/>
          </reference>
          <reference field="8" count="1" selected="0">
            <x v="119"/>
          </reference>
        </references>
      </pivotArea>
    </chartFormat>
    <chartFormat chart="0" format="293">
      <pivotArea type="data" outline="0" fieldPosition="0">
        <references count="2">
          <reference field="4294967294" count="1" selected="0">
            <x v="1"/>
          </reference>
          <reference field="8" count="1" selected="0">
            <x v="92"/>
          </reference>
        </references>
      </pivotArea>
    </chartFormat>
    <chartFormat chart="0" format="294">
      <pivotArea type="data" outline="0" fieldPosition="0">
        <references count="2">
          <reference field="4294967294" count="1" selected="0">
            <x v="1"/>
          </reference>
          <reference field="8" count="1" selected="0">
            <x v="122"/>
          </reference>
        </references>
      </pivotArea>
    </chartFormat>
    <chartFormat chart="0" format="295">
      <pivotArea type="data" outline="0" fieldPosition="0">
        <references count="2">
          <reference field="4294967294" count="1" selected="0">
            <x v="1"/>
          </reference>
          <reference field="8" count="1" selected="0">
            <x v="39"/>
          </reference>
        </references>
      </pivotArea>
    </chartFormat>
    <chartFormat chart="0" format="296">
      <pivotArea type="data" outline="0" fieldPosition="0">
        <references count="2">
          <reference field="4294967294" count="1" selected="0">
            <x v="1"/>
          </reference>
          <reference field="8" count="1" selected="0">
            <x v="72"/>
          </reference>
        </references>
      </pivotArea>
    </chartFormat>
    <chartFormat chart="0" format="297">
      <pivotArea type="data" outline="0" fieldPosition="0">
        <references count="2">
          <reference field="4294967294" count="1" selected="0">
            <x v="1"/>
          </reference>
          <reference field="8" count="1" selected="0">
            <x v="129"/>
          </reference>
        </references>
      </pivotArea>
    </chartFormat>
    <chartFormat chart="0" format="298">
      <pivotArea type="data" outline="0" fieldPosition="0">
        <references count="2">
          <reference field="4294967294" count="1" selected="0">
            <x v="1"/>
          </reference>
          <reference field="8" count="1" selected="0">
            <x v="75"/>
          </reference>
        </references>
      </pivotArea>
    </chartFormat>
    <chartFormat chart="0" format="299">
      <pivotArea type="data" outline="0" fieldPosition="0">
        <references count="2">
          <reference field="4294967294" count="1" selected="0">
            <x v="1"/>
          </reference>
          <reference field="8" count="1" selected="0">
            <x v="127"/>
          </reference>
        </references>
      </pivotArea>
    </chartFormat>
    <chartFormat chart="0" format="300">
      <pivotArea type="data" outline="0" fieldPosition="0">
        <references count="2">
          <reference field="4294967294" count="1" selected="0">
            <x v="1"/>
          </reference>
          <reference field="8" count="1" selected="0">
            <x v="151"/>
          </reference>
        </references>
      </pivotArea>
    </chartFormat>
    <chartFormat chart="0" format="301">
      <pivotArea type="data" outline="0" fieldPosition="0">
        <references count="2">
          <reference field="4294967294" count="1" selected="0">
            <x v="1"/>
          </reference>
          <reference field="8" count="1" selected="0">
            <x v="132"/>
          </reference>
        </references>
      </pivotArea>
    </chartFormat>
    <chartFormat chart="0" format="302">
      <pivotArea type="data" outline="0" fieldPosition="0">
        <references count="2">
          <reference field="4294967294" count="1" selected="0">
            <x v="1"/>
          </reference>
          <reference field="8" count="1" selected="0">
            <x v="158"/>
          </reference>
        </references>
      </pivotArea>
    </chartFormat>
    <chartFormat chart="0" format="303">
      <pivotArea type="data" outline="0" fieldPosition="0">
        <references count="2">
          <reference field="4294967294" count="1" selected="0">
            <x v="1"/>
          </reference>
          <reference field="8" count="1" selected="0">
            <x v="35"/>
          </reference>
        </references>
      </pivotArea>
    </chartFormat>
    <chartFormat chart="0" format="304">
      <pivotArea type="data" outline="0" fieldPosition="0">
        <references count="2">
          <reference field="4294967294" count="1" selected="0">
            <x v="1"/>
          </reference>
          <reference field="8" count="1" selected="0">
            <x v="130"/>
          </reference>
        </references>
      </pivotArea>
    </chartFormat>
    <chartFormat chart="0" format="30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2"/>
          </reference>
        </references>
      </pivotArea>
    </chartFormat>
    <chartFormat chart="0" format="306">
      <pivotArea type="data" outline="0" fieldPosition="0">
        <references count="2">
          <reference field="4294967294" count="1" selected="0">
            <x v="1"/>
          </reference>
          <reference field="8" count="1" selected="0">
            <x v="26"/>
          </reference>
        </references>
      </pivotArea>
    </chartFormat>
    <chartFormat chart="0" format="307">
      <pivotArea type="data" outline="0" fieldPosition="0">
        <references count="2">
          <reference field="4294967294" count="1" selected="0">
            <x v="1"/>
          </reference>
          <reference field="8" count="1" selected="0">
            <x v="120"/>
          </reference>
        </references>
      </pivotArea>
    </chartFormat>
    <chartFormat chart="0" format="308">
      <pivotArea type="data" outline="0" fieldPosition="0">
        <references count="2">
          <reference field="4294967294" count="1" selected="0">
            <x v="1"/>
          </reference>
          <reference field="8" count="1" selected="0">
            <x v="87"/>
          </reference>
        </references>
      </pivotArea>
    </chartFormat>
    <chartFormat chart="0" format="309">
      <pivotArea type="data" outline="0" fieldPosition="0">
        <references count="2">
          <reference field="4294967294" count="1" selected="0">
            <x v="1"/>
          </reference>
          <reference field="8" count="1" selected="0">
            <x v="36"/>
          </reference>
        </references>
      </pivotArea>
    </chartFormat>
    <chartFormat chart="0" format="310">
      <pivotArea type="data" outline="0" fieldPosition="0">
        <references count="2">
          <reference field="4294967294" count="1" selected="0">
            <x v="1"/>
          </reference>
          <reference field="8" count="1" selected="0">
            <x v="95"/>
          </reference>
        </references>
      </pivotArea>
    </chartFormat>
    <chartFormat chart="0" format="311">
      <pivotArea type="data" outline="0" fieldPosition="0">
        <references count="2">
          <reference field="4294967294" count="1" selected="0">
            <x v="1"/>
          </reference>
          <reference field="8" count="1" selected="0">
            <x v="152"/>
          </reference>
        </references>
      </pivotArea>
    </chartFormat>
    <chartFormat chart="0" format="312">
      <pivotArea type="data" outline="0" fieldPosition="0">
        <references count="2">
          <reference field="4294967294" count="1" selected="0">
            <x v="1"/>
          </reference>
          <reference field="8" count="1" selected="0">
            <x v="97"/>
          </reference>
        </references>
      </pivotArea>
    </chartFormat>
    <chartFormat chart="0" format="313">
      <pivotArea type="data" outline="0" fieldPosition="0">
        <references count="2">
          <reference field="4294967294" count="1" selected="0">
            <x v="1"/>
          </reference>
          <reference field="8" count="1" selected="0">
            <x v="71"/>
          </reference>
        </references>
      </pivotArea>
    </chartFormat>
    <chartFormat chart="0" format="314">
      <pivotArea type="data" outline="0" fieldPosition="0">
        <references count="2">
          <reference field="4294967294" count="1" selected="0">
            <x v="1"/>
          </reference>
          <reference field="8" count="1" selected="0">
            <x v="121"/>
          </reference>
        </references>
      </pivotArea>
    </chartFormat>
    <chartFormat chart="0" format="31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8"/>
          </reference>
        </references>
      </pivotArea>
    </chartFormat>
    <chartFormat chart="0" format="316">
      <pivotArea type="data" outline="0" fieldPosition="0">
        <references count="2">
          <reference field="4294967294" count="1" selected="0">
            <x v="1"/>
          </reference>
          <reference field="8" count="1" selected="0">
            <x v="133"/>
          </reference>
        </references>
      </pivotArea>
    </chartFormat>
    <chartFormat chart="0" format="317">
      <pivotArea type="data" outline="0" fieldPosition="0">
        <references count="2">
          <reference field="4294967294" count="1" selected="0">
            <x v="1"/>
          </reference>
          <reference field="8" count="1" selected="0">
            <x v="135"/>
          </reference>
        </references>
      </pivotArea>
    </chartFormat>
    <chartFormat chart="0" format="318">
      <pivotArea type="data" outline="0" fieldPosition="0">
        <references count="2">
          <reference field="4294967294" count="1" selected="0">
            <x v="1"/>
          </reference>
          <reference field="8" count="1" selected="0">
            <x v="131"/>
          </reference>
        </references>
      </pivotArea>
    </chartFormat>
    <chartFormat chart="0" format="319">
      <pivotArea type="data" outline="0" fieldPosition="0">
        <references count="2">
          <reference field="4294967294" count="1" selected="0">
            <x v="1"/>
          </reference>
          <reference field="8" count="1" selected="0">
            <x v="69"/>
          </reference>
        </references>
      </pivotArea>
    </chartFormat>
    <chartFormat chart="3" format="3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2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8"/>
          </reference>
        </references>
      </pivotArea>
    </chartFormat>
    <chartFormat chart="3" format="322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3" format="323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3" format="324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3" format="325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3" format="326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3" format="327">
      <pivotArea type="data" outline="0" fieldPosition="0">
        <references count="2">
          <reference field="4294967294" count="1" selected="0">
            <x v="0"/>
          </reference>
          <reference field="8" count="1" selected="0">
            <x v="64"/>
          </reference>
        </references>
      </pivotArea>
    </chartFormat>
    <chartFormat chart="3" format="32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0"/>
          </reference>
        </references>
      </pivotArea>
    </chartFormat>
    <chartFormat chart="3" format="329">
      <pivotArea type="data" outline="0" fieldPosition="0">
        <references count="2">
          <reference field="4294967294" count="1" selected="0">
            <x v="0"/>
          </reference>
          <reference field="8" count="1" selected="0">
            <x v="28"/>
          </reference>
        </references>
      </pivotArea>
    </chartFormat>
    <chartFormat chart="3" format="330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3" format="33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3" format="332">
      <pivotArea type="data" outline="0" fieldPosition="0">
        <references count="2">
          <reference field="4294967294" count="1" selected="0">
            <x v="0"/>
          </reference>
          <reference field="8" count="1" selected="0">
            <x v="139"/>
          </reference>
        </references>
      </pivotArea>
    </chartFormat>
    <chartFormat chart="3" format="333">
      <pivotArea type="data" outline="0" fieldPosition="0">
        <references count="2">
          <reference field="4294967294" count="1" selected="0">
            <x v="0"/>
          </reference>
          <reference field="8" count="1" selected="0">
            <x v="52"/>
          </reference>
        </references>
      </pivotArea>
    </chartFormat>
    <chartFormat chart="3" format="334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3" format="335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3" format="336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3" format="337">
      <pivotArea type="data" outline="0" fieldPosition="0">
        <references count="2">
          <reference field="4294967294" count="1" selected="0">
            <x v="0"/>
          </reference>
          <reference field="8" count="1" selected="0">
            <x v="27"/>
          </reference>
        </references>
      </pivotArea>
    </chartFormat>
    <chartFormat chart="3" format="33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3"/>
          </reference>
        </references>
      </pivotArea>
    </chartFormat>
    <chartFormat chart="3" format="339">
      <pivotArea type="data" outline="0" fieldPosition="0">
        <references count="2">
          <reference field="4294967294" count="1" selected="0">
            <x v="0"/>
          </reference>
          <reference field="8" count="1" selected="0">
            <x v="45"/>
          </reference>
        </references>
      </pivotArea>
    </chartFormat>
    <chartFormat chart="3" format="340">
      <pivotArea type="data" outline="0" fieldPosition="0">
        <references count="2">
          <reference field="4294967294" count="1" selected="0">
            <x v="0"/>
          </reference>
          <reference field="8" count="1" selected="0">
            <x v="61"/>
          </reference>
        </references>
      </pivotArea>
    </chartFormat>
    <chartFormat chart="3" format="34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3" format="342">
      <pivotArea type="data" outline="0" fieldPosition="0">
        <references count="2">
          <reference field="4294967294" count="1" selected="0">
            <x v="0"/>
          </reference>
          <reference field="8" count="1" selected="0">
            <x v="153"/>
          </reference>
        </references>
      </pivotArea>
    </chartFormat>
    <chartFormat chart="3" format="343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3" format="34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0"/>
          </reference>
        </references>
      </pivotArea>
    </chartFormat>
    <chartFormat chart="3" format="34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3" format="346">
      <pivotArea type="data" outline="0" fieldPosition="0">
        <references count="2">
          <reference field="4294967294" count="1" selected="0">
            <x v="0"/>
          </reference>
          <reference field="8" count="1" selected="0">
            <x v="46"/>
          </reference>
        </references>
      </pivotArea>
    </chartFormat>
    <chartFormat chart="3" format="347">
      <pivotArea type="data" outline="0" fieldPosition="0">
        <references count="2">
          <reference field="4294967294" count="1" selected="0">
            <x v="0"/>
          </reference>
          <reference field="8" count="1" selected="0">
            <x v="68"/>
          </reference>
        </references>
      </pivotArea>
    </chartFormat>
    <chartFormat chart="3" format="348">
      <pivotArea type="data" outline="0" fieldPosition="0">
        <references count="2">
          <reference field="4294967294" count="1" selected="0">
            <x v="0"/>
          </reference>
          <reference field="8" count="1" selected="0">
            <x v="53"/>
          </reference>
        </references>
      </pivotArea>
    </chartFormat>
    <chartFormat chart="3" format="349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3" format="350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3" format="351">
      <pivotArea type="data" outline="0" fieldPosition="0">
        <references count="2">
          <reference field="4294967294" count="1" selected="0">
            <x v="0"/>
          </reference>
          <reference field="8" count="1" selected="0">
            <x v="34"/>
          </reference>
        </references>
      </pivotArea>
    </chartFormat>
    <chartFormat chart="3" format="352">
      <pivotArea type="data" outline="0" fieldPosition="0">
        <references count="2">
          <reference field="4294967294" count="1" selected="0">
            <x v="0"/>
          </reference>
          <reference field="8" count="1" selected="0">
            <x v="37"/>
          </reference>
        </references>
      </pivotArea>
    </chartFormat>
    <chartFormat chart="3" format="353">
      <pivotArea type="data" outline="0" fieldPosition="0">
        <references count="2">
          <reference field="4294967294" count="1" selected="0">
            <x v="0"/>
          </reference>
          <reference field="8" count="1" selected="0">
            <x v="54"/>
          </reference>
        </references>
      </pivotArea>
    </chartFormat>
    <chartFormat chart="3" format="354">
      <pivotArea type="data" outline="0" fieldPosition="0">
        <references count="2">
          <reference field="4294967294" count="1" selected="0">
            <x v="0"/>
          </reference>
          <reference field="8" count="1" selected="0">
            <x v="145"/>
          </reference>
        </references>
      </pivotArea>
    </chartFormat>
    <chartFormat chart="3" format="35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2"/>
          </reference>
        </references>
      </pivotArea>
    </chartFormat>
    <chartFormat chart="3" format="356">
      <pivotArea type="data" outline="0" fieldPosition="0">
        <references count="2">
          <reference field="4294967294" count="1" selected="0">
            <x v="0"/>
          </reference>
          <reference field="8" count="1" selected="0">
            <x v="86"/>
          </reference>
        </references>
      </pivotArea>
    </chartFormat>
    <chartFormat chart="3" format="357">
      <pivotArea type="data" outline="0" fieldPosition="0">
        <references count="2">
          <reference field="4294967294" count="1" selected="0">
            <x v="0"/>
          </reference>
          <reference field="8" count="1" selected="0">
            <x v="51"/>
          </reference>
        </references>
      </pivotArea>
    </chartFormat>
    <chartFormat chart="3" format="358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3" format="359">
      <pivotArea type="data" outline="0" fieldPosition="0">
        <references count="2">
          <reference field="4294967294" count="1" selected="0">
            <x v="0"/>
          </reference>
          <reference field="8" count="1" selected="0">
            <x v="40"/>
          </reference>
        </references>
      </pivotArea>
    </chartFormat>
    <chartFormat chart="3" format="360">
      <pivotArea type="data" outline="0" fieldPosition="0">
        <references count="2">
          <reference field="4294967294" count="1" selected="0">
            <x v="0"/>
          </reference>
          <reference field="8" count="1" selected="0">
            <x v="49"/>
          </reference>
        </references>
      </pivotArea>
    </chartFormat>
    <chartFormat chart="3" format="36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3" format="362">
      <pivotArea type="data" outline="0" fieldPosition="0">
        <references count="2">
          <reference field="4294967294" count="1" selected="0">
            <x v="0"/>
          </reference>
          <reference field="8" count="1" selected="0">
            <x v="78"/>
          </reference>
        </references>
      </pivotArea>
    </chartFormat>
    <chartFormat chart="3" format="363">
      <pivotArea type="data" outline="0" fieldPosition="0">
        <references count="2">
          <reference field="4294967294" count="1" selected="0">
            <x v="0"/>
          </reference>
          <reference field="8" count="1" selected="0">
            <x v="81"/>
          </reference>
        </references>
      </pivotArea>
    </chartFormat>
    <chartFormat chart="3" format="36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4"/>
          </reference>
        </references>
      </pivotArea>
    </chartFormat>
    <chartFormat chart="3" format="36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366">
      <pivotArea type="data" outline="0" fieldPosition="0">
        <references count="2">
          <reference field="4294967294" count="1" selected="0">
            <x v="0"/>
          </reference>
          <reference field="8" count="1" selected="0">
            <x v="144"/>
          </reference>
        </references>
      </pivotArea>
    </chartFormat>
    <chartFormat chart="3" format="36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8"/>
          </reference>
        </references>
      </pivotArea>
    </chartFormat>
    <chartFormat chart="3" format="368">
      <pivotArea type="data" outline="0" fieldPosition="0">
        <references count="2">
          <reference field="4294967294" count="1" selected="0">
            <x v="0"/>
          </reference>
          <reference field="8" count="1" selected="0">
            <x v="47"/>
          </reference>
        </references>
      </pivotArea>
    </chartFormat>
    <chartFormat chart="3" format="369">
      <pivotArea type="data" outline="0" fieldPosition="0">
        <references count="2">
          <reference field="4294967294" count="1" selected="0">
            <x v="0"/>
          </reference>
          <reference field="8" count="1" selected="0">
            <x v="63"/>
          </reference>
        </references>
      </pivotArea>
    </chartFormat>
    <chartFormat chart="3" format="370">
      <pivotArea type="data" outline="0" fieldPosition="0">
        <references count="2">
          <reference field="4294967294" count="1" selected="0">
            <x v="0"/>
          </reference>
          <reference field="8" count="1" selected="0">
            <x v="112"/>
          </reference>
        </references>
      </pivotArea>
    </chartFormat>
    <chartFormat chart="3" format="371">
      <pivotArea type="data" outline="0" fieldPosition="0">
        <references count="2">
          <reference field="4294967294" count="1" selected="0">
            <x v="0"/>
          </reference>
          <reference field="8" count="1" selected="0">
            <x v="31"/>
          </reference>
        </references>
      </pivotArea>
    </chartFormat>
    <chartFormat chart="3" format="372">
      <pivotArea type="data" outline="0" fieldPosition="0">
        <references count="2">
          <reference field="4294967294" count="1" selected="0">
            <x v="0"/>
          </reference>
          <reference field="8" count="1" selected="0">
            <x v="73"/>
          </reference>
        </references>
      </pivotArea>
    </chartFormat>
    <chartFormat chart="3" format="373">
      <pivotArea type="data" outline="0" fieldPosition="0">
        <references count="2">
          <reference field="4294967294" count="1" selected="0">
            <x v="0"/>
          </reference>
          <reference field="8" count="1" selected="0">
            <x v="83"/>
          </reference>
        </references>
      </pivotArea>
    </chartFormat>
    <chartFormat chart="3" format="374">
      <pivotArea type="data" outline="0" fieldPosition="0">
        <references count="2">
          <reference field="4294967294" count="1" selected="0">
            <x v="0"/>
          </reference>
          <reference field="8" count="1" selected="0">
            <x v="79"/>
          </reference>
        </references>
      </pivotArea>
    </chartFormat>
    <chartFormat chart="3" format="37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3" format="376">
      <pivotArea type="data" outline="0" fieldPosition="0">
        <references count="2">
          <reference field="4294967294" count="1" selected="0">
            <x v="0"/>
          </reference>
          <reference field="8" count="1" selected="0">
            <x v="82"/>
          </reference>
        </references>
      </pivotArea>
    </chartFormat>
    <chartFormat chart="3" format="377">
      <pivotArea type="data" outline="0" fieldPosition="0">
        <references count="2">
          <reference field="4294967294" count="1" selected="0">
            <x v="0"/>
          </reference>
          <reference field="8" count="1" selected="0">
            <x v="62"/>
          </reference>
        </references>
      </pivotArea>
    </chartFormat>
    <chartFormat chart="3" format="378">
      <pivotArea type="data" outline="0" fieldPosition="0">
        <references count="2">
          <reference field="4294967294" count="1" selected="0">
            <x v="0"/>
          </reference>
          <reference field="8" count="1" selected="0">
            <x v="88"/>
          </reference>
        </references>
      </pivotArea>
    </chartFormat>
    <chartFormat chart="3" format="379">
      <pivotArea type="data" outline="0" fieldPosition="0">
        <references count="2">
          <reference field="4294967294" count="1" selected="0">
            <x v="0"/>
          </reference>
          <reference field="8" count="1" selected="0">
            <x v="90"/>
          </reference>
        </references>
      </pivotArea>
    </chartFormat>
    <chartFormat chart="3" format="380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3" format="38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8"/>
          </reference>
        </references>
      </pivotArea>
    </chartFormat>
    <chartFormat chart="3" format="382">
      <pivotArea type="data" outline="0" fieldPosition="0">
        <references count="2">
          <reference field="4294967294" count="1" selected="0">
            <x v="0"/>
          </reference>
          <reference field="8" count="1" selected="0">
            <x v="66"/>
          </reference>
        </references>
      </pivotArea>
    </chartFormat>
    <chartFormat chart="3" format="383">
      <pivotArea type="data" outline="0" fieldPosition="0">
        <references count="2">
          <reference field="4294967294" count="1" selected="0">
            <x v="0"/>
          </reference>
          <reference field="8" count="1" selected="0">
            <x v="60"/>
          </reference>
        </references>
      </pivotArea>
    </chartFormat>
    <chartFormat chart="3" format="384">
      <pivotArea type="data" outline="0" fieldPosition="0">
        <references count="2">
          <reference field="4294967294" count="1" selected="0">
            <x v="0"/>
          </reference>
          <reference field="8" count="1" selected="0">
            <x v="50"/>
          </reference>
        </references>
      </pivotArea>
    </chartFormat>
    <chartFormat chart="3" format="385">
      <pivotArea type="data" outline="0" fieldPosition="0">
        <references count="2">
          <reference field="4294967294" count="1" selected="0">
            <x v="0"/>
          </reference>
          <reference field="8" count="1" selected="0">
            <x v="57"/>
          </reference>
        </references>
      </pivotArea>
    </chartFormat>
    <chartFormat chart="3" format="386">
      <pivotArea type="data" outline="0" fieldPosition="0">
        <references count="2">
          <reference field="4294967294" count="1" selected="0">
            <x v="0"/>
          </reference>
          <reference field="8" count="1" selected="0">
            <x v="93"/>
          </reference>
        </references>
      </pivotArea>
    </chartFormat>
    <chartFormat chart="3" format="387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" format="38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389">
      <pivotArea type="data" outline="0" fieldPosition="0">
        <references count="2">
          <reference field="4294967294" count="1" selected="0">
            <x v="0"/>
          </reference>
          <reference field="8" count="1" selected="0">
            <x v="137"/>
          </reference>
        </references>
      </pivotArea>
    </chartFormat>
    <chartFormat chart="3" format="390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3" format="391">
      <pivotArea type="data" outline="0" fieldPosition="0">
        <references count="2">
          <reference field="4294967294" count="1" selected="0">
            <x v="0"/>
          </reference>
          <reference field="8" count="1" selected="0">
            <x v="32"/>
          </reference>
        </references>
      </pivotArea>
    </chartFormat>
    <chartFormat chart="3" format="39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4"/>
          </reference>
        </references>
      </pivotArea>
    </chartFormat>
    <chartFormat chart="3" format="39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3"/>
          </reference>
        </references>
      </pivotArea>
    </chartFormat>
    <chartFormat chart="3" format="39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3" format="395">
      <pivotArea type="data" outline="0" fieldPosition="0">
        <references count="2">
          <reference field="4294967294" count="1" selected="0">
            <x v="0"/>
          </reference>
          <reference field="8" count="1" selected="0">
            <x v="30"/>
          </reference>
        </references>
      </pivotArea>
    </chartFormat>
    <chartFormat chart="3" format="396">
      <pivotArea type="data" outline="0" fieldPosition="0">
        <references count="2">
          <reference field="4294967294" count="1" selected="0">
            <x v="0"/>
          </reference>
          <reference field="8" count="1" selected="0">
            <x v="103"/>
          </reference>
        </references>
      </pivotArea>
    </chartFormat>
    <chartFormat chart="3" format="397">
      <pivotArea type="data" outline="0" fieldPosition="0">
        <references count="2">
          <reference field="4294967294" count="1" selected="0">
            <x v="0"/>
          </reference>
          <reference field="8" count="1" selected="0">
            <x v="89"/>
          </reference>
        </references>
      </pivotArea>
    </chartFormat>
    <chartFormat chart="3" format="398">
      <pivotArea type="data" outline="0" fieldPosition="0">
        <references count="2">
          <reference field="4294967294" count="1" selected="0">
            <x v="0"/>
          </reference>
          <reference field="8" count="1" selected="0">
            <x v="91"/>
          </reference>
        </references>
      </pivotArea>
    </chartFormat>
    <chartFormat chart="3" format="399">
      <pivotArea type="data" outline="0" fieldPosition="0">
        <references count="2">
          <reference field="4294967294" count="1" selected="0">
            <x v="0"/>
          </reference>
          <reference field="8" count="1" selected="0">
            <x v="44"/>
          </reference>
        </references>
      </pivotArea>
    </chartFormat>
    <chartFormat chart="3" format="400">
      <pivotArea type="data" outline="0" fieldPosition="0">
        <references count="2">
          <reference field="4294967294" count="1" selected="0">
            <x v="0"/>
          </reference>
          <reference field="8" count="1" selected="0">
            <x v="157"/>
          </reference>
        </references>
      </pivotArea>
    </chartFormat>
    <chartFormat chart="3" format="40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0"/>
          </reference>
        </references>
      </pivotArea>
    </chartFormat>
    <chartFormat chart="3" format="402">
      <pivotArea type="data" outline="0" fieldPosition="0">
        <references count="2">
          <reference field="4294967294" count="1" selected="0">
            <x v="0"/>
          </reference>
          <reference field="8" count="1" selected="0">
            <x v="38"/>
          </reference>
        </references>
      </pivotArea>
    </chartFormat>
    <chartFormat chart="3" format="403">
      <pivotArea type="data" outline="0" fieldPosition="0">
        <references count="2">
          <reference field="4294967294" count="1" selected="0">
            <x v="0"/>
          </reference>
          <reference field="8" count="1" selected="0">
            <x v="77"/>
          </reference>
        </references>
      </pivotArea>
    </chartFormat>
    <chartFormat chart="3" format="404">
      <pivotArea type="data" outline="0" fieldPosition="0">
        <references count="2">
          <reference field="4294967294" count="1" selected="0">
            <x v="0"/>
          </reference>
          <reference field="8" count="1" selected="0">
            <x v="59"/>
          </reference>
        </references>
      </pivotArea>
    </chartFormat>
    <chartFormat chart="3" format="405">
      <pivotArea type="data" outline="0" fieldPosition="0">
        <references count="2">
          <reference field="4294967294" count="1" selected="0">
            <x v="0"/>
          </reference>
          <reference field="8" count="1" selected="0">
            <x v="58"/>
          </reference>
        </references>
      </pivotArea>
    </chartFormat>
    <chartFormat chart="3" format="406">
      <pivotArea type="data" outline="0" fieldPosition="0">
        <references count="2">
          <reference field="4294967294" count="1" selected="0">
            <x v="0"/>
          </reference>
          <reference field="8" count="1" selected="0">
            <x v="141"/>
          </reference>
        </references>
      </pivotArea>
    </chartFormat>
    <chartFormat chart="3" format="40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6"/>
          </reference>
        </references>
      </pivotArea>
    </chartFormat>
    <chartFormat chart="3" format="408">
      <pivotArea type="data" outline="0" fieldPosition="0">
        <references count="2">
          <reference field="4294967294" count="1" selected="0">
            <x v="0"/>
          </reference>
          <reference field="8" count="1" selected="0">
            <x v="99"/>
          </reference>
        </references>
      </pivotArea>
    </chartFormat>
    <chartFormat chart="3" format="409">
      <pivotArea type="data" outline="0" fieldPosition="0">
        <references count="2">
          <reference field="4294967294" count="1" selected="0">
            <x v="0"/>
          </reference>
          <reference field="8" count="1" selected="0">
            <x v="76"/>
          </reference>
        </references>
      </pivotArea>
    </chartFormat>
    <chartFormat chart="3" format="410">
      <pivotArea type="data" outline="0" fieldPosition="0">
        <references count="2">
          <reference field="4294967294" count="1" selected="0">
            <x v="0"/>
          </reference>
          <reference field="8" count="1" selected="0">
            <x v="65"/>
          </reference>
        </references>
      </pivotArea>
    </chartFormat>
    <chartFormat chart="3" format="4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4"/>
          </reference>
        </references>
      </pivotArea>
    </chartFormat>
    <chartFormat chart="3" format="4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8"/>
          </reference>
        </references>
      </pivotArea>
    </chartFormat>
    <chartFormat chart="3" format="413">
      <pivotArea type="data" outline="0" fieldPosition="0">
        <references count="2">
          <reference field="4294967294" count="1" selected="0">
            <x v="0"/>
          </reference>
          <reference field="8" count="1" selected="0">
            <x v="155"/>
          </reference>
        </references>
      </pivotArea>
    </chartFormat>
    <chartFormat chart="3" format="4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46"/>
          </reference>
        </references>
      </pivotArea>
    </chartFormat>
    <chartFormat chart="3" format="41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416">
      <pivotArea type="data" outline="0" fieldPosition="0">
        <references count="2">
          <reference field="4294967294" count="1" selected="0">
            <x v="0"/>
          </reference>
          <reference field="8" count="1" selected="0">
            <x v="43"/>
          </reference>
        </references>
      </pivotArea>
    </chartFormat>
    <chartFormat chart="3" format="417">
      <pivotArea type="data" outline="0" fieldPosition="0">
        <references count="2">
          <reference field="4294967294" count="1" selected="0">
            <x v="0"/>
          </reference>
          <reference field="8" count="1" selected="0">
            <x v="55"/>
          </reference>
        </references>
      </pivotArea>
    </chartFormat>
    <chartFormat chart="3" format="418">
      <pivotArea type="data" outline="0" fieldPosition="0">
        <references count="2">
          <reference field="4294967294" count="1" selected="0">
            <x v="0"/>
          </reference>
          <reference field="8" count="1" selected="0">
            <x v="109"/>
          </reference>
        </references>
      </pivotArea>
    </chartFormat>
    <chartFormat chart="3" format="419">
      <pivotArea type="data" outline="0" fieldPosition="0">
        <references count="2">
          <reference field="4294967294" count="1" selected="0">
            <x v="0"/>
          </reference>
          <reference field="8" count="1" selected="0">
            <x v="48"/>
          </reference>
        </references>
      </pivotArea>
    </chartFormat>
    <chartFormat chart="3" format="420">
      <pivotArea type="data" outline="0" fieldPosition="0">
        <references count="2">
          <reference field="4294967294" count="1" selected="0">
            <x v="0"/>
          </reference>
          <reference field="8" count="1" selected="0">
            <x v="94"/>
          </reference>
        </references>
      </pivotArea>
    </chartFormat>
    <chartFormat chart="3" format="42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3" format="422">
      <pivotArea type="data" outline="0" fieldPosition="0">
        <references count="2">
          <reference field="4294967294" count="1" selected="0">
            <x v="0"/>
          </reference>
          <reference field="8" count="1" selected="0">
            <x v="98"/>
          </reference>
        </references>
      </pivotArea>
    </chartFormat>
    <chartFormat chart="3" format="423">
      <pivotArea type="data" outline="0" fieldPosition="0">
        <references count="2">
          <reference field="4294967294" count="1" selected="0">
            <x v="0"/>
          </reference>
          <reference field="8" count="1" selected="0">
            <x v="33"/>
          </reference>
        </references>
      </pivotArea>
    </chartFormat>
    <chartFormat chart="3" format="42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6"/>
          </reference>
        </references>
      </pivotArea>
    </chartFormat>
    <chartFormat chart="3" format="425">
      <pivotArea type="data" outline="0" fieldPosition="0">
        <references count="2">
          <reference field="4294967294" count="1" selected="0">
            <x v="0"/>
          </reference>
          <reference field="8" count="1" selected="0">
            <x v="84"/>
          </reference>
        </references>
      </pivotArea>
    </chartFormat>
    <chartFormat chart="3" format="426">
      <pivotArea type="data" outline="0" fieldPosition="0">
        <references count="2">
          <reference field="4294967294" count="1" selected="0">
            <x v="0"/>
          </reference>
          <reference field="8" count="1" selected="0">
            <x v="67"/>
          </reference>
        </references>
      </pivotArea>
    </chartFormat>
    <chartFormat chart="3" format="427">
      <pivotArea type="data" outline="0" fieldPosition="0">
        <references count="2">
          <reference field="4294967294" count="1" selected="0">
            <x v="0"/>
          </reference>
          <reference field="8" count="1" selected="0">
            <x v="80"/>
          </reference>
        </references>
      </pivotArea>
    </chartFormat>
    <chartFormat chart="3" format="42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9"/>
          </reference>
        </references>
      </pivotArea>
    </chartFormat>
    <chartFormat chart="3" format="429">
      <pivotArea type="data" outline="0" fieldPosition="0">
        <references count="2">
          <reference field="4294967294" count="1" selected="0">
            <x v="0"/>
          </reference>
          <reference field="8" count="1" selected="0">
            <x v="124"/>
          </reference>
        </references>
      </pivotArea>
    </chartFormat>
    <chartFormat chart="3" format="430">
      <pivotArea type="data" outline="0" fieldPosition="0">
        <references count="2">
          <reference field="4294967294" count="1" selected="0">
            <x v="0"/>
          </reference>
          <reference field="8" count="1" selected="0">
            <x v="107"/>
          </reference>
        </references>
      </pivotArea>
    </chartFormat>
    <chartFormat chart="3" format="43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6"/>
          </reference>
        </references>
      </pivotArea>
    </chartFormat>
    <chartFormat chart="3" format="432">
      <pivotArea type="data" outline="0" fieldPosition="0">
        <references count="2">
          <reference field="4294967294" count="1" selected="0">
            <x v="0"/>
          </reference>
          <reference field="8" count="1" selected="0">
            <x v="96"/>
          </reference>
        </references>
      </pivotArea>
    </chartFormat>
    <chartFormat chart="3" format="433">
      <pivotArea type="data" outline="0" fieldPosition="0">
        <references count="2">
          <reference field="4294967294" count="1" selected="0">
            <x v="0"/>
          </reference>
          <reference field="8" count="1" selected="0">
            <x v="125"/>
          </reference>
        </references>
      </pivotArea>
    </chartFormat>
    <chartFormat chart="3" format="434">
      <pivotArea type="data" outline="0" fieldPosition="0">
        <references count="2">
          <reference field="4294967294" count="1" selected="0">
            <x v="0"/>
          </reference>
          <reference field="8" count="1" selected="0">
            <x v="105"/>
          </reference>
        </references>
      </pivotArea>
    </chartFormat>
    <chartFormat chart="3" format="43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436">
      <pivotArea type="data" outline="0" fieldPosition="0">
        <references count="2">
          <reference field="4294967294" count="1" selected="0">
            <x v="0"/>
          </reference>
          <reference field="8" count="1" selected="0">
            <x v="70"/>
          </reference>
        </references>
      </pivotArea>
    </chartFormat>
    <chartFormat chart="3" format="437">
      <pivotArea type="data" outline="0" fieldPosition="0">
        <references count="2">
          <reference field="4294967294" count="1" selected="0">
            <x v="0"/>
          </reference>
          <reference field="8" count="1" selected="0">
            <x v="110"/>
          </reference>
        </references>
      </pivotArea>
    </chartFormat>
    <chartFormat chart="3" format="438">
      <pivotArea type="data" outline="0" fieldPosition="0">
        <references count="2">
          <reference field="4294967294" count="1" selected="0">
            <x v="0"/>
          </reference>
          <reference field="8" count="1" selected="0">
            <x v="85"/>
          </reference>
        </references>
      </pivotArea>
    </chartFormat>
    <chartFormat chart="3" format="439">
      <pivotArea type="data" outline="0" fieldPosition="0">
        <references count="2">
          <reference field="4294967294" count="1" selected="0">
            <x v="0"/>
          </reference>
          <reference field="8" count="1" selected="0">
            <x v="74"/>
          </reference>
        </references>
      </pivotArea>
    </chartFormat>
    <chartFormat chart="3" format="440">
      <pivotArea type="data" outline="0" fieldPosition="0">
        <references count="2">
          <reference field="4294967294" count="1" selected="0">
            <x v="0"/>
          </reference>
          <reference field="8" count="1" selected="0">
            <x v="123"/>
          </reference>
        </references>
      </pivotArea>
    </chartFormat>
    <chartFormat chart="3" format="44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7"/>
          </reference>
        </references>
      </pivotArea>
    </chartFormat>
    <chartFormat chart="3" format="442">
      <pivotArea type="data" outline="0" fieldPosition="0">
        <references count="2">
          <reference field="4294967294" count="1" selected="0">
            <x v="0"/>
          </reference>
          <reference field="8" count="1" selected="0">
            <x v="41"/>
          </reference>
        </references>
      </pivotArea>
    </chartFormat>
    <chartFormat chart="3" format="44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1"/>
          </reference>
        </references>
      </pivotArea>
    </chartFormat>
    <chartFormat chart="3" format="444">
      <pivotArea type="data" outline="0" fieldPosition="0">
        <references count="2">
          <reference field="4294967294" count="1" selected="0">
            <x v="0"/>
          </reference>
          <reference field="8" count="1" selected="0">
            <x v="116"/>
          </reference>
        </references>
      </pivotArea>
    </chartFormat>
    <chartFormat chart="3" format="44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1"/>
          </reference>
        </references>
      </pivotArea>
    </chartFormat>
    <chartFormat chart="3" format="446">
      <pivotArea type="data" outline="0" fieldPosition="0">
        <references count="2">
          <reference field="4294967294" count="1" selected="0">
            <x v="0"/>
          </reference>
          <reference field="8" count="1" selected="0">
            <x v="115"/>
          </reference>
        </references>
      </pivotArea>
    </chartFormat>
    <chartFormat chart="3" format="447">
      <pivotArea type="data" outline="0" fieldPosition="0">
        <references count="2">
          <reference field="4294967294" count="1" selected="0">
            <x v="0"/>
          </reference>
          <reference field="8" count="1" selected="0">
            <x v="42"/>
          </reference>
        </references>
      </pivotArea>
    </chartFormat>
    <chartFormat chart="3" format="448">
      <pivotArea type="data" outline="0" fieldPosition="0">
        <references count="2">
          <reference field="4294967294" count="1" selected="0">
            <x v="0"/>
          </reference>
          <reference field="8" count="1" selected="0">
            <x v="104"/>
          </reference>
        </references>
      </pivotArea>
    </chartFormat>
    <chartFormat chart="3" format="449">
      <pivotArea type="data" outline="0" fieldPosition="0">
        <references count="2">
          <reference field="4294967294" count="1" selected="0">
            <x v="0"/>
          </reference>
          <reference field="8" count="1" selected="0">
            <x v="147"/>
          </reference>
        </references>
      </pivotArea>
    </chartFormat>
    <chartFormat chart="3" format="450">
      <pivotArea type="data" outline="0" fieldPosition="0">
        <references count="2">
          <reference field="4294967294" count="1" selected="0">
            <x v="0"/>
          </reference>
          <reference field="8" count="1" selected="0">
            <x v="56"/>
          </reference>
        </references>
      </pivotArea>
    </chartFormat>
    <chartFormat chart="3" format="45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6"/>
          </reference>
        </references>
      </pivotArea>
    </chartFormat>
    <chartFormat chart="3" format="45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9"/>
          </reference>
        </references>
      </pivotArea>
    </chartFormat>
    <chartFormat chart="3" format="453">
      <pivotArea type="data" outline="0" fieldPosition="0">
        <references count="2">
          <reference field="4294967294" count="1" selected="0">
            <x v="0"/>
          </reference>
          <reference field="8" count="1" selected="0">
            <x v="92"/>
          </reference>
        </references>
      </pivotArea>
    </chartFormat>
    <chartFormat chart="3" format="45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2"/>
          </reference>
        </references>
      </pivotArea>
    </chartFormat>
    <chartFormat chart="3" format="455">
      <pivotArea type="data" outline="0" fieldPosition="0">
        <references count="2">
          <reference field="4294967294" count="1" selected="0">
            <x v="0"/>
          </reference>
          <reference field="8" count="1" selected="0">
            <x v="39"/>
          </reference>
        </references>
      </pivotArea>
    </chartFormat>
    <chartFormat chart="3" format="456">
      <pivotArea type="data" outline="0" fieldPosition="0">
        <references count="2">
          <reference field="4294967294" count="1" selected="0">
            <x v="0"/>
          </reference>
          <reference field="8" count="1" selected="0">
            <x v="72"/>
          </reference>
        </references>
      </pivotArea>
    </chartFormat>
    <chartFormat chart="3" format="457">
      <pivotArea type="data" outline="0" fieldPosition="0">
        <references count="2">
          <reference field="4294967294" count="1" selected="0">
            <x v="0"/>
          </reference>
          <reference field="8" count="1" selected="0">
            <x v="129"/>
          </reference>
        </references>
      </pivotArea>
    </chartFormat>
    <chartFormat chart="3" format="458">
      <pivotArea type="data" outline="0" fieldPosition="0">
        <references count="2">
          <reference field="4294967294" count="1" selected="0">
            <x v="0"/>
          </reference>
          <reference field="8" count="1" selected="0">
            <x v="75"/>
          </reference>
        </references>
      </pivotArea>
    </chartFormat>
    <chartFormat chart="3" format="459">
      <pivotArea type="data" outline="0" fieldPosition="0">
        <references count="2">
          <reference field="4294967294" count="1" selected="0">
            <x v="0"/>
          </reference>
          <reference field="8" count="1" selected="0">
            <x v="127"/>
          </reference>
        </references>
      </pivotArea>
    </chartFormat>
    <chartFormat chart="3" format="460">
      <pivotArea type="data" outline="0" fieldPosition="0">
        <references count="2">
          <reference field="4294967294" count="1" selected="0">
            <x v="0"/>
          </reference>
          <reference field="8" count="1" selected="0">
            <x v="151"/>
          </reference>
        </references>
      </pivotArea>
    </chartFormat>
    <chartFormat chart="3" format="46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2"/>
          </reference>
        </references>
      </pivotArea>
    </chartFormat>
    <chartFormat chart="3" format="462">
      <pivotArea type="data" outline="0" fieldPosition="0">
        <references count="2">
          <reference field="4294967294" count="1" selected="0">
            <x v="0"/>
          </reference>
          <reference field="8" count="1" selected="0">
            <x v="158"/>
          </reference>
        </references>
      </pivotArea>
    </chartFormat>
    <chartFormat chart="3" format="463">
      <pivotArea type="data" outline="0" fieldPosition="0">
        <references count="2">
          <reference field="4294967294" count="1" selected="0">
            <x v="0"/>
          </reference>
          <reference field="8" count="1" selected="0">
            <x v="35"/>
          </reference>
        </references>
      </pivotArea>
    </chartFormat>
    <chartFormat chart="3" format="464">
      <pivotArea type="data" outline="0" fieldPosition="0">
        <references count="2">
          <reference field="4294967294" count="1" selected="0">
            <x v="0"/>
          </reference>
          <reference field="8" count="1" selected="0">
            <x v="130"/>
          </reference>
        </references>
      </pivotArea>
    </chartFormat>
    <chartFormat chart="3" format="46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2"/>
          </reference>
        </references>
      </pivotArea>
    </chartFormat>
    <chartFormat chart="3" format="466">
      <pivotArea type="data" outline="0" fieldPosition="0">
        <references count="2">
          <reference field="4294967294" count="1" selected="0">
            <x v="0"/>
          </reference>
          <reference field="8" count="1" selected="0">
            <x v="26"/>
          </reference>
        </references>
      </pivotArea>
    </chartFormat>
    <chartFormat chart="3" format="467">
      <pivotArea type="data" outline="0" fieldPosition="0">
        <references count="2">
          <reference field="4294967294" count="1" selected="0">
            <x v="0"/>
          </reference>
          <reference field="8" count="1" selected="0">
            <x v="120"/>
          </reference>
        </references>
      </pivotArea>
    </chartFormat>
    <chartFormat chart="3" format="468">
      <pivotArea type="data" outline="0" fieldPosition="0">
        <references count="2">
          <reference field="4294967294" count="1" selected="0">
            <x v="0"/>
          </reference>
          <reference field="8" count="1" selected="0">
            <x v="87"/>
          </reference>
        </references>
      </pivotArea>
    </chartFormat>
    <chartFormat chart="3" format="469">
      <pivotArea type="data" outline="0" fieldPosition="0">
        <references count="2">
          <reference field="4294967294" count="1" selected="0">
            <x v="0"/>
          </reference>
          <reference field="8" count="1" selected="0">
            <x v="36"/>
          </reference>
        </references>
      </pivotArea>
    </chartFormat>
    <chartFormat chart="3" format="470">
      <pivotArea type="data" outline="0" fieldPosition="0">
        <references count="2">
          <reference field="4294967294" count="1" selected="0">
            <x v="0"/>
          </reference>
          <reference field="8" count="1" selected="0">
            <x v="95"/>
          </reference>
        </references>
      </pivotArea>
    </chartFormat>
    <chartFormat chart="3" format="47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2"/>
          </reference>
        </references>
      </pivotArea>
    </chartFormat>
    <chartFormat chart="3" format="472">
      <pivotArea type="data" outline="0" fieldPosition="0">
        <references count="2">
          <reference field="4294967294" count="1" selected="0">
            <x v="0"/>
          </reference>
          <reference field="8" count="1" selected="0">
            <x v="97"/>
          </reference>
        </references>
      </pivotArea>
    </chartFormat>
    <chartFormat chart="3" format="473">
      <pivotArea type="data" outline="0" fieldPosition="0">
        <references count="2">
          <reference field="4294967294" count="1" selected="0">
            <x v="0"/>
          </reference>
          <reference field="8" count="1" selected="0">
            <x v="71"/>
          </reference>
        </references>
      </pivotArea>
    </chartFormat>
    <chartFormat chart="3" format="47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1"/>
          </reference>
        </references>
      </pivotArea>
    </chartFormat>
    <chartFormat chart="3" format="47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8"/>
          </reference>
        </references>
      </pivotArea>
    </chartFormat>
    <chartFormat chart="3" format="476">
      <pivotArea type="data" outline="0" fieldPosition="0">
        <references count="2">
          <reference field="4294967294" count="1" selected="0">
            <x v="0"/>
          </reference>
          <reference field="8" count="1" selected="0">
            <x v="133"/>
          </reference>
        </references>
      </pivotArea>
    </chartFormat>
    <chartFormat chart="3" format="47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5"/>
          </reference>
        </references>
      </pivotArea>
    </chartFormat>
    <chartFormat chart="3" format="478">
      <pivotArea type="data" outline="0" fieldPosition="0">
        <references count="2">
          <reference field="4294967294" count="1" selected="0">
            <x v="0"/>
          </reference>
          <reference field="8" count="1" selected="0">
            <x v="131"/>
          </reference>
        </references>
      </pivotArea>
    </chartFormat>
    <chartFormat chart="3" format="479">
      <pivotArea type="data" outline="0" fieldPosition="0">
        <references count="2">
          <reference field="4294967294" count="1" selected="0">
            <x v="0"/>
          </reference>
          <reference field="8" count="1" selected="0">
            <x v="69"/>
          </reference>
        </references>
      </pivotArea>
    </chartFormat>
    <chartFormat chart="3" format="48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81">
      <pivotArea type="data" outline="0" fieldPosition="0">
        <references count="2">
          <reference field="4294967294" count="1" selected="0">
            <x v="1"/>
          </reference>
          <reference field="8" count="1" selected="0">
            <x v="148"/>
          </reference>
        </references>
      </pivotArea>
    </chartFormat>
    <chartFormat chart="3" format="482">
      <pivotArea type="data" outline="0" fieldPosition="0">
        <references count="2">
          <reference field="4294967294" count="1" selected="0">
            <x v="1"/>
          </reference>
          <reference field="8" count="1" selected="0">
            <x v="24"/>
          </reference>
        </references>
      </pivotArea>
    </chartFormat>
    <chartFormat chart="3" format="483">
      <pivotArea type="data" outline="0" fieldPosition="0">
        <references count="2">
          <reference field="4294967294" count="1" selected="0">
            <x v="1"/>
          </reference>
          <reference field="8" count="1" selected="0">
            <x v="29"/>
          </reference>
        </references>
      </pivotArea>
    </chartFormat>
    <chartFormat chart="3" format="484">
      <pivotArea type="data" outline="0" fieldPosition="0">
        <references count="2">
          <reference field="4294967294" count="1" selected="0">
            <x v="1"/>
          </reference>
          <reference field="8" count="1" selected="0">
            <x v="16"/>
          </reference>
        </references>
      </pivotArea>
    </chartFormat>
    <chartFormat chart="3" format="485">
      <pivotArea type="data" outline="0" fieldPosition="0">
        <references count="2">
          <reference field="4294967294" count="1" selected="0">
            <x v="1"/>
          </reference>
          <reference field="8" count="1" selected="0">
            <x v="7"/>
          </reference>
        </references>
      </pivotArea>
    </chartFormat>
    <chartFormat chart="3" format="486">
      <pivotArea type="data" outline="0" fieldPosition="0">
        <references count="2">
          <reference field="4294967294" count="1" selected="0">
            <x v="1"/>
          </reference>
          <reference field="8" count="1" selected="0">
            <x v="18"/>
          </reference>
        </references>
      </pivotArea>
    </chartFormat>
    <chartFormat chart="3" format="487">
      <pivotArea type="data" outline="0" fieldPosition="0">
        <references count="2">
          <reference field="4294967294" count="1" selected="0">
            <x v="1"/>
          </reference>
          <reference field="8" count="1" selected="0">
            <x v="64"/>
          </reference>
        </references>
      </pivotArea>
    </chartFormat>
    <chartFormat chart="3" format="488">
      <pivotArea type="data" outline="0" fieldPosition="0">
        <references count="2">
          <reference field="4294967294" count="1" selected="0">
            <x v="1"/>
          </reference>
          <reference field="8" count="1" selected="0">
            <x v="140"/>
          </reference>
        </references>
      </pivotArea>
    </chartFormat>
    <chartFormat chart="3" format="489">
      <pivotArea type="data" outline="0" fieldPosition="0">
        <references count="2">
          <reference field="4294967294" count="1" selected="0">
            <x v="1"/>
          </reference>
          <reference field="8" count="1" selected="0">
            <x v="28"/>
          </reference>
        </references>
      </pivotArea>
    </chartFormat>
    <chartFormat chart="3" format="490">
      <pivotArea type="data" outline="0" fieldPosition="0">
        <references count="2">
          <reference field="4294967294" count="1" selected="0">
            <x v="1"/>
          </reference>
          <reference field="8" count="1" selected="0">
            <x v="9"/>
          </reference>
        </references>
      </pivotArea>
    </chartFormat>
    <chartFormat chart="3" format="491">
      <pivotArea type="data" outline="0" fieldPosition="0">
        <references count="2">
          <reference field="4294967294" count="1" selected="0">
            <x v="1"/>
          </reference>
          <reference field="8" count="1" selected="0">
            <x v="13"/>
          </reference>
        </references>
      </pivotArea>
    </chartFormat>
    <chartFormat chart="3" format="492">
      <pivotArea type="data" outline="0" fieldPosition="0">
        <references count="2">
          <reference field="4294967294" count="1" selected="0">
            <x v="1"/>
          </reference>
          <reference field="8" count="1" selected="0">
            <x v="139"/>
          </reference>
        </references>
      </pivotArea>
    </chartFormat>
    <chartFormat chart="3" format="493">
      <pivotArea type="data" outline="0" fieldPosition="0">
        <references count="2">
          <reference field="4294967294" count="1" selected="0">
            <x v="1"/>
          </reference>
          <reference field="8" count="1" selected="0">
            <x v="52"/>
          </reference>
        </references>
      </pivotArea>
    </chartFormat>
    <chartFormat chart="3" format="494">
      <pivotArea type="data" outline="0" fieldPosition="0">
        <references count="2">
          <reference field="4294967294" count="1" selected="0">
            <x v="1"/>
          </reference>
          <reference field="8" count="1" selected="0">
            <x v="21"/>
          </reference>
        </references>
      </pivotArea>
    </chartFormat>
    <chartFormat chart="3" format="495">
      <pivotArea type="data" outline="0" fieldPosition="0">
        <references count="2">
          <reference field="4294967294" count="1" selected="0">
            <x v="1"/>
          </reference>
          <reference field="8" count="1" selected="0">
            <x v="11"/>
          </reference>
        </references>
      </pivotArea>
    </chartFormat>
    <chartFormat chart="3" format="496">
      <pivotArea type="data" outline="0" fieldPosition="0">
        <references count="2">
          <reference field="4294967294" count="1" selected="0">
            <x v="1"/>
          </reference>
          <reference field="8" count="1" selected="0">
            <x v="25"/>
          </reference>
        </references>
      </pivotArea>
    </chartFormat>
    <chartFormat chart="3" format="497">
      <pivotArea type="data" outline="0" fieldPosition="0">
        <references count="2">
          <reference field="4294967294" count="1" selected="0">
            <x v="1"/>
          </reference>
          <reference field="8" count="1" selected="0">
            <x v="27"/>
          </reference>
        </references>
      </pivotArea>
    </chartFormat>
    <chartFormat chart="3" format="498">
      <pivotArea type="data" outline="0" fieldPosition="0">
        <references count="2">
          <reference field="4294967294" count="1" selected="0">
            <x v="1"/>
          </reference>
          <reference field="8" count="1" selected="0">
            <x v="143"/>
          </reference>
        </references>
      </pivotArea>
    </chartFormat>
    <chartFormat chart="3" format="499">
      <pivotArea type="data" outline="0" fieldPosition="0">
        <references count="2">
          <reference field="4294967294" count="1" selected="0">
            <x v="1"/>
          </reference>
          <reference field="8" count="1" selected="0">
            <x v="45"/>
          </reference>
        </references>
      </pivotArea>
    </chartFormat>
    <chartFormat chart="3" format="500">
      <pivotArea type="data" outline="0" fieldPosition="0">
        <references count="2">
          <reference field="4294967294" count="1" selected="0">
            <x v="1"/>
          </reference>
          <reference field="8" count="1" selected="0">
            <x v="61"/>
          </reference>
        </references>
      </pivotArea>
    </chartFormat>
    <chartFormat chart="3" format="501">
      <pivotArea type="data" outline="0" fieldPosition="0">
        <references count="2">
          <reference field="4294967294" count="1" selected="0">
            <x v="1"/>
          </reference>
          <reference field="8" count="1" selected="0">
            <x v="19"/>
          </reference>
        </references>
      </pivotArea>
    </chartFormat>
    <chartFormat chart="3" format="502">
      <pivotArea type="data" outline="0" fieldPosition="0">
        <references count="2">
          <reference field="4294967294" count="1" selected="0">
            <x v="1"/>
          </reference>
          <reference field="8" count="1" selected="0">
            <x v="153"/>
          </reference>
        </references>
      </pivotArea>
    </chartFormat>
    <chartFormat chart="3" format="503">
      <pivotArea type="data" outline="0" fieldPosition="0">
        <references count="2">
          <reference field="4294967294" count="1" selected="0">
            <x v="1"/>
          </reference>
          <reference field="8" count="1" selected="0">
            <x v="8"/>
          </reference>
        </references>
      </pivotArea>
    </chartFormat>
    <chartFormat chart="3" format="504">
      <pivotArea type="data" outline="0" fieldPosition="0">
        <references count="2">
          <reference field="4294967294" count="1" selected="0">
            <x v="1"/>
          </reference>
          <reference field="8" count="1" selected="0">
            <x v="150"/>
          </reference>
        </references>
      </pivotArea>
    </chartFormat>
    <chartFormat chart="3" format="505">
      <pivotArea type="data" outline="0" fieldPosition="0">
        <references count="2">
          <reference field="4294967294" count="1" selected="0">
            <x v="1"/>
          </reference>
          <reference field="8" count="1" selected="0">
            <x v="14"/>
          </reference>
        </references>
      </pivotArea>
    </chartFormat>
    <chartFormat chart="3" format="506">
      <pivotArea type="data" outline="0" fieldPosition="0">
        <references count="2">
          <reference field="4294967294" count="1" selected="0">
            <x v="1"/>
          </reference>
          <reference field="8" count="1" selected="0">
            <x v="46"/>
          </reference>
        </references>
      </pivotArea>
    </chartFormat>
    <chartFormat chart="3" format="507">
      <pivotArea type="data" outline="0" fieldPosition="0">
        <references count="2">
          <reference field="4294967294" count="1" selected="0">
            <x v="1"/>
          </reference>
          <reference field="8" count="1" selected="0">
            <x v="68"/>
          </reference>
        </references>
      </pivotArea>
    </chartFormat>
    <chartFormat chart="3" format="508">
      <pivotArea type="data" outline="0" fieldPosition="0">
        <references count="2">
          <reference field="4294967294" count="1" selected="0">
            <x v="1"/>
          </reference>
          <reference field="8" count="1" selected="0">
            <x v="53"/>
          </reference>
        </references>
      </pivotArea>
    </chartFormat>
    <chartFormat chart="3" format="509">
      <pivotArea type="data" outline="0" fieldPosition="0">
        <references count="2">
          <reference field="4294967294" count="1" selected="0">
            <x v="1"/>
          </reference>
          <reference field="8" count="1" selected="0">
            <x v="6"/>
          </reference>
        </references>
      </pivotArea>
    </chartFormat>
    <chartFormat chart="3" format="510">
      <pivotArea type="data" outline="0" fieldPosition="0">
        <references count="2">
          <reference field="4294967294" count="1" selected="0">
            <x v="1"/>
          </reference>
          <reference field="8" count="1" selected="0">
            <x v="20"/>
          </reference>
        </references>
      </pivotArea>
    </chartFormat>
    <chartFormat chart="3" format="511">
      <pivotArea type="data" outline="0" fieldPosition="0">
        <references count="2">
          <reference field="4294967294" count="1" selected="0">
            <x v="1"/>
          </reference>
          <reference field="8" count="1" selected="0">
            <x v="34"/>
          </reference>
        </references>
      </pivotArea>
    </chartFormat>
    <chartFormat chart="3" format="512">
      <pivotArea type="data" outline="0" fieldPosition="0">
        <references count="2">
          <reference field="4294967294" count="1" selected="0">
            <x v="1"/>
          </reference>
          <reference field="8" count="1" selected="0">
            <x v="37"/>
          </reference>
        </references>
      </pivotArea>
    </chartFormat>
    <chartFormat chart="3" format="513">
      <pivotArea type="data" outline="0" fieldPosition="0">
        <references count="2">
          <reference field="4294967294" count="1" selected="0">
            <x v="1"/>
          </reference>
          <reference field="8" count="1" selected="0">
            <x v="54"/>
          </reference>
        </references>
      </pivotArea>
    </chartFormat>
    <chartFormat chart="3" format="514">
      <pivotArea type="data" outline="0" fieldPosition="0">
        <references count="2">
          <reference field="4294967294" count="1" selected="0">
            <x v="1"/>
          </reference>
          <reference field="8" count="1" selected="0">
            <x v="145"/>
          </reference>
        </references>
      </pivotArea>
    </chartFormat>
    <chartFormat chart="3" format="515">
      <pivotArea type="data" outline="0" fieldPosition="0">
        <references count="2">
          <reference field="4294967294" count="1" selected="0">
            <x v="1"/>
          </reference>
          <reference field="8" count="1" selected="0">
            <x v="142"/>
          </reference>
        </references>
      </pivotArea>
    </chartFormat>
    <chartFormat chart="3" format="516">
      <pivotArea type="data" outline="0" fieldPosition="0">
        <references count="2">
          <reference field="4294967294" count="1" selected="0">
            <x v="1"/>
          </reference>
          <reference field="8" count="1" selected="0">
            <x v="86"/>
          </reference>
        </references>
      </pivotArea>
    </chartFormat>
    <chartFormat chart="3" format="517">
      <pivotArea type="data" outline="0" fieldPosition="0">
        <references count="2">
          <reference field="4294967294" count="1" selected="0">
            <x v="1"/>
          </reference>
          <reference field="8" count="1" selected="0">
            <x v="51"/>
          </reference>
        </references>
      </pivotArea>
    </chartFormat>
    <chartFormat chart="3" format="518">
      <pivotArea type="data" outline="0" fieldPosition="0">
        <references count="2">
          <reference field="4294967294" count="1" selected="0">
            <x v="1"/>
          </reference>
          <reference field="8" count="1" selected="0">
            <x v="15"/>
          </reference>
        </references>
      </pivotArea>
    </chartFormat>
    <chartFormat chart="3" format="519">
      <pivotArea type="data" outline="0" fieldPosition="0">
        <references count="2">
          <reference field="4294967294" count="1" selected="0">
            <x v="1"/>
          </reference>
          <reference field="8" count="1" selected="0">
            <x v="40"/>
          </reference>
        </references>
      </pivotArea>
    </chartFormat>
    <chartFormat chart="3" format="520">
      <pivotArea type="data" outline="0" fieldPosition="0">
        <references count="2">
          <reference field="4294967294" count="1" selected="0">
            <x v="1"/>
          </reference>
          <reference field="8" count="1" selected="0">
            <x v="49"/>
          </reference>
        </references>
      </pivotArea>
    </chartFormat>
    <chartFormat chart="3" format="521">
      <pivotArea type="data" outline="0" fieldPosition="0">
        <references count="2">
          <reference field="4294967294" count="1" selected="0">
            <x v="1"/>
          </reference>
          <reference field="8" count="1" selected="0">
            <x v="17"/>
          </reference>
        </references>
      </pivotArea>
    </chartFormat>
    <chartFormat chart="3" format="522">
      <pivotArea type="data" outline="0" fieldPosition="0">
        <references count="2">
          <reference field="4294967294" count="1" selected="0">
            <x v="1"/>
          </reference>
          <reference field="8" count="1" selected="0">
            <x v="78"/>
          </reference>
        </references>
      </pivotArea>
    </chartFormat>
    <chartFormat chart="3" format="523">
      <pivotArea type="data" outline="0" fieldPosition="0">
        <references count="2">
          <reference field="4294967294" count="1" selected="0">
            <x v="1"/>
          </reference>
          <reference field="8" count="1" selected="0">
            <x v="81"/>
          </reference>
        </references>
      </pivotArea>
    </chartFormat>
    <chartFormat chart="3" format="524">
      <pivotArea type="data" outline="0" fieldPosition="0">
        <references count="2">
          <reference field="4294967294" count="1" selected="0">
            <x v="1"/>
          </reference>
          <reference field="8" count="1" selected="0">
            <x v="154"/>
          </reference>
        </references>
      </pivotArea>
    </chartFormat>
    <chartFormat chart="3" format="525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3" format="526">
      <pivotArea type="data" outline="0" fieldPosition="0">
        <references count="2">
          <reference field="4294967294" count="1" selected="0">
            <x v="1"/>
          </reference>
          <reference field="8" count="1" selected="0">
            <x v="144"/>
          </reference>
        </references>
      </pivotArea>
    </chartFormat>
    <chartFormat chart="3" format="527">
      <pivotArea type="data" outline="0" fieldPosition="0">
        <references count="2">
          <reference field="4294967294" count="1" selected="0">
            <x v="1"/>
          </reference>
          <reference field="8" count="1" selected="0">
            <x v="138"/>
          </reference>
        </references>
      </pivotArea>
    </chartFormat>
    <chartFormat chart="3" format="528">
      <pivotArea type="data" outline="0" fieldPosition="0">
        <references count="2">
          <reference field="4294967294" count="1" selected="0">
            <x v="1"/>
          </reference>
          <reference field="8" count="1" selected="0">
            <x v="47"/>
          </reference>
        </references>
      </pivotArea>
    </chartFormat>
    <chartFormat chart="3" format="529">
      <pivotArea type="data" outline="0" fieldPosition="0">
        <references count="2">
          <reference field="4294967294" count="1" selected="0">
            <x v="1"/>
          </reference>
          <reference field="8" count="1" selected="0">
            <x v="63"/>
          </reference>
        </references>
      </pivotArea>
    </chartFormat>
    <chartFormat chart="3" format="530">
      <pivotArea type="data" outline="0" fieldPosition="0">
        <references count="2">
          <reference field="4294967294" count="1" selected="0">
            <x v="1"/>
          </reference>
          <reference field="8" count="1" selected="0">
            <x v="112"/>
          </reference>
        </references>
      </pivotArea>
    </chartFormat>
    <chartFormat chart="3" format="531">
      <pivotArea type="data" outline="0" fieldPosition="0">
        <references count="2">
          <reference field="4294967294" count="1" selected="0">
            <x v="1"/>
          </reference>
          <reference field="8" count="1" selected="0">
            <x v="31"/>
          </reference>
        </references>
      </pivotArea>
    </chartFormat>
    <chartFormat chart="3" format="532">
      <pivotArea type="data" outline="0" fieldPosition="0">
        <references count="2">
          <reference field="4294967294" count="1" selected="0">
            <x v="1"/>
          </reference>
          <reference field="8" count="1" selected="0">
            <x v="73"/>
          </reference>
        </references>
      </pivotArea>
    </chartFormat>
    <chartFormat chart="3" format="533">
      <pivotArea type="data" outline="0" fieldPosition="0">
        <references count="2">
          <reference field="4294967294" count="1" selected="0">
            <x v="1"/>
          </reference>
          <reference field="8" count="1" selected="0">
            <x v="83"/>
          </reference>
        </references>
      </pivotArea>
    </chartFormat>
    <chartFormat chart="3" format="534">
      <pivotArea type="data" outline="0" fieldPosition="0">
        <references count="2">
          <reference field="4294967294" count="1" selected="0">
            <x v="1"/>
          </reference>
          <reference field="8" count="1" selected="0">
            <x v="79"/>
          </reference>
        </references>
      </pivotArea>
    </chartFormat>
    <chartFormat chart="3" format="53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"/>
          </reference>
        </references>
      </pivotArea>
    </chartFormat>
    <chartFormat chart="3" format="536">
      <pivotArea type="data" outline="0" fieldPosition="0">
        <references count="2">
          <reference field="4294967294" count="1" selected="0">
            <x v="1"/>
          </reference>
          <reference field="8" count="1" selected="0">
            <x v="82"/>
          </reference>
        </references>
      </pivotArea>
    </chartFormat>
    <chartFormat chart="3" format="537">
      <pivotArea type="data" outline="0" fieldPosition="0">
        <references count="2">
          <reference field="4294967294" count="1" selected="0">
            <x v="1"/>
          </reference>
          <reference field="8" count="1" selected="0">
            <x v="62"/>
          </reference>
        </references>
      </pivotArea>
    </chartFormat>
    <chartFormat chart="3" format="538">
      <pivotArea type="data" outline="0" fieldPosition="0">
        <references count="2">
          <reference field="4294967294" count="1" selected="0">
            <x v="1"/>
          </reference>
          <reference field="8" count="1" selected="0">
            <x v="88"/>
          </reference>
        </references>
      </pivotArea>
    </chartFormat>
    <chartFormat chart="3" format="539">
      <pivotArea type="data" outline="0" fieldPosition="0">
        <references count="2">
          <reference field="4294967294" count="1" selected="0">
            <x v="1"/>
          </reference>
          <reference field="8" count="1" selected="0">
            <x v="90"/>
          </reference>
        </references>
      </pivotArea>
    </chartFormat>
    <chartFormat chart="3" format="540">
      <pivotArea type="data" outline="0" fieldPosition="0">
        <references count="2">
          <reference field="4294967294" count="1" selected="0">
            <x v="1"/>
          </reference>
          <reference field="8" count="1" selected="0">
            <x v="22"/>
          </reference>
        </references>
      </pivotArea>
    </chartFormat>
    <chartFormat chart="3" format="541">
      <pivotArea type="data" outline="0" fieldPosition="0">
        <references count="2">
          <reference field="4294967294" count="1" selected="0">
            <x v="1"/>
          </reference>
          <reference field="8" count="1" selected="0">
            <x v="128"/>
          </reference>
        </references>
      </pivotArea>
    </chartFormat>
    <chartFormat chart="3" format="542">
      <pivotArea type="data" outline="0" fieldPosition="0">
        <references count="2">
          <reference field="4294967294" count="1" selected="0">
            <x v="1"/>
          </reference>
          <reference field="8" count="1" selected="0">
            <x v="66"/>
          </reference>
        </references>
      </pivotArea>
    </chartFormat>
    <chartFormat chart="3" format="543">
      <pivotArea type="data" outline="0" fieldPosition="0">
        <references count="2">
          <reference field="4294967294" count="1" selected="0">
            <x v="1"/>
          </reference>
          <reference field="8" count="1" selected="0">
            <x v="60"/>
          </reference>
        </references>
      </pivotArea>
    </chartFormat>
    <chartFormat chart="3" format="544">
      <pivotArea type="data" outline="0" fieldPosition="0">
        <references count="2">
          <reference field="4294967294" count="1" selected="0">
            <x v="1"/>
          </reference>
          <reference field="8" count="1" selected="0">
            <x v="50"/>
          </reference>
        </references>
      </pivotArea>
    </chartFormat>
    <chartFormat chart="3" format="545">
      <pivotArea type="data" outline="0" fieldPosition="0">
        <references count="2">
          <reference field="4294967294" count="1" selected="0">
            <x v="1"/>
          </reference>
          <reference field="8" count="1" selected="0">
            <x v="57"/>
          </reference>
        </references>
      </pivotArea>
    </chartFormat>
    <chartFormat chart="3" format="546">
      <pivotArea type="data" outline="0" fieldPosition="0">
        <references count="2">
          <reference field="4294967294" count="1" selected="0">
            <x v="1"/>
          </reference>
          <reference field="8" count="1" selected="0">
            <x v="93"/>
          </reference>
        </references>
      </pivotArea>
    </chartFormat>
    <chartFormat chart="3" format="547">
      <pivotArea type="data" outline="0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chartFormat>
    <chartFormat chart="3" format="548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3" format="549">
      <pivotArea type="data" outline="0" fieldPosition="0">
        <references count="2">
          <reference field="4294967294" count="1" selected="0">
            <x v="1"/>
          </reference>
          <reference field="8" count="1" selected="0">
            <x v="137"/>
          </reference>
        </references>
      </pivotArea>
    </chartFormat>
    <chartFormat chart="3" format="550">
      <pivotArea type="data" outline="0" fieldPosition="0">
        <references count="2">
          <reference field="4294967294" count="1" selected="0">
            <x v="1"/>
          </reference>
          <reference field="8" count="1" selected="0">
            <x v="5"/>
          </reference>
        </references>
      </pivotArea>
    </chartFormat>
    <chartFormat chart="3" format="551">
      <pivotArea type="data" outline="0" fieldPosition="0">
        <references count="2">
          <reference field="4294967294" count="1" selected="0">
            <x v="1"/>
          </reference>
          <reference field="8" count="1" selected="0">
            <x v="32"/>
          </reference>
        </references>
      </pivotArea>
    </chartFormat>
    <chartFormat chart="3" format="552">
      <pivotArea type="data" outline="0" fieldPosition="0">
        <references count="2">
          <reference field="4294967294" count="1" selected="0">
            <x v="1"/>
          </reference>
          <reference field="8" count="1" selected="0">
            <x v="114"/>
          </reference>
        </references>
      </pivotArea>
    </chartFormat>
    <chartFormat chart="3" format="553">
      <pivotArea type="data" outline="0" fieldPosition="0">
        <references count="2">
          <reference field="4294967294" count="1" selected="0">
            <x v="1"/>
          </reference>
          <reference field="8" count="1" selected="0">
            <x v="113"/>
          </reference>
        </references>
      </pivotArea>
    </chartFormat>
    <chartFormat chart="3" format="554">
      <pivotArea type="data" outline="0" fieldPosition="0">
        <references count="2">
          <reference field="4294967294" count="1" selected="0">
            <x v="1"/>
          </reference>
          <reference field="8" count="1" selected="0">
            <x v="12"/>
          </reference>
        </references>
      </pivotArea>
    </chartFormat>
    <chartFormat chart="3" format="555">
      <pivotArea type="data" outline="0" fieldPosition="0">
        <references count="2">
          <reference field="4294967294" count="1" selected="0">
            <x v="1"/>
          </reference>
          <reference field="8" count="1" selected="0">
            <x v="30"/>
          </reference>
        </references>
      </pivotArea>
    </chartFormat>
    <chartFormat chart="3" format="556">
      <pivotArea type="data" outline="0" fieldPosition="0">
        <references count="2">
          <reference field="4294967294" count="1" selected="0">
            <x v="1"/>
          </reference>
          <reference field="8" count="1" selected="0">
            <x v="103"/>
          </reference>
        </references>
      </pivotArea>
    </chartFormat>
    <chartFormat chart="3" format="557">
      <pivotArea type="data" outline="0" fieldPosition="0">
        <references count="2">
          <reference field="4294967294" count="1" selected="0">
            <x v="1"/>
          </reference>
          <reference field="8" count="1" selected="0">
            <x v="89"/>
          </reference>
        </references>
      </pivotArea>
    </chartFormat>
    <chartFormat chart="3" format="558">
      <pivotArea type="data" outline="0" fieldPosition="0">
        <references count="2">
          <reference field="4294967294" count="1" selected="0">
            <x v="1"/>
          </reference>
          <reference field="8" count="1" selected="0">
            <x v="91"/>
          </reference>
        </references>
      </pivotArea>
    </chartFormat>
    <chartFormat chart="3" format="559">
      <pivotArea type="data" outline="0" fieldPosition="0">
        <references count="2">
          <reference field="4294967294" count="1" selected="0">
            <x v="1"/>
          </reference>
          <reference field="8" count="1" selected="0">
            <x v="44"/>
          </reference>
        </references>
      </pivotArea>
    </chartFormat>
    <chartFormat chart="3" format="560">
      <pivotArea type="data" outline="0" fieldPosition="0">
        <references count="2">
          <reference field="4294967294" count="1" selected="0">
            <x v="1"/>
          </reference>
          <reference field="8" count="1" selected="0">
            <x v="157"/>
          </reference>
        </references>
      </pivotArea>
    </chartFormat>
    <chartFormat chart="3" format="561">
      <pivotArea type="data" outline="0" fieldPosition="0">
        <references count="2">
          <reference field="4294967294" count="1" selected="0">
            <x v="1"/>
          </reference>
          <reference field="8" count="1" selected="0">
            <x v="100"/>
          </reference>
        </references>
      </pivotArea>
    </chartFormat>
    <chartFormat chart="3" format="562">
      <pivotArea type="data" outline="0" fieldPosition="0">
        <references count="2">
          <reference field="4294967294" count="1" selected="0">
            <x v="1"/>
          </reference>
          <reference field="8" count="1" selected="0">
            <x v="38"/>
          </reference>
        </references>
      </pivotArea>
    </chartFormat>
    <chartFormat chart="3" format="563">
      <pivotArea type="data" outline="0" fieldPosition="0">
        <references count="2">
          <reference field="4294967294" count="1" selected="0">
            <x v="1"/>
          </reference>
          <reference field="8" count="1" selected="0">
            <x v="77"/>
          </reference>
        </references>
      </pivotArea>
    </chartFormat>
    <chartFormat chart="3" format="564">
      <pivotArea type="data" outline="0" fieldPosition="0">
        <references count="2">
          <reference field="4294967294" count="1" selected="0">
            <x v="1"/>
          </reference>
          <reference field="8" count="1" selected="0">
            <x v="59"/>
          </reference>
        </references>
      </pivotArea>
    </chartFormat>
    <chartFormat chart="3" format="565">
      <pivotArea type="data" outline="0" fieldPosition="0">
        <references count="2">
          <reference field="4294967294" count="1" selected="0">
            <x v="1"/>
          </reference>
          <reference field="8" count="1" selected="0">
            <x v="58"/>
          </reference>
        </references>
      </pivotArea>
    </chartFormat>
    <chartFormat chart="3" format="566">
      <pivotArea type="data" outline="0" fieldPosition="0">
        <references count="2">
          <reference field="4294967294" count="1" selected="0">
            <x v="1"/>
          </reference>
          <reference field="8" count="1" selected="0">
            <x v="141"/>
          </reference>
        </references>
      </pivotArea>
    </chartFormat>
    <chartFormat chart="3" format="567">
      <pivotArea type="data" outline="0" fieldPosition="0">
        <references count="2">
          <reference field="4294967294" count="1" selected="0">
            <x v="1"/>
          </reference>
          <reference field="8" count="1" selected="0">
            <x v="136"/>
          </reference>
        </references>
      </pivotArea>
    </chartFormat>
    <chartFormat chart="3" format="568">
      <pivotArea type="data" outline="0" fieldPosition="0">
        <references count="2">
          <reference field="4294967294" count="1" selected="0">
            <x v="1"/>
          </reference>
          <reference field="8" count="1" selected="0">
            <x v="99"/>
          </reference>
        </references>
      </pivotArea>
    </chartFormat>
    <chartFormat chart="3" format="569">
      <pivotArea type="data" outline="0" fieldPosition="0">
        <references count="2">
          <reference field="4294967294" count="1" selected="0">
            <x v="1"/>
          </reference>
          <reference field="8" count="1" selected="0">
            <x v="76"/>
          </reference>
        </references>
      </pivotArea>
    </chartFormat>
    <chartFormat chart="3" format="570">
      <pivotArea type="data" outline="0" fieldPosition="0">
        <references count="2">
          <reference field="4294967294" count="1" selected="0">
            <x v="1"/>
          </reference>
          <reference field="8" count="1" selected="0">
            <x v="65"/>
          </reference>
        </references>
      </pivotArea>
    </chartFormat>
    <chartFormat chart="3" format="571">
      <pivotArea type="data" outline="0" fieldPosition="0">
        <references count="2">
          <reference field="4294967294" count="1" selected="0">
            <x v="1"/>
          </reference>
          <reference field="8" count="1" selected="0">
            <x v="134"/>
          </reference>
        </references>
      </pivotArea>
    </chartFormat>
    <chartFormat chart="3" format="572">
      <pivotArea type="data" outline="0" fieldPosition="0">
        <references count="2">
          <reference field="4294967294" count="1" selected="0">
            <x v="1"/>
          </reference>
          <reference field="8" count="1" selected="0">
            <x v="118"/>
          </reference>
        </references>
      </pivotArea>
    </chartFormat>
    <chartFormat chart="3" format="573">
      <pivotArea type="data" outline="0" fieldPosition="0">
        <references count="2">
          <reference field="4294967294" count="1" selected="0">
            <x v="1"/>
          </reference>
          <reference field="8" count="1" selected="0">
            <x v="155"/>
          </reference>
        </references>
      </pivotArea>
    </chartFormat>
    <chartFormat chart="3" format="574">
      <pivotArea type="data" outline="0" fieldPosition="0">
        <references count="2">
          <reference field="4294967294" count="1" selected="0">
            <x v="1"/>
          </reference>
          <reference field="8" count="1" selected="0">
            <x v="146"/>
          </reference>
        </references>
      </pivotArea>
    </chartFormat>
    <chartFormat chart="3" format="575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3" format="576">
      <pivotArea type="data" outline="0" fieldPosition="0">
        <references count="2">
          <reference field="4294967294" count="1" selected="0">
            <x v="1"/>
          </reference>
          <reference field="8" count="1" selected="0">
            <x v="43"/>
          </reference>
        </references>
      </pivotArea>
    </chartFormat>
    <chartFormat chart="3" format="577">
      <pivotArea type="data" outline="0" fieldPosition="0">
        <references count="2">
          <reference field="4294967294" count="1" selected="0">
            <x v="1"/>
          </reference>
          <reference field="8" count="1" selected="0">
            <x v="55"/>
          </reference>
        </references>
      </pivotArea>
    </chartFormat>
    <chartFormat chart="3" format="578">
      <pivotArea type="data" outline="0" fieldPosition="0">
        <references count="2">
          <reference field="4294967294" count="1" selected="0">
            <x v="1"/>
          </reference>
          <reference field="8" count="1" selected="0">
            <x v="109"/>
          </reference>
        </references>
      </pivotArea>
    </chartFormat>
    <chartFormat chart="3" format="579">
      <pivotArea type="data" outline="0" fieldPosition="0">
        <references count="2">
          <reference field="4294967294" count="1" selected="0">
            <x v="1"/>
          </reference>
          <reference field="8" count="1" selected="0">
            <x v="48"/>
          </reference>
        </references>
      </pivotArea>
    </chartFormat>
    <chartFormat chart="3" format="580">
      <pivotArea type="data" outline="0" fieldPosition="0">
        <references count="2">
          <reference field="4294967294" count="1" selected="0">
            <x v="1"/>
          </reference>
          <reference field="8" count="1" selected="0">
            <x v="94"/>
          </reference>
        </references>
      </pivotArea>
    </chartFormat>
    <chartFormat chart="3" format="581">
      <pivotArea type="data" outline="0" fieldPosition="0">
        <references count="2">
          <reference field="4294967294" count="1" selected="0">
            <x v="1"/>
          </reference>
          <reference field="8" count="1" selected="0">
            <x v="23"/>
          </reference>
        </references>
      </pivotArea>
    </chartFormat>
    <chartFormat chart="3" format="582">
      <pivotArea type="data" outline="0" fieldPosition="0">
        <references count="2">
          <reference field="4294967294" count="1" selected="0">
            <x v="1"/>
          </reference>
          <reference field="8" count="1" selected="0">
            <x v="98"/>
          </reference>
        </references>
      </pivotArea>
    </chartFormat>
    <chartFormat chart="3" format="583">
      <pivotArea type="data" outline="0" fieldPosition="0">
        <references count="2">
          <reference field="4294967294" count="1" selected="0">
            <x v="1"/>
          </reference>
          <reference field="8" count="1" selected="0">
            <x v="33"/>
          </reference>
        </references>
      </pivotArea>
    </chartFormat>
    <chartFormat chart="3" format="584">
      <pivotArea type="data" outline="0" fieldPosition="0">
        <references count="2">
          <reference field="4294967294" count="1" selected="0">
            <x v="1"/>
          </reference>
          <reference field="8" count="1" selected="0">
            <x v="156"/>
          </reference>
        </references>
      </pivotArea>
    </chartFormat>
    <chartFormat chart="3" format="585">
      <pivotArea type="data" outline="0" fieldPosition="0">
        <references count="2">
          <reference field="4294967294" count="1" selected="0">
            <x v="1"/>
          </reference>
          <reference field="8" count="1" selected="0">
            <x v="84"/>
          </reference>
        </references>
      </pivotArea>
    </chartFormat>
    <chartFormat chart="3" format="586">
      <pivotArea type="data" outline="0" fieldPosition="0">
        <references count="2">
          <reference field="4294967294" count="1" selected="0">
            <x v="1"/>
          </reference>
          <reference field="8" count="1" selected="0">
            <x v="67"/>
          </reference>
        </references>
      </pivotArea>
    </chartFormat>
    <chartFormat chart="3" format="587">
      <pivotArea type="data" outline="0" fieldPosition="0">
        <references count="2">
          <reference field="4294967294" count="1" selected="0">
            <x v="1"/>
          </reference>
          <reference field="8" count="1" selected="0">
            <x v="80"/>
          </reference>
        </references>
      </pivotArea>
    </chartFormat>
    <chartFormat chart="3" format="588">
      <pivotArea type="data" outline="0" fieldPosition="0">
        <references count="2">
          <reference field="4294967294" count="1" selected="0">
            <x v="1"/>
          </reference>
          <reference field="8" count="1" selected="0">
            <x v="149"/>
          </reference>
        </references>
      </pivotArea>
    </chartFormat>
    <chartFormat chart="3" format="589">
      <pivotArea type="data" outline="0" fieldPosition="0">
        <references count="2">
          <reference field="4294967294" count="1" selected="0">
            <x v="1"/>
          </reference>
          <reference field="8" count="1" selected="0">
            <x v="124"/>
          </reference>
        </references>
      </pivotArea>
    </chartFormat>
    <chartFormat chart="3" format="590">
      <pivotArea type="data" outline="0" fieldPosition="0">
        <references count="2">
          <reference field="4294967294" count="1" selected="0">
            <x v="1"/>
          </reference>
          <reference field="8" count="1" selected="0">
            <x v="107"/>
          </reference>
        </references>
      </pivotArea>
    </chartFormat>
    <chartFormat chart="3" format="591">
      <pivotArea type="data" outline="0" fieldPosition="0">
        <references count="2">
          <reference field="4294967294" count="1" selected="0">
            <x v="1"/>
          </reference>
          <reference field="8" count="1" selected="0">
            <x v="106"/>
          </reference>
        </references>
      </pivotArea>
    </chartFormat>
    <chartFormat chart="3" format="592">
      <pivotArea type="data" outline="0" fieldPosition="0">
        <references count="2">
          <reference field="4294967294" count="1" selected="0">
            <x v="1"/>
          </reference>
          <reference field="8" count="1" selected="0">
            <x v="96"/>
          </reference>
        </references>
      </pivotArea>
    </chartFormat>
    <chartFormat chart="3" format="593">
      <pivotArea type="data" outline="0" fieldPosition="0">
        <references count="2">
          <reference field="4294967294" count="1" selected="0">
            <x v="1"/>
          </reference>
          <reference field="8" count="1" selected="0">
            <x v="125"/>
          </reference>
        </references>
      </pivotArea>
    </chartFormat>
    <chartFormat chart="3" format="594">
      <pivotArea type="data" outline="0" fieldPosition="0">
        <references count="2">
          <reference field="4294967294" count="1" selected="0">
            <x v="1"/>
          </reference>
          <reference field="8" count="1" selected="0">
            <x v="105"/>
          </reference>
        </references>
      </pivotArea>
    </chartFormat>
    <chartFormat chart="3" format="595">
      <pivotArea type="data" outline="0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chartFormat>
    <chartFormat chart="3" format="596">
      <pivotArea type="data" outline="0" fieldPosition="0">
        <references count="2">
          <reference field="4294967294" count="1" selected="0">
            <x v="1"/>
          </reference>
          <reference field="8" count="1" selected="0">
            <x v="70"/>
          </reference>
        </references>
      </pivotArea>
    </chartFormat>
    <chartFormat chart="3" format="597">
      <pivotArea type="data" outline="0" fieldPosition="0">
        <references count="2">
          <reference field="4294967294" count="1" selected="0">
            <x v="1"/>
          </reference>
          <reference field="8" count="1" selected="0">
            <x v="110"/>
          </reference>
        </references>
      </pivotArea>
    </chartFormat>
    <chartFormat chart="3" format="598">
      <pivotArea type="data" outline="0" fieldPosition="0">
        <references count="2">
          <reference field="4294967294" count="1" selected="0">
            <x v="1"/>
          </reference>
          <reference field="8" count="1" selected="0">
            <x v="85"/>
          </reference>
        </references>
      </pivotArea>
    </chartFormat>
    <chartFormat chart="3" format="599">
      <pivotArea type="data" outline="0" fieldPosition="0">
        <references count="2">
          <reference field="4294967294" count="1" selected="0">
            <x v="1"/>
          </reference>
          <reference field="8" count="1" selected="0">
            <x v="74"/>
          </reference>
        </references>
      </pivotArea>
    </chartFormat>
    <chartFormat chart="3" format="600">
      <pivotArea type="data" outline="0" fieldPosition="0">
        <references count="2">
          <reference field="4294967294" count="1" selected="0">
            <x v="1"/>
          </reference>
          <reference field="8" count="1" selected="0">
            <x v="123"/>
          </reference>
        </references>
      </pivotArea>
    </chartFormat>
    <chartFormat chart="3" format="601">
      <pivotArea type="data" outline="0" fieldPosition="0">
        <references count="2">
          <reference field="4294967294" count="1" selected="0">
            <x v="1"/>
          </reference>
          <reference field="8" count="1" selected="0">
            <x v="117"/>
          </reference>
        </references>
      </pivotArea>
    </chartFormat>
    <chartFormat chart="3" format="602">
      <pivotArea type="data" outline="0" fieldPosition="0">
        <references count="2">
          <reference field="4294967294" count="1" selected="0">
            <x v="1"/>
          </reference>
          <reference field="8" count="1" selected="0">
            <x v="41"/>
          </reference>
        </references>
      </pivotArea>
    </chartFormat>
    <chartFormat chart="3" format="603">
      <pivotArea type="data" outline="0" fieldPosition="0">
        <references count="2">
          <reference field="4294967294" count="1" selected="0">
            <x v="1"/>
          </reference>
          <reference field="8" count="1" selected="0">
            <x v="111"/>
          </reference>
        </references>
      </pivotArea>
    </chartFormat>
    <chartFormat chart="3" format="604">
      <pivotArea type="data" outline="0" fieldPosition="0">
        <references count="2">
          <reference field="4294967294" count="1" selected="0">
            <x v="1"/>
          </reference>
          <reference field="8" count="1" selected="0">
            <x v="116"/>
          </reference>
        </references>
      </pivotArea>
    </chartFormat>
    <chartFormat chart="3" format="60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1"/>
          </reference>
        </references>
      </pivotArea>
    </chartFormat>
    <chartFormat chart="3" format="606">
      <pivotArea type="data" outline="0" fieldPosition="0">
        <references count="2">
          <reference field="4294967294" count="1" selected="0">
            <x v="1"/>
          </reference>
          <reference field="8" count="1" selected="0">
            <x v="115"/>
          </reference>
        </references>
      </pivotArea>
    </chartFormat>
    <chartFormat chart="3" format="607">
      <pivotArea type="data" outline="0" fieldPosition="0">
        <references count="2">
          <reference field="4294967294" count="1" selected="0">
            <x v="1"/>
          </reference>
          <reference field="8" count="1" selected="0">
            <x v="42"/>
          </reference>
        </references>
      </pivotArea>
    </chartFormat>
    <chartFormat chart="3" format="608">
      <pivotArea type="data" outline="0" fieldPosition="0">
        <references count="2">
          <reference field="4294967294" count="1" selected="0">
            <x v="1"/>
          </reference>
          <reference field="8" count="1" selected="0">
            <x v="104"/>
          </reference>
        </references>
      </pivotArea>
    </chartFormat>
    <chartFormat chart="3" format="609">
      <pivotArea type="data" outline="0" fieldPosition="0">
        <references count="2">
          <reference field="4294967294" count="1" selected="0">
            <x v="1"/>
          </reference>
          <reference field="8" count="1" selected="0">
            <x v="147"/>
          </reference>
        </references>
      </pivotArea>
    </chartFormat>
    <chartFormat chart="3" format="610">
      <pivotArea type="data" outline="0" fieldPosition="0">
        <references count="2">
          <reference field="4294967294" count="1" selected="0">
            <x v="1"/>
          </reference>
          <reference field="8" count="1" selected="0">
            <x v="56"/>
          </reference>
        </references>
      </pivotArea>
    </chartFormat>
    <chartFormat chart="3" format="611">
      <pivotArea type="data" outline="0" fieldPosition="0">
        <references count="2">
          <reference field="4294967294" count="1" selected="0">
            <x v="1"/>
          </reference>
          <reference field="8" count="1" selected="0">
            <x v="126"/>
          </reference>
        </references>
      </pivotArea>
    </chartFormat>
    <chartFormat chart="3" format="612">
      <pivotArea type="data" outline="0" fieldPosition="0">
        <references count="2">
          <reference field="4294967294" count="1" selected="0">
            <x v="1"/>
          </reference>
          <reference field="8" count="1" selected="0">
            <x v="119"/>
          </reference>
        </references>
      </pivotArea>
    </chartFormat>
    <chartFormat chart="3" format="613">
      <pivotArea type="data" outline="0" fieldPosition="0">
        <references count="2">
          <reference field="4294967294" count="1" selected="0">
            <x v="1"/>
          </reference>
          <reference field="8" count="1" selected="0">
            <x v="92"/>
          </reference>
        </references>
      </pivotArea>
    </chartFormat>
    <chartFormat chart="3" format="614">
      <pivotArea type="data" outline="0" fieldPosition="0">
        <references count="2">
          <reference field="4294967294" count="1" selected="0">
            <x v="1"/>
          </reference>
          <reference field="8" count="1" selected="0">
            <x v="122"/>
          </reference>
        </references>
      </pivotArea>
    </chartFormat>
    <chartFormat chart="3" format="615">
      <pivotArea type="data" outline="0" fieldPosition="0">
        <references count="2">
          <reference field="4294967294" count="1" selected="0">
            <x v="1"/>
          </reference>
          <reference field="8" count="1" selected="0">
            <x v="39"/>
          </reference>
        </references>
      </pivotArea>
    </chartFormat>
    <chartFormat chart="3" format="616">
      <pivotArea type="data" outline="0" fieldPosition="0">
        <references count="2">
          <reference field="4294967294" count="1" selected="0">
            <x v="1"/>
          </reference>
          <reference field="8" count="1" selected="0">
            <x v="72"/>
          </reference>
        </references>
      </pivotArea>
    </chartFormat>
    <chartFormat chart="3" format="617">
      <pivotArea type="data" outline="0" fieldPosition="0">
        <references count="2">
          <reference field="4294967294" count="1" selected="0">
            <x v="1"/>
          </reference>
          <reference field="8" count="1" selected="0">
            <x v="129"/>
          </reference>
        </references>
      </pivotArea>
    </chartFormat>
    <chartFormat chart="3" format="618">
      <pivotArea type="data" outline="0" fieldPosition="0">
        <references count="2">
          <reference field="4294967294" count="1" selected="0">
            <x v="1"/>
          </reference>
          <reference field="8" count="1" selected="0">
            <x v="75"/>
          </reference>
        </references>
      </pivotArea>
    </chartFormat>
    <chartFormat chart="3" format="619">
      <pivotArea type="data" outline="0" fieldPosition="0">
        <references count="2">
          <reference field="4294967294" count="1" selected="0">
            <x v="1"/>
          </reference>
          <reference field="8" count="1" selected="0">
            <x v="127"/>
          </reference>
        </references>
      </pivotArea>
    </chartFormat>
    <chartFormat chart="3" format="620">
      <pivotArea type="data" outline="0" fieldPosition="0">
        <references count="2">
          <reference field="4294967294" count="1" selected="0">
            <x v="1"/>
          </reference>
          <reference field="8" count="1" selected="0">
            <x v="151"/>
          </reference>
        </references>
      </pivotArea>
    </chartFormat>
    <chartFormat chart="3" format="621">
      <pivotArea type="data" outline="0" fieldPosition="0">
        <references count="2">
          <reference field="4294967294" count="1" selected="0">
            <x v="1"/>
          </reference>
          <reference field="8" count="1" selected="0">
            <x v="132"/>
          </reference>
        </references>
      </pivotArea>
    </chartFormat>
    <chartFormat chart="3" format="622">
      <pivotArea type="data" outline="0" fieldPosition="0">
        <references count="2">
          <reference field="4294967294" count="1" selected="0">
            <x v="1"/>
          </reference>
          <reference field="8" count="1" selected="0">
            <x v="158"/>
          </reference>
        </references>
      </pivotArea>
    </chartFormat>
    <chartFormat chart="3" format="623">
      <pivotArea type="data" outline="0" fieldPosition="0">
        <references count="2">
          <reference field="4294967294" count="1" selected="0">
            <x v="1"/>
          </reference>
          <reference field="8" count="1" selected="0">
            <x v="35"/>
          </reference>
        </references>
      </pivotArea>
    </chartFormat>
    <chartFormat chart="3" format="624">
      <pivotArea type="data" outline="0" fieldPosition="0">
        <references count="2">
          <reference field="4294967294" count="1" selected="0">
            <x v="1"/>
          </reference>
          <reference field="8" count="1" selected="0">
            <x v="130"/>
          </reference>
        </references>
      </pivotArea>
    </chartFormat>
    <chartFormat chart="3" format="62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2"/>
          </reference>
        </references>
      </pivotArea>
    </chartFormat>
    <chartFormat chart="3" format="626">
      <pivotArea type="data" outline="0" fieldPosition="0">
        <references count="2">
          <reference field="4294967294" count="1" selected="0">
            <x v="1"/>
          </reference>
          <reference field="8" count="1" selected="0">
            <x v="26"/>
          </reference>
        </references>
      </pivotArea>
    </chartFormat>
    <chartFormat chart="3" format="627">
      <pivotArea type="data" outline="0" fieldPosition="0">
        <references count="2">
          <reference field="4294967294" count="1" selected="0">
            <x v="1"/>
          </reference>
          <reference field="8" count="1" selected="0">
            <x v="120"/>
          </reference>
        </references>
      </pivotArea>
    </chartFormat>
    <chartFormat chart="3" format="628">
      <pivotArea type="data" outline="0" fieldPosition="0">
        <references count="2">
          <reference field="4294967294" count="1" selected="0">
            <x v="1"/>
          </reference>
          <reference field="8" count="1" selected="0">
            <x v="87"/>
          </reference>
        </references>
      </pivotArea>
    </chartFormat>
    <chartFormat chart="3" format="629">
      <pivotArea type="data" outline="0" fieldPosition="0">
        <references count="2">
          <reference field="4294967294" count="1" selected="0">
            <x v="1"/>
          </reference>
          <reference field="8" count="1" selected="0">
            <x v="36"/>
          </reference>
        </references>
      </pivotArea>
    </chartFormat>
    <chartFormat chart="3" format="630">
      <pivotArea type="data" outline="0" fieldPosition="0">
        <references count="2">
          <reference field="4294967294" count="1" selected="0">
            <x v="1"/>
          </reference>
          <reference field="8" count="1" selected="0">
            <x v="95"/>
          </reference>
        </references>
      </pivotArea>
    </chartFormat>
    <chartFormat chart="3" format="631">
      <pivotArea type="data" outline="0" fieldPosition="0">
        <references count="2">
          <reference field="4294967294" count="1" selected="0">
            <x v="1"/>
          </reference>
          <reference field="8" count="1" selected="0">
            <x v="152"/>
          </reference>
        </references>
      </pivotArea>
    </chartFormat>
    <chartFormat chart="3" format="632">
      <pivotArea type="data" outline="0" fieldPosition="0">
        <references count="2">
          <reference field="4294967294" count="1" selected="0">
            <x v="1"/>
          </reference>
          <reference field="8" count="1" selected="0">
            <x v="97"/>
          </reference>
        </references>
      </pivotArea>
    </chartFormat>
    <chartFormat chart="3" format="633">
      <pivotArea type="data" outline="0" fieldPosition="0">
        <references count="2">
          <reference field="4294967294" count="1" selected="0">
            <x v="1"/>
          </reference>
          <reference field="8" count="1" selected="0">
            <x v="71"/>
          </reference>
        </references>
      </pivotArea>
    </chartFormat>
    <chartFormat chart="3" format="634">
      <pivotArea type="data" outline="0" fieldPosition="0">
        <references count="2">
          <reference field="4294967294" count="1" selected="0">
            <x v="1"/>
          </reference>
          <reference field="8" count="1" selected="0">
            <x v="121"/>
          </reference>
        </references>
      </pivotArea>
    </chartFormat>
    <chartFormat chart="3" format="63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8"/>
          </reference>
        </references>
      </pivotArea>
    </chartFormat>
    <chartFormat chart="3" format="636">
      <pivotArea type="data" outline="0" fieldPosition="0">
        <references count="2">
          <reference field="4294967294" count="1" selected="0">
            <x v="1"/>
          </reference>
          <reference field="8" count="1" selected="0">
            <x v="133"/>
          </reference>
        </references>
      </pivotArea>
    </chartFormat>
    <chartFormat chart="3" format="637">
      <pivotArea type="data" outline="0" fieldPosition="0">
        <references count="2">
          <reference field="4294967294" count="1" selected="0">
            <x v="1"/>
          </reference>
          <reference field="8" count="1" selected="0">
            <x v="135"/>
          </reference>
        </references>
      </pivotArea>
    </chartFormat>
    <chartFormat chart="3" format="638">
      <pivotArea type="data" outline="0" fieldPosition="0">
        <references count="2">
          <reference field="4294967294" count="1" selected="0">
            <x v="1"/>
          </reference>
          <reference field="8" count="1" selected="0">
            <x v="131"/>
          </reference>
        </references>
      </pivotArea>
    </chartFormat>
    <chartFormat chart="3" format="639">
      <pivotArea type="data" outline="0" fieldPosition="0">
        <references count="2">
          <reference field="4294967294" count="1" selected="0">
            <x v="1"/>
          </reference>
          <reference field="8" count="1" selected="0">
            <x v="69"/>
          </reference>
        </references>
      </pivotArea>
    </chartFormat>
    <chartFormat chart="4" format="6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4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8"/>
          </reference>
        </references>
      </pivotArea>
    </chartFormat>
    <chartFormat chart="4" format="642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4" format="643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4" format="644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4" format="645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4" format="646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4" format="647">
      <pivotArea type="data" outline="0" fieldPosition="0">
        <references count="2">
          <reference field="4294967294" count="1" selected="0">
            <x v="0"/>
          </reference>
          <reference field="8" count="1" selected="0">
            <x v="64"/>
          </reference>
        </references>
      </pivotArea>
    </chartFormat>
    <chartFormat chart="4" format="64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0"/>
          </reference>
        </references>
      </pivotArea>
    </chartFormat>
    <chartFormat chart="4" format="649">
      <pivotArea type="data" outline="0" fieldPosition="0">
        <references count="2">
          <reference field="4294967294" count="1" selected="0">
            <x v="0"/>
          </reference>
          <reference field="8" count="1" selected="0">
            <x v="28"/>
          </reference>
        </references>
      </pivotArea>
    </chartFormat>
    <chartFormat chart="4" format="650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4" format="65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4" format="652">
      <pivotArea type="data" outline="0" fieldPosition="0">
        <references count="2">
          <reference field="4294967294" count="1" selected="0">
            <x v="0"/>
          </reference>
          <reference field="8" count="1" selected="0">
            <x v="139"/>
          </reference>
        </references>
      </pivotArea>
    </chartFormat>
    <chartFormat chart="4" format="653">
      <pivotArea type="data" outline="0" fieldPosition="0">
        <references count="2">
          <reference field="4294967294" count="1" selected="0">
            <x v="0"/>
          </reference>
          <reference field="8" count="1" selected="0">
            <x v="52"/>
          </reference>
        </references>
      </pivotArea>
    </chartFormat>
    <chartFormat chart="4" format="654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4" format="655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4" format="656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4" format="657">
      <pivotArea type="data" outline="0" fieldPosition="0">
        <references count="2">
          <reference field="4294967294" count="1" selected="0">
            <x v="0"/>
          </reference>
          <reference field="8" count="1" selected="0">
            <x v="27"/>
          </reference>
        </references>
      </pivotArea>
    </chartFormat>
    <chartFormat chart="4" format="65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3"/>
          </reference>
        </references>
      </pivotArea>
    </chartFormat>
    <chartFormat chart="4" format="659">
      <pivotArea type="data" outline="0" fieldPosition="0">
        <references count="2">
          <reference field="4294967294" count="1" selected="0">
            <x v="0"/>
          </reference>
          <reference field="8" count="1" selected="0">
            <x v="45"/>
          </reference>
        </references>
      </pivotArea>
    </chartFormat>
    <chartFormat chart="4" format="660">
      <pivotArea type="data" outline="0" fieldPosition="0">
        <references count="2">
          <reference field="4294967294" count="1" selected="0">
            <x v="0"/>
          </reference>
          <reference field="8" count="1" selected="0">
            <x v="61"/>
          </reference>
        </references>
      </pivotArea>
    </chartFormat>
    <chartFormat chart="4" format="66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4" format="662">
      <pivotArea type="data" outline="0" fieldPosition="0">
        <references count="2">
          <reference field="4294967294" count="1" selected="0">
            <x v="0"/>
          </reference>
          <reference field="8" count="1" selected="0">
            <x v="153"/>
          </reference>
        </references>
      </pivotArea>
    </chartFormat>
    <chartFormat chart="4" format="663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4" format="66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0"/>
          </reference>
        </references>
      </pivotArea>
    </chartFormat>
    <chartFormat chart="4" format="66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4" format="666">
      <pivotArea type="data" outline="0" fieldPosition="0">
        <references count="2">
          <reference field="4294967294" count="1" selected="0">
            <x v="0"/>
          </reference>
          <reference field="8" count="1" selected="0">
            <x v="46"/>
          </reference>
        </references>
      </pivotArea>
    </chartFormat>
    <chartFormat chart="4" format="667">
      <pivotArea type="data" outline="0" fieldPosition="0">
        <references count="2">
          <reference field="4294967294" count="1" selected="0">
            <x v="0"/>
          </reference>
          <reference field="8" count="1" selected="0">
            <x v="68"/>
          </reference>
        </references>
      </pivotArea>
    </chartFormat>
    <chartFormat chart="4" format="668">
      <pivotArea type="data" outline="0" fieldPosition="0">
        <references count="2">
          <reference field="4294967294" count="1" selected="0">
            <x v="0"/>
          </reference>
          <reference field="8" count="1" selected="0">
            <x v="53"/>
          </reference>
        </references>
      </pivotArea>
    </chartFormat>
    <chartFormat chart="4" format="669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4" format="670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4" format="671">
      <pivotArea type="data" outline="0" fieldPosition="0">
        <references count="2">
          <reference field="4294967294" count="1" selected="0">
            <x v="0"/>
          </reference>
          <reference field="8" count="1" selected="0">
            <x v="34"/>
          </reference>
        </references>
      </pivotArea>
    </chartFormat>
    <chartFormat chart="4" format="672">
      <pivotArea type="data" outline="0" fieldPosition="0">
        <references count="2">
          <reference field="4294967294" count="1" selected="0">
            <x v="0"/>
          </reference>
          <reference field="8" count="1" selected="0">
            <x v="37"/>
          </reference>
        </references>
      </pivotArea>
    </chartFormat>
    <chartFormat chart="4" format="673">
      <pivotArea type="data" outline="0" fieldPosition="0">
        <references count="2">
          <reference field="4294967294" count="1" selected="0">
            <x v="0"/>
          </reference>
          <reference field="8" count="1" selected="0">
            <x v="54"/>
          </reference>
        </references>
      </pivotArea>
    </chartFormat>
    <chartFormat chart="4" format="674">
      <pivotArea type="data" outline="0" fieldPosition="0">
        <references count="2">
          <reference field="4294967294" count="1" selected="0">
            <x v="0"/>
          </reference>
          <reference field="8" count="1" selected="0">
            <x v="145"/>
          </reference>
        </references>
      </pivotArea>
    </chartFormat>
    <chartFormat chart="4" format="67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2"/>
          </reference>
        </references>
      </pivotArea>
    </chartFormat>
    <chartFormat chart="4" format="676">
      <pivotArea type="data" outline="0" fieldPosition="0">
        <references count="2">
          <reference field="4294967294" count="1" selected="0">
            <x v="0"/>
          </reference>
          <reference field="8" count="1" selected="0">
            <x v="86"/>
          </reference>
        </references>
      </pivotArea>
    </chartFormat>
    <chartFormat chart="4" format="677">
      <pivotArea type="data" outline="0" fieldPosition="0">
        <references count="2">
          <reference field="4294967294" count="1" selected="0">
            <x v="0"/>
          </reference>
          <reference field="8" count="1" selected="0">
            <x v="51"/>
          </reference>
        </references>
      </pivotArea>
    </chartFormat>
    <chartFormat chart="4" format="678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4" format="679">
      <pivotArea type="data" outline="0" fieldPosition="0">
        <references count="2">
          <reference field="4294967294" count="1" selected="0">
            <x v="0"/>
          </reference>
          <reference field="8" count="1" selected="0">
            <x v="40"/>
          </reference>
        </references>
      </pivotArea>
    </chartFormat>
    <chartFormat chart="4" format="680">
      <pivotArea type="data" outline="0" fieldPosition="0">
        <references count="2">
          <reference field="4294967294" count="1" selected="0">
            <x v="0"/>
          </reference>
          <reference field="8" count="1" selected="0">
            <x v="49"/>
          </reference>
        </references>
      </pivotArea>
    </chartFormat>
    <chartFormat chart="4" format="68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4" format="682">
      <pivotArea type="data" outline="0" fieldPosition="0">
        <references count="2">
          <reference field="4294967294" count="1" selected="0">
            <x v="0"/>
          </reference>
          <reference field="8" count="1" selected="0">
            <x v="78"/>
          </reference>
        </references>
      </pivotArea>
    </chartFormat>
    <chartFormat chart="4" format="683">
      <pivotArea type="data" outline="0" fieldPosition="0">
        <references count="2">
          <reference field="4294967294" count="1" selected="0">
            <x v="0"/>
          </reference>
          <reference field="8" count="1" selected="0">
            <x v="81"/>
          </reference>
        </references>
      </pivotArea>
    </chartFormat>
    <chartFormat chart="4" format="68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4"/>
          </reference>
        </references>
      </pivotArea>
    </chartFormat>
    <chartFormat chart="4" format="68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686">
      <pivotArea type="data" outline="0" fieldPosition="0">
        <references count="2">
          <reference field="4294967294" count="1" selected="0">
            <x v="0"/>
          </reference>
          <reference field="8" count="1" selected="0">
            <x v="144"/>
          </reference>
        </references>
      </pivotArea>
    </chartFormat>
    <chartFormat chart="4" format="68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8"/>
          </reference>
        </references>
      </pivotArea>
    </chartFormat>
    <chartFormat chart="4" format="688">
      <pivotArea type="data" outline="0" fieldPosition="0">
        <references count="2">
          <reference field="4294967294" count="1" selected="0">
            <x v="0"/>
          </reference>
          <reference field="8" count="1" selected="0">
            <x v="47"/>
          </reference>
        </references>
      </pivotArea>
    </chartFormat>
    <chartFormat chart="4" format="689">
      <pivotArea type="data" outline="0" fieldPosition="0">
        <references count="2">
          <reference field="4294967294" count="1" selected="0">
            <x v="0"/>
          </reference>
          <reference field="8" count="1" selected="0">
            <x v="63"/>
          </reference>
        </references>
      </pivotArea>
    </chartFormat>
    <chartFormat chart="4" format="690">
      <pivotArea type="data" outline="0" fieldPosition="0">
        <references count="2">
          <reference field="4294967294" count="1" selected="0">
            <x v="0"/>
          </reference>
          <reference field="8" count="1" selected="0">
            <x v="112"/>
          </reference>
        </references>
      </pivotArea>
    </chartFormat>
    <chartFormat chart="4" format="691">
      <pivotArea type="data" outline="0" fieldPosition="0">
        <references count="2">
          <reference field="4294967294" count="1" selected="0">
            <x v="0"/>
          </reference>
          <reference field="8" count="1" selected="0">
            <x v="31"/>
          </reference>
        </references>
      </pivotArea>
    </chartFormat>
    <chartFormat chart="4" format="692">
      <pivotArea type="data" outline="0" fieldPosition="0">
        <references count="2">
          <reference field="4294967294" count="1" selected="0">
            <x v="0"/>
          </reference>
          <reference field="8" count="1" selected="0">
            <x v="73"/>
          </reference>
        </references>
      </pivotArea>
    </chartFormat>
    <chartFormat chart="4" format="693">
      <pivotArea type="data" outline="0" fieldPosition="0">
        <references count="2">
          <reference field="4294967294" count="1" selected="0">
            <x v="0"/>
          </reference>
          <reference field="8" count="1" selected="0">
            <x v="83"/>
          </reference>
        </references>
      </pivotArea>
    </chartFormat>
    <chartFormat chart="4" format="694">
      <pivotArea type="data" outline="0" fieldPosition="0">
        <references count="2">
          <reference field="4294967294" count="1" selected="0">
            <x v="0"/>
          </reference>
          <reference field="8" count="1" selected="0">
            <x v="79"/>
          </reference>
        </references>
      </pivotArea>
    </chartFormat>
    <chartFormat chart="4" format="69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4" format="696">
      <pivotArea type="data" outline="0" fieldPosition="0">
        <references count="2">
          <reference field="4294967294" count="1" selected="0">
            <x v="0"/>
          </reference>
          <reference field="8" count="1" selected="0">
            <x v="82"/>
          </reference>
        </references>
      </pivotArea>
    </chartFormat>
    <chartFormat chart="4" format="697">
      <pivotArea type="data" outline="0" fieldPosition="0">
        <references count="2">
          <reference field="4294967294" count="1" selected="0">
            <x v="0"/>
          </reference>
          <reference field="8" count="1" selected="0">
            <x v="62"/>
          </reference>
        </references>
      </pivotArea>
    </chartFormat>
    <chartFormat chart="4" format="698">
      <pivotArea type="data" outline="0" fieldPosition="0">
        <references count="2">
          <reference field="4294967294" count="1" selected="0">
            <x v="0"/>
          </reference>
          <reference field="8" count="1" selected="0">
            <x v="88"/>
          </reference>
        </references>
      </pivotArea>
    </chartFormat>
    <chartFormat chart="4" format="699">
      <pivotArea type="data" outline="0" fieldPosition="0">
        <references count="2">
          <reference field="4294967294" count="1" selected="0">
            <x v="0"/>
          </reference>
          <reference field="8" count="1" selected="0">
            <x v="90"/>
          </reference>
        </references>
      </pivotArea>
    </chartFormat>
    <chartFormat chart="4" format="700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4" format="70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8"/>
          </reference>
        </references>
      </pivotArea>
    </chartFormat>
    <chartFormat chart="4" format="702">
      <pivotArea type="data" outline="0" fieldPosition="0">
        <references count="2">
          <reference field="4294967294" count="1" selected="0">
            <x v="0"/>
          </reference>
          <reference field="8" count="1" selected="0">
            <x v="66"/>
          </reference>
        </references>
      </pivotArea>
    </chartFormat>
    <chartFormat chart="4" format="703">
      <pivotArea type="data" outline="0" fieldPosition="0">
        <references count="2">
          <reference field="4294967294" count="1" selected="0">
            <x v="0"/>
          </reference>
          <reference field="8" count="1" selected="0">
            <x v="60"/>
          </reference>
        </references>
      </pivotArea>
    </chartFormat>
    <chartFormat chart="4" format="704">
      <pivotArea type="data" outline="0" fieldPosition="0">
        <references count="2">
          <reference field="4294967294" count="1" selected="0">
            <x v="0"/>
          </reference>
          <reference field="8" count="1" selected="0">
            <x v="50"/>
          </reference>
        </references>
      </pivotArea>
    </chartFormat>
    <chartFormat chart="4" format="705">
      <pivotArea type="data" outline="0" fieldPosition="0">
        <references count="2">
          <reference field="4294967294" count="1" selected="0">
            <x v="0"/>
          </reference>
          <reference field="8" count="1" selected="0">
            <x v="57"/>
          </reference>
        </references>
      </pivotArea>
    </chartFormat>
    <chartFormat chart="4" format="706">
      <pivotArea type="data" outline="0" fieldPosition="0">
        <references count="2">
          <reference field="4294967294" count="1" selected="0">
            <x v="0"/>
          </reference>
          <reference field="8" count="1" selected="0">
            <x v="93"/>
          </reference>
        </references>
      </pivotArea>
    </chartFormat>
    <chartFormat chart="4" format="707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" format="70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709">
      <pivotArea type="data" outline="0" fieldPosition="0">
        <references count="2">
          <reference field="4294967294" count="1" selected="0">
            <x v="0"/>
          </reference>
          <reference field="8" count="1" selected="0">
            <x v="137"/>
          </reference>
        </references>
      </pivotArea>
    </chartFormat>
    <chartFormat chart="4" format="710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4" format="7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2"/>
          </reference>
        </references>
      </pivotArea>
    </chartFormat>
    <chartFormat chart="4" format="7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4"/>
          </reference>
        </references>
      </pivotArea>
    </chartFormat>
    <chartFormat chart="4" format="71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3"/>
          </reference>
        </references>
      </pivotArea>
    </chartFormat>
    <chartFormat chart="4" format="7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4" format="715">
      <pivotArea type="data" outline="0" fieldPosition="0">
        <references count="2">
          <reference field="4294967294" count="1" selected="0">
            <x v="0"/>
          </reference>
          <reference field="8" count="1" selected="0">
            <x v="30"/>
          </reference>
        </references>
      </pivotArea>
    </chartFormat>
    <chartFormat chart="4" format="716">
      <pivotArea type="data" outline="0" fieldPosition="0">
        <references count="2">
          <reference field="4294967294" count="1" selected="0">
            <x v="0"/>
          </reference>
          <reference field="8" count="1" selected="0">
            <x v="103"/>
          </reference>
        </references>
      </pivotArea>
    </chartFormat>
    <chartFormat chart="4" format="717">
      <pivotArea type="data" outline="0" fieldPosition="0">
        <references count="2">
          <reference field="4294967294" count="1" selected="0">
            <x v="0"/>
          </reference>
          <reference field="8" count="1" selected="0">
            <x v="89"/>
          </reference>
        </references>
      </pivotArea>
    </chartFormat>
    <chartFormat chart="4" format="718">
      <pivotArea type="data" outline="0" fieldPosition="0">
        <references count="2">
          <reference field="4294967294" count="1" selected="0">
            <x v="0"/>
          </reference>
          <reference field="8" count="1" selected="0">
            <x v="91"/>
          </reference>
        </references>
      </pivotArea>
    </chartFormat>
    <chartFormat chart="4" format="719">
      <pivotArea type="data" outline="0" fieldPosition="0">
        <references count="2">
          <reference field="4294967294" count="1" selected="0">
            <x v="0"/>
          </reference>
          <reference field="8" count="1" selected="0">
            <x v="44"/>
          </reference>
        </references>
      </pivotArea>
    </chartFormat>
    <chartFormat chart="4" format="720">
      <pivotArea type="data" outline="0" fieldPosition="0">
        <references count="2">
          <reference field="4294967294" count="1" selected="0">
            <x v="0"/>
          </reference>
          <reference field="8" count="1" selected="0">
            <x v="157"/>
          </reference>
        </references>
      </pivotArea>
    </chartFormat>
    <chartFormat chart="4" format="72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0"/>
          </reference>
        </references>
      </pivotArea>
    </chartFormat>
    <chartFormat chart="4" format="722">
      <pivotArea type="data" outline="0" fieldPosition="0">
        <references count="2">
          <reference field="4294967294" count="1" selected="0">
            <x v="0"/>
          </reference>
          <reference field="8" count="1" selected="0">
            <x v="38"/>
          </reference>
        </references>
      </pivotArea>
    </chartFormat>
    <chartFormat chart="4" format="723">
      <pivotArea type="data" outline="0" fieldPosition="0">
        <references count="2">
          <reference field="4294967294" count="1" selected="0">
            <x v="0"/>
          </reference>
          <reference field="8" count="1" selected="0">
            <x v="77"/>
          </reference>
        </references>
      </pivotArea>
    </chartFormat>
    <chartFormat chart="4" format="724">
      <pivotArea type="data" outline="0" fieldPosition="0">
        <references count="2">
          <reference field="4294967294" count="1" selected="0">
            <x v="0"/>
          </reference>
          <reference field="8" count="1" selected="0">
            <x v="59"/>
          </reference>
        </references>
      </pivotArea>
    </chartFormat>
    <chartFormat chart="4" format="725">
      <pivotArea type="data" outline="0" fieldPosition="0">
        <references count="2">
          <reference field="4294967294" count="1" selected="0">
            <x v="0"/>
          </reference>
          <reference field="8" count="1" selected="0">
            <x v="58"/>
          </reference>
        </references>
      </pivotArea>
    </chartFormat>
    <chartFormat chart="4" format="726">
      <pivotArea type="data" outline="0" fieldPosition="0">
        <references count="2">
          <reference field="4294967294" count="1" selected="0">
            <x v="0"/>
          </reference>
          <reference field="8" count="1" selected="0">
            <x v="141"/>
          </reference>
        </references>
      </pivotArea>
    </chartFormat>
    <chartFormat chart="4" format="72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6"/>
          </reference>
        </references>
      </pivotArea>
    </chartFormat>
    <chartFormat chart="4" format="728">
      <pivotArea type="data" outline="0" fieldPosition="0">
        <references count="2">
          <reference field="4294967294" count="1" selected="0">
            <x v="0"/>
          </reference>
          <reference field="8" count="1" selected="0">
            <x v="99"/>
          </reference>
        </references>
      </pivotArea>
    </chartFormat>
    <chartFormat chart="4" format="729">
      <pivotArea type="data" outline="0" fieldPosition="0">
        <references count="2">
          <reference field="4294967294" count="1" selected="0">
            <x v="0"/>
          </reference>
          <reference field="8" count="1" selected="0">
            <x v="76"/>
          </reference>
        </references>
      </pivotArea>
    </chartFormat>
    <chartFormat chart="4" format="730">
      <pivotArea type="data" outline="0" fieldPosition="0">
        <references count="2">
          <reference field="4294967294" count="1" selected="0">
            <x v="0"/>
          </reference>
          <reference field="8" count="1" selected="0">
            <x v="65"/>
          </reference>
        </references>
      </pivotArea>
    </chartFormat>
    <chartFormat chart="4" format="73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4"/>
          </reference>
        </references>
      </pivotArea>
    </chartFormat>
    <chartFormat chart="4" format="73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8"/>
          </reference>
        </references>
      </pivotArea>
    </chartFormat>
    <chartFormat chart="4" format="733">
      <pivotArea type="data" outline="0" fieldPosition="0">
        <references count="2">
          <reference field="4294967294" count="1" selected="0">
            <x v="0"/>
          </reference>
          <reference field="8" count="1" selected="0">
            <x v="155"/>
          </reference>
        </references>
      </pivotArea>
    </chartFormat>
    <chartFormat chart="4" format="734">
      <pivotArea type="data" outline="0" fieldPosition="0">
        <references count="2">
          <reference field="4294967294" count="1" selected="0">
            <x v="0"/>
          </reference>
          <reference field="8" count="1" selected="0">
            <x v="146"/>
          </reference>
        </references>
      </pivotArea>
    </chartFormat>
    <chartFormat chart="4" format="73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736">
      <pivotArea type="data" outline="0" fieldPosition="0">
        <references count="2">
          <reference field="4294967294" count="1" selected="0">
            <x v="0"/>
          </reference>
          <reference field="8" count="1" selected="0">
            <x v="43"/>
          </reference>
        </references>
      </pivotArea>
    </chartFormat>
    <chartFormat chart="4" format="737">
      <pivotArea type="data" outline="0" fieldPosition="0">
        <references count="2">
          <reference field="4294967294" count="1" selected="0">
            <x v="0"/>
          </reference>
          <reference field="8" count="1" selected="0">
            <x v="55"/>
          </reference>
        </references>
      </pivotArea>
    </chartFormat>
    <chartFormat chart="4" format="738">
      <pivotArea type="data" outline="0" fieldPosition="0">
        <references count="2">
          <reference field="4294967294" count="1" selected="0">
            <x v="0"/>
          </reference>
          <reference field="8" count="1" selected="0">
            <x v="109"/>
          </reference>
        </references>
      </pivotArea>
    </chartFormat>
    <chartFormat chart="4" format="739">
      <pivotArea type="data" outline="0" fieldPosition="0">
        <references count="2">
          <reference field="4294967294" count="1" selected="0">
            <x v="0"/>
          </reference>
          <reference field="8" count="1" selected="0">
            <x v="48"/>
          </reference>
        </references>
      </pivotArea>
    </chartFormat>
    <chartFormat chart="4" format="740">
      <pivotArea type="data" outline="0" fieldPosition="0">
        <references count="2">
          <reference field="4294967294" count="1" selected="0">
            <x v="0"/>
          </reference>
          <reference field="8" count="1" selected="0">
            <x v="94"/>
          </reference>
        </references>
      </pivotArea>
    </chartFormat>
    <chartFormat chart="4" format="74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4" format="742">
      <pivotArea type="data" outline="0" fieldPosition="0">
        <references count="2">
          <reference field="4294967294" count="1" selected="0">
            <x v="0"/>
          </reference>
          <reference field="8" count="1" selected="0">
            <x v="98"/>
          </reference>
        </references>
      </pivotArea>
    </chartFormat>
    <chartFormat chart="4" format="743">
      <pivotArea type="data" outline="0" fieldPosition="0">
        <references count="2">
          <reference field="4294967294" count="1" selected="0">
            <x v="0"/>
          </reference>
          <reference field="8" count="1" selected="0">
            <x v="33"/>
          </reference>
        </references>
      </pivotArea>
    </chartFormat>
    <chartFormat chart="4" format="74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6"/>
          </reference>
        </references>
      </pivotArea>
    </chartFormat>
    <chartFormat chart="4" format="745">
      <pivotArea type="data" outline="0" fieldPosition="0">
        <references count="2">
          <reference field="4294967294" count="1" selected="0">
            <x v="0"/>
          </reference>
          <reference field="8" count="1" selected="0">
            <x v="84"/>
          </reference>
        </references>
      </pivotArea>
    </chartFormat>
    <chartFormat chart="4" format="746">
      <pivotArea type="data" outline="0" fieldPosition="0">
        <references count="2">
          <reference field="4294967294" count="1" selected="0">
            <x v="0"/>
          </reference>
          <reference field="8" count="1" selected="0">
            <x v="67"/>
          </reference>
        </references>
      </pivotArea>
    </chartFormat>
    <chartFormat chart="4" format="747">
      <pivotArea type="data" outline="0" fieldPosition="0">
        <references count="2">
          <reference field="4294967294" count="1" selected="0">
            <x v="0"/>
          </reference>
          <reference field="8" count="1" selected="0">
            <x v="80"/>
          </reference>
        </references>
      </pivotArea>
    </chartFormat>
    <chartFormat chart="4" format="74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9"/>
          </reference>
        </references>
      </pivotArea>
    </chartFormat>
    <chartFormat chart="4" format="749">
      <pivotArea type="data" outline="0" fieldPosition="0">
        <references count="2">
          <reference field="4294967294" count="1" selected="0">
            <x v="0"/>
          </reference>
          <reference field="8" count="1" selected="0">
            <x v="124"/>
          </reference>
        </references>
      </pivotArea>
    </chartFormat>
    <chartFormat chart="4" format="750">
      <pivotArea type="data" outline="0" fieldPosition="0">
        <references count="2">
          <reference field="4294967294" count="1" selected="0">
            <x v="0"/>
          </reference>
          <reference field="8" count="1" selected="0">
            <x v="107"/>
          </reference>
        </references>
      </pivotArea>
    </chartFormat>
    <chartFormat chart="4" format="75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6"/>
          </reference>
        </references>
      </pivotArea>
    </chartFormat>
    <chartFormat chart="4" format="752">
      <pivotArea type="data" outline="0" fieldPosition="0">
        <references count="2">
          <reference field="4294967294" count="1" selected="0">
            <x v="0"/>
          </reference>
          <reference field="8" count="1" selected="0">
            <x v="96"/>
          </reference>
        </references>
      </pivotArea>
    </chartFormat>
    <chartFormat chart="4" format="753">
      <pivotArea type="data" outline="0" fieldPosition="0">
        <references count="2">
          <reference field="4294967294" count="1" selected="0">
            <x v="0"/>
          </reference>
          <reference field="8" count="1" selected="0">
            <x v="125"/>
          </reference>
        </references>
      </pivotArea>
    </chartFormat>
    <chartFormat chart="4" format="754">
      <pivotArea type="data" outline="0" fieldPosition="0">
        <references count="2">
          <reference field="4294967294" count="1" selected="0">
            <x v="0"/>
          </reference>
          <reference field="8" count="1" selected="0">
            <x v="105"/>
          </reference>
        </references>
      </pivotArea>
    </chartFormat>
    <chartFormat chart="4" format="75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756">
      <pivotArea type="data" outline="0" fieldPosition="0">
        <references count="2">
          <reference field="4294967294" count="1" selected="0">
            <x v="0"/>
          </reference>
          <reference field="8" count="1" selected="0">
            <x v="70"/>
          </reference>
        </references>
      </pivotArea>
    </chartFormat>
    <chartFormat chart="4" format="757">
      <pivotArea type="data" outline="0" fieldPosition="0">
        <references count="2">
          <reference field="4294967294" count="1" selected="0">
            <x v="0"/>
          </reference>
          <reference field="8" count="1" selected="0">
            <x v="110"/>
          </reference>
        </references>
      </pivotArea>
    </chartFormat>
    <chartFormat chart="4" format="758">
      <pivotArea type="data" outline="0" fieldPosition="0">
        <references count="2">
          <reference field="4294967294" count="1" selected="0">
            <x v="0"/>
          </reference>
          <reference field="8" count="1" selected="0">
            <x v="85"/>
          </reference>
        </references>
      </pivotArea>
    </chartFormat>
    <chartFormat chart="4" format="759">
      <pivotArea type="data" outline="0" fieldPosition="0">
        <references count="2">
          <reference field="4294967294" count="1" selected="0">
            <x v="0"/>
          </reference>
          <reference field="8" count="1" selected="0">
            <x v="74"/>
          </reference>
        </references>
      </pivotArea>
    </chartFormat>
    <chartFormat chart="4" format="760">
      <pivotArea type="data" outline="0" fieldPosition="0">
        <references count="2">
          <reference field="4294967294" count="1" selected="0">
            <x v="0"/>
          </reference>
          <reference field="8" count="1" selected="0">
            <x v="123"/>
          </reference>
        </references>
      </pivotArea>
    </chartFormat>
    <chartFormat chart="4" format="76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7"/>
          </reference>
        </references>
      </pivotArea>
    </chartFormat>
    <chartFormat chart="4" format="762">
      <pivotArea type="data" outline="0" fieldPosition="0">
        <references count="2">
          <reference field="4294967294" count="1" selected="0">
            <x v="0"/>
          </reference>
          <reference field="8" count="1" selected="0">
            <x v="41"/>
          </reference>
        </references>
      </pivotArea>
    </chartFormat>
    <chartFormat chart="4" format="76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1"/>
          </reference>
        </references>
      </pivotArea>
    </chartFormat>
    <chartFormat chart="4" format="764">
      <pivotArea type="data" outline="0" fieldPosition="0">
        <references count="2">
          <reference field="4294967294" count="1" selected="0">
            <x v="0"/>
          </reference>
          <reference field="8" count="1" selected="0">
            <x v="116"/>
          </reference>
        </references>
      </pivotArea>
    </chartFormat>
    <chartFormat chart="4" format="76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1"/>
          </reference>
        </references>
      </pivotArea>
    </chartFormat>
    <chartFormat chart="4" format="766">
      <pivotArea type="data" outline="0" fieldPosition="0">
        <references count="2">
          <reference field="4294967294" count="1" selected="0">
            <x v="0"/>
          </reference>
          <reference field="8" count="1" selected="0">
            <x v="115"/>
          </reference>
        </references>
      </pivotArea>
    </chartFormat>
    <chartFormat chart="4" format="767">
      <pivotArea type="data" outline="0" fieldPosition="0">
        <references count="2">
          <reference field="4294967294" count="1" selected="0">
            <x v="0"/>
          </reference>
          <reference field="8" count="1" selected="0">
            <x v="42"/>
          </reference>
        </references>
      </pivotArea>
    </chartFormat>
    <chartFormat chart="4" format="768">
      <pivotArea type="data" outline="0" fieldPosition="0">
        <references count="2">
          <reference field="4294967294" count="1" selected="0">
            <x v="0"/>
          </reference>
          <reference field="8" count="1" selected="0">
            <x v="104"/>
          </reference>
        </references>
      </pivotArea>
    </chartFormat>
    <chartFormat chart="4" format="769">
      <pivotArea type="data" outline="0" fieldPosition="0">
        <references count="2">
          <reference field="4294967294" count="1" selected="0">
            <x v="0"/>
          </reference>
          <reference field="8" count="1" selected="0">
            <x v="147"/>
          </reference>
        </references>
      </pivotArea>
    </chartFormat>
    <chartFormat chart="4" format="770">
      <pivotArea type="data" outline="0" fieldPosition="0">
        <references count="2">
          <reference field="4294967294" count="1" selected="0">
            <x v="0"/>
          </reference>
          <reference field="8" count="1" selected="0">
            <x v="56"/>
          </reference>
        </references>
      </pivotArea>
    </chartFormat>
    <chartFormat chart="4" format="77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6"/>
          </reference>
        </references>
      </pivotArea>
    </chartFormat>
    <chartFormat chart="4" format="77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9"/>
          </reference>
        </references>
      </pivotArea>
    </chartFormat>
    <chartFormat chart="4" format="773">
      <pivotArea type="data" outline="0" fieldPosition="0">
        <references count="2">
          <reference field="4294967294" count="1" selected="0">
            <x v="0"/>
          </reference>
          <reference field="8" count="1" selected="0">
            <x v="92"/>
          </reference>
        </references>
      </pivotArea>
    </chartFormat>
    <chartFormat chart="4" format="77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2"/>
          </reference>
        </references>
      </pivotArea>
    </chartFormat>
    <chartFormat chart="4" format="775">
      <pivotArea type="data" outline="0" fieldPosition="0">
        <references count="2">
          <reference field="4294967294" count="1" selected="0">
            <x v="0"/>
          </reference>
          <reference field="8" count="1" selected="0">
            <x v="39"/>
          </reference>
        </references>
      </pivotArea>
    </chartFormat>
    <chartFormat chart="4" format="776">
      <pivotArea type="data" outline="0" fieldPosition="0">
        <references count="2">
          <reference field="4294967294" count="1" selected="0">
            <x v="0"/>
          </reference>
          <reference field="8" count="1" selected="0">
            <x v="72"/>
          </reference>
        </references>
      </pivotArea>
    </chartFormat>
    <chartFormat chart="4" format="777">
      <pivotArea type="data" outline="0" fieldPosition="0">
        <references count="2">
          <reference field="4294967294" count="1" selected="0">
            <x v="0"/>
          </reference>
          <reference field="8" count="1" selected="0">
            <x v="129"/>
          </reference>
        </references>
      </pivotArea>
    </chartFormat>
    <chartFormat chart="4" format="778">
      <pivotArea type="data" outline="0" fieldPosition="0">
        <references count="2">
          <reference field="4294967294" count="1" selected="0">
            <x v="0"/>
          </reference>
          <reference field="8" count="1" selected="0">
            <x v="75"/>
          </reference>
        </references>
      </pivotArea>
    </chartFormat>
    <chartFormat chart="4" format="779">
      <pivotArea type="data" outline="0" fieldPosition="0">
        <references count="2">
          <reference field="4294967294" count="1" selected="0">
            <x v="0"/>
          </reference>
          <reference field="8" count="1" selected="0">
            <x v="127"/>
          </reference>
        </references>
      </pivotArea>
    </chartFormat>
    <chartFormat chart="4" format="780">
      <pivotArea type="data" outline="0" fieldPosition="0">
        <references count="2">
          <reference field="4294967294" count="1" selected="0">
            <x v="0"/>
          </reference>
          <reference field="8" count="1" selected="0">
            <x v="151"/>
          </reference>
        </references>
      </pivotArea>
    </chartFormat>
    <chartFormat chart="4" format="78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2"/>
          </reference>
        </references>
      </pivotArea>
    </chartFormat>
    <chartFormat chart="4" format="782">
      <pivotArea type="data" outline="0" fieldPosition="0">
        <references count="2">
          <reference field="4294967294" count="1" selected="0">
            <x v="0"/>
          </reference>
          <reference field="8" count="1" selected="0">
            <x v="158"/>
          </reference>
        </references>
      </pivotArea>
    </chartFormat>
    <chartFormat chart="4" format="783">
      <pivotArea type="data" outline="0" fieldPosition="0">
        <references count="2">
          <reference field="4294967294" count="1" selected="0">
            <x v="0"/>
          </reference>
          <reference field="8" count="1" selected="0">
            <x v="35"/>
          </reference>
        </references>
      </pivotArea>
    </chartFormat>
    <chartFormat chart="4" format="784">
      <pivotArea type="data" outline="0" fieldPosition="0">
        <references count="2">
          <reference field="4294967294" count="1" selected="0">
            <x v="0"/>
          </reference>
          <reference field="8" count="1" selected="0">
            <x v="130"/>
          </reference>
        </references>
      </pivotArea>
    </chartFormat>
    <chartFormat chart="4" format="78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2"/>
          </reference>
        </references>
      </pivotArea>
    </chartFormat>
    <chartFormat chart="4" format="786">
      <pivotArea type="data" outline="0" fieldPosition="0">
        <references count="2">
          <reference field="4294967294" count="1" selected="0">
            <x v="0"/>
          </reference>
          <reference field="8" count="1" selected="0">
            <x v="26"/>
          </reference>
        </references>
      </pivotArea>
    </chartFormat>
    <chartFormat chart="4" format="787">
      <pivotArea type="data" outline="0" fieldPosition="0">
        <references count="2">
          <reference field="4294967294" count="1" selected="0">
            <x v="0"/>
          </reference>
          <reference field="8" count="1" selected="0">
            <x v="120"/>
          </reference>
        </references>
      </pivotArea>
    </chartFormat>
    <chartFormat chart="4" format="788">
      <pivotArea type="data" outline="0" fieldPosition="0">
        <references count="2">
          <reference field="4294967294" count="1" selected="0">
            <x v="0"/>
          </reference>
          <reference field="8" count="1" selected="0">
            <x v="87"/>
          </reference>
        </references>
      </pivotArea>
    </chartFormat>
    <chartFormat chart="4" format="789">
      <pivotArea type="data" outline="0" fieldPosition="0">
        <references count="2">
          <reference field="4294967294" count="1" selected="0">
            <x v="0"/>
          </reference>
          <reference field="8" count="1" selected="0">
            <x v="36"/>
          </reference>
        </references>
      </pivotArea>
    </chartFormat>
    <chartFormat chart="4" format="790">
      <pivotArea type="data" outline="0" fieldPosition="0">
        <references count="2">
          <reference field="4294967294" count="1" selected="0">
            <x v="0"/>
          </reference>
          <reference field="8" count="1" selected="0">
            <x v="95"/>
          </reference>
        </references>
      </pivotArea>
    </chartFormat>
    <chartFormat chart="4" format="79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2"/>
          </reference>
        </references>
      </pivotArea>
    </chartFormat>
    <chartFormat chart="4" format="792">
      <pivotArea type="data" outline="0" fieldPosition="0">
        <references count="2">
          <reference field="4294967294" count="1" selected="0">
            <x v="0"/>
          </reference>
          <reference field="8" count="1" selected="0">
            <x v="97"/>
          </reference>
        </references>
      </pivotArea>
    </chartFormat>
    <chartFormat chart="4" format="793">
      <pivotArea type="data" outline="0" fieldPosition="0">
        <references count="2">
          <reference field="4294967294" count="1" selected="0">
            <x v="0"/>
          </reference>
          <reference field="8" count="1" selected="0">
            <x v="71"/>
          </reference>
        </references>
      </pivotArea>
    </chartFormat>
    <chartFormat chart="4" format="79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1"/>
          </reference>
        </references>
      </pivotArea>
    </chartFormat>
    <chartFormat chart="4" format="79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8"/>
          </reference>
        </references>
      </pivotArea>
    </chartFormat>
    <chartFormat chart="4" format="796">
      <pivotArea type="data" outline="0" fieldPosition="0">
        <references count="2">
          <reference field="4294967294" count="1" selected="0">
            <x v="0"/>
          </reference>
          <reference field="8" count="1" selected="0">
            <x v="133"/>
          </reference>
        </references>
      </pivotArea>
    </chartFormat>
    <chartFormat chart="4" format="79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5"/>
          </reference>
        </references>
      </pivotArea>
    </chartFormat>
    <chartFormat chart="4" format="798">
      <pivotArea type="data" outline="0" fieldPosition="0">
        <references count="2">
          <reference field="4294967294" count="1" selected="0">
            <x v="0"/>
          </reference>
          <reference field="8" count="1" selected="0">
            <x v="131"/>
          </reference>
        </references>
      </pivotArea>
    </chartFormat>
    <chartFormat chart="4" format="799">
      <pivotArea type="data" outline="0" fieldPosition="0">
        <references count="2">
          <reference field="4294967294" count="1" selected="0">
            <x v="0"/>
          </reference>
          <reference field="8" count="1" selected="0">
            <x v="69"/>
          </reference>
        </references>
      </pivotArea>
    </chartFormat>
    <chartFormat chart="4" format="80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01">
      <pivotArea type="data" outline="0" fieldPosition="0">
        <references count="2">
          <reference field="4294967294" count="1" selected="0">
            <x v="1"/>
          </reference>
          <reference field="8" count="1" selected="0">
            <x v="148"/>
          </reference>
        </references>
      </pivotArea>
    </chartFormat>
    <chartFormat chart="4" format="802">
      <pivotArea type="data" outline="0" fieldPosition="0">
        <references count="2">
          <reference field="4294967294" count="1" selected="0">
            <x v="1"/>
          </reference>
          <reference field="8" count="1" selected="0">
            <x v="24"/>
          </reference>
        </references>
      </pivotArea>
    </chartFormat>
    <chartFormat chart="4" format="803">
      <pivotArea type="data" outline="0" fieldPosition="0">
        <references count="2">
          <reference field="4294967294" count="1" selected="0">
            <x v="1"/>
          </reference>
          <reference field="8" count="1" selected="0">
            <x v="29"/>
          </reference>
        </references>
      </pivotArea>
    </chartFormat>
    <chartFormat chart="4" format="804">
      <pivotArea type="data" outline="0" fieldPosition="0">
        <references count="2">
          <reference field="4294967294" count="1" selected="0">
            <x v="1"/>
          </reference>
          <reference field="8" count="1" selected="0">
            <x v="16"/>
          </reference>
        </references>
      </pivotArea>
    </chartFormat>
    <chartFormat chart="4" format="805">
      <pivotArea type="data" outline="0" fieldPosition="0">
        <references count="2">
          <reference field="4294967294" count="1" selected="0">
            <x v="1"/>
          </reference>
          <reference field="8" count="1" selected="0">
            <x v="7"/>
          </reference>
        </references>
      </pivotArea>
    </chartFormat>
    <chartFormat chart="4" format="806">
      <pivotArea type="data" outline="0" fieldPosition="0">
        <references count="2">
          <reference field="4294967294" count="1" selected="0">
            <x v="1"/>
          </reference>
          <reference field="8" count="1" selected="0">
            <x v="18"/>
          </reference>
        </references>
      </pivotArea>
    </chartFormat>
    <chartFormat chart="4" format="807">
      <pivotArea type="data" outline="0" fieldPosition="0">
        <references count="2">
          <reference field="4294967294" count="1" selected="0">
            <x v="1"/>
          </reference>
          <reference field="8" count="1" selected="0">
            <x v="64"/>
          </reference>
        </references>
      </pivotArea>
    </chartFormat>
    <chartFormat chart="4" format="808">
      <pivotArea type="data" outline="0" fieldPosition="0">
        <references count="2">
          <reference field="4294967294" count="1" selected="0">
            <x v="1"/>
          </reference>
          <reference field="8" count="1" selected="0">
            <x v="140"/>
          </reference>
        </references>
      </pivotArea>
    </chartFormat>
    <chartFormat chart="4" format="809">
      <pivotArea type="data" outline="0" fieldPosition="0">
        <references count="2">
          <reference field="4294967294" count="1" selected="0">
            <x v="1"/>
          </reference>
          <reference field="8" count="1" selected="0">
            <x v="28"/>
          </reference>
        </references>
      </pivotArea>
    </chartFormat>
    <chartFormat chart="4" format="810">
      <pivotArea type="data" outline="0" fieldPosition="0">
        <references count="2">
          <reference field="4294967294" count="1" selected="0">
            <x v="1"/>
          </reference>
          <reference field="8" count="1" selected="0">
            <x v="9"/>
          </reference>
        </references>
      </pivotArea>
    </chartFormat>
    <chartFormat chart="4" format="811">
      <pivotArea type="data" outline="0" fieldPosition="0">
        <references count="2">
          <reference field="4294967294" count="1" selected="0">
            <x v="1"/>
          </reference>
          <reference field="8" count="1" selected="0">
            <x v="13"/>
          </reference>
        </references>
      </pivotArea>
    </chartFormat>
    <chartFormat chart="4" format="812">
      <pivotArea type="data" outline="0" fieldPosition="0">
        <references count="2">
          <reference field="4294967294" count="1" selected="0">
            <x v="1"/>
          </reference>
          <reference field="8" count="1" selected="0">
            <x v="139"/>
          </reference>
        </references>
      </pivotArea>
    </chartFormat>
    <chartFormat chart="4" format="813">
      <pivotArea type="data" outline="0" fieldPosition="0">
        <references count="2">
          <reference field="4294967294" count="1" selected="0">
            <x v="1"/>
          </reference>
          <reference field="8" count="1" selected="0">
            <x v="52"/>
          </reference>
        </references>
      </pivotArea>
    </chartFormat>
    <chartFormat chart="4" format="814">
      <pivotArea type="data" outline="0" fieldPosition="0">
        <references count="2">
          <reference field="4294967294" count="1" selected="0">
            <x v="1"/>
          </reference>
          <reference field="8" count="1" selected="0">
            <x v="21"/>
          </reference>
        </references>
      </pivotArea>
    </chartFormat>
    <chartFormat chart="4" format="815">
      <pivotArea type="data" outline="0" fieldPosition="0">
        <references count="2">
          <reference field="4294967294" count="1" selected="0">
            <x v="1"/>
          </reference>
          <reference field="8" count="1" selected="0">
            <x v="11"/>
          </reference>
        </references>
      </pivotArea>
    </chartFormat>
    <chartFormat chart="4" format="816">
      <pivotArea type="data" outline="0" fieldPosition="0">
        <references count="2">
          <reference field="4294967294" count="1" selected="0">
            <x v="1"/>
          </reference>
          <reference field="8" count="1" selected="0">
            <x v="25"/>
          </reference>
        </references>
      </pivotArea>
    </chartFormat>
    <chartFormat chart="4" format="817">
      <pivotArea type="data" outline="0" fieldPosition="0">
        <references count="2">
          <reference field="4294967294" count="1" selected="0">
            <x v="1"/>
          </reference>
          <reference field="8" count="1" selected="0">
            <x v="27"/>
          </reference>
        </references>
      </pivotArea>
    </chartFormat>
    <chartFormat chart="4" format="818">
      <pivotArea type="data" outline="0" fieldPosition="0">
        <references count="2">
          <reference field="4294967294" count="1" selected="0">
            <x v="1"/>
          </reference>
          <reference field="8" count="1" selected="0">
            <x v="143"/>
          </reference>
        </references>
      </pivotArea>
    </chartFormat>
    <chartFormat chart="4" format="819">
      <pivotArea type="data" outline="0" fieldPosition="0">
        <references count="2">
          <reference field="4294967294" count="1" selected="0">
            <x v="1"/>
          </reference>
          <reference field="8" count="1" selected="0">
            <x v="45"/>
          </reference>
        </references>
      </pivotArea>
    </chartFormat>
    <chartFormat chart="4" format="820">
      <pivotArea type="data" outline="0" fieldPosition="0">
        <references count="2">
          <reference field="4294967294" count="1" selected="0">
            <x v="1"/>
          </reference>
          <reference field="8" count="1" selected="0">
            <x v="61"/>
          </reference>
        </references>
      </pivotArea>
    </chartFormat>
    <chartFormat chart="4" format="821">
      <pivotArea type="data" outline="0" fieldPosition="0">
        <references count="2">
          <reference field="4294967294" count="1" selected="0">
            <x v="1"/>
          </reference>
          <reference field="8" count="1" selected="0">
            <x v="19"/>
          </reference>
        </references>
      </pivotArea>
    </chartFormat>
    <chartFormat chart="4" format="822">
      <pivotArea type="data" outline="0" fieldPosition="0">
        <references count="2">
          <reference field="4294967294" count="1" selected="0">
            <x v="1"/>
          </reference>
          <reference field="8" count="1" selected="0">
            <x v="153"/>
          </reference>
        </references>
      </pivotArea>
    </chartFormat>
    <chartFormat chart="4" format="823">
      <pivotArea type="data" outline="0" fieldPosition="0">
        <references count="2">
          <reference field="4294967294" count="1" selected="0">
            <x v="1"/>
          </reference>
          <reference field="8" count="1" selected="0">
            <x v="8"/>
          </reference>
        </references>
      </pivotArea>
    </chartFormat>
    <chartFormat chart="4" format="824">
      <pivotArea type="data" outline="0" fieldPosition="0">
        <references count="2">
          <reference field="4294967294" count="1" selected="0">
            <x v="1"/>
          </reference>
          <reference field="8" count="1" selected="0">
            <x v="150"/>
          </reference>
        </references>
      </pivotArea>
    </chartFormat>
    <chartFormat chart="4" format="825">
      <pivotArea type="data" outline="0" fieldPosition="0">
        <references count="2">
          <reference field="4294967294" count="1" selected="0">
            <x v="1"/>
          </reference>
          <reference field="8" count="1" selected="0">
            <x v="14"/>
          </reference>
        </references>
      </pivotArea>
    </chartFormat>
    <chartFormat chart="4" format="826">
      <pivotArea type="data" outline="0" fieldPosition="0">
        <references count="2">
          <reference field="4294967294" count="1" selected="0">
            <x v="1"/>
          </reference>
          <reference field="8" count="1" selected="0">
            <x v="46"/>
          </reference>
        </references>
      </pivotArea>
    </chartFormat>
    <chartFormat chart="4" format="827">
      <pivotArea type="data" outline="0" fieldPosition="0">
        <references count="2">
          <reference field="4294967294" count="1" selected="0">
            <x v="1"/>
          </reference>
          <reference field="8" count="1" selected="0">
            <x v="68"/>
          </reference>
        </references>
      </pivotArea>
    </chartFormat>
    <chartFormat chart="4" format="828">
      <pivotArea type="data" outline="0" fieldPosition="0">
        <references count="2">
          <reference field="4294967294" count="1" selected="0">
            <x v="1"/>
          </reference>
          <reference field="8" count="1" selected="0">
            <x v="53"/>
          </reference>
        </references>
      </pivotArea>
    </chartFormat>
    <chartFormat chart="4" format="829">
      <pivotArea type="data" outline="0" fieldPosition="0">
        <references count="2">
          <reference field="4294967294" count="1" selected="0">
            <x v="1"/>
          </reference>
          <reference field="8" count="1" selected="0">
            <x v="6"/>
          </reference>
        </references>
      </pivotArea>
    </chartFormat>
    <chartFormat chart="4" format="830">
      <pivotArea type="data" outline="0" fieldPosition="0">
        <references count="2">
          <reference field="4294967294" count="1" selected="0">
            <x v="1"/>
          </reference>
          <reference field="8" count="1" selected="0">
            <x v="20"/>
          </reference>
        </references>
      </pivotArea>
    </chartFormat>
    <chartFormat chart="4" format="831">
      <pivotArea type="data" outline="0" fieldPosition="0">
        <references count="2">
          <reference field="4294967294" count="1" selected="0">
            <x v="1"/>
          </reference>
          <reference field="8" count="1" selected="0">
            <x v="34"/>
          </reference>
        </references>
      </pivotArea>
    </chartFormat>
    <chartFormat chart="4" format="832">
      <pivotArea type="data" outline="0" fieldPosition="0">
        <references count="2">
          <reference field="4294967294" count="1" selected="0">
            <x v="1"/>
          </reference>
          <reference field="8" count="1" selected="0">
            <x v="37"/>
          </reference>
        </references>
      </pivotArea>
    </chartFormat>
    <chartFormat chart="4" format="833">
      <pivotArea type="data" outline="0" fieldPosition="0">
        <references count="2">
          <reference field="4294967294" count="1" selected="0">
            <x v="1"/>
          </reference>
          <reference field="8" count="1" selected="0">
            <x v="54"/>
          </reference>
        </references>
      </pivotArea>
    </chartFormat>
    <chartFormat chart="4" format="834">
      <pivotArea type="data" outline="0" fieldPosition="0">
        <references count="2">
          <reference field="4294967294" count="1" selected="0">
            <x v="1"/>
          </reference>
          <reference field="8" count="1" selected="0">
            <x v="145"/>
          </reference>
        </references>
      </pivotArea>
    </chartFormat>
    <chartFormat chart="4" format="835">
      <pivotArea type="data" outline="0" fieldPosition="0">
        <references count="2">
          <reference field="4294967294" count="1" selected="0">
            <x v="1"/>
          </reference>
          <reference field="8" count="1" selected="0">
            <x v="142"/>
          </reference>
        </references>
      </pivotArea>
    </chartFormat>
    <chartFormat chart="4" format="836">
      <pivotArea type="data" outline="0" fieldPosition="0">
        <references count="2">
          <reference field="4294967294" count="1" selected="0">
            <x v="1"/>
          </reference>
          <reference field="8" count="1" selected="0">
            <x v="86"/>
          </reference>
        </references>
      </pivotArea>
    </chartFormat>
    <chartFormat chart="4" format="837">
      <pivotArea type="data" outline="0" fieldPosition="0">
        <references count="2">
          <reference field="4294967294" count="1" selected="0">
            <x v="1"/>
          </reference>
          <reference field="8" count="1" selected="0">
            <x v="51"/>
          </reference>
        </references>
      </pivotArea>
    </chartFormat>
    <chartFormat chart="4" format="838">
      <pivotArea type="data" outline="0" fieldPosition="0">
        <references count="2">
          <reference field="4294967294" count="1" selected="0">
            <x v="1"/>
          </reference>
          <reference field="8" count="1" selected="0">
            <x v="15"/>
          </reference>
        </references>
      </pivotArea>
    </chartFormat>
    <chartFormat chart="4" format="839">
      <pivotArea type="data" outline="0" fieldPosition="0">
        <references count="2">
          <reference field="4294967294" count="1" selected="0">
            <x v="1"/>
          </reference>
          <reference field="8" count="1" selected="0">
            <x v="40"/>
          </reference>
        </references>
      </pivotArea>
    </chartFormat>
    <chartFormat chart="4" format="840">
      <pivotArea type="data" outline="0" fieldPosition="0">
        <references count="2">
          <reference field="4294967294" count="1" selected="0">
            <x v="1"/>
          </reference>
          <reference field="8" count="1" selected="0">
            <x v="49"/>
          </reference>
        </references>
      </pivotArea>
    </chartFormat>
    <chartFormat chart="4" format="841">
      <pivotArea type="data" outline="0" fieldPosition="0">
        <references count="2">
          <reference field="4294967294" count="1" selected="0">
            <x v="1"/>
          </reference>
          <reference field="8" count="1" selected="0">
            <x v="17"/>
          </reference>
        </references>
      </pivotArea>
    </chartFormat>
    <chartFormat chart="4" format="842">
      <pivotArea type="data" outline="0" fieldPosition="0">
        <references count="2">
          <reference field="4294967294" count="1" selected="0">
            <x v="1"/>
          </reference>
          <reference field="8" count="1" selected="0">
            <x v="78"/>
          </reference>
        </references>
      </pivotArea>
    </chartFormat>
    <chartFormat chart="4" format="843">
      <pivotArea type="data" outline="0" fieldPosition="0">
        <references count="2">
          <reference field="4294967294" count="1" selected="0">
            <x v="1"/>
          </reference>
          <reference field="8" count="1" selected="0">
            <x v="81"/>
          </reference>
        </references>
      </pivotArea>
    </chartFormat>
    <chartFormat chart="4" format="844">
      <pivotArea type="data" outline="0" fieldPosition="0">
        <references count="2">
          <reference field="4294967294" count="1" selected="0">
            <x v="1"/>
          </reference>
          <reference field="8" count="1" selected="0">
            <x v="154"/>
          </reference>
        </references>
      </pivotArea>
    </chartFormat>
    <chartFormat chart="4" format="845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4" format="846">
      <pivotArea type="data" outline="0" fieldPosition="0">
        <references count="2">
          <reference field="4294967294" count="1" selected="0">
            <x v="1"/>
          </reference>
          <reference field="8" count="1" selected="0">
            <x v="144"/>
          </reference>
        </references>
      </pivotArea>
    </chartFormat>
    <chartFormat chart="4" format="847">
      <pivotArea type="data" outline="0" fieldPosition="0">
        <references count="2">
          <reference field="4294967294" count="1" selected="0">
            <x v="1"/>
          </reference>
          <reference field="8" count="1" selected="0">
            <x v="138"/>
          </reference>
        </references>
      </pivotArea>
    </chartFormat>
    <chartFormat chart="4" format="848">
      <pivotArea type="data" outline="0" fieldPosition="0">
        <references count="2">
          <reference field="4294967294" count="1" selected="0">
            <x v="1"/>
          </reference>
          <reference field="8" count="1" selected="0">
            <x v="47"/>
          </reference>
        </references>
      </pivotArea>
    </chartFormat>
    <chartFormat chart="4" format="849">
      <pivotArea type="data" outline="0" fieldPosition="0">
        <references count="2">
          <reference field="4294967294" count="1" selected="0">
            <x v="1"/>
          </reference>
          <reference field="8" count="1" selected="0">
            <x v="63"/>
          </reference>
        </references>
      </pivotArea>
    </chartFormat>
    <chartFormat chart="4" format="850">
      <pivotArea type="data" outline="0" fieldPosition="0">
        <references count="2">
          <reference field="4294967294" count="1" selected="0">
            <x v="1"/>
          </reference>
          <reference field="8" count="1" selected="0">
            <x v="112"/>
          </reference>
        </references>
      </pivotArea>
    </chartFormat>
    <chartFormat chart="4" format="851">
      <pivotArea type="data" outline="0" fieldPosition="0">
        <references count="2">
          <reference field="4294967294" count="1" selected="0">
            <x v="1"/>
          </reference>
          <reference field="8" count="1" selected="0">
            <x v="31"/>
          </reference>
        </references>
      </pivotArea>
    </chartFormat>
    <chartFormat chart="4" format="852">
      <pivotArea type="data" outline="0" fieldPosition="0">
        <references count="2">
          <reference field="4294967294" count="1" selected="0">
            <x v="1"/>
          </reference>
          <reference field="8" count="1" selected="0">
            <x v="73"/>
          </reference>
        </references>
      </pivotArea>
    </chartFormat>
    <chartFormat chart="4" format="853">
      <pivotArea type="data" outline="0" fieldPosition="0">
        <references count="2">
          <reference field="4294967294" count="1" selected="0">
            <x v="1"/>
          </reference>
          <reference field="8" count="1" selected="0">
            <x v="83"/>
          </reference>
        </references>
      </pivotArea>
    </chartFormat>
    <chartFormat chart="4" format="854">
      <pivotArea type="data" outline="0" fieldPosition="0">
        <references count="2">
          <reference field="4294967294" count="1" selected="0">
            <x v="1"/>
          </reference>
          <reference field="8" count="1" selected="0">
            <x v="79"/>
          </reference>
        </references>
      </pivotArea>
    </chartFormat>
    <chartFormat chart="4" format="85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"/>
          </reference>
        </references>
      </pivotArea>
    </chartFormat>
    <chartFormat chart="4" format="856">
      <pivotArea type="data" outline="0" fieldPosition="0">
        <references count="2">
          <reference field="4294967294" count="1" selected="0">
            <x v="1"/>
          </reference>
          <reference field="8" count="1" selected="0">
            <x v="82"/>
          </reference>
        </references>
      </pivotArea>
    </chartFormat>
    <chartFormat chart="4" format="857">
      <pivotArea type="data" outline="0" fieldPosition="0">
        <references count="2">
          <reference field="4294967294" count="1" selected="0">
            <x v="1"/>
          </reference>
          <reference field="8" count="1" selected="0">
            <x v="62"/>
          </reference>
        </references>
      </pivotArea>
    </chartFormat>
    <chartFormat chart="4" format="858">
      <pivotArea type="data" outline="0" fieldPosition="0">
        <references count="2">
          <reference field="4294967294" count="1" selected="0">
            <x v="1"/>
          </reference>
          <reference field="8" count="1" selected="0">
            <x v="88"/>
          </reference>
        </references>
      </pivotArea>
    </chartFormat>
    <chartFormat chart="4" format="859">
      <pivotArea type="data" outline="0" fieldPosition="0">
        <references count="2">
          <reference field="4294967294" count="1" selected="0">
            <x v="1"/>
          </reference>
          <reference field="8" count="1" selected="0">
            <x v="90"/>
          </reference>
        </references>
      </pivotArea>
    </chartFormat>
    <chartFormat chart="4" format="860">
      <pivotArea type="data" outline="0" fieldPosition="0">
        <references count="2">
          <reference field="4294967294" count="1" selected="0">
            <x v="1"/>
          </reference>
          <reference field="8" count="1" selected="0">
            <x v="22"/>
          </reference>
        </references>
      </pivotArea>
    </chartFormat>
    <chartFormat chart="4" format="861">
      <pivotArea type="data" outline="0" fieldPosition="0">
        <references count="2">
          <reference field="4294967294" count="1" selected="0">
            <x v="1"/>
          </reference>
          <reference field="8" count="1" selected="0">
            <x v="128"/>
          </reference>
        </references>
      </pivotArea>
    </chartFormat>
    <chartFormat chart="4" format="862">
      <pivotArea type="data" outline="0" fieldPosition="0">
        <references count="2">
          <reference field="4294967294" count="1" selected="0">
            <x v="1"/>
          </reference>
          <reference field="8" count="1" selected="0">
            <x v="66"/>
          </reference>
        </references>
      </pivotArea>
    </chartFormat>
    <chartFormat chart="4" format="863">
      <pivotArea type="data" outline="0" fieldPosition="0">
        <references count="2">
          <reference field="4294967294" count="1" selected="0">
            <x v="1"/>
          </reference>
          <reference field="8" count="1" selected="0">
            <x v="60"/>
          </reference>
        </references>
      </pivotArea>
    </chartFormat>
    <chartFormat chart="4" format="864">
      <pivotArea type="data" outline="0" fieldPosition="0">
        <references count="2">
          <reference field="4294967294" count="1" selected="0">
            <x v="1"/>
          </reference>
          <reference field="8" count="1" selected="0">
            <x v="50"/>
          </reference>
        </references>
      </pivotArea>
    </chartFormat>
    <chartFormat chart="4" format="865">
      <pivotArea type="data" outline="0" fieldPosition="0">
        <references count="2">
          <reference field="4294967294" count="1" selected="0">
            <x v="1"/>
          </reference>
          <reference field="8" count="1" selected="0">
            <x v="57"/>
          </reference>
        </references>
      </pivotArea>
    </chartFormat>
    <chartFormat chart="4" format="866">
      <pivotArea type="data" outline="0" fieldPosition="0">
        <references count="2">
          <reference field="4294967294" count="1" selected="0">
            <x v="1"/>
          </reference>
          <reference field="8" count="1" selected="0">
            <x v="93"/>
          </reference>
        </references>
      </pivotArea>
    </chartFormat>
    <chartFormat chart="4" format="867">
      <pivotArea type="data" outline="0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chartFormat>
    <chartFormat chart="4" format="868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4" format="869">
      <pivotArea type="data" outline="0" fieldPosition="0">
        <references count="2">
          <reference field="4294967294" count="1" selected="0">
            <x v="1"/>
          </reference>
          <reference field="8" count="1" selected="0">
            <x v="137"/>
          </reference>
        </references>
      </pivotArea>
    </chartFormat>
    <chartFormat chart="4" format="870">
      <pivotArea type="data" outline="0" fieldPosition="0">
        <references count="2">
          <reference field="4294967294" count="1" selected="0">
            <x v="1"/>
          </reference>
          <reference field="8" count="1" selected="0">
            <x v="5"/>
          </reference>
        </references>
      </pivotArea>
    </chartFormat>
    <chartFormat chart="4" format="871">
      <pivotArea type="data" outline="0" fieldPosition="0">
        <references count="2">
          <reference field="4294967294" count="1" selected="0">
            <x v="1"/>
          </reference>
          <reference field="8" count="1" selected="0">
            <x v="32"/>
          </reference>
        </references>
      </pivotArea>
    </chartFormat>
    <chartFormat chart="4" format="872">
      <pivotArea type="data" outline="0" fieldPosition="0">
        <references count="2">
          <reference field="4294967294" count="1" selected="0">
            <x v="1"/>
          </reference>
          <reference field="8" count="1" selected="0">
            <x v="114"/>
          </reference>
        </references>
      </pivotArea>
    </chartFormat>
    <chartFormat chart="4" format="873">
      <pivotArea type="data" outline="0" fieldPosition="0">
        <references count="2">
          <reference field="4294967294" count="1" selected="0">
            <x v="1"/>
          </reference>
          <reference field="8" count="1" selected="0">
            <x v="113"/>
          </reference>
        </references>
      </pivotArea>
    </chartFormat>
    <chartFormat chart="4" format="874">
      <pivotArea type="data" outline="0" fieldPosition="0">
        <references count="2">
          <reference field="4294967294" count="1" selected="0">
            <x v="1"/>
          </reference>
          <reference field="8" count="1" selected="0">
            <x v="12"/>
          </reference>
        </references>
      </pivotArea>
    </chartFormat>
    <chartFormat chart="4" format="875">
      <pivotArea type="data" outline="0" fieldPosition="0">
        <references count="2">
          <reference field="4294967294" count="1" selected="0">
            <x v="1"/>
          </reference>
          <reference field="8" count="1" selected="0">
            <x v="30"/>
          </reference>
        </references>
      </pivotArea>
    </chartFormat>
    <chartFormat chart="4" format="876">
      <pivotArea type="data" outline="0" fieldPosition="0">
        <references count="2">
          <reference field="4294967294" count="1" selected="0">
            <x v="1"/>
          </reference>
          <reference field="8" count="1" selected="0">
            <x v="103"/>
          </reference>
        </references>
      </pivotArea>
    </chartFormat>
    <chartFormat chart="4" format="877">
      <pivotArea type="data" outline="0" fieldPosition="0">
        <references count="2">
          <reference field="4294967294" count="1" selected="0">
            <x v="1"/>
          </reference>
          <reference field="8" count="1" selected="0">
            <x v="89"/>
          </reference>
        </references>
      </pivotArea>
    </chartFormat>
    <chartFormat chart="4" format="878">
      <pivotArea type="data" outline="0" fieldPosition="0">
        <references count="2">
          <reference field="4294967294" count="1" selected="0">
            <x v="1"/>
          </reference>
          <reference field="8" count="1" selected="0">
            <x v="91"/>
          </reference>
        </references>
      </pivotArea>
    </chartFormat>
    <chartFormat chart="4" format="879">
      <pivotArea type="data" outline="0" fieldPosition="0">
        <references count="2">
          <reference field="4294967294" count="1" selected="0">
            <x v="1"/>
          </reference>
          <reference field="8" count="1" selected="0">
            <x v="44"/>
          </reference>
        </references>
      </pivotArea>
    </chartFormat>
    <chartFormat chart="4" format="880">
      <pivotArea type="data" outline="0" fieldPosition="0">
        <references count="2">
          <reference field="4294967294" count="1" selected="0">
            <x v="1"/>
          </reference>
          <reference field="8" count="1" selected="0">
            <x v="157"/>
          </reference>
        </references>
      </pivotArea>
    </chartFormat>
    <chartFormat chart="4" format="881">
      <pivotArea type="data" outline="0" fieldPosition="0">
        <references count="2">
          <reference field="4294967294" count="1" selected="0">
            <x v="1"/>
          </reference>
          <reference field="8" count="1" selected="0">
            <x v="100"/>
          </reference>
        </references>
      </pivotArea>
    </chartFormat>
    <chartFormat chart="4" format="882">
      <pivotArea type="data" outline="0" fieldPosition="0">
        <references count="2">
          <reference field="4294967294" count="1" selected="0">
            <x v="1"/>
          </reference>
          <reference field="8" count="1" selected="0">
            <x v="38"/>
          </reference>
        </references>
      </pivotArea>
    </chartFormat>
    <chartFormat chart="4" format="883">
      <pivotArea type="data" outline="0" fieldPosition="0">
        <references count="2">
          <reference field="4294967294" count="1" selected="0">
            <x v="1"/>
          </reference>
          <reference field="8" count="1" selected="0">
            <x v="77"/>
          </reference>
        </references>
      </pivotArea>
    </chartFormat>
    <chartFormat chart="4" format="884">
      <pivotArea type="data" outline="0" fieldPosition="0">
        <references count="2">
          <reference field="4294967294" count="1" selected="0">
            <x v="1"/>
          </reference>
          <reference field="8" count="1" selected="0">
            <x v="59"/>
          </reference>
        </references>
      </pivotArea>
    </chartFormat>
    <chartFormat chart="4" format="885">
      <pivotArea type="data" outline="0" fieldPosition="0">
        <references count="2">
          <reference field="4294967294" count="1" selected="0">
            <x v="1"/>
          </reference>
          <reference field="8" count="1" selected="0">
            <x v="58"/>
          </reference>
        </references>
      </pivotArea>
    </chartFormat>
    <chartFormat chart="4" format="886">
      <pivotArea type="data" outline="0" fieldPosition="0">
        <references count="2">
          <reference field="4294967294" count="1" selected="0">
            <x v="1"/>
          </reference>
          <reference field="8" count="1" selected="0">
            <x v="141"/>
          </reference>
        </references>
      </pivotArea>
    </chartFormat>
    <chartFormat chart="4" format="887">
      <pivotArea type="data" outline="0" fieldPosition="0">
        <references count="2">
          <reference field="4294967294" count="1" selected="0">
            <x v="1"/>
          </reference>
          <reference field="8" count="1" selected="0">
            <x v="136"/>
          </reference>
        </references>
      </pivotArea>
    </chartFormat>
    <chartFormat chart="4" format="888">
      <pivotArea type="data" outline="0" fieldPosition="0">
        <references count="2">
          <reference field="4294967294" count="1" selected="0">
            <x v="1"/>
          </reference>
          <reference field="8" count="1" selected="0">
            <x v="99"/>
          </reference>
        </references>
      </pivotArea>
    </chartFormat>
    <chartFormat chart="4" format="889">
      <pivotArea type="data" outline="0" fieldPosition="0">
        <references count="2">
          <reference field="4294967294" count="1" selected="0">
            <x v="1"/>
          </reference>
          <reference field="8" count="1" selected="0">
            <x v="76"/>
          </reference>
        </references>
      </pivotArea>
    </chartFormat>
    <chartFormat chart="4" format="890">
      <pivotArea type="data" outline="0" fieldPosition="0">
        <references count="2">
          <reference field="4294967294" count="1" selected="0">
            <x v="1"/>
          </reference>
          <reference field="8" count="1" selected="0">
            <x v="65"/>
          </reference>
        </references>
      </pivotArea>
    </chartFormat>
    <chartFormat chart="4" format="891">
      <pivotArea type="data" outline="0" fieldPosition="0">
        <references count="2">
          <reference field="4294967294" count="1" selected="0">
            <x v="1"/>
          </reference>
          <reference field="8" count="1" selected="0">
            <x v="134"/>
          </reference>
        </references>
      </pivotArea>
    </chartFormat>
    <chartFormat chart="4" format="892">
      <pivotArea type="data" outline="0" fieldPosition="0">
        <references count="2">
          <reference field="4294967294" count="1" selected="0">
            <x v="1"/>
          </reference>
          <reference field="8" count="1" selected="0">
            <x v="118"/>
          </reference>
        </references>
      </pivotArea>
    </chartFormat>
    <chartFormat chart="4" format="893">
      <pivotArea type="data" outline="0" fieldPosition="0">
        <references count="2">
          <reference field="4294967294" count="1" selected="0">
            <x v="1"/>
          </reference>
          <reference field="8" count="1" selected="0">
            <x v="155"/>
          </reference>
        </references>
      </pivotArea>
    </chartFormat>
    <chartFormat chart="4" format="894">
      <pivotArea type="data" outline="0" fieldPosition="0">
        <references count="2">
          <reference field="4294967294" count="1" selected="0">
            <x v="1"/>
          </reference>
          <reference field="8" count="1" selected="0">
            <x v="146"/>
          </reference>
        </references>
      </pivotArea>
    </chartFormat>
    <chartFormat chart="4" format="895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4" format="896">
      <pivotArea type="data" outline="0" fieldPosition="0">
        <references count="2">
          <reference field="4294967294" count="1" selected="0">
            <x v="1"/>
          </reference>
          <reference field="8" count="1" selected="0">
            <x v="43"/>
          </reference>
        </references>
      </pivotArea>
    </chartFormat>
    <chartFormat chart="4" format="897">
      <pivotArea type="data" outline="0" fieldPosition="0">
        <references count="2">
          <reference field="4294967294" count="1" selected="0">
            <x v="1"/>
          </reference>
          <reference field="8" count="1" selected="0">
            <x v="55"/>
          </reference>
        </references>
      </pivotArea>
    </chartFormat>
    <chartFormat chart="4" format="898">
      <pivotArea type="data" outline="0" fieldPosition="0">
        <references count="2">
          <reference field="4294967294" count="1" selected="0">
            <x v="1"/>
          </reference>
          <reference field="8" count="1" selected="0">
            <x v="109"/>
          </reference>
        </references>
      </pivotArea>
    </chartFormat>
    <chartFormat chart="4" format="899">
      <pivotArea type="data" outline="0" fieldPosition="0">
        <references count="2">
          <reference field="4294967294" count="1" selected="0">
            <x v="1"/>
          </reference>
          <reference field="8" count="1" selected="0">
            <x v="48"/>
          </reference>
        </references>
      </pivotArea>
    </chartFormat>
    <chartFormat chart="4" format="900">
      <pivotArea type="data" outline="0" fieldPosition="0">
        <references count="2">
          <reference field="4294967294" count="1" selected="0">
            <x v="1"/>
          </reference>
          <reference field="8" count="1" selected="0">
            <x v="94"/>
          </reference>
        </references>
      </pivotArea>
    </chartFormat>
    <chartFormat chart="4" format="901">
      <pivotArea type="data" outline="0" fieldPosition="0">
        <references count="2">
          <reference field="4294967294" count="1" selected="0">
            <x v="1"/>
          </reference>
          <reference field="8" count="1" selected="0">
            <x v="23"/>
          </reference>
        </references>
      </pivotArea>
    </chartFormat>
    <chartFormat chart="4" format="902">
      <pivotArea type="data" outline="0" fieldPosition="0">
        <references count="2">
          <reference field="4294967294" count="1" selected="0">
            <x v="1"/>
          </reference>
          <reference field="8" count="1" selected="0">
            <x v="98"/>
          </reference>
        </references>
      </pivotArea>
    </chartFormat>
    <chartFormat chart="4" format="903">
      <pivotArea type="data" outline="0" fieldPosition="0">
        <references count="2">
          <reference field="4294967294" count="1" selected="0">
            <x v="1"/>
          </reference>
          <reference field="8" count="1" selected="0">
            <x v="33"/>
          </reference>
        </references>
      </pivotArea>
    </chartFormat>
    <chartFormat chart="4" format="904">
      <pivotArea type="data" outline="0" fieldPosition="0">
        <references count="2">
          <reference field="4294967294" count="1" selected="0">
            <x v="1"/>
          </reference>
          <reference field="8" count="1" selected="0">
            <x v="156"/>
          </reference>
        </references>
      </pivotArea>
    </chartFormat>
    <chartFormat chart="4" format="905">
      <pivotArea type="data" outline="0" fieldPosition="0">
        <references count="2">
          <reference field="4294967294" count="1" selected="0">
            <x v="1"/>
          </reference>
          <reference field="8" count="1" selected="0">
            <x v="84"/>
          </reference>
        </references>
      </pivotArea>
    </chartFormat>
    <chartFormat chart="4" format="906">
      <pivotArea type="data" outline="0" fieldPosition="0">
        <references count="2">
          <reference field="4294967294" count="1" selected="0">
            <x v="1"/>
          </reference>
          <reference field="8" count="1" selected="0">
            <x v="67"/>
          </reference>
        </references>
      </pivotArea>
    </chartFormat>
    <chartFormat chart="4" format="907">
      <pivotArea type="data" outline="0" fieldPosition="0">
        <references count="2">
          <reference field="4294967294" count="1" selected="0">
            <x v="1"/>
          </reference>
          <reference field="8" count="1" selected="0">
            <x v="80"/>
          </reference>
        </references>
      </pivotArea>
    </chartFormat>
    <chartFormat chart="4" format="908">
      <pivotArea type="data" outline="0" fieldPosition="0">
        <references count="2">
          <reference field="4294967294" count="1" selected="0">
            <x v="1"/>
          </reference>
          <reference field="8" count="1" selected="0">
            <x v="149"/>
          </reference>
        </references>
      </pivotArea>
    </chartFormat>
    <chartFormat chart="4" format="909">
      <pivotArea type="data" outline="0" fieldPosition="0">
        <references count="2">
          <reference field="4294967294" count="1" selected="0">
            <x v="1"/>
          </reference>
          <reference field="8" count="1" selected="0">
            <x v="124"/>
          </reference>
        </references>
      </pivotArea>
    </chartFormat>
    <chartFormat chart="4" format="910">
      <pivotArea type="data" outline="0" fieldPosition="0">
        <references count="2">
          <reference field="4294967294" count="1" selected="0">
            <x v="1"/>
          </reference>
          <reference field="8" count="1" selected="0">
            <x v="107"/>
          </reference>
        </references>
      </pivotArea>
    </chartFormat>
    <chartFormat chart="4" format="911">
      <pivotArea type="data" outline="0" fieldPosition="0">
        <references count="2">
          <reference field="4294967294" count="1" selected="0">
            <x v="1"/>
          </reference>
          <reference field="8" count="1" selected="0">
            <x v="106"/>
          </reference>
        </references>
      </pivotArea>
    </chartFormat>
    <chartFormat chart="4" format="912">
      <pivotArea type="data" outline="0" fieldPosition="0">
        <references count="2">
          <reference field="4294967294" count="1" selected="0">
            <x v="1"/>
          </reference>
          <reference field="8" count="1" selected="0">
            <x v="96"/>
          </reference>
        </references>
      </pivotArea>
    </chartFormat>
    <chartFormat chart="4" format="913">
      <pivotArea type="data" outline="0" fieldPosition="0">
        <references count="2">
          <reference field="4294967294" count="1" selected="0">
            <x v="1"/>
          </reference>
          <reference field="8" count="1" selected="0">
            <x v="125"/>
          </reference>
        </references>
      </pivotArea>
    </chartFormat>
    <chartFormat chart="4" format="914">
      <pivotArea type="data" outline="0" fieldPosition="0">
        <references count="2">
          <reference field="4294967294" count="1" selected="0">
            <x v="1"/>
          </reference>
          <reference field="8" count="1" selected="0">
            <x v="105"/>
          </reference>
        </references>
      </pivotArea>
    </chartFormat>
    <chartFormat chart="4" format="915">
      <pivotArea type="data" outline="0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chartFormat>
    <chartFormat chart="4" format="916">
      <pivotArea type="data" outline="0" fieldPosition="0">
        <references count="2">
          <reference field="4294967294" count="1" selected="0">
            <x v="1"/>
          </reference>
          <reference field="8" count="1" selected="0">
            <x v="70"/>
          </reference>
        </references>
      </pivotArea>
    </chartFormat>
    <chartFormat chart="4" format="917">
      <pivotArea type="data" outline="0" fieldPosition="0">
        <references count="2">
          <reference field="4294967294" count="1" selected="0">
            <x v="1"/>
          </reference>
          <reference field="8" count="1" selected="0">
            <x v="110"/>
          </reference>
        </references>
      </pivotArea>
    </chartFormat>
    <chartFormat chart="4" format="918">
      <pivotArea type="data" outline="0" fieldPosition="0">
        <references count="2">
          <reference field="4294967294" count="1" selected="0">
            <x v="1"/>
          </reference>
          <reference field="8" count="1" selected="0">
            <x v="85"/>
          </reference>
        </references>
      </pivotArea>
    </chartFormat>
    <chartFormat chart="4" format="919">
      <pivotArea type="data" outline="0" fieldPosition="0">
        <references count="2">
          <reference field="4294967294" count="1" selected="0">
            <x v="1"/>
          </reference>
          <reference field="8" count="1" selected="0">
            <x v="74"/>
          </reference>
        </references>
      </pivotArea>
    </chartFormat>
    <chartFormat chart="4" format="920">
      <pivotArea type="data" outline="0" fieldPosition="0">
        <references count="2">
          <reference field="4294967294" count="1" selected="0">
            <x v="1"/>
          </reference>
          <reference field="8" count="1" selected="0">
            <x v="123"/>
          </reference>
        </references>
      </pivotArea>
    </chartFormat>
    <chartFormat chart="4" format="921">
      <pivotArea type="data" outline="0" fieldPosition="0">
        <references count="2">
          <reference field="4294967294" count="1" selected="0">
            <x v="1"/>
          </reference>
          <reference field="8" count="1" selected="0">
            <x v="117"/>
          </reference>
        </references>
      </pivotArea>
    </chartFormat>
    <chartFormat chart="4" format="922">
      <pivotArea type="data" outline="0" fieldPosition="0">
        <references count="2">
          <reference field="4294967294" count="1" selected="0">
            <x v="1"/>
          </reference>
          <reference field="8" count="1" selected="0">
            <x v="41"/>
          </reference>
        </references>
      </pivotArea>
    </chartFormat>
    <chartFormat chart="4" format="923">
      <pivotArea type="data" outline="0" fieldPosition="0">
        <references count="2">
          <reference field="4294967294" count="1" selected="0">
            <x v="1"/>
          </reference>
          <reference field="8" count="1" selected="0">
            <x v="111"/>
          </reference>
        </references>
      </pivotArea>
    </chartFormat>
    <chartFormat chart="4" format="924">
      <pivotArea type="data" outline="0" fieldPosition="0">
        <references count="2">
          <reference field="4294967294" count="1" selected="0">
            <x v="1"/>
          </reference>
          <reference field="8" count="1" selected="0">
            <x v="116"/>
          </reference>
        </references>
      </pivotArea>
    </chartFormat>
    <chartFormat chart="4" format="92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1"/>
          </reference>
        </references>
      </pivotArea>
    </chartFormat>
    <chartFormat chart="4" format="926">
      <pivotArea type="data" outline="0" fieldPosition="0">
        <references count="2">
          <reference field="4294967294" count="1" selected="0">
            <x v="1"/>
          </reference>
          <reference field="8" count="1" selected="0">
            <x v="115"/>
          </reference>
        </references>
      </pivotArea>
    </chartFormat>
    <chartFormat chart="4" format="927">
      <pivotArea type="data" outline="0" fieldPosition="0">
        <references count="2">
          <reference field="4294967294" count="1" selected="0">
            <x v="1"/>
          </reference>
          <reference field="8" count="1" selected="0">
            <x v="42"/>
          </reference>
        </references>
      </pivotArea>
    </chartFormat>
    <chartFormat chart="4" format="928">
      <pivotArea type="data" outline="0" fieldPosition="0">
        <references count="2">
          <reference field="4294967294" count="1" selected="0">
            <x v="1"/>
          </reference>
          <reference field="8" count="1" selected="0">
            <x v="104"/>
          </reference>
        </references>
      </pivotArea>
    </chartFormat>
    <chartFormat chart="4" format="929">
      <pivotArea type="data" outline="0" fieldPosition="0">
        <references count="2">
          <reference field="4294967294" count="1" selected="0">
            <x v="1"/>
          </reference>
          <reference field="8" count="1" selected="0">
            <x v="147"/>
          </reference>
        </references>
      </pivotArea>
    </chartFormat>
    <chartFormat chart="4" format="930">
      <pivotArea type="data" outline="0" fieldPosition="0">
        <references count="2">
          <reference field="4294967294" count="1" selected="0">
            <x v="1"/>
          </reference>
          <reference field="8" count="1" selected="0">
            <x v="56"/>
          </reference>
        </references>
      </pivotArea>
    </chartFormat>
    <chartFormat chart="4" format="931">
      <pivotArea type="data" outline="0" fieldPosition="0">
        <references count="2">
          <reference field="4294967294" count="1" selected="0">
            <x v="1"/>
          </reference>
          <reference field="8" count="1" selected="0">
            <x v="126"/>
          </reference>
        </references>
      </pivotArea>
    </chartFormat>
    <chartFormat chart="4" format="932">
      <pivotArea type="data" outline="0" fieldPosition="0">
        <references count="2">
          <reference field="4294967294" count="1" selected="0">
            <x v="1"/>
          </reference>
          <reference field="8" count="1" selected="0">
            <x v="119"/>
          </reference>
        </references>
      </pivotArea>
    </chartFormat>
    <chartFormat chart="4" format="933">
      <pivotArea type="data" outline="0" fieldPosition="0">
        <references count="2">
          <reference field="4294967294" count="1" selected="0">
            <x v="1"/>
          </reference>
          <reference field="8" count="1" selected="0">
            <x v="92"/>
          </reference>
        </references>
      </pivotArea>
    </chartFormat>
    <chartFormat chart="4" format="934">
      <pivotArea type="data" outline="0" fieldPosition="0">
        <references count="2">
          <reference field="4294967294" count="1" selected="0">
            <x v="1"/>
          </reference>
          <reference field="8" count="1" selected="0">
            <x v="122"/>
          </reference>
        </references>
      </pivotArea>
    </chartFormat>
    <chartFormat chart="4" format="935">
      <pivotArea type="data" outline="0" fieldPosition="0">
        <references count="2">
          <reference field="4294967294" count="1" selected="0">
            <x v="1"/>
          </reference>
          <reference field="8" count="1" selected="0">
            <x v="39"/>
          </reference>
        </references>
      </pivotArea>
    </chartFormat>
    <chartFormat chart="4" format="936">
      <pivotArea type="data" outline="0" fieldPosition="0">
        <references count="2">
          <reference field="4294967294" count="1" selected="0">
            <x v="1"/>
          </reference>
          <reference field="8" count="1" selected="0">
            <x v="72"/>
          </reference>
        </references>
      </pivotArea>
    </chartFormat>
    <chartFormat chart="4" format="937">
      <pivotArea type="data" outline="0" fieldPosition="0">
        <references count="2">
          <reference field="4294967294" count="1" selected="0">
            <x v="1"/>
          </reference>
          <reference field="8" count="1" selected="0">
            <x v="129"/>
          </reference>
        </references>
      </pivotArea>
    </chartFormat>
    <chartFormat chart="4" format="938">
      <pivotArea type="data" outline="0" fieldPosition="0">
        <references count="2">
          <reference field="4294967294" count="1" selected="0">
            <x v="1"/>
          </reference>
          <reference field="8" count="1" selected="0">
            <x v="75"/>
          </reference>
        </references>
      </pivotArea>
    </chartFormat>
    <chartFormat chart="4" format="939">
      <pivotArea type="data" outline="0" fieldPosition="0">
        <references count="2">
          <reference field="4294967294" count="1" selected="0">
            <x v="1"/>
          </reference>
          <reference field="8" count="1" selected="0">
            <x v="127"/>
          </reference>
        </references>
      </pivotArea>
    </chartFormat>
    <chartFormat chart="4" format="940">
      <pivotArea type="data" outline="0" fieldPosition="0">
        <references count="2">
          <reference field="4294967294" count="1" selected="0">
            <x v="1"/>
          </reference>
          <reference field="8" count="1" selected="0">
            <x v="151"/>
          </reference>
        </references>
      </pivotArea>
    </chartFormat>
    <chartFormat chart="4" format="941">
      <pivotArea type="data" outline="0" fieldPosition="0">
        <references count="2">
          <reference field="4294967294" count="1" selected="0">
            <x v="1"/>
          </reference>
          <reference field="8" count="1" selected="0">
            <x v="132"/>
          </reference>
        </references>
      </pivotArea>
    </chartFormat>
    <chartFormat chart="4" format="942">
      <pivotArea type="data" outline="0" fieldPosition="0">
        <references count="2">
          <reference field="4294967294" count="1" selected="0">
            <x v="1"/>
          </reference>
          <reference field="8" count="1" selected="0">
            <x v="158"/>
          </reference>
        </references>
      </pivotArea>
    </chartFormat>
    <chartFormat chart="4" format="943">
      <pivotArea type="data" outline="0" fieldPosition="0">
        <references count="2">
          <reference field="4294967294" count="1" selected="0">
            <x v="1"/>
          </reference>
          <reference field="8" count="1" selected="0">
            <x v="35"/>
          </reference>
        </references>
      </pivotArea>
    </chartFormat>
    <chartFormat chart="4" format="944">
      <pivotArea type="data" outline="0" fieldPosition="0">
        <references count="2">
          <reference field="4294967294" count="1" selected="0">
            <x v="1"/>
          </reference>
          <reference field="8" count="1" selected="0">
            <x v="130"/>
          </reference>
        </references>
      </pivotArea>
    </chartFormat>
    <chartFormat chart="4" format="94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2"/>
          </reference>
        </references>
      </pivotArea>
    </chartFormat>
    <chartFormat chart="4" format="946">
      <pivotArea type="data" outline="0" fieldPosition="0">
        <references count="2">
          <reference field="4294967294" count="1" selected="0">
            <x v="1"/>
          </reference>
          <reference field="8" count="1" selected="0">
            <x v="26"/>
          </reference>
        </references>
      </pivotArea>
    </chartFormat>
    <chartFormat chart="4" format="947">
      <pivotArea type="data" outline="0" fieldPosition="0">
        <references count="2">
          <reference field="4294967294" count="1" selected="0">
            <x v="1"/>
          </reference>
          <reference field="8" count="1" selected="0">
            <x v="120"/>
          </reference>
        </references>
      </pivotArea>
    </chartFormat>
    <chartFormat chart="4" format="948">
      <pivotArea type="data" outline="0" fieldPosition="0">
        <references count="2">
          <reference field="4294967294" count="1" selected="0">
            <x v="1"/>
          </reference>
          <reference field="8" count="1" selected="0">
            <x v="87"/>
          </reference>
        </references>
      </pivotArea>
    </chartFormat>
    <chartFormat chart="4" format="949">
      <pivotArea type="data" outline="0" fieldPosition="0">
        <references count="2">
          <reference field="4294967294" count="1" selected="0">
            <x v="1"/>
          </reference>
          <reference field="8" count="1" selected="0">
            <x v="36"/>
          </reference>
        </references>
      </pivotArea>
    </chartFormat>
    <chartFormat chart="4" format="950">
      <pivotArea type="data" outline="0" fieldPosition="0">
        <references count="2">
          <reference field="4294967294" count="1" selected="0">
            <x v="1"/>
          </reference>
          <reference field="8" count="1" selected="0">
            <x v="95"/>
          </reference>
        </references>
      </pivotArea>
    </chartFormat>
    <chartFormat chart="4" format="951">
      <pivotArea type="data" outline="0" fieldPosition="0">
        <references count="2">
          <reference field="4294967294" count="1" selected="0">
            <x v="1"/>
          </reference>
          <reference field="8" count="1" selected="0">
            <x v="152"/>
          </reference>
        </references>
      </pivotArea>
    </chartFormat>
    <chartFormat chart="4" format="952">
      <pivotArea type="data" outline="0" fieldPosition="0">
        <references count="2">
          <reference field="4294967294" count="1" selected="0">
            <x v="1"/>
          </reference>
          <reference field="8" count="1" selected="0">
            <x v="97"/>
          </reference>
        </references>
      </pivotArea>
    </chartFormat>
    <chartFormat chart="4" format="953">
      <pivotArea type="data" outline="0" fieldPosition="0">
        <references count="2">
          <reference field="4294967294" count="1" selected="0">
            <x v="1"/>
          </reference>
          <reference field="8" count="1" selected="0">
            <x v="71"/>
          </reference>
        </references>
      </pivotArea>
    </chartFormat>
    <chartFormat chart="4" format="954">
      <pivotArea type="data" outline="0" fieldPosition="0">
        <references count="2">
          <reference field="4294967294" count="1" selected="0">
            <x v="1"/>
          </reference>
          <reference field="8" count="1" selected="0">
            <x v="121"/>
          </reference>
        </references>
      </pivotArea>
    </chartFormat>
    <chartFormat chart="4" format="95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8"/>
          </reference>
        </references>
      </pivotArea>
    </chartFormat>
    <chartFormat chart="4" format="956">
      <pivotArea type="data" outline="0" fieldPosition="0">
        <references count="2">
          <reference field="4294967294" count="1" selected="0">
            <x v="1"/>
          </reference>
          <reference field="8" count="1" selected="0">
            <x v="133"/>
          </reference>
        </references>
      </pivotArea>
    </chartFormat>
    <chartFormat chart="4" format="957">
      <pivotArea type="data" outline="0" fieldPosition="0">
        <references count="2">
          <reference field="4294967294" count="1" selected="0">
            <x v="1"/>
          </reference>
          <reference field="8" count="1" selected="0">
            <x v="135"/>
          </reference>
        </references>
      </pivotArea>
    </chartFormat>
    <chartFormat chart="4" format="958">
      <pivotArea type="data" outline="0" fieldPosition="0">
        <references count="2">
          <reference field="4294967294" count="1" selected="0">
            <x v="1"/>
          </reference>
          <reference field="8" count="1" selected="0">
            <x v="131"/>
          </reference>
        </references>
      </pivotArea>
    </chartFormat>
    <chartFormat chart="4" format="959">
      <pivotArea type="data" outline="0" fieldPosition="0">
        <references count="2">
          <reference field="4294967294" count="1" selected="0">
            <x v="1"/>
          </reference>
          <reference field="8" count="1" selected="0">
            <x v="69"/>
          </reference>
        </references>
      </pivotArea>
    </chartFormat>
    <chartFormat chart="5" format="9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6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8"/>
          </reference>
        </references>
      </pivotArea>
    </chartFormat>
    <chartFormat chart="5" format="962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5" format="963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5" format="964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5" format="965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5" format="966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5" format="967">
      <pivotArea type="data" outline="0" fieldPosition="0">
        <references count="2">
          <reference field="4294967294" count="1" selected="0">
            <x v="0"/>
          </reference>
          <reference field="8" count="1" selected="0">
            <x v="64"/>
          </reference>
        </references>
      </pivotArea>
    </chartFormat>
    <chartFormat chart="5" format="96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0"/>
          </reference>
        </references>
      </pivotArea>
    </chartFormat>
    <chartFormat chart="5" format="969">
      <pivotArea type="data" outline="0" fieldPosition="0">
        <references count="2">
          <reference field="4294967294" count="1" selected="0">
            <x v="0"/>
          </reference>
          <reference field="8" count="1" selected="0">
            <x v="28"/>
          </reference>
        </references>
      </pivotArea>
    </chartFormat>
    <chartFormat chart="5" format="970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5" format="97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5" format="972">
      <pivotArea type="data" outline="0" fieldPosition="0">
        <references count="2">
          <reference field="4294967294" count="1" selected="0">
            <x v="0"/>
          </reference>
          <reference field="8" count="1" selected="0">
            <x v="139"/>
          </reference>
        </references>
      </pivotArea>
    </chartFormat>
    <chartFormat chart="5" format="973">
      <pivotArea type="data" outline="0" fieldPosition="0">
        <references count="2">
          <reference field="4294967294" count="1" selected="0">
            <x v="0"/>
          </reference>
          <reference field="8" count="1" selected="0">
            <x v="52"/>
          </reference>
        </references>
      </pivotArea>
    </chartFormat>
    <chartFormat chart="5" format="974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5" format="975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5" format="976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5" format="977">
      <pivotArea type="data" outline="0" fieldPosition="0">
        <references count="2">
          <reference field="4294967294" count="1" selected="0">
            <x v="0"/>
          </reference>
          <reference field="8" count="1" selected="0">
            <x v="27"/>
          </reference>
        </references>
      </pivotArea>
    </chartFormat>
    <chartFormat chart="5" format="97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3"/>
          </reference>
        </references>
      </pivotArea>
    </chartFormat>
    <chartFormat chart="5" format="979">
      <pivotArea type="data" outline="0" fieldPosition="0">
        <references count="2">
          <reference field="4294967294" count="1" selected="0">
            <x v="0"/>
          </reference>
          <reference field="8" count="1" selected="0">
            <x v="45"/>
          </reference>
        </references>
      </pivotArea>
    </chartFormat>
    <chartFormat chart="5" format="980">
      <pivotArea type="data" outline="0" fieldPosition="0">
        <references count="2">
          <reference field="4294967294" count="1" selected="0">
            <x v="0"/>
          </reference>
          <reference field="8" count="1" selected="0">
            <x v="61"/>
          </reference>
        </references>
      </pivotArea>
    </chartFormat>
    <chartFormat chart="5" format="98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5" format="982">
      <pivotArea type="data" outline="0" fieldPosition="0">
        <references count="2">
          <reference field="4294967294" count="1" selected="0">
            <x v="0"/>
          </reference>
          <reference field="8" count="1" selected="0">
            <x v="153"/>
          </reference>
        </references>
      </pivotArea>
    </chartFormat>
    <chartFormat chart="5" format="983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5" format="98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0"/>
          </reference>
        </references>
      </pivotArea>
    </chartFormat>
    <chartFormat chart="5" format="98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5" format="986">
      <pivotArea type="data" outline="0" fieldPosition="0">
        <references count="2">
          <reference field="4294967294" count="1" selected="0">
            <x v="0"/>
          </reference>
          <reference field="8" count="1" selected="0">
            <x v="46"/>
          </reference>
        </references>
      </pivotArea>
    </chartFormat>
    <chartFormat chart="5" format="987">
      <pivotArea type="data" outline="0" fieldPosition="0">
        <references count="2">
          <reference field="4294967294" count="1" selected="0">
            <x v="0"/>
          </reference>
          <reference field="8" count="1" selected="0">
            <x v="68"/>
          </reference>
        </references>
      </pivotArea>
    </chartFormat>
    <chartFormat chart="5" format="988">
      <pivotArea type="data" outline="0" fieldPosition="0">
        <references count="2">
          <reference field="4294967294" count="1" selected="0">
            <x v="0"/>
          </reference>
          <reference field="8" count="1" selected="0">
            <x v="53"/>
          </reference>
        </references>
      </pivotArea>
    </chartFormat>
    <chartFormat chart="5" format="989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5" format="990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5" format="991">
      <pivotArea type="data" outline="0" fieldPosition="0">
        <references count="2">
          <reference field="4294967294" count="1" selected="0">
            <x v="0"/>
          </reference>
          <reference field="8" count="1" selected="0">
            <x v="34"/>
          </reference>
        </references>
      </pivotArea>
    </chartFormat>
    <chartFormat chart="5" format="992">
      <pivotArea type="data" outline="0" fieldPosition="0">
        <references count="2">
          <reference field="4294967294" count="1" selected="0">
            <x v="0"/>
          </reference>
          <reference field="8" count="1" selected="0">
            <x v="37"/>
          </reference>
        </references>
      </pivotArea>
    </chartFormat>
    <chartFormat chart="5" format="993">
      <pivotArea type="data" outline="0" fieldPosition="0">
        <references count="2">
          <reference field="4294967294" count="1" selected="0">
            <x v="0"/>
          </reference>
          <reference field="8" count="1" selected="0">
            <x v="54"/>
          </reference>
        </references>
      </pivotArea>
    </chartFormat>
    <chartFormat chart="5" format="994">
      <pivotArea type="data" outline="0" fieldPosition="0">
        <references count="2">
          <reference field="4294967294" count="1" selected="0">
            <x v="0"/>
          </reference>
          <reference field="8" count="1" selected="0">
            <x v="145"/>
          </reference>
        </references>
      </pivotArea>
    </chartFormat>
    <chartFormat chart="5" format="99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2"/>
          </reference>
        </references>
      </pivotArea>
    </chartFormat>
    <chartFormat chart="5" format="996">
      <pivotArea type="data" outline="0" fieldPosition="0">
        <references count="2">
          <reference field="4294967294" count="1" selected="0">
            <x v="0"/>
          </reference>
          <reference field="8" count="1" selected="0">
            <x v="86"/>
          </reference>
        </references>
      </pivotArea>
    </chartFormat>
    <chartFormat chart="5" format="997">
      <pivotArea type="data" outline="0" fieldPosition="0">
        <references count="2">
          <reference field="4294967294" count="1" selected="0">
            <x v="0"/>
          </reference>
          <reference field="8" count="1" selected="0">
            <x v="51"/>
          </reference>
        </references>
      </pivotArea>
    </chartFormat>
    <chartFormat chart="5" format="998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5" format="999">
      <pivotArea type="data" outline="0" fieldPosition="0">
        <references count="2">
          <reference field="4294967294" count="1" selected="0">
            <x v="0"/>
          </reference>
          <reference field="8" count="1" selected="0">
            <x v="40"/>
          </reference>
        </references>
      </pivotArea>
    </chartFormat>
    <chartFormat chart="5" format="1000">
      <pivotArea type="data" outline="0" fieldPosition="0">
        <references count="2">
          <reference field="4294967294" count="1" selected="0">
            <x v="0"/>
          </reference>
          <reference field="8" count="1" selected="0">
            <x v="49"/>
          </reference>
        </references>
      </pivotArea>
    </chartFormat>
    <chartFormat chart="5" format="100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5" format="1002">
      <pivotArea type="data" outline="0" fieldPosition="0">
        <references count="2">
          <reference field="4294967294" count="1" selected="0">
            <x v="0"/>
          </reference>
          <reference field="8" count="1" selected="0">
            <x v="78"/>
          </reference>
        </references>
      </pivotArea>
    </chartFormat>
    <chartFormat chart="5" format="1003">
      <pivotArea type="data" outline="0" fieldPosition="0">
        <references count="2">
          <reference field="4294967294" count="1" selected="0">
            <x v="0"/>
          </reference>
          <reference field="8" count="1" selected="0">
            <x v="81"/>
          </reference>
        </references>
      </pivotArea>
    </chartFormat>
    <chartFormat chart="5" format="100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4"/>
          </reference>
        </references>
      </pivotArea>
    </chartFormat>
    <chartFormat chart="5" format="100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1006">
      <pivotArea type="data" outline="0" fieldPosition="0">
        <references count="2">
          <reference field="4294967294" count="1" selected="0">
            <x v="0"/>
          </reference>
          <reference field="8" count="1" selected="0">
            <x v="144"/>
          </reference>
        </references>
      </pivotArea>
    </chartFormat>
    <chartFormat chart="5" format="100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8"/>
          </reference>
        </references>
      </pivotArea>
    </chartFormat>
    <chartFormat chart="5" format="1008">
      <pivotArea type="data" outline="0" fieldPosition="0">
        <references count="2">
          <reference field="4294967294" count="1" selected="0">
            <x v="0"/>
          </reference>
          <reference field="8" count="1" selected="0">
            <x v="47"/>
          </reference>
        </references>
      </pivotArea>
    </chartFormat>
    <chartFormat chart="5" format="1009">
      <pivotArea type="data" outline="0" fieldPosition="0">
        <references count="2">
          <reference field="4294967294" count="1" selected="0">
            <x v="0"/>
          </reference>
          <reference field="8" count="1" selected="0">
            <x v="63"/>
          </reference>
        </references>
      </pivotArea>
    </chartFormat>
    <chartFormat chart="5" format="1010">
      <pivotArea type="data" outline="0" fieldPosition="0">
        <references count="2">
          <reference field="4294967294" count="1" selected="0">
            <x v="0"/>
          </reference>
          <reference field="8" count="1" selected="0">
            <x v="112"/>
          </reference>
        </references>
      </pivotArea>
    </chartFormat>
    <chartFormat chart="5" format="10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1"/>
          </reference>
        </references>
      </pivotArea>
    </chartFormat>
    <chartFormat chart="5" format="1012">
      <pivotArea type="data" outline="0" fieldPosition="0">
        <references count="2">
          <reference field="4294967294" count="1" selected="0">
            <x v="0"/>
          </reference>
          <reference field="8" count="1" selected="0">
            <x v="73"/>
          </reference>
        </references>
      </pivotArea>
    </chartFormat>
    <chartFormat chart="5" format="1013">
      <pivotArea type="data" outline="0" fieldPosition="0">
        <references count="2">
          <reference field="4294967294" count="1" selected="0">
            <x v="0"/>
          </reference>
          <reference field="8" count="1" selected="0">
            <x v="83"/>
          </reference>
        </references>
      </pivotArea>
    </chartFormat>
    <chartFormat chart="5" format="1014">
      <pivotArea type="data" outline="0" fieldPosition="0">
        <references count="2">
          <reference field="4294967294" count="1" selected="0">
            <x v="0"/>
          </reference>
          <reference field="8" count="1" selected="0">
            <x v="79"/>
          </reference>
        </references>
      </pivotArea>
    </chartFormat>
    <chartFormat chart="5" format="101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5" format="1016">
      <pivotArea type="data" outline="0" fieldPosition="0">
        <references count="2">
          <reference field="4294967294" count="1" selected="0">
            <x v="0"/>
          </reference>
          <reference field="8" count="1" selected="0">
            <x v="82"/>
          </reference>
        </references>
      </pivotArea>
    </chartFormat>
    <chartFormat chart="5" format="1017">
      <pivotArea type="data" outline="0" fieldPosition="0">
        <references count="2">
          <reference field="4294967294" count="1" selected="0">
            <x v="0"/>
          </reference>
          <reference field="8" count="1" selected="0">
            <x v="62"/>
          </reference>
        </references>
      </pivotArea>
    </chartFormat>
    <chartFormat chart="5" format="1018">
      <pivotArea type="data" outline="0" fieldPosition="0">
        <references count="2">
          <reference field="4294967294" count="1" selected="0">
            <x v="0"/>
          </reference>
          <reference field="8" count="1" selected="0">
            <x v="88"/>
          </reference>
        </references>
      </pivotArea>
    </chartFormat>
    <chartFormat chart="5" format="1019">
      <pivotArea type="data" outline="0" fieldPosition="0">
        <references count="2">
          <reference field="4294967294" count="1" selected="0">
            <x v="0"/>
          </reference>
          <reference field="8" count="1" selected="0">
            <x v="90"/>
          </reference>
        </references>
      </pivotArea>
    </chartFormat>
    <chartFormat chart="5" format="1020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5" format="102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8"/>
          </reference>
        </references>
      </pivotArea>
    </chartFormat>
    <chartFormat chart="5" format="1022">
      <pivotArea type="data" outline="0" fieldPosition="0">
        <references count="2">
          <reference field="4294967294" count="1" selected="0">
            <x v="0"/>
          </reference>
          <reference field="8" count="1" selected="0">
            <x v="66"/>
          </reference>
        </references>
      </pivotArea>
    </chartFormat>
    <chartFormat chart="5" format="1023">
      <pivotArea type="data" outline="0" fieldPosition="0">
        <references count="2">
          <reference field="4294967294" count="1" selected="0">
            <x v="0"/>
          </reference>
          <reference field="8" count="1" selected="0">
            <x v="60"/>
          </reference>
        </references>
      </pivotArea>
    </chartFormat>
    <chartFormat chart="5" format="1024">
      <pivotArea type="data" outline="0" fieldPosition="0">
        <references count="2">
          <reference field="4294967294" count="1" selected="0">
            <x v="0"/>
          </reference>
          <reference field="8" count="1" selected="0">
            <x v="50"/>
          </reference>
        </references>
      </pivotArea>
    </chartFormat>
    <chartFormat chart="5" format="1025">
      <pivotArea type="data" outline="0" fieldPosition="0">
        <references count="2">
          <reference field="4294967294" count="1" selected="0">
            <x v="0"/>
          </reference>
          <reference field="8" count="1" selected="0">
            <x v="57"/>
          </reference>
        </references>
      </pivotArea>
    </chartFormat>
    <chartFormat chart="5" format="1026">
      <pivotArea type="data" outline="0" fieldPosition="0">
        <references count="2">
          <reference field="4294967294" count="1" selected="0">
            <x v="0"/>
          </reference>
          <reference field="8" count="1" selected="0">
            <x v="93"/>
          </reference>
        </references>
      </pivotArea>
    </chartFormat>
    <chartFormat chart="5" format="1027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5" format="102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1029">
      <pivotArea type="data" outline="0" fieldPosition="0">
        <references count="2">
          <reference field="4294967294" count="1" selected="0">
            <x v="0"/>
          </reference>
          <reference field="8" count="1" selected="0">
            <x v="137"/>
          </reference>
        </references>
      </pivotArea>
    </chartFormat>
    <chartFormat chart="5" format="1030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5" format="1031">
      <pivotArea type="data" outline="0" fieldPosition="0">
        <references count="2">
          <reference field="4294967294" count="1" selected="0">
            <x v="0"/>
          </reference>
          <reference field="8" count="1" selected="0">
            <x v="32"/>
          </reference>
        </references>
      </pivotArea>
    </chartFormat>
    <chartFormat chart="5" format="103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4"/>
          </reference>
        </references>
      </pivotArea>
    </chartFormat>
    <chartFormat chart="5" format="103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3"/>
          </reference>
        </references>
      </pivotArea>
    </chartFormat>
    <chartFormat chart="5" format="103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5" format="1035">
      <pivotArea type="data" outline="0" fieldPosition="0">
        <references count="2">
          <reference field="4294967294" count="1" selected="0">
            <x v="0"/>
          </reference>
          <reference field="8" count="1" selected="0">
            <x v="30"/>
          </reference>
        </references>
      </pivotArea>
    </chartFormat>
    <chartFormat chart="5" format="1036">
      <pivotArea type="data" outline="0" fieldPosition="0">
        <references count="2">
          <reference field="4294967294" count="1" selected="0">
            <x v="0"/>
          </reference>
          <reference field="8" count="1" selected="0">
            <x v="103"/>
          </reference>
        </references>
      </pivotArea>
    </chartFormat>
    <chartFormat chart="5" format="1037">
      <pivotArea type="data" outline="0" fieldPosition="0">
        <references count="2">
          <reference field="4294967294" count="1" selected="0">
            <x v="0"/>
          </reference>
          <reference field="8" count="1" selected="0">
            <x v="89"/>
          </reference>
        </references>
      </pivotArea>
    </chartFormat>
    <chartFormat chart="5" format="1038">
      <pivotArea type="data" outline="0" fieldPosition="0">
        <references count="2">
          <reference field="4294967294" count="1" selected="0">
            <x v="0"/>
          </reference>
          <reference field="8" count="1" selected="0">
            <x v="91"/>
          </reference>
        </references>
      </pivotArea>
    </chartFormat>
    <chartFormat chart="5" format="1039">
      <pivotArea type="data" outline="0" fieldPosition="0">
        <references count="2">
          <reference field="4294967294" count="1" selected="0">
            <x v="0"/>
          </reference>
          <reference field="8" count="1" selected="0">
            <x v="44"/>
          </reference>
        </references>
      </pivotArea>
    </chartFormat>
    <chartFormat chart="5" format="1040">
      <pivotArea type="data" outline="0" fieldPosition="0">
        <references count="2">
          <reference field="4294967294" count="1" selected="0">
            <x v="0"/>
          </reference>
          <reference field="8" count="1" selected="0">
            <x v="157"/>
          </reference>
        </references>
      </pivotArea>
    </chartFormat>
    <chartFormat chart="5" format="104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0"/>
          </reference>
        </references>
      </pivotArea>
    </chartFormat>
    <chartFormat chart="5" format="1042">
      <pivotArea type="data" outline="0" fieldPosition="0">
        <references count="2">
          <reference field="4294967294" count="1" selected="0">
            <x v="0"/>
          </reference>
          <reference field="8" count="1" selected="0">
            <x v="38"/>
          </reference>
        </references>
      </pivotArea>
    </chartFormat>
    <chartFormat chart="5" format="1043">
      <pivotArea type="data" outline="0" fieldPosition="0">
        <references count="2">
          <reference field="4294967294" count="1" selected="0">
            <x v="0"/>
          </reference>
          <reference field="8" count="1" selected="0">
            <x v="77"/>
          </reference>
        </references>
      </pivotArea>
    </chartFormat>
    <chartFormat chart="5" format="1044">
      <pivotArea type="data" outline="0" fieldPosition="0">
        <references count="2">
          <reference field="4294967294" count="1" selected="0">
            <x v="0"/>
          </reference>
          <reference field="8" count="1" selected="0">
            <x v="59"/>
          </reference>
        </references>
      </pivotArea>
    </chartFormat>
    <chartFormat chart="5" format="1045">
      <pivotArea type="data" outline="0" fieldPosition="0">
        <references count="2">
          <reference field="4294967294" count="1" selected="0">
            <x v="0"/>
          </reference>
          <reference field="8" count="1" selected="0">
            <x v="58"/>
          </reference>
        </references>
      </pivotArea>
    </chartFormat>
    <chartFormat chart="5" format="1046">
      <pivotArea type="data" outline="0" fieldPosition="0">
        <references count="2">
          <reference field="4294967294" count="1" selected="0">
            <x v="0"/>
          </reference>
          <reference field="8" count="1" selected="0">
            <x v="141"/>
          </reference>
        </references>
      </pivotArea>
    </chartFormat>
    <chartFormat chart="5" format="104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6"/>
          </reference>
        </references>
      </pivotArea>
    </chartFormat>
    <chartFormat chart="5" format="1048">
      <pivotArea type="data" outline="0" fieldPosition="0">
        <references count="2">
          <reference field="4294967294" count="1" selected="0">
            <x v="0"/>
          </reference>
          <reference field="8" count="1" selected="0">
            <x v="99"/>
          </reference>
        </references>
      </pivotArea>
    </chartFormat>
    <chartFormat chart="5" format="1049">
      <pivotArea type="data" outline="0" fieldPosition="0">
        <references count="2">
          <reference field="4294967294" count="1" selected="0">
            <x v="0"/>
          </reference>
          <reference field="8" count="1" selected="0">
            <x v="76"/>
          </reference>
        </references>
      </pivotArea>
    </chartFormat>
    <chartFormat chart="5" format="1050">
      <pivotArea type="data" outline="0" fieldPosition="0">
        <references count="2">
          <reference field="4294967294" count="1" selected="0">
            <x v="0"/>
          </reference>
          <reference field="8" count="1" selected="0">
            <x v="65"/>
          </reference>
        </references>
      </pivotArea>
    </chartFormat>
    <chartFormat chart="5" format="105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4"/>
          </reference>
        </references>
      </pivotArea>
    </chartFormat>
    <chartFormat chart="5" format="105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8"/>
          </reference>
        </references>
      </pivotArea>
    </chartFormat>
    <chartFormat chart="5" format="1053">
      <pivotArea type="data" outline="0" fieldPosition="0">
        <references count="2">
          <reference field="4294967294" count="1" selected="0">
            <x v="0"/>
          </reference>
          <reference field="8" count="1" selected="0">
            <x v="155"/>
          </reference>
        </references>
      </pivotArea>
    </chartFormat>
    <chartFormat chart="5" format="1054">
      <pivotArea type="data" outline="0" fieldPosition="0">
        <references count="2">
          <reference field="4294967294" count="1" selected="0">
            <x v="0"/>
          </reference>
          <reference field="8" count="1" selected="0">
            <x v="146"/>
          </reference>
        </references>
      </pivotArea>
    </chartFormat>
    <chartFormat chart="5" format="105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1056">
      <pivotArea type="data" outline="0" fieldPosition="0">
        <references count="2">
          <reference field="4294967294" count="1" selected="0">
            <x v="0"/>
          </reference>
          <reference field="8" count="1" selected="0">
            <x v="43"/>
          </reference>
        </references>
      </pivotArea>
    </chartFormat>
    <chartFormat chart="5" format="1057">
      <pivotArea type="data" outline="0" fieldPosition="0">
        <references count="2">
          <reference field="4294967294" count="1" selected="0">
            <x v="0"/>
          </reference>
          <reference field="8" count="1" selected="0">
            <x v="55"/>
          </reference>
        </references>
      </pivotArea>
    </chartFormat>
    <chartFormat chart="5" format="1058">
      <pivotArea type="data" outline="0" fieldPosition="0">
        <references count="2">
          <reference field="4294967294" count="1" selected="0">
            <x v="0"/>
          </reference>
          <reference field="8" count="1" selected="0">
            <x v="109"/>
          </reference>
        </references>
      </pivotArea>
    </chartFormat>
    <chartFormat chart="5" format="1059">
      <pivotArea type="data" outline="0" fieldPosition="0">
        <references count="2">
          <reference field="4294967294" count="1" selected="0">
            <x v="0"/>
          </reference>
          <reference field="8" count="1" selected="0">
            <x v="48"/>
          </reference>
        </references>
      </pivotArea>
    </chartFormat>
    <chartFormat chart="5" format="1060">
      <pivotArea type="data" outline="0" fieldPosition="0">
        <references count="2">
          <reference field="4294967294" count="1" selected="0">
            <x v="0"/>
          </reference>
          <reference field="8" count="1" selected="0">
            <x v="94"/>
          </reference>
        </references>
      </pivotArea>
    </chartFormat>
    <chartFormat chart="5" format="106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5" format="1062">
      <pivotArea type="data" outline="0" fieldPosition="0">
        <references count="2">
          <reference field="4294967294" count="1" selected="0">
            <x v="0"/>
          </reference>
          <reference field="8" count="1" selected="0">
            <x v="98"/>
          </reference>
        </references>
      </pivotArea>
    </chartFormat>
    <chartFormat chart="5" format="1063">
      <pivotArea type="data" outline="0" fieldPosition="0">
        <references count="2">
          <reference field="4294967294" count="1" selected="0">
            <x v="0"/>
          </reference>
          <reference field="8" count="1" selected="0">
            <x v="33"/>
          </reference>
        </references>
      </pivotArea>
    </chartFormat>
    <chartFormat chart="5" format="106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6"/>
          </reference>
        </references>
      </pivotArea>
    </chartFormat>
    <chartFormat chart="5" format="1065">
      <pivotArea type="data" outline="0" fieldPosition="0">
        <references count="2">
          <reference field="4294967294" count="1" selected="0">
            <x v="0"/>
          </reference>
          <reference field="8" count="1" selected="0">
            <x v="84"/>
          </reference>
        </references>
      </pivotArea>
    </chartFormat>
    <chartFormat chart="5" format="1066">
      <pivotArea type="data" outline="0" fieldPosition="0">
        <references count="2">
          <reference field="4294967294" count="1" selected="0">
            <x v="0"/>
          </reference>
          <reference field="8" count="1" selected="0">
            <x v="67"/>
          </reference>
        </references>
      </pivotArea>
    </chartFormat>
    <chartFormat chart="5" format="1067">
      <pivotArea type="data" outline="0" fieldPosition="0">
        <references count="2">
          <reference field="4294967294" count="1" selected="0">
            <x v="0"/>
          </reference>
          <reference field="8" count="1" selected="0">
            <x v="80"/>
          </reference>
        </references>
      </pivotArea>
    </chartFormat>
    <chartFormat chart="5" format="106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9"/>
          </reference>
        </references>
      </pivotArea>
    </chartFormat>
    <chartFormat chart="5" format="1069">
      <pivotArea type="data" outline="0" fieldPosition="0">
        <references count="2">
          <reference field="4294967294" count="1" selected="0">
            <x v="0"/>
          </reference>
          <reference field="8" count="1" selected="0">
            <x v="124"/>
          </reference>
        </references>
      </pivotArea>
    </chartFormat>
    <chartFormat chart="5" format="1070">
      <pivotArea type="data" outline="0" fieldPosition="0">
        <references count="2">
          <reference field="4294967294" count="1" selected="0">
            <x v="0"/>
          </reference>
          <reference field="8" count="1" selected="0">
            <x v="107"/>
          </reference>
        </references>
      </pivotArea>
    </chartFormat>
    <chartFormat chart="5" format="107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6"/>
          </reference>
        </references>
      </pivotArea>
    </chartFormat>
    <chartFormat chart="5" format="1072">
      <pivotArea type="data" outline="0" fieldPosition="0">
        <references count="2">
          <reference field="4294967294" count="1" selected="0">
            <x v="0"/>
          </reference>
          <reference field="8" count="1" selected="0">
            <x v="96"/>
          </reference>
        </references>
      </pivotArea>
    </chartFormat>
    <chartFormat chart="5" format="1073">
      <pivotArea type="data" outline="0" fieldPosition="0">
        <references count="2">
          <reference field="4294967294" count="1" selected="0">
            <x v="0"/>
          </reference>
          <reference field="8" count="1" selected="0">
            <x v="125"/>
          </reference>
        </references>
      </pivotArea>
    </chartFormat>
    <chartFormat chart="5" format="1074">
      <pivotArea type="data" outline="0" fieldPosition="0">
        <references count="2">
          <reference field="4294967294" count="1" selected="0">
            <x v="0"/>
          </reference>
          <reference field="8" count="1" selected="0">
            <x v="105"/>
          </reference>
        </references>
      </pivotArea>
    </chartFormat>
    <chartFormat chart="5" format="107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5" format="1076">
      <pivotArea type="data" outline="0" fieldPosition="0">
        <references count="2">
          <reference field="4294967294" count="1" selected="0">
            <x v="0"/>
          </reference>
          <reference field="8" count="1" selected="0">
            <x v="70"/>
          </reference>
        </references>
      </pivotArea>
    </chartFormat>
    <chartFormat chart="5" format="1077">
      <pivotArea type="data" outline="0" fieldPosition="0">
        <references count="2">
          <reference field="4294967294" count="1" selected="0">
            <x v="0"/>
          </reference>
          <reference field="8" count="1" selected="0">
            <x v="110"/>
          </reference>
        </references>
      </pivotArea>
    </chartFormat>
    <chartFormat chart="5" format="1078">
      <pivotArea type="data" outline="0" fieldPosition="0">
        <references count="2">
          <reference field="4294967294" count="1" selected="0">
            <x v="0"/>
          </reference>
          <reference field="8" count="1" selected="0">
            <x v="85"/>
          </reference>
        </references>
      </pivotArea>
    </chartFormat>
    <chartFormat chart="5" format="1079">
      <pivotArea type="data" outline="0" fieldPosition="0">
        <references count="2">
          <reference field="4294967294" count="1" selected="0">
            <x v="0"/>
          </reference>
          <reference field="8" count="1" selected="0">
            <x v="74"/>
          </reference>
        </references>
      </pivotArea>
    </chartFormat>
    <chartFormat chart="5" format="1080">
      <pivotArea type="data" outline="0" fieldPosition="0">
        <references count="2">
          <reference field="4294967294" count="1" selected="0">
            <x v="0"/>
          </reference>
          <reference field="8" count="1" selected="0">
            <x v="123"/>
          </reference>
        </references>
      </pivotArea>
    </chartFormat>
    <chartFormat chart="5" format="108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7"/>
          </reference>
        </references>
      </pivotArea>
    </chartFormat>
    <chartFormat chart="5" format="1082">
      <pivotArea type="data" outline="0" fieldPosition="0">
        <references count="2">
          <reference field="4294967294" count="1" selected="0">
            <x v="0"/>
          </reference>
          <reference field="8" count="1" selected="0">
            <x v="41"/>
          </reference>
        </references>
      </pivotArea>
    </chartFormat>
    <chartFormat chart="5" format="108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1"/>
          </reference>
        </references>
      </pivotArea>
    </chartFormat>
    <chartFormat chart="5" format="1084">
      <pivotArea type="data" outline="0" fieldPosition="0">
        <references count="2">
          <reference field="4294967294" count="1" selected="0">
            <x v="0"/>
          </reference>
          <reference field="8" count="1" selected="0">
            <x v="116"/>
          </reference>
        </references>
      </pivotArea>
    </chartFormat>
    <chartFormat chart="5" format="108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1"/>
          </reference>
        </references>
      </pivotArea>
    </chartFormat>
    <chartFormat chart="5" format="1086">
      <pivotArea type="data" outline="0" fieldPosition="0">
        <references count="2">
          <reference field="4294967294" count="1" selected="0">
            <x v="0"/>
          </reference>
          <reference field="8" count="1" selected="0">
            <x v="115"/>
          </reference>
        </references>
      </pivotArea>
    </chartFormat>
    <chartFormat chart="5" format="1087">
      <pivotArea type="data" outline="0" fieldPosition="0">
        <references count="2">
          <reference field="4294967294" count="1" selected="0">
            <x v="0"/>
          </reference>
          <reference field="8" count="1" selected="0">
            <x v="42"/>
          </reference>
        </references>
      </pivotArea>
    </chartFormat>
    <chartFormat chart="5" format="1088">
      <pivotArea type="data" outline="0" fieldPosition="0">
        <references count="2">
          <reference field="4294967294" count="1" selected="0">
            <x v="0"/>
          </reference>
          <reference field="8" count="1" selected="0">
            <x v="104"/>
          </reference>
        </references>
      </pivotArea>
    </chartFormat>
    <chartFormat chart="5" format="1089">
      <pivotArea type="data" outline="0" fieldPosition="0">
        <references count="2">
          <reference field="4294967294" count="1" selected="0">
            <x v="0"/>
          </reference>
          <reference field="8" count="1" selected="0">
            <x v="147"/>
          </reference>
        </references>
      </pivotArea>
    </chartFormat>
    <chartFormat chart="5" format="1090">
      <pivotArea type="data" outline="0" fieldPosition="0">
        <references count="2">
          <reference field="4294967294" count="1" selected="0">
            <x v="0"/>
          </reference>
          <reference field="8" count="1" selected="0">
            <x v="56"/>
          </reference>
        </references>
      </pivotArea>
    </chartFormat>
    <chartFormat chart="5" format="109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6"/>
          </reference>
        </references>
      </pivotArea>
    </chartFormat>
    <chartFormat chart="5" format="109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9"/>
          </reference>
        </references>
      </pivotArea>
    </chartFormat>
    <chartFormat chart="5" format="1093">
      <pivotArea type="data" outline="0" fieldPosition="0">
        <references count="2">
          <reference field="4294967294" count="1" selected="0">
            <x v="0"/>
          </reference>
          <reference field="8" count="1" selected="0">
            <x v="92"/>
          </reference>
        </references>
      </pivotArea>
    </chartFormat>
    <chartFormat chart="5" format="109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2"/>
          </reference>
        </references>
      </pivotArea>
    </chartFormat>
    <chartFormat chart="5" format="1095">
      <pivotArea type="data" outline="0" fieldPosition="0">
        <references count="2">
          <reference field="4294967294" count="1" selected="0">
            <x v="0"/>
          </reference>
          <reference field="8" count="1" selected="0">
            <x v="39"/>
          </reference>
        </references>
      </pivotArea>
    </chartFormat>
    <chartFormat chart="5" format="1096">
      <pivotArea type="data" outline="0" fieldPosition="0">
        <references count="2">
          <reference field="4294967294" count="1" selected="0">
            <x v="0"/>
          </reference>
          <reference field="8" count="1" selected="0">
            <x v="72"/>
          </reference>
        </references>
      </pivotArea>
    </chartFormat>
    <chartFormat chart="5" format="1097">
      <pivotArea type="data" outline="0" fieldPosition="0">
        <references count="2">
          <reference field="4294967294" count="1" selected="0">
            <x v="0"/>
          </reference>
          <reference field="8" count="1" selected="0">
            <x v="129"/>
          </reference>
        </references>
      </pivotArea>
    </chartFormat>
    <chartFormat chart="5" format="1098">
      <pivotArea type="data" outline="0" fieldPosition="0">
        <references count="2">
          <reference field="4294967294" count="1" selected="0">
            <x v="0"/>
          </reference>
          <reference field="8" count="1" selected="0">
            <x v="75"/>
          </reference>
        </references>
      </pivotArea>
    </chartFormat>
    <chartFormat chart="5" format="1099">
      <pivotArea type="data" outline="0" fieldPosition="0">
        <references count="2">
          <reference field="4294967294" count="1" selected="0">
            <x v="0"/>
          </reference>
          <reference field="8" count="1" selected="0">
            <x v="127"/>
          </reference>
        </references>
      </pivotArea>
    </chartFormat>
    <chartFormat chart="5" format="1100">
      <pivotArea type="data" outline="0" fieldPosition="0">
        <references count="2">
          <reference field="4294967294" count="1" selected="0">
            <x v="0"/>
          </reference>
          <reference field="8" count="1" selected="0">
            <x v="151"/>
          </reference>
        </references>
      </pivotArea>
    </chartFormat>
    <chartFormat chart="5" format="110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2"/>
          </reference>
        </references>
      </pivotArea>
    </chartFormat>
    <chartFormat chart="5" format="1102">
      <pivotArea type="data" outline="0" fieldPosition="0">
        <references count="2">
          <reference field="4294967294" count="1" selected="0">
            <x v="0"/>
          </reference>
          <reference field="8" count="1" selected="0">
            <x v="158"/>
          </reference>
        </references>
      </pivotArea>
    </chartFormat>
    <chartFormat chart="5" format="1103">
      <pivotArea type="data" outline="0" fieldPosition="0">
        <references count="2">
          <reference field="4294967294" count="1" selected="0">
            <x v="0"/>
          </reference>
          <reference field="8" count="1" selected="0">
            <x v="35"/>
          </reference>
        </references>
      </pivotArea>
    </chartFormat>
    <chartFormat chart="5" format="1104">
      <pivotArea type="data" outline="0" fieldPosition="0">
        <references count="2">
          <reference field="4294967294" count="1" selected="0">
            <x v="0"/>
          </reference>
          <reference field="8" count="1" selected="0">
            <x v="130"/>
          </reference>
        </references>
      </pivotArea>
    </chartFormat>
    <chartFormat chart="5" format="110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2"/>
          </reference>
        </references>
      </pivotArea>
    </chartFormat>
    <chartFormat chart="5" format="1106">
      <pivotArea type="data" outline="0" fieldPosition="0">
        <references count="2">
          <reference field="4294967294" count="1" selected="0">
            <x v="0"/>
          </reference>
          <reference field="8" count="1" selected="0">
            <x v="26"/>
          </reference>
        </references>
      </pivotArea>
    </chartFormat>
    <chartFormat chart="5" format="1107">
      <pivotArea type="data" outline="0" fieldPosition="0">
        <references count="2">
          <reference field="4294967294" count="1" selected="0">
            <x v="0"/>
          </reference>
          <reference field="8" count="1" selected="0">
            <x v="120"/>
          </reference>
        </references>
      </pivotArea>
    </chartFormat>
    <chartFormat chart="5" format="1108">
      <pivotArea type="data" outline="0" fieldPosition="0">
        <references count="2">
          <reference field="4294967294" count="1" selected="0">
            <x v="0"/>
          </reference>
          <reference field="8" count="1" selected="0">
            <x v="87"/>
          </reference>
        </references>
      </pivotArea>
    </chartFormat>
    <chartFormat chart="5" format="1109">
      <pivotArea type="data" outline="0" fieldPosition="0">
        <references count="2">
          <reference field="4294967294" count="1" selected="0">
            <x v="0"/>
          </reference>
          <reference field="8" count="1" selected="0">
            <x v="36"/>
          </reference>
        </references>
      </pivotArea>
    </chartFormat>
    <chartFormat chart="5" format="1110">
      <pivotArea type="data" outline="0" fieldPosition="0">
        <references count="2">
          <reference field="4294967294" count="1" selected="0">
            <x v="0"/>
          </reference>
          <reference field="8" count="1" selected="0">
            <x v="95"/>
          </reference>
        </references>
      </pivotArea>
    </chartFormat>
    <chartFormat chart="5" format="11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2"/>
          </reference>
        </references>
      </pivotArea>
    </chartFormat>
    <chartFormat chart="5" format="1112">
      <pivotArea type="data" outline="0" fieldPosition="0">
        <references count="2">
          <reference field="4294967294" count="1" selected="0">
            <x v="0"/>
          </reference>
          <reference field="8" count="1" selected="0">
            <x v="97"/>
          </reference>
        </references>
      </pivotArea>
    </chartFormat>
    <chartFormat chart="5" format="1113">
      <pivotArea type="data" outline="0" fieldPosition="0">
        <references count="2">
          <reference field="4294967294" count="1" selected="0">
            <x v="0"/>
          </reference>
          <reference field="8" count="1" selected="0">
            <x v="71"/>
          </reference>
        </references>
      </pivotArea>
    </chartFormat>
    <chartFormat chart="5" format="11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1"/>
          </reference>
        </references>
      </pivotArea>
    </chartFormat>
    <chartFormat chart="5" format="111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8"/>
          </reference>
        </references>
      </pivotArea>
    </chartFormat>
    <chartFormat chart="5" format="1116">
      <pivotArea type="data" outline="0" fieldPosition="0">
        <references count="2">
          <reference field="4294967294" count="1" selected="0">
            <x v="0"/>
          </reference>
          <reference field="8" count="1" selected="0">
            <x v="133"/>
          </reference>
        </references>
      </pivotArea>
    </chartFormat>
    <chartFormat chart="5" format="111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5"/>
          </reference>
        </references>
      </pivotArea>
    </chartFormat>
    <chartFormat chart="5" format="1118">
      <pivotArea type="data" outline="0" fieldPosition="0">
        <references count="2">
          <reference field="4294967294" count="1" selected="0">
            <x v="0"/>
          </reference>
          <reference field="8" count="1" selected="0">
            <x v="131"/>
          </reference>
        </references>
      </pivotArea>
    </chartFormat>
    <chartFormat chart="5" format="1119">
      <pivotArea type="data" outline="0" fieldPosition="0">
        <references count="2">
          <reference field="4294967294" count="1" selected="0">
            <x v="0"/>
          </reference>
          <reference field="8" count="1" selected="0">
            <x v="69"/>
          </reference>
        </references>
      </pivotArea>
    </chartFormat>
    <chartFormat chart="5" format="11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121">
      <pivotArea type="data" outline="0" fieldPosition="0">
        <references count="2">
          <reference field="4294967294" count="1" selected="0">
            <x v="1"/>
          </reference>
          <reference field="8" count="1" selected="0">
            <x v="148"/>
          </reference>
        </references>
      </pivotArea>
    </chartFormat>
    <chartFormat chart="5" format="1122">
      <pivotArea type="data" outline="0" fieldPosition="0">
        <references count="2">
          <reference field="4294967294" count="1" selected="0">
            <x v="1"/>
          </reference>
          <reference field="8" count="1" selected="0">
            <x v="24"/>
          </reference>
        </references>
      </pivotArea>
    </chartFormat>
    <chartFormat chart="5" format="1123">
      <pivotArea type="data" outline="0" fieldPosition="0">
        <references count="2">
          <reference field="4294967294" count="1" selected="0">
            <x v="1"/>
          </reference>
          <reference field="8" count="1" selected="0">
            <x v="29"/>
          </reference>
        </references>
      </pivotArea>
    </chartFormat>
    <chartFormat chart="5" format="1124">
      <pivotArea type="data" outline="0" fieldPosition="0">
        <references count="2">
          <reference field="4294967294" count="1" selected="0">
            <x v="1"/>
          </reference>
          <reference field="8" count="1" selected="0">
            <x v="16"/>
          </reference>
        </references>
      </pivotArea>
    </chartFormat>
    <chartFormat chart="5" format="1125">
      <pivotArea type="data" outline="0" fieldPosition="0">
        <references count="2">
          <reference field="4294967294" count="1" selected="0">
            <x v="1"/>
          </reference>
          <reference field="8" count="1" selected="0">
            <x v="7"/>
          </reference>
        </references>
      </pivotArea>
    </chartFormat>
    <chartFormat chart="5" format="1126">
      <pivotArea type="data" outline="0" fieldPosition="0">
        <references count="2">
          <reference field="4294967294" count="1" selected="0">
            <x v="1"/>
          </reference>
          <reference field="8" count="1" selected="0">
            <x v="18"/>
          </reference>
        </references>
      </pivotArea>
    </chartFormat>
    <chartFormat chart="5" format="1127">
      <pivotArea type="data" outline="0" fieldPosition="0">
        <references count="2">
          <reference field="4294967294" count="1" selected="0">
            <x v="1"/>
          </reference>
          <reference field="8" count="1" selected="0">
            <x v="64"/>
          </reference>
        </references>
      </pivotArea>
    </chartFormat>
    <chartFormat chart="5" format="1128">
      <pivotArea type="data" outline="0" fieldPosition="0">
        <references count="2">
          <reference field="4294967294" count="1" selected="0">
            <x v="1"/>
          </reference>
          <reference field="8" count="1" selected="0">
            <x v="140"/>
          </reference>
        </references>
      </pivotArea>
    </chartFormat>
    <chartFormat chart="5" format="1129">
      <pivotArea type="data" outline="0" fieldPosition="0">
        <references count="2">
          <reference field="4294967294" count="1" selected="0">
            <x v="1"/>
          </reference>
          <reference field="8" count="1" selected="0">
            <x v="28"/>
          </reference>
        </references>
      </pivotArea>
    </chartFormat>
    <chartFormat chart="5" format="1130">
      <pivotArea type="data" outline="0" fieldPosition="0">
        <references count="2">
          <reference field="4294967294" count="1" selected="0">
            <x v="1"/>
          </reference>
          <reference field="8" count="1" selected="0">
            <x v="9"/>
          </reference>
        </references>
      </pivotArea>
    </chartFormat>
    <chartFormat chart="5" format="1131">
      <pivotArea type="data" outline="0" fieldPosition="0">
        <references count="2">
          <reference field="4294967294" count="1" selected="0">
            <x v="1"/>
          </reference>
          <reference field="8" count="1" selected="0">
            <x v="13"/>
          </reference>
        </references>
      </pivotArea>
    </chartFormat>
    <chartFormat chart="5" format="1132">
      <pivotArea type="data" outline="0" fieldPosition="0">
        <references count="2">
          <reference field="4294967294" count="1" selected="0">
            <x v="1"/>
          </reference>
          <reference field="8" count="1" selected="0">
            <x v="139"/>
          </reference>
        </references>
      </pivotArea>
    </chartFormat>
    <chartFormat chart="5" format="1133">
      <pivotArea type="data" outline="0" fieldPosition="0">
        <references count="2">
          <reference field="4294967294" count="1" selected="0">
            <x v="1"/>
          </reference>
          <reference field="8" count="1" selected="0">
            <x v="52"/>
          </reference>
        </references>
      </pivotArea>
    </chartFormat>
    <chartFormat chart="5" format="1134">
      <pivotArea type="data" outline="0" fieldPosition="0">
        <references count="2">
          <reference field="4294967294" count="1" selected="0">
            <x v="1"/>
          </reference>
          <reference field="8" count="1" selected="0">
            <x v="21"/>
          </reference>
        </references>
      </pivotArea>
    </chartFormat>
    <chartFormat chart="5" format="1135">
      <pivotArea type="data" outline="0" fieldPosition="0">
        <references count="2">
          <reference field="4294967294" count="1" selected="0">
            <x v="1"/>
          </reference>
          <reference field="8" count="1" selected="0">
            <x v="11"/>
          </reference>
        </references>
      </pivotArea>
    </chartFormat>
    <chartFormat chart="5" format="1136">
      <pivotArea type="data" outline="0" fieldPosition="0">
        <references count="2">
          <reference field="4294967294" count="1" selected="0">
            <x v="1"/>
          </reference>
          <reference field="8" count="1" selected="0">
            <x v="25"/>
          </reference>
        </references>
      </pivotArea>
    </chartFormat>
    <chartFormat chart="5" format="1137">
      <pivotArea type="data" outline="0" fieldPosition="0">
        <references count="2">
          <reference field="4294967294" count="1" selected="0">
            <x v="1"/>
          </reference>
          <reference field="8" count="1" selected="0">
            <x v="27"/>
          </reference>
        </references>
      </pivotArea>
    </chartFormat>
    <chartFormat chart="5" format="1138">
      <pivotArea type="data" outline="0" fieldPosition="0">
        <references count="2">
          <reference field="4294967294" count="1" selected="0">
            <x v="1"/>
          </reference>
          <reference field="8" count="1" selected="0">
            <x v="143"/>
          </reference>
        </references>
      </pivotArea>
    </chartFormat>
    <chartFormat chart="5" format="1139">
      <pivotArea type="data" outline="0" fieldPosition="0">
        <references count="2">
          <reference field="4294967294" count="1" selected="0">
            <x v="1"/>
          </reference>
          <reference field="8" count="1" selected="0">
            <x v="45"/>
          </reference>
        </references>
      </pivotArea>
    </chartFormat>
    <chartFormat chart="5" format="1140">
      <pivotArea type="data" outline="0" fieldPosition="0">
        <references count="2">
          <reference field="4294967294" count="1" selected="0">
            <x v="1"/>
          </reference>
          <reference field="8" count="1" selected="0">
            <x v="61"/>
          </reference>
        </references>
      </pivotArea>
    </chartFormat>
    <chartFormat chart="5" format="1141">
      <pivotArea type="data" outline="0" fieldPosition="0">
        <references count="2">
          <reference field="4294967294" count="1" selected="0">
            <x v="1"/>
          </reference>
          <reference field="8" count="1" selected="0">
            <x v="19"/>
          </reference>
        </references>
      </pivotArea>
    </chartFormat>
    <chartFormat chart="5" format="1142">
      <pivotArea type="data" outline="0" fieldPosition="0">
        <references count="2">
          <reference field="4294967294" count="1" selected="0">
            <x v="1"/>
          </reference>
          <reference field="8" count="1" selected="0">
            <x v="153"/>
          </reference>
        </references>
      </pivotArea>
    </chartFormat>
    <chartFormat chart="5" format="1143">
      <pivotArea type="data" outline="0" fieldPosition="0">
        <references count="2">
          <reference field="4294967294" count="1" selected="0">
            <x v="1"/>
          </reference>
          <reference field="8" count="1" selected="0">
            <x v="8"/>
          </reference>
        </references>
      </pivotArea>
    </chartFormat>
    <chartFormat chart="5" format="1144">
      <pivotArea type="data" outline="0" fieldPosition="0">
        <references count="2">
          <reference field="4294967294" count="1" selected="0">
            <x v="1"/>
          </reference>
          <reference field="8" count="1" selected="0">
            <x v="150"/>
          </reference>
        </references>
      </pivotArea>
    </chartFormat>
    <chartFormat chart="5" format="1145">
      <pivotArea type="data" outline="0" fieldPosition="0">
        <references count="2">
          <reference field="4294967294" count="1" selected="0">
            <x v="1"/>
          </reference>
          <reference field="8" count="1" selected="0">
            <x v="14"/>
          </reference>
        </references>
      </pivotArea>
    </chartFormat>
    <chartFormat chart="5" format="1146">
      <pivotArea type="data" outline="0" fieldPosition="0">
        <references count="2">
          <reference field="4294967294" count="1" selected="0">
            <x v="1"/>
          </reference>
          <reference field="8" count="1" selected="0">
            <x v="46"/>
          </reference>
        </references>
      </pivotArea>
    </chartFormat>
    <chartFormat chart="5" format="1147">
      <pivotArea type="data" outline="0" fieldPosition="0">
        <references count="2">
          <reference field="4294967294" count="1" selected="0">
            <x v="1"/>
          </reference>
          <reference field="8" count="1" selected="0">
            <x v="68"/>
          </reference>
        </references>
      </pivotArea>
    </chartFormat>
    <chartFormat chart="5" format="1148">
      <pivotArea type="data" outline="0" fieldPosition="0">
        <references count="2">
          <reference field="4294967294" count="1" selected="0">
            <x v="1"/>
          </reference>
          <reference field="8" count="1" selected="0">
            <x v="53"/>
          </reference>
        </references>
      </pivotArea>
    </chartFormat>
    <chartFormat chart="5" format="1149">
      <pivotArea type="data" outline="0" fieldPosition="0">
        <references count="2">
          <reference field="4294967294" count="1" selected="0">
            <x v="1"/>
          </reference>
          <reference field="8" count="1" selected="0">
            <x v="6"/>
          </reference>
        </references>
      </pivotArea>
    </chartFormat>
    <chartFormat chart="5" format="1150">
      <pivotArea type="data" outline="0" fieldPosition="0">
        <references count="2">
          <reference field="4294967294" count="1" selected="0">
            <x v="1"/>
          </reference>
          <reference field="8" count="1" selected="0">
            <x v="20"/>
          </reference>
        </references>
      </pivotArea>
    </chartFormat>
    <chartFormat chart="5" format="1151">
      <pivotArea type="data" outline="0" fieldPosition="0">
        <references count="2">
          <reference field="4294967294" count="1" selected="0">
            <x v="1"/>
          </reference>
          <reference field="8" count="1" selected="0">
            <x v="34"/>
          </reference>
        </references>
      </pivotArea>
    </chartFormat>
    <chartFormat chart="5" format="1152">
      <pivotArea type="data" outline="0" fieldPosition="0">
        <references count="2">
          <reference field="4294967294" count="1" selected="0">
            <x v="1"/>
          </reference>
          <reference field="8" count="1" selected="0">
            <x v="37"/>
          </reference>
        </references>
      </pivotArea>
    </chartFormat>
    <chartFormat chart="5" format="1153">
      <pivotArea type="data" outline="0" fieldPosition="0">
        <references count="2">
          <reference field="4294967294" count="1" selected="0">
            <x v="1"/>
          </reference>
          <reference field="8" count="1" selected="0">
            <x v="54"/>
          </reference>
        </references>
      </pivotArea>
    </chartFormat>
    <chartFormat chart="5" format="1154">
      <pivotArea type="data" outline="0" fieldPosition="0">
        <references count="2">
          <reference field="4294967294" count="1" selected="0">
            <x v="1"/>
          </reference>
          <reference field="8" count="1" selected="0">
            <x v="145"/>
          </reference>
        </references>
      </pivotArea>
    </chartFormat>
    <chartFormat chart="5" format="1155">
      <pivotArea type="data" outline="0" fieldPosition="0">
        <references count="2">
          <reference field="4294967294" count="1" selected="0">
            <x v="1"/>
          </reference>
          <reference field="8" count="1" selected="0">
            <x v="142"/>
          </reference>
        </references>
      </pivotArea>
    </chartFormat>
    <chartFormat chart="5" format="1156">
      <pivotArea type="data" outline="0" fieldPosition="0">
        <references count="2">
          <reference field="4294967294" count="1" selected="0">
            <x v="1"/>
          </reference>
          <reference field="8" count="1" selected="0">
            <x v="86"/>
          </reference>
        </references>
      </pivotArea>
    </chartFormat>
    <chartFormat chart="5" format="1157">
      <pivotArea type="data" outline="0" fieldPosition="0">
        <references count="2">
          <reference field="4294967294" count="1" selected="0">
            <x v="1"/>
          </reference>
          <reference field="8" count="1" selected="0">
            <x v="51"/>
          </reference>
        </references>
      </pivotArea>
    </chartFormat>
    <chartFormat chart="5" format="1158">
      <pivotArea type="data" outline="0" fieldPosition="0">
        <references count="2">
          <reference field="4294967294" count="1" selected="0">
            <x v="1"/>
          </reference>
          <reference field="8" count="1" selected="0">
            <x v="15"/>
          </reference>
        </references>
      </pivotArea>
    </chartFormat>
    <chartFormat chart="5" format="1159">
      <pivotArea type="data" outline="0" fieldPosition="0">
        <references count="2">
          <reference field="4294967294" count="1" selected="0">
            <x v="1"/>
          </reference>
          <reference field="8" count="1" selected="0">
            <x v="40"/>
          </reference>
        </references>
      </pivotArea>
    </chartFormat>
    <chartFormat chart="5" format="1160">
      <pivotArea type="data" outline="0" fieldPosition="0">
        <references count="2">
          <reference field="4294967294" count="1" selected="0">
            <x v="1"/>
          </reference>
          <reference field="8" count="1" selected="0">
            <x v="49"/>
          </reference>
        </references>
      </pivotArea>
    </chartFormat>
    <chartFormat chart="5" format="1161">
      <pivotArea type="data" outline="0" fieldPosition="0">
        <references count="2">
          <reference field="4294967294" count="1" selected="0">
            <x v="1"/>
          </reference>
          <reference field="8" count="1" selected="0">
            <x v="17"/>
          </reference>
        </references>
      </pivotArea>
    </chartFormat>
    <chartFormat chart="5" format="1162">
      <pivotArea type="data" outline="0" fieldPosition="0">
        <references count="2">
          <reference field="4294967294" count="1" selected="0">
            <x v="1"/>
          </reference>
          <reference field="8" count="1" selected="0">
            <x v="78"/>
          </reference>
        </references>
      </pivotArea>
    </chartFormat>
    <chartFormat chart="5" format="1163">
      <pivotArea type="data" outline="0" fieldPosition="0">
        <references count="2">
          <reference field="4294967294" count="1" selected="0">
            <x v="1"/>
          </reference>
          <reference field="8" count="1" selected="0">
            <x v="81"/>
          </reference>
        </references>
      </pivotArea>
    </chartFormat>
    <chartFormat chart="5" format="1164">
      <pivotArea type="data" outline="0" fieldPosition="0">
        <references count="2">
          <reference field="4294967294" count="1" selected="0">
            <x v="1"/>
          </reference>
          <reference field="8" count="1" selected="0">
            <x v="154"/>
          </reference>
        </references>
      </pivotArea>
    </chartFormat>
    <chartFormat chart="5" format="1165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5" format="1166">
      <pivotArea type="data" outline="0" fieldPosition="0">
        <references count="2">
          <reference field="4294967294" count="1" selected="0">
            <x v="1"/>
          </reference>
          <reference field="8" count="1" selected="0">
            <x v="144"/>
          </reference>
        </references>
      </pivotArea>
    </chartFormat>
    <chartFormat chart="5" format="1167">
      <pivotArea type="data" outline="0" fieldPosition="0">
        <references count="2">
          <reference field="4294967294" count="1" selected="0">
            <x v="1"/>
          </reference>
          <reference field="8" count="1" selected="0">
            <x v="138"/>
          </reference>
        </references>
      </pivotArea>
    </chartFormat>
    <chartFormat chart="5" format="1168">
      <pivotArea type="data" outline="0" fieldPosition="0">
        <references count="2">
          <reference field="4294967294" count="1" selected="0">
            <x v="1"/>
          </reference>
          <reference field="8" count="1" selected="0">
            <x v="47"/>
          </reference>
        </references>
      </pivotArea>
    </chartFormat>
    <chartFormat chart="5" format="1169">
      <pivotArea type="data" outline="0" fieldPosition="0">
        <references count="2">
          <reference field="4294967294" count="1" selected="0">
            <x v="1"/>
          </reference>
          <reference field="8" count="1" selected="0">
            <x v="63"/>
          </reference>
        </references>
      </pivotArea>
    </chartFormat>
    <chartFormat chart="5" format="1170">
      <pivotArea type="data" outline="0" fieldPosition="0">
        <references count="2">
          <reference field="4294967294" count="1" selected="0">
            <x v="1"/>
          </reference>
          <reference field="8" count="1" selected="0">
            <x v="112"/>
          </reference>
        </references>
      </pivotArea>
    </chartFormat>
    <chartFormat chart="5" format="1171">
      <pivotArea type="data" outline="0" fieldPosition="0">
        <references count="2">
          <reference field="4294967294" count="1" selected="0">
            <x v="1"/>
          </reference>
          <reference field="8" count="1" selected="0">
            <x v="31"/>
          </reference>
        </references>
      </pivotArea>
    </chartFormat>
    <chartFormat chart="5" format="1172">
      <pivotArea type="data" outline="0" fieldPosition="0">
        <references count="2">
          <reference field="4294967294" count="1" selected="0">
            <x v="1"/>
          </reference>
          <reference field="8" count="1" selected="0">
            <x v="73"/>
          </reference>
        </references>
      </pivotArea>
    </chartFormat>
    <chartFormat chart="5" format="1173">
      <pivotArea type="data" outline="0" fieldPosition="0">
        <references count="2">
          <reference field="4294967294" count="1" selected="0">
            <x v="1"/>
          </reference>
          <reference field="8" count="1" selected="0">
            <x v="83"/>
          </reference>
        </references>
      </pivotArea>
    </chartFormat>
    <chartFormat chart="5" format="1174">
      <pivotArea type="data" outline="0" fieldPosition="0">
        <references count="2">
          <reference field="4294967294" count="1" selected="0">
            <x v="1"/>
          </reference>
          <reference field="8" count="1" selected="0">
            <x v="79"/>
          </reference>
        </references>
      </pivotArea>
    </chartFormat>
    <chartFormat chart="5" format="117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"/>
          </reference>
        </references>
      </pivotArea>
    </chartFormat>
    <chartFormat chart="5" format="1176">
      <pivotArea type="data" outline="0" fieldPosition="0">
        <references count="2">
          <reference field="4294967294" count="1" selected="0">
            <x v="1"/>
          </reference>
          <reference field="8" count="1" selected="0">
            <x v="82"/>
          </reference>
        </references>
      </pivotArea>
    </chartFormat>
    <chartFormat chart="5" format="1177">
      <pivotArea type="data" outline="0" fieldPosition="0">
        <references count="2">
          <reference field="4294967294" count="1" selected="0">
            <x v="1"/>
          </reference>
          <reference field="8" count="1" selected="0">
            <x v="62"/>
          </reference>
        </references>
      </pivotArea>
    </chartFormat>
    <chartFormat chart="5" format="1178">
      <pivotArea type="data" outline="0" fieldPosition="0">
        <references count="2">
          <reference field="4294967294" count="1" selected="0">
            <x v="1"/>
          </reference>
          <reference field="8" count="1" selected="0">
            <x v="88"/>
          </reference>
        </references>
      </pivotArea>
    </chartFormat>
    <chartFormat chart="5" format="1179">
      <pivotArea type="data" outline="0" fieldPosition="0">
        <references count="2">
          <reference field="4294967294" count="1" selected="0">
            <x v="1"/>
          </reference>
          <reference field="8" count="1" selected="0">
            <x v="90"/>
          </reference>
        </references>
      </pivotArea>
    </chartFormat>
    <chartFormat chart="5" format="1180">
      <pivotArea type="data" outline="0" fieldPosition="0">
        <references count="2">
          <reference field="4294967294" count="1" selected="0">
            <x v="1"/>
          </reference>
          <reference field="8" count="1" selected="0">
            <x v="22"/>
          </reference>
        </references>
      </pivotArea>
    </chartFormat>
    <chartFormat chart="5" format="1181">
      <pivotArea type="data" outline="0" fieldPosition="0">
        <references count="2">
          <reference field="4294967294" count="1" selected="0">
            <x v="1"/>
          </reference>
          <reference field="8" count="1" selected="0">
            <x v="128"/>
          </reference>
        </references>
      </pivotArea>
    </chartFormat>
    <chartFormat chart="5" format="1182">
      <pivotArea type="data" outline="0" fieldPosition="0">
        <references count="2">
          <reference field="4294967294" count="1" selected="0">
            <x v="1"/>
          </reference>
          <reference field="8" count="1" selected="0">
            <x v="66"/>
          </reference>
        </references>
      </pivotArea>
    </chartFormat>
    <chartFormat chart="5" format="1183">
      <pivotArea type="data" outline="0" fieldPosition="0">
        <references count="2">
          <reference field="4294967294" count="1" selected="0">
            <x v="1"/>
          </reference>
          <reference field="8" count="1" selected="0">
            <x v="60"/>
          </reference>
        </references>
      </pivotArea>
    </chartFormat>
    <chartFormat chart="5" format="1184">
      <pivotArea type="data" outline="0" fieldPosition="0">
        <references count="2">
          <reference field="4294967294" count="1" selected="0">
            <x v="1"/>
          </reference>
          <reference field="8" count="1" selected="0">
            <x v="50"/>
          </reference>
        </references>
      </pivotArea>
    </chartFormat>
    <chartFormat chart="5" format="1185">
      <pivotArea type="data" outline="0" fieldPosition="0">
        <references count="2">
          <reference field="4294967294" count="1" selected="0">
            <x v="1"/>
          </reference>
          <reference field="8" count="1" selected="0">
            <x v="57"/>
          </reference>
        </references>
      </pivotArea>
    </chartFormat>
    <chartFormat chart="5" format="1186">
      <pivotArea type="data" outline="0" fieldPosition="0">
        <references count="2">
          <reference field="4294967294" count="1" selected="0">
            <x v="1"/>
          </reference>
          <reference field="8" count="1" selected="0">
            <x v="93"/>
          </reference>
        </references>
      </pivotArea>
    </chartFormat>
    <chartFormat chart="5" format="1187">
      <pivotArea type="data" outline="0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chartFormat>
    <chartFormat chart="5" format="1188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5" format="1189">
      <pivotArea type="data" outline="0" fieldPosition="0">
        <references count="2">
          <reference field="4294967294" count="1" selected="0">
            <x v="1"/>
          </reference>
          <reference field="8" count="1" selected="0">
            <x v="137"/>
          </reference>
        </references>
      </pivotArea>
    </chartFormat>
    <chartFormat chart="5" format="1190">
      <pivotArea type="data" outline="0" fieldPosition="0">
        <references count="2">
          <reference field="4294967294" count="1" selected="0">
            <x v="1"/>
          </reference>
          <reference field="8" count="1" selected="0">
            <x v="5"/>
          </reference>
        </references>
      </pivotArea>
    </chartFormat>
    <chartFormat chart="5" format="1191">
      <pivotArea type="data" outline="0" fieldPosition="0">
        <references count="2">
          <reference field="4294967294" count="1" selected="0">
            <x v="1"/>
          </reference>
          <reference field="8" count="1" selected="0">
            <x v="32"/>
          </reference>
        </references>
      </pivotArea>
    </chartFormat>
    <chartFormat chart="5" format="1192">
      <pivotArea type="data" outline="0" fieldPosition="0">
        <references count="2">
          <reference field="4294967294" count="1" selected="0">
            <x v="1"/>
          </reference>
          <reference field="8" count="1" selected="0">
            <x v="114"/>
          </reference>
        </references>
      </pivotArea>
    </chartFormat>
    <chartFormat chart="5" format="1193">
      <pivotArea type="data" outline="0" fieldPosition="0">
        <references count="2">
          <reference field="4294967294" count="1" selected="0">
            <x v="1"/>
          </reference>
          <reference field="8" count="1" selected="0">
            <x v="113"/>
          </reference>
        </references>
      </pivotArea>
    </chartFormat>
    <chartFormat chart="5" format="1194">
      <pivotArea type="data" outline="0" fieldPosition="0">
        <references count="2">
          <reference field="4294967294" count="1" selected="0">
            <x v="1"/>
          </reference>
          <reference field="8" count="1" selected="0">
            <x v="12"/>
          </reference>
        </references>
      </pivotArea>
    </chartFormat>
    <chartFormat chart="5" format="1195">
      <pivotArea type="data" outline="0" fieldPosition="0">
        <references count="2">
          <reference field="4294967294" count="1" selected="0">
            <x v="1"/>
          </reference>
          <reference field="8" count="1" selected="0">
            <x v="30"/>
          </reference>
        </references>
      </pivotArea>
    </chartFormat>
    <chartFormat chart="5" format="1196">
      <pivotArea type="data" outline="0" fieldPosition="0">
        <references count="2">
          <reference field="4294967294" count="1" selected="0">
            <x v="1"/>
          </reference>
          <reference field="8" count="1" selected="0">
            <x v="103"/>
          </reference>
        </references>
      </pivotArea>
    </chartFormat>
    <chartFormat chart="5" format="1197">
      <pivotArea type="data" outline="0" fieldPosition="0">
        <references count="2">
          <reference field="4294967294" count="1" selected="0">
            <x v="1"/>
          </reference>
          <reference field="8" count="1" selected="0">
            <x v="89"/>
          </reference>
        </references>
      </pivotArea>
    </chartFormat>
    <chartFormat chart="5" format="1198">
      <pivotArea type="data" outline="0" fieldPosition="0">
        <references count="2">
          <reference field="4294967294" count="1" selected="0">
            <x v="1"/>
          </reference>
          <reference field="8" count="1" selected="0">
            <x v="91"/>
          </reference>
        </references>
      </pivotArea>
    </chartFormat>
    <chartFormat chart="5" format="1199">
      <pivotArea type="data" outline="0" fieldPosition="0">
        <references count="2">
          <reference field="4294967294" count="1" selected="0">
            <x v="1"/>
          </reference>
          <reference field="8" count="1" selected="0">
            <x v="44"/>
          </reference>
        </references>
      </pivotArea>
    </chartFormat>
    <chartFormat chart="5" format="1200">
      <pivotArea type="data" outline="0" fieldPosition="0">
        <references count="2">
          <reference field="4294967294" count="1" selected="0">
            <x v="1"/>
          </reference>
          <reference field="8" count="1" selected="0">
            <x v="157"/>
          </reference>
        </references>
      </pivotArea>
    </chartFormat>
    <chartFormat chart="5" format="1201">
      <pivotArea type="data" outline="0" fieldPosition="0">
        <references count="2">
          <reference field="4294967294" count="1" selected="0">
            <x v="1"/>
          </reference>
          <reference field="8" count="1" selected="0">
            <x v="100"/>
          </reference>
        </references>
      </pivotArea>
    </chartFormat>
    <chartFormat chart="5" format="1202">
      <pivotArea type="data" outline="0" fieldPosition="0">
        <references count="2">
          <reference field="4294967294" count="1" selected="0">
            <x v="1"/>
          </reference>
          <reference field="8" count="1" selected="0">
            <x v="38"/>
          </reference>
        </references>
      </pivotArea>
    </chartFormat>
    <chartFormat chart="5" format="1203">
      <pivotArea type="data" outline="0" fieldPosition="0">
        <references count="2">
          <reference field="4294967294" count="1" selected="0">
            <x v="1"/>
          </reference>
          <reference field="8" count="1" selected="0">
            <x v="77"/>
          </reference>
        </references>
      </pivotArea>
    </chartFormat>
    <chartFormat chart="5" format="1204">
      <pivotArea type="data" outline="0" fieldPosition="0">
        <references count="2">
          <reference field="4294967294" count="1" selected="0">
            <x v="1"/>
          </reference>
          <reference field="8" count="1" selected="0">
            <x v="59"/>
          </reference>
        </references>
      </pivotArea>
    </chartFormat>
    <chartFormat chart="5" format="1205">
      <pivotArea type="data" outline="0" fieldPosition="0">
        <references count="2">
          <reference field="4294967294" count="1" selected="0">
            <x v="1"/>
          </reference>
          <reference field="8" count="1" selected="0">
            <x v="58"/>
          </reference>
        </references>
      </pivotArea>
    </chartFormat>
    <chartFormat chart="5" format="1206">
      <pivotArea type="data" outline="0" fieldPosition="0">
        <references count="2">
          <reference field="4294967294" count="1" selected="0">
            <x v="1"/>
          </reference>
          <reference field="8" count="1" selected="0">
            <x v="141"/>
          </reference>
        </references>
      </pivotArea>
    </chartFormat>
    <chartFormat chart="5" format="1207">
      <pivotArea type="data" outline="0" fieldPosition="0">
        <references count="2">
          <reference field="4294967294" count="1" selected="0">
            <x v="1"/>
          </reference>
          <reference field="8" count="1" selected="0">
            <x v="136"/>
          </reference>
        </references>
      </pivotArea>
    </chartFormat>
    <chartFormat chart="5" format="1208">
      <pivotArea type="data" outline="0" fieldPosition="0">
        <references count="2">
          <reference field="4294967294" count="1" selected="0">
            <x v="1"/>
          </reference>
          <reference field="8" count="1" selected="0">
            <x v="99"/>
          </reference>
        </references>
      </pivotArea>
    </chartFormat>
    <chartFormat chart="5" format="1209">
      <pivotArea type="data" outline="0" fieldPosition="0">
        <references count="2">
          <reference field="4294967294" count="1" selected="0">
            <x v="1"/>
          </reference>
          <reference field="8" count="1" selected="0">
            <x v="76"/>
          </reference>
        </references>
      </pivotArea>
    </chartFormat>
    <chartFormat chart="5" format="1210">
      <pivotArea type="data" outline="0" fieldPosition="0">
        <references count="2">
          <reference field="4294967294" count="1" selected="0">
            <x v="1"/>
          </reference>
          <reference field="8" count="1" selected="0">
            <x v="65"/>
          </reference>
        </references>
      </pivotArea>
    </chartFormat>
    <chartFormat chart="5" format="1211">
      <pivotArea type="data" outline="0" fieldPosition="0">
        <references count="2">
          <reference field="4294967294" count="1" selected="0">
            <x v="1"/>
          </reference>
          <reference field="8" count="1" selected="0">
            <x v="134"/>
          </reference>
        </references>
      </pivotArea>
    </chartFormat>
    <chartFormat chart="5" format="1212">
      <pivotArea type="data" outline="0" fieldPosition="0">
        <references count="2">
          <reference field="4294967294" count="1" selected="0">
            <x v="1"/>
          </reference>
          <reference field="8" count="1" selected="0">
            <x v="118"/>
          </reference>
        </references>
      </pivotArea>
    </chartFormat>
    <chartFormat chart="5" format="1213">
      <pivotArea type="data" outline="0" fieldPosition="0">
        <references count="2">
          <reference field="4294967294" count="1" selected="0">
            <x v="1"/>
          </reference>
          <reference field="8" count="1" selected="0">
            <x v="155"/>
          </reference>
        </references>
      </pivotArea>
    </chartFormat>
    <chartFormat chart="5" format="1214">
      <pivotArea type="data" outline="0" fieldPosition="0">
        <references count="2">
          <reference field="4294967294" count="1" selected="0">
            <x v="1"/>
          </reference>
          <reference field="8" count="1" selected="0">
            <x v="146"/>
          </reference>
        </references>
      </pivotArea>
    </chartFormat>
    <chartFormat chart="5" format="1215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5" format="1216">
      <pivotArea type="data" outline="0" fieldPosition="0">
        <references count="2">
          <reference field="4294967294" count="1" selected="0">
            <x v="1"/>
          </reference>
          <reference field="8" count="1" selected="0">
            <x v="43"/>
          </reference>
        </references>
      </pivotArea>
    </chartFormat>
    <chartFormat chart="5" format="1217">
      <pivotArea type="data" outline="0" fieldPosition="0">
        <references count="2">
          <reference field="4294967294" count="1" selected="0">
            <x v="1"/>
          </reference>
          <reference field="8" count="1" selected="0">
            <x v="55"/>
          </reference>
        </references>
      </pivotArea>
    </chartFormat>
    <chartFormat chart="5" format="1218">
      <pivotArea type="data" outline="0" fieldPosition="0">
        <references count="2">
          <reference field="4294967294" count="1" selected="0">
            <x v="1"/>
          </reference>
          <reference field="8" count="1" selected="0">
            <x v="109"/>
          </reference>
        </references>
      </pivotArea>
    </chartFormat>
    <chartFormat chart="5" format="1219">
      <pivotArea type="data" outline="0" fieldPosition="0">
        <references count="2">
          <reference field="4294967294" count="1" selected="0">
            <x v="1"/>
          </reference>
          <reference field="8" count="1" selected="0">
            <x v="48"/>
          </reference>
        </references>
      </pivotArea>
    </chartFormat>
    <chartFormat chart="5" format="1220">
      <pivotArea type="data" outline="0" fieldPosition="0">
        <references count="2">
          <reference field="4294967294" count="1" selected="0">
            <x v="1"/>
          </reference>
          <reference field="8" count="1" selected="0">
            <x v="94"/>
          </reference>
        </references>
      </pivotArea>
    </chartFormat>
    <chartFormat chart="5" format="1221">
      <pivotArea type="data" outline="0" fieldPosition="0">
        <references count="2">
          <reference field="4294967294" count="1" selected="0">
            <x v="1"/>
          </reference>
          <reference field="8" count="1" selected="0">
            <x v="23"/>
          </reference>
        </references>
      </pivotArea>
    </chartFormat>
    <chartFormat chart="5" format="1222">
      <pivotArea type="data" outline="0" fieldPosition="0">
        <references count="2">
          <reference field="4294967294" count="1" selected="0">
            <x v="1"/>
          </reference>
          <reference field="8" count="1" selected="0">
            <x v="98"/>
          </reference>
        </references>
      </pivotArea>
    </chartFormat>
    <chartFormat chart="5" format="1223">
      <pivotArea type="data" outline="0" fieldPosition="0">
        <references count="2">
          <reference field="4294967294" count="1" selected="0">
            <x v="1"/>
          </reference>
          <reference field="8" count="1" selected="0">
            <x v="33"/>
          </reference>
        </references>
      </pivotArea>
    </chartFormat>
    <chartFormat chart="5" format="1224">
      <pivotArea type="data" outline="0" fieldPosition="0">
        <references count="2">
          <reference field="4294967294" count="1" selected="0">
            <x v="1"/>
          </reference>
          <reference field="8" count="1" selected="0">
            <x v="156"/>
          </reference>
        </references>
      </pivotArea>
    </chartFormat>
    <chartFormat chart="5" format="1225">
      <pivotArea type="data" outline="0" fieldPosition="0">
        <references count="2">
          <reference field="4294967294" count="1" selected="0">
            <x v="1"/>
          </reference>
          <reference field="8" count="1" selected="0">
            <x v="84"/>
          </reference>
        </references>
      </pivotArea>
    </chartFormat>
    <chartFormat chart="5" format="1226">
      <pivotArea type="data" outline="0" fieldPosition="0">
        <references count="2">
          <reference field="4294967294" count="1" selected="0">
            <x v="1"/>
          </reference>
          <reference field="8" count="1" selected="0">
            <x v="67"/>
          </reference>
        </references>
      </pivotArea>
    </chartFormat>
    <chartFormat chart="5" format="1227">
      <pivotArea type="data" outline="0" fieldPosition="0">
        <references count="2">
          <reference field="4294967294" count="1" selected="0">
            <x v="1"/>
          </reference>
          <reference field="8" count="1" selected="0">
            <x v="80"/>
          </reference>
        </references>
      </pivotArea>
    </chartFormat>
    <chartFormat chart="5" format="1228">
      <pivotArea type="data" outline="0" fieldPosition="0">
        <references count="2">
          <reference field="4294967294" count="1" selected="0">
            <x v="1"/>
          </reference>
          <reference field="8" count="1" selected="0">
            <x v="149"/>
          </reference>
        </references>
      </pivotArea>
    </chartFormat>
    <chartFormat chart="5" format="1229">
      <pivotArea type="data" outline="0" fieldPosition="0">
        <references count="2">
          <reference field="4294967294" count="1" selected="0">
            <x v="1"/>
          </reference>
          <reference field="8" count="1" selected="0">
            <x v="124"/>
          </reference>
        </references>
      </pivotArea>
    </chartFormat>
    <chartFormat chart="5" format="1230">
      <pivotArea type="data" outline="0" fieldPosition="0">
        <references count="2">
          <reference field="4294967294" count="1" selected="0">
            <x v="1"/>
          </reference>
          <reference field="8" count="1" selected="0">
            <x v="107"/>
          </reference>
        </references>
      </pivotArea>
    </chartFormat>
    <chartFormat chart="5" format="1231">
      <pivotArea type="data" outline="0" fieldPosition="0">
        <references count="2">
          <reference field="4294967294" count="1" selected="0">
            <x v="1"/>
          </reference>
          <reference field="8" count="1" selected="0">
            <x v="106"/>
          </reference>
        </references>
      </pivotArea>
    </chartFormat>
    <chartFormat chart="5" format="1232">
      <pivotArea type="data" outline="0" fieldPosition="0">
        <references count="2">
          <reference field="4294967294" count="1" selected="0">
            <x v="1"/>
          </reference>
          <reference field="8" count="1" selected="0">
            <x v="96"/>
          </reference>
        </references>
      </pivotArea>
    </chartFormat>
    <chartFormat chart="5" format="1233">
      <pivotArea type="data" outline="0" fieldPosition="0">
        <references count="2">
          <reference field="4294967294" count="1" selected="0">
            <x v="1"/>
          </reference>
          <reference field="8" count="1" selected="0">
            <x v="125"/>
          </reference>
        </references>
      </pivotArea>
    </chartFormat>
    <chartFormat chart="5" format="1234">
      <pivotArea type="data" outline="0" fieldPosition="0">
        <references count="2">
          <reference field="4294967294" count="1" selected="0">
            <x v="1"/>
          </reference>
          <reference field="8" count="1" selected="0">
            <x v="105"/>
          </reference>
        </references>
      </pivotArea>
    </chartFormat>
    <chartFormat chart="5" format="1235">
      <pivotArea type="data" outline="0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chartFormat>
    <chartFormat chart="5" format="1236">
      <pivotArea type="data" outline="0" fieldPosition="0">
        <references count="2">
          <reference field="4294967294" count="1" selected="0">
            <x v="1"/>
          </reference>
          <reference field="8" count="1" selected="0">
            <x v="70"/>
          </reference>
        </references>
      </pivotArea>
    </chartFormat>
    <chartFormat chart="5" format="1237">
      <pivotArea type="data" outline="0" fieldPosition="0">
        <references count="2">
          <reference field="4294967294" count="1" selected="0">
            <x v="1"/>
          </reference>
          <reference field="8" count="1" selected="0">
            <x v="110"/>
          </reference>
        </references>
      </pivotArea>
    </chartFormat>
    <chartFormat chart="5" format="1238">
      <pivotArea type="data" outline="0" fieldPosition="0">
        <references count="2">
          <reference field="4294967294" count="1" selected="0">
            <x v="1"/>
          </reference>
          <reference field="8" count="1" selected="0">
            <x v="85"/>
          </reference>
        </references>
      </pivotArea>
    </chartFormat>
    <chartFormat chart="5" format="1239">
      <pivotArea type="data" outline="0" fieldPosition="0">
        <references count="2">
          <reference field="4294967294" count="1" selected="0">
            <x v="1"/>
          </reference>
          <reference field="8" count="1" selected="0">
            <x v="74"/>
          </reference>
        </references>
      </pivotArea>
    </chartFormat>
    <chartFormat chart="5" format="1240">
      <pivotArea type="data" outline="0" fieldPosition="0">
        <references count="2">
          <reference field="4294967294" count="1" selected="0">
            <x v="1"/>
          </reference>
          <reference field="8" count="1" selected="0">
            <x v="123"/>
          </reference>
        </references>
      </pivotArea>
    </chartFormat>
    <chartFormat chart="5" format="1241">
      <pivotArea type="data" outline="0" fieldPosition="0">
        <references count="2">
          <reference field="4294967294" count="1" selected="0">
            <x v="1"/>
          </reference>
          <reference field="8" count="1" selected="0">
            <x v="117"/>
          </reference>
        </references>
      </pivotArea>
    </chartFormat>
    <chartFormat chart="5" format="1242">
      <pivotArea type="data" outline="0" fieldPosition="0">
        <references count="2">
          <reference field="4294967294" count="1" selected="0">
            <x v="1"/>
          </reference>
          <reference field="8" count="1" selected="0">
            <x v="41"/>
          </reference>
        </references>
      </pivotArea>
    </chartFormat>
    <chartFormat chart="5" format="1243">
      <pivotArea type="data" outline="0" fieldPosition="0">
        <references count="2">
          <reference field="4294967294" count="1" selected="0">
            <x v="1"/>
          </reference>
          <reference field="8" count="1" selected="0">
            <x v="111"/>
          </reference>
        </references>
      </pivotArea>
    </chartFormat>
    <chartFormat chart="5" format="1244">
      <pivotArea type="data" outline="0" fieldPosition="0">
        <references count="2">
          <reference field="4294967294" count="1" selected="0">
            <x v="1"/>
          </reference>
          <reference field="8" count="1" selected="0">
            <x v="116"/>
          </reference>
        </references>
      </pivotArea>
    </chartFormat>
    <chartFormat chart="5" format="124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1"/>
          </reference>
        </references>
      </pivotArea>
    </chartFormat>
    <chartFormat chart="5" format="1246">
      <pivotArea type="data" outline="0" fieldPosition="0">
        <references count="2">
          <reference field="4294967294" count="1" selected="0">
            <x v="1"/>
          </reference>
          <reference field="8" count="1" selected="0">
            <x v="115"/>
          </reference>
        </references>
      </pivotArea>
    </chartFormat>
    <chartFormat chart="5" format="1247">
      <pivotArea type="data" outline="0" fieldPosition="0">
        <references count="2">
          <reference field="4294967294" count="1" selected="0">
            <x v="1"/>
          </reference>
          <reference field="8" count="1" selected="0">
            <x v="42"/>
          </reference>
        </references>
      </pivotArea>
    </chartFormat>
    <chartFormat chart="5" format="1248">
      <pivotArea type="data" outline="0" fieldPosition="0">
        <references count="2">
          <reference field="4294967294" count="1" selected="0">
            <x v="1"/>
          </reference>
          <reference field="8" count="1" selected="0">
            <x v="104"/>
          </reference>
        </references>
      </pivotArea>
    </chartFormat>
    <chartFormat chart="5" format="1249">
      <pivotArea type="data" outline="0" fieldPosition="0">
        <references count="2">
          <reference field="4294967294" count="1" selected="0">
            <x v="1"/>
          </reference>
          <reference field="8" count="1" selected="0">
            <x v="147"/>
          </reference>
        </references>
      </pivotArea>
    </chartFormat>
    <chartFormat chart="5" format="1250">
      <pivotArea type="data" outline="0" fieldPosition="0">
        <references count="2">
          <reference field="4294967294" count="1" selected="0">
            <x v="1"/>
          </reference>
          <reference field="8" count="1" selected="0">
            <x v="56"/>
          </reference>
        </references>
      </pivotArea>
    </chartFormat>
    <chartFormat chart="5" format="1251">
      <pivotArea type="data" outline="0" fieldPosition="0">
        <references count="2">
          <reference field="4294967294" count="1" selected="0">
            <x v="1"/>
          </reference>
          <reference field="8" count="1" selected="0">
            <x v="126"/>
          </reference>
        </references>
      </pivotArea>
    </chartFormat>
    <chartFormat chart="5" format="1252">
      <pivotArea type="data" outline="0" fieldPosition="0">
        <references count="2">
          <reference field="4294967294" count="1" selected="0">
            <x v="1"/>
          </reference>
          <reference field="8" count="1" selected="0">
            <x v="119"/>
          </reference>
        </references>
      </pivotArea>
    </chartFormat>
    <chartFormat chart="5" format="1253">
      <pivotArea type="data" outline="0" fieldPosition="0">
        <references count="2">
          <reference field="4294967294" count="1" selected="0">
            <x v="1"/>
          </reference>
          <reference field="8" count="1" selected="0">
            <x v="92"/>
          </reference>
        </references>
      </pivotArea>
    </chartFormat>
    <chartFormat chart="5" format="1254">
      <pivotArea type="data" outline="0" fieldPosition="0">
        <references count="2">
          <reference field="4294967294" count="1" selected="0">
            <x v="1"/>
          </reference>
          <reference field="8" count="1" selected="0">
            <x v="122"/>
          </reference>
        </references>
      </pivotArea>
    </chartFormat>
    <chartFormat chart="5" format="1255">
      <pivotArea type="data" outline="0" fieldPosition="0">
        <references count="2">
          <reference field="4294967294" count="1" selected="0">
            <x v="1"/>
          </reference>
          <reference field="8" count="1" selected="0">
            <x v="39"/>
          </reference>
        </references>
      </pivotArea>
    </chartFormat>
    <chartFormat chart="5" format="1256">
      <pivotArea type="data" outline="0" fieldPosition="0">
        <references count="2">
          <reference field="4294967294" count="1" selected="0">
            <x v="1"/>
          </reference>
          <reference field="8" count="1" selected="0">
            <x v="72"/>
          </reference>
        </references>
      </pivotArea>
    </chartFormat>
    <chartFormat chart="5" format="1257">
      <pivotArea type="data" outline="0" fieldPosition="0">
        <references count="2">
          <reference field="4294967294" count="1" selected="0">
            <x v="1"/>
          </reference>
          <reference field="8" count="1" selected="0">
            <x v="129"/>
          </reference>
        </references>
      </pivotArea>
    </chartFormat>
    <chartFormat chart="5" format="1258">
      <pivotArea type="data" outline="0" fieldPosition="0">
        <references count="2">
          <reference field="4294967294" count="1" selected="0">
            <x v="1"/>
          </reference>
          <reference field="8" count="1" selected="0">
            <x v="75"/>
          </reference>
        </references>
      </pivotArea>
    </chartFormat>
    <chartFormat chart="5" format="1259">
      <pivotArea type="data" outline="0" fieldPosition="0">
        <references count="2">
          <reference field="4294967294" count="1" selected="0">
            <x v="1"/>
          </reference>
          <reference field="8" count="1" selected="0">
            <x v="127"/>
          </reference>
        </references>
      </pivotArea>
    </chartFormat>
    <chartFormat chart="5" format="1260">
      <pivotArea type="data" outline="0" fieldPosition="0">
        <references count="2">
          <reference field="4294967294" count="1" selected="0">
            <x v="1"/>
          </reference>
          <reference field="8" count="1" selected="0">
            <x v="151"/>
          </reference>
        </references>
      </pivotArea>
    </chartFormat>
    <chartFormat chart="5" format="1261">
      <pivotArea type="data" outline="0" fieldPosition="0">
        <references count="2">
          <reference field="4294967294" count="1" selected="0">
            <x v="1"/>
          </reference>
          <reference field="8" count="1" selected="0">
            <x v="132"/>
          </reference>
        </references>
      </pivotArea>
    </chartFormat>
    <chartFormat chart="5" format="1262">
      <pivotArea type="data" outline="0" fieldPosition="0">
        <references count="2">
          <reference field="4294967294" count="1" selected="0">
            <x v="1"/>
          </reference>
          <reference field="8" count="1" selected="0">
            <x v="158"/>
          </reference>
        </references>
      </pivotArea>
    </chartFormat>
    <chartFormat chart="5" format="1263">
      <pivotArea type="data" outline="0" fieldPosition="0">
        <references count="2">
          <reference field="4294967294" count="1" selected="0">
            <x v="1"/>
          </reference>
          <reference field="8" count="1" selected="0">
            <x v="35"/>
          </reference>
        </references>
      </pivotArea>
    </chartFormat>
    <chartFormat chart="5" format="1264">
      <pivotArea type="data" outline="0" fieldPosition="0">
        <references count="2">
          <reference field="4294967294" count="1" selected="0">
            <x v="1"/>
          </reference>
          <reference field="8" count="1" selected="0">
            <x v="130"/>
          </reference>
        </references>
      </pivotArea>
    </chartFormat>
    <chartFormat chart="5" format="126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2"/>
          </reference>
        </references>
      </pivotArea>
    </chartFormat>
    <chartFormat chart="5" format="1266">
      <pivotArea type="data" outline="0" fieldPosition="0">
        <references count="2">
          <reference field="4294967294" count="1" selected="0">
            <x v="1"/>
          </reference>
          <reference field="8" count="1" selected="0">
            <x v="26"/>
          </reference>
        </references>
      </pivotArea>
    </chartFormat>
    <chartFormat chart="5" format="1267">
      <pivotArea type="data" outline="0" fieldPosition="0">
        <references count="2">
          <reference field="4294967294" count="1" selected="0">
            <x v="1"/>
          </reference>
          <reference field="8" count="1" selected="0">
            <x v="120"/>
          </reference>
        </references>
      </pivotArea>
    </chartFormat>
    <chartFormat chart="5" format="1268">
      <pivotArea type="data" outline="0" fieldPosition="0">
        <references count="2">
          <reference field="4294967294" count="1" selected="0">
            <x v="1"/>
          </reference>
          <reference field="8" count="1" selected="0">
            <x v="87"/>
          </reference>
        </references>
      </pivotArea>
    </chartFormat>
    <chartFormat chart="5" format="1269">
      <pivotArea type="data" outline="0" fieldPosition="0">
        <references count="2">
          <reference field="4294967294" count="1" selected="0">
            <x v="1"/>
          </reference>
          <reference field="8" count="1" selected="0">
            <x v="36"/>
          </reference>
        </references>
      </pivotArea>
    </chartFormat>
    <chartFormat chart="5" format="1270">
      <pivotArea type="data" outline="0" fieldPosition="0">
        <references count="2">
          <reference field="4294967294" count="1" selected="0">
            <x v="1"/>
          </reference>
          <reference field="8" count="1" selected="0">
            <x v="95"/>
          </reference>
        </references>
      </pivotArea>
    </chartFormat>
    <chartFormat chart="5" format="1271">
      <pivotArea type="data" outline="0" fieldPosition="0">
        <references count="2">
          <reference field="4294967294" count="1" selected="0">
            <x v="1"/>
          </reference>
          <reference field="8" count="1" selected="0">
            <x v="152"/>
          </reference>
        </references>
      </pivotArea>
    </chartFormat>
    <chartFormat chart="5" format="1272">
      <pivotArea type="data" outline="0" fieldPosition="0">
        <references count="2">
          <reference field="4294967294" count="1" selected="0">
            <x v="1"/>
          </reference>
          <reference field="8" count="1" selected="0">
            <x v="97"/>
          </reference>
        </references>
      </pivotArea>
    </chartFormat>
    <chartFormat chart="5" format="1273">
      <pivotArea type="data" outline="0" fieldPosition="0">
        <references count="2">
          <reference field="4294967294" count="1" selected="0">
            <x v="1"/>
          </reference>
          <reference field="8" count="1" selected="0">
            <x v="71"/>
          </reference>
        </references>
      </pivotArea>
    </chartFormat>
    <chartFormat chart="5" format="1274">
      <pivotArea type="data" outline="0" fieldPosition="0">
        <references count="2">
          <reference field="4294967294" count="1" selected="0">
            <x v="1"/>
          </reference>
          <reference field="8" count="1" selected="0">
            <x v="121"/>
          </reference>
        </references>
      </pivotArea>
    </chartFormat>
    <chartFormat chart="5" format="127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8"/>
          </reference>
        </references>
      </pivotArea>
    </chartFormat>
    <chartFormat chart="5" format="1276">
      <pivotArea type="data" outline="0" fieldPosition="0">
        <references count="2">
          <reference field="4294967294" count="1" selected="0">
            <x v="1"/>
          </reference>
          <reference field="8" count="1" selected="0">
            <x v="133"/>
          </reference>
        </references>
      </pivotArea>
    </chartFormat>
    <chartFormat chart="5" format="1277">
      <pivotArea type="data" outline="0" fieldPosition="0">
        <references count="2">
          <reference field="4294967294" count="1" selected="0">
            <x v="1"/>
          </reference>
          <reference field="8" count="1" selected="0">
            <x v="135"/>
          </reference>
        </references>
      </pivotArea>
    </chartFormat>
    <chartFormat chart="5" format="1278">
      <pivotArea type="data" outline="0" fieldPosition="0">
        <references count="2">
          <reference field="4294967294" count="1" selected="0">
            <x v="1"/>
          </reference>
          <reference field="8" count="1" selected="0">
            <x v="131"/>
          </reference>
        </references>
      </pivotArea>
    </chartFormat>
    <chartFormat chart="5" format="1279">
      <pivotArea type="data" outline="0" fieldPosition="0">
        <references count="2">
          <reference field="4294967294" count="1" selected="0">
            <x v="1"/>
          </reference>
          <reference field="8" count="1" selected="0">
            <x v="69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3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2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8"/>
          </reference>
        </references>
      </pivotArea>
    </chartFormat>
    <chartFormat chart="11" format="322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11" format="323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11" format="324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11" format="325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11" format="326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11" format="327">
      <pivotArea type="data" outline="0" fieldPosition="0">
        <references count="2">
          <reference field="4294967294" count="1" selected="0">
            <x v="0"/>
          </reference>
          <reference field="8" count="1" selected="0">
            <x v="64"/>
          </reference>
        </references>
      </pivotArea>
    </chartFormat>
    <chartFormat chart="11" format="32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0"/>
          </reference>
        </references>
      </pivotArea>
    </chartFormat>
    <chartFormat chart="11" format="329">
      <pivotArea type="data" outline="0" fieldPosition="0">
        <references count="2">
          <reference field="4294967294" count="1" selected="0">
            <x v="0"/>
          </reference>
          <reference field="8" count="1" selected="0">
            <x v="28"/>
          </reference>
        </references>
      </pivotArea>
    </chartFormat>
    <chartFormat chart="11" format="330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11" format="33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11" format="332">
      <pivotArea type="data" outline="0" fieldPosition="0">
        <references count="2">
          <reference field="4294967294" count="1" selected="0">
            <x v="0"/>
          </reference>
          <reference field="8" count="1" selected="0">
            <x v="139"/>
          </reference>
        </references>
      </pivotArea>
    </chartFormat>
    <chartFormat chart="11" format="333">
      <pivotArea type="data" outline="0" fieldPosition="0">
        <references count="2">
          <reference field="4294967294" count="1" selected="0">
            <x v="0"/>
          </reference>
          <reference field="8" count="1" selected="0">
            <x v="52"/>
          </reference>
        </references>
      </pivotArea>
    </chartFormat>
    <chartFormat chart="11" format="334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11" format="335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11" format="336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11" format="337">
      <pivotArea type="data" outline="0" fieldPosition="0">
        <references count="2">
          <reference field="4294967294" count="1" selected="0">
            <x v="0"/>
          </reference>
          <reference field="8" count="1" selected="0">
            <x v="27"/>
          </reference>
        </references>
      </pivotArea>
    </chartFormat>
    <chartFormat chart="11" format="33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3"/>
          </reference>
        </references>
      </pivotArea>
    </chartFormat>
    <chartFormat chart="11" format="339">
      <pivotArea type="data" outline="0" fieldPosition="0">
        <references count="2">
          <reference field="4294967294" count="1" selected="0">
            <x v="0"/>
          </reference>
          <reference field="8" count="1" selected="0">
            <x v="45"/>
          </reference>
        </references>
      </pivotArea>
    </chartFormat>
    <chartFormat chart="11" format="340">
      <pivotArea type="data" outline="0" fieldPosition="0">
        <references count="2">
          <reference field="4294967294" count="1" selected="0">
            <x v="0"/>
          </reference>
          <reference field="8" count="1" selected="0">
            <x v="61"/>
          </reference>
        </references>
      </pivotArea>
    </chartFormat>
    <chartFormat chart="11" format="34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11" format="342">
      <pivotArea type="data" outline="0" fieldPosition="0">
        <references count="2">
          <reference field="4294967294" count="1" selected="0">
            <x v="0"/>
          </reference>
          <reference field="8" count="1" selected="0">
            <x v="153"/>
          </reference>
        </references>
      </pivotArea>
    </chartFormat>
    <chartFormat chart="11" format="343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11" format="34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0"/>
          </reference>
        </references>
      </pivotArea>
    </chartFormat>
    <chartFormat chart="11" format="34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11" format="346">
      <pivotArea type="data" outline="0" fieldPosition="0">
        <references count="2">
          <reference field="4294967294" count="1" selected="0">
            <x v="0"/>
          </reference>
          <reference field="8" count="1" selected="0">
            <x v="46"/>
          </reference>
        </references>
      </pivotArea>
    </chartFormat>
    <chartFormat chart="11" format="347">
      <pivotArea type="data" outline="0" fieldPosition="0">
        <references count="2">
          <reference field="4294967294" count="1" selected="0">
            <x v="0"/>
          </reference>
          <reference field="8" count="1" selected="0">
            <x v="68"/>
          </reference>
        </references>
      </pivotArea>
    </chartFormat>
    <chartFormat chart="11" format="348">
      <pivotArea type="data" outline="0" fieldPosition="0">
        <references count="2">
          <reference field="4294967294" count="1" selected="0">
            <x v="0"/>
          </reference>
          <reference field="8" count="1" selected="0">
            <x v="53"/>
          </reference>
        </references>
      </pivotArea>
    </chartFormat>
    <chartFormat chart="11" format="349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1" format="350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11" format="351">
      <pivotArea type="data" outline="0" fieldPosition="0">
        <references count="2">
          <reference field="4294967294" count="1" selected="0">
            <x v="0"/>
          </reference>
          <reference field="8" count="1" selected="0">
            <x v="34"/>
          </reference>
        </references>
      </pivotArea>
    </chartFormat>
    <chartFormat chart="11" format="352">
      <pivotArea type="data" outline="0" fieldPosition="0">
        <references count="2">
          <reference field="4294967294" count="1" selected="0">
            <x v="0"/>
          </reference>
          <reference field="8" count="1" selected="0">
            <x v="37"/>
          </reference>
        </references>
      </pivotArea>
    </chartFormat>
    <chartFormat chart="11" format="353">
      <pivotArea type="data" outline="0" fieldPosition="0">
        <references count="2">
          <reference field="4294967294" count="1" selected="0">
            <x v="0"/>
          </reference>
          <reference field="8" count="1" selected="0">
            <x v="54"/>
          </reference>
        </references>
      </pivotArea>
    </chartFormat>
    <chartFormat chart="11" format="354">
      <pivotArea type="data" outline="0" fieldPosition="0">
        <references count="2">
          <reference field="4294967294" count="1" selected="0">
            <x v="0"/>
          </reference>
          <reference field="8" count="1" selected="0">
            <x v="145"/>
          </reference>
        </references>
      </pivotArea>
    </chartFormat>
    <chartFormat chart="11" format="35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2"/>
          </reference>
        </references>
      </pivotArea>
    </chartFormat>
    <chartFormat chart="11" format="356">
      <pivotArea type="data" outline="0" fieldPosition="0">
        <references count="2">
          <reference field="4294967294" count="1" selected="0">
            <x v="0"/>
          </reference>
          <reference field="8" count="1" selected="0">
            <x v="86"/>
          </reference>
        </references>
      </pivotArea>
    </chartFormat>
    <chartFormat chart="11" format="357">
      <pivotArea type="data" outline="0" fieldPosition="0">
        <references count="2">
          <reference field="4294967294" count="1" selected="0">
            <x v="0"/>
          </reference>
          <reference field="8" count="1" selected="0">
            <x v="51"/>
          </reference>
        </references>
      </pivotArea>
    </chartFormat>
    <chartFormat chart="11" format="358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11" format="359">
      <pivotArea type="data" outline="0" fieldPosition="0">
        <references count="2">
          <reference field="4294967294" count="1" selected="0">
            <x v="0"/>
          </reference>
          <reference field="8" count="1" selected="0">
            <x v="40"/>
          </reference>
        </references>
      </pivotArea>
    </chartFormat>
    <chartFormat chart="11" format="360">
      <pivotArea type="data" outline="0" fieldPosition="0">
        <references count="2">
          <reference field="4294967294" count="1" selected="0">
            <x v="0"/>
          </reference>
          <reference field="8" count="1" selected="0">
            <x v="49"/>
          </reference>
        </references>
      </pivotArea>
    </chartFormat>
    <chartFormat chart="11" format="36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11" format="362">
      <pivotArea type="data" outline="0" fieldPosition="0">
        <references count="2">
          <reference field="4294967294" count="1" selected="0">
            <x v="0"/>
          </reference>
          <reference field="8" count="1" selected="0">
            <x v="78"/>
          </reference>
        </references>
      </pivotArea>
    </chartFormat>
    <chartFormat chart="11" format="363">
      <pivotArea type="data" outline="0" fieldPosition="0">
        <references count="2">
          <reference field="4294967294" count="1" selected="0">
            <x v="0"/>
          </reference>
          <reference field="8" count="1" selected="0">
            <x v="81"/>
          </reference>
        </references>
      </pivotArea>
    </chartFormat>
    <chartFormat chart="11" format="36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4"/>
          </reference>
        </references>
      </pivotArea>
    </chartFormat>
    <chartFormat chart="11" format="36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1" format="366">
      <pivotArea type="data" outline="0" fieldPosition="0">
        <references count="2">
          <reference field="4294967294" count="1" selected="0">
            <x v="0"/>
          </reference>
          <reference field="8" count="1" selected="0">
            <x v="144"/>
          </reference>
        </references>
      </pivotArea>
    </chartFormat>
    <chartFormat chart="11" format="36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8"/>
          </reference>
        </references>
      </pivotArea>
    </chartFormat>
    <chartFormat chart="11" format="368">
      <pivotArea type="data" outline="0" fieldPosition="0">
        <references count="2">
          <reference field="4294967294" count="1" selected="0">
            <x v="0"/>
          </reference>
          <reference field="8" count="1" selected="0">
            <x v="47"/>
          </reference>
        </references>
      </pivotArea>
    </chartFormat>
    <chartFormat chart="11" format="369">
      <pivotArea type="data" outline="0" fieldPosition="0">
        <references count="2">
          <reference field="4294967294" count="1" selected="0">
            <x v="0"/>
          </reference>
          <reference field="8" count="1" selected="0">
            <x v="63"/>
          </reference>
        </references>
      </pivotArea>
    </chartFormat>
    <chartFormat chart="11" format="370">
      <pivotArea type="data" outline="0" fieldPosition="0">
        <references count="2">
          <reference field="4294967294" count="1" selected="0">
            <x v="0"/>
          </reference>
          <reference field="8" count="1" selected="0">
            <x v="112"/>
          </reference>
        </references>
      </pivotArea>
    </chartFormat>
    <chartFormat chart="11" format="371">
      <pivotArea type="data" outline="0" fieldPosition="0">
        <references count="2">
          <reference field="4294967294" count="1" selected="0">
            <x v="0"/>
          </reference>
          <reference field="8" count="1" selected="0">
            <x v="31"/>
          </reference>
        </references>
      </pivotArea>
    </chartFormat>
    <chartFormat chart="11" format="372">
      <pivotArea type="data" outline="0" fieldPosition="0">
        <references count="2">
          <reference field="4294967294" count="1" selected="0">
            <x v="0"/>
          </reference>
          <reference field="8" count="1" selected="0">
            <x v="73"/>
          </reference>
        </references>
      </pivotArea>
    </chartFormat>
    <chartFormat chart="11" format="373">
      <pivotArea type="data" outline="0" fieldPosition="0">
        <references count="2">
          <reference field="4294967294" count="1" selected="0">
            <x v="0"/>
          </reference>
          <reference field="8" count="1" selected="0">
            <x v="83"/>
          </reference>
        </references>
      </pivotArea>
    </chartFormat>
    <chartFormat chart="11" format="374">
      <pivotArea type="data" outline="0" fieldPosition="0">
        <references count="2">
          <reference field="4294967294" count="1" selected="0">
            <x v="0"/>
          </reference>
          <reference field="8" count="1" selected="0">
            <x v="79"/>
          </reference>
        </references>
      </pivotArea>
    </chartFormat>
    <chartFormat chart="11" format="37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11" format="376">
      <pivotArea type="data" outline="0" fieldPosition="0">
        <references count="2">
          <reference field="4294967294" count="1" selected="0">
            <x v="0"/>
          </reference>
          <reference field="8" count="1" selected="0">
            <x v="82"/>
          </reference>
        </references>
      </pivotArea>
    </chartFormat>
    <chartFormat chart="11" format="377">
      <pivotArea type="data" outline="0" fieldPosition="0">
        <references count="2">
          <reference field="4294967294" count="1" selected="0">
            <x v="0"/>
          </reference>
          <reference field="8" count="1" selected="0">
            <x v="62"/>
          </reference>
        </references>
      </pivotArea>
    </chartFormat>
    <chartFormat chart="11" format="378">
      <pivotArea type="data" outline="0" fieldPosition="0">
        <references count="2">
          <reference field="4294967294" count="1" selected="0">
            <x v="0"/>
          </reference>
          <reference field="8" count="1" selected="0">
            <x v="88"/>
          </reference>
        </references>
      </pivotArea>
    </chartFormat>
    <chartFormat chart="11" format="379">
      <pivotArea type="data" outline="0" fieldPosition="0">
        <references count="2">
          <reference field="4294967294" count="1" selected="0">
            <x v="0"/>
          </reference>
          <reference field="8" count="1" selected="0">
            <x v="90"/>
          </reference>
        </references>
      </pivotArea>
    </chartFormat>
    <chartFormat chart="11" format="380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11" format="38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8"/>
          </reference>
        </references>
      </pivotArea>
    </chartFormat>
    <chartFormat chart="11" format="382">
      <pivotArea type="data" outline="0" fieldPosition="0">
        <references count="2">
          <reference field="4294967294" count="1" selected="0">
            <x v="0"/>
          </reference>
          <reference field="8" count="1" selected="0">
            <x v="66"/>
          </reference>
        </references>
      </pivotArea>
    </chartFormat>
    <chartFormat chart="11" format="383">
      <pivotArea type="data" outline="0" fieldPosition="0">
        <references count="2">
          <reference field="4294967294" count="1" selected="0">
            <x v="0"/>
          </reference>
          <reference field="8" count="1" selected="0">
            <x v="60"/>
          </reference>
        </references>
      </pivotArea>
    </chartFormat>
    <chartFormat chart="11" format="384">
      <pivotArea type="data" outline="0" fieldPosition="0">
        <references count="2">
          <reference field="4294967294" count="1" selected="0">
            <x v="0"/>
          </reference>
          <reference field="8" count="1" selected="0">
            <x v="50"/>
          </reference>
        </references>
      </pivotArea>
    </chartFormat>
    <chartFormat chart="11" format="385">
      <pivotArea type="data" outline="0" fieldPosition="0">
        <references count="2">
          <reference field="4294967294" count="1" selected="0">
            <x v="0"/>
          </reference>
          <reference field="8" count="1" selected="0">
            <x v="57"/>
          </reference>
        </references>
      </pivotArea>
    </chartFormat>
    <chartFormat chart="11" format="386">
      <pivotArea type="data" outline="0" fieldPosition="0">
        <references count="2">
          <reference field="4294967294" count="1" selected="0">
            <x v="0"/>
          </reference>
          <reference field="8" count="1" selected="0">
            <x v="93"/>
          </reference>
        </references>
      </pivotArea>
    </chartFormat>
    <chartFormat chart="11" format="387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1" format="38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1" format="389">
      <pivotArea type="data" outline="0" fieldPosition="0">
        <references count="2">
          <reference field="4294967294" count="1" selected="0">
            <x v="0"/>
          </reference>
          <reference field="8" count="1" selected="0">
            <x v="137"/>
          </reference>
        </references>
      </pivotArea>
    </chartFormat>
    <chartFormat chart="11" format="390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1" format="391">
      <pivotArea type="data" outline="0" fieldPosition="0">
        <references count="2">
          <reference field="4294967294" count="1" selected="0">
            <x v="0"/>
          </reference>
          <reference field="8" count="1" selected="0">
            <x v="32"/>
          </reference>
        </references>
      </pivotArea>
    </chartFormat>
    <chartFormat chart="11" format="39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4"/>
          </reference>
        </references>
      </pivotArea>
    </chartFormat>
    <chartFormat chart="11" format="39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3"/>
          </reference>
        </references>
      </pivotArea>
    </chartFormat>
    <chartFormat chart="11" format="39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11" format="395">
      <pivotArea type="data" outline="0" fieldPosition="0">
        <references count="2">
          <reference field="4294967294" count="1" selected="0">
            <x v="0"/>
          </reference>
          <reference field="8" count="1" selected="0">
            <x v="30"/>
          </reference>
        </references>
      </pivotArea>
    </chartFormat>
    <chartFormat chart="11" format="396">
      <pivotArea type="data" outline="0" fieldPosition="0">
        <references count="2">
          <reference field="4294967294" count="1" selected="0">
            <x v="0"/>
          </reference>
          <reference field="8" count="1" selected="0">
            <x v="103"/>
          </reference>
        </references>
      </pivotArea>
    </chartFormat>
    <chartFormat chart="11" format="397">
      <pivotArea type="data" outline="0" fieldPosition="0">
        <references count="2">
          <reference field="4294967294" count="1" selected="0">
            <x v="0"/>
          </reference>
          <reference field="8" count="1" selected="0">
            <x v="89"/>
          </reference>
        </references>
      </pivotArea>
    </chartFormat>
    <chartFormat chart="11" format="398">
      <pivotArea type="data" outline="0" fieldPosition="0">
        <references count="2">
          <reference field="4294967294" count="1" selected="0">
            <x v="0"/>
          </reference>
          <reference field="8" count="1" selected="0">
            <x v="91"/>
          </reference>
        </references>
      </pivotArea>
    </chartFormat>
    <chartFormat chart="11" format="399">
      <pivotArea type="data" outline="0" fieldPosition="0">
        <references count="2">
          <reference field="4294967294" count="1" selected="0">
            <x v="0"/>
          </reference>
          <reference field="8" count="1" selected="0">
            <x v="44"/>
          </reference>
        </references>
      </pivotArea>
    </chartFormat>
    <chartFormat chart="11" format="400">
      <pivotArea type="data" outline="0" fieldPosition="0">
        <references count="2">
          <reference field="4294967294" count="1" selected="0">
            <x v="0"/>
          </reference>
          <reference field="8" count="1" selected="0">
            <x v="157"/>
          </reference>
        </references>
      </pivotArea>
    </chartFormat>
    <chartFormat chart="11" format="40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0"/>
          </reference>
        </references>
      </pivotArea>
    </chartFormat>
    <chartFormat chart="11" format="402">
      <pivotArea type="data" outline="0" fieldPosition="0">
        <references count="2">
          <reference field="4294967294" count="1" selected="0">
            <x v="0"/>
          </reference>
          <reference field="8" count="1" selected="0">
            <x v="38"/>
          </reference>
        </references>
      </pivotArea>
    </chartFormat>
    <chartFormat chart="11" format="403">
      <pivotArea type="data" outline="0" fieldPosition="0">
        <references count="2">
          <reference field="4294967294" count="1" selected="0">
            <x v="0"/>
          </reference>
          <reference field="8" count="1" selected="0">
            <x v="77"/>
          </reference>
        </references>
      </pivotArea>
    </chartFormat>
    <chartFormat chart="11" format="404">
      <pivotArea type="data" outline="0" fieldPosition="0">
        <references count="2">
          <reference field="4294967294" count="1" selected="0">
            <x v="0"/>
          </reference>
          <reference field="8" count="1" selected="0">
            <x v="59"/>
          </reference>
        </references>
      </pivotArea>
    </chartFormat>
    <chartFormat chart="11" format="405">
      <pivotArea type="data" outline="0" fieldPosition="0">
        <references count="2">
          <reference field="4294967294" count="1" selected="0">
            <x v="0"/>
          </reference>
          <reference field="8" count="1" selected="0">
            <x v="58"/>
          </reference>
        </references>
      </pivotArea>
    </chartFormat>
    <chartFormat chart="11" format="406">
      <pivotArea type="data" outline="0" fieldPosition="0">
        <references count="2">
          <reference field="4294967294" count="1" selected="0">
            <x v="0"/>
          </reference>
          <reference field="8" count="1" selected="0">
            <x v="141"/>
          </reference>
        </references>
      </pivotArea>
    </chartFormat>
    <chartFormat chart="11" format="40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6"/>
          </reference>
        </references>
      </pivotArea>
    </chartFormat>
    <chartFormat chart="11" format="408">
      <pivotArea type="data" outline="0" fieldPosition="0">
        <references count="2">
          <reference field="4294967294" count="1" selected="0">
            <x v="0"/>
          </reference>
          <reference field="8" count="1" selected="0">
            <x v="99"/>
          </reference>
        </references>
      </pivotArea>
    </chartFormat>
    <chartFormat chart="11" format="409">
      <pivotArea type="data" outline="0" fieldPosition="0">
        <references count="2">
          <reference field="4294967294" count="1" selected="0">
            <x v="0"/>
          </reference>
          <reference field="8" count="1" selected="0">
            <x v="76"/>
          </reference>
        </references>
      </pivotArea>
    </chartFormat>
    <chartFormat chart="11" format="410">
      <pivotArea type="data" outline="0" fieldPosition="0">
        <references count="2">
          <reference field="4294967294" count="1" selected="0">
            <x v="0"/>
          </reference>
          <reference field="8" count="1" selected="0">
            <x v="65"/>
          </reference>
        </references>
      </pivotArea>
    </chartFormat>
    <chartFormat chart="11" format="4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4"/>
          </reference>
        </references>
      </pivotArea>
    </chartFormat>
    <chartFormat chart="11" format="4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8"/>
          </reference>
        </references>
      </pivotArea>
    </chartFormat>
    <chartFormat chart="11" format="413">
      <pivotArea type="data" outline="0" fieldPosition="0">
        <references count="2">
          <reference field="4294967294" count="1" selected="0">
            <x v="0"/>
          </reference>
          <reference field="8" count="1" selected="0">
            <x v="155"/>
          </reference>
        </references>
      </pivotArea>
    </chartFormat>
    <chartFormat chart="11" format="4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46"/>
          </reference>
        </references>
      </pivotArea>
    </chartFormat>
    <chartFormat chart="11" format="41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1" format="416">
      <pivotArea type="data" outline="0" fieldPosition="0">
        <references count="2">
          <reference field="4294967294" count="1" selected="0">
            <x v="0"/>
          </reference>
          <reference field="8" count="1" selected="0">
            <x v="43"/>
          </reference>
        </references>
      </pivotArea>
    </chartFormat>
    <chartFormat chart="11" format="417">
      <pivotArea type="data" outline="0" fieldPosition="0">
        <references count="2">
          <reference field="4294967294" count="1" selected="0">
            <x v="0"/>
          </reference>
          <reference field="8" count="1" selected="0">
            <x v="55"/>
          </reference>
        </references>
      </pivotArea>
    </chartFormat>
    <chartFormat chart="11" format="418">
      <pivotArea type="data" outline="0" fieldPosition="0">
        <references count="2">
          <reference field="4294967294" count="1" selected="0">
            <x v="0"/>
          </reference>
          <reference field="8" count="1" selected="0">
            <x v="109"/>
          </reference>
        </references>
      </pivotArea>
    </chartFormat>
    <chartFormat chart="11" format="419">
      <pivotArea type="data" outline="0" fieldPosition="0">
        <references count="2">
          <reference field="4294967294" count="1" selected="0">
            <x v="0"/>
          </reference>
          <reference field="8" count="1" selected="0">
            <x v="48"/>
          </reference>
        </references>
      </pivotArea>
    </chartFormat>
    <chartFormat chart="11" format="420">
      <pivotArea type="data" outline="0" fieldPosition="0">
        <references count="2">
          <reference field="4294967294" count="1" selected="0">
            <x v="0"/>
          </reference>
          <reference field="8" count="1" selected="0">
            <x v="94"/>
          </reference>
        </references>
      </pivotArea>
    </chartFormat>
    <chartFormat chart="11" format="42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11" format="422">
      <pivotArea type="data" outline="0" fieldPosition="0">
        <references count="2">
          <reference field="4294967294" count="1" selected="0">
            <x v="0"/>
          </reference>
          <reference field="8" count="1" selected="0">
            <x v="98"/>
          </reference>
        </references>
      </pivotArea>
    </chartFormat>
    <chartFormat chart="11" format="423">
      <pivotArea type="data" outline="0" fieldPosition="0">
        <references count="2">
          <reference field="4294967294" count="1" selected="0">
            <x v="0"/>
          </reference>
          <reference field="8" count="1" selected="0">
            <x v="33"/>
          </reference>
        </references>
      </pivotArea>
    </chartFormat>
    <chartFormat chart="11" format="42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6"/>
          </reference>
        </references>
      </pivotArea>
    </chartFormat>
    <chartFormat chart="11" format="425">
      <pivotArea type="data" outline="0" fieldPosition="0">
        <references count="2">
          <reference field="4294967294" count="1" selected="0">
            <x v="0"/>
          </reference>
          <reference field="8" count="1" selected="0">
            <x v="84"/>
          </reference>
        </references>
      </pivotArea>
    </chartFormat>
    <chartFormat chart="11" format="426">
      <pivotArea type="data" outline="0" fieldPosition="0">
        <references count="2">
          <reference field="4294967294" count="1" selected="0">
            <x v="0"/>
          </reference>
          <reference field="8" count="1" selected="0">
            <x v="67"/>
          </reference>
        </references>
      </pivotArea>
    </chartFormat>
    <chartFormat chart="11" format="427">
      <pivotArea type="data" outline="0" fieldPosition="0">
        <references count="2">
          <reference field="4294967294" count="1" selected="0">
            <x v="0"/>
          </reference>
          <reference field="8" count="1" selected="0">
            <x v="80"/>
          </reference>
        </references>
      </pivotArea>
    </chartFormat>
    <chartFormat chart="11" format="42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9"/>
          </reference>
        </references>
      </pivotArea>
    </chartFormat>
    <chartFormat chart="11" format="429">
      <pivotArea type="data" outline="0" fieldPosition="0">
        <references count="2">
          <reference field="4294967294" count="1" selected="0">
            <x v="0"/>
          </reference>
          <reference field="8" count="1" selected="0">
            <x v="124"/>
          </reference>
        </references>
      </pivotArea>
    </chartFormat>
    <chartFormat chart="11" format="430">
      <pivotArea type="data" outline="0" fieldPosition="0">
        <references count="2">
          <reference field="4294967294" count="1" selected="0">
            <x v="0"/>
          </reference>
          <reference field="8" count="1" selected="0">
            <x v="107"/>
          </reference>
        </references>
      </pivotArea>
    </chartFormat>
    <chartFormat chart="11" format="43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6"/>
          </reference>
        </references>
      </pivotArea>
    </chartFormat>
    <chartFormat chart="11" format="432">
      <pivotArea type="data" outline="0" fieldPosition="0">
        <references count="2">
          <reference field="4294967294" count="1" selected="0">
            <x v="0"/>
          </reference>
          <reference field="8" count="1" selected="0">
            <x v="96"/>
          </reference>
        </references>
      </pivotArea>
    </chartFormat>
    <chartFormat chart="11" format="433">
      <pivotArea type="data" outline="0" fieldPosition="0">
        <references count="2">
          <reference field="4294967294" count="1" selected="0">
            <x v="0"/>
          </reference>
          <reference field="8" count="1" selected="0">
            <x v="125"/>
          </reference>
        </references>
      </pivotArea>
    </chartFormat>
    <chartFormat chart="11" format="434">
      <pivotArea type="data" outline="0" fieldPosition="0">
        <references count="2">
          <reference field="4294967294" count="1" selected="0">
            <x v="0"/>
          </reference>
          <reference field="8" count="1" selected="0">
            <x v="105"/>
          </reference>
        </references>
      </pivotArea>
    </chartFormat>
    <chartFormat chart="11" format="43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1" format="436">
      <pivotArea type="data" outline="0" fieldPosition="0">
        <references count="2">
          <reference field="4294967294" count="1" selected="0">
            <x v="0"/>
          </reference>
          <reference field="8" count="1" selected="0">
            <x v="70"/>
          </reference>
        </references>
      </pivotArea>
    </chartFormat>
    <chartFormat chart="11" format="437">
      <pivotArea type="data" outline="0" fieldPosition="0">
        <references count="2">
          <reference field="4294967294" count="1" selected="0">
            <x v="0"/>
          </reference>
          <reference field="8" count="1" selected="0">
            <x v="110"/>
          </reference>
        </references>
      </pivotArea>
    </chartFormat>
    <chartFormat chart="11" format="438">
      <pivotArea type="data" outline="0" fieldPosition="0">
        <references count="2">
          <reference field="4294967294" count="1" selected="0">
            <x v="0"/>
          </reference>
          <reference field="8" count="1" selected="0">
            <x v="85"/>
          </reference>
        </references>
      </pivotArea>
    </chartFormat>
    <chartFormat chart="11" format="439">
      <pivotArea type="data" outline="0" fieldPosition="0">
        <references count="2">
          <reference field="4294967294" count="1" selected="0">
            <x v="0"/>
          </reference>
          <reference field="8" count="1" selected="0">
            <x v="74"/>
          </reference>
        </references>
      </pivotArea>
    </chartFormat>
    <chartFormat chart="11" format="440">
      <pivotArea type="data" outline="0" fieldPosition="0">
        <references count="2">
          <reference field="4294967294" count="1" selected="0">
            <x v="0"/>
          </reference>
          <reference field="8" count="1" selected="0">
            <x v="123"/>
          </reference>
        </references>
      </pivotArea>
    </chartFormat>
    <chartFormat chart="11" format="44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7"/>
          </reference>
        </references>
      </pivotArea>
    </chartFormat>
    <chartFormat chart="11" format="442">
      <pivotArea type="data" outline="0" fieldPosition="0">
        <references count="2">
          <reference field="4294967294" count="1" selected="0">
            <x v="0"/>
          </reference>
          <reference field="8" count="1" selected="0">
            <x v="41"/>
          </reference>
        </references>
      </pivotArea>
    </chartFormat>
    <chartFormat chart="11" format="44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1"/>
          </reference>
        </references>
      </pivotArea>
    </chartFormat>
    <chartFormat chart="11" format="444">
      <pivotArea type="data" outline="0" fieldPosition="0">
        <references count="2">
          <reference field="4294967294" count="1" selected="0">
            <x v="0"/>
          </reference>
          <reference field="8" count="1" selected="0">
            <x v="116"/>
          </reference>
        </references>
      </pivotArea>
    </chartFormat>
    <chartFormat chart="11" format="44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1"/>
          </reference>
        </references>
      </pivotArea>
    </chartFormat>
    <chartFormat chart="11" format="446">
      <pivotArea type="data" outline="0" fieldPosition="0">
        <references count="2">
          <reference field="4294967294" count="1" selected="0">
            <x v="0"/>
          </reference>
          <reference field="8" count="1" selected="0">
            <x v="115"/>
          </reference>
        </references>
      </pivotArea>
    </chartFormat>
    <chartFormat chart="11" format="447">
      <pivotArea type="data" outline="0" fieldPosition="0">
        <references count="2">
          <reference field="4294967294" count="1" selected="0">
            <x v="0"/>
          </reference>
          <reference field="8" count="1" selected="0">
            <x v="42"/>
          </reference>
        </references>
      </pivotArea>
    </chartFormat>
    <chartFormat chart="11" format="448">
      <pivotArea type="data" outline="0" fieldPosition="0">
        <references count="2">
          <reference field="4294967294" count="1" selected="0">
            <x v="0"/>
          </reference>
          <reference field="8" count="1" selected="0">
            <x v="104"/>
          </reference>
        </references>
      </pivotArea>
    </chartFormat>
    <chartFormat chart="11" format="449">
      <pivotArea type="data" outline="0" fieldPosition="0">
        <references count="2">
          <reference field="4294967294" count="1" selected="0">
            <x v="0"/>
          </reference>
          <reference field="8" count="1" selected="0">
            <x v="147"/>
          </reference>
        </references>
      </pivotArea>
    </chartFormat>
    <chartFormat chart="11" format="450">
      <pivotArea type="data" outline="0" fieldPosition="0">
        <references count="2">
          <reference field="4294967294" count="1" selected="0">
            <x v="0"/>
          </reference>
          <reference field="8" count="1" selected="0">
            <x v="56"/>
          </reference>
        </references>
      </pivotArea>
    </chartFormat>
    <chartFormat chart="11" format="45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6"/>
          </reference>
        </references>
      </pivotArea>
    </chartFormat>
    <chartFormat chart="11" format="45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9"/>
          </reference>
        </references>
      </pivotArea>
    </chartFormat>
    <chartFormat chart="11" format="453">
      <pivotArea type="data" outline="0" fieldPosition="0">
        <references count="2">
          <reference field="4294967294" count="1" selected="0">
            <x v="0"/>
          </reference>
          <reference field="8" count="1" selected="0">
            <x v="92"/>
          </reference>
        </references>
      </pivotArea>
    </chartFormat>
    <chartFormat chart="11" format="45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2"/>
          </reference>
        </references>
      </pivotArea>
    </chartFormat>
    <chartFormat chart="11" format="455">
      <pivotArea type="data" outline="0" fieldPosition="0">
        <references count="2">
          <reference field="4294967294" count="1" selected="0">
            <x v="0"/>
          </reference>
          <reference field="8" count="1" selected="0">
            <x v="39"/>
          </reference>
        </references>
      </pivotArea>
    </chartFormat>
    <chartFormat chart="11" format="456">
      <pivotArea type="data" outline="0" fieldPosition="0">
        <references count="2">
          <reference field="4294967294" count="1" selected="0">
            <x v="0"/>
          </reference>
          <reference field="8" count="1" selected="0">
            <x v="72"/>
          </reference>
        </references>
      </pivotArea>
    </chartFormat>
    <chartFormat chart="11" format="457">
      <pivotArea type="data" outline="0" fieldPosition="0">
        <references count="2">
          <reference field="4294967294" count="1" selected="0">
            <x v="0"/>
          </reference>
          <reference field="8" count="1" selected="0">
            <x v="129"/>
          </reference>
        </references>
      </pivotArea>
    </chartFormat>
    <chartFormat chart="11" format="458">
      <pivotArea type="data" outline="0" fieldPosition="0">
        <references count="2">
          <reference field="4294967294" count="1" selected="0">
            <x v="0"/>
          </reference>
          <reference field="8" count="1" selected="0">
            <x v="75"/>
          </reference>
        </references>
      </pivotArea>
    </chartFormat>
    <chartFormat chart="11" format="459">
      <pivotArea type="data" outline="0" fieldPosition="0">
        <references count="2">
          <reference field="4294967294" count="1" selected="0">
            <x v="0"/>
          </reference>
          <reference field="8" count="1" selected="0">
            <x v="127"/>
          </reference>
        </references>
      </pivotArea>
    </chartFormat>
    <chartFormat chart="11" format="460">
      <pivotArea type="data" outline="0" fieldPosition="0">
        <references count="2">
          <reference field="4294967294" count="1" selected="0">
            <x v="0"/>
          </reference>
          <reference field="8" count="1" selected="0">
            <x v="151"/>
          </reference>
        </references>
      </pivotArea>
    </chartFormat>
    <chartFormat chart="11" format="46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2"/>
          </reference>
        </references>
      </pivotArea>
    </chartFormat>
    <chartFormat chart="11" format="462">
      <pivotArea type="data" outline="0" fieldPosition="0">
        <references count="2">
          <reference field="4294967294" count="1" selected="0">
            <x v="0"/>
          </reference>
          <reference field="8" count="1" selected="0">
            <x v="158"/>
          </reference>
        </references>
      </pivotArea>
    </chartFormat>
    <chartFormat chart="11" format="463">
      <pivotArea type="data" outline="0" fieldPosition="0">
        <references count="2">
          <reference field="4294967294" count="1" selected="0">
            <x v="0"/>
          </reference>
          <reference field="8" count="1" selected="0">
            <x v="35"/>
          </reference>
        </references>
      </pivotArea>
    </chartFormat>
    <chartFormat chart="11" format="464">
      <pivotArea type="data" outline="0" fieldPosition="0">
        <references count="2">
          <reference field="4294967294" count="1" selected="0">
            <x v="0"/>
          </reference>
          <reference field="8" count="1" selected="0">
            <x v="130"/>
          </reference>
        </references>
      </pivotArea>
    </chartFormat>
    <chartFormat chart="11" format="46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2"/>
          </reference>
        </references>
      </pivotArea>
    </chartFormat>
    <chartFormat chart="11" format="466">
      <pivotArea type="data" outline="0" fieldPosition="0">
        <references count="2">
          <reference field="4294967294" count="1" selected="0">
            <x v="0"/>
          </reference>
          <reference field="8" count="1" selected="0">
            <x v="26"/>
          </reference>
        </references>
      </pivotArea>
    </chartFormat>
    <chartFormat chart="11" format="467">
      <pivotArea type="data" outline="0" fieldPosition="0">
        <references count="2">
          <reference field="4294967294" count="1" selected="0">
            <x v="0"/>
          </reference>
          <reference field="8" count="1" selected="0">
            <x v="120"/>
          </reference>
        </references>
      </pivotArea>
    </chartFormat>
    <chartFormat chart="11" format="468">
      <pivotArea type="data" outline="0" fieldPosition="0">
        <references count="2">
          <reference field="4294967294" count="1" selected="0">
            <x v="0"/>
          </reference>
          <reference field="8" count="1" selected="0">
            <x v="87"/>
          </reference>
        </references>
      </pivotArea>
    </chartFormat>
    <chartFormat chart="11" format="469">
      <pivotArea type="data" outline="0" fieldPosition="0">
        <references count="2">
          <reference field="4294967294" count="1" selected="0">
            <x v="0"/>
          </reference>
          <reference field="8" count="1" selected="0">
            <x v="36"/>
          </reference>
        </references>
      </pivotArea>
    </chartFormat>
    <chartFormat chart="11" format="470">
      <pivotArea type="data" outline="0" fieldPosition="0">
        <references count="2">
          <reference field="4294967294" count="1" selected="0">
            <x v="0"/>
          </reference>
          <reference field="8" count="1" selected="0">
            <x v="95"/>
          </reference>
        </references>
      </pivotArea>
    </chartFormat>
    <chartFormat chart="11" format="47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2"/>
          </reference>
        </references>
      </pivotArea>
    </chartFormat>
    <chartFormat chart="11" format="472">
      <pivotArea type="data" outline="0" fieldPosition="0">
        <references count="2">
          <reference field="4294967294" count="1" selected="0">
            <x v="0"/>
          </reference>
          <reference field="8" count="1" selected="0">
            <x v="97"/>
          </reference>
        </references>
      </pivotArea>
    </chartFormat>
    <chartFormat chart="11" format="473">
      <pivotArea type="data" outline="0" fieldPosition="0">
        <references count="2">
          <reference field="4294967294" count="1" selected="0">
            <x v="0"/>
          </reference>
          <reference field="8" count="1" selected="0">
            <x v="71"/>
          </reference>
        </references>
      </pivotArea>
    </chartFormat>
    <chartFormat chart="11" format="47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1"/>
          </reference>
        </references>
      </pivotArea>
    </chartFormat>
    <chartFormat chart="11" format="47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8"/>
          </reference>
        </references>
      </pivotArea>
    </chartFormat>
    <chartFormat chart="11" format="476">
      <pivotArea type="data" outline="0" fieldPosition="0">
        <references count="2">
          <reference field="4294967294" count="1" selected="0">
            <x v="0"/>
          </reference>
          <reference field="8" count="1" selected="0">
            <x v="133"/>
          </reference>
        </references>
      </pivotArea>
    </chartFormat>
    <chartFormat chart="11" format="47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5"/>
          </reference>
        </references>
      </pivotArea>
    </chartFormat>
    <chartFormat chart="11" format="478">
      <pivotArea type="data" outline="0" fieldPosition="0">
        <references count="2">
          <reference field="4294967294" count="1" selected="0">
            <x v="0"/>
          </reference>
          <reference field="8" count="1" selected="0">
            <x v="131"/>
          </reference>
        </references>
      </pivotArea>
    </chartFormat>
    <chartFormat chart="11" format="479">
      <pivotArea type="data" outline="0" fieldPosition="0">
        <references count="2">
          <reference field="4294967294" count="1" selected="0">
            <x v="0"/>
          </reference>
          <reference field="8" count="1" selected="0">
            <x v="69"/>
          </reference>
        </references>
      </pivotArea>
    </chartFormat>
    <chartFormat chart="11" format="48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81">
      <pivotArea type="data" outline="0" fieldPosition="0">
        <references count="2">
          <reference field="4294967294" count="1" selected="0">
            <x v="1"/>
          </reference>
          <reference field="8" count="1" selected="0">
            <x v="148"/>
          </reference>
        </references>
      </pivotArea>
    </chartFormat>
    <chartFormat chart="11" format="482">
      <pivotArea type="data" outline="0" fieldPosition="0">
        <references count="2">
          <reference field="4294967294" count="1" selected="0">
            <x v="1"/>
          </reference>
          <reference field="8" count="1" selected="0">
            <x v="24"/>
          </reference>
        </references>
      </pivotArea>
    </chartFormat>
    <chartFormat chart="11" format="483">
      <pivotArea type="data" outline="0" fieldPosition="0">
        <references count="2">
          <reference field="4294967294" count="1" selected="0">
            <x v="1"/>
          </reference>
          <reference field="8" count="1" selected="0">
            <x v="29"/>
          </reference>
        </references>
      </pivotArea>
    </chartFormat>
    <chartFormat chart="11" format="484">
      <pivotArea type="data" outline="0" fieldPosition="0">
        <references count="2">
          <reference field="4294967294" count="1" selected="0">
            <x v="1"/>
          </reference>
          <reference field="8" count="1" selected="0">
            <x v="16"/>
          </reference>
        </references>
      </pivotArea>
    </chartFormat>
    <chartFormat chart="11" format="485">
      <pivotArea type="data" outline="0" fieldPosition="0">
        <references count="2">
          <reference field="4294967294" count="1" selected="0">
            <x v="1"/>
          </reference>
          <reference field="8" count="1" selected="0">
            <x v="7"/>
          </reference>
        </references>
      </pivotArea>
    </chartFormat>
    <chartFormat chart="11" format="486">
      <pivotArea type="data" outline="0" fieldPosition="0">
        <references count="2">
          <reference field="4294967294" count="1" selected="0">
            <x v="1"/>
          </reference>
          <reference field="8" count="1" selected="0">
            <x v="18"/>
          </reference>
        </references>
      </pivotArea>
    </chartFormat>
    <chartFormat chart="11" format="487">
      <pivotArea type="data" outline="0" fieldPosition="0">
        <references count="2">
          <reference field="4294967294" count="1" selected="0">
            <x v="1"/>
          </reference>
          <reference field="8" count="1" selected="0">
            <x v="64"/>
          </reference>
        </references>
      </pivotArea>
    </chartFormat>
    <chartFormat chart="11" format="488">
      <pivotArea type="data" outline="0" fieldPosition="0">
        <references count="2">
          <reference field="4294967294" count="1" selected="0">
            <x v="1"/>
          </reference>
          <reference field="8" count="1" selected="0">
            <x v="140"/>
          </reference>
        </references>
      </pivotArea>
    </chartFormat>
    <chartFormat chart="11" format="489">
      <pivotArea type="data" outline="0" fieldPosition="0">
        <references count="2">
          <reference field="4294967294" count="1" selected="0">
            <x v="1"/>
          </reference>
          <reference field="8" count="1" selected="0">
            <x v="28"/>
          </reference>
        </references>
      </pivotArea>
    </chartFormat>
    <chartFormat chart="11" format="490">
      <pivotArea type="data" outline="0" fieldPosition="0">
        <references count="2">
          <reference field="4294967294" count="1" selected="0">
            <x v="1"/>
          </reference>
          <reference field="8" count="1" selected="0">
            <x v="9"/>
          </reference>
        </references>
      </pivotArea>
    </chartFormat>
    <chartFormat chart="11" format="491">
      <pivotArea type="data" outline="0" fieldPosition="0">
        <references count="2">
          <reference field="4294967294" count="1" selected="0">
            <x v="1"/>
          </reference>
          <reference field="8" count="1" selected="0">
            <x v="13"/>
          </reference>
        </references>
      </pivotArea>
    </chartFormat>
    <chartFormat chart="11" format="492">
      <pivotArea type="data" outline="0" fieldPosition="0">
        <references count="2">
          <reference field="4294967294" count="1" selected="0">
            <x v="1"/>
          </reference>
          <reference field="8" count="1" selected="0">
            <x v="139"/>
          </reference>
        </references>
      </pivotArea>
    </chartFormat>
    <chartFormat chart="11" format="493">
      <pivotArea type="data" outline="0" fieldPosition="0">
        <references count="2">
          <reference field="4294967294" count="1" selected="0">
            <x v="1"/>
          </reference>
          <reference field="8" count="1" selected="0">
            <x v="52"/>
          </reference>
        </references>
      </pivotArea>
    </chartFormat>
    <chartFormat chart="11" format="494">
      <pivotArea type="data" outline="0" fieldPosition="0">
        <references count="2">
          <reference field="4294967294" count="1" selected="0">
            <x v="1"/>
          </reference>
          <reference field="8" count="1" selected="0">
            <x v="21"/>
          </reference>
        </references>
      </pivotArea>
    </chartFormat>
    <chartFormat chart="11" format="495">
      <pivotArea type="data" outline="0" fieldPosition="0">
        <references count="2">
          <reference field="4294967294" count="1" selected="0">
            <x v="1"/>
          </reference>
          <reference field="8" count="1" selected="0">
            <x v="11"/>
          </reference>
        </references>
      </pivotArea>
    </chartFormat>
    <chartFormat chart="11" format="496">
      <pivotArea type="data" outline="0" fieldPosition="0">
        <references count="2">
          <reference field="4294967294" count="1" selected="0">
            <x v="1"/>
          </reference>
          <reference field="8" count="1" selected="0">
            <x v="25"/>
          </reference>
        </references>
      </pivotArea>
    </chartFormat>
    <chartFormat chart="11" format="497">
      <pivotArea type="data" outline="0" fieldPosition="0">
        <references count="2">
          <reference field="4294967294" count="1" selected="0">
            <x v="1"/>
          </reference>
          <reference field="8" count="1" selected="0">
            <x v="27"/>
          </reference>
        </references>
      </pivotArea>
    </chartFormat>
    <chartFormat chart="11" format="498">
      <pivotArea type="data" outline="0" fieldPosition="0">
        <references count="2">
          <reference field="4294967294" count="1" selected="0">
            <x v="1"/>
          </reference>
          <reference field="8" count="1" selected="0">
            <x v="143"/>
          </reference>
        </references>
      </pivotArea>
    </chartFormat>
    <chartFormat chart="11" format="499">
      <pivotArea type="data" outline="0" fieldPosition="0">
        <references count="2">
          <reference field="4294967294" count="1" selected="0">
            <x v="1"/>
          </reference>
          <reference field="8" count="1" selected="0">
            <x v="45"/>
          </reference>
        </references>
      </pivotArea>
    </chartFormat>
    <chartFormat chart="11" format="500">
      <pivotArea type="data" outline="0" fieldPosition="0">
        <references count="2">
          <reference field="4294967294" count="1" selected="0">
            <x v="1"/>
          </reference>
          <reference field="8" count="1" selected="0">
            <x v="61"/>
          </reference>
        </references>
      </pivotArea>
    </chartFormat>
    <chartFormat chart="11" format="501">
      <pivotArea type="data" outline="0" fieldPosition="0">
        <references count="2">
          <reference field="4294967294" count="1" selected="0">
            <x v="1"/>
          </reference>
          <reference field="8" count="1" selected="0">
            <x v="19"/>
          </reference>
        </references>
      </pivotArea>
    </chartFormat>
    <chartFormat chart="11" format="502">
      <pivotArea type="data" outline="0" fieldPosition="0">
        <references count="2">
          <reference field="4294967294" count="1" selected="0">
            <x v="1"/>
          </reference>
          <reference field="8" count="1" selected="0">
            <x v="153"/>
          </reference>
        </references>
      </pivotArea>
    </chartFormat>
    <chartFormat chart="11" format="503">
      <pivotArea type="data" outline="0" fieldPosition="0">
        <references count="2">
          <reference field="4294967294" count="1" selected="0">
            <x v="1"/>
          </reference>
          <reference field="8" count="1" selected="0">
            <x v="8"/>
          </reference>
        </references>
      </pivotArea>
    </chartFormat>
    <chartFormat chart="11" format="504">
      <pivotArea type="data" outline="0" fieldPosition="0">
        <references count="2">
          <reference field="4294967294" count="1" selected="0">
            <x v="1"/>
          </reference>
          <reference field="8" count="1" selected="0">
            <x v="150"/>
          </reference>
        </references>
      </pivotArea>
    </chartFormat>
    <chartFormat chart="11" format="505">
      <pivotArea type="data" outline="0" fieldPosition="0">
        <references count="2">
          <reference field="4294967294" count="1" selected="0">
            <x v="1"/>
          </reference>
          <reference field="8" count="1" selected="0">
            <x v="14"/>
          </reference>
        </references>
      </pivotArea>
    </chartFormat>
    <chartFormat chart="11" format="506">
      <pivotArea type="data" outline="0" fieldPosition="0">
        <references count="2">
          <reference field="4294967294" count="1" selected="0">
            <x v="1"/>
          </reference>
          <reference field="8" count="1" selected="0">
            <x v="46"/>
          </reference>
        </references>
      </pivotArea>
    </chartFormat>
    <chartFormat chart="11" format="507">
      <pivotArea type="data" outline="0" fieldPosition="0">
        <references count="2">
          <reference field="4294967294" count="1" selected="0">
            <x v="1"/>
          </reference>
          <reference field="8" count="1" selected="0">
            <x v="68"/>
          </reference>
        </references>
      </pivotArea>
    </chartFormat>
    <chartFormat chart="11" format="508">
      <pivotArea type="data" outline="0" fieldPosition="0">
        <references count="2">
          <reference field="4294967294" count="1" selected="0">
            <x v="1"/>
          </reference>
          <reference field="8" count="1" selected="0">
            <x v="53"/>
          </reference>
        </references>
      </pivotArea>
    </chartFormat>
    <chartFormat chart="11" format="509">
      <pivotArea type="data" outline="0" fieldPosition="0">
        <references count="2">
          <reference field="4294967294" count="1" selected="0">
            <x v="1"/>
          </reference>
          <reference field="8" count="1" selected="0">
            <x v="6"/>
          </reference>
        </references>
      </pivotArea>
    </chartFormat>
    <chartFormat chart="11" format="510">
      <pivotArea type="data" outline="0" fieldPosition="0">
        <references count="2">
          <reference field="4294967294" count="1" selected="0">
            <x v="1"/>
          </reference>
          <reference field="8" count="1" selected="0">
            <x v="20"/>
          </reference>
        </references>
      </pivotArea>
    </chartFormat>
    <chartFormat chart="11" format="511">
      <pivotArea type="data" outline="0" fieldPosition="0">
        <references count="2">
          <reference field="4294967294" count="1" selected="0">
            <x v="1"/>
          </reference>
          <reference field="8" count="1" selected="0">
            <x v="34"/>
          </reference>
        </references>
      </pivotArea>
    </chartFormat>
    <chartFormat chart="11" format="512">
      <pivotArea type="data" outline="0" fieldPosition="0">
        <references count="2">
          <reference field="4294967294" count="1" selected="0">
            <x v="1"/>
          </reference>
          <reference field="8" count="1" selected="0">
            <x v="37"/>
          </reference>
        </references>
      </pivotArea>
    </chartFormat>
    <chartFormat chart="11" format="513">
      <pivotArea type="data" outline="0" fieldPosition="0">
        <references count="2">
          <reference field="4294967294" count="1" selected="0">
            <x v="1"/>
          </reference>
          <reference field="8" count="1" selected="0">
            <x v="54"/>
          </reference>
        </references>
      </pivotArea>
    </chartFormat>
    <chartFormat chart="11" format="514">
      <pivotArea type="data" outline="0" fieldPosition="0">
        <references count="2">
          <reference field="4294967294" count="1" selected="0">
            <x v="1"/>
          </reference>
          <reference field="8" count="1" selected="0">
            <x v="145"/>
          </reference>
        </references>
      </pivotArea>
    </chartFormat>
    <chartFormat chart="11" format="515">
      <pivotArea type="data" outline="0" fieldPosition="0">
        <references count="2">
          <reference field="4294967294" count="1" selected="0">
            <x v="1"/>
          </reference>
          <reference field="8" count="1" selected="0">
            <x v="142"/>
          </reference>
        </references>
      </pivotArea>
    </chartFormat>
    <chartFormat chart="11" format="516">
      <pivotArea type="data" outline="0" fieldPosition="0">
        <references count="2">
          <reference field="4294967294" count="1" selected="0">
            <x v="1"/>
          </reference>
          <reference field="8" count="1" selected="0">
            <x v="86"/>
          </reference>
        </references>
      </pivotArea>
    </chartFormat>
    <chartFormat chart="11" format="517">
      <pivotArea type="data" outline="0" fieldPosition="0">
        <references count="2">
          <reference field="4294967294" count="1" selected="0">
            <x v="1"/>
          </reference>
          <reference field="8" count="1" selected="0">
            <x v="51"/>
          </reference>
        </references>
      </pivotArea>
    </chartFormat>
    <chartFormat chart="11" format="518">
      <pivotArea type="data" outline="0" fieldPosition="0">
        <references count="2">
          <reference field="4294967294" count="1" selected="0">
            <x v="1"/>
          </reference>
          <reference field="8" count="1" selected="0">
            <x v="15"/>
          </reference>
        </references>
      </pivotArea>
    </chartFormat>
    <chartFormat chart="11" format="519">
      <pivotArea type="data" outline="0" fieldPosition="0">
        <references count="2">
          <reference field="4294967294" count="1" selected="0">
            <x v="1"/>
          </reference>
          <reference field="8" count="1" selected="0">
            <x v="40"/>
          </reference>
        </references>
      </pivotArea>
    </chartFormat>
    <chartFormat chart="11" format="520">
      <pivotArea type="data" outline="0" fieldPosition="0">
        <references count="2">
          <reference field="4294967294" count="1" selected="0">
            <x v="1"/>
          </reference>
          <reference field="8" count="1" selected="0">
            <x v="49"/>
          </reference>
        </references>
      </pivotArea>
    </chartFormat>
    <chartFormat chart="11" format="521">
      <pivotArea type="data" outline="0" fieldPosition="0">
        <references count="2">
          <reference field="4294967294" count="1" selected="0">
            <x v="1"/>
          </reference>
          <reference field="8" count="1" selected="0">
            <x v="17"/>
          </reference>
        </references>
      </pivotArea>
    </chartFormat>
    <chartFormat chart="11" format="522">
      <pivotArea type="data" outline="0" fieldPosition="0">
        <references count="2">
          <reference field="4294967294" count="1" selected="0">
            <x v="1"/>
          </reference>
          <reference field="8" count="1" selected="0">
            <x v="78"/>
          </reference>
        </references>
      </pivotArea>
    </chartFormat>
    <chartFormat chart="11" format="523">
      <pivotArea type="data" outline="0" fieldPosition="0">
        <references count="2">
          <reference field="4294967294" count="1" selected="0">
            <x v="1"/>
          </reference>
          <reference field="8" count="1" selected="0">
            <x v="81"/>
          </reference>
        </references>
      </pivotArea>
    </chartFormat>
    <chartFormat chart="11" format="524">
      <pivotArea type="data" outline="0" fieldPosition="0">
        <references count="2">
          <reference field="4294967294" count="1" selected="0">
            <x v="1"/>
          </reference>
          <reference field="8" count="1" selected="0">
            <x v="154"/>
          </reference>
        </references>
      </pivotArea>
    </chartFormat>
    <chartFormat chart="11" format="525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11" format="526">
      <pivotArea type="data" outline="0" fieldPosition="0">
        <references count="2">
          <reference field="4294967294" count="1" selected="0">
            <x v="1"/>
          </reference>
          <reference field="8" count="1" selected="0">
            <x v="144"/>
          </reference>
        </references>
      </pivotArea>
    </chartFormat>
    <chartFormat chart="11" format="527">
      <pivotArea type="data" outline="0" fieldPosition="0">
        <references count="2">
          <reference field="4294967294" count="1" selected="0">
            <x v="1"/>
          </reference>
          <reference field="8" count="1" selected="0">
            <x v="138"/>
          </reference>
        </references>
      </pivotArea>
    </chartFormat>
    <chartFormat chart="11" format="528">
      <pivotArea type="data" outline="0" fieldPosition="0">
        <references count="2">
          <reference field="4294967294" count="1" selected="0">
            <x v="1"/>
          </reference>
          <reference field="8" count="1" selected="0">
            <x v="47"/>
          </reference>
        </references>
      </pivotArea>
    </chartFormat>
    <chartFormat chart="11" format="529">
      <pivotArea type="data" outline="0" fieldPosition="0">
        <references count="2">
          <reference field="4294967294" count="1" selected="0">
            <x v="1"/>
          </reference>
          <reference field="8" count="1" selected="0">
            <x v="63"/>
          </reference>
        </references>
      </pivotArea>
    </chartFormat>
    <chartFormat chart="11" format="530">
      <pivotArea type="data" outline="0" fieldPosition="0">
        <references count="2">
          <reference field="4294967294" count="1" selected="0">
            <x v="1"/>
          </reference>
          <reference field="8" count="1" selected="0">
            <x v="112"/>
          </reference>
        </references>
      </pivotArea>
    </chartFormat>
    <chartFormat chart="11" format="531">
      <pivotArea type="data" outline="0" fieldPosition="0">
        <references count="2">
          <reference field="4294967294" count="1" selected="0">
            <x v="1"/>
          </reference>
          <reference field="8" count="1" selected="0">
            <x v="31"/>
          </reference>
        </references>
      </pivotArea>
    </chartFormat>
    <chartFormat chart="11" format="532">
      <pivotArea type="data" outline="0" fieldPosition="0">
        <references count="2">
          <reference field="4294967294" count="1" selected="0">
            <x v="1"/>
          </reference>
          <reference field="8" count="1" selected="0">
            <x v="73"/>
          </reference>
        </references>
      </pivotArea>
    </chartFormat>
    <chartFormat chart="11" format="533">
      <pivotArea type="data" outline="0" fieldPosition="0">
        <references count="2">
          <reference field="4294967294" count="1" selected="0">
            <x v="1"/>
          </reference>
          <reference field="8" count="1" selected="0">
            <x v="83"/>
          </reference>
        </references>
      </pivotArea>
    </chartFormat>
    <chartFormat chart="11" format="534">
      <pivotArea type="data" outline="0" fieldPosition="0">
        <references count="2">
          <reference field="4294967294" count="1" selected="0">
            <x v="1"/>
          </reference>
          <reference field="8" count="1" selected="0">
            <x v="79"/>
          </reference>
        </references>
      </pivotArea>
    </chartFormat>
    <chartFormat chart="11" format="53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"/>
          </reference>
        </references>
      </pivotArea>
    </chartFormat>
    <chartFormat chart="11" format="536">
      <pivotArea type="data" outline="0" fieldPosition="0">
        <references count="2">
          <reference field="4294967294" count="1" selected="0">
            <x v="1"/>
          </reference>
          <reference field="8" count="1" selected="0">
            <x v="82"/>
          </reference>
        </references>
      </pivotArea>
    </chartFormat>
    <chartFormat chart="11" format="537">
      <pivotArea type="data" outline="0" fieldPosition="0">
        <references count="2">
          <reference field="4294967294" count="1" selected="0">
            <x v="1"/>
          </reference>
          <reference field="8" count="1" selected="0">
            <x v="62"/>
          </reference>
        </references>
      </pivotArea>
    </chartFormat>
    <chartFormat chart="11" format="538">
      <pivotArea type="data" outline="0" fieldPosition="0">
        <references count="2">
          <reference field="4294967294" count="1" selected="0">
            <x v="1"/>
          </reference>
          <reference field="8" count="1" selected="0">
            <x v="88"/>
          </reference>
        </references>
      </pivotArea>
    </chartFormat>
    <chartFormat chart="11" format="539">
      <pivotArea type="data" outline="0" fieldPosition="0">
        <references count="2">
          <reference field="4294967294" count="1" selected="0">
            <x v="1"/>
          </reference>
          <reference field="8" count="1" selected="0">
            <x v="90"/>
          </reference>
        </references>
      </pivotArea>
    </chartFormat>
    <chartFormat chart="11" format="540">
      <pivotArea type="data" outline="0" fieldPosition="0">
        <references count="2">
          <reference field="4294967294" count="1" selected="0">
            <x v="1"/>
          </reference>
          <reference field="8" count="1" selected="0">
            <x v="22"/>
          </reference>
        </references>
      </pivotArea>
    </chartFormat>
    <chartFormat chart="11" format="541">
      <pivotArea type="data" outline="0" fieldPosition="0">
        <references count="2">
          <reference field="4294967294" count="1" selected="0">
            <x v="1"/>
          </reference>
          <reference field="8" count="1" selected="0">
            <x v="128"/>
          </reference>
        </references>
      </pivotArea>
    </chartFormat>
    <chartFormat chart="11" format="542">
      <pivotArea type="data" outline="0" fieldPosition="0">
        <references count="2">
          <reference field="4294967294" count="1" selected="0">
            <x v="1"/>
          </reference>
          <reference field="8" count="1" selected="0">
            <x v="66"/>
          </reference>
        </references>
      </pivotArea>
    </chartFormat>
    <chartFormat chart="11" format="543">
      <pivotArea type="data" outline="0" fieldPosition="0">
        <references count="2">
          <reference field="4294967294" count="1" selected="0">
            <x v="1"/>
          </reference>
          <reference field="8" count="1" selected="0">
            <x v="60"/>
          </reference>
        </references>
      </pivotArea>
    </chartFormat>
    <chartFormat chart="11" format="544">
      <pivotArea type="data" outline="0" fieldPosition="0">
        <references count="2">
          <reference field="4294967294" count="1" selected="0">
            <x v="1"/>
          </reference>
          <reference field="8" count="1" selected="0">
            <x v="50"/>
          </reference>
        </references>
      </pivotArea>
    </chartFormat>
    <chartFormat chart="11" format="545">
      <pivotArea type="data" outline="0" fieldPosition="0">
        <references count="2">
          <reference field="4294967294" count="1" selected="0">
            <x v="1"/>
          </reference>
          <reference field="8" count="1" selected="0">
            <x v="57"/>
          </reference>
        </references>
      </pivotArea>
    </chartFormat>
    <chartFormat chart="11" format="546">
      <pivotArea type="data" outline="0" fieldPosition="0">
        <references count="2">
          <reference field="4294967294" count="1" selected="0">
            <x v="1"/>
          </reference>
          <reference field="8" count="1" selected="0">
            <x v="93"/>
          </reference>
        </references>
      </pivotArea>
    </chartFormat>
    <chartFormat chart="11" format="547">
      <pivotArea type="data" outline="0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chartFormat>
    <chartFormat chart="11" format="548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11" format="549">
      <pivotArea type="data" outline="0" fieldPosition="0">
        <references count="2">
          <reference field="4294967294" count="1" selected="0">
            <x v="1"/>
          </reference>
          <reference field="8" count="1" selected="0">
            <x v="137"/>
          </reference>
        </references>
      </pivotArea>
    </chartFormat>
    <chartFormat chart="11" format="550">
      <pivotArea type="data" outline="0" fieldPosition="0">
        <references count="2">
          <reference field="4294967294" count="1" selected="0">
            <x v="1"/>
          </reference>
          <reference field="8" count="1" selected="0">
            <x v="5"/>
          </reference>
        </references>
      </pivotArea>
    </chartFormat>
    <chartFormat chart="11" format="551">
      <pivotArea type="data" outline="0" fieldPosition="0">
        <references count="2">
          <reference field="4294967294" count="1" selected="0">
            <x v="1"/>
          </reference>
          <reference field="8" count="1" selected="0">
            <x v="32"/>
          </reference>
        </references>
      </pivotArea>
    </chartFormat>
    <chartFormat chart="11" format="552">
      <pivotArea type="data" outline="0" fieldPosition="0">
        <references count="2">
          <reference field="4294967294" count="1" selected="0">
            <x v="1"/>
          </reference>
          <reference field="8" count="1" selected="0">
            <x v="114"/>
          </reference>
        </references>
      </pivotArea>
    </chartFormat>
    <chartFormat chart="11" format="553">
      <pivotArea type="data" outline="0" fieldPosition="0">
        <references count="2">
          <reference field="4294967294" count="1" selected="0">
            <x v="1"/>
          </reference>
          <reference field="8" count="1" selected="0">
            <x v="113"/>
          </reference>
        </references>
      </pivotArea>
    </chartFormat>
    <chartFormat chart="11" format="554">
      <pivotArea type="data" outline="0" fieldPosition="0">
        <references count="2">
          <reference field="4294967294" count="1" selected="0">
            <x v="1"/>
          </reference>
          <reference field="8" count="1" selected="0">
            <x v="12"/>
          </reference>
        </references>
      </pivotArea>
    </chartFormat>
    <chartFormat chart="11" format="555">
      <pivotArea type="data" outline="0" fieldPosition="0">
        <references count="2">
          <reference field="4294967294" count="1" selected="0">
            <x v="1"/>
          </reference>
          <reference field="8" count="1" selected="0">
            <x v="30"/>
          </reference>
        </references>
      </pivotArea>
    </chartFormat>
    <chartFormat chart="11" format="556">
      <pivotArea type="data" outline="0" fieldPosition="0">
        <references count="2">
          <reference field="4294967294" count="1" selected="0">
            <x v="1"/>
          </reference>
          <reference field="8" count="1" selected="0">
            <x v="103"/>
          </reference>
        </references>
      </pivotArea>
    </chartFormat>
    <chartFormat chart="11" format="557">
      <pivotArea type="data" outline="0" fieldPosition="0">
        <references count="2">
          <reference field="4294967294" count="1" selected="0">
            <x v="1"/>
          </reference>
          <reference field="8" count="1" selected="0">
            <x v="89"/>
          </reference>
        </references>
      </pivotArea>
    </chartFormat>
    <chartFormat chart="11" format="558">
      <pivotArea type="data" outline="0" fieldPosition="0">
        <references count="2">
          <reference field="4294967294" count="1" selected="0">
            <x v="1"/>
          </reference>
          <reference field="8" count="1" selected="0">
            <x v="91"/>
          </reference>
        </references>
      </pivotArea>
    </chartFormat>
    <chartFormat chart="11" format="559">
      <pivotArea type="data" outline="0" fieldPosition="0">
        <references count="2">
          <reference field="4294967294" count="1" selected="0">
            <x v="1"/>
          </reference>
          <reference field="8" count="1" selected="0">
            <x v="44"/>
          </reference>
        </references>
      </pivotArea>
    </chartFormat>
    <chartFormat chart="11" format="560">
      <pivotArea type="data" outline="0" fieldPosition="0">
        <references count="2">
          <reference field="4294967294" count="1" selected="0">
            <x v="1"/>
          </reference>
          <reference field="8" count="1" selected="0">
            <x v="157"/>
          </reference>
        </references>
      </pivotArea>
    </chartFormat>
    <chartFormat chart="11" format="561">
      <pivotArea type="data" outline="0" fieldPosition="0">
        <references count="2">
          <reference field="4294967294" count="1" selected="0">
            <x v="1"/>
          </reference>
          <reference field="8" count="1" selected="0">
            <x v="100"/>
          </reference>
        </references>
      </pivotArea>
    </chartFormat>
    <chartFormat chart="11" format="562">
      <pivotArea type="data" outline="0" fieldPosition="0">
        <references count="2">
          <reference field="4294967294" count="1" selected="0">
            <x v="1"/>
          </reference>
          <reference field="8" count="1" selected="0">
            <x v="38"/>
          </reference>
        </references>
      </pivotArea>
    </chartFormat>
    <chartFormat chart="11" format="563">
      <pivotArea type="data" outline="0" fieldPosition="0">
        <references count="2">
          <reference field="4294967294" count="1" selected="0">
            <x v="1"/>
          </reference>
          <reference field="8" count="1" selected="0">
            <x v="77"/>
          </reference>
        </references>
      </pivotArea>
    </chartFormat>
    <chartFormat chart="11" format="564">
      <pivotArea type="data" outline="0" fieldPosition="0">
        <references count="2">
          <reference field="4294967294" count="1" selected="0">
            <x v="1"/>
          </reference>
          <reference field="8" count="1" selected="0">
            <x v="59"/>
          </reference>
        </references>
      </pivotArea>
    </chartFormat>
    <chartFormat chart="11" format="565">
      <pivotArea type="data" outline="0" fieldPosition="0">
        <references count="2">
          <reference field="4294967294" count="1" selected="0">
            <x v="1"/>
          </reference>
          <reference field="8" count="1" selected="0">
            <x v="58"/>
          </reference>
        </references>
      </pivotArea>
    </chartFormat>
    <chartFormat chart="11" format="566">
      <pivotArea type="data" outline="0" fieldPosition="0">
        <references count="2">
          <reference field="4294967294" count="1" selected="0">
            <x v="1"/>
          </reference>
          <reference field="8" count="1" selected="0">
            <x v="141"/>
          </reference>
        </references>
      </pivotArea>
    </chartFormat>
    <chartFormat chart="11" format="567">
      <pivotArea type="data" outline="0" fieldPosition="0">
        <references count="2">
          <reference field="4294967294" count="1" selected="0">
            <x v="1"/>
          </reference>
          <reference field="8" count="1" selected="0">
            <x v="136"/>
          </reference>
        </references>
      </pivotArea>
    </chartFormat>
    <chartFormat chart="11" format="568">
      <pivotArea type="data" outline="0" fieldPosition="0">
        <references count="2">
          <reference field="4294967294" count="1" selected="0">
            <x v="1"/>
          </reference>
          <reference field="8" count="1" selected="0">
            <x v="99"/>
          </reference>
        </references>
      </pivotArea>
    </chartFormat>
    <chartFormat chart="11" format="569">
      <pivotArea type="data" outline="0" fieldPosition="0">
        <references count="2">
          <reference field="4294967294" count="1" selected="0">
            <x v="1"/>
          </reference>
          <reference field="8" count="1" selected="0">
            <x v="76"/>
          </reference>
        </references>
      </pivotArea>
    </chartFormat>
    <chartFormat chart="11" format="570">
      <pivotArea type="data" outline="0" fieldPosition="0">
        <references count="2">
          <reference field="4294967294" count="1" selected="0">
            <x v="1"/>
          </reference>
          <reference field="8" count="1" selected="0">
            <x v="65"/>
          </reference>
        </references>
      </pivotArea>
    </chartFormat>
    <chartFormat chart="11" format="571">
      <pivotArea type="data" outline="0" fieldPosition="0">
        <references count="2">
          <reference field="4294967294" count="1" selected="0">
            <x v="1"/>
          </reference>
          <reference field="8" count="1" selected="0">
            <x v="134"/>
          </reference>
        </references>
      </pivotArea>
    </chartFormat>
    <chartFormat chart="11" format="572">
      <pivotArea type="data" outline="0" fieldPosition="0">
        <references count="2">
          <reference field="4294967294" count="1" selected="0">
            <x v="1"/>
          </reference>
          <reference field="8" count="1" selected="0">
            <x v="118"/>
          </reference>
        </references>
      </pivotArea>
    </chartFormat>
    <chartFormat chart="11" format="573">
      <pivotArea type="data" outline="0" fieldPosition="0">
        <references count="2">
          <reference field="4294967294" count="1" selected="0">
            <x v="1"/>
          </reference>
          <reference field="8" count="1" selected="0">
            <x v="155"/>
          </reference>
        </references>
      </pivotArea>
    </chartFormat>
    <chartFormat chart="11" format="574">
      <pivotArea type="data" outline="0" fieldPosition="0">
        <references count="2">
          <reference field="4294967294" count="1" selected="0">
            <x v="1"/>
          </reference>
          <reference field="8" count="1" selected="0">
            <x v="146"/>
          </reference>
        </references>
      </pivotArea>
    </chartFormat>
    <chartFormat chart="11" format="575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11" format="576">
      <pivotArea type="data" outline="0" fieldPosition="0">
        <references count="2">
          <reference field="4294967294" count="1" selected="0">
            <x v="1"/>
          </reference>
          <reference field="8" count="1" selected="0">
            <x v="43"/>
          </reference>
        </references>
      </pivotArea>
    </chartFormat>
    <chartFormat chart="11" format="577">
      <pivotArea type="data" outline="0" fieldPosition="0">
        <references count="2">
          <reference field="4294967294" count="1" selected="0">
            <x v="1"/>
          </reference>
          <reference field="8" count="1" selected="0">
            <x v="55"/>
          </reference>
        </references>
      </pivotArea>
    </chartFormat>
    <chartFormat chart="11" format="578">
      <pivotArea type="data" outline="0" fieldPosition="0">
        <references count="2">
          <reference field="4294967294" count="1" selected="0">
            <x v="1"/>
          </reference>
          <reference field="8" count="1" selected="0">
            <x v="109"/>
          </reference>
        </references>
      </pivotArea>
    </chartFormat>
    <chartFormat chart="11" format="579">
      <pivotArea type="data" outline="0" fieldPosition="0">
        <references count="2">
          <reference field="4294967294" count="1" selected="0">
            <x v="1"/>
          </reference>
          <reference field="8" count="1" selected="0">
            <x v="48"/>
          </reference>
        </references>
      </pivotArea>
    </chartFormat>
    <chartFormat chart="11" format="580">
      <pivotArea type="data" outline="0" fieldPosition="0">
        <references count="2">
          <reference field="4294967294" count="1" selected="0">
            <x v="1"/>
          </reference>
          <reference field="8" count="1" selected="0">
            <x v="94"/>
          </reference>
        </references>
      </pivotArea>
    </chartFormat>
    <chartFormat chart="11" format="581">
      <pivotArea type="data" outline="0" fieldPosition="0">
        <references count="2">
          <reference field="4294967294" count="1" selected="0">
            <x v="1"/>
          </reference>
          <reference field="8" count="1" selected="0">
            <x v="23"/>
          </reference>
        </references>
      </pivotArea>
    </chartFormat>
    <chartFormat chart="11" format="582">
      <pivotArea type="data" outline="0" fieldPosition="0">
        <references count="2">
          <reference field="4294967294" count="1" selected="0">
            <x v="1"/>
          </reference>
          <reference field="8" count="1" selected="0">
            <x v="98"/>
          </reference>
        </references>
      </pivotArea>
    </chartFormat>
    <chartFormat chart="11" format="583">
      <pivotArea type="data" outline="0" fieldPosition="0">
        <references count="2">
          <reference field="4294967294" count="1" selected="0">
            <x v="1"/>
          </reference>
          <reference field="8" count="1" selected="0">
            <x v="33"/>
          </reference>
        </references>
      </pivotArea>
    </chartFormat>
    <chartFormat chart="11" format="584">
      <pivotArea type="data" outline="0" fieldPosition="0">
        <references count="2">
          <reference field="4294967294" count="1" selected="0">
            <x v="1"/>
          </reference>
          <reference field="8" count="1" selected="0">
            <x v="156"/>
          </reference>
        </references>
      </pivotArea>
    </chartFormat>
    <chartFormat chart="11" format="585">
      <pivotArea type="data" outline="0" fieldPosition="0">
        <references count="2">
          <reference field="4294967294" count="1" selected="0">
            <x v="1"/>
          </reference>
          <reference field="8" count="1" selected="0">
            <x v="84"/>
          </reference>
        </references>
      </pivotArea>
    </chartFormat>
    <chartFormat chart="11" format="586">
      <pivotArea type="data" outline="0" fieldPosition="0">
        <references count="2">
          <reference field="4294967294" count="1" selected="0">
            <x v="1"/>
          </reference>
          <reference field="8" count="1" selected="0">
            <x v="67"/>
          </reference>
        </references>
      </pivotArea>
    </chartFormat>
    <chartFormat chart="11" format="587">
      <pivotArea type="data" outline="0" fieldPosition="0">
        <references count="2">
          <reference field="4294967294" count="1" selected="0">
            <x v="1"/>
          </reference>
          <reference field="8" count="1" selected="0">
            <x v="80"/>
          </reference>
        </references>
      </pivotArea>
    </chartFormat>
    <chartFormat chart="11" format="588">
      <pivotArea type="data" outline="0" fieldPosition="0">
        <references count="2">
          <reference field="4294967294" count="1" selected="0">
            <x v="1"/>
          </reference>
          <reference field="8" count="1" selected="0">
            <x v="149"/>
          </reference>
        </references>
      </pivotArea>
    </chartFormat>
    <chartFormat chart="11" format="589">
      <pivotArea type="data" outline="0" fieldPosition="0">
        <references count="2">
          <reference field="4294967294" count="1" selected="0">
            <x v="1"/>
          </reference>
          <reference field="8" count="1" selected="0">
            <x v="124"/>
          </reference>
        </references>
      </pivotArea>
    </chartFormat>
    <chartFormat chart="11" format="590">
      <pivotArea type="data" outline="0" fieldPosition="0">
        <references count="2">
          <reference field="4294967294" count="1" selected="0">
            <x v="1"/>
          </reference>
          <reference field="8" count="1" selected="0">
            <x v="107"/>
          </reference>
        </references>
      </pivotArea>
    </chartFormat>
    <chartFormat chart="11" format="591">
      <pivotArea type="data" outline="0" fieldPosition="0">
        <references count="2">
          <reference field="4294967294" count="1" selected="0">
            <x v="1"/>
          </reference>
          <reference field="8" count="1" selected="0">
            <x v="106"/>
          </reference>
        </references>
      </pivotArea>
    </chartFormat>
    <chartFormat chart="11" format="592">
      <pivotArea type="data" outline="0" fieldPosition="0">
        <references count="2">
          <reference field="4294967294" count="1" selected="0">
            <x v="1"/>
          </reference>
          <reference field="8" count="1" selected="0">
            <x v="96"/>
          </reference>
        </references>
      </pivotArea>
    </chartFormat>
    <chartFormat chart="11" format="593">
      <pivotArea type="data" outline="0" fieldPosition="0">
        <references count="2">
          <reference field="4294967294" count="1" selected="0">
            <x v="1"/>
          </reference>
          <reference field="8" count="1" selected="0">
            <x v="125"/>
          </reference>
        </references>
      </pivotArea>
    </chartFormat>
    <chartFormat chart="11" format="594">
      <pivotArea type="data" outline="0" fieldPosition="0">
        <references count="2">
          <reference field="4294967294" count="1" selected="0">
            <x v="1"/>
          </reference>
          <reference field="8" count="1" selected="0">
            <x v="105"/>
          </reference>
        </references>
      </pivotArea>
    </chartFormat>
    <chartFormat chart="11" format="595">
      <pivotArea type="data" outline="0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chartFormat>
    <chartFormat chart="11" format="596">
      <pivotArea type="data" outline="0" fieldPosition="0">
        <references count="2">
          <reference field="4294967294" count="1" selected="0">
            <x v="1"/>
          </reference>
          <reference field="8" count="1" selected="0">
            <x v="70"/>
          </reference>
        </references>
      </pivotArea>
    </chartFormat>
    <chartFormat chart="11" format="597">
      <pivotArea type="data" outline="0" fieldPosition="0">
        <references count="2">
          <reference field="4294967294" count="1" selected="0">
            <x v="1"/>
          </reference>
          <reference field="8" count="1" selected="0">
            <x v="110"/>
          </reference>
        </references>
      </pivotArea>
    </chartFormat>
    <chartFormat chart="11" format="598">
      <pivotArea type="data" outline="0" fieldPosition="0">
        <references count="2">
          <reference field="4294967294" count="1" selected="0">
            <x v="1"/>
          </reference>
          <reference field="8" count="1" selected="0">
            <x v="85"/>
          </reference>
        </references>
      </pivotArea>
    </chartFormat>
    <chartFormat chart="11" format="599">
      <pivotArea type="data" outline="0" fieldPosition="0">
        <references count="2">
          <reference field="4294967294" count="1" selected="0">
            <x v="1"/>
          </reference>
          <reference field="8" count="1" selected="0">
            <x v="74"/>
          </reference>
        </references>
      </pivotArea>
    </chartFormat>
    <chartFormat chart="11" format="600">
      <pivotArea type="data" outline="0" fieldPosition="0">
        <references count="2">
          <reference field="4294967294" count="1" selected="0">
            <x v="1"/>
          </reference>
          <reference field="8" count="1" selected="0">
            <x v="123"/>
          </reference>
        </references>
      </pivotArea>
    </chartFormat>
    <chartFormat chart="11" format="601">
      <pivotArea type="data" outline="0" fieldPosition="0">
        <references count="2">
          <reference field="4294967294" count="1" selected="0">
            <x v="1"/>
          </reference>
          <reference field="8" count="1" selected="0">
            <x v="117"/>
          </reference>
        </references>
      </pivotArea>
    </chartFormat>
    <chartFormat chart="11" format="602">
      <pivotArea type="data" outline="0" fieldPosition="0">
        <references count="2">
          <reference field="4294967294" count="1" selected="0">
            <x v="1"/>
          </reference>
          <reference field="8" count="1" selected="0">
            <x v="41"/>
          </reference>
        </references>
      </pivotArea>
    </chartFormat>
    <chartFormat chart="11" format="603">
      <pivotArea type="data" outline="0" fieldPosition="0">
        <references count="2">
          <reference field="4294967294" count="1" selected="0">
            <x v="1"/>
          </reference>
          <reference field="8" count="1" selected="0">
            <x v="111"/>
          </reference>
        </references>
      </pivotArea>
    </chartFormat>
    <chartFormat chart="11" format="604">
      <pivotArea type="data" outline="0" fieldPosition="0">
        <references count="2">
          <reference field="4294967294" count="1" selected="0">
            <x v="1"/>
          </reference>
          <reference field="8" count="1" selected="0">
            <x v="116"/>
          </reference>
        </references>
      </pivotArea>
    </chartFormat>
    <chartFormat chart="11" format="60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1"/>
          </reference>
        </references>
      </pivotArea>
    </chartFormat>
    <chartFormat chart="11" format="606">
      <pivotArea type="data" outline="0" fieldPosition="0">
        <references count="2">
          <reference field="4294967294" count="1" selected="0">
            <x v="1"/>
          </reference>
          <reference field="8" count="1" selected="0">
            <x v="115"/>
          </reference>
        </references>
      </pivotArea>
    </chartFormat>
    <chartFormat chart="11" format="607">
      <pivotArea type="data" outline="0" fieldPosition="0">
        <references count="2">
          <reference field="4294967294" count="1" selected="0">
            <x v="1"/>
          </reference>
          <reference field="8" count="1" selected="0">
            <x v="42"/>
          </reference>
        </references>
      </pivotArea>
    </chartFormat>
    <chartFormat chart="11" format="608">
      <pivotArea type="data" outline="0" fieldPosition="0">
        <references count="2">
          <reference field="4294967294" count="1" selected="0">
            <x v="1"/>
          </reference>
          <reference field="8" count="1" selected="0">
            <x v="104"/>
          </reference>
        </references>
      </pivotArea>
    </chartFormat>
    <chartFormat chart="11" format="609">
      <pivotArea type="data" outline="0" fieldPosition="0">
        <references count="2">
          <reference field="4294967294" count="1" selected="0">
            <x v="1"/>
          </reference>
          <reference field="8" count="1" selected="0">
            <x v="147"/>
          </reference>
        </references>
      </pivotArea>
    </chartFormat>
    <chartFormat chart="11" format="610">
      <pivotArea type="data" outline="0" fieldPosition="0">
        <references count="2">
          <reference field="4294967294" count="1" selected="0">
            <x v="1"/>
          </reference>
          <reference field="8" count="1" selected="0">
            <x v="56"/>
          </reference>
        </references>
      </pivotArea>
    </chartFormat>
    <chartFormat chart="11" format="611">
      <pivotArea type="data" outline="0" fieldPosition="0">
        <references count="2">
          <reference field="4294967294" count="1" selected="0">
            <x v="1"/>
          </reference>
          <reference field="8" count="1" selected="0">
            <x v="126"/>
          </reference>
        </references>
      </pivotArea>
    </chartFormat>
    <chartFormat chart="11" format="612">
      <pivotArea type="data" outline="0" fieldPosition="0">
        <references count="2">
          <reference field="4294967294" count="1" selected="0">
            <x v="1"/>
          </reference>
          <reference field="8" count="1" selected="0">
            <x v="119"/>
          </reference>
        </references>
      </pivotArea>
    </chartFormat>
    <chartFormat chart="11" format="613">
      <pivotArea type="data" outline="0" fieldPosition="0">
        <references count="2">
          <reference field="4294967294" count="1" selected="0">
            <x v="1"/>
          </reference>
          <reference field="8" count="1" selected="0">
            <x v="92"/>
          </reference>
        </references>
      </pivotArea>
    </chartFormat>
    <chartFormat chart="11" format="614">
      <pivotArea type="data" outline="0" fieldPosition="0">
        <references count="2">
          <reference field="4294967294" count="1" selected="0">
            <x v="1"/>
          </reference>
          <reference field="8" count="1" selected="0">
            <x v="122"/>
          </reference>
        </references>
      </pivotArea>
    </chartFormat>
    <chartFormat chart="11" format="615">
      <pivotArea type="data" outline="0" fieldPosition="0">
        <references count="2">
          <reference field="4294967294" count="1" selected="0">
            <x v="1"/>
          </reference>
          <reference field="8" count="1" selected="0">
            <x v="39"/>
          </reference>
        </references>
      </pivotArea>
    </chartFormat>
    <chartFormat chart="11" format="616">
      <pivotArea type="data" outline="0" fieldPosition="0">
        <references count="2">
          <reference field="4294967294" count="1" selected="0">
            <x v="1"/>
          </reference>
          <reference field="8" count="1" selected="0">
            <x v="72"/>
          </reference>
        </references>
      </pivotArea>
    </chartFormat>
    <chartFormat chart="11" format="617">
      <pivotArea type="data" outline="0" fieldPosition="0">
        <references count="2">
          <reference field="4294967294" count="1" selected="0">
            <x v="1"/>
          </reference>
          <reference field="8" count="1" selected="0">
            <x v="129"/>
          </reference>
        </references>
      </pivotArea>
    </chartFormat>
    <chartFormat chart="11" format="618">
      <pivotArea type="data" outline="0" fieldPosition="0">
        <references count="2">
          <reference field="4294967294" count="1" selected="0">
            <x v="1"/>
          </reference>
          <reference field="8" count="1" selected="0">
            <x v="75"/>
          </reference>
        </references>
      </pivotArea>
    </chartFormat>
    <chartFormat chart="11" format="619">
      <pivotArea type="data" outline="0" fieldPosition="0">
        <references count="2">
          <reference field="4294967294" count="1" selected="0">
            <x v="1"/>
          </reference>
          <reference field="8" count="1" selected="0">
            <x v="127"/>
          </reference>
        </references>
      </pivotArea>
    </chartFormat>
    <chartFormat chart="11" format="620">
      <pivotArea type="data" outline="0" fieldPosition="0">
        <references count="2">
          <reference field="4294967294" count="1" selected="0">
            <x v="1"/>
          </reference>
          <reference field="8" count="1" selected="0">
            <x v="151"/>
          </reference>
        </references>
      </pivotArea>
    </chartFormat>
    <chartFormat chart="11" format="621">
      <pivotArea type="data" outline="0" fieldPosition="0">
        <references count="2">
          <reference field="4294967294" count="1" selected="0">
            <x v="1"/>
          </reference>
          <reference field="8" count="1" selected="0">
            <x v="132"/>
          </reference>
        </references>
      </pivotArea>
    </chartFormat>
    <chartFormat chart="11" format="622">
      <pivotArea type="data" outline="0" fieldPosition="0">
        <references count="2">
          <reference field="4294967294" count="1" selected="0">
            <x v="1"/>
          </reference>
          <reference field="8" count="1" selected="0">
            <x v="158"/>
          </reference>
        </references>
      </pivotArea>
    </chartFormat>
    <chartFormat chart="11" format="623">
      <pivotArea type="data" outline="0" fieldPosition="0">
        <references count="2">
          <reference field="4294967294" count="1" selected="0">
            <x v="1"/>
          </reference>
          <reference field="8" count="1" selected="0">
            <x v="35"/>
          </reference>
        </references>
      </pivotArea>
    </chartFormat>
    <chartFormat chart="11" format="624">
      <pivotArea type="data" outline="0" fieldPosition="0">
        <references count="2">
          <reference field="4294967294" count="1" selected="0">
            <x v="1"/>
          </reference>
          <reference field="8" count="1" selected="0">
            <x v="130"/>
          </reference>
        </references>
      </pivotArea>
    </chartFormat>
    <chartFormat chart="11" format="62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2"/>
          </reference>
        </references>
      </pivotArea>
    </chartFormat>
    <chartFormat chart="11" format="626">
      <pivotArea type="data" outline="0" fieldPosition="0">
        <references count="2">
          <reference field="4294967294" count="1" selected="0">
            <x v="1"/>
          </reference>
          <reference field="8" count="1" selected="0">
            <x v="26"/>
          </reference>
        </references>
      </pivotArea>
    </chartFormat>
    <chartFormat chart="11" format="627">
      <pivotArea type="data" outline="0" fieldPosition="0">
        <references count="2">
          <reference field="4294967294" count="1" selected="0">
            <x v="1"/>
          </reference>
          <reference field="8" count="1" selected="0">
            <x v="120"/>
          </reference>
        </references>
      </pivotArea>
    </chartFormat>
    <chartFormat chart="11" format="628">
      <pivotArea type="data" outline="0" fieldPosition="0">
        <references count="2">
          <reference field="4294967294" count="1" selected="0">
            <x v="1"/>
          </reference>
          <reference field="8" count="1" selected="0">
            <x v="87"/>
          </reference>
        </references>
      </pivotArea>
    </chartFormat>
    <chartFormat chart="11" format="629">
      <pivotArea type="data" outline="0" fieldPosition="0">
        <references count="2">
          <reference field="4294967294" count="1" selected="0">
            <x v="1"/>
          </reference>
          <reference field="8" count="1" selected="0">
            <x v="36"/>
          </reference>
        </references>
      </pivotArea>
    </chartFormat>
    <chartFormat chart="11" format="630">
      <pivotArea type="data" outline="0" fieldPosition="0">
        <references count="2">
          <reference field="4294967294" count="1" selected="0">
            <x v="1"/>
          </reference>
          <reference field="8" count="1" selected="0">
            <x v="95"/>
          </reference>
        </references>
      </pivotArea>
    </chartFormat>
    <chartFormat chart="11" format="631">
      <pivotArea type="data" outline="0" fieldPosition="0">
        <references count="2">
          <reference field="4294967294" count="1" selected="0">
            <x v="1"/>
          </reference>
          <reference field="8" count="1" selected="0">
            <x v="152"/>
          </reference>
        </references>
      </pivotArea>
    </chartFormat>
    <chartFormat chart="11" format="632">
      <pivotArea type="data" outline="0" fieldPosition="0">
        <references count="2">
          <reference field="4294967294" count="1" selected="0">
            <x v="1"/>
          </reference>
          <reference field="8" count="1" selected="0">
            <x v="97"/>
          </reference>
        </references>
      </pivotArea>
    </chartFormat>
    <chartFormat chart="11" format="633">
      <pivotArea type="data" outline="0" fieldPosition="0">
        <references count="2">
          <reference field="4294967294" count="1" selected="0">
            <x v="1"/>
          </reference>
          <reference field="8" count="1" selected="0">
            <x v="71"/>
          </reference>
        </references>
      </pivotArea>
    </chartFormat>
    <chartFormat chart="11" format="634">
      <pivotArea type="data" outline="0" fieldPosition="0">
        <references count="2">
          <reference field="4294967294" count="1" selected="0">
            <x v="1"/>
          </reference>
          <reference field="8" count="1" selected="0">
            <x v="121"/>
          </reference>
        </references>
      </pivotArea>
    </chartFormat>
    <chartFormat chart="11" format="63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8"/>
          </reference>
        </references>
      </pivotArea>
    </chartFormat>
    <chartFormat chart="11" format="636">
      <pivotArea type="data" outline="0" fieldPosition="0">
        <references count="2">
          <reference field="4294967294" count="1" selected="0">
            <x v="1"/>
          </reference>
          <reference field="8" count="1" selected="0">
            <x v="133"/>
          </reference>
        </references>
      </pivotArea>
    </chartFormat>
    <chartFormat chart="11" format="637">
      <pivotArea type="data" outline="0" fieldPosition="0">
        <references count="2">
          <reference field="4294967294" count="1" selected="0">
            <x v="1"/>
          </reference>
          <reference field="8" count="1" selected="0">
            <x v="135"/>
          </reference>
        </references>
      </pivotArea>
    </chartFormat>
    <chartFormat chart="11" format="638">
      <pivotArea type="data" outline="0" fieldPosition="0">
        <references count="2">
          <reference field="4294967294" count="1" selected="0">
            <x v="1"/>
          </reference>
          <reference field="8" count="1" selected="0">
            <x v="131"/>
          </reference>
        </references>
      </pivotArea>
    </chartFormat>
    <chartFormat chart="11" format="639">
      <pivotArea type="data" outline="0" fieldPosition="0">
        <references count="2">
          <reference field="4294967294" count="1" selected="0">
            <x v="1"/>
          </reference>
          <reference field="8" count="1" selected="0">
            <x v="69"/>
          </reference>
        </references>
      </pivotArea>
    </chartFormat>
    <chartFormat chart="12" format="6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4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8"/>
          </reference>
        </references>
      </pivotArea>
    </chartFormat>
    <chartFormat chart="12" format="642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12" format="643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12" format="644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12" format="645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12" format="646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12" format="647">
      <pivotArea type="data" outline="0" fieldPosition="0">
        <references count="2">
          <reference field="4294967294" count="1" selected="0">
            <x v="0"/>
          </reference>
          <reference field="8" count="1" selected="0">
            <x v="64"/>
          </reference>
        </references>
      </pivotArea>
    </chartFormat>
    <chartFormat chart="12" format="64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0"/>
          </reference>
        </references>
      </pivotArea>
    </chartFormat>
    <chartFormat chart="12" format="649">
      <pivotArea type="data" outline="0" fieldPosition="0">
        <references count="2">
          <reference field="4294967294" count="1" selected="0">
            <x v="0"/>
          </reference>
          <reference field="8" count="1" selected="0">
            <x v="28"/>
          </reference>
        </references>
      </pivotArea>
    </chartFormat>
    <chartFormat chart="12" format="650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12" format="65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12" format="652">
      <pivotArea type="data" outline="0" fieldPosition="0">
        <references count="2">
          <reference field="4294967294" count="1" selected="0">
            <x v="0"/>
          </reference>
          <reference field="8" count="1" selected="0">
            <x v="139"/>
          </reference>
        </references>
      </pivotArea>
    </chartFormat>
    <chartFormat chart="12" format="653">
      <pivotArea type="data" outline="0" fieldPosition="0">
        <references count="2">
          <reference field="4294967294" count="1" selected="0">
            <x v="0"/>
          </reference>
          <reference field="8" count="1" selected="0">
            <x v="52"/>
          </reference>
        </references>
      </pivotArea>
    </chartFormat>
    <chartFormat chart="12" format="654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12" format="655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12" format="656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12" format="657">
      <pivotArea type="data" outline="0" fieldPosition="0">
        <references count="2">
          <reference field="4294967294" count="1" selected="0">
            <x v="0"/>
          </reference>
          <reference field="8" count="1" selected="0">
            <x v="27"/>
          </reference>
        </references>
      </pivotArea>
    </chartFormat>
    <chartFormat chart="12" format="65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3"/>
          </reference>
        </references>
      </pivotArea>
    </chartFormat>
    <chartFormat chart="12" format="659">
      <pivotArea type="data" outline="0" fieldPosition="0">
        <references count="2">
          <reference field="4294967294" count="1" selected="0">
            <x v="0"/>
          </reference>
          <reference field="8" count="1" selected="0">
            <x v="45"/>
          </reference>
        </references>
      </pivotArea>
    </chartFormat>
    <chartFormat chart="12" format="660">
      <pivotArea type="data" outline="0" fieldPosition="0">
        <references count="2">
          <reference field="4294967294" count="1" selected="0">
            <x v="0"/>
          </reference>
          <reference field="8" count="1" selected="0">
            <x v="61"/>
          </reference>
        </references>
      </pivotArea>
    </chartFormat>
    <chartFormat chart="12" format="66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12" format="662">
      <pivotArea type="data" outline="0" fieldPosition="0">
        <references count="2">
          <reference field="4294967294" count="1" selected="0">
            <x v="0"/>
          </reference>
          <reference field="8" count="1" selected="0">
            <x v="153"/>
          </reference>
        </references>
      </pivotArea>
    </chartFormat>
    <chartFormat chart="12" format="663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12" format="66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0"/>
          </reference>
        </references>
      </pivotArea>
    </chartFormat>
    <chartFormat chart="12" format="66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12" format="666">
      <pivotArea type="data" outline="0" fieldPosition="0">
        <references count="2">
          <reference field="4294967294" count="1" selected="0">
            <x v="0"/>
          </reference>
          <reference field="8" count="1" selected="0">
            <x v="46"/>
          </reference>
        </references>
      </pivotArea>
    </chartFormat>
    <chartFormat chart="12" format="667">
      <pivotArea type="data" outline="0" fieldPosition="0">
        <references count="2">
          <reference field="4294967294" count="1" selected="0">
            <x v="0"/>
          </reference>
          <reference field="8" count="1" selected="0">
            <x v="68"/>
          </reference>
        </references>
      </pivotArea>
    </chartFormat>
    <chartFormat chart="12" format="668">
      <pivotArea type="data" outline="0" fieldPosition="0">
        <references count="2">
          <reference field="4294967294" count="1" selected="0">
            <x v="0"/>
          </reference>
          <reference field="8" count="1" selected="0">
            <x v="53"/>
          </reference>
        </references>
      </pivotArea>
    </chartFormat>
    <chartFormat chart="12" format="669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2" format="670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12" format="671">
      <pivotArea type="data" outline="0" fieldPosition="0">
        <references count="2">
          <reference field="4294967294" count="1" selected="0">
            <x v="0"/>
          </reference>
          <reference field="8" count="1" selected="0">
            <x v="34"/>
          </reference>
        </references>
      </pivotArea>
    </chartFormat>
    <chartFormat chart="12" format="672">
      <pivotArea type="data" outline="0" fieldPosition="0">
        <references count="2">
          <reference field="4294967294" count="1" selected="0">
            <x v="0"/>
          </reference>
          <reference field="8" count="1" selected="0">
            <x v="37"/>
          </reference>
        </references>
      </pivotArea>
    </chartFormat>
    <chartFormat chart="12" format="673">
      <pivotArea type="data" outline="0" fieldPosition="0">
        <references count="2">
          <reference field="4294967294" count="1" selected="0">
            <x v="0"/>
          </reference>
          <reference field="8" count="1" selected="0">
            <x v="54"/>
          </reference>
        </references>
      </pivotArea>
    </chartFormat>
    <chartFormat chart="12" format="674">
      <pivotArea type="data" outline="0" fieldPosition="0">
        <references count="2">
          <reference field="4294967294" count="1" selected="0">
            <x v="0"/>
          </reference>
          <reference field="8" count="1" selected="0">
            <x v="145"/>
          </reference>
        </references>
      </pivotArea>
    </chartFormat>
    <chartFormat chart="12" format="67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2"/>
          </reference>
        </references>
      </pivotArea>
    </chartFormat>
    <chartFormat chart="12" format="676">
      <pivotArea type="data" outline="0" fieldPosition="0">
        <references count="2">
          <reference field="4294967294" count="1" selected="0">
            <x v="0"/>
          </reference>
          <reference field="8" count="1" selected="0">
            <x v="86"/>
          </reference>
        </references>
      </pivotArea>
    </chartFormat>
    <chartFormat chart="12" format="677">
      <pivotArea type="data" outline="0" fieldPosition="0">
        <references count="2">
          <reference field="4294967294" count="1" selected="0">
            <x v="0"/>
          </reference>
          <reference field="8" count="1" selected="0">
            <x v="51"/>
          </reference>
        </references>
      </pivotArea>
    </chartFormat>
    <chartFormat chart="12" format="678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12" format="679">
      <pivotArea type="data" outline="0" fieldPosition="0">
        <references count="2">
          <reference field="4294967294" count="1" selected="0">
            <x v="0"/>
          </reference>
          <reference field="8" count="1" selected="0">
            <x v="40"/>
          </reference>
        </references>
      </pivotArea>
    </chartFormat>
    <chartFormat chart="12" format="680">
      <pivotArea type="data" outline="0" fieldPosition="0">
        <references count="2">
          <reference field="4294967294" count="1" selected="0">
            <x v="0"/>
          </reference>
          <reference field="8" count="1" selected="0">
            <x v="49"/>
          </reference>
        </references>
      </pivotArea>
    </chartFormat>
    <chartFormat chart="12" format="68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12" format="682">
      <pivotArea type="data" outline="0" fieldPosition="0">
        <references count="2">
          <reference field="4294967294" count="1" selected="0">
            <x v="0"/>
          </reference>
          <reference field="8" count="1" selected="0">
            <x v="78"/>
          </reference>
        </references>
      </pivotArea>
    </chartFormat>
    <chartFormat chart="12" format="683">
      <pivotArea type="data" outline="0" fieldPosition="0">
        <references count="2">
          <reference field="4294967294" count="1" selected="0">
            <x v="0"/>
          </reference>
          <reference field="8" count="1" selected="0">
            <x v="81"/>
          </reference>
        </references>
      </pivotArea>
    </chartFormat>
    <chartFormat chart="12" format="68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4"/>
          </reference>
        </references>
      </pivotArea>
    </chartFormat>
    <chartFormat chart="12" format="68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2" format="686">
      <pivotArea type="data" outline="0" fieldPosition="0">
        <references count="2">
          <reference field="4294967294" count="1" selected="0">
            <x v="0"/>
          </reference>
          <reference field="8" count="1" selected="0">
            <x v="144"/>
          </reference>
        </references>
      </pivotArea>
    </chartFormat>
    <chartFormat chart="12" format="68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8"/>
          </reference>
        </references>
      </pivotArea>
    </chartFormat>
    <chartFormat chart="12" format="688">
      <pivotArea type="data" outline="0" fieldPosition="0">
        <references count="2">
          <reference field="4294967294" count="1" selected="0">
            <x v="0"/>
          </reference>
          <reference field="8" count="1" selected="0">
            <x v="47"/>
          </reference>
        </references>
      </pivotArea>
    </chartFormat>
    <chartFormat chart="12" format="689">
      <pivotArea type="data" outline="0" fieldPosition="0">
        <references count="2">
          <reference field="4294967294" count="1" selected="0">
            <x v="0"/>
          </reference>
          <reference field="8" count="1" selected="0">
            <x v="63"/>
          </reference>
        </references>
      </pivotArea>
    </chartFormat>
    <chartFormat chart="12" format="690">
      <pivotArea type="data" outline="0" fieldPosition="0">
        <references count="2">
          <reference field="4294967294" count="1" selected="0">
            <x v="0"/>
          </reference>
          <reference field="8" count="1" selected="0">
            <x v="112"/>
          </reference>
        </references>
      </pivotArea>
    </chartFormat>
    <chartFormat chart="12" format="691">
      <pivotArea type="data" outline="0" fieldPosition="0">
        <references count="2">
          <reference field="4294967294" count="1" selected="0">
            <x v="0"/>
          </reference>
          <reference field="8" count="1" selected="0">
            <x v="31"/>
          </reference>
        </references>
      </pivotArea>
    </chartFormat>
    <chartFormat chart="12" format="692">
      <pivotArea type="data" outline="0" fieldPosition="0">
        <references count="2">
          <reference field="4294967294" count="1" selected="0">
            <x v="0"/>
          </reference>
          <reference field="8" count="1" selected="0">
            <x v="73"/>
          </reference>
        </references>
      </pivotArea>
    </chartFormat>
    <chartFormat chart="12" format="693">
      <pivotArea type="data" outline="0" fieldPosition="0">
        <references count="2">
          <reference field="4294967294" count="1" selected="0">
            <x v="0"/>
          </reference>
          <reference field="8" count="1" selected="0">
            <x v="83"/>
          </reference>
        </references>
      </pivotArea>
    </chartFormat>
    <chartFormat chart="12" format="694">
      <pivotArea type="data" outline="0" fieldPosition="0">
        <references count="2">
          <reference field="4294967294" count="1" selected="0">
            <x v="0"/>
          </reference>
          <reference field="8" count="1" selected="0">
            <x v="79"/>
          </reference>
        </references>
      </pivotArea>
    </chartFormat>
    <chartFormat chart="12" format="69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12" format="696">
      <pivotArea type="data" outline="0" fieldPosition="0">
        <references count="2">
          <reference field="4294967294" count="1" selected="0">
            <x v="0"/>
          </reference>
          <reference field="8" count="1" selected="0">
            <x v="82"/>
          </reference>
        </references>
      </pivotArea>
    </chartFormat>
    <chartFormat chart="12" format="697">
      <pivotArea type="data" outline="0" fieldPosition="0">
        <references count="2">
          <reference field="4294967294" count="1" selected="0">
            <x v="0"/>
          </reference>
          <reference field="8" count="1" selected="0">
            <x v="62"/>
          </reference>
        </references>
      </pivotArea>
    </chartFormat>
    <chartFormat chart="12" format="698">
      <pivotArea type="data" outline="0" fieldPosition="0">
        <references count="2">
          <reference field="4294967294" count="1" selected="0">
            <x v="0"/>
          </reference>
          <reference field="8" count="1" selected="0">
            <x v="88"/>
          </reference>
        </references>
      </pivotArea>
    </chartFormat>
    <chartFormat chart="12" format="699">
      <pivotArea type="data" outline="0" fieldPosition="0">
        <references count="2">
          <reference field="4294967294" count="1" selected="0">
            <x v="0"/>
          </reference>
          <reference field="8" count="1" selected="0">
            <x v="90"/>
          </reference>
        </references>
      </pivotArea>
    </chartFormat>
    <chartFormat chart="12" format="700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12" format="70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8"/>
          </reference>
        </references>
      </pivotArea>
    </chartFormat>
    <chartFormat chart="12" format="702">
      <pivotArea type="data" outline="0" fieldPosition="0">
        <references count="2">
          <reference field="4294967294" count="1" selected="0">
            <x v="0"/>
          </reference>
          <reference field="8" count="1" selected="0">
            <x v="66"/>
          </reference>
        </references>
      </pivotArea>
    </chartFormat>
    <chartFormat chart="12" format="703">
      <pivotArea type="data" outline="0" fieldPosition="0">
        <references count="2">
          <reference field="4294967294" count="1" selected="0">
            <x v="0"/>
          </reference>
          <reference field="8" count="1" selected="0">
            <x v="60"/>
          </reference>
        </references>
      </pivotArea>
    </chartFormat>
    <chartFormat chart="12" format="704">
      <pivotArea type="data" outline="0" fieldPosition="0">
        <references count="2">
          <reference field="4294967294" count="1" selected="0">
            <x v="0"/>
          </reference>
          <reference field="8" count="1" selected="0">
            <x v="50"/>
          </reference>
        </references>
      </pivotArea>
    </chartFormat>
    <chartFormat chart="12" format="705">
      <pivotArea type="data" outline="0" fieldPosition="0">
        <references count="2">
          <reference field="4294967294" count="1" selected="0">
            <x v="0"/>
          </reference>
          <reference field="8" count="1" selected="0">
            <x v="57"/>
          </reference>
        </references>
      </pivotArea>
    </chartFormat>
    <chartFormat chart="12" format="706">
      <pivotArea type="data" outline="0" fieldPosition="0">
        <references count="2">
          <reference field="4294967294" count="1" selected="0">
            <x v="0"/>
          </reference>
          <reference field="8" count="1" selected="0">
            <x v="93"/>
          </reference>
        </references>
      </pivotArea>
    </chartFormat>
    <chartFormat chart="12" format="707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2" format="70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2" format="709">
      <pivotArea type="data" outline="0" fieldPosition="0">
        <references count="2">
          <reference field="4294967294" count="1" selected="0">
            <x v="0"/>
          </reference>
          <reference field="8" count="1" selected="0">
            <x v="137"/>
          </reference>
        </references>
      </pivotArea>
    </chartFormat>
    <chartFormat chart="12" format="710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2" format="7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2"/>
          </reference>
        </references>
      </pivotArea>
    </chartFormat>
    <chartFormat chart="12" format="7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4"/>
          </reference>
        </references>
      </pivotArea>
    </chartFormat>
    <chartFormat chart="12" format="71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3"/>
          </reference>
        </references>
      </pivotArea>
    </chartFormat>
    <chartFormat chart="12" format="7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12" format="715">
      <pivotArea type="data" outline="0" fieldPosition="0">
        <references count="2">
          <reference field="4294967294" count="1" selected="0">
            <x v="0"/>
          </reference>
          <reference field="8" count="1" selected="0">
            <x v="30"/>
          </reference>
        </references>
      </pivotArea>
    </chartFormat>
    <chartFormat chart="12" format="716">
      <pivotArea type="data" outline="0" fieldPosition="0">
        <references count="2">
          <reference field="4294967294" count="1" selected="0">
            <x v="0"/>
          </reference>
          <reference field="8" count="1" selected="0">
            <x v="103"/>
          </reference>
        </references>
      </pivotArea>
    </chartFormat>
    <chartFormat chart="12" format="717">
      <pivotArea type="data" outline="0" fieldPosition="0">
        <references count="2">
          <reference field="4294967294" count="1" selected="0">
            <x v="0"/>
          </reference>
          <reference field="8" count="1" selected="0">
            <x v="89"/>
          </reference>
        </references>
      </pivotArea>
    </chartFormat>
    <chartFormat chart="12" format="718">
      <pivotArea type="data" outline="0" fieldPosition="0">
        <references count="2">
          <reference field="4294967294" count="1" selected="0">
            <x v="0"/>
          </reference>
          <reference field="8" count="1" selected="0">
            <x v="91"/>
          </reference>
        </references>
      </pivotArea>
    </chartFormat>
    <chartFormat chart="12" format="719">
      <pivotArea type="data" outline="0" fieldPosition="0">
        <references count="2">
          <reference field="4294967294" count="1" selected="0">
            <x v="0"/>
          </reference>
          <reference field="8" count="1" selected="0">
            <x v="44"/>
          </reference>
        </references>
      </pivotArea>
    </chartFormat>
    <chartFormat chart="12" format="720">
      <pivotArea type="data" outline="0" fieldPosition="0">
        <references count="2">
          <reference field="4294967294" count="1" selected="0">
            <x v="0"/>
          </reference>
          <reference field="8" count="1" selected="0">
            <x v="157"/>
          </reference>
        </references>
      </pivotArea>
    </chartFormat>
    <chartFormat chart="12" format="72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0"/>
          </reference>
        </references>
      </pivotArea>
    </chartFormat>
    <chartFormat chart="12" format="722">
      <pivotArea type="data" outline="0" fieldPosition="0">
        <references count="2">
          <reference field="4294967294" count="1" selected="0">
            <x v="0"/>
          </reference>
          <reference field="8" count="1" selected="0">
            <x v="38"/>
          </reference>
        </references>
      </pivotArea>
    </chartFormat>
    <chartFormat chart="12" format="723">
      <pivotArea type="data" outline="0" fieldPosition="0">
        <references count="2">
          <reference field="4294967294" count="1" selected="0">
            <x v="0"/>
          </reference>
          <reference field="8" count="1" selected="0">
            <x v="77"/>
          </reference>
        </references>
      </pivotArea>
    </chartFormat>
    <chartFormat chart="12" format="724">
      <pivotArea type="data" outline="0" fieldPosition="0">
        <references count="2">
          <reference field="4294967294" count="1" selected="0">
            <x v="0"/>
          </reference>
          <reference field="8" count="1" selected="0">
            <x v="59"/>
          </reference>
        </references>
      </pivotArea>
    </chartFormat>
    <chartFormat chart="12" format="725">
      <pivotArea type="data" outline="0" fieldPosition="0">
        <references count="2">
          <reference field="4294967294" count="1" selected="0">
            <x v="0"/>
          </reference>
          <reference field="8" count="1" selected="0">
            <x v="58"/>
          </reference>
        </references>
      </pivotArea>
    </chartFormat>
    <chartFormat chart="12" format="726">
      <pivotArea type="data" outline="0" fieldPosition="0">
        <references count="2">
          <reference field="4294967294" count="1" selected="0">
            <x v="0"/>
          </reference>
          <reference field="8" count="1" selected="0">
            <x v="141"/>
          </reference>
        </references>
      </pivotArea>
    </chartFormat>
    <chartFormat chart="12" format="72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6"/>
          </reference>
        </references>
      </pivotArea>
    </chartFormat>
    <chartFormat chart="12" format="728">
      <pivotArea type="data" outline="0" fieldPosition="0">
        <references count="2">
          <reference field="4294967294" count="1" selected="0">
            <x v="0"/>
          </reference>
          <reference field="8" count="1" selected="0">
            <x v="99"/>
          </reference>
        </references>
      </pivotArea>
    </chartFormat>
    <chartFormat chart="12" format="729">
      <pivotArea type="data" outline="0" fieldPosition="0">
        <references count="2">
          <reference field="4294967294" count="1" selected="0">
            <x v="0"/>
          </reference>
          <reference field="8" count="1" selected="0">
            <x v="76"/>
          </reference>
        </references>
      </pivotArea>
    </chartFormat>
    <chartFormat chart="12" format="730">
      <pivotArea type="data" outline="0" fieldPosition="0">
        <references count="2">
          <reference field="4294967294" count="1" selected="0">
            <x v="0"/>
          </reference>
          <reference field="8" count="1" selected="0">
            <x v="65"/>
          </reference>
        </references>
      </pivotArea>
    </chartFormat>
    <chartFormat chart="12" format="73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4"/>
          </reference>
        </references>
      </pivotArea>
    </chartFormat>
    <chartFormat chart="12" format="73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8"/>
          </reference>
        </references>
      </pivotArea>
    </chartFormat>
    <chartFormat chart="12" format="733">
      <pivotArea type="data" outline="0" fieldPosition="0">
        <references count="2">
          <reference field="4294967294" count="1" selected="0">
            <x v="0"/>
          </reference>
          <reference field="8" count="1" selected="0">
            <x v="155"/>
          </reference>
        </references>
      </pivotArea>
    </chartFormat>
    <chartFormat chart="12" format="734">
      <pivotArea type="data" outline="0" fieldPosition="0">
        <references count="2">
          <reference field="4294967294" count="1" selected="0">
            <x v="0"/>
          </reference>
          <reference field="8" count="1" selected="0">
            <x v="146"/>
          </reference>
        </references>
      </pivotArea>
    </chartFormat>
    <chartFormat chart="12" format="73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2" format="736">
      <pivotArea type="data" outline="0" fieldPosition="0">
        <references count="2">
          <reference field="4294967294" count="1" selected="0">
            <x v="0"/>
          </reference>
          <reference field="8" count="1" selected="0">
            <x v="43"/>
          </reference>
        </references>
      </pivotArea>
    </chartFormat>
    <chartFormat chart="12" format="737">
      <pivotArea type="data" outline="0" fieldPosition="0">
        <references count="2">
          <reference field="4294967294" count="1" selected="0">
            <x v="0"/>
          </reference>
          <reference field="8" count="1" selected="0">
            <x v="55"/>
          </reference>
        </references>
      </pivotArea>
    </chartFormat>
    <chartFormat chart="12" format="738">
      <pivotArea type="data" outline="0" fieldPosition="0">
        <references count="2">
          <reference field="4294967294" count="1" selected="0">
            <x v="0"/>
          </reference>
          <reference field="8" count="1" selected="0">
            <x v="109"/>
          </reference>
        </references>
      </pivotArea>
    </chartFormat>
    <chartFormat chart="12" format="739">
      <pivotArea type="data" outline="0" fieldPosition="0">
        <references count="2">
          <reference field="4294967294" count="1" selected="0">
            <x v="0"/>
          </reference>
          <reference field="8" count="1" selected="0">
            <x v="48"/>
          </reference>
        </references>
      </pivotArea>
    </chartFormat>
    <chartFormat chart="12" format="740">
      <pivotArea type="data" outline="0" fieldPosition="0">
        <references count="2">
          <reference field="4294967294" count="1" selected="0">
            <x v="0"/>
          </reference>
          <reference field="8" count="1" selected="0">
            <x v="94"/>
          </reference>
        </references>
      </pivotArea>
    </chartFormat>
    <chartFormat chart="12" format="74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12" format="742">
      <pivotArea type="data" outline="0" fieldPosition="0">
        <references count="2">
          <reference field="4294967294" count="1" selected="0">
            <x v="0"/>
          </reference>
          <reference field="8" count="1" selected="0">
            <x v="98"/>
          </reference>
        </references>
      </pivotArea>
    </chartFormat>
    <chartFormat chart="12" format="743">
      <pivotArea type="data" outline="0" fieldPosition="0">
        <references count="2">
          <reference field="4294967294" count="1" selected="0">
            <x v="0"/>
          </reference>
          <reference field="8" count="1" selected="0">
            <x v="33"/>
          </reference>
        </references>
      </pivotArea>
    </chartFormat>
    <chartFormat chart="12" format="74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6"/>
          </reference>
        </references>
      </pivotArea>
    </chartFormat>
    <chartFormat chart="12" format="745">
      <pivotArea type="data" outline="0" fieldPosition="0">
        <references count="2">
          <reference field="4294967294" count="1" selected="0">
            <x v="0"/>
          </reference>
          <reference field="8" count="1" selected="0">
            <x v="84"/>
          </reference>
        </references>
      </pivotArea>
    </chartFormat>
    <chartFormat chart="12" format="746">
      <pivotArea type="data" outline="0" fieldPosition="0">
        <references count="2">
          <reference field="4294967294" count="1" selected="0">
            <x v="0"/>
          </reference>
          <reference field="8" count="1" selected="0">
            <x v="67"/>
          </reference>
        </references>
      </pivotArea>
    </chartFormat>
    <chartFormat chart="12" format="747">
      <pivotArea type="data" outline="0" fieldPosition="0">
        <references count="2">
          <reference field="4294967294" count="1" selected="0">
            <x v="0"/>
          </reference>
          <reference field="8" count="1" selected="0">
            <x v="80"/>
          </reference>
        </references>
      </pivotArea>
    </chartFormat>
    <chartFormat chart="12" format="74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9"/>
          </reference>
        </references>
      </pivotArea>
    </chartFormat>
    <chartFormat chart="12" format="749">
      <pivotArea type="data" outline="0" fieldPosition="0">
        <references count="2">
          <reference field="4294967294" count="1" selected="0">
            <x v="0"/>
          </reference>
          <reference field="8" count="1" selected="0">
            <x v="124"/>
          </reference>
        </references>
      </pivotArea>
    </chartFormat>
    <chartFormat chart="12" format="750">
      <pivotArea type="data" outline="0" fieldPosition="0">
        <references count="2">
          <reference field="4294967294" count="1" selected="0">
            <x v="0"/>
          </reference>
          <reference field="8" count="1" selected="0">
            <x v="107"/>
          </reference>
        </references>
      </pivotArea>
    </chartFormat>
    <chartFormat chart="12" format="75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6"/>
          </reference>
        </references>
      </pivotArea>
    </chartFormat>
    <chartFormat chart="12" format="752">
      <pivotArea type="data" outline="0" fieldPosition="0">
        <references count="2">
          <reference field="4294967294" count="1" selected="0">
            <x v="0"/>
          </reference>
          <reference field="8" count="1" selected="0">
            <x v="96"/>
          </reference>
        </references>
      </pivotArea>
    </chartFormat>
    <chartFormat chart="12" format="753">
      <pivotArea type="data" outline="0" fieldPosition="0">
        <references count="2">
          <reference field="4294967294" count="1" selected="0">
            <x v="0"/>
          </reference>
          <reference field="8" count="1" selected="0">
            <x v="125"/>
          </reference>
        </references>
      </pivotArea>
    </chartFormat>
    <chartFormat chart="12" format="754">
      <pivotArea type="data" outline="0" fieldPosition="0">
        <references count="2">
          <reference field="4294967294" count="1" selected="0">
            <x v="0"/>
          </reference>
          <reference field="8" count="1" selected="0">
            <x v="105"/>
          </reference>
        </references>
      </pivotArea>
    </chartFormat>
    <chartFormat chart="12" format="75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2" format="756">
      <pivotArea type="data" outline="0" fieldPosition="0">
        <references count="2">
          <reference field="4294967294" count="1" selected="0">
            <x v="0"/>
          </reference>
          <reference field="8" count="1" selected="0">
            <x v="70"/>
          </reference>
        </references>
      </pivotArea>
    </chartFormat>
    <chartFormat chart="12" format="757">
      <pivotArea type="data" outline="0" fieldPosition="0">
        <references count="2">
          <reference field="4294967294" count="1" selected="0">
            <x v="0"/>
          </reference>
          <reference field="8" count="1" selected="0">
            <x v="110"/>
          </reference>
        </references>
      </pivotArea>
    </chartFormat>
    <chartFormat chart="12" format="758">
      <pivotArea type="data" outline="0" fieldPosition="0">
        <references count="2">
          <reference field="4294967294" count="1" selected="0">
            <x v="0"/>
          </reference>
          <reference field="8" count="1" selected="0">
            <x v="85"/>
          </reference>
        </references>
      </pivotArea>
    </chartFormat>
    <chartFormat chart="12" format="759">
      <pivotArea type="data" outline="0" fieldPosition="0">
        <references count="2">
          <reference field="4294967294" count="1" selected="0">
            <x v="0"/>
          </reference>
          <reference field="8" count="1" selected="0">
            <x v="74"/>
          </reference>
        </references>
      </pivotArea>
    </chartFormat>
    <chartFormat chart="12" format="760">
      <pivotArea type="data" outline="0" fieldPosition="0">
        <references count="2">
          <reference field="4294967294" count="1" selected="0">
            <x v="0"/>
          </reference>
          <reference field="8" count="1" selected="0">
            <x v="123"/>
          </reference>
        </references>
      </pivotArea>
    </chartFormat>
    <chartFormat chart="12" format="76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7"/>
          </reference>
        </references>
      </pivotArea>
    </chartFormat>
    <chartFormat chart="12" format="762">
      <pivotArea type="data" outline="0" fieldPosition="0">
        <references count="2">
          <reference field="4294967294" count="1" selected="0">
            <x v="0"/>
          </reference>
          <reference field="8" count="1" selected="0">
            <x v="41"/>
          </reference>
        </references>
      </pivotArea>
    </chartFormat>
    <chartFormat chart="12" format="76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1"/>
          </reference>
        </references>
      </pivotArea>
    </chartFormat>
    <chartFormat chart="12" format="764">
      <pivotArea type="data" outline="0" fieldPosition="0">
        <references count="2">
          <reference field="4294967294" count="1" selected="0">
            <x v="0"/>
          </reference>
          <reference field="8" count="1" selected="0">
            <x v="116"/>
          </reference>
        </references>
      </pivotArea>
    </chartFormat>
    <chartFormat chart="12" format="76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1"/>
          </reference>
        </references>
      </pivotArea>
    </chartFormat>
    <chartFormat chart="12" format="766">
      <pivotArea type="data" outline="0" fieldPosition="0">
        <references count="2">
          <reference field="4294967294" count="1" selected="0">
            <x v="0"/>
          </reference>
          <reference field="8" count="1" selected="0">
            <x v="115"/>
          </reference>
        </references>
      </pivotArea>
    </chartFormat>
    <chartFormat chart="12" format="767">
      <pivotArea type="data" outline="0" fieldPosition="0">
        <references count="2">
          <reference field="4294967294" count="1" selected="0">
            <x v="0"/>
          </reference>
          <reference field="8" count="1" selected="0">
            <x v="42"/>
          </reference>
        </references>
      </pivotArea>
    </chartFormat>
    <chartFormat chart="12" format="768">
      <pivotArea type="data" outline="0" fieldPosition="0">
        <references count="2">
          <reference field="4294967294" count="1" selected="0">
            <x v="0"/>
          </reference>
          <reference field="8" count="1" selected="0">
            <x v="104"/>
          </reference>
        </references>
      </pivotArea>
    </chartFormat>
    <chartFormat chart="12" format="769">
      <pivotArea type="data" outline="0" fieldPosition="0">
        <references count="2">
          <reference field="4294967294" count="1" selected="0">
            <x v="0"/>
          </reference>
          <reference field="8" count="1" selected="0">
            <x v="147"/>
          </reference>
        </references>
      </pivotArea>
    </chartFormat>
    <chartFormat chart="12" format="770">
      <pivotArea type="data" outline="0" fieldPosition="0">
        <references count="2">
          <reference field="4294967294" count="1" selected="0">
            <x v="0"/>
          </reference>
          <reference field="8" count="1" selected="0">
            <x v="56"/>
          </reference>
        </references>
      </pivotArea>
    </chartFormat>
    <chartFormat chart="12" format="77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6"/>
          </reference>
        </references>
      </pivotArea>
    </chartFormat>
    <chartFormat chart="12" format="77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9"/>
          </reference>
        </references>
      </pivotArea>
    </chartFormat>
    <chartFormat chart="12" format="773">
      <pivotArea type="data" outline="0" fieldPosition="0">
        <references count="2">
          <reference field="4294967294" count="1" selected="0">
            <x v="0"/>
          </reference>
          <reference field="8" count="1" selected="0">
            <x v="92"/>
          </reference>
        </references>
      </pivotArea>
    </chartFormat>
    <chartFormat chart="12" format="77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2"/>
          </reference>
        </references>
      </pivotArea>
    </chartFormat>
    <chartFormat chart="12" format="775">
      <pivotArea type="data" outline="0" fieldPosition="0">
        <references count="2">
          <reference field="4294967294" count="1" selected="0">
            <x v="0"/>
          </reference>
          <reference field="8" count="1" selected="0">
            <x v="39"/>
          </reference>
        </references>
      </pivotArea>
    </chartFormat>
    <chartFormat chart="12" format="776">
      <pivotArea type="data" outline="0" fieldPosition="0">
        <references count="2">
          <reference field="4294967294" count="1" selected="0">
            <x v="0"/>
          </reference>
          <reference field="8" count="1" selected="0">
            <x v="72"/>
          </reference>
        </references>
      </pivotArea>
    </chartFormat>
    <chartFormat chart="12" format="777">
      <pivotArea type="data" outline="0" fieldPosition="0">
        <references count="2">
          <reference field="4294967294" count="1" selected="0">
            <x v="0"/>
          </reference>
          <reference field="8" count="1" selected="0">
            <x v="129"/>
          </reference>
        </references>
      </pivotArea>
    </chartFormat>
    <chartFormat chart="12" format="778">
      <pivotArea type="data" outline="0" fieldPosition="0">
        <references count="2">
          <reference field="4294967294" count="1" selected="0">
            <x v="0"/>
          </reference>
          <reference field="8" count="1" selected="0">
            <x v="75"/>
          </reference>
        </references>
      </pivotArea>
    </chartFormat>
    <chartFormat chart="12" format="779">
      <pivotArea type="data" outline="0" fieldPosition="0">
        <references count="2">
          <reference field="4294967294" count="1" selected="0">
            <x v="0"/>
          </reference>
          <reference field="8" count="1" selected="0">
            <x v="127"/>
          </reference>
        </references>
      </pivotArea>
    </chartFormat>
    <chartFormat chart="12" format="780">
      <pivotArea type="data" outline="0" fieldPosition="0">
        <references count="2">
          <reference field="4294967294" count="1" selected="0">
            <x v="0"/>
          </reference>
          <reference field="8" count="1" selected="0">
            <x v="151"/>
          </reference>
        </references>
      </pivotArea>
    </chartFormat>
    <chartFormat chart="12" format="78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2"/>
          </reference>
        </references>
      </pivotArea>
    </chartFormat>
    <chartFormat chart="12" format="782">
      <pivotArea type="data" outline="0" fieldPosition="0">
        <references count="2">
          <reference field="4294967294" count="1" selected="0">
            <x v="0"/>
          </reference>
          <reference field="8" count="1" selected="0">
            <x v="158"/>
          </reference>
        </references>
      </pivotArea>
    </chartFormat>
    <chartFormat chart="12" format="783">
      <pivotArea type="data" outline="0" fieldPosition="0">
        <references count="2">
          <reference field="4294967294" count="1" selected="0">
            <x v="0"/>
          </reference>
          <reference field="8" count="1" selected="0">
            <x v="35"/>
          </reference>
        </references>
      </pivotArea>
    </chartFormat>
    <chartFormat chart="12" format="784">
      <pivotArea type="data" outline="0" fieldPosition="0">
        <references count="2">
          <reference field="4294967294" count="1" selected="0">
            <x v="0"/>
          </reference>
          <reference field="8" count="1" selected="0">
            <x v="130"/>
          </reference>
        </references>
      </pivotArea>
    </chartFormat>
    <chartFormat chart="12" format="78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2"/>
          </reference>
        </references>
      </pivotArea>
    </chartFormat>
    <chartFormat chart="12" format="786">
      <pivotArea type="data" outline="0" fieldPosition="0">
        <references count="2">
          <reference field="4294967294" count="1" selected="0">
            <x v="0"/>
          </reference>
          <reference field="8" count="1" selected="0">
            <x v="26"/>
          </reference>
        </references>
      </pivotArea>
    </chartFormat>
    <chartFormat chart="12" format="787">
      <pivotArea type="data" outline="0" fieldPosition="0">
        <references count="2">
          <reference field="4294967294" count="1" selected="0">
            <x v="0"/>
          </reference>
          <reference field="8" count="1" selected="0">
            <x v="120"/>
          </reference>
        </references>
      </pivotArea>
    </chartFormat>
    <chartFormat chart="12" format="788">
      <pivotArea type="data" outline="0" fieldPosition="0">
        <references count="2">
          <reference field="4294967294" count="1" selected="0">
            <x v="0"/>
          </reference>
          <reference field="8" count="1" selected="0">
            <x v="87"/>
          </reference>
        </references>
      </pivotArea>
    </chartFormat>
    <chartFormat chart="12" format="789">
      <pivotArea type="data" outline="0" fieldPosition="0">
        <references count="2">
          <reference field="4294967294" count="1" selected="0">
            <x v="0"/>
          </reference>
          <reference field="8" count="1" selected="0">
            <x v="36"/>
          </reference>
        </references>
      </pivotArea>
    </chartFormat>
    <chartFormat chart="12" format="790">
      <pivotArea type="data" outline="0" fieldPosition="0">
        <references count="2">
          <reference field="4294967294" count="1" selected="0">
            <x v="0"/>
          </reference>
          <reference field="8" count="1" selected="0">
            <x v="95"/>
          </reference>
        </references>
      </pivotArea>
    </chartFormat>
    <chartFormat chart="12" format="79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2"/>
          </reference>
        </references>
      </pivotArea>
    </chartFormat>
    <chartFormat chart="12" format="792">
      <pivotArea type="data" outline="0" fieldPosition="0">
        <references count="2">
          <reference field="4294967294" count="1" selected="0">
            <x v="0"/>
          </reference>
          <reference field="8" count="1" selected="0">
            <x v="97"/>
          </reference>
        </references>
      </pivotArea>
    </chartFormat>
    <chartFormat chart="12" format="793">
      <pivotArea type="data" outline="0" fieldPosition="0">
        <references count="2">
          <reference field="4294967294" count="1" selected="0">
            <x v="0"/>
          </reference>
          <reference field="8" count="1" selected="0">
            <x v="71"/>
          </reference>
        </references>
      </pivotArea>
    </chartFormat>
    <chartFormat chart="12" format="79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1"/>
          </reference>
        </references>
      </pivotArea>
    </chartFormat>
    <chartFormat chart="12" format="79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8"/>
          </reference>
        </references>
      </pivotArea>
    </chartFormat>
    <chartFormat chart="12" format="796">
      <pivotArea type="data" outline="0" fieldPosition="0">
        <references count="2">
          <reference field="4294967294" count="1" selected="0">
            <x v="0"/>
          </reference>
          <reference field="8" count="1" selected="0">
            <x v="133"/>
          </reference>
        </references>
      </pivotArea>
    </chartFormat>
    <chartFormat chart="12" format="79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5"/>
          </reference>
        </references>
      </pivotArea>
    </chartFormat>
    <chartFormat chart="12" format="798">
      <pivotArea type="data" outline="0" fieldPosition="0">
        <references count="2">
          <reference field="4294967294" count="1" selected="0">
            <x v="0"/>
          </reference>
          <reference field="8" count="1" selected="0">
            <x v="131"/>
          </reference>
        </references>
      </pivotArea>
    </chartFormat>
    <chartFormat chart="12" format="799">
      <pivotArea type="data" outline="0" fieldPosition="0">
        <references count="2">
          <reference field="4294967294" count="1" selected="0">
            <x v="0"/>
          </reference>
          <reference field="8" count="1" selected="0">
            <x v="69"/>
          </reference>
        </references>
      </pivotArea>
    </chartFormat>
    <chartFormat chart="12" format="80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801">
      <pivotArea type="data" outline="0" fieldPosition="0">
        <references count="2">
          <reference field="4294967294" count="1" selected="0">
            <x v="1"/>
          </reference>
          <reference field="8" count="1" selected="0">
            <x v="148"/>
          </reference>
        </references>
      </pivotArea>
    </chartFormat>
    <chartFormat chart="12" format="802">
      <pivotArea type="data" outline="0" fieldPosition="0">
        <references count="2">
          <reference field="4294967294" count="1" selected="0">
            <x v="1"/>
          </reference>
          <reference field="8" count="1" selected="0">
            <x v="24"/>
          </reference>
        </references>
      </pivotArea>
    </chartFormat>
    <chartFormat chart="12" format="803">
      <pivotArea type="data" outline="0" fieldPosition="0">
        <references count="2">
          <reference field="4294967294" count="1" selected="0">
            <x v="1"/>
          </reference>
          <reference field="8" count="1" selected="0">
            <x v="29"/>
          </reference>
        </references>
      </pivotArea>
    </chartFormat>
    <chartFormat chart="12" format="804">
      <pivotArea type="data" outline="0" fieldPosition="0">
        <references count="2">
          <reference field="4294967294" count="1" selected="0">
            <x v="1"/>
          </reference>
          <reference field="8" count="1" selected="0">
            <x v="16"/>
          </reference>
        </references>
      </pivotArea>
    </chartFormat>
    <chartFormat chart="12" format="805">
      <pivotArea type="data" outline="0" fieldPosition="0">
        <references count="2">
          <reference field="4294967294" count="1" selected="0">
            <x v="1"/>
          </reference>
          <reference field="8" count="1" selected="0">
            <x v="7"/>
          </reference>
        </references>
      </pivotArea>
    </chartFormat>
    <chartFormat chart="12" format="806">
      <pivotArea type="data" outline="0" fieldPosition="0">
        <references count="2">
          <reference field="4294967294" count="1" selected="0">
            <x v="1"/>
          </reference>
          <reference field="8" count="1" selected="0">
            <x v="18"/>
          </reference>
        </references>
      </pivotArea>
    </chartFormat>
    <chartFormat chart="12" format="807">
      <pivotArea type="data" outline="0" fieldPosition="0">
        <references count="2">
          <reference field="4294967294" count="1" selected="0">
            <x v="1"/>
          </reference>
          <reference field="8" count="1" selected="0">
            <x v="64"/>
          </reference>
        </references>
      </pivotArea>
    </chartFormat>
    <chartFormat chart="12" format="808">
      <pivotArea type="data" outline="0" fieldPosition="0">
        <references count="2">
          <reference field="4294967294" count="1" selected="0">
            <x v="1"/>
          </reference>
          <reference field="8" count="1" selected="0">
            <x v="140"/>
          </reference>
        </references>
      </pivotArea>
    </chartFormat>
    <chartFormat chart="12" format="809">
      <pivotArea type="data" outline="0" fieldPosition="0">
        <references count="2">
          <reference field="4294967294" count="1" selected="0">
            <x v="1"/>
          </reference>
          <reference field="8" count="1" selected="0">
            <x v="28"/>
          </reference>
        </references>
      </pivotArea>
    </chartFormat>
    <chartFormat chart="12" format="810">
      <pivotArea type="data" outline="0" fieldPosition="0">
        <references count="2">
          <reference field="4294967294" count="1" selected="0">
            <x v="1"/>
          </reference>
          <reference field="8" count="1" selected="0">
            <x v="9"/>
          </reference>
        </references>
      </pivotArea>
    </chartFormat>
    <chartFormat chart="12" format="811">
      <pivotArea type="data" outline="0" fieldPosition="0">
        <references count="2">
          <reference field="4294967294" count="1" selected="0">
            <x v="1"/>
          </reference>
          <reference field="8" count="1" selected="0">
            <x v="13"/>
          </reference>
        </references>
      </pivotArea>
    </chartFormat>
    <chartFormat chart="12" format="812">
      <pivotArea type="data" outline="0" fieldPosition="0">
        <references count="2">
          <reference field="4294967294" count="1" selected="0">
            <x v="1"/>
          </reference>
          <reference field="8" count="1" selected="0">
            <x v="139"/>
          </reference>
        </references>
      </pivotArea>
    </chartFormat>
    <chartFormat chart="12" format="813">
      <pivotArea type="data" outline="0" fieldPosition="0">
        <references count="2">
          <reference field="4294967294" count="1" selected="0">
            <x v="1"/>
          </reference>
          <reference field="8" count="1" selected="0">
            <x v="52"/>
          </reference>
        </references>
      </pivotArea>
    </chartFormat>
    <chartFormat chart="12" format="814">
      <pivotArea type="data" outline="0" fieldPosition="0">
        <references count="2">
          <reference field="4294967294" count="1" selected="0">
            <x v="1"/>
          </reference>
          <reference field="8" count="1" selected="0">
            <x v="21"/>
          </reference>
        </references>
      </pivotArea>
    </chartFormat>
    <chartFormat chart="12" format="815">
      <pivotArea type="data" outline="0" fieldPosition="0">
        <references count="2">
          <reference field="4294967294" count="1" selected="0">
            <x v="1"/>
          </reference>
          <reference field="8" count="1" selected="0">
            <x v="11"/>
          </reference>
        </references>
      </pivotArea>
    </chartFormat>
    <chartFormat chart="12" format="816">
      <pivotArea type="data" outline="0" fieldPosition="0">
        <references count="2">
          <reference field="4294967294" count="1" selected="0">
            <x v="1"/>
          </reference>
          <reference field="8" count="1" selected="0">
            <x v="25"/>
          </reference>
        </references>
      </pivotArea>
    </chartFormat>
    <chartFormat chart="12" format="817">
      <pivotArea type="data" outline="0" fieldPosition="0">
        <references count="2">
          <reference field="4294967294" count="1" selected="0">
            <x v="1"/>
          </reference>
          <reference field="8" count="1" selected="0">
            <x v="27"/>
          </reference>
        </references>
      </pivotArea>
    </chartFormat>
    <chartFormat chart="12" format="818">
      <pivotArea type="data" outline="0" fieldPosition="0">
        <references count="2">
          <reference field="4294967294" count="1" selected="0">
            <x v="1"/>
          </reference>
          <reference field="8" count="1" selected="0">
            <x v="143"/>
          </reference>
        </references>
      </pivotArea>
    </chartFormat>
    <chartFormat chart="12" format="819">
      <pivotArea type="data" outline="0" fieldPosition="0">
        <references count="2">
          <reference field="4294967294" count="1" selected="0">
            <x v="1"/>
          </reference>
          <reference field="8" count="1" selected="0">
            <x v="45"/>
          </reference>
        </references>
      </pivotArea>
    </chartFormat>
    <chartFormat chart="12" format="820">
      <pivotArea type="data" outline="0" fieldPosition="0">
        <references count="2">
          <reference field="4294967294" count="1" selected="0">
            <x v="1"/>
          </reference>
          <reference field="8" count="1" selected="0">
            <x v="61"/>
          </reference>
        </references>
      </pivotArea>
    </chartFormat>
    <chartFormat chart="12" format="821">
      <pivotArea type="data" outline="0" fieldPosition="0">
        <references count="2">
          <reference field="4294967294" count="1" selected="0">
            <x v="1"/>
          </reference>
          <reference field="8" count="1" selected="0">
            <x v="19"/>
          </reference>
        </references>
      </pivotArea>
    </chartFormat>
    <chartFormat chart="12" format="822">
      <pivotArea type="data" outline="0" fieldPosition="0">
        <references count="2">
          <reference field="4294967294" count="1" selected="0">
            <x v="1"/>
          </reference>
          <reference field="8" count="1" selected="0">
            <x v="153"/>
          </reference>
        </references>
      </pivotArea>
    </chartFormat>
    <chartFormat chart="12" format="823">
      <pivotArea type="data" outline="0" fieldPosition="0">
        <references count="2">
          <reference field="4294967294" count="1" selected="0">
            <x v="1"/>
          </reference>
          <reference field="8" count="1" selected="0">
            <x v="8"/>
          </reference>
        </references>
      </pivotArea>
    </chartFormat>
    <chartFormat chart="12" format="824">
      <pivotArea type="data" outline="0" fieldPosition="0">
        <references count="2">
          <reference field="4294967294" count="1" selected="0">
            <x v="1"/>
          </reference>
          <reference field="8" count="1" selected="0">
            <x v="150"/>
          </reference>
        </references>
      </pivotArea>
    </chartFormat>
    <chartFormat chart="12" format="825">
      <pivotArea type="data" outline="0" fieldPosition="0">
        <references count="2">
          <reference field="4294967294" count="1" selected="0">
            <x v="1"/>
          </reference>
          <reference field="8" count="1" selected="0">
            <x v="14"/>
          </reference>
        </references>
      </pivotArea>
    </chartFormat>
    <chartFormat chart="12" format="826">
      <pivotArea type="data" outline="0" fieldPosition="0">
        <references count="2">
          <reference field="4294967294" count="1" selected="0">
            <x v="1"/>
          </reference>
          <reference field="8" count="1" selected="0">
            <x v="46"/>
          </reference>
        </references>
      </pivotArea>
    </chartFormat>
    <chartFormat chart="12" format="827">
      <pivotArea type="data" outline="0" fieldPosition="0">
        <references count="2">
          <reference field="4294967294" count="1" selected="0">
            <x v="1"/>
          </reference>
          <reference field="8" count="1" selected="0">
            <x v="68"/>
          </reference>
        </references>
      </pivotArea>
    </chartFormat>
    <chartFormat chart="12" format="828">
      <pivotArea type="data" outline="0" fieldPosition="0">
        <references count="2">
          <reference field="4294967294" count="1" selected="0">
            <x v="1"/>
          </reference>
          <reference field="8" count="1" selected="0">
            <x v="53"/>
          </reference>
        </references>
      </pivotArea>
    </chartFormat>
    <chartFormat chart="12" format="829">
      <pivotArea type="data" outline="0" fieldPosition="0">
        <references count="2">
          <reference field="4294967294" count="1" selected="0">
            <x v="1"/>
          </reference>
          <reference field="8" count="1" selected="0">
            <x v="6"/>
          </reference>
        </references>
      </pivotArea>
    </chartFormat>
    <chartFormat chart="12" format="830">
      <pivotArea type="data" outline="0" fieldPosition="0">
        <references count="2">
          <reference field="4294967294" count="1" selected="0">
            <x v="1"/>
          </reference>
          <reference field="8" count="1" selected="0">
            <x v="20"/>
          </reference>
        </references>
      </pivotArea>
    </chartFormat>
    <chartFormat chart="12" format="831">
      <pivotArea type="data" outline="0" fieldPosition="0">
        <references count="2">
          <reference field="4294967294" count="1" selected="0">
            <x v="1"/>
          </reference>
          <reference field="8" count="1" selected="0">
            <x v="34"/>
          </reference>
        </references>
      </pivotArea>
    </chartFormat>
    <chartFormat chart="12" format="832">
      <pivotArea type="data" outline="0" fieldPosition="0">
        <references count="2">
          <reference field="4294967294" count="1" selected="0">
            <x v="1"/>
          </reference>
          <reference field="8" count="1" selected="0">
            <x v="37"/>
          </reference>
        </references>
      </pivotArea>
    </chartFormat>
    <chartFormat chart="12" format="833">
      <pivotArea type="data" outline="0" fieldPosition="0">
        <references count="2">
          <reference field="4294967294" count="1" selected="0">
            <x v="1"/>
          </reference>
          <reference field="8" count="1" selected="0">
            <x v="54"/>
          </reference>
        </references>
      </pivotArea>
    </chartFormat>
    <chartFormat chart="12" format="834">
      <pivotArea type="data" outline="0" fieldPosition="0">
        <references count="2">
          <reference field="4294967294" count="1" selected="0">
            <x v="1"/>
          </reference>
          <reference field="8" count="1" selected="0">
            <x v="145"/>
          </reference>
        </references>
      </pivotArea>
    </chartFormat>
    <chartFormat chart="12" format="835">
      <pivotArea type="data" outline="0" fieldPosition="0">
        <references count="2">
          <reference field="4294967294" count="1" selected="0">
            <x v="1"/>
          </reference>
          <reference field="8" count="1" selected="0">
            <x v="142"/>
          </reference>
        </references>
      </pivotArea>
    </chartFormat>
    <chartFormat chart="12" format="836">
      <pivotArea type="data" outline="0" fieldPosition="0">
        <references count="2">
          <reference field="4294967294" count="1" selected="0">
            <x v="1"/>
          </reference>
          <reference field="8" count="1" selected="0">
            <x v="86"/>
          </reference>
        </references>
      </pivotArea>
    </chartFormat>
    <chartFormat chart="12" format="837">
      <pivotArea type="data" outline="0" fieldPosition="0">
        <references count="2">
          <reference field="4294967294" count="1" selected="0">
            <x v="1"/>
          </reference>
          <reference field="8" count="1" selected="0">
            <x v="51"/>
          </reference>
        </references>
      </pivotArea>
    </chartFormat>
    <chartFormat chart="12" format="838">
      <pivotArea type="data" outline="0" fieldPosition="0">
        <references count="2">
          <reference field="4294967294" count="1" selected="0">
            <x v="1"/>
          </reference>
          <reference field="8" count="1" selected="0">
            <x v="15"/>
          </reference>
        </references>
      </pivotArea>
    </chartFormat>
    <chartFormat chart="12" format="839">
      <pivotArea type="data" outline="0" fieldPosition="0">
        <references count="2">
          <reference field="4294967294" count="1" selected="0">
            <x v="1"/>
          </reference>
          <reference field="8" count="1" selected="0">
            <x v="40"/>
          </reference>
        </references>
      </pivotArea>
    </chartFormat>
    <chartFormat chart="12" format="840">
      <pivotArea type="data" outline="0" fieldPosition="0">
        <references count="2">
          <reference field="4294967294" count="1" selected="0">
            <x v="1"/>
          </reference>
          <reference field="8" count="1" selected="0">
            <x v="49"/>
          </reference>
        </references>
      </pivotArea>
    </chartFormat>
    <chartFormat chart="12" format="841">
      <pivotArea type="data" outline="0" fieldPosition="0">
        <references count="2">
          <reference field="4294967294" count="1" selected="0">
            <x v="1"/>
          </reference>
          <reference field="8" count="1" selected="0">
            <x v="17"/>
          </reference>
        </references>
      </pivotArea>
    </chartFormat>
    <chartFormat chart="12" format="842">
      <pivotArea type="data" outline="0" fieldPosition="0">
        <references count="2">
          <reference field="4294967294" count="1" selected="0">
            <x v="1"/>
          </reference>
          <reference field="8" count="1" selected="0">
            <x v="78"/>
          </reference>
        </references>
      </pivotArea>
    </chartFormat>
    <chartFormat chart="12" format="843">
      <pivotArea type="data" outline="0" fieldPosition="0">
        <references count="2">
          <reference field="4294967294" count="1" selected="0">
            <x v="1"/>
          </reference>
          <reference field="8" count="1" selected="0">
            <x v="81"/>
          </reference>
        </references>
      </pivotArea>
    </chartFormat>
    <chartFormat chart="12" format="844">
      <pivotArea type="data" outline="0" fieldPosition="0">
        <references count="2">
          <reference field="4294967294" count="1" selected="0">
            <x v="1"/>
          </reference>
          <reference field="8" count="1" selected="0">
            <x v="154"/>
          </reference>
        </references>
      </pivotArea>
    </chartFormat>
    <chartFormat chart="12" format="845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12" format="846">
      <pivotArea type="data" outline="0" fieldPosition="0">
        <references count="2">
          <reference field="4294967294" count="1" selected="0">
            <x v="1"/>
          </reference>
          <reference field="8" count="1" selected="0">
            <x v="144"/>
          </reference>
        </references>
      </pivotArea>
    </chartFormat>
    <chartFormat chart="12" format="847">
      <pivotArea type="data" outline="0" fieldPosition="0">
        <references count="2">
          <reference field="4294967294" count="1" selected="0">
            <x v="1"/>
          </reference>
          <reference field="8" count="1" selected="0">
            <x v="138"/>
          </reference>
        </references>
      </pivotArea>
    </chartFormat>
    <chartFormat chart="12" format="848">
      <pivotArea type="data" outline="0" fieldPosition="0">
        <references count="2">
          <reference field="4294967294" count="1" selected="0">
            <x v="1"/>
          </reference>
          <reference field="8" count="1" selected="0">
            <x v="47"/>
          </reference>
        </references>
      </pivotArea>
    </chartFormat>
    <chartFormat chart="12" format="849">
      <pivotArea type="data" outline="0" fieldPosition="0">
        <references count="2">
          <reference field="4294967294" count="1" selected="0">
            <x v="1"/>
          </reference>
          <reference field="8" count="1" selected="0">
            <x v="63"/>
          </reference>
        </references>
      </pivotArea>
    </chartFormat>
    <chartFormat chart="12" format="850">
      <pivotArea type="data" outline="0" fieldPosition="0">
        <references count="2">
          <reference field="4294967294" count="1" selected="0">
            <x v="1"/>
          </reference>
          <reference field="8" count="1" selected="0">
            <x v="112"/>
          </reference>
        </references>
      </pivotArea>
    </chartFormat>
    <chartFormat chart="12" format="851">
      <pivotArea type="data" outline="0" fieldPosition="0">
        <references count="2">
          <reference field="4294967294" count="1" selected="0">
            <x v="1"/>
          </reference>
          <reference field="8" count="1" selected="0">
            <x v="31"/>
          </reference>
        </references>
      </pivotArea>
    </chartFormat>
    <chartFormat chart="12" format="852">
      <pivotArea type="data" outline="0" fieldPosition="0">
        <references count="2">
          <reference field="4294967294" count="1" selected="0">
            <x v="1"/>
          </reference>
          <reference field="8" count="1" selected="0">
            <x v="73"/>
          </reference>
        </references>
      </pivotArea>
    </chartFormat>
    <chartFormat chart="12" format="853">
      <pivotArea type="data" outline="0" fieldPosition="0">
        <references count="2">
          <reference field="4294967294" count="1" selected="0">
            <x v="1"/>
          </reference>
          <reference field="8" count="1" selected="0">
            <x v="83"/>
          </reference>
        </references>
      </pivotArea>
    </chartFormat>
    <chartFormat chart="12" format="854">
      <pivotArea type="data" outline="0" fieldPosition="0">
        <references count="2">
          <reference field="4294967294" count="1" selected="0">
            <x v="1"/>
          </reference>
          <reference field="8" count="1" selected="0">
            <x v="79"/>
          </reference>
        </references>
      </pivotArea>
    </chartFormat>
    <chartFormat chart="12" format="85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"/>
          </reference>
        </references>
      </pivotArea>
    </chartFormat>
    <chartFormat chart="12" format="856">
      <pivotArea type="data" outline="0" fieldPosition="0">
        <references count="2">
          <reference field="4294967294" count="1" selected="0">
            <x v="1"/>
          </reference>
          <reference field="8" count="1" selected="0">
            <x v="82"/>
          </reference>
        </references>
      </pivotArea>
    </chartFormat>
    <chartFormat chart="12" format="857">
      <pivotArea type="data" outline="0" fieldPosition="0">
        <references count="2">
          <reference field="4294967294" count="1" selected="0">
            <x v="1"/>
          </reference>
          <reference field="8" count="1" selected="0">
            <x v="62"/>
          </reference>
        </references>
      </pivotArea>
    </chartFormat>
    <chartFormat chart="12" format="858">
      <pivotArea type="data" outline="0" fieldPosition="0">
        <references count="2">
          <reference field="4294967294" count="1" selected="0">
            <x v="1"/>
          </reference>
          <reference field="8" count="1" selected="0">
            <x v="88"/>
          </reference>
        </references>
      </pivotArea>
    </chartFormat>
    <chartFormat chart="12" format="859">
      <pivotArea type="data" outline="0" fieldPosition="0">
        <references count="2">
          <reference field="4294967294" count="1" selected="0">
            <x v="1"/>
          </reference>
          <reference field="8" count="1" selected="0">
            <x v="90"/>
          </reference>
        </references>
      </pivotArea>
    </chartFormat>
    <chartFormat chart="12" format="860">
      <pivotArea type="data" outline="0" fieldPosition="0">
        <references count="2">
          <reference field="4294967294" count="1" selected="0">
            <x v="1"/>
          </reference>
          <reference field="8" count="1" selected="0">
            <x v="22"/>
          </reference>
        </references>
      </pivotArea>
    </chartFormat>
    <chartFormat chart="12" format="861">
      <pivotArea type="data" outline="0" fieldPosition="0">
        <references count="2">
          <reference field="4294967294" count="1" selected="0">
            <x v="1"/>
          </reference>
          <reference field="8" count="1" selected="0">
            <x v="128"/>
          </reference>
        </references>
      </pivotArea>
    </chartFormat>
    <chartFormat chart="12" format="862">
      <pivotArea type="data" outline="0" fieldPosition="0">
        <references count="2">
          <reference field="4294967294" count="1" selected="0">
            <x v="1"/>
          </reference>
          <reference field="8" count="1" selected="0">
            <x v="66"/>
          </reference>
        </references>
      </pivotArea>
    </chartFormat>
    <chartFormat chart="12" format="863">
      <pivotArea type="data" outline="0" fieldPosition="0">
        <references count="2">
          <reference field="4294967294" count="1" selected="0">
            <x v="1"/>
          </reference>
          <reference field="8" count="1" selected="0">
            <x v="60"/>
          </reference>
        </references>
      </pivotArea>
    </chartFormat>
    <chartFormat chart="12" format="864">
      <pivotArea type="data" outline="0" fieldPosition="0">
        <references count="2">
          <reference field="4294967294" count="1" selected="0">
            <x v="1"/>
          </reference>
          <reference field="8" count="1" selected="0">
            <x v="50"/>
          </reference>
        </references>
      </pivotArea>
    </chartFormat>
    <chartFormat chart="12" format="865">
      <pivotArea type="data" outline="0" fieldPosition="0">
        <references count="2">
          <reference field="4294967294" count="1" selected="0">
            <x v="1"/>
          </reference>
          <reference field="8" count="1" selected="0">
            <x v="57"/>
          </reference>
        </references>
      </pivotArea>
    </chartFormat>
    <chartFormat chart="12" format="866">
      <pivotArea type="data" outline="0" fieldPosition="0">
        <references count="2">
          <reference field="4294967294" count="1" selected="0">
            <x v="1"/>
          </reference>
          <reference field="8" count="1" selected="0">
            <x v="93"/>
          </reference>
        </references>
      </pivotArea>
    </chartFormat>
    <chartFormat chart="12" format="867">
      <pivotArea type="data" outline="0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chartFormat>
    <chartFormat chart="12" format="868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12" format="869">
      <pivotArea type="data" outline="0" fieldPosition="0">
        <references count="2">
          <reference field="4294967294" count="1" selected="0">
            <x v="1"/>
          </reference>
          <reference field="8" count="1" selected="0">
            <x v="137"/>
          </reference>
        </references>
      </pivotArea>
    </chartFormat>
    <chartFormat chart="12" format="870">
      <pivotArea type="data" outline="0" fieldPosition="0">
        <references count="2">
          <reference field="4294967294" count="1" selected="0">
            <x v="1"/>
          </reference>
          <reference field="8" count="1" selected="0">
            <x v="5"/>
          </reference>
        </references>
      </pivotArea>
    </chartFormat>
    <chartFormat chart="12" format="871">
      <pivotArea type="data" outline="0" fieldPosition="0">
        <references count="2">
          <reference field="4294967294" count="1" selected="0">
            <x v="1"/>
          </reference>
          <reference field="8" count="1" selected="0">
            <x v="32"/>
          </reference>
        </references>
      </pivotArea>
    </chartFormat>
    <chartFormat chart="12" format="872">
      <pivotArea type="data" outline="0" fieldPosition="0">
        <references count="2">
          <reference field="4294967294" count="1" selected="0">
            <x v="1"/>
          </reference>
          <reference field="8" count="1" selected="0">
            <x v="114"/>
          </reference>
        </references>
      </pivotArea>
    </chartFormat>
    <chartFormat chart="12" format="873">
      <pivotArea type="data" outline="0" fieldPosition="0">
        <references count="2">
          <reference field="4294967294" count="1" selected="0">
            <x v="1"/>
          </reference>
          <reference field="8" count="1" selected="0">
            <x v="113"/>
          </reference>
        </references>
      </pivotArea>
    </chartFormat>
    <chartFormat chart="12" format="874">
      <pivotArea type="data" outline="0" fieldPosition="0">
        <references count="2">
          <reference field="4294967294" count="1" selected="0">
            <x v="1"/>
          </reference>
          <reference field="8" count="1" selected="0">
            <x v="12"/>
          </reference>
        </references>
      </pivotArea>
    </chartFormat>
    <chartFormat chart="12" format="875">
      <pivotArea type="data" outline="0" fieldPosition="0">
        <references count="2">
          <reference field="4294967294" count="1" selected="0">
            <x v="1"/>
          </reference>
          <reference field="8" count="1" selected="0">
            <x v="30"/>
          </reference>
        </references>
      </pivotArea>
    </chartFormat>
    <chartFormat chart="12" format="876">
      <pivotArea type="data" outline="0" fieldPosition="0">
        <references count="2">
          <reference field="4294967294" count="1" selected="0">
            <x v="1"/>
          </reference>
          <reference field="8" count="1" selected="0">
            <x v="103"/>
          </reference>
        </references>
      </pivotArea>
    </chartFormat>
    <chartFormat chart="12" format="877">
      <pivotArea type="data" outline="0" fieldPosition="0">
        <references count="2">
          <reference field="4294967294" count="1" selected="0">
            <x v="1"/>
          </reference>
          <reference field="8" count="1" selected="0">
            <x v="89"/>
          </reference>
        </references>
      </pivotArea>
    </chartFormat>
    <chartFormat chart="12" format="878">
      <pivotArea type="data" outline="0" fieldPosition="0">
        <references count="2">
          <reference field="4294967294" count="1" selected="0">
            <x v="1"/>
          </reference>
          <reference field="8" count="1" selected="0">
            <x v="91"/>
          </reference>
        </references>
      </pivotArea>
    </chartFormat>
    <chartFormat chart="12" format="879">
      <pivotArea type="data" outline="0" fieldPosition="0">
        <references count="2">
          <reference field="4294967294" count="1" selected="0">
            <x v="1"/>
          </reference>
          <reference field="8" count="1" selected="0">
            <x v="44"/>
          </reference>
        </references>
      </pivotArea>
    </chartFormat>
    <chartFormat chart="12" format="880">
      <pivotArea type="data" outline="0" fieldPosition="0">
        <references count="2">
          <reference field="4294967294" count="1" selected="0">
            <x v="1"/>
          </reference>
          <reference field="8" count="1" selected="0">
            <x v="157"/>
          </reference>
        </references>
      </pivotArea>
    </chartFormat>
    <chartFormat chart="12" format="881">
      <pivotArea type="data" outline="0" fieldPosition="0">
        <references count="2">
          <reference field="4294967294" count="1" selected="0">
            <x v="1"/>
          </reference>
          <reference field="8" count="1" selected="0">
            <x v="100"/>
          </reference>
        </references>
      </pivotArea>
    </chartFormat>
    <chartFormat chart="12" format="882">
      <pivotArea type="data" outline="0" fieldPosition="0">
        <references count="2">
          <reference field="4294967294" count="1" selected="0">
            <x v="1"/>
          </reference>
          <reference field="8" count="1" selected="0">
            <x v="38"/>
          </reference>
        </references>
      </pivotArea>
    </chartFormat>
    <chartFormat chart="12" format="883">
      <pivotArea type="data" outline="0" fieldPosition="0">
        <references count="2">
          <reference field="4294967294" count="1" selected="0">
            <x v="1"/>
          </reference>
          <reference field="8" count="1" selected="0">
            <x v="77"/>
          </reference>
        </references>
      </pivotArea>
    </chartFormat>
    <chartFormat chart="12" format="884">
      <pivotArea type="data" outline="0" fieldPosition="0">
        <references count="2">
          <reference field="4294967294" count="1" selected="0">
            <x v="1"/>
          </reference>
          <reference field="8" count="1" selected="0">
            <x v="59"/>
          </reference>
        </references>
      </pivotArea>
    </chartFormat>
    <chartFormat chart="12" format="885">
      <pivotArea type="data" outline="0" fieldPosition="0">
        <references count="2">
          <reference field="4294967294" count="1" selected="0">
            <x v="1"/>
          </reference>
          <reference field="8" count="1" selected="0">
            <x v="58"/>
          </reference>
        </references>
      </pivotArea>
    </chartFormat>
    <chartFormat chart="12" format="886">
      <pivotArea type="data" outline="0" fieldPosition="0">
        <references count="2">
          <reference field="4294967294" count="1" selected="0">
            <x v="1"/>
          </reference>
          <reference field="8" count="1" selected="0">
            <x v="141"/>
          </reference>
        </references>
      </pivotArea>
    </chartFormat>
    <chartFormat chart="12" format="887">
      <pivotArea type="data" outline="0" fieldPosition="0">
        <references count="2">
          <reference field="4294967294" count="1" selected="0">
            <x v="1"/>
          </reference>
          <reference field="8" count="1" selected="0">
            <x v="136"/>
          </reference>
        </references>
      </pivotArea>
    </chartFormat>
    <chartFormat chart="12" format="888">
      <pivotArea type="data" outline="0" fieldPosition="0">
        <references count="2">
          <reference field="4294967294" count="1" selected="0">
            <x v="1"/>
          </reference>
          <reference field="8" count="1" selected="0">
            <x v="99"/>
          </reference>
        </references>
      </pivotArea>
    </chartFormat>
    <chartFormat chart="12" format="889">
      <pivotArea type="data" outline="0" fieldPosition="0">
        <references count="2">
          <reference field="4294967294" count="1" selected="0">
            <x v="1"/>
          </reference>
          <reference field="8" count="1" selected="0">
            <x v="76"/>
          </reference>
        </references>
      </pivotArea>
    </chartFormat>
    <chartFormat chart="12" format="890">
      <pivotArea type="data" outline="0" fieldPosition="0">
        <references count="2">
          <reference field="4294967294" count="1" selected="0">
            <x v="1"/>
          </reference>
          <reference field="8" count="1" selected="0">
            <x v="65"/>
          </reference>
        </references>
      </pivotArea>
    </chartFormat>
    <chartFormat chart="12" format="891">
      <pivotArea type="data" outline="0" fieldPosition="0">
        <references count="2">
          <reference field="4294967294" count="1" selected="0">
            <x v="1"/>
          </reference>
          <reference field="8" count="1" selected="0">
            <x v="134"/>
          </reference>
        </references>
      </pivotArea>
    </chartFormat>
    <chartFormat chart="12" format="892">
      <pivotArea type="data" outline="0" fieldPosition="0">
        <references count="2">
          <reference field="4294967294" count="1" selected="0">
            <x v="1"/>
          </reference>
          <reference field="8" count="1" selected="0">
            <x v="118"/>
          </reference>
        </references>
      </pivotArea>
    </chartFormat>
    <chartFormat chart="12" format="893">
      <pivotArea type="data" outline="0" fieldPosition="0">
        <references count="2">
          <reference field="4294967294" count="1" selected="0">
            <x v="1"/>
          </reference>
          <reference field="8" count="1" selected="0">
            <x v="155"/>
          </reference>
        </references>
      </pivotArea>
    </chartFormat>
    <chartFormat chart="12" format="894">
      <pivotArea type="data" outline="0" fieldPosition="0">
        <references count="2">
          <reference field="4294967294" count="1" selected="0">
            <x v="1"/>
          </reference>
          <reference field="8" count="1" selected="0">
            <x v="146"/>
          </reference>
        </references>
      </pivotArea>
    </chartFormat>
    <chartFormat chart="12" format="895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12" format="896">
      <pivotArea type="data" outline="0" fieldPosition="0">
        <references count="2">
          <reference field="4294967294" count="1" selected="0">
            <x v="1"/>
          </reference>
          <reference field="8" count="1" selected="0">
            <x v="43"/>
          </reference>
        </references>
      </pivotArea>
    </chartFormat>
    <chartFormat chart="12" format="897">
      <pivotArea type="data" outline="0" fieldPosition="0">
        <references count="2">
          <reference field="4294967294" count="1" selected="0">
            <x v="1"/>
          </reference>
          <reference field="8" count="1" selected="0">
            <x v="55"/>
          </reference>
        </references>
      </pivotArea>
    </chartFormat>
    <chartFormat chart="12" format="898">
      <pivotArea type="data" outline="0" fieldPosition="0">
        <references count="2">
          <reference field="4294967294" count="1" selected="0">
            <x v="1"/>
          </reference>
          <reference field="8" count="1" selected="0">
            <x v="109"/>
          </reference>
        </references>
      </pivotArea>
    </chartFormat>
    <chartFormat chart="12" format="899">
      <pivotArea type="data" outline="0" fieldPosition="0">
        <references count="2">
          <reference field="4294967294" count="1" selected="0">
            <x v="1"/>
          </reference>
          <reference field="8" count="1" selected="0">
            <x v="48"/>
          </reference>
        </references>
      </pivotArea>
    </chartFormat>
    <chartFormat chart="12" format="900">
      <pivotArea type="data" outline="0" fieldPosition="0">
        <references count="2">
          <reference field="4294967294" count="1" selected="0">
            <x v="1"/>
          </reference>
          <reference field="8" count="1" selected="0">
            <x v="94"/>
          </reference>
        </references>
      </pivotArea>
    </chartFormat>
    <chartFormat chart="12" format="901">
      <pivotArea type="data" outline="0" fieldPosition="0">
        <references count="2">
          <reference field="4294967294" count="1" selected="0">
            <x v="1"/>
          </reference>
          <reference field="8" count="1" selected="0">
            <x v="23"/>
          </reference>
        </references>
      </pivotArea>
    </chartFormat>
    <chartFormat chart="12" format="902">
      <pivotArea type="data" outline="0" fieldPosition="0">
        <references count="2">
          <reference field="4294967294" count="1" selected="0">
            <x v="1"/>
          </reference>
          <reference field="8" count="1" selected="0">
            <x v="98"/>
          </reference>
        </references>
      </pivotArea>
    </chartFormat>
    <chartFormat chart="12" format="903">
      <pivotArea type="data" outline="0" fieldPosition="0">
        <references count="2">
          <reference field="4294967294" count="1" selected="0">
            <x v="1"/>
          </reference>
          <reference field="8" count="1" selected="0">
            <x v="33"/>
          </reference>
        </references>
      </pivotArea>
    </chartFormat>
    <chartFormat chart="12" format="904">
      <pivotArea type="data" outline="0" fieldPosition="0">
        <references count="2">
          <reference field="4294967294" count="1" selected="0">
            <x v="1"/>
          </reference>
          <reference field="8" count="1" selected="0">
            <x v="156"/>
          </reference>
        </references>
      </pivotArea>
    </chartFormat>
    <chartFormat chart="12" format="905">
      <pivotArea type="data" outline="0" fieldPosition="0">
        <references count="2">
          <reference field="4294967294" count="1" selected="0">
            <x v="1"/>
          </reference>
          <reference field="8" count="1" selected="0">
            <x v="84"/>
          </reference>
        </references>
      </pivotArea>
    </chartFormat>
    <chartFormat chart="12" format="906">
      <pivotArea type="data" outline="0" fieldPosition="0">
        <references count="2">
          <reference field="4294967294" count="1" selected="0">
            <x v="1"/>
          </reference>
          <reference field="8" count="1" selected="0">
            <x v="67"/>
          </reference>
        </references>
      </pivotArea>
    </chartFormat>
    <chartFormat chart="12" format="907">
      <pivotArea type="data" outline="0" fieldPosition="0">
        <references count="2">
          <reference field="4294967294" count="1" selected="0">
            <x v="1"/>
          </reference>
          <reference field="8" count="1" selected="0">
            <x v="80"/>
          </reference>
        </references>
      </pivotArea>
    </chartFormat>
    <chartFormat chart="12" format="908">
      <pivotArea type="data" outline="0" fieldPosition="0">
        <references count="2">
          <reference field="4294967294" count="1" selected="0">
            <x v="1"/>
          </reference>
          <reference field="8" count="1" selected="0">
            <x v="149"/>
          </reference>
        </references>
      </pivotArea>
    </chartFormat>
    <chartFormat chart="12" format="909">
      <pivotArea type="data" outline="0" fieldPosition="0">
        <references count="2">
          <reference field="4294967294" count="1" selected="0">
            <x v="1"/>
          </reference>
          <reference field="8" count="1" selected="0">
            <x v="124"/>
          </reference>
        </references>
      </pivotArea>
    </chartFormat>
    <chartFormat chart="12" format="910">
      <pivotArea type="data" outline="0" fieldPosition="0">
        <references count="2">
          <reference field="4294967294" count="1" selected="0">
            <x v="1"/>
          </reference>
          <reference field="8" count="1" selected="0">
            <x v="107"/>
          </reference>
        </references>
      </pivotArea>
    </chartFormat>
    <chartFormat chart="12" format="911">
      <pivotArea type="data" outline="0" fieldPosition="0">
        <references count="2">
          <reference field="4294967294" count="1" selected="0">
            <x v="1"/>
          </reference>
          <reference field="8" count="1" selected="0">
            <x v="106"/>
          </reference>
        </references>
      </pivotArea>
    </chartFormat>
    <chartFormat chart="12" format="912">
      <pivotArea type="data" outline="0" fieldPosition="0">
        <references count="2">
          <reference field="4294967294" count="1" selected="0">
            <x v="1"/>
          </reference>
          <reference field="8" count="1" selected="0">
            <x v="96"/>
          </reference>
        </references>
      </pivotArea>
    </chartFormat>
    <chartFormat chart="12" format="913">
      <pivotArea type="data" outline="0" fieldPosition="0">
        <references count="2">
          <reference field="4294967294" count="1" selected="0">
            <x v="1"/>
          </reference>
          <reference field="8" count="1" selected="0">
            <x v="125"/>
          </reference>
        </references>
      </pivotArea>
    </chartFormat>
    <chartFormat chart="12" format="914">
      <pivotArea type="data" outline="0" fieldPosition="0">
        <references count="2">
          <reference field="4294967294" count="1" selected="0">
            <x v="1"/>
          </reference>
          <reference field="8" count="1" selected="0">
            <x v="105"/>
          </reference>
        </references>
      </pivotArea>
    </chartFormat>
    <chartFormat chart="12" format="915">
      <pivotArea type="data" outline="0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chartFormat>
    <chartFormat chart="12" format="916">
      <pivotArea type="data" outline="0" fieldPosition="0">
        <references count="2">
          <reference field="4294967294" count="1" selected="0">
            <x v="1"/>
          </reference>
          <reference field="8" count="1" selected="0">
            <x v="70"/>
          </reference>
        </references>
      </pivotArea>
    </chartFormat>
    <chartFormat chart="12" format="917">
      <pivotArea type="data" outline="0" fieldPosition="0">
        <references count="2">
          <reference field="4294967294" count="1" selected="0">
            <x v="1"/>
          </reference>
          <reference field="8" count="1" selected="0">
            <x v="110"/>
          </reference>
        </references>
      </pivotArea>
    </chartFormat>
    <chartFormat chart="12" format="918">
      <pivotArea type="data" outline="0" fieldPosition="0">
        <references count="2">
          <reference field="4294967294" count="1" selected="0">
            <x v="1"/>
          </reference>
          <reference field="8" count="1" selected="0">
            <x v="85"/>
          </reference>
        </references>
      </pivotArea>
    </chartFormat>
    <chartFormat chart="12" format="919">
      <pivotArea type="data" outline="0" fieldPosition="0">
        <references count="2">
          <reference field="4294967294" count="1" selected="0">
            <x v="1"/>
          </reference>
          <reference field="8" count="1" selected="0">
            <x v="74"/>
          </reference>
        </references>
      </pivotArea>
    </chartFormat>
    <chartFormat chart="12" format="920">
      <pivotArea type="data" outline="0" fieldPosition="0">
        <references count="2">
          <reference field="4294967294" count="1" selected="0">
            <x v="1"/>
          </reference>
          <reference field="8" count="1" selected="0">
            <x v="123"/>
          </reference>
        </references>
      </pivotArea>
    </chartFormat>
    <chartFormat chart="12" format="921">
      <pivotArea type="data" outline="0" fieldPosition="0">
        <references count="2">
          <reference field="4294967294" count="1" selected="0">
            <x v="1"/>
          </reference>
          <reference field="8" count="1" selected="0">
            <x v="117"/>
          </reference>
        </references>
      </pivotArea>
    </chartFormat>
    <chartFormat chart="12" format="922">
      <pivotArea type="data" outline="0" fieldPosition="0">
        <references count="2">
          <reference field="4294967294" count="1" selected="0">
            <x v="1"/>
          </reference>
          <reference field="8" count="1" selected="0">
            <x v="41"/>
          </reference>
        </references>
      </pivotArea>
    </chartFormat>
    <chartFormat chart="12" format="923">
      <pivotArea type="data" outline="0" fieldPosition="0">
        <references count="2">
          <reference field="4294967294" count="1" selected="0">
            <x v="1"/>
          </reference>
          <reference field="8" count="1" selected="0">
            <x v="111"/>
          </reference>
        </references>
      </pivotArea>
    </chartFormat>
    <chartFormat chart="12" format="924">
      <pivotArea type="data" outline="0" fieldPosition="0">
        <references count="2">
          <reference field="4294967294" count="1" selected="0">
            <x v="1"/>
          </reference>
          <reference field="8" count="1" selected="0">
            <x v="116"/>
          </reference>
        </references>
      </pivotArea>
    </chartFormat>
    <chartFormat chart="12" format="92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1"/>
          </reference>
        </references>
      </pivotArea>
    </chartFormat>
    <chartFormat chart="12" format="926">
      <pivotArea type="data" outline="0" fieldPosition="0">
        <references count="2">
          <reference field="4294967294" count="1" selected="0">
            <x v="1"/>
          </reference>
          <reference field="8" count="1" selected="0">
            <x v="115"/>
          </reference>
        </references>
      </pivotArea>
    </chartFormat>
    <chartFormat chart="12" format="927">
      <pivotArea type="data" outline="0" fieldPosition="0">
        <references count="2">
          <reference field="4294967294" count="1" selected="0">
            <x v="1"/>
          </reference>
          <reference field="8" count="1" selected="0">
            <x v="42"/>
          </reference>
        </references>
      </pivotArea>
    </chartFormat>
    <chartFormat chart="12" format="928">
      <pivotArea type="data" outline="0" fieldPosition="0">
        <references count="2">
          <reference field="4294967294" count="1" selected="0">
            <x v="1"/>
          </reference>
          <reference field="8" count="1" selected="0">
            <x v="104"/>
          </reference>
        </references>
      </pivotArea>
    </chartFormat>
    <chartFormat chart="12" format="929">
      <pivotArea type="data" outline="0" fieldPosition="0">
        <references count="2">
          <reference field="4294967294" count="1" selected="0">
            <x v="1"/>
          </reference>
          <reference field="8" count="1" selected="0">
            <x v="147"/>
          </reference>
        </references>
      </pivotArea>
    </chartFormat>
    <chartFormat chart="12" format="930">
      <pivotArea type="data" outline="0" fieldPosition="0">
        <references count="2">
          <reference field="4294967294" count="1" selected="0">
            <x v="1"/>
          </reference>
          <reference field="8" count="1" selected="0">
            <x v="56"/>
          </reference>
        </references>
      </pivotArea>
    </chartFormat>
    <chartFormat chart="12" format="931">
      <pivotArea type="data" outline="0" fieldPosition="0">
        <references count="2">
          <reference field="4294967294" count="1" selected="0">
            <x v="1"/>
          </reference>
          <reference field="8" count="1" selected="0">
            <x v="126"/>
          </reference>
        </references>
      </pivotArea>
    </chartFormat>
    <chartFormat chart="12" format="932">
      <pivotArea type="data" outline="0" fieldPosition="0">
        <references count="2">
          <reference field="4294967294" count="1" selected="0">
            <x v="1"/>
          </reference>
          <reference field="8" count="1" selected="0">
            <x v="119"/>
          </reference>
        </references>
      </pivotArea>
    </chartFormat>
    <chartFormat chart="12" format="933">
      <pivotArea type="data" outline="0" fieldPosition="0">
        <references count="2">
          <reference field="4294967294" count="1" selected="0">
            <x v="1"/>
          </reference>
          <reference field="8" count="1" selected="0">
            <x v="92"/>
          </reference>
        </references>
      </pivotArea>
    </chartFormat>
    <chartFormat chart="12" format="934">
      <pivotArea type="data" outline="0" fieldPosition="0">
        <references count="2">
          <reference field="4294967294" count="1" selected="0">
            <x v="1"/>
          </reference>
          <reference field="8" count="1" selected="0">
            <x v="122"/>
          </reference>
        </references>
      </pivotArea>
    </chartFormat>
    <chartFormat chart="12" format="935">
      <pivotArea type="data" outline="0" fieldPosition="0">
        <references count="2">
          <reference field="4294967294" count="1" selected="0">
            <x v="1"/>
          </reference>
          <reference field="8" count="1" selected="0">
            <x v="39"/>
          </reference>
        </references>
      </pivotArea>
    </chartFormat>
    <chartFormat chart="12" format="936">
      <pivotArea type="data" outline="0" fieldPosition="0">
        <references count="2">
          <reference field="4294967294" count="1" selected="0">
            <x v="1"/>
          </reference>
          <reference field="8" count="1" selected="0">
            <x v="72"/>
          </reference>
        </references>
      </pivotArea>
    </chartFormat>
    <chartFormat chart="12" format="937">
      <pivotArea type="data" outline="0" fieldPosition="0">
        <references count="2">
          <reference field="4294967294" count="1" selected="0">
            <x v="1"/>
          </reference>
          <reference field="8" count="1" selected="0">
            <x v="129"/>
          </reference>
        </references>
      </pivotArea>
    </chartFormat>
    <chartFormat chart="12" format="938">
      <pivotArea type="data" outline="0" fieldPosition="0">
        <references count="2">
          <reference field="4294967294" count="1" selected="0">
            <x v="1"/>
          </reference>
          <reference field="8" count="1" selected="0">
            <x v="75"/>
          </reference>
        </references>
      </pivotArea>
    </chartFormat>
    <chartFormat chart="12" format="939">
      <pivotArea type="data" outline="0" fieldPosition="0">
        <references count="2">
          <reference field="4294967294" count="1" selected="0">
            <x v="1"/>
          </reference>
          <reference field="8" count="1" selected="0">
            <x v="127"/>
          </reference>
        </references>
      </pivotArea>
    </chartFormat>
    <chartFormat chart="12" format="940">
      <pivotArea type="data" outline="0" fieldPosition="0">
        <references count="2">
          <reference field="4294967294" count="1" selected="0">
            <x v="1"/>
          </reference>
          <reference field="8" count="1" selected="0">
            <x v="151"/>
          </reference>
        </references>
      </pivotArea>
    </chartFormat>
    <chartFormat chart="12" format="941">
      <pivotArea type="data" outline="0" fieldPosition="0">
        <references count="2">
          <reference field="4294967294" count="1" selected="0">
            <x v="1"/>
          </reference>
          <reference field="8" count="1" selected="0">
            <x v="132"/>
          </reference>
        </references>
      </pivotArea>
    </chartFormat>
    <chartFormat chart="12" format="942">
      <pivotArea type="data" outline="0" fieldPosition="0">
        <references count="2">
          <reference field="4294967294" count="1" selected="0">
            <x v="1"/>
          </reference>
          <reference field="8" count="1" selected="0">
            <x v="158"/>
          </reference>
        </references>
      </pivotArea>
    </chartFormat>
    <chartFormat chart="12" format="943">
      <pivotArea type="data" outline="0" fieldPosition="0">
        <references count="2">
          <reference field="4294967294" count="1" selected="0">
            <x v="1"/>
          </reference>
          <reference field="8" count="1" selected="0">
            <x v="35"/>
          </reference>
        </references>
      </pivotArea>
    </chartFormat>
    <chartFormat chart="12" format="944">
      <pivotArea type="data" outline="0" fieldPosition="0">
        <references count="2">
          <reference field="4294967294" count="1" selected="0">
            <x v="1"/>
          </reference>
          <reference field="8" count="1" selected="0">
            <x v="130"/>
          </reference>
        </references>
      </pivotArea>
    </chartFormat>
    <chartFormat chart="12" format="94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2"/>
          </reference>
        </references>
      </pivotArea>
    </chartFormat>
    <chartFormat chart="12" format="946">
      <pivotArea type="data" outline="0" fieldPosition="0">
        <references count="2">
          <reference field="4294967294" count="1" selected="0">
            <x v="1"/>
          </reference>
          <reference field="8" count="1" selected="0">
            <x v="26"/>
          </reference>
        </references>
      </pivotArea>
    </chartFormat>
    <chartFormat chart="12" format="947">
      <pivotArea type="data" outline="0" fieldPosition="0">
        <references count="2">
          <reference field="4294967294" count="1" selected="0">
            <x v="1"/>
          </reference>
          <reference field="8" count="1" selected="0">
            <x v="120"/>
          </reference>
        </references>
      </pivotArea>
    </chartFormat>
    <chartFormat chart="12" format="948">
      <pivotArea type="data" outline="0" fieldPosition="0">
        <references count="2">
          <reference field="4294967294" count="1" selected="0">
            <x v="1"/>
          </reference>
          <reference field="8" count="1" selected="0">
            <x v="87"/>
          </reference>
        </references>
      </pivotArea>
    </chartFormat>
    <chartFormat chart="12" format="949">
      <pivotArea type="data" outline="0" fieldPosition="0">
        <references count="2">
          <reference field="4294967294" count="1" selected="0">
            <x v="1"/>
          </reference>
          <reference field="8" count="1" selected="0">
            <x v="36"/>
          </reference>
        </references>
      </pivotArea>
    </chartFormat>
    <chartFormat chart="12" format="950">
      <pivotArea type="data" outline="0" fieldPosition="0">
        <references count="2">
          <reference field="4294967294" count="1" selected="0">
            <x v="1"/>
          </reference>
          <reference field="8" count="1" selected="0">
            <x v="95"/>
          </reference>
        </references>
      </pivotArea>
    </chartFormat>
    <chartFormat chart="12" format="951">
      <pivotArea type="data" outline="0" fieldPosition="0">
        <references count="2">
          <reference field="4294967294" count="1" selected="0">
            <x v="1"/>
          </reference>
          <reference field="8" count="1" selected="0">
            <x v="152"/>
          </reference>
        </references>
      </pivotArea>
    </chartFormat>
    <chartFormat chart="12" format="952">
      <pivotArea type="data" outline="0" fieldPosition="0">
        <references count="2">
          <reference field="4294967294" count="1" selected="0">
            <x v="1"/>
          </reference>
          <reference field="8" count="1" selected="0">
            <x v="97"/>
          </reference>
        </references>
      </pivotArea>
    </chartFormat>
    <chartFormat chart="12" format="953">
      <pivotArea type="data" outline="0" fieldPosition="0">
        <references count="2">
          <reference field="4294967294" count="1" selected="0">
            <x v="1"/>
          </reference>
          <reference field="8" count="1" selected="0">
            <x v="71"/>
          </reference>
        </references>
      </pivotArea>
    </chartFormat>
    <chartFormat chart="12" format="954">
      <pivotArea type="data" outline="0" fieldPosition="0">
        <references count="2">
          <reference field="4294967294" count="1" selected="0">
            <x v="1"/>
          </reference>
          <reference field="8" count="1" selected="0">
            <x v="121"/>
          </reference>
        </references>
      </pivotArea>
    </chartFormat>
    <chartFormat chart="12" format="95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8"/>
          </reference>
        </references>
      </pivotArea>
    </chartFormat>
    <chartFormat chart="12" format="956">
      <pivotArea type="data" outline="0" fieldPosition="0">
        <references count="2">
          <reference field="4294967294" count="1" selected="0">
            <x v="1"/>
          </reference>
          <reference field="8" count="1" selected="0">
            <x v="133"/>
          </reference>
        </references>
      </pivotArea>
    </chartFormat>
    <chartFormat chart="12" format="957">
      <pivotArea type="data" outline="0" fieldPosition="0">
        <references count="2">
          <reference field="4294967294" count="1" selected="0">
            <x v="1"/>
          </reference>
          <reference field="8" count="1" selected="0">
            <x v="135"/>
          </reference>
        </references>
      </pivotArea>
    </chartFormat>
    <chartFormat chart="12" format="958">
      <pivotArea type="data" outline="0" fieldPosition="0">
        <references count="2">
          <reference field="4294967294" count="1" selected="0">
            <x v="1"/>
          </reference>
          <reference field="8" count="1" selected="0">
            <x v="131"/>
          </reference>
        </references>
      </pivotArea>
    </chartFormat>
    <chartFormat chart="12" format="959">
      <pivotArea type="data" outline="0" fieldPosition="0">
        <references count="2">
          <reference field="4294967294" count="1" selected="0">
            <x v="1"/>
          </reference>
          <reference field="8" count="1" selected="0">
            <x v="69"/>
          </reference>
        </references>
      </pivotArea>
    </chartFormat>
    <chartFormat chart="13" format="9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6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8"/>
          </reference>
        </references>
      </pivotArea>
    </chartFormat>
    <chartFormat chart="13" format="962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13" format="963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13" format="964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13" format="965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13" format="966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13" format="967">
      <pivotArea type="data" outline="0" fieldPosition="0">
        <references count="2">
          <reference field="4294967294" count="1" selected="0">
            <x v="0"/>
          </reference>
          <reference field="8" count="1" selected="0">
            <x v="64"/>
          </reference>
        </references>
      </pivotArea>
    </chartFormat>
    <chartFormat chart="13" format="96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0"/>
          </reference>
        </references>
      </pivotArea>
    </chartFormat>
    <chartFormat chart="13" format="969">
      <pivotArea type="data" outline="0" fieldPosition="0">
        <references count="2">
          <reference field="4294967294" count="1" selected="0">
            <x v="0"/>
          </reference>
          <reference field="8" count="1" selected="0">
            <x v="28"/>
          </reference>
        </references>
      </pivotArea>
    </chartFormat>
    <chartFormat chart="13" format="970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13" format="97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13" format="972">
      <pivotArea type="data" outline="0" fieldPosition="0">
        <references count="2">
          <reference field="4294967294" count="1" selected="0">
            <x v="0"/>
          </reference>
          <reference field="8" count="1" selected="0">
            <x v="139"/>
          </reference>
        </references>
      </pivotArea>
    </chartFormat>
    <chartFormat chart="13" format="973">
      <pivotArea type="data" outline="0" fieldPosition="0">
        <references count="2">
          <reference field="4294967294" count="1" selected="0">
            <x v="0"/>
          </reference>
          <reference field="8" count="1" selected="0">
            <x v="52"/>
          </reference>
        </references>
      </pivotArea>
    </chartFormat>
    <chartFormat chart="13" format="974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13" format="975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13" format="976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13" format="977">
      <pivotArea type="data" outline="0" fieldPosition="0">
        <references count="2">
          <reference field="4294967294" count="1" selected="0">
            <x v="0"/>
          </reference>
          <reference field="8" count="1" selected="0">
            <x v="27"/>
          </reference>
        </references>
      </pivotArea>
    </chartFormat>
    <chartFormat chart="13" format="97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3"/>
          </reference>
        </references>
      </pivotArea>
    </chartFormat>
    <chartFormat chart="13" format="979">
      <pivotArea type="data" outline="0" fieldPosition="0">
        <references count="2">
          <reference field="4294967294" count="1" selected="0">
            <x v="0"/>
          </reference>
          <reference field="8" count="1" selected="0">
            <x v="45"/>
          </reference>
        </references>
      </pivotArea>
    </chartFormat>
    <chartFormat chart="13" format="980">
      <pivotArea type="data" outline="0" fieldPosition="0">
        <references count="2">
          <reference field="4294967294" count="1" selected="0">
            <x v="0"/>
          </reference>
          <reference field="8" count="1" selected="0">
            <x v="61"/>
          </reference>
        </references>
      </pivotArea>
    </chartFormat>
    <chartFormat chart="13" format="98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13" format="982">
      <pivotArea type="data" outline="0" fieldPosition="0">
        <references count="2">
          <reference field="4294967294" count="1" selected="0">
            <x v="0"/>
          </reference>
          <reference field="8" count="1" selected="0">
            <x v="153"/>
          </reference>
        </references>
      </pivotArea>
    </chartFormat>
    <chartFormat chart="13" format="983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13" format="98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0"/>
          </reference>
        </references>
      </pivotArea>
    </chartFormat>
    <chartFormat chart="13" format="98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13" format="986">
      <pivotArea type="data" outline="0" fieldPosition="0">
        <references count="2">
          <reference field="4294967294" count="1" selected="0">
            <x v="0"/>
          </reference>
          <reference field="8" count="1" selected="0">
            <x v="46"/>
          </reference>
        </references>
      </pivotArea>
    </chartFormat>
    <chartFormat chart="13" format="987">
      <pivotArea type="data" outline="0" fieldPosition="0">
        <references count="2">
          <reference field="4294967294" count="1" selected="0">
            <x v="0"/>
          </reference>
          <reference field="8" count="1" selected="0">
            <x v="68"/>
          </reference>
        </references>
      </pivotArea>
    </chartFormat>
    <chartFormat chart="13" format="988">
      <pivotArea type="data" outline="0" fieldPosition="0">
        <references count="2">
          <reference field="4294967294" count="1" selected="0">
            <x v="0"/>
          </reference>
          <reference field="8" count="1" selected="0">
            <x v="53"/>
          </reference>
        </references>
      </pivotArea>
    </chartFormat>
    <chartFormat chart="13" format="989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3" format="990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13" format="991">
      <pivotArea type="data" outline="0" fieldPosition="0">
        <references count="2">
          <reference field="4294967294" count="1" selected="0">
            <x v="0"/>
          </reference>
          <reference field="8" count="1" selected="0">
            <x v="34"/>
          </reference>
        </references>
      </pivotArea>
    </chartFormat>
    <chartFormat chart="13" format="992">
      <pivotArea type="data" outline="0" fieldPosition="0">
        <references count="2">
          <reference field="4294967294" count="1" selected="0">
            <x v="0"/>
          </reference>
          <reference field="8" count="1" selected="0">
            <x v="37"/>
          </reference>
        </references>
      </pivotArea>
    </chartFormat>
    <chartFormat chart="13" format="993">
      <pivotArea type="data" outline="0" fieldPosition="0">
        <references count="2">
          <reference field="4294967294" count="1" selected="0">
            <x v="0"/>
          </reference>
          <reference field="8" count="1" selected="0">
            <x v="54"/>
          </reference>
        </references>
      </pivotArea>
    </chartFormat>
    <chartFormat chart="13" format="994">
      <pivotArea type="data" outline="0" fieldPosition="0">
        <references count="2">
          <reference field="4294967294" count="1" selected="0">
            <x v="0"/>
          </reference>
          <reference field="8" count="1" selected="0">
            <x v="145"/>
          </reference>
        </references>
      </pivotArea>
    </chartFormat>
    <chartFormat chart="13" format="99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2"/>
          </reference>
        </references>
      </pivotArea>
    </chartFormat>
    <chartFormat chart="13" format="996">
      <pivotArea type="data" outline="0" fieldPosition="0">
        <references count="2">
          <reference field="4294967294" count="1" selected="0">
            <x v="0"/>
          </reference>
          <reference field="8" count="1" selected="0">
            <x v="86"/>
          </reference>
        </references>
      </pivotArea>
    </chartFormat>
    <chartFormat chart="13" format="997">
      <pivotArea type="data" outline="0" fieldPosition="0">
        <references count="2">
          <reference field="4294967294" count="1" selected="0">
            <x v="0"/>
          </reference>
          <reference field="8" count="1" selected="0">
            <x v="51"/>
          </reference>
        </references>
      </pivotArea>
    </chartFormat>
    <chartFormat chart="13" format="998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13" format="999">
      <pivotArea type="data" outline="0" fieldPosition="0">
        <references count="2">
          <reference field="4294967294" count="1" selected="0">
            <x v="0"/>
          </reference>
          <reference field="8" count="1" selected="0">
            <x v="40"/>
          </reference>
        </references>
      </pivotArea>
    </chartFormat>
    <chartFormat chart="13" format="1000">
      <pivotArea type="data" outline="0" fieldPosition="0">
        <references count="2">
          <reference field="4294967294" count="1" selected="0">
            <x v="0"/>
          </reference>
          <reference field="8" count="1" selected="0">
            <x v="49"/>
          </reference>
        </references>
      </pivotArea>
    </chartFormat>
    <chartFormat chart="13" format="100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13" format="1002">
      <pivotArea type="data" outline="0" fieldPosition="0">
        <references count="2">
          <reference field="4294967294" count="1" selected="0">
            <x v="0"/>
          </reference>
          <reference field="8" count="1" selected="0">
            <x v="78"/>
          </reference>
        </references>
      </pivotArea>
    </chartFormat>
    <chartFormat chart="13" format="1003">
      <pivotArea type="data" outline="0" fieldPosition="0">
        <references count="2">
          <reference field="4294967294" count="1" selected="0">
            <x v="0"/>
          </reference>
          <reference field="8" count="1" selected="0">
            <x v="81"/>
          </reference>
        </references>
      </pivotArea>
    </chartFormat>
    <chartFormat chart="13" format="100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4"/>
          </reference>
        </references>
      </pivotArea>
    </chartFormat>
    <chartFormat chart="13" format="100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3" format="1006">
      <pivotArea type="data" outline="0" fieldPosition="0">
        <references count="2">
          <reference field="4294967294" count="1" selected="0">
            <x v="0"/>
          </reference>
          <reference field="8" count="1" selected="0">
            <x v="144"/>
          </reference>
        </references>
      </pivotArea>
    </chartFormat>
    <chartFormat chart="13" format="100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8"/>
          </reference>
        </references>
      </pivotArea>
    </chartFormat>
    <chartFormat chart="13" format="1008">
      <pivotArea type="data" outline="0" fieldPosition="0">
        <references count="2">
          <reference field="4294967294" count="1" selected="0">
            <x v="0"/>
          </reference>
          <reference field="8" count="1" selected="0">
            <x v="47"/>
          </reference>
        </references>
      </pivotArea>
    </chartFormat>
    <chartFormat chart="13" format="1009">
      <pivotArea type="data" outline="0" fieldPosition="0">
        <references count="2">
          <reference field="4294967294" count="1" selected="0">
            <x v="0"/>
          </reference>
          <reference field="8" count="1" selected="0">
            <x v="63"/>
          </reference>
        </references>
      </pivotArea>
    </chartFormat>
    <chartFormat chart="13" format="1010">
      <pivotArea type="data" outline="0" fieldPosition="0">
        <references count="2">
          <reference field="4294967294" count="1" selected="0">
            <x v="0"/>
          </reference>
          <reference field="8" count="1" selected="0">
            <x v="112"/>
          </reference>
        </references>
      </pivotArea>
    </chartFormat>
    <chartFormat chart="13" format="10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1"/>
          </reference>
        </references>
      </pivotArea>
    </chartFormat>
    <chartFormat chart="13" format="1012">
      <pivotArea type="data" outline="0" fieldPosition="0">
        <references count="2">
          <reference field="4294967294" count="1" selected="0">
            <x v="0"/>
          </reference>
          <reference field="8" count="1" selected="0">
            <x v="73"/>
          </reference>
        </references>
      </pivotArea>
    </chartFormat>
    <chartFormat chart="13" format="1013">
      <pivotArea type="data" outline="0" fieldPosition="0">
        <references count="2">
          <reference field="4294967294" count="1" selected="0">
            <x v="0"/>
          </reference>
          <reference field="8" count="1" selected="0">
            <x v="83"/>
          </reference>
        </references>
      </pivotArea>
    </chartFormat>
    <chartFormat chart="13" format="1014">
      <pivotArea type="data" outline="0" fieldPosition="0">
        <references count="2">
          <reference field="4294967294" count="1" selected="0">
            <x v="0"/>
          </reference>
          <reference field="8" count="1" selected="0">
            <x v="79"/>
          </reference>
        </references>
      </pivotArea>
    </chartFormat>
    <chartFormat chart="13" format="101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13" format="1016">
      <pivotArea type="data" outline="0" fieldPosition="0">
        <references count="2">
          <reference field="4294967294" count="1" selected="0">
            <x v="0"/>
          </reference>
          <reference field="8" count="1" selected="0">
            <x v="82"/>
          </reference>
        </references>
      </pivotArea>
    </chartFormat>
    <chartFormat chart="13" format="1017">
      <pivotArea type="data" outline="0" fieldPosition="0">
        <references count="2">
          <reference field="4294967294" count="1" selected="0">
            <x v="0"/>
          </reference>
          <reference field="8" count="1" selected="0">
            <x v="62"/>
          </reference>
        </references>
      </pivotArea>
    </chartFormat>
    <chartFormat chart="13" format="1018">
      <pivotArea type="data" outline="0" fieldPosition="0">
        <references count="2">
          <reference field="4294967294" count="1" selected="0">
            <x v="0"/>
          </reference>
          <reference field="8" count="1" selected="0">
            <x v="88"/>
          </reference>
        </references>
      </pivotArea>
    </chartFormat>
    <chartFormat chart="13" format="1019">
      <pivotArea type="data" outline="0" fieldPosition="0">
        <references count="2">
          <reference field="4294967294" count="1" selected="0">
            <x v="0"/>
          </reference>
          <reference field="8" count="1" selected="0">
            <x v="90"/>
          </reference>
        </references>
      </pivotArea>
    </chartFormat>
    <chartFormat chart="13" format="1020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13" format="102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8"/>
          </reference>
        </references>
      </pivotArea>
    </chartFormat>
    <chartFormat chart="13" format="1022">
      <pivotArea type="data" outline="0" fieldPosition="0">
        <references count="2">
          <reference field="4294967294" count="1" selected="0">
            <x v="0"/>
          </reference>
          <reference field="8" count="1" selected="0">
            <x v="66"/>
          </reference>
        </references>
      </pivotArea>
    </chartFormat>
    <chartFormat chart="13" format="1023">
      <pivotArea type="data" outline="0" fieldPosition="0">
        <references count="2">
          <reference field="4294967294" count="1" selected="0">
            <x v="0"/>
          </reference>
          <reference field="8" count="1" selected="0">
            <x v="60"/>
          </reference>
        </references>
      </pivotArea>
    </chartFormat>
    <chartFormat chart="13" format="1024">
      <pivotArea type="data" outline="0" fieldPosition="0">
        <references count="2">
          <reference field="4294967294" count="1" selected="0">
            <x v="0"/>
          </reference>
          <reference field="8" count="1" selected="0">
            <x v="50"/>
          </reference>
        </references>
      </pivotArea>
    </chartFormat>
    <chartFormat chart="13" format="1025">
      <pivotArea type="data" outline="0" fieldPosition="0">
        <references count="2">
          <reference field="4294967294" count="1" selected="0">
            <x v="0"/>
          </reference>
          <reference field="8" count="1" selected="0">
            <x v="57"/>
          </reference>
        </references>
      </pivotArea>
    </chartFormat>
    <chartFormat chart="13" format="1026">
      <pivotArea type="data" outline="0" fieldPosition="0">
        <references count="2">
          <reference field="4294967294" count="1" selected="0">
            <x v="0"/>
          </reference>
          <reference field="8" count="1" selected="0">
            <x v="93"/>
          </reference>
        </references>
      </pivotArea>
    </chartFormat>
    <chartFormat chart="13" format="1027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3" format="102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3" format="1029">
      <pivotArea type="data" outline="0" fieldPosition="0">
        <references count="2">
          <reference field="4294967294" count="1" selected="0">
            <x v="0"/>
          </reference>
          <reference field="8" count="1" selected="0">
            <x v="137"/>
          </reference>
        </references>
      </pivotArea>
    </chartFormat>
    <chartFormat chart="13" format="1030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3" format="1031">
      <pivotArea type="data" outline="0" fieldPosition="0">
        <references count="2">
          <reference field="4294967294" count="1" selected="0">
            <x v="0"/>
          </reference>
          <reference field="8" count="1" selected="0">
            <x v="32"/>
          </reference>
        </references>
      </pivotArea>
    </chartFormat>
    <chartFormat chart="13" format="103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4"/>
          </reference>
        </references>
      </pivotArea>
    </chartFormat>
    <chartFormat chart="13" format="103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3"/>
          </reference>
        </references>
      </pivotArea>
    </chartFormat>
    <chartFormat chart="13" format="103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13" format="1035">
      <pivotArea type="data" outline="0" fieldPosition="0">
        <references count="2">
          <reference field="4294967294" count="1" selected="0">
            <x v="0"/>
          </reference>
          <reference field="8" count="1" selected="0">
            <x v="30"/>
          </reference>
        </references>
      </pivotArea>
    </chartFormat>
    <chartFormat chart="13" format="1036">
      <pivotArea type="data" outline="0" fieldPosition="0">
        <references count="2">
          <reference field="4294967294" count="1" selected="0">
            <x v="0"/>
          </reference>
          <reference field="8" count="1" selected="0">
            <x v="103"/>
          </reference>
        </references>
      </pivotArea>
    </chartFormat>
    <chartFormat chart="13" format="1037">
      <pivotArea type="data" outline="0" fieldPosition="0">
        <references count="2">
          <reference field="4294967294" count="1" selected="0">
            <x v="0"/>
          </reference>
          <reference field="8" count="1" selected="0">
            <x v="89"/>
          </reference>
        </references>
      </pivotArea>
    </chartFormat>
    <chartFormat chart="13" format="1038">
      <pivotArea type="data" outline="0" fieldPosition="0">
        <references count="2">
          <reference field="4294967294" count="1" selected="0">
            <x v="0"/>
          </reference>
          <reference field="8" count="1" selected="0">
            <x v="91"/>
          </reference>
        </references>
      </pivotArea>
    </chartFormat>
    <chartFormat chart="13" format="1039">
      <pivotArea type="data" outline="0" fieldPosition="0">
        <references count="2">
          <reference field="4294967294" count="1" selected="0">
            <x v="0"/>
          </reference>
          <reference field="8" count="1" selected="0">
            <x v="44"/>
          </reference>
        </references>
      </pivotArea>
    </chartFormat>
    <chartFormat chart="13" format="1040">
      <pivotArea type="data" outline="0" fieldPosition="0">
        <references count="2">
          <reference field="4294967294" count="1" selected="0">
            <x v="0"/>
          </reference>
          <reference field="8" count="1" selected="0">
            <x v="157"/>
          </reference>
        </references>
      </pivotArea>
    </chartFormat>
    <chartFormat chart="13" format="104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0"/>
          </reference>
        </references>
      </pivotArea>
    </chartFormat>
    <chartFormat chart="13" format="1042">
      <pivotArea type="data" outline="0" fieldPosition="0">
        <references count="2">
          <reference field="4294967294" count="1" selected="0">
            <x v="0"/>
          </reference>
          <reference field="8" count="1" selected="0">
            <x v="38"/>
          </reference>
        </references>
      </pivotArea>
    </chartFormat>
    <chartFormat chart="13" format="1043">
      <pivotArea type="data" outline="0" fieldPosition="0">
        <references count="2">
          <reference field="4294967294" count="1" selected="0">
            <x v="0"/>
          </reference>
          <reference field="8" count="1" selected="0">
            <x v="77"/>
          </reference>
        </references>
      </pivotArea>
    </chartFormat>
    <chartFormat chart="13" format="1044">
      <pivotArea type="data" outline="0" fieldPosition="0">
        <references count="2">
          <reference field="4294967294" count="1" selected="0">
            <x v="0"/>
          </reference>
          <reference field="8" count="1" selected="0">
            <x v="59"/>
          </reference>
        </references>
      </pivotArea>
    </chartFormat>
    <chartFormat chart="13" format="1045">
      <pivotArea type="data" outline="0" fieldPosition="0">
        <references count="2">
          <reference field="4294967294" count="1" selected="0">
            <x v="0"/>
          </reference>
          <reference field="8" count="1" selected="0">
            <x v="58"/>
          </reference>
        </references>
      </pivotArea>
    </chartFormat>
    <chartFormat chart="13" format="1046">
      <pivotArea type="data" outline="0" fieldPosition="0">
        <references count="2">
          <reference field="4294967294" count="1" selected="0">
            <x v="0"/>
          </reference>
          <reference field="8" count="1" selected="0">
            <x v="141"/>
          </reference>
        </references>
      </pivotArea>
    </chartFormat>
    <chartFormat chart="13" format="104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6"/>
          </reference>
        </references>
      </pivotArea>
    </chartFormat>
    <chartFormat chart="13" format="1048">
      <pivotArea type="data" outline="0" fieldPosition="0">
        <references count="2">
          <reference field="4294967294" count="1" selected="0">
            <x v="0"/>
          </reference>
          <reference field="8" count="1" selected="0">
            <x v="99"/>
          </reference>
        </references>
      </pivotArea>
    </chartFormat>
    <chartFormat chart="13" format="1049">
      <pivotArea type="data" outline="0" fieldPosition="0">
        <references count="2">
          <reference field="4294967294" count="1" selected="0">
            <x v="0"/>
          </reference>
          <reference field="8" count="1" selected="0">
            <x v="76"/>
          </reference>
        </references>
      </pivotArea>
    </chartFormat>
    <chartFormat chart="13" format="1050">
      <pivotArea type="data" outline="0" fieldPosition="0">
        <references count="2">
          <reference field="4294967294" count="1" selected="0">
            <x v="0"/>
          </reference>
          <reference field="8" count="1" selected="0">
            <x v="65"/>
          </reference>
        </references>
      </pivotArea>
    </chartFormat>
    <chartFormat chart="13" format="105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4"/>
          </reference>
        </references>
      </pivotArea>
    </chartFormat>
    <chartFormat chart="13" format="105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8"/>
          </reference>
        </references>
      </pivotArea>
    </chartFormat>
    <chartFormat chart="13" format="1053">
      <pivotArea type="data" outline="0" fieldPosition="0">
        <references count="2">
          <reference field="4294967294" count="1" selected="0">
            <x v="0"/>
          </reference>
          <reference field="8" count="1" selected="0">
            <x v="155"/>
          </reference>
        </references>
      </pivotArea>
    </chartFormat>
    <chartFormat chart="13" format="1054">
      <pivotArea type="data" outline="0" fieldPosition="0">
        <references count="2">
          <reference field="4294967294" count="1" selected="0">
            <x v="0"/>
          </reference>
          <reference field="8" count="1" selected="0">
            <x v="146"/>
          </reference>
        </references>
      </pivotArea>
    </chartFormat>
    <chartFormat chart="13" format="105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3" format="1056">
      <pivotArea type="data" outline="0" fieldPosition="0">
        <references count="2">
          <reference field="4294967294" count="1" selected="0">
            <x v="0"/>
          </reference>
          <reference field="8" count="1" selected="0">
            <x v="43"/>
          </reference>
        </references>
      </pivotArea>
    </chartFormat>
    <chartFormat chart="13" format="1057">
      <pivotArea type="data" outline="0" fieldPosition="0">
        <references count="2">
          <reference field="4294967294" count="1" selected="0">
            <x v="0"/>
          </reference>
          <reference field="8" count="1" selected="0">
            <x v="55"/>
          </reference>
        </references>
      </pivotArea>
    </chartFormat>
    <chartFormat chart="13" format="1058">
      <pivotArea type="data" outline="0" fieldPosition="0">
        <references count="2">
          <reference field="4294967294" count="1" selected="0">
            <x v="0"/>
          </reference>
          <reference field="8" count="1" selected="0">
            <x v="109"/>
          </reference>
        </references>
      </pivotArea>
    </chartFormat>
    <chartFormat chart="13" format="1059">
      <pivotArea type="data" outline="0" fieldPosition="0">
        <references count="2">
          <reference field="4294967294" count="1" selected="0">
            <x v="0"/>
          </reference>
          <reference field="8" count="1" selected="0">
            <x v="48"/>
          </reference>
        </references>
      </pivotArea>
    </chartFormat>
    <chartFormat chart="13" format="1060">
      <pivotArea type="data" outline="0" fieldPosition="0">
        <references count="2">
          <reference field="4294967294" count="1" selected="0">
            <x v="0"/>
          </reference>
          <reference field="8" count="1" selected="0">
            <x v="94"/>
          </reference>
        </references>
      </pivotArea>
    </chartFormat>
    <chartFormat chart="13" format="106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13" format="1062">
      <pivotArea type="data" outline="0" fieldPosition="0">
        <references count="2">
          <reference field="4294967294" count="1" selected="0">
            <x v="0"/>
          </reference>
          <reference field="8" count="1" selected="0">
            <x v="98"/>
          </reference>
        </references>
      </pivotArea>
    </chartFormat>
    <chartFormat chart="13" format="1063">
      <pivotArea type="data" outline="0" fieldPosition="0">
        <references count="2">
          <reference field="4294967294" count="1" selected="0">
            <x v="0"/>
          </reference>
          <reference field="8" count="1" selected="0">
            <x v="33"/>
          </reference>
        </references>
      </pivotArea>
    </chartFormat>
    <chartFormat chart="13" format="106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6"/>
          </reference>
        </references>
      </pivotArea>
    </chartFormat>
    <chartFormat chart="13" format="1065">
      <pivotArea type="data" outline="0" fieldPosition="0">
        <references count="2">
          <reference field="4294967294" count="1" selected="0">
            <x v="0"/>
          </reference>
          <reference field="8" count="1" selected="0">
            <x v="84"/>
          </reference>
        </references>
      </pivotArea>
    </chartFormat>
    <chartFormat chart="13" format="1066">
      <pivotArea type="data" outline="0" fieldPosition="0">
        <references count="2">
          <reference field="4294967294" count="1" selected="0">
            <x v="0"/>
          </reference>
          <reference field="8" count="1" selected="0">
            <x v="67"/>
          </reference>
        </references>
      </pivotArea>
    </chartFormat>
    <chartFormat chart="13" format="1067">
      <pivotArea type="data" outline="0" fieldPosition="0">
        <references count="2">
          <reference field="4294967294" count="1" selected="0">
            <x v="0"/>
          </reference>
          <reference field="8" count="1" selected="0">
            <x v="80"/>
          </reference>
        </references>
      </pivotArea>
    </chartFormat>
    <chartFormat chart="13" format="106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9"/>
          </reference>
        </references>
      </pivotArea>
    </chartFormat>
    <chartFormat chart="13" format="1069">
      <pivotArea type="data" outline="0" fieldPosition="0">
        <references count="2">
          <reference field="4294967294" count="1" selected="0">
            <x v="0"/>
          </reference>
          <reference field="8" count="1" selected="0">
            <x v="124"/>
          </reference>
        </references>
      </pivotArea>
    </chartFormat>
    <chartFormat chart="13" format="1070">
      <pivotArea type="data" outline="0" fieldPosition="0">
        <references count="2">
          <reference field="4294967294" count="1" selected="0">
            <x v="0"/>
          </reference>
          <reference field="8" count="1" selected="0">
            <x v="107"/>
          </reference>
        </references>
      </pivotArea>
    </chartFormat>
    <chartFormat chart="13" format="107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6"/>
          </reference>
        </references>
      </pivotArea>
    </chartFormat>
    <chartFormat chart="13" format="1072">
      <pivotArea type="data" outline="0" fieldPosition="0">
        <references count="2">
          <reference field="4294967294" count="1" selected="0">
            <x v="0"/>
          </reference>
          <reference field="8" count="1" selected="0">
            <x v="96"/>
          </reference>
        </references>
      </pivotArea>
    </chartFormat>
    <chartFormat chart="13" format="1073">
      <pivotArea type="data" outline="0" fieldPosition="0">
        <references count="2">
          <reference field="4294967294" count="1" selected="0">
            <x v="0"/>
          </reference>
          <reference field="8" count="1" selected="0">
            <x v="125"/>
          </reference>
        </references>
      </pivotArea>
    </chartFormat>
    <chartFormat chart="13" format="1074">
      <pivotArea type="data" outline="0" fieldPosition="0">
        <references count="2">
          <reference field="4294967294" count="1" selected="0">
            <x v="0"/>
          </reference>
          <reference field="8" count="1" selected="0">
            <x v="105"/>
          </reference>
        </references>
      </pivotArea>
    </chartFormat>
    <chartFormat chart="13" format="107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3" format="1076">
      <pivotArea type="data" outline="0" fieldPosition="0">
        <references count="2">
          <reference field="4294967294" count="1" selected="0">
            <x v="0"/>
          </reference>
          <reference field="8" count="1" selected="0">
            <x v="70"/>
          </reference>
        </references>
      </pivotArea>
    </chartFormat>
    <chartFormat chart="13" format="1077">
      <pivotArea type="data" outline="0" fieldPosition="0">
        <references count="2">
          <reference field="4294967294" count="1" selected="0">
            <x v="0"/>
          </reference>
          <reference field="8" count="1" selected="0">
            <x v="110"/>
          </reference>
        </references>
      </pivotArea>
    </chartFormat>
    <chartFormat chart="13" format="1078">
      <pivotArea type="data" outline="0" fieldPosition="0">
        <references count="2">
          <reference field="4294967294" count="1" selected="0">
            <x v="0"/>
          </reference>
          <reference field="8" count="1" selected="0">
            <x v="85"/>
          </reference>
        </references>
      </pivotArea>
    </chartFormat>
    <chartFormat chart="13" format="1079">
      <pivotArea type="data" outline="0" fieldPosition="0">
        <references count="2">
          <reference field="4294967294" count="1" selected="0">
            <x v="0"/>
          </reference>
          <reference field="8" count="1" selected="0">
            <x v="74"/>
          </reference>
        </references>
      </pivotArea>
    </chartFormat>
    <chartFormat chart="13" format="1080">
      <pivotArea type="data" outline="0" fieldPosition="0">
        <references count="2">
          <reference field="4294967294" count="1" selected="0">
            <x v="0"/>
          </reference>
          <reference field="8" count="1" selected="0">
            <x v="123"/>
          </reference>
        </references>
      </pivotArea>
    </chartFormat>
    <chartFormat chart="13" format="108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7"/>
          </reference>
        </references>
      </pivotArea>
    </chartFormat>
    <chartFormat chart="13" format="1082">
      <pivotArea type="data" outline="0" fieldPosition="0">
        <references count="2">
          <reference field="4294967294" count="1" selected="0">
            <x v="0"/>
          </reference>
          <reference field="8" count="1" selected="0">
            <x v="41"/>
          </reference>
        </references>
      </pivotArea>
    </chartFormat>
    <chartFormat chart="13" format="108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1"/>
          </reference>
        </references>
      </pivotArea>
    </chartFormat>
    <chartFormat chart="13" format="1084">
      <pivotArea type="data" outline="0" fieldPosition="0">
        <references count="2">
          <reference field="4294967294" count="1" selected="0">
            <x v="0"/>
          </reference>
          <reference field="8" count="1" selected="0">
            <x v="116"/>
          </reference>
        </references>
      </pivotArea>
    </chartFormat>
    <chartFormat chart="13" format="108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1"/>
          </reference>
        </references>
      </pivotArea>
    </chartFormat>
    <chartFormat chart="13" format="1086">
      <pivotArea type="data" outline="0" fieldPosition="0">
        <references count="2">
          <reference field="4294967294" count="1" selected="0">
            <x v="0"/>
          </reference>
          <reference field="8" count="1" selected="0">
            <x v="115"/>
          </reference>
        </references>
      </pivotArea>
    </chartFormat>
    <chartFormat chart="13" format="1087">
      <pivotArea type="data" outline="0" fieldPosition="0">
        <references count="2">
          <reference field="4294967294" count="1" selected="0">
            <x v="0"/>
          </reference>
          <reference field="8" count="1" selected="0">
            <x v="42"/>
          </reference>
        </references>
      </pivotArea>
    </chartFormat>
    <chartFormat chart="13" format="1088">
      <pivotArea type="data" outline="0" fieldPosition="0">
        <references count="2">
          <reference field="4294967294" count="1" selected="0">
            <x v="0"/>
          </reference>
          <reference field="8" count="1" selected="0">
            <x v="104"/>
          </reference>
        </references>
      </pivotArea>
    </chartFormat>
    <chartFormat chart="13" format="1089">
      <pivotArea type="data" outline="0" fieldPosition="0">
        <references count="2">
          <reference field="4294967294" count="1" selected="0">
            <x v="0"/>
          </reference>
          <reference field="8" count="1" selected="0">
            <x v="147"/>
          </reference>
        </references>
      </pivotArea>
    </chartFormat>
    <chartFormat chart="13" format="1090">
      <pivotArea type="data" outline="0" fieldPosition="0">
        <references count="2">
          <reference field="4294967294" count="1" selected="0">
            <x v="0"/>
          </reference>
          <reference field="8" count="1" selected="0">
            <x v="56"/>
          </reference>
        </references>
      </pivotArea>
    </chartFormat>
    <chartFormat chart="13" format="109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6"/>
          </reference>
        </references>
      </pivotArea>
    </chartFormat>
    <chartFormat chart="13" format="109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9"/>
          </reference>
        </references>
      </pivotArea>
    </chartFormat>
    <chartFormat chart="13" format="1093">
      <pivotArea type="data" outline="0" fieldPosition="0">
        <references count="2">
          <reference field="4294967294" count="1" selected="0">
            <x v="0"/>
          </reference>
          <reference field="8" count="1" selected="0">
            <x v="92"/>
          </reference>
        </references>
      </pivotArea>
    </chartFormat>
    <chartFormat chart="13" format="109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2"/>
          </reference>
        </references>
      </pivotArea>
    </chartFormat>
    <chartFormat chart="13" format="1095">
      <pivotArea type="data" outline="0" fieldPosition="0">
        <references count="2">
          <reference field="4294967294" count="1" selected="0">
            <x v="0"/>
          </reference>
          <reference field="8" count="1" selected="0">
            <x v="39"/>
          </reference>
        </references>
      </pivotArea>
    </chartFormat>
    <chartFormat chart="13" format="1096">
      <pivotArea type="data" outline="0" fieldPosition="0">
        <references count="2">
          <reference field="4294967294" count="1" selected="0">
            <x v="0"/>
          </reference>
          <reference field="8" count="1" selected="0">
            <x v="72"/>
          </reference>
        </references>
      </pivotArea>
    </chartFormat>
    <chartFormat chart="13" format="1097">
      <pivotArea type="data" outline="0" fieldPosition="0">
        <references count="2">
          <reference field="4294967294" count="1" selected="0">
            <x v="0"/>
          </reference>
          <reference field="8" count="1" selected="0">
            <x v="129"/>
          </reference>
        </references>
      </pivotArea>
    </chartFormat>
    <chartFormat chart="13" format="1098">
      <pivotArea type="data" outline="0" fieldPosition="0">
        <references count="2">
          <reference field="4294967294" count="1" selected="0">
            <x v="0"/>
          </reference>
          <reference field="8" count="1" selected="0">
            <x v="75"/>
          </reference>
        </references>
      </pivotArea>
    </chartFormat>
    <chartFormat chart="13" format="1099">
      <pivotArea type="data" outline="0" fieldPosition="0">
        <references count="2">
          <reference field="4294967294" count="1" selected="0">
            <x v="0"/>
          </reference>
          <reference field="8" count="1" selected="0">
            <x v="127"/>
          </reference>
        </references>
      </pivotArea>
    </chartFormat>
    <chartFormat chart="13" format="1100">
      <pivotArea type="data" outline="0" fieldPosition="0">
        <references count="2">
          <reference field="4294967294" count="1" selected="0">
            <x v="0"/>
          </reference>
          <reference field="8" count="1" selected="0">
            <x v="151"/>
          </reference>
        </references>
      </pivotArea>
    </chartFormat>
    <chartFormat chart="13" format="110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2"/>
          </reference>
        </references>
      </pivotArea>
    </chartFormat>
    <chartFormat chart="13" format="1102">
      <pivotArea type="data" outline="0" fieldPosition="0">
        <references count="2">
          <reference field="4294967294" count="1" selected="0">
            <x v="0"/>
          </reference>
          <reference field="8" count="1" selected="0">
            <x v="158"/>
          </reference>
        </references>
      </pivotArea>
    </chartFormat>
    <chartFormat chart="13" format="1103">
      <pivotArea type="data" outline="0" fieldPosition="0">
        <references count="2">
          <reference field="4294967294" count="1" selected="0">
            <x v="0"/>
          </reference>
          <reference field="8" count="1" selected="0">
            <x v="35"/>
          </reference>
        </references>
      </pivotArea>
    </chartFormat>
    <chartFormat chart="13" format="1104">
      <pivotArea type="data" outline="0" fieldPosition="0">
        <references count="2">
          <reference field="4294967294" count="1" selected="0">
            <x v="0"/>
          </reference>
          <reference field="8" count="1" selected="0">
            <x v="130"/>
          </reference>
        </references>
      </pivotArea>
    </chartFormat>
    <chartFormat chart="13" format="110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2"/>
          </reference>
        </references>
      </pivotArea>
    </chartFormat>
    <chartFormat chart="13" format="1106">
      <pivotArea type="data" outline="0" fieldPosition="0">
        <references count="2">
          <reference field="4294967294" count="1" selected="0">
            <x v="0"/>
          </reference>
          <reference field="8" count="1" selected="0">
            <x v="26"/>
          </reference>
        </references>
      </pivotArea>
    </chartFormat>
    <chartFormat chart="13" format="1107">
      <pivotArea type="data" outline="0" fieldPosition="0">
        <references count="2">
          <reference field="4294967294" count="1" selected="0">
            <x v="0"/>
          </reference>
          <reference field="8" count="1" selected="0">
            <x v="120"/>
          </reference>
        </references>
      </pivotArea>
    </chartFormat>
    <chartFormat chart="13" format="1108">
      <pivotArea type="data" outline="0" fieldPosition="0">
        <references count="2">
          <reference field="4294967294" count="1" selected="0">
            <x v="0"/>
          </reference>
          <reference field="8" count="1" selected="0">
            <x v="87"/>
          </reference>
        </references>
      </pivotArea>
    </chartFormat>
    <chartFormat chart="13" format="1109">
      <pivotArea type="data" outline="0" fieldPosition="0">
        <references count="2">
          <reference field="4294967294" count="1" selected="0">
            <x v="0"/>
          </reference>
          <reference field="8" count="1" selected="0">
            <x v="36"/>
          </reference>
        </references>
      </pivotArea>
    </chartFormat>
    <chartFormat chart="13" format="1110">
      <pivotArea type="data" outline="0" fieldPosition="0">
        <references count="2">
          <reference field="4294967294" count="1" selected="0">
            <x v="0"/>
          </reference>
          <reference field="8" count="1" selected="0">
            <x v="95"/>
          </reference>
        </references>
      </pivotArea>
    </chartFormat>
    <chartFormat chart="13" format="11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2"/>
          </reference>
        </references>
      </pivotArea>
    </chartFormat>
    <chartFormat chart="13" format="1112">
      <pivotArea type="data" outline="0" fieldPosition="0">
        <references count="2">
          <reference field="4294967294" count="1" selected="0">
            <x v="0"/>
          </reference>
          <reference field="8" count="1" selected="0">
            <x v="97"/>
          </reference>
        </references>
      </pivotArea>
    </chartFormat>
    <chartFormat chart="13" format="1113">
      <pivotArea type="data" outline="0" fieldPosition="0">
        <references count="2">
          <reference field="4294967294" count="1" selected="0">
            <x v="0"/>
          </reference>
          <reference field="8" count="1" selected="0">
            <x v="71"/>
          </reference>
        </references>
      </pivotArea>
    </chartFormat>
    <chartFormat chart="13" format="11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1"/>
          </reference>
        </references>
      </pivotArea>
    </chartFormat>
    <chartFormat chart="13" format="111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8"/>
          </reference>
        </references>
      </pivotArea>
    </chartFormat>
    <chartFormat chart="13" format="1116">
      <pivotArea type="data" outline="0" fieldPosition="0">
        <references count="2">
          <reference field="4294967294" count="1" selected="0">
            <x v="0"/>
          </reference>
          <reference field="8" count="1" selected="0">
            <x v="133"/>
          </reference>
        </references>
      </pivotArea>
    </chartFormat>
    <chartFormat chart="13" format="111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5"/>
          </reference>
        </references>
      </pivotArea>
    </chartFormat>
    <chartFormat chart="13" format="1118">
      <pivotArea type="data" outline="0" fieldPosition="0">
        <references count="2">
          <reference field="4294967294" count="1" selected="0">
            <x v="0"/>
          </reference>
          <reference field="8" count="1" selected="0">
            <x v="131"/>
          </reference>
        </references>
      </pivotArea>
    </chartFormat>
    <chartFormat chart="13" format="1119">
      <pivotArea type="data" outline="0" fieldPosition="0">
        <references count="2">
          <reference field="4294967294" count="1" selected="0">
            <x v="0"/>
          </reference>
          <reference field="8" count="1" selected="0">
            <x v="69"/>
          </reference>
        </references>
      </pivotArea>
    </chartFormat>
    <chartFormat chart="13" format="11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1121">
      <pivotArea type="data" outline="0" fieldPosition="0">
        <references count="2">
          <reference field="4294967294" count="1" selected="0">
            <x v="1"/>
          </reference>
          <reference field="8" count="1" selected="0">
            <x v="148"/>
          </reference>
        </references>
      </pivotArea>
    </chartFormat>
    <chartFormat chart="13" format="1122">
      <pivotArea type="data" outline="0" fieldPosition="0">
        <references count="2">
          <reference field="4294967294" count="1" selected="0">
            <x v="1"/>
          </reference>
          <reference field="8" count="1" selected="0">
            <x v="24"/>
          </reference>
        </references>
      </pivotArea>
    </chartFormat>
    <chartFormat chart="13" format="1123">
      <pivotArea type="data" outline="0" fieldPosition="0">
        <references count="2">
          <reference field="4294967294" count="1" selected="0">
            <x v="1"/>
          </reference>
          <reference field="8" count="1" selected="0">
            <x v="29"/>
          </reference>
        </references>
      </pivotArea>
    </chartFormat>
    <chartFormat chart="13" format="1124">
      <pivotArea type="data" outline="0" fieldPosition="0">
        <references count="2">
          <reference field="4294967294" count="1" selected="0">
            <x v="1"/>
          </reference>
          <reference field="8" count="1" selected="0">
            <x v="16"/>
          </reference>
        </references>
      </pivotArea>
    </chartFormat>
    <chartFormat chart="13" format="1125">
      <pivotArea type="data" outline="0" fieldPosition="0">
        <references count="2">
          <reference field="4294967294" count="1" selected="0">
            <x v="1"/>
          </reference>
          <reference field="8" count="1" selected="0">
            <x v="7"/>
          </reference>
        </references>
      </pivotArea>
    </chartFormat>
    <chartFormat chart="13" format="1126">
      <pivotArea type="data" outline="0" fieldPosition="0">
        <references count="2">
          <reference field="4294967294" count="1" selected="0">
            <x v="1"/>
          </reference>
          <reference field="8" count="1" selected="0">
            <x v="18"/>
          </reference>
        </references>
      </pivotArea>
    </chartFormat>
    <chartFormat chart="13" format="1127">
      <pivotArea type="data" outline="0" fieldPosition="0">
        <references count="2">
          <reference field="4294967294" count="1" selected="0">
            <x v="1"/>
          </reference>
          <reference field="8" count="1" selected="0">
            <x v="64"/>
          </reference>
        </references>
      </pivotArea>
    </chartFormat>
    <chartFormat chart="13" format="1128">
      <pivotArea type="data" outline="0" fieldPosition="0">
        <references count="2">
          <reference field="4294967294" count="1" selected="0">
            <x v="1"/>
          </reference>
          <reference field="8" count="1" selected="0">
            <x v="140"/>
          </reference>
        </references>
      </pivotArea>
    </chartFormat>
    <chartFormat chart="13" format="1129">
      <pivotArea type="data" outline="0" fieldPosition="0">
        <references count="2">
          <reference field="4294967294" count="1" selected="0">
            <x v="1"/>
          </reference>
          <reference field="8" count="1" selected="0">
            <x v="28"/>
          </reference>
        </references>
      </pivotArea>
    </chartFormat>
    <chartFormat chart="13" format="1130">
      <pivotArea type="data" outline="0" fieldPosition="0">
        <references count="2">
          <reference field="4294967294" count="1" selected="0">
            <x v="1"/>
          </reference>
          <reference field="8" count="1" selected="0">
            <x v="9"/>
          </reference>
        </references>
      </pivotArea>
    </chartFormat>
    <chartFormat chart="13" format="1131">
      <pivotArea type="data" outline="0" fieldPosition="0">
        <references count="2">
          <reference field="4294967294" count="1" selected="0">
            <x v="1"/>
          </reference>
          <reference field="8" count="1" selected="0">
            <x v="13"/>
          </reference>
        </references>
      </pivotArea>
    </chartFormat>
    <chartFormat chart="13" format="1132">
      <pivotArea type="data" outline="0" fieldPosition="0">
        <references count="2">
          <reference field="4294967294" count="1" selected="0">
            <x v="1"/>
          </reference>
          <reference field="8" count="1" selected="0">
            <x v="139"/>
          </reference>
        </references>
      </pivotArea>
    </chartFormat>
    <chartFormat chart="13" format="1133">
      <pivotArea type="data" outline="0" fieldPosition="0">
        <references count="2">
          <reference field="4294967294" count="1" selected="0">
            <x v="1"/>
          </reference>
          <reference field="8" count="1" selected="0">
            <x v="52"/>
          </reference>
        </references>
      </pivotArea>
    </chartFormat>
    <chartFormat chart="13" format="1134">
      <pivotArea type="data" outline="0" fieldPosition="0">
        <references count="2">
          <reference field="4294967294" count="1" selected="0">
            <x v="1"/>
          </reference>
          <reference field="8" count="1" selected="0">
            <x v="21"/>
          </reference>
        </references>
      </pivotArea>
    </chartFormat>
    <chartFormat chart="13" format="1135">
      <pivotArea type="data" outline="0" fieldPosition="0">
        <references count="2">
          <reference field="4294967294" count="1" selected="0">
            <x v="1"/>
          </reference>
          <reference field="8" count="1" selected="0">
            <x v="11"/>
          </reference>
        </references>
      </pivotArea>
    </chartFormat>
    <chartFormat chart="13" format="1136">
      <pivotArea type="data" outline="0" fieldPosition="0">
        <references count="2">
          <reference field="4294967294" count="1" selected="0">
            <x v="1"/>
          </reference>
          <reference field="8" count="1" selected="0">
            <x v="25"/>
          </reference>
        </references>
      </pivotArea>
    </chartFormat>
    <chartFormat chart="13" format="1137">
      <pivotArea type="data" outline="0" fieldPosition="0">
        <references count="2">
          <reference field="4294967294" count="1" selected="0">
            <x v="1"/>
          </reference>
          <reference field="8" count="1" selected="0">
            <x v="27"/>
          </reference>
        </references>
      </pivotArea>
    </chartFormat>
    <chartFormat chart="13" format="1138">
      <pivotArea type="data" outline="0" fieldPosition="0">
        <references count="2">
          <reference field="4294967294" count="1" selected="0">
            <x v="1"/>
          </reference>
          <reference field="8" count="1" selected="0">
            <x v="143"/>
          </reference>
        </references>
      </pivotArea>
    </chartFormat>
    <chartFormat chart="13" format="1139">
      <pivotArea type="data" outline="0" fieldPosition="0">
        <references count="2">
          <reference field="4294967294" count="1" selected="0">
            <x v="1"/>
          </reference>
          <reference field="8" count="1" selected="0">
            <x v="45"/>
          </reference>
        </references>
      </pivotArea>
    </chartFormat>
    <chartFormat chart="13" format="1140">
      <pivotArea type="data" outline="0" fieldPosition="0">
        <references count="2">
          <reference field="4294967294" count="1" selected="0">
            <x v="1"/>
          </reference>
          <reference field="8" count="1" selected="0">
            <x v="61"/>
          </reference>
        </references>
      </pivotArea>
    </chartFormat>
    <chartFormat chart="13" format="1141">
      <pivotArea type="data" outline="0" fieldPosition="0">
        <references count="2">
          <reference field="4294967294" count="1" selected="0">
            <x v="1"/>
          </reference>
          <reference field="8" count="1" selected="0">
            <x v="19"/>
          </reference>
        </references>
      </pivotArea>
    </chartFormat>
    <chartFormat chart="13" format="1142">
      <pivotArea type="data" outline="0" fieldPosition="0">
        <references count="2">
          <reference field="4294967294" count="1" selected="0">
            <x v="1"/>
          </reference>
          <reference field="8" count="1" selected="0">
            <x v="153"/>
          </reference>
        </references>
      </pivotArea>
    </chartFormat>
    <chartFormat chart="13" format="1143">
      <pivotArea type="data" outline="0" fieldPosition="0">
        <references count="2">
          <reference field="4294967294" count="1" selected="0">
            <x v="1"/>
          </reference>
          <reference field="8" count="1" selected="0">
            <x v="8"/>
          </reference>
        </references>
      </pivotArea>
    </chartFormat>
    <chartFormat chart="13" format="1144">
      <pivotArea type="data" outline="0" fieldPosition="0">
        <references count="2">
          <reference field="4294967294" count="1" selected="0">
            <x v="1"/>
          </reference>
          <reference field="8" count="1" selected="0">
            <x v="150"/>
          </reference>
        </references>
      </pivotArea>
    </chartFormat>
    <chartFormat chart="13" format="1145">
      <pivotArea type="data" outline="0" fieldPosition="0">
        <references count="2">
          <reference field="4294967294" count="1" selected="0">
            <x v="1"/>
          </reference>
          <reference field="8" count="1" selected="0">
            <x v="14"/>
          </reference>
        </references>
      </pivotArea>
    </chartFormat>
    <chartFormat chart="13" format="1146">
      <pivotArea type="data" outline="0" fieldPosition="0">
        <references count="2">
          <reference field="4294967294" count="1" selected="0">
            <x v="1"/>
          </reference>
          <reference field="8" count="1" selected="0">
            <x v="46"/>
          </reference>
        </references>
      </pivotArea>
    </chartFormat>
    <chartFormat chart="13" format="1147">
      <pivotArea type="data" outline="0" fieldPosition="0">
        <references count="2">
          <reference field="4294967294" count="1" selected="0">
            <x v="1"/>
          </reference>
          <reference field="8" count="1" selected="0">
            <x v="68"/>
          </reference>
        </references>
      </pivotArea>
    </chartFormat>
    <chartFormat chart="13" format="1148">
      <pivotArea type="data" outline="0" fieldPosition="0">
        <references count="2">
          <reference field="4294967294" count="1" selected="0">
            <x v="1"/>
          </reference>
          <reference field="8" count="1" selected="0">
            <x v="53"/>
          </reference>
        </references>
      </pivotArea>
    </chartFormat>
    <chartFormat chart="13" format="1149">
      <pivotArea type="data" outline="0" fieldPosition="0">
        <references count="2">
          <reference field="4294967294" count="1" selected="0">
            <x v="1"/>
          </reference>
          <reference field="8" count="1" selected="0">
            <x v="6"/>
          </reference>
        </references>
      </pivotArea>
    </chartFormat>
    <chartFormat chart="13" format="1150">
      <pivotArea type="data" outline="0" fieldPosition="0">
        <references count="2">
          <reference field="4294967294" count="1" selected="0">
            <x v="1"/>
          </reference>
          <reference field="8" count="1" selected="0">
            <x v="20"/>
          </reference>
        </references>
      </pivotArea>
    </chartFormat>
    <chartFormat chart="13" format="1151">
      <pivotArea type="data" outline="0" fieldPosition="0">
        <references count="2">
          <reference field="4294967294" count="1" selected="0">
            <x v="1"/>
          </reference>
          <reference field="8" count="1" selected="0">
            <x v="34"/>
          </reference>
        </references>
      </pivotArea>
    </chartFormat>
    <chartFormat chart="13" format="1152">
      <pivotArea type="data" outline="0" fieldPosition="0">
        <references count="2">
          <reference field="4294967294" count="1" selected="0">
            <x v="1"/>
          </reference>
          <reference field="8" count="1" selected="0">
            <x v="37"/>
          </reference>
        </references>
      </pivotArea>
    </chartFormat>
    <chartFormat chart="13" format="1153">
      <pivotArea type="data" outline="0" fieldPosition="0">
        <references count="2">
          <reference field="4294967294" count="1" selected="0">
            <x v="1"/>
          </reference>
          <reference field="8" count="1" selected="0">
            <x v="54"/>
          </reference>
        </references>
      </pivotArea>
    </chartFormat>
    <chartFormat chart="13" format="1154">
      <pivotArea type="data" outline="0" fieldPosition="0">
        <references count="2">
          <reference field="4294967294" count="1" selected="0">
            <x v="1"/>
          </reference>
          <reference field="8" count="1" selected="0">
            <x v="145"/>
          </reference>
        </references>
      </pivotArea>
    </chartFormat>
    <chartFormat chart="13" format="1155">
      <pivotArea type="data" outline="0" fieldPosition="0">
        <references count="2">
          <reference field="4294967294" count="1" selected="0">
            <x v="1"/>
          </reference>
          <reference field="8" count="1" selected="0">
            <x v="142"/>
          </reference>
        </references>
      </pivotArea>
    </chartFormat>
    <chartFormat chart="13" format="1156">
      <pivotArea type="data" outline="0" fieldPosition="0">
        <references count="2">
          <reference field="4294967294" count="1" selected="0">
            <x v="1"/>
          </reference>
          <reference field="8" count="1" selected="0">
            <x v="86"/>
          </reference>
        </references>
      </pivotArea>
    </chartFormat>
    <chartFormat chart="13" format="1157">
      <pivotArea type="data" outline="0" fieldPosition="0">
        <references count="2">
          <reference field="4294967294" count="1" selected="0">
            <x v="1"/>
          </reference>
          <reference field="8" count="1" selected="0">
            <x v="51"/>
          </reference>
        </references>
      </pivotArea>
    </chartFormat>
    <chartFormat chart="13" format="1158">
      <pivotArea type="data" outline="0" fieldPosition="0">
        <references count="2">
          <reference field="4294967294" count="1" selected="0">
            <x v="1"/>
          </reference>
          <reference field="8" count="1" selected="0">
            <x v="15"/>
          </reference>
        </references>
      </pivotArea>
    </chartFormat>
    <chartFormat chart="13" format="1159">
      <pivotArea type="data" outline="0" fieldPosition="0">
        <references count="2">
          <reference field="4294967294" count="1" selected="0">
            <x v="1"/>
          </reference>
          <reference field="8" count="1" selected="0">
            <x v="40"/>
          </reference>
        </references>
      </pivotArea>
    </chartFormat>
    <chartFormat chart="13" format="1160">
      <pivotArea type="data" outline="0" fieldPosition="0">
        <references count="2">
          <reference field="4294967294" count="1" selected="0">
            <x v="1"/>
          </reference>
          <reference field="8" count="1" selected="0">
            <x v="49"/>
          </reference>
        </references>
      </pivotArea>
    </chartFormat>
    <chartFormat chart="13" format="1161">
      <pivotArea type="data" outline="0" fieldPosition="0">
        <references count="2">
          <reference field="4294967294" count="1" selected="0">
            <x v="1"/>
          </reference>
          <reference field="8" count="1" selected="0">
            <x v="17"/>
          </reference>
        </references>
      </pivotArea>
    </chartFormat>
    <chartFormat chart="13" format="1162">
      <pivotArea type="data" outline="0" fieldPosition="0">
        <references count="2">
          <reference field="4294967294" count="1" selected="0">
            <x v="1"/>
          </reference>
          <reference field="8" count="1" selected="0">
            <x v="78"/>
          </reference>
        </references>
      </pivotArea>
    </chartFormat>
    <chartFormat chart="13" format="1163">
      <pivotArea type="data" outline="0" fieldPosition="0">
        <references count="2">
          <reference field="4294967294" count="1" selected="0">
            <x v="1"/>
          </reference>
          <reference field="8" count="1" selected="0">
            <x v="81"/>
          </reference>
        </references>
      </pivotArea>
    </chartFormat>
    <chartFormat chart="13" format="1164">
      <pivotArea type="data" outline="0" fieldPosition="0">
        <references count="2">
          <reference field="4294967294" count="1" selected="0">
            <x v="1"/>
          </reference>
          <reference field="8" count="1" selected="0">
            <x v="154"/>
          </reference>
        </references>
      </pivotArea>
    </chartFormat>
    <chartFormat chart="13" format="1165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13" format="1166">
      <pivotArea type="data" outline="0" fieldPosition="0">
        <references count="2">
          <reference field="4294967294" count="1" selected="0">
            <x v="1"/>
          </reference>
          <reference field="8" count="1" selected="0">
            <x v="144"/>
          </reference>
        </references>
      </pivotArea>
    </chartFormat>
    <chartFormat chart="13" format="1167">
      <pivotArea type="data" outline="0" fieldPosition="0">
        <references count="2">
          <reference field="4294967294" count="1" selected="0">
            <x v="1"/>
          </reference>
          <reference field="8" count="1" selected="0">
            <x v="138"/>
          </reference>
        </references>
      </pivotArea>
    </chartFormat>
    <chartFormat chart="13" format="1168">
      <pivotArea type="data" outline="0" fieldPosition="0">
        <references count="2">
          <reference field="4294967294" count="1" selected="0">
            <x v="1"/>
          </reference>
          <reference field="8" count="1" selected="0">
            <x v="47"/>
          </reference>
        </references>
      </pivotArea>
    </chartFormat>
    <chartFormat chart="13" format="1169">
      <pivotArea type="data" outline="0" fieldPosition="0">
        <references count="2">
          <reference field="4294967294" count="1" selected="0">
            <x v="1"/>
          </reference>
          <reference field="8" count="1" selected="0">
            <x v="63"/>
          </reference>
        </references>
      </pivotArea>
    </chartFormat>
    <chartFormat chart="13" format="1170">
      <pivotArea type="data" outline="0" fieldPosition="0">
        <references count="2">
          <reference field="4294967294" count="1" selected="0">
            <x v="1"/>
          </reference>
          <reference field="8" count="1" selected="0">
            <x v="112"/>
          </reference>
        </references>
      </pivotArea>
    </chartFormat>
    <chartFormat chart="13" format="1171">
      <pivotArea type="data" outline="0" fieldPosition="0">
        <references count="2">
          <reference field="4294967294" count="1" selected="0">
            <x v="1"/>
          </reference>
          <reference field="8" count="1" selected="0">
            <x v="31"/>
          </reference>
        </references>
      </pivotArea>
    </chartFormat>
    <chartFormat chart="13" format="1172">
      <pivotArea type="data" outline="0" fieldPosition="0">
        <references count="2">
          <reference field="4294967294" count="1" selected="0">
            <x v="1"/>
          </reference>
          <reference field="8" count="1" selected="0">
            <x v="73"/>
          </reference>
        </references>
      </pivotArea>
    </chartFormat>
    <chartFormat chart="13" format="1173">
      <pivotArea type="data" outline="0" fieldPosition="0">
        <references count="2">
          <reference field="4294967294" count="1" selected="0">
            <x v="1"/>
          </reference>
          <reference field="8" count="1" selected="0">
            <x v="83"/>
          </reference>
        </references>
      </pivotArea>
    </chartFormat>
    <chartFormat chart="13" format="1174">
      <pivotArea type="data" outline="0" fieldPosition="0">
        <references count="2">
          <reference field="4294967294" count="1" selected="0">
            <x v="1"/>
          </reference>
          <reference field="8" count="1" selected="0">
            <x v="79"/>
          </reference>
        </references>
      </pivotArea>
    </chartFormat>
    <chartFormat chart="13" format="117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"/>
          </reference>
        </references>
      </pivotArea>
    </chartFormat>
    <chartFormat chart="13" format="1176">
      <pivotArea type="data" outline="0" fieldPosition="0">
        <references count="2">
          <reference field="4294967294" count="1" selected="0">
            <x v="1"/>
          </reference>
          <reference field="8" count="1" selected="0">
            <x v="82"/>
          </reference>
        </references>
      </pivotArea>
    </chartFormat>
    <chartFormat chart="13" format="1177">
      <pivotArea type="data" outline="0" fieldPosition="0">
        <references count="2">
          <reference field="4294967294" count="1" selected="0">
            <x v="1"/>
          </reference>
          <reference field="8" count="1" selected="0">
            <x v="62"/>
          </reference>
        </references>
      </pivotArea>
    </chartFormat>
    <chartFormat chart="13" format="1178">
      <pivotArea type="data" outline="0" fieldPosition="0">
        <references count="2">
          <reference field="4294967294" count="1" selected="0">
            <x v="1"/>
          </reference>
          <reference field="8" count="1" selected="0">
            <x v="88"/>
          </reference>
        </references>
      </pivotArea>
    </chartFormat>
    <chartFormat chart="13" format="1179">
      <pivotArea type="data" outline="0" fieldPosition="0">
        <references count="2">
          <reference field="4294967294" count="1" selected="0">
            <x v="1"/>
          </reference>
          <reference field="8" count="1" selected="0">
            <x v="90"/>
          </reference>
        </references>
      </pivotArea>
    </chartFormat>
    <chartFormat chart="13" format="1180">
      <pivotArea type="data" outline="0" fieldPosition="0">
        <references count="2">
          <reference field="4294967294" count="1" selected="0">
            <x v="1"/>
          </reference>
          <reference field="8" count="1" selected="0">
            <x v="22"/>
          </reference>
        </references>
      </pivotArea>
    </chartFormat>
    <chartFormat chart="13" format="1181">
      <pivotArea type="data" outline="0" fieldPosition="0">
        <references count="2">
          <reference field="4294967294" count="1" selected="0">
            <x v="1"/>
          </reference>
          <reference field="8" count="1" selected="0">
            <x v="128"/>
          </reference>
        </references>
      </pivotArea>
    </chartFormat>
    <chartFormat chart="13" format="1182">
      <pivotArea type="data" outline="0" fieldPosition="0">
        <references count="2">
          <reference field="4294967294" count="1" selected="0">
            <x v="1"/>
          </reference>
          <reference field="8" count="1" selected="0">
            <x v="66"/>
          </reference>
        </references>
      </pivotArea>
    </chartFormat>
    <chartFormat chart="13" format="1183">
      <pivotArea type="data" outline="0" fieldPosition="0">
        <references count="2">
          <reference field="4294967294" count="1" selected="0">
            <x v="1"/>
          </reference>
          <reference field="8" count="1" selected="0">
            <x v="60"/>
          </reference>
        </references>
      </pivotArea>
    </chartFormat>
    <chartFormat chart="13" format="1184">
      <pivotArea type="data" outline="0" fieldPosition="0">
        <references count="2">
          <reference field="4294967294" count="1" selected="0">
            <x v="1"/>
          </reference>
          <reference field="8" count="1" selected="0">
            <x v="50"/>
          </reference>
        </references>
      </pivotArea>
    </chartFormat>
    <chartFormat chart="13" format="1185">
      <pivotArea type="data" outline="0" fieldPosition="0">
        <references count="2">
          <reference field="4294967294" count="1" selected="0">
            <x v="1"/>
          </reference>
          <reference field="8" count="1" selected="0">
            <x v="57"/>
          </reference>
        </references>
      </pivotArea>
    </chartFormat>
    <chartFormat chart="13" format="1186">
      <pivotArea type="data" outline="0" fieldPosition="0">
        <references count="2">
          <reference field="4294967294" count="1" selected="0">
            <x v="1"/>
          </reference>
          <reference field="8" count="1" selected="0">
            <x v="93"/>
          </reference>
        </references>
      </pivotArea>
    </chartFormat>
    <chartFormat chart="13" format="1187">
      <pivotArea type="data" outline="0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chartFormat>
    <chartFormat chart="13" format="1188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13" format="1189">
      <pivotArea type="data" outline="0" fieldPosition="0">
        <references count="2">
          <reference field="4294967294" count="1" selected="0">
            <x v="1"/>
          </reference>
          <reference field="8" count="1" selected="0">
            <x v="137"/>
          </reference>
        </references>
      </pivotArea>
    </chartFormat>
    <chartFormat chart="13" format="1190">
      <pivotArea type="data" outline="0" fieldPosition="0">
        <references count="2">
          <reference field="4294967294" count="1" selected="0">
            <x v="1"/>
          </reference>
          <reference field="8" count="1" selected="0">
            <x v="5"/>
          </reference>
        </references>
      </pivotArea>
    </chartFormat>
    <chartFormat chart="13" format="1191">
      <pivotArea type="data" outline="0" fieldPosition="0">
        <references count="2">
          <reference field="4294967294" count="1" selected="0">
            <x v="1"/>
          </reference>
          <reference field="8" count="1" selected="0">
            <x v="32"/>
          </reference>
        </references>
      </pivotArea>
    </chartFormat>
    <chartFormat chart="13" format="1192">
      <pivotArea type="data" outline="0" fieldPosition="0">
        <references count="2">
          <reference field="4294967294" count="1" selected="0">
            <x v="1"/>
          </reference>
          <reference field="8" count="1" selected="0">
            <x v="114"/>
          </reference>
        </references>
      </pivotArea>
    </chartFormat>
    <chartFormat chart="13" format="1193">
      <pivotArea type="data" outline="0" fieldPosition="0">
        <references count="2">
          <reference field="4294967294" count="1" selected="0">
            <x v="1"/>
          </reference>
          <reference field="8" count="1" selected="0">
            <x v="113"/>
          </reference>
        </references>
      </pivotArea>
    </chartFormat>
    <chartFormat chart="13" format="1194">
      <pivotArea type="data" outline="0" fieldPosition="0">
        <references count="2">
          <reference field="4294967294" count="1" selected="0">
            <x v="1"/>
          </reference>
          <reference field="8" count="1" selected="0">
            <x v="12"/>
          </reference>
        </references>
      </pivotArea>
    </chartFormat>
    <chartFormat chart="13" format="1195">
      <pivotArea type="data" outline="0" fieldPosition="0">
        <references count="2">
          <reference field="4294967294" count="1" selected="0">
            <x v="1"/>
          </reference>
          <reference field="8" count="1" selected="0">
            <x v="30"/>
          </reference>
        </references>
      </pivotArea>
    </chartFormat>
    <chartFormat chart="13" format="1196">
      <pivotArea type="data" outline="0" fieldPosition="0">
        <references count="2">
          <reference field="4294967294" count="1" selected="0">
            <x v="1"/>
          </reference>
          <reference field="8" count="1" selected="0">
            <x v="103"/>
          </reference>
        </references>
      </pivotArea>
    </chartFormat>
    <chartFormat chart="13" format="1197">
      <pivotArea type="data" outline="0" fieldPosition="0">
        <references count="2">
          <reference field="4294967294" count="1" selected="0">
            <x v="1"/>
          </reference>
          <reference field="8" count="1" selected="0">
            <x v="89"/>
          </reference>
        </references>
      </pivotArea>
    </chartFormat>
    <chartFormat chart="13" format="1198">
      <pivotArea type="data" outline="0" fieldPosition="0">
        <references count="2">
          <reference field="4294967294" count="1" selected="0">
            <x v="1"/>
          </reference>
          <reference field="8" count="1" selected="0">
            <x v="91"/>
          </reference>
        </references>
      </pivotArea>
    </chartFormat>
    <chartFormat chart="13" format="1199">
      <pivotArea type="data" outline="0" fieldPosition="0">
        <references count="2">
          <reference field="4294967294" count="1" selected="0">
            <x v="1"/>
          </reference>
          <reference field="8" count="1" selected="0">
            <x v="44"/>
          </reference>
        </references>
      </pivotArea>
    </chartFormat>
    <chartFormat chart="13" format="1200">
      <pivotArea type="data" outline="0" fieldPosition="0">
        <references count="2">
          <reference field="4294967294" count="1" selected="0">
            <x v="1"/>
          </reference>
          <reference field="8" count="1" selected="0">
            <x v="157"/>
          </reference>
        </references>
      </pivotArea>
    </chartFormat>
    <chartFormat chart="13" format="1201">
      <pivotArea type="data" outline="0" fieldPosition="0">
        <references count="2">
          <reference field="4294967294" count="1" selected="0">
            <x v="1"/>
          </reference>
          <reference field="8" count="1" selected="0">
            <x v="100"/>
          </reference>
        </references>
      </pivotArea>
    </chartFormat>
    <chartFormat chart="13" format="1202">
      <pivotArea type="data" outline="0" fieldPosition="0">
        <references count="2">
          <reference field="4294967294" count="1" selected="0">
            <x v="1"/>
          </reference>
          <reference field="8" count="1" selected="0">
            <x v="38"/>
          </reference>
        </references>
      </pivotArea>
    </chartFormat>
    <chartFormat chart="13" format="1203">
      <pivotArea type="data" outline="0" fieldPosition="0">
        <references count="2">
          <reference field="4294967294" count="1" selected="0">
            <x v="1"/>
          </reference>
          <reference field="8" count="1" selected="0">
            <x v="77"/>
          </reference>
        </references>
      </pivotArea>
    </chartFormat>
    <chartFormat chart="13" format="1204">
      <pivotArea type="data" outline="0" fieldPosition="0">
        <references count="2">
          <reference field="4294967294" count="1" selected="0">
            <x v="1"/>
          </reference>
          <reference field="8" count="1" selected="0">
            <x v="59"/>
          </reference>
        </references>
      </pivotArea>
    </chartFormat>
    <chartFormat chart="13" format="1205">
      <pivotArea type="data" outline="0" fieldPosition="0">
        <references count="2">
          <reference field="4294967294" count="1" selected="0">
            <x v="1"/>
          </reference>
          <reference field="8" count="1" selected="0">
            <x v="58"/>
          </reference>
        </references>
      </pivotArea>
    </chartFormat>
    <chartFormat chart="13" format="1206">
      <pivotArea type="data" outline="0" fieldPosition="0">
        <references count="2">
          <reference field="4294967294" count="1" selected="0">
            <x v="1"/>
          </reference>
          <reference field="8" count="1" selected="0">
            <x v="141"/>
          </reference>
        </references>
      </pivotArea>
    </chartFormat>
    <chartFormat chart="13" format="1207">
      <pivotArea type="data" outline="0" fieldPosition="0">
        <references count="2">
          <reference field="4294967294" count="1" selected="0">
            <x v="1"/>
          </reference>
          <reference field="8" count="1" selected="0">
            <x v="136"/>
          </reference>
        </references>
      </pivotArea>
    </chartFormat>
    <chartFormat chart="13" format="1208">
      <pivotArea type="data" outline="0" fieldPosition="0">
        <references count="2">
          <reference field="4294967294" count="1" selected="0">
            <x v="1"/>
          </reference>
          <reference field="8" count="1" selected="0">
            <x v="99"/>
          </reference>
        </references>
      </pivotArea>
    </chartFormat>
    <chartFormat chart="13" format="1209">
      <pivotArea type="data" outline="0" fieldPosition="0">
        <references count="2">
          <reference field="4294967294" count="1" selected="0">
            <x v="1"/>
          </reference>
          <reference field="8" count="1" selected="0">
            <x v="76"/>
          </reference>
        </references>
      </pivotArea>
    </chartFormat>
    <chartFormat chart="13" format="1210">
      <pivotArea type="data" outline="0" fieldPosition="0">
        <references count="2">
          <reference field="4294967294" count="1" selected="0">
            <x v="1"/>
          </reference>
          <reference field="8" count="1" selected="0">
            <x v="65"/>
          </reference>
        </references>
      </pivotArea>
    </chartFormat>
    <chartFormat chart="13" format="1211">
      <pivotArea type="data" outline="0" fieldPosition="0">
        <references count="2">
          <reference field="4294967294" count="1" selected="0">
            <x v="1"/>
          </reference>
          <reference field="8" count="1" selected="0">
            <x v="134"/>
          </reference>
        </references>
      </pivotArea>
    </chartFormat>
    <chartFormat chart="13" format="1212">
      <pivotArea type="data" outline="0" fieldPosition="0">
        <references count="2">
          <reference field="4294967294" count="1" selected="0">
            <x v="1"/>
          </reference>
          <reference field="8" count="1" selected="0">
            <x v="118"/>
          </reference>
        </references>
      </pivotArea>
    </chartFormat>
    <chartFormat chart="13" format="1213">
      <pivotArea type="data" outline="0" fieldPosition="0">
        <references count="2">
          <reference field="4294967294" count="1" selected="0">
            <x v="1"/>
          </reference>
          <reference field="8" count="1" selected="0">
            <x v="155"/>
          </reference>
        </references>
      </pivotArea>
    </chartFormat>
    <chartFormat chart="13" format="1214">
      <pivotArea type="data" outline="0" fieldPosition="0">
        <references count="2">
          <reference field="4294967294" count="1" selected="0">
            <x v="1"/>
          </reference>
          <reference field="8" count="1" selected="0">
            <x v="146"/>
          </reference>
        </references>
      </pivotArea>
    </chartFormat>
    <chartFormat chart="13" format="1215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13" format="1216">
      <pivotArea type="data" outline="0" fieldPosition="0">
        <references count="2">
          <reference field="4294967294" count="1" selected="0">
            <x v="1"/>
          </reference>
          <reference field="8" count="1" selected="0">
            <x v="43"/>
          </reference>
        </references>
      </pivotArea>
    </chartFormat>
    <chartFormat chart="13" format="1217">
      <pivotArea type="data" outline="0" fieldPosition="0">
        <references count="2">
          <reference field="4294967294" count="1" selected="0">
            <x v="1"/>
          </reference>
          <reference field="8" count="1" selected="0">
            <x v="55"/>
          </reference>
        </references>
      </pivotArea>
    </chartFormat>
    <chartFormat chart="13" format="1218">
      <pivotArea type="data" outline="0" fieldPosition="0">
        <references count="2">
          <reference field="4294967294" count="1" selected="0">
            <x v="1"/>
          </reference>
          <reference field="8" count="1" selected="0">
            <x v="109"/>
          </reference>
        </references>
      </pivotArea>
    </chartFormat>
    <chartFormat chart="13" format="1219">
      <pivotArea type="data" outline="0" fieldPosition="0">
        <references count="2">
          <reference field="4294967294" count="1" selected="0">
            <x v="1"/>
          </reference>
          <reference field="8" count="1" selected="0">
            <x v="48"/>
          </reference>
        </references>
      </pivotArea>
    </chartFormat>
    <chartFormat chart="13" format="1220">
      <pivotArea type="data" outline="0" fieldPosition="0">
        <references count="2">
          <reference field="4294967294" count="1" selected="0">
            <x v="1"/>
          </reference>
          <reference field="8" count="1" selected="0">
            <x v="94"/>
          </reference>
        </references>
      </pivotArea>
    </chartFormat>
    <chartFormat chart="13" format="1221">
      <pivotArea type="data" outline="0" fieldPosition="0">
        <references count="2">
          <reference field="4294967294" count="1" selected="0">
            <x v="1"/>
          </reference>
          <reference field="8" count="1" selected="0">
            <x v="23"/>
          </reference>
        </references>
      </pivotArea>
    </chartFormat>
    <chartFormat chart="13" format="1222">
      <pivotArea type="data" outline="0" fieldPosition="0">
        <references count="2">
          <reference field="4294967294" count="1" selected="0">
            <x v="1"/>
          </reference>
          <reference field="8" count="1" selected="0">
            <x v="98"/>
          </reference>
        </references>
      </pivotArea>
    </chartFormat>
    <chartFormat chart="13" format="1223">
      <pivotArea type="data" outline="0" fieldPosition="0">
        <references count="2">
          <reference field="4294967294" count="1" selected="0">
            <x v="1"/>
          </reference>
          <reference field="8" count="1" selected="0">
            <x v="33"/>
          </reference>
        </references>
      </pivotArea>
    </chartFormat>
    <chartFormat chart="13" format="1224">
      <pivotArea type="data" outline="0" fieldPosition="0">
        <references count="2">
          <reference field="4294967294" count="1" selected="0">
            <x v="1"/>
          </reference>
          <reference field="8" count="1" selected="0">
            <x v="156"/>
          </reference>
        </references>
      </pivotArea>
    </chartFormat>
    <chartFormat chart="13" format="1225">
      <pivotArea type="data" outline="0" fieldPosition="0">
        <references count="2">
          <reference field="4294967294" count="1" selected="0">
            <x v="1"/>
          </reference>
          <reference field="8" count="1" selected="0">
            <x v="84"/>
          </reference>
        </references>
      </pivotArea>
    </chartFormat>
    <chartFormat chart="13" format="1226">
      <pivotArea type="data" outline="0" fieldPosition="0">
        <references count="2">
          <reference field="4294967294" count="1" selected="0">
            <x v="1"/>
          </reference>
          <reference field="8" count="1" selected="0">
            <x v="67"/>
          </reference>
        </references>
      </pivotArea>
    </chartFormat>
    <chartFormat chart="13" format="1227">
      <pivotArea type="data" outline="0" fieldPosition="0">
        <references count="2">
          <reference field="4294967294" count="1" selected="0">
            <x v="1"/>
          </reference>
          <reference field="8" count="1" selected="0">
            <x v="80"/>
          </reference>
        </references>
      </pivotArea>
    </chartFormat>
    <chartFormat chart="13" format="1228">
      <pivotArea type="data" outline="0" fieldPosition="0">
        <references count="2">
          <reference field="4294967294" count="1" selected="0">
            <x v="1"/>
          </reference>
          <reference field="8" count="1" selected="0">
            <x v="149"/>
          </reference>
        </references>
      </pivotArea>
    </chartFormat>
    <chartFormat chart="13" format="1229">
      <pivotArea type="data" outline="0" fieldPosition="0">
        <references count="2">
          <reference field="4294967294" count="1" selected="0">
            <x v="1"/>
          </reference>
          <reference field="8" count="1" selected="0">
            <x v="124"/>
          </reference>
        </references>
      </pivotArea>
    </chartFormat>
    <chartFormat chart="13" format="1230">
      <pivotArea type="data" outline="0" fieldPosition="0">
        <references count="2">
          <reference field="4294967294" count="1" selected="0">
            <x v="1"/>
          </reference>
          <reference field="8" count="1" selected="0">
            <x v="107"/>
          </reference>
        </references>
      </pivotArea>
    </chartFormat>
    <chartFormat chart="13" format="1231">
      <pivotArea type="data" outline="0" fieldPosition="0">
        <references count="2">
          <reference field="4294967294" count="1" selected="0">
            <x v="1"/>
          </reference>
          <reference field="8" count="1" selected="0">
            <x v="106"/>
          </reference>
        </references>
      </pivotArea>
    </chartFormat>
    <chartFormat chart="13" format="1232">
      <pivotArea type="data" outline="0" fieldPosition="0">
        <references count="2">
          <reference field="4294967294" count="1" selected="0">
            <x v="1"/>
          </reference>
          <reference field="8" count="1" selected="0">
            <x v="96"/>
          </reference>
        </references>
      </pivotArea>
    </chartFormat>
    <chartFormat chart="13" format="1233">
      <pivotArea type="data" outline="0" fieldPosition="0">
        <references count="2">
          <reference field="4294967294" count="1" selected="0">
            <x v="1"/>
          </reference>
          <reference field="8" count="1" selected="0">
            <x v="125"/>
          </reference>
        </references>
      </pivotArea>
    </chartFormat>
    <chartFormat chart="13" format="1234">
      <pivotArea type="data" outline="0" fieldPosition="0">
        <references count="2">
          <reference field="4294967294" count="1" selected="0">
            <x v="1"/>
          </reference>
          <reference field="8" count="1" selected="0">
            <x v="105"/>
          </reference>
        </references>
      </pivotArea>
    </chartFormat>
    <chartFormat chart="13" format="1235">
      <pivotArea type="data" outline="0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chartFormat>
    <chartFormat chart="13" format="1236">
      <pivotArea type="data" outline="0" fieldPosition="0">
        <references count="2">
          <reference field="4294967294" count="1" selected="0">
            <x v="1"/>
          </reference>
          <reference field="8" count="1" selected="0">
            <x v="70"/>
          </reference>
        </references>
      </pivotArea>
    </chartFormat>
    <chartFormat chart="13" format="1237">
      <pivotArea type="data" outline="0" fieldPosition="0">
        <references count="2">
          <reference field="4294967294" count="1" selected="0">
            <x v="1"/>
          </reference>
          <reference field="8" count="1" selected="0">
            <x v="110"/>
          </reference>
        </references>
      </pivotArea>
    </chartFormat>
    <chartFormat chart="13" format="1238">
      <pivotArea type="data" outline="0" fieldPosition="0">
        <references count="2">
          <reference field="4294967294" count="1" selected="0">
            <x v="1"/>
          </reference>
          <reference field="8" count="1" selected="0">
            <x v="85"/>
          </reference>
        </references>
      </pivotArea>
    </chartFormat>
    <chartFormat chart="13" format="1239">
      <pivotArea type="data" outline="0" fieldPosition="0">
        <references count="2">
          <reference field="4294967294" count="1" selected="0">
            <x v="1"/>
          </reference>
          <reference field="8" count="1" selected="0">
            <x v="74"/>
          </reference>
        </references>
      </pivotArea>
    </chartFormat>
    <chartFormat chart="13" format="1240">
      <pivotArea type="data" outline="0" fieldPosition="0">
        <references count="2">
          <reference field="4294967294" count="1" selected="0">
            <x v="1"/>
          </reference>
          <reference field="8" count="1" selected="0">
            <x v="123"/>
          </reference>
        </references>
      </pivotArea>
    </chartFormat>
    <chartFormat chart="13" format="1241">
      <pivotArea type="data" outline="0" fieldPosition="0">
        <references count="2">
          <reference field="4294967294" count="1" selected="0">
            <x v="1"/>
          </reference>
          <reference field="8" count="1" selected="0">
            <x v="117"/>
          </reference>
        </references>
      </pivotArea>
    </chartFormat>
    <chartFormat chart="13" format="1242">
      <pivotArea type="data" outline="0" fieldPosition="0">
        <references count="2">
          <reference field="4294967294" count="1" selected="0">
            <x v="1"/>
          </reference>
          <reference field="8" count="1" selected="0">
            <x v="41"/>
          </reference>
        </references>
      </pivotArea>
    </chartFormat>
    <chartFormat chart="13" format="1243">
      <pivotArea type="data" outline="0" fieldPosition="0">
        <references count="2">
          <reference field="4294967294" count="1" selected="0">
            <x v="1"/>
          </reference>
          <reference field="8" count="1" selected="0">
            <x v="111"/>
          </reference>
        </references>
      </pivotArea>
    </chartFormat>
    <chartFormat chart="13" format="1244">
      <pivotArea type="data" outline="0" fieldPosition="0">
        <references count="2">
          <reference field="4294967294" count="1" selected="0">
            <x v="1"/>
          </reference>
          <reference field="8" count="1" selected="0">
            <x v="116"/>
          </reference>
        </references>
      </pivotArea>
    </chartFormat>
    <chartFormat chart="13" format="124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1"/>
          </reference>
        </references>
      </pivotArea>
    </chartFormat>
    <chartFormat chart="13" format="1246">
      <pivotArea type="data" outline="0" fieldPosition="0">
        <references count="2">
          <reference field="4294967294" count="1" selected="0">
            <x v="1"/>
          </reference>
          <reference field="8" count="1" selected="0">
            <x v="115"/>
          </reference>
        </references>
      </pivotArea>
    </chartFormat>
    <chartFormat chart="13" format="1247">
      <pivotArea type="data" outline="0" fieldPosition="0">
        <references count="2">
          <reference field="4294967294" count="1" selected="0">
            <x v="1"/>
          </reference>
          <reference field="8" count="1" selected="0">
            <x v="42"/>
          </reference>
        </references>
      </pivotArea>
    </chartFormat>
    <chartFormat chart="13" format="1248">
      <pivotArea type="data" outline="0" fieldPosition="0">
        <references count="2">
          <reference field="4294967294" count="1" selected="0">
            <x v="1"/>
          </reference>
          <reference field="8" count="1" selected="0">
            <x v="104"/>
          </reference>
        </references>
      </pivotArea>
    </chartFormat>
    <chartFormat chart="13" format="1249">
      <pivotArea type="data" outline="0" fieldPosition="0">
        <references count="2">
          <reference field="4294967294" count="1" selected="0">
            <x v="1"/>
          </reference>
          <reference field="8" count="1" selected="0">
            <x v="147"/>
          </reference>
        </references>
      </pivotArea>
    </chartFormat>
    <chartFormat chart="13" format="1250">
      <pivotArea type="data" outline="0" fieldPosition="0">
        <references count="2">
          <reference field="4294967294" count="1" selected="0">
            <x v="1"/>
          </reference>
          <reference field="8" count="1" selected="0">
            <x v="56"/>
          </reference>
        </references>
      </pivotArea>
    </chartFormat>
    <chartFormat chart="13" format="1251">
      <pivotArea type="data" outline="0" fieldPosition="0">
        <references count="2">
          <reference field="4294967294" count="1" selected="0">
            <x v="1"/>
          </reference>
          <reference field="8" count="1" selected="0">
            <x v="126"/>
          </reference>
        </references>
      </pivotArea>
    </chartFormat>
    <chartFormat chart="13" format="1252">
      <pivotArea type="data" outline="0" fieldPosition="0">
        <references count="2">
          <reference field="4294967294" count="1" selected="0">
            <x v="1"/>
          </reference>
          <reference field="8" count="1" selected="0">
            <x v="119"/>
          </reference>
        </references>
      </pivotArea>
    </chartFormat>
    <chartFormat chart="13" format="1253">
      <pivotArea type="data" outline="0" fieldPosition="0">
        <references count="2">
          <reference field="4294967294" count="1" selected="0">
            <x v="1"/>
          </reference>
          <reference field="8" count="1" selected="0">
            <x v="92"/>
          </reference>
        </references>
      </pivotArea>
    </chartFormat>
    <chartFormat chart="13" format="1254">
      <pivotArea type="data" outline="0" fieldPosition="0">
        <references count="2">
          <reference field="4294967294" count="1" selected="0">
            <x v="1"/>
          </reference>
          <reference field="8" count="1" selected="0">
            <x v="122"/>
          </reference>
        </references>
      </pivotArea>
    </chartFormat>
    <chartFormat chart="13" format="1255">
      <pivotArea type="data" outline="0" fieldPosition="0">
        <references count="2">
          <reference field="4294967294" count="1" selected="0">
            <x v="1"/>
          </reference>
          <reference field="8" count="1" selected="0">
            <x v="39"/>
          </reference>
        </references>
      </pivotArea>
    </chartFormat>
    <chartFormat chart="13" format="1256">
      <pivotArea type="data" outline="0" fieldPosition="0">
        <references count="2">
          <reference field="4294967294" count="1" selected="0">
            <x v="1"/>
          </reference>
          <reference field="8" count="1" selected="0">
            <x v="72"/>
          </reference>
        </references>
      </pivotArea>
    </chartFormat>
    <chartFormat chart="13" format="1257">
      <pivotArea type="data" outline="0" fieldPosition="0">
        <references count="2">
          <reference field="4294967294" count="1" selected="0">
            <x v="1"/>
          </reference>
          <reference field="8" count="1" selected="0">
            <x v="129"/>
          </reference>
        </references>
      </pivotArea>
    </chartFormat>
    <chartFormat chart="13" format="1258">
      <pivotArea type="data" outline="0" fieldPosition="0">
        <references count="2">
          <reference field="4294967294" count="1" selected="0">
            <x v="1"/>
          </reference>
          <reference field="8" count="1" selected="0">
            <x v="75"/>
          </reference>
        </references>
      </pivotArea>
    </chartFormat>
    <chartFormat chart="13" format="1259">
      <pivotArea type="data" outline="0" fieldPosition="0">
        <references count="2">
          <reference field="4294967294" count="1" selected="0">
            <x v="1"/>
          </reference>
          <reference field="8" count="1" selected="0">
            <x v="127"/>
          </reference>
        </references>
      </pivotArea>
    </chartFormat>
    <chartFormat chart="13" format="1260">
      <pivotArea type="data" outline="0" fieldPosition="0">
        <references count="2">
          <reference field="4294967294" count="1" selected="0">
            <x v="1"/>
          </reference>
          <reference field="8" count="1" selected="0">
            <x v="151"/>
          </reference>
        </references>
      </pivotArea>
    </chartFormat>
    <chartFormat chart="13" format="1261">
      <pivotArea type="data" outline="0" fieldPosition="0">
        <references count="2">
          <reference field="4294967294" count="1" selected="0">
            <x v="1"/>
          </reference>
          <reference field="8" count="1" selected="0">
            <x v="132"/>
          </reference>
        </references>
      </pivotArea>
    </chartFormat>
    <chartFormat chart="13" format="1262">
      <pivotArea type="data" outline="0" fieldPosition="0">
        <references count="2">
          <reference field="4294967294" count="1" selected="0">
            <x v="1"/>
          </reference>
          <reference field="8" count="1" selected="0">
            <x v="158"/>
          </reference>
        </references>
      </pivotArea>
    </chartFormat>
    <chartFormat chart="13" format="1263">
      <pivotArea type="data" outline="0" fieldPosition="0">
        <references count="2">
          <reference field="4294967294" count="1" selected="0">
            <x v="1"/>
          </reference>
          <reference field="8" count="1" selected="0">
            <x v="35"/>
          </reference>
        </references>
      </pivotArea>
    </chartFormat>
    <chartFormat chart="13" format="1264">
      <pivotArea type="data" outline="0" fieldPosition="0">
        <references count="2">
          <reference field="4294967294" count="1" selected="0">
            <x v="1"/>
          </reference>
          <reference field="8" count="1" selected="0">
            <x v="130"/>
          </reference>
        </references>
      </pivotArea>
    </chartFormat>
    <chartFormat chart="13" format="126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2"/>
          </reference>
        </references>
      </pivotArea>
    </chartFormat>
    <chartFormat chart="13" format="1266">
      <pivotArea type="data" outline="0" fieldPosition="0">
        <references count="2">
          <reference field="4294967294" count="1" selected="0">
            <x v="1"/>
          </reference>
          <reference field="8" count="1" selected="0">
            <x v="26"/>
          </reference>
        </references>
      </pivotArea>
    </chartFormat>
    <chartFormat chart="13" format="1267">
      <pivotArea type="data" outline="0" fieldPosition="0">
        <references count="2">
          <reference field="4294967294" count="1" selected="0">
            <x v="1"/>
          </reference>
          <reference field="8" count="1" selected="0">
            <x v="120"/>
          </reference>
        </references>
      </pivotArea>
    </chartFormat>
    <chartFormat chart="13" format="1268">
      <pivotArea type="data" outline="0" fieldPosition="0">
        <references count="2">
          <reference field="4294967294" count="1" selected="0">
            <x v="1"/>
          </reference>
          <reference field="8" count="1" selected="0">
            <x v="87"/>
          </reference>
        </references>
      </pivotArea>
    </chartFormat>
    <chartFormat chart="13" format="1269">
      <pivotArea type="data" outline="0" fieldPosition="0">
        <references count="2">
          <reference field="4294967294" count="1" selected="0">
            <x v="1"/>
          </reference>
          <reference field="8" count="1" selected="0">
            <x v="36"/>
          </reference>
        </references>
      </pivotArea>
    </chartFormat>
    <chartFormat chart="13" format="1270">
      <pivotArea type="data" outline="0" fieldPosition="0">
        <references count="2">
          <reference field="4294967294" count="1" selected="0">
            <x v="1"/>
          </reference>
          <reference field="8" count="1" selected="0">
            <x v="95"/>
          </reference>
        </references>
      </pivotArea>
    </chartFormat>
    <chartFormat chart="13" format="1271">
      <pivotArea type="data" outline="0" fieldPosition="0">
        <references count="2">
          <reference field="4294967294" count="1" selected="0">
            <x v="1"/>
          </reference>
          <reference field="8" count="1" selected="0">
            <x v="152"/>
          </reference>
        </references>
      </pivotArea>
    </chartFormat>
    <chartFormat chart="13" format="1272">
      <pivotArea type="data" outline="0" fieldPosition="0">
        <references count="2">
          <reference field="4294967294" count="1" selected="0">
            <x v="1"/>
          </reference>
          <reference field="8" count="1" selected="0">
            <x v="97"/>
          </reference>
        </references>
      </pivotArea>
    </chartFormat>
    <chartFormat chart="13" format="1273">
      <pivotArea type="data" outline="0" fieldPosition="0">
        <references count="2">
          <reference field="4294967294" count="1" selected="0">
            <x v="1"/>
          </reference>
          <reference field="8" count="1" selected="0">
            <x v="71"/>
          </reference>
        </references>
      </pivotArea>
    </chartFormat>
    <chartFormat chart="13" format="1274">
      <pivotArea type="data" outline="0" fieldPosition="0">
        <references count="2">
          <reference field="4294967294" count="1" selected="0">
            <x v="1"/>
          </reference>
          <reference field="8" count="1" selected="0">
            <x v="121"/>
          </reference>
        </references>
      </pivotArea>
    </chartFormat>
    <chartFormat chart="13" format="127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8"/>
          </reference>
        </references>
      </pivotArea>
    </chartFormat>
    <chartFormat chart="13" format="1276">
      <pivotArea type="data" outline="0" fieldPosition="0">
        <references count="2">
          <reference field="4294967294" count="1" selected="0">
            <x v="1"/>
          </reference>
          <reference field="8" count="1" selected="0">
            <x v="133"/>
          </reference>
        </references>
      </pivotArea>
    </chartFormat>
    <chartFormat chart="13" format="1277">
      <pivotArea type="data" outline="0" fieldPosition="0">
        <references count="2">
          <reference field="4294967294" count="1" selected="0">
            <x v="1"/>
          </reference>
          <reference field="8" count="1" selected="0">
            <x v="135"/>
          </reference>
        </references>
      </pivotArea>
    </chartFormat>
    <chartFormat chart="13" format="1278">
      <pivotArea type="data" outline="0" fieldPosition="0">
        <references count="2">
          <reference field="4294967294" count="1" selected="0">
            <x v="1"/>
          </reference>
          <reference field="8" count="1" selected="0">
            <x v="131"/>
          </reference>
        </references>
      </pivotArea>
    </chartFormat>
    <chartFormat chart="13" format="1279">
      <pivotArea type="data" outline="0" fieldPosition="0">
        <references count="2">
          <reference field="4294967294" count="1" selected="0">
            <x v="1"/>
          </reference>
          <reference field="8" count="1" selected="0">
            <x v="69"/>
          </reference>
        </references>
      </pivotArea>
    </chartFormat>
    <chartFormat chart="14" format="128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28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8"/>
          </reference>
        </references>
      </pivotArea>
    </chartFormat>
    <chartFormat chart="14" format="1282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14" format="1283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14" format="1284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14" format="1285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14" format="1286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14" format="1287">
      <pivotArea type="data" outline="0" fieldPosition="0">
        <references count="2">
          <reference field="4294967294" count="1" selected="0">
            <x v="0"/>
          </reference>
          <reference field="8" count="1" selected="0">
            <x v="64"/>
          </reference>
        </references>
      </pivotArea>
    </chartFormat>
    <chartFormat chart="14" format="128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0"/>
          </reference>
        </references>
      </pivotArea>
    </chartFormat>
    <chartFormat chart="14" format="1289">
      <pivotArea type="data" outline="0" fieldPosition="0">
        <references count="2">
          <reference field="4294967294" count="1" selected="0">
            <x v="0"/>
          </reference>
          <reference field="8" count="1" selected="0">
            <x v="28"/>
          </reference>
        </references>
      </pivotArea>
    </chartFormat>
    <chartFormat chart="14" format="1290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14" format="129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14" format="1292">
      <pivotArea type="data" outline="0" fieldPosition="0">
        <references count="2">
          <reference field="4294967294" count="1" selected="0">
            <x v="0"/>
          </reference>
          <reference field="8" count="1" selected="0">
            <x v="139"/>
          </reference>
        </references>
      </pivotArea>
    </chartFormat>
    <chartFormat chart="14" format="1293">
      <pivotArea type="data" outline="0" fieldPosition="0">
        <references count="2">
          <reference field="4294967294" count="1" selected="0">
            <x v="0"/>
          </reference>
          <reference field="8" count="1" selected="0">
            <x v="52"/>
          </reference>
        </references>
      </pivotArea>
    </chartFormat>
    <chartFormat chart="14" format="1294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14" format="1295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14" format="1296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14" format="1297">
      <pivotArea type="data" outline="0" fieldPosition="0">
        <references count="2">
          <reference field="4294967294" count="1" selected="0">
            <x v="0"/>
          </reference>
          <reference field="8" count="1" selected="0">
            <x v="27"/>
          </reference>
        </references>
      </pivotArea>
    </chartFormat>
    <chartFormat chart="14" format="129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3"/>
          </reference>
        </references>
      </pivotArea>
    </chartFormat>
    <chartFormat chart="14" format="1299">
      <pivotArea type="data" outline="0" fieldPosition="0">
        <references count="2">
          <reference field="4294967294" count="1" selected="0">
            <x v="0"/>
          </reference>
          <reference field="8" count="1" selected="0">
            <x v="45"/>
          </reference>
        </references>
      </pivotArea>
    </chartFormat>
    <chartFormat chart="14" format="1300">
      <pivotArea type="data" outline="0" fieldPosition="0">
        <references count="2">
          <reference field="4294967294" count="1" selected="0">
            <x v="0"/>
          </reference>
          <reference field="8" count="1" selected="0">
            <x v="61"/>
          </reference>
        </references>
      </pivotArea>
    </chartFormat>
    <chartFormat chart="14" format="130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14" format="1302">
      <pivotArea type="data" outline="0" fieldPosition="0">
        <references count="2">
          <reference field="4294967294" count="1" selected="0">
            <x v="0"/>
          </reference>
          <reference field="8" count="1" selected="0">
            <x v="153"/>
          </reference>
        </references>
      </pivotArea>
    </chartFormat>
    <chartFormat chart="14" format="1303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14" format="130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0"/>
          </reference>
        </references>
      </pivotArea>
    </chartFormat>
    <chartFormat chart="14" format="130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14" format="1306">
      <pivotArea type="data" outline="0" fieldPosition="0">
        <references count="2">
          <reference field="4294967294" count="1" selected="0">
            <x v="0"/>
          </reference>
          <reference field="8" count="1" selected="0">
            <x v="46"/>
          </reference>
        </references>
      </pivotArea>
    </chartFormat>
    <chartFormat chart="14" format="1307">
      <pivotArea type="data" outline="0" fieldPosition="0">
        <references count="2">
          <reference field="4294967294" count="1" selected="0">
            <x v="0"/>
          </reference>
          <reference field="8" count="1" selected="0">
            <x v="68"/>
          </reference>
        </references>
      </pivotArea>
    </chartFormat>
    <chartFormat chart="14" format="1308">
      <pivotArea type="data" outline="0" fieldPosition="0">
        <references count="2">
          <reference field="4294967294" count="1" selected="0">
            <x v="0"/>
          </reference>
          <reference field="8" count="1" selected="0">
            <x v="53"/>
          </reference>
        </references>
      </pivotArea>
    </chartFormat>
    <chartFormat chart="14" format="1309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4" format="1310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14" format="13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4"/>
          </reference>
        </references>
      </pivotArea>
    </chartFormat>
    <chartFormat chart="14" format="1312">
      <pivotArea type="data" outline="0" fieldPosition="0">
        <references count="2">
          <reference field="4294967294" count="1" selected="0">
            <x v="0"/>
          </reference>
          <reference field="8" count="1" selected="0">
            <x v="37"/>
          </reference>
        </references>
      </pivotArea>
    </chartFormat>
    <chartFormat chart="14" format="1313">
      <pivotArea type="data" outline="0" fieldPosition="0">
        <references count="2">
          <reference field="4294967294" count="1" selected="0">
            <x v="0"/>
          </reference>
          <reference field="8" count="1" selected="0">
            <x v="54"/>
          </reference>
        </references>
      </pivotArea>
    </chartFormat>
    <chartFormat chart="14" format="13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45"/>
          </reference>
        </references>
      </pivotArea>
    </chartFormat>
    <chartFormat chart="14" format="131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2"/>
          </reference>
        </references>
      </pivotArea>
    </chartFormat>
    <chartFormat chart="14" format="1316">
      <pivotArea type="data" outline="0" fieldPosition="0">
        <references count="2">
          <reference field="4294967294" count="1" selected="0">
            <x v="0"/>
          </reference>
          <reference field="8" count="1" selected="0">
            <x v="86"/>
          </reference>
        </references>
      </pivotArea>
    </chartFormat>
    <chartFormat chart="14" format="1317">
      <pivotArea type="data" outline="0" fieldPosition="0">
        <references count="2">
          <reference field="4294967294" count="1" selected="0">
            <x v="0"/>
          </reference>
          <reference field="8" count="1" selected="0">
            <x v="51"/>
          </reference>
        </references>
      </pivotArea>
    </chartFormat>
    <chartFormat chart="14" format="1318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14" format="1319">
      <pivotArea type="data" outline="0" fieldPosition="0">
        <references count="2">
          <reference field="4294967294" count="1" selected="0">
            <x v="0"/>
          </reference>
          <reference field="8" count="1" selected="0">
            <x v="40"/>
          </reference>
        </references>
      </pivotArea>
    </chartFormat>
    <chartFormat chart="14" format="1320">
      <pivotArea type="data" outline="0" fieldPosition="0">
        <references count="2">
          <reference field="4294967294" count="1" selected="0">
            <x v="0"/>
          </reference>
          <reference field="8" count="1" selected="0">
            <x v="49"/>
          </reference>
        </references>
      </pivotArea>
    </chartFormat>
    <chartFormat chart="14" format="132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14" format="1322">
      <pivotArea type="data" outline="0" fieldPosition="0">
        <references count="2">
          <reference field="4294967294" count="1" selected="0">
            <x v="0"/>
          </reference>
          <reference field="8" count="1" selected="0">
            <x v="78"/>
          </reference>
        </references>
      </pivotArea>
    </chartFormat>
    <chartFormat chart="14" format="1323">
      <pivotArea type="data" outline="0" fieldPosition="0">
        <references count="2">
          <reference field="4294967294" count="1" selected="0">
            <x v="0"/>
          </reference>
          <reference field="8" count="1" selected="0">
            <x v="81"/>
          </reference>
        </references>
      </pivotArea>
    </chartFormat>
    <chartFormat chart="14" format="132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4"/>
          </reference>
        </references>
      </pivotArea>
    </chartFormat>
    <chartFormat chart="14" format="132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4" format="1326">
      <pivotArea type="data" outline="0" fieldPosition="0">
        <references count="2">
          <reference field="4294967294" count="1" selected="0">
            <x v="0"/>
          </reference>
          <reference field="8" count="1" selected="0">
            <x v="144"/>
          </reference>
        </references>
      </pivotArea>
    </chartFormat>
    <chartFormat chart="14" format="132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8"/>
          </reference>
        </references>
      </pivotArea>
    </chartFormat>
    <chartFormat chart="14" format="1328">
      <pivotArea type="data" outline="0" fieldPosition="0">
        <references count="2">
          <reference field="4294967294" count="1" selected="0">
            <x v="0"/>
          </reference>
          <reference field="8" count="1" selected="0">
            <x v="47"/>
          </reference>
        </references>
      </pivotArea>
    </chartFormat>
    <chartFormat chart="14" format="1329">
      <pivotArea type="data" outline="0" fieldPosition="0">
        <references count="2">
          <reference field="4294967294" count="1" selected="0">
            <x v="0"/>
          </reference>
          <reference field="8" count="1" selected="0">
            <x v="63"/>
          </reference>
        </references>
      </pivotArea>
    </chartFormat>
    <chartFormat chart="14" format="1330">
      <pivotArea type="data" outline="0" fieldPosition="0">
        <references count="2">
          <reference field="4294967294" count="1" selected="0">
            <x v="0"/>
          </reference>
          <reference field="8" count="1" selected="0">
            <x v="112"/>
          </reference>
        </references>
      </pivotArea>
    </chartFormat>
    <chartFormat chart="14" format="1331">
      <pivotArea type="data" outline="0" fieldPosition="0">
        <references count="2">
          <reference field="4294967294" count="1" selected="0">
            <x v="0"/>
          </reference>
          <reference field="8" count="1" selected="0">
            <x v="31"/>
          </reference>
        </references>
      </pivotArea>
    </chartFormat>
    <chartFormat chart="14" format="1332">
      <pivotArea type="data" outline="0" fieldPosition="0">
        <references count="2">
          <reference field="4294967294" count="1" selected="0">
            <x v="0"/>
          </reference>
          <reference field="8" count="1" selected="0">
            <x v="73"/>
          </reference>
        </references>
      </pivotArea>
    </chartFormat>
    <chartFormat chart="14" format="1333">
      <pivotArea type="data" outline="0" fieldPosition="0">
        <references count="2">
          <reference field="4294967294" count="1" selected="0">
            <x v="0"/>
          </reference>
          <reference field="8" count="1" selected="0">
            <x v="83"/>
          </reference>
        </references>
      </pivotArea>
    </chartFormat>
    <chartFormat chart="14" format="1334">
      <pivotArea type="data" outline="0" fieldPosition="0">
        <references count="2">
          <reference field="4294967294" count="1" selected="0">
            <x v="0"/>
          </reference>
          <reference field="8" count="1" selected="0">
            <x v="79"/>
          </reference>
        </references>
      </pivotArea>
    </chartFormat>
    <chartFormat chart="14" format="133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14" format="1336">
      <pivotArea type="data" outline="0" fieldPosition="0">
        <references count="2">
          <reference field="4294967294" count="1" selected="0">
            <x v="0"/>
          </reference>
          <reference field="8" count="1" selected="0">
            <x v="82"/>
          </reference>
        </references>
      </pivotArea>
    </chartFormat>
    <chartFormat chart="14" format="1337">
      <pivotArea type="data" outline="0" fieldPosition="0">
        <references count="2">
          <reference field="4294967294" count="1" selected="0">
            <x v="0"/>
          </reference>
          <reference field="8" count="1" selected="0">
            <x v="62"/>
          </reference>
        </references>
      </pivotArea>
    </chartFormat>
    <chartFormat chart="14" format="1338">
      <pivotArea type="data" outline="0" fieldPosition="0">
        <references count="2">
          <reference field="4294967294" count="1" selected="0">
            <x v="0"/>
          </reference>
          <reference field="8" count="1" selected="0">
            <x v="88"/>
          </reference>
        </references>
      </pivotArea>
    </chartFormat>
    <chartFormat chart="14" format="1339">
      <pivotArea type="data" outline="0" fieldPosition="0">
        <references count="2">
          <reference field="4294967294" count="1" selected="0">
            <x v="0"/>
          </reference>
          <reference field="8" count="1" selected="0">
            <x v="90"/>
          </reference>
        </references>
      </pivotArea>
    </chartFormat>
    <chartFormat chart="14" format="1340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14" format="134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8"/>
          </reference>
        </references>
      </pivotArea>
    </chartFormat>
    <chartFormat chart="14" format="1342">
      <pivotArea type="data" outline="0" fieldPosition="0">
        <references count="2">
          <reference field="4294967294" count="1" selected="0">
            <x v="0"/>
          </reference>
          <reference field="8" count="1" selected="0">
            <x v="66"/>
          </reference>
        </references>
      </pivotArea>
    </chartFormat>
    <chartFormat chart="14" format="1343">
      <pivotArea type="data" outline="0" fieldPosition="0">
        <references count="2">
          <reference field="4294967294" count="1" selected="0">
            <x v="0"/>
          </reference>
          <reference field="8" count="1" selected="0">
            <x v="60"/>
          </reference>
        </references>
      </pivotArea>
    </chartFormat>
    <chartFormat chart="14" format="1344">
      <pivotArea type="data" outline="0" fieldPosition="0">
        <references count="2">
          <reference field="4294967294" count="1" selected="0">
            <x v="0"/>
          </reference>
          <reference field="8" count="1" selected="0">
            <x v="50"/>
          </reference>
        </references>
      </pivotArea>
    </chartFormat>
    <chartFormat chart="14" format="1345">
      <pivotArea type="data" outline="0" fieldPosition="0">
        <references count="2">
          <reference field="4294967294" count="1" selected="0">
            <x v="0"/>
          </reference>
          <reference field="8" count="1" selected="0">
            <x v="57"/>
          </reference>
        </references>
      </pivotArea>
    </chartFormat>
    <chartFormat chart="14" format="1346">
      <pivotArea type="data" outline="0" fieldPosition="0">
        <references count="2">
          <reference field="4294967294" count="1" selected="0">
            <x v="0"/>
          </reference>
          <reference field="8" count="1" selected="0">
            <x v="93"/>
          </reference>
        </references>
      </pivotArea>
    </chartFormat>
    <chartFormat chart="14" format="1347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4" format="134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4" format="1349">
      <pivotArea type="data" outline="0" fieldPosition="0">
        <references count="2">
          <reference field="4294967294" count="1" selected="0">
            <x v="0"/>
          </reference>
          <reference field="8" count="1" selected="0">
            <x v="137"/>
          </reference>
        </references>
      </pivotArea>
    </chartFormat>
    <chartFormat chart="14" format="1350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4" format="1351">
      <pivotArea type="data" outline="0" fieldPosition="0">
        <references count="2">
          <reference field="4294967294" count="1" selected="0">
            <x v="0"/>
          </reference>
          <reference field="8" count="1" selected="0">
            <x v="32"/>
          </reference>
        </references>
      </pivotArea>
    </chartFormat>
    <chartFormat chart="14" format="135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4"/>
          </reference>
        </references>
      </pivotArea>
    </chartFormat>
    <chartFormat chart="14" format="135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3"/>
          </reference>
        </references>
      </pivotArea>
    </chartFormat>
    <chartFormat chart="14" format="135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14" format="1355">
      <pivotArea type="data" outline="0" fieldPosition="0">
        <references count="2">
          <reference field="4294967294" count="1" selected="0">
            <x v="0"/>
          </reference>
          <reference field="8" count="1" selected="0">
            <x v="30"/>
          </reference>
        </references>
      </pivotArea>
    </chartFormat>
    <chartFormat chart="14" format="1356">
      <pivotArea type="data" outline="0" fieldPosition="0">
        <references count="2">
          <reference field="4294967294" count="1" selected="0">
            <x v="0"/>
          </reference>
          <reference field="8" count="1" selected="0">
            <x v="103"/>
          </reference>
        </references>
      </pivotArea>
    </chartFormat>
    <chartFormat chart="14" format="1357">
      <pivotArea type="data" outline="0" fieldPosition="0">
        <references count="2">
          <reference field="4294967294" count="1" selected="0">
            <x v="0"/>
          </reference>
          <reference field="8" count="1" selected="0">
            <x v="89"/>
          </reference>
        </references>
      </pivotArea>
    </chartFormat>
    <chartFormat chart="14" format="1358">
      <pivotArea type="data" outline="0" fieldPosition="0">
        <references count="2">
          <reference field="4294967294" count="1" selected="0">
            <x v="0"/>
          </reference>
          <reference field="8" count="1" selected="0">
            <x v="91"/>
          </reference>
        </references>
      </pivotArea>
    </chartFormat>
    <chartFormat chart="14" format="1359">
      <pivotArea type="data" outline="0" fieldPosition="0">
        <references count="2">
          <reference field="4294967294" count="1" selected="0">
            <x v="0"/>
          </reference>
          <reference field="8" count="1" selected="0">
            <x v="44"/>
          </reference>
        </references>
      </pivotArea>
    </chartFormat>
    <chartFormat chart="14" format="1360">
      <pivotArea type="data" outline="0" fieldPosition="0">
        <references count="2">
          <reference field="4294967294" count="1" selected="0">
            <x v="0"/>
          </reference>
          <reference field="8" count="1" selected="0">
            <x v="157"/>
          </reference>
        </references>
      </pivotArea>
    </chartFormat>
    <chartFormat chart="14" format="136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0"/>
          </reference>
        </references>
      </pivotArea>
    </chartFormat>
    <chartFormat chart="14" format="1362">
      <pivotArea type="data" outline="0" fieldPosition="0">
        <references count="2">
          <reference field="4294967294" count="1" selected="0">
            <x v="0"/>
          </reference>
          <reference field="8" count="1" selected="0">
            <x v="38"/>
          </reference>
        </references>
      </pivotArea>
    </chartFormat>
    <chartFormat chart="14" format="1363">
      <pivotArea type="data" outline="0" fieldPosition="0">
        <references count="2">
          <reference field="4294967294" count="1" selected="0">
            <x v="0"/>
          </reference>
          <reference field="8" count="1" selected="0">
            <x v="77"/>
          </reference>
        </references>
      </pivotArea>
    </chartFormat>
    <chartFormat chart="14" format="1364">
      <pivotArea type="data" outline="0" fieldPosition="0">
        <references count="2">
          <reference field="4294967294" count="1" selected="0">
            <x v="0"/>
          </reference>
          <reference field="8" count="1" selected="0">
            <x v="59"/>
          </reference>
        </references>
      </pivotArea>
    </chartFormat>
    <chartFormat chart="14" format="1365">
      <pivotArea type="data" outline="0" fieldPosition="0">
        <references count="2">
          <reference field="4294967294" count="1" selected="0">
            <x v="0"/>
          </reference>
          <reference field="8" count="1" selected="0">
            <x v="58"/>
          </reference>
        </references>
      </pivotArea>
    </chartFormat>
    <chartFormat chart="14" format="1366">
      <pivotArea type="data" outline="0" fieldPosition="0">
        <references count="2">
          <reference field="4294967294" count="1" selected="0">
            <x v="0"/>
          </reference>
          <reference field="8" count="1" selected="0">
            <x v="141"/>
          </reference>
        </references>
      </pivotArea>
    </chartFormat>
    <chartFormat chart="14" format="136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6"/>
          </reference>
        </references>
      </pivotArea>
    </chartFormat>
    <chartFormat chart="14" format="1368">
      <pivotArea type="data" outline="0" fieldPosition="0">
        <references count="2">
          <reference field="4294967294" count="1" selected="0">
            <x v="0"/>
          </reference>
          <reference field="8" count="1" selected="0">
            <x v="99"/>
          </reference>
        </references>
      </pivotArea>
    </chartFormat>
    <chartFormat chart="14" format="1369">
      <pivotArea type="data" outline="0" fieldPosition="0">
        <references count="2">
          <reference field="4294967294" count="1" selected="0">
            <x v="0"/>
          </reference>
          <reference field="8" count="1" selected="0">
            <x v="76"/>
          </reference>
        </references>
      </pivotArea>
    </chartFormat>
    <chartFormat chart="14" format="1370">
      <pivotArea type="data" outline="0" fieldPosition="0">
        <references count="2">
          <reference field="4294967294" count="1" selected="0">
            <x v="0"/>
          </reference>
          <reference field="8" count="1" selected="0">
            <x v="65"/>
          </reference>
        </references>
      </pivotArea>
    </chartFormat>
    <chartFormat chart="14" format="137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4"/>
          </reference>
        </references>
      </pivotArea>
    </chartFormat>
    <chartFormat chart="14" format="137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8"/>
          </reference>
        </references>
      </pivotArea>
    </chartFormat>
    <chartFormat chart="14" format="1373">
      <pivotArea type="data" outline="0" fieldPosition="0">
        <references count="2">
          <reference field="4294967294" count="1" selected="0">
            <x v="0"/>
          </reference>
          <reference field="8" count="1" selected="0">
            <x v="155"/>
          </reference>
        </references>
      </pivotArea>
    </chartFormat>
    <chartFormat chart="14" format="1374">
      <pivotArea type="data" outline="0" fieldPosition="0">
        <references count="2">
          <reference field="4294967294" count="1" selected="0">
            <x v="0"/>
          </reference>
          <reference field="8" count="1" selected="0">
            <x v="146"/>
          </reference>
        </references>
      </pivotArea>
    </chartFormat>
    <chartFormat chart="14" format="137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4" format="1376">
      <pivotArea type="data" outline="0" fieldPosition="0">
        <references count="2">
          <reference field="4294967294" count="1" selected="0">
            <x v="0"/>
          </reference>
          <reference field="8" count="1" selected="0">
            <x v="43"/>
          </reference>
        </references>
      </pivotArea>
    </chartFormat>
    <chartFormat chart="14" format="1377">
      <pivotArea type="data" outline="0" fieldPosition="0">
        <references count="2">
          <reference field="4294967294" count="1" selected="0">
            <x v="0"/>
          </reference>
          <reference field="8" count="1" selected="0">
            <x v="55"/>
          </reference>
        </references>
      </pivotArea>
    </chartFormat>
    <chartFormat chart="14" format="1378">
      <pivotArea type="data" outline="0" fieldPosition="0">
        <references count="2">
          <reference field="4294967294" count="1" selected="0">
            <x v="0"/>
          </reference>
          <reference field="8" count="1" selected="0">
            <x v="109"/>
          </reference>
        </references>
      </pivotArea>
    </chartFormat>
    <chartFormat chart="14" format="1379">
      <pivotArea type="data" outline="0" fieldPosition="0">
        <references count="2">
          <reference field="4294967294" count="1" selected="0">
            <x v="0"/>
          </reference>
          <reference field="8" count="1" selected="0">
            <x v="48"/>
          </reference>
        </references>
      </pivotArea>
    </chartFormat>
    <chartFormat chart="14" format="1380">
      <pivotArea type="data" outline="0" fieldPosition="0">
        <references count="2">
          <reference field="4294967294" count="1" selected="0">
            <x v="0"/>
          </reference>
          <reference field="8" count="1" selected="0">
            <x v="94"/>
          </reference>
        </references>
      </pivotArea>
    </chartFormat>
    <chartFormat chart="14" format="138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14" format="1382">
      <pivotArea type="data" outline="0" fieldPosition="0">
        <references count="2">
          <reference field="4294967294" count="1" selected="0">
            <x v="0"/>
          </reference>
          <reference field="8" count="1" selected="0">
            <x v="98"/>
          </reference>
        </references>
      </pivotArea>
    </chartFormat>
    <chartFormat chart="14" format="1383">
      <pivotArea type="data" outline="0" fieldPosition="0">
        <references count="2">
          <reference field="4294967294" count="1" selected="0">
            <x v="0"/>
          </reference>
          <reference field="8" count="1" selected="0">
            <x v="33"/>
          </reference>
        </references>
      </pivotArea>
    </chartFormat>
    <chartFormat chart="14" format="1384">
      <pivotArea type="data" outline="0" fieldPosition="0">
        <references count="2">
          <reference field="4294967294" count="1" selected="0">
            <x v="0"/>
          </reference>
          <reference field="8" count="1" selected="0">
            <x v="156"/>
          </reference>
        </references>
      </pivotArea>
    </chartFormat>
    <chartFormat chart="14" format="1385">
      <pivotArea type="data" outline="0" fieldPosition="0">
        <references count="2">
          <reference field="4294967294" count="1" selected="0">
            <x v="0"/>
          </reference>
          <reference field="8" count="1" selected="0">
            <x v="84"/>
          </reference>
        </references>
      </pivotArea>
    </chartFormat>
    <chartFormat chart="14" format="1386">
      <pivotArea type="data" outline="0" fieldPosition="0">
        <references count="2">
          <reference field="4294967294" count="1" selected="0">
            <x v="0"/>
          </reference>
          <reference field="8" count="1" selected="0">
            <x v="67"/>
          </reference>
        </references>
      </pivotArea>
    </chartFormat>
    <chartFormat chart="14" format="1387">
      <pivotArea type="data" outline="0" fieldPosition="0">
        <references count="2">
          <reference field="4294967294" count="1" selected="0">
            <x v="0"/>
          </reference>
          <reference field="8" count="1" selected="0">
            <x v="80"/>
          </reference>
        </references>
      </pivotArea>
    </chartFormat>
    <chartFormat chart="14" format="1388">
      <pivotArea type="data" outline="0" fieldPosition="0">
        <references count="2">
          <reference field="4294967294" count="1" selected="0">
            <x v="0"/>
          </reference>
          <reference field="8" count="1" selected="0">
            <x v="149"/>
          </reference>
        </references>
      </pivotArea>
    </chartFormat>
    <chartFormat chart="14" format="1389">
      <pivotArea type="data" outline="0" fieldPosition="0">
        <references count="2">
          <reference field="4294967294" count="1" selected="0">
            <x v="0"/>
          </reference>
          <reference field="8" count="1" selected="0">
            <x v="124"/>
          </reference>
        </references>
      </pivotArea>
    </chartFormat>
    <chartFormat chart="14" format="1390">
      <pivotArea type="data" outline="0" fieldPosition="0">
        <references count="2">
          <reference field="4294967294" count="1" selected="0">
            <x v="0"/>
          </reference>
          <reference field="8" count="1" selected="0">
            <x v="107"/>
          </reference>
        </references>
      </pivotArea>
    </chartFormat>
    <chartFormat chart="14" format="139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6"/>
          </reference>
        </references>
      </pivotArea>
    </chartFormat>
    <chartFormat chart="14" format="1392">
      <pivotArea type="data" outline="0" fieldPosition="0">
        <references count="2">
          <reference field="4294967294" count="1" selected="0">
            <x v="0"/>
          </reference>
          <reference field="8" count="1" selected="0">
            <x v="96"/>
          </reference>
        </references>
      </pivotArea>
    </chartFormat>
    <chartFormat chart="14" format="1393">
      <pivotArea type="data" outline="0" fieldPosition="0">
        <references count="2">
          <reference field="4294967294" count="1" selected="0">
            <x v="0"/>
          </reference>
          <reference field="8" count="1" selected="0">
            <x v="125"/>
          </reference>
        </references>
      </pivotArea>
    </chartFormat>
    <chartFormat chart="14" format="1394">
      <pivotArea type="data" outline="0" fieldPosition="0">
        <references count="2">
          <reference field="4294967294" count="1" selected="0">
            <x v="0"/>
          </reference>
          <reference field="8" count="1" selected="0">
            <x v="105"/>
          </reference>
        </references>
      </pivotArea>
    </chartFormat>
    <chartFormat chart="14" format="139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4" format="1396">
      <pivotArea type="data" outline="0" fieldPosition="0">
        <references count="2">
          <reference field="4294967294" count="1" selected="0">
            <x v="0"/>
          </reference>
          <reference field="8" count="1" selected="0">
            <x v="70"/>
          </reference>
        </references>
      </pivotArea>
    </chartFormat>
    <chartFormat chart="14" format="1397">
      <pivotArea type="data" outline="0" fieldPosition="0">
        <references count="2">
          <reference field="4294967294" count="1" selected="0">
            <x v="0"/>
          </reference>
          <reference field="8" count="1" selected="0">
            <x v="110"/>
          </reference>
        </references>
      </pivotArea>
    </chartFormat>
    <chartFormat chart="14" format="1398">
      <pivotArea type="data" outline="0" fieldPosition="0">
        <references count="2">
          <reference field="4294967294" count="1" selected="0">
            <x v="0"/>
          </reference>
          <reference field="8" count="1" selected="0">
            <x v="85"/>
          </reference>
        </references>
      </pivotArea>
    </chartFormat>
    <chartFormat chart="14" format="1399">
      <pivotArea type="data" outline="0" fieldPosition="0">
        <references count="2">
          <reference field="4294967294" count="1" selected="0">
            <x v="0"/>
          </reference>
          <reference field="8" count="1" selected="0">
            <x v="74"/>
          </reference>
        </references>
      </pivotArea>
    </chartFormat>
    <chartFormat chart="14" format="1400">
      <pivotArea type="data" outline="0" fieldPosition="0">
        <references count="2">
          <reference field="4294967294" count="1" selected="0">
            <x v="0"/>
          </reference>
          <reference field="8" count="1" selected="0">
            <x v="123"/>
          </reference>
        </references>
      </pivotArea>
    </chartFormat>
    <chartFormat chart="14" format="140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7"/>
          </reference>
        </references>
      </pivotArea>
    </chartFormat>
    <chartFormat chart="14" format="1402">
      <pivotArea type="data" outline="0" fieldPosition="0">
        <references count="2">
          <reference field="4294967294" count="1" selected="0">
            <x v="0"/>
          </reference>
          <reference field="8" count="1" selected="0">
            <x v="41"/>
          </reference>
        </references>
      </pivotArea>
    </chartFormat>
    <chartFormat chart="14" format="1403">
      <pivotArea type="data" outline="0" fieldPosition="0">
        <references count="2">
          <reference field="4294967294" count="1" selected="0">
            <x v="0"/>
          </reference>
          <reference field="8" count="1" selected="0">
            <x v="111"/>
          </reference>
        </references>
      </pivotArea>
    </chartFormat>
    <chartFormat chart="14" format="1404">
      <pivotArea type="data" outline="0" fieldPosition="0">
        <references count="2">
          <reference field="4294967294" count="1" selected="0">
            <x v="0"/>
          </reference>
          <reference field="8" count="1" selected="0">
            <x v="116"/>
          </reference>
        </references>
      </pivotArea>
    </chartFormat>
    <chartFormat chart="14" format="140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1"/>
          </reference>
        </references>
      </pivotArea>
    </chartFormat>
    <chartFormat chart="14" format="1406">
      <pivotArea type="data" outline="0" fieldPosition="0">
        <references count="2">
          <reference field="4294967294" count="1" selected="0">
            <x v="0"/>
          </reference>
          <reference field="8" count="1" selected="0">
            <x v="115"/>
          </reference>
        </references>
      </pivotArea>
    </chartFormat>
    <chartFormat chart="14" format="1407">
      <pivotArea type="data" outline="0" fieldPosition="0">
        <references count="2">
          <reference field="4294967294" count="1" selected="0">
            <x v="0"/>
          </reference>
          <reference field="8" count="1" selected="0">
            <x v="42"/>
          </reference>
        </references>
      </pivotArea>
    </chartFormat>
    <chartFormat chart="14" format="1408">
      <pivotArea type="data" outline="0" fieldPosition="0">
        <references count="2">
          <reference field="4294967294" count="1" selected="0">
            <x v="0"/>
          </reference>
          <reference field="8" count="1" selected="0">
            <x v="104"/>
          </reference>
        </references>
      </pivotArea>
    </chartFormat>
    <chartFormat chart="14" format="1409">
      <pivotArea type="data" outline="0" fieldPosition="0">
        <references count="2">
          <reference field="4294967294" count="1" selected="0">
            <x v="0"/>
          </reference>
          <reference field="8" count="1" selected="0">
            <x v="147"/>
          </reference>
        </references>
      </pivotArea>
    </chartFormat>
    <chartFormat chart="14" format="1410">
      <pivotArea type="data" outline="0" fieldPosition="0">
        <references count="2">
          <reference field="4294967294" count="1" selected="0">
            <x v="0"/>
          </reference>
          <reference field="8" count="1" selected="0">
            <x v="56"/>
          </reference>
        </references>
      </pivotArea>
    </chartFormat>
    <chartFormat chart="14" format="14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6"/>
          </reference>
        </references>
      </pivotArea>
    </chartFormat>
    <chartFormat chart="14" format="14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9"/>
          </reference>
        </references>
      </pivotArea>
    </chartFormat>
    <chartFormat chart="14" format="1413">
      <pivotArea type="data" outline="0" fieldPosition="0">
        <references count="2">
          <reference field="4294967294" count="1" selected="0">
            <x v="0"/>
          </reference>
          <reference field="8" count="1" selected="0">
            <x v="92"/>
          </reference>
        </references>
      </pivotArea>
    </chartFormat>
    <chartFormat chart="14" format="14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2"/>
          </reference>
        </references>
      </pivotArea>
    </chartFormat>
    <chartFormat chart="14" format="1415">
      <pivotArea type="data" outline="0" fieldPosition="0">
        <references count="2">
          <reference field="4294967294" count="1" selected="0">
            <x v="0"/>
          </reference>
          <reference field="8" count="1" selected="0">
            <x v="39"/>
          </reference>
        </references>
      </pivotArea>
    </chartFormat>
    <chartFormat chart="14" format="1416">
      <pivotArea type="data" outline="0" fieldPosition="0">
        <references count="2">
          <reference field="4294967294" count="1" selected="0">
            <x v="0"/>
          </reference>
          <reference field="8" count="1" selected="0">
            <x v="72"/>
          </reference>
        </references>
      </pivotArea>
    </chartFormat>
    <chartFormat chart="14" format="1417">
      <pivotArea type="data" outline="0" fieldPosition="0">
        <references count="2">
          <reference field="4294967294" count="1" selected="0">
            <x v="0"/>
          </reference>
          <reference field="8" count="1" selected="0">
            <x v="129"/>
          </reference>
        </references>
      </pivotArea>
    </chartFormat>
    <chartFormat chart="14" format="1418">
      <pivotArea type="data" outline="0" fieldPosition="0">
        <references count="2">
          <reference field="4294967294" count="1" selected="0">
            <x v="0"/>
          </reference>
          <reference field="8" count="1" selected="0">
            <x v="75"/>
          </reference>
        </references>
      </pivotArea>
    </chartFormat>
    <chartFormat chart="14" format="1419">
      <pivotArea type="data" outline="0" fieldPosition="0">
        <references count="2">
          <reference field="4294967294" count="1" selected="0">
            <x v="0"/>
          </reference>
          <reference field="8" count="1" selected="0">
            <x v="127"/>
          </reference>
        </references>
      </pivotArea>
    </chartFormat>
    <chartFormat chart="14" format="1420">
      <pivotArea type="data" outline="0" fieldPosition="0">
        <references count="2">
          <reference field="4294967294" count="1" selected="0">
            <x v="0"/>
          </reference>
          <reference field="8" count="1" selected="0">
            <x v="151"/>
          </reference>
        </references>
      </pivotArea>
    </chartFormat>
    <chartFormat chart="14" format="142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2"/>
          </reference>
        </references>
      </pivotArea>
    </chartFormat>
    <chartFormat chart="14" format="1422">
      <pivotArea type="data" outline="0" fieldPosition="0">
        <references count="2">
          <reference field="4294967294" count="1" selected="0">
            <x v="0"/>
          </reference>
          <reference field="8" count="1" selected="0">
            <x v="158"/>
          </reference>
        </references>
      </pivotArea>
    </chartFormat>
    <chartFormat chart="14" format="1423">
      <pivotArea type="data" outline="0" fieldPosition="0">
        <references count="2">
          <reference field="4294967294" count="1" selected="0">
            <x v="0"/>
          </reference>
          <reference field="8" count="1" selected="0">
            <x v="35"/>
          </reference>
        </references>
      </pivotArea>
    </chartFormat>
    <chartFormat chart="14" format="1424">
      <pivotArea type="data" outline="0" fieldPosition="0">
        <references count="2">
          <reference field="4294967294" count="1" selected="0">
            <x v="0"/>
          </reference>
          <reference field="8" count="1" selected="0">
            <x v="130"/>
          </reference>
        </references>
      </pivotArea>
    </chartFormat>
    <chartFormat chart="14" format="142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2"/>
          </reference>
        </references>
      </pivotArea>
    </chartFormat>
    <chartFormat chart="14" format="1426">
      <pivotArea type="data" outline="0" fieldPosition="0">
        <references count="2">
          <reference field="4294967294" count="1" selected="0">
            <x v="0"/>
          </reference>
          <reference field="8" count="1" selected="0">
            <x v="26"/>
          </reference>
        </references>
      </pivotArea>
    </chartFormat>
    <chartFormat chart="14" format="1427">
      <pivotArea type="data" outline="0" fieldPosition="0">
        <references count="2">
          <reference field="4294967294" count="1" selected="0">
            <x v="0"/>
          </reference>
          <reference field="8" count="1" selected="0">
            <x v="120"/>
          </reference>
        </references>
      </pivotArea>
    </chartFormat>
    <chartFormat chart="14" format="1428">
      <pivotArea type="data" outline="0" fieldPosition="0">
        <references count="2">
          <reference field="4294967294" count="1" selected="0">
            <x v="0"/>
          </reference>
          <reference field="8" count="1" selected="0">
            <x v="87"/>
          </reference>
        </references>
      </pivotArea>
    </chartFormat>
    <chartFormat chart="14" format="1429">
      <pivotArea type="data" outline="0" fieldPosition="0">
        <references count="2">
          <reference field="4294967294" count="1" selected="0">
            <x v="0"/>
          </reference>
          <reference field="8" count="1" selected="0">
            <x v="36"/>
          </reference>
        </references>
      </pivotArea>
    </chartFormat>
    <chartFormat chart="14" format="1430">
      <pivotArea type="data" outline="0" fieldPosition="0">
        <references count="2">
          <reference field="4294967294" count="1" selected="0">
            <x v="0"/>
          </reference>
          <reference field="8" count="1" selected="0">
            <x v="95"/>
          </reference>
        </references>
      </pivotArea>
    </chartFormat>
    <chartFormat chart="14" format="143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2"/>
          </reference>
        </references>
      </pivotArea>
    </chartFormat>
    <chartFormat chart="14" format="1432">
      <pivotArea type="data" outline="0" fieldPosition="0">
        <references count="2">
          <reference field="4294967294" count="1" selected="0">
            <x v="0"/>
          </reference>
          <reference field="8" count="1" selected="0">
            <x v="97"/>
          </reference>
        </references>
      </pivotArea>
    </chartFormat>
    <chartFormat chart="14" format="1433">
      <pivotArea type="data" outline="0" fieldPosition="0">
        <references count="2">
          <reference field="4294967294" count="1" selected="0">
            <x v="0"/>
          </reference>
          <reference field="8" count="1" selected="0">
            <x v="71"/>
          </reference>
        </references>
      </pivotArea>
    </chartFormat>
    <chartFormat chart="14" format="143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1"/>
          </reference>
        </references>
      </pivotArea>
    </chartFormat>
    <chartFormat chart="14" format="1435">
      <pivotArea type="data" outline="0" fieldPosition="0">
        <references count="2">
          <reference field="4294967294" count="1" selected="0">
            <x v="0"/>
          </reference>
          <reference field="8" count="1" selected="0">
            <x v="108"/>
          </reference>
        </references>
      </pivotArea>
    </chartFormat>
    <chartFormat chart="14" format="1436">
      <pivotArea type="data" outline="0" fieldPosition="0">
        <references count="2">
          <reference field="4294967294" count="1" selected="0">
            <x v="0"/>
          </reference>
          <reference field="8" count="1" selected="0">
            <x v="133"/>
          </reference>
        </references>
      </pivotArea>
    </chartFormat>
    <chartFormat chart="14" format="1437">
      <pivotArea type="data" outline="0" fieldPosition="0">
        <references count="2">
          <reference field="4294967294" count="1" selected="0">
            <x v="0"/>
          </reference>
          <reference field="8" count="1" selected="0">
            <x v="135"/>
          </reference>
        </references>
      </pivotArea>
    </chartFormat>
    <chartFormat chart="14" format="1438">
      <pivotArea type="data" outline="0" fieldPosition="0">
        <references count="2">
          <reference field="4294967294" count="1" selected="0">
            <x v="0"/>
          </reference>
          <reference field="8" count="1" selected="0">
            <x v="131"/>
          </reference>
        </references>
      </pivotArea>
    </chartFormat>
    <chartFormat chart="14" format="1439">
      <pivotArea type="data" outline="0" fieldPosition="0">
        <references count="2">
          <reference field="4294967294" count="1" selected="0">
            <x v="0"/>
          </reference>
          <reference field="8" count="1" selected="0">
            <x v="69"/>
          </reference>
        </references>
      </pivotArea>
    </chartFormat>
    <chartFormat chart="14" format="144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441">
      <pivotArea type="data" outline="0" fieldPosition="0">
        <references count="2">
          <reference field="4294967294" count="1" selected="0">
            <x v="1"/>
          </reference>
          <reference field="8" count="1" selected="0">
            <x v="148"/>
          </reference>
        </references>
      </pivotArea>
    </chartFormat>
    <chartFormat chart="14" format="1442">
      <pivotArea type="data" outline="0" fieldPosition="0">
        <references count="2">
          <reference field="4294967294" count="1" selected="0">
            <x v="1"/>
          </reference>
          <reference field="8" count="1" selected="0">
            <x v="24"/>
          </reference>
        </references>
      </pivotArea>
    </chartFormat>
    <chartFormat chart="14" format="1443">
      <pivotArea type="data" outline="0" fieldPosition="0">
        <references count="2">
          <reference field="4294967294" count="1" selected="0">
            <x v="1"/>
          </reference>
          <reference field="8" count="1" selected="0">
            <x v="29"/>
          </reference>
        </references>
      </pivotArea>
    </chartFormat>
    <chartFormat chart="14" format="1444">
      <pivotArea type="data" outline="0" fieldPosition="0">
        <references count="2">
          <reference field="4294967294" count="1" selected="0">
            <x v="1"/>
          </reference>
          <reference field="8" count="1" selected="0">
            <x v="16"/>
          </reference>
        </references>
      </pivotArea>
    </chartFormat>
    <chartFormat chart="14" format="1445">
      <pivotArea type="data" outline="0" fieldPosition="0">
        <references count="2">
          <reference field="4294967294" count="1" selected="0">
            <x v="1"/>
          </reference>
          <reference field="8" count="1" selected="0">
            <x v="7"/>
          </reference>
        </references>
      </pivotArea>
    </chartFormat>
    <chartFormat chart="14" format="1446">
      <pivotArea type="data" outline="0" fieldPosition="0">
        <references count="2">
          <reference field="4294967294" count="1" selected="0">
            <x v="1"/>
          </reference>
          <reference field="8" count="1" selected="0">
            <x v="18"/>
          </reference>
        </references>
      </pivotArea>
    </chartFormat>
    <chartFormat chart="14" format="1447">
      <pivotArea type="data" outline="0" fieldPosition="0">
        <references count="2">
          <reference field="4294967294" count="1" selected="0">
            <x v="1"/>
          </reference>
          <reference field="8" count="1" selected="0">
            <x v="64"/>
          </reference>
        </references>
      </pivotArea>
    </chartFormat>
    <chartFormat chart="14" format="1448">
      <pivotArea type="data" outline="0" fieldPosition="0">
        <references count="2">
          <reference field="4294967294" count="1" selected="0">
            <x v="1"/>
          </reference>
          <reference field="8" count="1" selected="0">
            <x v="140"/>
          </reference>
        </references>
      </pivotArea>
    </chartFormat>
    <chartFormat chart="14" format="1449">
      <pivotArea type="data" outline="0" fieldPosition="0">
        <references count="2">
          <reference field="4294967294" count="1" selected="0">
            <x v="1"/>
          </reference>
          <reference field="8" count="1" selected="0">
            <x v="28"/>
          </reference>
        </references>
      </pivotArea>
    </chartFormat>
    <chartFormat chart="14" format="1450">
      <pivotArea type="data" outline="0" fieldPosition="0">
        <references count="2">
          <reference field="4294967294" count="1" selected="0">
            <x v="1"/>
          </reference>
          <reference field="8" count="1" selected="0">
            <x v="9"/>
          </reference>
        </references>
      </pivotArea>
    </chartFormat>
    <chartFormat chart="14" format="1451">
      <pivotArea type="data" outline="0" fieldPosition="0">
        <references count="2">
          <reference field="4294967294" count="1" selected="0">
            <x v="1"/>
          </reference>
          <reference field="8" count="1" selected="0">
            <x v="13"/>
          </reference>
        </references>
      </pivotArea>
    </chartFormat>
    <chartFormat chart="14" format="1452">
      <pivotArea type="data" outline="0" fieldPosition="0">
        <references count="2">
          <reference field="4294967294" count="1" selected="0">
            <x v="1"/>
          </reference>
          <reference field="8" count="1" selected="0">
            <x v="139"/>
          </reference>
        </references>
      </pivotArea>
    </chartFormat>
    <chartFormat chart="14" format="1453">
      <pivotArea type="data" outline="0" fieldPosition="0">
        <references count="2">
          <reference field="4294967294" count="1" selected="0">
            <x v="1"/>
          </reference>
          <reference field="8" count="1" selected="0">
            <x v="52"/>
          </reference>
        </references>
      </pivotArea>
    </chartFormat>
    <chartFormat chart="14" format="1454">
      <pivotArea type="data" outline="0" fieldPosition="0">
        <references count="2">
          <reference field="4294967294" count="1" selected="0">
            <x v="1"/>
          </reference>
          <reference field="8" count="1" selected="0">
            <x v="21"/>
          </reference>
        </references>
      </pivotArea>
    </chartFormat>
    <chartFormat chart="14" format="1455">
      <pivotArea type="data" outline="0" fieldPosition="0">
        <references count="2">
          <reference field="4294967294" count="1" selected="0">
            <x v="1"/>
          </reference>
          <reference field="8" count="1" selected="0">
            <x v="11"/>
          </reference>
        </references>
      </pivotArea>
    </chartFormat>
    <chartFormat chart="14" format="1456">
      <pivotArea type="data" outline="0" fieldPosition="0">
        <references count="2">
          <reference field="4294967294" count="1" selected="0">
            <x v="1"/>
          </reference>
          <reference field="8" count="1" selected="0">
            <x v="25"/>
          </reference>
        </references>
      </pivotArea>
    </chartFormat>
    <chartFormat chart="14" format="1457">
      <pivotArea type="data" outline="0" fieldPosition="0">
        <references count="2">
          <reference field="4294967294" count="1" selected="0">
            <x v="1"/>
          </reference>
          <reference field="8" count="1" selected="0">
            <x v="27"/>
          </reference>
        </references>
      </pivotArea>
    </chartFormat>
    <chartFormat chart="14" format="1458">
      <pivotArea type="data" outline="0" fieldPosition="0">
        <references count="2">
          <reference field="4294967294" count="1" selected="0">
            <x v="1"/>
          </reference>
          <reference field="8" count="1" selected="0">
            <x v="143"/>
          </reference>
        </references>
      </pivotArea>
    </chartFormat>
    <chartFormat chart="14" format="1459">
      <pivotArea type="data" outline="0" fieldPosition="0">
        <references count="2">
          <reference field="4294967294" count="1" selected="0">
            <x v="1"/>
          </reference>
          <reference field="8" count="1" selected="0">
            <x v="45"/>
          </reference>
        </references>
      </pivotArea>
    </chartFormat>
    <chartFormat chart="14" format="1460">
      <pivotArea type="data" outline="0" fieldPosition="0">
        <references count="2">
          <reference field="4294967294" count="1" selected="0">
            <x v="1"/>
          </reference>
          <reference field="8" count="1" selected="0">
            <x v="61"/>
          </reference>
        </references>
      </pivotArea>
    </chartFormat>
    <chartFormat chart="14" format="1461">
      <pivotArea type="data" outline="0" fieldPosition="0">
        <references count="2">
          <reference field="4294967294" count="1" selected="0">
            <x v="1"/>
          </reference>
          <reference field="8" count="1" selected="0">
            <x v="19"/>
          </reference>
        </references>
      </pivotArea>
    </chartFormat>
    <chartFormat chart="14" format="1462">
      <pivotArea type="data" outline="0" fieldPosition="0">
        <references count="2">
          <reference field="4294967294" count="1" selected="0">
            <x v="1"/>
          </reference>
          <reference field="8" count="1" selected="0">
            <x v="153"/>
          </reference>
        </references>
      </pivotArea>
    </chartFormat>
    <chartFormat chart="14" format="1463">
      <pivotArea type="data" outline="0" fieldPosition="0">
        <references count="2">
          <reference field="4294967294" count="1" selected="0">
            <x v="1"/>
          </reference>
          <reference field="8" count="1" selected="0">
            <x v="8"/>
          </reference>
        </references>
      </pivotArea>
    </chartFormat>
    <chartFormat chart="14" format="1464">
      <pivotArea type="data" outline="0" fieldPosition="0">
        <references count="2">
          <reference field="4294967294" count="1" selected="0">
            <x v="1"/>
          </reference>
          <reference field="8" count="1" selected="0">
            <x v="150"/>
          </reference>
        </references>
      </pivotArea>
    </chartFormat>
    <chartFormat chart="14" format="1465">
      <pivotArea type="data" outline="0" fieldPosition="0">
        <references count="2">
          <reference field="4294967294" count="1" selected="0">
            <x v="1"/>
          </reference>
          <reference field="8" count="1" selected="0">
            <x v="14"/>
          </reference>
        </references>
      </pivotArea>
    </chartFormat>
    <chartFormat chart="14" format="1466">
      <pivotArea type="data" outline="0" fieldPosition="0">
        <references count="2">
          <reference field="4294967294" count="1" selected="0">
            <x v="1"/>
          </reference>
          <reference field="8" count="1" selected="0">
            <x v="46"/>
          </reference>
        </references>
      </pivotArea>
    </chartFormat>
    <chartFormat chart="14" format="1467">
      <pivotArea type="data" outline="0" fieldPosition="0">
        <references count="2">
          <reference field="4294967294" count="1" selected="0">
            <x v="1"/>
          </reference>
          <reference field="8" count="1" selected="0">
            <x v="68"/>
          </reference>
        </references>
      </pivotArea>
    </chartFormat>
    <chartFormat chart="14" format="1468">
      <pivotArea type="data" outline="0" fieldPosition="0">
        <references count="2">
          <reference field="4294967294" count="1" selected="0">
            <x v="1"/>
          </reference>
          <reference field="8" count="1" selected="0">
            <x v="53"/>
          </reference>
        </references>
      </pivotArea>
    </chartFormat>
    <chartFormat chart="14" format="1469">
      <pivotArea type="data" outline="0" fieldPosition="0">
        <references count="2">
          <reference field="4294967294" count="1" selected="0">
            <x v="1"/>
          </reference>
          <reference field="8" count="1" selected="0">
            <x v="6"/>
          </reference>
        </references>
      </pivotArea>
    </chartFormat>
    <chartFormat chart="14" format="1470">
      <pivotArea type="data" outline="0" fieldPosition="0">
        <references count="2">
          <reference field="4294967294" count="1" selected="0">
            <x v="1"/>
          </reference>
          <reference field="8" count="1" selected="0">
            <x v="20"/>
          </reference>
        </references>
      </pivotArea>
    </chartFormat>
    <chartFormat chart="14" format="1471">
      <pivotArea type="data" outline="0" fieldPosition="0">
        <references count="2">
          <reference field="4294967294" count="1" selected="0">
            <x v="1"/>
          </reference>
          <reference field="8" count="1" selected="0">
            <x v="34"/>
          </reference>
        </references>
      </pivotArea>
    </chartFormat>
    <chartFormat chart="14" format="1472">
      <pivotArea type="data" outline="0" fieldPosition="0">
        <references count="2">
          <reference field="4294967294" count="1" selected="0">
            <x v="1"/>
          </reference>
          <reference field="8" count="1" selected="0">
            <x v="37"/>
          </reference>
        </references>
      </pivotArea>
    </chartFormat>
    <chartFormat chart="14" format="1473">
      <pivotArea type="data" outline="0" fieldPosition="0">
        <references count="2">
          <reference field="4294967294" count="1" selected="0">
            <x v="1"/>
          </reference>
          <reference field="8" count="1" selected="0">
            <x v="54"/>
          </reference>
        </references>
      </pivotArea>
    </chartFormat>
    <chartFormat chart="14" format="1474">
      <pivotArea type="data" outline="0" fieldPosition="0">
        <references count="2">
          <reference field="4294967294" count="1" selected="0">
            <x v="1"/>
          </reference>
          <reference field="8" count="1" selected="0">
            <x v="145"/>
          </reference>
        </references>
      </pivotArea>
    </chartFormat>
    <chartFormat chart="14" format="1475">
      <pivotArea type="data" outline="0" fieldPosition="0">
        <references count="2">
          <reference field="4294967294" count="1" selected="0">
            <x v="1"/>
          </reference>
          <reference field="8" count="1" selected="0">
            <x v="142"/>
          </reference>
        </references>
      </pivotArea>
    </chartFormat>
    <chartFormat chart="14" format="1476">
      <pivotArea type="data" outline="0" fieldPosition="0">
        <references count="2">
          <reference field="4294967294" count="1" selected="0">
            <x v="1"/>
          </reference>
          <reference field="8" count="1" selected="0">
            <x v="86"/>
          </reference>
        </references>
      </pivotArea>
    </chartFormat>
    <chartFormat chart="14" format="1477">
      <pivotArea type="data" outline="0" fieldPosition="0">
        <references count="2">
          <reference field="4294967294" count="1" selected="0">
            <x v="1"/>
          </reference>
          <reference field="8" count="1" selected="0">
            <x v="51"/>
          </reference>
        </references>
      </pivotArea>
    </chartFormat>
    <chartFormat chart="14" format="1478">
      <pivotArea type="data" outline="0" fieldPosition="0">
        <references count="2">
          <reference field="4294967294" count="1" selected="0">
            <x v="1"/>
          </reference>
          <reference field="8" count="1" selected="0">
            <x v="15"/>
          </reference>
        </references>
      </pivotArea>
    </chartFormat>
    <chartFormat chart="14" format="1479">
      <pivotArea type="data" outline="0" fieldPosition="0">
        <references count="2">
          <reference field="4294967294" count="1" selected="0">
            <x v="1"/>
          </reference>
          <reference field="8" count="1" selected="0">
            <x v="40"/>
          </reference>
        </references>
      </pivotArea>
    </chartFormat>
    <chartFormat chart="14" format="1480">
      <pivotArea type="data" outline="0" fieldPosition="0">
        <references count="2">
          <reference field="4294967294" count="1" selected="0">
            <x v="1"/>
          </reference>
          <reference field="8" count="1" selected="0">
            <x v="49"/>
          </reference>
        </references>
      </pivotArea>
    </chartFormat>
    <chartFormat chart="14" format="1481">
      <pivotArea type="data" outline="0" fieldPosition="0">
        <references count="2">
          <reference field="4294967294" count="1" selected="0">
            <x v="1"/>
          </reference>
          <reference field="8" count="1" selected="0">
            <x v="17"/>
          </reference>
        </references>
      </pivotArea>
    </chartFormat>
    <chartFormat chart="14" format="1482">
      <pivotArea type="data" outline="0" fieldPosition="0">
        <references count="2">
          <reference field="4294967294" count="1" selected="0">
            <x v="1"/>
          </reference>
          <reference field="8" count="1" selected="0">
            <x v="78"/>
          </reference>
        </references>
      </pivotArea>
    </chartFormat>
    <chartFormat chart="14" format="1483">
      <pivotArea type="data" outline="0" fieldPosition="0">
        <references count="2">
          <reference field="4294967294" count="1" selected="0">
            <x v="1"/>
          </reference>
          <reference field="8" count="1" selected="0">
            <x v="81"/>
          </reference>
        </references>
      </pivotArea>
    </chartFormat>
    <chartFormat chart="14" format="1484">
      <pivotArea type="data" outline="0" fieldPosition="0">
        <references count="2">
          <reference field="4294967294" count="1" selected="0">
            <x v="1"/>
          </reference>
          <reference field="8" count="1" selected="0">
            <x v="154"/>
          </reference>
        </references>
      </pivotArea>
    </chartFormat>
    <chartFormat chart="14" format="1485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14" format="1486">
      <pivotArea type="data" outline="0" fieldPosition="0">
        <references count="2">
          <reference field="4294967294" count="1" selected="0">
            <x v="1"/>
          </reference>
          <reference field="8" count="1" selected="0">
            <x v="144"/>
          </reference>
        </references>
      </pivotArea>
    </chartFormat>
    <chartFormat chart="14" format="1487">
      <pivotArea type="data" outline="0" fieldPosition="0">
        <references count="2">
          <reference field="4294967294" count="1" selected="0">
            <x v="1"/>
          </reference>
          <reference field="8" count="1" selected="0">
            <x v="138"/>
          </reference>
        </references>
      </pivotArea>
    </chartFormat>
    <chartFormat chart="14" format="1488">
      <pivotArea type="data" outline="0" fieldPosition="0">
        <references count="2">
          <reference field="4294967294" count="1" selected="0">
            <x v="1"/>
          </reference>
          <reference field="8" count="1" selected="0">
            <x v="47"/>
          </reference>
        </references>
      </pivotArea>
    </chartFormat>
    <chartFormat chart="14" format="1489">
      <pivotArea type="data" outline="0" fieldPosition="0">
        <references count="2">
          <reference field="4294967294" count="1" selected="0">
            <x v="1"/>
          </reference>
          <reference field="8" count="1" selected="0">
            <x v="63"/>
          </reference>
        </references>
      </pivotArea>
    </chartFormat>
    <chartFormat chart="14" format="1490">
      <pivotArea type="data" outline="0" fieldPosition="0">
        <references count="2">
          <reference field="4294967294" count="1" selected="0">
            <x v="1"/>
          </reference>
          <reference field="8" count="1" selected="0">
            <x v="112"/>
          </reference>
        </references>
      </pivotArea>
    </chartFormat>
    <chartFormat chart="14" format="1491">
      <pivotArea type="data" outline="0" fieldPosition="0">
        <references count="2">
          <reference field="4294967294" count="1" selected="0">
            <x v="1"/>
          </reference>
          <reference field="8" count="1" selected="0">
            <x v="31"/>
          </reference>
        </references>
      </pivotArea>
    </chartFormat>
    <chartFormat chart="14" format="1492">
      <pivotArea type="data" outline="0" fieldPosition="0">
        <references count="2">
          <reference field="4294967294" count="1" selected="0">
            <x v="1"/>
          </reference>
          <reference field="8" count="1" selected="0">
            <x v="73"/>
          </reference>
        </references>
      </pivotArea>
    </chartFormat>
    <chartFormat chart="14" format="1493">
      <pivotArea type="data" outline="0" fieldPosition="0">
        <references count="2">
          <reference field="4294967294" count="1" selected="0">
            <x v="1"/>
          </reference>
          <reference field="8" count="1" selected="0">
            <x v="83"/>
          </reference>
        </references>
      </pivotArea>
    </chartFormat>
    <chartFormat chart="14" format="1494">
      <pivotArea type="data" outline="0" fieldPosition="0">
        <references count="2">
          <reference field="4294967294" count="1" selected="0">
            <x v="1"/>
          </reference>
          <reference field="8" count="1" selected="0">
            <x v="79"/>
          </reference>
        </references>
      </pivotArea>
    </chartFormat>
    <chartFormat chart="14" format="149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"/>
          </reference>
        </references>
      </pivotArea>
    </chartFormat>
    <chartFormat chart="14" format="1496">
      <pivotArea type="data" outline="0" fieldPosition="0">
        <references count="2">
          <reference field="4294967294" count="1" selected="0">
            <x v="1"/>
          </reference>
          <reference field="8" count="1" selected="0">
            <x v="82"/>
          </reference>
        </references>
      </pivotArea>
    </chartFormat>
    <chartFormat chart="14" format="1497">
      <pivotArea type="data" outline="0" fieldPosition="0">
        <references count="2">
          <reference field="4294967294" count="1" selected="0">
            <x v="1"/>
          </reference>
          <reference field="8" count="1" selected="0">
            <x v="62"/>
          </reference>
        </references>
      </pivotArea>
    </chartFormat>
    <chartFormat chart="14" format="1498">
      <pivotArea type="data" outline="0" fieldPosition="0">
        <references count="2">
          <reference field="4294967294" count="1" selected="0">
            <x v="1"/>
          </reference>
          <reference field="8" count="1" selected="0">
            <x v="88"/>
          </reference>
        </references>
      </pivotArea>
    </chartFormat>
    <chartFormat chart="14" format="1499">
      <pivotArea type="data" outline="0" fieldPosition="0">
        <references count="2">
          <reference field="4294967294" count="1" selected="0">
            <x v="1"/>
          </reference>
          <reference field="8" count="1" selected="0">
            <x v="90"/>
          </reference>
        </references>
      </pivotArea>
    </chartFormat>
    <chartFormat chart="14" format="1500">
      <pivotArea type="data" outline="0" fieldPosition="0">
        <references count="2">
          <reference field="4294967294" count="1" selected="0">
            <x v="1"/>
          </reference>
          <reference field="8" count="1" selected="0">
            <x v="22"/>
          </reference>
        </references>
      </pivotArea>
    </chartFormat>
    <chartFormat chart="14" format="1501">
      <pivotArea type="data" outline="0" fieldPosition="0">
        <references count="2">
          <reference field="4294967294" count="1" selected="0">
            <x v="1"/>
          </reference>
          <reference field="8" count="1" selected="0">
            <x v="128"/>
          </reference>
        </references>
      </pivotArea>
    </chartFormat>
    <chartFormat chart="14" format="1502">
      <pivotArea type="data" outline="0" fieldPosition="0">
        <references count="2">
          <reference field="4294967294" count="1" selected="0">
            <x v="1"/>
          </reference>
          <reference field="8" count="1" selected="0">
            <x v="66"/>
          </reference>
        </references>
      </pivotArea>
    </chartFormat>
    <chartFormat chart="14" format="1503">
      <pivotArea type="data" outline="0" fieldPosition="0">
        <references count="2">
          <reference field="4294967294" count="1" selected="0">
            <x v="1"/>
          </reference>
          <reference field="8" count="1" selected="0">
            <x v="60"/>
          </reference>
        </references>
      </pivotArea>
    </chartFormat>
    <chartFormat chart="14" format="1504">
      <pivotArea type="data" outline="0" fieldPosition="0">
        <references count="2">
          <reference field="4294967294" count="1" selected="0">
            <x v="1"/>
          </reference>
          <reference field="8" count="1" selected="0">
            <x v="50"/>
          </reference>
        </references>
      </pivotArea>
    </chartFormat>
    <chartFormat chart="14" format="1505">
      <pivotArea type="data" outline="0" fieldPosition="0">
        <references count="2">
          <reference field="4294967294" count="1" selected="0">
            <x v="1"/>
          </reference>
          <reference field="8" count="1" selected="0">
            <x v="57"/>
          </reference>
        </references>
      </pivotArea>
    </chartFormat>
    <chartFormat chart="14" format="1506">
      <pivotArea type="data" outline="0" fieldPosition="0">
        <references count="2">
          <reference field="4294967294" count="1" selected="0">
            <x v="1"/>
          </reference>
          <reference field="8" count="1" selected="0">
            <x v="93"/>
          </reference>
        </references>
      </pivotArea>
    </chartFormat>
    <chartFormat chart="14" format="1507">
      <pivotArea type="data" outline="0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chartFormat>
    <chartFormat chart="14" format="1508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14" format="1509">
      <pivotArea type="data" outline="0" fieldPosition="0">
        <references count="2">
          <reference field="4294967294" count="1" selected="0">
            <x v="1"/>
          </reference>
          <reference field="8" count="1" selected="0">
            <x v="137"/>
          </reference>
        </references>
      </pivotArea>
    </chartFormat>
    <chartFormat chart="14" format="1510">
      <pivotArea type="data" outline="0" fieldPosition="0">
        <references count="2">
          <reference field="4294967294" count="1" selected="0">
            <x v="1"/>
          </reference>
          <reference field="8" count="1" selected="0">
            <x v="5"/>
          </reference>
        </references>
      </pivotArea>
    </chartFormat>
    <chartFormat chart="14" format="1511">
      <pivotArea type="data" outline="0" fieldPosition="0">
        <references count="2">
          <reference field="4294967294" count="1" selected="0">
            <x v="1"/>
          </reference>
          <reference field="8" count="1" selected="0">
            <x v="32"/>
          </reference>
        </references>
      </pivotArea>
    </chartFormat>
    <chartFormat chart="14" format="1512">
      <pivotArea type="data" outline="0" fieldPosition="0">
        <references count="2">
          <reference field="4294967294" count="1" selected="0">
            <x v="1"/>
          </reference>
          <reference field="8" count="1" selected="0">
            <x v="114"/>
          </reference>
        </references>
      </pivotArea>
    </chartFormat>
    <chartFormat chart="14" format="1513">
      <pivotArea type="data" outline="0" fieldPosition="0">
        <references count="2">
          <reference field="4294967294" count="1" selected="0">
            <x v="1"/>
          </reference>
          <reference field="8" count="1" selected="0">
            <x v="113"/>
          </reference>
        </references>
      </pivotArea>
    </chartFormat>
    <chartFormat chart="14" format="1514">
      <pivotArea type="data" outline="0" fieldPosition="0">
        <references count="2">
          <reference field="4294967294" count="1" selected="0">
            <x v="1"/>
          </reference>
          <reference field="8" count="1" selected="0">
            <x v="12"/>
          </reference>
        </references>
      </pivotArea>
    </chartFormat>
    <chartFormat chart="14" format="1515">
      <pivotArea type="data" outline="0" fieldPosition="0">
        <references count="2">
          <reference field="4294967294" count="1" selected="0">
            <x v="1"/>
          </reference>
          <reference field="8" count="1" selected="0">
            <x v="30"/>
          </reference>
        </references>
      </pivotArea>
    </chartFormat>
    <chartFormat chart="14" format="1516">
      <pivotArea type="data" outline="0" fieldPosition="0">
        <references count="2">
          <reference field="4294967294" count="1" selected="0">
            <x v="1"/>
          </reference>
          <reference field="8" count="1" selected="0">
            <x v="103"/>
          </reference>
        </references>
      </pivotArea>
    </chartFormat>
    <chartFormat chart="14" format="1517">
      <pivotArea type="data" outline="0" fieldPosition="0">
        <references count="2">
          <reference field="4294967294" count="1" selected="0">
            <x v="1"/>
          </reference>
          <reference field="8" count="1" selected="0">
            <x v="89"/>
          </reference>
        </references>
      </pivotArea>
    </chartFormat>
    <chartFormat chart="14" format="1518">
      <pivotArea type="data" outline="0" fieldPosition="0">
        <references count="2">
          <reference field="4294967294" count="1" selected="0">
            <x v="1"/>
          </reference>
          <reference field="8" count="1" selected="0">
            <x v="91"/>
          </reference>
        </references>
      </pivotArea>
    </chartFormat>
    <chartFormat chart="14" format="1519">
      <pivotArea type="data" outline="0" fieldPosition="0">
        <references count="2">
          <reference field="4294967294" count="1" selected="0">
            <x v="1"/>
          </reference>
          <reference field="8" count="1" selected="0">
            <x v="44"/>
          </reference>
        </references>
      </pivotArea>
    </chartFormat>
    <chartFormat chart="14" format="1520">
      <pivotArea type="data" outline="0" fieldPosition="0">
        <references count="2">
          <reference field="4294967294" count="1" selected="0">
            <x v="1"/>
          </reference>
          <reference field="8" count="1" selected="0">
            <x v="157"/>
          </reference>
        </references>
      </pivotArea>
    </chartFormat>
    <chartFormat chart="14" format="1521">
      <pivotArea type="data" outline="0" fieldPosition="0">
        <references count="2">
          <reference field="4294967294" count="1" selected="0">
            <x v="1"/>
          </reference>
          <reference field="8" count="1" selected="0">
            <x v="100"/>
          </reference>
        </references>
      </pivotArea>
    </chartFormat>
    <chartFormat chart="14" format="1522">
      <pivotArea type="data" outline="0" fieldPosition="0">
        <references count="2">
          <reference field="4294967294" count="1" selected="0">
            <x v="1"/>
          </reference>
          <reference field="8" count="1" selected="0">
            <x v="38"/>
          </reference>
        </references>
      </pivotArea>
    </chartFormat>
    <chartFormat chart="14" format="1523">
      <pivotArea type="data" outline="0" fieldPosition="0">
        <references count="2">
          <reference field="4294967294" count="1" selected="0">
            <x v="1"/>
          </reference>
          <reference field="8" count="1" selected="0">
            <x v="77"/>
          </reference>
        </references>
      </pivotArea>
    </chartFormat>
    <chartFormat chart="14" format="1524">
      <pivotArea type="data" outline="0" fieldPosition="0">
        <references count="2">
          <reference field="4294967294" count="1" selected="0">
            <x v="1"/>
          </reference>
          <reference field="8" count="1" selected="0">
            <x v="59"/>
          </reference>
        </references>
      </pivotArea>
    </chartFormat>
    <chartFormat chart="14" format="1525">
      <pivotArea type="data" outline="0" fieldPosition="0">
        <references count="2">
          <reference field="4294967294" count="1" selected="0">
            <x v="1"/>
          </reference>
          <reference field="8" count="1" selected="0">
            <x v="58"/>
          </reference>
        </references>
      </pivotArea>
    </chartFormat>
    <chartFormat chart="14" format="1526">
      <pivotArea type="data" outline="0" fieldPosition="0">
        <references count="2">
          <reference field="4294967294" count="1" selected="0">
            <x v="1"/>
          </reference>
          <reference field="8" count="1" selected="0">
            <x v="141"/>
          </reference>
        </references>
      </pivotArea>
    </chartFormat>
    <chartFormat chart="14" format="1527">
      <pivotArea type="data" outline="0" fieldPosition="0">
        <references count="2">
          <reference field="4294967294" count="1" selected="0">
            <x v="1"/>
          </reference>
          <reference field="8" count="1" selected="0">
            <x v="136"/>
          </reference>
        </references>
      </pivotArea>
    </chartFormat>
    <chartFormat chart="14" format="1528">
      <pivotArea type="data" outline="0" fieldPosition="0">
        <references count="2">
          <reference field="4294967294" count="1" selected="0">
            <x v="1"/>
          </reference>
          <reference field="8" count="1" selected="0">
            <x v="99"/>
          </reference>
        </references>
      </pivotArea>
    </chartFormat>
    <chartFormat chart="14" format="1529">
      <pivotArea type="data" outline="0" fieldPosition="0">
        <references count="2">
          <reference field="4294967294" count="1" selected="0">
            <x v="1"/>
          </reference>
          <reference field="8" count="1" selected="0">
            <x v="76"/>
          </reference>
        </references>
      </pivotArea>
    </chartFormat>
    <chartFormat chart="14" format="1530">
      <pivotArea type="data" outline="0" fieldPosition="0">
        <references count="2">
          <reference field="4294967294" count="1" selected="0">
            <x v="1"/>
          </reference>
          <reference field="8" count="1" selected="0">
            <x v="65"/>
          </reference>
        </references>
      </pivotArea>
    </chartFormat>
    <chartFormat chart="14" format="1531">
      <pivotArea type="data" outline="0" fieldPosition="0">
        <references count="2">
          <reference field="4294967294" count="1" selected="0">
            <x v="1"/>
          </reference>
          <reference field="8" count="1" selected="0">
            <x v="134"/>
          </reference>
        </references>
      </pivotArea>
    </chartFormat>
    <chartFormat chart="14" format="1532">
      <pivotArea type="data" outline="0" fieldPosition="0">
        <references count="2">
          <reference field="4294967294" count="1" selected="0">
            <x v="1"/>
          </reference>
          <reference field="8" count="1" selected="0">
            <x v="118"/>
          </reference>
        </references>
      </pivotArea>
    </chartFormat>
    <chartFormat chart="14" format="1533">
      <pivotArea type="data" outline="0" fieldPosition="0">
        <references count="2">
          <reference field="4294967294" count="1" selected="0">
            <x v="1"/>
          </reference>
          <reference field="8" count="1" selected="0">
            <x v="155"/>
          </reference>
        </references>
      </pivotArea>
    </chartFormat>
    <chartFormat chart="14" format="1534">
      <pivotArea type="data" outline="0" fieldPosition="0">
        <references count="2">
          <reference field="4294967294" count="1" selected="0">
            <x v="1"/>
          </reference>
          <reference field="8" count="1" selected="0">
            <x v="146"/>
          </reference>
        </references>
      </pivotArea>
    </chartFormat>
    <chartFormat chart="14" format="1535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14" format="1536">
      <pivotArea type="data" outline="0" fieldPosition="0">
        <references count="2">
          <reference field="4294967294" count="1" selected="0">
            <x v="1"/>
          </reference>
          <reference field="8" count="1" selected="0">
            <x v="43"/>
          </reference>
        </references>
      </pivotArea>
    </chartFormat>
    <chartFormat chart="14" format="1537">
      <pivotArea type="data" outline="0" fieldPosition="0">
        <references count="2">
          <reference field="4294967294" count="1" selected="0">
            <x v="1"/>
          </reference>
          <reference field="8" count="1" selected="0">
            <x v="55"/>
          </reference>
        </references>
      </pivotArea>
    </chartFormat>
    <chartFormat chart="14" format="1538">
      <pivotArea type="data" outline="0" fieldPosition="0">
        <references count="2">
          <reference field="4294967294" count="1" selected="0">
            <x v="1"/>
          </reference>
          <reference field="8" count="1" selected="0">
            <x v="109"/>
          </reference>
        </references>
      </pivotArea>
    </chartFormat>
    <chartFormat chart="14" format="1539">
      <pivotArea type="data" outline="0" fieldPosition="0">
        <references count="2">
          <reference field="4294967294" count="1" selected="0">
            <x v="1"/>
          </reference>
          <reference field="8" count="1" selected="0">
            <x v="48"/>
          </reference>
        </references>
      </pivotArea>
    </chartFormat>
    <chartFormat chart="14" format="1540">
      <pivotArea type="data" outline="0" fieldPosition="0">
        <references count="2">
          <reference field="4294967294" count="1" selected="0">
            <x v="1"/>
          </reference>
          <reference field="8" count="1" selected="0">
            <x v="94"/>
          </reference>
        </references>
      </pivotArea>
    </chartFormat>
    <chartFormat chart="14" format="1541">
      <pivotArea type="data" outline="0" fieldPosition="0">
        <references count="2">
          <reference field="4294967294" count="1" selected="0">
            <x v="1"/>
          </reference>
          <reference field="8" count="1" selected="0">
            <x v="23"/>
          </reference>
        </references>
      </pivotArea>
    </chartFormat>
    <chartFormat chart="14" format="1542">
      <pivotArea type="data" outline="0" fieldPosition="0">
        <references count="2">
          <reference field="4294967294" count="1" selected="0">
            <x v="1"/>
          </reference>
          <reference field="8" count="1" selected="0">
            <x v="98"/>
          </reference>
        </references>
      </pivotArea>
    </chartFormat>
    <chartFormat chart="14" format="1543">
      <pivotArea type="data" outline="0" fieldPosition="0">
        <references count="2">
          <reference field="4294967294" count="1" selected="0">
            <x v="1"/>
          </reference>
          <reference field="8" count="1" selected="0">
            <x v="33"/>
          </reference>
        </references>
      </pivotArea>
    </chartFormat>
    <chartFormat chart="14" format="1544">
      <pivotArea type="data" outline="0" fieldPosition="0">
        <references count="2">
          <reference field="4294967294" count="1" selected="0">
            <x v="1"/>
          </reference>
          <reference field="8" count="1" selected="0">
            <x v="156"/>
          </reference>
        </references>
      </pivotArea>
    </chartFormat>
    <chartFormat chart="14" format="1545">
      <pivotArea type="data" outline="0" fieldPosition="0">
        <references count="2">
          <reference field="4294967294" count="1" selected="0">
            <x v="1"/>
          </reference>
          <reference field="8" count="1" selected="0">
            <x v="84"/>
          </reference>
        </references>
      </pivotArea>
    </chartFormat>
    <chartFormat chart="14" format="1546">
      <pivotArea type="data" outline="0" fieldPosition="0">
        <references count="2">
          <reference field="4294967294" count="1" selected="0">
            <x v="1"/>
          </reference>
          <reference field="8" count="1" selected="0">
            <x v="67"/>
          </reference>
        </references>
      </pivotArea>
    </chartFormat>
    <chartFormat chart="14" format="1547">
      <pivotArea type="data" outline="0" fieldPosition="0">
        <references count="2">
          <reference field="4294967294" count="1" selected="0">
            <x v="1"/>
          </reference>
          <reference field="8" count="1" selected="0">
            <x v="80"/>
          </reference>
        </references>
      </pivotArea>
    </chartFormat>
    <chartFormat chart="14" format="1548">
      <pivotArea type="data" outline="0" fieldPosition="0">
        <references count="2">
          <reference field="4294967294" count="1" selected="0">
            <x v="1"/>
          </reference>
          <reference field="8" count="1" selected="0">
            <x v="149"/>
          </reference>
        </references>
      </pivotArea>
    </chartFormat>
    <chartFormat chart="14" format="1549">
      <pivotArea type="data" outline="0" fieldPosition="0">
        <references count="2">
          <reference field="4294967294" count="1" selected="0">
            <x v="1"/>
          </reference>
          <reference field="8" count="1" selected="0">
            <x v="124"/>
          </reference>
        </references>
      </pivotArea>
    </chartFormat>
    <chartFormat chart="14" format="1550">
      <pivotArea type="data" outline="0" fieldPosition="0">
        <references count="2">
          <reference field="4294967294" count="1" selected="0">
            <x v="1"/>
          </reference>
          <reference field="8" count="1" selected="0">
            <x v="107"/>
          </reference>
        </references>
      </pivotArea>
    </chartFormat>
    <chartFormat chart="14" format="1551">
      <pivotArea type="data" outline="0" fieldPosition="0">
        <references count="2">
          <reference field="4294967294" count="1" selected="0">
            <x v="1"/>
          </reference>
          <reference field="8" count="1" selected="0">
            <x v="106"/>
          </reference>
        </references>
      </pivotArea>
    </chartFormat>
    <chartFormat chart="14" format="1552">
      <pivotArea type="data" outline="0" fieldPosition="0">
        <references count="2">
          <reference field="4294967294" count="1" selected="0">
            <x v="1"/>
          </reference>
          <reference field="8" count="1" selected="0">
            <x v="96"/>
          </reference>
        </references>
      </pivotArea>
    </chartFormat>
    <chartFormat chart="14" format="1553">
      <pivotArea type="data" outline="0" fieldPosition="0">
        <references count="2">
          <reference field="4294967294" count="1" selected="0">
            <x v="1"/>
          </reference>
          <reference field="8" count="1" selected="0">
            <x v="125"/>
          </reference>
        </references>
      </pivotArea>
    </chartFormat>
    <chartFormat chart="14" format="1554">
      <pivotArea type="data" outline="0" fieldPosition="0">
        <references count="2">
          <reference field="4294967294" count="1" selected="0">
            <x v="1"/>
          </reference>
          <reference field="8" count="1" selected="0">
            <x v="105"/>
          </reference>
        </references>
      </pivotArea>
    </chartFormat>
    <chartFormat chart="14" format="1555">
      <pivotArea type="data" outline="0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chartFormat>
    <chartFormat chart="14" format="1556">
      <pivotArea type="data" outline="0" fieldPosition="0">
        <references count="2">
          <reference field="4294967294" count="1" selected="0">
            <x v="1"/>
          </reference>
          <reference field="8" count="1" selected="0">
            <x v="70"/>
          </reference>
        </references>
      </pivotArea>
    </chartFormat>
    <chartFormat chart="14" format="1557">
      <pivotArea type="data" outline="0" fieldPosition="0">
        <references count="2">
          <reference field="4294967294" count="1" selected="0">
            <x v="1"/>
          </reference>
          <reference field="8" count="1" selected="0">
            <x v="110"/>
          </reference>
        </references>
      </pivotArea>
    </chartFormat>
    <chartFormat chart="14" format="1558">
      <pivotArea type="data" outline="0" fieldPosition="0">
        <references count="2">
          <reference field="4294967294" count="1" selected="0">
            <x v="1"/>
          </reference>
          <reference field="8" count="1" selected="0">
            <x v="85"/>
          </reference>
        </references>
      </pivotArea>
    </chartFormat>
    <chartFormat chart="14" format="1559">
      <pivotArea type="data" outline="0" fieldPosition="0">
        <references count="2">
          <reference field="4294967294" count="1" selected="0">
            <x v="1"/>
          </reference>
          <reference field="8" count="1" selected="0">
            <x v="74"/>
          </reference>
        </references>
      </pivotArea>
    </chartFormat>
    <chartFormat chart="14" format="1560">
      <pivotArea type="data" outline="0" fieldPosition="0">
        <references count="2">
          <reference field="4294967294" count="1" selected="0">
            <x v="1"/>
          </reference>
          <reference field="8" count="1" selected="0">
            <x v="123"/>
          </reference>
        </references>
      </pivotArea>
    </chartFormat>
    <chartFormat chart="14" format="1561">
      <pivotArea type="data" outline="0" fieldPosition="0">
        <references count="2">
          <reference field="4294967294" count="1" selected="0">
            <x v="1"/>
          </reference>
          <reference field="8" count="1" selected="0">
            <x v="117"/>
          </reference>
        </references>
      </pivotArea>
    </chartFormat>
    <chartFormat chart="14" format="1562">
      <pivotArea type="data" outline="0" fieldPosition="0">
        <references count="2">
          <reference field="4294967294" count="1" selected="0">
            <x v="1"/>
          </reference>
          <reference field="8" count="1" selected="0">
            <x v="41"/>
          </reference>
        </references>
      </pivotArea>
    </chartFormat>
    <chartFormat chart="14" format="1563">
      <pivotArea type="data" outline="0" fieldPosition="0">
        <references count="2">
          <reference field="4294967294" count="1" selected="0">
            <x v="1"/>
          </reference>
          <reference field="8" count="1" selected="0">
            <x v="111"/>
          </reference>
        </references>
      </pivotArea>
    </chartFormat>
    <chartFormat chart="14" format="1564">
      <pivotArea type="data" outline="0" fieldPosition="0">
        <references count="2">
          <reference field="4294967294" count="1" selected="0">
            <x v="1"/>
          </reference>
          <reference field="8" count="1" selected="0">
            <x v="116"/>
          </reference>
        </references>
      </pivotArea>
    </chartFormat>
    <chartFormat chart="14" format="156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1"/>
          </reference>
        </references>
      </pivotArea>
    </chartFormat>
    <chartFormat chart="14" format="1566">
      <pivotArea type="data" outline="0" fieldPosition="0">
        <references count="2">
          <reference field="4294967294" count="1" selected="0">
            <x v="1"/>
          </reference>
          <reference field="8" count="1" selected="0">
            <x v="115"/>
          </reference>
        </references>
      </pivotArea>
    </chartFormat>
    <chartFormat chart="14" format="1567">
      <pivotArea type="data" outline="0" fieldPosition="0">
        <references count="2">
          <reference field="4294967294" count="1" selected="0">
            <x v="1"/>
          </reference>
          <reference field="8" count="1" selected="0">
            <x v="42"/>
          </reference>
        </references>
      </pivotArea>
    </chartFormat>
    <chartFormat chart="14" format="1568">
      <pivotArea type="data" outline="0" fieldPosition="0">
        <references count="2">
          <reference field="4294967294" count="1" selected="0">
            <x v="1"/>
          </reference>
          <reference field="8" count="1" selected="0">
            <x v="104"/>
          </reference>
        </references>
      </pivotArea>
    </chartFormat>
    <chartFormat chart="14" format="1569">
      <pivotArea type="data" outline="0" fieldPosition="0">
        <references count="2">
          <reference field="4294967294" count="1" selected="0">
            <x v="1"/>
          </reference>
          <reference field="8" count="1" selected="0">
            <x v="147"/>
          </reference>
        </references>
      </pivotArea>
    </chartFormat>
    <chartFormat chart="14" format="1570">
      <pivotArea type="data" outline="0" fieldPosition="0">
        <references count="2">
          <reference field="4294967294" count="1" selected="0">
            <x v="1"/>
          </reference>
          <reference field="8" count="1" selected="0">
            <x v="56"/>
          </reference>
        </references>
      </pivotArea>
    </chartFormat>
    <chartFormat chart="14" format="1571">
      <pivotArea type="data" outline="0" fieldPosition="0">
        <references count="2">
          <reference field="4294967294" count="1" selected="0">
            <x v="1"/>
          </reference>
          <reference field="8" count="1" selected="0">
            <x v="126"/>
          </reference>
        </references>
      </pivotArea>
    </chartFormat>
    <chartFormat chart="14" format="1572">
      <pivotArea type="data" outline="0" fieldPosition="0">
        <references count="2">
          <reference field="4294967294" count="1" selected="0">
            <x v="1"/>
          </reference>
          <reference field="8" count="1" selected="0">
            <x v="119"/>
          </reference>
        </references>
      </pivotArea>
    </chartFormat>
    <chartFormat chart="14" format="1573">
      <pivotArea type="data" outline="0" fieldPosition="0">
        <references count="2">
          <reference field="4294967294" count="1" selected="0">
            <x v="1"/>
          </reference>
          <reference field="8" count="1" selected="0">
            <x v="92"/>
          </reference>
        </references>
      </pivotArea>
    </chartFormat>
    <chartFormat chart="14" format="1574">
      <pivotArea type="data" outline="0" fieldPosition="0">
        <references count="2">
          <reference field="4294967294" count="1" selected="0">
            <x v="1"/>
          </reference>
          <reference field="8" count="1" selected="0">
            <x v="122"/>
          </reference>
        </references>
      </pivotArea>
    </chartFormat>
    <chartFormat chart="14" format="1575">
      <pivotArea type="data" outline="0" fieldPosition="0">
        <references count="2">
          <reference field="4294967294" count="1" selected="0">
            <x v="1"/>
          </reference>
          <reference field="8" count="1" selected="0">
            <x v="39"/>
          </reference>
        </references>
      </pivotArea>
    </chartFormat>
    <chartFormat chart="14" format="1576">
      <pivotArea type="data" outline="0" fieldPosition="0">
        <references count="2">
          <reference field="4294967294" count="1" selected="0">
            <x v="1"/>
          </reference>
          <reference field="8" count="1" selected="0">
            <x v="72"/>
          </reference>
        </references>
      </pivotArea>
    </chartFormat>
    <chartFormat chart="14" format="1577">
      <pivotArea type="data" outline="0" fieldPosition="0">
        <references count="2">
          <reference field="4294967294" count="1" selected="0">
            <x v="1"/>
          </reference>
          <reference field="8" count="1" selected="0">
            <x v="129"/>
          </reference>
        </references>
      </pivotArea>
    </chartFormat>
    <chartFormat chart="14" format="1578">
      <pivotArea type="data" outline="0" fieldPosition="0">
        <references count="2">
          <reference field="4294967294" count="1" selected="0">
            <x v="1"/>
          </reference>
          <reference field="8" count="1" selected="0">
            <x v="75"/>
          </reference>
        </references>
      </pivotArea>
    </chartFormat>
    <chartFormat chart="14" format="1579">
      <pivotArea type="data" outline="0" fieldPosition="0">
        <references count="2">
          <reference field="4294967294" count="1" selected="0">
            <x v="1"/>
          </reference>
          <reference field="8" count="1" selected="0">
            <x v="127"/>
          </reference>
        </references>
      </pivotArea>
    </chartFormat>
    <chartFormat chart="14" format="1580">
      <pivotArea type="data" outline="0" fieldPosition="0">
        <references count="2">
          <reference field="4294967294" count="1" selected="0">
            <x v="1"/>
          </reference>
          <reference field="8" count="1" selected="0">
            <x v="151"/>
          </reference>
        </references>
      </pivotArea>
    </chartFormat>
    <chartFormat chart="14" format="1581">
      <pivotArea type="data" outline="0" fieldPosition="0">
        <references count="2">
          <reference field="4294967294" count="1" selected="0">
            <x v="1"/>
          </reference>
          <reference field="8" count="1" selected="0">
            <x v="132"/>
          </reference>
        </references>
      </pivotArea>
    </chartFormat>
    <chartFormat chart="14" format="1582">
      <pivotArea type="data" outline="0" fieldPosition="0">
        <references count="2">
          <reference field="4294967294" count="1" selected="0">
            <x v="1"/>
          </reference>
          <reference field="8" count="1" selected="0">
            <x v="158"/>
          </reference>
        </references>
      </pivotArea>
    </chartFormat>
    <chartFormat chart="14" format="1583">
      <pivotArea type="data" outline="0" fieldPosition="0">
        <references count="2">
          <reference field="4294967294" count="1" selected="0">
            <x v="1"/>
          </reference>
          <reference field="8" count="1" selected="0">
            <x v="35"/>
          </reference>
        </references>
      </pivotArea>
    </chartFormat>
    <chartFormat chart="14" format="1584">
      <pivotArea type="data" outline="0" fieldPosition="0">
        <references count="2">
          <reference field="4294967294" count="1" selected="0">
            <x v="1"/>
          </reference>
          <reference field="8" count="1" selected="0">
            <x v="130"/>
          </reference>
        </references>
      </pivotArea>
    </chartFormat>
    <chartFormat chart="14" format="158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2"/>
          </reference>
        </references>
      </pivotArea>
    </chartFormat>
    <chartFormat chart="14" format="1586">
      <pivotArea type="data" outline="0" fieldPosition="0">
        <references count="2">
          <reference field="4294967294" count="1" selected="0">
            <x v="1"/>
          </reference>
          <reference field="8" count="1" selected="0">
            <x v="26"/>
          </reference>
        </references>
      </pivotArea>
    </chartFormat>
    <chartFormat chart="14" format="1587">
      <pivotArea type="data" outline="0" fieldPosition="0">
        <references count="2">
          <reference field="4294967294" count="1" selected="0">
            <x v="1"/>
          </reference>
          <reference field="8" count="1" selected="0">
            <x v="120"/>
          </reference>
        </references>
      </pivotArea>
    </chartFormat>
    <chartFormat chart="14" format="1588">
      <pivotArea type="data" outline="0" fieldPosition="0">
        <references count="2">
          <reference field="4294967294" count="1" selected="0">
            <x v="1"/>
          </reference>
          <reference field="8" count="1" selected="0">
            <x v="87"/>
          </reference>
        </references>
      </pivotArea>
    </chartFormat>
    <chartFormat chart="14" format="1589">
      <pivotArea type="data" outline="0" fieldPosition="0">
        <references count="2">
          <reference field="4294967294" count="1" selected="0">
            <x v="1"/>
          </reference>
          <reference field="8" count="1" selected="0">
            <x v="36"/>
          </reference>
        </references>
      </pivotArea>
    </chartFormat>
    <chartFormat chart="14" format="1590">
      <pivotArea type="data" outline="0" fieldPosition="0">
        <references count="2">
          <reference field="4294967294" count="1" selected="0">
            <x v="1"/>
          </reference>
          <reference field="8" count="1" selected="0">
            <x v="95"/>
          </reference>
        </references>
      </pivotArea>
    </chartFormat>
    <chartFormat chart="14" format="1591">
      <pivotArea type="data" outline="0" fieldPosition="0">
        <references count="2">
          <reference field="4294967294" count="1" selected="0">
            <x v="1"/>
          </reference>
          <reference field="8" count="1" selected="0">
            <x v="152"/>
          </reference>
        </references>
      </pivotArea>
    </chartFormat>
    <chartFormat chart="14" format="1592">
      <pivotArea type="data" outline="0" fieldPosition="0">
        <references count="2">
          <reference field="4294967294" count="1" selected="0">
            <x v="1"/>
          </reference>
          <reference field="8" count="1" selected="0">
            <x v="97"/>
          </reference>
        </references>
      </pivotArea>
    </chartFormat>
    <chartFormat chart="14" format="1593">
      <pivotArea type="data" outline="0" fieldPosition="0">
        <references count="2">
          <reference field="4294967294" count="1" selected="0">
            <x v="1"/>
          </reference>
          <reference field="8" count="1" selected="0">
            <x v="71"/>
          </reference>
        </references>
      </pivotArea>
    </chartFormat>
    <chartFormat chart="14" format="1594">
      <pivotArea type="data" outline="0" fieldPosition="0">
        <references count="2">
          <reference field="4294967294" count="1" selected="0">
            <x v="1"/>
          </reference>
          <reference field="8" count="1" selected="0">
            <x v="121"/>
          </reference>
        </references>
      </pivotArea>
    </chartFormat>
    <chartFormat chart="14" format="1595">
      <pivotArea type="data" outline="0" fieldPosition="0">
        <references count="2">
          <reference field="4294967294" count="1" selected="0">
            <x v="1"/>
          </reference>
          <reference field="8" count="1" selected="0">
            <x v="108"/>
          </reference>
        </references>
      </pivotArea>
    </chartFormat>
    <chartFormat chart="14" format="1596">
      <pivotArea type="data" outline="0" fieldPosition="0">
        <references count="2">
          <reference field="4294967294" count="1" selected="0">
            <x v="1"/>
          </reference>
          <reference field="8" count="1" selected="0">
            <x v="133"/>
          </reference>
        </references>
      </pivotArea>
    </chartFormat>
    <chartFormat chart="14" format="1597">
      <pivotArea type="data" outline="0" fieldPosition="0">
        <references count="2">
          <reference field="4294967294" count="1" selected="0">
            <x v="1"/>
          </reference>
          <reference field="8" count="1" selected="0">
            <x v="135"/>
          </reference>
        </references>
      </pivotArea>
    </chartFormat>
    <chartFormat chart="14" format="1598">
      <pivotArea type="data" outline="0" fieldPosition="0">
        <references count="2">
          <reference field="4294967294" count="1" selected="0">
            <x v="1"/>
          </reference>
          <reference field="8" count="1" selected="0">
            <x v="131"/>
          </reference>
        </references>
      </pivotArea>
    </chartFormat>
    <chartFormat chart="14" format="1599">
      <pivotArea type="data" outline="0" fieldPosition="0">
        <references count="2">
          <reference field="4294967294" count="1" selected="0">
            <x v="1"/>
          </reference>
          <reference field="8" count="1" selected="0">
            <x v="69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IVISION_DESCRIPTION" xr10:uid="{20299B18-2B28-4926-B75F-F2299537BBF5}" sourceName="DIVISION DESCRIPTION">
  <pivotTables>
    <pivotTable tabId="2" name="PivotTable1"/>
    <pivotTable tabId="3" name="PivotTable1"/>
  </pivotTables>
  <data>
    <tabular pivotCacheId="1057561757">
      <items count="159">
        <i x="9" s="1"/>
        <i x="55" s="1"/>
        <i x="27" s="1"/>
        <i x="54" s="1"/>
        <i x="68" s="1"/>
        <i x="19" s="1"/>
        <i x="3" s="1"/>
        <i x="40" s="1"/>
        <i x="41" s="1"/>
        <i x="39" s="1"/>
        <i x="69" s="1"/>
        <i x="18" s="1"/>
        <i x="17" s="1"/>
        <i x="20" s="1"/>
        <i x="59" s="1"/>
        <i x="73" s="1"/>
        <i x="72" s="1"/>
        <i x="57" s="1"/>
        <i x="56" s="1"/>
        <i x="58" s="1"/>
        <i x="74" s="1"/>
        <i x="70" s="1"/>
        <i x="52" s="1"/>
        <i x="30" s="1"/>
        <i x="44" s="1"/>
        <i x="79" s="1"/>
        <i x="35" s="1"/>
        <i x="36" s="1"/>
        <i x="77" s="1"/>
        <i x="80" s="1"/>
        <i x="8" s="1"/>
        <i x="4" s="1"/>
        <i x="12" s="1"/>
        <i x="67" s="1"/>
        <i x="45" s="1"/>
        <i x="126" s="1"/>
        <i x="128" s="1"/>
        <i x="22" s="1"/>
        <i x="46" s="1"/>
        <i x="5" s="1"/>
        <i x="82" s="1"/>
        <i x="84" s="1"/>
        <i x="83" s="1"/>
        <i x="24" s="1"/>
        <i x="13" s="1"/>
        <i x="47" s="1"/>
        <i x="48" s="1"/>
        <i x="78" s="1"/>
        <i x="49" s="1"/>
        <i x="32" s="1"/>
        <i x="6" s="1"/>
        <i x="15" s="1"/>
        <i x="14" s="1"/>
        <i x="34" s="1"/>
        <i x="16" s="1"/>
        <i x="81" s="1"/>
        <i x="136" s="1"/>
        <i x="135" s="1"/>
        <i x="103" s="1"/>
        <i x="26" s="1"/>
        <i x="61" s="1"/>
        <i x="65" s="1"/>
        <i x="75" s="1"/>
        <i x="76" s="1"/>
        <i x="66" s="1"/>
        <i x="64" s="1"/>
        <i x="63" s="1"/>
        <i x="62" s="1"/>
        <i x="133" s="1"/>
        <i x="123" s="1"/>
        <i x="132" s="1"/>
        <i x="134" s="1"/>
        <i x="140" s="1"/>
        <i x="21" s="1"/>
        <i x="137" s="1"/>
        <i x="138" s="1"/>
        <i x="25" s="1"/>
        <i x="23" s="1"/>
        <i x="10" s="1"/>
        <i x="85" s="1"/>
        <i x="50" s="1"/>
        <i x="28" s="1"/>
        <i x="124" s="1"/>
        <i x="127" s="1"/>
        <i x="130" s="1"/>
        <i x="115" s="1"/>
        <i x="129" s="1"/>
        <i x="106" s="1"/>
        <i x="88" s="1"/>
        <i x="87" s="1"/>
        <i x="107" s="1"/>
        <i x="111" s="1"/>
        <i x="109" s="1"/>
        <i x="113" s="1"/>
        <i x="108" s="1"/>
        <i x="114" s="1"/>
        <i x="112" s="1"/>
        <i x="121" s="1"/>
        <i x="110" s="1"/>
        <i x="104" s="1"/>
        <i x="118" s="1"/>
        <i x="117" s="1"/>
        <i x="122" s="1"/>
        <i x="90" s="1"/>
        <i x="98" s="1"/>
        <i x="102" s="1"/>
        <i x="101" s="1"/>
        <i x="96" s="1"/>
        <i x="99" s="1"/>
        <i x="100" s="1"/>
        <i x="92" s="1"/>
        <i x="91" s="1"/>
        <i x="95" s="1"/>
        <i x="94" s="1"/>
        <i x="93" s="1"/>
        <i x="97" s="1"/>
        <i x="89" s="1"/>
        <i x="131" s="1"/>
        <i x="86" s="1"/>
        <i x="119" s="1"/>
        <i x="116" s="1"/>
        <i x="120" s="1"/>
        <i x="125" s="1"/>
        <i x="152" s="1"/>
        <i x="149" s="1"/>
        <i x="145" s="1"/>
        <i x="148" s="1"/>
        <i x="150" s="1"/>
        <i x="146" s="1"/>
        <i x="147" s="1"/>
        <i x="155" s="1"/>
        <i x="156" s="1"/>
        <i x="144" s="1"/>
        <i x="143" s="1"/>
        <i x="151" s="1"/>
        <i x="53" s="1"/>
        <i x="31" s="1"/>
        <i x="2" s="1"/>
        <i x="7" s="1"/>
        <i x="42" s="1"/>
        <i x="43" s="1"/>
        <i x="51" s="1"/>
        <i x="1" s="1"/>
        <i x="33" s="1"/>
        <i x="37" s="1"/>
        <i x="0" s="1"/>
        <i x="153" s="1"/>
        <i x="154" s="1"/>
        <i x="38" s="1"/>
        <i x="60" s="1"/>
        <i x="71" s="1"/>
        <i x="142" s="1"/>
        <i x="141" s="1"/>
        <i x="11" s="1"/>
        <i x="157" s="1"/>
        <i x="29" s="1"/>
        <i x="158" s="1"/>
        <i x="105" s="1"/>
        <i x="139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VISION DESCRIPTION 1" xr10:uid="{ADC9F88F-2010-4E4C-B983-EBC089D843A1}" cache="Slicer_DIVISION_DESCRIPTION" caption="DIVISION DESCRIPTION" startItem="105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B1E29F-BBD6-4A00-9360-C0959CF7CC5C}" name="Table1" displayName="Table1" ref="A8:E18" totalsRowShown="0" headerRowDxfId="8" headerRowBorderDxfId="6" tableBorderDxfId="7" totalsRowBorderDxfId="5">
  <autoFilter ref="A8:E18" xr:uid="{A6B1E29F-BBD6-4A00-9360-C0959CF7CC5C}"/>
  <tableColumns count="5">
    <tableColumn id="1" xr3:uid="{1DF3451B-D4C4-4D73-BAA8-24A6E11C596F}" name="Division" dataDxfId="4"/>
    <tableColumn id="2" xr3:uid="{3E6945D3-016F-4AD6-9858-311C01EFC406}" name="Total Budget" dataDxfId="3"/>
    <tableColumn id="3" xr3:uid="{52417DFF-5C5C-4ECC-89E4-E3584F2E6595}" name="Headcount" dataDxfId="2"/>
    <tableColumn id="4" xr3:uid="{4FF4567F-1E68-4E62-BF28-68A95179B337}" name="Cost Per Position" dataDxfId="1">
      <calculatedColumnFormula>B9/C9</calculatedColumnFormula>
    </tableColumn>
    <tableColumn id="5" xr3:uid="{93CD1067-A646-41BB-8531-E932F4E9DD40}" name="% Of Budget" dataDxfId="0">
      <calculatedColumnFormula>B9/SUM('Raw Data'!V:V)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91A0D-CF7C-49DB-A834-85C397A33F7C}">
  <dimension ref="A3:D46"/>
  <sheetViews>
    <sheetView tabSelected="1" workbookViewId="0">
      <pane ySplit="3" topLeftCell="A4" activePane="bottomLeft" state="frozen"/>
      <selection pane="bottomLeft" activeCell="B3" sqref="B3"/>
    </sheetView>
  </sheetViews>
  <sheetFormatPr defaultRowHeight="15"/>
  <cols>
    <col min="1" max="1" width="49.5703125" bestFit="1" customWidth="1"/>
    <col min="2" max="2" width="32.5703125" bestFit="1" customWidth="1"/>
    <col min="3" max="3" width="28.5703125" bestFit="1" customWidth="1"/>
    <col min="4" max="8" width="78.140625" bestFit="1" customWidth="1"/>
    <col min="9" max="9" width="27.140625" bestFit="1" customWidth="1"/>
  </cols>
  <sheetData>
    <row r="3" spans="1:2">
      <c r="A3" s="2" t="s">
        <v>0</v>
      </c>
      <c r="B3" t="s">
        <v>1</v>
      </c>
    </row>
    <row r="4" spans="1:2">
      <c r="A4" t="s">
        <v>2</v>
      </c>
      <c r="B4" s="4">
        <v>1224603400</v>
      </c>
    </row>
    <row r="5" spans="1:2">
      <c r="A5" t="s">
        <v>3</v>
      </c>
      <c r="B5" s="4">
        <v>556547794</v>
      </c>
    </row>
    <row r="6" spans="1:2">
      <c r="A6" t="s">
        <v>4</v>
      </c>
      <c r="B6" s="4">
        <v>197854959</v>
      </c>
    </row>
    <row r="7" spans="1:2">
      <c r="A7" t="s">
        <v>5</v>
      </c>
      <c r="B7" s="4">
        <v>169911417</v>
      </c>
    </row>
    <row r="8" spans="1:2">
      <c r="A8" t="s">
        <v>6</v>
      </c>
      <c r="B8" s="4">
        <v>143287614</v>
      </c>
    </row>
    <row r="9" spans="1:2">
      <c r="A9" t="s">
        <v>7</v>
      </c>
      <c r="B9" s="4">
        <v>127338664</v>
      </c>
    </row>
    <row r="10" spans="1:2">
      <c r="A10" t="s">
        <v>8</v>
      </c>
      <c r="B10" s="4">
        <v>94835261</v>
      </c>
    </row>
    <row r="11" spans="1:2">
      <c r="A11" t="s">
        <v>9</v>
      </c>
      <c r="B11" s="4">
        <v>81824516</v>
      </c>
    </row>
    <row r="12" spans="1:2">
      <c r="A12" t="s">
        <v>10</v>
      </c>
      <c r="B12" s="4">
        <v>77548650</v>
      </c>
    </row>
    <row r="13" spans="1:2">
      <c r="A13" t="s">
        <v>11</v>
      </c>
      <c r="B13" s="4">
        <v>68753448</v>
      </c>
    </row>
    <row r="14" spans="1:2">
      <c r="A14" t="s">
        <v>12</v>
      </c>
      <c r="B14" s="4">
        <v>2742505723</v>
      </c>
    </row>
    <row r="46" spans="4:4">
      <c r="D46" s="4"/>
    </row>
  </sheetData>
  <conditionalFormatting sqref="B1:B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EF066-3667-41C2-9C2F-DDB74B4CBC15}">
  <dimension ref="A1:L211"/>
  <sheetViews>
    <sheetView showGridLines="0" workbookViewId="0">
      <selection activeCell="J47" sqref="J47"/>
    </sheetView>
  </sheetViews>
  <sheetFormatPr defaultRowHeight="15"/>
  <cols>
    <col min="1" max="1" width="76.28515625" customWidth="1"/>
    <col min="2" max="2" width="32.5703125" bestFit="1" customWidth="1"/>
    <col min="3" max="3" width="28.5703125" customWidth="1"/>
    <col min="4" max="4" width="18.28515625" bestFit="1" customWidth="1"/>
    <col min="5" max="5" width="14.140625" bestFit="1" customWidth="1"/>
    <col min="9" max="9" width="10.5703125" bestFit="1" customWidth="1"/>
  </cols>
  <sheetData>
    <row r="1" spans="1:12" ht="23.25">
      <c r="A1" s="23" t="s">
        <v>13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>
      <c r="A2" s="22" t="s">
        <v>14</v>
      </c>
      <c r="B2" s="22"/>
    </row>
    <row r="3" spans="1:12">
      <c r="A3" s="7" t="s">
        <v>15</v>
      </c>
      <c r="B3" s="8">
        <f>SUM('Raw Data'!V:V)</f>
        <v>3910809184</v>
      </c>
    </row>
    <row r="4" spans="1:12">
      <c r="A4" s="7" t="s">
        <v>16</v>
      </c>
      <c r="B4" s="18">
        <f>SUM('Raw Data'!T:T)</f>
        <v>7186</v>
      </c>
    </row>
    <row r="5" spans="1:12">
      <c r="A5" s="7" t="s">
        <v>17</v>
      </c>
      <c r="B5" s="8">
        <f>AVERAGE('Raw Data'!U:U)</f>
        <v>100052.25453794769</v>
      </c>
    </row>
    <row r="6" spans="1:12">
      <c r="A6" s="17" t="s">
        <v>18</v>
      </c>
      <c r="B6" s="14">
        <f>MAX('Raw Data'!V:V)</f>
        <v>238969296</v>
      </c>
    </row>
    <row r="7" spans="1:12">
      <c r="A7" s="21" t="s">
        <v>19</v>
      </c>
      <c r="B7" s="21"/>
      <c r="C7" s="21"/>
      <c r="D7" s="21"/>
      <c r="E7" s="21"/>
    </row>
    <row r="8" spans="1:12">
      <c r="A8" s="11" t="s">
        <v>20</v>
      </c>
      <c r="B8" s="12" t="s">
        <v>15</v>
      </c>
      <c r="C8" s="12" t="s">
        <v>21</v>
      </c>
      <c r="D8" s="12" t="s">
        <v>22</v>
      </c>
      <c r="E8" s="13" t="s">
        <v>23</v>
      </c>
    </row>
    <row r="9" spans="1:12">
      <c r="A9" s="19" t="s">
        <v>2</v>
      </c>
      <c r="B9" s="8">
        <f>SUMIF('Raw Data'!I:I,"Patrol Services",'Raw Data'!V:V)</f>
        <v>1224603400</v>
      </c>
      <c r="C9" s="9">
        <f>COUNTIF('Raw Data'!I:I,"Patrol Services")</f>
        <v>102</v>
      </c>
      <c r="D9" s="8">
        <f>B9/C9</f>
        <v>12005915.68627451</v>
      </c>
      <c r="E9" s="10">
        <f>B9/SUM('Raw Data'!V:V)</f>
        <v>0.31313299687699619</v>
      </c>
    </row>
    <row r="10" spans="1:12">
      <c r="A10" s="19" t="s">
        <v>3</v>
      </c>
      <c r="B10" s="8">
        <f>SUMIF('Raw Data'!I:I,"Chicago Fire Department",'Raw Data'!V:V)</f>
        <v>556547794</v>
      </c>
      <c r="C10" s="9">
        <f>COUNTIF('Raw Data'!I:I,"Chicago Fire Department")</f>
        <v>406</v>
      </c>
      <c r="D10" s="8">
        <f>B10/C10</f>
        <v>1370807.3743842365</v>
      </c>
      <c r="E10" s="10">
        <f>B10/SUM('Raw Data'!V:V)</f>
        <v>0.14231013782952187</v>
      </c>
    </row>
    <row r="11" spans="1:12">
      <c r="A11" s="19" t="s">
        <v>4</v>
      </c>
      <c r="B11" s="8">
        <f>SUMIF('Raw Data'!I:I,"Chicago-O'Hare International Airport",'Raw Data'!V:V)</f>
        <v>197854959</v>
      </c>
      <c r="C11" s="9">
        <f>COUNTIF('Raw Data'!I:I,"Chicago-O'Hare International Airport")</f>
        <v>573</v>
      </c>
      <c r="D11" s="8">
        <f>B11/C11</f>
        <v>345296.61256544502</v>
      </c>
      <c r="E11" s="10">
        <f>B11/SUM('Raw Data'!V:V)</f>
        <v>5.0591821204028345E-2</v>
      </c>
    </row>
    <row r="12" spans="1:12">
      <c r="A12" s="19" t="s">
        <v>5</v>
      </c>
      <c r="B12" s="8">
        <f>SUMIF('Raw Data'!I:I,"Bureau of Operations and Distribution",'Raw Data'!V:V)</f>
        <v>169911417</v>
      </c>
      <c r="C12" s="9">
        <f>COUNTIF('Raw Data'!I:I,"Bureau of Operations and Distribution")</f>
        <v>165</v>
      </c>
      <c r="D12" s="8">
        <f>B12/C12</f>
        <v>1029766.1636363637</v>
      </c>
      <c r="E12" s="10">
        <f>B12/SUM('Raw Data'!V:V)</f>
        <v>4.3446613988518241E-2</v>
      </c>
    </row>
    <row r="13" spans="1:12">
      <c r="A13" s="19" t="s">
        <v>6</v>
      </c>
      <c r="B13" s="8">
        <f>SUMIF('Raw Data'!I:I,"Bureau of Counter-Terrorism",'Raw Data'!V:V)</f>
        <v>143287614</v>
      </c>
      <c r="C13" s="9">
        <f>COUNTIF('Raw Data'!I:I,"Bureau of Counter-Terrorism")</f>
        <v>259</v>
      </c>
      <c r="D13" s="8">
        <f>B13/C13</f>
        <v>553234.03088803089</v>
      </c>
      <c r="E13" s="10">
        <f>B13/SUM('Raw Data'!V:V)</f>
        <v>3.6638866090992588E-2</v>
      </c>
    </row>
    <row r="14" spans="1:12">
      <c r="A14" s="19" t="s">
        <v>7</v>
      </c>
      <c r="B14" s="8">
        <f>SUMIF('Raw Data'!I:I,"Bureau of Sanitation",'Raw Data'!V:V)</f>
        <v>127338664</v>
      </c>
      <c r="C14" s="9">
        <f>COUNTIF('Raw Data'!I:I,"Bureau of Sanitation")</f>
        <v>88</v>
      </c>
      <c r="D14" s="8">
        <f>B14/C14</f>
        <v>1447030.2727272727</v>
      </c>
      <c r="E14" s="10">
        <f>B14/SUM('Raw Data'!V:V)</f>
        <v>3.2560694733195145E-2</v>
      </c>
    </row>
    <row r="15" spans="1:12">
      <c r="A15" s="19" t="s">
        <v>8</v>
      </c>
      <c r="B15" s="8">
        <f>SUMIF('Raw Data'!I:I,"Division of In-House Construction",'Raw Data'!V:V)</f>
        <v>94835261</v>
      </c>
      <c r="C15" s="9">
        <f>COUNTIF('Raw Data'!I:I,"Division of In-House Construction")</f>
        <v>124</v>
      </c>
      <c r="D15" s="8">
        <f>B15/C15</f>
        <v>764800.49193548388</v>
      </c>
      <c r="E15" s="10">
        <f>B15/SUM('Raw Data'!V:V)</f>
        <v>2.4249523957341715E-2</v>
      </c>
    </row>
    <row r="16" spans="1:12">
      <c r="A16" s="19" t="s">
        <v>9</v>
      </c>
      <c r="B16" s="8">
        <f>SUMIF('Raw Data'!I:I,"Office of Emergency Management and Communications",'Raw Data'!V:V)</f>
        <v>81824516</v>
      </c>
      <c r="C16" s="9">
        <f>COUNTIF('Raw Data'!I:I,"Office of Emergency Management and Communications")</f>
        <v>200</v>
      </c>
      <c r="D16" s="8">
        <f>B16/C16</f>
        <v>409122.58</v>
      </c>
      <c r="E16" s="10">
        <f>B16/SUM('Raw Data'!V:V)</f>
        <v>2.0922656194723714E-2</v>
      </c>
    </row>
    <row r="17" spans="1:5">
      <c r="A17" s="19" t="s">
        <v>10</v>
      </c>
      <c r="B17" s="8">
        <f>SUMIF('Raw Data'!I:I,"Chicago Public Library",'Raw Data'!V:V)</f>
        <v>77548650</v>
      </c>
      <c r="C17" s="9">
        <f>COUNTIF('Raw Data'!I:I,"Chicago Public Library")</f>
        <v>196</v>
      </c>
      <c r="D17" s="8">
        <f>B17/C17</f>
        <v>395656.37755102041</v>
      </c>
      <c r="E17" s="10">
        <f>B17/SUM('Raw Data'!V:V)</f>
        <v>1.98293105982437E-2</v>
      </c>
    </row>
    <row r="18" spans="1:5">
      <c r="A18" s="20" t="s">
        <v>11</v>
      </c>
      <c r="B18" s="14">
        <f>SUMIF('Raw Data'!I:I,"Bureau of Detectives",'Raw Data'!V:V)</f>
        <v>68753448</v>
      </c>
      <c r="C18" s="15">
        <f>COUNTIF('Raw Data'!I:I,"Bureau of Detectives")</f>
        <v>165</v>
      </c>
      <c r="D18" s="14">
        <f>B18/C18</f>
        <v>416687.56363636366</v>
      </c>
      <c r="E18" s="16">
        <f>B18/SUM('Raw Data'!V:V)</f>
        <v>1.7580363747043914E-2</v>
      </c>
    </row>
    <row r="51" spans="1:3" hidden="1">
      <c r="A51" s="2" t="s">
        <v>0</v>
      </c>
      <c r="B51" t="s">
        <v>1</v>
      </c>
      <c r="C51" t="s">
        <v>24</v>
      </c>
    </row>
    <row r="52" spans="1:3" hidden="1">
      <c r="A52" t="s">
        <v>2</v>
      </c>
      <c r="B52" s="4">
        <v>1224603400</v>
      </c>
      <c r="C52" s="3">
        <v>71693</v>
      </c>
    </row>
    <row r="53" spans="1:3" hidden="1">
      <c r="A53" t="s">
        <v>3</v>
      </c>
      <c r="B53" s="4">
        <v>556547794</v>
      </c>
      <c r="C53" s="3">
        <v>5123</v>
      </c>
    </row>
    <row r="54" spans="1:3" hidden="1">
      <c r="A54" t="s">
        <v>4</v>
      </c>
      <c r="B54" s="4">
        <v>197854959</v>
      </c>
      <c r="C54" s="3">
        <v>319472</v>
      </c>
    </row>
    <row r="55" spans="1:3" hidden="1">
      <c r="A55" t="s">
        <v>5</v>
      </c>
      <c r="B55" s="4">
        <v>169911417</v>
      </c>
      <c r="C55" s="3">
        <v>1365248</v>
      </c>
    </row>
    <row r="56" spans="1:3" hidden="1">
      <c r="A56" t="s">
        <v>6</v>
      </c>
      <c r="B56" s="4">
        <v>143287614</v>
      </c>
      <c r="C56" s="3">
        <v>21611</v>
      </c>
    </row>
    <row r="57" spans="1:3" hidden="1">
      <c r="A57" t="s">
        <v>7</v>
      </c>
      <c r="B57" s="4">
        <v>127338664</v>
      </c>
      <c r="C57" s="3">
        <v>57299</v>
      </c>
    </row>
    <row r="58" spans="1:3" hidden="1">
      <c r="A58" t="s">
        <v>8</v>
      </c>
      <c r="B58" s="4">
        <v>94835261</v>
      </c>
      <c r="C58" s="3">
        <v>454601</v>
      </c>
    </row>
    <row r="59" spans="1:3" hidden="1">
      <c r="A59" t="s">
        <v>9</v>
      </c>
      <c r="B59" s="4">
        <v>81824516</v>
      </c>
      <c r="C59" s="3">
        <v>204480</v>
      </c>
    </row>
    <row r="60" spans="1:3" hidden="1">
      <c r="A60" t="s">
        <v>10</v>
      </c>
      <c r="B60" s="4">
        <v>77548650</v>
      </c>
      <c r="C60" s="3">
        <v>355442</v>
      </c>
    </row>
    <row r="61" spans="1:3" hidden="1">
      <c r="A61" t="s">
        <v>11</v>
      </c>
      <c r="B61" s="4">
        <v>68753448</v>
      </c>
      <c r="C61" s="3">
        <v>12922</v>
      </c>
    </row>
    <row r="62" spans="1:3" hidden="1">
      <c r="A62" t="s">
        <v>25</v>
      </c>
      <c r="B62" s="4">
        <v>68737489</v>
      </c>
      <c r="C62" s="3">
        <v>608</v>
      </c>
    </row>
    <row r="63" spans="1:3" hidden="1">
      <c r="A63" t="s">
        <v>26</v>
      </c>
      <c r="B63" s="4">
        <v>65833298</v>
      </c>
      <c r="C63" s="3">
        <v>25553</v>
      </c>
    </row>
    <row r="64" spans="1:3" hidden="1">
      <c r="A64" t="s">
        <v>27</v>
      </c>
      <c r="B64" s="4">
        <v>46831822</v>
      </c>
      <c r="C64" s="3">
        <v>34019</v>
      </c>
    </row>
    <row r="65" spans="1:3" hidden="1">
      <c r="A65" t="s">
        <v>28</v>
      </c>
      <c r="B65" s="4">
        <v>46660087</v>
      </c>
      <c r="C65" s="3">
        <v>12889</v>
      </c>
    </row>
    <row r="66" spans="1:3" hidden="1">
      <c r="A66" t="s">
        <v>29</v>
      </c>
      <c r="B66" s="4">
        <v>40088165</v>
      </c>
      <c r="C66" s="3">
        <v>342</v>
      </c>
    </row>
    <row r="67" spans="1:3" hidden="1">
      <c r="A67" t="s">
        <v>30</v>
      </c>
      <c r="B67" s="4">
        <v>39037205</v>
      </c>
      <c r="C67" s="3">
        <v>71344</v>
      </c>
    </row>
    <row r="68" spans="1:3" hidden="1">
      <c r="A68" t="s">
        <v>31</v>
      </c>
      <c r="B68" s="4">
        <v>38703630</v>
      </c>
      <c r="C68" s="3">
        <v>342</v>
      </c>
    </row>
    <row r="69" spans="1:3" hidden="1">
      <c r="A69" t="s">
        <v>32</v>
      </c>
      <c r="B69" s="4">
        <v>37483868</v>
      </c>
      <c r="C69" s="3">
        <v>356</v>
      </c>
    </row>
    <row r="70" spans="1:3" hidden="1">
      <c r="A70" t="s">
        <v>33</v>
      </c>
      <c r="B70" s="4">
        <v>36656621</v>
      </c>
      <c r="C70" s="3">
        <v>279</v>
      </c>
    </row>
    <row r="71" spans="1:3" hidden="1">
      <c r="A71" t="s">
        <v>34</v>
      </c>
      <c r="B71" s="4">
        <v>35130524</v>
      </c>
      <c r="C71" s="3">
        <v>288</v>
      </c>
    </row>
    <row r="72" spans="1:3" hidden="1">
      <c r="A72" t="s">
        <v>35</v>
      </c>
      <c r="B72" s="4">
        <v>34288575</v>
      </c>
      <c r="C72" s="3">
        <v>69147</v>
      </c>
    </row>
    <row r="73" spans="1:3" hidden="1">
      <c r="A73" t="s">
        <v>36</v>
      </c>
      <c r="B73" s="4">
        <v>33682660</v>
      </c>
      <c r="C73" s="3">
        <v>13350</v>
      </c>
    </row>
    <row r="74" spans="1:3" hidden="1">
      <c r="A74" t="s">
        <v>37</v>
      </c>
      <c r="B74" s="4">
        <v>27037863</v>
      </c>
      <c r="C74" s="3">
        <v>256</v>
      </c>
    </row>
    <row r="75" spans="1:3" hidden="1">
      <c r="A75" t="s">
        <v>38</v>
      </c>
      <c r="B75" s="4">
        <v>24480837</v>
      </c>
      <c r="C75" s="3">
        <v>195</v>
      </c>
    </row>
    <row r="76" spans="1:3" hidden="1">
      <c r="A76" t="s">
        <v>39</v>
      </c>
      <c r="B76" s="4">
        <v>23027858</v>
      </c>
      <c r="C76" s="3">
        <v>233</v>
      </c>
    </row>
    <row r="77" spans="1:3" hidden="1">
      <c r="A77" t="s">
        <v>40</v>
      </c>
      <c r="B77" s="4">
        <v>20913733</v>
      </c>
      <c r="C77" s="3">
        <v>11691</v>
      </c>
    </row>
    <row r="78" spans="1:3" hidden="1">
      <c r="A78" t="s">
        <v>41</v>
      </c>
      <c r="B78" s="4">
        <v>20562491</v>
      </c>
      <c r="C78" s="3">
        <v>148</v>
      </c>
    </row>
    <row r="79" spans="1:3" hidden="1">
      <c r="A79" t="s">
        <v>42</v>
      </c>
      <c r="B79" s="4">
        <v>19730569</v>
      </c>
      <c r="C79" s="3">
        <v>180</v>
      </c>
    </row>
    <row r="80" spans="1:3" hidden="1">
      <c r="A80" t="s">
        <v>43</v>
      </c>
      <c r="B80" s="4">
        <v>16668674</v>
      </c>
      <c r="C80" s="3">
        <v>140</v>
      </c>
    </row>
    <row r="81" spans="1:3" hidden="1">
      <c r="A81" t="s">
        <v>44</v>
      </c>
      <c r="B81" s="4">
        <v>16527357</v>
      </c>
      <c r="C81" s="3">
        <v>172</v>
      </c>
    </row>
    <row r="82" spans="1:3" hidden="1">
      <c r="A82" t="s">
        <v>45</v>
      </c>
      <c r="B82" s="4">
        <v>16146581</v>
      </c>
      <c r="C82" s="3">
        <v>150</v>
      </c>
    </row>
    <row r="83" spans="1:3" hidden="1">
      <c r="A83" t="s">
        <v>46</v>
      </c>
      <c r="B83" s="4">
        <v>15047544</v>
      </c>
      <c r="C83" s="3">
        <v>12617</v>
      </c>
    </row>
    <row r="84" spans="1:3" hidden="1">
      <c r="A84" t="s">
        <v>47</v>
      </c>
      <c r="B84" s="4">
        <v>13873694</v>
      </c>
      <c r="C84" s="3">
        <v>126</v>
      </c>
    </row>
    <row r="85" spans="1:3" hidden="1">
      <c r="A85" t="s">
        <v>48</v>
      </c>
      <c r="B85" s="4">
        <v>13152125</v>
      </c>
      <c r="C85" s="3">
        <v>109</v>
      </c>
    </row>
    <row r="86" spans="1:3" hidden="1">
      <c r="A86" t="s">
        <v>49</v>
      </c>
      <c r="B86" s="4">
        <v>12733467</v>
      </c>
      <c r="C86" s="3">
        <v>118</v>
      </c>
    </row>
    <row r="87" spans="1:3" hidden="1">
      <c r="A87" t="s">
        <v>50</v>
      </c>
      <c r="B87" s="4">
        <v>12303152</v>
      </c>
      <c r="C87" s="3">
        <v>82237</v>
      </c>
    </row>
    <row r="88" spans="1:3" hidden="1">
      <c r="A88" t="s">
        <v>51</v>
      </c>
      <c r="B88" s="4">
        <v>12277520</v>
      </c>
      <c r="C88" s="3">
        <v>113</v>
      </c>
    </row>
    <row r="89" spans="1:3" hidden="1">
      <c r="A89" t="s">
        <v>52</v>
      </c>
      <c r="B89" s="4">
        <v>12274725</v>
      </c>
      <c r="C89" s="3">
        <v>12590</v>
      </c>
    </row>
    <row r="90" spans="1:3" hidden="1">
      <c r="A90" t="s">
        <v>53</v>
      </c>
      <c r="B90" s="4">
        <v>10960979</v>
      </c>
      <c r="C90" s="3">
        <v>63</v>
      </c>
    </row>
    <row r="91" spans="1:3" hidden="1">
      <c r="A91" t="s">
        <v>54</v>
      </c>
      <c r="B91" s="4">
        <v>10485656</v>
      </c>
      <c r="C91" s="3">
        <v>95</v>
      </c>
    </row>
    <row r="92" spans="1:3" hidden="1">
      <c r="A92" t="s">
        <v>55</v>
      </c>
      <c r="B92" s="4">
        <v>10252152</v>
      </c>
      <c r="C92" s="3">
        <v>103</v>
      </c>
    </row>
    <row r="93" spans="1:3" hidden="1">
      <c r="A93" t="s">
        <v>56</v>
      </c>
      <c r="B93" s="4">
        <v>9923904</v>
      </c>
      <c r="C93" s="3">
        <v>90</v>
      </c>
    </row>
    <row r="94" spans="1:3" hidden="1">
      <c r="A94" t="s">
        <v>57</v>
      </c>
      <c r="B94" s="4">
        <v>9461373</v>
      </c>
      <c r="C94" s="3">
        <v>93</v>
      </c>
    </row>
    <row r="95" spans="1:3" hidden="1">
      <c r="A95" t="s">
        <v>58</v>
      </c>
      <c r="B95" s="4">
        <v>9429115</v>
      </c>
      <c r="C95" s="3">
        <v>3910</v>
      </c>
    </row>
    <row r="96" spans="1:3" hidden="1">
      <c r="A96" t="s">
        <v>59</v>
      </c>
      <c r="B96" s="4">
        <v>9308194</v>
      </c>
      <c r="C96" s="3">
        <v>2103</v>
      </c>
    </row>
    <row r="97" spans="1:3" hidden="1">
      <c r="A97" t="s">
        <v>60</v>
      </c>
      <c r="B97" s="4">
        <v>9207447</v>
      </c>
      <c r="C97" s="3">
        <v>66</v>
      </c>
    </row>
    <row r="98" spans="1:3" hidden="1">
      <c r="A98" t="s">
        <v>61</v>
      </c>
      <c r="B98" s="4">
        <v>8728494</v>
      </c>
      <c r="C98" s="3">
        <v>93</v>
      </c>
    </row>
    <row r="99" spans="1:3" hidden="1">
      <c r="A99" t="s">
        <v>62</v>
      </c>
      <c r="B99" s="4">
        <v>8608487</v>
      </c>
      <c r="C99" s="3">
        <v>80</v>
      </c>
    </row>
    <row r="100" spans="1:3" hidden="1">
      <c r="A100" t="s">
        <v>63</v>
      </c>
      <c r="B100" s="4">
        <v>8261648</v>
      </c>
      <c r="C100" s="3">
        <v>83</v>
      </c>
    </row>
    <row r="101" spans="1:3" hidden="1">
      <c r="A101" t="s">
        <v>64</v>
      </c>
      <c r="B101" s="4">
        <v>8221070</v>
      </c>
      <c r="C101" s="3">
        <v>2051</v>
      </c>
    </row>
    <row r="102" spans="1:3" hidden="1">
      <c r="A102" t="s">
        <v>65</v>
      </c>
      <c r="B102" s="4">
        <v>8216676</v>
      </c>
      <c r="C102" s="3">
        <v>260</v>
      </c>
    </row>
    <row r="103" spans="1:3" hidden="1">
      <c r="A103" t="s">
        <v>66</v>
      </c>
      <c r="B103" s="4">
        <v>8040771</v>
      </c>
      <c r="C103" s="3">
        <v>122</v>
      </c>
    </row>
    <row r="104" spans="1:3" hidden="1">
      <c r="A104" t="s">
        <v>67</v>
      </c>
      <c r="B104" s="4">
        <v>7956442</v>
      </c>
      <c r="C104" s="3">
        <v>53</v>
      </c>
    </row>
    <row r="105" spans="1:3" hidden="1">
      <c r="A105" t="s">
        <v>68</v>
      </c>
      <c r="B105" s="4">
        <v>7889509</v>
      </c>
      <c r="C105" s="3">
        <v>47</v>
      </c>
    </row>
    <row r="106" spans="1:3" hidden="1">
      <c r="A106" t="s">
        <v>69</v>
      </c>
      <c r="B106" s="4">
        <v>7804527</v>
      </c>
      <c r="C106" s="3">
        <v>64</v>
      </c>
    </row>
    <row r="107" spans="1:3" hidden="1">
      <c r="A107" t="s">
        <v>70</v>
      </c>
      <c r="B107" s="4">
        <v>7603656</v>
      </c>
      <c r="C107" s="3">
        <v>50</v>
      </c>
    </row>
    <row r="108" spans="1:3" hidden="1">
      <c r="A108" t="s">
        <v>71</v>
      </c>
      <c r="B108" s="4">
        <v>7408913</v>
      </c>
      <c r="C108" s="3">
        <v>59</v>
      </c>
    </row>
    <row r="109" spans="1:3" hidden="1">
      <c r="A109" t="s">
        <v>72</v>
      </c>
      <c r="B109" s="4">
        <v>7010842</v>
      </c>
      <c r="C109" s="3">
        <v>47</v>
      </c>
    </row>
    <row r="110" spans="1:3" hidden="1">
      <c r="A110" t="s">
        <v>73</v>
      </c>
      <c r="B110" s="4">
        <v>6314441</v>
      </c>
      <c r="C110" s="3">
        <v>41</v>
      </c>
    </row>
    <row r="111" spans="1:3" hidden="1">
      <c r="A111" t="s">
        <v>74</v>
      </c>
      <c r="B111" s="4">
        <v>6204051</v>
      </c>
      <c r="C111" s="3">
        <v>11522</v>
      </c>
    </row>
    <row r="112" spans="1:3" hidden="1">
      <c r="A112" t="s">
        <v>75</v>
      </c>
      <c r="B112" s="4">
        <v>6035560</v>
      </c>
      <c r="C112" s="3">
        <v>34</v>
      </c>
    </row>
    <row r="113" spans="1:3" hidden="1">
      <c r="A113" t="s">
        <v>76</v>
      </c>
      <c r="B113" s="4">
        <v>5843502</v>
      </c>
      <c r="C113" s="3">
        <v>14268</v>
      </c>
    </row>
    <row r="114" spans="1:3" hidden="1">
      <c r="A114" t="s">
        <v>77</v>
      </c>
      <c r="B114" s="4">
        <v>5771770</v>
      </c>
      <c r="C114" s="3">
        <v>57</v>
      </c>
    </row>
    <row r="115" spans="1:3" hidden="1">
      <c r="A115" t="s">
        <v>78</v>
      </c>
      <c r="B115" s="4">
        <v>5571624</v>
      </c>
      <c r="C115" s="3">
        <v>57</v>
      </c>
    </row>
    <row r="116" spans="1:3" hidden="1">
      <c r="A116" t="s">
        <v>79</v>
      </c>
      <c r="B116" s="4">
        <v>5336077</v>
      </c>
      <c r="C116" s="3">
        <v>34</v>
      </c>
    </row>
    <row r="117" spans="1:3" hidden="1">
      <c r="A117" t="s">
        <v>80</v>
      </c>
      <c r="B117" s="4">
        <v>5316371</v>
      </c>
      <c r="C117" s="3">
        <v>31</v>
      </c>
    </row>
    <row r="118" spans="1:3" hidden="1">
      <c r="A118" t="s">
        <v>81</v>
      </c>
      <c r="B118" s="4">
        <v>5169333</v>
      </c>
      <c r="C118" s="3">
        <v>55</v>
      </c>
    </row>
    <row r="119" spans="1:3" hidden="1">
      <c r="A119" t="s">
        <v>82</v>
      </c>
      <c r="B119" s="4">
        <v>5136434</v>
      </c>
      <c r="C119" s="3">
        <v>45</v>
      </c>
    </row>
    <row r="120" spans="1:3" hidden="1">
      <c r="A120" t="s">
        <v>83</v>
      </c>
      <c r="B120" s="4">
        <v>5083910</v>
      </c>
      <c r="C120" s="3">
        <v>42</v>
      </c>
    </row>
    <row r="121" spans="1:3" hidden="1">
      <c r="A121" t="s">
        <v>84</v>
      </c>
      <c r="B121" s="4">
        <v>4568669</v>
      </c>
      <c r="C121" s="3">
        <v>45</v>
      </c>
    </row>
    <row r="122" spans="1:3" hidden="1">
      <c r="A122" t="s">
        <v>85</v>
      </c>
      <c r="B122" s="4">
        <v>4513670</v>
      </c>
      <c r="C122" s="3">
        <v>40</v>
      </c>
    </row>
    <row r="123" spans="1:3" hidden="1">
      <c r="A123" t="s">
        <v>86</v>
      </c>
      <c r="B123" s="4">
        <v>4244580</v>
      </c>
      <c r="C123" s="3">
        <v>27</v>
      </c>
    </row>
    <row r="124" spans="1:3" hidden="1">
      <c r="A124" t="s">
        <v>87</v>
      </c>
      <c r="B124" s="4">
        <v>4187775</v>
      </c>
      <c r="C124" s="3">
        <v>24</v>
      </c>
    </row>
    <row r="125" spans="1:3" hidden="1">
      <c r="A125" t="s">
        <v>88</v>
      </c>
      <c r="B125" s="4">
        <v>3980685</v>
      </c>
      <c r="C125" s="3">
        <v>36</v>
      </c>
    </row>
    <row r="126" spans="1:3" hidden="1">
      <c r="A126" t="s">
        <v>89</v>
      </c>
      <c r="B126" s="4">
        <v>3889833</v>
      </c>
      <c r="C126" s="3">
        <v>30</v>
      </c>
    </row>
    <row r="127" spans="1:3" hidden="1">
      <c r="A127" t="s">
        <v>90</v>
      </c>
      <c r="B127" s="4">
        <v>3873635</v>
      </c>
      <c r="C127" s="3">
        <v>26</v>
      </c>
    </row>
    <row r="128" spans="1:3" hidden="1">
      <c r="A128" t="s">
        <v>91</v>
      </c>
      <c r="B128" s="4">
        <v>3765028</v>
      </c>
      <c r="C128" s="3">
        <v>23</v>
      </c>
    </row>
    <row r="129" spans="1:3" hidden="1">
      <c r="A129" t="s">
        <v>92</v>
      </c>
      <c r="B129" s="4">
        <v>3752900</v>
      </c>
      <c r="C129" s="3">
        <v>21</v>
      </c>
    </row>
    <row r="130" spans="1:3" hidden="1">
      <c r="A130" t="s">
        <v>93</v>
      </c>
      <c r="B130" s="4">
        <v>3641064</v>
      </c>
      <c r="C130" s="3">
        <v>39</v>
      </c>
    </row>
    <row r="131" spans="1:3" hidden="1">
      <c r="A131" t="s">
        <v>94</v>
      </c>
      <c r="B131" s="4">
        <v>3595921</v>
      </c>
      <c r="C131" s="3">
        <v>32</v>
      </c>
    </row>
    <row r="132" spans="1:3" hidden="1">
      <c r="A132" t="s">
        <v>95</v>
      </c>
      <c r="B132" s="4">
        <v>3472546</v>
      </c>
      <c r="C132" s="3">
        <v>19</v>
      </c>
    </row>
    <row r="133" spans="1:3" hidden="1">
      <c r="A133" t="s">
        <v>96</v>
      </c>
      <c r="B133" s="4">
        <v>3371806</v>
      </c>
      <c r="C133" s="3">
        <v>29</v>
      </c>
    </row>
    <row r="134" spans="1:3" hidden="1">
      <c r="A134" t="s">
        <v>97</v>
      </c>
      <c r="B134" s="4">
        <v>2929182</v>
      </c>
      <c r="C134" s="3">
        <v>29</v>
      </c>
    </row>
    <row r="135" spans="1:3" hidden="1">
      <c r="A135" t="s">
        <v>98</v>
      </c>
      <c r="B135" s="4">
        <v>2862121</v>
      </c>
      <c r="C135" s="3">
        <v>24</v>
      </c>
    </row>
    <row r="136" spans="1:3" hidden="1">
      <c r="A136" t="s">
        <v>99</v>
      </c>
      <c r="B136" s="4">
        <v>2843356</v>
      </c>
      <c r="C136" s="3">
        <v>16</v>
      </c>
    </row>
    <row r="137" spans="1:3" hidden="1">
      <c r="A137" t="s">
        <v>100</v>
      </c>
      <c r="B137" s="4">
        <v>2801166</v>
      </c>
      <c r="C137" s="3">
        <v>33</v>
      </c>
    </row>
    <row r="138" spans="1:3" hidden="1">
      <c r="A138" t="s">
        <v>101</v>
      </c>
      <c r="B138" s="4">
        <v>2732440</v>
      </c>
      <c r="C138" s="3">
        <v>27</v>
      </c>
    </row>
    <row r="139" spans="1:3" hidden="1">
      <c r="A139" t="s">
        <v>102</v>
      </c>
      <c r="B139" s="4">
        <v>2644693</v>
      </c>
      <c r="C139" s="3">
        <v>15</v>
      </c>
    </row>
    <row r="140" spans="1:3" hidden="1">
      <c r="A140" t="s">
        <v>103</v>
      </c>
      <c r="B140" s="4">
        <v>2626161</v>
      </c>
      <c r="C140" s="3">
        <v>24</v>
      </c>
    </row>
    <row r="141" spans="1:3" hidden="1">
      <c r="A141" t="s">
        <v>104</v>
      </c>
      <c r="B141" s="4">
        <v>2624717</v>
      </c>
      <c r="C141" s="3">
        <v>21</v>
      </c>
    </row>
    <row r="142" spans="1:3" hidden="1">
      <c r="A142" t="s">
        <v>105</v>
      </c>
      <c r="B142" s="4">
        <v>2560451</v>
      </c>
      <c r="C142" s="3">
        <v>15</v>
      </c>
    </row>
    <row r="143" spans="1:3" hidden="1">
      <c r="A143" t="s">
        <v>106</v>
      </c>
      <c r="B143" s="4">
        <v>2520421</v>
      </c>
      <c r="C143" s="3">
        <v>14</v>
      </c>
    </row>
    <row r="144" spans="1:3" hidden="1">
      <c r="A144" t="s">
        <v>107</v>
      </c>
      <c r="B144" s="4">
        <v>2478516</v>
      </c>
      <c r="C144" s="3">
        <v>1930</v>
      </c>
    </row>
    <row r="145" spans="1:3" hidden="1">
      <c r="A145" t="s">
        <v>108</v>
      </c>
      <c r="B145" s="4">
        <v>2344180</v>
      </c>
      <c r="C145" s="3">
        <v>11</v>
      </c>
    </row>
    <row r="146" spans="1:3" hidden="1">
      <c r="A146" t="s">
        <v>109</v>
      </c>
      <c r="B146" s="4">
        <v>2095283</v>
      </c>
      <c r="C146" s="3">
        <v>18</v>
      </c>
    </row>
    <row r="147" spans="1:3" hidden="1">
      <c r="A147" t="s">
        <v>110</v>
      </c>
      <c r="B147" s="4">
        <v>2034482</v>
      </c>
      <c r="C147" s="3">
        <v>18</v>
      </c>
    </row>
    <row r="148" spans="1:3" hidden="1">
      <c r="A148" t="s">
        <v>111</v>
      </c>
      <c r="B148" s="4">
        <v>2019011</v>
      </c>
      <c r="C148" s="3">
        <v>20</v>
      </c>
    </row>
    <row r="149" spans="1:3" hidden="1">
      <c r="A149" t="s">
        <v>112</v>
      </c>
      <c r="B149" s="4">
        <v>1878277</v>
      </c>
      <c r="C149" s="3">
        <v>13</v>
      </c>
    </row>
    <row r="150" spans="1:3" hidden="1">
      <c r="A150" t="s">
        <v>113</v>
      </c>
      <c r="B150" s="4">
        <v>1859022</v>
      </c>
      <c r="C150" s="3">
        <v>18</v>
      </c>
    </row>
    <row r="151" spans="1:3" hidden="1">
      <c r="A151" t="s">
        <v>114</v>
      </c>
      <c r="B151" s="4">
        <v>1653042</v>
      </c>
      <c r="C151" s="3">
        <v>10</v>
      </c>
    </row>
    <row r="152" spans="1:3" hidden="1">
      <c r="A152" t="s">
        <v>115</v>
      </c>
      <c r="B152" s="4">
        <v>1639445</v>
      </c>
      <c r="C152" s="3">
        <v>14</v>
      </c>
    </row>
    <row r="153" spans="1:3" hidden="1">
      <c r="A153" t="s">
        <v>116</v>
      </c>
      <c r="B153" s="4">
        <v>1610765</v>
      </c>
      <c r="C153" s="3">
        <v>11</v>
      </c>
    </row>
    <row r="154" spans="1:3" hidden="1">
      <c r="A154" t="s">
        <v>117</v>
      </c>
      <c r="B154" s="4">
        <v>1488591</v>
      </c>
      <c r="C154" s="3">
        <v>13</v>
      </c>
    </row>
    <row r="155" spans="1:3" hidden="1">
      <c r="A155" t="s">
        <v>118</v>
      </c>
      <c r="B155" s="4">
        <v>1472063</v>
      </c>
      <c r="C155" s="3">
        <v>8</v>
      </c>
    </row>
    <row r="156" spans="1:3" hidden="1">
      <c r="A156" t="s">
        <v>119</v>
      </c>
      <c r="B156" s="4">
        <v>1454714</v>
      </c>
      <c r="C156" s="3">
        <v>9</v>
      </c>
    </row>
    <row r="157" spans="1:3" hidden="1">
      <c r="A157" t="s">
        <v>120</v>
      </c>
      <c r="B157" s="4">
        <v>1304591</v>
      </c>
      <c r="C157" s="3">
        <v>10</v>
      </c>
    </row>
    <row r="158" spans="1:3" hidden="1">
      <c r="A158" t="s">
        <v>121</v>
      </c>
      <c r="B158" s="4">
        <v>1224720</v>
      </c>
      <c r="C158" s="3">
        <v>12</v>
      </c>
    </row>
    <row r="159" spans="1:3" hidden="1">
      <c r="A159" t="s">
        <v>122</v>
      </c>
      <c r="B159" s="4">
        <v>1117055</v>
      </c>
      <c r="C159" s="3">
        <v>9</v>
      </c>
    </row>
    <row r="160" spans="1:3" hidden="1">
      <c r="A160" t="s">
        <v>123</v>
      </c>
      <c r="B160" s="4">
        <v>1094558</v>
      </c>
      <c r="C160" s="3">
        <v>6</v>
      </c>
    </row>
    <row r="161" spans="1:3" hidden="1">
      <c r="A161" t="s">
        <v>124</v>
      </c>
      <c r="B161" s="4">
        <v>1082807</v>
      </c>
      <c r="C161" s="3">
        <v>6</v>
      </c>
    </row>
    <row r="162" spans="1:3" hidden="1">
      <c r="A162" t="s">
        <v>125</v>
      </c>
      <c r="B162" s="4">
        <v>1033834</v>
      </c>
      <c r="C162" s="3">
        <v>6</v>
      </c>
    </row>
    <row r="163" spans="1:3" hidden="1">
      <c r="A163" t="s">
        <v>126</v>
      </c>
      <c r="B163" s="4">
        <v>992316</v>
      </c>
      <c r="C163" s="3">
        <v>5</v>
      </c>
    </row>
    <row r="164" spans="1:3" hidden="1">
      <c r="A164" t="s">
        <v>127</v>
      </c>
      <c r="B164" s="4">
        <v>980972</v>
      </c>
      <c r="C164" s="3">
        <v>6</v>
      </c>
    </row>
    <row r="165" spans="1:3" hidden="1">
      <c r="A165" t="s">
        <v>128</v>
      </c>
      <c r="B165" s="4">
        <v>970730</v>
      </c>
      <c r="C165" s="3">
        <v>6</v>
      </c>
    </row>
    <row r="166" spans="1:3" hidden="1">
      <c r="A166" t="s">
        <v>129</v>
      </c>
      <c r="B166" s="4">
        <v>939472</v>
      </c>
      <c r="C166" s="3">
        <v>8</v>
      </c>
    </row>
    <row r="167" spans="1:3" hidden="1">
      <c r="A167" t="s">
        <v>130</v>
      </c>
      <c r="B167" s="4">
        <v>923605</v>
      </c>
      <c r="C167" s="3">
        <v>14336</v>
      </c>
    </row>
    <row r="168" spans="1:3" hidden="1">
      <c r="A168" t="s">
        <v>131</v>
      </c>
      <c r="B168" s="4">
        <v>923052</v>
      </c>
      <c r="C168" s="3">
        <v>6</v>
      </c>
    </row>
    <row r="169" spans="1:3" hidden="1">
      <c r="A169" t="s">
        <v>132</v>
      </c>
      <c r="B169" s="4">
        <v>853910</v>
      </c>
      <c r="C169" s="3">
        <v>5</v>
      </c>
    </row>
    <row r="170" spans="1:3" hidden="1">
      <c r="A170" t="s">
        <v>133</v>
      </c>
      <c r="B170" s="4">
        <v>842398</v>
      </c>
      <c r="C170" s="3">
        <v>5</v>
      </c>
    </row>
    <row r="171" spans="1:3" hidden="1">
      <c r="A171" t="s">
        <v>134</v>
      </c>
      <c r="B171" s="4">
        <v>834815</v>
      </c>
      <c r="C171" s="3">
        <v>6</v>
      </c>
    </row>
    <row r="172" spans="1:3" hidden="1">
      <c r="A172" t="s">
        <v>135</v>
      </c>
      <c r="B172" s="4">
        <v>773071</v>
      </c>
      <c r="C172" s="3">
        <v>5</v>
      </c>
    </row>
    <row r="173" spans="1:3" hidden="1">
      <c r="A173" t="s">
        <v>136</v>
      </c>
      <c r="B173" s="4">
        <v>755184</v>
      </c>
      <c r="C173" s="3">
        <v>4</v>
      </c>
    </row>
    <row r="174" spans="1:3" hidden="1">
      <c r="A174" t="s">
        <v>137</v>
      </c>
      <c r="B174" s="4">
        <v>744298</v>
      </c>
      <c r="C174" s="3">
        <v>5</v>
      </c>
    </row>
    <row r="175" spans="1:3" hidden="1">
      <c r="A175" t="s">
        <v>138</v>
      </c>
      <c r="B175" s="4">
        <v>716828</v>
      </c>
      <c r="C175" s="3">
        <v>4</v>
      </c>
    </row>
    <row r="176" spans="1:3" hidden="1">
      <c r="A176" t="s">
        <v>139</v>
      </c>
      <c r="B176" s="4">
        <v>691433</v>
      </c>
      <c r="C176" s="3">
        <v>4</v>
      </c>
    </row>
    <row r="177" spans="1:3" hidden="1">
      <c r="A177" t="s">
        <v>140</v>
      </c>
      <c r="B177" s="4">
        <v>664576</v>
      </c>
      <c r="C177" s="3">
        <v>4</v>
      </c>
    </row>
    <row r="178" spans="1:3" hidden="1">
      <c r="A178" t="s">
        <v>141</v>
      </c>
      <c r="B178" s="4">
        <v>663174</v>
      </c>
      <c r="C178" s="3">
        <v>4</v>
      </c>
    </row>
    <row r="179" spans="1:3" hidden="1">
      <c r="A179" t="s">
        <v>142</v>
      </c>
      <c r="B179" s="4">
        <v>649738</v>
      </c>
      <c r="C179" s="3">
        <v>4</v>
      </c>
    </row>
    <row r="180" spans="1:3" hidden="1">
      <c r="A180" t="s">
        <v>143</v>
      </c>
      <c r="B180" s="4">
        <v>647689</v>
      </c>
      <c r="C180" s="3">
        <v>4</v>
      </c>
    </row>
    <row r="181" spans="1:3" hidden="1">
      <c r="A181" t="s">
        <v>144</v>
      </c>
      <c r="B181" s="4">
        <v>589726</v>
      </c>
      <c r="C181" s="3">
        <v>3</v>
      </c>
    </row>
    <row r="182" spans="1:3" hidden="1">
      <c r="A182" t="s">
        <v>145</v>
      </c>
      <c r="B182" s="4">
        <v>586630</v>
      </c>
      <c r="C182" s="3">
        <v>5</v>
      </c>
    </row>
    <row r="183" spans="1:3" hidden="1">
      <c r="A183" t="s">
        <v>146</v>
      </c>
      <c r="B183" s="4">
        <v>559720</v>
      </c>
      <c r="C183" s="3">
        <v>4</v>
      </c>
    </row>
    <row r="184" spans="1:3" hidden="1">
      <c r="A184" t="s">
        <v>147</v>
      </c>
      <c r="B184" s="4">
        <v>555054</v>
      </c>
      <c r="C184" s="3">
        <v>4</v>
      </c>
    </row>
    <row r="185" spans="1:3" hidden="1">
      <c r="A185" t="s">
        <v>148</v>
      </c>
      <c r="B185" s="4">
        <v>541901</v>
      </c>
      <c r="C185" s="3">
        <v>4</v>
      </c>
    </row>
    <row r="186" spans="1:3" hidden="1">
      <c r="A186" t="s">
        <v>149</v>
      </c>
      <c r="B186" s="4">
        <v>504948</v>
      </c>
      <c r="C186" s="3">
        <v>5</v>
      </c>
    </row>
    <row r="187" spans="1:3" hidden="1">
      <c r="A187" t="s">
        <v>150</v>
      </c>
      <c r="B187" s="4">
        <v>483966</v>
      </c>
      <c r="C187" s="3">
        <v>3</v>
      </c>
    </row>
    <row r="188" spans="1:3" hidden="1">
      <c r="A188" t="s">
        <v>151</v>
      </c>
      <c r="B188" s="4">
        <v>360687</v>
      </c>
      <c r="C188" s="3">
        <v>2</v>
      </c>
    </row>
    <row r="189" spans="1:3" hidden="1">
      <c r="A189" t="s">
        <v>152</v>
      </c>
      <c r="B189" s="4">
        <v>347628</v>
      </c>
      <c r="C189" s="3">
        <v>2</v>
      </c>
    </row>
    <row r="190" spans="1:3" hidden="1">
      <c r="A190" t="s">
        <v>153</v>
      </c>
      <c r="B190" s="4">
        <v>308576</v>
      </c>
      <c r="C190" s="3">
        <v>2</v>
      </c>
    </row>
    <row r="191" spans="1:3" hidden="1">
      <c r="A191" t="s">
        <v>154</v>
      </c>
      <c r="B191" s="4">
        <v>277359</v>
      </c>
      <c r="C191" s="3">
        <v>1</v>
      </c>
    </row>
    <row r="192" spans="1:3" hidden="1">
      <c r="A192" t="s">
        <v>155</v>
      </c>
      <c r="B192" s="4">
        <v>262932</v>
      </c>
      <c r="C192" s="3">
        <v>2</v>
      </c>
    </row>
    <row r="193" spans="1:3" hidden="1">
      <c r="A193" t="s">
        <v>156</v>
      </c>
      <c r="B193" s="4">
        <v>242980</v>
      </c>
      <c r="C193" s="3">
        <v>2</v>
      </c>
    </row>
    <row r="194" spans="1:3" hidden="1">
      <c r="A194" t="s">
        <v>157</v>
      </c>
      <c r="B194" s="4">
        <v>236860</v>
      </c>
      <c r="C194" s="3">
        <v>2</v>
      </c>
    </row>
    <row r="195" spans="1:3" hidden="1">
      <c r="A195" t="s">
        <v>158</v>
      </c>
      <c r="B195" s="4">
        <v>231702</v>
      </c>
      <c r="C195" s="3">
        <v>1</v>
      </c>
    </row>
    <row r="196" spans="1:3" hidden="1">
      <c r="A196" t="s">
        <v>159</v>
      </c>
      <c r="B196" s="4">
        <v>226438</v>
      </c>
      <c r="C196" s="3">
        <v>2</v>
      </c>
    </row>
    <row r="197" spans="1:3" hidden="1">
      <c r="A197" t="s">
        <v>160</v>
      </c>
      <c r="B197" s="4">
        <v>213295</v>
      </c>
      <c r="C197" s="3">
        <v>2</v>
      </c>
    </row>
    <row r="198" spans="1:3" hidden="1">
      <c r="A198" t="s">
        <v>161</v>
      </c>
      <c r="B198" s="4">
        <v>194545</v>
      </c>
      <c r="C198" s="3">
        <v>1</v>
      </c>
    </row>
    <row r="199" spans="1:3" hidden="1">
      <c r="A199" t="s">
        <v>162</v>
      </c>
      <c r="B199" s="4">
        <v>187608</v>
      </c>
      <c r="C199" s="3">
        <v>1</v>
      </c>
    </row>
    <row r="200" spans="1:3" hidden="1">
      <c r="A200" t="s">
        <v>163</v>
      </c>
      <c r="B200" s="4">
        <v>169541</v>
      </c>
      <c r="C200" s="3">
        <v>1</v>
      </c>
    </row>
    <row r="201" spans="1:3" hidden="1">
      <c r="A201" t="s">
        <v>164</v>
      </c>
      <c r="B201" s="4">
        <v>159996</v>
      </c>
      <c r="C201" s="3">
        <v>1</v>
      </c>
    </row>
    <row r="202" spans="1:3" hidden="1">
      <c r="A202" t="s">
        <v>165</v>
      </c>
      <c r="B202" s="4">
        <v>154138</v>
      </c>
      <c r="C202" s="3">
        <v>1</v>
      </c>
    </row>
    <row r="203" spans="1:3" hidden="1">
      <c r="A203" t="s">
        <v>166</v>
      </c>
      <c r="B203" s="4">
        <v>135658</v>
      </c>
      <c r="C203" s="3">
        <v>1</v>
      </c>
    </row>
    <row r="204" spans="1:3" hidden="1">
      <c r="A204" t="s">
        <v>167</v>
      </c>
      <c r="B204" s="4">
        <v>130442</v>
      </c>
      <c r="C204" s="3">
        <v>1</v>
      </c>
    </row>
    <row r="205" spans="1:3" hidden="1">
      <c r="A205" t="s">
        <v>168</v>
      </c>
      <c r="B205" s="4">
        <v>127459</v>
      </c>
      <c r="C205" s="3">
        <v>1</v>
      </c>
    </row>
    <row r="206" spans="1:3" hidden="1">
      <c r="A206" t="s">
        <v>169</v>
      </c>
      <c r="B206" s="4">
        <v>127146</v>
      </c>
      <c r="C206" s="3">
        <v>1</v>
      </c>
    </row>
    <row r="207" spans="1:3" hidden="1">
      <c r="A207" t="s">
        <v>170</v>
      </c>
      <c r="B207" s="4">
        <v>121087</v>
      </c>
      <c r="C207" s="3">
        <v>1</v>
      </c>
    </row>
    <row r="208" spans="1:3" hidden="1">
      <c r="A208" t="s">
        <v>171</v>
      </c>
      <c r="B208" s="4">
        <v>119100</v>
      </c>
      <c r="C208" s="3">
        <v>1</v>
      </c>
    </row>
    <row r="209" spans="1:3" hidden="1">
      <c r="A209" t="s">
        <v>172</v>
      </c>
      <c r="B209" s="4">
        <v>118746</v>
      </c>
      <c r="C209" s="3">
        <v>1</v>
      </c>
    </row>
    <row r="210" spans="1:3" hidden="1">
      <c r="A210" t="s">
        <v>173</v>
      </c>
      <c r="B210" s="4">
        <v>117494</v>
      </c>
      <c r="C210" s="3">
        <v>1</v>
      </c>
    </row>
    <row r="211" spans="1:3" hidden="1">
      <c r="A211" t="s">
        <v>12</v>
      </c>
      <c r="B211" s="4">
        <v>3910809184</v>
      </c>
      <c r="C211" s="3">
        <v>3270432</v>
      </c>
    </row>
  </sheetData>
  <mergeCells count="3">
    <mergeCell ref="A7:E7"/>
    <mergeCell ref="A2:B2"/>
    <mergeCell ref="A1:L1"/>
  </mergeCells>
  <conditionalFormatting sqref="B51:B2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1:B2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378C8-2168-4195-BD30-7CD2CFD724B3}">
  <sheetPr filterMode="1"/>
  <dimension ref="A1:X8236"/>
  <sheetViews>
    <sheetView workbookViewId="0">
      <selection activeCell="C42" sqref="C42"/>
    </sheetView>
  </sheetViews>
  <sheetFormatPr defaultRowHeight="15"/>
  <cols>
    <col min="1" max="1" width="10.7109375" bestFit="1" customWidth="1"/>
    <col min="2" max="2" width="10.28515625" customWidth="1"/>
    <col min="3" max="3" width="24.28515625" customWidth="1"/>
    <col min="4" max="4" width="11.28515625" bestFit="1" customWidth="1"/>
    <col min="5" max="5" width="21.7109375" customWidth="1"/>
    <col min="6" max="6" width="20" bestFit="1" customWidth="1"/>
    <col min="7" max="7" width="27.42578125" customWidth="1"/>
    <col min="8" max="8" width="14.140625" bestFit="1" customWidth="1"/>
    <col min="9" max="9" width="24.140625" customWidth="1"/>
    <col min="10" max="10" width="13.85546875" bestFit="1" customWidth="1"/>
    <col min="11" max="11" width="33" customWidth="1"/>
    <col min="12" max="12" width="17.28515625" bestFit="1" customWidth="1"/>
    <col min="13" max="13" width="25.28515625" customWidth="1"/>
    <col min="14" max="14" width="10.42578125" customWidth="1"/>
    <col min="15" max="15" width="5.5703125" customWidth="1"/>
    <col min="16" max="16" width="10.85546875" bestFit="1" customWidth="1"/>
    <col min="17" max="17" width="37.85546875" customWidth="1"/>
    <col min="18" max="18" width="15.28515625" bestFit="1" customWidth="1"/>
    <col min="19" max="19" width="11.85546875" customWidth="1"/>
    <col min="20" max="20" width="10.5703125" customWidth="1"/>
    <col min="21" max="21" width="22" customWidth="1"/>
    <col min="22" max="22" width="28" customWidth="1"/>
    <col min="23" max="23" width="15.5703125" bestFit="1" customWidth="1"/>
    <col min="24" max="24" width="22.140625" customWidth="1"/>
  </cols>
  <sheetData>
    <row r="1" spans="1:24">
      <c r="A1" t="s">
        <v>174</v>
      </c>
      <c r="B1" t="s">
        <v>175</v>
      </c>
      <c r="C1" t="s">
        <v>176</v>
      </c>
      <c r="D1" t="s">
        <v>177</v>
      </c>
      <c r="E1" t="s">
        <v>178</v>
      </c>
      <c r="F1" t="s">
        <v>179</v>
      </c>
      <c r="G1" t="s">
        <v>180</v>
      </c>
      <c r="H1" t="s">
        <v>181</v>
      </c>
      <c r="I1" t="s">
        <v>0</v>
      </c>
      <c r="J1" t="s">
        <v>182</v>
      </c>
      <c r="K1" t="s">
        <v>183</v>
      </c>
      <c r="L1" t="s">
        <v>184</v>
      </c>
      <c r="M1" t="s">
        <v>185</v>
      </c>
      <c r="N1" t="s">
        <v>186</v>
      </c>
      <c r="O1" t="s">
        <v>187</v>
      </c>
      <c r="P1" t="s">
        <v>188</v>
      </c>
      <c r="Q1" t="s">
        <v>189</v>
      </c>
      <c r="R1" t="s">
        <v>190</v>
      </c>
      <c r="S1" t="s">
        <v>191</v>
      </c>
      <c r="T1" t="s">
        <v>192</v>
      </c>
      <c r="U1" t="s">
        <v>193</v>
      </c>
      <c r="V1" t="s">
        <v>194</v>
      </c>
      <c r="W1" s="5" t="s">
        <v>22</v>
      </c>
      <c r="X1" s="5" t="s">
        <v>195</v>
      </c>
    </row>
    <row r="2" spans="1:24">
      <c r="A2" t="s">
        <v>196</v>
      </c>
      <c r="B2">
        <v>1</v>
      </c>
      <c r="C2" t="s">
        <v>48</v>
      </c>
      <c r="D2">
        <v>100</v>
      </c>
      <c r="E2" t="s">
        <v>197</v>
      </c>
      <c r="F2">
        <v>1005</v>
      </c>
      <c r="G2" t="s">
        <v>48</v>
      </c>
      <c r="H2">
        <v>2005</v>
      </c>
      <c r="I2" t="s">
        <v>48</v>
      </c>
      <c r="J2">
        <v>3005</v>
      </c>
      <c r="K2" t="s">
        <v>198</v>
      </c>
      <c r="L2">
        <v>0</v>
      </c>
      <c r="N2" t="s">
        <v>199</v>
      </c>
      <c r="O2">
        <v>9</v>
      </c>
      <c r="P2">
        <v>9901</v>
      </c>
      <c r="Q2" t="s">
        <v>200</v>
      </c>
      <c r="R2" t="s">
        <v>201</v>
      </c>
      <c r="S2">
        <v>1</v>
      </c>
      <c r="T2">
        <v>1</v>
      </c>
      <c r="U2">
        <v>221052</v>
      </c>
      <c r="V2">
        <v>221052</v>
      </c>
      <c r="W2">
        <f>V2/T2</f>
        <v>221052</v>
      </c>
      <c r="X2" s="6">
        <f>V2/SUM($V$2:$V$10000)</f>
        <v>5.6523340720476329E-5</v>
      </c>
    </row>
    <row r="3" spans="1:24">
      <c r="A3" t="s">
        <v>196</v>
      </c>
      <c r="B3">
        <v>1</v>
      </c>
      <c r="C3" t="s">
        <v>48</v>
      </c>
      <c r="D3">
        <v>100</v>
      </c>
      <c r="E3" t="s">
        <v>197</v>
      </c>
      <c r="F3">
        <v>1005</v>
      </c>
      <c r="G3" t="s">
        <v>48</v>
      </c>
      <c r="H3">
        <v>2005</v>
      </c>
      <c r="I3" t="s">
        <v>48</v>
      </c>
      <c r="J3">
        <v>3005</v>
      </c>
      <c r="K3" t="s">
        <v>198</v>
      </c>
      <c r="L3">
        <v>0</v>
      </c>
      <c r="N3" t="s">
        <v>199</v>
      </c>
      <c r="O3">
        <v>9</v>
      </c>
      <c r="P3">
        <v>9877</v>
      </c>
      <c r="Q3" t="s">
        <v>202</v>
      </c>
      <c r="R3" t="s">
        <v>201</v>
      </c>
      <c r="S3">
        <v>1</v>
      </c>
      <c r="T3">
        <v>1</v>
      </c>
      <c r="U3">
        <v>142272</v>
      </c>
      <c r="V3">
        <v>142272</v>
      </c>
    </row>
    <row r="4" spans="1:24">
      <c r="A4" t="s">
        <v>196</v>
      </c>
      <c r="B4">
        <v>1</v>
      </c>
      <c r="C4" t="s">
        <v>48</v>
      </c>
      <c r="D4">
        <v>100</v>
      </c>
      <c r="E4" t="s">
        <v>197</v>
      </c>
      <c r="F4">
        <v>1005</v>
      </c>
      <c r="G4" t="s">
        <v>48</v>
      </c>
      <c r="H4">
        <v>2005</v>
      </c>
      <c r="I4" t="s">
        <v>48</v>
      </c>
      <c r="J4">
        <v>3005</v>
      </c>
      <c r="K4" t="s">
        <v>198</v>
      </c>
      <c r="L4">
        <v>0</v>
      </c>
      <c r="N4" t="s">
        <v>199</v>
      </c>
      <c r="O4">
        <v>9</v>
      </c>
      <c r="P4">
        <v>9875</v>
      </c>
      <c r="Q4" t="s">
        <v>203</v>
      </c>
      <c r="R4" t="s">
        <v>201</v>
      </c>
      <c r="S4">
        <v>1</v>
      </c>
      <c r="T4">
        <v>1</v>
      </c>
      <c r="U4">
        <v>123600</v>
      </c>
      <c r="V4">
        <v>123600</v>
      </c>
    </row>
    <row r="5" spans="1:24">
      <c r="A5" t="s">
        <v>196</v>
      </c>
      <c r="B5">
        <v>1</v>
      </c>
      <c r="C5" t="s">
        <v>48</v>
      </c>
      <c r="D5">
        <v>100</v>
      </c>
      <c r="E5" t="s">
        <v>197</v>
      </c>
      <c r="F5">
        <v>1005</v>
      </c>
      <c r="G5" t="s">
        <v>48</v>
      </c>
      <c r="H5">
        <v>2005</v>
      </c>
      <c r="I5" t="s">
        <v>48</v>
      </c>
      <c r="J5">
        <v>3005</v>
      </c>
      <c r="K5" t="s">
        <v>198</v>
      </c>
      <c r="L5">
        <v>0</v>
      </c>
      <c r="N5" t="s">
        <v>199</v>
      </c>
      <c r="O5">
        <v>9</v>
      </c>
      <c r="P5">
        <v>9869</v>
      </c>
      <c r="Q5" t="s">
        <v>204</v>
      </c>
      <c r="R5" t="s">
        <v>201</v>
      </c>
      <c r="S5">
        <v>1</v>
      </c>
      <c r="T5">
        <v>1</v>
      </c>
      <c r="U5">
        <v>195000</v>
      </c>
      <c r="V5">
        <v>195000</v>
      </c>
    </row>
    <row r="6" spans="1:24">
      <c r="A6" t="s">
        <v>196</v>
      </c>
      <c r="B6">
        <v>1</v>
      </c>
      <c r="C6" t="s">
        <v>48</v>
      </c>
      <c r="D6">
        <v>100</v>
      </c>
      <c r="E6" t="s">
        <v>197</v>
      </c>
      <c r="F6">
        <v>1005</v>
      </c>
      <c r="G6" t="s">
        <v>48</v>
      </c>
      <c r="H6">
        <v>2005</v>
      </c>
      <c r="I6" t="s">
        <v>48</v>
      </c>
      <c r="J6">
        <v>3005</v>
      </c>
      <c r="K6" t="s">
        <v>198</v>
      </c>
      <c r="L6">
        <v>0</v>
      </c>
      <c r="N6" t="s">
        <v>199</v>
      </c>
      <c r="O6">
        <v>0</v>
      </c>
      <c r="P6">
        <v>9637</v>
      </c>
      <c r="Q6" t="s">
        <v>205</v>
      </c>
      <c r="R6" t="s">
        <v>201</v>
      </c>
      <c r="S6">
        <v>1</v>
      </c>
      <c r="T6">
        <v>1</v>
      </c>
      <c r="U6">
        <v>110464</v>
      </c>
      <c r="V6">
        <v>110464</v>
      </c>
    </row>
    <row r="7" spans="1:24">
      <c r="A7" t="s">
        <v>196</v>
      </c>
      <c r="B7">
        <v>1</v>
      </c>
      <c r="C7" t="s">
        <v>48</v>
      </c>
      <c r="D7">
        <v>100</v>
      </c>
      <c r="E7" t="s">
        <v>197</v>
      </c>
      <c r="F7">
        <v>1005</v>
      </c>
      <c r="G7" t="s">
        <v>48</v>
      </c>
      <c r="H7">
        <v>2005</v>
      </c>
      <c r="I7" t="s">
        <v>48</v>
      </c>
      <c r="J7">
        <v>3006</v>
      </c>
      <c r="K7" t="s">
        <v>206</v>
      </c>
      <c r="L7">
        <v>0</v>
      </c>
      <c r="N7" t="s">
        <v>199</v>
      </c>
      <c r="O7">
        <v>9</v>
      </c>
      <c r="P7">
        <v>9874</v>
      </c>
      <c r="Q7" t="s">
        <v>207</v>
      </c>
      <c r="R7" t="s">
        <v>201</v>
      </c>
      <c r="S7">
        <v>1</v>
      </c>
      <c r="T7">
        <v>1</v>
      </c>
      <c r="U7">
        <v>106632</v>
      </c>
      <c r="V7">
        <v>106632</v>
      </c>
    </row>
    <row r="8" spans="1:24">
      <c r="A8" t="s">
        <v>196</v>
      </c>
      <c r="B8">
        <v>1</v>
      </c>
      <c r="C8" t="s">
        <v>48</v>
      </c>
      <c r="D8">
        <v>100</v>
      </c>
      <c r="E8" t="s">
        <v>197</v>
      </c>
      <c r="F8">
        <v>1005</v>
      </c>
      <c r="G8" t="s">
        <v>48</v>
      </c>
      <c r="H8">
        <v>2005</v>
      </c>
      <c r="I8" t="s">
        <v>48</v>
      </c>
      <c r="J8">
        <v>3007</v>
      </c>
      <c r="K8" t="s">
        <v>208</v>
      </c>
      <c r="L8">
        <v>0</v>
      </c>
      <c r="N8" t="s">
        <v>199</v>
      </c>
      <c r="O8">
        <v>9</v>
      </c>
      <c r="P8">
        <v>9870</v>
      </c>
      <c r="Q8" t="s">
        <v>209</v>
      </c>
      <c r="R8" t="s">
        <v>201</v>
      </c>
      <c r="S8">
        <v>1</v>
      </c>
      <c r="T8">
        <v>1</v>
      </c>
      <c r="U8">
        <v>74592</v>
      </c>
      <c r="V8">
        <v>74592</v>
      </c>
    </row>
    <row r="9" spans="1:24">
      <c r="A9" t="s">
        <v>196</v>
      </c>
      <c r="B9">
        <v>1</v>
      </c>
      <c r="C9" t="s">
        <v>48</v>
      </c>
      <c r="D9">
        <v>100</v>
      </c>
      <c r="E9" t="s">
        <v>197</v>
      </c>
      <c r="F9">
        <v>1005</v>
      </c>
      <c r="G9" t="s">
        <v>48</v>
      </c>
      <c r="H9">
        <v>2005</v>
      </c>
      <c r="I9" t="s">
        <v>48</v>
      </c>
      <c r="J9">
        <v>3007</v>
      </c>
      <c r="K9" t="s">
        <v>208</v>
      </c>
      <c r="L9">
        <v>0</v>
      </c>
      <c r="N9" t="s">
        <v>199</v>
      </c>
      <c r="O9">
        <v>9</v>
      </c>
      <c r="P9">
        <v>9855</v>
      </c>
      <c r="Q9" t="s">
        <v>210</v>
      </c>
      <c r="R9" t="s">
        <v>201</v>
      </c>
      <c r="S9">
        <v>1</v>
      </c>
      <c r="T9">
        <v>1</v>
      </c>
      <c r="U9">
        <v>90048</v>
      </c>
      <c r="V9">
        <v>90048</v>
      </c>
    </row>
    <row r="10" spans="1:24">
      <c r="A10" t="s">
        <v>196</v>
      </c>
      <c r="B10">
        <v>1</v>
      </c>
      <c r="C10" t="s">
        <v>48</v>
      </c>
      <c r="D10">
        <v>100</v>
      </c>
      <c r="E10" t="s">
        <v>197</v>
      </c>
      <c r="F10">
        <v>1005</v>
      </c>
      <c r="G10" t="s">
        <v>48</v>
      </c>
      <c r="H10">
        <v>2005</v>
      </c>
      <c r="I10" t="s">
        <v>48</v>
      </c>
      <c r="J10">
        <v>3010</v>
      </c>
      <c r="K10" t="s">
        <v>211</v>
      </c>
      <c r="L10">
        <v>0</v>
      </c>
      <c r="N10" t="s">
        <v>199</v>
      </c>
      <c r="O10">
        <v>9</v>
      </c>
      <c r="P10">
        <v>9899</v>
      </c>
      <c r="Q10" t="s">
        <v>212</v>
      </c>
      <c r="R10" t="s">
        <v>201</v>
      </c>
      <c r="S10">
        <v>1</v>
      </c>
      <c r="T10">
        <v>1</v>
      </c>
      <c r="U10">
        <v>217044</v>
      </c>
      <c r="V10">
        <v>217044</v>
      </c>
    </row>
    <row r="11" spans="1:24">
      <c r="A11" t="s">
        <v>196</v>
      </c>
      <c r="B11">
        <v>1</v>
      </c>
      <c r="C11" t="s">
        <v>48</v>
      </c>
      <c r="D11">
        <v>100</v>
      </c>
      <c r="E11" t="s">
        <v>197</v>
      </c>
      <c r="F11">
        <v>1005</v>
      </c>
      <c r="G11" t="s">
        <v>48</v>
      </c>
      <c r="H11">
        <v>2005</v>
      </c>
      <c r="I11" t="s">
        <v>48</v>
      </c>
      <c r="J11">
        <v>3010</v>
      </c>
      <c r="K11" t="s">
        <v>211</v>
      </c>
      <c r="L11">
        <v>0</v>
      </c>
      <c r="N11" t="s">
        <v>199</v>
      </c>
      <c r="O11">
        <v>9</v>
      </c>
      <c r="P11">
        <v>9898</v>
      </c>
      <c r="Q11" t="s">
        <v>213</v>
      </c>
      <c r="R11" t="s">
        <v>201</v>
      </c>
      <c r="S11">
        <v>1</v>
      </c>
      <c r="T11">
        <v>1</v>
      </c>
      <c r="U11">
        <v>183180</v>
      </c>
      <c r="V11">
        <v>183180</v>
      </c>
    </row>
    <row r="12" spans="1:24">
      <c r="A12" t="s">
        <v>196</v>
      </c>
      <c r="B12">
        <v>1</v>
      </c>
      <c r="C12" t="s">
        <v>48</v>
      </c>
      <c r="D12">
        <v>100</v>
      </c>
      <c r="E12" t="s">
        <v>197</v>
      </c>
      <c r="F12">
        <v>1005</v>
      </c>
      <c r="G12" t="s">
        <v>48</v>
      </c>
      <c r="H12">
        <v>2005</v>
      </c>
      <c r="I12" t="s">
        <v>48</v>
      </c>
      <c r="J12">
        <v>3010</v>
      </c>
      <c r="K12" t="s">
        <v>211</v>
      </c>
      <c r="L12">
        <v>0</v>
      </c>
      <c r="N12" t="s">
        <v>199</v>
      </c>
      <c r="O12">
        <v>9</v>
      </c>
      <c r="P12">
        <v>9889</v>
      </c>
      <c r="Q12" t="s">
        <v>214</v>
      </c>
      <c r="R12" t="s">
        <v>201</v>
      </c>
      <c r="S12">
        <v>1</v>
      </c>
      <c r="T12">
        <v>1</v>
      </c>
      <c r="U12">
        <v>197760</v>
      </c>
      <c r="V12">
        <v>197760</v>
      </c>
    </row>
    <row r="13" spans="1:24">
      <c r="A13" t="s">
        <v>196</v>
      </c>
      <c r="B13">
        <v>1</v>
      </c>
      <c r="C13" t="s">
        <v>48</v>
      </c>
      <c r="D13">
        <v>100</v>
      </c>
      <c r="E13" t="s">
        <v>197</v>
      </c>
      <c r="F13">
        <v>1005</v>
      </c>
      <c r="G13" t="s">
        <v>48</v>
      </c>
      <c r="H13">
        <v>2005</v>
      </c>
      <c r="I13" t="s">
        <v>48</v>
      </c>
      <c r="J13">
        <v>3010</v>
      </c>
      <c r="K13" t="s">
        <v>211</v>
      </c>
      <c r="L13">
        <v>0</v>
      </c>
      <c r="N13" t="s">
        <v>199</v>
      </c>
      <c r="O13">
        <v>9</v>
      </c>
      <c r="P13">
        <v>9877</v>
      </c>
      <c r="Q13" t="s">
        <v>202</v>
      </c>
      <c r="R13" t="s">
        <v>201</v>
      </c>
      <c r="S13">
        <v>1</v>
      </c>
      <c r="T13">
        <v>1</v>
      </c>
      <c r="U13">
        <v>135912</v>
      </c>
      <c r="V13">
        <v>135912</v>
      </c>
    </row>
    <row r="14" spans="1:24">
      <c r="A14" t="s">
        <v>196</v>
      </c>
      <c r="B14">
        <v>1</v>
      </c>
      <c r="C14" t="s">
        <v>48</v>
      </c>
      <c r="D14">
        <v>100</v>
      </c>
      <c r="E14" t="s">
        <v>197</v>
      </c>
      <c r="F14">
        <v>1005</v>
      </c>
      <c r="G14" t="s">
        <v>48</v>
      </c>
      <c r="H14">
        <v>2005</v>
      </c>
      <c r="I14" t="s">
        <v>48</v>
      </c>
      <c r="J14">
        <v>3010</v>
      </c>
      <c r="K14" t="s">
        <v>211</v>
      </c>
      <c r="L14">
        <v>0</v>
      </c>
      <c r="N14" t="s">
        <v>199</v>
      </c>
      <c r="O14">
        <v>9</v>
      </c>
      <c r="P14">
        <v>9874</v>
      </c>
      <c r="Q14" t="s">
        <v>207</v>
      </c>
      <c r="R14" t="s">
        <v>201</v>
      </c>
      <c r="S14">
        <v>1</v>
      </c>
      <c r="T14">
        <v>1</v>
      </c>
      <c r="U14">
        <v>92172</v>
      </c>
      <c r="V14">
        <v>92172</v>
      </c>
    </row>
    <row r="15" spans="1:24">
      <c r="A15" t="s">
        <v>196</v>
      </c>
      <c r="B15">
        <v>1</v>
      </c>
      <c r="C15" t="s">
        <v>48</v>
      </c>
      <c r="D15">
        <v>100</v>
      </c>
      <c r="E15" t="s">
        <v>197</v>
      </c>
      <c r="F15">
        <v>1005</v>
      </c>
      <c r="G15" t="s">
        <v>48</v>
      </c>
      <c r="H15">
        <v>2005</v>
      </c>
      <c r="I15" t="s">
        <v>48</v>
      </c>
      <c r="J15">
        <v>3010</v>
      </c>
      <c r="K15" t="s">
        <v>211</v>
      </c>
      <c r="L15">
        <v>0</v>
      </c>
      <c r="N15" t="s">
        <v>199</v>
      </c>
      <c r="O15">
        <v>9</v>
      </c>
      <c r="P15">
        <v>9874</v>
      </c>
      <c r="Q15" t="s">
        <v>207</v>
      </c>
      <c r="R15" t="s">
        <v>201</v>
      </c>
      <c r="S15">
        <v>1</v>
      </c>
      <c r="T15">
        <v>1</v>
      </c>
      <c r="U15">
        <v>74592</v>
      </c>
      <c r="V15">
        <v>74592</v>
      </c>
    </row>
    <row r="16" spans="1:24">
      <c r="A16" t="s">
        <v>196</v>
      </c>
      <c r="B16">
        <v>1</v>
      </c>
      <c r="C16" t="s">
        <v>48</v>
      </c>
      <c r="D16">
        <v>100</v>
      </c>
      <c r="E16" t="s">
        <v>197</v>
      </c>
      <c r="F16">
        <v>1005</v>
      </c>
      <c r="G16" t="s">
        <v>48</v>
      </c>
      <c r="H16">
        <v>2005</v>
      </c>
      <c r="I16" t="s">
        <v>48</v>
      </c>
      <c r="J16">
        <v>3010</v>
      </c>
      <c r="K16" t="s">
        <v>211</v>
      </c>
      <c r="L16">
        <v>0</v>
      </c>
      <c r="N16" t="s">
        <v>199</v>
      </c>
      <c r="O16">
        <v>9</v>
      </c>
      <c r="P16">
        <v>9873</v>
      </c>
      <c r="Q16" t="s">
        <v>215</v>
      </c>
      <c r="R16" t="s">
        <v>201</v>
      </c>
      <c r="S16">
        <v>1</v>
      </c>
      <c r="T16">
        <v>1</v>
      </c>
      <c r="U16">
        <v>146544</v>
      </c>
      <c r="V16">
        <v>146544</v>
      </c>
    </row>
    <row r="17" spans="1:22">
      <c r="A17" t="s">
        <v>196</v>
      </c>
      <c r="B17">
        <v>1</v>
      </c>
      <c r="C17" t="s">
        <v>48</v>
      </c>
      <c r="D17">
        <v>100</v>
      </c>
      <c r="E17" t="s">
        <v>197</v>
      </c>
      <c r="F17">
        <v>1005</v>
      </c>
      <c r="G17" t="s">
        <v>48</v>
      </c>
      <c r="H17">
        <v>2005</v>
      </c>
      <c r="I17" t="s">
        <v>48</v>
      </c>
      <c r="J17">
        <v>3010</v>
      </c>
      <c r="K17" t="s">
        <v>211</v>
      </c>
      <c r="L17">
        <v>0</v>
      </c>
      <c r="N17" t="s">
        <v>199</v>
      </c>
      <c r="O17">
        <v>9</v>
      </c>
      <c r="P17">
        <v>9869</v>
      </c>
      <c r="Q17" t="s">
        <v>204</v>
      </c>
      <c r="R17" t="s">
        <v>201</v>
      </c>
      <c r="S17">
        <v>1</v>
      </c>
      <c r="T17">
        <v>1</v>
      </c>
      <c r="U17">
        <v>198000</v>
      </c>
      <c r="V17">
        <v>198000</v>
      </c>
    </row>
    <row r="18" spans="1:22">
      <c r="A18" t="s">
        <v>196</v>
      </c>
      <c r="B18">
        <v>1</v>
      </c>
      <c r="C18" t="s">
        <v>48</v>
      </c>
      <c r="D18">
        <v>100</v>
      </c>
      <c r="E18" t="s">
        <v>197</v>
      </c>
      <c r="F18">
        <v>1005</v>
      </c>
      <c r="G18" t="s">
        <v>48</v>
      </c>
      <c r="H18">
        <v>2005</v>
      </c>
      <c r="I18" t="s">
        <v>48</v>
      </c>
      <c r="J18">
        <v>3010</v>
      </c>
      <c r="K18" t="s">
        <v>211</v>
      </c>
      <c r="L18">
        <v>0</v>
      </c>
      <c r="N18" t="s">
        <v>216</v>
      </c>
      <c r="O18">
        <v>9</v>
      </c>
      <c r="P18">
        <v>9865</v>
      </c>
      <c r="Q18" t="s">
        <v>217</v>
      </c>
      <c r="R18" t="s">
        <v>201</v>
      </c>
      <c r="S18">
        <v>1</v>
      </c>
      <c r="T18">
        <v>1</v>
      </c>
      <c r="U18">
        <v>86064</v>
      </c>
      <c r="V18">
        <v>86064</v>
      </c>
    </row>
    <row r="19" spans="1:22">
      <c r="A19" t="s">
        <v>196</v>
      </c>
      <c r="B19">
        <v>1</v>
      </c>
      <c r="C19" t="s">
        <v>48</v>
      </c>
      <c r="D19">
        <v>100</v>
      </c>
      <c r="E19" t="s">
        <v>197</v>
      </c>
      <c r="F19">
        <v>1005</v>
      </c>
      <c r="G19" t="s">
        <v>48</v>
      </c>
      <c r="H19">
        <v>2005</v>
      </c>
      <c r="I19" t="s">
        <v>48</v>
      </c>
      <c r="J19">
        <v>3010</v>
      </c>
      <c r="K19" t="s">
        <v>211</v>
      </c>
      <c r="L19">
        <v>0</v>
      </c>
      <c r="N19" t="s">
        <v>199</v>
      </c>
      <c r="O19">
        <v>0</v>
      </c>
      <c r="P19">
        <v>9637</v>
      </c>
      <c r="Q19" t="s">
        <v>205</v>
      </c>
      <c r="R19" t="s">
        <v>201</v>
      </c>
      <c r="S19">
        <v>1</v>
      </c>
      <c r="T19">
        <v>1</v>
      </c>
      <c r="U19">
        <v>118956</v>
      </c>
      <c r="V19">
        <v>118956</v>
      </c>
    </row>
    <row r="20" spans="1:22">
      <c r="A20" t="s">
        <v>196</v>
      </c>
      <c r="B20">
        <v>1</v>
      </c>
      <c r="C20" t="s">
        <v>48</v>
      </c>
      <c r="D20">
        <v>100</v>
      </c>
      <c r="E20" t="s">
        <v>197</v>
      </c>
      <c r="F20">
        <v>1005</v>
      </c>
      <c r="G20" t="s">
        <v>48</v>
      </c>
      <c r="H20">
        <v>2005</v>
      </c>
      <c r="I20" t="s">
        <v>48</v>
      </c>
      <c r="J20">
        <v>3010</v>
      </c>
      <c r="K20" t="s">
        <v>211</v>
      </c>
      <c r="L20">
        <v>0</v>
      </c>
      <c r="N20" t="s">
        <v>199</v>
      </c>
      <c r="O20">
        <v>0</v>
      </c>
      <c r="P20">
        <v>9637</v>
      </c>
      <c r="Q20" t="s">
        <v>205</v>
      </c>
      <c r="R20" t="s">
        <v>201</v>
      </c>
      <c r="S20">
        <v>1</v>
      </c>
      <c r="T20">
        <v>1</v>
      </c>
      <c r="U20">
        <v>77964</v>
      </c>
      <c r="V20">
        <v>77964</v>
      </c>
    </row>
    <row r="21" spans="1:22">
      <c r="A21" t="s">
        <v>196</v>
      </c>
      <c r="B21">
        <v>1</v>
      </c>
      <c r="C21" t="s">
        <v>48</v>
      </c>
      <c r="D21">
        <v>100</v>
      </c>
      <c r="E21" t="s">
        <v>197</v>
      </c>
      <c r="F21">
        <v>1005</v>
      </c>
      <c r="G21" t="s">
        <v>48</v>
      </c>
      <c r="H21">
        <v>2005</v>
      </c>
      <c r="I21" t="s">
        <v>48</v>
      </c>
      <c r="J21">
        <v>3010</v>
      </c>
      <c r="K21" t="s">
        <v>211</v>
      </c>
      <c r="L21">
        <v>0</v>
      </c>
      <c r="N21" t="s">
        <v>199</v>
      </c>
      <c r="O21">
        <v>0</v>
      </c>
      <c r="P21">
        <v>9637</v>
      </c>
      <c r="Q21" t="s">
        <v>205</v>
      </c>
      <c r="R21" t="s">
        <v>201</v>
      </c>
      <c r="S21">
        <v>1</v>
      </c>
      <c r="T21">
        <v>1</v>
      </c>
      <c r="U21">
        <v>73032</v>
      </c>
      <c r="V21">
        <v>73032</v>
      </c>
    </row>
    <row r="22" spans="1:22">
      <c r="A22" t="s">
        <v>196</v>
      </c>
      <c r="B22">
        <v>1</v>
      </c>
      <c r="C22" t="s">
        <v>48</v>
      </c>
      <c r="D22">
        <v>100</v>
      </c>
      <c r="E22" t="s">
        <v>197</v>
      </c>
      <c r="F22">
        <v>1005</v>
      </c>
      <c r="G22" t="s">
        <v>48</v>
      </c>
      <c r="H22">
        <v>2005</v>
      </c>
      <c r="I22" t="s">
        <v>48</v>
      </c>
      <c r="J22">
        <v>3010</v>
      </c>
      <c r="K22" t="s">
        <v>211</v>
      </c>
      <c r="L22">
        <v>0</v>
      </c>
      <c r="N22" t="s">
        <v>199</v>
      </c>
      <c r="O22">
        <v>0</v>
      </c>
      <c r="P22">
        <v>9637</v>
      </c>
      <c r="Q22" t="s">
        <v>205</v>
      </c>
      <c r="R22" t="s">
        <v>201</v>
      </c>
      <c r="S22">
        <v>1</v>
      </c>
      <c r="T22">
        <v>1</v>
      </c>
      <c r="U22">
        <v>66132</v>
      </c>
      <c r="V22">
        <v>66132</v>
      </c>
    </row>
    <row r="23" spans="1:22">
      <c r="A23" t="s">
        <v>196</v>
      </c>
      <c r="B23">
        <v>1</v>
      </c>
      <c r="C23" t="s">
        <v>48</v>
      </c>
      <c r="D23">
        <v>100</v>
      </c>
      <c r="E23" t="s">
        <v>197</v>
      </c>
      <c r="F23">
        <v>1005</v>
      </c>
      <c r="G23" t="s">
        <v>48</v>
      </c>
      <c r="H23">
        <v>2005</v>
      </c>
      <c r="I23" t="s">
        <v>48</v>
      </c>
      <c r="J23">
        <v>3010</v>
      </c>
      <c r="K23" t="s">
        <v>211</v>
      </c>
      <c r="L23">
        <v>0</v>
      </c>
      <c r="N23" t="s">
        <v>199</v>
      </c>
      <c r="O23">
        <v>0</v>
      </c>
      <c r="P23">
        <v>9637</v>
      </c>
      <c r="Q23" t="s">
        <v>205</v>
      </c>
      <c r="R23" t="s">
        <v>201</v>
      </c>
      <c r="S23">
        <v>3</v>
      </c>
      <c r="T23">
        <v>1</v>
      </c>
      <c r="U23">
        <v>63312</v>
      </c>
      <c r="V23">
        <v>189936</v>
      </c>
    </row>
    <row r="24" spans="1:22">
      <c r="A24" t="s">
        <v>196</v>
      </c>
      <c r="B24">
        <v>1</v>
      </c>
      <c r="C24" t="s">
        <v>48</v>
      </c>
      <c r="D24">
        <v>100</v>
      </c>
      <c r="E24" t="s">
        <v>197</v>
      </c>
      <c r="F24">
        <v>1005</v>
      </c>
      <c r="G24" t="s">
        <v>48</v>
      </c>
      <c r="H24">
        <v>2005</v>
      </c>
      <c r="I24" t="s">
        <v>48</v>
      </c>
      <c r="J24">
        <v>3015</v>
      </c>
      <c r="K24" t="s">
        <v>218</v>
      </c>
      <c r="L24">
        <v>0</v>
      </c>
      <c r="N24" t="s">
        <v>199</v>
      </c>
      <c r="O24">
        <v>9</v>
      </c>
      <c r="P24">
        <v>9877</v>
      </c>
      <c r="Q24" t="s">
        <v>202</v>
      </c>
      <c r="R24" t="s">
        <v>201</v>
      </c>
      <c r="S24">
        <v>1</v>
      </c>
      <c r="T24">
        <v>1</v>
      </c>
      <c r="U24">
        <v>120216</v>
      </c>
      <c r="V24">
        <v>120216</v>
      </c>
    </row>
    <row r="25" spans="1:22">
      <c r="A25" t="s">
        <v>196</v>
      </c>
      <c r="B25">
        <v>1</v>
      </c>
      <c r="C25" t="s">
        <v>48</v>
      </c>
      <c r="D25">
        <v>100</v>
      </c>
      <c r="E25" t="s">
        <v>197</v>
      </c>
      <c r="F25">
        <v>1005</v>
      </c>
      <c r="G25" t="s">
        <v>48</v>
      </c>
      <c r="H25">
        <v>2005</v>
      </c>
      <c r="I25" t="s">
        <v>48</v>
      </c>
      <c r="J25">
        <v>3015</v>
      </c>
      <c r="K25" t="s">
        <v>218</v>
      </c>
      <c r="L25">
        <v>0</v>
      </c>
      <c r="N25" t="s">
        <v>199</v>
      </c>
      <c r="O25">
        <v>9</v>
      </c>
      <c r="P25">
        <v>9854</v>
      </c>
      <c r="Q25" t="s">
        <v>219</v>
      </c>
      <c r="R25" t="s">
        <v>201</v>
      </c>
      <c r="S25">
        <v>1</v>
      </c>
      <c r="T25">
        <v>1</v>
      </c>
      <c r="U25">
        <v>195000</v>
      </c>
      <c r="V25">
        <v>195000</v>
      </c>
    </row>
    <row r="26" spans="1:22">
      <c r="A26" t="s">
        <v>196</v>
      </c>
      <c r="B26">
        <v>1</v>
      </c>
      <c r="C26" t="s">
        <v>48</v>
      </c>
      <c r="D26">
        <v>100</v>
      </c>
      <c r="E26" t="s">
        <v>197</v>
      </c>
      <c r="F26">
        <v>1005</v>
      </c>
      <c r="G26" t="s">
        <v>48</v>
      </c>
      <c r="H26">
        <v>2005</v>
      </c>
      <c r="I26" t="s">
        <v>48</v>
      </c>
      <c r="J26">
        <v>3015</v>
      </c>
      <c r="K26" t="s">
        <v>218</v>
      </c>
      <c r="L26">
        <v>0</v>
      </c>
      <c r="N26" t="s">
        <v>199</v>
      </c>
      <c r="O26">
        <v>9</v>
      </c>
      <c r="P26">
        <v>9616</v>
      </c>
      <c r="Q26" t="s">
        <v>220</v>
      </c>
      <c r="R26" t="s">
        <v>201</v>
      </c>
      <c r="S26">
        <v>1</v>
      </c>
      <c r="T26">
        <v>1</v>
      </c>
      <c r="U26">
        <v>106596</v>
      </c>
      <c r="V26">
        <v>106596</v>
      </c>
    </row>
    <row r="27" spans="1:22">
      <c r="A27" t="s">
        <v>196</v>
      </c>
      <c r="B27">
        <v>1</v>
      </c>
      <c r="C27" t="s">
        <v>48</v>
      </c>
      <c r="D27">
        <v>100</v>
      </c>
      <c r="E27" t="s">
        <v>197</v>
      </c>
      <c r="F27">
        <v>1005</v>
      </c>
      <c r="G27" t="s">
        <v>48</v>
      </c>
      <c r="H27">
        <v>2005</v>
      </c>
      <c r="I27" t="s">
        <v>48</v>
      </c>
      <c r="J27">
        <v>3015</v>
      </c>
      <c r="K27" t="s">
        <v>218</v>
      </c>
      <c r="L27">
        <v>0</v>
      </c>
      <c r="N27" t="s">
        <v>199</v>
      </c>
      <c r="O27">
        <v>9</v>
      </c>
      <c r="P27">
        <v>9616</v>
      </c>
      <c r="Q27" t="s">
        <v>220</v>
      </c>
      <c r="R27" t="s">
        <v>201</v>
      </c>
      <c r="S27">
        <v>1</v>
      </c>
      <c r="T27">
        <v>1</v>
      </c>
      <c r="U27">
        <v>97536</v>
      </c>
      <c r="V27">
        <v>97536</v>
      </c>
    </row>
    <row r="28" spans="1:22">
      <c r="A28" t="s">
        <v>196</v>
      </c>
      <c r="B28">
        <v>1</v>
      </c>
      <c r="C28" t="s">
        <v>48</v>
      </c>
      <c r="D28">
        <v>100</v>
      </c>
      <c r="E28" t="s">
        <v>197</v>
      </c>
      <c r="F28">
        <v>1005</v>
      </c>
      <c r="G28" t="s">
        <v>48</v>
      </c>
      <c r="H28">
        <v>2005</v>
      </c>
      <c r="I28" t="s">
        <v>48</v>
      </c>
      <c r="J28">
        <v>3015</v>
      </c>
      <c r="K28" t="s">
        <v>218</v>
      </c>
      <c r="L28">
        <v>0</v>
      </c>
      <c r="N28" t="s">
        <v>199</v>
      </c>
      <c r="O28">
        <v>9</v>
      </c>
      <c r="P28">
        <v>9616</v>
      </c>
      <c r="Q28" t="s">
        <v>220</v>
      </c>
      <c r="R28" t="s">
        <v>201</v>
      </c>
      <c r="S28">
        <v>1</v>
      </c>
      <c r="T28">
        <v>1</v>
      </c>
      <c r="U28">
        <v>95664</v>
      </c>
      <c r="V28">
        <v>95664</v>
      </c>
    </row>
    <row r="29" spans="1:22">
      <c r="A29" t="s">
        <v>196</v>
      </c>
      <c r="B29">
        <v>1</v>
      </c>
      <c r="C29" t="s">
        <v>48</v>
      </c>
      <c r="D29">
        <v>100</v>
      </c>
      <c r="E29" t="s">
        <v>197</v>
      </c>
      <c r="F29">
        <v>1005</v>
      </c>
      <c r="G29" t="s">
        <v>48</v>
      </c>
      <c r="H29">
        <v>2005</v>
      </c>
      <c r="I29" t="s">
        <v>48</v>
      </c>
      <c r="J29">
        <v>3015</v>
      </c>
      <c r="K29" t="s">
        <v>218</v>
      </c>
      <c r="L29">
        <v>0</v>
      </c>
      <c r="N29" t="s">
        <v>199</v>
      </c>
      <c r="O29">
        <v>9</v>
      </c>
      <c r="P29">
        <v>9616</v>
      </c>
      <c r="Q29" t="s">
        <v>220</v>
      </c>
      <c r="R29" t="s">
        <v>201</v>
      </c>
      <c r="S29">
        <v>1</v>
      </c>
      <c r="T29">
        <v>1</v>
      </c>
      <c r="U29">
        <v>89616</v>
      </c>
      <c r="V29">
        <v>89616</v>
      </c>
    </row>
    <row r="30" spans="1:22">
      <c r="A30" t="s">
        <v>196</v>
      </c>
      <c r="B30">
        <v>1</v>
      </c>
      <c r="C30" t="s">
        <v>48</v>
      </c>
      <c r="D30">
        <v>100</v>
      </c>
      <c r="E30" t="s">
        <v>197</v>
      </c>
      <c r="F30">
        <v>1005</v>
      </c>
      <c r="G30" t="s">
        <v>48</v>
      </c>
      <c r="H30">
        <v>2005</v>
      </c>
      <c r="I30" t="s">
        <v>48</v>
      </c>
      <c r="J30">
        <v>3015</v>
      </c>
      <c r="K30" t="s">
        <v>218</v>
      </c>
      <c r="L30">
        <v>0</v>
      </c>
      <c r="N30" t="s">
        <v>199</v>
      </c>
      <c r="O30">
        <v>9</v>
      </c>
      <c r="P30">
        <v>9615</v>
      </c>
      <c r="Q30" t="s">
        <v>221</v>
      </c>
      <c r="R30" t="s">
        <v>201</v>
      </c>
      <c r="S30">
        <v>1</v>
      </c>
      <c r="T30">
        <v>1</v>
      </c>
      <c r="U30">
        <v>118956</v>
      </c>
      <c r="V30">
        <v>118956</v>
      </c>
    </row>
    <row r="31" spans="1:22">
      <c r="A31" t="s">
        <v>196</v>
      </c>
      <c r="B31">
        <v>1</v>
      </c>
      <c r="C31" t="s">
        <v>48</v>
      </c>
      <c r="D31">
        <v>100</v>
      </c>
      <c r="E31" t="s">
        <v>197</v>
      </c>
      <c r="F31">
        <v>1005</v>
      </c>
      <c r="G31" t="s">
        <v>48</v>
      </c>
      <c r="H31">
        <v>2005</v>
      </c>
      <c r="I31" t="s">
        <v>48</v>
      </c>
      <c r="J31">
        <v>3015</v>
      </c>
      <c r="K31" t="s">
        <v>218</v>
      </c>
      <c r="L31">
        <v>0</v>
      </c>
      <c r="N31" t="s">
        <v>199</v>
      </c>
      <c r="O31">
        <v>9</v>
      </c>
      <c r="P31">
        <v>925</v>
      </c>
      <c r="Q31" t="s">
        <v>222</v>
      </c>
      <c r="R31" t="s">
        <v>201</v>
      </c>
      <c r="S31">
        <v>1</v>
      </c>
      <c r="T31">
        <v>1</v>
      </c>
      <c r="U31">
        <v>75000</v>
      </c>
      <c r="V31">
        <v>75000</v>
      </c>
    </row>
    <row r="32" spans="1:22">
      <c r="A32" t="s">
        <v>196</v>
      </c>
      <c r="B32">
        <v>1</v>
      </c>
      <c r="C32" t="s">
        <v>48</v>
      </c>
      <c r="D32">
        <v>100</v>
      </c>
      <c r="E32" t="s">
        <v>197</v>
      </c>
      <c r="F32">
        <v>1005</v>
      </c>
      <c r="G32" t="s">
        <v>48</v>
      </c>
      <c r="H32">
        <v>2005</v>
      </c>
      <c r="I32" t="s">
        <v>48</v>
      </c>
      <c r="J32">
        <v>3015</v>
      </c>
      <c r="K32" t="s">
        <v>218</v>
      </c>
      <c r="L32">
        <v>0</v>
      </c>
      <c r="N32" t="s">
        <v>216</v>
      </c>
      <c r="O32">
        <v>10</v>
      </c>
      <c r="P32">
        <v>924</v>
      </c>
      <c r="Q32" t="s">
        <v>223</v>
      </c>
      <c r="R32" t="s">
        <v>201</v>
      </c>
      <c r="S32">
        <v>1</v>
      </c>
      <c r="T32">
        <v>1</v>
      </c>
      <c r="U32">
        <v>103464</v>
      </c>
      <c r="V32">
        <v>103464</v>
      </c>
    </row>
    <row r="33" spans="1:22">
      <c r="A33" t="s">
        <v>196</v>
      </c>
      <c r="B33">
        <v>1</v>
      </c>
      <c r="C33" t="s">
        <v>48</v>
      </c>
      <c r="D33">
        <v>100</v>
      </c>
      <c r="E33" t="s">
        <v>197</v>
      </c>
      <c r="F33">
        <v>1005</v>
      </c>
      <c r="G33" t="s">
        <v>48</v>
      </c>
      <c r="H33">
        <v>2005</v>
      </c>
      <c r="I33" t="s">
        <v>48</v>
      </c>
      <c r="J33">
        <v>3015</v>
      </c>
      <c r="K33" t="s">
        <v>218</v>
      </c>
      <c r="L33">
        <v>0</v>
      </c>
      <c r="N33" t="s">
        <v>199</v>
      </c>
      <c r="O33">
        <v>9</v>
      </c>
      <c r="P33">
        <v>744</v>
      </c>
      <c r="Q33" t="s">
        <v>224</v>
      </c>
      <c r="R33" t="s">
        <v>201</v>
      </c>
      <c r="S33">
        <v>1</v>
      </c>
      <c r="T33">
        <v>1</v>
      </c>
      <c r="U33">
        <v>82740</v>
      </c>
      <c r="V33">
        <v>82740</v>
      </c>
    </row>
    <row r="34" spans="1:22">
      <c r="A34" t="s">
        <v>196</v>
      </c>
      <c r="B34">
        <v>1</v>
      </c>
      <c r="C34" t="s">
        <v>48</v>
      </c>
      <c r="D34">
        <v>100</v>
      </c>
      <c r="E34" t="s">
        <v>197</v>
      </c>
      <c r="F34">
        <v>1005</v>
      </c>
      <c r="G34" t="s">
        <v>48</v>
      </c>
      <c r="H34">
        <v>2005</v>
      </c>
      <c r="I34" t="s">
        <v>48</v>
      </c>
      <c r="J34">
        <v>3015</v>
      </c>
      <c r="K34" t="s">
        <v>218</v>
      </c>
      <c r="L34">
        <v>0</v>
      </c>
      <c r="N34" t="s">
        <v>199</v>
      </c>
      <c r="O34">
        <v>9</v>
      </c>
      <c r="P34">
        <v>744</v>
      </c>
      <c r="Q34" t="s">
        <v>224</v>
      </c>
      <c r="R34" t="s">
        <v>201</v>
      </c>
      <c r="S34">
        <v>1</v>
      </c>
      <c r="T34">
        <v>1</v>
      </c>
      <c r="U34">
        <v>75000</v>
      </c>
      <c r="V34">
        <v>75000</v>
      </c>
    </row>
    <row r="35" spans="1:22">
      <c r="A35" t="s">
        <v>196</v>
      </c>
      <c r="B35">
        <v>1</v>
      </c>
      <c r="C35" t="s">
        <v>48</v>
      </c>
      <c r="D35">
        <v>100</v>
      </c>
      <c r="E35" t="s">
        <v>197</v>
      </c>
      <c r="F35">
        <v>1005</v>
      </c>
      <c r="G35" t="s">
        <v>48</v>
      </c>
      <c r="H35">
        <v>2005</v>
      </c>
      <c r="I35" t="s">
        <v>48</v>
      </c>
      <c r="J35">
        <v>3015</v>
      </c>
      <c r="K35" t="s">
        <v>218</v>
      </c>
      <c r="L35">
        <v>0</v>
      </c>
      <c r="N35" t="s">
        <v>199</v>
      </c>
      <c r="O35">
        <v>9</v>
      </c>
      <c r="P35">
        <v>740</v>
      </c>
      <c r="Q35" t="s">
        <v>225</v>
      </c>
      <c r="R35" t="s">
        <v>201</v>
      </c>
      <c r="S35">
        <v>1</v>
      </c>
      <c r="T35">
        <v>1</v>
      </c>
      <c r="U35">
        <v>61800</v>
      </c>
      <c r="V35">
        <v>61800</v>
      </c>
    </row>
    <row r="36" spans="1:22">
      <c r="A36" t="s">
        <v>196</v>
      </c>
      <c r="B36">
        <v>1</v>
      </c>
      <c r="C36" t="s">
        <v>48</v>
      </c>
      <c r="D36">
        <v>100</v>
      </c>
      <c r="E36" t="s">
        <v>197</v>
      </c>
      <c r="F36">
        <v>1005</v>
      </c>
      <c r="G36" t="s">
        <v>48</v>
      </c>
      <c r="H36">
        <v>2005</v>
      </c>
      <c r="I36" t="s">
        <v>48</v>
      </c>
      <c r="J36">
        <v>3100</v>
      </c>
      <c r="K36" t="s">
        <v>226</v>
      </c>
      <c r="L36">
        <v>0</v>
      </c>
      <c r="N36" t="s">
        <v>199</v>
      </c>
      <c r="O36">
        <v>9</v>
      </c>
      <c r="P36">
        <v>9896</v>
      </c>
      <c r="Q36" t="s">
        <v>227</v>
      </c>
      <c r="R36" t="s">
        <v>201</v>
      </c>
      <c r="S36">
        <v>1</v>
      </c>
      <c r="T36">
        <v>1</v>
      </c>
      <c r="U36">
        <v>200892</v>
      </c>
      <c r="V36">
        <v>200892</v>
      </c>
    </row>
    <row r="37" spans="1:22">
      <c r="A37" t="s">
        <v>196</v>
      </c>
      <c r="B37">
        <v>1</v>
      </c>
      <c r="C37" t="s">
        <v>48</v>
      </c>
      <c r="D37">
        <v>100</v>
      </c>
      <c r="E37" t="s">
        <v>197</v>
      </c>
      <c r="F37">
        <v>1005</v>
      </c>
      <c r="G37" t="s">
        <v>48</v>
      </c>
      <c r="H37">
        <v>2005</v>
      </c>
      <c r="I37" t="s">
        <v>48</v>
      </c>
      <c r="J37">
        <v>3105</v>
      </c>
      <c r="K37" t="s">
        <v>228</v>
      </c>
      <c r="L37">
        <v>0</v>
      </c>
      <c r="N37" t="s">
        <v>199</v>
      </c>
      <c r="O37">
        <v>9</v>
      </c>
      <c r="P37">
        <v>9877</v>
      </c>
      <c r="Q37" t="s">
        <v>202</v>
      </c>
      <c r="R37" t="s">
        <v>201</v>
      </c>
      <c r="S37">
        <v>1</v>
      </c>
      <c r="T37">
        <v>1</v>
      </c>
      <c r="U37">
        <v>146544</v>
      </c>
      <c r="V37">
        <v>146544</v>
      </c>
    </row>
    <row r="38" spans="1:22">
      <c r="A38" t="s">
        <v>196</v>
      </c>
      <c r="B38">
        <v>1</v>
      </c>
      <c r="C38" t="s">
        <v>48</v>
      </c>
      <c r="D38">
        <v>100</v>
      </c>
      <c r="E38" t="s">
        <v>197</v>
      </c>
      <c r="F38">
        <v>1005</v>
      </c>
      <c r="G38" t="s">
        <v>48</v>
      </c>
      <c r="H38">
        <v>2005</v>
      </c>
      <c r="I38" t="s">
        <v>48</v>
      </c>
      <c r="J38">
        <v>3105</v>
      </c>
      <c r="K38" t="s">
        <v>228</v>
      </c>
      <c r="L38">
        <v>0</v>
      </c>
      <c r="N38" t="s">
        <v>199</v>
      </c>
      <c r="O38">
        <v>9</v>
      </c>
      <c r="P38">
        <v>9877</v>
      </c>
      <c r="Q38" t="s">
        <v>202</v>
      </c>
      <c r="R38" t="s">
        <v>201</v>
      </c>
      <c r="S38">
        <v>1</v>
      </c>
      <c r="T38">
        <v>1</v>
      </c>
      <c r="U38">
        <v>123600</v>
      </c>
      <c r="V38">
        <v>123600</v>
      </c>
    </row>
    <row r="39" spans="1:22">
      <c r="A39" t="s">
        <v>196</v>
      </c>
      <c r="B39">
        <v>1</v>
      </c>
      <c r="C39" t="s">
        <v>48</v>
      </c>
      <c r="D39">
        <v>100</v>
      </c>
      <c r="E39" t="s">
        <v>197</v>
      </c>
      <c r="F39">
        <v>1005</v>
      </c>
      <c r="G39" t="s">
        <v>48</v>
      </c>
      <c r="H39">
        <v>2005</v>
      </c>
      <c r="I39" t="s">
        <v>48</v>
      </c>
      <c r="J39">
        <v>3105</v>
      </c>
      <c r="K39" t="s">
        <v>228</v>
      </c>
      <c r="L39">
        <v>0</v>
      </c>
      <c r="N39" t="s">
        <v>199</v>
      </c>
      <c r="O39">
        <v>9</v>
      </c>
      <c r="P39">
        <v>9877</v>
      </c>
      <c r="Q39" t="s">
        <v>202</v>
      </c>
      <c r="R39" t="s">
        <v>201</v>
      </c>
      <c r="S39">
        <v>2</v>
      </c>
      <c r="T39">
        <v>1</v>
      </c>
      <c r="U39">
        <v>103488</v>
      </c>
      <c r="V39">
        <v>206976</v>
      </c>
    </row>
    <row r="40" spans="1:22">
      <c r="A40" t="s">
        <v>196</v>
      </c>
      <c r="B40">
        <v>1</v>
      </c>
      <c r="C40" t="s">
        <v>48</v>
      </c>
      <c r="D40">
        <v>100</v>
      </c>
      <c r="E40" t="s">
        <v>197</v>
      </c>
      <c r="F40">
        <v>1005</v>
      </c>
      <c r="G40" t="s">
        <v>48</v>
      </c>
      <c r="H40">
        <v>2005</v>
      </c>
      <c r="I40" t="s">
        <v>48</v>
      </c>
      <c r="J40">
        <v>3105</v>
      </c>
      <c r="K40" t="s">
        <v>228</v>
      </c>
      <c r="L40">
        <v>0</v>
      </c>
      <c r="N40" t="s">
        <v>199</v>
      </c>
      <c r="O40">
        <v>9</v>
      </c>
      <c r="P40">
        <v>9874</v>
      </c>
      <c r="Q40" t="s">
        <v>207</v>
      </c>
      <c r="R40" t="s">
        <v>201</v>
      </c>
      <c r="S40">
        <v>1</v>
      </c>
      <c r="T40">
        <v>1</v>
      </c>
      <c r="U40">
        <v>82740</v>
      </c>
      <c r="V40">
        <v>82740</v>
      </c>
    </row>
    <row r="41" spans="1:22">
      <c r="A41" t="s">
        <v>196</v>
      </c>
      <c r="B41">
        <v>1</v>
      </c>
      <c r="C41" t="s">
        <v>48</v>
      </c>
      <c r="D41">
        <v>100</v>
      </c>
      <c r="E41" t="s">
        <v>197</v>
      </c>
      <c r="F41">
        <v>1005</v>
      </c>
      <c r="G41" t="s">
        <v>48</v>
      </c>
      <c r="H41">
        <v>2005</v>
      </c>
      <c r="I41" t="s">
        <v>48</v>
      </c>
      <c r="J41">
        <v>3105</v>
      </c>
      <c r="K41" t="s">
        <v>228</v>
      </c>
      <c r="L41">
        <v>0</v>
      </c>
      <c r="N41" t="s">
        <v>199</v>
      </c>
      <c r="O41">
        <v>9</v>
      </c>
      <c r="P41">
        <v>9874</v>
      </c>
      <c r="Q41" t="s">
        <v>207</v>
      </c>
      <c r="R41" t="s">
        <v>201</v>
      </c>
      <c r="S41">
        <v>1</v>
      </c>
      <c r="T41">
        <v>1</v>
      </c>
      <c r="U41">
        <v>76824</v>
      </c>
      <c r="V41">
        <v>76824</v>
      </c>
    </row>
    <row r="42" spans="1:22">
      <c r="A42" t="s">
        <v>196</v>
      </c>
      <c r="B42">
        <v>1</v>
      </c>
      <c r="C42" t="s">
        <v>48</v>
      </c>
      <c r="D42">
        <v>100</v>
      </c>
      <c r="E42" t="s">
        <v>197</v>
      </c>
      <c r="F42">
        <v>1005</v>
      </c>
      <c r="G42" t="s">
        <v>48</v>
      </c>
      <c r="H42">
        <v>2005</v>
      </c>
      <c r="I42" t="s">
        <v>48</v>
      </c>
      <c r="J42">
        <v>3105</v>
      </c>
      <c r="K42" t="s">
        <v>228</v>
      </c>
      <c r="L42">
        <v>0</v>
      </c>
      <c r="N42" t="s">
        <v>199</v>
      </c>
      <c r="O42">
        <v>9</v>
      </c>
      <c r="P42">
        <v>9873</v>
      </c>
      <c r="Q42" t="s">
        <v>215</v>
      </c>
      <c r="R42" t="s">
        <v>201</v>
      </c>
      <c r="S42">
        <v>1</v>
      </c>
      <c r="T42">
        <v>1</v>
      </c>
      <c r="U42">
        <v>183180</v>
      </c>
      <c r="V42">
        <v>183180</v>
      </c>
    </row>
    <row r="43" spans="1:22">
      <c r="A43" t="s">
        <v>196</v>
      </c>
      <c r="B43">
        <v>1</v>
      </c>
      <c r="C43" t="s">
        <v>48</v>
      </c>
      <c r="D43">
        <v>100</v>
      </c>
      <c r="E43" t="s">
        <v>197</v>
      </c>
      <c r="F43">
        <v>1005</v>
      </c>
      <c r="G43" t="s">
        <v>48</v>
      </c>
      <c r="H43">
        <v>2005</v>
      </c>
      <c r="I43" t="s">
        <v>48</v>
      </c>
      <c r="J43">
        <v>3105</v>
      </c>
      <c r="K43" t="s">
        <v>228</v>
      </c>
      <c r="L43">
        <v>0</v>
      </c>
      <c r="N43" t="s">
        <v>199</v>
      </c>
      <c r="O43">
        <v>9</v>
      </c>
      <c r="P43">
        <v>9873</v>
      </c>
      <c r="Q43" t="s">
        <v>215</v>
      </c>
      <c r="R43" t="s">
        <v>201</v>
      </c>
      <c r="S43">
        <v>1</v>
      </c>
      <c r="T43">
        <v>1</v>
      </c>
      <c r="U43">
        <v>152076</v>
      </c>
      <c r="V43">
        <v>152076</v>
      </c>
    </row>
    <row r="44" spans="1:22">
      <c r="A44" t="s">
        <v>196</v>
      </c>
      <c r="B44">
        <v>1</v>
      </c>
      <c r="C44" t="s">
        <v>48</v>
      </c>
      <c r="D44">
        <v>100</v>
      </c>
      <c r="E44" t="s">
        <v>197</v>
      </c>
      <c r="F44">
        <v>1005</v>
      </c>
      <c r="G44" t="s">
        <v>48</v>
      </c>
      <c r="H44">
        <v>2005</v>
      </c>
      <c r="I44" t="s">
        <v>48</v>
      </c>
      <c r="J44">
        <v>3105</v>
      </c>
      <c r="K44" t="s">
        <v>228</v>
      </c>
      <c r="L44">
        <v>0</v>
      </c>
      <c r="N44" t="s">
        <v>216</v>
      </c>
      <c r="O44">
        <v>9</v>
      </c>
      <c r="P44">
        <v>9865</v>
      </c>
      <c r="Q44" t="s">
        <v>217</v>
      </c>
      <c r="R44" t="s">
        <v>201</v>
      </c>
      <c r="S44">
        <v>1</v>
      </c>
      <c r="T44">
        <v>1</v>
      </c>
      <c r="U44">
        <v>88644</v>
      </c>
      <c r="V44">
        <v>88644</v>
      </c>
    </row>
    <row r="45" spans="1:22">
      <c r="A45" t="s">
        <v>196</v>
      </c>
      <c r="B45">
        <v>1</v>
      </c>
      <c r="C45" t="s">
        <v>48</v>
      </c>
      <c r="D45">
        <v>100</v>
      </c>
      <c r="E45" t="s">
        <v>197</v>
      </c>
      <c r="F45">
        <v>1005</v>
      </c>
      <c r="G45" t="s">
        <v>48</v>
      </c>
      <c r="H45">
        <v>2005</v>
      </c>
      <c r="I45" t="s">
        <v>48</v>
      </c>
      <c r="J45">
        <v>3105</v>
      </c>
      <c r="K45" t="s">
        <v>228</v>
      </c>
      <c r="L45">
        <v>0</v>
      </c>
      <c r="N45" t="s">
        <v>216</v>
      </c>
      <c r="O45">
        <v>9</v>
      </c>
      <c r="P45">
        <v>9865</v>
      </c>
      <c r="Q45" t="s">
        <v>217</v>
      </c>
      <c r="R45" t="s">
        <v>201</v>
      </c>
      <c r="S45">
        <v>1</v>
      </c>
      <c r="T45">
        <v>1</v>
      </c>
      <c r="U45">
        <v>81960</v>
      </c>
      <c r="V45">
        <v>81960</v>
      </c>
    </row>
    <row r="46" spans="1:22">
      <c r="A46" t="s">
        <v>196</v>
      </c>
      <c r="B46">
        <v>1</v>
      </c>
      <c r="C46" t="s">
        <v>48</v>
      </c>
      <c r="D46">
        <v>100</v>
      </c>
      <c r="E46" t="s">
        <v>197</v>
      </c>
      <c r="F46">
        <v>1005</v>
      </c>
      <c r="G46" t="s">
        <v>48</v>
      </c>
      <c r="H46">
        <v>2005</v>
      </c>
      <c r="I46" t="s">
        <v>48</v>
      </c>
      <c r="J46">
        <v>3110</v>
      </c>
      <c r="K46" t="s">
        <v>229</v>
      </c>
      <c r="L46">
        <v>0</v>
      </c>
      <c r="N46" t="s">
        <v>199</v>
      </c>
      <c r="O46">
        <v>9</v>
      </c>
      <c r="P46">
        <v>9875</v>
      </c>
      <c r="Q46" t="s">
        <v>203</v>
      </c>
      <c r="R46" t="s">
        <v>201</v>
      </c>
      <c r="S46">
        <v>2</v>
      </c>
      <c r="T46">
        <v>1</v>
      </c>
      <c r="U46">
        <v>99672</v>
      </c>
      <c r="V46">
        <v>199344</v>
      </c>
    </row>
    <row r="47" spans="1:22">
      <c r="A47" t="s">
        <v>196</v>
      </c>
      <c r="B47">
        <v>1</v>
      </c>
      <c r="C47" t="s">
        <v>48</v>
      </c>
      <c r="D47">
        <v>100</v>
      </c>
      <c r="E47" t="s">
        <v>197</v>
      </c>
      <c r="F47">
        <v>1005</v>
      </c>
      <c r="G47" t="s">
        <v>48</v>
      </c>
      <c r="H47">
        <v>2005</v>
      </c>
      <c r="I47" t="s">
        <v>48</v>
      </c>
      <c r="J47">
        <v>3110</v>
      </c>
      <c r="K47" t="s">
        <v>229</v>
      </c>
      <c r="L47">
        <v>0</v>
      </c>
      <c r="N47" t="s">
        <v>199</v>
      </c>
      <c r="O47">
        <v>9</v>
      </c>
      <c r="P47">
        <v>9871</v>
      </c>
      <c r="Q47" t="s">
        <v>230</v>
      </c>
      <c r="R47" t="s">
        <v>201</v>
      </c>
      <c r="S47">
        <v>1</v>
      </c>
      <c r="T47">
        <v>1</v>
      </c>
      <c r="U47">
        <v>152076</v>
      </c>
      <c r="V47">
        <v>152076</v>
      </c>
    </row>
    <row r="48" spans="1:22">
      <c r="A48" t="s">
        <v>196</v>
      </c>
      <c r="B48">
        <v>1</v>
      </c>
      <c r="C48" t="s">
        <v>48</v>
      </c>
      <c r="D48">
        <v>100</v>
      </c>
      <c r="E48" t="s">
        <v>197</v>
      </c>
      <c r="F48">
        <v>1005</v>
      </c>
      <c r="G48" t="s">
        <v>48</v>
      </c>
      <c r="H48">
        <v>2005</v>
      </c>
      <c r="I48" t="s">
        <v>48</v>
      </c>
      <c r="J48">
        <v>3120</v>
      </c>
      <c r="K48" t="s">
        <v>231</v>
      </c>
      <c r="L48">
        <v>0</v>
      </c>
      <c r="N48" t="s">
        <v>199</v>
      </c>
      <c r="O48">
        <v>9</v>
      </c>
      <c r="P48">
        <v>9877</v>
      </c>
      <c r="Q48" t="s">
        <v>202</v>
      </c>
      <c r="R48" t="s">
        <v>201</v>
      </c>
      <c r="S48">
        <v>1</v>
      </c>
      <c r="T48">
        <v>1</v>
      </c>
      <c r="U48">
        <v>160284</v>
      </c>
      <c r="V48">
        <v>160284</v>
      </c>
    </row>
    <row r="49" spans="1:22">
      <c r="A49" t="s">
        <v>196</v>
      </c>
      <c r="B49">
        <v>1</v>
      </c>
      <c r="C49" t="s">
        <v>48</v>
      </c>
      <c r="D49">
        <v>100</v>
      </c>
      <c r="E49" t="s">
        <v>197</v>
      </c>
      <c r="F49">
        <v>1005</v>
      </c>
      <c r="G49" t="s">
        <v>48</v>
      </c>
      <c r="H49">
        <v>2005</v>
      </c>
      <c r="I49" t="s">
        <v>48</v>
      </c>
      <c r="J49">
        <v>3120</v>
      </c>
      <c r="K49" t="s">
        <v>231</v>
      </c>
      <c r="L49">
        <v>0</v>
      </c>
      <c r="N49" t="s">
        <v>199</v>
      </c>
      <c r="O49">
        <v>9</v>
      </c>
      <c r="P49">
        <v>9877</v>
      </c>
      <c r="Q49" t="s">
        <v>202</v>
      </c>
      <c r="R49" t="s">
        <v>201</v>
      </c>
      <c r="S49">
        <v>2</v>
      </c>
      <c r="T49">
        <v>1</v>
      </c>
      <c r="U49">
        <v>152172</v>
      </c>
      <c r="V49">
        <v>304344</v>
      </c>
    </row>
    <row r="50" spans="1:22">
      <c r="A50" t="s">
        <v>196</v>
      </c>
      <c r="B50">
        <v>1</v>
      </c>
      <c r="C50" t="s">
        <v>48</v>
      </c>
      <c r="D50">
        <v>100</v>
      </c>
      <c r="E50" t="s">
        <v>197</v>
      </c>
      <c r="F50">
        <v>1005</v>
      </c>
      <c r="G50" t="s">
        <v>48</v>
      </c>
      <c r="H50">
        <v>2005</v>
      </c>
      <c r="I50" t="s">
        <v>48</v>
      </c>
      <c r="J50">
        <v>3120</v>
      </c>
      <c r="K50" t="s">
        <v>231</v>
      </c>
      <c r="L50">
        <v>0</v>
      </c>
      <c r="N50" t="s">
        <v>199</v>
      </c>
      <c r="O50">
        <v>9</v>
      </c>
      <c r="P50">
        <v>9877</v>
      </c>
      <c r="Q50" t="s">
        <v>202</v>
      </c>
      <c r="R50" t="s">
        <v>201</v>
      </c>
      <c r="S50">
        <v>1</v>
      </c>
      <c r="T50">
        <v>1</v>
      </c>
      <c r="U50">
        <v>144828</v>
      </c>
      <c r="V50">
        <v>144828</v>
      </c>
    </row>
    <row r="51" spans="1:22">
      <c r="A51" t="s">
        <v>196</v>
      </c>
      <c r="B51">
        <v>1</v>
      </c>
      <c r="C51" t="s">
        <v>48</v>
      </c>
      <c r="D51">
        <v>100</v>
      </c>
      <c r="E51" t="s">
        <v>197</v>
      </c>
      <c r="F51">
        <v>1005</v>
      </c>
      <c r="G51" t="s">
        <v>48</v>
      </c>
      <c r="H51">
        <v>2005</v>
      </c>
      <c r="I51" t="s">
        <v>48</v>
      </c>
      <c r="J51">
        <v>3120</v>
      </c>
      <c r="K51" t="s">
        <v>231</v>
      </c>
      <c r="L51">
        <v>0</v>
      </c>
      <c r="N51" t="s">
        <v>199</v>
      </c>
      <c r="O51">
        <v>9</v>
      </c>
      <c r="P51">
        <v>9807</v>
      </c>
      <c r="Q51" t="s">
        <v>232</v>
      </c>
      <c r="R51" t="s">
        <v>201</v>
      </c>
      <c r="S51">
        <v>1</v>
      </c>
      <c r="T51">
        <v>1</v>
      </c>
      <c r="U51">
        <v>82740</v>
      </c>
      <c r="V51">
        <v>82740</v>
      </c>
    </row>
    <row r="52" spans="1:22">
      <c r="A52" t="s">
        <v>196</v>
      </c>
      <c r="B52">
        <v>1</v>
      </c>
      <c r="C52" t="s">
        <v>48</v>
      </c>
      <c r="D52">
        <v>100</v>
      </c>
      <c r="E52" t="s">
        <v>197</v>
      </c>
      <c r="F52">
        <v>1005</v>
      </c>
      <c r="G52" t="s">
        <v>48</v>
      </c>
      <c r="H52">
        <v>2005</v>
      </c>
      <c r="I52" t="s">
        <v>48</v>
      </c>
      <c r="J52">
        <v>3120</v>
      </c>
      <c r="K52" t="s">
        <v>231</v>
      </c>
      <c r="L52">
        <v>0</v>
      </c>
      <c r="N52" t="s">
        <v>199</v>
      </c>
      <c r="O52">
        <v>9</v>
      </c>
      <c r="P52">
        <v>9807</v>
      </c>
      <c r="Q52" t="s">
        <v>232</v>
      </c>
      <c r="R52" t="s">
        <v>201</v>
      </c>
      <c r="S52">
        <v>1</v>
      </c>
      <c r="T52">
        <v>1</v>
      </c>
      <c r="U52">
        <v>76824</v>
      </c>
      <c r="V52">
        <v>76824</v>
      </c>
    </row>
    <row r="53" spans="1:22">
      <c r="A53" t="s">
        <v>196</v>
      </c>
      <c r="B53">
        <v>1</v>
      </c>
      <c r="C53" t="s">
        <v>48</v>
      </c>
      <c r="D53">
        <v>100</v>
      </c>
      <c r="E53" t="s">
        <v>197</v>
      </c>
      <c r="F53">
        <v>1005</v>
      </c>
      <c r="G53" t="s">
        <v>48</v>
      </c>
      <c r="H53">
        <v>2005</v>
      </c>
      <c r="I53" t="s">
        <v>48</v>
      </c>
      <c r="J53">
        <v>3120</v>
      </c>
      <c r="K53" t="s">
        <v>231</v>
      </c>
      <c r="L53">
        <v>0</v>
      </c>
      <c r="N53" t="s">
        <v>216</v>
      </c>
      <c r="O53">
        <v>9</v>
      </c>
      <c r="P53">
        <v>9804</v>
      </c>
      <c r="Q53" t="s">
        <v>233</v>
      </c>
      <c r="R53" t="s">
        <v>201</v>
      </c>
      <c r="S53">
        <v>1</v>
      </c>
      <c r="T53">
        <v>1</v>
      </c>
      <c r="U53">
        <v>111864</v>
      </c>
      <c r="V53">
        <v>111864</v>
      </c>
    </row>
    <row r="54" spans="1:22">
      <c r="A54" t="s">
        <v>196</v>
      </c>
      <c r="B54">
        <v>1</v>
      </c>
      <c r="C54" t="s">
        <v>48</v>
      </c>
      <c r="D54">
        <v>100</v>
      </c>
      <c r="E54" t="s">
        <v>197</v>
      </c>
      <c r="F54">
        <v>1005</v>
      </c>
      <c r="G54" t="s">
        <v>48</v>
      </c>
      <c r="H54">
        <v>2005</v>
      </c>
      <c r="I54" t="s">
        <v>48</v>
      </c>
      <c r="J54">
        <v>3120</v>
      </c>
      <c r="K54" t="s">
        <v>231</v>
      </c>
      <c r="L54">
        <v>0</v>
      </c>
      <c r="N54" t="s">
        <v>216</v>
      </c>
      <c r="O54">
        <v>9</v>
      </c>
      <c r="P54">
        <v>9804</v>
      </c>
      <c r="Q54" t="s">
        <v>233</v>
      </c>
      <c r="R54" t="s">
        <v>201</v>
      </c>
      <c r="S54">
        <v>1</v>
      </c>
      <c r="T54">
        <v>1</v>
      </c>
      <c r="U54">
        <v>105528</v>
      </c>
      <c r="V54">
        <v>105528</v>
      </c>
    </row>
    <row r="55" spans="1:22">
      <c r="A55" t="s">
        <v>196</v>
      </c>
      <c r="B55">
        <v>1</v>
      </c>
      <c r="C55" t="s">
        <v>48</v>
      </c>
      <c r="D55">
        <v>100</v>
      </c>
      <c r="E55" t="s">
        <v>197</v>
      </c>
      <c r="F55">
        <v>1005</v>
      </c>
      <c r="G55" t="s">
        <v>48</v>
      </c>
      <c r="H55">
        <v>2005</v>
      </c>
      <c r="I55" t="s">
        <v>48</v>
      </c>
      <c r="J55">
        <v>3120</v>
      </c>
      <c r="K55" t="s">
        <v>231</v>
      </c>
      <c r="L55">
        <v>0</v>
      </c>
      <c r="N55" t="s">
        <v>216</v>
      </c>
      <c r="O55">
        <v>9</v>
      </c>
      <c r="P55">
        <v>9804</v>
      </c>
      <c r="Q55" t="s">
        <v>233</v>
      </c>
      <c r="R55" t="s">
        <v>201</v>
      </c>
      <c r="S55">
        <v>1</v>
      </c>
      <c r="T55">
        <v>1</v>
      </c>
      <c r="U55">
        <v>105012</v>
      </c>
      <c r="V55">
        <v>105012</v>
      </c>
    </row>
    <row r="56" spans="1:22">
      <c r="A56" t="s">
        <v>196</v>
      </c>
      <c r="B56">
        <v>1</v>
      </c>
      <c r="C56" t="s">
        <v>48</v>
      </c>
      <c r="D56">
        <v>100</v>
      </c>
      <c r="E56" t="s">
        <v>197</v>
      </c>
      <c r="F56">
        <v>1005</v>
      </c>
      <c r="G56" t="s">
        <v>48</v>
      </c>
      <c r="H56">
        <v>2005</v>
      </c>
      <c r="I56" t="s">
        <v>48</v>
      </c>
      <c r="J56">
        <v>3130</v>
      </c>
      <c r="K56" t="s">
        <v>234</v>
      </c>
      <c r="L56">
        <v>0</v>
      </c>
      <c r="N56" t="s">
        <v>199</v>
      </c>
      <c r="O56">
        <v>9</v>
      </c>
      <c r="P56">
        <v>9898</v>
      </c>
      <c r="Q56" t="s">
        <v>213</v>
      </c>
      <c r="R56" t="s">
        <v>201</v>
      </c>
      <c r="S56">
        <v>1</v>
      </c>
      <c r="T56">
        <v>1</v>
      </c>
      <c r="U56">
        <v>195000</v>
      </c>
      <c r="V56">
        <v>195000</v>
      </c>
    </row>
    <row r="57" spans="1:22">
      <c r="A57" t="s">
        <v>196</v>
      </c>
      <c r="B57">
        <v>1</v>
      </c>
      <c r="C57" t="s">
        <v>48</v>
      </c>
      <c r="D57">
        <v>100</v>
      </c>
      <c r="E57" t="s">
        <v>197</v>
      </c>
      <c r="F57">
        <v>1005</v>
      </c>
      <c r="G57" t="s">
        <v>48</v>
      </c>
      <c r="H57">
        <v>2005</v>
      </c>
      <c r="I57" t="s">
        <v>48</v>
      </c>
      <c r="J57">
        <v>3130</v>
      </c>
      <c r="K57" t="s">
        <v>234</v>
      </c>
      <c r="L57">
        <v>0</v>
      </c>
      <c r="N57" t="s">
        <v>199</v>
      </c>
      <c r="O57">
        <v>9</v>
      </c>
      <c r="P57">
        <v>9877</v>
      </c>
      <c r="Q57" t="s">
        <v>202</v>
      </c>
      <c r="R57" t="s">
        <v>201</v>
      </c>
      <c r="S57">
        <v>1</v>
      </c>
      <c r="T57">
        <v>1</v>
      </c>
      <c r="U57">
        <v>103488</v>
      </c>
      <c r="V57">
        <v>103488</v>
      </c>
    </row>
    <row r="58" spans="1:22">
      <c r="A58" t="s">
        <v>196</v>
      </c>
      <c r="B58">
        <v>1</v>
      </c>
      <c r="C58" t="s">
        <v>48</v>
      </c>
      <c r="D58">
        <v>100</v>
      </c>
      <c r="E58" t="s">
        <v>197</v>
      </c>
      <c r="F58">
        <v>1005</v>
      </c>
      <c r="G58" t="s">
        <v>48</v>
      </c>
      <c r="H58">
        <v>2005</v>
      </c>
      <c r="I58" t="s">
        <v>48</v>
      </c>
      <c r="J58">
        <v>3130</v>
      </c>
      <c r="K58" t="s">
        <v>234</v>
      </c>
      <c r="L58">
        <v>0</v>
      </c>
      <c r="N58" t="s">
        <v>199</v>
      </c>
      <c r="O58">
        <v>9</v>
      </c>
      <c r="P58">
        <v>9875</v>
      </c>
      <c r="Q58" t="s">
        <v>203</v>
      </c>
      <c r="R58" t="s">
        <v>201</v>
      </c>
      <c r="S58">
        <v>1</v>
      </c>
      <c r="T58">
        <v>1</v>
      </c>
      <c r="U58">
        <v>98484</v>
      </c>
      <c r="V58">
        <v>98484</v>
      </c>
    </row>
    <row r="59" spans="1:22">
      <c r="A59" t="s">
        <v>196</v>
      </c>
      <c r="B59">
        <v>1</v>
      </c>
      <c r="C59" t="s">
        <v>48</v>
      </c>
      <c r="D59">
        <v>100</v>
      </c>
      <c r="E59" t="s">
        <v>197</v>
      </c>
      <c r="F59">
        <v>1005</v>
      </c>
      <c r="G59" t="s">
        <v>48</v>
      </c>
      <c r="H59">
        <v>2005</v>
      </c>
      <c r="I59" t="s">
        <v>48</v>
      </c>
      <c r="J59">
        <v>3130</v>
      </c>
      <c r="K59" t="s">
        <v>234</v>
      </c>
      <c r="L59">
        <v>0</v>
      </c>
      <c r="N59" t="s">
        <v>199</v>
      </c>
      <c r="O59">
        <v>9</v>
      </c>
      <c r="P59">
        <v>9874</v>
      </c>
      <c r="Q59" t="s">
        <v>207</v>
      </c>
      <c r="R59" t="s">
        <v>201</v>
      </c>
      <c r="S59">
        <v>2</v>
      </c>
      <c r="T59">
        <v>1</v>
      </c>
      <c r="U59">
        <v>89616</v>
      </c>
      <c r="V59">
        <v>179232</v>
      </c>
    </row>
    <row r="60" spans="1:22">
      <c r="A60" t="s">
        <v>196</v>
      </c>
      <c r="B60">
        <v>1</v>
      </c>
      <c r="C60" t="s">
        <v>48</v>
      </c>
      <c r="D60">
        <v>100</v>
      </c>
      <c r="E60" t="s">
        <v>197</v>
      </c>
      <c r="F60">
        <v>1005</v>
      </c>
      <c r="G60" t="s">
        <v>48</v>
      </c>
      <c r="H60">
        <v>2005</v>
      </c>
      <c r="I60" t="s">
        <v>48</v>
      </c>
      <c r="J60">
        <v>3130</v>
      </c>
      <c r="K60" t="s">
        <v>234</v>
      </c>
      <c r="L60">
        <v>0</v>
      </c>
      <c r="N60" t="s">
        <v>199</v>
      </c>
      <c r="O60">
        <v>9</v>
      </c>
      <c r="P60">
        <v>9873</v>
      </c>
      <c r="Q60" t="s">
        <v>215</v>
      </c>
      <c r="R60" t="s">
        <v>201</v>
      </c>
      <c r="S60">
        <v>1</v>
      </c>
      <c r="T60">
        <v>1</v>
      </c>
      <c r="U60">
        <v>140808</v>
      </c>
      <c r="V60">
        <v>140808</v>
      </c>
    </row>
    <row r="61" spans="1:22">
      <c r="A61" t="s">
        <v>196</v>
      </c>
      <c r="B61">
        <v>1</v>
      </c>
      <c r="C61" t="s">
        <v>48</v>
      </c>
      <c r="D61">
        <v>100</v>
      </c>
      <c r="E61" t="s">
        <v>197</v>
      </c>
      <c r="F61">
        <v>1005</v>
      </c>
      <c r="G61" t="s">
        <v>48</v>
      </c>
      <c r="H61">
        <v>2005</v>
      </c>
      <c r="I61" t="s">
        <v>48</v>
      </c>
      <c r="J61">
        <v>3135</v>
      </c>
      <c r="K61" t="s">
        <v>235</v>
      </c>
      <c r="L61">
        <v>0</v>
      </c>
      <c r="N61" t="s">
        <v>199</v>
      </c>
      <c r="O61">
        <v>9</v>
      </c>
      <c r="P61">
        <v>9877</v>
      </c>
      <c r="Q61" t="s">
        <v>202</v>
      </c>
      <c r="R61" t="s">
        <v>201</v>
      </c>
      <c r="S61">
        <v>1</v>
      </c>
      <c r="T61">
        <v>1</v>
      </c>
      <c r="U61">
        <v>113148</v>
      </c>
      <c r="V61">
        <v>113148</v>
      </c>
    </row>
    <row r="62" spans="1:22">
      <c r="A62" t="s">
        <v>196</v>
      </c>
      <c r="B62">
        <v>1</v>
      </c>
      <c r="C62" t="s">
        <v>48</v>
      </c>
      <c r="D62">
        <v>100</v>
      </c>
      <c r="E62" t="s">
        <v>197</v>
      </c>
      <c r="F62">
        <v>1005</v>
      </c>
      <c r="G62" t="s">
        <v>48</v>
      </c>
      <c r="H62">
        <v>2005</v>
      </c>
      <c r="I62" t="s">
        <v>48</v>
      </c>
      <c r="J62">
        <v>3135</v>
      </c>
      <c r="K62" t="s">
        <v>235</v>
      </c>
      <c r="L62">
        <v>0</v>
      </c>
      <c r="N62" t="s">
        <v>199</v>
      </c>
      <c r="O62">
        <v>9</v>
      </c>
      <c r="P62">
        <v>9874</v>
      </c>
      <c r="Q62" t="s">
        <v>207</v>
      </c>
      <c r="R62" t="s">
        <v>201</v>
      </c>
      <c r="S62">
        <v>1</v>
      </c>
      <c r="T62">
        <v>1</v>
      </c>
      <c r="U62">
        <v>90048</v>
      </c>
      <c r="V62">
        <v>90048</v>
      </c>
    </row>
    <row r="63" spans="1:22">
      <c r="A63" t="s">
        <v>196</v>
      </c>
      <c r="B63">
        <v>1</v>
      </c>
      <c r="C63" t="s">
        <v>48</v>
      </c>
      <c r="D63">
        <v>100</v>
      </c>
      <c r="E63" t="s">
        <v>197</v>
      </c>
      <c r="F63">
        <v>1005</v>
      </c>
      <c r="G63" t="s">
        <v>48</v>
      </c>
      <c r="H63">
        <v>2005</v>
      </c>
      <c r="I63" t="s">
        <v>48</v>
      </c>
      <c r="J63">
        <v>3135</v>
      </c>
      <c r="K63" t="s">
        <v>235</v>
      </c>
      <c r="L63">
        <v>0</v>
      </c>
      <c r="N63" t="s">
        <v>199</v>
      </c>
      <c r="O63">
        <v>9</v>
      </c>
      <c r="P63">
        <v>9872</v>
      </c>
      <c r="Q63" t="s">
        <v>236</v>
      </c>
      <c r="R63" t="s">
        <v>201</v>
      </c>
      <c r="S63">
        <v>1</v>
      </c>
      <c r="T63">
        <v>1</v>
      </c>
      <c r="U63">
        <v>195000</v>
      </c>
      <c r="V63">
        <v>195000</v>
      </c>
    </row>
    <row r="64" spans="1:22">
      <c r="A64" t="s">
        <v>196</v>
      </c>
      <c r="B64">
        <v>1</v>
      </c>
      <c r="C64" t="s">
        <v>48</v>
      </c>
      <c r="D64">
        <v>100</v>
      </c>
      <c r="E64" t="s">
        <v>197</v>
      </c>
      <c r="F64">
        <v>1005</v>
      </c>
      <c r="G64" t="s">
        <v>48</v>
      </c>
      <c r="H64">
        <v>2005</v>
      </c>
      <c r="I64" t="s">
        <v>48</v>
      </c>
      <c r="J64">
        <v>3135</v>
      </c>
      <c r="K64" t="s">
        <v>235</v>
      </c>
      <c r="L64">
        <v>0</v>
      </c>
      <c r="N64" t="s">
        <v>199</v>
      </c>
      <c r="O64">
        <v>9</v>
      </c>
      <c r="P64">
        <v>9871</v>
      </c>
      <c r="Q64" t="s">
        <v>230</v>
      </c>
      <c r="R64" t="s">
        <v>201</v>
      </c>
      <c r="S64">
        <v>1</v>
      </c>
      <c r="T64">
        <v>1</v>
      </c>
      <c r="U64">
        <v>169956</v>
      </c>
      <c r="V64">
        <v>169956</v>
      </c>
    </row>
    <row r="65" spans="1:22">
      <c r="A65" t="s">
        <v>196</v>
      </c>
      <c r="B65">
        <v>1</v>
      </c>
      <c r="C65" t="s">
        <v>48</v>
      </c>
      <c r="D65">
        <v>100</v>
      </c>
      <c r="E65" t="s">
        <v>197</v>
      </c>
      <c r="F65">
        <v>1005</v>
      </c>
      <c r="G65" t="s">
        <v>48</v>
      </c>
      <c r="H65">
        <v>2005</v>
      </c>
      <c r="I65" t="s">
        <v>48</v>
      </c>
      <c r="J65">
        <v>3135</v>
      </c>
      <c r="K65" t="s">
        <v>235</v>
      </c>
      <c r="L65">
        <v>0</v>
      </c>
      <c r="N65" t="s">
        <v>199</v>
      </c>
      <c r="O65">
        <v>9</v>
      </c>
      <c r="P65">
        <v>9871</v>
      </c>
      <c r="Q65" t="s">
        <v>230</v>
      </c>
      <c r="R65" t="s">
        <v>201</v>
      </c>
      <c r="S65">
        <v>1</v>
      </c>
      <c r="T65">
        <v>1</v>
      </c>
      <c r="U65">
        <v>140805</v>
      </c>
      <c r="V65">
        <v>140805</v>
      </c>
    </row>
    <row r="66" spans="1:22">
      <c r="A66" t="s">
        <v>196</v>
      </c>
      <c r="B66">
        <v>1</v>
      </c>
      <c r="C66" t="s">
        <v>48</v>
      </c>
      <c r="D66">
        <v>100</v>
      </c>
      <c r="E66" t="s">
        <v>197</v>
      </c>
      <c r="F66">
        <v>1005</v>
      </c>
      <c r="G66" t="s">
        <v>48</v>
      </c>
      <c r="H66">
        <v>2005</v>
      </c>
      <c r="I66" t="s">
        <v>48</v>
      </c>
      <c r="J66">
        <v>3135</v>
      </c>
      <c r="K66" t="s">
        <v>235</v>
      </c>
      <c r="L66">
        <v>0</v>
      </c>
      <c r="N66" t="s">
        <v>216</v>
      </c>
      <c r="O66">
        <v>9</v>
      </c>
      <c r="P66">
        <v>9866</v>
      </c>
      <c r="Q66" t="s">
        <v>237</v>
      </c>
      <c r="R66" t="s">
        <v>201</v>
      </c>
      <c r="S66">
        <v>1</v>
      </c>
      <c r="T66">
        <v>1</v>
      </c>
      <c r="U66">
        <v>90000</v>
      </c>
      <c r="V66">
        <v>90000</v>
      </c>
    </row>
    <row r="67" spans="1:22">
      <c r="A67" t="s">
        <v>196</v>
      </c>
      <c r="B67">
        <v>1</v>
      </c>
      <c r="C67" t="s">
        <v>48</v>
      </c>
      <c r="D67">
        <v>100</v>
      </c>
      <c r="E67" t="s">
        <v>197</v>
      </c>
      <c r="F67">
        <v>1005</v>
      </c>
      <c r="G67" t="s">
        <v>48</v>
      </c>
      <c r="H67">
        <v>2005</v>
      </c>
      <c r="I67" t="s">
        <v>48</v>
      </c>
      <c r="J67">
        <v>3145</v>
      </c>
      <c r="K67" t="s">
        <v>238</v>
      </c>
      <c r="L67">
        <v>0</v>
      </c>
      <c r="N67" t="s">
        <v>199</v>
      </c>
      <c r="O67">
        <v>9</v>
      </c>
      <c r="P67">
        <v>9877</v>
      </c>
      <c r="Q67" t="s">
        <v>202</v>
      </c>
      <c r="R67" t="s">
        <v>201</v>
      </c>
      <c r="S67">
        <v>1</v>
      </c>
      <c r="T67">
        <v>1</v>
      </c>
      <c r="U67">
        <v>110464</v>
      </c>
      <c r="V67">
        <v>110464</v>
      </c>
    </row>
    <row r="68" spans="1:22">
      <c r="A68" t="s">
        <v>196</v>
      </c>
      <c r="B68">
        <v>1</v>
      </c>
      <c r="C68" t="s">
        <v>48</v>
      </c>
      <c r="D68">
        <v>100</v>
      </c>
      <c r="E68" t="s">
        <v>197</v>
      </c>
      <c r="F68">
        <v>1005</v>
      </c>
      <c r="G68" t="s">
        <v>48</v>
      </c>
      <c r="H68">
        <v>2005</v>
      </c>
      <c r="I68" t="s">
        <v>48</v>
      </c>
      <c r="J68">
        <v>3145</v>
      </c>
      <c r="K68" t="s">
        <v>238</v>
      </c>
      <c r="L68">
        <v>0</v>
      </c>
      <c r="N68" t="s">
        <v>199</v>
      </c>
      <c r="O68">
        <v>9</v>
      </c>
      <c r="P68">
        <v>9873</v>
      </c>
      <c r="Q68" t="s">
        <v>215</v>
      </c>
      <c r="R68" t="s">
        <v>201</v>
      </c>
      <c r="S68">
        <v>1</v>
      </c>
      <c r="T68">
        <v>1</v>
      </c>
      <c r="U68">
        <v>152172</v>
      </c>
      <c r="V68">
        <v>152172</v>
      </c>
    </row>
    <row r="69" spans="1:22">
      <c r="A69" t="s">
        <v>196</v>
      </c>
      <c r="B69">
        <v>1</v>
      </c>
      <c r="C69" t="s">
        <v>48</v>
      </c>
      <c r="D69">
        <v>100</v>
      </c>
      <c r="E69" t="s">
        <v>197</v>
      </c>
      <c r="F69">
        <v>1005</v>
      </c>
      <c r="G69" t="s">
        <v>48</v>
      </c>
      <c r="H69">
        <v>2005</v>
      </c>
      <c r="I69" t="s">
        <v>48</v>
      </c>
      <c r="J69">
        <v>3145</v>
      </c>
      <c r="K69" t="s">
        <v>238</v>
      </c>
      <c r="L69">
        <v>0</v>
      </c>
      <c r="N69" t="s">
        <v>216</v>
      </c>
      <c r="O69">
        <v>9</v>
      </c>
      <c r="P69">
        <v>9865</v>
      </c>
      <c r="Q69" t="s">
        <v>217</v>
      </c>
      <c r="R69" t="s">
        <v>201</v>
      </c>
      <c r="S69">
        <v>1</v>
      </c>
      <c r="T69">
        <v>1</v>
      </c>
      <c r="U69">
        <v>95568</v>
      </c>
      <c r="V69">
        <v>95568</v>
      </c>
    </row>
    <row r="70" spans="1:22">
      <c r="A70" t="s">
        <v>196</v>
      </c>
      <c r="B70">
        <v>1</v>
      </c>
      <c r="C70" t="s">
        <v>48</v>
      </c>
      <c r="D70">
        <v>100</v>
      </c>
      <c r="E70" t="s">
        <v>197</v>
      </c>
      <c r="F70">
        <v>1005</v>
      </c>
      <c r="G70" t="s">
        <v>48</v>
      </c>
      <c r="H70">
        <v>2005</v>
      </c>
      <c r="I70" t="s">
        <v>48</v>
      </c>
      <c r="J70">
        <v>3160</v>
      </c>
      <c r="K70" t="s">
        <v>239</v>
      </c>
      <c r="L70">
        <v>0</v>
      </c>
      <c r="N70" t="s">
        <v>199</v>
      </c>
      <c r="O70">
        <v>9</v>
      </c>
      <c r="P70">
        <v>9872</v>
      </c>
      <c r="Q70" t="s">
        <v>236</v>
      </c>
      <c r="R70" t="s">
        <v>201</v>
      </c>
      <c r="S70">
        <v>1</v>
      </c>
      <c r="T70">
        <v>1</v>
      </c>
      <c r="U70">
        <v>195000</v>
      </c>
      <c r="V70">
        <v>195000</v>
      </c>
    </row>
    <row r="71" spans="1:22">
      <c r="A71" t="s">
        <v>196</v>
      </c>
      <c r="B71">
        <v>1</v>
      </c>
      <c r="C71" t="s">
        <v>48</v>
      </c>
      <c r="D71">
        <v>100</v>
      </c>
      <c r="E71" t="s">
        <v>197</v>
      </c>
      <c r="F71">
        <v>1005</v>
      </c>
      <c r="G71" t="s">
        <v>48</v>
      </c>
      <c r="H71">
        <v>2005</v>
      </c>
      <c r="I71" t="s">
        <v>48</v>
      </c>
      <c r="J71">
        <v>3160</v>
      </c>
      <c r="K71" t="s">
        <v>239</v>
      </c>
      <c r="L71">
        <v>0</v>
      </c>
      <c r="N71" t="s">
        <v>199</v>
      </c>
      <c r="O71">
        <v>9</v>
      </c>
      <c r="P71">
        <v>9871</v>
      </c>
      <c r="Q71" t="s">
        <v>230</v>
      </c>
      <c r="R71" t="s">
        <v>201</v>
      </c>
      <c r="S71">
        <v>1</v>
      </c>
      <c r="T71">
        <v>1</v>
      </c>
      <c r="U71">
        <v>152172</v>
      </c>
      <c r="V71">
        <v>152172</v>
      </c>
    </row>
    <row r="72" spans="1:22">
      <c r="A72" t="s">
        <v>196</v>
      </c>
      <c r="B72">
        <v>1</v>
      </c>
      <c r="C72" t="s">
        <v>48</v>
      </c>
      <c r="D72">
        <v>100</v>
      </c>
      <c r="E72" t="s">
        <v>197</v>
      </c>
      <c r="F72">
        <v>1005</v>
      </c>
      <c r="G72" t="s">
        <v>48</v>
      </c>
      <c r="H72">
        <v>2005</v>
      </c>
      <c r="I72" t="s">
        <v>48</v>
      </c>
      <c r="J72">
        <v>3160</v>
      </c>
      <c r="K72" t="s">
        <v>239</v>
      </c>
      <c r="L72">
        <v>0</v>
      </c>
      <c r="N72" t="s">
        <v>216</v>
      </c>
      <c r="O72">
        <v>9</v>
      </c>
      <c r="P72">
        <v>9866</v>
      </c>
      <c r="Q72" t="s">
        <v>237</v>
      </c>
      <c r="R72" t="s">
        <v>201</v>
      </c>
      <c r="S72">
        <v>1</v>
      </c>
      <c r="T72">
        <v>1</v>
      </c>
      <c r="U72">
        <v>105528</v>
      </c>
      <c r="V72">
        <v>105528</v>
      </c>
    </row>
    <row r="73" spans="1:22">
      <c r="A73" t="s">
        <v>196</v>
      </c>
      <c r="B73">
        <v>1</v>
      </c>
      <c r="C73" t="s">
        <v>48</v>
      </c>
      <c r="D73">
        <v>100</v>
      </c>
      <c r="E73" t="s">
        <v>197</v>
      </c>
      <c r="F73">
        <v>1005</v>
      </c>
      <c r="G73" t="s">
        <v>48</v>
      </c>
      <c r="H73">
        <v>2005</v>
      </c>
      <c r="I73" t="s">
        <v>48</v>
      </c>
      <c r="J73">
        <v>3170</v>
      </c>
      <c r="K73" t="s">
        <v>240</v>
      </c>
      <c r="L73">
        <v>0</v>
      </c>
      <c r="N73" t="s">
        <v>199</v>
      </c>
      <c r="O73">
        <v>9</v>
      </c>
      <c r="P73">
        <v>9877</v>
      </c>
      <c r="Q73" t="s">
        <v>202</v>
      </c>
      <c r="R73" t="s">
        <v>201</v>
      </c>
      <c r="S73">
        <v>1</v>
      </c>
      <c r="T73">
        <v>1</v>
      </c>
      <c r="U73">
        <v>127488</v>
      </c>
      <c r="V73">
        <v>127488</v>
      </c>
    </row>
    <row r="74" spans="1:22">
      <c r="A74" t="s">
        <v>196</v>
      </c>
      <c r="B74">
        <v>1</v>
      </c>
      <c r="C74" t="s">
        <v>48</v>
      </c>
      <c r="D74">
        <v>100</v>
      </c>
      <c r="E74" t="s">
        <v>197</v>
      </c>
      <c r="F74">
        <v>1005</v>
      </c>
      <c r="G74" t="s">
        <v>48</v>
      </c>
      <c r="H74">
        <v>2005</v>
      </c>
      <c r="I74" t="s">
        <v>48</v>
      </c>
      <c r="J74">
        <v>3170</v>
      </c>
      <c r="K74" t="s">
        <v>240</v>
      </c>
      <c r="L74">
        <v>0</v>
      </c>
      <c r="N74" t="s">
        <v>199</v>
      </c>
      <c r="O74">
        <v>9</v>
      </c>
      <c r="P74">
        <v>9872</v>
      </c>
      <c r="Q74" t="s">
        <v>236</v>
      </c>
      <c r="R74" t="s">
        <v>201</v>
      </c>
      <c r="S74">
        <v>1</v>
      </c>
      <c r="T74">
        <v>1</v>
      </c>
      <c r="U74">
        <v>195000</v>
      </c>
      <c r="V74">
        <v>195000</v>
      </c>
    </row>
    <row r="75" spans="1:22">
      <c r="A75" t="s">
        <v>196</v>
      </c>
      <c r="B75">
        <v>1</v>
      </c>
      <c r="C75" t="s">
        <v>48</v>
      </c>
      <c r="D75">
        <v>100</v>
      </c>
      <c r="E75" t="s">
        <v>197</v>
      </c>
      <c r="F75">
        <v>1005</v>
      </c>
      <c r="G75" t="s">
        <v>48</v>
      </c>
      <c r="H75">
        <v>2005</v>
      </c>
      <c r="I75" t="s">
        <v>48</v>
      </c>
      <c r="J75">
        <v>3180</v>
      </c>
      <c r="K75" t="s">
        <v>241</v>
      </c>
      <c r="L75">
        <v>0</v>
      </c>
      <c r="N75" t="s">
        <v>199</v>
      </c>
      <c r="O75">
        <v>9</v>
      </c>
      <c r="P75">
        <v>9877</v>
      </c>
      <c r="Q75" t="s">
        <v>202</v>
      </c>
      <c r="R75" t="s">
        <v>201</v>
      </c>
      <c r="S75">
        <v>1</v>
      </c>
      <c r="T75">
        <v>1</v>
      </c>
      <c r="U75">
        <v>118464</v>
      </c>
      <c r="V75">
        <v>118464</v>
      </c>
    </row>
    <row r="76" spans="1:22">
      <c r="A76" t="s">
        <v>196</v>
      </c>
      <c r="B76">
        <v>1</v>
      </c>
      <c r="C76" t="s">
        <v>48</v>
      </c>
      <c r="D76">
        <v>100</v>
      </c>
      <c r="E76" t="s">
        <v>197</v>
      </c>
      <c r="F76">
        <v>1005</v>
      </c>
      <c r="G76" t="s">
        <v>48</v>
      </c>
      <c r="H76">
        <v>2005</v>
      </c>
      <c r="I76" t="s">
        <v>48</v>
      </c>
      <c r="J76">
        <v>3180</v>
      </c>
      <c r="K76" t="s">
        <v>241</v>
      </c>
      <c r="L76">
        <v>0</v>
      </c>
      <c r="N76" t="s">
        <v>199</v>
      </c>
      <c r="O76">
        <v>9</v>
      </c>
      <c r="P76">
        <v>9874</v>
      </c>
      <c r="Q76" t="s">
        <v>207</v>
      </c>
      <c r="R76" t="s">
        <v>201</v>
      </c>
      <c r="S76">
        <v>1</v>
      </c>
      <c r="T76">
        <v>1</v>
      </c>
      <c r="U76">
        <v>87000</v>
      </c>
      <c r="V76">
        <v>87000</v>
      </c>
    </row>
    <row r="77" spans="1:22">
      <c r="A77" t="s">
        <v>196</v>
      </c>
      <c r="B77">
        <v>1</v>
      </c>
      <c r="C77" t="s">
        <v>48</v>
      </c>
      <c r="D77">
        <v>100</v>
      </c>
      <c r="E77" t="s">
        <v>197</v>
      </c>
      <c r="F77">
        <v>1005</v>
      </c>
      <c r="G77" t="s">
        <v>48</v>
      </c>
      <c r="H77">
        <v>2005</v>
      </c>
      <c r="I77" t="s">
        <v>48</v>
      </c>
      <c r="J77">
        <v>3180</v>
      </c>
      <c r="K77" t="s">
        <v>241</v>
      </c>
      <c r="L77">
        <v>0</v>
      </c>
      <c r="N77" t="s">
        <v>199</v>
      </c>
      <c r="O77">
        <v>9</v>
      </c>
      <c r="P77">
        <v>9872</v>
      </c>
      <c r="Q77" t="s">
        <v>236</v>
      </c>
      <c r="R77" t="s">
        <v>201</v>
      </c>
      <c r="S77">
        <v>1</v>
      </c>
      <c r="T77">
        <v>1</v>
      </c>
      <c r="U77">
        <v>195000</v>
      </c>
      <c r="V77">
        <v>195000</v>
      </c>
    </row>
    <row r="78" spans="1:22">
      <c r="A78" t="s">
        <v>196</v>
      </c>
      <c r="B78">
        <v>1</v>
      </c>
      <c r="C78" t="s">
        <v>48</v>
      </c>
      <c r="D78">
        <v>100</v>
      </c>
      <c r="E78" t="s">
        <v>197</v>
      </c>
      <c r="F78">
        <v>1005</v>
      </c>
      <c r="G78" t="s">
        <v>48</v>
      </c>
      <c r="H78">
        <v>2005</v>
      </c>
      <c r="I78" t="s">
        <v>48</v>
      </c>
      <c r="J78">
        <v>3185</v>
      </c>
      <c r="K78" t="s">
        <v>242</v>
      </c>
      <c r="L78">
        <v>0</v>
      </c>
      <c r="N78" t="s">
        <v>199</v>
      </c>
      <c r="O78">
        <v>9</v>
      </c>
      <c r="P78">
        <v>9877</v>
      </c>
      <c r="Q78" t="s">
        <v>202</v>
      </c>
      <c r="R78" t="s">
        <v>201</v>
      </c>
      <c r="S78">
        <v>1</v>
      </c>
      <c r="T78">
        <v>1</v>
      </c>
      <c r="U78">
        <v>125676</v>
      </c>
      <c r="V78">
        <v>125676</v>
      </c>
    </row>
    <row r="79" spans="1:22">
      <c r="A79" t="s">
        <v>196</v>
      </c>
      <c r="B79">
        <v>1</v>
      </c>
      <c r="C79" t="s">
        <v>48</v>
      </c>
      <c r="D79">
        <v>100</v>
      </c>
      <c r="E79" t="s">
        <v>197</v>
      </c>
      <c r="F79">
        <v>1005</v>
      </c>
      <c r="G79" t="s">
        <v>48</v>
      </c>
      <c r="H79">
        <v>2005</v>
      </c>
      <c r="I79" t="s">
        <v>48</v>
      </c>
      <c r="J79">
        <v>3185</v>
      </c>
      <c r="K79" t="s">
        <v>242</v>
      </c>
      <c r="L79">
        <v>0</v>
      </c>
      <c r="N79" t="s">
        <v>199</v>
      </c>
      <c r="O79">
        <v>9</v>
      </c>
      <c r="P79">
        <v>9877</v>
      </c>
      <c r="Q79" t="s">
        <v>202</v>
      </c>
      <c r="R79" t="s">
        <v>201</v>
      </c>
      <c r="S79">
        <v>1</v>
      </c>
      <c r="T79">
        <v>1</v>
      </c>
      <c r="U79">
        <v>105528</v>
      </c>
      <c r="V79">
        <v>105528</v>
      </c>
    </row>
    <row r="80" spans="1:22">
      <c r="A80" t="s">
        <v>196</v>
      </c>
      <c r="B80">
        <v>1</v>
      </c>
      <c r="C80" t="s">
        <v>48</v>
      </c>
      <c r="D80">
        <v>100</v>
      </c>
      <c r="E80" t="s">
        <v>197</v>
      </c>
      <c r="F80">
        <v>1005</v>
      </c>
      <c r="G80" t="s">
        <v>48</v>
      </c>
      <c r="H80">
        <v>2005</v>
      </c>
      <c r="I80" t="s">
        <v>48</v>
      </c>
      <c r="J80">
        <v>3185</v>
      </c>
      <c r="K80" t="s">
        <v>242</v>
      </c>
      <c r="L80">
        <v>0</v>
      </c>
      <c r="N80" t="s">
        <v>199</v>
      </c>
      <c r="O80">
        <v>9</v>
      </c>
      <c r="P80">
        <v>9872</v>
      </c>
      <c r="Q80" t="s">
        <v>236</v>
      </c>
      <c r="R80" t="s">
        <v>201</v>
      </c>
      <c r="S80">
        <v>1</v>
      </c>
      <c r="T80">
        <v>1</v>
      </c>
      <c r="U80">
        <v>195000</v>
      </c>
      <c r="V80">
        <v>195000</v>
      </c>
    </row>
    <row r="81" spans="1:22">
      <c r="A81" t="s">
        <v>196</v>
      </c>
      <c r="B81">
        <v>1</v>
      </c>
      <c r="C81" t="s">
        <v>48</v>
      </c>
      <c r="D81">
        <v>100</v>
      </c>
      <c r="E81" t="s">
        <v>197</v>
      </c>
      <c r="F81">
        <v>1005</v>
      </c>
      <c r="G81" t="s">
        <v>48</v>
      </c>
      <c r="H81">
        <v>2005</v>
      </c>
      <c r="I81" t="s">
        <v>48</v>
      </c>
      <c r="J81">
        <v>3185</v>
      </c>
      <c r="K81" t="s">
        <v>242</v>
      </c>
      <c r="L81">
        <v>0</v>
      </c>
      <c r="N81" t="s">
        <v>199</v>
      </c>
      <c r="O81">
        <v>9</v>
      </c>
      <c r="P81">
        <v>9871</v>
      </c>
      <c r="Q81" t="s">
        <v>230</v>
      </c>
      <c r="R81" t="s">
        <v>201</v>
      </c>
      <c r="S81">
        <v>1</v>
      </c>
      <c r="T81">
        <v>1</v>
      </c>
      <c r="U81">
        <v>140808</v>
      </c>
      <c r="V81">
        <v>140808</v>
      </c>
    </row>
    <row r="82" spans="1:22">
      <c r="A82" t="s">
        <v>196</v>
      </c>
      <c r="B82">
        <v>1</v>
      </c>
      <c r="C82" t="s">
        <v>48</v>
      </c>
      <c r="D82">
        <v>100</v>
      </c>
      <c r="E82" t="s">
        <v>197</v>
      </c>
      <c r="F82">
        <v>1005</v>
      </c>
      <c r="G82" t="s">
        <v>48</v>
      </c>
      <c r="H82">
        <v>2005</v>
      </c>
      <c r="I82" t="s">
        <v>48</v>
      </c>
      <c r="J82">
        <v>3185</v>
      </c>
      <c r="K82" t="s">
        <v>242</v>
      </c>
      <c r="L82">
        <v>0</v>
      </c>
      <c r="N82" t="s">
        <v>216</v>
      </c>
      <c r="O82">
        <v>9</v>
      </c>
      <c r="P82">
        <v>9865</v>
      </c>
      <c r="Q82" t="s">
        <v>217</v>
      </c>
      <c r="R82" t="s">
        <v>201</v>
      </c>
      <c r="S82">
        <v>1</v>
      </c>
      <c r="T82">
        <v>1</v>
      </c>
      <c r="U82">
        <v>89616</v>
      </c>
      <c r="V82">
        <v>89616</v>
      </c>
    </row>
    <row r="83" spans="1:22">
      <c r="A83" t="s">
        <v>196</v>
      </c>
      <c r="B83">
        <v>1</v>
      </c>
      <c r="C83" t="s">
        <v>48</v>
      </c>
      <c r="D83">
        <v>100</v>
      </c>
      <c r="E83" t="s">
        <v>197</v>
      </c>
      <c r="F83">
        <v>1005</v>
      </c>
      <c r="G83" t="s">
        <v>48</v>
      </c>
      <c r="H83">
        <v>2005</v>
      </c>
      <c r="I83" t="s">
        <v>48</v>
      </c>
      <c r="J83">
        <v>3185</v>
      </c>
      <c r="K83" t="s">
        <v>242</v>
      </c>
      <c r="L83">
        <v>0</v>
      </c>
      <c r="N83" t="s">
        <v>216</v>
      </c>
      <c r="O83">
        <v>9</v>
      </c>
      <c r="P83">
        <v>9865</v>
      </c>
      <c r="Q83" t="s">
        <v>217</v>
      </c>
      <c r="R83" t="s">
        <v>201</v>
      </c>
      <c r="S83">
        <v>1</v>
      </c>
      <c r="T83">
        <v>1</v>
      </c>
      <c r="U83">
        <v>84456</v>
      </c>
      <c r="V83">
        <v>84456</v>
      </c>
    </row>
    <row r="84" spans="1:22">
      <c r="A84" t="s">
        <v>196</v>
      </c>
      <c r="B84">
        <v>3</v>
      </c>
      <c r="C84" t="s">
        <v>49</v>
      </c>
      <c r="D84">
        <v>100</v>
      </c>
      <c r="E84" t="s">
        <v>197</v>
      </c>
      <c r="F84">
        <v>1005</v>
      </c>
      <c r="G84" t="s">
        <v>49</v>
      </c>
      <c r="H84">
        <v>2005</v>
      </c>
      <c r="I84" t="s">
        <v>49</v>
      </c>
      <c r="J84">
        <v>3010</v>
      </c>
      <c r="K84" t="s">
        <v>243</v>
      </c>
      <c r="L84">
        <v>0</v>
      </c>
      <c r="N84" t="s">
        <v>199</v>
      </c>
      <c r="O84">
        <v>9</v>
      </c>
      <c r="P84">
        <v>9903</v>
      </c>
      <c r="Q84" t="s">
        <v>244</v>
      </c>
      <c r="R84" t="s">
        <v>201</v>
      </c>
      <c r="S84">
        <v>1</v>
      </c>
      <c r="T84">
        <v>1</v>
      </c>
      <c r="U84">
        <v>200892</v>
      </c>
      <c r="V84">
        <v>200892</v>
      </c>
    </row>
    <row r="85" spans="1:22">
      <c r="A85" t="s">
        <v>196</v>
      </c>
      <c r="B85">
        <v>3</v>
      </c>
      <c r="C85" t="s">
        <v>49</v>
      </c>
      <c r="D85">
        <v>100</v>
      </c>
      <c r="E85" t="s">
        <v>197</v>
      </c>
      <c r="F85">
        <v>1005</v>
      </c>
      <c r="G85" t="s">
        <v>49</v>
      </c>
      <c r="H85">
        <v>2005</v>
      </c>
      <c r="I85" t="s">
        <v>49</v>
      </c>
      <c r="J85">
        <v>3010</v>
      </c>
      <c r="K85" t="s">
        <v>243</v>
      </c>
      <c r="L85">
        <v>0</v>
      </c>
      <c r="N85" t="s">
        <v>245</v>
      </c>
      <c r="O85">
        <v>20</v>
      </c>
      <c r="P85">
        <v>3051</v>
      </c>
      <c r="Q85" t="s">
        <v>246</v>
      </c>
      <c r="R85" t="s">
        <v>201</v>
      </c>
      <c r="S85">
        <v>1</v>
      </c>
      <c r="T85">
        <v>1</v>
      </c>
      <c r="U85">
        <v>141132</v>
      </c>
      <c r="V85">
        <v>141132</v>
      </c>
    </row>
    <row r="86" spans="1:22">
      <c r="A86" t="s">
        <v>196</v>
      </c>
      <c r="B86">
        <v>3</v>
      </c>
      <c r="C86" t="s">
        <v>49</v>
      </c>
      <c r="D86">
        <v>100</v>
      </c>
      <c r="E86" t="s">
        <v>197</v>
      </c>
      <c r="F86">
        <v>1005</v>
      </c>
      <c r="G86" t="s">
        <v>49</v>
      </c>
      <c r="H86">
        <v>2005</v>
      </c>
      <c r="I86" t="s">
        <v>49</v>
      </c>
      <c r="J86">
        <v>3010</v>
      </c>
      <c r="K86" t="s">
        <v>243</v>
      </c>
      <c r="L86">
        <v>0</v>
      </c>
      <c r="N86" t="s">
        <v>247</v>
      </c>
      <c r="O86">
        <v>20</v>
      </c>
      <c r="P86">
        <v>1396</v>
      </c>
      <c r="Q86" t="s">
        <v>248</v>
      </c>
      <c r="R86" t="s">
        <v>201</v>
      </c>
      <c r="S86">
        <v>1</v>
      </c>
      <c r="T86">
        <v>1</v>
      </c>
      <c r="U86">
        <v>60660</v>
      </c>
      <c r="V86">
        <v>60660</v>
      </c>
    </row>
    <row r="87" spans="1:22">
      <c r="A87" t="s">
        <v>196</v>
      </c>
      <c r="B87">
        <v>3</v>
      </c>
      <c r="C87" t="s">
        <v>49</v>
      </c>
      <c r="D87">
        <v>100</v>
      </c>
      <c r="E87" t="s">
        <v>197</v>
      </c>
      <c r="F87">
        <v>1005</v>
      </c>
      <c r="G87" t="s">
        <v>49</v>
      </c>
      <c r="H87">
        <v>2005</v>
      </c>
      <c r="I87" t="s">
        <v>49</v>
      </c>
      <c r="J87">
        <v>3010</v>
      </c>
      <c r="K87" t="s">
        <v>243</v>
      </c>
      <c r="L87">
        <v>0</v>
      </c>
      <c r="N87" t="s">
        <v>249</v>
      </c>
      <c r="O87">
        <v>10</v>
      </c>
      <c r="P87">
        <v>1307</v>
      </c>
      <c r="Q87" t="s">
        <v>250</v>
      </c>
      <c r="R87" t="s">
        <v>201</v>
      </c>
      <c r="S87">
        <v>1</v>
      </c>
      <c r="T87">
        <v>1</v>
      </c>
      <c r="U87">
        <v>97836</v>
      </c>
      <c r="V87">
        <v>97836</v>
      </c>
    </row>
    <row r="88" spans="1:22">
      <c r="A88" t="s">
        <v>196</v>
      </c>
      <c r="B88">
        <v>3</v>
      </c>
      <c r="C88" t="s">
        <v>49</v>
      </c>
      <c r="D88">
        <v>100</v>
      </c>
      <c r="E88" t="s">
        <v>197</v>
      </c>
      <c r="F88">
        <v>1005</v>
      </c>
      <c r="G88" t="s">
        <v>49</v>
      </c>
      <c r="H88">
        <v>2005</v>
      </c>
      <c r="I88" t="s">
        <v>49</v>
      </c>
      <c r="J88">
        <v>3010</v>
      </c>
      <c r="K88" t="s">
        <v>243</v>
      </c>
      <c r="L88">
        <v>0</v>
      </c>
      <c r="N88" t="s">
        <v>251</v>
      </c>
      <c r="O88">
        <v>10</v>
      </c>
      <c r="P88">
        <v>802</v>
      </c>
      <c r="Q88" t="s">
        <v>252</v>
      </c>
      <c r="R88" t="s">
        <v>201</v>
      </c>
      <c r="S88">
        <v>1</v>
      </c>
      <c r="T88">
        <v>1</v>
      </c>
      <c r="U88">
        <v>80124</v>
      </c>
      <c r="V88">
        <v>80124</v>
      </c>
    </row>
    <row r="89" spans="1:22">
      <c r="A89" t="s">
        <v>196</v>
      </c>
      <c r="B89">
        <v>3</v>
      </c>
      <c r="C89" t="s">
        <v>49</v>
      </c>
      <c r="D89">
        <v>100</v>
      </c>
      <c r="E89" t="s">
        <v>197</v>
      </c>
      <c r="F89">
        <v>1005</v>
      </c>
      <c r="G89" t="s">
        <v>49</v>
      </c>
      <c r="H89">
        <v>2005</v>
      </c>
      <c r="I89" t="s">
        <v>49</v>
      </c>
      <c r="J89">
        <v>3010</v>
      </c>
      <c r="K89" t="s">
        <v>243</v>
      </c>
      <c r="L89">
        <v>0</v>
      </c>
      <c r="N89" t="s">
        <v>253</v>
      </c>
      <c r="O89">
        <v>10</v>
      </c>
      <c r="P89">
        <v>790</v>
      </c>
      <c r="Q89" t="s">
        <v>254</v>
      </c>
      <c r="R89" t="s">
        <v>201</v>
      </c>
      <c r="S89">
        <v>1</v>
      </c>
      <c r="T89">
        <v>1</v>
      </c>
      <c r="U89">
        <v>97836</v>
      </c>
      <c r="V89">
        <v>97836</v>
      </c>
    </row>
    <row r="90" spans="1:22">
      <c r="A90" t="s">
        <v>196</v>
      </c>
      <c r="B90">
        <v>3</v>
      </c>
      <c r="C90" t="s">
        <v>49</v>
      </c>
      <c r="D90">
        <v>100</v>
      </c>
      <c r="E90" t="s">
        <v>197</v>
      </c>
      <c r="F90">
        <v>1005</v>
      </c>
      <c r="G90" t="s">
        <v>49</v>
      </c>
      <c r="H90">
        <v>2005</v>
      </c>
      <c r="I90" t="s">
        <v>49</v>
      </c>
      <c r="J90">
        <v>3010</v>
      </c>
      <c r="K90" t="s">
        <v>243</v>
      </c>
      <c r="L90">
        <v>0</v>
      </c>
      <c r="N90" t="s">
        <v>253</v>
      </c>
      <c r="O90">
        <v>10</v>
      </c>
      <c r="P90">
        <v>790</v>
      </c>
      <c r="Q90" t="s">
        <v>254</v>
      </c>
      <c r="R90" t="s">
        <v>201</v>
      </c>
      <c r="S90">
        <v>1</v>
      </c>
      <c r="T90">
        <v>1</v>
      </c>
      <c r="U90">
        <v>93384</v>
      </c>
      <c r="V90">
        <v>93384</v>
      </c>
    </row>
    <row r="91" spans="1:22">
      <c r="A91" t="s">
        <v>196</v>
      </c>
      <c r="B91">
        <v>3</v>
      </c>
      <c r="C91" t="s">
        <v>49</v>
      </c>
      <c r="D91">
        <v>100</v>
      </c>
      <c r="E91" t="s">
        <v>197</v>
      </c>
      <c r="F91">
        <v>1005</v>
      </c>
      <c r="G91" t="s">
        <v>49</v>
      </c>
      <c r="H91">
        <v>2005</v>
      </c>
      <c r="I91" t="s">
        <v>49</v>
      </c>
      <c r="J91">
        <v>3010</v>
      </c>
      <c r="K91" t="s">
        <v>243</v>
      </c>
      <c r="L91">
        <v>0</v>
      </c>
      <c r="N91" t="s">
        <v>255</v>
      </c>
      <c r="O91">
        <v>1</v>
      </c>
      <c r="P91">
        <v>729</v>
      </c>
      <c r="Q91" t="s">
        <v>256</v>
      </c>
      <c r="R91" t="s">
        <v>201</v>
      </c>
      <c r="S91">
        <v>1</v>
      </c>
      <c r="T91">
        <v>1</v>
      </c>
      <c r="U91">
        <v>93504</v>
      </c>
      <c r="V91">
        <v>93504</v>
      </c>
    </row>
    <row r="92" spans="1:22">
      <c r="A92" t="s">
        <v>196</v>
      </c>
      <c r="B92">
        <v>3</v>
      </c>
      <c r="C92" t="s">
        <v>49</v>
      </c>
      <c r="D92">
        <v>100</v>
      </c>
      <c r="E92" t="s">
        <v>197</v>
      </c>
      <c r="F92">
        <v>1005</v>
      </c>
      <c r="G92" t="s">
        <v>49</v>
      </c>
      <c r="H92">
        <v>2005</v>
      </c>
      <c r="I92" t="s">
        <v>49</v>
      </c>
      <c r="J92">
        <v>3010</v>
      </c>
      <c r="K92" t="s">
        <v>243</v>
      </c>
      <c r="L92">
        <v>0</v>
      </c>
      <c r="N92" t="s">
        <v>257</v>
      </c>
      <c r="O92">
        <v>9</v>
      </c>
      <c r="P92">
        <v>705</v>
      </c>
      <c r="Q92" t="s">
        <v>258</v>
      </c>
      <c r="R92" t="s">
        <v>201</v>
      </c>
      <c r="S92">
        <v>1</v>
      </c>
      <c r="T92">
        <v>1</v>
      </c>
      <c r="U92">
        <v>132912</v>
      </c>
      <c r="V92">
        <v>132912</v>
      </c>
    </row>
    <row r="93" spans="1:22">
      <c r="A93" t="s">
        <v>196</v>
      </c>
      <c r="B93">
        <v>3</v>
      </c>
      <c r="C93" t="s">
        <v>49</v>
      </c>
      <c r="D93">
        <v>100</v>
      </c>
      <c r="E93" t="s">
        <v>197</v>
      </c>
      <c r="F93">
        <v>1005</v>
      </c>
      <c r="G93" t="s">
        <v>49</v>
      </c>
      <c r="H93">
        <v>2005</v>
      </c>
      <c r="I93" t="s">
        <v>49</v>
      </c>
      <c r="J93">
        <v>3010</v>
      </c>
      <c r="K93" t="s">
        <v>243</v>
      </c>
      <c r="L93">
        <v>0</v>
      </c>
      <c r="N93" t="s">
        <v>259</v>
      </c>
      <c r="O93">
        <v>20</v>
      </c>
      <c r="P93">
        <v>323</v>
      </c>
      <c r="Q93" t="s">
        <v>260</v>
      </c>
      <c r="R93" t="s">
        <v>201</v>
      </c>
      <c r="S93">
        <v>1</v>
      </c>
      <c r="T93">
        <v>1</v>
      </c>
      <c r="U93">
        <v>60660</v>
      </c>
      <c r="V93">
        <v>60660</v>
      </c>
    </row>
    <row r="94" spans="1:22">
      <c r="A94" t="s">
        <v>196</v>
      </c>
      <c r="B94">
        <v>3</v>
      </c>
      <c r="C94" t="s">
        <v>49</v>
      </c>
      <c r="D94">
        <v>100</v>
      </c>
      <c r="E94" t="s">
        <v>197</v>
      </c>
      <c r="F94">
        <v>1005</v>
      </c>
      <c r="G94" t="s">
        <v>49</v>
      </c>
      <c r="H94">
        <v>2005</v>
      </c>
      <c r="I94" t="s">
        <v>49</v>
      </c>
      <c r="J94">
        <v>3010</v>
      </c>
      <c r="K94" t="s">
        <v>243</v>
      </c>
      <c r="L94">
        <v>0</v>
      </c>
      <c r="N94" t="s">
        <v>261</v>
      </c>
      <c r="O94">
        <v>20</v>
      </c>
      <c r="P94">
        <v>171</v>
      </c>
      <c r="Q94" t="s">
        <v>262</v>
      </c>
      <c r="R94" t="s">
        <v>201</v>
      </c>
      <c r="S94">
        <v>1</v>
      </c>
      <c r="T94">
        <v>1</v>
      </c>
      <c r="U94">
        <v>89112</v>
      </c>
      <c r="V94">
        <v>89112</v>
      </c>
    </row>
    <row r="95" spans="1:22">
      <c r="A95" t="s">
        <v>196</v>
      </c>
      <c r="B95">
        <v>3</v>
      </c>
      <c r="C95" t="s">
        <v>49</v>
      </c>
      <c r="D95">
        <v>100</v>
      </c>
      <c r="E95" t="s">
        <v>197</v>
      </c>
      <c r="F95">
        <v>1005</v>
      </c>
      <c r="G95" t="s">
        <v>49</v>
      </c>
      <c r="H95">
        <v>2005</v>
      </c>
      <c r="I95" t="s">
        <v>49</v>
      </c>
      <c r="J95">
        <v>3010</v>
      </c>
      <c r="K95" t="s">
        <v>243</v>
      </c>
      <c r="L95">
        <v>0</v>
      </c>
      <c r="N95" t="s">
        <v>247</v>
      </c>
      <c r="O95">
        <v>10</v>
      </c>
      <c r="P95">
        <v>127</v>
      </c>
      <c r="Q95" t="s">
        <v>263</v>
      </c>
      <c r="R95" t="s">
        <v>201</v>
      </c>
      <c r="S95">
        <v>1</v>
      </c>
      <c r="T95">
        <v>1</v>
      </c>
      <c r="U95">
        <v>66516</v>
      </c>
      <c r="V95">
        <v>66516</v>
      </c>
    </row>
    <row r="96" spans="1:22">
      <c r="A96" t="s">
        <v>196</v>
      </c>
      <c r="B96">
        <v>3</v>
      </c>
      <c r="C96" t="s">
        <v>49</v>
      </c>
      <c r="D96">
        <v>100</v>
      </c>
      <c r="E96" t="s">
        <v>197</v>
      </c>
      <c r="F96">
        <v>1005</v>
      </c>
      <c r="G96" t="s">
        <v>49</v>
      </c>
      <c r="H96">
        <v>2005</v>
      </c>
      <c r="I96" t="s">
        <v>49</v>
      </c>
      <c r="J96">
        <v>3010</v>
      </c>
      <c r="K96" t="s">
        <v>243</v>
      </c>
      <c r="L96">
        <v>0</v>
      </c>
      <c r="N96" t="s">
        <v>199</v>
      </c>
      <c r="O96">
        <v>0</v>
      </c>
      <c r="P96">
        <v>15</v>
      </c>
      <c r="Q96" t="s">
        <v>264</v>
      </c>
      <c r="R96" t="s">
        <v>201</v>
      </c>
      <c r="S96">
        <v>0</v>
      </c>
      <c r="T96">
        <v>0</v>
      </c>
      <c r="U96">
        <v>10492</v>
      </c>
      <c r="V96">
        <v>10492</v>
      </c>
    </row>
    <row r="97" spans="1:22">
      <c r="A97" t="s">
        <v>196</v>
      </c>
      <c r="B97">
        <v>3</v>
      </c>
      <c r="C97" t="s">
        <v>49</v>
      </c>
      <c r="D97">
        <v>100</v>
      </c>
      <c r="E97" t="s">
        <v>197</v>
      </c>
      <c r="F97">
        <v>1005</v>
      </c>
      <c r="G97" t="s">
        <v>49</v>
      </c>
      <c r="H97">
        <v>2005</v>
      </c>
      <c r="I97" t="s">
        <v>49</v>
      </c>
      <c r="J97">
        <v>3015</v>
      </c>
      <c r="K97" t="s">
        <v>265</v>
      </c>
      <c r="L97">
        <v>0</v>
      </c>
      <c r="N97" t="s">
        <v>266</v>
      </c>
      <c r="O97">
        <v>9</v>
      </c>
      <c r="P97">
        <v>9756</v>
      </c>
      <c r="Q97" t="s">
        <v>267</v>
      </c>
      <c r="R97" t="s">
        <v>201</v>
      </c>
      <c r="S97">
        <v>1</v>
      </c>
      <c r="T97">
        <v>1</v>
      </c>
      <c r="U97">
        <v>181356</v>
      </c>
      <c r="V97">
        <v>181356</v>
      </c>
    </row>
    <row r="98" spans="1:22">
      <c r="A98" t="s">
        <v>196</v>
      </c>
      <c r="B98">
        <v>3</v>
      </c>
      <c r="C98" t="s">
        <v>49</v>
      </c>
      <c r="D98">
        <v>100</v>
      </c>
      <c r="E98" t="s">
        <v>197</v>
      </c>
      <c r="F98">
        <v>1005</v>
      </c>
      <c r="G98" t="s">
        <v>49</v>
      </c>
      <c r="H98">
        <v>2005</v>
      </c>
      <c r="I98" t="s">
        <v>49</v>
      </c>
      <c r="J98">
        <v>3015</v>
      </c>
      <c r="K98" t="s">
        <v>265</v>
      </c>
      <c r="L98">
        <v>0</v>
      </c>
      <c r="N98" t="s">
        <v>268</v>
      </c>
      <c r="O98">
        <v>10</v>
      </c>
      <c r="P98">
        <v>1611</v>
      </c>
      <c r="Q98" t="s">
        <v>269</v>
      </c>
      <c r="R98" t="s">
        <v>201</v>
      </c>
      <c r="S98">
        <v>1</v>
      </c>
      <c r="T98">
        <v>1</v>
      </c>
      <c r="U98">
        <v>76476</v>
      </c>
      <c r="V98">
        <v>76476</v>
      </c>
    </row>
    <row r="99" spans="1:22">
      <c r="A99" t="s">
        <v>196</v>
      </c>
      <c r="B99">
        <v>3</v>
      </c>
      <c r="C99" t="s">
        <v>49</v>
      </c>
      <c r="D99">
        <v>100</v>
      </c>
      <c r="E99" t="s">
        <v>197</v>
      </c>
      <c r="F99">
        <v>1005</v>
      </c>
      <c r="G99" t="s">
        <v>49</v>
      </c>
      <c r="H99">
        <v>2005</v>
      </c>
      <c r="I99" t="s">
        <v>49</v>
      </c>
      <c r="J99">
        <v>3015</v>
      </c>
      <c r="K99" t="s">
        <v>265</v>
      </c>
      <c r="L99">
        <v>0</v>
      </c>
      <c r="N99" t="s">
        <v>261</v>
      </c>
      <c r="O99">
        <v>9</v>
      </c>
      <c r="P99">
        <v>1264</v>
      </c>
      <c r="Q99" t="s">
        <v>270</v>
      </c>
      <c r="R99" t="s">
        <v>201</v>
      </c>
      <c r="S99">
        <v>2</v>
      </c>
      <c r="T99">
        <v>1</v>
      </c>
      <c r="U99">
        <v>89112</v>
      </c>
      <c r="V99">
        <v>178224</v>
      </c>
    </row>
    <row r="100" spans="1:22">
      <c r="A100" t="s">
        <v>196</v>
      </c>
      <c r="B100">
        <v>3</v>
      </c>
      <c r="C100" t="s">
        <v>49</v>
      </c>
      <c r="D100">
        <v>100</v>
      </c>
      <c r="E100" t="s">
        <v>197</v>
      </c>
      <c r="F100">
        <v>1005</v>
      </c>
      <c r="G100" t="s">
        <v>49</v>
      </c>
      <c r="H100">
        <v>2005</v>
      </c>
      <c r="I100" t="s">
        <v>49</v>
      </c>
      <c r="J100">
        <v>3015</v>
      </c>
      <c r="K100" t="s">
        <v>265</v>
      </c>
      <c r="L100">
        <v>0</v>
      </c>
      <c r="N100" t="s">
        <v>271</v>
      </c>
      <c r="O100">
        <v>0</v>
      </c>
      <c r="P100">
        <v>1262</v>
      </c>
      <c r="Q100" t="s">
        <v>272</v>
      </c>
      <c r="R100" t="s">
        <v>201</v>
      </c>
      <c r="S100">
        <v>2</v>
      </c>
      <c r="T100">
        <v>1</v>
      </c>
      <c r="U100">
        <v>144756</v>
      </c>
      <c r="V100">
        <v>289512</v>
      </c>
    </row>
    <row r="101" spans="1:22">
      <c r="A101" t="s">
        <v>196</v>
      </c>
      <c r="B101">
        <v>3</v>
      </c>
      <c r="C101" t="s">
        <v>49</v>
      </c>
      <c r="D101">
        <v>100</v>
      </c>
      <c r="E101" t="s">
        <v>197</v>
      </c>
      <c r="F101">
        <v>1005</v>
      </c>
      <c r="G101" t="s">
        <v>49</v>
      </c>
      <c r="H101">
        <v>2005</v>
      </c>
      <c r="I101" t="s">
        <v>49</v>
      </c>
      <c r="J101">
        <v>3015</v>
      </c>
      <c r="K101" t="s">
        <v>265</v>
      </c>
      <c r="L101">
        <v>0</v>
      </c>
      <c r="N101" t="s">
        <v>271</v>
      </c>
      <c r="O101">
        <v>0</v>
      </c>
      <c r="P101">
        <v>1262</v>
      </c>
      <c r="Q101" t="s">
        <v>272</v>
      </c>
      <c r="R101" t="s">
        <v>201</v>
      </c>
      <c r="S101">
        <v>2</v>
      </c>
      <c r="T101">
        <v>1</v>
      </c>
      <c r="U101">
        <v>131124</v>
      </c>
      <c r="V101">
        <v>262248</v>
      </c>
    </row>
    <row r="102" spans="1:22">
      <c r="A102" t="s">
        <v>196</v>
      </c>
      <c r="B102">
        <v>3</v>
      </c>
      <c r="C102" t="s">
        <v>49</v>
      </c>
      <c r="D102">
        <v>100</v>
      </c>
      <c r="E102" t="s">
        <v>197</v>
      </c>
      <c r="F102">
        <v>1005</v>
      </c>
      <c r="G102" t="s">
        <v>49</v>
      </c>
      <c r="H102">
        <v>2005</v>
      </c>
      <c r="I102" t="s">
        <v>49</v>
      </c>
      <c r="J102">
        <v>3015</v>
      </c>
      <c r="K102" t="s">
        <v>265</v>
      </c>
      <c r="L102">
        <v>0</v>
      </c>
      <c r="N102" t="s">
        <v>271</v>
      </c>
      <c r="O102">
        <v>0</v>
      </c>
      <c r="P102">
        <v>1262</v>
      </c>
      <c r="Q102" t="s">
        <v>272</v>
      </c>
      <c r="R102" t="s">
        <v>201</v>
      </c>
      <c r="S102">
        <v>2</v>
      </c>
      <c r="T102">
        <v>1</v>
      </c>
      <c r="U102">
        <v>115992</v>
      </c>
      <c r="V102">
        <v>231984</v>
      </c>
    </row>
    <row r="103" spans="1:22">
      <c r="A103" t="s">
        <v>196</v>
      </c>
      <c r="B103">
        <v>3</v>
      </c>
      <c r="C103" t="s">
        <v>49</v>
      </c>
      <c r="D103">
        <v>100</v>
      </c>
      <c r="E103" t="s">
        <v>197</v>
      </c>
      <c r="F103">
        <v>1005</v>
      </c>
      <c r="G103" t="s">
        <v>49</v>
      </c>
      <c r="H103">
        <v>2005</v>
      </c>
      <c r="I103" t="s">
        <v>49</v>
      </c>
      <c r="J103">
        <v>3015</v>
      </c>
      <c r="K103" t="s">
        <v>265</v>
      </c>
      <c r="L103">
        <v>0</v>
      </c>
      <c r="N103" t="s">
        <v>259</v>
      </c>
      <c r="O103">
        <v>10</v>
      </c>
      <c r="P103">
        <v>1230</v>
      </c>
      <c r="Q103" t="s">
        <v>273</v>
      </c>
      <c r="R103" t="s">
        <v>201</v>
      </c>
      <c r="S103">
        <v>1</v>
      </c>
      <c r="T103">
        <v>1</v>
      </c>
      <c r="U103">
        <v>57852</v>
      </c>
      <c r="V103">
        <v>57852</v>
      </c>
    </row>
    <row r="104" spans="1:22">
      <c r="A104" t="s">
        <v>196</v>
      </c>
      <c r="B104">
        <v>3</v>
      </c>
      <c r="C104" t="s">
        <v>49</v>
      </c>
      <c r="D104">
        <v>100</v>
      </c>
      <c r="E104" t="s">
        <v>197</v>
      </c>
      <c r="F104">
        <v>1005</v>
      </c>
      <c r="G104" t="s">
        <v>49</v>
      </c>
      <c r="H104">
        <v>2005</v>
      </c>
      <c r="I104" t="s">
        <v>49</v>
      </c>
      <c r="J104">
        <v>3015</v>
      </c>
      <c r="K104" t="s">
        <v>265</v>
      </c>
      <c r="L104">
        <v>0</v>
      </c>
      <c r="N104" t="s">
        <v>259</v>
      </c>
      <c r="O104">
        <v>10</v>
      </c>
      <c r="P104">
        <v>1230</v>
      </c>
      <c r="Q104" t="s">
        <v>273</v>
      </c>
      <c r="R104" t="s">
        <v>201</v>
      </c>
      <c r="S104">
        <v>1</v>
      </c>
      <c r="T104">
        <v>1</v>
      </c>
      <c r="U104">
        <v>55272</v>
      </c>
      <c r="V104">
        <v>55272</v>
      </c>
    </row>
    <row r="105" spans="1:22">
      <c r="A105" t="s">
        <v>196</v>
      </c>
      <c r="B105">
        <v>3</v>
      </c>
      <c r="C105" t="s">
        <v>49</v>
      </c>
      <c r="D105">
        <v>100</v>
      </c>
      <c r="E105" t="s">
        <v>197</v>
      </c>
      <c r="F105">
        <v>1005</v>
      </c>
      <c r="G105" t="s">
        <v>49</v>
      </c>
      <c r="H105">
        <v>2005</v>
      </c>
      <c r="I105" t="s">
        <v>49</v>
      </c>
      <c r="J105">
        <v>3015</v>
      </c>
      <c r="K105" t="s">
        <v>265</v>
      </c>
      <c r="L105">
        <v>0</v>
      </c>
      <c r="N105" t="s">
        <v>259</v>
      </c>
      <c r="O105">
        <v>10</v>
      </c>
      <c r="P105">
        <v>1230</v>
      </c>
      <c r="Q105" t="s">
        <v>273</v>
      </c>
      <c r="R105" t="s">
        <v>201</v>
      </c>
      <c r="S105">
        <v>2</v>
      </c>
      <c r="T105">
        <v>1</v>
      </c>
      <c r="U105">
        <v>52716</v>
      </c>
      <c r="V105">
        <v>105432</v>
      </c>
    </row>
    <row r="106" spans="1:22">
      <c r="A106" t="s">
        <v>196</v>
      </c>
      <c r="B106">
        <v>3</v>
      </c>
      <c r="C106" t="s">
        <v>49</v>
      </c>
      <c r="D106">
        <v>100</v>
      </c>
      <c r="E106" t="s">
        <v>197</v>
      </c>
      <c r="F106">
        <v>1005</v>
      </c>
      <c r="G106" t="s">
        <v>49</v>
      </c>
      <c r="H106">
        <v>2005</v>
      </c>
      <c r="I106" t="s">
        <v>49</v>
      </c>
      <c r="J106">
        <v>3015</v>
      </c>
      <c r="K106" t="s">
        <v>265</v>
      </c>
      <c r="L106">
        <v>0</v>
      </c>
      <c r="N106" t="s">
        <v>274</v>
      </c>
      <c r="O106">
        <v>0</v>
      </c>
      <c r="P106">
        <v>1215</v>
      </c>
      <c r="Q106" t="s">
        <v>275</v>
      </c>
      <c r="R106" t="s">
        <v>201</v>
      </c>
      <c r="S106">
        <v>1</v>
      </c>
      <c r="T106">
        <v>1</v>
      </c>
      <c r="U106">
        <v>153384</v>
      </c>
      <c r="V106">
        <v>153384</v>
      </c>
    </row>
    <row r="107" spans="1:22">
      <c r="A107" t="s">
        <v>196</v>
      </c>
      <c r="B107">
        <v>3</v>
      </c>
      <c r="C107" t="s">
        <v>49</v>
      </c>
      <c r="D107">
        <v>100</v>
      </c>
      <c r="E107" t="s">
        <v>197</v>
      </c>
      <c r="F107">
        <v>1005</v>
      </c>
      <c r="G107" t="s">
        <v>49</v>
      </c>
      <c r="H107">
        <v>2005</v>
      </c>
      <c r="I107" t="s">
        <v>49</v>
      </c>
      <c r="J107">
        <v>3015</v>
      </c>
      <c r="K107" t="s">
        <v>265</v>
      </c>
      <c r="L107">
        <v>0</v>
      </c>
      <c r="N107" t="s">
        <v>274</v>
      </c>
      <c r="O107">
        <v>0</v>
      </c>
      <c r="P107">
        <v>1202</v>
      </c>
      <c r="Q107" t="s">
        <v>276</v>
      </c>
      <c r="R107" t="s">
        <v>201</v>
      </c>
      <c r="S107">
        <v>3</v>
      </c>
      <c r="T107">
        <v>1</v>
      </c>
      <c r="U107">
        <v>158508</v>
      </c>
      <c r="V107">
        <v>475524</v>
      </c>
    </row>
    <row r="108" spans="1:22">
      <c r="A108" t="s">
        <v>196</v>
      </c>
      <c r="B108">
        <v>3</v>
      </c>
      <c r="C108" t="s">
        <v>49</v>
      </c>
      <c r="D108">
        <v>100</v>
      </c>
      <c r="E108" t="s">
        <v>197</v>
      </c>
      <c r="F108">
        <v>1005</v>
      </c>
      <c r="G108" t="s">
        <v>49</v>
      </c>
      <c r="H108">
        <v>2005</v>
      </c>
      <c r="I108" t="s">
        <v>49</v>
      </c>
      <c r="J108">
        <v>3015</v>
      </c>
      <c r="K108" t="s">
        <v>265</v>
      </c>
      <c r="L108">
        <v>0</v>
      </c>
      <c r="N108" t="s">
        <v>199</v>
      </c>
      <c r="O108">
        <v>0</v>
      </c>
      <c r="P108">
        <v>15</v>
      </c>
      <c r="Q108" t="s">
        <v>264</v>
      </c>
      <c r="R108" t="s">
        <v>201</v>
      </c>
      <c r="S108">
        <v>0</v>
      </c>
      <c r="T108">
        <v>0</v>
      </c>
      <c r="U108">
        <v>19611</v>
      </c>
      <c r="V108">
        <v>19611</v>
      </c>
    </row>
    <row r="109" spans="1:22">
      <c r="A109" t="s">
        <v>196</v>
      </c>
      <c r="B109">
        <v>3</v>
      </c>
      <c r="C109" t="s">
        <v>49</v>
      </c>
      <c r="D109">
        <v>100</v>
      </c>
      <c r="E109" t="s">
        <v>197</v>
      </c>
      <c r="F109">
        <v>1005</v>
      </c>
      <c r="G109" t="s">
        <v>49</v>
      </c>
      <c r="H109">
        <v>2005</v>
      </c>
      <c r="I109" t="s">
        <v>49</v>
      </c>
      <c r="J109">
        <v>3020</v>
      </c>
      <c r="K109" t="s">
        <v>277</v>
      </c>
      <c r="L109">
        <v>0</v>
      </c>
      <c r="N109" t="s">
        <v>266</v>
      </c>
      <c r="O109">
        <v>9</v>
      </c>
      <c r="P109">
        <v>9659</v>
      </c>
      <c r="Q109" t="s">
        <v>278</v>
      </c>
      <c r="R109" t="s">
        <v>201</v>
      </c>
      <c r="S109">
        <v>1</v>
      </c>
      <c r="T109">
        <v>1</v>
      </c>
      <c r="U109">
        <v>175512</v>
      </c>
      <c r="V109">
        <v>175512</v>
      </c>
    </row>
    <row r="110" spans="1:22">
      <c r="A110" t="s">
        <v>196</v>
      </c>
      <c r="B110">
        <v>3</v>
      </c>
      <c r="C110" t="s">
        <v>49</v>
      </c>
      <c r="D110">
        <v>100</v>
      </c>
      <c r="E110" t="s">
        <v>197</v>
      </c>
      <c r="F110">
        <v>1005</v>
      </c>
      <c r="G110" t="s">
        <v>49</v>
      </c>
      <c r="H110">
        <v>2005</v>
      </c>
      <c r="I110" t="s">
        <v>49</v>
      </c>
      <c r="J110">
        <v>3020</v>
      </c>
      <c r="K110" t="s">
        <v>277</v>
      </c>
      <c r="L110">
        <v>0</v>
      </c>
      <c r="N110" t="s">
        <v>274</v>
      </c>
      <c r="O110">
        <v>0</v>
      </c>
      <c r="P110">
        <v>1260</v>
      </c>
      <c r="Q110" t="s">
        <v>279</v>
      </c>
      <c r="R110" t="s">
        <v>201</v>
      </c>
      <c r="S110">
        <v>1</v>
      </c>
      <c r="T110">
        <v>1</v>
      </c>
      <c r="U110">
        <v>153384</v>
      </c>
      <c r="V110">
        <v>153384</v>
      </c>
    </row>
    <row r="111" spans="1:22">
      <c r="A111" t="s">
        <v>196</v>
      </c>
      <c r="B111">
        <v>3</v>
      </c>
      <c r="C111" t="s">
        <v>49</v>
      </c>
      <c r="D111">
        <v>100</v>
      </c>
      <c r="E111" t="s">
        <v>197</v>
      </c>
      <c r="F111">
        <v>1005</v>
      </c>
      <c r="G111" t="s">
        <v>49</v>
      </c>
      <c r="H111">
        <v>2005</v>
      </c>
      <c r="I111" t="s">
        <v>49</v>
      </c>
      <c r="J111">
        <v>3020</v>
      </c>
      <c r="K111" t="s">
        <v>277</v>
      </c>
      <c r="L111">
        <v>0</v>
      </c>
      <c r="N111" t="s">
        <v>274</v>
      </c>
      <c r="O111">
        <v>0</v>
      </c>
      <c r="P111">
        <v>1260</v>
      </c>
      <c r="Q111" t="s">
        <v>279</v>
      </c>
      <c r="R111" t="s">
        <v>201</v>
      </c>
      <c r="S111">
        <v>1</v>
      </c>
      <c r="T111">
        <v>1</v>
      </c>
      <c r="U111">
        <v>146808</v>
      </c>
      <c r="V111">
        <v>146808</v>
      </c>
    </row>
    <row r="112" spans="1:22">
      <c r="A112" t="s">
        <v>196</v>
      </c>
      <c r="B112">
        <v>3</v>
      </c>
      <c r="C112" t="s">
        <v>49</v>
      </c>
      <c r="D112">
        <v>100</v>
      </c>
      <c r="E112" t="s">
        <v>197</v>
      </c>
      <c r="F112">
        <v>1005</v>
      </c>
      <c r="G112" t="s">
        <v>49</v>
      </c>
      <c r="H112">
        <v>2005</v>
      </c>
      <c r="I112" t="s">
        <v>49</v>
      </c>
      <c r="J112">
        <v>3020</v>
      </c>
      <c r="K112" t="s">
        <v>277</v>
      </c>
      <c r="L112">
        <v>0</v>
      </c>
      <c r="N112" t="s">
        <v>261</v>
      </c>
      <c r="O112">
        <v>0</v>
      </c>
      <c r="P112">
        <v>1222</v>
      </c>
      <c r="Q112" t="s">
        <v>280</v>
      </c>
      <c r="R112" t="s">
        <v>201</v>
      </c>
      <c r="S112">
        <v>2</v>
      </c>
      <c r="T112">
        <v>1</v>
      </c>
      <c r="U112">
        <v>122556</v>
      </c>
      <c r="V112">
        <v>245112</v>
      </c>
    </row>
    <row r="113" spans="1:22">
      <c r="A113" t="s">
        <v>196</v>
      </c>
      <c r="B113">
        <v>3</v>
      </c>
      <c r="C113" t="s">
        <v>49</v>
      </c>
      <c r="D113">
        <v>100</v>
      </c>
      <c r="E113" t="s">
        <v>197</v>
      </c>
      <c r="F113">
        <v>1005</v>
      </c>
      <c r="G113" t="s">
        <v>49</v>
      </c>
      <c r="H113">
        <v>2005</v>
      </c>
      <c r="I113" t="s">
        <v>49</v>
      </c>
      <c r="J113">
        <v>3020</v>
      </c>
      <c r="K113" t="s">
        <v>277</v>
      </c>
      <c r="L113">
        <v>0</v>
      </c>
      <c r="N113" t="s">
        <v>261</v>
      </c>
      <c r="O113">
        <v>0</v>
      </c>
      <c r="P113">
        <v>1222</v>
      </c>
      <c r="Q113" t="s">
        <v>280</v>
      </c>
      <c r="R113" t="s">
        <v>201</v>
      </c>
      <c r="S113">
        <v>1</v>
      </c>
      <c r="T113">
        <v>1</v>
      </c>
      <c r="U113">
        <v>111000</v>
      </c>
      <c r="V113">
        <v>111000</v>
      </c>
    </row>
    <row r="114" spans="1:22">
      <c r="A114" t="s">
        <v>196</v>
      </c>
      <c r="B114">
        <v>3</v>
      </c>
      <c r="C114" t="s">
        <v>49</v>
      </c>
      <c r="D114">
        <v>100</v>
      </c>
      <c r="E114" t="s">
        <v>197</v>
      </c>
      <c r="F114">
        <v>1005</v>
      </c>
      <c r="G114" t="s">
        <v>49</v>
      </c>
      <c r="H114">
        <v>2005</v>
      </c>
      <c r="I114" t="s">
        <v>49</v>
      </c>
      <c r="J114">
        <v>3020</v>
      </c>
      <c r="K114" t="s">
        <v>277</v>
      </c>
      <c r="L114">
        <v>0</v>
      </c>
      <c r="N114" t="s">
        <v>261</v>
      </c>
      <c r="O114">
        <v>0</v>
      </c>
      <c r="P114">
        <v>1222</v>
      </c>
      <c r="Q114" t="s">
        <v>280</v>
      </c>
      <c r="R114" t="s">
        <v>201</v>
      </c>
      <c r="S114">
        <v>1</v>
      </c>
      <c r="T114">
        <v>1</v>
      </c>
      <c r="U114">
        <v>101628</v>
      </c>
      <c r="V114">
        <v>101628</v>
      </c>
    </row>
    <row r="115" spans="1:22">
      <c r="A115" t="s">
        <v>196</v>
      </c>
      <c r="B115">
        <v>3</v>
      </c>
      <c r="C115" t="s">
        <v>49</v>
      </c>
      <c r="D115">
        <v>100</v>
      </c>
      <c r="E115" t="s">
        <v>197</v>
      </c>
      <c r="F115">
        <v>1005</v>
      </c>
      <c r="G115" t="s">
        <v>49</v>
      </c>
      <c r="H115">
        <v>2005</v>
      </c>
      <c r="I115" t="s">
        <v>49</v>
      </c>
      <c r="J115">
        <v>3020</v>
      </c>
      <c r="K115" t="s">
        <v>277</v>
      </c>
      <c r="L115">
        <v>0</v>
      </c>
      <c r="N115" t="s">
        <v>281</v>
      </c>
      <c r="O115">
        <v>0</v>
      </c>
      <c r="P115">
        <v>1221</v>
      </c>
      <c r="Q115" t="s">
        <v>282</v>
      </c>
      <c r="R115" t="s">
        <v>201</v>
      </c>
      <c r="S115">
        <v>1</v>
      </c>
      <c r="T115">
        <v>1</v>
      </c>
      <c r="U115">
        <v>101628</v>
      </c>
      <c r="V115">
        <v>101628</v>
      </c>
    </row>
    <row r="116" spans="1:22">
      <c r="A116" t="s">
        <v>196</v>
      </c>
      <c r="B116">
        <v>3</v>
      </c>
      <c r="C116" t="s">
        <v>49</v>
      </c>
      <c r="D116">
        <v>100</v>
      </c>
      <c r="E116" t="s">
        <v>197</v>
      </c>
      <c r="F116">
        <v>1005</v>
      </c>
      <c r="G116" t="s">
        <v>49</v>
      </c>
      <c r="H116">
        <v>2005</v>
      </c>
      <c r="I116" t="s">
        <v>49</v>
      </c>
      <c r="J116">
        <v>3020</v>
      </c>
      <c r="K116" t="s">
        <v>277</v>
      </c>
      <c r="L116">
        <v>0</v>
      </c>
      <c r="N116" t="s">
        <v>281</v>
      </c>
      <c r="O116">
        <v>0</v>
      </c>
      <c r="P116">
        <v>1221</v>
      </c>
      <c r="Q116" t="s">
        <v>282</v>
      </c>
      <c r="R116" t="s">
        <v>201</v>
      </c>
      <c r="S116">
        <v>1</v>
      </c>
      <c r="T116">
        <v>1</v>
      </c>
      <c r="U116">
        <v>82884</v>
      </c>
      <c r="V116">
        <v>82884</v>
      </c>
    </row>
    <row r="117" spans="1:22">
      <c r="A117" t="s">
        <v>196</v>
      </c>
      <c r="B117">
        <v>3</v>
      </c>
      <c r="C117" t="s">
        <v>49</v>
      </c>
      <c r="D117">
        <v>100</v>
      </c>
      <c r="E117" t="s">
        <v>197</v>
      </c>
      <c r="F117">
        <v>1005</v>
      </c>
      <c r="G117" t="s">
        <v>49</v>
      </c>
      <c r="H117">
        <v>2005</v>
      </c>
      <c r="I117" t="s">
        <v>49</v>
      </c>
      <c r="J117">
        <v>3020</v>
      </c>
      <c r="K117" t="s">
        <v>277</v>
      </c>
      <c r="L117">
        <v>0</v>
      </c>
      <c r="N117" t="s">
        <v>283</v>
      </c>
      <c r="O117">
        <v>0</v>
      </c>
      <c r="P117">
        <v>1219</v>
      </c>
      <c r="Q117" t="s">
        <v>284</v>
      </c>
      <c r="R117" t="s">
        <v>201</v>
      </c>
      <c r="S117">
        <v>1</v>
      </c>
      <c r="T117">
        <v>1</v>
      </c>
      <c r="U117">
        <v>82884</v>
      </c>
      <c r="V117">
        <v>82884</v>
      </c>
    </row>
    <row r="118" spans="1:22">
      <c r="A118" t="s">
        <v>196</v>
      </c>
      <c r="B118">
        <v>3</v>
      </c>
      <c r="C118" t="s">
        <v>49</v>
      </c>
      <c r="D118">
        <v>100</v>
      </c>
      <c r="E118" t="s">
        <v>197</v>
      </c>
      <c r="F118">
        <v>1005</v>
      </c>
      <c r="G118" t="s">
        <v>49</v>
      </c>
      <c r="H118">
        <v>2005</v>
      </c>
      <c r="I118" t="s">
        <v>49</v>
      </c>
      <c r="J118">
        <v>3020</v>
      </c>
      <c r="K118" t="s">
        <v>277</v>
      </c>
      <c r="L118">
        <v>0</v>
      </c>
      <c r="N118" t="s">
        <v>283</v>
      </c>
      <c r="O118">
        <v>0</v>
      </c>
      <c r="P118">
        <v>1219</v>
      </c>
      <c r="Q118" t="s">
        <v>284</v>
      </c>
      <c r="R118" t="s">
        <v>201</v>
      </c>
      <c r="S118">
        <v>2</v>
      </c>
      <c r="T118">
        <v>1</v>
      </c>
      <c r="U118">
        <v>72384</v>
      </c>
      <c r="V118">
        <v>144768</v>
      </c>
    </row>
    <row r="119" spans="1:22">
      <c r="A119" t="s">
        <v>196</v>
      </c>
      <c r="B119">
        <v>3</v>
      </c>
      <c r="C119" t="s">
        <v>49</v>
      </c>
      <c r="D119">
        <v>100</v>
      </c>
      <c r="E119" t="s">
        <v>197</v>
      </c>
      <c r="F119">
        <v>1005</v>
      </c>
      <c r="G119" t="s">
        <v>49</v>
      </c>
      <c r="H119">
        <v>2005</v>
      </c>
      <c r="I119" t="s">
        <v>49</v>
      </c>
      <c r="J119">
        <v>3020</v>
      </c>
      <c r="K119" t="s">
        <v>277</v>
      </c>
      <c r="L119">
        <v>0</v>
      </c>
      <c r="N119" t="s">
        <v>283</v>
      </c>
      <c r="O119">
        <v>0</v>
      </c>
      <c r="P119">
        <v>1219</v>
      </c>
      <c r="Q119" t="s">
        <v>284</v>
      </c>
      <c r="R119" t="s">
        <v>201</v>
      </c>
      <c r="S119">
        <v>1</v>
      </c>
      <c r="T119">
        <v>1</v>
      </c>
      <c r="U119">
        <v>68856</v>
      </c>
      <c r="V119">
        <v>68856</v>
      </c>
    </row>
    <row r="120" spans="1:22">
      <c r="A120" t="s">
        <v>196</v>
      </c>
      <c r="B120">
        <v>3</v>
      </c>
      <c r="C120" t="s">
        <v>49</v>
      </c>
      <c r="D120">
        <v>100</v>
      </c>
      <c r="E120" t="s">
        <v>197</v>
      </c>
      <c r="F120">
        <v>1005</v>
      </c>
      <c r="G120" t="s">
        <v>49</v>
      </c>
      <c r="H120">
        <v>2005</v>
      </c>
      <c r="I120" t="s">
        <v>49</v>
      </c>
      <c r="J120">
        <v>3020</v>
      </c>
      <c r="K120" t="s">
        <v>277</v>
      </c>
      <c r="L120">
        <v>0</v>
      </c>
      <c r="N120" t="s">
        <v>199</v>
      </c>
      <c r="O120">
        <v>0</v>
      </c>
      <c r="P120">
        <v>15</v>
      </c>
      <c r="Q120" t="s">
        <v>264</v>
      </c>
      <c r="R120" t="s">
        <v>201</v>
      </c>
      <c r="S120">
        <v>0</v>
      </c>
      <c r="T120">
        <v>0</v>
      </c>
      <c r="U120">
        <v>20961</v>
      </c>
      <c r="V120">
        <v>20961</v>
      </c>
    </row>
    <row r="121" spans="1:22">
      <c r="A121" t="s">
        <v>196</v>
      </c>
      <c r="B121">
        <v>3</v>
      </c>
      <c r="C121" t="s">
        <v>49</v>
      </c>
      <c r="D121">
        <v>100</v>
      </c>
      <c r="E121" t="s">
        <v>197</v>
      </c>
      <c r="F121">
        <v>1005</v>
      </c>
      <c r="G121" t="s">
        <v>49</v>
      </c>
      <c r="H121">
        <v>2005</v>
      </c>
      <c r="I121" t="s">
        <v>49</v>
      </c>
      <c r="J121">
        <v>3027</v>
      </c>
      <c r="K121" t="s">
        <v>285</v>
      </c>
      <c r="L121">
        <v>0</v>
      </c>
      <c r="N121" t="s">
        <v>281</v>
      </c>
      <c r="O121">
        <v>20</v>
      </c>
      <c r="P121">
        <v>1126</v>
      </c>
      <c r="Q121" t="s">
        <v>286</v>
      </c>
      <c r="R121" t="s">
        <v>201</v>
      </c>
      <c r="S121">
        <v>1</v>
      </c>
      <c r="T121">
        <v>1</v>
      </c>
      <c r="U121">
        <v>106272</v>
      </c>
      <c r="V121">
        <v>106272</v>
      </c>
    </row>
    <row r="122" spans="1:22">
      <c r="A122" t="s">
        <v>196</v>
      </c>
      <c r="B122">
        <v>3</v>
      </c>
      <c r="C122" t="s">
        <v>49</v>
      </c>
      <c r="D122">
        <v>100</v>
      </c>
      <c r="E122" t="s">
        <v>197</v>
      </c>
      <c r="F122">
        <v>1005</v>
      </c>
      <c r="G122" t="s">
        <v>49</v>
      </c>
      <c r="H122">
        <v>2005</v>
      </c>
      <c r="I122" t="s">
        <v>49</v>
      </c>
      <c r="J122">
        <v>3027</v>
      </c>
      <c r="K122" t="s">
        <v>285</v>
      </c>
      <c r="L122">
        <v>0</v>
      </c>
      <c r="N122" t="s">
        <v>281</v>
      </c>
      <c r="O122">
        <v>20</v>
      </c>
      <c r="P122">
        <v>1126</v>
      </c>
      <c r="Q122" t="s">
        <v>286</v>
      </c>
      <c r="R122" t="s">
        <v>201</v>
      </c>
      <c r="S122">
        <v>1</v>
      </c>
      <c r="T122">
        <v>1</v>
      </c>
      <c r="U122">
        <v>101628</v>
      </c>
      <c r="V122">
        <v>101628</v>
      </c>
    </row>
    <row r="123" spans="1:22">
      <c r="A123" t="s">
        <v>196</v>
      </c>
      <c r="B123">
        <v>3</v>
      </c>
      <c r="C123" t="s">
        <v>49</v>
      </c>
      <c r="D123">
        <v>100</v>
      </c>
      <c r="E123" t="s">
        <v>197</v>
      </c>
      <c r="F123">
        <v>1005</v>
      </c>
      <c r="G123" t="s">
        <v>49</v>
      </c>
      <c r="H123">
        <v>2005</v>
      </c>
      <c r="I123" t="s">
        <v>49</v>
      </c>
      <c r="J123">
        <v>3027</v>
      </c>
      <c r="K123" t="s">
        <v>285</v>
      </c>
      <c r="L123">
        <v>0</v>
      </c>
      <c r="N123" t="s">
        <v>287</v>
      </c>
      <c r="O123">
        <v>20</v>
      </c>
      <c r="P123">
        <v>1125</v>
      </c>
      <c r="Q123" t="s">
        <v>288</v>
      </c>
      <c r="R123" t="s">
        <v>201</v>
      </c>
      <c r="S123">
        <v>1</v>
      </c>
      <c r="T123">
        <v>1</v>
      </c>
      <c r="U123">
        <v>97332</v>
      </c>
      <c r="V123">
        <v>97332</v>
      </c>
    </row>
    <row r="124" spans="1:22">
      <c r="A124" t="s">
        <v>196</v>
      </c>
      <c r="B124">
        <v>3</v>
      </c>
      <c r="C124" t="s">
        <v>49</v>
      </c>
      <c r="D124">
        <v>100</v>
      </c>
      <c r="E124" t="s">
        <v>197</v>
      </c>
      <c r="F124">
        <v>1005</v>
      </c>
      <c r="G124" t="s">
        <v>49</v>
      </c>
      <c r="H124">
        <v>2005</v>
      </c>
      <c r="I124" t="s">
        <v>49</v>
      </c>
      <c r="J124">
        <v>3027</v>
      </c>
      <c r="K124" t="s">
        <v>285</v>
      </c>
      <c r="L124">
        <v>0</v>
      </c>
      <c r="N124" t="s">
        <v>287</v>
      </c>
      <c r="O124">
        <v>20</v>
      </c>
      <c r="P124">
        <v>1125</v>
      </c>
      <c r="Q124" t="s">
        <v>288</v>
      </c>
      <c r="R124" t="s">
        <v>201</v>
      </c>
      <c r="S124">
        <v>1</v>
      </c>
      <c r="T124">
        <v>1</v>
      </c>
      <c r="U124">
        <v>85236</v>
      </c>
      <c r="V124">
        <v>85236</v>
      </c>
    </row>
    <row r="125" spans="1:22">
      <c r="A125" t="s">
        <v>196</v>
      </c>
      <c r="B125">
        <v>3</v>
      </c>
      <c r="C125" t="s">
        <v>49</v>
      </c>
      <c r="D125">
        <v>100</v>
      </c>
      <c r="E125" t="s">
        <v>197</v>
      </c>
      <c r="F125">
        <v>1005</v>
      </c>
      <c r="G125" t="s">
        <v>49</v>
      </c>
      <c r="H125">
        <v>2005</v>
      </c>
      <c r="I125" t="s">
        <v>49</v>
      </c>
      <c r="J125">
        <v>3027</v>
      </c>
      <c r="K125" t="s">
        <v>285</v>
      </c>
      <c r="L125">
        <v>0</v>
      </c>
      <c r="N125" t="s">
        <v>199</v>
      </c>
      <c r="O125">
        <v>0</v>
      </c>
      <c r="P125">
        <v>15</v>
      </c>
      <c r="Q125" t="s">
        <v>264</v>
      </c>
      <c r="R125" t="s">
        <v>201</v>
      </c>
      <c r="S125">
        <v>0</v>
      </c>
      <c r="T125">
        <v>0</v>
      </c>
      <c r="U125">
        <v>7752</v>
      </c>
      <c r="V125">
        <v>7752</v>
      </c>
    </row>
    <row r="126" spans="1:22">
      <c r="A126" t="s">
        <v>196</v>
      </c>
      <c r="B126">
        <v>3</v>
      </c>
      <c r="C126" t="s">
        <v>49</v>
      </c>
      <c r="D126">
        <v>100</v>
      </c>
      <c r="E126" t="s">
        <v>197</v>
      </c>
      <c r="F126">
        <v>1005</v>
      </c>
      <c r="G126" t="s">
        <v>49</v>
      </c>
      <c r="H126">
        <v>2005</v>
      </c>
      <c r="I126" t="s">
        <v>49</v>
      </c>
      <c r="J126">
        <v>3032</v>
      </c>
      <c r="K126" t="s">
        <v>289</v>
      </c>
      <c r="L126">
        <v>0</v>
      </c>
      <c r="N126" t="s">
        <v>266</v>
      </c>
      <c r="O126">
        <v>9</v>
      </c>
      <c r="P126">
        <v>9659</v>
      </c>
      <c r="Q126" t="s">
        <v>278</v>
      </c>
      <c r="R126" t="s">
        <v>201</v>
      </c>
      <c r="S126">
        <v>1</v>
      </c>
      <c r="T126">
        <v>1</v>
      </c>
      <c r="U126">
        <v>181356</v>
      </c>
      <c r="V126">
        <v>181356</v>
      </c>
    </row>
    <row r="127" spans="1:22">
      <c r="A127" t="s">
        <v>196</v>
      </c>
      <c r="B127">
        <v>3</v>
      </c>
      <c r="C127" t="s">
        <v>49</v>
      </c>
      <c r="D127">
        <v>100</v>
      </c>
      <c r="E127" t="s">
        <v>197</v>
      </c>
      <c r="F127">
        <v>1005</v>
      </c>
      <c r="G127" t="s">
        <v>49</v>
      </c>
      <c r="H127">
        <v>2005</v>
      </c>
      <c r="I127" t="s">
        <v>49</v>
      </c>
      <c r="J127">
        <v>3032</v>
      </c>
      <c r="K127" t="s">
        <v>289</v>
      </c>
      <c r="L127">
        <v>0</v>
      </c>
      <c r="N127" t="s">
        <v>281</v>
      </c>
      <c r="O127">
        <v>20</v>
      </c>
      <c r="P127">
        <v>1289</v>
      </c>
      <c r="Q127" t="s">
        <v>290</v>
      </c>
      <c r="R127" t="s">
        <v>201</v>
      </c>
      <c r="S127">
        <v>2</v>
      </c>
      <c r="T127">
        <v>1</v>
      </c>
      <c r="U127">
        <v>97332</v>
      </c>
      <c r="V127">
        <v>194664</v>
      </c>
    </row>
    <row r="128" spans="1:22">
      <c r="A128" t="s">
        <v>196</v>
      </c>
      <c r="B128">
        <v>3</v>
      </c>
      <c r="C128" t="s">
        <v>49</v>
      </c>
      <c r="D128">
        <v>100</v>
      </c>
      <c r="E128" t="s">
        <v>197</v>
      </c>
      <c r="F128">
        <v>1005</v>
      </c>
      <c r="G128" t="s">
        <v>49</v>
      </c>
      <c r="H128">
        <v>2005</v>
      </c>
      <c r="I128" t="s">
        <v>49</v>
      </c>
      <c r="J128">
        <v>3032</v>
      </c>
      <c r="K128" t="s">
        <v>289</v>
      </c>
      <c r="L128">
        <v>0</v>
      </c>
      <c r="N128" t="s">
        <v>281</v>
      </c>
      <c r="O128">
        <v>20</v>
      </c>
      <c r="P128">
        <v>1289</v>
      </c>
      <c r="Q128" t="s">
        <v>290</v>
      </c>
      <c r="R128" t="s">
        <v>201</v>
      </c>
      <c r="S128">
        <v>2</v>
      </c>
      <c r="T128">
        <v>1</v>
      </c>
      <c r="U128">
        <v>93156</v>
      </c>
      <c r="V128">
        <v>186312</v>
      </c>
    </row>
    <row r="129" spans="1:22">
      <c r="A129" t="s">
        <v>196</v>
      </c>
      <c r="B129">
        <v>3</v>
      </c>
      <c r="C129" t="s">
        <v>49</v>
      </c>
      <c r="D129">
        <v>100</v>
      </c>
      <c r="E129" t="s">
        <v>197</v>
      </c>
      <c r="F129">
        <v>1005</v>
      </c>
      <c r="G129" t="s">
        <v>49</v>
      </c>
      <c r="H129">
        <v>2005</v>
      </c>
      <c r="I129" t="s">
        <v>49</v>
      </c>
      <c r="J129">
        <v>3032</v>
      </c>
      <c r="K129" t="s">
        <v>289</v>
      </c>
      <c r="L129">
        <v>0</v>
      </c>
      <c r="N129" t="s">
        <v>281</v>
      </c>
      <c r="O129">
        <v>20</v>
      </c>
      <c r="P129">
        <v>1289</v>
      </c>
      <c r="Q129" t="s">
        <v>290</v>
      </c>
      <c r="R129" t="s">
        <v>201</v>
      </c>
      <c r="S129">
        <v>2</v>
      </c>
      <c r="T129">
        <v>1</v>
      </c>
      <c r="U129">
        <v>85236</v>
      </c>
      <c r="V129">
        <v>170472</v>
      </c>
    </row>
    <row r="130" spans="1:22">
      <c r="A130" t="s">
        <v>196</v>
      </c>
      <c r="B130">
        <v>3</v>
      </c>
      <c r="C130" t="s">
        <v>49</v>
      </c>
      <c r="D130">
        <v>100</v>
      </c>
      <c r="E130" t="s">
        <v>197</v>
      </c>
      <c r="F130">
        <v>1005</v>
      </c>
      <c r="G130" t="s">
        <v>49</v>
      </c>
      <c r="H130">
        <v>2005</v>
      </c>
      <c r="I130" t="s">
        <v>49</v>
      </c>
      <c r="J130">
        <v>3032</v>
      </c>
      <c r="K130" t="s">
        <v>289</v>
      </c>
      <c r="L130">
        <v>0</v>
      </c>
      <c r="N130" t="s">
        <v>274</v>
      </c>
      <c r="O130">
        <v>0</v>
      </c>
      <c r="P130">
        <v>1252</v>
      </c>
      <c r="Q130" t="s">
        <v>291</v>
      </c>
      <c r="R130" t="s">
        <v>201</v>
      </c>
      <c r="S130">
        <v>1</v>
      </c>
      <c r="T130">
        <v>1</v>
      </c>
      <c r="U130">
        <v>146808</v>
      </c>
      <c r="V130">
        <v>146808</v>
      </c>
    </row>
    <row r="131" spans="1:22">
      <c r="A131" t="s">
        <v>196</v>
      </c>
      <c r="B131">
        <v>3</v>
      </c>
      <c r="C131" t="s">
        <v>49</v>
      </c>
      <c r="D131">
        <v>100</v>
      </c>
      <c r="E131" t="s">
        <v>197</v>
      </c>
      <c r="F131">
        <v>1005</v>
      </c>
      <c r="G131" t="s">
        <v>49</v>
      </c>
      <c r="H131">
        <v>2005</v>
      </c>
      <c r="I131" t="s">
        <v>49</v>
      </c>
      <c r="J131">
        <v>3032</v>
      </c>
      <c r="K131" t="s">
        <v>289</v>
      </c>
      <c r="L131">
        <v>0</v>
      </c>
      <c r="N131" t="s">
        <v>245</v>
      </c>
      <c r="O131">
        <v>20</v>
      </c>
      <c r="P131">
        <v>1127</v>
      </c>
      <c r="Q131" t="s">
        <v>292</v>
      </c>
      <c r="R131" t="s">
        <v>201</v>
      </c>
      <c r="S131">
        <v>2</v>
      </c>
      <c r="T131">
        <v>1</v>
      </c>
      <c r="U131">
        <v>129168</v>
      </c>
      <c r="V131">
        <v>258336</v>
      </c>
    </row>
    <row r="132" spans="1:22">
      <c r="A132" t="s">
        <v>196</v>
      </c>
      <c r="B132">
        <v>3</v>
      </c>
      <c r="C132" t="s">
        <v>49</v>
      </c>
      <c r="D132">
        <v>100</v>
      </c>
      <c r="E132" t="s">
        <v>197</v>
      </c>
      <c r="F132">
        <v>1005</v>
      </c>
      <c r="G132" t="s">
        <v>49</v>
      </c>
      <c r="H132">
        <v>2005</v>
      </c>
      <c r="I132" t="s">
        <v>49</v>
      </c>
      <c r="J132">
        <v>3032</v>
      </c>
      <c r="K132" t="s">
        <v>289</v>
      </c>
      <c r="L132">
        <v>0</v>
      </c>
      <c r="N132" t="s">
        <v>281</v>
      </c>
      <c r="O132">
        <v>20</v>
      </c>
      <c r="P132">
        <v>1126</v>
      </c>
      <c r="Q132" t="s">
        <v>286</v>
      </c>
      <c r="R132" t="s">
        <v>201</v>
      </c>
      <c r="S132">
        <v>1</v>
      </c>
      <c r="T132">
        <v>1</v>
      </c>
      <c r="U132">
        <v>93156</v>
      </c>
      <c r="V132">
        <v>93156</v>
      </c>
    </row>
    <row r="133" spans="1:22">
      <c r="A133" t="s">
        <v>196</v>
      </c>
      <c r="B133">
        <v>3</v>
      </c>
      <c r="C133" t="s">
        <v>49</v>
      </c>
      <c r="D133">
        <v>100</v>
      </c>
      <c r="E133" t="s">
        <v>197</v>
      </c>
      <c r="F133">
        <v>1005</v>
      </c>
      <c r="G133" t="s">
        <v>49</v>
      </c>
      <c r="H133">
        <v>2005</v>
      </c>
      <c r="I133" t="s">
        <v>49</v>
      </c>
      <c r="J133">
        <v>3032</v>
      </c>
      <c r="K133" t="s">
        <v>289</v>
      </c>
      <c r="L133">
        <v>0</v>
      </c>
      <c r="N133" t="s">
        <v>287</v>
      </c>
      <c r="O133">
        <v>20</v>
      </c>
      <c r="P133">
        <v>1125</v>
      </c>
      <c r="Q133" t="s">
        <v>288</v>
      </c>
      <c r="R133" t="s">
        <v>201</v>
      </c>
      <c r="S133">
        <v>1</v>
      </c>
      <c r="T133">
        <v>1</v>
      </c>
      <c r="U133">
        <v>85236</v>
      </c>
      <c r="V133">
        <v>85236</v>
      </c>
    </row>
    <row r="134" spans="1:22">
      <c r="A134" t="s">
        <v>196</v>
      </c>
      <c r="B134">
        <v>3</v>
      </c>
      <c r="C134" t="s">
        <v>49</v>
      </c>
      <c r="D134">
        <v>100</v>
      </c>
      <c r="E134" t="s">
        <v>197</v>
      </c>
      <c r="F134">
        <v>1005</v>
      </c>
      <c r="G134" t="s">
        <v>49</v>
      </c>
      <c r="H134">
        <v>2005</v>
      </c>
      <c r="I134" t="s">
        <v>49</v>
      </c>
      <c r="J134">
        <v>3032</v>
      </c>
      <c r="K134" t="s">
        <v>289</v>
      </c>
      <c r="L134">
        <v>0</v>
      </c>
      <c r="N134" t="s">
        <v>287</v>
      </c>
      <c r="O134">
        <v>20</v>
      </c>
      <c r="P134">
        <v>1125</v>
      </c>
      <c r="Q134" t="s">
        <v>288</v>
      </c>
      <c r="R134" t="s">
        <v>201</v>
      </c>
      <c r="S134">
        <v>2</v>
      </c>
      <c r="T134">
        <v>1</v>
      </c>
      <c r="U134">
        <v>82884</v>
      </c>
      <c r="V134">
        <v>165768</v>
      </c>
    </row>
    <row r="135" spans="1:22">
      <c r="A135" t="s">
        <v>196</v>
      </c>
      <c r="B135">
        <v>3</v>
      </c>
      <c r="C135" t="s">
        <v>49</v>
      </c>
      <c r="D135">
        <v>100</v>
      </c>
      <c r="E135" t="s">
        <v>197</v>
      </c>
      <c r="F135">
        <v>1005</v>
      </c>
      <c r="G135" t="s">
        <v>49</v>
      </c>
      <c r="H135">
        <v>2005</v>
      </c>
      <c r="I135" t="s">
        <v>49</v>
      </c>
      <c r="J135">
        <v>3032</v>
      </c>
      <c r="K135" t="s">
        <v>289</v>
      </c>
      <c r="L135">
        <v>0</v>
      </c>
      <c r="N135" t="s">
        <v>287</v>
      </c>
      <c r="O135">
        <v>20</v>
      </c>
      <c r="P135">
        <v>1125</v>
      </c>
      <c r="Q135" t="s">
        <v>288</v>
      </c>
      <c r="R135" t="s">
        <v>201</v>
      </c>
      <c r="S135">
        <v>1</v>
      </c>
      <c r="T135">
        <v>1</v>
      </c>
      <c r="U135">
        <v>79728</v>
      </c>
      <c r="V135">
        <v>79728</v>
      </c>
    </row>
    <row r="136" spans="1:22">
      <c r="A136" t="s">
        <v>196</v>
      </c>
      <c r="B136">
        <v>3</v>
      </c>
      <c r="C136" t="s">
        <v>49</v>
      </c>
      <c r="D136">
        <v>100</v>
      </c>
      <c r="E136" t="s">
        <v>197</v>
      </c>
      <c r="F136">
        <v>1005</v>
      </c>
      <c r="G136" t="s">
        <v>49</v>
      </c>
      <c r="H136">
        <v>2005</v>
      </c>
      <c r="I136" t="s">
        <v>49</v>
      </c>
      <c r="J136">
        <v>3032</v>
      </c>
      <c r="K136" t="s">
        <v>289</v>
      </c>
      <c r="L136">
        <v>0</v>
      </c>
      <c r="N136" t="s">
        <v>287</v>
      </c>
      <c r="O136">
        <v>20</v>
      </c>
      <c r="P136">
        <v>1125</v>
      </c>
      <c r="Q136" t="s">
        <v>288</v>
      </c>
      <c r="R136" t="s">
        <v>201</v>
      </c>
      <c r="S136">
        <v>3</v>
      </c>
      <c r="T136">
        <v>1</v>
      </c>
      <c r="U136">
        <v>76020</v>
      </c>
      <c r="V136">
        <v>228060</v>
      </c>
    </row>
    <row r="137" spans="1:22">
      <c r="A137" t="s">
        <v>196</v>
      </c>
      <c r="B137">
        <v>3</v>
      </c>
      <c r="C137" t="s">
        <v>49</v>
      </c>
      <c r="D137">
        <v>100</v>
      </c>
      <c r="E137" t="s">
        <v>197</v>
      </c>
      <c r="F137">
        <v>1005</v>
      </c>
      <c r="G137" t="s">
        <v>49</v>
      </c>
      <c r="H137">
        <v>2005</v>
      </c>
      <c r="I137" t="s">
        <v>49</v>
      </c>
      <c r="J137">
        <v>3032</v>
      </c>
      <c r="K137" t="s">
        <v>289</v>
      </c>
      <c r="L137">
        <v>0</v>
      </c>
      <c r="N137" t="s">
        <v>199</v>
      </c>
      <c r="O137">
        <v>0</v>
      </c>
      <c r="P137">
        <v>15</v>
      </c>
      <c r="Q137" t="s">
        <v>264</v>
      </c>
      <c r="R137" t="s">
        <v>201</v>
      </c>
      <c r="S137">
        <v>0</v>
      </c>
      <c r="T137">
        <v>0</v>
      </c>
      <c r="U137">
        <v>35927</v>
      </c>
      <c r="V137">
        <v>35927</v>
      </c>
    </row>
    <row r="138" spans="1:22">
      <c r="A138" t="s">
        <v>196</v>
      </c>
      <c r="B138">
        <v>3</v>
      </c>
      <c r="C138" t="s">
        <v>49</v>
      </c>
      <c r="D138">
        <v>100</v>
      </c>
      <c r="E138" t="s">
        <v>197</v>
      </c>
      <c r="F138">
        <v>1005</v>
      </c>
      <c r="G138" t="s">
        <v>49</v>
      </c>
      <c r="H138">
        <v>2005</v>
      </c>
      <c r="I138" t="s">
        <v>49</v>
      </c>
      <c r="J138">
        <v>3045</v>
      </c>
      <c r="K138" t="s">
        <v>293</v>
      </c>
      <c r="L138">
        <v>0</v>
      </c>
      <c r="N138" t="s">
        <v>266</v>
      </c>
      <c r="O138">
        <v>9</v>
      </c>
      <c r="P138">
        <v>9659</v>
      </c>
      <c r="Q138" t="s">
        <v>278</v>
      </c>
      <c r="R138" t="s">
        <v>201</v>
      </c>
      <c r="S138">
        <v>1</v>
      </c>
      <c r="T138">
        <v>1</v>
      </c>
      <c r="U138">
        <v>175512</v>
      </c>
      <c r="V138">
        <v>175512</v>
      </c>
    </row>
    <row r="139" spans="1:22">
      <c r="A139" t="s">
        <v>196</v>
      </c>
      <c r="B139">
        <v>3</v>
      </c>
      <c r="C139" t="s">
        <v>49</v>
      </c>
      <c r="D139">
        <v>100</v>
      </c>
      <c r="E139" t="s">
        <v>197</v>
      </c>
      <c r="F139">
        <v>1005</v>
      </c>
      <c r="G139" t="s">
        <v>49</v>
      </c>
      <c r="H139">
        <v>2005</v>
      </c>
      <c r="I139" t="s">
        <v>49</v>
      </c>
      <c r="J139">
        <v>3045</v>
      </c>
      <c r="K139" t="s">
        <v>293</v>
      </c>
      <c r="L139">
        <v>0</v>
      </c>
      <c r="N139" t="s">
        <v>294</v>
      </c>
      <c r="O139">
        <v>10</v>
      </c>
      <c r="P139">
        <v>1727</v>
      </c>
      <c r="Q139" t="s">
        <v>295</v>
      </c>
      <c r="R139" t="s">
        <v>201</v>
      </c>
      <c r="S139">
        <v>1</v>
      </c>
      <c r="T139">
        <v>1</v>
      </c>
      <c r="U139">
        <v>72996</v>
      </c>
      <c r="V139">
        <v>72996</v>
      </c>
    </row>
    <row r="140" spans="1:22">
      <c r="A140" t="s">
        <v>196</v>
      </c>
      <c r="B140">
        <v>3</v>
      </c>
      <c r="C140" t="s">
        <v>49</v>
      </c>
      <c r="D140">
        <v>100</v>
      </c>
      <c r="E140" t="s">
        <v>197</v>
      </c>
      <c r="F140">
        <v>1005</v>
      </c>
      <c r="G140" t="s">
        <v>49</v>
      </c>
      <c r="H140">
        <v>2005</v>
      </c>
      <c r="I140" t="s">
        <v>49</v>
      </c>
      <c r="J140">
        <v>3045</v>
      </c>
      <c r="K140" t="s">
        <v>293</v>
      </c>
      <c r="L140">
        <v>0</v>
      </c>
      <c r="N140" t="s">
        <v>294</v>
      </c>
      <c r="O140">
        <v>10</v>
      </c>
      <c r="P140">
        <v>1727</v>
      </c>
      <c r="Q140" t="s">
        <v>295</v>
      </c>
      <c r="R140" t="s">
        <v>201</v>
      </c>
      <c r="S140">
        <v>1</v>
      </c>
      <c r="T140">
        <v>1</v>
      </c>
      <c r="U140">
        <v>69684</v>
      </c>
      <c r="V140">
        <v>69684</v>
      </c>
    </row>
    <row r="141" spans="1:22">
      <c r="A141" t="s">
        <v>196</v>
      </c>
      <c r="B141">
        <v>3</v>
      </c>
      <c r="C141" t="s">
        <v>49</v>
      </c>
      <c r="D141">
        <v>100</v>
      </c>
      <c r="E141" t="s">
        <v>197</v>
      </c>
      <c r="F141">
        <v>1005</v>
      </c>
      <c r="G141" t="s">
        <v>49</v>
      </c>
      <c r="H141">
        <v>2005</v>
      </c>
      <c r="I141" t="s">
        <v>49</v>
      </c>
      <c r="J141">
        <v>3045</v>
      </c>
      <c r="K141" t="s">
        <v>293</v>
      </c>
      <c r="L141">
        <v>0</v>
      </c>
      <c r="N141" t="s">
        <v>251</v>
      </c>
      <c r="O141">
        <v>10</v>
      </c>
      <c r="P141">
        <v>1721</v>
      </c>
      <c r="Q141" t="s">
        <v>296</v>
      </c>
      <c r="R141" t="s">
        <v>201</v>
      </c>
      <c r="S141">
        <v>1</v>
      </c>
      <c r="T141">
        <v>1</v>
      </c>
      <c r="U141">
        <v>89112</v>
      </c>
      <c r="V141">
        <v>89112</v>
      </c>
    </row>
    <row r="142" spans="1:22">
      <c r="A142" t="s">
        <v>196</v>
      </c>
      <c r="B142">
        <v>3</v>
      </c>
      <c r="C142" t="s">
        <v>49</v>
      </c>
      <c r="D142">
        <v>100</v>
      </c>
      <c r="E142" t="s">
        <v>197</v>
      </c>
      <c r="F142">
        <v>1005</v>
      </c>
      <c r="G142" t="s">
        <v>49</v>
      </c>
      <c r="H142">
        <v>2005</v>
      </c>
      <c r="I142" t="s">
        <v>49</v>
      </c>
      <c r="J142">
        <v>3045</v>
      </c>
      <c r="K142" t="s">
        <v>293</v>
      </c>
      <c r="L142">
        <v>0</v>
      </c>
      <c r="N142" t="s">
        <v>251</v>
      </c>
      <c r="O142">
        <v>10</v>
      </c>
      <c r="P142">
        <v>1721</v>
      </c>
      <c r="Q142" t="s">
        <v>296</v>
      </c>
      <c r="R142" t="s">
        <v>201</v>
      </c>
      <c r="S142">
        <v>1</v>
      </c>
      <c r="T142">
        <v>1</v>
      </c>
      <c r="U142">
        <v>83052</v>
      </c>
      <c r="V142">
        <v>83052</v>
      </c>
    </row>
    <row r="143" spans="1:22">
      <c r="A143" t="s">
        <v>196</v>
      </c>
      <c r="B143">
        <v>3</v>
      </c>
      <c r="C143" t="s">
        <v>49</v>
      </c>
      <c r="D143">
        <v>100</v>
      </c>
      <c r="E143" t="s">
        <v>197</v>
      </c>
      <c r="F143">
        <v>1005</v>
      </c>
      <c r="G143" t="s">
        <v>49</v>
      </c>
      <c r="H143">
        <v>2005</v>
      </c>
      <c r="I143" t="s">
        <v>49</v>
      </c>
      <c r="J143">
        <v>3045</v>
      </c>
      <c r="K143" t="s">
        <v>293</v>
      </c>
      <c r="L143">
        <v>0</v>
      </c>
      <c r="N143" t="s">
        <v>251</v>
      </c>
      <c r="O143">
        <v>10</v>
      </c>
      <c r="P143">
        <v>1721</v>
      </c>
      <c r="Q143" t="s">
        <v>296</v>
      </c>
      <c r="R143" t="s">
        <v>201</v>
      </c>
      <c r="S143">
        <v>1</v>
      </c>
      <c r="T143">
        <v>1</v>
      </c>
      <c r="U143">
        <v>80124</v>
      </c>
      <c r="V143">
        <v>80124</v>
      </c>
    </row>
    <row r="144" spans="1:22">
      <c r="A144" t="s">
        <v>196</v>
      </c>
      <c r="B144">
        <v>3</v>
      </c>
      <c r="C144" t="s">
        <v>49</v>
      </c>
      <c r="D144">
        <v>100</v>
      </c>
      <c r="E144" t="s">
        <v>197</v>
      </c>
      <c r="F144">
        <v>1005</v>
      </c>
      <c r="G144" t="s">
        <v>49</v>
      </c>
      <c r="H144">
        <v>2005</v>
      </c>
      <c r="I144" t="s">
        <v>49</v>
      </c>
      <c r="J144">
        <v>3045</v>
      </c>
      <c r="K144" t="s">
        <v>293</v>
      </c>
      <c r="L144">
        <v>0</v>
      </c>
      <c r="N144" t="s">
        <v>251</v>
      </c>
      <c r="O144">
        <v>10</v>
      </c>
      <c r="P144">
        <v>1721</v>
      </c>
      <c r="Q144" t="s">
        <v>296</v>
      </c>
      <c r="R144" t="s">
        <v>201</v>
      </c>
      <c r="S144">
        <v>1</v>
      </c>
      <c r="T144">
        <v>1</v>
      </c>
      <c r="U144">
        <v>76476</v>
      </c>
      <c r="V144">
        <v>76476</v>
      </c>
    </row>
    <row r="145" spans="1:22">
      <c r="A145" t="s">
        <v>196</v>
      </c>
      <c r="B145">
        <v>3</v>
      </c>
      <c r="C145" t="s">
        <v>49</v>
      </c>
      <c r="D145">
        <v>100</v>
      </c>
      <c r="E145" t="s">
        <v>197</v>
      </c>
      <c r="F145">
        <v>1005</v>
      </c>
      <c r="G145" t="s">
        <v>49</v>
      </c>
      <c r="H145">
        <v>2005</v>
      </c>
      <c r="I145" t="s">
        <v>49</v>
      </c>
      <c r="J145">
        <v>3045</v>
      </c>
      <c r="K145" t="s">
        <v>293</v>
      </c>
      <c r="L145">
        <v>0</v>
      </c>
      <c r="N145" t="s">
        <v>297</v>
      </c>
      <c r="O145">
        <v>20</v>
      </c>
      <c r="P145">
        <v>1719</v>
      </c>
      <c r="Q145" t="s">
        <v>298</v>
      </c>
      <c r="R145" t="s">
        <v>201</v>
      </c>
      <c r="S145">
        <v>2</v>
      </c>
      <c r="T145">
        <v>1</v>
      </c>
      <c r="U145">
        <v>106272</v>
      </c>
      <c r="V145">
        <v>212544</v>
      </c>
    </row>
    <row r="146" spans="1:22">
      <c r="A146" t="s">
        <v>196</v>
      </c>
      <c r="B146">
        <v>3</v>
      </c>
      <c r="C146" t="s">
        <v>49</v>
      </c>
      <c r="D146">
        <v>100</v>
      </c>
      <c r="E146" t="s">
        <v>197</v>
      </c>
      <c r="F146">
        <v>1005</v>
      </c>
      <c r="G146" t="s">
        <v>49</v>
      </c>
      <c r="H146">
        <v>2005</v>
      </c>
      <c r="I146" t="s">
        <v>49</v>
      </c>
      <c r="J146">
        <v>3045</v>
      </c>
      <c r="K146" t="s">
        <v>293</v>
      </c>
      <c r="L146">
        <v>0</v>
      </c>
      <c r="N146" t="s">
        <v>274</v>
      </c>
      <c r="O146">
        <v>0</v>
      </c>
      <c r="P146">
        <v>1718</v>
      </c>
      <c r="Q146" t="s">
        <v>299</v>
      </c>
      <c r="R146" t="s">
        <v>201</v>
      </c>
      <c r="S146">
        <v>1</v>
      </c>
      <c r="T146">
        <v>1</v>
      </c>
      <c r="U146">
        <v>153384</v>
      </c>
      <c r="V146">
        <v>153384</v>
      </c>
    </row>
    <row r="147" spans="1:22">
      <c r="A147" t="s">
        <v>196</v>
      </c>
      <c r="B147">
        <v>3</v>
      </c>
      <c r="C147" t="s">
        <v>49</v>
      </c>
      <c r="D147">
        <v>100</v>
      </c>
      <c r="E147" t="s">
        <v>197</v>
      </c>
      <c r="F147">
        <v>1005</v>
      </c>
      <c r="G147" t="s">
        <v>49</v>
      </c>
      <c r="H147">
        <v>2005</v>
      </c>
      <c r="I147" t="s">
        <v>49</v>
      </c>
      <c r="J147">
        <v>3045</v>
      </c>
      <c r="K147" t="s">
        <v>293</v>
      </c>
      <c r="L147">
        <v>0</v>
      </c>
      <c r="N147" t="s">
        <v>274</v>
      </c>
      <c r="O147">
        <v>0</v>
      </c>
      <c r="P147">
        <v>1717</v>
      </c>
      <c r="Q147" t="s">
        <v>300</v>
      </c>
      <c r="R147" t="s">
        <v>201</v>
      </c>
      <c r="S147">
        <v>1</v>
      </c>
      <c r="T147">
        <v>1</v>
      </c>
      <c r="U147">
        <v>153384</v>
      </c>
      <c r="V147">
        <v>153384</v>
      </c>
    </row>
    <row r="148" spans="1:22">
      <c r="A148" t="s">
        <v>196</v>
      </c>
      <c r="B148">
        <v>3</v>
      </c>
      <c r="C148" t="s">
        <v>49</v>
      </c>
      <c r="D148">
        <v>100</v>
      </c>
      <c r="E148" t="s">
        <v>197</v>
      </c>
      <c r="F148">
        <v>1005</v>
      </c>
      <c r="G148" t="s">
        <v>49</v>
      </c>
      <c r="H148">
        <v>2005</v>
      </c>
      <c r="I148" t="s">
        <v>49</v>
      </c>
      <c r="J148">
        <v>3045</v>
      </c>
      <c r="K148" t="s">
        <v>293</v>
      </c>
      <c r="L148">
        <v>0</v>
      </c>
      <c r="N148" t="s">
        <v>253</v>
      </c>
      <c r="O148">
        <v>10</v>
      </c>
      <c r="P148" t="s">
        <v>301</v>
      </c>
      <c r="Q148" t="s">
        <v>302</v>
      </c>
      <c r="R148" t="s">
        <v>201</v>
      </c>
      <c r="S148">
        <v>1</v>
      </c>
      <c r="T148">
        <v>1</v>
      </c>
      <c r="U148">
        <v>103488</v>
      </c>
      <c r="V148">
        <v>103488</v>
      </c>
    </row>
    <row r="149" spans="1:22">
      <c r="A149" t="s">
        <v>196</v>
      </c>
      <c r="B149">
        <v>3</v>
      </c>
      <c r="C149" t="s">
        <v>49</v>
      </c>
      <c r="D149">
        <v>100</v>
      </c>
      <c r="E149" t="s">
        <v>197</v>
      </c>
      <c r="F149">
        <v>1005</v>
      </c>
      <c r="G149" t="s">
        <v>49</v>
      </c>
      <c r="H149">
        <v>2005</v>
      </c>
      <c r="I149" t="s">
        <v>49</v>
      </c>
      <c r="J149">
        <v>3045</v>
      </c>
      <c r="K149" t="s">
        <v>293</v>
      </c>
      <c r="L149">
        <v>0</v>
      </c>
      <c r="N149" t="s">
        <v>261</v>
      </c>
      <c r="O149">
        <v>20</v>
      </c>
      <c r="P149" t="s">
        <v>303</v>
      </c>
      <c r="Q149" t="s">
        <v>304</v>
      </c>
      <c r="R149" t="s">
        <v>201</v>
      </c>
      <c r="S149">
        <v>1</v>
      </c>
      <c r="T149">
        <v>1</v>
      </c>
      <c r="U149">
        <v>97332</v>
      </c>
      <c r="V149">
        <v>97332</v>
      </c>
    </row>
    <row r="150" spans="1:22">
      <c r="A150" t="s">
        <v>196</v>
      </c>
      <c r="B150">
        <v>3</v>
      </c>
      <c r="C150" t="s">
        <v>49</v>
      </c>
      <c r="D150">
        <v>100</v>
      </c>
      <c r="E150" t="s">
        <v>197</v>
      </c>
      <c r="F150">
        <v>1005</v>
      </c>
      <c r="G150" t="s">
        <v>49</v>
      </c>
      <c r="H150">
        <v>2005</v>
      </c>
      <c r="I150" t="s">
        <v>49</v>
      </c>
      <c r="J150">
        <v>3045</v>
      </c>
      <c r="K150" t="s">
        <v>293</v>
      </c>
      <c r="L150">
        <v>0</v>
      </c>
      <c r="N150" t="s">
        <v>253</v>
      </c>
      <c r="O150">
        <v>10</v>
      </c>
      <c r="P150" t="s">
        <v>305</v>
      </c>
      <c r="Q150" t="s">
        <v>306</v>
      </c>
      <c r="R150" t="s">
        <v>201</v>
      </c>
      <c r="S150">
        <v>1</v>
      </c>
      <c r="T150">
        <v>1</v>
      </c>
      <c r="U150">
        <v>85128</v>
      </c>
      <c r="V150">
        <v>85128</v>
      </c>
    </row>
    <row r="151" spans="1:22">
      <c r="A151" t="s">
        <v>196</v>
      </c>
      <c r="B151">
        <v>3</v>
      </c>
      <c r="C151" t="s">
        <v>49</v>
      </c>
      <c r="D151">
        <v>100</v>
      </c>
      <c r="E151" t="s">
        <v>197</v>
      </c>
      <c r="F151">
        <v>1005</v>
      </c>
      <c r="G151" t="s">
        <v>49</v>
      </c>
      <c r="H151">
        <v>2005</v>
      </c>
      <c r="I151" t="s">
        <v>49</v>
      </c>
      <c r="J151">
        <v>3045</v>
      </c>
      <c r="K151" t="s">
        <v>293</v>
      </c>
      <c r="L151">
        <v>0</v>
      </c>
      <c r="N151" t="s">
        <v>247</v>
      </c>
      <c r="O151">
        <v>10</v>
      </c>
      <c r="P151">
        <v>645</v>
      </c>
      <c r="Q151" t="s">
        <v>307</v>
      </c>
      <c r="R151" t="s">
        <v>201</v>
      </c>
      <c r="S151">
        <v>1</v>
      </c>
      <c r="T151">
        <v>1</v>
      </c>
      <c r="U151">
        <v>60660</v>
      </c>
      <c r="V151">
        <v>60660</v>
      </c>
    </row>
    <row r="152" spans="1:22">
      <c r="A152" t="s">
        <v>196</v>
      </c>
      <c r="B152">
        <v>3</v>
      </c>
      <c r="C152" t="s">
        <v>49</v>
      </c>
      <c r="D152">
        <v>100</v>
      </c>
      <c r="E152" t="s">
        <v>197</v>
      </c>
      <c r="F152">
        <v>1005</v>
      </c>
      <c r="G152" t="s">
        <v>49</v>
      </c>
      <c r="H152">
        <v>2005</v>
      </c>
      <c r="I152" t="s">
        <v>49</v>
      </c>
      <c r="J152">
        <v>3045</v>
      </c>
      <c r="K152" t="s">
        <v>293</v>
      </c>
      <c r="L152">
        <v>0</v>
      </c>
      <c r="N152" t="s">
        <v>261</v>
      </c>
      <c r="O152">
        <v>10</v>
      </c>
      <c r="P152">
        <v>641</v>
      </c>
      <c r="Q152" t="s">
        <v>308</v>
      </c>
      <c r="R152" t="s">
        <v>201</v>
      </c>
      <c r="S152">
        <v>1</v>
      </c>
      <c r="T152">
        <v>1</v>
      </c>
      <c r="U152">
        <v>101628</v>
      </c>
      <c r="V152">
        <v>101628</v>
      </c>
    </row>
    <row r="153" spans="1:22">
      <c r="A153" t="s">
        <v>196</v>
      </c>
      <c r="B153">
        <v>3</v>
      </c>
      <c r="C153" t="s">
        <v>49</v>
      </c>
      <c r="D153">
        <v>100</v>
      </c>
      <c r="E153" t="s">
        <v>197</v>
      </c>
      <c r="F153">
        <v>1005</v>
      </c>
      <c r="G153" t="s">
        <v>49</v>
      </c>
      <c r="H153">
        <v>2005</v>
      </c>
      <c r="I153" t="s">
        <v>49</v>
      </c>
      <c r="J153">
        <v>3045</v>
      </c>
      <c r="K153" t="s">
        <v>293</v>
      </c>
      <c r="L153">
        <v>0</v>
      </c>
      <c r="N153" t="s">
        <v>261</v>
      </c>
      <c r="O153">
        <v>10</v>
      </c>
      <c r="P153">
        <v>641</v>
      </c>
      <c r="Q153" t="s">
        <v>308</v>
      </c>
      <c r="R153" t="s">
        <v>201</v>
      </c>
      <c r="S153">
        <v>2</v>
      </c>
      <c r="T153">
        <v>1</v>
      </c>
      <c r="U153">
        <v>97332</v>
      </c>
      <c r="V153">
        <v>194664</v>
      </c>
    </row>
    <row r="154" spans="1:22">
      <c r="A154" t="s">
        <v>196</v>
      </c>
      <c r="B154">
        <v>3</v>
      </c>
      <c r="C154" t="s">
        <v>49</v>
      </c>
      <c r="D154">
        <v>100</v>
      </c>
      <c r="E154" t="s">
        <v>197</v>
      </c>
      <c r="F154">
        <v>1005</v>
      </c>
      <c r="G154" t="s">
        <v>49</v>
      </c>
      <c r="H154">
        <v>2005</v>
      </c>
      <c r="I154" t="s">
        <v>49</v>
      </c>
      <c r="J154">
        <v>3045</v>
      </c>
      <c r="K154" t="s">
        <v>293</v>
      </c>
      <c r="L154">
        <v>0</v>
      </c>
      <c r="N154" t="s">
        <v>261</v>
      </c>
      <c r="O154">
        <v>10</v>
      </c>
      <c r="P154">
        <v>641</v>
      </c>
      <c r="Q154" t="s">
        <v>308</v>
      </c>
      <c r="R154" t="s">
        <v>201</v>
      </c>
      <c r="S154">
        <v>1</v>
      </c>
      <c r="T154">
        <v>1</v>
      </c>
      <c r="U154">
        <v>89112</v>
      </c>
      <c r="V154">
        <v>89112</v>
      </c>
    </row>
    <row r="155" spans="1:22">
      <c r="A155" t="s">
        <v>196</v>
      </c>
      <c r="B155">
        <v>3</v>
      </c>
      <c r="C155" t="s">
        <v>49</v>
      </c>
      <c r="D155">
        <v>100</v>
      </c>
      <c r="E155" t="s">
        <v>197</v>
      </c>
      <c r="F155">
        <v>1005</v>
      </c>
      <c r="G155" t="s">
        <v>49</v>
      </c>
      <c r="H155">
        <v>2005</v>
      </c>
      <c r="I155" t="s">
        <v>49</v>
      </c>
      <c r="J155">
        <v>3045</v>
      </c>
      <c r="K155" t="s">
        <v>293</v>
      </c>
      <c r="L155">
        <v>0</v>
      </c>
      <c r="N155" t="s">
        <v>199</v>
      </c>
      <c r="O155">
        <v>0</v>
      </c>
      <c r="P155">
        <v>15</v>
      </c>
      <c r="Q155" t="s">
        <v>264</v>
      </c>
      <c r="R155" t="s">
        <v>201</v>
      </c>
      <c r="S155">
        <v>0</v>
      </c>
      <c r="T155">
        <v>0</v>
      </c>
      <c r="U155">
        <v>44675</v>
      </c>
      <c r="V155">
        <v>44675</v>
      </c>
    </row>
    <row r="156" spans="1:22">
      <c r="A156" t="s">
        <v>196</v>
      </c>
      <c r="B156">
        <v>5</v>
      </c>
      <c r="C156" t="s">
        <v>83</v>
      </c>
      <c r="D156">
        <v>100</v>
      </c>
      <c r="E156" t="s">
        <v>197</v>
      </c>
      <c r="F156">
        <v>1005</v>
      </c>
      <c r="G156" t="s">
        <v>83</v>
      </c>
      <c r="H156">
        <v>2005</v>
      </c>
      <c r="I156" t="s">
        <v>83</v>
      </c>
      <c r="J156">
        <v>3005</v>
      </c>
      <c r="K156" t="s">
        <v>309</v>
      </c>
      <c r="L156">
        <v>0</v>
      </c>
      <c r="N156" t="s">
        <v>199</v>
      </c>
      <c r="O156">
        <v>9</v>
      </c>
      <c r="P156">
        <v>9905</v>
      </c>
      <c r="Q156" t="s">
        <v>310</v>
      </c>
      <c r="R156" t="s">
        <v>201</v>
      </c>
      <c r="S156">
        <v>1</v>
      </c>
      <c r="T156">
        <v>1</v>
      </c>
      <c r="U156">
        <v>218280</v>
      </c>
      <c r="V156">
        <v>218280</v>
      </c>
    </row>
    <row r="157" spans="1:22">
      <c r="A157" t="s">
        <v>196</v>
      </c>
      <c r="B157">
        <v>5</v>
      </c>
      <c r="C157" t="s">
        <v>83</v>
      </c>
      <c r="D157">
        <v>100</v>
      </c>
      <c r="E157" t="s">
        <v>197</v>
      </c>
      <c r="F157">
        <v>1005</v>
      </c>
      <c r="G157" t="s">
        <v>83</v>
      </c>
      <c r="H157">
        <v>2005</v>
      </c>
      <c r="I157" t="s">
        <v>83</v>
      </c>
      <c r="J157">
        <v>3005</v>
      </c>
      <c r="K157" t="s">
        <v>309</v>
      </c>
      <c r="L157">
        <v>0</v>
      </c>
      <c r="N157" t="s">
        <v>311</v>
      </c>
      <c r="O157">
        <v>0</v>
      </c>
      <c r="P157">
        <v>9868</v>
      </c>
      <c r="Q157" t="s">
        <v>312</v>
      </c>
      <c r="R157" t="s">
        <v>201</v>
      </c>
      <c r="S157">
        <v>1</v>
      </c>
      <c r="T157">
        <v>1</v>
      </c>
      <c r="U157">
        <v>199800</v>
      </c>
      <c r="V157">
        <v>199800</v>
      </c>
    </row>
    <row r="158" spans="1:22">
      <c r="A158" t="s">
        <v>196</v>
      </c>
      <c r="B158">
        <v>5</v>
      </c>
      <c r="C158" t="s">
        <v>83</v>
      </c>
      <c r="D158">
        <v>100</v>
      </c>
      <c r="E158" t="s">
        <v>197</v>
      </c>
      <c r="F158">
        <v>1005</v>
      </c>
      <c r="G158" t="s">
        <v>83</v>
      </c>
      <c r="H158">
        <v>2005</v>
      </c>
      <c r="I158" t="s">
        <v>83</v>
      </c>
      <c r="J158">
        <v>3005</v>
      </c>
      <c r="K158" t="s">
        <v>309</v>
      </c>
      <c r="L158">
        <v>0</v>
      </c>
      <c r="N158" t="s">
        <v>311</v>
      </c>
      <c r="O158">
        <v>9</v>
      </c>
      <c r="P158">
        <v>1120</v>
      </c>
      <c r="Q158" t="s">
        <v>313</v>
      </c>
      <c r="R158" t="s">
        <v>201</v>
      </c>
      <c r="S158">
        <v>1</v>
      </c>
      <c r="T158">
        <v>1</v>
      </c>
      <c r="U158">
        <v>188400</v>
      </c>
      <c r="V158">
        <v>188400</v>
      </c>
    </row>
    <row r="159" spans="1:22">
      <c r="A159" t="s">
        <v>196</v>
      </c>
      <c r="B159">
        <v>5</v>
      </c>
      <c r="C159" t="s">
        <v>83</v>
      </c>
      <c r="D159">
        <v>100</v>
      </c>
      <c r="E159" t="s">
        <v>197</v>
      </c>
      <c r="F159">
        <v>1005</v>
      </c>
      <c r="G159" t="s">
        <v>83</v>
      </c>
      <c r="H159">
        <v>2005</v>
      </c>
      <c r="I159" t="s">
        <v>83</v>
      </c>
      <c r="J159">
        <v>3005</v>
      </c>
      <c r="K159" t="s">
        <v>309</v>
      </c>
      <c r="L159">
        <v>0</v>
      </c>
      <c r="N159" t="s">
        <v>251</v>
      </c>
      <c r="O159">
        <v>10</v>
      </c>
      <c r="P159">
        <v>802</v>
      </c>
      <c r="Q159" t="s">
        <v>252</v>
      </c>
      <c r="R159" t="s">
        <v>201</v>
      </c>
      <c r="S159">
        <v>1</v>
      </c>
      <c r="T159">
        <v>1</v>
      </c>
      <c r="U159">
        <v>124584</v>
      </c>
      <c r="V159">
        <v>124584</v>
      </c>
    </row>
    <row r="160" spans="1:22">
      <c r="A160" t="s">
        <v>196</v>
      </c>
      <c r="B160">
        <v>5</v>
      </c>
      <c r="C160" t="s">
        <v>83</v>
      </c>
      <c r="D160">
        <v>100</v>
      </c>
      <c r="E160" t="s">
        <v>197</v>
      </c>
      <c r="F160">
        <v>1005</v>
      </c>
      <c r="G160" t="s">
        <v>83</v>
      </c>
      <c r="H160">
        <v>2005</v>
      </c>
      <c r="I160" t="s">
        <v>83</v>
      </c>
      <c r="J160">
        <v>3005</v>
      </c>
      <c r="K160" t="s">
        <v>309</v>
      </c>
      <c r="L160">
        <v>0</v>
      </c>
      <c r="N160" t="s">
        <v>251</v>
      </c>
      <c r="O160">
        <v>10</v>
      </c>
      <c r="P160">
        <v>802</v>
      </c>
      <c r="Q160" t="s">
        <v>252</v>
      </c>
      <c r="R160" t="s">
        <v>201</v>
      </c>
      <c r="S160">
        <v>1</v>
      </c>
      <c r="T160">
        <v>1</v>
      </c>
      <c r="U160">
        <v>94332</v>
      </c>
      <c r="V160">
        <v>94332</v>
      </c>
    </row>
    <row r="161" spans="1:22">
      <c r="A161" t="s">
        <v>196</v>
      </c>
      <c r="B161">
        <v>5</v>
      </c>
      <c r="C161" t="s">
        <v>83</v>
      </c>
      <c r="D161">
        <v>100</v>
      </c>
      <c r="E161" t="s">
        <v>197</v>
      </c>
      <c r="F161">
        <v>1005</v>
      </c>
      <c r="G161" t="s">
        <v>83</v>
      </c>
      <c r="H161">
        <v>2005</v>
      </c>
      <c r="I161" t="s">
        <v>83</v>
      </c>
      <c r="J161">
        <v>3005</v>
      </c>
      <c r="K161" t="s">
        <v>309</v>
      </c>
      <c r="L161">
        <v>0</v>
      </c>
      <c r="N161" t="s">
        <v>249</v>
      </c>
      <c r="O161">
        <v>20</v>
      </c>
      <c r="P161">
        <v>394</v>
      </c>
      <c r="Q161" t="s">
        <v>314</v>
      </c>
      <c r="R161" t="s">
        <v>201</v>
      </c>
      <c r="S161">
        <v>1</v>
      </c>
      <c r="T161">
        <v>1</v>
      </c>
      <c r="U161">
        <v>93384</v>
      </c>
      <c r="V161">
        <v>93384</v>
      </c>
    </row>
    <row r="162" spans="1:22">
      <c r="A162" t="s">
        <v>196</v>
      </c>
      <c r="B162">
        <v>5</v>
      </c>
      <c r="C162" t="s">
        <v>83</v>
      </c>
      <c r="D162">
        <v>100</v>
      </c>
      <c r="E162" t="s">
        <v>197</v>
      </c>
      <c r="F162">
        <v>1005</v>
      </c>
      <c r="G162" t="s">
        <v>83</v>
      </c>
      <c r="H162">
        <v>2005</v>
      </c>
      <c r="I162" t="s">
        <v>83</v>
      </c>
      <c r="J162">
        <v>3005</v>
      </c>
      <c r="K162" t="s">
        <v>309</v>
      </c>
      <c r="L162">
        <v>0</v>
      </c>
      <c r="N162" t="s">
        <v>199</v>
      </c>
      <c r="O162">
        <v>0</v>
      </c>
      <c r="P162">
        <v>15</v>
      </c>
      <c r="Q162" t="s">
        <v>264</v>
      </c>
      <c r="R162" t="s">
        <v>201</v>
      </c>
      <c r="S162">
        <v>0</v>
      </c>
      <c r="T162">
        <v>0</v>
      </c>
      <c r="U162">
        <v>10990</v>
      </c>
      <c r="V162">
        <v>10990</v>
      </c>
    </row>
    <row r="163" spans="1:22">
      <c r="A163" t="s">
        <v>196</v>
      </c>
      <c r="B163">
        <v>5</v>
      </c>
      <c r="C163" t="s">
        <v>83</v>
      </c>
      <c r="D163">
        <v>100</v>
      </c>
      <c r="E163" t="s">
        <v>197</v>
      </c>
      <c r="F163">
        <v>1005</v>
      </c>
      <c r="G163" t="s">
        <v>83</v>
      </c>
      <c r="H163">
        <v>2005</v>
      </c>
      <c r="I163" t="s">
        <v>83</v>
      </c>
      <c r="J163">
        <v>3010</v>
      </c>
      <c r="K163" t="s">
        <v>315</v>
      </c>
      <c r="L163">
        <v>0</v>
      </c>
      <c r="N163" t="s">
        <v>266</v>
      </c>
      <c r="O163">
        <v>9</v>
      </c>
      <c r="P163">
        <v>9656</v>
      </c>
      <c r="Q163" t="s">
        <v>316</v>
      </c>
      <c r="R163" t="s">
        <v>201</v>
      </c>
      <c r="S163">
        <v>1</v>
      </c>
      <c r="T163">
        <v>1</v>
      </c>
      <c r="U163">
        <v>175512</v>
      </c>
      <c r="V163">
        <v>175512</v>
      </c>
    </row>
    <row r="164" spans="1:22">
      <c r="A164" t="s">
        <v>196</v>
      </c>
      <c r="B164">
        <v>5</v>
      </c>
      <c r="C164" t="s">
        <v>83</v>
      </c>
      <c r="D164">
        <v>100</v>
      </c>
      <c r="E164" t="s">
        <v>197</v>
      </c>
      <c r="F164">
        <v>1005</v>
      </c>
      <c r="G164" t="s">
        <v>83</v>
      </c>
      <c r="H164">
        <v>2005</v>
      </c>
      <c r="I164" t="s">
        <v>83</v>
      </c>
      <c r="J164">
        <v>3010</v>
      </c>
      <c r="K164" t="s">
        <v>315</v>
      </c>
      <c r="L164">
        <v>0</v>
      </c>
      <c r="N164" t="s">
        <v>266</v>
      </c>
      <c r="O164">
        <v>9</v>
      </c>
      <c r="P164">
        <v>9656</v>
      </c>
      <c r="Q164" t="s">
        <v>316</v>
      </c>
      <c r="R164" t="s">
        <v>201</v>
      </c>
      <c r="S164">
        <v>2</v>
      </c>
      <c r="T164">
        <v>1</v>
      </c>
      <c r="U164">
        <v>167964</v>
      </c>
      <c r="V164">
        <v>335928</v>
      </c>
    </row>
    <row r="165" spans="1:22">
      <c r="A165" t="s">
        <v>196</v>
      </c>
      <c r="B165">
        <v>5</v>
      </c>
      <c r="C165" t="s">
        <v>83</v>
      </c>
      <c r="D165">
        <v>100</v>
      </c>
      <c r="E165" t="s">
        <v>197</v>
      </c>
      <c r="F165">
        <v>1005</v>
      </c>
      <c r="G165" t="s">
        <v>83</v>
      </c>
      <c r="H165">
        <v>2005</v>
      </c>
      <c r="I165" t="s">
        <v>83</v>
      </c>
      <c r="J165">
        <v>3010</v>
      </c>
      <c r="K165" t="s">
        <v>315</v>
      </c>
      <c r="L165">
        <v>0</v>
      </c>
      <c r="N165" t="s">
        <v>274</v>
      </c>
      <c r="O165">
        <v>9</v>
      </c>
      <c r="P165">
        <v>1124</v>
      </c>
      <c r="Q165" t="s">
        <v>317</v>
      </c>
      <c r="R165" t="s">
        <v>201</v>
      </c>
      <c r="S165">
        <v>1</v>
      </c>
      <c r="T165">
        <v>1</v>
      </c>
      <c r="U165">
        <v>137532</v>
      </c>
      <c r="V165">
        <v>137532</v>
      </c>
    </row>
    <row r="166" spans="1:22">
      <c r="A166" t="s">
        <v>196</v>
      </c>
      <c r="B166">
        <v>5</v>
      </c>
      <c r="C166" t="s">
        <v>83</v>
      </c>
      <c r="D166">
        <v>100</v>
      </c>
      <c r="E166" t="s">
        <v>197</v>
      </c>
      <c r="F166">
        <v>1005</v>
      </c>
      <c r="G166" t="s">
        <v>83</v>
      </c>
      <c r="H166">
        <v>2005</v>
      </c>
      <c r="I166" t="s">
        <v>83</v>
      </c>
      <c r="J166">
        <v>3010</v>
      </c>
      <c r="K166" t="s">
        <v>315</v>
      </c>
      <c r="L166">
        <v>0</v>
      </c>
      <c r="N166" t="s">
        <v>281</v>
      </c>
      <c r="O166">
        <v>20</v>
      </c>
      <c r="P166">
        <v>1107</v>
      </c>
      <c r="Q166" t="s">
        <v>318</v>
      </c>
      <c r="R166" t="s">
        <v>201</v>
      </c>
      <c r="S166">
        <v>1</v>
      </c>
      <c r="T166">
        <v>1</v>
      </c>
      <c r="U166">
        <v>112080</v>
      </c>
      <c r="V166">
        <v>112080</v>
      </c>
    </row>
    <row r="167" spans="1:22">
      <c r="A167" t="s">
        <v>196</v>
      </c>
      <c r="B167">
        <v>5</v>
      </c>
      <c r="C167" t="s">
        <v>83</v>
      </c>
      <c r="D167">
        <v>100</v>
      </c>
      <c r="E167" t="s">
        <v>197</v>
      </c>
      <c r="F167">
        <v>1005</v>
      </c>
      <c r="G167" t="s">
        <v>83</v>
      </c>
      <c r="H167">
        <v>2005</v>
      </c>
      <c r="I167" t="s">
        <v>83</v>
      </c>
      <c r="J167">
        <v>3010</v>
      </c>
      <c r="K167" t="s">
        <v>315</v>
      </c>
      <c r="L167">
        <v>0</v>
      </c>
      <c r="N167" t="s">
        <v>287</v>
      </c>
      <c r="O167">
        <v>20</v>
      </c>
      <c r="P167">
        <v>1105</v>
      </c>
      <c r="Q167" t="s">
        <v>319</v>
      </c>
      <c r="R167" t="s">
        <v>201</v>
      </c>
      <c r="S167">
        <v>1</v>
      </c>
      <c r="T167">
        <v>1</v>
      </c>
      <c r="U167">
        <v>102648</v>
      </c>
      <c r="V167">
        <v>102648</v>
      </c>
    </row>
    <row r="168" spans="1:22">
      <c r="A168" t="s">
        <v>196</v>
      </c>
      <c r="B168">
        <v>5</v>
      </c>
      <c r="C168" t="s">
        <v>83</v>
      </c>
      <c r="D168">
        <v>100</v>
      </c>
      <c r="E168" t="s">
        <v>197</v>
      </c>
      <c r="F168">
        <v>1005</v>
      </c>
      <c r="G168" t="s">
        <v>83</v>
      </c>
      <c r="H168">
        <v>2005</v>
      </c>
      <c r="I168" t="s">
        <v>83</v>
      </c>
      <c r="J168">
        <v>3010</v>
      </c>
      <c r="K168" t="s">
        <v>315</v>
      </c>
      <c r="L168">
        <v>0</v>
      </c>
      <c r="N168" t="s">
        <v>287</v>
      </c>
      <c r="O168">
        <v>20</v>
      </c>
      <c r="P168">
        <v>1105</v>
      </c>
      <c r="Q168" t="s">
        <v>319</v>
      </c>
      <c r="R168" t="s">
        <v>201</v>
      </c>
      <c r="S168">
        <v>1</v>
      </c>
      <c r="T168">
        <v>1</v>
      </c>
      <c r="U168">
        <v>82884</v>
      </c>
      <c r="V168">
        <v>82884</v>
      </c>
    </row>
    <row r="169" spans="1:22">
      <c r="A169" t="s">
        <v>196</v>
      </c>
      <c r="B169">
        <v>5</v>
      </c>
      <c r="C169" t="s">
        <v>83</v>
      </c>
      <c r="D169">
        <v>100</v>
      </c>
      <c r="E169" t="s">
        <v>197</v>
      </c>
      <c r="F169">
        <v>1005</v>
      </c>
      <c r="G169" t="s">
        <v>83</v>
      </c>
      <c r="H169">
        <v>2005</v>
      </c>
      <c r="I169" t="s">
        <v>83</v>
      </c>
      <c r="J169">
        <v>3010</v>
      </c>
      <c r="K169" t="s">
        <v>315</v>
      </c>
      <c r="L169">
        <v>0</v>
      </c>
      <c r="N169" t="s">
        <v>320</v>
      </c>
      <c r="O169">
        <v>20</v>
      </c>
      <c r="P169">
        <v>1103</v>
      </c>
      <c r="Q169" t="s">
        <v>321</v>
      </c>
      <c r="R169" t="s">
        <v>201</v>
      </c>
      <c r="S169">
        <v>1</v>
      </c>
      <c r="T169">
        <v>1</v>
      </c>
      <c r="U169">
        <v>72384</v>
      </c>
      <c r="V169">
        <v>72384</v>
      </c>
    </row>
    <row r="170" spans="1:22">
      <c r="A170" t="s">
        <v>196</v>
      </c>
      <c r="B170">
        <v>5</v>
      </c>
      <c r="C170" t="s">
        <v>83</v>
      </c>
      <c r="D170">
        <v>100</v>
      </c>
      <c r="E170" t="s">
        <v>197</v>
      </c>
      <c r="F170">
        <v>1005</v>
      </c>
      <c r="G170" t="s">
        <v>83</v>
      </c>
      <c r="H170">
        <v>2005</v>
      </c>
      <c r="I170" t="s">
        <v>83</v>
      </c>
      <c r="J170">
        <v>3010</v>
      </c>
      <c r="K170" t="s">
        <v>315</v>
      </c>
      <c r="L170">
        <v>0</v>
      </c>
      <c r="N170" t="s">
        <v>320</v>
      </c>
      <c r="O170">
        <v>20</v>
      </c>
      <c r="P170">
        <v>1103</v>
      </c>
      <c r="Q170" t="s">
        <v>321</v>
      </c>
      <c r="R170" t="s">
        <v>201</v>
      </c>
      <c r="S170">
        <v>1</v>
      </c>
      <c r="T170">
        <v>1</v>
      </c>
      <c r="U170">
        <v>68856</v>
      </c>
      <c r="V170">
        <v>68856</v>
      </c>
    </row>
    <row r="171" spans="1:22">
      <c r="A171" t="s">
        <v>196</v>
      </c>
      <c r="B171">
        <v>5</v>
      </c>
      <c r="C171" t="s">
        <v>83</v>
      </c>
      <c r="D171">
        <v>100</v>
      </c>
      <c r="E171" t="s">
        <v>197</v>
      </c>
      <c r="F171">
        <v>1005</v>
      </c>
      <c r="G171" t="s">
        <v>83</v>
      </c>
      <c r="H171">
        <v>2005</v>
      </c>
      <c r="I171" t="s">
        <v>83</v>
      </c>
      <c r="J171">
        <v>3010</v>
      </c>
      <c r="K171" t="s">
        <v>315</v>
      </c>
      <c r="L171">
        <v>0</v>
      </c>
      <c r="N171" t="s">
        <v>320</v>
      </c>
      <c r="O171">
        <v>20</v>
      </c>
      <c r="P171">
        <v>1103</v>
      </c>
      <c r="Q171" t="s">
        <v>321</v>
      </c>
      <c r="R171" t="s">
        <v>201</v>
      </c>
      <c r="S171">
        <v>3</v>
      </c>
      <c r="T171">
        <v>1</v>
      </c>
      <c r="U171">
        <v>65616</v>
      </c>
      <c r="V171">
        <v>196848</v>
      </c>
    </row>
    <row r="172" spans="1:22">
      <c r="A172" t="s">
        <v>196</v>
      </c>
      <c r="B172">
        <v>5</v>
      </c>
      <c r="C172" t="s">
        <v>83</v>
      </c>
      <c r="D172">
        <v>100</v>
      </c>
      <c r="E172" t="s">
        <v>197</v>
      </c>
      <c r="F172">
        <v>1005</v>
      </c>
      <c r="G172" t="s">
        <v>83</v>
      </c>
      <c r="H172">
        <v>2005</v>
      </c>
      <c r="I172" t="s">
        <v>83</v>
      </c>
      <c r="J172">
        <v>3010</v>
      </c>
      <c r="K172" t="s">
        <v>315</v>
      </c>
      <c r="L172">
        <v>0</v>
      </c>
      <c r="N172" t="s">
        <v>320</v>
      </c>
      <c r="O172">
        <v>20</v>
      </c>
      <c r="P172">
        <v>1103</v>
      </c>
      <c r="Q172" t="s">
        <v>321</v>
      </c>
      <c r="R172" t="s">
        <v>201</v>
      </c>
      <c r="S172">
        <v>1</v>
      </c>
      <c r="T172">
        <v>1</v>
      </c>
      <c r="U172">
        <v>62508</v>
      </c>
      <c r="V172">
        <v>62508</v>
      </c>
    </row>
    <row r="173" spans="1:22">
      <c r="A173" t="s">
        <v>196</v>
      </c>
      <c r="B173">
        <v>5</v>
      </c>
      <c r="C173" t="s">
        <v>83</v>
      </c>
      <c r="D173">
        <v>100</v>
      </c>
      <c r="E173" t="s">
        <v>197</v>
      </c>
      <c r="F173">
        <v>1005</v>
      </c>
      <c r="G173" t="s">
        <v>83</v>
      </c>
      <c r="H173">
        <v>2005</v>
      </c>
      <c r="I173" t="s">
        <v>83</v>
      </c>
      <c r="J173">
        <v>3010</v>
      </c>
      <c r="K173" t="s">
        <v>315</v>
      </c>
      <c r="L173">
        <v>0</v>
      </c>
      <c r="N173" t="s">
        <v>268</v>
      </c>
      <c r="O173">
        <v>10</v>
      </c>
      <c r="P173">
        <v>134</v>
      </c>
      <c r="Q173" t="s">
        <v>322</v>
      </c>
      <c r="R173" t="s">
        <v>201</v>
      </c>
      <c r="S173">
        <v>2</v>
      </c>
      <c r="T173">
        <v>1</v>
      </c>
      <c r="U173">
        <v>80124</v>
      </c>
      <c r="V173">
        <v>160248</v>
      </c>
    </row>
    <row r="174" spans="1:22">
      <c r="A174" t="s">
        <v>196</v>
      </c>
      <c r="B174">
        <v>5</v>
      </c>
      <c r="C174" t="s">
        <v>83</v>
      </c>
      <c r="D174">
        <v>100</v>
      </c>
      <c r="E174" t="s">
        <v>197</v>
      </c>
      <c r="F174">
        <v>1005</v>
      </c>
      <c r="G174" t="s">
        <v>83</v>
      </c>
      <c r="H174">
        <v>2005</v>
      </c>
      <c r="I174" t="s">
        <v>83</v>
      </c>
      <c r="J174">
        <v>3010</v>
      </c>
      <c r="K174" t="s">
        <v>315</v>
      </c>
      <c r="L174">
        <v>0</v>
      </c>
      <c r="N174" t="s">
        <v>199</v>
      </c>
      <c r="O174">
        <v>0</v>
      </c>
      <c r="P174">
        <v>15</v>
      </c>
      <c r="Q174" t="s">
        <v>264</v>
      </c>
      <c r="R174" t="s">
        <v>201</v>
      </c>
      <c r="S174">
        <v>0</v>
      </c>
      <c r="T174">
        <v>0</v>
      </c>
      <c r="U174">
        <v>22887</v>
      </c>
      <c r="V174">
        <v>22887</v>
      </c>
    </row>
    <row r="175" spans="1:22">
      <c r="A175" t="s">
        <v>196</v>
      </c>
      <c r="B175">
        <v>5</v>
      </c>
      <c r="C175" t="s">
        <v>83</v>
      </c>
      <c r="D175">
        <v>100</v>
      </c>
      <c r="E175" t="s">
        <v>197</v>
      </c>
      <c r="F175">
        <v>1005</v>
      </c>
      <c r="G175" t="s">
        <v>83</v>
      </c>
      <c r="H175">
        <v>2005</v>
      </c>
      <c r="I175" t="s">
        <v>83</v>
      </c>
      <c r="J175">
        <v>3015</v>
      </c>
      <c r="K175" t="s">
        <v>323</v>
      </c>
      <c r="L175">
        <v>0</v>
      </c>
      <c r="N175" t="s">
        <v>274</v>
      </c>
      <c r="O175">
        <v>9</v>
      </c>
      <c r="P175">
        <v>1124</v>
      </c>
      <c r="Q175" t="s">
        <v>317</v>
      </c>
      <c r="R175" t="s">
        <v>201</v>
      </c>
      <c r="S175">
        <v>1</v>
      </c>
      <c r="T175">
        <v>1</v>
      </c>
      <c r="U175">
        <v>121668</v>
      </c>
      <c r="V175">
        <v>121668</v>
      </c>
    </row>
    <row r="176" spans="1:22">
      <c r="A176" t="s">
        <v>196</v>
      </c>
      <c r="B176">
        <v>5</v>
      </c>
      <c r="C176" t="s">
        <v>83</v>
      </c>
      <c r="D176">
        <v>100</v>
      </c>
      <c r="E176" t="s">
        <v>197</v>
      </c>
      <c r="F176">
        <v>1005</v>
      </c>
      <c r="G176" t="s">
        <v>83</v>
      </c>
      <c r="H176">
        <v>2005</v>
      </c>
      <c r="I176" t="s">
        <v>83</v>
      </c>
      <c r="J176">
        <v>3015</v>
      </c>
      <c r="K176" t="s">
        <v>323</v>
      </c>
      <c r="L176">
        <v>0</v>
      </c>
      <c r="N176" t="s">
        <v>268</v>
      </c>
      <c r="O176">
        <v>10</v>
      </c>
      <c r="P176">
        <v>789</v>
      </c>
      <c r="Q176" t="s">
        <v>324</v>
      </c>
      <c r="R176" t="s">
        <v>201</v>
      </c>
      <c r="S176">
        <v>1</v>
      </c>
      <c r="T176">
        <v>1</v>
      </c>
      <c r="U176">
        <v>76476</v>
      </c>
      <c r="V176">
        <v>76476</v>
      </c>
    </row>
    <row r="177" spans="1:22">
      <c r="A177" t="s">
        <v>196</v>
      </c>
      <c r="B177">
        <v>5</v>
      </c>
      <c r="C177" t="s">
        <v>83</v>
      </c>
      <c r="D177">
        <v>100</v>
      </c>
      <c r="E177" t="s">
        <v>197</v>
      </c>
      <c r="F177">
        <v>1005</v>
      </c>
      <c r="G177" t="s">
        <v>83</v>
      </c>
      <c r="H177">
        <v>2005</v>
      </c>
      <c r="I177" t="s">
        <v>83</v>
      </c>
      <c r="J177">
        <v>3015</v>
      </c>
      <c r="K177" t="s">
        <v>323</v>
      </c>
      <c r="L177">
        <v>0</v>
      </c>
      <c r="N177" t="s">
        <v>257</v>
      </c>
      <c r="O177">
        <v>9</v>
      </c>
      <c r="P177">
        <v>705</v>
      </c>
      <c r="Q177" t="s">
        <v>258</v>
      </c>
      <c r="R177" t="s">
        <v>201</v>
      </c>
      <c r="S177">
        <v>1</v>
      </c>
      <c r="T177">
        <v>1</v>
      </c>
      <c r="U177">
        <v>132912</v>
      </c>
      <c r="V177">
        <v>132912</v>
      </c>
    </row>
    <row r="178" spans="1:22">
      <c r="A178" t="s">
        <v>196</v>
      </c>
      <c r="B178">
        <v>5</v>
      </c>
      <c r="C178" t="s">
        <v>83</v>
      </c>
      <c r="D178">
        <v>100</v>
      </c>
      <c r="E178" t="s">
        <v>197</v>
      </c>
      <c r="F178">
        <v>1005</v>
      </c>
      <c r="G178" t="s">
        <v>83</v>
      </c>
      <c r="H178">
        <v>2005</v>
      </c>
      <c r="I178" t="s">
        <v>83</v>
      </c>
      <c r="J178">
        <v>3015</v>
      </c>
      <c r="K178" t="s">
        <v>323</v>
      </c>
      <c r="L178">
        <v>0</v>
      </c>
      <c r="N178" t="s">
        <v>199</v>
      </c>
      <c r="O178">
        <v>0</v>
      </c>
      <c r="P178">
        <v>15</v>
      </c>
      <c r="Q178" t="s">
        <v>264</v>
      </c>
      <c r="R178" t="s">
        <v>201</v>
      </c>
      <c r="S178">
        <v>0</v>
      </c>
      <c r="T178">
        <v>0</v>
      </c>
      <c r="U178">
        <v>17530</v>
      </c>
      <c r="V178">
        <v>17530</v>
      </c>
    </row>
    <row r="179" spans="1:22">
      <c r="A179" t="s">
        <v>196</v>
      </c>
      <c r="B179">
        <v>5</v>
      </c>
      <c r="C179" t="s">
        <v>83</v>
      </c>
      <c r="D179">
        <v>100</v>
      </c>
      <c r="E179" t="s">
        <v>197</v>
      </c>
      <c r="F179">
        <v>1005</v>
      </c>
      <c r="G179" t="s">
        <v>83</v>
      </c>
      <c r="H179">
        <v>2005</v>
      </c>
      <c r="I179" t="s">
        <v>83</v>
      </c>
      <c r="J179">
        <v>3160</v>
      </c>
      <c r="K179" t="s">
        <v>325</v>
      </c>
      <c r="L179">
        <v>4160</v>
      </c>
      <c r="M179" t="s">
        <v>326</v>
      </c>
      <c r="N179" t="s">
        <v>266</v>
      </c>
      <c r="O179">
        <v>9</v>
      </c>
      <c r="P179">
        <v>9684</v>
      </c>
      <c r="Q179" t="s">
        <v>327</v>
      </c>
      <c r="R179" t="s">
        <v>201</v>
      </c>
      <c r="S179">
        <v>1</v>
      </c>
      <c r="T179">
        <v>1</v>
      </c>
      <c r="U179">
        <v>167964</v>
      </c>
      <c r="V179">
        <v>167964</v>
      </c>
    </row>
    <row r="180" spans="1:22">
      <c r="A180" t="s">
        <v>196</v>
      </c>
      <c r="B180">
        <v>5</v>
      </c>
      <c r="C180" t="s">
        <v>83</v>
      </c>
      <c r="D180">
        <v>100</v>
      </c>
      <c r="E180" t="s">
        <v>197</v>
      </c>
      <c r="F180">
        <v>1005</v>
      </c>
      <c r="G180" t="s">
        <v>83</v>
      </c>
      <c r="H180">
        <v>2005</v>
      </c>
      <c r="I180" t="s">
        <v>83</v>
      </c>
      <c r="J180">
        <v>3160</v>
      </c>
      <c r="K180" t="s">
        <v>325</v>
      </c>
      <c r="L180">
        <v>4160</v>
      </c>
      <c r="M180" t="s">
        <v>326</v>
      </c>
      <c r="N180" t="s">
        <v>251</v>
      </c>
      <c r="O180">
        <v>10</v>
      </c>
      <c r="P180">
        <v>1333</v>
      </c>
      <c r="Q180" t="s">
        <v>328</v>
      </c>
      <c r="R180" t="s">
        <v>201</v>
      </c>
      <c r="S180">
        <v>1</v>
      </c>
      <c r="T180">
        <v>1</v>
      </c>
      <c r="U180">
        <v>124584</v>
      </c>
      <c r="V180">
        <v>124584</v>
      </c>
    </row>
    <row r="181" spans="1:22">
      <c r="A181" t="s">
        <v>196</v>
      </c>
      <c r="B181">
        <v>5</v>
      </c>
      <c r="C181" t="s">
        <v>83</v>
      </c>
      <c r="D181">
        <v>100</v>
      </c>
      <c r="E181" t="s">
        <v>197</v>
      </c>
      <c r="F181">
        <v>1005</v>
      </c>
      <c r="G181" t="s">
        <v>83</v>
      </c>
      <c r="H181">
        <v>2005</v>
      </c>
      <c r="I181" t="s">
        <v>83</v>
      </c>
      <c r="J181">
        <v>3160</v>
      </c>
      <c r="K181" t="s">
        <v>325</v>
      </c>
      <c r="L181">
        <v>4160</v>
      </c>
      <c r="M181" t="s">
        <v>326</v>
      </c>
      <c r="N181" t="s">
        <v>199</v>
      </c>
      <c r="O181">
        <v>0</v>
      </c>
      <c r="P181">
        <v>15</v>
      </c>
      <c r="Q181" t="s">
        <v>264</v>
      </c>
      <c r="R181" t="s">
        <v>201</v>
      </c>
      <c r="S181">
        <v>0</v>
      </c>
      <c r="T181">
        <v>0</v>
      </c>
      <c r="U181">
        <v>1887</v>
      </c>
      <c r="V181">
        <v>1887</v>
      </c>
    </row>
    <row r="182" spans="1:22">
      <c r="A182" t="s">
        <v>196</v>
      </c>
      <c r="B182">
        <v>5</v>
      </c>
      <c r="C182" t="s">
        <v>83</v>
      </c>
      <c r="D182">
        <v>100</v>
      </c>
      <c r="E182" t="s">
        <v>197</v>
      </c>
      <c r="F182">
        <v>1005</v>
      </c>
      <c r="G182" t="s">
        <v>83</v>
      </c>
      <c r="H182">
        <v>2005</v>
      </c>
      <c r="I182" t="s">
        <v>83</v>
      </c>
      <c r="J182">
        <v>3160</v>
      </c>
      <c r="K182" t="s">
        <v>325</v>
      </c>
      <c r="L182">
        <v>4165</v>
      </c>
      <c r="M182" t="s">
        <v>329</v>
      </c>
      <c r="N182" t="s">
        <v>266</v>
      </c>
      <c r="O182">
        <v>9</v>
      </c>
      <c r="P182">
        <v>9684</v>
      </c>
      <c r="Q182" t="s">
        <v>327</v>
      </c>
      <c r="R182" t="s">
        <v>201</v>
      </c>
      <c r="S182">
        <v>1</v>
      </c>
      <c r="T182">
        <v>1</v>
      </c>
      <c r="U182">
        <v>167964</v>
      </c>
      <c r="V182">
        <v>167964</v>
      </c>
    </row>
    <row r="183" spans="1:22">
      <c r="A183" t="s">
        <v>196</v>
      </c>
      <c r="B183">
        <v>5</v>
      </c>
      <c r="C183" t="s">
        <v>83</v>
      </c>
      <c r="D183">
        <v>100</v>
      </c>
      <c r="E183" t="s">
        <v>197</v>
      </c>
      <c r="F183">
        <v>1005</v>
      </c>
      <c r="G183" t="s">
        <v>83</v>
      </c>
      <c r="H183">
        <v>2005</v>
      </c>
      <c r="I183" t="s">
        <v>83</v>
      </c>
      <c r="J183">
        <v>3160</v>
      </c>
      <c r="K183" t="s">
        <v>325</v>
      </c>
      <c r="L183">
        <v>4165</v>
      </c>
      <c r="M183" t="s">
        <v>329</v>
      </c>
      <c r="N183" t="s">
        <v>261</v>
      </c>
      <c r="O183">
        <v>20</v>
      </c>
      <c r="P183">
        <v>647</v>
      </c>
      <c r="Q183" t="s">
        <v>330</v>
      </c>
      <c r="R183" t="s">
        <v>201</v>
      </c>
      <c r="S183">
        <v>1</v>
      </c>
      <c r="T183">
        <v>1</v>
      </c>
      <c r="U183">
        <v>115992</v>
      </c>
      <c r="V183">
        <v>115992</v>
      </c>
    </row>
    <row r="184" spans="1:22">
      <c r="A184" t="s">
        <v>196</v>
      </c>
      <c r="B184">
        <v>5</v>
      </c>
      <c r="C184" t="s">
        <v>83</v>
      </c>
      <c r="D184">
        <v>100</v>
      </c>
      <c r="E184" t="s">
        <v>197</v>
      </c>
      <c r="F184">
        <v>1005</v>
      </c>
      <c r="G184" t="s">
        <v>83</v>
      </c>
      <c r="H184">
        <v>2005</v>
      </c>
      <c r="I184" t="s">
        <v>83</v>
      </c>
      <c r="J184">
        <v>3160</v>
      </c>
      <c r="K184" t="s">
        <v>325</v>
      </c>
      <c r="L184">
        <v>4165</v>
      </c>
      <c r="M184" t="s">
        <v>329</v>
      </c>
      <c r="N184" t="s">
        <v>199</v>
      </c>
      <c r="O184">
        <v>0</v>
      </c>
      <c r="P184">
        <v>15</v>
      </c>
      <c r="Q184" t="s">
        <v>264</v>
      </c>
      <c r="R184" t="s">
        <v>201</v>
      </c>
      <c r="S184">
        <v>0</v>
      </c>
      <c r="T184">
        <v>0</v>
      </c>
      <c r="U184">
        <v>1887</v>
      </c>
      <c r="V184">
        <v>1887</v>
      </c>
    </row>
    <row r="185" spans="1:22">
      <c r="A185" t="s">
        <v>196</v>
      </c>
      <c r="B185">
        <v>5</v>
      </c>
      <c r="C185" t="s">
        <v>83</v>
      </c>
      <c r="D185">
        <v>100</v>
      </c>
      <c r="E185" t="s">
        <v>197</v>
      </c>
      <c r="F185">
        <v>1005</v>
      </c>
      <c r="G185" t="s">
        <v>83</v>
      </c>
      <c r="H185">
        <v>2005</v>
      </c>
      <c r="I185" t="s">
        <v>83</v>
      </c>
      <c r="J185">
        <v>3160</v>
      </c>
      <c r="K185" t="s">
        <v>325</v>
      </c>
      <c r="L185">
        <v>4170</v>
      </c>
      <c r="M185" t="s">
        <v>331</v>
      </c>
      <c r="N185" t="s">
        <v>266</v>
      </c>
      <c r="O185">
        <v>9</v>
      </c>
      <c r="P185">
        <v>9656</v>
      </c>
      <c r="Q185" t="s">
        <v>316</v>
      </c>
      <c r="R185" t="s">
        <v>201</v>
      </c>
      <c r="S185">
        <v>1</v>
      </c>
      <c r="T185">
        <v>1</v>
      </c>
      <c r="U185">
        <v>175512</v>
      </c>
      <c r="V185">
        <v>175512</v>
      </c>
    </row>
    <row r="186" spans="1:22">
      <c r="A186" t="s">
        <v>196</v>
      </c>
      <c r="B186">
        <v>5</v>
      </c>
      <c r="C186" t="s">
        <v>83</v>
      </c>
      <c r="D186">
        <v>100</v>
      </c>
      <c r="E186" t="s">
        <v>197</v>
      </c>
      <c r="F186">
        <v>1005</v>
      </c>
      <c r="G186" t="s">
        <v>83</v>
      </c>
      <c r="H186">
        <v>2005</v>
      </c>
      <c r="I186" t="s">
        <v>83</v>
      </c>
      <c r="J186">
        <v>3160</v>
      </c>
      <c r="K186" t="s">
        <v>325</v>
      </c>
      <c r="L186">
        <v>4170</v>
      </c>
      <c r="M186" t="s">
        <v>331</v>
      </c>
      <c r="N186" t="s">
        <v>281</v>
      </c>
      <c r="O186">
        <v>20</v>
      </c>
      <c r="P186">
        <v>1141</v>
      </c>
      <c r="Q186" t="s">
        <v>332</v>
      </c>
      <c r="R186" t="s">
        <v>201</v>
      </c>
      <c r="S186">
        <v>2</v>
      </c>
      <c r="T186">
        <v>1</v>
      </c>
      <c r="U186">
        <v>82884</v>
      </c>
      <c r="V186">
        <v>165768</v>
      </c>
    </row>
    <row r="187" spans="1:22">
      <c r="A187" t="s">
        <v>196</v>
      </c>
      <c r="B187">
        <v>5</v>
      </c>
      <c r="C187" t="s">
        <v>83</v>
      </c>
      <c r="D187">
        <v>100</v>
      </c>
      <c r="E187" t="s">
        <v>197</v>
      </c>
      <c r="F187">
        <v>1005</v>
      </c>
      <c r="G187" t="s">
        <v>83</v>
      </c>
      <c r="H187">
        <v>2005</v>
      </c>
      <c r="I187" t="s">
        <v>83</v>
      </c>
      <c r="J187">
        <v>3160</v>
      </c>
      <c r="K187" t="s">
        <v>325</v>
      </c>
      <c r="L187">
        <v>4170</v>
      </c>
      <c r="M187" t="s">
        <v>331</v>
      </c>
      <c r="N187" t="s">
        <v>333</v>
      </c>
      <c r="O187">
        <v>3</v>
      </c>
      <c r="P187">
        <v>1140</v>
      </c>
      <c r="Q187" t="s">
        <v>334</v>
      </c>
      <c r="R187" t="s">
        <v>201</v>
      </c>
      <c r="S187">
        <v>1</v>
      </c>
      <c r="T187">
        <v>1</v>
      </c>
      <c r="U187">
        <v>117636</v>
      </c>
      <c r="V187">
        <v>117636</v>
      </c>
    </row>
    <row r="188" spans="1:22">
      <c r="A188" t="s">
        <v>196</v>
      </c>
      <c r="B188">
        <v>5</v>
      </c>
      <c r="C188" t="s">
        <v>83</v>
      </c>
      <c r="D188">
        <v>100</v>
      </c>
      <c r="E188" t="s">
        <v>197</v>
      </c>
      <c r="F188">
        <v>1005</v>
      </c>
      <c r="G188" t="s">
        <v>83</v>
      </c>
      <c r="H188">
        <v>2005</v>
      </c>
      <c r="I188" t="s">
        <v>83</v>
      </c>
      <c r="J188">
        <v>3160</v>
      </c>
      <c r="K188" t="s">
        <v>325</v>
      </c>
      <c r="L188">
        <v>4170</v>
      </c>
      <c r="M188" t="s">
        <v>331</v>
      </c>
      <c r="N188" t="s">
        <v>274</v>
      </c>
      <c r="O188">
        <v>9</v>
      </c>
      <c r="P188">
        <v>1124</v>
      </c>
      <c r="Q188" t="s">
        <v>317</v>
      </c>
      <c r="R188" t="s">
        <v>201</v>
      </c>
      <c r="S188">
        <v>1</v>
      </c>
      <c r="T188">
        <v>1</v>
      </c>
      <c r="U188">
        <v>137532</v>
      </c>
      <c r="V188">
        <v>137532</v>
      </c>
    </row>
    <row r="189" spans="1:22">
      <c r="A189" t="s">
        <v>196</v>
      </c>
      <c r="B189">
        <v>5</v>
      </c>
      <c r="C189" t="s">
        <v>83</v>
      </c>
      <c r="D189">
        <v>100</v>
      </c>
      <c r="E189" t="s">
        <v>197</v>
      </c>
      <c r="F189">
        <v>1005</v>
      </c>
      <c r="G189" t="s">
        <v>83</v>
      </c>
      <c r="H189">
        <v>2005</v>
      </c>
      <c r="I189" t="s">
        <v>83</v>
      </c>
      <c r="J189">
        <v>3160</v>
      </c>
      <c r="K189" t="s">
        <v>325</v>
      </c>
      <c r="L189">
        <v>4170</v>
      </c>
      <c r="M189" t="s">
        <v>331</v>
      </c>
      <c r="N189" t="s">
        <v>199</v>
      </c>
      <c r="O189">
        <v>0</v>
      </c>
      <c r="P189">
        <v>15</v>
      </c>
      <c r="Q189" t="s">
        <v>264</v>
      </c>
      <c r="R189" t="s">
        <v>201</v>
      </c>
      <c r="S189">
        <v>0</v>
      </c>
      <c r="T189">
        <v>0</v>
      </c>
      <c r="U189">
        <v>4585</v>
      </c>
      <c r="V189">
        <v>4585</v>
      </c>
    </row>
    <row r="190" spans="1:22">
      <c r="A190" t="s">
        <v>196</v>
      </c>
      <c r="B190">
        <v>5</v>
      </c>
      <c r="C190" t="s">
        <v>83</v>
      </c>
      <c r="D190">
        <v>100</v>
      </c>
      <c r="E190" t="s">
        <v>197</v>
      </c>
      <c r="F190">
        <v>1005</v>
      </c>
      <c r="G190" t="s">
        <v>83</v>
      </c>
      <c r="H190">
        <v>2005</v>
      </c>
      <c r="I190" t="s">
        <v>83</v>
      </c>
      <c r="J190">
        <v>3160</v>
      </c>
      <c r="K190" t="s">
        <v>325</v>
      </c>
      <c r="L190">
        <v>4175</v>
      </c>
      <c r="M190" t="s">
        <v>335</v>
      </c>
      <c r="N190" t="s">
        <v>287</v>
      </c>
      <c r="O190">
        <v>20</v>
      </c>
      <c r="P190">
        <v>1125</v>
      </c>
      <c r="Q190" t="s">
        <v>288</v>
      </c>
      <c r="R190" t="s">
        <v>201</v>
      </c>
      <c r="S190">
        <v>1</v>
      </c>
      <c r="T190">
        <v>1</v>
      </c>
      <c r="U190">
        <v>85236</v>
      </c>
      <c r="V190">
        <v>85236</v>
      </c>
    </row>
    <row r="191" spans="1:22">
      <c r="A191" t="s">
        <v>196</v>
      </c>
      <c r="B191">
        <v>5</v>
      </c>
      <c r="C191" t="s">
        <v>83</v>
      </c>
      <c r="D191">
        <v>100</v>
      </c>
      <c r="E191" t="s">
        <v>197</v>
      </c>
      <c r="F191">
        <v>1005</v>
      </c>
      <c r="G191" t="s">
        <v>83</v>
      </c>
      <c r="H191">
        <v>2005</v>
      </c>
      <c r="I191" t="s">
        <v>83</v>
      </c>
      <c r="J191">
        <v>3160</v>
      </c>
      <c r="K191" t="s">
        <v>325</v>
      </c>
      <c r="L191">
        <v>4175</v>
      </c>
      <c r="M191" t="s">
        <v>335</v>
      </c>
      <c r="N191" t="s">
        <v>287</v>
      </c>
      <c r="O191">
        <v>20</v>
      </c>
      <c r="P191">
        <v>1125</v>
      </c>
      <c r="Q191" t="s">
        <v>288</v>
      </c>
      <c r="R191" t="s">
        <v>201</v>
      </c>
      <c r="S191">
        <v>1</v>
      </c>
      <c r="T191">
        <v>1</v>
      </c>
      <c r="U191">
        <v>82884</v>
      </c>
      <c r="V191">
        <v>82884</v>
      </c>
    </row>
    <row r="192" spans="1:22">
      <c r="A192" t="s">
        <v>196</v>
      </c>
      <c r="B192">
        <v>5</v>
      </c>
      <c r="C192" t="s">
        <v>83</v>
      </c>
      <c r="D192">
        <v>100</v>
      </c>
      <c r="E192" t="s">
        <v>197</v>
      </c>
      <c r="F192">
        <v>1005</v>
      </c>
      <c r="G192" t="s">
        <v>83</v>
      </c>
      <c r="H192">
        <v>2005</v>
      </c>
      <c r="I192" t="s">
        <v>83</v>
      </c>
      <c r="J192">
        <v>3160</v>
      </c>
      <c r="K192" t="s">
        <v>325</v>
      </c>
      <c r="L192">
        <v>4175</v>
      </c>
      <c r="M192" t="s">
        <v>335</v>
      </c>
      <c r="N192" t="s">
        <v>274</v>
      </c>
      <c r="O192">
        <v>9</v>
      </c>
      <c r="P192">
        <v>1124</v>
      </c>
      <c r="Q192" t="s">
        <v>317</v>
      </c>
      <c r="R192" t="s">
        <v>201</v>
      </c>
      <c r="S192">
        <v>1</v>
      </c>
      <c r="T192">
        <v>1</v>
      </c>
      <c r="U192">
        <v>146808</v>
      </c>
      <c r="V192">
        <v>146808</v>
      </c>
    </row>
    <row r="193" spans="1:22">
      <c r="A193" t="s">
        <v>196</v>
      </c>
      <c r="B193">
        <v>5</v>
      </c>
      <c r="C193" t="s">
        <v>83</v>
      </c>
      <c r="D193">
        <v>100</v>
      </c>
      <c r="E193" t="s">
        <v>197</v>
      </c>
      <c r="F193">
        <v>1005</v>
      </c>
      <c r="G193" t="s">
        <v>83</v>
      </c>
      <c r="H193">
        <v>2005</v>
      </c>
      <c r="I193" t="s">
        <v>83</v>
      </c>
      <c r="J193">
        <v>3160</v>
      </c>
      <c r="K193" t="s">
        <v>325</v>
      </c>
      <c r="L193">
        <v>4175</v>
      </c>
      <c r="M193" t="s">
        <v>335</v>
      </c>
      <c r="N193" t="s">
        <v>199</v>
      </c>
      <c r="O193">
        <v>0</v>
      </c>
      <c r="P193">
        <v>15</v>
      </c>
      <c r="Q193" t="s">
        <v>264</v>
      </c>
      <c r="R193" t="s">
        <v>201</v>
      </c>
      <c r="S193">
        <v>0</v>
      </c>
      <c r="T193">
        <v>0</v>
      </c>
      <c r="U193">
        <v>7337</v>
      </c>
      <c r="V193">
        <v>7337</v>
      </c>
    </row>
    <row r="194" spans="1:22">
      <c r="A194" t="s">
        <v>196</v>
      </c>
      <c r="B194">
        <v>6</v>
      </c>
      <c r="C194" t="s">
        <v>336</v>
      </c>
      <c r="D194">
        <v>100</v>
      </c>
      <c r="E194" t="s">
        <v>197</v>
      </c>
      <c r="F194">
        <v>1005</v>
      </c>
      <c r="G194" t="s">
        <v>336</v>
      </c>
      <c r="H194">
        <v>2150</v>
      </c>
      <c r="I194" t="s">
        <v>43</v>
      </c>
      <c r="J194">
        <v>3421</v>
      </c>
      <c r="K194" t="s">
        <v>337</v>
      </c>
      <c r="L194">
        <v>0</v>
      </c>
      <c r="N194" t="s">
        <v>266</v>
      </c>
      <c r="O194">
        <v>9</v>
      </c>
      <c r="P194">
        <v>9679</v>
      </c>
      <c r="Q194" t="s">
        <v>338</v>
      </c>
      <c r="R194" t="s">
        <v>201</v>
      </c>
      <c r="S194">
        <v>1</v>
      </c>
      <c r="T194">
        <v>1</v>
      </c>
      <c r="U194">
        <v>167964</v>
      </c>
      <c r="V194">
        <v>167964</v>
      </c>
    </row>
    <row r="195" spans="1:22">
      <c r="A195" t="s">
        <v>196</v>
      </c>
      <c r="B195">
        <v>6</v>
      </c>
      <c r="C195" t="s">
        <v>336</v>
      </c>
      <c r="D195">
        <v>100</v>
      </c>
      <c r="E195" t="s">
        <v>197</v>
      </c>
      <c r="F195">
        <v>1005</v>
      </c>
      <c r="G195" t="s">
        <v>336</v>
      </c>
      <c r="H195">
        <v>2150</v>
      </c>
      <c r="I195" t="s">
        <v>43</v>
      </c>
      <c r="J195">
        <v>3421</v>
      </c>
      <c r="K195" t="s">
        <v>337</v>
      </c>
      <c r="L195">
        <v>0</v>
      </c>
      <c r="N195" t="s">
        <v>253</v>
      </c>
      <c r="O195">
        <v>10</v>
      </c>
      <c r="P195">
        <v>1431</v>
      </c>
      <c r="Q195" t="s">
        <v>339</v>
      </c>
      <c r="R195" t="s">
        <v>201</v>
      </c>
      <c r="S195">
        <v>1</v>
      </c>
      <c r="T195">
        <v>1</v>
      </c>
      <c r="U195">
        <v>85128</v>
      </c>
      <c r="V195">
        <v>85128</v>
      </c>
    </row>
    <row r="196" spans="1:22">
      <c r="A196" t="s">
        <v>196</v>
      </c>
      <c r="B196">
        <v>6</v>
      </c>
      <c r="C196" t="s">
        <v>336</v>
      </c>
      <c r="D196">
        <v>100</v>
      </c>
      <c r="E196" t="s">
        <v>197</v>
      </c>
      <c r="F196">
        <v>1005</v>
      </c>
      <c r="G196" t="s">
        <v>336</v>
      </c>
      <c r="H196">
        <v>2150</v>
      </c>
      <c r="I196" t="s">
        <v>43</v>
      </c>
      <c r="J196">
        <v>3421</v>
      </c>
      <c r="K196" t="s">
        <v>337</v>
      </c>
      <c r="L196">
        <v>0</v>
      </c>
      <c r="N196" t="s">
        <v>255</v>
      </c>
      <c r="O196">
        <v>1</v>
      </c>
      <c r="P196">
        <v>1302</v>
      </c>
      <c r="Q196" t="s">
        <v>340</v>
      </c>
      <c r="R196" t="s">
        <v>201</v>
      </c>
      <c r="S196">
        <v>1</v>
      </c>
      <c r="T196">
        <v>1</v>
      </c>
      <c r="U196">
        <v>143400</v>
      </c>
      <c r="V196">
        <v>143400</v>
      </c>
    </row>
    <row r="197" spans="1:22">
      <c r="A197" t="s">
        <v>196</v>
      </c>
      <c r="B197">
        <v>6</v>
      </c>
      <c r="C197" t="s">
        <v>336</v>
      </c>
      <c r="D197">
        <v>100</v>
      </c>
      <c r="E197" t="s">
        <v>197</v>
      </c>
      <c r="F197">
        <v>1005</v>
      </c>
      <c r="G197" t="s">
        <v>336</v>
      </c>
      <c r="H197">
        <v>2150</v>
      </c>
      <c r="I197" t="s">
        <v>43</v>
      </c>
      <c r="J197">
        <v>3421</v>
      </c>
      <c r="K197" t="s">
        <v>337</v>
      </c>
      <c r="L197">
        <v>0</v>
      </c>
      <c r="N197" t="s">
        <v>333</v>
      </c>
      <c r="O197">
        <v>3</v>
      </c>
      <c r="P197">
        <v>1140</v>
      </c>
      <c r="Q197" t="s">
        <v>334</v>
      </c>
      <c r="R197" t="s">
        <v>201</v>
      </c>
      <c r="S197">
        <v>1</v>
      </c>
      <c r="T197">
        <v>1</v>
      </c>
      <c r="U197">
        <v>109140</v>
      </c>
      <c r="V197">
        <v>109140</v>
      </c>
    </row>
    <row r="198" spans="1:22">
      <c r="A198" t="s">
        <v>196</v>
      </c>
      <c r="B198">
        <v>6</v>
      </c>
      <c r="C198" t="s">
        <v>336</v>
      </c>
      <c r="D198">
        <v>100</v>
      </c>
      <c r="E198" t="s">
        <v>197</v>
      </c>
      <c r="F198">
        <v>1005</v>
      </c>
      <c r="G198" t="s">
        <v>336</v>
      </c>
      <c r="H198">
        <v>2150</v>
      </c>
      <c r="I198" t="s">
        <v>43</v>
      </c>
      <c r="J198">
        <v>3421</v>
      </c>
      <c r="K198" t="s">
        <v>337</v>
      </c>
      <c r="L198">
        <v>0</v>
      </c>
      <c r="N198" t="s">
        <v>251</v>
      </c>
      <c r="O198">
        <v>10</v>
      </c>
      <c r="P198">
        <v>802</v>
      </c>
      <c r="Q198" t="s">
        <v>252</v>
      </c>
      <c r="R198" t="s">
        <v>201</v>
      </c>
      <c r="S198">
        <v>1</v>
      </c>
      <c r="T198">
        <v>1</v>
      </c>
      <c r="U198">
        <v>124584</v>
      </c>
      <c r="V198">
        <v>124584</v>
      </c>
    </row>
    <row r="199" spans="1:22">
      <c r="A199" t="s">
        <v>196</v>
      </c>
      <c r="B199">
        <v>6</v>
      </c>
      <c r="C199" t="s">
        <v>336</v>
      </c>
      <c r="D199">
        <v>100</v>
      </c>
      <c r="E199" t="s">
        <v>197</v>
      </c>
      <c r="F199">
        <v>1005</v>
      </c>
      <c r="G199" t="s">
        <v>336</v>
      </c>
      <c r="H199">
        <v>2150</v>
      </c>
      <c r="I199" t="s">
        <v>43</v>
      </c>
      <c r="J199">
        <v>3421</v>
      </c>
      <c r="K199" t="s">
        <v>337</v>
      </c>
      <c r="L199">
        <v>0</v>
      </c>
      <c r="N199" t="s">
        <v>341</v>
      </c>
      <c r="O199">
        <v>1</v>
      </c>
      <c r="P199">
        <v>708</v>
      </c>
      <c r="Q199" t="s">
        <v>342</v>
      </c>
      <c r="R199" t="s">
        <v>201</v>
      </c>
      <c r="S199">
        <v>1</v>
      </c>
      <c r="T199">
        <v>1</v>
      </c>
      <c r="U199">
        <v>74172</v>
      </c>
      <c r="V199">
        <v>74172</v>
      </c>
    </row>
    <row r="200" spans="1:22">
      <c r="A200" t="s">
        <v>196</v>
      </c>
      <c r="B200">
        <v>6</v>
      </c>
      <c r="C200" t="s">
        <v>336</v>
      </c>
      <c r="D200">
        <v>100</v>
      </c>
      <c r="E200" t="s">
        <v>197</v>
      </c>
      <c r="F200">
        <v>1005</v>
      </c>
      <c r="G200" t="s">
        <v>336</v>
      </c>
      <c r="H200">
        <v>2150</v>
      </c>
      <c r="I200" t="s">
        <v>43</v>
      </c>
      <c r="J200">
        <v>3421</v>
      </c>
      <c r="K200" t="s">
        <v>337</v>
      </c>
      <c r="L200">
        <v>0</v>
      </c>
      <c r="N200" t="s">
        <v>343</v>
      </c>
      <c r="O200">
        <v>20</v>
      </c>
      <c r="P200" t="s">
        <v>344</v>
      </c>
      <c r="Q200" t="s">
        <v>345</v>
      </c>
      <c r="R200" t="s">
        <v>201</v>
      </c>
      <c r="S200">
        <v>1</v>
      </c>
      <c r="T200">
        <v>1</v>
      </c>
      <c r="U200">
        <v>97836</v>
      </c>
      <c r="V200">
        <v>97836</v>
      </c>
    </row>
    <row r="201" spans="1:22">
      <c r="A201" t="s">
        <v>196</v>
      </c>
      <c r="B201">
        <v>6</v>
      </c>
      <c r="C201" t="s">
        <v>336</v>
      </c>
      <c r="D201">
        <v>100</v>
      </c>
      <c r="E201" t="s">
        <v>197</v>
      </c>
      <c r="F201">
        <v>1005</v>
      </c>
      <c r="G201" t="s">
        <v>336</v>
      </c>
      <c r="H201">
        <v>2150</v>
      </c>
      <c r="I201" t="s">
        <v>43</v>
      </c>
      <c r="J201">
        <v>3421</v>
      </c>
      <c r="K201" t="s">
        <v>337</v>
      </c>
      <c r="L201">
        <v>0</v>
      </c>
      <c r="N201" t="s">
        <v>346</v>
      </c>
      <c r="O201">
        <v>9</v>
      </c>
      <c r="P201" t="s">
        <v>347</v>
      </c>
      <c r="Q201" t="s">
        <v>348</v>
      </c>
      <c r="R201" t="s">
        <v>201</v>
      </c>
      <c r="S201">
        <v>1</v>
      </c>
      <c r="T201">
        <v>1</v>
      </c>
      <c r="U201">
        <v>133836</v>
      </c>
      <c r="V201">
        <v>133836</v>
      </c>
    </row>
    <row r="202" spans="1:22">
      <c r="A202" t="s">
        <v>196</v>
      </c>
      <c r="B202">
        <v>6</v>
      </c>
      <c r="C202" t="s">
        <v>336</v>
      </c>
      <c r="D202">
        <v>100</v>
      </c>
      <c r="E202" t="s">
        <v>197</v>
      </c>
      <c r="F202">
        <v>1005</v>
      </c>
      <c r="G202" t="s">
        <v>336</v>
      </c>
      <c r="H202">
        <v>2150</v>
      </c>
      <c r="I202" t="s">
        <v>43</v>
      </c>
      <c r="J202">
        <v>3421</v>
      </c>
      <c r="K202" t="s">
        <v>337</v>
      </c>
      <c r="L202">
        <v>0</v>
      </c>
      <c r="N202" t="s">
        <v>216</v>
      </c>
      <c r="O202">
        <v>9</v>
      </c>
      <c r="P202" t="s">
        <v>349</v>
      </c>
      <c r="Q202" t="s">
        <v>350</v>
      </c>
      <c r="R202" t="s">
        <v>201</v>
      </c>
      <c r="S202">
        <v>1</v>
      </c>
      <c r="T202">
        <v>1</v>
      </c>
      <c r="U202">
        <v>227976</v>
      </c>
      <c r="V202">
        <v>227976</v>
      </c>
    </row>
    <row r="203" spans="1:22">
      <c r="A203" t="s">
        <v>196</v>
      </c>
      <c r="B203">
        <v>6</v>
      </c>
      <c r="C203" t="s">
        <v>336</v>
      </c>
      <c r="D203">
        <v>100</v>
      </c>
      <c r="E203" t="s">
        <v>197</v>
      </c>
      <c r="F203">
        <v>1005</v>
      </c>
      <c r="G203" t="s">
        <v>336</v>
      </c>
      <c r="H203">
        <v>2150</v>
      </c>
      <c r="I203" t="s">
        <v>43</v>
      </c>
      <c r="J203">
        <v>3421</v>
      </c>
      <c r="K203" t="s">
        <v>337</v>
      </c>
      <c r="L203">
        <v>0</v>
      </c>
      <c r="N203" t="s">
        <v>351</v>
      </c>
      <c r="O203">
        <v>1</v>
      </c>
      <c r="P203" t="s">
        <v>352</v>
      </c>
      <c r="Q203" t="s">
        <v>353</v>
      </c>
      <c r="R203" t="s">
        <v>201</v>
      </c>
      <c r="S203">
        <v>1</v>
      </c>
      <c r="T203">
        <v>1</v>
      </c>
      <c r="U203">
        <v>74172</v>
      </c>
      <c r="V203">
        <v>74172</v>
      </c>
    </row>
    <row r="204" spans="1:22">
      <c r="A204" t="s">
        <v>196</v>
      </c>
      <c r="B204">
        <v>6</v>
      </c>
      <c r="C204" t="s">
        <v>336</v>
      </c>
      <c r="D204">
        <v>100</v>
      </c>
      <c r="E204" t="s">
        <v>197</v>
      </c>
      <c r="F204">
        <v>1005</v>
      </c>
      <c r="G204" t="s">
        <v>336</v>
      </c>
      <c r="H204">
        <v>2150</v>
      </c>
      <c r="I204" t="s">
        <v>43</v>
      </c>
      <c r="J204">
        <v>3421</v>
      </c>
      <c r="K204" t="s">
        <v>337</v>
      </c>
      <c r="L204">
        <v>0</v>
      </c>
      <c r="N204" t="s">
        <v>274</v>
      </c>
      <c r="O204">
        <v>20</v>
      </c>
      <c r="P204">
        <v>383</v>
      </c>
      <c r="Q204" t="s">
        <v>354</v>
      </c>
      <c r="R204" t="s">
        <v>201</v>
      </c>
      <c r="S204">
        <v>1</v>
      </c>
      <c r="T204">
        <v>1</v>
      </c>
      <c r="U204">
        <v>137532</v>
      </c>
      <c r="V204">
        <v>137532</v>
      </c>
    </row>
    <row r="205" spans="1:22">
      <c r="A205" t="s">
        <v>196</v>
      </c>
      <c r="B205">
        <v>6</v>
      </c>
      <c r="C205" t="s">
        <v>336</v>
      </c>
      <c r="D205">
        <v>100</v>
      </c>
      <c r="E205" t="s">
        <v>197</v>
      </c>
      <c r="F205">
        <v>1005</v>
      </c>
      <c r="G205" t="s">
        <v>336</v>
      </c>
      <c r="H205">
        <v>2150</v>
      </c>
      <c r="I205" t="s">
        <v>43</v>
      </c>
      <c r="J205">
        <v>3421</v>
      </c>
      <c r="K205" t="s">
        <v>337</v>
      </c>
      <c r="L205">
        <v>0</v>
      </c>
      <c r="N205" t="s">
        <v>341</v>
      </c>
      <c r="O205">
        <v>1</v>
      </c>
      <c r="P205">
        <v>308</v>
      </c>
      <c r="Q205" t="s">
        <v>355</v>
      </c>
      <c r="R205" t="s">
        <v>201</v>
      </c>
      <c r="S205">
        <v>1</v>
      </c>
      <c r="T205">
        <v>1</v>
      </c>
      <c r="U205">
        <v>108576</v>
      </c>
      <c r="V205">
        <v>108576</v>
      </c>
    </row>
    <row r="206" spans="1:22">
      <c r="A206" t="s">
        <v>196</v>
      </c>
      <c r="B206">
        <v>6</v>
      </c>
      <c r="C206" t="s">
        <v>336</v>
      </c>
      <c r="D206">
        <v>100</v>
      </c>
      <c r="E206" t="s">
        <v>197</v>
      </c>
      <c r="F206">
        <v>1005</v>
      </c>
      <c r="G206" t="s">
        <v>336</v>
      </c>
      <c r="H206">
        <v>2150</v>
      </c>
      <c r="I206" t="s">
        <v>43</v>
      </c>
      <c r="J206">
        <v>3421</v>
      </c>
      <c r="K206" t="s">
        <v>337</v>
      </c>
      <c r="L206">
        <v>0</v>
      </c>
      <c r="N206" t="s">
        <v>356</v>
      </c>
      <c r="O206">
        <v>4</v>
      </c>
      <c r="P206">
        <v>124</v>
      </c>
      <c r="Q206" t="s">
        <v>357</v>
      </c>
      <c r="R206" t="s">
        <v>201</v>
      </c>
      <c r="S206">
        <v>1</v>
      </c>
      <c r="T206">
        <v>1</v>
      </c>
      <c r="U206">
        <v>129636</v>
      </c>
      <c r="V206">
        <v>129636</v>
      </c>
    </row>
    <row r="207" spans="1:22">
      <c r="A207" t="s">
        <v>196</v>
      </c>
      <c r="B207">
        <v>6</v>
      </c>
      <c r="C207" t="s">
        <v>336</v>
      </c>
      <c r="D207">
        <v>100</v>
      </c>
      <c r="E207" t="s">
        <v>197</v>
      </c>
      <c r="F207">
        <v>1005</v>
      </c>
      <c r="G207" t="s">
        <v>336</v>
      </c>
      <c r="H207">
        <v>2150</v>
      </c>
      <c r="I207" t="s">
        <v>43</v>
      </c>
      <c r="J207">
        <v>3421</v>
      </c>
      <c r="K207" t="s">
        <v>337</v>
      </c>
      <c r="L207">
        <v>0</v>
      </c>
      <c r="N207" t="s">
        <v>274</v>
      </c>
      <c r="O207">
        <v>0</v>
      </c>
      <c r="P207">
        <v>118</v>
      </c>
      <c r="Q207" t="s">
        <v>358</v>
      </c>
      <c r="R207" t="s">
        <v>201</v>
      </c>
      <c r="S207">
        <v>1</v>
      </c>
      <c r="T207">
        <v>1</v>
      </c>
      <c r="U207">
        <v>137532</v>
      </c>
      <c r="V207">
        <v>137532</v>
      </c>
    </row>
    <row r="208" spans="1:22">
      <c r="A208" t="s">
        <v>196</v>
      </c>
      <c r="B208">
        <v>6</v>
      </c>
      <c r="C208" t="s">
        <v>336</v>
      </c>
      <c r="D208">
        <v>100</v>
      </c>
      <c r="E208" t="s">
        <v>197</v>
      </c>
      <c r="F208">
        <v>1005</v>
      </c>
      <c r="G208" t="s">
        <v>336</v>
      </c>
      <c r="H208">
        <v>2150</v>
      </c>
      <c r="I208" t="s">
        <v>43</v>
      </c>
      <c r="J208">
        <v>3421</v>
      </c>
      <c r="K208" t="s">
        <v>337</v>
      </c>
      <c r="L208">
        <v>0</v>
      </c>
      <c r="N208" t="s">
        <v>341</v>
      </c>
      <c r="O208">
        <v>4</v>
      </c>
      <c r="P208">
        <v>110</v>
      </c>
      <c r="Q208" t="s">
        <v>359</v>
      </c>
      <c r="R208" t="s">
        <v>201</v>
      </c>
      <c r="S208">
        <v>1</v>
      </c>
      <c r="T208">
        <v>1</v>
      </c>
      <c r="U208">
        <v>74172</v>
      </c>
      <c r="V208">
        <v>74172</v>
      </c>
    </row>
    <row r="209" spans="1:22">
      <c r="A209" t="s">
        <v>196</v>
      </c>
      <c r="B209">
        <v>6</v>
      </c>
      <c r="C209" t="s">
        <v>336</v>
      </c>
      <c r="D209">
        <v>100</v>
      </c>
      <c r="E209" t="s">
        <v>197</v>
      </c>
      <c r="F209">
        <v>1005</v>
      </c>
      <c r="G209" t="s">
        <v>336</v>
      </c>
      <c r="H209">
        <v>2150</v>
      </c>
      <c r="I209" t="s">
        <v>43</v>
      </c>
      <c r="J209">
        <v>3421</v>
      </c>
      <c r="K209" t="s">
        <v>337</v>
      </c>
      <c r="L209">
        <v>0</v>
      </c>
      <c r="N209" t="s">
        <v>360</v>
      </c>
      <c r="O209">
        <v>1</v>
      </c>
      <c r="P209">
        <v>109</v>
      </c>
      <c r="Q209" t="s">
        <v>361</v>
      </c>
      <c r="R209" t="s">
        <v>201</v>
      </c>
      <c r="S209">
        <v>2</v>
      </c>
      <c r="T209">
        <v>1</v>
      </c>
      <c r="U209">
        <v>58764</v>
      </c>
      <c r="V209">
        <v>117528</v>
      </c>
    </row>
    <row r="210" spans="1:22">
      <c r="A210" t="s">
        <v>196</v>
      </c>
      <c r="B210">
        <v>6</v>
      </c>
      <c r="C210" t="s">
        <v>336</v>
      </c>
      <c r="D210">
        <v>100</v>
      </c>
      <c r="E210" t="s">
        <v>197</v>
      </c>
      <c r="F210">
        <v>1005</v>
      </c>
      <c r="G210" t="s">
        <v>336</v>
      </c>
      <c r="H210">
        <v>2150</v>
      </c>
      <c r="I210" t="s">
        <v>43</v>
      </c>
      <c r="J210">
        <v>3421</v>
      </c>
      <c r="K210" t="s">
        <v>337</v>
      </c>
      <c r="L210">
        <v>0</v>
      </c>
      <c r="N210" t="s">
        <v>199</v>
      </c>
      <c r="O210">
        <v>0</v>
      </c>
      <c r="P210">
        <v>15</v>
      </c>
      <c r="Q210" t="s">
        <v>264</v>
      </c>
      <c r="R210" t="s">
        <v>201</v>
      </c>
      <c r="S210">
        <v>0</v>
      </c>
      <c r="T210">
        <v>0</v>
      </c>
      <c r="U210">
        <v>27687</v>
      </c>
      <c r="V210">
        <v>27687</v>
      </c>
    </row>
    <row r="211" spans="1:22">
      <c r="A211" t="s">
        <v>196</v>
      </c>
      <c r="B211">
        <v>6</v>
      </c>
      <c r="C211" t="s">
        <v>336</v>
      </c>
      <c r="D211">
        <v>100</v>
      </c>
      <c r="E211" t="s">
        <v>197</v>
      </c>
      <c r="F211">
        <v>1005</v>
      </c>
      <c r="G211" t="s">
        <v>336</v>
      </c>
      <c r="H211">
        <v>2150</v>
      </c>
      <c r="I211" t="s">
        <v>43</v>
      </c>
      <c r="J211">
        <v>3425</v>
      </c>
      <c r="K211" t="s">
        <v>362</v>
      </c>
      <c r="L211">
        <v>0</v>
      </c>
      <c r="N211" t="s">
        <v>255</v>
      </c>
      <c r="O211">
        <v>1</v>
      </c>
      <c r="P211">
        <v>1572</v>
      </c>
      <c r="Q211" t="s">
        <v>363</v>
      </c>
      <c r="R211" t="s">
        <v>201</v>
      </c>
      <c r="S211">
        <v>1</v>
      </c>
      <c r="T211">
        <v>1</v>
      </c>
      <c r="U211">
        <v>89244</v>
      </c>
      <c r="V211">
        <v>89244</v>
      </c>
    </row>
    <row r="212" spans="1:22">
      <c r="A212" t="s">
        <v>196</v>
      </c>
      <c r="B212">
        <v>6</v>
      </c>
      <c r="C212" t="s">
        <v>336</v>
      </c>
      <c r="D212">
        <v>100</v>
      </c>
      <c r="E212" t="s">
        <v>197</v>
      </c>
      <c r="F212">
        <v>1005</v>
      </c>
      <c r="G212" t="s">
        <v>336</v>
      </c>
      <c r="H212">
        <v>2150</v>
      </c>
      <c r="I212" t="s">
        <v>43</v>
      </c>
      <c r="J212">
        <v>3425</v>
      </c>
      <c r="K212" t="s">
        <v>362</v>
      </c>
      <c r="L212">
        <v>0</v>
      </c>
      <c r="N212" t="s">
        <v>341</v>
      </c>
      <c r="O212">
        <v>1</v>
      </c>
      <c r="P212">
        <v>1482</v>
      </c>
      <c r="Q212" t="s">
        <v>364</v>
      </c>
      <c r="R212" t="s">
        <v>201</v>
      </c>
      <c r="S212">
        <v>1</v>
      </c>
      <c r="T212">
        <v>1</v>
      </c>
      <c r="U212">
        <v>77640</v>
      </c>
      <c r="V212">
        <v>77640</v>
      </c>
    </row>
    <row r="213" spans="1:22">
      <c r="A213" t="s">
        <v>196</v>
      </c>
      <c r="B213">
        <v>6</v>
      </c>
      <c r="C213" t="s">
        <v>336</v>
      </c>
      <c r="D213">
        <v>100</v>
      </c>
      <c r="E213" t="s">
        <v>197</v>
      </c>
      <c r="F213">
        <v>1005</v>
      </c>
      <c r="G213" t="s">
        <v>336</v>
      </c>
      <c r="H213">
        <v>2150</v>
      </c>
      <c r="I213" t="s">
        <v>43</v>
      </c>
      <c r="J213">
        <v>3425</v>
      </c>
      <c r="K213" t="s">
        <v>362</v>
      </c>
      <c r="L213">
        <v>0</v>
      </c>
      <c r="N213" t="s">
        <v>253</v>
      </c>
      <c r="O213">
        <v>20</v>
      </c>
      <c r="P213" t="s">
        <v>365</v>
      </c>
      <c r="Q213" t="s">
        <v>366</v>
      </c>
      <c r="R213" t="s">
        <v>201</v>
      </c>
      <c r="S213">
        <v>1</v>
      </c>
      <c r="T213">
        <v>1</v>
      </c>
      <c r="U213">
        <v>85128</v>
      </c>
      <c r="V213">
        <v>85128</v>
      </c>
    </row>
    <row r="214" spans="1:22">
      <c r="A214" t="s">
        <v>196</v>
      </c>
      <c r="B214">
        <v>6</v>
      </c>
      <c r="C214" t="s">
        <v>336</v>
      </c>
      <c r="D214">
        <v>100</v>
      </c>
      <c r="E214" t="s">
        <v>197</v>
      </c>
      <c r="F214">
        <v>1005</v>
      </c>
      <c r="G214" t="s">
        <v>336</v>
      </c>
      <c r="H214">
        <v>2150</v>
      </c>
      <c r="I214" t="s">
        <v>43</v>
      </c>
      <c r="J214">
        <v>3425</v>
      </c>
      <c r="K214" t="s">
        <v>362</v>
      </c>
      <c r="L214">
        <v>0</v>
      </c>
      <c r="N214" t="s">
        <v>367</v>
      </c>
      <c r="O214">
        <v>20</v>
      </c>
      <c r="P214" t="s">
        <v>368</v>
      </c>
      <c r="Q214" t="s">
        <v>369</v>
      </c>
      <c r="R214" t="s">
        <v>201</v>
      </c>
      <c r="S214">
        <v>1</v>
      </c>
      <c r="T214">
        <v>1</v>
      </c>
      <c r="U214">
        <v>204516</v>
      </c>
      <c r="V214">
        <v>204516</v>
      </c>
    </row>
    <row r="215" spans="1:22">
      <c r="A215" t="s">
        <v>196</v>
      </c>
      <c r="B215">
        <v>6</v>
      </c>
      <c r="C215" t="s">
        <v>336</v>
      </c>
      <c r="D215">
        <v>100</v>
      </c>
      <c r="E215" t="s">
        <v>197</v>
      </c>
      <c r="F215">
        <v>1005</v>
      </c>
      <c r="G215" t="s">
        <v>336</v>
      </c>
      <c r="H215">
        <v>2150</v>
      </c>
      <c r="I215" t="s">
        <v>43</v>
      </c>
      <c r="J215">
        <v>3425</v>
      </c>
      <c r="K215" t="s">
        <v>362</v>
      </c>
      <c r="L215">
        <v>0</v>
      </c>
      <c r="N215" t="s">
        <v>346</v>
      </c>
      <c r="O215">
        <v>20</v>
      </c>
      <c r="P215" t="s">
        <v>370</v>
      </c>
      <c r="Q215" t="s">
        <v>371</v>
      </c>
      <c r="R215" t="s">
        <v>201</v>
      </c>
      <c r="S215">
        <v>1</v>
      </c>
      <c r="T215">
        <v>1</v>
      </c>
      <c r="U215">
        <v>173160</v>
      </c>
      <c r="V215">
        <v>173160</v>
      </c>
    </row>
    <row r="216" spans="1:22">
      <c r="A216" t="s">
        <v>196</v>
      </c>
      <c r="B216">
        <v>6</v>
      </c>
      <c r="C216" t="s">
        <v>336</v>
      </c>
      <c r="D216">
        <v>100</v>
      </c>
      <c r="E216" t="s">
        <v>197</v>
      </c>
      <c r="F216">
        <v>1005</v>
      </c>
      <c r="G216" t="s">
        <v>336</v>
      </c>
      <c r="H216">
        <v>2150</v>
      </c>
      <c r="I216" t="s">
        <v>43</v>
      </c>
      <c r="J216">
        <v>3425</v>
      </c>
      <c r="K216" t="s">
        <v>362</v>
      </c>
      <c r="L216">
        <v>0</v>
      </c>
      <c r="N216" t="s">
        <v>372</v>
      </c>
      <c r="O216">
        <v>1</v>
      </c>
      <c r="P216" t="s">
        <v>373</v>
      </c>
      <c r="Q216" t="s">
        <v>374</v>
      </c>
      <c r="R216" t="s">
        <v>201</v>
      </c>
      <c r="S216">
        <v>2</v>
      </c>
      <c r="T216">
        <v>1</v>
      </c>
      <c r="U216">
        <v>75336</v>
      </c>
      <c r="V216">
        <v>150672</v>
      </c>
    </row>
    <row r="217" spans="1:22">
      <c r="A217" t="s">
        <v>196</v>
      </c>
      <c r="B217">
        <v>6</v>
      </c>
      <c r="C217" t="s">
        <v>336</v>
      </c>
      <c r="D217">
        <v>100</v>
      </c>
      <c r="E217" t="s">
        <v>197</v>
      </c>
      <c r="F217">
        <v>1005</v>
      </c>
      <c r="G217" t="s">
        <v>336</v>
      </c>
      <c r="H217">
        <v>2150</v>
      </c>
      <c r="I217" t="s">
        <v>43</v>
      </c>
      <c r="J217">
        <v>3425</v>
      </c>
      <c r="K217" t="s">
        <v>362</v>
      </c>
      <c r="L217">
        <v>0</v>
      </c>
      <c r="N217" t="s">
        <v>343</v>
      </c>
      <c r="O217">
        <v>20</v>
      </c>
      <c r="P217" t="s">
        <v>375</v>
      </c>
      <c r="Q217" t="s">
        <v>376</v>
      </c>
      <c r="R217" t="s">
        <v>201</v>
      </c>
      <c r="S217">
        <v>1</v>
      </c>
      <c r="T217">
        <v>1</v>
      </c>
      <c r="U217">
        <v>118956</v>
      </c>
      <c r="V217">
        <v>118956</v>
      </c>
    </row>
    <row r="218" spans="1:22">
      <c r="A218" t="s">
        <v>196</v>
      </c>
      <c r="B218">
        <v>6</v>
      </c>
      <c r="C218" t="s">
        <v>336</v>
      </c>
      <c r="D218">
        <v>100</v>
      </c>
      <c r="E218" t="s">
        <v>197</v>
      </c>
      <c r="F218">
        <v>1005</v>
      </c>
      <c r="G218" t="s">
        <v>336</v>
      </c>
      <c r="H218">
        <v>2150</v>
      </c>
      <c r="I218" t="s">
        <v>43</v>
      </c>
      <c r="J218">
        <v>3425</v>
      </c>
      <c r="K218" t="s">
        <v>362</v>
      </c>
      <c r="L218">
        <v>0</v>
      </c>
      <c r="N218" t="s">
        <v>372</v>
      </c>
      <c r="O218">
        <v>1</v>
      </c>
      <c r="P218" t="s">
        <v>377</v>
      </c>
      <c r="Q218" t="s">
        <v>378</v>
      </c>
      <c r="R218" t="s">
        <v>201</v>
      </c>
      <c r="S218">
        <v>1</v>
      </c>
      <c r="T218">
        <v>1</v>
      </c>
      <c r="U218">
        <v>75336</v>
      </c>
      <c r="V218">
        <v>75336</v>
      </c>
    </row>
    <row r="219" spans="1:22">
      <c r="A219" t="s">
        <v>196</v>
      </c>
      <c r="B219">
        <v>6</v>
      </c>
      <c r="C219" t="s">
        <v>336</v>
      </c>
      <c r="D219">
        <v>100</v>
      </c>
      <c r="E219" t="s">
        <v>197</v>
      </c>
      <c r="F219">
        <v>1005</v>
      </c>
      <c r="G219" t="s">
        <v>336</v>
      </c>
      <c r="H219">
        <v>2150</v>
      </c>
      <c r="I219" t="s">
        <v>43</v>
      </c>
      <c r="J219">
        <v>3425</v>
      </c>
      <c r="K219" t="s">
        <v>362</v>
      </c>
      <c r="L219">
        <v>0</v>
      </c>
      <c r="N219" t="s">
        <v>379</v>
      </c>
      <c r="O219">
        <v>20</v>
      </c>
      <c r="P219" t="s">
        <v>380</v>
      </c>
      <c r="Q219" t="s">
        <v>381</v>
      </c>
      <c r="R219" t="s">
        <v>201</v>
      </c>
      <c r="S219">
        <v>1</v>
      </c>
      <c r="T219">
        <v>1</v>
      </c>
      <c r="U219">
        <v>110940</v>
      </c>
      <c r="V219">
        <v>110940</v>
      </c>
    </row>
    <row r="220" spans="1:22">
      <c r="A220" t="s">
        <v>196</v>
      </c>
      <c r="B220">
        <v>6</v>
      </c>
      <c r="C220" t="s">
        <v>336</v>
      </c>
      <c r="D220">
        <v>100</v>
      </c>
      <c r="E220" t="s">
        <v>197</v>
      </c>
      <c r="F220">
        <v>1005</v>
      </c>
      <c r="G220" t="s">
        <v>336</v>
      </c>
      <c r="H220">
        <v>2150</v>
      </c>
      <c r="I220" t="s">
        <v>43</v>
      </c>
      <c r="J220">
        <v>3425</v>
      </c>
      <c r="K220" t="s">
        <v>362</v>
      </c>
      <c r="L220">
        <v>0</v>
      </c>
      <c r="N220" t="s">
        <v>343</v>
      </c>
      <c r="O220">
        <v>20</v>
      </c>
      <c r="P220" t="s">
        <v>382</v>
      </c>
      <c r="Q220" t="s">
        <v>383</v>
      </c>
      <c r="R220" t="s">
        <v>201</v>
      </c>
      <c r="S220">
        <v>1</v>
      </c>
      <c r="T220">
        <v>1</v>
      </c>
      <c r="U220">
        <v>97836</v>
      </c>
      <c r="V220">
        <v>97836</v>
      </c>
    </row>
    <row r="221" spans="1:22">
      <c r="A221" t="s">
        <v>196</v>
      </c>
      <c r="B221">
        <v>6</v>
      </c>
      <c r="C221" t="s">
        <v>336</v>
      </c>
      <c r="D221">
        <v>100</v>
      </c>
      <c r="E221" t="s">
        <v>197</v>
      </c>
      <c r="F221">
        <v>1005</v>
      </c>
      <c r="G221" t="s">
        <v>336</v>
      </c>
      <c r="H221">
        <v>2150</v>
      </c>
      <c r="I221" t="s">
        <v>43</v>
      </c>
      <c r="J221">
        <v>3425</v>
      </c>
      <c r="K221" t="s">
        <v>362</v>
      </c>
      <c r="L221">
        <v>0</v>
      </c>
      <c r="N221" t="s">
        <v>379</v>
      </c>
      <c r="O221">
        <v>20</v>
      </c>
      <c r="P221" t="s">
        <v>384</v>
      </c>
      <c r="Q221" t="s">
        <v>385</v>
      </c>
      <c r="R221" t="s">
        <v>201</v>
      </c>
      <c r="S221">
        <v>1</v>
      </c>
      <c r="T221">
        <v>1</v>
      </c>
      <c r="U221">
        <v>120144</v>
      </c>
      <c r="V221">
        <v>120144</v>
      </c>
    </row>
    <row r="222" spans="1:22">
      <c r="A222" t="s">
        <v>196</v>
      </c>
      <c r="B222">
        <v>6</v>
      </c>
      <c r="C222" t="s">
        <v>336</v>
      </c>
      <c r="D222">
        <v>100</v>
      </c>
      <c r="E222" t="s">
        <v>197</v>
      </c>
      <c r="F222">
        <v>1005</v>
      </c>
      <c r="G222" t="s">
        <v>336</v>
      </c>
      <c r="H222">
        <v>2150</v>
      </c>
      <c r="I222" t="s">
        <v>43</v>
      </c>
      <c r="J222">
        <v>3425</v>
      </c>
      <c r="K222" t="s">
        <v>362</v>
      </c>
      <c r="L222">
        <v>0</v>
      </c>
      <c r="N222" t="s">
        <v>386</v>
      </c>
      <c r="O222">
        <v>4</v>
      </c>
      <c r="P222" t="s">
        <v>387</v>
      </c>
      <c r="Q222" t="s">
        <v>388</v>
      </c>
      <c r="R222" t="s">
        <v>201</v>
      </c>
      <c r="S222">
        <v>1</v>
      </c>
      <c r="T222">
        <v>1</v>
      </c>
      <c r="U222">
        <v>153228</v>
      </c>
      <c r="V222">
        <v>153228</v>
      </c>
    </row>
    <row r="223" spans="1:22">
      <c r="A223" t="s">
        <v>196</v>
      </c>
      <c r="B223">
        <v>6</v>
      </c>
      <c r="C223" t="s">
        <v>336</v>
      </c>
      <c r="D223">
        <v>100</v>
      </c>
      <c r="E223" t="s">
        <v>197</v>
      </c>
      <c r="F223">
        <v>1005</v>
      </c>
      <c r="G223" t="s">
        <v>336</v>
      </c>
      <c r="H223">
        <v>2150</v>
      </c>
      <c r="I223" t="s">
        <v>43</v>
      </c>
      <c r="J223">
        <v>3425</v>
      </c>
      <c r="K223" t="s">
        <v>362</v>
      </c>
      <c r="L223">
        <v>0</v>
      </c>
      <c r="N223" t="s">
        <v>386</v>
      </c>
      <c r="O223">
        <v>4</v>
      </c>
      <c r="P223" t="s">
        <v>387</v>
      </c>
      <c r="Q223" t="s">
        <v>388</v>
      </c>
      <c r="R223" t="s">
        <v>201</v>
      </c>
      <c r="S223">
        <v>1</v>
      </c>
      <c r="T223">
        <v>1</v>
      </c>
      <c r="U223">
        <v>119244</v>
      </c>
      <c r="V223">
        <v>119244</v>
      </c>
    </row>
    <row r="224" spans="1:22">
      <c r="A224" t="s">
        <v>196</v>
      </c>
      <c r="B224">
        <v>6</v>
      </c>
      <c r="C224" t="s">
        <v>336</v>
      </c>
      <c r="D224">
        <v>100</v>
      </c>
      <c r="E224" t="s">
        <v>197</v>
      </c>
      <c r="F224">
        <v>1005</v>
      </c>
      <c r="G224" t="s">
        <v>336</v>
      </c>
      <c r="H224">
        <v>2150</v>
      </c>
      <c r="I224" t="s">
        <v>43</v>
      </c>
      <c r="J224">
        <v>3425</v>
      </c>
      <c r="K224" t="s">
        <v>362</v>
      </c>
      <c r="L224">
        <v>0</v>
      </c>
      <c r="N224" t="s">
        <v>389</v>
      </c>
      <c r="O224">
        <v>20</v>
      </c>
      <c r="P224" t="s">
        <v>390</v>
      </c>
      <c r="Q224" t="s">
        <v>391</v>
      </c>
      <c r="R224" t="s">
        <v>201</v>
      </c>
      <c r="S224">
        <v>1</v>
      </c>
      <c r="T224">
        <v>1</v>
      </c>
      <c r="U224">
        <v>140868</v>
      </c>
      <c r="V224">
        <v>140868</v>
      </c>
    </row>
    <row r="225" spans="1:22">
      <c r="A225" t="s">
        <v>196</v>
      </c>
      <c r="B225">
        <v>6</v>
      </c>
      <c r="C225" t="s">
        <v>336</v>
      </c>
      <c r="D225">
        <v>100</v>
      </c>
      <c r="E225" t="s">
        <v>197</v>
      </c>
      <c r="F225">
        <v>1005</v>
      </c>
      <c r="G225" t="s">
        <v>336</v>
      </c>
      <c r="H225">
        <v>2150</v>
      </c>
      <c r="I225" t="s">
        <v>43</v>
      </c>
      <c r="J225">
        <v>3425</v>
      </c>
      <c r="K225" t="s">
        <v>362</v>
      </c>
      <c r="L225">
        <v>0</v>
      </c>
      <c r="N225" t="s">
        <v>392</v>
      </c>
      <c r="O225">
        <v>4</v>
      </c>
      <c r="P225">
        <v>345</v>
      </c>
      <c r="Q225" t="s">
        <v>393</v>
      </c>
      <c r="R225" t="s">
        <v>201</v>
      </c>
      <c r="S225">
        <v>1</v>
      </c>
      <c r="T225">
        <v>1</v>
      </c>
      <c r="U225">
        <v>130668</v>
      </c>
      <c r="V225">
        <v>130668</v>
      </c>
    </row>
    <row r="226" spans="1:22">
      <c r="A226" t="s">
        <v>196</v>
      </c>
      <c r="B226">
        <v>6</v>
      </c>
      <c r="C226" t="s">
        <v>336</v>
      </c>
      <c r="D226">
        <v>100</v>
      </c>
      <c r="E226" t="s">
        <v>197</v>
      </c>
      <c r="F226">
        <v>1005</v>
      </c>
      <c r="G226" t="s">
        <v>336</v>
      </c>
      <c r="H226">
        <v>2150</v>
      </c>
      <c r="I226" t="s">
        <v>43</v>
      </c>
      <c r="J226">
        <v>3425</v>
      </c>
      <c r="K226" t="s">
        <v>362</v>
      </c>
      <c r="L226">
        <v>0</v>
      </c>
      <c r="N226" t="s">
        <v>199</v>
      </c>
      <c r="O226">
        <v>0</v>
      </c>
      <c r="P226">
        <v>15</v>
      </c>
      <c r="Q226" t="s">
        <v>264</v>
      </c>
      <c r="R226" t="s">
        <v>201</v>
      </c>
      <c r="S226">
        <v>0</v>
      </c>
      <c r="T226">
        <v>0</v>
      </c>
      <c r="U226">
        <v>23805</v>
      </c>
      <c r="V226">
        <v>23805</v>
      </c>
    </row>
    <row r="227" spans="1:22">
      <c r="A227" t="s">
        <v>196</v>
      </c>
      <c r="B227">
        <v>6</v>
      </c>
      <c r="C227" t="s">
        <v>336</v>
      </c>
      <c r="D227">
        <v>100</v>
      </c>
      <c r="E227" t="s">
        <v>197</v>
      </c>
      <c r="F227">
        <v>1005</v>
      </c>
      <c r="G227" t="s">
        <v>336</v>
      </c>
      <c r="H227">
        <v>2150</v>
      </c>
      <c r="I227" t="s">
        <v>43</v>
      </c>
      <c r="J227">
        <v>3430</v>
      </c>
      <c r="K227" t="s">
        <v>394</v>
      </c>
      <c r="L227">
        <v>0</v>
      </c>
      <c r="N227" t="s">
        <v>333</v>
      </c>
      <c r="O227">
        <v>4</v>
      </c>
      <c r="P227" t="s">
        <v>395</v>
      </c>
      <c r="Q227" t="s">
        <v>396</v>
      </c>
      <c r="R227" t="s">
        <v>201</v>
      </c>
      <c r="S227">
        <v>4</v>
      </c>
      <c r="T227">
        <v>1</v>
      </c>
      <c r="U227">
        <v>154764</v>
      </c>
      <c r="V227">
        <v>619056</v>
      </c>
    </row>
    <row r="228" spans="1:22">
      <c r="A228" t="s">
        <v>196</v>
      </c>
      <c r="B228">
        <v>6</v>
      </c>
      <c r="C228" t="s">
        <v>336</v>
      </c>
      <c r="D228">
        <v>100</v>
      </c>
      <c r="E228" t="s">
        <v>197</v>
      </c>
      <c r="F228">
        <v>1005</v>
      </c>
      <c r="G228" t="s">
        <v>336</v>
      </c>
      <c r="H228">
        <v>2150</v>
      </c>
      <c r="I228" t="s">
        <v>43</v>
      </c>
      <c r="J228">
        <v>3430</v>
      </c>
      <c r="K228" t="s">
        <v>394</v>
      </c>
      <c r="L228">
        <v>0</v>
      </c>
      <c r="N228" t="s">
        <v>333</v>
      </c>
      <c r="O228">
        <v>4</v>
      </c>
      <c r="P228" t="s">
        <v>395</v>
      </c>
      <c r="Q228" t="s">
        <v>396</v>
      </c>
      <c r="R228" t="s">
        <v>201</v>
      </c>
      <c r="S228">
        <v>1</v>
      </c>
      <c r="T228">
        <v>1</v>
      </c>
      <c r="U228">
        <v>128316</v>
      </c>
      <c r="V228">
        <v>128316</v>
      </c>
    </row>
    <row r="229" spans="1:22">
      <c r="A229" t="s">
        <v>196</v>
      </c>
      <c r="B229">
        <v>6</v>
      </c>
      <c r="C229" t="s">
        <v>336</v>
      </c>
      <c r="D229">
        <v>100</v>
      </c>
      <c r="E229" t="s">
        <v>197</v>
      </c>
      <c r="F229">
        <v>1005</v>
      </c>
      <c r="G229" t="s">
        <v>336</v>
      </c>
      <c r="H229">
        <v>2150</v>
      </c>
      <c r="I229" t="s">
        <v>43</v>
      </c>
      <c r="J229">
        <v>3430</v>
      </c>
      <c r="K229" t="s">
        <v>394</v>
      </c>
      <c r="L229">
        <v>0</v>
      </c>
      <c r="N229" t="s">
        <v>333</v>
      </c>
      <c r="O229">
        <v>4</v>
      </c>
      <c r="P229" t="s">
        <v>395</v>
      </c>
      <c r="Q229" t="s">
        <v>396</v>
      </c>
      <c r="R229" t="s">
        <v>201</v>
      </c>
      <c r="S229">
        <v>2</v>
      </c>
      <c r="T229">
        <v>1</v>
      </c>
      <c r="U229">
        <v>109140</v>
      </c>
      <c r="V229">
        <v>218280</v>
      </c>
    </row>
    <row r="230" spans="1:22">
      <c r="A230" t="s">
        <v>196</v>
      </c>
      <c r="B230">
        <v>6</v>
      </c>
      <c r="C230" t="s">
        <v>336</v>
      </c>
      <c r="D230">
        <v>100</v>
      </c>
      <c r="E230" t="s">
        <v>197</v>
      </c>
      <c r="F230">
        <v>1005</v>
      </c>
      <c r="G230" t="s">
        <v>336</v>
      </c>
      <c r="H230">
        <v>2150</v>
      </c>
      <c r="I230" t="s">
        <v>43</v>
      </c>
      <c r="J230">
        <v>3430</v>
      </c>
      <c r="K230" t="s">
        <v>394</v>
      </c>
      <c r="L230">
        <v>0</v>
      </c>
      <c r="N230" t="s">
        <v>397</v>
      </c>
      <c r="O230">
        <v>1</v>
      </c>
      <c r="P230" t="s">
        <v>398</v>
      </c>
      <c r="Q230" t="s">
        <v>399</v>
      </c>
      <c r="R230" t="s">
        <v>201</v>
      </c>
      <c r="S230">
        <v>1</v>
      </c>
      <c r="T230">
        <v>1</v>
      </c>
      <c r="U230">
        <v>164880</v>
      </c>
      <c r="V230">
        <v>164880</v>
      </c>
    </row>
    <row r="231" spans="1:22">
      <c r="A231" t="s">
        <v>196</v>
      </c>
      <c r="B231">
        <v>6</v>
      </c>
      <c r="C231" t="s">
        <v>336</v>
      </c>
      <c r="D231">
        <v>100</v>
      </c>
      <c r="E231" t="s">
        <v>197</v>
      </c>
      <c r="F231">
        <v>1005</v>
      </c>
      <c r="G231" t="s">
        <v>336</v>
      </c>
      <c r="H231">
        <v>2150</v>
      </c>
      <c r="I231" t="s">
        <v>43</v>
      </c>
      <c r="J231">
        <v>3430</v>
      </c>
      <c r="K231" t="s">
        <v>394</v>
      </c>
      <c r="L231">
        <v>0</v>
      </c>
      <c r="N231" t="s">
        <v>397</v>
      </c>
      <c r="O231">
        <v>1</v>
      </c>
      <c r="P231" t="s">
        <v>398</v>
      </c>
      <c r="Q231" t="s">
        <v>399</v>
      </c>
      <c r="R231" t="s">
        <v>201</v>
      </c>
      <c r="S231">
        <v>2</v>
      </c>
      <c r="T231">
        <v>1</v>
      </c>
      <c r="U231">
        <v>99480</v>
      </c>
      <c r="V231">
        <v>198960</v>
      </c>
    </row>
    <row r="232" spans="1:22">
      <c r="A232" t="s">
        <v>196</v>
      </c>
      <c r="B232">
        <v>6</v>
      </c>
      <c r="C232" t="s">
        <v>336</v>
      </c>
      <c r="D232">
        <v>100</v>
      </c>
      <c r="E232" t="s">
        <v>197</v>
      </c>
      <c r="F232">
        <v>1005</v>
      </c>
      <c r="G232" t="s">
        <v>336</v>
      </c>
      <c r="H232">
        <v>2150</v>
      </c>
      <c r="I232" t="s">
        <v>43</v>
      </c>
      <c r="J232">
        <v>3430</v>
      </c>
      <c r="K232" t="s">
        <v>394</v>
      </c>
      <c r="L232">
        <v>0</v>
      </c>
      <c r="N232" t="s">
        <v>255</v>
      </c>
      <c r="O232">
        <v>1</v>
      </c>
      <c r="P232" t="s">
        <v>400</v>
      </c>
      <c r="Q232" t="s">
        <v>401</v>
      </c>
      <c r="R232" t="s">
        <v>201</v>
      </c>
      <c r="S232">
        <v>3</v>
      </c>
      <c r="T232">
        <v>1</v>
      </c>
      <c r="U232">
        <v>82644</v>
      </c>
      <c r="V232">
        <v>247932</v>
      </c>
    </row>
    <row r="233" spans="1:22">
      <c r="A233" t="s">
        <v>196</v>
      </c>
      <c r="B233">
        <v>6</v>
      </c>
      <c r="C233" t="s">
        <v>336</v>
      </c>
      <c r="D233">
        <v>100</v>
      </c>
      <c r="E233" t="s">
        <v>197</v>
      </c>
      <c r="F233">
        <v>1005</v>
      </c>
      <c r="G233" t="s">
        <v>336</v>
      </c>
      <c r="H233">
        <v>2150</v>
      </c>
      <c r="I233" t="s">
        <v>43</v>
      </c>
      <c r="J233">
        <v>3430</v>
      </c>
      <c r="K233" t="s">
        <v>394</v>
      </c>
      <c r="L233">
        <v>0</v>
      </c>
      <c r="N233" t="s">
        <v>249</v>
      </c>
      <c r="O233">
        <v>20</v>
      </c>
      <c r="P233" t="s">
        <v>402</v>
      </c>
      <c r="Q233" t="s">
        <v>403</v>
      </c>
      <c r="R233" t="s">
        <v>201</v>
      </c>
      <c r="S233">
        <v>1</v>
      </c>
      <c r="T233">
        <v>1</v>
      </c>
      <c r="U233">
        <v>136692</v>
      </c>
      <c r="V233">
        <v>136692</v>
      </c>
    </row>
    <row r="234" spans="1:22">
      <c r="A234" t="s">
        <v>196</v>
      </c>
      <c r="B234">
        <v>6</v>
      </c>
      <c r="C234" t="s">
        <v>336</v>
      </c>
      <c r="D234">
        <v>100</v>
      </c>
      <c r="E234" t="s">
        <v>197</v>
      </c>
      <c r="F234">
        <v>1005</v>
      </c>
      <c r="G234" t="s">
        <v>336</v>
      </c>
      <c r="H234">
        <v>2150</v>
      </c>
      <c r="I234" t="s">
        <v>43</v>
      </c>
      <c r="J234">
        <v>3430</v>
      </c>
      <c r="K234" t="s">
        <v>394</v>
      </c>
      <c r="L234">
        <v>0</v>
      </c>
      <c r="N234" t="s">
        <v>249</v>
      </c>
      <c r="O234">
        <v>20</v>
      </c>
      <c r="P234" t="s">
        <v>402</v>
      </c>
      <c r="Q234" t="s">
        <v>403</v>
      </c>
      <c r="R234" t="s">
        <v>201</v>
      </c>
      <c r="S234">
        <v>1</v>
      </c>
      <c r="T234">
        <v>1</v>
      </c>
      <c r="U234">
        <v>89112</v>
      </c>
      <c r="V234">
        <v>89112</v>
      </c>
    </row>
    <row r="235" spans="1:22">
      <c r="A235" t="s">
        <v>196</v>
      </c>
      <c r="B235">
        <v>6</v>
      </c>
      <c r="C235" t="s">
        <v>336</v>
      </c>
      <c r="D235">
        <v>100</v>
      </c>
      <c r="E235" t="s">
        <v>197</v>
      </c>
      <c r="F235">
        <v>1005</v>
      </c>
      <c r="G235" t="s">
        <v>336</v>
      </c>
      <c r="H235">
        <v>2150</v>
      </c>
      <c r="I235" t="s">
        <v>43</v>
      </c>
      <c r="J235">
        <v>3430</v>
      </c>
      <c r="K235" t="s">
        <v>394</v>
      </c>
      <c r="L235">
        <v>0</v>
      </c>
      <c r="N235" t="s">
        <v>343</v>
      </c>
      <c r="O235">
        <v>20</v>
      </c>
      <c r="P235" t="s">
        <v>344</v>
      </c>
      <c r="Q235" t="s">
        <v>345</v>
      </c>
      <c r="R235" t="s">
        <v>201</v>
      </c>
      <c r="S235">
        <v>2</v>
      </c>
      <c r="T235">
        <v>1</v>
      </c>
      <c r="U235">
        <v>118956</v>
      </c>
      <c r="V235">
        <v>237912</v>
      </c>
    </row>
    <row r="236" spans="1:22">
      <c r="A236" t="s">
        <v>196</v>
      </c>
      <c r="B236">
        <v>6</v>
      </c>
      <c r="C236" t="s">
        <v>336</v>
      </c>
      <c r="D236">
        <v>100</v>
      </c>
      <c r="E236" t="s">
        <v>197</v>
      </c>
      <c r="F236">
        <v>1005</v>
      </c>
      <c r="G236" t="s">
        <v>336</v>
      </c>
      <c r="H236">
        <v>2150</v>
      </c>
      <c r="I236" t="s">
        <v>43</v>
      </c>
      <c r="J236">
        <v>3430</v>
      </c>
      <c r="K236" t="s">
        <v>394</v>
      </c>
      <c r="L236">
        <v>0</v>
      </c>
      <c r="N236" t="s">
        <v>343</v>
      </c>
      <c r="O236">
        <v>20</v>
      </c>
      <c r="P236" t="s">
        <v>344</v>
      </c>
      <c r="Q236" t="s">
        <v>345</v>
      </c>
      <c r="R236" t="s">
        <v>201</v>
      </c>
      <c r="S236">
        <v>1</v>
      </c>
      <c r="T236">
        <v>1</v>
      </c>
      <c r="U236">
        <v>113568</v>
      </c>
      <c r="V236">
        <v>113568</v>
      </c>
    </row>
    <row r="237" spans="1:22">
      <c r="A237" t="s">
        <v>196</v>
      </c>
      <c r="B237">
        <v>6</v>
      </c>
      <c r="C237" t="s">
        <v>336</v>
      </c>
      <c r="D237">
        <v>100</v>
      </c>
      <c r="E237" t="s">
        <v>197</v>
      </c>
      <c r="F237">
        <v>1005</v>
      </c>
      <c r="G237" t="s">
        <v>336</v>
      </c>
      <c r="H237">
        <v>2150</v>
      </c>
      <c r="I237" t="s">
        <v>43</v>
      </c>
      <c r="J237">
        <v>3430</v>
      </c>
      <c r="K237" t="s">
        <v>394</v>
      </c>
      <c r="L237">
        <v>0</v>
      </c>
      <c r="N237" t="s">
        <v>343</v>
      </c>
      <c r="O237">
        <v>20</v>
      </c>
      <c r="P237" t="s">
        <v>344</v>
      </c>
      <c r="Q237" t="s">
        <v>345</v>
      </c>
      <c r="R237" t="s">
        <v>201</v>
      </c>
      <c r="S237">
        <v>3</v>
      </c>
      <c r="T237">
        <v>1</v>
      </c>
      <c r="U237">
        <v>102444</v>
      </c>
      <c r="V237">
        <v>307332</v>
      </c>
    </row>
    <row r="238" spans="1:22">
      <c r="A238" t="s">
        <v>196</v>
      </c>
      <c r="B238">
        <v>6</v>
      </c>
      <c r="C238" t="s">
        <v>336</v>
      </c>
      <c r="D238">
        <v>100</v>
      </c>
      <c r="E238" t="s">
        <v>197</v>
      </c>
      <c r="F238">
        <v>1005</v>
      </c>
      <c r="G238" t="s">
        <v>336</v>
      </c>
      <c r="H238">
        <v>2150</v>
      </c>
      <c r="I238" t="s">
        <v>43</v>
      </c>
      <c r="J238">
        <v>3430</v>
      </c>
      <c r="K238" t="s">
        <v>394</v>
      </c>
      <c r="L238">
        <v>0</v>
      </c>
      <c r="N238" t="s">
        <v>392</v>
      </c>
      <c r="O238">
        <v>1</v>
      </c>
      <c r="P238" t="s">
        <v>404</v>
      </c>
      <c r="Q238" t="s">
        <v>405</v>
      </c>
      <c r="R238" t="s">
        <v>201</v>
      </c>
      <c r="S238">
        <v>1</v>
      </c>
      <c r="T238">
        <v>1</v>
      </c>
      <c r="U238">
        <v>143400</v>
      </c>
      <c r="V238">
        <v>143400</v>
      </c>
    </row>
    <row r="239" spans="1:22">
      <c r="A239" t="s">
        <v>196</v>
      </c>
      <c r="B239">
        <v>6</v>
      </c>
      <c r="C239" t="s">
        <v>336</v>
      </c>
      <c r="D239">
        <v>100</v>
      </c>
      <c r="E239" t="s">
        <v>197</v>
      </c>
      <c r="F239">
        <v>1005</v>
      </c>
      <c r="G239" t="s">
        <v>336</v>
      </c>
      <c r="H239">
        <v>2150</v>
      </c>
      <c r="I239" t="s">
        <v>43</v>
      </c>
      <c r="J239">
        <v>3430</v>
      </c>
      <c r="K239" t="s">
        <v>394</v>
      </c>
      <c r="L239">
        <v>0</v>
      </c>
      <c r="N239" t="s">
        <v>392</v>
      </c>
      <c r="O239">
        <v>1</v>
      </c>
      <c r="P239" t="s">
        <v>404</v>
      </c>
      <c r="Q239" t="s">
        <v>405</v>
      </c>
      <c r="R239" t="s">
        <v>201</v>
      </c>
      <c r="S239">
        <v>1</v>
      </c>
      <c r="T239">
        <v>1</v>
      </c>
      <c r="U239">
        <v>90732</v>
      </c>
      <c r="V239">
        <v>90732</v>
      </c>
    </row>
    <row r="240" spans="1:22">
      <c r="A240" t="s">
        <v>196</v>
      </c>
      <c r="B240">
        <v>6</v>
      </c>
      <c r="C240" t="s">
        <v>336</v>
      </c>
      <c r="D240">
        <v>100</v>
      </c>
      <c r="E240" t="s">
        <v>197</v>
      </c>
      <c r="F240">
        <v>1005</v>
      </c>
      <c r="G240" t="s">
        <v>336</v>
      </c>
      <c r="H240">
        <v>2150</v>
      </c>
      <c r="I240" t="s">
        <v>43</v>
      </c>
      <c r="J240">
        <v>3430</v>
      </c>
      <c r="K240" t="s">
        <v>394</v>
      </c>
      <c r="L240">
        <v>0</v>
      </c>
      <c r="N240" t="s">
        <v>406</v>
      </c>
      <c r="O240">
        <v>20</v>
      </c>
      <c r="P240" t="s">
        <v>407</v>
      </c>
      <c r="Q240" t="s">
        <v>408</v>
      </c>
      <c r="R240" t="s">
        <v>201</v>
      </c>
      <c r="S240">
        <v>1</v>
      </c>
      <c r="T240">
        <v>1</v>
      </c>
      <c r="U240">
        <v>125016</v>
      </c>
      <c r="V240">
        <v>125016</v>
      </c>
    </row>
    <row r="241" spans="1:22">
      <c r="A241" t="s">
        <v>196</v>
      </c>
      <c r="B241">
        <v>6</v>
      </c>
      <c r="C241" t="s">
        <v>336</v>
      </c>
      <c r="D241">
        <v>100</v>
      </c>
      <c r="E241" t="s">
        <v>197</v>
      </c>
      <c r="F241">
        <v>1005</v>
      </c>
      <c r="G241" t="s">
        <v>336</v>
      </c>
      <c r="H241">
        <v>2150</v>
      </c>
      <c r="I241" t="s">
        <v>43</v>
      </c>
      <c r="J241">
        <v>3430</v>
      </c>
      <c r="K241" t="s">
        <v>394</v>
      </c>
      <c r="L241">
        <v>0</v>
      </c>
      <c r="N241" t="s">
        <v>216</v>
      </c>
      <c r="O241">
        <v>9</v>
      </c>
      <c r="P241" t="s">
        <v>409</v>
      </c>
      <c r="Q241" t="s">
        <v>410</v>
      </c>
      <c r="R241" t="s">
        <v>201</v>
      </c>
      <c r="S241">
        <v>1</v>
      </c>
      <c r="T241">
        <v>1</v>
      </c>
      <c r="U241">
        <v>51828</v>
      </c>
      <c r="V241">
        <v>51828</v>
      </c>
    </row>
    <row r="242" spans="1:22">
      <c r="A242" t="s">
        <v>196</v>
      </c>
      <c r="B242">
        <v>6</v>
      </c>
      <c r="C242" t="s">
        <v>336</v>
      </c>
      <c r="D242">
        <v>100</v>
      </c>
      <c r="E242" t="s">
        <v>197</v>
      </c>
      <c r="F242">
        <v>1005</v>
      </c>
      <c r="G242" t="s">
        <v>336</v>
      </c>
      <c r="H242">
        <v>2150</v>
      </c>
      <c r="I242" t="s">
        <v>43</v>
      </c>
      <c r="J242">
        <v>3430</v>
      </c>
      <c r="K242" t="s">
        <v>394</v>
      </c>
      <c r="L242">
        <v>0</v>
      </c>
      <c r="N242" t="s">
        <v>216</v>
      </c>
      <c r="O242">
        <v>9</v>
      </c>
      <c r="P242" t="s">
        <v>411</v>
      </c>
      <c r="Q242" t="s">
        <v>412</v>
      </c>
      <c r="R242" t="s">
        <v>201</v>
      </c>
      <c r="S242">
        <v>1</v>
      </c>
      <c r="T242">
        <v>1</v>
      </c>
      <c r="U242">
        <v>64920</v>
      </c>
      <c r="V242">
        <v>64920</v>
      </c>
    </row>
    <row r="243" spans="1:22">
      <c r="A243" t="s">
        <v>196</v>
      </c>
      <c r="B243">
        <v>6</v>
      </c>
      <c r="C243" t="s">
        <v>336</v>
      </c>
      <c r="D243">
        <v>100</v>
      </c>
      <c r="E243" t="s">
        <v>197</v>
      </c>
      <c r="F243">
        <v>1005</v>
      </c>
      <c r="G243" t="s">
        <v>336</v>
      </c>
      <c r="H243">
        <v>2150</v>
      </c>
      <c r="I243" t="s">
        <v>43</v>
      </c>
      <c r="J243">
        <v>3430</v>
      </c>
      <c r="K243" t="s">
        <v>394</v>
      </c>
      <c r="L243">
        <v>0</v>
      </c>
      <c r="N243" t="s">
        <v>346</v>
      </c>
      <c r="O243">
        <v>20</v>
      </c>
      <c r="P243" t="s">
        <v>413</v>
      </c>
      <c r="Q243" t="s">
        <v>414</v>
      </c>
      <c r="R243" t="s">
        <v>201</v>
      </c>
      <c r="S243">
        <v>1</v>
      </c>
      <c r="T243">
        <v>1</v>
      </c>
      <c r="U243">
        <v>133836</v>
      </c>
      <c r="V243">
        <v>133836</v>
      </c>
    </row>
    <row r="244" spans="1:22">
      <c r="A244" t="s">
        <v>196</v>
      </c>
      <c r="B244">
        <v>6</v>
      </c>
      <c r="C244" t="s">
        <v>336</v>
      </c>
      <c r="D244">
        <v>100</v>
      </c>
      <c r="E244" t="s">
        <v>197</v>
      </c>
      <c r="F244">
        <v>1005</v>
      </c>
      <c r="G244" t="s">
        <v>336</v>
      </c>
      <c r="H244">
        <v>2150</v>
      </c>
      <c r="I244" t="s">
        <v>43</v>
      </c>
      <c r="J244">
        <v>3430</v>
      </c>
      <c r="K244" t="s">
        <v>394</v>
      </c>
      <c r="L244">
        <v>0</v>
      </c>
      <c r="N244" t="s">
        <v>367</v>
      </c>
      <c r="O244">
        <v>20</v>
      </c>
      <c r="P244" t="s">
        <v>415</v>
      </c>
      <c r="Q244" t="s">
        <v>416</v>
      </c>
      <c r="R244" t="s">
        <v>201</v>
      </c>
      <c r="S244">
        <v>1</v>
      </c>
      <c r="T244">
        <v>1</v>
      </c>
      <c r="U244">
        <v>199284</v>
      </c>
      <c r="V244">
        <v>199284</v>
      </c>
    </row>
    <row r="245" spans="1:22">
      <c r="A245" t="s">
        <v>196</v>
      </c>
      <c r="B245">
        <v>6</v>
      </c>
      <c r="C245" t="s">
        <v>336</v>
      </c>
      <c r="D245">
        <v>100</v>
      </c>
      <c r="E245" t="s">
        <v>197</v>
      </c>
      <c r="F245">
        <v>1005</v>
      </c>
      <c r="G245" t="s">
        <v>336</v>
      </c>
      <c r="H245">
        <v>2150</v>
      </c>
      <c r="I245" t="s">
        <v>43</v>
      </c>
      <c r="J245">
        <v>3430</v>
      </c>
      <c r="K245" t="s">
        <v>394</v>
      </c>
      <c r="L245">
        <v>0</v>
      </c>
      <c r="N245" t="s">
        <v>343</v>
      </c>
      <c r="O245">
        <v>20</v>
      </c>
      <c r="P245" t="s">
        <v>417</v>
      </c>
      <c r="Q245" t="s">
        <v>418</v>
      </c>
      <c r="R245" t="s">
        <v>201</v>
      </c>
      <c r="S245">
        <v>3</v>
      </c>
      <c r="T245">
        <v>1</v>
      </c>
      <c r="U245">
        <v>102444</v>
      </c>
      <c r="V245">
        <v>307332</v>
      </c>
    </row>
    <row r="246" spans="1:22">
      <c r="A246" t="s">
        <v>196</v>
      </c>
      <c r="B246">
        <v>6</v>
      </c>
      <c r="C246" t="s">
        <v>336</v>
      </c>
      <c r="D246">
        <v>100</v>
      </c>
      <c r="E246" t="s">
        <v>197</v>
      </c>
      <c r="F246">
        <v>1005</v>
      </c>
      <c r="G246" t="s">
        <v>336</v>
      </c>
      <c r="H246">
        <v>2150</v>
      </c>
      <c r="I246" t="s">
        <v>43</v>
      </c>
      <c r="J246">
        <v>3430</v>
      </c>
      <c r="K246" t="s">
        <v>394</v>
      </c>
      <c r="L246">
        <v>0</v>
      </c>
      <c r="N246" t="s">
        <v>343</v>
      </c>
      <c r="O246">
        <v>20</v>
      </c>
      <c r="P246" t="s">
        <v>417</v>
      </c>
      <c r="Q246" t="s">
        <v>418</v>
      </c>
      <c r="R246" t="s">
        <v>201</v>
      </c>
      <c r="S246">
        <v>1</v>
      </c>
      <c r="T246">
        <v>1</v>
      </c>
      <c r="U246">
        <v>97836</v>
      </c>
      <c r="V246">
        <v>97836</v>
      </c>
    </row>
    <row r="247" spans="1:22">
      <c r="A247" t="s">
        <v>196</v>
      </c>
      <c r="B247">
        <v>6</v>
      </c>
      <c r="C247" t="s">
        <v>336</v>
      </c>
      <c r="D247">
        <v>100</v>
      </c>
      <c r="E247" t="s">
        <v>197</v>
      </c>
      <c r="F247">
        <v>1005</v>
      </c>
      <c r="G247" t="s">
        <v>336</v>
      </c>
      <c r="H247">
        <v>2150</v>
      </c>
      <c r="I247" t="s">
        <v>43</v>
      </c>
      <c r="J247">
        <v>3430</v>
      </c>
      <c r="K247" t="s">
        <v>394</v>
      </c>
      <c r="L247">
        <v>0</v>
      </c>
      <c r="N247" t="s">
        <v>346</v>
      </c>
      <c r="O247">
        <v>20</v>
      </c>
      <c r="P247" t="s">
        <v>419</v>
      </c>
      <c r="Q247" t="s">
        <v>420</v>
      </c>
      <c r="R247" t="s">
        <v>201</v>
      </c>
      <c r="S247">
        <v>1</v>
      </c>
      <c r="T247">
        <v>1</v>
      </c>
      <c r="U247">
        <v>133836</v>
      </c>
      <c r="V247">
        <v>133836</v>
      </c>
    </row>
    <row r="248" spans="1:22">
      <c r="A248" t="s">
        <v>196</v>
      </c>
      <c r="B248">
        <v>6</v>
      </c>
      <c r="C248" t="s">
        <v>336</v>
      </c>
      <c r="D248">
        <v>100</v>
      </c>
      <c r="E248" t="s">
        <v>197</v>
      </c>
      <c r="F248">
        <v>1005</v>
      </c>
      <c r="G248" t="s">
        <v>336</v>
      </c>
      <c r="H248">
        <v>2150</v>
      </c>
      <c r="I248" t="s">
        <v>43</v>
      </c>
      <c r="J248">
        <v>3430</v>
      </c>
      <c r="K248" t="s">
        <v>394</v>
      </c>
      <c r="L248">
        <v>0</v>
      </c>
      <c r="N248" t="s">
        <v>346</v>
      </c>
      <c r="O248">
        <v>20</v>
      </c>
      <c r="P248" t="s">
        <v>421</v>
      </c>
      <c r="Q248" t="s">
        <v>422</v>
      </c>
      <c r="R248" t="s">
        <v>201</v>
      </c>
      <c r="S248">
        <v>1</v>
      </c>
      <c r="T248">
        <v>1</v>
      </c>
      <c r="U248">
        <v>160680</v>
      </c>
      <c r="V248">
        <v>160680</v>
      </c>
    </row>
    <row r="249" spans="1:22">
      <c r="A249" t="s">
        <v>196</v>
      </c>
      <c r="B249">
        <v>6</v>
      </c>
      <c r="C249" t="s">
        <v>336</v>
      </c>
      <c r="D249">
        <v>100</v>
      </c>
      <c r="E249" t="s">
        <v>197</v>
      </c>
      <c r="F249">
        <v>1005</v>
      </c>
      <c r="G249" t="s">
        <v>336</v>
      </c>
      <c r="H249">
        <v>2150</v>
      </c>
      <c r="I249" t="s">
        <v>43</v>
      </c>
      <c r="J249">
        <v>3430</v>
      </c>
      <c r="K249" t="s">
        <v>394</v>
      </c>
      <c r="L249">
        <v>0</v>
      </c>
      <c r="N249" t="s">
        <v>343</v>
      </c>
      <c r="O249">
        <v>20</v>
      </c>
      <c r="P249" t="s">
        <v>423</v>
      </c>
      <c r="Q249" t="s">
        <v>424</v>
      </c>
      <c r="R249" t="s">
        <v>201</v>
      </c>
      <c r="S249">
        <v>1</v>
      </c>
      <c r="T249">
        <v>1</v>
      </c>
      <c r="U249">
        <v>97836</v>
      </c>
      <c r="V249">
        <v>97836</v>
      </c>
    </row>
    <row r="250" spans="1:22">
      <c r="A250" t="s">
        <v>196</v>
      </c>
      <c r="B250">
        <v>6</v>
      </c>
      <c r="C250" t="s">
        <v>336</v>
      </c>
      <c r="D250">
        <v>100</v>
      </c>
      <c r="E250" t="s">
        <v>197</v>
      </c>
      <c r="F250">
        <v>1005</v>
      </c>
      <c r="G250" t="s">
        <v>336</v>
      </c>
      <c r="H250">
        <v>2150</v>
      </c>
      <c r="I250" t="s">
        <v>43</v>
      </c>
      <c r="J250">
        <v>3430</v>
      </c>
      <c r="K250" t="s">
        <v>394</v>
      </c>
      <c r="L250">
        <v>0</v>
      </c>
      <c r="N250" t="s">
        <v>389</v>
      </c>
      <c r="O250">
        <v>20</v>
      </c>
      <c r="P250" t="s">
        <v>425</v>
      </c>
      <c r="Q250" t="s">
        <v>426</v>
      </c>
      <c r="R250" t="s">
        <v>201</v>
      </c>
      <c r="S250">
        <v>1</v>
      </c>
      <c r="T250">
        <v>1</v>
      </c>
      <c r="U250">
        <v>146592</v>
      </c>
      <c r="V250">
        <v>146592</v>
      </c>
    </row>
    <row r="251" spans="1:22">
      <c r="A251" t="s">
        <v>196</v>
      </c>
      <c r="B251">
        <v>6</v>
      </c>
      <c r="C251" t="s">
        <v>336</v>
      </c>
      <c r="D251">
        <v>100</v>
      </c>
      <c r="E251" t="s">
        <v>197</v>
      </c>
      <c r="F251">
        <v>1005</v>
      </c>
      <c r="G251" t="s">
        <v>336</v>
      </c>
      <c r="H251">
        <v>2150</v>
      </c>
      <c r="I251" t="s">
        <v>43</v>
      </c>
      <c r="J251">
        <v>3430</v>
      </c>
      <c r="K251" t="s">
        <v>394</v>
      </c>
      <c r="L251">
        <v>0</v>
      </c>
      <c r="N251" t="s">
        <v>427</v>
      </c>
      <c r="O251">
        <v>20</v>
      </c>
      <c r="P251" t="s">
        <v>428</v>
      </c>
      <c r="Q251" t="s">
        <v>429</v>
      </c>
      <c r="R251" t="s">
        <v>201</v>
      </c>
      <c r="S251">
        <v>1</v>
      </c>
      <c r="T251">
        <v>1</v>
      </c>
      <c r="U251">
        <v>131412</v>
      </c>
      <c r="V251">
        <v>131412</v>
      </c>
    </row>
    <row r="252" spans="1:22">
      <c r="A252" t="s">
        <v>196</v>
      </c>
      <c r="B252">
        <v>6</v>
      </c>
      <c r="C252" t="s">
        <v>336</v>
      </c>
      <c r="D252">
        <v>100</v>
      </c>
      <c r="E252" t="s">
        <v>197</v>
      </c>
      <c r="F252">
        <v>1005</v>
      </c>
      <c r="G252" t="s">
        <v>336</v>
      </c>
      <c r="H252">
        <v>2150</v>
      </c>
      <c r="I252" t="s">
        <v>43</v>
      </c>
      <c r="J252">
        <v>3430</v>
      </c>
      <c r="K252" t="s">
        <v>394</v>
      </c>
      <c r="L252">
        <v>0</v>
      </c>
      <c r="N252" t="s">
        <v>389</v>
      </c>
      <c r="O252">
        <v>20</v>
      </c>
      <c r="P252" t="s">
        <v>430</v>
      </c>
      <c r="Q252" t="s">
        <v>431</v>
      </c>
      <c r="R252" t="s">
        <v>201</v>
      </c>
      <c r="S252">
        <v>1</v>
      </c>
      <c r="T252">
        <v>1</v>
      </c>
      <c r="U252">
        <v>125016</v>
      </c>
      <c r="V252">
        <v>125016</v>
      </c>
    </row>
    <row r="253" spans="1:22">
      <c r="A253" t="s">
        <v>196</v>
      </c>
      <c r="B253">
        <v>6</v>
      </c>
      <c r="C253" t="s">
        <v>336</v>
      </c>
      <c r="D253">
        <v>100</v>
      </c>
      <c r="E253" t="s">
        <v>197</v>
      </c>
      <c r="F253">
        <v>1005</v>
      </c>
      <c r="G253" t="s">
        <v>336</v>
      </c>
      <c r="H253">
        <v>2150</v>
      </c>
      <c r="I253" t="s">
        <v>43</v>
      </c>
      <c r="J253">
        <v>3430</v>
      </c>
      <c r="K253" t="s">
        <v>394</v>
      </c>
      <c r="L253">
        <v>0</v>
      </c>
      <c r="N253" t="s">
        <v>343</v>
      </c>
      <c r="O253">
        <v>20</v>
      </c>
      <c r="P253" t="s">
        <v>432</v>
      </c>
      <c r="Q253" t="s">
        <v>433</v>
      </c>
      <c r="R253" t="s">
        <v>201</v>
      </c>
      <c r="S253">
        <v>1</v>
      </c>
      <c r="T253">
        <v>1</v>
      </c>
      <c r="U253">
        <v>97836</v>
      </c>
      <c r="V253">
        <v>97836</v>
      </c>
    </row>
    <row r="254" spans="1:22">
      <c r="A254" t="s">
        <v>196</v>
      </c>
      <c r="B254">
        <v>6</v>
      </c>
      <c r="C254" t="s">
        <v>336</v>
      </c>
      <c r="D254">
        <v>100</v>
      </c>
      <c r="E254" t="s">
        <v>197</v>
      </c>
      <c r="F254">
        <v>1005</v>
      </c>
      <c r="G254" t="s">
        <v>336</v>
      </c>
      <c r="H254">
        <v>2150</v>
      </c>
      <c r="I254" t="s">
        <v>43</v>
      </c>
      <c r="J254">
        <v>3430</v>
      </c>
      <c r="K254" t="s">
        <v>394</v>
      </c>
      <c r="L254">
        <v>0</v>
      </c>
      <c r="N254" t="s">
        <v>406</v>
      </c>
      <c r="O254">
        <v>20</v>
      </c>
      <c r="P254" s="1">
        <v>6000000000</v>
      </c>
      <c r="Q254" t="s">
        <v>434</v>
      </c>
      <c r="R254" t="s">
        <v>201</v>
      </c>
      <c r="S254">
        <v>1</v>
      </c>
      <c r="T254">
        <v>1</v>
      </c>
      <c r="U254">
        <v>120144</v>
      </c>
      <c r="V254">
        <v>120144</v>
      </c>
    </row>
    <row r="255" spans="1:22">
      <c r="A255" t="s">
        <v>196</v>
      </c>
      <c r="B255">
        <v>6</v>
      </c>
      <c r="C255" t="s">
        <v>336</v>
      </c>
      <c r="D255">
        <v>100</v>
      </c>
      <c r="E255" t="s">
        <v>197</v>
      </c>
      <c r="F255">
        <v>1005</v>
      </c>
      <c r="G255" t="s">
        <v>336</v>
      </c>
      <c r="H255">
        <v>2150</v>
      </c>
      <c r="I255" t="s">
        <v>43</v>
      </c>
      <c r="J255">
        <v>3430</v>
      </c>
      <c r="K255" t="s">
        <v>394</v>
      </c>
      <c r="L255">
        <v>0</v>
      </c>
      <c r="N255" t="s">
        <v>427</v>
      </c>
      <c r="O255">
        <v>20</v>
      </c>
      <c r="P255" s="1">
        <v>600000000</v>
      </c>
      <c r="Q255" t="s">
        <v>435</v>
      </c>
      <c r="R255" t="s">
        <v>201</v>
      </c>
      <c r="S255">
        <v>1</v>
      </c>
      <c r="T255">
        <v>1</v>
      </c>
      <c r="U255">
        <v>140868</v>
      </c>
      <c r="V255">
        <v>140868</v>
      </c>
    </row>
    <row r="256" spans="1:22">
      <c r="A256" t="s">
        <v>196</v>
      </c>
      <c r="B256">
        <v>6</v>
      </c>
      <c r="C256" t="s">
        <v>336</v>
      </c>
      <c r="D256">
        <v>100</v>
      </c>
      <c r="E256" t="s">
        <v>197</v>
      </c>
      <c r="F256">
        <v>1005</v>
      </c>
      <c r="G256" t="s">
        <v>336</v>
      </c>
      <c r="H256">
        <v>2150</v>
      </c>
      <c r="I256" t="s">
        <v>43</v>
      </c>
      <c r="J256">
        <v>3430</v>
      </c>
      <c r="K256" t="s">
        <v>394</v>
      </c>
      <c r="L256">
        <v>0</v>
      </c>
      <c r="N256" t="s">
        <v>427</v>
      </c>
      <c r="O256">
        <v>20</v>
      </c>
      <c r="P256" s="1">
        <v>60000000</v>
      </c>
      <c r="Q256" t="s">
        <v>436</v>
      </c>
      <c r="R256" t="s">
        <v>201</v>
      </c>
      <c r="S256">
        <v>1</v>
      </c>
      <c r="T256">
        <v>1</v>
      </c>
      <c r="U256">
        <v>166860</v>
      </c>
      <c r="V256">
        <v>166860</v>
      </c>
    </row>
    <row r="257" spans="1:22">
      <c r="A257" t="s">
        <v>196</v>
      </c>
      <c r="B257">
        <v>6</v>
      </c>
      <c r="C257" t="s">
        <v>336</v>
      </c>
      <c r="D257">
        <v>100</v>
      </c>
      <c r="E257" t="s">
        <v>197</v>
      </c>
      <c r="F257">
        <v>1005</v>
      </c>
      <c r="G257" t="s">
        <v>336</v>
      </c>
      <c r="H257">
        <v>2150</v>
      </c>
      <c r="I257" t="s">
        <v>43</v>
      </c>
      <c r="J257">
        <v>3430</v>
      </c>
      <c r="K257" t="s">
        <v>394</v>
      </c>
      <c r="L257">
        <v>0</v>
      </c>
      <c r="N257" t="s">
        <v>392</v>
      </c>
      <c r="O257">
        <v>1</v>
      </c>
      <c r="P257" t="s">
        <v>437</v>
      </c>
      <c r="Q257" t="s">
        <v>438</v>
      </c>
      <c r="R257" t="s">
        <v>201</v>
      </c>
      <c r="S257">
        <v>2</v>
      </c>
      <c r="T257">
        <v>1</v>
      </c>
      <c r="U257">
        <v>90732</v>
      </c>
      <c r="V257">
        <v>181464</v>
      </c>
    </row>
    <row r="258" spans="1:22">
      <c r="A258" t="s">
        <v>196</v>
      </c>
      <c r="B258">
        <v>6</v>
      </c>
      <c r="C258" t="s">
        <v>336</v>
      </c>
      <c r="D258">
        <v>100</v>
      </c>
      <c r="E258" t="s">
        <v>197</v>
      </c>
      <c r="F258">
        <v>1005</v>
      </c>
      <c r="G258" t="s">
        <v>336</v>
      </c>
      <c r="H258">
        <v>2150</v>
      </c>
      <c r="I258" t="s">
        <v>43</v>
      </c>
      <c r="J258">
        <v>3430</v>
      </c>
      <c r="K258" t="s">
        <v>394</v>
      </c>
      <c r="L258">
        <v>0</v>
      </c>
      <c r="N258" t="s">
        <v>372</v>
      </c>
      <c r="O258">
        <v>1</v>
      </c>
      <c r="P258" t="s">
        <v>439</v>
      </c>
      <c r="Q258" t="s">
        <v>440</v>
      </c>
      <c r="R258" t="s">
        <v>201</v>
      </c>
      <c r="S258">
        <v>2</v>
      </c>
      <c r="T258">
        <v>1</v>
      </c>
      <c r="U258">
        <v>75336</v>
      </c>
      <c r="V258">
        <v>150672</v>
      </c>
    </row>
    <row r="259" spans="1:22">
      <c r="A259" t="s">
        <v>196</v>
      </c>
      <c r="B259">
        <v>6</v>
      </c>
      <c r="C259" t="s">
        <v>336</v>
      </c>
      <c r="D259">
        <v>100</v>
      </c>
      <c r="E259" t="s">
        <v>197</v>
      </c>
      <c r="F259">
        <v>1005</v>
      </c>
      <c r="G259" t="s">
        <v>336</v>
      </c>
      <c r="H259">
        <v>2150</v>
      </c>
      <c r="I259" t="s">
        <v>43</v>
      </c>
      <c r="J259">
        <v>3430</v>
      </c>
      <c r="K259" t="s">
        <v>394</v>
      </c>
      <c r="L259">
        <v>0</v>
      </c>
      <c r="N259" t="s">
        <v>386</v>
      </c>
      <c r="O259">
        <v>4</v>
      </c>
      <c r="P259" t="s">
        <v>441</v>
      </c>
      <c r="Q259" t="s">
        <v>442</v>
      </c>
      <c r="R259" t="s">
        <v>201</v>
      </c>
      <c r="S259">
        <v>1</v>
      </c>
      <c r="T259">
        <v>1</v>
      </c>
      <c r="U259">
        <v>164808</v>
      </c>
      <c r="V259">
        <v>164808</v>
      </c>
    </row>
    <row r="260" spans="1:22">
      <c r="A260" t="s">
        <v>196</v>
      </c>
      <c r="B260">
        <v>6</v>
      </c>
      <c r="C260" t="s">
        <v>336</v>
      </c>
      <c r="D260">
        <v>100</v>
      </c>
      <c r="E260" t="s">
        <v>197</v>
      </c>
      <c r="F260">
        <v>1005</v>
      </c>
      <c r="G260" t="s">
        <v>336</v>
      </c>
      <c r="H260">
        <v>2150</v>
      </c>
      <c r="I260" t="s">
        <v>43</v>
      </c>
      <c r="J260">
        <v>3430</v>
      </c>
      <c r="K260" t="s">
        <v>394</v>
      </c>
      <c r="L260">
        <v>0</v>
      </c>
      <c r="N260" t="s">
        <v>386</v>
      </c>
      <c r="O260">
        <v>4</v>
      </c>
      <c r="P260" t="s">
        <v>441</v>
      </c>
      <c r="Q260" t="s">
        <v>442</v>
      </c>
      <c r="R260" t="s">
        <v>201</v>
      </c>
      <c r="S260">
        <v>1</v>
      </c>
      <c r="T260">
        <v>1</v>
      </c>
      <c r="U260">
        <v>134184</v>
      </c>
      <c r="V260">
        <v>134184</v>
      </c>
    </row>
    <row r="261" spans="1:22">
      <c r="A261" t="s">
        <v>196</v>
      </c>
      <c r="B261">
        <v>6</v>
      </c>
      <c r="C261" t="s">
        <v>336</v>
      </c>
      <c r="D261">
        <v>100</v>
      </c>
      <c r="E261" t="s">
        <v>197</v>
      </c>
      <c r="F261">
        <v>1005</v>
      </c>
      <c r="G261" t="s">
        <v>336</v>
      </c>
      <c r="H261">
        <v>2150</v>
      </c>
      <c r="I261" t="s">
        <v>43</v>
      </c>
      <c r="J261">
        <v>3430</v>
      </c>
      <c r="K261" t="s">
        <v>394</v>
      </c>
      <c r="L261">
        <v>0</v>
      </c>
      <c r="N261" t="s">
        <v>386</v>
      </c>
      <c r="O261">
        <v>4</v>
      </c>
      <c r="P261" t="s">
        <v>443</v>
      </c>
      <c r="Q261" t="s">
        <v>444</v>
      </c>
      <c r="R261" t="s">
        <v>201</v>
      </c>
      <c r="S261">
        <v>1</v>
      </c>
      <c r="T261">
        <v>1</v>
      </c>
      <c r="U261">
        <v>160020</v>
      </c>
      <c r="V261">
        <v>160020</v>
      </c>
    </row>
    <row r="262" spans="1:22">
      <c r="A262" t="s">
        <v>196</v>
      </c>
      <c r="B262">
        <v>6</v>
      </c>
      <c r="C262" t="s">
        <v>336</v>
      </c>
      <c r="D262">
        <v>100</v>
      </c>
      <c r="E262" t="s">
        <v>197</v>
      </c>
      <c r="F262">
        <v>1005</v>
      </c>
      <c r="G262" t="s">
        <v>336</v>
      </c>
      <c r="H262">
        <v>2150</v>
      </c>
      <c r="I262" t="s">
        <v>43</v>
      </c>
      <c r="J262">
        <v>3430</v>
      </c>
      <c r="K262" t="s">
        <v>394</v>
      </c>
      <c r="L262">
        <v>0</v>
      </c>
      <c r="N262" t="s">
        <v>372</v>
      </c>
      <c r="O262">
        <v>1</v>
      </c>
      <c r="P262" t="s">
        <v>377</v>
      </c>
      <c r="Q262" t="s">
        <v>378</v>
      </c>
      <c r="R262" t="s">
        <v>201</v>
      </c>
      <c r="S262">
        <v>1</v>
      </c>
      <c r="T262">
        <v>1</v>
      </c>
      <c r="U262">
        <v>130668</v>
      </c>
      <c r="V262">
        <v>130668</v>
      </c>
    </row>
    <row r="263" spans="1:22">
      <c r="A263" t="s">
        <v>196</v>
      </c>
      <c r="B263">
        <v>6</v>
      </c>
      <c r="C263" t="s">
        <v>336</v>
      </c>
      <c r="D263">
        <v>100</v>
      </c>
      <c r="E263" t="s">
        <v>197</v>
      </c>
      <c r="F263">
        <v>1005</v>
      </c>
      <c r="G263" t="s">
        <v>336</v>
      </c>
      <c r="H263">
        <v>2150</v>
      </c>
      <c r="I263" t="s">
        <v>43</v>
      </c>
      <c r="J263">
        <v>3430</v>
      </c>
      <c r="K263" t="s">
        <v>394</v>
      </c>
      <c r="L263">
        <v>0</v>
      </c>
      <c r="N263" t="s">
        <v>372</v>
      </c>
      <c r="O263">
        <v>1</v>
      </c>
      <c r="P263" t="s">
        <v>377</v>
      </c>
      <c r="Q263" t="s">
        <v>378</v>
      </c>
      <c r="R263" t="s">
        <v>201</v>
      </c>
      <c r="S263">
        <v>6</v>
      </c>
      <c r="T263">
        <v>1</v>
      </c>
      <c r="U263">
        <v>75336</v>
      </c>
      <c r="V263">
        <v>452016</v>
      </c>
    </row>
    <row r="264" spans="1:22">
      <c r="A264" t="s">
        <v>196</v>
      </c>
      <c r="B264">
        <v>6</v>
      </c>
      <c r="C264" t="s">
        <v>336</v>
      </c>
      <c r="D264">
        <v>100</v>
      </c>
      <c r="E264" t="s">
        <v>197</v>
      </c>
      <c r="F264">
        <v>1005</v>
      </c>
      <c r="G264" t="s">
        <v>336</v>
      </c>
      <c r="H264">
        <v>2150</v>
      </c>
      <c r="I264" t="s">
        <v>43</v>
      </c>
      <c r="J264">
        <v>3430</v>
      </c>
      <c r="K264" t="s">
        <v>394</v>
      </c>
      <c r="L264">
        <v>0</v>
      </c>
      <c r="N264" t="s">
        <v>343</v>
      </c>
      <c r="O264">
        <v>20</v>
      </c>
      <c r="P264" t="s">
        <v>445</v>
      </c>
      <c r="Q264" t="s">
        <v>446</v>
      </c>
      <c r="R264" t="s">
        <v>201</v>
      </c>
      <c r="S264">
        <v>1</v>
      </c>
      <c r="T264">
        <v>1</v>
      </c>
      <c r="U264">
        <v>136692</v>
      </c>
      <c r="V264">
        <v>136692</v>
      </c>
    </row>
    <row r="265" spans="1:22">
      <c r="A265" t="s">
        <v>196</v>
      </c>
      <c r="B265">
        <v>6</v>
      </c>
      <c r="C265" t="s">
        <v>336</v>
      </c>
      <c r="D265">
        <v>100</v>
      </c>
      <c r="E265" t="s">
        <v>197</v>
      </c>
      <c r="F265">
        <v>1005</v>
      </c>
      <c r="G265" t="s">
        <v>336</v>
      </c>
      <c r="H265">
        <v>2150</v>
      </c>
      <c r="I265" t="s">
        <v>43</v>
      </c>
      <c r="J265">
        <v>3430</v>
      </c>
      <c r="K265" t="s">
        <v>394</v>
      </c>
      <c r="L265">
        <v>0</v>
      </c>
      <c r="N265" t="s">
        <v>343</v>
      </c>
      <c r="O265">
        <v>20</v>
      </c>
      <c r="P265" t="s">
        <v>445</v>
      </c>
      <c r="Q265" t="s">
        <v>446</v>
      </c>
      <c r="R265" t="s">
        <v>201</v>
      </c>
      <c r="S265">
        <v>1</v>
      </c>
      <c r="T265">
        <v>1</v>
      </c>
      <c r="U265">
        <v>118956</v>
      </c>
      <c r="V265">
        <v>118956</v>
      </c>
    </row>
    <row r="266" spans="1:22">
      <c r="A266" t="s">
        <v>196</v>
      </c>
      <c r="B266">
        <v>6</v>
      </c>
      <c r="C266" t="s">
        <v>336</v>
      </c>
      <c r="D266">
        <v>100</v>
      </c>
      <c r="E266" t="s">
        <v>197</v>
      </c>
      <c r="F266">
        <v>1005</v>
      </c>
      <c r="G266" t="s">
        <v>336</v>
      </c>
      <c r="H266">
        <v>2150</v>
      </c>
      <c r="I266" t="s">
        <v>43</v>
      </c>
      <c r="J266">
        <v>3430</v>
      </c>
      <c r="K266" t="s">
        <v>394</v>
      </c>
      <c r="L266">
        <v>0</v>
      </c>
      <c r="N266" t="s">
        <v>343</v>
      </c>
      <c r="O266">
        <v>20</v>
      </c>
      <c r="P266" t="s">
        <v>445</v>
      </c>
      <c r="Q266" t="s">
        <v>446</v>
      </c>
      <c r="R266" t="s">
        <v>201</v>
      </c>
      <c r="S266">
        <v>1</v>
      </c>
      <c r="T266">
        <v>1</v>
      </c>
      <c r="U266">
        <v>113568</v>
      </c>
      <c r="V266">
        <v>113568</v>
      </c>
    </row>
    <row r="267" spans="1:22">
      <c r="A267" t="s">
        <v>196</v>
      </c>
      <c r="B267">
        <v>6</v>
      </c>
      <c r="C267" t="s">
        <v>336</v>
      </c>
      <c r="D267">
        <v>100</v>
      </c>
      <c r="E267" t="s">
        <v>197</v>
      </c>
      <c r="F267">
        <v>1005</v>
      </c>
      <c r="G267" t="s">
        <v>336</v>
      </c>
      <c r="H267">
        <v>2150</v>
      </c>
      <c r="I267" t="s">
        <v>43</v>
      </c>
      <c r="J267">
        <v>3430</v>
      </c>
      <c r="K267" t="s">
        <v>394</v>
      </c>
      <c r="L267">
        <v>0</v>
      </c>
      <c r="N267" t="s">
        <v>343</v>
      </c>
      <c r="O267">
        <v>20</v>
      </c>
      <c r="P267" t="s">
        <v>445</v>
      </c>
      <c r="Q267" t="s">
        <v>446</v>
      </c>
      <c r="R267" t="s">
        <v>201</v>
      </c>
      <c r="S267">
        <v>5</v>
      </c>
      <c r="T267">
        <v>1</v>
      </c>
      <c r="U267">
        <v>97836</v>
      </c>
      <c r="V267">
        <v>489180</v>
      </c>
    </row>
    <row r="268" spans="1:22">
      <c r="A268" t="s">
        <v>196</v>
      </c>
      <c r="B268">
        <v>6</v>
      </c>
      <c r="C268" t="s">
        <v>336</v>
      </c>
      <c r="D268">
        <v>100</v>
      </c>
      <c r="E268" t="s">
        <v>197</v>
      </c>
      <c r="F268">
        <v>1005</v>
      </c>
      <c r="G268" t="s">
        <v>336</v>
      </c>
      <c r="H268">
        <v>2150</v>
      </c>
      <c r="I268" t="s">
        <v>43</v>
      </c>
      <c r="J268">
        <v>3430</v>
      </c>
      <c r="K268" t="s">
        <v>394</v>
      </c>
      <c r="L268">
        <v>0</v>
      </c>
      <c r="N268" t="s">
        <v>216</v>
      </c>
      <c r="O268">
        <v>0</v>
      </c>
      <c r="P268">
        <v>649</v>
      </c>
      <c r="Q268" t="s">
        <v>447</v>
      </c>
      <c r="R268" t="s">
        <v>201</v>
      </c>
      <c r="S268">
        <v>1</v>
      </c>
      <c r="T268">
        <v>1</v>
      </c>
      <c r="U268">
        <v>120108</v>
      </c>
      <c r="V268">
        <v>120108</v>
      </c>
    </row>
    <row r="269" spans="1:22">
      <c r="A269" t="s">
        <v>196</v>
      </c>
      <c r="B269">
        <v>6</v>
      </c>
      <c r="C269" t="s">
        <v>336</v>
      </c>
      <c r="D269">
        <v>100</v>
      </c>
      <c r="E269" t="s">
        <v>197</v>
      </c>
      <c r="F269">
        <v>1005</v>
      </c>
      <c r="G269" t="s">
        <v>336</v>
      </c>
      <c r="H269">
        <v>2150</v>
      </c>
      <c r="I269" t="s">
        <v>43</v>
      </c>
      <c r="J269">
        <v>3430</v>
      </c>
      <c r="K269" t="s">
        <v>394</v>
      </c>
      <c r="L269">
        <v>0</v>
      </c>
      <c r="N269" t="s">
        <v>199</v>
      </c>
      <c r="O269">
        <v>0</v>
      </c>
      <c r="P269">
        <v>15</v>
      </c>
      <c r="Q269" t="s">
        <v>264</v>
      </c>
      <c r="R269" t="s">
        <v>201</v>
      </c>
      <c r="S269">
        <v>0</v>
      </c>
      <c r="T269">
        <v>0</v>
      </c>
      <c r="U269">
        <v>86536</v>
      </c>
      <c r="V269">
        <v>86536</v>
      </c>
    </row>
    <row r="270" spans="1:22">
      <c r="A270" t="s">
        <v>196</v>
      </c>
      <c r="B270">
        <v>6</v>
      </c>
      <c r="C270" t="s">
        <v>336</v>
      </c>
      <c r="D270">
        <v>100</v>
      </c>
      <c r="E270" t="s">
        <v>197</v>
      </c>
      <c r="F270">
        <v>1005</v>
      </c>
      <c r="G270" t="s">
        <v>336</v>
      </c>
      <c r="H270">
        <v>2150</v>
      </c>
      <c r="I270" t="s">
        <v>43</v>
      </c>
      <c r="J270">
        <v>3435</v>
      </c>
      <c r="K270" t="s">
        <v>448</v>
      </c>
      <c r="L270">
        <v>0</v>
      </c>
      <c r="N270" t="s">
        <v>397</v>
      </c>
      <c r="O270">
        <v>1</v>
      </c>
      <c r="P270" t="s">
        <v>449</v>
      </c>
      <c r="Q270" t="s">
        <v>450</v>
      </c>
      <c r="R270" t="s">
        <v>201</v>
      </c>
      <c r="S270">
        <v>1</v>
      </c>
      <c r="T270">
        <v>1</v>
      </c>
      <c r="U270">
        <v>164880</v>
      </c>
      <c r="V270">
        <v>164880</v>
      </c>
    </row>
    <row r="271" spans="1:22">
      <c r="A271" t="s">
        <v>196</v>
      </c>
      <c r="B271">
        <v>6</v>
      </c>
      <c r="C271" t="s">
        <v>336</v>
      </c>
      <c r="D271">
        <v>100</v>
      </c>
      <c r="E271" t="s">
        <v>197</v>
      </c>
      <c r="F271">
        <v>1005</v>
      </c>
      <c r="G271" t="s">
        <v>336</v>
      </c>
      <c r="H271">
        <v>2150</v>
      </c>
      <c r="I271" t="s">
        <v>43</v>
      </c>
      <c r="J271">
        <v>3435</v>
      </c>
      <c r="K271" t="s">
        <v>448</v>
      </c>
      <c r="L271">
        <v>0</v>
      </c>
      <c r="N271" t="s">
        <v>397</v>
      </c>
      <c r="O271">
        <v>1</v>
      </c>
      <c r="P271" t="s">
        <v>449</v>
      </c>
      <c r="Q271" t="s">
        <v>450</v>
      </c>
      <c r="R271" t="s">
        <v>201</v>
      </c>
      <c r="S271">
        <v>1</v>
      </c>
      <c r="T271">
        <v>1</v>
      </c>
      <c r="U271">
        <v>157332</v>
      </c>
      <c r="V271">
        <v>157332</v>
      </c>
    </row>
    <row r="272" spans="1:22">
      <c r="A272" t="s">
        <v>196</v>
      </c>
      <c r="B272">
        <v>6</v>
      </c>
      <c r="C272" t="s">
        <v>336</v>
      </c>
      <c r="D272">
        <v>100</v>
      </c>
      <c r="E272" t="s">
        <v>197</v>
      </c>
      <c r="F272">
        <v>1005</v>
      </c>
      <c r="G272" t="s">
        <v>336</v>
      </c>
      <c r="H272">
        <v>2150</v>
      </c>
      <c r="I272" t="s">
        <v>43</v>
      </c>
      <c r="J272">
        <v>3435</v>
      </c>
      <c r="K272" t="s">
        <v>448</v>
      </c>
      <c r="L272">
        <v>0</v>
      </c>
      <c r="N272" t="s">
        <v>397</v>
      </c>
      <c r="O272">
        <v>1</v>
      </c>
      <c r="P272" t="s">
        <v>449</v>
      </c>
      <c r="Q272" t="s">
        <v>450</v>
      </c>
      <c r="R272" t="s">
        <v>201</v>
      </c>
      <c r="S272">
        <v>2</v>
      </c>
      <c r="T272">
        <v>1</v>
      </c>
      <c r="U272">
        <v>99480</v>
      </c>
      <c r="V272">
        <v>198960</v>
      </c>
    </row>
    <row r="273" spans="1:22">
      <c r="A273" t="s">
        <v>196</v>
      </c>
      <c r="B273">
        <v>6</v>
      </c>
      <c r="C273" t="s">
        <v>336</v>
      </c>
      <c r="D273">
        <v>100</v>
      </c>
      <c r="E273" t="s">
        <v>197</v>
      </c>
      <c r="F273">
        <v>1005</v>
      </c>
      <c r="G273" t="s">
        <v>336</v>
      </c>
      <c r="H273">
        <v>2150</v>
      </c>
      <c r="I273" t="s">
        <v>43</v>
      </c>
      <c r="J273">
        <v>3435</v>
      </c>
      <c r="K273" t="s">
        <v>448</v>
      </c>
      <c r="L273">
        <v>0</v>
      </c>
      <c r="N273" t="s">
        <v>341</v>
      </c>
      <c r="O273">
        <v>1</v>
      </c>
      <c r="P273" t="s">
        <v>451</v>
      </c>
      <c r="Q273" t="s">
        <v>452</v>
      </c>
      <c r="R273" t="s">
        <v>201</v>
      </c>
      <c r="S273">
        <v>2</v>
      </c>
      <c r="T273">
        <v>1</v>
      </c>
      <c r="U273">
        <v>68616</v>
      </c>
      <c r="V273">
        <v>137232</v>
      </c>
    </row>
    <row r="274" spans="1:22">
      <c r="A274" t="s">
        <v>196</v>
      </c>
      <c r="B274">
        <v>6</v>
      </c>
      <c r="C274" t="s">
        <v>336</v>
      </c>
      <c r="D274">
        <v>100</v>
      </c>
      <c r="E274" t="s">
        <v>197</v>
      </c>
      <c r="F274">
        <v>1005</v>
      </c>
      <c r="G274" t="s">
        <v>336</v>
      </c>
      <c r="H274">
        <v>2150</v>
      </c>
      <c r="I274" t="s">
        <v>43</v>
      </c>
      <c r="J274">
        <v>3435</v>
      </c>
      <c r="K274" t="s">
        <v>448</v>
      </c>
      <c r="L274">
        <v>0</v>
      </c>
      <c r="N274" t="s">
        <v>255</v>
      </c>
      <c r="O274">
        <v>1</v>
      </c>
      <c r="P274" t="s">
        <v>453</v>
      </c>
      <c r="Q274" t="s">
        <v>454</v>
      </c>
      <c r="R274" t="s">
        <v>201</v>
      </c>
      <c r="S274">
        <v>1</v>
      </c>
      <c r="T274">
        <v>1</v>
      </c>
      <c r="U274">
        <v>143400</v>
      </c>
      <c r="V274">
        <v>143400</v>
      </c>
    </row>
    <row r="275" spans="1:22">
      <c r="A275" t="s">
        <v>196</v>
      </c>
      <c r="B275">
        <v>6</v>
      </c>
      <c r="C275" t="s">
        <v>336</v>
      </c>
      <c r="D275">
        <v>100</v>
      </c>
      <c r="E275" t="s">
        <v>197</v>
      </c>
      <c r="F275">
        <v>1005</v>
      </c>
      <c r="G275" t="s">
        <v>336</v>
      </c>
      <c r="H275">
        <v>2150</v>
      </c>
      <c r="I275" t="s">
        <v>43</v>
      </c>
      <c r="J275">
        <v>3435</v>
      </c>
      <c r="K275" t="s">
        <v>448</v>
      </c>
      <c r="L275">
        <v>0</v>
      </c>
      <c r="N275" t="s">
        <v>255</v>
      </c>
      <c r="O275">
        <v>1</v>
      </c>
      <c r="P275" t="s">
        <v>453</v>
      </c>
      <c r="Q275" t="s">
        <v>454</v>
      </c>
      <c r="R275" t="s">
        <v>201</v>
      </c>
      <c r="S275">
        <v>1</v>
      </c>
      <c r="T275">
        <v>1</v>
      </c>
      <c r="U275">
        <v>82644</v>
      </c>
      <c r="V275">
        <v>82644</v>
      </c>
    </row>
    <row r="276" spans="1:22">
      <c r="A276" t="s">
        <v>196</v>
      </c>
      <c r="B276">
        <v>6</v>
      </c>
      <c r="C276" t="s">
        <v>336</v>
      </c>
      <c r="D276">
        <v>100</v>
      </c>
      <c r="E276" t="s">
        <v>197</v>
      </c>
      <c r="F276">
        <v>1005</v>
      </c>
      <c r="G276" t="s">
        <v>336</v>
      </c>
      <c r="H276">
        <v>2150</v>
      </c>
      <c r="I276" t="s">
        <v>43</v>
      </c>
      <c r="J276">
        <v>3435</v>
      </c>
      <c r="K276" t="s">
        <v>448</v>
      </c>
      <c r="L276">
        <v>0</v>
      </c>
      <c r="N276" t="s">
        <v>333</v>
      </c>
      <c r="O276">
        <v>4</v>
      </c>
      <c r="P276" t="s">
        <v>455</v>
      </c>
      <c r="Q276" t="s">
        <v>456</v>
      </c>
      <c r="R276" t="s">
        <v>201</v>
      </c>
      <c r="S276">
        <v>1</v>
      </c>
      <c r="T276">
        <v>1</v>
      </c>
      <c r="U276">
        <v>109140</v>
      </c>
      <c r="V276">
        <v>109140</v>
      </c>
    </row>
    <row r="277" spans="1:22">
      <c r="A277" t="s">
        <v>196</v>
      </c>
      <c r="B277">
        <v>6</v>
      </c>
      <c r="C277" t="s">
        <v>336</v>
      </c>
      <c r="D277">
        <v>100</v>
      </c>
      <c r="E277" t="s">
        <v>197</v>
      </c>
      <c r="F277">
        <v>1005</v>
      </c>
      <c r="G277" t="s">
        <v>336</v>
      </c>
      <c r="H277">
        <v>2150</v>
      </c>
      <c r="I277" t="s">
        <v>43</v>
      </c>
      <c r="J277">
        <v>3435</v>
      </c>
      <c r="K277" t="s">
        <v>448</v>
      </c>
      <c r="L277">
        <v>0</v>
      </c>
      <c r="N277" t="s">
        <v>367</v>
      </c>
      <c r="O277">
        <v>20</v>
      </c>
      <c r="P277" t="s">
        <v>457</v>
      </c>
      <c r="Q277" t="s">
        <v>458</v>
      </c>
      <c r="R277" t="s">
        <v>201</v>
      </c>
      <c r="S277">
        <v>1</v>
      </c>
      <c r="T277">
        <v>1</v>
      </c>
      <c r="U277">
        <v>204516</v>
      </c>
      <c r="V277">
        <v>204516</v>
      </c>
    </row>
    <row r="278" spans="1:22">
      <c r="A278" t="s">
        <v>196</v>
      </c>
      <c r="B278">
        <v>6</v>
      </c>
      <c r="C278" t="s">
        <v>336</v>
      </c>
      <c r="D278">
        <v>100</v>
      </c>
      <c r="E278" t="s">
        <v>197</v>
      </c>
      <c r="F278">
        <v>1005</v>
      </c>
      <c r="G278" t="s">
        <v>336</v>
      </c>
      <c r="H278">
        <v>2150</v>
      </c>
      <c r="I278" t="s">
        <v>43</v>
      </c>
      <c r="J278">
        <v>3435</v>
      </c>
      <c r="K278" t="s">
        <v>448</v>
      </c>
      <c r="L278">
        <v>0</v>
      </c>
      <c r="N278" t="s">
        <v>389</v>
      </c>
      <c r="O278">
        <v>20</v>
      </c>
      <c r="P278" t="s">
        <v>459</v>
      </c>
      <c r="Q278" t="s">
        <v>460</v>
      </c>
      <c r="R278" t="s">
        <v>201</v>
      </c>
      <c r="S278">
        <v>1</v>
      </c>
      <c r="T278">
        <v>1</v>
      </c>
      <c r="U278">
        <v>140868</v>
      </c>
      <c r="V278">
        <v>140868</v>
      </c>
    </row>
    <row r="279" spans="1:22">
      <c r="A279" t="s">
        <v>196</v>
      </c>
      <c r="B279">
        <v>6</v>
      </c>
      <c r="C279" t="s">
        <v>336</v>
      </c>
      <c r="D279">
        <v>100</v>
      </c>
      <c r="E279" t="s">
        <v>197</v>
      </c>
      <c r="F279">
        <v>1005</v>
      </c>
      <c r="G279" t="s">
        <v>336</v>
      </c>
      <c r="H279">
        <v>2150</v>
      </c>
      <c r="I279" t="s">
        <v>43</v>
      </c>
      <c r="J279">
        <v>3435</v>
      </c>
      <c r="K279" t="s">
        <v>448</v>
      </c>
      <c r="L279">
        <v>0</v>
      </c>
      <c r="N279" t="s">
        <v>379</v>
      </c>
      <c r="O279">
        <v>20</v>
      </c>
      <c r="P279" t="s">
        <v>461</v>
      </c>
      <c r="Q279" t="s">
        <v>462</v>
      </c>
      <c r="R279" t="s">
        <v>201</v>
      </c>
      <c r="S279">
        <v>1</v>
      </c>
      <c r="T279">
        <v>1</v>
      </c>
      <c r="U279">
        <v>125016</v>
      </c>
      <c r="V279">
        <v>125016</v>
      </c>
    </row>
    <row r="280" spans="1:22">
      <c r="A280" t="s">
        <v>196</v>
      </c>
      <c r="B280">
        <v>6</v>
      </c>
      <c r="C280" t="s">
        <v>336</v>
      </c>
      <c r="D280">
        <v>100</v>
      </c>
      <c r="E280" t="s">
        <v>197</v>
      </c>
      <c r="F280">
        <v>1005</v>
      </c>
      <c r="G280" t="s">
        <v>336</v>
      </c>
      <c r="H280">
        <v>2150</v>
      </c>
      <c r="I280" t="s">
        <v>43</v>
      </c>
      <c r="J280">
        <v>3435</v>
      </c>
      <c r="K280" t="s">
        <v>448</v>
      </c>
      <c r="L280">
        <v>0</v>
      </c>
      <c r="N280" t="s">
        <v>427</v>
      </c>
      <c r="O280">
        <v>20</v>
      </c>
      <c r="P280" t="s">
        <v>463</v>
      </c>
      <c r="Q280" t="s">
        <v>464</v>
      </c>
      <c r="R280" t="s">
        <v>201</v>
      </c>
      <c r="S280">
        <v>1</v>
      </c>
      <c r="T280">
        <v>1</v>
      </c>
      <c r="U280">
        <v>166860</v>
      </c>
      <c r="V280">
        <v>166860</v>
      </c>
    </row>
    <row r="281" spans="1:22">
      <c r="A281" t="s">
        <v>196</v>
      </c>
      <c r="B281">
        <v>6</v>
      </c>
      <c r="C281" t="s">
        <v>336</v>
      </c>
      <c r="D281">
        <v>100</v>
      </c>
      <c r="E281" t="s">
        <v>197</v>
      </c>
      <c r="F281">
        <v>1005</v>
      </c>
      <c r="G281" t="s">
        <v>336</v>
      </c>
      <c r="H281">
        <v>2150</v>
      </c>
      <c r="I281" t="s">
        <v>43</v>
      </c>
      <c r="J281">
        <v>3435</v>
      </c>
      <c r="K281" t="s">
        <v>448</v>
      </c>
      <c r="L281">
        <v>0</v>
      </c>
      <c r="N281" t="s">
        <v>249</v>
      </c>
      <c r="O281">
        <v>20</v>
      </c>
      <c r="P281" t="s">
        <v>465</v>
      </c>
      <c r="Q281" t="s">
        <v>466</v>
      </c>
      <c r="R281" t="s">
        <v>201</v>
      </c>
      <c r="S281">
        <v>1</v>
      </c>
      <c r="T281">
        <v>1</v>
      </c>
      <c r="U281">
        <v>136692</v>
      </c>
      <c r="V281">
        <v>136692</v>
      </c>
    </row>
    <row r="282" spans="1:22">
      <c r="A282" t="s">
        <v>196</v>
      </c>
      <c r="B282">
        <v>6</v>
      </c>
      <c r="C282" t="s">
        <v>336</v>
      </c>
      <c r="D282">
        <v>100</v>
      </c>
      <c r="E282" t="s">
        <v>197</v>
      </c>
      <c r="F282">
        <v>1005</v>
      </c>
      <c r="G282" t="s">
        <v>336</v>
      </c>
      <c r="H282">
        <v>2150</v>
      </c>
      <c r="I282" t="s">
        <v>43</v>
      </c>
      <c r="J282">
        <v>3435</v>
      </c>
      <c r="K282" t="s">
        <v>448</v>
      </c>
      <c r="L282">
        <v>0</v>
      </c>
      <c r="N282" t="s">
        <v>249</v>
      </c>
      <c r="O282">
        <v>20</v>
      </c>
      <c r="P282" t="s">
        <v>467</v>
      </c>
      <c r="Q282" t="s">
        <v>468</v>
      </c>
      <c r="R282" t="s">
        <v>201</v>
      </c>
      <c r="S282">
        <v>1</v>
      </c>
      <c r="T282">
        <v>1</v>
      </c>
      <c r="U282">
        <v>89112</v>
      </c>
      <c r="V282">
        <v>89112</v>
      </c>
    </row>
    <row r="283" spans="1:22">
      <c r="A283" t="s">
        <v>196</v>
      </c>
      <c r="B283">
        <v>6</v>
      </c>
      <c r="C283" t="s">
        <v>336</v>
      </c>
      <c r="D283">
        <v>100</v>
      </c>
      <c r="E283" t="s">
        <v>197</v>
      </c>
      <c r="F283">
        <v>1005</v>
      </c>
      <c r="G283" t="s">
        <v>336</v>
      </c>
      <c r="H283">
        <v>2150</v>
      </c>
      <c r="I283" t="s">
        <v>43</v>
      </c>
      <c r="J283">
        <v>3435</v>
      </c>
      <c r="K283" t="s">
        <v>448</v>
      </c>
      <c r="L283">
        <v>0</v>
      </c>
      <c r="N283" t="s">
        <v>379</v>
      </c>
      <c r="O283">
        <v>20</v>
      </c>
      <c r="P283" t="s">
        <v>469</v>
      </c>
      <c r="Q283" t="s">
        <v>470</v>
      </c>
      <c r="R283" t="s">
        <v>201</v>
      </c>
      <c r="S283">
        <v>1</v>
      </c>
      <c r="T283">
        <v>1</v>
      </c>
      <c r="U283">
        <v>110940</v>
      </c>
      <c r="V283">
        <v>110940</v>
      </c>
    </row>
    <row r="284" spans="1:22">
      <c r="A284" t="s">
        <v>196</v>
      </c>
      <c r="B284">
        <v>6</v>
      </c>
      <c r="C284" t="s">
        <v>336</v>
      </c>
      <c r="D284">
        <v>100</v>
      </c>
      <c r="E284" t="s">
        <v>197</v>
      </c>
      <c r="F284">
        <v>1005</v>
      </c>
      <c r="G284" t="s">
        <v>336</v>
      </c>
      <c r="H284">
        <v>2150</v>
      </c>
      <c r="I284" t="s">
        <v>43</v>
      </c>
      <c r="J284">
        <v>3435</v>
      </c>
      <c r="K284" t="s">
        <v>448</v>
      </c>
      <c r="L284">
        <v>0</v>
      </c>
      <c r="N284" t="s">
        <v>249</v>
      </c>
      <c r="O284">
        <v>20</v>
      </c>
      <c r="P284" t="s">
        <v>471</v>
      </c>
      <c r="Q284" t="s">
        <v>472</v>
      </c>
      <c r="R284" t="s">
        <v>201</v>
      </c>
      <c r="S284">
        <v>1</v>
      </c>
      <c r="T284">
        <v>1</v>
      </c>
      <c r="U284">
        <v>97836</v>
      </c>
      <c r="V284">
        <v>97836</v>
      </c>
    </row>
    <row r="285" spans="1:22">
      <c r="A285" t="s">
        <v>196</v>
      </c>
      <c r="B285">
        <v>6</v>
      </c>
      <c r="C285" t="s">
        <v>336</v>
      </c>
      <c r="D285">
        <v>100</v>
      </c>
      <c r="E285" t="s">
        <v>197</v>
      </c>
      <c r="F285">
        <v>1005</v>
      </c>
      <c r="G285" t="s">
        <v>336</v>
      </c>
      <c r="H285">
        <v>2150</v>
      </c>
      <c r="I285" t="s">
        <v>43</v>
      </c>
      <c r="J285">
        <v>3435</v>
      </c>
      <c r="K285" t="s">
        <v>448</v>
      </c>
      <c r="L285">
        <v>0</v>
      </c>
      <c r="N285" t="s">
        <v>392</v>
      </c>
      <c r="O285">
        <v>1</v>
      </c>
      <c r="P285" s="1">
        <v>60</v>
      </c>
      <c r="Q285" t="s">
        <v>473</v>
      </c>
      <c r="R285" t="s">
        <v>201</v>
      </c>
      <c r="S285">
        <v>1</v>
      </c>
      <c r="T285">
        <v>1</v>
      </c>
      <c r="U285">
        <v>143400</v>
      </c>
      <c r="V285">
        <v>143400</v>
      </c>
    </row>
    <row r="286" spans="1:22">
      <c r="A286" t="s">
        <v>196</v>
      </c>
      <c r="B286">
        <v>6</v>
      </c>
      <c r="C286" t="s">
        <v>336</v>
      </c>
      <c r="D286">
        <v>100</v>
      </c>
      <c r="E286" t="s">
        <v>197</v>
      </c>
      <c r="F286">
        <v>1005</v>
      </c>
      <c r="G286" t="s">
        <v>336</v>
      </c>
      <c r="H286">
        <v>2150</v>
      </c>
      <c r="I286" t="s">
        <v>43</v>
      </c>
      <c r="J286">
        <v>3435</v>
      </c>
      <c r="K286" t="s">
        <v>448</v>
      </c>
      <c r="L286">
        <v>0</v>
      </c>
      <c r="N286" t="s">
        <v>341</v>
      </c>
      <c r="O286">
        <v>1</v>
      </c>
      <c r="P286" t="s">
        <v>474</v>
      </c>
      <c r="Q286" t="s">
        <v>475</v>
      </c>
      <c r="R286" t="s">
        <v>201</v>
      </c>
      <c r="S286">
        <v>3</v>
      </c>
      <c r="T286">
        <v>1</v>
      </c>
      <c r="U286">
        <v>68616</v>
      </c>
      <c r="V286">
        <v>205848</v>
      </c>
    </row>
    <row r="287" spans="1:22">
      <c r="A287" t="s">
        <v>196</v>
      </c>
      <c r="B287">
        <v>6</v>
      </c>
      <c r="C287" t="s">
        <v>336</v>
      </c>
      <c r="D287">
        <v>100</v>
      </c>
      <c r="E287" t="s">
        <v>197</v>
      </c>
      <c r="F287">
        <v>1005</v>
      </c>
      <c r="G287" t="s">
        <v>336</v>
      </c>
      <c r="H287">
        <v>2150</v>
      </c>
      <c r="I287" t="s">
        <v>43</v>
      </c>
      <c r="J287">
        <v>3435</v>
      </c>
      <c r="K287" t="s">
        <v>448</v>
      </c>
      <c r="L287">
        <v>0</v>
      </c>
      <c r="N287" t="s">
        <v>372</v>
      </c>
      <c r="O287">
        <v>1</v>
      </c>
      <c r="P287" t="s">
        <v>476</v>
      </c>
      <c r="Q287" t="s">
        <v>477</v>
      </c>
      <c r="R287" t="s">
        <v>201</v>
      </c>
      <c r="S287">
        <v>2</v>
      </c>
      <c r="T287">
        <v>1</v>
      </c>
      <c r="U287">
        <v>75336</v>
      </c>
      <c r="V287">
        <v>150672</v>
      </c>
    </row>
    <row r="288" spans="1:22">
      <c r="A288" t="s">
        <v>196</v>
      </c>
      <c r="B288">
        <v>6</v>
      </c>
      <c r="C288" t="s">
        <v>336</v>
      </c>
      <c r="D288">
        <v>100</v>
      </c>
      <c r="E288" t="s">
        <v>197</v>
      </c>
      <c r="F288">
        <v>1005</v>
      </c>
      <c r="G288" t="s">
        <v>336</v>
      </c>
      <c r="H288">
        <v>2150</v>
      </c>
      <c r="I288" t="s">
        <v>43</v>
      </c>
      <c r="J288">
        <v>3435</v>
      </c>
      <c r="K288" t="s">
        <v>448</v>
      </c>
      <c r="L288">
        <v>0</v>
      </c>
      <c r="N288" t="s">
        <v>199</v>
      </c>
      <c r="O288">
        <v>0</v>
      </c>
      <c r="P288">
        <v>15</v>
      </c>
      <c r="Q288" t="s">
        <v>264</v>
      </c>
      <c r="R288" t="s">
        <v>201</v>
      </c>
      <c r="S288">
        <v>0</v>
      </c>
      <c r="T288">
        <v>0</v>
      </c>
      <c r="U288">
        <v>23293</v>
      </c>
      <c r="V288">
        <v>23293</v>
      </c>
    </row>
    <row r="289" spans="1:22">
      <c r="A289" t="s">
        <v>196</v>
      </c>
      <c r="B289">
        <v>6</v>
      </c>
      <c r="C289" t="s">
        <v>336</v>
      </c>
      <c r="D289">
        <v>100</v>
      </c>
      <c r="E289" t="s">
        <v>197</v>
      </c>
      <c r="F289">
        <v>1005</v>
      </c>
      <c r="G289" t="s">
        <v>336</v>
      </c>
      <c r="H289">
        <v>2150</v>
      </c>
      <c r="I289" t="s">
        <v>43</v>
      </c>
      <c r="J289">
        <v>3440</v>
      </c>
      <c r="K289" t="s">
        <v>478</v>
      </c>
      <c r="L289">
        <v>0</v>
      </c>
      <c r="N289" t="s">
        <v>427</v>
      </c>
      <c r="O289">
        <v>20</v>
      </c>
      <c r="P289" t="s">
        <v>479</v>
      </c>
      <c r="Q289" t="s">
        <v>480</v>
      </c>
      <c r="R289" t="s">
        <v>201</v>
      </c>
      <c r="S289">
        <v>1</v>
      </c>
      <c r="T289">
        <v>1</v>
      </c>
      <c r="U289">
        <v>131412</v>
      </c>
      <c r="V289">
        <v>131412</v>
      </c>
    </row>
    <row r="290" spans="1:22">
      <c r="A290" t="s">
        <v>196</v>
      </c>
      <c r="B290">
        <v>6</v>
      </c>
      <c r="C290" t="s">
        <v>336</v>
      </c>
      <c r="D290">
        <v>100</v>
      </c>
      <c r="E290" t="s">
        <v>197</v>
      </c>
      <c r="F290">
        <v>1005</v>
      </c>
      <c r="G290" t="s">
        <v>336</v>
      </c>
      <c r="H290">
        <v>2150</v>
      </c>
      <c r="I290" t="s">
        <v>43</v>
      </c>
      <c r="J290">
        <v>3440</v>
      </c>
      <c r="K290" t="s">
        <v>478</v>
      </c>
      <c r="L290">
        <v>0</v>
      </c>
      <c r="N290" t="s">
        <v>427</v>
      </c>
      <c r="O290">
        <v>20</v>
      </c>
      <c r="P290" t="s">
        <v>481</v>
      </c>
      <c r="Q290" t="s">
        <v>482</v>
      </c>
      <c r="R290" t="s">
        <v>201</v>
      </c>
      <c r="S290">
        <v>1</v>
      </c>
      <c r="T290">
        <v>1</v>
      </c>
      <c r="U290">
        <v>154092</v>
      </c>
      <c r="V290">
        <v>154092</v>
      </c>
    </row>
    <row r="291" spans="1:22">
      <c r="A291" t="s">
        <v>196</v>
      </c>
      <c r="B291">
        <v>6</v>
      </c>
      <c r="C291" t="s">
        <v>336</v>
      </c>
      <c r="D291">
        <v>100</v>
      </c>
      <c r="E291" t="s">
        <v>197</v>
      </c>
      <c r="F291">
        <v>1005</v>
      </c>
      <c r="G291" t="s">
        <v>336</v>
      </c>
      <c r="H291">
        <v>2150</v>
      </c>
      <c r="I291" t="s">
        <v>43</v>
      </c>
      <c r="J291">
        <v>3440</v>
      </c>
      <c r="K291" t="s">
        <v>478</v>
      </c>
      <c r="L291">
        <v>0</v>
      </c>
      <c r="N291" t="s">
        <v>427</v>
      </c>
      <c r="O291">
        <v>20</v>
      </c>
      <c r="P291" t="s">
        <v>481</v>
      </c>
      <c r="Q291" t="s">
        <v>482</v>
      </c>
      <c r="R291" t="s">
        <v>201</v>
      </c>
      <c r="S291">
        <v>6</v>
      </c>
      <c r="T291">
        <v>1</v>
      </c>
      <c r="U291">
        <v>140868</v>
      </c>
      <c r="V291">
        <v>845208</v>
      </c>
    </row>
    <row r="292" spans="1:22">
      <c r="A292" t="s">
        <v>196</v>
      </c>
      <c r="B292">
        <v>6</v>
      </c>
      <c r="C292" t="s">
        <v>336</v>
      </c>
      <c r="D292">
        <v>100</v>
      </c>
      <c r="E292" t="s">
        <v>197</v>
      </c>
      <c r="F292">
        <v>1005</v>
      </c>
      <c r="G292" t="s">
        <v>336</v>
      </c>
      <c r="H292">
        <v>2150</v>
      </c>
      <c r="I292" t="s">
        <v>43</v>
      </c>
      <c r="J292">
        <v>3440</v>
      </c>
      <c r="K292" t="s">
        <v>478</v>
      </c>
      <c r="L292">
        <v>0</v>
      </c>
      <c r="N292" t="s">
        <v>427</v>
      </c>
      <c r="O292">
        <v>20</v>
      </c>
      <c r="P292" t="s">
        <v>481</v>
      </c>
      <c r="Q292" t="s">
        <v>482</v>
      </c>
      <c r="R292" t="s">
        <v>201</v>
      </c>
      <c r="S292">
        <v>2</v>
      </c>
      <c r="T292">
        <v>1</v>
      </c>
      <c r="U292">
        <v>131412</v>
      </c>
      <c r="V292">
        <v>262824</v>
      </c>
    </row>
    <row r="293" spans="1:22">
      <c r="A293" t="s">
        <v>196</v>
      </c>
      <c r="B293">
        <v>6</v>
      </c>
      <c r="C293" t="s">
        <v>336</v>
      </c>
      <c r="D293">
        <v>100</v>
      </c>
      <c r="E293" t="s">
        <v>197</v>
      </c>
      <c r="F293">
        <v>1005</v>
      </c>
      <c r="G293" t="s">
        <v>336</v>
      </c>
      <c r="H293">
        <v>2150</v>
      </c>
      <c r="I293" t="s">
        <v>43</v>
      </c>
      <c r="J293">
        <v>3440</v>
      </c>
      <c r="K293" t="s">
        <v>478</v>
      </c>
      <c r="L293">
        <v>0</v>
      </c>
      <c r="N293" t="s">
        <v>406</v>
      </c>
      <c r="O293">
        <v>20</v>
      </c>
      <c r="P293" t="s">
        <v>483</v>
      </c>
      <c r="Q293" t="s">
        <v>484</v>
      </c>
      <c r="R293" t="s">
        <v>201</v>
      </c>
      <c r="S293">
        <v>2</v>
      </c>
      <c r="T293">
        <v>1</v>
      </c>
      <c r="U293">
        <v>125016</v>
      </c>
      <c r="V293">
        <v>250032</v>
      </c>
    </row>
    <row r="294" spans="1:22">
      <c r="A294" t="s">
        <v>196</v>
      </c>
      <c r="B294">
        <v>6</v>
      </c>
      <c r="C294" t="s">
        <v>336</v>
      </c>
      <c r="D294">
        <v>100</v>
      </c>
      <c r="E294" t="s">
        <v>197</v>
      </c>
      <c r="F294">
        <v>1005</v>
      </c>
      <c r="G294" t="s">
        <v>336</v>
      </c>
      <c r="H294">
        <v>2150</v>
      </c>
      <c r="I294" t="s">
        <v>43</v>
      </c>
      <c r="J294">
        <v>3440</v>
      </c>
      <c r="K294" t="s">
        <v>478</v>
      </c>
      <c r="L294">
        <v>0</v>
      </c>
      <c r="N294" t="s">
        <v>406</v>
      </c>
      <c r="O294">
        <v>20</v>
      </c>
      <c r="P294" t="s">
        <v>483</v>
      </c>
      <c r="Q294" t="s">
        <v>484</v>
      </c>
      <c r="R294" t="s">
        <v>201</v>
      </c>
      <c r="S294">
        <v>2</v>
      </c>
      <c r="T294">
        <v>1</v>
      </c>
      <c r="U294">
        <v>120144</v>
      </c>
      <c r="V294">
        <v>240288</v>
      </c>
    </row>
    <row r="295" spans="1:22">
      <c r="A295" t="s">
        <v>196</v>
      </c>
      <c r="B295">
        <v>6</v>
      </c>
      <c r="C295" t="s">
        <v>336</v>
      </c>
      <c r="D295">
        <v>100</v>
      </c>
      <c r="E295" t="s">
        <v>197</v>
      </c>
      <c r="F295">
        <v>1005</v>
      </c>
      <c r="G295" t="s">
        <v>336</v>
      </c>
      <c r="H295">
        <v>2150</v>
      </c>
      <c r="I295" t="s">
        <v>43</v>
      </c>
      <c r="J295">
        <v>3440</v>
      </c>
      <c r="K295" t="s">
        <v>478</v>
      </c>
      <c r="L295">
        <v>0</v>
      </c>
      <c r="N295" t="s">
        <v>485</v>
      </c>
      <c r="O295">
        <v>20</v>
      </c>
      <c r="P295" t="s">
        <v>486</v>
      </c>
      <c r="Q295" t="s">
        <v>487</v>
      </c>
      <c r="R295" t="s">
        <v>201</v>
      </c>
      <c r="S295">
        <v>1</v>
      </c>
      <c r="T295">
        <v>1</v>
      </c>
      <c r="U295">
        <v>211752</v>
      </c>
      <c r="V295">
        <v>211752</v>
      </c>
    </row>
    <row r="296" spans="1:22">
      <c r="A296" t="s">
        <v>196</v>
      </c>
      <c r="B296">
        <v>6</v>
      </c>
      <c r="C296" t="s">
        <v>336</v>
      </c>
      <c r="D296">
        <v>100</v>
      </c>
      <c r="E296" t="s">
        <v>197</v>
      </c>
      <c r="F296">
        <v>1005</v>
      </c>
      <c r="G296" t="s">
        <v>336</v>
      </c>
      <c r="H296">
        <v>2150</v>
      </c>
      <c r="I296" t="s">
        <v>43</v>
      </c>
      <c r="J296">
        <v>3440</v>
      </c>
      <c r="K296" t="s">
        <v>478</v>
      </c>
      <c r="L296">
        <v>0</v>
      </c>
      <c r="N296" t="s">
        <v>367</v>
      </c>
      <c r="O296">
        <v>20</v>
      </c>
      <c r="P296" t="s">
        <v>488</v>
      </c>
      <c r="Q296" t="s">
        <v>489</v>
      </c>
      <c r="R296" t="s">
        <v>201</v>
      </c>
      <c r="S296">
        <v>2</v>
      </c>
      <c r="T296">
        <v>1</v>
      </c>
      <c r="U296">
        <v>172920</v>
      </c>
      <c r="V296">
        <v>345840</v>
      </c>
    </row>
    <row r="297" spans="1:22">
      <c r="A297" t="s">
        <v>196</v>
      </c>
      <c r="B297">
        <v>6</v>
      </c>
      <c r="C297" t="s">
        <v>336</v>
      </c>
      <c r="D297">
        <v>100</v>
      </c>
      <c r="E297" t="s">
        <v>197</v>
      </c>
      <c r="F297">
        <v>1005</v>
      </c>
      <c r="G297" t="s">
        <v>336</v>
      </c>
      <c r="H297">
        <v>2150</v>
      </c>
      <c r="I297" t="s">
        <v>43</v>
      </c>
      <c r="J297">
        <v>3440</v>
      </c>
      <c r="K297" t="s">
        <v>478</v>
      </c>
      <c r="L297">
        <v>0</v>
      </c>
      <c r="N297" t="s">
        <v>367</v>
      </c>
      <c r="O297">
        <v>20</v>
      </c>
      <c r="P297" t="s">
        <v>488</v>
      </c>
      <c r="Q297" t="s">
        <v>489</v>
      </c>
      <c r="R297" t="s">
        <v>201</v>
      </c>
      <c r="S297">
        <v>2</v>
      </c>
      <c r="T297">
        <v>1</v>
      </c>
      <c r="U297">
        <v>153000</v>
      </c>
      <c r="V297">
        <v>306000</v>
      </c>
    </row>
    <row r="298" spans="1:22">
      <c r="A298" t="s">
        <v>196</v>
      </c>
      <c r="B298">
        <v>6</v>
      </c>
      <c r="C298" t="s">
        <v>336</v>
      </c>
      <c r="D298">
        <v>100</v>
      </c>
      <c r="E298" t="s">
        <v>197</v>
      </c>
      <c r="F298">
        <v>1005</v>
      </c>
      <c r="G298" t="s">
        <v>336</v>
      </c>
      <c r="H298">
        <v>2150</v>
      </c>
      <c r="I298" t="s">
        <v>43</v>
      </c>
      <c r="J298">
        <v>3440</v>
      </c>
      <c r="K298" t="s">
        <v>478</v>
      </c>
      <c r="L298">
        <v>0</v>
      </c>
      <c r="N298" t="s">
        <v>199</v>
      </c>
      <c r="O298">
        <v>0</v>
      </c>
      <c r="P298">
        <v>15</v>
      </c>
      <c r="Q298" t="s">
        <v>264</v>
      </c>
      <c r="R298" t="s">
        <v>201</v>
      </c>
      <c r="S298">
        <v>0</v>
      </c>
      <c r="T298">
        <v>0</v>
      </c>
      <c r="U298">
        <v>54153</v>
      </c>
      <c r="V298">
        <v>54153</v>
      </c>
    </row>
    <row r="299" spans="1:22">
      <c r="A299" t="s">
        <v>196</v>
      </c>
      <c r="B299">
        <v>15</v>
      </c>
      <c r="C299" t="s">
        <v>65</v>
      </c>
      <c r="D299">
        <v>100</v>
      </c>
      <c r="E299" t="s">
        <v>197</v>
      </c>
      <c r="F299">
        <v>1005</v>
      </c>
      <c r="G299" t="s">
        <v>65</v>
      </c>
      <c r="H299">
        <v>2005</v>
      </c>
      <c r="I299" t="s">
        <v>65</v>
      </c>
      <c r="J299">
        <v>3005</v>
      </c>
      <c r="K299" t="s">
        <v>65</v>
      </c>
      <c r="L299">
        <v>0</v>
      </c>
      <c r="N299" t="s">
        <v>199</v>
      </c>
      <c r="O299">
        <v>9</v>
      </c>
      <c r="P299" t="s">
        <v>490</v>
      </c>
      <c r="Q299" t="s">
        <v>491</v>
      </c>
      <c r="R299" t="s">
        <v>201</v>
      </c>
      <c r="S299">
        <v>1</v>
      </c>
      <c r="T299">
        <v>1</v>
      </c>
      <c r="U299">
        <v>155688</v>
      </c>
      <c r="V299">
        <v>155688</v>
      </c>
    </row>
    <row r="300" spans="1:22">
      <c r="A300" t="s">
        <v>196</v>
      </c>
      <c r="B300">
        <v>15</v>
      </c>
      <c r="C300" t="s">
        <v>65</v>
      </c>
      <c r="D300">
        <v>100</v>
      </c>
      <c r="E300" t="s">
        <v>197</v>
      </c>
      <c r="F300">
        <v>1005</v>
      </c>
      <c r="G300" t="s">
        <v>65</v>
      </c>
      <c r="H300">
        <v>2005</v>
      </c>
      <c r="I300" t="s">
        <v>65</v>
      </c>
      <c r="J300">
        <v>3005</v>
      </c>
      <c r="K300" t="s">
        <v>65</v>
      </c>
      <c r="L300">
        <v>0</v>
      </c>
      <c r="N300" t="s">
        <v>199</v>
      </c>
      <c r="O300">
        <v>9</v>
      </c>
      <c r="P300" t="s">
        <v>492</v>
      </c>
      <c r="Q300" t="s">
        <v>493</v>
      </c>
      <c r="R300" t="s">
        <v>201</v>
      </c>
      <c r="S300">
        <v>1</v>
      </c>
      <c r="T300">
        <v>1</v>
      </c>
      <c r="U300">
        <v>139776</v>
      </c>
      <c r="V300">
        <v>139776</v>
      </c>
    </row>
    <row r="301" spans="1:22">
      <c r="A301" t="s">
        <v>196</v>
      </c>
      <c r="B301">
        <v>15</v>
      </c>
      <c r="C301" t="s">
        <v>65</v>
      </c>
      <c r="D301">
        <v>100</v>
      </c>
      <c r="E301" t="s">
        <v>197</v>
      </c>
      <c r="F301">
        <v>1005</v>
      </c>
      <c r="G301" t="s">
        <v>65</v>
      </c>
      <c r="H301">
        <v>2005</v>
      </c>
      <c r="I301" t="s">
        <v>65</v>
      </c>
      <c r="J301">
        <v>3005</v>
      </c>
      <c r="K301" t="s">
        <v>65</v>
      </c>
      <c r="L301">
        <v>0</v>
      </c>
      <c r="N301" t="s">
        <v>199</v>
      </c>
      <c r="O301">
        <v>9</v>
      </c>
      <c r="P301" t="s">
        <v>494</v>
      </c>
      <c r="Q301" t="s">
        <v>495</v>
      </c>
      <c r="R301" t="s">
        <v>201</v>
      </c>
      <c r="S301">
        <v>1</v>
      </c>
      <c r="T301">
        <v>1</v>
      </c>
      <c r="U301">
        <v>155688</v>
      </c>
      <c r="V301">
        <v>155688</v>
      </c>
    </row>
    <row r="302" spans="1:22">
      <c r="A302" t="s">
        <v>196</v>
      </c>
      <c r="B302">
        <v>15</v>
      </c>
      <c r="C302" t="s">
        <v>65</v>
      </c>
      <c r="D302">
        <v>100</v>
      </c>
      <c r="E302" t="s">
        <v>197</v>
      </c>
      <c r="F302">
        <v>1005</v>
      </c>
      <c r="G302" t="s">
        <v>65</v>
      </c>
      <c r="H302">
        <v>2005</v>
      </c>
      <c r="I302" t="s">
        <v>65</v>
      </c>
      <c r="J302">
        <v>3005</v>
      </c>
      <c r="K302" t="s">
        <v>65</v>
      </c>
      <c r="L302">
        <v>0</v>
      </c>
      <c r="N302" t="s">
        <v>199</v>
      </c>
      <c r="O302">
        <v>9</v>
      </c>
      <c r="P302" t="s">
        <v>496</v>
      </c>
      <c r="Q302" t="s">
        <v>497</v>
      </c>
      <c r="R302" t="s">
        <v>201</v>
      </c>
      <c r="S302">
        <v>1</v>
      </c>
      <c r="T302">
        <v>1</v>
      </c>
      <c r="U302">
        <v>133344</v>
      </c>
      <c r="V302">
        <v>133344</v>
      </c>
    </row>
    <row r="303" spans="1:22">
      <c r="A303" t="s">
        <v>196</v>
      </c>
      <c r="B303">
        <v>15</v>
      </c>
      <c r="C303" t="s">
        <v>65</v>
      </c>
      <c r="D303">
        <v>100</v>
      </c>
      <c r="E303" t="s">
        <v>197</v>
      </c>
      <c r="F303">
        <v>1005</v>
      </c>
      <c r="G303" t="s">
        <v>65</v>
      </c>
      <c r="H303">
        <v>2005</v>
      </c>
      <c r="I303" t="s">
        <v>65</v>
      </c>
      <c r="J303">
        <v>3005</v>
      </c>
      <c r="K303" t="s">
        <v>65</v>
      </c>
      <c r="L303">
        <v>0</v>
      </c>
      <c r="N303" t="s">
        <v>199</v>
      </c>
      <c r="O303">
        <v>9</v>
      </c>
      <c r="P303" t="s">
        <v>498</v>
      </c>
      <c r="Q303" t="s">
        <v>499</v>
      </c>
      <c r="R303" t="s">
        <v>201</v>
      </c>
      <c r="S303">
        <v>1</v>
      </c>
      <c r="T303">
        <v>1</v>
      </c>
      <c r="U303">
        <v>155688</v>
      </c>
      <c r="V303">
        <v>155688</v>
      </c>
    </row>
    <row r="304" spans="1:22">
      <c r="A304" t="s">
        <v>196</v>
      </c>
      <c r="B304">
        <v>15</v>
      </c>
      <c r="C304" t="s">
        <v>65</v>
      </c>
      <c r="D304">
        <v>100</v>
      </c>
      <c r="E304" t="s">
        <v>197</v>
      </c>
      <c r="F304">
        <v>1005</v>
      </c>
      <c r="G304" t="s">
        <v>65</v>
      </c>
      <c r="H304">
        <v>2005</v>
      </c>
      <c r="I304" t="s">
        <v>65</v>
      </c>
      <c r="J304">
        <v>3005</v>
      </c>
      <c r="K304" t="s">
        <v>65</v>
      </c>
      <c r="L304">
        <v>0</v>
      </c>
      <c r="N304" t="s">
        <v>199</v>
      </c>
      <c r="O304">
        <v>9</v>
      </c>
      <c r="P304" t="s">
        <v>500</v>
      </c>
      <c r="Q304" t="s">
        <v>501</v>
      </c>
      <c r="R304" t="s">
        <v>201</v>
      </c>
      <c r="S304">
        <v>1</v>
      </c>
      <c r="T304">
        <v>1</v>
      </c>
      <c r="U304">
        <v>155688</v>
      </c>
      <c r="V304">
        <v>155688</v>
      </c>
    </row>
    <row r="305" spans="1:22">
      <c r="A305" t="s">
        <v>196</v>
      </c>
      <c r="B305">
        <v>15</v>
      </c>
      <c r="C305" t="s">
        <v>65</v>
      </c>
      <c r="D305">
        <v>100</v>
      </c>
      <c r="E305" t="s">
        <v>197</v>
      </c>
      <c r="F305">
        <v>1005</v>
      </c>
      <c r="G305" t="s">
        <v>65</v>
      </c>
      <c r="H305">
        <v>2005</v>
      </c>
      <c r="I305" t="s">
        <v>65</v>
      </c>
      <c r="J305">
        <v>3005</v>
      </c>
      <c r="K305" t="s">
        <v>65</v>
      </c>
      <c r="L305">
        <v>0</v>
      </c>
      <c r="N305" t="s">
        <v>199</v>
      </c>
      <c r="O305">
        <v>9</v>
      </c>
      <c r="P305" t="s">
        <v>502</v>
      </c>
      <c r="Q305" t="s">
        <v>503</v>
      </c>
      <c r="R305" t="s">
        <v>201</v>
      </c>
      <c r="S305">
        <v>1</v>
      </c>
      <c r="T305">
        <v>1</v>
      </c>
      <c r="U305">
        <v>149520</v>
      </c>
      <c r="V305">
        <v>149520</v>
      </c>
    </row>
    <row r="306" spans="1:22">
      <c r="A306" t="s">
        <v>196</v>
      </c>
      <c r="B306">
        <v>15</v>
      </c>
      <c r="C306" t="s">
        <v>65</v>
      </c>
      <c r="D306">
        <v>100</v>
      </c>
      <c r="E306" t="s">
        <v>197</v>
      </c>
      <c r="F306">
        <v>1005</v>
      </c>
      <c r="G306" t="s">
        <v>65</v>
      </c>
      <c r="H306">
        <v>2005</v>
      </c>
      <c r="I306" t="s">
        <v>65</v>
      </c>
      <c r="J306">
        <v>3005</v>
      </c>
      <c r="K306" t="s">
        <v>65</v>
      </c>
      <c r="L306">
        <v>0</v>
      </c>
      <c r="N306" t="s">
        <v>199</v>
      </c>
      <c r="O306">
        <v>9</v>
      </c>
      <c r="P306" t="s">
        <v>504</v>
      </c>
      <c r="Q306" t="s">
        <v>505</v>
      </c>
      <c r="R306" t="s">
        <v>201</v>
      </c>
      <c r="S306">
        <v>1</v>
      </c>
      <c r="T306">
        <v>1</v>
      </c>
      <c r="U306">
        <v>155688</v>
      </c>
      <c r="V306">
        <v>155688</v>
      </c>
    </row>
    <row r="307" spans="1:22">
      <c r="A307" t="s">
        <v>196</v>
      </c>
      <c r="B307">
        <v>15</v>
      </c>
      <c r="C307" t="s">
        <v>65</v>
      </c>
      <c r="D307">
        <v>100</v>
      </c>
      <c r="E307" t="s">
        <v>197</v>
      </c>
      <c r="F307">
        <v>1005</v>
      </c>
      <c r="G307" t="s">
        <v>65</v>
      </c>
      <c r="H307">
        <v>2005</v>
      </c>
      <c r="I307" t="s">
        <v>65</v>
      </c>
      <c r="J307">
        <v>3005</v>
      </c>
      <c r="K307" t="s">
        <v>65</v>
      </c>
      <c r="L307">
        <v>0</v>
      </c>
      <c r="N307" t="s">
        <v>199</v>
      </c>
      <c r="O307">
        <v>9</v>
      </c>
      <c r="P307" t="s">
        <v>506</v>
      </c>
      <c r="Q307" t="s">
        <v>507</v>
      </c>
      <c r="R307" t="s">
        <v>201</v>
      </c>
      <c r="S307">
        <v>1</v>
      </c>
      <c r="T307">
        <v>1</v>
      </c>
      <c r="U307">
        <v>128232</v>
      </c>
      <c r="V307">
        <v>128232</v>
      </c>
    </row>
    <row r="308" spans="1:22">
      <c r="A308" t="s">
        <v>196</v>
      </c>
      <c r="B308">
        <v>15</v>
      </c>
      <c r="C308" t="s">
        <v>65</v>
      </c>
      <c r="D308">
        <v>100</v>
      </c>
      <c r="E308" t="s">
        <v>197</v>
      </c>
      <c r="F308">
        <v>1005</v>
      </c>
      <c r="G308" t="s">
        <v>65</v>
      </c>
      <c r="H308">
        <v>2005</v>
      </c>
      <c r="I308" t="s">
        <v>65</v>
      </c>
      <c r="J308">
        <v>3005</v>
      </c>
      <c r="K308" t="s">
        <v>65</v>
      </c>
      <c r="L308">
        <v>0</v>
      </c>
      <c r="N308" t="s">
        <v>199</v>
      </c>
      <c r="O308">
        <v>9</v>
      </c>
      <c r="P308" t="s">
        <v>508</v>
      </c>
      <c r="Q308" t="s">
        <v>509</v>
      </c>
      <c r="R308" t="s">
        <v>201</v>
      </c>
      <c r="S308">
        <v>1</v>
      </c>
      <c r="T308">
        <v>1</v>
      </c>
      <c r="U308">
        <v>142020</v>
      </c>
      <c r="V308">
        <v>142020</v>
      </c>
    </row>
    <row r="309" spans="1:22">
      <c r="A309" t="s">
        <v>196</v>
      </c>
      <c r="B309">
        <v>15</v>
      </c>
      <c r="C309" t="s">
        <v>65</v>
      </c>
      <c r="D309">
        <v>100</v>
      </c>
      <c r="E309" t="s">
        <v>197</v>
      </c>
      <c r="F309">
        <v>1005</v>
      </c>
      <c r="G309" t="s">
        <v>65</v>
      </c>
      <c r="H309">
        <v>2005</v>
      </c>
      <c r="I309" t="s">
        <v>65</v>
      </c>
      <c r="J309">
        <v>3005</v>
      </c>
      <c r="K309" t="s">
        <v>65</v>
      </c>
      <c r="L309">
        <v>0</v>
      </c>
      <c r="N309" t="s">
        <v>199</v>
      </c>
      <c r="O309">
        <v>9</v>
      </c>
      <c r="P309" t="s">
        <v>510</v>
      </c>
      <c r="Q309" t="s">
        <v>511</v>
      </c>
      <c r="R309" t="s">
        <v>201</v>
      </c>
      <c r="S309">
        <v>1</v>
      </c>
      <c r="T309">
        <v>1</v>
      </c>
      <c r="U309">
        <v>155688</v>
      </c>
      <c r="V309">
        <v>155688</v>
      </c>
    </row>
    <row r="310" spans="1:22">
      <c r="A310" t="s">
        <v>196</v>
      </c>
      <c r="B310">
        <v>15</v>
      </c>
      <c r="C310" t="s">
        <v>65</v>
      </c>
      <c r="D310">
        <v>100</v>
      </c>
      <c r="E310" t="s">
        <v>197</v>
      </c>
      <c r="F310">
        <v>1005</v>
      </c>
      <c r="G310" t="s">
        <v>65</v>
      </c>
      <c r="H310">
        <v>2005</v>
      </c>
      <c r="I310" t="s">
        <v>65</v>
      </c>
      <c r="J310">
        <v>3005</v>
      </c>
      <c r="K310" t="s">
        <v>65</v>
      </c>
      <c r="L310">
        <v>0</v>
      </c>
      <c r="N310" t="s">
        <v>199</v>
      </c>
      <c r="O310">
        <v>9</v>
      </c>
      <c r="P310" t="s">
        <v>512</v>
      </c>
      <c r="Q310" t="s">
        <v>513</v>
      </c>
      <c r="R310" t="s">
        <v>201</v>
      </c>
      <c r="S310">
        <v>1</v>
      </c>
      <c r="T310">
        <v>1</v>
      </c>
      <c r="U310">
        <v>142020</v>
      </c>
      <c r="V310">
        <v>142020</v>
      </c>
    </row>
    <row r="311" spans="1:22">
      <c r="A311" t="s">
        <v>196</v>
      </c>
      <c r="B311">
        <v>15</v>
      </c>
      <c r="C311" t="s">
        <v>65</v>
      </c>
      <c r="D311">
        <v>100</v>
      </c>
      <c r="E311" t="s">
        <v>197</v>
      </c>
      <c r="F311">
        <v>1005</v>
      </c>
      <c r="G311" t="s">
        <v>65</v>
      </c>
      <c r="H311">
        <v>2005</v>
      </c>
      <c r="I311" t="s">
        <v>65</v>
      </c>
      <c r="J311">
        <v>3005</v>
      </c>
      <c r="K311" t="s">
        <v>65</v>
      </c>
      <c r="L311">
        <v>0</v>
      </c>
      <c r="N311" t="s">
        <v>199</v>
      </c>
      <c r="O311">
        <v>9</v>
      </c>
      <c r="P311" t="s">
        <v>514</v>
      </c>
      <c r="Q311" t="s">
        <v>515</v>
      </c>
      <c r="R311" t="s">
        <v>201</v>
      </c>
      <c r="S311">
        <v>1</v>
      </c>
      <c r="T311">
        <v>1</v>
      </c>
      <c r="U311">
        <v>143424</v>
      </c>
      <c r="V311">
        <v>143424</v>
      </c>
    </row>
    <row r="312" spans="1:22">
      <c r="A312" t="s">
        <v>196</v>
      </c>
      <c r="B312">
        <v>15</v>
      </c>
      <c r="C312" t="s">
        <v>65</v>
      </c>
      <c r="D312">
        <v>100</v>
      </c>
      <c r="E312" t="s">
        <v>197</v>
      </c>
      <c r="F312">
        <v>1005</v>
      </c>
      <c r="G312" t="s">
        <v>65</v>
      </c>
      <c r="H312">
        <v>2005</v>
      </c>
      <c r="I312" t="s">
        <v>65</v>
      </c>
      <c r="J312">
        <v>3005</v>
      </c>
      <c r="K312" t="s">
        <v>65</v>
      </c>
      <c r="L312">
        <v>0</v>
      </c>
      <c r="N312" t="s">
        <v>199</v>
      </c>
      <c r="O312">
        <v>9</v>
      </c>
      <c r="P312" t="s">
        <v>516</v>
      </c>
      <c r="Q312" t="s">
        <v>517</v>
      </c>
      <c r="R312" t="s">
        <v>201</v>
      </c>
      <c r="S312">
        <v>1</v>
      </c>
      <c r="T312">
        <v>1</v>
      </c>
      <c r="U312">
        <v>155688</v>
      </c>
      <c r="V312">
        <v>155688</v>
      </c>
    </row>
    <row r="313" spans="1:22">
      <c r="A313" t="s">
        <v>196</v>
      </c>
      <c r="B313">
        <v>15</v>
      </c>
      <c r="C313" t="s">
        <v>65</v>
      </c>
      <c r="D313">
        <v>100</v>
      </c>
      <c r="E313" t="s">
        <v>197</v>
      </c>
      <c r="F313">
        <v>1005</v>
      </c>
      <c r="G313" t="s">
        <v>65</v>
      </c>
      <c r="H313">
        <v>2005</v>
      </c>
      <c r="I313" t="s">
        <v>65</v>
      </c>
      <c r="J313">
        <v>3005</v>
      </c>
      <c r="K313" t="s">
        <v>65</v>
      </c>
      <c r="L313">
        <v>0</v>
      </c>
      <c r="N313" t="s">
        <v>199</v>
      </c>
      <c r="O313">
        <v>9</v>
      </c>
      <c r="P313" t="s">
        <v>518</v>
      </c>
      <c r="Q313" t="s">
        <v>519</v>
      </c>
      <c r="R313" t="s">
        <v>201</v>
      </c>
      <c r="S313">
        <v>1</v>
      </c>
      <c r="T313">
        <v>1</v>
      </c>
      <c r="U313">
        <v>126000</v>
      </c>
      <c r="V313">
        <v>126000</v>
      </c>
    </row>
    <row r="314" spans="1:22">
      <c r="A314" t="s">
        <v>196</v>
      </c>
      <c r="B314">
        <v>15</v>
      </c>
      <c r="C314" t="s">
        <v>65</v>
      </c>
      <c r="D314">
        <v>100</v>
      </c>
      <c r="E314" t="s">
        <v>197</v>
      </c>
      <c r="F314">
        <v>1005</v>
      </c>
      <c r="G314" t="s">
        <v>65</v>
      </c>
      <c r="H314">
        <v>2005</v>
      </c>
      <c r="I314" t="s">
        <v>65</v>
      </c>
      <c r="J314">
        <v>3005</v>
      </c>
      <c r="K314" t="s">
        <v>65</v>
      </c>
      <c r="L314">
        <v>0</v>
      </c>
      <c r="N314" t="s">
        <v>199</v>
      </c>
      <c r="O314">
        <v>9</v>
      </c>
      <c r="P314" t="s">
        <v>520</v>
      </c>
      <c r="Q314" t="s">
        <v>521</v>
      </c>
      <c r="R314" t="s">
        <v>201</v>
      </c>
      <c r="S314">
        <v>1</v>
      </c>
      <c r="T314">
        <v>1</v>
      </c>
      <c r="U314">
        <v>155688</v>
      </c>
      <c r="V314">
        <v>155688</v>
      </c>
    </row>
    <row r="315" spans="1:22">
      <c r="A315" t="s">
        <v>196</v>
      </c>
      <c r="B315">
        <v>15</v>
      </c>
      <c r="C315" t="s">
        <v>65</v>
      </c>
      <c r="D315">
        <v>100</v>
      </c>
      <c r="E315" t="s">
        <v>197</v>
      </c>
      <c r="F315">
        <v>1005</v>
      </c>
      <c r="G315" t="s">
        <v>65</v>
      </c>
      <c r="H315">
        <v>2005</v>
      </c>
      <c r="I315" t="s">
        <v>65</v>
      </c>
      <c r="J315">
        <v>3005</v>
      </c>
      <c r="K315" t="s">
        <v>65</v>
      </c>
      <c r="L315">
        <v>0</v>
      </c>
      <c r="N315" t="s">
        <v>199</v>
      </c>
      <c r="O315">
        <v>9</v>
      </c>
      <c r="P315" t="s">
        <v>522</v>
      </c>
      <c r="Q315" t="s">
        <v>523</v>
      </c>
      <c r="R315" t="s">
        <v>201</v>
      </c>
      <c r="S315">
        <v>1</v>
      </c>
      <c r="T315">
        <v>1</v>
      </c>
      <c r="U315">
        <v>155688</v>
      </c>
      <c r="V315">
        <v>155688</v>
      </c>
    </row>
    <row r="316" spans="1:22">
      <c r="A316" t="s">
        <v>196</v>
      </c>
      <c r="B316">
        <v>15</v>
      </c>
      <c r="C316" t="s">
        <v>65</v>
      </c>
      <c r="D316">
        <v>100</v>
      </c>
      <c r="E316" t="s">
        <v>197</v>
      </c>
      <c r="F316">
        <v>1005</v>
      </c>
      <c r="G316" t="s">
        <v>65</v>
      </c>
      <c r="H316">
        <v>2005</v>
      </c>
      <c r="I316" t="s">
        <v>65</v>
      </c>
      <c r="J316">
        <v>3005</v>
      </c>
      <c r="K316" t="s">
        <v>65</v>
      </c>
      <c r="L316">
        <v>0</v>
      </c>
      <c r="N316" t="s">
        <v>199</v>
      </c>
      <c r="O316">
        <v>9</v>
      </c>
      <c r="P316" t="s">
        <v>524</v>
      </c>
      <c r="Q316" t="s">
        <v>525</v>
      </c>
      <c r="R316" t="s">
        <v>201</v>
      </c>
      <c r="S316">
        <v>1</v>
      </c>
      <c r="T316">
        <v>1</v>
      </c>
      <c r="U316">
        <v>142776</v>
      </c>
      <c r="V316">
        <v>142776</v>
      </c>
    </row>
    <row r="317" spans="1:22">
      <c r="A317" t="s">
        <v>196</v>
      </c>
      <c r="B317">
        <v>15</v>
      </c>
      <c r="C317" t="s">
        <v>65</v>
      </c>
      <c r="D317">
        <v>100</v>
      </c>
      <c r="E317" t="s">
        <v>197</v>
      </c>
      <c r="F317">
        <v>1005</v>
      </c>
      <c r="G317" t="s">
        <v>65</v>
      </c>
      <c r="H317">
        <v>2005</v>
      </c>
      <c r="I317" t="s">
        <v>65</v>
      </c>
      <c r="J317">
        <v>3005</v>
      </c>
      <c r="K317" t="s">
        <v>65</v>
      </c>
      <c r="L317">
        <v>0</v>
      </c>
      <c r="N317" t="s">
        <v>199</v>
      </c>
      <c r="O317">
        <v>9</v>
      </c>
      <c r="P317" t="s">
        <v>526</v>
      </c>
      <c r="Q317" t="s">
        <v>527</v>
      </c>
      <c r="R317" t="s">
        <v>201</v>
      </c>
      <c r="S317">
        <v>1</v>
      </c>
      <c r="T317">
        <v>1</v>
      </c>
      <c r="U317">
        <v>144264</v>
      </c>
      <c r="V317">
        <v>144264</v>
      </c>
    </row>
    <row r="318" spans="1:22">
      <c r="A318" t="s">
        <v>196</v>
      </c>
      <c r="B318">
        <v>15</v>
      </c>
      <c r="C318" t="s">
        <v>65</v>
      </c>
      <c r="D318">
        <v>100</v>
      </c>
      <c r="E318" t="s">
        <v>197</v>
      </c>
      <c r="F318">
        <v>1005</v>
      </c>
      <c r="G318" t="s">
        <v>65</v>
      </c>
      <c r="H318">
        <v>2005</v>
      </c>
      <c r="I318" t="s">
        <v>65</v>
      </c>
      <c r="J318">
        <v>3005</v>
      </c>
      <c r="K318" t="s">
        <v>65</v>
      </c>
      <c r="L318">
        <v>0</v>
      </c>
      <c r="N318" t="s">
        <v>199</v>
      </c>
      <c r="O318">
        <v>9</v>
      </c>
      <c r="P318" t="s">
        <v>528</v>
      </c>
      <c r="Q318" t="s">
        <v>529</v>
      </c>
      <c r="R318" t="s">
        <v>201</v>
      </c>
      <c r="S318">
        <v>1</v>
      </c>
      <c r="T318">
        <v>1</v>
      </c>
      <c r="U318">
        <v>133368</v>
      </c>
      <c r="V318">
        <v>133368</v>
      </c>
    </row>
    <row r="319" spans="1:22">
      <c r="A319" t="s">
        <v>196</v>
      </c>
      <c r="B319">
        <v>15</v>
      </c>
      <c r="C319" t="s">
        <v>65</v>
      </c>
      <c r="D319">
        <v>100</v>
      </c>
      <c r="E319" t="s">
        <v>197</v>
      </c>
      <c r="F319">
        <v>1005</v>
      </c>
      <c r="G319" t="s">
        <v>65</v>
      </c>
      <c r="H319">
        <v>2005</v>
      </c>
      <c r="I319" t="s">
        <v>65</v>
      </c>
      <c r="J319">
        <v>3005</v>
      </c>
      <c r="K319" t="s">
        <v>65</v>
      </c>
      <c r="L319">
        <v>0</v>
      </c>
      <c r="N319" t="s">
        <v>199</v>
      </c>
      <c r="O319">
        <v>9</v>
      </c>
      <c r="P319" t="s">
        <v>530</v>
      </c>
      <c r="Q319" t="s">
        <v>531</v>
      </c>
      <c r="R319" t="s">
        <v>201</v>
      </c>
      <c r="S319">
        <v>1</v>
      </c>
      <c r="T319">
        <v>1</v>
      </c>
      <c r="U319">
        <v>155688</v>
      </c>
      <c r="V319">
        <v>155688</v>
      </c>
    </row>
    <row r="320" spans="1:22">
      <c r="A320" t="s">
        <v>196</v>
      </c>
      <c r="B320">
        <v>15</v>
      </c>
      <c r="C320" t="s">
        <v>65</v>
      </c>
      <c r="D320">
        <v>100</v>
      </c>
      <c r="E320" t="s">
        <v>197</v>
      </c>
      <c r="F320">
        <v>1005</v>
      </c>
      <c r="G320" t="s">
        <v>65</v>
      </c>
      <c r="H320">
        <v>2005</v>
      </c>
      <c r="I320" t="s">
        <v>65</v>
      </c>
      <c r="J320">
        <v>3005</v>
      </c>
      <c r="K320" t="s">
        <v>65</v>
      </c>
      <c r="L320">
        <v>0</v>
      </c>
      <c r="N320" t="s">
        <v>199</v>
      </c>
      <c r="O320">
        <v>9</v>
      </c>
      <c r="P320" t="s">
        <v>532</v>
      </c>
      <c r="Q320" t="s">
        <v>533</v>
      </c>
      <c r="R320" t="s">
        <v>201</v>
      </c>
      <c r="S320">
        <v>1</v>
      </c>
      <c r="T320">
        <v>1</v>
      </c>
      <c r="U320">
        <v>155688</v>
      </c>
      <c r="V320">
        <v>155688</v>
      </c>
    </row>
    <row r="321" spans="1:22">
      <c r="A321" t="s">
        <v>196</v>
      </c>
      <c r="B321">
        <v>15</v>
      </c>
      <c r="C321" t="s">
        <v>65</v>
      </c>
      <c r="D321">
        <v>100</v>
      </c>
      <c r="E321" t="s">
        <v>197</v>
      </c>
      <c r="F321">
        <v>1005</v>
      </c>
      <c r="G321" t="s">
        <v>65</v>
      </c>
      <c r="H321">
        <v>2005</v>
      </c>
      <c r="I321" t="s">
        <v>65</v>
      </c>
      <c r="J321">
        <v>3005</v>
      </c>
      <c r="K321" t="s">
        <v>65</v>
      </c>
      <c r="L321">
        <v>0</v>
      </c>
      <c r="N321" t="s">
        <v>199</v>
      </c>
      <c r="O321">
        <v>9</v>
      </c>
      <c r="P321" t="s">
        <v>534</v>
      </c>
      <c r="Q321" t="s">
        <v>535</v>
      </c>
      <c r="R321" t="s">
        <v>201</v>
      </c>
      <c r="S321">
        <v>1</v>
      </c>
      <c r="T321">
        <v>1</v>
      </c>
      <c r="U321">
        <v>155688</v>
      </c>
      <c r="V321">
        <v>155688</v>
      </c>
    </row>
    <row r="322" spans="1:22">
      <c r="A322" t="s">
        <v>196</v>
      </c>
      <c r="B322">
        <v>15</v>
      </c>
      <c r="C322" t="s">
        <v>65</v>
      </c>
      <c r="D322">
        <v>100</v>
      </c>
      <c r="E322" t="s">
        <v>197</v>
      </c>
      <c r="F322">
        <v>1005</v>
      </c>
      <c r="G322" t="s">
        <v>65</v>
      </c>
      <c r="H322">
        <v>2005</v>
      </c>
      <c r="I322" t="s">
        <v>65</v>
      </c>
      <c r="J322">
        <v>3005</v>
      </c>
      <c r="K322" t="s">
        <v>65</v>
      </c>
      <c r="L322">
        <v>0</v>
      </c>
      <c r="N322" t="s">
        <v>199</v>
      </c>
      <c r="O322">
        <v>9</v>
      </c>
      <c r="P322" t="s">
        <v>536</v>
      </c>
      <c r="Q322" t="s">
        <v>537</v>
      </c>
      <c r="R322" t="s">
        <v>201</v>
      </c>
      <c r="S322">
        <v>1</v>
      </c>
      <c r="T322">
        <v>1</v>
      </c>
      <c r="U322">
        <v>155688</v>
      </c>
      <c r="V322">
        <v>155688</v>
      </c>
    </row>
    <row r="323" spans="1:22">
      <c r="A323" t="s">
        <v>196</v>
      </c>
      <c r="B323">
        <v>15</v>
      </c>
      <c r="C323" t="s">
        <v>65</v>
      </c>
      <c r="D323">
        <v>100</v>
      </c>
      <c r="E323" t="s">
        <v>197</v>
      </c>
      <c r="F323">
        <v>1005</v>
      </c>
      <c r="G323" t="s">
        <v>65</v>
      </c>
      <c r="H323">
        <v>2005</v>
      </c>
      <c r="I323" t="s">
        <v>65</v>
      </c>
      <c r="J323">
        <v>3005</v>
      </c>
      <c r="K323" t="s">
        <v>65</v>
      </c>
      <c r="L323">
        <v>0</v>
      </c>
      <c r="N323" t="s">
        <v>199</v>
      </c>
      <c r="O323">
        <v>9</v>
      </c>
      <c r="P323" t="s">
        <v>538</v>
      </c>
      <c r="Q323" t="s">
        <v>539</v>
      </c>
      <c r="R323" t="s">
        <v>201</v>
      </c>
      <c r="S323">
        <v>1</v>
      </c>
      <c r="T323">
        <v>1</v>
      </c>
      <c r="U323">
        <v>155688</v>
      </c>
      <c r="V323">
        <v>155688</v>
      </c>
    </row>
    <row r="324" spans="1:22">
      <c r="A324" t="s">
        <v>196</v>
      </c>
      <c r="B324">
        <v>15</v>
      </c>
      <c r="C324" t="s">
        <v>65</v>
      </c>
      <c r="D324">
        <v>100</v>
      </c>
      <c r="E324" t="s">
        <v>197</v>
      </c>
      <c r="F324">
        <v>1005</v>
      </c>
      <c r="G324" t="s">
        <v>65</v>
      </c>
      <c r="H324">
        <v>2005</v>
      </c>
      <c r="I324" t="s">
        <v>65</v>
      </c>
      <c r="J324">
        <v>3005</v>
      </c>
      <c r="K324" t="s">
        <v>65</v>
      </c>
      <c r="L324">
        <v>0</v>
      </c>
      <c r="N324" t="s">
        <v>199</v>
      </c>
      <c r="O324">
        <v>9</v>
      </c>
      <c r="P324" t="s">
        <v>540</v>
      </c>
      <c r="Q324" t="s">
        <v>541</v>
      </c>
      <c r="R324" t="s">
        <v>201</v>
      </c>
      <c r="S324">
        <v>1</v>
      </c>
      <c r="T324">
        <v>1</v>
      </c>
      <c r="U324">
        <v>142776</v>
      </c>
      <c r="V324">
        <v>142776</v>
      </c>
    </row>
    <row r="325" spans="1:22">
      <c r="A325" t="s">
        <v>196</v>
      </c>
      <c r="B325">
        <v>15</v>
      </c>
      <c r="C325" t="s">
        <v>65</v>
      </c>
      <c r="D325">
        <v>100</v>
      </c>
      <c r="E325" t="s">
        <v>197</v>
      </c>
      <c r="F325">
        <v>1005</v>
      </c>
      <c r="G325" t="s">
        <v>65</v>
      </c>
      <c r="H325">
        <v>2005</v>
      </c>
      <c r="I325" t="s">
        <v>65</v>
      </c>
      <c r="J325">
        <v>3005</v>
      </c>
      <c r="K325" t="s">
        <v>65</v>
      </c>
      <c r="L325">
        <v>0</v>
      </c>
      <c r="N325" t="s">
        <v>199</v>
      </c>
      <c r="O325">
        <v>9</v>
      </c>
      <c r="P325" t="s">
        <v>542</v>
      </c>
      <c r="Q325" t="s">
        <v>543</v>
      </c>
      <c r="R325" t="s">
        <v>201</v>
      </c>
      <c r="S325">
        <v>1</v>
      </c>
      <c r="T325">
        <v>1</v>
      </c>
      <c r="U325">
        <v>155688</v>
      </c>
      <c r="V325">
        <v>155688</v>
      </c>
    </row>
    <row r="326" spans="1:22">
      <c r="A326" t="s">
        <v>196</v>
      </c>
      <c r="B326">
        <v>15</v>
      </c>
      <c r="C326" t="s">
        <v>65</v>
      </c>
      <c r="D326">
        <v>100</v>
      </c>
      <c r="E326" t="s">
        <v>197</v>
      </c>
      <c r="F326">
        <v>1005</v>
      </c>
      <c r="G326" t="s">
        <v>65</v>
      </c>
      <c r="H326">
        <v>2005</v>
      </c>
      <c r="I326" t="s">
        <v>65</v>
      </c>
      <c r="J326">
        <v>3005</v>
      </c>
      <c r="K326" t="s">
        <v>65</v>
      </c>
      <c r="L326">
        <v>0</v>
      </c>
      <c r="N326" t="s">
        <v>199</v>
      </c>
      <c r="O326">
        <v>9</v>
      </c>
      <c r="P326" t="s">
        <v>544</v>
      </c>
      <c r="Q326" t="s">
        <v>545</v>
      </c>
      <c r="R326" t="s">
        <v>201</v>
      </c>
      <c r="S326">
        <v>1</v>
      </c>
      <c r="T326">
        <v>1</v>
      </c>
      <c r="U326">
        <v>134676</v>
      </c>
      <c r="V326">
        <v>134676</v>
      </c>
    </row>
    <row r="327" spans="1:22">
      <c r="A327" t="s">
        <v>196</v>
      </c>
      <c r="B327">
        <v>15</v>
      </c>
      <c r="C327" t="s">
        <v>65</v>
      </c>
      <c r="D327">
        <v>100</v>
      </c>
      <c r="E327" t="s">
        <v>197</v>
      </c>
      <c r="F327">
        <v>1005</v>
      </c>
      <c r="G327" t="s">
        <v>65</v>
      </c>
      <c r="H327">
        <v>2005</v>
      </c>
      <c r="I327" t="s">
        <v>65</v>
      </c>
      <c r="J327">
        <v>3005</v>
      </c>
      <c r="K327" t="s">
        <v>65</v>
      </c>
      <c r="L327">
        <v>0</v>
      </c>
      <c r="N327" t="s">
        <v>199</v>
      </c>
      <c r="O327">
        <v>9</v>
      </c>
      <c r="P327" t="s">
        <v>546</v>
      </c>
      <c r="Q327" t="s">
        <v>547</v>
      </c>
      <c r="R327" t="s">
        <v>201</v>
      </c>
      <c r="S327">
        <v>1</v>
      </c>
      <c r="T327">
        <v>1</v>
      </c>
      <c r="U327">
        <v>155688</v>
      </c>
      <c r="V327">
        <v>155688</v>
      </c>
    </row>
    <row r="328" spans="1:22">
      <c r="A328" t="s">
        <v>196</v>
      </c>
      <c r="B328">
        <v>15</v>
      </c>
      <c r="C328" t="s">
        <v>65</v>
      </c>
      <c r="D328">
        <v>100</v>
      </c>
      <c r="E328" t="s">
        <v>197</v>
      </c>
      <c r="F328">
        <v>1005</v>
      </c>
      <c r="G328" t="s">
        <v>65</v>
      </c>
      <c r="H328">
        <v>2005</v>
      </c>
      <c r="I328" t="s">
        <v>65</v>
      </c>
      <c r="J328">
        <v>3005</v>
      </c>
      <c r="K328" t="s">
        <v>65</v>
      </c>
      <c r="L328">
        <v>0</v>
      </c>
      <c r="N328" t="s">
        <v>199</v>
      </c>
      <c r="O328">
        <v>9</v>
      </c>
      <c r="P328" t="s">
        <v>548</v>
      </c>
      <c r="Q328" t="s">
        <v>549</v>
      </c>
      <c r="R328" t="s">
        <v>201</v>
      </c>
      <c r="S328">
        <v>1</v>
      </c>
      <c r="T328">
        <v>1</v>
      </c>
      <c r="U328">
        <v>155688</v>
      </c>
      <c r="V328">
        <v>155688</v>
      </c>
    </row>
    <row r="329" spans="1:22">
      <c r="A329" t="s">
        <v>196</v>
      </c>
      <c r="B329">
        <v>15</v>
      </c>
      <c r="C329" t="s">
        <v>65</v>
      </c>
      <c r="D329">
        <v>100</v>
      </c>
      <c r="E329" t="s">
        <v>197</v>
      </c>
      <c r="F329">
        <v>1005</v>
      </c>
      <c r="G329" t="s">
        <v>65</v>
      </c>
      <c r="H329">
        <v>2005</v>
      </c>
      <c r="I329" t="s">
        <v>65</v>
      </c>
      <c r="J329">
        <v>3005</v>
      </c>
      <c r="K329" t="s">
        <v>65</v>
      </c>
      <c r="L329">
        <v>0</v>
      </c>
      <c r="N329" t="s">
        <v>199</v>
      </c>
      <c r="O329">
        <v>9</v>
      </c>
      <c r="P329" t="s">
        <v>550</v>
      </c>
      <c r="Q329" t="s">
        <v>551</v>
      </c>
      <c r="R329" t="s">
        <v>201</v>
      </c>
      <c r="S329">
        <v>1</v>
      </c>
      <c r="T329">
        <v>1</v>
      </c>
      <c r="U329">
        <v>155688</v>
      </c>
      <c r="V329">
        <v>155688</v>
      </c>
    </row>
    <row r="330" spans="1:22">
      <c r="A330" t="s">
        <v>196</v>
      </c>
      <c r="B330">
        <v>15</v>
      </c>
      <c r="C330" t="s">
        <v>65</v>
      </c>
      <c r="D330">
        <v>100</v>
      </c>
      <c r="E330" t="s">
        <v>197</v>
      </c>
      <c r="F330">
        <v>1005</v>
      </c>
      <c r="G330" t="s">
        <v>65</v>
      </c>
      <c r="H330">
        <v>2005</v>
      </c>
      <c r="I330" t="s">
        <v>65</v>
      </c>
      <c r="J330">
        <v>3005</v>
      </c>
      <c r="K330" t="s">
        <v>65</v>
      </c>
      <c r="L330">
        <v>0</v>
      </c>
      <c r="N330" t="s">
        <v>199</v>
      </c>
      <c r="O330">
        <v>9</v>
      </c>
      <c r="P330" t="s">
        <v>552</v>
      </c>
      <c r="Q330" t="s">
        <v>553</v>
      </c>
      <c r="R330" t="s">
        <v>201</v>
      </c>
      <c r="S330">
        <v>1</v>
      </c>
      <c r="T330">
        <v>1</v>
      </c>
      <c r="U330">
        <v>130836</v>
      </c>
      <c r="V330">
        <v>130836</v>
      </c>
    </row>
    <row r="331" spans="1:22">
      <c r="A331" t="s">
        <v>196</v>
      </c>
      <c r="B331">
        <v>15</v>
      </c>
      <c r="C331" t="s">
        <v>65</v>
      </c>
      <c r="D331">
        <v>100</v>
      </c>
      <c r="E331" t="s">
        <v>197</v>
      </c>
      <c r="F331">
        <v>1005</v>
      </c>
      <c r="G331" t="s">
        <v>65</v>
      </c>
      <c r="H331">
        <v>2005</v>
      </c>
      <c r="I331" t="s">
        <v>65</v>
      </c>
      <c r="J331">
        <v>3005</v>
      </c>
      <c r="K331" t="s">
        <v>65</v>
      </c>
      <c r="L331">
        <v>0</v>
      </c>
      <c r="N331" t="s">
        <v>199</v>
      </c>
      <c r="O331">
        <v>9</v>
      </c>
      <c r="P331" t="s">
        <v>554</v>
      </c>
      <c r="Q331" t="s">
        <v>555</v>
      </c>
      <c r="R331" t="s">
        <v>201</v>
      </c>
      <c r="S331">
        <v>1</v>
      </c>
      <c r="T331">
        <v>1</v>
      </c>
      <c r="U331">
        <v>155688</v>
      </c>
      <c r="V331">
        <v>155688</v>
      </c>
    </row>
    <row r="332" spans="1:22">
      <c r="A332" t="s">
        <v>196</v>
      </c>
      <c r="B332">
        <v>15</v>
      </c>
      <c r="C332" t="s">
        <v>65</v>
      </c>
      <c r="D332">
        <v>100</v>
      </c>
      <c r="E332" t="s">
        <v>197</v>
      </c>
      <c r="F332">
        <v>1005</v>
      </c>
      <c r="G332" t="s">
        <v>65</v>
      </c>
      <c r="H332">
        <v>2005</v>
      </c>
      <c r="I332" t="s">
        <v>65</v>
      </c>
      <c r="J332">
        <v>3005</v>
      </c>
      <c r="K332" t="s">
        <v>65</v>
      </c>
      <c r="L332">
        <v>0</v>
      </c>
      <c r="N332" t="s">
        <v>199</v>
      </c>
      <c r="O332">
        <v>9</v>
      </c>
      <c r="P332" t="s">
        <v>556</v>
      </c>
      <c r="Q332" t="s">
        <v>557</v>
      </c>
      <c r="R332" t="s">
        <v>201</v>
      </c>
      <c r="S332">
        <v>1</v>
      </c>
      <c r="T332">
        <v>1</v>
      </c>
      <c r="U332">
        <v>155688</v>
      </c>
      <c r="V332">
        <v>155688</v>
      </c>
    </row>
    <row r="333" spans="1:22">
      <c r="A333" t="s">
        <v>196</v>
      </c>
      <c r="B333">
        <v>15</v>
      </c>
      <c r="C333" t="s">
        <v>65</v>
      </c>
      <c r="D333">
        <v>100</v>
      </c>
      <c r="E333" t="s">
        <v>197</v>
      </c>
      <c r="F333">
        <v>1005</v>
      </c>
      <c r="G333" t="s">
        <v>65</v>
      </c>
      <c r="H333">
        <v>2005</v>
      </c>
      <c r="I333" t="s">
        <v>65</v>
      </c>
      <c r="J333">
        <v>3005</v>
      </c>
      <c r="K333" t="s">
        <v>65</v>
      </c>
      <c r="L333">
        <v>0</v>
      </c>
      <c r="N333" t="s">
        <v>199</v>
      </c>
      <c r="O333">
        <v>9</v>
      </c>
      <c r="P333" t="s">
        <v>558</v>
      </c>
      <c r="Q333" t="s">
        <v>559</v>
      </c>
      <c r="R333" t="s">
        <v>201</v>
      </c>
      <c r="S333">
        <v>1</v>
      </c>
      <c r="T333">
        <v>1</v>
      </c>
      <c r="U333">
        <v>155688</v>
      </c>
      <c r="V333">
        <v>155688</v>
      </c>
    </row>
    <row r="334" spans="1:22">
      <c r="A334" t="s">
        <v>196</v>
      </c>
      <c r="B334">
        <v>15</v>
      </c>
      <c r="C334" t="s">
        <v>65</v>
      </c>
      <c r="D334">
        <v>100</v>
      </c>
      <c r="E334" t="s">
        <v>197</v>
      </c>
      <c r="F334">
        <v>1005</v>
      </c>
      <c r="G334" t="s">
        <v>65</v>
      </c>
      <c r="H334">
        <v>2005</v>
      </c>
      <c r="I334" t="s">
        <v>65</v>
      </c>
      <c r="J334">
        <v>3005</v>
      </c>
      <c r="K334" t="s">
        <v>65</v>
      </c>
      <c r="L334">
        <v>0</v>
      </c>
      <c r="N334" t="s">
        <v>199</v>
      </c>
      <c r="O334">
        <v>9</v>
      </c>
      <c r="P334" t="s">
        <v>560</v>
      </c>
      <c r="Q334" t="s">
        <v>561</v>
      </c>
      <c r="R334" t="s">
        <v>201</v>
      </c>
      <c r="S334">
        <v>1</v>
      </c>
      <c r="T334">
        <v>1</v>
      </c>
      <c r="U334">
        <v>133368</v>
      </c>
      <c r="V334">
        <v>133368</v>
      </c>
    </row>
    <row r="335" spans="1:22">
      <c r="A335" t="s">
        <v>196</v>
      </c>
      <c r="B335">
        <v>15</v>
      </c>
      <c r="C335" t="s">
        <v>65</v>
      </c>
      <c r="D335">
        <v>100</v>
      </c>
      <c r="E335" t="s">
        <v>197</v>
      </c>
      <c r="F335">
        <v>1005</v>
      </c>
      <c r="G335" t="s">
        <v>65</v>
      </c>
      <c r="H335">
        <v>2005</v>
      </c>
      <c r="I335" t="s">
        <v>65</v>
      </c>
      <c r="J335">
        <v>3005</v>
      </c>
      <c r="K335" t="s">
        <v>65</v>
      </c>
      <c r="L335">
        <v>0</v>
      </c>
      <c r="N335" t="s">
        <v>199</v>
      </c>
      <c r="O335">
        <v>9</v>
      </c>
      <c r="P335" t="s">
        <v>562</v>
      </c>
      <c r="Q335" t="s">
        <v>563</v>
      </c>
      <c r="R335" t="s">
        <v>201</v>
      </c>
      <c r="S335">
        <v>1</v>
      </c>
      <c r="T335">
        <v>1</v>
      </c>
      <c r="U335">
        <v>155688</v>
      </c>
      <c r="V335">
        <v>155688</v>
      </c>
    </row>
    <row r="336" spans="1:22">
      <c r="A336" t="s">
        <v>196</v>
      </c>
      <c r="B336">
        <v>15</v>
      </c>
      <c r="C336" t="s">
        <v>65</v>
      </c>
      <c r="D336">
        <v>100</v>
      </c>
      <c r="E336" t="s">
        <v>197</v>
      </c>
      <c r="F336">
        <v>1005</v>
      </c>
      <c r="G336" t="s">
        <v>65</v>
      </c>
      <c r="H336">
        <v>2005</v>
      </c>
      <c r="I336" t="s">
        <v>65</v>
      </c>
      <c r="J336">
        <v>3005</v>
      </c>
      <c r="K336" t="s">
        <v>65</v>
      </c>
      <c r="L336">
        <v>0</v>
      </c>
      <c r="N336" t="s">
        <v>199</v>
      </c>
      <c r="O336">
        <v>9</v>
      </c>
      <c r="P336" t="s">
        <v>564</v>
      </c>
      <c r="Q336" t="s">
        <v>565</v>
      </c>
      <c r="R336" t="s">
        <v>201</v>
      </c>
      <c r="S336">
        <v>1</v>
      </c>
      <c r="T336">
        <v>1</v>
      </c>
      <c r="U336">
        <v>126252</v>
      </c>
      <c r="V336">
        <v>126252</v>
      </c>
    </row>
    <row r="337" spans="1:22">
      <c r="A337" t="s">
        <v>196</v>
      </c>
      <c r="B337">
        <v>15</v>
      </c>
      <c r="C337" t="s">
        <v>65</v>
      </c>
      <c r="D337">
        <v>100</v>
      </c>
      <c r="E337" t="s">
        <v>197</v>
      </c>
      <c r="F337">
        <v>1005</v>
      </c>
      <c r="G337" t="s">
        <v>65</v>
      </c>
      <c r="H337">
        <v>2005</v>
      </c>
      <c r="I337" t="s">
        <v>65</v>
      </c>
      <c r="J337">
        <v>3005</v>
      </c>
      <c r="K337" t="s">
        <v>65</v>
      </c>
      <c r="L337">
        <v>0</v>
      </c>
      <c r="N337" t="s">
        <v>199</v>
      </c>
      <c r="O337">
        <v>9</v>
      </c>
      <c r="P337" t="s">
        <v>566</v>
      </c>
      <c r="Q337" t="s">
        <v>567</v>
      </c>
      <c r="R337" t="s">
        <v>201</v>
      </c>
      <c r="S337">
        <v>1</v>
      </c>
      <c r="T337">
        <v>1</v>
      </c>
      <c r="U337">
        <v>155688</v>
      </c>
      <c r="V337">
        <v>155688</v>
      </c>
    </row>
    <row r="338" spans="1:22">
      <c r="A338" t="s">
        <v>196</v>
      </c>
      <c r="B338">
        <v>15</v>
      </c>
      <c r="C338" t="s">
        <v>65</v>
      </c>
      <c r="D338">
        <v>100</v>
      </c>
      <c r="E338" t="s">
        <v>197</v>
      </c>
      <c r="F338">
        <v>1005</v>
      </c>
      <c r="G338" t="s">
        <v>65</v>
      </c>
      <c r="H338">
        <v>2005</v>
      </c>
      <c r="I338" t="s">
        <v>65</v>
      </c>
      <c r="J338">
        <v>3005</v>
      </c>
      <c r="K338" t="s">
        <v>65</v>
      </c>
      <c r="L338">
        <v>0</v>
      </c>
      <c r="N338" t="s">
        <v>199</v>
      </c>
      <c r="O338">
        <v>9</v>
      </c>
      <c r="P338" t="s">
        <v>568</v>
      </c>
      <c r="Q338" t="s">
        <v>569</v>
      </c>
      <c r="R338" t="s">
        <v>201</v>
      </c>
      <c r="S338">
        <v>1</v>
      </c>
      <c r="T338">
        <v>1</v>
      </c>
      <c r="U338">
        <v>142020</v>
      </c>
      <c r="V338">
        <v>142020</v>
      </c>
    </row>
    <row r="339" spans="1:22">
      <c r="A339" t="s">
        <v>196</v>
      </c>
      <c r="B339">
        <v>15</v>
      </c>
      <c r="C339" t="s">
        <v>65</v>
      </c>
      <c r="D339">
        <v>100</v>
      </c>
      <c r="E339" t="s">
        <v>197</v>
      </c>
      <c r="F339">
        <v>1005</v>
      </c>
      <c r="G339" t="s">
        <v>65</v>
      </c>
      <c r="H339">
        <v>2005</v>
      </c>
      <c r="I339" t="s">
        <v>65</v>
      </c>
      <c r="J339">
        <v>3005</v>
      </c>
      <c r="K339" t="s">
        <v>65</v>
      </c>
      <c r="L339">
        <v>0</v>
      </c>
      <c r="N339" t="s">
        <v>199</v>
      </c>
      <c r="O339">
        <v>9</v>
      </c>
      <c r="P339" t="s">
        <v>570</v>
      </c>
      <c r="Q339" t="s">
        <v>571</v>
      </c>
      <c r="R339" t="s">
        <v>201</v>
      </c>
      <c r="S339">
        <v>1</v>
      </c>
      <c r="T339">
        <v>1</v>
      </c>
      <c r="U339">
        <v>155688</v>
      </c>
      <c r="V339">
        <v>155688</v>
      </c>
    </row>
    <row r="340" spans="1:22">
      <c r="A340" t="s">
        <v>196</v>
      </c>
      <c r="B340">
        <v>15</v>
      </c>
      <c r="C340" t="s">
        <v>65</v>
      </c>
      <c r="D340">
        <v>100</v>
      </c>
      <c r="E340" t="s">
        <v>197</v>
      </c>
      <c r="F340">
        <v>1005</v>
      </c>
      <c r="G340" t="s">
        <v>65</v>
      </c>
      <c r="H340">
        <v>2005</v>
      </c>
      <c r="I340" t="s">
        <v>65</v>
      </c>
      <c r="J340">
        <v>3005</v>
      </c>
      <c r="K340" t="s">
        <v>65</v>
      </c>
      <c r="L340">
        <v>0</v>
      </c>
      <c r="N340" t="s">
        <v>199</v>
      </c>
      <c r="O340">
        <v>9</v>
      </c>
      <c r="P340" t="s">
        <v>572</v>
      </c>
      <c r="Q340" t="s">
        <v>573</v>
      </c>
      <c r="R340" t="s">
        <v>201</v>
      </c>
      <c r="S340">
        <v>1</v>
      </c>
      <c r="T340">
        <v>1</v>
      </c>
      <c r="U340">
        <v>155688</v>
      </c>
      <c r="V340">
        <v>155688</v>
      </c>
    </row>
    <row r="341" spans="1:22">
      <c r="A341" t="s">
        <v>196</v>
      </c>
      <c r="B341">
        <v>15</v>
      </c>
      <c r="C341" t="s">
        <v>65</v>
      </c>
      <c r="D341">
        <v>100</v>
      </c>
      <c r="E341" t="s">
        <v>197</v>
      </c>
      <c r="F341">
        <v>1005</v>
      </c>
      <c r="G341" t="s">
        <v>65</v>
      </c>
      <c r="H341">
        <v>2005</v>
      </c>
      <c r="I341" t="s">
        <v>65</v>
      </c>
      <c r="J341">
        <v>3005</v>
      </c>
      <c r="K341" t="s">
        <v>65</v>
      </c>
      <c r="L341">
        <v>0</v>
      </c>
      <c r="N341" t="s">
        <v>199</v>
      </c>
      <c r="O341">
        <v>9</v>
      </c>
      <c r="P341" t="s">
        <v>574</v>
      </c>
      <c r="Q341" t="s">
        <v>575</v>
      </c>
      <c r="R341" t="s">
        <v>201</v>
      </c>
      <c r="S341">
        <v>1</v>
      </c>
      <c r="T341">
        <v>1</v>
      </c>
      <c r="U341">
        <v>154716</v>
      </c>
      <c r="V341">
        <v>154716</v>
      </c>
    </row>
    <row r="342" spans="1:22">
      <c r="A342" t="s">
        <v>196</v>
      </c>
      <c r="B342">
        <v>15</v>
      </c>
      <c r="C342" t="s">
        <v>65</v>
      </c>
      <c r="D342">
        <v>100</v>
      </c>
      <c r="E342" t="s">
        <v>197</v>
      </c>
      <c r="F342">
        <v>1005</v>
      </c>
      <c r="G342" t="s">
        <v>65</v>
      </c>
      <c r="H342">
        <v>2005</v>
      </c>
      <c r="I342" t="s">
        <v>65</v>
      </c>
      <c r="J342">
        <v>3005</v>
      </c>
      <c r="K342" t="s">
        <v>65</v>
      </c>
      <c r="L342">
        <v>0</v>
      </c>
      <c r="N342" t="s">
        <v>199</v>
      </c>
      <c r="O342">
        <v>9</v>
      </c>
      <c r="P342" t="s">
        <v>576</v>
      </c>
      <c r="Q342" t="s">
        <v>577</v>
      </c>
      <c r="R342" t="s">
        <v>201</v>
      </c>
      <c r="S342">
        <v>1</v>
      </c>
      <c r="T342">
        <v>1</v>
      </c>
      <c r="U342">
        <v>155688</v>
      </c>
      <c r="V342">
        <v>155688</v>
      </c>
    </row>
    <row r="343" spans="1:22">
      <c r="A343" t="s">
        <v>196</v>
      </c>
      <c r="B343">
        <v>15</v>
      </c>
      <c r="C343" t="s">
        <v>65</v>
      </c>
      <c r="D343">
        <v>100</v>
      </c>
      <c r="E343" t="s">
        <v>197</v>
      </c>
      <c r="F343">
        <v>1005</v>
      </c>
      <c r="G343" t="s">
        <v>65</v>
      </c>
      <c r="H343">
        <v>2005</v>
      </c>
      <c r="I343" t="s">
        <v>65</v>
      </c>
      <c r="J343">
        <v>3005</v>
      </c>
      <c r="K343" t="s">
        <v>65</v>
      </c>
      <c r="L343">
        <v>0</v>
      </c>
      <c r="N343" t="s">
        <v>199</v>
      </c>
      <c r="O343">
        <v>9</v>
      </c>
      <c r="P343" t="s">
        <v>578</v>
      </c>
      <c r="Q343" t="s">
        <v>579</v>
      </c>
      <c r="R343" t="s">
        <v>201</v>
      </c>
      <c r="S343">
        <v>1</v>
      </c>
      <c r="T343">
        <v>1</v>
      </c>
      <c r="U343">
        <v>155688</v>
      </c>
      <c r="V343">
        <v>155688</v>
      </c>
    </row>
    <row r="344" spans="1:22">
      <c r="A344" t="s">
        <v>196</v>
      </c>
      <c r="B344">
        <v>15</v>
      </c>
      <c r="C344" t="s">
        <v>65</v>
      </c>
      <c r="D344">
        <v>100</v>
      </c>
      <c r="E344" t="s">
        <v>197</v>
      </c>
      <c r="F344">
        <v>1005</v>
      </c>
      <c r="G344" t="s">
        <v>65</v>
      </c>
      <c r="H344">
        <v>2005</v>
      </c>
      <c r="I344" t="s">
        <v>65</v>
      </c>
      <c r="J344">
        <v>3005</v>
      </c>
      <c r="K344" t="s">
        <v>65</v>
      </c>
      <c r="L344">
        <v>0</v>
      </c>
      <c r="N344" t="s">
        <v>199</v>
      </c>
      <c r="O344">
        <v>9</v>
      </c>
      <c r="P344" t="s">
        <v>580</v>
      </c>
      <c r="Q344" t="s">
        <v>581</v>
      </c>
      <c r="R344" t="s">
        <v>201</v>
      </c>
      <c r="S344">
        <v>1</v>
      </c>
      <c r="T344">
        <v>1</v>
      </c>
      <c r="U344">
        <v>155688</v>
      </c>
      <c r="V344">
        <v>155688</v>
      </c>
    </row>
    <row r="345" spans="1:22">
      <c r="A345" t="s">
        <v>196</v>
      </c>
      <c r="B345">
        <v>15</v>
      </c>
      <c r="C345" t="s">
        <v>65</v>
      </c>
      <c r="D345">
        <v>100</v>
      </c>
      <c r="E345" t="s">
        <v>197</v>
      </c>
      <c r="F345">
        <v>1005</v>
      </c>
      <c r="G345" t="s">
        <v>65</v>
      </c>
      <c r="H345">
        <v>2005</v>
      </c>
      <c r="I345" t="s">
        <v>65</v>
      </c>
      <c r="J345">
        <v>3005</v>
      </c>
      <c r="K345" t="s">
        <v>65</v>
      </c>
      <c r="L345">
        <v>0</v>
      </c>
      <c r="N345" t="s">
        <v>199</v>
      </c>
      <c r="O345">
        <v>9</v>
      </c>
      <c r="P345" t="s">
        <v>582</v>
      </c>
      <c r="Q345" t="s">
        <v>583</v>
      </c>
      <c r="R345" t="s">
        <v>201</v>
      </c>
      <c r="S345">
        <v>1</v>
      </c>
      <c r="T345">
        <v>1</v>
      </c>
      <c r="U345">
        <v>155688</v>
      </c>
      <c r="V345">
        <v>155688</v>
      </c>
    </row>
    <row r="346" spans="1:22">
      <c r="A346" t="s">
        <v>196</v>
      </c>
      <c r="B346">
        <v>15</v>
      </c>
      <c r="C346" t="s">
        <v>65</v>
      </c>
      <c r="D346">
        <v>100</v>
      </c>
      <c r="E346" t="s">
        <v>197</v>
      </c>
      <c r="F346">
        <v>1005</v>
      </c>
      <c r="G346" t="s">
        <v>65</v>
      </c>
      <c r="H346">
        <v>2005</v>
      </c>
      <c r="I346" t="s">
        <v>65</v>
      </c>
      <c r="J346">
        <v>3005</v>
      </c>
      <c r="K346" t="s">
        <v>65</v>
      </c>
      <c r="L346">
        <v>0</v>
      </c>
      <c r="N346" t="s">
        <v>199</v>
      </c>
      <c r="O346">
        <v>9</v>
      </c>
      <c r="P346" t="s">
        <v>584</v>
      </c>
      <c r="Q346" t="s">
        <v>585</v>
      </c>
      <c r="R346" t="s">
        <v>201</v>
      </c>
      <c r="S346">
        <v>1</v>
      </c>
      <c r="T346">
        <v>1</v>
      </c>
      <c r="U346">
        <v>154716</v>
      </c>
      <c r="V346">
        <v>154716</v>
      </c>
    </row>
    <row r="347" spans="1:22">
      <c r="A347" t="s">
        <v>196</v>
      </c>
      <c r="B347">
        <v>15</v>
      </c>
      <c r="C347" t="s">
        <v>65</v>
      </c>
      <c r="D347">
        <v>100</v>
      </c>
      <c r="E347" t="s">
        <v>197</v>
      </c>
      <c r="F347">
        <v>1005</v>
      </c>
      <c r="G347" t="s">
        <v>65</v>
      </c>
      <c r="H347">
        <v>2005</v>
      </c>
      <c r="I347" t="s">
        <v>65</v>
      </c>
      <c r="J347">
        <v>3005</v>
      </c>
      <c r="K347" t="s">
        <v>65</v>
      </c>
      <c r="L347">
        <v>0</v>
      </c>
      <c r="N347" t="s">
        <v>199</v>
      </c>
      <c r="O347">
        <v>9</v>
      </c>
      <c r="P347" t="s">
        <v>586</v>
      </c>
      <c r="Q347" t="s">
        <v>587</v>
      </c>
      <c r="R347" t="s">
        <v>201</v>
      </c>
      <c r="S347">
        <v>1</v>
      </c>
      <c r="T347">
        <v>1</v>
      </c>
      <c r="U347">
        <v>142020</v>
      </c>
      <c r="V347">
        <v>142020</v>
      </c>
    </row>
    <row r="348" spans="1:22">
      <c r="A348" t="s">
        <v>196</v>
      </c>
      <c r="B348">
        <v>15</v>
      </c>
      <c r="C348" t="s">
        <v>65</v>
      </c>
      <c r="D348">
        <v>100</v>
      </c>
      <c r="E348" t="s">
        <v>197</v>
      </c>
      <c r="F348">
        <v>1005</v>
      </c>
      <c r="G348" t="s">
        <v>65</v>
      </c>
      <c r="H348">
        <v>2005</v>
      </c>
      <c r="I348" t="s">
        <v>65</v>
      </c>
      <c r="J348">
        <v>3005</v>
      </c>
      <c r="K348" t="s">
        <v>65</v>
      </c>
      <c r="L348">
        <v>0</v>
      </c>
      <c r="N348" t="s">
        <v>199</v>
      </c>
      <c r="O348">
        <v>9</v>
      </c>
      <c r="P348" t="s">
        <v>588</v>
      </c>
      <c r="Q348" t="s">
        <v>589</v>
      </c>
      <c r="R348" t="s">
        <v>201</v>
      </c>
      <c r="S348">
        <v>1</v>
      </c>
      <c r="T348">
        <v>1</v>
      </c>
      <c r="U348">
        <v>142020</v>
      </c>
      <c r="V348">
        <v>142020</v>
      </c>
    </row>
    <row r="349" spans="1:22">
      <c r="A349" t="s">
        <v>196</v>
      </c>
      <c r="B349">
        <v>15</v>
      </c>
      <c r="C349" t="s">
        <v>65</v>
      </c>
      <c r="D349">
        <v>100</v>
      </c>
      <c r="E349" t="s">
        <v>197</v>
      </c>
      <c r="F349">
        <v>1005</v>
      </c>
      <c r="G349" t="s">
        <v>65</v>
      </c>
      <c r="H349">
        <v>2005</v>
      </c>
      <c r="I349" t="s">
        <v>65</v>
      </c>
      <c r="J349">
        <v>3005</v>
      </c>
      <c r="K349" t="s">
        <v>65</v>
      </c>
      <c r="L349">
        <v>0</v>
      </c>
      <c r="N349" t="s">
        <v>199</v>
      </c>
      <c r="O349">
        <v>0</v>
      </c>
      <c r="P349">
        <v>9699</v>
      </c>
      <c r="Q349" t="s">
        <v>590</v>
      </c>
      <c r="R349" t="s">
        <v>201</v>
      </c>
      <c r="S349">
        <v>1</v>
      </c>
      <c r="T349">
        <v>1</v>
      </c>
      <c r="U349">
        <v>52728</v>
      </c>
      <c r="V349">
        <v>52728</v>
      </c>
    </row>
    <row r="350" spans="1:22">
      <c r="A350" t="s">
        <v>196</v>
      </c>
      <c r="B350">
        <v>15</v>
      </c>
      <c r="C350" t="s">
        <v>65</v>
      </c>
      <c r="D350">
        <v>100</v>
      </c>
      <c r="E350" t="s">
        <v>197</v>
      </c>
      <c r="F350">
        <v>1005</v>
      </c>
      <c r="G350" t="s">
        <v>65</v>
      </c>
      <c r="H350">
        <v>2005</v>
      </c>
      <c r="I350" t="s">
        <v>65</v>
      </c>
      <c r="J350">
        <v>3005</v>
      </c>
      <c r="K350" t="s">
        <v>65</v>
      </c>
      <c r="L350">
        <v>0</v>
      </c>
      <c r="N350" t="s">
        <v>199</v>
      </c>
      <c r="O350">
        <v>0</v>
      </c>
      <c r="P350">
        <v>9699</v>
      </c>
      <c r="Q350" t="s">
        <v>590</v>
      </c>
      <c r="R350" t="s">
        <v>201</v>
      </c>
      <c r="S350">
        <v>1</v>
      </c>
      <c r="T350">
        <v>1</v>
      </c>
      <c r="U350">
        <v>52716</v>
      </c>
      <c r="V350">
        <v>52716</v>
      </c>
    </row>
    <row r="351" spans="1:22">
      <c r="A351" t="s">
        <v>196</v>
      </c>
      <c r="B351">
        <v>15</v>
      </c>
      <c r="C351" t="s">
        <v>65</v>
      </c>
      <c r="D351">
        <v>100</v>
      </c>
      <c r="E351" t="s">
        <v>197</v>
      </c>
      <c r="F351">
        <v>1005</v>
      </c>
      <c r="G351" t="s">
        <v>65</v>
      </c>
      <c r="H351">
        <v>2005</v>
      </c>
      <c r="I351" t="s">
        <v>65</v>
      </c>
      <c r="J351">
        <v>3005</v>
      </c>
      <c r="K351" t="s">
        <v>65</v>
      </c>
      <c r="L351">
        <v>0</v>
      </c>
      <c r="N351" t="s">
        <v>199</v>
      </c>
      <c r="O351">
        <v>9</v>
      </c>
      <c r="P351">
        <v>9645</v>
      </c>
      <c r="Q351" t="s">
        <v>591</v>
      </c>
      <c r="R351" t="s">
        <v>201</v>
      </c>
      <c r="S351">
        <v>50</v>
      </c>
      <c r="T351">
        <v>1</v>
      </c>
      <c r="U351">
        <v>0</v>
      </c>
      <c r="V351">
        <v>0</v>
      </c>
    </row>
    <row r="352" spans="1:22">
      <c r="A352" t="s">
        <v>196</v>
      </c>
      <c r="B352">
        <v>15</v>
      </c>
      <c r="C352" t="s">
        <v>65</v>
      </c>
      <c r="D352">
        <v>100</v>
      </c>
      <c r="E352" t="s">
        <v>197</v>
      </c>
      <c r="F352">
        <v>1005</v>
      </c>
      <c r="G352" t="s">
        <v>65</v>
      </c>
      <c r="H352">
        <v>2005</v>
      </c>
      <c r="I352" t="s">
        <v>65</v>
      </c>
      <c r="J352">
        <v>3005</v>
      </c>
      <c r="K352" t="s">
        <v>65</v>
      </c>
      <c r="L352">
        <v>0</v>
      </c>
      <c r="N352" t="s">
        <v>199</v>
      </c>
      <c r="O352">
        <v>9</v>
      </c>
      <c r="P352">
        <v>9625</v>
      </c>
      <c r="Q352" t="s">
        <v>592</v>
      </c>
      <c r="R352" t="s">
        <v>201</v>
      </c>
      <c r="S352">
        <v>150</v>
      </c>
      <c r="T352">
        <v>1</v>
      </c>
      <c r="U352">
        <v>0</v>
      </c>
      <c r="V352">
        <v>0</v>
      </c>
    </row>
    <row r="353" spans="1:22">
      <c r="A353" t="s">
        <v>196</v>
      </c>
      <c r="B353">
        <v>15</v>
      </c>
      <c r="C353" t="s">
        <v>65</v>
      </c>
      <c r="D353">
        <v>100</v>
      </c>
      <c r="E353" t="s">
        <v>197</v>
      </c>
      <c r="F353">
        <v>1005</v>
      </c>
      <c r="G353" t="s">
        <v>65</v>
      </c>
      <c r="H353">
        <v>2005</v>
      </c>
      <c r="I353" t="s">
        <v>65</v>
      </c>
      <c r="J353">
        <v>3005</v>
      </c>
      <c r="K353" t="s">
        <v>65</v>
      </c>
      <c r="L353">
        <v>0</v>
      </c>
      <c r="N353" t="s">
        <v>199</v>
      </c>
      <c r="O353">
        <v>9</v>
      </c>
      <c r="P353">
        <v>9619</v>
      </c>
      <c r="Q353" t="s">
        <v>593</v>
      </c>
      <c r="R353" t="s">
        <v>201</v>
      </c>
      <c r="S353">
        <v>1</v>
      </c>
      <c r="T353">
        <v>1</v>
      </c>
      <c r="U353">
        <v>124092</v>
      </c>
      <c r="V353">
        <v>124092</v>
      </c>
    </row>
    <row r="354" spans="1:22">
      <c r="A354" t="s">
        <v>196</v>
      </c>
      <c r="B354">
        <v>15</v>
      </c>
      <c r="C354" t="s">
        <v>65</v>
      </c>
      <c r="D354">
        <v>100</v>
      </c>
      <c r="E354" t="s">
        <v>197</v>
      </c>
      <c r="F354">
        <v>1005</v>
      </c>
      <c r="G354" t="s">
        <v>65</v>
      </c>
      <c r="H354">
        <v>2005</v>
      </c>
      <c r="I354" t="s">
        <v>65</v>
      </c>
      <c r="J354">
        <v>3005</v>
      </c>
      <c r="K354" t="s">
        <v>65</v>
      </c>
      <c r="L354">
        <v>0</v>
      </c>
      <c r="N354" t="s">
        <v>199</v>
      </c>
      <c r="O354">
        <v>9</v>
      </c>
      <c r="P354">
        <v>9611</v>
      </c>
      <c r="Q354" t="s">
        <v>594</v>
      </c>
      <c r="R354" t="s">
        <v>201</v>
      </c>
      <c r="S354">
        <v>1</v>
      </c>
      <c r="T354">
        <v>1</v>
      </c>
      <c r="U354">
        <v>90492</v>
      </c>
      <c r="V354">
        <v>90492</v>
      </c>
    </row>
    <row r="355" spans="1:22">
      <c r="A355" t="s">
        <v>196</v>
      </c>
      <c r="B355">
        <v>15</v>
      </c>
      <c r="C355" t="s">
        <v>65</v>
      </c>
      <c r="D355">
        <v>100</v>
      </c>
      <c r="E355" t="s">
        <v>197</v>
      </c>
      <c r="F355">
        <v>1005</v>
      </c>
      <c r="G355" t="s">
        <v>65</v>
      </c>
      <c r="H355">
        <v>2005</v>
      </c>
      <c r="I355" t="s">
        <v>65</v>
      </c>
      <c r="J355">
        <v>3005</v>
      </c>
      <c r="K355" t="s">
        <v>65</v>
      </c>
      <c r="L355">
        <v>0</v>
      </c>
      <c r="N355" t="s">
        <v>199</v>
      </c>
      <c r="O355">
        <v>9</v>
      </c>
      <c r="P355">
        <v>9611</v>
      </c>
      <c r="Q355" t="s">
        <v>594</v>
      </c>
      <c r="R355" t="s">
        <v>201</v>
      </c>
      <c r="S355">
        <v>1</v>
      </c>
      <c r="T355">
        <v>1</v>
      </c>
      <c r="U355">
        <v>73140</v>
      </c>
      <c r="V355">
        <v>73140</v>
      </c>
    </row>
    <row r="356" spans="1:22">
      <c r="A356" t="s">
        <v>196</v>
      </c>
      <c r="B356">
        <v>15</v>
      </c>
      <c r="C356" t="s">
        <v>65</v>
      </c>
      <c r="D356">
        <v>100</v>
      </c>
      <c r="E356" t="s">
        <v>197</v>
      </c>
      <c r="F356">
        <v>1005</v>
      </c>
      <c r="G356" t="s">
        <v>65</v>
      </c>
      <c r="H356">
        <v>2005</v>
      </c>
      <c r="I356" t="s">
        <v>65</v>
      </c>
      <c r="J356">
        <v>3005</v>
      </c>
      <c r="K356" t="s">
        <v>65</v>
      </c>
      <c r="L356">
        <v>0</v>
      </c>
      <c r="N356" t="s">
        <v>199</v>
      </c>
      <c r="O356">
        <v>9</v>
      </c>
      <c r="P356">
        <v>9611</v>
      </c>
      <c r="Q356" t="s">
        <v>594</v>
      </c>
      <c r="R356" t="s">
        <v>201</v>
      </c>
      <c r="S356">
        <v>1</v>
      </c>
      <c r="T356">
        <v>1</v>
      </c>
      <c r="U356">
        <v>66936</v>
      </c>
      <c r="V356">
        <v>66936</v>
      </c>
    </row>
    <row r="357" spans="1:22">
      <c r="A357" t="s">
        <v>196</v>
      </c>
      <c r="B357">
        <v>15</v>
      </c>
      <c r="C357" t="s">
        <v>65</v>
      </c>
      <c r="D357">
        <v>100</v>
      </c>
      <c r="E357" t="s">
        <v>197</v>
      </c>
      <c r="F357">
        <v>1005</v>
      </c>
      <c r="G357" t="s">
        <v>65</v>
      </c>
      <c r="H357">
        <v>2005</v>
      </c>
      <c r="I357" t="s">
        <v>65</v>
      </c>
      <c r="J357">
        <v>3005</v>
      </c>
      <c r="K357" t="s">
        <v>65</v>
      </c>
      <c r="L357">
        <v>0</v>
      </c>
      <c r="N357" t="s">
        <v>199</v>
      </c>
      <c r="O357">
        <v>9</v>
      </c>
      <c r="P357">
        <v>9611</v>
      </c>
      <c r="Q357" t="s">
        <v>594</v>
      </c>
      <c r="R357" t="s">
        <v>201</v>
      </c>
      <c r="S357">
        <v>1</v>
      </c>
      <c r="T357">
        <v>1</v>
      </c>
      <c r="U357">
        <v>66840</v>
      </c>
      <c r="V357">
        <v>66840</v>
      </c>
    </row>
    <row r="358" spans="1:22">
      <c r="A358" t="s">
        <v>196</v>
      </c>
      <c r="B358">
        <v>15</v>
      </c>
      <c r="C358" t="s">
        <v>65</v>
      </c>
      <c r="D358">
        <v>100</v>
      </c>
      <c r="E358" t="s">
        <v>197</v>
      </c>
      <c r="F358">
        <v>1005</v>
      </c>
      <c r="G358" t="s">
        <v>65</v>
      </c>
      <c r="H358">
        <v>2005</v>
      </c>
      <c r="I358" t="s">
        <v>65</v>
      </c>
      <c r="J358">
        <v>3005</v>
      </c>
      <c r="K358" t="s">
        <v>65</v>
      </c>
      <c r="L358">
        <v>0</v>
      </c>
      <c r="N358" t="s">
        <v>199</v>
      </c>
      <c r="O358">
        <v>9</v>
      </c>
      <c r="P358">
        <v>9603</v>
      </c>
      <c r="Q358" t="s">
        <v>595</v>
      </c>
      <c r="R358" t="s">
        <v>201</v>
      </c>
      <c r="S358">
        <v>1</v>
      </c>
      <c r="T358">
        <v>1</v>
      </c>
      <c r="U358">
        <v>89292</v>
      </c>
      <c r="V358">
        <v>89292</v>
      </c>
    </row>
    <row r="359" spans="1:22">
      <c r="A359" t="s">
        <v>196</v>
      </c>
      <c r="B359">
        <v>15</v>
      </c>
      <c r="C359" t="s">
        <v>65</v>
      </c>
      <c r="D359">
        <v>100</v>
      </c>
      <c r="E359" t="s">
        <v>197</v>
      </c>
      <c r="F359">
        <v>1005</v>
      </c>
      <c r="G359" t="s">
        <v>65</v>
      </c>
      <c r="H359">
        <v>2005</v>
      </c>
      <c r="I359" t="s">
        <v>65</v>
      </c>
      <c r="J359">
        <v>3005</v>
      </c>
      <c r="K359" t="s">
        <v>65</v>
      </c>
      <c r="L359">
        <v>0</v>
      </c>
      <c r="N359" t="s">
        <v>199</v>
      </c>
      <c r="O359">
        <v>9</v>
      </c>
      <c r="P359">
        <v>9603</v>
      </c>
      <c r="Q359" t="s">
        <v>595</v>
      </c>
      <c r="R359" t="s">
        <v>201</v>
      </c>
      <c r="S359">
        <v>1</v>
      </c>
      <c r="T359">
        <v>1</v>
      </c>
      <c r="U359">
        <v>87336</v>
      </c>
      <c r="V359">
        <v>87336</v>
      </c>
    </row>
    <row r="360" spans="1:22">
      <c r="A360" t="s">
        <v>196</v>
      </c>
      <c r="B360">
        <v>15</v>
      </c>
      <c r="C360" t="s">
        <v>65</v>
      </c>
      <c r="D360">
        <v>100</v>
      </c>
      <c r="E360" t="s">
        <v>197</v>
      </c>
      <c r="F360">
        <v>1005</v>
      </c>
      <c r="G360" t="s">
        <v>65</v>
      </c>
      <c r="H360">
        <v>2005</v>
      </c>
      <c r="I360" t="s">
        <v>65</v>
      </c>
      <c r="J360">
        <v>3005</v>
      </c>
      <c r="K360" t="s">
        <v>65</v>
      </c>
      <c r="L360">
        <v>0</v>
      </c>
      <c r="N360" t="s">
        <v>199</v>
      </c>
      <c r="O360">
        <v>9</v>
      </c>
      <c r="P360">
        <v>9603</v>
      </c>
      <c r="Q360" t="s">
        <v>595</v>
      </c>
      <c r="R360" t="s">
        <v>201</v>
      </c>
      <c r="S360">
        <v>1</v>
      </c>
      <c r="T360">
        <v>1</v>
      </c>
      <c r="U360">
        <v>70008</v>
      </c>
      <c r="V360">
        <v>70008</v>
      </c>
    </row>
    <row r="361" spans="1:22">
      <c r="A361" t="s">
        <v>196</v>
      </c>
      <c r="B361">
        <v>15</v>
      </c>
      <c r="C361" t="s">
        <v>65</v>
      </c>
      <c r="D361">
        <v>100</v>
      </c>
      <c r="E361" t="s">
        <v>197</v>
      </c>
      <c r="F361">
        <v>1012</v>
      </c>
      <c r="G361" t="s">
        <v>149</v>
      </c>
      <c r="H361">
        <v>2012</v>
      </c>
      <c r="I361" t="s">
        <v>149</v>
      </c>
      <c r="J361">
        <v>3012</v>
      </c>
      <c r="K361" t="s">
        <v>149</v>
      </c>
      <c r="L361">
        <v>0</v>
      </c>
      <c r="N361" t="s">
        <v>199</v>
      </c>
      <c r="O361">
        <v>0</v>
      </c>
      <c r="P361">
        <v>9831</v>
      </c>
      <c r="Q361" t="s">
        <v>596</v>
      </c>
      <c r="R361" t="s">
        <v>201</v>
      </c>
      <c r="S361">
        <v>3</v>
      </c>
      <c r="T361">
        <v>1</v>
      </c>
      <c r="U361">
        <v>90060</v>
      </c>
      <c r="V361">
        <v>270180</v>
      </c>
    </row>
    <row r="362" spans="1:22">
      <c r="A362" t="s">
        <v>196</v>
      </c>
      <c r="B362">
        <v>15</v>
      </c>
      <c r="C362" t="s">
        <v>65</v>
      </c>
      <c r="D362">
        <v>100</v>
      </c>
      <c r="E362" t="s">
        <v>197</v>
      </c>
      <c r="F362">
        <v>1012</v>
      </c>
      <c r="G362" t="s">
        <v>149</v>
      </c>
      <c r="H362">
        <v>2012</v>
      </c>
      <c r="I362" t="s">
        <v>149</v>
      </c>
      <c r="J362">
        <v>3012</v>
      </c>
      <c r="K362" t="s">
        <v>149</v>
      </c>
      <c r="L362">
        <v>0</v>
      </c>
      <c r="N362" t="s">
        <v>199</v>
      </c>
      <c r="O362">
        <v>9</v>
      </c>
      <c r="P362">
        <v>9696</v>
      </c>
      <c r="Q362" t="s">
        <v>597</v>
      </c>
      <c r="R362" t="s">
        <v>201</v>
      </c>
      <c r="S362">
        <v>1</v>
      </c>
      <c r="T362">
        <v>1</v>
      </c>
      <c r="U362">
        <v>108276</v>
      </c>
      <c r="V362">
        <v>108276</v>
      </c>
    </row>
    <row r="363" spans="1:22">
      <c r="A363" t="s">
        <v>196</v>
      </c>
      <c r="B363">
        <v>15</v>
      </c>
      <c r="C363" t="s">
        <v>65</v>
      </c>
      <c r="D363">
        <v>100</v>
      </c>
      <c r="E363" t="s">
        <v>197</v>
      </c>
      <c r="F363">
        <v>1012</v>
      </c>
      <c r="G363" t="s">
        <v>149</v>
      </c>
      <c r="H363">
        <v>2012</v>
      </c>
      <c r="I363" t="s">
        <v>149</v>
      </c>
      <c r="J363">
        <v>3012</v>
      </c>
      <c r="K363" t="s">
        <v>149</v>
      </c>
      <c r="L363">
        <v>0</v>
      </c>
      <c r="N363" t="s">
        <v>199</v>
      </c>
      <c r="O363">
        <v>0</v>
      </c>
      <c r="P363">
        <v>9613</v>
      </c>
      <c r="Q363" t="s">
        <v>598</v>
      </c>
      <c r="R363" t="s">
        <v>201</v>
      </c>
      <c r="S363">
        <v>1</v>
      </c>
      <c r="T363">
        <v>1</v>
      </c>
      <c r="U363">
        <v>126492</v>
      </c>
      <c r="V363">
        <v>126492</v>
      </c>
    </row>
    <row r="364" spans="1:22">
      <c r="A364" t="s">
        <v>196</v>
      </c>
      <c r="B364">
        <v>21</v>
      </c>
      <c r="C364" t="s">
        <v>78</v>
      </c>
      <c r="D364">
        <v>100</v>
      </c>
      <c r="E364" t="s">
        <v>197</v>
      </c>
      <c r="F364">
        <v>1005</v>
      </c>
      <c r="G364" t="s">
        <v>78</v>
      </c>
      <c r="H364">
        <v>2010</v>
      </c>
      <c r="I364" t="s">
        <v>78</v>
      </c>
      <c r="J364">
        <v>3030</v>
      </c>
      <c r="K364" t="s">
        <v>309</v>
      </c>
      <c r="L364">
        <v>0</v>
      </c>
      <c r="N364" t="s">
        <v>199</v>
      </c>
      <c r="O364">
        <v>9</v>
      </c>
      <c r="P364">
        <v>9921</v>
      </c>
      <c r="Q364" t="s">
        <v>599</v>
      </c>
      <c r="R364" t="s">
        <v>201</v>
      </c>
      <c r="S364">
        <v>1</v>
      </c>
      <c r="T364">
        <v>1</v>
      </c>
      <c r="U364">
        <v>207612</v>
      </c>
      <c r="V364">
        <v>207612</v>
      </c>
    </row>
    <row r="365" spans="1:22">
      <c r="A365" t="s">
        <v>196</v>
      </c>
      <c r="B365">
        <v>21</v>
      </c>
      <c r="C365" t="s">
        <v>78</v>
      </c>
      <c r="D365">
        <v>100</v>
      </c>
      <c r="E365" t="s">
        <v>197</v>
      </c>
      <c r="F365">
        <v>1005</v>
      </c>
      <c r="G365" t="s">
        <v>78</v>
      </c>
      <c r="H365">
        <v>2010</v>
      </c>
      <c r="I365" t="s">
        <v>78</v>
      </c>
      <c r="J365">
        <v>3030</v>
      </c>
      <c r="K365" t="s">
        <v>309</v>
      </c>
      <c r="L365">
        <v>0</v>
      </c>
      <c r="N365" t="s">
        <v>311</v>
      </c>
      <c r="O365">
        <v>9</v>
      </c>
      <c r="P365">
        <v>9813</v>
      </c>
      <c r="Q365" t="s">
        <v>600</v>
      </c>
      <c r="R365" t="s">
        <v>201</v>
      </c>
      <c r="S365">
        <v>1</v>
      </c>
      <c r="T365">
        <v>1</v>
      </c>
      <c r="U365">
        <v>188400</v>
      </c>
      <c r="V365">
        <v>188400</v>
      </c>
    </row>
    <row r="366" spans="1:22">
      <c r="A366" t="s">
        <v>196</v>
      </c>
      <c r="B366">
        <v>21</v>
      </c>
      <c r="C366" t="s">
        <v>78</v>
      </c>
      <c r="D366">
        <v>100</v>
      </c>
      <c r="E366" t="s">
        <v>197</v>
      </c>
      <c r="F366">
        <v>1005</v>
      </c>
      <c r="G366" t="s">
        <v>78</v>
      </c>
      <c r="H366">
        <v>2010</v>
      </c>
      <c r="I366" t="s">
        <v>78</v>
      </c>
      <c r="J366">
        <v>3030</v>
      </c>
      <c r="K366" t="s">
        <v>309</v>
      </c>
      <c r="L366">
        <v>0</v>
      </c>
      <c r="N366" t="s">
        <v>251</v>
      </c>
      <c r="O366">
        <v>10</v>
      </c>
      <c r="P366">
        <v>1438</v>
      </c>
      <c r="Q366" t="s">
        <v>601</v>
      </c>
      <c r="R366" t="s">
        <v>201</v>
      </c>
      <c r="S366">
        <v>1</v>
      </c>
      <c r="T366">
        <v>1</v>
      </c>
      <c r="U366">
        <v>83052</v>
      </c>
      <c r="V366">
        <v>83052</v>
      </c>
    </row>
    <row r="367" spans="1:22">
      <c r="A367" t="s">
        <v>196</v>
      </c>
      <c r="B367">
        <v>21</v>
      </c>
      <c r="C367" t="s">
        <v>78</v>
      </c>
      <c r="D367">
        <v>100</v>
      </c>
      <c r="E367" t="s">
        <v>197</v>
      </c>
      <c r="F367">
        <v>1005</v>
      </c>
      <c r="G367" t="s">
        <v>78</v>
      </c>
      <c r="H367">
        <v>2010</v>
      </c>
      <c r="I367" t="s">
        <v>78</v>
      </c>
      <c r="J367">
        <v>3030</v>
      </c>
      <c r="K367" t="s">
        <v>309</v>
      </c>
      <c r="L367">
        <v>0</v>
      </c>
      <c r="N367" t="s">
        <v>251</v>
      </c>
      <c r="O367">
        <v>10</v>
      </c>
      <c r="P367">
        <v>802</v>
      </c>
      <c r="Q367" t="s">
        <v>252</v>
      </c>
      <c r="R367" t="s">
        <v>201</v>
      </c>
      <c r="S367">
        <v>1</v>
      </c>
      <c r="T367">
        <v>1</v>
      </c>
      <c r="U367">
        <v>89112</v>
      </c>
      <c r="V367">
        <v>89112</v>
      </c>
    </row>
    <row r="368" spans="1:22">
      <c r="A368" t="s">
        <v>196</v>
      </c>
      <c r="B368">
        <v>21</v>
      </c>
      <c r="C368" t="s">
        <v>78</v>
      </c>
      <c r="D368">
        <v>100</v>
      </c>
      <c r="E368" t="s">
        <v>197</v>
      </c>
      <c r="F368">
        <v>1005</v>
      </c>
      <c r="G368" t="s">
        <v>78</v>
      </c>
      <c r="H368">
        <v>2010</v>
      </c>
      <c r="I368" t="s">
        <v>78</v>
      </c>
      <c r="J368">
        <v>3030</v>
      </c>
      <c r="K368" t="s">
        <v>309</v>
      </c>
      <c r="L368">
        <v>0</v>
      </c>
      <c r="N368" t="s">
        <v>257</v>
      </c>
      <c r="O368">
        <v>9</v>
      </c>
      <c r="P368">
        <v>705</v>
      </c>
      <c r="Q368" t="s">
        <v>258</v>
      </c>
      <c r="R368" t="s">
        <v>201</v>
      </c>
      <c r="S368">
        <v>1</v>
      </c>
      <c r="T368">
        <v>1</v>
      </c>
      <c r="U368">
        <v>111300</v>
      </c>
      <c r="V368">
        <v>111300</v>
      </c>
    </row>
    <row r="369" spans="1:22">
      <c r="A369" t="s">
        <v>196</v>
      </c>
      <c r="B369">
        <v>21</v>
      </c>
      <c r="C369" t="s">
        <v>78</v>
      </c>
      <c r="D369">
        <v>100</v>
      </c>
      <c r="E369" t="s">
        <v>197</v>
      </c>
      <c r="F369">
        <v>1005</v>
      </c>
      <c r="G369" t="s">
        <v>78</v>
      </c>
      <c r="H369">
        <v>2010</v>
      </c>
      <c r="I369" t="s">
        <v>78</v>
      </c>
      <c r="J369">
        <v>3030</v>
      </c>
      <c r="K369" t="s">
        <v>309</v>
      </c>
      <c r="L369">
        <v>0</v>
      </c>
      <c r="N369" t="s">
        <v>602</v>
      </c>
      <c r="O369">
        <v>4</v>
      </c>
      <c r="P369">
        <v>673</v>
      </c>
      <c r="Q369" t="s">
        <v>603</v>
      </c>
      <c r="R369" t="s">
        <v>201</v>
      </c>
      <c r="S369">
        <v>1</v>
      </c>
      <c r="T369">
        <v>1</v>
      </c>
      <c r="U369">
        <v>107628</v>
      </c>
      <c r="V369">
        <v>107628</v>
      </c>
    </row>
    <row r="370" spans="1:22">
      <c r="A370" t="s">
        <v>196</v>
      </c>
      <c r="B370">
        <v>21</v>
      </c>
      <c r="C370" t="s">
        <v>78</v>
      </c>
      <c r="D370">
        <v>100</v>
      </c>
      <c r="E370" t="s">
        <v>197</v>
      </c>
      <c r="F370">
        <v>1005</v>
      </c>
      <c r="G370" t="s">
        <v>78</v>
      </c>
      <c r="H370">
        <v>2010</v>
      </c>
      <c r="I370" t="s">
        <v>78</v>
      </c>
      <c r="J370">
        <v>3030</v>
      </c>
      <c r="K370" t="s">
        <v>309</v>
      </c>
      <c r="L370">
        <v>0</v>
      </c>
      <c r="N370" t="s">
        <v>247</v>
      </c>
      <c r="O370">
        <v>20</v>
      </c>
      <c r="P370">
        <v>366</v>
      </c>
      <c r="Q370" t="s">
        <v>604</v>
      </c>
      <c r="R370" t="s">
        <v>201</v>
      </c>
      <c r="S370">
        <v>1</v>
      </c>
      <c r="T370">
        <v>1</v>
      </c>
      <c r="U370">
        <v>57852</v>
      </c>
      <c r="V370">
        <v>57852</v>
      </c>
    </row>
    <row r="371" spans="1:22">
      <c r="A371" t="s">
        <v>196</v>
      </c>
      <c r="B371">
        <v>21</v>
      </c>
      <c r="C371" t="s">
        <v>78</v>
      </c>
      <c r="D371">
        <v>100</v>
      </c>
      <c r="E371" t="s">
        <v>197</v>
      </c>
      <c r="F371">
        <v>1005</v>
      </c>
      <c r="G371" t="s">
        <v>78</v>
      </c>
      <c r="H371">
        <v>2010</v>
      </c>
      <c r="I371" t="s">
        <v>78</v>
      </c>
      <c r="J371">
        <v>3030</v>
      </c>
      <c r="K371" t="s">
        <v>309</v>
      </c>
      <c r="L371">
        <v>0</v>
      </c>
      <c r="N371" t="s">
        <v>274</v>
      </c>
      <c r="O371">
        <v>9</v>
      </c>
      <c r="P371">
        <v>313</v>
      </c>
      <c r="Q371" t="s">
        <v>605</v>
      </c>
      <c r="R371" t="s">
        <v>201</v>
      </c>
      <c r="S371">
        <v>1</v>
      </c>
      <c r="T371">
        <v>1</v>
      </c>
      <c r="U371">
        <v>146808</v>
      </c>
      <c r="V371">
        <v>146808</v>
      </c>
    </row>
    <row r="372" spans="1:22">
      <c r="A372" t="s">
        <v>196</v>
      </c>
      <c r="B372">
        <v>21</v>
      </c>
      <c r="C372" t="s">
        <v>78</v>
      </c>
      <c r="D372">
        <v>100</v>
      </c>
      <c r="E372" t="s">
        <v>197</v>
      </c>
      <c r="F372">
        <v>1005</v>
      </c>
      <c r="G372" t="s">
        <v>78</v>
      </c>
      <c r="H372">
        <v>2010</v>
      </c>
      <c r="I372" t="s">
        <v>78</v>
      </c>
      <c r="J372">
        <v>3030</v>
      </c>
      <c r="K372" t="s">
        <v>309</v>
      </c>
      <c r="L372">
        <v>0</v>
      </c>
      <c r="N372" t="s">
        <v>274</v>
      </c>
      <c r="O372">
        <v>9</v>
      </c>
      <c r="P372">
        <v>313</v>
      </c>
      <c r="Q372" t="s">
        <v>605</v>
      </c>
      <c r="R372" t="s">
        <v>201</v>
      </c>
      <c r="S372">
        <v>1</v>
      </c>
      <c r="T372">
        <v>1</v>
      </c>
      <c r="U372">
        <v>121668</v>
      </c>
      <c r="V372">
        <v>121668</v>
      </c>
    </row>
    <row r="373" spans="1:22">
      <c r="A373" t="s">
        <v>196</v>
      </c>
      <c r="B373">
        <v>21</v>
      </c>
      <c r="C373" t="s">
        <v>78</v>
      </c>
      <c r="D373">
        <v>100</v>
      </c>
      <c r="E373" t="s">
        <v>197</v>
      </c>
      <c r="F373">
        <v>1005</v>
      </c>
      <c r="G373" t="s">
        <v>78</v>
      </c>
      <c r="H373">
        <v>2010</v>
      </c>
      <c r="I373" t="s">
        <v>78</v>
      </c>
      <c r="J373">
        <v>3030</v>
      </c>
      <c r="K373" t="s">
        <v>309</v>
      </c>
      <c r="L373">
        <v>0</v>
      </c>
      <c r="N373" t="s">
        <v>199</v>
      </c>
      <c r="O373">
        <v>0</v>
      </c>
      <c r="P373">
        <v>15</v>
      </c>
      <c r="Q373" t="s">
        <v>264</v>
      </c>
      <c r="R373" t="s">
        <v>201</v>
      </c>
      <c r="S373">
        <v>0</v>
      </c>
      <c r="T373">
        <v>0</v>
      </c>
      <c r="U373">
        <v>18109</v>
      </c>
      <c r="V373">
        <v>18109</v>
      </c>
    </row>
    <row r="374" spans="1:22">
      <c r="A374" t="s">
        <v>196</v>
      </c>
      <c r="B374">
        <v>21</v>
      </c>
      <c r="C374" t="s">
        <v>78</v>
      </c>
      <c r="D374">
        <v>100</v>
      </c>
      <c r="E374" t="s">
        <v>197</v>
      </c>
      <c r="F374">
        <v>1005</v>
      </c>
      <c r="G374" t="s">
        <v>78</v>
      </c>
      <c r="H374">
        <v>2010</v>
      </c>
      <c r="I374" t="s">
        <v>78</v>
      </c>
      <c r="J374">
        <v>3040</v>
      </c>
      <c r="K374" t="s">
        <v>606</v>
      </c>
      <c r="L374">
        <v>0</v>
      </c>
      <c r="N374" t="s">
        <v>341</v>
      </c>
      <c r="O374">
        <v>1</v>
      </c>
      <c r="P374">
        <v>1987</v>
      </c>
      <c r="Q374" t="s">
        <v>607</v>
      </c>
      <c r="R374" t="s">
        <v>201</v>
      </c>
      <c r="S374">
        <v>1</v>
      </c>
      <c r="T374">
        <v>1</v>
      </c>
      <c r="U374">
        <v>68616</v>
      </c>
      <c r="V374">
        <v>68616</v>
      </c>
    </row>
    <row r="375" spans="1:22">
      <c r="A375" t="s">
        <v>196</v>
      </c>
      <c r="B375">
        <v>21</v>
      </c>
      <c r="C375" t="s">
        <v>78</v>
      </c>
      <c r="D375">
        <v>100</v>
      </c>
      <c r="E375" t="s">
        <v>197</v>
      </c>
      <c r="F375">
        <v>1005</v>
      </c>
      <c r="G375" t="s">
        <v>78</v>
      </c>
      <c r="H375">
        <v>2010</v>
      </c>
      <c r="I375" t="s">
        <v>78</v>
      </c>
      <c r="J375">
        <v>3040</v>
      </c>
      <c r="K375" t="s">
        <v>606</v>
      </c>
      <c r="L375">
        <v>0</v>
      </c>
      <c r="N375" t="s">
        <v>372</v>
      </c>
      <c r="O375">
        <v>4</v>
      </c>
      <c r="P375">
        <v>1912</v>
      </c>
      <c r="Q375" t="s">
        <v>608</v>
      </c>
      <c r="R375" t="s">
        <v>201</v>
      </c>
      <c r="S375">
        <v>1</v>
      </c>
      <c r="T375">
        <v>1</v>
      </c>
      <c r="U375">
        <v>81324</v>
      </c>
      <c r="V375">
        <v>81324</v>
      </c>
    </row>
    <row r="376" spans="1:22">
      <c r="A376" t="s">
        <v>196</v>
      </c>
      <c r="B376">
        <v>21</v>
      </c>
      <c r="C376" t="s">
        <v>78</v>
      </c>
      <c r="D376">
        <v>100</v>
      </c>
      <c r="E376" t="s">
        <v>197</v>
      </c>
      <c r="F376">
        <v>1005</v>
      </c>
      <c r="G376" t="s">
        <v>78</v>
      </c>
      <c r="H376">
        <v>2010</v>
      </c>
      <c r="I376" t="s">
        <v>78</v>
      </c>
      <c r="J376">
        <v>3040</v>
      </c>
      <c r="K376" t="s">
        <v>606</v>
      </c>
      <c r="L376">
        <v>0</v>
      </c>
      <c r="N376" t="s">
        <v>251</v>
      </c>
      <c r="O376">
        <v>10</v>
      </c>
      <c r="P376">
        <v>1438</v>
      </c>
      <c r="Q376" t="s">
        <v>601</v>
      </c>
      <c r="R376" t="s">
        <v>201</v>
      </c>
      <c r="S376">
        <v>1</v>
      </c>
      <c r="T376">
        <v>1</v>
      </c>
      <c r="U376">
        <v>76476</v>
      </c>
      <c r="V376">
        <v>76476</v>
      </c>
    </row>
    <row r="377" spans="1:22">
      <c r="A377" t="s">
        <v>196</v>
      </c>
      <c r="B377">
        <v>21</v>
      </c>
      <c r="C377" t="s">
        <v>78</v>
      </c>
      <c r="D377">
        <v>100</v>
      </c>
      <c r="E377" t="s">
        <v>197</v>
      </c>
      <c r="F377">
        <v>1005</v>
      </c>
      <c r="G377" t="s">
        <v>78</v>
      </c>
      <c r="H377">
        <v>2010</v>
      </c>
      <c r="I377" t="s">
        <v>78</v>
      </c>
      <c r="J377">
        <v>3040</v>
      </c>
      <c r="K377" t="s">
        <v>606</v>
      </c>
      <c r="L377">
        <v>0</v>
      </c>
      <c r="N377" t="s">
        <v>261</v>
      </c>
      <c r="O377">
        <v>20</v>
      </c>
      <c r="P377">
        <v>1437</v>
      </c>
      <c r="Q377" t="s">
        <v>609</v>
      </c>
      <c r="R377" t="s">
        <v>201</v>
      </c>
      <c r="S377">
        <v>1</v>
      </c>
      <c r="T377">
        <v>1</v>
      </c>
      <c r="U377">
        <v>89112</v>
      </c>
      <c r="V377">
        <v>89112</v>
      </c>
    </row>
    <row r="378" spans="1:22">
      <c r="A378" t="s">
        <v>196</v>
      </c>
      <c r="B378">
        <v>21</v>
      </c>
      <c r="C378" t="s">
        <v>78</v>
      </c>
      <c r="D378">
        <v>100</v>
      </c>
      <c r="E378" t="s">
        <v>197</v>
      </c>
      <c r="F378">
        <v>1005</v>
      </c>
      <c r="G378" t="s">
        <v>78</v>
      </c>
      <c r="H378">
        <v>2010</v>
      </c>
      <c r="I378" t="s">
        <v>78</v>
      </c>
      <c r="J378">
        <v>3040</v>
      </c>
      <c r="K378" t="s">
        <v>606</v>
      </c>
      <c r="L378">
        <v>0</v>
      </c>
      <c r="N378" t="s">
        <v>249</v>
      </c>
      <c r="O378">
        <v>10</v>
      </c>
      <c r="P378">
        <v>310</v>
      </c>
      <c r="Q378" t="s">
        <v>447</v>
      </c>
      <c r="R378" t="s">
        <v>201</v>
      </c>
      <c r="S378">
        <v>1</v>
      </c>
      <c r="T378">
        <v>1</v>
      </c>
      <c r="U378">
        <v>124584</v>
      </c>
      <c r="V378">
        <v>124584</v>
      </c>
    </row>
    <row r="379" spans="1:22">
      <c r="A379" t="s">
        <v>196</v>
      </c>
      <c r="B379">
        <v>21</v>
      </c>
      <c r="C379" t="s">
        <v>78</v>
      </c>
      <c r="D379">
        <v>100</v>
      </c>
      <c r="E379" t="s">
        <v>197</v>
      </c>
      <c r="F379">
        <v>1005</v>
      </c>
      <c r="G379" t="s">
        <v>78</v>
      </c>
      <c r="H379">
        <v>2010</v>
      </c>
      <c r="I379" t="s">
        <v>78</v>
      </c>
      <c r="J379">
        <v>3040</v>
      </c>
      <c r="K379" t="s">
        <v>606</v>
      </c>
      <c r="L379">
        <v>0</v>
      </c>
      <c r="N379" t="s">
        <v>249</v>
      </c>
      <c r="O379">
        <v>10</v>
      </c>
      <c r="P379">
        <v>310</v>
      </c>
      <c r="Q379" t="s">
        <v>447</v>
      </c>
      <c r="R379" t="s">
        <v>201</v>
      </c>
      <c r="S379">
        <v>1</v>
      </c>
      <c r="T379">
        <v>1</v>
      </c>
      <c r="U379">
        <v>113568</v>
      </c>
      <c r="V379">
        <v>113568</v>
      </c>
    </row>
    <row r="380" spans="1:22">
      <c r="A380" t="s">
        <v>196</v>
      </c>
      <c r="B380">
        <v>21</v>
      </c>
      <c r="C380" t="s">
        <v>78</v>
      </c>
      <c r="D380">
        <v>100</v>
      </c>
      <c r="E380" t="s">
        <v>197</v>
      </c>
      <c r="F380">
        <v>1005</v>
      </c>
      <c r="G380" t="s">
        <v>78</v>
      </c>
      <c r="H380">
        <v>2010</v>
      </c>
      <c r="I380" t="s">
        <v>78</v>
      </c>
      <c r="J380">
        <v>3040</v>
      </c>
      <c r="K380" t="s">
        <v>606</v>
      </c>
      <c r="L380">
        <v>0</v>
      </c>
      <c r="N380" t="s">
        <v>249</v>
      </c>
      <c r="O380">
        <v>10</v>
      </c>
      <c r="P380">
        <v>310</v>
      </c>
      <c r="Q380" t="s">
        <v>447</v>
      </c>
      <c r="R380" t="s">
        <v>201</v>
      </c>
      <c r="S380">
        <v>1</v>
      </c>
      <c r="T380">
        <v>1</v>
      </c>
      <c r="U380">
        <v>97836</v>
      </c>
      <c r="V380">
        <v>97836</v>
      </c>
    </row>
    <row r="381" spans="1:22">
      <c r="A381" t="s">
        <v>196</v>
      </c>
      <c r="B381">
        <v>21</v>
      </c>
      <c r="C381" t="s">
        <v>78</v>
      </c>
      <c r="D381">
        <v>100</v>
      </c>
      <c r="E381" t="s">
        <v>197</v>
      </c>
      <c r="F381">
        <v>1005</v>
      </c>
      <c r="G381" t="s">
        <v>78</v>
      </c>
      <c r="H381">
        <v>2010</v>
      </c>
      <c r="I381" t="s">
        <v>78</v>
      </c>
      <c r="J381">
        <v>3040</v>
      </c>
      <c r="K381" t="s">
        <v>606</v>
      </c>
      <c r="L381">
        <v>0</v>
      </c>
      <c r="N381" t="s">
        <v>199</v>
      </c>
      <c r="O381">
        <v>0</v>
      </c>
      <c r="P381">
        <v>15</v>
      </c>
      <c r="Q381" t="s">
        <v>264</v>
      </c>
      <c r="R381" t="s">
        <v>201</v>
      </c>
      <c r="S381">
        <v>0</v>
      </c>
      <c r="T381">
        <v>0</v>
      </c>
      <c r="U381">
        <v>6776</v>
      </c>
      <c r="V381">
        <v>6776</v>
      </c>
    </row>
    <row r="382" spans="1:22">
      <c r="A382" t="s">
        <v>196</v>
      </c>
      <c r="B382">
        <v>21</v>
      </c>
      <c r="C382" t="s">
        <v>78</v>
      </c>
      <c r="D382">
        <v>100</v>
      </c>
      <c r="E382" t="s">
        <v>197</v>
      </c>
      <c r="F382">
        <v>1005</v>
      </c>
      <c r="G382" t="s">
        <v>78</v>
      </c>
      <c r="H382">
        <v>2010</v>
      </c>
      <c r="I382" t="s">
        <v>78</v>
      </c>
      <c r="J382">
        <v>3045</v>
      </c>
      <c r="K382" t="s">
        <v>610</v>
      </c>
      <c r="L382">
        <v>0</v>
      </c>
      <c r="N382" t="s">
        <v>249</v>
      </c>
      <c r="O382">
        <v>10</v>
      </c>
      <c r="P382">
        <v>310</v>
      </c>
      <c r="Q382" t="s">
        <v>447</v>
      </c>
      <c r="R382" t="s">
        <v>201</v>
      </c>
      <c r="S382">
        <v>1</v>
      </c>
      <c r="T382">
        <v>1</v>
      </c>
      <c r="U382">
        <v>113568</v>
      </c>
      <c r="V382">
        <v>113568</v>
      </c>
    </row>
    <row r="383" spans="1:22">
      <c r="A383" t="s">
        <v>196</v>
      </c>
      <c r="B383">
        <v>21</v>
      </c>
      <c r="C383" t="s">
        <v>78</v>
      </c>
      <c r="D383">
        <v>100</v>
      </c>
      <c r="E383" t="s">
        <v>197</v>
      </c>
      <c r="F383">
        <v>1005</v>
      </c>
      <c r="G383" t="s">
        <v>78</v>
      </c>
      <c r="H383">
        <v>2010</v>
      </c>
      <c r="I383" t="s">
        <v>78</v>
      </c>
      <c r="J383">
        <v>3045</v>
      </c>
      <c r="K383" t="s">
        <v>610</v>
      </c>
      <c r="L383">
        <v>0</v>
      </c>
      <c r="N383" t="s">
        <v>249</v>
      </c>
      <c r="O383">
        <v>10</v>
      </c>
      <c r="P383">
        <v>310</v>
      </c>
      <c r="Q383" t="s">
        <v>447</v>
      </c>
      <c r="R383" t="s">
        <v>201</v>
      </c>
      <c r="S383">
        <v>1</v>
      </c>
      <c r="T383">
        <v>1</v>
      </c>
      <c r="U383">
        <v>97836</v>
      </c>
      <c r="V383">
        <v>97836</v>
      </c>
    </row>
    <row r="384" spans="1:22">
      <c r="A384" t="s">
        <v>196</v>
      </c>
      <c r="B384">
        <v>21</v>
      </c>
      <c r="C384" t="s">
        <v>78</v>
      </c>
      <c r="D384">
        <v>100</v>
      </c>
      <c r="E384" t="s">
        <v>197</v>
      </c>
      <c r="F384">
        <v>1005</v>
      </c>
      <c r="G384" t="s">
        <v>78</v>
      </c>
      <c r="H384">
        <v>2010</v>
      </c>
      <c r="I384" t="s">
        <v>78</v>
      </c>
      <c r="J384">
        <v>3045</v>
      </c>
      <c r="K384" t="s">
        <v>610</v>
      </c>
      <c r="L384">
        <v>0</v>
      </c>
      <c r="N384" t="s">
        <v>199</v>
      </c>
      <c r="O384">
        <v>0</v>
      </c>
      <c r="P384">
        <v>15</v>
      </c>
      <c r="Q384" t="s">
        <v>264</v>
      </c>
      <c r="R384" t="s">
        <v>201</v>
      </c>
      <c r="S384">
        <v>0</v>
      </c>
      <c r="T384">
        <v>0</v>
      </c>
      <c r="U384">
        <v>2304</v>
      </c>
      <c r="V384">
        <v>2304</v>
      </c>
    </row>
    <row r="385" spans="1:22">
      <c r="A385" t="s">
        <v>196</v>
      </c>
      <c r="B385">
        <v>21</v>
      </c>
      <c r="C385" t="s">
        <v>78</v>
      </c>
      <c r="D385">
        <v>100</v>
      </c>
      <c r="E385" t="s">
        <v>197</v>
      </c>
      <c r="F385">
        <v>1005</v>
      </c>
      <c r="G385" t="s">
        <v>78</v>
      </c>
      <c r="H385">
        <v>2010</v>
      </c>
      <c r="I385" t="s">
        <v>78</v>
      </c>
      <c r="J385">
        <v>3055</v>
      </c>
      <c r="K385" t="s">
        <v>611</v>
      </c>
      <c r="L385">
        <v>0</v>
      </c>
      <c r="N385" t="s">
        <v>266</v>
      </c>
      <c r="O385">
        <v>9</v>
      </c>
      <c r="P385">
        <v>9679</v>
      </c>
      <c r="Q385" t="s">
        <v>338</v>
      </c>
      <c r="R385" t="s">
        <v>201</v>
      </c>
      <c r="S385">
        <v>1</v>
      </c>
      <c r="T385">
        <v>1</v>
      </c>
      <c r="U385">
        <v>139140</v>
      </c>
      <c r="V385">
        <v>139140</v>
      </c>
    </row>
    <row r="386" spans="1:22">
      <c r="A386" t="s">
        <v>196</v>
      </c>
      <c r="B386">
        <v>21</v>
      </c>
      <c r="C386" t="s">
        <v>78</v>
      </c>
      <c r="D386">
        <v>100</v>
      </c>
      <c r="E386" t="s">
        <v>197</v>
      </c>
      <c r="F386">
        <v>1005</v>
      </c>
      <c r="G386" t="s">
        <v>78</v>
      </c>
      <c r="H386">
        <v>2010</v>
      </c>
      <c r="I386" t="s">
        <v>78</v>
      </c>
      <c r="J386">
        <v>3055</v>
      </c>
      <c r="K386" t="s">
        <v>611</v>
      </c>
      <c r="L386">
        <v>0</v>
      </c>
      <c r="N386" t="s">
        <v>199</v>
      </c>
      <c r="O386">
        <v>0</v>
      </c>
      <c r="P386">
        <v>15</v>
      </c>
      <c r="Q386" t="s">
        <v>264</v>
      </c>
      <c r="R386" t="s">
        <v>201</v>
      </c>
      <c r="S386">
        <v>0</v>
      </c>
      <c r="T386">
        <v>0</v>
      </c>
      <c r="U386">
        <v>9854</v>
      </c>
      <c r="V386">
        <v>9854</v>
      </c>
    </row>
    <row r="387" spans="1:22">
      <c r="A387" t="s">
        <v>196</v>
      </c>
      <c r="B387">
        <v>21</v>
      </c>
      <c r="C387" t="s">
        <v>78</v>
      </c>
      <c r="D387">
        <v>100</v>
      </c>
      <c r="E387" t="s">
        <v>197</v>
      </c>
      <c r="F387">
        <v>1005</v>
      </c>
      <c r="G387" t="s">
        <v>78</v>
      </c>
      <c r="H387">
        <v>2010</v>
      </c>
      <c r="I387" t="s">
        <v>78</v>
      </c>
      <c r="J387">
        <v>3060</v>
      </c>
      <c r="K387" t="s">
        <v>612</v>
      </c>
      <c r="L387">
        <v>0</v>
      </c>
      <c r="N387" t="s">
        <v>372</v>
      </c>
      <c r="O387">
        <v>4</v>
      </c>
      <c r="P387">
        <v>1912</v>
      </c>
      <c r="Q387" t="s">
        <v>608</v>
      </c>
      <c r="R387" t="s">
        <v>201</v>
      </c>
      <c r="S387">
        <v>1</v>
      </c>
      <c r="T387">
        <v>1</v>
      </c>
      <c r="U387">
        <v>85200</v>
      </c>
      <c r="V387">
        <v>85200</v>
      </c>
    </row>
    <row r="388" spans="1:22">
      <c r="A388" t="s">
        <v>196</v>
      </c>
      <c r="B388">
        <v>21</v>
      </c>
      <c r="C388" t="s">
        <v>78</v>
      </c>
      <c r="D388">
        <v>100</v>
      </c>
      <c r="E388" t="s">
        <v>197</v>
      </c>
      <c r="F388">
        <v>1005</v>
      </c>
      <c r="G388" t="s">
        <v>78</v>
      </c>
      <c r="H388">
        <v>2010</v>
      </c>
      <c r="I388" t="s">
        <v>78</v>
      </c>
      <c r="J388">
        <v>3060</v>
      </c>
      <c r="K388" t="s">
        <v>612</v>
      </c>
      <c r="L388">
        <v>0</v>
      </c>
      <c r="N388" t="s">
        <v>372</v>
      </c>
      <c r="O388">
        <v>4</v>
      </c>
      <c r="P388">
        <v>1912</v>
      </c>
      <c r="Q388" t="s">
        <v>608</v>
      </c>
      <c r="R388" t="s">
        <v>201</v>
      </c>
      <c r="S388">
        <v>1</v>
      </c>
      <c r="T388">
        <v>1</v>
      </c>
      <c r="U388">
        <v>81324</v>
      </c>
      <c r="V388">
        <v>81324</v>
      </c>
    </row>
    <row r="389" spans="1:22">
      <c r="A389" t="s">
        <v>196</v>
      </c>
      <c r="B389">
        <v>21</v>
      </c>
      <c r="C389" t="s">
        <v>78</v>
      </c>
      <c r="D389">
        <v>100</v>
      </c>
      <c r="E389" t="s">
        <v>197</v>
      </c>
      <c r="F389">
        <v>1005</v>
      </c>
      <c r="G389" t="s">
        <v>78</v>
      </c>
      <c r="H389">
        <v>2010</v>
      </c>
      <c r="I389" t="s">
        <v>78</v>
      </c>
      <c r="J389">
        <v>3060</v>
      </c>
      <c r="K389" t="s">
        <v>612</v>
      </c>
      <c r="L389">
        <v>0</v>
      </c>
      <c r="N389" t="s">
        <v>372</v>
      </c>
      <c r="O389">
        <v>4</v>
      </c>
      <c r="P389">
        <v>1912</v>
      </c>
      <c r="Q389" t="s">
        <v>608</v>
      </c>
      <c r="R389" t="s">
        <v>201</v>
      </c>
      <c r="S389">
        <v>1</v>
      </c>
      <c r="T389">
        <v>1</v>
      </c>
      <c r="U389">
        <v>75336</v>
      </c>
      <c r="V389">
        <v>75336</v>
      </c>
    </row>
    <row r="390" spans="1:22">
      <c r="A390" t="s">
        <v>196</v>
      </c>
      <c r="B390">
        <v>21</v>
      </c>
      <c r="C390" t="s">
        <v>78</v>
      </c>
      <c r="D390">
        <v>100</v>
      </c>
      <c r="E390" t="s">
        <v>197</v>
      </c>
      <c r="F390">
        <v>1005</v>
      </c>
      <c r="G390" t="s">
        <v>78</v>
      </c>
      <c r="H390">
        <v>2010</v>
      </c>
      <c r="I390" t="s">
        <v>78</v>
      </c>
      <c r="J390">
        <v>3060</v>
      </c>
      <c r="K390" t="s">
        <v>612</v>
      </c>
      <c r="L390">
        <v>0</v>
      </c>
      <c r="N390" t="s">
        <v>249</v>
      </c>
      <c r="O390">
        <v>10</v>
      </c>
      <c r="P390">
        <v>310</v>
      </c>
      <c r="Q390" t="s">
        <v>447</v>
      </c>
      <c r="R390" t="s">
        <v>201</v>
      </c>
      <c r="S390">
        <v>1</v>
      </c>
      <c r="T390">
        <v>1</v>
      </c>
      <c r="U390">
        <v>89112</v>
      </c>
      <c r="V390">
        <v>89112</v>
      </c>
    </row>
    <row r="391" spans="1:22">
      <c r="A391" t="s">
        <v>196</v>
      </c>
      <c r="B391">
        <v>21</v>
      </c>
      <c r="C391" t="s">
        <v>78</v>
      </c>
      <c r="D391">
        <v>100</v>
      </c>
      <c r="E391" t="s">
        <v>197</v>
      </c>
      <c r="F391">
        <v>1005</v>
      </c>
      <c r="G391" t="s">
        <v>78</v>
      </c>
      <c r="H391">
        <v>2010</v>
      </c>
      <c r="I391" t="s">
        <v>78</v>
      </c>
      <c r="J391">
        <v>3060</v>
      </c>
      <c r="K391" t="s">
        <v>612</v>
      </c>
      <c r="L391">
        <v>0</v>
      </c>
      <c r="N391" t="s">
        <v>199</v>
      </c>
      <c r="O391">
        <v>0</v>
      </c>
      <c r="P391">
        <v>15</v>
      </c>
      <c r="Q391" t="s">
        <v>264</v>
      </c>
      <c r="R391" t="s">
        <v>201</v>
      </c>
      <c r="S391">
        <v>0</v>
      </c>
      <c r="T391">
        <v>0</v>
      </c>
      <c r="U391">
        <v>5222</v>
      </c>
      <c r="V391">
        <v>5222</v>
      </c>
    </row>
    <row r="392" spans="1:22">
      <c r="A392" t="s">
        <v>196</v>
      </c>
      <c r="B392">
        <v>25</v>
      </c>
      <c r="C392" t="s">
        <v>61</v>
      </c>
      <c r="D392">
        <v>100</v>
      </c>
      <c r="E392" t="s">
        <v>197</v>
      </c>
      <c r="F392">
        <v>1005</v>
      </c>
      <c r="G392" t="s">
        <v>61</v>
      </c>
      <c r="H392">
        <v>2005</v>
      </c>
      <c r="I392" t="s">
        <v>61</v>
      </c>
      <c r="J392">
        <v>3005</v>
      </c>
      <c r="K392" t="s">
        <v>309</v>
      </c>
      <c r="L392">
        <v>0</v>
      </c>
      <c r="N392" t="s">
        <v>199</v>
      </c>
      <c r="O392">
        <v>9</v>
      </c>
      <c r="P392">
        <v>9925</v>
      </c>
      <c r="Q392" t="s">
        <v>613</v>
      </c>
      <c r="R392" t="s">
        <v>201</v>
      </c>
      <c r="S392">
        <v>1</v>
      </c>
      <c r="T392">
        <v>1</v>
      </c>
      <c r="U392">
        <v>175560</v>
      </c>
      <c r="V392">
        <v>175560</v>
      </c>
    </row>
    <row r="393" spans="1:22">
      <c r="A393" t="s">
        <v>196</v>
      </c>
      <c r="B393">
        <v>25</v>
      </c>
      <c r="C393" t="s">
        <v>61</v>
      </c>
      <c r="D393">
        <v>100</v>
      </c>
      <c r="E393" t="s">
        <v>197</v>
      </c>
      <c r="F393">
        <v>1005</v>
      </c>
      <c r="G393" t="s">
        <v>61</v>
      </c>
      <c r="H393">
        <v>2005</v>
      </c>
      <c r="I393" t="s">
        <v>61</v>
      </c>
      <c r="J393">
        <v>3005</v>
      </c>
      <c r="K393" t="s">
        <v>309</v>
      </c>
      <c r="L393">
        <v>0</v>
      </c>
      <c r="N393" t="s">
        <v>614</v>
      </c>
      <c r="O393">
        <v>9</v>
      </c>
      <c r="P393">
        <v>9730</v>
      </c>
      <c r="Q393" t="s">
        <v>615</v>
      </c>
      <c r="R393" t="s">
        <v>201</v>
      </c>
      <c r="S393">
        <v>1</v>
      </c>
      <c r="T393">
        <v>1</v>
      </c>
      <c r="U393">
        <v>176004</v>
      </c>
      <c r="V393">
        <v>176004</v>
      </c>
    </row>
    <row r="394" spans="1:22">
      <c r="A394" t="s">
        <v>196</v>
      </c>
      <c r="B394">
        <v>25</v>
      </c>
      <c r="C394" t="s">
        <v>61</v>
      </c>
      <c r="D394">
        <v>100</v>
      </c>
      <c r="E394" t="s">
        <v>197</v>
      </c>
      <c r="F394">
        <v>1005</v>
      </c>
      <c r="G394" t="s">
        <v>61</v>
      </c>
      <c r="H394">
        <v>2005</v>
      </c>
      <c r="I394" t="s">
        <v>61</v>
      </c>
      <c r="J394">
        <v>3005</v>
      </c>
      <c r="K394" t="s">
        <v>309</v>
      </c>
      <c r="L394">
        <v>0</v>
      </c>
      <c r="N394" t="s">
        <v>616</v>
      </c>
      <c r="O394">
        <v>9</v>
      </c>
      <c r="P394">
        <v>9674</v>
      </c>
      <c r="Q394" t="s">
        <v>327</v>
      </c>
      <c r="R394" t="s">
        <v>201</v>
      </c>
      <c r="S394">
        <v>1</v>
      </c>
      <c r="T394">
        <v>1</v>
      </c>
      <c r="U394">
        <v>158568</v>
      </c>
      <c r="V394">
        <v>158568</v>
      </c>
    </row>
    <row r="395" spans="1:22">
      <c r="A395" t="s">
        <v>196</v>
      </c>
      <c r="B395">
        <v>25</v>
      </c>
      <c r="C395" t="s">
        <v>61</v>
      </c>
      <c r="D395">
        <v>100</v>
      </c>
      <c r="E395" t="s">
        <v>197</v>
      </c>
      <c r="F395">
        <v>1005</v>
      </c>
      <c r="G395" t="s">
        <v>61</v>
      </c>
      <c r="H395">
        <v>2005</v>
      </c>
      <c r="I395" t="s">
        <v>61</v>
      </c>
      <c r="J395">
        <v>3005</v>
      </c>
      <c r="K395" t="s">
        <v>309</v>
      </c>
      <c r="L395">
        <v>0</v>
      </c>
      <c r="N395" t="s">
        <v>616</v>
      </c>
      <c r="O395">
        <v>9</v>
      </c>
      <c r="P395">
        <v>9674</v>
      </c>
      <c r="Q395" t="s">
        <v>327</v>
      </c>
      <c r="R395" t="s">
        <v>201</v>
      </c>
      <c r="S395">
        <v>1</v>
      </c>
      <c r="T395">
        <v>1</v>
      </c>
      <c r="U395">
        <v>151884</v>
      </c>
      <c r="V395">
        <v>151884</v>
      </c>
    </row>
    <row r="396" spans="1:22">
      <c r="A396" t="s">
        <v>196</v>
      </c>
      <c r="B396">
        <v>25</v>
      </c>
      <c r="C396" t="s">
        <v>61</v>
      </c>
      <c r="D396">
        <v>100</v>
      </c>
      <c r="E396" t="s">
        <v>197</v>
      </c>
      <c r="F396">
        <v>1005</v>
      </c>
      <c r="G396" t="s">
        <v>61</v>
      </c>
      <c r="H396">
        <v>2005</v>
      </c>
      <c r="I396" t="s">
        <v>61</v>
      </c>
      <c r="J396">
        <v>3005</v>
      </c>
      <c r="K396" t="s">
        <v>309</v>
      </c>
      <c r="L396">
        <v>0</v>
      </c>
      <c r="N396" t="s">
        <v>616</v>
      </c>
      <c r="O396">
        <v>9</v>
      </c>
      <c r="P396">
        <v>9674</v>
      </c>
      <c r="Q396" t="s">
        <v>327</v>
      </c>
      <c r="R396" t="s">
        <v>201</v>
      </c>
      <c r="S396">
        <v>1</v>
      </c>
      <c r="T396">
        <v>1</v>
      </c>
      <c r="U396">
        <v>142476</v>
      </c>
      <c r="V396">
        <v>142476</v>
      </c>
    </row>
    <row r="397" spans="1:22">
      <c r="A397" t="s">
        <v>196</v>
      </c>
      <c r="B397">
        <v>25</v>
      </c>
      <c r="C397" t="s">
        <v>61</v>
      </c>
      <c r="D397">
        <v>100</v>
      </c>
      <c r="E397" t="s">
        <v>197</v>
      </c>
      <c r="F397">
        <v>1005</v>
      </c>
      <c r="G397" t="s">
        <v>61</v>
      </c>
      <c r="H397">
        <v>2005</v>
      </c>
      <c r="I397" t="s">
        <v>61</v>
      </c>
      <c r="J397">
        <v>3005</v>
      </c>
      <c r="K397" t="s">
        <v>309</v>
      </c>
      <c r="L397">
        <v>0</v>
      </c>
      <c r="N397" t="s">
        <v>268</v>
      </c>
      <c r="O397">
        <v>10</v>
      </c>
      <c r="P397">
        <v>1911</v>
      </c>
      <c r="Q397" t="s">
        <v>617</v>
      </c>
      <c r="R397" t="s">
        <v>201</v>
      </c>
      <c r="S397">
        <v>1</v>
      </c>
      <c r="T397">
        <v>1</v>
      </c>
      <c r="U397">
        <v>69684</v>
      </c>
      <c r="V397">
        <v>69684</v>
      </c>
    </row>
    <row r="398" spans="1:22">
      <c r="A398" t="s">
        <v>196</v>
      </c>
      <c r="B398">
        <v>25</v>
      </c>
      <c r="C398" t="s">
        <v>61</v>
      </c>
      <c r="D398">
        <v>100</v>
      </c>
      <c r="E398" t="s">
        <v>197</v>
      </c>
      <c r="F398">
        <v>1005</v>
      </c>
      <c r="G398" t="s">
        <v>61</v>
      </c>
      <c r="H398">
        <v>2005</v>
      </c>
      <c r="I398" t="s">
        <v>61</v>
      </c>
      <c r="J398">
        <v>3005</v>
      </c>
      <c r="K398" t="s">
        <v>309</v>
      </c>
      <c r="L398">
        <v>0</v>
      </c>
      <c r="N398" t="s">
        <v>255</v>
      </c>
      <c r="O398">
        <v>1</v>
      </c>
      <c r="P398">
        <v>1302</v>
      </c>
      <c r="Q398" t="s">
        <v>340</v>
      </c>
      <c r="R398" t="s">
        <v>201</v>
      </c>
      <c r="S398">
        <v>1</v>
      </c>
      <c r="T398">
        <v>1</v>
      </c>
      <c r="U398">
        <v>124848</v>
      </c>
      <c r="V398">
        <v>124848</v>
      </c>
    </row>
    <row r="399" spans="1:22">
      <c r="A399" t="s">
        <v>196</v>
      </c>
      <c r="B399">
        <v>25</v>
      </c>
      <c r="C399" t="s">
        <v>61</v>
      </c>
      <c r="D399">
        <v>100</v>
      </c>
      <c r="E399" t="s">
        <v>197</v>
      </c>
      <c r="F399">
        <v>1005</v>
      </c>
      <c r="G399" t="s">
        <v>61</v>
      </c>
      <c r="H399">
        <v>2005</v>
      </c>
      <c r="I399" t="s">
        <v>61</v>
      </c>
      <c r="J399">
        <v>3005</v>
      </c>
      <c r="K399" t="s">
        <v>309</v>
      </c>
      <c r="L399">
        <v>0</v>
      </c>
      <c r="N399" t="s">
        <v>341</v>
      </c>
      <c r="O399">
        <v>1</v>
      </c>
      <c r="P399">
        <v>1301</v>
      </c>
      <c r="Q399" t="s">
        <v>618</v>
      </c>
      <c r="R399" t="s">
        <v>201</v>
      </c>
      <c r="S399">
        <v>1</v>
      </c>
      <c r="T399">
        <v>1</v>
      </c>
      <c r="U399">
        <v>77640</v>
      </c>
      <c r="V399">
        <v>77640</v>
      </c>
    </row>
    <row r="400" spans="1:22">
      <c r="A400" t="s">
        <v>196</v>
      </c>
      <c r="B400">
        <v>25</v>
      </c>
      <c r="C400" t="s">
        <v>61</v>
      </c>
      <c r="D400">
        <v>100</v>
      </c>
      <c r="E400" t="s">
        <v>197</v>
      </c>
      <c r="F400">
        <v>1005</v>
      </c>
      <c r="G400" t="s">
        <v>61</v>
      </c>
      <c r="H400">
        <v>2005</v>
      </c>
      <c r="I400" t="s">
        <v>61</v>
      </c>
      <c r="J400">
        <v>3005</v>
      </c>
      <c r="K400" t="s">
        <v>309</v>
      </c>
      <c r="L400">
        <v>0</v>
      </c>
      <c r="N400" t="s">
        <v>257</v>
      </c>
      <c r="O400">
        <v>9</v>
      </c>
      <c r="P400">
        <v>705</v>
      </c>
      <c r="Q400" t="s">
        <v>258</v>
      </c>
      <c r="R400" t="s">
        <v>201</v>
      </c>
      <c r="S400">
        <v>1</v>
      </c>
      <c r="T400">
        <v>1</v>
      </c>
      <c r="U400">
        <v>132912</v>
      </c>
      <c r="V400">
        <v>132912</v>
      </c>
    </row>
    <row r="401" spans="1:22">
      <c r="A401" t="s">
        <v>196</v>
      </c>
      <c r="B401">
        <v>25</v>
      </c>
      <c r="C401" t="s">
        <v>61</v>
      </c>
      <c r="D401">
        <v>100</v>
      </c>
      <c r="E401" t="s">
        <v>197</v>
      </c>
      <c r="F401">
        <v>1005</v>
      </c>
      <c r="G401" t="s">
        <v>61</v>
      </c>
      <c r="H401">
        <v>2005</v>
      </c>
      <c r="I401" t="s">
        <v>61</v>
      </c>
      <c r="J401">
        <v>3005</v>
      </c>
      <c r="K401" t="s">
        <v>309</v>
      </c>
      <c r="L401">
        <v>0</v>
      </c>
      <c r="N401" t="s">
        <v>247</v>
      </c>
      <c r="O401">
        <v>10</v>
      </c>
      <c r="P401" t="s">
        <v>619</v>
      </c>
      <c r="Q401" t="s">
        <v>620</v>
      </c>
      <c r="R401" t="s">
        <v>201</v>
      </c>
      <c r="S401">
        <v>1</v>
      </c>
      <c r="T401">
        <v>1</v>
      </c>
      <c r="U401">
        <v>63504</v>
      </c>
      <c r="V401">
        <v>63504</v>
      </c>
    </row>
    <row r="402" spans="1:22">
      <c r="A402" t="s">
        <v>196</v>
      </c>
      <c r="B402">
        <v>25</v>
      </c>
      <c r="C402" t="s">
        <v>61</v>
      </c>
      <c r="D402">
        <v>100</v>
      </c>
      <c r="E402" t="s">
        <v>197</v>
      </c>
      <c r="F402">
        <v>1005</v>
      </c>
      <c r="G402" t="s">
        <v>61</v>
      </c>
      <c r="H402">
        <v>2005</v>
      </c>
      <c r="I402" t="s">
        <v>61</v>
      </c>
      <c r="J402">
        <v>3005</v>
      </c>
      <c r="K402" t="s">
        <v>309</v>
      </c>
      <c r="L402">
        <v>0</v>
      </c>
      <c r="N402" t="s">
        <v>247</v>
      </c>
      <c r="O402">
        <v>10</v>
      </c>
      <c r="P402" t="s">
        <v>619</v>
      </c>
      <c r="Q402" t="s">
        <v>620</v>
      </c>
      <c r="R402" t="s">
        <v>201</v>
      </c>
      <c r="S402">
        <v>1</v>
      </c>
      <c r="T402">
        <v>1</v>
      </c>
      <c r="U402">
        <v>57852</v>
      </c>
      <c r="V402">
        <v>57852</v>
      </c>
    </row>
    <row r="403" spans="1:22">
      <c r="A403" t="s">
        <v>196</v>
      </c>
      <c r="B403">
        <v>25</v>
      </c>
      <c r="C403" t="s">
        <v>61</v>
      </c>
      <c r="D403">
        <v>100</v>
      </c>
      <c r="E403" t="s">
        <v>197</v>
      </c>
      <c r="F403">
        <v>1005</v>
      </c>
      <c r="G403" t="s">
        <v>61</v>
      </c>
      <c r="H403">
        <v>2005</v>
      </c>
      <c r="I403" t="s">
        <v>61</v>
      </c>
      <c r="J403">
        <v>3005</v>
      </c>
      <c r="K403" t="s">
        <v>309</v>
      </c>
      <c r="L403">
        <v>0</v>
      </c>
      <c r="N403" t="s">
        <v>199</v>
      </c>
      <c r="O403">
        <v>0</v>
      </c>
      <c r="P403">
        <v>15</v>
      </c>
      <c r="Q403" t="s">
        <v>264</v>
      </c>
      <c r="R403" t="s">
        <v>201</v>
      </c>
      <c r="S403">
        <v>0</v>
      </c>
      <c r="T403">
        <v>0</v>
      </c>
      <c r="U403">
        <v>17669</v>
      </c>
      <c r="V403">
        <v>17669</v>
      </c>
    </row>
    <row r="404" spans="1:22">
      <c r="A404" t="s">
        <v>196</v>
      </c>
      <c r="B404">
        <v>25</v>
      </c>
      <c r="C404" t="s">
        <v>61</v>
      </c>
      <c r="D404">
        <v>100</v>
      </c>
      <c r="E404" t="s">
        <v>197</v>
      </c>
      <c r="F404">
        <v>1005</v>
      </c>
      <c r="G404" t="s">
        <v>61</v>
      </c>
      <c r="H404">
        <v>2005</v>
      </c>
      <c r="I404" t="s">
        <v>61</v>
      </c>
      <c r="J404">
        <v>3010</v>
      </c>
      <c r="K404" t="s">
        <v>621</v>
      </c>
      <c r="L404">
        <v>0</v>
      </c>
      <c r="N404" t="s">
        <v>622</v>
      </c>
      <c r="O404">
        <v>1</v>
      </c>
      <c r="P404">
        <v>1614</v>
      </c>
      <c r="Q404" t="s">
        <v>623</v>
      </c>
      <c r="R404" t="s">
        <v>201</v>
      </c>
      <c r="S404">
        <v>1</v>
      </c>
      <c r="T404">
        <v>1</v>
      </c>
      <c r="U404">
        <v>64488</v>
      </c>
      <c r="V404">
        <v>64488</v>
      </c>
    </row>
    <row r="405" spans="1:22">
      <c r="A405" t="s">
        <v>196</v>
      </c>
      <c r="B405">
        <v>25</v>
      </c>
      <c r="C405" t="s">
        <v>61</v>
      </c>
      <c r="D405">
        <v>100</v>
      </c>
      <c r="E405" t="s">
        <v>197</v>
      </c>
      <c r="F405">
        <v>1005</v>
      </c>
      <c r="G405" t="s">
        <v>61</v>
      </c>
      <c r="H405">
        <v>2005</v>
      </c>
      <c r="I405" t="s">
        <v>61</v>
      </c>
      <c r="J405">
        <v>3010</v>
      </c>
      <c r="K405" t="s">
        <v>621</v>
      </c>
      <c r="L405">
        <v>0</v>
      </c>
      <c r="N405" t="s">
        <v>622</v>
      </c>
      <c r="O405">
        <v>1</v>
      </c>
      <c r="P405">
        <v>1614</v>
      </c>
      <c r="Q405" t="s">
        <v>623</v>
      </c>
      <c r="R405" t="s">
        <v>201</v>
      </c>
      <c r="S405">
        <v>1</v>
      </c>
      <c r="T405">
        <v>1</v>
      </c>
      <c r="U405">
        <v>51936</v>
      </c>
      <c r="V405">
        <v>51936</v>
      </c>
    </row>
    <row r="406" spans="1:22">
      <c r="A406" t="s">
        <v>196</v>
      </c>
      <c r="B406">
        <v>25</v>
      </c>
      <c r="C406" t="s">
        <v>61</v>
      </c>
      <c r="D406">
        <v>100</v>
      </c>
      <c r="E406" t="s">
        <v>197</v>
      </c>
      <c r="F406">
        <v>1005</v>
      </c>
      <c r="G406" t="s">
        <v>61</v>
      </c>
      <c r="H406">
        <v>2005</v>
      </c>
      <c r="I406" t="s">
        <v>61</v>
      </c>
      <c r="J406">
        <v>3010</v>
      </c>
      <c r="K406" t="s">
        <v>621</v>
      </c>
      <c r="L406">
        <v>0</v>
      </c>
      <c r="N406" t="s">
        <v>247</v>
      </c>
      <c r="O406">
        <v>20</v>
      </c>
      <c r="P406">
        <v>770</v>
      </c>
      <c r="Q406" t="s">
        <v>624</v>
      </c>
      <c r="R406" t="s">
        <v>201</v>
      </c>
      <c r="S406">
        <v>1</v>
      </c>
      <c r="T406">
        <v>1</v>
      </c>
      <c r="U406">
        <v>85980</v>
      </c>
      <c r="V406">
        <v>85980</v>
      </c>
    </row>
    <row r="407" spans="1:22">
      <c r="A407" t="s">
        <v>196</v>
      </c>
      <c r="B407">
        <v>25</v>
      </c>
      <c r="C407" t="s">
        <v>61</v>
      </c>
      <c r="D407">
        <v>100</v>
      </c>
      <c r="E407" t="s">
        <v>197</v>
      </c>
      <c r="F407">
        <v>1005</v>
      </c>
      <c r="G407" t="s">
        <v>61</v>
      </c>
      <c r="H407">
        <v>2005</v>
      </c>
      <c r="I407" t="s">
        <v>61</v>
      </c>
      <c r="J407">
        <v>3010</v>
      </c>
      <c r="K407" t="s">
        <v>621</v>
      </c>
      <c r="L407">
        <v>0</v>
      </c>
      <c r="N407" t="s">
        <v>360</v>
      </c>
      <c r="O407">
        <v>1</v>
      </c>
      <c r="P407">
        <v>725</v>
      </c>
      <c r="Q407" t="s">
        <v>625</v>
      </c>
      <c r="R407" t="s">
        <v>201</v>
      </c>
      <c r="S407">
        <v>1</v>
      </c>
      <c r="T407">
        <v>1</v>
      </c>
      <c r="U407">
        <v>70752</v>
      </c>
      <c r="V407">
        <v>70752</v>
      </c>
    </row>
    <row r="408" spans="1:22">
      <c r="A408" t="s">
        <v>196</v>
      </c>
      <c r="B408">
        <v>25</v>
      </c>
      <c r="C408" t="s">
        <v>61</v>
      </c>
      <c r="D408">
        <v>100</v>
      </c>
      <c r="E408" t="s">
        <v>197</v>
      </c>
      <c r="F408">
        <v>1005</v>
      </c>
      <c r="G408" t="s">
        <v>61</v>
      </c>
      <c r="H408">
        <v>2005</v>
      </c>
      <c r="I408" t="s">
        <v>61</v>
      </c>
      <c r="J408">
        <v>3010</v>
      </c>
      <c r="K408" t="s">
        <v>621</v>
      </c>
      <c r="L408">
        <v>0</v>
      </c>
      <c r="N408" t="s">
        <v>199</v>
      </c>
      <c r="O408">
        <v>0</v>
      </c>
      <c r="P408">
        <v>15</v>
      </c>
      <c r="Q408" t="s">
        <v>264</v>
      </c>
      <c r="R408" t="s">
        <v>201</v>
      </c>
      <c r="S408">
        <v>0</v>
      </c>
      <c r="T408">
        <v>0</v>
      </c>
      <c r="U408">
        <v>3853</v>
      </c>
      <c r="V408">
        <v>3853</v>
      </c>
    </row>
    <row r="409" spans="1:22">
      <c r="A409" t="s">
        <v>196</v>
      </c>
      <c r="B409">
        <v>25</v>
      </c>
      <c r="C409" t="s">
        <v>61</v>
      </c>
      <c r="D409">
        <v>100</v>
      </c>
      <c r="E409" t="s">
        <v>197</v>
      </c>
      <c r="F409">
        <v>1005</v>
      </c>
      <c r="G409" t="s">
        <v>61</v>
      </c>
      <c r="H409">
        <v>2005</v>
      </c>
      <c r="I409" t="s">
        <v>61</v>
      </c>
      <c r="J409">
        <v>3015</v>
      </c>
      <c r="K409" t="s">
        <v>626</v>
      </c>
      <c r="L409">
        <v>0</v>
      </c>
      <c r="N409" t="s">
        <v>351</v>
      </c>
      <c r="O409">
        <v>1</v>
      </c>
      <c r="P409">
        <v>6410</v>
      </c>
      <c r="Q409" t="s">
        <v>627</v>
      </c>
      <c r="R409" t="s">
        <v>201</v>
      </c>
      <c r="S409">
        <v>1</v>
      </c>
      <c r="T409">
        <v>1</v>
      </c>
      <c r="U409">
        <v>70752</v>
      </c>
      <c r="V409">
        <v>70752</v>
      </c>
    </row>
    <row r="410" spans="1:22">
      <c r="A410" t="s">
        <v>196</v>
      </c>
      <c r="B410">
        <v>25</v>
      </c>
      <c r="C410" t="s">
        <v>61</v>
      </c>
      <c r="D410">
        <v>100</v>
      </c>
      <c r="E410" t="s">
        <v>197</v>
      </c>
      <c r="F410">
        <v>1005</v>
      </c>
      <c r="G410" t="s">
        <v>61</v>
      </c>
      <c r="H410">
        <v>2005</v>
      </c>
      <c r="I410" t="s">
        <v>61</v>
      </c>
      <c r="J410">
        <v>3015</v>
      </c>
      <c r="K410" t="s">
        <v>626</v>
      </c>
      <c r="L410">
        <v>0</v>
      </c>
      <c r="N410" t="s">
        <v>622</v>
      </c>
      <c r="O410">
        <v>1</v>
      </c>
      <c r="P410">
        <v>1614</v>
      </c>
      <c r="Q410" t="s">
        <v>623</v>
      </c>
      <c r="R410" t="s">
        <v>201</v>
      </c>
      <c r="S410">
        <v>1</v>
      </c>
      <c r="T410">
        <v>1</v>
      </c>
      <c r="U410">
        <v>86112</v>
      </c>
      <c r="V410">
        <v>86112</v>
      </c>
    </row>
    <row r="411" spans="1:22">
      <c r="A411" t="s">
        <v>196</v>
      </c>
      <c r="B411">
        <v>25</v>
      </c>
      <c r="C411" t="s">
        <v>61</v>
      </c>
      <c r="D411">
        <v>100</v>
      </c>
      <c r="E411" t="s">
        <v>197</v>
      </c>
      <c r="F411">
        <v>1005</v>
      </c>
      <c r="G411" t="s">
        <v>61</v>
      </c>
      <c r="H411">
        <v>2005</v>
      </c>
      <c r="I411" t="s">
        <v>61</v>
      </c>
      <c r="J411">
        <v>3015</v>
      </c>
      <c r="K411" t="s">
        <v>626</v>
      </c>
      <c r="L411">
        <v>0</v>
      </c>
      <c r="N411" t="s">
        <v>622</v>
      </c>
      <c r="O411">
        <v>1</v>
      </c>
      <c r="P411">
        <v>1614</v>
      </c>
      <c r="Q411" t="s">
        <v>623</v>
      </c>
      <c r="R411" t="s">
        <v>201</v>
      </c>
      <c r="S411">
        <v>1</v>
      </c>
      <c r="T411">
        <v>1</v>
      </c>
      <c r="U411">
        <v>68256</v>
      </c>
      <c r="V411">
        <v>68256</v>
      </c>
    </row>
    <row r="412" spans="1:22">
      <c r="A412" t="s">
        <v>196</v>
      </c>
      <c r="B412">
        <v>25</v>
      </c>
      <c r="C412" t="s">
        <v>61</v>
      </c>
      <c r="D412">
        <v>100</v>
      </c>
      <c r="E412" t="s">
        <v>197</v>
      </c>
      <c r="F412">
        <v>1005</v>
      </c>
      <c r="G412" t="s">
        <v>61</v>
      </c>
      <c r="H412">
        <v>2005</v>
      </c>
      <c r="I412" t="s">
        <v>61</v>
      </c>
      <c r="J412">
        <v>3015</v>
      </c>
      <c r="K412" t="s">
        <v>626</v>
      </c>
      <c r="L412">
        <v>0</v>
      </c>
      <c r="N412" t="s">
        <v>622</v>
      </c>
      <c r="O412">
        <v>1</v>
      </c>
      <c r="P412">
        <v>1614</v>
      </c>
      <c r="Q412" t="s">
        <v>623</v>
      </c>
      <c r="R412" t="s">
        <v>201</v>
      </c>
      <c r="S412">
        <v>1</v>
      </c>
      <c r="T412">
        <v>1</v>
      </c>
      <c r="U412">
        <v>58764</v>
      </c>
      <c r="V412">
        <v>58764</v>
      </c>
    </row>
    <row r="413" spans="1:22">
      <c r="A413" t="s">
        <v>196</v>
      </c>
      <c r="B413">
        <v>25</v>
      </c>
      <c r="C413" t="s">
        <v>61</v>
      </c>
      <c r="D413">
        <v>100</v>
      </c>
      <c r="E413" t="s">
        <v>197</v>
      </c>
      <c r="F413">
        <v>1005</v>
      </c>
      <c r="G413" t="s">
        <v>61</v>
      </c>
      <c r="H413">
        <v>2005</v>
      </c>
      <c r="I413" t="s">
        <v>61</v>
      </c>
      <c r="J413">
        <v>3015</v>
      </c>
      <c r="K413" t="s">
        <v>626</v>
      </c>
      <c r="L413">
        <v>0</v>
      </c>
      <c r="N413" t="s">
        <v>622</v>
      </c>
      <c r="O413">
        <v>1</v>
      </c>
      <c r="P413">
        <v>1614</v>
      </c>
      <c r="Q413" t="s">
        <v>623</v>
      </c>
      <c r="R413" t="s">
        <v>201</v>
      </c>
      <c r="S413">
        <v>2</v>
      </c>
      <c r="T413">
        <v>1</v>
      </c>
      <c r="U413">
        <v>51936</v>
      </c>
      <c r="V413">
        <v>103872</v>
      </c>
    </row>
    <row r="414" spans="1:22">
      <c r="A414" t="s">
        <v>196</v>
      </c>
      <c r="B414">
        <v>25</v>
      </c>
      <c r="C414" t="s">
        <v>61</v>
      </c>
      <c r="D414">
        <v>100</v>
      </c>
      <c r="E414" t="s">
        <v>197</v>
      </c>
      <c r="F414">
        <v>1005</v>
      </c>
      <c r="G414" t="s">
        <v>61</v>
      </c>
      <c r="H414">
        <v>2005</v>
      </c>
      <c r="I414" t="s">
        <v>61</v>
      </c>
      <c r="J414">
        <v>3015</v>
      </c>
      <c r="K414" t="s">
        <v>626</v>
      </c>
      <c r="L414">
        <v>0</v>
      </c>
      <c r="N414" t="s">
        <v>628</v>
      </c>
      <c r="O414">
        <v>10</v>
      </c>
      <c r="P414">
        <v>728</v>
      </c>
      <c r="Q414" t="s">
        <v>629</v>
      </c>
      <c r="R414" t="s">
        <v>201</v>
      </c>
      <c r="S414">
        <v>1</v>
      </c>
      <c r="T414">
        <v>1</v>
      </c>
      <c r="U414">
        <v>117780</v>
      </c>
      <c r="V414">
        <v>117780</v>
      </c>
    </row>
    <row r="415" spans="1:22">
      <c r="A415" t="s">
        <v>196</v>
      </c>
      <c r="B415">
        <v>25</v>
      </c>
      <c r="C415" t="s">
        <v>61</v>
      </c>
      <c r="D415">
        <v>100</v>
      </c>
      <c r="E415" t="s">
        <v>197</v>
      </c>
      <c r="F415">
        <v>1005</v>
      </c>
      <c r="G415" t="s">
        <v>61</v>
      </c>
      <c r="H415">
        <v>2005</v>
      </c>
      <c r="I415" t="s">
        <v>61</v>
      </c>
      <c r="J415">
        <v>3015</v>
      </c>
      <c r="K415" t="s">
        <v>626</v>
      </c>
      <c r="L415">
        <v>0</v>
      </c>
      <c r="N415" t="s">
        <v>616</v>
      </c>
      <c r="O415">
        <v>20</v>
      </c>
      <c r="P415">
        <v>727</v>
      </c>
      <c r="Q415" t="s">
        <v>630</v>
      </c>
      <c r="R415" t="s">
        <v>201</v>
      </c>
      <c r="S415">
        <v>1</v>
      </c>
      <c r="T415">
        <v>1</v>
      </c>
      <c r="U415">
        <v>158568</v>
      </c>
      <c r="V415">
        <v>158568</v>
      </c>
    </row>
    <row r="416" spans="1:22">
      <c r="A416" t="s">
        <v>196</v>
      </c>
      <c r="B416">
        <v>25</v>
      </c>
      <c r="C416" t="s">
        <v>61</v>
      </c>
      <c r="D416">
        <v>100</v>
      </c>
      <c r="E416" t="s">
        <v>197</v>
      </c>
      <c r="F416">
        <v>1005</v>
      </c>
      <c r="G416" t="s">
        <v>61</v>
      </c>
      <c r="H416">
        <v>2005</v>
      </c>
      <c r="I416" t="s">
        <v>61</v>
      </c>
      <c r="J416">
        <v>3015</v>
      </c>
      <c r="K416" t="s">
        <v>626</v>
      </c>
      <c r="L416">
        <v>0</v>
      </c>
      <c r="N416" t="s">
        <v>631</v>
      </c>
      <c r="O416">
        <v>9</v>
      </c>
      <c r="P416">
        <v>726</v>
      </c>
      <c r="Q416" t="s">
        <v>632</v>
      </c>
      <c r="R416" t="s">
        <v>201</v>
      </c>
      <c r="S416">
        <v>1</v>
      </c>
      <c r="T416">
        <v>1</v>
      </c>
      <c r="U416">
        <v>138840</v>
      </c>
      <c r="V416">
        <v>138840</v>
      </c>
    </row>
    <row r="417" spans="1:22">
      <c r="A417" t="s">
        <v>196</v>
      </c>
      <c r="B417">
        <v>25</v>
      </c>
      <c r="C417" t="s">
        <v>61</v>
      </c>
      <c r="D417">
        <v>100</v>
      </c>
      <c r="E417" t="s">
        <v>197</v>
      </c>
      <c r="F417">
        <v>1005</v>
      </c>
      <c r="G417" t="s">
        <v>61</v>
      </c>
      <c r="H417">
        <v>2005</v>
      </c>
      <c r="I417" t="s">
        <v>61</v>
      </c>
      <c r="J417">
        <v>3015</v>
      </c>
      <c r="K417" t="s">
        <v>626</v>
      </c>
      <c r="L417">
        <v>0</v>
      </c>
      <c r="N417" t="s">
        <v>360</v>
      </c>
      <c r="O417">
        <v>1</v>
      </c>
      <c r="P417">
        <v>725</v>
      </c>
      <c r="Q417" t="s">
        <v>625</v>
      </c>
      <c r="R417" t="s">
        <v>201</v>
      </c>
      <c r="S417">
        <v>1</v>
      </c>
      <c r="T417">
        <v>1</v>
      </c>
      <c r="U417">
        <v>98928</v>
      </c>
      <c r="V417">
        <v>98928</v>
      </c>
    </row>
    <row r="418" spans="1:22">
      <c r="A418" t="s">
        <v>196</v>
      </c>
      <c r="B418">
        <v>25</v>
      </c>
      <c r="C418" t="s">
        <v>61</v>
      </c>
      <c r="D418">
        <v>100</v>
      </c>
      <c r="E418" t="s">
        <v>197</v>
      </c>
      <c r="F418">
        <v>1005</v>
      </c>
      <c r="G418" t="s">
        <v>61</v>
      </c>
      <c r="H418">
        <v>2005</v>
      </c>
      <c r="I418" t="s">
        <v>61</v>
      </c>
      <c r="J418">
        <v>3015</v>
      </c>
      <c r="K418" t="s">
        <v>626</v>
      </c>
      <c r="L418">
        <v>0</v>
      </c>
      <c r="N418" t="s">
        <v>360</v>
      </c>
      <c r="O418">
        <v>1</v>
      </c>
      <c r="P418">
        <v>725</v>
      </c>
      <c r="Q418" t="s">
        <v>625</v>
      </c>
      <c r="R418" t="s">
        <v>201</v>
      </c>
      <c r="S418">
        <v>1</v>
      </c>
      <c r="T418">
        <v>1</v>
      </c>
      <c r="U418">
        <v>64488</v>
      </c>
      <c r="V418">
        <v>64488</v>
      </c>
    </row>
    <row r="419" spans="1:22">
      <c r="A419" t="s">
        <v>196</v>
      </c>
      <c r="B419">
        <v>25</v>
      </c>
      <c r="C419" t="s">
        <v>61</v>
      </c>
      <c r="D419">
        <v>100</v>
      </c>
      <c r="E419" t="s">
        <v>197</v>
      </c>
      <c r="F419">
        <v>1005</v>
      </c>
      <c r="G419" t="s">
        <v>61</v>
      </c>
      <c r="H419">
        <v>2005</v>
      </c>
      <c r="I419" t="s">
        <v>61</v>
      </c>
      <c r="J419">
        <v>3015</v>
      </c>
      <c r="K419" t="s">
        <v>626</v>
      </c>
      <c r="L419">
        <v>0</v>
      </c>
      <c r="N419" t="s">
        <v>360</v>
      </c>
      <c r="O419">
        <v>1</v>
      </c>
      <c r="P419">
        <v>725</v>
      </c>
      <c r="Q419" t="s">
        <v>625</v>
      </c>
      <c r="R419" t="s">
        <v>201</v>
      </c>
      <c r="S419">
        <v>1</v>
      </c>
      <c r="T419">
        <v>1</v>
      </c>
      <c r="U419">
        <v>57000</v>
      </c>
      <c r="V419">
        <v>57000</v>
      </c>
    </row>
    <row r="420" spans="1:22">
      <c r="A420" t="s">
        <v>196</v>
      </c>
      <c r="B420">
        <v>25</v>
      </c>
      <c r="C420" t="s">
        <v>61</v>
      </c>
      <c r="D420">
        <v>100</v>
      </c>
      <c r="E420" t="s">
        <v>197</v>
      </c>
      <c r="F420">
        <v>1005</v>
      </c>
      <c r="G420" t="s">
        <v>61</v>
      </c>
      <c r="H420">
        <v>2005</v>
      </c>
      <c r="I420" t="s">
        <v>61</v>
      </c>
      <c r="J420">
        <v>3015</v>
      </c>
      <c r="K420" t="s">
        <v>626</v>
      </c>
      <c r="L420">
        <v>0</v>
      </c>
      <c r="N420" t="s">
        <v>633</v>
      </c>
      <c r="O420">
        <v>1</v>
      </c>
      <c r="P420">
        <v>502</v>
      </c>
      <c r="Q420" t="s">
        <v>634</v>
      </c>
      <c r="R420" t="s">
        <v>201</v>
      </c>
      <c r="S420">
        <v>1</v>
      </c>
      <c r="T420">
        <v>1</v>
      </c>
      <c r="U420">
        <v>76464</v>
      </c>
      <c r="V420">
        <v>76464</v>
      </c>
    </row>
    <row r="421" spans="1:22">
      <c r="A421" t="s">
        <v>196</v>
      </c>
      <c r="B421">
        <v>25</v>
      </c>
      <c r="C421" t="s">
        <v>61</v>
      </c>
      <c r="D421">
        <v>100</v>
      </c>
      <c r="E421" t="s">
        <v>197</v>
      </c>
      <c r="F421">
        <v>1005</v>
      </c>
      <c r="G421" t="s">
        <v>61</v>
      </c>
      <c r="H421">
        <v>2005</v>
      </c>
      <c r="I421" t="s">
        <v>61</v>
      </c>
      <c r="J421">
        <v>3015</v>
      </c>
      <c r="K421" t="s">
        <v>626</v>
      </c>
      <c r="L421">
        <v>0</v>
      </c>
      <c r="N421" t="s">
        <v>351</v>
      </c>
      <c r="O421">
        <v>1</v>
      </c>
      <c r="P421" t="s">
        <v>352</v>
      </c>
      <c r="Q421" t="s">
        <v>353</v>
      </c>
      <c r="R421" t="s">
        <v>201</v>
      </c>
      <c r="S421">
        <v>2</v>
      </c>
      <c r="T421">
        <v>1</v>
      </c>
      <c r="U421">
        <v>108576</v>
      </c>
      <c r="V421">
        <v>217152</v>
      </c>
    </row>
    <row r="422" spans="1:22">
      <c r="A422" t="s">
        <v>196</v>
      </c>
      <c r="B422">
        <v>25</v>
      </c>
      <c r="C422" t="s">
        <v>61</v>
      </c>
      <c r="D422">
        <v>100</v>
      </c>
      <c r="E422" t="s">
        <v>197</v>
      </c>
      <c r="F422">
        <v>1005</v>
      </c>
      <c r="G422" t="s">
        <v>61</v>
      </c>
      <c r="H422">
        <v>2005</v>
      </c>
      <c r="I422" t="s">
        <v>61</v>
      </c>
      <c r="J422">
        <v>3015</v>
      </c>
      <c r="K422" t="s">
        <v>626</v>
      </c>
      <c r="L422">
        <v>0</v>
      </c>
      <c r="N422" t="s">
        <v>351</v>
      </c>
      <c r="O422">
        <v>1</v>
      </c>
      <c r="P422" t="s">
        <v>352</v>
      </c>
      <c r="Q422" t="s">
        <v>353</v>
      </c>
      <c r="R422" t="s">
        <v>201</v>
      </c>
      <c r="S422">
        <v>1</v>
      </c>
      <c r="T422">
        <v>1</v>
      </c>
      <c r="U422">
        <v>62544</v>
      </c>
      <c r="V422">
        <v>62544</v>
      </c>
    </row>
    <row r="423" spans="1:22">
      <c r="A423" t="s">
        <v>196</v>
      </c>
      <c r="B423">
        <v>25</v>
      </c>
      <c r="C423" t="s">
        <v>61</v>
      </c>
      <c r="D423">
        <v>100</v>
      </c>
      <c r="E423" t="s">
        <v>197</v>
      </c>
      <c r="F423">
        <v>1005</v>
      </c>
      <c r="G423" t="s">
        <v>61</v>
      </c>
      <c r="H423">
        <v>2005</v>
      </c>
      <c r="I423" t="s">
        <v>61</v>
      </c>
      <c r="J423">
        <v>3015</v>
      </c>
      <c r="K423" t="s">
        <v>626</v>
      </c>
      <c r="L423">
        <v>0</v>
      </c>
      <c r="N423" t="s">
        <v>631</v>
      </c>
      <c r="O423">
        <v>0</v>
      </c>
      <c r="P423" t="s">
        <v>635</v>
      </c>
      <c r="Q423" t="s">
        <v>636</v>
      </c>
      <c r="R423" t="s">
        <v>201</v>
      </c>
      <c r="S423">
        <v>1</v>
      </c>
      <c r="T423">
        <v>1</v>
      </c>
      <c r="U423">
        <v>124848</v>
      </c>
      <c r="V423">
        <v>124848</v>
      </c>
    </row>
    <row r="424" spans="1:22">
      <c r="A424" t="s">
        <v>196</v>
      </c>
      <c r="B424">
        <v>25</v>
      </c>
      <c r="C424" t="s">
        <v>61</v>
      </c>
      <c r="D424">
        <v>100</v>
      </c>
      <c r="E424" t="s">
        <v>197</v>
      </c>
      <c r="F424">
        <v>1005</v>
      </c>
      <c r="G424" t="s">
        <v>61</v>
      </c>
      <c r="H424">
        <v>2005</v>
      </c>
      <c r="I424" t="s">
        <v>61</v>
      </c>
      <c r="J424">
        <v>3015</v>
      </c>
      <c r="K424" t="s">
        <v>626</v>
      </c>
      <c r="L424">
        <v>0</v>
      </c>
      <c r="N424" t="s">
        <v>341</v>
      </c>
      <c r="O424">
        <v>1</v>
      </c>
      <c r="P424">
        <v>308</v>
      </c>
      <c r="Q424" t="s">
        <v>355</v>
      </c>
      <c r="R424" t="s">
        <v>201</v>
      </c>
      <c r="S424">
        <v>1</v>
      </c>
      <c r="T424">
        <v>1</v>
      </c>
      <c r="U424">
        <v>113628</v>
      </c>
      <c r="V424">
        <v>113628</v>
      </c>
    </row>
    <row r="425" spans="1:22">
      <c r="A425" t="s">
        <v>196</v>
      </c>
      <c r="B425">
        <v>25</v>
      </c>
      <c r="C425" t="s">
        <v>61</v>
      </c>
      <c r="D425">
        <v>100</v>
      </c>
      <c r="E425" t="s">
        <v>197</v>
      </c>
      <c r="F425">
        <v>1005</v>
      </c>
      <c r="G425" t="s">
        <v>61</v>
      </c>
      <c r="H425">
        <v>2005</v>
      </c>
      <c r="I425" t="s">
        <v>61</v>
      </c>
      <c r="J425">
        <v>3015</v>
      </c>
      <c r="K425" t="s">
        <v>626</v>
      </c>
      <c r="L425">
        <v>0</v>
      </c>
      <c r="N425" t="s">
        <v>199</v>
      </c>
      <c r="O425">
        <v>0</v>
      </c>
      <c r="P425">
        <v>15</v>
      </c>
      <c r="Q425" t="s">
        <v>264</v>
      </c>
      <c r="R425" t="s">
        <v>201</v>
      </c>
      <c r="S425">
        <v>0</v>
      </c>
      <c r="T425">
        <v>0</v>
      </c>
      <c r="U425">
        <v>17297</v>
      </c>
      <c r="V425">
        <v>17297</v>
      </c>
    </row>
    <row r="426" spans="1:22">
      <c r="A426" t="s">
        <v>196</v>
      </c>
      <c r="B426">
        <v>27</v>
      </c>
      <c r="C426" t="s">
        <v>637</v>
      </c>
      <c r="D426">
        <v>100</v>
      </c>
      <c r="E426" t="s">
        <v>197</v>
      </c>
      <c r="F426">
        <v>1005</v>
      </c>
      <c r="G426" t="s">
        <v>638</v>
      </c>
      <c r="H426">
        <v>2011</v>
      </c>
      <c r="I426" t="s">
        <v>89</v>
      </c>
      <c r="J426">
        <v>3001</v>
      </c>
      <c r="K426" t="s">
        <v>639</v>
      </c>
      <c r="L426">
        <v>0</v>
      </c>
      <c r="N426" t="s">
        <v>199</v>
      </c>
      <c r="O426">
        <v>9</v>
      </c>
      <c r="P426">
        <v>9927</v>
      </c>
      <c r="Q426" t="s">
        <v>89</v>
      </c>
      <c r="R426" t="s">
        <v>201</v>
      </c>
      <c r="S426">
        <v>1</v>
      </c>
      <c r="T426">
        <v>1</v>
      </c>
      <c r="U426">
        <v>214344</v>
      </c>
      <c r="V426">
        <v>214344</v>
      </c>
    </row>
    <row r="427" spans="1:22">
      <c r="A427" t="s">
        <v>196</v>
      </c>
      <c r="B427">
        <v>27</v>
      </c>
      <c r="C427" t="s">
        <v>637</v>
      </c>
      <c r="D427">
        <v>100</v>
      </c>
      <c r="E427" t="s">
        <v>197</v>
      </c>
      <c r="F427">
        <v>1005</v>
      </c>
      <c r="G427" t="s">
        <v>638</v>
      </c>
      <c r="H427">
        <v>2011</v>
      </c>
      <c r="I427" t="s">
        <v>89</v>
      </c>
      <c r="J427">
        <v>3001</v>
      </c>
      <c r="K427" t="s">
        <v>639</v>
      </c>
      <c r="L427">
        <v>0</v>
      </c>
      <c r="N427" t="s">
        <v>311</v>
      </c>
      <c r="O427">
        <v>0</v>
      </c>
      <c r="P427">
        <v>9812</v>
      </c>
      <c r="Q427" t="s">
        <v>640</v>
      </c>
      <c r="R427" t="s">
        <v>201</v>
      </c>
      <c r="S427">
        <v>1</v>
      </c>
      <c r="T427">
        <v>1</v>
      </c>
      <c r="U427">
        <v>194688</v>
      </c>
      <c r="V427">
        <v>194688</v>
      </c>
    </row>
    <row r="428" spans="1:22">
      <c r="A428" t="s">
        <v>196</v>
      </c>
      <c r="B428">
        <v>27</v>
      </c>
      <c r="C428" t="s">
        <v>637</v>
      </c>
      <c r="D428">
        <v>100</v>
      </c>
      <c r="E428" t="s">
        <v>197</v>
      </c>
      <c r="F428">
        <v>1005</v>
      </c>
      <c r="G428" t="s">
        <v>638</v>
      </c>
      <c r="H428">
        <v>2011</v>
      </c>
      <c r="I428" t="s">
        <v>89</v>
      </c>
      <c r="J428">
        <v>3001</v>
      </c>
      <c r="K428" t="s">
        <v>639</v>
      </c>
      <c r="L428">
        <v>0</v>
      </c>
      <c r="N428" t="s">
        <v>266</v>
      </c>
      <c r="O428">
        <v>9</v>
      </c>
      <c r="P428">
        <v>9684</v>
      </c>
      <c r="Q428" t="s">
        <v>327</v>
      </c>
      <c r="R428" t="s">
        <v>201</v>
      </c>
      <c r="S428">
        <v>1</v>
      </c>
      <c r="T428">
        <v>1</v>
      </c>
      <c r="U428">
        <v>175512</v>
      </c>
      <c r="V428">
        <v>175512</v>
      </c>
    </row>
    <row r="429" spans="1:22">
      <c r="A429" t="s">
        <v>196</v>
      </c>
      <c r="B429">
        <v>27</v>
      </c>
      <c r="C429" t="s">
        <v>637</v>
      </c>
      <c r="D429">
        <v>100</v>
      </c>
      <c r="E429" t="s">
        <v>197</v>
      </c>
      <c r="F429">
        <v>1005</v>
      </c>
      <c r="G429" t="s">
        <v>638</v>
      </c>
      <c r="H429">
        <v>2011</v>
      </c>
      <c r="I429" t="s">
        <v>89</v>
      </c>
      <c r="J429">
        <v>3001</v>
      </c>
      <c r="K429" t="s">
        <v>639</v>
      </c>
      <c r="L429">
        <v>0</v>
      </c>
      <c r="N429" t="s">
        <v>251</v>
      </c>
      <c r="O429">
        <v>10</v>
      </c>
      <c r="P429">
        <v>802</v>
      </c>
      <c r="Q429" t="s">
        <v>252</v>
      </c>
      <c r="R429" t="s">
        <v>201</v>
      </c>
      <c r="S429">
        <v>1</v>
      </c>
      <c r="T429">
        <v>1</v>
      </c>
      <c r="U429">
        <v>124584</v>
      </c>
      <c r="V429">
        <v>124584</v>
      </c>
    </row>
    <row r="430" spans="1:22">
      <c r="A430" t="s">
        <v>196</v>
      </c>
      <c r="B430">
        <v>27</v>
      </c>
      <c r="C430" t="s">
        <v>637</v>
      </c>
      <c r="D430">
        <v>100</v>
      </c>
      <c r="E430" t="s">
        <v>197</v>
      </c>
      <c r="F430">
        <v>1005</v>
      </c>
      <c r="G430" t="s">
        <v>638</v>
      </c>
      <c r="H430">
        <v>2011</v>
      </c>
      <c r="I430" t="s">
        <v>89</v>
      </c>
      <c r="J430">
        <v>3001</v>
      </c>
      <c r="K430" t="s">
        <v>639</v>
      </c>
      <c r="L430">
        <v>0</v>
      </c>
      <c r="N430" t="s">
        <v>341</v>
      </c>
      <c r="O430">
        <v>1</v>
      </c>
      <c r="P430">
        <v>708</v>
      </c>
      <c r="Q430" t="s">
        <v>342</v>
      </c>
      <c r="R430" t="s">
        <v>201</v>
      </c>
      <c r="S430">
        <v>1</v>
      </c>
      <c r="T430">
        <v>1</v>
      </c>
      <c r="U430">
        <v>85200</v>
      </c>
      <c r="V430">
        <v>85200</v>
      </c>
    </row>
    <row r="431" spans="1:22">
      <c r="A431" t="s">
        <v>196</v>
      </c>
      <c r="B431">
        <v>27</v>
      </c>
      <c r="C431" t="s">
        <v>637</v>
      </c>
      <c r="D431">
        <v>100</v>
      </c>
      <c r="E431" t="s">
        <v>197</v>
      </c>
      <c r="F431">
        <v>1005</v>
      </c>
      <c r="G431" t="s">
        <v>638</v>
      </c>
      <c r="H431">
        <v>2011</v>
      </c>
      <c r="I431" t="s">
        <v>89</v>
      </c>
      <c r="J431">
        <v>3001</v>
      </c>
      <c r="K431" t="s">
        <v>639</v>
      </c>
      <c r="L431">
        <v>0</v>
      </c>
      <c r="N431" t="s">
        <v>274</v>
      </c>
      <c r="O431">
        <v>0</v>
      </c>
      <c r="P431">
        <v>306</v>
      </c>
      <c r="Q431" t="s">
        <v>636</v>
      </c>
      <c r="R431" t="s">
        <v>201</v>
      </c>
      <c r="S431">
        <v>1</v>
      </c>
      <c r="T431">
        <v>1</v>
      </c>
      <c r="U431">
        <v>146808</v>
      </c>
      <c r="V431">
        <v>146808</v>
      </c>
    </row>
    <row r="432" spans="1:22">
      <c r="A432" t="s">
        <v>196</v>
      </c>
      <c r="B432">
        <v>27</v>
      </c>
      <c r="C432" t="s">
        <v>637</v>
      </c>
      <c r="D432">
        <v>100</v>
      </c>
      <c r="E432" t="s">
        <v>197</v>
      </c>
      <c r="F432">
        <v>1005</v>
      </c>
      <c r="G432" t="s">
        <v>638</v>
      </c>
      <c r="H432">
        <v>2011</v>
      </c>
      <c r="I432" t="s">
        <v>89</v>
      </c>
      <c r="J432">
        <v>3001</v>
      </c>
      <c r="K432" t="s">
        <v>639</v>
      </c>
      <c r="L432">
        <v>0</v>
      </c>
      <c r="N432" t="s">
        <v>199</v>
      </c>
      <c r="O432">
        <v>0</v>
      </c>
      <c r="P432">
        <v>15</v>
      </c>
      <c r="Q432" t="s">
        <v>264</v>
      </c>
      <c r="R432" t="s">
        <v>201</v>
      </c>
      <c r="S432">
        <v>0</v>
      </c>
      <c r="T432">
        <v>0</v>
      </c>
      <c r="U432">
        <v>10227</v>
      </c>
      <c r="V432">
        <v>10227</v>
      </c>
    </row>
    <row r="433" spans="1:22">
      <c r="A433" t="s">
        <v>196</v>
      </c>
      <c r="B433">
        <v>27</v>
      </c>
      <c r="C433" t="s">
        <v>637</v>
      </c>
      <c r="D433">
        <v>100</v>
      </c>
      <c r="E433" t="s">
        <v>197</v>
      </c>
      <c r="F433">
        <v>1005</v>
      </c>
      <c r="G433" t="s">
        <v>638</v>
      </c>
      <c r="H433">
        <v>2011</v>
      </c>
      <c r="I433" t="s">
        <v>89</v>
      </c>
      <c r="J433">
        <v>3002</v>
      </c>
      <c r="K433" t="s">
        <v>641</v>
      </c>
      <c r="L433">
        <v>0</v>
      </c>
      <c r="N433" t="s">
        <v>351</v>
      </c>
      <c r="O433">
        <v>1</v>
      </c>
      <c r="P433" t="s">
        <v>352</v>
      </c>
      <c r="Q433" t="s">
        <v>353</v>
      </c>
      <c r="R433" t="s">
        <v>201</v>
      </c>
      <c r="S433">
        <v>1</v>
      </c>
      <c r="T433">
        <v>1</v>
      </c>
      <c r="U433">
        <v>108576</v>
      </c>
      <c r="V433">
        <v>108576</v>
      </c>
    </row>
    <row r="434" spans="1:22">
      <c r="A434" t="s">
        <v>196</v>
      </c>
      <c r="B434">
        <v>27</v>
      </c>
      <c r="C434" t="s">
        <v>637</v>
      </c>
      <c r="D434">
        <v>100</v>
      </c>
      <c r="E434" t="s">
        <v>197</v>
      </c>
      <c r="F434">
        <v>1005</v>
      </c>
      <c r="G434" t="s">
        <v>638</v>
      </c>
      <c r="H434">
        <v>2011</v>
      </c>
      <c r="I434" t="s">
        <v>89</v>
      </c>
      <c r="J434">
        <v>3002</v>
      </c>
      <c r="K434" t="s">
        <v>641</v>
      </c>
      <c r="L434">
        <v>0</v>
      </c>
      <c r="N434" t="s">
        <v>266</v>
      </c>
      <c r="O434">
        <v>10</v>
      </c>
      <c r="P434">
        <v>188</v>
      </c>
      <c r="Q434" t="s">
        <v>642</v>
      </c>
      <c r="R434" t="s">
        <v>201</v>
      </c>
      <c r="S434">
        <v>1</v>
      </c>
      <c r="T434">
        <v>1</v>
      </c>
      <c r="U434">
        <v>167964</v>
      </c>
      <c r="V434">
        <v>167964</v>
      </c>
    </row>
    <row r="435" spans="1:22">
      <c r="A435" t="s">
        <v>196</v>
      </c>
      <c r="B435">
        <v>27</v>
      </c>
      <c r="C435" t="s">
        <v>637</v>
      </c>
      <c r="D435">
        <v>100</v>
      </c>
      <c r="E435" t="s">
        <v>197</v>
      </c>
      <c r="F435">
        <v>1005</v>
      </c>
      <c r="G435" t="s">
        <v>638</v>
      </c>
      <c r="H435">
        <v>2011</v>
      </c>
      <c r="I435" t="s">
        <v>89</v>
      </c>
      <c r="J435">
        <v>3002</v>
      </c>
      <c r="K435" t="s">
        <v>641</v>
      </c>
      <c r="L435">
        <v>0</v>
      </c>
      <c r="N435" t="s">
        <v>199</v>
      </c>
      <c r="O435">
        <v>0</v>
      </c>
      <c r="P435">
        <v>15</v>
      </c>
      <c r="Q435" t="s">
        <v>264</v>
      </c>
      <c r="R435" t="s">
        <v>201</v>
      </c>
      <c r="S435">
        <v>0</v>
      </c>
      <c r="T435">
        <v>0</v>
      </c>
      <c r="U435">
        <v>3145</v>
      </c>
      <c r="V435">
        <v>3145</v>
      </c>
    </row>
    <row r="436" spans="1:22">
      <c r="A436" t="s">
        <v>196</v>
      </c>
      <c r="B436">
        <v>27</v>
      </c>
      <c r="C436" t="s">
        <v>637</v>
      </c>
      <c r="D436">
        <v>100</v>
      </c>
      <c r="E436" t="s">
        <v>197</v>
      </c>
      <c r="F436">
        <v>1005</v>
      </c>
      <c r="G436" t="s">
        <v>638</v>
      </c>
      <c r="H436">
        <v>2011</v>
      </c>
      <c r="I436" t="s">
        <v>89</v>
      </c>
      <c r="J436">
        <v>3009</v>
      </c>
      <c r="K436" t="s">
        <v>643</v>
      </c>
      <c r="L436">
        <v>0</v>
      </c>
      <c r="N436" t="s">
        <v>266</v>
      </c>
      <c r="O436">
        <v>9</v>
      </c>
      <c r="P436">
        <v>9651</v>
      </c>
      <c r="Q436" t="s">
        <v>644</v>
      </c>
      <c r="R436" t="s">
        <v>201</v>
      </c>
      <c r="S436">
        <v>1</v>
      </c>
      <c r="T436">
        <v>1</v>
      </c>
      <c r="U436">
        <v>175512</v>
      </c>
      <c r="V436">
        <v>175512</v>
      </c>
    </row>
    <row r="437" spans="1:22">
      <c r="A437" t="s">
        <v>196</v>
      </c>
      <c r="B437">
        <v>27</v>
      </c>
      <c r="C437" t="s">
        <v>637</v>
      </c>
      <c r="D437">
        <v>100</v>
      </c>
      <c r="E437" t="s">
        <v>197</v>
      </c>
      <c r="F437">
        <v>1005</v>
      </c>
      <c r="G437" t="s">
        <v>638</v>
      </c>
      <c r="H437">
        <v>2011</v>
      </c>
      <c r="I437" t="s">
        <v>89</v>
      </c>
      <c r="J437">
        <v>3009</v>
      </c>
      <c r="K437" t="s">
        <v>643</v>
      </c>
      <c r="L437">
        <v>0</v>
      </c>
      <c r="N437" t="s">
        <v>602</v>
      </c>
      <c r="O437">
        <v>4</v>
      </c>
      <c r="P437">
        <v>635</v>
      </c>
      <c r="Q437" t="s">
        <v>645</v>
      </c>
      <c r="R437" t="s">
        <v>201</v>
      </c>
      <c r="S437">
        <v>1</v>
      </c>
      <c r="T437">
        <v>1</v>
      </c>
      <c r="U437">
        <v>141564</v>
      </c>
      <c r="V437">
        <v>141564</v>
      </c>
    </row>
    <row r="438" spans="1:22">
      <c r="A438" t="s">
        <v>196</v>
      </c>
      <c r="B438">
        <v>27</v>
      </c>
      <c r="C438" t="s">
        <v>637</v>
      </c>
      <c r="D438">
        <v>100</v>
      </c>
      <c r="E438" t="s">
        <v>197</v>
      </c>
      <c r="F438">
        <v>1005</v>
      </c>
      <c r="G438" t="s">
        <v>638</v>
      </c>
      <c r="H438">
        <v>2011</v>
      </c>
      <c r="I438" t="s">
        <v>89</v>
      </c>
      <c r="J438">
        <v>3009</v>
      </c>
      <c r="K438" t="s">
        <v>643</v>
      </c>
      <c r="L438">
        <v>0</v>
      </c>
      <c r="N438" t="s">
        <v>274</v>
      </c>
      <c r="O438">
        <v>0</v>
      </c>
      <c r="P438">
        <v>603</v>
      </c>
      <c r="Q438" t="s">
        <v>646</v>
      </c>
      <c r="R438" t="s">
        <v>201</v>
      </c>
      <c r="S438">
        <v>1</v>
      </c>
      <c r="T438">
        <v>1</v>
      </c>
      <c r="U438">
        <v>146808</v>
      </c>
      <c r="V438">
        <v>146808</v>
      </c>
    </row>
    <row r="439" spans="1:22">
      <c r="A439" t="s">
        <v>196</v>
      </c>
      <c r="B439">
        <v>27</v>
      </c>
      <c r="C439" t="s">
        <v>637</v>
      </c>
      <c r="D439">
        <v>100</v>
      </c>
      <c r="E439" t="s">
        <v>197</v>
      </c>
      <c r="F439">
        <v>1005</v>
      </c>
      <c r="G439" t="s">
        <v>638</v>
      </c>
      <c r="H439">
        <v>2011</v>
      </c>
      <c r="I439" t="s">
        <v>89</v>
      </c>
      <c r="J439">
        <v>3009</v>
      </c>
      <c r="K439" t="s">
        <v>643</v>
      </c>
      <c r="L439">
        <v>0</v>
      </c>
      <c r="N439" t="s">
        <v>356</v>
      </c>
      <c r="O439">
        <v>4</v>
      </c>
      <c r="P439">
        <v>193</v>
      </c>
      <c r="Q439" t="s">
        <v>647</v>
      </c>
      <c r="R439" t="s">
        <v>201</v>
      </c>
      <c r="S439">
        <v>1</v>
      </c>
      <c r="T439">
        <v>1</v>
      </c>
      <c r="U439">
        <v>129636</v>
      </c>
      <c r="V439">
        <v>129636</v>
      </c>
    </row>
    <row r="440" spans="1:22">
      <c r="A440" t="s">
        <v>196</v>
      </c>
      <c r="B440">
        <v>27</v>
      </c>
      <c r="C440" t="s">
        <v>637</v>
      </c>
      <c r="D440">
        <v>100</v>
      </c>
      <c r="E440" t="s">
        <v>197</v>
      </c>
      <c r="F440">
        <v>1005</v>
      </c>
      <c r="G440" t="s">
        <v>638</v>
      </c>
      <c r="H440">
        <v>2011</v>
      </c>
      <c r="I440" t="s">
        <v>89</v>
      </c>
      <c r="J440">
        <v>3009</v>
      </c>
      <c r="K440" t="s">
        <v>643</v>
      </c>
      <c r="L440">
        <v>0</v>
      </c>
      <c r="N440" t="s">
        <v>356</v>
      </c>
      <c r="O440">
        <v>4</v>
      </c>
      <c r="P440">
        <v>111</v>
      </c>
      <c r="Q440" t="s">
        <v>648</v>
      </c>
      <c r="R440" t="s">
        <v>201</v>
      </c>
      <c r="S440">
        <v>1</v>
      </c>
      <c r="T440">
        <v>1</v>
      </c>
      <c r="U440">
        <v>102516</v>
      </c>
      <c r="V440">
        <v>102516</v>
      </c>
    </row>
    <row r="441" spans="1:22">
      <c r="A441" t="s">
        <v>196</v>
      </c>
      <c r="B441">
        <v>27</v>
      </c>
      <c r="C441" t="s">
        <v>637</v>
      </c>
      <c r="D441">
        <v>100</v>
      </c>
      <c r="E441" t="s">
        <v>197</v>
      </c>
      <c r="F441">
        <v>1005</v>
      </c>
      <c r="G441" t="s">
        <v>638</v>
      </c>
      <c r="H441">
        <v>2011</v>
      </c>
      <c r="I441" t="s">
        <v>89</v>
      </c>
      <c r="J441">
        <v>3009</v>
      </c>
      <c r="K441" t="s">
        <v>643</v>
      </c>
      <c r="L441">
        <v>0</v>
      </c>
      <c r="N441" t="s">
        <v>199</v>
      </c>
      <c r="O441">
        <v>0</v>
      </c>
      <c r="P441">
        <v>15</v>
      </c>
      <c r="Q441" t="s">
        <v>264</v>
      </c>
      <c r="R441" t="s">
        <v>201</v>
      </c>
      <c r="S441">
        <v>0</v>
      </c>
      <c r="T441">
        <v>0</v>
      </c>
      <c r="U441">
        <v>11799</v>
      </c>
      <c r="V441">
        <v>11799</v>
      </c>
    </row>
    <row r="442" spans="1:22">
      <c r="A442" t="s">
        <v>196</v>
      </c>
      <c r="B442">
        <v>27</v>
      </c>
      <c r="C442" t="s">
        <v>637</v>
      </c>
      <c r="D442">
        <v>100</v>
      </c>
      <c r="E442" t="s">
        <v>197</v>
      </c>
      <c r="F442">
        <v>1005</v>
      </c>
      <c r="G442" t="s">
        <v>638</v>
      </c>
      <c r="H442">
        <v>2011</v>
      </c>
      <c r="I442" t="s">
        <v>89</v>
      </c>
      <c r="J442">
        <v>3011</v>
      </c>
      <c r="K442" t="s">
        <v>649</v>
      </c>
      <c r="L442">
        <v>0</v>
      </c>
      <c r="N442" t="s">
        <v>266</v>
      </c>
      <c r="O442">
        <v>9</v>
      </c>
      <c r="P442">
        <v>9684</v>
      </c>
      <c r="Q442" t="s">
        <v>327</v>
      </c>
      <c r="R442" t="s">
        <v>201</v>
      </c>
      <c r="S442">
        <v>1</v>
      </c>
      <c r="T442">
        <v>1</v>
      </c>
      <c r="U442">
        <v>175512</v>
      </c>
      <c r="V442">
        <v>175512</v>
      </c>
    </row>
    <row r="443" spans="1:22">
      <c r="A443" t="s">
        <v>196</v>
      </c>
      <c r="B443">
        <v>27</v>
      </c>
      <c r="C443" t="s">
        <v>637</v>
      </c>
      <c r="D443">
        <v>100</v>
      </c>
      <c r="E443" t="s">
        <v>197</v>
      </c>
      <c r="F443">
        <v>1005</v>
      </c>
      <c r="G443" t="s">
        <v>638</v>
      </c>
      <c r="H443">
        <v>2011</v>
      </c>
      <c r="I443" t="s">
        <v>89</v>
      </c>
      <c r="J443">
        <v>3011</v>
      </c>
      <c r="K443" t="s">
        <v>649</v>
      </c>
      <c r="L443">
        <v>0</v>
      </c>
      <c r="N443" t="s">
        <v>372</v>
      </c>
      <c r="O443">
        <v>1</v>
      </c>
      <c r="P443">
        <v>1576</v>
      </c>
      <c r="Q443" t="s">
        <v>650</v>
      </c>
      <c r="R443" t="s">
        <v>201</v>
      </c>
      <c r="S443">
        <v>1</v>
      </c>
      <c r="T443">
        <v>1</v>
      </c>
      <c r="U443">
        <v>130668</v>
      </c>
      <c r="V443">
        <v>130668</v>
      </c>
    </row>
    <row r="444" spans="1:22">
      <c r="A444" t="s">
        <v>196</v>
      </c>
      <c r="B444">
        <v>27</v>
      </c>
      <c r="C444" t="s">
        <v>637</v>
      </c>
      <c r="D444">
        <v>100</v>
      </c>
      <c r="E444" t="s">
        <v>197</v>
      </c>
      <c r="F444">
        <v>1005</v>
      </c>
      <c r="G444" t="s">
        <v>638</v>
      </c>
      <c r="H444">
        <v>2011</v>
      </c>
      <c r="I444" t="s">
        <v>89</v>
      </c>
      <c r="J444">
        <v>3011</v>
      </c>
      <c r="K444" t="s">
        <v>649</v>
      </c>
      <c r="L444">
        <v>0</v>
      </c>
      <c r="N444" t="s">
        <v>341</v>
      </c>
      <c r="O444">
        <v>1</v>
      </c>
      <c r="P444">
        <v>1482</v>
      </c>
      <c r="Q444" t="s">
        <v>364</v>
      </c>
      <c r="R444" t="s">
        <v>201</v>
      </c>
      <c r="S444">
        <v>1</v>
      </c>
      <c r="T444">
        <v>1</v>
      </c>
      <c r="U444">
        <v>119100</v>
      </c>
      <c r="V444">
        <v>119100</v>
      </c>
    </row>
    <row r="445" spans="1:22">
      <c r="A445" t="s">
        <v>196</v>
      </c>
      <c r="B445">
        <v>27</v>
      </c>
      <c r="C445" t="s">
        <v>637</v>
      </c>
      <c r="D445">
        <v>100</v>
      </c>
      <c r="E445" t="s">
        <v>197</v>
      </c>
      <c r="F445">
        <v>1005</v>
      </c>
      <c r="G445" t="s">
        <v>638</v>
      </c>
      <c r="H445">
        <v>2011</v>
      </c>
      <c r="I445" t="s">
        <v>89</v>
      </c>
      <c r="J445">
        <v>3011</v>
      </c>
      <c r="K445" t="s">
        <v>649</v>
      </c>
      <c r="L445">
        <v>0</v>
      </c>
      <c r="N445" t="s">
        <v>602</v>
      </c>
      <c r="O445">
        <v>4</v>
      </c>
      <c r="P445">
        <v>635</v>
      </c>
      <c r="Q445" t="s">
        <v>645</v>
      </c>
      <c r="R445" t="s">
        <v>201</v>
      </c>
      <c r="S445">
        <v>1</v>
      </c>
      <c r="T445">
        <v>1</v>
      </c>
      <c r="U445">
        <v>141564</v>
      </c>
      <c r="V445">
        <v>141564</v>
      </c>
    </row>
    <row r="446" spans="1:22">
      <c r="A446" t="s">
        <v>196</v>
      </c>
      <c r="B446">
        <v>27</v>
      </c>
      <c r="C446" t="s">
        <v>637</v>
      </c>
      <c r="D446">
        <v>100</v>
      </c>
      <c r="E446" t="s">
        <v>197</v>
      </c>
      <c r="F446">
        <v>1005</v>
      </c>
      <c r="G446" t="s">
        <v>638</v>
      </c>
      <c r="H446">
        <v>2011</v>
      </c>
      <c r="I446" t="s">
        <v>89</v>
      </c>
      <c r="J446">
        <v>3011</v>
      </c>
      <c r="K446" t="s">
        <v>649</v>
      </c>
      <c r="L446">
        <v>0</v>
      </c>
      <c r="N446" t="s">
        <v>351</v>
      </c>
      <c r="O446">
        <v>1</v>
      </c>
      <c r="P446" t="s">
        <v>352</v>
      </c>
      <c r="Q446" t="s">
        <v>353</v>
      </c>
      <c r="R446" t="s">
        <v>201</v>
      </c>
      <c r="S446">
        <v>1</v>
      </c>
      <c r="T446">
        <v>1</v>
      </c>
      <c r="U446">
        <v>108576</v>
      </c>
      <c r="V446">
        <v>108576</v>
      </c>
    </row>
    <row r="447" spans="1:22">
      <c r="A447" t="s">
        <v>196</v>
      </c>
      <c r="B447">
        <v>27</v>
      </c>
      <c r="C447" t="s">
        <v>637</v>
      </c>
      <c r="D447">
        <v>100</v>
      </c>
      <c r="E447" t="s">
        <v>197</v>
      </c>
      <c r="F447">
        <v>1005</v>
      </c>
      <c r="G447" t="s">
        <v>638</v>
      </c>
      <c r="H447">
        <v>2011</v>
      </c>
      <c r="I447" t="s">
        <v>89</v>
      </c>
      <c r="J447">
        <v>3011</v>
      </c>
      <c r="K447" t="s">
        <v>649</v>
      </c>
      <c r="L447">
        <v>0</v>
      </c>
      <c r="N447" t="s">
        <v>351</v>
      </c>
      <c r="O447">
        <v>1</v>
      </c>
      <c r="P447" t="s">
        <v>352</v>
      </c>
      <c r="Q447" t="s">
        <v>353</v>
      </c>
      <c r="R447" t="s">
        <v>201</v>
      </c>
      <c r="S447">
        <v>1</v>
      </c>
      <c r="T447">
        <v>1</v>
      </c>
      <c r="U447">
        <v>67608</v>
      </c>
      <c r="V447">
        <v>67608</v>
      </c>
    </row>
    <row r="448" spans="1:22">
      <c r="A448" t="s">
        <v>196</v>
      </c>
      <c r="B448">
        <v>27</v>
      </c>
      <c r="C448" t="s">
        <v>637</v>
      </c>
      <c r="D448">
        <v>100</v>
      </c>
      <c r="E448" t="s">
        <v>197</v>
      </c>
      <c r="F448">
        <v>1005</v>
      </c>
      <c r="G448" t="s">
        <v>638</v>
      </c>
      <c r="H448">
        <v>2011</v>
      </c>
      <c r="I448" t="s">
        <v>89</v>
      </c>
      <c r="J448">
        <v>3011</v>
      </c>
      <c r="K448" t="s">
        <v>649</v>
      </c>
      <c r="L448">
        <v>0</v>
      </c>
      <c r="N448" t="s">
        <v>392</v>
      </c>
      <c r="O448">
        <v>4</v>
      </c>
      <c r="P448">
        <v>345</v>
      </c>
      <c r="Q448" t="s">
        <v>393</v>
      </c>
      <c r="R448" t="s">
        <v>201</v>
      </c>
      <c r="S448">
        <v>1</v>
      </c>
      <c r="T448">
        <v>1</v>
      </c>
      <c r="U448">
        <v>157332</v>
      </c>
      <c r="V448">
        <v>157332</v>
      </c>
    </row>
    <row r="449" spans="1:22">
      <c r="A449" t="s">
        <v>196</v>
      </c>
      <c r="B449">
        <v>27</v>
      </c>
      <c r="C449" t="s">
        <v>637</v>
      </c>
      <c r="D449">
        <v>100</v>
      </c>
      <c r="E449" t="s">
        <v>197</v>
      </c>
      <c r="F449">
        <v>1005</v>
      </c>
      <c r="G449" t="s">
        <v>638</v>
      </c>
      <c r="H449">
        <v>2011</v>
      </c>
      <c r="I449" t="s">
        <v>89</v>
      </c>
      <c r="J449">
        <v>3011</v>
      </c>
      <c r="K449" t="s">
        <v>649</v>
      </c>
      <c r="L449">
        <v>0</v>
      </c>
      <c r="N449" t="s">
        <v>253</v>
      </c>
      <c r="O449">
        <v>20</v>
      </c>
      <c r="P449">
        <v>126</v>
      </c>
      <c r="Q449" t="s">
        <v>651</v>
      </c>
      <c r="R449" t="s">
        <v>201</v>
      </c>
      <c r="S449">
        <v>1</v>
      </c>
      <c r="T449">
        <v>1</v>
      </c>
      <c r="U449">
        <v>136692</v>
      </c>
      <c r="V449">
        <v>136692</v>
      </c>
    </row>
    <row r="450" spans="1:22">
      <c r="A450" t="s">
        <v>196</v>
      </c>
      <c r="B450">
        <v>27</v>
      </c>
      <c r="C450" t="s">
        <v>637</v>
      </c>
      <c r="D450">
        <v>100</v>
      </c>
      <c r="E450" t="s">
        <v>197</v>
      </c>
      <c r="F450">
        <v>1005</v>
      </c>
      <c r="G450" t="s">
        <v>638</v>
      </c>
      <c r="H450">
        <v>2011</v>
      </c>
      <c r="I450" t="s">
        <v>89</v>
      </c>
      <c r="J450">
        <v>3011</v>
      </c>
      <c r="K450" t="s">
        <v>649</v>
      </c>
      <c r="L450">
        <v>0</v>
      </c>
      <c r="N450" t="s">
        <v>199</v>
      </c>
      <c r="O450">
        <v>0</v>
      </c>
      <c r="P450">
        <v>15</v>
      </c>
      <c r="Q450" t="s">
        <v>264</v>
      </c>
      <c r="R450" t="s">
        <v>201</v>
      </c>
      <c r="S450">
        <v>0</v>
      </c>
      <c r="T450">
        <v>0</v>
      </c>
      <c r="U450">
        <v>4679</v>
      </c>
      <c r="V450">
        <v>4679</v>
      </c>
    </row>
    <row r="451" spans="1:22">
      <c r="A451" t="s">
        <v>196</v>
      </c>
      <c r="B451">
        <v>27</v>
      </c>
      <c r="C451" t="s">
        <v>637</v>
      </c>
      <c r="D451">
        <v>100</v>
      </c>
      <c r="E451" t="s">
        <v>197</v>
      </c>
      <c r="F451">
        <v>1005</v>
      </c>
      <c r="G451" t="s">
        <v>638</v>
      </c>
      <c r="H451">
        <v>2011</v>
      </c>
      <c r="I451" t="s">
        <v>89</v>
      </c>
      <c r="J451">
        <v>3012</v>
      </c>
      <c r="K451" t="s">
        <v>652</v>
      </c>
      <c r="L451">
        <v>0</v>
      </c>
      <c r="N451" t="s">
        <v>253</v>
      </c>
      <c r="O451">
        <v>20</v>
      </c>
      <c r="P451">
        <v>1331</v>
      </c>
      <c r="Q451" t="s">
        <v>653</v>
      </c>
      <c r="R451" t="s">
        <v>201</v>
      </c>
      <c r="S451">
        <v>1</v>
      </c>
      <c r="T451">
        <v>1</v>
      </c>
      <c r="U451">
        <v>103488</v>
      </c>
      <c r="V451">
        <v>103488</v>
      </c>
    </row>
    <row r="452" spans="1:22">
      <c r="A452" t="s">
        <v>196</v>
      </c>
      <c r="B452">
        <v>27</v>
      </c>
      <c r="C452" t="s">
        <v>637</v>
      </c>
      <c r="D452">
        <v>100</v>
      </c>
      <c r="E452" t="s">
        <v>197</v>
      </c>
      <c r="F452">
        <v>1005</v>
      </c>
      <c r="G452" t="s">
        <v>638</v>
      </c>
      <c r="H452">
        <v>2011</v>
      </c>
      <c r="I452" t="s">
        <v>89</v>
      </c>
      <c r="J452">
        <v>3012</v>
      </c>
      <c r="K452" t="s">
        <v>652</v>
      </c>
      <c r="L452">
        <v>0</v>
      </c>
      <c r="N452" t="s">
        <v>255</v>
      </c>
      <c r="O452">
        <v>1</v>
      </c>
      <c r="P452">
        <v>1302</v>
      </c>
      <c r="Q452" t="s">
        <v>340</v>
      </c>
      <c r="R452" t="s">
        <v>201</v>
      </c>
      <c r="S452">
        <v>1</v>
      </c>
      <c r="T452">
        <v>1</v>
      </c>
      <c r="U452">
        <v>124848</v>
      </c>
      <c r="V452">
        <v>124848</v>
      </c>
    </row>
    <row r="453" spans="1:22">
      <c r="A453" t="s">
        <v>196</v>
      </c>
      <c r="B453">
        <v>27</v>
      </c>
      <c r="C453" t="s">
        <v>637</v>
      </c>
      <c r="D453">
        <v>100</v>
      </c>
      <c r="E453" t="s">
        <v>197</v>
      </c>
      <c r="F453">
        <v>1005</v>
      </c>
      <c r="G453" t="s">
        <v>638</v>
      </c>
      <c r="H453">
        <v>2011</v>
      </c>
      <c r="I453" t="s">
        <v>89</v>
      </c>
      <c r="J453">
        <v>3012</v>
      </c>
      <c r="K453" t="s">
        <v>652</v>
      </c>
      <c r="L453">
        <v>0</v>
      </c>
      <c r="N453" t="s">
        <v>255</v>
      </c>
      <c r="O453">
        <v>1</v>
      </c>
      <c r="P453">
        <v>1302</v>
      </c>
      <c r="Q453" t="s">
        <v>340</v>
      </c>
      <c r="R453" t="s">
        <v>201</v>
      </c>
      <c r="S453">
        <v>1</v>
      </c>
      <c r="T453">
        <v>1</v>
      </c>
      <c r="U453">
        <v>89244</v>
      </c>
      <c r="V453">
        <v>89244</v>
      </c>
    </row>
    <row r="454" spans="1:22">
      <c r="A454" t="s">
        <v>196</v>
      </c>
      <c r="B454">
        <v>27</v>
      </c>
      <c r="C454" t="s">
        <v>637</v>
      </c>
      <c r="D454">
        <v>100</v>
      </c>
      <c r="E454" t="s">
        <v>197</v>
      </c>
      <c r="F454">
        <v>1005</v>
      </c>
      <c r="G454" t="s">
        <v>638</v>
      </c>
      <c r="H454">
        <v>2011</v>
      </c>
      <c r="I454" t="s">
        <v>89</v>
      </c>
      <c r="J454">
        <v>3012</v>
      </c>
      <c r="K454" t="s">
        <v>652</v>
      </c>
      <c r="L454">
        <v>0</v>
      </c>
      <c r="N454" t="s">
        <v>341</v>
      </c>
      <c r="O454">
        <v>1</v>
      </c>
      <c r="P454">
        <v>1301</v>
      </c>
      <c r="Q454" t="s">
        <v>618</v>
      </c>
      <c r="R454" t="s">
        <v>201</v>
      </c>
      <c r="S454">
        <v>1</v>
      </c>
      <c r="T454">
        <v>1</v>
      </c>
      <c r="U454">
        <v>119100</v>
      </c>
      <c r="V454">
        <v>119100</v>
      </c>
    </row>
    <row r="455" spans="1:22">
      <c r="A455" t="s">
        <v>196</v>
      </c>
      <c r="B455">
        <v>27</v>
      </c>
      <c r="C455" t="s">
        <v>637</v>
      </c>
      <c r="D455">
        <v>100</v>
      </c>
      <c r="E455" t="s">
        <v>197</v>
      </c>
      <c r="F455">
        <v>1005</v>
      </c>
      <c r="G455" t="s">
        <v>638</v>
      </c>
      <c r="H455">
        <v>2011</v>
      </c>
      <c r="I455" t="s">
        <v>89</v>
      </c>
      <c r="J455">
        <v>3012</v>
      </c>
      <c r="K455" t="s">
        <v>652</v>
      </c>
      <c r="L455">
        <v>0</v>
      </c>
      <c r="N455" t="s">
        <v>341</v>
      </c>
      <c r="O455">
        <v>1</v>
      </c>
      <c r="P455">
        <v>1301</v>
      </c>
      <c r="Q455" t="s">
        <v>618</v>
      </c>
      <c r="R455" t="s">
        <v>201</v>
      </c>
      <c r="S455">
        <v>1</v>
      </c>
      <c r="T455">
        <v>1</v>
      </c>
      <c r="U455">
        <v>85200</v>
      </c>
      <c r="V455">
        <v>85200</v>
      </c>
    </row>
    <row r="456" spans="1:22">
      <c r="A456" t="s">
        <v>196</v>
      </c>
      <c r="B456">
        <v>27</v>
      </c>
      <c r="C456" t="s">
        <v>637</v>
      </c>
      <c r="D456">
        <v>100</v>
      </c>
      <c r="E456" t="s">
        <v>197</v>
      </c>
      <c r="F456">
        <v>1005</v>
      </c>
      <c r="G456" t="s">
        <v>638</v>
      </c>
      <c r="H456">
        <v>2011</v>
      </c>
      <c r="I456" t="s">
        <v>89</v>
      </c>
      <c r="J456">
        <v>3012</v>
      </c>
      <c r="K456" t="s">
        <v>652</v>
      </c>
      <c r="L456">
        <v>0</v>
      </c>
      <c r="N456" t="s">
        <v>341</v>
      </c>
      <c r="O456">
        <v>1</v>
      </c>
      <c r="P456">
        <v>1301</v>
      </c>
      <c r="Q456" t="s">
        <v>618</v>
      </c>
      <c r="R456" t="s">
        <v>201</v>
      </c>
      <c r="S456">
        <v>1</v>
      </c>
      <c r="T456">
        <v>1</v>
      </c>
      <c r="U456">
        <v>74172</v>
      </c>
      <c r="V456">
        <v>74172</v>
      </c>
    </row>
    <row r="457" spans="1:22">
      <c r="A457" t="s">
        <v>196</v>
      </c>
      <c r="B457">
        <v>27</v>
      </c>
      <c r="C457" t="s">
        <v>637</v>
      </c>
      <c r="D457">
        <v>100</v>
      </c>
      <c r="E457" t="s">
        <v>197</v>
      </c>
      <c r="F457">
        <v>1005</v>
      </c>
      <c r="G457" t="s">
        <v>638</v>
      </c>
      <c r="H457">
        <v>2011</v>
      </c>
      <c r="I457" t="s">
        <v>89</v>
      </c>
      <c r="J457">
        <v>3012</v>
      </c>
      <c r="K457" t="s">
        <v>652</v>
      </c>
      <c r="L457">
        <v>0</v>
      </c>
      <c r="N457" t="s">
        <v>341</v>
      </c>
      <c r="O457">
        <v>1</v>
      </c>
      <c r="P457">
        <v>1301</v>
      </c>
      <c r="Q457" t="s">
        <v>618</v>
      </c>
      <c r="R457" t="s">
        <v>201</v>
      </c>
      <c r="S457">
        <v>1</v>
      </c>
      <c r="T457">
        <v>1</v>
      </c>
      <c r="U457">
        <v>70752</v>
      </c>
      <c r="V457">
        <v>70752</v>
      </c>
    </row>
    <row r="458" spans="1:22">
      <c r="A458" t="s">
        <v>196</v>
      </c>
      <c r="B458">
        <v>27</v>
      </c>
      <c r="C458" t="s">
        <v>637</v>
      </c>
      <c r="D458">
        <v>100</v>
      </c>
      <c r="E458" t="s">
        <v>197</v>
      </c>
      <c r="F458">
        <v>1005</v>
      </c>
      <c r="G458" t="s">
        <v>638</v>
      </c>
      <c r="H458">
        <v>2011</v>
      </c>
      <c r="I458" t="s">
        <v>89</v>
      </c>
      <c r="J458">
        <v>3012</v>
      </c>
      <c r="K458" t="s">
        <v>652</v>
      </c>
      <c r="L458">
        <v>0</v>
      </c>
      <c r="N458" t="s">
        <v>341</v>
      </c>
      <c r="O458">
        <v>1</v>
      </c>
      <c r="P458">
        <v>1301</v>
      </c>
      <c r="Q458" t="s">
        <v>618</v>
      </c>
      <c r="R458" t="s">
        <v>201</v>
      </c>
      <c r="S458">
        <v>1</v>
      </c>
      <c r="T458">
        <v>1</v>
      </c>
      <c r="U458">
        <v>68616</v>
      </c>
      <c r="V458">
        <v>68616</v>
      </c>
    </row>
    <row r="459" spans="1:22">
      <c r="A459" t="s">
        <v>196</v>
      </c>
      <c r="B459">
        <v>27</v>
      </c>
      <c r="C459" t="s">
        <v>637</v>
      </c>
      <c r="D459">
        <v>100</v>
      </c>
      <c r="E459" t="s">
        <v>197</v>
      </c>
      <c r="F459">
        <v>1005</v>
      </c>
      <c r="G459" t="s">
        <v>638</v>
      </c>
      <c r="H459">
        <v>2011</v>
      </c>
      <c r="I459" t="s">
        <v>89</v>
      </c>
      <c r="J459">
        <v>3012</v>
      </c>
      <c r="K459" t="s">
        <v>652</v>
      </c>
      <c r="L459">
        <v>0</v>
      </c>
      <c r="N459" t="s">
        <v>274</v>
      </c>
      <c r="O459">
        <v>0</v>
      </c>
      <c r="P459">
        <v>306</v>
      </c>
      <c r="Q459" t="s">
        <v>636</v>
      </c>
      <c r="R459" t="s">
        <v>201</v>
      </c>
      <c r="S459">
        <v>1</v>
      </c>
      <c r="T459">
        <v>1</v>
      </c>
      <c r="U459">
        <v>153384</v>
      </c>
      <c r="V459">
        <v>153384</v>
      </c>
    </row>
    <row r="460" spans="1:22">
      <c r="A460" t="s">
        <v>196</v>
      </c>
      <c r="B460">
        <v>27</v>
      </c>
      <c r="C460" t="s">
        <v>637</v>
      </c>
      <c r="D460">
        <v>100</v>
      </c>
      <c r="E460" t="s">
        <v>197</v>
      </c>
      <c r="F460">
        <v>1005</v>
      </c>
      <c r="G460" t="s">
        <v>638</v>
      </c>
      <c r="H460">
        <v>2011</v>
      </c>
      <c r="I460" t="s">
        <v>89</v>
      </c>
      <c r="J460">
        <v>3012</v>
      </c>
      <c r="K460" t="s">
        <v>652</v>
      </c>
      <c r="L460">
        <v>0</v>
      </c>
      <c r="N460" t="s">
        <v>199</v>
      </c>
      <c r="O460">
        <v>0</v>
      </c>
      <c r="P460">
        <v>15</v>
      </c>
      <c r="Q460" t="s">
        <v>264</v>
      </c>
      <c r="R460" t="s">
        <v>201</v>
      </c>
      <c r="S460">
        <v>0</v>
      </c>
      <c r="T460">
        <v>0</v>
      </c>
      <c r="U460">
        <v>20415</v>
      </c>
      <c r="V460">
        <v>20415</v>
      </c>
    </row>
    <row r="461" spans="1:22">
      <c r="A461" t="s">
        <v>196</v>
      </c>
      <c r="B461">
        <v>27</v>
      </c>
      <c r="C461" t="s">
        <v>637</v>
      </c>
      <c r="D461">
        <v>100</v>
      </c>
      <c r="E461" t="s">
        <v>197</v>
      </c>
      <c r="F461">
        <v>1005</v>
      </c>
      <c r="G461" t="s">
        <v>638</v>
      </c>
      <c r="H461">
        <v>2012</v>
      </c>
      <c r="I461" t="s">
        <v>82</v>
      </c>
      <c r="J461">
        <v>3018</v>
      </c>
      <c r="K461" t="s">
        <v>309</v>
      </c>
      <c r="L461">
        <v>0</v>
      </c>
      <c r="N461" t="s">
        <v>311</v>
      </c>
      <c r="O461">
        <v>9</v>
      </c>
      <c r="P461">
        <v>9653</v>
      </c>
      <c r="Q461" t="s">
        <v>654</v>
      </c>
      <c r="R461" t="s">
        <v>201</v>
      </c>
      <c r="S461">
        <v>1</v>
      </c>
      <c r="T461">
        <v>1</v>
      </c>
      <c r="U461">
        <v>180324</v>
      </c>
      <c r="V461">
        <v>180324</v>
      </c>
    </row>
    <row r="462" spans="1:22">
      <c r="A462" t="s">
        <v>196</v>
      </c>
      <c r="B462">
        <v>27</v>
      </c>
      <c r="C462" t="s">
        <v>637</v>
      </c>
      <c r="D462">
        <v>100</v>
      </c>
      <c r="E462" t="s">
        <v>197</v>
      </c>
      <c r="F462">
        <v>1005</v>
      </c>
      <c r="G462" t="s">
        <v>638</v>
      </c>
      <c r="H462">
        <v>2012</v>
      </c>
      <c r="I462" t="s">
        <v>82</v>
      </c>
      <c r="J462">
        <v>3018</v>
      </c>
      <c r="K462" t="s">
        <v>309</v>
      </c>
      <c r="L462">
        <v>0</v>
      </c>
      <c r="N462" t="s">
        <v>199</v>
      </c>
      <c r="O462">
        <v>0</v>
      </c>
      <c r="P462">
        <v>15</v>
      </c>
      <c r="Q462" t="s">
        <v>264</v>
      </c>
      <c r="R462" t="s">
        <v>201</v>
      </c>
      <c r="S462">
        <v>0</v>
      </c>
      <c r="T462">
        <v>0</v>
      </c>
      <c r="U462">
        <v>3409</v>
      </c>
      <c r="V462">
        <v>3409</v>
      </c>
    </row>
    <row r="463" spans="1:22">
      <c r="A463" t="s">
        <v>196</v>
      </c>
      <c r="B463">
        <v>27</v>
      </c>
      <c r="C463" t="s">
        <v>637</v>
      </c>
      <c r="D463">
        <v>100</v>
      </c>
      <c r="E463" t="s">
        <v>197</v>
      </c>
      <c r="F463">
        <v>1005</v>
      </c>
      <c r="G463" t="s">
        <v>638</v>
      </c>
      <c r="H463">
        <v>2012</v>
      </c>
      <c r="I463" t="s">
        <v>82</v>
      </c>
      <c r="J463">
        <v>3019</v>
      </c>
      <c r="K463" t="s">
        <v>82</v>
      </c>
      <c r="L463">
        <v>4051</v>
      </c>
      <c r="M463" t="s">
        <v>655</v>
      </c>
      <c r="N463" t="s">
        <v>245</v>
      </c>
      <c r="O463">
        <v>20</v>
      </c>
      <c r="P463">
        <v>187</v>
      </c>
      <c r="Q463" t="s">
        <v>656</v>
      </c>
      <c r="R463" t="s">
        <v>201</v>
      </c>
      <c r="S463">
        <v>1</v>
      </c>
      <c r="T463">
        <v>1</v>
      </c>
      <c r="U463">
        <v>115992</v>
      </c>
      <c r="V463">
        <v>115992</v>
      </c>
    </row>
    <row r="464" spans="1:22">
      <c r="A464" t="s">
        <v>196</v>
      </c>
      <c r="B464">
        <v>27</v>
      </c>
      <c r="C464" t="s">
        <v>637</v>
      </c>
      <c r="D464">
        <v>100</v>
      </c>
      <c r="E464" t="s">
        <v>197</v>
      </c>
      <c r="F464">
        <v>1005</v>
      </c>
      <c r="G464" t="s">
        <v>638</v>
      </c>
      <c r="H464">
        <v>2012</v>
      </c>
      <c r="I464" t="s">
        <v>82</v>
      </c>
      <c r="J464">
        <v>3019</v>
      </c>
      <c r="K464" t="s">
        <v>82</v>
      </c>
      <c r="L464">
        <v>4051</v>
      </c>
      <c r="M464" t="s">
        <v>655</v>
      </c>
      <c r="N464" t="s">
        <v>245</v>
      </c>
      <c r="O464">
        <v>20</v>
      </c>
      <c r="P464">
        <v>187</v>
      </c>
      <c r="Q464" t="s">
        <v>656</v>
      </c>
      <c r="R464" t="s">
        <v>201</v>
      </c>
      <c r="S464">
        <v>1</v>
      </c>
      <c r="T464">
        <v>1</v>
      </c>
      <c r="U464">
        <v>106272</v>
      </c>
      <c r="V464">
        <v>106272</v>
      </c>
    </row>
    <row r="465" spans="1:22">
      <c r="A465" t="s">
        <v>196</v>
      </c>
      <c r="B465">
        <v>27</v>
      </c>
      <c r="C465" t="s">
        <v>637</v>
      </c>
      <c r="D465">
        <v>100</v>
      </c>
      <c r="E465" t="s">
        <v>197</v>
      </c>
      <c r="F465">
        <v>1005</v>
      </c>
      <c r="G465" t="s">
        <v>638</v>
      </c>
      <c r="H465">
        <v>2012</v>
      </c>
      <c r="I465" t="s">
        <v>82</v>
      </c>
      <c r="J465">
        <v>3019</v>
      </c>
      <c r="K465" t="s">
        <v>82</v>
      </c>
      <c r="L465">
        <v>4051</v>
      </c>
      <c r="M465" t="s">
        <v>655</v>
      </c>
      <c r="N465" t="s">
        <v>297</v>
      </c>
      <c r="O465">
        <v>20</v>
      </c>
      <c r="P465">
        <v>120</v>
      </c>
      <c r="Q465" t="s">
        <v>657</v>
      </c>
      <c r="R465" t="s">
        <v>201</v>
      </c>
      <c r="S465">
        <v>1</v>
      </c>
      <c r="T465">
        <v>1</v>
      </c>
      <c r="U465">
        <v>111000</v>
      </c>
      <c r="V465">
        <v>111000</v>
      </c>
    </row>
    <row r="466" spans="1:22">
      <c r="A466" t="s">
        <v>196</v>
      </c>
      <c r="B466">
        <v>27</v>
      </c>
      <c r="C466" t="s">
        <v>637</v>
      </c>
      <c r="D466">
        <v>100</v>
      </c>
      <c r="E466" t="s">
        <v>197</v>
      </c>
      <c r="F466">
        <v>1005</v>
      </c>
      <c r="G466" t="s">
        <v>638</v>
      </c>
      <c r="H466">
        <v>2012</v>
      </c>
      <c r="I466" t="s">
        <v>82</v>
      </c>
      <c r="J466">
        <v>3019</v>
      </c>
      <c r="K466" t="s">
        <v>82</v>
      </c>
      <c r="L466">
        <v>4051</v>
      </c>
      <c r="M466" t="s">
        <v>655</v>
      </c>
      <c r="N466" t="s">
        <v>297</v>
      </c>
      <c r="O466">
        <v>20</v>
      </c>
      <c r="P466">
        <v>120</v>
      </c>
      <c r="Q466" t="s">
        <v>657</v>
      </c>
      <c r="R466" t="s">
        <v>201</v>
      </c>
      <c r="S466">
        <v>1</v>
      </c>
      <c r="T466">
        <v>1</v>
      </c>
      <c r="U466">
        <v>106272</v>
      </c>
      <c r="V466">
        <v>106272</v>
      </c>
    </row>
    <row r="467" spans="1:22">
      <c r="A467" t="s">
        <v>196</v>
      </c>
      <c r="B467">
        <v>27</v>
      </c>
      <c r="C467" t="s">
        <v>637</v>
      </c>
      <c r="D467">
        <v>100</v>
      </c>
      <c r="E467" t="s">
        <v>197</v>
      </c>
      <c r="F467">
        <v>1005</v>
      </c>
      <c r="G467" t="s">
        <v>638</v>
      </c>
      <c r="H467">
        <v>2012</v>
      </c>
      <c r="I467" t="s">
        <v>82</v>
      </c>
      <c r="J467">
        <v>3019</v>
      </c>
      <c r="K467" t="s">
        <v>82</v>
      </c>
      <c r="L467">
        <v>4051</v>
      </c>
      <c r="M467" t="s">
        <v>655</v>
      </c>
      <c r="N467" t="s">
        <v>297</v>
      </c>
      <c r="O467">
        <v>20</v>
      </c>
      <c r="P467">
        <v>120</v>
      </c>
      <c r="Q467" t="s">
        <v>657</v>
      </c>
      <c r="R467" t="s">
        <v>201</v>
      </c>
      <c r="S467">
        <v>1</v>
      </c>
      <c r="T467">
        <v>1</v>
      </c>
      <c r="U467">
        <v>101628</v>
      </c>
      <c r="V467">
        <v>101628</v>
      </c>
    </row>
    <row r="468" spans="1:22">
      <c r="A468" t="s">
        <v>196</v>
      </c>
      <c r="B468">
        <v>27</v>
      </c>
      <c r="C468" t="s">
        <v>637</v>
      </c>
      <c r="D468">
        <v>100</v>
      </c>
      <c r="E468" t="s">
        <v>197</v>
      </c>
      <c r="F468">
        <v>1005</v>
      </c>
      <c r="G468" t="s">
        <v>638</v>
      </c>
      <c r="H468">
        <v>2012</v>
      </c>
      <c r="I468" t="s">
        <v>82</v>
      </c>
      <c r="J468">
        <v>3019</v>
      </c>
      <c r="K468" t="s">
        <v>82</v>
      </c>
      <c r="L468">
        <v>4051</v>
      </c>
      <c r="M468" t="s">
        <v>655</v>
      </c>
      <c r="N468" t="s">
        <v>356</v>
      </c>
      <c r="O468">
        <v>4</v>
      </c>
      <c r="P468">
        <v>111</v>
      </c>
      <c r="Q468" t="s">
        <v>648</v>
      </c>
      <c r="R468" t="s">
        <v>201</v>
      </c>
      <c r="S468">
        <v>1</v>
      </c>
      <c r="T468">
        <v>1</v>
      </c>
      <c r="U468">
        <v>129636</v>
      </c>
      <c r="V468">
        <v>129636</v>
      </c>
    </row>
    <row r="469" spans="1:22">
      <c r="A469" t="s">
        <v>196</v>
      </c>
      <c r="B469">
        <v>27</v>
      </c>
      <c r="C469" t="s">
        <v>637</v>
      </c>
      <c r="D469">
        <v>100</v>
      </c>
      <c r="E469" t="s">
        <v>197</v>
      </c>
      <c r="F469">
        <v>1005</v>
      </c>
      <c r="G469" t="s">
        <v>638</v>
      </c>
      <c r="H469">
        <v>2012</v>
      </c>
      <c r="I469" t="s">
        <v>82</v>
      </c>
      <c r="J469">
        <v>3019</v>
      </c>
      <c r="K469" t="s">
        <v>82</v>
      </c>
      <c r="L469">
        <v>4051</v>
      </c>
      <c r="M469" t="s">
        <v>655</v>
      </c>
      <c r="N469" t="s">
        <v>356</v>
      </c>
      <c r="O469">
        <v>4</v>
      </c>
      <c r="P469">
        <v>111</v>
      </c>
      <c r="Q469" t="s">
        <v>648</v>
      </c>
      <c r="R469" t="s">
        <v>201</v>
      </c>
      <c r="S469">
        <v>2</v>
      </c>
      <c r="T469">
        <v>1</v>
      </c>
      <c r="U469">
        <v>97488</v>
      </c>
      <c r="V469">
        <v>194976</v>
      </c>
    </row>
    <row r="470" spans="1:22">
      <c r="A470" t="s">
        <v>196</v>
      </c>
      <c r="B470">
        <v>27</v>
      </c>
      <c r="C470" t="s">
        <v>637</v>
      </c>
      <c r="D470">
        <v>100</v>
      </c>
      <c r="E470" t="s">
        <v>197</v>
      </c>
      <c r="F470">
        <v>1005</v>
      </c>
      <c r="G470" t="s">
        <v>638</v>
      </c>
      <c r="H470">
        <v>2012</v>
      </c>
      <c r="I470" t="s">
        <v>82</v>
      </c>
      <c r="J470">
        <v>3019</v>
      </c>
      <c r="K470" t="s">
        <v>82</v>
      </c>
      <c r="L470">
        <v>4051</v>
      </c>
      <c r="M470" t="s">
        <v>655</v>
      </c>
      <c r="N470" t="s">
        <v>341</v>
      </c>
      <c r="O470">
        <v>4</v>
      </c>
      <c r="P470">
        <v>110</v>
      </c>
      <c r="Q470" t="s">
        <v>359</v>
      </c>
      <c r="R470" t="s">
        <v>201</v>
      </c>
      <c r="S470">
        <v>2</v>
      </c>
      <c r="T470">
        <v>1</v>
      </c>
      <c r="U470">
        <v>119100</v>
      </c>
      <c r="V470">
        <v>238200</v>
      </c>
    </row>
    <row r="471" spans="1:22">
      <c r="A471" t="s">
        <v>196</v>
      </c>
      <c r="B471">
        <v>27</v>
      </c>
      <c r="C471" t="s">
        <v>637</v>
      </c>
      <c r="D471">
        <v>100</v>
      </c>
      <c r="E471" t="s">
        <v>197</v>
      </c>
      <c r="F471">
        <v>1005</v>
      </c>
      <c r="G471" t="s">
        <v>638</v>
      </c>
      <c r="H471">
        <v>2012</v>
      </c>
      <c r="I471" t="s">
        <v>82</v>
      </c>
      <c r="J471">
        <v>3019</v>
      </c>
      <c r="K471" t="s">
        <v>82</v>
      </c>
      <c r="L471">
        <v>4051</v>
      </c>
      <c r="M471" t="s">
        <v>655</v>
      </c>
      <c r="N471" t="s">
        <v>274</v>
      </c>
      <c r="O471">
        <v>0</v>
      </c>
      <c r="P471">
        <v>105</v>
      </c>
      <c r="Q471" t="s">
        <v>658</v>
      </c>
      <c r="R471" t="s">
        <v>201</v>
      </c>
      <c r="S471">
        <v>2</v>
      </c>
      <c r="T471">
        <v>1</v>
      </c>
      <c r="U471">
        <v>146808</v>
      </c>
      <c r="V471">
        <v>293616</v>
      </c>
    </row>
    <row r="472" spans="1:22">
      <c r="A472" t="s">
        <v>196</v>
      </c>
      <c r="B472">
        <v>27</v>
      </c>
      <c r="C472" t="s">
        <v>637</v>
      </c>
      <c r="D472">
        <v>100</v>
      </c>
      <c r="E472" t="s">
        <v>197</v>
      </c>
      <c r="F472">
        <v>1005</v>
      </c>
      <c r="G472" t="s">
        <v>638</v>
      </c>
      <c r="H472">
        <v>2012</v>
      </c>
      <c r="I472" t="s">
        <v>82</v>
      </c>
      <c r="J472">
        <v>3019</v>
      </c>
      <c r="K472" t="s">
        <v>82</v>
      </c>
      <c r="L472">
        <v>4051</v>
      </c>
      <c r="M472" t="s">
        <v>655</v>
      </c>
      <c r="N472" t="s">
        <v>199</v>
      </c>
      <c r="O472">
        <v>0</v>
      </c>
      <c r="P472">
        <v>15</v>
      </c>
      <c r="Q472" t="s">
        <v>264</v>
      </c>
      <c r="R472" t="s">
        <v>201</v>
      </c>
      <c r="S472">
        <v>0</v>
      </c>
      <c r="T472">
        <v>0</v>
      </c>
      <c r="U472">
        <v>19488</v>
      </c>
      <c r="V472">
        <v>19488</v>
      </c>
    </row>
    <row r="473" spans="1:22">
      <c r="A473" t="s">
        <v>196</v>
      </c>
      <c r="B473">
        <v>27</v>
      </c>
      <c r="C473" t="s">
        <v>637</v>
      </c>
      <c r="D473">
        <v>100</v>
      </c>
      <c r="E473" t="s">
        <v>197</v>
      </c>
      <c r="F473">
        <v>1005</v>
      </c>
      <c r="G473" t="s">
        <v>638</v>
      </c>
      <c r="H473">
        <v>2015</v>
      </c>
      <c r="I473" t="s">
        <v>56</v>
      </c>
      <c r="J473">
        <v>3014</v>
      </c>
      <c r="K473" t="s">
        <v>309</v>
      </c>
      <c r="L473">
        <v>0</v>
      </c>
      <c r="N473" t="s">
        <v>311</v>
      </c>
      <c r="O473">
        <v>9</v>
      </c>
      <c r="P473">
        <v>9653</v>
      </c>
      <c r="Q473" t="s">
        <v>654</v>
      </c>
      <c r="R473" t="s">
        <v>201</v>
      </c>
      <c r="S473">
        <v>1</v>
      </c>
      <c r="T473">
        <v>1</v>
      </c>
      <c r="U473">
        <v>168924</v>
      </c>
      <c r="V473">
        <v>168924</v>
      </c>
    </row>
    <row r="474" spans="1:22">
      <c r="A474" t="s">
        <v>196</v>
      </c>
      <c r="B474">
        <v>27</v>
      </c>
      <c r="C474" t="s">
        <v>637</v>
      </c>
      <c r="D474">
        <v>100</v>
      </c>
      <c r="E474" t="s">
        <v>197</v>
      </c>
      <c r="F474">
        <v>1005</v>
      </c>
      <c r="G474" t="s">
        <v>638</v>
      </c>
      <c r="H474">
        <v>2015</v>
      </c>
      <c r="I474" t="s">
        <v>56</v>
      </c>
      <c r="J474">
        <v>3014</v>
      </c>
      <c r="K474" t="s">
        <v>309</v>
      </c>
      <c r="L474">
        <v>0</v>
      </c>
      <c r="N474" t="s">
        <v>199</v>
      </c>
      <c r="O474">
        <v>0</v>
      </c>
      <c r="P474">
        <v>15</v>
      </c>
      <c r="Q474" t="s">
        <v>264</v>
      </c>
      <c r="R474" t="s">
        <v>201</v>
      </c>
      <c r="S474">
        <v>0</v>
      </c>
      <c r="T474">
        <v>0</v>
      </c>
      <c r="U474">
        <v>6175</v>
      </c>
      <c r="V474">
        <v>6175</v>
      </c>
    </row>
    <row r="475" spans="1:22">
      <c r="A475" t="s">
        <v>196</v>
      </c>
      <c r="B475">
        <v>27</v>
      </c>
      <c r="C475" t="s">
        <v>637</v>
      </c>
      <c r="D475">
        <v>100</v>
      </c>
      <c r="E475" t="s">
        <v>197</v>
      </c>
      <c r="F475">
        <v>1005</v>
      </c>
      <c r="G475" t="s">
        <v>638</v>
      </c>
      <c r="H475">
        <v>2015</v>
      </c>
      <c r="I475" t="s">
        <v>56</v>
      </c>
      <c r="J475">
        <v>3016</v>
      </c>
      <c r="K475" t="s">
        <v>659</v>
      </c>
      <c r="L475">
        <v>4006</v>
      </c>
      <c r="M475" t="s">
        <v>660</v>
      </c>
      <c r="N475" t="s">
        <v>266</v>
      </c>
      <c r="O475">
        <v>9</v>
      </c>
      <c r="P475">
        <v>9651</v>
      </c>
      <c r="Q475" t="s">
        <v>644</v>
      </c>
      <c r="R475" t="s">
        <v>201</v>
      </c>
      <c r="S475">
        <v>1</v>
      </c>
      <c r="T475">
        <v>1</v>
      </c>
      <c r="U475">
        <v>175512</v>
      </c>
      <c r="V475">
        <v>175512</v>
      </c>
    </row>
    <row r="476" spans="1:22">
      <c r="A476" t="s">
        <v>196</v>
      </c>
      <c r="B476">
        <v>27</v>
      </c>
      <c r="C476" t="s">
        <v>637</v>
      </c>
      <c r="D476">
        <v>100</v>
      </c>
      <c r="E476" t="s">
        <v>197</v>
      </c>
      <c r="F476">
        <v>1005</v>
      </c>
      <c r="G476" t="s">
        <v>638</v>
      </c>
      <c r="H476">
        <v>2015</v>
      </c>
      <c r="I476" t="s">
        <v>56</v>
      </c>
      <c r="J476">
        <v>3016</v>
      </c>
      <c r="K476" t="s">
        <v>659</v>
      </c>
      <c r="L476">
        <v>4006</v>
      </c>
      <c r="M476" t="s">
        <v>660</v>
      </c>
      <c r="N476" t="s">
        <v>372</v>
      </c>
      <c r="O476">
        <v>4</v>
      </c>
      <c r="P476">
        <v>1912</v>
      </c>
      <c r="Q476" t="s">
        <v>608</v>
      </c>
      <c r="R476" t="s">
        <v>201</v>
      </c>
      <c r="S476">
        <v>1</v>
      </c>
      <c r="T476">
        <v>1</v>
      </c>
      <c r="U476">
        <v>93504</v>
      </c>
      <c r="V476">
        <v>93504</v>
      </c>
    </row>
    <row r="477" spans="1:22">
      <c r="A477" t="s">
        <v>196</v>
      </c>
      <c r="B477">
        <v>27</v>
      </c>
      <c r="C477" t="s">
        <v>637</v>
      </c>
      <c r="D477">
        <v>100</v>
      </c>
      <c r="E477" t="s">
        <v>197</v>
      </c>
      <c r="F477">
        <v>1005</v>
      </c>
      <c r="G477" t="s">
        <v>638</v>
      </c>
      <c r="H477">
        <v>2015</v>
      </c>
      <c r="I477" t="s">
        <v>56</v>
      </c>
      <c r="J477">
        <v>3016</v>
      </c>
      <c r="K477" t="s">
        <v>659</v>
      </c>
      <c r="L477">
        <v>4006</v>
      </c>
      <c r="M477" t="s">
        <v>660</v>
      </c>
      <c r="N477" t="s">
        <v>274</v>
      </c>
      <c r="O477">
        <v>9</v>
      </c>
      <c r="P477">
        <v>313</v>
      </c>
      <c r="Q477" t="s">
        <v>605</v>
      </c>
      <c r="R477" t="s">
        <v>201</v>
      </c>
      <c r="S477">
        <v>2</v>
      </c>
      <c r="T477">
        <v>1</v>
      </c>
      <c r="U477">
        <v>146808</v>
      </c>
      <c r="V477">
        <v>293616</v>
      </c>
    </row>
    <row r="478" spans="1:22">
      <c r="A478" t="s">
        <v>196</v>
      </c>
      <c r="B478">
        <v>27</v>
      </c>
      <c r="C478" t="s">
        <v>637</v>
      </c>
      <c r="D478">
        <v>100</v>
      </c>
      <c r="E478" t="s">
        <v>197</v>
      </c>
      <c r="F478">
        <v>1005</v>
      </c>
      <c r="G478" t="s">
        <v>638</v>
      </c>
      <c r="H478">
        <v>2015</v>
      </c>
      <c r="I478" t="s">
        <v>56</v>
      </c>
      <c r="J478">
        <v>3016</v>
      </c>
      <c r="K478" t="s">
        <v>659</v>
      </c>
      <c r="L478">
        <v>4006</v>
      </c>
      <c r="M478" t="s">
        <v>660</v>
      </c>
      <c r="N478" t="s">
        <v>249</v>
      </c>
      <c r="O478">
        <v>10</v>
      </c>
      <c r="P478">
        <v>311</v>
      </c>
      <c r="Q478" t="s">
        <v>661</v>
      </c>
      <c r="R478" t="s">
        <v>201</v>
      </c>
      <c r="S478">
        <v>1</v>
      </c>
      <c r="T478">
        <v>1</v>
      </c>
      <c r="U478">
        <v>118956</v>
      </c>
      <c r="V478">
        <v>118956</v>
      </c>
    </row>
    <row r="479" spans="1:22">
      <c r="A479" t="s">
        <v>196</v>
      </c>
      <c r="B479">
        <v>27</v>
      </c>
      <c r="C479" t="s">
        <v>637</v>
      </c>
      <c r="D479">
        <v>100</v>
      </c>
      <c r="E479" t="s">
        <v>197</v>
      </c>
      <c r="F479">
        <v>1005</v>
      </c>
      <c r="G479" t="s">
        <v>638</v>
      </c>
      <c r="H479">
        <v>2015</v>
      </c>
      <c r="I479" t="s">
        <v>56</v>
      </c>
      <c r="J479">
        <v>3016</v>
      </c>
      <c r="K479" t="s">
        <v>659</v>
      </c>
      <c r="L479">
        <v>4006</v>
      </c>
      <c r="M479" t="s">
        <v>660</v>
      </c>
      <c r="N479" t="s">
        <v>281</v>
      </c>
      <c r="O479">
        <v>20</v>
      </c>
      <c r="P479">
        <v>139</v>
      </c>
      <c r="Q479" t="s">
        <v>662</v>
      </c>
      <c r="R479" t="s">
        <v>201</v>
      </c>
      <c r="S479">
        <v>3</v>
      </c>
      <c r="T479">
        <v>1</v>
      </c>
      <c r="U479">
        <v>112080</v>
      </c>
      <c r="V479">
        <v>336240</v>
      </c>
    </row>
    <row r="480" spans="1:22">
      <c r="A480" t="s">
        <v>196</v>
      </c>
      <c r="B480">
        <v>27</v>
      </c>
      <c r="C480" t="s">
        <v>637</v>
      </c>
      <c r="D480">
        <v>100</v>
      </c>
      <c r="E480" t="s">
        <v>197</v>
      </c>
      <c r="F480">
        <v>1005</v>
      </c>
      <c r="G480" t="s">
        <v>638</v>
      </c>
      <c r="H480">
        <v>2015</v>
      </c>
      <c r="I480" t="s">
        <v>56</v>
      </c>
      <c r="J480">
        <v>3016</v>
      </c>
      <c r="K480" t="s">
        <v>659</v>
      </c>
      <c r="L480">
        <v>4006</v>
      </c>
      <c r="M480" t="s">
        <v>660</v>
      </c>
      <c r="N480" t="s">
        <v>199</v>
      </c>
      <c r="O480">
        <v>0</v>
      </c>
      <c r="P480">
        <v>15</v>
      </c>
      <c r="Q480" t="s">
        <v>264</v>
      </c>
      <c r="R480" t="s">
        <v>201</v>
      </c>
      <c r="S480">
        <v>0</v>
      </c>
      <c r="T480">
        <v>0</v>
      </c>
      <c r="U480">
        <v>11578</v>
      </c>
      <c r="V480">
        <v>11578</v>
      </c>
    </row>
    <row r="481" spans="1:22">
      <c r="A481" t="s">
        <v>196</v>
      </c>
      <c r="B481">
        <v>27</v>
      </c>
      <c r="C481" t="s">
        <v>637</v>
      </c>
      <c r="D481">
        <v>100</v>
      </c>
      <c r="E481" t="s">
        <v>197</v>
      </c>
      <c r="F481">
        <v>1005</v>
      </c>
      <c r="G481" t="s">
        <v>638</v>
      </c>
      <c r="H481">
        <v>2015</v>
      </c>
      <c r="I481" t="s">
        <v>56</v>
      </c>
      <c r="J481">
        <v>3016</v>
      </c>
      <c r="K481" t="s">
        <v>659</v>
      </c>
      <c r="L481">
        <v>4007</v>
      </c>
      <c r="M481" t="s">
        <v>663</v>
      </c>
      <c r="N481" t="s">
        <v>287</v>
      </c>
      <c r="O481">
        <v>20</v>
      </c>
      <c r="P481">
        <v>3406</v>
      </c>
      <c r="Q481" t="s">
        <v>664</v>
      </c>
      <c r="R481" t="s">
        <v>201</v>
      </c>
      <c r="S481">
        <v>1</v>
      </c>
      <c r="T481">
        <v>1</v>
      </c>
      <c r="U481">
        <v>82884</v>
      </c>
      <c r="V481">
        <v>82884</v>
      </c>
    </row>
    <row r="482" spans="1:22">
      <c r="A482" t="s">
        <v>196</v>
      </c>
      <c r="B482">
        <v>27</v>
      </c>
      <c r="C482" t="s">
        <v>637</v>
      </c>
      <c r="D482">
        <v>100</v>
      </c>
      <c r="E482" t="s">
        <v>197</v>
      </c>
      <c r="F482">
        <v>1005</v>
      </c>
      <c r="G482" t="s">
        <v>638</v>
      </c>
      <c r="H482">
        <v>2015</v>
      </c>
      <c r="I482" t="s">
        <v>56</v>
      </c>
      <c r="J482">
        <v>3016</v>
      </c>
      <c r="K482" t="s">
        <v>659</v>
      </c>
      <c r="L482">
        <v>4007</v>
      </c>
      <c r="M482" t="s">
        <v>663</v>
      </c>
      <c r="N482" t="s">
        <v>266</v>
      </c>
      <c r="O482">
        <v>0</v>
      </c>
      <c r="P482">
        <v>2085</v>
      </c>
      <c r="Q482" t="s">
        <v>665</v>
      </c>
      <c r="R482" t="s">
        <v>201</v>
      </c>
      <c r="S482">
        <v>1</v>
      </c>
      <c r="T482">
        <v>1</v>
      </c>
      <c r="U482">
        <v>139140</v>
      </c>
      <c r="V482">
        <v>139140</v>
      </c>
    </row>
    <row r="483" spans="1:22">
      <c r="A483" t="s">
        <v>196</v>
      </c>
      <c r="B483">
        <v>27</v>
      </c>
      <c r="C483" t="s">
        <v>637</v>
      </c>
      <c r="D483">
        <v>100</v>
      </c>
      <c r="E483" t="s">
        <v>197</v>
      </c>
      <c r="F483">
        <v>1005</v>
      </c>
      <c r="G483" t="s">
        <v>638</v>
      </c>
      <c r="H483">
        <v>2015</v>
      </c>
      <c r="I483" t="s">
        <v>56</v>
      </c>
      <c r="J483">
        <v>3016</v>
      </c>
      <c r="K483" t="s">
        <v>659</v>
      </c>
      <c r="L483">
        <v>4007</v>
      </c>
      <c r="M483" t="s">
        <v>663</v>
      </c>
      <c r="N483" t="s">
        <v>199</v>
      </c>
      <c r="O483">
        <v>0</v>
      </c>
      <c r="P483">
        <v>15</v>
      </c>
      <c r="Q483" t="s">
        <v>264</v>
      </c>
      <c r="R483" t="s">
        <v>201</v>
      </c>
      <c r="S483">
        <v>0</v>
      </c>
      <c r="T483">
        <v>0</v>
      </c>
      <c r="U483">
        <v>2058</v>
      </c>
      <c r="V483">
        <v>2058</v>
      </c>
    </row>
    <row r="484" spans="1:22">
      <c r="A484" t="s">
        <v>196</v>
      </c>
      <c r="B484">
        <v>27</v>
      </c>
      <c r="C484" t="s">
        <v>637</v>
      </c>
      <c r="D484">
        <v>100</v>
      </c>
      <c r="E484" t="s">
        <v>197</v>
      </c>
      <c r="F484">
        <v>1005</v>
      </c>
      <c r="G484" t="s">
        <v>638</v>
      </c>
      <c r="H484">
        <v>2015</v>
      </c>
      <c r="I484" t="s">
        <v>56</v>
      </c>
      <c r="J484">
        <v>3016</v>
      </c>
      <c r="K484" t="s">
        <v>659</v>
      </c>
      <c r="L484">
        <v>4079</v>
      </c>
      <c r="M484" t="s">
        <v>666</v>
      </c>
      <c r="N484" t="s">
        <v>266</v>
      </c>
      <c r="O484">
        <v>9</v>
      </c>
      <c r="P484">
        <v>9684</v>
      </c>
      <c r="Q484" t="s">
        <v>327</v>
      </c>
      <c r="R484" t="s">
        <v>201</v>
      </c>
      <c r="S484">
        <v>1</v>
      </c>
      <c r="T484">
        <v>1</v>
      </c>
      <c r="U484">
        <v>175512</v>
      </c>
      <c r="V484">
        <v>175512</v>
      </c>
    </row>
    <row r="485" spans="1:22">
      <c r="A485" t="s">
        <v>196</v>
      </c>
      <c r="B485">
        <v>27</v>
      </c>
      <c r="C485" t="s">
        <v>637</v>
      </c>
      <c r="D485">
        <v>100</v>
      </c>
      <c r="E485" t="s">
        <v>197</v>
      </c>
      <c r="F485">
        <v>1005</v>
      </c>
      <c r="G485" t="s">
        <v>638</v>
      </c>
      <c r="H485">
        <v>2015</v>
      </c>
      <c r="I485" t="s">
        <v>56</v>
      </c>
      <c r="J485">
        <v>3016</v>
      </c>
      <c r="K485" t="s">
        <v>659</v>
      </c>
      <c r="L485">
        <v>4079</v>
      </c>
      <c r="M485" t="s">
        <v>666</v>
      </c>
      <c r="N485" t="s">
        <v>268</v>
      </c>
      <c r="O485">
        <v>10</v>
      </c>
      <c r="P485">
        <v>1911</v>
      </c>
      <c r="Q485" t="s">
        <v>617</v>
      </c>
      <c r="R485" t="s">
        <v>201</v>
      </c>
      <c r="S485">
        <v>1</v>
      </c>
      <c r="T485">
        <v>1</v>
      </c>
      <c r="U485">
        <v>83052</v>
      </c>
      <c r="V485">
        <v>83052</v>
      </c>
    </row>
    <row r="486" spans="1:22">
      <c r="A486" t="s">
        <v>196</v>
      </c>
      <c r="B486">
        <v>27</v>
      </c>
      <c r="C486" t="s">
        <v>637</v>
      </c>
      <c r="D486">
        <v>100</v>
      </c>
      <c r="E486" t="s">
        <v>197</v>
      </c>
      <c r="F486">
        <v>1005</v>
      </c>
      <c r="G486" t="s">
        <v>638</v>
      </c>
      <c r="H486">
        <v>2015</v>
      </c>
      <c r="I486" t="s">
        <v>56</v>
      </c>
      <c r="J486">
        <v>3016</v>
      </c>
      <c r="K486" t="s">
        <v>659</v>
      </c>
      <c r="L486">
        <v>4079</v>
      </c>
      <c r="M486" t="s">
        <v>666</v>
      </c>
      <c r="N486" t="s">
        <v>622</v>
      </c>
      <c r="O486">
        <v>1</v>
      </c>
      <c r="P486" t="s">
        <v>667</v>
      </c>
      <c r="Q486" t="s">
        <v>205</v>
      </c>
      <c r="R486" t="s">
        <v>201</v>
      </c>
      <c r="S486">
        <v>1</v>
      </c>
      <c r="T486">
        <v>1</v>
      </c>
      <c r="U486">
        <v>53532</v>
      </c>
      <c r="V486">
        <v>53532</v>
      </c>
    </row>
    <row r="487" spans="1:22">
      <c r="A487" t="s">
        <v>196</v>
      </c>
      <c r="B487">
        <v>27</v>
      </c>
      <c r="C487" t="s">
        <v>637</v>
      </c>
      <c r="D487">
        <v>100</v>
      </c>
      <c r="E487" t="s">
        <v>197</v>
      </c>
      <c r="F487">
        <v>1005</v>
      </c>
      <c r="G487" t="s">
        <v>638</v>
      </c>
      <c r="H487">
        <v>2015</v>
      </c>
      <c r="I487" t="s">
        <v>56</v>
      </c>
      <c r="J487">
        <v>3016</v>
      </c>
      <c r="K487" t="s">
        <v>659</v>
      </c>
      <c r="L487">
        <v>4079</v>
      </c>
      <c r="M487" t="s">
        <v>666</v>
      </c>
      <c r="N487" t="s">
        <v>274</v>
      </c>
      <c r="O487">
        <v>0</v>
      </c>
      <c r="P487">
        <v>392</v>
      </c>
      <c r="Q487" t="s">
        <v>668</v>
      </c>
      <c r="R487" t="s">
        <v>201</v>
      </c>
      <c r="S487">
        <v>1</v>
      </c>
      <c r="T487">
        <v>1</v>
      </c>
      <c r="U487">
        <v>146808</v>
      </c>
      <c r="V487">
        <v>146808</v>
      </c>
    </row>
    <row r="488" spans="1:22">
      <c r="A488" t="s">
        <v>196</v>
      </c>
      <c r="B488">
        <v>27</v>
      </c>
      <c r="C488" t="s">
        <v>637</v>
      </c>
      <c r="D488">
        <v>100</v>
      </c>
      <c r="E488" t="s">
        <v>197</v>
      </c>
      <c r="F488">
        <v>1005</v>
      </c>
      <c r="G488" t="s">
        <v>638</v>
      </c>
      <c r="H488">
        <v>2015</v>
      </c>
      <c r="I488" t="s">
        <v>56</v>
      </c>
      <c r="J488">
        <v>3016</v>
      </c>
      <c r="K488" t="s">
        <v>659</v>
      </c>
      <c r="L488">
        <v>4079</v>
      </c>
      <c r="M488" t="s">
        <v>666</v>
      </c>
      <c r="N488" t="s">
        <v>294</v>
      </c>
      <c r="O488">
        <v>10</v>
      </c>
      <c r="P488">
        <v>370</v>
      </c>
      <c r="Q488" t="s">
        <v>669</v>
      </c>
      <c r="R488" t="s">
        <v>201</v>
      </c>
      <c r="S488">
        <v>1</v>
      </c>
      <c r="T488">
        <v>1</v>
      </c>
      <c r="U488">
        <v>69684</v>
      </c>
      <c r="V488">
        <v>69684</v>
      </c>
    </row>
    <row r="489" spans="1:22">
      <c r="A489" t="s">
        <v>196</v>
      </c>
      <c r="B489">
        <v>27</v>
      </c>
      <c r="C489" t="s">
        <v>637</v>
      </c>
      <c r="D489">
        <v>100</v>
      </c>
      <c r="E489" t="s">
        <v>197</v>
      </c>
      <c r="F489">
        <v>1005</v>
      </c>
      <c r="G489" t="s">
        <v>638</v>
      </c>
      <c r="H489">
        <v>2015</v>
      </c>
      <c r="I489" t="s">
        <v>56</v>
      </c>
      <c r="J489">
        <v>3016</v>
      </c>
      <c r="K489" t="s">
        <v>659</v>
      </c>
      <c r="L489">
        <v>4079</v>
      </c>
      <c r="M489" t="s">
        <v>666</v>
      </c>
      <c r="N489" t="s">
        <v>247</v>
      </c>
      <c r="O489">
        <v>20</v>
      </c>
      <c r="P489">
        <v>366</v>
      </c>
      <c r="Q489" t="s">
        <v>604</v>
      </c>
      <c r="R489" t="s">
        <v>201</v>
      </c>
      <c r="S489">
        <v>1</v>
      </c>
      <c r="T489">
        <v>1</v>
      </c>
      <c r="U489">
        <v>60660</v>
      </c>
      <c r="V489">
        <v>60660</v>
      </c>
    </row>
    <row r="490" spans="1:22">
      <c r="A490" t="s">
        <v>196</v>
      </c>
      <c r="B490">
        <v>27</v>
      </c>
      <c r="C490" t="s">
        <v>637</v>
      </c>
      <c r="D490">
        <v>100</v>
      </c>
      <c r="E490" t="s">
        <v>197</v>
      </c>
      <c r="F490">
        <v>1005</v>
      </c>
      <c r="G490" t="s">
        <v>638</v>
      </c>
      <c r="H490">
        <v>2015</v>
      </c>
      <c r="I490" t="s">
        <v>56</v>
      </c>
      <c r="J490">
        <v>3016</v>
      </c>
      <c r="K490" t="s">
        <v>659</v>
      </c>
      <c r="L490">
        <v>4079</v>
      </c>
      <c r="M490" t="s">
        <v>666</v>
      </c>
      <c r="N490" t="s">
        <v>249</v>
      </c>
      <c r="O490">
        <v>10</v>
      </c>
      <c r="P490">
        <v>311</v>
      </c>
      <c r="Q490" t="s">
        <v>661</v>
      </c>
      <c r="R490" t="s">
        <v>201</v>
      </c>
      <c r="S490">
        <v>1</v>
      </c>
      <c r="T490">
        <v>1</v>
      </c>
      <c r="U490">
        <v>113568</v>
      </c>
      <c r="V490">
        <v>113568</v>
      </c>
    </row>
    <row r="491" spans="1:22">
      <c r="A491" t="s">
        <v>196</v>
      </c>
      <c r="B491">
        <v>27</v>
      </c>
      <c r="C491" t="s">
        <v>637</v>
      </c>
      <c r="D491">
        <v>100</v>
      </c>
      <c r="E491" t="s">
        <v>197</v>
      </c>
      <c r="F491">
        <v>1005</v>
      </c>
      <c r="G491" t="s">
        <v>638</v>
      </c>
      <c r="H491">
        <v>2015</v>
      </c>
      <c r="I491" t="s">
        <v>56</v>
      </c>
      <c r="J491">
        <v>3016</v>
      </c>
      <c r="K491" t="s">
        <v>659</v>
      </c>
      <c r="L491">
        <v>4079</v>
      </c>
      <c r="M491" t="s">
        <v>666</v>
      </c>
      <c r="N491" t="s">
        <v>341</v>
      </c>
      <c r="O491">
        <v>1</v>
      </c>
      <c r="P491">
        <v>308</v>
      </c>
      <c r="Q491" t="s">
        <v>355</v>
      </c>
      <c r="R491" t="s">
        <v>201</v>
      </c>
      <c r="S491">
        <v>1</v>
      </c>
      <c r="T491">
        <v>1</v>
      </c>
      <c r="U491">
        <v>108576</v>
      </c>
      <c r="V491">
        <v>108576</v>
      </c>
    </row>
    <row r="492" spans="1:22">
      <c r="A492" t="s">
        <v>196</v>
      </c>
      <c r="B492">
        <v>27</v>
      </c>
      <c r="C492" t="s">
        <v>637</v>
      </c>
      <c r="D492">
        <v>100</v>
      </c>
      <c r="E492" t="s">
        <v>197</v>
      </c>
      <c r="F492">
        <v>1005</v>
      </c>
      <c r="G492" t="s">
        <v>638</v>
      </c>
      <c r="H492">
        <v>2015</v>
      </c>
      <c r="I492" t="s">
        <v>56</v>
      </c>
      <c r="J492">
        <v>3016</v>
      </c>
      <c r="K492" t="s">
        <v>659</v>
      </c>
      <c r="L492">
        <v>4079</v>
      </c>
      <c r="M492" t="s">
        <v>666</v>
      </c>
      <c r="N492" t="s">
        <v>251</v>
      </c>
      <c r="O492">
        <v>10</v>
      </c>
      <c r="P492">
        <v>233</v>
      </c>
      <c r="Q492" t="s">
        <v>670</v>
      </c>
      <c r="R492" t="s">
        <v>201</v>
      </c>
      <c r="S492">
        <v>1</v>
      </c>
      <c r="T492">
        <v>1</v>
      </c>
      <c r="U492">
        <v>124584</v>
      </c>
      <c r="V492">
        <v>124584</v>
      </c>
    </row>
    <row r="493" spans="1:22">
      <c r="A493" t="s">
        <v>196</v>
      </c>
      <c r="B493">
        <v>27</v>
      </c>
      <c r="C493" t="s">
        <v>637</v>
      </c>
      <c r="D493">
        <v>100</v>
      </c>
      <c r="E493" t="s">
        <v>197</v>
      </c>
      <c r="F493">
        <v>1005</v>
      </c>
      <c r="G493" t="s">
        <v>638</v>
      </c>
      <c r="H493">
        <v>2015</v>
      </c>
      <c r="I493" t="s">
        <v>56</v>
      </c>
      <c r="J493">
        <v>3016</v>
      </c>
      <c r="K493" t="s">
        <v>659</v>
      </c>
      <c r="L493">
        <v>4079</v>
      </c>
      <c r="M493" t="s">
        <v>666</v>
      </c>
      <c r="N493" t="s">
        <v>251</v>
      </c>
      <c r="O493">
        <v>10</v>
      </c>
      <c r="P493">
        <v>233</v>
      </c>
      <c r="Q493" t="s">
        <v>670</v>
      </c>
      <c r="R493" t="s">
        <v>201</v>
      </c>
      <c r="S493">
        <v>1</v>
      </c>
      <c r="T493">
        <v>1</v>
      </c>
      <c r="U493">
        <v>113568</v>
      </c>
      <c r="V493">
        <v>113568</v>
      </c>
    </row>
    <row r="494" spans="1:22">
      <c r="A494" t="s">
        <v>196</v>
      </c>
      <c r="B494">
        <v>27</v>
      </c>
      <c r="C494" t="s">
        <v>637</v>
      </c>
      <c r="D494">
        <v>100</v>
      </c>
      <c r="E494" t="s">
        <v>197</v>
      </c>
      <c r="F494">
        <v>1005</v>
      </c>
      <c r="G494" t="s">
        <v>638</v>
      </c>
      <c r="H494">
        <v>2015</v>
      </c>
      <c r="I494" t="s">
        <v>56</v>
      </c>
      <c r="J494">
        <v>3016</v>
      </c>
      <c r="K494" t="s">
        <v>659</v>
      </c>
      <c r="L494">
        <v>4079</v>
      </c>
      <c r="M494" t="s">
        <v>666</v>
      </c>
      <c r="N494" t="s">
        <v>271</v>
      </c>
      <c r="O494">
        <v>20</v>
      </c>
      <c r="P494">
        <v>223</v>
      </c>
      <c r="Q494" t="s">
        <v>671</v>
      </c>
      <c r="R494" t="s">
        <v>201</v>
      </c>
      <c r="S494">
        <v>1</v>
      </c>
      <c r="T494">
        <v>1</v>
      </c>
      <c r="U494">
        <v>131124</v>
      </c>
      <c r="V494">
        <v>131124</v>
      </c>
    </row>
    <row r="495" spans="1:22">
      <c r="A495" t="s">
        <v>196</v>
      </c>
      <c r="B495">
        <v>27</v>
      </c>
      <c r="C495" t="s">
        <v>637</v>
      </c>
      <c r="D495">
        <v>100</v>
      </c>
      <c r="E495" t="s">
        <v>197</v>
      </c>
      <c r="F495">
        <v>1005</v>
      </c>
      <c r="G495" t="s">
        <v>638</v>
      </c>
      <c r="H495">
        <v>2015</v>
      </c>
      <c r="I495" t="s">
        <v>56</v>
      </c>
      <c r="J495">
        <v>3016</v>
      </c>
      <c r="K495" t="s">
        <v>659</v>
      </c>
      <c r="L495">
        <v>4079</v>
      </c>
      <c r="M495" t="s">
        <v>666</v>
      </c>
      <c r="N495" t="s">
        <v>281</v>
      </c>
      <c r="O495">
        <v>10</v>
      </c>
      <c r="P495">
        <v>135</v>
      </c>
      <c r="Q495" t="s">
        <v>672</v>
      </c>
      <c r="R495" t="s">
        <v>201</v>
      </c>
      <c r="S495">
        <v>1</v>
      </c>
      <c r="T495">
        <v>1</v>
      </c>
      <c r="U495">
        <v>97332</v>
      </c>
      <c r="V495">
        <v>97332</v>
      </c>
    </row>
    <row r="496" spans="1:22">
      <c r="A496" t="s">
        <v>196</v>
      </c>
      <c r="B496">
        <v>27</v>
      </c>
      <c r="C496" t="s">
        <v>637</v>
      </c>
      <c r="D496">
        <v>100</v>
      </c>
      <c r="E496" t="s">
        <v>197</v>
      </c>
      <c r="F496">
        <v>1005</v>
      </c>
      <c r="G496" t="s">
        <v>638</v>
      </c>
      <c r="H496">
        <v>2015</v>
      </c>
      <c r="I496" t="s">
        <v>56</v>
      </c>
      <c r="J496">
        <v>3016</v>
      </c>
      <c r="K496" t="s">
        <v>659</v>
      </c>
      <c r="L496">
        <v>4079</v>
      </c>
      <c r="M496" t="s">
        <v>666</v>
      </c>
      <c r="N496" t="s">
        <v>199</v>
      </c>
      <c r="O496">
        <v>0</v>
      </c>
      <c r="P496">
        <v>15</v>
      </c>
      <c r="Q496" t="s">
        <v>264</v>
      </c>
      <c r="R496" t="s">
        <v>201</v>
      </c>
      <c r="S496">
        <v>0</v>
      </c>
      <c r="T496">
        <v>0</v>
      </c>
      <c r="U496">
        <v>22783</v>
      </c>
      <c r="V496">
        <v>22783</v>
      </c>
    </row>
    <row r="497" spans="1:22">
      <c r="A497" t="s">
        <v>196</v>
      </c>
      <c r="B497">
        <v>27</v>
      </c>
      <c r="C497" t="s">
        <v>637</v>
      </c>
      <c r="D497">
        <v>100</v>
      </c>
      <c r="E497" t="s">
        <v>197</v>
      </c>
      <c r="F497">
        <v>1005</v>
      </c>
      <c r="G497" t="s">
        <v>638</v>
      </c>
      <c r="H497">
        <v>2015</v>
      </c>
      <c r="I497" t="s">
        <v>56</v>
      </c>
      <c r="J497">
        <v>3016</v>
      </c>
      <c r="K497" t="s">
        <v>659</v>
      </c>
      <c r="L497">
        <v>4080</v>
      </c>
      <c r="M497" t="s">
        <v>673</v>
      </c>
      <c r="N497" t="s">
        <v>266</v>
      </c>
      <c r="O497">
        <v>9</v>
      </c>
      <c r="P497">
        <v>9672</v>
      </c>
      <c r="Q497" t="s">
        <v>674</v>
      </c>
      <c r="R497" t="s">
        <v>201</v>
      </c>
      <c r="S497">
        <v>1</v>
      </c>
      <c r="T497">
        <v>1</v>
      </c>
      <c r="U497">
        <v>157332</v>
      </c>
      <c r="V497">
        <v>157332</v>
      </c>
    </row>
    <row r="498" spans="1:22">
      <c r="A498" t="s">
        <v>196</v>
      </c>
      <c r="B498">
        <v>27</v>
      </c>
      <c r="C498" t="s">
        <v>637</v>
      </c>
      <c r="D498">
        <v>100</v>
      </c>
      <c r="E498" t="s">
        <v>197</v>
      </c>
      <c r="F498">
        <v>1005</v>
      </c>
      <c r="G498" t="s">
        <v>638</v>
      </c>
      <c r="H498">
        <v>2015</v>
      </c>
      <c r="I498" t="s">
        <v>56</v>
      </c>
      <c r="J498">
        <v>3016</v>
      </c>
      <c r="K498" t="s">
        <v>659</v>
      </c>
      <c r="L498">
        <v>4080</v>
      </c>
      <c r="M498" t="s">
        <v>673</v>
      </c>
      <c r="N498" t="s">
        <v>372</v>
      </c>
      <c r="O498">
        <v>3</v>
      </c>
      <c r="P498">
        <v>1711</v>
      </c>
      <c r="Q498" t="s">
        <v>675</v>
      </c>
      <c r="R498" t="s">
        <v>201</v>
      </c>
      <c r="S498">
        <v>1</v>
      </c>
      <c r="T498">
        <v>1</v>
      </c>
      <c r="U498">
        <v>81324</v>
      </c>
      <c r="V498">
        <v>81324</v>
      </c>
    </row>
    <row r="499" spans="1:22">
      <c r="A499" t="s">
        <v>196</v>
      </c>
      <c r="B499">
        <v>27</v>
      </c>
      <c r="C499" t="s">
        <v>637</v>
      </c>
      <c r="D499">
        <v>100</v>
      </c>
      <c r="E499" t="s">
        <v>197</v>
      </c>
      <c r="F499">
        <v>1005</v>
      </c>
      <c r="G499" t="s">
        <v>638</v>
      </c>
      <c r="H499">
        <v>2015</v>
      </c>
      <c r="I499" t="s">
        <v>56</v>
      </c>
      <c r="J499">
        <v>3016</v>
      </c>
      <c r="K499" t="s">
        <v>659</v>
      </c>
      <c r="L499">
        <v>4080</v>
      </c>
      <c r="M499" t="s">
        <v>673</v>
      </c>
      <c r="N499" t="s">
        <v>268</v>
      </c>
      <c r="O499">
        <v>10</v>
      </c>
      <c r="P499">
        <v>1709</v>
      </c>
      <c r="Q499" t="s">
        <v>676</v>
      </c>
      <c r="R499" t="s">
        <v>201</v>
      </c>
      <c r="S499">
        <v>1</v>
      </c>
      <c r="T499">
        <v>1</v>
      </c>
      <c r="U499">
        <v>69684</v>
      </c>
      <c r="V499">
        <v>69684</v>
      </c>
    </row>
    <row r="500" spans="1:22">
      <c r="A500" t="s">
        <v>196</v>
      </c>
      <c r="B500">
        <v>27</v>
      </c>
      <c r="C500" t="s">
        <v>637</v>
      </c>
      <c r="D500">
        <v>100</v>
      </c>
      <c r="E500" t="s">
        <v>197</v>
      </c>
      <c r="F500">
        <v>1005</v>
      </c>
      <c r="G500" t="s">
        <v>638</v>
      </c>
      <c r="H500">
        <v>2015</v>
      </c>
      <c r="I500" t="s">
        <v>56</v>
      </c>
      <c r="J500">
        <v>3016</v>
      </c>
      <c r="K500" t="s">
        <v>659</v>
      </c>
      <c r="L500">
        <v>4080</v>
      </c>
      <c r="M500" t="s">
        <v>673</v>
      </c>
      <c r="N500" t="s">
        <v>245</v>
      </c>
      <c r="O500">
        <v>20</v>
      </c>
      <c r="P500">
        <v>1653</v>
      </c>
      <c r="Q500" t="s">
        <v>677</v>
      </c>
      <c r="R500" t="s">
        <v>201</v>
      </c>
      <c r="S500">
        <v>1</v>
      </c>
      <c r="T500">
        <v>1</v>
      </c>
      <c r="U500">
        <v>111000</v>
      </c>
      <c r="V500">
        <v>111000</v>
      </c>
    </row>
    <row r="501" spans="1:22">
      <c r="A501" t="s">
        <v>196</v>
      </c>
      <c r="B501">
        <v>27</v>
      </c>
      <c r="C501" t="s">
        <v>637</v>
      </c>
      <c r="D501">
        <v>100</v>
      </c>
      <c r="E501" t="s">
        <v>197</v>
      </c>
      <c r="F501">
        <v>1005</v>
      </c>
      <c r="G501" t="s">
        <v>638</v>
      </c>
      <c r="H501">
        <v>2015</v>
      </c>
      <c r="I501" t="s">
        <v>56</v>
      </c>
      <c r="J501">
        <v>3016</v>
      </c>
      <c r="K501" t="s">
        <v>659</v>
      </c>
      <c r="L501">
        <v>4080</v>
      </c>
      <c r="M501" t="s">
        <v>673</v>
      </c>
      <c r="N501" t="s">
        <v>199</v>
      </c>
      <c r="O501">
        <v>0</v>
      </c>
      <c r="P501">
        <v>15</v>
      </c>
      <c r="Q501" t="s">
        <v>264</v>
      </c>
      <c r="R501" t="s">
        <v>201</v>
      </c>
      <c r="S501">
        <v>0</v>
      </c>
      <c r="T501">
        <v>0</v>
      </c>
      <c r="U501">
        <v>7780</v>
      </c>
      <c r="V501">
        <v>7780</v>
      </c>
    </row>
    <row r="502" spans="1:22">
      <c r="A502" t="s">
        <v>196</v>
      </c>
      <c r="B502">
        <v>27</v>
      </c>
      <c r="C502" t="s">
        <v>637</v>
      </c>
      <c r="D502">
        <v>100</v>
      </c>
      <c r="E502" t="s">
        <v>197</v>
      </c>
      <c r="F502">
        <v>1005</v>
      </c>
      <c r="G502" t="s">
        <v>638</v>
      </c>
      <c r="H502">
        <v>2015</v>
      </c>
      <c r="I502" t="s">
        <v>56</v>
      </c>
      <c r="J502">
        <v>3016</v>
      </c>
      <c r="K502" t="s">
        <v>659</v>
      </c>
      <c r="L502">
        <v>4089</v>
      </c>
      <c r="M502" t="s">
        <v>678</v>
      </c>
      <c r="N502" t="s">
        <v>266</v>
      </c>
      <c r="O502">
        <v>0</v>
      </c>
      <c r="P502">
        <v>9727</v>
      </c>
      <c r="Q502" t="s">
        <v>679</v>
      </c>
      <c r="R502" t="s">
        <v>201</v>
      </c>
      <c r="S502">
        <v>1</v>
      </c>
      <c r="T502">
        <v>1</v>
      </c>
      <c r="U502">
        <v>175512</v>
      </c>
      <c r="V502">
        <v>175512</v>
      </c>
    </row>
    <row r="503" spans="1:22">
      <c r="A503" t="s">
        <v>196</v>
      </c>
      <c r="B503">
        <v>27</v>
      </c>
      <c r="C503" t="s">
        <v>637</v>
      </c>
      <c r="D503">
        <v>100</v>
      </c>
      <c r="E503" t="s">
        <v>197</v>
      </c>
      <c r="F503">
        <v>1005</v>
      </c>
      <c r="G503" t="s">
        <v>638</v>
      </c>
      <c r="H503">
        <v>2015</v>
      </c>
      <c r="I503" t="s">
        <v>56</v>
      </c>
      <c r="J503">
        <v>3016</v>
      </c>
      <c r="K503" t="s">
        <v>659</v>
      </c>
      <c r="L503">
        <v>4089</v>
      </c>
      <c r="M503" t="s">
        <v>678</v>
      </c>
      <c r="N503" t="s">
        <v>268</v>
      </c>
      <c r="O503">
        <v>10</v>
      </c>
      <c r="P503">
        <v>1203</v>
      </c>
      <c r="Q503" t="s">
        <v>680</v>
      </c>
      <c r="R503" t="s">
        <v>201</v>
      </c>
      <c r="S503">
        <v>1</v>
      </c>
      <c r="T503">
        <v>1</v>
      </c>
      <c r="U503">
        <v>83052</v>
      </c>
      <c r="V503">
        <v>83052</v>
      </c>
    </row>
    <row r="504" spans="1:22">
      <c r="A504" t="s">
        <v>196</v>
      </c>
      <c r="B504">
        <v>27</v>
      </c>
      <c r="C504" t="s">
        <v>637</v>
      </c>
      <c r="D504">
        <v>100</v>
      </c>
      <c r="E504" t="s">
        <v>197</v>
      </c>
      <c r="F504">
        <v>1005</v>
      </c>
      <c r="G504" t="s">
        <v>638</v>
      </c>
      <c r="H504">
        <v>2015</v>
      </c>
      <c r="I504" t="s">
        <v>56</v>
      </c>
      <c r="J504">
        <v>3016</v>
      </c>
      <c r="K504" t="s">
        <v>659</v>
      </c>
      <c r="L504">
        <v>4089</v>
      </c>
      <c r="M504" t="s">
        <v>678</v>
      </c>
      <c r="N504" t="s">
        <v>351</v>
      </c>
      <c r="O504">
        <v>1</v>
      </c>
      <c r="P504" t="s">
        <v>352</v>
      </c>
      <c r="Q504" t="s">
        <v>353</v>
      </c>
      <c r="R504" t="s">
        <v>201</v>
      </c>
      <c r="S504">
        <v>1</v>
      </c>
      <c r="T504">
        <v>1</v>
      </c>
      <c r="U504">
        <v>70752</v>
      </c>
      <c r="V504">
        <v>70752</v>
      </c>
    </row>
    <row r="505" spans="1:22">
      <c r="A505" t="s">
        <v>196</v>
      </c>
      <c r="B505">
        <v>27</v>
      </c>
      <c r="C505" t="s">
        <v>637</v>
      </c>
      <c r="D505">
        <v>100</v>
      </c>
      <c r="E505" t="s">
        <v>197</v>
      </c>
      <c r="F505">
        <v>1005</v>
      </c>
      <c r="G505" t="s">
        <v>638</v>
      </c>
      <c r="H505">
        <v>2015</v>
      </c>
      <c r="I505" t="s">
        <v>56</v>
      </c>
      <c r="J505">
        <v>3016</v>
      </c>
      <c r="K505" t="s">
        <v>659</v>
      </c>
      <c r="L505">
        <v>4089</v>
      </c>
      <c r="M505" t="s">
        <v>678</v>
      </c>
      <c r="N505" t="s">
        <v>249</v>
      </c>
      <c r="O505">
        <v>10</v>
      </c>
      <c r="P505">
        <v>310</v>
      </c>
      <c r="Q505" t="s">
        <v>447</v>
      </c>
      <c r="R505" t="s">
        <v>201</v>
      </c>
      <c r="S505">
        <v>1</v>
      </c>
      <c r="T505">
        <v>1</v>
      </c>
      <c r="U505">
        <v>97836</v>
      </c>
      <c r="V505">
        <v>97836</v>
      </c>
    </row>
    <row r="506" spans="1:22">
      <c r="A506" t="s">
        <v>196</v>
      </c>
      <c r="B506">
        <v>27</v>
      </c>
      <c r="C506" t="s">
        <v>637</v>
      </c>
      <c r="D506">
        <v>100</v>
      </c>
      <c r="E506" t="s">
        <v>197</v>
      </c>
      <c r="F506">
        <v>1005</v>
      </c>
      <c r="G506" t="s">
        <v>638</v>
      </c>
      <c r="H506">
        <v>2015</v>
      </c>
      <c r="I506" t="s">
        <v>56</v>
      </c>
      <c r="J506">
        <v>3016</v>
      </c>
      <c r="K506" t="s">
        <v>659</v>
      </c>
      <c r="L506">
        <v>4089</v>
      </c>
      <c r="M506" t="s">
        <v>678</v>
      </c>
      <c r="N506" t="s">
        <v>274</v>
      </c>
      <c r="O506">
        <v>0</v>
      </c>
      <c r="P506">
        <v>306</v>
      </c>
      <c r="Q506" t="s">
        <v>636</v>
      </c>
      <c r="R506" t="s">
        <v>201</v>
      </c>
      <c r="S506">
        <v>1</v>
      </c>
      <c r="T506">
        <v>1</v>
      </c>
      <c r="U506">
        <v>137532</v>
      </c>
      <c r="V506">
        <v>137532</v>
      </c>
    </row>
    <row r="507" spans="1:22">
      <c r="A507" t="s">
        <v>196</v>
      </c>
      <c r="B507">
        <v>27</v>
      </c>
      <c r="C507" t="s">
        <v>637</v>
      </c>
      <c r="D507">
        <v>100</v>
      </c>
      <c r="E507" t="s">
        <v>197</v>
      </c>
      <c r="F507">
        <v>1005</v>
      </c>
      <c r="G507" t="s">
        <v>638</v>
      </c>
      <c r="H507">
        <v>2015</v>
      </c>
      <c r="I507" t="s">
        <v>56</v>
      </c>
      <c r="J507">
        <v>3016</v>
      </c>
      <c r="K507" t="s">
        <v>659</v>
      </c>
      <c r="L507">
        <v>4089</v>
      </c>
      <c r="M507" t="s">
        <v>678</v>
      </c>
      <c r="N507" t="s">
        <v>199</v>
      </c>
      <c r="O507">
        <v>0</v>
      </c>
      <c r="P507">
        <v>15</v>
      </c>
      <c r="Q507" t="s">
        <v>264</v>
      </c>
      <c r="R507" t="s">
        <v>201</v>
      </c>
      <c r="S507">
        <v>0</v>
      </c>
      <c r="T507">
        <v>0</v>
      </c>
      <c r="U507">
        <v>12575</v>
      </c>
      <c r="V507">
        <v>12575</v>
      </c>
    </row>
    <row r="508" spans="1:22">
      <c r="A508" t="s">
        <v>196</v>
      </c>
      <c r="B508">
        <v>27</v>
      </c>
      <c r="C508" t="s">
        <v>637</v>
      </c>
      <c r="D508">
        <v>100</v>
      </c>
      <c r="E508" t="s">
        <v>197</v>
      </c>
      <c r="F508">
        <v>1005</v>
      </c>
      <c r="G508" t="s">
        <v>638</v>
      </c>
      <c r="H508">
        <v>2015</v>
      </c>
      <c r="I508" t="s">
        <v>56</v>
      </c>
      <c r="J508">
        <v>3017</v>
      </c>
      <c r="K508" t="s">
        <v>681</v>
      </c>
      <c r="L508">
        <v>4026</v>
      </c>
      <c r="M508" t="s">
        <v>682</v>
      </c>
      <c r="N508" t="s">
        <v>266</v>
      </c>
      <c r="O508">
        <v>9</v>
      </c>
      <c r="P508">
        <v>9651</v>
      </c>
      <c r="Q508" t="s">
        <v>644</v>
      </c>
      <c r="R508" t="s">
        <v>201</v>
      </c>
      <c r="S508">
        <v>1</v>
      </c>
      <c r="T508">
        <v>1</v>
      </c>
      <c r="U508">
        <v>175512</v>
      </c>
      <c r="V508">
        <v>175512</v>
      </c>
    </row>
    <row r="509" spans="1:22">
      <c r="A509" t="s">
        <v>196</v>
      </c>
      <c r="B509">
        <v>27</v>
      </c>
      <c r="C509" t="s">
        <v>637</v>
      </c>
      <c r="D509">
        <v>100</v>
      </c>
      <c r="E509" t="s">
        <v>197</v>
      </c>
      <c r="F509">
        <v>1005</v>
      </c>
      <c r="G509" t="s">
        <v>638</v>
      </c>
      <c r="H509">
        <v>2015</v>
      </c>
      <c r="I509" t="s">
        <v>56</v>
      </c>
      <c r="J509">
        <v>3017</v>
      </c>
      <c r="K509" t="s">
        <v>681</v>
      </c>
      <c r="L509">
        <v>4026</v>
      </c>
      <c r="M509" t="s">
        <v>682</v>
      </c>
      <c r="N509" t="s">
        <v>372</v>
      </c>
      <c r="O509">
        <v>1</v>
      </c>
      <c r="P509">
        <v>1576</v>
      </c>
      <c r="Q509" t="s">
        <v>650</v>
      </c>
      <c r="R509" t="s">
        <v>201</v>
      </c>
      <c r="S509">
        <v>1</v>
      </c>
      <c r="T509">
        <v>1</v>
      </c>
      <c r="U509">
        <v>130668</v>
      </c>
      <c r="V509">
        <v>130668</v>
      </c>
    </row>
    <row r="510" spans="1:22">
      <c r="A510" t="s">
        <v>196</v>
      </c>
      <c r="B510">
        <v>27</v>
      </c>
      <c r="C510" t="s">
        <v>637</v>
      </c>
      <c r="D510">
        <v>100</v>
      </c>
      <c r="E510" t="s">
        <v>197</v>
      </c>
      <c r="F510">
        <v>1005</v>
      </c>
      <c r="G510" t="s">
        <v>638</v>
      </c>
      <c r="H510">
        <v>2015</v>
      </c>
      <c r="I510" t="s">
        <v>56</v>
      </c>
      <c r="J510">
        <v>3017</v>
      </c>
      <c r="K510" t="s">
        <v>681</v>
      </c>
      <c r="L510">
        <v>4026</v>
      </c>
      <c r="M510" t="s">
        <v>682</v>
      </c>
      <c r="N510" t="s">
        <v>372</v>
      </c>
      <c r="O510">
        <v>1</v>
      </c>
      <c r="P510">
        <v>1576</v>
      </c>
      <c r="Q510" t="s">
        <v>650</v>
      </c>
      <c r="R510" t="s">
        <v>201</v>
      </c>
      <c r="S510">
        <v>1</v>
      </c>
      <c r="T510">
        <v>1</v>
      </c>
      <c r="U510">
        <v>108576</v>
      </c>
      <c r="V510">
        <v>108576</v>
      </c>
    </row>
    <row r="511" spans="1:22">
      <c r="A511" t="s">
        <v>196</v>
      </c>
      <c r="B511">
        <v>27</v>
      </c>
      <c r="C511" t="s">
        <v>637</v>
      </c>
      <c r="D511">
        <v>100</v>
      </c>
      <c r="E511" t="s">
        <v>197</v>
      </c>
      <c r="F511">
        <v>1005</v>
      </c>
      <c r="G511" t="s">
        <v>638</v>
      </c>
      <c r="H511">
        <v>2015</v>
      </c>
      <c r="I511" t="s">
        <v>56</v>
      </c>
      <c r="J511">
        <v>3017</v>
      </c>
      <c r="K511" t="s">
        <v>681</v>
      </c>
      <c r="L511">
        <v>4026</v>
      </c>
      <c r="M511" t="s">
        <v>682</v>
      </c>
      <c r="N511" t="s">
        <v>633</v>
      </c>
      <c r="O511">
        <v>4</v>
      </c>
      <c r="P511">
        <v>1143</v>
      </c>
      <c r="Q511" t="s">
        <v>683</v>
      </c>
      <c r="R511" t="s">
        <v>201</v>
      </c>
      <c r="S511">
        <v>1</v>
      </c>
      <c r="T511">
        <v>1</v>
      </c>
      <c r="U511">
        <v>84192</v>
      </c>
      <c r="V511">
        <v>84192</v>
      </c>
    </row>
    <row r="512" spans="1:22">
      <c r="A512" t="s">
        <v>196</v>
      </c>
      <c r="B512">
        <v>27</v>
      </c>
      <c r="C512" t="s">
        <v>637</v>
      </c>
      <c r="D512">
        <v>100</v>
      </c>
      <c r="E512" t="s">
        <v>197</v>
      </c>
      <c r="F512">
        <v>1005</v>
      </c>
      <c r="G512" t="s">
        <v>638</v>
      </c>
      <c r="H512">
        <v>2015</v>
      </c>
      <c r="I512" t="s">
        <v>56</v>
      </c>
      <c r="J512">
        <v>3017</v>
      </c>
      <c r="K512" t="s">
        <v>681</v>
      </c>
      <c r="L512">
        <v>4026</v>
      </c>
      <c r="M512" t="s">
        <v>682</v>
      </c>
      <c r="N512" t="s">
        <v>341</v>
      </c>
      <c r="O512">
        <v>4</v>
      </c>
      <c r="P512">
        <v>110</v>
      </c>
      <c r="Q512" t="s">
        <v>359</v>
      </c>
      <c r="R512" t="s">
        <v>201</v>
      </c>
      <c r="S512">
        <v>1</v>
      </c>
      <c r="T512">
        <v>1</v>
      </c>
      <c r="U512">
        <v>81324</v>
      </c>
      <c r="V512">
        <v>81324</v>
      </c>
    </row>
    <row r="513" spans="1:22">
      <c r="A513" t="s">
        <v>196</v>
      </c>
      <c r="B513">
        <v>27</v>
      </c>
      <c r="C513" t="s">
        <v>637</v>
      </c>
      <c r="D513">
        <v>100</v>
      </c>
      <c r="E513" t="s">
        <v>197</v>
      </c>
      <c r="F513">
        <v>1005</v>
      </c>
      <c r="G513" t="s">
        <v>638</v>
      </c>
      <c r="H513">
        <v>2015</v>
      </c>
      <c r="I513" t="s">
        <v>56</v>
      </c>
      <c r="J513">
        <v>3017</v>
      </c>
      <c r="K513" t="s">
        <v>681</v>
      </c>
      <c r="L513">
        <v>4026</v>
      </c>
      <c r="M513" t="s">
        <v>682</v>
      </c>
      <c r="N513" t="s">
        <v>360</v>
      </c>
      <c r="O513">
        <v>1</v>
      </c>
      <c r="P513">
        <v>109</v>
      </c>
      <c r="Q513" t="s">
        <v>361</v>
      </c>
      <c r="R513" t="s">
        <v>201</v>
      </c>
      <c r="S513">
        <v>3</v>
      </c>
      <c r="T513">
        <v>1</v>
      </c>
      <c r="U513">
        <v>98928</v>
      </c>
      <c r="V513">
        <v>296784</v>
      </c>
    </row>
    <row r="514" spans="1:22">
      <c r="A514" t="s">
        <v>196</v>
      </c>
      <c r="B514">
        <v>27</v>
      </c>
      <c r="C514" t="s">
        <v>637</v>
      </c>
      <c r="D514">
        <v>100</v>
      </c>
      <c r="E514" t="s">
        <v>197</v>
      </c>
      <c r="F514">
        <v>1005</v>
      </c>
      <c r="G514" t="s">
        <v>638</v>
      </c>
      <c r="H514">
        <v>2015</v>
      </c>
      <c r="I514" t="s">
        <v>56</v>
      </c>
      <c r="J514">
        <v>3017</v>
      </c>
      <c r="K514" t="s">
        <v>681</v>
      </c>
      <c r="L514">
        <v>4026</v>
      </c>
      <c r="M514" t="s">
        <v>682</v>
      </c>
      <c r="N514" t="s">
        <v>360</v>
      </c>
      <c r="O514">
        <v>1</v>
      </c>
      <c r="P514">
        <v>109</v>
      </c>
      <c r="Q514" t="s">
        <v>361</v>
      </c>
      <c r="R514" t="s">
        <v>201</v>
      </c>
      <c r="S514">
        <v>1</v>
      </c>
      <c r="T514">
        <v>1</v>
      </c>
      <c r="U514">
        <v>74916</v>
      </c>
      <c r="V514">
        <v>74916</v>
      </c>
    </row>
    <row r="515" spans="1:22">
      <c r="A515" t="s">
        <v>196</v>
      </c>
      <c r="B515">
        <v>27</v>
      </c>
      <c r="C515" t="s">
        <v>637</v>
      </c>
      <c r="D515">
        <v>100</v>
      </c>
      <c r="E515" t="s">
        <v>197</v>
      </c>
      <c r="F515">
        <v>1005</v>
      </c>
      <c r="G515" t="s">
        <v>638</v>
      </c>
      <c r="H515">
        <v>2015</v>
      </c>
      <c r="I515" t="s">
        <v>56</v>
      </c>
      <c r="J515">
        <v>3017</v>
      </c>
      <c r="K515" t="s">
        <v>681</v>
      </c>
      <c r="L515">
        <v>4026</v>
      </c>
      <c r="M515" t="s">
        <v>682</v>
      </c>
      <c r="N515" t="s">
        <v>360</v>
      </c>
      <c r="O515">
        <v>1</v>
      </c>
      <c r="P515">
        <v>109</v>
      </c>
      <c r="Q515" t="s">
        <v>361</v>
      </c>
      <c r="R515" t="s">
        <v>201</v>
      </c>
      <c r="S515">
        <v>2</v>
      </c>
      <c r="T515">
        <v>1</v>
      </c>
      <c r="U515">
        <v>64488</v>
      </c>
      <c r="V515">
        <v>128976</v>
      </c>
    </row>
    <row r="516" spans="1:22">
      <c r="A516" t="s">
        <v>196</v>
      </c>
      <c r="B516">
        <v>27</v>
      </c>
      <c r="C516" t="s">
        <v>637</v>
      </c>
      <c r="D516">
        <v>100</v>
      </c>
      <c r="E516" t="s">
        <v>197</v>
      </c>
      <c r="F516">
        <v>1005</v>
      </c>
      <c r="G516" t="s">
        <v>638</v>
      </c>
      <c r="H516">
        <v>2015</v>
      </c>
      <c r="I516" t="s">
        <v>56</v>
      </c>
      <c r="J516">
        <v>3017</v>
      </c>
      <c r="K516" t="s">
        <v>681</v>
      </c>
      <c r="L516">
        <v>4026</v>
      </c>
      <c r="M516" t="s">
        <v>682</v>
      </c>
      <c r="N516" t="s">
        <v>360</v>
      </c>
      <c r="O516">
        <v>1</v>
      </c>
      <c r="P516">
        <v>109</v>
      </c>
      <c r="Q516" t="s">
        <v>361</v>
      </c>
      <c r="R516" t="s">
        <v>201</v>
      </c>
      <c r="S516">
        <v>1</v>
      </c>
      <c r="T516">
        <v>1</v>
      </c>
      <c r="U516">
        <v>61548</v>
      </c>
      <c r="V516">
        <v>61548</v>
      </c>
    </row>
    <row r="517" spans="1:22">
      <c r="A517" t="s">
        <v>196</v>
      </c>
      <c r="B517">
        <v>27</v>
      </c>
      <c r="C517" t="s">
        <v>637</v>
      </c>
      <c r="D517">
        <v>100</v>
      </c>
      <c r="E517" t="s">
        <v>197</v>
      </c>
      <c r="F517">
        <v>1005</v>
      </c>
      <c r="G517" t="s">
        <v>638</v>
      </c>
      <c r="H517">
        <v>2015</v>
      </c>
      <c r="I517" t="s">
        <v>56</v>
      </c>
      <c r="J517">
        <v>3017</v>
      </c>
      <c r="K517" t="s">
        <v>681</v>
      </c>
      <c r="L517">
        <v>4026</v>
      </c>
      <c r="M517" t="s">
        <v>682</v>
      </c>
      <c r="N517" t="s">
        <v>274</v>
      </c>
      <c r="O517">
        <v>0</v>
      </c>
      <c r="P517">
        <v>105</v>
      </c>
      <c r="Q517" t="s">
        <v>658</v>
      </c>
      <c r="R517" t="s">
        <v>201</v>
      </c>
      <c r="S517">
        <v>1</v>
      </c>
      <c r="T517">
        <v>1</v>
      </c>
      <c r="U517">
        <v>158508</v>
      </c>
      <c r="V517">
        <v>158508</v>
      </c>
    </row>
    <row r="518" spans="1:22">
      <c r="A518" t="s">
        <v>196</v>
      </c>
      <c r="B518">
        <v>27</v>
      </c>
      <c r="C518" t="s">
        <v>637</v>
      </c>
      <c r="D518">
        <v>100</v>
      </c>
      <c r="E518" t="s">
        <v>197</v>
      </c>
      <c r="F518">
        <v>1005</v>
      </c>
      <c r="G518" t="s">
        <v>638</v>
      </c>
      <c r="H518">
        <v>2015</v>
      </c>
      <c r="I518" t="s">
        <v>56</v>
      </c>
      <c r="J518">
        <v>3017</v>
      </c>
      <c r="K518" t="s">
        <v>681</v>
      </c>
      <c r="L518">
        <v>4026</v>
      </c>
      <c r="M518" t="s">
        <v>682</v>
      </c>
      <c r="N518" t="s">
        <v>199</v>
      </c>
      <c r="O518">
        <v>0</v>
      </c>
      <c r="P518">
        <v>15</v>
      </c>
      <c r="Q518" t="s">
        <v>264</v>
      </c>
      <c r="R518" t="s">
        <v>201</v>
      </c>
      <c r="S518">
        <v>0</v>
      </c>
      <c r="T518">
        <v>0</v>
      </c>
      <c r="U518">
        <v>18140</v>
      </c>
      <c r="V518">
        <v>18140</v>
      </c>
    </row>
    <row r="519" spans="1:22">
      <c r="A519" t="s">
        <v>196</v>
      </c>
      <c r="B519">
        <v>27</v>
      </c>
      <c r="C519" t="s">
        <v>637</v>
      </c>
      <c r="D519">
        <v>100</v>
      </c>
      <c r="E519" t="s">
        <v>197</v>
      </c>
      <c r="F519">
        <v>1005</v>
      </c>
      <c r="G519" t="s">
        <v>638</v>
      </c>
      <c r="H519">
        <v>2015</v>
      </c>
      <c r="I519" t="s">
        <v>56</v>
      </c>
      <c r="J519">
        <v>3017</v>
      </c>
      <c r="K519" t="s">
        <v>681</v>
      </c>
      <c r="L519">
        <v>4036</v>
      </c>
      <c r="M519" t="s">
        <v>684</v>
      </c>
      <c r="N519" t="s">
        <v>266</v>
      </c>
      <c r="O519">
        <v>9</v>
      </c>
      <c r="P519">
        <v>9651</v>
      </c>
      <c r="Q519" t="s">
        <v>644</v>
      </c>
      <c r="R519" t="s">
        <v>201</v>
      </c>
      <c r="S519">
        <v>1</v>
      </c>
      <c r="T519">
        <v>1</v>
      </c>
      <c r="U519">
        <v>175512</v>
      </c>
      <c r="V519">
        <v>175512</v>
      </c>
    </row>
    <row r="520" spans="1:22">
      <c r="A520" t="s">
        <v>196</v>
      </c>
      <c r="B520">
        <v>27</v>
      </c>
      <c r="C520" t="s">
        <v>637</v>
      </c>
      <c r="D520">
        <v>100</v>
      </c>
      <c r="E520" t="s">
        <v>197</v>
      </c>
      <c r="F520">
        <v>1005</v>
      </c>
      <c r="G520" t="s">
        <v>638</v>
      </c>
      <c r="H520">
        <v>2015</v>
      </c>
      <c r="I520" t="s">
        <v>56</v>
      </c>
      <c r="J520">
        <v>3017</v>
      </c>
      <c r="K520" t="s">
        <v>681</v>
      </c>
      <c r="L520">
        <v>4036</v>
      </c>
      <c r="M520" t="s">
        <v>684</v>
      </c>
      <c r="N520" t="s">
        <v>268</v>
      </c>
      <c r="O520">
        <v>10</v>
      </c>
      <c r="P520">
        <v>1911</v>
      </c>
      <c r="Q520" t="s">
        <v>617</v>
      </c>
      <c r="R520" t="s">
        <v>201</v>
      </c>
      <c r="S520">
        <v>1</v>
      </c>
      <c r="T520">
        <v>1</v>
      </c>
      <c r="U520">
        <v>108432</v>
      </c>
      <c r="V520">
        <v>108432</v>
      </c>
    </row>
    <row r="521" spans="1:22">
      <c r="A521" t="s">
        <v>196</v>
      </c>
      <c r="B521">
        <v>27</v>
      </c>
      <c r="C521" t="s">
        <v>637</v>
      </c>
      <c r="D521">
        <v>100</v>
      </c>
      <c r="E521" t="s">
        <v>197</v>
      </c>
      <c r="F521">
        <v>1005</v>
      </c>
      <c r="G521" t="s">
        <v>638</v>
      </c>
      <c r="H521">
        <v>2015</v>
      </c>
      <c r="I521" t="s">
        <v>56</v>
      </c>
      <c r="J521">
        <v>3017</v>
      </c>
      <c r="K521" t="s">
        <v>681</v>
      </c>
      <c r="L521">
        <v>4036</v>
      </c>
      <c r="M521" t="s">
        <v>684</v>
      </c>
      <c r="N521" t="s">
        <v>372</v>
      </c>
      <c r="O521">
        <v>1</v>
      </c>
      <c r="P521">
        <v>689</v>
      </c>
      <c r="Q521" t="s">
        <v>685</v>
      </c>
      <c r="R521" t="s">
        <v>201</v>
      </c>
      <c r="S521">
        <v>1</v>
      </c>
      <c r="T521">
        <v>1</v>
      </c>
      <c r="U521">
        <v>130668</v>
      </c>
      <c r="V521">
        <v>130668</v>
      </c>
    </row>
    <row r="522" spans="1:22">
      <c r="A522" t="s">
        <v>196</v>
      </c>
      <c r="B522">
        <v>27</v>
      </c>
      <c r="C522" t="s">
        <v>637</v>
      </c>
      <c r="D522">
        <v>100</v>
      </c>
      <c r="E522" t="s">
        <v>197</v>
      </c>
      <c r="F522">
        <v>1005</v>
      </c>
      <c r="G522" t="s">
        <v>638</v>
      </c>
      <c r="H522">
        <v>2015</v>
      </c>
      <c r="I522" t="s">
        <v>56</v>
      </c>
      <c r="J522">
        <v>3017</v>
      </c>
      <c r="K522" t="s">
        <v>681</v>
      </c>
      <c r="L522">
        <v>4036</v>
      </c>
      <c r="M522" t="s">
        <v>684</v>
      </c>
      <c r="N522" t="s">
        <v>372</v>
      </c>
      <c r="O522">
        <v>1</v>
      </c>
      <c r="P522">
        <v>689</v>
      </c>
      <c r="Q522" t="s">
        <v>685</v>
      </c>
      <c r="R522" t="s">
        <v>201</v>
      </c>
      <c r="S522">
        <v>2</v>
      </c>
      <c r="T522">
        <v>1</v>
      </c>
      <c r="U522">
        <v>93504</v>
      </c>
      <c r="V522">
        <v>187008</v>
      </c>
    </row>
    <row r="523" spans="1:22">
      <c r="A523" t="s">
        <v>196</v>
      </c>
      <c r="B523">
        <v>27</v>
      </c>
      <c r="C523" t="s">
        <v>637</v>
      </c>
      <c r="D523">
        <v>100</v>
      </c>
      <c r="E523" t="s">
        <v>197</v>
      </c>
      <c r="F523">
        <v>1005</v>
      </c>
      <c r="G523" t="s">
        <v>638</v>
      </c>
      <c r="H523">
        <v>2015</v>
      </c>
      <c r="I523" t="s">
        <v>56</v>
      </c>
      <c r="J523">
        <v>3017</v>
      </c>
      <c r="K523" t="s">
        <v>681</v>
      </c>
      <c r="L523">
        <v>4036</v>
      </c>
      <c r="M523" t="s">
        <v>684</v>
      </c>
      <c r="N523" t="s">
        <v>372</v>
      </c>
      <c r="O523">
        <v>1</v>
      </c>
      <c r="P523">
        <v>689</v>
      </c>
      <c r="Q523" t="s">
        <v>685</v>
      </c>
      <c r="R523" t="s">
        <v>201</v>
      </c>
      <c r="S523">
        <v>1</v>
      </c>
      <c r="T523">
        <v>1</v>
      </c>
      <c r="U523">
        <v>75336</v>
      </c>
      <c r="V523">
        <v>75336</v>
      </c>
    </row>
    <row r="524" spans="1:22">
      <c r="A524" t="s">
        <v>196</v>
      </c>
      <c r="B524">
        <v>27</v>
      </c>
      <c r="C524" t="s">
        <v>637</v>
      </c>
      <c r="D524">
        <v>100</v>
      </c>
      <c r="E524" t="s">
        <v>197</v>
      </c>
      <c r="F524">
        <v>1005</v>
      </c>
      <c r="G524" t="s">
        <v>638</v>
      </c>
      <c r="H524">
        <v>2015</v>
      </c>
      <c r="I524" t="s">
        <v>56</v>
      </c>
      <c r="J524">
        <v>3017</v>
      </c>
      <c r="K524" t="s">
        <v>681</v>
      </c>
      <c r="L524">
        <v>4036</v>
      </c>
      <c r="M524" t="s">
        <v>684</v>
      </c>
      <c r="N524" t="s">
        <v>386</v>
      </c>
      <c r="O524">
        <v>4</v>
      </c>
      <c r="P524">
        <v>659</v>
      </c>
      <c r="Q524" t="s">
        <v>686</v>
      </c>
      <c r="R524" t="s">
        <v>201</v>
      </c>
      <c r="S524">
        <v>1</v>
      </c>
      <c r="T524">
        <v>1</v>
      </c>
      <c r="U524">
        <v>119244</v>
      </c>
      <c r="V524">
        <v>119244</v>
      </c>
    </row>
    <row r="525" spans="1:22">
      <c r="A525" t="s">
        <v>196</v>
      </c>
      <c r="B525">
        <v>27</v>
      </c>
      <c r="C525" t="s">
        <v>637</v>
      </c>
      <c r="D525">
        <v>100</v>
      </c>
      <c r="E525" t="s">
        <v>197</v>
      </c>
      <c r="F525">
        <v>1005</v>
      </c>
      <c r="G525" t="s">
        <v>638</v>
      </c>
      <c r="H525">
        <v>2015</v>
      </c>
      <c r="I525" t="s">
        <v>56</v>
      </c>
      <c r="J525">
        <v>3017</v>
      </c>
      <c r="K525" t="s">
        <v>681</v>
      </c>
      <c r="L525">
        <v>4036</v>
      </c>
      <c r="M525" t="s">
        <v>684</v>
      </c>
      <c r="N525" t="s">
        <v>602</v>
      </c>
      <c r="O525">
        <v>4</v>
      </c>
      <c r="P525">
        <v>635</v>
      </c>
      <c r="Q525" t="s">
        <v>645</v>
      </c>
      <c r="R525" t="s">
        <v>201</v>
      </c>
      <c r="S525">
        <v>2</v>
      </c>
      <c r="T525">
        <v>1</v>
      </c>
      <c r="U525">
        <v>141564</v>
      </c>
      <c r="V525">
        <v>283128</v>
      </c>
    </row>
    <row r="526" spans="1:22">
      <c r="A526" t="s">
        <v>196</v>
      </c>
      <c r="B526">
        <v>27</v>
      </c>
      <c r="C526" t="s">
        <v>637</v>
      </c>
      <c r="D526">
        <v>100</v>
      </c>
      <c r="E526" t="s">
        <v>197</v>
      </c>
      <c r="F526">
        <v>1005</v>
      </c>
      <c r="G526" t="s">
        <v>638</v>
      </c>
      <c r="H526">
        <v>2015</v>
      </c>
      <c r="I526" t="s">
        <v>56</v>
      </c>
      <c r="J526">
        <v>3017</v>
      </c>
      <c r="K526" t="s">
        <v>681</v>
      </c>
      <c r="L526">
        <v>4036</v>
      </c>
      <c r="M526" t="s">
        <v>684</v>
      </c>
      <c r="N526" t="s">
        <v>386</v>
      </c>
      <c r="O526">
        <v>1</v>
      </c>
      <c r="P526">
        <v>629</v>
      </c>
      <c r="Q526" t="s">
        <v>687</v>
      </c>
      <c r="R526" t="s">
        <v>201</v>
      </c>
      <c r="S526">
        <v>1</v>
      </c>
      <c r="T526">
        <v>1</v>
      </c>
      <c r="U526">
        <v>153228</v>
      </c>
      <c r="V526">
        <v>153228</v>
      </c>
    </row>
    <row r="527" spans="1:22">
      <c r="A527" t="s">
        <v>196</v>
      </c>
      <c r="B527">
        <v>27</v>
      </c>
      <c r="C527" t="s">
        <v>637</v>
      </c>
      <c r="D527">
        <v>100</v>
      </c>
      <c r="E527" t="s">
        <v>197</v>
      </c>
      <c r="F527">
        <v>1005</v>
      </c>
      <c r="G527" t="s">
        <v>638</v>
      </c>
      <c r="H527">
        <v>2015</v>
      </c>
      <c r="I527" t="s">
        <v>56</v>
      </c>
      <c r="J527">
        <v>3017</v>
      </c>
      <c r="K527" t="s">
        <v>681</v>
      </c>
      <c r="L527">
        <v>4036</v>
      </c>
      <c r="M527" t="s">
        <v>684</v>
      </c>
      <c r="N527" t="s">
        <v>622</v>
      </c>
      <c r="O527">
        <v>1</v>
      </c>
      <c r="P527" t="s">
        <v>667</v>
      </c>
      <c r="Q527" t="s">
        <v>205</v>
      </c>
      <c r="R527" t="s">
        <v>201</v>
      </c>
      <c r="S527">
        <v>1</v>
      </c>
      <c r="T527">
        <v>1</v>
      </c>
      <c r="U527">
        <v>51936</v>
      </c>
      <c r="V527">
        <v>51936</v>
      </c>
    </row>
    <row r="528" spans="1:22">
      <c r="A528" t="s">
        <v>196</v>
      </c>
      <c r="B528">
        <v>27</v>
      </c>
      <c r="C528" t="s">
        <v>637</v>
      </c>
      <c r="D528">
        <v>100</v>
      </c>
      <c r="E528" t="s">
        <v>197</v>
      </c>
      <c r="F528">
        <v>1005</v>
      </c>
      <c r="G528" t="s">
        <v>638</v>
      </c>
      <c r="H528">
        <v>2015</v>
      </c>
      <c r="I528" t="s">
        <v>56</v>
      </c>
      <c r="J528">
        <v>3017</v>
      </c>
      <c r="K528" t="s">
        <v>681</v>
      </c>
      <c r="L528">
        <v>4036</v>
      </c>
      <c r="M528" t="s">
        <v>684</v>
      </c>
      <c r="N528" t="s">
        <v>249</v>
      </c>
      <c r="O528">
        <v>10</v>
      </c>
      <c r="P528">
        <v>311</v>
      </c>
      <c r="Q528" t="s">
        <v>661</v>
      </c>
      <c r="R528" t="s">
        <v>201</v>
      </c>
      <c r="S528">
        <v>1</v>
      </c>
      <c r="T528">
        <v>1</v>
      </c>
      <c r="U528">
        <v>150072</v>
      </c>
      <c r="V528">
        <v>150072</v>
      </c>
    </row>
    <row r="529" spans="1:22">
      <c r="A529" t="s">
        <v>196</v>
      </c>
      <c r="B529">
        <v>27</v>
      </c>
      <c r="C529" t="s">
        <v>637</v>
      </c>
      <c r="D529">
        <v>100</v>
      </c>
      <c r="E529" t="s">
        <v>197</v>
      </c>
      <c r="F529">
        <v>1005</v>
      </c>
      <c r="G529" t="s">
        <v>638</v>
      </c>
      <c r="H529">
        <v>2015</v>
      </c>
      <c r="I529" t="s">
        <v>56</v>
      </c>
      <c r="J529">
        <v>3017</v>
      </c>
      <c r="K529" t="s">
        <v>681</v>
      </c>
      <c r="L529">
        <v>4036</v>
      </c>
      <c r="M529" t="s">
        <v>684</v>
      </c>
      <c r="N529" t="s">
        <v>341</v>
      </c>
      <c r="O529">
        <v>1</v>
      </c>
      <c r="P529">
        <v>308</v>
      </c>
      <c r="Q529" t="s">
        <v>355</v>
      </c>
      <c r="R529" t="s">
        <v>201</v>
      </c>
      <c r="S529">
        <v>1</v>
      </c>
      <c r="T529">
        <v>1</v>
      </c>
      <c r="U529">
        <v>103608</v>
      </c>
      <c r="V529">
        <v>103608</v>
      </c>
    </row>
    <row r="530" spans="1:22">
      <c r="A530" t="s">
        <v>196</v>
      </c>
      <c r="B530">
        <v>27</v>
      </c>
      <c r="C530" t="s">
        <v>637</v>
      </c>
      <c r="D530">
        <v>100</v>
      </c>
      <c r="E530" t="s">
        <v>197</v>
      </c>
      <c r="F530">
        <v>1005</v>
      </c>
      <c r="G530" t="s">
        <v>638</v>
      </c>
      <c r="H530">
        <v>2015</v>
      </c>
      <c r="I530" t="s">
        <v>56</v>
      </c>
      <c r="J530">
        <v>3017</v>
      </c>
      <c r="K530" t="s">
        <v>681</v>
      </c>
      <c r="L530">
        <v>4036</v>
      </c>
      <c r="M530" t="s">
        <v>684</v>
      </c>
      <c r="N530" t="s">
        <v>688</v>
      </c>
      <c r="O530">
        <v>4</v>
      </c>
      <c r="P530">
        <v>192</v>
      </c>
      <c r="Q530" t="s">
        <v>689</v>
      </c>
      <c r="R530" t="s">
        <v>201</v>
      </c>
      <c r="S530">
        <v>2</v>
      </c>
      <c r="T530">
        <v>1</v>
      </c>
      <c r="U530">
        <v>118836</v>
      </c>
      <c r="V530">
        <v>237672</v>
      </c>
    </row>
    <row r="531" spans="1:22">
      <c r="A531" t="s">
        <v>196</v>
      </c>
      <c r="B531">
        <v>27</v>
      </c>
      <c r="C531" t="s">
        <v>637</v>
      </c>
      <c r="D531">
        <v>100</v>
      </c>
      <c r="E531" t="s">
        <v>197</v>
      </c>
      <c r="F531">
        <v>1005</v>
      </c>
      <c r="G531" t="s">
        <v>638</v>
      </c>
      <c r="H531">
        <v>2015</v>
      </c>
      <c r="I531" t="s">
        <v>56</v>
      </c>
      <c r="J531">
        <v>3017</v>
      </c>
      <c r="K531" t="s">
        <v>681</v>
      </c>
      <c r="L531">
        <v>4036</v>
      </c>
      <c r="M531" t="s">
        <v>684</v>
      </c>
      <c r="N531" t="s">
        <v>688</v>
      </c>
      <c r="O531">
        <v>4</v>
      </c>
      <c r="P531">
        <v>192</v>
      </c>
      <c r="Q531" t="s">
        <v>689</v>
      </c>
      <c r="R531" t="s">
        <v>201</v>
      </c>
      <c r="S531">
        <v>1</v>
      </c>
      <c r="T531">
        <v>1</v>
      </c>
      <c r="U531">
        <v>92940</v>
      </c>
      <c r="V531">
        <v>92940</v>
      </c>
    </row>
    <row r="532" spans="1:22">
      <c r="A532" t="s">
        <v>196</v>
      </c>
      <c r="B532">
        <v>27</v>
      </c>
      <c r="C532" t="s">
        <v>637</v>
      </c>
      <c r="D532">
        <v>100</v>
      </c>
      <c r="E532" t="s">
        <v>197</v>
      </c>
      <c r="F532">
        <v>1005</v>
      </c>
      <c r="G532" t="s">
        <v>638</v>
      </c>
      <c r="H532">
        <v>2015</v>
      </c>
      <c r="I532" t="s">
        <v>56</v>
      </c>
      <c r="J532">
        <v>3017</v>
      </c>
      <c r="K532" t="s">
        <v>681</v>
      </c>
      <c r="L532">
        <v>4036</v>
      </c>
      <c r="M532" t="s">
        <v>684</v>
      </c>
      <c r="N532" t="s">
        <v>397</v>
      </c>
      <c r="O532">
        <v>1</v>
      </c>
      <c r="P532">
        <v>121</v>
      </c>
      <c r="Q532" t="s">
        <v>690</v>
      </c>
      <c r="R532" t="s">
        <v>201</v>
      </c>
      <c r="S532">
        <v>1</v>
      </c>
      <c r="T532">
        <v>1</v>
      </c>
      <c r="U532">
        <v>172584</v>
      </c>
      <c r="V532">
        <v>172584</v>
      </c>
    </row>
    <row r="533" spans="1:22">
      <c r="A533" t="s">
        <v>196</v>
      </c>
      <c r="B533">
        <v>27</v>
      </c>
      <c r="C533" t="s">
        <v>637</v>
      </c>
      <c r="D533">
        <v>100</v>
      </c>
      <c r="E533" t="s">
        <v>197</v>
      </c>
      <c r="F533">
        <v>1005</v>
      </c>
      <c r="G533" t="s">
        <v>638</v>
      </c>
      <c r="H533">
        <v>2015</v>
      </c>
      <c r="I533" t="s">
        <v>56</v>
      </c>
      <c r="J533">
        <v>3017</v>
      </c>
      <c r="K533" t="s">
        <v>681</v>
      </c>
      <c r="L533">
        <v>4036</v>
      </c>
      <c r="M533" t="s">
        <v>684</v>
      </c>
      <c r="N533" t="s">
        <v>397</v>
      </c>
      <c r="O533">
        <v>1</v>
      </c>
      <c r="P533">
        <v>121</v>
      </c>
      <c r="Q533" t="s">
        <v>690</v>
      </c>
      <c r="R533" t="s">
        <v>201</v>
      </c>
      <c r="S533">
        <v>1</v>
      </c>
      <c r="T533">
        <v>1</v>
      </c>
      <c r="U533">
        <v>112536</v>
      </c>
      <c r="V533">
        <v>112536</v>
      </c>
    </row>
    <row r="534" spans="1:22">
      <c r="A534" t="s">
        <v>196</v>
      </c>
      <c r="B534">
        <v>27</v>
      </c>
      <c r="C534" t="s">
        <v>637</v>
      </c>
      <c r="D534">
        <v>100</v>
      </c>
      <c r="E534" t="s">
        <v>197</v>
      </c>
      <c r="F534">
        <v>1005</v>
      </c>
      <c r="G534" t="s">
        <v>638</v>
      </c>
      <c r="H534">
        <v>2015</v>
      </c>
      <c r="I534" t="s">
        <v>56</v>
      </c>
      <c r="J534">
        <v>3017</v>
      </c>
      <c r="K534" t="s">
        <v>681</v>
      </c>
      <c r="L534">
        <v>4036</v>
      </c>
      <c r="M534" t="s">
        <v>684</v>
      </c>
      <c r="N534" t="s">
        <v>397</v>
      </c>
      <c r="O534">
        <v>1</v>
      </c>
      <c r="P534">
        <v>121</v>
      </c>
      <c r="Q534" t="s">
        <v>690</v>
      </c>
      <c r="R534" t="s">
        <v>201</v>
      </c>
      <c r="S534">
        <v>1</v>
      </c>
      <c r="T534">
        <v>1</v>
      </c>
      <c r="U534">
        <v>99480</v>
      </c>
      <c r="V534">
        <v>99480</v>
      </c>
    </row>
    <row r="535" spans="1:22">
      <c r="A535" t="s">
        <v>196</v>
      </c>
      <c r="B535">
        <v>27</v>
      </c>
      <c r="C535" t="s">
        <v>637</v>
      </c>
      <c r="D535">
        <v>100</v>
      </c>
      <c r="E535" t="s">
        <v>197</v>
      </c>
      <c r="F535">
        <v>1005</v>
      </c>
      <c r="G535" t="s">
        <v>638</v>
      </c>
      <c r="H535">
        <v>2015</v>
      </c>
      <c r="I535" t="s">
        <v>56</v>
      </c>
      <c r="J535">
        <v>3017</v>
      </c>
      <c r="K535" t="s">
        <v>681</v>
      </c>
      <c r="L535">
        <v>4036</v>
      </c>
      <c r="M535" t="s">
        <v>684</v>
      </c>
      <c r="N535" t="s">
        <v>372</v>
      </c>
      <c r="O535">
        <v>1</v>
      </c>
      <c r="P535">
        <v>114</v>
      </c>
      <c r="Q535" t="s">
        <v>691</v>
      </c>
      <c r="R535" t="s">
        <v>201</v>
      </c>
      <c r="S535">
        <v>1</v>
      </c>
      <c r="T535">
        <v>1</v>
      </c>
      <c r="U535">
        <v>113628</v>
      </c>
      <c r="V535">
        <v>113628</v>
      </c>
    </row>
    <row r="536" spans="1:22">
      <c r="A536" t="s">
        <v>196</v>
      </c>
      <c r="B536">
        <v>27</v>
      </c>
      <c r="C536" t="s">
        <v>637</v>
      </c>
      <c r="D536">
        <v>100</v>
      </c>
      <c r="E536" t="s">
        <v>197</v>
      </c>
      <c r="F536">
        <v>1005</v>
      </c>
      <c r="G536" t="s">
        <v>638</v>
      </c>
      <c r="H536">
        <v>2015</v>
      </c>
      <c r="I536" t="s">
        <v>56</v>
      </c>
      <c r="J536">
        <v>3017</v>
      </c>
      <c r="K536" t="s">
        <v>681</v>
      </c>
      <c r="L536">
        <v>4036</v>
      </c>
      <c r="M536" t="s">
        <v>684</v>
      </c>
      <c r="N536" t="s">
        <v>372</v>
      </c>
      <c r="O536">
        <v>1</v>
      </c>
      <c r="P536">
        <v>114</v>
      </c>
      <c r="Q536" t="s">
        <v>691</v>
      </c>
      <c r="R536" t="s">
        <v>201</v>
      </c>
      <c r="S536">
        <v>1</v>
      </c>
      <c r="T536">
        <v>1</v>
      </c>
      <c r="U536">
        <v>75336</v>
      </c>
      <c r="V536">
        <v>75336</v>
      </c>
    </row>
    <row r="537" spans="1:22">
      <c r="A537" t="s">
        <v>196</v>
      </c>
      <c r="B537">
        <v>27</v>
      </c>
      <c r="C537" t="s">
        <v>637</v>
      </c>
      <c r="D537">
        <v>100</v>
      </c>
      <c r="E537" t="s">
        <v>197</v>
      </c>
      <c r="F537">
        <v>1005</v>
      </c>
      <c r="G537" t="s">
        <v>638</v>
      </c>
      <c r="H537">
        <v>2015</v>
      </c>
      <c r="I537" t="s">
        <v>56</v>
      </c>
      <c r="J537">
        <v>3017</v>
      </c>
      <c r="K537" t="s">
        <v>681</v>
      </c>
      <c r="L537">
        <v>4036</v>
      </c>
      <c r="M537" t="s">
        <v>684</v>
      </c>
      <c r="N537" t="s">
        <v>199</v>
      </c>
      <c r="O537">
        <v>0</v>
      </c>
      <c r="P537">
        <v>15</v>
      </c>
      <c r="Q537" t="s">
        <v>264</v>
      </c>
      <c r="R537" t="s">
        <v>201</v>
      </c>
      <c r="S537">
        <v>0</v>
      </c>
      <c r="T537">
        <v>0</v>
      </c>
      <c r="U537">
        <v>11107</v>
      </c>
      <c r="V537">
        <v>11107</v>
      </c>
    </row>
    <row r="538" spans="1:22">
      <c r="A538" t="s">
        <v>196</v>
      </c>
      <c r="B538">
        <v>27</v>
      </c>
      <c r="C538" t="s">
        <v>637</v>
      </c>
      <c r="D538">
        <v>100</v>
      </c>
      <c r="E538" t="s">
        <v>197</v>
      </c>
      <c r="F538">
        <v>1005</v>
      </c>
      <c r="G538" t="s">
        <v>638</v>
      </c>
      <c r="H538">
        <v>2020</v>
      </c>
      <c r="I538" t="s">
        <v>36</v>
      </c>
      <c r="J538">
        <v>3100</v>
      </c>
      <c r="K538" t="s">
        <v>309</v>
      </c>
      <c r="L538">
        <v>0</v>
      </c>
      <c r="N538" t="s">
        <v>311</v>
      </c>
      <c r="O538">
        <v>9</v>
      </c>
      <c r="P538">
        <v>9814</v>
      </c>
      <c r="Q538" t="s">
        <v>692</v>
      </c>
      <c r="R538" t="s">
        <v>201</v>
      </c>
      <c r="S538">
        <v>1</v>
      </c>
      <c r="T538">
        <v>1</v>
      </c>
      <c r="U538">
        <v>188400</v>
      </c>
      <c r="V538">
        <v>188400</v>
      </c>
    </row>
    <row r="539" spans="1:22">
      <c r="A539" t="s">
        <v>196</v>
      </c>
      <c r="B539">
        <v>27</v>
      </c>
      <c r="C539" t="s">
        <v>637</v>
      </c>
      <c r="D539">
        <v>100</v>
      </c>
      <c r="E539" t="s">
        <v>197</v>
      </c>
      <c r="F539">
        <v>1005</v>
      </c>
      <c r="G539" t="s">
        <v>638</v>
      </c>
      <c r="H539">
        <v>2020</v>
      </c>
      <c r="I539" t="s">
        <v>36</v>
      </c>
      <c r="J539">
        <v>3100</v>
      </c>
      <c r="K539" t="s">
        <v>309</v>
      </c>
      <c r="L539">
        <v>0</v>
      </c>
      <c r="N539" t="s">
        <v>268</v>
      </c>
      <c r="O539">
        <v>10</v>
      </c>
      <c r="P539">
        <v>362</v>
      </c>
      <c r="Q539" t="s">
        <v>693</v>
      </c>
      <c r="R539" t="s">
        <v>201</v>
      </c>
      <c r="S539">
        <v>1</v>
      </c>
      <c r="T539">
        <v>1</v>
      </c>
      <c r="U539">
        <v>103488</v>
      </c>
      <c r="V539">
        <v>103488</v>
      </c>
    </row>
    <row r="540" spans="1:22">
      <c r="A540" t="s">
        <v>196</v>
      </c>
      <c r="B540">
        <v>27</v>
      </c>
      <c r="C540" t="s">
        <v>637</v>
      </c>
      <c r="D540">
        <v>100</v>
      </c>
      <c r="E540" t="s">
        <v>197</v>
      </c>
      <c r="F540">
        <v>1005</v>
      </c>
      <c r="G540" t="s">
        <v>638</v>
      </c>
      <c r="H540">
        <v>2020</v>
      </c>
      <c r="I540" t="s">
        <v>36</v>
      </c>
      <c r="J540">
        <v>3100</v>
      </c>
      <c r="K540" t="s">
        <v>309</v>
      </c>
      <c r="L540">
        <v>0</v>
      </c>
      <c r="N540" t="s">
        <v>199</v>
      </c>
      <c r="O540">
        <v>0</v>
      </c>
      <c r="P540">
        <v>15</v>
      </c>
      <c r="Q540" t="s">
        <v>264</v>
      </c>
      <c r="R540" t="s">
        <v>201</v>
      </c>
      <c r="S540">
        <v>0</v>
      </c>
      <c r="T540">
        <v>0</v>
      </c>
      <c r="U540">
        <v>6140</v>
      </c>
      <c r="V540">
        <v>6140</v>
      </c>
    </row>
    <row r="541" spans="1:22">
      <c r="A541" t="s">
        <v>196</v>
      </c>
      <c r="B541">
        <v>27</v>
      </c>
      <c r="C541" t="s">
        <v>637</v>
      </c>
      <c r="D541">
        <v>100</v>
      </c>
      <c r="E541" t="s">
        <v>197</v>
      </c>
      <c r="F541">
        <v>1005</v>
      </c>
      <c r="G541" t="s">
        <v>638</v>
      </c>
      <c r="H541">
        <v>2020</v>
      </c>
      <c r="I541" t="s">
        <v>36</v>
      </c>
      <c r="J541">
        <v>3154</v>
      </c>
      <c r="K541" t="s">
        <v>694</v>
      </c>
      <c r="L541">
        <v>4641</v>
      </c>
      <c r="M541" t="s">
        <v>695</v>
      </c>
      <c r="N541" t="s">
        <v>266</v>
      </c>
      <c r="O541">
        <v>9</v>
      </c>
      <c r="P541">
        <v>9684</v>
      </c>
      <c r="Q541" t="s">
        <v>327</v>
      </c>
      <c r="R541" t="s">
        <v>201</v>
      </c>
      <c r="S541">
        <v>1</v>
      </c>
      <c r="T541">
        <v>1</v>
      </c>
      <c r="U541">
        <v>139140</v>
      </c>
      <c r="V541">
        <v>139140</v>
      </c>
    </row>
    <row r="542" spans="1:22">
      <c r="A542" t="s">
        <v>196</v>
      </c>
      <c r="B542">
        <v>27</v>
      </c>
      <c r="C542" t="s">
        <v>637</v>
      </c>
      <c r="D542">
        <v>100</v>
      </c>
      <c r="E542" t="s">
        <v>197</v>
      </c>
      <c r="F542">
        <v>1005</v>
      </c>
      <c r="G542" t="s">
        <v>638</v>
      </c>
      <c r="H542">
        <v>2020</v>
      </c>
      <c r="I542" t="s">
        <v>36</v>
      </c>
      <c r="J542">
        <v>3154</v>
      </c>
      <c r="K542" t="s">
        <v>694</v>
      </c>
      <c r="L542">
        <v>4641</v>
      </c>
      <c r="M542" t="s">
        <v>695</v>
      </c>
      <c r="N542" t="s">
        <v>351</v>
      </c>
      <c r="O542">
        <v>1</v>
      </c>
      <c r="P542" t="s">
        <v>352</v>
      </c>
      <c r="Q542" t="s">
        <v>353</v>
      </c>
      <c r="R542" t="s">
        <v>201</v>
      </c>
      <c r="S542">
        <v>3</v>
      </c>
      <c r="T542">
        <v>1</v>
      </c>
      <c r="U542">
        <v>108576</v>
      </c>
      <c r="V542">
        <v>325728</v>
      </c>
    </row>
    <row r="543" spans="1:22">
      <c r="A543" t="s">
        <v>196</v>
      </c>
      <c r="B543">
        <v>27</v>
      </c>
      <c r="C543" t="s">
        <v>637</v>
      </c>
      <c r="D543">
        <v>100</v>
      </c>
      <c r="E543" t="s">
        <v>197</v>
      </c>
      <c r="F543">
        <v>1005</v>
      </c>
      <c r="G543" t="s">
        <v>638</v>
      </c>
      <c r="H543">
        <v>2020</v>
      </c>
      <c r="I543" t="s">
        <v>36</v>
      </c>
      <c r="J543">
        <v>3154</v>
      </c>
      <c r="K543" t="s">
        <v>694</v>
      </c>
      <c r="L543">
        <v>4641</v>
      </c>
      <c r="M543" t="s">
        <v>695</v>
      </c>
      <c r="N543" t="s">
        <v>351</v>
      </c>
      <c r="O543">
        <v>1</v>
      </c>
      <c r="P543" t="s">
        <v>352</v>
      </c>
      <c r="Q543" t="s">
        <v>353</v>
      </c>
      <c r="R543" t="s">
        <v>201</v>
      </c>
      <c r="S543">
        <v>1</v>
      </c>
      <c r="T543">
        <v>1</v>
      </c>
      <c r="U543">
        <v>82140</v>
      </c>
      <c r="V543">
        <v>82140</v>
      </c>
    </row>
    <row r="544" spans="1:22">
      <c r="A544" t="s">
        <v>196</v>
      </c>
      <c r="B544">
        <v>27</v>
      </c>
      <c r="C544" t="s">
        <v>637</v>
      </c>
      <c r="D544">
        <v>100</v>
      </c>
      <c r="E544" t="s">
        <v>197</v>
      </c>
      <c r="F544">
        <v>1005</v>
      </c>
      <c r="G544" t="s">
        <v>638</v>
      </c>
      <c r="H544">
        <v>2020</v>
      </c>
      <c r="I544" t="s">
        <v>36</v>
      </c>
      <c r="J544">
        <v>3154</v>
      </c>
      <c r="K544" t="s">
        <v>694</v>
      </c>
      <c r="L544">
        <v>4641</v>
      </c>
      <c r="M544" t="s">
        <v>695</v>
      </c>
      <c r="N544" t="s">
        <v>351</v>
      </c>
      <c r="O544">
        <v>1</v>
      </c>
      <c r="P544" t="s">
        <v>352</v>
      </c>
      <c r="Q544" t="s">
        <v>353</v>
      </c>
      <c r="R544" t="s">
        <v>201</v>
      </c>
      <c r="S544">
        <v>1</v>
      </c>
      <c r="T544">
        <v>1</v>
      </c>
      <c r="U544">
        <v>67608</v>
      </c>
      <c r="V544">
        <v>67608</v>
      </c>
    </row>
    <row r="545" spans="1:22">
      <c r="A545" t="s">
        <v>196</v>
      </c>
      <c r="B545">
        <v>27</v>
      </c>
      <c r="C545" t="s">
        <v>637</v>
      </c>
      <c r="D545">
        <v>100</v>
      </c>
      <c r="E545" t="s">
        <v>197</v>
      </c>
      <c r="F545">
        <v>1005</v>
      </c>
      <c r="G545" t="s">
        <v>638</v>
      </c>
      <c r="H545">
        <v>2020</v>
      </c>
      <c r="I545" t="s">
        <v>36</v>
      </c>
      <c r="J545">
        <v>3154</v>
      </c>
      <c r="K545" t="s">
        <v>694</v>
      </c>
      <c r="L545">
        <v>4641</v>
      </c>
      <c r="M545" t="s">
        <v>695</v>
      </c>
      <c r="N545" t="s">
        <v>351</v>
      </c>
      <c r="O545">
        <v>1</v>
      </c>
      <c r="P545" t="s">
        <v>352</v>
      </c>
      <c r="Q545" t="s">
        <v>353</v>
      </c>
      <c r="R545" t="s">
        <v>201</v>
      </c>
      <c r="S545">
        <v>1</v>
      </c>
      <c r="T545">
        <v>1</v>
      </c>
      <c r="U545">
        <v>62544</v>
      </c>
      <c r="V545">
        <v>62544</v>
      </c>
    </row>
    <row r="546" spans="1:22">
      <c r="A546" t="s">
        <v>196</v>
      </c>
      <c r="B546">
        <v>27</v>
      </c>
      <c r="C546" t="s">
        <v>637</v>
      </c>
      <c r="D546">
        <v>100</v>
      </c>
      <c r="E546" t="s">
        <v>197</v>
      </c>
      <c r="F546">
        <v>1005</v>
      </c>
      <c r="G546" t="s">
        <v>638</v>
      </c>
      <c r="H546">
        <v>2020</v>
      </c>
      <c r="I546" t="s">
        <v>36</v>
      </c>
      <c r="J546">
        <v>3154</v>
      </c>
      <c r="K546" t="s">
        <v>694</v>
      </c>
      <c r="L546">
        <v>4641</v>
      </c>
      <c r="M546" t="s">
        <v>695</v>
      </c>
      <c r="N546" t="s">
        <v>274</v>
      </c>
      <c r="O546">
        <v>0</v>
      </c>
      <c r="P546">
        <v>306</v>
      </c>
      <c r="Q546" t="s">
        <v>636</v>
      </c>
      <c r="R546" t="s">
        <v>201</v>
      </c>
      <c r="S546">
        <v>2</v>
      </c>
      <c r="T546">
        <v>1</v>
      </c>
      <c r="U546">
        <v>146808</v>
      </c>
      <c r="V546">
        <v>293616</v>
      </c>
    </row>
    <row r="547" spans="1:22">
      <c r="A547" t="s">
        <v>196</v>
      </c>
      <c r="B547">
        <v>27</v>
      </c>
      <c r="C547" t="s">
        <v>637</v>
      </c>
      <c r="D547">
        <v>100</v>
      </c>
      <c r="E547" t="s">
        <v>197</v>
      </c>
      <c r="F547">
        <v>1005</v>
      </c>
      <c r="G547" t="s">
        <v>638</v>
      </c>
      <c r="H547">
        <v>2020</v>
      </c>
      <c r="I547" t="s">
        <v>36</v>
      </c>
      <c r="J547">
        <v>3154</v>
      </c>
      <c r="K547" t="s">
        <v>694</v>
      </c>
      <c r="L547">
        <v>4641</v>
      </c>
      <c r="M547" t="s">
        <v>695</v>
      </c>
      <c r="N547" t="s">
        <v>268</v>
      </c>
      <c r="O547">
        <v>10</v>
      </c>
      <c r="P547">
        <v>248</v>
      </c>
      <c r="Q547" t="s">
        <v>696</v>
      </c>
      <c r="R547" t="s">
        <v>201</v>
      </c>
      <c r="S547">
        <v>3</v>
      </c>
      <c r="T547">
        <v>1</v>
      </c>
      <c r="U547">
        <v>113568</v>
      </c>
      <c r="V547">
        <v>340704</v>
      </c>
    </row>
    <row r="548" spans="1:22">
      <c r="A548" t="s">
        <v>196</v>
      </c>
      <c r="B548">
        <v>27</v>
      </c>
      <c r="C548" t="s">
        <v>637</v>
      </c>
      <c r="D548">
        <v>100</v>
      </c>
      <c r="E548" t="s">
        <v>197</v>
      </c>
      <c r="F548">
        <v>1005</v>
      </c>
      <c r="G548" t="s">
        <v>638</v>
      </c>
      <c r="H548">
        <v>2020</v>
      </c>
      <c r="I548" t="s">
        <v>36</v>
      </c>
      <c r="J548">
        <v>3154</v>
      </c>
      <c r="K548" t="s">
        <v>694</v>
      </c>
      <c r="L548">
        <v>4641</v>
      </c>
      <c r="M548" t="s">
        <v>695</v>
      </c>
      <c r="N548" t="s">
        <v>268</v>
      </c>
      <c r="O548">
        <v>10</v>
      </c>
      <c r="P548">
        <v>248</v>
      </c>
      <c r="Q548" t="s">
        <v>696</v>
      </c>
      <c r="R548" t="s">
        <v>201</v>
      </c>
      <c r="S548">
        <v>1</v>
      </c>
      <c r="T548">
        <v>1</v>
      </c>
      <c r="U548">
        <v>85980</v>
      </c>
      <c r="V548">
        <v>85980</v>
      </c>
    </row>
    <row r="549" spans="1:22">
      <c r="A549" t="s">
        <v>196</v>
      </c>
      <c r="B549">
        <v>27</v>
      </c>
      <c r="C549" t="s">
        <v>637</v>
      </c>
      <c r="D549">
        <v>100</v>
      </c>
      <c r="E549" t="s">
        <v>197</v>
      </c>
      <c r="F549">
        <v>1005</v>
      </c>
      <c r="G549" t="s">
        <v>638</v>
      </c>
      <c r="H549">
        <v>2020</v>
      </c>
      <c r="I549" t="s">
        <v>36</v>
      </c>
      <c r="J549">
        <v>3154</v>
      </c>
      <c r="K549" t="s">
        <v>694</v>
      </c>
      <c r="L549">
        <v>4641</v>
      </c>
      <c r="M549" t="s">
        <v>695</v>
      </c>
      <c r="N549" t="s">
        <v>268</v>
      </c>
      <c r="O549">
        <v>10</v>
      </c>
      <c r="P549">
        <v>248</v>
      </c>
      <c r="Q549" t="s">
        <v>696</v>
      </c>
      <c r="R549" t="s">
        <v>201</v>
      </c>
      <c r="S549">
        <v>1</v>
      </c>
      <c r="T549">
        <v>1</v>
      </c>
      <c r="U549">
        <v>80124</v>
      </c>
      <c r="V549">
        <v>80124</v>
      </c>
    </row>
    <row r="550" spans="1:22">
      <c r="A550" t="s">
        <v>196</v>
      </c>
      <c r="B550">
        <v>27</v>
      </c>
      <c r="C550" t="s">
        <v>637</v>
      </c>
      <c r="D550">
        <v>100</v>
      </c>
      <c r="E550" t="s">
        <v>197</v>
      </c>
      <c r="F550">
        <v>1005</v>
      </c>
      <c r="G550" t="s">
        <v>638</v>
      </c>
      <c r="H550">
        <v>2020</v>
      </c>
      <c r="I550" t="s">
        <v>36</v>
      </c>
      <c r="J550">
        <v>3154</v>
      </c>
      <c r="K550" t="s">
        <v>694</v>
      </c>
      <c r="L550">
        <v>4641</v>
      </c>
      <c r="M550" t="s">
        <v>695</v>
      </c>
      <c r="N550" t="s">
        <v>251</v>
      </c>
      <c r="O550">
        <v>10</v>
      </c>
      <c r="P550">
        <v>237</v>
      </c>
      <c r="Q550" t="s">
        <v>697</v>
      </c>
      <c r="R550" t="s">
        <v>201</v>
      </c>
      <c r="S550">
        <v>1</v>
      </c>
      <c r="T550">
        <v>1</v>
      </c>
      <c r="U550">
        <v>85128</v>
      </c>
      <c r="V550">
        <v>85128</v>
      </c>
    </row>
    <row r="551" spans="1:22">
      <c r="A551" t="s">
        <v>196</v>
      </c>
      <c r="B551">
        <v>27</v>
      </c>
      <c r="C551" t="s">
        <v>637</v>
      </c>
      <c r="D551">
        <v>100</v>
      </c>
      <c r="E551" t="s">
        <v>197</v>
      </c>
      <c r="F551">
        <v>1005</v>
      </c>
      <c r="G551" t="s">
        <v>638</v>
      </c>
      <c r="H551">
        <v>2020</v>
      </c>
      <c r="I551" t="s">
        <v>36</v>
      </c>
      <c r="J551">
        <v>3154</v>
      </c>
      <c r="K551" t="s">
        <v>694</v>
      </c>
      <c r="L551">
        <v>4641</v>
      </c>
      <c r="M551" t="s">
        <v>695</v>
      </c>
      <c r="N551" t="s">
        <v>622</v>
      </c>
      <c r="O551">
        <v>1</v>
      </c>
      <c r="P551">
        <v>235</v>
      </c>
      <c r="Q551" t="s">
        <v>698</v>
      </c>
      <c r="R551" t="s">
        <v>201</v>
      </c>
      <c r="S551">
        <v>4</v>
      </c>
      <c r="T551">
        <v>1</v>
      </c>
      <c r="U551">
        <v>90144</v>
      </c>
      <c r="V551">
        <v>360576</v>
      </c>
    </row>
    <row r="552" spans="1:22">
      <c r="A552" t="s">
        <v>196</v>
      </c>
      <c r="B552">
        <v>27</v>
      </c>
      <c r="C552" t="s">
        <v>637</v>
      </c>
      <c r="D552">
        <v>100</v>
      </c>
      <c r="E552" t="s">
        <v>197</v>
      </c>
      <c r="F552">
        <v>1005</v>
      </c>
      <c r="G552" t="s">
        <v>638</v>
      </c>
      <c r="H552">
        <v>2020</v>
      </c>
      <c r="I552" t="s">
        <v>36</v>
      </c>
      <c r="J552">
        <v>3154</v>
      </c>
      <c r="K552" t="s">
        <v>694</v>
      </c>
      <c r="L552">
        <v>4641</v>
      </c>
      <c r="M552" t="s">
        <v>695</v>
      </c>
      <c r="N552" t="s">
        <v>622</v>
      </c>
      <c r="O552">
        <v>1</v>
      </c>
      <c r="P552">
        <v>235</v>
      </c>
      <c r="Q552" t="s">
        <v>698</v>
      </c>
      <c r="R552" t="s">
        <v>201</v>
      </c>
      <c r="S552">
        <v>1</v>
      </c>
      <c r="T552">
        <v>1</v>
      </c>
      <c r="U552">
        <v>64488</v>
      </c>
      <c r="V552">
        <v>64488</v>
      </c>
    </row>
    <row r="553" spans="1:22">
      <c r="A553" t="s">
        <v>196</v>
      </c>
      <c r="B553">
        <v>27</v>
      </c>
      <c r="C553" t="s">
        <v>637</v>
      </c>
      <c r="D553">
        <v>100</v>
      </c>
      <c r="E553" t="s">
        <v>197</v>
      </c>
      <c r="F553">
        <v>1005</v>
      </c>
      <c r="G553" t="s">
        <v>638</v>
      </c>
      <c r="H553">
        <v>2020</v>
      </c>
      <c r="I553" t="s">
        <v>36</v>
      </c>
      <c r="J553">
        <v>3154</v>
      </c>
      <c r="K553" t="s">
        <v>694</v>
      </c>
      <c r="L553">
        <v>4641</v>
      </c>
      <c r="M553" t="s">
        <v>695</v>
      </c>
      <c r="N553" t="s">
        <v>622</v>
      </c>
      <c r="O553">
        <v>1</v>
      </c>
      <c r="P553">
        <v>235</v>
      </c>
      <c r="Q553" t="s">
        <v>698</v>
      </c>
      <c r="R553" t="s">
        <v>201</v>
      </c>
      <c r="S553">
        <v>1</v>
      </c>
      <c r="T553">
        <v>1</v>
      </c>
      <c r="U553">
        <v>61548</v>
      </c>
      <c r="V553">
        <v>61548</v>
      </c>
    </row>
    <row r="554" spans="1:22">
      <c r="A554" t="s">
        <v>196</v>
      </c>
      <c r="B554">
        <v>27</v>
      </c>
      <c r="C554" t="s">
        <v>637</v>
      </c>
      <c r="D554">
        <v>100</v>
      </c>
      <c r="E554" t="s">
        <v>197</v>
      </c>
      <c r="F554">
        <v>1005</v>
      </c>
      <c r="G554" t="s">
        <v>638</v>
      </c>
      <c r="H554">
        <v>2020</v>
      </c>
      <c r="I554" t="s">
        <v>36</v>
      </c>
      <c r="J554">
        <v>3154</v>
      </c>
      <c r="K554" t="s">
        <v>694</v>
      </c>
      <c r="L554">
        <v>4641</v>
      </c>
      <c r="M554" t="s">
        <v>695</v>
      </c>
      <c r="N554" t="s">
        <v>622</v>
      </c>
      <c r="O554">
        <v>1</v>
      </c>
      <c r="P554">
        <v>235</v>
      </c>
      <c r="Q554" t="s">
        <v>698</v>
      </c>
      <c r="R554" t="s">
        <v>201</v>
      </c>
      <c r="S554">
        <v>3</v>
      </c>
      <c r="T554">
        <v>1</v>
      </c>
      <c r="U554">
        <v>58764</v>
      </c>
      <c r="V554">
        <v>176292</v>
      </c>
    </row>
    <row r="555" spans="1:22">
      <c r="A555" t="s">
        <v>196</v>
      </c>
      <c r="B555">
        <v>27</v>
      </c>
      <c r="C555" t="s">
        <v>637</v>
      </c>
      <c r="D555">
        <v>100</v>
      </c>
      <c r="E555" t="s">
        <v>197</v>
      </c>
      <c r="F555">
        <v>1005</v>
      </c>
      <c r="G555" t="s">
        <v>638</v>
      </c>
      <c r="H555">
        <v>2020</v>
      </c>
      <c r="I555" t="s">
        <v>36</v>
      </c>
      <c r="J555">
        <v>3154</v>
      </c>
      <c r="K555" t="s">
        <v>694</v>
      </c>
      <c r="L555">
        <v>4641</v>
      </c>
      <c r="M555" t="s">
        <v>695</v>
      </c>
      <c r="N555" t="s">
        <v>622</v>
      </c>
      <c r="O555">
        <v>1</v>
      </c>
      <c r="P555">
        <v>235</v>
      </c>
      <c r="Q555" t="s">
        <v>698</v>
      </c>
      <c r="R555" t="s">
        <v>201</v>
      </c>
      <c r="S555">
        <v>3</v>
      </c>
      <c r="T555">
        <v>1</v>
      </c>
      <c r="U555">
        <v>56124</v>
      </c>
      <c r="V555">
        <v>168372</v>
      </c>
    </row>
    <row r="556" spans="1:22">
      <c r="A556" t="s">
        <v>196</v>
      </c>
      <c r="B556">
        <v>27</v>
      </c>
      <c r="C556" t="s">
        <v>637</v>
      </c>
      <c r="D556">
        <v>100</v>
      </c>
      <c r="E556" t="s">
        <v>197</v>
      </c>
      <c r="F556">
        <v>1005</v>
      </c>
      <c r="G556" t="s">
        <v>638</v>
      </c>
      <c r="H556">
        <v>2020</v>
      </c>
      <c r="I556" t="s">
        <v>36</v>
      </c>
      <c r="J556">
        <v>3154</v>
      </c>
      <c r="K556" t="s">
        <v>694</v>
      </c>
      <c r="L556">
        <v>4641</v>
      </c>
      <c r="M556" t="s">
        <v>695</v>
      </c>
      <c r="N556" t="s">
        <v>622</v>
      </c>
      <c r="O556">
        <v>1</v>
      </c>
      <c r="P556">
        <v>235</v>
      </c>
      <c r="Q556" t="s">
        <v>698</v>
      </c>
      <c r="R556" t="s">
        <v>201</v>
      </c>
      <c r="S556">
        <v>8</v>
      </c>
      <c r="T556">
        <v>1</v>
      </c>
      <c r="U556">
        <v>51936</v>
      </c>
      <c r="V556">
        <v>415488</v>
      </c>
    </row>
    <row r="557" spans="1:22">
      <c r="A557" t="s">
        <v>196</v>
      </c>
      <c r="B557">
        <v>27</v>
      </c>
      <c r="C557" t="s">
        <v>637</v>
      </c>
      <c r="D557">
        <v>100</v>
      </c>
      <c r="E557" t="s">
        <v>197</v>
      </c>
      <c r="F557">
        <v>1005</v>
      </c>
      <c r="G557" t="s">
        <v>638</v>
      </c>
      <c r="H557">
        <v>2020</v>
      </c>
      <c r="I557" t="s">
        <v>36</v>
      </c>
      <c r="J557">
        <v>3154</v>
      </c>
      <c r="K557" t="s">
        <v>694</v>
      </c>
      <c r="L557">
        <v>4641</v>
      </c>
      <c r="M557" t="s">
        <v>695</v>
      </c>
      <c r="N557" t="s">
        <v>199</v>
      </c>
      <c r="O557">
        <v>0</v>
      </c>
      <c r="P557">
        <v>15</v>
      </c>
      <c r="Q557" t="s">
        <v>264</v>
      </c>
      <c r="R557" t="s">
        <v>201</v>
      </c>
      <c r="S557">
        <v>0</v>
      </c>
      <c r="T557">
        <v>0</v>
      </c>
      <c r="U557">
        <v>34090</v>
      </c>
      <c r="V557">
        <v>34090</v>
      </c>
    </row>
    <row r="558" spans="1:22">
      <c r="A558" t="s">
        <v>196</v>
      </c>
      <c r="B558">
        <v>27</v>
      </c>
      <c r="C558" t="s">
        <v>637</v>
      </c>
      <c r="D558">
        <v>100</v>
      </c>
      <c r="E558" t="s">
        <v>197</v>
      </c>
      <c r="F558">
        <v>1005</v>
      </c>
      <c r="G558" t="s">
        <v>638</v>
      </c>
      <c r="H558">
        <v>2020</v>
      </c>
      <c r="I558" t="s">
        <v>36</v>
      </c>
      <c r="J558">
        <v>3154</v>
      </c>
      <c r="K558" t="s">
        <v>694</v>
      </c>
      <c r="L558">
        <v>4642</v>
      </c>
      <c r="M558" t="s">
        <v>699</v>
      </c>
      <c r="N558" t="s">
        <v>245</v>
      </c>
      <c r="O558">
        <v>20</v>
      </c>
      <c r="P558">
        <v>187</v>
      </c>
      <c r="Q558" t="s">
        <v>656</v>
      </c>
      <c r="R558" t="s">
        <v>201</v>
      </c>
      <c r="S558">
        <v>1</v>
      </c>
      <c r="T558">
        <v>1</v>
      </c>
      <c r="U558">
        <v>121320</v>
      </c>
      <c r="V558">
        <v>121320</v>
      </c>
    </row>
    <row r="559" spans="1:22">
      <c r="A559" t="s">
        <v>196</v>
      </c>
      <c r="B559">
        <v>27</v>
      </c>
      <c r="C559" t="s">
        <v>637</v>
      </c>
      <c r="D559">
        <v>100</v>
      </c>
      <c r="E559" t="s">
        <v>197</v>
      </c>
      <c r="F559">
        <v>1005</v>
      </c>
      <c r="G559" t="s">
        <v>638</v>
      </c>
      <c r="H559">
        <v>2020</v>
      </c>
      <c r="I559" t="s">
        <v>36</v>
      </c>
      <c r="J559">
        <v>3154</v>
      </c>
      <c r="K559" t="s">
        <v>694</v>
      </c>
      <c r="L559">
        <v>4642</v>
      </c>
      <c r="M559" t="s">
        <v>699</v>
      </c>
      <c r="N559" t="s">
        <v>297</v>
      </c>
      <c r="O559">
        <v>20</v>
      </c>
      <c r="P559">
        <v>120</v>
      </c>
      <c r="Q559" t="s">
        <v>657</v>
      </c>
      <c r="R559" t="s">
        <v>201</v>
      </c>
      <c r="S559">
        <v>1</v>
      </c>
      <c r="T559">
        <v>1</v>
      </c>
      <c r="U559">
        <v>130476</v>
      </c>
      <c r="V559">
        <v>130476</v>
      </c>
    </row>
    <row r="560" spans="1:22">
      <c r="A560" t="s">
        <v>196</v>
      </c>
      <c r="B560">
        <v>27</v>
      </c>
      <c r="C560" t="s">
        <v>637</v>
      </c>
      <c r="D560">
        <v>100</v>
      </c>
      <c r="E560" t="s">
        <v>197</v>
      </c>
      <c r="F560">
        <v>1005</v>
      </c>
      <c r="G560" t="s">
        <v>638</v>
      </c>
      <c r="H560">
        <v>2020</v>
      </c>
      <c r="I560" t="s">
        <v>36</v>
      </c>
      <c r="J560">
        <v>3154</v>
      </c>
      <c r="K560" t="s">
        <v>694</v>
      </c>
      <c r="L560">
        <v>4642</v>
      </c>
      <c r="M560" t="s">
        <v>699</v>
      </c>
      <c r="N560" t="s">
        <v>356</v>
      </c>
      <c r="O560">
        <v>4</v>
      </c>
      <c r="P560">
        <v>111</v>
      </c>
      <c r="Q560" t="s">
        <v>648</v>
      </c>
      <c r="R560" t="s">
        <v>201</v>
      </c>
      <c r="S560">
        <v>1</v>
      </c>
      <c r="T560">
        <v>1</v>
      </c>
      <c r="U560">
        <v>117636</v>
      </c>
      <c r="V560">
        <v>117636</v>
      </c>
    </row>
    <row r="561" spans="1:22">
      <c r="A561" t="s">
        <v>196</v>
      </c>
      <c r="B561">
        <v>27</v>
      </c>
      <c r="C561" t="s">
        <v>637</v>
      </c>
      <c r="D561">
        <v>100</v>
      </c>
      <c r="E561" t="s">
        <v>197</v>
      </c>
      <c r="F561">
        <v>1005</v>
      </c>
      <c r="G561" t="s">
        <v>638</v>
      </c>
      <c r="H561">
        <v>2020</v>
      </c>
      <c r="I561" t="s">
        <v>36</v>
      </c>
      <c r="J561">
        <v>3154</v>
      </c>
      <c r="K561" t="s">
        <v>694</v>
      </c>
      <c r="L561">
        <v>4642</v>
      </c>
      <c r="M561" t="s">
        <v>699</v>
      </c>
      <c r="N561" t="s">
        <v>341</v>
      </c>
      <c r="O561">
        <v>4</v>
      </c>
      <c r="P561">
        <v>110</v>
      </c>
      <c r="Q561" t="s">
        <v>359</v>
      </c>
      <c r="R561" t="s">
        <v>201</v>
      </c>
      <c r="S561">
        <v>1</v>
      </c>
      <c r="T561">
        <v>1</v>
      </c>
      <c r="U561">
        <v>81324</v>
      </c>
      <c r="V561">
        <v>81324</v>
      </c>
    </row>
    <row r="562" spans="1:22">
      <c r="A562" t="s">
        <v>196</v>
      </c>
      <c r="B562">
        <v>27</v>
      </c>
      <c r="C562" t="s">
        <v>637</v>
      </c>
      <c r="D562">
        <v>100</v>
      </c>
      <c r="E562" t="s">
        <v>197</v>
      </c>
      <c r="F562">
        <v>1005</v>
      </c>
      <c r="G562" t="s">
        <v>638</v>
      </c>
      <c r="H562">
        <v>2020</v>
      </c>
      <c r="I562" t="s">
        <v>36</v>
      </c>
      <c r="J562">
        <v>3154</v>
      </c>
      <c r="K562" t="s">
        <v>694</v>
      </c>
      <c r="L562">
        <v>4642</v>
      </c>
      <c r="M562" t="s">
        <v>699</v>
      </c>
      <c r="N562" t="s">
        <v>341</v>
      </c>
      <c r="O562">
        <v>4</v>
      </c>
      <c r="P562">
        <v>110</v>
      </c>
      <c r="Q562" t="s">
        <v>359</v>
      </c>
      <c r="R562" t="s">
        <v>201</v>
      </c>
      <c r="S562">
        <v>1</v>
      </c>
      <c r="T562">
        <v>1</v>
      </c>
      <c r="U562">
        <v>77640</v>
      </c>
      <c r="V562">
        <v>77640</v>
      </c>
    </row>
    <row r="563" spans="1:22">
      <c r="A563" t="s">
        <v>196</v>
      </c>
      <c r="B563">
        <v>27</v>
      </c>
      <c r="C563" t="s">
        <v>637</v>
      </c>
      <c r="D563">
        <v>100</v>
      </c>
      <c r="E563" t="s">
        <v>197</v>
      </c>
      <c r="F563">
        <v>1005</v>
      </c>
      <c r="G563" t="s">
        <v>638</v>
      </c>
      <c r="H563">
        <v>2020</v>
      </c>
      <c r="I563" t="s">
        <v>36</v>
      </c>
      <c r="J563">
        <v>3154</v>
      </c>
      <c r="K563" t="s">
        <v>694</v>
      </c>
      <c r="L563">
        <v>4642</v>
      </c>
      <c r="M563" t="s">
        <v>699</v>
      </c>
      <c r="N563" t="s">
        <v>360</v>
      </c>
      <c r="O563">
        <v>1</v>
      </c>
      <c r="P563">
        <v>109</v>
      </c>
      <c r="Q563" t="s">
        <v>361</v>
      </c>
      <c r="R563" t="s">
        <v>201</v>
      </c>
      <c r="S563">
        <v>1</v>
      </c>
      <c r="T563">
        <v>1</v>
      </c>
      <c r="U563">
        <v>67608</v>
      </c>
      <c r="V563">
        <v>67608</v>
      </c>
    </row>
    <row r="564" spans="1:22">
      <c r="A564" t="s">
        <v>196</v>
      </c>
      <c r="B564">
        <v>27</v>
      </c>
      <c r="C564" t="s">
        <v>637</v>
      </c>
      <c r="D564">
        <v>100</v>
      </c>
      <c r="E564" t="s">
        <v>197</v>
      </c>
      <c r="F564">
        <v>1005</v>
      </c>
      <c r="G564" t="s">
        <v>638</v>
      </c>
      <c r="H564">
        <v>2020</v>
      </c>
      <c r="I564" t="s">
        <v>36</v>
      </c>
      <c r="J564">
        <v>3154</v>
      </c>
      <c r="K564" t="s">
        <v>694</v>
      </c>
      <c r="L564">
        <v>4642</v>
      </c>
      <c r="M564" t="s">
        <v>699</v>
      </c>
      <c r="N564" t="s">
        <v>199</v>
      </c>
      <c r="O564">
        <v>0</v>
      </c>
      <c r="P564">
        <v>15</v>
      </c>
      <c r="Q564" t="s">
        <v>264</v>
      </c>
      <c r="R564" t="s">
        <v>201</v>
      </c>
      <c r="S564">
        <v>0</v>
      </c>
      <c r="T564">
        <v>0</v>
      </c>
      <c r="U564">
        <v>6167</v>
      </c>
      <c r="V564">
        <v>6167</v>
      </c>
    </row>
    <row r="565" spans="1:22">
      <c r="A565" t="s">
        <v>196</v>
      </c>
      <c r="B565">
        <v>27</v>
      </c>
      <c r="C565" t="s">
        <v>637</v>
      </c>
      <c r="D565">
        <v>100</v>
      </c>
      <c r="E565" t="s">
        <v>197</v>
      </c>
      <c r="F565">
        <v>1005</v>
      </c>
      <c r="G565" t="s">
        <v>638</v>
      </c>
      <c r="H565">
        <v>2020</v>
      </c>
      <c r="I565" t="s">
        <v>36</v>
      </c>
      <c r="J565">
        <v>3156</v>
      </c>
      <c r="K565" t="s">
        <v>700</v>
      </c>
      <c r="L565">
        <v>4666</v>
      </c>
      <c r="M565" t="s">
        <v>701</v>
      </c>
      <c r="N565" t="s">
        <v>702</v>
      </c>
      <c r="O565">
        <v>4</v>
      </c>
      <c r="P565">
        <v>191</v>
      </c>
      <c r="Q565" t="s">
        <v>703</v>
      </c>
      <c r="R565" t="s">
        <v>201</v>
      </c>
      <c r="S565">
        <v>1</v>
      </c>
      <c r="T565">
        <v>1</v>
      </c>
      <c r="U565">
        <v>108708</v>
      </c>
      <c r="V565">
        <v>108708</v>
      </c>
    </row>
    <row r="566" spans="1:22">
      <c r="A566" t="s">
        <v>196</v>
      </c>
      <c r="B566">
        <v>27</v>
      </c>
      <c r="C566" t="s">
        <v>637</v>
      </c>
      <c r="D566">
        <v>100</v>
      </c>
      <c r="E566" t="s">
        <v>197</v>
      </c>
      <c r="F566">
        <v>1005</v>
      </c>
      <c r="G566" t="s">
        <v>638</v>
      </c>
      <c r="H566">
        <v>2020</v>
      </c>
      <c r="I566" t="s">
        <v>36</v>
      </c>
      <c r="J566">
        <v>3156</v>
      </c>
      <c r="K566" t="s">
        <v>700</v>
      </c>
      <c r="L566">
        <v>4666</v>
      </c>
      <c r="M566" t="s">
        <v>701</v>
      </c>
      <c r="N566" t="s">
        <v>245</v>
      </c>
      <c r="O566">
        <v>20</v>
      </c>
      <c r="P566">
        <v>149</v>
      </c>
      <c r="Q566" t="s">
        <v>704</v>
      </c>
      <c r="R566" t="s">
        <v>201</v>
      </c>
      <c r="S566">
        <v>1</v>
      </c>
      <c r="T566">
        <v>1</v>
      </c>
      <c r="U566">
        <v>115992</v>
      </c>
      <c r="V566">
        <v>115992</v>
      </c>
    </row>
    <row r="567" spans="1:22">
      <c r="A567" t="s">
        <v>196</v>
      </c>
      <c r="B567">
        <v>27</v>
      </c>
      <c r="C567" t="s">
        <v>637</v>
      </c>
      <c r="D567">
        <v>100</v>
      </c>
      <c r="E567" t="s">
        <v>197</v>
      </c>
      <c r="F567">
        <v>1005</v>
      </c>
      <c r="G567" t="s">
        <v>638</v>
      </c>
      <c r="H567">
        <v>2020</v>
      </c>
      <c r="I567" t="s">
        <v>36</v>
      </c>
      <c r="J567">
        <v>3156</v>
      </c>
      <c r="K567" t="s">
        <v>700</v>
      </c>
      <c r="L567">
        <v>4666</v>
      </c>
      <c r="M567" t="s">
        <v>701</v>
      </c>
      <c r="N567" t="s">
        <v>360</v>
      </c>
      <c r="O567">
        <v>1</v>
      </c>
      <c r="P567">
        <v>109</v>
      </c>
      <c r="Q567" t="s">
        <v>361</v>
      </c>
      <c r="R567" t="s">
        <v>201</v>
      </c>
      <c r="S567">
        <v>2</v>
      </c>
      <c r="T567">
        <v>1</v>
      </c>
      <c r="U567">
        <v>98928</v>
      </c>
      <c r="V567">
        <v>197856</v>
      </c>
    </row>
    <row r="568" spans="1:22">
      <c r="A568" t="s">
        <v>196</v>
      </c>
      <c r="B568">
        <v>27</v>
      </c>
      <c r="C568" t="s">
        <v>637</v>
      </c>
      <c r="D568">
        <v>100</v>
      </c>
      <c r="E568" t="s">
        <v>197</v>
      </c>
      <c r="F568">
        <v>1005</v>
      </c>
      <c r="G568" t="s">
        <v>638</v>
      </c>
      <c r="H568">
        <v>2020</v>
      </c>
      <c r="I568" t="s">
        <v>36</v>
      </c>
      <c r="J568">
        <v>3156</v>
      </c>
      <c r="K568" t="s">
        <v>700</v>
      </c>
      <c r="L568">
        <v>4666</v>
      </c>
      <c r="M568" t="s">
        <v>701</v>
      </c>
      <c r="N568" t="s">
        <v>360</v>
      </c>
      <c r="O568">
        <v>1</v>
      </c>
      <c r="P568">
        <v>109</v>
      </c>
      <c r="Q568" t="s">
        <v>361</v>
      </c>
      <c r="R568" t="s">
        <v>201</v>
      </c>
      <c r="S568">
        <v>1</v>
      </c>
      <c r="T568">
        <v>1</v>
      </c>
      <c r="U568">
        <v>94452</v>
      </c>
      <c r="V568">
        <v>94452</v>
      </c>
    </row>
    <row r="569" spans="1:22">
      <c r="A569" t="s">
        <v>196</v>
      </c>
      <c r="B569">
        <v>27</v>
      </c>
      <c r="C569" t="s">
        <v>637</v>
      </c>
      <c r="D569">
        <v>100</v>
      </c>
      <c r="E569" t="s">
        <v>197</v>
      </c>
      <c r="F569">
        <v>1005</v>
      </c>
      <c r="G569" t="s">
        <v>638</v>
      </c>
      <c r="H569">
        <v>2020</v>
      </c>
      <c r="I569" t="s">
        <v>36</v>
      </c>
      <c r="J569">
        <v>3156</v>
      </c>
      <c r="K569" t="s">
        <v>700</v>
      </c>
      <c r="L569">
        <v>4666</v>
      </c>
      <c r="M569" t="s">
        <v>701</v>
      </c>
      <c r="N569" t="s">
        <v>360</v>
      </c>
      <c r="O569">
        <v>1</v>
      </c>
      <c r="P569">
        <v>109</v>
      </c>
      <c r="Q569" t="s">
        <v>361</v>
      </c>
      <c r="R569" t="s">
        <v>201</v>
      </c>
      <c r="S569">
        <v>1</v>
      </c>
      <c r="T569">
        <v>1</v>
      </c>
      <c r="U569">
        <v>86112</v>
      </c>
      <c r="V569">
        <v>86112</v>
      </c>
    </row>
    <row r="570" spans="1:22">
      <c r="A570" t="s">
        <v>196</v>
      </c>
      <c r="B570">
        <v>27</v>
      </c>
      <c r="C570" t="s">
        <v>637</v>
      </c>
      <c r="D570">
        <v>100</v>
      </c>
      <c r="E570" t="s">
        <v>197</v>
      </c>
      <c r="F570">
        <v>1005</v>
      </c>
      <c r="G570" t="s">
        <v>638</v>
      </c>
      <c r="H570">
        <v>2020</v>
      </c>
      <c r="I570" t="s">
        <v>36</v>
      </c>
      <c r="J570">
        <v>3156</v>
      </c>
      <c r="K570" t="s">
        <v>700</v>
      </c>
      <c r="L570">
        <v>4666</v>
      </c>
      <c r="M570" t="s">
        <v>701</v>
      </c>
      <c r="N570" t="s">
        <v>360</v>
      </c>
      <c r="O570">
        <v>1</v>
      </c>
      <c r="P570">
        <v>109</v>
      </c>
      <c r="Q570" t="s">
        <v>361</v>
      </c>
      <c r="R570" t="s">
        <v>201</v>
      </c>
      <c r="S570">
        <v>1</v>
      </c>
      <c r="T570">
        <v>1</v>
      </c>
      <c r="U570">
        <v>64488</v>
      </c>
      <c r="V570">
        <v>64488</v>
      </c>
    </row>
    <row r="571" spans="1:22">
      <c r="A571" t="s">
        <v>196</v>
      </c>
      <c r="B571">
        <v>27</v>
      </c>
      <c r="C571" t="s">
        <v>637</v>
      </c>
      <c r="D571">
        <v>100</v>
      </c>
      <c r="E571" t="s">
        <v>197</v>
      </c>
      <c r="F571">
        <v>1005</v>
      </c>
      <c r="G571" t="s">
        <v>638</v>
      </c>
      <c r="H571">
        <v>2020</v>
      </c>
      <c r="I571" t="s">
        <v>36</v>
      </c>
      <c r="J571">
        <v>3156</v>
      </c>
      <c r="K571" t="s">
        <v>700</v>
      </c>
      <c r="L571">
        <v>4666</v>
      </c>
      <c r="M571" t="s">
        <v>701</v>
      </c>
      <c r="N571" t="s">
        <v>360</v>
      </c>
      <c r="O571">
        <v>1</v>
      </c>
      <c r="P571">
        <v>109</v>
      </c>
      <c r="Q571" t="s">
        <v>361</v>
      </c>
      <c r="R571" t="s">
        <v>201</v>
      </c>
      <c r="S571">
        <v>2</v>
      </c>
      <c r="T571">
        <v>1</v>
      </c>
      <c r="U571">
        <v>57000</v>
      </c>
      <c r="V571">
        <v>114000</v>
      </c>
    </row>
    <row r="572" spans="1:22">
      <c r="A572" t="s">
        <v>196</v>
      </c>
      <c r="B572">
        <v>27</v>
      </c>
      <c r="C572" t="s">
        <v>637</v>
      </c>
      <c r="D572">
        <v>100</v>
      </c>
      <c r="E572" t="s">
        <v>197</v>
      </c>
      <c r="F572">
        <v>1005</v>
      </c>
      <c r="G572" t="s">
        <v>638</v>
      </c>
      <c r="H572">
        <v>2020</v>
      </c>
      <c r="I572" t="s">
        <v>36</v>
      </c>
      <c r="J572">
        <v>3156</v>
      </c>
      <c r="K572" t="s">
        <v>700</v>
      </c>
      <c r="L572">
        <v>4666</v>
      </c>
      <c r="M572" t="s">
        <v>701</v>
      </c>
      <c r="N572" t="s">
        <v>199</v>
      </c>
      <c r="O572">
        <v>0</v>
      </c>
      <c r="P572">
        <v>15</v>
      </c>
      <c r="Q572" t="s">
        <v>264</v>
      </c>
      <c r="R572" t="s">
        <v>201</v>
      </c>
      <c r="S572">
        <v>0</v>
      </c>
      <c r="T572">
        <v>0</v>
      </c>
      <c r="U572">
        <v>3511</v>
      </c>
      <c r="V572">
        <v>3511</v>
      </c>
    </row>
    <row r="573" spans="1:22">
      <c r="A573" t="s">
        <v>196</v>
      </c>
      <c r="B573">
        <v>27</v>
      </c>
      <c r="C573" t="s">
        <v>637</v>
      </c>
      <c r="D573">
        <v>100</v>
      </c>
      <c r="E573" t="s">
        <v>197</v>
      </c>
      <c r="F573">
        <v>1005</v>
      </c>
      <c r="G573" t="s">
        <v>638</v>
      </c>
      <c r="H573">
        <v>2020</v>
      </c>
      <c r="I573" t="s">
        <v>36</v>
      </c>
      <c r="J573">
        <v>3156</v>
      </c>
      <c r="K573" t="s">
        <v>700</v>
      </c>
      <c r="L573">
        <v>4667</v>
      </c>
      <c r="M573" t="s">
        <v>705</v>
      </c>
      <c r="N573" t="s">
        <v>266</v>
      </c>
      <c r="O573">
        <v>9</v>
      </c>
      <c r="P573">
        <v>9684</v>
      </c>
      <c r="Q573" t="s">
        <v>327</v>
      </c>
      <c r="R573" t="s">
        <v>201</v>
      </c>
      <c r="S573">
        <v>1</v>
      </c>
      <c r="T573">
        <v>1</v>
      </c>
      <c r="U573">
        <v>175512</v>
      </c>
      <c r="V573">
        <v>175512</v>
      </c>
    </row>
    <row r="574" spans="1:22">
      <c r="A574" t="s">
        <v>196</v>
      </c>
      <c r="B574">
        <v>27</v>
      </c>
      <c r="C574" t="s">
        <v>637</v>
      </c>
      <c r="D574">
        <v>100</v>
      </c>
      <c r="E574" t="s">
        <v>197</v>
      </c>
      <c r="F574">
        <v>1005</v>
      </c>
      <c r="G574" t="s">
        <v>638</v>
      </c>
      <c r="H574">
        <v>2020</v>
      </c>
      <c r="I574" t="s">
        <v>36</v>
      </c>
      <c r="J574">
        <v>3156</v>
      </c>
      <c r="K574" t="s">
        <v>700</v>
      </c>
      <c r="L574">
        <v>4667</v>
      </c>
      <c r="M574" t="s">
        <v>705</v>
      </c>
      <c r="N574" t="s">
        <v>333</v>
      </c>
      <c r="O574">
        <v>4</v>
      </c>
      <c r="P574">
        <v>194</v>
      </c>
      <c r="Q574" t="s">
        <v>706</v>
      </c>
      <c r="R574" t="s">
        <v>201</v>
      </c>
      <c r="S574">
        <v>2</v>
      </c>
      <c r="T574">
        <v>1</v>
      </c>
      <c r="U574">
        <v>154764</v>
      </c>
      <c r="V574">
        <v>309528</v>
      </c>
    </row>
    <row r="575" spans="1:22">
      <c r="A575" t="s">
        <v>196</v>
      </c>
      <c r="B575">
        <v>27</v>
      </c>
      <c r="C575" t="s">
        <v>637</v>
      </c>
      <c r="D575">
        <v>100</v>
      </c>
      <c r="E575" t="s">
        <v>197</v>
      </c>
      <c r="F575">
        <v>1005</v>
      </c>
      <c r="G575" t="s">
        <v>638</v>
      </c>
      <c r="H575">
        <v>2020</v>
      </c>
      <c r="I575" t="s">
        <v>36</v>
      </c>
      <c r="J575">
        <v>3156</v>
      </c>
      <c r="K575" t="s">
        <v>700</v>
      </c>
      <c r="L575">
        <v>4667</v>
      </c>
      <c r="M575" t="s">
        <v>705</v>
      </c>
      <c r="N575" t="s">
        <v>333</v>
      </c>
      <c r="O575">
        <v>4</v>
      </c>
      <c r="P575">
        <v>194</v>
      </c>
      <c r="Q575" t="s">
        <v>706</v>
      </c>
      <c r="R575" t="s">
        <v>201</v>
      </c>
      <c r="S575">
        <v>1</v>
      </c>
      <c r="T575">
        <v>1</v>
      </c>
      <c r="U575">
        <v>146448</v>
      </c>
      <c r="V575">
        <v>146448</v>
      </c>
    </row>
    <row r="576" spans="1:22">
      <c r="A576" t="s">
        <v>196</v>
      </c>
      <c r="B576">
        <v>27</v>
      </c>
      <c r="C576" t="s">
        <v>637</v>
      </c>
      <c r="D576">
        <v>100</v>
      </c>
      <c r="E576" t="s">
        <v>197</v>
      </c>
      <c r="F576">
        <v>1005</v>
      </c>
      <c r="G576" t="s">
        <v>638</v>
      </c>
      <c r="H576">
        <v>2020</v>
      </c>
      <c r="I576" t="s">
        <v>36</v>
      </c>
      <c r="J576">
        <v>3156</v>
      </c>
      <c r="K576" t="s">
        <v>700</v>
      </c>
      <c r="L576">
        <v>4667</v>
      </c>
      <c r="M576" t="s">
        <v>705</v>
      </c>
      <c r="N576" t="s">
        <v>356</v>
      </c>
      <c r="O576">
        <v>4</v>
      </c>
      <c r="P576">
        <v>193</v>
      </c>
      <c r="Q576" t="s">
        <v>647</v>
      </c>
      <c r="R576" t="s">
        <v>201</v>
      </c>
      <c r="S576">
        <v>1</v>
      </c>
      <c r="T576">
        <v>1</v>
      </c>
      <c r="U576">
        <v>129636</v>
      </c>
      <c r="V576">
        <v>129636</v>
      </c>
    </row>
    <row r="577" spans="1:22">
      <c r="A577" t="s">
        <v>196</v>
      </c>
      <c r="B577">
        <v>27</v>
      </c>
      <c r="C577" t="s">
        <v>637</v>
      </c>
      <c r="D577">
        <v>100</v>
      </c>
      <c r="E577" t="s">
        <v>197</v>
      </c>
      <c r="F577">
        <v>1005</v>
      </c>
      <c r="G577" t="s">
        <v>638</v>
      </c>
      <c r="H577">
        <v>2020</v>
      </c>
      <c r="I577" t="s">
        <v>36</v>
      </c>
      <c r="J577">
        <v>3156</v>
      </c>
      <c r="K577" t="s">
        <v>700</v>
      </c>
      <c r="L577">
        <v>4667</v>
      </c>
      <c r="M577" t="s">
        <v>705</v>
      </c>
      <c r="N577" t="s">
        <v>356</v>
      </c>
      <c r="O577">
        <v>4</v>
      </c>
      <c r="P577">
        <v>193</v>
      </c>
      <c r="Q577" t="s">
        <v>647</v>
      </c>
      <c r="R577" t="s">
        <v>201</v>
      </c>
      <c r="S577">
        <v>2</v>
      </c>
      <c r="T577">
        <v>1</v>
      </c>
      <c r="U577">
        <v>117636</v>
      </c>
      <c r="V577">
        <v>235272</v>
      </c>
    </row>
    <row r="578" spans="1:22">
      <c r="A578" t="s">
        <v>196</v>
      </c>
      <c r="B578">
        <v>27</v>
      </c>
      <c r="C578" t="s">
        <v>637</v>
      </c>
      <c r="D578">
        <v>100</v>
      </c>
      <c r="E578" t="s">
        <v>197</v>
      </c>
      <c r="F578">
        <v>1005</v>
      </c>
      <c r="G578" t="s">
        <v>638</v>
      </c>
      <c r="H578">
        <v>2020</v>
      </c>
      <c r="I578" t="s">
        <v>36</v>
      </c>
      <c r="J578">
        <v>3156</v>
      </c>
      <c r="K578" t="s">
        <v>700</v>
      </c>
      <c r="L578">
        <v>4667</v>
      </c>
      <c r="M578" t="s">
        <v>705</v>
      </c>
      <c r="N578" t="s">
        <v>356</v>
      </c>
      <c r="O578">
        <v>4</v>
      </c>
      <c r="P578">
        <v>193</v>
      </c>
      <c r="Q578" t="s">
        <v>647</v>
      </c>
      <c r="R578" t="s">
        <v>201</v>
      </c>
      <c r="S578">
        <v>3</v>
      </c>
      <c r="T578">
        <v>1</v>
      </c>
      <c r="U578">
        <v>107628</v>
      </c>
      <c r="V578">
        <v>322884</v>
      </c>
    </row>
    <row r="579" spans="1:22">
      <c r="A579" t="s">
        <v>196</v>
      </c>
      <c r="B579">
        <v>27</v>
      </c>
      <c r="C579" t="s">
        <v>637</v>
      </c>
      <c r="D579">
        <v>100</v>
      </c>
      <c r="E579" t="s">
        <v>197</v>
      </c>
      <c r="F579">
        <v>1005</v>
      </c>
      <c r="G579" t="s">
        <v>638</v>
      </c>
      <c r="H579">
        <v>2020</v>
      </c>
      <c r="I579" t="s">
        <v>36</v>
      </c>
      <c r="J579">
        <v>3156</v>
      </c>
      <c r="K579" t="s">
        <v>700</v>
      </c>
      <c r="L579">
        <v>4667</v>
      </c>
      <c r="M579" t="s">
        <v>705</v>
      </c>
      <c r="N579" t="s">
        <v>356</v>
      </c>
      <c r="O579">
        <v>4</v>
      </c>
      <c r="P579">
        <v>193</v>
      </c>
      <c r="Q579" t="s">
        <v>647</v>
      </c>
      <c r="R579" t="s">
        <v>201</v>
      </c>
      <c r="S579">
        <v>1</v>
      </c>
      <c r="T579">
        <v>1</v>
      </c>
      <c r="U579">
        <v>102516</v>
      </c>
      <c r="V579">
        <v>102516</v>
      </c>
    </row>
    <row r="580" spans="1:22">
      <c r="A580" t="s">
        <v>196</v>
      </c>
      <c r="B580">
        <v>27</v>
      </c>
      <c r="C580" t="s">
        <v>637</v>
      </c>
      <c r="D580">
        <v>100</v>
      </c>
      <c r="E580" t="s">
        <v>197</v>
      </c>
      <c r="F580">
        <v>1005</v>
      </c>
      <c r="G580" t="s">
        <v>638</v>
      </c>
      <c r="H580">
        <v>2020</v>
      </c>
      <c r="I580" t="s">
        <v>36</v>
      </c>
      <c r="J580">
        <v>3156</v>
      </c>
      <c r="K580" t="s">
        <v>700</v>
      </c>
      <c r="L580">
        <v>4667</v>
      </c>
      <c r="M580" t="s">
        <v>705</v>
      </c>
      <c r="N580" t="s">
        <v>356</v>
      </c>
      <c r="O580">
        <v>4</v>
      </c>
      <c r="P580">
        <v>193</v>
      </c>
      <c r="Q580" t="s">
        <v>647</v>
      </c>
      <c r="R580" t="s">
        <v>201</v>
      </c>
      <c r="S580">
        <v>2</v>
      </c>
      <c r="T580">
        <v>1</v>
      </c>
      <c r="U580">
        <v>90144</v>
      </c>
      <c r="V580">
        <v>180288</v>
      </c>
    </row>
    <row r="581" spans="1:22">
      <c r="A581" t="s">
        <v>196</v>
      </c>
      <c r="B581">
        <v>27</v>
      </c>
      <c r="C581" t="s">
        <v>637</v>
      </c>
      <c r="D581">
        <v>100</v>
      </c>
      <c r="E581" t="s">
        <v>197</v>
      </c>
      <c r="F581">
        <v>1005</v>
      </c>
      <c r="G581" t="s">
        <v>638</v>
      </c>
      <c r="H581">
        <v>2020</v>
      </c>
      <c r="I581" t="s">
        <v>36</v>
      </c>
      <c r="J581">
        <v>3156</v>
      </c>
      <c r="K581" t="s">
        <v>700</v>
      </c>
      <c r="L581">
        <v>4667</v>
      </c>
      <c r="M581" t="s">
        <v>705</v>
      </c>
      <c r="N581" t="s">
        <v>688</v>
      </c>
      <c r="O581">
        <v>4</v>
      </c>
      <c r="P581">
        <v>192</v>
      </c>
      <c r="Q581" t="s">
        <v>689</v>
      </c>
      <c r="R581" t="s">
        <v>201</v>
      </c>
      <c r="S581">
        <v>4</v>
      </c>
      <c r="T581">
        <v>1</v>
      </c>
      <c r="U581">
        <v>118836</v>
      </c>
      <c r="V581">
        <v>475344</v>
      </c>
    </row>
    <row r="582" spans="1:22">
      <c r="A582" t="s">
        <v>196</v>
      </c>
      <c r="B582">
        <v>27</v>
      </c>
      <c r="C582" t="s">
        <v>637</v>
      </c>
      <c r="D582">
        <v>100</v>
      </c>
      <c r="E582" t="s">
        <v>197</v>
      </c>
      <c r="F582">
        <v>1005</v>
      </c>
      <c r="G582" t="s">
        <v>638</v>
      </c>
      <c r="H582">
        <v>2020</v>
      </c>
      <c r="I582" t="s">
        <v>36</v>
      </c>
      <c r="J582">
        <v>3156</v>
      </c>
      <c r="K582" t="s">
        <v>700</v>
      </c>
      <c r="L582">
        <v>4667</v>
      </c>
      <c r="M582" t="s">
        <v>705</v>
      </c>
      <c r="N582" t="s">
        <v>688</v>
      </c>
      <c r="O582">
        <v>4</v>
      </c>
      <c r="P582">
        <v>192</v>
      </c>
      <c r="Q582" t="s">
        <v>689</v>
      </c>
      <c r="R582" t="s">
        <v>201</v>
      </c>
      <c r="S582">
        <v>1</v>
      </c>
      <c r="T582">
        <v>1</v>
      </c>
      <c r="U582">
        <v>107628</v>
      </c>
      <c r="V582">
        <v>107628</v>
      </c>
    </row>
    <row r="583" spans="1:22">
      <c r="A583" t="s">
        <v>196</v>
      </c>
      <c r="B583">
        <v>27</v>
      </c>
      <c r="C583" t="s">
        <v>637</v>
      </c>
      <c r="D583">
        <v>100</v>
      </c>
      <c r="E583" t="s">
        <v>197</v>
      </c>
      <c r="F583">
        <v>1005</v>
      </c>
      <c r="G583" t="s">
        <v>638</v>
      </c>
      <c r="H583">
        <v>2020</v>
      </c>
      <c r="I583" t="s">
        <v>36</v>
      </c>
      <c r="J583">
        <v>3156</v>
      </c>
      <c r="K583" t="s">
        <v>700</v>
      </c>
      <c r="L583">
        <v>4667</v>
      </c>
      <c r="M583" t="s">
        <v>705</v>
      </c>
      <c r="N583" t="s">
        <v>688</v>
      </c>
      <c r="O583">
        <v>4</v>
      </c>
      <c r="P583">
        <v>192</v>
      </c>
      <c r="Q583" t="s">
        <v>689</v>
      </c>
      <c r="R583" t="s">
        <v>201</v>
      </c>
      <c r="S583">
        <v>2</v>
      </c>
      <c r="T583">
        <v>1</v>
      </c>
      <c r="U583">
        <v>97488</v>
      </c>
      <c r="V583">
        <v>194976</v>
      </c>
    </row>
    <row r="584" spans="1:22">
      <c r="A584" t="s">
        <v>196</v>
      </c>
      <c r="B584">
        <v>27</v>
      </c>
      <c r="C584" t="s">
        <v>637</v>
      </c>
      <c r="D584">
        <v>100</v>
      </c>
      <c r="E584" t="s">
        <v>197</v>
      </c>
      <c r="F584">
        <v>1005</v>
      </c>
      <c r="G584" t="s">
        <v>638</v>
      </c>
      <c r="H584">
        <v>2020</v>
      </c>
      <c r="I584" t="s">
        <v>36</v>
      </c>
      <c r="J584">
        <v>3156</v>
      </c>
      <c r="K584" t="s">
        <v>700</v>
      </c>
      <c r="L584">
        <v>4667</v>
      </c>
      <c r="M584" t="s">
        <v>705</v>
      </c>
      <c r="N584" t="s">
        <v>688</v>
      </c>
      <c r="O584">
        <v>4</v>
      </c>
      <c r="P584">
        <v>192</v>
      </c>
      <c r="Q584" t="s">
        <v>689</v>
      </c>
      <c r="R584" t="s">
        <v>201</v>
      </c>
      <c r="S584">
        <v>7</v>
      </c>
      <c r="T584">
        <v>1</v>
      </c>
      <c r="U584">
        <v>81636</v>
      </c>
      <c r="V584">
        <v>571452</v>
      </c>
    </row>
    <row r="585" spans="1:22">
      <c r="A585" t="s">
        <v>196</v>
      </c>
      <c r="B585">
        <v>27</v>
      </c>
      <c r="C585" t="s">
        <v>637</v>
      </c>
      <c r="D585">
        <v>100</v>
      </c>
      <c r="E585" t="s">
        <v>197</v>
      </c>
      <c r="F585">
        <v>1005</v>
      </c>
      <c r="G585" t="s">
        <v>638</v>
      </c>
      <c r="H585">
        <v>2020</v>
      </c>
      <c r="I585" t="s">
        <v>36</v>
      </c>
      <c r="J585">
        <v>3156</v>
      </c>
      <c r="K585" t="s">
        <v>700</v>
      </c>
      <c r="L585">
        <v>4667</v>
      </c>
      <c r="M585" t="s">
        <v>705</v>
      </c>
      <c r="N585" t="s">
        <v>702</v>
      </c>
      <c r="O585">
        <v>4</v>
      </c>
      <c r="P585">
        <v>191</v>
      </c>
      <c r="Q585" t="s">
        <v>703</v>
      </c>
      <c r="R585" t="s">
        <v>201</v>
      </c>
      <c r="S585">
        <v>1</v>
      </c>
      <c r="T585">
        <v>1</v>
      </c>
      <c r="U585">
        <v>108708</v>
      </c>
      <c r="V585">
        <v>108708</v>
      </c>
    </row>
    <row r="586" spans="1:22">
      <c r="A586" t="s">
        <v>196</v>
      </c>
      <c r="B586">
        <v>27</v>
      </c>
      <c r="C586" t="s">
        <v>637</v>
      </c>
      <c r="D586">
        <v>100</v>
      </c>
      <c r="E586" t="s">
        <v>197</v>
      </c>
      <c r="F586">
        <v>1005</v>
      </c>
      <c r="G586" t="s">
        <v>638</v>
      </c>
      <c r="H586">
        <v>2020</v>
      </c>
      <c r="I586" t="s">
        <v>36</v>
      </c>
      <c r="J586">
        <v>3156</v>
      </c>
      <c r="K586" t="s">
        <v>700</v>
      </c>
      <c r="L586">
        <v>4667</v>
      </c>
      <c r="M586" t="s">
        <v>705</v>
      </c>
      <c r="N586" t="s">
        <v>702</v>
      </c>
      <c r="O586">
        <v>4</v>
      </c>
      <c r="P586">
        <v>191</v>
      </c>
      <c r="Q586" t="s">
        <v>703</v>
      </c>
      <c r="R586" t="s">
        <v>201</v>
      </c>
      <c r="S586">
        <v>5</v>
      </c>
      <c r="T586">
        <v>1</v>
      </c>
      <c r="U586">
        <v>76464</v>
      </c>
      <c r="V586">
        <v>382320</v>
      </c>
    </row>
    <row r="587" spans="1:22">
      <c r="A587" t="s">
        <v>196</v>
      </c>
      <c r="B587">
        <v>27</v>
      </c>
      <c r="C587" t="s">
        <v>637</v>
      </c>
      <c r="D587">
        <v>100</v>
      </c>
      <c r="E587" t="s">
        <v>197</v>
      </c>
      <c r="F587">
        <v>1005</v>
      </c>
      <c r="G587" t="s">
        <v>638</v>
      </c>
      <c r="H587">
        <v>2020</v>
      </c>
      <c r="I587" t="s">
        <v>36</v>
      </c>
      <c r="J587">
        <v>3156</v>
      </c>
      <c r="K587" t="s">
        <v>700</v>
      </c>
      <c r="L587">
        <v>4667</v>
      </c>
      <c r="M587" t="s">
        <v>705</v>
      </c>
      <c r="N587" t="s">
        <v>702</v>
      </c>
      <c r="O587">
        <v>4</v>
      </c>
      <c r="P587">
        <v>191</v>
      </c>
      <c r="Q587" t="s">
        <v>703</v>
      </c>
      <c r="R587" t="s">
        <v>201</v>
      </c>
      <c r="S587">
        <v>5</v>
      </c>
      <c r="T587">
        <v>1</v>
      </c>
      <c r="U587">
        <v>74160</v>
      </c>
      <c r="V587">
        <v>370800</v>
      </c>
    </row>
    <row r="588" spans="1:22">
      <c r="A588" t="s">
        <v>196</v>
      </c>
      <c r="B588">
        <v>27</v>
      </c>
      <c r="C588" t="s">
        <v>637</v>
      </c>
      <c r="D588">
        <v>100</v>
      </c>
      <c r="E588" t="s">
        <v>197</v>
      </c>
      <c r="F588">
        <v>1005</v>
      </c>
      <c r="G588" t="s">
        <v>638</v>
      </c>
      <c r="H588">
        <v>2020</v>
      </c>
      <c r="I588" t="s">
        <v>36</v>
      </c>
      <c r="J588">
        <v>3156</v>
      </c>
      <c r="K588" t="s">
        <v>700</v>
      </c>
      <c r="L588">
        <v>4667</v>
      </c>
      <c r="M588" t="s">
        <v>705</v>
      </c>
      <c r="N588" t="s">
        <v>274</v>
      </c>
      <c r="O588">
        <v>20</v>
      </c>
      <c r="P588">
        <v>150</v>
      </c>
      <c r="Q588" t="s">
        <v>707</v>
      </c>
      <c r="R588" t="s">
        <v>201</v>
      </c>
      <c r="S588">
        <v>3</v>
      </c>
      <c r="T588">
        <v>1</v>
      </c>
      <c r="U588">
        <v>158508</v>
      </c>
      <c r="V588">
        <v>475524</v>
      </c>
    </row>
    <row r="589" spans="1:22">
      <c r="A589" t="s">
        <v>196</v>
      </c>
      <c r="B589">
        <v>27</v>
      </c>
      <c r="C589" t="s">
        <v>637</v>
      </c>
      <c r="D589">
        <v>100</v>
      </c>
      <c r="E589" t="s">
        <v>197</v>
      </c>
      <c r="F589">
        <v>1005</v>
      </c>
      <c r="G589" t="s">
        <v>638</v>
      </c>
      <c r="H589">
        <v>2020</v>
      </c>
      <c r="I589" t="s">
        <v>36</v>
      </c>
      <c r="J589">
        <v>3156</v>
      </c>
      <c r="K589" t="s">
        <v>700</v>
      </c>
      <c r="L589">
        <v>4667</v>
      </c>
      <c r="M589" t="s">
        <v>705</v>
      </c>
      <c r="N589" t="s">
        <v>245</v>
      </c>
      <c r="O589">
        <v>20</v>
      </c>
      <c r="P589">
        <v>149</v>
      </c>
      <c r="Q589" t="s">
        <v>704</v>
      </c>
      <c r="R589" t="s">
        <v>201</v>
      </c>
      <c r="S589">
        <v>6</v>
      </c>
      <c r="T589">
        <v>1</v>
      </c>
      <c r="U589">
        <v>141132</v>
      </c>
      <c r="V589">
        <v>846792</v>
      </c>
    </row>
    <row r="590" spans="1:22">
      <c r="A590" t="s">
        <v>196</v>
      </c>
      <c r="B590">
        <v>27</v>
      </c>
      <c r="C590" t="s">
        <v>637</v>
      </c>
      <c r="D590">
        <v>100</v>
      </c>
      <c r="E590" t="s">
        <v>197</v>
      </c>
      <c r="F590">
        <v>1005</v>
      </c>
      <c r="G590" t="s">
        <v>638</v>
      </c>
      <c r="H590">
        <v>2020</v>
      </c>
      <c r="I590" t="s">
        <v>36</v>
      </c>
      <c r="J590">
        <v>3156</v>
      </c>
      <c r="K590" t="s">
        <v>700</v>
      </c>
      <c r="L590">
        <v>4667</v>
      </c>
      <c r="M590" t="s">
        <v>705</v>
      </c>
      <c r="N590" t="s">
        <v>245</v>
      </c>
      <c r="O590">
        <v>20</v>
      </c>
      <c r="P590">
        <v>149</v>
      </c>
      <c r="Q590" t="s">
        <v>704</v>
      </c>
      <c r="R590" t="s">
        <v>201</v>
      </c>
      <c r="S590">
        <v>1</v>
      </c>
      <c r="T590">
        <v>1</v>
      </c>
      <c r="U590">
        <v>111000</v>
      </c>
      <c r="V590">
        <v>111000</v>
      </c>
    </row>
    <row r="591" spans="1:22">
      <c r="A591" t="s">
        <v>196</v>
      </c>
      <c r="B591">
        <v>27</v>
      </c>
      <c r="C591" t="s">
        <v>637</v>
      </c>
      <c r="D591">
        <v>100</v>
      </c>
      <c r="E591" t="s">
        <v>197</v>
      </c>
      <c r="F591">
        <v>1005</v>
      </c>
      <c r="G591" t="s">
        <v>638</v>
      </c>
      <c r="H591">
        <v>2020</v>
      </c>
      <c r="I591" t="s">
        <v>36</v>
      </c>
      <c r="J591">
        <v>3156</v>
      </c>
      <c r="K591" t="s">
        <v>700</v>
      </c>
      <c r="L591">
        <v>4667</v>
      </c>
      <c r="M591" t="s">
        <v>705</v>
      </c>
      <c r="N591" t="s">
        <v>199</v>
      </c>
      <c r="O591">
        <v>0</v>
      </c>
      <c r="P591">
        <v>15</v>
      </c>
      <c r="Q591" t="s">
        <v>264</v>
      </c>
      <c r="R591" t="s">
        <v>201</v>
      </c>
      <c r="S591">
        <v>0</v>
      </c>
      <c r="T591">
        <v>0</v>
      </c>
      <c r="U591">
        <v>38978</v>
      </c>
      <c r="V591">
        <v>38978</v>
      </c>
    </row>
    <row r="592" spans="1:22">
      <c r="A592" t="s">
        <v>196</v>
      </c>
      <c r="B592">
        <v>27</v>
      </c>
      <c r="C592" t="s">
        <v>637</v>
      </c>
      <c r="D592">
        <v>100</v>
      </c>
      <c r="E592" t="s">
        <v>197</v>
      </c>
      <c r="F592">
        <v>1005</v>
      </c>
      <c r="G592" t="s">
        <v>638</v>
      </c>
      <c r="H592">
        <v>2020</v>
      </c>
      <c r="I592" t="s">
        <v>36</v>
      </c>
      <c r="J592">
        <v>3157</v>
      </c>
      <c r="K592" t="s">
        <v>708</v>
      </c>
      <c r="L592">
        <v>4674</v>
      </c>
      <c r="M592" t="s">
        <v>709</v>
      </c>
      <c r="N592" t="s">
        <v>710</v>
      </c>
      <c r="O592">
        <v>2</v>
      </c>
      <c r="P592">
        <v>7482</v>
      </c>
      <c r="Q592" t="s">
        <v>711</v>
      </c>
      <c r="R592" t="s">
        <v>201</v>
      </c>
      <c r="S592">
        <v>8</v>
      </c>
      <c r="T592">
        <v>1</v>
      </c>
      <c r="U592">
        <v>82812</v>
      </c>
      <c r="V592">
        <v>662496</v>
      </c>
    </row>
    <row r="593" spans="1:22">
      <c r="A593" t="s">
        <v>196</v>
      </c>
      <c r="B593">
        <v>27</v>
      </c>
      <c r="C593" t="s">
        <v>637</v>
      </c>
      <c r="D593">
        <v>100</v>
      </c>
      <c r="E593" t="s">
        <v>197</v>
      </c>
      <c r="F593">
        <v>1005</v>
      </c>
      <c r="G593" t="s">
        <v>638</v>
      </c>
      <c r="H593">
        <v>2020</v>
      </c>
      <c r="I593" t="s">
        <v>36</v>
      </c>
      <c r="J593">
        <v>3157</v>
      </c>
      <c r="K593" t="s">
        <v>708</v>
      </c>
      <c r="L593">
        <v>4674</v>
      </c>
      <c r="M593" t="s">
        <v>709</v>
      </c>
      <c r="N593" t="s">
        <v>710</v>
      </c>
      <c r="O593">
        <v>2</v>
      </c>
      <c r="P593">
        <v>7482</v>
      </c>
      <c r="Q593" t="s">
        <v>711</v>
      </c>
      <c r="R593" t="s">
        <v>201</v>
      </c>
      <c r="S593">
        <v>6</v>
      </c>
      <c r="T593">
        <v>1</v>
      </c>
      <c r="U593">
        <v>79056</v>
      </c>
      <c r="V593">
        <v>474336</v>
      </c>
    </row>
    <row r="594" spans="1:22">
      <c r="A594" t="s">
        <v>196</v>
      </c>
      <c r="B594">
        <v>27</v>
      </c>
      <c r="C594" t="s">
        <v>637</v>
      </c>
      <c r="D594">
        <v>100</v>
      </c>
      <c r="E594" t="s">
        <v>197</v>
      </c>
      <c r="F594">
        <v>1005</v>
      </c>
      <c r="G594" t="s">
        <v>638</v>
      </c>
      <c r="H594">
        <v>2020</v>
      </c>
      <c r="I594" t="s">
        <v>36</v>
      </c>
      <c r="J594">
        <v>3157</v>
      </c>
      <c r="K594" t="s">
        <v>708</v>
      </c>
      <c r="L594">
        <v>4674</v>
      </c>
      <c r="M594" t="s">
        <v>709</v>
      </c>
      <c r="N594" t="s">
        <v>710</v>
      </c>
      <c r="O594">
        <v>2</v>
      </c>
      <c r="P594">
        <v>7482</v>
      </c>
      <c r="Q594" t="s">
        <v>711</v>
      </c>
      <c r="R594" t="s">
        <v>201</v>
      </c>
      <c r="S594">
        <v>3</v>
      </c>
      <c r="T594">
        <v>1</v>
      </c>
      <c r="U594">
        <v>75444</v>
      </c>
      <c r="V594">
        <v>226332</v>
      </c>
    </row>
    <row r="595" spans="1:22">
      <c r="A595" t="s">
        <v>196</v>
      </c>
      <c r="B595">
        <v>27</v>
      </c>
      <c r="C595" t="s">
        <v>637</v>
      </c>
      <c r="D595">
        <v>100</v>
      </c>
      <c r="E595" t="s">
        <v>197</v>
      </c>
      <c r="F595">
        <v>1005</v>
      </c>
      <c r="G595" t="s">
        <v>638</v>
      </c>
      <c r="H595">
        <v>2020</v>
      </c>
      <c r="I595" t="s">
        <v>36</v>
      </c>
      <c r="J595">
        <v>3157</v>
      </c>
      <c r="K595" t="s">
        <v>708</v>
      </c>
      <c r="L595">
        <v>4674</v>
      </c>
      <c r="M595" t="s">
        <v>709</v>
      </c>
      <c r="N595" t="s">
        <v>710</v>
      </c>
      <c r="O595">
        <v>2</v>
      </c>
      <c r="P595">
        <v>7482</v>
      </c>
      <c r="Q595" t="s">
        <v>711</v>
      </c>
      <c r="R595" t="s">
        <v>201</v>
      </c>
      <c r="S595">
        <v>3</v>
      </c>
      <c r="T595">
        <v>1</v>
      </c>
      <c r="U595">
        <v>72036</v>
      </c>
      <c r="V595">
        <v>216108</v>
      </c>
    </row>
    <row r="596" spans="1:22">
      <c r="A596" t="s">
        <v>196</v>
      </c>
      <c r="B596">
        <v>27</v>
      </c>
      <c r="C596" t="s">
        <v>637</v>
      </c>
      <c r="D596">
        <v>100</v>
      </c>
      <c r="E596" t="s">
        <v>197</v>
      </c>
      <c r="F596">
        <v>1005</v>
      </c>
      <c r="G596" t="s">
        <v>638</v>
      </c>
      <c r="H596">
        <v>2020</v>
      </c>
      <c r="I596" t="s">
        <v>36</v>
      </c>
      <c r="J596">
        <v>3157</v>
      </c>
      <c r="K596" t="s">
        <v>708</v>
      </c>
      <c r="L596">
        <v>4674</v>
      </c>
      <c r="M596" t="s">
        <v>709</v>
      </c>
      <c r="N596" t="s">
        <v>710</v>
      </c>
      <c r="O596">
        <v>2</v>
      </c>
      <c r="P596">
        <v>7482</v>
      </c>
      <c r="Q596" t="s">
        <v>711</v>
      </c>
      <c r="R596" t="s">
        <v>201</v>
      </c>
      <c r="S596">
        <v>2</v>
      </c>
      <c r="T596">
        <v>1</v>
      </c>
      <c r="U596">
        <v>68796</v>
      </c>
      <c r="V596">
        <v>137592</v>
      </c>
    </row>
    <row r="597" spans="1:22">
      <c r="A597" t="s">
        <v>196</v>
      </c>
      <c r="B597">
        <v>27</v>
      </c>
      <c r="C597" t="s">
        <v>637</v>
      </c>
      <c r="D597">
        <v>100</v>
      </c>
      <c r="E597" t="s">
        <v>197</v>
      </c>
      <c r="F597">
        <v>1005</v>
      </c>
      <c r="G597" t="s">
        <v>638</v>
      </c>
      <c r="H597">
        <v>2020</v>
      </c>
      <c r="I597" t="s">
        <v>36</v>
      </c>
      <c r="J597">
        <v>3157</v>
      </c>
      <c r="K597" t="s">
        <v>708</v>
      </c>
      <c r="L597">
        <v>4674</v>
      </c>
      <c r="M597" t="s">
        <v>709</v>
      </c>
      <c r="N597" t="s">
        <v>710</v>
      </c>
      <c r="O597">
        <v>2</v>
      </c>
      <c r="P597">
        <v>7482</v>
      </c>
      <c r="Q597" t="s">
        <v>711</v>
      </c>
      <c r="R597" t="s">
        <v>201</v>
      </c>
      <c r="S597">
        <v>3</v>
      </c>
      <c r="T597">
        <v>1</v>
      </c>
      <c r="U597">
        <v>65640</v>
      </c>
      <c r="V597">
        <v>196920</v>
      </c>
    </row>
    <row r="598" spans="1:22">
      <c r="A598" t="s">
        <v>196</v>
      </c>
      <c r="B598">
        <v>27</v>
      </c>
      <c r="C598" t="s">
        <v>637</v>
      </c>
      <c r="D598">
        <v>100</v>
      </c>
      <c r="E598" t="s">
        <v>197</v>
      </c>
      <c r="F598">
        <v>1005</v>
      </c>
      <c r="G598" t="s">
        <v>638</v>
      </c>
      <c r="H598">
        <v>2020</v>
      </c>
      <c r="I598" t="s">
        <v>36</v>
      </c>
      <c r="J598">
        <v>3157</v>
      </c>
      <c r="K598" t="s">
        <v>708</v>
      </c>
      <c r="L598">
        <v>4674</v>
      </c>
      <c r="M598" t="s">
        <v>709</v>
      </c>
      <c r="N598" t="s">
        <v>710</v>
      </c>
      <c r="O598">
        <v>2</v>
      </c>
      <c r="P598">
        <v>7482</v>
      </c>
      <c r="Q598" t="s">
        <v>711</v>
      </c>
      <c r="R598" t="s">
        <v>201</v>
      </c>
      <c r="S598">
        <v>4</v>
      </c>
      <c r="T598">
        <v>1</v>
      </c>
      <c r="U598">
        <v>62676</v>
      </c>
      <c r="V598">
        <v>250704</v>
      </c>
    </row>
    <row r="599" spans="1:22">
      <c r="A599" t="s">
        <v>196</v>
      </c>
      <c r="B599">
        <v>27</v>
      </c>
      <c r="C599" t="s">
        <v>637</v>
      </c>
      <c r="D599">
        <v>100</v>
      </c>
      <c r="E599" t="s">
        <v>197</v>
      </c>
      <c r="F599">
        <v>1005</v>
      </c>
      <c r="G599" t="s">
        <v>638</v>
      </c>
      <c r="H599">
        <v>2020</v>
      </c>
      <c r="I599" t="s">
        <v>36</v>
      </c>
      <c r="J599">
        <v>3157</v>
      </c>
      <c r="K599" t="s">
        <v>708</v>
      </c>
      <c r="L599">
        <v>4674</v>
      </c>
      <c r="M599" t="s">
        <v>709</v>
      </c>
      <c r="N599" t="s">
        <v>710</v>
      </c>
      <c r="O599">
        <v>2</v>
      </c>
      <c r="P599">
        <v>7482</v>
      </c>
      <c r="Q599" t="s">
        <v>711</v>
      </c>
      <c r="R599" t="s">
        <v>201</v>
      </c>
      <c r="S599">
        <v>4</v>
      </c>
      <c r="T599">
        <v>1</v>
      </c>
      <c r="U599">
        <v>59820</v>
      </c>
      <c r="V599">
        <v>239280</v>
      </c>
    </row>
    <row r="600" spans="1:22">
      <c r="A600" t="s">
        <v>196</v>
      </c>
      <c r="B600">
        <v>27</v>
      </c>
      <c r="C600" t="s">
        <v>637</v>
      </c>
      <c r="D600">
        <v>100</v>
      </c>
      <c r="E600" t="s">
        <v>197</v>
      </c>
      <c r="F600">
        <v>1005</v>
      </c>
      <c r="G600" t="s">
        <v>638</v>
      </c>
      <c r="H600">
        <v>2020</v>
      </c>
      <c r="I600" t="s">
        <v>36</v>
      </c>
      <c r="J600">
        <v>3157</v>
      </c>
      <c r="K600" t="s">
        <v>708</v>
      </c>
      <c r="L600">
        <v>4674</v>
      </c>
      <c r="M600" t="s">
        <v>709</v>
      </c>
      <c r="N600" t="s">
        <v>710</v>
      </c>
      <c r="O600">
        <v>2</v>
      </c>
      <c r="P600">
        <v>7482</v>
      </c>
      <c r="Q600" t="s">
        <v>711</v>
      </c>
      <c r="R600" t="s">
        <v>201</v>
      </c>
      <c r="S600">
        <v>11</v>
      </c>
      <c r="T600">
        <v>1</v>
      </c>
      <c r="U600">
        <v>53820</v>
      </c>
      <c r="V600">
        <v>592020</v>
      </c>
    </row>
    <row r="601" spans="1:22">
      <c r="A601" t="s">
        <v>196</v>
      </c>
      <c r="B601">
        <v>27</v>
      </c>
      <c r="C601" t="s">
        <v>637</v>
      </c>
      <c r="D601">
        <v>100</v>
      </c>
      <c r="E601" t="s">
        <v>197</v>
      </c>
      <c r="F601">
        <v>1005</v>
      </c>
      <c r="G601" t="s">
        <v>638</v>
      </c>
      <c r="H601">
        <v>2020</v>
      </c>
      <c r="I601" t="s">
        <v>36</v>
      </c>
      <c r="J601">
        <v>3157</v>
      </c>
      <c r="K601" t="s">
        <v>708</v>
      </c>
      <c r="L601">
        <v>4674</v>
      </c>
      <c r="M601" t="s">
        <v>709</v>
      </c>
      <c r="N601" t="s">
        <v>710</v>
      </c>
      <c r="O601">
        <v>2</v>
      </c>
      <c r="P601">
        <v>7482</v>
      </c>
      <c r="Q601" t="s">
        <v>711</v>
      </c>
      <c r="R601" t="s">
        <v>201</v>
      </c>
      <c r="S601">
        <v>14</v>
      </c>
      <c r="T601">
        <v>1</v>
      </c>
      <c r="U601">
        <v>51348</v>
      </c>
      <c r="V601">
        <v>718872</v>
      </c>
    </row>
    <row r="602" spans="1:22">
      <c r="A602" t="s">
        <v>196</v>
      </c>
      <c r="B602">
        <v>27</v>
      </c>
      <c r="C602" t="s">
        <v>637</v>
      </c>
      <c r="D602">
        <v>100</v>
      </c>
      <c r="E602" t="s">
        <v>197</v>
      </c>
      <c r="F602">
        <v>1005</v>
      </c>
      <c r="G602" t="s">
        <v>638</v>
      </c>
      <c r="H602">
        <v>2020</v>
      </c>
      <c r="I602" t="s">
        <v>36</v>
      </c>
      <c r="J602">
        <v>3157</v>
      </c>
      <c r="K602" t="s">
        <v>708</v>
      </c>
      <c r="L602">
        <v>4674</v>
      </c>
      <c r="M602" t="s">
        <v>709</v>
      </c>
      <c r="N602" t="s">
        <v>710</v>
      </c>
      <c r="O602">
        <v>2</v>
      </c>
      <c r="P602">
        <v>7482</v>
      </c>
      <c r="Q602" t="s">
        <v>711</v>
      </c>
      <c r="R602" t="s">
        <v>201</v>
      </c>
      <c r="S602">
        <v>13</v>
      </c>
      <c r="T602">
        <v>1</v>
      </c>
      <c r="U602">
        <v>49056</v>
      </c>
      <c r="V602">
        <v>637728</v>
      </c>
    </row>
    <row r="603" spans="1:22">
      <c r="A603" t="s">
        <v>196</v>
      </c>
      <c r="B603">
        <v>27</v>
      </c>
      <c r="C603" t="s">
        <v>637</v>
      </c>
      <c r="D603">
        <v>100</v>
      </c>
      <c r="E603" t="s">
        <v>197</v>
      </c>
      <c r="F603">
        <v>1005</v>
      </c>
      <c r="G603" t="s">
        <v>638</v>
      </c>
      <c r="H603">
        <v>2020</v>
      </c>
      <c r="I603" t="s">
        <v>36</v>
      </c>
      <c r="J603">
        <v>3157</v>
      </c>
      <c r="K603" t="s">
        <v>708</v>
      </c>
      <c r="L603">
        <v>4674</v>
      </c>
      <c r="M603" t="s">
        <v>709</v>
      </c>
      <c r="N603" t="s">
        <v>710</v>
      </c>
      <c r="O603">
        <v>2</v>
      </c>
      <c r="P603">
        <v>7482</v>
      </c>
      <c r="Q603" t="s">
        <v>711</v>
      </c>
      <c r="R603" t="s">
        <v>712</v>
      </c>
      <c r="S603">
        <v>365</v>
      </c>
      <c r="T603">
        <v>0</v>
      </c>
      <c r="U603">
        <v>3300</v>
      </c>
      <c r="V603">
        <v>1204500</v>
      </c>
    </row>
    <row r="604" spans="1:22">
      <c r="A604" t="s">
        <v>196</v>
      </c>
      <c r="B604">
        <v>27</v>
      </c>
      <c r="C604" t="s">
        <v>637</v>
      </c>
      <c r="D604">
        <v>100</v>
      </c>
      <c r="E604" t="s">
        <v>197</v>
      </c>
      <c r="F604">
        <v>1005</v>
      </c>
      <c r="G604" t="s">
        <v>638</v>
      </c>
      <c r="H604">
        <v>2020</v>
      </c>
      <c r="I604" t="s">
        <v>36</v>
      </c>
      <c r="J604">
        <v>3157</v>
      </c>
      <c r="K604" t="s">
        <v>708</v>
      </c>
      <c r="L604">
        <v>4674</v>
      </c>
      <c r="M604" t="s">
        <v>709</v>
      </c>
      <c r="N604" t="s">
        <v>710</v>
      </c>
      <c r="O604">
        <v>2</v>
      </c>
      <c r="P604">
        <v>7482</v>
      </c>
      <c r="Q604" t="s">
        <v>711</v>
      </c>
      <c r="R604" t="s">
        <v>201</v>
      </c>
      <c r="S604">
        <v>45</v>
      </c>
      <c r="T604">
        <v>1</v>
      </c>
      <c r="U604">
        <v>46824</v>
      </c>
      <c r="V604">
        <v>2107080</v>
      </c>
    </row>
    <row r="605" spans="1:22">
      <c r="A605" t="s">
        <v>196</v>
      </c>
      <c r="B605">
        <v>27</v>
      </c>
      <c r="C605" t="s">
        <v>637</v>
      </c>
      <c r="D605">
        <v>100</v>
      </c>
      <c r="E605" t="s">
        <v>197</v>
      </c>
      <c r="F605">
        <v>1005</v>
      </c>
      <c r="G605" t="s">
        <v>638</v>
      </c>
      <c r="H605">
        <v>2020</v>
      </c>
      <c r="I605" t="s">
        <v>36</v>
      </c>
      <c r="J605">
        <v>3157</v>
      </c>
      <c r="K605" t="s">
        <v>708</v>
      </c>
      <c r="L605">
        <v>4674</v>
      </c>
      <c r="M605" t="s">
        <v>709</v>
      </c>
      <c r="N605" t="s">
        <v>710</v>
      </c>
      <c r="O605">
        <v>2</v>
      </c>
      <c r="P605">
        <v>7482</v>
      </c>
      <c r="Q605" t="s">
        <v>711</v>
      </c>
      <c r="R605" t="s">
        <v>713</v>
      </c>
      <c r="S605">
        <v>1</v>
      </c>
      <c r="T605">
        <v>1</v>
      </c>
      <c r="U605">
        <v>37.47</v>
      </c>
      <c r="V605">
        <v>77938</v>
      </c>
    </row>
    <row r="606" spans="1:22">
      <c r="A606" t="s">
        <v>196</v>
      </c>
      <c r="B606">
        <v>27</v>
      </c>
      <c r="C606" t="s">
        <v>637</v>
      </c>
      <c r="D606">
        <v>100</v>
      </c>
      <c r="E606" t="s">
        <v>197</v>
      </c>
      <c r="F606">
        <v>1005</v>
      </c>
      <c r="G606" t="s">
        <v>638</v>
      </c>
      <c r="H606">
        <v>2020</v>
      </c>
      <c r="I606" t="s">
        <v>36</v>
      </c>
      <c r="J606">
        <v>3157</v>
      </c>
      <c r="K606" t="s">
        <v>708</v>
      </c>
      <c r="L606">
        <v>4674</v>
      </c>
      <c r="M606" t="s">
        <v>709</v>
      </c>
      <c r="N606" t="s">
        <v>714</v>
      </c>
      <c r="O606">
        <v>2</v>
      </c>
      <c r="P606">
        <v>7481</v>
      </c>
      <c r="Q606" t="s">
        <v>715</v>
      </c>
      <c r="R606" t="s">
        <v>201</v>
      </c>
      <c r="S606">
        <v>2</v>
      </c>
      <c r="T606">
        <v>1</v>
      </c>
      <c r="U606">
        <v>78384</v>
      </c>
      <c r="V606">
        <v>156768</v>
      </c>
    </row>
    <row r="607" spans="1:22">
      <c r="A607" t="s">
        <v>196</v>
      </c>
      <c r="B607">
        <v>27</v>
      </c>
      <c r="C607" t="s">
        <v>637</v>
      </c>
      <c r="D607">
        <v>100</v>
      </c>
      <c r="E607" t="s">
        <v>197</v>
      </c>
      <c r="F607">
        <v>1005</v>
      </c>
      <c r="G607" t="s">
        <v>638</v>
      </c>
      <c r="H607">
        <v>2020</v>
      </c>
      <c r="I607" t="s">
        <v>36</v>
      </c>
      <c r="J607">
        <v>3157</v>
      </c>
      <c r="K607" t="s">
        <v>708</v>
      </c>
      <c r="L607">
        <v>4674</v>
      </c>
      <c r="M607" t="s">
        <v>709</v>
      </c>
      <c r="N607" t="s">
        <v>714</v>
      </c>
      <c r="O607">
        <v>2</v>
      </c>
      <c r="P607">
        <v>7481</v>
      </c>
      <c r="Q607" t="s">
        <v>715</v>
      </c>
      <c r="R607" t="s">
        <v>201</v>
      </c>
      <c r="S607">
        <v>1</v>
      </c>
      <c r="T607">
        <v>1</v>
      </c>
      <c r="U607">
        <v>71436</v>
      </c>
      <c r="V607">
        <v>71436</v>
      </c>
    </row>
    <row r="608" spans="1:22">
      <c r="A608" t="s">
        <v>196</v>
      </c>
      <c r="B608">
        <v>27</v>
      </c>
      <c r="C608" t="s">
        <v>637</v>
      </c>
      <c r="D608">
        <v>100</v>
      </c>
      <c r="E608" t="s">
        <v>197</v>
      </c>
      <c r="F608">
        <v>1005</v>
      </c>
      <c r="G608" t="s">
        <v>638</v>
      </c>
      <c r="H608">
        <v>2020</v>
      </c>
      <c r="I608" t="s">
        <v>36</v>
      </c>
      <c r="J608">
        <v>3157</v>
      </c>
      <c r="K608" t="s">
        <v>708</v>
      </c>
      <c r="L608">
        <v>4674</v>
      </c>
      <c r="M608" t="s">
        <v>709</v>
      </c>
      <c r="N608" t="s">
        <v>714</v>
      </c>
      <c r="O608">
        <v>2</v>
      </c>
      <c r="P608">
        <v>7481</v>
      </c>
      <c r="Q608" t="s">
        <v>715</v>
      </c>
      <c r="R608" t="s">
        <v>201</v>
      </c>
      <c r="S608">
        <v>1</v>
      </c>
      <c r="T608">
        <v>1</v>
      </c>
      <c r="U608">
        <v>65064</v>
      </c>
      <c r="V608">
        <v>65064</v>
      </c>
    </row>
    <row r="609" spans="1:22">
      <c r="A609" t="s">
        <v>196</v>
      </c>
      <c r="B609">
        <v>27</v>
      </c>
      <c r="C609" t="s">
        <v>637</v>
      </c>
      <c r="D609">
        <v>100</v>
      </c>
      <c r="E609" t="s">
        <v>197</v>
      </c>
      <c r="F609">
        <v>1005</v>
      </c>
      <c r="G609" t="s">
        <v>638</v>
      </c>
      <c r="H609">
        <v>2020</v>
      </c>
      <c r="I609" t="s">
        <v>36</v>
      </c>
      <c r="J609">
        <v>3157</v>
      </c>
      <c r="K609" t="s">
        <v>708</v>
      </c>
      <c r="L609">
        <v>4674</v>
      </c>
      <c r="M609" t="s">
        <v>709</v>
      </c>
      <c r="N609" t="s">
        <v>714</v>
      </c>
      <c r="O609">
        <v>2</v>
      </c>
      <c r="P609">
        <v>7481</v>
      </c>
      <c r="Q609" t="s">
        <v>715</v>
      </c>
      <c r="R609" t="s">
        <v>201</v>
      </c>
      <c r="S609">
        <v>3</v>
      </c>
      <c r="T609">
        <v>1</v>
      </c>
      <c r="U609">
        <v>59352</v>
      </c>
      <c r="V609">
        <v>178056</v>
      </c>
    </row>
    <row r="610" spans="1:22">
      <c r="A610" t="s">
        <v>196</v>
      </c>
      <c r="B610">
        <v>27</v>
      </c>
      <c r="C610" t="s">
        <v>637</v>
      </c>
      <c r="D610">
        <v>100</v>
      </c>
      <c r="E610" t="s">
        <v>197</v>
      </c>
      <c r="F610">
        <v>1005</v>
      </c>
      <c r="G610" t="s">
        <v>638</v>
      </c>
      <c r="H610">
        <v>2020</v>
      </c>
      <c r="I610" t="s">
        <v>36</v>
      </c>
      <c r="J610">
        <v>3157</v>
      </c>
      <c r="K610" t="s">
        <v>708</v>
      </c>
      <c r="L610">
        <v>4674</v>
      </c>
      <c r="M610" t="s">
        <v>709</v>
      </c>
      <c r="N610" t="s">
        <v>714</v>
      </c>
      <c r="O610">
        <v>2</v>
      </c>
      <c r="P610">
        <v>7481</v>
      </c>
      <c r="Q610" t="s">
        <v>715</v>
      </c>
      <c r="R610" t="s">
        <v>201</v>
      </c>
      <c r="S610">
        <v>1</v>
      </c>
      <c r="T610">
        <v>1</v>
      </c>
      <c r="U610">
        <v>50964</v>
      </c>
      <c r="V610">
        <v>50964</v>
      </c>
    </row>
    <row r="611" spans="1:22">
      <c r="A611" t="s">
        <v>196</v>
      </c>
      <c r="B611">
        <v>27</v>
      </c>
      <c r="C611" t="s">
        <v>637</v>
      </c>
      <c r="D611">
        <v>100</v>
      </c>
      <c r="E611" t="s">
        <v>197</v>
      </c>
      <c r="F611">
        <v>1005</v>
      </c>
      <c r="G611" t="s">
        <v>638</v>
      </c>
      <c r="H611">
        <v>2020</v>
      </c>
      <c r="I611" t="s">
        <v>36</v>
      </c>
      <c r="J611">
        <v>3157</v>
      </c>
      <c r="K611" t="s">
        <v>708</v>
      </c>
      <c r="L611">
        <v>4674</v>
      </c>
      <c r="M611" t="s">
        <v>709</v>
      </c>
      <c r="N611" t="s">
        <v>714</v>
      </c>
      <c r="O611">
        <v>2</v>
      </c>
      <c r="P611">
        <v>7481</v>
      </c>
      <c r="Q611" t="s">
        <v>715</v>
      </c>
      <c r="R611" t="s">
        <v>201</v>
      </c>
      <c r="S611">
        <v>1</v>
      </c>
      <c r="T611">
        <v>1</v>
      </c>
      <c r="U611">
        <v>48588</v>
      </c>
      <c r="V611">
        <v>48588</v>
      </c>
    </row>
    <row r="612" spans="1:22">
      <c r="A612" t="s">
        <v>196</v>
      </c>
      <c r="B612">
        <v>27</v>
      </c>
      <c r="C612" t="s">
        <v>637</v>
      </c>
      <c r="D612">
        <v>100</v>
      </c>
      <c r="E612" t="s">
        <v>197</v>
      </c>
      <c r="F612">
        <v>1005</v>
      </c>
      <c r="G612" t="s">
        <v>638</v>
      </c>
      <c r="H612">
        <v>2020</v>
      </c>
      <c r="I612" t="s">
        <v>36</v>
      </c>
      <c r="J612">
        <v>3157</v>
      </c>
      <c r="K612" t="s">
        <v>708</v>
      </c>
      <c r="L612">
        <v>4674</v>
      </c>
      <c r="M612" t="s">
        <v>709</v>
      </c>
      <c r="N612" t="s">
        <v>714</v>
      </c>
      <c r="O612">
        <v>2</v>
      </c>
      <c r="P612">
        <v>7481</v>
      </c>
      <c r="Q612" t="s">
        <v>715</v>
      </c>
      <c r="R612" t="s">
        <v>201</v>
      </c>
      <c r="S612">
        <v>1</v>
      </c>
      <c r="T612">
        <v>1</v>
      </c>
      <c r="U612">
        <v>46416</v>
      </c>
      <c r="V612">
        <v>46416</v>
      </c>
    </row>
    <row r="613" spans="1:22">
      <c r="A613" t="s">
        <v>196</v>
      </c>
      <c r="B613">
        <v>27</v>
      </c>
      <c r="C613" t="s">
        <v>637</v>
      </c>
      <c r="D613">
        <v>100</v>
      </c>
      <c r="E613" t="s">
        <v>197</v>
      </c>
      <c r="F613">
        <v>1005</v>
      </c>
      <c r="G613" t="s">
        <v>638</v>
      </c>
      <c r="H613">
        <v>2020</v>
      </c>
      <c r="I613" t="s">
        <v>36</v>
      </c>
      <c r="J613">
        <v>3157</v>
      </c>
      <c r="K613" t="s">
        <v>708</v>
      </c>
      <c r="L613">
        <v>4674</v>
      </c>
      <c r="M613" t="s">
        <v>709</v>
      </c>
      <c r="N613" t="s">
        <v>714</v>
      </c>
      <c r="O613">
        <v>2</v>
      </c>
      <c r="P613">
        <v>7481</v>
      </c>
      <c r="Q613" t="s">
        <v>715</v>
      </c>
      <c r="R613" t="s">
        <v>201</v>
      </c>
      <c r="S613">
        <v>1</v>
      </c>
      <c r="T613">
        <v>1</v>
      </c>
      <c r="U613">
        <v>44292</v>
      </c>
      <c r="V613">
        <v>44292</v>
      </c>
    </row>
    <row r="614" spans="1:22">
      <c r="A614" t="s">
        <v>196</v>
      </c>
      <c r="B614">
        <v>27</v>
      </c>
      <c r="C614" t="s">
        <v>637</v>
      </c>
      <c r="D614">
        <v>100</v>
      </c>
      <c r="E614" t="s">
        <v>197</v>
      </c>
      <c r="F614">
        <v>1005</v>
      </c>
      <c r="G614" t="s">
        <v>638</v>
      </c>
      <c r="H614">
        <v>2020</v>
      </c>
      <c r="I614" t="s">
        <v>36</v>
      </c>
      <c r="J614">
        <v>3157</v>
      </c>
      <c r="K614" t="s">
        <v>708</v>
      </c>
      <c r="L614">
        <v>4674</v>
      </c>
      <c r="M614" t="s">
        <v>709</v>
      </c>
      <c r="N614" t="s">
        <v>716</v>
      </c>
      <c r="O614">
        <v>2</v>
      </c>
      <c r="P614">
        <v>7480</v>
      </c>
      <c r="Q614" t="s">
        <v>717</v>
      </c>
      <c r="R614" t="s">
        <v>201</v>
      </c>
      <c r="S614">
        <v>1</v>
      </c>
      <c r="T614">
        <v>1</v>
      </c>
      <c r="U614">
        <v>90876</v>
      </c>
      <c r="V614">
        <v>90876</v>
      </c>
    </row>
    <row r="615" spans="1:22">
      <c r="A615" t="s">
        <v>196</v>
      </c>
      <c r="B615">
        <v>27</v>
      </c>
      <c r="C615" t="s">
        <v>637</v>
      </c>
      <c r="D615">
        <v>100</v>
      </c>
      <c r="E615" t="s">
        <v>197</v>
      </c>
      <c r="F615">
        <v>1005</v>
      </c>
      <c r="G615" t="s">
        <v>638</v>
      </c>
      <c r="H615">
        <v>2020</v>
      </c>
      <c r="I615" t="s">
        <v>36</v>
      </c>
      <c r="J615">
        <v>3157</v>
      </c>
      <c r="K615" t="s">
        <v>708</v>
      </c>
      <c r="L615">
        <v>4674</v>
      </c>
      <c r="M615" t="s">
        <v>709</v>
      </c>
      <c r="N615" t="s">
        <v>716</v>
      </c>
      <c r="O615">
        <v>2</v>
      </c>
      <c r="P615">
        <v>7480</v>
      </c>
      <c r="Q615" t="s">
        <v>717</v>
      </c>
      <c r="R615" t="s">
        <v>201</v>
      </c>
      <c r="S615">
        <v>1</v>
      </c>
      <c r="T615">
        <v>1</v>
      </c>
      <c r="U615">
        <v>71076</v>
      </c>
      <c r="V615">
        <v>71076</v>
      </c>
    </row>
    <row r="616" spans="1:22">
      <c r="A616" t="s">
        <v>196</v>
      </c>
      <c r="B616">
        <v>27</v>
      </c>
      <c r="C616" t="s">
        <v>637</v>
      </c>
      <c r="D616">
        <v>100</v>
      </c>
      <c r="E616" t="s">
        <v>197</v>
      </c>
      <c r="F616">
        <v>1005</v>
      </c>
      <c r="G616" t="s">
        <v>638</v>
      </c>
      <c r="H616">
        <v>2020</v>
      </c>
      <c r="I616" t="s">
        <v>36</v>
      </c>
      <c r="J616">
        <v>3157</v>
      </c>
      <c r="K616" t="s">
        <v>708</v>
      </c>
      <c r="L616">
        <v>4674</v>
      </c>
      <c r="M616" t="s">
        <v>709</v>
      </c>
      <c r="N616" t="s">
        <v>351</v>
      </c>
      <c r="O616">
        <v>1</v>
      </c>
      <c r="P616">
        <v>7118</v>
      </c>
      <c r="Q616" t="s">
        <v>718</v>
      </c>
      <c r="R616" t="s">
        <v>201</v>
      </c>
      <c r="S616">
        <v>1</v>
      </c>
      <c r="T616">
        <v>1</v>
      </c>
      <c r="U616">
        <v>108576</v>
      </c>
      <c r="V616">
        <v>108576</v>
      </c>
    </row>
    <row r="617" spans="1:22">
      <c r="A617" t="s">
        <v>196</v>
      </c>
      <c r="B617">
        <v>27</v>
      </c>
      <c r="C617" t="s">
        <v>637</v>
      </c>
      <c r="D617">
        <v>100</v>
      </c>
      <c r="E617" t="s">
        <v>197</v>
      </c>
      <c r="F617">
        <v>1005</v>
      </c>
      <c r="G617" t="s">
        <v>638</v>
      </c>
      <c r="H617">
        <v>2020</v>
      </c>
      <c r="I617" t="s">
        <v>36</v>
      </c>
      <c r="J617">
        <v>3157</v>
      </c>
      <c r="K617" t="s">
        <v>708</v>
      </c>
      <c r="L617">
        <v>4674</v>
      </c>
      <c r="M617" t="s">
        <v>709</v>
      </c>
      <c r="N617" t="s">
        <v>360</v>
      </c>
      <c r="O617">
        <v>1</v>
      </c>
      <c r="P617">
        <v>7102</v>
      </c>
      <c r="Q617" t="s">
        <v>719</v>
      </c>
      <c r="R617" t="s">
        <v>201</v>
      </c>
      <c r="S617">
        <v>1</v>
      </c>
      <c r="T617">
        <v>1</v>
      </c>
      <c r="U617">
        <v>98928</v>
      </c>
      <c r="V617">
        <v>98928</v>
      </c>
    </row>
    <row r="618" spans="1:22">
      <c r="A618" t="s">
        <v>196</v>
      </c>
      <c r="B618">
        <v>27</v>
      </c>
      <c r="C618" t="s">
        <v>637</v>
      </c>
      <c r="D618">
        <v>100</v>
      </c>
      <c r="E618" t="s">
        <v>197</v>
      </c>
      <c r="F618">
        <v>1005</v>
      </c>
      <c r="G618" t="s">
        <v>638</v>
      </c>
      <c r="H618">
        <v>2020</v>
      </c>
      <c r="I618" t="s">
        <v>36</v>
      </c>
      <c r="J618">
        <v>3157</v>
      </c>
      <c r="K618" t="s">
        <v>708</v>
      </c>
      <c r="L618">
        <v>4674</v>
      </c>
      <c r="M618" t="s">
        <v>709</v>
      </c>
      <c r="N618" t="s">
        <v>360</v>
      </c>
      <c r="O618">
        <v>1</v>
      </c>
      <c r="P618">
        <v>7102</v>
      </c>
      <c r="Q618" t="s">
        <v>719</v>
      </c>
      <c r="R618" t="s">
        <v>201</v>
      </c>
      <c r="S618">
        <v>1</v>
      </c>
      <c r="T618">
        <v>1</v>
      </c>
      <c r="U618">
        <v>78432</v>
      </c>
      <c r="V618">
        <v>78432</v>
      </c>
    </row>
    <row r="619" spans="1:22">
      <c r="A619" t="s">
        <v>196</v>
      </c>
      <c r="B619">
        <v>27</v>
      </c>
      <c r="C619" t="s">
        <v>637</v>
      </c>
      <c r="D619">
        <v>100</v>
      </c>
      <c r="E619" t="s">
        <v>197</v>
      </c>
      <c r="F619">
        <v>1005</v>
      </c>
      <c r="G619" t="s">
        <v>638</v>
      </c>
      <c r="H619">
        <v>2020</v>
      </c>
      <c r="I619" t="s">
        <v>36</v>
      </c>
      <c r="J619">
        <v>3157</v>
      </c>
      <c r="K619" t="s">
        <v>708</v>
      </c>
      <c r="L619">
        <v>4674</v>
      </c>
      <c r="M619" t="s">
        <v>709</v>
      </c>
      <c r="N619" t="s">
        <v>360</v>
      </c>
      <c r="O619">
        <v>1</v>
      </c>
      <c r="P619">
        <v>7102</v>
      </c>
      <c r="Q619" t="s">
        <v>719</v>
      </c>
      <c r="R619" t="s">
        <v>201</v>
      </c>
      <c r="S619">
        <v>1</v>
      </c>
      <c r="T619">
        <v>1</v>
      </c>
      <c r="U619">
        <v>74916</v>
      </c>
      <c r="V619">
        <v>74916</v>
      </c>
    </row>
    <row r="620" spans="1:22">
      <c r="A620" t="s">
        <v>196</v>
      </c>
      <c r="B620">
        <v>27</v>
      </c>
      <c r="C620" t="s">
        <v>637</v>
      </c>
      <c r="D620">
        <v>100</v>
      </c>
      <c r="E620" t="s">
        <v>197</v>
      </c>
      <c r="F620">
        <v>1005</v>
      </c>
      <c r="G620" t="s">
        <v>638</v>
      </c>
      <c r="H620">
        <v>2020</v>
      </c>
      <c r="I620" t="s">
        <v>36</v>
      </c>
      <c r="J620">
        <v>3157</v>
      </c>
      <c r="K620" t="s">
        <v>708</v>
      </c>
      <c r="L620">
        <v>4674</v>
      </c>
      <c r="M620" t="s">
        <v>709</v>
      </c>
      <c r="N620" t="s">
        <v>360</v>
      </c>
      <c r="O620">
        <v>1</v>
      </c>
      <c r="P620">
        <v>7102</v>
      </c>
      <c r="Q620" t="s">
        <v>719</v>
      </c>
      <c r="R620" t="s">
        <v>201</v>
      </c>
      <c r="S620">
        <v>1</v>
      </c>
      <c r="T620">
        <v>1</v>
      </c>
      <c r="U620">
        <v>70752</v>
      </c>
      <c r="V620">
        <v>70752</v>
      </c>
    </row>
    <row r="621" spans="1:22">
      <c r="A621" t="s">
        <v>196</v>
      </c>
      <c r="B621">
        <v>27</v>
      </c>
      <c r="C621" t="s">
        <v>637</v>
      </c>
      <c r="D621">
        <v>100</v>
      </c>
      <c r="E621" t="s">
        <v>197</v>
      </c>
      <c r="F621">
        <v>1005</v>
      </c>
      <c r="G621" t="s">
        <v>638</v>
      </c>
      <c r="H621">
        <v>2020</v>
      </c>
      <c r="I621" t="s">
        <v>36</v>
      </c>
      <c r="J621">
        <v>3157</v>
      </c>
      <c r="K621" t="s">
        <v>708</v>
      </c>
      <c r="L621">
        <v>4674</v>
      </c>
      <c r="M621" t="s">
        <v>709</v>
      </c>
      <c r="N621" t="s">
        <v>360</v>
      </c>
      <c r="O621">
        <v>1</v>
      </c>
      <c r="P621">
        <v>7102</v>
      </c>
      <c r="Q621" t="s">
        <v>719</v>
      </c>
      <c r="R621" t="s">
        <v>201</v>
      </c>
      <c r="S621">
        <v>2</v>
      </c>
      <c r="T621">
        <v>1</v>
      </c>
      <c r="U621">
        <v>61548</v>
      </c>
      <c r="V621">
        <v>123096</v>
      </c>
    </row>
    <row r="622" spans="1:22">
      <c r="A622" t="s">
        <v>196</v>
      </c>
      <c r="B622">
        <v>27</v>
      </c>
      <c r="C622" t="s">
        <v>637</v>
      </c>
      <c r="D622">
        <v>100</v>
      </c>
      <c r="E622" t="s">
        <v>197</v>
      </c>
      <c r="F622">
        <v>1005</v>
      </c>
      <c r="G622" t="s">
        <v>638</v>
      </c>
      <c r="H622">
        <v>2020</v>
      </c>
      <c r="I622" t="s">
        <v>36</v>
      </c>
      <c r="J622">
        <v>3157</v>
      </c>
      <c r="K622" t="s">
        <v>708</v>
      </c>
      <c r="L622">
        <v>4674</v>
      </c>
      <c r="M622" t="s">
        <v>709</v>
      </c>
      <c r="N622" t="s">
        <v>199</v>
      </c>
      <c r="O622">
        <v>0</v>
      </c>
      <c r="P622">
        <v>15</v>
      </c>
      <c r="Q622" t="s">
        <v>264</v>
      </c>
      <c r="R622" t="s">
        <v>201</v>
      </c>
      <c r="S622">
        <v>0</v>
      </c>
      <c r="T622">
        <v>0</v>
      </c>
      <c r="U622">
        <v>96365</v>
      </c>
      <c r="V622">
        <v>96365</v>
      </c>
    </row>
    <row r="623" spans="1:22">
      <c r="A623" t="s">
        <v>196</v>
      </c>
      <c r="B623">
        <v>27</v>
      </c>
      <c r="C623" t="s">
        <v>637</v>
      </c>
      <c r="D623">
        <v>100</v>
      </c>
      <c r="E623" t="s">
        <v>197</v>
      </c>
      <c r="F623">
        <v>1005</v>
      </c>
      <c r="G623" t="s">
        <v>638</v>
      </c>
      <c r="H623">
        <v>2020</v>
      </c>
      <c r="I623" t="s">
        <v>36</v>
      </c>
      <c r="J623">
        <v>3157</v>
      </c>
      <c r="K623" t="s">
        <v>708</v>
      </c>
      <c r="L623">
        <v>4675</v>
      </c>
      <c r="M623" t="s">
        <v>720</v>
      </c>
      <c r="N623" t="s">
        <v>721</v>
      </c>
      <c r="O623">
        <v>8</v>
      </c>
      <c r="P623">
        <v>7112</v>
      </c>
      <c r="Q623" t="s">
        <v>722</v>
      </c>
      <c r="R623" t="s">
        <v>713</v>
      </c>
      <c r="S623">
        <v>12571</v>
      </c>
      <c r="T623">
        <v>0</v>
      </c>
      <c r="U623">
        <v>45.32</v>
      </c>
      <c r="V623">
        <v>569718</v>
      </c>
    </row>
    <row r="624" spans="1:22">
      <c r="A624" t="s">
        <v>196</v>
      </c>
      <c r="B624">
        <v>27</v>
      </c>
      <c r="C624" t="s">
        <v>637</v>
      </c>
      <c r="D624">
        <v>100</v>
      </c>
      <c r="E624" t="s">
        <v>197</v>
      </c>
      <c r="F624">
        <v>1005</v>
      </c>
      <c r="G624" t="s">
        <v>638</v>
      </c>
      <c r="H624">
        <v>2020</v>
      </c>
      <c r="I624" t="s">
        <v>36</v>
      </c>
      <c r="J624">
        <v>3157</v>
      </c>
      <c r="K624" t="s">
        <v>708</v>
      </c>
      <c r="L624">
        <v>4675</v>
      </c>
      <c r="M624" t="s">
        <v>720</v>
      </c>
      <c r="N624" t="s">
        <v>721</v>
      </c>
      <c r="O624">
        <v>8</v>
      </c>
      <c r="P624">
        <v>7113</v>
      </c>
      <c r="Q624" t="s">
        <v>723</v>
      </c>
      <c r="R624" t="s">
        <v>713</v>
      </c>
      <c r="S624">
        <v>7</v>
      </c>
      <c r="T624">
        <v>1</v>
      </c>
      <c r="U624">
        <v>46.78</v>
      </c>
      <c r="V624">
        <v>681117</v>
      </c>
    </row>
    <row r="625" spans="1:22">
      <c r="A625" t="s">
        <v>196</v>
      </c>
      <c r="B625">
        <v>27</v>
      </c>
      <c r="C625" t="s">
        <v>637</v>
      </c>
      <c r="D625">
        <v>100</v>
      </c>
      <c r="E625" t="s">
        <v>197</v>
      </c>
      <c r="F625">
        <v>1005</v>
      </c>
      <c r="G625" t="s">
        <v>638</v>
      </c>
      <c r="H625">
        <v>2020</v>
      </c>
      <c r="I625" t="s">
        <v>36</v>
      </c>
      <c r="J625">
        <v>3157</v>
      </c>
      <c r="K625" t="s">
        <v>708</v>
      </c>
      <c r="L625">
        <v>4675</v>
      </c>
      <c r="M625" t="s">
        <v>720</v>
      </c>
      <c r="N625" t="s">
        <v>721</v>
      </c>
      <c r="O625">
        <v>8</v>
      </c>
      <c r="P625">
        <v>7112</v>
      </c>
      <c r="Q625" t="s">
        <v>722</v>
      </c>
      <c r="R625" t="s">
        <v>713</v>
      </c>
      <c r="S625">
        <v>28</v>
      </c>
      <c r="T625">
        <v>1</v>
      </c>
      <c r="U625">
        <v>45.32</v>
      </c>
      <c r="V625">
        <v>2639437</v>
      </c>
    </row>
    <row r="626" spans="1:22">
      <c r="A626" t="s">
        <v>196</v>
      </c>
      <c r="B626">
        <v>27</v>
      </c>
      <c r="C626" t="s">
        <v>637</v>
      </c>
      <c r="D626">
        <v>100</v>
      </c>
      <c r="E626" t="s">
        <v>197</v>
      </c>
      <c r="F626">
        <v>1005</v>
      </c>
      <c r="G626" t="s">
        <v>638</v>
      </c>
      <c r="H626">
        <v>2020</v>
      </c>
      <c r="I626" t="s">
        <v>36</v>
      </c>
      <c r="J626">
        <v>3157</v>
      </c>
      <c r="K626" t="s">
        <v>708</v>
      </c>
      <c r="L626">
        <v>4675</v>
      </c>
      <c r="M626" t="s">
        <v>720</v>
      </c>
      <c r="N626" t="s">
        <v>199</v>
      </c>
      <c r="O626">
        <v>0</v>
      </c>
      <c r="P626">
        <v>12</v>
      </c>
      <c r="Q626" t="s">
        <v>724</v>
      </c>
      <c r="R626" t="s">
        <v>201</v>
      </c>
      <c r="S626">
        <v>0</v>
      </c>
      <c r="T626">
        <v>0</v>
      </c>
      <c r="U626">
        <v>58355</v>
      </c>
      <c r="V626">
        <v>58355</v>
      </c>
    </row>
    <row r="627" spans="1:22">
      <c r="A627" t="s">
        <v>196</v>
      </c>
      <c r="B627">
        <v>27</v>
      </c>
      <c r="C627" t="s">
        <v>637</v>
      </c>
      <c r="D627">
        <v>100</v>
      </c>
      <c r="E627" t="s">
        <v>197</v>
      </c>
      <c r="F627">
        <v>1005</v>
      </c>
      <c r="G627" t="s">
        <v>638</v>
      </c>
      <c r="H627">
        <v>2020</v>
      </c>
      <c r="I627" t="s">
        <v>36</v>
      </c>
      <c r="J627">
        <v>3157</v>
      </c>
      <c r="K627" t="s">
        <v>708</v>
      </c>
      <c r="L627">
        <v>4676</v>
      </c>
      <c r="M627" t="s">
        <v>725</v>
      </c>
      <c r="N627" t="s">
        <v>266</v>
      </c>
      <c r="O627">
        <v>9</v>
      </c>
      <c r="P627">
        <v>9684</v>
      </c>
      <c r="Q627" t="s">
        <v>327</v>
      </c>
      <c r="R627" t="s">
        <v>201</v>
      </c>
      <c r="S627">
        <v>1</v>
      </c>
      <c r="T627">
        <v>1</v>
      </c>
      <c r="U627">
        <v>175512</v>
      </c>
      <c r="V627">
        <v>175512</v>
      </c>
    </row>
    <row r="628" spans="1:22">
      <c r="A628" t="s">
        <v>196</v>
      </c>
      <c r="B628">
        <v>27</v>
      </c>
      <c r="C628" t="s">
        <v>637</v>
      </c>
      <c r="D628">
        <v>100</v>
      </c>
      <c r="E628" t="s">
        <v>197</v>
      </c>
      <c r="F628">
        <v>1005</v>
      </c>
      <c r="G628" t="s">
        <v>638</v>
      </c>
      <c r="H628">
        <v>2020</v>
      </c>
      <c r="I628" t="s">
        <v>36</v>
      </c>
      <c r="J628">
        <v>3157</v>
      </c>
      <c r="K628" t="s">
        <v>708</v>
      </c>
      <c r="L628">
        <v>4676</v>
      </c>
      <c r="M628" t="s">
        <v>725</v>
      </c>
      <c r="N628" t="s">
        <v>251</v>
      </c>
      <c r="O628">
        <v>10</v>
      </c>
      <c r="P628">
        <v>7119</v>
      </c>
      <c r="Q628" t="s">
        <v>726</v>
      </c>
      <c r="R628" t="s">
        <v>201</v>
      </c>
      <c r="S628">
        <v>1</v>
      </c>
      <c r="T628">
        <v>1</v>
      </c>
      <c r="U628">
        <v>85128</v>
      </c>
      <c r="V628">
        <v>85128</v>
      </c>
    </row>
    <row r="629" spans="1:22">
      <c r="A629" t="s">
        <v>196</v>
      </c>
      <c r="B629">
        <v>27</v>
      </c>
      <c r="C629" t="s">
        <v>637</v>
      </c>
      <c r="D629">
        <v>100</v>
      </c>
      <c r="E629" t="s">
        <v>197</v>
      </c>
      <c r="F629">
        <v>1005</v>
      </c>
      <c r="G629" t="s">
        <v>638</v>
      </c>
      <c r="H629">
        <v>2020</v>
      </c>
      <c r="I629" t="s">
        <v>36</v>
      </c>
      <c r="J629">
        <v>3157</v>
      </c>
      <c r="K629" t="s">
        <v>708</v>
      </c>
      <c r="L629">
        <v>4676</v>
      </c>
      <c r="M629" t="s">
        <v>725</v>
      </c>
      <c r="N629" t="s">
        <v>253</v>
      </c>
      <c r="O629">
        <v>10</v>
      </c>
      <c r="P629">
        <v>1256</v>
      </c>
      <c r="Q629" t="s">
        <v>727</v>
      </c>
      <c r="R629" t="s">
        <v>201</v>
      </c>
      <c r="S629">
        <v>1</v>
      </c>
      <c r="T629">
        <v>1</v>
      </c>
      <c r="U629">
        <v>130524</v>
      </c>
      <c r="V629">
        <v>130524</v>
      </c>
    </row>
    <row r="630" spans="1:22">
      <c r="A630" t="s">
        <v>196</v>
      </c>
      <c r="B630">
        <v>27</v>
      </c>
      <c r="C630" t="s">
        <v>637</v>
      </c>
      <c r="D630">
        <v>100</v>
      </c>
      <c r="E630" t="s">
        <v>197</v>
      </c>
      <c r="F630">
        <v>1005</v>
      </c>
      <c r="G630" t="s">
        <v>638</v>
      </c>
      <c r="H630">
        <v>2020</v>
      </c>
      <c r="I630" t="s">
        <v>36</v>
      </c>
      <c r="J630">
        <v>3157</v>
      </c>
      <c r="K630" t="s">
        <v>708</v>
      </c>
      <c r="L630">
        <v>4676</v>
      </c>
      <c r="M630" t="s">
        <v>725</v>
      </c>
      <c r="N630" t="s">
        <v>247</v>
      </c>
      <c r="O630">
        <v>10</v>
      </c>
      <c r="P630">
        <v>1217</v>
      </c>
      <c r="Q630" t="s">
        <v>728</v>
      </c>
      <c r="R630" t="s">
        <v>201</v>
      </c>
      <c r="S630">
        <v>3</v>
      </c>
      <c r="T630">
        <v>1</v>
      </c>
      <c r="U630">
        <v>94332</v>
      </c>
      <c r="V630">
        <v>282996</v>
      </c>
    </row>
    <row r="631" spans="1:22">
      <c r="A631" t="s">
        <v>196</v>
      </c>
      <c r="B631">
        <v>27</v>
      </c>
      <c r="C631" t="s">
        <v>637</v>
      </c>
      <c r="D631">
        <v>100</v>
      </c>
      <c r="E631" t="s">
        <v>197</v>
      </c>
      <c r="F631">
        <v>1005</v>
      </c>
      <c r="G631" t="s">
        <v>638</v>
      </c>
      <c r="H631">
        <v>2020</v>
      </c>
      <c r="I631" t="s">
        <v>36</v>
      </c>
      <c r="J631">
        <v>3157</v>
      </c>
      <c r="K631" t="s">
        <v>708</v>
      </c>
      <c r="L631">
        <v>4676</v>
      </c>
      <c r="M631" t="s">
        <v>725</v>
      </c>
      <c r="N631" t="s">
        <v>247</v>
      </c>
      <c r="O631">
        <v>10</v>
      </c>
      <c r="P631">
        <v>1217</v>
      </c>
      <c r="Q631" t="s">
        <v>728</v>
      </c>
      <c r="R631" t="s">
        <v>201</v>
      </c>
      <c r="S631">
        <v>1</v>
      </c>
      <c r="T631">
        <v>1</v>
      </c>
      <c r="U631">
        <v>90000</v>
      </c>
      <c r="V631">
        <v>90000</v>
      </c>
    </row>
    <row r="632" spans="1:22">
      <c r="A632" t="s">
        <v>196</v>
      </c>
      <c r="B632">
        <v>27</v>
      </c>
      <c r="C632" t="s">
        <v>637</v>
      </c>
      <c r="D632">
        <v>100</v>
      </c>
      <c r="E632" t="s">
        <v>197</v>
      </c>
      <c r="F632">
        <v>1005</v>
      </c>
      <c r="G632" t="s">
        <v>638</v>
      </c>
      <c r="H632">
        <v>2020</v>
      </c>
      <c r="I632" t="s">
        <v>36</v>
      </c>
      <c r="J632">
        <v>3157</v>
      </c>
      <c r="K632" t="s">
        <v>708</v>
      </c>
      <c r="L632">
        <v>4676</v>
      </c>
      <c r="M632" t="s">
        <v>725</v>
      </c>
      <c r="N632" t="s">
        <v>247</v>
      </c>
      <c r="O632">
        <v>10</v>
      </c>
      <c r="P632">
        <v>1217</v>
      </c>
      <c r="Q632" t="s">
        <v>728</v>
      </c>
      <c r="R632" t="s">
        <v>201</v>
      </c>
      <c r="S632">
        <v>1</v>
      </c>
      <c r="T632">
        <v>1</v>
      </c>
      <c r="U632">
        <v>83448</v>
      </c>
      <c r="V632">
        <v>83448</v>
      </c>
    </row>
    <row r="633" spans="1:22">
      <c r="A633" t="s">
        <v>196</v>
      </c>
      <c r="B633">
        <v>27</v>
      </c>
      <c r="C633" t="s">
        <v>637</v>
      </c>
      <c r="D633">
        <v>100</v>
      </c>
      <c r="E633" t="s">
        <v>197</v>
      </c>
      <c r="F633">
        <v>1005</v>
      </c>
      <c r="G633" t="s">
        <v>638</v>
      </c>
      <c r="H633">
        <v>2020</v>
      </c>
      <c r="I633" t="s">
        <v>36</v>
      </c>
      <c r="J633">
        <v>3157</v>
      </c>
      <c r="K633" t="s">
        <v>708</v>
      </c>
      <c r="L633">
        <v>4676</v>
      </c>
      <c r="M633" t="s">
        <v>725</v>
      </c>
      <c r="N633" t="s">
        <v>247</v>
      </c>
      <c r="O633">
        <v>10</v>
      </c>
      <c r="P633">
        <v>1217</v>
      </c>
      <c r="Q633" t="s">
        <v>728</v>
      </c>
      <c r="R633" t="s">
        <v>201</v>
      </c>
      <c r="S633">
        <v>1</v>
      </c>
      <c r="T633">
        <v>1</v>
      </c>
      <c r="U633">
        <v>73728</v>
      </c>
      <c r="V633">
        <v>73728</v>
      </c>
    </row>
    <row r="634" spans="1:22">
      <c r="A634" t="s">
        <v>196</v>
      </c>
      <c r="B634">
        <v>27</v>
      </c>
      <c r="C634" t="s">
        <v>637</v>
      </c>
      <c r="D634">
        <v>100</v>
      </c>
      <c r="E634" t="s">
        <v>197</v>
      </c>
      <c r="F634">
        <v>1005</v>
      </c>
      <c r="G634" t="s">
        <v>638</v>
      </c>
      <c r="H634">
        <v>2020</v>
      </c>
      <c r="I634" t="s">
        <v>36</v>
      </c>
      <c r="J634">
        <v>3157</v>
      </c>
      <c r="K634" t="s">
        <v>708</v>
      </c>
      <c r="L634">
        <v>4676</v>
      </c>
      <c r="M634" t="s">
        <v>725</v>
      </c>
      <c r="N634" t="s">
        <v>392</v>
      </c>
      <c r="O634">
        <v>1</v>
      </c>
      <c r="P634">
        <v>634</v>
      </c>
      <c r="Q634" t="s">
        <v>729</v>
      </c>
      <c r="R634" t="s">
        <v>201</v>
      </c>
      <c r="S634">
        <v>1</v>
      </c>
      <c r="T634">
        <v>1</v>
      </c>
      <c r="U634">
        <v>136908</v>
      </c>
      <c r="V634">
        <v>136908</v>
      </c>
    </row>
    <row r="635" spans="1:22">
      <c r="A635" t="s">
        <v>196</v>
      </c>
      <c r="B635">
        <v>27</v>
      </c>
      <c r="C635" t="s">
        <v>637</v>
      </c>
      <c r="D635">
        <v>100</v>
      </c>
      <c r="E635" t="s">
        <v>197</v>
      </c>
      <c r="F635">
        <v>1005</v>
      </c>
      <c r="G635" t="s">
        <v>638</v>
      </c>
      <c r="H635">
        <v>2020</v>
      </c>
      <c r="I635" t="s">
        <v>36</v>
      </c>
      <c r="J635">
        <v>3157</v>
      </c>
      <c r="K635" t="s">
        <v>708</v>
      </c>
      <c r="L635">
        <v>4676</v>
      </c>
      <c r="M635" t="s">
        <v>725</v>
      </c>
      <c r="N635" t="s">
        <v>253</v>
      </c>
      <c r="O635">
        <v>20</v>
      </c>
      <c r="P635">
        <v>381</v>
      </c>
      <c r="Q635" t="s">
        <v>730</v>
      </c>
      <c r="R635" t="s">
        <v>201</v>
      </c>
      <c r="S635">
        <v>1</v>
      </c>
      <c r="T635">
        <v>1</v>
      </c>
      <c r="U635">
        <v>136692</v>
      </c>
      <c r="V635">
        <v>136692</v>
      </c>
    </row>
    <row r="636" spans="1:22">
      <c r="A636" t="s">
        <v>196</v>
      </c>
      <c r="B636">
        <v>27</v>
      </c>
      <c r="C636" t="s">
        <v>637</v>
      </c>
      <c r="D636">
        <v>100</v>
      </c>
      <c r="E636" t="s">
        <v>197</v>
      </c>
      <c r="F636">
        <v>1005</v>
      </c>
      <c r="G636" t="s">
        <v>638</v>
      </c>
      <c r="H636">
        <v>2020</v>
      </c>
      <c r="I636" t="s">
        <v>36</v>
      </c>
      <c r="J636">
        <v>3157</v>
      </c>
      <c r="K636" t="s">
        <v>708</v>
      </c>
      <c r="L636">
        <v>4676</v>
      </c>
      <c r="M636" t="s">
        <v>725</v>
      </c>
      <c r="N636" t="s">
        <v>731</v>
      </c>
      <c r="O636">
        <v>10</v>
      </c>
      <c r="P636">
        <v>334</v>
      </c>
      <c r="Q636" t="s">
        <v>732</v>
      </c>
      <c r="R636" t="s">
        <v>201</v>
      </c>
      <c r="S636">
        <v>1</v>
      </c>
      <c r="T636">
        <v>1</v>
      </c>
      <c r="U636">
        <v>112440</v>
      </c>
      <c r="V636">
        <v>112440</v>
      </c>
    </row>
    <row r="637" spans="1:22">
      <c r="A637" t="s">
        <v>196</v>
      </c>
      <c r="B637">
        <v>27</v>
      </c>
      <c r="C637" t="s">
        <v>637</v>
      </c>
      <c r="D637">
        <v>100</v>
      </c>
      <c r="E637" t="s">
        <v>197</v>
      </c>
      <c r="F637">
        <v>1005</v>
      </c>
      <c r="G637" t="s">
        <v>638</v>
      </c>
      <c r="H637">
        <v>2020</v>
      </c>
      <c r="I637" t="s">
        <v>36</v>
      </c>
      <c r="J637">
        <v>3157</v>
      </c>
      <c r="K637" t="s">
        <v>708</v>
      </c>
      <c r="L637">
        <v>4676</v>
      </c>
      <c r="M637" t="s">
        <v>725</v>
      </c>
      <c r="N637" t="s">
        <v>249</v>
      </c>
      <c r="O637">
        <v>10</v>
      </c>
      <c r="P637">
        <v>310</v>
      </c>
      <c r="Q637" t="s">
        <v>447</v>
      </c>
      <c r="R637" t="s">
        <v>201</v>
      </c>
      <c r="S637">
        <v>1</v>
      </c>
      <c r="T637">
        <v>1</v>
      </c>
      <c r="U637">
        <v>93384</v>
      </c>
      <c r="V637">
        <v>93384</v>
      </c>
    </row>
    <row r="638" spans="1:22">
      <c r="A638" t="s">
        <v>196</v>
      </c>
      <c r="B638">
        <v>27</v>
      </c>
      <c r="C638" t="s">
        <v>637</v>
      </c>
      <c r="D638">
        <v>100</v>
      </c>
      <c r="E638" t="s">
        <v>197</v>
      </c>
      <c r="F638">
        <v>1005</v>
      </c>
      <c r="G638" t="s">
        <v>638</v>
      </c>
      <c r="H638">
        <v>2020</v>
      </c>
      <c r="I638" t="s">
        <v>36</v>
      </c>
      <c r="J638">
        <v>3157</v>
      </c>
      <c r="K638" t="s">
        <v>708</v>
      </c>
      <c r="L638">
        <v>4676</v>
      </c>
      <c r="M638" t="s">
        <v>725</v>
      </c>
      <c r="N638" t="s">
        <v>341</v>
      </c>
      <c r="O638">
        <v>1</v>
      </c>
      <c r="P638">
        <v>308</v>
      </c>
      <c r="Q638" t="s">
        <v>355</v>
      </c>
      <c r="R638" t="s">
        <v>201</v>
      </c>
      <c r="S638">
        <v>1</v>
      </c>
      <c r="T638">
        <v>1</v>
      </c>
      <c r="U638">
        <v>74172</v>
      </c>
      <c r="V638">
        <v>74172</v>
      </c>
    </row>
    <row r="639" spans="1:22">
      <c r="A639" t="s">
        <v>196</v>
      </c>
      <c r="B639">
        <v>27</v>
      </c>
      <c r="C639" t="s">
        <v>637</v>
      </c>
      <c r="D639">
        <v>100</v>
      </c>
      <c r="E639" t="s">
        <v>197</v>
      </c>
      <c r="F639">
        <v>1005</v>
      </c>
      <c r="G639" t="s">
        <v>638</v>
      </c>
      <c r="H639">
        <v>2020</v>
      </c>
      <c r="I639" t="s">
        <v>36</v>
      </c>
      <c r="J639">
        <v>3157</v>
      </c>
      <c r="K639" t="s">
        <v>708</v>
      </c>
      <c r="L639">
        <v>4676</v>
      </c>
      <c r="M639" t="s">
        <v>725</v>
      </c>
      <c r="N639" t="s">
        <v>274</v>
      </c>
      <c r="O639">
        <v>0</v>
      </c>
      <c r="P639">
        <v>306</v>
      </c>
      <c r="Q639" t="s">
        <v>636</v>
      </c>
      <c r="R639" t="s">
        <v>201</v>
      </c>
      <c r="S639">
        <v>1</v>
      </c>
      <c r="T639">
        <v>1</v>
      </c>
      <c r="U639">
        <v>146808</v>
      </c>
      <c r="V639">
        <v>146808</v>
      </c>
    </row>
    <row r="640" spans="1:22">
      <c r="A640" t="s">
        <v>196</v>
      </c>
      <c r="B640">
        <v>27</v>
      </c>
      <c r="C640" t="s">
        <v>637</v>
      </c>
      <c r="D640">
        <v>100</v>
      </c>
      <c r="E640" t="s">
        <v>197</v>
      </c>
      <c r="F640">
        <v>1005</v>
      </c>
      <c r="G640" t="s">
        <v>638</v>
      </c>
      <c r="H640">
        <v>2020</v>
      </c>
      <c r="I640" t="s">
        <v>36</v>
      </c>
      <c r="J640">
        <v>3157</v>
      </c>
      <c r="K640" t="s">
        <v>708</v>
      </c>
      <c r="L640">
        <v>4676</v>
      </c>
      <c r="M640" t="s">
        <v>725</v>
      </c>
      <c r="N640" t="s">
        <v>274</v>
      </c>
      <c r="O640">
        <v>0</v>
      </c>
      <c r="P640">
        <v>306</v>
      </c>
      <c r="Q640" t="s">
        <v>636</v>
      </c>
      <c r="R640" t="s">
        <v>201</v>
      </c>
      <c r="S640">
        <v>1</v>
      </c>
      <c r="T640">
        <v>1</v>
      </c>
      <c r="U640">
        <v>121668</v>
      </c>
      <c r="V640">
        <v>121668</v>
      </c>
    </row>
    <row r="641" spans="1:22">
      <c r="A641" t="s">
        <v>196</v>
      </c>
      <c r="B641">
        <v>27</v>
      </c>
      <c r="C641" t="s">
        <v>637</v>
      </c>
      <c r="D641">
        <v>100</v>
      </c>
      <c r="E641" t="s">
        <v>197</v>
      </c>
      <c r="F641">
        <v>1005</v>
      </c>
      <c r="G641" t="s">
        <v>638</v>
      </c>
      <c r="H641">
        <v>2020</v>
      </c>
      <c r="I641" t="s">
        <v>36</v>
      </c>
      <c r="J641">
        <v>3157</v>
      </c>
      <c r="K641" t="s">
        <v>708</v>
      </c>
      <c r="L641">
        <v>4676</v>
      </c>
      <c r="M641" t="s">
        <v>725</v>
      </c>
      <c r="N641" t="s">
        <v>199</v>
      </c>
      <c r="O641">
        <v>0</v>
      </c>
      <c r="P641">
        <v>15</v>
      </c>
      <c r="Q641" t="s">
        <v>264</v>
      </c>
      <c r="R641" t="s">
        <v>201</v>
      </c>
      <c r="S641">
        <v>0</v>
      </c>
      <c r="T641">
        <v>0</v>
      </c>
      <c r="U641">
        <v>26431</v>
      </c>
      <c r="V641">
        <v>26431</v>
      </c>
    </row>
    <row r="642" spans="1:22">
      <c r="A642" t="s">
        <v>196</v>
      </c>
      <c r="B642">
        <v>27</v>
      </c>
      <c r="C642" t="s">
        <v>637</v>
      </c>
      <c r="D642">
        <v>100</v>
      </c>
      <c r="E642" t="s">
        <v>197</v>
      </c>
      <c r="F642">
        <v>1005</v>
      </c>
      <c r="G642" t="s">
        <v>638</v>
      </c>
      <c r="H642">
        <v>2020</v>
      </c>
      <c r="I642" t="s">
        <v>36</v>
      </c>
      <c r="J642">
        <v>3157</v>
      </c>
      <c r="K642" t="s">
        <v>708</v>
      </c>
      <c r="L642">
        <v>4677</v>
      </c>
      <c r="M642" t="s">
        <v>733</v>
      </c>
      <c r="N642" t="s">
        <v>721</v>
      </c>
      <c r="O642">
        <v>54</v>
      </c>
      <c r="P642">
        <v>9536</v>
      </c>
      <c r="Q642" t="s">
        <v>734</v>
      </c>
      <c r="R642" t="s">
        <v>713</v>
      </c>
      <c r="S642">
        <v>3</v>
      </c>
      <c r="T642">
        <v>1</v>
      </c>
      <c r="U642">
        <v>51.4</v>
      </c>
      <c r="V642">
        <v>320736</v>
      </c>
    </row>
    <row r="643" spans="1:22">
      <c r="A643" t="s">
        <v>196</v>
      </c>
      <c r="B643">
        <v>27</v>
      </c>
      <c r="C643" t="s">
        <v>637</v>
      </c>
      <c r="D643">
        <v>100</v>
      </c>
      <c r="E643" t="s">
        <v>197</v>
      </c>
      <c r="F643">
        <v>1005</v>
      </c>
      <c r="G643" t="s">
        <v>638</v>
      </c>
      <c r="H643">
        <v>2020</v>
      </c>
      <c r="I643" t="s">
        <v>36</v>
      </c>
      <c r="J643">
        <v>3157</v>
      </c>
      <c r="K643" t="s">
        <v>708</v>
      </c>
      <c r="L643">
        <v>4677</v>
      </c>
      <c r="M643" t="s">
        <v>733</v>
      </c>
      <c r="N643" t="s">
        <v>199</v>
      </c>
      <c r="O643">
        <v>0</v>
      </c>
      <c r="P643">
        <v>12</v>
      </c>
      <c r="Q643" t="s">
        <v>724</v>
      </c>
      <c r="R643" t="s">
        <v>201</v>
      </c>
      <c r="S643">
        <v>0</v>
      </c>
      <c r="T643">
        <v>0</v>
      </c>
      <c r="U643">
        <v>4811</v>
      </c>
      <c r="V643">
        <v>4811</v>
      </c>
    </row>
    <row r="644" spans="1:22">
      <c r="A644" t="s">
        <v>196</v>
      </c>
      <c r="B644">
        <v>27</v>
      </c>
      <c r="C644" t="s">
        <v>637</v>
      </c>
      <c r="D644">
        <v>100</v>
      </c>
      <c r="E644" t="s">
        <v>197</v>
      </c>
      <c r="F644">
        <v>1005</v>
      </c>
      <c r="G644" t="s">
        <v>638</v>
      </c>
      <c r="H644">
        <v>2020</v>
      </c>
      <c r="I644" t="s">
        <v>36</v>
      </c>
      <c r="J644">
        <v>3220</v>
      </c>
      <c r="K644" t="s">
        <v>735</v>
      </c>
      <c r="L644">
        <v>4202</v>
      </c>
      <c r="M644" t="s">
        <v>736</v>
      </c>
      <c r="N644" t="s">
        <v>266</v>
      </c>
      <c r="O644">
        <v>9</v>
      </c>
      <c r="P644">
        <v>9684</v>
      </c>
      <c r="Q644" t="s">
        <v>327</v>
      </c>
      <c r="R644" t="s">
        <v>201</v>
      </c>
      <c r="S644">
        <v>1</v>
      </c>
      <c r="T644">
        <v>1</v>
      </c>
      <c r="U644">
        <v>175512</v>
      </c>
      <c r="V644">
        <v>175512</v>
      </c>
    </row>
    <row r="645" spans="1:22">
      <c r="A645" t="s">
        <v>196</v>
      </c>
      <c r="B645">
        <v>27</v>
      </c>
      <c r="C645" t="s">
        <v>637</v>
      </c>
      <c r="D645">
        <v>100</v>
      </c>
      <c r="E645" t="s">
        <v>197</v>
      </c>
      <c r="F645">
        <v>1005</v>
      </c>
      <c r="G645" t="s">
        <v>638</v>
      </c>
      <c r="H645">
        <v>2020</v>
      </c>
      <c r="I645" t="s">
        <v>36</v>
      </c>
      <c r="J645">
        <v>3220</v>
      </c>
      <c r="K645" t="s">
        <v>735</v>
      </c>
      <c r="L645">
        <v>4202</v>
      </c>
      <c r="M645" t="s">
        <v>736</v>
      </c>
      <c r="N645" t="s">
        <v>268</v>
      </c>
      <c r="O645">
        <v>10</v>
      </c>
      <c r="P645">
        <v>1911</v>
      </c>
      <c r="Q645" t="s">
        <v>617</v>
      </c>
      <c r="R645" t="s">
        <v>201</v>
      </c>
      <c r="S645">
        <v>1</v>
      </c>
      <c r="T645">
        <v>1</v>
      </c>
      <c r="U645">
        <v>80124</v>
      </c>
      <c r="V645">
        <v>80124</v>
      </c>
    </row>
    <row r="646" spans="1:22">
      <c r="A646" t="s">
        <v>196</v>
      </c>
      <c r="B646">
        <v>27</v>
      </c>
      <c r="C646" t="s">
        <v>637</v>
      </c>
      <c r="D646">
        <v>100</v>
      </c>
      <c r="E646" t="s">
        <v>197</v>
      </c>
      <c r="F646">
        <v>1005</v>
      </c>
      <c r="G646" t="s">
        <v>638</v>
      </c>
      <c r="H646">
        <v>2020</v>
      </c>
      <c r="I646" t="s">
        <v>36</v>
      </c>
      <c r="J646">
        <v>3220</v>
      </c>
      <c r="K646" t="s">
        <v>735</v>
      </c>
      <c r="L646">
        <v>4202</v>
      </c>
      <c r="M646" t="s">
        <v>736</v>
      </c>
      <c r="N646" t="s">
        <v>268</v>
      </c>
      <c r="O646">
        <v>10</v>
      </c>
      <c r="P646">
        <v>1911</v>
      </c>
      <c r="Q646" t="s">
        <v>617</v>
      </c>
      <c r="R646" t="s">
        <v>201</v>
      </c>
      <c r="S646">
        <v>2</v>
      </c>
      <c r="T646">
        <v>1</v>
      </c>
      <c r="U646">
        <v>76476</v>
      </c>
      <c r="V646">
        <v>152952</v>
      </c>
    </row>
    <row r="647" spans="1:22">
      <c r="A647" t="s">
        <v>196</v>
      </c>
      <c r="B647">
        <v>27</v>
      </c>
      <c r="C647" t="s">
        <v>637</v>
      </c>
      <c r="D647">
        <v>100</v>
      </c>
      <c r="E647" t="s">
        <v>197</v>
      </c>
      <c r="F647">
        <v>1005</v>
      </c>
      <c r="G647" t="s">
        <v>638</v>
      </c>
      <c r="H647">
        <v>2020</v>
      </c>
      <c r="I647" t="s">
        <v>36</v>
      </c>
      <c r="J647">
        <v>3220</v>
      </c>
      <c r="K647" t="s">
        <v>735</v>
      </c>
      <c r="L647">
        <v>4202</v>
      </c>
      <c r="M647" t="s">
        <v>736</v>
      </c>
      <c r="N647" t="s">
        <v>372</v>
      </c>
      <c r="O647">
        <v>1</v>
      </c>
      <c r="P647">
        <v>712</v>
      </c>
      <c r="Q647" t="s">
        <v>737</v>
      </c>
      <c r="R647" t="s">
        <v>201</v>
      </c>
      <c r="S647">
        <v>1</v>
      </c>
      <c r="T647">
        <v>1</v>
      </c>
      <c r="U647">
        <v>124848</v>
      </c>
      <c r="V647">
        <v>124848</v>
      </c>
    </row>
    <row r="648" spans="1:22">
      <c r="A648" t="s">
        <v>196</v>
      </c>
      <c r="B648">
        <v>27</v>
      </c>
      <c r="C648" t="s">
        <v>637</v>
      </c>
      <c r="D648">
        <v>100</v>
      </c>
      <c r="E648" t="s">
        <v>197</v>
      </c>
      <c r="F648">
        <v>1005</v>
      </c>
      <c r="G648" t="s">
        <v>638</v>
      </c>
      <c r="H648">
        <v>2020</v>
      </c>
      <c r="I648" t="s">
        <v>36</v>
      </c>
      <c r="J648">
        <v>3220</v>
      </c>
      <c r="K648" t="s">
        <v>735</v>
      </c>
      <c r="L648">
        <v>4202</v>
      </c>
      <c r="M648" t="s">
        <v>736</v>
      </c>
      <c r="N648" t="s">
        <v>622</v>
      </c>
      <c r="O648">
        <v>1</v>
      </c>
      <c r="P648">
        <v>420</v>
      </c>
      <c r="Q648" t="s">
        <v>738</v>
      </c>
      <c r="R648" t="s">
        <v>201</v>
      </c>
      <c r="S648">
        <v>2</v>
      </c>
      <c r="T648">
        <v>1</v>
      </c>
      <c r="U648">
        <v>64488</v>
      </c>
      <c r="V648">
        <v>128976</v>
      </c>
    </row>
    <row r="649" spans="1:22">
      <c r="A649" t="s">
        <v>196</v>
      </c>
      <c r="B649">
        <v>27</v>
      </c>
      <c r="C649" t="s">
        <v>637</v>
      </c>
      <c r="D649">
        <v>100</v>
      </c>
      <c r="E649" t="s">
        <v>197</v>
      </c>
      <c r="F649">
        <v>1005</v>
      </c>
      <c r="G649" t="s">
        <v>638</v>
      </c>
      <c r="H649">
        <v>2020</v>
      </c>
      <c r="I649" t="s">
        <v>36</v>
      </c>
      <c r="J649">
        <v>3220</v>
      </c>
      <c r="K649" t="s">
        <v>735</v>
      </c>
      <c r="L649">
        <v>4202</v>
      </c>
      <c r="M649" t="s">
        <v>736</v>
      </c>
      <c r="N649" t="s">
        <v>622</v>
      </c>
      <c r="O649">
        <v>1</v>
      </c>
      <c r="P649">
        <v>420</v>
      </c>
      <c r="Q649" t="s">
        <v>738</v>
      </c>
      <c r="R649" t="s">
        <v>201</v>
      </c>
      <c r="S649">
        <v>2</v>
      </c>
      <c r="T649">
        <v>1</v>
      </c>
      <c r="U649">
        <v>58764</v>
      </c>
      <c r="V649">
        <v>117528</v>
      </c>
    </row>
    <row r="650" spans="1:22">
      <c r="A650" t="s">
        <v>196</v>
      </c>
      <c r="B650">
        <v>27</v>
      </c>
      <c r="C650" t="s">
        <v>637</v>
      </c>
      <c r="D650">
        <v>100</v>
      </c>
      <c r="E650" t="s">
        <v>197</v>
      </c>
      <c r="F650">
        <v>1005</v>
      </c>
      <c r="G650" t="s">
        <v>638</v>
      </c>
      <c r="H650">
        <v>2020</v>
      </c>
      <c r="I650" t="s">
        <v>36</v>
      </c>
      <c r="J650">
        <v>3220</v>
      </c>
      <c r="K650" t="s">
        <v>735</v>
      </c>
      <c r="L650">
        <v>4202</v>
      </c>
      <c r="M650" t="s">
        <v>736</v>
      </c>
      <c r="N650" t="s">
        <v>622</v>
      </c>
      <c r="O650">
        <v>1</v>
      </c>
      <c r="P650">
        <v>420</v>
      </c>
      <c r="Q650" t="s">
        <v>738</v>
      </c>
      <c r="R650" t="s">
        <v>201</v>
      </c>
      <c r="S650">
        <v>3</v>
      </c>
      <c r="T650">
        <v>1</v>
      </c>
      <c r="U650">
        <v>56124</v>
      </c>
      <c r="V650">
        <v>168372</v>
      </c>
    </row>
    <row r="651" spans="1:22">
      <c r="A651" t="s">
        <v>196</v>
      </c>
      <c r="B651">
        <v>27</v>
      </c>
      <c r="C651" t="s">
        <v>637</v>
      </c>
      <c r="D651">
        <v>100</v>
      </c>
      <c r="E651" t="s">
        <v>197</v>
      </c>
      <c r="F651">
        <v>1005</v>
      </c>
      <c r="G651" t="s">
        <v>638</v>
      </c>
      <c r="H651">
        <v>2020</v>
      </c>
      <c r="I651" t="s">
        <v>36</v>
      </c>
      <c r="J651">
        <v>3220</v>
      </c>
      <c r="K651" t="s">
        <v>735</v>
      </c>
      <c r="L651">
        <v>4202</v>
      </c>
      <c r="M651" t="s">
        <v>736</v>
      </c>
      <c r="N651" t="s">
        <v>622</v>
      </c>
      <c r="O651">
        <v>1</v>
      </c>
      <c r="P651">
        <v>420</v>
      </c>
      <c r="Q651" t="s">
        <v>738</v>
      </c>
      <c r="R651" t="s">
        <v>201</v>
      </c>
      <c r="S651">
        <v>1</v>
      </c>
      <c r="T651">
        <v>1</v>
      </c>
      <c r="U651">
        <v>53532</v>
      </c>
      <c r="V651">
        <v>53532</v>
      </c>
    </row>
    <row r="652" spans="1:22">
      <c r="A652" t="s">
        <v>196</v>
      </c>
      <c r="B652">
        <v>27</v>
      </c>
      <c r="C652" t="s">
        <v>637</v>
      </c>
      <c r="D652">
        <v>100</v>
      </c>
      <c r="E652" t="s">
        <v>197</v>
      </c>
      <c r="F652">
        <v>1005</v>
      </c>
      <c r="G652" t="s">
        <v>638</v>
      </c>
      <c r="H652">
        <v>2020</v>
      </c>
      <c r="I652" t="s">
        <v>36</v>
      </c>
      <c r="J652">
        <v>3220</v>
      </c>
      <c r="K652" t="s">
        <v>735</v>
      </c>
      <c r="L652">
        <v>4202</v>
      </c>
      <c r="M652" t="s">
        <v>736</v>
      </c>
      <c r="N652" t="s">
        <v>622</v>
      </c>
      <c r="O652">
        <v>1</v>
      </c>
      <c r="P652">
        <v>420</v>
      </c>
      <c r="Q652" t="s">
        <v>738</v>
      </c>
      <c r="R652" t="s">
        <v>201</v>
      </c>
      <c r="S652">
        <v>5</v>
      </c>
      <c r="T652">
        <v>1</v>
      </c>
      <c r="U652">
        <v>51936</v>
      </c>
      <c r="V652">
        <v>259680</v>
      </c>
    </row>
    <row r="653" spans="1:22">
      <c r="A653" t="s">
        <v>196</v>
      </c>
      <c r="B653">
        <v>27</v>
      </c>
      <c r="C653" t="s">
        <v>637</v>
      </c>
      <c r="D653">
        <v>100</v>
      </c>
      <c r="E653" t="s">
        <v>197</v>
      </c>
      <c r="F653">
        <v>1005</v>
      </c>
      <c r="G653" t="s">
        <v>638</v>
      </c>
      <c r="H653">
        <v>2020</v>
      </c>
      <c r="I653" t="s">
        <v>36</v>
      </c>
      <c r="J653">
        <v>3220</v>
      </c>
      <c r="K653" t="s">
        <v>735</v>
      </c>
      <c r="L653">
        <v>4202</v>
      </c>
      <c r="M653" t="s">
        <v>736</v>
      </c>
      <c r="N653" t="s">
        <v>351</v>
      </c>
      <c r="O653">
        <v>1</v>
      </c>
      <c r="P653" t="s">
        <v>352</v>
      </c>
      <c r="Q653" t="s">
        <v>353</v>
      </c>
      <c r="R653" t="s">
        <v>201</v>
      </c>
      <c r="S653">
        <v>1</v>
      </c>
      <c r="T653">
        <v>1</v>
      </c>
      <c r="U653">
        <v>74172</v>
      </c>
      <c r="V653">
        <v>74172</v>
      </c>
    </row>
    <row r="654" spans="1:22">
      <c r="A654" t="s">
        <v>196</v>
      </c>
      <c r="B654">
        <v>27</v>
      </c>
      <c r="C654" t="s">
        <v>637</v>
      </c>
      <c r="D654">
        <v>100</v>
      </c>
      <c r="E654" t="s">
        <v>197</v>
      </c>
      <c r="F654">
        <v>1005</v>
      </c>
      <c r="G654" t="s">
        <v>638</v>
      </c>
      <c r="H654">
        <v>2020</v>
      </c>
      <c r="I654" t="s">
        <v>36</v>
      </c>
      <c r="J654">
        <v>3220</v>
      </c>
      <c r="K654" t="s">
        <v>735</v>
      </c>
      <c r="L654">
        <v>4202</v>
      </c>
      <c r="M654" t="s">
        <v>736</v>
      </c>
      <c r="N654" t="s">
        <v>351</v>
      </c>
      <c r="O654">
        <v>1</v>
      </c>
      <c r="P654" t="s">
        <v>352</v>
      </c>
      <c r="Q654" t="s">
        <v>353</v>
      </c>
      <c r="R654" t="s">
        <v>201</v>
      </c>
      <c r="S654">
        <v>1</v>
      </c>
      <c r="T654">
        <v>1</v>
      </c>
      <c r="U654">
        <v>70752</v>
      </c>
      <c r="V654">
        <v>70752</v>
      </c>
    </row>
    <row r="655" spans="1:22">
      <c r="A655" t="s">
        <v>196</v>
      </c>
      <c r="B655">
        <v>27</v>
      </c>
      <c r="C655" t="s">
        <v>637</v>
      </c>
      <c r="D655">
        <v>100</v>
      </c>
      <c r="E655" t="s">
        <v>197</v>
      </c>
      <c r="F655">
        <v>1005</v>
      </c>
      <c r="G655" t="s">
        <v>638</v>
      </c>
      <c r="H655">
        <v>2020</v>
      </c>
      <c r="I655" t="s">
        <v>36</v>
      </c>
      <c r="J655">
        <v>3220</v>
      </c>
      <c r="K655" t="s">
        <v>735</v>
      </c>
      <c r="L655">
        <v>4202</v>
      </c>
      <c r="M655" t="s">
        <v>736</v>
      </c>
      <c r="N655" t="s">
        <v>351</v>
      </c>
      <c r="O655">
        <v>1</v>
      </c>
      <c r="P655" t="s">
        <v>352</v>
      </c>
      <c r="Q655" t="s">
        <v>353</v>
      </c>
      <c r="R655" t="s">
        <v>201</v>
      </c>
      <c r="S655">
        <v>3</v>
      </c>
      <c r="T655">
        <v>1</v>
      </c>
      <c r="U655">
        <v>67608</v>
      </c>
      <c r="V655">
        <v>202824</v>
      </c>
    </row>
    <row r="656" spans="1:22">
      <c r="A656" t="s">
        <v>196</v>
      </c>
      <c r="B656">
        <v>27</v>
      </c>
      <c r="C656" t="s">
        <v>637</v>
      </c>
      <c r="D656">
        <v>100</v>
      </c>
      <c r="E656" t="s">
        <v>197</v>
      </c>
      <c r="F656">
        <v>1005</v>
      </c>
      <c r="G656" t="s">
        <v>638</v>
      </c>
      <c r="H656">
        <v>2020</v>
      </c>
      <c r="I656" t="s">
        <v>36</v>
      </c>
      <c r="J656">
        <v>3220</v>
      </c>
      <c r="K656" t="s">
        <v>735</v>
      </c>
      <c r="L656">
        <v>4202</v>
      </c>
      <c r="M656" t="s">
        <v>736</v>
      </c>
      <c r="N656" t="s">
        <v>351</v>
      </c>
      <c r="O656">
        <v>1</v>
      </c>
      <c r="P656" t="s">
        <v>352</v>
      </c>
      <c r="Q656" t="s">
        <v>353</v>
      </c>
      <c r="R656" t="s">
        <v>201</v>
      </c>
      <c r="S656">
        <v>1</v>
      </c>
      <c r="T656">
        <v>1</v>
      </c>
      <c r="U656">
        <v>62544</v>
      </c>
      <c r="V656">
        <v>62544</v>
      </c>
    </row>
    <row r="657" spans="1:22">
      <c r="A657" t="s">
        <v>196</v>
      </c>
      <c r="B657">
        <v>27</v>
      </c>
      <c r="C657" t="s">
        <v>637</v>
      </c>
      <c r="D657">
        <v>100</v>
      </c>
      <c r="E657" t="s">
        <v>197</v>
      </c>
      <c r="F657">
        <v>1005</v>
      </c>
      <c r="G657" t="s">
        <v>638</v>
      </c>
      <c r="H657">
        <v>2020</v>
      </c>
      <c r="I657" t="s">
        <v>36</v>
      </c>
      <c r="J657">
        <v>3220</v>
      </c>
      <c r="K657" t="s">
        <v>735</v>
      </c>
      <c r="L657">
        <v>4202</v>
      </c>
      <c r="M657" t="s">
        <v>736</v>
      </c>
      <c r="N657" t="s">
        <v>622</v>
      </c>
      <c r="O657">
        <v>1</v>
      </c>
      <c r="P657" t="s">
        <v>667</v>
      </c>
      <c r="Q657" t="s">
        <v>205</v>
      </c>
      <c r="R657" t="s">
        <v>201</v>
      </c>
      <c r="S657">
        <v>1</v>
      </c>
      <c r="T657">
        <v>1</v>
      </c>
      <c r="U657">
        <v>53532</v>
      </c>
      <c r="V657">
        <v>53532</v>
      </c>
    </row>
    <row r="658" spans="1:22">
      <c r="A658" t="s">
        <v>196</v>
      </c>
      <c r="B658">
        <v>27</v>
      </c>
      <c r="C658" t="s">
        <v>637</v>
      </c>
      <c r="D658">
        <v>100</v>
      </c>
      <c r="E658" t="s">
        <v>197</v>
      </c>
      <c r="F658">
        <v>1005</v>
      </c>
      <c r="G658" t="s">
        <v>638</v>
      </c>
      <c r="H658">
        <v>2020</v>
      </c>
      <c r="I658" t="s">
        <v>36</v>
      </c>
      <c r="J658">
        <v>3220</v>
      </c>
      <c r="K658" t="s">
        <v>735</v>
      </c>
      <c r="L658">
        <v>4202</v>
      </c>
      <c r="M658" t="s">
        <v>736</v>
      </c>
      <c r="N658" t="s">
        <v>274</v>
      </c>
      <c r="O658">
        <v>20</v>
      </c>
      <c r="P658">
        <v>369</v>
      </c>
      <c r="Q658" t="s">
        <v>739</v>
      </c>
      <c r="R658" t="s">
        <v>201</v>
      </c>
      <c r="S658">
        <v>1</v>
      </c>
      <c r="T658">
        <v>1</v>
      </c>
      <c r="U658">
        <v>146808</v>
      </c>
      <c r="V658">
        <v>146808</v>
      </c>
    </row>
    <row r="659" spans="1:22">
      <c r="A659" t="s">
        <v>196</v>
      </c>
      <c r="B659">
        <v>27</v>
      </c>
      <c r="C659" t="s">
        <v>637</v>
      </c>
      <c r="D659">
        <v>100</v>
      </c>
      <c r="E659" t="s">
        <v>197</v>
      </c>
      <c r="F659">
        <v>1005</v>
      </c>
      <c r="G659" t="s">
        <v>638</v>
      </c>
      <c r="H659">
        <v>2020</v>
      </c>
      <c r="I659" t="s">
        <v>36</v>
      </c>
      <c r="J659">
        <v>3220</v>
      </c>
      <c r="K659" t="s">
        <v>735</v>
      </c>
      <c r="L659">
        <v>4202</v>
      </c>
      <c r="M659" t="s">
        <v>736</v>
      </c>
      <c r="N659" t="s">
        <v>740</v>
      </c>
      <c r="O659">
        <v>10</v>
      </c>
      <c r="P659">
        <v>307</v>
      </c>
      <c r="Q659" t="s">
        <v>741</v>
      </c>
      <c r="R659" t="s">
        <v>201</v>
      </c>
      <c r="S659">
        <v>1</v>
      </c>
      <c r="T659">
        <v>1</v>
      </c>
      <c r="U659">
        <v>73728</v>
      </c>
      <c r="V659">
        <v>73728</v>
      </c>
    </row>
    <row r="660" spans="1:22">
      <c r="A660" t="s">
        <v>196</v>
      </c>
      <c r="B660">
        <v>27</v>
      </c>
      <c r="C660" t="s">
        <v>637</v>
      </c>
      <c r="D660">
        <v>100</v>
      </c>
      <c r="E660" t="s">
        <v>197</v>
      </c>
      <c r="F660">
        <v>1005</v>
      </c>
      <c r="G660" t="s">
        <v>638</v>
      </c>
      <c r="H660">
        <v>2020</v>
      </c>
      <c r="I660" t="s">
        <v>36</v>
      </c>
      <c r="J660">
        <v>3220</v>
      </c>
      <c r="K660" t="s">
        <v>735</v>
      </c>
      <c r="L660">
        <v>4202</v>
      </c>
      <c r="M660" t="s">
        <v>736</v>
      </c>
      <c r="N660" t="s">
        <v>297</v>
      </c>
      <c r="O660">
        <v>10</v>
      </c>
      <c r="P660">
        <v>167</v>
      </c>
      <c r="Q660" t="s">
        <v>742</v>
      </c>
      <c r="R660" t="s">
        <v>201</v>
      </c>
      <c r="S660">
        <v>1</v>
      </c>
      <c r="T660">
        <v>1</v>
      </c>
      <c r="U660">
        <v>111000</v>
      </c>
      <c r="V660">
        <v>111000</v>
      </c>
    </row>
    <row r="661" spans="1:22">
      <c r="A661" t="s">
        <v>196</v>
      </c>
      <c r="B661">
        <v>27</v>
      </c>
      <c r="C661" t="s">
        <v>637</v>
      </c>
      <c r="D661">
        <v>100</v>
      </c>
      <c r="E661" t="s">
        <v>197</v>
      </c>
      <c r="F661">
        <v>1005</v>
      </c>
      <c r="G661" t="s">
        <v>638</v>
      </c>
      <c r="H661">
        <v>2020</v>
      </c>
      <c r="I661" t="s">
        <v>36</v>
      </c>
      <c r="J661">
        <v>3220</v>
      </c>
      <c r="K661" t="s">
        <v>735</v>
      </c>
      <c r="L661">
        <v>4202</v>
      </c>
      <c r="M661" t="s">
        <v>736</v>
      </c>
      <c r="N661" t="s">
        <v>297</v>
      </c>
      <c r="O661">
        <v>20</v>
      </c>
      <c r="P661">
        <v>145</v>
      </c>
      <c r="Q661" t="s">
        <v>743</v>
      </c>
      <c r="R661" t="s">
        <v>201</v>
      </c>
      <c r="S661">
        <v>1</v>
      </c>
      <c r="T661">
        <v>1</v>
      </c>
      <c r="U661">
        <v>130476</v>
      </c>
      <c r="V661">
        <v>130476</v>
      </c>
    </row>
    <row r="662" spans="1:22">
      <c r="A662" t="s">
        <v>196</v>
      </c>
      <c r="B662">
        <v>27</v>
      </c>
      <c r="C662" t="s">
        <v>637</v>
      </c>
      <c r="D662">
        <v>100</v>
      </c>
      <c r="E662" t="s">
        <v>197</v>
      </c>
      <c r="F662">
        <v>1005</v>
      </c>
      <c r="G662" t="s">
        <v>638</v>
      </c>
      <c r="H662">
        <v>2020</v>
      </c>
      <c r="I662" t="s">
        <v>36</v>
      </c>
      <c r="J662">
        <v>3220</v>
      </c>
      <c r="K662" t="s">
        <v>735</v>
      </c>
      <c r="L662">
        <v>4202</v>
      </c>
      <c r="M662" t="s">
        <v>736</v>
      </c>
      <c r="N662" t="s">
        <v>199</v>
      </c>
      <c r="O662">
        <v>0</v>
      </c>
      <c r="P662">
        <v>15</v>
      </c>
      <c r="Q662" t="s">
        <v>264</v>
      </c>
      <c r="R662" t="s">
        <v>201</v>
      </c>
      <c r="S662">
        <v>0</v>
      </c>
      <c r="T662">
        <v>0</v>
      </c>
      <c r="U662">
        <v>25618</v>
      </c>
      <c r="V662">
        <v>25618</v>
      </c>
    </row>
    <row r="663" spans="1:22">
      <c r="A663" t="s">
        <v>196</v>
      </c>
      <c r="B663">
        <v>27</v>
      </c>
      <c r="C663" t="s">
        <v>637</v>
      </c>
      <c r="D663">
        <v>100</v>
      </c>
      <c r="E663" t="s">
        <v>197</v>
      </c>
      <c r="F663">
        <v>1005</v>
      </c>
      <c r="G663" t="s">
        <v>638</v>
      </c>
      <c r="H663">
        <v>2020</v>
      </c>
      <c r="I663" t="s">
        <v>36</v>
      </c>
      <c r="J663">
        <v>3220</v>
      </c>
      <c r="K663" t="s">
        <v>735</v>
      </c>
      <c r="L663">
        <v>4204</v>
      </c>
      <c r="M663" t="s">
        <v>744</v>
      </c>
      <c r="N663" t="s">
        <v>266</v>
      </c>
      <c r="O663">
        <v>9</v>
      </c>
      <c r="P663">
        <v>9684</v>
      </c>
      <c r="Q663" t="s">
        <v>327</v>
      </c>
      <c r="R663" t="s">
        <v>201</v>
      </c>
      <c r="S663">
        <v>1</v>
      </c>
      <c r="T663">
        <v>1</v>
      </c>
      <c r="U663">
        <v>175512</v>
      </c>
      <c r="V663">
        <v>175512</v>
      </c>
    </row>
    <row r="664" spans="1:22">
      <c r="A664" t="s">
        <v>196</v>
      </c>
      <c r="B664">
        <v>27</v>
      </c>
      <c r="C664" t="s">
        <v>637</v>
      </c>
      <c r="D664">
        <v>100</v>
      </c>
      <c r="E664" t="s">
        <v>197</v>
      </c>
      <c r="F664">
        <v>1005</v>
      </c>
      <c r="G664" t="s">
        <v>638</v>
      </c>
      <c r="H664">
        <v>2020</v>
      </c>
      <c r="I664" t="s">
        <v>36</v>
      </c>
      <c r="J664">
        <v>3220</v>
      </c>
      <c r="K664" t="s">
        <v>735</v>
      </c>
      <c r="L664">
        <v>4204</v>
      </c>
      <c r="M664" t="s">
        <v>744</v>
      </c>
      <c r="N664" t="s">
        <v>745</v>
      </c>
      <c r="O664">
        <v>53</v>
      </c>
      <c r="P664">
        <v>7404</v>
      </c>
      <c r="Q664" t="s">
        <v>746</v>
      </c>
      <c r="R664" t="s">
        <v>201</v>
      </c>
      <c r="S664">
        <v>1</v>
      </c>
      <c r="T664">
        <v>1</v>
      </c>
      <c r="U664">
        <v>59340</v>
      </c>
      <c r="V664">
        <v>59340</v>
      </c>
    </row>
    <row r="665" spans="1:22">
      <c r="A665" t="s">
        <v>196</v>
      </c>
      <c r="B665">
        <v>27</v>
      </c>
      <c r="C665" t="s">
        <v>637</v>
      </c>
      <c r="D665">
        <v>100</v>
      </c>
      <c r="E665" t="s">
        <v>197</v>
      </c>
      <c r="F665">
        <v>1005</v>
      </c>
      <c r="G665" t="s">
        <v>638</v>
      </c>
      <c r="H665">
        <v>2020</v>
      </c>
      <c r="I665" t="s">
        <v>36</v>
      </c>
      <c r="J665">
        <v>3220</v>
      </c>
      <c r="K665" t="s">
        <v>735</v>
      </c>
      <c r="L665">
        <v>4204</v>
      </c>
      <c r="M665" t="s">
        <v>744</v>
      </c>
      <c r="N665" t="s">
        <v>745</v>
      </c>
      <c r="O665">
        <v>53</v>
      </c>
      <c r="P665">
        <v>7404</v>
      </c>
      <c r="Q665" t="s">
        <v>746</v>
      </c>
      <c r="R665" t="s">
        <v>201</v>
      </c>
      <c r="S665">
        <v>1</v>
      </c>
      <c r="T665">
        <v>1</v>
      </c>
      <c r="U665">
        <v>54048</v>
      </c>
      <c r="V665">
        <v>54048</v>
      </c>
    </row>
    <row r="666" spans="1:22">
      <c r="A666" t="s">
        <v>196</v>
      </c>
      <c r="B666">
        <v>27</v>
      </c>
      <c r="C666" t="s">
        <v>637</v>
      </c>
      <c r="D666">
        <v>100</v>
      </c>
      <c r="E666" t="s">
        <v>197</v>
      </c>
      <c r="F666">
        <v>1005</v>
      </c>
      <c r="G666" t="s">
        <v>638</v>
      </c>
      <c r="H666">
        <v>2020</v>
      </c>
      <c r="I666" t="s">
        <v>36</v>
      </c>
      <c r="J666">
        <v>3220</v>
      </c>
      <c r="K666" t="s">
        <v>735</v>
      </c>
      <c r="L666">
        <v>4204</v>
      </c>
      <c r="M666" t="s">
        <v>744</v>
      </c>
      <c r="N666" t="s">
        <v>745</v>
      </c>
      <c r="O666">
        <v>53</v>
      </c>
      <c r="P666">
        <v>7404</v>
      </c>
      <c r="Q666" t="s">
        <v>746</v>
      </c>
      <c r="R666" t="s">
        <v>201</v>
      </c>
      <c r="S666">
        <v>2</v>
      </c>
      <c r="T666">
        <v>1</v>
      </c>
      <c r="U666">
        <v>46560</v>
      </c>
      <c r="V666">
        <v>93120</v>
      </c>
    </row>
    <row r="667" spans="1:22">
      <c r="A667" t="s">
        <v>196</v>
      </c>
      <c r="B667">
        <v>27</v>
      </c>
      <c r="C667" t="s">
        <v>637</v>
      </c>
      <c r="D667">
        <v>100</v>
      </c>
      <c r="E667" t="s">
        <v>197</v>
      </c>
      <c r="F667">
        <v>1005</v>
      </c>
      <c r="G667" t="s">
        <v>638</v>
      </c>
      <c r="H667">
        <v>2020</v>
      </c>
      <c r="I667" t="s">
        <v>36</v>
      </c>
      <c r="J667">
        <v>3220</v>
      </c>
      <c r="K667" t="s">
        <v>735</v>
      </c>
      <c r="L667">
        <v>4204</v>
      </c>
      <c r="M667" t="s">
        <v>744</v>
      </c>
      <c r="N667" t="s">
        <v>745</v>
      </c>
      <c r="O667">
        <v>53</v>
      </c>
      <c r="P667">
        <v>7404</v>
      </c>
      <c r="Q667" t="s">
        <v>746</v>
      </c>
      <c r="R667" t="s">
        <v>201</v>
      </c>
      <c r="S667">
        <v>13</v>
      </c>
      <c r="T667">
        <v>1</v>
      </c>
      <c r="U667">
        <v>44460</v>
      </c>
      <c r="V667">
        <v>577980</v>
      </c>
    </row>
    <row r="668" spans="1:22">
      <c r="A668" t="s">
        <v>196</v>
      </c>
      <c r="B668">
        <v>27</v>
      </c>
      <c r="C668" t="s">
        <v>637</v>
      </c>
      <c r="D668">
        <v>100</v>
      </c>
      <c r="E668" t="s">
        <v>197</v>
      </c>
      <c r="F668">
        <v>1005</v>
      </c>
      <c r="G668" t="s">
        <v>638</v>
      </c>
      <c r="H668">
        <v>2020</v>
      </c>
      <c r="I668" t="s">
        <v>36</v>
      </c>
      <c r="J668">
        <v>3220</v>
      </c>
      <c r="K668" t="s">
        <v>735</v>
      </c>
      <c r="L668">
        <v>4204</v>
      </c>
      <c r="M668" t="s">
        <v>744</v>
      </c>
      <c r="N668" t="s">
        <v>745</v>
      </c>
      <c r="O668">
        <v>53</v>
      </c>
      <c r="P668">
        <v>7404</v>
      </c>
      <c r="Q668" t="s">
        <v>746</v>
      </c>
      <c r="R668" t="s">
        <v>201</v>
      </c>
      <c r="S668">
        <v>5</v>
      </c>
      <c r="T668">
        <v>1</v>
      </c>
      <c r="U668">
        <v>42468</v>
      </c>
      <c r="V668">
        <v>212340</v>
      </c>
    </row>
    <row r="669" spans="1:22">
      <c r="A669" t="s">
        <v>196</v>
      </c>
      <c r="B669">
        <v>27</v>
      </c>
      <c r="C669" t="s">
        <v>637</v>
      </c>
      <c r="D669">
        <v>100</v>
      </c>
      <c r="E669" t="s">
        <v>197</v>
      </c>
      <c r="F669">
        <v>1005</v>
      </c>
      <c r="G669" t="s">
        <v>638</v>
      </c>
      <c r="H669">
        <v>2020</v>
      </c>
      <c r="I669" t="s">
        <v>36</v>
      </c>
      <c r="J669">
        <v>3220</v>
      </c>
      <c r="K669" t="s">
        <v>735</v>
      </c>
      <c r="L669">
        <v>4204</v>
      </c>
      <c r="M669" t="s">
        <v>744</v>
      </c>
      <c r="N669" t="s">
        <v>745</v>
      </c>
      <c r="O669">
        <v>53</v>
      </c>
      <c r="P669">
        <v>7404</v>
      </c>
      <c r="Q669" t="s">
        <v>746</v>
      </c>
      <c r="R669" t="s">
        <v>201</v>
      </c>
      <c r="S669">
        <v>11</v>
      </c>
      <c r="T669">
        <v>1</v>
      </c>
      <c r="U669">
        <v>40560</v>
      </c>
      <c r="V669">
        <v>446160</v>
      </c>
    </row>
    <row r="670" spans="1:22">
      <c r="A670" t="s">
        <v>196</v>
      </c>
      <c r="B670">
        <v>27</v>
      </c>
      <c r="C670" t="s">
        <v>637</v>
      </c>
      <c r="D670">
        <v>100</v>
      </c>
      <c r="E670" t="s">
        <v>197</v>
      </c>
      <c r="F670">
        <v>1005</v>
      </c>
      <c r="G670" t="s">
        <v>638</v>
      </c>
      <c r="H670">
        <v>2020</v>
      </c>
      <c r="I670" t="s">
        <v>36</v>
      </c>
      <c r="J670">
        <v>3220</v>
      </c>
      <c r="K670" t="s">
        <v>735</v>
      </c>
      <c r="L670">
        <v>4204</v>
      </c>
      <c r="M670" t="s">
        <v>744</v>
      </c>
      <c r="N670" t="s">
        <v>747</v>
      </c>
      <c r="O670">
        <v>53</v>
      </c>
      <c r="P670">
        <v>7403</v>
      </c>
      <c r="Q670" t="s">
        <v>748</v>
      </c>
      <c r="R670" t="s">
        <v>201</v>
      </c>
      <c r="S670">
        <v>1</v>
      </c>
      <c r="T670">
        <v>1</v>
      </c>
      <c r="U670">
        <v>56700</v>
      </c>
      <c r="V670">
        <v>56700</v>
      </c>
    </row>
    <row r="671" spans="1:22">
      <c r="A671" t="s">
        <v>196</v>
      </c>
      <c r="B671">
        <v>27</v>
      </c>
      <c r="C671" t="s">
        <v>637</v>
      </c>
      <c r="D671">
        <v>100</v>
      </c>
      <c r="E671" t="s">
        <v>197</v>
      </c>
      <c r="F671">
        <v>1005</v>
      </c>
      <c r="G671" t="s">
        <v>638</v>
      </c>
      <c r="H671">
        <v>2020</v>
      </c>
      <c r="I671" t="s">
        <v>36</v>
      </c>
      <c r="J671">
        <v>3220</v>
      </c>
      <c r="K671" t="s">
        <v>735</v>
      </c>
      <c r="L671">
        <v>4204</v>
      </c>
      <c r="M671" t="s">
        <v>744</v>
      </c>
      <c r="N671" t="s">
        <v>747</v>
      </c>
      <c r="O671">
        <v>53</v>
      </c>
      <c r="P671">
        <v>7403</v>
      </c>
      <c r="Q671" t="s">
        <v>748</v>
      </c>
      <c r="R671" t="s">
        <v>201</v>
      </c>
      <c r="S671">
        <v>1</v>
      </c>
      <c r="T671">
        <v>1</v>
      </c>
      <c r="U671">
        <v>53520</v>
      </c>
      <c r="V671">
        <v>53520</v>
      </c>
    </row>
    <row r="672" spans="1:22">
      <c r="A672" t="s">
        <v>196</v>
      </c>
      <c r="B672">
        <v>27</v>
      </c>
      <c r="C672" t="s">
        <v>637</v>
      </c>
      <c r="D672">
        <v>100</v>
      </c>
      <c r="E672" t="s">
        <v>197</v>
      </c>
      <c r="F672">
        <v>1005</v>
      </c>
      <c r="G672" t="s">
        <v>638</v>
      </c>
      <c r="H672">
        <v>2020</v>
      </c>
      <c r="I672" t="s">
        <v>36</v>
      </c>
      <c r="J672">
        <v>3220</v>
      </c>
      <c r="K672" t="s">
        <v>735</v>
      </c>
      <c r="L672">
        <v>4204</v>
      </c>
      <c r="M672" t="s">
        <v>744</v>
      </c>
      <c r="N672" t="s">
        <v>747</v>
      </c>
      <c r="O672">
        <v>53</v>
      </c>
      <c r="P672">
        <v>7403</v>
      </c>
      <c r="Q672" t="s">
        <v>748</v>
      </c>
      <c r="R672" t="s">
        <v>201</v>
      </c>
      <c r="S672">
        <v>2</v>
      </c>
      <c r="T672">
        <v>1</v>
      </c>
      <c r="U672">
        <v>46560</v>
      </c>
      <c r="V672">
        <v>93120</v>
      </c>
    </row>
    <row r="673" spans="1:22">
      <c r="A673" t="s">
        <v>196</v>
      </c>
      <c r="B673">
        <v>27</v>
      </c>
      <c r="C673" t="s">
        <v>637</v>
      </c>
      <c r="D673">
        <v>100</v>
      </c>
      <c r="E673" t="s">
        <v>197</v>
      </c>
      <c r="F673">
        <v>1005</v>
      </c>
      <c r="G673" t="s">
        <v>638</v>
      </c>
      <c r="H673">
        <v>2020</v>
      </c>
      <c r="I673" t="s">
        <v>36</v>
      </c>
      <c r="J673">
        <v>3220</v>
      </c>
      <c r="K673" t="s">
        <v>735</v>
      </c>
      <c r="L673">
        <v>4204</v>
      </c>
      <c r="M673" t="s">
        <v>744</v>
      </c>
      <c r="N673" t="s">
        <v>247</v>
      </c>
      <c r="O673">
        <v>10</v>
      </c>
      <c r="P673">
        <v>7401</v>
      </c>
      <c r="Q673" t="s">
        <v>749</v>
      </c>
      <c r="R673" t="s">
        <v>201</v>
      </c>
      <c r="S673">
        <v>1</v>
      </c>
      <c r="T673">
        <v>1</v>
      </c>
      <c r="U673">
        <v>60660</v>
      </c>
      <c r="V673">
        <v>60660</v>
      </c>
    </row>
    <row r="674" spans="1:22">
      <c r="A674" t="s">
        <v>196</v>
      </c>
      <c r="B674">
        <v>27</v>
      </c>
      <c r="C674" t="s">
        <v>637</v>
      </c>
      <c r="D674">
        <v>100</v>
      </c>
      <c r="E674" t="s">
        <v>197</v>
      </c>
      <c r="F674">
        <v>1005</v>
      </c>
      <c r="G674" t="s">
        <v>638</v>
      </c>
      <c r="H674">
        <v>2020</v>
      </c>
      <c r="I674" t="s">
        <v>36</v>
      </c>
      <c r="J674">
        <v>3220</v>
      </c>
      <c r="K674" t="s">
        <v>735</v>
      </c>
      <c r="L674">
        <v>4204</v>
      </c>
      <c r="M674" t="s">
        <v>744</v>
      </c>
      <c r="N674" t="s">
        <v>249</v>
      </c>
      <c r="O674">
        <v>10</v>
      </c>
      <c r="P674">
        <v>3092</v>
      </c>
      <c r="Q674" t="s">
        <v>750</v>
      </c>
      <c r="R674" t="s">
        <v>201</v>
      </c>
      <c r="S674">
        <v>1</v>
      </c>
      <c r="T674">
        <v>1</v>
      </c>
      <c r="U674">
        <v>97836</v>
      </c>
      <c r="V674">
        <v>97836</v>
      </c>
    </row>
    <row r="675" spans="1:22">
      <c r="A675" t="s">
        <v>196</v>
      </c>
      <c r="B675">
        <v>27</v>
      </c>
      <c r="C675" t="s">
        <v>637</v>
      </c>
      <c r="D675">
        <v>100</v>
      </c>
      <c r="E675" t="s">
        <v>197</v>
      </c>
      <c r="F675">
        <v>1005</v>
      </c>
      <c r="G675" t="s">
        <v>638</v>
      </c>
      <c r="H675">
        <v>2020</v>
      </c>
      <c r="I675" t="s">
        <v>36</v>
      </c>
      <c r="J675">
        <v>3220</v>
      </c>
      <c r="K675" t="s">
        <v>735</v>
      </c>
      <c r="L675">
        <v>4204</v>
      </c>
      <c r="M675" t="s">
        <v>744</v>
      </c>
      <c r="N675" t="s">
        <v>268</v>
      </c>
      <c r="O675">
        <v>10</v>
      </c>
      <c r="P675">
        <v>1911</v>
      </c>
      <c r="Q675" t="s">
        <v>617</v>
      </c>
      <c r="R675" t="s">
        <v>201</v>
      </c>
      <c r="S675">
        <v>1</v>
      </c>
      <c r="T675">
        <v>1</v>
      </c>
      <c r="U675">
        <v>113568</v>
      </c>
      <c r="V675">
        <v>113568</v>
      </c>
    </row>
    <row r="676" spans="1:22">
      <c r="A676" t="s">
        <v>196</v>
      </c>
      <c r="B676">
        <v>27</v>
      </c>
      <c r="C676" t="s">
        <v>637</v>
      </c>
      <c r="D676">
        <v>100</v>
      </c>
      <c r="E676" t="s">
        <v>197</v>
      </c>
      <c r="F676">
        <v>1005</v>
      </c>
      <c r="G676" t="s">
        <v>638</v>
      </c>
      <c r="H676">
        <v>2020</v>
      </c>
      <c r="I676" t="s">
        <v>36</v>
      </c>
      <c r="J676">
        <v>3220</v>
      </c>
      <c r="K676" t="s">
        <v>735</v>
      </c>
      <c r="L676">
        <v>4204</v>
      </c>
      <c r="M676" t="s">
        <v>744</v>
      </c>
      <c r="N676" t="s">
        <v>351</v>
      </c>
      <c r="O676">
        <v>1</v>
      </c>
      <c r="P676" t="s">
        <v>352</v>
      </c>
      <c r="Q676" t="s">
        <v>353</v>
      </c>
      <c r="R676" t="s">
        <v>201</v>
      </c>
      <c r="S676">
        <v>1</v>
      </c>
      <c r="T676">
        <v>1</v>
      </c>
      <c r="U676">
        <v>70752</v>
      </c>
      <c r="V676">
        <v>70752</v>
      </c>
    </row>
    <row r="677" spans="1:22">
      <c r="A677" t="s">
        <v>196</v>
      </c>
      <c r="B677">
        <v>27</v>
      </c>
      <c r="C677" t="s">
        <v>637</v>
      </c>
      <c r="D677">
        <v>100</v>
      </c>
      <c r="E677" t="s">
        <v>197</v>
      </c>
      <c r="F677">
        <v>1005</v>
      </c>
      <c r="G677" t="s">
        <v>638</v>
      </c>
      <c r="H677">
        <v>2020</v>
      </c>
      <c r="I677" t="s">
        <v>36</v>
      </c>
      <c r="J677">
        <v>3220</v>
      </c>
      <c r="K677" t="s">
        <v>735</v>
      </c>
      <c r="L677">
        <v>4204</v>
      </c>
      <c r="M677" t="s">
        <v>744</v>
      </c>
      <c r="N677" t="s">
        <v>622</v>
      </c>
      <c r="O677">
        <v>1</v>
      </c>
      <c r="P677" t="s">
        <v>667</v>
      </c>
      <c r="Q677" t="s">
        <v>205</v>
      </c>
      <c r="R677" t="s">
        <v>201</v>
      </c>
      <c r="S677">
        <v>1</v>
      </c>
      <c r="T677">
        <v>1</v>
      </c>
      <c r="U677">
        <v>90144</v>
      </c>
      <c r="V677">
        <v>90144</v>
      </c>
    </row>
    <row r="678" spans="1:22">
      <c r="A678" t="s">
        <v>196</v>
      </c>
      <c r="B678">
        <v>27</v>
      </c>
      <c r="C678" t="s">
        <v>637</v>
      </c>
      <c r="D678">
        <v>100</v>
      </c>
      <c r="E678" t="s">
        <v>197</v>
      </c>
      <c r="F678">
        <v>1005</v>
      </c>
      <c r="G678" t="s">
        <v>638</v>
      </c>
      <c r="H678">
        <v>2020</v>
      </c>
      <c r="I678" t="s">
        <v>36</v>
      </c>
      <c r="J678">
        <v>3220</v>
      </c>
      <c r="K678" t="s">
        <v>735</v>
      </c>
      <c r="L678">
        <v>4204</v>
      </c>
      <c r="M678" t="s">
        <v>744</v>
      </c>
      <c r="N678" t="s">
        <v>622</v>
      </c>
      <c r="O678">
        <v>1</v>
      </c>
      <c r="P678" t="s">
        <v>667</v>
      </c>
      <c r="Q678" t="s">
        <v>205</v>
      </c>
      <c r="R678" t="s">
        <v>201</v>
      </c>
      <c r="S678">
        <v>1</v>
      </c>
      <c r="T678">
        <v>1</v>
      </c>
      <c r="U678">
        <v>68256</v>
      </c>
      <c r="V678">
        <v>68256</v>
      </c>
    </row>
    <row r="679" spans="1:22">
      <c r="A679" t="s">
        <v>196</v>
      </c>
      <c r="B679">
        <v>27</v>
      </c>
      <c r="C679" t="s">
        <v>637</v>
      </c>
      <c r="D679">
        <v>100</v>
      </c>
      <c r="E679" t="s">
        <v>197</v>
      </c>
      <c r="F679">
        <v>1005</v>
      </c>
      <c r="G679" t="s">
        <v>638</v>
      </c>
      <c r="H679">
        <v>2020</v>
      </c>
      <c r="I679" t="s">
        <v>36</v>
      </c>
      <c r="J679">
        <v>3220</v>
      </c>
      <c r="K679" t="s">
        <v>735</v>
      </c>
      <c r="L679">
        <v>4204</v>
      </c>
      <c r="M679" t="s">
        <v>744</v>
      </c>
      <c r="N679" t="s">
        <v>622</v>
      </c>
      <c r="O679">
        <v>1</v>
      </c>
      <c r="P679" t="s">
        <v>667</v>
      </c>
      <c r="Q679" t="s">
        <v>205</v>
      </c>
      <c r="R679" t="s">
        <v>201</v>
      </c>
      <c r="S679">
        <v>1</v>
      </c>
      <c r="T679">
        <v>1</v>
      </c>
      <c r="U679">
        <v>56124</v>
      </c>
      <c r="V679">
        <v>56124</v>
      </c>
    </row>
    <row r="680" spans="1:22">
      <c r="A680" t="s">
        <v>196</v>
      </c>
      <c r="B680">
        <v>27</v>
      </c>
      <c r="C680" t="s">
        <v>637</v>
      </c>
      <c r="D680">
        <v>100</v>
      </c>
      <c r="E680" t="s">
        <v>197</v>
      </c>
      <c r="F680">
        <v>1005</v>
      </c>
      <c r="G680" t="s">
        <v>638</v>
      </c>
      <c r="H680">
        <v>2020</v>
      </c>
      <c r="I680" t="s">
        <v>36</v>
      </c>
      <c r="J680">
        <v>3220</v>
      </c>
      <c r="K680" t="s">
        <v>735</v>
      </c>
      <c r="L680">
        <v>4204</v>
      </c>
      <c r="M680" t="s">
        <v>744</v>
      </c>
      <c r="N680" t="s">
        <v>622</v>
      </c>
      <c r="O680">
        <v>1</v>
      </c>
      <c r="P680" t="s">
        <v>667</v>
      </c>
      <c r="Q680" t="s">
        <v>205</v>
      </c>
      <c r="R680" t="s">
        <v>201</v>
      </c>
      <c r="S680">
        <v>1</v>
      </c>
      <c r="T680">
        <v>1</v>
      </c>
      <c r="U680">
        <v>53532</v>
      </c>
      <c r="V680">
        <v>53532</v>
      </c>
    </row>
    <row r="681" spans="1:22">
      <c r="A681" t="s">
        <v>196</v>
      </c>
      <c r="B681">
        <v>27</v>
      </c>
      <c r="C681" t="s">
        <v>637</v>
      </c>
      <c r="D681">
        <v>100</v>
      </c>
      <c r="E681" t="s">
        <v>197</v>
      </c>
      <c r="F681">
        <v>1005</v>
      </c>
      <c r="G681" t="s">
        <v>638</v>
      </c>
      <c r="H681">
        <v>2020</v>
      </c>
      <c r="I681" t="s">
        <v>36</v>
      </c>
      <c r="J681">
        <v>3220</v>
      </c>
      <c r="K681" t="s">
        <v>735</v>
      </c>
      <c r="L681">
        <v>4204</v>
      </c>
      <c r="M681" t="s">
        <v>744</v>
      </c>
      <c r="N681" t="s">
        <v>341</v>
      </c>
      <c r="O681">
        <v>1</v>
      </c>
      <c r="P681">
        <v>308</v>
      </c>
      <c r="Q681" t="s">
        <v>355</v>
      </c>
      <c r="R681" t="s">
        <v>201</v>
      </c>
      <c r="S681">
        <v>1</v>
      </c>
      <c r="T681">
        <v>1</v>
      </c>
      <c r="U681">
        <v>90144</v>
      </c>
      <c r="V681">
        <v>90144</v>
      </c>
    </row>
    <row r="682" spans="1:22">
      <c r="A682" t="s">
        <v>196</v>
      </c>
      <c r="B682">
        <v>27</v>
      </c>
      <c r="C682" t="s">
        <v>637</v>
      </c>
      <c r="D682">
        <v>100</v>
      </c>
      <c r="E682" t="s">
        <v>197</v>
      </c>
      <c r="F682">
        <v>1005</v>
      </c>
      <c r="G682" t="s">
        <v>638</v>
      </c>
      <c r="H682">
        <v>2020</v>
      </c>
      <c r="I682" t="s">
        <v>36</v>
      </c>
      <c r="J682">
        <v>3220</v>
      </c>
      <c r="K682" t="s">
        <v>735</v>
      </c>
      <c r="L682">
        <v>4204</v>
      </c>
      <c r="M682" t="s">
        <v>744</v>
      </c>
      <c r="N682" t="s">
        <v>251</v>
      </c>
      <c r="O682">
        <v>10</v>
      </c>
      <c r="P682">
        <v>275</v>
      </c>
      <c r="Q682" t="s">
        <v>751</v>
      </c>
      <c r="R682" t="s">
        <v>201</v>
      </c>
      <c r="S682">
        <v>1</v>
      </c>
      <c r="T682">
        <v>1</v>
      </c>
      <c r="U682">
        <v>94332</v>
      </c>
      <c r="V682">
        <v>94332</v>
      </c>
    </row>
    <row r="683" spans="1:22">
      <c r="A683" t="s">
        <v>196</v>
      </c>
      <c r="B683">
        <v>27</v>
      </c>
      <c r="C683" t="s">
        <v>637</v>
      </c>
      <c r="D683">
        <v>100</v>
      </c>
      <c r="E683" t="s">
        <v>197</v>
      </c>
      <c r="F683">
        <v>1005</v>
      </c>
      <c r="G683" t="s">
        <v>638</v>
      </c>
      <c r="H683">
        <v>2020</v>
      </c>
      <c r="I683" t="s">
        <v>36</v>
      </c>
      <c r="J683">
        <v>3220</v>
      </c>
      <c r="K683" t="s">
        <v>735</v>
      </c>
      <c r="L683">
        <v>4204</v>
      </c>
      <c r="M683" t="s">
        <v>744</v>
      </c>
      <c r="N683" t="s">
        <v>360</v>
      </c>
      <c r="O683">
        <v>1</v>
      </c>
      <c r="P683">
        <v>109</v>
      </c>
      <c r="Q683" t="s">
        <v>361</v>
      </c>
      <c r="R683" t="s">
        <v>201</v>
      </c>
      <c r="S683">
        <v>1</v>
      </c>
      <c r="T683">
        <v>1</v>
      </c>
      <c r="U683">
        <v>58764</v>
      </c>
      <c r="V683">
        <v>58764</v>
      </c>
    </row>
    <row r="684" spans="1:22">
      <c r="A684" t="s">
        <v>196</v>
      </c>
      <c r="B684">
        <v>27</v>
      </c>
      <c r="C684" t="s">
        <v>637</v>
      </c>
      <c r="D684">
        <v>100</v>
      </c>
      <c r="E684" t="s">
        <v>197</v>
      </c>
      <c r="F684">
        <v>1005</v>
      </c>
      <c r="G684" t="s">
        <v>638</v>
      </c>
      <c r="H684">
        <v>2020</v>
      </c>
      <c r="I684" t="s">
        <v>36</v>
      </c>
      <c r="J684">
        <v>3220</v>
      </c>
      <c r="K684" t="s">
        <v>735</v>
      </c>
      <c r="L684">
        <v>4204</v>
      </c>
      <c r="M684" t="s">
        <v>744</v>
      </c>
      <c r="N684" t="s">
        <v>199</v>
      </c>
      <c r="O684">
        <v>0</v>
      </c>
      <c r="P684">
        <v>15</v>
      </c>
      <c r="Q684" t="s">
        <v>264</v>
      </c>
      <c r="R684" t="s">
        <v>201</v>
      </c>
      <c r="S684">
        <v>0</v>
      </c>
      <c r="T684">
        <v>0</v>
      </c>
      <c r="U684">
        <v>43098</v>
      </c>
      <c r="V684">
        <v>43098</v>
      </c>
    </row>
    <row r="685" spans="1:22">
      <c r="A685" t="s">
        <v>196</v>
      </c>
      <c r="B685">
        <v>28</v>
      </c>
      <c r="C685" t="s">
        <v>85</v>
      </c>
      <c r="D685">
        <v>100</v>
      </c>
      <c r="E685" t="s">
        <v>197</v>
      </c>
      <c r="F685">
        <v>1005</v>
      </c>
      <c r="G685" t="s">
        <v>85</v>
      </c>
      <c r="H685">
        <v>2005</v>
      </c>
      <c r="I685" t="s">
        <v>85</v>
      </c>
      <c r="J685">
        <v>3005</v>
      </c>
      <c r="K685" t="s">
        <v>198</v>
      </c>
      <c r="L685">
        <v>0</v>
      </c>
      <c r="N685" t="s">
        <v>199</v>
      </c>
      <c r="O685">
        <v>9</v>
      </c>
      <c r="P685">
        <v>9928</v>
      </c>
      <c r="Q685" t="s">
        <v>752</v>
      </c>
      <c r="R685" t="s">
        <v>201</v>
      </c>
      <c r="S685">
        <v>1</v>
      </c>
      <c r="T685">
        <v>1</v>
      </c>
      <c r="U685">
        <v>175560</v>
      </c>
      <c r="V685">
        <v>175560</v>
      </c>
    </row>
    <row r="686" spans="1:22">
      <c r="A686" t="s">
        <v>196</v>
      </c>
      <c r="B686">
        <v>28</v>
      </c>
      <c r="C686" t="s">
        <v>85</v>
      </c>
      <c r="D686">
        <v>100</v>
      </c>
      <c r="E686" t="s">
        <v>197</v>
      </c>
      <c r="F686">
        <v>1005</v>
      </c>
      <c r="G686" t="s">
        <v>85</v>
      </c>
      <c r="H686">
        <v>2005</v>
      </c>
      <c r="I686" t="s">
        <v>85</v>
      </c>
      <c r="J686">
        <v>3005</v>
      </c>
      <c r="K686" t="s">
        <v>198</v>
      </c>
      <c r="L686">
        <v>0</v>
      </c>
      <c r="N686" t="s">
        <v>257</v>
      </c>
      <c r="O686">
        <v>9</v>
      </c>
      <c r="P686">
        <v>705</v>
      </c>
      <c r="Q686" t="s">
        <v>258</v>
      </c>
      <c r="R686" t="s">
        <v>201</v>
      </c>
      <c r="S686">
        <v>1</v>
      </c>
      <c r="T686">
        <v>1</v>
      </c>
      <c r="U686">
        <v>111300</v>
      </c>
      <c r="V686">
        <v>111300</v>
      </c>
    </row>
    <row r="687" spans="1:22">
      <c r="A687" t="s">
        <v>196</v>
      </c>
      <c r="B687">
        <v>28</v>
      </c>
      <c r="C687" t="s">
        <v>85</v>
      </c>
      <c r="D687">
        <v>100</v>
      </c>
      <c r="E687" t="s">
        <v>197</v>
      </c>
      <c r="F687">
        <v>1005</v>
      </c>
      <c r="G687" t="s">
        <v>85</v>
      </c>
      <c r="H687">
        <v>2005</v>
      </c>
      <c r="I687" t="s">
        <v>85</v>
      </c>
      <c r="J687">
        <v>3005</v>
      </c>
      <c r="K687" t="s">
        <v>198</v>
      </c>
      <c r="L687">
        <v>0</v>
      </c>
      <c r="N687" t="s">
        <v>216</v>
      </c>
      <c r="O687">
        <v>10</v>
      </c>
      <c r="P687">
        <v>340</v>
      </c>
      <c r="Q687" t="s">
        <v>753</v>
      </c>
      <c r="R687" t="s">
        <v>201</v>
      </c>
      <c r="S687">
        <v>1</v>
      </c>
      <c r="T687">
        <v>1</v>
      </c>
      <c r="U687">
        <v>116592</v>
      </c>
      <c r="V687">
        <v>116592</v>
      </c>
    </row>
    <row r="688" spans="1:22">
      <c r="A688" t="s">
        <v>196</v>
      </c>
      <c r="B688">
        <v>28</v>
      </c>
      <c r="C688" t="s">
        <v>85</v>
      </c>
      <c r="D688">
        <v>100</v>
      </c>
      <c r="E688" t="s">
        <v>197</v>
      </c>
      <c r="F688">
        <v>1005</v>
      </c>
      <c r="G688" t="s">
        <v>85</v>
      </c>
      <c r="H688">
        <v>2005</v>
      </c>
      <c r="I688" t="s">
        <v>85</v>
      </c>
      <c r="J688">
        <v>3010</v>
      </c>
      <c r="K688" t="s">
        <v>754</v>
      </c>
      <c r="L688">
        <v>0</v>
      </c>
      <c r="N688" t="s">
        <v>631</v>
      </c>
      <c r="O688">
        <v>9</v>
      </c>
      <c r="P688">
        <v>9676</v>
      </c>
      <c r="Q688" t="s">
        <v>755</v>
      </c>
      <c r="R688" t="s">
        <v>201</v>
      </c>
      <c r="S688">
        <v>1</v>
      </c>
      <c r="T688">
        <v>1</v>
      </c>
      <c r="U688">
        <v>133044</v>
      </c>
      <c r="V688">
        <v>133044</v>
      </c>
    </row>
    <row r="689" spans="1:22">
      <c r="A689" t="s">
        <v>196</v>
      </c>
      <c r="B689">
        <v>28</v>
      </c>
      <c r="C689" t="s">
        <v>85</v>
      </c>
      <c r="D689">
        <v>100</v>
      </c>
      <c r="E689" t="s">
        <v>197</v>
      </c>
      <c r="F689">
        <v>1005</v>
      </c>
      <c r="G689" t="s">
        <v>85</v>
      </c>
      <c r="H689">
        <v>2005</v>
      </c>
      <c r="I689" t="s">
        <v>85</v>
      </c>
      <c r="J689">
        <v>3010</v>
      </c>
      <c r="K689" t="s">
        <v>754</v>
      </c>
      <c r="L689">
        <v>0</v>
      </c>
      <c r="N689" t="s">
        <v>631</v>
      </c>
      <c r="O689">
        <v>9</v>
      </c>
      <c r="P689">
        <v>9676</v>
      </c>
      <c r="Q689" t="s">
        <v>755</v>
      </c>
      <c r="R689" t="s">
        <v>201</v>
      </c>
      <c r="S689">
        <v>2</v>
      </c>
      <c r="T689">
        <v>1</v>
      </c>
      <c r="U689">
        <v>124848</v>
      </c>
      <c r="V689">
        <v>249696</v>
      </c>
    </row>
    <row r="690" spans="1:22">
      <c r="A690" t="s">
        <v>196</v>
      </c>
      <c r="B690">
        <v>28</v>
      </c>
      <c r="C690" t="s">
        <v>85</v>
      </c>
      <c r="D690">
        <v>100</v>
      </c>
      <c r="E690" t="s">
        <v>197</v>
      </c>
      <c r="F690">
        <v>1005</v>
      </c>
      <c r="G690" t="s">
        <v>85</v>
      </c>
      <c r="H690">
        <v>2005</v>
      </c>
      <c r="I690" t="s">
        <v>85</v>
      </c>
      <c r="J690">
        <v>3010</v>
      </c>
      <c r="K690" t="s">
        <v>754</v>
      </c>
      <c r="L690">
        <v>0</v>
      </c>
      <c r="N690" t="s">
        <v>216</v>
      </c>
      <c r="O690">
        <v>10</v>
      </c>
      <c r="P690">
        <v>340</v>
      </c>
      <c r="Q690" t="s">
        <v>753</v>
      </c>
      <c r="R690" t="s">
        <v>201</v>
      </c>
      <c r="S690">
        <v>1</v>
      </c>
      <c r="T690">
        <v>1</v>
      </c>
      <c r="U690">
        <v>100116</v>
      </c>
      <c r="V690">
        <v>100116</v>
      </c>
    </row>
    <row r="691" spans="1:22">
      <c r="A691" t="s">
        <v>196</v>
      </c>
      <c r="B691">
        <v>28</v>
      </c>
      <c r="C691" t="s">
        <v>85</v>
      </c>
      <c r="D691">
        <v>100</v>
      </c>
      <c r="E691" t="s">
        <v>197</v>
      </c>
      <c r="F691">
        <v>1005</v>
      </c>
      <c r="G691" t="s">
        <v>85</v>
      </c>
      <c r="H691">
        <v>2005</v>
      </c>
      <c r="I691" t="s">
        <v>85</v>
      </c>
      <c r="J691">
        <v>3010</v>
      </c>
      <c r="K691" t="s">
        <v>754</v>
      </c>
      <c r="L691">
        <v>0</v>
      </c>
      <c r="N691" t="s">
        <v>216</v>
      </c>
      <c r="O691">
        <v>10</v>
      </c>
      <c r="P691">
        <v>340</v>
      </c>
      <c r="Q691" t="s">
        <v>753</v>
      </c>
      <c r="R691" t="s">
        <v>201</v>
      </c>
      <c r="S691">
        <v>1</v>
      </c>
      <c r="T691">
        <v>1</v>
      </c>
      <c r="U691">
        <v>88200</v>
      </c>
      <c r="V691">
        <v>88200</v>
      </c>
    </row>
    <row r="692" spans="1:22">
      <c r="A692" t="s">
        <v>196</v>
      </c>
      <c r="B692">
        <v>28</v>
      </c>
      <c r="C692" t="s">
        <v>85</v>
      </c>
      <c r="D692">
        <v>100</v>
      </c>
      <c r="E692" t="s">
        <v>197</v>
      </c>
      <c r="F692">
        <v>1005</v>
      </c>
      <c r="G692" t="s">
        <v>85</v>
      </c>
      <c r="H692">
        <v>2005</v>
      </c>
      <c r="I692" t="s">
        <v>85</v>
      </c>
      <c r="J692">
        <v>3010</v>
      </c>
      <c r="K692" t="s">
        <v>754</v>
      </c>
      <c r="L692">
        <v>0</v>
      </c>
      <c r="N692" t="s">
        <v>216</v>
      </c>
      <c r="O692">
        <v>10</v>
      </c>
      <c r="P692">
        <v>340</v>
      </c>
      <c r="Q692" t="s">
        <v>753</v>
      </c>
      <c r="R692" t="s">
        <v>201</v>
      </c>
      <c r="S692">
        <v>2</v>
      </c>
      <c r="T692">
        <v>1</v>
      </c>
      <c r="U692">
        <v>86520</v>
      </c>
      <c r="V692">
        <v>173040</v>
      </c>
    </row>
    <row r="693" spans="1:22">
      <c r="A693" t="s">
        <v>196</v>
      </c>
      <c r="B693">
        <v>28</v>
      </c>
      <c r="C693" t="s">
        <v>85</v>
      </c>
      <c r="D693">
        <v>100</v>
      </c>
      <c r="E693" t="s">
        <v>197</v>
      </c>
      <c r="F693">
        <v>1005</v>
      </c>
      <c r="G693" t="s">
        <v>85</v>
      </c>
      <c r="H693">
        <v>2005</v>
      </c>
      <c r="I693" t="s">
        <v>85</v>
      </c>
      <c r="J693">
        <v>3010</v>
      </c>
      <c r="K693" t="s">
        <v>754</v>
      </c>
      <c r="L693">
        <v>0</v>
      </c>
      <c r="N693" t="s">
        <v>356</v>
      </c>
      <c r="O693">
        <v>1</v>
      </c>
      <c r="P693">
        <v>242</v>
      </c>
      <c r="Q693" t="s">
        <v>756</v>
      </c>
      <c r="R693" t="s">
        <v>201</v>
      </c>
      <c r="S693">
        <v>1</v>
      </c>
      <c r="T693">
        <v>1</v>
      </c>
      <c r="U693">
        <v>90144</v>
      </c>
      <c r="V693">
        <v>90144</v>
      </c>
    </row>
    <row r="694" spans="1:22">
      <c r="A694" t="s">
        <v>196</v>
      </c>
      <c r="B694">
        <v>28</v>
      </c>
      <c r="C694" t="s">
        <v>85</v>
      </c>
      <c r="D694">
        <v>100</v>
      </c>
      <c r="E694" t="s">
        <v>197</v>
      </c>
      <c r="F694">
        <v>1005</v>
      </c>
      <c r="G694" t="s">
        <v>85</v>
      </c>
      <c r="H694">
        <v>2005</v>
      </c>
      <c r="I694" t="s">
        <v>85</v>
      </c>
      <c r="J694">
        <v>3010</v>
      </c>
      <c r="K694" t="s">
        <v>754</v>
      </c>
      <c r="L694">
        <v>0</v>
      </c>
      <c r="N694" t="s">
        <v>199</v>
      </c>
      <c r="O694">
        <v>0</v>
      </c>
      <c r="P694">
        <v>15</v>
      </c>
      <c r="Q694" t="s">
        <v>264</v>
      </c>
      <c r="R694" t="s">
        <v>201</v>
      </c>
      <c r="S694">
        <v>0</v>
      </c>
      <c r="T694">
        <v>0</v>
      </c>
      <c r="U694">
        <v>14309</v>
      </c>
      <c r="V694">
        <v>14309</v>
      </c>
    </row>
    <row r="695" spans="1:22">
      <c r="A695" t="s">
        <v>196</v>
      </c>
      <c r="B695">
        <v>28</v>
      </c>
      <c r="C695" t="s">
        <v>85</v>
      </c>
      <c r="D695">
        <v>100</v>
      </c>
      <c r="E695" t="s">
        <v>197</v>
      </c>
      <c r="F695">
        <v>1005</v>
      </c>
      <c r="G695" t="s">
        <v>85</v>
      </c>
      <c r="H695">
        <v>2005</v>
      </c>
      <c r="I695" t="s">
        <v>85</v>
      </c>
      <c r="J695">
        <v>3015</v>
      </c>
      <c r="K695" t="s">
        <v>757</v>
      </c>
      <c r="L695">
        <v>0</v>
      </c>
      <c r="N695" t="s">
        <v>616</v>
      </c>
      <c r="O695">
        <v>9</v>
      </c>
      <c r="P695">
        <v>9673</v>
      </c>
      <c r="Q695" t="s">
        <v>758</v>
      </c>
      <c r="R695" t="s">
        <v>201</v>
      </c>
      <c r="S695">
        <v>1</v>
      </c>
      <c r="T695">
        <v>1</v>
      </c>
      <c r="U695">
        <v>126396</v>
      </c>
      <c r="V695">
        <v>126396</v>
      </c>
    </row>
    <row r="696" spans="1:22">
      <c r="A696" t="s">
        <v>196</v>
      </c>
      <c r="B696">
        <v>28</v>
      </c>
      <c r="C696" t="s">
        <v>85</v>
      </c>
      <c r="D696">
        <v>100</v>
      </c>
      <c r="E696" t="s">
        <v>197</v>
      </c>
      <c r="F696">
        <v>1005</v>
      </c>
      <c r="G696" t="s">
        <v>85</v>
      </c>
      <c r="H696">
        <v>2005</v>
      </c>
      <c r="I696" t="s">
        <v>85</v>
      </c>
      <c r="J696">
        <v>3015</v>
      </c>
      <c r="K696" t="s">
        <v>757</v>
      </c>
      <c r="L696">
        <v>0</v>
      </c>
      <c r="N696" t="s">
        <v>216</v>
      </c>
      <c r="O696">
        <v>10</v>
      </c>
      <c r="P696">
        <v>340</v>
      </c>
      <c r="Q696" t="s">
        <v>753</v>
      </c>
      <c r="R696" t="s">
        <v>201</v>
      </c>
      <c r="S696">
        <v>1</v>
      </c>
      <c r="T696">
        <v>1</v>
      </c>
      <c r="U696">
        <v>77256</v>
      </c>
      <c r="V696">
        <v>77256</v>
      </c>
    </row>
    <row r="697" spans="1:22">
      <c r="A697" t="s">
        <v>196</v>
      </c>
      <c r="B697">
        <v>28</v>
      </c>
      <c r="C697" t="s">
        <v>85</v>
      </c>
      <c r="D697">
        <v>100</v>
      </c>
      <c r="E697" t="s">
        <v>197</v>
      </c>
      <c r="F697">
        <v>1005</v>
      </c>
      <c r="G697" t="s">
        <v>85</v>
      </c>
      <c r="H697">
        <v>2005</v>
      </c>
      <c r="I697" t="s">
        <v>85</v>
      </c>
      <c r="J697">
        <v>3015</v>
      </c>
      <c r="K697" t="s">
        <v>757</v>
      </c>
      <c r="L697">
        <v>0</v>
      </c>
      <c r="N697" t="s">
        <v>333</v>
      </c>
      <c r="O697">
        <v>4</v>
      </c>
      <c r="P697">
        <v>194</v>
      </c>
      <c r="Q697" t="s">
        <v>706</v>
      </c>
      <c r="R697" t="s">
        <v>201</v>
      </c>
      <c r="S697">
        <v>1</v>
      </c>
      <c r="T697">
        <v>1</v>
      </c>
      <c r="U697">
        <v>154764</v>
      </c>
      <c r="V697">
        <v>154764</v>
      </c>
    </row>
    <row r="698" spans="1:22">
      <c r="A698" t="s">
        <v>196</v>
      </c>
      <c r="B698">
        <v>28</v>
      </c>
      <c r="C698" t="s">
        <v>85</v>
      </c>
      <c r="D698">
        <v>100</v>
      </c>
      <c r="E698" t="s">
        <v>197</v>
      </c>
      <c r="F698">
        <v>1005</v>
      </c>
      <c r="G698" t="s">
        <v>85</v>
      </c>
      <c r="H698">
        <v>2005</v>
      </c>
      <c r="I698" t="s">
        <v>85</v>
      </c>
      <c r="J698">
        <v>3015</v>
      </c>
      <c r="K698" t="s">
        <v>757</v>
      </c>
      <c r="L698">
        <v>0</v>
      </c>
      <c r="N698" t="s">
        <v>631</v>
      </c>
      <c r="O698">
        <v>0</v>
      </c>
      <c r="P698">
        <v>119</v>
      </c>
      <c r="Q698" t="s">
        <v>358</v>
      </c>
      <c r="R698" t="s">
        <v>201</v>
      </c>
      <c r="S698">
        <v>1</v>
      </c>
      <c r="T698">
        <v>1</v>
      </c>
      <c r="U698">
        <v>110856</v>
      </c>
      <c r="V698">
        <v>110856</v>
      </c>
    </row>
    <row r="699" spans="1:22">
      <c r="A699" t="s">
        <v>196</v>
      </c>
      <c r="B699">
        <v>28</v>
      </c>
      <c r="C699" t="s">
        <v>85</v>
      </c>
      <c r="D699">
        <v>100</v>
      </c>
      <c r="E699" t="s">
        <v>197</v>
      </c>
      <c r="F699">
        <v>1005</v>
      </c>
      <c r="G699" t="s">
        <v>85</v>
      </c>
      <c r="H699">
        <v>2005</v>
      </c>
      <c r="I699" t="s">
        <v>85</v>
      </c>
      <c r="J699">
        <v>3015</v>
      </c>
      <c r="K699" t="s">
        <v>757</v>
      </c>
      <c r="L699">
        <v>0</v>
      </c>
      <c r="N699" t="s">
        <v>199</v>
      </c>
      <c r="O699">
        <v>0</v>
      </c>
      <c r="P699">
        <v>15</v>
      </c>
      <c r="Q699" t="s">
        <v>264</v>
      </c>
      <c r="R699" t="s">
        <v>201</v>
      </c>
      <c r="S699">
        <v>0</v>
      </c>
      <c r="T699">
        <v>0</v>
      </c>
      <c r="U699">
        <v>12243</v>
      </c>
      <c r="V699">
        <v>12243</v>
      </c>
    </row>
    <row r="700" spans="1:22">
      <c r="A700" t="s">
        <v>196</v>
      </c>
      <c r="B700">
        <v>28</v>
      </c>
      <c r="C700" t="s">
        <v>85</v>
      </c>
      <c r="D700">
        <v>100</v>
      </c>
      <c r="E700" t="s">
        <v>197</v>
      </c>
      <c r="F700">
        <v>1005</v>
      </c>
      <c r="G700" t="s">
        <v>85</v>
      </c>
      <c r="H700">
        <v>2005</v>
      </c>
      <c r="I700" t="s">
        <v>85</v>
      </c>
      <c r="J700">
        <v>3020</v>
      </c>
      <c r="K700" t="s">
        <v>309</v>
      </c>
      <c r="L700">
        <v>0</v>
      </c>
      <c r="N700" t="s">
        <v>216</v>
      </c>
      <c r="O700">
        <v>9</v>
      </c>
      <c r="P700">
        <v>9733</v>
      </c>
      <c r="Q700" t="s">
        <v>759</v>
      </c>
      <c r="R700" t="s">
        <v>201</v>
      </c>
      <c r="S700">
        <v>1</v>
      </c>
      <c r="T700">
        <v>1</v>
      </c>
      <c r="U700">
        <v>178932</v>
      </c>
      <c r="V700">
        <v>178932</v>
      </c>
    </row>
    <row r="701" spans="1:22">
      <c r="A701" t="s">
        <v>196</v>
      </c>
      <c r="B701">
        <v>28</v>
      </c>
      <c r="C701" t="s">
        <v>85</v>
      </c>
      <c r="D701">
        <v>100</v>
      </c>
      <c r="E701" t="s">
        <v>197</v>
      </c>
      <c r="F701">
        <v>1005</v>
      </c>
      <c r="G701" t="s">
        <v>85</v>
      </c>
      <c r="H701">
        <v>2005</v>
      </c>
      <c r="I701" t="s">
        <v>85</v>
      </c>
      <c r="J701">
        <v>3020</v>
      </c>
      <c r="K701" t="s">
        <v>309</v>
      </c>
      <c r="L701">
        <v>0</v>
      </c>
      <c r="N701" t="s">
        <v>631</v>
      </c>
      <c r="O701">
        <v>9</v>
      </c>
      <c r="P701">
        <v>9676</v>
      </c>
      <c r="Q701" t="s">
        <v>755</v>
      </c>
      <c r="R701" t="s">
        <v>201</v>
      </c>
      <c r="S701">
        <v>1</v>
      </c>
      <c r="T701">
        <v>1</v>
      </c>
      <c r="U701">
        <v>150132</v>
      </c>
      <c r="V701">
        <v>150132</v>
      </c>
    </row>
    <row r="702" spans="1:22">
      <c r="A702" t="s">
        <v>196</v>
      </c>
      <c r="B702">
        <v>28</v>
      </c>
      <c r="C702" t="s">
        <v>85</v>
      </c>
      <c r="D702">
        <v>100</v>
      </c>
      <c r="E702" t="s">
        <v>197</v>
      </c>
      <c r="F702">
        <v>1005</v>
      </c>
      <c r="G702" t="s">
        <v>85</v>
      </c>
      <c r="H702">
        <v>2005</v>
      </c>
      <c r="I702" t="s">
        <v>85</v>
      </c>
      <c r="J702">
        <v>3020</v>
      </c>
      <c r="K702" t="s">
        <v>309</v>
      </c>
      <c r="L702">
        <v>0</v>
      </c>
      <c r="N702" t="s">
        <v>631</v>
      </c>
      <c r="O702">
        <v>9</v>
      </c>
      <c r="P702">
        <v>9676</v>
      </c>
      <c r="Q702" t="s">
        <v>755</v>
      </c>
      <c r="R702" t="s">
        <v>201</v>
      </c>
      <c r="S702">
        <v>1</v>
      </c>
      <c r="T702">
        <v>1</v>
      </c>
      <c r="U702">
        <v>110856</v>
      </c>
      <c r="V702">
        <v>110856</v>
      </c>
    </row>
    <row r="703" spans="1:22">
      <c r="A703" t="s">
        <v>196</v>
      </c>
      <c r="B703">
        <v>28</v>
      </c>
      <c r="C703" t="s">
        <v>85</v>
      </c>
      <c r="D703">
        <v>100</v>
      </c>
      <c r="E703" t="s">
        <v>197</v>
      </c>
      <c r="F703">
        <v>1005</v>
      </c>
      <c r="G703" t="s">
        <v>85</v>
      </c>
      <c r="H703">
        <v>2005</v>
      </c>
      <c r="I703" t="s">
        <v>85</v>
      </c>
      <c r="J703">
        <v>3020</v>
      </c>
      <c r="K703" t="s">
        <v>309</v>
      </c>
      <c r="L703">
        <v>0</v>
      </c>
      <c r="N703" t="s">
        <v>199</v>
      </c>
      <c r="O703">
        <v>0</v>
      </c>
      <c r="P703">
        <v>15</v>
      </c>
      <c r="Q703" t="s">
        <v>264</v>
      </c>
      <c r="R703" t="s">
        <v>201</v>
      </c>
      <c r="S703">
        <v>0</v>
      </c>
      <c r="T703">
        <v>0</v>
      </c>
      <c r="U703">
        <v>1575</v>
      </c>
      <c r="V703">
        <v>1575</v>
      </c>
    </row>
    <row r="704" spans="1:22">
      <c r="A704" t="s">
        <v>196</v>
      </c>
      <c r="B704">
        <v>30</v>
      </c>
      <c r="C704" t="s">
        <v>93</v>
      </c>
      <c r="D704">
        <v>100</v>
      </c>
      <c r="E704" t="s">
        <v>197</v>
      </c>
      <c r="F704">
        <v>1005</v>
      </c>
      <c r="G704" t="s">
        <v>93</v>
      </c>
      <c r="H704">
        <v>2005</v>
      </c>
      <c r="I704" t="s">
        <v>93</v>
      </c>
      <c r="J704">
        <v>3005</v>
      </c>
      <c r="K704" t="s">
        <v>760</v>
      </c>
      <c r="L704">
        <v>4006</v>
      </c>
      <c r="M704" t="s">
        <v>309</v>
      </c>
      <c r="N704" t="s">
        <v>199</v>
      </c>
      <c r="O704">
        <v>9</v>
      </c>
      <c r="P704">
        <v>9930</v>
      </c>
      <c r="Q704" t="s">
        <v>761</v>
      </c>
      <c r="R704" t="s">
        <v>201</v>
      </c>
      <c r="S704">
        <v>1</v>
      </c>
      <c r="T704">
        <v>1</v>
      </c>
      <c r="U704">
        <v>191736</v>
      </c>
      <c r="V704">
        <v>191736</v>
      </c>
    </row>
    <row r="705" spans="1:22">
      <c r="A705" t="s">
        <v>196</v>
      </c>
      <c r="B705">
        <v>30</v>
      </c>
      <c r="C705" t="s">
        <v>93</v>
      </c>
      <c r="D705">
        <v>100</v>
      </c>
      <c r="E705" t="s">
        <v>197</v>
      </c>
      <c r="F705">
        <v>1005</v>
      </c>
      <c r="G705" t="s">
        <v>93</v>
      </c>
      <c r="H705">
        <v>2005</v>
      </c>
      <c r="I705" t="s">
        <v>93</v>
      </c>
      <c r="J705">
        <v>3005</v>
      </c>
      <c r="K705" t="s">
        <v>760</v>
      </c>
      <c r="L705">
        <v>4006</v>
      </c>
      <c r="M705" t="s">
        <v>309</v>
      </c>
      <c r="N705" t="s">
        <v>616</v>
      </c>
      <c r="O705">
        <v>9</v>
      </c>
      <c r="P705">
        <v>9818</v>
      </c>
      <c r="Q705" t="s">
        <v>762</v>
      </c>
      <c r="R705" t="s">
        <v>201</v>
      </c>
      <c r="S705">
        <v>1</v>
      </c>
      <c r="T705">
        <v>1</v>
      </c>
      <c r="U705">
        <v>167976</v>
      </c>
      <c r="V705">
        <v>167976</v>
      </c>
    </row>
    <row r="706" spans="1:22">
      <c r="A706" t="s">
        <v>196</v>
      </c>
      <c r="B706">
        <v>30</v>
      </c>
      <c r="C706" t="s">
        <v>93</v>
      </c>
      <c r="D706">
        <v>100</v>
      </c>
      <c r="E706" t="s">
        <v>197</v>
      </c>
      <c r="F706">
        <v>1005</v>
      </c>
      <c r="G706" t="s">
        <v>93</v>
      </c>
      <c r="H706">
        <v>2005</v>
      </c>
      <c r="I706" t="s">
        <v>93</v>
      </c>
      <c r="J706">
        <v>3005</v>
      </c>
      <c r="K706" t="s">
        <v>760</v>
      </c>
      <c r="L706">
        <v>4006</v>
      </c>
      <c r="M706" t="s">
        <v>309</v>
      </c>
      <c r="N706" t="s">
        <v>268</v>
      </c>
      <c r="O706">
        <v>10</v>
      </c>
      <c r="P706">
        <v>1911</v>
      </c>
      <c r="Q706" t="s">
        <v>617</v>
      </c>
      <c r="R706" t="s">
        <v>201</v>
      </c>
      <c r="S706">
        <v>1</v>
      </c>
      <c r="T706">
        <v>1</v>
      </c>
      <c r="U706">
        <v>69684</v>
      </c>
      <c r="V706">
        <v>69684</v>
      </c>
    </row>
    <row r="707" spans="1:22">
      <c r="A707" t="s">
        <v>196</v>
      </c>
      <c r="B707">
        <v>30</v>
      </c>
      <c r="C707" t="s">
        <v>93</v>
      </c>
      <c r="D707">
        <v>100</v>
      </c>
      <c r="E707" t="s">
        <v>197</v>
      </c>
      <c r="F707">
        <v>1005</v>
      </c>
      <c r="G707" t="s">
        <v>93</v>
      </c>
      <c r="H707">
        <v>2005</v>
      </c>
      <c r="I707" t="s">
        <v>93</v>
      </c>
      <c r="J707">
        <v>3005</v>
      </c>
      <c r="K707" t="s">
        <v>760</v>
      </c>
      <c r="L707">
        <v>4006</v>
      </c>
      <c r="M707" t="s">
        <v>309</v>
      </c>
      <c r="N707" t="s">
        <v>251</v>
      </c>
      <c r="O707">
        <v>10</v>
      </c>
      <c r="P707">
        <v>802</v>
      </c>
      <c r="Q707" t="s">
        <v>252</v>
      </c>
      <c r="R707" t="s">
        <v>201</v>
      </c>
      <c r="S707">
        <v>1</v>
      </c>
      <c r="T707">
        <v>1</v>
      </c>
      <c r="U707">
        <v>94332</v>
      </c>
      <c r="V707">
        <v>94332</v>
      </c>
    </row>
    <row r="708" spans="1:22">
      <c r="A708" t="s">
        <v>196</v>
      </c>
      <c r="B708">
        <v>30</v>
      </c>
      <c r="C708" t="s">
        <v>93</v>
      </c>
      <c r="D708">
        <v>100</v>
      </c>
      <c r="E708" t="s">
        <v>197</v>
      </c>
      <c r="F708">
        <v>1005</v>
      </c>
      <c r="G708" t="s">
        <v>93</v>
      </c>
      <c r="H708">
        <v>2005</v>
      </c>
      <c r="I708" t="s">
        <v>93</v>
      </c>
      <c r="J708">
        <v>3005</v>
      </c>
      <c r="K708" t="s">
        <v>760</v>
      </c>
      <c r="L708">
        <v>4006</v>
      </c>
      <c r="M708" t="s">
        <v>309</v>
      </c>
      <c r="N708" t="s">
        <v>341</v>
      </c>
      <c r="O708">
        <v>1</v>
      </c>
      <c r="P708">
        <v>308</v>
      </c>
      <c r="Q708" t="s">
        <v>355</v>
      </c>
      <c r="R708" t="s">
        <v>201</v>
      </c>
      <c r="S708">
        <v>1</v>
      </c>
      <c r="T708">
        <v>1</v>
      </c>
      <c r="U708">
        <v>119100</v>
      </c>
      <c r="V708">
        <v>119100</v>
      </c>
    </row>
    <row r="709" spans="1:22">
      <c r="A709" t="s">
        <v>196</v>
      </c>
      <c r="B709">
        <v>30</v>
      </c>
      <c r="C709" t="s">
        <v>93</v>
      </c>
      <c r="D709">
        <v>100</v>
      </c>
      <c r="E709" t="s">
        <v>197</v>
      </c>
      <c r="F709">
        <v>1005</v>
      </c>
      <c r="G709" t="s">
        <v>93</v>
      </c>
      <c r="H709">
        <v>2005</v>
      </c>
      <c r="I709" t="s">
        <v>93</v>
      </c>
      <c r="J709">
        <v>3005</v>
      </c>
      <c r="K709" t="s">
        <v>760</v>
      </c>
      <c r="L709">
        <v>4006</v>
      </c>
      <c r="M709" t="s">
        <v>309</v>
      </c>
      <c r="N709" t="s">
        <v>199</v>
      </c>
      <c r="O709">
        <v>0</v>
      </c>
      <c r="P709">
        <v>15</v>
      </c>
      <c r="Q709" t="s">
        <v>264</v>
      </c>
      <c r="R709" t="s">
        <v>201</v>
      </c>
      <c r="S709">
        <v>0</v>
      </c>
      <c r="T709">
        <v>0</v>
      </c>
      <c r="U709">
        <v>6923</v>
      </c>
      <c r="V709">
        <v>6923</v>
      </c>
    </row>
    <row r="710" spans="1:22">
      <c r="A710" t="s">
        <v>196</v>
      </c>
      <c r="B710">
        <v>30</v>
      </c>
      <c r="C710" t="s">
        <v>93</v>
      </c>
      <c r="D710">
        <v>100</v>
      </c>
      <c r="E710" t="s">
        <v>197</v>
      </c>
      <c r="F710">
        <v>1005</v>
      </c>
      <c r="G710" t="s">
        <v>93</v>
      </c>
      <c r="H710">
        <v>2005</v>
      </c>
      <c r="I710" t="s">
        <v>93</v>
      </c>
      <c r="J710">
        <v>3005</v>
      </c>
      <c r="K710" t="s">
        <v>760</v>
      </c>
      <c r="L710">
        <v>4010</v>
      </c>
      <c r="M710" t="s">
        <v>763</v>
      </c>
      <c r="N710" t="s">
        <v>351</v>
      </c>
      <c r="O710">
        <v>1</v>
      </c>
      <c r="P710" t="s">
        <v>352</v>
      </c>
      <c r="Q710" t="s">
        <v>353</v>
      </c>
      <c r="R710" t="s">
        <v>201</v>
      </c>
      <c r="S710">
        <v>2</v>
      </c>
      <c r="T710">
        <v>1</v>
      </c>
      <c r="U710">
        <v>62544</v>
      </c>
      <c r="V710">
        <v>125088</v>
      </c>
    </row>
    <row r="711" spans="1:22">
      <c r="A711" t="s">
        <v>196</v>
      </c>
      <c r="B711">
        <v>30</v>
      </c>
      <c r="C711" t="s">
        <v>93</v>
      </c>
      <c r="D711">
        <v>100</v>
      </c>
      <c r="E711" t="s">
        <v>197</v>
      </c>
      <c r="F711">
        <v>1005</v>
      </c>
      <c r="G711" t="s">
        <v>93</v>
      </c>
      <c r="H711">
        <v>2005</v>
      </c>
      <c r="I711" t="s">
        <v>93</v>
      </c>
      <c r="J711">
        <v>3005</v>
      </c>
      <c r="K711" t="s">
        <v>760</v>
      </c>
      <c r="L711">
        <v>4010</v>
      </c>
      <c r="M711" t="s">
        <v>763</v>
      </c>
      <c r="N711" t="s">
        <v>622</v>
      </c>
      <c r="O711">
        <v>1</v>
      </c>
      <c r="P711" t="s">
        <v>667</v>
      </c>
      <c r="Q711" t="s">
        <v>205</v>
      </c>
      <c r="R711" t="s">
        <v>201</v>
      </c>
      <c r="S711">
        <v>1</v>
      </c>
      <c r="T711">
        <v>1</v>
      </c>
      <c r="U711">
        <v>90144</v>
      </c>
      <c r="V711">
        <v>90144</v>
      </c>
    </row>
    <row r="712" spans="1:22">
      <c r="A712" t="s">
        <v>196</v>
      </c>
      <c r="B712">
        <v>30</v>
      </c>
      <c r="C712" t="s">
        <v>93</v>
      </c>
      <c r="D712">
        <v>100</v>
      </c>
      <c r="E712" t="s">
        <v>197</v>
      </c>
      <c r="F712">
        <v>1005</v>
      </c>
      <c r="G712" t="s">
        <v>93</v>
      </c>
      <c r="H712">
        <v>2005</v>
      </c>
      <c r="I712" t="s">
        <v>93</v>
      </c>
      <c r="J712">
        <v>3005</v>
      </c>
      <c r="K712" t="s">
        <v>760</v>
      </c>
      <c r="L712">
        <v>4010</v>
      </c>
      <c r="M712" t="s">
        <v>763</v>
      </c>
      <c r="N712" t="s">
        <v>622</v>
      </c>
      <c r="O712">
        <v>1</v>
      </c>
      <c r="P712" t="s">
        <v>667</v>
      </c>
      <c r="Q712" t="s">
        <v>205</v>
      </c>
      <c r="R712" t="s">
        <v>201</v>
      </c>
      <c r="S712">
        <v>1</v>
      </c>
      <c r="T712">
        <v>1</v>
      </c>
      <c r="U712">
        <v>74916</v>
      </c>
      <c r="V712">
        <v>74916</v>
      </c>
    </row>
    <row r="713" spans="1:22">
      <c r="A713" t="s">
        <v>196</v>
      </c>
      <c r="B713">
        <v>30</v>
      </c>
      <c r="C713" t="s">
        <v>93</v>
      </c>
      <c r="D713">
        <v>100</v>
      </c>
      <c r="E713" t="s">
        <v>197</v>
      </c>
      <c r="F713">
        <v>1005</v>
      </c>
      <c r="G713" t="s">
        <v>93</v>
      </c>
      <c r="H713">
        <v>2005</v>
      </c>
      <c r="I713" t="s">
        <v>93</v>
      </c>
      <c r="J713">
        <v>3005</v>
      </c>
      <c r="K713" t="s">
        <v>760</v>
      </c>
      <c r="L713">
        <v>4010</v>
      </c>
      <c r="M713" t="s">
        <v>763</v>
      </c>
      <c r="N713" t="s">
        <v>622</v>
      </c>
      <c r="O713">
        <v>1</v>
      </c>
      <c r="P713" t="s">
        <v>667</v>
      </c>
      <c r="Q713" t="s">
        <v>205</v>
      </c>
      <c r="R713" t="s">
        <v>201</v>
      </c>
      <c r="S713">
        <v>1</v>
      </c>
      <c r="T713">
        <v>1</v>
      </c>
      <c r="U713">
        <v>56124</v>
      </c>
      <c r="V713">
        <v>56124</v>
      </c>
    </row>
    <row r="714" spans="1:22">
      <c r="A714" t="s">
        <v>196</v>
      </c>
      <c r="B714">
        <v>30</v>
      </c>
      <c r="C714" t="s">
        <v>93</v>
      </c>
      <c r="D714">
        <v>100</v>
      </c>
      <c r="E714" t="s">
        <v>197</v>
      </c>
      <c r="F714">
        <v>1005</v>
      </c>
      <c r="G714" t="s">
        <v>93</v>
      </c>
      <c r="H714">
        <v>2005</v>
      </c>
      <c r="I714" t="s">
        <v>93</v>
      </c>
      <c r="J714">
        <v>3005</v>
      </c>
      <c r="K714" t="s">
        <v>760</v>
      </c>
      <c r="L714">
        <v>4010</v>
      </c>
      <c r="M714" t="s">
        <v>763</v>
      </c>
      <c r="N714" t="s">
        <v>199</v>
      </c>
      <c r="O714">
        <v>0</v>
      </c>
      <c r="P714">
        <v>15</v>
      </c>
      <c r="Q714" t="s">
        <v>264</v>
      </c>
      <c r="R714" t="s">
        <v>201</v>
      </c>
      <c r="S714">
        <v>0</v>
      </c>
      <c r="T714">
        <v>0</v>
      </c>
      <c r="U714">
        <v>2487</v>
      </c>
      <c r="V714">
        <v>2487</v>
      </c>
    </row>
    <row r="715" spans="1:22">
      <c r="A715" t="s">
        <v>196</v>
      </c>
      <c r="B715">
        <v>30</v>
      </c>
      <c r="C715" t="s">
        <v>93</v>
      </c>
      <c r="D715">
        <v>100</v>
      </c>
      <c r="E715" t="s">
        <v>197</v>
      </c>
      <c r="F715">
        <v>1005</v>
      </c>
      <c r="G715" t="s">
        <v>93</v>
      </c>
      <c r="H715">
        <v>2005</v>
      </c>
      <c r="I715" t="s">
        <v>93</v>
      </c>
      <c r="J715">
        <v>3010</v>
      </c>
      <c r="K715" t="s">
        <v>97</v>
      </c>
      <c r="L715">
        <v>4015</v>
      </c>
      <c r="M715" t="s">
        <v>764</v>
      </c>
      <c r="N715" t="s">
        <v>268</v>
      </c>
      <c r="O715">
        <v>10</v>
      </c>
      <c r="P715">
        <v>1911</v>
      </c>
      <c r="Q715" t="s">
        <v>617</v>
      </c>
      <c r="R715" t="s">
        <v>201</v>
      </c>
      <c r="S715">
        <v>1</v>
      </c>
      <c r="T715">
        <v>1</v>
      </c>
      <c r="U715">
        <v>69684</v>
      </c>
      <c r="V715">
        <v>69684</v>
      </c>
    </row>
    <row r="716" spans="1:22">
      <c r="A716" t="s">
        <v>196</v>
      </c>
      <c r="B716">
        <v>30</v>
      </c>
      <c r="C716" t="s">
        <v>93</v>
      </c>
      <c r="D716">
        <v>100</v>
      </c>
      <c r="E716" t="s">
        <v>197</v>
      </c>
      <c r="F716">
        <v>1005</v>
      </c>
      <c r="G716" t="s">
        <v>93</v>
      </c>
      <c r="H716">
        <v>2005</v>
      </c>
      <c r="I716" t="s">
        <v>93</v>
      </c>
      <c r="J716">
        <v>3010</v>
      </c>
      <c r="K716" t="s">
        <v>97</v>
      </c>
      <c r="L716">
        <v>4015</v>
      </c>
      <c r="M716" t="s">
        <v>764</v>
      </c>
      <c r="N716" t="s">
        <v>251</v>
      </c>
      <c r="O716">
        <v>10</v>
      </c>
      <c r="P716">
        <v>1315</v>
      </c>
      <c r="Q716" t="s">
        <v>765</v>
      </c>
      <c r="R716" t="s">
        <v>201</v>
      </c>
      <c r="S716">
        <v>1</v>
      </c>
      <c r="T716">
        <v>1</v>
      </c>
      <c r="U716">
        <v>124584</v>
      </c>
      <c r="V716">
        <v>124584</v>
      </c>
    </row>
    <row r="717" spans="1:22">
      <c r="A717" t="s">
        <v>196</v>
      </c>
      <c r="B717">
        <v>30</v>
      </c>
      <c r="C717" t="s">
        <v>93</v>
      </c>
      <c r="D717">
        <v>100</v>
      </c>
      <c r="E717" t="s">
        <v>197</v>
      </c>
      <c r="F717">
        <v>1005</v>
      </c>
      <c r="G717" t="s">
        <v>93</v>
      </c>
      <c r="H717">
        <v>2005</v>
      </c>
      <c r="I717" t="s">
        <v>93</v>
      </c>
      <c r="J717">
        <v>3010</v>
      </c>
      <c r="K717" t="s">
        <v>97</v>
      </c>
      <c r="L717">
        <v>4015</v>
      </c>
      <c r="M717" t="s">
        <v>764</v>
      </c>
      <c r="N717" t="s">
        <v>199</v>
      </c>
      <c r="O717">
        <v>0</v>
      </c>
      <c r="P717">
        <v>15</v>
      </c>
      <c r="Q717" t="s">
        <v>264</v>
      </c>
      <c r="R717" t="s">
        <v>201</v>
      </c>
      <c r="S717">
        <v>0</v>
      </c>
      <c r="T717">
        <v>0</v>
      </c>
      <c r="U717">
        <v>1656</v>
      </c>
      <c r="V717">
        <v>1656</v>
      </c>
    </row>
    <row r="718" spans="1:22">
      <c r="A718" t="s">
        <v>196</v>
      </c>
      <c r="B718">
        <v>30</v>
      </c>
      <c r="C718" t="s">
        <v>93</v>
      </c>
      <c r="D718">
        <v>100</v>
      </c>
      <c r="E718" t="s">
        <v>197</v>
      </c>
      <c r="F718">
        <v>1005</v>
      </c>
      <c r="G718" t="s">
        <v>93</v>
      </c>
      <c r="H718">
        <v>2005</v>
      </c>
      <c r="I718" t="s">
        <v>93</v>
      </c>
      <c r="J718">
        <v>3015</v>
      </c>
      <c r="K718" t="s">
        <v>766</v>
      </c>
      <c r="L718">
        <v>4025</v>
      </c>
      <c r="M718" t="s">
        <v>767</v>
      </c>
      <c r="N718" t="s">
        <v>631</v>
      </c>
      <c r="O718">
        <v>9</v>
      </c>
      <c r="P718">
        <v>9819</v>
      </c>
      <c r="Q718" t="s">
        <v>768</v>
      </c>
      <c r="R718" t="s">
        <v>201</v>
      </c>
      <c r="S718">
        <v>1</v>
      </c>
      <c r="T718">
        <v>1</v>
      </c>
      <c r="U718">
        <v>138840</v>
      </c>
      <c r="V718">
        <v>138840</v>
      </c>
    </row>
    <row r="719" spans="1:22">
      <c r="A719" t="s">
        <v>196</v>
      </c>
      <c r="B719">
        <v>30</v>
      </c>
      <c r="C719" t="s">
        <v>93</v>
      </c>
      <c r="D719">
        <v>100</v>
      </c>
      <c r="E719" t="s">
        <v>197</v>
      </c>
      <c r="F719">
        <v>1005</v>
      </c>
      <c r="G719" t="s">
        <v>93</v>
      </c>
      <c r="H719">
        <v>2005</v>
      </c>
      <c r="I719" t="s">
        <v>93</v>
      </c>
      <c r="J719">
        <v>3015</v>
      </c>
      <c r="K719" t="s">
        <v>766</v>
      </c>
      <c r="L719">
        <v>4025</v>
      </c>
      <c r="M719" t="s">
        <v>767</v>
      </c>
      <c r="N719" t="s">
        <v>351</v>
      </c>
      <c r="O719">
        <v>1</v>
      </c>
      <c r="P719" t="s">
        <v>352</v>
      </c>
      <c r="Q719" t="s">
        <v>353</v>
      </c>
      <c r="R719" t="s">
        <v>201</v>
      </c>
      <c r="S719">
        <v>1</v>
      </c>
      <c r="T719">
        <v>1</v>
      </c>
      <c r="U719">
        <v>64488</v>
      </c>
      <c r="V719">
        <v>64488</v>
      </c>
    </row>
    <row r="720" spans="1:22">
      <c r="A720" t="s">
        <v>196</v>
      </c>
      <c r="B720">
        <v>30</v>
      </c>
      <c r="C720" t="s">
        <v>93</v>
      </c>
      <c r="D720">
        <v>100</v>
      </c>
      <c r="E720" t="s">
        <v>197</v>
      </c>
      <c r="F720">
        <v>1005</v>
      </c>
      <c r="G720" t="s">
        <v>93</v>
      </c>
      <c r="H720">
        <v>2005</v>
      </c>
      <c r="I720" t="s">
        <v>93</v>
      </c>
      <c r="J720">
        <v>3015</v>
      </c>
      <c r="K720" t="s">
        <v>766</v>
      </c>
      <c r="L720">
        <v>4025</v>
      </c>
      <c r="M720" t="s">
        <v>767</v>
      </c>
      <c r="N720" t="s">
        <v>622</v>
      </c>
      <c r="O720">
        <v>1</v>
      </c>
      <c r="P720" t="s">
        <v>667</v>
      </c>
      <c r="Q720" t="s">
        <v>205</v>
      </c>
      <c r="R720" t="s">
        <v>201</v>
      </c>
      <c r="S720">
        <v>1</v>
      </c>
      <c r="T720">
        <v>1</v>
      </c>
      <c r="U720">
        <v>90144</v>
      </c>
      <c r="V720">
        <v>90144</v>
      </c>
    </row>
    <row r="721" spans="1:22">
      <c r="A721" t="s">
        <v>196</v>
      </c>
      <c r="B721">
        <v>30</v>
      </c>
      <c r="C721" t="s">
        <v>93</v>
      </c>
      <c r="D721">
        <v>100</v>
      </c>
      <c r="E721" t="s">
        <v>197</v>
      </c>
      <c r="F721">
        <v>1005</v>
      </c>
      <c r="G721" t="s">
        <v>93</v>
      </c>
      <c r="H721">
        <v>2005</v>
      </c>
      <c r="I721" t="s">
        <v>93</v>
      </c>
      <c r="J721">
        <v>3015</v>
      </c>
      <c r="K721" t="s">
        <v>766</v>
      </c>
      <c r="L721">
        <v>4025</v>
      </c>
      <c r="M721" t="s">
        <v>767</v>
      </c>
      <c r="N721" t="s">
        <v>622</v>
      </c>
      <c r="O721">
        <v>1</v>
      </c>
      <c r="P721" t="s">
        <v>667</v>
      </c>
      <c r="Q721" t="s">
        <v>205</v>
      </c>
      <c r="R721" t="s">
        <v>201</v>
      </c>
      <c r="S721">
        <v>1</v>
      </c>
      <c r="T721">
        <v>1</v>
      </c>
      <c r="U721">
        <v>51936</v>
      </c>
      <c r="V721">
        <v>51936</v>
      </c>
    </row>
    <row r="722" spans="1:22">
      <c r="A722" t="s">
        <v>196</v>
      </c>
      <c r="B722">
        <v>30</v>
      </c>
      <c r="C722" t="s">
        <v>93</v>
      </c>
      <c r="D722">
        <v>100</v>
      </c>
      <c r="E722" t="s">
        <v>197</v>
      </c>
      <c r="F722">
        <v>1005</v>
      </c>
      <c r="G722" t="s">
        <v>93</v>
      </c>
      <c r="H722">
        <v>2005</v>
      </c>
      <c r="I722" t="s">
        <v>93</v>
      </c>
      <c r="J722">
        <v>3015</v>
      </c>
      <c r="K722" t="s">
        <v>766</v>
      </c>
      <c r="L722">
        <v>4025</v>
      </c>
      <c r="M722" t="s">
        <v>767</v>
      </c>
      <c r="N722" t="s">
        <v>341</v>
      </c>
      <c r="O722">
        <v>1</v>
      </c>
      <c r="P722">
        <v>308</v>
      </c>
      <c r="Q722" t="s">
        <v>355</v>
      </c>
      <c r="R722" t="s">
        <v>201</v>
      </c>
      <c r="S722">
        <v>1</v>
      </c>
      <c r="T722">
        <v>1</v>
      </c>
      <c r="U722">
        <v>98928</v>
      </c>
      <c r="V722">
        <v>98928</v>
      </c>
    </row>
    <row r="723" spans="1:22">
      <c r="A723" t="s">
        <v>196</v>
      </c>
      <c r="B723">
        <v>30</v>
      </c>
      <c r="C723" t="s">
        <v>93</v>
      </c>
      <c r="D723">
        <v>100</v>
      </c>
      <c r="E723" t="s">
        <v>197</v>
      </c>
      <c r="F723">
        <v>1005</v>
      </c>
      <c r="G723" t="s">
        <v>93</v>
      </c>
      <c r="H723">
        <v>2005</v>
      </c>
      <c r="I723" t="s">
        <v>93</v>
      </c>
      <c r="J723">
        <v>3015</v>
      </c>
      <c r="K723" t="s">
        <v>766</v>
      </c>
      <c r="L723">
        <v>4025</v>
      </c>
      <c r="M723" t="s">
        <v>767</v>
      </c>
      <c r="N723" t="s">
        <v>199</v>
      </c>
      <c r="O723">
        <v>0</v>
      </c>
      <c r="P723">
        <v>15</v>
      </c>
      <c r="Q723" t="s">
        <v>264</v>
      </c>
      <c r="R723" t="s">
        <v>201</v>
      </c>
      <c r="S723">
        <v>0</v>
      </c>
      <c r="T723">
        <v>0</v>
      </c>
      <c r="U723">
        <v>8889</v>
      </c>
      <c r="V723">
        <v>8889</v>
      </c>
    </row>
    <row r="724" spans="1:22">
      <c r="A724" t="s">
        <v>196</v>
      </c>
      <c r="B724">
        <v>30</v>
      </c>
      <c r="C724" t="s">
        <v>93</v>
      </c>
      <c r="D724">
        <v>100</v>
      </c>
      <c r="E724" t="s">
        <v>197</v>
      </c>
      <c r="F724">
        <v>1005</v>
      </c>
      <c r="G724" t="s">
        <v>93</v>
      </c>
      <c r="H724">
        <v>2005</v>
      </c>
      <c r="I724" t="s">
        <v>93</v>
      </c>
      <c r="J724">
        <v>3015</v>
      </c>
      <c r="K724" t="s">
        <v>766</v>
      </c>
      <c r="L724">
        <v>4100</v>
      </c>
      <c r="M724" t="s">
        <v>769</v>
      </c>
      <c r="N724" t="s">
        <v>631</v>
      </c>
      <c r="O724">
        <v>0</v>
      </c>
      <c r="P724">
        <v>1660</v>
      </c>
      <c r="Q724" t="s">
        <v>770</v>
      </c>
      <c r="R724" t="s">
        <v>201</v>
      </c>
      <c r="S724">
        <v>1</v>
      </c>
      <c r="T724">
        <v>1</v>
      </c>
      <c r="U724">
        <v>138840</v>
      </c>
      <c r="V724">
        <v>138840</v>
      </c>
    </row>
    <row r="725" spans="1:22">
      <c r="A725" t="s">
        <v>196</v>
      </c>
      <c r="B725">
        <v>30</v>
      </c>
      <c r="C725" t="s">
        <v>93</v>
      </c>
      <c r="D725">
        <v>100</v>
      </c>
      <c r="E725" t="s">
        <v>197</v>
      </c>
      <c r="F725">
        <v>1005</v>
      </c>
      <c r="G725" t="s">
        <v>93</v>
      </c>
      <c r="H725">
        <v>2005</v>
      </c>
      <c r="I725" t="s">
        <v>93</v>
      </c>
      <c r="J725">
        <v>3015</v>
      </c>
      <c r="K725" t="s">
        <v>766</v>
      </c>
      <c r="L725">
        <v>4100</v>
      </c>
      <c r="M725" t="s">
        <v>769</v>
      </c>
      <c r="N725" t="s">
        <v>622</v>
      </c>
      <c r="O725">
        <v>1</v>
      </c>
      <c r="P725" t="s">
        <v>667</v>
      </c>
      <c r="Q725" t="s">
        <v>205</v>
      </c>
      <c r="R725" t="s">
        <v>201</v>
      </c>
      <c r="S725">
        <v>1</v>
      </c>
      <c r="T725">
        <v>1</v>
      </c>
      <c r="U725">
        <v>90144</v>
      </c>
      <c r="V725">
        <v>90144</v>
      </c>
    </row>
    <row r="726" spans="1:22">
      <c r="A726" t="s">
        <v>196</v>
      </c>
      <c r="B726">
        <v>30</v>
      </c>
      <c r="C726" t="s">
        <v>93</v>
      </c>
      <c r="D726">
        <v>100</v>
      </c>
      <c r="E726" t="s">
        <v>197</v>
      </c>
      <c r="F726">
        <v>1005</v>
      </c>
      <c r="G726" t="s">
        <v>93</v>
      </c>
      <c r="H726">
        <v>2005</v>
      </c>
      <c r="I726" t="s">
        <v>93</v>
      </c>
      <c r="J726">
        <v>3015</v>
      </c>
      <c r="K726" t="s">
        <v>766</v>
      </c>
      <c r="L726">
        <v>4100</v>
      </c>
      <c r="M726" t="s">
        <v>769</v>
      </c>
      <c r="N726" t="s">
        <v>622</v>
      </c>
      <c r="O726">
        <v>1</v>
      </c>
      <c r="P726" t="s">
        <v>667</v>
      </c>
      <c r="Q726" t="s">
        <v>205</v>
      </c>
      <c r="R726" t="s">
        <v>201</v>
      </c>
      <c r="S726">
        <v>1</v>
      </c>
      <c r="T726">
        <v>1</v>
      </c>
      <c r="U726">
        <v>74916</v>
      </c>
      <c r="V726">
        <v>74916</v>
      </c>
    </row>
    <row r="727" spans="1:22">
      <c r="A727" t="s">
        <v>196</v>
      </c>
      <c r="B727">
        <v>30</v>
      </c>
      <c r="C727" t="s">
        <v>93</v>
      </c>
      <c r="D727">
        <v>100</v>
      </c>
      <c r="E727" t="s">
        <v>197</v>
      </c>
      <c r="F727">
        <v>1005</v>
      </c>
      <c r="G727" t="s">
        <v>93</v>
      </c>
      <c r="H727">
        <v>2005</v>
      </c>
      <c r="I727" t="s">
        <v>93</v>
      </c>
      <c r="J727">
        <v>3015</v>
      </c>
      <c r="K727" t="s">
        <v>766</v>
      </c>
      <c r="L727">
        <v>4100</v>
      </c>
      <c r="M727" t="s">
        <v>769</v>
      </c>
      <c r="N727" t="s">
        <v>341</v>
      </c>
      <c r="O727">
        <v>1</v>
      </c>
      <c r="P727">
        <v>308</v>
      </c>
      <c r="Q727" t="s">
        <v>355</v>
      </c>
      <c r="R727" t="s">
        <v>201</v>
      </c>
      <c r="S727">
        <v>1</v>
      </c>
      <c r="T727">
        <v>1</v>
      </c>
      <c r="U727">
        <v>77640</v>
      </c>
      <c r="V727">
        <v>77640</v>
      </c>
    </row>
    <row r="728" spans="1:22">
      <c r="A728" t="s">
        <v>196</v>
      </c>
      <c r="B728">
        <v>30</v>
      </c>
      <c r="C728" t="s">
        <v>93</v>
      </c>
      <c r="D728">
        <v>100</v>
      </c>
      <c r="E728" t="s">
        <v>197</v>
      </c>
      <c r="F728">
        <v>1005</v>
      </c>
      <c r="G728" t="s">
        <v>93</v>
      </c>
      <c r="H728">
        <v>2005</v>
      </c>
      <c r="I728" t="s">
        <v>93</v>
      </c>
      <c r="J728">
        <v>3015</v>
      </c>
      <c r="K728" t="s">
        <v>766</v>
      </c>
      <c r="L728">
        <v>4100</v>
      </c>
      <c r="M728" t="s">
        <v>769</v>
      </c>
      <c r="N728" t="s">
        <v>199</v>
      </c>
      <c r="O728">
        <v>0</v>
      </c>
      <c r="P728">
        <v>15</v>
      </c>
      <c r="Q728" t="s">
        <v>264</v>
      </c>
      <c r="R728" t="s">
        <v>201</v>
      </c>
      <c r="S728">
        <v>0</v>
      </c>
      <c r="T728">
        <v>0</v>
      </c>
      <c r="U728">
        <v>5120</v>
      </c>
      <c r="V728">
        <v>5120</v>
      </c>
    </row>
    <row r="729" spans="1:22">
      <c r="A729" t="s">
        <v>196</v>
      </c>
      <c r="B729">
        <v>30</v>
      </c>
      <c r="C729" t="s">
        <v>93</v>
      </c>
      <c r="D729">
        <v>100</v>
      </c>
      <c r="E729" t="s">
        <v>197</v>
      </c>
      <c r="F729">
        <v>1005</v>
      </c>
      <c r="G729" t="s">
        <v>93</v>
      </c>
      <c r="H729">
        <v>2005</v>
      </c>
      <c r="I729" t="s">
        <v>93</v>
      </c>
      <c r="J729">
        <v>3015</v>
      </c>
      <c r="K729" t="s">
        <v>766</v>
      </c>
      <c r="L729">
        <v>4350</v>
      </c>
      <c r="M729" t="s">
        <v>771</v>
      </c>
      <c r="N729" t="s">
        <v>631</v>
      </c>
      <c r="O729">
        <v>0</v>
      </c>
      <c r="P729">
        <v>1660</v>
      </c>
      <c r="Q729" t="s">
        <v>770</v>
      </c>
      <c r="R729" t="s">
        <v>201</v>
      </c>
      <c r="S729">
        <v>1</v>
      </c>
      <c r="T729">
        <v>1</v>
      </c>
      <c r="U729">
        <v>110856</v>
      </c>
      <c r="V729">
        <v>110856</v>
      </c>
    </row>
    <row r="730" spans="1:22">
      <c r="A730" t="s">
        <v>196</v>
      </c>
      <c r="B730">
        <v>30</v>
      </c>
      <c r="C730" t="s">
        <v>93</v>
      </c>
      <c r="D730">
        <v>100</v>
      </c>
      <c r="E730" t="s">
        <v>197</v>
      </c>
      <c r="F730">
        <v>1005</v>
      </c>
      <c r="G730" t="s">
        <v>93</v>
      </c>
      <c r="H730">
        <v>2005</v>
      </c>
      <c r="I730" t="s">
        <v>93</v>
      </c>
      <c r="J730">
        <v>3015</v>
      </c>
      <c r="K730" t="s">
        <v>766</v>
      </c>
      <c r="L730">
        <v>4350</v>
      </c>
      <c r="M730" t="s">
        <v>771</v>
      </c>
      <c r="N730" t="s">
        <v>622</v>
      </c>
      <c r="O730">
        <v>1</v>
      </c>
      <c r="P730" t="s">
        <v>667</v>
      </c>
      <c r="Q730" t="s">
        <v>205</v>
      </c>
      <c r="R730" t="s">
        <v>201</v>
      </c>
      <c r="S730">
        <v>1</v>
      </c>
      <c r="T730">
        <v>1</v>
      </c>
      <c r="U730">
        <v>90144</v>
      </c>
      <c r="V730">
        <v>90144</v>
      </c>
    </row>
    <row r="731" spans="1:22">
      <c r="A731" t="s">
        <v>196</v>
      </c>
      <c r="B731">
        <v>30</v>
      </c>
      <c r="C731" t="s">
        <v>93</v>
      </c>
      <c r="D731">
        <v>100</v>
      </c>
      <c r="E731" t="s">
        <v>197</v>
      </c>
      <c r="F731">
        <v>1005</v>
      </c>
      <c r="G731" t="s">
        <v>93</v>
      </c>
      <c r="H731">
        <v>2005</v>
      </c>
      <c r="I731" t="s">
        <v>93</v>
      </c>
      <c r="J731">
        <v>3015</v>
      </c>
      <c r="K731" t="s">
        <v>766</v>
      </c>
      <c r="L731">
        <v>4350</v>
      </c>
      <c r="M731" t="s">
        <v>771</v>
      </c>
      <c r="N731" t="s">
        <v>622</v>
      </c>
      <c r="O731">
        <v>1</v>
      </c>
      <c r="P731" t="s">
        <v>667</v>
      </c>
      <c r="Q731" t="s">
        <v>205</v>
      </c>
      <c r="R731" t="s">
        <v>201</v>
      </c>
      <c r="S731">
        <v>2</v>
      </c>
      <c r="T731">
        <v>1</v>
      </c>
      <c r="U731">
        <v>56124</v>
      </c>
      <c r="V731">
        <v>112248</v>
      </c>
    </row>
    <row r="732" spans="1:22">
      <c r="A732" t="s">
        <v>196</v>
      </c>
      <c r="B732">
        <v>30</v>
      </c>
      <c r="C732" t="s">
        <v>93</v>
      </c>
      <c r="D732">
        <v>100</v>
      </c>
      <c r="E732" t="s">
        <v>197</v>
      </c>
      <c r="F732">
        <v>1005</v>
      </c>
      <c r="G732" t="s">
        <v>93</v>
      </c>
      <c r="H732">
        <v>2005</v>
      </c>
      <c r="I732" t="s">
        <v>93</v>
      </c>
      <c r="J732">
        <v>3015</v>
      </c>
      <c r="K732" t="s">
        <v>766</v>
      </c>
      <c r="L732">
        <v>4350</v>
      </c>
      <c r="M732" t="s">
        <v>771</v>
      </c>
      <c r="N732" t="s">
        <v>622</v>
      </c>
      <c r="O732">
        <v>1</v>
      </c>
      <c r="P732" t="s">
        <v>667</v>
      </c>
      <c r="Q732" t="s">
        <v>205</v>
      </c>
      <c r="R732" t="s">
        <v>201</v>
      </c>
      <c r="S732">
        <v>1</v>
      </c>
      <c r="T732">
        <v>1</v>
      </c>
      <c r="U732">
        <v>51936</v>
      </c>
      <c r="V732">
        <v>51936</v>
      </c>
    </row>
    <row r="733" spans="1:22">
      <c r="A733" t="s">
        <v>196</v>
      </c>
      <c r="B733">
        <v>30</v>
      </c>
      <c r="C733" t="s">
        <v>93</v>
      </c>
      <c r="D733">
        <v>100</v>
      </c>
      <c r="E733" t="s">
        <v>197</v>
      </c>
      <c r="F733">
        <v>1005</v>
      </c>
      <c r="G733" t="s">
        <v>93</v>
      </c>
      <c r="H733">
        <v>2005</v>
      </c>
      <c r="I733" t="s">
        <v>93</v>
      </c>
      <c r="J733">
        <v>3015</v>
      </c>
      <c r="K733" t="s">
        <v>766</v>
      </c>
      <c r="L733">
        <v>4350</v>
      </c>
      <c r="M733" t="s">
        <v>771</v>
      </c>
      <c r="N733" t="s">
        <v>341</v>
      </c>
      <c r="O733">
        <v>1</v>
      </c>
      <c r="P733">
        <v>308</v>
      </c>
      <c r="Q733" t="s">
        <v>355</v>
      </c>
      <c r="R733" t="s">
        <v>201</v>
      </c>
      <c r="S733">
        <v>1</v>
      </c>
      <c r="T733">
        <v>1</v>
      </c>
      <c r="U733">
        <v>81324</v>
      </c>
      <c r="V733">
        <v>81324</v>
      </c>
    </row>
    <row r="734" spans="1:22">
      <c r="A734" t="s">
        <v>196</v>
      </c>
      <c r="B734">
        <v>30</v>
      </c>
      <c r="C734" t="s">
        <v>93</v>
      </c>
      <c r="D734">
        <v>100</v>
      </c>
      <c r="E734" t="s">
        <v>197</v>
      </c>
      <c r="F734">
        <v>1005</v>
      </c>
      <c r="G734" t="s">
        <v>93</v>
      </c>
      <c r="H734">
        <v>2005</v>
      </c>
      <c r="I734" t="s">
        <v>93</v>
      </c>
      <c r="J734">
        <v>3015</v>
      </c>
      <c r="K734" t="s">
        <v>766</v>
      </c>
      <c r="L734">
        <v>4350</v>
      </c>
      <c r="M734" t="s">
        <v>771</v>
      </c>
      <c r="N734" t="s">
        <v>199</v>
      </c>
      <c r="O734">
        <v>0</v>
      </c>
      <c r="P734">
        <v>15</v>
      </c>
      <c r="Q734" t="s">
        <v>264</v>
      </c>
      <c r="R734" t="s">
        <v>201</v>
      </c>
      <c r="S734">
        <v>0</v>
      </c>
      <c r="T734">
        <v>0</v>
      </c>
      <c r="U734">
        <v>6489</v>
      </c>
      <c r="V734">
        <v>6489</v>
      </c>
    </row>
    <row r="735" spans="1:22">
      <c r="A735" t="s">
        <v>196</v>
      </c>
      <c r="B735">
        <v>30</v>
      </c>
      <c r="C735" t="s">
        <v>93</v>
      </c>
      <c r="D735">
        <v>100</v>
      </c>
      <c r="E735" t="s">
        <v>197</v>
      </c>
      <c r="F735">
        <v>1005</v>
      </c>
      <c r="G735" t="s">
        <v>93</v>
      </c>
      <c r="H735">
        <v>2005</v>
      </c>
      <c r="I735" t="s">
        <v>93</v>
      </c>
      <c r="J735">
        <v>3015</v>
      </c>
      <c r="K735" t="s">
        <v>766</v>
      </c>
      <c r="L735">
        <v>4400</v>
      </c>
      <c r="M735" t="s">
        <v>772</v>
      </c>
      <c r="N735" t="s">
        <v>631</v>
      </c>
      <c r="O735">
        <v>0</v>
      </c>
      <c r="P735">
        <v>1660</v>
      </c>
      <c r="Q735" t="s">
        <v>770</v>
      </c>
      <c r="R735" t="s">
        <v>201</v>
      </c>
      <c r="S735">
        <v>1</v>
      </c>
      <c r="T735">
        <v>1</v>
      </c>
      <c r="U735">
        <v>138840</v>
      </c>
      <c r="V735">
        <v>138840</v>
      </c>
    </row>
    <row r="736" spans="1:22">
      <c r="A736" t="s">
        <v>196</v>
      </c>
      <c r="B736">
        <v>30</v>
      </c>
      <c r="C736" t="s">
        <v>93</v>
      </c>
      <c r="D736">
        <v>100</v>
      </c>
      <c r="E736" t="s">
        <v>197</v>
      </c>
      <c r="F736">
        <v>1005</v>
      </c>
      <c r="G736" t="s">
        <v>93</v>
      </c>
      <c r="H736">
        <v>2005</v>
      </c>
      <c r="I736" t="s">
        <v>93</v>
      </c>
      <c r="J736">
        <v>3015</v>
      </c>
      <c r="K736" t="s">
        <v>766</v>
      </c>
      <c r="L736">
        <v>4400</v>
      </c>
      <c r="M736" t="s">
        <v>772</v>
      </c>
      <c r="N736" t="s">
        <v>351</v>
      </c>
      <c r="O736">
        <v>1</v>
      </c>
      <c r="P736" t="s">
        <v>352</v>
      </c>
      <c r="Q736" t="s">
        <v>353</v>
      </c>
      <c r="R736" t="s">
        <v>201</v>
      </c>
      <c r="S736">
        <v>1</v>
      </c>
      <c r="T736">
        <v>1</v>
      </c>
      <c r="U736">
        <v>62544</v>
      </c>
      <c r="V736">
        <v>62544</v>
      </c>
    </row>
    <row r="737" spans="1:22">
      <c r="A737" t="s">
        <v>196</v>
      </c>
      <c r="B737">
        <v>30</v>
      </c>
      <c r="C737" t="s">
        <v>93</v>
      </c>
      <c r="D737">
        <v>100</v>
      </c>
      <c r="E737" t="s">
        <v>197</v>
      </c>
      <c r="F737">
        <v>1005</v>
      </c>
      <c r="G737" t="s">
        <v>93</v>
      </c>
      <c r="H737">
        <v>2005</v>
      </c>
      <c r="I737" t="s">
        <v>93</v>
      </c>
      <c r="J737">
        <v>3015</v>
      </c>
      <c r="K737" t="s">
        <v>766</v>
      </c>
      <c r="L737">
        <v>4400</v>
      </c>
      <c r="M737" t="s">
        <v>772</v>
      </c>
      <c r="N737" t="s">
        <v>622</v>
      </c>
      <c r="O737">
        <v>1</v>
      </c>
      <c r="P737" t="s">
        <v>667</v>
      </c>
      <c r="Q737" t="s">
        <v>205</v>
      </c>
      <c r="R737" t="s">
        <v>201</v>
      </c>
      <c r="S737">
        <v>2</v>
      </c>
      <c r="T737">
        <v>1</v>
      </c>
      <c r="U737">
        <v>68256</v>
      </c>
      <c r="V737">
        <v>136512</v>
      </c>
    </row>
    <row r="738" spans="1:22">
      <c r="A738" t="s">
        <v>196</v>
      </c>
      <c r="B738">
        <v>30</v>
      </c>
      <c r="C738" t="s">
        <v>93</v>
      </c>
      <c r="D738">
        <v>100</v>
      </c>
      <c r="E738" t="s">
        <v>197</v>
      </c>
      <c r="F738">
        <v>1005</v>
      </c>
      <c r="G738" t="s">
        <v>93</v>
      </c>
      <c r="H738">
        <v>2005</v>
      </c>
      <c r="I738" t="s">
        <v>93</v>
      </c>
      <c r="J738">
        <v>3015</v>
      </c>
      <c r="K738" t="s">
        <v>766</v>
      </c>
      <c r="L738">
        <v>4400</v>
      </c>
      <c r="M738" t="s">
        <v>772</v>
      </c>
      <c r="N738" t="s">
        <v>341</v>
      </c>
      <c r="O738">
        <v>1</v>
      </c>
      <c r="P738">
        <v>308</v>
      </c>
      <c r="Q738" t="s">
        <v>355</v>
      </c>
      <c r="R738" t="s">
        <v>201</v>
      </c>
      <c r="S738">
        <v>1</v>
      </c>
      <c r="T738">
        <v>1</v>
      </c>
      <c r="U738">
        <v>119100</v>
      </c>
      <c r="V738">
        <v>119100</v>
      </c>
    </row>
    <row r="739" spans="1:22">
      <c r="A739" t="s">
        <v>196</v>
      </c>
      <c r="B739">
        <v>30</v>
      </c>
      <c r="C739" t="s">
        <v>93</v>
      </c>
      <c r="D739">
        <v>100</v>
      </c>
      <c r="E739" t="s">
        <v>197</v>
      </c>
      <c r="F739">
        <v>1005</v>
      </c>
      <c r="G739" t="s">
        <v>93</v>
      </c>
      <c r="H739">
        <v>2005</v>
      </c>
      <c r="I739" t="s">
        <v>93</v>
      </c>
      <c r="J739">
        <v>3015</v>
      </c>
      <c r="K739" t="s">
        <v>766</v>
      </c>
      <c r="L739">
        <v>4400</v>
      </c>
      <c r="M739" t="s">
        <v>772</v>
      </c>
      <c r="N739" t="s">
        <v>199</v>
      </c>
      <c r="O739">
        <v>0</v>
      </c>
      <c r="P739">
        <v>15</v>
      </c>
      <c r="Q739" t="s">
        <v>264</v>
      </c>
      <c r="R739" t="s">
        <v>201</v>
      </c>
      <c r="S739">
        <v>0</v>
      </c>
      <c r="T739">
        <v>0</v>
      </c>
      <c r="U739">
        <v>2632</v>
      </c>
      <c r="V739">
        <v>2632</v>
      </c>
    </row>
    <row r="740" spans="1:22">
      <c r="A740" t="s">
        <v>196</v>
      </c>
      <c r="B740">
        <v>30</v>
      </c>
      <c r="C740" t="s">
        <v>93</v>
      </c>
      <c r="D740">
        <v>100</v>
      </c>
      <c r="E740" t="s">
        <v>197</v>
      </c>
      <c r="F740">
        <v>1005</v>
      </c>
      <c r="G740" t="s">
        <v>93</v>
      </c>
      <c r="H740">
        <v>2005</v>
      </c>
      <c r="I740" t="s">
        <v>93</v>
      </c>
      <c r="J740">
        <v>3015</v>
      </c>
      <c r="K740" t="s">
        <v>766</v>
      </c>
      <c r="L740">
        <v>4500</v>
      </c>
      <c r="M740" t="s">
        <v>773</v>
      </c>
      <c r="N740" t="s">
        <v>297</v>
      </c>
      <c r="O740">
        <v>20</v>
      </c>
      <c r="P740">
        <v>9844</v>
      </c>
      <c r="Q740" t="s">
        <v>774</v>
      </c>
      <c r="R740" t="s">
        <v>201</v>
      </c>
      <c r="S740">
        <v>1</v>
      </c>
      <c r="T740">
        <v>1</v>
      </c>
      <c r="U740">
        <v>106272</v>
      </c>
      <c r="V740">
        <v>106272</v>
      </c>
    </row>
    <row r="741" spans="1:22">
      <c r="A741" t="s">
        <v>196</v>
      </c>
      <c r="B741">
        <v>30</v>
      </c>
      <c r="C741" t="s">
        <v>93</v>
      </c>
      <c r="D741">
        <v>100</v>
      </c>
      <c r="E741" t="s">
        <v>197</v>
      </c>
      <c r="F741">
        <v>1005</v>
      </c>
      <c r="G741" t="s">
        <v>93</v>
      </c>
      <c r="H741">
        <v>2005</v>
      </c>
      <c r="I741" t="s">
        <v>93</v>
      </c>
      <c r="J741">
        <v>3015</v>
      </c>
      <c r="K741" t="s">
        <v>766</v>
      </c>
      <c r="L741">
        <v>4500</v>
      </c>
      <c r="M741" t="s">
        <v>773</v>
      </c>
      <c r="N741" t="s">
        <v>631</v>
      </c>
      <c r="O741">
        <v>0</v>
      </c>
      <c r="P741">
        <v>1660</v>
      </c>
      <c r="Q741" t="s">
        <v>770</v>
      </c>
      <c r="R741" t="s">
        <v>201</v>
      </c>
      <c r="S741">
        <v>1</v>
      </c>
      <c r="T741">
        <v>1</v>
      </c>
      <c r="U741">
        <v>138840</v>
      </c>
      <c r="V741">
        <v>138840</v>
      </c>
    </row>
    <row r="742" spans="1:22">
      <c r="A742" t="s">
        <v>196</v>
      </c>
      <c r="B742">
        <v>30</v>
      </c>
      <c r="C742" t="s">
        <v>93</v>
      </c>
      <c r="D742">
        <v>100</v>
      </c>
      <c r="E742" t="s">
        <v>197</v>
      </c>
      <c r="F742">
        <v>1005</v>
      </c>
      <c r="G742" t="s">
        <v>93</v>
      </c>
      <c r="H742">
        <v>2005</v>
      </c>
      <c r="I742" t="s">
        <v>93</v>
      </c>
      <c r="J742">
        <v>3015</v>
      </c>
      <c r="K742" t="s">
        <v>766</v>
      </c>
      <c r="L742">
        <v>4500</v>
      </c>
      <c r="M742" t="s">
        <v>773</v>
      </c>
      <c r="N742" t="s">
        <v>622</v>
      </c>
      <c r="O742">
        <v>1</v>
      </c>
      <c r="P742" t="s">
        <v>667</v>
      </c>
      <c r="Q742" t="s">
        <v>205</v>
      </c>
      <c r="R742" t="s">
        <v>201</v>
      </c>
      <c r="S742">
        <v>4</v>
      </c>
      <c r="T742">
        <v>1</v>
      </c>
      <c r="U742">
        <v>90144</v>
      </c>
      <c r="V742">
        <v>360576</v>
      </c>
    </row>
    <row r="743" spans="1:22">
      <c r="A743" t="s">
        <v>196</v>
      </c>
      <c r="B743">
        <v>30</v>
      </c>
      <c r="C743" t="s">
        <v>93</v>
      </c>
      <c r="D743">
        <v>100</v>
      </c>
      <c r="E743" t="s">
        <v>197</v>
      </c>
      <c r="F743">
        <v>1005</v>
      </c>
      <c r="G743" t="s">
        <v>93</v>
      </c>
      <c r="H743">
        <v>2005</v>
      </c>
      <c r="I743" t="s">
        <v>93</v>
      </c>
      <c r="J743">
        <v>3015</v>
      </c>
      <c r="K743" t="s">
        <v>766</v>
      </c>
      <c r="L743">
        <v>4500</v>
      </c>
      <c r="M743" t="s">
        <v>773</v>
      </c>
      <c r="N743" t="s">
        <v>341</v>
      </c>
      <c r="O743">
        <v>1</v>
      </c>
      <c r="P743">
        <v>308</v>
      </c>
      <c r="Q743" t="s">
        <v>355</v>
      </c>
      <c r="R743" t="s">
        <v>201</v>
      </c>
      <c r="S743">
        <v>1</v>
      </c>
      <c r="T743">
        <v>1</v>
      </c>
      <c r="U743">
        <v>85200</v>
      </c>
      <c r="V743">
        <v>85200</v>
      </c>
    </row>
    <row r="744" spans="1:22">
      <c r="A744" t="s">
        <v>196</v>
      </c>
      <c r="B744">
        <v>30</v>
      </c>
      <c r="C744" t="s">
        <v>93</v>
      </c>
      <c r="D744">
        <v>100</v>
      </c>
      <c r="E744" t="s">
        <v>197</v>
      </c>
      <c r="F744">
        <v>1005</v>
      </c>
      <c r="G744" t="s">
        <v>93</v>
      </c>
      <c r="H744">
        <v>2005</v>
      </c>
      <c r="I744" t="s">
        <v>93</v>
      </c>
      <c r="J744">
        <v>3015</v>
      </c>
      <c r="K744" t="s">
        <v>766</v>
      </c>
      <c r="L744">
        <v>4500</v>
      </c>
      <c r="M744" t="s">
        <v>773</v>
      </c>
      <c r="N744" t="s">
        <v>199</v>
      </c>
      <c r="O744">
        <v>0</v>
      </c>
      <c r="P744">
        <v>15</v>
      </c>
      <c r="Q744" t="s">
        <v>264</v>
      </c>
      <c r="R744" t="s">
        <v>201</v>
      </c>
      <c r="S744">
        <v>0</v>
      </c>
      <c r="T744">
        <v>0</v>
      </c>
      <c r="U744">
        <v>3232</v>
      </c>
      <c r="V744">
        <v>3232</v>
      </c>
    </row>
    <row r="745" spans="1:22">
      <c r="A745" t="s">
        <v>196</v>
      </c>
      <c r="B745">
        <v>31</v>
      </c>
      <c r="C745" t="s">
        <v>27</v>
      </c>
      <c r="D745">
        <v>100</v>
      </c>
      <c r="E745" t="s">
        <v>197</v>
      </c>
      <c r="F745">
        <v>1005</v>
      </c>
      <c r="G745" t="s">
        <v>27</v>
      </c>
      <c r="H745">
        <v>2005</v>
      </c>
      <c r="I745" t="s">
        <v>27</v>
      </c>
      <c r="J745">
        <v>3006</v>
      </c>
      <c r="K745" t="s">
        <v>309</v>
      </c>
      <c r="L745">
        <v>4005</v>
      </c>
      <c r="M745" t="s">
        <v>775</v>
      </c>
      <c r="N745" t="s">
        <v>199</v>
      </c>
      <c r="O745">
        <v>9</v>
      </c>
      <c r="P745">
        <v>9931</v>
      </c>
      <c r="Q745" t="s">
        <v>776</v>
      </c>
      <c r="R745" t="s">
        <v>201</v>
      </c>
      <c r="S745">
        <v>1</v>
      </c>
      <c r="T745">
        <v>1</v>
      </c>
      <c r="U745">
        <v>236868</v>
      </c>
      <c r="V745">
        <v>236868</v>
      </c>
    </row>
    <row r="746" spans="1:22">
      <c r="A746" t="s">
        <v>196</v>
      </c>
      <c r="B746">
        <v>31</v>
      </c>
      <c r="C746" t="s">
        <v>27</v>
      </c>
      <c r="D746">
        <v>100</v>
      </c>
      <c r="E746" t="s">
        <v>197</v>
      </c>
      <c r="F746">
        <v>1005</v>
      </c>
      <c r="G746" t="s">
        <v>27</v>
      </c>
      <c r="H746">
        <v>2005</v>
      </c>
      <c r="I746" t="s">
        <v>27</v>
      </c>
      <c r="J746">
        <v>3006</v>
      </c>
      <c r="K746" t="s">
        <v>309</v>
      </c>
      <c r="L746">
        <v>4005</v>
      </c>
      <c r="M746" t="s">
        <v>775</v>
      </c>
      <c r="N746" t="s">
        <v>777</v>
      </c>
      <c r="O746">
        <v>9</v>
      </c>
      <c r="P746">
        <v>9715</v>
      </c>
      <c r="Q746" t="s">
        <v>778</v>
      </c>
      <c r="R746" t="s">
        <v>201</v>
      </c>
      <c r="S746">
        <v>1</v>
      </c>
      <c r="T746">
        <v>1</v>
      </c>
      <c r="U746">
        <v>155556</v>
      </c>
      <c r="V746">
        <v>155556</v>
      </c>
    </row>
    <row r="747" spans="1:22">
      <c r="A747" t="s">
        <v>196</v>
      </c>
      <c r="B747">
        <v>31</v>
      </c>
      <c r="C747" t="s">
        <v>27</v>
      </c>
      <c r="D747">
        <v>100</v>
      </c>
      <c r="E747" t="s">
        <v>197</v>
      </c>
      <c r="F747">
        <v>1005</v>
      </c>
      <c r="G747" t="s">
        <v>27</v>
      </c>
      <c r="H747">
        <v>2005</v>
      </c>
      <c r="I747" t="s">
        <v>27</v>
      </c>
      <c r="J747">
        <v>3006</v>
      </c>
      <c r="K747" t="s">
        <v>309</v>
      </c>
      <c r="L747">
        <v>4005</v>
      </c>
      <c r="M747" t="s">
        <v>775</v>
      </c>
      <c r="N747" t="s">
        <v>268</v>
      </c>
      <c r="O747">
        <v>0</v>
      </c>
      <c r="P747">
        <v>1689</v>
      </c>
      <c r="Q747" t="s">
        <v>779</v>
      </c>
      <c r="R747" t="s">
        <v>201</v>
      </c>
      <c r="S747">
        <v>1</v>
      </c>
      <c r="T747">
        <v>1</v>
      </c>
      <c r="U747">
        <v>80124</v>
      </c>
      <c r="V747">
        <v>80124</v>
      </c>
    </row>
    <row r="748" spans="1:22">
      <c r="A748" t="s">
        <v>196</v>
      </c>
      <c r="B748">
        <v>31</v>
      </c>
      <c r="C748" t="s">
        <v>27</v>
      </c>
      <c r="D748">
        <v>100</v>
      </c>
      <c r="E748" t="s">
        <v>197</v>
      </c>
      <c r="F748">
        <v>1005</v>
      </c>
      <c r="G748" t="s">
        <v>27</v>
      </c>
      <c r="H748">
        <v>2005</v>
      </c>
      <c r="I748" t="s">
        <v>27</v>
      </c>
      <c r="J748">
        <v>3006</v>
      </c>
      <c r="K748" t="s">
        <v>309</v>
      </c>
      <c r="L748">
        <v>4005</v>
      </c>
      <c r="M748" t="s">
        <v>775</v>
      </c>
      <c r="N748" t="s">
        <v>780</v>
      </c>
      <c r="O748">
        <v>9</v>
      </c>
      <c r="P748">
        <v>1657</v>
      </c>
      <c r="Q748" t="s">
        <v>781</v>
      </c>
      <c r="R748" t="s">
        <v>201</v>
      </c>
      <c r="S748">
        <v>1</v>
      </c>
      <c r="T748">
        <v>1</v>
      </c>
      <c r="U748">
        <v>205200</v>
      </c>
      <c r="V748">
        <v>205200</v>
      </c>
    </row>
    <row r="749" spans="1:22">
      <c r="A749" t="s">
        <v>196</v>
      </c>
      <c r="B749">
        <v>31</v>
      </c>
      <c r="C749" t="s">
        <v>27</v>
      </c>
      <c r="D749">
        <v>100</v>
      </c>
      <c r="E749" t="s">
        <v>197</v>
      </c>
      <c r="F749">
        <v>1005</v>
      </c>
      <c r="G749" t="s">
        <v>27</v>
      </c>
      <c r="H749">
        <v>2005</v>
      </c>
      <c r="I749" t="s">
        <v>27</v>
      </c>
      <c r="J749">
        <v>3006</v>
      </c>
      <c r="K749" t="s">
        <v>309</v>
      </c>
      <c r="L749">
        <v>4005</v>
      </c>
      <c r="M749" t="s">
        <v>775</v>
      </c>
      <c r="N749" t="s">
        <v>780</v>
      </c>
      <c r="O749">
        <v>9</v>
      </c>
      <c r="P749">
        <v>1654</v>
      </c>
      <c r="Q749" t="s">
        <v>782</v>
      </c>
      <c r="R749" t="s">
        <v>201</v>
      </c>
      <c r="S749">
        <v>1</v>
      </c>
      <c r="T749">
        <v>1</v>
      </c>
      <c r="U749">
        <v>217128</v>
      </c>
      <c r="V749">
        <v>217128</v>
      </c>
    </row>
    <row r="750" spans="1:22">
      <c r="A750" t="s">
        <v>196</v>
      </c>
      <c r="B750">
        <v>31</v>
      </c>
      <c r="C750" t="s">
        <v>27</v>
      </c>
      <c r="D750">
        <v>100</v>
      </c>
      <c r="E750" t="s">
        <v>197</v>
      </c>
      <c r="F750">
        <v>1005</v>
      </c>
      <c r="G750" t="s">
        <v>27</v>
      </c>
      <c r="H750">
        <v>2005</v>
      </c>
      <c r="I750" t="s">
        <v>27</v>
      </c>
      <c r="J750">
        <v>3006</v>
      </c>
      <c r="K750" t="s">
        <v>309</v>
      </c>
      <c r="L750">
        <v>4005</v>
      </c>
      <c r="M750" t="s">
        <v>775</v>
      </c>
      <c r="N750" t="s">
        <v>780</v>
      </c>
      <c r="O750">
        <v>9</v>
      </c>
      <c r="P750">
        <v>1654</v>
      </c>
      <c r="Q750" t="s">
        <v>782</v>
      </c>
      <c r="R750" t="s">
        <v>201</v>
      </c>
      <c r="S750">
        <v>1</v>
      </c>
      <c r="T750">
        <v>1</v>
      </c>
      <c r="U750">
        <v>211752</v>
      </c>
      <c r="V750">
        <v>211752</v>
      </c>
    </row>
    <row r="751" spans="1:22">
      <c r="A751" t="s">
        <v>196</v>
      </c>
      <c r="B751">
        <v>31</v>
      </c>
      <c r="C751" t="s">
        <v>27</v>
      </c>
      <c r="D751">
        <v>100</v>
      </c>
      <c r="E751" t="s">
        <v>197</v>
      </c>
      <c r="F751">
        <v>1005</v>
      </c>
      <c r="G751" t="s">
        <v>27</v>
      </c>
      <c r="H751">
        <v>2005</v>
      </c>
      <c r="I751" t="s">
        <v>27</v>
      </c>
      <c r="J751">
        <v>3006</v>
      </c>
      <c r="K751" t="s">
        <v>309</v>
      </c>
      <c r="L751">
        <v>4005</v>
      </c>
      <c r="M751" t="s">
        <v>775</v>
      </c>
      <c r="N751" t="s">
        <v>251</v>
      </c>
      <c r="O751">
        <v>10</v>
      </c>
      <c r="P751">
        <v>802</v>
      </c>
      <c r="Q751" t="s">
        <v>252</v>
      </c>
      <c r="R751" t="s">
        <v>201</v>
      </c>
      <c r="S751">
        <v>1</v>
      </c>
      <c r="T751">
        <v>1</v>
      </c>
      <c r="U751">
        <v>98832</v>
      </c>
      <c r="V751">
        <v>98832</v>
      </c>
    </row>
    <row r="752" spans="1:22">
      <c r="A752" t="s">
        <v>196</v>
      </c>
      <c r="B752">
        <v>31</v>
      </c>
      <c r="C752" t="s">
        <v>27</v>
      </c>
      <c r="D752">
        <v>100</v>
      </c>
      <c r="E752" t="s">
        <v>197</v>
      </c>
      <c r="F752">
        <v>1005</v>
      </c>
      <c r="G752" t="s">
        <v>27</v>
      </c>
      <c r="H752">
        <v>2005</v>
      </c>
      <c r="I752" t="s">
        <v>27</v>
      </c>
      <c r="J752">
        <v>3006</v>
      </c>
      <c r="K752" t="s">
        <v>309</v>
      </c>
      <c r="L752">
        <v>4005</v>
      </c>
      <c r="M752" t="s">
        <v>775</v>
      </c>
      <c r="N752" t="s">
        <v>251</v>
      </c>
      <c r="O752">
        <v>10</v>
      </c>
      <c r="P752">
        <v>802</v>
      </c>
      <c r="Q752" t="s">
        <v>252</v>
      </c>
      <c r="R752" t="s">
        <v>201</v>
      </c>
      <c r="S752">
        <v>1</v>
      </c>
      <c r="T752">
        <v>1</v>
      </c>
      <c r="U752">
        <v>83052</v>
      </c>
      <c r="V752">
        <v>83052</v>
      </c>
    </row>
    <row r="753" spans="1:22">
      <c r="A753" t="s">
        <v>196</v>
      </c>
      <c r="B753">
        <v>31</v>
      </c>
      <c r="C753" t="s">
        <v>27</v>
      </c>
      <c r="D753">
        <v>100</v>
      </c>
      <c r="E753" t="s">
        <v>197</v>
      </c>
      <c r="F753">
        <v>1005</v>
      </c>
      <c r="G753" t="s">
        <v>27</v>
      </c>
      <c r="H753">
        <v>2005</v>
      </c>
      <c r="I753" t="s">
        <v>27</v>
      </c>
      <c r="J753">
        <v>3006</v>
      </c>
      <c r="K753" t="s">
        <v>309</v>
      </c>
      <c r="L753">
        <v>4005</v>
      </c>
      <c r="M753" t="s">
        <v>775</v>
      </c>
      <c r="N753" t="s">
        <v>268</v>
      </c>
      <c r="O753">
        <v>10</v>
      </c>
      <c r="P753">
        <v>789</v>
      </c>
      <c r="Q753" t="s">
        <v>324</v>
      </c>
      <c r="R753" t="s">
        <v>201</v>
      </c>
      <c r="S753">
        <v>1</v>
      </c>
      <c r="T753">
        <v>1</v>
      </c>
      <c r="U753">
        <v>76476</v>
      </c>
      <c r="V753">
        <v>76476</v>
      </c>
    </row>
    <row r="754" spans="1:22">
      <c r="A754" t="s">
        <v>196</v>
      </c>
      <c r="B754">
        <v>31</v>
      </c>
      <c r="C754" t="s">
        <v>27</v>
      </c>
      <c r="D754">
        <v>100</v>
      </c>
      <c r="E754" t="s">
        <v>197</v>
      </c>
      <c r="F754">
        <v>1005</v>
      </c>
      <c r="G754" t="s">
        <v>27</v>
      </c>
      <c r="H754">
        <v>2005</v>
      </c>
      <c r="I754" t="s">
        <v>27</v>
      </c>
      <c r="J754">
        <v>3006</v>
      </c>
      <c r="K754" t="s">
        <v>309</v>
      </c>
      <c r="L754">
        <v>4005</v>
      </c>
      <c r="M754" t="s">
        <v>775</v>
      </c>
      <c r="N754" t="s">
        <v>199</v>
      </c>
      <c r="O754">
        <v>0</v>
      </c>
      <c r="P754">
        <v>15</v>
      </c>
      <c r="Q754" t="s">
        <v>264</v>
      </c>
      <c r="R754" t="s">
        <v>201</v>
      </c>
      <c r="S754">
        <v>0</v>
      </c>
      <c r="T754">
        <v>0</v>
      </c>
      <c r="U754">
        <v>9720</v>
      </c>
      <c r="V754">
        <v>9720</v>
      </c>
    </row>
    <row r="755" spans="1:22">
      <c r="A755" t="s">
        <v>196</v>
      </c>
      <c r="B755">
        <v>31</v>
      </c>
      <c r="C755" t="s">
        <v>27</v>
      </c>
      <c r="D755">
        <v>100</v>
      </c>
      <c r="E755" t="s">
        <v>197</v>
      </c>
      <c r="F755">
        <v>1005</v>
      </c>
      <c r="G755" t="s">
        <v>27</v>
      </c>
      <c r="H755">
        <v>2005</v>
      </c>
      <c r="I755" t="s">
        <v>27</v>
      </c>
      <c r="J755">
        <v>3006</v>
      </c>
      <c r="K755" t="s">
        <v>309</v>
      </c>
      <c r="L755">
        <v>4010</v>
      </c>
      <c r="M755" t="s">
        <v>783</v>
      </c>
      <c r="N755" t="s">
        <v>268</v>
      </c>
      <c r="O755">
        <v>0</v>
      </c>
      <c r="P755">
        <v>1689</v>
      </c>
      <c r="Q755" t="s">
        <v>779</v>
      </c>
      <c r="R755" t="s">
        <v>201</v>
      </c>
      <c r="S755">
        <v>1</v>
      </c>
      <c r="T755">
        <v>1</v>
      </c>
      <c r="U755">
        <v>80124</v>
      </c>
      <c r="V755">
        <v>80124</v>
      </c>
    </row>
    <row r="756" spans="1:22">
      <c r="A756" t="s">
        <v>196</v>
      </c>
      <c r="B756">
        <v>31</v>
      </c>
      <c r="C756" t="s">
        <v>27</v>
      </c>
      <c r="D756">
        <v>100</v>
      </c>
      <c r="E756" t="s">
        <v>197</v>
      </c>
      <c r="F756">
        <v>1005</v>
      </c>
      <c r="G756" t="s">
        <v>27</v>
      </c>
      <c r="H756">
        <v>2005</v>
      </c>
      <c r="I756" t="s">
        <v>27</v>
      </c>
      <c r="J756">
        <v>3006</v>
      </c>
      <c r="K756" t="s">
        <v>309</v>
      </c>
      <c r="L756">
        <v>4010</v>
      </c>
      <c r="M756" t="s">
        <v>783</v>
      </c>
      <c r="N756" t="s">
        <v>245</v>
      </c>
      <c r="O756">
        <v>10</v>
      </c>
      <c r="P756">
        <v>1661</v>
      </c>
      <c r="Q756" t="s">
        <v>784</v>
      </c>
      <c r="R756" t="s">
        <v>201</v>
      </c>
      <c r="S756">
        <v>1</v>
      </c>
      <c r="T756">
        <v>1</v>
      </c>
      <c r="U756">
        <v>126756</v>
      </c>
      <c r="V756">
        <v>126756</v>
      </c>
    </row>
    <row r="757" spans="1:22">
      <c r="A757" t="s">
        <v>196</v>
      </c>
      <c r="B757">
        <v>31</v>
      </c>
      <c r="C757" t="s">
        <v>27</v>
      </c>
      <c r="D757">
        <v>100</v>
      </c>
      <c r="E757" t="s">
        <v>197</v>
      </c>
      <c r="F757">
        <v>1005</v>
      </c>
      <c r="G757" t="s">
        <v>27</v>
      </c>
      <c r="H757">
        <v>2005</v>
      </c>
      <c r="I757" t="s">
        <v>27</v>
      </c>
      <c r="J757">
        <v>3006</v>
      </c>
      <c r="K757" t="s">
        <v>309</v>
      </c>
      <c r="L757">
        <v>4010</v>
      </c>
      <c r="M757" t="s">
        <v>783</v>
      </c>
      <c r="N757" t="s">
        <v>785</v>
      </c>
      <c r="O757">
        <v>9</v>
      </c>
      <c r="P757">
        <v>1650</v>
      </c>
      <c r="Q757" t="s">
        <v>786</v>
      </c>
      <c r="R757" t="s">
        <v>201</v>
      </c>
      <c r="S757">
        <v>1</v>
      </c>
      <c r="T757">
        <v>1</v>
      </c>
      <c r="U757">
        <v>192852</v>
      </c>
      <c r="V757">
        <v>192852</v>
      </c>
    </row>
    <row r="758" spans="1:22">
      <c r="A758" t="s">
        <v>196</v>
      </c>
      <c r="B758">
        <v>31</v>
      </c>
      <c r="C758" t="s">
        <v>27</v>
      </c>
      <c r="D758">
        <v>100</v>
      </c>
      <c r="E758" t="s">
        <v>197</v>
      </c>
      <c r="F758">
        <v>1005</v>
      </c>
      <c r="G758" t="s">
        <v>27</v>
      </c>
      <c r="H758">
        <v>2005</v>
      </c>
      <c r="I758" t="s">
        <v>27</v>
      </c>
      <c r="J758">
        <v>3006</v>
      </c>
      <c r="K758" t="s">
        <v>309</v>
      </c>
      <c r="L758">
        <v>4010</v>
      </c>
      <c r="M758" t="s">
        <v>783</v>
      </c>
      <c r="N758" t="s">
        <v>268</v>
      </c>
      <c r="O758">
        <v>10</v>
      </c>
      <c r="P758">
        <v>1310</v>
      </c>
      <c r="Q758" t="s">
        <v>787</v>
      </c>
      <c r="R758" t="s">
        <v>201</v>
      </c>
      <c r="S758">
        <v>1</v>
      </c>
      <c r="T758">
        <v>1</v>
      </c>
      <c r="U758">
        <v>76476</v>
      </c>
      <c r="V758">
        <v>76476</v>
      </c>
    </row>
    <row r="759" spans="1:22">
      <c r="A759" t="s">
        <v>196</v>
      </c>
      <c r="B759">
        <v>31</v>
      </c>
      <c r="C759" t="s">
        <v>27</v>
      </c>
      <c r="D759">
        <v>100</v>
      </c>
      <c r="E759" t="s">
        <v>197</v>
      </c>
      <c r="F759">
        <v>1005</v>
      </c>
      <c r="G759" t="s">
        <v>27</v>
      </c>
      <c r="H759">
        <v>2005</v>
      </c>
      <c r="I759" t="s">
        <v>27</v>
      </c>
      <c r="J759">
        <v>3006</v>
      </c>
      <c r="K759" t="s">
        <v>309</v>
      </c>
      <c r="L759">
        <v>4010</v>
      </c>
      <c r="M759" t="s">
        <v>783</v>
      </c>
      <c r="N759" t="s">
        <v>341</v>
      </c>
      <c r="O759">
        <v>1</v>
      </c>
      <c r="P759">
        <v>1301</v>
      </c>
      <c r="Q759" t="s">
        <v>618</v>
      </c>
      <c r="R759" t="s">
        <v>201</v>
      </c>
      <c r="S759">
        <v>1</v>
      </c>
      <c r="T759">
        <v>1</v>
      </c>
      <c r="U759">
        <v>108576</v>
      </c>
      <c r="V759">
        <v>108576</v>
      </c>
    </row>
    <row r="760" spans="1:22">
      <c r="A760" t="s">
        <v>196</v>
      </c>
      <c r="B760">
        <v>31</v>
      </c>
      <c r="C760" t="s">
        <v>27</v>
      </c>
      <c r="D760">
        <v>100</v>
      </c>
      <c r="E760" t="s">
        <v>197</v>
      </c>
      <c r="F760">
        <v>1005</v>
      </c>
      <c r="G760" t="s">
        <v>27</v>
      </c>
      <c r="H760">
        <v>2005</v>
      </c>
      <c r="I760" t="s">
        <v>27</v>
      </c>
      <c r="J760">
        <v>3006</v>
      </c>
      <c r="K760" t="s">
        <v>309</v>
      </c>
      <c r="L760">
        <v>4010</v>
      </c>
      <c r="M760" t="s">
        <v>783</v>
      </c>
      <c r="N760" t="s">
        <v>294</v>
      </c>
      <c r="O760">
        <v>10</v>
      </c>
      <c r="P760">
        <v>1158</v>
      </c>
      <c r="Q760" t="s">
        <v>788</v>
      </c>
      <c r="R760" t="s">
        <v>201</v>
      </c>
      <c r="S760">
        <v>1</v>
      </c>
      <c r="T760">
        <v>1</v>
      </c>
      <c r="U760">
        <v>103488</v>
      </c>
      <c r="V760">
        <v>103488</v>
      </c>
    </row>
    <row r="761" spans="1:22">
      <c r="A761" t="s">
        <v>196</v>
      </c>
      <c r="B761">
        <v>31</v>
      </c>
      <c r="C761" t="s">
        <v>27</v>
      </c>
      <c r="D761">
        <v>100</v>
      </c>
      <c r="E761" t="s">
        <v>197</v>
      </c>
      <c r="F761">
        <v>1005</v>
      </c>
      <c r="G761" t="s">
        <v>27</v>
      </c>
      <c r="H761">
        <v>2005</v>
      </c>
      <c r="I761" t="s">
        <v>27</v>
      </c>
      <c r="J761">
        <v>3006</v>
      </c>
      <c r="K761" t="s">
        <v>309</v>
      </c>
      <c r="L761">
        <v>4010</v>
      </c>
      <c r="M761" t="s">
        <v>783</v>
      </c>
      <c r="N761" t="s">
        <v>283</v>
      </c>
      <c r="O761">
        <v>20</v>
      </c>
      <c r="P761">
        <v>654</v>
      </c>
      <c r="Q761" t="s">
        <v>789</v>
      </c>
      <c r="R761" t="s">
        <v>201</v>
      </c>
      <c r="S761">
        <v>1</v>
      </c>
      <c r="T761">
        <v>1</v>
      </c>
      <c r="U761">
        <v>79728</v>
      </c>
      <c r="V761">
        <v>79728</v>
      </c>
    </row>
    <row r="762" spans="1:22">
      <c r="A762" t="s">
        <v>196</v>
      </c>
      <c r="B762">
        <v>31</v>
      </c>
      <c r="C762" t="s">
        <v>27</v>
      </c>
      <c r="D762">
        <v>100</v>
      </c>
      <c r="E762" t="s">
        <v>197</v>
      </c>
      <c r="F762">
        <v>1005</v>
      </c>
      <c r="G762" t="s">
        <v>27</v>
      </c>
      <c r="H762">
        <v>2005</v>
      </c>
      <c r="I762" t="s">
        <v>27</v>
      </c>
      <c r="J762">
        <v>3006</v>
      </c>
      <c r="K762" t="s">
        <v>309</v>
      </c>
      <c r="L762">
        <v>4010</v>
      </c>
      <c r="M762" t="s">
        <v>783</v>
      </c>
      <c r="N762" t="s">
        <v>274</v>
      </c>
      <c r="O762">
        <v>0</v>
      </c>
      <c r="P762">
        <v>601</v>
      </c>
      <c r="Q762" t="s">
        <v>790</v>
      </c>
      <c r="R762" t="s">
        <v>201</v>
      </c>
      <c r="S762">
        <v>1</v>
      </c>
      <c r="T762">
        <v>1</v>
      </c>
      <c r="U762">
        <v>146808</v>
      </c>
      <c r="V762">
        <v>146808</v>
      </c>
    </row>
    <row r="763" spans="1:22">
      <c r="A763" t="s">
        <v>196</v>
      </c>
      <c r="B763">
        <v>31</v>
      </c>
      <c r="C763" t="s">
        <v>27</v>
      </c>
      <c r="D763">
        <v>100</v>
      </c>
      <c r="E763" t="s">
        <v>197</v>
      </c>
      <c r="F763">
        <v>1005</v>
      </c>
      <c r="G763" t="s">
        <v>27</v>
      </c>
      <c r="H763">
        <v>2005</v>
      </c>
      <c r="I763" t="s">
        <v>27</v>
      </c>
      <c r="J763">
        <v>3006</v>
      </c>
      <c r="K763" t="s">
        <v>309</v>
      </c>
      <c r="L763">
        <v>4010</v>
      </c>
      <c r="M763" t="s">
        <v>783</v>
      </c>
      <c r="N763" t="s">
        <v>351</v>
      </c>
      <c r="O763">
        <v>1</v>
      </c>
      <c r="P763" t="s">
        <v>352</v>
      </c>
      <c r="Q763" t="s">
        <v>353</v>
      </c>
      <c r="R763" t="s">
        <v>201</v>
      </c>
      <c r="S763">
        <v>1</v>
      </c>
      <c r="T763">
        <v>1</v>
      </c>
      <c r="U763">
        <v>62544</v>
      </c>
      <c r="V763">
        <v>62544</v>
      </c>
    </row>
    <row r="764" spans="1:22">
      <c r="A764" t="s">
        <v>196</v>
      </c>
      <c r="B764">
        <v>31</v>
      </c>
      <c r="C764" t="s">
        <v>27</v>
      </c>
      <c r="D764">
        <v>100</v>
      </c>
      <c r="E764" t="s">
        <v>197</v>
      </c>
      <c r="F764">
        <v>1005</v>
      </c>
      <c r="G764" t="s">
        <v>27</v>
      </c>
      <c r="H764">
        <v>2005</v>
      </c>
      <c r="I764" t="s">
        <v>27</v>
      </c>
      <c r="J764">
        <v>3006</v>
      </c>
      <c r="K764" t="s">
        <v>309</v>
      </c>
      <c r="L764">
        <v>4010</v>
      </c>
      <c r="M764" t="s">
        <v>783</v>
      </c>
      <c r="N764" t="s">
        <v>249</v>
      </c>
      <c r="O764">
        <v>10</v>
      </c>
      <c r="P764">
        <v>361</v>
      </c>
      <c r="Q764" t="s">
        <v>791</v>
      </c>
      <c r="R764" t="s">
        <v>201</v>
      </c>
      <c r="S764">
        <v>1</v>
      </c>
      <c r="T764">
        <v>1</v>
      </c>
      <c r="U764">
        <v>136692</v>
      </c>
      <c r="V764">
        <v>136692</v>
      </c>
    </row>
    <row r="765" spans="1:22">
      <c r="A765" t="s">
        <v>196</v>
      </c>
      <c r="B765">
        <v>31</v>
      </c>
      <c r="C765" t="s">
        <v>27</v>
      </c>
      <c r="D765">
        <v>100</v>
      </c>
      <c r="E765" t="s">
        <v>197</v>
      </c>
      <c r="F765">
        <v>1005</v>
      </c>
      <c r="G765" t="s">
        <v>27</v>
      </c>
      <c r="H765">
        <v>2005</v>
      </c>
      <c r="I765" t="s">
        <v>27</v>
      </c>
      <c r="J765">
        <v>3006</v>
      </c>
      <c r="K765" t="s">
        <v>309</v>
      </c>
      <c r="L765">
        <v>4010</v>
      </c>
      <c r="M765" t="s">
        <v>783</v>
      </c>
      <c r="N765" t="s">
        <v>341</v>
      </c>
      <c r="O765">
        <v>1</v>
      </c>
      <c r="P765">
        <v>308</v>
      </c>
      <c r="Q765" t="s">
        <v>355</v>
      </c>
      <c r="R765" t="s">
        <v>201</v>
      </c>
      <c r="S765">
        <v>1</v>
      </c>
      <c r="T765">
        <v>1</v>
      </c>
      <c r="U765">
        <v>77640</v>
      </c>
      <c r="V765">
        <v>77640</v>
      </c>
    </row>
    <row r="766" spans="1:22">
      <c r="A766" t="s">
        <v>196</v>
      </c>
      <c r="B766">
        <v>31</v>
      </c>
      <c r="C766" t="s">
        <v>27</v>
      </c>
      <c r="D766">
        <v>100</v>
      </c>
      <c r="E766" t="s">
        <v>197</v>
      </c>
      <c r="F766">
        <v>1005</v>
      </c>
      <c r="G766" t="s">
        <v>27</v>
      </c>
      <c r="H766">
        <v>2005</v>
      </c>
      <c r="I766" t="s">
        <v>27</v>
      </c>
      <c r="J766">
        <v>3006</v>
      </c>
      <c r="K766" t="s">
        <v>309</v>
      </c>
      <c r="L766">
        <v>4010</v>
      </c>
      <c r="M766" t="s">
        <v>783</v>
      </c>
      <c r="N766" t="s">
        <v>287</v>
      </c>
      <c r="O766">
        <v>20</v>
      </c>
      <c r="P766">
        <v>125</v>
      </c>
      <c r="Q766" t="s">
        <v>792</v>
      </c>
      <c r="R766" t="s">
        <v>201</v>
      </c>
      <c r="S766">
        <v>1</v>
      </c>
      <c r="T766">
        <v>1</v>
      </c>
      <c r="U766">
        <v>85236</v>
      </c>
      <c r="V766">
        <v>85236</v>
      </c>
    </row>
    <row r="767" spans="1:22">
      <c r="A767" t="s">
        <v>196</v>
      </c>
      <c r="B767">
        <v>31</v>
      </c>
      <c r="C767" t="s">
        <v>27</v>
      </c>
      <c r="D767">
        <v>100</v>
      </c>
      <c r="E767" t="s">
        <v>197</v>
      </c>
      <c r="F767">
        <v>1005</v>
      </c>
      <c r="G767" t="s">
        <v>27</v>
      </c>
      <c r="H767">
        <v>2005</v>
      </c>
      <c r="I767" t="s">
        <v>27</v>
      </c>
      <c r="J767">
        <v>3006</v>
      </c>
      <c r="K767" t="s">
        <v>309</v>
      </c>
      <c r="L767">
        <v>4010</v>
      </c>
      <c r="M767" t="s">
        <v>783</v>
      </c>
      <c r="N767" t="s">
        <v>274</v>
      </c>
      <c r="O767">
        <v>0</v>
      </c>
      <c r="P767">
        <v>118</v>
      </c>
      <c r="Q767" t="s">
        <v>358</v>
      </c>
      <c r="R767" t="s">
        <v>201</v>
      </c>
      <c r="S767">
        <v>1</v>
      </c>
      <c r="T767">
        <v>1</v>
      </c>
      <c r="U767">
        <v>153384</v>
      </c>
      <c r="V767">
        <v>153384</v>
      </c>
    </row>
    <row r="768" spans="1:22">
      <c r="A768" t="s">
        <v>196</v>
      </c>
      <c r="B768">
        <v>31</v>
      </c>
      <c r="C768" t="s">
        <v>27</v>
      </c>
      <c r="D768">
        <v>100</v>
      </c>
      <c r="E768" t="s">
        <v>197</v>
      </c>
      <c r="F768">
        <v>1005</v>
      </c>
      <c r="G768" t="s">
        <v>27</v>
      </c>
      <c r="H768">
        <v>2005</v>
      </c>
      <c r="I768" t="s">
        <v>27</v>
      </c>
      <c r="J768">
        <v>3006</v>
      </c>
      <c r="K768" t="s">
        <v>309</v>
      </c>
      <c r="L768">
        <v>4010</v>
      </c>
      <c r="M768" t="s">
        <v>783</v>
      </c>
      <c r="N768" t="s">
        <v>360</v>
      </c>
      <c r="O768">
        <v>1</v>
      </c>
      <c r="P768">
        <v>109</v>
      </c>
      <c r="Q768" t="s">
        <v>361</v>
      </c>
      <c r="R768" t="s">
        <v>201</v>
      </c>
      <c r="S768">
        <v>1</v>
      </c>
      <c r="T768">
        <v>1</v>
      </c>
      <c r="U768">
        <v>57000</v>
      </c>
      <c r="V768">
        <v>57000</v>
      </c>
    </row>
    <row r="769" spans="1:22">
      <c r="A769" t="s">
        <v>196</v>
      </c>
      <c r="B769">
        <v>31</v>
      </c>
      <c r="C769" t="s">
        <v>27</v>
      </c>
      <c r="D769">
        <v>100</v>
      </c>
      <c r="E769" t="s">
        <v>197</v>
      </c>
      <c r="F769">
        <v>1005</v>
      </c>
      <c r="G769" t="s">
        <v>27</v>
      </c>
      <c r="H769">
        <v>2005</v>
      </c>
      <c r="I769" t="s">
        <v>27</v>
      </c>
      <c r="J769">
        <v>3006</v>
      </c>
      <c r="K769" t="s">
        <v>309</v>
      </c>
      <c r="L769">
        <v>4010</v>
      </c>
      <c r="M769" t="s">
        <v>783</v>
      </c>
      <c r="N769" t="s">
        <v>199</v>
      </c>
      <c r="O769">
        <v>0</v>
      </c>
      <c r="P769">
        <v>15</v>
      </c>
      <c r="Q769" t="s">
        <v>264</v>
      </c>
      <c r="R769" t="s">
        <v>201</v>
      </c>
      <c r="S769">
        <v>0</v>
      </c>
      <c r="T769">
        <v>0</v>
      </c>
      <c r="U769">
        <v>16109</v>
      </c>
      <c r="V769">
        <v>16109</v>
      </c>
    </row>
    <row r="770" spans="1:22">
      <c r="A770" t="s">
        <v>196</v>
      </c>
      <c r="B770">
        <v>31</v>
      </c>
      <c r="C770" t="s">
        <v>27</v>
      </c>
      <c r="D770">
        <v>100</v>
      </c>
      <c r="E770" t="s">
        <v>197</v>
      </c>
      <c r="F770">
        <v>1005</v>
      </c>
      <c r="G770" t="s">
        <v>27</v>
      </c>
      <c r="H770">
        <v>2005</v>
      </c>
      <c r="I770" t="s">
        <v>27</v>
      </c>
      <c r="J770">
        <v>3007</v>
      </c>
      <c r="K770" t="s">
        <v>793</v>
      </c>
      <c r="L770">
        <v>0</v>
      </c>
      <c r="N770" t="s">
        <v>268</v>
      </c>
      <c r="O770">
        <v>0</v>
      </c>
      <c r="P770">
        <v>1689</v>
      </c>
      <c r="Q770" t="s">
        <v>779</v>
      </c>
      <c r="R770" t="s">
        <v>201</v>
      </c>
      <c r="S770">
        <v>1</v>
      </c>
      <c r="T770">
        <v>1</v>
      </c>
      <c r="U770">
        <v>113568</v>
      </c>
      <c r="V770">
        <v>113568</v>
      </c>
    </row>
    <row r="771" spans="1:22">
      <c r="A771" t="s">
        <v>196</v>
      </c>
      <c r="B771">
        <v>31</v>
      </c>
      <c r="C771" t="s">
        <v>27</v>
      </c>
      <c r="D771">
        <v>100</v>
      </c>
      <c r="E771" t="s">
        <v>197</v>
      </c>
      <c r="F771">
        <v>1005</v>
      </c>
      <c r="G771" t="s">
        <v>27</v>
      </c>
      <c r="H771">
        <v>2005</v>
      </c>
      <c r="I771" t="s">
        <v>27</v>
      </c>
      <c r="J771">
        <v>3007</v>
      </c>
      <c r="K771" t="s">
        <v>793</v>
      </c>
      <c r="L771">
        <v>0</v>
      </c>
      <c r="N771" t="s">
        <v>794</v>
      </c>
      <c r="O771">
        <v>9</v>
      </c>
      <c r="P771">
        <v>1673</v>
      </c>
      <c r="Q771" t="s">
        <v>795</v>
      </c>
      <c r="R771" t="s">
        <v>201</v>
      </c>
      <c r="S771">
        <v>1</v>
      </c>
      <c r="T771">
        <v>1</v>
      </c>
      <c r="U771">
        <v>130128</v>
      </c>
      <c r="V771">
        <v>130128</v>
      </c>
    </row>
    <row r="772" spans="1:22">
      <c r="A772" t="s">
        <v>196</v>
      </c>
      <c r="B772">
        <v>31</v>
      </c>
      <c r="C772" t="s">
        <v>27</v>
      </c>
      <c r="D772">
        <v>100</v>
      </c>
      <c r="E772" t="s">
        <v>197</v>
      </c>
      <c r="F772">
        <v>1005</v>
      </c>
      <c r="G772" t="s">
        <v>27</v>
      </c>
      <c r="H772">
        <v>2005</v>
      </c>
      <c r="I772" t="s">
        <v>27</v>
      </c>
      <c r="J772">
        <v>3007</v>
      </c>
      <c r="K772" t="s">
        <v>793</v>
      </c>
      <c r="L772">
        <v>0</v>
      </c>
      <c r="N772" t="s">
        <v>794</v>
      </c>
      <c r="O772">
        <v>9</v>
      </c>
      <c r="P772">
        <v>1673</v>
      </c>
      <c r="Q772" t="s">
        <v>795</v>
      </c>
      <c r="R772" t="s">
        <v>201</v>
      </c>
      <c r="S772">
        <v>1</v>
      </c>
      <c r="T772">
        <v>1</v>
      </c>
      <c r="U772">
        <v>118596</v>
      </c>
      <c r="V772">
        <v>118596</v>
      </c>
    </row>
    <row r="773" spans="1:22">
      <c r="A773" t="s">
        <v>196</v>
      </c>
      <c r="B773">
        <v>31</v>
      </c>
      <c r="C773" t="s">
        <v>27</v>
      </c>
      <c r="D773">
        <v>100</v>
      </c>
      <c r="E773" t="s">
        <v>197</v>
      </c>
      <c r="F773">
        <v>1005</v>
      </c>
      <c r="G773" t="s">
        <v>27</v>
      </c>
      <c r="H773">
        <v>2005</v>
      </c>
      <c r="I773" t="s">
        <v>27</v>
      </c>
      <c r="J773">
        <v>3007</v>
      </c>
      <c r="K773" t="s">
        <v>793</v>
      </c>
      <c r="L773">
        <v>0</v>
      </c>
      <c r="N773" t="s">
        <v>794</v>
      </c>
      <c r="O773">
        <v>9</v>
      </c>
      <c r="P773">
        <v>1673</v>
      </c>
      <c r="Q773" t="s">
        <v>795</v>
      </c>
      <c r="R773" t="s">
        <v>201</v>
      </c>
      <c r="S773">
        <v>2</v>
      </c>
      <c r="T773">
        <v>1</v>
      </c>
      <c r="U773">
        <v>113208</v>
      </c>
      <c r="V773">
        <v>226416</v>
      </c>
    </row>
    <row r="774" spans="1:22">
      <c r="A774" t="s">
        <v>196</v>
      </c>
      <c r="B774">
        <v>31</v>
      </c>
      <c r="C774" t="s">
        <v>27</v>
      </c>
      <c r="D774">
        <v>100</v>
      </c>
      <c r="E774" t="s">
        <v>197</v>
      </c>
      <c r="F774">
        <v>1005</v>
      </c>
      <c r="G774" t="s">
        <v>27</v>
      </c>
      <c r="H774">
        <v>2005</v>
      </c>
      <c r="I774" t="s">
        <v>27</v>
      </c>
      <c r="J774">
        <v>3007</v>
      </c>
      <c r="K774" t="s">
        <v>793</v>
      </c>
      <c r="L774">
        <v>0</v>
      </c>
      <c r="N774" t="s">
        <v>794</v>
      </c>
      <c r="O774">
        <v>9</v>
      </c>
      <c r="P774">
        <v>1673</v>
      </c>
      <c r="Q774" t="s">
        <v>795</v>
      </c>
      <c r="R774" t="s">
        <v>201</v>
      </c>
      <c r="S774">
        <v>1</v>
      </c>
      <c r="T774">
        <v>1</v>
      </c>
      <c r="U774">
        <v>108084</v>
      </c>
      <c r="V774">
        <v>108084</v>
      </c>
    </row>
    <row r="775" spans="1:22">
      <c r="A775" t="s">
        <v>196</v>
      </c>
      <c r="B775">
        <v>31</v>
      </c>
      <c r="C775" t="s">
        <v>27</v>
      </c>
      <c r="D775">
        <v>100</v>
      </c>
      <c r="E775" t="s">
        <v>197</v>
      </c>
      <c r="F775">
        <v>1005</v>
      </c>
      <c r="G775" t="s">
        <v>27</v>
      </c>
      <c r="H775">
        <v>2005</v>
      </c>
      <c r="I775" t="s">
        <v>27</v>
      </c>
      <c r="J775">
        <v>3007</v>
      </c>
      <c r="K775" t="s">
        <v>793</v>
      </c>
      <c r="L775">
        <v>0</v>
      </c>
      <c r="N775" t="s">
        <v>794</v>
      </c>
      <c r="O775">
        <v>9</v>
      </c>
      <c r="P775">
        <v>1673</v>
      </c>
      <c r="Q775" t="s">
        <v>795</v>
      </c>
      <c r="R775" t="s">
        <v>201</v>
      </c>
      <c r="S775">
        <v>1</v>
      </c>
      <c r="T775">
        <v>1</v>
      </c>
      <c r="U775">
        <v>103176</v>
      </c>
      <c r="V775">
        <v>103176</v>
      </c>
    </row>
    <row r="776" spans="1:22">
      <c r="A776" t="s">
        <v>196</v>
      </c>
      <c r="B776">
        <v>31</v>
      </c>
      <c r="C776" t="s">
        <v>27</v>
      </c>
      <c r="D776">
        <v>100</v>
      </c>
      <c r="E776" t="s">
        <v>197</v>
      </c>
      <c r="F776">
        <v>1005</v>
      </c>
      <c r="G776" t="s">
        <v>27</v>
      </c>
      <c r="H776">
        <v>2005</v>
      </c>
      <c r="I776" t="s">
        <v>27</v>
      </c>
      <c r="J776">
        <v>3007</v>
      </c>
      <c r="K776" t="s">
        <v>793</v>
      </c>
      <c r="L776">
        <v>0</v>
      </c>
      <c r="N776" t="s">
        <v>796</v>
      </c>
      <c r="O776">
        <v>9</v>
      </c>
      <c r="P776">
        <v>1652</v>
      </c>
      <c r="Q776" t="s">
        <v>797</v>
      </c>
      <c r="R776" t="s">
        <v>201</v>
      </c>
      <c r="S776">
        <v>1</v>
      </c>
      <c r="T776">
        <v>1</v>
      </c>
      <c r="U776">
        <v>173160</v>
      </c>
      <c r="V776">
        <v>173160</v>
      </c>
    </row>
    <row r="777" spans="1:22">
      <c r="A777" t="s">
        <v>196</v>
      </c>
      <c r="B777">
        <v>31</v>
      </c>
      <c r="C777" t="s">
        <v>27</v>
      </c>
      <c r="D777">
        <v>100</v>
      </c>
      <c r="E777" t="s">
        <v>197</v>
      </c>
      <c r="F777">
        <v>1005</v>
      </c>
      <c r="G777" t="s">
        <v>27</v>
      </c>
      <c r="H777">
        <v>2005</v>
      </c>
      <c r="I777" t="s">
        <v>27</v>
      </c>
      <c r="J777">
        <v>3007</v>
      </c>
      <c r="K777" t="s">
        <v>793</v>
      </c>
      <c r="L777">
        <v>0</v>
      </c>
      <c r="N777" t="s">
        <v>785</v>
      </c>
      <c r="O777">
        <v>9</v>
      </c>
      <c r="P777">
        <v>1650</v>
      </c>
      <c r="Q777" t="s">
        <v>786</v>
      </c>
      <c r="R777" t="s">
        <v>201</v>
      </c>
      <c r="S777">
        <v>1</v>
      </c>
      <c r="T777">
        <v>1</v>
      </c>
      <c r="U777">
        <v>192852</v>
      </c>
      <c r="V777">
        <v>192852</v>
      </c>
    </row>
    <row r="778" spans="1:22">
      <c r="A778" t="s">
        <v>196</v>
      </c>
      <c r="B778">
        <v>31</v>
      </c>
      <c r="C778" t="s">
        <v>27</v>
      </c>
      <c r="D778">
        <v>100</v>
      </c>
      <c r="E778" t="s">
        <v>197</v>
      </c>
      <c r="F778">
        <v>1005</v>
      </c>
      <c r="G778" t="s">
        <v>27</v>
      </c>
      <c r="H778">
        <v>2005</v>
      </c>
      <c r="I778" t="s">
        <v>27</v>
      </c>
      <c r="J778">
        <v>3007</v>
      </c>
      <c r="K778" t="s">
        <v>793</v>
      </c>
      <c r="L778">
        <v>0</v>
      </c>
      <c r="N778" t="s">
        <v>798</v>
      </c>
      <c r="O778">
        <v>9</v>
      </c>
      <c r="P778">
        <v>1641</v>
      </c>
      <c r="Q778" t="s">
        <v>799</v>
      </c>
      <c r="R778" t="s">
        <v>201</v>
      </c>
      <c r="S778">
        <v>1</v>
      </c>
      <c r="T778">
        <v>1</v>
      </c>
      <c r="U778">
        <v>164100</v>
      </c>
      <c r="V778">
        <v>164100</v>
      </c>
    </row>
    <row r="779" spans="1:22">
      <c r="A779" t="s">
        <v>196</v>
      </c>
      <c r="B779">
        <v>31</v>
      </c>
      <c r="C779" t="s">
        <v>27</v>
      </c>
      <c r="D779">
        <v>100</v>
      </c>
      <c r="E779" t="s">
        <v>197</v>
      </c>
      <c r="F779">
        <v>1005</v>
      </c>
      <c r="G779" t="s">
        <v>27</v>
      </c>
      <c r="H779">
        <v>2005</v>
      </c>
      <c r="I779" t="s">
        <v>27</v>
      </c>
      <c r="J779">
        <v>3007</v>
      </c>
      <c r="K779" t="s">
        <v>793</v>
      </c>
      <c r="L779">
        <v>0</v>
      </c>
      <c r="N779" t="s">
        <v>798</v>
      </c>
      <c r="O779">
        <v>9</v>
      </c>
      <c r="P779">
        <v>1641</v>
      </c>
      <c r="Q779" t="s">
        <v>799</v>
      </c>
      <c r="R779" t="s">
        <v>201</v>
      </c>
      <c r="S779">
        <v>1</v>
      </c>
      <c r="T779">
        <v>1</v>
      </c>
      <c r="U779">
        <v>136284</v>
      </c>
      <c r="V779">
        <v>136284</v>
      </c>
    </row>
    <row r="780" spans="1:22">
      <c r="A780" t="s">
        <v>196</v>
      </c>
      <c r="B780">
        <v>31</v>
      </c>
      <c r="C780" t="s">
        <v>27</v>
      </c>
      <c r="D780">
        <v>100</v>
      </c>
      <c r="E780" t="s">
        <v>197</v>
      </c>
      <c r="F780">
        <v>1005</v>
      </c>
      <c r="G780" t="s">
        <v>27</v>
      </c>
      <c r="H780">
        <v>2005</v>
      </c>
      <c r="I780" t="s">
        <v>27</v>
      </c>
      <c r="J780">
        <v>3007</v>
      </c>
      <c r="K780" t="s">
        <v>793</v>
      </c>
      <c r="L780">
        <v>0</v>
      </c>
      <c r="N780" t="s">
        <v>341</v>
      </c>
      <c r="O780">
        <v>1</v>
      </c>
      <c r="P780">
        <v>1617</v>
      </c>
      <c r="Q780" t="s">
        <v>800</v>
      </c>
      <c r="R780" t="s">
        <v>201</v>
      </c>
      <c r="S780">
        <v>1</v>
      </c>
      <c r="T780">
        <v>1</v>
      </c>
      <c r="U780">
        <v>119100</v>
      </c>
      <c r="V780">
        <v>119100</v>
      </c>
    </row>
    <row r="781" spans="1:22">
      <c r="A781" t="s">
        <v>196</v>
      </c>
      <c r="B781">
        <v>31</v>
      </c>
      <c r="C781" t="s">
        <v>27</v>
      </c>
      <c r="D781">
        <v>100</v>
      </c>
      <c r="E781" t="s">
        <v>197</v>
      </c>
      <c r="F781">
        <v>1005</v>
      </c>
      <c r="G781" t="s">
        <v>27</v>
      </c>
      <c r="H781">
        <v>2005</v>
      </c>
      <c r="I781" t="s">
        <v>27</v>
      </c>
      <c r="J781">
        <v>3007</v>
      </c>
      <c r="K781" t="s">
        <v>793</v>
      </c>
      <c r="L781">
        <v>0</v>
      </c>
      <c r="N781" t="s">
        <v>199</v>
      </c>
      <c r="O781">
        <v>0</v>
      </c>
      <c r="P781">
        <v>15</v>
      </c>
      <c r="Q781" t="s">
        <v>264</v>
      </c>
      <c r="R781" t="s">
        <v>201</v>
      </c>
      <c r="S781">
        <v>0</v>
      </c>
      <c r="T781">
        <v>0</v>
      </c>
      <c r="U781">
        <v>10222</v>
      </c>
      <c r="V781">
        <v>10222</v>
      </c>
    </row>
    <row r="782" spans="1:22">
      <c r="A782" t="s">
        <v>196</v>
      </c>
      <c r="B782">
        <v>31</v>
      </c>
      <c r="C782" t="s">
        <v>27</v>
      </c>
      <c r="D782">
        <v>100</v>
      </c>
      <c r="E782" t="s">
        <v>197</v>
      </c>
      <c r="F782">
        <v>1005</v>
      </c>
      <c r="G782" t="s">
        <v>27</v>
      </c>
      <c r="H782">
        <v>2005</v>
      </c>
      <c r="I782" t="s">
        <v>27</v>
      </c>
      <c r="J782">
        <v>3011</v>
      </c>
      <c r="K782" t="s">
        <v>801</v>
      </c>
      <c r="L782">
        <v>0</v>
      </c>
      <c r="N782" t="s">
        <v>268</v>
      </c>
      <c r="O782">
        <v>0</v>
      </c>
      <c r="P782">
        <v>1689</v>
      </c>
      <c r="Q782" t="s">
        <v>779</v>
      </c>
      <c r="R782" t="s">
        <v>201</v>
      </c>
      <c r="S782">
        <v>1</v>
      </c>
      <c r="T782">
        <v>1</v>
      </c>
      <c r="U782">
        <v>108432</v>
      </c>
      <c r="V782">
        <v>108432</v>
      </c>
    </row>
    <row r="783" spans="1:22">
      <c r="A783" t="s">
        <v>196</v>
      </c>
      <c r="B783">
        <v>31</v>
      </c>
      <c r="C783" t="s">
        <v>27</v>
      </c>
      <c r="D783">
        <v>100</v>
      </c>
      <c r="E783" t="s">
        <v>197</v>
      </c>
      <c r="F783">
        <v>1005</v>
      </c>
      <c r="G783" t="s">
        <v>27</v>
      </c>
      <c r="H783">
        <v>2005</v>
      </c>
      <c r="I783" t="s">
        <v>27</v>
      </c>
      <c r="J783">
        <v>3011</v>
      </c>
      <c r="K783" t="s">
        <v>801</v>
      </c>
      <c r="L783">
        <v>0</v>
      </c>
      <c r="N783" t="s">
        <v>802</v>
      </c>
      <c r="O783">
        <v>9</v>
      </c>
      <c r="P783">
        <v>1674</v>
      </c>
      <c r="Q783" t="s">
        <v>803</v>
      </c>
      <c r="R783" t="s">
        <v>201</v>
      </c>
      <c r="S783">
        <v>1</v>
      </c>
      <c r="T783">
        <v>1</v>
      </c>
      <c r="U783">
        <v>124224</v>
      </c>
      <c r="V783">
        <v>124224</v>
      </c>
    </row>
    <row r="784" spans="1:22">
      <c r="A784" t="s">
        <v>196</v>
      </c>
      <c r="B784">
        <v>31</v>
      </c>
      <c r="C784" t="s">
        <v>27</v>
      </c>
      <c r="D784">
        <v>100</v>
      </c>
      <c r="E784" t="s">
        <v>197</v>
      </c>
      <c r="F784">
        <v>1005</v>
      </c>
      <c r="G784" t="s">
        <v>27</v>
      </c>
      <c r="H784">
        <v>2005</v>
      </c>
      <c r="I784" t="s">
        <v>27</v>
      </c>
      <c r="J784">
        <v>3011</v>
      </c>
      <c r="K784" t="s">
        <v>801</v>
      </c>
      <c r="L784">
        <v>0</v>
      </c>
      <c r="N784" t="s">
        <v>796</v>
      </c>
      <c r="O784">
        <v>9</v>
      </c>
      <c r="P784">
        <v>1652</v>
      </c>
      <c r="Q784" t="s">
        <v>797</v>
      </c>
      <c r="R784" t="s">
        <v>201</v>
      </c>
      <c r="S784">
        <v>1</v>
      </c>
      <c r="T784">
        <v>1</v>
      </c>
      <c r="U784">
        <v>173160</v>
      </c>
      <c r="V784">
        <v>173160</v>
      </c>
    </row>
    <row r="785" spans="1:22">
      <c r="A785" t="s">
        <v>196</v>
      </c>
      <c r="B785">
        <v>31</v>
      </c>
      <c r="C785" t="s">
        <v>27</v>
      </c>
      <c r="D785">
        <v>100</v>
      </c>
      <c r="E785" t="s">
        <v>197</v>
      </c>
      <c r="F785">
        <v>1005</v>
      </c>
      <c r="G785" t="s">
        <v>27</v>
      </c>
      <c r="H785">
        <v>2005</v>
      </c>
      <c r="I785" t="s">
        <v>27</v>
      </c>
      <c r="J785">
        <v>3011</v>
      </c>
      <c r="K785" t="s">
        <v>801</v>
      </c>
      <c r="L785">
        <v>0</v>
      </c>
      <c r="N785" t="s">
        <v>785</v>
      </c>
      <c r="O785">
        <v>9</v>
      </c>
      <c r="P785">
        <v>1650</v>
      </c>
      <c r="Q785" t="s">
        <v>786</v>
      </c>
      <c r="R785" t="s">
        <v>201</v>
      </c>
      <c r="S785">
        <v>1</v>
      </c>
      <c r="T785">
        <v>1</v>
      </c>
      <c r="U785">
        <v>216180</v>
      </c>
      <c r="V785">
        <v>216180</v>
      </c>
    </row>
    <row r="786" spans="1:22">
      <c r="A786" t="s">
        <v>196</v>
      </c>
      <c r="B786">
        <v>31</v>
      </c>
      <c r="C786" t="s">
        <v>27</v>
      </c>
      <c r="D786">
        <v>100</v>
      </c>
      <c r="E786" t="s">
        <v>197</v>
      </c>
      <c r="F786">
        <v>1005</v>
      </c>
      <c r="G786" t="s">
        <v>27</v>
      </c>
      <c r="H786">
        <v>2005</v>
      </c>
      <c r="I786" t="s">
        <v>27</v>
      </c>
      <c r="J786">
        <v>3011</v>
      </c>
      <c r="K786" t="s">
        <v>801</v>
      </c>
      <c r="L786">
        <v>0</v>
      </c>
      <c r="N786" t="s">
        <v>804</v>
      </c>
      <c r="O786">
        <v>9</v>
      </c>
      <c r="P786">
        <v>1643</v>
      </c>
      <c r="Q786" t="s">
        <v>805</v>
      </c>
      <c r="R786" t="s">
        <v>201</v>
      </c>
      <c r="S786">
        <v>1</v>
      </c>
      <c r="T786">
        <v>1</v>
      </c>
      <c r="U786">
        <v>130128</v>
      </c>
      <c r="V786">
        <v>130128</v>
      </c>
    </row>
    <row r="787" spans="1:22">
      <c r="A787" t="s">
        <v>196</v>
      </c>
      <c r="B787">
        <v>31</v>
      </c>
      <c r="C787" t="s">
        <v>27</v>
      </c>
      <c r="D787">
        <v>100</v>
      </c>
      <c r="E787" t="s">
        <v>197</v>
      </c>
      <c r="F787">
        <v>1005</v>
      </c>
      <c r="G787" t="s">
        <v>27</v>
      </c>
      <c r="H787">
        <v>2005</v>
      </c>
      <c r="I787" t="s">
        <v>27</v>
      </c>
      <c r="J787">
        <v>3011</v>
      </c>
      <c r="K787" t="s">
        <v>801</v>
      </c>
      <c r="L787">
        <v>0</v>
      </c>
      <c r="N787" t="s">
        <v>804</v>
      </c>
      <c r="O787">
        <v>9</v>
      </c>
      <c r="P787">
        <v>1643</v>
      </c>
      <c r="Q787" t="s">
        <v>805</v>
      </c>
      <c r="R787" t="s">
        <v>201</v>
      </c>
      <c r="S787">
        <v>2</v>
      </c>
      <c r="T787">
        <v>1</v>
      </c>
      <c r="U787">
        <v>113208</v>
      </c>
      <c r="V787">
        <v>226416</v>
      </c>
    </row>
    <row r="788" spans="1:22">
      <c r="A788" t="s">
        <v>196</v>
      </c>
      <c r="B788">
        <v>31</v>
      </c>
      <c r="C788" t="s">
        <v>27</v>
      </c>
      <c r="D788">
        <v>100</v>
      </c>
      <c r="E788" t="s">
        <v>197</v>
      </c>
      <c r="F788">
        <v>1005</v>
      </c>
      <c r="G788" t="s">
        <v>27</v>
      </c>
      <c r="H788">
        <v>2005</v>
      </c>
      <c r="I788" t="s">
        <v>27</v>
      </c>
      <c r="J788">
        <v>3011</v>
      </c>
      <c r="K788" t="s">
        <v>801</v>
      </c>
      <c r="L788">
        <v>0</v>
      </c>
      <c r="N788" t="s">
        <v>804</v>
      </c>
      <c r="O788">
        <v>9</v>
      </c>
      <c r="P788">
        <v>1643</v>
      </c>
      <c r="Q788" t="s">
        <v>805</v>
      </c>
      <c r="R788" t="s">
        <v>201</v>
      </c>
      <c r="S788">
        <v>4</v>
      </c>
      <c r="T788">
        <v>1</v>
      </c>
      <c r="U788">
        <v>108084</v>
      </c>
      <c r="V788">
        <v>432336</v>
      </c>
    </row>
    <row r="789" spans="1:22">
      <c r="A789" t="s">
        <v>196</v>
      </c>
      <c r="B789">
        <v>31</v>
      </c>
      <c r="C789" t="s">
        <v>27</v>
      </c>
      <c r="D789">
        <v>100</v>
      </c>
      <c r="E789" t="s">
        <v>197</v>
      </c>
      <c r="F789">
        <v>1005</v>
      </c>
      <c r="G789" t="s">
        <v>27</v>
      </c>
      <c r="H789">
        <v>2005</v>
      </c>
      <c r="I789" t="s">
        <v>27</v>
      </c>
      <c r="J789">
        <v>3011</v>
      </c>
      <c r="K789" t="s">
        <v>801</v>
      </c>
      <c r="L789">
        <v>0</v>
      </c>
      <c r="N789" t="s">
        <v>804</v>
      </c>
      <c r="O789">
        <v>9</v>
      </c>
      <c r="P789">
        <v>1643</v>
      </c>
      <c r="Q789" t="s">
        <v>805</v>
      </c>
      <c r="R789" t="s">
        <v>201</v>
      </c>
      <c r="S789">
        <v>3</v>
      </c>
      <c r="T789">
        <v>1</v>
      </c>
      <c r="U789">
        <v>103176</v>
      </c>
      <c r="V789">
        <v>309528</v>
      </c>
    </row>
    <row r="790" spans="1:22">
      <c r="A790" t="s">
        <v>196</v>
      </c>
      <c r="B790">
        <v>31</v>
      </c>
      <c r="C790" t="s">
        <v>27</v>
      </c>
      <c r="D790">
        <v>100</v>
      </c>
      <c r="E790" t="s">
        <v>197</v>
      </c>
      <c r="F790">
        <v>1005</v>
      </c>
      <c r="G790" t="s">
        <v>27</v>
      </c>
      <c r="H790">
        <v>2005</v>
      </c>
      <c r="I790" t="s">
        <v>27</v>
      </c>
      <c r="J790">
        <v>3011</v>
      </c>
      <c r="K790" t="s">
        <v>801</v>
      </c>
      <c r="L790">
        <v>0</v>
      </c>
      <c r="N790" t="s">
        <v>804</v>
      </c>
      <c r="O790">
        <v>9</v>
      </c>
      <c r="P790">
        <v>1643</v>
      </c>
      <c r="Q790" t="s">
        <v>805</v>
      </c>
      <c r="R790" t="s">
        <v>201</v>
      </c>
      <c r="S790">
        <v>2</v>
      </c>
      <c r="T790">
        <v>1</v>
      </c>
      <c r="U790">
        <v>98484</v>
      </c>
      <c r="V790">
        <v>196968</v>
      </c>
    </row>
    <row r="791" spans="1:22">
      <c r="A791" t="s">
        <v>196</v>
      </c>
      <c r="B791">
        <v>31</v>
      </c>
      <c r="C791" t="s">
        <v>27</v>
      </c>
      <c r="D791">
        <v>100</v>
      </c>
      <c r="E791" t="s">
        <v>197</v>
      </c>
      <c r="F791">
        <v>1005</v>
      </c>
      <c r="G791" t="s">
        <v>27</v>
      </c>
      <c r="H791">
        <v>2005</v>
      </c>
      <c r="I791" t="s">
        <v>27</v>
      </c>
      <c r="J791">
        <v>3011</v>
      </c>
      <c r="K791" t="s">
        <v>801</v>
      </c>
      <c r="L791">
        <v>0</v>
      </c>
      <c r="N791" t="s">
        <v>804</v>
      </c>
      <c r="O791">
        <v>9</v>
      </c>
      <c r="P791">
        <v>1643</v>
      </c>
      <c r="Q791" t="s">
        <v>805</v>
      </c>
      <c r="R791" t="s">
        <v>201</v>
      </c>
      <c r="S791">
        <v>1</v>
      </c>
      <c r="T791">
        <v>1</v>
      </c>
      <c r="U791">
        <v>89784</v>
      </c>
      <c r="V791">
        <v>89784</v>
      </c>
    </row>
    <row r="792" spans="1:22">
      <c r="A792" t="s">
        <v>196</v>
      </c>
      <c r="B792">
        <v>31</v>
      </c>
      <c r="C792" t="s">
        <v>27</v>
      </c>
      <c r="D792">
        <v>100</v>
      </c>
      <c r="E792" t="s">
        <v>197</v>
      </c>
      <c r="F792">
        <v>1005</v>
      </c>
      <c r="G792" t="s">
        <v>27</v>
      </c>
      <c r="H792">
        <v>2005</v>
      </c>
      <c r="I792" t="s">
        <v>27</v>
      </c>
      <c r="J792">
        <v>3011</v>
      </c>
      <c r="K792" t="s">
        <v>801</v>
      </c>
      <c r="L792">
        <v>0</v>
      </c>
      <c r="N792" t="s">
        <v>804</v>
      </c>
      <c r="O792">
        <v>9</v>
      </c>
      <c r="P792">
        <v>1643</v>
      </c>
      <c r="Q792" t="s">
        <v>805</v>
      </c>
      <c r="R792" t="s">
        <v>201</v>
      </c>
      <c r="S792">
        <v>3</v>
      </c>
      <c r="T792">
        <v>1</v>
      </c>
      <c r="U792">
        <v>85704</v>
      </c>
      <c r="V792">
        <v>257112</v>
      </c>
    </row>
    <row r="793" spans="1:22">
      <c r="A793" t="s">
        <v>196</v>
      </c>
      <c r="B793">
        <v>31</v>
      </c>
      <c r="C793" t="s">
        <v>27</v>
      </c>
      <c r="D793">
        <v>100</v>
      </c>
      <c r="E793" t="s">
        <v>197</v>
      </c>
      <c r="F793">
        <v>1005</v>
      </c>
      <c r="G793" t="s">
        <v>27</v>
      </c>
      <c r="H793">
        <v>2005</v>
      </c>
      <c r="I793" t="s">
        <v>27</v>
      </c>
      <c r="J793">
        <v>3011</v>
      </c>
      <c r="K793" t="s">
        <v>801</v>
      </c>
      <c r="L793">
        <v>0</v>
      </c>
      <c r="N793" t="s">
        <v>804</v>
      </c>
      <c r="O793">
        <v>9</v>
      </c>
      <c r="P793">
        <v>1643</v>
      </c>
      <c r="Q793" t="s">
        <v>805</v>
      </c>
      <c r="R793" t="s">
        <v>201</v>
      </c>
      <c r="S793">
        <v>4</v>
      </c>
      <c r="T793">
        <v>1</v>
      </c>
      <c r="U793">
        <v>81816</v>
      </c>
      <c r="V793">
        <v>327264</v>
      </c>
    </row>
    <row r="794" spans="1:22">
      <c r="A794" t="s">
        <v>196</v>
      </c>
      <c r="B794">
        <v>31</v>
      </c>
      <c r="C794" t="s">
        <v>27</v>
      </c>
      <c r="D794">
        <v>100</v>
      </c>
      <c r="E794" t="s">
        <v>197</v>
      </c>
      <c r="F794">
        <v>1005</v>
      </c>
      <c r="G794" t="s">
        <v>27</v>
      </c>
      <c r="H794">
        <v>2005</v>
      </c>
      <c r="I794" t="s">
        <v>27</v>
      </c>
      <c r="J794">
        <v>3011</v>
      </c>
      <c r="K794" t="s">
        <v>801</v>
      </c>
      <c r="L794">
        <v>0</v>
      </c>
      <c r="N794" t="s">
        <v>804</v>
      </c>
      <c r="O794">
        <v>9</v>
      </c>
      <c r="P794">
        <v>1643</v>
      </c>
      <c r="Q794" t="s">
        <v>805</v>
      </c>
      <c r="R794" t="s">
        <v>201</v>
      </c>
      <c r="S794">
        <v>4</v>
      </c>
      <c r="T794">
        <v>1</v>
      </c>
      <c r="U794">
        <v>78108</v>
      </c>
      <c r="V794">
        <v>312432</v>
      </c>
    </row>
    <row r="795" spans="1:22">
      <c r="A795" t="s">
        <v>196</v>
      </c>
      <c r="B795">
        <v>31</v>
      </c>
      <c r="C795" t="s">
        <v>27</v>
      </c>
      <c r="D795">
        <v>100</v>
      </c>
      <c r="E795" t="s">
        <v>197</v>
      </c>
      <c r="F795">
        <v>1005</v>
      </c>
      <c r="G795" t="s">
        <v>27</v>
      </c>
      <c r="H795">
        <v>2005</v>
      </c>
      <c r="I795" t="s">
        <v>27</v>
      </c>
      <c r="J795">
        <v>3011</v>
      </c>
      <c r="K795" t="s">
        <v>801</v>
      </c>
      <c r="L795">
        <v>0</v>
      </c>
      <c r="N795" t="s">
        <v>798</v>
      </c>
      <c r="O795">
        <v>9</v>
      </c>
      <c r="P795">
        <v>1641</v>
      </c>
      <c r="Q795" t="s">
        <v>799</v>
      </c>
      <c r="R795" t="s">
        <v>201</v>
      </c>
      <c r="S795">
        <v>5</v>
      </c>
      <c r="T795">
        <v>1</v>
      </c>
      <c r="U795">
        <v>164100</v>
      </c>
      <c r="V795">
        <v>820500</v>
      </c>
    </row>
    <row r="796" spans="1:22">
      <c r="A796" t="s">
        <v>196</v>
      </c>
      <c r="B796">
        <v>31</v>
      </c>
      <c r="C796" t="s">
        <v>27</v>
      </c>
      <c r="D796">
        <v>100</v>
      </c>
      <c r="E796" t="s">
        <v>197</v>
      </c>
      <c r="F796">
        <v>1005</v>
      </c>
      <c r="G796" t="s">
        <v>27</v>
      </c>
      <c r="H796">
        <v>2005</v>
      </c>
      <c r="I796" t="s">
        <v>27</v>
      </c>
      <c r="J796">
        <v>3011</v>
      </c>
      <c r="K796" t="s">
        <v>801</v>
      </c>
      <c r="L796">
        <v>0</v>
      </c>
      <c r="N796" t="s">
        <v>798</v>
      </c>
      <c r="O796">
        <v>9</v>
      </c>
      <c r="P796">
        <v>1641</v>
      </c>
      <c r="Q796" t="s">
        <v>799</v>
      </c>
      <c r="R796" t="s">
        <v>201</v>
      </c>
      <c r="S796">
        <v>1</v>
      </c>
      <c r="T796">
        <v>1</v>
      </c>
      <c r="U796">
        <v>156648</v>
      </c>
      <c r="V796">
        <v>156648</v>
      </c>
    </row>
    <row r="797" spans="1:22">
      <c r="A797" t="s">
        <v>196</v>
      </c>
      <c r="B797">
        <v>31</v>
      </c>
      <c r="C797" t="s">
        <v>27</v>
      </c>
      <c r="D797">
        <v>100</v>
      </c>
      <c r="E797" t="s">
        <v>197</v>
      </c>
      <c r="F797">
        <v>1005</v>
      </c>
      <c r="G797" t="s">
        <v>27</v>
      </c>
      <c r="H797">
        <v>2005</v>
      </c>
      <c r="I797" t="s">
        <v>27</v>
      </c>
      <c r="J797">
        <v>3011</v>
      </c>
      <c r="K797" t="s">
        <v>801</v>
      </c>
      <c r="L797">
        <v>0</v>
      </c>
      <c r="N797" t="s">
        <v>798</v>
      </c>
      <c r="O797">
        <v>9</v>
      </c>
      <c r="P797">
        <v>1641</v>
      </c>
      <c r="Q797" t="s">
        <v>799</v>
      </c>
      <c r="R797" t="s">
        <v>201</v>
      </c>
      <c r="S797">
        <v>1</v>
      </c>
      <c r="T797">
        <v>1</v>
      </c>
      <c r="U797">
        <v>130128</v>
      </c>
      <c r="V797">
        <v>130128</v>
      </c>
    </row>
    <row r="798" spans="1:22">
      <c r="A798" t="s">
        <v>196</v>
      </c>
      <c r="B798">
        <v>31</v>
      </c>
      <c r="C798" t="s">
        <v>27</v>
      </c>
      <c r="D798">
        <v>100</v>
      </c>
      <c r="E798" t="s">
        <v>197</v>
      </c>
      <c r="F798">
        <v>1005</v>
      </c>
      <c r="G798" t="s">
        <v>27</v>
      </c>
      <c r="H798">
        <v>2005</v>
      </c>
      <c r="I798" t="s">
        <v>27</v>
      </c>
      <c r="J798">
        <v>3011</v>
      </c>
      <c r="K798" t="s">
        <v>801</v>
      </c>
      <c r="L798">
        <v>0</v>
      </c>
      <c r="N798" t="s">
        <v>251</v>
      </c>
      <c r="O798">
        <v>10</v>
      </c>
      <c r="P798">
        <v>1619</v>
      </c>
      <c r="Q798" t="s">
        <v>806</v>
      </c>
      <c r="R798" t="s">
        <v>201</v>
      </c>
      <c r="S798">
        <v>1</v>
      </c>
      <c r="T798">
        <v>1</v>
      </c>
      <c r="U798">
        <v>124584</v>
      </c>
      <c r="V798">
        <v>124584</v>
      </c>
    </row>
    <row r="799" spans="1:22">
      <c r="A799" t="s">
        <v>196</v>
      </c>
      <c r="B799">
        <v>31</v>
      </c>
      <c r="C799" t="s">
        <v>27</v>
      </c>
      <c r="D799">
        <v>100</v>
      </c>
      <c r="E799" t="s">
        <v>197</v>
      </c>
      <c r="F799">
        <v>1005</v>
      </c>
      <c r="G799" t="s">
        <v>27</v>
      </c>
      <c r="H799">
        <v>2005</v>
      </c>
      <c r="I799" t="s">
        <v>27</v>
      </c>
      <c r="J799">
        <v>3011</v>
      </c>
      <c r="K799" t="s">
        <v>801</v>
      </c>
      <c r="L799">
        <v>0</v>
      </c>
      <c r="N799" t="s">
        <v>341</v>
      </c>
      <c r="O799">
        <v>1</v>
      </c>
      <c r="P799">
        <v>1617</v>
      </c>
      <c r="Q799" t="s">
        <v>800</v>
      </c>
      <c r="R799" t="s">
        <v>201</v>
      </c>
      <c r="S799">
        <v>2</v>
      </c>
      <c r="T799">
        <v>1</v>
      </c>
      <c r="U799">
        <v>119100</v>
      </c>
      <c r="V799">
        <v>238200</v>
      </c>
    </row>
    <row r="800" spans="1:22">
      <c r="A800" t="s">
        <v>196</v>
      </c>
      <c r="B800">
        <v>31</v>
      </c>
      <c r="C800" t="s">
        <v>27</v>
      </c>
      <c r="D800">
        <v>100</v>
      </c>
      <c r="E800" t="s">
        <v>197</v>
      </c>
      <c r="F800">
        <v>1005</v>
      </c>
      <c r="G800" t="s">
        <v>27</v>
      </c>
      <c r="H800">
        <v>2005</v>
      </c>
      <c r="I800" t="s">
        <v>27</v>
      </c>
      <c r="J800">
        <v>3011</v>
      </c>
      <c r="K800" t="s">
        <v>801</v>
      </c>
      <c r="L800">
        <v>0</v>
      </c>
      <c r="N800" t="s">
        <v>341</v>
      </c>
      <c r="O800">
        <v>1</v>
      </c>
      <c r="P800">
        <v>1617</v>
      </c>
      <c r="Q800" t="s">
        <v>800</v>
      </c>
      <c r="R800" t="s">
        <v>201</v>
      </c>
      <c r="S800">
        <v>1</v>
      </c>
      <c r="T800">
        <v>1</v>
      </c>
      <c r="U800">
        <v>77640</v>
      </c>
      <c r="V800">
        <v>77640</v>
      </c>
    </row>
    <row r="801" spans="1:22">
      <c r="A801" t="s">
        <v>196</v>
      </c>
      <c r="B801">
        <v>31</v>
      </c>
      <c r="C801" t="s">
        <v>27</v>
      </c>
      <c r="D801">
        <v>100</v>
      </c>
      <c r="E801" t="s">
        <v>197</v>
      </c>
      <c r="F801">
        <v>1005</v>
      </c>
      <c r="G801" t="s">
        <v>27</v>
      </c>
      <c r="H801">
        <v>2005</v>
      </c>
      <c r="I801" t="s">
        <v>27</v>
      </c>
      <c r="J801">
        <v>3011</v>
      </c>
      <c r="K801" t="s">
        <v>801</v>
      </c>
      <c r="L801">
        <v>0</v>
      </c>
      <c r="N801" t="s">
        <v>341</v>
      </c>
      <c r="O801">
        <v>1</v>
      </c>
      <c r="P801">
        <v>1617</v>
      </c>
      <c r="Q801" t="s">
        <v>800</v>
      </c>
      <c r="R801" t="s">
        <v>201</v>
      </c>
      <c r="S801">
        <v>1</v>
      </c>
      <c r="T801">
        <v>1</v>
      </c>
      <c r="U801">
        <v>68616</v>
      </c>
      <c r="V801">
        <v>68616</v>
      </c>
    </row>
    <row r="802" spans="1:22">
      <c r="A802" t="s">
        <v>196</v>
      </c>
      <c r="B802">
        <v>31</v>
      </c>
      <c r="C802" t="s">
        <v>27</v>
      </c>
      <c r="D802">
        <v>100</v>
      </c>
      <c r="E802" t="s">
        <v>197</v>
      </c>
      <c r="F802">
        <v>1005</v>
      </c>
      <c r="G802" t="s">
        <v>27</v>
      </c>
      <c r="H802">
        <v>2005</v>
      </c>
      <c r="I802" t="s">
        <v>27</v>
      </c>
      <c r="J802">
        <v>3011</v>
      </c>
      <c r="K802" t="s">
        <v>801</v>
      </c>
      <c r="L802">
        <v>0</v>
      </c>
      <c r="N802" t="s">
        <v>294</v>
      </c>
      <c r="O802">
        <v>10</v>
      </c>
      <c r="P802">
        <v>1607</v>
      </c>
      <c r="Q802" t="s">
        <v>807</v>
      </c>
      <c r="R802" t="s">
        <v>201</v>
      </c>
      <c r="S802">
        <v>1</v>
      </c>
      <c r="T802">
        <v>1</v>
      </c>
      <c r="U802">
        <v>66516</v>
      </c>
      <c r="V802">
        <v>66516</v>
      </c>
    </row>
    <row r="803" spans="1:22">
      <c r="A803" t="s">
        <v>196</v>
      </c>
      <c r="B803">
        <v>31</v>
      </c>
      <c r="C803" t="s">
        <v>27</v>
      </c>
      <c r="D803">
        <v>100</v>
      </c>
      <c r="E803" t="s">
        <v>197</v>
      </c>
      <c r="F803">
        <v>1005</v>
      </c>
      <c r="G803" t="s">
        <v>27</v>
      </c>
      <c r="H803">
        <v>2005</v>
      </c>
      <c r="I803" t="s">
        <v>27</v>
      </c>
      <c r="J803">
        <v>3011</v>
      </c>
      <c r="K803" t="s">
        <v>801</v>
      </c>
      <c r="L803">
        <v>0</v>
      </c>
      <c r="N803" t="s">
        <v>622</v>
      </c>
      <c r="O803">
        <v>1</v>
      </c>
      <c r="P803">
        <v>1601</v>
      </c>
      <c r="Q803" t="s">
        <v>808</v>
      </c>
      <c r="R803" t="s">
        <v>201</v>
      </c>
      <c r="S803">
        <v>5</v>
      </c>
      <c r="T803">
        <v>1</v>
      </c>
      <c r="U803">
        <v>71436</v>
      </c>
      <c r="V803">
        <v>357180</v>
      </c>
    </row>
    <row r="804" spans="1:22">
      <c r="A804" t="s">
        <v>196</v>
      </c>
      <c r="B804">
        <v>31</v>
      </c>
      <c r="C804" t="s">
        <v>27</v>
      </c>
      <c r="D804">
        <v>100</v>
      </c>
      <c r="E804" t="s">
        <v>197</v>
      </c>
      <c r="F804">
        <v>1005</v>
      </c>
      <c r="G804" t="s">
        <v>27</v>
      </c>
      <c r="H804">
        <v>2005</v>
      </c>
      <c r="I804" t="s">
        <v>27</v>
      </c>
      <c r="J804">
        <v>3011</v>
      </c>
      <c r="K804" t="s">
        <v>801</v>
      </c>
      <c r="L804">
        <v>0</v>
      </c>
      <c r="N804" t="s">
        <v>622</v>
      </c>
      <c r="O804">
        <v>1</v>
      </c>
      <c r="P804">
        <v>1601</v>
      </c>
      <c r="Q804" t="s">
        <v>808</v>
      </c>
      <c r="R804" t="s">
        <v>201</v>
      </c>
      <c r="S804">
        <v>2</v>
      </c>
      <c r="T804">
        <v>1</v>
      </c>
      <c r="U804">
        <v>51936</v>
      </c>
      <c r="V804">
        <v>103872</v>
      </c>
    </row>
    <row r="805" spans="1:22">
      <c r="A805" t="s">
        <v>196</v>
      </c>
      <c r="B805">
        <v>31</v>
      </c>
      <c r="C805" t="s">
        <v>27</v>
      </c>
      <c r="D805">
        <v>100</v>
      </c>
      <c r="E805" t="s">
        <v>197</v>
      </c>
      <c r="F805">
        <v>1005</v>
      </c>
      <c r="G805" t="s">
        <v>27</v>
      </c>
      <c r="H805">
        <v>2005</v>
      </c>
      <c r="I805" t="s">
        <v>27</v>
      </c>
      <c r="J805">
        <v>3011</v>
      </c>
      <c r="K805" t="s">
        <v>801</v>
      </c>
      <c r="L805">
        <v>0</v>
      </c>
      <c r="N805" t="s">
        <v>809</v>
      </c>
      <c r="O805">
        <v>1</v>
      </c>
      <c r="P805">
        <v>460</v>
      </c>
      <c r="Q805" t="s">
        <v>810</v>
      </c>
      <c r="R805" t="s">
        <v>201</v>
      </c>
      <c r="S805">
        <v>1</v>
      </c>
      <c r="T805">
        <v>1</v>
      </c>
      <c r="U805">
        <v>47364</v>
      </c>
      <c r="V805">
        <v>47364</v>
      </c>
    </row>
    <row r="806" spans="1:22">
      <c r="A806" t="s">
        <v>196</v>
      </c>
      <c r="B806">
        <v>31</v>
      </c>
      <c r="C806" t="s">
        <v>27</v>
      </c>
      <c r="D806">
        <v>100</v>
      </c>
      <c r="E806" t="s">
        <v>197</v>
      </c>
      <c r="F806">
        <v>1005</v>
      </c>
      <c r="G806" t="s">
        <v>27</v>
      </c>
      <c r="H806">
        <v>2005</v>
      </c>
      <c r="I806" t="s">
        <v>27</v>
      </c>
      <c r="J806">
        <v>3011</v>
      </c>
      <c r="K806" t="s">
        <v>801</v>
      </c>
      <c r="L806">
        <v>0</v>
      </c>
      <c r="N806" t="s">
        <v>351</v>
      </c>
      <c r="O806">
        <v>1</v>
      </c>
      <c r="P806" t="s">
        <v>352</v>
      </c>
      <c r="Q806" t="s">
        <v>353</v>
      </c>
      <c r="R806" t="s">
        <v>201</v>
      </c>
      <c r="S806">
        <v>1</v>
      </c>
      <c r="T806">
        <v>1</v>
      </c>
      <c r="U806">
        <v>67608</v>
      </c>
      <c r="V806">
        <v>67608</v>
      </c>
    </row>
    <row r="807" spans="1:22">
      <c r="A807" t="s">
        <v>196</v>
      </c>
      <c r="B807">
        <v>31</v>
      </c>
      <c r="C807" t="s">
        <v>27</v>
      </c>
      <c r="D807">
        <v>100</v>
      </c>
      <c r="E807" t="s">
        <v>197</v>
      </c>
      <c r="F807">
        <v>1005</v>
      </c>
      <c r="G807" t="s">
        <v>27</v>
      </c>
      <c r="H807">
        <v>2005</v>
      </c>
      <c r="I807" t="s">
        <v>27</v>
      </c>
      <c r="J807">
        <v>3011</v>
      </c>
      <c r="K807" t="s">
        <v>801</v>
      </c>
      <c r="L807">
        <v>0</v>
      </c>
      <c r="N807" t="s">
        <v>351</v>
      </c>
      <c r="O807">
        <v>1</v>
      </c>
      <c r="P807" t="s">
        <v>352</v>
      </c>
      <c r="Q807" t="s">
        <v>353</v>
      </c>
      <c r="R807" t="s">
        <v>201</v>
      </c>
      <c r="S807">
        <v>1</v>
      </c>
      <c r="T807">
        <v>1</v>
      </c>
      <c r="U807">
        <v>62544</v>
      </c>
      <c r="V807">
        <v>62544</v>
      </c>
    </row>
    <row r="808" spans="1:22">
      <c r="A808" t="s">
        <v>196</v>
      </c>
      <c r="B808">
        <v>31</v>
      </c>
      <c r="C808" t="s">
        <v>27</v>
      </c>
      <c r="D808">
        <v>100</v>
      </c>
      <c r="E808" t="s">
        <v>197</v>
      </c>
      <c r="F808">
        <v>1005</v>
      </c>
      <c r="G808" t="s">
        <v>27</v>
      </c>
      <c r="H808">
        <v>2005</v>
      </c>
      <c r="I808" t="s">
        <v>27</v>
      </c>
      <c r="J808">
        <v>3011</v>
      </c>
      <c r="K808" t="s">
        <v>801</v>
      </c>
      <c r="L808">
        <v>0</v>
      </c>
      <c r="N808" t="s">
        <v>622</v>
      </c>
      <c r="O808">
        <v>1</v>
      </c>
      <c r="P808" t="s">
        <v>667</v>
      </c>
      <c r="Q808" t="s">
        <v>205</v>
      </c>
      <c r="R808" t="s">
        <v>201</v>
      </c>
      <c r="S808">
        <v>1</v>
      </c>
      <c r="T808">
        <v>1</v>
      </c>
      <c r="U808">
        <v>90144</v>
      </c>
      <c r="V808">
        <v>90144</v>
      </c>
    </row>
    <row r="809" spans="1:22">
      <c r="A809" t="s">
        <v>196</v>
      </c>
      <c r="B809">
        <v>31</v>
      </c>
      <c r="C809" t="s">
        <v>27</v>
      </c>
      <c r="D809">
        <v>100</v>
      </c>
      <c r="E809" t="s">
        <v>197</v>
      </c>
      <c r="F809">
        <v>1005</v>
      </c>
      <c r="G809" t="s">
        <v>27</v>
      </c>
      <c r="H809">
        <v>2005</v>
      </c>
      <c r="I809" t="s">
        <v>27</v>
      </c>
      <c r="J809">
        <v>3011</v>
      </c>
      <c r="K809" t="s">
        <v>801</v>
      </c>
      <c r="L809">
        <v>0</v>
      </c>
      <c r="N809" t="s">
        <v>622</v>
      </c>
      <c r="O809">
        <v>1</v>
      </c>
      <c r="P809" t="s">
        <v>667</v>
      </c>
      <c r="Q809" t="s">
        <v>205</v>
      </c>
      <c r="R809" t="s">
        <v>201</v>
      </c>
      <c r="S809">
        <v>1</v>
      </c>
      <c r="T809">
        <v>1</v>
      </c>
      <c r="U809">
        <v>68256</v>
      </c>
      <c r="V809">
        <v>68256</v>
      </c>
    </row>
    <row r="810" spans="1:22">
      <c r="A810" t="s">
        <v>196</v>
      </c>
      <c r="B810">
        <v>31</v>
      </c>
      <c r="C810" t="s">
        <v>27</v>
      </c>
      <c r="D810">
        <v>100</v>
      </c>
      <c r="E810" t="s">
        <v>197</v>
      </c>
      <c r="F810">
        <v>1005</v>
      </c>
      <c r="G810" t="s">
        <v>27</v>
      </c>
      <c r="H810">
        <v>2005</v>
      </c>
      <c r="I810" t="s">
        <v>27</v>
      </c>
      <c r="J810">
        <v>3011</v>
      </c>
      <c r="K810" t="s">
        <v>801</v>
      </c>
      <c r="L810">
        <v>0</v>
      </c>
      <c r="N810" t="s">
        <v>199</v>
      </c>
      <c r="O810">
        <v>0</v>
      </c>
      <c r="P810">
        <v>15</v>
      </c>
      <c r="Q810" t="s">
        <v>264</v>
      </c>
      <c r="R810" t="s">
        <v>201</v>
      </c>
      <c r="S810">
        <v>0</v>
      </c>
      <c r="T810">
        <v>0</v>
      </c>
      <c r="U810">
        <v>25777</v>
      </c>
      <c r="V810">
        <v>25777</v>
      </c>
    </row>
    <row r="811" spans="1:22">
      <c r="A811" t="s">
        <v>196</v>
      </c>
      <c r="B811">
        <v>31</v>
      </c>
      <c r="C811" t="s">
        <v>27</v>
      </c>
      <c r="D811">
        <v>100</v>
      </c>
      <c r="E811" t="s">
        <v>197</v>
      </c>
      <c r="F811">
        <v>1005</v>
      </c>
      <c r="G811" t="s">
        <v>27</v>
      </c>
      <c r="H811">
        <v>2005</v>
      </c>
      <c r="I811" t="s">
        <v>27</v>
      </c>
      <c r="J811">
        <v>3014</v>
      </c>
      <c r="K811" t="s">
        <v>811</v>
      </c>
      <c r="L811">
        <v>0</v>
      </c>
      <c r="N811" t="s">
        <v>268</v>
      </c>
      <c r="O811">
        <v>0</v>
      </c>
      <c r="P811">
        <v>1689</v>
      </c>
      <c r="Q811" t="s">
        <v>779</v>
      </c>
      <c r="R811" t="s">
        <v>201</v>
      </c>
      <c r="S811">
        <v>1</v>
      </c>
      <c r="T811">
        <v>1</v>
      </c>
      <c r="U811">
        <v>85980</v>
      </c>
      <c r="V811">
        <v>85980</v>
      </c>
    </row>
    <row r="812" spans="1:22">
      <c r="A812" t="s">
        <v>196</v>
      </c>
      <c r="B812">
        <v>31</v>
      </c>
      <c r="C812" t="s">
        <v>27</v>
      </c>
      <c r="D812">
        <v>100</v>
      </c>
      <c r="E812" t="s">
        <v>197</v>
      </c>
      <c r="F812">
        <v>1005</v>
      </c>
      <c r="G812" t="s">
        <v>27</v>
      </c>
      <c r="H812">
        <v>2005</v>
      </c>
      <c r="I812" t="s">
        <v>27</v>
      </c>
      <c r="J812">
        <v>3014</v>
      </c>
      <c r="K812" t="s">
        <v>811</v>
      </c>
      <c r="L812">
        <v>0</v>
      </c>
      <c r="N812" t="s">
        <v>794</v>
      </c>
      <c r="O812">
        <v>9</v>
      </c>
      <c r="P812">
        <v>1673</v>
      </c>
      <c r="Q812" t="s">
        <v>795</v>
      </c>
      <c r="R812" t="s">
        <v>201</v>
      </c>
      <c r="S812">
        <v>1</v>
      </c>
      <c r="T812">
        <v>1</v>
      </c>
      <c r="U812">
        <v>98484</v>
      </c>
      <c r="V812">
        <v>98484</v>
      </c>
    </row>
    <row r="813" spans="1:22">
      <c r="A813" t="s">
        <v>196</v>
      </c>
      <c r="B813">
        <v>31</v>
      </c>
      <c r="C813" t="s">
        <v>27</v>
      </c>
      <c r="D813">
        <v>100</v>
      </c>
      <c r="E813" t="s">
        <v>197</v>
      </c>
      <c r="F813">
        <v>1005</v>
      </c>
      <c r="G813" t="s">
        <v>27</v>
      </c>
      <c r="H813">
        <v>2005</v>
      </c>
      <c r="I813" t="s">
        <v>27</v>
      </c>
      <c r="J813">
        <v>3014</v>
      </c>
      <c r="K813" t="s">
        <v>811</v>
      </c>
      <c r="L813">
        <v>0</v>
      </c>
      <c r="N813" t="s">
        <v>794</v>
      </c>
      <c r="O813">
        <v>9</v>
      </c>
      <c r="P813">
        <v>1673</v>
      </c>
      <c r="Q813" t="s">
        <v>795</v>
      </c>
      <c r="R813" t="s">
        <v>201</v>
      </c>
      <c r="S813">
        <v>1</v>
      </c>
      <c r="T813">
        <v>1</v>
      </c>
      <c r="U813">
        <v>94044</v>
      </c>
      <c r="V813">
        <v>94044</v>
      </c>
    </row>
    <row r="814" spans="1:22">
      <c r="A814" t="s">
        <v>196</v>
      </c>
      <c r="B814">
        <v>31</v>
      </c>
      <c r="C814" t="s">
        <v>27</v>
      </c>
      <c r="D814">
        <v>100</v>
      </c>
      <c r="E814" t="s">
        <v>197</v>
      </c>
      <c r="F814">
        <v>1005</v>
      </c>
      <c r="G814" t="s">
        <v>27</v>
      </c>
      <c r="H814">
        <v>2005</v>
      </c>
      <c r="I814" t="s">
        <v>27</v>
      </c>
      <c r="J814">
        <v>3014</v>
      </c>
      <c r="K814" t="s">
        <v>811</v>
      </c>
      <c r="L814">
        <v>0</v>
      </c>
      <c r="N814" t="s">
        <v>794</v>
      </c>
      <c r="O814">
        <v>9</v>
      </c>
      <c r="P814">
        <v>1673</v>
      </c>
      <c r="Q814" t="s">
        <v>795</v>
      </c>
      <c r="R814" t="s">
        <v>201</v>
      </c>
      <c r="S814">
        <v>5</v>
      </c>
      <c r="T814">
        <v>1</v>
      </c>
      <c r="U814">
        <v>85704</v>
      </c>
      <c r="V814">
        <v>428520</v>
      </c>
    </row>
    <row r="815" spans="1:22">
      <c r="A815" t="s">
        <v>196</v>
      </c>
      <c r="B815">
        <v>31</v>
      </c>
      <c r="C815" t="s">
        <v>27</v>
      </c>
      <c r="D815">
        <v>100</v>
      </c>
      <c r="E815" t="s">
        <v>197</v>
      </c>
      <c r="F815">
        <v>1005</v>
      </c>
      <c r="G815" t="s">
        <v>27</v>
      </c>
      <c r="H815">
        <v>2005</v>
      </c>
      <c r="I815" t="s">
        <v>27</v>
      </c>
      <c r="J815">
        <v>3014</v>
      </c>
      <c r="K815" t="s">
        <v>811</v>
      </c>
      <c r="L815">
        <v>0</v>
      </c>
      <c r="N815" t="s">
        <v>796</v>
      </c>
      <c r="O815">
        <v>9</v>
      </c>
      <c r="P815">
        <v>1652</v>
      </c>
      <c r="Q815" t="s">
        <v>797</v>
      </c>
      <c r="R815" t="s">
        <v>201</v>
      </c>
      <c r="S815">
        <v>1</v>
      </c>
      <c r="T815">
        <v>1</v>
      </c>
      <c r="U815">
        <v>173160</v>
      </c>
      <c r="V815">
        <v>173160</v>
      </c>
    </row>
    <row r="816" spans="1:22">
      <c r="A816" t="s">
        <v>196</v>
      </c>
      <c r="B816">
        <v>31</v>
      </c>
      <c r="C816" t="s">
        <v>27</v>
      </c>
      <c r="D816">
        <v>100</v>
      </c>
      <c r="E816" t="s">
        <v>197</v>
      </c>
      <c r="F816">
        <v>1005</v>
      </c>
      <c r="G816" t="s">
        <v>27</v>
      </c>
      <c r="H816">
        <v>2005</v>
      </c>
      <c r="I816" t="s">
        <v>27</v>
      </c>
      <c r="J816">
        <v>3014</v>
      </c>
      <c r="K816" t="s">
        <v>811</v>
      </c>
      <c r="L816">
        <v>0</v>
      </c>
      <c r="N816" t="s">
        <v>785</v>
      </c>
      <c r="O816">
        <v>9</v>
      </c>
      <c r="P816">
        <v>1650</v>
      </c>
      <c r="Q816" t="s">
        <v>786</v>
      </c>
      <c r="R816" t="s">
        <v>201</v>
      </c>
      <c r="S816">
        <v>1</v>
      </c>
      <c r="T816">
        <v>1</v>
      </c>
      <c r="U816">
        <v>192852</v>
      </c>
      <c r="V816">
        <v>192852</v>
      </c>
    </row>
    <row r="817" spans="1:22">
      <c r="A817" t="s">
        <v>196</v>
      </c>
      <c r="B817">
        <v>31</v>
      </c>
      <c r="C817" t="s">
        <v>27</v>
      </c>
      <c r="D817">
        <v>100</v>
      </c>
      <c r="E817" t="s">
        <v>197</v>
      </c>
      <c r="F817">
        <v>1005</v>
      </c>
      <c r="G817" t="s">
        <v>27</v>
      </c>
      <c r="H817">
        <v>2005</v>
      </c>
      <c r="I817" t="s">
        <v>27</v>
      </c>
      <c r="J817">
        <v>3014</v>
      </c>
      <c r="K817" t="s">
        <v>811</v>
      </c>
      <c r="L817">
        <v>0</v>
      </c>
      <c r="N817" t="s">
        <v>798</v>
      </c>
      <c r="O817">
        <v>9</v>
      </c>
      <c r="P817">
        <v>1641</v>
      </c>
      <c r="Q817" t="s">
        <v>799</v>
      </c>
      <c r="R817" t="s">
        <v>201</v>
      </c>
      <c r="S817">
        <v>1</v>
      </c>
      <c r="T817">
        <v>1</v>
      </c>
      <c r="U817">
        <v>156648</v>
      </c>
      <c r="V817">
        <v>156648</v>
      </c>
    </row>
    <row r="818" spans="1:22">
      <c r="A818" t="s">
        <v>196</v>
      </c>
      <c r="B818">
        <v>31</v>
      </c>
      <c r="C818" t="s">
        <v>27</v>
      </c>
      <c r="D818">
        <v>100</v>
      </c>
      <c r="E818" t="s">
        <v>197</v>
      </c>
      <c r="F818">
        <v>1005</v>
      </c>
      <c r="G818" t="s">
        <v>27</v>
      </c>
      <c r="H818">
        <v>2005</v>
      </c>
      <c r="I818" t="s">
        <v>27</v>
      </c>
      <c r="J818">
        <v>3014</v>
      </c>
      <c r="K818" t="s">
        <v>811</v>
      </c>
      <c r="L818">
        <v>0</v>
      </c>
      <c r="N818" t="s">
        <v>798</v>
      </c>
      <c r="O818">
        <v>9</v>
      </c>
      <c r="P818">
        <v>1641</v>
      </c>
      <c r="Q818" t="s">
        <v>799</v>
      </c>
      <c r="R818" t="s">
        <v>201</v>
      </c>
      <c r="S818">
        <v>1</v>
      </c>
      <c r="T818">
        <v>1</v>
      </c>
      <c r="U818">
        <v>149556</v>
      </c>
      <c r="V818">
        <v>149556</v>
      </c>
    </row>
    <row r="819" spans="1:22">
      <c r="A819" t="s">
        <v>196</v>
      </c>
      <c r="B819">
        <v>31</v>
      </c>
      <c r="C819" t="s">
        <v>27</v>
      </c>
      <c r="D819">
        <v>100</v>
      </c>
      <c r="E819" t="s">
        <v>197</v>
      </c>
      <c r="F819">
        <v>1005</v>
      </c>
      <c r="G819" t="s">
        <v>27</v>
      </c>
      <c r="H819">
        <v>2005</v>
      </c>
      <c r="I819" t="s">
        <v>27</v>
      </c>
      <c r="J819">
        <v>3014</v>
      </c>
      <c r="K819" t="s">
        <v>811</v>
      </c>
      <c r="L819">
        <v>0</v>
      </c>
      <c r="N819" t="s">
        <v>798</v>
      </c>
      <c r="O819">
        <v>9</v>
      </c>
      <c r="P819">
        <v>1641</v>
      </c>
      <c r="Q819" t="s">
        <v>799</v>
      </c>
      <c r="R819" t="s">
        <v>201</v>
      </c>
      <c r="S819">
        <v>1</v>
      </c>
      <c r="T819">
        <v>1</v>
      </c>
      <c r="U819">
        <v>142776</v>
      </c>
      <c r="V819">
        <v>142776</v>
      </c>
    </row>
    <row r="820" spans="1:22">
      <c r="A820" t="s">
        <v>196</v>
      </c>
      <c r="B820">
        <v>31</v>
      </c>
      <c r="C820" t="s">
        <v>27</v>
      </c>
      <c r="D820">
        <v>100</v>
      </c>
      <c r="E820" t="s">
        <v>197</v>
      </c>
      <c r="F820">
        <v>1005</v>
      </c>
      <c r="G820" t="s">
        <v>27</v>
      </c>
      <c r="H820">
        <v>2005</v>
      </c>
      <c r="I820" t="s">
        <v>27</v>
      </c>
      <c r="J820">
        <v>3014</v>
      </c>
      <c r="K820" t="s">
        <v>811</v>
      </c>
      <c r="L820">
        <v>0</v>
      </c>
      <c r="N820" t="s">
        <v>798</v>
      </c>
      <c r="O820">
        <v>9</v>
      </c>
      <c r="P820">
        <v>1641</v>
      </c>
      <c r="Q820" t="s">
        <v>799</v>
      </c>
      <c r="R820" t="s">
        <v>201</v>
      </c>
      <c r="S820">
        <v>1</v>
      </c>
      <c r="T820">
        <v>1</v>
      </c>
      <c r="U820">
        <v>124224</v>
      </c>
      <c r="V820">
        <v>124224</v>
      </c>
    </row>
    <row r="821" spans="1:22">
      <c r="A821" t="s">
        <v>196</v>
      </c>
      <c r="B821">
        <v>31</v>
      </c>
      <c r="C821" t="s">
        <v>27</v>
      </c>
      <c r="D821">
        <v>100</v>
      </c>
      <c r="E821" t="s">
        <v>197</v>
      </c>
      <c r="F821">
        <v>1005</v>
      </c>
      <c r="G821" t="s">
        <v>27</v>
      </c>
      <c r="H821">
        <v>2005</v>
      </c>
      <c r="I821" t="s">
        <v>27</v>
      </c>
      <c r="J821">
        <v>3014</v>
      </c>
      <c r="K821" t="s">
        <v>811</v>
      </c>
      <c r="L821">
        <v>0</v>
      </c>
      <c r="N821" t="s">
        <v>341</v>
      </c>
      <c r="O821">
        <v>1</v>
      </c>
      <c r="P821">
        <v>1617</v>
      </c>
      <c r="Q821" t="s">
        <v>800</v>
      </c>
      <c r="R821" t="s">
        <v>201</v>
      </c>
      <c r="S821">
        <v>1</v>
      </c>
      <c r="T821">
        <v>1</v>
      </c>
      <c r="U821">
        <v>119100</v>
      </c>
      <c r="V821">
        <v>119100</v>
      </c>
    </row>
    <row r="822" spans="1:22">
      <c r="A822" t="s">
        <v>196</v>
      </c>
      <c r="B822">
        <v>31</v>
      </c>
      <c r="C822" t="s">
        <v>27</v>
      </c>
      <c r="D822">
        <v>100</v>
      </c>
      <c r="E822" t="s">
        <v>197</v>
      </c>
      <c r="F822">
        <v>1005</v>
      </c>
      <c r="G822" t="s">
        <v>27</v>
      </c>
      <c r="H822">
        <v>2005</v>
      </c>
      <c r="I822" t="s">
        <v>27</v>
      </c>
      <c r="J822">
        <v>3014</v>
      </c>
      <c r="K822" t="s">
        <v>811</v>
      </c>
      <c r="L822">
        <v>0</v>
      </c>
      <c r="N822" t="s">
        <v>199</v>
      </c>
      <c r="O822">
        <v>0</v>
      </c>
      <c r="P822">
        <v>15</v>
      </c>
      <c r="Q822" t="s">
        <v>264</v>
      </c>
      <c r="R822" t="s">
        <v>201</v>
      </c>
      <c r="S822">
        <v>0</v>
      </c>
      <c r="T822">
        <v>0</v>
      </c>
      <c r="U822">
        <v>8705</v>
      </c>
      <c r="V822">
        <v>8705</v>
      </c>
    </row>
    <row r="823" spans="1:22">
      <c r="A823" t="s">
        <v>196</v>
      </c>
      <c r="B823">
        <v>31</v>
      </c>
      <c r="C823" t="s">
        <v>27</v>
      </c>
      <c r="D823">
        <v>100</v>
      </c>
      <c r="E823" t="s">
        <v>197</v>
      </c>
      <c r="F823">
        <v>1005</v>
      </c>
      <c r="G823" t="s">
        <v>27</v>
      </c>
      <c r="H823">
        <v>2005</v>
      </c>
      <c r="I823" t="s">
        <v>27</v>
      </c>
      <c r="J823">
        <v>3019</v>
      </c>
      <c r="K823" t="s">
        <v>812</v>
      </c>
      <c r="L823">
        <v>4001</v>
      </c>
      <c r="M823" t="s">
        <v>813</v>
      </c>
      <c r="N823" t="s">
        <v>268</v>
      </c>
      <c r="O823">
        <v>0</v>
      </c>
      <c r="P823">
        <v>1689</v>
      </c>
      <c r="Q823" t="s">
        <v>779</v>
      </c>
      <c r="R823" t="s">
        <v>201</v>
      </c>
      <c r="S823">
        <v>1</v>
      </c>
      <c r="T823">
        <v>1</v>
      </c>
      <c r="U823">
        <v>72996</v>
      </c>
      <c r="V823">
        <v>72996</v>
      </c>
    </row>
    <row r="824" spans="1:22">
      <c r="A824" t="s">
        <v>196</v>
      </c>
      <c r="B824">
        <v>31</v>
      </c>
      <c r="C824" t="s">
        <v>27</v>
      </c>
      <c r="D824">
        <v>100</v>
      </c>
      <c r="E824" t="s">
        <v>197</v>
      </c>
      <c r="F824">
        <v>1005</v>
      </c>
      <c r="G824" t="s">
        <v>27</v>
      </c>
      <c r="H824">
        <v>2005</v>
      </c>
      <c r="I824" t="s">
        <v>27</v>
      </c>
      <c r="J824">
        <v>3019</v>
      </c>
      <c r="K824" t="s">
        <v>812</v>
      </c>
      <c r="L824">
        <v>4001</v>
      </c>
      <c r="M824" t="s">
        <v>813</v>
      </c>
      <c r="N824" t="s">
        <v>794</v>
      </c>
      <c r="O824">
        <v>9</v>
      </c>
      <c r="P824">
        <v>1673</v>
      </c>
      <c r="Q824" t="s">
        <v>795</v>
      </c>
      <c r="R824" t="s">
        <v>201</v>
      </c>
      <c r="S824">
        <v>3</v>
      </c>
      <c r="T824">
        <v>1</v>
      </c>
      <c r="U824">
        <v>149556</v>
      </c>
      <c r="V824">
        <v>448668</v>
      </c>
    </row>
    <row r="825" spans="1:22">
      <c r="A825" t="s">
        <v>196</v>
      </c>
      <c r="B825">
        <v>31</v>
      </c>
      <c r="C825" t="s">
        <v>27</v>
      </c>
      <c r="D825">
        <v>100</v>
      </c>
      <c r="E825" t="s">
        <v>197</v>
      </c>
      <c r="F825">
        <v>1005</v>
      </c>
      <c r="G825" t="s">
        <v>27</v>
      </c>
      <c r="H825">
        <v>2005</v>
      </c>
      <c r="I825" t="s">
        <v>27</v>
      </c>
      <c r="J825">
        <v>3019</v>
      </c>
      <c r="K825" t="s">
        <v>812</v>
      </c>
      <c r="L825">
        <v>4001</v>
      </c>
      <c r="M825" t="s">
        <v>813</v>
      </c>
      <c r="N825" t="s">
        <v>794</v>
      </c>
      <c r="O825">
        <v>9</v>
      </c>
      <c r="P825">
        <v>1673</v>
      </c>
      <c r="Q825" t="s">
        <v>795</v>
      </c>
      <c r="R825" t="s">
        <v>201</v>
      </c>
      <c r="S825">
        <v>1</v>
      </c>
      <c r="T825">
        <v>1</v>
      </c>
      <c r="U825">
        <v>142776</v>
      </c>
      <c r="V825">
        <v>142776</v>
      </c>
    </row>
    <row r="826" spans="1:22">
      <c r="A826" t="s">
        <v>196</v>
      </c>
      <c r="B826">
        <v>31</v>
      </c>
      <c r="C826" t="s">
        <v>27</v>
      </c>
      <c r="D826">
        <v>100</v>
      </c>
      <c r="E826" t="s">
        <v>197</v>
      </c>
      <c r="F826">
        <v>1005</v>
      </c>
      <c r="G826" t="s">
        <v>27</v>
      </c>
      <c r="H826">
        <v>2005</v>
      </c>
      <c r="I826" t="s">
        <v>27</v>
      </c>
      <c r="J826">
        <v>3019</v>
      </c>
      <c r="K826" t="s">
        <v>812</v>
      </c>
      <c r="L826">
        <v>4001</v>
      </c>
      <c r="M826" t="s">
        <v>813</v>
      </c>
      <c r="N826" t="s">
        <v>794</v>
      </c>
      <c r="O826">
        <v>9</v>
      </c>
      <c r="P826">
        <v>1673</v>
      </c>
      <c r="Q826" t="s">
        <v>795</v>
      </c>
      <c r="R826" t="s">
        <v>201</v>
      </c>
      <c r="S826">
        <v>1</v>
      </c>
      <c r="T826">
        <v>1</v>
      </c>
      <c r="U826">
        <v>118596</v>
      </c>
      <c r="V826">
        <v>118596</v>
      </c>
    </row>
    <row r="827" spans="1:22">
      <c r="A827" t="s">
        <v>196</v>
      </c>
      <c r="B827">
        <v>31</v>
      </c>
      <c r="C827" t="s">
        <v>27</v>
      </c>
      <c r="D827">
        <v>100</v>
      </c>
      <c r="E827" t="s">
        <v>197</v>
      </c>
      <c r="F827">
        <v>1005</v>
      </c>
      <c r="G827" t="s">
        <v>27</v>
      </c>
      <c r="H827">
        <v>2005</v>
      </c>
      <c r="I827" t="s">
        <v>27</v>
      </c>
      <c r="J827">
        <v>3019</v>
      </c>
      <c r="K827" t="s">
        <v>812</v>
      </c>
      <c r="L827">
        <v>4001</v>
      </c>
      <c r="M827" t="s">
        <v>813</v>
      </c>
      <c r="N827" t="s">
        <v>794</v>
      </c>
      <c r="O827">
        <v>9</v>
      </c>
      <c r="P827">
        <v>1673</v>
      </c>
      <c r="Q827" t="s">
        <v>795</v>
      </c>
      <c r="R827" t="s">
        <v>201</v>
      </c>
      <c r="S827">
        <v>1</v>
      </c>
      <c r="T827">
        <v>1</v>
      </c>
      <c r="U827">
        <v>113208</v>
      </c>
      <c r="V827">
        <v>113208</v>
      </c>
    </row>
    <row r="828" spans="1:22">
      <c r="A828" t="s">
        <v>196</v>
      </c>
      <c r="B828">
        <v>31</v>
      </c>
      <c r="C828" t="s">
        <v>27</v>
      </c>
      <c r="D828">
        <v>100</v>
      </c>
      <c r="E828" t="s">
        <v>197</v>
      </c>
      <c r="F828">
        <v>1005</v>
      </c>
      <c r="G828" t="s">
        <v>27</v>
      </c>
      <c r="H828">
        <v>2005</v>
      </c>
      <c r="I828" t="s">
        <v>27</v>
      </c>
      <c r="J828">
        <v>3019</v>
      </c>
      <c r="K828" t="s">
        <v>812</v>
      </c>
      <c r="L828">
        <v>4001</v>
      </c>
      <c r="M828" t="s">
        <v>813</v>
      </c>
      <c r="N828" t="s">
        <v>794</v>
      </c>
      <c r="O828">
        <v>9</v>
      </c>
      <c r="P828">
        <v>1673</v>
      </c>
      <c r="Q828" t="s">
        <v>795</v>
      </c>
      <c r="R828" t="s">
        <v>201</v>
      </c>
      <c r="S828">
        <v>2</v>
      </c>
      <c r="T828">
        <v>1</v>
      </c>
      <c r="U828">
        <v>108084</v>
      </c>
      <c r="V828">
        <v>216168</v>
      </c>
    </row>
    <row r="829" spans="1:22">
      <c r="A829" t="s">
        <v>196</v>
      </c>
      <c r="B829">
        <v>31</v>
      </c>
      <c r="C829" t="s">
        <v>27</v>
      </c>
      <c r="D829">
        <v>100</v>
      </c>
      <c r="E829" t="s">
        <v>197</v>
      </c>
      <c r="F829">
        <v>1005</v>
      </c>
      <c r="G829" t="s">
        <v>27</v>
      </c>
      <c r="H829">
        <v>2005</v>
      </c>
      <c r="I829" t="s">
        <v>27</v>
      </c>
      <c r="J829">
        <v>3019</v>
      </c>
      <c r="K829" t="s">
        <v>812</v>
      </c>
      <c r="L829">
        <v>4001</v>
      </c>
      <c r="M829" t="s">
        <v>813</v>
      </c>
      <c r="N829" t="s">
        <v>794</v>
      </c>
      <c r="O829">
        <v>9</v>
      </c>
      <c r="P829">
        <v>1673</v>
      </c>
      <c r="Q829" t="s">
        <v>795</v>
      </c>
      <c r="R829" t="s">
        <v>201</v>
      </c>
      <c r="S829">
        <v>2</v>
      </c>
      <c r="T829">
        <v>1</v>
      </c>
      <c r="U829">
        <v>103176</v>
      </c>
      <c r="V829">
        <v>206352</v>
      </c>
    </row>
    <row r="830" spans="1:22">
      <c r="A830" t="s">
        <v>196</v>
      </c>
      <c r="B830">
        <v>31</v>
      </c>
      <c r="C830" t="s">
        <v>27</v>
      </c>
      <c r="D830">
        <v>100</v>
      </c>
      <c r="E830" t="s">
        <v>197</v>
      </c>
      <c r="F830">
        <v>1005</v>
      </c>
      <c r="G830" t="s">
        <v>27</v>
      </c>
      <c r="H830">
        <v>2005</v>
      </c>
      <c r="I830" t="s">
        <v>27</v>
      </c>
      <c r="J830">
        <v>3019</v>
      </c>
      <c r="K830" t="s">
        <v>812</v>
      </c>
      <c r="L830">
        <v>4001</v>
      </c>
      <c r="M830" t="s">
        <v>813</v>
      </c>
      <c r="N830" t="s">
        <v>794</v>
      </c>
      <c r="O830">
        <v>9</v>
      </c>
      <c r="P830">
        <v>1673</v>
      </c>
      <c r="Q830" t="s">
        <v>795</v>
      </c>
      <c r="R830" t="s">
        <v>201</v>
      </c>
      <c r="S830">
        <v>1</v>
      </c>
      <c r="T830">
        <v>1</v>
      </c>
      <c r="U830">
        <v>94044</v>
      </c>
      <c r="V830">
        <v>94044</v>
      </c>
    </row>
    <row r="831" spans="1:22">
      <c r="A831" t="s">
        <v>196</v>
      </c>
      <c r="B831">
        <v>31</v>
      </c>
      <c r="C831" t="s">
        <v>27</v>
      </c>
      <c r="D831">
        <v>100</v>
      </c>
      <c r="E831" t="s">
        <v>197</v>
      </c>
      <c r="F831">
        <v>1005</v>
      </c>
      <c r="G831" t="s">
        <v>27</v>
      </c>
      <c r="H831">
        <v>2005</v>
      </c>
      <c r="I831" t="s">
        <v>27</v>
      </c>
      <c r="J831">
        <v>3019</v>
      </c>
      <c r="K831" t="s">
        <v>812</v>
      </c>
      <c r="L831">
        <v>4001</v>
      </c>
      <c r="M831" t="s">
        <v>813</v>
      </c>
      <c r="N831" t="s">
        <v>794</v>
      </c>
      <c r="O831">
        <v>9</v>
      </c>
      <c r="P831">
        <v>1673</v>
      </c>
      <c r="Q831" t="s">
        <v>795</v>
      </c>
      <c r="R831" t="s">
        <v>201</v>
      </c>
      <c r="S831">
        <v>4</v>
      </c>
      <c r="T831">
        <v>1</v>
      </c>
      <c r="U831">
        <v>85704</v>
      </c>
      <c r="V831">
        <v>342816</v>
      </c>
    </row>
    <row r="832" spans="1:22">
      <c r="A832" t="s">
        <v>196</v>
      </c>
      <c r="B832">
        <v>31</v>
      </c>
      <c r="C832" t="s">
        <v>27</v>
      </c>
      <c r="D832">
        <v>100</v>
      </c>
      <c r="E832" t="s">
        <v>197</v>
      </c>
      <c r="F832">
        <v>1005</v>
      </c>
      <c r="G832" t="s">
        <v>27</v>
      </c>
      <c r="H832">
        <v>2005</v>
      </c>
      <c r="I832" t="s">
        <v>27</v>
      </c>
      <c r="J832">
        <v>3019</v>
      </c>
      <c r="K832" t="s">
        <v>812</v>
      </c>
      <c r="L832">
        <v>4001</v>
      </c>
      <c r="M832" t="s">
        <v>813</v>
      </c>
      <c r="N832" t="s">
        <v>798</v>
      </c>
      <c r="O832">
        <v>9</v>
      </c>
      <c r="P832">
        <v>1641</v>
      </c>
      <c r="Q832" t="s">
        <v>799</v>
      </c>
      <c r="R832" t="s">
        <v>201</v>
      </c>
      <c r="S832">
        <v>1</v>
      </c>
      <c r="T832">
        <v>1</v>
      </c>
      <c r="U832">
        <v>164100</v>
      </c>
      <c r="V832">
        <v>164100</v>
      </c>
    </row>
    <row r="833" spans="1:22">
      <c r="A833" t="s">
        <v>196</v>
      </c>
      <c r="B833">
        <v>31</v>
      </c>
      <c r="C833" t="s">
        <v>27</v>
      </c>
      <c r="D833">
        <v>100</v>
      </c>
      <c r="E833" t="s">
        <v>197</v>
      </c>
      <c r="F833">
        <v>1005</v>
      </c>
      <c r="G833" t="s">
        <v>27</v>
      </c>
      <c r="H833">
        <v>2005</v>
      </c>
      <c r="I833" t="s">
        <v>27</v>
      </c>
      <c r="J833">
        <v>3019</v>
      </c>
      <c r="K833" t="s">
        <v>812</v>
      </c>
      <c r="L833">
        <v>4001</v>
      </c>
      <c r="M833" t="s">
        <v>813</v>
      </c>
      <c r="N833" t="s">
        <v>798</v>
      </c>
      <c r="O833">
        <v>9</v>
      </c>
      <c r="P833">
        <v>1641</v>
      </c>
      <c r="Q833" t="s">
        <v>799</v>
      </c>
      <c r="R833" t="s">
        <v>201</v>
      </c>
      <c r="S833">
        <v>1</v>
      </c>
      <c r="T833">
        <v>1</v>
      </c>
      <c r="U833">
        <v>149556</v>
      </c>
      <c r="V833">
        <v>149556</v>
      </c>
    </row>
    <row r="834" spans="1:22">
      <c r="A834" t="s">
        <v>196</v>
      </c>
      <c r="B834">
        <v>31</v>
      </c>
      <c r="C834" t="s">
        <v>27</v>
      </c>
      <c r="D834">
        <v>100</v>
      </c>
      <c r="E834" t="s">
        <v>197</v>
      </c>
      <c r="F834">
        <v>1005</v>
      </c>
      <c r="G834" t="s">
        <v>27</v>
      </c>
      <c r="H834">
        <v>2005</v>
      </c>
      <c r="I834" t="s">
        <v>27</v>
      </c>
      <c r="J834">
        <v>3019</v>
      </c>
      <c r="K834" t="s">
        <v>812</v>
      </c>
      <c r="L834">
        <v>4001</v>
      </c>
      <c r="M834" t="s">
        <v>813</v>
      </c>
      <c r="N834" t="s">
        <v>798</v>
      </c>
      <c r="O834">
        <v>9</v>
      </c>
      <c r="P834">
        <v>1641</v>
      </c>
      <c r="Q834" t="s">
        <v>799</v>
      </c>
      <c r="R834" t="s">
        <v>201</v>
      </c>
      <c r="S834">
        <v>1</v>
      </c>
      <c r="T834">
        <v>1</v>
      </c>
      <c r="U834">
        <v>136284</v>
      </c>
      <c r="V834">
        <v>136284</v>
      </c>
    </row>
    <row r="835" spans="1:22">
      <c r="A835" t="s">
        <v>196</v>
      </c>
      <c r="B835">
        <v>31</v>
      </c>
      <c r="C835" t="s">
        <v>27</v>
      </c>
      <c r="D835">
        <v>100</v>
      </c>
      <c r="E835" t="s">
        <v>197</v>
      </c>
      <c r="F835">
        <v>1005</v>
      </c>
      <c r="G835" t="s">
        <v>27</v>
      </c>
      <c r="H835">
        <v>2005</v>
      </c>
      <c r="I835" t="s">
        <v>27</v>
      </c>
      <c r="J835">
        <v>3019</v>
      </c>
      <c r="K835" t="s">
        <v>812</v>
      </c>
      <c r="L835">
        <v>4001</v>
      </c>
      <c r="M835" t="s">
        <v>813</v>
      </c>
      <c r="N835" t="s">
        <v>798</v>
      </c>
      <c r="O835">
        <v>9</v>
      </c>
      <c r="P835">
        <v>1641</v>
      </c>
      <c r="Q835" t="s">
        <v>799</v>
      </c>
      <c r="R835" t="s">
        <v>201</v>
      </c>
      <c r="S835">
        <v>1</v>
      </c>
      <c r="T835">
        <v>1</v>
      </c>
      <c r="U835">
        <v>130128</v>
      </c>
      <c r="V835">
        <v>130128</v>
      </c>
    </row>
    <row r="836" spans="1:22">
      <c r="A836" t="s">
        <v>196</v>
      </c>
      <c r="B836">
        <v>31</v>
      </c>
      <c r="C836" t="s">
        <v>27</v>
      </c>
      <c r="D836">
        <v>100</v>
      </c>
      <c r="E836" t="s">
        <v>197</v>
      </c>
      <c r="F836">
        <v>1005</v>
      </c>
      <c r="G836" t="s">
        <v>27</v>
      </c>
      <c r="H836">
        <v>2005</v>
      </c>
      <c r="I836" t="s">
        <v>27</v>
      </c>
      <c r="J836">
        <v>3019</v>
      </c>
      <c r="K836" t="s">
        <v>812</v>
      </c>
      <c r="L836">
        <v>4001</v>
      </c>
      <c r="M836" t="s">
        <v>813</v>
      </c>
      <c r="N836" t="s">
        <v>251</v>
      </c>
      <c r="O836">
        <v>10</v>
      </c>
      <c r="P836">
        <v>1619</v>
      </c>
      <c r="Q836" t="s">
        <v>806</v>
      </c>
      <c r="R836" t="s">
        <v>201</v>
      </c>
      <c r="S836">
        <v>1</v>
      </c>
      <c r="T836">
        <v>1</v>
      </c>
      <c r="U836">
        <v>83052</v>
      </c>
      <c r="V836">
        <v>83052</v>
      </c>
    </row>
    <row r="837" spans="1:22">
      <c r="A837" t="s">
        <v>196</v>
      </c>
      <c r="B837">
        <v>31</v>
      </c>
      <c r="C837" t="s">
        <v>27</v>
      </c>
      <c r="D837">
        <v>100</v>
      </c>
      <c r="E837" t="s">
        <v>197</v>
      </c>
      <c r="F837">
        <v>1005</v>
      </c>
      <c r="G837" t="s">
        <v>27</v>
      </c>
      <c r="H837">
        <v>2005</v>
      </c>
      <c r="I837" t="s">
        <v>27</v>
      </c>
      <c r="J837">
        <v>3019</v>
      </c>
      <c r="K837" t="s">
        <v>812</v>
      </c>
      <c r="L837">
        <v>4001</v>
      </c>
      <c r="M837" t="s">
        <v>813</v>
      </c>
      <c r="N837" t="s">
        <v>341</v>
      </c>
      <c r="O837">
        <v>1</v>
      </c>
      <c r="P837">
        <v>1617</v>
      </c>
      <c r="Q837" t="s">
        <v>800</v>
      </c>
      <c r="R837" t="s">
        <v>201</v>
      </c>
      <c r="S837">
        <v>1</v>
      </c>
      <c r="T837">
        <v>1</v>
      </c>
      <c r="U837">
        <v>108576</v>
      </c>
      <c r="V837">
        <v>108576</v>
      </c>
    </row>
    <row r="838" spans="1:22">
      <c r="A838" t="s">
        <v>196</v>
      </c>
      <c r="B838">
        <v>31</v>
      </c>
      <c r="C838" t="s">
        <v>27</v>
      </c>
      <c r="D838">
        <v>100</v>
      </c>
      <c r="E838" t="s">
        <v>197</v>
      </c>
      <c r="F838">
        <v>1005</v>
      </c>
      <c r="G838" t="s">
        <v>27</v>
      </c>
      <c r="H838">
        <v>2005</v>
      </c>
      <c r="I838" t="s">
        <v>27</v>
      </c>
      <c r="J838">
        <v>3019</v>
      </c>
      <c r="K838" t="s">
        <v>812</v>
      </c>
      <c r="L838">
        <v>4001</v>
      </c>
      <c r="M838" t="s">
        <v>813</v>
      </c>
      <c r="N838" t="s">
        <v>341</v>
      </c>
      <c r="O838">
        <v>1</v>
      </c>
      <c r="P838">
        <v>1617</v>
      </c>
      <c r="Q838" t="s">
        <v>800</v>
      </c>
      <c r="R838" t="s">
        <v>201</v>
      </c>
      <c r="S838">
        <v>1</v>
      </c>
      <c r="T838">
        <v>1</v>
      </c>
      <c r="U838">
        <v>90144</v>
      </c>
      <c r="V838">
        <v>90144</v>
      </c>
    </row>
    <row r="839" spans="1:22">
      <c r="A839" t="s">
        <v>196</v>
      </c>
      <c r="B839">
        <v>31</v>
      </c>
      <c r="C839" t="s">
        <v>27</v>
      </c>
      <c r="D839">
        <v>100</v>
      </c>
      <c r="E839" t="s">
        <v>197</v>
      </c>
      <c r="F839">
        <v>1005</v>
      </c>
      <c r="G839" t="s">
        <v>27</v>
      </c>
      <c r="H839">
        <v>2005</v>
      </c>
      <c r="I839" t="s">
        <v>27</v>
      </c>
      <c r="J839">
        <v>3019</v>
      </c>
      <c r="K839" t="s">
        <v>812</v>
      </c>
      <c r="L839">
        <v>4001</v>
      </c>
      <c r="M839" t="s">
        <v>813</v>
      </c>
      <c r="N839" t="s">
        <v>341</v>
      </c>
      <c r="O839">
        <v>1</v>
      </c>
      <c r="P839">
        <v>1617</v>
      </c>
      <c r="Q839" t="s">
        <v>800</v>
      </c>
      <c r="R839" t="s">
        <v>201</v>
      </c>
      <c r="S839">
        <v>2</v>
      </c>
      <c r="T839">
        <v>1</v>
      </c>
      <c r="U839">
        <v>85200</v>
      </c>
      <c r="V839">
        <v>170400</v>
      </c>
    </row>
    <row r="840" spans="1:22">
      <c r="A840" t="s">
        <v>196</v>
      </c>
      <c r="B840">
        <v>31</v>
      </c>
      <c r="C840" t="s">
        <v>27</v>
      </c>
      <c r="D840">
        <v>100</v>
      </c>
      <c r="E840" t="s">
        <v>197</v>
      </c>
      <c r="F840">
        <v>1005</v>
      </c>
      <c r="G840" t="s">
        <v>27</v>
      </c>
      <c r="H840">
        <v>2005</v>
      </c>
      <c r="I840" t="s">
        <v>27</v>
      </c>
      <c r="J840">
        <v>3019</v>
      </c>
      <c r="K840" t="s">
        <v>812</v>
      </c>
      <c r="L840">
        <v>4001</v>
      </c>
      <c r="M840" t="s">
        <v>813</v>
      </c>
      <c r="N840" t="s">
        <v>341</v>
      </c>
      <c r="O840">
        <v>1</v>
      </c>
      <c r="P840">
        <v>1617</v>
      </c>
      <c r="Q840" t="s">
        <v>800</v>
      </c>
      <c r="R840" t="s">
        <v>201</v>
      </c>
      <c r="S840">
        <v>1</v>
      </c>
      <c r="T840">
        <v>1</v>
      </c>
      <c r="U840">
        <v>77640</v>
      </c>
      <c r="V840">
        <v>77640</v>
      </c>
    </row>
    <row r="841" spans="1:22">
      <c r="A841" t="s">
        <v>196</v>
      </c>
      <c r="B841">
        <v>31</v>
      </c>
      <c r="C841" t="s">
        <v>27</v>
      </c>
      <c r="D841">
        <v>100</v>
      </c>
      <c r="E841" t="s">
        <v>197</v>
      </c>
      <c r="F841">
        <v>1005</v>
      </c>
      <c r="G841" t="s">
        <v>27</v>
      </c>
      <c r="H841">
        <v>2005</v>
      </c>
      <c r="I841" t="s">
        <v>27</v>
      </c>
      <c r="J841">
        <v>3019</v>
      </c>
      <c r="K841" t="s">
        <v>812</v>
      </c>
      <c r="L841">
        <v>4001</v>
      </c>
      <c r="M841" t="s">
        <v>813</v>
      </c>
      <c r="N841" t="s">
        <v>341</v>
      </c>
      <c r="O841">
        <v>1</v>
      </c>
      <c r="P841">
        <v>1617</v>
      </c>
      <c r="Q841" t="s">
        <v>800</v>
      </c>
      <c r="R841" t="s">
        <v>201</v>
      </c>
      <c r="S841">
        <v>1</v>
      </c>
      <c r="T841">
        <v>1</v>
      </c>
      <c r="U841">
        <v>70752</v>
      </c>
      <c r="V841">
        <v>70752</v>
      </c>
    </row>
    <row r="842" spans="1:22">
      <c r="A842" t="s">
        <v>196</v>
      </c>
      <c r="B842">
        <v>31</v>
      </c>
      <c r="C842" t="s">
        <v>27</v>
      </c>
      <c r="D842">
        <v>100</v>
      </c>
      <c r="E842" t="s">
        <v>197</v>
      </c>
      <c r="F842">
        <v>1005</v>
      </c>
      <c r="G842" t="s">
        <v>27</v>
      </c>
      <c r="H842">
        <v>2005</v>
      </c>
      <c r="I842" t="s">
        <v>27</v>
      </c>
      <c r="J842">
        <v>3019</v>
      </c>
      <c r="K842" t="s">
        <v>812</v>
      </c>
      <c r="L842">
        <v>4001</v>
      </c>
      <c r="M842" t="s">
        <v>813</v>
      </c>
      <c r="N842" t="s">
        <v>341</v>
      </c>
      <c r="O842">
        <v>1</v>
      </c>
      <c r="P842">
        <v>1617</v>
      </c>
      <c r="Q842" t="s">
        <v>800</v>
      </c>
      <c r="R842" t="s">
        <v>201</v>
      </c>
      <c r="S842">
        <v>1</v>
      </c>
      <c r="T842">
        <v>1</v>
      </c>
      <c r="U842">
        <v>68616</v>
      </c>
      <c r="V842">
        <v>68616</v>
      </c>
    </row>
    <row r="843" spans="1:22">
      <c r="A843" t="s">
        <v>196</v>
      </c>
      <c r="B843">
        <v>31</v>
      </c>
      <c r="C843" t="s">
        <v>27</v>
      </c>
      <c r="D843">
        <v>100</v>
      </c>
      <c r="E843" t="s">
        <v>197</v>
      </c>
      <c r="F843">
        <v>1005</v>
      </c>
      <c r="G843" t="s">
        <v>27</v>
      </c>
      <c r="H843">
        <v>2005</v>
      </c>
      <c r="I843" t="s">
        <v>27</v>
      </c>
      <c r="J843">
        <v>3019</v>
      </c>
      <c r="K843" t="s">
        <v>812</v>
      </c>
      <c r="L843">
        <v>4001</v>
      </c>
      <c r="M843" t="s">
        <v>813</v>
      </c>
      <c r="N843" t="s">
        <v>622</v>
      </c>
      <c r="O843">
        <v>1</v>
      </c>
      <c r="P843" t="s">
        <v>667</v>
      </c>
      <c r="Q843" t="s">
        <v>205</v>
      </c>
      <c r="R843" t="s">
        <v>201</v>
      </c>
      <c r="S843">
        <v>1</v>
      </c>
      <c r="T843">
        <v>1</v>
      </c>
      <c r="U843">
        <v>56124</v>
      </c>
      <c r="V843">
        <v>56124</v>
      </c>
    </row>
    <row r="844" spans="1:22">
      <c r="A844" t="s">
        <v>196</v>
      </c>
      <c r="B844">
        <v>31</v>
      </c>
      <c r="C844" t="s">
        <v>27</v>
      </c>
      <c r="D844">
        <v>100</v>
      </c>
      <c r="E844" t="s">
        <v>197</v>
      </c>
      <c r="F844">
        <v>1005</v>
      </c>
      <c r="G844" t="s">
        <v>27</v>
      </c>
      <c r="H844">
        <v>2005</v>
      </c>
      <c r="I844" t="s">
        <v>27</v>
      </c>
      <c r="J844">
        <v>3019</v>
      </c>
      <c r="K844" t="s">
        <v>812</v>
      </c>
      <c r="L844">
        <v>4001</v>
      </c>
      <c r="M844" t="s">
        <v>813</v>
      </c>
      <c r="N844" t="s">
        <v>622</v>
      </c>
      <c r="O844">
        <v>1</v>
      </c>
      <c r="P844" t="s">
        <v>667</v>
      </c>
      <c r="Q844" t="s">
        <v>205</v>
      </c>
      <c r="R844" t="s">
        <v>201</v>
      </c>
      <c r="S844">
        <v>1</v>
      </c>
      <c r="T844">
        <v>1</v>
      </c>
      <c r="U844">
        <v>53532</v>
      </c>
      <c r="V844">
        <v>53532</v>
      </c>
    </row>
    <row r="845" spans="1:22">
      <c r="A845" t="s">
        <v>196</v>
      </c>
      <c r="B845">
        <v>31</v>
      </c>
      <c r="C845" t="s">
        <v>27</v>
      </c>
      <c r="D845">
        <v>100</v>
      </c>
      <c r="E845" t="s">
        <v>197</v>
      </c>
      <c r="F845">
        <v>1005</v>
      </c>
      <c r="G845" t="s">
        <v>27</v>
      </c>
      <c r="H845">
        <v>2005</v>
      </c>
      <c r="I845" t="s">
        <v>27</v>
      </c>
      <c r="J845">
        <v>3019</v>
      </c>
      <c r="K845" t="s">
        <v>812</v>
      </c>
      <c r="L845">
        <v>4001</v>
      </c>
      <c r="M845" t="s">
        <v>813</v>
      </c>
      <c r="N845" t="s">
        <v>622</v>
      </c>
      <c r="O845">
        <v>1</v>
      </c>
      <c r="P845" t="s">
        <v>667</v>
      </c>
      <c r="Q845" t="s">
        <v>205</v>
      </c>
      <c r="R845" t="s">
        <v>201</v>
      </c>
      <c r="S845">
        <v>1</v>
      </c>
      <c r="T845">
        <v>1</v>
      </c>
      <c r="U845">
        <v>51936</v>
      </c>
      <c r="V845">
        <v>51936</v>
      </c>
    </row>
    <row r="846" spans="1:22">
      <c r="A846" t="s">
        <v>196</v>
      </c>
      <c r="B846">
        <v>31</v>
      </c>
      <c r="C846" t="s">
        <v>27</v>
      </c>
      <c r="D846">
        <v>100</v>
      </c>
      <c r="E846" t="s">
        <v>197</v>
      </c>
      <c r="F846">
        <v>1005</v>
      </c>
      <c r="G846" t="s">
        <v>27</v>
      </c>
      <c r="H846">
        <v>2005</v>
      </c>
      <c r="I846" t="s">
        <v>27</v>
      </c>
      <c r="J846">
        <v>3019</v>
      </c>
      <c r="K846" t="s">
        <v>812</v>
      </c>
      <c r="L846">
        <v>4001</v>
      </c>
      <c r="M846" t="s">
        <v>813</v>
      </c>
      <c r="N846" t="s">
        <v>199</v>
      </c>
      <c r="O846">
        <v>0</v>
      </c>
      <c r="P846">
        <v>15</v>
      </c>
      <c r="Q846" t="s">
        <v>264</v>
      </c>
      <c r="R846" t="s">
        <v>201</v>
      </c>
      <c r="S846">
        <v>0</v>
      </c>
      <c r="T846">
        <v>0</v>
      </c>
      <c r="U846">
        <v>15903</v>
      </c>
      <c r="V846">
        <v>15903</v>
      </c>
    </row>
    <row r="847" spans="1:22">
      <c r="A847" t="s">
        <v>196</v>
      </c>
      <c r="B847">
        <v>31</v>
      </c>
      <c r="C847" t="s">
        <v>27</v>
      </c>
      <c r="D847">
        <v>100</v>
      </c>
      <c r="E847" t="s">
        <v>197</v>
      </c>
      <c r="F847">
        <v>1005</v>
      </c>
      <c r="G847" t="s">
        <v>27</v>
      </c>
      <c r="H847">
        <v>2005</v>
      </c>
      <c r="I847" t="s">
        <v>27</v>
      </c>
      <c r="J847">
        <v>3019</v>
      </c>
      <c r="K847" t="s">
        <v>812</v>
      </c>
      <c r="L847">
        <v>4026</v>
      </c>
      <c r="M847" t="s">
        <v>812</v>
      </c>
      <c r="N847" t="s">
        <v>794</v>
      </c>
      <c r="O847">
        <v>9</v>
      </c>
      <c r="P847">
        <v>1673</v>
      </c>
      <c r="Q847" t="s">
        <v>795</v>
      </c>
      <c r="R847" t="s">
        <v>201</v>
      </c>
      <c r="S847">
        <v>2</v>
      </c>
      <c r="T847">
        <v>1</v>
      </c>
      <c r="U847">
        <v>85704</v>
      </c>
      <c r="V847">
        <v>171408</v>
      </c>
    </row>
    <row r="848" spans="1:22">
      <c r="A848" t="s">
        <v>196</v>
      </c>
      <c r="B848">
        <v>31</v>
      </c>
      <c r="C848" t="s">
        <v>27</v>
      </c>
      <c r="D848">
        <v>100</v>
      </c>
      <c r="E848" t="s">
        <v>197</v>
      </c>
      <c r="F848">
        <v>1005</v>
      </c>
      <c r="G848" t="s">
        <v>27</v>
      </c>
      <c r="H848">
        <v>2005</v>
      </c>
      <c r="I848" t="s">
        <v>27</v>
      </c>
      <c r="J848">
        <v>3019</v>
      </c>
      <c r="K848" t="s">
        <v>812</v>
      </c>
      <c r="L848">
        <v>4026</v>
      </c>
      <c r="M848" t="s">
        <v>812</v>
      </c>
      <c r="N848" t="s">
        <v>245</v>
      </c>
      <c r="O848">
        <v>20</v>
      </c>
      <c r="P848">
        <v>1653</v>
      </c>
      <c r="Q848" t="s">
        <v>677</v>
      </c>
      <c r="R848" t="s">
        <v>201</v>
      </c>
      <c r="S848">
        <v>1</v>
      </c>
      <c r="T848">
        <v>1</v>
      </c>
      <c r="U848">
        <v>126756</v>
      </c>
      <c r="V848">
        <v>126756</v>
      </c>
    </row>
    <row r="849" spans="1:22">
      <c r="A849" t="s">
        <v>196</v>
      </c>
      <c r="B849">
        <v>31</v>
      </c>
      <c r="C849" t="s">
        <v>27</v>
      </c>
      <c r="D849">
        <v>100</v>
      </c>
      <c r="E849" t="s">
        <v>197</v>
      </c>
      <c r="F849">
        <v>1005</v>
      </c>
      <c r="G849" t="s">
        <v>27</v>
      </c>
      <c r="H849">
        <v>2005</v>
      </c>
      <c r="I849" t="s">
        <v>27</v>
      </c>
      <c r="J849">
        <v>3019</v>
      </c>
      <c r="K849" t="s">
        <v>812</v>
      </c>
      <c r="L849">
        <v>4026</v>
      </c>
      <c r="M849" t="s">
        <v>812</v>
      </c>
      <c r="N849" t="s">
        <v>287</v>
      </c>
      <c r="O849">
        <v>20</v>
      </c>
      <c r="P849">
        <v>1648</v>
      </c>
      <c r="Q849" t="s">
        <v>814</v>
      </c>
      <c r="R849" t="s">
        <v>201</v>
      </c>
      <c r="S849">
        <v>1</v>
      </c>
      <c r="T849">
        <v>1</v>
      </c>
      <c r="U849">
        <v>97332</v>
      </c>
      <c r="V849">
        <v>97332</v>
      </c>
    </row>
    <row r="850" spans="1:22">
      <c r="A850" t="s">
        <v>196</v>
      </c>
      <c r="B850">
        <v>31</v>
      </c>
      <c r="C850" t="s">
        <v>27</v>
      </c>
      <c r="D850">
        <v>100</v>
      </c>
      <c r="E850" t="s">
        <v>197</v>
      </c>
      <c r="F850">
        <v>1005</v>
      </c>
      <c r="G850" t="s">
        <v>27</v>
      </c>
      <c r="H850">
        <v>2005</v>
      </c>
      <c r="I850" t="s">
        <v>27</v>
      </c>
      <c r="J850">
        <v>3019</v>
      </c>
      <c r="K850" t="s">
        <v>812</v>
      </c>
      <c r="L850">
        <v>4026</v>
      </c>
      <c r="M850" t="s">
        <v>812</v>
      </c>
      <c r="N850" t="s">
        <v>199</v>
      </c>
      <c r="O850">
        <v>0</v>
      </c>
      <c r="P850">
        <v>15</v>
      </c>
      <c r="Q850" t="s">
        <v>264</v>
      </c>
      <c r="R850" t="s">
        <v>201</v>
      </c>
      <c r="S850">
        <v>0</v>
      </c>
      <c r="T850">
        <v>0</v>
      </c>
      <c r="U850">
        <v>14419</v>
      </c>
      <c r="V850">
        <v>14419</v>
      </c>
    </row>
    <row r="851" spans="1:22">
      <c r="A851" t="s">
        <v>196</v>
      </c>
      <c r="B851">
        <v>31</v>
      </c>
      <c r="C851" t="s">
        <v>27</v>
      </c>
      <c r="D851">
        <v>100</v>
      </c>
      <c r="E851" t="s">
        <v>197</v>
      </c>
      <c r="F851">
        <v>1005</v>
      </c>
      <c r="G851" t="s">
        <v>27</v>
      </c>
      <c r="H851">
        <v>2005</v>
      </c>
      <c r="I851" t="s">
        <v>27</v>
      </c>
      <c r="J851">
        <v>3022</v>
      </c>
      <c r="K851" t="s">
        <v>815</v>
      </c>
      <c r="L851">
        <v>4006</v>
      </c>
      <c r="M851" t="s">
        <v>816</v>
      </c>
      <c r="N851" t="s">
        <v>268</v>
      </c>
      <c r="O851">
        <v>0</v>
      </c>
      <c r="P851">
        <v>1689</v>
      </c>
      <c r="Q851" t="s">
        <v>779</v>
      </c>
      <c r="R851" t="s">
        <v>201</v>
      </c>
      <c r="S851">
        <v>1</v>
      </c>
      <c r="T851">
        <v>1</v>
      </c>
      <c r="U851">
        <v>103488</v>
      </c>
      <c r="V851">
        <v>103488</v>
      </c>
    </row>
    <row r="852" spans="1:22">
      <c r="A852" t="s">
        <v>196</v>
      </c>
      <c r="B852">
        <v>31</v>
      </c>
      <c r="C852" t="s">
        <v>27</v>
      </c>
      <c r="D852">
        <v>100</v>
      </c>
      <c r="E852" t="s">
        <v>197</v>
      </c>
      <c r="F852">
        <v>1005</v>
      </c>
      <c r="G852" t="s">
        <v>27</v>
      </c>
      <c r="H852">
        <v>2005</v>
      </c>
      <c r="I852" t="s">
        <v>27</v>
      </c>
      <c r="J852">
        <v>3022</v>
      </c>
      <c r="K852" t="s">
        <v>815</v>
      </c>
      <c r="L852">
        <v>4006</v>
      </c>
      <c r="M852" t="s">
        <v>816</v>
      </c>
      <c r="N852" t="s">
        <v>794</v>
      </c>
      <c r="O852">
        <v>9</v>
      </c>
      <c r="P852">
        <v>1673</v>
      </c>
      <c r="Q852" t="s">
        <v>795</v>
      </c>
      <c r="R852" t="s">
        <v>201</v>
      </c>
      <c r="S852">
        <v>1</v>
      </c>
      <c r="T852">
        <v>1</v>
      </c>
      <c r="U852">
        <v>130128</v>
      </c>
      <c r="V852">
        <v>130128</v>
      </c>
    </row>
    <row r="853" spans="1:22">
      <c r="A853" t="s">
        <v>196</v>
      </c>
      <c r="B853">
        <v>31</v>
      </c>
      <c r="C853" t="s">
        <v>27</v>
      </c>
      <c r="D853">
        <v>100</v>
      </c>
      <c r="E853" t="s">
        <v>197</v>
      </c>
      <c r="F853">
        <v>1005</v>
      </c>
      <c r="G853" t="s">
        <v>27</v>
      </c>
      <c r="H853">
        <v>2005</v>
      </c>
      <c r="I853" t="s">
        <v>27</v>
      </c>
      <c r="J853">
        <v>3022</v>
      </c>
      <c r="K853" t="s">
        <v>815</v>
      </c>
      <c r="L853">
        <v>4006</v>
      </c>
      <c r="M853" t="s">
        <v>816</v>
      </c>
      <c r="N853" t="s">
        <v>794</v>
      </c>
      <c r="O853">
        <v>9</v>
      </c>
      <c r="P853">
        <v>1673</v>
      </c>
      <c r="Q853" t="s">
        <v>795</v>
      </c>
      <c r="R853" t="s">
        <v>201</v>
      </c>
      <c r="S853">
        <v>2</v>
      </c>
      <c r="T853">
        <v>1</v>
      </c>
      <c r="U853">
        <v>118596</v>
      </c>
      <c r="V853">
        <v>237192</v>
      </c>
    </row>
    <row r="854" spans="1:22">
      <c r="A854" t="s">
        <v>196</v>
      </c>
      <c r="B854">
        <v>31</v>
      </c>
      <c r="C854" t="s">
        <v>27</v>
      </c>
      <c r="D854">
        <v>100</v>
      </c>
      <c r="E854" t="s">
        <v>197</v>
      </c>
      <c r="F854">
        <v>1005</v>
      </c>
      <c r="G854" t="s">
        <v>27</v>
      </c>
      <c r="H854">
        <v>2005</v>
      </c>
      <c r="I854" t="s">
        <v>27</v>
      </c>
      <c r="J854">
        <v>3022</v>
      </c>
      <c r="K854" t="s">
        <v>815</v>
      </c>
      <c r="L854">
        <v>4006</v>
      </c>
      <c r="M854" t="s">
        <v>816</v>
      </c>
      <c r="N854" t="s">
        <v>794</v>
      </c>
      <c r="O854">
        <v>9</v>
      </c>
      <c r="P854">
        <v>1673</v>
      </c>
      <c r="Q854" t="s">
        <v>795</v>
      </c>
      <c r="R854" t="s">
        <v>201</v>
      </c>
      <c r="S854">
        <v>2</v>
      </c>
      <c r="T854">
        <v>1</v>
      </c>
      <c r="U854">
        <v>113208</v>
      </c>
      <c r="V854">
        <v>226416</v>
      </c>
    </row>
    <row r="855" spans="1:22">
      <c r="A855" t="s">
        <v>196</v>
      </c>
      <c r="B855">
        <v>31</v>
      </c>
      <c r="C855" t="s">
        <v>27</v>
      </c>
      <c r="D855">
        <v>100</v>
      </c>
      <c r="E855" t="s">
        <v>197</v>
      </c>
      <c r="F855">
        <v>1005</v>
      </c>
      <c r="G855" t="s">
        <v>27</v>
      </c>
      <c r="H855">
        <v>2005</v>
      </c>
      <c r="I855" t="s">
        <v>27</v>
      </c>
      <c r="J855">
        <v>3022</v>
      </c>
      <c r="K855" t="s">
        <v>815</v>
      </c>
      <c r="L855">
        <v>4006</v>
      </c>
      <c r="M855" t="s">
        <v>816</v>
      </c>
      <c r="N855" t="s">
        <v>794</v>
      </c>
      <c r="O855">
        <v>9</v>
      </c>
      <c r="P855">
        <v>1673</v>
      </c>
      <c r="Q855" t="s">
        <v>795</v>
      </c>
      <c r="R855" t="s">
        <v>201</v>
      </c>
      <c r="S855">
        <v>1</v>
      </c>
      <c r="T855">
        <v>1</v>
      </c>
      <c r="U855">
        <v>108084</v>
      </c>
      <c r="V855">
        <v>108084</v>
      </c>
    </row>
    <row r="856" spans="1:22">
      <c r="A856" t="s">
        <v>196</v>
      </c>
      <c r="B856">
        <v>31</v>
      </c>
      <c r="C856" t="s">
        <v>27</v>
      </c>
      <c r="D856">
        <v>100</v>
      </c>
      <c r="E856" t="s">
        <v>197</v>
      </c>
      <c r="F856">
        <v>1005</v>
      </c>
      <c r="G856" t="s">
        <v>27</v>
      </c>
      <c r="H856">
        <v>2005</v>
      </c>
      <c r="I856" t="s">
        <v>27</v>
      </c>
      <c r="J856">
        <v>3022</v>
      </c>
      <c r="K856" t="s">
        <v>815</v>
      </c>
      <c r="L856">
        <v>4006</v>
      </c>
      <c r="M856" t="s">
        <v>816</v>
      </c>
      <c r="N856" t="s">
        <v>785</v>
      </c>
      <c r="O856">
        <v>9</v>
      </c>
      <c r="P856">
        <v>1650</v>
      </c>
      <c r="Q856" t="s">
        <v>786</v>
      </c>
      <c r="R856" t="s">
        <v>201</v>
      </c>
      <c r="S856">
        <v>1</v>
      </c>
      <c r="T856">
        <v>1</v>
      </c>
      <c r="U856">
        <v>172920</v>
      </c>
      <c r="V856">
        <v>172920</v>
      </c>
    </row>
    <row r="857" spans="1:22">
      <c r="A857" t="s">
        <v>196</v>
      </c>
      <c r="B857">
        <v>31</v>
      </c>
      <c r="C857" t="s">
        <v>27</v>
      </c>
      <c r="D857">
        <v>100</v>
      </c>
      <c r="E857" t="s">
        <v>197</v>
      </c>
      <c r="F857">
        <v>1005</v>
      </c>
      <c r="G857" t="s">
        <v>27</v>
      </c>
      <c r="H857">
        <v>2005</v>
      </c>
      <c r="I857" t="s">
        <v>27</v>
      </c>
      <c r="J857">
        <v>3022</v>
      </c>
      <c r="K857" t="s">
        <v>815</v>
      </c>
      <c r="L857">
        <v>4006</v>
      </c>
      <c r="M857" t="s">
        <v>816</v>
      </c>
      <c r="N857" t="s">
        <v>798</v>
      </c>
      <c r="O857">
        <v>9</v>
      </c>
      <c r="P857">
        <v>1641</v>
      </c>
      <c r="Q857" t="s">
        <v>799</v>
      </c>
      <c r="R857" t="s">
        <v>201</v>
      </c>
      <c r="S857">
        <v>1</v>
      </c>
      <c r="T857">
        <v>1</v>
      </c>
      <c r="U857">
        <v>130128</v>
      </c>
      <c r="V857">
        <v>130128</v>
      </c>
    </row>
    <row r="858" spans="1:22">
      <c r="A858" t="s">
        <v>196</v>
      </c>
      <c r="B858">
        <v>31</v>
      </c>
      <c r="C858" t="s">
        <v>27</v>
      </c>
      <c r="D858">
        <v>100</v>
      </c>
      <c r="E858" t="s">
        <v>197</v>
      </c>
      <c r="F858">
        <v>1005</v>
      </c>
      <c r="G858" t="s">
        <v>27</v>
      </c>
      <c r="H858">
        <v>2005</v>
      </c>
      <c r="I858" t="s">
        <v>27</v>
      </c>
      <c r="J858">
        <v>3022</v>
      </c>
      <c r="K858" t="s">
        <v>815</v>
      </c>
      <c r="L858">
        <v>4006</v>
      </c>
      <c r="M858" t="s">
        <v>816</v>
      </c>
      <c r="N858" t="s">
        <v>798</v>
      </c>
      <c r="O858">
        <v>9</v>
      </c>
      <c r="P858">
        <v>1641</v>
      </c>
      <c r="Q858" t="s">
        <v>799</v>
      </c>
      <c r="R858" t="s">
        <v>201</v>
      </c>
      <c r="S858">
        <v>1</v>
      </c>
      <c r="T858">
        <v>1</v>
      </c>
      <c r="U858">
        <v>124224</v>
      </c>
      <c r="V858">
        <v>124224</v>
      </c>
    </row>
    <row r="859" spans="1:22">
      <c r="A859" t="s">
        <v>196</v>
      </c>
      <c r="B859">
        <v>31</v>
      </c>
      <c r="C859" t="s">
        <v>27</v>
      </c>
      <c r="D859">
        <v>100</v>
      </c>
      <c r="E859" t="s">
        <v>197</v>
      </c>
      <c r="F859">
        <v>1005</v>
      </c>
      <c r="G859" t="s">
        <v>27</v>
      </c>
      <c r="H859">
        <v>2005</v>
      </c>
      <c r="I859" t="s">
        <v>27</v>
      </c>
      <c r="J859">
        <v>3022</v>
      </c>
      <c r="K859" t="s">
        <v>815</v>
      </c>
      <c r="L859">
        <v>4006</v>
      </c>
      <c r="M859" t="s">
        <v>816</v>
      </c>
      <c r="N859" t="s">
        <v>251</v>
      </c>
      <c r="O859">
        <v>10</v>
      </c>
      <c r="P859">
        <v>1619</v>
      </c>
      <c r="Q859" t="s">
        <v>806</v>
      </c>
      <c r="R859" t="s">
        <v>201</v>
      </c>
      <c r="S859">
        <v>1</v>
      </c>
      <c r="T859">
        <v>1</v>
      </c>
      <c r="U859">
        <v>89112</v>
      </c>
      <c r="V859">
        <v>89112</v>
      </c>
    </row>
    <row r="860" spans="1:22">
      <c r="A860" t="s">
        <v>196</v>
      </c>
      <c r="B860">
        <v>31</v>
      </c>
      <c r="C860" t="s">
        <v>27</v>
      </c>
      <c r="D860">
        <v>100</v>
      </c>
      <c r="E860" t="s">
        <v>197</v>
      </c>
      <c r="F860">
        <v>1005</v>
      </c>
      <c r="G860" t="s">
        <v>27</v>
      </c>
      <c r="H860">
        <v>2005</v>
      </c>
      <c r="I860" t="s">
        <v>27</v>
      </c>
      <c r="J860">
        <v>3022</v>
      </c>
      <c r="K860" t="s">
        <v>815</v>
      </c>
      <c r="L860">
        <v>4006</v>
      </c>
      <c r="M860" t="s">
        <v>816</v>
      </c>
      <c r="N860" t="s">
        <v>199</v>
      </c>
      <c r="O860">
        <v>0</v>
      </c>
      <c r="P860">
        <v>15</v>
      </c>
      <c r="Q860" t="s">
        <v>264</v>
      </c>
      <c r="R860" t="s">
        <v>201</v>
      </c>
      <c r="S860">
        <v>0</v>
      </c>
      <c r="T860">
        <v>0</v>
      </c>
      <c r="U860">
        <v>8573</v>
      </c>
      <c r="V860">
        <v>8573</v>
      </c>
    </row>
    <row r="861" spans="1:22">
      <c r="A861" t="s">
        <v>196</v>
      </c>
      <c r="B861">
        <v>31</v>
      </c>
      <c r="C861" t="s">
        <v>27</v>
      </c>
      <c r="D861">
        <v>100</v>
      </c>
      <c r="E861" t="s">
        <v>197</v>
      </c>
      <c r="F861">
        <v>1005</v>
      </c>
      <c r="G861" t="s">
        <v>27</v>
      </c>
      <c r="H861">
        <v>2005</v>
      </c>
      <c r="I861" t="s">
        <v>27</v>
      </c>
      <c r="J861">
        <v>3022</v>
      </c>
      <c r="K861" t="s">
        <v>815</v>
      </c>
      <c r="L861">
        <v>4008</v>
      </c>
      <c r="M861" t="s">
        <v>817</v>
      </c>
      <c r="N861" t="s">
        <v>796</v>
      </c>
      <c r="O861">
        <v>9</v>
      </c>
      <c r="P861">
        <v>1652</v>
      </c>
      <c r="Q861" t="s">
        <v>797</v>
      </c>
      <c r="R861" t="s">
        <v>201</v>
      </c>
      <c r="S861">
        <v>1</v>
      </c>
      <c r="T861">
        <v>1</v>
      </c>
      <c r="U861">
        <v>150768</v>
      </c>
      <c r="V861">
        <v>150768</v>
      </c>
    </row>
    <row r="862" spans="1:22">
      <c r="A862" t="s">
        <v>196</v>
      </c>
      <c r="B862">
        <v>31</v>
      </c>
      <c r="C862" t="s">
        <v>27</v>
      </c>
      <c r="D862">
        <v>100</v>
      </c>
      <c r="E862" t="s">
        <v>197</v>
      </c>
      <c r="F862">
        <v>1005</v>
      </c>
      <c r="G862" t="s">
        <v>27</v>
      </c>
      <c r="H862">
        <v>2005</v>
      </c>
      <c r="I862" t="s">
        <v>27</v>
      </c>
      <c r="J862">
        <v>3023</v>
      </c>
      <c r="K862" t="s">
        <v>818</v>
      </c>
      <c r="L862">
        <v>0</v>
      </c>
      <c r="N862" t="s">
        <v>268</v>
      </c>
      <c r="O862">
        <v>0</v>
      </c>
      <c r="P862">
        <v>1689</v>
      </c>
      <c r="Q862" t="s">
        <v>779</v>
      </c>
      <c r="R862" t="s">
        <v>201</v>
      </c>
      <c r="S862">
        <v>1</v>
      </c>
      <c r="T862">
        <v>1</v>
      </c>
      <c r="U862">
        <v>80124</v>
      </c>
      <c r="V862">
        <v>80124</v>
      </c>
    </row>
    <row r="863" spans="1:22">
      <c r="A863" t="s">
        <v>196</v>
      </c>
      <c r="B863">
        <v>31</v>
      </c>
      <c r="C863" t="s">
        <v>27</v>
      </c>
      <c r="D863">
        <v>100</v>
      </c>
      <c r="E863" t="s">
        <v>197</v>
      </c>
      <c r="F863">
        <v>1005</v>
      </c>
      <c r="G863" t="s">
        <v>27</v>
      </c>
      <c r="H863">
        <v>2005</v>
      </c>
      <c r="I863" t="s">
        <v>27</v>
      </c>
      <c r="J863">
        <v>3023</v>
      </c>
      <c r="K863" t="s">
        <v>818</v>
      </c>
      <c r="L863">
        <v>0</v>
      </c>
      <c r="N863" t="s">
        <v>794</v>
      </c>
      <c r="O863">
        <v>9</v>
      </c>
      <c r="P863">
        <v>1673</v>
      </c>
      <c r="Q863" t="s">
        <v>795</v>
      </c>
      <c r="R863" t="s">
        <v>201</v>
      </c>
      <c r="S863">
        <v>1</v>
      </c>
      <c r="T863">
        <v>1</v>
      </c>
      <c r="U863">
        <v>118596</v>
      </c>
      <c r="V863">
        <v>118596</v>
      </c>
    </row>
    <row r="864" spans="1:22">
      <c r="A864" t="s">
        <v>196</v>
      </c>
      <c r="B864">
        <v>31</v>
      </c>
      <c r="C864" t="s">
        <v>27</v>
      </c>
      <c r="D864">
        <v>100</v>
      </c>
      <c r="E864" t="s">
        <v>197</v>
      </c>
      <c r="F864">
        <v>1005</v>
      </c>
      <c r="G864" t="s">
        <v>27</v>
      </c>
      <c r="H864">
        <v>2005</v>
      </c>
      <c r="I864" t="s">
        <v>27</v>
      </c>
      <c r="J864">
        <v>3023</v>
      </c>
      <c r="K864" t="s">
        <v>818</v>
      </c>
      <c r="L864">
        <v>0</v>
      </c>
      <c r="N864" t="s">
        <v>794</v>
      </c>
      <c r="O864">
        <v>9</v>
      </c>
      <c r="P864">
        <v>1673</v>
      </c>
      <c r="Q864" t="s">
        <v>795</v>
      </c>
      <c r="R864" t="s">
        <v>201</v>
      </c>
      <c r="S864">
        <v>1</v>
      </c>
      <c r="T864">
        <v>1</v>
      </c>
      <c r="U864">
        <v>103176</v>
      </c>
      <c r="V864">
        <v>103176</v>
      </c>
    </row>
    <row r="865" spans="1:22">
      <c r="A865" t="s">
        <v>196</v>
      </c>
      <c r="B865">
        <v>31</v>
      </c>
      <c r="C865" t="s">
        <v>27</v>
      </c>
      <c r="D865">
        <v>100</v>
      </c>
      <c r="E865" t="s">
        <v>197</v>
      </c>
      <c r="F865">
        <v>1005</v>
      </c>
      <c r="G865" t="s">
        <v>27</v>
      </c>
      <c r="H865">
        <v>2005</v>
      </c>
      <c r="I865" t="s">
        <v>27</v>
      </c>
      <c r="J865">
        <v>3023</v>
      </c>
      <c r="K865" t="s">
        <v>818</v>
      </c>
      <c r="L865">
        <v>0</v>
      </c>
      <c r="N865" t="s">
        <v>794</v>
      </c>
      <c r="O865">
        <v>9</v>
      </c>
      <c r="P865">
        <v>1673</v>
      </c>
      <c r="Q865" t="s">
        <v>795</v>
      </c>
      <c r="R865" t="s">
        <v>201</v>
      </c>
      <c r="S865">
        <v>2</v>
      </c>
      <c r="T865">
        <v>1</v>
      </c>
      <c r="U865">
        <v>94044</v>
      </c>
      <c r="V865">
        <v>188088</v>
      </c>
    </row>
    <row r="866" spans="1:22">
      <c r="A866" t="s">
        <v>196</v>
      </c>
      <c r="B866">
        <v>31</v>
      </c>
      <c r="C866" t="s">
        <v>27</v>
      </c>
      <c r="D866">
        <v>100</v>
      </c>
      <c r="E866" t="s">
        <v>197</v>
      </c>
      <c r="F866">
        <v>1005</v>
      </c>
      <c r="G866" t="s">
        <v>27</v>
      </c>
      <c r="H866">
        <v>2005</v>
      </c>
      <c r="I866" t="s">
        <v>27</v>
      </c>
      <c r="J866">
        <v>3023</v>
      </c>
      <c r="K866" t="s">
        <v>818</v>
      </c>
      <c r="L866">
        <v>0</v>
      </c>
      <c r="N866" t="s">
        <v>794</v>
      </c>
      <c r="O866">
        <v>9</v>
      </c>
      <c r="P866">
        <v>1673</v>
      </c>
      <c r="Q866" t="s">
        <v>795</v>
      </c>
      <c r="R866" t="s">
        <v>201</v>
      </c>
      <c r="S866">
        <v>4</v>
      </c>
      <c r="T866">
        <v>1</v>
      </c>
      <c r="U866">
        <v>85704</v>
      </c>
      <c r="V866">
        <v>342816</v>
      </c>
    </row>
    <row r="867" spans="1:22">
      <c r="A867" t="s">
        <v>196</v>
      </c>
      <c r="B867">
        <v>31</v>
      </c>
      <c r="C867" t="s">
        <v>27</v>
      </c>
      <c r="D867">
        <v>100</v>
      </c>
      <c r="E867" t="s">
        <v>197</v>
      </c>
      <c r="F867">
        <v>1005</v>
      </c>
      <c r="G867" t="s">
        <v>27</v>
      </c>
      <c r="H867">
        <v>2005</v>
      </c>
      <c r="I867" t="s">
        <v>27</v>
      </c>
      <c r="J867">
        <v>3023</v>
      </c>
      <c r="K867" t="s">
        <v>818</v>
      </c>
      <c r="L867">
        <v>0</v>
      </c>
      <c r="N867" t="s">
        <v>785</v>
      </c>
      <c r="O867">
        <v>9</v>
      </c>
      <c r="P867">
        <v>1650</v>
      </c>
      <c r="Q867" t="s">
        <v>786</v>
      </c>
      <c r="R867" t="s">
        <v>201</v>
      </c>
      <c r="S867">
        <v>1</v>
      </c>
      <c r="T867">
        <v>1</v>
      </c>
      <c r="U867">
        <v>208956</v>
      </c>
      <c r="V867">
        <v>208956</v>
      </c>
    </row>
    <row r="868" spans="1:22">
      <c r="A868" t="s">
        <v>196</v>
      </c>
      <c r="B868">
        <v>31</v>
      </c>
      <c r="C868" t="s">
        <v>27</v>
      </c>
      <c r="D868">
        <v>100</v>
      </c>
      <c r="E868" t="s">
        <v>197</v>
      </c>
      <c r="F868">
        <v>1005</v>
      </c>
      <c r="G868" t="s">
        <v>27</v>
      </c>
      <c r="H868">
        <v>2005</v>
      </c>
      <c r="I868" t="s">
        <v>27</v>
      </c>
      <c r="J868">
        <v>3023</v>
      </c>
      <c r="K868" t="s">
        <v>818</v>
      </c>
      <c r="L868">
        <v>0</v>
      </c>
      <c r="N868" t="s">
        <v>798</v>
      </c>
      <c r="O868">
        <v>9</v>
      </c>
      <c r="P868">
        <v>1641</v>
      </c>
      <c r="Q868" t="s">
        <v>799</v>
      </c>
      <c r="R868" t="s">
        <v>201</v>
      </c>
      <c r="S868">
        <v>1</v>
      </c>
      <c r="T868">
        <v>1</v>
      </c>
      <c r="U868">
        <v>156648</v>
      </c>
      <c r="V868">
        <v>156648</v>
      </c>
    </row>
    <row r="869" spans="1:22">
      <c r="A869" t="s">
        <v>196</v>
      </c>
      <c r="B869">
        <v>31</v>
      </c>
      <c r="C869" t="s">
        <v>27</v>
      </c>
      <c r="D869">
        <v>100</v>
      </c>
      <c r="E869" t="s">
        <v>197</v>
      </c>
      <c r="F869">
        <v>1005</v>
      </c>
      <c r="G869" t="s">
        <v>27</v>
      </c>
      <c r="H869">
        <v>2005</v>
      </c>
      <c r="I869" t="s">
        <v>27</v>
      </c>
      <c r="J869">
        <v>3023</v>
      </c>
      <c r="K869" t="s">
        <v>818</v>
      </c>
      <c r="L869">
        <v>0</v>
      </c>
      <c r="N869" t="s">
        <v>341</v>
      </c>
      <c r="O869">
        <v>1</v>
      </c>
      <c r="P869">
        <v>1617</v>
      </c>
      <c r="Q869" t="s">
        <v>800</v>
      </c>
      <c r="R869" t="s">
        <v>201</v>
      </c>
      <c r="S869">
        <v>1</v>
      </c>
      <c r="T869">
        <v>1</v>
      </c>
      <c r="U869">
        <v>85200</v>
      </c>
      <c r="V869">
        <v>85200</v>
      </c>
    </row>
    <row r="870" spans="1:22">
      <c r="A870" t="s">
        <v>196</v>
      </c>
      <c r="B870">
        <v>31</v>
      </c>
      <c r="C870" t="s">
        <v>27</v>
      </c>
      <c r="D870">
        <v>100</v>
      </c>
      <c r="E870" t="s">
        <v>197</v>
      </c>
      <c r="F870">
        <v>1005</v>
      </c>
      <c r="G870" t="s">
        <v>27</v>
      </c>
      <c r="H870">
        <v>2005</v>
      </c>
      <c r="I870" t="s">
        <v>27</v>
      </c>
      <c r="J870">
        <v>3023</v>
      </c>
      <c r="K870" t="s">
        <v>818</v>
      </c>
      <c r="L870">
        <v>0</v>
      </c>
      <c r="N870" t="s">
        <v>199</v>
      </c>
      <c r="O870">
        <v>0</v>
      </c>
      <c r="P870">
        <v>15</v>
      </c>
      <c r="Q870" t="s">
        <v>264</v>
      </c>
      <c r="R870" t="s">
        <v>201</v>
      </c>
      <c r="S870">
        <v>0</v>
      </c>
      <c r="T870">
        <v>0</v>
      </c>
      <c r="U870">
        <v>15328</v>
      </c>
      <c r="V870">
        <v>15328</v>
      </c>
    </row>
    <row r="871" spans="1:22">
      <c r="A871" t="s">
        <v>196</v>
      </c>
      <c r="B871">
        <v>31</v>
      </c>
      <c r="C871" t="s">
        <v>27</v>
      </c>
      <c r="D871">
        <v>100</v>
      </c>
      <c r="E871" t="s">
        <v>197</v>
      </c>
      <c r="F871">
        <v>1005</v>
      </c>
      <c r="G871" t="s">
        <v>27</v>
      </c>
      <c r="H871">
        <v>2005</v>
      </c>
      <c r="I871" t="s">
        <v>27</v>
      </c>
      <c r="J871">
        <v>3028</v>
      </c>
      <c r="K871" t="s">
        <v>819</v>
      </c>
      <c r="L871">
        <v>4011</v>
      </c>
      <c r="M871" t="s">
        <v>820</v>
      </c>
      <c r="N871" t="s">
        <v>268</v>
      </c>
      <c r="O871">
        <v>0</v>
      </c>
      <c r="P871">
        <v>1689</v>
      </c>
      <c r="Q871" t="s">
        <v>779</v>
      </c>
      <c r="R871" t="s">
        <v>201</v>
      </c>
      <c r="S871">
        <v>1</v>
      </c>
      <c r="T871">
        <v>1</v>
      </c>
      <c r="U871">
        <v>80124</v>
      </c>
      <c r="V871">
        <v>80124</v>
      </c>
    </row>
    <row r="872" spans="1:22">
      <c r="A872" t="s">
        <v>196</v>
      </c>
      <c r="B872">
        <v>31</v>
      </c>
      <c r="C872" t="s">
        <v>27</v>
      </c>
      <c r="D872">
        <v>100</v>
      </c>
      <c r="E872" t="s">
        <v>197</v>
      </c>
      <c r="F872">
        <v>1005</v>
      </c>
      <c r="G872" t="s">
        <v>27</v>
      </c>
      <c r="H872">
        <v>2005</v>
      </c>
      <c r="I872" t="s">
        <v>27</v>
      </c>
      <c r="J872">
        <v>3028</v>
      </c>
      <c r="K872" t="s">
        <v>819</v>
      </c>
      <c r="L872">
        <v>4011</v>
      </c>
      <c r="M872" t="s">
        <v>820</v>
      </c>
      <c r="N872" t="s">
        <v>821</v>
      </c>
      <c r="O872">
        <v>9</v>
      </c>
      <c r="P872">
        <v>1672</v>
      </c>
      <c r="Q872" t="s">
        <v>822</v>
      </c>
      <c r="R872" t="s">
        <v>201</v>
      </c>
      <c r="S872">
        <v>1</v>
      </c>
      <c r="T872">
        <v>1</v>
      </c>
      <c r="U872">
        <v>142776</v>
      </c>
      <c r="V872">
        <v>142776</v>
      </c>
    </row>
    <row r="873" spans="1:22">
      <c r="A873" t="s">
        <v>196</v>
      </c>
      <c r="B873">
        <v>31</v>
      </c>
      <c r="C873" t="s">
        <v>27</v>
      </c>
      <c r="D873">
        <v>100</v>
      </c>
      <c r="E873" t="s">
        <v>197</v>
      </c>
      <c r="F873">
        <v>1005</v>
      </c>
      <c r="G873" t="s">
        <v>27</v>
      </c>
      <c r="H873">
        <v>2005</v>
      </c>
      <c r="I873" t="s">
        <v>27</v>
      </c>
      <c r="J873">
        <v>3028</v>
      </c>
      <c r="K873" t="s">
        <v>819</v>
      </c>
      <c r="L873">
        <v>4011</v>
      </c>
      <c r="M873" t="s">
        <v>820</v>
      </c>
      <c r="N873" t="s">
        <v>821</v>
      </c>
      <c r="O873">
        <v>9</v>
      </c>
      <c r="P873">
        <v>1672</v>
      </c>
      <c r="Q873" t="s">
        <v>822</v>
      </c>
      <c r="R873" t="s">
        <v>201</v>
      </c>
      <c r="S873">
        <v>1</v>
      </c>
      <c r="T873">
        <v>1</v>
      </c>
      <c r="U873">
        <v>130128</v>
      </c>
      <c r="V873">
        <v>130128</v>
      </c>
    </row>
    <row r="874" spans="1:22">
      <c r="A874" t="s">
        <v>196</v>
      </c>
      <c r="B874">
        <v>31</v>
      </c>
      <c r="C874" t="s">
        <v>27</v>
      </c>
      <c r="D874">
        <v>100</v>
      </c>
      <c r="E874" t="s">
        <v>197</v>
      </c>
      <c r="F874">
        <v>1005</v>
      </c>
      <c r="G874" t="s">
        <v>27</v>
      </c>
      <c r="H874">
        <v>2005</v>
      </c>
      <c r="I874" t="s">
        <v>27</v>
      </c>
      <c r="J874">
        <v>3028</v>
      </c>
      <c r="K874" t="s">
        <v>819</v>
      </c>
      <c r="L874">
        <v>4011</v>
      </c>
      <c r="M874" t="s">
        <v>820</v>
      </c>
      <c r="N874" t="s">
        <v>821</v>
      </c>
      <c r="O874">
        <v>9</v>
      </c>
      <c r="P874">
        <v>1672</v>
      </c>
      <c r="Q874" t="s">
        <v>822</v>
      </c>
      <c r="R874" t="s">
        <v>201</v>
      </c>
      <c r="S874">
        <v>1</v>
      </c>
      <c r="T874">
        <v>1</v>
      </c>
      <c r="U874">
        <v>118596</v>
      </c>
      <c r="V874">
        <v>118596</v>
      </c>
    </row>
    <row r="875" spans="1:22">
      <c r="A875" t="s">
        <v>196</v>
      </c>
      <c r="B875">
        <v>31</v>
      </c>
      <c r="C875" t="s">
        <v>27</v>
      </c>
      <c r="D875">
        <v>100</v>
      </c>
      <c r="E875" t="s">
        <v>197</v>
      </c>
      <c r="F875">
        <v>1005</v>
      </c>
      <c r="G875" t="s">
        <v>27</v>
      </c>
      <c r="H875">
        <v>2005</v>
      </c>
      <c r="I875" t="s">
        <v>27</v>
      </c>
      <c r="J875">
        <v>3028</v>
      </c>
      <c r="K875" t="s">
        <v>819</v>
      </c>
      <c r="L875">
        <v>4011</v>
      </c>
      <c r="M875" t="s">
        <v>820</v>
      </c>
      <c r="N875" t="s">
        <v>821</v>
      </c>
      <c r="O875">
        <v>9</v>
      </c>
      <c r="P875">
        <v>1672</v>
      </c>
      <c r="Q875" t="s">
        <v>822</v>
      </c>
      <c r="R875" t="s">
        <v>201</v>
      </c>
      <c r="S875">
        <v>1</v>
      </c>
      <c r="T875">
        <v>1</v>
      </c>
      <c r="U875">
        <v>108084</v>
      </c>
      <c r="V875">
        <v>108084</v>
      </c>
    </row>
    <row r="876" spans="1:22">
      <c r="A876" t="s">
        <v>196</v>
      </c>
      <c r="B876">
        <v>31</v>
      </c>
      <c r="C876" t="s">
        <v>27</v>
      </c>
      <c r="D876">
        <v>100</v>
      </c>
      <c r="E876" t="s">
        <v>197</v>
      </c>
      <c r="F876">
        <v>1005</v>
      </c>
      <c r="G876" t="s">
        <v>27</v>
      </c>
      <c r="H876">
        <v>2005</v>
      </c>
      <c r="I876" t="s">
        <v>27</v>
      </c>
      <c r="J876">
        <v>3028</v>
      </c>
      <c r="K876" t="s">
        <v>819</v>
      </c>
      <c r="L876">
        <v>4011</v>
      </c>
      <c r="M876" t="s">
        <v>820</v>
      </c>
      <c r="N876" t="s">
        <v>821</v>
      </c>
      <c r="O876">
        <v>9</v>
      </c>
      <c r="P876">
        <v>1672</v>
      </c>
      <c r="Q876" t="s">
        <v>822</v>
      </c>
      <c r="R876" t="s">
        <v>201</v>
      </c>
      <c r="S876">
        <v>3</v>
      </c>
      <c r="T876">
        <v>1</v>
      </c>
      <c r="U876">
        <v>103176</v>
      </c>
      <c r="V876">
        <v>309528</v>
      </c>
    </row>
    <row r="877" spans="1:22">
      <c r="A877" t="s">
        <v>196</v>
      </c>
      <c r="B877">
        <v>31</v>
      </c>
      <c r="C877" t="s">
        <v>27</v>
      </c>
      <c r="D877">
        <v>100</v>
      </c>
      <c r="E877" t="s">
        <v>197</v>
      </c>
      <c r="F877">
        <v>1005</v>
      </c>
      <c r="G877" t="s">
        <v>27</v>
      </c>
      <c r="H877">
        <v>2005</v>
      </c>
      <c r="I877" t="s">
        <v>27</v>
      </c>
      <c r="J877">
        <v>3028</v>
      </c>
      <c r="K877" t="s">
        <v>819</v>
      </c>
      <c r="L877">
        <v>4011</v>
      </c>
      <c r="M877" t="s">
        <v>820</v>
      </c>
      <c r="N877" t="s">
        <v>821</v>
      </c>
      <c r="O877">
        <v>9</v>
      </c>
      <c r="P877">
        <v>1672</v>
      </c>
      <c r="Q877" t="s">
        <v>822</v>
      </c>
      <c r="R877" t="s">
        <v>201</v>
      </c>
      <c r="S877">
        <v>1</v>
      </c>
      <c r="T877">
        <v>1</v>
      </c>
      <c r="U877">
        <v>98484</v>
      </c>
      <c r="V877">
        <v>98484</v>
      </c>
    </row>
    <row r="878" spans="1:22">
      <c r="A878" t="s">
        <v>196</v>
      </c>
      <c r="B878">
        <v>31</v>
      </c>
      <c r="C878" t="s">
        <v>27</v>
      </c>
      <c r="D878">
        <v>100</v>
      </c>
      <c r="E878" t="s">
        <v>197</v>
      </c>
      <c r="F878">
        <v>1005</v>
      </c>
      <c r="G878" t="s">
        <v>27</v>
      </c>
      <c r="H878">
        <v>2005</v>
      </c>
      <c r="I878" t="s">
        <v>27</v>
      </c>
      <c r="J878">
        <v>3028</v>
      </c>
      <c r="K878" t="s">
        <v>819</v>
      </c>
      <c r="L878">
        <v>4011</v>
      </c>
      <c r="M878" t="s">
        <v>820</v>
      </c>
      <c r="N878" t="s">
        <v>821</v>
      </c>
      <c r="O878">
        <v>9</v>
      </c>
      <c r="P878">
        <v>1672</v>
      </c>
      <c r="Q878" t="s">
        <v>822</v>
      </c>
      <c r="R878" t="s">
        <v>201</v>
      </c>
      <c r="S878">
        <v>1</v>
      </c>
      <c r="T878">
        <v>1</v>
      </c>
      <c r="U878">
        <v>94044</v>
      </c>
      <c r="V878">
        <v>94044</v>
      </c>
    </row>
    <row r="879" spans="1:22">
      <c r="A879" t="s">
        <v>196</v>
      </c>
      <c r="B879">
        <v>31</v>
      </c>
      <c r="C879" t="s">
        <v>27</v>
      </c>
      <c r="D879">
        <v>100</v>
      </c>
      <c r="E879" t="s">
        <v>197</v>
      </c>
      <c r="F879">
        <v>1005</v>
      </c>
      <c r="G879" t="s">
        <v>27</v>
      </c>
      <c r="H879">
        <v>2005</v>
      </c>
      <c r="I879" t="s">
        <v>27</v>
      </c>
      <c r="J879">
        <v>3028</v>
      </c>
      <c r="K879" t="s">
        <v>819</v>
      </c>
      <c r="L879">
        <v>4011</v>
      </c>
      <c r="M879" t="s">
        <v>820</v>
      </c>
      <c r="N879" t="s">
        <v>821</v>
      </c>
      <c r="O879">
        <v>9</v>
      </c>
      <c r="P879">
        <v>1672</v>
      </c>
      <c r="Q879" t="s">
        <v>822</v>
      </c>
      <c r="R879" t="s">
        <v>201</v>
      </c>
      <c r="S879">
        <v>1</v>
      </c>
      <c r="T879">
        <v>1</v>
      </c>
      <c r="U879">
        <v>87372</v>
      </c>
      <c r="V879">
        <v>87372</v>
      </c>
    </row>
    <row r="880" spans="1:22">
      <c r="A880" t="s">
        <v>196</v>
      </c>
      <c r="B880">
        <v>31</v>
      </c>
      <c r="C880" t="s">
        <v>27</v>
      </c>
      <c r="D880">
        <v>100</v>
      </c>
      <c r="E880" t="s">
        <v>197</v>
      </c>
      <c r="F880">
        <v>1005</v>
      </c>
      <c r="G880" t="s">
        <v>27</v>
      </c>
      <c r="H880">
        <v>2005</v>
      </c>
      <c r="I880" t="s">
        <v>27</v>
      </c>
      <c r="J880">
        <v>3028</v>
      </c>
      <c r="K880" t="s">
        <v>819</v>
      </c>
      <c r="L880">
        <v>4011</v>
      </c>
      <c r="M880" t="s">
        <v>820</v>
      </c>
      <c r="N880" t="s">
        <v>785</v>
      </c>
      <c r="O880">
        <v>9</v>
      </c>
      <c r="P880">
        <v>1650</v>
      </c>
      <c r="Q880" t="s">
        <v>786</v>
      </c>
      <c r="R880" t="s">
        <v>201</v>
      </c>
      <c r="S880">
        <v>1</v>
      </c>
      <c r="T880">
        <v>1</v>
      </c>
      <c r="U880">
        <v>192852</v>
      </c>
      <c r="V880">
        <v>192852</v>
      </c>
    </row>
    <row r="881" spans="1:22">
      <c r="A881" t="s">
        <v>196</v>
      </c>
      <c r="B881">
        <v>31</v>
      </c>
      <c r="C881" t="s">
        <v>27</v>
      </c>
      <c r="D881">
        <v>100</v>
      </c>
      <c r="E881" t="s">
        <v>197</v>
      </c>
      <c r="F881">
        <v>1005</v>
      </c>
      <c r="G881" t="s">
        <v>27</v>
      </c>
      <c r="H881">
        <v>2005</v>
      </c>
      <c r="I881" t="s">
        <v>27</v>
      </c>
      <c r="J881">
        <v>3028</v>
      </c>
      <c r="K881" t="s">
        <v>819</v>
      </c>
      <c r="L881">
        <v>4011</v>
      </c>
      <c r="M881" t="s">
        <v>820</v>
      </c>
      <c r="N881" t="s">
        <v>798</v>
      </c>
      <c r="O881">
        <v>9</v>
      </c>
      <c r="P881">
        <v>1641</v>
      </c>
      <c r="Q881" t="s">
        <v>799</v>
      </c>
      <c r="R881" t="s">
        <v>201</v>
      </c>
      <c r="S881">
        <v>1</v>
      </c>
      <c r="T881">
        <v>1</v>
      </c>
      <c r="U881">
        <v>149556</v>
      </c>
      <c r="V881">
        <v>149556</v>
      </c>
    </row>
    <row r="882" spans="1:22">
      <c r="A882" t="s">
        <v>196</v>
      </c>
      <c r="B882">
        <v>31</v>
      </c>
      <c r="C882" t="s">
        <v>27</v>
      </c>
      <c r="D882">
        <v>100</v>
      </c>
      <c r="E882" t="s">
        <v>197</v>
      </c>
      <c r="F882">
        <v>1005</v>
      </c>
      <c r="G882" t="s">
        <v>27</v>
      </c>
      <c r="H882">
        <v>2005</v>
      </c>
      <c r="I882" t="s">
        <v>27</v>
      </c>
      <c r="J882">
        <v>3028</v>
      </c>
      <c r="K882" t="s">
        <v>819</v>
      </c>
      <c r="L882">
        <v>4011</v>
      </c>
      <c r="M882" t="s">
        <v>820</v>
      </c>
      <c r="N882" t="s">
        <v>798</v>
      </c>
      <c r="O882">
        <v>9</v>
      </c>
      <c r="P882">
        <v>1641</v>
      </c>
      <c r="Q882" t="s">
        <v>799</v>
      </c>
      <c r="R882" t="s">
        <v>201</v>
      </c>
      <c r="S882">
        <v>1</v>
      </c>
      <c r="T882">
        <v>1</v>
      </c>
      <c r="U882">
        <v>142776</v>
      </c>
      <c r="V882">
        <v>142776</v>
      </c>
    </row>
    <row r="883" spans="1:22">
      <c r="A883" t="s">
        <v>196</v>
      </c>
      <c r="B883">
        <v>31</v>
      </c>
      <c r="C883" t="s">
        <v>27</v>
      </c>
      <c r="D883">
        <v>100</v>
      </c>
      <c r="E883" t="s">
        <v>197</v>
      </c>
      <c r="F883">
        <v>1005</v>
      </c>
      <c r="G883" t="s">
        <v>27</v>
      </c>
      <c r="H883">
        <v>2005</v>
      </c>
      <c r="I883" t="s">
        <v>27</v>
      </c>
      <c r="J883">
        <v>3028</v>
      </c>
      <c r="K883" t="s">
        <v>819</v>
      </c>
      <c r="L883">
        <v>4011</v>
      </c>
      <c r="M883" t="s">
        <v>820</v>
      </c>
      <c r="N883" t="s">
        <v>798</v>
      </c>
      <c r="O883">
        <v>9</v>
      </c>
      <c r="P883">
        <v>1641</v>
      </c>
      <c r="Q883" t="s">
        <v>799</v>
      </c>
      <c r="R883" t="s">
        <v>201</v>
      </c>
      <c r="S883">
        <v>1</v>
      </c>
      <c r="T883">
        <v>1</v>
      </c>
      <c r="U883">
        <v>136284</v>
      </c>
      <c r="V883">
        <v>136284</v>
      </c>
    </row>
    <row r="884" spans="1:22">
      <c r="A884" t="s">
        <v>196</v>
      </c>
      <c r="B884">
        <v>31</v>
      </c>
      <c r="C884" t="s">
        <v>27</v>
      </c>
      <c r="D884">
        <v>100</v>
      </c>
      <c r="E884" t="s">
        <v>197</v>
      </c>
      <c r="F884">
        <v>1005</v>
      </c>
      <c r="G884" t="s">
        <v>27</v>
      </c>
      <c r="H884">
        <v>2005</v>
      </c>
      <c r="I884" t="s">
        <v>27</v>
      </c>
      <c r="J884">
        <v>3028</v>
      </c>
      <c r="K884" t="s">
        <v>819</v>
      </c>
      <c r="L884">
        <v>4011</v>
      </c>
      <c r="M884" t="s">
        <v>820</v>
      </c>
      <c r="N884" t="s">
        <v>247</v>
      </c>
      <c r="O884">
        <v>10</v>
      </c>
      <c r="P884">
        <v>1623</v>
      </c>
      <c r="Q884" t="s">
        <v>823</v>
      </c>
      <c r="R884" t="s">
        <v>201</v>
      </c>
      <c r="S884">
        <v>1</v>
      </c>
      <c r="T884">
        <v>1</v>
      </c>
      <c r="U884">
        <v>63504</v>
      </c>
      <c r="V884">
        <v>63504</v>
      </c>
    </row>
    <row r="885" spans="1:22">
      <c r="A885" t="s">
        <v>196</v>
      </c>
      <c r="B885">
        <v>31</v>
      </c>
      <c r="C885" t="s">
        <v>27</v>
      </c>
      <c r="D885">
        <v>100</v>
      </c>
      <c r="E885" t="s">
        <v>197</v>
      </c>
      <c r="F885">
        <v>1005</v>
      </c>
      <c r="G885" t="s">
        <v>27</v>
      </c>
      <c r="H885">
        <v>2005</v>
      </c>
      <c r="I885" t="s">
        <v>27</v>
      </c>
      <c r="J885">
        <v>3028</v>
      </c>
      <c r="K885" t="s">
        <v>819</v>
      </c>
      <c r="L885">
        <v>4011</v>
      </c>
      <c r="M885" t="s">
        <v>820</v>
      </c>
      <c r="N885" t="s">
        <v>251</v>
      </c>
      <c r="O885">
        <v>10</v>
      </c>
      <c r="P885">
        <v>1619</v>
      </c>
      <c r="Q885" t="s">
        <v>806</v>
      </c>
      <c r="R885" t="s">
        <v>201</v>
      </c>
      <c r="S885">
        <v>1</v>
      </c>
      <c r="T885">
        <v>1</v>
      </c>
      <c r="U885">
        <v>76476</v>
      </c>
      <c r="V885">
        <v>76476</v>
      </c>
    </row>
    <row r="886" spans="1:22">
      <c r="A886" t="s">
        <v>196</v>
      </c>
      <c r="B886">
        <v>31</v>
      </c>
      <c r="C886" t="s">
        <v>27</v>
      </c>
      <c r="D886">
        <v>100</v>
      </c>
      <c r="E886" t="s">
        <v>197</v>
      </c>
      <c r="F886">
        <v>1005</v>
      </c>
      <c r="G886" t="s">
        <v>27</v>
      </c>
      <c r="H886">
        <v>2005</v>
      </c>
      <c r="I886" t="s">
        <v>27</v>
      </c>
      <c r="J886">
        <v>3028</v>
      </c>
      <c r="K886" t="s">
        <v>819</v>
      </c>
      <c r="L886">
        <v>4011</v>
      </c>
      <c r="M886" t="s">
        <v>820</v>
      </c>
      <c r="N886" t="s">
        <v>251</v>
      </c>
      <c r="O886">
        <v>10</v>
      </c>
      <c r="P886">
        <v>802</v>
      </c>
      <c r="Q886" t="s">
        <v>252</v>
      </c>
      <c r="R886" t="s">
        <v>201</v>
      </c>
      <c r="S886">
        <v>1</v>
      </c>
      <c r="T886">
        <v>1</v>
      </c>
      <c r="U886">
        <v>85128</v>
      </c>
      <c r="V886">
        <v>85128</v>
      </c>
    </row>
    <row r="887" spans="1:22">
      <c r="A887" t="s">
        <v>196</v>
      </c>
      <c r="B887">
        <v>31</v>
      </c>
      <c r="C887" t="s">
        <v>27</v>
      </c>
      <c r="D887">
        <v>100</v>
      </c>
      <c r="E887" t="s">
        <v>197</v>
      </c>
      <c r="F887">
        <v>1005</v>
      </c>
      <c r="G887" t="s">
        <v>27</v>
      </c>
      <c r="H887">
        <v>2005</v>
      </c>
      <c r="I887" t="s">
        <v>27</v>
      </c>
      <c r="J887">
        <v>3028</v>
      </c>
      <c r="K887" t="s">
        <v>819</v>
      </c>
      <c r="L887">
        <v>4011</v>
      </c>
      <c r="M887" t="s">
        <v>820</v>
      </c>
      <c r="N887" t="s">
        <v>259</v>
      </c>
      <c r="O887">
        <v>20</v>
      </c>
      <c r="P887">
        <v>323</v>
      </c>
      <c r="Q887" t="s">
        <v>260</v>
      </c>
      <c r="R887" t="s">
        <v>201</v>
      </c>
      <c r="S887">
        <v>1</v>
      </c>
      <c r="T887">
        <v>1</v>
      </c>
      <c r="U887">
        <v>57852</v>
      </c>
      <c r="V887">
        <v>57852</v>
      </c>
    </row>
    <row r="888" spans="1:22">
      <c r="A888" t="s">
        <v>196</v>
      </c>
      <c r="B888">
        <v>31</v>
      </c>
      <c r="C888" t="s">
        <v>27</v>
      </c>
      <c r="D888">
        <v>100</v>
      </c>
      <c r="E888" t="s">
        <v>197</v>
      </c>
      <c r="F888">
        <v>1005</v>
      </c>
      <c r="G888" t="s">
        <v>27</v>
      </c>
      <c r="H888">
        <v>2005</v>
      </c>
      <c r="I888" t="s">
        <v>27</v>
      </c>
      <c r="J888">
        <v>3028</v>
      </c>
      <c r="K888" t="s">
        <v>819</v>
      </c>
      <c r="L888">
        <v>4011</v>
      </c>
      <c r="M888" t="s">
        <v>820</v>
      </c>
      <c r="N888" t="s">
        <v>199</v>
      </c>
      <c r="O888">
        <v>0</v>
      </c>
      <c r="P888">
        <v>15</v>
      </c>
      <c r="Q888" t="s">
        <v>264</v>
      </c>
      <c r="R888" t="s">
        <v>201</v>
      </c>
      <c r="S888">
        <v>0</v>
      </c>
      <c r="T888">
        <v>0</v>
      </c>
      <c r="U888">
        <v>20934</v>
      </c>
      <c r="V888">
        <v>20934</v>
      </c>
    </row>
    <row r="889" spans="1:22">
      <c r="A889" t="s">
        <v>196</v>
      </c>
      <c r="B889">
        <v>31</v>
      </c>
      <c r="C889" t="s">
        <v>27</v>
      </c>
      <c r="D889">
        <v>100</v>
      </c>
      <c r="E889" t="s">
        <v>197</v>
      </c>
      <c r="F889">
        <v>1005</v>
      </c>
      <c r="G889" t="s">
        <v>27</v>
      </c>
      <c r="H889">
        <v>2005</v>
      </c>
      <c r="I889" t="s">
        <v>27</v>
      </c>
      <c r="J889">
        <v>3031</v>
      </c>
      <c r="K889" t="s">
        <v>824</v>
      </c>
      <c r="L889">
        <v>0</v>
      </c>
      <c r="N889" t="s">
        <v>268</v>
      </c>
      <c r="O889">
        <v>0</v>
      </c>
      <c r="P889">
        <v>1689</v>
      </c>
      <c r="Q889" t="s">
        <v>779</v>
      </c>
      <c r="R889" t="s">
        <v>201</v>
      </c>
      <c r="S889">
        <v>1</v>
      </c>
      <c r="T889">
        <v>1</v>
      </c>
      <c r="U889">
        <v>98832</v>
      </c>
      <c r="V889">
        <v>98832</v>
      </c>
    </row>
    <row r="890" spans="1:22">
      <c r="A890" t="s">
        <v>196</v>
      </c>
      <c r="B890">
        <v>31</v>
      </c>
      <c r="C890" t="s">
        <v>27</v>
      </c>
      <c r="D890">
        <v>100</v>
      </c>
      <c r="E890" t="s">
        <v>197</v>
      </c>
      <c r="F890">
        <v>1005</v>
      </c>
      <c r="G890" t="s">
        <v>27</v>
      </c>
      <c r="H890">
        <v>2005</v>
      </c>
      <c r="I890" t="s">
        <v>27</v>
      </c>
      <c r="J890">
        <v>3031</v>
      </c>
      <c r="K890" t="s">
        <v>824</v>
      </c>
      <c r="L890">
        <v>0</v>
      </c>
      <c r="N890" t="s">
        <v>802</v>
      </c>
      <c r="O890">
        <v>9</v>
      </c>
      <c r="P890">
        <v>1674</v>
      </c>
      <c r="Q890" t="s">
        <v>803</v>
      </c>
      <c r="R890" t="s">
        <v>201</v>
      </c>
      <c r="S890">
        <v>1</v>
      </c>
      <c r="T890">
        <v>1</v>
      </c>
      <c r="U890">
        <v>149556</v>
      </c>
      <c r="V890">
        <v>149556</v>
      </c>
    </row>
    <row r="891" spans="1:22">
      <c r="A891" t="s">
        <v>196</v>
      </c>
      <c r="B891">
        <v>31</v>
      </c>
      <c r="C891" t="s">
        <v>27</v>
      </c>
      <c r="D891">
        <v>100</v>
      </c>
      <c r="E891" t="s">
        <v>197</v>
      </c>
      <c r="F891">
        <v>1005</v>
      </c>
      <c r="G891" t="s">
        <v>27</v>
      </c>
      <c r="H891">
        <v>2005</v>
      </c>
      <c r="I891" t="s">
        <v>27</v>
      </c>
      <c r="J891">
        <v>3031</v>
      </c>
      <c r="K891" t="s">
        <v>824</v>
      </c>
      <c r="L891">
        <v>0</v>
      </c>
      <c r="N891" t="s">
        <v>821</v>
      </c>
      <c r="O891">
        <v>9</v>
      </c>
      <c r="P891">
        <v>1672</v>
      </c>
      <c r="Q891" t="s">
        <v>822</v>
      </c>
      <c r="R891" t="s">
        <v>201</v>
      </c>
      <c r="S891">
        <v>1</v>
      </c>
      <c r="T891">
        <v>1</v>
      </c>
      <c r="U891">
        <v>113208</v>
      </c>
      <c r="V891">
        <v>113208</v>
      </c>
    </row>
    <row r="892" spans="1:22">
      <c r="A892" t="s">
        <v>196</v>
      </c>
      <c r="B892">
        <v>31</v>
      </c>
      <c r="C892" t="s">
        <v>27</v>
      </c>
      <c r="D892">
        <v>100</v>
      </c>
      <c r="E892" t="s">
        <v>197</v>
      </c>
      <c r="F892">
        <v>1005</v>
      </c>
      <c r="G892" t="s">
        <v>27</v>
      </c>
      <c r="H892">
        <v>2005</v>
      </c>
      <c r="I892" t="s">
        <v>27</v>
      </c>
      <c r="J892">
        <v>3031</v>
      </c>
      <c r="K892" t="s">
        <v>824</v>
      </c>
      <c r="L892">
        <v>0</v>
      </c>
      <c r="N892" t="s">
        <v>821</v>
      </c>
      <c r="O892">
        <v>9</v>
      </c>
      <c r="P892">
        <v>1672</v>
      </c>
      <c r="Q892" t="s">
        <v>822</v>
      </c>
      <c r="R892" t="s">
        <v>201</v>
      </c>
      <c r="S892">
        <v>2</v>
      </c>
      <c r="T892">
        <v>1</v>
      </c>
      <c r="U892">
        <v>108084</v>
      </c>
      <c r="V892">
        <v>216168</v>
      </c>
    </row>
    <row r="893" spans="1:22">
      <c r="A893" t="s">
        <v>196</v>
      </c>
      <c r="B893">
        <v>31</v>
      </c>
      <c r="C893" t="s">
        <v>27</v>
      </c>
      <c r="D893">
        <v>100</v>
      </c>
      <c r="E893" t="s">
        <v>197</v>
      </c>
      <c r="F893">
        <v>1005</v>
      </c>
      <c r="G893" t="s">
        <v>27</v>
      </c>
      <c r="H893">
        <v>2005</v>
      </c>
      <c r="I893" t="s">
        <v>27</v>
      </c>
      <c r="J893">
        <v>3031</v>
      </c>
      <c r="K893" t="s">
        <v>824</v>
      </c>
      <c r="L893">
        <v>0</v>
      </c>
      <c r="N893" t="s">
        <v>796</v>
      </c>
      <c r="O893">
        <v>9</v>
      </c>
      <c r="P893">
        <v>1652</v>
      </c>
      <c r="Q893" t="s">
        <v>797</v>
      </c>
      <c r="R893" t="s">
        <v>201</v>
      </c>
      <c r="S893">
        <v>1</v>
      </c>
      <c r="T893">
        <v>1</v>
      </c>
      <c r="U893">
        <v>184800</v>
      </c>
      <c r="V893">
        <v>184800</v>
      </c>
    </row>
    <row r="894" spans="1:22">
      <c r="A894" t="s">
        <v>196</v>
      </c>
      <c r="B894">
        <v>31</v>
      </c>
      <c r="C894" t="s">
        <v>27</v>
      </c>
      <c r="D894">
        <v>100</v>
      </c>
      <c r="E894" t="s">
        <v>197</v>
      </c>
      <c r="F894">
        <v>1005</v>
      </c>
      <c r="G894" t="s">
        <v>27</v>
      </c>
      <c r="H894">
        <v>2005</v>
      </c>
      <c r="I894" t="s">
        <v>27</v>
      </c>
      <c r="J894">
        <v>3031</v>
      </c>
      <c r="K894" t="s">
        <v>824</v>
      </c>
      <c r="L894">
        <v>0</v>
      </c>
      <c r="N894" t="s">
        <v>785</v>
      </c>
      <c r="O894">
        <v>9</v>
      </c>
      <c r="P894">
        <v>1650</v>
      </c>
      <c r="Q894" t="s">
        <v>786</v>
      </c>
      <c r="R894" t="s">
        <v>201</v>
      </c>
      <c r="S894">
        <v>1</v>
      </c>
      <c r="T894">
        <v>1</v>
      </c>
      <c r="U894">
        <v>153000</v>
      </c>
      <c r="V894">
        <v>153000</v>
      </c>
    </row>
    <row r="895" spans="1:22">
      <c r="A895" t="s">
        <v>196</v>
      </c>
      <c r="B895">
        <v>31</v>
      </c>
      <c r="C895" t="s">
        <v>27</v>
      </c>
      <c r="D895">
        <v>100</v>
      </c>
      <c r="E895" t="s">
        <v>197</v>
      </c>
      <c r="F895">
        <v>1005</v>
      </c>
      <c r="G895" t="s">
        <v>27</v>
      </c>
      <c r="H895">
        <v>2005</v>
      </c>
      <c r="I895" t="s">
        <v>27</v>
      </c>
      <c r="J895">
        <v>3031</v>
      </c>
      <c r="K895" t="s">
        <v>824</v>
      </c>
      <c r="L895">
        <v>0</v>
      </c>
      <c r="N895" t="s">
        <v>199</v>
      </c>
      <c r="O895">
        <v>0</v>
      </c>
      <c r="P895">
        <v>15</v>
      </c>
      <c r="Q895" t="s">
        <v>264</v>
      </c>
      <c r="R895" t="s">
        <v>201</v>
      </c>
      <c r="S895">
        <v>0</v>
      </c>
      <c r="T895">
        <v>0</v>
      </c>
      <c r="U895">
        <v>6159</v>
      </c>
      <c r="V895">
        <v>6159</v>
      </c>
    </row>
    <row r="896" spans="1:22">
      <c r="A896" t="s">
        <v>196</v>
      </c>
      <c r="B896">
        <v>31</v>
      </c>
      <c r="C896" t="s">
        <v>27</v>
      </c>
      <c r="D896">
        <v>100</v>
      </c>
      <c r="E896" t="s">
        <v>197</v>
      </c>
      <c r="F896">
        <v>1005</v>
      </c>
      <c r="G896" t="s">
        <v>27</v>
      </c>
      <c r="H896">
        <v>2005</v>
      </c>
      <c r="I896" t="s">
        <v>27</v>
      </c>
      <c r="J896">
        <v>3033</v>
      </c>
      <c r="K896" t="s">
        <v>825</v>
      </c>
      <c r="L896">
        <v>0</v>
      </c>
      <c r="N896" t="s">
        <v>794</v>
      </c>
      <c r="O896">
        <v>9</v>
      </c>
      <c r="P896">
        <v>1673</v>
      </c>
      <c r="Q896" t="s">
        <v>795</v>
      </c>
      <c r="R896" t="s">
        <v>201</v>
      </c>
      <c r="S896">
        <v>2</v>
      </c>
      <c r="T896">
        <v>1</v>
      </c>
      <c r="U896">
        <v>85704</v>
      </c>
      <c r="V896">
        <v>171408</v>
      </c>
    </row>
    <row r="897" spans="1:22">
      <c r="A897" t="s">
        <v>196</v>
      </c>
      <c r="B897">
        <v>31</v>
      </c>
      <c r="C897" t="s">
        <v>27</v>
      </c>
      <c r="D897">
        <v>100</v>
      </c>
      <c r="E897" t="s">
        <v>197</v>
      </c>
      <c r="F897">
        <v>1005</v>
      </c>
      <c r="G897" t="s">
        <v>27</v>
      </c>
      <c r="H897">
        <v>2005</v>
      </c>
      <c r="I897" t="s">
        <v>27</v>
      </c>
      <c r="J897">
        <v>3033</v>
      </c>
      <c r="K897" t="s">
        <v>825</v>
      </c>
      <c r="L897">
        <v>0</v>
      </c>
      <c r="N897" t="s">
        <v>796</v>
      </c>
      <c r="O897">
        <v>9</v>
      </c>
      <c r="P897">
        <v>1652</v>
      </c>
      <c r="Q897" t="s">
        <v>797</v>
      </c>
      <c r="R897" t="s">
        <v>201</v>
      </c>
      <c r="S897">
        <v>1</v>
      </c>
      <c r="T897">
        <v>1</v>
      </c>
      <c r="U897">
        <v>133836</v>
      </c>
      <c r="V897">
        <v>133836</v>
      </c>
    </row>
    <row r="898" spans="1:22">
      <c r="A898" t="s">
        <v>196</v>
      </c>
      <c r="B898">
        <v>31</v>
      </c>
      <c r="C898" t="s">
        <v>27</v>
      </c>
      <c r="D898">
        <v>100</v>
      </c>
      <c r="E898" t="s">
        <v>197</v>
      </c>
      <c r="F898">
        <v>1005</v>
      </c>
      <c r="G898" t="s">
        <v>27</v>
      </c>
      <c r="H898">
        <v>2005</v>
      </c>
      <c r="I898" t="s">
        <v>27</v>
      </c>
      <c r="J898">
        <v>3033</v>
      </c>
      <c r="K898" t="s">
        <v>825</v>
      </c>
      <c r="L898">
        <v>0</v>
      </c>
      <c r="N898" t="s">
        <v>785</v>
      </c>
      <c r="O898">
        <v>9</v>
      </c>
      <c r="P898">
        <v>1650</v>
      </c>
      <c r="Q898" t="s">
        <v>786</v>
      </c>
      <c r="R898" t="s">
        <v>201</v>
      </c>
      <c r="S898">
        <v>1</v>
      </c>
      <c r="T898">
        <v>1</v>
      </c>
      <c r="U898">
        <v>153000</v>
      </c>
      <c r="V898">
        <v>153000</v>
      </c>
    </row>
    <row r="899" spans="1:22">
      <c r="A899" t="s">
        <v>196</v>
      </c>
      <c r="B899">
        <v>31</v>
      </c>
      <c r="C899" t="s">
        <v>27</v>
      </c>
      <c r="D899">
        <v>100</v>
      </c>
      <c r="E899" t="s">
        <v>197</v>
      </c>
      <c r="F899">
        <v>1005</v>
      </c>
      <c r="G899" t="s">
        <v>27</v>
      </c>
      <c r="H899">
        <v>2005</v>
      </c>
      <c r="I899" t="s">
        <v>27</v>
      </c>
      <c r="J899">
        <v>3033</v>
      </c>
      <c r="K899" t="s">
        <v>825</v>
      </c>
      <c r="L899">
        <v>0</v>
      </c>
      <c r="N899" t="s">
        <v>798</v>
      </c>
      <c r="O899">
        <v>9</v>
      </c>
      <c r="P899">
        <v>1641</v>
      </c>
      <c r="Q899" t="s">
        <v>799</v>
      </c>
      <c r="R899" t="s">
        <v>201</v>
      </c>
      <c r="S899">
        <v>1</v>
      </c>
      <c r="T899">
        <v>1</v>
      </c>
      <c r="U899">
        <v>124224</v>
      </c>
      <c r="V899">
        <v>124224</v>
      </c>
    </row>
    <row r="900" spans="1:22">
      <c r="A900" t="s">
        <v>196</v>
      </c>
      <c r="B900">
        <v>31</v>
      </c>
      <c r="C900" t="s">
        <v>27</v>
      </c>
      <c r="D900">
        <v>100</v>
      </c>
      <c r="E900" t="s">
        <v>197</v>
      </c>
      <c r="F900">
        <v>1005</v>
      </c>
      <c r="G900" t="s">
        <v>27</v>
      </c>
      <c r="H900">
        <v>2005</v>
      </c>
      <c r="I900" t="s">
        <v>27</v>
      </c>
      <c r="J900">
        <v>3033</v>
      </c>
      <c r="K900" t="s">
        <v>825</v>
      </c>
      <c r="L900">
        <v>0</v>
      </c>
      <c r="N900" t="s">
        <v>199</v>
      </c>
      <c r="O900">
        <v>0</v>
      </c>
      <c r="P900">
        <v>15</v>
      </c>
      <c r="Q900" t="s">
        <v>264</v>
      </c>
      <c r="R900" t="s">
        <v>201</v>
      </c>
      <c r="S900">
        <v>0</v>
      </c>
      <c r="T900">
        <v>0</v>
      </c>
      <c r="U900">
        <v>2706</v>
      </c>
      <c r="V900">
        <v>2706</v>
      </c>
    </row>
    <row r="901" spans="1:22">
      <c r="A901" t="s">
        <v>196</v>
      </c>
      <c r="B901">
        <v>31</v>
      </c>
      <c r="C901" t="s">
        <v>27</v>
      </c>
      <c r="D901">
        <v>100</v>
      </c>
      <c r="E901" t="s">
        <v>197</v>
      </c>
      <c r="F901">
        <v>1005</v>
      </c>
      <c r="G901" t="s">
        <v>27</v>
      </c>
      <c r="H901">
        <v>2005</v>
      </c>
      <c r="I901" t="s">
        <v>27</v>
      </c>
      <c r="J901">
        <v>3036</v>
      </c>
      <c r="K901" t="s">
        <v>826</v>
      </c>
      <c r="L901">
        <v>0</v>
      </c>
      <c r="N901" t="s">
        <v>794</v>
      </c>
      <c r="O901">
        <v>9</v>
      </c>
      <c r="P901">
        <v>1673</v>
      </c>
      <c r="Q901" t="s">
        <v>795</v>
      </c>
      <c r="R901" t="s">
        <v>201</v>
      </c>
      <c r="S901">
        <v>1</v>
      </c>
      <c r="T901">
        <v>1</v>
      </c>
      <c r="U901">
        <v>98484</v>
      </c>
      <c r="V901">
        <v>98484</v>
      </c>
    </row>
    <row r="902" spans="1:22">
      <c r="A902" t="s">
        <v>196</v>
      </c>
      <c r="B902">
        <v>31</v>
      </c>
      <c r="C902" t="s">
        <v>27</v>
      </c>
      <c r="D902">
        <v>100</v>
      </c>
      <c r="E902" t="s">
        <v>197</v>
      </c>
      <c r="F902">
        <v>1005</v>
      </c>
      <c r="G902" t="s">
        <v>27</v>
      </c>
      <c r="H902">
        <v>2005</v>
      </c>
      <c r="I902" t="s">
        <v>27</v>
      </c>
      <c r="J902">
        <v>3036</v>
      </c>
      <c r="K902" t="s">
        <v>826</v>
      </c>
      <c r="L902">
        <v>0</v>
      </c>
      <c r="N902" t="s">
        <v>785</v>
      </c>
      <c r="O902">
        <v>9</v>
      </c>
      <c r="P902">
        <v>1650</v>
      </c>
      <c r="Q902" t="s">
        <v>786</v>
      </c>
      <c r="R902" t="s">
        <v>201</v>
      </c>
      <c r="S902">
        <v>1</v>
      </c>
      <c r="T902">
        <v>1</v>
      </c>
      <c r="U902">
        <v>192852</v>
      </c>
      <c r="V902">
        <v>192852</v>
      </c>
    </row>
    <row r="903" spans="1:22">
      <c r="A903" t="s">
        <v>196</v>
      </c>
      <c r="B903">
        <v>31</v>
      </c>
      <c r="C903" t="s">
        <v>27</v>
      </c>
      <c r="D903">
        <v>100</v>
      </c>
      <c r="E903" t="s">
        <v>197</v>
      </c>
      <c r="F903">
        <v>1005</v>
      </c>
      <c r="G903" t="s">
        <v>27</v>
      </c>
      <c r="H903">
        <v>2005</v>
      </c>
      <c r="I903" t="s">
        <v>27</v>
      </c>
      <c r="J903">
        <v>3036</v>
      </c>
      <c r="K903" t="s">
        <v>826</v>
      </c>
      <c r="L903">
        <v>0</v>
      </c>
      <c r="N903" t="s">
        <v>199</v>
      </c>
      <c r="O903">
        <v>0</v>
      </c>
      <c r="P903">
        <v>15</v>
      </c>
      <c r="Q903" t="s">
        <v>264</v>
      </c>
      <c r="R903" t="s">
        <v>201</v>
      </c>
      <c r="S903">
        <v>0</v>
      </c>
      <c r="T903">
        <v>0</v>
      </c>
      <c r="U903">
        <v>2680</v>
      </c>
      <c r="V903">
        <v>2680</v>
      </c>
    </row>
    <row r="904" spans="1:22">
      <c r="A904" t="s">
        <v>196</v>
      </c>
      <c r="B904">
        <v>31</v>
      </c>
      <c r="C904" t="s">
        <v>27</v>
      </c>
      <c r="D904">
        <v>100</v>
      </c>
      <c r="E904" t="s">
        <v>197</v>
      </c>
      <c r="F904">
        <v>1005</v>
      </c>
      <c r="G904" t="s">
        <v>27</v>
      </c>
      <c r="H904">
        <v>2005</v>
      </c>
      <c r="I904" t="s">
        <v>27</v>
      </c>
      <c r="J904">
        <v>3038</v>
      </c>
      <c r="K904" t="s">
        <v>827</v>
      </c>
      <c r="L904">
        <v>4017</v>
      </c>
      <c r="M904" t="s">
        <v>828</v>
      </c>
      <c r="N904" t="s">
        <v>821</v>
      </c>
      <c r="O904">
        <v>9</v>
      </c>
      <c r="P904">
        <v>1672</v>
      </c>
      <c r="Q904" t="s">
        <v>822</v>
      </c>
      <c r="R904" t="s">
        <v>201</v>
      </c>
      <c r="S904">
        <v>1</v>
      </c>
      <c r="T904">
        <v>1</v>
      </c>
      <c r="U904">
        <v>130128</v>
      </c>
      <c r="V904">
        <v>130128</v>
      </c>
    </row>
    <row r="905" spans="1:22">
      <c r="A905" t="s">
        <v>196</v>
      </c>
      <c r="B905">
        <v>31</v>
      </c>
      <c r="C905" t="s">
        <v>27</v>
      </c>
      <c r="D905">
        <v>100</v>
      </c>
      <c r="E905" t="s">
        <v>197</v>
      </c>
      <c r="F905">
        <v>1005</v>
      </c>
      <c r="G905" t="s">
        <v>27</v>
      </c>
      <c r="H905">
        <v>2005</v>
      </c>
      <c r="I905" t="s">
        <v>27</v>
      </c>
      <c r="J905">
        <v>3038</v>
      </c>
      <c r="K905" t="s">
        <v>827</v>
      </c>
      <c r="L905">
        <v>4017</v>
      </c>
      <c r="M905" t="s">
        <v>828</v>
      </c>
      <c r="N905" t="s">
        <v>821</v>
      </c>
      <c r="O905">
        <v>9</v>
      </c>
      <c r="P905">
        <v>1672</v>
      </c>
      <c r="Q905" t="s">
        <v>822</v>
      </c>
      <c r="R905" t="s">
        <v>201</v>
      </c>
      <c r="S905">
        <v>1</v>
      </c>
      <c r="T905">
        <v>1</v>
      </c>
      <c r="U905">
        <v>113208</v>
      </c>
      <c r="V905">
        <v>113208</v>
      </c>
    </row>
    <row r="906" spans="1:22">
      <c r="A906" t="s">
        <v>196</v>
      </c>
      <c r="B906">
        <v>31</v>
      </c>
      <c r="C906" t="s">
        <v>27</v>
      </c>
      <c r="D906">
        <v>100</v>
      </c>
      <c r="E906" t="s">
        <v>197</v>
      </c>
      <c r="F906">
        <v>1005</v>
      </c>
      <c r="G906" t="s">
        <v>27</v>
      </c>
      <c r="H906">
        <v>2005</v>
      </c>
      <c r="I906" t="s">
        <v>27</v>
      </c>
      <c r="J906">
        <v>3038</v>
      </c>
      <c r="K906" t="s">
        <v>827</v>
      </c>
      <c r="L906">
        <v>4017</v>
      </c>
      <c r="M906" t="s">
        <v>828</v>
      </c>
      <c r="N906" t="s">
        <v>796</v>
      </c>
      <c r="O906">
        <v>9</v>
      </c>
      <c r="P906">
        <v>1652</v>
      </c>
      <c r="Q906" t="s">
        <v>797</v>
      </c>
      <c r="R906" t="s">
        <v>201</v>
      </c>
      <c r="S906">
        <v>1</v>
      </c>
      <c r="T906">
        <v>1</v>
      </c>
      <c r="U906">
        <v>173160</v>
      </c>
      <c r="V906">
        <v>173160</v>
      </c>
    </row>
    <row r="907" spans="1:22">
      <c r="A907" t="s">
        <v>196</v>
      </c>
      <c r="B907">
        <v>31</v>
      </c>
      <c r="C907" t="s">
        <v>27</v>
      </c>
      <c r="D907">
        <v>100</v>
      </c>
      <c r="E907" t="s">
        <v>197</v>
      </c>
      <c r="F907">
        <v>1005</v>
      </c>
      <c r="G907" t="s">
        <v>27</v>
      </c>
      <c r="H907">
        <v>2005</v>
      </c>
      <c r="I907" t="s">
        <v>27</v>
      </c>
      <c r="J907">
        <v>3038</v>
      </c>
      <c r="K907" t="s">
        <v>827</v>
      </c>
      <c r="L907">
        <v>4017</v>
      </c>
      <c r="M907" t="s">
        <v>828</v>
      </c>
      <c r="N907" t="s">
        <v>341</v>
      </c>
      <c r="O907">
        <v>1</v>
      </c>
      <c r="P907">
        <v>1617</v>
      </c>
      <c r="Q907" t="s">
        <v>800</v>
      </c>
      <c r="R907" t="s">
        <v>201</v>
      </c>
      <c r="S907">
        <v>1</v>
      </c>
      <c r="T907">
        <v>1</v>
      </c>
      <c r="U907">
        <v>119100</v>
      </c>
      <c r="V907">
        <v>119100</v>
      </c>
    </row>
    <row r="908" spans="1:22">
      <c r="A908" t="s">
        <v>196</v>
      </c>
      <c r="B908">
        <v>31</v>
      </c>
      <c r="C908" t="s">
        <v>27</v>
      </c>
      <c r="D908">
        <v>100</v>
      </c>
      <c r="E908" t="s">
        <v>197</v>
      </c>
      <c r="F908">
        <v>1005</v>
      </c>
      <c r="G908" t="s">
        <v>27</v>
      </c>
      <c r="H908">
        <v>2005</v>
      </c>
      <c r="I908" t="s">
        <v>27</v>
      </c>
      <c r="J908">
        <v>3038</v>
      </c>
      <c r="K908" t="s">
        <v>827</v>
      </c>
      <c r="L908">
        <v>4017</v>
      </c>
      <c r="M908" t="s">
        <v>828</v>
      </c>
      <c r="N908" t="s">
        <v>199</v>
      </c>
      <c r="O908">
        <v>0</v>
      </c>
      <c r="P908">
        <v>15</v>
      </c>
      <c r="Q908" t="s">
        <v>264</v>
      </c>
      <c r="R908" t="s">
        <v>201</v>
      </c>
      <c r="S908">
        <v>0</v>
      </c>
      <c r="T908">
        <v>0</v>
      </c>
      <c r="U908">
        <v>2625</v>
      </c>
      <c r="V908">
        <v>2625</v>
      </c>
    </row>
    <row r="909" spans="1:22">
      <c r="A909" t="s">
        <v>196</v>
      </c>
      <c r="B909">
        <v>31</v>
      </c>
      <c r="C909" t="s">
        <v>27</v>
      </c>
      <c r="D909">
        <v>100</v>
      </c>
      <c r="E909" t="s">
        <v>197</v>
      </c>
      <c r="F909">
        <v>1005</v>
      </c>
      <c r="G909" t="s">
        <v>27</v>
      </c>
      <c r="H909">
        <v>2005</v>
      </c>
      <c r="I909" t="s">
        <v>27</v>
      </c>
      <c r="J909">
        <v>3038</v>
      </c>
      <c r="K909" t="s">
        <v>827</v>
      </c>
      <c r="L909">
        <v>4032</v>
      </c>
      <c r="M909" t="s">
        <v>829</v>
      </c>
      <c r="N909" t="s">
        <v>821</v>
      </c>
      <c r="O909">
        <v>9</v>
      </c>
      <c r="P909">
        <v>1672</v>
      </c>
      <c r="Q909" t="s">
        <v>822</v>
      </c>
      <c r="R909" t="s">
        <v>201</v>
      </c>
      <c r="S909">
        <v>1</v>
      </c>
      <c r="T909">
        <v>1</v>
      </c>
      <c r="U909">
        <v>108084</v>
      </c>
      <c r="V909">
        <v>108084</v>
      </c>
    </row>
    <row r="910" spans="1:22">
      <c r="A910" t="s">
        <v>196</v>
      </c>
      <c r="B910">
        <v>31</v>
      </c>
      <c r="C910" t="s">
        <v>27</v>
      </c>
      <c r="D910">
        <v>100</v>
      </c>
      <c r="E910" t="s">
        <v>197</v>
      </c>
      <c r="F910">
        <v>1005</v>
      </c>
      <c r="G910" t="s">
        <v>27</v>
      </c>
      <c r="H910">
        <v>2005</v>
      </c>
      <c r="I910" t="s">
        <v>27</v>
      </c>
      <c r="J910">
        <v>3038</v>
      </c>
      <c r="K910" t="s">
        <v>827</v>
      </c>
      <c r="L910">
        <v>4032</v>
      </c>
      <c r="M910" t="s">
        <v>829</v>
      </c>
      <c r="N910" t="s">
        <v>821</v>
      </c>
      <c r="O910">
        <v>9</v>
      </c>
      <c r="P910">
        <v>1672</v>
      </c>
      <c r="Q910" t="s">
        <v>822</v>
      </c>
      <c r="R910" t="s">
        <v>201</v>
      </c>
      <c r="S910">
        <v>1</v>
      </c>
      <c r="T910">
        <v>1</v>
      </c>
      <c r="U910">
        <v>94044</v>
      </c>
      <c r="V910">
        <v>94044</v>
      </c>
    </row>
    <row r="911" spans="1:22">
      <c r="A911" t="s">
        <v>196</v>
      </c>
      <c r="B911">
        <v>31</v>
      </c>
      <c r="C911" t="s">
        <v>27</v>
      </c>
      <c r="D911">
        <v>100</v>
      </c>
      <c r="E911" t="s">
        <v>197</v>
      </c>
      <c r="F911">
        <v>1005</v>
      </c>
      <c r="G911" t="s">
        <v>27</v>
      </c>
      <c r="H911">
        <v>2005</v>
      </c>
      <c r="I911" t="s">
        <v>27</v>
      </c>
      <c r="J911">
        <v>3038</v>
      </c>
      <c r="K911" t="s">
        <v>827</v>
      </c>
      <c r="L911">
        <v>4032</v>
      </c>
      <c r="M911" t="s">
        <v>829</v>
      </c>
      <c r="N911" t="s">
        <v>821</v>
      </c>
      <c r="O911">
        <v>9</v>
      </c>
      <c r="P911">
        <v>1672</v>
      </c>
      <c r="Q911" t="s">
        <v>822</v>
      </c>
      <c r="R911" t="s">
        <v>201</v>
      </c>
      <c r="S911">
        <v>1</v>
      </c>
      <c r="T911">
        <v>1</v>
      </c>
      <c r="U911">
        <v>87372</v>
      </c>
      <c r="V911">
        <v>87372</v>
      </c>
    </row>
    <row r="912" spans="1:22">
      <c r="A912" t="s">
        <v>196</v>
      </c>
      <c r="B912">
        <v>31</v>
      </c>
      <c r="C912" t="s">
        <v>27</v>
      </c>
      <c r="D912">
        <v>100</v>
      </c>
      <c r="E912" t="s">
        <v>197</v>
      </c>
      <c r="F912">
        <v>1005</v>
      </c>
      <c r="G912" t="s">
        <v>27</v>
      </c>
      <c r="H912">
        <v>2005</v>
      </c>
      <c r="I912" t="s">
        <v>27</v>
      </c>
      <c r="J912">
        <v>3038</v>
      </c>
      <c r="K912" t="s">
        <v>827</v>
      </c>
      <c r="L912">
        <v>4032</v>
      </c>
      <c r="M912" t="s">
        <v>829</v>
      </c>
      <c r="N912" t="s">
        <v>796</v>
      </c>
      <c r="O912">
        <v>9</v>
      </c>
      <c r="P912">
        <v>1652</v>
      </c>
      <c r="Q912" t="s">
        <v>797</v>
      </c>
      <c r="R912" t="s">
        <v>201</v>
      </c>
      <c r="S912">
        <v>1</v>
      </c>
      <c r="T912">
        <v>1</v>
      </c>
      <c r="U912">
        <v>187524</v>
      </c>
      <c r="V912">
        <v>187524</v>
      </c>
    </row>
    <row r="913" spans="1:22">
      <c r="A913" t="s">
        <v>196</v>
      </c>
      <c r="B913">
        <v>31</v>
      </c>
      <c r="C913" t="s">
        <v>27</v>
      </c>
      <c r="D913">
        <v>100</v>
      </c>
      <c r="E913" t="s">
        <v>197</v>
      </c>
      <c r="F913">
        <v>1005</v>
      </c>
      <c r="G913" t="s">
        <v>27</v>
      </c>
      <c r="H913">
        <v>2005</v>
      </c>
      <c r="I913" t="s">
        <v>27</v>
      </c>
      <c r="J913">
        <v>3038</v>
      </c>
      <c r="K913" t="s">
        <v>827</v>
      </c>
      <c r="L913">
        <v>4032</v>
      </c>
      <c r="M913" t="s">
        <v>829</v>
      </c>
      <c r="N913" t="s">
        <v>798</v>
      </c>
      <c r="O913">
        <v>9</v>
      </c>
      <c r="P913">
        <v>1641</v>
      </c>
      <c r="Q913" t="s">
        <v>799</v>
      </c>
      <c r="R913" t="s">
        <v>201</v>
      </c>
      <c r="S913">
        <v>1</v>
      </c>
      <c r="T913">
        <v>1</v>
      </c>
      <c r="U913">
        <v>164100</v>
      </c>
      <c r="V913">
        <v>164100</v>
      </c>
    </row>
    <row r="914" spans="1:22">
      <c r="A914" t="s">
        <v>196</v>
      </c>
      <c r="B914">
        <v>31</v>
      </c>
      <c r="C914" t="s">
        <v>27</v>
      </c>
      <c r="D914">
        <v>100</v>
      </c>
      <c r="E914" t="s">
        <v>197</v>
      </c>
      <c r="F914">
        <v>1005</v>
      </c>
      <c r="G914" t="s">
        <v>27</v>
      </c>
      <c r="H914">
        <v>2005</v>
      </c>
      <c r="I914" t="s">
        <v>27</v>
      </c>
      <c r="J914">
        <v>3038</v>
      </c>
      <c r="K914" t="s">
        <v>827</v>
      </c>
      <c r="L914">
        <v>4032</v>
      </c>
      <c r="M914" t="s">
        <v>829</v>
      </c>
      <c r="N914" t="s">
        <v>798</v>
      </c>
      <c r="O914">
        <v>9</v>
      </c>
      <c r="P914">
        <v>1641</v>
      </c>
      <c r="Q914" t="s">
        <v>799</v>
      </c>
      <c r="R914" t="s">
        <v>201</v>
      </c>
      <c r="S914">
        <v>1</v>
      </c>
      <c r="T914">
        <v>1</v>
      </c>
      <c r="U914">
        <v>142776</v>
      </c>
      <c r="V914">
        <v>142776</v>
      </c>
    </row>
    <row r="915" spans="1:22">
      <c r="A915" t="s">
        <v>196</v>
      </c>
      <c r="B915">
        <v>31</v>
      </c>
      <c r="C915" t="s">
        <v>27</v>
      </c>
      <c r="D915">
        <v>100</v>
      </c>
      <c r="E915" t="s">
        <v>197</v>
      </c>
      <c r="F915">
        <v>1005</v>
      </c>
      <c r="G915" t="s">
        <v>27</v>
      </c>
      <c r="H915">
        <v>2005</v>
      </c>
      <c r="I915" t="s">
        <v>27</v>
      </c>
      <c r="J915">
        <v>3038</v>
      </c>
      <c r="K915" t="s">
        <v>827</v>
      </c>
      <c r="L915">
        <v>4032</v>
      </c>
      <c r="M915" t="s">
        <v>829</v>
      </c>
      <c r="N915" t="s">
        <v>341</v>
      </c>
      <c r="O915">
        <v>1</v>
      </c>
      <c r="P915">
        <v>1617</v>
      </c>
      <c r="Q915" t="s">
        <v>800</v>
      </c>
      <c r="R915" t="s">
        <v>201</v>
      </c>
      <c r="S915">
        <v>1</v>
      </c>
      <c r="T915">
        <v>1</v>
      </c>
      <c r="U915">
        <v>108576</v>
      </c>
      <c r="V915">
        <v>108576</v>
      </c>
    </row>
    <row r="916" spans="1:22">
      <c r="A916" t="s">
        <v>196</v>
      </c>
      <c r="B916">
        <v>31</v>
      </c>
      <c r="C916" t="s">
        <v>27</v>
      </c>
      <c r="D916">
        <v>100</v>
      </c>
      <c r="E916" t="s">
        <v>197</v>
      </c>
      <c r="F916">
        <v>1005</v>
      </c>
      <c r="G916" t="s">
        <v>27</v>
      </c>
      <c r="H916">
        <v>2005</v>
      </c>
      <c r="I916" t="s">
        <v>27</v>
      </c>
      <c r="J916">
        <v>3038</v>
      </c>
      <c r="K916" t="s">
        <v>827</v>
      </c>
      <c r="L916">
        <v>4032</v>
      </c>
      <c r="M916" t="s">
        <v>829</v>
      </c>
      <c r="N916" t="s">
        <v>199</v>
      </c>
      <c r="O916">
        <v>0</v>
      </c>
      <c r="P916">
        <v>15</v>
      </c>
      <c r="Q916" t="s">
        <v>264</v>
      </c>
      <c r="R916" t="s">
        <v>201</v>
      </c>
      <c r="S916">
        <v>0</v>
      </c>
      <c r="T916">
        <v>0</v>
      </c>
      <c r="U916">
        <v>11468</v>
      </c>
      <c r="V916">
        <v>11468</v>
      </c>
    </row>
    <row r="917" spans="1:22">
      <c r="A917" t="s">
        <v>196</v>
      </c>
      <c r="B917">
        <v>31</v>
      </c>
      <c r="C917" t="s">
        <v>27</v>
      </c>
      <c r="D917">
        <v>100</v>
      </c>
      <c r="E917" t="s">
        <v>197</v>
      </c>
      <c r="F917">
        <v>1005</v>
      </c>
      <c r="G917" t="s">
        <v>27</v>
      </c>
      <c r="H917">
        <v>2005</v>
      </c>
      <c r="I917" t="s">
        <v>27</v>
      </c>
      <c r="J917">
        <v>3039</v>
      </c>
      <c r="K917" t="s">
        <v>830</v>
      </c>
      <c r="L917">
        <v>4039</v>
      </c>
      <c r="M917" t="s">
        <v>831</v>
      </c>
      <c r="N917" t="s">
        <v>804</v>
      </c>
      <c r="O917">
        <v>9</v>
      </c>
      <c r="P917">
        <v>1643</v>
      </c>
      <c r="Q917" t="s">
        <v>805</v>
      </c>
      <c r="R917" t="s">
        <v>201</v>
      </c>
      <c r="S917">
        <v>1</v>
      </c>
      <c r="T917">
        <v>1</v>
      </c>
      <c r="U917">
        <v>89784</v>
      </c>
      <c r="V917">
        <v>89784</v>
      </c>
    </row>
    <row r="918" spans="1:22">
      <c r="A918" t="s">
        <v>196</v>
      </c>
      <c r="B918">
        <v>31</v>
      </c>
      <c r="C918" t="s">
        <v>27</v>
      </c>
      <c r="D918">
        <v>100</v>
      </c>
      <c r="E918" t="s">
        <v>197</v>
      </c>
      <c r="F918">
        <v>1005</v>
      </c>
      <c r="G918" t="s">
        <v>27</v>
      </c>
      <c r="H918">
        <v>2005</v>
      </c>
      <c r="I918" t="s">
        <v>27</v>
      </c>
      <c r="J918">
        <v>3039</v>
      </c>
      <c r="K918" t="s">
        <v>830</v>
      </c>
      <c r="L918">
        <v>4039</v>
      </c>
      <c r="M918" t="s">
        <v>831</v>
      </c>
      <c r="N918" t="s">
        <v>798</v>
      </c>
      <c r="O918">
        <v>9</v>
      </c>
      <c r="P918">
        <v>1641</v>
      </c>
      <c r="Q918" t="s">
        <v>799</v>
      </c>
      <c r="R918" t="s">
        <v>201</v>
      </c>
      <c r="S918">
        <v>1</v>
      </c>
      <c r="T918">
        <v>1</v>
      </c>
      <c r="U918">
        <v>130128</v>
      </c>
      <c r="V918">
        <v>130128</v>
      </c>
    </row>
    <row r="919" spans="1:22">
      <c r="A919" t="s">
        <v>196</v>
      </c>
      <c r="B919">
        <v>31</v>
      </c>
      <c r="C919" t="s">
        <v>27</v>
      </c>
      <c r="D919">
        <v>100</v>
      </c>
      <c r="E919" t="s">
        <v>197</v>
      </c>
      <c r="F919">
        <v>1005</v>
      </c>
      <c r="G919" t="s">
        <v>27</v>
      </c>
      <c r="H919">
        <v>2005</v>
      </c>
      <c r="I919" t="s">
        <v>27</v>
      </c>
      <c r="J919">
        <v>3039</v>
      </c>
      <c r="K919" t="s">
        <v>830</v>
      </c>
      <c r="L919">
        <v>4039</v>
      </c>
      <c r="M919" t="s">
        <v>831</v>
      </c>
      <c r="N919" t="s">
        <v>341</v>
      </c>
      <c r="O919">
        <v>1</v>
      </c>
      <c r="P919">
        <v>1617</v>
      </c>
      <c r="Q919" t="s">
        <v>800</v>
      </c>
      <c r="R919" t="s">
        <v>201</v>
      </c>
      <c r="S919">
        <v>1</v>
      </c>
      <c r="T919">
        <v>1</v>
      </c>
      <c r="U919">
        <v>113628</v>
      </c>
      <c r="V919">
        <v>113628</v>
      </c>
    </row>
    <row r="920" spans="1:22">
      <c r="A920" t="s">
        <v>196</v>
      </c>
      <c r="B920">
        <v>31</v>
      </c>
      <c r="C920" t="s">
        <v>27</v>
      </c>
      <c r="D920">
        <v>100</v>
      </c>
      <c r="E920" t="s">
        <v>197</v>
      </c>
      <c r="F920">
        <v>1005</v>
      </c>
      <c r="G920" t="s">
        <v>27</v>
      </c>
      <c r="H920">
        <v>2005</v>
      </c>
      <c r="I920" t="s">
        <v>27</v>
      </c>
      <c r="J920">
        <v>3039</v>
      </c>
      <c r="K920" t="s">
        <v>830</v>
      </c>
      <c r="L920">
        <v>4039</v>
      </c>
      <c r="M920" t="s">
        <v>831</v>
      </c>
      <c r="N920" t="s">
        <v>199</v>
      </c>
      <c r="O920">
        <v>0</v>
      </c>
      <c r="P920">
        <v>15</v>
      </c>
      <c r="Q920" t="s">
        <v>264</v>
      </c>
      <c r="R920" t="s">
        <v>201</v>
      </c>
      <c r="S920">
        <v>0</v>
      </c>
      <c r="T920">
        <v>0</v>
      </c>
      <c r="U920">
        <v>3326</v>
      </c>
      <c r="V920">
        <v>3326</v>
      </c>
    </row>
    <row r="921" spans="1:22">
      <c r="A921" t="s">
        <v>196</v>
      </c>
      <c r="B921">
        <v>31</v>
      </c>
      <c r="C921" t="s">
        <v>27</v>
      </c>
      <c r="D921">
        <v>100</v>
      </c>
      <c r="E921" t="s">
        <v>197</v>
      </c>
      <c r="F921">
        <v>1005</v>
      </c>
      <c r="G921" t="s">
        <v>27</v>
      </c>
      <c r="H921">
        <v>2005</v>
      </c>
      <c r="I921" t="s">
        <v>27</v>
      </c>
      <c r="J921">
        <v>3039</v>
      </c>
      <c r="K921" t="s">
        <v>830</v>
      </c>
      <c r="L921">
        <v>4041</v>
      </c>
      <c r="M921" t="s">
        <v>832</v>
      </c>
      <c r="N921" t="s">
        <v>785</v>
      </c>
      <c r="O921">
        <v>9</v>
      </c>
      <c r="P921">
        <v>1656</v>
      </c>
      <c r="Q921" t="s">
        <v>833</v>
      </c>
      <c r="R921" t="s">
        <v>201</v>
      </c>
      <c r="S921">
        <v>1</v>
      </c>
      <c r="T921">
        <v>1</v>
      </c>
      <c r="U921">
        <v>192852</v>
      </c>
      <c r="V921">
        <v>192852</v>
      </c>
    </row>
    <row r="922" spans="1:22">
      <c r="A922" t="s">
        <v>196</v>
      </c>
      <c r="B922">
        <v>31</v>
      </c>
      <c r="C922" t="s">
        <v>27</v>
      </c>
      <c r="D922">
        <v>100</v>
      </c>
      <c r="E922" t="s">
        <v>197</v>
      </c>
      <c r="F922">
        <v>1005</v>
      </c>
      <c r="G922" t="s">
        <v>27</v>
      </c>
      <c r="H922">
        <v>2005</v>
      </c>
      <c r="I922" t="s">
        <v>27</v>
      </c>
      <c r="J922">
        <v>3039</v>
      </c>
      <c r="K922" t="s">
        <v>830</v>
      </c>
      <c r="L922">
        <v>4041</v>
      </c>
      <c r="M922" t="s">
        <v>832</v>
      </c>
      <c r="N922" t="s">
        <v>804</v>
      </c>
      <c r="O922">
        <v>9</v>
      </c>
      <c r="P922">
        <v>1643</v>
      </c>
      <c r="Q922" t="s">
        <v>805</v>
      </c>
      <c r="R922" t="s">
        <v>201</v>
      </c>
      <c r="S922">
        <v>1</v>
      </c>
      <c r="T922">
        <v>1</v>
      </c>
      <c r="U922">
        <v>118596</v>
      </c>
      <c r="V922">
        <v>118596</v>
      </c>
    </row>
    <row r="923" spans="1:22">
      <c r="A923" t="s">
        <v>196</v>
      </c>
      <c r="B923">
        <v>31</v>
      </c>
      <c r="C923" t="s">
        <v>27</v>
      </c>
      <c r="D923">
        <v>100</v>
      </c>
      <c r="E923" t="s">
        <v>197</v>
      </c>
      <c r="F923">
        <v>1005</v>
      </c>
      <c r="G923" t="s">
        <v>27</v>
      </c>
      <c r="H923">
        <v>2005</v>
      </c>
      <c r="I923" t="s">
        <v>27</v>
      </c>
      <c r="J923">
        <v>3039</v>
      </c>
      <c r="K923" t="s">
        <v>830</v>
      </c>
      <c r="L923">
        <v>4041</v>
      </c>
      <c r="M923" t="s">
        <v>832</v>
      </c>
      <c r="N923" t="s">
        <v>804</v>
      </c>
      <c r="O923">
        <v>9</v>
      </c>
      <c r="P923">
        <v>1643</v>
      </c>
      <c r="Q923" t="s">
        <v>805</v>
      </c>
      <c r="R923" t="s">
        <v>201</v>
      </c>
      <c r="S923">
        <v>1</v>
      </c>
      <c r="T923">
        <v>1</v>
      </c>
      <c r="U923">
        <v>113208</v>
      </c>
      <c r="V923">
        <v>113208</v>
      </c>
    </row>
    <row r="924" spans="1:22">
      <c r="A924" t="s">
        <v>196</v>
      </c>
      <c r="B924">
        <v>31</v>
      </c>
      <c r="C924" t="s">
        <v>27</v>
      </c>
      <c r="D924">
        <v>100</v>
      </c>
      <c r="E924" t="s">
        <v>197</v>
      </c>
      <c r="F924">
        <v>1005</v>
      </c>
      <c r="G924" t="s">
        <v>27</v>
      </c>
      <c r="H924">
        <v>2005</v>
      </c>
      <c r="I924" t="s">
        <v>27</v>
      </c>
      <c r="J924">
        <v>3039</v>
      </c>
      <c r="K924" t="s">
        <v>830</v>
      </c>
      <c r="L924">
        <v>4041</v>
      </c>
      <c r="M924" t="s">
        <v>832</v>
      </c>
      <c r="N924" t="s">
        <v>804</v>
      </c>
      <c r="O924">
        <v>9</v>
      </c>
      <c r="P924">
        <v>1643</v>
      </c>
      <c r="Q924" t="s">
        <v>805</v>
      </c>
      <c r="R924" t="s">
        <v>201</v>
      </c>
      <c r="S924">
        <v>1</v>
      </c>
      <c r="T924">
        <v>1</v>
      </c>
      <c r="U924">
        <v>108084</v>
      </c>
      <c r="V924">
        <v>108084</v>
      </c>
    </row>
    <row r="925" spans="1:22">
      <c r="A925" t="s">
        <v>196</v>
      </c>
      <c r="B925">
        <v>31</v>
      </c>
      <c r="C925" t="s">
        <v>27</v>
      </c>
      <c r="D925">
        <v>100</v>
      </c>
      <c r="E925" t="s">
        <v>197</v>
      </c>
      <c r="F925">
        <v>1005</v>
      </c>
      <c r="G925" t="s">
        <v>27</v>
      </c>
      <c r="H925">
        <v>2005</v>
      </c>
      <c r="I925" t="s">
        <v>27</v>
      </c>
      <c r="J925">
        <v>3039</v>
      </c>
      <c r="K925" t="s">
        <v>830</v>
      </c>
      <c r="L925">
        <v>4041</v>
      </c>
      <c r="M925" t="s">
        <v>832</v>
      </c>
      <c r="N925" t="s">
        <v>804</v>
      </c>
      <c r="O925">
        <v>9</v>
      </c>
      <c r="P925">
        <v>1643</v>
      </c>
      <c r="Q925" t="s">
        <v>805</v>
      </c>
      <c r="R925" t="s">
        <v>201</v>
      </c>
      <c r="S925">
        <v>1</v>
      </c>
      <c r="T925">
        <v>1</v>
      </c>
      <c r="U925">
        <v>98484</v>
      </c>
      <c r="V925">
        <v>98484</v>
      </c>
    </row>
    <row r="926" spans="1:22">
      <c r="A926" t="s">
        <v>196</v>
      </c>
      <c r="B926">
        <v>31</v>
      </c>
      <c r="C926" t="s">
        <v>27</v>
      </c>
      <c r="D926">
        <v>100</v>
      </c>
      <c r="E926" t="s">
        <v>197</v>
      </c>
      <c r="F926">
        <v>1005</v>
      </c>
      <c r="G926" t="s">
        <v>27</v>
      </c>
      <c r="H926">
        <v>2005</v>
      </c>
      <c r="I926" t="s">
        <v>27</v>
      </c>
      <c r="J926">
        <v>3039</v>
      </c>
      <c r="K926" t="s">
        <v>830</v>
      </c>
      <c r="L926">
        <v>4041</v>
      </c>
      <c r="M926" t="s">
        <v>832</v>
      </c>
      <c r="N926" t="s">
        <v>804</v>
      </c>
      <c r="O926">
        <v>9</v>
      </c>
      <c r="P926">
        <v>1643</v>
      </c>
      <c r="Q926" t="s">
        <v>805</v>
      </c>
      <c r="R926" t="s">
        <v>201</v>
      </c>
      <c r="S926">
        <v>2</v>
      </c>
      <c r="T926">
        <v>1</v>
      </c>
      <c r="U926">
        <v>85704</v>
      </c>
      <c r="V926">
        <v>171408</v>
      </c>
    </row>
    <row r="927" spans="1:22">
      <c r="A927" t="s">
        <v>196</v>
      </c>
      <c r="B927">
        <v>31</v>
      </c>
      <c r="C927" t="s">
        <v>27</v>
      </c>
      <c r="D927">
        <v>100</v>
      </c>
      <c r="E927" t="s">
        <v>197</v>
      </c>
      <c r="F927">
        <v>1005</v>
      </c>
      <c r="G927" t="s">
        <v>27</v>
      </c>
      <c r="H927">
        <v>2005</v>
      </c>
      <c r="I927" t="s">
        <v>27</v>
      </c>
      <c r="J927">
        <v>3039</v>
      </c>
      <c r="K927" t="s">
        <v>830</v>
      </c>
      <c r="L927">
        <v>4041</v>
      </c>
      <c r="M927" t="s">
        <v>832</v>
      </c>
      <c r="N927" t="s">
        <v>804</v>
      </c>
      <c r="O927">
        <v>9</v>
      </c>
      <c r="P927">
        <v>1643</v>
      </c>
      <c r="Q927" t="s">
        <v>805</v>
      </c>
      <c r="R927" t="s">
        <v>201</v>
      </c>
      <c r="S927">
        <v>3</v>
      </c>
      <c r="T927">
        <v>1</v>
      </c>
      <c r="U927">
        <v>78108</v>
      </c>
      <c r="V927">
        <v>234324</v>
      </c>
    </row>
    <row r="928" spans="1:22">
      <c r="A928" t="s">
        <v>196</v>
      </c>
      <c r="B928">
        <v>31</v>
      </c>
      <c r="C928" t="s">
        <v>27</v>
      </c>
      <c r="D928">
        <v>100</v>
      </c>
      <c r="E928" t="s">
        <v>197</v>
      </c>
      <c r="F928">
        <v>1005</v>
      </c>
      <c r="G928" t="s">
        <v>27</v>
      </c>
      <c r="H928">
        <v>2005</v>
      </c>
      <c r="I928" t="s">
        <v>27</v>
      </c>
      <c r="J928">
        <v>3039</v>
      </c>
      <c r="K928" t="s">
        <v>830</v>
      </c>
      <c r="L928">
        <v>4041</v>
      </c>
      <c r="M928" t="s">
        <v>832</v>
      </c>
      <c r="N928" t="s">
        <v>798</v>
      </c>
      <c r="O928">
        <v>9</v>
      </c>
      <c r="P928">
        <v>1641</v>
      </c>
      <c r="Q928" t="s">
        <v>799</v>
      </c>
      <c r="R928" t="s">
        <v>201</v>
      </c>
      <c r="S928">
        <v>1</v>
      </c>
      <c r="T928">
        <v>1</v>
      </c>
      <c r="U928">
        <v>149556</v>
      </c>
      <c r="V928">
        <v>149556</v>
      </c>
    </row>
    <row r="929" spans="1:22">
      <c r="A929" t="s">
        <v>196</v>
      </c>
      <c r="B929">
        <v>31</v>
      </c>
      <c r="C929" t="s">
        <v>27</v>
      </c>
      <c r="D929">
        <v>100</v>
      </c>
      <c r="E929" t="s">
        <v>197</v>
      </c>
      <c r="F929">
        <v>1005</v>
      </c>
      <c r="G929" t="s">
        <v>27</v>
      </c>
      <c r="H929">
        <v>2005</v>
      </c>
      <c r="I929" t="s">
        <v>27</v>
      </c>
      <c r="J929">
        <v>3039</v>
      </c>
      <c r="K929" t="s">
        <v>830</v>
      </c>
      <c r="L929">
        <v>4041</v>
      </c>
      <c r="M929" t="s">
        <v>832</v>
      </c>
      <c r="N929" t="s">
        <v>798</v>
      </c>
      <c r="O929">
        <v>9</v>
      </c>
      <c r="P929">
        <v>1641</v>
      </c>
      <c r="Q929" t="s">
        <v>799</v>
      </c>
      <c r="R929" t="s">
        <v>201</v>
      </c>
      <c r="S929">
        <v>1</v>
      </c>
      <c r="T929">
        <v>1</v>
      </c>
      <c r="U929">
        <v>136284</v>
      </c>
      <c r="V929">
        <v>136284</v>
      </c>
    </row>
    <row r="930" spans="1:22">
      <c r="A930" t="s">
        <v>196</v>
      </c>
      <c r="B930">
        <v>31</v>
      </c>
      <c r="C930" t="s">
        <v>27</v>
      </c>
      <c r="D930">
        <v>100</v>
      </c>
      <c r="E930" t="s">
        <v>197</v>
      </c>
      <c r="F930">
        <v>1005</v>
      </c>
      <c r="G930" t="s">
        <v>27</v>
      </c>
      <c r="H930">
        <v>2005</v>
      </c>
      <c r="I930" t="s">
        <v>27</v>
      </c>
      <c r="J930">
        <v>3039</v>
      </c>
      <c r="K930" t="s">
        <v>830</v>
      </c>
      <c r="L930">
        <v>4041</v>
      </c>
      <c r="M930" t="s">
        <v>832</v>
      </c>
      <c r="N930" t="s">
        <v>341</v>
      </c>
      <c r="O930">
        <v>1</v>
      </c>
      <c r="P930">
        <v>1617</v>
      </c>
      <c r="Q930" t="s">
        <v>800</v>
      </c>
      <c r="R930" t="s">
        <v>201</v>
      </c>
      <c r="S930">
        <v>1</v>
      </c>
      <c r="T930">
        <v>1</v>
      </c>
      <c r="U930">
        <v>68616</v>
      </c>
      <c r="V930">
        <v>68616</v>
      </c>
    </row>
    <row r="931" spans="1:22">
      <c r="A931" t="s">
        <v>196</v>
      </c>
      <c r="B931">
        <v>31</v>
      </c>
      <c r="C931" t="s">
        <v>27</v>
      </c>
      <c r="D931">
        <v>100</v>
      </c>
      <c r="E931" t="s">
        <v>197</v>
      </c>
      <c r="F931">
        <v>1005</v>
      </c>
      <c r="G931" t="s">
        <v>27</v>
      </c>
      <c r="H931">
        <v>2005</v>
      </c>
      <c r="I931" t="s">
        <v>27</v>
      </c>
      <c r="J931">
        <v>3039</v>
      </c>
      <c r="K931" t="s">
        <v>830</v>
      </c>
      <c r="L931">
        <v>4041</v>
      </c>
      <c r="M931" t="s">
        <v>832</v>
      </c>
      <c r="N931" t="s">
        <v>351</v>
      </c>
      <c r="O931">
        <v>1</v>
      </c>
      <c r="P931">
        <v>863</v>
      </c>
      <c r="Q931" t="s">
        <v>834</v>
      </c>
      <c r="R931" t="s">
        <v>201</v>
      </c>
      <c r="S931">
        <v>1</v>
      </c>
      <c r="T931">
        <v>1</v>
      </c>
      <c r="U931">
        <v>108576</v>
      </c>
      <c r="V931">
        <v>108576</v>
      </c>
    </row>
    <row r="932" spans="1:22">
      <c r="A932" t="s">
        <v>196</v>
      </c>
      <c r="B932">
        <v>31</v>
      </c>
      <c r="C932" t="s">
        <v>27</v>
      </c>
      <c r="D932">
        <v>100</v>
      </c>
      <c r="E932" t="s">
        <v>197</v>
      </c>
      <c r="F932">
        <v>1005</v>
      </c>
      <c r="G932" t="s">
        <v>27</v>
      </c>
      <c r="H932">
        <v>2005</v>
      </c>
      <c r="I932" t="s">
        <v>27</v>
      </c>
      <c r="J932">
        <v>3039</v>
      </c>
      <c r="K932" t="s">
        <v>830</v>
      </c>
      <c r="L932">
        <v>4041</v>
      </c>
      <c r="M932" t="s">
        <v>832</v>
      </c>
      <c r="N932" t="s">
        <v>199</v>
      </c>
      <c r="O932">
        <v>0</v>
      </c>
      <c r="P932">
        <v>15</v>
      </c>
      <c r="Q932" t="s">
        <v>264</v>
      </c>
      <c r="R932" t="s">
        <v>201</v>
      </c>
      <c r="S932">
        <v>0</v>
      </c>
      <c r="T932">
        <v>0</v>
      </c>
      <c r="U932">
        <v>8321</v>
      </c>
      <c r="V932">
        <v>8321</v>
      </c>
    </row>
    <row r="933" spans="1:22">
      <c r="A933" t="s">
        <v>196</v>
      </c>
      <c r="B933">
        <v>31</v>
      </c>
      <c r="C933" t="s">
        <v>27</v>
      </c>
      <c r="D933">
        <v>100</v>
      </c>
      <c r="E933" t="s">
        <v>197</v>
      </c>
      <c r="F933">
        <v>1005</v>
      </c>
      <c r="G933" t="s">
        <v>27</v>
      </c>
      <c r="H933">
        <v>2005</v>
      </c>
      <c r="I933" t="s">
        <v>27</v>
      </c>
      <c r="J933">
        <v>3044</v>
      </c>
      <c r="K933" t="s">
        <v>835</v>
      </c>
      <c r="L933">
        <v>0</v>
      </c>
      <c r="N933" t="s">
        <v>798</v>
      </c>
      <c r="O933">
        <v>9</v>
      </c>
      <c r="P933">
        <v>1641</v>
      </c>
      <c r="Q933" t="s">
        <v>799</v>
      </c>
      <c r="R933" t="s">
        <v>201</v>
      </c>
      <c r="S933">
        <v>1</v>
      </c>
      <c r="T933">
        <v>1</v>
      </c>
      <c r="U933">
        <v>142776</v>
      </c>
      <c r="V933">
        <v>142776</v>
      </c>
    </row>
    <row r="934" spans="1:22">
      <c r="A934" t="s">
        <v>196</v>
      </c>
      <c r="B934">
        <v>31</v>
      </c>
      <c r="C934" t="s">
        <v>27</v>
      </c>
      <c r="D934">
        <v>100</v>
      </c>
      <c r="E934" t="s">
        <v>197</v>
      </c>
      <c r="F934">
        <v>1005</v>
      </c>
      <c r="G934" t="s">
        <v>27</v>
      </c>
      <c r="H934">
        <v>2005</v>
      </c>
      <c r="I934" t="s">
        <v>27</v>
      </c>
      <c r="J934">
        <v>3044</v>
      </c>
      <c r="K934" t="s">
        <v>835</v>
      </c>
      <c r="L934">
        <v>0</v>
      </c>
      <c r="N934" t="s">
        <v>199</v>
      </c>
      <c r="O934">
        <v>0</v>
      </c>
      <c r="P934">
        <v>15</v>
      </c>
      <c r="Q934" t="s">
        <v>264</v>
      </c>
      <c r="R934" t="s">
        <v>201</v>
      </c>
      <c r="S934">
        <v>0</v>
      </c>
      <c r="T934">
        <v>0</v>
      </c>
      <c r="U934">
        <v>1978</v>
      </c>
      <c r="V934">
        <v>1978</v>
      </c>
    </row>
    <row r="935" spans="1:22">
      <c r="A935" t="s">
        <v>196</v>
      </c>
      <c r="B935">
        <v>31</v>
      </c>
      <c r="C935" t="s">
        <v>27</v>
      </c>
      <c r="D935">
        <v>100</v>
      </c>
      <c r="E935" t="s">
        <v>197</v>
      </c>
      <c r="F935">
        <v>1005</v>
      </c>
      <c r="G935" t="s">
        <v>27</v>
      </c>
      <c r="H935">
        <v>2005</v>
      </c>
      <c r="I935" t="s">
        <v>27</v>
      </c>
      <c r="J935">
        <v>3045</v>
      </c>
      <c r="K935" t="s">
        <v>836</v>
      </c>
      <c r="L935">
        <v>0</v>
      </c>
      <c r="N935" t="s">
        <v>821</v>
      </c>
      <c r="O935">
        <v>9</v>
      </c>
      <c r="P935">
        <v>1672</v>
      </c>
      <c r="Q935" t="s">
        <v>822</v>
      </c>
      <c r="R935" t="s">
        <v>201</v>
      </c>
      <c r="S935">
        <v>1</v>
      </c>
      <c r="T935">
        <v>1</v>
      </c>
      <c r="U935">
        <v>142776</v>
      </c>
      <c r="V935">
        <v>142776</v>
      </c>
    </row>
    <row r="936" spans="1:22">
      <c r="A936" t="s">
        <v>196</v>
      </c>
      <c r="B936">
        <v>31</v>
      </c>
      <c r="C936" t="s">
        <v>27</v>
      </c>
      <c r="D936">
        <v>100</v>
      </c>
      <c r="E936" t="s">
        <v>197</v>
      </c>
      <c r="F936">
        <v>1005</v>
      </c>
      <c r="G936" t="s">
        <v>27</v>
      </c>
      <c r="H936">
        <v>2005</v>
      </c>
      <c r="I936" t="s">
        <v>27</v>
      </c>
      <c r="J936">
        <v>3045</v>
      </c>
      <c r="K936" t="s">
        <v>836</v>
      </c>
      <c r="L936">
        <v>0</v>
      </c>
      <c r="N936" t="s">
        <v>821</v>
      </c>
      <c r="O936">
        <v>9</v>
      </c>
      <c r="P936">
        <v>1672</v>
      </c>
      <c r="Q936" t="s">
        <v>822</v>
      </c>
      <c r="R936" t="s">
        <v>201</v>
      </c>
      <c r="S936">
        <v>1</v>
      </c>
      <c r="T936">
        <v>1</v>
      </c>
      <c r="U936">
        <v>124224</v>
      </c>
      <c r="V936">
        <v>124224</v>
      </c>
    </row>
    <row r="937" spans="1:22">
      <c r="A937" t="s">
        <v>196</v>
      </c>
      <c r="B937">
        <v>31</v>
      </c>
      <c r="C937" t="s">
        <v>27</v>
      </c>
      <c r="D937">
        <v>100</v>
      </c>
      <c r="E937" t="s">
        <v>197</v>
      </c>
      <c r="F937">
        <v>1005</v>
      </c>
      <c r="G937" t="s">
        <v>27</v>
      </c>
      <c r="H937">
        <v>2005</v>
      </c>
      <c r="I937" t="s">
        <v>27</v>
      </c>
      <c r="J937">
        <v>3045</v>
      </c>
      <c r="K937" t="s">
        <v>836</v>
      </c>
      <c r="L937">
        <v>0</v>
      </c>
      <c r="N937" t="s">
        <v>821</v>
      </c>
      <c r="O937">
        <v>9</v>
      </c>
      <c r="P937">
        <v>1672</v>
      </c>
      <c r="Q937" t="s">
        <v>822</v>
      </c>
      <c r="R937" t="s">
        <v>201</v>
      </c>
      <c r="S937">
        <v>1</v>
      </c>
      <c r="T937">
        <v>1</v>
      </c>
      <c r="U937">
        <v>118596</v>
      </c>
      <c r="V937">
        <v>118596</v>
      </c>
    </row>
    <row r="938" spans="1:22">
      <c r="A938" t="s">
        <v>196</v>
      </c>
      <c r="B938">
        <v>31</v>
      </c>
      <c r="C938" t="s">
        <v>27</v>
      </c>
      <c r="D938">
        <v>100</v>
      </c>
      <c r="E938" t="s">
        <v>197</v>
      </c>
      <c r="F938">
        <v>1005</v>
      </c>
      <c r="G938" t="s">
        <v>27</v>
      </c>
      <c r="H938">
        <v>2005</v>
      </c>
      <c r="I938" t="s">
        <v>27</v>
      </c>
      <c r="J938">
        <v>3045</v>
      </c>
      <c r="K938" t="s">
        <v>836</v>
      </c>
      <c r="L938">
        <v>0</v>
      </c>
      <c r="N938" t="s">
        <v>821</v>
      </c>
      <c r="O938">
        <v>9</v>
      </c>
      <c r="P938">
        <v>1672</v>
      </c>
      <c r="Q938" t="s">
        <v>822</v>
      </c>
      <c r="R938" t="s">
        <v>201</v>
      </c>
      <c r="S938">
        <v>1</v>
      </c>
      <c r="T938">
        <v>1</v>
      </c>
      <c r="U938">
        <v>98484</v>
      </c>
      <c r="V938">
        <v>98484</v>
      </c>
    </row>
    <row r="939" spans="1:22">
      <c r="A939" t="s">
        <v>196</v>
      </c>
      <c r="B939">
        <v>31</v>
      </c>
      <c r="C939" t="s">
        <v>27</v>
      </c>
      <c r="D939">
        <v>100</v>
      </c>
      <c r="E939" t="s">
        <v>197</v>
      </c>
      <c r="F939">
        <v>1005</v>
      </c>
      <c r="G939" t="s">
        <v>27</v>
      </c>
      <c r="H939">
        <v>2005</v>
      </c>
      <c r="I939" t="s">
        <v>27</v>
      </c>
      <c r="J939">
        <v>3045</v>
      </c>
      <c r="K939" t="s">
        <v>836</v>
      </c>
      <c r="L939">
        <v>0</v>
      </c>
      <c r="N939" t="s">
        <v>821</v>
      </c>
      <c r="O939">
        <v>9</v>
      </c>
      <c r="P939">
        <v>1672</v>
      </c>
      <c r="Q939" t="s">
        <v>822</v>
      </c>
      <c r="R939" t="s">
        <v>201</v>
      </c>
      <c r="S939">
        <v>1</v>
      </c>
      <c r="T939">
        <v>1</v>
      </c>
      <c r="U939">
        <v>81816</v>
      </c>
      <c r="V939">
        <v>81816</v>
      </c>
    </row>
    <row r="940" spans="1:22">
      <c r="A940" t="s">
        <v>196</v>
      </c>
      <c r="B940">
        <v>31</v>
      </c>
      <c r="C940" t="s">
        <v>27</v>
      </c>
      <c r="D940">
        <v>100</v>
      </c>
      <c r="E940" t="s">
        <v>197</v>
      </c>
      <c r="F940">
        <v>1005</v>
      </c>
      <c r="G940" t="s">
        <v>27</v>
      </c>
      <c r="H940">
        <v>2005</v>
      </c>
      <c r="I940" t="s">
        <v>27</v>
      </c>
      <c r="J940">
        <v>3045</v>
      </c>
      <c r="K940" t="s">
        <v>836</v>
      </c>
      <c r="L940">
        <v>0</v>
      </c>
      <c r="N940" t="s">
        <v>785</v>
      </c>
      <c r="O940">
        <v>9</v>
      </c>
      <c r="P940">
        <v>1650</v>
      </c>
      <c r="Q940" t="s">
        <v>786</v>
      </c>
      <c r="R940" t="s">
        <v>201</v>
      </c>
      <c r="S940">
        <v>1</v>
      </c>
      <c r="T940">
        <v>1</v>
      </c>
      <c r="U940">
        <v>212784</v>
      </c>
      <c r="V940">
        <v>212784</v>
      </c>
    </row>
    <row r="941" spans="1:22">
      <c r="A941" t="s">
        <v>196</v>
      </c>
      <c r="B941">
        <v>31</v>
      </c>
      <c r="C941" t="s">
        <v>27</v>
      </c>
      <c r="D941">
        <v>100</v>
      </c>
      <c r="E941" t="s">
        <v>197</v>
      </c>
      <c r="F941">
        <v>1005</v>
      </c>
      <c r="G941" t="s">
        <v>27</v>
      </c>
      <c r="H941">
        <v>2005</v>
      </c>
      <c r="I941" t="s">
        <v>27</v>
      </c>
      <c r="J941">
        <v>3045</v>
      </c>
      <c r="K941" t="s">
        <v>836</v>
      </c>
      <c r="L941">
        <v>0</v>
      </c>
      <c r="N941" t="s">
        <v>798</v>
      </c>
      <c r="O941">
        <v>9</v>
      </c>
      <c r="P941">
        <v>1641</v>
      </c>
      <c r="Q941" t="s">
        <v>799</v>
      </c>
      <c r="R941" t="s">
        <v>201</v>
      </c>
      <c r="S941">
        <v>1</v>
      </c>
      <c r="T941">
        <v>1</v>
      </c>
      <c r="U941">
        <v>164100</v>
      </c>
      <c r="V941">
        <v>164100</v>
      </c>
    </row>
    <row r="942" spans="1:22">
      <c r="A942" t="s">
        <v>196</v>
      </c>
      <c r="B942">
        <v>31</v>
      </c>
      <c r="C942" t="s">
        <v>27</v>
      </c>
      <c r="D942">
        <v>100</v>
      </c>
      <c r="E942" t="s">
        <v>197</v>
      </c>
      <c r="F942">
        <v>1005</v>
      </c>
      <c r="G942" t="s">
        <v>27</v>
      </c>
      <c r="H942">
        <v>2005</v>
      </c>
      <c r="I942" t="s">
        <v>27</v>
      </c>
      <c r="J942">
        <v>3045</v>
      </c>
      <c r="K942" t="s">
        <v>836</v>
      </c>
      <c r="L942">
        <v>0</v>
      </c>
      <c r="N942" t="s">
        <v>798</v>
      </c>
      <c r="O942">
        <v>9</v>
      </c>
      <c r="P942">
        <v>1641</v>
      </c>
      <c r="Q942" t="s">
        <v>799</v>
      </c>
      <c r="R942" t="s">
        <v>201</v>
      </c>
      <c r="S942">
        <v>1</v>
      </c>
      <c r="T942">
        <v>1</v>
      </c>
      <c r="U942">
        <v>156648</v>
      </c>
      <c r="V942">
        <v>156648</v>
      </c>
    </row>
    <row r="943" spans="1:22">
      <c r="A943" t="s">
        <v>196</v>
      </c>
      <c r="B943">
        <v>31</v>
      </c>
      <c r="C943" t="s">
        <v>27</v>
      </c>
      <c r="D943">
        <v>100</v>
      </c>
      <c r="E943" t="s">
        <v>197</v>
      </c>
      <c r="F943">
        <v>1005</v>
      </c>
      <c r="G943" t="s">
        <v>27</v>
      </c>
      <c r="H943">
        <v>2005</v>
      </c>
      <c r="I943" t="s">
        <v>27</v>
      </c>
      <c r="J943">
        <v>3045</v>
      </c>
      <c r="K943" t="s">
        <v>836</v>
      </c>
      <c r="L943">
        <v>0</v>
      </c>
      <c r="N943" t="s">
        <v>251</v>
      </c>
      <c r="O943">
        <v>10</v>
      </c>
      <c r="P943">
        <v>1619</v>
      </c>
      <c r="Q943" t="s">
        <v>806</v>
      </c>
      <c r="R943" t="s">
        <v>201</v>
      </c>
      <c r="S943">
        <v>1</v>
      </c>
      <c r="T943">
        <v>1</v>
      </c>
      <c r="U943">
        <v>76476</v>
      </c>
      <c r="V943">
        <v>76476</v>
      </c>
    </row>
    <row r="944" spans="1:22">
      <c r="A944" t="s">
        <v>196</v>
      </c>
      <c r="B944">
        <v>31</v>
      </c>
      <c r="C944" t="s">
        <v>27</v>
      </c>
      <c r="D944">
        <v>100</v>
      </c>
      <c r="E944" t="s">
        <v>197</v>
      </c>
      <c r="F944">
        <v>1005</v>
      </c>
      <c r="G944" t="s">
        <v>27</v>
      </c>
      <c r="H944">
        <v>2005</v>
      </c>
      <c r="I944" t="s">
        <v>27</v>
      </c>
      <c r="J944">
        <v>3045</v>
      </c>
      <c r="K944" t="s">
        <v>836</v>
      </c>
      <c r="L944">
        <v>0</v>
      </c>
      <c r="N944" t="s">
        <v>341</v>
      </c>
      <c r="O944">
        <v>1</v>
      </c>
      <c r="P944">
        <v>1617</v>
      </c>
      <c r="Q944" t="s">
        <v>800</v>
      </c>
      <c r="R944" t="s">
        <v>201</v>
      </c>
      <c r="S944">
        <v>1</v>
      </c>
      <c r="T944">
        <v>1</v>
      </c>
      <c r="U944">
        <v>119100</v>
      </c>
      <c r="V944">
        <v>119100</v>
      </c>
    </row>
    <row r="945" spans="1:22">
      <c r="A945" t="s">
        <v>196</v>
      </c>
      <c r="B945">
        <v>31</v>
      </c>
      <c r="C945" t="s">
        <v>27</v>
      </c>
      <c r="D945">
        <v>100</v>
      </c>
      <c r="E945" t="s">
        <v>197</v>
      </c>
      <c r="F945">
        <v>1005</v>
      </c>
      <c r="G945" t="s">
        <v>27</v>
      </c>
      <c r="H945">
        <v>2005</v>
      </c>
      <c r="I945" t="s">
        <v>27</v>
      </c>
      <c r="J945">
        <v>3045</v>
      </c>
      <c r="K945" t="s">
        <v>836</v>
      </c>
      <c r="L945">
        <v>0</v>
      </c>
      <c r="N945" t="s">
        <v>199</v>
      </c>
      <c r="O945">
        <v>0</v>
      </c>
      <c r="P945">
        <v>15</v>
      </c>
      <c r="Q945" t="s">
        <v>264</v>
      </c>
      <c r="R945" t="s">
        <v>201</v>
      </c>
      <c r="S945">
        <v>0</v>
      </c>
      <c r="T945">
        <v>0</v>
      </c>
      <c r="U945">
        <v>6136</v>
      </c>
      <c r="V945">
        <v>6136</v>
      </c>
    </row>
    <row r="946" spans="1:22">
      <c r="A946" t="s">
        <v>196</v>
      </c>
      <c r="B946">
        <v>31</v>
      </c>
      <c r="C946" t="s">
        <v>27</v>
      </c>
      <c r="D946">
        <v>100</v>
      </c>
      <c r="E946" t="s">
        <v>197</v>
      </c>
      <c r="F946">
        <v>1005</v>
      </c>
      <c r="G946" t="s">
        <v>27</v>
      </c>
      <c r="H946">
        <v>2005</v>
      </c>
      <c r="I946" t="s">
        <v>27</v>
      </c>
      <c r="J946">
        <v>3046</v>
      </c>
      <c r="K946" t="s">
        <v>837</v>
      </c>
      <c r="L946">
        <v>4021</v>
      </c>
      <c r="M946" t="s">
        <v>828</v>
      </c>
      <c r="N946" t="s">
        <v>268</v>
      </c>
      <c r="O946">
        <v>0</v>
      </c>
      <c r="P946">
        <v>1689</v>
      </c>
      <c r="Q946" t="s">
        <v>779</v>
      </c>
      <c r="R946" t="s">
        <v>201</v>
      </c>
      <c r="S946">
        <v>1</v>
      </c>
      <c r="T946">
        <v>1</v>
      </c>
      <c r="U946">
        <v>108432</v>
      </c>
      <c r="V946">
        <v>108432</v>
      </c>
    </row>
    <row r="947" spans="1:22">
      <c r="A947" t="s">
        <v>196</v>
      </c>
      <c r="B947">
        <v>31</v>
      </c>
      <c r="C947" t="s">
        <v>27</v>
      </c>
      <c r="D947">
        <v>100</v>
      </c>
      <c r="E947" t="s">
        <v>197</v>
      </c>
      <c r="F947">
        <v>1005</v>
      </c>
      <c r="G947" t="s">
        <v>27</v>
      </c>
      <c r="H947">
        <v>2005</v>
      </c>
      <c r="I947" t="s">
        <v>27</v>
      </c>
      <c r="J947">
        <v>3046</v>
      </c>
      <c r="K947" t="s">
        <v>837</v>
      </c>
      <c r="L947">
        <v>4021</v>
      </c>
      <c r="M947" t="s">
        <v>828</v>
      </c>
      <c r="N947" t="s">
        <v>821</v>
      </c>
      <c r="O947">
        <v>9</v>
      </c>
      <c r="P947">
        <v>1672</v>
      </c>
      <c r="Q947" t="s">
        <v>822</v>
      </c>
      <c r="R947" t="s">
        <v>201</v>
      </c>
      <c r="S947">
        <v>2</v>
      </c>
      <c r="T947">
        <v>1</v>
      </c>
      <c r="U947">
        <v>108084</v>
      </c>
      <c r="V947">
        <v>216168</v>
      </c>
    </row>
    <row r="948" spans="1:22">
      <c r="A948" t="s">
        <v>196</v>
      </c>
      <c r="B948">
        <v>31</v>
      </c>
      <c r="C948" t="s">
        <v>27</v>
      </c>
      <c r="D948">
        <v>100</v>
      </c>
      <c r="E948" t="s">
        <v>197</v>
      </c>
      <c r="F948">
        <v>1005</v>
      </c>
      <c r="G948" t="s">
        <v>27</v>
      </c>
      <c r="H948">
        <v>2005</v>
      </c>
      <c r="I948" t="s">
        <v>27</v>
      </c>
      <c r="J948">
        <v>3046</v>
      </c>
      <c r="K948" t="s">
        <v>837</v>
      </c>
      <c r="L948">
        <v>4021</v>
      </c>
      <c r="M948" t="s">
        <v>828</v>
      </c>
      <c r="N948" t="s">
        <v>821</v>
      </c>
      <c r="O948">
        <v>9</v>
      </c>
      <c r="P948">
        <v>1672</v>
      </c>
      <c r="Q948" t="s">
        <v>822</v>
      </c>
      <c r="R948" t="s">
        <v>201</v>
      </c>
      <c r="S948">
        <v>1</v>
      </c>
      <c r="T948">
        <v>1</v>
      </c>
      <c r="U948">
        <v>103176</v>
      </c>
      <c r="V948">
        <v>103176</v>
      </c>
    </row>
    <row r="949" spans="1:22">
      <c r="A949" t="s">
        <v>196</v>
      </c>
      <c r="B949">
        <v>31</v>
      </c>
      <c r="C949" t="s">
        <v>27</v>
      </c>
      <c r="D949">
        <v>100</v>
      </c>
      <c r="E949" t="s">
        <v>197</v>
      </c>
      <c r="F949">
        <v>1005</v>
      </c>
      <c r="G949" t="s">
        <v>27</v>
      </c>
      <c r="H949">
        <v>2005</v>
      </c>
      <c r="I949" t="s">
        <v>27</v>
      </c>
      <c r="J949">
        <v>3046</v>
      </c>
      <c r="K949" t="s">
        <v>837</v>
      </c>
      <c r="L949">
        <v>4021</v>
      </c>
      <c r="M949" t="s">
        <v>828</v>
      </c>
      <c r="N949" t="s">
        <v>796</v>
      </c>
      <c r="O949">
        <v>9</v>
      </c>
      <c r="P949">
        <v>1652</v>
      </c>
      <c r="Q949" t="s">
        <v>797</v>
      </c>
      <c r="R949" t="s">
        <v>201</v>
      </c>
      <c r="S949">
        <v>1</v>
      </c>
      <c r="T949">
        <v>1</v>
      </c>
      <c r="U949">
        <v>173160</v>
      </c>
      <c r="V949">
        <v>173160</v>
      </c>
    </row>
    <row r="950" spans="1:22">
      <c r="A950" t="s">
        <v>196</v>
      </c>
      <c r="B950">
        <v>31</v>
      </c>
      <c r="C950" t="s">
        <v>27</v>
      </c>
      <c r="D950">
        <v>100</v>
      </c>
      <c r="E950" t="s">
        <v>197</v>
      </c>
      <c r="F950">
        <v>1005</v>
      </c>
      <c r="G950" t="s">
        <v>27</v>
      </c>
      <c r="H950">
        <v>2005</v>
      </c>
      <c r="I950" t="s">
        <v>27</v>
      </c>
      <c r="J950">
        <v>3046</v>
      </c>
      <c r="K950" t="s">
        <v>837</v>
      </c>
      <c r="L950">
        <v>4021</v>
      </c>
      <c r="M950" t="s">
        <v>828</v>
      </c>
      <c r="N950" t="s">
        <v>785</v>
      </c>
      <c r="O950">
        <v>9</v>
      </c>
      <c r="P950">
        <v>1650</v>
      </c>
      <c r="Q950" t="s">
        <v>786</v>
      </c>
      <c r="R950" t="s">
        <v>201</v>
      </c>
      <c r="S950">
        <v>1</v>
      </c>
      <c r="T950">
        <v>1</v>
      </c>
      <c r="U950">
        <v>192852</v>
      </c>
      <c r="V950">
        <v>192852</v>
      </c>
    </row>
    <row r="951" spans="1:22">
      <c r="A951" t="s">
        <v>196</v>
      </c>
      <c r="B951">
        <v>31</v>
      </c>
      <c r="C951" t="s">
        <v>27</v>
      </c>
      <c r="D951">
        <v>100</v>
      </c>
      <c r="E951" t="s">
        <v>197</v>
      </c>
      <c r="F951">
        <v>1005</v>
      </c>
      <c r="G951" t="s">
        <v>27</v>
      </c>
      <c r="H951">
        <v>2005</v>
      </c>
      <c r="I951" t="s">
        <v>27</v>
      </c>
      <c r="J951">
        <v>3046</v>
      </c>
      <c r="K951" t="s">
        <v>837</v>
      </c>
      <c r="L951">
        <v>4021</v>
      </c>
      <c r="M951" t="s">
        <v>828</v>
      </c>
      <c r="N951" t="s">
        <v>798</v>
      </c>
      <c r="O951">
        <v>9</v>
      </c>
      <c r="P951">
        <v>1641</v>
      </c>
      <c r="Q951" t="s">
        <v>799</v>
      </c>
      <c r="R951" t="s">
        <v>201</v>
      </c>
      <c r="S951">
        <v>1</v>
      </c>
      <c r="T951">
        <v>1</v>
      </c>
      <c r="U951">
        <v>156648</v>
      </c>
      <c r="V951">
        <v>156648</v>
      </c>
    </row>
    <row r="952" spans="1:22">
      <c r="A952" t="s">
        <v>196</v>
      </c>
      <c r="B952">
        <v>31</v>
      </c>
      <c r="C952" t="s">
        <v>27</v>
      </c>
      <c r="D952">
        <v>100</v>
      </c>
      <c r="E952" t="s">
        <v>197</v>
      </c>
      <c r="F952">
        <v>1005</v>
      </c>
      <c r="G952" t="s">
        <v>27</v>
      </c>
      <c r="H952">
        <v>2005</v>
      </c>
      <c r="I952" t="s">
        <v>27</v>
      </c>
      <c r="J952">
        <v>3046</v>
      </c>
      <c r="K952" t="s">
        <v>837</v>
      </c>
      <c r="L952">
        <v>4021</v>
      </c>
      <c r="M952" t="s">
        <v>828</v>
      </c>
      <c r="N952" t="s">
        <v>798</v>
      </c>
      <c r="O952">
        <v>9</v>
      </c>
      <c r="P952">
        <v>1641</v>
      </c>
      <c r="Q952" t="s">
        <v>799</v>
      </c>
      <c r="R952" t="s">
        <v>201</v>
      </c>
      <c r="S952">
        <v>1</v>
      </c>
      <c r="T952">
        <v>1</v>
      </c>
      <c r="U952">
        <v>142776</v>
      </c>
      <c r="V952">
        <v>142776</v>
      </c>
    </row>
    <row r="953" spans="1:22">
      <c r="A953" t="s">
        <v>196</v>
      </c>
      <c r="B953">
        <v>31</v>
      </c>
      <c r="C953" t="s">
        <v>27</v>
      </c>
      <c r="D953">
        <v>100</v>
      </c>
      <c r="E953" t="s">
        <v>197</v>
      </c>
      <c r="F953">
        <v>1005</v>
      </c>
      <c r="G953" t="s">
        <v>27</v>
      </c>
      <c r="H953">
        <v>2005</v>
      </c>
      <c r="I953" t="s">
        <v>27</v>
      </c>
      <c r="J953">
        <v>3046</v>
      </c>
      <c r="K953" t="s">
        <v>837</v>
      </c>
      <c r="L953">
        <v>4021</v>
      </c>
      <c r="M953" t="s">
        <v>828</v>
      </c>
      <c r="N953" t="s">
        <v>798</v>
      </c>
      <c r="O953">
        <v>9</v>
      </c>
      <c r="P953">
        <v>1641</v>
      </c>
      <c r="Q953" t="s">
        <v>799</v>
      </c>
      <c r="R953" t="s">
        <v>201</v>
      </c>
      <c r="S953">
        <v>1</v>
      </c>
      <c r="T953">
        <v>1</v>
      </c>
      <c r="U953">
        <v>136284</v>
      </c>
      <c r="V953">
        <v>136284</v>
      </c>
    </row>
    <row r="954" spans="1:22">
      <c r="A954" t="s">
        <v>196</v>
      </c>
      <c r="B954">
        <v>31</v>
      </c>
      <c r="C954" t="s">
        <v>27</v>
      </c>
      <c r="D954">
        <v>100</v>
      </c>
      <c r="E954" t="s">
        <v>197</v>
      </c>
      <c r="F954">
        <v>1005</v>
      </c>
      <c r="G954" t="s">
        <v>27</v>
      </c>
      <c r="H954">
        <v>2005</v>
      </c>
      <c r="I954" t="s">
        <v>27</v>
      </c>
      <c r="J954">
        <v>3046</v>
      </c>
      <c r="K954" t="s">
        <v>837</v>
      </c>
      <c r="L954">
        <v>4021</v>
      </c>
      <c r="M954" t="s">
        <v>828</v>
      </c>
      <c r="N954" t="s">
        <v>341</v>
      </c>
      <c r="O954">
        <v>1</v>
      </c>
      <c r="P954">
        <v>1617</v>
      </c>
      <c r="Q954" t="s">
        <v>800</v>
      </c>
      <c r="R954" t="s">
        <v>201</v>
      </c>
      <c r="S954">
        <v>1</v>
      </c>
      <c r="T954">
        <v>1</v>
      </c>
      <c r="U954">
        <v>119100</v>
      </c>
      <c r="V954">
        <v>119100</v>
      </c>
    </row>
    <row r="955" spans="1:22">
      <c r="A955" t="s">
        <v>196</v>
      </c>
      <c r="B955">
        <v>31</v>
      </c>
      <c r="C955" t="s">
        <v>27</v>
      </c>
      <c r="D955">
        <v>100</v>
      </c>
      <c r="E955" t="s">
        <v>197</v>
      </c>
      <c r="F955">
        <v>1005</v>
      </c>
      <c r="G955" t="s">
        <v>27</v>
      </c>
      <c r="H955">
        <v>2005</v>
      </c>
      <c r="I955" t="s">
        <v>27</v>
      </c>
      <c r="J955">
        <v>3046</v>
      </c>
      <c r="K955" t="s">
        <v>837</v>
      </c>
      <c r="L955">
        <v>4021</v>
      </c>
      <c r="M955" t="s">
        <v>828</v>
      </c>
      <c r="N955" t="s">
        <v>199</v>
      </c>
      <c r="O955">
        <v>0</v>
      </c>
      <c r="P955">
        <v>15</v>
      </c>
      <c r="Q955" t="s">
        <v>264</v>
      </c>
      <c r="R955" t="s">
        <v>201</v>
      </c>
      <c r="S955">
        <v>0</v>
      </c>
      <c r="T955">
        <v>0</v>
      </c>
      <c r="U955">
        <v>9841</v>
      </c>
      <c r="V955">
        <v>9841</v>
      </c>
    </row>
    <row r="956" spans="1:22">
      <c r="A956" t="s">
        <v>196</v>
      </c>
      <c r="B956">
        <v>31</v>
      </c>
      <c r="C956" t="s">
        <v>27</v>
      </c>
      <c r="D956">
        <v>100</v>
      </c>
      <c r="E956" t="s">
        <v>197</v>
      </c>
      <c r="F956">
        <v>1005</v>
      </c>
      <c r="G956" t="s">
        <v>27</v>
      </c>
      <c r="H956">
        <v>2005</v>
      </c>
      <c r="I956" t="s">
        <v>27</v>
      </c>
      <c r="J956">
        <v>3049</v>
      </c>
      <c r="K956" t="s">
        <v>838</v>
      </c>
      <c r="L956">
        <v>0</v>
      </c>
      <c r="N956" t="s">
        <v>268</v>
      </c>
      <c r="O956">
        <v>0</v>
      </c>
      <c r="P956">
        <v>1689</v>
      </c>
      <c r="Q956" t="s">
        <v>779</v>
      </c>
      <c r="R956" t="s">
        <v>201</v>
      </c>
      <c r="S956">
        <v>1</v>
      </c>
      <c r="T956">
        <v>1</v>
      </c>
      <c r="U956">
        <v>113568</v>
      </c>
      <c r="V956">
        <v>113568</v>
      </c>
    </row>
    <row r="957" spans="1:22">
      <c r="A957" t="s">
        <v>196</v>
      </c>
      <c r="B957">
        <v>31</v>
      </c>
      <c r="C957" t="s">
        <v>27</v>
      </c>
      <c r="D957">
        <v>100</v>
      </c>
      <c r="E957" t="s">
        <v>197</v>
      </c>
      <c r="F957">
        <v>1005</v>
      </c>
      <c r="G957" t="s">
        <v>27</v>
      </c>
      <c r="H957">
        <v>2005</v>
      </c>
      <c r="I957" t="s">
        <v>27</v>
      </c>
      <c r="J957">
        <v>3049</v>
      </c>
      <c r="K957" t="s">
        <v>838</v>
      </c>
      <c r="L957">
        <v>0</v>
      </c>
      <c r="N957" t="s">
        <v>794</v>
      </c>
      <c r="O957">
        <v>9</v>
      </c>
      <c r="P957">
        <v>1673</v>
      </c>
      <c r="Q957" t="s">
        <v>795</v>
      </c>
      <c r="R957" t="s">
        <v>201</v>
      </c>
      <c r="S957">
        <v>1</v>
      </c>
      <c r="T957">
        <v>1</v>
      </c>
      <c r="U957">
        <v>98484</v>
      </c>
      <c r="V957">
        <v>98484</v>
      </c>
    </row>
    <row r="958" spans="1:22">
      <c r="A958" t="s">
        <v>196</v>
      </c>
      <c r="B958">
        <v>31</v>
      </c>
      <c r="C958" t="s">
        <v>27</v>
      </c>
      <c r="D958">
        <v>100</v>
      </c>
      <c r="E958" t="s">
        <v>197</v>
      </c>
      <c r="F958">
        <v>1005</v>
      </c>
      <c r="G958" t="s">
        <v>27</v>
      </c>
      <c r="H958">
        <v>2005</v>
      </c>
      <c r="I958" t="s">
        <v>27</v>
      </c>
      <c r="J958">
        <v>3049</v>
      </c>
      <c r="K958" t="s">
        <v>838</v>
      </c>
      <c r="L958">
        <v>0</v>
      </c>
      <c r="N958" t="s">
        <v>794</v>
      </c>
      <c r="O958">
        <v>9</v>
      </c>
      <c r="P958">
        <v>1673</v>
      </c>
      <c r="Q958" t="s">
        <v>795</v>
      </c>
      <c r="R958" t="s">
        <v>201</v>
      </c>
      <c r="S958">
        <v>2</v>
      </c>
      <c r="T958">
        <v>1</v>
      </c>
      <c r="U958">
        <v>85704</v>
      </c>
      <c r="V958">
        <v>171408</v>
      </c>
    </row>
    <row r="959" spans="1:22">
      <c r="A959" t="s">
        <v>196</v>
      </c>
      <c r="B959">
        <v>31</v>
      </c>
      <c r="C959" t="s">
        <v>27</v>
      </c>
      <c r="D959">
        <v>100</v>
      </c>
      <c r="E959" t="s">
        <v>197</v>
      </c>
      <c r="F959">
        <v>1005</v>
      </c>
      <c r="G959" t="s">
        <v>27</v>
      </c>
      <c r="H959">
        <v>2005</v>
      </c>
      <c r="I959" t="s">
        <v>27</v>
      </c>
      <c r="J959">
        <v>3049</v>
      </c>
      <c r="K959" t="s">
        <v>838</v>
      </c>
      <c r="L959">
        <v>0</v>
      </c>
      <c r="N959" t="s">
        <v>796</v>
      </c>
      <c r="O959">
        <v>9</v>
      </c>
      <c r="P959">
        <v>1652</v>
      </c>
      <c r="Q959" t="s">
        <v>797</v>
      </c>
      <c r="R959" t="s">
        <v>201</v>
      </c>
      <c r="S959">
        <v>2</v>
      </c>
      <c r="T959">
        <v>1</v>
      </c>
      <c r="U959">
        <v>173160</v>
      </c>
      <c r="V959">
        <v>346320</v>
      </c>
    </row>
    <row r="960" spans="1:22">
      <c r="A960" t="s">
        <v>196</v>
      </c>
      <c r="B960">
        <v>31</v>
      </c>
      <c r="C960" t="s">
        <v>27</v>
      </c>
      <c r="D960">
        <v>100</v>
      </c>
      <c r="E960" t="s">
        <v>197</v>
      </c>
      <c r="F960">
        <v>1005</v>
      </c>
      <c r="G960" t="s">
        <v>27</v>
      </c>
      <c r="H960">
        <v>2005</v>
      </c>
      <c r="I960" t="s">
        <v>27</v>
      </c>
      <c r="J960">
        <v>3049</v>
      </c>
      <c r="K960" t="s">
        <v>838</v>
      </c>
      <c r="L960">
        <v>0</v>
      </c>
      <c r="N960" t="s">
        <v>804</v>
      </c>
      <c r="O960">
        <v>9</v>
      </c>
      <c r="P960">
        <v>1643</v>
      </c>
      <c r="Q960" t="s">
        <v>805</v>
      </c>
      <c r="R960" t="s">
        <v>201</v>
      </c>
      <c r="S960">
        <v>1</v>
      </c>
      <c r="T960">
        <v>1</v>
      </c>
      <c r="U960">
        <v>130128</v>
      </c>
      <c r="V960">
        <v>130128</v>
      </c>
    </row>
    <row r="961" spans="1:22">
      <c r="A961" t="s">
        <v>196</v>
      </c>
      <c r="B961">
        <v>31</v>
      </c>
      <c r="C961" t="s">
        <v>27</v>
      </c>
      <c r="D961">
        <v>100</v>
      </c>
      <c r="E961" t="s">
        <v>197</v>
      </c>
      <c r="F961">
        <v>1005</v>
      </c>
      <c r="G961" t="s">
        <v>27</v>
      </c>
      <c r="H961">
        <v>2005</v>
      </c>
      <c r="I961" t="s">
        <v>27</v>
      </c>
      <c r="J961">
        <v>3049</v>
      </c>
      <c r="K961" t="s">
        <v>838</v>
      </c>
      <c r="L961">
        <v>0</v>
      </c>
      <c r="N961" t="s">
        <v>804</v>
      </c>
      <c r="O961">
        <v>9</v>
      </c>
      <c r="P961">
        <v>1643</v>
      </c>
      <c r="Q961" t="s">
        <v>805</v>
      </c>
      <c r="R961" t="s">
        <v>201</v>
      </c>
      <c r="S961">
        <v>2</v>
      </c>
      <c r="T961">
        <v>1</v>
      </c>
      <c r="U961">
        <v>124224</v>
      </c>
      <c r="V961">
        <v>248448</v>
      </c>
    </row>
    <row r="962" spans="1:22">
      <c r="A962" t="s">
        <v>196</v>
      </c>
      <c r="B962">
        <v>31</v>
      </c>
      <c r="C962" t="s">
        <v>27</v>
      </c>
      <c r="D962">
        <v>100</v>
      </c>
      <c r="E962" t="s">
        <v>197</v>
      </c>
      <c r="F962">
        <v>1005</v>
      </c>
      <c r="G962" t="s">
        <v>27</v>
      </c>
      <c r="H962">
        <v>2005</v>
      </c>
      <c r="I962" t="s">
        <v>27</v>
      </c>
      <c r="J962">
        <v>3049</v>
      </c>
      <c r="K962" t="s">
        <v>838</v>
      </c>
      <c r="L962">
        <v>0</v>
      </c>
      <c r="N962" t="s">
        <v>804</v>
      </c>
      <c r="O962">
        <v>9</v>
      </c>
      <c r="P962">
        <v>1643</v>
      </c>
      <c r="Q962" t="s">
        <v>805</v>
      </c>
      <c r="R962" t="s">
        <v>201</v>
      </c>
      <c r="S962">
        <v>2</v>
      </c>
      <c r="T962">
        <v>1</v>
      </c>
      <c r="U962">
        <v>113208</v>
      </c>
      <c r="V962">
        <v>226416</v>
      </c>
    </row>
    <row r="963" spans="1:22">
      <c r="A963" t="s">
        <v>196</v>
      </c>
      <c r="B963">
        <v>31</v>
      </c>
      <c r="C963" t="s">
        <v>27</v>
      </c>
      <c r="D963">
        <v>100</v>
      </c>
      <c r="E963" t="s">
        <v>197</v>
      </c>
      <c r="F963">
        <v>1005</v>
      </c>
      <c r="G963" t="s">
        <v>27</v>
      </c>
      <c r="H963">
        <v>2005</v>
      </c>
      <c r="I963" t="s">
        <v>27</v>
      </c>
      <c r="J963">
        <v>3049</v>
      </c>
      <c r="K963" t="s">
        <v>838</v>
      </c>
      <c r="L963">
        <v>0</v>
      </c>
      <c r="N963" t="s">
        <v>804</v>
      </c>
      <c r="O963">
        <v>9</v>
      </c>
      <c r="P963">
        <v>1643</v>
      </c>
      <c r="Q963" t="s">
        <v>805</v>
      </c>
      <c r="R963" t="s">
        <v>201</v>
      </c>
      <c r="S963">
        <v>1</v>
      </c>
      <c r="T963">
        <v>1</v>
      </c>
      <c r="U963">
        <v>108084</v>
      </c>
      <c r="V963">
        <v>108084</v>
      </c>
    </row>
    <row r="964" spans="1:22">
      <c r="A964" t="s">
        <v>196</v>
      </c>
      <c r="B964">
        <v>31</v>
      </c>
      <c r="C964" t="s">
        <v>27</v>
      </c>
      <c r="D964">
        <v>100</v>
      </c>
      <c r="E964" t="s">
        <v>197</v>
      </c>
      <c r="F964">
        <v>1005</v>
      </c>
      <c r="G964" t="s">
        <v>27</v>
      </c>
      <c r="H964">
        <v>2005</v>
      </c>
      <c r="I964" t="s">
        <v>27</v>
      </c>
      <c r="J964">
        <v>3049</v>
      </c>
      <c r="K964" t="s">
        <v>838</v>
      </c>
      <c r="L964">
        <v>0</v>
      </c>
      <c r="N964" t="s">
        <v>804</v>
      </c>
      <c r="O964">
        <v>9</v>
      </c>
      <c r="P964">
        <v>1643</v>
      </c>
      <c r="Q964" t="s">
        <v>805</v>
      </c>
      <c r="R964" t="s">
        <v>201</v>
      </c>
      <c r="S964">
        <v>1</v>
      </c>
      <c r="T964">
        <v>1</v>
      </c>
      <c r="U964">
        <v>103176</v>
      </c>
      <c r="V964">
        <v>103176</v>
      </c>
    </row>
    <row r="965" spans="1:22">
      <c r="A965" t="s">
        <v>196</v>
      </c>
      <c r="B965">
        <v>31</v>
      </c>
      <c r="C965" t="s">
        <v>27</v>
      </c>
      <c r="D965">
        <v>100</v>
      </c>
      <c r="E965" t="s">
        <v>197</v>
      </c>
      <c r="F965">
        <v>1005</v>
      </c>
      <c r="G965" t="s">
        <v>27</v>
      </c>
      <c r="H965">
        <v>2005</v>
      </c>
      <c r="I965" t="s">
        <v>27</v>
      </c>
      <c r="J965">
        <v>3049</v>
      </c>
      <c r="K965" t="s">
        <v>838</v>
      </c>
      <c r="L965">
        <v>0</v>
      </c>
      <c r="N965" t="s">
        <v>804</v>
      </c>
      <c r="O965">
        <v>9</v>
      </c>
      <c r="P965">
        <v>1643</v>
      </c>
      <c r="Q965" t="s">
        <v>805</v>
      </c>
      <c r="R965" t="s">
        <v>201</v>
      </c>
      <c r="S965">
        <v>2</v>
      </c>
      <c r="T965">
        <v>1</v>
      </c>
      <c r="U965">
        <v>98484</v>
      </c>
      <c r="V965">
        <v>196968</v>
      </c>
    </row>
    <row r="966" spans="1:22">
      <c r="A966" t="s">
        <v>196</v>
      </c>
      <c r="B966">
        <v>31</v>
      </c>
      <c r="C966" t="s">
        <v>27</v>
      </c>
      <c r="D966">
        <v>100</v>
      </c>
      <c r="E966" t="s">
        <v>197</v>
      </c>
      <c r="F966">
        <v>1005</v>
      </c>
      <c r="G966" t="s">
        <v>27</v>
      </c>
      <c r="H966">
        <v>2005</v>
      </c>
      <c r="I966" t="s">
        <v>27</v>
      </c>
      <c r="J966">
        <v>3049</v>
      </c>
      <c r="K966" t="s">
        <v>838</v>
      </c>
      <c r="L966">
        <v>0</v>
      </c>
      <c r="N966" t="s">
        <v>804</v>
      </c>
      <c r="O966">
        <v>9</v>
      </c>
      <c r="P966">
        <v>1643</v>
      </c>
      <c r="Q966" t="s">
        <v>805</v>
      </c>
      <c r="R966" t="s">
        <v>201</v>
      </c>
      <c r="S966">
        <v>1</v>
      </c>
      <c r="T966">
        <v>1</v>
      </c>
      <c r="U966">
        <v>94044</v>
      </c>
      <c r="V966">
        <v>94044</v>
      </c>
    </row>
    <row r="967" spans="1:22">
      <c r="A967" t="s">
        <v>196</v>
      </c>
      <c r="B967">
        <v>31</v>
      </c>
      <c r="C967" t="s">
        <v>27</v>
      </c>
      <c r="D967">
        <v>100</v>
      </c>
      <c r="E967" t="s">
        <v>197</v>
      </c>
      <c r="F967">
        <v>1005</v>
      </c>
      <c r="G967" t="s">
        <v>27</v>
      </c>
      <c r="H967">
        <v>2005</v>
      </c>
      <c r="I967" t="s">
        <v>27</v>
      </c>
      <c r="J967">
        <v>3049</v>
      </c>
      <c r="K967" t="s">
        <v>838</v>
      </c>
      <c r="L967">
        <v>0</v>
      </c>
      <c r="N967" t="s">
        <v>804</v>
      </c>
      <c r="O967">
        <v>9</v>
      </c>
      <c r="P967">
        <v>1643</v>
      </c>
      <c r="Q967" t="s">
        <v>805</v>
      </c>
      <c r="R967" t="s">
        <v>201</v>
      </c>
      <c r="S967">
        <v>2</v>
      </c>
      <c r="T967">
        <v>1</v>
      </c>
      <c r="U967">
        <v>89784</v>
      </c>
      <c r="V967">
        <v>179568</v>
      </c>
    </row>
    <row r="968" spans="1:22">
      <c r="A968" t="s">
        <v>196</v>
      </c>
      <c r="B968">
        <v>31</v>
      </c>
      <c r="C968" t="s">
        <v>27</v>
      </c>
      <c r="D968">
        <v>100</v>
      </c>
      <c r="E968" t="s">
        <v>197</v>
      </c>
      <c r="F968">
        <v>1005</v>
      </c>
      <c r="G968" t="s">
        <v>27</v>
      </c>
      <c r="H968">
        <v>2005</v>
      </c>
      <c r="I968" t="s">
        <v>27</v>
      </c>
      <c r="J968">
        <v>3049</v>
      </c>
      <c r="K968" t="s">
        <v>838</v>
      </c>
      <c r="L968">
        <v>0</v>
      </c>
      <c r="N968" t="s">
        <v>804</v>
      </c>
      <c r="O968">
        <v>9</v>
      </c>
      <c r="P968">
        <v>1643</v>
      </c>
      <c r="Q968" t="s">
        <v>805</v>
      </c>
      <c r="R968" t="s">
        <v>201</v>
      </c>
      <c r="S968">
        <v>1</v>
      </c>
      <c r="T968">
        <v>1</v>
      </c>
      <c r="U968">
        <v>85704</v>
      </c>
      <c r="V968">
        <v>85704</v>
      </c>
    </row>
    <row r="969" spans="1:22">
      <c r="A969" t="s">
        <v>196</v>
      </c>
      <c r="B969">
        <v>31</v>
      </c>
      <c r="C969" t="s">
        <v>27</v>
      </c>
      <c r="D969">
        <v>100</v>
      </c>
      <c r="E969" t="s">
        <v>197</v>
      </c>
      <c r="F969">
        <v>1005</v>
      </c>
      <c r="G969" t="s">
        <v>27</v>
      </c>
      <c r="H969">
        <v>2005</v>
      </c>
      <c r="I969" t="s">
        <v>27</v>
      </c>
      <c r="J969">
        <v>3049</v>
      </c>
      <c r="K969" t="s">
        <v>838</v>
      </c>
      <c r="L969">
        <v>0</v>
      </c>
      <c r="N969" t="s">
        <v>804</v>
      </c>
      <c r="O969">
        <v>9</v>
      </c>
      <c r="P969">
        <v>1643</v>
      </c>
      <c r="Q969" t="s">
        <v>805</v>
      </c>
      <c r="R969" t="s">
        <v>201</v>
      </c>
      <c r="S969">
        <v>4</v>
      </c>
      <c r="T969">
        <v>1</v>
      </c>
      <c r="U969">
        <v>78108</v>
      </c>
      <c r="V969">
        <v>312432</v>
      </c>
    </row>
    <row r="970" spans="1:22">
      <c r="A970" t="s">
        <v>196</v>
      </c>
      <c r="B970">
        <v>31</v>
      </c>
      <c r="C970" t="s">
        <v>27</v>
      </c>
      <c r="D970">
        <v>100</v>
      </c>
      <c r="E970" t="s">
        <v>197</v>
      </c>
      <c r="F970">
        <v>1005</v>
      </c>
      <c r="G970" t="s">
        <v>27</v>
      </c>
      <c r="H970">
        <v>2005</v>
      </c>
      <c r="I970" t="s">
        <v>27</v>
      </c>
      <c r="J970">
        <v>3049</v>
      </c>
      <c r="K970" t="s">
        <v>838</v>
      </c>
      <c r="L970">
        <v>0</v>
      </c>
      <c r="N970" t="s">
        <v>798</v>
      </c>
      <c r="O970">
        <v>9</v>
      </c>
      <c r="P970">
        <v>1641</v>
      </c>
      <c r="Q970" t="s">
        <v>799</v>
      </c>
      <c r="R970" t="s">
        <v>201</v>
      </c>
      <c r="S970">
        <v>1</v>
      </c>
      <c r="T970">
        <v>1</v>
      </c>
      <c r="U970">
        <v>130128</v>
      </c>
      <c r="V970">
        <v>130128</v>
      </c>
    </row>
    <row r="971" spans="1:22">
      <c r="A971" t="s">
        <v>196</v>
      </c>
      <c r="B971">
        <v>31</v>
      </c>
      <c r="C971" t="s">
        <v>27</v>
      </c>
      <c r="D971">
        <v>100</v>
      </c>
      <c r="E971" t="s">
        <v>197</v>
      </c>
      <c r="F971">
        <v>1005</v>
      </c>
      <c r="G971" t="s">
        <v>27</v>
      </c>
      <c r="H971">
        <v>2005</v>
      </c>
      <c r="I971" t="s">
        <v>27</v>
      </c>
      <c r="J971">
        <v>3049</v>
      </c>
      <c r="K971" t="s">
        <v>838</v>
      </c>
      <c r="L971">
        <v>0</v>
      </c>
      <c r="N971" t="s">
        <v>798</v>
      </c>
      <c r="O971">
        <v>9</v>
      </c>
      <c r="P971">
        <v>1641</v>
      </c>
      <c r="Q971" t="s">
        <v>799</v>
      </c>
      <c r="R971" t="s">
        <v>201</v>
      </c>
      <c r="S971">
        <v>2</v>
      </c>
      <c r="T971">
        <v>1</v>
      </c>
      <c r="U971">
        <v>124224</v>
      </c>
      <c r="V971">
        <v>248448</v>
      </c>
    </row>
    <row r="972" spans="1:22">
      <c r="A972" t="s">
        <v>196</v>
      </c>
      <c r="B972">
        <v>31</v>
      </c>
      <c r="C972" t="s">
        <v>27</v>
      </c>
      <c r="D972">
        <v>100</v>
      </c>
      <c r="E972" t="s">
        <v>197</v>
      </c>
      <c r="F972">
        <v>1005</v>
      </c>
      <c r="G972" t="s">
        <v>27</v>
      </c>
      <c r="H972">
        <v>2005</v>
      </c>
      <c r="I972" t="s">
        <v>27</v>
      </c>
      <c r="J972">
        <v>3049</v>
      </c>
      <c r="K972" t="s">
        <v>838</v>
      </c>
      <c r="L972">
        <v>0</v>
      </c>
      <c r="N972" t="s">
        <v>839</v>
      </c>
      <c r="O972">
        <v>9</v>
      </c>
      <c r="P972">
        <v>1631</v>
      </c>
      <c r="Q972" t="s">
        <v>840</v>
      </c>
      <c r="R972" t="s">
        <v>713</v>
      </c>
      <c r="S972">
        <v>5250</v>
      </c>
      <c r="T972">
        <v>0</v>
      </c>
      <c r="U972">
        <v>17</v>
      </c>
      <c r="V972">
        <v>89250</v>
      </c>
    </row>
    <row r="973" spans="1:22">
      <c r="A973" t="s">
        <v>196</v>
      </c>
      <c r="B973">
        <v>31</v>
      </c>
      <c r="C973" t="s">
        <v>27</v>
      </c>
      <c r="D973">
        <v>100</v>
      </c>
      <c r="E973" t="s">
        <v>197</v>
      </c>
      <c r="F973">
        <v>1005</v>
      </c>
      <c r="G973" t="s">
        <v>27</v>
      </c>
      <c r="H973">
        <v>2005</v>
      </c>
      <c r="I973" t="s">
        <v>27</v>
      </c>
      <c r="J973">
        <v>3049</v>
      </c>
      <c r="K973" t="s">
        <v>838</v>
      </c>
      <c r="L973">
        <v>0</v>
      </c>
      <c r="N973" t="s">
        <v>839</v>
      </c>
      <c r="O973">
        <v>9</v>
      </c>
      <c r="P973">
        <v>1631</v>
      </c>
      <c r="Q973" t="s">
        <v>840</v>
      </c>
      <c r="R973" t="s">
        <v>713</v>
      </c>
      <c r="S973">
        <v>4858</v>
      </c>
      <c r="T973">
        <v>0</v>
      </c>
      <c r="U973">
        <v>15.8</v>
      </c>
      <c r="V973">
        <v>76756</v>
      </c>
    </row>
    <row r="974" spans="1:22">
      <c r="A974" t="s">
        <v>196</v>
      </c>
      <c r="B974">
        <v>31</v>
      </c>
      <c r="C974" t="s">
        <v>27</v>
      </c>
      <c r="D974">
        <v>100</v>
      </c>
      <c r="E974" t="s">
        <v>197</v>
      </c>
      <c r="F974">
        <v>1005</v>
      </c>
      <c r="G974" t="s">
        <v>27</v>
      </c>
      <c r="H974">
        <v>2005</v>
      </c>
      <c r="I974" t="s">
        <v>27</v>
      </c>
      <c r="J974">
        <v>3049</v>
      </c>
      <c r="K974" t="s">
        <v>838</v>
      </c>
      <c r="L974">
        <v>0</v>
      </c>
      <c r="N974" t="s">
        <v>341</v>
      </c>
      <c r="O974">
        <v>1</v>
      </c>
      <c r="P974">
        <v>1617</v>
      </c>
      <c r="Q974" t="s">
        <v>800</v>
      </c>
      <c r="R974" t="s">
        <v>201</v>
      </c>
      <c r="S974">
        <v>1</v>
      </c>
      <c r="T974">
        <v>1</v>
      </c>
      <c r="U974">
        <v>77640</v>
      </c>
      <c r="V974">
        <v>77640</v>
      </c>
    </row>
    <row r="975" spans="1:22">
      <c r="A975" t="s">
        <v>196</v>
      </c>
      <c r="B975">
        <v>31</v>
      </c>
      <c r="C975" t="s">
        <v>27</v>
      </c>
      <c r="D975">
        <v>100</v>
      </c>
      <c r="E975" t="s">
        <v>197</v>
      </c>
      <c r="F975">
        <v>1005</v>
      </c>
      <c r="G975" t="s">
        <v>27</v>
      </c>
      <c r="H975">
        <v>2005</v>
      </c>
      <c r="I975" t="s">
        <v>27</v>
      </c>
      <c r="J975">
        <v>3049</v>
      </c>
      <c r="K975" t="s">
        <v>838</v>
      </c>
      <c r="L975">
        <v>0</v>
      </c>
      <c r="N975" t="s">
        <v>341</v>
      </c>
      <c r="O975">
        <v>1</v>
      </c>
      <c r="P975">
        <v>1617</v>
      </c>
      <c r="Q975" t="s">
        <v>800</v>
      </c>
      <c r="R975" t="s">
        <v>201</v>
      </c>
      <c r="S975">
        <v>1</v>
      </c>
      <c r="T975">
        <v>1</v>
      </c>
      <c r="U975">
        <v>70752</v>
      </c>
      <c r="V975">
        <v>70752</v>
      </c>
    </row>
    <row r="976" spans="1:22">
      <c r="A976" t="s">
        <v>196</v>
      </c>
      <c r="B976">
        <v>31</v>
      </c>
      <c r="C976" t="s">
        <v>27</v>
      </c>
      <c r="D976">
        <v>100</v>
      </c>
      <c r="E976" t="s">
        <v>197</v>
      </c>
      <c r="F976">
        <v>1005</v>
      </c>
      <c r="G976" t="s">
        <v>27</v>
      </c>
      <c r="H976">
        <v>2005</v>
      </c>
      <c r="I976" t="s">
        <v>27</v>
      </c>
      <c r="J976">
        <v>3049</v>
      </c>
      <c r="K976" t="s">
        <v>838</v>
      </c>
      <c r="L976">
        <v>0</v>
      </c>
      <c r="N976" t="s">
        <v>351</v>
      </c>
      <c r="O976">
        <v>1</v>
      </c>
      <c r="P976">
        <v>863</v>
      </c>
      <c r="Q976" t="s">
        <v>834</v>
      </c>
      <c r="R976" t="s">
        <v>201</v>
      </c>
      <c r="S976">
        <v>1</v>
      </c>
      <c r="T976">
        <v>1</v>
      </c>
      <c r="U976">
        <v>64488</v>
      </c>
      <c r="V976">
        <v>64488</v>
      </c>
    </row>
    <row r="977" spans="1:22">
      <c r="A977" t="s">
        <v>196</v>
      </c>
      <c r="B977">
        <v>31</v>
      </c>
      <c r="C977" t="s">
        <v>27</v>
      </c>
      <c r="D977">
        <v>100</v>
      </c>
      <c r="E977" t="s">
        <v>197</v>
      </c>
      <c r="F977">
        <v>1005</v>
      </c>
      <c r="G977" t="s">
        <v>27</v>
      </c>
      <c r="H977">
        <v>2005</v>
      </c>
      <c r="I977" t="s">
        <v>27</v>
      </c>
      <c r="J977">
        <v>3049</v>
      </c>
      <c r="K977" t="s">
        <v>838</v>
      </c>
      <c r="L977">
        <v>0</v>
      </c>
      <c r="N977" t="s">
        <v>351</v>
      </c>
      <c r="O977">
        <v>1</v>
      </c>
      <c r="P977" t="s">
        <v>352</v>
      </c>
      <c r="Q977" t="s">
        <v>353</v>
      </c>
      <c r="R977" t="s">
        <v>201</v>
      </c>
      <c r="S977">
        <v>1</v>
      </c>
      <c r="T977">
        <v>1</v>
      </c>
      <c r="U977">
        <v>98928</v>
      </c>
      <c r="V977">
        <v>98928</v>
      </c>
    </row>
    <row r="978" spans="1:22">
      <c r="A978" t="s">
        <v>196</v>
      </c>
      <c r="B978">
        <v>31</v>
      </c>
      <c r="C978" t="s">
        <v>27</v>
      </c>
      <c r="D978">
        <v>100</v>
      </c>
      <c r="E978" t="s">
        <v>197</v>
      </c>
      <c r="F978">
        <v>1005</v>
      </c>
      <c r="G978" t="s">
        <v>27</v>
      </c>
      <c r="H978">
        <v>2005</v>
      </c>
      <c r="I978" t="s">
        <v>27</v>
      </c>
      <c r="J978">
        <v>3049</v>
      </c>
      <c r="K978" t="s">
        <v>838</v>
      </c>
      <c r="L978">
        <v>0</v>
      </c>
      <c r="N978" t="s">
        <v>622</v>
      </c>
      <c r="O978">
        <v>1</v>
      </c>
      <c r="P978" t="s">
        <v>667</v>
      </c>
      <c r="Q978" t="s">
        <v>205</v>
      </c>
      <c r="R978" t="s">
        <v>201</v>
      </c>
      <c r="S978">
        <v>2</v>
      </c>
      <c r="T978">
        <v>1</v>
      </c>
      <c r="U978">
        <v>90144</v>
      </c>
      <c r="V978">
        <v>180288</v>
      </c>
    </row>
    <row r="979" spans="1:22">
      <c r="A979" t="s">
        <v>196</v>
      </c>
      <c r="B979">
        <v>31</v>
      </c>
      <c r="C979" t="s">
        <v>27</v>
      </c>
      <c r="D979">
        <v>100</v>
      </c>
      <c r="E979" t="s">
        <v>197</v>
      </c>
      <c r="F979">
        <v>1005</v>
      </c>
      <c r="G979" t="s">
        <v>27</v>
      </c>
      <c r="H979">
        <v>2005</v>
      </c>
      <c r="I979" t="s">
        <v>27</v>
      </c>
      <c r="J979">
        <v>3049</v>
      </c>
      <c r="K979" t="s">
        <v>838</v>
      </c>
      <c r="L979">
        <v>0</v>
      </c>
      <c r="N979" t="s">
        <v>622</v>
      </c>
      <c r="O979">
        <v>1</v>
      </c>
      <c r="P979" t="s">
        <v>667</v>
      </c>
      <c r="Q979" t="s">
        <v>205</v>
      </c>
      <c r="R979" t="s">
        <v>201</v>
      </c>
      <c r="S979">
        <v>1</v>
      </c>
      <c r="T979">
        <v>1</v>
      </c>
      <c r="U979">
        <v>78432</v>
      </c>
      <c r="V979">
        <v>78432</v>
      </c>
    </row>
    <row r="980" spans="1:22">
      <c r="A980" t="s">
        <v>196</v>
      </c>
      <c r="B980">
        <v>31</v>
      </c>
      <c r="C980" t="s">
        <v>27</v>
      </c>
      <c r="D980">
        <v>100</v>
      </c>
      <c r="E980" t="s">
        <v>197</v>
      </c>
      <c r="F980">
        <v>1005</v>
      </c>
      <c r="G980" t="s">
        <v>27</v>
      </c>
      <c r="H980">
        <v>2005</v>
      </c>
      <c r="I980" t="s">
        <v>27</v>
      </c>
      <c r="J980">
        <v>3049</v>
      </c>
      <c r="K980" t="s">
        <v>838</v>
      </c>
      <c r="L980">
        <v>0</v>
      </c>
      <c r="N980" t="s">
        <v>622</v>
      </c>
      <c r="O980">
        <v>1</v>
      </c>
      <c r="P980" t="s">
        <v>667</v>
      </c>
      <c r="Q980" t="s">
        <v>205</v>
      </c>
      <c r="R980" t="s">
        <v>201</v>
      </c>
      <c r="S980">
        <v>1</v>
      </c>
      <c r="T980">
        <v>1</v>
      </c>
      <c r="U980">
        <v>51936</v>
      </c>
      <c r="V980">
        <v>51936</v>
      </c>
    </row>
    <row r="981" spans="1:22">
      <c r="A981" t="s">
        <v>196</v>
      </c>
      <c r="B981">
        <v>31</v>
      </c>
      <c r="C981" t="s">
        <v>27</v>
      </c>
      <c r="D981">
        <v>100</v>
      </c>
      <c r="E981" t="s">
        <v>197</v>
      </c>
      <c r="F981">
        <v>1005</v>
      </c>
      <c r="G981" t="s">
        <v>27</v>
      </c>
      <c r="H981">
        <v>2005</v>
      </c>
      <c r="I981" t="s">
        <v>27</v>
      </c>
      <c r="J981">
        <v>3049</v>
      </c>
      <c r="K981" t="s">
        <v>838</v>
      </c>
      <c r="L981">
        <v>0</v>
      </c>
      <c r="N981" t="s">
        <v>341</v>
      </c>
      <c r="O981">
        <v>1</v>
      </c>
      <c r="P981">
        <v>308</v>
      </c>
      <c r="Q981" t="s">
        <v>355</v>
      </c>
      <c r="R981" t="s">
        <v>201</v>
      </c>
      <c r="S981">
        <v>1</v>
      </c>
      <c r="T981">
        <v>1</v>
      </c>
      <c r="U981">
        <v>119100</v>
      </c>
      <c r="V981">
        <v>119100</v>
      </c>
    </row>
    <row r="982" spans="1:22">
      <c r="A982" t="s">
        <v>196</v>
      </c>
      <c r="B982">
        <v>31</v>
      </c>
      <c r="C982" t="s">
        <v>27</v>
      </c>
      <c r="D982">
        <v>100</v>
      </c>
      <c r="E982" t="s">
        <v>197</v>
      </c>
      <c r="F982">
        <v>1005</v>
      </c>
      <c r="G982" t="s">
        <v>27</v>
      </c>
      <c r="H982">
        <v>2005</v>
      </c>
      <c r="I982" t="s">
        <v>27</v>
      </c>
      <c r="J982">
        <v>3049</v>
      </c>
      <c r="K982" t="s">
        <v>838</v>
      </c>
      <c r="L982">
        <v>0</v>
      </c>
      <c r="N982" t="s">
        <v>341</v>
      </c>
      <c r="O982">
        <v>1</v>
      </c>
      <c r="P982">
        <v>308</v>
      </c>
      <c r="Q982" t="s">
        <v>355</v>
      </c>
      <c r="R982" t="s">
        <v>201</v>
      </c>
      <c r="S982">
        <v>1</v>
      </c>
      <c r="T982">
        <v>1</v>
      </c>
      <c r="U982">
        <v>81324</v>
      </c>
      <c r="V982">
        <v>81324</v>
      </c>
    </row>
    <row r="983" spans="1:22">
      <c r="A983" t="s">
        <v>196</v>
      </c>
      <c r="B983">
        <v>31</v>
      </c>
      <c r="C983" t="s">
        <v>27</v>
      </c>
      <c r="D983">
        <v>100</v>
      </c>
      <c r="E983" t="s">
        <v>197</v>
      </c>
      <c r="F983">
        <v>1005</v>
      </c>
      <c r="G983" t="s">
        <v>27</v>
      </c>
      <c r="H983">
        <v>2005</v>
      </c>
      <c r="I983" t="s">
        <v>27</v>
      </c>
      <c r="J983">
        <v>3049</v>
      </c>
      <c r="K983" t="s">
        <v>838</v>
      </c>
      <c r="L983">
        <v>0</v>
      </c>
      <c r="N983" t="s">
        <v>199</v>
      </c>
      <c r="O983">
        <v>0</v>
      </c>
      <c r="P983">
        <v>15</v>
      </c>
      <c r="Q983" t="s">
        <v>264</v>
      </c>
      <c r="R983" t="s">
        <v>201</v>
      </c>
      <c r="S983">
        <v>0</v>
      </c>
      <c r="T983">
        <v>0</v>
      </c>
      <c r="U983">
        <v>39748</v>
      </c>
      <c r="V983">
        <v>39748</v>
      </c>
    </row>
    <row r="984" spans="1:22">
      <c r="A984" t="s">
        <v>196</v>
      </c>
      <c r="B984">
        <v>31</v>
      </c>
      <c r="C984" t="s">
        <v>27</v>
      </c>
      <c r="D984">
        <v>100</v>
      </c>
      <c r="E984" t="s">
        <v>197</v>
      </c>
      <c r="F984">
        <v>1005</v>
      </c>
      <c r="G984" t="s">
        <v>27</v>
      </c>
      <c r="H984">
        <v>2005</v>
      </c>
      <c r="I984" t="s">
        <v>27</v>
      </c>
      <c r="J984">
        <v>3060</v>
      </c>
      <c r="K984" t="s">
        <v>841</v>
      </c>
      <c r="L984">
        <v>0</v>
      </c>
      <c r="N984" t="s">
        <v>341</v>
      </c>
      <c r="O984">
        <v>1</v>
      </c>
      <c r="P984">
        <v>1682</v>
      </c>
      <c r="Q984" t="s">
        <v>842</v>
      </c>
      <c r="R984" t="s">
        <v>201</v>
      </c>
      <c r="S984">
        <v>1</v>
      </c>
      <c r="T984">
        <v>1</v>
      </c>
      <c r="U984">
        <v>68616</v>
      </c>
      <c r="V984">
        <v>68616</v>
      </c>
    </row>
    <row r="985" spans="1:22">
      <c r="A985" t="s">
        <v>196</v>
      </c>
      <c r="B985">
        <v>31</v>
      </c>
      <c r="C985" t="s">
        <v>27</v>
      </c>
      <c r="D985">
        <v>100</v>
      </c>
      <c r="E985" t="s">
        <v>197</v>
      </c>
      <c r="F985">
        <v>1005</v>
      </c>
      <c r="G985" t="s">
        <v>27</v>
      </c>
      <c r="H985">
        <v>2005</v>
      </c>
      <c r="I985" t="s">
        <v>27</v>
      </c>
      <c r="J985">
        <v>3060</v>
      </c>
      <c r="K985" t="s">
        <v>841</v>
      </c>
      <c r="L985">
        <v>0</v>
      </c>
      <c r="N985" t="s">
        <v>794</v>
      </c>
      <c r="O985">
        <v>9</v>
      </c>
      <c r="P985">
        <v>1673</v>
      </c>
      <c r="Q985" t="s">
        <v>795</v>
      </c>
      <c r="R985" t="s">
        <v>201</v>
      </c>
      <c r="S985">
        <v>1</v>
      </c>
      <c r="T985">
        <v>1</v>
      </c>
      <c r="U985">
        <v>85704</v>
      </c>
      <c r="V985">
        <v>85704</v>
      </c>
    </row>
    <row r="986" spans="1:22">
      <c r="A986" t="s">
        <v>196</v>
      </c>
      <c r="B986">
        <v>31</v>
      </c>
      <c r="C986" t="s">
        <v>27</v>
      </c>
      <c r="D986">
        <v>100</v>
      </c>
      <c r="E986" t="s">
        <v>197</v>
      </c>
      <c r="F986">
        <v>1005</v>
      </c>
      <c r="G986" t="s">
        <v>27</v>
      </c>
      <c r="H986">
        <v>2005</v>
      </c>
      <c r="I986" t="s">
        <v>27</v>
      </c>
      <c r="J986">
        <v>3060</v>
      </c>
      <c r="K986" t="s">
        <v>841</v>
      </c>
      <c r="L986">
        <v>0</v>
      </c>
      <c r="N986" t="s">
        <v>785</v>
      </c>
      <c r="O986">
        <v>9</v>
      </c>
      <c r="P986">
        <v>1650</v>
      </c>
      <c r="Q986" t="s">
        <v>786</v>
      </c>
      <c r="R986" t="s">
        <v>201</v>
      </c>
      <c r="S986">
        <v>1</v>
      </c>
      <c r="T986">
        <v>1</v>
      </c>
      <c r="U986">
        <v>192852</v>
      </c>
      <c r="V986">
        <v>192852</v>
      </c>
    </row>
    <row r="987" spans="1:22">
      <c r="A987" t="s">
        <v>196</v>
      </c>
      <c r="B987">
        <v>31</v>
      </c>
      <c r="C987" t="s">
        <v>27</v>
      </c>
      <c r="D987">
        <v>100</v>
      </c>
      <c r="E987" t="s">
        <v>197</v>
      </c>
      <c r="F987">
        <v>1005</v>
      </c>
      <c r="G987" t="s">
        <v>27</v>
      </c>
      <c r="H987">
        <v>2005</v>
      </c>
      <c r="I987" t="s">
        <v>27</v>
      </c>
      <c r="J987">
        <v>3060</v>
      </c>
      <c r="K987" t="s">
        <v>841</v>
      </c>
      <c r="L987">
        <v>0</v>
      </c>
      <c r="N987" t="s">
        <v>199</v>
      </c>
      <c r="O987">
        <v>0</v>
      </c>
      <c r="P987">
        <v>15</v>
      </c>
      <c r="Q987" t="s">
        <v>264</v>
      </c>
      <c r="R987" t="s">
        <v>201</v>
      </c>
      <c r="S987">
        <v>0</v>
      </c>
      <c r="T987">
        <v>0</v>
      </c>
      <c r="U987">
        <v>6850</v>
      </c>
      <c r="V987">
        <v>6850</v>
      </c>
    </row>
    <row r="988" spans="1:22">
      <c r="A988" t="s">
        <v>196</v>
      </c>
      <c r="B988">
        <v>31</v>
      </c>
      <c r="C988" t="s">
        <v>27</v>
      </c>
      <c r="D988">
        <v>100</v>
      </c>
      <c r="E988" t="s">
        <v>197</v>
      </c>
      <c r="F988">
        <v>1005</v>
      </c>
      <c r="G988" t="s">
        <v>27</v>
      </c>
      <c r="H988">
        <v>2005</v>
      </c>
      <c r="I988" t="s">
        <v>27</v>
      </c>
      <c r="J988">
        <v>3130</v>
      </c>
      <c r="K988" t="s">
        <v>843</v>
      </c>
      <c r="L988">
        <v>0</v>
      </c>
      <c r="N988" t="s">
        <v>794</v>
      </c>
      <c r="O988">
        <v>9</v>
      </c>
      <c r="P988">
        <v>1673</v>
      </c>
      <c r="Q988" t="s">
        <v>795</v>
      </c>
      <c r="R988" t="s">
        <v>201</v>
      </c>
      <c r="S988">
        <v>1</v>
      </c>
      <c r="T988">
        <v>1</v>
      </c>
      <c r="U988">
        <v>130128</v>
      </c>
      <c r="V988">
        <v>130128</v>
      </c>
    </row>
    <row r="989" spans="1:22">
      <c r="A989" t="s">
        <v>196</v>
      </c>
      <c r="B989">
        <v>31</v>
      </c>
      <c r="C989" t="s">
        <v>27</v>
      </c>
      <c r="D989">
        <v>100</v>
      </c>
      <c r="E989" t="s">
        <v>197</v>
      </c>
      <c r="F989">
        <v>1005</v>
      </c>
      <c r="G989" t="s">
        <v>27</v>
      </c>
      <c r="H989">
        <v>2005</v>
      </c>
      <c r="I989" t="s">
        <v>27</v>
      </c>
      <c r="J989">
        <v>3130</v>
      </c>
      <c r="K989" t="s">
        <v>843</v>
      </c>
      <c r="L989">
        <v>0</v>
      </c>
      <c r="N989" t="s">
        <v>794</v>
      </c>
      <c r="O989">
        <v>9</v>
      </c>
      <c r="P989">
        <v>1673</v>
      </c>
      <c r="Q989" t="s">
        <v>795</v>
      </c>
      <c r="R989" t="s">
        <v>201</v>
      </c>
      <c r="S989">
        <v>1</v>
      </c>
      <c r="T989">
        <v>1</v>
      </c>
      <c r="U989">
        <v>124224</v>
      </c>
      <c r="V989">
        <v>124224</v>
      </c>
    </row>
    <row r="990" spans="1:22">
      <c r="A990" t="s">
        <v>196</v>
      </c>
      <c r="B990">
        <v>31</v>
      </c>
      <c r="C990" t="s">
        <v>27</v>
      </c>
      <c r="D990">
        <v>100</v>
      </c>
      <c r="E990" t="s">
        <v>197</v>
      </c>
      <c r="F990">
        <v>1005</v>
      </c>
      <c r="G990" t="s">
        <v>27</v>
      </c>
      <c r="H990">
        <v>2005</v>
      </c>
      <c r="I990" t="s">
        <v>27</v>
      </c>
      <c r="J990">
        <v>3130</v>
      </c>
      <c r="K990" t="s">
        <v>843</v>
      </c>
      <c r="L990">
        <v>0</v>
      </c>
      <c r="N990" t="s">
        <v>794</v>
      </c>
      <c r="O990">
        <v>9</v>
      </c>
      <c r="P990">
        <v>1673</v>
      </c>
      <c r="Q990" t="s">
        <v>795</v>
      </c>
      <c r="R990" t="s">
        <v>201</v>
      </c>
      <c r="S990">
        <v>4</v>
      </c>
      <c r="T990">
        <v>1</v>
      </c>
      <c r="U990">
        <v>118596</v>
      </c>
      <c r="V990">
        <v>474384</v>
      </c>
    </row>
    <row r="991" spans="1:22">
      <c r="A991" t="s">
        <v>196</v>
      </c>
      <c r="B991">
        <v>31</v>
      </c>
      <c r="C991" t="s">
        <v>27</v>
      </c>
      <c r="D991">
        <v>100</v>
      </c>
      <c r="E991" t="s">
        <v>197</v>
      </c>
      <c r="F991">
        <v>1005</v>
      </c>
      <c r="G991" t="s">
        <v>27</v>
      </c>
      <c r="H991">
        <v>2005</v>
      </c>
      <c r="I991" t="s">
        <v>27</v>
      </c>
      <c r="J991">
        <v>3130</v>
      </c>
      <c r="K991" t="s">
        <v>843</v>
      </c>
      <c r="L991">
        <v>0</v>
      </c>
      <c r="N991" t="s">
        <v>794</v>
      </c>
      <c r="O991">
        <v>9</v>
      </c>
      <c r="P991">
        <v>1673</v>
      </c>
      <c r="Q991" t="s">
        <v>795</v>
      </c>
      <c r="R991" t="s">
        <v>201</v>
      </c>
      <c r="S991">
        <v>2</v>
      </c>
      <c r="T991">
        <v>1</v>
      </c>
      <c r="U991">
        <v>113208</v>
      </c>
      <c r="V991">
        <v>226416</v>
      </c>
    </row>
    <row r="992" spans="1:22">
      <c r="A992" t="s">
        <v>196</v>
      </c>
      <c r="B992">
        <v>31</v>
      </c>
      <c r="C992" t="s">
        <v>27</v>
      </c>
      <c r="D992">
        <v>100</v>
      </c>
      <c r="E992" t="s">
        <v>197</v>
      </c>
      <c r="F992">
        <v>1005</v>
      </c>
      <c r="G992" t="s">
        <v>27</v>
      </c>
      <c r="H992">
        <v>2005</v>
      </c>
      <c r="I992" t="s">
        <v>27</v>
      </c>
      <c r="J992">
        <v>3130</v>
      </c>
      <c r="K992" t="s">
        <v>843</v>
      </c>
      <c r="L992">
        <v>0</v>
      </c>
      <c r="N992" t="s">
        <v>794</v>
      </c>
      <c r="O992">
        <v>9</v>
      </c>
      <c r="P992">
        <v>1673</v>
      </c>
      <c r="Q992" t="s">
        <v>795</v>
      </c>
      <c r="R992" t="s">
        <v>201</v>
      </c>
      <c r="S992">
        <v>2</v>
      </c>
      <c r="T992">
        <v>1</v>
      </c>
      <c r="U992">
        <v>103176</v>
      </c>
      <c r="V992">
        <v>206352</v>
      </c>
    </row>
    <row r="993" spans="1:22">
      <c r="A993" t="s">
        <v>196</v>
      </c>
      <c r="B993">
        <v>31</v>
      </c>
      <c r="C993" t="s">
        <v>27</v>
      </c>
      <c r="D993">
        <v>100</v>
      </c>
      <c r="E993" t="s">
        <v>197</v>
      </c>
      <c r="F993">
        <v>1005</v>
      </c>
      <c r="G993" t="s">
        <v>27</v>
      </c>
      <c r="H993">
        <v>2005</v>
      </c>
      <c r="I993" t="s">
        <v>27</v>
      </c>
      <c r="J993">
        <v>3130</v>
      </c>
      <c r="K993" t="s">
        <v>843</v>
      </c>
      <c r="L993">
        <v>0</v>
      </c>
      <c r="N993" t="s">
        <v>794</v>
      </c>
      <c r="O993">
        <v>9</v>
      </c>
      <c r="P993">
        <v>1673</v>
      </c>
      <c r="Q993" t="s">
        <v>795</v>
      </c>
      <c r="R993" t="s">
        <v>201</v>
      </c>
      <c r="S993">
        <v>1</v>
      </c>
      <c r="T993">
        <v>1</v>
      </c>
      <c r="U993">
        <v>98484</v>
      </c>
      <c r="V993">
        <v>98484</v>
      </c>
    </row>
    <row r="994" spans="1:22">
      <c r="A994" t="s">
        <v>196</v>
      </c>
      <c r="B994">
        <v>31</v>
      </c>
      <c r="C994" t="s">
        <v>27</v>
      </c>
      <c r="D994">
        <v>100</v>
      </c>
      <c r="E994" t="s">
        <v>197</v>
      </c>
      <c r="F994">
        <v>1005</v>
      </c>
      <c r="G994" t="s">
        <v>27</v>
      </c>
      <c r="H994">
        <v>2005</v>
      </c>
      <c r="I994" t="s">
        <v>27</v>
      </c>
      <c r="J994">
        <v>3130</v>
      </c>
      <c r="K994" t="s">
        <v>843</v>
      </c>
      <c r="L994">
        <v>0</v>
      </c>
      <c r="N994" t="s">
        <v>794</v>
      </c>
      <c r="O994">
        <v>9</v>
      </c>
      <c r="P994">
        <v>1673</v>
      </c>
      <c r="Q994" t="s">
        <v>795</v>
      </c>
      <c r="R994" t="s">
        <v>201</v>
      </c>
      <c r="S994">
        <v>1</v>
      </c>
      <c r="T994">
        <v>1</v>
      </c>
      <c r="U994">
        <v>94044</v>
      </c>
      <c r="V994">
        <v>94044</v>
      </c>
    </row>
    <row r="995" spans="1:22">
      <c r="A995" t="s">
        <v>196</v>
      </c>
      <c r="B995">
        <v>31</v>
      </c>
      <c r="C995" t="s">
        <v>27</v>
      </c>
      <c r="D995">
        <v>100</v>
      </c>
      <c r="E995" t="s">
        <v>197</v>
      </c>
      <c r="F995">
        <v>1005</v>
      </c>
      <c r="G995" t="s">
        <v>27</v>
      </c>
      <c r="H995">
        <v>2005</v>
      </c>
      <c r="I995" t="s">
        <v>27</v>
      </c>
      <c r="J995">
        <v>3130</v>
      </c>
      <c r="K995" t="s">
        <v>843</v>
      </c>
      <c r="L995">
        <v>0</v>
      </c>
      <c r="N995" t="s">
        <v>794</v>
      </c>
      <c r="O995">
        <v>9</v>
      </c>
      <c r="P995">
        <v>1673</v>
      </c>
      <c r="Q995" t="s">
        <v>795</v>
      </c>
      <c r="R995" t="s">
        <v>201</v>
      </c>
      <c r="S995">
        <v>1</v>
      </c>
      <c r="T995">
        <v>1</v>
      </c>
      <c r="U995">
        <v>85704</v>
      </c>
      <c r="V995">
        <v>85704</v>
      </c>
    </row>
    <row r="996" spans="1:22">
      <c r="A996" t="s">
        <v>196</v>
      </c>
      <c r="B996">
        <v>31</v>
      </c>
      <c r="C996" t="s">
        <v>27</v>
      </c>
      <c r="D996">
        <v>100</v>
      </c>
      <c r="E996" t="s">
        <v>197</v>
      </c>
      <c r="F996">
        <v>1005</v>
      </c>
      <c r="G996" t="s">
        <v>27</v>
      </c>
      <c r="H996">
        <v>2005</v>
      </c>
      <c r="I996" t="s">
        <v>27</v>
      </c>
      <c r="J996">
        <v>3130</v>
      </c>
      <c r="K996" t="s">
        <v>843</v>
      </c>
      <c r="L996">
        <v>0</v>
      </c>
      <c r="N996" t="s">
        <v>796</v>
      </c>
      <c r="O996">
        <v>9</v>
      </c>
      <c r="P996">
        <v>1652</v>
      </c>
      <c r="Q996" t="s">
        <v>797</v>
      </c>
      <c r="R996" t="s">
        <v>201</v>
      </c>
      <c r="S996">
        <v>1</v>
      </c>
      <c r="T996">
        <v>1</v>
      </c>
      <c r="U996">
        <v>177612</v>
      </c>
      <c r="V996">
        <v>177612</v>
      </c>
    </row>
    <row r="997" spans="1:22">
      <c r="A997" t="s">
        <v>196</v>
      </c>
      <c r="B997">
        <v>31</v>
      </c>
      <c r="C997" t="s">
        <v>27</v>
      </c>
      <c r="D997">
        <v>100</v>
      </c>
      <c r="E997" t="s">
        <v>197</v>
      </c>
      <c r="F997">
        <v>1005</v>
      </c>
      <c r="G997" t="s">
        <v>27</v>
      </c>
      <c r="H997">
        <v>2005</v>
      </c>
      <c r="I997" t="s">
        <v>27</v>
      </c>
      <c r="J997">
        <v>3130</v>
      </c>
      <c r="K997" t="s">
        <v>843</v>
      </c>
      <c r="L997">
        <v>0</v>
      </c>
      <c r="N997" t="s">
        <v>785</v>
      </c>
      <c r="O997">
        <v>9</v>
      </c>
      <c r="P997">
        <v>1650</v>
      </c>
      <c r="Q997" t="s">
        <v>786</v>
      </c>
      <c r="R997" t="s">
        <v>201</v>
      </c>
      <c r="S997">
        <v>1</v>
      </c>
      <c r="T997">
        <v>1</v>
      </c>
      <c r="U997">
        <v>204516</v>
      </c>
      <c r="V997">
        <v>204516</v>
      </c>
    </row>
    <row r="998" spans="1:22">
      <c r="A998" t="s">
        <v>196</v>
      </c>
      <c r="B998">
        <v>31</v>
      </c>
      <c r="C998" t="s">
        <v>27</v>
      </c>
      <c r="D998">
        <v>100</v>
      </c>
      <c r="E998" t="s">
        <v>197</v>
      </c>
      <c r="F998">
        <v>1005</v>
      </c>
      <c r="G998" t="s">
        <v>27</v>
      </c>
      <c r="H998">
        <v>2005</v>
      </c>
      <c r="I998" t="s">
        <v>27</v>
      </c>
      <c r="J998">
        <v>3130</v>
      </c>
      <c r="K998" t="s">
        <v>843</v>
      </c>
      <c r="L998">
        <v>0</v>
      </c>
      <c r="N998" t="s">
        <v>798</v>
      </c>
      <c r="O998">
        <v>9</v>
      </c>
      <c r="P998">
        <v>1641</v>
      </c>
      <c r="Q998" t="s">
        <v>799</v>
      </c>
      <c r="R998" t="s">
        <v>201</v>
      </c>
      <c r="S998">
        <v>1</v>
      </c>
      <c r="T998">
        <v>1</v>
      </c>
      <c r="U998">
        <v>164100</v>
      </c>
      <c r="V998">
        <v>164100</v>
      </c>
    </row>
    <row r="999" spans="1:22">
      <c r="A999" t="s">
        <v>196</v>
      </c>
      <c r="B999">
        <v>31</v>
      </c>
      <c r="C999" t="s">
        <v>27</v>
      </c>
      <c r="D999">
        <v>100</v>
      </c>
      <c r="E999" t="s">
        <v>197</v>
      </c>
      <c r="F999">
        <v>1005</v>
      </c>
      <c r="G999" t="s">
        <v>27</v>
      </c>
      <c r="H999">
        <v>2005</v>
      </c>
      <c r="I999" t="s">
        <v>27</v>
      </c>
      <c r="J999">
        <v>3130</v>
      </c>
      <c r="K999" t="s">
        <v>843</v>
      </c>
      <c r="L999">
        <v>0</v>
      </c>
      <c r="N999" t="s">
        <v>798</v>
      </c>
      <c r="O999">
        <v>9</v>
      </c>
      <c r="P999">
        <v>1641</v>
      </c>
      <c r="Q999" t="s">
        <v>799</v>
      </c>
      <c r="R999" t="s">
        <v>201</v>
      </c>
      <c r="S999">
        <v>1</v>
      </c>
      <c r="T999">
        <v>1</v>
      </c>
      <c r="U999">
        <v>142776</v>
      </c>
      <c r="V999">
        <v>142776</v>
      </c>
    </row>
    <row r="1000" spans="1:22">
      <c r="A1000" t="s">
        <v>196</v>
      </c>
      <c r="B1000">
        <v>31</v>
      </c>
      <c r="C1000" t="s">
        <v>27</v>
      </c>
      <c r="D1000">
        <v>100</v>
      </c>
      <c r="E1000" t="s">
        <v>197</v>
      </c>
      <c r="F1000">
        <v>1005</v>
      </c>
      <c r="G1000" t="s">
        <v>27</v>
      </c>
      <c r="H1000">
        <v>2005</v>
      </c>
      <c r="I1000" t="s">
        <v>27</v>
      </c>
      <c r="J1000">
        <v>3130</v>
      </c>
      <c r="K1000" t="s">
        <v>843</v>
      </c>
      <c r="L1000">
        <v>0</v>
      </c>
      <c r="N1000" t="s">
        <v>798</v>
      </c>
      <c r="O1000">
        <v>9</v>
      </c>
      <c r="P1000">
        <v>1641</v>
      </c>
      <c r="Q1000" t="s">
        <v>799</v>
      </c>
      <c r="R1000" t="s">
        <v>201</v>
      </c>
      <c r="S1000">
        <v>2</v>
      </c>
      <c r="T1000">
        <v>1</v>
      </c>
      <c r="U1000">
        <v>136284</v>
      </c>
      <c r="V1000">
        <v>272568</v>
      </c>
    </row>
    <row r="1001" spans="1:22">
      <c r="A1001" t="s">
        <v>196</v>
      </c>
      <c r="B1001">
        <v>31</v>
      </c>
      <c r="C1001" t="s">
        <v>27</v>
      </c>
      <c r="D1001">
        <v>100</v>
      </c>
      <c r="E1001" t="s">
        <v>197</v>
      </c>
      <c r="F1001">
        <v>1005</v>
      </c>
      <c r="G1001" t="s">
        <v>27</v>
      </c>
      <c r="H1001">
        <v>2005</v>
      </c>
      <c r="I1001" t="s">
        <v>27</v>
      </c>
      <c r="J1001">
        <v>3130</v>
      </c>
      <c r="K1001" t="s">
        <v>843</v>
      </c>
      <c r="L1001">
        <v>0</v>
      </c>
      <c r="N1001" t="s">
        <v>798</v>
      </c>
      <c r="O1001">
        <v>9</v>
      </c>
      <c r="P1001">
        <v>1641</v>
      </c>
      <c r="Q1001" t="s">
        <v>799</v>
      </c>
      <c r="R1001" t="s">
        <v>201</v>
      </c>
      <c r="S1001">
        <v>2</v>
      </c>
      <c r="T1001">
        <v>1</v>
      </c>
      <c r="U1001">
        <v>118596</v>
      </c>
      <c r="V1001">
        <v>237192</v>
      </c>
    </row>
    <row r="1002" spans="1:22">
      <c r="A1002" t="s">
        <v>196</v>
      </c>
      <c r="B1002">
        <v>31</v>
      </c>
      <c r="C1002" t="s">
        <v>27</v>
      </c>
      <c r="D1002">
        <v>100</v>
      </c>
      <c r="E1002" t="s">
        <v>197</v>
      </c>
      <c r="F1002">
        <v>1005</v>
      </c>
      <c r="G1002" t="s">
        <v>27</v>
      </c>
      <c r="H1002">
        <v>2005</v>
      </c>
      <c r="I1002" t="s">
        <v>27</v>
      </c>
      <c r="J1002">
        <v>3130</v>
      </c>
      <c r="K1002" t="s">
        <v>843</v>
      </c>
      <c r="L1002">
        <v>0</v>
      </c>
      <c r="N1002" t="s">
        <v>251</v>
      </c>
      <c r="O1002">
        <v>10</v>
      </c>
      <c r="P1002">
        <v>1619</v>
      </c>
      <c r="Q1002" t="s">
        <v>806</v>
      </c>
      <c r="R1002" t="s">
        <v>201</v>
      </c>
      <c r="S1002">
        <v>1</v>
      </c>
      <c r="T1002">
        <v>1</v>
      </c>
      <c r="U1002">
        <v>94332</v>
      </c>
      <c r="V1002">
        <v>94332</v>
      </c>
    </row>
    <row r="1003" spans="1:22">
      <c r="A1003" t="s">
        <v>196</v>
      </c>
      <c r="B1003">
        <v>31</v>
      </c>
      <c r="C1003" t="s">
        <v>27</v>
      </c>
      <c r="D1003">
        <v>100</v>
      </c>
      <c r="E1003" t="s">
        <v>197</v>
      </c>
      <c r="F1003">
        <v>1005</v>
      </c>
      <c r="G1003" t="s">
        <v>27</v>
      </c>
      <c r="H1003">
        <v>2005</v>
      </c>
      <c r="I1003" t="s">
        <v>27</v>
      </c>
      <c r="J1003">
        <v>3130</v>
      </c>
      <c r="K1003" t="s">
        <v>843</v>
      </c>
      <c r="L1003">
        <v>0</v>
      </c>
      <c r="N1003" t="s">
        <v>251</v>
      </c>
      <c r="O1003">
        <v>10</v>
      </c>
      <c r="P1003">
        <v>1619</v>
      </c>
      <c r="Q1003" t="s">
        <v>806</v>
      </c>
      <c r="R1003" t="s">
        <v>201</v>
      </c>
      <c r="S1003">
        <v>1</v>
      </c>
      <c r="T1003">
        <v>1</v>
      </c>
      <c r="U1003">
        <v>83052</v>
      </c>
      <c r="V1003">
        <v>83052</v>
      </c>
    </row>
    <row r="1004" spans="1:22">
      <c r="A1004" t="s">
        <v>196</v>
      </c>
      <c r="B1004">
        <v>31</v>
      </c>
      <c r="C1004" t="s">
        <v>27</v>
      </c>
      <c r="D1004">
        <v>100</v>
      </c>
      <c r="E1004" t="s">
        <v>197</v>
      </c>
      <c r="F1004">
        <v>1005</v>
      </c>
      <c r="G1004" t="s">
        <v>27</v>
      </c>
      <c r="H1004">
        <v>2005</v>
      </c>
      <c r="I1004" t="s">
        <v>27</v>
      </c>
      <c r="J1004">
        <v>3130</v>
      </c>
      <c r="K1004" t="s">
        <v>843</v>
      </c>
      <c r="L1004">
        <v>0</v>
      </c>
      <c r="N1004" t="s">
        <v>341</v>
      </c>
      <c r="O1004">
        <v>1</v>
      </c>
      <c r="P1004">
        <v>1617</v>
      </c>
      <c r="Q1004" t="s">
        <v>800</v>
      </c>
      <c r="R1004" t="s">
        <v>201</v>
      </c>
      <c r="S1004">
        <v>1</v>
      </c>
      <c r="T1004">
        <v>1</v>
      </c>
      <c r="U1004">
        <v>119100</v>
      </c>
      <c r="V1004">
        <v>119100</v>
      </c>
    </row>
    <row r="1005" spans="1:22">
      <c r="A1005" t="s">
        <v>196</v>
      </c>
      <c r="B1005">
        <v>31</v>
      </c>
      <c r="C1005" t="s">
        <v>27</v>
      </c>
      <c r="D1005">
        <v>100</v>
      </c>
      <c r="E1005" t="s">
        <v>197</v>
      </c>
      <c r="F1005">
        <v>1005</v>
      </c>
      <c r="G1005" t="s">
        <v>27</v>
      </c>
      <c r="H1005">
        <v>2005</v>
      </c>
      <c r="I1005" t="s">
        <v>27</v>
      </c>
      <c r="J1005">
        <v>3130</v>
      </c>
      <c r="K1005" t="s">
        <v>843</v>
      </c>
      <c r="L1005">
        <v>0</v>
      </c>
      <c r="N1005" t="s">
        <v>341</v>
      </c>
      <c r="O1005">
        <v>1</v>
      </c>
      <c r="P1005">
        <v>1617</v>
      </c>
      <c r="Q1005" t="s">
        <v>800</v>
      </c>
      <c r="R1005" t="s">
        <v>201</v>
      </c>
      <c r="S1005">
        <v>1</v>
      </c>
      <c r="T1005">
        <v>1</v>
      </c>
      <c r="U1005">
        <v>113628</v>
      </c>
      <c r="V1005">
        <v>113628</v>
      </c>
    </row>
    <row r="1006" spans="1:22">
      <c r="A1006" t="s">
        <v>196</v>
      </c>
      <c r="B1006">
        <v>31</v>
      </c>
      <c r="C1006" t="s">
        <v>27</v>
      </c>
      <c r="D1006">
        <v>100</v>
      </c>
      <c r="E1006" t="s">
        <v>197</v>
      </c>
      <c r="F1006">
        <v>1005</v>
      </c>
      <c r="G1006" t="s">
        <v>27</v>
      </c>
      <c r="H1006">
        <v>2005</v>
      </c>
      <c r="I1006" t="s">
        <v>27</v>
      </c>
      <c r="J1006">
        <v>3130</v>
      </c>
      <c r="K1006" t="s">
        <v>843</v>
      </c>
      <c r="L1006">
        <v>0</v>
      </c>
      <c r="N1006" t="s">
        <v>341</v>
      </c>
      <c r="O1006">
        <v>1</v>
      </c>
      <c r="P1006">
        <v>1617</v>
      </c>
      <c r="Q1006" t="s">
        <v>800</v>
      </c>
      <c r="R1006" t="s">
        <v>201</v>
      </c>
      <c r="S1006">
        <v>2</v>
      </c>
      <c r="T1006">
        <v>1</v>
      </c>
      <c r="U1006">
        <v>90144</v>
      </c>
      <c r="V1006">
        <v>180288</v>
      </c>
    </row>
    <row r="1007" spans="1:22">
      <c r="A1007" t="s">
        <v>196</v>
      </c>
      <c r="B1007">
        <v>31</v>
      </c>
      <c r="C1007" t="s">
        <v>27</v>
      </c>
      <c r="D1007">
        <v>100</v>
      </c>
      <c r="E1007" t="s">
        <v>197</v>
      </c>
      <c r="F1007">
        <v>1005</v>
      </c>
      <c r="G1007" t="s">
        <v>27</v>
      </c>
      <c r="H1007">
        <v>2005</v>
      </c>
      <c r="I1007" t="s">
        <v>27</v>
      </c>
      <c r="J1007">
        <v>3130</v>
      </c>
      <c r="K1007" t="s">
        <v>843</v>
      </c>
      <c r="L1007">
        <v>0</v>
      </c>
      <c r="N1007" t="s">
        <v>341</v>
      </c>
      <c r="O1007">
        <v>1</v>
      </c>
      <c r="P1007">
        <v>1617</v>
      </c>
      <c r="Q1007" t="s">
        <v>800</v>
      </c>
      <c r="R1007" t="s">
        <v>201</v>
      </c>
      <c r="S1007">
        <v>2</v>
      </c>
      <c r="T1007">
        <v>1</v>
      </c>
      <c r="U1007">
        <v>77640</v>
      </c>
      <c r="V1007">
        <v>155280</v>
      </c>
    </row>
    <row r="1008" spans="1:22">
      <c r="A1008" t="s">
        <v>196</v>
      </c>
      <c r="B1008">
        <v>31</v>
      </c>
      <c r="C1008" t="s">
        <v>27</v>
      </c>
      <c r="D1008">
        <v>100</v>
      </c>
      <c r="E1008" t="s">
        <v>197</v>
      </c>
      <c r="F1008">
        <v>1005</v>
      </c>
      <c r="G1008" t="s">
        <v>27</v>
      </c>
      <c r="H1008">
        <v>2005</v>
      </c>
      <c r="I1008" t="s">
        <v>27</v>
      </c>
      <c r="J1008">
        <v>3130</v>
      </c>
      <c r="K1008" t="s">
        <v>843</v>
      </c>
      <c r="L1008">
        <v>0</v>
      </c>
      <c r="N1008" t="s">
        <v>341</v>
      </c>
      <c r="O1008">
        <v>1</v>
      </c>
      <c r="P1008">
        <v>1617</v>
      </c>
      <c r="Q1008" t="s">
        <v>800</v>
      </c>
      <c r="R1008" t="s">
        <v>201</v>
      </c>
      <c r="S1008">
        <v>2</v>
      </c>
      <c r="T1008">
        <v>1</v>
      </c>
      <c r="U1008">
        <v>68616</v>
      </c>
      <c r="V1008">
        <v>137232</v>
      </c>
    </row>
    <row r="1009" spans="1:22">
      <c r="A1009" t="s">
        <v>196</v>
      </c>
      <c r="B1009">
        <v>31</v>
      </c>
      <c r="C1009" t="s">
        <v>27</v>
      </c>
      <c r="D1009">
        <v>100</v>
      </c>
      <c r="E1009" t="s">
        <v>197</v>
      </c>
      <c r="F1009">
        <v>1005</v>
      </c>
      <c r="G1009" t="s">
        <v>27</v>
      </c>
      <c r="H1009">
        <v>2005</v>
      </c>
      <c r="I1009" t="s">
        <v>27</v>
      </c>
      <c r="J1009">
        <v>3130</v>
      </c>
      <c r="K1009" t="s">
        <v>843</v>
      </c>
      <c r="L1009">
        <v>0</v>
      </c>
      <c r="N1009" t="s">
        <v>351</v>
      </c>
      <c r="O1009">
        <v>1</v>
      </c>
      <c r="P1009">
        <v>863</v>
      </c>
      <c r="Q1009" t="s">
        <v>834</v>
      </c>
      <c r="R1009" t="s">
        <v>201</v>
      </c>
      <c r="S1009">
        <v>1</v>
      </c>
      <c r="T1009">
        <v>1</v>
      </c>
      <c r="U1009">
        <v>67608</v>
      </c>
      <c r="V1009">
        <v>67608</v>
      </c>
    </row>
    <row r="1010" spans="1:22">
      <c r="A1010" t="s">
        <v>196</v>
      </c>
      <c r="B1010">
        <v>31</v>
      </c>
      <c r="C1010" t="s">
        <v>27</v>
      </c>
      <c r="D1010">
        <v>100</v>
      </c>
      <c r="E1010" t="s">
        <v>197</v>
      </c>
      <c r="F1010">
        <v>1005</v>
      </c>
      <c r="G1010" t="s">
        <v>27</v>
      </c>
      <c r="H1010">
        <v>2005</v>
      </c>
      <c r="I1010" t="s">
        <v>27</v>
      </c>
      <c r="J1010">
        <v>3130</v>
      </c>
      <c r="K1010" t="s">
        <v>843</v>
      </c>
      <c r="L1010">
        <v>0</v>
      </c>
      <c r="N1010" t="s">
        <v>199</v>
      </c>
      <c r="O1010">
        <v>0</v>
      </c>
      <c r="P1010">
        <v>15</v>
      </c>
      <c r="Q1010" t="s">
        <v>264</v>
      </c>
      <c r="R1010" t="s">
        <v>201</v>
      </c>
      <c r="S1010">
        <v>0</v>
      </c>
      <c r="T1010">
        <v>0</v>
      </c>
      <c r="U1010">
        <v>15320</v>
      </c>
      <c r="V1010">
        <v>15320</v>
      </c>
    </row>
    <row r="1011" spans="1:22">
      <c r="A1011" t="s">
        <v>196</v>
      </c>
      <c r="B1011">
        <v>31</v>
      </c>
      <c r="C1011" t="s">
        <v>27</v>
      </c>
      <c r="D1011">
        <v>100</v>
      </c>
      <c r="E1011" t="s">
        <v>197</v>
      </c>
      <c r="F1011">
        <v>1005</v>
      </c>
      <c r="G1011" t="s">
        <v>27</v>
      </c>
      <c r="H1011">
        <v>2005</v>
      </c>
      <c r="I1011" t="s">
        <v>27</v>
      </c>
      <c r="J1011">
        <v>3135</v>
      </c>
      <c r="K1011" t="s">
        <v>844</v>
      </c>
      <c r="L1011">
        <v>0</v>
      </c>
      <c r="N1011" t="s">
        <v>268</v>
      </c>
      <c r="O1011">
        <v>0</v>
      </c>
      <c r="P1011">
        <v>1689</v>
      </c>
      <c r="Q1011" t="s">
        <v>779</v>
      </c>
      <c r="R1011" t="s">
        <v>201</v>
      </c>
      <c r="S1011">
        <v>1</v>
      </c>
      <c r="T1011">
        <v>1</v>
      </c>
      <c r="U1011">
        <v>76476</v>
      </c>
      <c r="V1011">
        <v>76476</v>
      </c>
    </row>
    <row r="1012" spans="1:22">
      <c r="A1012" t="s">
        <v>196</v>
      </c>
      <c r="B1012">
        <v>31</v>
      </c>
      <c r="C1012" t="s">
        <v>27</v>
      </c>
      <c r="D1012">
        <v>100</v>
      </c>
      <c r="E1012" t="s">
        <v>197</v>
      </c>
      <c r="F1012">
        <v>1005</v>
      </c>
      <c r="G1012" t="s">
        <v>27</v>
      </c>
      <c r="H1012">
        <v>2005</v>
      </c>
      <c r="I1012" t="s">
        <v>27</v>
      </c>
      <c r="J1012">
        <v>3135</v>
      </c>
      <c r="K1012" t="s">
        <v>844</v>
      </c>
      <c r="L1012">
        <v>0</v>
      </c>
      <c r="N1012" t="s">
        <v>794</v>
      </c>
      <c r="O1012">
        <v>9</v>
      </c>
      <c r="P1012">
        <v>1673</v>
      </c>
      <c r="Q1012" t="s">
        <v>795</v>
      </c>
      <c r="R1012" t="s">
        <v>201</v>
      </c>
      <c r="S1012">
        <v>1</v>
      </c>
      <c r="T1012">
        <v>1</v>
      </c>
      <c r="U1012">
        <v>113208</v>
      </c>
      <c r="V1012">
        <v>113208</v>
      </c>
    </row>
    <row r="1013" spans="1:22">
      <c r="A1013" t="s">
        <v>196</v>
      </c>
      <c r="B1013">
        <v>31</v>
      </c>
      <c r="C1013" t="s">
        <v>27</v>
      </c>
      <c r="D1013">
        <v>100</v>
      </c>
      <c r="E1013" t="s">
        <v>197</v>
      </c>
      <c r="F1013">
        <v>1005</v>
      </c>
      <c r="G1013" t="s">
        <v>27</v>
      </c>
      <c r="H1013">
        <v>2005</v>
      </c>
      <c r="I1013" t="s">
        <v>27</v>
      </c>
      <c r="J1013">
        <v>3135</v>
      </c>
      <c r="K1013" t="s">
        <v>844</v>
      </c>
      <c r="L1013">
        <v>0</v>
      </c>
      <c r="N1013" t="s">
        <v>794</v>
      </c>
      <c r="O1013">
        <v>9</v>
      </c>
      <c r="P1013">
        <v>1673</v>
      </c>
      <c r="Q1013" t="s">
        <v>795</v>
      </c>
      <c r="R1013" t="s">
        <v>201</v>
      </c>
      <c r="S1013">
        <v>2</v>
      </c>
      <c r="T1013">
        <v>1</v>
      </c>
      <c r="U1013">
        <v>85704</v>
      </c>
      <c r="V1013">
        <v>171408</v>
      </c>
    </row>
    <row r="1014" spans="1:22">
      <c r="A1014" t="s">
        <v>196</v>
      </c>
      <c r="B1014">
        <v>31</v>
      </c>
      <c r="C1014" t="s">
        <v>27</v>
      </c>
      <c r="D1014">
        <v>100</v>
      </c>
      <c r="E1014" t="s">
        <v>197</v>
      </c>
      <c r="F1014">
        <v>1005</v>
      </c>
      <c r="G1014" t="s">
        <v>27</v>
      </c>
      <c r="H1014">
        <v>2005</v>
      </c>
      <c r="I1014" t="s">
        <v>27</v>
      </c>
      <c r="J1014">
        <v>3135</v>
      </c>
      <c r="K1014" t="s">
        <v>844</v>
      </c>
      <c r="L1014">
        <v>0</v>
      </c>
      <c r="N1014" t="s">
        <v>796</v>
      </c>
      <c r="O1014">
        <v>9</v>
      </c>
      <c r="P1014">
        <v>1652</v>
      </c>
      <c r="Q1014" t="s">
        <v>797</v>
      </c>
      <c r="R1014" t="s">
        <v>201</v>
      </c>
      <c r="S1014">
        <v>1</v>
      </c>
      <c r="T1014">
        <v>1</v>
      </c>
      <c r="U1014">
        <v>177612</v>
      </c>
      <c r="V1014">
        <v>177612</v>
      </c>
    </row>
    <row r="1015" spans="1:22">
      <c r="A1015" t="s">
        <v>196</v>
      </c>
      <c r="B1015">
        <v>31</v>
      </c>
      <c r="C1015" t="s">
        <v>27</v>
      </c>
      <c r="D1015">
        <v>100</v>
      </c>
      <c r="E1015" t="s">
        <v>197</v>
      </c>
      <c r="F1015">
        <v>1005</v>
      </c>
      <c r="G1015" t="s">
        <v>27</v>
      </c>
      <c r="H1015">
        <v>2005</v>
      </c>
      <c r="I1015" t="s">
        <v>27</v>
      </c>
      <c r="J1015">
        <v>3135</v>
      </c>
      <c r="K1015" t="s">
        <v>844</v>
      </c>
      <c r="L1015">
        <v>0</v>
      </c>
      <c r="N1015" t="s">
        <v>785</v>
      </c>
      <c r="O1015">
        <v>9</v>
      </c>
      <c r="P1015">
        <v>1650</v>
      </c>
      <c r="Q1015" t="s">
        <v>786</v>
      </c>
      <c r="R1015" t="s">
        <v>201</v>
      </c>
      <c r="S1015">
        <v>1</v>
      </c>
      <c r="T1015">
        <v>1</v>
      </c>
      <c r="U1015">
        <v>204516</v>
      </c>
      <c r="V1015">
        <v>204516</v>
      </c>
    </row>
    <row r="1016" spans="1:22">
      <c r="A1016" t="s">
        <v>196</v>
      </c>
      <c r="B1016">
        <v>31</v>
      </c>
      <c r="C1016" t="s">
        <v>27</v>
      </c>
      <c r="D1016">
        <v>100</v>
      </c>
      <c r="E1016" t="s">
        <v>197</v>
      </c>
      <c r="F1016">
        <v>1005</v>
      </c>
      <c r="G1016" t="s">
        <v>27</v>
      </c>
      <c r="H1016">
        <v>2005</v>
      </c>
      <c r="I1016" t="s">
        <v>27</v>
      </c>
      <c r="J1016">
        <v>3135</v>
      </c>
      <c r="K1016" t="s">
        <v>844</v>
      </c>
      <c r="L1016">
        <v>0</v>
      </c>
      <c r="N1016" t="s">
        <v>798</v>
      </c>
      <c r="O1016">
        <v>9</v>
      </c>
      <c r="P1016">
        <v>1641</v>
      </c>
      <c r="Q1016" t="s">
        <v>799</v>
      </c>
      <c r="R1016" t="s">
        <v>201</v>
      </c>
      <c r="S1016">
        <v>1</v>
      </c>
      <c r="T1016">
        <v>1</v>
      </c>
      <c r="U1016">
        <v>118596</v>
      </c>
      <c r="V1016">
        <v>118596</v>
      </c>
    </row>
    <row r="1017" spans="1:22">
      <c r="A1017" t="s">
        <v>196</v>
      </c>
      <c r="B1017">
        <v>31</v>
      </c>
      <c r="C1017" t="s">
        <v>27</v>
      </c>
      <c r="D1017">
        <v>100</v>
      </c>
      <c r="E1017" t="s">
        <v>197</v>
      </c>
      <c r="F1017">
        <v>1005</v>
      </c>
      <c r="G1017" t="s">
        <v>27</v>
      </c>
      <c r="H1017">
        <v>2005</v>
      </c>
      <c r="I1017" t="s">
        <v>27</v>
      </c>
      <c r="J1017">
        <v>3135</v>
      </c>
      <c r="K1017" t="s">
        <v>844</v>
      </c>
      <c r="L1017">
        <v>0</v>
      </c>
      <c r="N1017" t="s">
        <v>341</v>
      </c>
      <c r="O1017">
        <v>1</v>
      </c>
      <c r="P1017">
        <v>1617</v>
      </c>
      <c r="Q1017" t="s">
        <v>800</v>
      </c>
      <c r="R1017" t="s">
        <v>201</v>
      </c>
      <c r="S1017">
        <v>1</v>
      </c>
      <c r="T1017">
        <v>1</v>
      </c>
      <c r="U1017">
        <v>68616</v>
      </c>
      <c r="V1017">
        <v>68616</v>
      </c>
    </row>
    <row r="1018" spans="1:22">
      <c r="A1018" t="s">
        <v>196</v>
      </c>
      <c r="B1018">
        <v>31</v>
      </c>
      <c r="C1018" t="s">
        <v>27</v>
      </c>
      <c r="D1018">
        <v>100</v>
      </c>
      <c r="E1018" t="s">
        <v>197</v>
      </c>
      <c r="F1018">
        <v>1005</v>
      </c>
      <c r="G1018" t="s">
        <v>27</v>
      </c>
      <c r="H1018">
        <v>2005</v>
      </c>
      <c r="I1018" t="s">
        <v>27</v>
      </c>
      <c r="J1018">
        <v>3135</v>
      </c>
      <c r="K1018" t="s">
        <v>844</v>
      </c>
      <c r="L1018">
        <v>0</v>
      </c>
      <c r="N1018" t="s">
        <v>351</v>
      </c>
      <c r="O1018">
        <v>1</v>
      </c>
      <c r="P1018">
        <v>863</v>
      </c>
      <c r="Q1018" t="s">
        <v>834</v>
      </c>
      <c r="R1018" t="s">
        <v>201</v>
      </c>
      <c r="S1018">
        <v>1</v>
      </c>
      <c r="T1018">
        <v>1</v>
      </c>
      <c r="U1018">
        <v>77640</v>
      </c>
      <c r="V1018">
        <v>77640</v>
      </c>
    </row>
    <row r="1019" spans="1:22">
      <c r="A1019" t="s">
        <v>196</v>
      </c>
      <c r="B1019">
        <v>31</v>
      </c>
      <c r="C1019" t="s">
        <v>27</v>
      </c>
      <c r="D1019">
        <v>100</v>
      </c>
      <c r="E1019" t="s">
        <v>197</v>
      </c>
      <c r="F1019">
        <v>1005</v>
      </c>
      <c r="G1019" t="s">
        <v>27</v>
      </c>
      <c r="H1019">
        <v>2005</v>
      </c>
      <c r="I1019" t="s">
        <v>27</v>
      </c>
      <c r="J1019">
        <v>3135</v>
      </c>
      <c r="K1019" t="s">
        <v>844</v>
      </c>
      <c r="L1019">
        <v>0</v>
      </c>
      <c r="N1019" t="s">
        <v>199</v>
      </c>
      <c r="O1019">
        <v>0</v>
      </c>
      <c r="P1019">
        <v>15</v>
      </c>
      <c r="Q1019" t="s">
        <v>264</v>
      </c>
      <c r="R1019" t="s">
        <v>201</v>
      </c>
      <c r="S1019">
        <v>0</v>
      </c>
      <c r="T1019">
        <v>0</v>
      </c>
      <c r="U1019">
        <v>16583</v>
      </c>
      <c r="V1019">
        <v>16583</v>
      </c>
    </row>
    <row r="1020" spans="1:22">
      <c r="A1020" t="s">
        <v>196</v>
      </c>
      <c r="B1020">
        <v>31</v>
      </c>
      <c r="C1020" t="s">
        <v>27</v>
      </c>
      <c r="D1020">
        <v>100</v>
      </c>
      <c r="E1020" t="s">
        <v>197</v>
      </c>
      <c r="F1020">
        <v>1005</v>
      </c>
      <c r="G1020" t="s">
        <v>27</v>
      </c>
      <c r="H1020">
        <v>2005</v>
      </c>
      <c r="I1020" t="s">
        <v>27</v>
      </c>
      <c r="J1020">
        <v>3144</v>
      </c>
      <c r="K1020" t="s">
        <v>835</v>
      </c>
      <c r="L1020">
        <v>0</v>
      </c>
      <c r="N1020" t="s">
        <v>268</v>
      </c>
      <c r="O1020">
        <v>0</v>
      </c>
      <c r="P1020">
        <v>1689</v>
      </c>
      <c r="Q1020" t="s">
        <v>779</v>
      </c>
      <c r="R1020" t="s">
        <v>201</v>
      </c>
      <c r="S1020">
        <v>1</v>
      </c>
      <c r="T1020">
        <v>1</v>
      </c>
      <c r="U1020">
        <v>76476</v>
      </c>
      <c r="V1020">
        <v>76476</v>
      </c>
    </row>
    <row r="1021" spans="1:22">
      <c r="A1021" t="s">
        <v>196</v>
      </c>
      <c r="B1021">
        <v>31</v>
      </c>
      <c r="C1021" t="s">
        <v>27</v>
      </c>
      <c r="D1021">
        <v>100</v>
      </c>
      <c r="E1021" t="s">
        <v>197</v>
      </c>
      <c r="F1021">
        <v>1005</v>
      </c>
      <c r="G1021" t="s">
        <v>27</v>
      </c>
      <c r="H1021">
        <v>2005</v>
      </c>
      <c r="I1021" t="s">
        <v>27</v>
      </c>
      <c r="J1021">
        <v>3144</v>
      </c>
      <c r="K1021" t="s">
        <v>835</v>
      </c>
      <c r="L1021">
        <v>0</v>
      </c>
      <c r="N1021" t="s">
        <v>802</v>
      </c>
      <c r="O1021">
        <v>9</v>
      </c>
      <c r="P1021">
        <v>1674</v>
      </c>
      <c r="Q1021" t="s">
        <v>803</v>
      </c>
      <c r="R1021" t="s">
        <v>201</v>
      </c>
      <c r="S1021">
        <v>1</v>
      </c>
      <c r="T1021">
        <v>1</v>
      </c>
      <c r="U1021">
        <v>156648</v>
      </c>
      <c r="V1021">
        <v>156648</v>
      </c>
    </row>
    <row r="1022" spans="1:22">
      <c r="A1022" t="s">
        <v>196</v>
      </c>
      <c r="B1022">
        <v>31</v>
      </c>
      <c r="C1022" t="s">
        <v>27</v>
      </c>
      <c r="D1022">
        <v>100</v>
      </c>
      <c r="E1022" t="s">
        <v>197</v>
      </c>
      <c r="F1022">
        <v>1005</v>
      </c>
      <c r="G1022" t="s">
        <v>27</v>
      </c>
      <c r="H1022">
        <v>2005</v>
      </c>
      <c r="I1022" t="s">
        <v>27</v>
      </c>
      <c r="J1022">
        <v>3144</v>
      </c>
      <c r="K1022" t="s">
        <v>835</v>
      </c>
      <c r="L1022">
        <v>0</v>
      </c>
      <c r="N1022" t="s">
        <v>798</v>
      </c>
      <c r="O1022">
        <v>9</v>
      </c>
      <c r="P1022">
        <v>1641</v>
      </c>
      <c r="Q1022" t="s">
        <v>799</v>
      </c>
      <c r="R1022" t="s">
        <v>201</v>
      </c>
      <c r="S1022">
        <v>1</v>
      </c>
      <c r="T1022">
        <v>1</v>
      </c>
      <c r="U1022">
        <v>164100</v>
      </c>
      <c r="V1022">
        <v>164100</v>
      </c>
    </row>
    <row r="1023" spans="1:22">
      <c r="A1023" t="s">
        <v>196</v>
      </c>
      <c r="B1023">
        <v>31</v>
      </c>
      <c r="C1023" t="s">
        <v>27</v>
      </c>
      <c r="D1023">
        <v>100</v>
      </c>
      <c r="E1023" t="s">
        <v>197</v>
      </c>
      <c r="F1023">
        <v>1005</v>
      </c>
      <c r="G1023" t="s">
        <v>27</v>
      </c>
      <c r="H1023">
        <v>2005</v>
      </c>
      <c r="I1023" t="s">
        <v>27</v>
      </c>
      <c r="J1023">
        <v>3144</v>
      </c>
      <c r="K1023" t="s">
        <v>835</v>
      </c>
      <c r="L1023">
        <v>0</v>
      </c>
      <c r="N1023" t="s">
        <v>341</v>
      </c>
      <c r="O1023">
        <v>1</v>
      </c>
      <c r="P1023">
        <v>1617</v>
      </c>
      <c r="Q1023" t="s">
        <v>800</v>
      </c>
      <c r="R1023" t="s">
        <v>201</v>
      </c>
      <c r="S1023">
        <v>1</v>
      </c>
      <c r="T1023">
        <v>1</v>
      </c>
      <c r="U1023">
        <v>119100</v>
      </c>
      <c r="V1023">
        <v>119100</v>
      </c>
    </row>
    <row r="1024" spans="1:22">
      <c r="A1024" t="s">
        <v>196</v>
      </c>
      <c r="B1024">
        <v>31</v>
      </c>
      <c r="C1024" t="s">
        <v>27</v>
      </c>
      <c r="D1024">
        <v>100</v>
      </c>
      <c r="E1024" t="s">
        <v>197</v>
      </c>
      <c r="F1024">
        <v>1005</v>
      </c>
      <c r="G1024" t="s">
        <v>27</v>
      </c>
      <c r="H1024">
        <v>2005</v>
      </c>
      <c r="I1024" t="s">
        <v>27</v>
      </c>
      <c r="J1024">
        <v>3144</v>
      </c>
      <c r="K1024" t="s">
        <v>835</v>
      </c>
      <c r="L1024">
        <v>0</v>
      </c>
      <c r="N1024" t="s">
        <v>341</v>
      </c>
      <c r="O1024">
        <v>1</v>
      </c>
      <c r="P1024">
        <v>1617</v>
      </c>
      <c r="Q1024" t="s">
        <v>800</v>
      </c>
      <c r="R1024" t="s">
        <v>201</v>
      </c>
      <c r="S1024">
        <v>2</v>
      </c>
      <c r="T1024">
        <v>1</v>
      </c>
      <c r="U1024">
        <v>68616</v>
      </c>
      <c r="V1024">
        <v>137232</v>
      </c>
    </row>
    <row r="1025" spans="1:22">
      <c r="A1025" t="s">
        <v>196</v>
      </c>
      <c r="B1025">
        <v>31</v>
      </c>
      <c r="C1025" t="s">
        <v>27</v>
      </c>
      <c r="D1025">
        <v>100</v>
      </c>
      <c r="E1025" t="s">
        <v>197</v>
      </c>
      <c r="F1025">
        <v>1005</v>
      </c>
      <c r="G1025" t="s">
        <v>27</v>
      </c>
      <c r="H1025">
        <v>2005</v>
      </c>
      <c r="I1025" t="s">
        <v>27</v>
      </c>
      <c r="J1025">
        <v>3144</v>
      </c>
      <c r="K1025" t="s">
        <v>835</v>
      </c>
      <c r="L1025">
        <v>0</v>
      </c>
      <c r="N1025" t="s">
        <v>199</v>
      </c>
      <c r="O1025">
        <v>0</v>
      </c>
      <c r="P1025">
        <v>15</v>
      </c>
      <c r="Q1025" t="s">
        <v>264</v>
      </c>
      <c r="R1025" t="s">
        <v>201</v>
      </c>
      <c r="S1025">
        <v>0</v>
      </c>
      <c r="T1025">
        <v>0</v>
      </c>
      <c r="U1025">
        <v>2280</v>
      </c>
      <c r="V1025">
        <v>2280</v>
      </c>
    </row>
    <row r="1026" spans="1:22">
      <c r="A1026" t="s">
        <v>196</v>
      </c>
      <c r="B1026">
        <v>33</v>
      </c>
      <c r="C1026" t="s">
        <v>51</v>
      </c>
      <c r="D1026">
        <v>100</v>
      </c>
      <c r="E1026" t="s">
        <v>197</v>
      </c>
      <c r="F1026">
        <v>1005</v>
      </c>
      <c r="G1026" t="s">
        <v>51</v>
      </c>
      <c r="H1026">
        <v>2005</v>
      </c>
      <c r="I1026" t="s">
        <v>51</v>
      </c>
      <c r="J1026">
        <v>3005</v>
      </c>
      <c r="K1026" t="s">
        <v>309</v>
      </c>
      <c r="L1026">
        <v>4005</v>
      </c>
      <c r="M1026" t="s">
        <v>46</v>
      </c>
      <c r="N1026" t="s">
        <v>199</v>
      </c>
      <c r="O1026">
        <v>9</v>
      </c>
      <c r="P1026">
        <v>9933</v>
      </c>
      <c r="Q1026" t="s">
        <v>845</v>
      </c>
      <c r="R1026" t="s">
        <v>201</v>
      </c>
      <c r="S1026">
        <v>1</v>
      </c>
      <c r="T1026">
        <v>1</v>
      </c>
      <c r="U1026">
        <v>214344</v>
      </c>
      <c r="V1026">
        <v>214344</v>
      </c>
    </row>
    <row r="1027" spans="1:22">
      <c r="A1027" t="s">
        <v>196</v>
      </c>
      <c r="B1027">
        <v>33</v>
      </c>
      <c r="C1027" t="s">
        <v>51</v>
      </c>
      <c r="D1027">
        <v>100</v>
      </c>
      <c r="E1027" t="s">
        <v>197</v>
      </c>
      <c r="F1027">
        <v>1005</v>
      </c>
      <c r="G1027" t="s">
        <v>51</v>
      </c>
      <c r="H1027">
        <v>2005</v>
      </c>
      <c r="I1027" t="s">
        <v>51</v>
      </c>
      <c r="J1027">
        <v>3005</v>
      </c>
      <c r="K1027" t="s">
        <v>309</v>
      </c>
      <c r="L1027">
        <v>4005</v>
      </c>
      <c r="M1027" t="s">
        <v>46</v>
      </c>
      <c r="N1027" t="s">
        <v>311</v>
      </c>
      <c r="O1027">
        <v>9</v>
      </c>
      <c r="P1027">
        <v>9813</v>
      </c>
      <c r="Q1027" t="s">
        <v>600</v>
      </c>
      <c r="R1027" t="s">
        <v>201</v>
      </c>
      <c r="S1027">
        <v>1</v>
      </c>
      <c r="T1027">
        <v>1</v>
      </c>
      <c r="U1027">
        <v>180324</v>
      </c>
      <c r="V1027">
        <v>180324</v>
      </c>
    </row>
    <row r="1028" spans="1:22">
      <c r="A1028" t="s">
        <v>196</v>
      </c>
      <c r="B1028">
        <v>33</v>
      </c>
      <c r="C1028" t="s">
        <v>51</v>
      </c>
      <c r="D1028">
        <v>100</v>
      </c>
      <c r="E1028" t="s">
        <v>197</v>
      </c>
      <c r="F1028">
        <v>1005</v>
      </c>
      <c r="G1028" t="s">
        <v>51</v>
      </c>
      <c r="H1028">
        <v>2005</v>
      </c>
      <c r="I1028" t="s">
        <v>51</v>
      </c>
      <c r="J1028">
        <v>3005</v>
      </c>
      <c r="K1028" t="s">
        <v>309</v>
      </c>
      <c r="L1028">
        <v>4005</v>
      </c>
      <c r="M1028" t="s">
        <v>46</v>
      </c>
      <c r="N1028" t="s">
        <v>311</v>
      </c>
      <c r="O1028">
        <v>9</v>
      </c>
      <c r="P1028">
        <v>9660</v>
      </c>
      <c r="Q1028" t="s">
        <v>846</v>
      </c>
      <c r="R1028" t="s">
        <v>201</v>
      </c>
      <c r="S1028">
        <v>1</v>
      </c>
      <c r="T1028">
        <v>1</v>
      </c>
      <c r="U1028">
        <v>194688</v>
      </c>
      <c r="V1028">
        <v>194688</v>
      </c>
    </row>
    <row r="1029" spans="1:22">
      <c r="A1029" t="s">
        <v>196</v>
      </c>
      <c r="B1029">
        <v>33</v>
      </c>
      <c r="C1029" t="s">
        <v>51</v>
      </c>
      <c r="D1029">
        <v>100</v>
      </c>
      <c r="E1029" t="s">
        <v>197</v>
      </c>
      <c r="F1029">
        <v>1005</v>
      </c>
      <c r="G1029" t="s">
        <v>51</v>
      </c>
      <c r="H1029">
        <v>2005</v>
      </c>
      <c r="I1029" t="s">
        <v>51</v>
      </c>
      <c r="J1029">
        <v>3005</v>
      </c>
      <c r="K1029" t="s">
        <v>309</v>
      </c>
      <c r="L1029">
        <v>4005</v>
      </c>
      <c r="M1029" t="s">
        <v>46</v>
      </c>
      <c r="N1029" t="s">
        <v>251</v>
      </c>
      <c r="O1029">
        <v>10</v>
      </c>
      <c r="P1029">
        <v>802</v>
      </c>
      <c r="Q1029" t="s">
        <v>252</v>
      </c>
      <c r="R1029" t="s">
        <v>201</v>
      </c>
      <c r="S1029">
        <v>1</v>
      </c>
      <c r="T1029">
        <v>1</v>
      </c>
      <c r="U1029">
        <v>83052</v>
      </c>
      <c r="V1029">
        <v>83052</v>
      </c>
    </row>
    <row r="1030" spans="1:22">
      <c r="A1030" t="s">
        <v>196</v>
      </c>
      <c r="B1030">
        <v>33</v>
      </c>
      <c r="C1030" t="s">
        <v>51</v>
      </c>
      <c r="D1030">
        <v>100</v>
      </c>
      <c r="E1030" t="s">
        <v>197</v>
      </c>
      <c r="F1030">
        <v>1005</v>
      </c>
      <c r="G1030" t="s">
        <v>51</v>
      </c>
      <c r="H1030">
        <v>2005</v>
      </c>
      <c r="I1030" t="s">
        <v>51</v>
      </c>
      <c r="J1030">
        <v>3005</v>
      </c>
      <c r="K1030" t="s">
        <v>309</v>
      </c>
      <c r="L1030">
        <v>4005</v>
      </c>
      <c r="M1030" t="s">
        <v>46</v>
      </c>
      <c r="N1030" t="s">
        <v>251</v>
      </c>
      <c r="O1030">
        <v>10</v>
      </c>
      <c r="P1030">
        <v>802</v>
      </c>
      <c r="Q1030" t="s">
        <v>252</v>
      </c>
      <c r="R1030" t="s">
        <v>201</v>
      </c>
      <c r="S1030">
        <v>1</v>
      </c>
      <c r="T1030">
        <v>1</v>
      </c>
      <c r="U1030">
        <v>76476</v>
      </c>
      <c r="V1030">
        <v>76476</v>
      </c>
    </row>
    <row r="1031" spans="1:22">
      <c r="A1031" t="s">
        <v>196</v>
      </c>
      <c r="B1031">
        <v>33</v>
      </c>
      <c r="C1031" t="s">
        <v>51</v>
      </c>
      <c r="D1031">
        <v>100</v>
      </c>
      <c r="E1031" t="s">
        <v>197</v>
      </c>
      <c r="F1031">
        <v>1005</v>
      </c>
      <c r="G1031" t="s">
        <v>51</v>
      </c>
      <c r="H1031">
        <v>2005</v>
      </c>
      <c r="I1031" t="s">
        <v>51</v>
      </c>
      <c r="J1031">
        <v>3005</v>
      </c>
      <c r="K1031" t="s">
        <v>309</v>
      </c>
      <c r="L1031">
        <v>4005</v>
      </c>
      <c r="M1031" t="s">
        <v>46</v>
      </c>
      <c r="N1031" t="s">
        <v>199</v>
      </c>
      <c r="O1031">
        <v>0</v>
      </c>
      <c r="P1031">
        <v>15</v>
      </c>
      <c r="Q1031" t="s">
        <v>264</v>
      </c>
      <c r="R1031" t="s">
        <v>201</v>
      </c>
      <c r="S1031">
        <v>0</v>
      </c>
      <c r="T1031">
        <v>0</v>
      </c>
      <c r="U1031">
        <v>7156</v>
      </c>
      <c r="V1031">
        <v>7156</v>
      </c>
    </row>
    <row r="1032" spans="1:22">
      <c r="A1032" t="s">
        <v>196</v>
      </c>
      <c r="B1032">
        <v>33</v>
      </c>
      <c r="C1032" t="s">
        <v>51</v>
      </c>
      <c r="D1032">
        <v>100</v>
      </c>
      <c r="E1032" t="s">
        <v>197</v>
      </c>
      <c r="F1032">
        <v>1005</v>
      </c>
      <c r="G1032" t="s">
        <v>51</v>
      </c>
      <c r="H1032">
        <v>2005</v>
      </c>
      <c r="I1032" t="s">
        <v>51</v>
      </c>
      <c r="J1032">
        <v>3005</v>
      </c>
      <c r="K1032" t="s">
        <v>309</v>
      </c>
      <c r="L1032">
        <v>4010</v>
      </c>
      <c r="M1032" t="s">
        <v>97</v>
      </c>
      <c r="N1032" t="s">
        <v>255</v>
      </c>
      <c r="O1032">
        <v>1</v>
      </c>
      <c r="P1032">
        <v>1302</v>
      </c>
      <c r="Q1032" t="s">
        <v>340</v>
      </c>
      <c r="R1032" t="s">
        <v>201</v>
      </c>
      <c r="S1032">
        <v>1</v>
      </c>
      <c r="T1032">
        <v>1</v>
      </c>
      <c r="U1032">
        <v>82644</v>
      </c>
      <c r="V1032">
        <v>82644</v>
      </c>
    </row>
    <row r="1033" spans="1:22">
      <c r="A1033" t="s">
        <v>196</v>
      </c>
      <c r="B1033">
        <v>33</v>
      </c>
      <c r="C1033" t="s">
        <v>51</v>
      </c>
      <c r="D1033">
        <v>100</v>
      </c>
      <c r="E1033" t="s">
        <v>197</v>
      </c>
      <c r="F1033">
        <v>1005</v>
      </c>
      <c r="G1033" t="s">
        <v>51</v>
      </c>
      <c r="H1033">
        <v>2005</v>
      </c>
      <c r="I1033" t="s">
        <v>51</v>
      </c>
      <c r="J1033">
        <v>3005</v>
      </c>
      <c r="K1033" t="s">
        <v>309</v>
      </c>
      <c r="L1033">
        <v>4010</v>
      </c>
      <c r="M1033" t="s">
        <v>97</v>
      </c>
      <c r="N1033" t="s">
        <v>249</v>
      </c>
      <c r="O1033">
        <v>20</v>
      </c>
      <c r="P1033">
        <v>394</v>
      </c>
      <c r="Q1033" t="s">
        <v>314</v>
      </c>
      <c r="R1033" t="s">
        <v>201</v>
      </c>
      <c r="S1033">
        <v>1</v>
      </c>
      <c r="T1033">
        <v>1</v>
      </c>
      <c r="U1033">
        <v>102444</v>
      </c>
      <c r="V1033">
        <v>102444</v>
      </c>
    </row>
    <row r="1034" spans="1:22">
      <c r="A1034" t="s">
        <v>196</v>
      </c>
      <c r="B1034">
        <v>33</v>
      </c>
      <c r="C1034" t="s">
        <v>51</v>
      </c>
      <c r="D1034">
        <v>100</v>
      </c>
      <c r="E1034" t="s">
        <v>197</v>
      </c>
      <c r="F1034">
        <v>1005</v>
      </c>
      <c r="G1034" t="s">
        <v>51</v>
      </c>
      <c r="H1034">
        <v>2005</v>
      </c>
      <c r="I1034" t="s">
        <v>51</v>
      </c>
      <c r="J1034">
        <v>3005</v>
      </c>
      <c r="K1034" t="s">
        <v>309</v>
      </c>
      <c r="L1034">
        <v>4010</v>
      </c>
      <c r="M1034" t="s">
        <v>97</v>
      </c>
      <c r="N1034" t="s">
        <v>249</v>
      </c>
      <c r="O1034">
        <v>20</v>
      </c>
      <c r="P1034">
        <v>394</v>
      </c>
      <c r="Q1034" t="s">
        <v>314</v>
      </c>
      <c r="R1034" t="s">
        <v>201</v>
      </c>
      <c r="S1034">
        <v>1</v>
      </c>
      <c r="T1034">
        <v>1</v>
      </c>
      <c r="U1034">
        <v>89112</v>
      </c>
      <c r="V1034">
        <v>89112</v>
      </c>
    </row>
    <row r="1035" spans="1:22">
      <c r="A1035" t="s">
        <v>196</v>
      </c>
      <c r="B1035">
        <v>33</v>
      </c>
      <c r="C1035" t="s">
        <v>51</v>
      </c>
      <c r="D1035">
        <v>100</v>
      </c>
      <c r="E1035" t="s">
        <v>197</v>
      </c>
      <c r="F1035">
        <v>1005</v>
      </c>
      <c r="G1035" t="s">
        <v>51</v>
      </c>
      <c r="H1035">
        <v>2005</v>
      </c>
      <c r="I1035" t="s">
        <v>51</v>
      </c>
      <c r="J1035">
        <v>3005</v>
      </c>
      <c r="K1035" t="s">
        <v>309</v>
      </c>
      <c r="L1035">
        <v>4010</v>
      </c>
      <c r="M1035" t="s">
        <v>97</v>
      </c>
      <c r="N1035" t="s">
        <v>341</v>
      </c>
      <c r="O1035">
        <v>1</v>
      </c>
      <c r="P1035">
        <v>308</v>
      </c>
      <c r="Q1035" t="s">
        <v>355</v>
      </c>
      <c r="R1035" t="s">
        <v>201</v>
      </c>
      <c r="S1035">
        <v>1</v>
      </c>
      <c r="T1035">
        <v>1</v>
      </c>
      <c r="U1035">
        <v>77640</v>
      </c>
      <c r="V1035">
        <v>77640</v>
      </c>
    </row>
    <row r="1036" spans="1:22">
      <c r="A1036" t="s">
        <v>196</v>
      </c>
      <c r="B1036">
        <v>33</v>
      </c>
      <c r="C1036" t="s">
        <v>51</v>
      </c>
      <c r="D1036">
        <v>100</v>
      </c>
      <c r="E1036" t="s">
        <v>197</v>
      </c>
      <c r="F1036">
        <v>1005</v>
      </c>
      <c r="G1036" t="s">
        <v>51</v>
      </c>
      <c r="H1036">
        <v>2005</v>
      </c>
      <c r="I1036" t="s">
        <v>51</v>
      </c>
      <c r="J1036">
        <v>3005</v>
      </c>
      <c r="K1036" t="s">
        <v>309</v>
      </c>
      <c r="L1036">
        <v>4010</v>
      </c>
      <c r="M1036" t="s">
        <v>97</v>
      </c>
      <c r="N1036" t="s">
        <v>199</v>
      </c>
      <c r="O1036">
        <v>0</v>
      </c>
      <c r="P1036">
        <v>15</v>
      </c>
      <c r="Q1036" t="s">
        <v>264</v>
      </c>
      <c r="R1036" t="s">
        <v>201</v>
      </c>
      <c r="S1036">
        <v>0</v>
      </c>
      <c r="T1036">
        <v>0</v>
      </c>
      <c r="U1036">
        <v>2466</v>
      </c>
      <c r="V1036">
        <v>2466</v>
      </c>
    </row>
    <row r="1037" spans="1:22">
      <c r="A1037" t="s">
        <v>196</v>
      </c>
      <c r="B1037">
        <v>33</v>
      </c>
      <c r="C1037" t="s">
        <v>51</v>
      </c>
      <c r="D1037">
        <v>100</v>
      </c>
      <c r="E1037" t="s">
        <v>197</v>
      </c>
      <c r="F1037">
        <v>1005</v>
      </c>
      <c r="G1037" t="s">
        <v>51</v>
      </c>
      <c r="H1037">
        <v>2005</v>
      </c>
      <c r="I1037" t="s">
        <v>51</v>
      </c>
      <c r="J1037">
        <v>3005</v>
      </c>
      <c r="K1037" t="s">
        <v>309</v>
      </c>
      <c r="L1037">
        <v>4011</v>
      </c>
      <c r="M1037" t="s">
        <v>847</v>
      </c>
      <c r="N1037" t="s">
        <v>372</v>
      </c>
      <c r="O1037">
        <v>4</v>
      </c>
      <c r="P1037">
        <v>1912</v>
      </c>
      <c r="Q1037" t="s">
        <v>608</v>
      </c>
      <c r="R1037" t="s">
        <v>201</v>
      </c>
      <c r="S1037">
        <v>1</v>
      </c>
      <c r="T1037">
        <v>1</v>
      </c>
      <c r="U1037">
        <v>75336</v>
      </c>
      <c r="V1037">
        <v>75336</v>
      </c>
    </row>
    <row r="1038" spans="1:22">
      <c r="A1038" t="s">
        <v>196</v>
      </c>
      <c r="B1038">
        <v>33</v>
      </c>
      <c r="C1038" t="s">
        <v>51</v>
      </c>
      <c r="D1038">
        <v>100</v>
      </c>
      <c r="E1038" t="s">
        <v>197</v>
      </c>
      <c r="F1038">
        <v>1005</v>
      </c>
      <c r="G1038" t="s">
        <v>51</v>
      </c>
      <c r="H1038">
        <v>2005</v>
      </c>
      <c r="I1038" t="s">
        <v>51</v>
      </c>
      <c r="J1038">
        <v>3015</v>
      </c>
      <c r="K1038" t="s">
        <v>848</v>
      </c>
      <c r="L1038">
        <v>0</v>
      </c>
      <c r="N1038" t="s">
        <v>266</v>
      </c>
      <c r="O1038">
        <v>9</v>
      </c>
      <c r="P1038">
        <v>9679</v>
      </c>
      <c r="Q1038" t="s">
        <v>338</v>
      </c>
      <c r="R1038" t="s">
        <v>201</v>
      </c>
      <c r="S1038">
        <v>1</v>
      </c>
      <c r="T1038">
        <v>1</v>
      </c>
      <c r="U1038">
        <v>175512</v>
      </c>
      <c r="V1038">
        <v>175512</v>
      </c>
    </row>
    <row r="1039" spans="1:22">
      <c r="A1039" t="s">
        <v>196</v>
      </c>
      <c r="B1039">
        <v>33</v>
      </c>
      <c r="C1039" t="s">
        <v>51</v>
      </c>
      <c r="D1039">
        <v>100</v>
      </c>
      <c r="E1039" t="s">
        <v>197</v>
      </c>
      <c r="F1039">
        <v>1005</v>
      </c>
      <c r="G1039" t="s">
        <v>51</v>
      </c>
      <c r="H1039">
        <v>2005</v>
      </c>
      <c r="I1039" t="s">
        <v>51</v>
      </c>
      <c r="J1039">
        <v>3015</v>
      </c>
      <c r="K1039" t="s">
        <v>848</v>
      </c>
      <c r="L1039">
        <v>0</v>
      </c>
      <c r="N1039" t="s">
        <v>297</v>
      </c>
      <c r="O1039">
        <v>20</v>
      </c>
      <c r="P1039">
        <v>3502</v>
      </c>
      <c r="Q1039" t="s">
        <v>849</v>
      </c>
      <c r="R1039" t="s">
        <v>201</v>
      </c>
      <c r="S1039">
        <v>1</v>
      </c>
      <c r="T1039">
        <v>1</v>
      </c>
      <c r="U1039">
        <v>97332</v>
      </c>
      <c r="V1039">
        <v>97332</v>
      </c>
    </row>
    <row r="1040" spans="1:22">
      <c r="A1040" t="s">
        <v>196</v>
      </c>
      <c r="B1040">
        <v>33</v>
      </c>
      <c r="C1040" t="s">
        <v>51</v>
      </c>
      <c r="D1040">
        <v>100</v>
      </c>
      <c r="E1040" t="s">
        <v>197</v>
      </c>
      <c r="F1040">
        <v>1005</v>
      </c>
      <c r="G1040" t="s">
        <v>51</v>
      </c>
      <c r="H1040">
        <v>2005</v>
      </c>
      <c r="I1040" t="s">
        <v>51</v>
      </c>
      <c r="J1040">
        <v>3015</v>
      </c>
      <c r="K1040" t="s">
        <v>848</v>
      </c>
      <c r="L1040">
        <v>0</v>
      </c>
      <c r="N1040" t="s">
        <v>251</v>
      </c>
      <c r="O1040">
        <v>10</v>
      </c>
      <c r="P1040">
        <v>1430</v>
      </c>
      <c r="Q1040" t="s">
        <v>850</v>
      </c>
      <c r="R1040" t="s">
        <v>201</v>
      </c>
      <c r="S1040">
        <v>1</v>
      </c>
      <c r="T1040">
        <v>1</v>
      </c>
      <c r="U1040">
        <v>83052</v>
      </c>
      <c r="V1040">
        <v>83052</v>
      </c>
    </row>
    <row r="1041" spans="1:22">
      <c r="A1041" t="s">
        <v>196</v>
      </c>
      <c r="B1041">
        <v>33</v>
      </c>
      <c r="C1041" t="s">
        <v>51</v>
      </c>
      <c r="D1041">
        <v>100</v>
      </c>
      <c r="E1041" t="s">
        <v>197</v>
      </c>
      <c r="F1041">
        <v>1005</v>
      </c>
      <c r="G1041" t="s">
        <v>51</v>
      </c>
      <c r="H1041">
        <v>2005</v>
      </c>
      <c r="I1041" t="s">
        <v>51</v>
      </c>
      <c r="J1041">
        <v>3015</v>
      </c>
      <c r="K1041" t="s">
        <v>848</v>
      </c>
      <c r="L1041">
        <v>0</v>
      </c>
      <c r="N1041" t="s">
        <v>274</v>
      </c>
      <c r="O1041">
        <v>0</v>
      </c>
      <c r="P1041">
        <v>1385</v>
      </c>
      <c r="Q1041" t="s">
        <v>851</v>
      </c>
      <c r="R1041" t="s">
        <v>201</v>
      </c>
      <c r="S1041">
        <v>1</v>
      </c>
      <c r="T1041">
        <v>1</v>
      </c>
      <c r="U1041">
        <v>137532</v>
      </c>
      <c r="V1041">
        <v>137532</v>
      </c>
    </row>
    <row r="1042" spans="1:22">
      <c r="A1042" t="s">
        <v>196</v>
      </c>
      <c r="B1042">
        <v>33</v>
      </c>
      <c r="C1042" t="s">
        <v>51</v>
      </c>
      <c r="D1042">
        <v>100</v>
      </c>
      <c r="E1042" t="s">
        <v>197</v>
      </c>
      <c r="F1042">
        <v>1005</v>
      </c>
      <c r="G1042" t="s">
        <v>51</v>
      </c>
      <c r="H1042">
        <v>2005</v>
      </c>
      <c r="I1042" t="s">
        <v>51</v>
      </c>
      <c r="J1042">
        <v>3015</v>
      </c>
      <c r="K1042" t="s">
        <v>848</v>
      </c>
      <c r="L1042">
        <v>0</v>
      </c>
      <c r="N1042" t="s">
        <v>274</v>
      </c>
      <c r="O1042">
        <v>0</v>
      </c>
      <c r="P1042">
        <v>1384</v>
      </c>
      <c r="Q1042" t="s">
        <v>852</v>
      </c>
      <c r="R1042" t="s">
        <v>201</v>
      </c>
      <c r="S1042">
        <v>1</v>
      </c>
      <c r="T1042">
        <v>1</v>
      </c>
      <c r="U1042">
        <v>121668</v>
      </c>
      <c r="V1042">
        <v>121668</v>
      </c>
    </row>
    <row r="1043" spans="1:22">
      <c r="A1043" t="s">
        <v>196</v>
      </c>
      <c r="B1043">
        <v>33</v>
      </c>
      <c r="C1043" t="s">
        <v>51</v>
      </c>
      <c r="D1043">
        <v>100</v>
      </c>
      <c r="E1043" t="s">
        <v>197</v>
      </c>
      <c r="F1043">
        <v>1005</v>
      </c>
      <c r="G1043" t="s">
        <v>51</v>
      </c>
      <c r="H1043">
        <v>2005</v>
      </c>
      <c r="I1043" t="s">
        <v>51</v>
      </c>
      <c r="J1043">
        <v>3015</v>
      </c>
      <c r="K1043" t="s">
        <v>848</v>
      </c>
      <c r="L1043">
        <v>0</v>
      </c>
      <c r="N1043" t="s">
        <v>281</v>
      </c>
      <c r="O1043">
        <v>20</v>
      </c>
      <c r="P1043">
        <v>1368</v>
      </c>
      <c r="Q1043" t="s">
        <v>853</v>
      </c>
      <c r="R1043" t="s">
        <v>201</v>
      </c>
      <c r="S1043">
        <v>1</v>
      </c>
      <c r="T1043">
        <v>1</v>
      </c>
      <c r="U1043">
        <v>112080</v>
      </c>
      <c r="V1043">
        <v>112080</v>
      </c>
    </row>
    <row r="1044" spans="1:22">
      <c r="A1044" t="s">
        <v>196</v>
      </c>
      <c r="B1044">
        <v>33</v>
      </c>
      <c r="C1044" t="s">
        <v>51</v>
      </c>
      <c r="D1044">
        <v>100</v>
      </c>
      <c r="E1044" t="s">
        <v>197</v>
      </c>
      <c r="F1044">
        <v>1005</v>
      </c>
      <c r="G1044" t="s">
        <v>51</v>
      </c>
      <c r="H1044">
        <v>2005</v>
      </c>
      <c r="I1044" t="s">
        <v>51</v>
      </c>
      <c r="J1044">
        <v>3015</v>
      </c>
      <c r="K1044" t="s">
        <v>848</v>
      </c>
      <c r="L1044">
        <v>0</v>
      </c>
      <c r="N1044" t="s">
        <v>274</v>
      </c>
      <c r="O1044">
        <v>10</v>
      </c>
      <c r="P1044">
        <v>1366</v>
      </c>
      <c r="Q1044" t="s">
        <v>854</v>
      </c>
      <c r="R1044" t="s">
        <v>201</v>
      </c>
      <c r="S1044">
        <v>1</v>
      </c>
      <c r="T1044">
        <v>1</v>
      </c>
      <c r="U1044">
        <v>137532</v>
      </c>
      <c r="V1044">
        <v>137532</v>
      </c>
    </row>
    <row r="1045" spans="1:22">
      <c r="A1045" t="s">
        <v>196</v>
      </c>
      <c r="B1045">
        <v>33</v>
      </c>
      <c r="C1045" t="s">
        <v>51</v>
      </c>
      <c r="D1045">
        <v>100</v>
      </c>
      <c r="E1045" t="s">
        <v>197</v>
      </c>
      <c r="F1045">
        <v>1005</v>
      </c>
      <c r="G1045" t="s">
        <v>51</v>
      </c>
      <c r="H1045">
        <v>2005</v>
      </c>
      <c r="I1045" t="s">
        <v>51</v>
      </c>
      <c r="J1045">
        <v>3015</v>
      </c>
      <c r="K1045" t="s">
        <v>848</v>
      </c>
      <c r="L1045">
        <v>0</v>
      </c>
      <c r="N1045" t="s">
        <v>281</v>
      </c>
      <c r="O1045">
        <v>20</v>
      </c>
      <c r="P1045">
        <v>1364</v>
      </c>
      <c r="Q1045" t="s">
        <v>855</v>
      </c>
      <c r="R1045" t="s">
        <v>201</v>
      </c>
      <c r="S1045">
        <v>2</v>
      </c>
      <c r="T1045">
        <v>1</v>
      </c>
      <c r="U1045">
        <v>112080</v>
      </c>
      <c r="V1045">
        <v>224160</v>
      </c>
    </row>
    <row r="1046" spans="1:22">
      <c r="A1046" t="s">
        <v>196</v>
      </c>
      <c r="B1046">
        <v>33</v>
      </c>
      <c r="C1046" t="s">
        <v>51</v>
      </c>
      <c r="D1046">
        <v>100</v>
      </c>
      <c r="E1046" t="s">
        <v>197</v>
      </c>
      <c r="F1046">
        <v>1005</v>
      </c>
      <c r="G1046" t="s">
        <v>51</v>
      </c>
      <c r="H1046">
        <v>2005</v>
      </c>
      <c r="I1046" t="s">
        <v>51</v>
      </c>
      <c r="J1046">
        <v>3015</v>
      </c>
      <c r="K1046" t="s">
        <v>848</v>
      </c>
      <c r="L1046">
        <v>0</v>
      </c>
      <c r="N1046" t="s">
        <v>281</v>
      </c>
      <c r="O1046">
        <v>20</v>
      </c>
      <c r="P1046">
        <v>1364</v>
      </c>
      <c r="Q1046" t="s">
        <v>855</v>
      </c>
      <c r="R1046" t="s">
        <v>201</v>
      </c>
      <c r="S1046">
        <v>1</v>
      </c>
      <c r="T1046">
        <v>1</v>
      </c>
      <c r="U1046">
        <v>85236</v>
      </c>
      <c r="V1046">
        <v>85236</v>
      </c>
    </row>
    <row r="1047" spans="1:22">
      <c r="A1047" t="s">
        <v>196</v>
      </c>
      <c r="B1047">
        <v>33</v>
      </c>
      <c r="C1047" t="s">
        <v>51</v>
      </c>
      <c r="D1047">
        <v>100</v>
      </c>
      <c r="E1047" t="s">
        <v>197</v>
      </c>
      <c r="F1047">
        <v>1005</v>
      </c>
      <c r="G1047" t="s">
        <v>51</v>
      </c>
      <c r="H1047">
        <v>2005</v>
      </c>
      <c r="I1047" t="s">
        <v>51</v>
      </c>
      <c r="J1047">
        <v>3015</v>
      </c>
      <c r="K1047" t="s">
        <v>848</v>
      </c>
      <c r="L1047">
        <v>0</v>
      </c>
      <c r="N1047" t="s">
        <v>281</v>
      </c>
      <c r="O1047">
        <v>10</v>
      </c>
      <c r="P1047">
        <v>1354</v>
      </c>
      <c r="Q1047" t="s">
        <v>856</v>
      </c>
      <c r="R1047" t="s">
        <v>201</v>
      </c>
      <c r="S1047">
        <v>2</v>
      </c>
      <c r="T1047">
        <v>1</v>
      </c>
      <c r="U1047">
        <v>112080</v>
      </c>
      <c r="V1047">
        <v>224160</v>
      </c>
    </row>
    <row r="1048" spans="1:22">
      <c r="A1048" t="s">
        <v>196</v>
      </c>
      <c r="B1048">
        <v>33</v>
      </c>
      <c r="C1048" t="s">
        <v>51</v>
      </c>
      <c r="D1048">
        <v>100</v>
      </c>
      <c r="E1048" t="s">
        <v>197</v>
      </c>
      <c r="F1048">
        <v>1005</v>
      </c>
      <c r="G1048" t="s">
        <v>51</v>
      </c>
      <c r="H1048">
        <v>2005</v>
      </c>
      <c r="I1048" t="s">
        <v>51</v>
      </c>
      <c r="J1048">
        <v>3015</v>
      </c>
      <c r="K1048" t="s">
        <v>848</v>
      </c>
      <c r="L1048">
        <v>0</v>
      </c>
      <c r="N1048" t="s">
        <v>281</v>
      </c>
      <c r="O1048">
        <v>10</v>
      </c>
      <c r="P1048">
        <v>1354</v>
      </c>
      <c r="Q1048" t="s">
        <v>856</v>
      </c>
      <c r="R1048" t="s">
        <v>201</v>
      </c>
      <c r="S1048">
        <v>1</v>
      </c>
      <c r="T1048">
        <v>1</v>
      </c>
      <c r="U1048">
        <v>97332</v>
      </c>
      <c r="V1048">
        <v>97332</v>
      </c>
    </row>
    <row r="1049" spans="1:22">
      <c r="A1049" t="s">
        <v>196</v>
      </c>
      <c r="B1049">
        <v>33</v>
      </c>
      <c r="C1049" t="s">
        <v>51</v>
      </c>
      <c r="D1049">
        <v>100</v>
      </c>
      <c r="E1049" t="s">
        <v>197</v>
      </c>
      <c r="F1049">
        <v>1005</v>
      </c>
      <c r="G1049" t="s">
        <v>51</v>
      </c>
      <c r="H1049">
        <v>2005</v>
      </c>
      <c r="I1049" t="s">
        <v>51</v>
      </c>
      <c r="J1049">
        <v>3015</v>
      </c>
      <c r="K1049" t="s">
        <v>848</v>
      </c>
      <c r="L1049">
        <v>0</v>
      </c>
      <c r="N1049" t="s">
        <v>281</v>
      </c>
      <c r="O1049">
        <v>10</v>
      </c>
      <c r="P1049">
        <v>1354</v>
      </c>
      <c r="Q1049" t="s">
        <v>856</v>
      </c>
      <c r="R1049" t="s">
        <v>201</v>
      </c>
      <c r="S1049">
        <v>1</v>
      </c>
      <c r="T1049">
        <v>1</v>
      </c>
      <c r="U1049">
        <v>93156</v>
      </c>
      <c r="V1049">
        <v>93156</v>
      </c>
    </row>
    <row r="1050" spans="1:22">
      <c r="A1050" t="s">
        <v>196</v>
      </c>
      <c r="B1050">
        <v>33</v>
      </c>
      <c r="C1050" t="s">
        <v>51</v>
      </c>
      <c r="D1050">
        <v>100</v>
      </c>
      <c r="E1050" t="s">
        <v>197</v>
      </c>
      <c r="F1050">
        <v>1005</v>
      </c>
      <c r="G1050" t="s">
        <v>51</v>
      </c>
      <c r="H1050">
        <v>2005</v>
      </c>
      <c r="I1050" t="s">
        <v>51</v>
      </c>
      <c r="J1050">
        <v>3015</v>
      </c>
      <c r="K1050" t="s">
        <v>848</v>
      </c>
      <c r="L1050">
        <v>0</v>
      </c>
      <c r="N1050" t="s">
        <v>281</v>
      </c>
      <c r="O1050">
        <v>10</v>
      </c>
      <c r="P1050">
        <v>1354</v>
      </c>
      <c r="Q1050" t="s">
        <v>856</v>
      </c>
      <c r="R1050" t="s">
        <v>201</v>
      </c>
      <c r="S1050">
        <v>1</v>
      </c>
      <c r="T1050">
        <v>1</v>
      </c>
      <c r="U1050">
        <v>85236</v>
      </c>
      <c r="V1050">
        <v>85236</v>
      </c>
    </row>
    <row r="1051" spans="1:22">
      <c r="A1051" t="s">
        <v>196</v>
      </c>
      <c r="B1051">
        <v>33</v>
      </c>
      <c r="C1051" t="s">
        <v>51</v>
      </c>
      <c r="D1051">
        <v>100</v>
      </c>
      <c r="E1051" t="s">
        <v>197</v>
      </c>
      <c r="F1051">
        <v>1005</v>
      </c>
      <c r="G1051" t="s">
        <v>51</v>
      </c>
      <c r="H1051">
        <v>2005</v>
      </c>
      <c r="I1051" t="s">
        <v>51</v>
      </c>
      <c r="J1051">
        <v>3015</v>
      </c>
      <c r="K1051" t="s">
        <v>848</v>
      </c>
      <c r="L1051">
        <v>0</v>
      </c>
      <c r="N1051" t="s">
        <v>281</v>
      </c>
      <c r="O1051">
        <v>10</v>
      </c>
      <c r="P1051">
        <v>1354</v>
      </c>
      <c r="Q1051" t="s">
        <v>856</v>
      </c>
      <c r="R1051" t="s">
        <v>201</v>
      </c>
      <c r="S1051">
        <v>3</v>
      </c>
      <c r="T1051">
        <v>1</v>
      </c>
      <c r="U1051">
        <v>82884</v>
      </c>
      <c r="V1051">
        <v>248652</v>
      </c>
    </row>
    <row r="1052" spans="1:22">
      <c r="A1052" t="s">
        <v>196</v>
      </c>
      <c r="B1052">
        <v>33</v>
      </c>
      <c r="C1052" t="s">
        <v>51</v>
      </c>
      <c r="D1052">
        <v>100</v>
      </c>
      <c r="E1052" t="s">
        <v>197</v>
      </c>
      <c r="F1052">
        <v>1005</v>
      </c>
      <c r="G1052" t="s">
        <v>51</v>
      </c>
      <c r="H1052">
        <v>2005</v>
      </c>
      <c r="I1052" t="s">
        <v>51</v>
      </c>
      <c r="J1052">
        <v>3015</v>
      </c>
      <c r="K1052" t="s">
        <v>848</v>
      </c>
      <c r="L1052">
        <v>0</v>
      </c>
      <c r="N1052" t="s">
        <v>287</v>
      </c>
      <c r="O1052">
        <v>20</v>
      </c>
      <c r="P1052">
        <v>1347</v>
      </c>
      <c r="Q1052" t="s">
        <v>857</v>
      </c>
      <c r="R1052" t="s">
        <v>201</v>
      </c>
      <c r="S1052">
        <v>1</v>
      </c>
      <c r="T1052">
        <v>1</v>
      </c>
      <c r="U1052">
        <v>82884</v>
      </c>
      <c r="V1052">
        <v>82884</v>
      </c>
    </row>
    <row r="1053" spans="1:22">
      <c r="A1053" t="s">
        <v>196</v>
      </c>
      <c r="B1053">
        <v>33</v>
      </c>
      <c r="C1053" t="s">
        <v>51</v>
      </c>
      <c r="D1053">
        <v>100</v>
      </c>
      <c r="E1053" t="s">
        <v>197</v>
      </c>
      <c r="F1053">
        <v>1005</v>
      </c>
      <c r="G1053" t="s">
        <v>51</v>
      </c>
      <c r="H1053">
        <v>2005</v>
      </c>
      <c r="I1053" t="s">
        <v>51</v>
      </c>
      <c r="J1053">
        <v>3015</v>
      </c>
      <c r="K1053" t="s">
        <v>848</v>
      </c>
      <c r="L1053">
        <v>0</v>
      </c>
      <c r="N1053" t="s">
        <v>287</v>
      </c>
      <c r="O1053">
        <v>20</v>
      </c>
      <c r="P1053">
        <v>1347</v>
      </c>
      <c r="Q1053" t="s">
        <v>857</v>
      </c>
      <c r="R1053" t="s">
        <v>201</v>
      </c>
      <c r="S1053">
        <v>1</v>
      </c>
      <c r="T1053">
        <v>1</v>
      </c>
      <c r="U1053">
        <v>79728</v>
      </c>
      <c r="V1053">
        <v>79728</v>
      </c>
    </row>
    <row r="1054" spans="1:22">
      <c r="A1054" t="s">
        <v>196</v>
      </c>
      <c r="B1054">
        <v>33</v>
      </c>
      <c r="C1054" t="s">
        <v>51</v>
      </c>
      <c r="D1054">
        <v>100</v>
      </c>
      <c r="E1054" t="s">
        <v>197</v>
      </c>
      <c r="F1054">
        <v>1005</v>
      </c>
      <c r="G1054" t="s">
        <v>51</v>
      </c>
      <c r="H1054">
        <v>2005</v>
      </c>
      <c r="I1054" t="s">
        <v>51</v>
      </c>
      <c r="J1054">
        <v>3015</v>
      </c>
      <c r="K1054" t="s">
        <v>848</v>
      </c>
      <c r="L1054">
        <v>0</v>
      </c>
      <c r="N1054" t="s">
        <v>702</v>
      </c>
      <c r="O1054">
        <v>1</v>
      </c>
      <c r="P1054">
        <v>1308</v>
      </c>
      <c r="Q1054" t="s">
        <v>858</v>
      </c>
      <c r="R1054" t="s">
        <v>201</v>
      </c>
      <c r="S1054">
        <v>1</v>
      </c>
      <c r="T1054">
        <v>1</v>
      </c>
      <c r="U1054">
        <v>102516</v>
      </c>
      <c r="V1054">
        <v>102516</v>
      </c>
    </row>
    <row r="1055" spans="1:22">
      <c r="A1055" t="s">
        <v>196</v>
      </c>
      <c r="B1055">
        <v>33</v>
      </c>
      <c r="C1055" t="s">
        <v>51</v>
      </c>
      <c r="D1055">
        <v>100</v>
      </c>
      <c r="E1055" t="s">
        <v>197</v>
      </c>
      <c r="F1055">
        <v>1005</v>
      </c>
      <c r="G1055" t="s">
        <v>51</v>
      </c>
      <c r="H1055">
        <v>2005</v>
      </c>
      <c r="I1055" t="s">
        <v>51</v>
      </c>
      <c r="J1055">
        <v>3015</v>
      </c>
      <c r="K1055" t="s">
        <v>848</v>
      </c>
      <c r="L1055">
        <v>0</v>
      </c>
      <c r="N1055" t="s">
        <v>259</v>
      </c>
      <c r="O1055">
        <v>20</v>
      </c>
      <c r="P1055">
        <v>323</v>
      </c>
      <c r="Q1055" t="s">
        <v>260</v>
      </c>
      <c r="R1055" t="s">
        <v>201</v>
      </c>
      <c r="S1055">
        <v>1</v>
      </c>
      <c r="T1055">
        <v>1</v>
      </c>
      <c r="U1055">
        <v>55272</v>
      </c>
      <c r="V1055">
        <v>55272</v>
      </c>
    </row>
    <row r="1056" spans="1:22">
      <c r="A1056" t="s">
        <v>196</v>
      </c>
      <c r="B1056">
        <v>33</v>
      </c>
      <c r="C1056" t="s">
        <v>51</v>
      </c>
      <c r="D1056">
        <v>100</v>
      </c>
      <c r="E1056" t="s">
        <v>197</v>
      </c>
      <c r="F1056">
        <v>1005</v>
      </c>
      <c r="G1056" t="s">
        <v>51</v>
      </c>
      <c r="H1056">
        <v>2005</v>
      </c>
      <c r="I1056" t="s">
        <v>51</v>
      </c>
      <c r="J1056">
        <v>3015</v>
      </c>
      <c r="K1056" t="s">
        <v>848</v>
      </c>
      <c r="L1056">
        <v>0</v>
      </c>
      <c r="N1056" t="s">
        <v>199</v>
      </c>
      <c r="O1056">
        <v>0</v>
      </c>
      <c r="P1056">
        <v>15</v>
      </c>
      <c r="Q1056" t="s">
        <v>264</v>
      </c>
      <c r="R1056" t="s">
        <v>201</v>
      </c>
      <c r="S1056">
        <v>0</v>
      </c>
      <c r="T1056">
        <v>0</v>
      </c>
      <c r="U1056">
        <v>26448</v>
      </c>
      <c r="V1056">
        <v>26448</v>
      </c>
    </row>
    <row r="1057" spans="1:22">
      <c r="A1057" t="s">
        <v>196</v>
      </c>
      <c r="B1057">
        <v>33</v>
      </c>
      <c r="C1057" t="s">
        <v>51</v>
      </c>
      <c r="D1057">
        <v>100</v>
      </c>
      <c r="E1057" t="s">
        <v>197</v>
      </c>
      <c r="F1057">
        <v>1005</v>
      </c>
      <c r="G1057" t="s">
        <v>51</v>
      </c>
      <c r="H1057">
        <v>2005</v>
      </c>
      <c r="I1057" t="s">
        <v>51</v>
      </c>
      <c r="J1057">
        <v>3026</v>
      </c>
      <c r="K1057" t="s">
        <v>859</v>
      </c>
      <c r="L1057">
        <v>4026</v>
      </c>
      <c r="M1057" t="s">
        <v>860</v>
      </c>
      <c r="N1057" t="s">
        <v>266</v>
      </c>
      <c r="O1057">
        <v>9</v>
      </c>
      <c r="P1057">
        <v>9679</v>
      </c>
      <c r="Q1057" t="s">
        <v>338</v>
      </c>
      <c r="R1057" t="s">
        <v>201</v>
      </c>
      <c r="S1057">
        <v>1</v>
      </c>
      <c r="T1057">
        <v>1</v>
      </c>
      <c r="U1057">
        <v>175512</v>
      </c>
      <c r="V1057">
        <v>175512</v>
      </c>
    </row>
    <row r="1058" spans="1:22">
      <c r="A1058" t="s">
        <v>196</v>
      </c>
      <c r="B1058">
        <v>33</v>
      </c>
      <c r="C1058" t="s">
        <v>51</v>
      </c>
      <c r="D1058">
        <v>100</v>
      </c>
      <c r="E1058" t="s">
        <v>197</v>
      </c>
      <c r="F1058">
        <v>1005</v>
      </c>
      <c r="G1058" t="s">
        <v>51</v>
      </c>
      <c r="H1058">
        <v>2005</v>
      </c>
      <c r="I1058" t="s">
        <v>51</v>
      </c>
      <c r="J1058">
        <v>3026</v>
      </c>
      <c r="K1058" t="s">
        <v>859</v>
      </c>
      <c r="L1058">
        <v>4026</v>
      </c>
      <c r="M1058" t="s">
        <v>860</v>
      </c>
      <c r="N1058" t="s">
        <v>274</v>
      </c>
      <c r="O1058">
        <v>20</v>
      </c>
      <c r="P1058">
        <v>1309</v>
      </c>
      <c r="Q1058" t="s">
        <v>861</v>
      </c>
      <c r="R1058" t="s">
        <v>201</v>
      </c>
      <c r="S1058">
        <v>1</v>
      </c>
      <c r="T1058">
        <v>1</v>
      </c>
      <c r="U1058">
        <v>146808</v>
      </c>
      <c r="V1058">
        <v>146808</v>
      </c>
    </row>
    <row r="1059" spans="1:22">
      <c r="A1059" t="s">
        <v>196</v>
      </c>
      <c r="B1059">
        <v>33</v>
      </c>
      <c r="C1059" t="s">
        <v>51</v>
      </c>
      <c r="D1059">
        <v>100</v>
      </c>
      <c r="E1059" t="s">
        <v>197</v>
      </c>
      <c r="F1059">
        <v>1005</v>
      </c>
      <c r="G1059" t="s">
        <v>51</v>
      </c>
      <c r="H1059">
        <v>2005</v>
      </c>
      <c r="I1059" t="s">
        <v>51</v>
      </c>
      <c r="J1059">
        <v>3026</v>
      </c>
      <c r="K1059" t="s">
        <v>859</v>
      </c>
      <c r="L1059">
        <v>4026</v>
      </c>
      <c r="M1059" t="s">
        <v>860</v>
      </c>
      <c r="N1059" t="s">
        <v>341</v>
      </c>
      <c r="O1059">
        <v>1</v>
      </c>
      <c r="P1059">
        <v>1306</v>
      </c>
      <c r="Q1059" t="s">
        <v>862</v>
      </c>
      <c r="R1059" t="s">
        <v>201</v>
      </c>
      <c r="S1059">
        <v>3</v>
      </c>
      <c r="T1059">
        <v>1</v>
      </c>
      <c r="U1059">
        <v>90144</v>
      </c>
      <c r="V1059">
        <v>270432</v>
      </c>
    </row>
    <row r="1060" spans="1:22">
      <c r="A1060" t="s">
        <v>196</v>
      </c>
      <c r="B1060">
        <v>33</v>
      </c>
      <c r="C1060" t="s">
        <v>51</v>
      </c>
      <c r="D1060">
        <v>100</v>
      </c>
      <c r="E1060" t="s">
        <v>197</v>
      </c>
      <c r="F1060">
        <v>1005</v>
      </c>
      <c r="G1060" t="s">
        <v>51</v>
      </c>
      <c r="H1060">
        <v>2005</v>
      </c>
      <c r="I1060" t="s">
        <v>51</v>
      </c>
      <c r="J1060">
        <v>3026</v>
      </c>
      <c r="K1060" t="s">
        <v>859</v>
      </c>
      <c r="L1060">
        <v>4026</v>
      </c>
      <c r="M1060" t="s">
        <v>860</v>
      </c>
      <c r="N1060" t="s">
        <v>341</v>
      </c>
      <c r="O1060">
        <v>1</v>
      </c>
      <c r="P1060">
        <v>1306</v>
      </c>
      <c r="Q1060" t="s">
        <v>862</v>
      </c>
      <c r="R1060" t="s">
        <v>201</v>
      </c>
      <c r="S1060">
        <v>1</v>
      </c>
      <c r="T1060">
        <v>1</v>
      </c>
      <c r="U1060">
        <v>81324</v>
      </c>
      <c r="V1060">
        <v>81324</v>
      </c>
    </row>
    <row r="1061" spans="1:22">
      <c r="A1061" t="s">
        <v>196</v>
      </c>
      <c r="B1061">
        <v>33</v>
      </c>
      <c r="C1061" t="s">
        <v>51</v>
      </c>
      <c r="D1061">
        <v>100</v>
      </c>
      <c r="E1061" t="s">
        <v>197</v>
      </c>
      <c r="F1061">
        <v>1005</v>
      </c>
      <c r="G1061" t="s">
        <v>51</v>
      </c>
      <c r="H1061">
        <v>2005</v>
      </c>
      <c r="I1061" t="s">
        <v>51</v>
      </c>
      <c r="J1061">
        <v>3026</v>
      </c>
      <c r="K1061" t="s">
        <v>859</v>
      </c>
      <c r="L1061">
        <v>4026</v>
      </c>
      <c r="M1061" t="s">
        <v>860</v>
      </c>
      <c r="N1061" t="s">
        <v>341</v>
      </c>
      <c r="O1061">
        <v>1</v>
      </c>
      <c r="P1061">
        <v>1306</v>
      </c>
      <c r="Q1061" t="s">
        <v>862</v>
      </c>
      <c r="R1061" t="s">
        <v>201</v>
      </c>
      <c r="S1061">
        <v>1</v>
      </c>
      <c r="T1061">
        <v>1</v>
      </c>
      <c r="U1061">
        <v>77640</v>
      </c>
      <c r="V1061">
        <v>77640</v>
      </c>
    </row>
    <row r="1062" spans="1:22">
      <c r="A1062" t="s">
        <v>196</v>
      </c>
      <c r="B1062">
        <v>33</v>
      </c>
      <c r="C1062" t="s">
        <v>51</v>
      </c>
      <c r="D1062">
        <v>100</v>
      </c>
      <c r="E1062" t="s">
        <v>197</v>
      </c>
      <c r="F1062">
        <v>1005</v>
      </c>
      <c r="G1062" t="s">
        <v>51</v>
      </c>
      <c r="H1062">
        <v>2005</v>
      </c>
      <c r="I1062" t="s">
        <v>51</v>
      </c>
      <c r="J1062">
        <v>3026</v>
      </c>
      <c r="K1062" t="s">
        <v>859</v>
      </c>
      <c r="L1062">
        <v>4026</v>
      </c>
      <c r="M1062" t="s">
        <v>860</v>
      </c>
      <c r="N1062" t="s">
        <v>341</v>
      </c>
      <c r="O1062">
        <v>1</v>
      </c>
      <c r="P1062">
        <v>1306</v>
      </c>
      <c r="Q1062" t="s">
        <v>862</v>
      </c>
      <c r="R1062" t="s">
        <v>201</v>
      </c>
      <c r="S1062">
        <v>1</v>
      </c>
      <c r="T1062">
        <v>1</v>
      </c>
      <c r="U1062">
        <v>74172</v>
      </c>
      <c r="V1062">
        <v>74172</v>
      </c>
    </row>
    <row r="1063" spans="1:22">
      <c r="A1063" t="s">
        <v>196</v>
      </c>
      <c r="B1063">
        <v>33</v>
      </c>
      <c r="C1063" t="s">
        <v>51</v>
      </c>
      <c r="D1063">
        <v>100</v>
      </c>
      <c r="E1063" t="s">
        <v>197</v>
      </c>
      <c r="F1063">
        <v>1005</v>
      </c>
      <c r="G1063" t="s">
        <v>51</v>
      </c>
      <c r="H1063">
        <v>2005</v>
      </c>
      <c r="I1063" t="s">
        <v>51</v>
      </c>
      <c r="J1063">
        <v>3026</v>
      </c>
      <c r="K1063" t="s">
        <v>859</v>
      </c>
      <c r="L1063">
        <v>4026</v>
      </c>
      <c r="M1063" t="s">
        <v>860</v>
      </c>
      <c r="N1063" t="s">
        <v>863</v>
      </c>
      <c r="O1063">
        <v>10</v>
      </c>
      <c r="P1063">
        <v>451</v>
      </c>
      <c r="Q1063" t="s">
        <v>864</v>
      </c>
      <c r="R1063" t="s">
        <v>201</v>
      </c>
      <c r="S1063">
        <v>1</v>
      </c>
      <c r="T1063">
        <v>1</v>
      </c>
      <c r="U1063">
        <v>55848</v>
      </c>
      <c r="V1063">
        <v>55848</v>
      </c>
    </row>
    <row r="1064" spans="1:22">
      <c r="A1064" t="s">
        <v>196</v>
      </c>
      <c r="B1064">
        <v>33</v>
      </c>
      <c r="C1064" t="s">
        <v>51</v>
      </c>
      <c r="D1064">
        <v>100</v>
      </c>
      <c r="E1064" t="s">
        <v>197</v>
      </c>
      <c r="F1064">
        <v>1005</v>
      </c>
      <c r="G1064" t="s">
        <v>51</v>
      </c>
      <c r="H1064">
        <v>2005</v>
      </c>
      <c r="I1064" t="s">
        <v>51</v>
      </c>
      <c r="J1064">
        <v>3026</v>
      </c>
      <c r="K1064" t="s">
        <v>859</v>
      </c>
      <c r="L1064">
        <v>4026</v>
      </c>
      <c r="M1064" t="s">
        <v>860</v>
      </c>
      <c r="N1064" t="s">
        <v>351</v>
      </c>
      <c r="O1064">
        <v>1</v>
      </c>
      <c r="P1064" t="s">
        <v>352</v>
      </c>
      <c r="Q1064" t="s">
        <v>353</v>
      </c>
      <c r="R1064" t="s">
        <v>201</v>
      </c>
      <c r="S1064">
        <v>1</v>
      </c>
      <c r="T1064">
        <v>1</v>
      </c>
      <c r="U1064">
        <v>67608</v>
      </c>
      <c r="V1064">
        <v>67608</v>
      </c>
    </row>
    <row r="1065" spans="1:22">
      <c r="A1065" t="s">
        <v>196</v>
      </c>
      <c r="B1065">
        <v>33</v>
      </c>
      <c r="C1065" t="s">
        <v>51</v>
      </c>
      <c r="D1065">
        <v>100</v>
      </c>
      <c r="E1065" t="s">
        <v>197</v>
      </c>
      <c r="F1065">
        <v>1005</v>
      </c>
      <c r="G1065" t="s">
        <v>51</v>
      </c>
      <c r="H1065">
        <v>2005</v>
      </c>
      <c r="I1065" t="s">
        <v>51</v>
      </c>
      <c r="J1065">
        <v>3026</v>
      </c>
      <c r="K1065" t="s">
        <v>859</v>
      </c>
      <c r="L1065">
        <v>4026</v>
      </c>
      <c r="M1065" t="s">
        <v>860</v>
      </c>
      <c r="N1065" t="s">
        <v>199</v>
      </c>
      <c r="O1065">
        <v>0</v>
      </c>
      <c r="P1065">
        <v>15</v>
      </c>
      <c r="Q1065" t="s">
        <v>264</v>
      </c>
      <c r="R1065" t="s">
        <v>201</v>
      </c>
      <c r="S1065">
        <v>0</v>
      </c>
      <c r="T1065">
        <v>0</v>
      </c>
      <c r="U1065">
        <v>12548</v>
      </c>
      <c r="V1065">
        <v>12548</v>
      </c>
    </row>
    <row r="1066" spans="1:22">
      <c r="A1066" t="s">
        <v>196</v>
      </c>
      <c r="B1066">
        <v>33</v>
      </c>
      <c r="C1066" t="s">
        <v>51</v>
      </c>
      <c r="D1066">
        <v>100</v>
      </c>
      <c r="E1066" t="s">
        <v>197</v>
      </c>
      <c r="F1066">
        <v>1005</v>
      </c>
      <c r="G1066" t="s">
        <v>51</v>
      </c>
      <c r="H1066">
        <v>2005</v>
      </c>
      <c r="I1066" t="s">
        <v>51</v>
      </c>
      <c r="J1066">
        <v>3026</v>
      </c>
      <c r="K1066" t="s">
        <v>859</v>
      </c>
      <c r="L1066">
        <v>4027</v>
      </c>
      <c r="M1066" t="s">
        <v>865</v>
      </c>
      <c r="N1066" t="s">
        <v>261</v>
      </c>
      <c r="O1066">
        <v>20</v>
      </c>
      <c r="P1066">
        <v>647</v>
      </c>
      <c r="Q1066" t="s">
        <v>330</v>
      </c>
      <c r="R1066" t="s">
        <v>201</v>
      </c>
      <c r="S1066">
        <v>2</v>
      </c>
      <c r="T1066">
        <v>1</v>
      </c>
      <c r="U1066">
        <v>122556</v>
      </c>
      <c r="V1066">
        <v>245112</v>
      </c>
    </row>
    <row r="1067" spans="1:22">
      <c r="A1067" t="s">
        <v>196</v>
      </c>
      <c r="B1067">
        <v>33</v>
      </c>
      <c r="C1067" t="s">
        <v>51</v>
      </c>
      <c r="D1067">
        <v>100</v>
      </c>
      <c r="E1067" t="s">
        <v>197</v>
      </c>
      <c r="F1067">
        <v>1005</v>
      </c>
      <c r="G1067" t="s">
        <v>51</v>
      </c>
      <c r="H1067">
        <v>2005</v>
      </c>
      <c r="I1067" t="s">
        <v>51</v>
      </c>
      <c r="J1067">
        <v>3026</v>
      </c>
      <c r="K1067" t="s">
        <v>859</v>
      </c>
      <c r="L1067">
        <v>4027</v>
      </c>
      <c r="M1067" t="s">
        <v>865</v>
      </c>
      <c r="N1067" t="s">
        <v>261</v>
      </c>
      <c r="O1067">
        <v>20</v>
      </c>
      <c r="P1067">
        <v>647</v>
      </c>
      <c r="Q1067" t="s">
        <v>330</v>
      </c>
      <c r="R1067" t="s">
        <v>201</v>
      </c>
      <c r="S1067">
        <v>1</v>
      </c>
      <c r="T1067">
        <v>1</v>
      </c>
      <c r="U1067">
        <v>97332</v>
      </c>
      <c r="V1067">
        <v>97332</v>
      </c>
    </row>
    <row r="1068" spans="1:22">
      <c r="A1068" t="s">
        <v>196</v>
      </c>
      <c r="B1068">
        <v>33</v>
      </c>
      <c r="C1068" t="s">
        <v>51</v>
      </c>
      <c r="D1068">
        <v>100</v>
      </c>
      <c r="E1068" t="s">
        <v>197</v>
      </c>
      <c r="F1068">
        <v>1005</v>
      </c>
      <c r="G1068" t="s">
        <v>51</v>
      </c>
      <c r="H1068">
        <v>2005</v>
      </c>
      <c r="I1068" t="s">
        <v>51</v>
      </c>
      <c r="J1068">
        <v>3026</v>
      </c>
      <c r="K1068" t="s">
        <v>859</v>
      </c>
      <c r="L1068">
        <v>4027</v>
      </c>
      <c r="M1068" t="s">
        <v>865</v>
      </c>
      <c r="N1068" t="s">
        <v>199</v>
      </c>
      <c r="O1068">
        <v>0</v>
      </c>
      <c r="P1068">
        <v>15</v>
      </c>
      <c r="Q1068" t="s">
        <v>264</v>
      </c>
      <c r="R1068" t="s">
        <v>201</v>
      </c>
      <c r="S1068">
        <v>0</v>
      </c>
      <c r="T1068">
        <v>0</v>
      </c>
      <c r="U1068">
        <v>3938</v>
      </c>
      <c r="V1068">
        <v>3938</v>
      </c>
    </row>
    <row r="1069" spans="1:22">
      <c r="A1069" t="s">
        <v>196</v>
      </c>
      <c r="B1069">
        <v>33</v>
      </c>
      <c r="C1069" t="s">
        <v>51</v>
      </c>
      <c r="D1069">
        <v>100</v>
      </c>
      <c r="E1069" t="s">
        <v>197</v>
      </c>
      <c r="F1069">
        <v>1005</v>
      </c>
      <c r="G1069" t="s">
        <v>51</v>
      </c>
      <c r="H1069">
        <v>2005</v>
      </c>
      <c r="I1069" t="s">
        <v>51</v>
      </c>
      <c r="J1069">
        <v>3035</v>
      </c>
      <c r="K1069" t="s">
        <v>866</v>
      </c>
      <c r="L1069">
        <v>4035</v>
      </c>
      <c r="M1069" t="s">
        <v>867</v>
      </c>
      <c r="N1069" t="s">
        <v>261</v>
      </c>
      <c r="O1069">
        <v>20</v>
      </c>
      <c r="P1069">
        <v>1398</v>
      </c>
      <c r="Q1069" t="s">
        <v>868</v>
      </c>
      <c r="R1069" t="s">
        <v>201</v>
      </c>
      <c r="S1069">
        <v>2</v>
      </c>
      <c r="T1069">
        <v>1</v>
      </c>
      <c r="U1069">
        <v>122556</v>
      </c>
      <c r="V1069">
        <v>245112</v>
      </c>
    </row>
    <row r="1070" spans="1:22">
      <c r="A1070" t="s">
        <v>196</v>
      </c>
      <c r="B1070">
        <v>33</v>
      </c>
      <c r="C1070" t="s">
        <v>51</v>
      </c>
      <c r="D1070">
        <v>100</v>
      </c>
      <c r="E1070" t="s">
        <v>197</v>
      </c>
      <c r="F1070">
        <v>1005</v>
      </c>
      <c r="G1070" t="s">
        <v>51</v>
      </c>
      <c r="H1070">
        <v>2005</v>
      </c>
      <c r="I1070" t="s">
        <v>51</v>
      </c>
      <c r="J1070">
        <v>3035</v>
      </c>
      <c r="K1070" t="s">
        <v>866</v>
      </c>
      <c r="L1070">
        <v>4035</v>
      </c>
      <c r="M1070" t="s">
        <v>867</v>
      </c>
      <c r="N1070" t="s">
        <v>261</v>
      </c>
      <c r="O1070">
        <v>20</v>
      </c>
      <c r="P1070">
        <v>1398</v>
      </c>
      <c r="Q1070" t="s">
        <v>868</v>
      </c>
      <c r="R1070" t="s">
        <v>201</v>
      </c>
      <c r="S1070">
        <v>1</v>
      </c>
      <c r="T1070">
        <v>1</v>
      </c>
      <c r="U1070">
        <v>101628</v>
      </c>
      <c r="V1070">
        <v>101628</v>
      </c>
    </row>
    <row r="1071" spans="1:22">
      <c r="A1071" t="s">
        <v>196</v>
      </c>
      <c r="B1071">
        <v>33</v>
      </c>
      <c r="C1071" t="s">
        <v>51</v>
      </c>
      <c r="D1071">
        <v>100</v>
      </c>
      <c r="E1071" t="s">
        <v>197</v>
      </c>
      <c r="F1071">
        <v>1005</v>
      </c>
      <c r="G1071" t="s">
        <v>51</v>
      </c>
      <c r="H1071">
        <v>2005</v>
      </c>
      <c r="I1071" t="s">
        <v>51</v>
      </c>
      <c r="J1071">
        <v>3035</v>
      </c>
      <c r="K1071" t="s">
        <v>866</v>
      </c>
      <c r="L1071">
        <v>4035</v>
      </c>
      <c r="M1071" t="s">
        <v>867</v>
      </c>
      <c r="N1071" t="s">
        <v>281</v>
      </c>
      <c r="O1071">
        <v>20</v>
      </c>
      <c r="P1071">
        <v>1379</v>
      </c>
      <c r="Q1071" t="s">
        <v>869</v>
      </c>
      <c r="R1071" t="s">
        <v>201</v>
      </c>
      <c r="S1071">
        <v>1</v>
      </c>
      <c r="T1071">
        <v>1</v>
      </c>
      <c r="U1071">
        <v>89112</v>
      </c>
      <c r="V1071">
        <v>89112</v>
      </c>
    </row>
    <row r="1072" spans="1:22">
      <c r="A1072" t="s">
        <v>196</v>
      </c>
      <c r="B1072">
        <v>33</v>
      </c>
      <c r="C1072" t="s">
        <v>51</v>
      </c>
      <c r="D1072">
        <v>100</v>
      </c>
      <c r="E1072" t="s">
        <v>197</v>
      </c>
      <c r="F1072">
        <v>1005</v>
      </c>
      <c r="G1072" t="s">
        <v>51</v>
      </c>
      <c r="H1072">
        <v>2005</v>
      </c>
      <c r="I1072" t="s">
        <v>51</v>
      </c>
      <c r="J1072">
        <v>3035</v>
      </c>
      <c r="K1072" t="s">
        <v>866</v>
      </c>
      <c r="L1072">
        <v>4035</v>
      </c>
      <c r="M1072" t="s">
        <v>867</v>
      </c>
      <c r="N1072" t="s">
        <v>633</v>
      </c>
      <c r="O1072">
        <v>1</v>
      </c>
      <c r="P1072">
        <v>1370</v>
      </c>
      <c r="Q1072" t="s">
        <v>870</v>
      </c>
      <c r="R1072" t="s">
        <v>201</v>
      </c>
      <c r="S1072">
        <v>1</v>
      </c>
      <c r="T1072">
        <v>1</v>
      </c>
      <c r="U1072">
        <v>98460</v>
      </c>
      <c r="V1072">
        <v>98460</v>
      </c>
    </row>
    <row r="1073" spans="1:22">
      <c r="A1073" t="s">
        <v>196</v>
      </c>
      <c r="B1073">
        <v>33</v>
      </c>
      <c r="C1073" t="s">
        <v>51</v>
      </c>
      <c r="D1073">
        <v>100</v>
      </c>
      <c r="E1073" t="s">
        <v>197</v>
      </c>
      <c r="F1073">
        <v>1005</v>
      </c>
      <c r="G1073" t="s">
        <v>51</v>
      </c>
      <c r="H1073">
        <v>2005</v>
      </c>
      <c r="I1073" t="s">
        <v>51</v>
      </c>
      <c r="J1073">
        <v>3035</v>
      </c>
      <c r="K1073" t="s">
        <v>866</v>
      </c>
      <c r="L1073">
        <v>4035</v>
      </c>
      <c r="M1073" t="s">
        <v>867</v>
      </c>
      <c r="N1073" t="s">
        <v>633</v>
      </c>
      <c r="O1073">
        <v>1</v>
      </c>
      <c r="P1073">
        <v>1370</v>
      </c>
      <c r="Q1073" t="s">
        <v>870</v>
      </c>
      <c r="R1073" t="s">
        <v>201</v>
      </c>
      <c r="S1073">
        <v>1</v>
      </c>
      <c r="T1073">
        <v>1</v>
      </c>
      <c r="U1073">
        <v>76464</v>
      </c>
      <c r="V1073">
        <v>76464</v>
      </c>
    </row>
    <row r="1074" spans="1:22">
      <c r="A1074" t="s">
        <v>196</v>
      </c>
      <c r="B1074">
        <v>33</v>
      </c>
      <c r="C1074" t="s">
        <v>51</v>
      </c>
      <c r="D1074">
        <v>100</v>
      </c>
      <c r="E1074" t="s">
        <v>197</v>
      </c>
      <c r="F1074">
        <v>1005</v>
      </c>
      <c r="G1074" t="s">
        <v>51</v>
      </c>
      <c r="H1074">
        <v>2005</v>
      </c>
      <c r="I1074" t="s">
        <v>51</v>
      </c>
      <c r="J1074">
        <v>3035</v>
      </c>
      <c r="K1074" t="s">
        <v>866</v>
      </c>
      <c r="L1074">
        <v>4035</v>
      </c>
      <c r="M1074" t="s">
        <v>867</v>
      </c>
      <c r="N1074" t="s">
        <v>633</v>
      </c>
      <c r="O1074">
        <v>1</v>
      </c>
      <c r="P1074">
        <v>1370</v>
      </c>
      <c r="Q1074" t="s">
        <v>870</v>
      </c>
      <c r="R1074" t="s">
        <v>201</v>
      </c>
      <c r="S1074">
        <v>1</v>
      </c>
      <c r="T1074">
        <v>1</v>
      </c>
      <c r="U1074">
        <v>72684</v>
      </c>
      <c r="V1074">
        <v>72684</v>
      </c>
    </row>
    <row r="1075" spans="1:22">
      <c r="A1075" t="s">
        <v>196</v>
      </c>
      <c r="B1075">
        <v>33</v>
      </c>
      <c r="C1075" t="s">
        <v>51</v>
      </c>
      <c r="D1075">
        <v>100</v>
      </c>
      <c r="E1075" t="s">
        <v>197</v>
      </c>
      <c r="F1075">
        <v>1005</v>
      </c>
      <c r="G1075" t="s">
        <v>51</v>
      </c>
      <c r="H1075">
        <v>2005</v>
      </c>
      <c r="I1075" t="s">
        <v>51</v>
      </c>
      <c r="J1075">
        <v>3035</v>
      </c>
      <c r="K1075" t="s">
        <v>866</v>
      </c>
      <c r="L1075">
        <v>4035</v>
      </c>
      <c r="M1075" t="s">
        <v>867</v>
      </c>
      <c r="N1075" t="s">
        <v>274</v>
      </c>
      <c r="O1075">
        <v>0</v>
      </c>
      <c r="P1075">
        <v>1339</v>
      </c>
      <c r="Q1075" t="s">
        <v>871</v>
      </c>
      <c r="R1075" t="s">
        <v>201</v>
      </c>
      <c r="S1075">
        <v>1</v>
      </c>
      <c r="T1075">
        <v>1</v>
      </c>
      <c r="U1075">
        <v>146808</v>
      </c>
      <c r="V1075">
        <v>146808</v>
      </c>
    </row>
    <row r="1076" spans="1:22">
      <c r="A1076" t="s">
        <v>196</v>
      </c>
      <c r="B1076">
        <v>33</v>
      </c>
      <c r="C1076" t="s">
        <v>51</v>
      </c>
      <c r="D1076">
        <v>100</v>
      </c>
      <c r="E1076" t="s">
        <v>197</v>
      </c>
      <c r="F1076">
        <v>1005</v>
      </c>
      <c r="G1076" t="s">
        <v>51</v>
      </c>
      <c r="H1076">
        <v>2005</v>
      </c>
      <c r="I1076" t="s">
        <v>51</v>
      </c>
      <c r="J1076">
        <v>3035</v>
      </c>
      <c r="K1076" t="s">
        <v>866</v>
      </c>
      <c r="L1076">
        <v>4035</v>
      </c>
      <c r="M1076" t="s">
        <v>867</v>
      </c>
      <c r="N1076" t="s">
        <v>199</v>
      </c>
      <c r="O1076">
        <v>0</v>
      </c>
      <c r="P1076">
        <v>15</v>
      </c>
      <c r="Q1076" t="s">
        <v>264</v>
      </c>
      <c r="R1076" t="s">
        <v>201</v>
      </c>
      <c r="S1076">
        <v>0</v>
      </c>
      <c r="T1076">
        <v>0</v>
      </c>
      <c r="U1076">
        <v>9815</v>
      </c>
      <c r="V1076">
        <v>9815</v>
      </c>
    </row>
    <row r="1077" spans="1:22">
      <c r="A1077" t="s">
        <v>196</v>
      </c>
      <c r="B1077">
        <v>33</v>
      </c>
      <c r="C1077" t="s">
        <v>51</v>
      </c>
      <c r="D1077">
        <v>100</v>
      </c>
      <c r="E1077" t="s">
        <v>197</v>
      </c>
      <c r="F1077">
        <v>1005</v>
      </c>
      <c r="G1077" t="s">
        <v>51</v>
      </c>
      <c r="H1077">
        <v>2005</v>
      </c>
      <c r="I1077" t="s">
        <v>51</v>
      </c>
      <c r="J1077">
        <v>3040</v>
      </c>
      <c r="K1077" t="s">
        <v>872</v>
      </c>
      <c r="L1077">
        <v>4045</v>
      </c>
      <c r="M1077" t="s">
        <v>873</v>
      </c>
      <c r="N1077" t="s">
        <v>261</v>
      </c>
      <c r="O1077">
        <v>20</v>
      </c>
      <c r="P1077">
        <v>1365</v>
      </c>
      <c r="Q1077" t="s">
        <v>874</v>
      </c>
      <c r="R1077" t="s">
        <v>201</v>
      </c>
      <c r="S1077">
        <v>1</v>
      </c>
      <c r="T1077">
        <v>1</v>
      </c>
      <c r="U1077">
        <v>93156</v>
      </c>
      <c r="V1077">
        <v>93156</v>
      </c>
    </row>
    <row r="1078" spans="1:22">
      <c r="A1078" t="s">
        <v>196</v>
      </c>
      <c r="B1078">
        <v>33</v>
      </c>
      <c r="C1078" t="s">
        <v>51</v>
      </c>
      <c r="D1078">
        <v>100</v>
      </c>
      <c r="E1078" t="s">
        <v>197</v>
      </c>
      <c r="F1078">
        <v>1005</v>
      </c>
      <c r="G1078" t="s">
        <v>51</v>
      </c>
      <c r="H1078">
        <v>2005</v>
      </c>
      <c r="I1078" t="s">
        <v>51</v>
      </c>
      <c r="J1078">
        <v>3040</v>
      </c>
      <c r="K1078" t="s">
        <v>872</v>
      </c>
      <c r="L1078">
        <v>4045</v>
      </c>
      <c r="M1078" t="s">
        <v>873</v>
      </c>
      <c r="N1078" t="s">
        <v>261</v>
      </c>
      <c r="O1078">
        <v>20</v>
      </c>
      <c r="P1078">
        <v>1365</v>
      </c>
      <c r="Q1078" t="s">
        <v>874</v>
      </c>
      <c r="R1078" t="s">
        <v>201</v>
      </c>
      <c r="S1078">
        <v>1</v>
      </c>
      <c r="T1078">
        <v>1</v>
      </c>
      <c r="U1078">
        <v>89112</v>
      </c>
      <c r="V1078">
        <v>89112</v>
      </c>
    </row>
    <row r="1079" spans="1:22">
      <c r="A1079" t="s">
        <v>196</v>
      </c>
      <c r="B1079">
        <v>33</v>
      </c>
      <c r="C1079" t="s">
        <v>51</v>
      </c>
      <c r="D1079">
        <v>100</v>
      </c>
      <c r="E1079" t="s">
        <v>197</v>
      </c>
      <c r="F1079">
        <v>1005</v>
      </c>
      <c r="G1079" t="s">
        <v>51</v>
      </c>
      <c r="H1079">
        <v>2005</v>
      </c>
      <c r="I1079" t="s">
        <v>51</v>
      </c>
      <c r="J1079">
        <v>3040</v>
      </c>
      <c r="K1079" t="s">
        <v>872</v>
      </c>
      <c r="L1079">
        <v>4045</v>
      </c>
      <c r="M1079" t="s">
        <v>873</v>
      </c>
      <c r="N1079" t="s">
        <v>297</v>
      </c>
      <c r="O1079">
        <v>20</v>
      </c>
      <c r="P1079">
        <v>1345</v>
      </c>
      <c r="Q1079" t="s">
        <v>875</v>
      </c>
      <c r="R1079" t="s">
        <v>201</v>
      </c>
      <c r="S1079">
        <v>1</v>
      </c>
      <c r="T1079">
        <v>1</v>
      </c>
      <c r="U1079">
        <v>130476</v>
      </c>
      <c r="V1079">
        <v>130476</v>
      </c>
    </row>
    <row r="1080" spans="1:22">
      <c r="A1080" t="s">
        <v>196</v>
      </c>
      <c r="B1080">
        <v>33</v>
      </c>
      <c r="C1080" t="s">
        <v>51</v>
      </c>
      <c r="D1080">
        <v>100</v>
      </c>
      <c r="E1080" t="s">
        <v>197</v>
      </c>
      <c r="F1080">
        <v>1005</v>
      </c>
      <c r="G1080" t="s">
        <v>51</v>
      </c>
      <c r="H1080">
        <v>2005</v>
      </c>
      <c r="I1080" t="s">
        <v>51</v>
      </c>
      <c r="J1080">
        <v>3040</v>
      </c>
      <c r="K1080" t="s">
        <v>872</v>
      </c>
      <c r="L1080">
        <v>4045</v>
      </c>
      <c r="M1080" t="s">
        <v>873</v>
      </c>
      <c r="N1080" t="s">
        <v>274</v>
      </c>
      <c r="O1080">
        <v>0</v>
      </c>
      <c r="P1080">
        <v>1328</v>
      </c>
      <c r="Q1080" t="s">
        <v>876</v>
      </c>
      <c r="R1080" t="s">
        <v>201</v>
      </c>
      <c r="S1080">
        <v>1</v>
      </c>
      <c r="T1080">
        <v>1</v>
      </c>
      <c r="U1080">
        <v>137532</v>
      </c>
      <c r="V1080">
        <v>137532</v>
      </c>
    </row>
    <row r="1081" spans="1:22">
      <c r="A1081" t="s">
        <v>196</v>
      </c>
      <c r="B1081">
        <v>33</v>
      </c>
      <c r="C1081" t="s">
        <v>51</v>
      </c>
      <c r="D1081">
        <v>100</v>
      </c>
      <c r="E1081" t="s">
        <v>197</v>
      </c>
      <c r="F1081">
        <v>1005</v>
      </c>
      <c r="G1081" t="s">
        <v>51</v>
      </c>
      <c r="H1081">
        <v>2005</v>
      </c>
      <c r="I1081" t="s">
        <v>51</v>
      </c>
      <c r="J1081">
        <v>3040</v>
      </c>
      <c r="K1081" t="s">
        <v>872</v>
      </c>
      <c r="L1081">
        <v>4045</v>
      </c>
      <c r="M1081" t="s">
        <v>873</v>
      </c>
      <c r="N1081" t="s">
        <v>283</v>
      </c>
      <c r="O1081">
        <v>20</v>
      </c>
      <c r="P1081">
        <v>1311</v>
      </c>
      <c r="Q1081" t="s">
        <v>877</v>
      </c>
      <c r="R1081" t="s">
        <v>201</v>
      </c>
      <c r="S1081">
        <v>2</v>
      </c>
      <c r="T1081">
        <v>1</v>
      </c>
      <c r="U1081">
        <v>79728</v>
      </c>
      <c r="V1081">
        <v>159456</v>
      </c>
    </row>
    <row r="1082" spans="1:22">
      <c r="A1082" t="s">
        <v>196</v>
      </c>
      <c r="B1082">
        <v>33</v>
      </c>
      <c r="C1082" t="s">
        <v>51</v>
      </c>
      <c r="D1082">
        <v>100</v>
      </c>
      <c r="E1082" t="s">
        <v>197</v>
      </c>
      <c r="F1082">
        <v>1005</v>
      </c>
      <c r="G1082" t="s">
        <v>51</v>
      </c>
      <c r="H1082">
        <v>2005</v>
      </c>
      <c r="I1082" t="s">
        <v>51</v>
      </c>
      <c r="J1082">
        <v>3040</v>
      </c>
      <c r="K1082" t="s">
        <v>872</v>
      </c>
      <c r="L1082">
        <v>4045</v>
      </c>
      <c r="M1082" t="s">
        <v>873</v>
      </c>
      <c r="N1082" t="s">
        <v>351</v>
      </c>
      <c r="O1082">
        <v>1</v>
      </c>
      <c r="P1082" t="s">
        <v>352</v>
      </c>
      <c r="Q1082" t="s">
        <v>353</v>
      </c>
      <c r="R1082" t="s">
        <v>201</v>
      </c>
      <c r="S1082">
        <v>1</v>
      </c>
      <c r="T1082">
        <v>1</v>
      </c>
      <c r="U1082">
        <v>108576</v>
      </c>
      <c r="V1082">
        <v>108576</v>
      </c>
    </row>
    <row r="1083" spans="1:22">
      <c r="A1083" t="s">
        <v>196</v>
      </c>
      <c r="B1083">
        <v>33</v>
      </c>
      <c r="C1083" t="s">
        <v>51</v>
      </c>
      <c r="D1083">
        <v>100</v>
      </c>
      <c r="E1083" t="s">
        <v>197</v>
      </c>
      <c r="F1083">
        <v>1005</v>
      </c>
      <c r="G1083" t="s">
        <v>51</v>
      </c>
      <c r="H1083">
        <v>2005</v>
      </c>
      <c r="I1083" t="s">
        <v>51</v>
      </c>
      <c r="J1083">
        <v>3040</v>
      </c>
      <c r="K1083" t="s">
        <v>872</v>
      </c>
      <c r="L1083">
        <v>4045</v>
      </c>
      <c r="M1083" t="s">
        <v>873</v>
      </c>
      <c r="N1083" t="s">
        <v>622</v>
      </c>
      <c r="O1083">
        <v>1</v>
      </c>
      <c r="P1083" t="s">
        <v>667</v>
      </c>
      <c r="Q1083" t="s">
        <v>205</v>
      </c>
      <c r="R1083" t="s">
        <v>201</v>
      </c>
      <c r="S1083">
        <v>2</v>
      </c>
      <c r="T1083">
        <v>1</v>
      </c>
      <c r="U1083">
        <v>90144</v>
      </c>
      <c r="V1083">
        <v>180288</v>
      </c>
    </row>
    <row r="1084" spans="1:22">
      <c r="A1084" t="s">
        <v>196</v>
      </c>
      <c r="B1084">
        <v>33</v>
      </c>
      <c r="C1084" t="s">
        <v>51</v>
      </c>
      <c r="D1084">
        <v>100</v>
      </c>
      <c r="E1084" t="s">
        <v>197</v>
      </c>
      <c r="F1084">
        <v>1005</v>
      </c>
      <c r="G1084" t="s">
        <v>51</v>
      </c>
      <c r="H1084">
        <v>2005</v>
      </c>
      <c r="I1084" t="s">
        <v>51</v>
      </c>
      <c r="J1084">
        <v>3040</v>
      </c>
      <c r="K1084" t="s">
        <v>872</v>
      </c>
      <c r="L1084">
        <v>4045</v>
      </c>
      <c r="M1084" t="s">
        <v>873</v>
      </c>
      <c r="N1084" t="s">
        <v>199</v>
      </c>
      <c r="O1084">
        <v>0</v>
      </c>
      <c r="P1084">
        <v>15</v>
      </c>
      <c r="Q1084" t="s">
        <v>264</v>
      </c>
      <c r="R1084" t="s">
        <v>201</v>
      </c>
      <c r="S1084">
        <v>0</v>
      </c>
      <c r="T1084">
        <v>0</v>
      </c>
      <c r="U1084">
        <v>13775</v>
      </c>
      <c r="V1084">
        <v>13775</v>
      </c>
    </row>
    <row r="1085" spans="1:22">
      <c r="A1085" t="s">
        <v>196</v>
      </c>
      <c r="B1085">
        <v>33</v>
      </c>
      <c r="C1085" t="s">
        <v>51</v>
      </c>
      <c r="D1085">
        <v>100</v>
      </c>
      <c r="E1085" t="s">
        <v>197</v>
      </c>
      <c r="F1085">
        <v>1005</v>
      </c>
      <c r="G1085" t="s">
        <v>51</v>
      </c>
      <c r="H1085">
        <v>2005</v>
      </c>
      <c r="I1085" t="s">
        <v>51</v>
      </c>
      <c r="J1085">
        <v>3040</v>
      </c>
      <c r="K1085" t="s">
        <v>872</v>
      </c>
      <c r="L1085">
        <v>4046</v>
      </c>
      <c r="M1085" t="s">
        <v>878</v>
      </c>
      <c r="N1085" t="s">
        <v>274</v>
      </c>
      <c r="O1085">
        <v>0</v>
      </c>
      <c r="P1085">
        <v>9802</v>
      </c>
      <c r="Q1085" t="s">
        <v>879</v>
      </c>
      <c r="R1085" t="s">
        <v>201</v>
      </c>
      <c r="S1085">
        <v>1</v>
      </c>
      <c r="T1085">
        <v>1</v>
      </c>
      <c r="U1085">
        <v>121668</v>
      </c>
      <c r="V1085">
        <v>121668</v>
      </c>
    </row>
    <row r="1086" spans="1:22">
      <c r="A1086" t="s">
        <v>196</v>
      </c>
      <c r="B1086">
        <v>33</v>
      </c>
      <c r="C1086" t="s">
        <v>51</v>
      </c>
      <c r="D1086">
        <v>100</v>
      </c>
      <c r="E1086" t="s">
        <v>197</v>
      </c>
      <c r="F1086">
        <v>1005</v>
      </c>
      <c r="G1086" t="s">
        <v>51</v>
      </c>
      <c r="H1086">
        <v>2005</v>
      </c>
      <c r="I1086" t="s">
        <v>51</v>
      </c>
      <c r="J1086">
        <v>3040</v>
      </c>
      <c r="K1086" t="s">
        <v>872</v>
      </c>
      <c r="L1086">
        <v>4046</v>
      </c>
      <c r="M1086" t="s">
        <v>878</v>
      </c>
      <c r="N1086" t="s">
        <v>266</v>
      </c>
      <c r="O1086">
        <v>9</v>
      </c>
      <c r="P1086">
        <v>9679</v>
      </c>
      <c r="Q1086" t="s">
        <v>338</v>
      </c>
      <c r="R1086" t="s">
        <v>201</v>
      </c>
      <c r="S1086">
        <v>1</v>
      </c>
      <c r="T1086">
        <v>1</v>
      </c>
      <c r="U1086">
        <v>167964</v>
      </c>
      <c r="V1086">
        <v>167964</v>
      </c>
    </row>
    <row r="1087" spans="1:22">
      <c r="A1087" t="s">
        <v>196</v>
      </c>
      <c r="B1087">
        <v>33</v>
      </c>
      <c r="C1087" t="s">
        <v>51</v>
      </c>
      <c r="D1087">
        <v>100</v>
      </c>
      <c r="E1087" t="s">
        <v>197</v>
      </c>
      <c r="F1087">
        <v>1005</v>
      </c>
      <c r="G1087" t="s">
        <v>51</v>
      </c>
      <c r="H1087">
        <v>2005</v>
      </c>
      <c r="I1087" t="s">
        <v>51</v>
      </c>
      <c r="J1087">
        <v>3040</v>
      </c>
      <c r="K1087" t="s">
        <v>872</v>
      </c>
      <c r="L1087">
        <v>4046</v>
      </c>
      <c r="M1087" t="s">
        <v>878</v>
      </c>
      <c r="N1087" t="s">
        <v>266</v>
      </c>
      <c r="O1087">
        <v>9</v>
      </c>
      <c r="P1087">
        <v>9679</v>
      </c>
      <c r="Q1087" t="s">
        <v>338</v>
      </c>
      <c r="R1087" t="s">
        <v>201</v>
      </c>
      <c r="S1087">
        <v>1</v>
      </c>
      <c r="T1087">
        <v>1</v>
      </c>
      <c r="U1087">
        <v>157332</v>
      </c>
      <c r="V1087">
        <v>157332</v>
      </c>
    </row>
    <row r="1088" spans="1:22">
      <c r="A1088" t="s">
        <v>196</v>
      </c>
      <c r="B1088">
        <v>33</v>
      </c>
      <c r="C1088" t="s">
        <v>51</v>
      </c>
      <c r="D1088">
        <v>100</v>
      </c>
      <c r="E1088" t="s">
        <v>197</v>
      </c>
      <c r="F1088">
        <v>1005</v>
      </c>
      <c r="G1088" t="s">
        <v>51</v>
      </c>
      <c r="H1088">
        <v>2005</v>
      </c>
      <c r="I1088" t="s">
        <v>51</v>
      </c>
      <c r="J1088">
        <v>3040</v>
      </c>
      <c r="K1088" t="s">
        <v>872</v>
      </c>
      <c r="L1088">
        <v>4046</v>
      </c>
      <c r="M1088" t="s">
        <v>878</v>
      </c>
      <c r="N1088" t="s">
        <v>268</v>
      </c>
      <c r="O1088">
        <v>10</v>
      </c>
      <c r="P1088">
        <v>1911</v>
      </c>
      <c r="Q1088" t="s">
        <v>617</v>
      </c>
      <c r="R1088" t="s">
        <v>201</v>
      </c>
      <c r="S1088">
        <v>1</v>
      </c>
      <c r="T1088">
        <v>1</v>
      </c>
      <c r="U1088">
        <v>69684</v>
      </c>
      <c r="V1088">
        <v>69684</v>
      </c>
    </row>
    <row r="1089" spans="1:22">
      <c r="A1089" t="s">
        <v>196</v>
      </c>
      <c r="B1089">
        <v>33</v>
      </c>
      <c r="C1089" t="s">
        <v>51</v>
      </c>
      <c r="D1089">
        <v>100</v>
      </c>
      <c r="E1089" t="s">
        <v>197</v>
      </c>
      <c r="F1089">
        <v>1005</v>
      </c>
      <c r="G1089" t="s">
        <v>51</v>
      </c>
      <c r="H1089">
        <v>2005</v>
      </c>
      <c r="I1089" t="s">
        <v>51</v>
      </c>
      <c r="J1089">
        <v>3040</v>
      </c>
      <c r="K1089" t="s">
        <v>872</v>
      </c>
      <c r="L1089">
        <v>4046</v>
      </c>
      <c r="M1089" t="s">
        <v>878</v>
      </c>
      <c r="N1089" t="s">
        <v>602</v>
      </c>
      <c r="O1089">
        <v>4</v>
      </c>
      <c r="P1089">
        <v>1380</v>
      </c>
      <c r="Q1089" t="s">
        <v>880</v>
      </c>
      <c r="R1089" t="s">
        <v>201</v>
      </c>
      <c r="S1089">
        <v>8</v>
      </c>
      <c r="T1089">
        <v>1</v>
      </c>
      <c r="U1089">
        <v>141564</v>
      </c>
      <c r="V1089">
        <v>1132512</v>
      </c>
    </row>
    <row r="1090" spans="1:22">
      <c r="A1090" t="s">
        <v>196</v>
      </c>
      <c r="B1090">
        <v>33</v>
      </c>
      <c r="C1090" t="s">
        <v>51</v>
      </c>
      <c r="D1090">
        <v>100</v>
      </c>
      <c r="E1090" t="s">
        <v>197</v>
      </c>
      <c r="F1090">
        <v>1005</v>
      </c>
      <c r="G1090" t="s">
        <v>51</v>
      </c>
      <c r="H1090">
        <v>2005</v>
      </c>
      <c r="I1090" t="s">
        <v>51</v>
      </c>
      <c r="J1090">
        <v>3040</v>
      </c>
      <c r="K1090" t="s">
        <v>872</v>
      </c>
      <c r="L1090">
        <v>4046</v>
      </c>
      <c r="M1090" t="s">
        <v>878</v>
      </c>
      <c r="N1090" t="s">
        <v>602</v>
      </c>
      <c r="O1090">
        <v>4</v>
      </c>
      <c r="P1090">
        <v>1380</v>
      </c>
      <c r="Q1090" t="s">
        <v>880</v>
      </c>
      <c r="R1090" t="s">
        <v>201</v>
      </c>
      <c r="S1090">
        <v>2</v>
      </c>
      <c r="T1090">
        <v>1</v>
      </c>
      <c r="U1090">
        <v>134184</v>
      </c>
      <c r="V1090">
        <v>268368</v>
      </c>
    </row>
    <row r="1091" spans="1:22">
      <c r="A1091" t="s">
        <v>196</v>
      </c>
      <c r="B1091">
        <v>33</v>
      </c>
      <c r="C1091" t="s">
        <v>51</v>
      </c>
      <c r="D1091">
        <v>100</v>
      </c>
      <c r="E1091" t="s">
        <v>197</v>
      </c>
      <c r="F1091">
        <v>1005</v>
      </c>
      <c r="G1091" t="s">
        <v>51</v>
      </c>
      <c r="H1091">
        <v>2005</v>
      </c>
      <c r="I1091" t="s">
        <v>51</v>
      </c>
      <c r="J1091">
        <v>3040</v>
      </c>
      <c r="K1091" t="s">
        <v>872</v>
      </c>
      <c r="L1091">
        <v>4046</v>
      </c>
      <c r="M1091" t="s">
        <v>878</v>
      </c>
      <c r="N1091" t="s">
        <v>602</v>
      </c>
      <c r="O1091">
        <v>4</v>
      </c>
      <c r="P1091">
        <v>1380</v>
      </c>
      <c r="Q1091" t="s">
        <v>880</v>
      </c>
      <c r="R1091" t="s">
        <v>201</v>
      </c>
      <c r="S1091">
        <v>1</v>
      </c>
      <c r="T1091">
        <v>1</v>
      </c>
      <c r="U1091">
        <v>117636</v>
      </c>
      <c r="V1091">
        <v>117636</v>
      </c>
    </row>
    <row r="1092" spans="1:22">
      <c r="A1092" t="s">
        <v>196</v>
      </c>
      <c r="B1092">
        <v>33</v>
      </c>
      <c r="C1092" t="s">
        <v>51</v>
      </c>
      <c r="D1092">
        <v>100</v>
      </c>
      <c r="E1092" t="s">
        <v>197</v>
      </c>
      <c r="F1092">
        <v>1005</v>
      </c>
      <c r="G1092" t="s">
        <v>51</v>
      </c>
      <c r="H1092">
        <v>2005</v>
      </c>
      <c r="I1092" t="s">
        <v>51</v>
      </c>
      <c r="J1092">
        <v>3040</v>
      </c>
      <c r="K1092" t="s">
        <v>872</v>
      </c>
      <c r="L1092">
        <v>4046</v>
      </c>
      <c r="M1092" t="s">
        <v>878</v>
      </c>
      <c r="N1092" t="s">
        <v>602</v>
      </c>
      <c r="O1092">
        <v>4</v>
      </c>
      <c r="P1092">
        <v>1380</v>
      </c>
      <c r="Q1092" t="s">
        <v>880</v>
      </c>
      <c r="R1092" t="s">
        <v>201</v>
      </c>
      <c r="S1092">
        <v>2</v>
      </c>
      <c r="T1092">
        <v>1</v>
      </c>
      <c r="U1092">
        <v>112536</v>
      </c>
      <c r="V1092">
        <v>225072</v>
      </c>
    </row>
    <row r="1093" spans="1:22">
      <c r="A1093" t="s">
        <v>196</v>
      </c>
      <c r="B1093">
        <v>33</v>
      </c>
      <c r="C1093" t="s">
        <v>51</v>
      </c>
      <c r="D1093">
        <v>100</v>
      </c>
      <c r="E1093" t="s">
        <v>197</v>
      </c>
      <c r="F1093">
        <v>1005</v>
      </c>
      <c r="G1093" t="s">
        <v>51</v>
      </c>
      <c r="H1093">
        <v>2005</v>
      </c>
      <c r="I1093" t="s">
        <v>51</v>
      </c>
      <c r="J1093">
        <v>3040</v>
      </c>
      <c r="K1093" t="s">
        <v>872</v>
      </c>
      <c r="L1093">
        <v>4046</v>
      </c>
      <c r="M1093" t="s">
        <v>878</v>
      </c>
      <c r="N1093" t="s">
        <v>351</v>
      </c>
      <c r="O1093">
        <v>1</v>
      </c>
      <c r="P1093">
        <v>1358</v>
      </c>
      <c r="Q1093" t="s">
        <v>881</v>
      </c>
      <c r="R1093" t="s">
        <v>201</v>
      </c>
      <c r="S1093">
        <v>1</v>
      </c>
      <c r="T1093">
        <v>1</v>
      </c>
      <c r="U1093">
        <v>70752</v>
      </c>
      <c r="V1093">
        <v>70752</v>
      </c>
    </row>
    <row r="1094" spans="1:22">
      <c r="A1094" t="s">
        <v>196</v>
      </c>
      <c r="B1094">
        <v>33</v>
      </c>
      <c r="C1094" t="s">
        <v>51</v>
      </c>
      <c r="D1094">
        <v>100</v>
      </c>
      <c r="E1094" t="s">
        <v>197</v>
      </c>
      <c r="F1094">
        <v>1005</v>
      </c>
      <c r="G1094" t="s">
        <v>51</v>
      </c>
      <c r="H1094">
        <v>2005</v>
      </c>
      <c r="I1094" t="s">
        <v>51</v>
      </c>
      <c r="J1094">
        <v>3040</v>
      </c>
      <c r="K1094" t="s">
        <v>872</v>
      </c>
      <c r="L1094">
        <v>4046</v>
      </c>
      <c r="M1094" t="s">
        <v>878</v>
      </c>
      <c r="N1094" t="s">
        <v>351</v>
      </c>
      <c r="O1094">
        <v>1</v>
      </c>
      <c r="P1094">
        <v>1358</v>
      </c>
      <c r="Q1094" t="s">
        <v>881</v>
      </c>
      <c r="R1094" t="s">
        <v>201</v>
      </c>
      <c r="S1094">
        <v>4</v>
      </c>
      <c r="T1094">
        <v>1</v>
      </c>
      <c r="U1094">
        <v>67608</v>
      </c>
      <c r="V1094">
        <v>270432</v>
      </c>
    </row>
    <row r="1095" spans="1:22">
      <c r="A1095" t="s">
        <v>196</v>
      </c>
      <c r="B1095">
        <v>33</v>
      </c>
      <c r="C1095" t="s">
        <v>51</v>
      </c>
      <c r="D1095">
        <v>100</v>
      </c>
      <c r="E1095" t="s">
        <v>197</v>
      </c>
      <c r="F1095">
        <v>1005</v>
      </c>
      <c r="G1095" t="s">
        <v>51</v>
      </c>
      <c r="H1095">
        <v>2005</v>
      </c>
      <c r="I1095" t="s">
        <v>51</v>
      </c>
      <c r="J1095">
        <v>3040</v>
      </c>
      <c r="K1095" t="s">
        <v>872</v>
      </c>
      <c r="L1095">
        <v>4046</v>
      </c>
      <c r="M1095" t="s">
        <v>878</v>
      </c>
      <c r="N1095" t="s">
        <v>702</v>
      </c>
      <c r="O1095">
        <v>1</v>
      </c>
      <c r="P1095">
        <v>1357</v>
      </c>
      <c r="Q1095" t="s">
        <v>882</v>
      </c>
      <c r="R1095" t="s">
        <v>201</v>
      </c>
      <c r="S1095">
        <v>1</v>
      </c>
      <c r="T1095">
        <v>1</v>
      </c>
      <c r="U1095">
        <v>92940</v>
      </c>
      <c r="V1095">
        <v>92940</v>
      </c>
    </row>
    <row r="1096" spans="1:22">
      <c r="A1096" t="s">
        <v>196</v>
      </c>
      <c r="B1096">
        <v>33</v>
      </c>
      <c r="C1096" t="s">
        <v>51</v>
      </c>
      <c r="D1096">
        <v>100</v>
      </c>
      <c r="E1096" t="s">
        <v>197</v>
      </c>
      <c r="F1096">
        <v>1005</v>
      </c>
      <c r="G1096" t="s">
        <v>51</v>
      </c>
      <c r="H1096">
        <v>2005</v>
      </c>
      <c r="I1096" t="s">
        <v>51</v>
      </c>
      <c r="J1096">
        <v>3040</v>
      </c>
      <c r="K1096" t="s">
        <v>872</v>
      </c>
      <c r="L1096">
        <v>4046</v>
      </c>
      <c r="M1096" t="s">
        <v>878</v>
      </c>
      <c r="N1096" t="s">
        <v>702</v>
      </c>
      <c r="O1096">
        <v>1</v>
      </c>
      <c r="P1096">
        <v>1357</v>
      </c>
      <c r="Q1096" t="s">
        <v>882</v>
      </c>
      <c r="R1096" t="s">
        <v>201</v>
      </c>
      <c r="S1096">
        <v>1</v>
      </c>
      <c r="T1096">
        <v>1</v>
      </c>
      <c r="U1096">
        <v>88524</v>
      </c>
      <c r="V1096">
        <v>88524</v>
      </c>
    </row>
    <row r="1097" spans="1:22">
      <c r="A1097" t="s">
        <v>196</v>
      </c>
      <c r="B1097">
        <v>33</v>
      </c>
      <c r="C1097" t="s">
        <v>51</v>
      </c>
      <c r="D1097">
        <v>100</v>
      </c>
      <c r="E1097" t="s">
        <v>197</v>
      </c>
      <c r="F1097">
        <v>1005</v>
      </c>
      <c r="G1097" t="s">
        <v>51</v>
      </c>
      <c r="H1097">
        <v>2005</v>
      </c>
      <c r="I1097" t="s">
        <v>51</v>
      </c>
      <c r="J1097">
        <v>3040</v>
      </c>
      <c r="K1097" t="s">
        <v>872</v>
      </c>
      <c r="L1097">
        <v>4046</v>
      </c>
      <c r="M1097" t="s">
        <v>878</v>
      </c>
      <c r="N1097" t="s">
        <v>702</v>
      </c>
      <c r="O1097">
        <v>1</v>
      </c>
      <c r="P1097">
        <v>1357</v>
      </c>
      <c r="Q1097" t="s">
        <v>882</v>
      </c>
      <c r="R1097" t="s">
        <v>201</v>
      </c>
      <c r="S1097">
        <v>2</v>
      </c>
      <c r="T1097">
        <v>1</v>
      </c>
      <c r="U1097">
        <v>84192</v>
      </c>
      <c r="V1097">
        <v>168384</v>
      </c>
    </row>
    <row r="1098" spans="1:22">
      <c r="A1098" t="s">
        <v>196</v>
      </c>
      <c r="B1098">
        <v>33</v>
      </c>
      <c r="C1098" t="s">
        <v>51</v>
      </c>
      <c r="D1098">
        <v>100</v>
      </c>
      <c r="E1098" t="s">
        <v>197</v>
      </c>
      <c r="F1098">
        <v>1005</v>
      </c>
      <c r="G1098" t="s">
        <v>51</v>
      </c>
      <c r="H1098">
        <v>2005</v>
      </c>
      <c r="I1098" t="s">
        <v>51</v>
      </c>
      <c r="J1098">
        <v>3040</v>
      </c>
      <c r="K1098" t="s">
        <v>872</v>
      </c>
      <c r="L1098">
        <v>4046</v>
      </c>
      <c r="M1098" t="s">
        <v>878</v>
      </c>
      <c r="N1098" t="s">
        <v>702</v>
      </c>
      <c r="O1098">
        <v>1</v>
      </c>
      <c r="P1098">
        <v>1357</v>
      </c>
      <c r="Q1098" t="s">
        <v>882</v>
      </c>
      <c r="R1098" t="s">
        <v>201</v>
      </c>
      <c r="S1098">
        <v>3</v>
      </c>
      <c r="T1098">
        <v>1</v>
      </c>
      <c r="U1098">
        <v>80196</v>
      </c>
      <c r="V1098">
        <v>240588</v>
      </c>
    </row>
    <row r="1099" spans="1:22">
      <c r="A1099" t="s">
        <v>196</v>
      </c>
      <c r="B1099">
        <v>33</v>
      </c>
      <c r="C1099" t="s">
        <v>51</v>
      </c>
      <c r="D1099">
        <v>100</v>
      </c>
      <c r="E1099" t="s">
        <v>197</v>
      </c>
      <c r="F1099">
        <v>1005</v>
      </c>
      <c r="G1099" t="s">
        <v>51</v>
      </c>
      <c r="H1099">
        <v>2005</v>
      </c>
      <c r="I1099" t="s">
        <v>51</v>
      </c>
      <c r="J1099">
        <v>3040</v>
      </c>
      <c r="K1099" t="s">
        <v>872</v>
      </c>
      <c r="L1099">
        <v>4046</v>
      </c>
      <c r="M1099" t="s">
        <v>878</v>
      </c>
      <c r="N1099" t="s">
        <v>702</v>
      </c>
      <c r="O1099">
        <v>1</v>
      </c>
      <c r="P1099">
        <v>1357</v>
      </c>
      <c r="Q1099" t="s">
        <v>882</v>
      </c>
      <c r="R1099" t="s">
        <v>201</v>
      </c>
      <c r="S1099">
        <v>1</v>
      </c>
      <c r="T1099">
        <v>1</v>
      </c>
      <c r="U1099">
        <v>74160</v>
      </c>
      <c r="V1099">
        <v>74160</v>
      </c>
    </row>
    <row r="1100" spans="1:22">
      <c r="A1100" t="s">
        <v>196</v>
      </c>
      <c r="B1100">
        <v>33</v>
      </c>
      <c r="C1100" t="s">
        <v>51</v>
      </c>
      <c r="D1100">
        <v>100</v>
      </c>
      <c r="E1100" t="s">
        <v>197</v>
      </c>
      <c r="F1100">
        <v>1005</v>
      </c>
      <c r="G1100" t="s">
        <v>51</v>
      </c>
      <c r="H1100">
        <v>2005</v>
      </c>
      <c r="I1100" t="s">
        <v>51</v>
      </c>
      <c r="J1100">
        <v>3040</v>
      </c>
      <c r="K1100" t="s">
        <v>872</v>
      </c>
      <c r="L1100">
        <v>4046</v>
      </c>
      <c r="M1100" t="s">
        <v>878</v>
      </c>
      <c r="N1100" t="s">
        <v>271</v>
      </c>
      <c r="O1100">
        <v>20</v>
      </c>
      <c r="P1100">
        <v>1356</v>
      </c>
      <c r="Q1100" t="s">
        <v>883</v>
      </c>
      <c r="R1100" t="s">
        <v>201</v>
      </c>
      <c r="S1100">
        <v>1</v>
      </c>
      <c r="T1100">
        <v>1</v>
      </c>
      <c r="U1100">
        <v>126756</v>
      </c>
      <c r="V1100">
        <v>126756</v>
      </c>
    </row>
    <row r="1101" spans="1:22">
      <c r="A1101" t="s">
        <v>196</v>
      </c>
      <c r="B1101">
        <v>33</v>
      </c>
      <c r="C1101" t="s">
        <v>51</v>
      </c>
      <c r="D1101">
        <v>100</v>
      </c>
      <c r="E1101" t="s">
        <v>197</v>
      </c>
      <c r="F1101">
        <v>1005</v>
      </c>
      <c r="G1101" t="s">
        <v>51</v>
      </c>
      <c r="H1101">
        <v>2005</v>
      </c>
      <c r="I1101" t="s">
        <v>51</v>
      </c>
      <c r="J1101">
        <v>3040</v>
      </c>
      <c r="K1101" t="s">
        <v>872</v>
      </c>
      <c r="L1101">
        <v>4046</v>
      </c>
      <c r="M1101" t="s">
        <v>878</v>
      </c>
      <c r="N1101" t="s">
        <v>274</v>
      </c>
      <c r="O1101">
        <v>10</v>
      </c>
      <c r="P1101">
        <v>644</v>
      </c>
      <c r="Q1101" t="s">
        <v>884</v>
      </c>
      <c r="R1101" t="s">
        <v>201</v>
      </c>
      <c r="S1101">
        <v>1</v>
      </c>
      <c r="T1101">
        <v>1</v>
      </c>
      <c r="U1101">
        <v>121668</v>
      </c>
      <c r="V1101">
        <v>121668</v>
      </c>
    </row>
    <row r="1102" spans="1:22">
      <c r="A1102" t="s">
        <v>196</v>
      </c>
      <c r="B1102">
        <v>33</v>
      </c>
      <c r="C1102" t="s">
        <v>51</v>
      </c>
      <c r="D1102">
        <v>100</v>
      </c>
      <c r="E1102" t="s">
        <v>197</v>
      </c>
      <c r="F1102">
        <v>1005</v>
      </c>
      <c r="G1102" t="s">
        <v>51</v>
      </c>
      <c r="H1102">
        <v>2005</v>
      </c>
      <c r="I1102" t="s">
        <v>51</v>
      </c>
      <c r="J1102">
        <v>3040</v>
      </c>
      <c r="K1102" t="s">
        <v>872</v>
      </c>
      <c r="L1102">
        <v>4046</v>
      </c>
      <c r="M1102" t="s">
        <v>878</v>
      </c>
      <c r="N1102" t="s">
        <v>199</v>
      </c>
      <c r="O1102">
        <v>0</v>
      </c>
      <c r="P1102">
        <v>15</v>
      </c>
      <c r="Q1102" t="s">
        <v>264</v>
      </c>
      <c r="R1102" t="s">
        <v>201</v>
      </c>
      <c r="S1102">
        <v>0</v>
      </c>
      <c r="T1102">
        <v>0</v>
      </c>
      <c r="U1102">
        <v>49196</v>
      </c>
      <c r="V1102">
        <v>49196</v>
      </c>
    </row>
    <row r="1103" spans="1:22">
      <c r="A1103" t="s">
        <v>196</v>
      </c>
      <c r="B1103">
        <v>33</v>
      </c>
      <c r="C1103" t="s">
        <v>51</v>
      </c>
      <c r="D1103">
        <v>100</v>
      </c>
      <c r="E1103" t="s">
        <v>197</v>
      </c>
      <c r="F1103">
        <v>1005</v>
      </c>
      <c r="G1103" t="s">
        <v>51</v>
      </c>
      <c r="H1103">
        <v>2005</v>
      </c>
      <c r="I1103" t="s">
        <v>51</v>
      </c>
      <c r="J1103">
        <v>3621</v>
      </c>
      <c r="K1103" t="s">
        <v>885</v>
      </c>
      <c r="L1103">
        <v>4047</v>
      </c>
      <c r="M1103" t="s">
        <v>886</v>
      </c>
      <c r="N1103" t="s">
        <v>266</v>
      </c>
      <c r="O1103">
        <v>9</v>
      </c>
      <c r="P1103">
        <v>1696</v>
      </c>
      <c r="Q1103" t="s">
        <v>887</v>
      </c>
      <c r="R1103" t="s">
        <v>201</v>
      </c>
      <c r="S1103">
        <v>1</v>
      </c>
      <c r="T1103">
        <v>1</v>
      </c>
      <c r="U1103">
        <v>175512</v>
      </c>
      <c r="V1103">
        <v>175512</v>
      </c>
    </row>
    <row r="1104" spans="1:22">
      <c r="A1104" t="s">
        <v>196</v>
      </c>
      <c r="B1104">
        <v>33</v>
      </c>
      <c r="C1104" t="s">
        <v>51</v>
      </c>
      <c r="D1104">
        <v>100</v>
      </c>
      <c r="E1104" t="s">
        <v>197</v>
      </c>
      <c r="F1104">
        <v>1005</v>
      </c>
      <c r="G1104" t="s">
        <v>51</v>
      </c>
      <c r="H1104">
        <v>2005</v>
      </c>
      <c r="I1104" t="s">
        <v>51</v>
      </c>
      <c r="J1104">
        <v>3621</v>
      </c>
      <c r="K1104" t="s">
        <v>885</v>
      </c>
      <c r="L1104">
        <v>4047</v>
      </c>
      <c r="M1104" t="s">
        <v>886</v>
      </c>
      <c r="N1104" t="s">
        <v>287</v>
      </c>
      <c r="O1104">
        <v>10</v>
      </c>
      <c r="P1104">
        <v>1386</v>
      </c>
      <c r="Q1104" t="s">
        <v>888</v>
      </c>
      <c r="R1104" t="s">
        <v>201</v>
      </c>
      <c r="S1104">
        <v>1</v>
      </c>
      <c r="T1104">
        <v>1</v>
      </c>
      <c r="U1104">
        <v>76020</v>
      </c>
      <c r="V1104">
        <v>76020</v>
      </c>
    </row>
    <row r="1105" spans="1:22">
      <c r="A1105" t="s">
        <v>196</v>
      </c>
      <c r="B1105">
        <v>33</v>
      </c>
      <c r="C1105" t="s">
        <v>51</v>
      </c>
      <c r="D1105">
        <v>100</v>
      </c>
      <c r="E1105" t="s">
        <v>197</v>
      </c>
      <c r="F1105">
        <v>1005</v>
      </c>
      <c r="G1105" t="s">
        <v>51</v>
      </c>
      <c r="H1105">
        <v>2005</v>
      </c>
      <c r="I1105" t="s">
        <v>51</v>
      </c>
      <c r="J1105">
        <v>3621</v>
      </c>
      <c r="K1105" t="s">
        <v>885</v>
      </c>
      <c r="L1105">
        <v>4047</v>
      </c>
      <c r="M1105" t="s">
        <v>886</v>
      </c>
      <c r="N1105" t="s">
        <v>274</v>
      </c>
      <c r="O1105">
        <v>9</v>
      </c>
      <c r="P1105">
        <v>1332</v>
      </c>
      <c r="Q1105" t="s">
        <v>889</v>
      </c>
      <c r="R1105" t="s">
        <v>201</v>
      </c>
      <c r="S1105">
        <v>1</v>
      </c>
      <c r="T1105">
        <v>1</v>
      </c>
      <c r="U1105">
        <v>137532</v>
      </c>
      <c r="V1105">
        <v>137532</v>
      </c>
    </row>
    <row r="1106" spans="1:22">
      <c r="A1106" t="s">
        <v>196</v>
      </c>
      <c r="B1106">
        <v>33</v>
      </c>
      <c r="C1106" t="s">
        <v>51</v>
      </c>
      <c r="D1106">
        <v>100</v>
      </c>
      <c r="E1106" t="s">
        <v>197</v>
      </c>
      <c r="F1106">
        <v>1005</v>
      </c>
      <c r="G1106" t="s">
        <v>51</v>
      </c>
      <c r="H1106">
        <v>2005</v>
      </c>
      <c r="I1106" t="s">
        <v>51</v>
      </c>
      <c r="J1106">
        <v>3621</v>
      </c>
      <c r="K1106" t="s">
        <v>885</v>
      </c>
      <c r="L1106">
        <v>4047</v>
      </c>
      <c r="M1106" t="s">
        <v>886</v>
      </c>
      <c r="N1106" t="s">
        <v>253</v>
      </c>
      <c r="O1106">
        <v>20</v>
      </c>
      <c r="P1106">
        <v>1331</v>
      </c>
      <c r="Q1106" t="s">
        <v>653</v>
      </c>
      <c r="R1106" t="s">
        <v>201</v>
      </c>
      <c r="S1106">
        <v>1</v>
      </c>
      <c r="T1106">
        <v>1</v>
      </c>
      <c r="U1106">
        <v>85128</v>
      </c>
      <c r="V1106">
        <v>85128</v>
      </c>
    </row>
    <row r="1107" spans="1:22">
      <c r="A1107" t="s">
        <v>196</v>
      </c>
      <c r="B1107">
        <v>33</v>
      </c>
      <c r="C1107" t="s">
        <v>51</v>
      </c>
      <c r="D1107">
        <v>100</v>
      </c>
      <c r="E1107" t="s">
        <v>197</v>
      </c>
      <c r="F1107">
        <v>1005</v>
      </c>
      <c r="G1107" t="s">
        <v>51</v>
      </c>
      <c r="H1107">
        <v>2005</v>
      </c>
      <c r="I1107" t="s">
        <v>51</v>
      </c>
      <c r="J1107">
        <v>3621</v>
      </c>
      <c r="K1107" t="s">
        <v>885</v>
      </c>
      <c r="L1107">
        <v>4047</v>
      </c>
      <c r="M1107" t="s">
        <v>886</v>
      </c>
      <c r="N1107" t="s">
        <v>199</v>
      </c>
      <c r="O1107">
        <v>0</v>
      </c>
      <c r="P1107">
        <v>15</v>
      </c>
      <c r="Q1107" t="s">
        <v>264</v>
      </c>
      <c r="R1107" t="s">
        <v>201</v>
      </c>
      <c r="S1107">
        <v>0</v>
      </c>
      <c r="T1107">
        <v>0</v>
      </c>
      <c r="U1107">
        <v>8301</v>
      </c>
      <c r="V1107">
        <v>8301</v>
      </c>
    </row>
    <row r="1108" spans="1:22">
      <c r="A1108" t="s">
        <v>196</v>
      </c>
      <c r="B1108">
        <v>33</v>
      </c>
      <c r="C1108" t="s">
        <v>51</v>
      </c>
      <c r="D1108">
        <v>100</v>
      </c>
      <c r="E1108" t="s">
        <v>197</v>
      </c>
      <c r="F1108">
        <v>1005</v>
      </c>
      <c r="G1108" t="s">
        <v>51</v>
      </c>
      <c r="H1108">
        <v>2005</v>
      </c>
      <c r="I1108" t="s">
        <v>51</v>
      </c>
      <c r="J1108">
        <v>3621</v>
      </c>
      <c r="K1108" t="s">
        <v>885</v>
      </c>
      <c r="L1108">
        <v>4048</v>
      </c>
      <c r="M1108" t="s">
        <v>890</v>
      </c>
      <c r="N1108" t="s">
        <v>311</v>
      </c>
      <c r="O1108">
        <v>9</v>
      </c>
      <c r="P1108">
        <v>9813</v>
      </c>
      <c r="Q1108" t="s">
        <v>600</v>
      </c>
      <c r="R1108" t="s">
        <v>201</v>
      </c>
      <c r="S1108">
        <v>1</v>
      </c>
      <c r="T1108">
        <v>1</v>
      </c>
      <c r="U1108">
        <v>188400</v>
      </c>
      <c r="V1108">
        <v>188400</v>
      </c>
    </row>
    <row r="1109" spans="1:22">
      <c r="A1109" t="s">
        <v>196</v>
      </c>
      <c r="B1109">
        <v>33</v>
      </c>
      <c r="C1109" t="s">
        <v>51</v>
      </c>
      <c r="D1109">
        <v>100</v>
      </c>
      <c r="E1109" t="s">
        <v>197</v>
      </c>
      <c r="F1109">
        <v>1005</v>
      </c>
      <c r="G1109" t="s">
        <v>51</v>
      </c>
      <c r="H1109">
        <v>2005</v>
      </c>
      <c r="I1109" t="s">
        <v>51</v>
      </c>
      <c r="J1109">
        <v>3621</v>
      </c>
      <c r="K1109" t="s">
        <v>885</v>
      </c>
      <c r="L1109">
        <v>4048</v>
      </c>
      <c r="M1109" t="s">
        <v>890</v>
      </c>
      <c r="N1109" t="s">
        <v>266</v>
      </c>
      <c r="O1109">
        <v>9</v>
      </c>
      <c r="P1109">
        <v>9679</v>
      </c>
      <c r="Q1109" t="s">
        <v>338</v>
      </c>
      <c r="R1109" t="s">
        <v>201</v>
      </c>
      <c r="S1109">
        <v>1</v>
      </c>
      <c r="T1109">
        <v>1</v>
      </c>
      <c r="U1109">
        <v>157332</v>
      </c>
      <c r="V1109">
        <v>157332</v>
      </c>
    </row>
    <row r="1110" spans="1:22">
      <c r="A1110" t="s">
        <v>196</v>
      </c>
      <c r="B1110">
        <v>33</v>
      </c>
      <c r="C1110" t="s">
        <v>51</v>
      </c>
      <c r="D1110">
        <v>100</v>
      </c>
      <c r="E1110" t="s">
        <v>197</v>
      </c>
      <c r="F1110">
        <v>1005</v>
      </c>
      <c r="G1110" t="s">
        <v>51</v>
      </c>
      <c r="H1110">
        <v>2005</v>
      </c>
      <c r="I1110" t="s">
        <v>51</v>
      </c>
      <c r="J1110">
        <v>3621</v>
      </c>
      <c r="K1110" t="s">
        <v>885</v>
      </c>
      <c r="L1110">
        <v>4048</v>
      </c>
      <c r="M1110" t="s">
        <v>890</v>
      </c>
      <c r="N1110" t="s">
        <v>287</v>
      </c>
      <c r="O1110">
        <v>20</v>
      </c>
      <c r="P1110">
        <v>1347</v>
      </c>
      <c r="Q1110" t="s">
        <v>857</v>
      </c>
      <c r="R1110" t="s">
        <v>201</v>
      </c>
      <c r="S1110">
        <v>1</v>
      </c>
      <c r="T1110">
        <v>1</v>
      </c>
      <c r="U1110">
        <v>76020</v>
      </c>
      <c r="V1110">
        <v>76020</v>
      </c>
    </row>
    <row r="1111" spans="1:22">
      <c r="A1111" t="s">
        <v>196</v>
      </c>
      <c r="B1111">
        <v>33</v>
      </c>
      <c r="C1111" t="s">
        <v>51</v>
      </c>
      <c r="D1111">
        <v>100</v>
      </c>
      <c r="E1111" t="s">
        <v>197</v>
      </c>
      <c r="F1111">
        <v>1005</v>
      </c>
      <c r="G1111" t="s">
        <v>51</v>
      </c>
      <c r="H1111">
        <v>2005</v>
      </c>
      <c r="I1111" t="s">
        <v>51</v>
      </c>
      <c r="J1111">
        <v>3621</v>
      </c>
      <c r="K1111" t="s">
        <v>885</v>
      </c>
      <c r="L1111">
        <v>4048</v>
      </c>
      <c r="M1111" t="s">
        <v>890</v>
      </c>
      <c r="N1111" t="s">
        <v>274</v>
      </c>
      <c r="O1111">
        <v>9</v>
      </c>
      <c r="P1111">
        <v>313</v>
      </c>
      <c r="Q1111" t="s">
        <v>605</v>
      </c>
      <c r="R1111" t="s">
        <v>201</v>
      </c>
      <c r="S1111">
        <v>1</v>
      </c>
      <c r="T1111">
        <v>1</v>
      </c>
      <c r="U1111">
        <v>137532</v>
      </c>
      <c r="V1111">
        <v>137532</v>
      </c>
    </row>
    <row r="1112" spans="1:22">
      <c r="A1112" t="s">
        <v>196</v>
      </c>
      <c r="B1112">
        <v>33</v>
      </c>
      <c r="C1112" t="s">
        <v>51</v>
      </c>
      <c r="D1112">
        <v>100</v>
      </c>
      <c r="E1112" t="s">
        <v>197</v>
      </c>
      <c r="F1112">
        <v>1005</v>
      </c>
      <c r="G1112" t="s">
        <v>51</v>
      </c>
      <c r="H1112">
        <v>2005</v>
      </c>
      <c r="I1112" t="s">
        <v>51</v>
      </c>
      <c r="J1112">
        <v>3621</v>
      </c>
      <c r="K1112" t="s">
        <v>885</v>
      </c>
      <c r="L1112">
        <v>4048</v>
      </c>
      <c r="M1112" t="s">
        <v>890</v>
      </c>
      <c r="N1112" t="s">
        <v>199</v>
      </c>
      <c r="O1112">
        <v>0</v>
      </c>
      <c r="P1112">
        <v>15</v>
      </c>
      <c r="Q1112" t="s">
        <v>264</v>
      </c>
      <c r="R1112" t="s">
        <v>201</v>
      </c>
      <c r="S1112">
        <v>0</v>
      </c>
      <c r="T1112">
        <v>0</v>
      </c>
      <c r="U1112">
        <v>14847</v>
      </c>
      <c r="V1112">
        <v>14847</v>
      </c>
    </row>
    <row r="1113" spans="1:22">
      <c r="A1113" t="s">
        <v>196</v>
      </c>
      <c r="B1113">
        <v>35</v>
      </c>
      <c r="C1113" t="s">
        <v>47</v>
      </c>
      <c r="D1113">
        <v>100</v>
      </c>
      <c r="E1113" t="s">
        <v>197</v>
      </c>
      <c r="F1113">
        <v>1005</v>
      </c>
      <c r="G1113" t="s">
        <v>47</v>
      </c>
      <c r="H1113">
        <v>2005</v>
      </c>
      <c r="I1113" t="s">
        <v>47</v>
      </c>
      <c r="J1113">
        <v>3006</v>
      </c>
      <c r="K1113" t="s">
        <v>891</v>
      </c>
      <c r="L1113">
        <v>4006</v>
      </c>
      <c r="M1113" t="s">
        <v>309</v>
      </c>
      <c r="N1113" t="s">
        <v>199</v>
      </c>
      <c r="O1113">
        <v>9</v>
      </c>
      <c r="P1113">
        <v>9935</v>
      </c>
      <c r="Q1113" t="s">
        <v>892</v>
      </c>
      <c r="R1113" t="s">
        <v>201</v>
      </c>
      <c r="S1113">
        <v>1</v>
      </c>
      <c r="T1113">
        <v>1</v>
      </c>
      <c r="U1113">
        <v>212724</v>
      </c>
      <c r="V1113">
        <v>212724</v>
      </c>
    </row>
    <row r="1114" spans="1:22">
      <c r="A1114" t="s">
        <v>196</v>
      </c>
      <c r="B1114">
        <v>35</v>
      </c>
      <c r="C1114" t="s">
        <v>47</v>
      </c>
      <c r="D1114">
        <v>100</v>
      </c>
      <c r="E1114" t="s">
        <v>197</v>
      </c>
      <c r="F1114">
        <v>1005</v>
      </c>
      <c r="G1114" t="s">
        <v>47</v>
      </c>
      <c r="H1114">
        <v>2005</v>
      </c>
      <c r="I1114" t="s">
        <v>47</v>
      </c>
      <c r="J1114">
        <v>3006</v>
      </c>
      <c r="K1114" t="s">
        <v>891</v>
      </c>
      <c r="L1114">
        <v>4006</v>
      </c>
      <c r="M1114" t="s">
        <v>309</v>
      </c>
      <c r="N1114" t="s">
        <v>311</v>
      </c>
      <c r="O1114">
        <v>0</v>
      </c>
      <c r="P1114">
        <v>9726</v>
      </c>
      <c r="Q1114" t="s">
        <v>893</v>
      </c>
      <c r="R1114" t="s">
        <v>201</v>
      </c>
      <c r="S1114">
        <v>1</v>
      </c>
      <c r="T1114">
        <v>1</v>
      </c>
      <c r="U1114">
        <v>188400</v>
      </c>
      <c r="V1114">
        <v>188400</v>
      </c>
    </row>
    <row r="1115" spans="1:22">
      <c r="A1115" t="s">
        <v>196</v>
      </c>
      <c r="B1115">
        <v>35</v>
      </c>
      <c r="C1115" t="s">
        <v>47</v>
      </c>
      <c r="D1115">
        <v>100</v>
      </c>
      <c r="E1115" t="s">
        <v>197</v>
      </c>
      <c r="F1115">
        <v>1005</v>
      </c>
      <c r="G1115" t="s">
        <v>47</v>
      </c>
      <c r="H1115">
        <v>2005</v>
      </c>
      <c r="I1115" t="s">
        <v>47</v>
      </c>
      <c r="J1115">
        <v>3006</v>
      </c>
      <c r="K1115" t="s">
        <v>891</v>
      </c>
      <c r="L1115">
        <v>4006</v>
      </c>
      <c r="M1115" t="s">
        <v>309</v>
      </c>
      <c r="N1115" t="s">
        <v>266</v>
      </c>
      <c r="O1115">
        <v>9</v>
      </c>
      <c r="P1115">
        <v>1556</v>
      </c>
      <c r="Q1115" t="s">
        <v>894</v>
      </c>
      <c r="R1115" t="s">
        <v>201</v>
      </c>
      <c r="S1115">
        <v>1</v>
      </c>
      <c r="T1115">
        <v>1</v>
      </c>
      <c r="U1115">
        <v>139140</v>
      </c>
      <c r="V1115">
        <v>139140</v>
      </c>
    </row>
    <row r="1116" spans="1:22">
      <c r="A1116" t="s">
        <v>196</v>
      </c>
      <c r="B1116">
        <v>35</v>
      </c>
      <c r="C1116" t="s">
        <v>47</v>
      </c>
      <c r="D1116">
        <v>100</v>
      </c>
      <c r="E1116" t="s">
        <v>197</v>
      </c>
      <c r="F1116">
        <v>1005</v>
      </c>
      <c r="G1116" t="s">
        <v>47</v>
      </c>
      <c r="H1116">
        <v>2005</v>
      </c>
      <c r="I1116" t="s">
        <v>47</v>
      </c>
      <c r="J1116">
        <v>3006</v>
      </c>
      <c r="K1116" t="s">
        <v>891</v>
      </c>
      <c r="L1116">
        <v>4006</v>
      </c>
      <c r="M1116" t="s">
        <v>309</v>
      </c>
      <c r="N1116" t="s">
        <v>274</v>
      </c>
      <c r="O1116">
        <v>9</v>
      </c>
      <c r="P1116">
        <v>1554</v>
      </c>
      <c r="Q1116" t="s">
        <v>895</v>
      </c>
      <c r="R1116" t="s">
        <v>201</v>
      </c>
      <c r="S1116">
        <v>1</v>
      </c>
      <c r="T1116">
        <v>1</v>
      </c>
      <c r="U1116">
        <v>162672</v>
      </c>
      <c r="V1116">
        <v>162672</v>
      </c>
    </row>
    <row r="1117" spans="1:22">
      <c r="A1117" t="s">
        <v>196</v>
      </c>
      <c r="B1117">
        <v>35</v>
      </c>
      <c r="C1117" t="s">
        <v>47</v>
      </c>
      <c r="D1117">
        <v>100</v>
      </c>
      <c r="E1117" t="s">
        <v>197</v>
      </c>
      <c r="F1117">
        <v>1005</v>
      </c>
      <c r="G1117" t="s">
        <v>47</v>
      </c>
      <c r="H1117">
        <v>2005</v>
      </c>
      <c r="I1117" t="s">
        <v>47</v>
      </c>
      <c r="J1117">
        <v>3006</v>
      </c>
      <c r="K1117" t="s">
        <v>891</v>
      </c>
      <c r="L1117">
        <v>4006</v>
      </c>
      <c r="M1117" t="s">
        <v>309</v>
      </c>
      <c r="N1117" t="s">
        <v>274</v>
      </c>
      <c r="O1117">
        <v>9</v>
      </c>
      <c r="P1117">
        <v>1554</v>
      </c>
      <c r="Q1117" t="s">
        <v>895</v>
      </c>
      <c r="R1117" t="s">
        <v>201</v>
      </c>
      <c r="S1117">
        <v>1</v>
      </c>
      <c r="T1117">
        <v>1</v>
      </c>
      <c r="U1117">
        <v>121668</v>
      </c>
      <c r="V1117">
        <v>121668</v>
      </c>
    </row>
    <row r="1118" spans="1:22">
      <c r="A1118" t="s">
        <v>196</v>
      </c>
      <c r="B1118">
        <v>35</v>
      </c>
      <c r="C1118" t="s">
        <v>47</v>
      </c>
      <c r="D1118">
        <v>100</v>
      </c>
      <c r="E1118" t="s">
        <v>197</v>
      </c>
      <c r="F1118">
        <v>1005</v>
      </c>
      <c r="G1118" t="s">
        <v>47</v>
      </c>
      <c r="H1118">
        <v>2005</v>
      </c>
      <c r="I1118" t="s">
        <v>47</v>
      </c>
      <c r="J1118">
        <v>3006</v>
      </c>
      <c r="K1118" t="s">
        <v>891</v>
      </c>
      <c r="L1118">
        <v>4006</v>
      </c>
      <c r="M1118" t="s">
        <v>309</v>
      </c>
      <c r="N1118" t="s">
        <v>274</v>
      </c>
      <c r="O1118">
        <v>0</v>
      </c>
      <c r="P1118">
        <v>1338</v>
      </c>
      <c r="Q1118" t="s">
        <v>896</v>
      </c>
      <c r="R1118" t="s">
        <v>201</v>
      </c>
      <c r="S1118">
        <v>1</v>
      </c>
      <c r="T1118">
        <v>1</v>
      </c>
      <c r="U1118">
        <v>121668</v>
      </c>
      <c r="V1118">
        <v>121668</v>
      </c>
    </row>
    <row r="1119" spans="1:22">
      <c r="A1119" t="s">
        <v>196</v>
      </c>
      <c r="B1119">
        <v>35</v>
      </c>
      <c r="C1119" t="s">
        <v>47</v>
      </c>
      <c r="D1119">
        <v>100</v>
      </c>
      <c r="E1119" t="s">
        <v>197</v>
      </c>
      <c r="F1119">
        <v>1005</v>
      </c>
      <c r="G1119" t="s">
        <v>47</v>
      </c>
      <c r="H1119">
        <v>2005</v>
      </c>
      <c r="I1119" t="s">
        <v>47</v>
      </c>
      <c r="J1119">
        <v>3006</v>
      </c>
      <c r="K1119" t="s">
        <v>891</v>
      </c>
      <c r="L1119">
        <v>4006</v>
      </c>
      <c r="M1119" t="s">
        <v>309</v>
      </c>
      <c r="N1119" t="s">
        <v>251</v>
      </c>
      <c r="O1119">
        <v>10</v>
      </c>
      <c r="P1119">
        <v>1315</v>
      </c>
      <c r="Q1119" t="s">
        <v>765</v>
      </c>
      <c r="R1119" t="s">
        <v>201</v>
      </c>
      <c r="S1119">
        <v>1</v>
      </c>
      <c r="T1119">
        <v>1</v>
      </c>
      <c r="U1119">
        <v>118956</v>
      </c>
      <c r="V1119">
        <v>118956</v>
      </c>
    </row>
    <row r="1120" spans="1:22">
      <c r="A1120" t="s">
        <v>196</v>
      </c>
      <c r="B1120">
        <v>35</v>
      </c>
      <c r="C1120" t="s">
        <v>47</v>
      </c>
      <c r="D1120">
        <v>100</v>
      </c>
      <c r="E1120" t="s">
        <v>197</v>
      </c>
      <c r="F1120">
        <v>1005</v>
      </c>
      <c r="G1120" t="s">
        <v>47</v>
      </c>
      <c r="H1120">
        <v>2005</v>
      </c>
      <c r="I1120" t="s">
        <v>47</v>
      </c>
      <c r="J1120">
        <v>3006</v>
      </c>
      <c r="K1120" t="s">
        <v>891</v>
      </c>
      <c r="L1120">
        <v>4006</v>
      </c>
      <c r="M1120" t="s">
        <v>309</v>
      </c>
      <c r="N1120" t="s">
        <v>255</v>
      </c>
      <c r="O1120">
        <v>1</v>
      </c>
      <c r="P1120">
        <v>729</v>
      </c>
      <c r="Q1120" t="s">
        <v>256</v>
      </c>
      <c r="R1120" t="s">
        <v>201</v>
      </c>
      <c r="S1120">
        <v>1</v>
      </c>
      <c r="T1120">
        <v>1</v>
      </c>
      <c r="U1120">
        <v>102588</v>
      </c>
      <c r="V1120">
        <v>102588</v>
      </c>
    </row>
    <row r="1121" spans="1:22">
      <c r="A1121" t="s">
        <v>196</v>
      </c>
      <c r="B1121">
        <v>35</v>
      </c>
      <c r="C1121" t="s">
        <v>47</v>
      </c>
      <c r="D1121">
        <v>100</v>
      </c>
      <c r="E1121" t="s">
        <v>197</v>
      </c>
      <c r="F1121">
        <v>1005</v>
      </c>
      <c r="G1121" t="s">
        <v>47</v>
      </c>
      <c r="H1121">
        <v>2005</v>
      </c>
      <c r="I1121" t="s">
        <v>47</v>
      </c>
      <c r="J1121">
        <v>3006</v>
      </c>
      <c r="K1121" t="s">
        <v>891</v>
      </c>
      <c r="L1121">
        <v>4006</v>
      </c>
      <c r="M1121" t="s">
        <v>309</v>
      </c>
      <c r="N1121" t="s">
        <v>255</v>
      </c>
      <c r="O1121">
        <v>1</v>
      </c>
      <c r="P1121">
        <v>729</v>
      </c>
      <c r="Q1121" t="s">
        <v>256</v>
      </c>
      <c r="R1121" t="s">
        <v>201</v>
      </c>
      <c r="S1121">
        <v>1</v>
      </c>
      <c r="T1121">
        <v>1</v>
      </c>
      <c r="U1121">
        <v>89244</v>
      </c>
      <c r="V1121">
        <v>89244</v>
      </c>
    </row>
    <row r="1122" spans="1:22">
      <c r="A1122" t="s">
        <v>196</v>
      </c>
      <c r="B1122">
        <v>35</v>
      </c>
      <c r="C1122" t="s">
        <v>47</v>
      </c>
      <c r="D1122">
        <v>100</v>
      </c>
      <c r="E1122" t="s">
        <v>197</v>
      </c>
      <c r="F1122">
        <v>1005</v>
      </c>
      <c r="G1122" t="s">
        <v>47</v>
      </c>
      <c r="H1122">
        <v>2005</v>
      </c>
      <c r="I1122" t="s">
        <v>47</v>
      </c>
      <c r="J1122">
        <v>3006</v>
      </c>
      <c r="K1122" t="s">
        <v>891</v>
      </c>
      <c r="L1122">
        <v>4006</v>
      </c>
      <c r="M1122" t="s">
        <v>309</v>
      </c>
      <c r="N1122" t="s">
        <v>257</v>
      </c>
      <c r="O1122">
        <v>9</v>
      </c>
      <c r="P1122">
        <v>705</v>
      </c>
      <c r="Q1122" t="s">
        <v>258</v>
      </c>
      <c r="R1122" t="s">
        <v>201</v>
      </c>
      <c r="S1122">
        <v>1</v>
      </c>
      <c r="T1122">
        <v>1</v>
      </c>
      <c r="U1122">
        <v>123372</v>
      </c>
      <c r="V1122">
        <v>123372</v>
      </c>
    </row>
    <row r="1123" spans="1:22">
      <c r="A1123" t="s">
        <v>196</v>
      </c>
      <c r="B1123">
        <v>35</v>
      </c>
      <c r="C1123" t="s">
        <v>47</v>
      </c>
      <c r="D1123">
        <v>100</v>
      </c>
      <c r="E1123" t="s">
        <v>197</v>
      </c>
      <c r="F1123">
        <v>1005</v>
      </c>
      <c r="G1123" t="s">
        <v>47</v>
      </c>
      <c r="H1123">
        <v>2005</v>
      </c>
      <c r="I1123" t="s">
        <v>47</v>
      </c>
      <c r="J1123">
        <v>3006</v>
      </c>
      <c r="K1123" t="s">
        <v>891</v>
      </c>
      <c r="L1123">
        <v>4006</v>
      </c>
      <c r="M1123" t="s">
        <v>309</v>
      </c>
      <c r="N1123" t="s">
        <v>351</v>
      </c>
      <c r="O1123">
        <v>1</v>
      </c>
      <c r="P1123" t="s">
        <v>352</v>
      </c>
      <c r="Q1123" t="s">
        <v>353</v>
      </c>
      <c r="R1123" t="s">
        <v>201</v>
      </c>
      <c r="S1123">
        <v>1</v>
      </c>
      <c r="T1123">
        <v>1</v>
      </c>
      <c r="U1123">
        <v>62544</v>
      </c>
      <c r="V1123">
        <v>62544</v>
      </c>
    </row>
    <row r="1124" spans="1:22">
      <c r="A1124" t="s">
        <v>196</v>
      </c>
      <c r="B1124">
        <v>35</v>
      </c>
      <c r="C1124" t="s">
        <v>47</v>
      </c>
      <c r="D1124">
        <v>100</v>
      </c>
      <c r="E1124" t="s">
        <v>197</v>
      </c>
      <c r="F1124">
        <v>1005</v>
      </c>
      <c r="G1124" t="s">
        <v>47</v>
      </c>
      <c r="H1124">
        <v>2005</v>
      </c>
      <c r="I1124" t="s">
        <v>47</v>
      </c>
      <c r="J1124">
        <v>3006</v>
      </c>
      <c r="K1124" t="s">
        <v>891</v>
      </c>
      <c r="L1124">
        <v>4006</v>
      </c>
      <c r="M1124" t="s">
        <v>309</v>
      </c>
      <c r="N1124" t="s">
        <v>247</v>
      </c>
      <c r="O1124">
        <v>20</v>
      </c>
      <c r="P1124">
        <v>366</v>
      </c>
      <c r="Q1124" t="s">
        <v>604</v>
      </c>
      <c r="R1124" t="s">
        <v>201</v>
      </c>
      <c r="S1124">
        <v>1</v>
      </c>
      <c r="T1124">
        <v>1</v>
      </c>
      <c r="U1124">
        <v>60660</v>
      </c>
      <c r="V1124">
        <v>60660</v>
      </c>
    </row>
    <row r="1125" spans="1:22">
      <c r="A1125" t="s">
        <v>196</v>
      </c>
      <c r="B1125">
        <v>35</v>
      </c>
      <c r="C1125" t="s">
        <v>47</v>
      </c>
      <c r="D1125">
        <v>100</v>
      </c>
      <c r="E1125" t="s">
        <v>197</v>
      </c>
      <c r="F1125">
        <v>1005</v>
      </c>
      <c r="G1125" t="s">
        <v>47</v>
      </c>
      <c r="H1125">
        <v>2005</v>
      </c>
      <c r="I1125" t="s">
        <v>47</v>
      </c>
      <c r="J1125">
        <v>3006</v>
      </c>
      <c r="K1125" t="s">
        <v>891</v>
      </c>
      <c r="L1125">
        <v>4006</v>
      </c>
      <c r="M1125" t="s">
        <v>309</v>
      </c>
      <c r="N1125" t="s">
        <v>268</v>
      </c>
      <c r="O1125">
        <v>10</v>
      </c>
      <c r="P1125">
        <v>321</v>
      </c>
      <c r="Q1125" t="s">
        <v>897</v>
      </c>
      <c r="R1125" t="s">
        <v>201</v>
      </c>
      <c r="S1125">
        <v>1</v>
      </c>
      <c r="T1125">
        <v>1</v>
      </c>
      <c r="U1125">
        <v>80124</v>
      </c>
      <c r="V1125">
        <v>80124</v>
      </c>
    </row>
    <row r="1126" spans="1:22">
      <c r="A1126" t="s">
        <v>196</v>
      </c>
      <c r="B1126">
        <v>35</v>
      </c>
      <c r="C1126" t="s">
        <v>47</v>
      </c>
      <c r="D1126">
        <v>100</v>
      </c>
      <c r="E1126" t="s">
        <v>197</v>
      </c>
      <c r="F1126">
        <v>1005</v>
      </c>
      <c r="G1126" t="s">
        <v>47</v>
      </c>
      <c r="H1126">
        <v>2005</v>
      </c>
      <c r="I1126" t="s">
        <v>47</v>
      </c>
      <c r="J1126">
        <v>3006</v>
      </c>
      <c r="K1126" t="s">
        <v>891</v>
      </c>
      <c r="L1126">
        <v>4006</v>
      </c>
      <c r="M1126" t="s">
        <v>309</v>
      </c>
      <c r="N1126" t="s">
        <v>245</v>
      </c>
      <c r="O1126">
        <v>20</v>
      </c>
      <c r="P1126">
        <v>195</v>
      </c>
      <c r="Q1126" t="s">
        <v>898</v>
      </c>
      <c r="R1126" t="s">
        <v>201</v>
      </c>
      <c r="S1126">
        <v>1</v>
      </c>
      <c r="T1126">
        <v>1</v>
      </c>
      <c r="U1126">
        <v>106272</v>
      </c>
      <c r="V1126">
        <v>106272</v>
      </c>
    </row>
    <row r="1127" spans="1:22">
      <c r="A1127" t="s">
        <v>196</v>
      </c>
      <c r="B1127">
        <v>35</v>
      </c>
      <c r="C1127" t="s">
        <v>47</v>
      </c>
      <c r="D1127">
        <v>100</v>
      </c>
      <c r="E1127" t="s">
        <v>197</v>
      </c>
      <c r="F1127">
        <v>1005</v>
      </c>
      <c r="G1127" t="s">
        <v>47</v>
      </c>
      <c r="H1127">
        <v>2005</v>
      </c>
      <c r="I1127" t="s">
        <v>47</v>
      </c>
      <c r="J1127">
        <v>3006</v>
      </c>
      <c r="K1127" t="s">
        <v>891</v>
      </c>
      <c r="L1127">
        <v>4006</v>
      </c>
      <c r="M1127" t="s">
        <v>309</v>
      </c>
      <c r="N1127" t="s">
        <v>199</v>
      </c>
      <c r="O1127">
        <v>0</v>
      </c>
      <c r="P1127">
        <v>15</v>
      </c>
      <c r="Q1127" t="s">
        <v>264</v>
      </c>
      <c r="R1127" t="s">
        <v>201</v>
      </c>
      <c r="S1127">
        <v>0</v>
      </c>
      <c r="T1127">
        <v>0</v>
      </c>
      <c r="U1127">
        <v>43050</v>
      </c>
      <c r="V1127">
        <v>43050</v>
      </c>
    </row>
    <row r="1128" spans="1:22">
      <c r="A1128" t="s">
        <v>196</v>
      </c>
      <c r="B1128">
        <v>35</v>
      </c>
      <c r="C1128" t="s">
        <v>47</v>
      </c>
      <c r="D1128">
        <v>100</v>
      </c>
      <c r="E1128" t="s">
        <v>197</v>
      </c>
      <c r="F1128">
        <v>1005</v>
      </c>
      <c r="G1128" t="s">
        <v>47</v>
      </c>
      <c r="H1128">
        <v>2005</v>
      </c>
      <c r="I1128" t="s">
        <v>47</v>
      </c>
      <c r="J1128">
        <v>3006</v>
      </c>
      <c r="K1128" t="s">
        <v>891</v>
      </c>
      <c r="L1128">
        <v>4009</v>
      </c>
      <c r="M1128" t="s">
        <v>899</v>
      </c>
      <c r="N1128" t="s">
        <v>372</v>
      </c>
      <c r="O1128">
        <v>4</v>
      </c>
      <c r="P1128">
        <v>1912</v>
      </c>
      <c r="Q1128" t="s">
        <v>608</v>
      </c>
      <c r="R1128" t="s">
        <v>201</v>
      </c>
      <c r="S1128">
        <v>1</v>
      </c>
      <c r="T1128">
        <v>1</v>
      </c>
      <c r="U1128">
        <v>113628</v>
      </c>
      <c r="V1128">
        <v>113628</v>
      </c>
    </row>
    <row r="1129" spans="1:22">
      <c r="A1129" t="s">
        <v>196</v>
      </c>
      <c r="B1129">
        <v>35</v>
      </c>
      <c r="C1129" t="s">
        <v>47</v>
      </c>
      <c r="D1129">
        <v>100</v>
      </c>
      <c r="E1129" t="s">
        <v>197</v>
      </c>
      <c r="F1129">
        <v>1005</v>
      </c>
      <c r="G1129" t="s">
        <v>47</v>
      </c>
      <c r="H1129">
        <v>2005</v>
      </c>
      <c r="I1129" t="s">
        <v>47</v>
      </c>
      <c r="J1129">
        <v>3006</v>
      </c>
      <c r="K1129" t="s">
        <v>891</v>
      </c>
      <c r="L1129">
        <v>4009</v>
      </c>
      <c r="M1129" t="s">
        <v>899</v>
      </c>
      <c r="N1129" t="s">
        <v>266</v>
      </c>
      <c r="O1129">
        <v>9</v>
      </c>
      <c r="P1129">
        <v>1556</v>
      </c>
      <c r="Q1129" t="s">
        <v>894</v>
      </c>
      <c r="R1129" t="s">
        <v>201</v>
      </c>
      <c r="S1129">
        <v>1</v>
      </c>
      <c r="T1129">
        <v>1</v>
      </c>
      <c r="U1129">
        <v>175512</v>
      </c>
      <c r="V1129">
        <v>175512</v>
      </c>
    </row>
    <row r="1130" spans="1:22">
      <c r="A1130" t="s">
        <v>196</v>
      </c>
      <c r="B1130">
        <v>35</v>
      </c>
      <c r="C1130" t="s">
        <v>47</v>
      </c>
      <c r="D1130">
        <v>100</v>
      </c>
      <c r="E1130" t="s">
        <v>197</v>
      </c>
      <c r="F1130">
        <v>1005</v>
      </c>
      <c r="G1130" t="s">
        <v>47</v>
      </c>
      <c r="H1130">
        <v>2005</v>
      </c>
      <c r="I1130" t="s">
        <v>47</v>
      </c>
      <c r="J1130">
        <v>3006</v>
      </c>
      <c r="K1130" t="s">
        <v>891</v>
      </c>
      <c r="L1130">
        <v>4009</v>
      </c>
      <c r="M1130" t="s">
        <v>899</v>
      </c>
      <c r="N1130" t="s">
        <v>392</v>
      </c>
      <c r="O1130">
        <v>1</v>
      </c>
      <c r="P1130">
        <v>634</v>
      </c>
      <c r="Q1130" t="s">
        <v>729</v>
      </c>
      <c r="R1130" t="s">
        <v>201</v>
      </c>
      <c r="S1130">
        <v>1</v>
      </c>
      <c r="T1130">
        <v>1</v>
      </c>
      <c r="U1130">
        <v>136908</v>
      </c>
      <c r="V1130">
        <v>136908</v>
      </c>
    </row>
    <row r="1131" spans="1:22">
      <c r="A1131" t="s">
        <v>196</v>
      </c>
      <c r="B1131">
        <v>35</v>
      </c>
      <c r="C1131" t="s">
        <v>47</v>
      </c>
      <c r="D1131">
        <v>100</v>
      </c>
      <c r="E1131" t="s">
        <v>197</v>
      </c>
      <c r="F1131">
        <v>1005</v>
      </c>
      <c r="G1131" t="s">
        <v>47</v>
      </c>
      <c r="H1131">
        <v>2005</v>
      </c>
      <c r="I1131" t="s">
        <v>47</v>
      </c>
      <c r="J1131">
        <v>3006</v>
      </c>
      <c r="K1131" t="s">
        <v>891</v>
      </c>
      <c r="L1131">
        <v>4009</v>
      </c>
      <c r="M1131" t="s">
        <v>899</v>
      </c>
      <c r="N1131" t="s">
        <v>274</v>
      </c>
      <c r="O1131">
        <v>0</v>
      </c>
      <c r="P1131">
        <v>601</v>
      </c>
      <c r="Q1131" t="s">
        <v>790</v>
      </c>
      <c r="R1131" t="s">
        <v>201</v>
      </c>
      <c r="S1131">
        <v>1</v>
      </c>
      <c r="T1131">
        <v>1</v>
      </c>
      <c r="U1131">
        <v>146808</v>
      </c>
      <c r="V1131">
        <v>146808</v>
      </c>
    </row>
    <row r="1132" spans="1:22">
      <c r="A1132" t="s">
        <v>196</v>
      </c>
      <c r="B1132">
        <v>35</v>
      </c>
      <c r="C1132" t="s">
        <v>47</v>
      </c>
      <c r="D1132">
        <v>100</v>
      </c>
      <c r="E1132" t="s">
        <v>197</v>
      </c>
      <c r="F1132">
        <v>1005</v>
      </c>
      <c r="G1132" t="s">
        <v>47</v>
      </c>
      <c r="H1132">
        <v>2005</v>
      </c>
      <c r="I1132" t="s">
        <v>47</v>
      </c>
      <c r="J1132">
        <v>3006</v>
      </c>
      <c r="K1132" t="s">
        <v>891</v>
      </c>
      <c r="L1132">
        <v>4009</v>
      </c>
      <c r="M1132" t="s">
        <v>899</v>
      </c>
      <c r="N1132" t="s">
        <v>199</v>
      </c>
      <c r="O1132">
        <v>0</v>
      </c>
      <c r="P1132">
        <v>15</v>
      </c>
      <c r="Q1132" t="s">
        <v>264</v>
      </c>
      <c r="R1132" t="s">
        <v>201</v>
      </c>
      <c r="S1132">
        <v>0</v>
      </c>
      <c r="T1132">
        <v>0</v>
      </c>
      <c r="U1132">
        <v>8796</v>
      </c>
      <c r="V1132">
        <v>8796</v>
      </c>
    </row>
    <row r="1133" spans="1:22">
      <c r="A1133" t="s">
        <v>196</v>
      </c>
      <c r="B1133">
        <v>35</v>
      </c>
      <c r="C1133" t="s">
        <v>47</v>
      </c>
      <c r="D1133">
        <v>100</v>
      </c>
      <c r="E1133" t="s">
        <v>197</v>
      </c>
      <c r="F1133">
        <v>1005</v>
      </c>
      <c r="G1133" t="s">
        <v>47</v>
      </c>
      <c r="H1133">
        <v>2005</v>
      </c>
      <c r="I1133" t="s">
        <v>47</v>
      </c>
      <c r="J1133">
        <v>3006</v>
      </c>
      <c r="K1133" t="s">
        <v>891</v>
      </c>
      <c r="L1133">
        <v>4010</v>
      </c>
      <c r="M1133" t="s">
        <v>900</v>
      </c>
      <c r="N1133" t="s">
        <v>721</v>
      </c>
      <c r="O1133">
        <v>53</v>
      </c>
      <c r="P1133">
        <v>9532</v>
      </c>
      <c r="Q1133" t="s">
        <v>901</v>
      </c>
      <c r="R1133" t="s">
        <v>713</v>
      </c>
      <c r="S1133">
        <v>1</v>
      </c>
      <c r="T1133">
        <v>1</v>
      </c>
      <c r="U1133">
        <v>51.4</v>
      </c>
      <c r="V1133">
        <v>106912</v>
      </c>
    </row>
    <row r="1134" spans="1:22">
      <c r="A1134" t="s">
        <v>196</v>
      </c>
      <c r="B1134">
        <v>35</v>
      </c>
      <c r="C1134" t="s">
        <v>47</v>
      </c>
      <c r="D1134">
        <v>100</v>
      </c>
      <c r="E1134" t="s">
        <v>197</v>
      </c>
      <c r="F1134">
        <v>1005</v>
      </c>
      <c r="G1134" t="s">
        <v>47</v>
      </c>
      <c r="H1134">
        <v>2005</v>
      </c>
      <c r="I1134" t="s">
        <v>47</v>
      </c>
      <c r="J1134">
        <v>3006</v>
      </c>
      <c r="K1134" t="s">
        <v>891</v>
      </c>
      <c r="L1134">
        <v>4010</v>
      </c>
      <c r="M1134" t="s">
        <v>900</v>
      </c>
      <c r="N1134" t="s">
        <v>721</v>
      </c>
      <c r="O1134">
        <v>53</v>
      </c>
      <c r="P1134">
        <v>1860</v>
      </c>
      <c r="Q1134" t="s">
        <v>902</v>
      </c>
      <c r="R1134" t="s">
        <v>713</v>
      </c>
      <c r="S1134">
        <v>1</v>
      </c>
      <c r="T1134">
        <v>1</v>
      </c>
      <c r="U1134">
        <v>52.5</v>
      </c>
      <c r="V1134">
        <v>109200</v>
      </c>
    </row>
    <row r="1135" spans="1:22">
      <c r="A1135" t="s">
        <v>196</v>
      </c>
      <c r="B1135">
        <v>35</v>
      </c>
      <c r="C1135" t="s">
        <v>47</v>
      </c>
      <c r="D1135">
        <v>100</v>
      </c>
      <c r="E1135" t="s">
        <v>197</v>
      </c>
      <c r="F1135">
        <v>1005</v>
      </c>
      <c r="G1135" t="s">
        <v>47</v>
      </c>
      <c r="H1135">
        <v>2005</v>
      </c>
      <c r="I1135" t="s">
        <v>47</v>
      </c>
      <c r="J1135">
        <v>3006</v>
      </c>
      <c r="K1135" t="s">
        <v>891</v>
      </c>
      <c r="L1135">
        <v>4010</v>
      </c>
      <c r="M1135" t="s">
        <v>900</v>
      </c>
      <c r="N1135" t="s">
        <v>266</v>
      </c>
      <c r="O1135">
        <v>9</v>
      </c>
      <c r="P1135">
        <v>1556</v>
      </c>
      <c r="Q1135" t="s">
        <v>894</v>
      </c>
      <c r="R1135" t="s">
        <v>201</v>
      </c>
      <c r="S1135">
        <v>1</v>
      </c>
      <c r="T1135">
        <v>1</v>
      </c>
      <c r="U1135">
        <v>175512</v>
      </c>
      <c r="V1135">
        <v>175512</v>
      </c>
    </row>
    <row r="1136" spans="1:22">
      <c r="A1136" t="s">
        <v>196</v>
      </c>
      <c r="B1136">
        <v>35</v>
      </c>
      <c r="C1136" t="s">
        <v>47</v>
      </c>
      <c r="D1136">
        <v>100</v>
      </c>
      <c r="E1136" t="s">
        <v>197</v>
      </c>
      <c r="F1136">
        <v>1005</v>
      </c>
      <c r="G1136" t="s">
        <v>47</v>
      </c>
      <c r="H1136">
        <v>2005</v>
      </c>
      <c r="I1136" t="s">
        <v>47</v>
      </c>
      <c r="J1136">
        <v>3006</v>
      </c>
      <c r="K1136" t="s">
        <v>891</v>
      </c>
      <c r="L1136">
        <v>4010</v>
      </c>
      <c r="M1136" t="s">
        <v>900</v>
      </c>
      <c r="N1136" t="s">
        <v>392</v>
      </c>
      <c r="O1136">
        <v>1</v>
      </c>
      <c r="P1136">
        <v>634</v>
      </c>
      <c r="Q1136" t="s">
        <v>729</v>
      </c>
      <c r="R1136" t="s">
        <v>201</v>
      </c>
      <c r="S1136">
        <v>1</v>
      </c>
      <c r="T1136">
        <v>1</v>
      </c>
      <c r="U1136">
        <v>102588</v>
      </c>
      <c r="V1136">
        <v>102588</v>
      </c>
    </row>
    <row r="1137" spans="1:22">
      <c r="A1137" t="s">
        <v>196</v>
      </c>
      <c r="B1137">
        <v>35</v>
      </c>
      <c r="C1137" t="s">
        <v>47</v>
      </c>
      <c r="D1137">
        <v>100</v>
      </c>
      <c r="E1137" t="s">
        <v>197</v>
      </c>
      <c r="F1137">
        <v>1005</v>
      </c>
      <c r="G1137" t="s">
        <v>47</v>
      </c>
      <c r="H1137">
        <v>2005</v>
      </c>
      <c r="I1137" t="s">
        <v>47</v>
      </c>
      <c r="J1137">
        <v>3006</v>
      </c>
      <c r="K1137" t="s">
        <v>891</v>
      </c>
      <c r="L1137">
        <v>4010</v>
      </c>
      <c r="M1137" t="s">
        <v>900</v>
      </c>
      <c r="N1137" t="s">
        <v>199</v>
      </c>
      <c r="O1137">
        <v>0</v>
      </c>
      <c r="P1137">
        <v>15</v>
      </c>
      <c r="Q1137" t="s">
        <v>264</v>
      </c>
      <c r="R1137" t="s">
        <v>201</v>
      </c>
      <c r="S1137">
        <v>0</v>
      </c>
      <c r="T1137">
        <v>0</v>
      </c>
      <c r="U1137">
        <v>3807</v>
      </c>
      <c r="V1137">
        <v>3807</v>
      </c>
    </row>
    <row r="1138" spans="1:22">
      <c r="A1138" t="s">
        <v>196</v>
      </c>
      <c r="B1138">
        <v>35</v>
      </c>
      <c r="C1138" t="s">
        <v>47</v>
      </c>
      <c r="D1138">
        <v>100</v>
      </c>
      <c r="E1138" t="s">
        <v>197</v>
      </c>
      <c r="F1138">
        <v>1005</v>
      </c>
      <c r="G1138" t="s">
        <v>47</v>
      </c>
      <c r="H1138">
        <v>2005</v>
      </c>
      <c r="I1138" t="s">
        <v>47</v>
      </c>
      <c r="J1138">
        <v>3006</v>
      </c>
      <c r="K1138" t="s">
        <v>891</v>
      </c>
      <c r="L1138">
        <v>4010</v>
      </c>
      <c r="M1138" t="s">
        <v>900</v>
      </c>
      <c r="N1138" t="s">
        <v>199</v>
      </c>
      <c r="O1138">
        <v>0</v>
      </c>
      <c r="P1138">
        <v>12</v>
      </c>
      <c r="Q1138" t="s">
        <v>724</v>
      </c>
      <c r="R1138" t="s">
        <v>201</v>
      </c>
      <c r="S1138">
        <v>0</v>
      </c>
      <c r="T1138">
        <v>0</v>
      </c>
      <c r="U1138">
        <v>3242</v>
      </c>
      <c r="V1138">
        <v>3242</v>
      </c>
    </row>
    <row r="1139" spans="1:22">
      <c r="A1139" t="s">
        <v>196</v>
      </c>
      <c r="B1139">
        <v>35</v>
      </c>
      <c r="C1139" t="s">
        <v>47</v>
      </c>
      <c r="D1139">
        <v>100</v>
      </c>
      <c r="E1139" t="s">
        <v>197</v>
      </c>
      <c r="F1139">
        <v>1005</v>
      </c>
      <c r="G1139" t="s">
        <v>47</v>
      </c>
      <c r="H1139">
        <v>2005</v>
      </c>
      <c r="I1139" t="s">
        <v>47</v>
      </c>
      <c r="J1139">
        <v>3006</v>
      </c>
      <c r="K1139" t="s">
        <v>891</v>
      </c>
      <c r="L1139">
        <v>4011</v>
      </c>
      <c r="M1139" t="s">
        <v>265</v>
      </c>
      <c r="N1139" t="s">
        <v>311</v>
      </c>
      <c r="O1139">
        <v>9</v>
      </c>
      <c r="P1139">
        <v>9815</v>
      </c>
      <c r="Q1139" t="s">
        <v>903</v>
      </c>
      <c r="R1139" t="s">
        <v>201</v>
      </c>
      <c r="S1139">
        <v>1</v>
      </c>
      <c r="T1139">
        <v>1</v>
      </c>
      <c r="U1139">
        <v>149448</v>
      </c>
      <c r="V1139">
        <v>149448</v>
      </c>
    </row>
    <row r="1140" spans="1:22">
      <c r="A1140" t="s">
        <v>196</v>
      </c>
      <c r="B1140">
        <v>35</v>
      </c>
      <c r="C1140" t="s">
        <v>47</v>
      </c>
      <c r="D1140">
        <v>100</v>
      </c>
      <c r="E1140" t="s">
        <v>197</v>
      </c>
      <c r="F1140">
        <v>1005</v>
      </c>
      <c r="G1140" t="s">
        <v>47</v>
      </c>
      <c r="H1140">
        <v>2005</v>
      </c>
      <c r="I1140" t="s">
        <v>47</v>
      </c>
      <c r="J1140">
        <v>3006</v>
      </c>
      <c r="K1140" t="s">
        <v>891</v>
      </c>
      <c r="L1140">
        <v>4011</v>
      </c>
      <c r="M1140" t="s">
        <v>265</v>
      </c>
      <c r="N1140" t="s">
        <v>271</v>
      </c>
      <c r="O1140">
        <v>20</v>
      </c>
      <c r="P1140">
        <v>1633</v>
      </c>
      <c r="Q1140" t="s">
        <v>904</v>
      </c>
      <c r="R1140" t="s">
        <v>201</v>
      </c>
      <c r="S1140">
        <v>2</v>
      </c>
      <c r="T1140">
        <v>1</v>
      </c>
      <c r="U1140">
        <v>131124</v>
      </c>
      <c r="V1140">
        <v>262248</v>
      </c>
    </row>
    <row r="1141" spans="1:22">
      <c r="A1141" t="s">
        <v>196</v>
      </c>
      <c r="B1141">
        <v>35</v>
      </c>
      <c r="C1141" t="s">
        <v>47</v>
      </c>
      <c r="D1141">
        <v>100</v>
      </c>
      <c r="E1141" t="s">
        <v>197</v>
      </c>
      <c r="F1141">
        <v>1005</v>
      </c>
      <c r="G1141" t="s">
        <v>47</v>
      </c>
      <c r="H1141">
        <v>2005</v>
      </c>
      <c r="I1141" t="s">
        <v>47</v>
      </c>
      <c r="J1141">
        <v>3006</v>
      </c>
      <c r="K1141" t="s">
        <v>891</v>
      </c>
      <c r="L1141">
        <v>4011</v>
      </c>
      <c r="M1141" t="s">
        <v>265</v>
      </c>
      <c r="N1141" t="s">
        <v>271</v>
      </c>
      <c r="O1141">
        <v>20</v>
      </c>
      <c r="P1141">
        <v>1633</v>
      </c>
      <c r="Q1141" t="s">
        <v>904</v>
      </c>
      <c r="R1141" t="s">
        <v>201</v>
      </c>
      <c r="S1141">
        <v>2</v>
      </c>
      <c r="T1141">
        <v>1</v>
      </c>
      <c r="U1141">
        <v>115992</v>
      </c>
      <c r="V1141">
        <v>231984</v>
      </c>
    </row>
    <row r="1142" spans="1:22">
      <c r="A1142" t="s">
        <v>196</v>
      </c>
      <c r="B1142">
        <v>35</v>
      </c>
      <c r="C1142" t="s">
        <v>47</v>
      </c>
      <c r="D1142">
        <v>100</v>
      </c>
      <c r="E1142" t="s">
        <v>197</v>
      </c>
      <c r="F1142">
        <v>1005</v>
      </c>
      <c r="G1142" t="s">
        <v>47</v>
      </c>
      <c r="H1142">
        <v>2005</v>
      </c>
      <c r="I1142" t="s">
        <v>47</v>
      </c>
      <c r="J1142">
        <v>3006</v>
      </c>
      <c r="K1142" t="s">
        <v>891</v>
      </c>
      <c r="L1142">
        <v>4011</v>
      </c>
      <c r="M1142" t="s">
        <v>265</v>
      </c>
      <c r="N1142" t="s">
        <v>341</v>
      </c>
      <c r="O1142">
        <v>1</v>
      </c>
      <c r="P1142">
        <v>1617</v>
      </c>
      <c r="Q1142" t="s">
        <v>800</v>
      </c>
      <c r="R1142" t="s">
        <v>201</v>
      </c>
      <c r="S1142">
        <v>1</v>
      </c>
      <c r="T1142">
        <v>1</v>
      </c>
      <c r="U1142">
        <v>68616</v>
      </c>
      <c r="V1142">
        <v>68616</v>
      </c>
    </row>
    <row r="1143" spans="1:22">
      <c r="A1143" t="s">
        <v>196</v>
      </c>
      <c r="B1143">
        <v>35</v>
      </c>
      <c r="C1143" t="s">
        <v>47</v>
      </c>
      <c r="D1143">
        <v>100</v>
      </c>
      <c r="E1143" t="s">
        <v>197</v>
      </c>
      <c r="F1143">
        <v>1005</v>
      </c>
      <c r="G1143" t="s">
        <v>47</v>
      </c>
      <c r="H1143">
        <v>2005</v>
      </c>
      <c r="I1143" t="s">
        <v>47</v>
      </c>
      <c r="J1143">
        <v>3006</v>
      </c>
      <c r="K1143" t="s">
        <v>891</v>
      </c>
      <c r="L1143">
        <v>4011</v>
      </c>
      <c r="M1143" t="s">
        <v>265</v>
      </c>
      <c r="N1143" t="s">
        <v>341</v>
      </c>
      <c r="O1143">
        <v>1</v>
      </c>
      <c r="P1143">
        <v>308</v>
      </c>
      <c r="Q1143" t="s">
        <v>355</v>
      </c>
      <c r="R1143" t="s">
        <v>201</v>
      </c>
      <c r="S1143">
        <v>1</v>
      </c>
      <c r="T1143">
        <v>1</v>
      </c>
      <c r="U1143">
        <v>94452</v>
      </c>
      <c r="V1143">
        <v>94452</v>
      </c>
    </row>
    <row r="1144" spans="1:22">
      <c r="A1144" t="s">
        <v>196</v>
      </c>
      <c r="B1144">
        <v>35</v>
      </c>
      <c r="C1144" t="s">
        <v>47</v>
      </c>
      <c r="D1144">
        <v>100</v>
      </c>
      <c r="E1144" t="s">
        <v>197</v>
      </c>
      <c r="F1144">
        <v>1005</v>
      </c>
      <c r="G1144" t="s">
        <v>47</v>
      </c>
      <c r="H1144">
        <v>2005</v>
      </c>
      <c r="I1144" t="s">
        <v>47</v>
      </c>
      <c r="J1144">
        <v>3006</v>
      </c>
      <c r="K1144" t="s">
        <v>891</v>
      </c>
      <c r="L1144">
        <v>4011</v>
      </c>
      <c r="M1144" t="s">
        <v>265</v>
      </c>
      <c r="N1144" t="s">
        <v>199</v>
      </c>
      <c r="O1144">
        <v>0</v>
      </c>
      <c r="P1144">
        <v>15</v>
      </c>
      <c r="Q1144" t="s">
        <v>264</v>
      </c>
      <c r="R1144" t="s">
        <v>201</v>
      </c>
      <c r="S1144">
        <v>0</v>
      </c>
      <c r="T1144">
        <v>0</v>
      </c>
      <c r="U1144">
        <v>9948</v>
      </c>
      <c r="V1144">
        <v>9948</v>
      </c>
    </row>
    <row r="1145" spans="1:22">
      <c r="A1145" t="s">
        <v>196</v>
      </c>
      <c r="B1145">
        <v>35</v>
      </c>
      <c r="C1145" t="s">
        <v>47</v>
      </c>
      <c r="D1145">
        <v>100</v>
      </c>
      <c r="E1145" t="s">
        <v>197</v>
      </c>
      <c r="F1145">
        <v>1005</v>
      </c>
      <c r="G1145" t="s">
        <v>47</v>
      </c>
      <c r="H1145">
        <v>2005</v>
      </c>
      <c r="I1145" t="s">
        <v>47</v>
      </c>
      <c r="J1145">
        <v>3012</v>
      </c>
      <c r="K1145" t="s">
        <v>905</v>
      </c>
      <c r="L1145">
        <v>4008</v>
      </c>
      <c r="M1145" t="s">
        <v>906</v>
      </c>
      <c r="N1145" t="s">
        <v>266</v>
      </c>
      <c r="O1145">
        <v>9</v>
      </c>
      <c r="P1145">
        <v>1556</v>
      </c>
      <c r="Q1145" t="s">
        <v>894</v>
      </c>
      <c r="R1145" t="s">
        <v>201</v>
      </c>
      <c r="S1145">
        <v>1</v>
      </c>
      <c r="T1145">
        <v>1</v>
      </c>
      <c r="U1145">
        <v>139140</v>
      </c>
      <c r="V1145">
        <v>139140</v>
      </c>
    </row>
    <row r="1146" spans="1:22">
      <c r="A1146" t="s">
        <v>196</v>
      </c>
      <c r="B1146">
        <v>35</v>
      </c>
      <c r="C1146" t="s">
        <v>47</v>
      </c>
      <c r="D1146">
        <v>100</v>
      </c>
      <c r="E1146" t="s">
        <v>197</v>
      </c>
      <c r="F1146">
        <v>1005</v>
      </c>
      <c r="G1146" t="s">
        <v>47</v>
      </c>
      <c r="H1146">
        <v>2005</v>
      </c>
      <c r="I1146" t="s">
        <v>47</v>
      </c>
      <c r="J1146">
        <v>3012</v>
      </c>
      <c r="K1146" t="s">
        <v>905</v>
      </c>
      <c r="L1146">
        <v>4008</v>
      </c>
      <c r="M1146" t="s">
        <v>906</v>
      </c>
      <c r="N1146" t="s">
        <v>274</v>
      </c>
      <c r="O1146">
        <v>9</v>
      </c>
      <c r="P1146">
        <v>1554</v>
      </c>
      <c r="Q1146" t="s">
        <v>895</v>
      </c>
      <c r="R1146" t="s">
        <v>201</v>
      </c>
      <c r="S1146">
        <v>1</v>
      </c>
      <c r="T1146">
        <v>1</v>
      </c>
      <c r="U1146">
        <v>121668</v>
      </c>
      <c r="V1146">
        <v>121668</v>
      </c>
    </row>
    <row r="1147" spans="1:22">
      <c r="A1147" t="s">
        <v>196</v>
      </c>
      <c r="B1147">
        <v>35</v>
      </c>
      <c r="C1147" t="s">
        <v>47</v>
      </c>
      <c r="D1147">
        <v>100</v>
      </c>
      <c r="E1147" t="s">
        <v>197</v>
      </c>
      <c r="F1147">
        <v>1005</v>
      </c>
      <c r="G1147" t="s">
        <v>47</v>
      </c>
      <c r="H1147">
        <v>2005</v>
      </c>
      <c r="I1147" t="s">
        <v>47</v>
      </c>
      <c r="J1147">
        <v>3012</v>
      </c>
      <c r="K1147" t="s">
        <v>905</v>
      </c>
      <c r="L1147">
        <v>4008</v>
      </c>
      <c r="M1147" t="s">
        <v>906</v>
      </c>
      <c r="N1147" t="s">
        <v>249</v>
      </c>
      <c r="O1147">
        <v>0</v>
      </c>
      <c r="P1147">
        <v>1508</v>
      </c>
      <c r="Q1147" t="s">
        <v>907</v>
      </c>
      <c r="R1147" t="s">
        <v>201</v>
      </c>
      <c r="S1147">
        <v>1</v>
      </c>
      <c r="T1147">
        <v>1</v>
      </c>
      <c r="U1147">
        <v>143232</v>
      </c>
      <c r="V1147">
        <v>143232</v>
      </c>
    </row>
    <row r="1148" spans="1:22">
      <c r="A1148" t="s">
        <v>196</v>
      </c>
      <c r="B1148">
        <v>35</v>
      </c>
      <c r="C1148" t="s">
        <v>47</v>
      </c>
      <c r="D1148">
        <v>100</v>
      </c>
      <c r="E1148" t="s">
        <v>197</v>
      </c>
      <c r="F1148">
        <v>1005</v>
      </c>
      <c r="G1148" t="s">
        <v>47</v>
      </c>
      <c r="H1148">
        <v>2005</v>
      </c>
      <c r="I1148" t="s">
        <v>47</v>
      </c>
      <c r="J1148">
        <v>3012</v>
      </c>
      <c r="K1148" t="s">
        <v>905</v>
      </c>
      <c r="L1148">
        <v>4008</v>
      </c>
      <c r="M1148" t="s">
        <v>906</v>
      </c>
      <c r="N1148" t="s">
        <v>249</v>
      </c>
      <c r="O1148">
        <v>0</v>
      </c>
      <c r="P1148">
        <v>1508</v>
      </c>
      <c r="Q1148" t="s">
        <v>907</v>
      </c>
      <c r="R1148" t="s">
        <v>201</v>
      </c>
      <c r="S1148">
        <v>1</v>
      </c>
      <c r="T1148">
        <v>1</v>
      </c>
      <c r="U1148">
        <v>107340</v>
      </c>
      <c r="V1148">
        <v>107340</v>
      </c>
    </row>
    <row r="1149" spans="1:22">
      <c r="A1149" t="s">
        <v>196</v>
      </c>
      <c r="B1149">
        <v>35</v>
      </c>
      <c r="C1149" t="s">
        <v>47</v>
      </c>
      <c r="D1149">
        <v>100</v>
      </c>
      <c r="E1149" t="s">
        <v>197</v>
      </c>
      <c r="F1149">
        <v>1005</v>
      </c>
      <c r="G1149" t="s">
        <v>47</v>
      </c>
      <c r="H1149">
        <v>2005</v>
      </c>
      <c r="I1149" t="s">
        <v>47</v>
      </c>
      <c r="J1149">
        <v>3012</v>
      </c>
      <c r="K1149" t="s">
        <v>905</v>
      </c>
      <c r="L1149">
        <v>4008</v>
      </c>
      <c r="M1149" t="s">
        <v>906</v>
      </c>
      <c r="N1149" t="s">
        <v>249</v>
      </c>
      <c r="O1149">
        <v>0</v>
      </c>
      <c r="P1149">
        <v>1508</v>
      </c>
      <c r="Q1149" t="s">
        <v>907</v>
      </c>
      <c r="R1149" t="s">
        <v>201</v>
      </c>
      <c r="S1149">
        <v>2</v>
      </c>
      <c r="T1149">
        <v>1</v>
      </c>
      <c r="U1149">
        <v>102444</v>
      </c>
      <c r="V1149">
        <v>204888</v>
      </c>
    </row>
    <row r="1150" spans="1:22">
      <c r="A1150" t="s">
        <v>196</v>
      </c>
      <c r="B1150">
        <v>35</v>
      </c>
      <c r="C1150" t="s">
        <v>47</v>
      </c>
      <c r="D1150">
        <v>100</v>
      </c>
      <c r="E1150" t="s">
        <v>197</v>
      </c>
      <c r="F1150">
        <v>1005</v>
      </c>
      <c r="G1150" t="s">
        <v>47</v>
      </c>
      <c r="H1150">
        <v>2005</v>
      </c>
      <c r="I1150" t="s">
        <v>47</v>
      </c>
      <c r="J1150">
        <v>3012</v>
      </c>
      <c r="K1150" t="s">
        <v>905</v>
      </c>
      <c r="L1150">
        <v>4008</v>
      </c>
      <c r="M1150" t="s">
        <v>906</v>
      </c>
      <c r="N1150" t="s">
        <v>249</v>
      </c>
      <c r="O1150">
        <v>0</v>
      </c>
      <c r="P1150">
        <v>1508</v>
      </c>
      <c r="Q1150" t="s">
        <v>907</v>
      </c>
      <c r="R1150" t="s">
        <v>201</v>
      </c>
      <c r="S1150">
        <v>1</v>
      </c>
      <c r="T1150">
        <v>1</v>
      </c>
      <c r="U1150">
        <v>97836</v>
      </c>
      <c r="V1150">
        <v>97836</v>
      </c>
    </row>
    <row r="1151" spans="1:22">
      <c r="A1151" t="s">
        <v>196</v>
      </c>
      <c r="B1151">
        <v>35</v>
      </c>
      <c r="C1151" t="s">
        <v>47</v>
      </c>
      <c r="D1151">
        <v>100</v>
      </c>
      <c r="E1151" t="s">
        <v>197</v>
      </c>
      <c r="F1151">
        <v>1005</v>
      </c>
      <c r="G1151" t="s">
        <v>47</v>
      </c>
      <c r="H1151">
        <v>2005</v>
      </c>
      <c r="I1151" t="s">
        <v>47</v>
      </c>
      <c r="J1151">
        <v>3012</v>
      </c>
      <c r="K1151" t="s">
        <v>905</v>
      </c>
      <c r="L1151">
        <v>4008</v>
      </c>
      <c r="M1151" t="s">
        <v>906</v>
      </c>
      <c r="N1151" t="s">
        <v>249</v>
      </c>
      <c r="O1151">
        <v>0</v>
      </c>
      <c r="P1151">
        <v>1508</v>
      </c>
      <c r="Q1151" t="s">
        <v>907</v>
      </c>
      <c r="R1151" t="s">
        <v>201</v>
      </c>
      <c r="S1151">
        <v>5</v>
      </c>
      <c r="T1151">
        <v>1</v>
      </c>
      <c r="U1151">
        <v>89112</v>
      </c>
      <c r="V1151">
        <v>445560</v>
      </c>
    </row>
    <row r="1152" spans="1:22">
      <c r="A1152" t="s">
        <v>196</v>
      </c>
      <c r="B1152">
        <v>35</v>
      </c>
      <c r="C1152" t="s">
        <v>47</v>
      </c>
      <c r="D1152">
        <v>100</v>
      </c>
      <c r="E1152" t="s">
        <v>197</v>
      </c>
      <c r="F1152">
        <v>1005</v>
      </c>
      <c r="G1152" t="s">
        <v>47</v>
      </c>
      <c r="H1152">
        <v>2005</v>
      </c>
      <c r="I1152" t="s">
        <v>47</v>
      </c>
      <c r="J1152">
        <v>3012</v>
      </c>
      <c r="K1152" t="s">
        <v>905</v>
      </c>
      <c r="L1152">
        <v>4008</v>
      </c>
      <c r="M1152" t="s">
        <v>906</v>
      </c>
      <c r="N1152" t="s">
        <v>199</v>
      </c>
      <c r="O1152">
        <v>0</v>
      </c>
      <c r="P1152">
        <v>15</v>
      </c>
      <c r="Q1152" t="s">
        <v>264</v>
      </c>
      <c r="R1152" t="s">
        <v>201</v>
      </c>
      <c r="S1152">
        <v>0</v>
      </c>
      <c r="T1152">
        <v>0</v>
      </c>
      <c r="U1152">
        <v>12615</v>
      </c>
      <c r="V1152">
        <v>12615</v>
      </c>
    </row>
    <row r="1153" spans="1:22">
      <c r="A1153" t="s">
        <v>196</v>
      </c>
      <c r="B1153">
        <v>35</v>
      </c>
      <c r="C1153" t="s">
        <v>47</v>
      </c>
      <c r="D1153">
        <v>100</v>
      </c>
      <c r="E1153" t="s">
        <v>197</v>
      </c>
      <c r="F1153">
        <v>1005</v>
      </c>
      <c r="G1153" t="s">
        <v>47</v>
      </c>
      <c r="H1153">
        <v>2005</v>
      </c>
      <c r="I1153" t="s">
        <v>47</v>
      </c>
      <c r="J1153">
        <v>3012</v>
      </c>
      <c r="K1153" t="s">
        <v>905</v>
      </c>
      <c r="L1153">
        <v>4026</v>
      </c>
      <c r="M1153" t="s">
        <v>908</v>
      </c>
      <c r="N1153" t="s">
        <v>622</v>
      </c>
      <c r="O1153">
        <v>1</v>
      </c>
      <c r="P1153" t="s">
        <v>667</v>
      </c>
      <c r="Q1153" t="s">
        <v>205</v>
      </c>
      <c r="R1153" t="s">
        <v>201</v>
      </c>
      <c r="S1153">
        <v>1</v>
      </c>
      <c r="T1153">
        <v>1</v>
      </c>
      <c r="U1153">
        <v>56124</v>
      </c>
      <c r="V1153">
        <v>56124</v>
      </c>
    </row>
    <row r="1154" spans="1:22">
      <c r="A1154" t="s">
        <v>196</v>
      </c>
      <c r="B1154">
        <v>35</v>
      </c>
      <c r="C1154" t="s">
        <v>47</v>
      </c>
      <c r="D1154">
        <v>100</v>
      </c>
      <c r="E1154" t="s">
        <v>197</v>
      </c>
      <c r="F1154">
        <v>1005</v>
      </c>
      <c r="G1154" t="s">
        <v>47</v>
      </c>
      <c r="H1154">
        <v>2005</v>
      </c>
      <c r="I1154" t="s">
        <v>47</v>
      </c>
      <c r="J1154">
        <v>3012</v>
      </c>
      <c r="K1154" t="s">
        <v>905</v>
      </c>
      <c r="L1154">
        <v>4026</v>
      </c>
      <c r="M1154" t="s">
        <v>908</v>
      </c>
      <c r="N1154" t="s">
        <v>622</v>
      </c>
      <c r="O1154">
        <v>1</v>
      </c>
      <c r="P1154" t="s">
        <v>667</v>
      </c>
      <c r="Q1154" t="s">
        <v>205</v>
      </c>
      <c r="R1154" t="s">
        <v>201</v>
      </c>
      <c r="S1154">
        <v>1</v>
      </c>
      <c r="T1154">
        <v>1</v>
      </c>
      <c r="U1154">
        <v>51936</v>
      </c>
      <c r="V1154">
        <v>51936</v>
      </c>
    </row>
    <row r="1155" spans="1:22">
      <c r="A1155" t="s">
        <v>196</v>
      </c>
      <c r="B1155">
        <v>35</v>
      </c>
      <c r="C1155" t="s">
        <v>47</v>
      </c>
      <c r="D1155">
        <v>100</v>
      </c>
      <c r="E1155" t="s">
        <v>197</v>
      </c>
      <c r="F1155">
        <v>1005</v>
      </c>
      <c r="G1155" t="s">
        <v>47</v>
      </c>
      <c r="H1155">
        <v>2005</v>
      </c>
      <c r="I1155" t="s">
        <v>47</v>
      </c>
      <c r="J1155">
        <v>3012</v>
      </c>
      <c r="K1155" t="s">
        <v>905</v>
      </c>
      <c r="L1155">
        <v>4026</v>
      </c>
      <c r="M1155" t="s">
        <v>908</v>
      </c>
      <c r="N1155" t="s">
        <v>199</v>
      </c>
      <c r="O1155">
        <v>0</v>
      </c>
      <c r="P1155">
        <v>15</v>
      </c>
      <c r="Q1155" t="s">
        <v>264</v>
      </c>
      <c r="R1155" t="s">
        <v>201</v>
      </c>
      <c r="S1155">
        <v>0</v>
      </c>
      <c r="T1155">
        <v>0</v>
      </c>
      <c r="U1155">
        <v>1917</v>
      </c>
      <c r="V1155">
        <v>1917</v>
      </c>
    </row>
    <row r="1156" spans="1:22">
      <c r="A1156" t="s">
        <v>196</v>
      </c>
      <c r="B1156">
        <v>35</v>
      </c>
      <c r="C1156" t="s">
        <v>47</v>
      </c>
      <c r="D1156">
        <v>100</v>
      </c>
      <c r="E1156" t="s">
        <v>197</v>
      </c>
      <c r="F1156">
        <v>1005</v>
      </c>
      <c r="G1156" t="s">
        <v>47</v>
      </c>
      <c r="H1156">
        <v>2005</v>
      </c>
      <c r="I1156" t="s">
        <v>47</v>
      </c>
      <c r="J1156">
        <v>3012</v>
      </c>
      <c r="K1156" t="s">
        <v>905</v>
      </c>
      <c r="L1156">
        <v>4106</v>
      </c>
      <c r="M1156" t="s">
        <v>909</v>
      </c>
      <c r="N1156" t="s">
        <v>266</v>
      </c>
      <c r="O1156">
        <v>9</v>
      </c>
      <c r="P1156">
        <v>1556</v>
      </c>
      <c r="Q1156" t="s">
        <v>894</v>
      </c>
      <c r="R1156" t="s">
        <v>201</v>
      </c>
      <c r="S1156">
        <v>1</v>
      </c>
      <c r="T1156">
        <v>1</v>
      </c>
      <c r="U1156">
        <v>167964</v>
      </c>
      <c r="V1156">
        <v>167964</v>
      </c>
    </row>
    <row r="1157" spans="1:22">
      <c r="A1157" t="s">
        <v>196</v>
      </c>
      <c r="B1157">
        <v>35</v>
      </c>
      <c r="C1157" t="s">
        <v>47</v>
      </c>
      <c r="D1157">
        <v>100</v>
      </c>
      <c r="E1157" t="s">
        <v>197</v>
      </c>
      <c r="F1157">
        <v>1005</v>
      </c>
      <c r="G1157" t="s">
        <v>47</v>
      </c>
      <c r="H1157">
        <v>2005</v>
      </c>
      <c r="I1157" t="s">
        <v>47</v>
      </c>
      <c r="J1157">
        <v>3012</v>
      </c>
      <c r="K1157" t="s">
        <v>905</v>
      </c>
      <c r="L1157">
        <v>4106</v>
      </c>
      <c r="M1157" t="s">
        <v>909</v>
      </c>
      <c r="N1157" t="s">
        <v>274</v>
      </c>
      <c r="O1157">
        <v>9</v>
      </c>
      <c r="P1157">
        <v>1554</v>
      </c>
      <c r="Q1157" t="s">
        <v>895</v>
      </c>
      <c r="R1157" t="s">
        <v>201</v>
      </c>
      <c r="S1157">
        <v>1</v>
      </c>
      <c r="T1157">
        <v>1</v>
      </c>
      <c r="U1157">
        <v>146808</v>
      </c>
      <c r="V1157">
        <v>146808</v>
      </c>
    </row>
    <row r="1158" spans="1:22">
      <c r="A1158" t="s">
        <v>196</v>
      </c>
      <c r="B1158">
        <v>35</v>
      </c>
      <c r="C1158" t="s">
        <v>47</v>
      </c>
      <c r="D1158">
        <v>100</v>
      </c>
      <c r="E1158" t="s">
        <v>197</v>
      </c>
      <c r="F1158">
        <v>1005</v>
      </c>
      <c r="G1158" t="s">
        <v>47</v>
      </c>
      <c r="H1158">
        <v>2005</v>
      </c>
      <c r="I1158" t="s">
        <v>47</v>
      </c>
      <c r="J1158">
        <v>3012</v>
      </c>
      <c r="K1158" t="s">
        <v>905</v>
      </c>
      <c r="L1158">
        <v>4106</v>
      </c>
      <c r="M1158" t="s">
        <v>909</v>
      </c>
      <c r="N1158" t="s">
        <v>249</v>
      </c>
      <c r="O1158">
        <v>0</v>
      </c>
      <c r="P1158">
        <v>1508</v>
      </c>
      <c r="Q1158" t="s">
        <v>907</v>
      </c>
      <c r="R1158" t="s">
        <v>201</v>
      </c>
      <c r="S1158">
        <v>2</v>
      </c>
      <c r="T1158">
        <v>1</v>
      </c>
      <c r="U1158">
        <v>102444</v>
      </c>
      <c r="V1158">
        <v>204888</v>
      </c>
    </row>
    <row r="1159" spans="1:22">
      <c r="A1159" t="s">
        <v>196</v>
      </c>
      <c r="B1159">
        <v>35</v>
      </c>
      <c r="C1159" t="s">
        <v>47</v>
      </c>
      <c r="D1159">
        <v>100</v>
      </c>
      <c r="E1159" t="s">
        <v>197</v>
      </c>
      <c r="F1159">
        <v>1005</v>
      </c>
      <c r="G1159" t="s">
        <v>47</v>
      </c>
      <c r="H1159">
        <v>2005</v>
      </c>
      <c r="I1159" t="s">
        <v>47</v>
      </c>
      <c r="J1159">
        <v>3012</v>
      </c>
      <c r="K1159" t="s">
        <v>905</v>
      </c>
      <c r="L1159">
        <v>4106</v>
      </c>
      <c r="M1159" t="s">
        <v>909</v>
      </c>
      <c r="N1159" t="s">
        <v>249</v>
      </c>
      <c r="O1159">
        <v>0</v>
      </c>
      <c r="P1159">
        <v>1508</v>
      </c>
      <c r="Q1159" t="s">
        <v>907</v>
      </c>
      <c r="R1159" t="s">
        <v>201</v>
      </c>
      <c r="S1159">
        <v>1</v>
      </c>
      <c r="T1159">
        <v>1</v>
      </c>
      <c r="U1159">
        <v>93384</v>
      </c>
      <c r="V1159">
        <v>93384</v>
      </c>
    </row>
    <row r="1160" spans="1:22">
      <c r="A1160" t="s">
        <v>196</v>
      </c>
      <c r="B1160">
        <v>35</v>
      </c>
      <c r="C1160" t="s">
        <v>47</v>
      </c>
      <c r="D1160">
        <v>100</v>
      </c>
      <c r="E1160" t="s">
        <v>197</v>
      </c>
      <c r="F1160">
        <v>1005</v>
      </c>
      <c r="G1160" t="s">
        <v>47</v>
      </c>
      <c r="H1160">
        <v>2005</v>
      </c>
      <c r="I1160" t="s">
        <v>47</v>
      </c>
      <c r="J1160">
        <v>3012</v>
      </c>
      <c r="K1160" t="s">
        <v>905</v>
      </c>
      <c r="L1160">
        <v>4106</v>
      </c>
      <c r="M1160" t="s">
        <v>909</v>
      </c>
      <c r="N1160" t="s">
        <v>249</v>
      </c>
      <c r="O1160">
        <v>0</v>
      </c>
      <c r="P1160">
        <v>1508</v>
      </c>
      <c r="Q1160" t="s">
        <v>907</v>
      </c>
      <c r="R1160" t="s">
        <v>201</v>
      </c>
      <c r="S1160">
        <v>2</v>
      </c>
      <c r="T1160">
        <v>1</v>
      </c>
      <c r="U1160">
        <v>89112</v>
      </c>
      <c r="V1160">
        <v>178224</v>
      </c>
    </row>
    <row r="1161" spans="1:22">
      <c r="A1161" t="s">
        <v>196</v>
      </c>
      <c r="B1161">
        <v>35</v>
      </c>
      <c r="C1161" t="s">
        <v>47</v>
      </c>
      <c r="D1161">
        <v>100</v>
      </c>
      <c r="E1161" t="s">
        <v>197</v>
      </c>
      <c r="F1161">
        <v>1005</v>
      </c>
      <c r="G1161" t="s">
        <v>47</v>
      </c>
      <c r="H1161">
        <v>2005</v>
      </c>
      <c r="I1161" t="s">
        <v>47</v>
      </c>
      <c r="J1161">
        <v>3012</v>
      </c>
      <c r="K1161" t="s">
        <v>905</v>
      </c>
      <c r="L1161">
        <v>4106</v>
      </c>
      <c r="M1161" t="s">
        <v>909</v>
      </c>
      <c r="N1161" t="s">
        <v>255</v>
      </c>
      <c r="O1161">
        <v>1</v>
      </c>
      <c r="P1161">
        <v>1507</v>
      </c>
      <c r="Q1161" t="s">
        <v>910</v>
      </c>
      <c r="R1161" t="s">
        <v>201</v>
      </c>
      <c r="S1161">
        <v>1</v>
      </c>
      <c r="T1161">
        <v>1</v>
      </c>
      <c r="U1161">
        <v>143400</v>
      </c>
      <c r="V1161">
        <v>143400</v>
      </c>
    </row>
    <row r="1162" spans="1:22">
      <c r="A1162" t="s">
        <v>196</v>
      </c>
      <c r="B1162">
        <v>35</v>
      </c>
      <c r="C1162" t="s">
        <v>47</v>
      </c>
      <c r="D1162">
        <v>100</v>
      </c>
      <c r="E1162" t="s">
        <v>197</v>
      </c>
      <c r="F1162">
        <v>1005</v>
      </c>
      <c r="G1162" t="s">
        <v>47</v>
      </c>
      <c r="H1162">
        <v>2005</v>
      </c>
      <c r="I1162" t="s">
        <v>47</v>
      </c>
      <c r="J1162">
        <v>3012</v>
      </c>
      <c r="K1162" t="s">
        <v>905</v>
      </c>
      <c r="L1162">
        <v>4106</v>
      </c>
      <c r="M1162" t="s">
        <v>909</v>
      </c>
      <c r="N1162" t="s">
        <v>255</v>
      </c>
      <c r="O1162">
        <v>1</v>
      </c>
      <c r="P1162">
        <v>1507</v>
      </c>
      <c r="Q1162" t="s">
        <v>910</v>
      </c>
      <c r="R1162" t="s">
        <v>201</v>
      </c>
      <c r="S1162">
        <v>1</v>
      </c>
      <c r="T1162">
        <v>1</v>
      </c>
      <c r="U1162">
        <v>113628</v>
      </c>
      <c r="V1162">
        <v>113628</v>
      </c>
    </row>
    <row r="1163" spans="1:22">
      <c r="A1163" t="s">
        <v>196</v>
      </c>
      <c r="B1163">
        <v>35</v>
      </c>
      <c r="C1163" t="s">
        <v>47</v>
      </c>
      <c r="D1163">
        <v>100</v>
      </c>
      <c r="E1163" t="s">
        <v>197</v>
      </c>
      <c r="F1163">
        <v>1005</v>
      </c>
      <c r="G1163" t="s">
        <v>47</v>
      </c>
      <c r="H1163">
        <v>2005</v>
      </c>
      <c r="I1163" t="s">
        <v>47</v>
      </c>
      <c r="J1163">
        <v>3012</v>
      </c>
      <c r="K1163" t="s">
        <v>905</v>
      </c>
      <c r="L1163">
        <v>4106</v>
      </c>
      <c r="M1163" t="s">
        <v>909</v>
      </c>
      <c r="N1163" t="s">
        <v>255</v>
      </c>
      <c r="O1163">
        <v>1</v>
      </c>
      <c r="P1163">
        <v>1507</v>
      </c>
      <c r="Q1163" t="s">
        <v>910</v>
      </c>
      <c r="R1163" t="s">
        <v>201</v>
      </c>
      <c r="S1163">
        <v>1</v>
      </c>
      <c r="T1163">
        <v>1</v>
      </c>
      <c r="U1163">
        <v>82644</v>
      </c>
      <c r="V1163">
        <v>82644</v>
      </c>
    </row>
    <row r="1164" spans="1:22">
      <c r="A1164" t="s">
        <v>196</v>
      </c>
      <c r="B1164">
        <v>35</v>
      </c>
      <c r="C1164" t="s">
        <v>47</v>
      </c>
      <c r="D1164">
        <v>100</v>
      </c>
      <c r="E1164" t="s">
        <v>197</v>
      </c>
      <c r="F1164">
        <v>1005</v>
      </c>
      <c r="G1164" t="s">
        <v>47</v>
      </c>
      <c r="H1164">
        <v>2005</v>
      </c>
      <c r="I1164" t="s">
        <v>47</v>
      </c>
      <c r="J1164">
        <v>3012</v>
      </c>
      <c r="K1164" t="s">
        <v>905</v>
      </c>
      <c r="L1164">
        <v>4106</v>
      </c>
      <c r="M1164" t="s">
        <v>909</v>
      </c>
      <c r="N1164" t="s">
        <v>199</v>
      </c>
      <c r="O1164">
        <v>0</v>
      </c>
      <c r="P1164">
        <v>15</v>
      </c>
      <c r="Q1164" t="s">
        <v>264</v>
      </c>
      <c r="R1164" t="s">
        <v>201</v>
      </c>
      <c r="S1164">
        <v>0</v>
      </c>
      <c r="T1164">
        <v>0</v>
      </c>
      <c r="U1164">
        <v>18392</v>
      </c>
      <c r="V1164">
        <v>18392</v>
      </c>
    </row>
    <row r="1165" spans="1:22">
      <c r="A1165" t="s">
        <v>196</v>
      </c>
      <c r="B1165">
        <v>35</v>
      </c>
      <c r="C1165" t="s">
        <v>47</v>
      </c>
      <c r="D1165">
        <v>100</v>
      </c>
      <c r="E1165" t="s">
        <v>197</v>
      </c>
      <c r="F1165">
        <v>1005</v>
      </c>
      <c r="G1165" t="s">
        <v>47</v>
      </c>
      <c r="H1165">
        <v>2005</v>
      </c>
      <c r="I1165" t="s">
        <v>47</v>
      </c>
      <c r="J1165">
        <v>3012</v>
      </c>
      <c r="K1165" t="s">
        <v>905</v>
      </c>
      <c r="L1165">
        <v>4115</v>
      </c>
      <c r="M1165" t="s">
        <v>911</v>
      </c>
      <c r="N1165" t="s">
        <v>266</v>
      </c>
      <c r="O1165">
        <v>9</v>
      </c>
      <c r="P1165">
        <v>1557</v>
      </c>
      <c r="Q1165" t="s">
        <v>912</v>
      </c>
      <c r="R1165" t="s">
        <v>201</v>
      </c>
      <c r="S1165">
        <v>1</v>
      </c>
      <c r="T1165">
        <v>1</v>
      </c>
      <c r="U1165">
        <v>175512</v>
      </c>
      <c r="V1165">
        <v>175512</v>
      </c>
    </row>
    <row r="1166" spans="1:22">
      <c r="A1166" t="s">
        <v>196</v>
      </c>
      <c r="B1166">
        <v>35</v>
      </c>
      <c r="C1166" t="s">
        <v>47</v>
      </c>
      <c r="D1166">
        <v>100</v>
      </c>
      <c r="E1166" t="s">
        <v>197</v>
      </c>
      <c r="F1166">
        <v>1005</v>
      </c>
      <c r="G1166" t="s">
        <v>47</v>
      </c>
      <c r="H1166">
        <v>2005</v>
      </c>
      <c r="I1166" t="s">
        <v>47</v>
      </c>
      <c r="J1166">
        <v>3012</v>
      </c>
      <c r="K1166" t="s">
        <v>905</v>
      </c>
      <c r="L1166">
        <v>4115</v>
      </c>
      <c r="M1166" t="s">
        <v>911</v>
      </c>
      <c r="N1166" t="s">
        <v>274</v>
      </c>
      <c r="O1166">
        <v>9</v>
      </c>
      <c r="P1166">
        <v>1554</v>
      </c>
      <c r="Q1166" t="s">
        <v>895</v>
      </c>
      <c r="R1166" t="s">
        <v>201</v>
      </c>
      <c r="S1166">
        <v>1</v>
      </c>
      <c r="T1166">
        <v>1</v>
      </c>
      <c r="U1166">
        <v>146808</v>
      </c>
      <c r="V1166">
        <v>146808</v>
      </c>
    </row>
    <row r="1167" spans="1:22">
      <c r="A1167" t="s">
        <v>196</v>
      </c>
      <c r="B1167">
        <v>35</v>
      </c>
      <c r="C1167" t="s">
        <v>47</v>
      </c>
      <c r="D1167">
        <v>100</v>
      </c>
      <c r="E1167" t="s">
        <v>197</v>
      </c>
      <c r="F1167">
        <v>1005</v>
      </c>
      <c r="G1167" t="s">
        <v>47</v>
      </c>
      <c r="H1167">
        <v>2005</v>
      </c>
      <c r="I1167" t="s">
        <v>47</v>
      </c>
      <c r="J1167">
        <v>3012</v>
      </c>
      <c r="K1167" t="s">
        <v>905</v>
      </c>
      <c r="L1167">
        <v>4115</v>
      </c>
      <c r="M1167" t="s">
        <v>911</v>
      </c>
      <c r="N1167" t="s">
        <v>249</v>
      </c>
      <c r="O1167">
        <v>0</v>
      </c>
      <c r="P1167">
        <v>1508</v>
      </c>
      <c r="Q1167" t="s">
        <v>907</v>
      </c>
      <c r="R1167" t="s">
        <v>201</v>
      </c>
      <c r="S1167">
        <v>3</v>
      </c>
      <c r="T1167">
        <v>1</v>
      </c>
      <c r="U1167">
        <v>102444</v>
      </c>
      <c r="V1167">
        <v>307332</v>
      </c>
    </row>
    <row r="1168" spans="1:22">
      <c r="A1168" t="s">
        <v>196</v>
      </c>
      <c r="B1168">
        <v>35</v>
      </c>
      <c r="C1168" t="s">
        <v>47</v>
      </c>
      <c r="D1168">
        <v>100</v>
      </c>
      <c r="E1168" t="s">
        <v>197</v>
      </c>
      <c r="F1168">
        <v>1005</v>
      </c>
      <c r="G1168" t="s">
        <v>47</v>
      </c>
      <c r="H1168">
        <v>2005</v>
      </c>
      <c r="I1168" t="s">
        <v>47</v>
      </c>
      <c r="J1168">
        <v>3012</v>
      </c>
      <c r="K1168" t="s">
        <v>905</v>
      </c>
      <c r="L1168">
        <v>4115</v>
      </c>
      <c r="M1168" t="s">
        <v>911</v>
      </c>
      <c r="N1168" t="s">
        <v>249</v>
      </c>
      <c r="O1168">
        <v>0</v>
      </c>
      <c r="P1168">
        <v>1508</v>
      </c>
      <c r="Q1168" t="s">
        <v>907</v>
      </c>
      <c r="R1168" t="s">
        <v>201</v>
      </c>
      <c r="S1168">
        <v>1</v>
      </c>
      <c r="T1168">
        <v>1</v>
      </c>
      <c r="U1168">
        <v>97836</v>
      </c>
      <c r="V1168">
        <v>97836</v>
      </c>
    </row>
    <row r="1169" spans="1:22">
      <c r="A1169" t="s">
        <v>196</v>
      </c>
      <c r="B1169">
        <v>35</v>
      </c>
      <c r="C1169" t="s">
        <v>47</v>
      </c>
      <c r="D1169">
        <v>100</v>
      </c>
      <c r="E1169" t="s">
        <v>197</v>
      </c>
      <c r="F1169">
        <v>1005</v>
      </c>
      <c r="G1169" t="s">
        <v>47</v>
      </c>
      <c r="H1169">
        <v>2005</v>
      </c>
      <c r="I1169" t="s">
        <v>47</v>
      </c>
      <c r="J1169">
        <v>3012</v>
      </c>
      <c r="K1169" t="s">
        <v>905</v>
      </c>
      <c r="L1169">
        <v>4115</v>
      </c>
      <c r="M1169" t="s">
        <v>911</v>
      </c>
      <c r="N1169" t="s">
        <v>249</v>
      </c>
      <c r="O1169">
        <v>0</v>
      </c>
      <c r="P1169">
        <v>1508</v>
      </c>
      <c r="Q1169" t="s">
        <v>907</v>
      </c>
      <c r="R1169" t="s">
        <v>201</v>
      </c>
      <c r="S1169">
        <v>1</v>
      </c>
      <c r="T1169">
        <v>1</v>
      </c>
      <c r="U1169">
        <v>93384</v>
      </c>
      <c r="V1169">
        <v>93384</v>
      </c>
    </row>
    <row r="1170" spans="1:22">
      <c r="A1170" t="s">
        <v>196</v>
      </c>
      <c r="B1170">
        <v>35</v>
      </c>
      <c r="C1170" t="s">
        <v>47</v>
      </c>
      <c r="D1170">
        <v>100</v>
      </c>
      <c r="E1170" t="s">
        <v>197</v>
      </c>
      <c r="F1170">
        <v>1005</v>
      </c>
      <c r="G1170" t="s">
        <v>47</v>
      </c>
      <c r="H1170">
        <v>2005</v>
      </c>
      <c r="I1170" t="s">
        <v>47</v>
      </c>
      <c r="J1170">
        <v>3012</v>
      </c>
      <c r="K1170" t="s">
        <v>905</v>
      </c>
      <c r="L1170">
        <v>4115</v>
      </c>
      <c r="M1170" t="s">
        <v>911</v>
      </c>
      <c r="N1170" t="s">
        <v>249</v>
      </c>
      <c r="O1170">
        <v>0</v>
      </c>
      <c r="P1170">
        <v>1508</v>
      </c>
      <c r="Q1170" t="s">
        <v>907</v>
      </c>
      <c r="R1170" t="s">
        <v>201</v>
      </c>
      <c r="S1170">
        <v>2</v>
      </c>
      <c r="T1170">
        <v>1</v>
      </c>
      <c r="U1170">
        <v>89112</v>
      </c>
      <c r="V1170">
        <v>178224</v>
      </c>
    </row>
    <row r="1171" spans="1:22">
      <c r="A1171" t="s">
        <v>196</v>
      </c>
      <c r="B1171">
        <v>35</v>
      </c>
      <c r="C1171" t="s">
        <v>47</v>
      </c>
      <c r="D1171">
        <v>100</v>
      </c>
      <c r="E1171" t="s">
        <v>197</v>
      </c>
      <c r="F1171">
        <v>1005</v>
      </c>
      <c r="G1171" t="s">
        <v>47</v>
      </c>
      <c r="H1171">
        <v>2005</v>
      </c>
      <c r="I1171" t="s">
        <v>47</v>
      </c>
      <c r="J1171">
        <v>3012</v>
      </c>
      <c r="K1171" t="s">
        <v>905</v>
      </c>
      <c r="L1171">
        <v>4115</v>
      </c>
      <c r="M1171" t="s">
        <v>911</v>
      </c>
      <c r="N1171" t="s">
        <v>199</v>
      </c>
      <c r="O1171">
        <v>0</v>
      </c>
      <c r="P1171">
        <v>15</v>
      </c>
      <c r="Q1171" t="s">
        <v>264</v>
      </c>
      <c r="R1171" t="s">
        <v>201</v>
      </c>
      <c r="S1171">
        <v>0</v>
      </c>
      <c r="T1171">
        <v>0</v>
      </c>
      <c r="U1171">
        <v>17712</v>
      </c>
      <c r="V1171">
        <v>17712</v>
      </c>
    </row>
    <row r="1172" spans="1:22">
      <c r="A1172" t="s">
        <v>196</v>
      </c>
      <c r="B1172">
        <v>35</v>
      </c>
      <c r="C1172" t="s">
        <v>47</v>
      </c>
      <c r="D1172">
        <v>100</v>
      </c>
      <c r="E1172" t="s">
        <v>197</v>
      </c>
      <c r="F1172">
        <v>1005</v>
      </c>
      <c r="G1172" t="s">
        <v>47</v>
      </c>
      <c r="H1172">
        <v>2005</v>
      </c>
      <c r="I1172" t="s">
        <v>47</v>
      </c>
      <c r="J1172">
        <v>3012</v>
      </c>
      <c r="K1172" t="s">
        <v>905</v>
      </c>
      <c r="L1172">
        <v>4138</v>
      </c>
      <c r="M1172" t="s">
        <v>913</v>
      </c>
      <c r="N1172" t="s">
        <v>266</v>
      </c>
      <c r="O1172">
        <v>9</v>
      </c>
      <c r="P1172">
        <v>1556</v>
      </c>
      <c r="Q1172" t="s">
        <v>894</v>
      </c>
      <c r="R1172" t="s">
        <v>201</v>
      </c>
      <c r="S1172">
        <v>1</v>
      </c>
      <c r="T1172">
        <v>1</v>
      </c>
      <c r="U1172">
        <v>157332</v>
      </c>
      <c r="V1172">
        <v>157332</v>
      </c>
    </row>
    <row r="1173" spans="1:22">
      <c r="A1173" t="s">
        <v>196</v>
      </c>
      <c r="B1173">
        <v>35</v>
      </c>
      <c r="C1173" t="s">
        <v>47</v>
      </c>
      <c r="D1173">
        <v>100</v>
      </c>
      <c r="E1173" t="s">
        <v>197</v>
      </c>
      <c r="F1173">
        <v>1005</v>
      </c>
      <c r="G1173" t="s">
        <v>47</v>
      </c>
      <c r="H1173">
        <v>2005</v>
      </c>
      <c r="I1173" t="s">
        <v>47</v>
      </c>
      <c r="J1173">
        <v>3012</v>
      </c>
      <c r="K1173" t="s">
        <v>905</v>
      </c>
      <c r="L1173">
        <v>4138</v>
      </c>
      <c r="M1173" t="s">
        <v>913</v>
      </c>
      <c r="N1173" t="s">
        <v>249</v>
      </c>
      <c r="O1173">
        <v>10</v>
      </c>
      <c r="P1173">
        <v>1512</v>
      </c>
      <c r="Q1173" t="s">
        <v>914</v>
      </c>
      <c r="R1173" t="s">
        <v>201</v>
      </c>
      <c r="S1173">
        <v>3</v>
      </c>
      <c r="T1173">
        <v>1</v>
      </c>
      <c r="U1173">
        <v>93384</v>
      </c>
      <c r="V1173">
        <v>280152</v>
      </c>
    </row>
    <row r="1174" spans="1:22">
      <c r="A1174" t="s">
        <v>196</v>
      </c>
      <c r="B1174">
        <v>35</v>
      </c>
      <c r="C1174" t="s">
        <v>47</v>
      </c>
      <c r="D1174">
        <v>100</v>
      </c>
      <c r="E1174" t="s">
        <v>197</v>
      </c>
      <c r="F1174">
        <v>1005</v>
      </c>
      <c r="G1174" t="s">
        <v>47</v>
      </c>
      <c r="H1174">
        <v>2005</v>
      </c>
      <c r="I1174" t="s">
        <v>47</v>
      </c>
      <c r="J1174">
        <v>3012</v>
      </c>
      <c r="K1174" t="s">
        <v>905</v>
      </c>
      <c r="L1174">
        <v>4138</v>
      </c>
      <c r="M1174" t="s">
        <v>913</v>
      </c>
      <c r="N1174" t="s">
        <v>249</v>
      </c>
      <c r="O1174">
        <v>10</v>
      </c>
      <c r="P1174">
        <v>1511</v>
      </c>
      <c r="Q1174" t="s">
        <v>915</v>
      </c>
      <c r="R1174" t="s">
        <v>201</v>
      </c>
      <c r="S1174">
        <v>1</v>
      </c>
      <c r="T1174">
        <v>1</v>
      </c>
      <c r="U1174">
        <v>97836</v>
      </c>
      <c r="V1174">
        <v>97836</v>
      </c>
    </row>
    <row r="1175" spans="1:22">
      <c r="A1175" t="s">
        <v>196</v>
      </c>
      <c r="B1175">
        <v>35</v>
      </c>
      <c r="C1175" t="s">
        <v>47</v>
      </c>
      <c r="D1175">
        <v>100</v>
      </c>
      <c r="E1175" t="s">
        <v>197</v>
      </c>
      <c r="F1175">
        <v>1005</v>
      </c>
      <c r="G1175" t="s">
        <v>47</v>
      </c>
      <c r="H1175">
        <v>2005</v>
      </c>
      <c r="I1175" t="s">
        <v>47</v>
      </c>
      <c r="J1175">
        <v>3012</v>
      </c>
      <c r="K1175" t="s">
        <v>905</v>
      </c>
      <c r="L1175">
        <v>4138</v>
      </c>
      <c r="M1175" t="s">
        <v>913</v>
      </c>
      <c r="N1175" t="s">
        <v>249</v>
      </c>
      <c r="O1175">
        <v>10</v>
      </c>
      <c r="P1175">
        <v>1511</v>
      </c>
      <c r="Q1175" t="s">
        <v>915</v>
      </c>
      <c r="R1175" t="s">
        <v>201</v>
      </c>
      <c r="S1175">
        <v>1</v>
      </c>
      <c r="T1175">
        <v>1</v>
      </c>
      <c r="U1175">
        <v>93384</v>
      </c>
      <c r="V1175">
        <v>93384</v>
      </c>
    </row>
    <row r="1176" spans="1:22">
      <c r="A1176" t="s">
        <v>196</v>
      </c>
      <c r="B1176">
        <v>35</v>
      </c>
      <c r="C1176" t="s">
        <v>47</v>
      </c>
      <c r="D1176">
        <v>100</v>
      </c>
      <c r="E1176" t="s">
        <v>197</v>
      </c>
      <c r="F1176">
        <v>1005</v>
      </c>
      <c r="G1176" t="s">
        <v>47</v>
      </c>
      <c r="H1176">
        <v>2005</v>
      </c>
      <c r="I1176" t="s">
        <v>47</v>
      </c>
      <c r="J1176">
        <v>3012</v>
      </c>
      <c r="K1176" t="s">
        <v>905</v>
      </c>
      <c r="L1176">
        <v>4138</v>
      </c>
      <c r="M1176" t="s">
        <v>913</v>
      </c>
      <c r="N1176" t="s">
        <v>249</v>
      </c>
      <c r="O1176">
        <v>10</v>
      </c>
      <c r="P1176">
        <v>1511</v>
      </c>
      <c r="Q1176" t="s">
        <v>915</v>
      </c>
      <c r="R1176" t="s">
        <v>201</v>
      </c>
      <c r="S1176">
        <v>1</v>
      </c>
      <c r="T1176">
        <v>1</v>
      </c>
      <c r="U1176">
        <v>89112</v>
      </c>
      <c r="V1176">
        <v>89112</v>
      </c>
    </row>
    <row r="1177" spans="1:22">
      <c r="A1177" t="s">
        <v>196</v>
      </c>
      <c r="B1177">
        <v>35</v>
      </c>
      <c r="C1177" t="s">
        <v>47</v>
      </c>
      <c r="D1177">
        <v>100</v>
      </c>
      <c r="E1177" t="s">
        <v>197</v>
      </c>
      <c r="F1177">
        <v>1005</v>
      </c>
      <c r="G1177" t="s">
        <v>47</v>
      </c>
      <c r="H1177">
        <v>2005</v>
      </c>
      <c r="I1177" t="s">
        <v>47</v>
      </c>
      <c r="J1177">
        <v>3012</v>
      </c>
      <c r="K1177" t="s">
        <v>905</v>
      </c>
      <c r="L1177">
        <v>4138</v>
      </c>
      <c r="M1177" t="s">
        <v>913</v>
      </c>
      <c r="N1177" t="s">
        <v>281</v>
      </c>
      <c r="O1177">
        <v>20</v>
      </c>
      <c r="P1177">
        <v>1141</v>
      </c>
      <c r="Q1177" t="s">
        <v>332</v>
      </c>
      <c r="R1177" t="s">
        <v>201</v>
      </c>
      <c r="S1177">
        <v>1</v>
      </c>
      <c r="T1177">
        <v>1</v>
      </c>
      <c r="U1177">
        <v>85236</v>
      </c>
      <c r="V1177">
        <v>85236</v>
      </c>
    </row>
    <row r="1178" spans="1:22">
      <c r="A1178" t="s">
        <v>196</v>
      </c>
      <c r="B1178">
        <v>35</v>
      </c>
      <c r="C1178" t="s">
        <v>47</v>
      </c>
      <c r="D1178">
        <v>100</v>
      </c>
      <c r="E1178" t="s">
        <v>197</v>
      </c>
      <c r="F1178">
        <v>1005</v>
      </c>
      <c r="G1178" t="s">
        <v>47</v>
      </c>
      <c r="H1178">
        <v>2005</v>
      </c>
      <c r="I1178" t="s">
        <v>47</v>
      </c>
      <c r="J1178">
        <v>3012</v>
      </c>
      <c r="K1178" t="s">
        <v>905</v>
      </c>
      <c r="L1178">
        <v>4138</v>
      </c>
      <c r="M1178" t="s">
        <v>913</v>
      </c>
      <c r="N1178" t="s">
        <v>281</v>
      </c>
      <c r="O1178">
        <v>20</v>
      </c>
      <c r="P1178">
        <v>1141</v>
      </c>
      <c r="Q1178" t="s">
        <v>332</v>
      </c>
      <c r="R1178" t="s">
        <v>201</v>
      </c>
      <c r="S1178">
        <v>1</v>
      </c>
      <c r="T1178">
        <v>1</v>
      </c>
      <c r="U1178">
        <v>82884</v>
      </c>
      <c r="V1178">
        <v>82884</v>
      </c>
    </row>
    <row r="1179" spans="1:22">
      <c r="A1179" t="s">
        <v>196</v>
      </c>
      <c r="B1179">
        <v>35</v>
      </c>
      <c r="C1179" t="s">
        <v>47</v>
      </c>
      <c r="D1179">
        <v>100</v>
      </c>
      <c r="E1179" t="s">
        <v>197</v>
      </c>
      <c r="F1179">
        <v>1005</v>
      </c>
      <c r="G1179" t="s">
        <v>47</v>
      </c>
      <c r="H1179">
        <v>2005</v>
      </c>
      <c r="I1179" t="s">
        <v>47</v>
      </c>
      <c r="J1179">
        <v>3012</v>
      </c>
      <c r="K1179" t="s">
        <v>905</v>
      </c>
      <c r="L1179">
        <v>4138</v>
      </c>
      <c r="M1179" t="s">
        <v>913</v>
      </c>
      <c r="N1179" t="s">
        <v>245</v>
      </c>
      <c r="O1179">
        <v>10</v>
      </c>
      <c r="P1179">
        <v>1130</v>
      </c>
      <c r="Q1179" t="s">
        <v>916</v>
      </c>
      <c r="R1179" t="s">
        <v>201</v>
      </c>
      <c r="S1179">
        <v>1</v>
      </c>
      <c r="T1179">
        <v>1</v>
      </c>
      <c r="U1179">
        <v>135000</v>
      </c>
      <c r="V1179">
        <v>135000</v>
      </c>
    </row>
    <row r="1180" spans="1:22">
      <c r="A1180" t="s">
        <v>196</v>
      </c>
      <c r="B1180">
        <v>35</v>
      </c>
      <c r="C1180" t="s">
        <v>47</v>
      </c>
      <c r="D1180">
        <v>100</v>
      </c>
      <c r="E1180" t="s">
        <v>197</v>
      </c>
      <c r="F1180">
        <v>1005</v>
      </c>
      <c r="G1180" t="s">
        <v>47</v>
      </c>
      <c r="H1180">
        <v>2005</v>
      </c>
      <c r="I1180" t="s">
        <v>47</v>
      </c>
      <c r="J1180">
        <v>3012</v>
      </c>
      <c r="K1180" t="s">
        <v>905</v>
      </c>
      <c r="L1180">
        <v>4138</v>
      </c>
      <c r="M1180" t="s">
        <v>913</v>
      </c>
      <c r="N1180" t="s">
        <v>199</v>
      </c>
      <c r="O1180">
        <v>0</v>
      </c>
      <c r="P1180">
        <v>15</v>
      </c>
      <c r="Q1180" t="s">
        <v>264</v>
      </c>
      <c r="R1180" t="s">
        <v>201</v>
      </c>
      <c r="S1180">
        <v>0</v>
      </c>
      <c r="T1180">
        <v>0</v>
      </c>
      <c r="U1180">
        <v>12885</v>
      </c>
      <c r="V1180">
        <v>12885</v>
      </c>
    </row>
    <row r="1181" spans="1:22">
      <c r="A1181" t="s">
        <v>196</v>
      </c>
      <c r="B1181">
        <v>35</v>
      </c>
      <c r="C1181" t="s">
        <v>47</v>
      </c>
      <c r="D1181">
        <v>100</v>
      </c>
      <c r="E1181" t="s">
        <v>197</v>
      </c>
      <c r="F1181">
        <v>1005</v>
      </c>
      <c r="G1181" t="s">
        <v>47</v>
      </c>
      <c r="H1181">
        <v>2005</v>
      </c>
      <c r="I1181" t="s">
        <v>47</v>
      </c>
      <c r="J1181">
        <v>3024</v>
      </c>
      <c r="K1181" t="s">
        <v>917</v>
      </c>
      <c r="L1181">
        <v>4031</v>
      </c>
      <c r="M1181" t="s">
        <v>918</v>
      </c>
      <c r="N1181" t="s">
        <v>311</v>
      </c>
      <c r="O1181">
        <v>9</v>
      </c>
      <c r="P1181">
        <v>9815</v>
      </c>
      <c r="Q1181" t="s">
        <v>903</v>
      </c>
      <c r="R1181" t="s">
        <v>201</v>
      </c>
      <c r="S1181">
        <v>1</v>
      </c>
      <c r="T1181">
        <v>1</v>
      </c>
      <c r="U1181">
        <v>180324</v>
      </c>
      <c r="V1181">
        <v>180324</v>
      </c>
    </row>
    <row r="1182" spans="1:22">
      <c r="A1182" t="s">
        <v>196</v>
      </c>
      <c r="B1182">
        <v>35</v>
      </c>
      <c r="C1182" t="s">
        <v>47</v>
      </c>
      <c r="D1182">
        <v>100</v>
      </c>
      <c r="E1182" t="s">
        <v>197</v>
      </c>
      <c r="F1182">
        <v>1005</v>
      </c>
      <c r="G1182" t="s">
        <v>47</v>
      </c>
      <c r="H1182">
        <v>2005</v>
      </c>
      <c r="I1182" t="s">
        <v>47</v>
      </c>
      <c r="J1182">
        <v>3024</v>
      </c>
      <c r="K1182" t="s">
        <v>917</v>
      </c>
      <c r="L1182">
        <v>4031</v>
      </c>
      <c r="M1182" t="s">
        <v>918</v>
      </c>
      <c r="N1182" t="s">
        <v>266</v>
      </c>
      <c r="O1182">
        <v>9</v>
      </c>
      <c r="P1182">
        <v>1556</v>
      </c>
      <c r="Q1182" t="s">
        <v>894</v>
      </c>
      <c r="R1182" t="s">
        <v>201</v>
      </c>
      <c r="S1182">
        <v>1</v>
      </c>
      <c r="T1182">
        <v>1</v>
      </c>
      <c r="U1182">
        <v>139140</v>
      </c>
      <c r="V1182">
        <v>139140</v>
      </c>
    </row>
    <row r="1183" spans="1:22">
      <c r="A1183" t="s">
        <v>196</v>
      </c>
      <c r="B1183">
        <v>35</v>
      </c>
      <c r="C1183" t="s">
        <v>47</v>
      </c>
      <c r="D1183">
        <v>100</v>
      </c>
      <c r="E1183" t="s">
        <v>197</v>
      </c>
      <c r="F1183">
        <v>1005</v>
      </c>
      <c r="G1183" t="s">
        <v>47</v>
      </c>
      <c r="H1183">
        <v>2005</v>
      </c>
      <c r="I1183" t="s">
        <v>47</v>
      </c>
      <c r="J1183">
        <v>3024</v>
      </c>
      <c r="K1183" t="s">
        <v>917</v>
      </c>
      <c r="L1183">
        <v>4031</v>
      </c>
      <c r="M1183" t="s">
        <v>918</v>
      </c>
      <c r="N1183" t="s">
        <v>274</v>
      </c>
      <c r="O1183">
        <v>9</v>
      </c>
      <c r="P1183">
        <v>1554</v>
      </c>
      <c r="Q1183" t="s">
        <v>895</v>
      </c>
      <c r="R1183" t="s">
        <v>201</v>
      </c>
      <c r="S1183">
        <v>1</v>
      </c>
      <c r="T1183">
        <v>1</v>
      </c>
      <c r="U1183">
        <v>121668</v>
      </c>
      <c r="V1183">
        <v>121668</v>
      </c>
    </row>
    <row r="1184" spans="1:22">
      <c r="A1184" t="s">
        <v>196</v>
      </c>
      <c r="B1184">
        <v>35</v>
      </c>
      <c r="C1184" t="s">
        <v>47</v>
      </c>
      <c r="D1184">
        <v>100</v>
      </c>
      <c r="E1184" t="s">
        <v>197</v>
      </c>
      <c r="F1184">
        <v>1005</v>
      </c>
      <c r="G1184" t="s">
        <v>47</v>
      </c>
      <c r="H1184">
        <v>2005</v>
      </c>
      <c r="I1184" t="s">
        <v>47</v>
      </c>
      <c r="J1184">
        <v>3024</v>
      </c>
      <c r="K1184" t="s">
        <v>917</v>
      </c>
      <c r="L1184">
        <v>4031</v>
      </c>
      <c r="M1184" t="s">
        <v>918</v>
      </c>
      <c r="N1184" t="s">
        <v>274</v>
      </c>
      <c r="O1184">
        <v>9</v>
      </c>
      <c r="P1184">
        <v>1506</v>
      </c>
      <c r="Q1184" t="s">
        <v>919</v>
      </c>
      <c r="R1184" t="s">
        <v>201</v>
      </c>
      <c r="S1184">
        <v>1</v>
      </c>
      <c r="T1184">
        <v>1</v>
      </c>
      <c r="U1184">
        <v>137532</v>
      </c>
      <c r="V1184">
        <v>137532</v>
      </c>
    </row>
    <row r="1185" spans="1:22">
      <c r="A1185" t="s">
        <v>196</v>
      </c>
      <c r="B1185">
        <v>35</v>
      </c>
      <c r="C1185" t="s">
        <v>47</v>
      </c>
      <c r="D1185">
        <v>100</v>
      </c>
      <c r="E1185" t="s">
        <v>197</v>
      </c>
      <c r="F1185">
        <v>1005</v>
      </c>
      <c r="G1185" t="s">
        <v>47</v>
      </c>
      <c r="H1185">
        <v>2005</v>
      </c>
      <c r="I1185" t="s">
        <v>47</v>
      </c>
      <c r="J1185">
        <v>3024</v>
      </c>
      <c r="K1185" t="s">
        <v>917</v>
      </c>
      <c r="L1185">
        <v>4031</v>
      </c>
      <c r="M1185" t="s">
        <v>918</v>
      </c>
      <c r="N1185" t="s">
        <v>602</v>
      </c>
      <c r="O1185">
        <v>1</v>
      </c>
      <c r="P1185">
        <v>1505</v>
      </c>
      <c r="Q1185" t="s">
        <v>920</v>
      </c>
      <c r="R1185" t="s">
        <v>201</v>
      </c>
      <c r="S1185">
        <v>1</v>
      </c>
      <c r="T1185">
        <v>1</v>
      </c>
      <c r="U1185">
        <v>141564</v>
      </c>
      <c r="V1185">
        <v>141564</v>
      </c>
    </row>
    <row r="1186" spans="1:22">
      <c r="A1186" t="s">
        <v>196</v>
      </c>
      <c r="B1186">
        <v>35</v>
      </c>
      <c r="C1186" t="s">
        <v>47</v>
      </c>
      <c r="D1186">
        <v>100</v>
      </c>
      <c r="E1186" t="s">
        <v>197</v>
      </c>
      <c r="F1186">
        <v>1005</v>
      </c>
      <c r="G1186" t="s">
        <v>47</v>
      </c>
      <c r="H1186">
        <v>2005</v>
      </c>
      <c r="I1186" t="s">
        <v>47</v>
      </c>
      <c r="J1186">
        <v>3024</v>
      </c>
      <c r="K1186" t="s">
        <v>917</v>
      </c>
      <c r="L1186">
        <v>4031</v>
      </c>
      <c r="M1186" t="s">
        <v>918</v>
      </c>
      <c r="N1186" t="s">
        <v>602</v>
      </c>
      <c r="O1186">
        <v>1</v>
      </c>
      <c r="P1186">
        <v>1505</v>
      </c>
      <c r="Q1186" t="s">
        <v>920</v>
      </c>
      <c r="R1186" t="s">
        <v>201</v>
      </c>
      <c r="S1186">
        <v>2</v>
      </c>
      <c r="T1186">
        <v>1</v>
      </c>
      <c r="U1186">
        <v>134184</v>
      </c>
      <c r="V1186">
        <v>268368</v>
      </c>
    </row>
    <row r="1187" spans="1:22">
      <c r="A1187" t="s">
        <v>196</v>
      </c>
      <c r="B1187">
        <v>35</v>
      </c>
      <c r="C1187" t="s">
        <v>47</v>
      </c>
      <c r="D1187">
        <v>100</v>
      </c>
      <c r="E1187" t="s">
        <v>197</v>
      </c>
      <c r="F1187">
        <v>1005</v>
      </c>
      <c r="G1187" t="s">
        <v>47</v>
      </c>
      <c r="H1187">
        <v>2005</v>
      </c>
      <c r="I1187" t="s">
        <v>47</v>
      </c>
      <c r="J1187">
        <v>3024</v>
      </c>
      <c r="K1187" t="s">
        <v>917</v>
      </c>
      <c r="L1187">
        <v>4031</v>
      </c>
      <c r="M1187" t="s">
        <v>918</v>
      </c>
      <c r="N1187" t="s">
        <v>602</v>
      </c>
      <c r="O1187">
        <v>1</v>
      </c>
      <c r="P1187">
        <v>1505</v>
      </c>
      <c r="Q1187" t="s">
        <v>920</v>
      </c>
      <c r="R1187" t="s">
        <v>201</v>
      </c>
      <c r="S1187">
        <v>1</v>
      </c>
      <c r="T1187">
        <v>1</v>
      </c>
      <c r="U1187">
        <v>128316</v>
      </c>
      <c r="V1187">
        <v>128316</v>
      </c>
    </row>
    <row r="1188" spans="1:22">
      <c r="A1188" t="s">
        <v>196</v>
      </c>
      <c r="B1188">
        <v>35</v>
      </c>
      <c r="C1188" t="s">
        <v>47</v>
      </c>
      <c r="D1188">
        <v>100</v>
      </c>
      <c r="E1188" t="s">
        <v>197</v>
      </c>
      <c r="F1188">
        <v>1005</v>
      </c>
      <c r="G1188" t="s">
        <v>47</v>
      </c>
      <c r="H1188">
        <v>2005</v>
      </c>
      <c r="I1188" t="s">
        <v>47</v>
      </c>
      <c r="J1188">
        <v>3024</v>
      </c>
      <c r="K1188" t="s">
        <v>917</v>
      </c>
      <c r="L1188">
        <v>4031</v>
      </c>
      <c r="M1188" t="s">
        <v>918</v>
      </c>
      <c r="N1188" t="s">
        <v>602</v>
      </c>
      <c r="O1188">
        <v>1</v>
      </c>
      <c r="P1188">
        <v>1505</v>
      </c>
      <c r="Q1188" t="s">
        <v>920</v>
      </c>
      <c r="R1188" t="s">
        <v>201</v>
      </c>
      <c r="S1188">
        <v>1</v>
      </c>
      <c r="T1188">
        <v>1</v>
      </c>
      <c r="U1188">
        <v>122928</v>
      </c>
      <c r="V1188">
        <v>122928</v>
      </c>
    </row>
    <row r="1189" spans="1:22">
      <c r="A1189" t="s">
        <v>196</v>
      </c>
      <c r="B1189">
        <v>35</v>
      </c>
      <c r="C1189" t="s">
        <v>47</v>
      </c>
      <c r="D1189">
        <v>100</v>
      </c>
      <c r="E1189" t="s">
        <v>197</v>
      </c>
      <c r="F1189">
        <v>1005</v>
      </c>
      <c r="G1189" t="s">
        <v>47</v>
      </c>
      <c r="H1189">
        <v>2005</v>
      </c>
      <c r="I1189" t="s">
        <v>47</v>
      </c>
      <c r="J1189">
        <v>3024</v>
      </c>
      <c r="K1189" t="s">
        <v>917</v>
      </c>
      <c r="L1189">
        <v>4031</v>
      </c>
      <c r="M1189" t="s">
        <v>918</v>
      </c>
      <c r="N1189" t="s">
        <v>602</v>
      </c>
      <c r="O1189">
        <v>1</v>
      </c>
      <c r="P1189">
        <v>1505</v>
      </c>
      <c r="Q1189" t="s">
        <v>920</v>
      </c>
      <c r="R1189" t="s">
        <v>201</v>
      </c>
      <c r="S1189">
        <v>2</v>
      </c>
      <c r="T1189">
        <v>1</v>
      </c>
      <c r="U1189">
        <v>99408</v>
      </c>
      <c r="V1189">
        <v>198816</v>
      </c>
    </row>
    <row r="1190" spans="1:22">
      <c r="A1190" t="s">
        <v>196</v>
      </c>
      <c r="B1190">
        <v>35</v>
      </c>
      <c r="C1190" t="s">
        <v>47</v>
      </c>
      <c r="D1190">
        <v>100</v>
      </c>
      <c r="E1190" t="s">
        <v>197</v>
      </c>
      <c r="F1190">
        <v>1005</v>
      </c>
      <c r="G1190" t="s">
        <v>47</v>
      </c>
      <c r="H1190">
        <v>2005</v>
      </c>
      <c r="I1190" t="s">
        <v>47</v>
      </c>
      <c r="J1190">
        <v>3024</v>
      </c>
      <c r="K1190" t="s">
        <v>917</v>
      </c>
      <c r="L1190">
        <v>4031</v>
      </c>
      <c r="M1190" t="s">
        <v>918</v>
      </c>
      <c r="N1190" t="s">
        <v>688</v>
      </c>
      <c r="O1190">
        <v>1</v>
      </c>
      <c r="P1190">
        <v>1504</v>
      </c>
      <c r="Q1190" t="s">
        <v>921</v>
      </c>
      <c r="R1190" t="s">
        <v>201</v>
      </c>
      <c r="S1190">
        <v>2</v>
      </c>
      <c r="T1190">
        <v>1</v>
      </c>
      <c r="U1190">
        <v>118836</v>
      </c>
      <c r="V1190">
        <v>237672</v>
      </c>
    </row>
    <row r="1191" spans="1:22">
      <c r="A1191" t="s">
        <v>196</v>
      </c>
      <c r="B1191">
        <v>35</v>
      </c>
      <c r="C1191" t="s">
        <v>47</v>
      </c>
      <c r="D1191">
        <v>100</v>
      </c>
      <c r="E1191" t="s">
        <v>197</v>
      </c>
      <c r="F1191">
        <v>1005</v>
      </c>
      <c r="G1191" t="s">
        <v>47</v>
      </c>
      <c r="H1191">
        <v>2005</v>
      </c>
      <c r="I1191" t="s">
        <v>47</v>
      </c>
      <c r="J1191">
        <v>3024</v>
      </c>
      <c r="K1191" t="s">
        <v>917</v>
      </c>
      <c r="L1191">
        <v>4031</v>
      </c>
      <c r="M1191" t="s">
        <v>918</v>
      </c>
      <c r="N1191" t="s">
        <v>688</v>
      </c>
      <c r="O1191">
        <v>1</v>
      </c>
      <c r="P1191">
        <v>1504</v>
      </c>
      <c r="Q1191" t="s">
        <v>921</v>
      </c>
      <c r="R1191" t="s">
        <v>201</v>
      </c>
      <c r="S1191">
        <v>1</v>
      </c>
      <c r="T1191">
        <v>1</v>
      </c>
      <c r="U1191">
        <v>88524</v>
      </c>
      <c r="V1191">
        <v>88524</v>
      </c>
    </row>
    <row r="1192" spans="1:22">
      <c r="A1192" t="s">
        <v>196</v>
      </c>
      <c r="B1192">
        <v>35</v>
      </c>
      <c r="C1192" t="s">
        <v>47</v>
      </c>
      <c r="D1192">
        <v>100</v>
      </c>
      <c r="E1192" t="s">
        <v>197</v>
      </c>
      <c r="F1192">
        <v>1005</v>
      </c>
      <c r="G1192" t="s">
        <v>47</v>
      </c>
      <c r="H1192">
        <v>2005</v>
      </c>
      <c r="I1192" t="s">
        <v>47</v>
      </c>
      <c r="J1192">
        <v>3024</v>
      </c>
      <c r="K1192" t="s">
        <v>917</v>
      </c>
      <c r="L1192">
        <v>4031</v>
      </c>
      <c r="M1192" t="s">
        <v>918</v>
      </c>
      <c r="N1192" t="s">
        <v>688</v>
      </c>
      <c r="O1192">
        <v>1</v>
      </c>
      <c r="P1192">
        <v>1504</v>
      </c>
      <c r="Q1192" t="s">
        <v>921</v>
      </c>
      <c r="R1192" t="s">
        <v>201</v>
      </c>
      <c r="S1192">
        <v>2</v>
      </c>
      <c r="T1192">
        <v>1</v>
      </c>
      <c r="U1192">
        <v>84192</v>
      </c>
      <c r="V1192">
        <v>168384</v>
      </c>
    </row>
    <row r="1193" spans="1:22">
      <c r="A1193" t="s">
        <v>196</v>
      </c>
      <c r="B1193">
        <v>35</v>
      </c>
      <c r="C1193" t="s">
        <v>47</v>
      </c>
      <c r="D1193">
        <v>100</v>
      </c>
      <c r="E1193" t="s">
        <v>197</v>
      </c>
      <c r="F1193">
        <v>1005</v>
      </c>
      <c r="G1193" t="s">
        <v>47</v>
      </c>
      <c r="H1193">
        <v>2005</v>
      </c>
      <c r="I1193" t="s">
        <v>47</v>
      </c>
      <c r="J1193">
        <v>3024</v>
      </c>
      <c r="K1193" t="s">
        <v>917</v>
      </c>
      <c r="L1193">
        <v>4031</v>
      </c>
      <c r="M1193" t="s">
        <v>918</v>
      </c>
      <c r="N1193" t="s">
        <v>688</v>
      </c>
      <c r="O1193">
        <v>1</v>
      </c>
      <c r="P1193">
        <v>1504</v>
      </c>
      <c r="Q1193" t="s">
        <v>921</v>
      </c>
      <c r="R1193" t="s">
        <v>201</v>
      </c>
      <c r="S1193">
        <v>2</v>
      </c>
      <c r="T1193">
        <v>1</v>
      </c>
      <c r="U1193">
        <v>81636</v>
      </c>
      <c r="V1193">
        <v>163272</v>
      </c>
    </row>
    <row r="1194" spans="1:22">
      <c r="A1194" t="s">
        <v>196</v>
      </c>
      <c r="B1194">
        <v>35</v>
      </c>
      <c r="C1194" t="s">
        <v>47</v>
      </c>
      <c r="D1194">
        <v>100</v>
      </c>
      <c r="E1194" t="s">
        <v>197</v>
      </c>
      <c r="F1194">
        <v>1005</v>
      </c>
      <c r="G1194" t="s">
        <v>47</v>
      </c>
      <c r="H1194">
        <v>2005</v>
      </c>
      <c r="I1194" t="s">
        <v>47</v>
      </c>
      <c r="J1194">
        <v>3024</v>
      </c>
      <c r="K1194" t="s">
        <v>917</v>
      </c>
      <c r="L1194">
        <v>4031</v>
      </c>
      <c r="M1194" t="s">
        <v>918</v>
      </c>
      <c r="N1194" t="s">
        <v>351</v>
      </c>
      <c r="O1194">
        <v>1</v>
      </c>
      <c r="P1194" t="s">
        <v>352</v>
      </c>
      <c r="Q1194" t="s">
        <v>353</v>
      </c>
      <c r="R1194" t="s">
        <v>201</v>
      </c>
      <c r="S1194">
        <v>1</v>
      </c>
      <c r="T1194">
        <v>1</v>
      </c>
      <c r="U1194">
        <v>67608</v>
      </c>
      <c r="V1194">
        <v>67608</v>
      </c>
    </row>
    <row r="1195" spans="1:22">
      <c r="A1195" t="s">
        <v>196</v>
      </c>
      <c r="B1195">
        <v>35</v>
      </c>
      <c r="C1195" t="s">
        <v>47</v>
      </c>
      <c r="D1195">
        <v>100</v>
      </c>
      <c r="E1195" t="s">
        <v>197</v>
      </c>
      <c r="F1195">
        <v>1005</v>
      </c>
      <c r="G1195" t="s">
        <v>47</v>
      </c>
      <c r="H1195">
        <v>2005</v>
      </c>
      <c r="I1195" t="s">
        <v>47</v>
      </c>
      <c r="J1195">
        <v>3024</v>
      </c>
      <c r="K1195" t="s">
        <v>917</v>
      </c>
      <c r="L1195">
        <v>4031</v>
      </c>
      <c r="M1195" t="s">
        <v>918</v>
      </c>
      <c r="N1195" t="s">
        <v>622</v>
      </c>
      <c r="O1195">
        <v>1</v>
      </c>
      <c r="P1195" t="s">
        <v>667</v>
      </c>
      <c r="Q1195" t="s">
        <v>205</v>
      </c>
      <c r="R1195" t="s">
        <v>201</v>
      </c>
      <c r="S1195">
        <v>1</v>
      </c>
      <c r="T1195">
        <v>1</v>
      </c>
      <c r="U1195">
        <v>82140</v>
      </c>
      <c r="V1195">
        <v>82140</v>
      </c>
    </row>
    <row r="1196" spans="1:22">
      <c r="A1196" t="s">
        <v>196</v>
      </c>
      <c r="B1196">
        <v>35</v>
      </c>
      <c r="C1196" t="s">
        <v>47</v>
      </c>
      <c r="D1196">
        <v>100</v>
      </c>
      <c r="E1196" t="s">
        <v>197</v>
      </c>
      <c r="F1196">
        <v>1005</v>
      </c>
      <c r="G1196" t="s">
        <v>47</v>
      </c>
      <c r="H1196">
        <v>2005</v>
      </c>
      <c r="I1196" t="s">
        <v>47</v>
      </c>
      <c r="J1196">
        <v>3024</v>
      </c>
      <c r="K1196" t="s">
        <v>917</v>
      </c>
      <c r="L1196">
        <v>4031</v>
      </c>
      <c r="M1196" t="s">
        <v>918</v>
      </c>
      <c r="N1196" t="s">
        <v>341</v>
      </c>
      <c r="O1196">
        <v>1</v>
      </c>
      <c r="P1196">
        <v>308</v>
      </c>
      <c r="Q1196" t="s">
        <v>355</v>
      </c>
      <c r="R1196" t="s">
        <v>201</v>
      </c>
      <c r="S1196">
        <v>1</v>
      </c>
      <c r="T1196">
        <v>1</v>
      </c>
      <c r="U1196">
        <v>68616</v>
      </c>
      <c r="V1196">
        <v>68616</v>
      </c>
    </row>
    <row r="1197" spans="1:22">
      <c r="A1197" t="s">
        <v>196</v>
      </c>
      <c r="B1197">
        <v>35</v>
      </c>
      <c r="C1197" t="s">
        <v>47</v>
      </c>
      <c r="D1197">
        <v>100</v>
      </c>
      <c r="E1197" t="s">
        <v>197</v>
      </c>
      <c r="F1197">
        <v>1005</v>
      </c>
      <c r="G1197" t="s">
        <v>47</v>
      </c>
      <c r="H1197">
        <v>2005</v>
      </c>
      <c r="I1197" t="s">
        <v>47</v>
      </c>
      <c r="J1197">
        <v>3024</v>
      </c>
      <c r="K1197" t="s">
        <v>917</v>
      </c>
      <c r="L1197">
        <v>4031</v>
      </c>
      <c r="M1197" t="s">
        <v>918</v>
      </c>
      <c r="N1197" t="s">
        <v>199</v>
      </c>
      <c r="O1197">
        <v>0</v>
      </c>
      <c r="P1197">
        <v>15</v>
      </c>
      <c r="Q1197" t="s">
        <v>264</v>
      </c>
      <c r="R1197" t="s">
        <v>201</v>
      </c>
      <c r="S1197">
        <v>0</v>
      </c>
      <c r="T1197">
        <v>0</v>
      </c>
      <c r="U1197">
        <v>28411</v>
      </c>
      <c r="V1197">
        <v>28411</v>
      </c>
    </row>
    <row r="1198" spans="1:22">
      <c r="A1198" t="s">
        <v>196</v>
      </c>
      <c r="B1198">
        <v>38</v>
      </c>
      <c r="C1198" t="s">
        <v>922</v>
      </c>
      <c r="D1198">
        <v>100</v>
      </c>
      <c r="E1198" t="s">
        <v>197</v>
      </c>
      <c r="F1198">
        <v>1005</v>
      </c>
      <c r="G1198" t="s">
        <v>923</v>
      </c>
      <c r="H1198">
        <v>2103</v>
      </c>
      <c r="I1198" t="s">
        <v>88</v>
      </c>
      <c r="J1198">
        <v>3001</v>
      </c>
      <c r="K1198" t="s">
        <v>924</v>
      </c>
      <c r="L1198">
        <v>0</v>
      </c>
      <c r="N1198" t="s">
        <v>199</v>
      </c>
      <c r="O1198">
        <v>9</v>
      </c>
      <c r="P1198">
        <v>9938</v>
      </c>
      <c r="Q1198" t="s">
        <v>925</v>
      </c>
      <c r="R1198" t="s">
        <v>201</v>
      </c>
      <c r="S1198">
        <v>1</v>
      </c>
      <c r="T1198">
        <v>1</v>
      </c>
      <c r="U1198">
        <v>207612</v>
      </c>
      <c r="V1198">
        <v>207612</v>
      </c>
    </row>
    <row r="1199" spans="1:22">
      <c r="A1199" t="s">
        <v>196</v>
      </c>
      <c r="B1199">
        <v>38</v>
      </c>
      <c r="C1199" t="s">
        <v>922</v>
      </c>
      <c r="D1199">
        <v>100</v>
      </c>
      <c r="E1199" t="s">
        <v>197</v>
      </c>
      <c r="F1199">
        <v>1005</v>
      </c>
      <c r="G1199" t="s">
        <v>923</v>
      </c>
      <c r="H1199">
        <v>2103</v>
      </c>
      <c r="I1199" t="s">
        <v>88</v>
      </c>
      <c r="J1199">
        <v>3001</v>
      </c>
      <c r="K1199" t="s">
        <v>924</v>
      </c>
      <c r="L1199">
        <v>0</v>
      </c>
      <c r="N1199" t="s">
        <v>311</v>
      </c>
      <c r="O1199">
        <v>9</v>
      </c>
      <c r="P1199">
        <v>9813</v>
      </c>
      <c r="Q1199" t="s">
        <v>600</v>
      </c>
      <c r="R1199" t="s">
        <v>201</v>
      </c>
      <c r="S1199">
        <v>1</v>
      </c>
      <c r="T1199">
        <v>1</v>
      </c>
      <c r="U1199">
        <v>188400</v>
      </c>
      <c r="V1199">
        <v>188400</v>
      </c>
    </row>
    <row r="1200" spans="1:22">
      <c r="A1200" t="s">
        <v>196</v>
      </c>
      <c r="B1200">
        <v>38</v>
      </c>
      <c r="C1200" t="s">
        <v>922</v>
      </c>
      <c r="D1200">
        <v>100</v>
      </c>
      <c r="E1200" t="s">
        <v>197</v>
      </c>
      <c r="F1200">
        <v>1005</v>
      </c>
      <c r="G1200" t="s">
        <v>923</v>
      </c>
      <c r="H1200">
        <v>2103</v>
      </c>
      <c r="I1200" t="s">
        <v>88</v>
      </c>
      <c r="J1200">
        <v>3001</v>
      </c>
      <c r="K1200" t="s">
        <v>924</v>
      </c>
      <c r="L1200">
        <v>0</v>
      </c>
      <c r="N1200" t="s">
        <v>251</v>
      </c>
      <c r="O1200">
        <v>10</v>
      </c>
      <c r="P1200">
        <v>802</v>
      </c>
      <c r="Q1200" t="s">
        <v>252</v>
      </c>
      <c r="R1200" t="s">
        <v>201</v>
      </c>
      <c r="S1200">
        <v>1</v>
      </c>
      <c r="T1200">
        <v>1</v>
      </c>
      <c r="U1200">
        <v>83052</v>
      </c>
      <c r="V1200">
        <v>83052</v>
      </c>
    </row>
    <row r="1201" spans="1:22">
      <c r="A1201" t="s">
        <v>196</v>
      </c>
      <c r="B1201">
        <v>38</v>
      </c>
      <c r="C1201" t="s">
        <v>922</v>
      </c>
      <c r="D1201">
        <v>100</v>
      </c>
      <c r="E1201" t="s">
        <v>197</v>
      </c>
      <c r="F1201">
        <v>1005</v>
      </c>
      <c r="G1201" t="s">
        <v>923</v>
      </c>
      <c r="H1201">
        <v>2103</v>
      </c>
      <c r="I1201" t="s">
        <v>88</v>
      </c>
      <c r="J1201">
        <v>3001</v>
      </c>
      <c r="K1201" t="s">
        <v>924</v>
      </c>
      <c r="L1201">
        <v>0</v>
      </c>
      <c r="N1201" t="s">
        <v>341</v>
      </c>
      <c r="O1201">
        <v>1</v>
      </c>
      <c r="P1201">
        <v>308</v>
      </c>
      <c r="Q1201" t="s">
        <v>355</v>
      </c>
      <c r="R1201" t="s">
        <v>201</v>
      </c>
      <c r="S1201">
        <v>1</v>
      </c>
      <c r="T1201">
        <v>1</v>
      </c>
      <c r="U1201">
        <v>119100</v>
      </c>
      <c r="V1201">
        <v>119100</v>
      </c>
    </row>
    <row r="1202" spans="1:22">
      <c r="A1202" t="s">
        <v>196</v>
      </c>
      <c r="B1202">
        <v>38</v>
      </c>
      <c r="C1202" t="s">
        <v>922</v>
      </c>
      <c r="D1202">
        <v>100</v>
      </c>
      <c r="E1202" t="s">
        <v>197</v>
      </c>
      <c r="F1202">
        <v>1005</v>
      </c>
      <c r="G1202" t="s">
        <v>923</v>
      </c>
      <c r="H1202">
        <v>2103</v>
      </c>
      <c r="I1202" t="s">
        <v>88</v>
      </c>
      <c r="J1202">
        <v>3001</v>
      </c>
      <c r="K1202" t="s">
        <v>924</v>
      </c>
      <c r="L1202">
        <v>0</v>
      </c>
      <c r="N1202" t="s">
        <v>199</v>
      </c>
      <c r="O1202">
        <v>0</v>
      </c>
      <c r="P1202">
        <v>15</v>
      </c>
      <c r="Q1202" t="s">
        <v>264</v>
      </c>
      <c r="R1202" t="s">
        <v>201</v>
      </c>
      <c r="S1202">
        <v>0</v>
      </c>
      <c r="T1202">
        <v>0</v>
      </c>
      <c r="U1202">
        <v>5937</v>
      </c>
      <c r="V1202">
        <v>5937</v>
      </c>
    </row>
    <row r="1203" spans="1:22">
      <c r="A1203" t="s">
        <v>196</v>
      </c>
      <c r="B1203">
        <v>38</v>
      </c>
      <c r="C1203" t="s">
        <v>922</v>
      </c>
      <c r="D1203">
        <v>100</v>
      </c>
      <c r="E1203" t="s">
        <v>197</v>
      </c>
      <c r="F1203">
        <v>1005</v>
      </c>
      <c r="G1203" t="s">
        <v>923</v>
      </c>
      <c r="H1203">
        <v>2103</v>
      </c>
      <c r="I1203" t="s">
        <v>88</v>
      </c>
      <c r="J1203">
        <v>3110</v>
      </c>
      <c r="K1203" t="s">
        <v>97</v>
      </c>
      <c r="L1203">
        <v>4139</v>
      </c>
      <c r="M1203" t="s">
        <v>926</v>
      </c>
      <c r="N1203" t="s">
        <v>266</v>
      </c>
      <c r="O1203">
        <v>9</v>
      </c>
      <c r="P1203">
        <v>9679</v>
      </c>
      <c r="Q1203" t="s">
        <v>338</v>
      </c>
      <c r="R1203" t="s">
        <v>201</v>
      </c>
      <c r="S1203">
        <v>1</v>
      </c>
      <c r="T1203">
        <v>1</v>
      </c>
      <c r="U1203">
        <v>157332</v>
      </c>
      <c r="V1203">
        <v>157332</v>
      </c>
    </row>
    <row r="1204" spans="1:22">
      <c r="A1204" t="s">
        <v>196</v>
      </c>
      <c r="B1204">
        <v>38</v>
      </c>
      <c r="C1204" t="s">
        <v>922</v>
      </c>
      <c r="D1204">
        <v>100</v>
      </c>
      <c r="E1204" t="s">
        <v>197</v>
      </c>
      <c r="F1204">
        <v>1005</v>
      </c>
      <c r="G1204" t="s">
        <v>923</v>
      </c>
      <c r="H1204">
        <v>2103</v>
      </c>
      <c r="I1204" t="s">
        <v>88</v>
      </c>
      <c r="J1204">
        <v>3110</v>
      </c>
      <c r="K1204" t="s">
        <v>97</v>
      </c>
      <c r="L1204">
        <v>4139</v>
      </c>
      <c r="M1204" t="s">
        <v>926</v>
      </c>
      <c r="N1204" t="s">
        <v>372</v>
      </c>
      <c r="O1204">
        <v>1</v>
      </c>
      <c r="P1204">
        <v>1576</v>
      </c>
      <c r="Q1204" t="s">
        <v>650</v>
      </c>
      <c r="R1204" t="s">
        <v>201</v>
      </c>
      <c r="S1204">
        <v>1</v>
      </c>
      <c r="T1204">
        <v>1</v>
      </c>
      <c r="U1204">
        <v>85200</v>
      </c>
      <c r="V1204">
        <v>85200</v>
      </c>
    </row>
    <row r="1205" spans="1:22">
      <c r="A1205" t="s">
        <v>196</v>
      </c>
      <c r="B1205">
        <v>38</v>
      </c>
      <c r="C1205" t="s">
        <v>922</v>
      </c>
      <c r="D1205">
        <v>100</v>
      </c>
      <c r="E1205" t="s">
        <v>197</v>
      </c>
      <c r="F1205">
        <v>1005</v>
      </c>
      <c r="G1205" t="s">
        <v>923</v>
      </c>
      <c r="H1205">
        <v>2103</v>
      </c>
      <c r="I1205" t="s">
        <v>88</v>
      </c>
      <c r="J1205">
        <v>3110</v>
      </c>
      <c r="K1205" t="s">
        <v>97</v>
      </c>
      <c r="L1205">
        <v>4139</v>
      </c>
      <c r="M1205" t="s">
        <v>926</v>
      </c>
      <c r="N1205" t="s">
        <v>372</v>
      </c>
      <c r="O1205">
        <v>1</v>
      </c>
      <c r="P1205">
        <v>1576</v>
      </c>
      <c r="Q1205" t="s">
        <v>650</v>
      </c>
      <c r="R1205" t="s">
        <v>201</v>
      </c>
      <c r="S1205">
        <v>1</v>
      </c>
      <c r="T1205">
        <v>1</v>
      </c>
      <c r="U1205">
        <v>77640</v>
      </c>
      <c r="V1205">
        <v>77640</v>
      </c>
    </row>
    <row r="1206" spans="1:22">
      <c r="A1206" t="s">
        <v>196</v>
      </c>
      <c r="B1206">
        <v>38</v>
      </c>
      <c r="C1206" t="s">
        <v>922</v>
      </c>
      <c r="D1206">
        <v>100</v>
      </c>
      <c r="E1206" t="s">
        <v>197</v>
      </c>
      <c r="F1206">
        <v>1005</v>
      </c>
      <c r="G1206" t="s">
        <v>923</v>
      </c>
      <c r="H1206">
        <v>2103</v>
      </c>
      <c r="I1206" t="s">
        <v>88</v>
      </c>
      <c r="J1206">
        <v>3110</v>
      </c>
      <c r="K1206" t="s">
        <v>97</v>
      </c>
      <c r="L1206">
        <v>4139</v>
      </c>
      <c r="M1206" t="s">
        <v>926</v>
      </c>
      <c r="N1206" t="s">
        <v>622</v>
      </c>
      <c r="O1206">
        <v>1</v>
      </c>
      <c r="P1206" t="s">
        <v>667</v>
      </c>
      <c r="Q1206" t="s">
        <v>205</v>
      </c>
      <c r="R1206" t="s">
        <v>201</v>
      </c>
      <c r="S1206">
        <v>1</v>
      </c>
      <c r="T1206">
        <v>1</v>
      </c>
      <c r="U1206">
        <v>90144</v>
      </c>
      <c r="V1206">
        <v>90144</v>
      </c>
    </row>
    <row r="1207" spans="1:22">
      <c r="A1207" t="s">
        <v>196</v>
      </c>
      <c r="B1207">
        <v>38</v>
      </c>
      <c r="C1207" t="s">
        <v>922</v>
      </c>
      <c r="D1207">
        <v>100</v>
      </c>
      <c r="E1207" t="s">
        <v>197</v>
      </c>
      <c r="F1207">
        <v>1005</v>
      </c>
      <c r="G1207" t="s">
        <v>923</v>
      </c>
      <c r="H1207">
        <v>2103</v>
      </c>
      <c r="I1207" t="s">
        <v>88</v>
      </c>
      <c r="J1207">
        <v>3110</v>
      </c>
      <c r="K1207" t="s">
        <v>97</v>
      </c>
      <c r="L1207">
        <v>4139</v>
      </c>
      <c r="M1207" t="s">
        <v>926</v>
      </c>
      <c r="N1207" t="s">
        <v>622</v>
      </c>
      <c r="O1207">
        <v>1</v>
      </c>
      <c r="P1207" t="s">
        <v>667</v>
      </c>
      <c r="Q1207" t="s">
        <v>205</v>
      </c>
      <c r="R1207" t="s">
        <v>201</v>
      </c>
      <c r="S1207">
        <v>1</v>
      </c>
      <c r="T1207">
        <v>1</v>
      </c>
      <c r="U1207">
        <v>56124</v>
      </c>
      <c r="V1207">
        <v>56124</v>
      </c>
    </row>
    <row r="1208" spans="1:22">
      <c r="A1208" t="s">
        <v>196</v>
      </c>
      <c r="B1208">
        <v>38</v>
      </c>
      <c r="C1208" t="s">
        <v>922</v>
      </c>
      <c r="D1208">
        <v>100</v>
      </c>
      <c r="E1208" t="s">
        <v>197</v>
      </c>
      <c r="F1208">
        <v>1005</v>
      </c>
      <c r="G1208" t="s">
        <v>923</v>
      </c>
      <c r="H1208">
        <v>2103</v>
      </c>
      <c r="I1208" t="s">
        <v>88</v>
      </c>
      <c r="J1208">
        <v>3110</v>
      </c>
      <c r="K1208" t="s">
        <v>97</v>
      </c>
      <c r="L1208">
        <v>4139</v>
      </c>
      <c r="M1208" t="s">
        <v>926</v>
      </c>
      <c r="N1208" t="s">
        <v>356</v>
      </c>
      <c r="O1208">
        <v>4</v>
      </c>
      <c r="P1208">
        <v>124</v>
      </c>
      <c r="Q1208" t="s">
        <v>357</v>
      </c>
      <c r="R1208" t="s">
        <v>201</v>
      </c>
      <c r="S1208">
        <v>1</v>
      </c>
      <c r="T1208">
        <v>1</v>
      </c>
      <c r="U1208">
        <v>90144</v>
      </c>
      <c r="V1208">
        <v>90144</v>
      </c>
    </row>
    <row r="1209" spans="1:22">
      <c r="A1209" t="s">
        <v>196</v>
      </c>
      <c r="B1209">
        <v>38</v>
      </c>
      <c r="C1209" t="s">
        <v>922</v>
      </c>
      <c r="D1209">
        <v>100</v>
      </c>
      <c r="E1209" t="s">
        <v>197</v>
      </c>
      <c r="F1209">
        <v>1005</v>
      </c>
      <c r="G1209" t="s">
        <v>923</v>
      </c>
      <c r="H1209">
        <v>2103</v>
      </c>
      <c r="I1209" t="s">
        <v>88</v>
      </c>
      <c r="J1209">
        <v>3110</v>
      </c>
      <c r="K1209" t="s">
        <v>97</v>
      </c>
      <c r="L1209">
        <v>4139</v>
      </c>
      <c r="M1209" t="s">
        <v>926</v>
      </c>
      <c r="N1209" t="s">
        <v>274</v>
      </c>
      <c r="O1209">
        <v>0</v>
      </c>
      <c r="P1209">
        <v>118</v>
      </c>
      <c r="Q1209" t="s">
        <v>358</v>
      </c>
      <c r="R1209" t="s">
        <v>201</v>
      </c>
      <c r="S1209">
        <v>1</v>
      </c>
      <c r="T1209">
        <v>1</v>
      </c>
      <c r="U1209">
        <v>146808</v>
      </c>
      <c r="V1209">
        <v>146808</v>
      </c>
    </row>
    <row r="1210" spans="1:22">
      <c r="A1210" t="s">
        <v>196</v>
      </c>
      <c r="B1210">
        <v>38</v>
      </c>
      <c r="C1210" t="s">
        <v>922</v>
      </c>
      <c r="D1210">
        <v>100</v>
      </c>
      <c r="E1210" t="s">
        <v>197</v>
      </c>
      <c r="F1210">
        <v>1005</v>
      </c>
      <c r="G1210" t="s">
        <v>923</v>
      </c>
      <c r="H1210">
        <v>2103</v>
      </c>
      <c r="I1210" t="s">
        <v>88</v>
      </c>
      <c r="J1210">
        <v>3110</v>
      </c>
      <c r="K1210" t="s">
        <v>97</v>
      </c>
      <c r="L1210">
        <v>4139</v>
      </c>
      <c r="M1210" t="s">
        <v>926</v>
      </c>
      <c r="N1210" t="s">
        <v>341</v>
      </c>
      <c r="O1210">
        <v>4</v>
      </c>
      <c r="P1210">
        <v>110</v>
      </c>
      <c r="Q1210" t="s">
        <v>359</v>
      </c>
      <c r="R1210" t="s">
        <v>201</v>
      </c>
      <c r="S1210">
        <v>1</v>
      </c>
      <c r="T1210">
        <v>1</v>
      </c>
      <c r="U1210">
        <v>108576</v>
      </c>
      <c r="V1210">
        <v>108576</v>
      </c>
    </row>
    <row r="1211" spans="1:22">
      <c r="A1211" t="s">
        <v>196</v>
      </c>
      <c r="B1211">
        <v>38</v>
      </c>
      <c r="C1211" t="s">
        <v>922</v>
      </c>
      <c r="D1211">
        <v>100</v>
      </c>
      <c r="E1211" t="s">
        <v>197</v>
      </c>
      <c r="F1211">
        <v>1005</v>
      </c>
      <c r="G1211" t="s">
        <v>923</v>
      </c>
      <c r="H1211">
        <v>2103</v>
      </c>
      <c r="I1211" t="s">
        <v>88</v>
      </c>
      <c r="J1211">
        <v>3110</v>
      </c>
      <c r="K1211" t="s">
        <v>97</v>
      </c>
      <c r="L1211">
        <v>4139</v>
      </c>
      <c r="M1211" t="s">
        <v>926</v>
      </c>
      <c r="N1211" t="s">
        <v>341</v>
      </c>
      <c r="O1211">
        <v>4</v>
      </c>
      <c r="P1211">
        <v>110</v>
      </c>
      <c r="Q1211" t="s">
        <v>359</v>
      </c>
      <c r="R1211" t="s">
        <v>201</v>
      </c>
      <c r="S1211">
        <v>1</v>
      </c>
      <c r="T1211">
        <v>1</v>
      </c>
      <c r="U1211">
        <v>68616</v>
      </c>
      <c r="V1211">
        <v>68616</v>
      </c>
    </row>
    <row r="1212" spans="1:22">
      <c r="A1212" t="s">
        <v>196</v>
      </c>
      <c r="B1212">
        <v>38</v>
      </c>
      <c r="C1212" t="s">
        <v>922</v>
      </c>
      <c r="D1212">
        <v>100</v>
      </c>
      <c r="E1212" t="s">
        <v>197</v>
      </c>
      <c r="F1212">
        <v>1005</v>
      </c>
      <c r="G1212" t="s">
        <v>923</v>
      </c>
      <c r="H1212">
        <v>2103</v>
      </c>
      <c r="I1212" t="s">
        <v>88</v>
      </c>
      <c r="J1212">
        <v>3110</v>
      </c>
      <c r="K1212" t="s">
        <v>97</v>
      </c>
      <c r="L1212">
        <v>4139</v>
      </c>
      <c r="M1212" t="s">
        <v>926</v>
      </c>
      <c r="N1212" t="s">
        <v>360</v>
      </c>
      <c r="O1212">
        <v>1</v>
      </c>
      <c r="P1212">
        <v>109</v>
      </c>
      <c r="Q1212" t="s">
        <v>361</v>
      </c>
      <c r="R1212" t="s">
        <v>201</v>
      </c>
      <c r="S1212">
        <v>2</v>
      </c>
      <c r="T1212">
        <v>1</v>
      </c>
      <c r="U1212">
        <v>57000</v>
      </c>
      <c r="V1212">
        <v>114000</v>
      </c>
    </row>
    <row r="1213" spans="1:22">
      <c r="A1213" t="s">
        <v>196</v>
      </c>
      <c r="B1213">
        <v>38</v>
      </c>
      <c r="C1213" t="s">
        <v>922</v>
      </c>
      <c r="D1213">
        <v>100</v>
      </c>
      <c r="E1213" t="s">
        <v>197</v>
      </c>
      <c r="F1213">
        <v>1005</v>
      </c>
      <c r="G1213" t="s">
        <v>923</v>
      </c>
      <c r="H1213">
        <v>2103</v>
      </c>
      <c r="I1213" t="s">
        <v>88</v>
      </c>
      <c r="J1213">
        <v>3110</v>
      </c>
      <c r="K1213" t="s">
        <v>97</v>
      </c>
      <c r="L1213">
        <v>4139</v>
      </c>
      <c r="M1213" t="s">
        <v>926</v>
      </c>
      <c r="N1213" t="s">
        <v>199</v>
      </c>
      <c r="O1213">
        <v>0</v>
      </c>
      <c r="P1213">
        <v>15</v>
      </c>
      <c r="Q1213" t="s">
        <v>264</v>
      </c>
      <c r="R1213" t="s">
        <v>201</v>
      </c>
      <c r="S1213">
        <v>0</v>
      </c>
      <c r="T1213">
        <v>0</v>
      </c>
      <c r="U1213">
        <v>18445</v>
      </c>
      <c r="V1213">
        <v>18445</v>
      </c>
    </row>
    <row r="1214" spans="1:22">
      <c r="A1214" t="s">
        <v>196</v>
      </c>
      <c r="B1214">
        <v>38</v>
      </c>
      <c r="C1214" t="s">
        <v>922</v>
      </c>
      <c r="D1214">
        <v>100</v>
      </c>
      <c r="E1214" t="s">
        <v>197</v>
      </c>
      <c r="F1214">
        <v>1005</v>
      </c>
      <c r="G1214" t="s">
        <v>923</v>
      </c>
      <c r="H1214">
        <v>2103</v>
      </c>
      <c r="I1214" t="s">
        <v>88</v>
      </c>
      <c r="J1214">
        <v>3110</v>
      </c>
      <c r="K1214" t="s">
        <v>97</v>
      </c>
      <c r="L1214">
        <v>4140</v>
      </c>
      <c r="M1214" t="s">
        <v>905</v>
      </c>
      <c r="N1214" t="s">
        <v>255</v>
      </c>
      <c r="O1214">
        <v>1</v>
      </c>
      <c r="P1214">
        <v>1572</v>
      </c>
      <c r="Q1214" t="s">
        <v>363</v>
      </c>
      <c r="R1214" t="s">
        <v>201</v>
      </c>
      <c r="S1214">
        <v>1</v>
      </c>
      <c r="T1214">
        <v>1</v>
      </c>
      <c r="U1214">
        <v>82644</v>
      </c>
      <c r="V1214">
        <v>82644</v>
      </c>
    </row>
    <row r="1215" spans="1:22">
      <c r="A1215" t="s">
        <v>196</v>
      </c>
      <c r="B1215">
        <v>38</v>
      </c>
      <c r="C1215" t="s">
        <v>922</v>
      </c>
      <c r="D1215">
        <v>100</v>
      </c>
      <c r="E1215" t="s">
        <v>197</v>
      </c>
      <c r="F1215">
        <v>1005</v>
      </c>
      <c r="G1215" t="s">
        <v>923</v>
      </c>
      <c r="H1215">
        <v>2103</v>
      </c>
      <c r="I1215" t="s">
        <v>88</v>
      </c>
      <c r="J1215">
        <v>3110</v>
      </c>
      <c r="K1215" t="s">
        <v>97</v>
      </c>
      <c r="L1215">
        <v>4140</v>
      </c>
      <c r="M1215" t="s">
        <v>905</v>
      </c>
      <c r="N1215" t="s">
        <v>274</v>
      </c>
      <c r="O1215">
        <v>20</v>
      </c>
      <c r="P1215">
        <v>1191</v>
      </c>
      <c r="Q1215" t="s">
        <v>927</v>
      </c>
      <c r="R1215" t="s">
        <v>201</v>
      </c>
      <c r="S1215">
        <v>1</v>
      </c>
      <c r="T1215">
        <v>1</v>
      </c>
      <c r="U1215">
        <v>137532</v>
      </c>
      <c r="V1215">
        <v>137532</v>
      </c>
    </row>
    <row r="1216" spans="1:22">
      <c r="A1216" t="s">
        <v>196</v>
      </c>
      <c r="B1216">
        <v>38</v>
      </c>
      <c r="C1216" t="s">
        <v>922</v>
      </c>
      <c r="D1216">
        <v>100</v>
      </c>
      <c r="E1216" t="s">
        <v>197</v>
      </c>
      <c r="F1216">
        <v>1005</v>
      </c>
      <c r="G1216" t="s">
        <v>923</v>
      </c>
      <c r="H1216">
        <v>2103</v>
      </c>
      <c r="I1216" t="s">
        <v>88</v>
      </c>
      <c r="J1216">
        <v>3110</v>
      </c>
      <c r="K1216" t="s">
        <v>97</v>
      </c>
      <c r="L1216">
        <v>4140</v>
      </c>
      <c r="M1216" t="s">
        <v>905</v>
      </c>
      <c r="N1216" t="s">
        <v>392</v>
      </c>
      <c r="O1216">
        <v>4</v>
      </c>
      <c r="P1216">
        <v>345</v>
      </c>
      <c r="Q1216" t="s">
        <v>393</v>
      </c>
      <c r="R1216" t="s">
        <v>201</v>
      </c>
      <c r="S1216">
        <v>1</v>
      </c>
      <c r="T1216">
        <v>1</v>
      </c>
      <c r="U1216">
        <v>157332</v>
      </c>
      <c r="V1216">
        <v>157332</v>
      </c>
    </row>
    <row r="1217" spans="1:22">
      <c r="A1217" t="s">
        <v>196</v>
      </c>
      <c r="B1217">
        <v>38</v>
      </c>
      <c r="C1217" t="s">
        <v>922</v>
      </c>
      <c r="D1217">
        <v>100</v>
      </c>
      <c r="E1217" t="s">
        <v>197</v>
      </c>
      <c r="F1217">
        <v>1005</v>
      </c>
      <c r="G1217" t="s">
        <v>923</v>
      </c>
      <c r="H1217">
        <v>2103</v>
      </c>
      <c r="I1217" t="s">
        <v>88</v>
      </c>
      <c r="J1217">
        <v>3110</v>
      </c>
      <c r="K1217" t="s">
        <v>97</v>
      </c>
      <c r="L1217">
        <v>4140</v>
      </c>
      <c r="M1217" t="s">
        <v>905</v>
      </c>
      <c r="N1217" t="s">
        <v>392</v>
      </c>
      <c r="O1217">
        <v>4</v>
      </c>
      <c r="P1217">
        <v>345</v>
      </c>
      <c r="Q1217" t="s">
        <v>393</v>
      </c>
      <c r="R1217" t="s">
        <v>201</v>
      </c>
      <c r="S1217">
        <v>1</v>
      </c>
      <c r="T1217">
        <v>1</v>
      </c>
      <c r="U1217">
        <v>150240</v>
      </c>
      <c r="V1217">
        <v>150240</v>
      </c>
    </row>
    <row r="1218" spans="1:22">
      <c r="A1218" t="s">
        <v>196</v>
      </c>
      <c r="B1218">
        <v>38</v>
      </c>
      <c r="C1218" t="s">
        <v>922</v>
      </c>
      <c r="D1218">
        <v>100</v>
      </c>
      <c r="E1218" t="s">
        <v>197</v>
      </c>
      <c r="F1218">
        <v>1005</v>
      </c>
      <c r="G1218" t="s">
        <v>923</v>
      </c>
      <c r="H1218">
        <v>2103</v>
      </c>
      <c r="I1218" t="s">
        <v>88</v>
      </c>
      <c r="J1218">
        <v>3110</v>
      </c>
      <c r="K1218" t="s">
        <v>97</v>
      </c>
      <c r="L1218">
        <v>4140</v>
      </c>
      <c r="M1218" t="s">
        <v>905</v>
      </c>
      <c r="N1218" t="s">
        <v>392</v>
      </c>
      <c r="O1218">
        <v>4</v>
      </c>
      <c r="P1218">
        <v>345</v>
      </c>
      <c r="Q1218" t="s">
        <v>393</v>
      </c>
      <c r="R1218" t="s">
        <v>201</v>
      </c>
      <c r="S1218">
        <v>1</v>
      </c>
      <c r="T1218">
        <v>1</v>
      </c>
      <c r="U1218">
        <v>136908</v>
      </c>
      <c r="V1218">
        <v>136908</v>
      </c>
    </row>
    <row r="1219" spans="1:22">
      <c r="A1219" t="s">
        <v>196</v>
      </c>
      <c r="B1219">
        <v>38</v>
      </c>
      <c r="C1219" t="s">
        <v>922</v>
      </c>
      <c r="D1219">
        <v>100</v>
      </c>
      <c r="E1219" t="s">
        <v>197</v>
      </c>
      <c r="F1219">
        <v>1005</v>
      </c>
      <c r="G1219" t="s">
        <v>923</v>
      </c>
      <c r="H1219">
        <v>2103</v>
      </c>
      <c r="I1219" t="s">
        <v>88</v>
      </c>
      <c r="J1219">
        <v>3110</v>
      </c>
      <c r="K1219" t="s">
        <v>97</v>
      </c>
      <c r="L1219">
        <v>4140</v>
      </c>
      <c r="M1219" t="s">
        <v>905</v>
      </c>
      <c r="N1219" t="s">
        <v>199</v>
      </c>
      <c r="O1219">
        <v>0</v>
      </c>
      <c r="P1219">
        <v>15</v>
      </c>
      <c r="Q1219" t="s">
        <v>264</v>
      </c>
      <c r="R1219" t="s">
        <v>201</v>
      </c>
      <c r="S1219">
        <v>0</v>
      </c>
      <c r="T1219">
        <v>0</v>
      </c>
      <c r="U1219">
        <v>10326</v>
      </c>
      <c r="V1219">
        <v>10326</v>
      </c>
    </row>
    <row r="1220" spans="1:22">
      <c r="A1220" t="s">
        <v>196</v>
      </c>
      <c r="B1220">
        <v>38</v>
      </c>
      <c r="C1220" t="s">
        <v>922</v>
      </c>
      <c r="D1220">
        <v>100</v>
      </c>
      <c r="E1220" t="s">
        <v>197</v>
      </c>
      <c r="F1220">
        <v>1005</v>
      </c>
      <c r="G1220" t="s">
        <v>923</v>
      </c>
      <c r="H1220">
        <v>2103</v>
      </c>
      <c r="I1220" t="s">
        <v>88</v>
      </c>
      <c r="J1220">
        <v>3111</v>
      </c>
      <c r="K1220" t="s">
        <v>928</v>
      </c>
      <c r="L1220">
        <v>4131</v>
      </c>
      <c r="M1220" t="s">
        <v>652</v>
      </c>
      <c r="N1220" t="s">
        <v>266</v>
      </c>
      <c r="O1220">
        <v>9</v>
      </c>
      <c r="P1220">
        <v>9679</v>
      </c>
      <c r="Q1220" t="s">
        <v>338</v>
      </c>
      <c r="R1220" t="s">
        <v>201</v>
      </c>
      <c r="S1220">
        <v>1</v>
      </c>
      <c r="T1220">
        <v>1</v>
      </c>
      <c r="U1220">
        <v>157332</v>
      </c>
      <c r="V1220">
        <v>157332</v>
      </c>
    </row>
    <row r="1221" spans="1:22">
      <c r="A1221" t="s">
        <v>196</v>
      </c>
      <c r="B1221">
        <v>38</v>
      </c>
      <c r="C1221" t="s">
        <v>922</v>
      </c>
      <c r="D1221">
        <v>100</v>
      </c>
      <c r="E1221" t="s">
        <v>197</v>
      </c>
      <c r="F1221">
        <v>1005</v>
      </c>
      <c r="G1221" t="s">
        <v>923</v>
      </c>
      <c r="H1221">
        <v>2103</v>
      </c>
      <c r="I1221" t="s">
        <v>88</v>
      </c>
      <c r="J1221">
        <v>3111</v>
      </c>
      <c r="K1221" t="s">
        <v>928</v>
      </c>
      <c r="L1221">
        <v>4131</v>
      </c>
      <c r="M1221" t="s">
        <v>652</v>
      </c>
      <c r="N1221" t="s">
        <v>688</v>
      </c>
      <c r="O1221">
        <v>4</v>
      </c>
      <c r="P1221">
        <v>3403</v>
      </c>
      <c r="Q1221" t="s">
        <v>929</v>
      </c>
      <c r="R1221" t="s">
        <v>201</v>
      </c>
      <c r="S1221">
        <v>1</v>
      </c>
      <c r="T1221">
        <v>1</v>
      </c>
      <c r="U1221">
        <v>81636</v>
      </c>
      <c r="V1221">
        <v>81636</v>
      </c>
    </row>
    <row r="1222" spans="1:22">
      <c r="A1222" t="s">
        <v>196</v>
      </c>
      <c r="B1222">
        <v>38</v>
      </c>
      <c r="C1222" t="s">
        <v>922</v>
      </c>
      <c r="D1222">
        <v>100</v>
      </c>
      <c r="E1222" t="s">
        <v>197</v>
      </c>
      <c r="F1222">
        <v>1005</v>
      </c>
      <c r="G1222" t="s">
        <v>923</v>
      </c>
      <c r="H1222">
        <v>2103</v>
      </c>
      <c r="I1222" t="s">
        <v>88</v>
      </c>
      <c r="J1222">
        <v>3111</v>
      </c>
      <c r="K1222" t="s">
        <v>928</v>
      </c>
      <c r="L1222">
        <v>4131</v>
      </c>
      <c r="M1222" t="s">
        <v>652</v>
      </c>
      <c r="N1222" t="s">
        <v>255</v>
      </c>
      <c r="O1222">
        <v>1</v>
      </c>
      <c r="P1222">
        <v>1302</v>
      </c>
      <c r="Q1222" t="s">
        <v>340</v>
      </c>
      <c r="R1222" t="s">
        <v>201</v>
      </c>
      <c r="S1222">
        <v>1</v>
      </c>
      <c r="T1222">
        <v>1</v>
      </c>
      <c r="U1222">
        <v>97956</v>
      </c>
      <c r="V1222">
        <v>97956</v>
      </c>
    </row>
    <row r="1223" spans="1:22">
      <c r="A1223" t="s">
        <v>196</v>
      </c>
      <c r="B1223">
        <v>38</v>
      </c>
      <c r="C1223" t="s">
        <v>922</v>
      </c>
      <c r="D1223">
        <v>100</v>
      </c>
      <c r="E1223" t="s">
        <v>197</v>
      </c>
      <c r="F1223">
        <v>1005</v>
      </c>
      <c r="G1223" t="s">
        <v>923</v>
      </c>
      <c r="H1223">
        <v>2103</v>
      </c>
      <c r="I1223" t="s">
        <v>88</v>
      </c>
      <c r="J1223">
        <v>3111</v>
      </c>
      <c r="K1223" t="s">
        <v>928</v>
      </c>
      <c r="L1223">
        <v>4131</v>
      </c>
      <c r="M1223" t="s">
        <v>652</v>
      </c>
      <c r="N1223" t="s">
        <v>341</v>
      </c>
      <c r="O1223">
        <v>1</v>
      </c>
      <c r="P1223">
        <v>1301</v>
      </c>
      <c r="Q1223" t="s">
        <v>618</v>
      </c>
      <c r="R1223" t="s">
        <v>201</v>
      </c>
      <c r="S1223">
        <v>1</v>
      </c>
      <c r="T1223">
        <v>1</v>
      </c>
      <c r="U1223">
        <v>77640</v>
      </c>
      <c r="V1223">
        <v>77640</v>
      </c>
    </row>
    <row r="1224" spans="1:22">
      <c r="A1224" t="s">
        <v>196</v>
      </c>
      <c r="B1224">
        <v>38</v>
      </c>
      <c r="C1224" t="s">
        <v>922</v>
      </c>
      <c r="D1224">
        <v>100</v>
      </c>
      <c r="E1224" t="s">
        <v>197</v>
      </c>
      <c r="F1224">
        <v>1005</v>
      </c>
      <c r="G1224" t="s">
        <v>923</v>
      </c>
      <c r="H1224">
        <v>2103</v>
      </c>
      <c r="I1224" t="s">
        <v>88</v>
      </c>
      <c r="J1224">
        <v>3111</v>
      </c>
      <c r="K1224" t="s">
        <v>928</v>
      </c>
      <c r="L1224">
        <v>4131</v>
      </c>
      <c r="M1224" t="s">
        <v>652</v>
      </c>
      <c r="N1224" t="s">
        <v>341</v>
      </c>
      <c r="O1224">
        <v>1</v>
      </c>
      <c r="P1224">
        <v>1301</v>
      </c>
      <c r="Q1224" t="s">
        <v>618</v>
      </c>
      <c r="R1224" t="s">
        <v>201</v>
      </c>
      <c r="S1224">
        <v>1</v>
      </c>
      <c r="T1224">
        <v>1</v>
      </c>
      <c r="U1224">
        <v>68616</v>
      </c>
      <c r="V1224">
        <v>68616</v>
      </c>
    </row>
    <row r="1225" spans="1:22">
      <c r="A1225" t="s">
        <v>196</v>
      </c>
      <c r="B1225">
        <v>38</v>
      </c>
      <c r="C1225" t="s">
        <v>922</v>
      </c>
      <c r="D1225">
        <v>100</v>
      </c>
      <c r="E1225" t="s">
        <v>197</v>
      </c>
      <c r="F1225">
        <v>1005</v>
      </c>
      <c r="G1225" t="s">
        <v>923</v>
      </c>
      <c r="H1225">
        <v>2103</v>
      </c>
      <c r="I1225" t="s">
        <v>88</v>
      </c>
      <c r="J1225">
        <v>3111</v>
      </c>
      <c r="K1225" t="s">
        <v>928</v>
      </c>
      <c r="L1225">
        <v>4131</v>
      </c>
      <c r="M1225" t="s">
        <v>652</v>
      </c>
      <c r="N1225" t="s">
        <v>249</v>
      </c>
      <c r="O1225">
        <v>10</v>
      </c>
      <c r="P1225">
        <v>361</v>
      </c>
      <c r="Q1225" t="s">
        <v>791</v>
      </c>
      <c r="R1225" t="s">
        <v>201</v>
      </c>
      <c r="S1225">
        <v>1</v>
      </c>
      <c r="T1225">
        <v>1</v>
      </c>
      <c r="U1225">
        <v>89112</v>
      </c>
      <c r="V1225">
        <v>89112</v>
      </c>
    </row>
    <row r="1226" spans="1:22">
      <c r="A1226" t="s">
        <v>196</v>
      </c>
      <c r="B1226">
        <v>38</v>
      </c>
      <c r="C1226" t="s">
        <v>922</v>
      </c>
      <c r="D1226">
        <v>100</v>
      </c>
      <c r="E1226" t="s">
        <v>197</v>
      </c>
      <c r="F1226">
        <v>1005</v>
      </c>
      <c r="G1226" t="s">
        <v>923</v>
      </c>
      <c r="H1226">
        <v>2103</v>
      </c>
      <c r="I1226" t="s">
        <v>88</v>
      </c>
      <c r="J1226">
        <v>3111</v>
      </c>
      <c r="K1226" t="s">
        <v>928</v>
      </c>
      <c r="L1226">
        <v>4131</v>
      </c>
      <c r="M1226" t="s">
        <v>652</v>
      </c>
      <c r="N1226" t="s">
        <v>341</v>
      </c>
      <c r="O1226">
        <v>1</v>
      </c>
      <c r="P1226">
        <v>308</v>
      </c>
      <c r="Q1226" t="s">
        <v>355</v>
      </c>
      <c r="R1226" t="s">
        <v>201</v>
      </c>
      <c r="S1226">
        <v>1</v>
      </c>
      <c r="T1226">
        <v>1</v>
      </c>
      <c r="U1226">
        <v>113628</v>
      </c>
      <c r="V1226">
        <v>113628</v>
      </c>
    </row>
    <row r="1227" spans="1:22">
      <c r="A1227" t="s">
        <v>196</v>
      </c>
      <c r="B1227">
        <v>38</v>
      </c>
      <c r="C1227" t="s">
        <v>922</v>
      </c>
      <c r="D1227">
        <v>100</v>
      </c>
      <c r="E1227" t="s">
        <v>197</v>
      </c>
      <c r="F1227">
        <v>1005</v>
      </c>
      <c r="G1227" t="s">
        <v>923</v>
      </c>
      <c r="H1227">
        <v>2103</v>
      </c>
      <c r="I1227" t="s">
        <v>88</v>
      </c>
      <c r="J1227">
        <v>3111</v>
      </c>
      <c r="K1227" t="s">
        <v>928</v>
      </c>
      <c r="L1227">
        <v>4131</v>
      </c>
      <c r="M1227" t="s">
        <v>652</v>
      </c>
      <c r="N1227" t="s">
        <v>199</v>
      </c>
      <c r="O1227">
        <v>0</v>
      </c>
      <c r="P1227">
        <v>15</v>
      </c>
      <c r="Q1227" t="s">
        <v>264</v>
      </c>
      <c r="R1227" t="s">
        <v>201</v>
      </c>
      <c r="S1227">
        <v>0</v>
      </c>
      <c r="T1227">
        <v>0</v>
      </c>
      <c r="U1227">
        <v>12019</v>
      </c>
      <c r="V1227">
        <v>12019</v>
      </c>
    </row>
    <row r="1228" spans="1:22">
      <c r="A1228" t="s">
        <v>196</v>
      </c>
      <c r="B1228">
        <v>38</v>
      </c>
      <c r="C1228" t="s">
        <v>922</v>
      </c>
      <c r="D1228">
        <v>100</v>
      </c>
      <c r="E1228" t="s">
        <v>197</v>
      </c>
      <c r="F1228">
        <v>1005</v>
      </c>
      <c r="G1228" t="s">
        <v>923</v>
      </c>
      <c r="H1228">
        <v>2103</v>
      </c>
      <c r="I1228" t="s">
        <v>88</v>
      </c>
      <c r="J1228">
        <v>3111</v>
      </c>
      <c r="K1228" t="s">
        <v>928</v>
      </c>
      <c r="L1228">
        <v>4132</v>
      </c>
      <c r="M1228" t="s">
        <v>930</v>
      </c>
      <c r="N1228" t="s">
        <v>360</v>
      </c>
      <c r="O1228">
        <v>1</v>
      </c>
      <c r="P1228">
        <v>450</v>
      </c>
      <c r="Q1228" t="s">
        <v>931</v>
      </c>
      <c r="R1228" t="s">
        <v>201</v>
      </c>
      <c r="S1228">
        <v>1</v>
      </c>
      <c r="T1228">
        <v>1</v>
      </c>
      <c r="U1228">
        <v>64488</v>
      </c>
      <c r="V1228">
        <v>64488</v>
      </c>
    </row>
    <row r="1229" spans="1:22">
      <c r="A1229" t="s">
        <v>196</v>
      </c>
      <c r="B1229">
        <v>38</v>
      </c>
      <c r="C1229" t="s">
        <v>922</v>
      </c>
      <c r="D1229">
        <v>100</v>
      </c>
      <c r="E1229" t="s">
        <v>197</v>
      </c>
      <c r="F1229">
        <v>1005</v>
      </c>
      <c r="G1229" t="s">
        <v>923</v>
      </c>
      <c r="H1229">
        <v>2103</v>
      </c>
      <c r="I1229" t="s">
        <v>88</v>
      </c>
      <c r="J1229">
        <v>3111</v>
      </c>
      <c r="K1229" t="s">
        <v>928</v>
      </c>
      <c r="L1229">
        <v>4132</v>
      </c>
      <c r="M1229" t="s">
        <v>930</v>
      </c>
      <c r="N1229" t="s">
        <v>372</v>
      </c>
      <c r="O1229">
        <v>1</v>
      </c>
      <c r="P1229">
        <v>114</v>
      </c>
      <c r="Q1229" t="s">
        <v>691</v>
      </c>
      <c r="R1229" t="s">
        <v>201</v>
      </c>
      <c r="S1229">
        <v>1</v>
      </c>
      <c r="T1229">
        <v>1</v>
      </c>
      <c r="U1229">
        <v>124848</v>
      </c>
      <c r="V1229">
        <v>124848</v>
      </c>
    </row>
    <row r="1230" spans="1:22">
      <c r="A1230" t="s">
        <v>196</v>
      </c>
      <c r="B1230">
        <v>38</v>
      </c>
      <c r="C1230" t="s">
        <v>922</v>
      </c>
      <c r="D1230">
        <v>100</v>
      </c>
      <c r="E1230" t="s">
        <v>197</v>
      </c>
      <c r="F1230">
        <v>1005</v>
      </c>
      <c r="G1230" t="s">
        <v>923</v>
      </c>
      <c r="H1230">
        <v>2103</v>
      </c>
      <c r="I1230" t="s">
        <v>88</v>
      </c>
      <c r="J1230">
        <v>3111</v>
      </c>
      <c r="K1230" t="s">
        <v>928</v>
      </c>
      <c r="L1230">
        <v>4132</v>
      </c>
      <c r="M1230" t="s">
        <v>930</v>
      </c>
      <c r="N1230" t="s">
        <v>199</v>
      </c>
      <c r="O1230">
        <v>0</v>
      </c>
      <c r="P1230">
        <v>15</v>
      </c>
      <c r="Q1230" t="s">
        <v>264</v>
      </c>
      <c r="R1230" t="s">
        <v>201</v>
      </c>
      <c r="S1230">
        <v>0</v>
      </c>
      <c r="T1230">
        <v>0</v>
      </c>
      <c r="U1230">
        <v>1178</v>
      </c>
      <c r="V1230">
        <v>1178</v>
      </c>
    </row>
    <row r="1231" spans="1:22">
      <c r="A1231" t="s">
        <v>196</v>
      </c>
      <c r="B1231">
        <v>38</v>
      </c>
      <c r="C1231" t="s">
        <v>922</v>
      </c>
      <c r="D1231">
        <v>100</v>
      </c>
      <c r="E1231" t="s">
        <v>197</v>
      </c>
      <c r="F1231">
        <v>1005</v>
      </c>
      <c r="G1231" t="s">
        <v>923</v>
      </c>
      <c r="H1231">
        <v>2103</v>
      </c>
      <c r="I1231" t="s">
        <v>88</v>
      </c>
      <c r="J1231">
        <v>3111</v>
      </c>
      <c r="K1231" t="s">
        <v>928</v>
      </c>
      <c r="L1231">
        <v>4135</v>
      </c>
      <c r="M1231" t="s">
        <v>932</v>
      </c>
      <c r="N1231" t="s">
        <v>372</v>
      </c>
      <c r="O1231">
        <v>1</v>
      </c>
      <c r="P1231">
        <v>1359</v>
      </c>
      <c r="Q1231" t="s">
        <v>933</v>
      </c>
      <c r="R1231" t="s">
        <v>201</v>
      </c>
      <c r="S1231">
        <v>1</v>
      </c>
      <c r="T1231">
        <v>1</v>
      </c>
      <c r="U1231">
        <v>75336</v>
      </c>
      <c r="V1231">
        <v>75336</v>
      </c>
    </row>
    <row r="1232" spans="1:22">
      <c r="A1232" t="s">
        <v>196</v>
      </c>
      <c r="B1232">
        <v>38</v>
      </c>
      <c r="C1232" t="s">
        <v>922</v>
      </c>
      <c r="D1232">
        <v>100</v>
      </c>
      <c r="E1232" t="s">
        <v>197</v>
      </c>
      <c r="F1232">
        <v>1005</v>
      </c>
      <c r="G1232" t="s">
        <v>923</v>
      </c>
      <c r="H1232">
        <v>2103</v>
      </c>
      <c r="I1232" t="s">
        <v>88</v>
      </c>
      <c r="J1232">
        <v>3111</v>
      </c>
      <c r="K1232" t="s">
        <v>928</v>
      </c>
      <c r="L1232">
        <v>4135</v>
      </c>
      <c r="M1232" t="s">
        <v>932</v>
      </c>
      <c r="N1232" t="s">
        <v>253</v>
      </c>
      <c r="O1232">
        <v>20</v>
      </c>
      <c r="P1232">
        <v>1318</v>
      </c>
      <c r="Q1232" t="s">
        <v>934</v>
      </c>
      <c r="R1232" t="s">
        <v>201</v>
      </c>
      <c r="S1232">
        <v>1</v>
      </c>
      <c r="T1232">
        <v>1</v>
      </c>
      <c r="U1232">
        <v>118956</v>
      </c>
      <c r="V1232">
        <v>118956</v>
      </c>
    </row>
    <row r="1233" spans="1:22">
      <c r="A1233" t="s">
        <v>196</v>
      </c>
      <c r="B1233">
        <v>38</v>
      </c>
      <c r="C1233" t="s">
        <v>922</v>
      </c>
      <c r="D1233">
        <v>100</v>
      </c>
      <c r="E1233" t="s">
        <v>197</v>
      </c>
      <c r="F1233">
        <v>1005</v>
      </c>
      <c r="G1233" t="s">
        <v>923</v>
      </c>
      <c r="H1233">
        <v>2103</v>
      </c>
      <c r="I1233" t="s">
        <v>88</v>
      </c>
      <c r="J1233">
        <v>3111</v>
      </c>
      <c r="K1233" t="s">
        <v>928</v>
      </c>
      <c r="L1233">
        <v>4135</v>
      </c>
      <c r="M1233" t="s">
        <v>932</v>
      </c>
      <c r="N1233" t="s">
        <v>199</v>
      </c>
      <c r="O1233">
        <v>0</v>
      </c>
      <c r="P1233">
        <v>15</v>
      </c>
      <c r="Q1233" t="s">
        <v>264</v>
      </c>
      <c r="R1233" t="s">
        <v>201</v>
      </c>
      <c r="S1233">
        <v>0</v>
      </c>
      <c r="T1233">
        <v>0</v>
      </c>
      <c r="U1233">
        <v>2814</v>
      </c>
      <c r="V1233">
        <v>2814</v>
      </c>
    </row>
    <row r="1234" spans="1:22">
      <c r="A1234" t="s">
        <v>196</v>
      </c>
      <c r="B1234">
        <v>38</v>
      </c>
      <c r="C1234" t="s">
        <v>922</v>
      </c>
      <c r="D1234">
        <v>100</v>
      </c>
      <c r="E1234" t="s">
        <v>197</v>
      </c>
      <c r="F1234">
        <v>1005</v>
      </c>
      <c r="G1234" t="s">
        <v>923</v>
      </c>
      <c r="H1234">
        <v>2103</v>
      </c>
      <c r="I1234" t="s">
        <v>88</v>
      </c>
      <c r="J1234">
        <v>3111</v>
      </c>
      <c r="K1234" t="s">
        <v>928</v>
      </c>
      <c r="L1234">
        <v>4137</v>
      </c>
      <c r="M1234" t="s">
        <v>886</v>
      </c>
      <c r="N1234" t="s">
        <v>253</v>
      </c>
      <c r="O1234">
        <v>20</v>
      </c>
      <c r="P1234">
        <v>1331</v>
      </c>
      <c r="Q1234" t="s">
        <v>653</v>
      </c>
      <c r="R1234" t="s">
        <v>201</v>
      </c>
      <c r="S1234">
        <v>1</v>
      </c>
      <c r="T1234">
        <v>1</v>
      </c>
      <c r="U1234">
        <v>83052</v>
      </c>
      <c r="V1234">
        <v>83052</v>
      </c>
    </row>
    <row r="1235" spans="1:22">
      <c r="A1235" t="s">
        <v>196</v>
      </c>
      <c r="B1235">
        <v>38</v>
      </c>
      <c r="C1235" t="s">
        <v>922</v>
      </c>
      <c r="D1235">
        <v>100</v>
      </c>
      <c r="E1235" t="s">
        <v>197</v>
      </c>
      <c r="F1235">
        <v>1005</v>
      </c>
      <c r="G1235" t="s">
        <v>923</v>
      </c>
      <c r="H1235">
        <v>2103</v>
      </c>
      <c r="I1235" t="s">
        <v>88</v>
      </c>
      <c r="J1235">
        <v>3111</v>
      </c>
      <c r="K1235" t="s">
        <v>928</v>
      </c>
      <c r="L1235">
        <v>4137</v>
      </c>
      <c r="M1235" t="s">
        <v>886</v>
      </c>
      <c r="N1235" t="s">
        <v>341</v>
      </c>
      <c r="O1235">
        <v>1</v>
      </c>
      <c r="P1235">
        <v>1301</v>
      </c>
      <c r="Q1235" t="s">
        <v>618</v>
      </c>
      <c r="R1235" t="s">
        <v>201</v>
      </c>
      <c r="S1235">
        <v>1</v>
      </c>
      <c r="T1235">
        <v>1</v>
      </c>
      <c r="U1235">
        <v>77640</v>
      </c>
      <c r="V1235">
        <v>77640</v>
      </c>
    </row>
    <row r="1236" spans="1:22">
      <c r="A1236" t="s">
        <v>196</v>
      </c>
      <c r="B1236">
        <v>38</v>
      </c>
      <c r="C1236" t="s">
        <v>922</v>
      </c>
      <c r="D1236">
        <v>100</v>
      </c>
      <c r="E1236" t="s">
        <v>197</v>
      </c>
      <c r="F1236">
        <v>1005</v>
      </c>
      <c r="G1236" t="s">
        <v>923</v>
      </c>
      <c r="H1236">
        <v>2103</v>
      </c>
      <c r="I1236" t="s">
        <v>88</v>
      </c>
      <c r="J1236">
        <v>3111</v>
      </c>
      <c r="K1236" t="s">
        <v>928</v>
      </c>
      <c r="L1236">
        <v>4137</v>
      </c>
      <c r="M1236" t="s">
        <v>886</v>
      </c>
      <c r="N1236" t="s">
        <v>199</v>
      </c>
      <c r="O1236">
        <v>0</v>
      </c>
      <c r="P1236">
        <v>15</v>
      </c>
      <c r="Q1236" t="s">
        <v>264</v>
      </c>
      <c r="R1236" t="s">
        <v>201</v>
      </c>
      <c r="S1236">
        <v>0</v>
      </c>
      <c r="T1236">
        <v>0</v>
      </c>
      <c r="U1236">
        <v>3505</v>
      </c>
      <c r="V1236">
        <v>3505</v>
      </c>
    </row>
    <row r="1237" spans="1:22">
      <c r="A1237" t="s">
        <v>196</v>
      </c>
      <c r="B1237">
        <v>38</v>
      </c>
      <c r="C1237" t="s">
        <v>922</v>
      </c>
      <c r="D1237">
        <v>100</v>
      </c>
      <c r="E1237" t="s">
        <v>197</v>
      </c>
      <c r="F1237">
        <v>1005</v>
      </c>
      <c r="G1237" t="s">
        <v>923</v>
      </c>
      <c r="H1237">
        <v>2103</v>
      </c>
      <c r="I1237" t="s">
        <v>88</v>
      </c>
      <c r="J1237">
        <v>3112</v>
      </c>
      <c r="K1237" t="s">
        <v>935</v>
      </c>
      <c r="L1237">
        <v>4121</v>
      </c>
      <c r="M1237" t="s">
        <v>936</v>
      </c>
      <c r="N1237" t="s">
        <v>602</v>
      </c>
      <c r="O1237">
        <v>4</v>
      </c>
      <c r="P1237">
        <v>635</v>
      </c>
      <c r="Q1237" t="s">
        <v>645</v>
      </c>
      <c r="R1237" t="s">
        <v>201</v>
      </c>
      <c r="S1237">
        <v>1</v>
      </c>
      <c r="T1237">
        <v>1</v>
      </c>
      <c r="U1237">
        <v>117636</v>
      </c>
      <c r="V1237">
        <v>117636</v>
      </c>
    </row>
    <row r="1238" spans="1:22">
      <c r="A1238" t="s">
        <v>196</v>
      </c>
      <c r="B1238">
        <v>38</v>
      </c>
      <c r="C1238" t="s">
        <v>922</v>
      </c>
      <c r="D1238">
        <v>100</v>
      </c>
      <c r="E1238" t="s">
        <v>197</v>
      </c>
      <c r="F1238">
        <v>1005</v>
      </c>
      <c r="G1238" t="s">
        <v>923</v>
      </c>
      <c r="H1238">
        <v>2103</v>
      </c>
      <c r="I1238" t="s">
        <v>88</v>
      </c>
      <c r="J1238">
        <v>3112</v>
      </c>
      <c r="K1238" t="s">
        <v>935</v>
      </c>
      <c r="L1238">
        <v>4121</v>
      </c>
      <c r="M1238" t="s">
        <v>936</v>
      </c>
      <c r="N1238" t="s">
        <v>386</v>
      </c>
      <c r="O1238">
        <v>1</v>
      </c>
      <c r="P1238">
        <v>629</v>
      </c>
      <c r="Q1238" t="s">
        <v>687</v>
      </c>
      <c r="R1238" t="s">
        <v>201</v>
      </c>
      <c r="S1238">
        <v>1</v>
      </c>
      <c r="T1238">
        <v>1</v>
      </c>
      <c r="U1238">
        <v>164808</v>
      </c>
      <c r="V1238">
        <v>164808</v>
      </c>
    </row>
    <row r="1239" spans="1:22">
      <c r="A1239" t="s">
        <v>196</v>
      </c>
      <c r="B1239">
        <v>38</v>
      </c>
      <c r="C1239" t="s">
        <v>922</v>
      </c>
      <c r="D1239">
        <v>100</v>
      </c>
      <c r="E1239" t="s">
        <v>197</v>
      </c>
      <c r="F1239">
        <v>1005</v>
      </c>
      <c r="G1239" t="s">
        <v>923</v>
      </c>
      <c r="H1239">
        <v>2103</v>
      </c>
      <c r="I1239" t="s">
        <v>88</v>
      </c>
      <c r="J1239">
        <v>3112</v>
      </c>
      <c r="K1239" t="s">
        <v>935</v>
      </c>
      <c r="L1239">
        <v>4121</v>
      </c>
      <c r="M1239" t="s">
        <v>936</v>
      </c>
      <c r="N1239" t="s">
        <v>274</v>
      </c>
      <c r="O1239">
        <v>0</v>
      </c>
      <c r="P1239">
        <v>601</v>
      </c>
      <c r="Q1239" t="s">
        <v>790</v>
      </c>
      <c r="R1239" t="s">
        <v>201</v>
      </c>
      <c r="S1239">
        <v>1</v>
      </c>
      <c r="T1239">
        <v>1</v>
      </c>
      <c r="U1239">
        <v>153384</v>
      </c>
      <c r="V1239">
        <v>153384</v>
      </c>
    </row>
    <row r="1240" spans="1:22">
      <c r="A1240" t="s">
        <v>196</v>
      </c>
      <c r="B1240">
        <v>38</v>
      </c>
      <c r="C1240" t="s">
        <v>922</v>
      </c>
      <c r="D1240">
        <v>100</v>
      </c>
      <c r="E1240" t="s">
        <v>197</v>
      </c>
      <c r="F1240">
        <v>1005</v>
      </c>
      <c r="G1240" t="s">
        <v>923</v>
      </c>
      <c r="H1240">
        <v>2103</v>
      </c>
      <c r="I1240" t="s">
        <v>88</v>
      </c>
      <c r="J1240">
        <v>3112</v>
      </c>
      <c r="K1240" t="s">
        <v>935</v>
      </c>
      <c r="L1240">
        <v>4121</v>
      </c>
      <c r="M1240" t="s">
        <v>936</v>
      </c>
      <c r="N1240" t="s">
        <v>199</v>
      </c>
      <c r="O1240">
        <v>0</v>
      </c>
      <c r="P1240">
        <v>15</v>
      </c>
      <c r="Q1240" t="s">
        <v>264</v>
      </c>
      <c r="R1240" t="s">
        <v>201</v>
      </c>
      <c r="S1240">
        <v>0</v>
      </c>
      <c r="T1240">
        <v>0</v>
      </c>
      <c r="U1240">
        <v>2989</v>
      </c>
      <c r="V1240">
        <v>2989</v>
      </c>
    </row>
    <row r="1241" spans="1:22">
      <c r="A1241" t="s">
        <v>196</v>
      </c>
      <c r="B1241">
        <v>38</v>
      </c>
      <c r="C1241" t="s">
        <v>922</v>
      </c>
      <c r="D1241">
        <v>100</v>
      </c>
      <c r="E1241" t="s">
        <v>197</v>
      </c>
      <c r="F1241">
        <v>1005</v>
      </c>
      <c r="G1241" t="s">
        <v>923</v>
      </c>
      <c r="H1241">
        <v>2126</v>
      </c>
      <c r="I1241" t="s">
        <v>29</v>
      </c>
      <c r="J1241">
        <v>3101</v>
      </c>
      <c r="K1241" t="s">
        <v>937</v>
      </c>
      <c r="L1241">
        <v>4101</v>
      </c>
      <c r="M1241" t="s">
        <v>938</v>
      </c>
      <c r="N1241" t="s">
        <v>266</v>
      </c>
      <c r="O1241">
        <v>9</v>
      </c>
      <c r="P1241">
        <v>9679</v>
      </c>
      <c r="Q1241" t="s">
        <v>338</v>
      </c>
      <c r="R1241" t="s">
        <v>201</v>
      </c>
      <c r="S1241">
        <v>1</v>
      </c>
      <c r="T1241">
        <v>1</v>
      </c>
      <c r="U1241">
        <v>139140</v>
      </c>
      <c r="V1241">
        <v>139140</v>
      </c>
    </row>
    <row r="1242" spans="1:22">
      <c r="A1242" t="s">
        <v>196</v>
      </c>
      <c r="B1242">
        <v>38</v>
      </c>
      <c r="C1242" t="s">
        <v>922</v>
      </c>
      <c r="D1242">
        <v>100</v>
      </c>
      <c r="E1242" t="s">
        <v>197</v>
      </c>
      <c r="F1242">
        <v>1005</v>
      </c>
      <c r="G1242" t="s">
        <v>923</v>
      </c>
      <c r="H1242">
        <v>2126</v>
      </c>
      <c r="I1242" t="s">
        <v>29</v>
      </c>
      <c r="J1242">
        <v>3101</v>
      </c>
      <c r="K1242" t="s">
        <v>937</v>
      </c>
      <c r="L1242">
        <v>4101</v>
      </c>
      <c r="M1242" t="s">
        <v>938</v>
      </c>
      <c r="N1242" t="s">
        <v>274</v>
      </c>
      <c r="O1242">
        <v>20</v>
      </c>
      <c r="P1242">
        <v>4546</v>
      </c>
      <c r="Q1242" t="s">
        <v>939</v>
      </c>
      <c r="R1242" t="s">
        <v>201</v>
      </c>
      <c r="S1242">
        <v>1</v>
      </c>
      <c r="T1242">
        <v>1</v>
      </c>
      <c r="U1242">
        <v>146808</v>
      </c>
      <c r="V1242">
        <v>146808</v>
      </c>
    </row>
    <row r="1243" spans="1:22">
      <c r="A1243" t="s">
        <v>196</v>
      </c>
      <c r="B1243">
        <v>38</v>
      </c>
      <c r="C1243" t="s">
        <v>922</v>
      </c>
      <c r="D1243">
        <v>100</v>
      </c>
      <c r="E1243" t="s">
        <v>197</v>
      </c>
      <c r="F1243">
        <v>1005</v>
      </c>
      <c r="G1243" t="s">
        <v>923</v>
      </c>
      <c r="H1243">
        <v>2126</v>
      </c>
      <c r="I1243" t="s">
        <v>29</v>
      </c>
      <c r="J1243">
        <v>3101</v>
      </c>
      <c r="K1243" t="s">
        <v>937</v>
      </c>
      <c r="L1243">
        <v>4101</v>
      </c>
      <c r="M1243" t="s">
        <v>938</v>
      </c>
      <c r="N1243" t="s">
        <v>360</v>
      </c>
      <c r="O1243">
        <v>1</v>
      </c>
      <c r="P1243">
        <v>450</v>
      </c>
      <c r="Q1243" t="s">
        <v>931</v>
      </c>
      <c r="R1243" t="s">
        <v>201</v>
      </c>
      <c r="S1243">
        <v>1</v>
      </c>
      <c r="T1243">
        <v>1</v>
      </c>
      <c r="U1243">
        <v>98928</v>
      </c>
      <c r="V1243">
        <v>98928</v>
      </c>
    </row>
    <row r="1244" spans="1:22">
      <c r="A1244" t="s">
        <v>196</v>
      </c>
      <c r="B1244">
        <v>38</v>
      </c>
      <c r="C1244" t="s">
        <v>922</v>
      </c>
      <c r="D1244">
        <v>100</v>
      </c>
      <c r="E1244" t="s">
        <v>197</v>
      </c>
      <c r="F1244">
        <v>1005</v>
      </c>
      <c r="G1244" t="s">
        <v>923</v>
      </c>
      <c r="H1244">
        <v>2126</v>
      </c>
      <c r="I1244" t="s">
        <v>29</v>
      </c>
      <c r="J1244">
        <v>3101</v>
      </c>
      <c r="K1244" t="s">
        <v>937</v>
      </c>
      <c r="L1244">
        <v>4101</v>
      </c>
      <c r="M1244" t="s">
        <v>938</v>
      </c>
      <c r="N1244" t="s">
        <v>351</v>
      </c>
      <c r="O1244">
        <v>1</v>
      </c>
      <c r="P1244" t="s">
        <v>352</v>
      </c>
      <c r="Q1244" t="s">
        <v>353</v>
      </c>
      <c r="R1244" t="s">
        <v>201</v>
      </c>
      <c r="S1244">
        <v>1</v>
      </c>
      <c r="T1244">
        <v>1</v>
      </c>
      <c r="U1244">
        <v>108576</v>
      </c>
      <c r="V1244">
        <v>108576</v>
      </c>
    </row>
    <row r="1245" spans="1:22">
      <c r="A1245" t="s">
        <v>196</v>
      </c>
      <c r="B1245">
        <v>38</v>
      </c>
      <c r="C1245" t="s">
        <v>922</v>
      </c>
      <c r="D1245">
        <v>100</v>
      </c>
      <c r="E1245" t="s">
        <v>197</v>
      </c>
      <c r="F1245">
        <v>1005</v>
      </c>
      <c r="G1245" t="s">
        <v>923</v>
      </c>
      <c r="H1245">
        <v>2126</v>
      </c>
      <c r="I1245" t="s">
        <v>29</v>
      </c>
      <c r="J1245">
        <v>3101</v>
      </c>
      <c r="K1245" t="s">
        <v>937</v>
      </c>
      <c r="L1245">
        <v>4101</v>
      </c>
      <c r="M1245" t="s">
        <v>938</v>
      </c>
      <c r="N1245" t="s">
        <v>622</v>
      </c>
      <c r="O1245">
        <v>1</v>
      </c>
      <c r="P1245" t="s">
        <v>667</v>
      </c>
      <c r="Q1245" t="s">
        <v>205</v>
      </c>
      <c r="R1245" t="s">
        <v>201</v>
      </c>
      <c r="S1245">
        <v>1</v>
      </c>
      <c r="T1245">
        <v>1</v>
      </c>
      <c r="U1245">
        <v>56124</v>
      </c>
      <c r="V1245">
        <v>56124</v>
      </c>
    </row>
    <row r="1246" spans="1:22">
      <c r="A1246" t="s">
        <v>196</v>
      </c>
      <c r="B1246">
        <v>38</v>
      </c>
      <c r="C1246" t="s">
        <v>922</v>
      </c>
      <c r="D1246">
        <v>100</v>
      </c>
      <c r="E1246" t="s">
        <v>197</v>
      </c>
      <c r="F1246">
        <v>1005</v>
      </c>
      <c r="G1246" t="s">
        <v>923</v>
      </c>
      <c r="H1246">
        <v>2126</v>
      </c>
      <c r="I1246" t="s">
        <v>29</v>
      </c>
      <c r="J1246">
        <v>3101</v>
      </c>
      <c r="K1246" t="s">
        <v>937</v>
      </c>
      <c r="L1246">
        <v>4101</v>
      </c>
      <c r="M1246" t="s">
        <v>938</v>
      </c>
      <c r="N1246" t="s">
        <v>253</v>
      </c>
      <c r="O1246">
        <v>20</v>
      </c>
      <c r="P1246">
        <v>381</v>
      </c>
      <c r="Q1246" t="s">
        <v>730</v>
      </c>
      <c r="R1246" t="s">
        <v>201</v>
      </c>
      <c r="S1246">
        <v>1</v>
      </c>
      <c r="T1246">
        <v>1</v>
      </c>
      <c r="U1246">
        <v>113568</v>
      </c>
      <c r="V1246">
        <v>113568</v>
      </c>
    </row>
    <row r="1247" spans="1:22">
      <c r="A1247" t="s">
        <v>196</v>
      </c>
      <c r="B1247">
        <v>38</v>
      </c>
      <c r="C1247" t="s">
        <v>922</v>
      </c>
      <c r="D1247">
        <v>100</v>
      </c>
      <c r="E1247" t="s">
        <v>197</v>
      </c>
      <c r="F1247">
        <v>1005</v>
      </c>
      <c r="G1247" t="s">
        <v>923</v>
      </c>
      <c r="H1247">
        <v>2126</v>
      </c>
      <c r="I1247" t="s">
        <v>29</v>
      </c>
      <c r="J1247">
        <v>3101</v>
      </c>
      <c r="K1247" t="s">
        <v>937</v>
      </c>
      <c r="L1247">
        <v>4101</v>
      </c>
      <c r="M1247" t="s">
        <v>938</v>
      </c>
      <c r="N1247" t="s">
        <v>294</v>
      </c>
      <c r="O1247">
        <v>20</v>
      </c>
      <c r="P1247">
        <v>318</v>
      </c>
      <c r="Q1247" t="s">
        <v>897</v>
      </c>
      <c r="R1247" t="s">
        <v>201</v>
      </c>
      <c r="S1247">
        <v>1</v>
      </c>
      <c r="T1247">
        <v>1</v>
      </c>
      <c r="U1247">
        <v>63504</v>
      </c>
      <c r="V1247">
        <v>63504</v>
      </c>
    </row>
    <row r="1248" spans="1:22">
      <c r="A1248" t="s">
        <v>196</v>
      </c>
      <c r="B1248">
        <v>38</v>
      </c>
      <c r="C1248" t="s">
        <v>922</v>
      </c>
      <c r="D1248">
        <v>100</v>
      </c>
      <c r="E1248" t="s">
        <v>197</v>
      </c>
      <c r="F1248">
        <v>1005</v>
      </c>
      <c r="G1248" t="s">
        <v>923</v>
      </c>
      <c r="H1248">
        <v>2126</v>
      </c>
      <c r="I1248" t="s">
        <v>29</v>
      </c>
      <c r="J1248">
        <v>3101</v>
      </c>
      <c r="K1248" t="s">
        <v>937</v>
      </c>
      <c r="L1248">
        <v>4101</v>
      </c>
      <c r="M1248" t="s">
        <v>938</v>
      </c>
      <c r="N1248" t="s">
        <v>341</v>
      </c>
      <c r="O1248">
        <v>1</v>
      </c>
      <c r="P1248">
        <v>308</v>
      </c>
      <c r="Q1248" t="s">
        <v>355</v>
      </c>
      <c r="R1248" t="s">
        <v>201</v>
      </c>
      <c r="S1248">
        <v>1</v>
      </c>
      <c r="T1248">
        <v>1</v>
      </c>
      <c r="U1248">
        <v>77640</v>
      </c>
      <c r="V1248">
        <v>77640</v>
      </c>
    </row>
    <row r="1249" spans="1:22">
      <c r="A1249" t="s">
        <v>196</v>
      </c>
      <c r="B1249">
        <v>38</v>
      </c>
      <c r="C1249" t="s">
        <v>922</v>
      </c>
      <c r="D1249">
        <v>100</v>
      </c>
      <c r="E1249" t="s">
        <v>197</v>
      </c>
      <c r="F1249">
        <v>1005</v>
      </c>
      <c r="G1249" t="s">
        <v>923</v>
      </c>
      <c r="H1249">
        <v>2126</v>
      </c>
      <c r="I1249" t="s">
        <v>29</v>
      </c>
      <c r="J1249">
        <v>3101</v>
      </c>
      <c r="K1249" t="s">
        <v>937</v>
      </c>
      <c r="L1249">
        <v>4101</v>
      </c>
      <c r="M1249" t="s">
        <v>938</v>
      </c>
      <c r="N1249" t="s">
        <v>360</v>
      </c>
      <c r="O1249">
        <v>1</v>
      </c>
      <c r="P1249">
        <v>109</v>
      </c>
      <c r="Q1249" t="s">
        <v>361</v>
      </c>
      <c r="R1249" t="s">
        <v>201</v>
      </c>
      <c r="S1249">
        <v>1</v>
      </c>
      <c r="T1249">
        <v>1</v>
      </c>
      <c r="U1249">
        <v>57000</v>
      </c>
      <c r="V1249">
        <v>57000</v>
      </c>
    </row>
    <row r="1250" spans="1:22">
      <c r="A1250" t="s">
        <v>196</v>
      </c>
      <c r="B1250">
        <v>38</v>
      </c>
      <c r="C1250" t="s">
        <v>922</v>
      </c>
      <c r="D1250">
        <v>100</v>
      </c>
      <c r="E1250" t="s">
        <v>197</v>
      </c>
      <c r="F1250">
        <v>1005</v>
      </c>
      <c r="G1250" t="s">
        <v>923</v>
      </c>
      <c r="H1250">
        <v>2126</v>
      </c>
      <c r="I1250" t="s">
        <v>29</v>
      </c>
      <c r="J1250">
        <v>3101</v>
      </c>
      <c r="K1250" t="s">
        <v>937</v>
      </c>
      <c r="L1250">
        <v>4101</v>
      </c>
      <c r="M1250" t="s">
        <v>938</v>
      </c>
      <c r="N1250" t="s">
        <v>199</v>
      </c>
      <c r="O1250">
        <v>0</v>
      </c>
      <c r="P1250">
        <v>15</v>
      </c>
      <c r="Q1250" t="s">
        <v>264</v>
      </c>
      <c r="R1250" t="s">
        <v>201</v>
      </c>
      <c r="S1250">
        <v>0</v>
      </c>
      <c r="T1250">
        <v>0</v>
      </c>
      <c r="U1250">
        <v>20726</v>
      </c>
      <c r="V1250">
        <v>20726</v>
      </c>
    </row>
    <row r="1251" spans="1:22">
      <c r="A1251" t="s">
        <v>196</v>
      </c>
      <c r="B1251">
        <v>38</v>
      </c>
      <c r="C1251" t="s">
        <v>922</v>
      </c>
      <c r="D1251">
        <v>100</v>
      </c>
      <c r="E1251" t="s">
        <v>197</v>
      </c>
      <c r="F1251">
        <v>1005</v>
      </c>
      <c r="G1251" t="s">
        <v>923</v>
      </c>
      <c r="H1251">
        <v>2126</v>
      </c>
      <c r="I1251" t="s">
        <v>29</v>
      </c>
      <c r="J1251">
        <v>3101</v>
      </c>
      <c r="K1251" t="s">
        <v>937</v>
      </c>
      <c r="L1251">
        <v>4102</v>
      </c>
      <c r="M1251" t="s">
        <v>940</v>
      </c>
      <c r="N1251" t="s">
        <v>251</v>
      </c>
      <c r="O1251">
        <v>10</v>
      </c>
      <c r="P1251">
        <v>4548</v>
      </c>
      <c r="Q1251" t="s">
        <v>941</v>
      </c>
      <c r="R1251" t="s">
        <v>201</v>
      </c>
      <c r="S1251">
        <v>2</v>
      </c>
      <c r="T1251">
        <v>1</v>
      </c>
      <c r="U1251">
        <v>124584</v>
      </c>
      <c r="V1251">
        <v>249168</v>
      </c>
    </row>
    <row r="1252" spans="1:22">
      <c r="A1252" t="s">
        <v>196</v>
      </c>
      <c r="B1252">
        <v>38</v>
      </c>
      <c r="C1252" t="s">
        <v>922</v>
      </c>
      <c r="D1252">
        <v>100</v>
      </c>
      <c r="E1252" t="s">
        <v>197</v>
      </c>
      <c r="F1252">
        <v>1005</v>
      </c>
      <c r="G1252" t="s">
        <v>923</v>
      </c>
      <c r="H1252">
        <v>2126</v>
      </c>
      <c r="I1252" t="s">
        <v>29</v>
      </c>
      <c r="J1252">
        <v>3101</v>
      </c>
      <c r="K1252" t="s">
        <v>937</v>
      </c>
      <c r="L1252">
        <v>4102</v>
      </c>
      <c r="M1252" t="s">
        <v>940</v>
      </c>
      <c r="N1252" t="s">
        <v>251</v>
      </c>
      <c r="O1252">
        <v>10</v>
      </c>
      <c r="P1252">
        <v>4548</v>
      </c>
      <c r="Q1252" t="s">
        <v>941</v>
      </c>
      <c r="R1252" t="s">
        <v>201</v>
      </c>
      <c r="S1252">
        <v>1</v>
      </c>
      <c r="T1252">
        <v>1</v>
      </c>
      <c r="U1252">
        <v>83052</v>
      </c>
      <c r="V1252">
        <v>83052</v>
      </c>
    </row>
    <row r="1253" spans="1:22">
      <c r="A1253" t="s">
        <v>196</v>
      </c>
      <c r="B1253">
        <v>38</v>
      </c>
      <c r="C1253" t="s">
        <v>922</v>
      </c>
      <c r="D1253">
        <v>100</v>
      </c>
      <c r="E1253" t="s">
        <v>197</v>
      </c>
      <c r="F1253">
        <v>1005</v>
      </c>
      <c r="G1253" t="s">
        <v>923</v>
      </c>
      <c r="H1253">
        <v>2126</v>
      </c>
      <c r="I1253" t="s">
        <v>29</v>
      </c>
      <c r="J1253">
        <v>3101</v>
      </c>
      <c r="K1253" t="s">
        <v>937</v>
      </c>
      <c r="L1253">
        <v>4102</v>
      </c>
      <c r="M1253" t="s">
        <v>940</v>
      </c>
      <c r="N1253" t="s">
        <v>251</v>
      </c>
      <c r="O1253">
        <v>10</v>
      </c>
      <c r="P1253">
        <v>4548</v>
      </c>
      <c r="Q1253" t="s">
        <v>941</v>
      </c>
      <c r="R1253" t="s">
        <v>201</v>
      </c>
      <c r="S1253">
        <v>2</v>
      </c>
      <c r="T1253">
        <v>1</v>
      </c>
      <c r="U1253">
        <v>80124</v>
      </c>
      <c r="V1253">
        <v>160248</v>
      </c>
    </row>
    <row r="1254" spans="1:22">
      <c r="A1254" t="s">
        <v>196</v>
      </c>
      <c r="B1254">
        <v>38</v>
      </c>
      <c r="C1254" t="s">
        <v>922</v>
      </c>
      <c r="D1254">
        <v>100</v>
      </c>
      <c r="E1254" t="s">
        <v>197</v>
      </c>
      <c r="F1254">
        <v>1005</v>
      </c>
      <c r="G1254" t="s">
        <v>923</v>
      </c>
      <c r="H1254">
        <v>2126</v>
      </c>
      <c r="I1254" t="s">
        <v>29</v>
      </c>
      <c r="J1254">
        <v>3101</v>
      </c>
      <c r="K1254" t="s">
        <v>937</v>
      </c>
      <c r="L1254">
        <v>4102</v>
      </c>
      <c r="M1254" t="s">
        <v>940</v>
      </c>
      <c r="N1254" t="s">
        <v>274</v>
      </c>
      <c r="O1254">
        <v>20</v>
      </c>
      <c r="P1254">
        <v>4546</v>
      </c>
      <c r="Q1254" t="s">
        <v>939</v>
      </c>
      <c r="R1254" t="s">
        <v>201</v>
      </c>
      <c r="S1254">
        <v>1</v>
      </c>
      <c r="T1254">
        <v>1</v>
      </c>
      <c r="U1254">
        <v>146808</v>
      </c>
      <c r="V1254">
        <v>146808</v>
      </c>
    </row>
    <row r="1255" spans="1:22">
      <c r="A1255" t="s">
        <v>196</v>
      </c>
      <c r="B1255">
        <v>38</v>
      </c>
      <c r="C1255" t="s">
        <v>922</v>
      </c>
      <c r="D1255">
        <v>100</v>
      </c>
      <c r="E1255" t="s">
        <v>197</v>
      </c>
      <c r="F1255">
        <v>1005</v>
      </c>
      <c r="G1255" t="s">
        <v>923</v>
      </c>
      <c r="H1255">
        <v>2126</v>
      </c>
      <c r="I1255" t="s">
        <v>29</v>
      </c>
      <c r="J1255">
        <v>3101</v>
      </c>
      <c r="K1255" t="s">
        <v>937</v>
      </c>
      <c r="L1255">
        <v>4102</v>
      </c>
      <c r="M1255" t="s">
        <v>940</v>
      </c>
      <c r="N1255" t="s">
        <v>721</v>
      </c>
      <c r="O1255">
        <v>45</v>
      </c>
      <c r="P1255">
        <v>4223</v>
      </c>
      <c r="Q1255" t="s">
        <v>942</v>
      </c>
      <c r="R1255" t="s">
        <v>713</v>
      </c>
      <c r="S1255">
        <v>1</v>
      </c>
      <c r="T1255">
        <v>1</v>
      </c>
      <c r="U1255">
        <v>22.4</v>
      </c>
      <c r="V1255">
        <v>46592</v>
      </c>
    </row>
    <row r="1256" spans="1:22">
      <c r="A1256" t="s">
        <v>196</v>
      </c>
      <c r="B1256">
        <v>38</v>
      </c>
      <c r="C1256" t="s">
        <v>922</v>
      </c>
      <c r="D1256">
        <v>100</v>
      </c>
      <c r="E1256" t="s">
        <v>197</v>
      </c>
      <c r="F1256">
        <v>1005</v>
      </c>
      <c r="G1256" t="s">
        <v>923</v>
      </c>
      <c r="H1256">
        <v>2126</v>
      </c>
      <c r="I1256" t="s">
        <v>29</v>
      </c>
      <c r="J1256">
        <v>3101</v>
      </c>
      <c r="K1256" t="s">
        <v>937</v>
      </c>
      <c r="L1256">
        <v>4102</v>
      </c>
      <c r="M1256" t="s">
        <v>940</v>
      </c>
      <c r="N1256" t="s">
        <v>247</v>
      </c>
      <c r="O1256">
        <v>20</v>
      </c>
      <c r="P1256">
        <v>366</v>
      </c>
      <c r="Q1256" t="s">
        <v>604</v>
      </c>
      <c r="R1256" t="s">
        <v>201</v>
      </c>
      <c r="S1256">
        <v>1</v>
      </c>
      <c r="T1256">
        <v>1</v>
      </c>
      <c r="U1256">
        <v>94332</v>
      </c>
      <c r="V1256">
        <v>94332</v>
      </c>
    </row>
    <row r="1257" spans="1:22">
      <c r="A1257" t="s">
        <v>196</v>
      </c>
      <c r="B1257">
        <v>38</v>
      </c>
      <c r="C1257" t="s">
        <v>922</v>
      </c>
      <c r="D1257">
        <v>100</v>
      </c>
      <c r="E1257" t="s">
        <v>197</v>
      </c>
      <c r="F1257">
        <v>1005</v>
      </c>
      <c r="G1257" t="s">
        <v>923</v>
      </c>
      <c r="H1257">
        <v>2126</v>
      </c>
      <c r="I1257" t="s">
        <v>29</v>
      </c>
      <c r="J1257">
        <v>3101</v>
      </c>
      <c r="K1257" t="s">
        <v>937</v>
      </c>
      <c r="L1257">
        <v>4102</v>
      </c>
      <c r="M1257" t="s">
        <v>940</v>
      </c>
      <c r="N1257" t="s">
        <v>199</v>
      </c>
      <c r="O1257">
        <v>0</v>
      </c>
      <c r="P1257">
        <v>15</v>
      </c>
      <c r="Q1257" t="s">
        <v>264</v>
      </c>
      <c r="R1257" t="s">
        <v>201</v>
      </c>
      <c r="S1257">
        <v>0</v>
      </c>
      <c r="T1257">
        <v>0</v>
      </c>
      <c r="U1257">
        <v>6353</v>
      </c>
      <c r="V1257">
        <v>6353</v>
      </c>
    </row>
    <row r="1258" spans="1:22">
      <c r="A1258" t="s">
        <v>196</v>
      </c>
      <c r="B1258">
        <v>38</v>
      </c>
      <c r="C1258" t="s">
        <v>922</v>
      </c>
      <c r="D1258">
        <v>100</v>
      </c>
      <c r="E1258" t="s">
        <v>197</v>
      </c>
      <c r="F1258">
        <v>1005</v>
      </c>
      <c r="G1258" t="s">
        <v>923</v>
      </c>
      <c r="H1258">
        <v>2126</v>
      </c>
      <c r="I1258" t="s">
        <v>29</v>
      </c>
      <c r="J1258">
        <v>3101</v>
      </c>
      <c r="K1258" t="s">
        <v>937</v>
      </c>
      <c r="L1258">
        <v>4102</v>
      </c>
      <c r="M1258" t="s">
        <v>940</v>
      </c>
      <c r="N1258" t="s">
        <v>199</v>
      </c>
      <c r="O1258">
        <v>0</v>
      </c>
      <c r="P1258">
        <v>12</v>
      </c>
      <c r="Q1258" t="s">
        <v>724</v>
      </c>
      <c r="R1258" t="s">
        <v>201</v>
      </c>
      <c r="S1258">
        <v>0</v>
      </c>
      <c r="T1258">
        <v>0</v>
      </c>
      <c r="U1258">
        <v>699</v>
      </c>
      <c r="V1258">
        <v>699</v>
      </c>
    </row>
    <row r="1259" spans="1:22">
      <c r="A1259" t="s">
        <v>196</v>
      </c>
      <c r="B1259">
        <v>38</v>
      </c>
      <c r="C1259" t="s">
        <v>922</v>
      </c>
      <c r="D1259">
        <v>100</v>
      </c>
      <c r="E1259" t="s">
        <v>197</v>
      </c>
      <c r="F1259">
        <v>1005</v>
      </c>
      <c r="G1259" t="s">
        <v>923</v>
      </c>
      <c r="H1259">
        <v>2126</v>
      </c>
      <c r="I1259" t="s">
        <v>29</v>
      </c>
      <c r="J1259">
        <v>3101</v>
      </c>
      <c r="K1259" t="s">
        <v>937</v>
      </c>
      <c r="L1259">
        <v>4105</v>
      </c>
      <c r="M1259" t="s">
        <v>943</v>
      </c>
      <c r="N1259" t="s">
        <v>721</v>
      </c>
      <c r="O1259">
        <v>12</v>
      </c>
      <c r="P1259">
        <v>7747</v>
      </c>
      <c r="Q1259" t="s">
        <v>944</v>
      </c>
      <c r="R1259" t="s">
        <v>712</v>
      </c>
      <c r="S1259">
        <v>5</v>
      </c>
      <c r="T1259">
        <v>1</v>
      </c>
      <c r="U1259">
        <v>12906.4</v>
      </c>
      <c r="V1259">
        <v>774384</v>
      </c>
    </row>
    <row r="1260" spans="1:22">
      <c r="A1260" t="s">
        <v>196</v>
      </c>
      <c r="B1260">
        <v>38</v>
      </c>
      <c r="C1260" t="s">
        <v>922</v>
      </c>
      <c r="D1260">
        <v>100</v>
      </c>
      <c r="E1260" t="s">
        <v>197</v>
      </c>
      <c r="F1260">
        <v>1005</v>
      </c>
      <c r="G1260" t="s">
        <v>923</v>
      </c>
      <c r="H1260">
        <v>2126</v>
      </c>
      <c r="I1260" t="s">
        <v>29</v>
      </c>
      <c r="J1260">
        <v>3101</v>
      </c>
      <c r="K1260" t="s">
        <v>937</v>
      </c>
      <c r="L1260">
        <v>4105</v>
      </c>
      <c r="M1260" t="s">
        <v>943</v>
      </c>
      <c r="N1260" t="s">
        <v>721</v>
      </c>
      <c r="O1260">
        <v>12</v>
      </c>
      <c r="P1260">
        <v>7745</v>
      </c>
      <c r="Q1260" t="s">
        <v>945</v>
      </c>
      <c r="R1260" t="s">
        <v>713</v>
      </c>
      <c r="S1260">
        <v>11</v>
      </c>
      <c r="T1260">
        <v>1</v>
      </c>
      <c r="U1260">
        <v>68.260000000000005</v>
      </c>
      <c r="V1260">
        <v>1561789</v>
      </c>
    </row>
    <row r="1261" spans="1:22">
      <c r="A1261" t="s">
        <v>196</v>
      </c>
      <c r="B1261">
        <v>38</v>
      </c>
      <c r="C1261" t="s">
        <v>922</v>
      </c>
      <c r="D1261">
        <v>100</v>
      </c>
      <c r="E1261" t="s">
        <v>197</v>
      </c>
      <c r="F1261">
        <v>1005</v>
      </c>
      <c r="G1261" t="s">
        <v>923</v>
      </c>
      <c r="H1261">
        <v>2126</v>
      </c>
      <c r="I1261" t="s">
        <v>29</v>
      </c>
      <c r="J1261">
        <v>3101</v>
      </c>
      <c r="K1261" t="s">
        <v>937</v>
      </c>
      <c r="L1261">
        <v>4105</v>
      </c>
      <c r="M1261" t="s">
        <v>943</v>
      </c>
      <c r="N1261" t="s">
        <v>721</v>
      </c>
      <c r="O1261">
        <v>12</v>
      </c>
      <c r="P1261">
        <v>7743</v>
      </c>
      <c r="Q1261" t="s">
        <v>946</v>
      </c>
      <c r="R1261" t="s">
        <v>713</v>
      </c>
      <c r="S1261">
        <v>78</v>
      </c>
      <c r="T1261">
        <v>1</v>
      </c>
      <c r="U1261">
        <v>62.05</v>
      </c>
      <c r="V1261">
        <v>10066992</v>
      </c>
    </row>
    <row r="1262" spans="1:22">
      <c r="A1262" t="s">
        <v>196</v>
      </c>
      <c r="B1262">
        <v>38</v>
      </c>
      <c r="C1262" t="s">
        <v>922</v>
      </c>
      <c r="D1262">
        <v>100</v>
      </c>
      <c r="E1262" t="s">
        <v>197</v>
      </c>
      <c r="F1262">
        <v>1005</v>
      </c>
      <c r="G1262" t="s">
        <v>923</v>
      </c>
      <c r="H1262">
        <v>2126</v>
      </c>
      <c r="I1262" t="s">
        <v>29</v>
      </c>
      <c r="J1262">
        <v>3101</v>
      </c>
      <c r="K1262" t="s">
        <v>937</v>
      </c>
      <c r="L1262">
        <v>4105</v>
      </c>
      <c r="M1262" t="s">
        <v>943</v>
      </c>
      <c r="N1262" t="s">
        <v>274</v>
      </c>
      <c r="O1262">
        <v>20</v>
      </c>
      <c r="P1262">
        <v>4546</v>
      </c>
      <c r="Q1262" t="s">
        <v>939</v>
      </c>
      <c r="R1262" t="s">
        <v>201</v>
      </c>
      <c r="S1262">
        <v>1</v>
      </c>
      <c r="T1262">
        <v>1</v>
      </c>
      <c r="U1262">
        <v>153384</v>
      </c>
      <c r="V1262">
        <v>153384</v>
      </c>
    </row>
    <row r="1263" spans="1:22">
      <c r="A1263" t="s">
        <v>196</v>
      </c>
      <c r="B1263">
        <v>38</v>
      </c>
      <c r="C1263" t="s">
        <v>922</v>
      </c>
      <c r="D1263">
        <v>100</v>
      </c>
      <c r="E1263" t="s">
        <v>197</v>
      </c>
      <c r="F1263">
        <v>1005</v>
      </c>
      <c r="G1263" t="s">
        <v>923</v>
      </c>
      <c r="H1263">
        <v>2126</v>
      </c>
      <c r="I1263" t="s">
        <v>29</v>
      </c>
      <c r="J1263">
        <v>3101</v>
      </c>
      <c r="K1263" t="s">
        <v>937</v>
      </c>
      <c r="L1263">
        <v>4105</v>
      </c>
      <c r="M1263" t="s">
        <v>943</v>
      </c>
      <c r="N1263" t="s">
        <v>199</v>
      </c>
      <c r="O1263">
        <v>0</v>
      </c>
      <c r="P1263">
        <v>15</v>
      </c>
      <c r="Q1263" t="s">
        <v>264</v>
      </c>
      <c r="R1263" t="s">
        <v>201</v>
      </c>
      <c r="S1263">
        <v>0</v>
      </c>
      <c r="T1263">
        <v>0</v>
      </c>
      <c r="U1263">
        <v>2989</v>
      </c>
      <c r="V1263">
        <v>2989</v>
      </c>
    </row>
    <row r="1264" spans="1:22">
      <c r="A1264" t="s">
        <v>196</v>
      </c>
      <c r="B1264">
        <v>38</v>
      </c>
      <c r="C1264" t="s">
        <v>922</v>
      </c>
      <c r="D1264">
        <v>100</v>
      </c>
      <c r="E1264" t="s">
        <v>197</v>
      </c>
      <c r="F1264">
        <v>1005</v>
      </c>
      <c r="G1264" t="s">
        <v>923</v>
      </c>
      <c r="H1264">
        <v>2126</v>
      </c>
      <c r="I1264" t="s">
        <v>29</v>
      </c>
      <c r="J1264">
        <v>3101</v>
      </c>
      <c r="K1264" t="s">
        <v>937</v>
      </c>
      <c r="L1264">
        <v>4105</v>
      </c>
      <c r="M1264" t="s">
        <v>943</v>
      </c>
      <c r="N1264" t="s">
        <v>199</v>
      </c>
      <c r="O1264">
        <v>0</v>
      </c>
      <c r="P1264">
        <v>12</v>
      </c>
      <c r="Q1264" t="s">
        <v>724</v>
      </c>
      <c r="R1264" t="s">
        <v>201</v>
      </c>
      <c r="S1264">
        <v>0</v>
      </c>
      <c r="T1264">
        <v>0</v>
      </c>
      <c r="U1264">
        <v>186048</v>
      </c>
      <c r="V1264">
        <v>186048</v>
      </c>
    </row>
    <row r="1265" spans="1:22">
      <c r="A1265" t="s">
        <v>196</v>
      </c>
      <c r="B1265">
        <v>38</v>
      </c>
      <c r="C1265" t="s">
        <v>922</v>
      </c>
      <c r="D1265">
        <v>100</v>
      </c>
      <c r="E1265" t="s">
        <v>197</v>
      </c>
      <c r="F1265">
        <v>1005</v>
      </c>
      <c r="G1265" t="s">
        <v>923</v>
      </c>
      <c r="H1265">
        <v>2126</v>
      </c>
      <c r="I1265" t="s">
        <v>29</v>
      </c>
      <c r="J1265">
        <v>3101</v>
      </c>
      <c r="K1265" t="s">
        <v>937</v>
      </c>
      <c r="L1265">
        <v>4123</v>
      </c>
      <c r="M1265" t="s">
        <v>947</v>
      </c>
      <c r="N1265" t="s">
        <v>721</v>
      </c>
      <c r="O1265">
        <v>54</v>
      </c>
      <c r="P1265">
        <v>6335</v>
      </c>
      <c r="Q1265" t="s">
        <v>948</v>
      </c>
      <c r="R1265" t="s">
        <v>713</v>
      </c>
      <c r="S1265">
        <v>2</v>
      </c>
      <c r="T1265">
        <v>1</v>
      </c>
      <c r="U1265">
        <v>40.619999999999997</v>
      </c>
      <c r="V1265">
        <v>168979</v>
      </c>
    </row>
    <row r="1266" spans="1:22">
      <c r="A1266" t="s">
        <v>196</v>
      </c>
      <c r="B1266">
        <v>38</v>
      </c>
      <c r="C1266" t="s">
        <v>922</v>
      </c>
      <c r="D1266">
        <v>100</v>
      </c>
      <c r="E1266" t="s">
        <v>197</v>
      </c>
      <c r="F1266">
        <v>1005</v>
      </c>
      <c r="G1266" t="s">
        <v>923</v>
      </c>
      <c r="H1266">
        <v>2126</v>
      </c>
      <c r="I1266" t="s">
        <v>29</v>
      </c>
      <c r="J1266">
        <v>3101</v>
      </c>
      <c r="K1266" t="s">
        <v>937</v>
      </c>
      <c r="L1266">
        <v>4123</v>
      </c>
      <c r="M1266" t="s">
        <v>947</v>
      </c>
      <c r="N1266" t="s">
        <v>721</v>
      </c>
      <c r="O1266">
        <v>54</v>
      </c>
      <c r="P1266">
        <v>6335</v>
      </c>
      <c r="Q1266" t="s">
        <v>948</v>
      </c>
      <c r="R1266" t="s">
        <v>713</v>
      </c>
      <c r="S1266">
        <v>4</v>
      </c>
      <c r="T1266">
        <v>1</v>
      </c>
      <c r="U1266">
        <v>32.869999999999997</v>
      </c>
      <c r="V1266">
        <v>273478</v>
      </c>
    </row>
    <row r="1267" spans="1:22">
      <c r="A1267" t="s">
        <v>196</v>
      </c>
      <c r="B1267">
        <v>38</v>
      </c>
      <c r="C1267" t="s">
        <v>922</v>
      </c>
      <c r="D1267">
        <v>100</v>
      </c>
      <c r="E1267" t="s">
        <v>197</v>
      </c>
      <c r="F1267">
        <v>1005</v>
      </c>
      <c r="G1267" t="s">
        <v>923</v>
      </c>
      <c r="H1267">
        <v>2126</v>
      </c>
      <c r="I1267" t="s">
        <v>29</v>
      </c>
      <c r="J1267">
        <v>3101</v>
      </c>
      <c r="K1267" t="s">
        <v>937</v>
      </c>
      <c r="L1267">
        <v>4123</v>
      </c>
      <c r="M1267" t="s">
        <v>947</v>
      </c>
      <c r="N1267" t="s">
        <v>721</v>
      </c>
      <c r="O1267">
        <v>54</v>
      </c>
      <c r="P1267">
        <v>6327</v>
      </c>
      <c r="Q1267" t="s">
        <v>949</v>
      </c>
      <c r="R1267" t="s">
        <v>713</v>
      </c>
      <c r="S1267">
        <v>14</v>
      </c>
      <c r="T1267">
        <v>1</v>
      </c>
      <c r="U1267">
        <v>27.45</v>
      </c>
      <c r="V1267">
        <v>799344</v>
      </c>
    </row>
    <row r="1268" spans="1:22">
      <c r="A1268" t="s">
        <v>196</v>
      </c>
      <c r="B1268">
        <v>38</v>
      </c>
      <c r="C1268" t="s">
        <v>922</v>
      </c>
      <c r="D1268">
        <v>100</v>
      </c>
      <c r="E1268" t="s">
        <v>197</v>
      </c>
      <c r="F1268">
        <v>1005</v>
      </c>
      <c r="G1268" t="s">
        <v>923</v>
      </c>
      <c r="H1268">
        <v>2126</v>
      </c>
      <c r="I1268" t="s">
        <v>29</v>
      </c>
      <c r="J1268">
        <v>3101</v>
      </c>
      <c r="K1268" t="s">
        <v>937</v>
      </c>
      <c r="L1268">
        <v>4123</v>
      </c>
      <c r="M1268" t="s">
        <v>947</v>
      </c>
      <c r="N1268" t="s">
        <v>721</v>
      </c>
      <c r="O1268">
        <v>54</v>
      </c>
      <c r="P1268">
        <v>6302</v>
      </c>
      <c r="Q1268" t="s">
        <v>950</v>
      </c>
      <c r="R1268" t="s">
        <v>713</v>
      </c>
      <c r="S1268">
        <v>1</v>
      </c>
      <c r="T1268">
        <v>1</v>
      </c>
      <c r="U1268">
        <v>48.76</v>
      </c>
      <c r="V1268">
        <v>101421</v>
      </c>
    </row>
    <row r="1269" spans="1:22">
      <c r="A1269" t="s">
        <v>196</v>
      </c>
      <c r="B1269">
        <v>38</v>
      </c>
      <c r="C1269" t="s">
        <v>922</v>
      </c>
      <c r="D1269">
        <v>100</v>
      </c>
      <c r="E1269" t="s">
        <v>197</v>
      </c>
      <c r="F1269">
        <v>1005</v>
      </c>
      <c r="G1269" t="s">
        <v>923</v>
      </c>
      <c r="H1269">
        <v>2126</v>
      </c>
      <c r="I1269" t="s">
        <v>29</v>
      </c>
      <c r="J1269">
        <v>3101</v>
      </c>
      <c r="K1269" t="s">
        <v>937</v>
      </c>
      <c r="L1269">
        <v>4123</v>
      </c>
      <c r="M1269" t="s">
        <v>947</v>
      </c>
      <c r="N1269" t="s">
        <v>721</v>
      </c>
      <c r="O1269">
        <v>54</v>
      </c>
      <c r="P1269">
        <v>6302</v>
      </c>
      <c r="Q1269" t="s">
        <v>950</v>
      </c>
      <c r="R1269" t="s">
        <v>713</v>
      </c>
      <c r="S1269">
        <v>2</v>
      </c>
      <c r="T1269">
        <v>1</v>
      </c>
      <c r="U1269">
        <v>44.62</v>
      </c>
      <c r="V1269">
        <v>185619</v>
      </c>
    </row>
    <row r="1270" spans="1:22">
      <c r="A1270" t="s">
        <v>196</v>
      </c>
      <c r="B1270">
        <v>38</v>
      </c>
      <c r="C1270" t="s">
        <v>922</v>
      </c>
      <c r="D1270">
        <v>100</v>
      </c>
      <c r="E1270" t="s">
        <v>197</v>
      </c>
      <c r="F1270">
        <v>1005</v>
      </c>
      <c r="G1270" t="s">
        <v>923</v>
      </c>
      <c r="H1270">
        <v>2126</v>
      </c>
      <c r="I1270" t="s">
        <v>29</v>
      </c>
      <c r="J1270">
        <v>3101</v>
      </c>
      <c r="K1270" t="s">
        <v>937</v>
      </c>
      <c r="L1270">
        <v>4123</v>
      </c>
      <c r="M1270" t="s">
        <v>947</v>
      </c>
      <c r="N1270" t="s">
        <v>274</v>
      </c>
      <c r="O1270">
        <v>10</v>
      </c>
      <c r="P1270">
        <v>4268</v>
      </c>
      <c r="Q1270" t="s">
        <v>951</v>
      </c>
      <c r="R1270" t="s">
        <v>201</v>
      </c>
      <c r="S1270">
        <v>1</v>
      </c>
      <c r="T1270">
        <v>1</v>
      </c>
      <c r="U1270">
        <v>137532</v>
      </c>
      <c r="V1270">
        <v>137532</v>
      </c>
    </row>
    <row r="1271" spans="1:22">
      <c r="A1271" t="s">
        <v>196</v>
      </c>
      <c r="B1271">
        <v>38</v>
      </c>
      <c r="C1271" t="s">
        <v>922</v>
      </c>
      <c r="D1271">
        <v>100</v>
      </c>
      <c r="E1271" t="s">
        <v>197</v>
      </c>
      <c r="F1271">
        <v>1005</v>
      </c>
      <c r="G1271" t="s">
        <v>923</v>
      </c>
      <c r="H1271">
        <v>2126</v>
      </c>
      <c r="I1271" t="s">
        <v>29</v>
      </c>
      <c r="J1271">
        <v>3101</v>
      </c>
      <c r="K1271" t="s">
        <v>937</v>
      </c>
      <c r="L1271">
        <v>4123</v>
      </c>
      <c r="M1271" t="s">
        <v>947</v>
      </c>
      <c r="N1271" t="s">
        <v>268</v>
      </c>
      <c r="O1271">
        <v>10</v>
      </c>
      <c r="P1271">
        <v>4219</v>
      </c>
      <c r="Q1271" t="s">
        <v>952</v>
      </c>
      <c r="R1271" t="s">
        <v>201</v>
      </c>
      <c r="S1271">
        <v>1</v>
      </c>
      <c r="T1271">
        <v>1</v>
      </c>
      <c r="U1271">
        <v>80124</v>
      </c>
      <c r="V1271">
        <v>80124</v>
      </c>
    </row>
    <row r="1272" spans="1:22">
      <c r="A1272" t="s">
        <v>196</v>
      </c>
      <c r="B1272">
        <v>38</v>
      </c>
      <c r="C1272" t="s">
        <v>922</v>
      </c>
      <c r="D1272">
        <v>100</v>
      </c>
      <c r="E1272" t="s">
        <v>197</v>
      </c>
      <c r="F1272">
        <v>1005</v>
      </c>
      <c r="G1272" t="s">
        <v>923</v>
      </c>
      <c r="H1272">
        <v>2126</v>
      </c>
      <c r="I1272" t="s">
        <v>29</v>
      </c>
      <c r="J1272">
        <v>3101</v>
      </c>
      <c r="K1272" t="s">
        <v>937</v>
      </c>
      <c r="L1272">
        <v>4123</v>
      </c>
      <c r="M1272" t="s">
        <v>947</v>
      </c>
      <c r="N1272" t="s">
        <v>268</v>
      </c>
      <c r="O1272">
        <v>10</v>
      </c>
      <c r="P1272">
        <v>4219</v>
      </c>
      <c r="Q1272" t="s">
        <v>952</v>
      </c>
      <c r="R1272" t="s">
        <v>201</v>
      </c>
      <c r="S1272">
        <v>2</v>
      </c>
      <c r="T1272">
        <v>1</v>
      </c>
      <c r="U1272">
        <v>69684</v>
      </c>
      <c r="V1272">
        <v>139368</v>
      </c>
    </row>
    <row r="1273" spans="1:22">
      <c r="A1273" t="s">
        <v>196</v>
      </c>
      <c r="B1273">
        <v>38</v>
      </c>
      <c r="C1273" t="s">
        <v>922</v>
      </c>
      <c r="D1273">
        <v>100</v>
      </c>
      <c r="E1273" t="s">
        <v>197</v>
      </c>
      <c r="F1273">
        <v>1005</v>
      </c>
      <c r="G1273" t="s">
        <v>923</v>
      </c>
      <c r="H1273">
        <v>2126</v>
      </c>
      <c r="I1273" t="s">
        <v>29</v>
      </c>
      <c r="J1273">
        <v>3101</v>
      </c>
      <c r="K1273" t="s">
        <v>937</v>
      </c>
      <c r="L1273">
        <v>4123</v>
      </c>
      <c r="M1273" t="s">
        <v>947</v>
      </c>
      <c r="N1273" t="s">
        <v>199</v>
      </c>
      <c r="O1273">
        <v>0</v>
      </c>
      <c r="P1273">
        <v>15</v>
      </c>
      <c r="Q1273" t="s">
        <v>264</v>
      </c>
      <c r="R1273" t="s">
        <v>201</v>
      </c>
      <c r="S1273">
        <v>0</v>
      </c>
      <c r="T1273">
        <v>0</v>
      </c>
      <c r="U1273">
        <v>6184</v>
      </c>
      <c r="V1273">
        <v>6184</v>
      </c>
    </row>
    <row r="1274" spans="1:22">
      <c r="A1274" t="s">
        <v>196</v>
      </c>
      <c r="B1274">
        <v>38</v>
      </c>
      <c r="C1274" t="s">
        <v>922</v>
      </c>
      <c r="D1274">
        <v>100</v>
      </c>
      <c r="E1274" t="s">
        <v>197</v>
      </c>
      <c r="F1274">
        <v>1005</v>
      </c>
      <c r="G1274" t="s">
        <v>923</v>
      </c>
      <c r="H1274">
        <v>2126</v>
      </c>
      <c r="I1274" t="s">
        <v>29</v>
      </c>
      <c r="J1274">
        <v>3101</v>
      </c>
      <c r="K1274" t="s">
        <v>937</v>
      </c>
      <c r="L1274">
        <v>4123</v>
      </c>
      <c r="M1274" t="s">
        <v>947</v>
      </c>
      <c r="N1274" t="s">
        <v>199</v>
      </c>
      <c r="O1274">
        <v>0</v>
      </c>
      <c r="P1274">
        <v>12</v>
      </c>
      <c r="Q1274" t="s">
        <v>724</v>
      </c>
      <c r="R1274" t="s">
        <v>201</v>
      </c>
      <c r="S1274">
        <v>0</v>
      </c>
      <c r="T1274">
        <v>0</v>
      </c>
      <c r="U1274">
        <v>22932</v>
      </c>
      <c r="V1274">
        <v>22932</v>
      </c>
    </row>
    <row r="1275" spans="1:22">
      <c r="A1275" t="s">
        <v>196</v>
      </c>
      <c r="B1275">
        <v>38</v>
      </c>
      <c r="C1275" t="s">
        <v>922</v>
      </c>
      <c r="D1275">
        <v>100</v>
      </c>
      <c r="E1275" t="s">
        <v>197</v>
      </c>
      <c r="F1275">
        <v>1005</v>
      </c>
      <c r="G1275" t="s">
        <v>923</v>
      </c>
      <c r="H1275">
        <v>2126</v>
      </c>
      <c r="I1275" t="s">
        <v>29</v>
      </c>
      <c r="J1275">
        <v>3102</v>
      </c>
      <c r="K1275" t="s">
        <v>953</v>
      </c>
      <c r="L1275">
        <v>4106</v>
      </c>
      <c r="M1275" t="s">
        <v>954</v>
      </c>
      <c r="N1275" t="s">
        <v>266</v>
      </c>
      <c r="O1275">
        <v>9</v>
      </c>
      <c r="P1275">
        <v>9679</v>
      </c>
      <c r="Q1275" t="s">
        <v>338</v>
      </c>
      <c r="R1275" t="s">
        <v>201</v>
      </c>
      <c r="S1275">
        <v>1</v>
      </c>
      <c r="T1275">
        <v>1</v>
      </c>
      <c r="U1275">
        <v>175512</v>
      </c>
      <c r="V1275">
        <v>175512</v>
      </c>
    </row>
    <row r="1276" spans="1:22">
      <c r="A1276" t="s">
        <v>196</v>
      </c>
      <c r="B1276">
        <v>38</v>
      </c>
      <c r="C1276" t="s">
        <v>922</v>
      </c>
      <c r="D1276">
        <v>100</v>
      </c>
      <c r="E1276" t="s">
        <v>197</v>
      </c>
      <c r="F1276">
        <v>1005</v>
      </c>
      <c r="G1276" t="s">
        <v>923</v>
      </c>
      <c r="H1276">
        <v>2126</v>
      </c>
      <c r="I1276" t="s">
        <v>29</v>
      </c>
      <c r="J1276">
        <v>3102</v>
      </c>
      <c r="K1276" t="s">
        <v>953</v>
      </c>
      <c r="L1276">
        <v>4106</v>
      </c>
      <c r="M1276" t="s">
        <v>954</v>
      </c>
      <c r="N1276" t="s">
        <v>271</v>
      </c>
      <c r="O1276">
        <v>20</v>
      </c>
      <c r="P1276">
        <v>5630</v>
      </c>
      <c r="Q1276" t="s">
        <v>955</v>
      </c>
      <c r="R1276" t="s">
        <v>201</v>
      </c>
      <c r="S1276">
        <v>1</v>
      </c>
      <c r="T1276">
        <v>1</v>
      </c>
      <c r="U1276">
        <v>115992</v>
      </c>
      <c r="V1276">
        <v>115992</v>
      </c>
    </row>
    <row r="1277" spans="1:22">
      <c r="A1277" t="s">
        <v>196</v>
      </c>
      <c r="B1277">
        <v>38</v>
      </c>
      <c r="C1277" t="s">
        <v>922</v>
      </c>
      <c r="D1277">
        <v>100</v>
      </c>
      <c r="E1277" t="s">
        <v>197</v>
      </c>
      <c r="F1277">
        <v>1005</v>
      </c>
      <c r="G1277" t="s">
        <v>923</v>
      </c>
      <c r="H1277">
        <v>2126</v>
      </c>
      <c r="I1277" t="s">
        <v>29</v>
      </c>
      <c r="J1277">
        <v>3102</v>
      </c>
      <c r="K1277" t="s">
        <v>953</v>
      </c>
      <c r="L1277">
        <v>4106</v>
      </c>
      <c r="M1277" t="s">
        <v>954</v>
      </c>
      <c r="N1277" t="s">
        <v>271</v>
      </c>
      <c r="O1277">
        <v>20</v>
      </c>
      <c r="P1277">
        <v>5410</v>
      </c>
      <c r="Q1277" t="s">
        <v>956</v>
      </c>
      <c r="R1277" t="s">
        <v>201</v>
      </c>
      <c r="S1277">
        <v>1</v>
      </c>
      <c r="T1277">
        <v>1</v>
      </c>
      <c r="U1277">
        <v>126756</v>
      </c>
      <c r="V1277">
        <v>126756</v>
      </c>
    </row>
    <row r="1278" spans="1:22">
      <c r="A1278" t="s">
        <v>196</v>
      </c>
      <c r="B1278">
        <v>38</v>
      </c>
      <c r="C1278" t="s">
        <v>922</v>
      </c>
      <c r="D1278">
        <v>100</v>
      </c>
      <c r="E1278" t="s">
        <v>197</v>
      </c>
      <c r="F1278">
        <v>1005</v>
      </c>
      <c r="G1278" t="s">
        <v>923</v>
      </c>
      <c r="H1278">
        <v>2126</v>
      </c>
      <c r="I1278" t="s">
        <v>29</v>
      </c>
      <c r="J1278">
        <v>3102</v>
      </c>
      <c r="K1278" t="s">
        <v>953</v>
      </c>
      <c r="L1278">
        <v>4106</v>
      </c>
      <c r="M1278" t="s">
        <v>954</v>
      </c>
      <c r="N1278" t="s">
        <v>341</v>
      </c>
      <c r="O1278">
        <v>1</v>
      </c>
      <c r="P1278">
        <v>308</v>
      </c>
      <c r="Q1278" t="s">
        <v>355</v>
      </c>
      <c r="R1278" t="s">
        <v>201</v>
      </c>
      <c r="S1278">
        <v>1</v>
      </c>
      <c r="T1278">
        <v>1</v>
      </c>
      <c r="U1278">
        <v>74172</v>
      </c>
      <c r="V1278">
        <v>74172</v>
      </c>
    </row>
    <row r="1279" spans="1:22">
      <c r="A1279" t="s">
        <v>196</v>
      </c>
      <c r="B1279">
        <v>38</v>
      </c>
      <c r="C1279" t="s">
        <v>922</v>
      </c>
      <c r="D1279">
        <v>100</v>
      </c>
      <c r="E1279" t="s">
        <v>197</v>
      </c>
      <c r="F1279">
        <v>1005</v>
      </c>
      <c r="G1279" t="s">
        <v>923</v>
      </c>
      <c r="H1279">
        <v>2126</v>
      </c>
      <c r="I1279" t="s">
        <v>29</v>
      </c>
      <c r="J1279">
        <v>3102</v>
      </c>
      <c r="K1279" t="s">
        <v>953</v>
      </c>
      <c r="L1279">
        <v>4106</v>
      </c>
      <c r="M1279" t="s">
        <v>954</v>
      </c>
      <c r="N1279" t="s">
        <v>199</v>
      </c>
      <c r="O1279">
        <v>0</v>
      </c>
      <c r="P1279">
        <v>15</v>
      </c>
      <c r="Q1279" t="s">
        <v>264</v>
      </c>
      <c r="R1279" t="s">
        <v>201</v>
      </c>
      <c r="S1279">
        <v>0</v>
      </c>
      <c r="T1279">
        <v>0</v>
      </c>
      <c r="U1279">
        <v>5476</v>
      </c>
      <c r="V1279">
        <v>5476</v>
      </c>
    </row>
    <row r="1280" spans="1:22">
      <c r="A1280" t="s">
        <v>196</v>
      </c>
      <c r="B1280">
        <v>38</v>
      </c>
      <c r="C1280" t="s">
        <v>922</v>
      </c>
      <c r="D1280">
        <v>100</v>
      </c>
      <c r="E1280" t="s">
        <v>197</v>
      </c>
      <c r="F1280">
        <v>1005</v>
      </c>
      <c r="G1280" t="s">
        <v>923</v>
      </c>
      <c r="H1280">
        <v>2126</v>
      </c>
      <c r="I1280" t="s">
        <v>29</v>
      </c>
      <c r="J1280">
        <v>3102</v>
      </c>
      <c r="K1280" t="s">
        <v>953</v>
      </c>
      <c r="L1280">
        <v>4107</v>
      </c>
      <c r="M1280" t="s">
        <v>957</v>
      </c>
      <c r="N1280" t="s">
        <v>274</v>
      </c>
      <c r="O1280">
        <v>0</v>
      </c>
      <c r="P1280">
        <v>5633</v>
      </c>
      <c r="Q1280" t="s">
        <v>958</v>
      </c>
      <c r="R1280" t="s">
        <v>201</v>
      </c>
      <c r="S1280">
        <v>1</v>
      </c>
      <c r="T1280">
        <v>1</v>
      </c>
      <c r="U1280">
        <v>137532</v>
      </c>
      <c r="V1280">
        <v>137532</v>
      </c>
    </row>
    <row r="1281" spans="1:22">
      <c r="A1281" t="s">
        <v>196</v>
      </c>
      <c r="B1281">
        <v>38</v>
      </c>
      <c r="C1281" t="s">
        <v>922</v>
      </c>
      <c r="D1281">
        <v>100</v>
      </c>
      <c r="E1281" t="s">
        <v>197</v>
      </c>
      <c r="F1281">
        <v>1005</v>
      </c>
      <c r="G1281" t="s">
        <v>923</v>
      </c>
      <c r="H1281">
        <v>2126</v>
      </c>
      <c r="I1281" t="s">
        <v>29</v>
      </c>
      <c r="J1281">
        <v>3102</v>
      </c>
      <c r="K1281" t="s">
        <v>953</v>
      </c>
      <c r="L1281">
        <v>4107</v>
      </c>
      <c r="M1281" t="s">
        <v>957</v>
      </c>
      <c r="N1281" t="s">
        <v>249</v>
      </c>
      <c r="O1281">
        <v>10</v>
      </c>
      <c r="P1281">
        <v>310</v>
      </c>
      <c r="Q1281" t="s">
        <v>447</v>
      </c>
      <c r="R1281" t="s">
        <v>201</v>
      </c>
      <c r="S1281">
        <v>6</v>
      </c>
      <c r="T1281">
        <v>1</v>
      </c>
      <c r="U1281">
        <v>118956</v>
      </c>
      <c r="V1281">
        <v>713736</v>
      </c>
    </row>
    <row r="1282" spans="1:22">
      <c r="A1282" t="s">
        <v>196</v>
      </c>
      <c r="B1282">
        <v>38</v>
      </c>
      <c r="C1282" t="s">
        <v>922</v>
      </c>
      <c r="D1282">
        <v>100</v>
      </c>
      <c r="E1282" t="s">
        <v>197</v>
      </c>
      <c r="F1282">
        <v>1005</v>
      </c>
      <c r="G1282" t="s">
        <v>923</v>
      </c>
      <c r="H1282">
        <v>2126</v>
      </c>
      <c r="I1282" t="s">
        <v>29</v>
      </c>
      <c r="J1282">
        <v>3102</v>
      </c>
      <c r="K1282" t="s">
        <v>953</v>
      </c>
      <c r="L1282">
        <v>4107</v>
      </c>
      <c r="M1282" t="s">
        <v>957</v>
      </c>
      <c r="N1282" t="s">
        <v>249</v>
      </c>
      <c r="O1282">
        <v>10</v>
      </c>
      <c r="P1282">
        <v>310</v>
      </c>
      <c r="Q1282" t="s">
        <v>447</v>
      </c>
      <c r="R1282" t="s">
        <v>201</v>
      </c>
      <c r="S1282">
        <v>1</v>
      </c>
      <c r="T1282">
        <v>1</v>
      </c>
      <c r="U1282">
        <v>89112</v>
      </c>
      <c r="V1282">
        <v>89112</v>
      </c>
    </row>
    <row r="1283" spans="1:22">
      <c r="A1283" t="s">
        <v>196</v>
      </c>
      <c r="B1283">
        <v>38</v>
      </c>
      <c r="C1283" t="s">
        <v>922</v>
      </c>
      <c r="D1283">
        <v>100</v>
      </c>
      <c r="E1283" t="s">
        <v>197</v>
      </c>
      <c r="F1283">
        <v>1005</v>
      </c>
      <c r="G1283" t="s">
        <v>923</v>
      </c>
      <c r="H1283">
        <v>2126</v>
      </c>
      <c r="I1283" t="s">
        <v>29</v>
      </c>
      <c r="J1283">
        <v>3102</v>
      </c>
      <c r="K1283" t="s">
        <v>953</v>
      </c>
      <c r="L1283">
        <v>4107</v>
      </c>
      <c r="M1283" t="s">
        <v>957</v>
      </c>
      <c r="N1283" t="s">
        <v>199</v>
      </c>
      <c r="O1283">
        <v>0</v>
      </c>
      <c r="P1283">
        <v>15</v>
      </c>
      <c r="Q1283" t="s">
        <v>264</v>
      </c>
      <c r="R1283" t="s">
        <v>201</v>
      </c>
      <c r="S1283">
        <v>0</v>
      </c>
      <c r="T1283">
        <v>0</v>
      </c>
      <c r="U1283">
        <v>7934</v>
      </c>
      <c r="V1283">
        <v>7934</v>
      </c>
    </row>
    <row r="1284" spans="1:22">
      <c r="A1284" t="s">
        <v>196</v>
      </c>
      <c r="B1284">
        <v>38</v>
      </c>
      <c r="C1284" t="s">
        <v>922</v>
      </c>
      <c r="D1284">
        <v>100</v>
      </c>
      <c r="E1284" t="s">
        <v>197</v>
      </c>
      <c r="F1284">
        <v>1005</v>
      </c>
      <c r="G1284" t="s">
        <v>923</v>
      </c>
      <c r="H1284">
        <v>2126</v>
      </c>
      <c r="I1284" t="s">
        <v>29</v>
      </c>
      <c r="J1284">
        <v>3102</v>
      </c>
      <c r="K1284" t="s">
        <v>953</v>
      </c>
      <c r="L1284">
        <v>4119</v>
      </c>
      <c r="M1284" t="s">
        <v>959</v>
      </c>
      <c r="N1284" t="s">
        <v>721</v>
      </c>
      <c r="O1284">
        <v>53</v>
      </c>
      <c r="P1284">
        <v>9534</v>
      </c>
      <c r="Q1284" t="s">
        <v>960</v>
      </c>
      <c r="R1284" t="s">
        <v>713</v>
      </c>
      <c r="S1284">
        <v>14</v>
      </c>
      <c r="T1284">
        <v>1</v>
      </c>
      <c r="U1284">
        <v>51.4</v>
      </c>
      <c r="V1284">
        <v>1496768</v>
      </c>
    </row>
    <row r="1285" spans="1:22">
      <c r="A1285" t="s">
        <v>196</v>
      </c>
      <c r="B1285">
        <v>38</v>
      </c>
      <c r="C1285" t="s">
        <v>922</v>
      </c>
      <c r="D1285">
        <v>100</v>
      </c>
      <c r="E1285" t="s">
        <v>197</v>
      </c>
      <c r="F1285">
        <v>1005</v>
      </c>
      <c r="G1285" t="s">
        <v>923</v>
      </c>
      <c r="H1285">
        <v>2126</v>
      </c>
      <c r="I1285" t="s">
        <v>29</v>
      </c>
      <c r="J1285">
        <v>3102</v>
      </c>
      <c r="K1285" t="s">
        <v>953</v>
      </c>
      <c r="L1285">
        <v>4119</v>
      </c>
      <c r="M1285" t="s">
        <v>959</v>
      </c>
      <c r="N1285" t="s">
        <v>721</v>
      </c>
      <c r="O1285">
        <v>53</v>
      </c>
      <c r="P1285">
        <v>9534</v>
      </c>
      <c r="Q1285" t="s">
        <v>960</v>
      </c>
      <c r="R1285" t="s">
        <v>713</v>
      </c>
      <c r="S1285">
        <v>2</v>
      </c>
      <c r="T1285">
        <v>1</v>
      </c>
      <c r="U1285">
        <v>51.05</v>
      </c>
      <c r="V1285">
        <v>212368</v>
      </c>
    </row>
    <row r="1286" spans="1:22">
      <c r="A1286" t="s">
        <v>196</v>
      </c>
      <c r="B1286">
        <v>38</v>
      </c>
      <c r="C1286" t="s">
        <v>922</v>
      </c>
      <c r="D1286">
        <v>100</v>
      </c>
      <c r="E1286" t="s">
        <v>197</v>
      </c>
      <c r="F1286">
        <v>1005</v>
      </c>
      <c r="G1286" t="s">
        <v>923</v>
      </c>
      <c r="H1286">
        <v>2126</v>
      </c>
      <c r="I1286" t="s">
        <v>29</v>
      </c>
      <c r="J1286">
        <v>3102</v>
      </c>
      <c r="K1286" t="s">
        <v>953</v>
      </c>
      <c r="L1286">
        <v>4119</v>
      </c>
      <c r="M1286" t="s">
        <v>959</v>
      </c>
      <c r="N1286" t="s">
        <v>721</v>
      </c>
      <c r="O1286">
        <v>53</v>
      </c>
      <c r="P1286">
        <v>8244</v>
      </c>
      <c r="Q1286" t="s">
        <v>961</v>
      </c>
      <c r="R1286" t="s">
        <v>713</v>
      </c>
      <c r="S1286">
        <v>1</v>
      </c>
      <c r="T1286">
        <v>1</v>
      </c>
      <c r="U1286">
        <v>52.3</v>
      </c>
      <c r="V1286">
        <v>108784</v>
      </c>
    </row>
    <row r="1287" spans="1:22">
      <c r="A1287" t="s">
        <v>196</v>
      </c>
      <c r="B1287">
        <v>38</v>
      </c>
      <c r="C1287" t="s">
        <v>922</v>
      </c>
      <c r="D1287">
        <v>100</v>
      </c>
      <c r="E1287" t="s">
        <v>197</v>
      </c>
      <c r="F1287">
        <v>1005</v>
      </c>
      <c r="G1287" t="s">
        <v>923</v>
      </c>
      <c r="H1287">
        <v>2126</v>
      </c>
      <c r="I1287" t="s">
        <v>29</v>
      </c>
      <c r="J1287">
        <v>3102</v>
      </c>
      <c r="K1287" t="s">
        <v>953</v>
      </c>
      <c r="L1287">
        <v>4119</v>
      </c>
      <c r="M1287" t="s">
        <v>959</v>
      </c>
      <c r="N1287" t="s">
        <v>721</v>
      </c>
      <c r="O1287">
        <v>36</v>
      </c>
      <c r="P1287">
        <v>6676</v>
      </c>
      <c r="Q1287" t="s">
        <v>962</v>
      </c>
      <c r="R1287" t="s">
        <v>713</v>
      </c>
      <c r="S1287">
        <v>1</v>
      </c>
      <c r="T1287">
        <v>1</v>
      </c>
      <c r="U1287">
        <v>64.39</v>
      </c>
      <c r="V1287">
        <v>133931</v>
      </c>
    </row>
    <row r="1288" spans="1:22">
      <c r="A1288" t="s">
        <v>196</v>
      </c>
      <c r="B1288">
        <v>38</v>
      </c>
      <c r="C1288" t="s">
        <v>922</v>
      </c>
      <c r="D1288">
        <v>100</v>
      </c>
      <c r="E1288" t="s">
        <v>197</v>
      </c>
      <c r="F1288">
        <v>1005</v>
      </c>
      <c r="G1288" t="s">
        <v>923</v>
      </c>
      <c r="H1288">
        <v>2126</v>
      </c>
      <c r="I1288" t="s">
        <v>29</v>
      </c>
      <c r="J1288">
        <v>3102</v>
      </c>
      <c r="K1288" t="s">
        <v>953</v>
      </c>
      <c r="L1288">
        <v>4119</v>
      </c>
      <c r="M1288" t="s">
        <v>959</v>
      </c>
      <c r="N1288" t="s">
        <v>721</v>
      </c>
      <c r="O1288">
        <v>36</v>
      </c>
      <c r="P1288">
        <v>6674</v>
      </c>
      <c r="Q1288" t="s">
        <v>963</v>
      </c>
      <c r="R1288" t="s">
        <v>713</v>
      </c>
      <c r="S1288">
        <v>2</v>
      </c>
      <c r="T1288">
        <v>1</v>
      </c>
      <c r="U1288">
        <v>60.39</v>
      </c>
      <c r="V1288">
        <v>251222</v>
      </c>
    </row>
    <row r="1289" spans="1:22">
      <c r="A1289" t="s">
        <v>196</v>
      </c>
      <c r="B1289">
        <v>38</v>
      </c>
      <c r="C1289" t="s">
        <v>922</v>
      </c>
      <c r="D1289">
        <v>100</v>
      </c>
      <c r="E1289" t="s">
        <v>197</v>
      </c>
      <c r="F1289">
        <v>1005</v>
      </c>
      <c r="G1289" t="s">
        <v>923</v>
      </c>
      <c r="H1289">
        <v>2126</v>
      </c>
      <c r="I1289" t="s">
        <v>29</v>
      </c>
      <c r="J1289">
        <v>3102</v>
      </c>
      <c r="K1289" t="s">
        <v>953</v>
      </c>
      <c r="L1289">
        <v>4119</v>
      </c>
      <c r="M1289" t="s">
        <v>959</v>
      </c>
      <c r="N1289" t="s">
        <v>721</v>
      </c>
      <c r="O1289">
        <v>32</v>
      </c>
      <c r="P1289">
        <v>5043</v>
      </c>
      <c r="Q1289" t="s">
        <v>964</v>
      </c>
      <c r="R1289" t="s">
        <v>713</v>
      </c>
      <c r="S1289">
        <v>9</v>
      </c>
      <c r="T1289">
        <v>1</v>
      </c>
      <c r="U1289">
        <v>57.75</v>
      </c>
      <c r="V1289">
        <v>1081080</v>
      </c>
    </row>
    <row r="1290" spans="1:22">
      <c r="A1290" t="s">
        <v>196</v>
      </c>
      <c r="B1290">
        <v>38</v>
      </c>
      <c r="C1290" t="s">
        <v>922</v>
      </c>
      <c r="D1290">
        <v>100</v>
      </c>
      <c r="E1290" t="s">
        <v>197</v>
      </c>
      <c r="F1290">
        <v>1005</v>
      </c>
      <c r="G1290" t="s">
        <v>923</v>
      </c>
      <c r="H1290">
        <v>2126</v>
      </c>
      <c r="I1290" t="s">
        <v>29</v>
      </c>
      <c r="J1290">
        <v>3102</v>
      </c>
      <c r="K1290" t="s">
        <v>953</v>
      </c>
      <c r="L1290">
        <v>4119</v>
      </c>
      <c r="M1290" t="s">
        <v>959</v>
      </c>
      <c r="N1290" t="s">
        <v>721</v>
      </c>
      <c r="O1290">
        <v>32</v>
      </c>
      <c r="P1290">
        <v>5042</v>
      </c>
      <c r="Q1290" t="s">
        <v>965</v>
      </c>
      <c r="R1290" t="s">
        <v>712</v>
      </c>
      <c r="S1290">
        <v>2</v>
      </c>
      <c r="T1290">
        <v>1</v>
      </c>
      <c r="U1290">
        <v>11511.5</v>
      </c>
      <c r="V1290">
        <v>276276</v>
      </c>
    </row>
    <row r="1291" spans="1:22">
      <c r="A1291" t="s">
        <v>196</v>
      </c>
      <c r="B1291">
        <v>38</v>
      </c>
      <c r="C1291" t="s">
        <v>922</v>
      </c>
      <c r="D1291">
        <v>100</v>
      </c>
      <c r="E1291" t="s">
        <v>197</v>
      </c>
      <c r="F1291">
        <v>1005</v>
      </c>
      <c r="G1291" t="s">
        <v>923</v>
      </c>
      <c r="H1291">
        <v>2126</v>
      </c>
      <c r="I1291" t="s">
        <v>29</v>
      </c>
      <c r="J1291">
        <v>3102</v>
      </c>
      <c r="K1291" t="s">
        <v>953</v>
      </c>
      <c r="L1291">
        <v>4119</v>
      </c>
      <c r="M1291" t="s">
        <v>959</v>
      </c>
      <c r="N1291" t="s">
        <v>721</v>
      </c>
      <c r="O1291">
        <v>32</v>
      </c>
      <c r="P1291">
        <v>5040</v>
      </c>
      <c r="Q1291" t="s">
        <v>966</v>
      </c>
      <c r="R1291" t="s">
        <v>713</v>
      </c>
      <c r="S1291">
        <v>6</v>
      </c>
      <c r="T1291">
        <v>1</v>
      </c>
      <c r="U1291">
        <v>63.53</v>
      </c>
      <c r="V1291">
        <v>792854</v>
      </c>
    </row>
    <row r="1292" spans="1:22">
      <c r="A1292" t="s">
        <v>196</v>
      </c>
      <c r="B1292">
        <v>38</v>
      </c>
      <c r="C1292" t="s">
        <v>922</v>
      </c>
      <c r="D1292">
        <v>100</v>
      </c>
      <c r="E1292" t="s">
        <v>197</v>
      </c>
      <c r="F1292">
        <v>1005</v>
      </c>
      <c r="G1292" t="s">
        <v>923</v>
      </c>
      <c r="H1292">
        <v>2126</v>
      </c>
      <c r="I1292" t="s">
        <v>29</v>
      </c>
      <c r="J1292">
        <v>3102</v>
      </c>
      <c r="K1292" t="s">
        <v>953</v>
      </c>
      <c r="L1292">
        <v>4119</v>
      </c>
      <c r="M1292" t="s">
        <v>959</v>
      </c>
      <c r="N1292" t="s">
        <v>721</v>
      </c>
      <c r="O1292">
        <v>32</v>
      </c>
      <c r="P1292">
        <v>5035</v>
      </c>
      <c r="Q1292" t="s">
        <v>967</v>
      </c>
      <c r="R1292" t="s">
        <v>713</v>
      </c>
      <c r="S1292">
        <v>41</v>
      </c>
      <c r="T1292">
        <v>1</v>
      </c>
      <c r="U1292">
        <v>57.75</v>
      </c>
      <c r="V1292">
        <v>4924920</v>
      </c>
    </row>
    <row r="1293" spans="1:22">
      <c r="A1293" t="s">
        <v>196</v>
      </c>
      <c r="B1293">
        <v>38</v>
      </c>
      <c r="C1293" t="s">
        <v>922</v>
      </c>
      <c r="D1293">
        <v>100</v>
      </c>
      <c r="E1293" t="s">
        <v>197</v>
      </c>
      <c r="F1293">
        <v>1005</v>
      </c>
      <c r="G1293" t="s">
        <v>923</v>
      </c>
      <c r="H1293">
        <v>2126</v>
      </c>
      <c r="I1293" t="s">
        <v>29</v>
      </c>
      <c r="J1293">
        <v>3102</v>
      </c>
      <c r="K1293" t="s">
        <v>953</v>
      </c>
      <c r="L1293">
        <v>4119</v>
      </c>
      <c r="M1293" t="s">
        <v>959</v>
      </c>
      <c r="N1293" t="s">
        <v>721</v>
      </c>
      <c r="O1293">
        <v>41</v>
      </c>
      <c r="P1293">
        <v>4856</v>
      </c>
      <c r="Q1293" t="s">
        <v>968</v>
      </c>
      <c r="R1293" t="s">
        <v>713</v>
      </c>
      <c r="S1293">
        <v>1</v>
      </c>
      <c r="T1293">
        <v>1</v>
      </c>
      <c r="U1293">
        <v>58.95</v>
      </c>
      <c r="V1293">
        <v>122616</v>
      </c>
    </row>
    <row r="1294" spans="1:22">
      <c r="A1294" t="s">
        <v>196</v>
      </c>
      <c r="B1294">
        <v>38</v>
      </c>
      <c r="C1294" t="s">
        <v>922</v>
      </c>
      <c r="D1294">
        <v>100</v>
      </c>
      <c r="E1294" t="s">
        <v>197</v>
      </c>
      <c r="F1294">
        <v>1005</v>
      </c>
      <c r="G1294" t="s">
        <v>923</v>
      </c>
      <c r="H1294">
        <v>2126</v>
      </c>
      <c r="I1294" t="s">
        <v>29</v>
      </c>
      <c r="J1294">
        <v>3102</v>
      </c>
      <c r="K1294" t="s">
        <v>953</v>
      </c>
      <c r="L1294">
        <v>4119</v>
      </c>
      <c r="M1294" t="s">
        <v>959</v>
      </c>
      <c r="N1294" t="s">
        <v>721</v>
      </c>
      <c r="O1294">
        <v>41</v>
      </c>
      <c r="P1294">
        <v>4855</v>
      </c>
      <c r="Q1294" t="s">
        <v>969</v>
      </c>
      <c r="R1294" t="s">
        <v>713</v>
      </c>
      <c r="S1294">
        <v>3</v>
      </c>
      <c r="T1294">
        <v>1</v>
      </c>
      <c r="U1294">
        <v>54.58</v>
      </c>
      <c r="V1294">
        <v>340579</v>
      </c>
    </row>
    <row r="1295" spans="1:22">
      <c r="A1295" t="s">
        <v>196</v>
      </c>
      <c r="B1295">
        <v>38</v>
      </c>
      <c r="C1295" t="s">
        <v>922</v>
      </c>
      <c r="D1295">
        <v>100</v>
      </c>
      <c r="E1295" t="s">
        <v>197</v>
      </c>
      <c r="F1295">
        <v>1005</v>
      </c>
      <c r="G1295" t="s">
        <v>923</v>
      </c>
      <c r="H1295">
        <v>2126</v>
      </c>
      <c r="I1295" t="s">
        <v>29</v>
      </c>
      <c r="J1295">
        <v>3102</v>
      </c>
      <c r="K1295" t="s">
        <v>953</v>
      </c>
      <c r="L1295">
        <v>4119</v>
      </c>
      <c r="M1295" t="s">
        <v>959</v>
      </c>
      <c r="N1295" t="s">
        <v>721</v>
      </c>
      <c r="O1295">
        <v>47</v>
      </c>
      <c r="P1295">
        <v>4805</v>
      </c>
      <c r="Q1295" t="s">
        <v>970</v>
      </c>
      <c r="R1295" t="s">
        <v>713</v>
      </c>
      <c r="S1295">
        <v>1</v>
      </c>
      <c r="T1295">
        <v>1</v>
      </c>
      <c r="U1295">
        <v>59.26</v>
      </c>
      <c r="V1295">
        <v>123261</v>
      </c>
    </row>
    <row r="1296" spans="1:22">
      <c r="A1296" t="s">
        <v>196</v>
      </c>
      <c r="B1296">
        <v>38</v>
      </c>
      <c r="C1296" t="s">
        <v>922</v>
      </c>
      <c r="D1296">
        <v>100</v>
      </c>
      <c r="E1296" t="s">
        <v>197</v>
      </c>
      <c r="F1296">
        <v>1005</v>
      </c>
      <c r="G1296" t="s">
        <v>923</v>
      </c>
      <c r="H1296">
        <v>2126</v>
      </c>
      <c r="I1296" t="s">
        <v>29</v>
      </c>
      <c r="J1296">
        <v>3102</v>
      </c>
      <c r="K1296" t="s">
        <v>953</v>
      </c>
      <c r="L1296">
        <v>4119</v>
      </c>
      <c r="M1296" t="s">
        <v>959</v>
      </c>
      <c r="N1296" t="s">
        <v>721</v>
      </c>
      <c r="O1296">
        <v>14</v>
      </c>
      <c r="P1296">
        <v>4776</v>
      </c>
      <c r="Q1296" t="s">
        <v>971</v>
      </c>
      <c r="R1296" t="s">
        <v>713</v>
      </c>
      <c r="S1296">
        <v>1</v>
      </c>
      <c r="T1296">
        <v>1</v>
      </c>
      <c r="U1296">
        <v>63</v>
      </c>
      <c r="V1296">
        <v>131040</v>
      </c>
    </row>
    <row r="1297" spans="1:22">
      <c r="A1297" t="s">
        <v>196</v>
      </c>
      <c r="B1297">
        <v>38</v>
      </c>
      <c r="C1297" t="s">
        <v>922</v>
      </c>
      <c r="D1297">
        <v>100</v>
      </c>
      <c r="E1297" t="s">
        <v>197</v>
      </c>
      <c r="F1297">
        <v>1005</v>
      </c>
      <c r="G1297" t="s">
        <v>923</v>
      </c>
      <c r="H1297">
        <v>2126</v>
      </c>
      <c r="I1297" t="s">
        <v>29</v>
      </c>
      <c r="J1297">
        <v>3102</v>
      </c>
      <c r="K1297" t="s">
        <v>953</v>
      </c>
      <c r="L1297">
        <v>4119</v>
      </c>
      <c r="M1297" t="s">
        <v>959</v>
      </c>
      <c r="N1297" t="s">
        <v>721</v>
      </c>
      <c r="O1297">
        <v>14</v>
      </c>
      <c r="P1297">
        <v>4774</v>
      </c>
      <c r="Q1297" t="s">
        <v>972</v>
      </c>
      <c r="R1297" t="s">
        <v>713</v>
      </c>
      <c r="S1297">
        <v>10</v>
      </c>
      <c r="T1297">
        <v>1</v>
      </c>
      <c r="U1297">
        <v>60</v>
      </c>
      <c r="V1297">
        <v>1248000</v>
      </c>
    </row>
    <row r="1298" spans="1:22">
      <c r="A1298" t="s">
        <v>196</v>
      </c>
      <c r="B1298">
        <v>38</v>
      </c>
      <c r="C1298" t="s">
        <v>922</v>
      </c>
      <c r="D1298">
        <v>100</v>
      </c>
      <c r="E1298" t="s">
        <v>197</v>
      </c>
      <c r="F1298">
        <v>1005</v>
      </c>
      <c r="G1298" t="s">
        <v>923</v>
      </c>
      <c r="H1298">
        <v>2126</v>
      </c>
      <c r="I1298" t="s">
        <v>29</v>
      </c>
      <c r="J1298">
        <v>3102</v>
      </c>
      <c r="K1298" t="s">
        <v>953</v>
      </c>
      <c r="L1298">
        <v>4119</v>
      </c>
      <c r="M1298" t="s">
        <v>959</v>
      </c>
      <c r="N1298" t="s">
        <v>721</v>
      </c>
      <c r="O1298">
        <v>48</v>
      </c>
      <c r="P1298">
        <v>4765</v>
      </c>
      <c r="Q1298" t="s">
        <v>973</v>
      </c>
      <c r="R1298" t="s">
        <v>713</v>
      </c>
      <c r="S1298">
        <v>2</v>
      </c>
      <c r="T1298">
        <v>1</v>
      </c>
      <c r="U1298">
        <v>63.25</v>
      </c>
      <c r="V1298">
        <v>263120</v>
      </c>
    </row>
    <row r="1299" spans="1:22">
      <c r="A1299" t="s">
        <v>196</v>
      </c>
      <c r="B1299">
        <v>38</v>
      </c>
      <c r="C1299" t="s">
        <v>922</v>
      </c>
      <c r="D1299">
        <v>100</v>
      </c>
      <c r="E1299" t="s">
        <v>197</v>
      </c>
      <c r="F1299">
        <v>1005</v>
      </c>
      <c r="G1299" t="s">
        <v>923</v>
      </c>
      <c r="H1299">
        <v>2126</v>
      </c>
      <c r="I1299" t="s">
        <v>29</v>
      </c>
      <c r="J1299">
        <v>3102</v>
      </c>
      <c r="K1299" t="s">
        <v>953</v>
      </c>
      <c r="L1299">
        <v>4119</v>
      </c>
      <c r="M1299" t="s">
        <v>959</v>
      </c>
      <c r="N1299" t="s">
        <v>721</v>
      </c>
      <c r="O1299">
        <v>16</v>
      </c>
      <c r="P1299">
        <v>4756</v>
      </c>
      <c r="Q1299" t="s">
        <v>974</v>
      </c>
      <c r="R1299" t="s">
        <v>713</v>
      </c>
      <c r="S1299">
        <v>1</v>
      </c>
      <c r="T1299">
        <v>1</v>
      </c>
      <c r="U1299">
        <v>64.150000000000006</v>
      </c>
      <c r="V1299">
        <v>133432</v>
      </c>
    </row>
    <row r="1300" spans="1:22">
      <c r="A1300" t="s">
        <v>196</v>
      </c>
      <c r="B1300">
        <v>38</v>
      </c>
      <c r="C1300" t="s">
        <v>922</v>
      </c>
      <c r="D1300">
        <v>100</v>
      </c>
      <c r="E1300" t="s">
        <v>197</v>
      </c>
      <c r="F1300">
        <v>1005</v>
      </c>
      <c r="G1300" t="s">
        <v>923</v>
      </c>
      <c r="H1300">
        <v>2126</v>
      </c>
      <c r="I1300" t="s">
        <v>29</v>
      </c>
      <c r="J1300">
        <v>3102</v>
      </c>
      <c r="K1300" t="s">
        <v>953</v>
      </c>
      <c r="L1300">
        <v>4119</v>
      </c>
      <c r="M1300" t="s">
        <v>959</v>
      </c>
      <c r="N1300" t="s">
        <v>721</v>
      </c>
      <c r="O1300">
        <v>16</v>
      </c>
      <c r="P1300">
        <v>4754</v>
      </c>
      <c r="Q1300" t="s">
        <v>975</v>
      </c>
      <c r="R1300" t="s">
        <v>713</v>
      </c>
      <c r="S1300">
        <v>17</v>
      </c>
      <c r="T1300">
        <v>1</v>
      </c>
      <c r="U1300">
        <v>60.5</v>
      </c>
      <c r="V1300">
        <v>2139280</v>
      </c>
    </row>
    <row r="1301" spans="1:22">
      <c r="A1301" t="s">
        <v>196</v>
      </c>
      <c r="B1301">
        <v>38</v>
      </c>
      <c r="C1301" t="s">
        <v>922</v>
      </c>
      <c r="D1301">
        <v>100</v>
      </c>
      <c r="E1301" t="s">
        <v>197</v>
      </c>
      <c r="F1301">
        <v>1005</v>
      </c>
      <c r="G1301" t="s">
        <v>923</v>
      </c>
      <c r="H1301">
        <v>2126</v>
      </c>
      <c r="I1301" t="s">
        <v>29</v>
      </c>
      <c r="J1301">
        <v>3102</v>
      </c>
      <c r="K1301" t="s">
        <v>953</v>
      </c>
      <c r="L1301">
        <v>4119</v>
      </c>
      <c r="M1301" t="s">
        <v>959</v>
      </c>
      <c r="N1301" t="s">
        <v>721</v>
      </c>
      <c r="O1301">
        <v>39</v>
      </c>
      <c r="P1301">
        <v>4636</v>
      </c>
      <c r="Q1301" t="s">
        <v>976</v>
      </c>
      <c r="R1301" t="s">
        <v>713</v>
      </c>
      <c r="S1301">
        <v>2</v>
      </c>
      <c r="T1301">
        <v>1</v>
      </c>
      <c r="U1301">
        <v>61.09</v>
      </c>
      <c r="V1301">
        <v>254134</v>
      </c>
    </row>
    <row r="1302" spans="1:22">
      <c r="A1302" t="s">
        <v>196</v>
      </c>
      <c r="B1302">
        <v>38</v>
      </c>
      <c r="C1302" t="s">
        <v>922</v>
      </c>
      <c r="D1302">
        <v>100</v>
      </c>
      <c r="E1302" t="s">
        <v>197</v>
      </c>
      <c r="F1302">
        <v>1005</v>
      </c>
      <c r="G1302" t="s">
        <v>923</v>
      </c>
      <c r="H1302">
        <v>2126</v>
      </c>
      <c r="I1302" t="s">
        <v>29</v>
      </c>
      <c r="J1302">
        <v>3102</v>
      </c>
      <c r="K1302" t="s">
        <v>953</v>
      </c>
      <c r="L1302">
        <v>4119</v>
      </c>
      <c r="M1302" t="s">
        <v>959</v>
      </c>
      <c r="N1302" t="s">
        <v>721</v>
      </c>
      <c r="O1302">
        <v>39</v>
      </c>
      <c r="P1302">
        <v>4634</v>
      </c>
      <c r="Q1302" t="s">
        <v>977</v>
      </c>
      <c r="R1302" t="s">
        <v>713</v>
      </c>
      <c r="S1302">
        <v>15</v>
      </c>
      <c r="T1302">
        <v>1</v>
      </c>
      <c r="U1302">
        <v>54.3</v>
      </c>
      <c r="V1302">
        <v>1694160</v>
      </c>
    </row>
    <row r="1303" spans="1:22">
      <c r="A1303" t="s">
        <v>196</v>
      </c>
      <c r="B1303">
        <v>38</v>
      </c>
      <c r="C1303" t="s">
        <v>922</v>
      </c>
      <c r="D1303">
        <v>100</v>
      </c>
      <c r="E1303" t="s">
        <v>197</v>
      </c>
      <c r="F1303">
        <v>1005</v>
      </c>
      <c r="G1303" t="s">
        <v>923</v>
      </c>
      <c r="H1303">
        <v>2126</v>
      </c>
      <c r="I1303" t="s">
        <v>29</v>
      </c>
      <c r="J1303">
        <v>3102</v>
      </c>
      <c r="K1303" t="s">
        <v>953</v>
      </c>
      <c r="L1303">
        <v>4119</v>
      </c>
      <c r="M1303" t="s">
        <v>959</v>
      </c>
      <c r="N1303" t="s">
        <v>721</v>
      </c>
      <c r="O1303">
        <v>50</v>
      </c>
      <c r="P1303">
        <v>4526</v>
      </c>
      <c r="Q1303" t="s">
        <v>978</v>
      </c>
      <c r="R1303" t="s">
        <v>712</v>
      </c>
      <c r="S1303">
        <v>2</v>
      </c>
      <c r="T1303">
        <v>1</v>
      </c>
      <c r="U1303">
        <v>11909.73</v>
      </c>
      <c r="V1303">
        <v>285834</v>
      </c>
    </row>
    <row r="1304" spans="1:22">
      <c r="A1304" t="s">
        <v>196</v>
      </c>
      <c r="B1304">
        <v>38</v>
      </c>
      <c r="C1304" t="s">
        <v>922</v>
      </c>
      <c r="D1304">
        <v>100</v>
      </c>
      <c r="E1304" t="s">
        <v>197</v>
      </c>
      <c r="F1304">
        <v>1005</v>
      </c>
      <c r="G1304" t="s">
        <v>923</v>
      </c>
      <c r="H1304">
        <v>2126</v>
      </c>
      <c r="I1304" t="s">
        <v>29</v>
      </c>
      <c r="J1304">
        <v>3102</v>
      </c>
      <c r="K1304" t="s">
        <v>953</v>
      </c>
      <c r="L1304">
        <v>4119</v>
      </c>
      <c r="M1304" t="s">
        <v>959</v>
      </c>
      <c r="N1304" t="s">
        <v>721</v>
      </c>
      <c r="O1304">
        <v>13</v>
      </c>
      <c r="P1304">
        <v>4505</v>
      </c>
      <c r="Q1304" t="s">
        <v>979</v>
      </c>
      <c r="R1304" t="s">
        <v>713</v>
      </c>
      <c r="S1304">
        <v>1</v>
      </c>
      <c r="T1304">
        <v>1</v>
      </c>
      <c r="U1304">
        <v>56.02</v>
      </c>
      <c r="V1304">
        <v>116522</v>
      </c>
    </row>
    <row r="1305" spans="1:22">
      <c r="A1305" t="s">
        <v>196</v>
      </c>
      <c r="B1305">
        <v>38</v>
      </c>
      <c r="C1305" t="s">
        <v>922</v>
      </c>
      <c r="D1305">
        <v>100</v>
      </c>
      <c r="E1305" t="s">
        <v>197</v>
      </c>
      <c r="F1305">
        <v>1005</v>
      </c>
      <c r="G1305" t="s">
        <v>923</v>
      </c>
      <c r="H1305">
        <v>2126</v>
      </c>
      <c r="I1305" t="s">
        <v>29</v>
      </c>
      <c r="J1305">
        <v>3102</v>
      </c>
      <c r="K1305" t="s">
        <v>953</v>
      </c>
      <c r="L1305">
        <v>4119</v>
      </c>
      <c r="M1305" t="s">
        <v>959</v>
      </c>
      <c r="N1305" t="s">
        <v>721</v>
      </c>
      <c r="O1305">
        <v>49</v>
      </c>
      <c r="P1305">
        <v>4403</v>
      </c>
      <c r="Q1305" t="s">
        <v>980</v>
      </c>
      <c r="R1305" t="s">
        <v>713</v>
      </c>
      <c r="S1305">
        <v>2</v>
      </c>
      <c r="T1305">
        <v>1</v>
      </c>
      <c r="U1305">
        <v>53.06</v>
      </c>
      <c r="V1305">
        <v>220730</v>
      </c>
    </row>
    <row r="1306" spans="1:22">
      <c r="A1306" t="s">
        <v>196</v>
      </c>
      <c r="B1306">
        <v>38</v>
      </c>
      <c r="C1306" t="s">
        <v>922</v>
      </c>
      <c r="D1306">
        <v>100</v>
      </c>
      <c r="E1306" t="s">
        <v>197</v>
      </c>
      <c r="F1306">
        <v>1005</v>
      </c>
      <c r="G1306" t="s">
        <v>923</v>
      </c>
      <c r="H1306">
        <v>2126</v>
      </c>
      <c r="I1306" t="s">
        <v>29</v>
      </c>
      <c r="J1306">
        <v>3102</v>
      </c>
      <c r="K1306" t="s">
        <v>953</v>
      </c>
      <c r="L1306">
        <v>4119</v>
      </c>
      <c r="M1306" t="s">
        <v>959</v>
      </c>
      <c r="N1306" t="s">
        <v>721</v>
      </c>
      <c r="O1306">
        <v>34</v>
      </c>
      <c r="P1306">
        <v>4335</v>
      </c>
      <c r="Q1306" t="s">
        <v>981</v>
      </c>
      <c r="R1306" t="s">
        <v>713</v>
      </c>
      <c r="S1306">
        <v>2</v>
      </c>
      <c r="T1306">
        <v>1</v>
      </c>
      <c r="U1306">
        <v>53.55</v>
      </c>
      <c r="V1306">
        <v>222768</v>
      </c>
    </row>
    <row r="1307" spans="1:22">
      <c r="A1307" t="s">
        <v>196</v>
      </c>
      <c r="B1307">
        <v>38</v>
      </c>
      <c r="C1307" t="s">
        <v>922</v>
      </c>
      <c r="D1307">
        <v>100</v>
      </c>
      <c r="E1307" t="s">
        <v>197</v>
      </c>
      <c r="F1307">
        <v>1005</v>
      </c>
      <c r="G1307" t="s">
        <v>923</v>
      </c>
      <c r="H1307">
        <v>2126</v>
      </c>
      <c r="I1307" t="s">
        <v>29</v>
      </c>
      <c r="J1307">
        <v>3102</v>
      </c>
      <c r="K1307" t="s">
        <v>953</v>
      </c>
      <c r="L1307">
        <v>4119</v>
      </c>
      <c r="M1307" t="s">
        <v>959</v>
      </c>
      <c r="N1307" t="s">
        <v>721</v>
      </c>
      <c r="O1307">
        <v>50</v>
      </c>
      <c r="P1307">
        <v>4303</v>
      </c>
      <c r="Q1307" t="s">
        <v>982</v>
      </c>
      <c r="R1307" t="s">
        <v>713</v>
      </c>
      <c r="S1307">
        <v>3</v>
      </c>
      <c r="T1307">
        <v>1</v>
      </c>
      <c r="U1307">
        <v>59.21</v>
      </c>
      <c r="V1307">
        <v>369470</v>
      </c>
    </row>
    <row r="1308" spans="1:22">
      <c r="A1308" t="s">
        <v>196</v>
      </c>
      <c r="B1308">
        <v>38</v>
      </c>
      <c r="C1308" t="s">
        <v>922</v>
      </c>
      <c r="D1308">
        <v>100</v>
      </c>
      <c r="E1308" t="s">
        <v>197</v>
      </c>
      <c r="F1308">
        <v>1005</v>
      </c>
      <c r="G1308" t="s">
        <v>923</v>
      </c>
      <c r="H1308">
        <v>2126</v>
      </c>
      <c r="I1308" t="s">
        <v>29</v>
      </c>
      <c r="J1308">
        <v>3102</v>
      </c>
      <c r="K1308" t="s">
        <v>953</v>
      </c>
      <c r="L1308">
        <v>4119</v>
      </c>
      <c r="M1308" t="s">
        <v>959</v>
      </c>
      <c r="N1308" t="s">
        <v>721</v>
      </c>
      <c r="O1308">
        <v>50</v>
      </c>
      <c r="P1308">
        <v>4301</v>
      </c>
      <c r="Q1308" t="s">
        <v>983</v>
      </c>
      <c r="R1308" t="s">
        <v>713</v>
      </c>
      <c r="S1308">
        <v>27</v>
      </c>
      <c r="T1308">
        <v>1</v>
      </c>
      <c r="U1308">
        <v>56.71</v>
      </c>
      <c r="V1308">
        <v>3184834</v>
      </c>
    </row>
    <row r="1309" spans="1:22">
      <c r="A1309" t="s">
        <v>196</v>
      </c>
      <c r="B1309">
        <v>38</v>
      </c>
      <c r="C1309" t="s">
        <v>922</v>
      </c>
      <c r="D1309">
        <v>100</v>
      </c>
      <c r="E1309" t="s">
        <v>197</v>
      </c>
      <c r="F1309">
        <v>1005</v>
      </c>
      <c r="G1309" t="s">
        <v>923</v>
      </c>
      <c r="H1309">
        <v>2126</v>
      </c>
      <c r="I1309" t="s">
        <v>29</v>
      </c>
      <c r="J1309">
        <v>3102</v>
      </c>
      <c r="K1309" t="s">
        <v>953</v>
      </c>
      <c r="L1309">
        <v>4119</v>
      </c>
      <c r="M1309" t="s">
        <v>959</v>
      </c>
      <c r="N1309" t="s">
        <v>721</v>
      </c>
      <c r="O1309">
        <v>35</v>
      </c>
      <c r="P1309">
        <v>4285</v>
      </c>
      <c r="Q1309" t="s">
        <v>984</v>
      </c>
      <c r="R1309" t="s">
        <v>713</v>
      </c>
      <c r="S1309">
        <v>2</v>
      </c>
      <c r="T1309">
        <v>1</v>
      </c>
      <c r="U1309">
        <v>29.8</v>
      </c>
      <c r="V1309">
        <v>123968</v>
      </c>
    </row>
    <row r="1310" spans="1:22">
      <c r="A1310" t="s">
        <v>196</v>
      </c>
      <c r="B1310">
        <v>38</v>
      </c>
      <c r="C1310" t="s">
        <v>922</v>
      </c>
      <c r="D1310">
        <v>100</v>
      </c>
      <c r="E1310" t="s">
        <v>197</v>
      </c>
      <c r="F1310">
        <v>1005</v>
      </c>
      <c r="G1310" t="s">
        <v>923</v>
      </c>
      <c r="H1310">
        <v>2126</v>
      </c>
      <c r="I1310" t="s">
        <v>29</v>
      </c>
      <c r="J1310">
        <v>3102</v>
      </c>
      <c r="K1310" t="s">
        <v>953</v>
      </c>
      <c r="L1310">
        <v>4119</v>
      </c>
      <c r="M1310" t="s">
        <v>959</v>
      </c>
      <c r="N1310" t="s">
        <v>268</v>
      </c>
      <c r="O1310">
        <v>10</v>
      </c>
      <c r="P1310">
        <v>1911</v>
      </c>
      <c r="Q1310" t="s">
        <v>617</v>
      </c>
      <c r="R1310" t="s">
        <v>201</v>
      </c>
      <c r="S1310">
        <v>1</v>
      </c>
      <c r="T1310">
        <v>1</v>
      </c>
      <c r="U1310">
        <v>69684</v>
      </c>
      <c r="V1310">
        <v>69684</v>
      </c>
    </row>
    <row r="1311" spans="1:22">
      <c r="A1311" t="s">
        <v>196</v>
      </c>
      <c r="B1311">
        <v>38</v>
      </c>
      <c r="C1311" t="s">
        <v>922</v>
      </c>
      <c r="D1311">
        <v>100</v>
      </c>
      <c r="E1311" t="s">
        <v>197</v>
      </c>
      <c r="F1311">
        <v>1005</v>
      </c>
      <c r="G1311" t="s">
        <v>923</v>
      </c>
      <c r="H1311">
        <v>2126</v>
      </c>
      <c r="I1311" t="s">
        <v>29</v>
      </c>
      <c r="J1311">
        <v>3102</v>
      </c>
      <c r="K1311" t="s">
        <v>953</v>
      </c>
      <c r="L1311">
        <v>4119</v>
      </c>
      <c r="M1311" t="s">
        <v>959</v>
      </c>
      <c r="N1311" t="s">
        <v>199</v>
      </c>
      <c r="O1311">
        <v>0</v>
      </c>
      <c r="P1311">
        <v>12</v>
      </c>
      <c r="Q1311" t="s">
        <v>724</v>
      </c>
      <c r="R1311" t="s">
        <v>201</v>
      </c>
      <c r="S1311">
        <v>0</v>
      </c>
      <c r="T1311">
        <v>0</v>
      </c>
      <c r="U1311">
        <v>303782</v>
      </c>
      <c r="V1311">
        <v>303782</v>
      </c>
    </row>
    <row r="1312" spans="1:22">
      <c r="A1312" t="s">
        <v>196</v>
      </c>
      <c r="B1312">
        <v>38</v>
      </c>
      <c r="C1312" t="s">
        <v>922</v>
      </c>
      <c r="D1312">
        <v>100</v>
      </c>
      <c r="E1312" t="s">
        <v>197</v>
      </c>
      <c r="F1312">
        <v>1005</v>
      </c>
      <c r="G1312" t="s">
        <v>923</v>
      </c>
      <c r="H1312">
        <v>2126</v>
      </c>
      <c r="I1312" t="s">
        <v>29</v>
      </c>
      <c r="J1312">
        <v>3102</v>
      </c>
      <c r="K1312" t="s">
        <v>953</v>
      </c>
      <c r="L1312">
        <v>4122</v>
      </c>
      <c r="M1312" t="s">
        <v>985</v>
      </c>
      <c r="N1312" t="s">
        <v>721</v>
      </c>
      <c r="O1312">
        <v>8</v>
      </c>
      <c r="P1312">
        <v>7183</v>
      </c>
      <c r="Q1312" t="s">
        <v>986</v>
      </c>
      <c r="R1312" t="s">
        <v>713</v>
      </c>
      <c r="S1312">
        <v>7</v>
      </c>
      <c r="T1312">
        <v>1</v>
      </c>
      <c r="U1312">
        <v>48.73</v>
      </c>
      <c r="V1312">
        <v>709509</v>
      </c>
    </row>
    <row r="1313" spans="1:22">
      <c r="A1313" t="s">
        <v>196</v>
      </c>
      <c r="B1313">
        <v>38</v>
      </c>
      <c r="C1313" t="s">
        <v>922</v>
      </c>
      <c r="D1313">
        <v>100</v>
      </c>
      <c r="E1313" t="s">
        <v>197</v>
      </c>
      <c r="F1313">
        <v>1005</v>
      </c>
      <c r="G1313" t="s">
        <v>923</v>
      </c>
      <c r="H1313">
        <v>2126</v>
      </c>
      <c r="I1313" t="s">
        <v>29</v>
      </c>
      <c r="J1313">
        <v>3102</v>
      </c>
      <c r="K1313" t="s">
        <v>953</v>
      </c>
      <c r="L1313">
        <v>4122</v>
      </c>
      <c r="M1313" t="s">
        <v>985</v>
      </c>
      <c r="N1313" t="s">
        <v>809</v>
      </c>
      <c r="O1313">
        <v>3</v>
      </c>
      <c r="P1313">
        <v>3006</v>
      </c>
      <c r="Q1313" t="s">
        <v>987</v>
      </c>
      <c r="R1313" t="s">
        <v>201</v>
      </c>
      <c r="S1313">
        <v>3</v>
      </c>
      <c r="T1313">
        <v>1</v>
      </c>
      <c r="U1313">
        <v>82140</v>
      </c>
      <c r="V1313">
        <v>246420</v>
      </c>
    </row>
    <row r="1314" spans="1:22">
      <c r="A1314" t="s">
        <v>196</v>
      </c>
      <c r="B1314">
        <v>38</v>
      </c>
      <c r="C1314" t="s">
        <v>922</v>
      </c>
      <c r="D1314">
        <v>100</v>
      </c>
      <c r="E1314" t="s">
        <v>197</v>
      </c>
      <c r="F1314">
        <v>1005</v>
      </c>
      <c r="G1314" t="s">
        <v>923</v>
      </c>
      <c r="H1314">
        <v>2126</v>
      </c>
      <c r="I1314" t="s">
        <v>29</v>
      </c>
      <c r="J1314">
        <v>3102</v>
      </c>
      <c r="K1314" t="s">
        <v>953</v>
      </c>
      <c r="L1314">
        <v>4122</v>
      </c>
      <c r="M1314" t="s">
        <v>985</v>
      </c>
      <c r="N1314" t="s">
        <v>809</v>
      </c>
      <c r="O1314">
        <v>3</v>
      </c>
      <c r="P1314">
        <v>3006</v>
      </c>
      <c r="Q1314" t="s">
        <v>987</v>
      </c>
      <c r="R1314" t="s">
        <v>201</v>
      </c>
      <c r="S1314">
        <v>2</v>
      </c>
      <c r="T1314">
        <v>1</v>
      </c>
      <c r="U1314">
        <v>71436</v>
      </c>
      <c r="V1314">
        <v>142872</v>
      </c>
    </row>
    <row r="1315" spans="1:22">
      <c r="A1315" t="s">
        <v>196</v>
      </c>
      <c r="B1315">
        <v>38</v>
      </c>
      <c r="C1315" t="s">
        <v>922</v>
      </c>
      <c r="D1315">
        <v>100</v>
      </c>
      <c r="E1315" t="s">
        <v>197</v>
      </c>
      <c r="F1315">
        <v>1005</v>
      </c>
      <c r="G1315" t="s">
        <v>923</v>
      </c>
      <c r="H1315">
        <v>2126</v>
      </c>
      <c r="I1315" t="s">
        <v>29</v>
      </c>
      <c r="J1315">
        <v>3102</v>
      </c>
      <c r="K1315" t="s">
        <v>953</v>
      </c>
      <c r="L1315">
        <v>4122</v>
      </c>
      <c r="M1315" t="s">
        <v>985</v>
      </c>
      <c r="N1315" t="s">
        <v>809</v>
      </c>
      <c r="O1315">
        <v>3</v>
      </c>
      <c r="P1315">
        <v>3006</v>
      </c>
      <c r="Q1315" t="s">
        <v>987</v>
      </c>
      <c r="R1315" t="s">
        <v>201</v>
      </c>
      <c r="S1315">
        <v>2</v>
      </c>
      <c r="T1315">
        <v>1</v>
      </c>
      <c r="U1315">
        <v>65112</v>
      </c>
      <c r="V1315">
        <v>130224</v>
      </c>
    </row>
    <row r="1316" spans="1:22">
      <c r="A1316" t="s">
        <v>196</v>
      </c>
      <c r="B1316">
        <v>38</v>
      </c>
      <c r="C1316" t="s">
        <v>922</v>
      </c>
      <c r="D1316">
        <v>100</v>
      </c>
      <c r="E1316" t="s">
        <v>197</v>
      </c>
      <c r="F1316">
        <v>1005</v>
      </c>
      <c r="G1316" t="s">
        <v>923</v>
      </c>
      <c r="H1316">
        <v>2126</v>
      </c>
      <c r="I1316" t="s">
        <v>29</v>
      </c>
      <c r="J1316">
        <v>3102</v>
      </c>
      <c r="K1316" t="s">
        <v>953</v>
      </c>
      <c r="L1316">
        <v>4122</v>
      </c>
      <c r="M1316" t="s">
        <v>985</v>
      </c>
      <c r="N1316" t="s">
        <v>809</v>
      </c>
      <c r="O1316">
        <v>3</v>
      </c>
      <c r="P1316">
        <v>3006</v>
      </c>
      <c r="Q1316" t="s">
        <v>987</v>
      </c>
      <c r="R1316" t="s">
        <v>201</v>
      </c>
      <c r="S1316">
        <v>1</v>
      </c>
      <c r="T1316">
        <v>1</v>
      </c>
      <c r="U1316">
        <v>62136</v>
      </c>
      <c r="V1316">
        <v>62136</v>
      </c>
    </row>
    <row r="1317" spans="1:22">
      <c r="A1317" t="s">
        <v>196</v>
      </c>
      <c r="B1317">
        <v>38</v>
      </c>
      <c r="C1317" t="s">
        <v>922</v>
      </c>
      <c r="D1317">
        <v>100</v>
      </c>
      <c r="E1317" t="s">
        <v>197</v>
      </c>
      <c r="F1317">
        <v>1005</v>
      </c>
      <c r="G1317" t="s">
        <v>923</v>
      </c>
      <c r="H1317">
        <v>2126</v>
      </c>
      <c r="I1317" t="s">
        <v>29</v>
      </c>
      <c r="J1317">
        <v>3102</v>
      </c>
      <c r="K1317" t="s">
        <v>953</v>
      </c>
      <c r="L1317">
        <v>4122</v>
      </c>
      <c r="M1317" t="s">
        <v>985</v>
      </c>
      <c r="N1317" t="s">
        <v>809</v>
      </c>
      <c r="O1317">
        <v>3</v>
      </c>
      <c r="P1317">
        <v>3006</v>
      </c>
      <c r="Q1317" t="s">
        <v>987</v>
      </c>
      <c r="R1317" t="s">
        <v>201</v>
      </c>
      <c r="S1317">
        <v>1</v>
      </c>
      <c r="T1317">
        <v>1</v>
      </c>
      <c r="U1317">
        <v>51108</v>
      </c>
      <c r="V1317">
        <v>51108</v>
      </c>
    </row>
    <row r="1318" spans="1:22">
      <c r="A1318" t="s">
        <v>196</v>
      </c>
      <c r="B1318">
        <v>38</v>
      </c>
      <c r="C1318" t="s">
        <v>922</v>
      </c>
      <c r="D1318">
        <v>100</v>
      </c>
      <c r="E1318" t="s">
        <v>197</v>
      </c>
      <c r="F1318">
        <v>1005</v>
      </c>
      <c r="G1318" t="s">
        <v>923</v>
      </c>
      <c r="H1318">
        <v>2126</v>
      </c>
      <c r="I1318" t="s">
        <v>29</v>
      </c>
      <c r="J1318">
        <v>3102</v>
      </c>
      <c r="K1318" t="s">
        <v>953</v>
      </c>
      <c r="L1318">
        <v>4122</v>
      </c>
      <c r="M1318" t="s">
        <v>985</v>
      </c>
      <c r="N1318" t="s">
        <v>622</v>
      </c>
      <c r="O1318">
        <v>1</v>
      </c>
      <c r="P1318">
        <v>1817</v>
      </c>
      <c r="Q1318" t="s">
        <v>988</v>
      </c>
      <c r="R1318" t="s">
        <v>201</v>
      </c>
      <c r="S1318">
        <v>1</v>
      </c>
      <c r="T1318">
        <v>1</v>
      </c>
      <c r="U1318">
        <v>51936</v>
      </c>
      <c r="V1318">
        <v>51936</v>
      </c>
    </row>
    <row r="1319" spans="1:22">
      <c r="A1319" t="s">
        <v>196</v>
      </c>
      <c r="B1319">
        <v>38</v>
      </c>
      <c r="C1319" t="s">
        <v>922</v>
      </c>
      <c r="D1319">
        <v>100</v>
      </c>
      <c r="E1319" t="s">
        <v>197</v>
      </c>
      <c r="F1319">
        <v>1005</v>
      </c>
      <c r="G1319" t="s">
        <v>923</v>
      </c>
      <c r="H1319">
        <v>2126</v>
      </c>
      <c r="I1319" t="s">
        <v>29</v>
      </c>
      <c r="J1319">
        <v>3102</v>
      </c>
      <c r="K1319" t="s">
        <v>953</v>
      </c>
      <c r="L1319">
        <v>4122</v>
      </c>
      <c r="M1319" t="s">
        <v>985</v>
      </c>
      <c r="N1319" t="s">
        <v>989</v>
      </c>
      <c r="O1319">
        <v>1</v>
      </c>
      <c r="P1319">
        <v>1811</v>
      </c>
      <c r="Q1319" t="s">
        <v>990</v>
      </c>
      <c r="R1319" t="s">
        <v>201</v>
      </c>
      <c r="S1319">
        <v>1</v>
      </c>
      <c r="T1319">
        <v>1</v>
      </c>
      <c r="U1319">
        <v>41196</v>
      </c>
      <c r="V1319">
        <v>41196</v>
      </c>
    </row>
    <row r="1320" spans="1:22">
      <c r="A1320" t="s">
        <v>196</v>
      </c>
      <c r="B1320">
        <v>38</v>
      </c>
      <c r="C1320" t="s">
        <v>922</v>
      </c>
      <c r="D1320">
        <v>100</v>
      </c>
      <c r="E1320" t="s">
        <v>197</v>
      </c>
      <c r="F1320">
        <v>1005</v>
      </c>
      <c r="G1320" t="s">
        <v>923</v>
      </c>
      <c r="H1320">
        <v>2126</v>
      </c>
      <c r="I1320" t="s">
        <v>29</v>
      </c>
      <c r="J1320">
        <v>3102</v>
      </c>
      <c r="K1320" t="s">
        <v>953</v>
      </c>
      <c r="L1320">
        <v>4122</v>
      </c>
      <c r="M1320" t="s">
        <v>985</v>
      </c>
      <c r="N1320" t="s">
        <v>274</v>
      </c>
      <c r="O1320">
        <v>0</v>
      </c>
      <c r="P1320">
        <v>1810</v>
      </c>
      <c r="Q1320" t="s">
        <v>991</v>
      </c>
      <c r="R1320" t="s">
        <v>201</v>
      </c>
      <c r="S1320">
        <v>1</v>
      </c>
      <c r="T1320">
        <v>1</v>
      </c>
      <c r="U1320">
        <v>146808</v>
      </c>
      <c r="V1320">
        <v>146808</v>
      </c>
    </row>
    <row r="1321" spans="1:22">
      <c r="A1321" t="s">
        <v>196</v>
      </c>
      <c r="B1321">
        <v>38</v>
      </c>
      <c r="C1321" t="s">
        <v>922</v>
      </c>
      <c r="D1321">
        <v>100</v>
      </c>
      <c r="E1321" t="s">
        <v>197</v>
      </c>
      <c r="F1321">
        <v>1005</v>
      </c>
      <c r="G1321" t="s">
        <v>923</v>
      </c>
      <c r="H1321">
        <v>2126</v>
      </c>
      <c r="I1321" t="s">
        <v>29</v>
      </c>
      <c r="J1321">
        <v>3102</v>
      </c>
      <c r="K1321" t="s">
        <v>953</v>
      </c>
      <c r="L1321">
        <v>4122</v>
      </c>
      <c r="M1321" t="s">
        <v>985</v>
      </c>
      <c r="N1321" t="s">
        <v>259</v>
      </c>
      <c r="O1321">
        <v>20</v>
      </c>
      <c r="P1321">
        <v>437</v>
      </c>
      <c r="Q1321" t="s">
        <v>992</v>
      </c>
      <c r="R1321" t="s">
        <v>201</v>
      </c>
      <c r="S1321">
        <v>1</v>
      </c>
      <c r="T1321">
        <v>1</v>
      </c>
      <c r="U1321">
        <v>85980</v>
      </c>
      <c r="V1321">
        <v>85980</v>
      </c>
    </row>
    <row r="1322" spans="1:22">
      <c r="A1322" t="s">
        <v>196</v>
      </c>
      <c r="B1322">
        <v>38</v>
      </c>
      <c r="C1322" t="s">
        <v>922</v>
      </c>
      <c r="D1322">
        <v>100</v>
      </c>
      <c r="E1322" t="s">
        <v>197</v>
      </c>
      <c r="F1322">
        <v>1005</v>
      </c>
      <c r="G1322" t="s">
        <v>923</v>
      </c>
      <c r="H1322">
        <v>2126</v>
      </c>
      <c r="I1322" t="s">
        <v>29</v>
      </c>
      <c r="J1322">
        <v>3102</v>
      </c>
      <c r="K1322" t="s">
        <v>953</v>
      </c>
      <c r="L1322">
        <v>4122</v>
      </c>
      <c r="M1322" t="s">
        <v>985</v>
      </c>
      <c r="N1322" t="s">
        <v>199</v>
      </c>
      <c r="O1322">
        <v>0</v>
      </c>
      <c r="P1322">
        <v>15</v>
      </c>
      <c r="Q1322" t="s">
        <v>264</v>
      </c>
      <c r="R1322" t="s">
        <v>201</v>
      </c>
      <c r="S1322">
        <v>0</v>
      </c>
      <c r="T1322">
        <v>0</v>
      </c>
      <c r="U1322">
        <v>7861</v>
      </c>
      <c r="V1322">
        <v>7861</v>
      </c>
    </row>
    <row r="1323" spans="1:22">
      <c r="A1323" t="s">
        <v>196</v>
      </c>
      <c r="B1323">
        <v>38</v>
      </c>
      <c r="C1323" t="s">
        <v>922</v>
      </c>
      <c r="D1323">
        <v>100</v>
      </c>
      <c r="E1323" t="s">
        <v>197</v>
      </c>
      <c r="F1323">
        <v>1005</v>
      </c>
      <c r="G1323" t="s">
        <v>923</v>
      </c>
      <c r="H1323">
        <v>2126</v>
      </c>
      <c r="I1323" t="s">
        <v>29</v>
      </c>
      <c r="J1323">
        <v>3102</v>
      </c>
      <c r="K1323" t="s">
        <v>953</v>
      </c>
      <c r="L1323">
        <v>4122</v>
      </c>
      <c r="M1323" t="s">
        <v>985</v>
      </c>
      <c r="N1323" t="s">
        <v>199</v>
      </c>
      <c r="O1323">
        <v>0</v>
      </c>
      <c r="P1323">
        <v>12</v>
      </c>
      <c r="Q1323" t="s">
        <v>724</v>
      </c>
      <c r="R1323" t="s">
        <v>201</v>
      </c>
      <c r="S1323">
        <v>0</v>
      </c>
      <c r="T1323">
        <v>0</v>
      </c>
      <c r="U1323">
        <v>10643</v>
      </c>
      <c r="V1323">
        <v>10643</v>
      </c>
    </row>
    <row r="1324" spans="1:22">
      <c r="A1324" t="s">
        <v>196</v>
      </c>
      <c r="B1324">
        <v>38</v>
      </c>
      <c r="C1324" t="s">
        <v>922</v>
      </c>
      <c r="D1324">
        <v>100</v>
      </c>
      <c r="E1324" t="s">
        <v>197</v>
      </c>
      <c r="F1324">
        <v>1005</v>
      </c>
      <c r="G1324" t="s">
        <v>923</v>
      </c>
      <c r="H1324">
        <v>2131</v>
      </c>
      <c r="I1324" t="s">
        <v>84</v>
      </c>
      <c r="J1324">
        <v>3106</v>
      </c>
      <c r="K1324" t="s">
        <v>993</v>
      </c>
      <c r="L1324">
        <v>4112</v>
      </c>
      <c r="M1324" t="s">
        <v>994</v>
      </c>
      <c r="N1324" t="s">
        <v>351</v>
      </c>
      <c r="O1324">
        <v>4</v>
      </c>
      <c r="P1324">
        <v>6425</v>
      </c>
      <c r="Q1324" t="s">
        <v>995</v>
      </c>
      <c r="R1324" t="s">
        <v>201</v>
      </c>
      <c r="S1324">
        <v>1</v>
      </c>
      <c r="T1324">
        <v>1</v>
      </c>
      <c r="U1324">
        <v>70752</v>
      </c>
      <c r="V1324">
        <v>70752</v>
      </c>
    </row>
    <row r="1325" spans="1:22">
      <c r="A1325" t="s">
        <v>196</v>
      </c>
      <c r="B1325">
        <v>38</v>
      </c>
      <c r="C1325" t="s">
        <v>922</v>
      </c>
      <c r="D1325">
        <v>100</v>
      </c>
      <c r="E1325" t="s">
        <v>197</v>
      </c>
      <c r="F1325">
        <v>1005</v>
      </c>
      <c r="G1325" t="s">
        <v>923</v>
      </c>
      <c r="H1325">
        <v>2131</v>
      </c>
      <c r="I1325" t="s">
        <v>84</v>
      </c>
      <c r="J1325">
        <v>3106</v>
      </c>
      <c r="K1325" t="s">
        <v>993</v>
      </c>
      <c r="L1325">
        <v>4112</v>
      </c>
      <c r="M1325" t="s">
        <v>994</v>
      </c>
      <c r="N1325" t="s">
        <v>294</v>
      </c>
      <c r="O1325">
        <v>10</v>
      </c>
      <c r="P1325">
        <v>6424</v>
      </c>
      <c r="Q1325" t="s">
        <v>996</v>
      </c>
      <c r="R1325" t="s">
        <v>201</v>
      </c>
      <c r="S1325">
        <v>1</v>
      </c>
      <c r="T1325">
        <v>1</v>
      </c>
      <c r="U1325">
        <v>90000</v>
      </c>
      <c r="V1325">
        <v>90000</v>
      </c>
    </row>
    <row r="1326" spans="1:22">
      <c r="A1326" t="s">
        <v>196</v>
      </c>
      <c r="B1326">
        <v>38</v>
      </c>
      <c r="C1326" t="s">
        <v>922</v>
      </c>
      <c r="D1326">
        <v>100</v>
      </c>
      <c r="E1326" t="s">
        <v>197</v>
      </c>
      <c r="F1326">
        <v>1005</v>
      </c>
      <c r="G1326" t="s">
        <v>923</v>
      </c>
      <c r="H1326">
        <v>2131</v>
      </c>
      <c r="I1326" t="s">
        <v>84</v>
      </c>
      <c r="J1326">
        <v>3106</v>
      </c>
      <c r="K1326" t="s">
        <v>993</v>
      </c>
      <c r="L1326">
        <v>4112</v>
      </c>
      <c r="M1326" t="s">
        <v>994</v>
      </c>
      <c r="N1326" t="s">
        <v>251</v>
      </c>
      <c r="O1326">
        <v>10</v>
      </c>
      <c r="P1326">
        <v>6421</v>
      </c>
      <c r="Q1326" t="s">
        <v>997</v>
      </c>
      <c r="R1326" t="s">
        <v>201</v>
      </c>
      <c r="S1326">
        <v>1</v>
      </c>
      <c r="T1326">
        <v>1</v>
      </c>
      <c r="U1326">
        <v>118956</v>
      </c>
      <c r="V1326">
        <v>118956</v>
      </c>
    </row>
    <row r="1327" spans="1:22">
      <c r="A1327" t="s">
        <v>196</v>
      </c>
      <c r="B1327">
        <v>38</v>
      </c>
      <c r="C1327" t="s">
        <v>922</v>
      </c>
      <c r="D1327">
        <v>100</v>
      </c>
      <c r="E1327" t="s">
        <v>197</v>
      </c>
      <c r="F1327">
        <v>1005</v>
      </c>
      <c r="G1327" t="s">
        <v>923</v>
      </c>
      <c r="H1327">
        <v>2131</v>
      </c>
      <c r="I1327" t="s">
        <v>84</v>
      </c>
      <c r="J1327">
        <v>3106</v>
      </c>
      <c r="K1327" t="s">
        <v>993</v>
      </c>
      <c r="L1327">
        <v>4112</v>
      </c>
      <c r="M1327" t="s">
        <v>994</v>
      </c>
      <c r="N1327" t="s">
        <v>268</v>
      </c>
      <c r="O1327">
        <v>10</v>
      </c>
      <c r="P1327">
        <v>919</v>
      </c>
      <c r="Q1327" t="s">
        <v>998</v>
      </c>
      <c r="R1327" t="s">
        <v>201</v>
      </c>
      <c r="S1327">
        <v>1</v>
      </c>
      <c r="T1327">
        <v>1</v>
      </c>
      <c r="U1327">
        <v>108432</v>
      </c>
      <c r="V1327">
        <v>108432</v>
      </c>
    </row>
    <row r="1328" spans="1:22">
      <c r="A1328" t="s">
        <v>196</v>
      </c>
      <c r="B1328">
        <v>38</v>
      </c>
      <c r="C1328" t="s">
        <v>922</v>
      </c>
      <c r="D1328">
        <v>100</v>
      </c>
      <c r="E1328" t="s">
        <v>197</v>
      </c>
      <c r="F1328">
        <v>1005</v>
      </c>
      <c r="G1328" t="s">
        <v>923</v>
      </c>
      <c r="H1328">
        <v>2131</v>
      </c>
      <c r="I1328" t="s">
        <v>84</v>
      </c>
      <c r="J1328">
        <v>3106</v>
      </c>
      <c r="K1328" t="s">
        <v>993</v>
      </c>
      <c r="L1328">
        <v>4112</v>
      </c>
      <c r="M1328" t="s">
        <v>994</v>
      </c>
      <c r="N1328" t="s">
        <v>199</v>
      </c>
      <c r="O1328">
        <v>0</v>
      </c>
      <c r="P1328">
        <v>15</v>
      </c>
      <c r="Q1328" t="s">
        <v>264</v>
      </c>
      <c r="R1328" t="s">
        <v>201</v>
      </c>
      <c r="S1328">
        <v>0</v>
      </c>
      <c r="T1328">
        <v>0</v>
      </c>
      <c r="U1328">
        <v>4340</v>
      </c>
      <c r="V1328">
        <v>4340</v>
      </c>
    </row>
    <row r="1329" spans="1:22">
      <c r="A1329" t="s">
        <v>196</v>
      </c>
      <c r="B1329">
        <v>38</v>
      </c>
      <c r="C1329" t="s">
        <v>922</v>
      </c>
      <c r="D1329">
        <v>100</v>
      </c>
      <c r="E1329" t="s">
        <v>197</v>
      </c>
      <c r="F1329">
        <v>1005</v>
      </c>
      <c r="G1329" t="s">
        <v>923</v>
      </c>
      <c r="H1329">
        <v>2131</v>
      </c>
      <c r="I1329" t="s">
        <v>84</v>
      </c>
      <c r="J1329">
        <v>3106</v>
      </c>
      <c r="K1329" t="s">
        <v>993</v>
      </c>
      <c r="L1329">
        <v>4113</v>
      </c>
      <c r="M1329" t="s">
        <v>999</v>
      </c>
      <c r="N1329" t="s">
        <v>341</v>
      </c>
      <c r="O1329">
        <v>1</v>
      </c>
      <c r="P1329">
        <v>6765</v>
      </c>
      <c r="Q1329" t="s">
        <v>1000</v>
      </c>
      <c r="R1329" t="s">
        <v>201</v>
      </c>
      <c r="S1329">
        <v>1</v>
      </c>
      <c r="T1329">
        <v>1</v>
      </c>
      <c r="U1329">
        <v>119100</v>
      </c>
      <c r="V1329">
        <v>119100</v>
      </c>
    </row>
    <row r="1330" spans="1:22">
      <c r="A1330" t="s">
        <v>196</v>
      </c>
      <c r="B1330">
        <v>38</v>
      </c>
      <c r="C1330" t="s">
        <v>922</v>
      </c>
      <c r="D1330">
        <v>100</v>
      </c>
      <c r="E1330" t="s">
        <v>197</v>
      </c>
      <c r="F1330">
        <v>1005</v>
      </c>
      <c r="G1330" t="s">
        <v>923</v>
      </c>
      <c r="H1330">
        <v>2131</v>
      </c>
      <c r="I1330" t="s">
        <v>84</v>
      </c>
      <c r="J1330">
        <v>3106</v>
      </c>
      <c r="K1330" t="s">
        <v>993</v>
      </c>
      <c r="L1330">
        <v>4113</v>
      </c>
      <c r="M1330" t="s">
        <v>999</v>
      </c>
      <c r="N1330" t="s">
        <v>360</v>
      </c>
      <c r="O1330">
        <v>1</v>
      </c>
      <c r="P1330">
        <v>6423</v>
      </c>
      <c r="Q1330" t="s">
        <v>1001</v>
      </c>
      <c r="R1330" t="s">
        <v>201</v>
      </c>
      <c r="S1330">
        <v>1</v>
      </c>
      <c r="T1330">
        <v>1</v>
      </c>
      <c r="U1330">
        <v>64488</v>
      </c>
      <c r="V1330">
        <v>64488</v>
      </c>
    </row>
    <row r="1331" spans="1:22">
      <c r="A1331" t="s">
        <v>196</v>
      </c>
      <c r="B1331">
        <v>38</v>
      </c>
      <c r="C1331" t="s">
        <v>922</v>
      </c>
      <c r="D1331">
        <v>100</v>
      </c>
      <c r="E1331" t="s">
        <v>197</v>
      </c>
      <c r="F1331">
        <v>1005</v>
      </c>
      <c r="G1331" t="s">
        <v>923</v>
      </c>
      <c r="H1331">
        <v>2131</v>
      </c>
      <c r="I1331" t="s">
        <v>84</v>
      </c>
      <c r="J1331">
        <v>3106</v>
      </c>
      <c r="K1331" t="s">
        <v>993</v>
      </c>
      <c r="L1331">
        <v>4113</v>
      </c>
      <c r="M1331" t="s">
        <v>999</v>
      </c>
      <c r="N1331" t="s">
        <v>372</v>
      </c>
      <c r="O1331">
        <v>1</v>
      </c>
      <c r="P1331">
        <v>6418</v>
      </c>
      <c r="Q1331" t="s">
        <v>1002</v>
      </c>
      <c r="R1331" t="s">
        <v>201</v>
      </c>
      <c r="S1331">
        <v>1</v>
      </c>
      <c r="T1331">
        <v>1</v>
      </c>
      <c r="U1331">
        <v>119100</v>
      </c>
      <c r="V1331">
        <v>119100</v>
      </c>
    </row>
    <row r="1332" spans="1:22">
      <c r="A1332" t="s">
        <v>196</v>
      </c>
      <c r="B1332">
        <v>38</v>
      </c>
      <c r="C1332" t="s">
        <v>922</v>
      </c>
      <c r="D1332">
        <v>100</v>
      </c>
      <c r="E1332" t="s">
        <v>197</v>
      </c>
      <c r="F1332">
        <v>1005</v>
      </c>
      <c r="G1332" t="s">
        <v>923</v>
      </c>
      <c r="H1332">
        <v>2131</v>
      </c>
      <c r="I1332" t="s">
        <v>84</v>
      </c>
      <c r="J1332">
        <v>3106</v>
      </c>
      <c r="K1332" t="s">
        <v>993</v>
      </c>
      <c r="L1332">
        <v>4113</v>
      </c>
      <c r="M1332" t="s">
        <v>999</v>
      </c>
      <c r="N1332" t="s">
        <v>372</v>
      </c>
      <c r="O1332">
        <v>1</v>
      </c>
      <c r="P1332">
        <v>6418</v>
      </c>
      <c r="Q1332" t="s">
        <v>1002</v>
      </c>
      <c r="R1332" t="s">
        <v>201</v>
      </c>
      <c r="S1332">
        <v>1</v>
      </c>
      <c r="T1332">
        <v>1</v>
      </c>
      <c r="U1332">
        <v>113628</v>
      </c>
      <c r="V1332">
        <v>113628</v>
      </c>
    </row>
    <row r="1333" spans="1:22">
      <c r="A1333" t="s">
        <v>196</v>
      </c>
      <c r="B1333">
        <v>38</v>
      </c>
      <c r="C1333" t="s">
        <v>922</v>
      </c>
      <c r="D1333">
        <v>100</v>
      </c>
      <c r="E1333" t="s">
        <v>197</v>
      </c>
      <c r="F1333">
        <v>1005</v>
      </c>
      <c r="G1333" t="s">
        <v>923</v>
      </c>
      <c r="H1333">
        <v>2131</v>
      </c>
      <c r="I1333" t="s">
        <v>84</v>
      </c>
      <c r="J1333">
        <v>3106</v>
      </c>
      <c r="K1333" t="s">
        <v>993</v>
      </c>
      <c r="L1333">
        <v>4113</v>
      </c>
      <c r="M1333" t="s">
        <v>999</v>
      </c>
      <c r="N1333" t="s">
        <v>372</v>
      </c>
      <c r="O1333">
        <v>1</v>
      </c>
      <c r="P1333">
        <v>6418</v>
      </c>
      <c r="Q1333" t="s">
        <v>1002</v>
      </c>
      <c r="R1333" t="s">
        <v>201</v>
      </c>
      <c r="S1333">
        <v>1</v>
      </c>
      <c r="T1333">
        <v>1</v>
      </c>
      <c r="U1333">
        <v>81324</v>
      </c>
      <c r="V1333">
        <v>81324</v>
      </c>
    </row>
    <row r="1334" spans="1:22">
      <c r="A1334" t="s">
        <v>196</v>
      </c>
      <c r="B1334">
        <v>38</v>
      </c>
      <c r="C1334" t="s">
        <v>922</v>
      </c>
      <c r="D1334">
        <v>100</v>
      </c>
      <c r="E1334" t="s">
        <v>197</v>
      </c>
      <c r="F1334">
        <v>1005</v>
      </c>
      <c r="G1334" t="s">
        <v>923</v>
      </c>
      <c r="H1334">
        <v>2131</v>
      </c>
      <c r="I1334" t="s">
        <v>84</v>
      </c>
      <c r="J1334">
        <v>3106</v>
      </c>
      <c r="K1334" t="s">
        <v>993</v>
      </c>
      <c r="L1334">
        <v>4113</v>
      </c>
      <c r="M1334" t="s">
        <v>999</v>
      </c>
      <c r="N1334" t="s">
        <v>1003</v>
      </c>
      <c r="O1334">
        <v>10</v>
      </c>
      <c r="P1334">
        <v>6417</v>
      </c>
      <c r="Q1334" t="s">
        <v>1004</v>
      </c>
      <c r="R1334" t="s">
        <v>201</v>
      </c>
      <c r="S1334">
        <v>1</v>
      </c>
      <c r="T1334">
        <v>1</v>
      </c>
      <c r="U1334">
        <v>48060</v>
      </c>
      <c r="V1334">
        <v>48060</v>
      </c>
    </row>
    <row r="1335" spans="1:22">
      <c r="A1335" t="s">
        <v>196</v>
      </c>
      <c r="B1335">
        <v>38</v>
      </c>
      <c r="C1335" t="s">
        <v>922</v>
      </c>
      <c r="D1335">
        <v>100</v>
      </c>
      <c r="E1335" t="s">
        <v>197</v>
      </c>
      <c r="F1335">
        <v>1005</v>
      </c>
      <c r="G1335" t="s">
        <v>923</v>
      </c>
      <c r="H1335">
        <v>2131</v>
      </c>
      <c r="I1335" t="s">
        <v>84</v>
      </c>
      <c r="J1335">
        <v>3106</v>
      </c>
      <c r="K1335" t="s">
        <v>993</v>
      </c>
      <c r="L1335">
        <v>4113</v>
      </c>
      <c r="M1335" t="s">
        <v>999</v>
      </c>
      <c r="N1335" t="s">
        <v>274</v>
      </c>
      <c r="O1335">
        <v>0</v>
      </c>
      <c r="P1335">
        <v>6414</v>
      </c>
      <c r="Q1335" t="s">
        <v>1005</v>
      </c>
      <c r="R1335" t="s">
        <v>201</v>
      </c>
      <c r="S1335">
        <v>1</v>
      </c>
      <c r="T1335">
        <v>1</v>
      </c>
      <c r="U1335">
        <v>153384</v>
      </c>
      <c r="V1335">
        <v>153384</v>
      </c>
    </row>
    <row r="1336" spans="1:22">
      <c r="A1336" t="s">
        <v>196</v>
      </c>
      <c r="B1336">
        <v>38</v>
      </c>
      <c r="C1336" t="s">
        <v>922</v>
      </c>
      <c r="D1336">
        <v>100</v>
      </c>
      <c r="E1336" t="s">
        <v>197</v>
      </c>
      <c r="F1336">
        <v>1005</v>
      </c>
      <c r="G1336" t="s">
        <v>923</v>
      </c>
      <c r="H1336">
        <v>2131</v>
      </c>
      <c r="I1336" t="s">
        <v>84</v>
      </c>
      <c r="J1336">
        <v>3106</v>
      </c>
      <c r="K1336" t="s">
        <v>993</v>
      </c>
      <c r="L1336">
        <v>4113</v>
      </c>
      <c r="M1336" t="s">
        <v>999</v>
      </c>
      <c r="N1336" t="s">
        <v>351</v>
      </c>
      <c r="O1336">
        <v>1</v>
      </c>
      <c r="P1336">
        <v>6410</v>
      </c>
      <c r="Q1336" t="s">
        <v>627</v>
      </c>
      <c r="R1336" t="s">
        <v>201</v>
      </c>
      <c r="S1336">
        <v>1</v>
      </c>
      <c r="T1336">
        <v>1</v>
      </c>
      <c r="U1336">
        <v>94452</v>
      </c>
      <c r="V1336">
        <v>94452</v>
      </c>
    </row>
    <row r="1337" spans="1:22">
      <c r="A1337" t="s">
        <v>196</v>
      </c>
      <c r="B1337">
        <v>38</v>
      </c>
      <c r="C1337" t="s">
        <v>922</v>
      </c>
      <c r="D1337">
        <v>100</v>
      </c>
      <c r="E1337" t="s">
        <v>197</v>
      </c>
      <c r="F1337">
        <v>1005</v>
      </c>
      <c r="G1337" t="s">
        <v>923</v>
      </c>
      <c r="H1337">
        <v>2131</v>
      </c>
      <c r="I1337" t="s">
        <v>84</v>
      </c>
      <c r="J1337">
        <v>3106</v>
      </c>
      <c r="K1337" t="s">
        <v>993</v>
      </c>
      <c r="L1337">
        <v>4113</v>
      </c>
      <c r="M1337" t="s">
        <v>999</v>
      </c>
      <c r="N1337" t="s">
        <v>622</v>
      </c>
      <c r="O1337">
        <v>1</v>
      </c>
      <c r="P1337">
        <v>6406</v>
      </c>
      <c r="Q1337" t="s">
        <v>1006</v>
      </c>
      <c r="R1337" t="s">
        <v>201</v>
      </c>
      <c r="S1337">
        <v>1</v>
      </c>
      <c r="T1337">
        <v>1</v>
      </c>
      <c r="U1337">
        <v>90144</v>
      </c>
      <c r="V1337">
        <v>90144</v>
      </c>
    </row>
    <row r="1338" spans="1:22">
      <c r="A1338" t="s">
        <v>196</v>
      </c>
      <c r="B1338">
        <v>38</v>
      </c>
      <c r="C1338" t="s">
        <v>922</v>
      </c>
      <c r="D1338">
        <v>100</v>
      </c>
      <c r="E1338" t="s">
        <v>197</v>
      </c>
      <c r="F1338">
        <v>1005</v>
      </c>
      <c r="G1338" t="s">
        <v>923</v>
      </c>
      <c r="H1338">
        <v>2131</v>
      </c>
      <c r="I1338" t="s">
        <v>84</v>
      </c>
      <c r="J1338">
        <v>3106</v>
      </c>
      <c r="K1338" t="s">
        <v>993</v>
      </c>
      <c r="L1338">
        <v>4113</v>
      </c>
      <c r="M1338" t="s">
        <v>999</v>
      </c>
      <c r="N1338" t="s">
        <v>622</v>
      </c>
      <c r="O1338">
        <v>1</v>
      </c>
      <c r="P1338">
        <v>6406</v>
      </c>
      <c r="Q1338" t="s">
        <v>1006</v>
      </c>
      <c r="R1338" t="s">
        <v>201</v>
      </c>
      <c r="S1338">
        <v>1</v>
      </c>
      <c r="T1338">
        <v>1</v>
      </c>
      <c r="U1338">
        <v>78432</v>
      </c>
      <c r="V1338">
        <v>78432</v>
      </c>
    </row>
    <row r="1339" spans="1:22">
      <c r="A1339" t="s">
        <v>196</v>
      </c>
      <c r="B1339">
        <v>38</v>
      </c>
      <c r="C1339" t="s">
        <v>922</v>
      </c>
      <c r="D1339">
        <v>100</v>
      </c>
      <c r="E1339" t="s">
        <v>197</v>
      </c>
      <c r="F1339">
        <v>1005</v>
      </c>
      <c r="G1339" t="s">
        <v>923</v>
      </c>
      <c r="H1339">
        <v>2131</v>
      </c>
      <c r="I1339" t="s">
        <v>84</v>
      </c>
      <c r="J1339">
        <v>3106</v>
      </c>
      <c r="K1339" t="s">
        <v>993</v>
      </c>
      <c r="L1339">
        <v>4113</v>
      </c>
      <c r="M1339" t="s">
        <v>999</v>
      </c>
      <c r="N1339" t="s">
        <v>622</v>
      </c>
      <c r="O1339">
        <v>1</v>
      </c>
      <c r="P1339">
        <v>6406</v>
      </c>
      <c r="Q1339" t="s">
        <v>1006</v>
      </c>
      <c r="R1339" t="s">
        <v>201</v>
      </c>
      <c r="S1339">
        <v>1</v>
      </c>
      <c r="T1339">
        <v>1</v>
      </c>
      <c r="U1339">
        <v>61548</v>
      </c>
      <c r="V1339">
        <v>61548</v>
      </c>
    </row>
    <row r="1340" spans="1:22">
      <c r="A1340" t="s">
        <v>196</v>
      </c>
      <c r="B1340">
        <v>38</v>
      </c>
      <c r="C1340" t="s">
        <v>922</v>
      </c>
      <c r="D1340">
        <v>100</v>
      </c>
      <c r="E1340" t="s">
        <v>197</v>
      </c>
      <c r="F1340">
        <v>1005</v>
      </c>
      <c r="G1340" t="s">
        <v>923</v>
      </c>
      <c r="H1340">
        <v>2131</v>
      </c>
      <c r="I1340" t="s">
        <v>84</v>
      </c>
      <c r="J1340">
        <v>3106</v>
      </c>
      <c r="K1340" t="s">
        <v>993</v>
      </c>
      <c r="L1340">
        <v>4113</v>
      </c>
      <c r="M1340" t="s">
        <v>999</v>
      </c>
      <c r="N1340" t="s">
        <v>622</v>
      </c>
      <c r="O1340">
        <v>1</v>
      </c>
      <c r="P1340">
        <v>6406</v>
      </c>
      <c r="Q1340" t="s">
        <v>1006</v>
      </c>
      <c r="R1340" t="s">
        <v>201</v>
      </c>
      <c r="S1340">
        <v>1</v>
      </c>
      <c r="T1340">
        <v>1</v>
      </c>
      <c r="U1340">
        <v>53532</v>
      </c>
      <c r="V1340">
        <v>53532</v>
      </c>
    </row>
    <row r="1341" spans="1:22">
      <c r="A1341" t="s">
        <v>196</v>
      </c>
      <c r="B1341">
        <v>38</v>
      </c>
      <c r="C1341" t="s">
        <v>922</v>
      </c>
      <c r="D1341">
        <v>100</v>
      </c>
      <c r="E1341" t="s">
        <v>197</v>
      </c>
      <c r="F1341">
        <v>1005</v>
      </c>
      <c r="G1341" t="s">
        <v>923</v>
      </c>
      <c r="H1341">
        <v>2131</v>
      </c>
      <c r="I1341" t="s">
        <v>84</v>
      </c>
      <c r="J1341">
        <v>3106</v>
      </c>
      <c r="K1341" t="s">
        <v>993</v>
      </c>
      <c r="L1341">
        <v>4113</v>
      </c>
      <c r="M1341" t="s">
        <v>999</v>
      </c>
      <c r="N1341" t="s">
        <v>1007</v>
      </c>
      <c r="O1341">
        <v>1</v>
      </c>
      <c r="P1341">
        <v>6405</v>
      </c>
      <c r="Q1341" t="s">
        <v>1008</v>
      </c>
      <c r="R1341" t="s">
        <v>201</v>
      </c>
      <c r="S1341">
        <v>2</v>
      </c>
      <c r="T1341">
        <v>1</v>
      </c>
      <c r="U1341">
        <v>46560</v>
      </c>
      <c r="V1341">
        <v>93120</v>
      </c>
    </row>
    <row r="1342" spans="1:22">
      <c r="A1342" t="s">
        <v>196</v>
      </c>
      <c r="B1342">
        <v>38</v>
      </c>
      <c r="C1342" t="s">
        <v>922</v>
      </c>
      <c r="D1342">
        <v>100</v>
      </c>
      <c r="E1342" t="s">
        <v>197</v>
      </c>
      <c r="F1342">
        <v>1005</v>
      </c>
      <c r="G1342" t="s">
        <v>923</v>
      </c>
      <c r="H1342">
        <v>2131</v>
      </c>
      <c r="I1342" t="s">
        <v>84</v>
      </c>
      <c r="J1342">
        <v>3106</v>
      </c>
      <c r="K1342" t="s">
        <v>993</v>
      </c>
      <c r="L1342">
        <v>4113</v>
      </c>
      <c r="M1342" t="s">
        <v>999</v>
      </c>
      <c r="N1342" t="s">
        <v>622</v>
      </c>
      <c r="O1342">
        <v>1</v>
      </c>
      <c r="P1342">
        <v>694</v>
      </c>
      <c r="Q1342" t="s">
        <v>1006</v>
      </c>
      <c r="R1342" t="s">
        <v>201</v>
      </c>
      <c r="S1342">
        <v>1</v>
      </c>
      <c r="T1342">
        <v>1</v>
      </c>
      <c r="U1342">
        <v>90144</v>
      </c>
      <c r="V1342">
        <v>90144</v>
      </c>
    </row>
    <row r="1343" spans="1:22">
      <c r="A1343" t="s">
        <v>196</v>
      </c>
      <c r="B1343">
        <v>38</v>
      </c>
      <c r="C1343" t="s">
        <v>922</v>
      </c>
      <c r="D1343">
        <v>100</v>
      </c>
      <c r="E1343" t="s">
        <v>197</v>
      </c>
      <c r="F1343">
        <v>1005</v>
      </c>
      <c r="G1343" t="s">
        <v>923</v>
      </c>
      <c r="H1343">
        <v>2131</v>
      </c>
      <c r="I1343" t="s">
        <v>84</v>
      </c>
      <c r="J1343">
        <v>3106</v>
      </c>
      <c r="K1343" t="s">
        <v>993</v>
      </c>
      <c r="L1343">
        <v>4113</v>
      </c>
      <c r="M1343" t="s">
        <v>999</v>
      </c>
      <c r="N1343" t="s">
        <v>622</v>
      </c>
      <c r="O1343">
        <v>1</v>
      </c>
      <c r="P1343" t="s">
        <v>667</v>
      </c>
      <c r="Q1343" t="s">
        <v>205</v>
      </c>
      <c r="R1343" t="s">
        <v>201</v>
      </c>
      <c r="S1343">
        <v>1</v>
      </c>
      <c r="T1343">
        <v>1</v>
      </c>
      <c r="U1343">
        <v>58764</v>
      </c>
      <c r="V1343">
        <v>58764</v>
      </c>
    </row>
    <row r="1344" spans="1:22">
      <c r="A1344" t="s">
        <v>196</v>
      </c>
      <c r="B1344">
        <v>38</v>
      </c>
      <c r="C1344" t="s">
        <v>922</v>
      </c>
      <c r="D1344">
        <v>100</v>
      </c>
      <c r="E1344" t="s">
        <v>197</v>
      </c>
      <c r="F1344">
        <v>1005</v>
      </c>
      <c r="G1344" t="s">
        <v>923</v>
      </c>
      <c r="H1344">
        <v>2131</v>
      </c>
      <c r="I1344" t="s">
        <v>84</v>
      </c>
      <c r="J1344">
        <v>3106</v>
      </c>
      <c r="K1344" t="s">
        <v>993</v>
      </c>
      <c r="L1344">
        <v>4113</v>
      </c>
      <c r="M1344" t="s">
        <v>999</v>
      </c>
      <c r="N1344" t="s">
        <v>199</v>
      </c>
      <c r="O1344">
        <v>0</v>
      </c>
      <c r="P1344">
        <v>15</v>
      </c>
      <c r="Q1344" t="s">
        <v>264</v>
      </c>
      <c r="R1344" t="s">
        <v>201</v>
      </c>
      <c r="S1344">
        <v>0</v>
      </c>
      <c r="T1344">
        <v>0</v>
      </c>
      <c r="U1344">
        <v>12321</v>
      </c>
      <c r="V1344">
        <v>12321</v>
      </c>
    </row>
    <row r="1345" spans="1:22">
      <c r="A1345" t="s">
        <v>196</v>
      </c>
      <c r="B1345">
        <v>38</v>
      </c>
      <c r="C1345" t="s">
        <v>922</v>
      </c>
      <c r="D1345">
        <v>100</v>
      </c>
      <c r="E1345" t="s">
        <v>197</v>
      </c>
      <c r="F1345">
        <v>1005</v>
      </c>
      <c r="G1345" t="s">
        <v>923</v>
      </c>
      <c r="H1345">
        <v>2131</v>
      </c>
      <c r="I1345" t="s">
        <v>84</v>
      </c>
      <c r="J1345">
        <v>3106</v>
      </c>
      <c r="K1345" t="s">
        <v>993</v>
      </c>
      <c r="L1345">
        <v>4114</v>
      </c>
      <c r="M1345" t="s">
        <v>1009</v>
      </c>
      <c r="N1345" t="s">
        <v>341</v>
      </c>
      <c r="O1345">
        <v>1</v>
      </c>
      <c r="P1345">
        <v>6409</v>
      </c>
      <c r="Q1345" t="s">
        <v>1010</v>
      </c>
      <c r="R1345" t="s">
        <v>201</v>
      </c>
      <c r="S1345">
        <v>2</v>
      </c>
      <c r="T1345">
        <v>1</v>
      </c>
      <c r="U1345">
        <v>119100</v>
      </c>
      <c r="V1345">
        <v>238200</v>
      </c>
    </row>
    <row r="1346" spans="1:22">
      <c r="A1346" t="s">
        <v>196</v>
      </c>
      <c r="B1346">
        <v>38</v>
      </c>
      <c r="C1346" t="s">
        <v>922</v>
      </c>
      <c r="D1346">
        <v>100</v>
      </c>
      <c r="E1346" t="s">
        <v>197</v>
      </c>
      <c r="F1346">
        <v>1005</v>
      </c>
      <c r="G1346" t="s">
        <v>923</v>
      </c>
      <c r="H1346">
        <v>2131</v>
      </c>
      <c r="I1346" t="s">
        <v>84</v>
      </c>
      <c r="J1346">
        <v>3106</v>
      </c>
      <c r="K1346" t="s">
        <v>993</v>
      </c>
      <c r="L1346">
        <v>4114</v>
      </c>
      <c r="M1346" t="s">
        <v>1009</v>
      </c>
      <c r="N1346" t="s">
        <v>341</v>
      </c>
      <c r="O1346">
        <v>1</v>
      </c>
      <c r="P1346">
        <v>6409</v>
      </c>
      <c r="Q1346" t="s">
        <v>1010</v>
      </c>
      <c r="R1346" t="s">
        <v>201</v>
      </c>
      <c r="S1346">
        <v>1</v>
      </c>
      <c r="T1346">
        <v>1</v>
      </c>
      <c r="U1346">
        <v>94452</v>
      </c>
      <c r="V1346">
        <v>94452</v>
      </c>
    </row>
    <row r="1347" spans="1:22">
      <c r="A1347" t="s">
        <v>196</v>
      </c>
      <c r="B1347">
        <v>38</v>
      </c>
      <c r="C1347" t="s">
        <v>922</v>
      </c>
      <c r="D1347">
        <v>100</v>
      </c>
      <c r="E1347" t="s">
        <v>197</v>
      </c>
      <c r="F1347">
        <v>1005</v>
      </c>
      <c r="G1347" t="s">
        <v>923</v>
      </c>
      <c r="H1347">
        <v>2131</v>
      </c>
      <c r="I1347" t="s">
        <v>84</v>
      </c>
      <c r="J1347">
        <v>3106</v>
      </c>
      <c r="K1347" t="s">
        <v>993</v>
      </c>
      <c r="L1347">
        <v>4114</v>
      </c>
      <c r="M1347" t="s">
        <v>1009</v>
      </c>
      <c r="N1347" t="s">
        <v>251</v>
      </c>
      <c r="O1347">
        <v>10</v>
      </c>
      <c r="P1347">
        <v>5737</v>
      </c>
      <c r="Q1347" t="s">
        <v>1011</v>
      </c>
      <c r="R1347" t="s">
        <v>201</v>
      </c>
      <c r="S1347">
        <v>1</v>
      </c>
      <c r="T1347">
        <v>1</v>
      </c>
      <c r="U1347">
        <v>124584</v>
      </c>
      <c r="V1347">
        <v>124584</v>
      </c>
    </row>
    <row r="1348" spans="1:22">
      <c r="A1348" t="s">
        <v>196</v>
      </c>
      <c r="B1348">
        <v>38</v>
      </c>
      <c r="C1348" t="s">
        <v>922</v>
      </c>
      <c r="D1348">
        <v>100</v>
      </c>
      <c r="E1348" t="s">
        <v>197</v>
      </c>
      <c r="F1348">
        <v>1005</v>
      </c>
      <c r="G1348" t="s">
        <v>923</v>
      </c>
      <c r="H1348">
        <v>2131</v>
      </c>
      <c r="I1348" t="s">
        <v>84</v>
      </c>
      <c r="J1348">
        <v>3106</v>
      </c>
      <c r="K1348" t="s">
        <v>993</v>
      </c>
      <c r="L1348">
        <v>4114</v>
      </c>
      <c r="M1348" t="s">
        <v>1009</v>
      </c>
      <c r="N1348" t="s">
        <v>199</v>
      </c>
      <c r="O1348">
        <v>0</v>
      </c>
      <c r="P1348">
        <v>15</v>
      </c>
      <c r="Q1348" t="s">
        <v>264</v>
      </c>
      <c r="R1348" t="s">
        <v>201</v>
      </c>
      <c r="S1348">
        <v>0</v>
      </c>
      <c r="T1348">
        <v>0</v>
      </c>
      <c r="U1348">
        <v>2715</v>
      </c>
      <c r="V1348">
        <v>2715</v>
      </c>
    </row>
    <row r="1349" spans="1:22">
      <c r="A1349" t="s">
        <v>196</v>
      </c>
      <c r="B1349">
        <v>38</v>
      </c>
      <c r="C1349" t="s">
        <v>922</v>
      </c>
      <c r="D1349">
        <v>100</v>
      </c>
      <c r="E1349" t="s">
        <v>197</v>
      </c>
      <c r="F1349">
        <v>1005</v>
      </c>
      <c r="G1349" t="s">
        <v>923</v>
      </c>
      <c r="H1349">
        <v>2131</v>
      </c>
      <c r="I1349" t="s">
        <v>84</v>
      </c>
      <c r="J1349">
        <v>3107</v>
      </c>
      <c r="K1349" t="s">
        <v>1012</v>
      </c>
      <c r="L1349">
        <v>0</v>
      </c>
      <c r="N1349" t="s">
        <v>372</v>
      </c>
      <c r="O1349">
        <v>4</v>
      </c>
      <c r="P1349">
        <v>1912</v>
      </c>
      <c r="Q1349" t="s">
        <v>608</v>
      </c>
      <c r="R1349" t="s">
        <v>201</v>
      </c>
      <c r="S1349">
        <v>1</v>
      </c>
      <c r="T1349">
        <v>1</v>
      </c>
      <c r="U1349">
        <v>124848</v>
      </c>
      <c r="V1349">
        <v>124848</v>
      </c>
    </row>
    <row r="1350" spans="1:22">
      <c r="A1350" t="s">
        <v>196</v>
      </c>
      <c r="B1350">
        <v>38</v>
      </c>
      <c r="C1350" t="s">
        <v>922</v>
      </c>
      <c r="D1350">
        <v>100</v>
      </c>
      <c r="E1350" t="s">
        <v>197</v>
      </c>
      <c r="F1350">
        <v>1005</v>
      </c>
      <c r="G1350" t="s">
        <v>923</v>
      </c>
      <c r="H1350">
        <v>2131</v>
      </c>
      <c r="I1350" t="s">
        <v>84</v>
      </c>
      <c r="J1350">
        <v>3107</v>
      </c>
      <c r="K1350" t="s">
        <v>1012</v>
      </c>
      <c r="L1350">
        <v>0</v>
      </c>
      <c r="N1350" t="s">
        <v>249</v>
      </c>
      <c r="O1350">
        <v>10</v>
      </c>
      <c r="P1350">
        <v>310</v>
      </c>
      <c r="Q1350" t="s">
        <v>447</v>
      </c>
      <c r="R1350" t="s">
        <v>201</v>
      </c>
      <c r="S1350">
        <v>1</v>
      </c>
      <c r="T1350">
        <v>1</v>
      </c>
      <c r="U1350">
        <v>118956</v>
      </c>
      <c r="V1350">
        <v>118956</v>
      </c>
    </row>
    <row r="1351" spans="1:22">
      <c r="A1351" t="s">
        <v>196</v>
      </c>
      <c r="B1351">
        <v>38</v>
      </c>
      <c r="C1351" t="s">
        <v>922</v>
      </c>
      <c r="D1351">
        <v>100</v>
      </c>
      <c r="E1351" t="s">
        <v>197</v>
      </c>
      <c r="F1351">
        <v>1005</v>
      </c>
      <c r="G1351" t="s">
        <v>923</v>
      </c>
      <c r="H1351">
        <v>2131</v>
      </c>
      <c r="I1351" t="s">
        <v>84</v>
      </c>
      <c r="J1351">
        <v>3107</v>
      </c>
      <c r="K1351" t="s">
        <v>1012</v>
      </c>
      <c r="L1351">
        <v>0</v>
      </c>
      <c r="N1351" t="s">
        <v>199</v>
      </c>
      <c r="O1351">
        <v>0</v>
      </c>
      <c r="P1351">
        <v>15</v>
      </c>
      <c r="Q1351" t="s">
        <v>264</v>
      </c>
      <c r="R1351" t="s">
        <v>201</v>
      </c>
      <c r="S1351">
        <v>0</v>
      </c>
      <c r="T1351">
        <v>0</v>
      </c>
      <c r="U1351">
        <v>3768</v>
      </c>
      <c r="V1351">
        <v>3768</v>
      </c>
    </row>
    <row r="1352" spans="1:22">
      <c r="A1352" t="s">
        <v>196</v>
      </c>
      <c r="B1352">
        <v>38</v>
      </c>
      <c r="C1352" t="s">
        <v>922</v>
      </c>
      <c r="D1352">
        <v>100</v>
      </c>
      <c r="E1352" t="s">
        <v>197</v>
      </c>
      <c r="F1352">
        <v>1005</v>
      </c>
      <c r="G1352" t="s">
        <v>923</v>
      </c>
      <c r="H1352">
        <v>2131</v>
      </c>
      <c r="I1352" t="s">
        <v>84</v>
      </c>
      <c r="J1352">
        <v>3108</v>
      </c>
      <c r="K1352" t="s">
        <v>1013</v>
      </c>
      <c r="L1352">
        <v>0</v>
      </c>
      <c r="N1352" t="s">
        <v>341</v>
      </c>
      <c r="O1352">
        <v>1</v>
      </c>
      <c r="P1352">
        <v>308</v>
      </c>
      <c r="Q1352" t="s">
        <v>355</v>
      </c>
      <c r="R1352" t="s">
        <v>201</v>
      </c>
      <c r="S1352">
        <v>2</v>
      </c>
      <c r="T1352">
        <v>1</v>
      </c>
      <c r="U1352">
        <v>68616</v>
      </c>
      <c r="V1352">
        <v>137232</v>
      </c>
    </row>
    <row r="1353" spans="1:22">
      <c r="A1353" t="s">
        <v>196</v>
      </c>
      <c r="B1353">
        <v>38</v>
      </c>
      <c r="C1353" t="s">
        <v>922</v>
      </c>
      <c r="D1353">
        <v>100</v>
      </c>
      <c r="E1353" t="s">
        <v>197</v>
      </c>
      <c r="F1353">
        <v>1005</v>
      </c>
      <c r="G1353" t="s">
        <v>923</v>
      </c>
      <c r="H1353">
        <v>2131</v>
      </c>
      <c r="I1353" t="s">
        <v>84</v>
      </c>
      <c r="J1353">
        <v>3115</v>
      </c>
      <c r="K1353" t="s">
        <v>1014</v>
      </c>
      <c r="L1353">
        <v>0</v>
      </c>
      <c r="N1353" t="s">
        <v>266</v>
      </c>
      <c r="O1353">
        <v>9</v>
      </c>
      <c r="P1353">
        <v>9679</v>
      </c>
      <c r="Q1353" t="s">
        <v>338</v>
      </c>
      <c r="R1353" t="s">
        <v>201</v>
      </c>
      <c r="S1353">
        <v>1</v>
      </c>
      <c r="T1353">
        <v>1</v>
      </c>
      <c r="U1353">
        <v>175512</v>
      </c>
      <c r="V1353">
        <v>175512</v>
      </c>
    </row>
    <row r="1354" spans="1:22">
      <c r="A1354" t="s">
        <v>196</v>
      </c>
      <c r="B1354">
        <v>38</v>
      </c>
      <c r="C1354" t="s">
        <v>922</v>
      </c>
      <c r="D1354">
        <v>100</v>
      </c>
      <c r="E1354" t="s">
        <v>197</v>
      </c>
      <c r="F1354">
        <v>1005</v>
      </c>
      <c r="G1354" t="s">
        <v>923</v>
      </c>
      <c r="H1354">
        <v>2131</v>
      </c>
      <c r="I1354" t="s">
        <v>84</v>
      </c>
      <c r="J1354">
        <v>3115</v>
      </c>
      <c r="K1354" t="s">
        <v>1014</v>
      </c>
      <c r="L1354">
        <v>0</v>
      </c>
      <c r="N1354" t="s">
        <v>287</v>
      </c>
      <c r="O1354">
        <v>20</v>
      </c>
      <c r="P1354">
        <v>3406</v>
      </c>
      <c r="Q1354" t="s">
        <v>664</v>
      </c>
      <c r="R1354" t="s">
        <v>201</v>
      </c>
      <c r="S1354">
        <v>2</v>
      </c>
      <c r="T1354">
        <v>1</v>
      </c>
      <c r="U1354">
        <v>79728</v>
      </c>
      <c r="V1354">
        <v>159456</v>
      </c>
    </row>
    <row r="1355" spans="1:22">
      <c r="A1355" t="s">
        <v>196</v>
      </c>
      <c r="B1355">
        <v>38</v>
      </c>
      <c r="C1355" t="s">
        <v>922</v>
      </c>
      <c r="D1355">
        <v>100</v>
      </c>
      <c r="E1355" t="s">
        <v>197</v>
      </c>
      <c r="F1355">
        <v>1005</v>
      </c>
      <c r="G1355" t="s">
        <v>923</v>
      </c>
      <c r="H1355">
        <v>2131</v>
      </c>
      <c r="I1355" t="s">
        <v>84</v>
      </c>
      <c r="J1355">
        <v>3115</v>
      </c>
      <c r="K1355" t="s">
        <v>1014</v>
      </c>
      <c r="L1355">
        <v>0</v>
      </c>
      <c r="N1355" t="s">
        <v>356</v>
      </c>
      <c r="O1355">
        <v>4</v>
      </c>
      <c r="P1355">
        <v>2081</v>
      </c>
      <c r="Q1355" t="s">
        <v>1015</v>
      </c>
      <c r="R1355" t="s">
        <v>201</v>
      </c>
      <c r="S1355">
        <v>2</v>
      </c>
      <c r="T1355">
        <v>1</v>
      </c>
      <c r="U1355">
        <v>102516</v>
      </c>
      <c r="V1355">
        <v>205032</v>
      </c>
    </row>
    <row r="1356" spans="1:22">
      <c r="A1356" t="s">
        <v>196</v>
      </c>
      <c r="B1356">
        <v>38</v>
      </c>
      <c r="C1356" t="s">
        <v>922</v>
      </c>
      <c r="D1356">
        <v>100</v>
      </c>
      <c r="E1356" t="s">
        <v>197</v>
      </c>
      <c r="F1356">
        <v>1005</v>
      </c>
      <c r="G1356" t="s">
        <v>923</v>
      </c>
      <c r="H1356">
        <v>2131</v>
      </c>
      <c r="I1356" t="s">
        <v>84</v>
      </c>
      <c r="J1356">
        <v>3115</v>
      </c>
      <c r="K1356" t="s">
        <v>1014</v>
      </c>
      <c r="L1356">
        <v>0</v>
      </c>
      <c r="N1356" t="s">
        <v>602</v>
      </c>
      <c r="O1356">
        <v>4</v>
      </c>
      <c r="P1356">
        <v>2073</v>
      </c>
      <c r="Q1356" t="s">
        <v>1016</v>
      </c>
      <c r="R1356" t="s">
        <v>201</v>
      </c>
      <c r="S1356">
        <v>1</v>
      </c>
      <c r="T1356">
        <v>1</v>
      </c>
      <c r="U1356">
        <v>141564</v>
      </c>
      <c r="V1356">
        <v>141564</v>
      </c>
    </row>
    <row r="1357" spans="1:22">
      <c r="A1357" t="s">
        <v>196</v>
      </c>
      <c r="B1357">
        <v>38</v>
      </c>
      <c r="C1357" t="s">
        <v>922</v>
      </c>
      <c r="D1357">
        <v>100</v>
      </c>
      <c r="E1357" t="s">
        <v>197</v>
      </c>
      <c r="F1357">
        <v>1005</v>
      </c>
      <c r="G1357" t="s">
        <v>923</v>
      </c>
      <c r="H1357">
        <v>2131</v>
      </c>
      <c r="I1357" t="s">
        <v>84</v>
      </c>
      <c r="J1357">
        <v>3115</v>
      </c>
      <c r="K1357" t="s">
        <v>1014</v>
      </c>
      <c r="L1357">
        <v>0</v>
      </c>
      <c r="N1357" t="s">
        <v>602</v>
      </c>
      <c r="O1357">
        <v>4</v>
      </c>
      <c r="P1357">
        <v>2073</v>
      </c>
      <c r="Q1357" t="s">
        <v>1016</v>
      </c>
      <c r="R1357" t="s">
        <v>201</v>
      </c>
      <c r="S1357">
        <v>1</v>
      </c>
      <c r="T1357">
        <v>1</v>
      </c>
      <c r="U1357">
        <v>112536</v>
      </c>
      <c r="V1357">
        <v>112536</v>
      </c>
    </row>
    <row r="1358" spans="1:22">
      <c r="A1358" t="s">
        <v>196</v>
      </c>
      <c r="B1358">
        <v>38</v>
      </c>
      <c r="C1358" t="s">
        <v>922</v>
      </c>
      <c r="D1358">
        <v>100</v>
      </c>
      <c r="E1358" t="s">
        <v>197</v>
      </c>
      <c r="F1358">
        <v>1005</v>
      </c>
      <c r="G1358" t="s">
        <v>923</v>
      </c>
      <c r="H1358">
        <v>2131</v>
      </c>
      <c r="I1358" t="s">
        <v>84</v>
      </c>
      <c r="J1358">
        <v>3115</v>
      </c>
      <c r="K1358" t="s">
        <v>1014</v>
      </c>
      <c r="L1358">
        <v>0</v>
      </c>
      <c r="N1358" t="s">
        <v>602</v>
      </c>
      <c r="O1358">
        <v>4</v>
      </c>
      <c r="P1358">
        <v>2073</v>
      </c>
      <c r="Q1358" t="s">
        <v>1016</v>
      </c>
      <c r="R1358" t="s">
        <v>201</v>
      </c>
      <c r="S1358">
        <v>1</v>
      </c>
      <c r="T1358">
        <v>1</v>
      </c>
      <c r="U1358">
        <v>107628</v>
      </c>
      <c r="V1358">
        <v>107628</v>
      </c>
    </row>
    <row r="1359" spans="1:22">
      <c r="A1359" t="s">
        <v>196</v>
      </c>
      <c r="B1359">
        <v>38</v>
      </c>
      <c r="C1359" t="s">
        <v>922</v>
      </c>
      <c r="D1359">
        <v>100</v>
      </c>
      <c r="E1359" t="s">
        <v>197</v>
      </c>
      <c r="F1359">
        <v>1005</v>
      </c>
      <c r="G1359" t="s">
        <v>923</v>
      </c>
      <c r="H1359">
        <v>2131</v>
      </c>
      <c r="I1359" t="s">
        <v>84</v>
      </c>
      <c r="J1359">
        <v>3115</v>
      </c>
      <c r="K1359" t="s">
        <v>1014</v>
      </c>
      <c r="L1359">
        <v>0</v>
      </c>
      <c r="N1359" t="s">
        <v>249</v>
      </c>
      <c r="O1359">
        <v>10</v>
      </c>
      <c r="P1359">
        <v>310</v>
      </c>
      <c r="Q1359" t="s">
        <v>447</v>
      </c>
      <c r="R1359" t="s">
        <v>201</v>
      </c>
      <c r="S1359">
        <v>1</v>
      </c>
      <c r="T1359">
        <v>1</v>
      </c>
      <c r="U1359">
        <v>136692</v>
      </c>
      <c r="V1359">
        <v>136692</v>
      </c>
    </row>
    <row r="1360" spans="1:22">
      <c r="A1360" t="s">
        <v>196</v>
      </c>
      <c r="B1360">
        <v>38</v>
      </c>
      <c r="C1360" t="s">
        <v>922</v>
      </c>
      <c r="D1360">
        <v>100</v>
      </c>
      <c r="E1360" t="s">
        <v>197</v>
      </c>
      <c r="F1360">
        <v>1005</v>
      </c>
      <c r="G1360" t="s">
        <v>923</v>
      </c>
      <c r="H1360">
        <v>2131</v>
      </c>
      <c r="I1360" t="s">
        <v>84</v>
      </c>
      <c r="J1360">
        <v>3115</v>
      </c>
      <c r="K1360" t="s">
        <v>1014</v>
      </c>
      <c r="L1360">
        <v>0</v>
      </c>
      <c r="N1360" t="s">
        <v>245</v>
      </c>
      <c r="O1360">
        <v>20</v>
      </c>
      <c r="P1360">
        <v>289</v>
      </c>
      <c r="Q1360" t="s">
        <v>1017</v>
      </c>
      <c r="R1360" t="s">
        <v>201</v>
      </c>
      <c r="S1360">
        <v>1</v>
      </c>
      <c r="T1360">
        <v>1</v>
      </c>
      <c r="U1360">
        <v>126756</v>
      </c>
      <c r="V1360">
        <v>126756</v>
      </c>
    </row>
    <row r="1361" spans="1:22">
      <c r="A1361" t="s">
        <v>196</v>
      </c>
      <c r="B1361">
        <v>38</v>
      </c>
      <c r="C1361" t="s">
        <v>922</v>
      </c>
      <c r="D1361">
        <v>100</v>
      </c>
      <c r="E1361" t="s">
        <v>197</v>
      </c>
      <c r="F1361">
        <v>1005</v>
      </c>
      <c r="G1361" t="s">
        <v>923</v>
      </c>
      <c r="H1361">
        <v>2131</v>
      </c>
      <c r="I1361" t="s">
        <v>84</v>
      </c>
      <c r="J1361">
        <v>3115</v>
      </c>
      <c r="K1361" t="s">
        <v>1014</v>
      </c>
      <c r="L1361">
        <v>0</v>
      </c>
      <c r="N1361" t="s">
        <v>199</v>
      </c>
      <c r="O1361">
        <v>0</v>
      </c>
      <c r="P1361">
        <v>15</v>
      </c>
      <c r="Q1361" t="s">
        <v>264</v>
      </c>
      <c r="R1361" t="s">
        <v>201</v>
      </c>
      <c r="S1361">
        <v>0</v>
      </c>
      <c r="T1361">
        <v>0</v>
      </c>
      <c r="U1361">
        <v>16204</v>
      </c>
      <c r="V1361">
        <v>16204</v>
      </c>
    </row>
    <row r="1362" spans="1:22">
      <c r="A1362" t="s">
        <v>196</v>
      </c>
      <c r="B1362">
        <v>38</v>
      </c>
      <c r="C1362" t="s">
        <v>922</v>
      </c>
      <c r="D1362">
        <v>100</v>
      </c>
      <c r="E1362" t="s">
        <v>197</v>
      </c>
      <c r="F1362">
        <v>1005</v>
      </c>
      <c r="G1362" t="s">
        <v>923</v>
      </c>
      <c r="H1362">
        <v>2131</v>
      </c>
      <c r="I1362" t="s">
        <v>84</v>
      </c>
      <c r="J1362">
        <v>3231</v>
      </c>
      <c r="K1362" t="s">
        <v>1018</v>
      </c>
      <c r="L1362">
        <v>4116</v>
      </c>
      <c r="M1362" t="s">
        <v>1019</v>
      </c>
      <c r="N1362" t="s">
        <v>266</v>
      </c>
      <c r="O1362">
        <v>9</v>
      </c>
      <c r="P1362">
        <v>9679</v>
      </c>
      <c r="Q1362" t="s">
        <v>338</v>
      </c>
      <c r="R1362" t="s">
        <v>201</v>
      </c>
      <c r="S1362">
        <v>1</v>
      </c>
      <c r="T1362">
        <v>1</v>
      </c>
      <c r="U1362">
        <v>139140</v>
      </c>
      <c r="V1362">
        <v>139140</v>
      </c>
    </row>
    <row r="1363" spans="1:22">
      <c r="A1363" t="s">
        <v>196</v>
      </c>
      <c r="B1363">
        <v>38</v>
      </c>
      <c r="C1363" t="s">
        <v>922</v>
      </c>
      <c r="D1363">
        <v>100</v>
      </c>
      <c r="E1363" t="s">
        <v>197</v>
      </c>
      <c r="F1363">
        <v>1005</v>
      </c>
      <c r="G1363" t="s">
        <v>923</v>
      </c>
      <c r="H1363">
        <v>2131</v>
      </c>
      <c r="I1363" t="s">
        <v>84</v>
      </c>
      <c r="J1363">
        <v>3231</v>
      </c>
      <c r="K1363" t="s">
        <v>1018</v>
      </c>
      <c r="L1363">
        <v>4116</v>
      </c>
      <c r="M1363" t="s">
        <v>1019</v>
      </c>
      <c r="N1363" t="s">
        <v>274</v>
      </c>
      <c r="O1363">
        <v>20</v>
      </c>
      <c r="P1363">
        <v>4546</v>
      </c>
      <c r="Q1363" t="s">
        <v>939</v>
      </c>
      <c r="R1363" t="s">
        <v>201</v>
      </c>
      <c r="S1363">
        <v>1</v>
      </c>
      <c r="T1363">
        <v>1</v>
      </c>
      <c r="U1363">
        <v>137532</v>
      </c>
      <c r="V1363">
        <v>137532</v>
      </c>
    </row>
    <row r="1364" spans="1:22">
      <c r="A1364" t="s">
        <v>196</v>
      </c>
      <c r="B1364">
        <v>38</v>
      </c>
      <c r="C1364" t="s">
        <v>922</v>
      </c>
      <c r="D1364">
        <v>100</v>
      </c>
      <c r="E1364" t="s">
        <v>197</v>
      </c>
      <c r="F1364">
        <v>1005</v>
      </c>
      <c r="G1364" t="s">
        <v>923</v>
      </c>
      <c r="H1364">
        <v>2131</v>
      </c>
      <c r="I1364" t="s">
        <v>84</v>
      </c>
      <c r="J1364">
        <v>3231</v>
      </c>
      <c r="K1364" t="s">
        <v>1018</v>
      </c>
      <c r="L1364">
        <v>4116</v>
      </c>
      <c r="M1364" t="s">
        <v>1019</v>
      </c>
      <c r="N1364" t="s">
        <v>372</v>
      </c>
      <c r="O1364">
        <v>4</v>
      </c>
      <c r="P1364">
        <v>1912</v>
      </c>
      <c r="Q1364" t="s">
        <v>608</v>
      </c>
      <c r="R1364" t="s">
        <v>201</v>
      </c>
      <c r="S1364">
        <v>1</v>
      </c>
      <c r="T1364">
        <v>1</v>
      </c>
      <c r="U1364">
        <v>77640</v>
      </c>
      <c r="V1364">
        <v>77640</v>
      </c>
    </row>
    <row r="1365" spans="1:22">
      <c r="A1365" t="s">
        <v>196</v>
      </c>
      <c r="B1365">
        <v>38</v>
      </c>
      <c r="C1365" t="s">
        <v>922</v>
      </c>
      <c r="D1365">
        <v>100</v>
      </c>
      <c r="E1365" t="s">
        <v>197</v>
      </c>
      <c r="F1365">
        <v>1005</v>
      </c>
      <c r="G1365" t="s">
        <v>923</v>
      </c>
      <c r="H1365">
        <v>2131</v>
      </c>
      <c r="I1365" t="s">
        <v>84</v>
      </c>
      <c r="J1365">
        <v>3231</v>
      </c>
      <c r="K1365" t="s">
        <v>1018</v>
      </c>
      <c r="L1365">
        <v>4116</v>
      </c>
      <c r="M1365" t="s">
        <v>1019</v>
      </c>
      <c r="N1365" t="s">
        <v>341</v>
      </c>
      <c r="O1365">
        <v>1</v>
      </c>
      <c r="P1365">
        <v>1663</v>
      </c>
      <c r="Q1365" t="s">
        <v>1020</v>
      </c>
      <c r="R1365" t="s">
        <v>201</v>
      </c>
      <c r="S1365">
        <v>1</v>
      </c>
      <c r="T1365">
        <v>1</v>
      </c>
      <c r="U1365">
        <v>68616</v>
      </c>
      <c r="V1365">
        <v>68616</v>
      </c>
    </row>
    <row r="1366" spans="1:22">
      <c r="A1366" t="s">
        <v>196</v>
      </c>
      <c r="B1366">
        <v>38</v>
      </c>
      <c r="C1366" t="s">
        <v>922</v>
      </c>
      <c r="D1366">
        <v>100</v>
      </c>
      <c r="E1366" t="s">
        <v>197</v>
      </c>
      <c r="F1366">
        <v>1005</v>
      </c>
      <c r="G1366" t="s">
        <v>923</v>
      </c>
      <c r="H1366">
        <v>2131</v>
      </c>
      <c r="I1366" t="s">
        <v>84</v>
      </c>
      <c r="J1366">
        <v>3231</v>
      </c>
      <c r="K1366" t="s">
        <v>1018</v>
      </c>
      <c r="L1366">
        <v>4116</v>
      </c>
      <c r="M1366" t="s">
        <v>1019</v>
      </c>
      <c r="N1366" t="s">
        <v>274</v>
      </c>
      <c r="O1366">
        <v>9</v>
      </c>
      <c r="P1366">
        <v>313</v>
      </c>
      <c r="Q1366" t="s">
        <v>605</v>
      </c>
      <c r="R1366" t="s">
        <v>201</v>
      </c>
      <c r="S1366">
        <v>1</v>
      </c>
      <c r="T1366">
        <v>1</v>
      </c>
      <c r="U1366">
        <v>146808</v>
      </c>
      <c r="V1366">
        <v>146808</v>
      </c>
    </row>
    <row r="1367" spans="1:22">
      <c r="A1367" t="s">
        <v>196</v>
      </c>
      <c r="B1367">
        <v>38</v>
      </c>
      <c r="C1367" t="s">
        <v>922</v>
      </c>
      <c r="D1367">
        <v>100</v>
      </c>
      <c r="E1367" t="s">
        <v>197</v>
      </c>
      <c r="F1367">
        <v>1005</v>
      </c>
      <c r="G1367" t="s">
        <v>923</v>
      </c>
      <c r="H1367">
        <v>2131</v>
      </c>
      <c r="I1367" t="s">
        <v>84</v>
      </c>
      <c r="J1367">
        <v>3231</v>
      </c>
      <c r="K1367" t="s">
        <v>1018</v>
      </c>
      <c r="L1367">
        <v>4116</v>
      </c>
      <c r="M1367" t="s">
        <v>1019</v>
      </c>
      <c r="N1367" t="s">
        <v>274</v>
      </c>
      <c r="O1367">
        <v>9</v>
      </c>
      <c r="P1367">
        <v>313</v>
      </c>
      <c r="Q1367" t="s">
        <v>605</v>
      </c>
      <c r="R1367" t="s">
        <v>201</v>
      </c>
      <c r="S1367">
        <v>1</v>
      </c>
      <c r="T1367">
        <v>1</v>
      </c>
      <c r="U1367">
        <v>121668</v>
      </c>
      <c r="V1367">
        <v>121668</v>
      </c>
    </row>
    <row r="1368" spans="1:22">
      <c r="A1368" t="s">
        <v>196</v>
      </c>
      <c r="B1368">
        <v>38</v>
      </c>
      <c r="C1368" t="s">
        <v>922</v>
      </c>
      <c r="D1368">
        <v>100</v>
      </c>
      <c r="E1368" t="s">
        <v>197</v>
      </c>
      <c r="F1368">
        <v>1005</v>
      </c>
      <c r="G1368" t="s">
        <v>923</v>
      </c>
      <c r="H1368">
        <v>2131</v>
      </c>
      <c r="I1368" t="s">
        <v>84</v>
      </c>
      <c r="J1368">
        <v>3231</v>
      </c>
      <c r="K1368" t="s">
        <v>1018</v>
      </c>
      <c r="L1368">
        <v>4116</v>
      </c>
      <c r="M1368" t="s">
        <v>1019</v>
      </c>
      <c r="N1368" t="s">
        <v>249</v>
      </c>
      <c r="O1368">
        <v>10</v>
      </c>
      <c r="P1368">
        <v>310</v>
      </c>
      <c r="Q1368" t="s">
        <v>447</v>
      </c>
      <c r="R1368" t="s">
        <v>201</v>
      </c>
      <c r="S1368">
        <v>1</v>
      </c>
      <c r="T1368">
        <v>1</v>
      </c>
      <c r="U1368">
        <v>118956</v>
      </c>
      <c r="V1368">
        <v>118956</v>
      </c>
    </row>
    <row r="1369" spans="1:22">
      <c r="A1369" t="s">
        <v>196</v>
      </c>
      <c r="B1369">
        <v>38</v>
      </c>
      <c r="C1369" t="s">
        <v>922</v>
      </c>
      <c r="D1369">
        <v>100</v>
      </c>
      <c r="E1369" t="s">
        <v>197</v>
      </c>
      <c r="F1369">
        <v>1005</v>
      </c>
      <c r="G1369" t="s">
        <v>923</v>
      </c>
      <c r="H1369">
        <v>2131</v>
      </c>
      <c r="I1369" t="s">
        <v>84</v>
      </c>
      <c r="J1369">
        <v>3231</v>
      </c>
      <c r="K1369" t="s">
        <v>1018</v>
      </c>
      <c r="L1369">
        <v>4116</v>
      </c>
      <c r="M1369" t="s">
        <v>1019</v>
      </c>
      <c r="N1369" t="s">
        <v>199</v>
      </c>
      <c r="O1369">
        <v>0</v>
      </c>
      <c r="P1369">
        <v>15</v>
      </c>
      <c r="Q1369" t="s">
        <v>264</v>
      </c>
      <c r="R1369" t="s">
        <v>201</v>
      </c>
      <c r="S1369">
        <v>0</v>
      </c>
      <c r="T1369">
        <v>0</v>
      </c>
      <c r="U1369">
        <v>8153</v>
      </c>
      <c r="V1369">
        <v>8153</v>
      </c>
    </row>
    <row r="1370" spans="1:22">
      <c r="A1370" t="s">
        <v>196</v>
      </c>
      <c r="B1370">
        <v>38</v>
      </c>
      <c r="C1370" t="s">
        <v>922</v>
      </c>
      <c r="D1370">
        <v>100</v>
      </c>
      <c r="E1370" t="s">
        <v>197</v>
      </c>
      <c r="F1370">
        <v>1005</v>
      </c>
      <c r="G1370" t="s">
        <v>923</v>
      </c>
      <c r="H1370">
        <v>2140</v>
      </c>
      <c r="I1370" t="s">
        <v>25</v>
      </c>
      <c r="J1370">
        <v>3200</v>
      </c>
      <c r="K1370" t="s">
        <v>1021</v>
      </c>
      <c r="L1370">
        <v>0</v>
      </c>
      <c r="N1370" t="s">
        <v>266</v>
      </c>
      <c r="O1370">
        <v>9</v>
      </c>
      <c r="P1370">
        <v>9679</v>
      </c>
      <c r="Q1370" t="s">
        <v>338</v>
      </c>
      <c r="R1370" t="s">
        <v>201</v>
      </c>
      <c r="S1370">
        <v>1</v>
      </c>
      <c r="T1370">
        <v>1</v>
      </c>
      <c r="U1370">
        <v>175512</v>
      </c>
      <c r="V1370">
        <v>175512</v>
      </c>
    </row>
    <row r="1371" spans="1:22">
      <c r="A1371" t="s">
        <v>196</v>
      </c>
      <c r="B1371">
        <v>38</v>
      </c>
      <c r="C1371" t="s">
        <v>922</v>
      </c>
      <c r="D1371">
        <v>100</v>
      </c>
      <c r="E1371" t="s">
        <v>197</v>
      </c>
      <c r="F1371">
        <v>1005</v>
      </c>
      <c r="G1371" t="s">
        <v>923</v>
      </c>
      <c r="H1371">
        <v>2140</v>
      </c>
      <c r="I1371" t="s">
        <v>25</v>
      </c>
      <c r="J1371">
        <v>3200</v>
      </c>
      <c r="K1371" t="s">
        <v>1021</v>
      </c>
      <c r="L1371">
        <v>0</v>
      </c>
      <c r="N1371" t="s">
        <v>199</v>
      </c>
      <c r="O1371">
        <v>0</v>
      </c>
      <c r="P1371">
        <v>15</v>
      </c>
      <c r="Q1371" t="s">
        <v>264</v>
      </c>
      <c r="R1371" t="s">
        <v>201</v>
      </c>
      <c r="S1371">
        <v>0</v>
      </c>
      <c r="T1371">
        <v>0</v>
      </c>
      <c r="U1371">
        <v>3409</v>
      </c>
      <c r="V1371">
        <v>3409</v>
      </c>
    </row>
    <row r="1372" spans="1:22">
      <c r="A1372" t="s">
        <v>196</v>
      </c>
      <c r="B1372">
        <v>38</v>
      </c>
      <c r="C1372" t="s">
        <v>922</v>
      </c>
      <c r="D1372">
        <v>100</v>
      </c>
      <c r="E1372" t="s">
        <v>197</v>
      </c>
      <c r="F1372">
        <v>1005</v>
      </c>
      <c r="G1372" t="s">
        <v>923</v>
      </c>
      <c r="H1372">
        <v>2140</v>
      </c>
      <c r="I1372" t="s">
        <v>25</v>
      </c>
      <c r="J1372">
        <v>3201</v>
      </c>
      <c r="K1372" t="s">
        <v>1022</v>
      </c>
      <c r="L1372">
        <v>0</v>
      </c>
      <c r="N1372" t="s">
        <v>281</v>
      </c>
      <c r="O1372">
        <v>10</v>
      </c>
      <c r="P1372">
        <v>6085</v>
      </c>
      <c r="Q1372" t="s">
        <v>1023</v>
      </c>
      <c r="R1372" t="s">
        <v>201</v>
      </c>
      <c r="S1372">
        <v>1</v>
      </c>
      <c r="T1372">
        <v>1</v>
      </c>
      <c r="U1372">
        <v>112080</v>
      </c>
      <c r="V1372">
        <v>112080</v>
      </c>
    </row>
    <row r="1373" spans="1:22">
      <c r="A1373" t="s">
        <v>196</v>
      </c>
      <c r="B1373">
        <v>38</v>
      </c>
      <c r="C1373" t="s">
        <v>922</v>
      </c>
      <c r="D1373">
        <v>100</v>
      </c>
      <c r="E1373" t="s">
        <v>197</v>
      </c>
      <c r="F1373">
        <v>1005</v>
      </c>
      <c r="G1373" t="s">
        <v>923</v>
      </c>
      <c r="H1373">
        <v>2140</v>
      </c>
      <c r="I1373" t="s">
        <v>25</v>
      </c>
      <c r="J1373">
        <v>3201</v>
      </c>
      <c r="K1373" t="s">
        <v>1022</v>
      </c>
      <c r="L1373">
        <v>0</v>
      </c>
      <c r="N1373" t="s">
        <v>281</v>
      </c>
      <c r="O1373">
        <v>10</v>
      </c>
      <c r="P1373">
        <v>6085</v>
      </c>
      <c r="Q1373" t="s">
        <v>1023</v>
      </c>
      <c r="R1373" t="s">
        <v>201</v>
      </c>
      <c r="S1373">
        <v>1</v>
      </c>
      <c r="T1373">
        <v>1</v>
      </c>
      <c r="U1373">
        <v>82884</v>
      </c>
      <c r="V1373">
        <v>82884</v>
      </c>
    </row>
    <row r="1374" spans="1:22">
      <c r="A1374" t="s">
        <v>196</v>
      </c>
      <c r="B1374">
        <v>38</v>
      </c>
      <c r="C1374" t="s">
        <v>922</v>
      </c>
      <c r="D1374">
        <v>100</v>
      </c>
      <c r="E1374" t="s">
        <v>197</v>
      </c>
      <c r="F1374">
        <v>1005</v>
      </c>
      <c r="G1374" t="s">
        <v>923</v>
      </c>
      <c r="H1374">
        <v>2140</v>
      </c>
      <c r="I1374" t="s">
        <v>25</v>
      </c>
      <c r="J1374">
        <v>3201</v>
      </c>
      <c r="K1374" t="s">
        <v>1022</v>
      </c>
      <c r="L1374">
        <v>0</v>
      </c>
      <c r="N1374" t="s">
        <v>245</v>
      </c>
      <c r="O1374">
        <v>20</v>
      </c>
      <c r="P1374">
        <v>6080</v>
      </c>
      <c r="Q1374" t="s">
        <v>1024</v>
      </c>
      <c r="R1374" t="s">
        <v>201</v>
      </c>
      <c r="S1374">
        <v>1</v>
      </c>
      <c r="T1374">
        <v>1</v>
      </c>
      <c r="U1374">
        <v>111000</v>
      </c>
      <c r="V1374">
        <v>111000</v>
      </c>
    </row>
    <row r="1375" spans="1:22">
      <c r="A1375" t="s">
        <v>196</v>
      </c>
      <c r="B1375">
        <v>38</v>
      </c>
      <c r="C1375" t="s">
        <v>922</v>
      </c>
      <c r="D1375">
        <v>100</v>
      </c>
      <c r="E1375" t="s">
        <v>197</v>
      </c>
      <c r="F1375">
        <v>1005</v>
      </c>
      <c r="G1375" t="s">
        <v>923</v>
      </c>
      <c r="H1375">
        <v>2140</v>
      </c>
      <c r="I1375" t="s">
        <v>25</v>
      </c>
      <c r="J1375">
        <v>3201</v>
      </c>
      <c r="K1375" t="s">
        <v>1022</v>
      </c>
      <c r="L1375">
        <v>0</v>
      </c>
      <c r="N1375" t="s">
        <v>351</v>
      </c>
      <c r="O1375">
        <v>1</v>
      </c>
      <c r="P1375">
        <v>1240</v>
      </c>
      <c r="Q1375" t="s">
        <v>1025</v>
      </c>
      <c r="R1375" t="s">
        <v>201</v>
      </c>
      <c r="S1375">
        <v>1</v>
      </c>
      <c r="T1375">
        <v>1</v>
      </c>
      <c r="U1375">
        <v>64488</v>
      </c>
      <c r="V1375">
        <v>64488</v>
      </c>
    </row>
    <row r="1376" spans="1:22">
      <c r="A1376" t="s">
        <v>196</v>
      </c>
      <c r="B1376">
        <v>38</v>
      </c>
      <c r="C1376" t="s">
        <v>922</v>
      </c>
      <c r="D1376">
        <v>100</v>
      </c>
      <c r="E1376" t="s">
        <v>197</v>
      </c>
      <c r="F1376">
        <v>1005</v>
      </c>
      <c r="G1376" t="s">
        <v>923</v>
      </c>
      <c r="H1376">
        <v>2140</v>
      </c>
      <c r="I1376" t="s">
        <v>25</v>
      </c>
      <c r="J1376">
        <v>3201</v>
      </c>
      <c r="K1376" t="s">
        <v>1022</v>
      </c>
      <c r="L1376">
        <v>0</v>
      </c>
      <c r="N1376" t="s">
        <v>351</v>
      </c>
      <c r="O1376">
        <v>1</v>
      </c>
      <c r="P1376" t="s">
        <v>352</v>
      </c>
      <c r="Q1376" t="s">
        <v>353</v>
      </c>
      <c r="R1376" t="s">
        <v>201</v>
      </c>
      <c r="S1376">
        <v>1</v>
      </c>
      <c r="T1376">
        <v>1</v>
      </c>
      <c r="U1376">
        <v>74172</v>
      </c>
      <c r="V1376">
        <v>74172</v>
      </c>
    </row>
    <row r="1377" spans="1:22">
      <c r="A1377" t="s">
        <v>196</v>
      </c>
      <c r="B1377">
        <v>38</v>
      </c>
      <c r="C1377" t="s">
        <v>922</v>
      </c>
      <c r="D1377">
        <v>100</v>
      </c>
      <c r="E1377" t="s">
        <v>197</v>
      </c>
      <c r="F1377">
        <v>1005</v>
      </c>
      <c r="G1377" t="s">
        <v>923</v>
      </c>
      <c r="H1377">
        <v>2140</v>
      </c>
      <c r="I1377" t="s">
        <v>25</v>
      </c>
      <c r="J1377">
        <v>3201</v>
      </c>
      <c r="K1377" t="s">
        <v>1022</v>
      </c>
      <c r="L1377">
        <v>0</v>
      </c>
      <c r="N1377" t="s">
        <v>199</v>
      </c>
      <c r="O1377">
        <v>0</v>
      </c>
      <c r="P1377">
        <v>15</v>
      </c>
      <c r="Q1377" t="s">
        <v>264</v>
      </c>
      <c r="R1377" t="s">
        <v>201</v>
      </c>
      <c r="S1377">
        <v>0</v>
      </c>
      <c r="T1377">
        <v>0</v>
      </c>
      <c r="U1377">
        <v>11237</v>
      </c>
      <c r="V1377">
        <v>11237</v>
      </c>
    </row>
    <row r="1378" spans="1:22">
      <c r="A1378" t="s">
        <v>196</v>
      </c>
      <c r="B1378">
        <v>38</v>
      </c>
      <c r="C1378" t="s">
        <v>922</v>
      </c>
      <c r="D1378">
        <v>100</v>
      </c>
      <c r="E1378" t="s">
        <v>197</v>
      </c>
      <c r="F1378">
        <v>1005</v>
      </c>
      <c r="G1378" t="s">
        <v>923</v>
      </c>
      <c r="H1378">
        <v>2140</v>
      </c>
      <c r="I1378" t="s">
        <v>25</v>
      </c>
      <c r="J1378">
        <v>3214</v>
      </c>
      <c r="K1378" t="s">
        <v>1026</v>
      </c>
      <c r="L1378">
        <v>0</v>
      </c>
      <c r="N1378" t="s">
        <v>249</v>
      </c>
      <c r="O1378">
        <v>10</v>
      </c>
      <c r="P1378">
        <v>7181</v>
      </c>
      <c r="Q1378" t="s">
        <v>1027</v>
      </c>
      <c r="R1378" t="s">
        <v>201</v>
      </c>
      <c r="S1378">
        <v>1</v>
      </c>
      <c r="T1378">
        <v>1</v>
      </c>
      <c r="U1378">
        <v>93384</v>
      </c>
      <c r="V1378">
        <v>93384</v>
      </c>
    </row>
    <row r="1379" spans="1:22">
      <c r="A1379" t="s">
        <v>196</v>
      </c>
      <c r="B1379">
        <v>38</v>
      </c>
      <c r="C1379" t="s">
        <v>922</v>
      </c>
      <c r="D1379">
        <v>100</v>
      </c>
      <c r="E1379" t="s">
        <v>197</v>
      </c>
      <c r="F1379">
        <v>1005</v>
      </c>
      <c r="G1379" t="s">
        <v>923</v>
      </c>
      <c r="H1379">
        <v>2140</v>
      </c>
      <c r="I1379" t="s">
        <v>25</v>
      </c>
      <c r="J1379">
        <v>3214</v>
      </c>
      <c r="K1379" t="s">
        <v>1026</v>
      </c>
      <c r="L1379">
        <v>0</v>
      </c>
      <c r="N1379" t="s">
        <v>251</v>
      </c>
      <c r="O1379">
        <v>10</v>
      </c>
      <c r="P1379">
        <v>7163</v>
      </c>
      <c r="Q1379" t="s">
        <v>1028</v>
      </c>
      <c r="R1379" t="s">
        <v>201</v>
      </c>
      <c r="S1379">
        <v>1</v>
      </c>
      <c r="T1379">
        <v>1</v>
      </c>
      <c r="U1379">
        <v>76476</v>
      </c>
      <c r="V1379">
        <v>76476</v>
      </c>
    </row>
    <row r="1380" spans="1:22">
      <c r="A1380" t="s">
        <v>196</v>
      </c>
      <c r="B1380">
        <v>38</v>
      </c>
      <c r="C1380" t="s">
        <v>922</v>
      </c>
      <c r="D1380">
        <v>100</v>
      </c>
      <c r="E1380" t="s">
        <v>197</v>
      </c>
      <c r="F1380">
        <v>1005</v>
      </c>
      <c r="G1380" t="s">
        <v>923</v>
      </c>
      <c r="H1380">
        <v>2140</v>
      </c>
      <c r="I1380" t="s">
        <v>25</v>
      </c>
      <c r="J1380">
        <v>3214</v>
      </c>
      <c r="K1380" t="s">
        <v>1026</v>
      </c>
      <c r="L1380">
        <v>0</v>
      </c>
      <c r="N1380" t="s">
        <v>721</v>
      </c>
      <c r="O1380">
        <v>8</v>
      </c>
      <c r="P1380">
        <v>7161</v>
      </c>
      <c r="Q1380" t="s">
        <v>1029</v>
      </c>
      <c r="R1380" t="s">
        <v>713</v>
      </c>
      <c r="S1380">
        <v>6</v>
      </c>
      <c r="T1380">
        <v>1</v>
      </c>
      <c r="U1380">
        <v>35.090000000000003</v>
      </c>
      <c r="V1380">
        <v>437923</v>
      </c>
    </row>
    <row r="1381" spans="1:22">
      <c r="A1381" t="s">
        <v>196</v>
      </c>
      <c r="B1381">
        <v>38</v>
      </c>
      <c r="C1381" t="s">
        <v>922</v>
      </c>
      <c r="D1381">
        <v>100</v>
      </c>
      <c r="E1381" t="s">
        <v>197</v>
      </c>
      <c r="F1381">
        <v>1005</v>
      </c>
      <c r="G1381" t="s">
        <v>923</v>
      </c>
      <c r="H1381">
        <v>2140</v>
      </c>
      <c r="I1381" t="s">
        <v>25</v>
      </c>
      <c r="J1381">
        <v>3214</v>
      </c>
      <c r="K1381" t="s">
        <v>1026</v>
      </c>
      <c r="L1381">
        <v>0</v>
      </c>
      <c r="N1381" t="s">
        <v>721</v>
      </c>
      <c r="O1381">
        <v>8</v>
      </c>
      <c r="P1381">
        <v>7160</v>
      </c>
      <c r="Q1381" t="s">
        <v>1030</v>
      </c>
      <c r="R1381" t="s">
        <v>713</v>
      </c>
      <c r="S1381">
        <v>36</v>
      </c>
      <c r="T1381">
        <v>1</v>
      </c>
      <c r="U1381">
        <v>33.619999999999997</v>
      </c>
      <c r="V1381">
        <v>2517466</v>
      </c>
    </row>
    <row r="1382" spans="1:22">
      <c r="A1382" t="s">
        <v>196</v>
      </c>
      <c r="B1382">
        <v>38</v>
      </c>
      <c r="C1382" t="s">
        <v>922</v>
      </c>
      <c r="D1382">
        <v>100</v>
      </c>
      <c r="E1382" t="s">
        <v>197</v>
      </c>
      <c r="F1382">
        <v>1005</v>
      </c>
      <c r="G1382" t="s">
        <v>923</v>
      </c>
      <c r="H1382">
        <v>2140</v>
      </c>
      <c r="I1382" t="s">
        <v>25</v>
      </c>
      <c r="J1382">
        <v>3214</v>
      </c>
      <c r="K1382" t="s">
        <v>1026</v>
      </c>
      <c r="L1382">
        <v>0</v>
      </c>
      <c r="N1382" t="s">
        <v>622</v>
      </c>
      <c r="O1382">
        <v>1</v>
      </c>
      <c r="P1382" t="s">
        <v>667</v>
      </c>
      <c r="Q1382" t="s">
        <v>205</v>
      </c>
      <c r="R1382" t="s">
        <v>201</v>
      </c>
      <c r="S1382">
        <v>1</v>
      </c>
      <c r="T1382">
        <v>1</v>
      </c>
      <c r="U1382">
        <v>78432</v>
      </c>
      <c r="V1382">
        <v>78432</v>
      </c>
    </row>
    <row r="1383" spans="1:22">
      <c r="A1383" t="s">
        <v>196</v>
      </c>
      <c r="B1383">
        <v>38</v>
      </c>
      <c r="C1383" t="s">
        <v>922</v>
      </c>
      <c r="D1383">
        <v>100</v>
      </c>
      <c r="E1383" t="s">
        <v>197</v>
      </c>
      <c r="F1383">
        <v>1005</v>
      </c>
      <c r="G1383" t="s">
        <v>923</v>
      </c>
      <c r="H1383">
        <v>2140</v>
      </c>
      <c r="I1383" t="s">
        <v>25</v>
      </c>
      <c r="J1383">
        <v>3214</v>
      </c>
      <c r="K1383" t="s">
        <v>1026</v>
      </c>
      <c r="L1383">
        <v>0</v>
      </c>
      <c r="N1383" t="s">
        <v>199</v>
      </c>
      <c r="O1383">
        <v>0</v>
      </c>
      <c r="P1383">
        <v>15</v>
      </c>
      <c r="Q1383" t="s">
        <v>264</v>
      </c>
      <c r="R1383" t="s">
        <v>201</v>
      </c>
      <c r="S1383">
        <v>0</v>
      </c>
      <c r="T1383">
        <v>0</v>
      </c>
      <c r="U1383">
        <v>3324</v>
      </c>
      <c r="V1383">
        <v>3324</v>
      </c>
    </row>
    <row r="1384" spans="1:22">
      <c r="A1384" t="s">
        <v>196</v>
      </c>
      <c r="B1384">
        <v>38</v>
      </c>
      <c r="C1384" t="s">
        <v>922</v>
      </c>
      <c r="D1384">
        <v>100</v>
      </c>
      <c r="E1384" t="s">
        <v>197</v>
      </c>
      <c r="F1384">
        <v>1005</v>
      </c>
      <c r="G1384" t="s">
        <v>923</v>
      </c>
      <c r="H1384">
        <v>2140</v>
      </c>
      <c r="I1384" t="s">
        <v>25</v>
      </c>
      <c r="J1384">
        <v>3214</v>
      </c>
      <c r="K1384" t="s">
        <v>1026</v>
      </c>
      <c r="L1384">
        <v>0</v>
      </c>
      <c r="N1384" t="s">
        <v>199</v>
      </c>
      <c r="O1384">
        <v>0</v>
      </c>
      <c r="P1384">
        <v>12</v>
      </c>
      <c r="Q1384" t="s">
        <v>724</v>
      </c>
      <c r="R1384" t="s">
        <v>201</v>
      </c>
      <c r="S1384">
        <v>0</v>
      </c>
      <c r="T1384">
        <v>0</v>
      </c>
      <c r="U1384">
        <v>44331</v>
      </c>
      <c r="V1384">
        <v>44331</v>
      </c>
    </row>
    <row r="1385" spans="1:22">
      <c r="A1385" t="s">
        <v>196</v>
      </c>
      <c r="B1385">
        <v>38</v>
      </c>
      <c r="C1385" t="s">
        <v>922</v>
      </c>
      <c r="D1385">
        <v>100</v>
      </c>
      <c r="E1385" t="s">
        <v>197</v>
      </c>
      <c r="F1385">
        <v>1005</v>
      </c>
      <c r="G1385" t="s">
        <v>923</v>
      </c>
      <c r="H1385">
        <v>2140</v>
      </c>
      <c r="I1385" t="s">
        <v>25</v>
      </c>
      <c r="J1385">
        <v>3216</v>
      </c>
      <c r="K1385" t="s">
        <v>1031</v>
      </c>
      <c r="L1385">
        <v>0</v>
      </c>
      <c r="N1385" t="s">
        <v>341</v>
      </c>
      <c r="O1385">
        <v>4</v>
      </c>
      <c r="P1385">
        <v>7173</v>
      </c>
      <c r="Q1385" t="s">
        <v>1032</v>
      </c>
      <c r="R1385" t="s">
        <v>201</v>
      </c>
      <c r="S1385">
        <v>1</v>
      </c>
      <c r="T1385">
        <v>1</v>
      </c>
      <c r="U1385">
        <v>98928</v>
      </c>
      <c r="V1385">
        <v>98928</v>
      </c>
    </row>
    <row r="1386" spans="1:22">
      <c r="A1386" t="s">
        <v>196</v>
      </c>
      <c r="B1386">
        <v>38</v>
      </c>
      <c r="C1386" t="s">
        <v>922</v>
      </c>
      <c r="D1386">
        <v>100</v>
      </c>
      <c r="E1386" t="s">
        <v>197</v>
      </c>
      <c r="F1386">
        <v>1005</v>
      </c>
      <c r="G1386" t="s">
        <v>923</v>
      </c>
      <c r="H1386">
        <v>2140</v>
      </c>
      <c r="I1386" t="s">
        <v>25</v>
      </c>
      <c r="J1386">
        <v>3216</v>
      </c>
      <c r="K1386" t="s">
        <v>1031</v>
      </c>
      <c r="L1386">
        <v>0</v>
      </c>
      <c r="N1386" t="s">
        <v>341</v>
      </c>
      <c r="O1386">
        <v>4</v>
      </c>
      <c r="P1386">
        <v>7173</v>
      </c>
      <c r="Q1386" t="s">
        <v>1032</v>
      </c>
      <c r="R1386" t="s">
        <v>201</v>
      </c>
      <c r="S1386">
        <v>1</v>
      </c>
      <c r="T1386">
        <v>1</v>
      </c>
      <c r="U1386">
        <v>90144</v>
      </c>
      <c r="V1386">
        <v>90144</v>
      </c>
    </row>
    <row r="1387" spans="1:22">
      <c r="A1387" t="s">
        <v>196</v>
      </c>
      <c r="B1387">
        <v>38</v>
      </c>
      <c r="C1387" t="s">
        <v>922</v>
      </c>
      <c r="D1387">
        <v>100</v>
      </c>
      <c r="E1387" t="s">
        <v>197</v>
      </c>
      <c r="F1387">
        <v>1005</v>
      </c>
      <c r="G1387" t="s">
        <v>923</v>
      </c>
      <c r="H1387">
        <v>2140</v>
      </c>
      <c r="I1387" t="s">
        <v>25</v>
      </c>
      <c r="J1387">
        <v>3216</v>
      </c>
      <c r="K1387" t="s">
        <v>1031</v>
      </c>
      <c r="L1387">
        <v>0</v>
      </c>
      <c r="N1387" t="s">
        <v>341</v>
      </c>
      <c r="O1387">
        <v>4</v>
      </c>
      <c r="P1387">
        <v>7173</v>
      </c>
      <c r="Q1387" t="s">
        <v>1032</v>
      </c>
      <c r="R1387" t="s">
        <v>201</v>
      </c>
      <c r="S1387">
        <v>1</v>
      </c>
      <c r="T1387">
        <v>1</v>
      </c>
      <c r="U1387">
        <v>77640</v>
      </c>
      <c r="V1387">
        <v>77640</v>
      </c>
    </row>
    <row r="1388" spans="1:22">
      <c r="A1388" t="s">
        <v>196</v>
      </c>
      <c r="B1388">
        <v>38</v>
      </c>
      <c r="C1388" t="s">
        <v>922</v>
      </c>
      <c r="D1388">
        <v>100</v>
      </c>
      <c r="E1388" t="s">
        <v>197</v>
      </c>
      <c r="F1388">
        <v>1005</v>
      </c>
      <c r="G1388" t="s">
        <v>923</v>
      </c>
      <c r="H1388">
        <v>2140</v>
      </c>
      <c r="I1388" t="s">
        <v>25</v>
      </c>
      <c r="J1388">
        <v>3216</v>
      </c>
      <c r="K1388" t="s">
        <v>1031</v>
      </c>
      <c r="L1388">
        <v>0</v>
      </c>
      <c r="N1388" t="s">
        <v>341</v>
      </c>
      <c r="O1388">
        <v>4</v>
      </c>
      <c r="P1388">
        <v>7173</v>
      </c>
      <c r="Q1388" t="s">
        <v>1032</v>
      </c>
      <c r="R1388" t="s">
        <v>201</v>
      </c>
      <c r="S1388">
        <v>1</v>
      </c>
      <c r="T1388">
        <v>1</v>
      </c>
      <c r="U1388">
        <v>74172</v>
      </c>
      <c r="V1388">
        <v>74172</v>
      </c>
    </row>
    <row r="1389" spans="1:22">
      <c r="A1389" t="s">
        <v>196</v>
      </c>
      <c r="B1389">
        <v>38</v>
      </c>
      <c r="C1389" t="s">
        <v>922</v>
      </c>
      <c r="D1389">
        <v>100</v>
      </c>
      <c r="E1389" t="s">
        <v>197</v>
      </c>
      <c r="F1389">
        <v>1005</v>
      </c>
      <c r="G1389" t="s">
        <v>923</v>
      </c>
      <c r="H1389">
        <v>2140</v>
      </c>
      <c r="I1389" t="s">
        <v>25</v>
      </c>
      <c r="J1389">
        <v>3216</v>
      </c>
      <c r="K1389" t="s">
        <v>1031</v>
      </c>
      <c r="L1389">
        <v>0</v>
      </c>
      <c r="N1389" t="s">
        <v>341</v>
      </c>
      <c r="O1389">
        <v>4</v>
      </c>
      <c r="P1389">
        <v>7173</v>
      </c>
      <c r="Q1389" t="s">
        <v>1032</v>
      </c>
      <c r="R1389" t="s">
        <v>201</v>
      </c>
      <c r="S1389">
        <v>1</v>
      </c>
      <c r="T1389">
        <v>1</v>
      </c>
      <c r="U1389">
        <v>70752</v>
      </c>
      <c r="V1389">
        <v>70752</v>
      </c>
    </row>
    <row r="1390" spans="1:22">
      <c r="A1390" t="s">
        <v>196</v>
      </c>
      <c r="B1390">
        <v>38</v>
      </c>
      <c r="C1390" t="s">
        <v>922</v>
      </c>
      <c r="D1390">
        <v>100</v>
      </c>
      <c r="E1390" t="s">
        <v>197</v>
      </c>
      <c r="F1390">
        <v>1005</v>
      </c>
      <c r="G1390" t="s">
        <v>923</v>
      </c>
      <c r="H1390">
        <v>2140</v>
      </c>
      <c r="I1390" t="s">
        <v>25</v>
      </c>
      <c r="J1390">
        <v>3216</v>
      </c>
      <c r="K1390" t="s">
        <v>1031</v>
      </c>
      <c r="L1390">
        <v>0</v>
      </c>
      <c r="N1390" t="s">
        <v>253</v>
      </c>
      <c r="O1390">
        <v>10</v>
      </c>
      <c r="P1390">
        <v>7172</v>
      </c>
      <c r="Q1390" t="s">
        <v>1033</v>
      </c>
      <c r="R1390" t="s">
        <v>201</v>
      </c>
      <c r="S1390">
        <v>2</v>
      </c>
      <c r="T1390">
        <v>1</v>
      </c>
      <c r="U1390">
        <v>83052</v>
      </c>
      <c r="V1390">
        <v>166104</v>
      </c>
    </row>
    <row r="1391" spans="1:22">
      <c r="A1391" t="s">
        <v>196</v>
      </c>
      <c r="B1391">
        <v>38</v>
      </c>
      <c r="C1391" t="s">
        <v>922</v>
      </c>
      <c r="D1391">
        <v>100</v>
      </c>
      <c r="E1391" t="s">
        <v>197</v>
      </c>
      <c r="F1391">
        <v>1005</v>
      </c>
      <c r="G1391" t="s">
        <v>923</v>
      </c>
      <c r="H1391">
        <v>2140</v>
      </c>
      <c r="I1391" t="s">
        <v>25</v>
      </c>
      <c r="J1391">
        <v>3216</v>
      </c>
      <c r="K1391" t="s">
        <v>1031</v>
      </c>
      <c r="L1391">
        <v>0</v>
      </c>
      <c r="N1391" t="s">
        <v>351</v>
      </c>
      <c r="O1391">
        <v>1</v>
      </c>
      <c r="P1391">
        <v>7105</v>
      </c>
      <c r="Q1391" t="s">
        <v>1034</v>
      </c>
      <c r="R1391" t="s">
        <v>201</v>
      </c>
      <c r="S1391">
        <v>1</v>
      </c>
      <c r="T1391">
        <v>1</v>
      </c>
      <c r="U1391">
        <v>94452</v>
      </c>
      <c r="V1391">
        <v>94452</v>
      </c>
    </row>
    <row r="1392" spans="1:22">
      <c r="A1392" t="s">
        <v>196</v>
      </c>
      <c r="B1392">
        <v>38</v>
      </c>
      <c r="C1392" t="s">
        <v>922</v>
      </c>
      <c r="D1392">
        <v>100</v>
      </c>
      <c r="E1392" t="s">
        <v>197</v>
      </c>
      <c r="F1392">
        <v>1005</v>
      </c>
      <c r="G1392" t="s">
        <v>923</v>
      </c>
      <c r="H1392">
        <v>2140</v>
      </c>
      <c r="I1392" t="s">
        <v>25</v>
      </c>
      <c r="J1392">
        <v>3216</v>
      </c>
      <c r="K1392" t="s">
        <v>1031</v>
      </c>
      <c r="L1392">
        <v>0</v>
      </c>
      <c r="N1392" t="s">
        <v>351</v>
      </c>
      <c r="O1392">
        <v>1</v>
      </c>
      <c r="P1392" t="s">
        <v>352</v>
      </c>
      <c r="Q1392" t="s">
        <v>353</v>
      </c>
      <c r="R1392" t="s">
        <v>201</v>
      </c>
      <c r="S1392">
        <v>1</v>
      </c>
      <c r="T1392">
        <v>1</v>
      </c>
      <c r="U1392">
        <v>62544</v>
      </c>
      <c r="V1392">
        <v>62544</v>
      </c>
    </row>
    <row r="1393" spans="1:22">
      <c r="A1393" t="s">
        <v>196</v>
      </c>
      <c r="B1393">
        <v>38</v>
      </c>
      <c r="C1393" t="s">
        <v>922</v>
      </c>
      <c r="D1393">
        <v>100</v>
      </c>
      <c r="E1393" t="s">
        <v>197</v>
      </c>
      <c r="F1393">
        <v>1005</v>
      </c>
      <c r="G1393" t="s">
        <v>923</v>
      </c>
      <c r="H1393">
        <v>2140</v>
      </c>
      <c r="I1393" t="s">
        <v>25</v>
      </c>
      <c r="J1393">
        <v>3216</v>
      </c>
      <c r="K1393" t="s">
        <v>1031</v>
      </c>
      <c r="L1393">
        <v>0</v>
      </c>
      <c r="N1393" t="s">
        <v>622</v>
      </c>
      <c r="O1393">
        <v>1</v>
      </c>
      <c r="P1393" t="s">
        <v>667</v>
      </c>
      <c r="Q1393" t="s">
        <v>205</v>
      </c>
      <c r="R1393" t="s">
        <v>201</v>
      </c>
      <c r="S1393">
        <v>1</v>
      </c>
      <c r="T1393">
        <v>1</v>
      </c>
      <c r="U1393">
        <v>90144</v>
      </c>
      <c r="V1393">
        <v>90144</v>
      </c>
    </row>
    <row r="1394" spans="1:22">
      <c r="A1394" t="s">
        <v>196</v>
      </c>
      <c r="B1394">
        <v>38</v>
      </c>
      <c r="C1394" t="s">
        <v>922</v>
      </c>
      <c r="D1394">
        <v>100</v>
      </c>
      <c r="E1394" t="s">
        <v>197</v>
      </c>
      <c r="F1394">
        <v>1005</v>
      </c>
      <c r="G1394" t="s">
        <v>923</v>
      </c>
      <c r="H1394">
        <v>2140</v>
      </c>
      <c r="I1394" t="s">
        <v>25</v>
      </c>
      <c r="J1394">
        <v>3216</v>
      </c>
      <c r="K1394" t="s">
        <v>1031</v>
      </c>
      <c r="L1394">
        <v>0</v>
      </c>
      <c r="N1394" t="s">
        <v>199</v>
      </c>
      <c r="O1394">
        <v>0</v>
      </c>
      <c r="P1394">
        <v>15</v>
      </c>
      <c r="Q1394" t="s">
        <v>264</v>
      </c>
      <c r="R1394" t="s">
        <v>201</v>
      </c>
      <c r="S1394">
        <v>0</v>
      </c>
      <c r="T1394">
        <v>0</v>
      </c>
      <c r="U1394">
        <v>7141</v>
      </c>
      <c r="V1394">
        <v>7141</v>
      </c>
    </row>
    <row r="1395" spans="1:22">
      <c r="A1395" t="s">
        <v>196</v>
      </c>
      <c r="B1395">
        <v>38</v>
      </c>
      <c r="C1395" t="s">
        <v>922</v>
      </c>
      <c r="D1395">
        <v>100</v>
      </c>
      <c r="E1395" t="s">
        <v>197</v>
      </c>
      <c r="F1395">
        <v>1005</v>
      </c>
      <c r="G1395" t="s">
        <v>923</v>
      </c>
      <c r="H1395">
        <v>2140</v>
      </c>
      <c r="I1395" t="s">
        <v>25</v>
      </c>
      <c r="J1395">
        <v>3219</v>
      </c>
      <c r="K1395" t="s">
        <v>1035</v>
      </c>
      <c r="L1395">
        <v>0</v>
      </c>
      <c r="N1395" t="s">
        <v>721</v>
      </c>
      <c r="O1395">
        <v>53</v>
      </c>
      <c r="P1395">
        <v>9534</v>
      </c>
      <c r="Q1395" t="s">
        <v>960</v>
      </c>
      <c r="R1395" t="s">
        <v>713</v>
      </c>
      <c r="S1395">
        <v>8</v>
      </c>
      <c r="T1395">
        <v>1</v>
      </c>
      <c r="U1395">
        <v>51.4</v>
      </c>
      <c r="V1395">
        <v>855296</v>
      </c>
    </row>
    <row r="1396" spans="1:22">
      <c r="A1396" t="s">
        <v>196</v>
      </c>
      <c r="B1396">
        <v>38</v>
      </c>
      <c r="C1396" t="s">
        <v>922</v>
      </c>
      <c r="D1396">
        <v>100</v>
      </c>
      <c r="E1396" t="s">
        <v>197</v>
      </c>
      <c r="F1396">
        <v>1005</v>
      </c>
      <c r="G1396" t="s">
        <v>923</v>
      </c>
      <c r="H1396">
        <v>2140</v>
      </c>
      <c r="I1396" t="s">
        <v>25</v>
      </c>
      <c r="J1396">
        <v>3219</v>
      </c>
      <c r="K1396" t="s">
        <v>1035</v>
      </c>
      <c r="L1396">
        <v>0</v>
      </c>
      <c r="N1396" t="s">
        <v>721</v>
      </c>
      <c r="O1396">
        <v>42</v>
      </c>
      <c r="P1396">
        <v>7638</v>
      </c>
      <c r="Q1396" t="s">
        <v>1036</v>
      </c>
      <c r="R1396" t="s">
        <v>713</v>
      </c>
      <c r="S1396">
        <v>5</v>
      </c>
      <c r="T1396">
        <v>1</v>
      </c>
      <c r="U1396">
        <v>67.8</v>
      </c>
      <c r="V1396">
        <v>705120</v>
      </c>
    </row>
    <row r="1397" spans="1:22">
      <c r="A1397" t="s">
        <v>196</v>
      </c>
      <c r="B1397">
        <v>38</v>
      </c>
      <c r="C1397" t="s">
        <v>922</v>
      </c>
      <c r="D1397">
        <v>100</v>
      </c>
      <c r="E1397" t="s">
        <v>197</v>
      </c>
      <c r="F1397">
        <v>1005</v>
      </c>
      <c r="G1397" t="s">
        <v>923</v>
      </c>
      <c r="H1397">
        <v>2140</v>
      </c>
      <c r="I1397" t="s">
        <v>25</v>
      </c>
      <c r="J1397">
        <v>3219</v>
      </c>
      <c r="K1397" t="s">
        <v>1035</v>
      </c>
      <c r="L1397">
        <v>0</v>
      </c>
      <c r="N1397" t="s">
        <v>721</v>
      </c>
      <c r="O1397">
        <v>42</v>
      </c>
      <c r="P1397">
        <v>7634</v>
      </c>
      <c r="Q1397" t="s">
        <v>1037</v>
      </c>
      <c r="R1397" t="s">
        <v>713</v>
      </c>
      <c r="S1397">
        <v>1</v>
      </c>
      <c r="T1397">
        <v>1</v>
      </c>
      <c r="U1397">
        <v>68.8</v>
      </c>
      <c r="V1397">
        <v>143104</v>
      </c>
    </row>
    <row r="1398" spans="1:22">
      <c r="A1398" t="s">
        <v>196</v>
      </c>
      <c r="B1398">
        <v>38</v>
      </c>
      <c r="C1398" t="s">
        <v>922</v>
      </c>
      <c r="D1398">
        <v>100</v>
      </c>
      <c r="E1398" t="s">
        <v>197</v>
      </c>
      <c r="F1398">
        <v>1005</v>
      </c>
      <c r="G1398" t="s">
        <v>923</v>
      </c>
      <c r="H1398">
        <v>2140</v>
      </c>
      <c r="I1398" t="s">
        <v>25</v>
      </c>
      <c r="J1398">
        <v>3219</v>
      </c>
      <c r="K1398" t="s">
        <v>1035</v>
      </c>
      <c r="L1398">
        <v>0</v>
      </c>
      <c r="N1398" t="s">
        <v>721</v>
      </c>
      <c r="O1398">
        <v>8</v>
      </c>
      <c r="P1398">
        <v>7186</v>
      </c>
      <c r="Q1398" t="s">
        <v>1038</v>
      </c>
      <c r="R1398" t="s">
        <v>713</v>
      </c>
      <c r="S1398">
        <v>15</v>
      </c>
      <c r="T1398">
        <v>1</v>
      </c>
      <c r="U1398">
        <v>49.46</v>
      </c>
      <c r="V1398">
        <v>1543152</v>
      </c>
    </row>
    <row r="1399" spans="1:22">
      <c r="A1399" t="s">
        <v>196</v>
      </c>
      <c r="B1399">
        <v>38</v>
      </c>
      <c r="C1399" t="s">
        <v>922</v>
      </c>
      <c r="D1399">
        <v>100</v>
      </c>
      <c r="E1399" t="s">
        <v>197</v>
      </c>
      <c r="F1399">
        <v>1005</v>
      </c>
      <c r="G1399" t="s">
        <v>923</v>
      </c>
      <c r="H1399">
        <v>2140</v>
      </c>
      <c r="I1399" t="s">
        <v>25</v>
      </c>
      <c r="J1399">
        <v>3219</v>
      </c>
      <c r="K1399" t="s">
        <v>1035</v>
      </c>
      <c r="L1399">
        <v>0</v>
      </c>
      <c r="N1399" t="s">
        <v>721</v>
      </c>
      <c r="O1399">
        <v>8</v>
      </c>
      <c r="P1399">
        <v>7185</v>
      </c>
      <c r="Q1399" t="s">
        <v>1039</v>
      </c>
      <c r="R1399" t="s">
        <v>713</v>
      </c>
      <c r="S1399">
        <v>1</v>
      </c>
      <c r="T1399">
        <v>1</v>
      </c>
      <c r="U1399">
        <v>52.38</v>
      </c>
      <c r="V1399">
        <v>108950</v>
      </c>
    </row>
    <row r="1400" spans="1:22">
      <c r="A1400" t="s">
        <v>196</v>
      </c>
      <c r="B1400">
        <v>38</v>
      </c>
      <c r="C1400" t="s">
        <v>922</v>
      </c>
      <c r="D1400">
        <v>100</v>
      </c>
      <c r="E1400" t="s">
        <v>197</v>
      </c>
      <c r="F1400">
        <v>1005</v>
      </c>
      <c r="G1400" t="s">
        <v>923</v>
      </c>
      <c r="H1400">
        <v>2140</v>
      </c>
      <c r="I1400" t="s">
        <v>25</v>
      </c>
      <c r="J1400">
        <v>3219</v>
      </c>
      <c r="K1400" t="s">
        <v>1035</v>
      </c>
      <c r="L1400">
        <v>0</v>
      </c>
      <c r="N1400" t="s">
        <v>721</v>
      </c>
      <c r="O1400">
        <v>8</v>
      </c>
      <c r="P1400">
        <v>7183</v>
      </c>
      <c r="Q1400" t="s">
        <v>986</v>
      </c>
      <c r="R1400" t="s">
        <v>713</v>
      </c>
      <c r="S1400">
        <v>6</v>
      </c>
      <c r="T1400">
        <v>1</v>
      </c>
      <c r="U1400">
        <v>48.73</v>
      </c>
      <c r="V1400">
        <v>608150</v>
      </c>
    </row>
    <row r="1401" spans="1:22">
      <c r="A1401" t="s">
        <v>196</v>
      </c>
      <c r="B1401">
        <v>38</v>
      </c>
      <c r="C1401" t="s">
        <v>922</v>
      </c>
      <c r="D1401">
        <v>100</v>
      </c>
      <c r="E1401" t="s">
        <v>197</v>
      </c>
      <c r="F1401">
        <v>1005</v>
      </c>
      <c r="G1401" t="s">
        <v>923</v>
      </c>
      <c r="H1401">
        <v>2140</v>
      </c>
      <c r="I1401" t="s">
        <v>25</v>
      </c>
      <c r="J1401">
        <v>3219</v>
      </c>
      <c r="K1401" t="s">
        <v>1035</v>
      </c>
      <c r="L1401">
        <v>0</v>
      </c>
      <c r="N1401" t="s">
        <v>721</v>
      </c>
      <c r="O1401">
        <v>8</v>
      </c>
      <c r="P1401">
        <v>7161</v>
      </c>
      <c r="Q1401" t="s">
        <v>1029</v>
      </c>
      <c r="R1401" t="s">
        <v>713</v>
      </c>
      <c r="S1401">
        <v>1</v>
      </c>
      <c r="T1401">
        <v>1</v>
      </c>
      <c r="U1401">
        <v>35.090000000000003</v>
      </c>
      <c r="V1401">
        <v>72987</v>
      </c>
    </row>
    <row r="1402" spans="1:22">
      <c r="A1402" t="s">
        <v>196</v>
      </c>
      <c r="B1402">
        <v>38</v>
      </c>
      <c r="C1402" t="s">
        <v>922</v>
      </c>
      <c r="D1402">
        <v>100</v>
      </c>
      <c r="E1402" t="s">
        <v>197</v>
      </c>
      <c r="F1402">
        <v>1005</v>
      </c>
      <c r="G1402" t="s">
        <v>923</v>
      </c>
      <c r="H1402">
        <v>2140</v>
      </c>
      <c r="I1402" t="s">
        <v>25</v>
      </c>
      <c r="J1402">
        <v>3219</v>
      </c>
      <c r="K1402" t="s">
        <v>1035</v>
      </c>
      <c r="L1402">
        <v>0</v>
      </c>
      <c r="N1402" t="s">
        <v>721</v>
      </c>
      <c r="O1402">
        <v>8</v>
      </c>
      <c r="P1402">
        <v>7160</v>
      </c>
      <c r="Q1402" t="s">
        <v>1030</v>
      </c>
      <c r="R1402" t="s">
        <v>713</v>
      </c>
      <c r="S1402">
        <v>12</v>
      </c>
      <c r="T1402">
        <v>1</v>
      </c>
      <c r="U1402">
        <v>33.619999999999997</v>
      </c>
      <c r="V1402">
        <v>839155</v>
      </c>
    </row>
    <row r="1403" spans="1:22">
      <c r="A1403" t="s">
        <v>196</v>
      </c>
      <c r="B1403">
        <v>38</v>
      </c>
      <c r="C1403" t="s">
        <v>922</v>
      </c>
      <c r="D1403">
        <v>100</v>
      </c>
      <c r="E1403" t="s">
        <v>197</v>
      </c>
      <c r="F1403">
        <v>1005</v>
      </c>
      <c r="G1403" t="s">
        <v>923</v>
      </c>
      <c r="H1403">
        <v>2140</v>
      </c>
      <c r="I1403" t="s">
        <v>25</v>
      </c>
      <c r="J1403">
        <v>3219</v>
      </c>
      <c r="K1403" t="s">
        <v>1035</v>
      </c>
      <c r="L1403">
        <v>0</v>
      </c>
      <c r="N1403" t="s">
        <v>1040</v>
      </c>
      <c r="O1403">
        <v>8</v>
      </c>
      <c r="P1403">
        <v>7136</v>
      </c>
      <c r="Q1403" t="s">
        <v>1041</v>
      </c>
      <c r="R1403" t="s">
        <v>201</v>
      </c>
      <c r="S1403">
        <v>3</v>
      </c>
      <c r="T1403">
        <v>1</v>
      </c>
      <c r="U1403">
        <v>108528</v>
      </c>
      <c r="V1403">
        <v>325584</v>
      </c>
    </row>
    <row r="1404" spans="1:22">
      <c r="A1404" t="s">
        <v>196</v>
      </c>
      <c r="B1404">
        <v>38</v>
      </c>
      <c r="C1404" t="s">
        <v>922</v>
      </c>
      <c r="D1404">
        <v>100</v>
      </c>
      <c r="E1404" t="s">
        <v>197</v>
      </c>
      <c r="F1404">
        <v>1005</v>
      </c>
      <c r="G1404" t="s">
        <v>923</v>
      </c>
      <c r="H1404">
        <v>2140</v>
      </c>
      <c r="I1404" t="s">
        <v>25</v>
      </c>
      <c r="J1404">
        <v>3219</v>
      </c>
      <c r="K1404" t="s">
        <v>1035</v>
      </c>
      <c r="L1404">
        <v>0</v>
      </c>
      <c r="N1404" t="s">
        <v>1040</v>
      </c>
      <c r="O1404">
        <v>8</v>
      </c>
      <c r="P1404">
        <v>7136</v>
      </c>
      <c r="Q1404" t="s">
        <v>1041</v>
      </c>
      <c r="R1404" t="s">
        <v>201</v>
      </c>
      <c r="S1404">
        <v>1</v>
      </c>
      <c r="T1404">
        <v>1</v>
      </c>
      <c r="U1404">
        <v>98892</v>
      </c>
      <c r="V1404">
        <v>98892</v>
      </c>
    </row>
    <row r="1405" spans="1:22">
      <c r="A1405" t="s">
        <v>196</v>
      </c>
      <c r="B1405">
        <v>38</v>
      </c>
      <c r="C1405" t="s">
        <v>922</v>
      </c>
      <c r="D1405">
        <v>100</v>
      </c>
      <c r="E1405" t="s">
        <v>197</v>
      </c>
      <c r="F1405">
        <v>1005</v>
      </c>
      <c r="G1405" t="s">
        <v>923</v>
      </c>
      <c r="H1405">
        <v>2140</v>
      </c>
      <c r="I1405" t="s">
        <v>25</v>
      </c>
      <c r="J1405">
        <v>3219</v>
      </c>
      <c r="K1405" t="s">
        <v>1035</v>
      </c>
      <c r="L1405">
        <v>0</v>
      </c>
      <c r="N1405" t="s">
        <v>1040</v>
      </c>
      <c r="O1405">
        <v>8</v>
      </c>
      <c r="P1405">
        <v>7136</v>
      </c>
      <c r="Q1405" t="s">
        <v>1041</v>
      </c>
      <c r="R1405" t="s">
        <v>201</v>
      </c>
      <c r="S1405">
        <v>3</v>
      </c>
      <c r="T1405">
        <v>1</v>
      </c>
      <c r="U1405">
        <v>82080</v>
      </c>
      <c r="V1405">
        <v>246240</v>
      </c>
    </row>
    <row r="1406" spans="1:22">
      <c r="A1406" t="s">
        <v>196</v>
      </c>
      <c r="B1406">
        <v>38</v>
      </c>
      <c r="C1406" t="s">
        <v>922</v>
      </c>
      <c r="D1406">
        <v>100</v>
      </c>
      <c r="E1406" t="s">
        <v>197</v>
      </c>
      <c r="F1406">
        <v>1005</v>
      </c>
      <c r="G1406" t="s">
        <v>923</v>
      </c>
      <c r="H1406">
        <v>2140</v>
      </c>
      <c r="I1406" t="s">
        <v>25</v>
      </c>
      <c r="J1406">
        <v>3219</v>
      </c>
      <c r="K1406" t="s">
        <v>1035</v>
      </c>
      <c r="L1406">
        <v>0</v>
      </c>
      <c r="N1406" t="s">
        <v>343</v>
      </c>
      <c r="O1406">
        <v>10</v>
      </c>
      <c r="P1406">
        <v>7133</v>
      </c>
      <c r="Q1406" t="s">
        <v>1042</v>
      </c>
      <c r="R1406" t="s">
        <v>201</v>
      </c>
      <c r="S1406">
        <v>1</v>
      </c>
      <c r="T1406">
        <v>1</v>
      </c>
      <c r="U1406">
        <v>157212</v>
      </c>
      <c r="V1406">
        <v>157212</v>
      </c>
    </row>
    <row r="1407" spans="1:22">
      <c r="A1407" t="s">
        <v>196</v>
      </c>
      <c r="B1407">
        <v>38</v>
      </c>
      <c r="C1407" t="s">
        <v>922</v>
      </c>
      <c r="D1407">
        <v>100</v>
      </c>
      <c r="E1407" t="s">
        <v>197</v>
      </c>
      <c r="F1407">
        <v>1005</v>
      </c>
      <c r="G1407" t="s">
        <v>923</v>
      </c>
      <c r="H1407">
        <v>2140</v>
      </c>
      <c r="I1407" t="s">
        <v>25</v>
      </c>
      <c r="J1407">
        <v>3219</v>
      </c>
      <c r="K1407" t="s">
        <v>1035</v>
      </c>
      <c r="L1407">
        <v>0</v>
      </c>
      <c r="N1407" t="s">
        <v>343</v>
      </c>
      <c r="O1407">
        <v>10</v>
      </c>
      <c r="P1407">
        <v>7133</v>
      </c>
      <c r="Q1407" t="s">
        <v>1042</v>
      </c>
      <c r="R1407" t="s">
        <v>201</v>
      </c>
      <c r="S1407">
        <v>1</v>
      </c>
      <c r="T1407">
        <v>1</v>
      </c>
      <c r="U1407">
        <v>124584</v>
      </c>
      <c r="V1407">
        <v>124584</v>
      </c>
    </row>
    <row r="1408" spans="1:22">
      <c r="A1408" t="s">
        <v>196</v>
      </c>
      <c r="B1408">
        <v>38</v>
      </c>
      <c r="C1408" t="s">
        <v>922</v>
      </c>
      <c r="D1408">
        <v>100</v>
      </c>
      <c r="E1408" t="s">
        <v>197</v>
      </c>
      <c r="F1408">
        <v>1005</v>
      </c>
      <c r="G1408" t="s">
        <v>923</v>
      </c>
      <c r="H1408">
        <v>2140</v>
      </c>
      <c r="I1408" t="s">
        <v>25</v>
      </c>
      <c r="J1408">
        <v>3219</v>
      </c>
      <c r="K1408" t="s">
        <v>1035</v>
      </c>
      <c r="L1408">
        <v>0</v>
      </c>
      <c r="N1408" t="s">
        <v>343</v>
      </c>
      <c r="O1408">
        <v>10</v>
      </c>
      <c r="P1408">
        <v>7133</v>
      </c>
      <c r="Q1408" t="s">
        <v>1042</v>
      </c>
      <c r="R1408" t="s">
        <v>201</v>
      </c>
      <c r="S1408">
        <v>1</v>
      </c>
      <c r="T1408">
        <v>1</v>
      </c>
      <c r="U1408">
        <v>97836</v>
      </c>
      <c r="V1408">
        <v>97836</v>
      </c>
    </row>
    <row r="1409" spans="1:22">
      <c r="A1409" t="s">
        <v>196</v>
      </c>
      <c r="B1409">
        <v>38</v>
      </c>
      <c r="C1409" t="s">
        <v>922</v>
      </c>
      <c r="D1409">
        <v>100</v>
      </c>
      <c r="E1409" t="s">
        <v>197</v>
      </c>
      <c r="F1409">
        <v>1005</v>
      </c>
      <c r="G1409" t="s">
        <v>923</v>
      </c>
      <c r="H1409">
        <v>2140</v>
      </c>
      <c r="I1409" t="s">
        <v>25</v>
      </c>
      <c r="J1409">
        <v>3219</v>
      </c>
      <c r="K1409" t="s">
        <v>1035</v>
      </c>
      <c r="L1409">
        <v>0</v>
      </c>
      <c r="N1409" t="s">
        <v>249</v>
      </c>
      <c r="O1409">
        <v>10</v>
      </c>
      <c r="P1409">
        <v>7047</v>
      </c>
      <c r="Q1409" t="s">
        <v>1043</v>
      </c>
      <c r="R1409" t="s">
        <v>201</v>
      </c>
      <c r="S1409">
        <v>1</v>
      </c>
      <c r="T1409">
        <v>1</v>
      </c>
      <c r="U1409">
        <v>150072</v>
      </c>
      <c r="V1409">
        <v>150072</v>
      </c>
    </row>
    <row r="1410" spans="1:22">
      <c r="A1410" t="s">
        <v>196</v>
      </c>
      <c r="B1410">
        <v>38</v>
      </c>
      <c r="C1410" t="s">
        <v>922</v>
      </c>
      <c r="D1410">
        <v>100</v>
      </c>
      <c r="E1410" t="s">
        <v>197</v>
      </c>
      <c r="F1410">
        <v>1005</v>
      </c>
      <c r="G1410" t="s">
        <v>923</v>
      </c>
      <c r="H1410">
        <v>2140</v>
      </c>
      <c r="I1410" t="s">
        <v>25</v>
      </c>
      <c r="J1410">
        <v>3219</v>
      </c>
      <c r="K1410" t="s">
        <v>1035</v>
      </c>
      <c r="L1410">
        <v>0</v>
      </c>
      <c r="N1410" t="s">
        <v>249</v>
      </c>
      <c r="O1410">
        <v>10</v>
      </c>
      <c r="P1410">
        <v>7047</v>
      </c>
      <c r="Q1410" t="s">
        <v>1043</v>
      </c>
      <c r="R1410" t="s">
        <v>201</v>
      </c>
      <c r="S1410">
        <v>1</v>
      </c>
      <c r="T1410">
        <v>1</v>
      </c>
      <c r="U1410">
        <v>136692</v>
      </c>
      <c r="V1410">
        <v>136692</v>
      </c>
    </row>
    <row r="1411" spans="1:22">
      <c r="A1411" t="s">
        <v>196</v>
      </c>
      <c r="B1411">
        <v>38</v>
      </c>
      <c r="C1411" t="s">
        <v>922</v>
      </c>
      <c r="D1411">
        <v>100</v>
      </c>
      <c r="E1411" t="s">
        <v>197</v>
      </c>
      <c r="F1411">
        <v>1005</v>
      </c>
      <c r="G1411" t="s">
        <v>923</v>
      </c>
      <c r="H1411">
        <v>2140</v>
      </c>
      <c r="I1411" t="s">
        <v>25</v>
      </c>
      <c r="J1411">
        <v>3219</v>
      </c>
      <c r="K1411" t="s">
        <v>1035</v>
      </c>
      <c r="L1411">
        <v>0</v>
      </c>
      <c r="N1411" t="s">
        <v>249</v>
      </c>
      <c r="O1411">
        <v>10</v>
      </c>
      <c r="P1411">
        <v>7047</v>
      </c>
      <c r="Q1411" t="s">
        <v>1043</v>
      </c>
      <c r="R1411" t="s">
        <v>201</v>
      </c>
      <c r="S1411">
        <v>2</v>
      </c>
      <c r="T1411">
        <v>1</v>
      </c>
      <c r="U1411">
        <v>102444</v>
      </c>
      <c r="V1411">
        <v>204888</v>
      </c>
    </row>
    <row r="1412" spans="1:22">
      <c r="A1412" t="s">
        <v>196</v>
      </c>
      <c r="B1412">
        <v>38</v>
      </c>
      <c r="C1412" t="s">
        <v>922</v>
      </c>
      <c r="D1412">
        <v>100</v>
      </c>
      <c r="E1412" t="s">
        <v>197</v>
      </c>
      <c r="F1412">
        <v>1005</v>
      </c>
      <c r="G1412" t="s">
        <v>923</v>
      </c>
      <c r="H1412">
        <v>2140</v>
      </c>
      <c r="I1412" t="s">
        <v>25</v>
      </c>
      <c r="J1412">
        <v>3219</v>
      </c>
      <c r="K1412" t="s">
        <v>1035</v>
      </c>
      <c r="L1412">
        <v>0</v>
      </c>
      <c r="N1412" t="s">
        <v>249</v>
      </c>
      <c r="O1412">
        <v>10</v>
      </c>
      <c r="P1412">
        <v>7047</v>
      </c>
      <c r="Q1412" t="s">
        <v>1043</v>
      </c>
      <c r="R1412" t="s">
        <v>201</v>
      </c>
      <c r="S1412">
        <v>2</v>
      </c>
      <c r="T1412">
        <v>1</v>
      </c>
      <c r="U1412">
        <v>89112</v>
      </c>
      <c r="V1412">
        <v>178224</v>
      </c>
    </row>
    <row r="1413" spans="1:22">
      <c r="A1413" t="s">
        <v>196</v>
      </c>
      <c r="B1413">
        <v>38</v>
      </c>
      <c r="C1413" t="s">
        <v>922</v>
      </c>
      <c r="D1413">
        <v>100</v>
      </c>
      <c r="E1413" t="s">
        <v>197</v>
      </c>
      <c r="F1413">
        <v>1005</v>
      </c>
      <c r="G1413" t="s">
        <v>923</v>
      </c>
      <c r="H1413">
        <v>2140</v>
      </c>
      <c r="I1413" t="s">
        <v>25</v>
      </c>
      <c r="J1413">
        <v>3219</v>
      </c>
      <c r="K1413" t="s">
        <v>1035</v>
      </c>
      <c r="L1413">
        <v>0</v>
      </c>
      <c r="N1413" t="s">
        <v>721</v>
      </c>
      <c r="O1413">
        <v>36</v>
      </c>
      <c r="P1413">
        <v>6679</v>
      </c>
      <c r="Q1413" t="s">
        <v>1044</v>
      </c>
      <c r="R1413" t="s">
        <v>713</v>
      </c>
      <c r="S1413">
        <v>10</v>
      </c>
      <c r="T1413">
        <v>1</v>
      </c>
      <c r="U1413">
        <v>64.39</v>
      </c>
      <c r="V1413">
        <v>1339312</v>
      </c>
    </row>
    <row r="1414" spans="1:22">
      <c r="A1414" t="s">
        <v>196</v>
      </c>
      <c r="B1414">
        <v>38</v>
      </c>
      <c r="C1414" t="s">
        <v>922</v>
      </c>
      <c r="D1414">
        <v>100</v>
      </c>
      <c r="E1414" t="s">
        <v>197</v>
      </c>
      <c r="F1414">
        <v>1005</v>
      </c>
      <c r="G1414" t="s">
        <v>923</v>
      </c>
      <c r="H1414">
        <v>2140</v>
      </c>
      <c r="I1414" t="s">
        <v>25</v>
      </c>
      <c r="J1414">
        <v>3219</v>
      </c>
      <c r="K1414" t="s">
        <v>1035</v>
      </c>
      <c r="L1414">
        <v>0</v>
      </c>
      <c r="N1414" t="s">
        <v>721</v>
      </c>
      <c r="O1414">
        <v>36</v>
      </c>
      <c r="P1414">
        <v>6673</v>
      </c>
      <c r="Q1414" t="s">
        <v>1045</v>
      </c>
      <c r="R1414" t="s">
        <v>713</v>
      </c>
      <c r="S1414">
        <v>69</v>
      </c>
      <c r="T1414">
        <v>1</v>
      </c>
      <c r="U1414">
        <v>60.39</v>
      </c>
      <c r="V1414">
        <v>8667173</v>
      </c>
    </row>
    <row r="1415" spans="1:22">
      <c r="A1415" t="s">
        <v>196</v>
      </c>
      <c r="B1415">
        <v>38</v>
      </c>
      <c r="C1415" t="s">
        <v>922</v>
      </c>
      <c r="D1415">
        <v>100</v>
      </c>
      <c r="E1415" t="s">
        <v>197</v>
      </c>
      <c r="F1415">
        <v>1005</v>
      </c>
      <c r="G1415" t="s">
        <v>923</v>
      </c>
      <c r="H1415">
        <v>2140</v>
      </c>
      <c r="I1415" t="s">
        <v>25</v>
      </c>
      <c r="J1415">
        <v>3219</v>
      </c>
      <c r="K1415" t="s">
        <v>1035</v>
      </c>
      <c r="L1415">
        <v>0</v>
      </c>
      <c r="N1415" t="s">
        <v>721</v>
      </c>
      <c r="O1415">
        <v>24</v>
      </c>
      <c r="P1415">
        <v>6607</v>
      </c>
      <c r="Q1415" t="s">
        <v>1046</v>
      </c>
      <c r="R1415" t="s">
        <v>713</v>
      </c>
      <c r="S1415">
        <v>2</v>
      </c>
      <c r="T1415">
        <v>1</v>
      </c>
      <c r="U1415">
        <v>61.15</v>
      </c>
      <c r="V1415">
        <v>254384</v>
      </c>
    </row>
    <row r="1416" spans="1:22">
      <c r="A1416" t="s">
        <v>196</v>
      </c>
      <c r="B1416">
        <v>38</v>
      </c>
      <c r="C1416" t="s">
        <v>922</v>
      </c>
      <c r="D1416">
        <v>100</v>
      </c>
      <c r="E1416" t="s">
        <v>197</v>
      </c>
      <c r="F1416">
        <v>1005</v>
      </c>
      <c r="G1416" t="s">
        <v>923</v>
      </c>
      <c r="H1416">
        <v>2140</v>
      </c>
      <c r="I1416" t="s">
        <v>25</v>
      </c>
      <c r="J1416">
        <v>3219</v>
      </c>
      <c r="K1416" t="s">
        <v>1035</v>
      </c>
      <c r="L1416">
        <v>0</v>
      </c>
      <c r="N1416" t="s">
        <v>721</v>
      </c>
      <c r="O1416">
        <v>24</v>
      </c>
      <c r="P1416">
        <v>6605</v>
      </c>
      <c r="Q1416" t="s">
        <v>1047</v>
      </c>
      <c r="R1416" t="s">
        <v>713</v>
      </c>
      <c r="S1416">
        <v>18</v>
      </c>
      <c r="T1416">
        <v>1</v>
      </c>
      <c r="U1416">
        <v>56.1</v>
      </c>
      <c r="V1416">
        <v>2100384</v>
      </c>
    </row>
    <row r="1417" spans="1:22">
      <c r="A1417" t="s">
        <v>196</v>
      </c>
      <c r="B1417">
        <v>38</v>
      </c>
      <c r="C1417" t="s">
        <v>922</v>
      </c>
      <c r="D1417">
        <v>100</v>
      </c>
      <c r="E1417" t="s">
        <v>197</v>
      </c>
      <c r="F1417">
        <v>1005</v>
      </c>
      <c r="G1417" t="s">
        <v>923</v>
      </c>
      <c r="H1417">
        <v>2140</v>
      </c>
      <c r="I1417" t="s">
        <v>25</v>
      </c>
      <c r="J1417">
        <v>3219</v>
      </c>
      <c r="K1417" t="s">
        <v>1035</v>
      </c>
      <c r="L1417">
        <v>0</v>
      </c>
      <c r="N1417" t="s">
        <v>721</v>
      </c>
      <c r="O1417">
        <v>32</v>
      </c>
      <c r="P1417">
        <v>5045</v>
      </c>
      <c r="Q1417" t="s">
        <v>1048</v>
      </c>
      <c r="R1417" t="s">
        <v>713</v>
      </c>
      <c r="S1417">
        <v>2</v>
      </c>
      <c r="T1417">
        <v>1</v>
      </c>
      <c r="U1417">
        <v>63.53</v>
      </c>
      <c r="V1417">
        <v>264285</v>
      </c>
    </row>
    <row r="1418" spans="1:22">
      <c r="A1418" t="s">
        <v>196</v>
      </c>
      <c r="B1418">
        <v>38</v>
      </c>
      <c r="C1418" t="s">
        <v>922</v>
      </c>
      <c r="D1418">
        <v>100</v>
      </c>
      <c r="E1418" t="s">
        <v>197</v>
      </c>
      <c r="F1418">
        <v>1005</v>
      </c>
      <c r="G1418" t="s">
        <v>923</v>
      </c>
      <c r="H1418">
        <v>2140</v>
      </c>
      <c r="I1418" t="s">
        <v>25</v>
      </c>
      <c r="J1418">
        <v>3219</v>
      </c>
      <c r="K1418" t="s">
        <v>1035</v>
      </c>
      <c r="L1418">
        <v>0</v>
      </c>
      <c r="N1418" t="s">
        <v>721</v>
      </c>
      <c r="O1418">
        <v>32</v>
      </c>
      <c r="P1418">
        <v>5034</v>
      </c>
      <c r="Q1418" t="s">
        <v>1049</v>
      </c>
      <c r="R1418" t="s">
        <v>713</v>
      </c>
      <c r="S1418">
        <v>33</v>
      </c>
      <c r="T1418">
        <v>1</v>
      </c>
      <c r="U1418">
        <v>57.75</v>
      </c>
      <c r="V1418">
        <v>3963960</v>
      </c>
    </row>
    <row r="1419" spans="1:22">
      <c r="A1419" t="s">
        <v>196</v>
      </c>
      <c r="B1419">
        <v>38</v>
      </c>
      <c r="C1419" t="s">
        <v>922</v>
      </c>
      <c r="D1419">
        <v>100</v>
      </c>
      <c r="E1419" t="s">
        <v>197</v>
      </c>
      <c r="F1419">
        <v>1005</v>
      </c>
      <c r="G1419" t="s">
        <v>923</v>
      </c>
      <c r="H1419">
        <v>2140</v>
      </c>
      <c r="I1419" t="s">
        <v>25</v>
      </c>
      <c r="J1419">
        <v>3219</v>
      </c>
      <c r="K1419" t="s">
        <v>1035</v>
      </c>
      <c r="L1419">
        <v>0</v>
      </c>
      <c r="N1419" t="s">
        <v>721</v>
      </c>
      <c r="O1419">
        <v>41</v>
      </c>
      <c r="P1419">
        <v>4856</v>
      </c>
      <c r="Q1419" t="s">
        <v>968</v>
      </c>
      <c r="R1419" t="s">
        <v>713</v>
      </c>
      <c r="S1419">
        <v>1</v>
      </c>
      <c r="T1419">
        <v>1</v>
      </c>
      <c r="U1419">
        <v>58.95</v>
      </c>
      <c r="V1419">
        <v>122616</v>
      </c>
    </row>
    <row r="1420" spans="1:22">
      <c r="A1420" t="s">
        <v>196</v>
      </c>
      <c r="B1420">
        <v>38</v>
      </c>
      <c r="C1420" t="s">
        <v>922</v>
      </c>
      <c r="D1420">
        <v>100</v>
      </c>
      <c r="E1420" t="s">
        <v>197</v>
      </c>
      <c r="F1420">
        <v>1005</v>
      </c>
      <c r="G1420" t="s">
        <v>923</v>
      </c>
      <c r="H1420">
        <v>2140</v>
      </c>
      <c r="I1420" t="s">
        <v>25</v>
      </c>
      <c r="J1420">
        <v>3219</v>
      </c>
      <c r="K1420" t="s">
        <v>1035</v>
      </c>
      <c r="L1420">
        <v>0</v>
      </c>
      <c r="N1420" t="s">
        <v>721</v>
      </c>
      <c r="O1420">
        <v>41</v>
      </c>
      <c r="P1420">
        <v>4855</v>
      </c>
      <c r="Q1420" t="s">
        <v>969</v>
      </c>
      <c r="R1420" t="s">
        <v>713</v>
      </c>
      <c r="S1420">
        <v>4</v>
      </c>
      <c r="T1420">
        <v>1</v>
      </c>
      <c r="U1420">
        <v>54.58</v>
      </c>
      <c r="V1420">
        <v>454106</v>
      </c>
    </row>
    <row r="1421" spans="1:22">
      <c r="A1421" t="s">
        <v>196</v>
      </c>
      <c r="B1421">
        <v>38</v>
      </c>
      <c r="C1421" t="s">
        <v>922</v>
      </c>
      <c r="D1421">
        <v>100</v>
      </c>
      <c r="E1421" t="s">
        <v>197</v>
      </c>
      <c r="F1421">
        <v>1005</v>
      </c>
      <c r="G1421" t="s">
        <v>923</v>
      </c>
      <c r="H1421">
        <v>2140</v>
      </c>
      <c r="I1421" t="s">
        <v>25</v>
      </c>
      <c r="J1421">
        <v>3219</v>
      </c>
      <c r="K1421" t="s">
        <v>1035</v>
      </c>
      <c r="L1421">
        <v>0</v>
      </c>
      <c r="N1421" t="s">
        <v>721</v>
      </c>
      <c r="O1421">
        <v>39</v>
      </c>
      <c r="P1421">
        <v>4605</v>
      </c>
      <c r="Q1421" t="s">
        <v>1050</v>
      </c>
      <c r="R1421" t="s">
        <v>713</v>
      </c>
      <c r="S1421">
        <v>3</v>
      </c>
      <c r="T1421">
        <v>1</v>
      </c>
      <c r="U1421">
        <v>54.3</v>
      </c>
      <c r="V1421">
        <v>338832</v>
      </c>
    </row>
    <row r="1422" spans="1:22">
      <c r="A1422" t="s">
        <v>196</v>
      </c>
      <c r="B1422">
        <v>38</v>
      </c>
      <c r="C1422" t="s">
        <v>922</v>
      </c>
      <c r="D1422">
        <v>100</v>
      </c>
      <c r="E1422" t="s">
        <v>197</v>
      </c>
      <c r="F1422">
        <v>1005</v>
      </c>
      <c r="G1422" t="s">
        <v>923</v>
      </c>
      <c r="H1422">
        <v>2140</v>
      </c>
      <c r="I1422" t="s">
        <v>25</v>
      </c>
      <c r="J1422">
        <v>3219</v>
      </c>
      <c r="K1422" t="s">
        <v>1035</v>
      </c>
      <c r="L1422">
        <v>0</v>
      </c>
      <c r="N1422" t="s">
        <v>341</v>
      </c>
      <c r="O1422">
        <v>1</v>
      </c>
      <c r="P1422">
        <v>308</v>
      </c>
      <c r="Q1422" t="s">
        <v>355</v>
      </c>
      <c r="R1422" t="s">
        <v>201</v>
      </c>
      <c r="S1422">
        <v>1</v>
      </c>
      <c r="T1422">
        <v>1</v>
      </c>
      <c r="U1422">
        <v>119100</v>
      </c>
      <c r="V1422">
        <v>119100</v>
      </c>
    </row>
    <row r="1423" spans="1:22">
      <c r="A1423" t="s">
        <v>196</v>
      </c>
      <c r="B1423">
        <v>38</v>
      </c>
      <c r="C1423" t="s">
        <v>922</v>
      </c>
      <c r="D1423">
        <v>100</v>
      </c>
      <c r="E1423" t="s">
        <v>197</v>
      </c>
      <c r="F1423">
        <v>1005</v>
      </c>
      <c r="G1423" t="s">
        <v>923</v>
      </c>
      <c r="H1423">
        <v>2140</v>
      </c>
      <c r="I1423" t="s">
        <v>25</v>
      </c>
      <c r="J1423">
        <v>3219</v>
      </c>
      <c r="K1423" t="s">
        <v>1035</v>
      </c>
      <c r="L1423">
        <v>0</v>
      </c>
      <c r="N1423" t="s">
        <v>199</v>
      </c>
      <c r="O1423">
        <v>0</v>
      </c>
      <c r="P1423">
        <v>15</v>
      </c>
      <c r="Q1423" t="s">
        <v>264</v>
      </c>
      <c r="R1423" t="s">
        <v>201</v>
      </c>
      <c r="S1423">
        <v>0</v>
      </c>
      <c r="T1423">
        <v>0</v>
      </c>
      <c r="U1423">
        <v>17874</v>
      </c>
      <c r="V1423">
        <v>17874</v>
      </c>
    </row>
    <row r="1424" spans="1:22">
      <c r="A1424" t="s">
        <v>196</v>
      </c>
      <c r="B1424">
        <v>38</v>
      </c>
      <c r="C1424" t="s">
        <v>922</v>
      </c>
      <c r="D1424">
        <v>100</v>
      </c>
      <c r="E1424" t="s">
        <v>197</v>
      </c>
      <c r="F1424">
        <v>1005</v>
      </c>
      <c r="G1424" t="s">
        <v>923</v>
      </c>
      <c r="H1424">
        <v>2140</v>
      </c>
      <c r="I1424" t="s">
        <v>25</v>
      </c>
      <c r="J1424">
        <v>3219</v>
      </c>
      <c r="K1424" t="s">
        <v>1035</v>
      </c>
      <c r="L1424">
        <v>0</v>
      </c>
      <c r="N1424" t="s">
        <v>199</v>
      </c>
      <c r="O1424">
        <v>0</v>
      </c>
      <c r="P1424">
        <v>12</v>
      </c>
      <c r="Q1424" t="s">
        <v>724</v>
      </c>
      <c r="R1424" t="s">
        <v>201</v>
      </c>
      <c r="S1424">
        <v>0</v>
      </c>
      <c r="T1424">
        <v>0</v>
      </c>
      <c r="U1424">
        <v>335714</v>
      </c>
      <c r="V1424">
        <v>335714</v>
      </c>
    </row>
    <row r="1425" spans="1:22">
      <c r="A1425" t="s">
        <v>196</v>
      </c>
      <c r="B1425">
        <v>38</v>
      </c>
      <c r="C1425" t="s">
        <v>922</v>
      </c>
      <c r="D1425">
        <v>100</v>
      </c>
      <c r="E1425" t="s">
        <v>197</v>
      </c>
      <c r="F1425">
        <v>1005</v>
      </c>
      <c r="G1425" t="s">
        <v>923</v>
      </c>
      <c r="H1425">
        <v>2140</v>
      </c>
      <c r="I1425" t="s">
        <v>25</v>
      </c>
      <c r="J1425">
        <v>3220</v>
      </c>
      <c r="K1425" t="s">
        <v>1051</v>
      </c>
      <c r="L1425">
        <v>0</v>
      </c>
      <c r="N1425" t="s">
        <v>721</v>
      </c>
      <c r="O1425">
        <v>8</v>
      </c>
      <c r="P1425">
        <v>7186</v>
      </c>
      <c r="Q1425" t="s">
        <v>1038</v>
      </c>
      <c r="R1425" t="s">
        <v>713</v>
      </c>
      <c r="S1425">
        <v>2</v>
      </c>
      <c r="T1425">
        <v>1</v>
      </c>
      <c r="U1425">
        <v>49.46</v>
      </c>
      <c r="V1425">
        <v>205754</v>
      </c>
    </row>
    <row r="1426" spans="1:22">
      <c r="A1426" t="s">
        <v>196</v>
      </c>
      <c r="B1426">
        <v>38</v>
      </c>
      <c r="C1426" t="s">
        <v>922</v>
      </c>
      <c r="D1426">
        <v>100</v>
      </c>
      <c r="E1426" t="s">
        <v>197</v>
      </c>
      <c r="F1426">
        <v>1005</v>
      </c>
      <c r="G1426" t="s">
        <v>923</v>
      </c>
      <c r="H1426">
        <v>2140</v>
      </c>
      <c r="I1426" t="s">
        <v>25</v>
      </c>
      <c r="J1426">
        <v>3220</v>
      </c>
      <c r="K1426" t="s">
        <v>1051</v>
      </c>
      <c r="L1426">
        <v>0</v>
      </c>
      <c r="N1426" t="s">
        <v>249</v>
      </c>
      <c r="O1426">
        <v>10</v>
      </c>
      <c r="P1426">
        <v>7141</v>
      </c>
      <c r="Q1426" t="s">
        <v>1052</v>
      </c>
      <c r="R1426" t="s">
        <v>201</v>
      </c>
      <c r="S1426">
        <v>1</v>
      </c>
      <c r="T1426">
        <v>1</v>
      </c>
      <c r="U1426">
        <v>130524</v>
      </c>
      <c r="V1426">
        <v>130524</v>
      </c>
    </row>
    <row r="1427" spans="1:22">
      <c r="A1427" t="s">
        <v>196</v>
      </c>
      <c r="B1427">
        <v>38</v>
      </c>
      <c r="C1427" t="s">
        <v>922</v>
      </c>
      <c r="D1427">
        <v>100</v>
      </c>
      <c r="E1427" t="s">
        <v>197</v>
      </c>
      <c r="F1427">
        <v>1005</v>
      </c>
      <c r="G1427" t="s">
        <v>923</v>
      </c>
      <c r="H1427">
        <v>2140</v>
      </c>
      <c r="I1427" t="s">
        <v>25</v>
      </c>
      <c r="J1427">
        <v>3220</v>
      </c>
      <c r="K1427" t="s">
        <v>1051</v>
      </c>
      <c r="L1427">
        <v>0</v>
      </c>
      <c r="N1427" t="s">
        <v>721</v>
      </c>
      <c r="O1427">
        <v>8</v>
      </c>
      <c r="P1427">
        <v>7127</v>
      </c>
      <c r="Q1427" t="s">
        <v>1053</v>
      </c>
      <c r="R1427" t="s">
        <v>713</v>
      </c>
      <c r="S1427">
        <v>2</v>
      </c>
      <c r="T1427">
        <v>1</v>
      </c>
      <c r="U1427">
        <v>51.29</v>
      </c>
      <c r="V1427">
        <v>213366</v>
      </c>
    </row>
    <row r="1428" spans="1:22">
      <c r="A1428" t="s">
        <v>196</v>
      </c>
      <c r="B1428">
        <v>38</v>
      </c>
      <c r="C1428" t="s">
        <v>922</v>
      </c>
      <c r="D1428">
        <v>100</v>
      </c>
      <c r="E1428" t="s">
        <v>197</v>
      </c>
      <c r="F1428">
        <v>1005</v>
      </c>
      <c r="G1428" t="s">
        <v>923</v>
      </c>
      <c r="H1428">
        <v>2140</v>
      </c>
      <c r="I1428" t="s">
        <v>25</v>
      </c>
      <c r="J1428">
        <v>3220</v>
      </c>
      <c r="K1428" t="s">
        <v>1051</v>
      </c>
      <c r="L1428">
        <v>0</v>
      </c>
      <c r="N1428" t="s">
        <v>721</v>
      </c>
      <c r="O1428">
        <v>8</v>
      </c>
      <c r="P1428">
        <v>7124</v>
      </c>
      <c r="Q1428" t="s">
        <v>1054</v>
      </c>
      <c r="R1428" t="s">
        <v>713</v>
      </c>
      <c r="S1428">
        <v>9</v>
      </c>
      <c r="T1428">
        <v>1</v>
      </c>
      <c r="U1428">
        <v>49.58</v>
      </c>
      <c r="V1428">
        <v>928138</v>
      </c>
    </row>
    <row r="1429" spans="1:22">
      <c r="A1429" t="s">
        <v>196</v>
      </c>
      <c r="B1429">
        <v>38</v>
      </c>
      <c r="C1429" t="s">
        <v>922</v>
      </c>
      <c r="D1429">
        <v>100</v>
      </c>
      <c r="E1429" t="s">
        <v>197</v>
      </c>
      <c r="F1429">
        <v>1005</v>
      </c>
      <c r="G1429" t="s">
        <v>923</v>
      </c>
      <c r="H1429">
        <v>2140</v>
      </c>
      <c r="I1429" t="s">
        <v>25</v>
      </c>
      <c r="J1429">
        <v>3220</v>
      </c>
      <c r="K1429" t="s">
        <v>1051</v>
      </c>
      <c r="L1429">
        <v>0</v>
      </c>
      <c r="N1429" t="s">
        <v>721</v>
      </c>
      <c r="O1429">
        <v>36</v>
      </c>
      <c r="P1429">
        <v>6673</v>
      </c>
      <c r="Q1429" t="s">
        <v>1045</v>
      </c>
      <c r="R1429" t="s">
        <v>713</v>
      </c>
      <c r="S1429">
        <v>8</v>
      </c>
      <c r="T1429">
        <v>1</v>
      </c>
      <c r="U1429">
        <v>60.39</v>
      </c>
      <c r="V1429">
        <v>1004890</v>
      </c>
    </row>
    <row r="1430" spans="1:22">
      <c r="A1430" t="s">
        <v>196</v>
      </c>
      <c r="B1430">
        <v>38</v>
      </c>
      <c r="C1430" t="s">
        <v>922</v>
      </c>
      <c r="D1430">
        <v>100</v>
      </c>
      <c r="E1430" t="s">
        <v>197</v>
      </c>
      <c r="F1430">
        <v>1005</v>
      </c>
      <c r="G1430" t="s">
        <v>923</v>
      </c>
      <c r="H1430">
        <v>2140</v>
      </c>
      <c r="I1430" t="s">
        <v>25</v>
      </c>
      <c r="J1430">
        <v>3220</v>
      </c>
      <c r="K1430" t="s">
        <v>1051</v>
      </c>
      <c r="L1430">
        <v>0</v>
      </c>
      <c r="N1430" t="s">
        <v>721</v>
      </c>
      <c r="O1430">
        <v>32</v>
      </c>
      <c r="P1430">
        <v>5034</v>
      </c>
      <c r="Q1430" t="s">
        <v>1049</v>
      </c>
      <c r="R1430" t="s">
        <v>713</v>
      </c>
      <c r="S1430">
        <v>5</v>
      </c>
      <c r="T1430">
        <v>1</v>
      </c>
      <c r="U1430">
        <v>57.75</v>
      </c>
      <c r="V1430">
        <v>600600</v>
      </c>
    </row>
    <row r="1431" spans="1:22">
      <c r="A1431" t="s">
        <v>196</v>
      </c>
      <c r="B1431">
        <v>38</v>
      </c>
      <c r="C1431" t="s">
        <v>922</v>
      </c>
      <c r="D1431">
        <v>100</v>
      </c>
      <c r="E1431" t="s">
        <v>197</v>
      </c>
      <c r="F1431">
        <v>1005</v>
      </c>
      <c r="G1431" t="s">
        <v>923</v>
      </c>
      <c r="H1431">
        <v>2140</v>
      </c>
      <c r="I1431" t="s">
        <v>25</v>
      </c>
      <c r="J1431">
        <v>3220</v>
      </c>
      <c r="K1431" t="s">
        <v>1051</v>
      </c>
      <c r="L1431">
        <v>0</v>
      </c>
      <c r="N1431" t="s">
        <v>199</v>
      </c>
      <c r="O1431">
        <v>0</v>
      </c>
      <c r="P1431">
        <v>15</v>
      </c>
      <c r="Q1431" t="s">
        <v>264</v>
      </c>
      <c r="R1431" t="s">
        <v>201</v>
      </c>
      <c r="S1431">
        <v>0</v>
      </c>
      <c r="T1431">
        <v>0</v>
      </c>
      <c r="U1431">
        <v>4883</v>
      </c>
      <c r="V1431">
        <v>4883</v>
      </c>
    </row>
    <row r="1432" spans="1:22">
      <c r="A1432" t="s">
        <v>196</v>
      </c>
      <c r="B1432">
        <v>38</v>
      </c>
      <c r="C1432" t="s">
        <v>922</v>
      </c>
      <c r="D1432">
        <v>100</v>
      </c>
      <c r="E1432" t="s">
        <v>197</v>
      </c>
      <c r="F1432">
        <v>1005</v>
      </c>
      <c r="G1432" t="s">
        <v>923</v>
      </c>
      <c r="H1432">
        <v>2140</v>
      </c>
      <c r="I1432" t="s">
        <v>25</v>
      </c>
      <c r="J1432">
        <v>3220</v>
      </c>
      <c r="K1432" t="s">
        <v>1051</v>
      </c>
      <c r="L1432">
        <v>0</v>
      </c>
      <c r="N1432" t="s">
        <v>199</v>
      </c>
      <c r="O1432">
        <v>0</v>
      </c>
      <c r="P1432">
        <v>12</v>
      </c>
      <c r="Q1432" t="s">
        <v>724</v>
      </c>
      <c r="R1432" t="s">
        <v>201</v>
      </c>
      <c r="S1432">
        <v>0</v>
      </c>
      <c r="T1432">
        <v>0</v>
      </c>
      <c r="U1432">
        <v>44290</v>
      </c>
      <c r="V1432">
        <v>44290</v>
      </c>
    </row>
    <row r="1433" spans="1:22">
      <c r="A1433" t="s">
        <v>196</v>
      </c>
      <c r="B1433">
        <v>38</v>
      </c>
      <c r="C1433" t="s">
        <v>922</v>
      </c>
      <c r="D1433">
        <v>100</v>
      </c>
      <c r="E1433" t="s">
        <v>197</v>
      </c>
      <c r="F1433">
        <v>1005</v>
      </c>
      <c r="G1433" t="s">
        <v>923</v>
      </c>
      <c r="H1433">
        <v>2140</v>
      </c>
      <c r="I1433" t="s">
        <v>25</v>
      </c>
      <c r="J1433">
        <v>3226</v>
      </c>
      <c r="K1433" t="s">
        <v>1055</v>
      </c>
      <c r="L1433">
        <v>0</v>
      </c>
      <c r="N1433" t="s">
        <v>721</v>
      </c>
      <c r="O1433">
        <v>8</v>
      </c>
      <c r="P1433">
        <v>7183</v>
      </c>
      <c r="Q1433" t="s">
        <v>986</v>
      </c>
      <c r="R1433" t="s">
        <v>713</v>
      </c>
      <c r="S1433">
        <v>1</v>
      </c>
      <c r="T1433">
        <v>1</v>
      </c>
      <c r="U1433">
        <v>48.73</v>
      </c>
      <c r="V1433">
        <v>101358</v>
      </c>
    </row>
    <row r="1434" spans="1:22">
      <c r="A1434" t="s">
        <v>196</v>
      </c>
      <c r="B1434">
        <v>38</v>
      </c>
      <c r="C1434" t="s">
        <v>922</v>
      </c>
      <c r="D1434">
        <v>100</v>
      </c>
      <c r="E1434" t="s">
        <v>197</v>
      </c>
      <c r="F1434">
        <v>1005</v>
      </c>
      <c r="G1434" t="s">
        <v>923</v>
      </c>
      <c r="H1434">
        <v>2140</v>
      </c>
      <c r="I1434" t="s">
        <v>25</v>
      </c>
      <c r="J1434">
        <v>3226</v>
      </c>
      <c r="K1434" t="s">
        <v>1055</v>
      </c>
      <c r="L1434">
        <v>0</v>
      </c>
      <c r="N1434" t="s">
        <v>721</v>
      </c>
      <c r="O1434">
        <v>8</v>
      </c>
      <c r="P1434">
        <v>7161</v>
      </c>
      <c r="Q1434" t="s">
        <v>1029</v>
      </c>
      <c r="R1434" t="s">
        <v>713</v>
      </c>
      <c r="S1434">
        <v>1</v>
      </c>
      <c r="T1434">
        <v>1</v>
      </c>
      <c r="U1434">
        <v>35.090000000000003</v>
      </c>
      <c r="V1434">
        <v>72987</v>
      </c>
    </row>
    <row r="1435" spans="1:22">
      <c r="A1435" t="s">
        <v>196</v>
      </c>
      <c r="B1435">
        <v>38</v>
      </c>
      <c r="C1435" t="s">
        <v>922</v>
      </c>
      <c r="D1435">
        <v>100</v>
      </c>
      <c r="E1435" t="s">
        <v>197</v>
      </c>
      <c r="F1435">
        <v>1005</v>
      </c>
      <c r="G1435" t="s">
        <v>923</v>
      </c>
      <c r="H1435">
        <v>2140</v>
      </c>
      <c r="I1435" t="s">
        <v>25</v>
      </c>
      <c r="J1435">
        <v>3226</v>
      </c>
      <c r="K1435" t="s">
        <v>1055</v>
      </c>
      <c r="L1435">
        <v>0</v>
      </c>
      <c r="N1435" t="s">
        <v>721</v>
      </c>
      <c r="O1435">
        <v>8</v>
      </c>
      <c r="P1435">
        <v>7160</v>
      </c>
      <c r="Q1435" t="s">
        <v>1030</v>
      </c>
      <c r="R1435" t="s">
        <v>713</v>
      </c>
      <c r="S1435">
        <v>18</v>
      </c>
      <c r="T1435">
        <v>1</v>
      </c>
      <c r="U1435">
        <v>33.619999999999997</v>
      </c>
      <c r="V1435">
        <v>1258733</v>
      </c>
    </row>
    <row r="1436" spans="1:22">
      <c r="A1436" t="s">
        <v>196</v>
      </c>
      <c r="B1436">
        <v>38</v>
      </c>
      <c r="C1436" t="s">
        <v>922</v>
      </c>
      <c r="D1436">
        <v>100</v>
      </c>
      <c r="E1436" t="s">
        <v>197</v>
      </c>
      <c r="F1436">
        <v>1005</v>
      </c>
      <c r="G1436" t="s">
        <v>923</v>
      </c>
      <c r="H1436">
        <v>2140</v>
      </c>
      <c r="I1436" t="s">
        <v>25</v>
      </c>
      <c r="J1436">
        <v>3226</v>
      </c>
      <c r="K1436" t="s">
        <v>1055</v>
      </c>
      <c r="L1436">
        <v>0</v>
      </c>
      <c r="N1436" t="s">
        <v>1056</v>
      </c>
      <c r="O1436">
        <v>36</v>
      </c>
      <c r="P1436">
        <v>7139</v>
      </c>
      <c r="Q1436" t="s">
        <v>1057</v>
      </c>
      <c r="R1436" t="s">
        <v>201</v>
      </c>
      <c r="S1436">
        <v>3</v>
      </c>
      <c r="T1436">
        <v>1</v>
      </c>
      <c r="U1436">
        <v>108528</v>
      </c>
      <c r="V1436">
        <v>325584</v>
      </c>
    </row>
    <row r="1437" spans="1:22">
      <c r="A1437" t="s">
        <v>196</v>
      </c>
      <c r="B1437">
        <v>38</v>
      </c>
      <c r="C1437" t="s">
        <v>922</v>
      </c>
      <c r="D1437">
        <v>100</v>
      </c>
      <c r="E1437" t="s">
        <v>197</v>
      </c>
      <c r="F1437">
        <v>1005</v>
      </c>
      <c r="G1437" t="s">
        <v>923</v>
      </c>
      <c r="H1437">
        <v>2140</v>
      </c>
      <c r="I1437" t="s">
        <v>25</v>
      </c>
      <c r="J1437">
        <v>3226</v>
      </c>
      <c r="K1437" t="s">
        <v>1055</v>
      </c>
      <c r="L1437">
        <v>0</v>
      </c>
      <c r="N1437" t="s">
        <v>1056</v>
      </c>
      <c r="O1437">
        <v>36</v>
      </c>
      <c r="P1437">
        <v>7139</v>
      </c>
      <c r="Q1437" t="s">
        <v>1057</v>
      </c>
      <c r="R1437" t="s">
        <v>201</v>
      </c>
      <c r="S1437">
        <v>2</v>
      </c>
      <c r="T1437">
        <v>1</v>
      </c>
      <c r="U1437">
        <v>103572</v>
      </c>
      <c r="V1437">
        <v>207144</v>
      </c>
    </row>
    <row r="1438" spans="1:22">
      <c r="A1438" t="s">
        <v>196</v>
      </c>
      <c r="B1438">
        <v>38</v>
      </c>
      <c r="C1438" t="s">
        <v>922</v>
      </c>
      <c r="D1438">
        <v>100</v>
      </c>
      <c r="E1438" t="s">
        <v>197</v>
      </c>
      <c r="F1438">
        <v>1005</v>
      </c>
      <c r="G1438" t="s">
        <v>923</v>
      </c>
      <c r="H1438">
        <v>2140</v>
      </c>
      <c r="I1438" t="s">
        <v>25</v>
      </c>
      <c r="J1438">
        <v>3226</v>
      </c>
      <c r="K1438" t="s">
        <v>1055</v>
      </c>
      <c r="L1438">
        <v>0</v>
      </c>
      <c r="N1438" t="s">
        <v>1056</v>
      </c>
      <c r="O1438">
        <v>36</v>
      </c>
      <c r="P1438">
        <v>7139</v>
      </c>
      <c r="Q1438" t="s">
        <v>1057</v>
      </c>
      <c r="R1438" t="s">
        <v>201</v>
      </c>
      <c r="S1438">
        <v>2</v>
      </c>
      <c r="T1438">
        <v>1</v>
      </c>
      <c r="U1438">
        <v>98892</v>
      </c>
      <c r="V1438">
        <v>197784</v>
      </c>
    </row>
    <row r="1439" spans="1:22">
      <c r="A1439" t="s">
        <v>196</v>
      </c>
      <c r="B1439">
        <v>38</v>
      </c>
      <c r="C1439" t="s">
        <v>922</v>
      </c>
      <c r="D1439">
        <v>100</v>
      </c>
      <c r="E1439" t="s">
        <v>197</v>
      </c>
      <c r="F1439">
        <v>1005</v>
      </c>
      <c r="G1439" t="s">
        <v>923</v>
      </c>
      <c r="H1439">
        <v>2140</v>
      </c>
      <c r="I1439" t="s">
        <v>25</v>
      </c>
      <c r="J1439">
        <v>3226</v>
      </c>
      <c r="K1439" t="s">
        <v>1055</v>
      </c>
      <c r="L1439">
        <v>0</v>
      </c>
      <c r="N1439" t="s">
        <v>1056</v>
      </c>
      <c r="O1439">
        <v>36</v>
      </c>
      <c r="P1439">
        <v>7139</v>
      </c>
      <c r="Q1439" t="s">
        <v>1057</v>
      </c>
      <c r="R1439" t="s">
        <v>201</v>
      </c>
      <c r="S1439">
        <v>3</v>
      </c>
      <c r="T1439">
        <v>1</v>
      </c>
      <c r="U1439">
        <v>64440</v>
      </c>
      <c r="V1439">
        <v>193320</v>
      </c>
    </row>
    <row r="1440" spans="1:22">
      <c r="A1440" t="s">
        <v>196</v>
      </c>
      <c r="B1440">
        <v>38</v>
      </c>
      <c r="C1440" t="s">
        <v>922</v>
      </c>
      <c r="D1440">
        <v>100</v>
      </c>
      <c r="E1440" t="s">
        <v>197</v>
      </c>
      <c r="F1440">
        <v>1005</v>
      </c>
      <c r="G1440" t="s">
        <v>923</v>
      </c>
      <c r="H1440">
        <v>2140</v>
      </c>
      <c r="I1440" t="s">
        <v>25</v>
      </c>
      <c r="J1440">
        <v>3226</v>
      </c>
      <c r="K1440" t="s">
        <v>1055</v>
      </c>
      <c r="L1440">
        <v>0</v>
      </c>
      <c r="N1440" t="s">
        <v>343</v>
      </c>
      <c r="O1440">
        <v>10</v>
      </c>
      <c r="P1440">
        <v>7133</v>
      </c>
      <c r="Q1440" t="s">
        <v>1042</v>
      </c>
      <c r="R1440" t="s">
        <v>201</v>
      </c>
      <c r="S1440">
        <v>1</v>
      </c>
      <c r="T1440">
        <v>1</v>
      </c>
      <c r="U1440">
        <v>97836</v>
      </c>
      <c r="V1440">
        <v>97836</v>
      </c>
    </row>
    <row r="1441" spans="1:22">
      <c r="A1441" t="s">
        <v>196</v>
      </c>
      <c r="B1441">
        <v>38</v>
      </c>
      <c r="C1441" t="s">
        <v>922</v>
      </c>
      <c r="D1441">
        <v>100</v>
      </c>
      <c r="E1441" t="s">
        <v>197</v>
      </c>
      <c r="F1441">
        <v>1005</v>
      </c>
      <c r="G1441" t="s">
        <v>923</v>
      </c>
      <c r="H1441">
        <v>2140</v>
      </c>
      <c r="I1441" t="s">
        <v>25</v>
      </c>
      <c r="J1441">
        <v>3226</v>
      </c>
      <c r="K1441" t="s">
        <v>1055</v>
      </c>
      <c r="L1441">
        <v>0</v>
      </c>
      <c r="N1441" t="s">
        <v>249</v>
      </c>
      <c r="O1441">
        <v>10</v>
      </c>
      <c r="P1441">
        <v>7047</v>
      </c>
      <c r="Q1441" t="s">
        <v>1043</v>
      </c>
      <c r="R1441" t="s">
        <v>201</v>
      </c>
      <c r="S1441">
        <v>1</v>
      </c>
      <c r="T1441">
        <v>1</v>
      </c>
      <c r="U1441">
        <v>150072</v>
      </c>
      <c r="V1441">
        <v>150072</v>
      </c>
    </row>
    <row r="1442" spans="1:22">
      <c r="A1442" t="s">
        <v>196</v>
      </c>
      <c r="B1442">
        <v>38</v>
      </c>
      <c r="C1442" t="s">
        <v>922</v>
      </c>
      <c r="D1442">
        <v>100</v>
      </c>
      <c r="E1442" t="s">
        <v>197</v>
      </c>
      <c r="F1442">
        <v>1005</v>
      </c>
      <c r="G1442" t="s">
        <v>923</v>
      </c>
      <c r="H1442">
        <v>2140</v>
      </c>
      <c r="I1442" t="s">
        <v>25</v>
      </c>
      <c r="J1442">
        <v>3226</v>
      </c>
      <c r="K1442" t="s">
        <v>1055</v>
      </c>
      <c r="L1442">
        <v>0</v>
      </c>
      <c r="N1442" t="s">
        <v>249</v>
      </c>
      <c r="O1442">
        <v>10</v>
      </c>
      <c r="P1442">
        <v>7047</v>
      </c>
      <c r="Q1442" t="s">
        <v>1043</v>
      </c>
      <c r="R1442" t="s">
        <v>201</v>
      </c>
      <c r="S1442">
        <v>1</v>
      </c>
      <c r="T1442">
        <v>1</v>
      </c>
      <c r="U1442">
        <v>136692</v>
      </c>
      <c r="V1442">
        <v>136692</v>
      </c>
    </row>
    <row r="1443" spans="1:22">
      <c r="A1443" t="s">
        <v>196</v>
      </c>
      <c r="B1443">
        <v>38</v>
      </c>
      <c r="C1443" t="s">
        <v>922</v>
      </c>
      <c r="D1443">
        <v>100</v>
      </c>
      <c r="E1443" t="s">
        <v>197</v>
      </c>
      <c r="F1443">
        <v>1005</v>
      </c>
      <c r="G1443" t="s">
        <v>923</v>
      </c>
      <c r="H1443">
        <v>2140</v>
      </c>
      <c r="I1443" t="s">
        <v>25</v>
      </c>
      <c r="J1443">
        <v>3226</v>
      </c>
      <c r="K1443" t="s">
        <v>1055</v>
      </c>
      <c r="L1443">
        <v>0</v>
      </c>
      <c r="N1443" t="s">
        <v>249</v>
      </c>
      <c r="O1443">
        <v>10</v>
      </c>
      <c r="P1443">
        <v>7047</v>
      </c>
      <c r="Q1443" t="s">
        <v>1043</v>
      </c>
      <c r="R1443" t="s">
        <v>201</v>
      </c>
      <c r="S1443">
        <v>1</v>
      </c>
      <c r="T1443">
        <v>1</v>
      </c>
      <c r="U1443">
        <v>118956</v>
      </c>
      <c r="V1443">
        <v>118956</v>
      </c>
    </row>
    <row r="1444" spans="1:22">
      <c r="A1444" t="s">
        <v>196</v>
      </c>
      <c r="B1444">
        <v>38</v>
      </c>
      <c r="C1444" t="s">
        <v>922</v>
      </c>
      <c r="D1444">
        <v>100</v>
      </c>
      <c r="E1444" t="s">
        <v>197</v>
      </c>
      <c r="F1444">
        <v>1005</v>
      </c>
      <c r="G1444" t="s">
        <v>923</v>
      </c>
      <c r="H1444">
        <v>2140</v>
      </c>
      <c r="I1444" t="s">
        <v>25</v>
      </c>
      <c r="J1444">
        <v>3226</v>
      </c>
      <c r="K1444" t="s">
        <v>1055</v>
      </c>
      <c r="L1444">
        <v>0</v>
      </c>
      <c r="N1444" t="s">
        <v>249</v>
      </c>
      <c r="O1444">
        <v>10</v>
      </c>
      <c r="P1444">
        <v>7047</v>
      </c>
      <c r="Q1444" t="s">
        <v>1043</v>
      </c>
      <c r="R1444" t="s">
        <v>201</v>
      </c>
      <c r="S1444">
        <v>1</v>
      </c>
      <c r="T1444">
        <v>1</v>
      </c>
      <c r="U1444">
        <v>113568</v>
      </c>
      <c r="V1444">
        <v>113568</v>
      </c>
    </row>
    <row r="1445" spans="1:22">
      <c r="A1445" t="s">
        <v>196</v>
      </c>
      <c r="B1445">
        <v>38</v>
      </c>
      <c r="C1445" t="s">
        <v>922</v>
      </c>
      <c r="D1445">
        <v>100</v>
      </c>
      <c r="E1445" t="s">
        <v>197</v>
      </c>
      <c r="F1445">
        <v>1005</v>
      </c>
      <c r="G1445" t="s">
        <v>923</v>
      </c>
      <c r="H1445">
        <v>2140</v>
      </c>
      <c r="I1445" t="s">
        <v>25</v>
      </c>
      <c r="J1445">
        <v>3226</v>
      </c>
      <c r="K1445" t="s">
        <v>1055</v>
      </c>
      <c r="L1445">
        <v>0</v>
      </c>
      <c r="N1445" t="s">
        <v>721</v>
      </c>
      <c r="O1445">
        <v>36</v>
      </c>
      <c r="P1445">
        <v>6679</v>
      </c>
      <c r="Q1445" t="s">
        <v>1044</v>
      </c>
      <c r="R1445" t="s">
        <v>713</v>
      </c>
      <c r="S1445">
        <v>7</v>
      </c>
      <c r="T1445">
        <v>1</v>
      </c>
      <c r="U1445">
        <v>64.39</v>
      </c>
      <c r="V1445">
        <v>937518</v>
      </c>
    </row>
    <row r="1446" spans="1:22">
      <c r="A1446" t="s">
        <v>196</v>
      </c>
      <c r="B1446">
        <v>38</v>
      </c>
      <c r="C1446" t="s">
        <v>922</v>
      </c>
      <c r="D1446">
        <v>100</v>
      </c>
      <c r="E1446" t="s">
        <v>197</v>
      </c>
      <c r="F1446">
        <v>1005</v>
      </c>
      <c r="G1446" t="s">
        <v>923</v>
      </c>
      <c r="H1446">
        <v>2140</v>
      </c>
      <c r="I1446" t="s">
        <v>25</v>
      </c>
      <c r="J1446">
        <v>3226</v>
      </c>
      <c r="K1446" t="s">
        <v>1055</v>
      </c>
      <c r="L1446">
        <v>0</v>
      </c>
      <c r="N1446" t="s">
        <v>721</v>
      </c>
      <c r="O1446">
        <v>36</v>
      </c>
      <c r="P1446">
        <v>6674</v>
      </c>
      <c r="Q1446" t="s">
        <v>963</v>
      </c>
      <c r="R1446" t="s">
        <v>713</v>
      </c>
      <c r="S1446">
        <v>1</v>
      </c>
      <c r="T1446">
        <v>1</v>
      </c>
      <c r="U1446">
        <v>60.39</v>
      </c>
      <c r="V1446">
        <v>125611</v>
      </c>
    </row>
    <row r="1447" spans="1:22">
      <c r="A1447" t="s">
        <v>196</v>
      </c>
      <c r="B1447">
        <v>38</v>
      </c>
      <c r="C1447" t="s">
        <v>922</v>
      </c>
      <c r="D1447">
        <v>100</v>
      </c>
      <c r="E1447" t="s">
        <v>197</v>
      </c>
      <c r="F1447">
        <v>1005</v>
      </c>
      <c r="G1447" t="s">
        <v>923</v>
      </c>
      <c r="H1447">
        <v>2140</v>
      </c>
      <c r="I1447" t="s">
        <v>25</v>
      </c>
      <c r="J1447">
        <v>3226</v>
      </c>
      <c r="K1447" t="s">
        <v>1055</v>
      </c>
      <c r="L1447">
        <v>0</v>
      </c>
      <c r="N1447" t="s">
        <v>721</v>
      </c>
      <c r="O1447">
        <v>36</v>
      </c>
      <c r="P1447">
        <v>6673</v>
      </c>
      <c r="Q1447" t="s">
        <v>1045</v>
      </c>
      <c r="R1447" t="s">
        <v>713</v>
      </c>
      <c r="S1447">
        <v>33</v>
      </c>
      <c r="T1447">
        <v>1</v>
      </c>
      <c r="U1447">
        <v>60.39</v>
      </c>
      <c r="V1447">
        <v>4145170</v>
      </c>
    </row>
    <row r="1448" spans="1:22">
      <c r="A1448" t="s">
        <v>196</v>
      </c>
      <c r="B1448">
        <v>38</v>
      </c>
      <c r="C1448" t="s">
        <v>922</v>
      </c>
      <c r="D1448">
        <v>100</v>
      </c>
      <c r="E1448" t="s">
        <v>197</v>
      </c>
      <c r="F1448">
        <v>1005</v>
      </c>
      <c r="G1448" t="s">
        <v>923</v>
      </c>
      <c r="H1448">
        <v>2140</v>
      </c>
      <c r="I1448" t="s">
        <v>25</v>
      </c>
      <c r="J1448">
        <v>3226</v>
      </c>
      <c r="K1448" t="s">
        <v>1055</v>
      </c>
      <c r="L1448">
        <v>0</v>
      </c>
      <c r="N1448" t="s">
        <v>721</v>
      </c>
      <c r="O1448">
        <v>32</v>
      </c>
      <c r="P1448">
        <v>5045</v>
      </c>
      <c r="Q1448" t="s">
        <v>1048</v>
      </c>
      <c r="R1448" t="s">
        <v>713</v>
      </c>
      <c r="S1448">
        <v>4</v>
      </c>
      <c r="T1448">
        <v>1</v>
      </c>
      <c r="U1448">
        <v>63.53</v>
      </c>
      <c r="V1448">
        <v>528570</v>
      </c>
    </row>
    <row r="1449" spans="1:22">
      <c r="A1449" t="s">
        <v>196</v>
      </c>
      <c r="B1449">
        <v>38</v>
      </c>
      <c r="C1449" t="s">
        <v>922</v>
      </c>
      <c r="D1449">
        <v>100</v>
      </c>
      <c r="E1449" t="s">
        <v>197</v>
      </c>
      <c r="F1449">
        <v>1005</v>
      </c>
      <c r="G1449" t="s">
        <v>923</v>
      </c>
      <c r="H1449">
        <v>2140</v>
      </c>
      <c r="I1449" t="s">
        <v>25</v>
      </c>
      <c r="J1449">
        <v>3226</v>
      </c>
      <c r="K1449" t="s">
        <v>1055</v>
      </c>
      <c r="L1449">
        <v>0</v>
      </c>
      <c r="N1449" t="s">
        <v>721</v>
      </c>
      <c r="O1449">
        <v>32</v>
      </c>
      <c r="P1449">
        <v>5034</v>
      </c>
      <c r="Q1449" t="s">
        <v>1049</v>
      </c>
      <c r="R1449" t="s">
        <v>713</v>
      </c>
      <c r="S1449">
        <v>33</v>
      </c>
      <c r="T1449">
        <v>1</v>
      </c>
      <c r="U1449">
        <v>57.75</v>
      </c>
      <c r="V1449">
        <v>3963960</v>
      </c>
    </row>
    <row r="1450" spans="1:22">
      <c r="A1450" t="s">
        <v>196</v>
      </c>
      <c r="B1450">
        <v>38</v>
      </c>
      <c r="C1450" t="s">
        <v>922</v>
      </c>
      <c r="D1450">
        <v>100</v>
      </c>
      <c r="E1450" t="s">
        <v>197</v>
      </c>
      <c r="F1450">
        <v>1005</v>
      </c>
      <c r="G1450" t="s">
        <v>923</v>
      </c>
      <c r="H1450">
        <v>2140</v>
      </c>
      <c r="I1450" t="s">
        <v>25</v>
      </c>
      <c r="J1450">
        <v>3226</v>
      </c>
      <c r="K1450" t="s">
        <v>1055</v>
      </c>
      <c r="L1450">
        <v>0</v>
      </c>
      <c r="N1450" t="s">
        <v>721</v>
      </c>
      <c r="O1450">
        <v>39</v>
      </c>
      <c r="P1450">
        <v>4605</v>
      </c>
      <c r="Q1450" t="s">
        <v>1050</v>
      </c>
      <c r="R1450" t="s">
        <v>713</v>
      </c>
      <c r="S1450">
        <v>2</v>
      </c>
      <c r="T1450">
        <v>1</v>
      </c>
      <c r="U1450">
        <v>54.3</v>
      </c>
      <c r="V1450">
        <v>225888</v>
      </c>
    </row>
    <row r="1451" spans="1:22">
      <c r="A1451" t="s">
        <v>196</v>
      </c>
      <c r="B1451">
        <v>38</v>
      </c>
      <c r="C1451" t="s">
        <v>922</v>
      </c>
      <c r="D1451">
        <v>100</v>
      </c>
      <c r="E1451" t="s">
        <v>197</v>
      </c>
      <c r="F1451">
        <v>1005</v>
      </c>
      <c r="G1451" t="s">
        <v>923</v>
      </c>
      <c r="H1451">
        <v>2140</v>
      </c>
      <c r="I1451" t="s">
        <v>25</v>
      </c>
      <c r="J1451">
        <v>3226</v>
      </c>
      <c r="K1451" t="s">
        <v>1055</v>
      </c>
      <c r="L1451">
        <v>0</v>
      </c>
      <c r="N1451" t="s">
        <v>351</v>
      </c>
      <c r="O1451">
        <v>1</v>
      </c>
      <c r="P1451">
        <v>1240</v>
      </c>
      <c r="Q1451" t="s">
        <v>1025</v>
      </c>
      <c r="R1451" t="s">
        <v>201</v>
      </c>
      <c r="S1451">
        <v>1</v>
      </c>
      <c r="T1451">
        <v>1</v>
      </c>
      <c r="U1451">
        <v>86112</v>
      </c>
      <c r="V1451">
        <v>86112</v>
      </c>
    </row>
    <row r="1452" spans="1:22">
      <c r="A1452" t="s">
        <v>196</v>
      </c>
      <c r="B1452">
        <v>38</v>
      </c>
      <c r="C1452" t="s">
        <v>922</v>
      </c>
      <c r="D1452">
        <v>100</v>
      </c>
      <c r="E1452" t="s">
        <v>197</v>
      </c>
      <c r="F1452">
        <v>1005</v>
      </c>
      <c r="G1452" t="s">
        <v>923</v>
      </c>
      <c r="H1452">
        <v>2140</v>
      </c>
      <c r="I1452" t="s">
        <v>25</v>
      </c>
      <c r="J1452">
        <v>3226</v>
      </c>
      <c r="K1452" t="s">
        <v>1055</v>
      </c>
      <c r="L1452">
        <v>0</v>
      </c>
      <c r="N1452" t="s">
        <v>199</v>
      </c>
      <c r="O1452">
        <v>0</v>
      </c>
      <c r="P1452">
        <v>15</v>
      </c>
      <c r="Q1452" t="s">
        <v>264</v>
      </c>
      <c r="R1452" t="s">
        <v>201</v>
      </c>
      <c r="S1452">
        <v>0</v>
      </c>
      <c r="T1452">
        <v>0</v>
      </c>
      <c r="U1452">
        <v>12982</v>
      </c>
      <c r="V1452">
        <v>12982</v>
      </c>
    </row>
    <row r="1453" spans="1:22">
      <c r="A1453" t="s">
        <v>196</v>
      </c>
      <c r="B1453">
        <v>38</v>
      </c>
      <c r="C1453" t="s">
        <v>922</v>
      </c>
      <c r="D1453">
        <v>100</v>
      </c>
      <c r="E1453" t="s">
        <v>197</v>
      </c>
      <c r="F1453">
        <v>1005</v>
      </c>
      <c r="G1453" t="s">
        <v>923</v>
      </c>
      <c r="H1453">
        <v>2140</v>
      </c>
      <c r="I1453" t="s">
        <v>25</v>
      </c>
      <c r="J1453">
        <v>3226</v>
      </c>
      <c r="K1453" t="s">
        <v>1055</v>
      </c>
      <c r="L1453">
        <v>0</v>
      </c>
      <c r="N1453" t="s">
        <v>199</v>
      </c>
      <c r="O1453">
        <v>0</v>
      </c>
      <c r="P1453">
        <v>12</v>
      </c>
      <c r="Q1453" t="s">
        <v>724</v>
      </c>
      <c r="R1453" t="s">
        <v>201</v>
      </c>
      <c r="S1453">
        <v>0</v>
      </c>
      <c r="T1453">
        <v>0</v>
      </c>
      <c r="U1453">
        <v>170397</v>
      </c>
      <c r="V1453">
        <v>170397</v>
      </c>
    </row>
    <row r="1454" spans="1:22">
      <c r="A1454" t="s">
        <v>196</v>
      </c>
      <c r="B1454">
        <v>39</v>
      </c>
      <c r="C1454" t="s">
        <v>1058</v>
      </c>
      <c r="D1454">
        <v>100</v>
      </c>
      <c r="E1454" t="s">
        <v>197</v>
      </c>
      <c r="F1454">
        <v>1005</v>
      </c>
      <c r="G1454" t="s">
        <v>1058</v>
      </c>
      <c r="H1454">
        <v>2005</v>
      </c>
      <c r="I1454" t="s">
        <v>66</v>
      </c>
      <c r="J1454">
        <v>3005</v>
      </c>
      <c r="K1454" t="s">
        <v>309</v>
      </c>
      <c r="L1454">
        <v>0</v>
      </c>
      <c r="N1454" t="s">
        <v>1059</v>
      </c>
      <c r="O1454">
        <v>69</v>
      </c>
      <c r="P1454">
        <v>9355</v>
      </c>
      <c r="Q1454" t="s">
        <v>1060</v>
      </c>
      <c r="R1454" t="s">
        <v>201</v>
      </c>
      <c r="S1454">
        <v>1</v>
      </c>
      <c r="T1454">
        <v>1</v>
      </c>
      <c r="U1454">
        <v>79176</v>
      </c>
      <c r="V1454">
        <v>79176</v>
      </c>
    </row>
    <row r="1455" spans="1:22">
      <c r="A1455" t="s">
        <v>196</v>
      </c>
      <c r="B1455">
        <v>39</v>
      </c>
      <c r="C1455" t="s">
        <v>1058</v>
      </c>
      <c r="D1455">
        <v>100</v>
      </c>
      <c r="E1455" t="s">
        <v>197</v>
      </c>
      <c r="F1455">
        <v>1005</v>
      </c>
      <c r="G1455" t="s">
        <v>1058</v>
      </c>
      <c r="H1455">
        <v>2005</v>
      </c>
      <c r="I1455" t="s">
        <v>66</v>
      </c>
      <c r="J1455">
        <v>3005</v>
      </c>
      <c r="K1455" t="s">
        <v>309</v>
      </c>
      <c r="L1455">
        <v>0</v>
      </c>
      <c r="N1455" t="s">
        <v>199</v>
      </c>
      <c r="O1455">
        <v>69</v>
      </c>
      <c r="P1455">
        <v>9353</v>
      </c>
      <c r="Q1455" t="s">
        <v>1061</v>
      </c>
      <c r="R1455" t="s">
        <v>201</v>
      </c>
      <c r="S1455">
        <v>1</v>
      </c>
      <c r="T1455">
        <v>1</v>
      </c>
      <c r="U1455">
        <v>130052</v>
      </c>
      <c r="V1455">
        <v>130052</v>
      </c>
    </row>
    <row r="1456" spans="1:22">
      <c r="A1456" t="s">
        <v>196</v>
      </c>
      <c r="B1456">
        <v>39</v>
      </c>
      <c r="C1456" t="s">
        <v>1058</v>
      </c>
      <c r="D1456">
        <v>100</v>
      </c>
      <c r="E1456" t="s">
        <v>197</v>
      </c>
      <c r="F1456">
        <v>1005</v>
      </c>
      <c r="G1456" t="s">
        <v>1058</v>
      </c>
      <c r="H1456">
        <v>2005</v>
      </c>
      <c r="I1456" t="s">
        <v>66</v>
      </c>
      <c r="J1456">
        <v>3005</v>
      </c>
      <c r="K1456" t="s">
        <v>309</v>
      </c>
      <c r="L1456">
        <v>0</v>
      </c>
      <c r="N1456" t="s">
        <v>199</v>
      </c>
      <c r="O1456">
        <v>69</v>
      </c>
      <c r="P1456">
        <v>9353</v>
      </c>
      <c r="Q1456" t="s">
        <v>1061</v>
      </c>
      <c r="R1456" t="s">
        <v>201</v>
      </c>
      <c r="S1456">
        <v>1</v>
      </c>
      <c r="T1456">
        <v>1</v>
      </c>
      <c r="U1456">
        <v>122525</v>
      </c>
      <c r="V1456">
        <v>122525</v>
      </c>
    </row>
    <row r="1457" spans="1:22">
      <c r="A1457" t="s">
        <v>196</v>
      </c>
      <c r="B1457">
        <v>39</v>
      </c>
      <c r="C1457" t="s">
        <v>1058</v>
      </c>
      <c r="D1457">
        <v>100</v>
      </c>
      <c r="E1457" t="s">
        <v>197</v>
      </c>
      <c r="F1457">
        <v>1005</v>
      </c>
      <c r="G1457" t="s">
        <v>1058</v>
      </c>
      <c r="H1457">
        <v>2005</v>
      </c>
      <c r="I1457" t="s">
        <v>66</v>
      </c>
      <c r="J1457">
        <v>3005</v>
      </c>
      <c r="K1457" t="s">
        <v>309</v>
      </c>
      <c r="L1457">
        <v>0</v>
      </c>
      <c r="N1457" t="s">
        <v>199</v>
      </c>
      <c r="O1457">
        <v>69</v>
      </c>
      <c r="P1457">
        <v>9352</v>
      </c>
      <c r="Q1457" t="s">
        <v>1062</v>
      </c>
      <c r="R1457" t="s">
        <v>201</v>
      </c>
      <c r="S1457">
        <v>1</v>
      </c>
      <c r="T1457">
        <v>1</v>
      </c>
      <c r="U1457">
        <v>154056</v>
      </c>
      <c r="V1457">
        <v>154056</v>
      </c>
    </row>
    <row r="1458" spans="1:22">
      <c r="A1458" t="s">
        <v>196</v>
      </c>
      <c r="B1458">
        <v>39</v>
      </c>
      <c r="C1458" t="s">
        <v>1058</v>
      </c>
      <c r="D1458">
        <v>100</v>
      </c>
      <c r="E1458" t="s">
        <v>197</v>
      </c>
      <c r="F1458">
        <v>1005</v>
      </c>
      <c r="G1458" t="s">
        <v>1058</v>
      </c>
      <c r="H1458">
        <v>2005</v>
      </c>
      <c r="I1458" t="s">
        <v>66</v>
      </c>
      <c r="J1458">
        <v>3005</v>
      </c>
      <c r="K1458" t="s">
        <v>309</v>
      </c>
      <c r="L1458">
        <v>0</v>
      </c>
      <c r="N1458" t="s">
        <v>1063</v>
      </c>
      <c r="O1458">
        <v>69</v>
      </c>
      <c r="P1458">
        <v>9351</v>
      </c>
      <c r="Q1458" t="s">
        <v>1064</v>
      </c>
      <c r="R1458" t="s">
        <v>201</v>
      </c>
      <c r="S1458">
        <v>1</v>
      </c>
      <c r="T1458">
        <v>1</v>
      </c>
      <c r="U1458">
        <v>45948</v>
      </c>
      <c r="V1458">
        <v>45948</v>
      </c>
    </row>
    <row r="1459" spans="1:22">
      <c r="A1459" t="s">
        <v>196</v>
      </c>
      <c r="B1459">
        <v>39</v>
      </c>
      <c r="C1459" t="s">
        <v>1058</v>
      </c>
      <c r="D1459">
        <v>100</v>
      </c>
      <c r="E1459" t="s">
        <v>197</v>
      </c>
      <c r="F1459">
        <v>1005</v>
      </c>
      <c r="G1459" t="s">
        <v>1058</v>
      </c>
      <c r="H1459">
        <v>2005</v>
      </c>
      <c r="I1459" t="s">
        <v>66</v>
      </c>
      <c r="J1459">
        <v>3005</v>
      </c>
      <c r="K1459" t="s">
        <v>309</v>
      </c>
      <c r="L1459">
        <v>0</v>
      </c>
      <c r="N1459" t="s">
        <v>216</v>
      </c>
      <c r="O1459">
        <v>69</v>
      </c>
      <c r="P1459">
        <v>9346</v>
      </c>
      <c r="Q1459" t="s">
        <v>1065</v>
      </c>
      <c r="R1459" t="s">
        <v>201</v>
      </c>
      <c r="S1459">
        <v>1</v>
      </c>
      <c r="T1459">
        <v>1</v>
      </c>
      <c r="U1459">
        <v>121351</v>
      </c>
      <c r="V1459">
        <v>121351</v>
      </c>
    </row>
    <row r="1460" spans="1:22">
      <c r="A1460" t="s">
        <v>196</v>
      </c>
      <c r="B1460">
        <v>39</v>
      </c>
      <c r="C1460" t="s">
        <v>1058</v>
      </c>
      <c r="D1460">
        <v>100</v>
      </c>
      <c r="E1460" t="s">
        <v>197</v>
      </c>
      <c r="F1460">
        <v>1005</v>
      </c>
      <c r="G1460" t="s">
        <v>1058</v>
      </c>
      <c r="H1460">
        <v>2005</v>
      </c>
      <c r="I1460" t="s">
        <v>66</v>
      </c>
      <c r="J1460">
        <v>3005</v>
      </c>
      <c r="K1460" t="s">
        <v>309</v>
      </c>
      <c r="L1460">
        <v>0</v>
      </c>
      <c r="N1460" t="s">
        <v>1066</v>
      </c>
      <c r="O1460">
        <v>69</v>
      </c>
      <c r="P1460">
        <v>9328</v>
      </c>
      <c r="Q1460" t="s">
        <v>1067</v>
      </c>
      <c r="R1460" t="s">
        <v>201</v>
      </c>
      <c r="S1460">
        <v>1</v>
      </c>
      <c r="T1460">
        <v>1</v>
      </c>
      <c r="U1460">
        <v>57372</v>
      </c>
      <c r="V1460">
        <v>57372</v>
      </c>
    </row>
    <row r="1461" spans="1:22">
      <c r="A1461" t="s">
        <v>196</v>
      </c>
      <c r="B1461">
        <v>39</v>
      </c>
      <c r="C1461" t="s">
        <v>1058</v>
      </c>
      <c r="D1461">
        <v>100</v>
      </c>
      <c r="E1461" t="s">
        <v>197</v>
      </c>
      <c r="F1461">
        <v>1005</v>
      </c>
      <c r="G1461" t="s">
        <v>1058</v>
      </c>
      <c r="H1461">
        <v>2005</v>
      </c>
      <c r="I1461" t="s">
        <v>66</v>
      </c>
      <c r="J1461">
        <v>3005</v>
      </c>
      <c r="K1461" t="s">
        <v>309</v>
      </c>
      <c r="L1461">
        <v>0</v>
      </c>
      <c r="N1461" t="s">
        <v>1068</v>
      </c>
      <c r="O1461">
        <v>69</v>
      </c>
      <c r="P1461">
        <v>9327</v>
      </c>
      <c r="Q1461" t="s">
        <v>1069</v>
      </c>
      <c r="R1461" t="s">
        <v>201</v>
      </c>
      <c r="S1461">
        <v>1</v>
      </c>
      <c r="T1461">
        <v>1</v>
      </c>
      <c r="U1461">
        <v>69912</v>
      </c>
      <c r="V1461">
        <v>69912</v>
      </c>
    </row>
    <row r="1462" spans="1:22">
      <c r="A1462" t="s">
        <v>196</v>
      </c>
      <c r="B1462">
        <v>39</v>
      </c>
      <c r="C1462" t="s">
        <v>1058</v>
      </c>
      <c r="D1462">
        <v>100</v>
      </c>
      <c r="E1462" t="s">
        <v>197</v>
      </c>
      <c r="F1462">
        <v>1005</v>
      </c>
      <c r="G1462" t="s">
        <v>1058</v>
      </c>
      <c r="H1462">
        <v>2005</v>
      </c>
      <c r="I1462" t="s">
        <v>66</v>
      </c>
      <c r="J1462">
        <v>3005</v>
      </c>
      <c r="K1462" t="s">
        <v>309</v>
      </c>
      <c r="L1462">
        <v>0</v>
      </c>
      <c r="N1462" t="s">
        <v>1068</v>
      </c>
      <c r="O1462">
        <v>69</v>
      </c>
      <c r="P1462">
        <v>9327</v>
      </c>
      <c r="Q1462" t="s">
        <v>1069</v>
      </c>
      <c r="R1462" t="s">
        <v>201</v>
      </c>
      <c r="S1462">
        <v>1</v>
      </c>
      <c r="T1462">
        <v>1</v>
      </c>
      <c r="U1462">
        <v>60276</v>
      </c>
      <c r="V1462">
        <v>60276</v>
      </c>
    </row>
    <row r="1463" spans="1:22">
      <c r="A1463" t="s">
        <v>196</v>
      </c>
      <c r="B1463">
        <v>39</v>
      </c>
      <c r="C1463" t="s">
        <v>1058</v>
      </c>
      <c r="D1463">
        <v>100</v>
      </c>
      <c r="E1463" t="s">
        <v>197</v>
      </c>
      <c r="F1463">
        <v>1005</v>
      </c>
      <c r="G1463" t="s">
        <v>1058</v>
      </c>
      <c r="H1463">
        <v>2005</v>
      </c>
      <c r="I1463" t="s">
        <v>66</v>
      </c>
      <c r="J1463">
        <v>3005</v>
      </c>
      <c r="K1463" t="s">
        <v>309</v>
      </c>
      <c r="L1463">
        <v>0</v>
      </c>
      <c r="N1463" t="s">
        <v>1068</v>
      </c>
      <c r="O1463">
        <v>69</v>
      </c>
      <c r="P1463">
        <v>9327</v>
      </c>
      <c r="Q1463" t="s">
        <v>1069</v>
      </c>
      <c r="R1463" t="s">
        <v>201</v>
      </c>
      <c r="S1463">
        <v>1</v>
      </c>
      <c r="T1463">
        <v>1</v>
      </c>
      <c r="U1463">
        <v>45948</v>
      </c>
      <c r="V1463">
        <v>45948</v>
      </c>
    </row>
    <row r="1464" spans="1:22">
      <c r="A1464" t="s">
        <v>196</v>
      </c>
      <c r="B1464">
        <v>39</v>
      </c>
      <c r="C1464" t="s">
        <v>1058</v>
      </c>
      <c r="D1464">
        <v>100</v>
      </c>
      <c r="E1464" t="s">
        <v>197</v>
      </c>
      <c r="F1464">
        <v>1005</v>
      </c>
      <c r="G1464" t="s">
        <v>1058</v>
      </c>
      <c r="H1464">
        <v>2005</v>
      </c>
      <c r="I1464" t="s">
        <v>66</v>
      </c>
      <c r="J1464">
        <v>3005</v>
      </c>
      <c r="K1464" t="s">
        <v>309</v>
      </c>
      <c r="L1464">
        <v>0</v>
      </c>
      <c r="N1464" t="s">
        <v>1068</v>
      </c>
      <c r="O1464">
        <v>69</v>
      </c>
      <c r="P1464">
        <v>9327</v>
      </c>
      <c r="Q1464" t="s">
        <v>1069</v>
      </c>
      <c r="R1464" t="s">
        <v>201</v>
      </c>
      <c r="S1464">
        <v>1</v>
      </c>
      <c r="T1464">
        <v>1</v>
      </c>
      <c r="U1464">
        <v>41628</v>
      </c>
      <c r="V1464">
        <v>41628</v>
      </c>
    </row>
    <row r="1465" spans="1:22">
      <c r="A1465" t="s">
        <v>196</v>
      </c>
      <c r="B1465">
        <v>39</v>
      </c>
      <c r="C1465" t="s">
        <v>1058</v>
      </c>
      <c r="D1465">
        <v>100</v>
      </c>
      <c r="E1465" t="s">
        <v>197</v>
      </c>
      <c r="F1465">
        <v>1005</v>
      </c>
      <c r="G1465" t="s">
        <v>1058</v>
      </c>
      <c r="H1465">
        <v>2005</v>
      </c>
      <c r="I1465" t="s">
        <v>66</v>
      </c>
      <c r="J1465">
        <v>3005</v>
      </c>
      <c r="K1465" t="s">
        <v>309</v>
      </c>
      <c r="L1465">
        <v>0</v>
      </c>
      <c r="N1465" t="s">
        <v>1070</v>
      </c>
      <c r="O1465">
        <v>69</v>
      </c>
      <c r="P1465">
        <v>9308</v>
      </c>
      <c r="Q1465" t="s">
        <v>1071</v>
      </c>
      <c r="R1465" t="s">
        <v>201</v>
      </c>
      <c r="S1465">
        <v>1</v>
      </c>
      <c r="T1465">
        <v>1</v>
      </c>
      <c r="U1465">
        <v>48264</v>
      </c>
      <c r="V1465">
        <v>48264</v>
      </c>
    </row>
    <row r="1466" spans="1:22">
      <c r="A1466" t="s">
        <v>196</v>
      </c>
      <c r="B1466">
        <v>39</v>
      </c>
      <c r="C1466" t="s">
        <v>1058</v>
      </c>
      <c r="D1466">
        <v>100</v>
      </c>
      <c r="E1466" t="s">
        <v>197</v>
      </c>
      <c r="F1466">
        <v>1005</v>
      </c>
      <c r="G1466" t="s">
        <v>1058</v>
      </c>
      <c r="H1466">
        <v>2005</v>
      </c>
      <c r="I1466" t="s">
        <v>66</v>
      </c>
      <c r="J1466">
        <v>3005</v>
      </c>
      <c r="K1466" t="s">
        <v>309</v>
      </c>
      <c r="L1466">
        <v>0</v>
      </c>
      <c r="N1466" t="s">
        <v>1070</v>
      </c>
      <c r="O1466">
        <v>69</v>
      </c>
      <c r="P1466">
        <v>9308</v>
      </c>
      <c r="Q1466" t="s">
        <v>1071</v>
      </c>
      <c r="R1466" t="s">
        <v>201</v>
      </c>
      <c r="S1466">
        <v>1</v>
      </c>
      <c r="T1466">
        <v>1</v>
      </c>
      <c r="U1466">
        <v>40620</v>
      </c>
      <c r="V1466">
        <v>40620</v>
      </c>
    </row>
    <row r="1467" spans="1:22">
      <c r="A1467" t="s">
        <v>196</v>
      </c>
      <c r="B1467">
        <v>39</v>
      </c>
      <c r="C1467" t="s">
        <v>1058</v>
      </c>
      <c r="D1467">
        <v>100</v>
      </c>
      <c r="E1467" t="s">
        <v>197</v>
      </c>
      <c r="F1467">
        <v>1005</v>
      </c>
      <c r="G1467" t="s">
        <v>1058</v>
      </c>
      <c r="H1467">
        <v>2005</v>
      </c>
      <c r="I1467" t="s">
        <v>66</v>
      </c>
      <c r="J1467">
        <v>3005</v>
      </c>
      <c r="K1467" t="s">
        <v>309</v>
      </c>
      <c r="L1467">
        <v>0</v>
      </c>
      <c r="N1467" t="s">
        <v>1070</v>
      </c>
      <c r="O1467">
        <v>69</v>
      </c>
      <c r="P1467">
        <v>9308</v>
      </c>
      <c r="Q1467" t="s">
        <v>1071</v>
      </c>
      <c r="R1467" t="s">
        <v>201</v>
      </c>
      <c r="S1467">
        <v>1</v>
      </c>
      <c r="T1467">
        <v>1</v>
      </c>
      <c r="U1467">
        <v>34176</v>
      </c>
      <c r="V1467">
        <v>34176</v>
      </c>
    </row>
    <row r="1468" spans="1:22">
      <c r="A1468" t="s">
        <v>196</v>
      </c>
      <c r="B1468">
        <v>39</v>
      </c>
      <c r="C1468" t="s">
        <v>1058</v>
      </c>
      <c r="D1468">
        <v>100</v>
      </c>
      <c r="E1468" t="s">
        <v>197</v>
      </c>
      <c r="F1468">
        <v>1005</v>
      </c>
      <c r="G1468" t="s">
        <v>1058</v>
      </c>
      <c r="H1468">
        <v>2005</v>
      </c>
      <c r="I1468" t="s">
        <v>66</v>
      </c>
      <c r="J1468">
        <v>3005</v>
      </c>
      <c r="K1468" t="s">
        <v>309</v>
      </c>
      <c r="L1468">
        <v>0</v>
      </c>
      <c r="N1468" t="s">
        <v>216</v>
      </c>
      <c r="O1468">
        <v>20</v>
      </c>
      <c r="P1468">
        <v>705</v>
      </c>
      <c r="Q1468" t="s">
        <v>258</v>
      </c>
      <c r="R1468" t="s">
        <v>201</v>
      </c>
      <c r="S1468">
        <v>1</v>
      </c>
      <c r="T1468">
        <v>1</v>
      </c>
      <c r="U1468">
        <v>123786</v>
      </c>
      <c r="V1468">
        <v>123786</v>
      </c>
    </row>
    <row r="1469" spans="1:22">
      <c r="A1469" t="s">
        <v>196</v>
      </c>
      <c r="B1469">
        <v>39</v>
      </c>
      <c r="C1469" t="s">
        <v>1058</v>
      </c>
      <c r="D1469">
        <v>100</v>
      </c>
      <c r="E1469" t="s">
        <v>197</v>
      </c>
      <c r="F1469">
        <v>1005</v>
      </c>
      <c r="G1469" t="s">
        <v>1058</v>
      </c>
      <c r="H1469">
        <v>2005</v>
      </c>
      <c r="I1469" t="s">
        <v>66</v>
      </c>
      <c r="J1469">
        <v>3005</v>
      </c>
      <c r="K1469" t="s">
        <v>309</v>
      </c>
      <c r="L1469">
        <v>0</v>
      </c>
      <c r="N1469" t="s">
        <v>1059</v>
      </c>
      <c r="O1469">
        <v>69</v>
      </c>
      <c r="P1469">
        <v>305</v>
      </c>
      <c r="Q1469" t="s">
        <v>1072</v>
      </c>
      <c r="R1469" t="s">
        <v>201</v>
      </c>
      <c r="S1469">
        <v>2</v>
      </c>
      <c r="T1469">
        <v>1</v>
      </c>
      <c r="U1469">
        <v>71700</v>
      </c>
      <c r="V1469">
        <v>143400</v>
      </c>
    </row>
    <row r="1470" spans="1:22">
      <c r="A1470" t="s">
        <v>196</v>
      </c>
      <c r="B1470">
        <v>39</v>
      </c>
      <c r="C1470" t="s">
        <v>1058</v>
      </c>
      <c r="D1470">
        <v>100</v>
      </c>
      <c r="E1470" t="s">
        <v>197</v>
      </c>
      <c r="F1470">
        <v>1005</v>
      </c>
      <c r="G1470" t="s">
        <v>1058</v>
      </c>
      <c r="H1470">
        <v>2005</v>
      </c>
      <c r="I1470" t="s">
        <v>66</v>
      </c>
      <c r="J1470">
        <v>3015</v>
      </c>
      <c r="K1470" t="s">
        <v>1073</v>
      </c>
      <c r="L1470">
        <v>0</v>
      </c>
      <c r="N1470" t="s">
        <v>1063</v>
      </c>
      <c r="O1470">
        <v>69</v>
      </c>
      <c r="P1470">
        <v>9358</v>
      </c>
      <c r="Q1470" t="s">
        <v>1074</v>
      </c>
      <c r="R1470" t="s">
        <v>201</v>
      </c>
      <c r="S1470">
        <v>1</v>
      </c>
      <c r="T1470">
        <v>1</v>
      </c>
      <c r="U1470">
        <v>85176</v>
      </c>
      <c r="V1470">
        <v>85176</v>
      </c>
    </row>
    <row r="1471" spans="1:22">
      <c r="A1471" t="s">
        <v>196</v>
      </c>
      <c r="B1471">
        <v>39</v>
      </c>
      <c r="C1471" t="s">
        <v>1058</v>
      </c>
      <c r="D1471">
        <v>100</v>
      </c>
      <c r="E1471" t="s">
        <v>197</v>
      </c>
      <c r="F1471">
        <v>1005</v>
      </c>
      <c r="G1471" t="s">
        <v>1058</v>
      </c>
      <c r="H1471">
        <v>2005</v>
      </c>
      <c r="I1471" t="s">
        <v>66</v>
      </c>
      <c r="J1471">
        <v>3015</v>
      </c>
      <c r="K1471" t="s">
        <v>1073</v>
      </c>
      <c r="L1471">
        <v>0</v>
      </c>
      <c r="N1471" t="s">
        <v>199</v>
      </c>
      <c r="O1471">
        <v>69</v>
      </c>
      <c r="P1471">
        <v>9354</v>
      </c>
      <c r="Q1471" t="s">
        <v>1075</v>
      </c>
      <c r="R1471" t="s">
        <v>201</v>
      </c>
      <c r="S1471">
        <v>1</v>
      </c>
      <c r="T1471">
        <v>1</v>
      </c>
      <c r="U1471">
        <v>138060</v>
      </c>
      <c r="V1471">
        <v>138060</v>
      </c>
    </row>
    <row r="1472" spans="1:22">
      <c r="A1472" t="s">
        <v>196</v>
      </c>
      <c r="B1472">
        <v>39</v>
      </c>
      <c r="C1472" t="s">
        <v>1058</v>
      </c>
      <c r="D1472">
        <v>100</v>
      </c>
      <c r="E1472" t="s">
        <v>197</v>
      </c>
      <c r="F1472">
        <v>1005</v>
      </c>
      <c r="G1472" t="s">
        <v>1058</v>
      </c>
      <c r="H1472">
        <v>2005</v>
      </c>
      <c r="I1472" t="s">
        <v>66</v>
      </c>
      <c r="J1472">
        <v>3015</v>
      </c>
      <c r="K1472" t="s">
        <v>1073</v>
      </c>
      <c r="L1472">
        <v>0</v>
      </c>
      <c r="N1472" t="s">
        <v>199</v>
      </c>
      <c r="O1472">
        <v>69</v>
      </c>
      <c r="P1472">
        <v>9353</v>
      </c>
      <c r="Q1472" t="s">
        <v>1061</v>
      </c>
      <c r="R1472" t="s">
        <v>201</v>
      </c>
      <c r="S1472">
        <v>1</v>
      </c>
      <c r="T1472">
        <v>1</v>
      </c>
      <c r="U1472">
        <v>130065</v>
      </c>
      <c r="V1472">
        <v>130065</v>
      </c>
    </row>
    <row r="1473" spans="1:22">
      <c r="A1473" t="s">
        <v>196</v>
      </c>
      <c r="B1473">
        <v>39</v>
      </c>
      <c r="C1473" t="s">
        <v>1058</v>
      </c>
      <c r="D1473">
        <v>100</v>
      </c>
      <c r="E1473" t="s">
        <v>197</v>
      </c>
      <c r="F1473">
        <v>1005</v>
      </c>
      <c r="G1473" t="s">
        <v>1058</v>
      </c>
      <c r="H1473">
        <v>2005</v>
      </c>
      <c r="I1473" t="s">
        <v>66</v>
      </c>
      <c r="J1473">
        <v>3015</v>
      </c>
      <c r="K1473" t="s">
        <v>1073</v>
      </c>
      <c r="L1473">
        <v>0</v>
      </c>
      <c r="N1473" t="s">
        <v>216</v>
      </c>
      <c r="O1473">
        <v>69</v>
      </c>
      <c r="P1473">
        <v>9350</v>
      </c>
      <c r="Q1473" t="s">
        <v>1076</v>
      </c>
      <c r="R1473" t="s">
        <v>201</v>
      </c>
      <c r="S1473">
        <v>1</v>
      </c>
      <c r="T1473">
        <v>1</v>
      </c>
      <c r="U1473">
        <v>102984</v>
      </c>
      <c r="V1473">
        <v>102984</v>
      </c>
    </row>
    <row r="1474" spans="1:22">
      <c r="A1474" t="s">
        <v>196</v>
      </c>
      <c r="B1474">
        <v>39</v>
      </c>
      <c r="C1474" t="s">
        <v>1058</v>
      </c>
      <c r="D1474">
        <v>100</v>
      </c>
      <c r="E1474" t="s">
        <v>197</v>
      </c>
      <c r="F1474">
        <v>1005</v>
      </c>
      <c r="G1474" t="s">
        <v>1058</v>
      </c>
      <c r="H1474">
        <v>2005</v>
      </c>
      <c r="I1474" t="s">
        <v>66</v>
      </c>
      <c r="J1474">
        <v>3015</v>
      </c>
      <c r="K1474" t="s">
        <v>1073</v>
      </c>
      <c r="L1474">
        <v>0</v>
      </c>
      <c r="N1474" t="s">
        <v>1068</v>
      </c>
      <c r="O1474">
        <v>69</v>
      </c>
      <c r="P1474">
        <v>9327</v>
      </c>
      <c r="Q1474" t="s">
        <v>1069</v>
      </c>
      <c r="R1474" t="s">
        <v>201</v>
      </c>
      <c r="S1474">
        <v>1</v>
      </c>
      <c r="T1474">
        <v>1</v>
      </c>
      <c r="U1474">
        <v>77160</v>
      </c>
      <c r="V1474">
        <v>77160</v>
      </c>
    </row>
    <row r="1475" spans="1:22">
      <c r="A1475" t="s">
        <v>196</v>
      </c>
      <c r="B1475">
        <v>39</v>
      </c>
      <c r="C1475" t="s">
        <v>1058</v>
      </c>
      <c r="D1475">
        <v>100</v>
      </c>
      <c r="E1475" t="s">
        <v>197</v>
      </c>
      <c r="F1475">
        <v>1005</v>
      </c>
      <c r="G1475" t="s">
        <v>1058</v>
      </c>
      <c r="H1475">
        <v>2005</v>
      </c>
      <c r="I1475" t="s">
        <v>66</v>
      </c>
      <c r="J1475">
        <v>3015</v>
      </c>
      <c r="K1475" t="s">
        <v>1073</v>
      </c>
      <c r="L1475">
        <v>0</v>
      </c>
      <c r="N1475" t="s">
        <v>1059</v>
      </c>
      <c r="O1475">
        <v>69</v>
      </c>
      <c r="P1475">
        <v>9310</v>
      </c>
      <c r="Q1475" t="s">
        <v>1077</v>
      </c>
      <c r="R1475" t="s">
        <v>201</v>
      </c>
      <c r="S1475">
        <v>1</v>
      </c>
      <c r="T1475">
        <v>1</v>
      </c>
      <c r="U1475">
        <v>93048</v>
      </c>
      <c r="V1475">
        <v>93048</v>
      </c>
    </row>
    <row r="1476" spans="1:22">
      <c r="A1476" t="s">
        <v>196</v>
      </c>
      <c r="B1476">
        <v>39</v>
      </c>
      <c r="C1476" t="s">
        <v>1058</v>
      </c>
      <c r="D1476">
        <v>100</v>
      </c>
      <c r="E1476" t="s">
        <v>197</v>
      </c>
      <c r="F1476">
        <v>1005</v>
      </c>
      <c r="G1476" t="s">
        <v>1058</v>
      </c>
      <c r="H1476">
        <v>2005</v>
      </c>
      <c r="I1476" t="s">
        <v>66</v>
      </c>
      <c r="J1476">
        <v>3015</v>
      </c>
      <c r="K1476" t="s">
        <v>1073</v>
      </c>
      <c r="L1476">
        <v>0</v>
      </c>
      <c r="N1476" t="s">
        <v>1059</v>
      </c>
      <c r="O1476">
        <v>69</v>
      </c>
      <c r="P1476">
        <v>9310</v>
      </c>
      <c r="Q1476" t="s">
        <v>1077</v>
      </c>
      <c r="R1476" t="s">
        <v>201</v>
      </c>
      <c r="S1476">
        <v>1</v>
      </c>
      <c r="T1476">
        <v>1</v>
      </c>
      <c r="U1476">
        <v>91896</v>
      </c>
      <c r="V1476">
        <v>91896</v>
      </c>
    </row>
    <row r="1477" spans="1:22">
      <c r="A1477" t="s">
        <v>196</v>
      </c>
      <c r="B1477">
        <v>39</v>
      </c>
      <c r="C1477" t="s">
        <v>1058</v>
      </c>
      <c r="D1477">
        <v>100</v>
      </c>
      <c r="E1477" t="s">
        <v>197</v>
      </c>
      <c r="F1477">
        <v>1005</v>
      </c>
      <c r="G1477" t="s">
        <v>1058</v>
      </c>
      <c r="H1477">
        <v>2005</v>
      </c>
      <c r="I1477" t="s">
        <v>66</v>
      </c>
      <c r="J1477">
        <v>3015</v>
      </c>
      <c r="K1477" t="s">
        <v>1073</v>
      </c>
      <c r="L1477">
        <v>0</v>
      </c>
      <c r="N1477" t="s">
        <v>1059</v>
      </c>
      <c r="O1477">
        <v>69</v>
      </c>
      <c r="P1477">
        <v>9310</v>
      </c>
      <c r="Q1477" t="s">
        <v>1077</v>
      </c>
      <c r="R1477" t="s">
        <v>201</v>
      </c>
      <c r="S1477">
        <v>1</v>
      </c>
      <c r="T1477">
        <v>1</v>
      </c>
      <c r="U1477">
        <v>71700</v>
      </c>
      <c r="V1477">
        <v>71700</v>
      </c>
    </row>
    <row r="1478" spans="1:22">
      <c r="A1478" t="s">
        <v>196</v>
      </c>
      <c r="B1478">
        <v>39</v>
      </c>
      <c r="C1478" t="s">
        <v>1058</v>
      </c>
      <c r="D1478">
        <v>100</v>
      </c>
      <c r="E1478" t="s">
        <v>197</v>
      </c>
      <c r="F1478">
        <v>1005</v>
      </c>
      <c r="G1478" t="s">
        <v>1058</v>
      </c>
      <c r="H1478">
        <v>2005</v>
      </c>
      <c r="I1478" t="s">
        <v>66</v>
      </c>
      <c r="J1478">
        <v>3015</v>
      </c>
      <c r="K1478" t="s">
        <v>1073</v>
      </c>
      <c r="L1478">
        <v>0</v>
      </c>
      <c r="N1478" t="s">
        <v>1063</v>
      </c>
      <c r="O1478">
        <v>69</v>
      </c>
      <c r="P1478">
        <v>9309</v>
      </c>
      <c r="Q1478" t="s">
        <v>1078</v>
      </c>
      <c r="R1478" t="s">
        <v>201</v>
      </c>
      <c r="S1478">
        <v>2</v>
      </c>
      <c r="T1478">
        <v>1</v>
      </c>
      <c r="U1478">
        <v>54624</v>
      </c>
      <c r="V1478">
        <v>109248</v>
      </c>
    </row>
    <row r="1479" spans="1:22">
      <c r="A1479" t="s">
        <v>196</v>
      </c>
      <c r="B1479">
        <v>39</v>
      </c>
      <c r="C1479" t="s">
        <v>1058</v>
      </c>
      <c r="D1479">
        <v>100</v>
      </c>
      <c r="E1479" t="s">
        <v>197</v>
      </c>
      <c r="F1479">
        <v>1005</v>
      </c>
      <c r="G1479" t="s">
        <v>1058</v>
      </c>
      <c r="H1479">
        <v>2005</v>
      </c>
      <c r="I1479" t="s">
        <v>66</v>
      </c>
      <c r="J1479">
        <v>3015</v>
      </c>
      <c r="K1479" t="s">
        <v>1073</v>
      </c>
      <c r="L1479">
        <v>0</v>
      </c>
      <c r="N1479" t="s">
        <v>1070</v>
      </c>
      <c r="O1479">
        <v>69</v>
      </c>
      <c r="P1479">
        <v>9308</v>
      </c>
      <c r="Q1479" t="s">
        <v>1071</v>
      </c>
      <c r="R1479" t="s">
        <v>201</v>
      </c>
      <c r="S1479">
        <v>1</v>
      </c>
      <c r="T1479">
        <v>1</v>
      </c>
      <c r="U1479">
        <v>44820</v>
      </c>
      <c r="V1479">
        <v>44820</v>
      </c>
    </row>
    <row r="1480" spans="1:22">
      <c r="A1480" t="s">
        <v>196</v>
      </c>
      <c r="B1480">
        <v>39</v>
      </c>
      <c r="C1480" t="s">
        <v>1058</v>
      </c>
      <c r="D1480">
        <v>100</v>
      </c>
      <c r="E1480" t="s">
        <v>197</v>
      </c>
      <c r="F1480">
        <v>1005</v>
      </c>
      <c r="G1480" t="s">
        <v>1058</v>
      </c>
      <c r="H1480">
        <v>2005</v>
      </c>
      <c r="I1480" t="s">
        <v>66</v>
      </c>
      <c r="J1480">
        <v>3015</v>
      </c>
      <c r="K1480" t="s">
        <v>1073</v>
      </c>
      <c r="L1480">
        <v>0</v>
      </c>
      <c r="N1480" t="s">
        <v>1070</v>
      </c>
      <c r="O1480">
        <v>69</v>
      </c>
      <c r="P1480">
        <v>9308</v>
      </c>
      <c r="Q1480" t="s">
        <v>1071</v>
      </c>
      <c r="R1480" t="s">
        <v>201</v>
      </c>
      <c r="S1480">
        <v>1</v>
      </c>
      <c r="T1480">
        <v>1</v>
      </c>
      <c r="U1480">
        <v>40620</v>
      </c>
      <c r="V1480">
        <v>40620</v>
      </c>
    </row>
    <row r="1481" spans="1:22">
      <c r="A1481" t="s">
        <v>196</v>
      </c>
      <c r="B1481">
        <v>39</v>
      </c>
      <c r="C1481" t="s">
        <v>1058</v>
      </c>
      <c r="D1481">
        <v>100</v>
      </c>
      <c r="E1481" t="s">
        <v>197</v>
      </c>
      <c r="F1481">
        <v>1005</v>
      </c>
      <c r="G1481" t="s">
        <v>1058</v>
      </c>
      <c r="H1481">
        <v>2005</v>
      </c>
      <c r="I1481" t="s">
        <v>66</v>
      </c>
      <c r="J1481">
        <v>3020</v>
      </c>
      <c r="K1481" t="s">
        <v>1079</v>
      </c>
      <c r="L1481">
        <v>0</v>
      </c>
      <c r="N1481" t="s">
        <v>1068</v>
      </c>
      <c r="O1481">
        <v>69</v>
      </c>
      <c r="P1481">
        <v>9357</v>
      </c>
      <c r="Q1481" t="s">
        <v>1080</v>
      </c>
      <c r="R1481" t="s">
        <v>201</v>
      </c>
      <c r="S1481">
        <v>4</v>
      </c>
      <c r="T1481">
        <v>1</v>
      </c>
      <c r="U1481">
        <v>41628</v>
      </c>
      <c r="V1481">
        <v>166512</v>
      </c>
    </row>
    <row r="1482" spans="1:22">
      <c r="A1482" t="s">
        <v>196</v>
      </c>
      <c r="B1482">
        <v>39</v>
      </c>
      <c r="C1482" t="s">
        <v>1058</v>
      </c>
      <c r="D1482">
        <v>100</v>
      </c>
      <c r="E1482" t="s">
        <v>197</v>
      </c>
      <c r="F1482">
        <v>1005</v>
      </c>
      <c r="G1482" t="s">
        <v>1058</v>
      </c>
      <c r="H1482">
        <v>2005</v>
      </c>
      <c r="I1482" t="s">
        <v>66</v>
      </c>
      <c r="J1482">
        <v>3020</v>
      </c>
      <c r="K1482" t="s">
        <v>1079</v>
      </c>
      <c r="L1482">
        <v>0</v>
      </c>
      <c r="N1482" t="s">
        <v>199</v>
      </c>
      <c r="O1482">
        <v>69</v>
      </c>
      <c r="P1482">
        <v>9353</v>
      </c>
      <c r="Q1482" t="s">
        <v>1061</v>
      </c>
      <c r="R1482" t="s">
        <v>201</v>
      </c>
      <c r="S1482">
        <v>1</v>
      </c>
      <c r="T1482">
        <v>1</v>
      </c>
      <c r="U1482">
        <v>124985</v>
      </c>
      <c r="V1482">
        <v>124985</v>
      </c>
    </row>
    <row r="1483" spans="1:22">
      <c r="A1483" t="s">
        <v>196</v>
      </c>
      <c r="B1483">
        <v>39</v>
      </c>
      <c r="C1483" t="s">
        <v>1058</v>
      </c>
      <c r="D1483">
        <v>100</v>
      </c>
      <c r="E1483" t="s">
        <v>197</v>
      </c>
      <c r="F1483">
        <v>1005</v>
      </c>
      <c r="G1483" t="s">
        <v>1058</v>
      </c>
      <c r="H1483">
        <v>2005</v>
      </c>
      <c r="I1483" t="s">
        <v>66</v>
      </c>
      <c r="J1483">
        <v>3020</v>
      </c>
      <c r="K1483" t="s">
        <v>1079</v>
      </c>
      <c r="L1483">
        <v>0</v>
      </c>
      <c r="N1483" t="s">
        <v>216</v>
      </c>
      <c r="O1483">
        <v>69</v>
      </c>
      <c r="P1483">
        <v>9350</v>
      </c>
      <c r="Q1483" t="s">
        <v>1076</v>
      </c>
      <c r="R1483" t="s">
        <v>201</v>
      </c>
      <c r="S1483">
        <v>1</v>
      </c>
      <c r="T1483">
        <v>1</v>
      </c>
      <c r="U1483">
        <v>94616</v>
      </c>
      <c r="V1483">
        <v>94616</v>
      </c>
    </row>
    <row r="1484" spans="1:22">
      <c r="A1484" t="s">
        <v>196</v>
      </c>
      <c r="B1484">
        <v>39</v>
      </c>
      <c r="C1484" t="s">
        <v>1058</v>
      </c>
      <c r="D1484">
        <v>100</v>
      </c>
      <c r="E1484" t="s">
        <v>197</v>
      </c>
      <c r="F1484">
        <v>1005</v>
      </c>
      <c r="G1484" t="s">
        <v>1058</v>
      </c>
      <c r="H1484">
        <v>2005</v>
      </c>
      <c r="I1484" t="s">
        <v>66</v>
      </c>
      <c r="J1484">
        <v>3020</v>
      </c>
      <c r="K1484" t="s">
        <v>1079</v>
      </c>
      <c r="L1484">
        <v>0</v>
      </c>
      <c r="N1484" t="s">
        <v>1066</v>
      </c>
      <c r="O1484">
        <v>69</v>
      </c>
      <c r="P1484">
        <v>9344</v>
      </c>
      <c r="Q1484" t="s">
        <v>1081</v>
      </c>
      <c r="R1484" t="s">
        <v>201</v>
      </c>
      <c r="S1484">
        <v>1</v>
      </c>
      <c r="T1484">
        <v>1</v>
      </c>
      <c r="U1484">
        <v>60276</v>
      </c>
      <c r="V1484">
        <v>60276</v>
      </c>
    </row>
    <row r="1485" spans="1:22">
      <c r="A1485" t="s">
        <v>196</v>
      </c>
      <c r="B1485">
        <v>39</v>
      </c>
      <c r="C1485" t="s">
        <v>1058</v>
      </c>
      <c r="D1485">
        <v>100</v>
      </c>
      <c r="E1485" t="s">
        <v>197</v>
      </c>
      <c r="F1485">
        <v>1005</v>
      </c>
      <c r="G1485" t="s">
        <v>1058</v>
      </c>
      <c r="H1485">
        <v>2005</v>
      </c>
      <c r="I1485" t="s">
        <v>66</v>
      </c>
      <c r="J1485">
        <v>3020</v>
      </c>
      <c r="K1485" t="s">
        <v>1079</v>
      </c>
      <c r="L1485">
        <v>0</v>
      </c>
      <c r="N1485" t="s">
        <v>1066</v>
      </c>
      <c r="O1485">
        <v>69</v>
      </c>
      <c r="P1485">
        <v>9344</v>
      </c>
      <c r="Q1485" t="s">
        <v>1081</v>
      </c>
      <c r="R1485" t="s">
        <v>201</v>
      </c>
      <c r="S1485">
        <v>1</v>
      </c>
      <c r="T1485">
        <v>1</v>
      </c>
      <c r="U1485">
        <v>45948</v>
      </c>
      <c r="V1485">
        <v>45948</v>
      </c>
    </row>
    <row r="1486" spans="1:22">
      <c r="A1486" t="s">
        <v>196</v>
      </c>
      <c r="B1486">
        <v>39</v>
      </c>
      <c r="C1486" t="s">
        <v>1058</v>
      </c>
      <c r="D1486">
        <v>100</v>
      </c>
      <c r="E1486" t="s">
        <v>197</v>
      </c>
      <c r="F1486">
        <v>1005</v>
      </c>
      <c r="G1486" t="s">
        <v>1058</v>
      </c>
      <c r="H1486">
        <v>2005</v>
      </c>
      <c r="I1486" t="s">
        <v>66</v>
      </c>
      <c r="J1486">
        <v>3020</v>
      </c>
      <c r="K1486" t="s">
        <v>1079</v>
      </c>
      <c r="L1486">
        <v>0</v>
      </c>
      <c r="N1486" t="s">
        <v>1066</v>
      </c>
      <c r="O1486">
        <v>69</v>
      </c>
      <c r="P1486">
        <v>9344</v>
      </c>
      <c r="Q1486" t="s">
        <v>1081</v>
      </c>
      <c r="R1486" t="s">
        <v>201</v>
      </c>
      <c r="S1486">
        <v>1</v>
      </c>
      <c r="T1486">
        <v>1</v>
      </c>
      <c r="U1486">
        <v>37728</v>
      </c>
      <c r="V1486">
        <v>37728</v>
      </c>
    </row>
    <row r="1487" spans="1:22">
      <c r="A1487" t="s">
        <v>196</v>
      </c>
      <c r="B1487">
        <v>39</v>
      </c>
      <c r="C1487" t="s">
        <v>1058</v>
      </c>
      <c r="D1487">
        <v>100</v>
      </c>
      <c r="E1487" t="s">
        <v>197</v>
      </c>
      <c r="F1487">
        <v>1005</v>
      </c>
      <c r="G1487" t="s">
        <v>1058</v>
      </c>
      <c r="H1487">
        <v>2005</v>
      </c>
      <c r="I1487" t="s">
        <v>66</v>
      </c>
      <c r="J1487">
        <v>3020</v>
      </c>
      <c r="K1487" t="s">
        <v>1079</v>
      </c>
      <c r="L1487">
        <v>0</v>
      </c>
      <c r="N1487" t="s">
        <v>1082</v>
      </c>
      <c r="O1487">
        <v>69</v>
      </c>
      <c r="P1487">
        <v>9335</v>
      </c>
      <c r="Q1487" t="s">
        <v>1083</v>
      </c>
      <c r="R1487" t="s">
        <v>201</v>
      </c>
      <c r="S1487">
        <v>1</v>
      </c>
      <c r="T1487">
        <v>1</v>
      </c>
      <c r="U1487">
        <v>87432</v>
      </c>
      <c r="V1487">
        <v>87432</v>
      </c>
    </row>
    <row r="1488" spans="1:22">
      <c r="A1488" t="s">
        <v>196</v>
      </c>
      <c r="B1488">
        <v>39</v>
      </c>
      <c r="C1488" t="s">
        <v>1058</v>
      </c>
      <c r="D1488">
        <v>100</v>
      </c>
      <c r="E1488" t="s">
        <v>197</v>
      </c>
      <c r="F1488">
        <v>1005</v>
      </c>
      <c r="G1488" t="s">
        <v>1058</v>
      </c>
      <c r="H1488">
        <v>2005</v>
      </c>
      <c r="I1488" t="s">
        <v>66</v>
      </c>
      <c r="J1488">
        <v>3020</v>
      </c>
      <c r="K1488" t="s">
        <v>1079</v>
      </c>
      <c r="L1488">
        <v>0</v>
      </c>
      <c r="N1488" t="s">
        <v>1059</v>
      </c>
      <c r="O1488">
        <v>69</v>
      </c>
      <c r="P1488">
        <v>9330</v>
      </c>
      <c r="Q1488" t="s">
        <v>1084</v>
      </c>
      <c r="R1488" t="s">
        <v>201</v>
      </c>
      <c r="S1488">
        <v>1</v>
      </c>
      <c r="T1488">
        <v>1</v>
      </c>
      <c r="U1488">
        <v>83208</v>
      </c>
      <c r="V1488">
        <v>83208</v>
      </c>
    </row>
    <row r="1489" spans="1:22">
      <c r="A1489" t="s">
        <v>196</v>
      </c>
      <c r="B1489">
        <v>39</v>
      </c>
      <c r="C1489" t="s">
        <v>1058</v>
      </c>
      <c r="D1489">
        <v>100</v>
      </c>
      <c r="E1489" t="s">
        <v>197</v>
      </c>
      <c r="F1489">
        <v>1005</v>
      </c>
      <c r="G1489" t="s">
        <v>1058</v>
      </c>
      <c r="H1489">
        <v>2005</v>
      </c>
      <c r="I1489" t="s">
        <v>66</v>
      </c>
      <c r="J1489">
        <v>3020</v>
      </c>
      <c r="K1489" t="s">
        <v>1079</v>
      </c>
      <c r="L1489">
        <v>0</v>
      </c>
      <c r="N1489" t="s">
        <v>1066</v>
      </c>
      <c r="O1489">
        <v>69</v>
      </c>
      <c r="P1489">
        <v>9328</v>
      </c>
      <c r="Q1489" t="s">
        <v>1067</v>
      </c>
      <c r="R1489" t="s">
        <v>201</v>
      </c>
      <c r="S1489">
        <v>2</v>
      </c>
      <c r="T1489">
        <v>1</v>
      </c>
      <c r="U1489">
        <v>69912</v>
      </c>
      <c r="V1489">
        <v>139824</v>
      </c>
    </row>
    <row r="1490" spans="1:22">
      <c r="A1490" t="s">
        <v>196</v>
      </c>
      <c r="B1490">
        <v>39</v>
      </c>
      <c r="C1490" t="s">
        <v>1058</v>
      </c>
      <c r="D1490">
        <v>100</v>
      </c>
      <c r="E1490" t="s">
        <v>197</v>
      </c>
      <c r="F1490">
        <v>1005</v>
      </c>
      <c r="G1490" t="s">
        <v>1058</v>
      </c>
      <c r="H1490">
        <v>2005</v>
      </c>
      <c r="I1490" t="s">
        <v>66</v>
      </c>
      <c r="J1490">
        <v>3020</v>
      </c>
      <c r="K1490" t="s">
        <v>1079</v>
      </c>
      <c r="L1490">
        <v>0</v>
      </c>
      <c r="N1490" t="s">
        <v>1066</v>
      </c>
      <c r="O1490">
        <v>69</v>
      </c>
      <c r="P1490">
        <v>9328</v>
      </c>
      <c r="Q1490" t="s">
        <v>1067</v>
      </c>
      <c r="R1490" t="s">
        <v>201</v>
      </c>
      <c r="S1490">
        <v>1</v>
      </c>
      <c r="T1490">
        <v>1</v>
      </c>
      <c r="U1490">
        <v>68208</v>
      </c>
      <c r="V1490">
        <v>68208</v>
      </c>
    </row>
    <row r="1491" spans="1:22">
      <c r="A1491" t="s">
        <v>196</v>
      </c>
      <c r="B1491">
        <v>39</v>
      </c>
      <c r="C1491" t="s">
        <v>1058</v>
      </c>
      <c r="D1491">
        <v>100</v>
      </c>
      <c r="E1491" t="s">
        <v>197</v>
      </c>
      <c r="F1491">
        <v>1005</v>
      </c>
      <c r="G1491" t="s">
        <v>1058</v>
      </c>
      <c r="H1491">
        <v>2005</v>
      </c>
      <c r="I1491" t="s">
        <v>66</v>
      </c>
      <c r="J1491">
        <v>3020</v>
      </c>
      <c r="K1491" t="s">
        <v>1079</v>
      </c>
      <c r="L1491">
        <v>0</v>
      </c>
      <c r="N1491" t="s">
        <v>1066</v>
      </c>
      <c r="O1491">
        <v>69</v>
      </c>
      <c r="P1491">
        <v>9328</v>
      </c>
      <c r="Q1491" t="s">
        <v>1067</v>
      </c>
      <c r="R1491" t="s">
        <v>201</v>
      </c>
      <c r="S1491">
        <v>1</v>
      </c>
      <c r="T1491">
        <v>1</v>
      </c>
      <c r="U1491">
        <v>57372</v>
      </c>
      <c r="V1491">
        <v>57372</v>
      </c>
    </row>
    <row r="1492" spans="1:22">
      <c r="A1492" t="s">
        <v>196</v>
      </c>
      <c r="B1492">
        <v>39</v>
      </c>
      <c r="C1492" t="s">
        <v>1058</v>
      </c>
      <c r="D1492">
        <v>100</v>
      </c>
      <c r="E1492" t="s">
        <v>197</v>
      </c>
      <c r="F1492">
        <v>1005</v>
      </c>
      <c r="G1492" t="s">
        <v>1058</v>
      </c>
      <c r="H1492">
        <v>2005</v>
      </c>
      <c r="I1492" t="s">
        <v>66</v>
      </c>
      <c r="J1492">
        <v>3020</v>
      </c>
      <c r="K1492" t="s">
        <v>1079</v>
      </c>
      <c r="L1492">
        <v>0</v>
      </c>
      <c r="N1492" t="s">
        <v>1066</v>
      </c>
      <c r="O1492">
        <v>69</v>
      </c>
      <c r="P1492">
        <v>9328</v>
      </c>
      <c r="Q1492" t="s">
        <v>1067</v>
      </c>
      <c r="R1492" t="s">
        <v>201</v>
      </c>
      <c r="S1492">
        <v>1</v>
      </c>
      <c r="T1492">
        <v>1</v>
      </c>
      <c r="U1492">
        <v>53280</v>
      </c>
      <c r="V1492">
        <v>53280</v>
      </c>
    </row>
    <row r="1493" spans="1:22">
      <c r="A1493" t="s">
        <v>196</v>
      </c>
      <c r="B1493">
        <v>39</v>
      </c>
      <c r="C1493" t="s">
        <v>1058</v>
      </c>
      <c r="D1493">
        <v>100</v>
      </c>
      <c r="E1493" t="s">
        <v>197</v>
      </c>
      <c r="F1493">
        <v>1005</v>
      </c>
      <c r="G1493" t="s">
        <v>1058</v>
      </c>
      <c r="H1493">
        <v>2005</v>
      </c>
      <c r="I1493" t="s">
        <v>66</v>
      </c>
      <c r="J1493">
        <v>3020</v>
      </c>
      <c r="K1493" t="s">
        <v>1079</v>
      </c>
      <c r="L1493">
        <v>0</v>
      </c>
      <c r="N1493" t="s">
        <v>1066</v>
      </c>
      <c r="O1493">
        <v>69</v>
      </c>
      <c r="P1493">
        <v>9328</v>
      </c>
      <c r="Q1493" t="s">
        <v>1067</v>
      </c>
      <c r="R1493" t="s">
        <v>201</v>
      </c>
      <c r="S1493">
        <v>1</v>
      </c>
      <c r="T1493">
        <v>1</v>
      </c>
      <c r="U1493">
        <v>51984</v>
      </c>
      <c r="V1493">
        <v>51984</v>
      </c>
    </row>
    <row r="1494" spans="1:22">
      <c r="A1494" t="s">
        <v>196</v>
      </c>
      <c r="B1494">
        <v>39</v>
      </c>
      <c r="C1494" t="s">
        <v>1058</v>
      </c>
      <c r="D1494">
        <v>100</v>
      </c>
      <c r="E1494" t="s">
        <v>197</v>
      </c>
      <c r="F1494">
        <v>1005</v>
      </c>
      <c r="G1494" t="s">
        <v>1058</v>
      </c>
      <c r="H1494">
        <v>2005</v>
      </c>
      <c r="I1494" t="s">
        <v>66</v>
      </c>
      <c r="J1494">
        <v>3020</v>
      </c>
      <c r="K1494" t="s">
        <v>1079</v>
      </c>
      <c r="L1494">
        <v>0</v>
      </c>
      <c r="N1494" t="s">
        <v>1068</v>
      </c>
      <c r="O1494">
        <v>69</v>
      </c>
      <c r="P1494">
        <v>9327</v>
      </c>
      <c r="Q1494" t="s">
        <v>1069</v>
      </c>
      <c r="R1494" t="s">
        <v>201</v>
      </c>
      <c r="S1494">
        <v>2</v>
      </c>
      <c r="T1494">
        <v>1</v>
      </c>
      <c r="U1494">
        <v>77160</v>
      </c>
      <c r="V1494">
        <v>154320</v>
      </c>
    </row>
    <row r="1495" spans="1:22">
      <c r="A1495" t="s">
        <v>196</v>
      </c>
      <c r="B1495">
        <v>39</v>
      </c>
      <c r="C1495" t="s">
        <v>1058</v>
      </c>
      <c r="D1495">
        <v>100</v>
      </c>
      <c r="E1495" t="s">
        <v>197</v>
      </c>
      <c r="F1495">
        <v>1005</v>
      </c>
      <c r="G1495" t="s">
        <v>1058</v>
      </c>
      <c r="H1495">
        <v>2005</v>
      </c>
      <c r="I1495" t="s">
        <v>66</v>
      </c>
      <c r="J1495">
        <v>3020</v>
      </c>
      <c r="K1495" t="s">
        <v>1079</v>
      </c>
      <c r="L1495">
        <v>0</v>
      </c>
      <c r="N1495" t="s">
        <v>1068</v>
      </c>
      <c r="O1495">
        <v>69</v>
      </c>
      <c r="P1495">
        <v>9327</v>
      </c>
      <c r="Q1495" t="s">
        <v>1069</v>
      </c>
      <c r="R1495" t="s">
        <v>201</v>
      </c>
      <c r="S1495">
        <v>1</v>
      </c>
      <c r="T1495">
        <v>1</v>
      </c>
      <c r="U1495">
        <v>57372</v>
      </c>
      <c r="V1495">
        <v>57372</v>
      </c>
    </row>
    <row r="1496" spans="1:22">
      <c r="A1496" t="s">
        <v>196</v>
      </c>
      <c r="B1496">
        <v>39</v>
      </c>
      <c r="C1496" t="s">
        <v>1058</v>
      </c>
      <c r="D1496">
        <v>100</v>
      </c>
      <c r="E1496" t="s">
        <v>197</v>
      </c>
      <c r="F1496">
        <v>1005</v>
      </c>
      <c r="G1496" t="s">
        <v>1058</v>
      </c>
      <c r="H1496">
        <v>2005</v>
      </c>
      <c r="I1496" t="s">
        <v>66</v>
      </c>
      <c r="J1496">
        <v>3020</v>
      </c>
      <c r="K1496" t="s">
        <v>1079</v>
      </c>
      <c r="L1496">
        <v>0</v>
      </c>
      <c r="N1496" t="s">
        <v>1068</v>
      </c>
      <c r="O1496">
        <v>69</v>
      </c>
      <c r="P1496">
        <v>9327</v>
      </c>
      <c r="Q1496" t="s">
        <v>1069</v>
      </c>
      <c r="R1496" t="s">
        <v>201</v>
      </c>
      <c r="S1496">
        <v>1</v>
      </c>
      <c r="T1496">
        <v>1</v>
      </c>
      <c r="U1496">
        <v>54624</v>
      </c>
      <c r="V1496">
        <v>54624</v>
      </c>
    </row>
    <row r="1497" spans="1:22">
      <c r="A1497" t="s">
        <v>196</v>
      </c>
      <c r="B1497">
        <v>39</v>
      </c>
      <c r="C1497" t="s">
        <v>1058</v>
      </c>
      <c r="D1497">
        <v>100</v>
      </c>
      <c r="E1497" t="s">
        <v>197</v>
      </c>
      <c r="F1497">
        <v>1005</v>
      </c>
      <c r="G1497" t="s">
        <v>1058</v>
      </c>
      <c r="H1497">
        <v>2005</v>
      </c>
      <c r="I1497" t="s">
        <v>66</v>
      </c>
      <c r="J1497">
        <v>3020</v>
      </c>
      <c r="K1497" t="s">
        <v>1079</v>
      </c>
      <c r="L1497">
        <v>0</v>
      </c>
      <c r="N1497" t="s">
        <v>1068</v>
      </c>
      <c r="O1497">
        <v>69</v>
      </c>
      <c r="P1497">
        <v>9327</v>
      </c>
      <c r="Q1497" t="s">
        <v>1069</v>
      </c>
      <c r="R1497" t="s">
        <v>201</v>
      </c>
      <c r="S1497">
        <v>2</v>
      </c>
      <c r="T1497">
        <v>1</v>
      </c>
      <c r="U1497">
        <v>53280</v>
      </c>
      <c r="V1497">
        <v>106560</v>
      </c>
    </row>
    <row r="1498" spans="1:22">
      <c r="A1498" t="s">
        <v>196</v>
      </c>
      <c r="B1498">
        <v>39</v>
      </c>
      <c r="C1498" t="s">
        <v>1058</v>
      </c>
      <c r="D1498">
        <v>100</v>
      </c>
      <c r="E1498" t="s">
        <v>197</v>
      </c>
      <c r="F1498">
        <v>1005</v>
      </c>
      <c r="G1498" t="s">
        <v>1058</v>
      </c>
      <c r="H1498">
        <v>2005</v>
      </c>
      <c r="I1498" t="s">
        <v>66</v>
      </c>
      <c r="J1498">
        <v>3020</v>
      </c>
      <c r="K1498" t="s">
        <v>1079</v>
      </c>
      <c r="L1498">
        <v>0</v>
      </c>
      <c r="N1498" t="s">
        <v>1068</v>
      </c>
      <c r="O1498">
        <v>69</v>
      </c>
      <c r="P1498">
        <v>9327</v>
      </c>
      <c r="Q1498" t="s">
        <v>1069</v>
      </c>
      <c r="R1498" t="s">
        <v>201</v>
      </c>
      <c r="S1498">
        <v>1</v>
      </c>
      <c r="T1498">
        <v>1</v>
      </c>
      <c r="U1498">
        <v>41628</v>
      </c>
      <c r="V1498">
        <v>41628</v>
      </c>
    </row>
    <row r="1499" spans="1:22">
      <c r="A1499" t="s">
        <v>196</v>
      </c>
      <c r="B1499">
        <v>39</v>
      </c>
      <c r="C1499" t="s">
        <v>1058</v>
      </c>
      <c r="D1499">
        <v>100</v>
      </c>
      <c r="E1499" t="s">
        <v>197</v>
      </c>
      <c r="F1499">
        <v>1005</v>
      </c>
      <c r="G1499" t="s">
        <v>1058</v>
      </c>
      <c r="H1499">
        <v>2005</v>
      </c>
      <c r="I1499" t="s">
        <v>66</v>
      </c>
      <c r="J1499">
        <v>3020</v>
      </c>
      <c r="K1499" t="s">
        <v>1079</v>
      </c>
      <c r="L1499">
        <v>0</v>
      </c>
      <c r="N1499" t="s">
        <v>1070</v>
      </c>
      <c r="O1499">
        <v>69</v>
      </c>
      <c r="P1499">
        <v>9308</v>
      </c>
      <c r="Q1499" t="s">
        <v>1071</v>
      </c>
      <c r="R1499" t="s">
        <v>201</v>
      </c>
      <c r="S1499">
        <v>1</v>
      </c>
      <c r="T1499">
        <v>1</v>
      </c>
      <c r="U1499">
        <v>60276</v>
      </c>
      <c r="V1499">
        <v>60276</v>
      </c>
    </row>
    <row r="1500" spans="1:22">
      <c r="A1500" t="s">
        <v>196</v>
      </c>
      <c r="B1500">
        <v>39</v>
      </c>
      <c r="C1500" t="s">
        <v>1058</v>
      </c>
      <c r="D1500">
        <v>100</v>
      </c>
      <c r="E1500" t="s">
        <v>197</v>
      </c>
      <c r="F1500">
        <v>1005</v>
      </c>
      <c r="G1500" t="s">
        <v>1058</v>
      </c>
      <c r="H1500">
        <v>2005</v>
      </c>
      <c r="I1500" t="s">
        <v>66</v>
      </c>
      <c r="J1500">
        <v>3020</v>
      </c>
      <c r="K1500" t="s">
        <v>1079</v>
      </c>
      <c r="L1500">
        <v>0</v>
      </c>
      <c r="N1500" t="s">
        <v>1070</v>
      </c>
      <c r="O1500">
        <v>69</v>
      </c>
      <c r="P1500">
        <v>9308</v>
      </c>
      <c r="Q1500" t="s">
        <v>1071</v>
      </c>
      <c r="R1500" t="s">
        <v>201</v>
      </c>
      <c r="S1500">
        <v>1</v>
      </c>
      <c r="T1500">
        <v>1</v>
      </c>
      <c r="U1500">
        <v>49476</v>
      </c>
      <c r="V1500">
        <v>49476</v>
      </c>
    </row>
    <row r="1501" spans="1:22">
      <c r="A1501" t="s">
        <v>196</v>
      </c>
      <c r="B1501">
        <v>39</v>
      </c>
      <c r="C1501" t="s">
        <v>1058</v>
      </c>
      <c r="D1501">
        <v>100</v>
      </c>
      <c r="E1501" t="s">
        <v>197</v>
      </c>
      <c r="F1501">
        <v>1005</v>
      </c>
      <c r="G1501" t="s">
        <v>1058</v>
      </c>
      <c r="H1501">
        <v>2005</v>
      </c>
      <c r="I1501" t="s">
        <v>66</v>
      </c>
      <c r="J1501">
        <v>3020</v>
      </c>
      <c r="K1501" t="s">
        <v>1079</v>
      </c>
      <c r="L1501">
        <v>0</v>
      </c>
      <c r="N1501" t="s">
        <v>1070</v>
      </c>
      <c r="O1501">
        <v>69</v>
      </c>
      <c r="P1501">
        <v>9308</v>
      </c>
      <c r="Q1501" t="s">
        <v>1071</v>
      </c>
      <c r="R1501" t="s">
        <v>201</v>
      </c>
      <c r="S1501">
        <v>2</v>
      </c>
      <c r="T1501">
        <v>1</v>
      </c>
      <c r="U1501">
        <v>48264</v>
      </c>
      <c r="V1501">
        <v>96528</v>
      </c>
    </row>
    <row r="1502" spans="1:22">
      <c r="A1502" t="s">
        <v>196</v>
      </c>
      <c r="B1502">
        <v>39</v>
      </c>
      <c r="C1502" t="s">
        <v>1058</v>
      </c>
      <c r="D1502">
        <v>100</v>
      </c>
      <c r="E1502" t="s">
        <v>197</v>
      </c>
      <c r="F1502">
        <v>1005</v>
      </c>
      <c r="G1502" t="s">
        <v>1058</v>
      </c>
      <c r="H1502">
        <v>2005</v>
      </c>
      <c r="I1502" t="s">
        <v>66</v>
      </c>
      <c r="J1502">
        <v>3020</v>
      </c>
      <c r="K1502" t="s">
        <v>1079</v>
      </c>
      <c r="L1502">
        <v>0</v>
      </c>
      <c r="N1502" t="s">
        <v>1070</v>
      </c>
      <c r="O1502">
        <v>69</v>
      </c>
      <c r="P1502">
        <v>9308</v>
      </c>
      <c r="Q1502" t="s">
        <v>1071</v>
      </c>
      <c r="R1502" t="s">
        <v>201</v>
      </c>
      <c r="S1502">
        <v>3</v>
      </c>
      <c r="T1502">
        <v>1</v>
      </c>
      <c r="U1502">
        <v>42672</v>
      </c>
      <c r="V1502">
        <v>128016</v>
      </c>
    </row>
    <row r="1503" spans="1:22">
      <c r="A1503" t="s">
        <v>196</v>
      </c>
      <c r="B1503">
        <v>39</v>
      </c>
      <c r="C1503" t="s">
        <v>1058</v>
      </c>
      <c r="D1503">
        <v>100</v>
      </c>
      <c r="E1503" t="s">
        <v>197</v>
      </c>
      <c r="F1503">
        <v>1005</v>
      </c>
      <c r="G1503" t="s">
        <v>1058</v>
      </c>
      <c r="H1503">
        <v>2005</v>
      </c>
      <c r="I1503" t="s">
        <v>66</v>
      </c>
      <c r="J1503">
        <v>3020</v>
      </c>
      <c r="K1503" t="s">
        <v>1079</v>
      </c>
      <c r="L1503">
        <v>0</v>
      </c>
      <c r="N1503" t="s">
        <v>1063</v>
      </c>
      <c r="O1503">
        <v>69</v>
      </c>
      <c r="P1503">
        <v>9306</v>
      </c>
      <c r="Q1503" t="s">
        <v>1085</v>
      </c>
      <c r="R1503" t="s">
        <v>201</v>
      </c>
      <c r="S1503">
        <v>1</v>
      </c>
      <c r="T1503">
        <v>1</v>
      </c>
      <c r="U1503">
        <v>77160</v>
      </c>
      <c r="V1503">
        <v>77160</v>
      </c>
    </row>
    <row r="1504" spans="1:22">
      <c r="A1504" t="s">
        <v>196</v>
      </c>
      <c r="B1504">
        <v>39</v>
      </c>
      <c r="C1504" t="s">
        <v>1058</v>
      </c>
      <c r="D1504">
        <v>100</v>
      </c>
      <c r="E1504" t="s">
        <v>197</v>
      </c>
      <c r="F1504">
        <v>1005</v>
      </c>
      <c r="G1504" t="s">
        <v>1058</v>
      </c>
      <c r="H1504">
        <v>2005</v>
      </c>
      <c r="I1504" t="s">
        <v>66</v>
      </c>
      <c r="J1504">
        <v>3025</v>
      </c>
      <c r="K1504" t="s">
        <v>1086</v>
      </c>
      <c r="L1504">
        <v>0</v>
      </c>
      <c r="N1504" t="s">
        <v>1063</v>
      </c>
      <c r="O1504">
        <v>69</v>
      </c>
      <c r="P1504">
        <v>9356</v>
      </c>
      <c r="Q1504" t="s">
        <v>1087</v>
      </c>
      <c r="R1504" t="s">
        <v>201</v>
      </c>
      <c r="S1504">
        <v>1</v>
      </c>
      <c r="T1504">
        <v>1</v>
      </c>
      <c r="U1504">
        <v>85176</v>
      </c>
      <c r="V1504">
        <v>85176</v>
      </c>
    </row>
    <row r="1505" spans="1:22">
      <c r="A1505" t="s">
        <v>196</v>
      </c>
      <c r="B1505">
        <v>39</v>
      </c>
      <c r="C1505" t="s">
        <v>1058</v>
      </c>
      <c r="D1505">
        <v>100</v>
      </c>
      <c r="E1505" t="s">
        <v>197</v>
      </c>
      <c r="F1505">
        <v>1005</v>
      </c>
      <c r="G1505" t="s">
        <v>1058</v>
      </c>
      <c r="H1505">
        <v>2005</v>
      </c>
      <c r="I1505" t="s">
        <v>66</v>
      </c>
      <c r="J1505">
        <v>3025</v>
      </c>
      <c r="K1505" t="s">
        <v>1086</v>
      </c>
      <c r="L1505">
        <v>0</v>
      </c>
      <c r="N1505" t="s">
        <v>199</v>
      </c>
      <c r="O1505">
        <v>69</v>
      </c>
      <c r="P1505">
        <v>9353</v>
      </c>
      <c r="Q1505" t="s">
        <v>1061</v>
      </c>
      <c r="R1505" t="s">
        <v>201</v>
      </c>
      <c r="S1505">
        <v>1</v>
      </c>
      <c r="T1505">
        <v>1</v>
      </c>
      <c r="U1505">
        <v>127524</v>
      </c>
      <c r="V1505">
        <v>127524</v>
      </c>
    </row>
    <row r="1506" spans="1:22">
      <c r="A1506" t="s">
        <v>196</v>
      </c>
      <c r="B1506">
        <v>39</v>
      </c>
      <c r="C1506" t="s">
        <v>1058</v>
      </c>
      <c r="D1506">
        <v>100</v>
      </c>
      <c r="E1506" t="s">
        <v>197</v>
      </c>
      <c r="F1506">
        <v>1005</v>
      </c>
      <c r="G1506" t="s">
        <v>1058</v>
      </c>
      <c r="H1506">
        <v>2005</v>
      </c>
      <c r="I1506" t="s">
        <v>66</v>
      </c>
      <c r="J1506">
        <v>3025</v>
      </c>
      <c r="K1506" t="s">
        <v>1086</v>
      </c>
      <c r="L1506">
        <v>0</v>
      </c>
      <c r="N1506" t="s">
        <v>216</v>
      </c>
      <c r="O1506">
        <v>69</v>
      </c>
      <c r="P1506">
        <v>9350</v>
      </c>
      <c r="Q1506" t="s">
        <v>1076</v>
      </c>
      <c r="R1506" t="s">
        <v>201</v>
      </c>
      <c r="S1506">
        <v>1</v>
      </c>
      <c r="T1506">
        <v>1</v>
      </c>
      <c r="U1506">
        <v>112045</v>
      </c>
      <c r="V1506">
        <v>112045</v>
      </c>
    </row>
    <row r="1507" spans="1:22">
      <c r="A1507" t="s">
        <v>196</v>
      </c>
      <c r="B1507">
        <v>39</v>
      </c>
      <c r="C1507" t="s">
        <v>1058</v>
      </c>
      <c r="D1507">
        <v>100</v>
      </c>
      <c r="E1507" t="s">
        <v>197</v>
      </c>
      <c r="F1507">
        <v>1005</v>
      </c>
      <c r="G1507" t="s">
        <v>1058</v>
      </c>
      <c r="H1507">
        <v>2005</v>
      </c>
      <c r="I1507" t="s">
        <v>66</v>
      </c>
      <c r="J1507">
        <v>3025</v>
      </c>
      <c r="K1507" t="s">
        <v>1086</v>
      </c>
      <c r="L1507">
        <v>0</v>
      </c>
      <c r="N1507" t="s">
        <v>1068</v>
      </c>
      <c r="O1507">
        <v>69</v>
      </c>
      <c r="P1507">
        <v>9342</v>
      </c>
      <c r="Q1507" t="s">
        <v>1088</v>
      </c>
      <c r="R1507" t="s">
        <v>201</v>
      </c>
      <c r="S1507">
        <v>1</v>
      </c>
      <c r="T1507">
        <v>1</v>
      </c>
      <c r="U1507">
        <v>66528</v>
      </c>
      <c r="V1507">
        <v>66528</v>
      </c>
    </row>
    <row r="1508" spans="1:22">
      <c r="A1508" t="s">
        <v>196</v>
      </c>
      <c r="B1508">
        <v>39</v>
      </c>
      <c r="C1508" t="s">
        <v>1058</v>
      </c>
      <c r="D1508">
        <v>100</v>
      </c>
      <c r="E1508" t="s">
        <v>197</v>
      </c>
      <c r="F1508">
        <v>1005</v>
      </c>
      <c r="G1508" t="s">
        <v>1058</v>
      </c>
      <c r="H1508">
        <v>2005</v>
      </c>
      <c r="I1508" t="s">
        <v>66</v>
      </c>
      <c r="J1508">
        <v>3025</v>
      </c>
      <c r="K1508" t="s">
        <v>1086</v>
      </c>
      <c r="L1508">
        <v>0</v>
      </c>
      <c r="N1508" t="s">
        <v>1068</v>
      </c>
      <c r="O1508">
        <v>69</v>
      </c>
      <c r="P1508">
        <v>9342</v>
      </c>
      <c r="Q1508" t="s">
        <v>1088</v>
      </c>
      <c r="R1508" t="s">
        <v>201</v>
      </c>
      <c r="S1508">
        <v>1</v>
      </c>
      <c r="T1508">
        <v>1</v>
      </c>
      <c r="U1508">
        <v>60276</v>
      </c>
      <c r="V1508">
        <v>60276</v>
      </c>
    </row>
    <row r="1509" spans="1:22">
      <c r="A1509" t="s">
        <v>196</v>
      </c>
      <c r="B1509">
        <v>39</v>
      </c>
      <c r="C1509" t="s">
        <v>1058</v>
      </c>
      <c r="D1509">
        <v>100</v>
      </c>
      <c r="E1509" t="s">
        <v>197</v>
      </c>
      <c r="F1509">
        <v>1005</v>
      </c>
      <c r="G1509" t="s">
        <v>1058</v>
      </c>
      <c r="H1509">
        <v>2005</v>
      </c>
      <c r="I1509" t="s">
        <v>66</v>
      </c>
      <c r="J1509">
        <v>3025</v>
      </c>
      <c r="K1509" t="s">
        <v>1086</v>
      </c>
      <c r="L1509">
        <v>0</v>
      </c>
      <c r="N1509" t="s">
        <v>1068</v>
      </c>
      <c r="O1509">
        <v>69</v>
      </c>
      <c r="P1509">
        <v>9342</v>
      </c>
      <c r="Q1509" t="s">
        <v>1088</v>
      </c>
      <c r="R1509" t="s">
        <v>201</v>
      </c>
      <c r="S1509">
        <v>1</v>
      </c>
      <c r="T1509">
        <v>1</v>
      </c>
      <c r="U1509">
        <v>41628</v>
      </c>
      <c r="V1509">
        <v>41628</v>
      </c>
    </row>
    <row r="1510" spans="1:22">
      <c r="A1510" t="s">
        <v>196</v>
      </c>
      <c r="B1510">
        <v>39</v>
      </c>
      <c r="C1510" t="s">
        <v>1058</v>
      </c>
      <c r="D1510">
        <v>100</v>
      </c>
      <c r="E1510" t="s">
        <v>197</v>
      </c>
      <c r="F1510">
        <v>1005</v>
      </c>
      <c r="G1510" t="s">
        <v>1058</v>
      </c>
      <c r="H1510">
        <v>2005</v>
      </c>
      <c r="I1510" t="s">
        <v>66</v>
      </c>
      <c r="J1510">
        <v>3025</v>
      </c>
      <c r="K1510" t="s">
        <v>1086</v>
      </c>
      <c r="L1510">
        <v>0</v>
      </c>
      <c r="N1510" t="s">
        <v>1066</v>
      </c>
      <c r="O1510">
        <v>69</v>
      </c>
      <c r="P1510">
        <v>9341</v>
      </c>
      <c r="Q1510" t="s">
        <v>1089</v>
      </c>
      <c r="R1510" t="s">
        <v>201</v>
      </c>
      <c r="S1510">
        <v>1</v>
      </c>
      <c r="T1510">
        <v>1</v>
      </c>
      <c r="U1510">
        <v>60276</v>
      </c>
      <c r="V1510">
        <v>60276</v>
      </c>
    </row>
    <row r="1511" spans="1:22">
      <c r="A1511" t="s">
        <v>196</v>
      </c>
      <c r="B1511">
        <v>39</v>
      </c>
      <c r="C1511" t="s">
        <v>1058</v>
      </c>
      <c r="D1511">
        <v>100</v>
      </c>
      <c r="E1511" t="s">
        <v>197</v>
      </c>
      <c r="F1511">
        <v>1005</v>
      </c>
      <c r="G1511" t="s">
        <v>1058</v>
      </c>
      <c r="H1511">
        <v>2005</v>
      </c>
      <c r="I1511" t="s">
        <v>66</v>
      </c>
      <c r="J1511">
        <v>3025</v>
      </c>
      <c r="K1511" t="s">
        <v>1086</v>
      </c>
      <c r="L1511">
        <v>0</v>
      </c>
      <c r="N1511" t="s">
        <v>1066</v>
      </c>
      <c r="O1511">
        <v>69</v>
      </c>
      <c r="P1511">
        <v>9341</v>
      </c>
      <c r="Q1511" t="s">
        <v>1089</v>
      </c>
      <c r="R1511" t="s">
        <v>201</v>
      </c>
      <c r="S1511">
        <v>1</v>
      </c>
      <c r="T1511">
        <v>1</v>
      </c>
      <c r="U1511">
        <v>53280</v>
      </c>
      <c r="V1511">
        <v>53280</v>
      </c>
    </row>
    <row r="1512" spans="1:22">
      <c r="A1512" t="s">
        <v>196</v>
      </c>
      <c r="B1512">
        <v>39</v>
      </c>
      <c r="C1512" t="s">
        <v>1058</v>
      </c>
      <c r="D1512">
        <v>100</v>
      </c>
      <c r="E1512" t="s">
        <v>197</v>
      </c>
      <c r="F1512">
        <v>1005</v>
      </c>
      <c r="G1512" t="s">
        <v>1058</v>
      </c>
      <c r="H1512">
        <v>2005</v>
      </c>
      <c r="I1512" t="s">
        <v>66</v>
      </c>
      <c r="J1512">
        <v>3025</v>
      </c>
      <c r="K1512" t="s">
        <v>1086</v>
      </c>
      <c r="L1512">
        <v>0</v>
      </c>
      <c r="N1512" t="s">
        <v>1066</v>
      </c>
      <c r="O1512">
        <v>69</v>
      </c>
      <c r="P1512">
        <v>9341</v>
      </c>
      <c r="Q1512" t="s">
        <v>1089</v>
      </c>
      <c r="R1512" t="s">
        <v>201</v>
      </c>
      <c r="S1512">
        <v>1</v>
      </c>
      <c r="T1512">
        <v>1</v>
      </c>
      <c r="U1512">
        <v>51984</v>
      </c>
      <c r="V1512">
        <v>51984</v>
      </c>
    </row>
    <row r="1513" spans="1:22">
      <c r="A1513" t="s">
        <v>196</v>
      </c>
      <c r="B1513">
        <v>39</v>
      </c>
      <c r="C1513" t="s">
        <v>1058</v>
      </c>
      <c r="D1513">
        <v>100</v>
      </c>
      <c r="E1513" t="s">
        <v>197</v>
      </c>
      <c r="F1513">
        <v>1005</v>
      </c>
      <c r="G1513" t="s">
        <v>1058</v>
      </c>
      <c r="H1513">
        <v>2005</v>
      </c>
      <c r="I1513" t="s">
        <v>66</v>
      </c>
      <c r="J1513">
        <v>3025</v>
      </c>
      <c r="K1513" t="s">
        <v>1086</v>
      </c>
      <c r="L1513">
        <v>0</v>
      </c>
      <c r="N1513" t="s">
        <v>1066</v>
      </c>
      <c r="O1513">
        <v>69</v>
      </c>
      <c r="P1513">
        <v>9341</v>
      </c>
      <c r="Q1513" t="s">
        <v>1089</v>
      </c>
      <c r="R1513" t="s">
        <v>201</v>
      </c>
      <c r="S1513">
        <v>1</v>
      </c>
      <c r="T1513">
        <v>1</v>
      </c>
      <c r="U1513">
        <v>48264</v>
      </c>
      <c r="V1513">
        <v>48264</v>
      </c>
    </row>
    <row r="1514" spans="1:22">
      <c r="A1514" t="s">
        <v>196</v>
      </c>
      <c r="B1514">
        <v>39</v>
      </c>
      <c r="C1514" t="s">
        <v>1058</v>
      </c>
      <c r="D1514">
        <v>100</v>
      </c>
      <c r="E1514" t="s">
        <v>197</v>
      </c>
      <c r="F1514">
        <v>1005</v>
      </c>
      <c r="G1514" t="s">
        <v>1058</v>
      </c>
      <c r="H1514">
        <v>2005</v>
      </c>
      <c r="I1514" t="s">
        <v>66</v>
      </c>
      <c r="J1514">
        <v>3025</v>
      </c>
      <c r="K1514" t="s">
        <v>1086</v>
      </c>
      <c r="L1514">
        <v>0</v>
      </c>
      <c r="N1514" t="s">
        <v>1070</v>
      </c>
      <c r="O1514">
        <v>69</v>
      </c>
      <c r="P1514">
        <v>9340</v>
      </c>
      <c r="Q1514" t="s">
        <v>1090</v>
      </c>
      <c r="R1514" t="s">
        <v>201</v>
      </c>
      <c r="S1514">
        <v>1</v>
      </c>
      <c r="T1514">
        <v>1</v>
      </c>
      <c r="U1514">
        <v>50712</v>
      </c>
      <c r="V1514">
        <v>50712</v>
      </c>
    </row>
    <row r="1515" spans="1:22">
      <c r="A1515" t="s">
        <v>196</v>
      </c>
      <c r="B1515">
        <v>39</v>
      </c>
      <c r="C1515" t="s">
        <v>1058</v>
      </c>
      <c r="D1515">
        <v>100</v>
      </c>
      <c r="E1515" t="s">
        <v>197</v>
      </c>
      <c r="F1515">
        <v>1005</v>
      </c>
      <c r="G1515" t="s">
        <v>1058</v>
      </c>
      <c r="H1515">
        <v>2005</v>
      </c>
      <c r="I1515" t="s">
        <v>66</v>
      </c>
      <c r="J1515">
        <v>3025</v>
      </c>
      <c r="K1515" t="s">
        <v>1086</v>
      </c>
      <c r="L1515">
        <v>0</v>
      </c>
      <c r="N1515" t="s">
        <v>1070</v>
      </c>
      <c r="O1515">
        <v>69</v>
      </c>
      <c r="P1515">
        <v>9340</v>
      </c>
      <c r="Q1515" t="s">
        <v>1090</v>
      </c>
      <c r="R1515" t="s">
        <v>201</v>
      </c>
      <c r="S1515">
        <v>1</v>
      </c>
      <c r="T1515">
        <v>1</v>
      </c>
      <c r="U1515">
        <v>44820</v>
      </c>
      <c r="V1515">
        <v>44820</v>
      </c>
    </row>
    <row r="1516" spans="1:22">
      <c r="A1516" t="s">
        <v>196</v>
      </c>
      <c r="B1516">
        <v>39</v>
      </c>
      <c r="C1516" t="s">
        <v>1058</v>
      </c>
      <c r="D1516">
        <v>100</v>
      </c>
      <c r="E1516" t="s">
        <v>197</v>
      </c>
      <c r="F1516">
        <v>1005</v>
      </c>
      <c r="G1516" t="s">
        <v>1058</v>
      </c>
      <c r="H1516">
        <v>2005</v>
      </c>
      <c r="I1516" t="s">
        <v>66</v>
      </c>
      <c r="J1516">
        <v>3025</v>
      </c>
      <c r="K1516" t="s">
        <v>1086</v>
      </c>
      <c r="L1516">
        <v>0</v>
      </c>
      <c r="N1516" t="s">
        <v>1070</v>
      </c>
      <c r="O1516">
        <v>69</v>
      </c>
      <c r="P1516">
        <v>9340</v>
      </c>
      <c r="Q1516" t="s">
        <v>1090</v>
      </c>
      <c r="R1516" t="s">
        <v>201</v>
      </c>
      <c r="S1516">
        <v>1</v>
      </c>
      <c r="T1516">
        <v>1</v>
      </c>
      <c r="U1516">
        <v>43728</v>
      </c>
      <c r="V1516">
        <v>43728</v>
      </c>
    </row>
    <row r="1517" spans="1:22">
      <c r="A1517" t="s">
        <v>196</v>
      </c>
      <c r="B1517">
        <v>39</v>
      </c>
      <c r="C1517" t="s">
        <v>1058</v>
      </c>
      <c r="D1517">
        <v>100</v>
      </c>
      <c r="E1517" t="s">
        <v>197</v>
      </c>
      <c r="F1517">
        <v>1005</v>
      </c>
      <c r="G1517" t="s">
        <v>1058</v>
      </c>
      <c r="H1517">
        <v>2005</v>
      </c>
      <c r="I1517" t="s">
        <v>66</v>
      </c>
      <c r="J1517">
        <v>3025</v>
      </c>
      <c r="K1517" t="s">
        <v>1086</v>
      </c>
      <c r="L1517">
        <v>0</v>
      </c>
      <c r="N1517" t="s">
        <v>1070</v>
      </c>
      <c r="O1517">
        <v>69</v>
      </c>
      <c r="P1517">
        <v>9340</v>
      </c>
      <c r="Q1517" t="s">
        <v>1090</v>
      </c>
      <c r="R1517" t="s">
        <v>201</v>
      </c>
      <c r="S1517">
        <v>1</v>
      </c>
      <c r="T1517">
        <v>1</v>
      </c>
      <c r="U1517">
        <v>42672</v>
      </c>
      <c r="V1517">
        <v>42672</v>
      </c>
    </row>
    <row r="1518" spans="1:22">
      <c r="A1518" t="s">
        <v>196</v>
      </c>
      <c r="B1518">
        <v>39</v>
      </c>
      <c r="C1518" t="s">
        <v>1058</v>
      </c>
      <c r="D1518">
        <v>100</v>
      </c>
      <c r="E1518" t="s">
        <v>197</v>
      </c>
      <c r="F1518">
        <v>1005</v>
      </c>
      <c r="G1518" t="s">
        <v>1058</v>
      </c>
      <c r="H1518">
        <v>2005</v>
      </c>
      <c r="I1518" t="s">
        <v>66</v>
      </c>
      <c r="J1518">
        <v>3025</v>
      </c>
      <c r="K1518" t="s">
        <v>1086</v>
      </c>
      <c r="L1518">
        <v>0</v>
      </c>
      <c r="N1518" t="s">
        <v>1082</v>
      </c>
      <c r="O1518">
        <v>69</v>
      </c>
      <c r="P1518">
        <v>9339</v>
      </c>
      <c r="Q1518" t="s">
        <v>1091</v>
      </c>
      <c r="R1518" t="s">
        <v>201</v>
      </c>
      <c r="S1518">
        <v>1</v>
      </c>
      <c r="T1518">
        <v>1</v>
      </c>
      <c r="U1518">
        <v>87432</v>
      </c>
      <c r="V1518">
        <v>87432</v>
      </c>
    </row>
    <row r="1519" spans="1:22">
      <c r="A1519" t="s">
        <v>196</v>
      </c>
      <c r="B1519">
        <v>39</v>
      </c>
      <c r="C1519" t="s">
        <v>1058</v>
      </c>
      <c r="D1519">
        <v>100</v>
      </c>
      <c r="E1519" t="s">
        <v>197</v>
      </c>
      <c r="F1519">
        <v>1005</v>
      </c>
      <c r="G1519" t="s">
        <v>1058</v>
      </c>
      <c r="H1519">
        <v>2005</v>
      </c>
      <c r="I1519" t="s">
        <v>66</v>
      </c>
      <c r="J1519">
        <v>3025</v>
      </c>
      <c r="K1519" t="s">
        <v>1086</v>
      </c>
      <c r="L1519">
        <v>0</v>
      </c>
      <c r="N1519" t="s">
        <v>1082</v>
      </c>
      <c r="O1519">
        <v>69</v>
      </c>
      <c r="P1519">
        <v>9339</v>
      </c>
      <c r="Q1519" t="s">
        <v>1091</v>
      </c>
      <c r="R1519" t="s">
        <v>201</v>
      </c>
      <c r="S1519">
        <v>1</v>
      </c>
      <c r="T1519">
        <v>1</v>
      </c>
      <c r="U1519">
        <v>64920</v>
      </c>
      <c r="V1519">
        <v>64920</v>
      </c>
    </row>
    <row r="1520" spans="1:22">
      <c r="A1520" t="s">
        <v>196</v>
      </c>
      <c r="B1520">
        <v>39</v>
      </c>
      <c r="C1520" t="s">
        <v>1058</v>
      </c>
      <c r="D1520">
        <v>100</v>
      </c>
      <c r="E1520" t="s">
        <v>197</v>
      </c>
      <c r="F1520">
        <v>1005</v>
      </c>
      <c r="G1520" t="s">
        <v>1058</v>
      </c>
      <c r="H1520">
        <v>2005</v>
      </c>
      <c r="I1520" t="s">
        <v>66</v>
      </c>
      <c r="J1520">
        <v>3025</v>
      </c>
      <c r="K1520" t="s">
        <v>1086</v>
      </c>
      <c r="L1520">
        <v>0</v>
      </c>
      <c r="N1520" t="s">
        <v>1070</v>
      </c>
      <c r="O1520">
        <v>69</v>
      </c>
      <c r="P1520">
        <v>9308</v>
      </c>
      <c r="Q1520" t="s">
        <v>1071</v>
      </c>
      <c r="R1520" t="s">
        <v>201</v>
      </c>
      <c r="S1520">
        <v>1</v>
      </c>
      <c r="T1520">
        <v>1</v>
      </c>
      <c r="U1520">
        <v>42672</v>
      </c>
      <c r="V1520">
        <v>42672</v>
      </c>
    </row>
    <row r="1521" spans="1:22">
      <c r="A1521" t="s">
        <v>196</v>
      </c>
      <c r="B1521">
        <v>39</v>
      </c>
      <c r="C1521" t="s">
        <v>1058</v>
      </c>
      <c r="D1521">
        <v>100</v>
      </c>
      <c r="E1521" t="s">
        <v>197</v>
      </c>
      <c r="F1521">
        <v>1005</v>
      </c>
      <c r="G1521" t="s">
        <v>1058</v>
      </c>
      <c r="H1521">
        <v>2005</v>
      </c>
      <c r="I1521" t="s">
        <v>66</v>
      </c>
      <c r="J1521">
        <v>3041</v>
      </c>
      <c r="K1521" t="s">
        <v>1092</v>
      </c>
      <c r="L1521">
        <v>0</v>
      </c>
      <c r="N1521" t="s">
        <v>199</v>
      </c>
      <c r="O1521">
        <v>69</v>
      </c>
      <c r="P1521">
        <v>9353</v>
      </c>
      <c r="Q1521" t="s">
        <v>1061</v>
      </c>
      <c r="R1521" t="s">
        <v>201</v>
      </c>
      <c r="S1521">
        <v>1</v>
      </c>
      <c r="T1521">
        <v>1</v>
      </c>
      <c r="U1521">
        <v>133982</v>
      </c>
      <c r="V1521">
        <v>133982</v>
      </c>
    </row>
    <row r="1522" spans="1:22">
      <c r="A1522" t="s">
        <v>196</v>
      </c>
      <c r="B1522">
        <v>39</v>
      </c>
      <c r="C1522" t="s">
        <v>1058</v>
      </c>
      <c r="D1522">
        <v>100</v>
      </c>
      <c r="E1522" t="s">
        <v>197</v>
      </c>
      <c r="F1522">
        <v>1005</v>
      </c>
      <c r="G1522" t="s">
        <v>1058</v>
      </c>
      <c r="H1522">
        <v>2005</v>
      </c>
      <c r="I1522" t="s">
        <v>66</v>
      </c>
      <c r="J1522">
        <v>3041</v>
      </c>
      <c r="K1522" t="s">
        <v>1092</v>
      </c>
      <c r="L1522">
        <v>0</v>
      </c>
      <c r="N1522" t="s">
        <v>216</v>
      </c>
      <c r="O1522">
        <v>69</v>
      </c>
      <c r="P1522">
        <v>9350</v>
      </c>
      <c r="Q1522" t="s">
        <v>1076</v>
      </c>
      <c r="R1522" t="s">
        <v>201</v>
      </c>
      <c r="S1522">
        <v>1</v>
      </c>
      <c r="T1522">
        <v>1</v>
      </c>
      <c r="U1522">
        <v>94632</v>
      </c>
      <c r="V1522">
        <v>94632</v>
      </c>
    </row>
    <row r="1523" spans="1:22">
      <c r="A1523" t="s">
        <v>196</v>
      </c>
      <c r="B1523">
        <v>39</v>
      </c>
      <c r="C1523" t="s">
        <v>1058</v>
      </c>
      <c r="D1523">
        <v>100</v>
      </c>
      <c r="E1523" t="s">
        <v>197</v>
      </c>
      <c r="F1523">
        <v>1005</v>
      </c>
      <c r="G1523" t="s">
        <v>1058</v>
      </c>
      <c r="H1523">
        <v>2005</v>
      </c>
      <c r="I1523" t="s">
        <v>66</v>
      </c>
      <c r="J1523">
        <v>3041</v>
      </c>
      <c r="K1523" t="s">
        <v>1092</v>
      </c>
      <c r="L1523">
        <v>0</v>
      </c>
      <c r="N1523" t="s">
        <v>1063</v>
      </c>
      <c r="O1523">
        <v>69</v>
      </c>
      <c r="P1523">
        <v>9347</v>
      </c>
      <c r="Q1523" t="s">
        <v>1093</v>
      </c>
      <c r="R1523" t="s">
        <v>201</v>
      </c>
      <c r="S1523">
        <v>1</v>
      </c>
      <c r="T1523">
        <v>1</v>
      </c>
      <c r="U1523">
        <v>77160</v>
      </c>
      <c r="V1523">
        <v>77160</v>
      </c>
    </row>
    <row r="1524" spans="1:22">
      <c r="A1524" t="s">
        <v>196</v>
      </c>
      <c r="B1524">
        <v>39</v>
      </c>
      <c r="C1524" t="s">
        <v>1058</v>
      </c>
      <c r="D1524">
        <v>100</v>
      </c>
      <c r="E1524" t="s">
        <v>197</v>
      </c>
      <c r="F1524">
        <v>1005</v>
      </c>
      <c r="G1524" t="s">
        <v>1058</v>
      </c>
      <c r="H1524">
        <v>2005</v>
      </c>
      <c r="I1524" t="s">
        <v>66</v>
      </c>
      <c r="J1524">
        <v>3041</v>
      </c>
      <c r="K1524" t="s">
        <v>1092</v>
      </c>
      <c r="L1524">
        <v>0</v>
      </c>
      <c r="N1524" t="s">
        <v>1063</v>
      </c>
      <c r="O1524">
        <v>69</v>
      </c>
      <c r="P1524">
        <v>9347</v>
      </c>
      <c r="Q1524" t="s">
        <v>1093</v>
      </c>
      <c r="R1524" t="s">
        <v>201</v>
      </c>
      <c r="S1524">
        <v>1</v>
      </c>
      <c r="T1524">
        <v>1</v>
      </c>
      <c r="U1524">
        <v>73440</v>
      </c>
      <c r="V1524">
        <v>73440</v>
      </c>
    </row>
    <row r="1525" spans="1:22">
      <c r="A1525" t="s">
        <v>196</v>
      </c>
      <c r="B1525">
        <v>39</v>
      </c>
      <c r="C1525" t="s">
        <v>1058</v>
      </c>
      <c r="D1525">
        <v>100</v>
      </c>
      <c r="E1525" t="s">
        <v>197</v>
      </c>
      <c r="F1525">
        <v>1005</v>
      </c>
      <c r="G1525" t="s">
        <v>1058</v>
      </c>
      <c r="H1525">
        <v>2005</v>
      </c>
      <c r="I1525" t="s">
        <v>66</v>
      </c>
      <c r="J1525">
        <v>3041</v>
      </c>
      <c r="K1525" t="s">
        <v>1092</v>
      </c>
      <c r="L1525">
        <v>0</v>
      </c>
      <c r="N1525" t="s">
        <v>1063</v>
      </c>
      <c r="O1525">
        <v>69</v>
      </c>
      <c r="P1525">
        <v>9347</v>
      </c>
      <c r="Q1525" t="s">
        <v>1093</v>
      </c>
      <c r="R1525" t="s">
        <v>201</v>
      </c>
      <c r="S1525">
        <v>2</v>
      </c>
      <c r="T1525">
        <v>1</v>
      </c>
      <c r="U1525">
        <v>71652</v>
      </c>
      <c r="V1525">
        <v>143304</v>
      </c>
    </row>
    <row r="1526" spans="1:22">
      <c r="A1526" t="s">
        <v>196</v>
      </c>
      <c r="B1526">
        <v>39</v>
      </c>
      <c r="C1526" t="s">
        <v>1058</v>
      </c>
      <c r="D1526">
        <v>100</v>
      </c>
      <c r="E1526" t="s">
        <v>197</v>
      </c>
      <c r="F1526">
        <v>1005</v>
      </c>
      <c r="G1526" t="s">
        <v>1058</v>
      </c>
      <c r="H1526">
        <v>2005</v>
      </c>
      <c r="I1526" t="s">
        <v>66</v>
      </c>
      <c r="J1526">
        <v>3041</v>
      </c>
      <c r="K1526" t="s">
        <v>1092</v>
      </c>
      <c r="L1526">
        <v>0</v>
      </c>
      <c r="N1526" t="s">
        <v>1059</v>
      </c>
      <c r="O1526">
        <v>69</v>
      </c>
      <c r="P1526">
        <v>9330</v>
      </c>
      <c r="Q1526" t="s">
        <v>1084</v>
      </c>
      <c r="R1526" t="s">
        <v>201</v>
      </c>
      <c r="S1526">
        <v>1</v>
      </c>
      <c r="T1526">
        <v>1</v>
      </c>
      <c r="U1526">
        <v>90756</v>
      </c>
      <c r="V1526">
        <v>90756</v>
      </c>
    </row>
    <row r="1527" spans="1:22">
      <c r="A1527" t="s">
        <v>196</v>
      </c>
      <c r="B1527">
        <v>39</v>
      </c>
      <c r="C1527" t="s">
        <v>1058</v>
      </c>
      <c r="D1527">
        <v>100</v>
      </c>
      <c r="E1527" t="s">
        <v>197</v>
      </c>
      <c r="F1527">
        <v>1005</v>
      </c>
      <c r="G1527" t="s">
        <v>1058</v>
      </c>
      <c r="H1527">
        <v>2005</v>
      </c>
      <c r="I1527" t="s">
        <v>66</v>
      </c>
      <c r="J1527">
        <v>3041</v>
      </c>
      <c r="K1527" t="s">
        <v>1092</v>
      </c>
      <c r="L1527">
        <v>0</v>
      </c>
      <c r="N1527" t="s">
        <v>1066</v>
      </c>
      <c r="O1527">
        <v>69</v>
      </c>
      <c r="P1527">
        <v>9328</v>
      </c>
      <c r="Q1527" t="s">
        <v>1067</v>
      </c>
      <c r="R1527" t="s">
        <v>201</v>
      </c>
      <c r="S1527">
        <v>1</v>
      </c>
      <c r="T1527">
        <v>1</v>
      </c>
      <c r="U1527">
        <v>55980</v>
      </c>
      <c r="V1527">
        <v>55980</v>
      </c>
    </row>
    <row r="1528" spans="1:22">
      <c r="A1528" t="s">
        <v>196</v>
      </c>
      <c r="B1528">
        <v>39</v>
      </c>
      <c r="C1528" t="s">
        <v>1058</v>
      </c>
      <c r="D1528">
        <v>100</v>
      </c>
      <c r="E1528" t="s">
        <v>197</v>
      </c>
      <c r="F1528">
        <v>1005</v>
      </c>
      <c r="G1528" t="s">
        <v>1058</v>
      </c>
      <c r="H1528">
        <v>2005</v>
      </c>
      <c r="I1528" t="s">
        <v>66</v>
      </c>
      <c r="J1528">
        <v>3041</v>
      </c>
      <c r="K1528" t="s">
        <v>1092</v>
      </c>
      <c r="L1528">
        <v>0</v>
      </c>
      <c r="N1528" t="s">
        <v>1066</v>
      </c>
      <c r="O1528">
        <v>69</v>
      </c>
      <c r="P1528">
        <v>9328</v>
      </c>
      <c r="Q1528" t="s">
        <v>1067</v>
      </c>
      <c r="R1528" t="s">
        <v>201</v>
      </c>
      <c r="S1528">
        <v>1</v>
      </c>
      <c r="T1528">
        <v>1</v>
      </c>
      <c r="U1528">
        <v>45948</v>
      </c>
      <c r="V1528">
        <v>45948</v>
      </c>
    </row>
    <row r="1529" spans="1:22">
      <c r="A1529" t="s">
        <v>196</v>
      </c>
      <c r="B1529">
        <v>39</v>
      </c>
      <c r="C1529" t="s">
        <v>1058</v>
      </c>
      <c r="D1529">
        <v>100</v>
      </c>
      <c r="E1529" t="s">
        <v>197</v>
      </c>
      <c r="F1529">
        <v>1005</v>
      </c>
      <c r="G1529" t="s">
        <v>1058</v>
      </c>
      <c r="H1529">
        <v>2005</v>
      </c>
      <c r="I1529" t="s">
        <v>66</v>
      </c>
      <c r="J1529">
        <v>3041</v>
      </c>
      <c r="K1529" t="s">
        <v>1092</v>
      </c>
      <c r="L1529">
        <v>0</v>
      </c>
      <c r="N1529" t="s">
        <v>1068</v>
      </c>
      <c r="O1529">
        <v>69</v>
      </c>
      <c r="P1529">
        <v>9327</v>
      </c>
      <c r="Q1529" t="s">
        <v>1069</v>
      </c>
      <c r="R1529" t="s">
        <v>201</v>
      </c>
      <c r="S1529">
        <v>1</v>
      </c>
      <c r="T1529">
        <v>1</v>
      </c>
      <c r="U1529">
        <v>66528</v>
      </c>
      <c r="V1529">
        <v>66528</v>
      </c>
    </row>
    <row r="1530" spans="1:22">
      <c r="A1530" t="s">
        <v>196</v>
      </c>
      <c r="B1530">
        <v>39</v>
      </c>
      <c r="C1530" t="s">
        <v>1058</v>
      </c>
      <c r="D1530">
        <v>100</v>
      </c>
      <c r="E1530" t="s">
        <v>197</v>
      </c>
      <c r="F1530">
        <v>1005</v>
      </c>
      <c r="G1530" t="s">
        <v>1058</v>
      </c>
      <c r="H1530">
        <v>2005</v>
      </c>
      <c r="I1530" t="s">
        <v>66</v>
      </c>
      <c r="J1530">
        <v>3041</v>
      </c>
      <c r="K1530" t="s">
        <v>1092</v>
      </c>
      <c r="L1530">
        <v>0</v>
      </c>
      <c r="N1530" t="s">
        <v>1068</v>
      </c>
      <c r="O1530">
        <v>69</v>
      </c>
      <c r="P1530">
        <v>9327</v>
      </c>
      <c r="Q1530" t="s">
        <v>1069</v>
      </c>
      <c r="R1530" t="s">
        <v>201</v>
      </c>
      <c r="S1530">
        <v>1</v>
      </c>
      <c r="T1530">
        <v>1</v>
      </c>
      <c r="U1530">
        <v>60276</v>
      </c>
      <c r="V1530">
        <v>60276</v>
      </c>
    </row>
    <row r="1531" spans="1:22">
      <c r="A1531" t="s">
        <v>196</v>
      </c>
      <c r="B1531">
        <v>39</v>
      </c>
      <c r="C1531" t="s">
        <v>1058</v>
      </c>
      <c r="D1531">
        <v>100</v>
      </c>
      <c r="E1531" t="s">
        <v>197</v>
      </c>
      <c r="F1531">
        <v>1005</v>
      </c>
      <c r="G1531" t="s">
        <v>1058</v>
      </c>
      <c r="H1531">
        <v>2005</v>
      </c>
      <c r="I1531" t="s">
        <v>66</v>
      </c>
      <c r="J1531">
        <v>3041</v>
      </c>
      <c r="K1531" t="s">
        <v>1092</v>
      </c>
      <c r="L1531">
        <v>0</v>
      </c>
      <c r="N1531" t="s">
        <v>1070</v>
      </c>
      <c r="O1531">
        <v>69</v>
      </c>
      <c r="P1531">
        <v>9308</v>
      </c>
      <c r="Q1531" t="s">
        <v>1071</v>
      </c>
      <c r="R1531" t="s">
        <v>201</v>
      </c>
      <c r="S1531">
        <v>1</v>
      </c>
      <c r="T1531">
        <v>1</v>
      </c>
      <c r="U1531">
        <v>51984</v>
      </c>
      <c r="V1531">
        <v>51984</v>
      </c>
    </row>
    <row r="1532" spans="1:22">
      <c r="A1532" t="s">
        <v>196</v>
      </c>
      <c r="B1532">
        <v>39</v>
      </c>
      <c r="C1532" t="s">
        <v>1058</v>
      </c>
      <c r="D1532">
        <v>100</v>
      </c>
      <c r="E1532" t="s">
        <v>197</v>
      </c>
      <c r="F1532">
        <v>1005</v>
      </c>
      <c r="G1532" t="s">
        <v>1058</v>
      </c>
      <c r="H1532">
        <v>2005</v>
      </c>
      <c r="I1532" t="s">
        <v>66</v>
      </c>
      <c r="J1532">
        <v>3041</v>
      </c>
      <c r="K1532" t="s">
        <v>1092</v>
      </c>
      <c r="L1532">
        <v>0</v>
      </c>
      <c r="N1532" t="s">
        <v>1070</v>
      </c>
      <c r="O1532">
        <v>69</v>
      </c>
      <c r="P1532">
        <v>9308</v>
      </c>
      <c r="Q1532" t="s">
        <v>1071</v>
      </c>
      <c r="R1532" t="s">
        <v>201</v>
      </c>
      <c r="S1532">
        <v>4</v>
      </c>
      <c r="T1532">
        <v>1</v>
      </c>
      <c r="U1532">
        <v>48264</v>
      </c>
      <c r="V1532">
        <v>193056</v>
      </c>
    </row>
    <row r="1533" spans="1:22">
      <c r="A1533" t="s">
        <v>196</v>
      </c>
      <c r="B1533">
        <v>39</v>
      </c>
      <c r="C1533" t="s">
        <v>1058</v>
      </c>
      <c r="D1533">
        <v>100</v>
      </c>
      <c r="E1533" t="s">
        <v>197</v>
      </c>
      <c r="F1533">
        <v>1005</v>
      </c>
      <c r="G1533" t="s">
        <v>1058</v>
      </c>
      <c r="H1533">
        <v>2005</v>
      </c>
      <c r="I1533" t="s">
        <v>66</v>
      </c>
      <c r="J1533">
        <v>3041</v>
      </c>
      <c r="K1533" t="s">
        <v>1092</v>
      </c>
      <c r="L1533">
        <v>0</v>
      </c>
      <c r="N1533" t="s">
        <v>1063</v>
      </c>
      <c r="O1533">
        <v>69</v>
      </c>
      <c r="P1533">
        <v>9306</v>
      </c>
      <c r="Q1533" t="s">
        <v>1085</v>
      </c>
      <c r="R1533" t="s">
        <v>201</v>
      </c>
      <c r="S1533">
        <v>1</v>
      </c>
      <c r="T1533">
        <v>1</v>
      </c>
      <c r="U1533">
        <v>81072</v>
      </c>
      <c r="V1533">
        <v>81072</v>
      </c>
    </row>
    <row r="1534" spans="1:22">
      <c r="A1534" t="s">
        <v>196</v>
      </c>
      <c r="B1534">
        <v>39</v>
      </c>
      <c r="C1534" t="s">
        <v>1058</v>
      </c>
      <c r="D1534">
        <v>100</v>
      </c>
      <c r="E1534" t="s">
        <v>197</v>
      </c>
      <c r="F1534">
        <v>1005</v>
      </c>
      <c r="G1534" t="s">
        <v>1058</v>
      </c>
      <c r="H1534">
        <v>2005</v>
      </c>
      <c r="I1534" t="s">
        <v>66</v>
      </c>
      <c r="J1534">
        <v>3051</v>
      </c>
      <c r="K1534" t="s">
        <v>1094</v>
      </c>
      <c r="L1534">
        <v>0</v>
      </c>
      <c r="N1534" t="s">
        <v>199</v>
      </c>
      <c r="O1534">
        <v>69</v>
      </c>
      <c r="P1534">
        <v>9353</v>
      </c>
      <c r="Q1534" t="s">
        <v>1061</v>
      </c>
      <c r="R1534" t="s">
        <v>201</v>
      </c>
      <c r="S1534">
        <v>1</v>
      </c>
      <c r="T1534">
        <v>1</v>
      </c>
      <c r="U1534">
        <v>124985</v>
      </c>
      <c r="V1534">
        <v>124985</v>
      </c>
    </row>
    <row r="1535" spans="1:22">
      <c r="A1535" t="s">
        <v>196</v>
      </c>
      <c r="B1535">
        <v>39</v>
      </c>
      <c r="C1535" t="s">
        <v>1058</v>
      </c>
      <c r="D1535">
        <v>100</v>
      </c>
      <c r="E1535" t="s">
        <v>197</v>
      </c>
      <c r="F1535">
        <v>1005</v>
      </c>
      <c r="G1535" t="s">
        <v>1058</v>
      </c>
      <c r="H1535">
        <v>2005</v>
      </c>
      <c r="I1535" t="s">
        <v>66</v>
      </c>
      <c r="J1535">
        <v>3051</v>
      </c>
      <c r="K1535" t="s">
        <v>1094</v>
      </c>
      <c r="L1535">
        <v>0</v>
      </c>
      <c r="N1535" t="s">
        <v>216</v>
      </c>
      <c r="O1535">
        <v>69</v>
      </c>
      <c r="P1535">
        <v>9350</v>
      </c>
      <c r="Q1535" t="s">
        <v>1076</v>
      </c>
      <c r="R1535" t="s">
        <v>201</v>
      </c>
      <c r="S1535">
        <v>1</v>
      </c>
      <c r="T1535">
        <v>1</v>
      </c>
      <c r="U1535">
        <v>97459</v>
      </c>
      <c r="V1535">
        <v>97459</v>
      </c>
    </row>
    <row r="1536" spans="1:22">
      <c r="A1536" t="s">
        <v>196</v>
      </c>
      <c r="B1536">
        <v>39</v>
      </c>
      <c r="C1536" t="s">
        <v>1058</v>
      </c>
      <c r="D1536">
        <v>100</v>
      </c>
      <c r="E1536" t="s">
        <v>197</v>
      </c>
      <c r="F1536">
        <v>1005</v>
      </c>
      <c r="G1536" t="s">
        <v>1058</v>
      </c>
      <c r="H1536">
        <v>2005</v>
      </c>
      <c r="I1536" t="s">
        <v>66</v>
      </c>
      <c r="J1536">
        <v>3051</v>
      </c>
      <c r="K1536" t="s">
        <v>1094</v>
      </c>
      <c r="L1536">
        <v>0</v>
      </c>
      <c r="N1536" t="s">
        <v>1082</v>
      </c>
      <c r="O1536">
        <v>69</v>
      </c>
      <c r="P1536">
        <v>9345</v>
      </c>
      <c r="Q1536" t="s">
        <v>1095</v>
      </c>
      <c r="R1536" t="s">
        <v>201</v>
      </c>
      <c r="S1536">
        <v>1</v>
      </c>
      <c r="T1536">
        <v>1</v>
      </c>
      <c r="U1536">
        <v>76284</v>
      </c>
      <c r="V1536">
        <v>76284</v>
      </c>
    </row>
    <row r="1537" spans="1:22">
      <c r="A1537" t="s">
        <v>196</v>
      </c>
      <c r="B1537">
        <v>39</v>
      </c>
      <c r="C1537" t="s">
        <v>1058</v>
      </c>
      <c r="D1537">
        <v>100</v>
      </c>
      <c r="E1537" t="s">
        <v>197</v>
      </c>
      <c r="F1537">
        <v>1005</v>
      </c>
      <c r="G1537" t="s">
        <v>1058</v>
      </c>
      <c r="H1537">
        <v>2005</v>
      </c>
      <c r="I1537" t="s">
        <v>66</v>
      </c>
      <c r="J1537">
        <v>3051</v>
      </c>
      <c r="K1537" t="s">
        <v>1094</v>
      </c>
      <c r="L1537">
        <v>0</v>
      </c>
      <c r="N1537" t="s">
        <v>1082</v>
      </c>
      <c r="O1537">
        <v>69</v>
      </c>
      <c r="P1537">
        <v>9337</v>
      </c>
      <c r="Q1537" t="s">
        <v>1096</v>
      </c>
      <c r="R1537" t="s">
        <v>201</v>
      </c>
      <c r="S1537">
        <v>1</v>
      </c>
      <c r="T1537">
        <v>1</v>
      </c>
      <c r="U1537">
        <v>74424</v>
      </c>
      <c r="V1537">
        <v>74424</v>
      </c>
    </row>
    <row r="1538" spans="1:22">
      <c r="A1538" t="s">
        <v>196</v>
      </c>
      <c r="B1538">
        <v>39</v>
      </c>
      <c r="C1538" t="s">
        <v>1058</v>
      </c>
      <c r="D1538">
        <v>100</v>
      </c>
      <c r="E1538" t="s">
        <v>197</v>
      </c>
      <c r="F1538">
        <v>1005</v>
      </c>
      <c r="G1538" t="s">
        <v>1058</v>
      </c>
      <c r="H1538">
        <v>2005</v>
      </c>
      <c r="I1538" t="s">
        <v>66</v>
      </c>
      <c r="J1538">
        <v>3051</v>
      </c>
      <c r="K1538" t="s">
        <v>1094</v>
      </c>
      <c r="L1538">
        <v>0</v>
      </c>
      <c r="N1538" t="s">
        <v>1066</v>
      </c>
      <c r="O1538">
        <v>69</v>
      </c>
      <c r="P1538">
        <v>9328</v>
      </c>
      <c r="Q1538" t="s">
        <v>1067</v>
      </c>
      <c r="R1538" t="s">
        <v>201</v>
      </c>
      <c r="S1538">
        <v>3</v>
      </c>
      <c r="T1538">
        <v>1</v>
      </c>
      <c r="U1538">
        <v>69912</v>
      </c>
      <c r="V1538">
        <v>209736</v>
      </c>
    </row>
    <row r="1539" spans="1:22">
      <c r="A1539" t="s">
        <v>196</v>
      </c>
      <c r="B1539">
        <v>39</v>
      </c>
      <c r="C1539" t="s">
        <v>1058</v>
      </c>
      <c r="D1539">
        <v>100</v>
      </c>
      <c r="E1539" t="s">
        <v>197</v>
      </c>
      <c r="F1539">
        <v>1005</v>
      </c>
      <c r="G1539" t="s">
        <v>1058</v>
      </c>
      <c r="H1539">
        <v>2005</v>
      </c>
      <c r="I1539" t="s">
        <v>66</v>
      </c>
      <c r="J1539">
        <v>3051</v>
      </c>
      <c r="K1539" t="s">
        <v>1094</v>
      </c>
      <c r="L1539">
        <v>0</v>
      </c>
      <c r="N1539" t="s">
        <v>1066</v>
      </c>
      <c r="O1539">
        <v>69</v>
      </c>
      <c r="P1539">
        <v>9328</v>
      </c>
      <c r="Q1539" t="s">
        <v>1067</v>
      </c>
      <c r="R1539" t="s">
        <v>201</v>
      </c>
      <c r="S1539">
        <v>1</v>
      </c>
      <c r="T1539">
        <v>1</v>
      </c>
      <c r="U1539">
        <v>68208</v>
      </c>
      <c r="V1539">
        <v>68208</v>
      </c>
    </row>
    <row r="1540" spans="1:22">
      <c r="A1540" t="s">
        <v>196</v>
      </c>
      <c r="B1540">
        <v>39</v>
      </c>
      <c r="C1540" t="s">
        <v>1058</v>
      </c>
      <c r="D1540">
        <v>100</v>
      </c>
      <c r="E1540" t="s">
        <v>197</v>
      </c>
      <c r="F1540">
        <v>1005</v>
      </c>
      <c r="G1540" t="s">
        <v>1058</v>
      </c>
      <c r="H1540">
        <v>2005</v>
      </c>
      <c r="I1540" t="s">
        <v>66</v>
      </c>
      <c r="J1540">
        <v>3051</v>
      </c>
      <c r="K1540" t="s">
        <v>1094</v>
      </c>
      <c r="L1540">
        <v>0</v>
      </c>
      <c r="N1540" t="s">
        <v>1066</v>
      </c>
      <c r="O1540">
        <v>69</v>
      </c>
      <c r="P1540">
        <v>9328</v>
      </c>
      <c r="Q1540" t="s">
        <v>1067</v>
      </c>
      <c r="R1540" t="s">
        <v>201</v>
      </c>
      <c r="S1540">
        <v>1</v>
      </c>
      <c r="T1540">
        <v>1</v>
      </c>
      <c r="U1540">
        <v>53280</v>
      </c>
      <c r="V1540">
        <v>53280</v>
      </c>
    </row>
    <row r="1541" spans="1:22">
      <c r="A1541" t="s">
        <v>196</v>
      </c>
      <c r="B1541">
        <v>39</v>
      </c>
      <c r="C1541" t="s">
        <v>1058</v>
      </c>
      <c r="D1541">
        <v>100</v>
      </c>
      <c r="E1541" t="s">
        <v>197</v>
      </c>
      <c r="F1541">
        <v>1005</v>
      </c>
      <c r="G1541" t="s">
        <v>1058</v>
      </c>
      <c r="H1541">
        <v>2005</v>
      </c>
      <c r="I1541" t="s">
        <v>66</v>
      </c>
      <c r="J1541">
        <v>3051</v>
      </c>
      <c r="K1541" t="s">
        <v>1094</v>
      </c>
      <c r="L1541">
        <v>0</v>
      </c>
      <c r="N1541" t="s">
        <v>1066</v>
      </c>
      <c r="O1541">
        <v>69</v>
      </c>
      <c r="P1541">
        <v>9328</v>
      </c>
      <c r="Q1541" t="s">
        <v>1067</v>
      </c>
      <c r="R1541" t="s">
        <v>201</v>
      </c>
      <c r="S1541">
        <v>1</v>
      </c>
      <c r="T1541">
        <v>1</v>
      </c>
      <c r="U1541">
        <v>48264</v>
      </c>
      <c r="V1541">
        <v>48264</v>
      </c>
    </row>
    <row r="1542" spans="1:22">
      <c r="A1542" t="s">
        <v>196</v>
      </c>
      <c r="B1542">
        <v>39</v>
      </c>
      <c r="C1542" t="s">
        <v>1058</v>
      </c>
      <c r="D1542">
        <v>100</v>
      </c>
      <c r="E1542" t="s">
        <v>197</v>
      </c>
      <c r="F1542">
        <v>1005</v>
      </c>
      <c r="G1542" t="s">
        <v>1058</v>
      </c>
      <c r="H1542">
        <v>2005</v>
      </c>
      <c r="I1542" t="s">
        <v>66</v>
      </c>
      <c r="J1542">
        <v>3051</v>
      </c>
      <c r="K1542" t="s">
        <v>1094</v>
      </c>
      <c r="L1542">
        <v>0</v>
      </c>
      <c r="N1542" t="s">
        <v>1066</v>
      </c>
      <c r="O1542">
        <v>69</v>
      </c>
      <c r="P1542">
        <v>9328</v>
      </c>
      <c r="Q1542" t="s">
        <v>1067</v>
      </c>
      <c r="R1542" t="s">
        <v>201</v>
      </c>
      <c r="S1542">
        <v>1</v>
      </c>
      <c r="T1542">
        <v>1</v>
      </c>
      <c r="U1542">
        <v>47088</v>
      </c>
      <c r="V1542">
        <v>47088</v>
      </c>
    </row>
    <row r="1543" spans="1:22">
      <c r="A1543" t="s">
        <v>196</v>
      </c>
      <c r="B1543">
        <v>39</v>
      </c>
      <c r="C1543" t="s">
        <v>1058</v>
      </c>
      <c r="D1543">
        <v>100</v>
      </c>
      <c r="E1543" t="s">
        <v>197</v>
      </c>
      <c r="F1543">
        <v>1005</v>
      </c>
      <c r="G1543" t="s">
        <v>1058</v>
      </c>
      <c r="H1543">
        <v>2005</v>
      </c>
      <c r="I1543" t="s">
        <v>66</v>
      </c>
      <c r="J1543">
        <v>3051</v>
      </c>
      <c r="K1543" t="s">
        <v>1094</v>
      </c>
      <c r="L1543">
        <v>0</v>
      </c>
      <c r="N1543" t="s">
        <v>1066</v>
      </c>
      <c r="O1543">
        <v>69</v>
      </c>
      <c r="P1543">
        <v>9328</v>
      </c>
      <c r="Q1543" t="s">
        <v>1067</v>
      </c>
      <c r="R1543" t="s">
        <v>201</v>
      </c>
      <c r="S1543">
        <v>1</v>
      </c>
      <c r="T1543">
        <v>1</v>
      </c>
      <c r="U1543">
        <v>37728</v>
      </c>
      <c r="V1543">
        <v>37728</v>
      </c>
    </row>
    <row r="1544" spans="1:22">
      <c r="A1544" t="s">
        <v>196</v>
      </c>
      <c r="B1544">
        <v>39</v>
      </c>
      <c r="C1544" t="s">
        <v>1058</v>
      </c>
      <c r="D1544">
        <v>100</v>
      </c>
      <c r="E1544" t="s">
        <v>197</v>
      </c>
      <c r="F1544">
        <v>1005</v>
      </c>
      <c r="G1544" t="s">
        <v>1058</v>
      </c>
      <c r="H1544">
        <v>2005</v>
      </c>
      <c r="I1544" t="s">
        <v>66</v>
      </c>
      <c r="J1544">
        <v>3051</v>
      </c>
      <c r="K1544" t="s">
        <v>1094</v>
      </c>
      <c r="L1544">
        <v>0</v>
      </c>
      <c r="N1544" t="s">
        <v>1068</v>
      </c>
      <c r="O1544">
        <v>69</v>
      </c>
      <c r="P1544">
        <v>9327</v>
      </c>
      <c r="Q1544" t="s">
        <v>1069</v>
      </c>
      <c r="R1544" t="s">
        <v>201</v>
      </c>
      <c r="S1544">
        <v>1</v>
      </c>
      <c r="T1544">
        <v>1</v>
      </c>
      <c r="U1544">
        <v>54624</v>
      </c>
      <c r="V1544">
        <v>54624</v>
      </c>
    </row>
    <row r="1545" spans="1:22">
      <c r="A1545" t="s">
        <v>196</v>
      </c>
      <c r="B1545">
        <v>39</v>
      </c>
      <c r="C1545" t="s">
        <v>1058</v>
      </c>
      <c r="D1545">
        <v>100</v>
      </c>
      <c r="E1545" t="s">
        <v>197</v>
      </c>
      <c r="F1545">
        <v>1005</v>
      </c>
      <c r="G1545" t="s">
        <v>1058</v>
      </c>
      <c r="H1545">
        <v>2005</v>
      </c>
      <c r="I1545" t="s">
        <v>66</v>
      </c>
      <c r="J1545">
        <v>3051</v>
      </c>
      <c r="K1545" t="s">
        <v>1094</v>
      </c>
      <c r="L1545">
        <v>0</v>
      </c>
      <c r="N1545" t="s">
        <v>1068</v>
      </c>
      <c r="O1545">
        <v>69</v>
      </c>
      <c r="P1545">
        <v>9327</v>
      </c>
      <c r="Q1545" t="s">
        <v>1069</v>
      </c>
      <c r="R1545" t="s">
        <v>201</v>
      </c>
      <c r="S1545">
        <v>1</v>
      </c>
      <c r="T1545">
        <v>1</v>
      </c>
      <c r="U1545">
        <v>53280</v>
      </c>
      <c r="V1545">
        <v>53280</v>
      </c>
    </row>
    <row r="1546" spans="1:22">
      <c r="A1546" t="s">
        <v>196</v>
      </c>
      <c r="B1546">
        <v>39</v>
      </c>
      <c r="C1546" t="s">
        <v>1058</v>
      </c>
      <c r="D1546">
        <v>100</v>
      </c>
      <c r="E1546" t="s">
        <v>197</v>
      </c>
      <c r="F1546">
        <v>1005</v>
      </c>
      <c r="G1546" t="s">
        <v>1058</v>
      </c>
      <c r="H1546">
        <v>2005</v>
      </c>
      <c r="I1546" t="s">
        <v>66</v>
      </c>
      <c r="J1546">
        <v>3051</v>
      </c>
      <c r="K1546" t="s">
        <v>1094</v>
      </c>
      <c r="L1546">
        <v>0</v>
      </c>
      <c r="N1546" t="s">
        <v>1068</v>
      </c>
      <c r="O1546">
        <v>69</v>
      </c>
      <c r="P1546">
        <v>9327</v>
      </c>
      <c r="Q1546" t="s">
        <v>1069</v>
      </c>
      <c r="R1546" t="s">
        <v>201</v>
      </c>
      <c r="S1546">
        <v>1</v>
      </c>
      <c r="T1546">
        <v>1</v>
      </c>
      <c r="U1546">
        <v>50712</v>
      </c>
      <c r="V1546">
        <v>50712</v>
      </c>
    </row>
    <row r="1547" spans="1:22">
      <c r="A1547" t="s">
        <v>196</v>
      </c>
      <c r="B1547">
        <v>39</v>
      </c>
      <c r="C1547" t="s">
        <v>1058</v>
      </c>
      <c r="D1547">
        <v>100</v>
      </c>
      <c r="E1547" t="s">
        <v>197</v>
      </c>
      <c r="F1547">
        <v>1005</v>
      </c>
      <c r="G1547" t="s">
        <v>1058</v>
      </c>
      <c r="H1547">
        <v>2005</v>
      </c>
      <c r="I1547" t="s">
        <v>66</v>
      </c>
      <c r="J1547">
        <v>3051</v>
      </c>
      <c r="K1547" t="s">
        <v>1094</v>
      </c>
      <c r="L1547">
        <v>0</v>
      </c>
      <c r="N1547" t="s">
        <v>1070</v>
      </c>
      <c r="O1547">
        <v>69</v>
      </c>
      <c r="P1547">
        <v>9308</v>
      </c>
      <c r="Q1547" t="s">
        <v>1071</v>
      </c>
      <c r="R1547" t="s">
        <v>201</v>
      </c>
      <c r="S1547">
        <v>1</v>
      </c>
      <c r="T1547">
        <v>1</v>
      </c>
      <c r="U1547">
        <v>63336</v>
      </c>
      <c r="V1547">
        <v>63336</v>
      </c>
    </row>
    <row r="1548" spans="1:22">
      <c r="A1548" t="s">
        <v>196</v>
      </c>
      <c r="B1548">
        <v>39</v>
      </c>
      <c r="C1548" t="s">
        <v>1058</v>
      </c>
      <c r="D1548">
        <v>100</v>
      </c>
      <c r="E1548" t="s">
        <v>197</v>
      </c>
      <c r="F1548">
        <v>1005</v>
      </c>
      <c r="G1548" t="s">
        <v>1058</v>
      </c>
      <c r="H1548">
        <v>2005</v>
      </c>
      <c r="I1548" t="s">
        <v>66</v>
      </c>
      <c r="J1548">
        <v>3051</v>
      </c>
      <c r="K1548" t="s">
        <v>1094</v>
      </c>
      <c r="L1548">
        <v>0</v>
      </c>
      <c r="N1548" t="s">
        <v>1070</v>
      </c>
      <c r="O1548">
        <v>69</v>
      </c>
      <c r="P1548">
        <v>9308</v>
      </c>
      <c r="Q1548" t="s">
        <v>1071</v>
      </c>
      <c r="R1548" t="s">
        <v>201</v>
      </c>
      <c r="S1548">
        <v>3</v>
      </c>
      <c r="T1548">
        <v>1</v>
      </c>
      <c r="U1548">
        <v>50712</v>
      </c>
      <c r="V1548">
        <v>152136</v>
      </c>
    </row>
    <row r="1549" spans="1:22">
      <c r="A1549" t="s">
        <v>196</v>
      </c>
      <c r="B1549">
        <v>39</v>
      </c>
      <c r="C1549" t="s">
        <v>1058</v>
      </c>
      <c r="D1549">
        <v>100</v>
      </c>
      <c r="E1549" t="s">
        <v>197</v>
      </c>
      <c r="F1549">
        <v>1005</v>
      </c>
      <c r="G1549" t="s">
        <v>1058</v>
      </c>
      <c r="H1549">
        <v>2005</v>
      </c>
      <c r="I1549" t="s">
        <v>66</v>
      </c>
      <c r="J1549">
        <v>3051</v>
      </c>
      <c r="K1549" t="s">
        <v>1094</v>
      </c>
      <c r="L1549">
        <v>0</v>
      </c>
      <c r="N1549" t="s">
        <v>1070</v>
      </c>
      <c r="O1549">
        <v>69</v>
      </c>
      <c r="P1549">
        <v>9308</v>
      </c>
      <c r="Q1549" t="s">
        <v>1071</v>
      </c>
      <c r="R1549" t="s">
        <v>201</v>
      </c>
      <c r="S1549">
        <v>1</v>
      </c>
      <c r="T1549">
        <v>1</v>
      </c>
      <c r="U1549">
        <v>44820</v>
      </c>
      <c r="V1549">
        <v>44820</v>
      </c>
    </row>
    <row r="1550" spans="1:22">
      <c r="A1550" t="s">
        <v>196</v>
      </c>
      <c r="B1550">
        <v>39</v>
      </c>
      <c r="C1550" t="s">
        <v>1058</v>
      </c>
      <c r="D1550">
        <v>100</v>
      </c>
      <c r="E1550" t="s">
        <v>197</v>
      </c>
      <c r="F1550">
        <v>1005</v>
      </c>
      <c r="G1550" t="s">
        <v>1058</v>
      </c>
      <c r="H1550">
        <v>2005</v>
      </c>
      <c r="I1550" t="s">
        <v>66</v>
      </c>
      <c r="J1550">
        <v>3051</v>
      </c>
      <c r="K1550" t="s">
        <v>1094</v>
      </c>
      <c r="L1550">
        <v>0</v>
      </c>
      <c r="N1550" t="s">
        <v>1070</v>
      </c>
      <c r="O1550">
        <v>69</v>
      </c>
      <c r="P1550">
        <v>9308</v>
      </c>
      <c r="Q1550" t="s">
        <v>1071</v>
      </c>
      <c r="R1550" t="s">
        <v>201</v>
      </c>
      <c r="S1550">
        <v>1</v>
      </c>
      <c r="T1550">
        <v>1</v>
      </c>
      <c r="U1550">
        <v>43728</v>
      </c>
      <c r="V1550">
        <v>43728</v>
      </c>
    </row>
    <row r="1551" spans="1:22">
      <c r="A1551" t="s">
        <v>196</v>
      </c>
      <c r="B1551">
        <v>39</v>
      </c>
      <c r="C1551" t="s">
        <v>1058</v>
      </c>
      <c r="D1551">
        <v>100</v>
      </c>
      <c r="E1551" t="s">
        <v>197</v>
      </c>
      <c r="F1551">
        <v>1005</v>
      </c>
      <c r="G1551" t="s">
        <v>1058</v>
      </c>
      <c r="H1551">
        <v>2005</v>
      </c>
      <c r="I1551" t="s">
        <v>66</v>
      </c>
      <c r="J1551">
        <v>3051</v>
      </c>
      <c r="K1551" t="s">
        <v>1094</v>
      </c>
      <c r="L1551">
        <v>0</v>
      </c>
      <c r="N1551" t="s">
        <v>1070</v>
      </c>
      <c r="O1551">
        <v>69</v>
      </c>
      <c r="P1551">
        <v>9308</v>
      </c>
      <c r="Q1551" t="s">
        <v>1071</v>
      </c>
      <c r="R1551" t="s">
        <v>201</v>
      </c>
      <c r="S1551">
        <v>3</v>
      </c>
      <c r="T1551">
        <v>1</v>
      </c>
      <c r="U1551">
        <v>42672</v>
      </c>
      <c r="V1551">
        <v>128016</v>
      </c>
    </row>
    <row r="1552" spans="1:22">
      <c r="A1552" t="s">
        <v>196</v>
      </c>
      <c r="B1552">
        <v>39</v>
      </c>
      <c r="C1552" t="s">
        <v>1058</v>
      </c>
      <c r="D1552">
        <v>100</v>
      </c>
      <c r="E1552" t="s">
        <v>197</v>
      </c>
      <c r="F1552">
        <v>1005</v>
      </c>
      <c r="G1552" t="s">
        <v>1058</v>
      </c>
      <c r="H1552">
        <v>2005</v>
      </c>
      <c r="I1552" t="s">
        <v>66</v>
      </c>
      <c r="J1552">
        <v>3051</v>
      </c>
      <c r="K1552" t="s">
        <v>1094</v>
      </c>
      <c r="L1552">
        <v>0</v>
      </c>
      <c r="N1552" t="s">
        <v>1070</v>
      </c>
      <c r="O1552">
        <v>69</v>
      </c>
      <c r="P1552">
        <v>9308</v>
      </c>
      <c r="Q1552" t="s">
        <v>1071</v>
      </c>
      <c r="R1552" t="s">
        <v>201</v>
      </c>
      <c r="S1552">
        <v>1</v>
      </c>
      <c r="T1552">
        <v>1</v>
      </c>
      <c r="U1552">
        <v>40620</v>
      </c>
      <c r="V1552">
        <v>40620</v>
      </c>
    </row>
    <row r="1553" spans="1:22">
      <c r="A1553" t="s">
        <v>196</v>
      </c>
      <c r="B1553">
        <v>39</v>
      </c>
      <c r="C1553" t="s">
        <v>1058</v>
      </c>
      <c r="D1553">
        <v>100</v>
      </c>
      <c r="E1553" t="s">
        <v>197</v>
      </c>
      <c r="F1553">
        <v>1005</v>
      </c>
      <c r="G1553" t="s">
        <v>1058</v>
      </c>
      <c r="H1553">
        <v>2005</v>
      </c>
      <c r="I1553" t="s">
        <v>66</v>
      </c>
      <c r="J1553">
        <v>3051</v>
      </c>
      <c r="K1553" t="s">
        <v>1094</v>
      </c>
      <c r="L1553">
        <v>0</v>
      </c>
      <c r="N1553" t="s">
        <v>1063</v>
      </c>
      <c r="O1553">
        <v>69</v>
      </c>
      <c r="P1553">
        <v>9306</v>
      </c>
      <c r="Q1553" t="s">
        <v>1085</v>
      </c>
      <c r="R1553" t="s">
        <v>201</v>
      </c>
      <c r="S1553">
        <v>1</v>
      </c>
      <c r="T1553">
        <v>1</v>
      </c>
      <c r="U1553">
        <v>73440</v>
      </c>
      <c r="V1553">
        <v>73440</v>
      </c>
    </row>
    <row r="1554" spans="1:22">
      <c r="A1554" t="s">
        <v>196</v>
      </c>
      <c r="B1554">
        <v>39</v>
      </c>
      <c r="C1554" t="s">
        <v>1058</v>
      </c>
      <c r="D1554">
        <v>100</v>
      </c>
      <c r="E1554" t="s">
        <v>197</v>
      </c>
      <c r="F1554">
        <v>1005</v>
      </c>
      <c r="G1554" t="s">
        <v>1058</v>
      </c>
      <c r="H1554">
        <v>2005</v>
      </c>
      <c r="I1554" t="s">
        <v>66</v>
      </c>
      <c r="J1554">
        <v>3051</v>
      </c>
      <c r="K1554" t="s">
        <v>1094</v>
      </c>
      <c r="L1554">
        <v>0</v>
      </c>
      <c r="N1554" t="s">
        <v>1063</v>
      </c>
      <c r="O1554">
        <v>69</v>
      </c>
      <c r="P1554">
        <v>9306</v>
      </c>
      <c r="Q1554" t="s">
        <v>1085</v>
      </c>
      <c r="R1554" t="s">
        <v>201</v>
      </c>
      <c r="S1554">
        <v>1</v>
      </c>
      <c r="T1554">
        <v>1</v>
      </c>
      <c r="U1554">
        <v>45948</v>
      </c>
      <c r="V1554">
        <v>45948</v>
      </c>
    </row>
    <row r="1555" spans="1:22">
      <c r="A1555" t="s">
        <v>196</v>
      </c>
      <c r="B1555">
        <v>41</v>
      </c>
      <c r="C1555" t="s">
        <v>1097</v>
      </c>
      <c r="D1555">
        <v>100</v>
      </c>
      <c r="E1555" t="s">
        <v>197</v>
      </c>
      <c r="F1555">
        <v>1005</v>
      </c>
      <c r="G1555" t="s">
        <v>111</v>
      </c>
      <c r="H1555">
        <v>2000</v>
      </c>
      <c r="I1555" t="s">
        <v>46</v>
      </c>
      <c r="J1555">
        <v>3112</v>
      </c>
      <c r="K1555" t="s">
        <v>1098</v>
      </c>
      <c r="L1555">
        <v>0</v>
      </c>
      <c r="N1555" t="s">
        <v>199</v>
      </c>
      <c r="O1555">
        <v>9</v>
      </c>
      <c r="P1555">
        <v>9941</v>
      </c>
      <c r="Q1555" t="s">
        <v>1099</v>
      </c>
      <c r="R1555" t="s">
        <v>201</v>
      </c>
      <c r="S1555">
        <v>1</v>
      </c>
      <c r="T1555">
        <v>1</v>
      </c>
      <c r="U1555">
        <v>216036</v>
      </c>
      <c r="V1555">
        <v>216036</v>
      </c>
    </row>
    <row r="1556" spans="1:22">
      <c r="A1556" t="s">
        <v>196</v>
      </c>
      <c r="B1556">
        <v>41</v>
      </c>
      <c r="C1556" t="s">
        <v>1097</v>
      </c>
      <c r="D1556">
        <v>100</v>
      </c>
      <c r="E1556" t="s">
        <v>197</v>
      </c>
      <c r="F1556">
        <v>1005</v>
      </c>
      <c r="G1556" t="s">
        <v>111</v>
      </c>
      <c r="H1556">
        <v>2000</v>
      </c>
      <c r="I1556" t="s">
        <v>46</v>
      </c>
      <c r="J1556">
        <v>3112</v>
      </c>
      <c r="K1556" t="s">
        <v>1098</v>
      </c>
      <c r="L1556">
        <v>0</v>
      </c>
      <c r="N1556" t="s">
        <v>266</v>
      </c>
      <c r="O1556">
        <v>9</v>
      </c>
      <c r="P1556">
        <v>9679</v>
      </c>
      <c r="Q1556" t="s">
        <v>338</v>
      </c>
      <c r="R1556" t="s">
        <v>201</v>
      </c>
      <c r="S1556">
        <v>1</v>
      </c>
      <c r="T1556">
        <v>1</v>
      </c>
      <c r="U1556">
        <v>167964</v>
      </c>
      <c r="V1556">
        <v>167964</v>
      </c>
    </row>
    <row r="1557" spans="1:22">
      <c r="A1557" t="s">
        <v>196</v>
      </c>
      <c r="B1557">
        <v>41</v>
      </c>
      <c r="C1557" t="s">
        <v>1097</v>
      </c>
      <c r="D1557">
        <v>100</v>
      </c>
      <c r="E1557" t="s">
        <v>197</v>
      </c>
      <c r="F1557">
        <v>1005</v>
      </c>
      <c r="G1557" t="s">
        <v>111</v>
      </c>
      <c r="H1557">
        <v>2000</v>
      </c>
      <c r="I1557" t="s">
        <v>46</v>
      </c>
      <c r="J1557">
        <v>3112</v>
      </c>
      <c r="K1557" t="s">
        <v>1098</v>
      </c>
      <c r="L1557">
        <v>0</v>
      </c>
      <c r="N1557" t="s">
        <v>266</v>
      </c>
      <c r="O1557">
        <v>9</v>
      </c>
      <c r="P1557">
        <v>9679</v>
      </c>
      <c r="Q1557" t="s">
        <v>338</v>
      </c>
      <c r="R1557" t="s">
        <v>201</v>
      </c>
      <c r="S1557">
        <v>1</v>
      </c>
      <c r="T1557">
        <v>1</v>
      </c>
      <c r="U1557">
        <v>139140</v>
      </c>
      <c r="V1557">
        <v>139140</v>
      </c>
    </row>
    <row r="1558" spans="1:22">
      <c r="A1558" t="s">
        <v>196</v>
      </c>
      <c r="B1558">
        <v>41</v>
      </c>
      <c r="C1558" t="s">
        <v>1097</v>
      </c>
      <c r="D1558">
        <v>100</v>
      </c>
      <c r="E1558" t="s">
        <v>197</v>
      </c>
      <c r="F1558">
        <v>1005</v>
      </c>
      <c r="G1558" t="s">
        <v>111</v>
      </c>
      <c r="H1558">
        <v>2000</v>
      </c>
      <c r="I1558" t="s">
        <v>46</v>
      </c>
      <c r="J1558">
        <v>3112</v>
      </c>
      <c r="K1558" t="s">
        <v>1098</v>
      </c>
      <c r="L1558">
        <v>0</v>
      </c>
      <c r="N1558" t="s">
        <v>251</v>
      </c>
      <c r="O1558">
        <v>10</v>
      </c>
      <c r="P1558">
        <v>802</v>
      </c>
      <c r="Q1558" t="s">
        <v>252</v>
      </c>
      <c r="R1558" t="s">
        <v>201</v>
      </c>
      <c r="S1558">
        <v>1</v>
      </c>
      <c r="T1558">
        <v>1</v>
      </c>
      <c r="U1558">
        <v>83052</v>
      </c>
      <c r="V1558">
        <v>83052</v>
      </c>
    </row>
    <row r="1559" spans="1:22">
      <c r="A1559" t="s">
        <v>196</v>
      </c>
      <c r="B1559">
        <v>41</v>
      </c>
      <c r="C1559" t="s">
        <v>1097</v>
      </c>
      <c r="D1559">
        <v>100</v>
      </c>
      <c r="E1559" t="s">
        <v>197</v>
      </c>
      <c r="F1559">
        <v>1005</v>
      </c>
      <c r="G1559" t="s">
        <v>111</v>
      </c>
      <c r="H1559">
        <v>2000</v>
      </c>
      <c r="I1559" t="s">
        <v>46</v>
      </c>
      <c r="J1559">
        <v>3112</v>
      </c>
      <c r="K1559" t="s">
        <v>1098</v>
      </c>
      <c r="L1559">
        <v>0</v>
      </c>
      <c r="N1559" t="s">
        <v>199</v>
      </c>
      <c r="O1559">
        <v>0</v>
      </c>
      <c r="P1559">
        <v>15</v>
      </c>
      <c r="Q1559" t="s">
        <v>264</v>
      </c>
      <c r="R1559" t="s">
        <v>201</v>
      </c>
      <c r="S1559">
        <v>0</v>
      </c>
      <c r="T1559">
        <v>0</v>
      </c>
      <c r="U1559">
        <v>3578</v>
      </c>
      <c r="V1559">
        <v>3578</v>
      </c>
    </row>
    <row r="1560" spans="1:22">
      <c r="A1560" t="s">
        <v>196</v>
      </c>
      <c r="B1560">
        <v>41</v>
      </c>
      <c r="C1560" t="s">
        <v>1097</v>
      </c>
      <c r="D1560">
        <v>100</v>
      </c>
      <c r="E1560" t="s">
        <v>197</v>
      </c>
      <c r="F1560">
        <v>1005</v>
      </c>
      <c r="G1560" t="s">
        <v>111</v>
      </c>
      <c r="H1560">
        <v>2000</v>
      </c>
      <c r="I1560" t="s">
        <v>46</v>
      </c>
      <c r="J1560">
        <v>3116</v>
      </c>
      <c r="K1560" t="s">
        <v>1100</v>
      </c>
      <c r="L1560">
        <v>0</v>
      </c>
      <c r="N1560" t="s">
        <v>372</v>
      </c>
      <c r="O1560">
        <v>4</v>
      </c>
      <c r="P1560">
        <v>1912</v>
      </c>
      <c r="Q1560" t="s">
        <v>608</v>
      </c>
      <c r="R1560" t="s">
        <v>201</v>
      </c>
      <c r="S1560">
        <v>1</v>
      </c>
      <c r="T1560">
        <v>1</v>
      </c>
      <c r="U1560">
        <v>119100</v>
      </c>
      <c r="V1560">
        <v>119100</v>
      </c>
    </row>
    <row r="1561" spans="1:22">
      <c r="A1561" t="s">
        <v>196</v>
      </c>
      <c r="B1561">
        <v>41</v>
      </c>
      <c r="C1561" t="s">
        <v>1097</v>
      </c>
      <c r="D1561">
        <v>100</v>
      </c>
      <c r="E1561" t="s">
        <v>197</v>
      </c>
      <c r="F1561">
        <v>1005</v>
      </c>
      <c r="G1561" t="s">
        <v>111</v>
      </c>
      <c r="H1561">
        <v>2000</v>
      </c>
      <c r="I1561" t="s">
        <v>46</v>
      </c>
      <c r="J1561">
        <v>3116</v>
      </c>
      <c r="K1561" t="s">
        <v>1100</v>
      </c>
      <c r="L1561">
        <v>0</v>
      </c>
      <c r="N1561" t="s">
        <v>253</v>
      </c>
      <c r="O1561">
        <v>10</v>
      </c>
      <c r="P1561">
        <v>790</v>
      </c>
      <c r="Q1561" t="s">
        <v>254</v>
      </c>
      <c r="R1561" t="s">
        <v>201</v>
      </c>
      <c r="S1561">
        <v>1</v>
      </c>
      <c r="T1561">
        <v>1</v>
      </c>
      <c r="U1561">
        <v>89112</v>
      </c>
      <c r="V1561">
        <v>89112</v>
      </c>
    </row>
    <row r="1562" spans="1:22">
      <c r="A1562" t="s">
        <v>196</v>
      </c>
      <c r="B1562">
        <v>41</v>
      </c>
      <c r="C1562" t="s">
        <v>1097</v>
      </c>
      <c r="D1562">
        <v>100</v>
      </c>
      <c r="E1562" t="s">
        <v>197</v>
      </c>
      <c r="F1562">
        <v>1005</v>
      </c>
      <c r="G1562" t="s">
        <v>111</v>
      </c>
      <c r="H1562">
        <v>2000</v>
      </c>
      <c r="I1562" t="s">
        <v>46</v>
      </c>
      <c r="J1562">
        <v>3116</v>
      </c>
      <c r="K1562" t="s">
        <v>1100</v>
      </c>
      <c r="L1562">
        <v>0</v>
      </c>
      <c r="N1562" t="s">
        <v>255</v>
      </c>
      <c r="O1562">
        <v>1</v>
      </c>
      <c r="P1562">
        <v>729</v>
      </c>
      <c r="Q1562" t="s">
        <v>256</v>
      </c>
      <c r="R1562" t="s">
        <v>201</v>
      </c>
      <c r="S1562">
        <v>1</v>
      </c>
      <c r="T1562">
        <v>1</v>
      </c>
      <c r="U1562">
        <v>93504</v>
      </c>
      <c r="V1562">
        <v>93504</v>
      </c>
    </row>
    <row r="1563" spans="1:22">
      <c r="A1563" t="s">
        <v>196</v>
      </c>
      <c r="B1563">
        <v>41</v>
      </c>
      <c r="C1563" t="s">
        <v>1097</v>
      </c>
      <c r="D1563">
        <v>100</v>
      </c>
      <c r="E1563" t="s">
        <v>197</v>
      </c>
      <c r="F1563">
        <v>1005</v>
      </c>
      <c r="G1563" t="s">
        <v>111</v>
      </c>
      <c r="H1563">
        <v>2000</v>
      </c>
      <c r="I1563" t="s">
        <v>46</v>
      </c>
      <c r="J1563">
        <v>3116</v>
      </c>
      <c r="K1563" t="s">
        <v>1100</v>
      </c>
      <c r="L1563">
        <v>0</v>
      </c>
      <c r="N1563" t="s">
        <v>257</v>
      </c>
      <c r="O1563">
        <v>9</v>
      </c>
      <c r="P1563">
        <v>705</v>
      </c>
      <c r="Q1563" t="s">
        <v>258</v>
      </c>
      <c r="R1563" t="s">
        <v>201</v>
      </c>
      <c r="S1563">
        <v>1</v>
      </c>
      <c r="T1563">
        <v>1</v>
      </c>
      <c r="U1563">
        <v>111300</v>
      </c>
      <c r="V1563">
        <v>111300</v>
      </c>
    </row>
    <row r="1564" spans="1:22">
      <c r="A1564" t="s">
        <v>196</v>
      </c>
      <c r="B1564">
        <v>41</v>
      </c>
      <c r="C1564" t="s">
        <v>1097</v>
      </c>
      <c r="D1564">
        <v>100</v>
      </c>
      <c r="E1564" t="s">
        <v>197</v>
      </c>
      <c r="F1564">
        <v>1005</v>
      </c>
      <c r="G1564" t="s">
        <v>111</v>
      </c>
      <c r="H1564">
        <v>2000</v>
      </c>
      <c r="I1564" t="s">
        <v>46</v>
      </c>
      <c r="J1564">
        <v>3116</v>
      </c>
      <c r="K1564" t="s">
        <v>1100</v>
      </c>
      <c r="L1564">
        <v>0</v>
      </c>
      <c r="N1564" t="s">
        <v>622</v>
      </c>
      <c r="O1564">
        <v>1</v>
      </c>
      <c r="P1564" t="s">
        <v>667</v>
      </c>
      <c r="Q1564" t="s">
        <v>205</v>
      </c>
      <c r="R1564" t="s">
        <v>201</v>
      </c>
      <c r="S1564">
        <v>1</v>
      </c>
      <c r="T1564">
        <v>1</v>
      </c>
      <c r="U1564">
        <v>51936</v>
      </c>
      <c r="V1564">
        <v>51936</v>
      </c>
    </row>
    <row r="1565" spans="1:22">
      <c r="A1565" t="s">
        <v>196</v>
      </c>
      <c r="B1565">
        <v>41</v>
      </c>
      <c r="C1565" t="s">
        <v>1097</v>
      </c>
      <c r="D1565">
        <v>100</v>
      </c>
      <c r="E1565" t="s">
        <v>197</v>
      </c>
      <c r="F1565">
        <v>1005</v>
      </c>
      <c r="G1565" t="s">
        <v>111</v>
      </c>
      <c r="H1565">
        <v>2000</v>
      </c>
      <c r="I1565" t="s">
        <v>46</v>
      </c>
      <c r="J1565">
        <v>3116</v>
      </c>
      <c r="K1565" t="s">
        <v>1100</v>
      </c>
      <c r="L1565">
        <v>0</v>
      </c>
      <c r="N1565" t="s">
        <v>249</v>
      </c>
      <c r="O1565">
        <v>10</v>
      </c>
      <c r="P1565">
        <v>310</v>
      </c>
      <c r="Q1565" t="s">
        <v>447</v>
      </c>
      <c r="R1565" t="s">
        <v>201</v>
      </c>
      <c r="S1565">
        <v>1</v>
      </c>
      <c r="T1565">
        <v>1</v>
      </c>
      <c r="U1565">
        <v>113568</v>
      </c>
      <c r="V1565">
        <v>113568</v>
      </c>
    </row>
    <row r="1566" spans="1:22">
      <c r="A1566" t="s">
        <v>196</v>
      </c>
      <c r="B1566">
        <v>41</v>
      </c>
      <c r="C1566" t="s">
        <v>1097</v>
      </c>
      <c r="D1566">
        <v>100</v>
      </c>
      <c r="E1566" t="s">
        <v>197</v>
      </c>
      <c r="F1566">
        <v>1005</v>
      </c>
      <c r="G1566" t="s">
        <v>111</v>
      </c>
      <c r="H1566">
        <v>2000</v>
      </c>
      <c r="I1566" t="s">
        <v>46</v>
      </c>
      <c r="J1566">
        <v>3116</v>
      </c>
      <c r="K1566" t="s">
        <v>1100</v>
      </c>
      <c r="L1566">
        <v>0</v>
      </c>
      <c r="N1566" t="s">
        <v>199</v>
      </c>
      <c r="O1566">
        <v>0</v>
      </c>
      <c r="P1566">
        <v>15</v>
      </c>
      <c r="Q1566" t="s">
        <v>264</v>
      </c>
      <c r="R1566" t="s">
        <v>201</v>
      </c>
      <c r="S1566">
        <v>0</v>
      </c>
      <c r="T1566">
        <v>0</v>
      </c>
      <c r="U1566">
        <v>7102</v>
      </c>
      <c r="V1566">
        <v>7102</v>
      </c>
    </row>
    <row r="1567" spans="1:22">
      <c r="A1567" t="s">
        <v>196</v>
      </c>
      <c r="B1567">
        <v>41</v>
      </c>
      <c r="C1567" t="s">
        <v>1097</v>
      </c>
      <c r="D1567">
        <v>100</v>
      </c>
      <c r="E1567" t="s">
        <v>197</v>
      </c>
      <c r="F1567">
        <v>1005</v>
      </c>
      <c r="G1567" t="s">
        <v>111</v>
      </c>
      <c r="H1567">
        <v>2000</v>
      </c>
      <c r="I1567" t="s">
        <v>46</v>
      </c>
      <c r="J1567">
        <v>3118</v>
      </c>
      <c r="K1567" t="s">
        <v>267</v>
      </c>
      <c r="L1567">
        <v>0</v>
      </c>
      <c r="N1567" t="s">
        <v>266</v>
      </c>
      <c r="O1567">
        <v>9</v>
      </c>
      <c r="P1567">
        <v>9746</v>
      </c>
      <c r="Q1567" t="s">
        <v>267</v>
      </c>
      <c r="R1567" t="s">
        <v>201</v>
      </c>
      <c r="S1567">
        <v>1</v>
      </c>
      <c r="T1567">
        <v>1</v>
      </c>
      <c r="U1567">
        <v>186156</v>
      </c>
      <c r="V1567">
        <v>186156</v>
      </c>
    </row>
    <row r="1568" spans="1:22">
      <c r="A1568" t="s">
        <v>196</v>
      </c>
      <c r="B1568">
        <v>41</v>
      </c>
      <c r="C1568" t="s">
        <v>1097</v>
      </c>
      <c r="D1568">
        <v>100</v>
      </c>
      <c r="E1568" t="s">
        <v>197</v>
      </c>
      <c r="F1568">
        <v>1005</v>
      </c>
      <c r="G1568" t="s">
        <v>111</v>
      </c>
      <c r="H1568">
        <v>2000</v>
      </c>
      <c r="I1568" t="s">
        <v>46</v>
      </c>
      <c r="J1568">
        <v>3118</v>
      </c>
      <c r="K1568" t="s">
        <v>267</v>
      </c>
      <c r="L1568">
        <v>0</v>
      </c>
      <c r="N1568" t="s">
        <v>274</v>
      </c>
      <c r="O1568">
        <v>20</v>
      </c>
      <c r="P1568">
        <v>2901</v>
      </c>
      <c r="Q1568" t="s">
        <v>1101</v>
      </c>
      <c r="R1568" t="s">
        <v>201</v>
      </c>
      <c r="S1568">
        <v>1</v>
      </c>
      <c r="T1568">
        <v>1</v>
      </c>
      <c r="U1568">
        <v>153384</v>
      </c>
      <c r="V1568">
        <v>153384</v>
      </c>
    </row>
    <row r="1569" spans="1:22">
      <c r="A1569" t="s">
        <v>196</v>
      </c>
      <c r="B1569">
        <v>41</v>
      </c>
      <c r="C1569" t="s">
        <v>1097</v>
      </c>
      <c r="D1569">
        <v>100</v>
      </c>
      <c r="E1569" t="s">
        <v>197</v>
      </c>
      <c r="F1569">
        <v>1005</v>
      </c>
      <c r="G1569" t="s">
        <v>111</v>
      </c>
      <c r="H1569">
        <v>2000</v>
      </c>
      <c r="I1569" t="s">
        <v>46</v>
      </c>
      <c r="J1569">
        <v>3118</v>
      </c>
      <c r="K1569" t="s">
        <v>267</v>
      </c>
      <c r="L1569">
        <v>0</v>
      </c>
      <c r="N1569" t="s">
        <v>372</v>
      </c>
      <c r="O1569">
        <v>4</v>
      </c>
      <c r="P1569">
        <v>1912</v>
      </c>
      <c r="Q1569" t="s">
        <v>608</v>
      </c>
      <c r="R1569" t="s">
        <v>201</v>
      </c>
      <c r="S1569">
        <v>1</v>
      </c>
      <c r="T1569">
        <v>1</v>
      </c>
      <c r="U1569">
        <v>89244</v>
      </c>
      <c r="V1569">
        <v>89244</v>
      </c>
    </row>
    <row r="1570" spans="1:22">
      <c r="A1570" t="s">
        <v>196</v>
      </c>
      <c r="B1570">
        <v>41</v>
      </c>
      <c r="C1570" t="s">
        <v>1097</v>
      </c>
      <c r="D1570">
        <v>100</v>
      </c>
      <c r="E1570" t="s">
        <v>197</v>
      </c>
      <c r="F1570">
        <v>1005</v>
      </c>
      <c r="G1570" t="s">
        <v>111</v>
      </c>
      <c r="H1570">
        <v>2000</v>
      </c>
      <c r="I1570" t="s">
        <v>46</v>
      </c>
      <c r="J1570">
        <v>3118</v>
      </c>
      <c r="K1570" t="s">
        <v>267</v>
      </c>
      <c r="L1570">
        <v>0</v>
      </c>
      <c r="N1570" t="s">
        <v>356</v>
      </c>
      <c r="O1570">
        <v>4</v>
      </c>
      <c r="P1570">
        <v>1646</v>
      </c>
      <c r="Q1570" t="s">
        <v>1102</v>
      </c>
      <c r="R1570" t="s">
        <v>201</v>
      </c>
      <c r="S1570">
        <v>1</v>
      </c>
      <c r="T1570">
        <v>1</v>
      </c>
      <c r="U1570">
        <v>97488</v>
      </c>
      <c r="V1570">
        <v>97488</v>
      </c>
    </row>
    <row r="1571" spans="1:22">
      <c r="A1571" t="s">
        <v>196</v>
      </c>
      <c r="B1571">
        <v>41</v>
      </c>
      <c r="C1571" t="s">
        <v>1097</v>
      </c>
      <c r="D1571">
        <v>100</v>
      </c>
      <c r="E1571" t="s">
        <v>197</v>
      </c>
      <c r="F1571">
        <v>1005</v>
      </c>
      <c r="G1571" t="s">
        <v>111</v>
      </c>
      <c r="H1571">
        <v>2000</v>
      </c>
      <c r="I1571" t="s">
        <v>46</v>
      </c>
      <c r="J1571">
        <v>3118</v>
      </c>
      <c r="K1571" t="s">
        <v>267</v>
      </c>
      <c r="L1571">
        <v>0</v>
      </c>
      <c r="N1571" t="s">
        <v>356</v>
      </c>
      <c r="O1571">
        <v>4</v>
      </c>
      <c r="P1571">
        <v>1646</v>
      </c>
      <c r="Q1571" t="s">
        <v>1102</v>
      </c>
      <c r="R1571" t="s">
        <v>201</v>
      </c>
      <c r="S1571">
        <v>1</v>
      </c>
      <c r="T1571">
        <v>1</v>
      </c>
      <c r="U1571">
        <v>90144</v>
      </c>
      <c r="V1571">
        <v>90144</v>
      </c>
    </row>
    <row r="1572" spans="1:22">
      <c r="A1572" t="s">
        <v>196</v>
      </c>
      <c r="B1572">
        <v>41</v>
      </c>
      <c r="C1572" t="s">
        <v>1097</v>
      </c>
      <c r="D1572">
        <v>100</v>
      </c>
      <c r="E1572" t="s">
        <v>197</v>
      </c>
      <c r="F1572">
        <v>1005</v>
      </c>
      <c r="G1572" t="s">
        <v>111</v>
      </c>
      <c r="H1572">
        <v>2000</v>
      </c>
      <c r="I1572" t="s">
        <v>46</v>
      </c>
      <c r="J1572">
        <v>3118</v>
      </c>
      <c r="K1572" t="s">
        <v>267</v>
      </c>
      <c r="L1572">
        <v>0</v>
      </c>
      <c r="N1572" t="s">
        <v>271</v>
      </c>
      <c r="O1572">
        <v>20</v>
      </c>
      <c r="P1572">
        <v>1633</v>
      </c>
      <c r="Q1572" t="s">
        <v>904</v>
      </c>
      <c r="R1572" t="s">
        <v>201</v>
      </c>
      <c r="S1572">
        <v>1</v>
      </c>
      <c r="T1572">
        <v>1</v>
      </c>
      <c r="U1572">
        <v>131124</v>
      </c>
      <c r="V1572">
        <v>131124</v>
      </c>
    </row>
    <row r="1573" spans="1:22">
      <c r="A1573" t="s">
        <v>196</v>
      </c>
      <c r="B1573">
        <v>41</v>
      </c>
      <c r="C1573" t="s">
        <v>1097</v>
      </c>
      <c r="D1573">
        <v>100</v>
      </c>
      <c r="E1573" t="s">
        <v>197</v>
      </c>
      <c r="F1573">
        <v>1005</v>
      </c>
      <c r="G1573" t="s">
        <v>111</v>
      </c>
      <c r="H1573">
        <v>2000</v>
      </c>
      <c r="I1573" t="s">
        <v>46</v>
      </c>
      <c r="J1573">
        <v>3118</v>
      </c>
      <c r="K1573" t="s">
        <v>267</v>
      </c>
      <c r="L1573">
        <v>0</v>
      </c>
      <c r="N1573" t="s">
        <v>341</v>
      </c>
      <c r="O1573">
        <v>1</v>
      </c>
      <c r="P1573">
        <v>1617</v>
      </c>
      <c r="Q1573" t="s">
        <v>800</v>
      </c>
      <c r="R1573" t="s">
        <v>201</v>
      </c>
      <c r="S1573">
        <v>1</v>
      </c>
      <c r="T1573">
        <v>1</v>
      </c>
      <c r="U1573">
        <v>103608</v>
      </c>
      <c r="V1573">
        <v>103608</v>
      </c>
    </row>
    <row r="1574" spans="1:22">
      <c r="A1574" t="s">
        <v>196</v>
      </c>
      <c r="B1574">
        <v>41</v>
      </c>
      <c r="C1574" t="s">
        <v>1097</v>
      </c>
      <c r="D1574">
        <v>100</v>
      </c>
      <c r="E1574" t="s">
        <v>197</v>
      </c>
      <c r="F1574">
        <v>1005</v>
      </c>
      <c r="G1574" t="s">
        <v>111</v>
      </c>
      <c r="H1574">
        <v>2000</v>
      </c>
      <c r="I1574" t="s">
        <v>46</v>
      </c>
      <c r="J1574">
        <v>3118</v>
      </c>
      <c r="K1574" t="s">
        <v>267</v>
      </c>
      <c r="L1574">
        <v>0</v>
      </c>
      <c r="N1574" t="s">
        <v>253</v>
      </c>
      <c r="O1574">
        <v>10</v>
      </c>
      <c r="P1574">
        <v>1431</v>
      </c>
      <c r="Q1574" t="s">
        <v>339</v>
      </c>
      <c r="R1574" t="s">
        <v>201</v>
      </c>
      <c r="S1574">
        <v>1</v>
      </c>
      <c r="T1574">
        <v>1</v>
      </c>
      <c r="U1574">
        <v>103488</v>
      </c>
      <c r="V1574">
        <v>103488</v>
      </c>
    </row>
    <row r="1575" spans="1:22">
      <c r="A1575" t="s">
        <v>196</v>
      </c>
      <c r="B1575">
        <v>41</v>
      </c>
      <c r="C1575" t="s">
        <v>1097</v>
      </c>
      <c r="D1575">
        <v>100</v>
      </c>
      <c r="E1575" t="s">
        <v>197</v>
      </c>
      <c r="F1575">
        <v>1005</v>
      </c>
      <c r="G1575" t="s">
        <v>111</v>
      </c>
      <c r="H1575">
        <v>2000</v>
      </c>
      <c r="I1575" t="s">
        <v>46</v>
      </c>
      <c r="J1575">
        <v>3118</v>
      </c>
      <c r="K1575" t="s">
        <v>267</v>
      </c>
      <c r="L1575">
        <v>0</v>
      </c>
      <c r="N1575" t="s">
        <v>251</v>
      </c>
      <c r="O1575">
        <v>10</v>
      </c>
      <c r="P1575">
        <v>1430</v>
      </c>
      <c r="Q1575" t="s">
        <v>850</v>
      </c>
      <c r="R1575" t="s">
        <v>201</v>
      </c>
      <c r="S1575">
        <v>1</v>
      </c>
      <c r="T1575">
        <v>1</v>
      </c>
      <c r="U1575">
        <v>103488</v>
      </c>
      <c r="V1575">
        <v>103488</v>
      </c>
    </row>
    <row r="1576" spans="1:22">
      <c r="A1576" t="s">
        <v>196</v>
      </c>
      <c r="B1576">
        <v>41</v>
      </c>
      <c r="C1576" t="s">
        <v>1097</v>
      </c>
      <c r="D1576">
        <v>100</v>
      </c>
      <c r="E1576" t="s">
        <v>197</v>
      </c>
      <c r="F1576">
        <v>1005</v>
      </c>
      <c r="G1576" t="s">
        <v>111</v>
      </c>
      <c r="H1576">
        <v>2000</v>
      </c>
      <c r="I1576" t="s">
        <v>46</v>
      </c>
      <c r="J1576">
        <v>3118</v>
      </c>
      <c r="K1576" t="s">
        <v>267</v>
      </c>
      <c r="L1576">
        <v>0</v>
      </c>
      <c r="N1576" t="s">
        <v>251</v>
      </c>
      <c r="O1576">
        <v>10</v>
      </c>
      <c r="P1576">
        <v>1430</v>
      </c>
      <c r="Q1576" t="s">
        <v>850</v>
      </c>
      <c r="R1576" t="s">
        <v>201</v>
      </c>
      <c r="S1576">
        <v>1</v>
      </c>
      <c r="T1576">
        <v>1</v>
      </c>
      <c r="U1576">
        <v>89112</v>
      </c>
      <c r="V1576">
        <v>89112</v>
      </c>
    </row>
    <row r="1577" spans="1:22">
      <c r="A1577" t="s">
        <v>196</v>
      </c>
      <c r="B1577">
        <v>41</v>
      </c>
      <c r="C1577" t="s">
        <v>1097</v>
      </c>
      <c r="D1577">
        <v>100</v>
      </c>
      <c r="E1577" t="s">
        <v>197</v>
      </c>
      <c r="F1577">
        <v>1005</v>
      </c>
      <c r="G1577" t="s">
        <v>111</v>
      </c>
      <c r="H1577">
        <v>2000</v>
      </c>
      <c r="I1577" t="s">
        <v>46</v>
      </c>
      <c r="J1577">
        <v>3118</v>
      </c>
      <c r="K1577" t="s">
        <v>267</v>
      </c>
      <c r="L1577">
        <v>0</v>
      </c>
      <c r="N1577" t="s">
        <v>281</v>
      </c>
      <c r="O1577">
        <v>20</v>
      </c>
      <c r="P1577">
        <v>1368</v>
      </c>
      <c r="Q1577" t="s">
        <v>853</v>
      </c>
      <c r="R1577" t="s">
        <v>201</v>
      </c>
      <c r="S1577">
        <v>1</v>
      </c>
      <c r="T1577">
        <v>1</v>
      </c>
      <c r="U1577">
        <v>82884</v>
      </c>
      <c r="V1577">
        <v>82884</v>
      </c>
    </row>
    <row r="1578" spans="1:22">
      <c r="A1578" t="s">
        <v>196</v>
      </c>
      <c r="B1578">
        <v>41</v>
      </c>
      <c r="C1578" t="s">
        <v>1097</v>
      </c>
      <c r="D1578">
        <v>100</v>
      </c>
      <c r="E1578" t="s">
        <v>197</v>
      </c>
      <c r="F1578">
        <v>1005</v>
      </c>
      <c r="G1578" t="s">
        <v>111</v>
      </c>
      <c r="H1578">
        <v>2000</v>
      </c>
      <c r="I1578" t="s">
        <v>46</v>
      </c>
      <c r="J1578">
        <v>3118</v>
      </c>
      <c r="K1578" t="s">
        <v>267</v>
      </c>
      <c r="L1578">
        <v>0</v>
      </c>
      <c r="N1578" t="s">
        <v>199</v>
      </c>
      <c r="O1578">
        <v>0</v>
      </c>
      <c r="P1578">
        <v>15</v>
      </c>
      <c r="Q1578" t="s">
        <v>264</v>
      </c>
      <c r="R1578" t="s">
        <v>201</v>
      </c>
      <c r="S1578">
        <v>0</v>
      </c>
      <c r="T1578">
        <v>0</v>
      </c>
      <c r="U1578">
        <v>17066</v>
      </c>
      <c r="V1578">
        <v>17066</v>
      </c>
    </row>
    <row r="1579" spans="1:22">
      <c r="A1579" t="s">
        <v>196</v>
      </c>
      <c r="B1579">
        <v>41</v>
      </c>
      <c r="C1579" t="s">
        <v>1097</v>
      </c>
      <c r="D1579">
        <v>100</v>
      </c>
      <c r="E1579" t="s">
        <v>197</v>
      </c>
      <c r="F1579">
        <v>1005</v>
      </c>
      <c r="G1579" t="s">
        <v>111</v>
      </c>
      <c r="H1579">
        <v>2025</v>
      </c>
      <c r="I1579" t="s">
        <v>97</v>
      </c>
      <c r="J1579">
        <v>3120</v>
      </c>
      <c r="K1579" t="s">
        <v>1098</v>
      </c>
      <c r="L1579">
        <v>0</v>
      </c>
      <c r="N1579" t="s">
        <v>266</v>
      </c>
      <c r="O1579">
        <v>9</v>
      </c>
      <c r="P1579">
        <v>9679</v>
      </c>
      <c r="Q1579" t="s">
        <v>338</v>
      </c>
      <c r="R1579" t="s">
        <v>201</v>
      </c>
      <c r="S1579">
        <v>1</v>
      </c>
      <c r="T1579">
        <v>1</v>
      </c>
      <c r="U1579">
        <v>175512</v>
      </c>
      <c r="V1579">
        <v>175512</v>
      </c>
    </row>
    <row r="1580" spans="1:22">
      <c r="A1580" t="s">
        <v>196</v>
      </c>
      <c r="B1580">
        <v>41</v>
      </c>
      <c r="C1580" t="s">
        <v>1097</v>
      </c>
      <c r="D1580">
        <v>100</v>
      </c>
      <c r="E1580" t="s">
        <v>197</v>
      </c>
      <c r="F1580">
        <v>1005</v>
      </c>
      <c r="G1580" t="s">
        <v>111</v>
      </c>
      <c r="H1580">
        <v>2025</v>
      </c>
      <c r="I1580" t="s">
        <v>97</v>
      </c>
      <c r="J1580">
        <v>3120</v>
      </c>
      <c r="K1580" t="s">
        <v>1098</v>
      </c>
      <c r="L1580">
        <v>0</v>
      </c>
      <c r="N1580" t="s">
        <v>341</v>
      </c>
      <c r="O1580">
        <v>1</v>
      </c>
      <c r="P1580">
        <v>308</v>
      </c>
      <c r="Q1580" t="s">
        <v>355</v>
      </c>
      <c r="R1580" t="s">
        <v>201</v>
      </c>
      <c r="S1580">
        <v>1</v>
      </c>
      <c r="T1580">
        <v>1</v>
      </c>
      <c r="U1580">
        <v>70752</v>
      </c>
      <c r="V1580">
        <v>70752</v>
      </c>
    </row>
    <row r="1581" spans="1:22">
      <c r="A1581" t="s">
        <v>196</v>
      </c>
      <c r="B1581">
        <v>41</v>
      </c>
      <c r="C1581" t="s">
        <v>1097</v>
      </c>
      <c r="D1581">
        <v>100</v>
      </c>
      <c r="E1581" t="s">
        <v>197</v>
      </c>
      <c r="F1581">
        <v>1005</v>
      </c>
      <c r="G1581" t="s">
        <v>111</v>
      </c>
      <c r="H1581">
        <v>2025</v>
      </c>
      <c r="I1581" t="s">
        <v>97</v>
      </c>
      <c r="J1581">
        <v>3120</v>
      </c>
      <c r="K1581" t="s">
        <v>1098</v>
      </c>
      <c r="L1581">
        <v>0</v>
      </c>
      <c r="N1581" t="s">
        <v>199</v>
      </c>
      <c r="O1581">
        <v>0</v>
      </c>
      <c r="P1581">
        <v>15</v>
      </c>
      <c r="Q1581" t="s">
        <v>264</v>
      </c>
      <c r="R1581" t="s">
        <v>201</v>
      </c>
      <c r="S1581">
        <v>0</v>
      </c>
      <c r="T1581">
        <v>0</v>
      </c>
      <c r="U1581">
        <v>6595</v>
      </c>
      <c r="V1581">
        <v>6595</v>
      </c>
    </row>
    <row r="1582" spans="1:22">
      <c r="A1582" t="s">
        <v>196</v>
      </c>
      <c r="B1582">
        <v>41</v>
      </c>
      <c r="C1582" t="s">
        <v>1097</v>
      </c>
      <c r="D1582">
        <v>100</v>
      </c>
      <c r="E1582" t="s">
        <v>197</v>
      </c>
      <c r="F1582">
        <v>1005</v>
      </c>
      <c r="G1582" t="s">
        <v>111</v>
      </c>
      <c r="H1582">
        <v>2025</v>
      </c>
      <c r="I1582" t="s">
        <v>97</v>
      </c>
      <c r="J1582">
        <v>3122</v>
      </c>
      <c r="K1582" t="s">
        <v>1103</v>
      </c>
      <c r="L1582">
        <v>0</v>
      </c>
      <c r="N1582" t="s">
        <v>372</v>
      </c>
      <c r="O1582">
        <v>4</v>
      </c>
      <c r="P1582">
        <v>1912</v>
      </c>
      <c r="Q1582" t="s">
        <v>608</v>
      </c>
      <c r="R1582" t="s">
        <v>201</v>
      </c>
      <c r="S1582">
        <v>1</v>
      </c>
      <c r="T1582">
        <v>1</v>
      </c>
      <c r="U1582">
        <v>77640</v>
      </c>
      <c r="V1582">
        <v>77640</v>
      </c>
    </row>
    <row r="1583" spans="1:22">
      <c r="A1583" t="s">
        <v>196</v>
      </c>
      <c r="B1583">
        <v>41</v>
      </c>
      <c r="C1583" t="s">
        <v>1097</v>
      </c>
      <c r="D1583">
        <v>100</v>
      </c>
      <c r="E1583" t="s">
        <v>197</v>
      </c>
      <c r="F1583">
        <v>1005</v>
      </c>
      <c r="G1583" t="s">
        <v>111</v>
      </c>
      <c r="H1583">
        <v>2025</v>
      </c>
      <c r="I1583" t="s">
        <v>97</v>
      </c>
      <c r="J1583">
        <v>3122</v>
      </c>
      <c r="K1583" t="s">
        <v>1103</v>
      </c>
      <c r="L1583">
        <v>0</v>
      </c>
      <c r="N1583" t="s">
        <v>274</v>
      </c>
      <c r="O1583">
        <v>20</v>
      </c>
      <c r="P1583">
        <v>383</v>
      </c>
      <c r="Q1583" t="s">
        <v>354</v>
      </c>
      <c r="R1583" t="s">
        <v>201</v>
      </c>
      <c r="S1583">
        <v>1</v>
      </c>
      <c r="T1583">
        <v>1</v>
      </c>
      <c r="U1583">
        <v>146808</v>
      </c>
      <c r="V1583">
        <v>146808</v>
      </c>
    </row>
    <row r="1584" spans="1:22">
      <c r="A1584" t="s">
        <v>196</v>
      </c>
      <c r="B1584">
        <v>41</v>
      </c>
      <c r="C1584" t="s">
        <v>1097</v>
      </c>
      <c r="D1584">
        <v>100</v>
      </c>
      <c r="E1584" t="s">
        <v>197</v>
      </c>
      <c r="F1584">
        <v>1005</v>
      </c>
      <c r="G1584" t="s">
        <v>111</v>
      </c>
      <c r="H1584">
        <v>2025</v>
      </c>
      <c r="I1584" t="s">
        <v>97</v>
      </c>
      <c r="J1584">
        <v>3122</v>
      </c>
      <c r="K1584" t="s">
        <v>1103</v>
      </c>
      <c r="L1584">
        <v>0</v>
      </c>
      <c r="N1584" t="s">
        <v>199</v>
      </c>
      <c r="O1584">
        <v>0</v>
      </c>
      <c r="P1584">
        <v>15</v>
      </c>
      <c r="Q1584" t="s">
        <v>264</v>
      </c>
      <c r="R1584" t="s">
        <v>201</v>
      </c>
      <c r="S1584">
        <v>0</v>
      </c>
      <c r="T1584">
        <v>0</v>
      </c>
      <c r="U1584">
        <v>6518</v>
      </c>
      <c r="V1584">
        <v>6518</v>
      </c>
    </row>
    <row r="1585" spans="1:22">
      <c r="A1585" t="s">
        <v>196</v>
      </c>
      <c r="B1585">
        <v>41</v>
      </c>
      <c r="C1585" t="s">
        <v>1097</v>
      </c>
      <c r="D1585">
        <v>100</v>
      </c>
      <c r="E1585" t="s">
        <v>197</v>
      </c>
      <c r="F1585">
        <v>1005</v>
      </c>
      <c r="G1585" t="s">
        <v>111</v>
      </c>
      <c r="H1585">
        <v>2025</v>
      </c>
      <c r="I1585" t="s">
        <v>97</v>
      </c>
      <c r="J1585">
        <v>3126</v>
      </c>
      <c r="K1585" t="s">
        <v>928</v>
      </c>
      <c r="L1585">
        <v>0</v>
      </c>
      <c r="N1585" t="s">
        <v>249</v>
      </c>
      <c r="O1585">
        <v>10</v>
      </c>
      <c r="P1585">
        <v>1346</v>
      </c>
      <c r="Q1585" t="s">
        <v>250</v>
      </c>
      <c r="R1585" t="s">
        <v>201</v>
      </c>
      <c r="S1585">
        <v>1</v>
      </c>
      <c r="T1585">
        <v>1</v>
      </c>
      <c r="U1585">
        <v>89112</v>
      </c>
      <c r="V1585">
        <v>89112</v>
      </c>
    </row>
    <row r="1586" spans="1:22">
      <c r="A1586" t="s">
        <v>196</v>
      </c>
      <c r="B1586">
        <v>41</v>
      </c>
      <c r="C1586" t="s">
        <v>1097</v>
      </c>
      <c r="D1586">
        <v>100</v>
      </c>
      <c r="E1586" t="s">
        <v>197</v>
      </c>
      <c r="F1586">
        <v>1005</v>
      </c>
      <c r="G1586" t="s">
        <v>111</v>
      </c>
      <c r="H1586">
        <v>2025</v>
      </c>
      <c r="I1586" t="s">
        <v>97</v>
      </c>
      <c r="J1586">
        <v>3126</v>
      </c>
      <c r="K1586" t="s">
        <v>928</v>
      </c>
      <c r="L1586">
        <v>0</v>
      </c>
      <c r="N1586" t="s">
        <v>274</v>
      </c>
      <c r="O1586">
        <v>0</v>
      </c>
      <c r="P1586">
        <v>1338</v>
      </c>
      <c r="Q1586" t="s">
        <v>896</v>
      </c>
      <c r="R1586" t="s">
        <v>201</v>
      </c>
      <c r="S1586">
        <v>1</v>
      </c>
      <c r="T1586">
        <v>1</v>
      </c>
      <c r="U1586">
        <v>146808</v>
      </c>
      <c r="V1586">
        <v>146808</v>
      </c>
    </row>
    <row r="1587" spans="1:22">
      <c r="A1587" t="s">
        <v>196</v>
      </c>
      <c r="B1587">
        <v>41</v>
      </c>
      <c r="C1587" t="s">
        <v>1097</v>
      </c>
      <c r="D1587">
        <v>100</v>
      </c>
      <c r="E1587" t="s">
        <v>197</v>
      </c>
      <c r="F1587">
        <v>1005</v>
      </c>
      <c r="G1587" t="s">
        <v>111</v>
      </c>
      <c r="H1587">
        <v>2025</v>
      </c>
      <c r="I1587" t="s">
        <v>97</v>
      </c>
      <c r="J1587">
        <v>3126</v>
      </c>
      <c r="K1587" t="s">
        <v>928</v>
      </c>
      <c r="L1587">
        <v>0</v>
      </c>
      <c r="N1587" t="s">
        <v>253</v>
      </c>
      <c r="O1587">
        <v>20</v>
      </c>
      <c r="P1587">
        <v>1331</v>
      </c>
      <c r="Q1587" t="s">
        <v>653</v>
      </c>
      <c r="R1587" t="s">
        <v>201</v>
      </c>
      <c r="S1587">
        <v>1</v>
      </c>
      <c r="T1587">
        <v>1</v>
      </c>
      <c r="U1587">
        <v>103488</v>
      </c>
      <c r="V1587">
        <v>103488</v>
      </c>
    </row>
    <row r="1588" spans="1:22">
      <c r="A1588" t="s">
        <v>196</v>
      </c>
      <c r="B1588">
        <v>41</v>
      </c>
      <c r="C1588" t="s">
        <v>1097</v>
      </c>
      <c r="D1588">
        <v>100</v>
      </c>
      <c r="E1588" t="s">
        <v>197</v>
      </c>
      <c r="F1588">
        <v>1005</v>
      </c>
      <c r="G1588" t="s">
        <v>111</v>
      </c>
      <c r="H1588">
        <v>2025</v>
      </c>
      <c r="I1588" t="s">
        <v>97</v>
      </c>
      <c r="J1588">
        <v>3126</v>
      </c>
      <c r="K1588" t="s">
        <v>928</v>
      </c>
      <c r="L1588">
        <v>0</v>
      </c>
      <c r="N1588" t="s">
        <v>247</v>
      </c>
      <c r="O1588">
        <v>10</v>
      </c>
      <c r="P1588">
        <v>1303</v>
      </c>
      <c r="Q1588" t="s">
        <v>1104</v>
      </c>
      <c r="R1588" t="s">
        <v>201</v>
      </c>
      <c r="S1588">
        <v>1</v>
      </c>
      <c r="T1588">
        <v>1</v>
      </c>
      <c r="U1588">
        <v>66516</v>
      </c>
      <c r="V1588">
        <v>66516</v>
      </c>
    </row>
    <row r="1589" spans="1:22">
      <c r="A1589" t="s">
        <v>196</v>
      </c>
      <c r="B1589">
        <v>41</v>
      </c>
      <c r="C1589" t="s">
        <v>1097</v>
      </c>
      <c r="D1589">
        <v>100</v>
      </c>
      <c r="E1589" t="s">
        <v>197</v>
      </c>
      <c r="F1589">
        <v>1005</v>
      </c>
      <c r="G1589" t="s">
        <v>111</v>
      </c>
      <c r="H1589">
        <v>2025</v>
      </c>
      <c r="I1589" t="s">
        <v>97</v>
      </c>
      <c r="J1589">
        <v>3126</v>
      </c>
      <c r="K1589" t="s">
        <v>928</v>
      </c>
      <c r="L1589">
        <v>0</v>
      </c>
      <c r="N1589" t="s">
        <v>255</v>
      </c>
      <c r="O1589">
        <v>1</v>
      </c>
      <c r="P1589">
        <v>1302</v>
      </c>
      <c r="Q1589" t="s">
        <v>340</v>
      </c>
      <c r="R1589" t="s">
        <v>201</v>
      </c>
      <c r="S1589">
        <v>2</v>
      </c>
      <c r="T1589">
        <v>1</v>
      </c>
      <c r="U1589">
        <v>119100</v>
      </c>
      <c r="V1589">
        <v>238200</v>
      </c>
    </row>
    <row r="1590" spans="1:22">
      <c r="A1590" t="s">
        <v>196</v>
      </c>
      <c r="B1590">
        <v>41</v>
      </c>
      <c r="C1590" t="s">
        <v>1097</v>
      </c>
      <c r="D1590">
        <v>100</v>
      </c>
      <c r="E1590" t="s">
        <v>197</v>
      </c>
      <c r="F1590">
        <v>1005</v>
      </c>
      <c r="G1590" t="s">
        <v>111</v>
      </c>
      <c r="H1590">
        <v>2025</v>
      </c>
      <c r="I1590" t="s">
        <v>97</v>
      </c>
      <c r="J1590">
        <v>3126</v>
      </c>
      <c r="K1590" t="s">
        <v>928</v>
      </c>
      <c r="L1590">
        <v>0</v>
      </c>
      <c r="N1590" t="s">
        <v>341</v>
      </c>
      <c r="O1590">
        <v>1</v>
      </c>
      <c r="P1590">
        <v>1301</v>
      </c>
      <c r="Q1590" t="s">
        <v>618</v>
      </c>
      <c r="R1590" t="s">
        <v>201</v>
      </c>
      <c r="S1590">
        <v>1</v>
      </c>
      <c r="T1590">
        <v>1</v>
      </c>
      <c r="U1590">
        <v>108576</v>
      </c>
      <c r="V1590">
        <v>108576</v>
      </c>
    </row>
    <row r="1591" spans="1:22">
      <c r="A1591" t="s">
        <v>196</v>
      </c>
      <c r="B1591">
        <v>41</v>
      </c>
      <c r="C1591" t="s">
        <v>1097</v>
      </c>
      <c r="D1591">
        <v>100</v>
      </c>
      <c r="E1591" t="s">
        <v>197</v>
      </c>
      <c r="F1591">
        <v>1005</v>
      </c>
      <c r="G1591" t="s">
        <v>111</v>
      </c>
      <c r="H1591">
        <v>2025</v>
      </c>
      <c r="I1591" t="s">
        <v>97</v>
      </c>
      <c r="J1591">
        <v>3126</v>
      </c>
      <c r="K1591" t="s">
        <v>928</v>
      </c>
      <c r="L1591">
        <v>0</v>
      </c>
      <c r="N1591" t="s">
        <v>341</v>
      </c>
      <c r="O1591">
        <v>1</v>
      </c>
      <c r="P1591">
        <v>1301</v>
      </c>
      <c r="Q1591" t="s">
        <v>618</v>
      </c>
      <c r="R1591" t="s">
        <v>201</v>
      </c>
      <c r="S1591">
        <v>1</v>
      </c>
      <c r="T1591">
        <v>1</v>
      </c>
      <c r="U1591">
        <v>74172</v>
      </c>
      <c r="V1591">
        <v>74172</v>
      </c>
    </row>
    <row r="1592" spans="1:22">
      <c r="A1592" t="s">
        <v>196</v>
      </c>
      <c r="B1592">
        <v>41</v>
      </c>
      <c r="C1592" t="s">
        <v>1097</v>
      </c>
      <c r="D1592">
        <v>100</v>
      </c>
      <c r="E1592" t="s">
        <v>197</v>
      </c>
      <c r="F1592">
        <v>1005</v>
      </c>
      <c r="G1592" t="s">
        <v>111</v>
      </c>
      <c r="H1592">
        <v>2025</v>
      </c>
      <c r="I1592" t="s">
        <v>97</v>
      </c>
      <c r="J1592">
        <v>3126</v>
      </c>
      <c r="K1592" t="s">
        <v>928</v>
      </c>
      <c r="L1592">
        <v>0</v>
      </c>
      <c r="N1592" t="s">
        <v>341</v>
      </c>
      <c r="O1592">
        <v>1</v>
      </c>
      <c r="P1592">
        <v>1301</v>
      </c>
      <c r="Q1592" t="s">
        <v>618</v>
      </c>
      <c r="R1592" t="s">
        <v>201</v>
      </c>
      <c r="S1592">
        <v>2</v>
      </c>
      <c r="T1592">
        <v>1</v>
      </c>
      <c r="U1592">
        <v>68616</v>
      </c>
      <c r="V1592">
        <v>137232</v>
      </c>
    </row>
    <row r="1593" spans="1:22">
      <c r="A1593" t="s">
        <v>196</v>
      </c>
      <c r="B1593">
        <v>41</v>
      </c>
      <c r="C1593" t="s">
        <v>1097</v>
      </c>
      <c r="D1593">
        <v>100</v>
      </c>
      <c r="E1593" t="s">
        <v>197</v>
      </c>
      <c r="F1593">
        <v>1005</v>
      </c>
      <c r="G1593" t="s">
        <v>111</v>
      </c>
      <c r="H1593">
        <v>2025</v>
      </c>
      <c r="I1593" t="s">
        <v>97</v>
      </c>
      <c r="J1593">
        <v>3126</v>
      </c>
      <c r="K1593" t="s">
        <v>928</v>
      </c>
      <c r="L1593">
        <v>0</v>
      </c>
      <c r="N1593" t="s">
        <v>249</v>
      </c>
      <c r="O1593">
        <v>10</v>
      </c>
      <c r="P1593">
        <v>311</v>
      </c>
      <c r="Q1593" t="s">
        <v>661</v>
      </c>
      <c r="R1593" t="s">
        <v>201</v>
      </c>
      <c r="S1593">
        <v>1</v>
      </c>
      <c r="T1593">
        <v>1</v>
      </c>
      <c r="U1593">
        <v>89112</v>
      </c>
      <c r="V1593">
        <v>89112</v>
      </c>
    </row>
    <row r="1594" spans="1:22">
      <c r="A1594" t="s">
        <v>196</v>
      </c>
      <c r="B1594">
        <v>41</v>
      </c>
      <c r="C1594" t="s">
        <v>1097</v>
      </c>
      <c r="D1594">
        <v>100</v>
      </c>
      <c r="E1594" t="s">
        <v>197</v>
      </c>
      <c r="F1594">
        <v>1005</v>
      </c>
      <c r="G1594" t="s">
        <v>111</v>
      </c>
      <c r="H1594">
        <v>2025</v>
      </c>
      <c r="I1594" t="s">
        <v>97</v>
      </c>
      <c r="J1594">
        <v>3126</v>
      </c>
      <c r="K1594" t="s">
        <v>928</v>
      </c>
      <c r="L1594">
        <v>0</v>
      </c>
      <c r="N1594" t="s">
        <v>341</v>
      </c>
      <c r="O1594">
        <v>1</v>
      </c>
      <c r="P1594">
        <v>308</v>
      </c>
      <c r="Q1594" t="s">
        <v>355</v>
      </c>
      <c r="R1594" t="s">
        <v>201</v>
      </c>
      <c r="S1594">
        <v>1</v>
      </c>
      <c r="T1594">
        <v>1</v>
      </c>
      <c r="U1594">
        <v>68616</v>
      </c>
      <c r="V1594">
        <v>68616</v>
      </c>
    </row>
    <row r="1595" spans="1:22">
      <c r="A1595" t="s">
        <v>196</v>
      </c>
      <c r="B1595">
        <v>41</v>
      </c>
      <c r="C1595" t="s">
        <v>1097</v>
      </c>
      <c r="D1595">
        <v>100</v>
      </c>
      <c r="E1595" t="s">
        <v>197</v>
      </c>
      <c r="F1595">
        <v>1005</v>
      </c>
      <c r="G1595" t="s">
        <v>111</v>
      </c>
      <c r="H1595">
        <v>2025</v>
      </c>
      <c r="I1595" t="s">
        <v>97</v>
      </c>
      <c r="J1595">
        <v>3126</v>
      </c>
      <c r="K1595" t="s">
        <v>928</v>
      </c>
      <c r="L1595">
        <v>0</v>
      </c>
      <c r="N1595" t="s">
        <v>199</v>
      </c>
      <c r="O1595">
        <v>0</v>
      </c>
      <c r="P1595">
        <v>15</v>
      </c>
      <c r="Q1595" t="s">
        <v>264</v>
      </c>
      <c r="R1595" t="s">
        <v>201</v>
      </c>
      <c r="S1595">
        <v>0</v>
      </c>
      <c r="T1595">
        <v>0</v>
      </c>
      <c r="U1595">
        <v>17079</v>
      </c>
      <c r="V1595">
        <v>17079</v>
      </c>
    </row>
    <row r="1596" spans="1:22">
      <c r="A1596" t="s">
        <v>196</v>
      </c>
      <c r="B1596">
        <v>41</v>
      </c>
      <c r="C1596" t="s">
        <v>1097</v>
      </c>
      <c r="D1596">
        <v>100</v>
      </c>
      <c r="E1596" t="s">
        <v>197</v>
      </c>
      <c r="F1596">
        <v>1005</v>
      </c>
      <c r="G1596" t="s">
        <v>111</v>
      </c>
      <c r="H1596">
        <v>2025</v>
      </c>
      <c r="I1596" t="s">
        <v>97</v>
      </c>
      <c r="J1596">
        <v>3128</v>
      </c>
      <c r="K1596" t="s">
        <v>638</v>
      </c>
      <c r="L1596">
        <v>0</v>
      </c>
      <c r="N1596" t="s">
        <v>372</v>
      </c>
      <c r="O1596">
        <v>1</v>
      </c>
      <c r="P1596">
        <v>1730</v>
      </c>
      <c r="Q1596" t="s">
        <v>1105</v>
      </c>
      <c r="R1596" t="s">
        <v>201</v>
      </c>
      <c r="S1596">
        <v>1</v>
      </c>
      <c r="T1596">
        <v>1</v>
      </c>
      <c r="U1596">
        <v>75336</v>
      </c>
      <c r="V1596">
        <v>75336</v>
      </c>
    </row>
    <row r="1597" spans="1:22">
      <c r="A1597" t="s">
        <v>196</v>
      </c>
      <c r="B1597">
        <v>41</v>
      </c>
      <c r="C1597" t="s">
        <v>1097</v>
      </c>
      <c r="D1597">
        <v>100</v>
      </c>
      <c r="E1597" t="s">
        <v>197</v>
      </c>
      <c r="F1597">
        <v>1005</v>
      </c>
      <c r="G1597" t="s">
        <v>111</v>
      </c>
      <c r="H1597">
        <v>2025</v>
      </c>
      <c r="I1597" t="s">
        <v>97</v>
      </c>
      <c r="J1597">
        <v>3128</v>
      </c>
      <c r="K1597" t="s">
        <v>638</v>
      </c>
      <c r="L1597">
        <v>0</v>
      </c>
      <c r="N1597" t="s">
        <v>622</v>
      </c>
      <c r="O1597">
        <v>1</v>
      </c>
      <c r="P1597" t="s">
        <v>667</v>
      </c>
      <c r="Q1597" t="s">
        <v>205</v>
      </c>
      <c r="R1597" t="s">
        <v>201</v>
      </c>
      <c r="S1597">
        <v>1</v>
      </c>
      <c r="T1597">
        <v>1</v>
      </c>
      <c r="U1597">
        <v>56124</v>
      </c>
      <c r="V1597">
        <v>56124</v>
      </c>
    </row>
    <row r="1598" spans="1:22">
      <c r="A1598" t="s">
        <v>196</v>
      </c>
      <c r="B1598">
        <v>41</v>
      </c>
      <c r="C1598" t="s">
        <v>1097</v>
      </c>
      <c r="D1598">
        <v>100</v>
      </c>
      <c r="E1598" t="s">
        <v>197</v>
      </c>
      <c r="F1598">
        <v>1005</v>
      </c>
      <c r="G1598" t="s">
        <v>111</v>
      </c>
      <c r="H1598">
        <v>2025</v>
      </c>
      <c r="I1598" t="s">
        <v>97</v>
      </c>
      <c r="J1598">
        <v>3128</v>
      </c>
      <c r="K1598" t="s">
        <v>638</v>
      </c>
      <c r="L1598">
        <v>0</v>
      </c>
      <c r="N1598" t="s">
        <v>622</v>
      </c>
      <c r="O1598">
        <v>1</v>
      </c>
      <c r="P1598" t="s">
        <v>667</v>
      </c>
      <c r="Q1598" t="s">
        <v>205</v>
      </c>
      <c r="R1598" t="s">
        <v>201</v>
      </c>
      <c r="S1598">
        <v>2</v>
      </c>
      <c r="T1598">
        <v>1</v>
      </c>
      <c r="U1598">
        <v>51936</v>
      </c>
      <c r="V1598">
        <v>103872</v>
      </c>
    </row>
    <row r="1599" spans="1:22">
      <c r="A1599" t="s">
        <v>196</v>
      </c>
      <c r="B1599">
        <v>41</v>
      </c>
      <c r="C1599" t="s">
        <v>1097</v>
      </c>
      <c r="D1599">
        <v>100</v>
      </c>
      <c r="E1599" t="s">
        <v>197</v>
      </c>
      <c r="F1599">
        <v>1005</v>
      </c>
      <c r="G1599" t="s">
        <v>111</v>
      </c>
      <c r="H1599">
        <v>2025</v>
      </c>
      <c r="I1599" t="s">
        <v>97</v>
      </c>
      <c r="J1599">
        <v>3128</v>
      </c>
      <c r="K1599" t="s">
        <v>638</v>
      </c>
      <c r="L1599">
        <v>0</v>
      </c>
      <c r="N1599" t="s">
        <v>249</v>
      </c>
      <c r="O1599">
        <v>10</v>
      </c>
      <c r="P1599">
        <v>311</v>
      </c>
      <c r="Q1599" t="s">
        <v>661</v>
      </c>
      <c r="R1599" t="s">
        <v>201</v>
      </c>
      <c r="S1599">
        <v>1</v>
      </c>
      <c r="T1599">
        <v>1</v>
      </c>
      <c r="U1599">
        <v>107340</v>
      </c>
      <c r="V1599">
        <v>107340</v>
      </c>
    </row>
    <row r="1600" spans="1:22">
      <c r="A1600" t="s">
        <v>196</v>
      </c>
      <c r="B1600">
        <v>41</v>
      </c>
      <c r="C1600" t="s">
        <v>1097</v>
      </c>
      <c r="D1600">
        <v>100</v>
      </c>
      <c r="E1600" t="s">
        <v>197</v>
      </c>
      <c r="F1600">
        <v>1005</v>
      </c>
      <c r="G1600" t="s">
        <v>111</v>
      </c>
      <c r="H1600">
        <v>2025</v>
      </c>
      <c r="I1600" t="s">
        <v>97</v>
      </c>
      <c r="J1600">
        <v>3128</v>
      </c>
      <c r="K1600" t="s">
        <v>638</v>
      </c>
      <c r="L1600">
        <v>0</v>
      </c>
      <c r="N1600" t="s">
        <v>356</v>
      </c>
      <c r="O1600">
        <v>4</v>
      </c>
      <c r="P1600">
        <v>124</v>
      </c>
      <c r="Q1600" t="s">
        <v>357</v>
      </c>
      <c r="R1600" t="s">
        <v>201</v>
      </c>
      <c r="S1600">
        <v>4</v>
      </c>
      <c r="T1600">
        <v>1</v>
      </c>
      <c r="U1600">
        <v>129636</v>
      </c>
      <c r="V1600">
        <v>518544</v>
      </c>
    </row>
    <row r="1601" spans="1:22">
      <c r="A1601" t="s">
        <v>196</v>
      </c>
      <c r="B1601">
        <v>41</v>
      </c>
      <c r="C1601" t="s">
        <v>1097</v>
      </c>
      <c r="D1601">
        <v>100</v>
      </c>
      <c r="E1601" t="s">
        <v>197</v>
      </c>
      <c r="F1601">
        <v>1005</v>
      </c>
      <c r="G1601" t="s">
        <v>111</v>
      </c>
      <c r="H1601">
        <v>2025</v>
      </c>
      <c r="I1601" t="s">
        <v>97</v>
      </c>
      <c r="J1601">
        <v>3128</v>
      </c>
      <c r="K1601" t="s">
        <v>638</v>
      </c>
      <c r="L1601">
        <v>0</v>
      </c>
      <c r="N1601" t="s">
        <v>356</v>
      </c>
      <c r="O1601">
        <v>4</v>
      </c>
      <c r="P1601">
        <v>124</v>
      </c>
      <c r="Q1601" t="s">
        <v>357</v>
      </c>
      <c r="R1601" t="s">
        <v>201</v>
      </c>
      <c r="S1601">
        <v>1</v>
      </c>
      <c r="T1601">
        <v>1</v>
      </c>
      <c r="U1601">
        <v>122928</v>
      </c>
      <c r="V1601">
        <v>122928</v>
      </c>
    </row>
    <row r="1602" spans="1:22">
      <c r="A1602" t="s">
        <v>196</v>
      </c>
      <c r="B1602">
        <v>41</v>
      </c>
      <c r="C1602" t="s">
        <v>1097</v>
      </c>
      <c r="D1602">
        <v>100</v>
      </c>
      <c r="E1602" t="s">
        <v>197</v>
      </c>
      <c r="F1602">
        <v>1005</v>
      </c>
      <c r="G1602" t="s">
        <v>111</v>
      </c>
      <c r="H1602">
        <v>2025</v>
      </c>
      <c r="I1602" t="s">
        <v>97</v>
      </c>
      <c r="J1602">
        <v>3128</v>
      </c>
      <c r="K1602" t="s">
        <v>638</v>
      </c>
      <c r="L1602">
        <v>0</v>
      </c>
      <c r="N1602" t="s">
        <v>356</v>
      </c>
      <c r="O1602">
        <v>4</v>
      </c>
      <c r="P1602">
        <v>124</v>
      </c>
      <c r="Q1602" t="s">
        <v>357</v>
      </c>
      <c r="R1602" t="s">
        <v>201</v>
      </c>
      <c r="S1602">
        <v>1</v>
      </c>
      <c r="T1602">
        <v>1</v>
      </c>
      <c r="U1602">
        <v>107628</v>
      </c>
      <c r="V1602">
        <v>107628</v>
      </c>
    </row>
    <row r="1603" spans="1:22">
      <c r="A1603" t="s">
        <v>196</v>
      </c>
      <c r="B1603">
        <v>41</v>
      </c>
      <c r="C1603" t="s">
        <v>1097</v>
      </c>
      <c r="D1603">
        <v>100</v>
      </c>
      <c r="E1603" t="s">
        <v>197</v>
      </c>
      <c r="F1603">
        <v>1005</v>
      </c>
      <c r="G1603" t="s">
        <v>111</v>
      </c>
      <c r="H1603">
        <v>2025</v>
      </c>
      <c r="I1603" t="s">
        <v>97</v>
      </c>
      <c r="J1603">
        <v>3128</v>
      </c>
      <c r="K1603" t="s">
        <v>638</v>
      </c>
      <c r="L1603">
        <v>0</v>
      </c>
      <c r="N1603" t="s">
        <v>356</v>
      </c>
      <c r="O1603">
        <v>4</v>
      </c>
      <c r="P1603">
        <v>124</v>
      </c>
      <c r="Q1603" t="s">
        <v>357</v>
      </c>
      <c r="R1603" t="s">
        <v>201</v>
      </c>
      <c r="S1603">
        <v>1</v>
      </c>
      <c r="T1603">
        <v>1</v>
      </c>
      <c r="U1603">
        <v>90144</v>
      </c>
      <c r="V1603">
        <v>90144</v>
      </c>
    </row>
    <row r="1604" spans="1:22">
      <c r="A1604" t="s">
        <v>196</v>
      </c>
      <c r="B1604">
        <v>41</v>
      </c>
      <c r="C1604" t="s">
        <v>1097</v>
      </c>
      <c r="D1604">
        <v>100</v>
      </c>
      <c r="E1604" t="s">
        <v>197</v>
      </c>
      <c r="F1604">
        <v>1005</v>
      </c>
      <c r="G1604" t="s">
        <v>111</v>
      </c>
      <c r="H1604">
        <v>2025</v>
      </c>
      <c r="I1604" t="s">
        <v>97</v>
      </c>
      <c r="J1604">
        <v>3128</v>
      </c>
      <c r="K1604" t="s">
        <v>638</v>
      </c>
      <c r="L1604">
        <v>0</v>
      </c>
      <c r="N1604" t="s">
        <v>274</v>
      </c>
      <c r="O1604">
        <v>0</v>
      </c>
      <c r="P1604">
        <v>118</v>
      </c>
      <c r="Q1604" t="s">
        <v>358</v>
      </c>
      <c r="R1604" t="s">
        <v>201</v>
      </c>
      <c r="S1604">
        <v>1</v>
      </c>
      <c r="T1604">
        <v>1</v>
      </c>
      <c r="U1604">
        <v>121668</v>
      </c>
      <c r="V1604">
        <v>121668</v>
      </c>
    </row>
    <row r="1605" spans="1:22">
      <c r="A1605" t="s">
        <v>196</v>
      </c>
      <c r="B1605">
        <v>41</v>
      </c>
      <c r="C1605" t="s">
        <v>1097</v>
      </c>
      <c r="D1605">
        <v>100</v>
      </c>
      <c r="E1605" t="s">
        <v>197</v>
      </c>
      <c r="F1605">
        <v>1005</v>
      </c>
      <c r="G1605" t="s">
        <v>111</v>
      </c>
      <c r="H1605">
        <v>2025</v>
      </c>
      <c r="I1605" t="s">
        <v>97</v>
      </c>
      <c r="J1605">
        <v>3128</v>
      </c>
      <c r="K1605" t="s">
        <v>638</v>
      </c>
      <c r="L1605">
        <v>0</v>
      </c>
      <c r="N1605" t="s">
        <v>199</v>
      </c>
      <c r="O1605">
        <v>0</v>
      </c>
      <c r="P1605">
        <v>15</v>
      </c>
      <c r="Q1605" t="s">
        <v>264</v>
      </c>
      <c r="R1605" t="s">
        <v>201</v>
      </c>
      <c r="S1605">
        <v>0</v>
      </c>
      <c r="T1605">
        <v>0</v>
      </c>
      <c r="U1605">
        <v>2862</v>
      </c>
      <c r="V1605">
        <v>2862</v>
      </c>
    </row>
    <row r="1606" spans="1:22">
      <c r="A1606" t="s">
        <v>196</v>
      </c>
      <c r="B1606">
        <v>41</v>
      </c>
      <c r="C1606" t="s">
        <v>1097</v>
      </c>
      <c r="D1606">
        <v>100</v>
      </c>
      <c r="E1606" t="s">
        <v>197</v>
      </c>
      <c r="F1606">
        <v>1005</v>
      </c>
      <c r="G1606" t="s">
        <v>111</v>
      </c>
      <c r="H1606">
        <v>2030</v>
      </c>
      <c r="I1606" t="s">
        <v>110</v>
      </c>
      <c r="J1606">
        <v>3134</v>
      </c>
      <c r="K1606" t="s">
        <v>1098</v>
      </c>
      <c r="L1606">
        <v>0</v>
      </c>
      <c r="N1606" t="s">
        <v>266</v>
      </c>
      <c r="O1606">
        <v>9</v>
      </c>
      <c r="P1606">
        <v>9679</v>
      </c>
      <c r="Q1606" t="s">
        <v>338</v>
      </c>
      <c r="R1606" t="s">
        <v>201</v>
      </c>
      <c r="S1606">
        <v>1</v>
      </c>
      <c r="T1606">
        <v>1</v>
      </c>
      <c r="U1606">
        <v>181356</v>
      </c>
      <c r="V1606">
        <v>181356</v>
      </c>
    </row>
    <row r="1607" spans="1:22">
      <c r="A1607" t="s">
        <v>196</v>
      </c>
      <c r="B1607">
        <v>41</v>
      </c>
      <c r="C1607" t="s">
        <v>1097</v>
      </c>
      <c r="D1607">
        <v>100</v>
      </c>
      <c r="E1607" t="s">
        <v>197</v>
      </c>
      <c r="F1607">
        <v>1005</v>
      </c>
      <c r="G1607" t="s">
        <v>111</v>
      </c>
      <c r="H1607">
        <v>2030</v>
      </c>
      <c r="I1607" t="s">
        <v>110</v>
      </c>
      <c r="J1607">
        <v>3134</v>
      </c>
      <c r="K1607" t="s">
        <v>1098</v>
      </c>
      <c r="L1607">
        <v>0</v>
      </c>
      <c r="N1607" t="s">
        <v>341</v>
      </c>
      <c r="O1607">
        <v>1</v>
      </c>
      <c r="P1607">
        <v>308</v>
      </c>
      <c r="Q1607" t="s">
        <v>355</v>
      </c>
      <c r="R1607" t="s">
        <v>201</v>
      </c>
      <c r="S1607">
        <v>1</v>
      </c>
      <c r="T1607">
        <v>1</v>
      </c>
      <c r="U1607">
        <v>70752</v>
      </c>
      <c r="V1607">
        <v>70752</v>
      </c>
    </row>
    <row r="1608" spans="1:22">
      <c r="A1608" t="s">
        <v>196</v>
      </c>
      <c r="B1608">
        <v>41</v>
      </c>
      <c r="C1608" t="s">
        <v>1097</v>
      </c>
      <c r="D1608">
        <v>100</v>
      </c>
      <c r="E1608" t="s">
        <v>197</v>
      </c>
      <c r="F1608">
        <v>1005</v>
      </c>
      <c r="G1608" t="s">
        <v>111</v>
      </c>
      <c r="H1608">
        <v>2030</v>
      </c>
      <c r="I1608" t="s">
        <v>110</v>
      </c>
      <c r="J1608">
        <v>3134</v>
      </c>
      <c r="K1608" t="s">
        <v>1098</v>
      </c>
      <c r="L1608">
        <v>0</v>
      </c>
      <c r="N1608" t="s">
        <v>199</v>
      </c>
      <c r="O1608">
        <v>0</v>
      </c>
      <c r="P1608">
        <v>15</v>
      </c>
      <c r="Q1608" t="s">
        <v>264</v>
      </c>
      <c r="R1608" t="s">
        <v>201</v>
      </c>
      <c r="S1608">
        <v>0</v>
      </c>
      <c r="T1608">
        <v>0</v>
      </c>
      <c r="U1608">
        <v>4586</v>
      </c>
      <c r="V1608">
        <v>4586</v>
      </c>
    </row>
    <row r="1609" spans="1:22">
      <c r="A1609" t="s">
        <v>196</v>
      </c>
      <c r="B1609">
        <v>41</v>
      </c>
      <c r="C1609" t="s">
        <v>1097</v>
      </c>
      <c r="D1609">
        <v>100</v>
      </c>
      <c r="E1609" t="s">
        <v>197</v>
      </c>
      <c r="F1609">
        <v>1005</v>
      </c>
      <c r="G1609" t="s">
        <v>111</v>
      </c>
      <c r="H1609">
        <v>2030</v>
      </c>
      <c r="I1609" t="s">
        <v>110</v>
      </c>
      <c r="J1609">
        <v>3138</v>
      </c>
      <c r="K1609" t="s">
        <v>1106</v>
      </c>
      <c r="L1609">
        <v>0</v>
      </c>
      <c r="N1609" t="s">
        <v>372</v>
      </c>
      <c r="O1609">
        <v>1</v>
      </c>
      <c r="P1609">
        <v>1730</v>
      </c>
      <c r="Q1609" t="s">
        <v>1105</v>
      </c>
      <c r="R1609" t="s">
        <v>201</v>
      </c>
      <c r="S1609">
        <v>2</v>
      </c>
      <c r="T1609">
        <v>1</v>
      </c>
      <c r="U1609">
        <v>75336</v>
      </c>
      <c r="V1609">
        <v>150672</v>
      </c>
    </row>
    <row r="1610" spans="1:22">
      <c r="A1610" t="s">
        <v>196</v>
      </c>
      <c r="B1610">
        <v>41</v>
      </c>
      <c r="C1610" t="s">
        <v>1097</v>
      </c>
      <c r="D1610">
        <v>100</v>
      </c>
      <c r="E1610" t="s">
        <v>197</v>
      </c>
      <c r="F1610">
        <v>1005</v>
      </c>
      <c r="G1610" t="s">
        <v>111</v>
      </c>
      <c r="H1610">
        <v>2030</v>
      </c>
      <c r="I1610" t="s">
        <v>110</v>
      </c>
      <c r="J1610">
        <v>3138</v>
      </c>
      <c r="K1610" t="s">
        <v>1106</v>
      </c>
      <c r="L1610">
        <v>0</v>
      </c>
      <c r="N1610" t="s">
        <v>274</v>
      </c>
      <c r="O1610">
        <v>9</v>
      </c>
      <c r="P1610">
        <v>313</v>
      </c>
      <c r="Q1610" t="s">
        <v>605</v>
      </c>
      <c r="R1610" t="s">
        <v>201</v>
      </c>
      <c r="S1610">
        <v>1</v>
      </c>
      <c r="T1610">
        <v>1</v>
      </c>
      <c r="U1610">
        <v>121668</v>
      </c>
      <c r="V1610">
        <v>121668</v>
      </c>
    </row>
    <row r="1611" spans="1:22">
      <c r="A1611" t="s">
        <v>196</v>
      </c>
      <c r="B1611">
        <v>41</v>
      </c>
      <c r="C1611" t="s">
        <v>1097</v>
      </c>
      <c r="D1611">
        <v>100</v>
      </c>
      <c r="E1611" t="s">
        <v>197</v>
      </c>
      <c r="F1611">
        <v>1005</v>
      </c>
      <c r="G1611" t="s">
        <v>111</v>
      </c>
      <c r="H1611">
        <v>2030</v>
      </c>
      <c r="I1611" t="s">
        <v>110</v>
      </c>
      <c r="J1611">
        <v>3140</v>
      </c>
      <c r="K1611" t="s">
        <v>1107</v>
      </c>
      <c r="L1611">
        <v>0</v>
      </c>
      <c r="N1611" t="s">
        <v>249</v>
      </c>
      <c r="O1611">
        <v>10</v>
      </c>
      <c r="P1611">
        <v>310</v>
      </c>
      <c r="Q1611" t="s">
        <v>447</v>
      </c>
      <c r="R1611" t="s">
        <v>201</v>
      </c>
      <c r="S1611">
        <v>1</v>
      </c>
      <c r="T1611">
        <v>1</v>
      </c>
      <c r="U1611">
        <v>89112</v>
      </c>
      <c r="V1611">
        <v>89112</v>
      </c>
    </row>
    <row r="1612" spans="1:22">
      <c r="A1612" t="s">
        <v>196</v>
      </c>
      <c r="B1612">
        <v>41</v>
      </c>
      <c r="C1612" t="s">
        <v>1097</v>
      </c>
      <c r="D1612">
        <v>100</v>
      </c>
      <c r="E1612" t="s">
        <v>197</v>
      </c>
      <c r="F1612">
        <v>1005</v>
      </c>
      <c r="G1612" t="s">
        <v>111</v>
      </c>
      <c r="H1612">
        <v>2030</v>
      </c>
      <c r="I1612" t="s">
        <v>110</v>
      </c>
      <c r="J1612">
        <v>3140</v>
      </c>
      <c r="K1612" t="s">
        <v>1107</v>
      </c>
      <c r="L1612">
        <v>0</v>
      </c>
      <c r="N1612" t="s">
        <v>199</v>
      </c>
      <c r="O1612">
        <v>0</v>
      </c>
      <c r="P1612">
        <v>15</v>
      </c>
      <c r="Q1612" t="s">
        <v>264</v>
      </c>
      <c r="R1612" t="s">
        <v>201</v>
      </c>
      <c r="S1612">
        <v>0</v>
      </c>
      <c r="T1612">
        <v>0</v>
      </c>
      <c r="U1612">
        <v>2136</v>
      </c>
      <c r="V1612">
        <v>2136</v>
      </c>
    </row>
    <row r="1613" spans="1:22">
      <c r="A1613" t="s">
        <v>196</v>
      </c>
      <c r="B1613">
        <v>41</v>
      </c>
      <c r="C1613" t="s">
        <v>1097</v>
      </c>
      <c r="D1613">
        <v>100</v>
      </c>
      <c r="E1613" t="s">
        <v>197</v>
      </c>
      <c r="F1613">
        <v>1005</v>
      </c>
      <c r="G1613" t="s">
        <v>111</v>
      </c>
      <c r="H1613">
        <v>2030</v>
      </c>
      <c r="I1613" t="s">
        <v>110</v>
      </c>
      <c r="J1613">
        <v>3142</v>
      </c>
      <c r="K1613" t="s">
        <v>1108</v>
      </c>
      <c r="L1613">
        <v>0</v>
      </c>
      <c r="N1613" t="s">
        <v>356</v>
      </c>
      <c r="O1613">
        <v>4</v>
      </c>
      <c r="P1613">
        <v>3414</v>
      </c>
      <c r="Q1613" t="s">
        <v>1109</v>
      </c>
      <c r="R1613" t="s">
        <v>201</v>
      </c>
      <c r="S1613">
        <v>1</v>
      </c>
      <c r="T1613">
        <v>1</v>
      </c>
      <c r="U1613">
        <v>129636</v>
      </c>
      <c r="V1613">
        <v>129636</v>
      </c>
    </row>
    <row r="1614" spans="1:22">
      <c r="A1614" t="s">
        <v>196</v>
      </c>
      <c r="B1614">
        <v>41</v>
      </c>
      <c r="C1614" t="s">
        <v>1097</v>
      </c>
      <c r="D1614">
        <v>100</v>
      </c>
      <c r="E1614" t="s">
        <v>197</v>
      </c>
      <c r="F1614">
        <v>1005</v>
      </c>
      <c r="G1614" t="s">
        <v>111</v>
      </c>
      <c r="H1614">
        <v>2030</v>
      </c>
      <c r="I1614" t="s">
        <v>110</v>
      </c>
      <c r="J1614">
        <v>3142</v>
      </c>
      <c r="K1614" t="s">
        <v>1108</v>
      </c>
      <c r="L1614">
        <v>0</v>
      </c>
      <c r="N1614" t="s">
        <v>356</v>
      </c>
      <c r="O1614">
        <v>4</v>
      </c>
      <c r="P1614">
        <v>3414</v>
      </c>
      <c r="Q1614" t="s">
        <v>1109</v>
      </c>
      <c r="R1614" t="s">
        <v>201</v>
      </c>
      <c r="S1614">
        <v>2</v>
      </c>
      <c r="T1614">
        <v>1</v>
      </c>
      <c r="U1614">
        <v>102516</v>
      </c>
      <c r="V1614">
        <v>205032</v>
      </c>
    </row>
    <row r="1615" spans="1:22">
      <c r="A1615" t="s">
        <v>196</v>
      </c>
      <c r="B1615">
        <v>41</v>
      </c>
      <c r="C1615" t="s">
        <v>1097</v>
      </c>
      <c r="D1615">
        <v>100</v>
      </c>
      <c r="E1615" t="s">
        <v>197</v>
      </c>
      <c r="F1615">
        <v>1005</v>
      </c>
      <c r="G1615" t="s">
        <v>111</v>
      </c>
      <c r="H1615">
        <v>2030</v>
      </c>
      <c r="I1615" t="s">
        <v>110</v>
      </c>
      <c r="J1615">
        <v>3142</v>
      </c>
      <c r="K1615" t="s">
        <v>1108</v>
      </c>
      <c r="L1615">
        <v>0</v>
      </c>
      <c r="N1615" t="s">
        <v>356</v>
      </c>
      <c r="O1615">
        <v>4</v>
      </c>
      <c r="P1615">
        <v>3414</v>
      </c>
      <c r="Q1615" t="s">
        <v>1109</v>
      </c>
      <c r="R1615" t="s">
        <v>201</v>
      </c>
      <c r="S1615">
        <v>1</v>
      </c>
      <c r="T1615">
        <v>1</v>
      </c>
      <c r="U1615">
        <v>97488</v>
      </c>
      <c r="V1615">
        <v>97488</v>
      </c>
    </row>
    <row r="1616" spans="1:22">
      <c r="A1616" t="s">
        <v>196</v>
      </c>
      <c r="B1616">
        <v>41</v>
      </c>
      <c r="C1616" t="s">
        <v>1097</v>
      </c>
      <c r="D1616">
        <v>100</v>
      </c>
      <c r="E1616" t="s">
        <v>197</v>
      </c>
      <c r="F1616">
        <v>1005</v>
      </c>
      <c r="G1616" t="s">
        <v>111</v>
      </c>
      <c r="H1616">
        <v>2030</v>
      </c>
      <c r="I1616" t="s">
        <v>110</v>
      </c>
      <c r="J1616">
        <v>3142</v>
      </c>
      <c r="K1616" t="s">
        <v>1108</v>
      </c>
      <c r="L1616">
        <v>0</v>
      </c>
      <c r="N1616" t="s">
        <v>245</v>
      </c>
      <c r="O1616">
        <v>20</v>
      </c>
      <c r="P1616">
        <v>3408</v>
      </c>
      <c r="Q1616" t="s">
        <v>1110</v>
      </c>
      <c r="R1616" t="s">
        <v>201</v>
      </c>
      <c r="S1616">
        <v>1</v>
      </c>
      <c r="T1616">
        <v>1</v>
      </c>
      <c r="U1616">
        <v>141132</v>
      </c>
      <c r="V1616">
        <v>141132</v>
      </c>
    </row>
    <row r="1617" spans="1:22">
      <c r="A1617" t="s">
        <v>196</v>
      </c>
      <c r="B1617">
        <v>41</v>
      </c>
      <c r="C1617" t="s">
        <v>1097</v>
      </c>
      <c r="D1617">
        <v>100</v>
      </c>
      <c r="E1617" t="s">
        <v>197</v>
      </c>
      <c r="F1617">
        <v>1005</v>
      </c>
      <c r="G1617" t="s">
        <v>111</v>
      </c>
      <c r="H1617">
        <v>2030</v>
      </c>
      <c r="I1617" t="s">
        <v>110</v>
      </c>
      <c r="J1617">
        <v>3142</v>
      </c>
      <c r="K1617" t="s">
        <v>1108</v>
      </c>
      <c r="L1617">
        <v>0</v>
      </c>
      <c r="N1617" t="s">
        <v>245</v>
      </c>
      <c r="O1617">
        <v>20</v>
      </c>
      <c r="P1617">
        <v>3408</v>
      </c>
      <c r="Q1617" t="s">
        <v>1110</v>
      </c>
      <c r="R1617" t="s">
        <v>201</v>
      </c>
      <c r="S1617">
        <v>1</v>
      </c>
      <c r="T1617">
        <v>1</v>
      </c>
      <c r="U1617">
        <v>115992</v>
      </c>
      <c r="V1617">
        <v>115992</v>
      </c>
    </row>
    <row r="1618" spans="1:22">
      <c r="A1618" t="s">
        <v>196</v>
      </c>
      <c r="B1618">
        <v>41</v>
      </c>
      <c r="C1618" t="s">
        <v>1097</v>
      </c>
      <c r="D1618">
        <v>100</v>
      </c>
      <c r="E1618" t="s">
        <v>197</v>
      </c>
      <c r="F1618">
        <v>1005</v>
      </c>
      <c r="G1618" t="s">
        <v>111</v>
      </c>
      <c r="H1618">
        <v>2030</v>
      </c>
      <c r="I1618" t="s">
        <v>110</v>
      </c>
      <c r="J1618">
        <v>3142</v>
      </c>
      <c r="K1618" t="s">
        <v>1108</v>
      </c>
      <c r="L1618">
        <v>0</v>
      </c>
      <c r="N1618" t="s">
        <v>333</v>
      </c>
      <c r="O1618">
        <v>4</v>
      </c>
      <c r="P1618">
        <v>3407</v>
      </c>
      <c r="Q1618" t="s">
        <v>1111</v>
      </c>
      <c r="R1618" t="s">
        <v>201</v>
      </c>
      <c r="S1618">
        <v>1</v>
      </c>
      <c r="T1618">
        <v>1</v>
      </c>
      <c r="U1618">
        <v>109140</v>
      </c>
      <c r="V1618">
        <v>109140</v>
      </c>
    </row>
    <row r="1619" spans="1:22">
      <c r="A1619" t="s">
        <v>196</v>
      </c>
      <c r="B1619">
        <v>41</v>
      </c>
      <c r="C1619" t="s">
        <v>1097</v>
      </c>
      <c r="D1619">
        <v>100</v>
      </c>
      <c r="E1619" t="s">
        <v>197</v>
      </c>
      <c r="F1619">
        <v>1005</v>
      </c>
      <c r="G1619" t="s">
        <v>111</v>
      </c>
      <c r="H1619">
        <v>2030</v>
      </c>
      <c r="I1619" t="s">
        <v>110</v>
      </c>
      <c r="J1619">
        <v>3142</v>
      </c>
      <c r="K1619" t="s">
        <v>1108</v>
      </c>
      <c r="L1619">
        <v>0</v>
      </c>
      <c r="N1619" t="s">
        <v>274</v>
      </c>
      <c r="O1619">
        <v>0</v>
      </c>
      <c r="P1619">
        <v>3402</v>
      </c>
      <c r="Q1619" t="s">
        <v>1112</v>
      </c>
      <c r="R1619" t="s">
        <v>201</v>
      </c>
      <c r="S1619">
        <v>1</v>
      </c>
      <c r="T1619">
        <v>1</v>
      </c>
      <c r="U1619">
        <v>158508</v>
      </c>
      <c r="V1619">
        <v>158508</v>
      </c>
    </row>
    <row r="1620" spans="1:22">
      <c r="A1620" t="s">
        <v>196</v>
      </c>
      <c r="B1620">
        <v>41</v>
      </c>
      <c r="C1620" t="s">
        <v>1097</v>
      </c>
      <c r="D1620">
        <v>100</v>
      </c>
      <c r="E1620" t="s">
        <v>197</v>
      </c>
      <c r="F1620">
        <v>1005</v>
      </c>
      <c r="G1620" t="s">
        <v>111</v>
      </c>
      <c r="H1620">
        <v>2030</v>
      </c>
      <c r="I1620" t="s">
        <v>110</v>
      </c>
      <c r="J1620">
        <v>3142</v>
      </c>
      <c r="K1620" t="s">
        <v>1108</v>
      </c>
      <c r="L1620">
        <v>0</v>
      </c>
      <c r="N1620" t="s">
        <v>199</v>
      </c>
      <c r="O1620">
        <v>0</v>
      </c>
      <c r="P1620">
        <v>15</v>
      </c>
      <c r="Q1620" t="s">
        <v>264</v>
      </c>
      <c r="R1620" t="s">
        <v>201</v>
      </c>
      <c r="S1620">
        <v>0</v>
      </c>
      <c r="T1620">
        <v>0</v>
      </c>
      <c r="U1620">
        <v>11328</v>
      </c>
      <c r="V1620">
        <v>11328</v>
      </c>
    </row>
    <row r="1621" spans="1:22">
      <c r="A1621" t="s">
        <v>196</v>
      </c>
      <c r="B1621">
        <v>41</v>
      </c>
      <c r="C1621" t="s">
        <v>1097</v>
      </c>
      <c r="D1621">
        <v>100</v>
      </c>
      <c r="E1621" t="s">
        <v>197</v>
      </c>
      <c r="F1621">
        <v>1005</v>
      </c>
      <c r="G1621" t="s">
        <v>111</v>
      </c>
      <c r="H1621">
        <v>2030</v>
      </c>
      <c r="I1621" t="s">
        <v>110</v>
      </c>
      <c r="J1621">
        <v>3144</v>
      </c>
      <c r="K1621" t="s">
        <v>1113</v>
      </c>
      <c r="L1621">
        <v>0</v>
      </c>
      <c r="N1621" t="s">
        <v>688</v>
      </c>
      <c r="O1621">
        <v>4</v>
      </c>
      <c r="P1621">
        <v>684</v>
      </c>
      <c r="Q1621" t="s">
        <v>1114</v>
      </c>
      <c r="R1621" t="s">
        <v>201</v>
      </c>
      <c r="S1621">
        <v>1</v>
      </c>
      <c r="T1621">
        <v>1</v>
      </c>
      <c r="U1621">
        <v>81636</v>
      </c>
      <c r="V1621">
        <v>81636</v>
      </c>
    </row>
    <row r="1622" spans="1:22">
      <c r="A1622" t="s">
        <v>196</v>
      </c>
      <c r="B1622">
        <v>41</v>
      </c>
      <c r="C1622" t="s">
        <v>1097</v>
      </c>
      <c r="D1622">
        <v>100</v>
      </c>
      <c r="E1622" t="s">
        <v>197</v>
      </c>
      <c r="F1622">
        <v>1005</v>
      </c>
      <c r="G1622" t="s">
        <v>111</v>
      </c>
      <c r="H1622">
        <v>2030</v>
      </c>
      <c r="I1622" t="s">
        <v>110</v>
      </c>
      <c r="J1622">
        <v>3144</v>
      </c>
      <c r="K1622" t="s">
        <v>1113</v>
      </c>
      <c r="L1622">
        <v>0</v>
      </c>
      <c r="N1622" t="s">
        <v>602</v>
      </c>
      <c r="O1622">
        <v>4</v>
      </c>
      <c r="P1622">
        <v>635</v>
      </c>
      <c r="Q1622" t="s">
        <v>645</v>
      </c>
      <c r="R1622" t="s">
        <v>201</v>
      </c>
      <c r="S1622">
        <v>1</v>
      </c>
      <c r="T1622">
        <v>1</v>
      </c>
      <c r="U1622">
        <v>99408</v>
      </c>
      <c r="V1622">
        <v>99408</v>
      </c>
    </row>
    <row r="1623" spans="1:22">
      <c r="A1623" t="s">
        <v>196</v>
      </c>
      <c r="B1623">
        <v>41</v>
      </c>
      <c r="C1623" t="s">
        <v>1097</v>
      </c>
      <c r="D1623">
        <v>100</v>
      </c>
      <c r="E1623" t="s">
        <v>197</v>
      </c>
      <c r="F1623">
        <v>1005</v>
      </c>
      <c r="G1623" t="s">
        <v>111</v>
      </c>
      <c r="H1623">
        <v>2030</v>
      </c>
      <c r="I1623" t="s">
        <v>110</v>
      </c>
      <c r="J1623">
        <v>3144</v>
      </c>
      <c r="K1623" t="s">
        <v>1113</v>
      </c>
      <c r="L1623">
        <v>0</v>
      </c>
      <c r="N1623" t="s">
        <v>274</v>
      </c>
      <c r="O1623">
        <v>0</v>
      </c>
      <c r="P1623">
        <v>601</v>
      </c>
      <c r="Q1623" t="s">
        <v>790</v>
      </c>
      <c r="R1623" t="s">
        <v>201</v>
      </c>
      <c r="S1623">
        <v>1</v>
      </c>
      <c r="T1623">
        <v>1</v>
      </c>
      <c r="U1623">
        <v>121668</v>
      </c>
      <c r="V1623">
        <v>121668</v>
      </c>
    </row>
    <row r="1624" spans="1:22">
      <c r="A1624" t="s">
        <v>196</v>
      </c>
      <c r="B1624">
        <v>41</v>
      </c>
      <c r="C1624" t="s">
        <v>1097</v>
      </c>
      <c r="D1624">
        <v>100</v>
      </c>
      <c r="E1624" t="s">
        <v>197</v>
      </c>
      <c r="F1624">
        <v>1005</v>
      </c>
      <c r="G1624" t="s">
        <v>111</v>
      </c>
      <c r="H1624">
        <v>2030</v>
      </c>
      <c r="I1624" t="s">
        <v>110</v>
      </c>
      <c r="J1624">
        <v>3144</v>
      </c>
      <c r="K1624" t="s">
        <v>1113</v>
      </c>
      <c r="L1624">
        <v>0</v>
      </c>
      <c r="N1624" t="s">
        <v>249</v>
      </c>
      <c r="O1624">
        <v>10</v>
      </c>
      <c r="P1624">
        <v>310</v>
      </c>
      <c r="Q1624" t="s">
        <v>447</v>
      </c>
      <c r="R1624" t="s">
        <v>201</v>
      </c>
      <c r="S1624">
        <v>1</v>
      </c>
      <c r="T1624">
        <v>1</v>
      </c>
      <c r="U1624">
        <v>143232</v>
      </c>
      <c r="V1624">
        <v>143232</v>
      </c>
    </row>
    <row r="1625" spans="1:22">
      <c r="A1625" t="s">
        <v>196</v>
      </c>
      <c r="B1625">
        <v>41</v>
      </c>
      <c r="C1625" t="s">
        <v>1097</v>
      </c>
      <c r="D1625">
        <v>100</v>
      </c>
      <c r="E1625" t="s">
        <v>197</v>
      </c>
      <c r="F1625">
        <v>1005</v>
      </c>
      <c r="G1625" t="s">
        <v>111</v>
      </c>
      <c r="H1625">
        <v>2035</v>
      </c>
      <c r="I1625" t="s">
        <v>103</v>
      </c>
      <c r="J1625">
        <v>3146</v>
      </c>
      <c r="K1625" t="s">
        <v>1098</v>
      </c>
      <c r="L1625">
        <v>0</v>
      </c>
      <c r="N1625" t="s">
        <v>266</v>
      </c>
      <c r="O1625">
        <v>9</v>
      </c>
      <c r="P1625">
        <v>9679</v>
      </c>
      <c r="Q1625" t="s">
        <v>338</v>
      </c>
      <c r="R1625" t="s">
        <v>201</v>
      </c>
      <c r="S1625">
        <v>1</v>
      </c>
      <c r="T1625">
        <v>1</v>
      </c>
      <c r="U1625">
        <v>175512</v>
      </c>
      <c r="V1625">
        <v>175512</v>
      </c>
    </row>
    <row r="1626" spans="1:22">
      <c r="A1626" t="s">
        <v>196</v>
      </c>
      <c r="B1626">
        <v>41</v>
      </c>
      <c r="C1626" t="s">
        <v>1097</v>
      </c>
      <c r="D1626">
        <v>100</v>
      </c>
      <c r="E1626" t="s">
        <v>197</v>
      </c>
      <c r="F1626">
        <v>1005</v>
      </c>
      <c r="G1626" t="s">
        <v>111</v>
      </c>
      <c r="H1626">
        <v>2035</v>
      </c>
      <c r="I1626" t="s">
        <v>103</v>
      </c>
      <c r="J1626">
        <v>3146</v>
      </c>
      <c r="K1626" t="s">
        <v>1098</v>
      </c>
      <c r="L1626">
        <v>0</v>
      </c>
      <c r="N1626" t="s">
        <v>341</v>
      </c>
      <c r="O1626">
        <v>1</v>
      </c>
      <c r="P1626">
        <v>308</v>
      </c>
      <c r="Q1626" t="s">
        <v>355</v>
      </c>
      <c r="R1626" t="s">
        <v>201</v>
      </c>
      <c r="S1626">
        <v>1</v>
      </c>
      <c r="T1626">
        <v>1</v>
      </c>
      <c r="U1626">
        <v>68616</v>
      </c>
      <c r="V1626">
        <v>68616</v>
      </c>
    </row>
    <row r="1627" spans="1:22">
      <c r="A1627" t="s">
        <v>196</v>
      </c>
      <c r="B1627">
        <v>41</v>
      </c>
      <c r="C1627" t="s">
        <v>1097</v>
      </c>
      <c r="D1627">
        <v>100</v>
      </c>
      <c r="E1627" t="s">
        <v>197</v>
      </c>
      <c r="F1627">
        <v>1005</v>
      </c>
      <c r="G1627" t="s">
        <v>111</v>
      </c>
      <c r="H1627">
        <v>2035</v>
      </c>
      <c r="I1627" t="s">
        <v>103</v>
      </c>
      <c r="J1627">
        <v>3146</v>
      </c>
      <c r="K1627" t="s">
        <v>1098</v>
      </c>
      <c r="L1627">
        <v>0</v>
      </c>
      <c r="N1627" t="s">
        <v>199</v>
      </c>
      <c r="O1627">
        <v>0</v>
      </c>
      <c r="P1627">
        <v>15</v>
      </c>
      <c r="Q1627" t="s">
        <v>264</v>
      </c>
      <c r="R1627" t="s">
        <v>201</v>
      </c>
      <c r="S1627">
        <v>0</v>
      </c>
      <c r="T1627">
        <v>0</v>
      </c>
      <c r="U1627">
        <v>3409</v>
      </c>
      <c r="V1627">
        <v>3409</v>
      </c>
    </row>
    <row r="1628" spans="1:22">
      <c r="A1628" t="s">
        <v>196</v>
      </c>
      <c r="B1628">
        <v>41</v>
      </c>
      <c r="C1628" t="s">
        <v>1097</v>
      </c>
      <c r="D1628">
        <v>100</v>
      </c>
      <c r="E1628" t="s">
        <v>197</v>
      </c>
      <c r="F1628">
        <v>1005</v>
      </c>
      <c r="G1628" t="s">
        <v>111</v>
      </c>
      <c r="H1628">
        <v>2035</v>
      </c>
      <c r="I1628" t="s">
        <v>103</v>
      </c>
      <c r="J1628">
        <v>3148</v>
      </c>
      <c r="K1628" t="s">
        <v>1115</v>
      </c>
      <c r="L1628">
        <v>0</v>
      </c>
      <c r="N1628" t="s">
        <v>392</v>
      </c>
      <c r="O1628">
        <v>4</v>
      </c>
      <c r="P1628">
        <v>3467</v>
      </c>
      <c r="Q1628" t="s">
        <v>1116</v>
      </c>
      <c r="R1628" t="s">
        <v>201</v>
      </c>
      <c r="S1628">
        <v>1</v>
      </c>
      <c r="T1628">
        <v>1</v>
      </c>
      <c r="U1628">
        <v>130668</v>
      </c>
      <c r="V1628">
        <v>130668</v>
      </c>
    </row>
    <row r="1629" spans="1:22">
      <c r="A1629" t="s">
        <v>196</v>
      </c>
      <c r="B1629">
        <v>41</v>
      </c>
      <c r="C1629" t="s">
        <v>1097</v>
      </c>
      <c r="D1629">
        <v>100</v>
      </c>
      <c r="E1629" t="s">
        <v>197</v>
      </c>
      <c r="F1629">
        <v>1005</v>
      </c>
      <c r="G1629" t="s">
        <v>111</v>
      </c>
      <c r="H1629">
        <v>2035</v>
      </c>
      <c r="I1629" t="s">
        <v>103</v>
      </c>
      <c r="J1629">
        <v>3148</v>
      </c>
      <c r="K1629" t="s">
        <v>1115</v>
      </c>
      <c r="L1629">
        <v>0</v>
      </c>
      <c r="N1629" t="s">
        <v>622</v>
      </c>
      <c r="O1629">
        <v>3</v>
      </c>
      <c r="P1629">
        <v>3213</v>
      </c>
      <c r="Q1629" t="s">
        <v>1117</v>
      </c>
      <c r="R1629" t="s">
        <v>201</v>
      </c>
      <c r="S1629">
        <v>1</v>
      </c>
      <c r="T1629">
        <v>1</v>
      </c>
      <c r="U1629">
        <v>51936</v>
      </c>
      <c r="V1629">
        <v>51936</v>
      </c>
    </row>
    <row r="1630" spans="1:22">
      <c r="A1630" t="s">
        <v>196</v>
      </c>
      <c r="B1630">
        <v>41</v>
      </c>
      <c r="C1630" t="s">
        <v>1097</v>
      </c>
      <c r="D1630">
        <v>100</v>
      </c>
      <c r="E1630" t="s">
        <v>197</v>
      </c>
      <c r="F1630">
        <v>1005</v>
      </c>
      <c r="G1630" t="s">
        <v>111</v>
      </c>
      <c r="H1630">
        <v>2035</v>
      </c>
      <c r="I1630" t="s">
        <v>103</v>
      </c>
      <c r="J1630">
        <v>3148</v>
      </c>
      <c r="K1630" t="s">
        <v>1115</v>
      </c>
      <c r="L1630">
        <v>0</v>
      </c>
      <c r="N1630" t="s">
        <v>199</v>
      </c>
      <c r="O1630">
        <v>0</v>
      </c>
      <c r="P1630">
        <v>15</v>
      </c>
      <c r="Q1630" t="s">
        <v>264</v>
      </c>
      <c r="R1630" t="s">
        <v>201</v>
      </c>
      <c r="S1630">
        <v>0</v>
      </c>
      <c r="T1630">
        <v>0</v>
      </c>
      <c r="U1630">
        <v>1263</v>
      </c>
      <c r="V1630">
        <v>1263</v>
      </c>
    </row>
    <row r="1631" spans="1:22">
      <c r="A1631" t="s">
        <v>196</v>
      </c>
      <c r="B1631">
        <v>41</v>
      </c>
      <c r="C1631" t="s">
        <v>1097</v>
      </c>
      <c r="D1631">
        <v>100</v>
      </c>
      <c r="E1631" t="s">
        <v>197</v>
      </c>
      <c r="F1631">
        <v>1005</v>
      </c>
      <c r="G1631" t="s">
        <v>111</v>
      </c>
      <c r="H1631">
        <v>2035</v>
      </c>
      <c r="I1631" t="s">
        <v>103</v>
      </c>
      <c r="J1631">
        <v>3150</v>
      </c>
      <c r="K1631" t="s">
        <v>1118</v>
      </c>
      <c r="L1631">
        <v>0</v>
      </c>
      <c r="N1631" t="s">
        <v>392</v>
      </c>
      <c r="O1631">
        <v>4</v>
      </c>
      <c r="P1631">
        <v>3467</v>
      </c>
      <c r="Q1631" t="s">
        <v>1116</v>
      </c>
      <c r="R1631" t="s">
        <v>201</v>
      </c>
      <c r="S1631">
        <v>1</v>
      </c>
      <c r="T1631">
        <v>1</v>
      </c>
      <c r="U1631">
        <v>150240</v>
      </c>
      <c r="V1631">
        <v>150240</v>
      </c>
    </row>
    <row r="1632" spans="1:22">
      <c r="A1632" t="s">
        <v>196</v>
      </c>
      <c r="B1632">
        <v>41</v>
      </c>
      <c r="C1632" t="s">
        <v>1097</v>
      </c>
      <c r="D1632">
        <v>100</v>
      </c>
      <c r="E1632" t="s">
        <v>197</v>
      </c>
      <c r="F1632">
        <v>1005</v>
      </c>
      <c r="G1632" t="s">
        <v>111</v>
      </c>
      <c r="H1632">
        <v>2035</v>
      </c>
      <c r="I1632" t="s">
        <v>103</v>
      </c>
      <c r="J1632">
        <v>3150</v>
      </c>
      <c r="K1632" t="s">
        <v>1118</v>
      </c>
      <c r="L1632">
        <v>0</v>
      </c>
      <c r="N1632" t="s">
        <v>392</v>
      </c>
      <c r="O1632">
        <v>4</v>
      </c>
      <c r="P1632">
        <v>3467</v>
      </c>
      <c r="Q1632" t="s">
        <v>1116</v>
      </c>
      <c r="R1632" t="s">
        <v>201</v>
      </c>
      <c r="S1632">
        <v>1</v>
      </c>
      <c r="T1632">
        <v>1</v>
      </c>
      <c r="U1632">
        <v>90732</v>
      </c>
      <c r="V1632">
        <v>90732</v>
      </c>
    </row>
    <row r="1633" spans="1:22">
      <c r="A1633" t="s">
        <v>196</v>
      </c>
      <c r="B1633">
        <v>41</v>
      </c>
      <c r="C1633" t="s">
        <v>1097</v>
      </c>
      <c r="D1633">
        <v>100</v>
      </c>
      <c r="E1633" t="s">
        <v>197</v>
      </c>
      <c r="F1633">
        <v>1005</v>
      </c>
      <c r="G1633" t="s">
        <v>111</v>
      </c>
      <c r="H1633">
        <v>2035</v>
      </c>
      <c r="I1633" t="s">
        <v>103</v>
      </c>
      <c r="J1633">
        <v>3150</v>
      </c>
      <c r="K1633" t="s">
        <v>1118</v>
      </c>
      <c r="L1633">
        <v>0</v>
      </c>
      <c r="N1633" t="s">
        <v>311</v>
      </c>
      <c r="O1633">
        <v>9</v>
      </c>
      <c r="P1633">
        <v>3348</v>
      </c>
      <c r="Q1633" t="s">
        <v>1119</v>
      </c>
      <c r="R1633" t="s">
        <v>201</v>
      </c>
      <c r="S1633">
        <v>1</v>
      </c>
      <c r="T1633">
        <v>1</v>
      </c>
      <c r="U1633">
        <v>199800</v>
      </c>
      <c r="V1633">
        <v>199800</v>
      </c>
    </row>
    <row r="1634" spans="1:22">
      <c r="A1634" t="s">
        <v>196</v>
      </c>
      <c r="B1634">
        <v>41</v>
      </c>
      <c r="C1634" t="s">
        <v>1097</v>
      </c>
      <c r="D1634">
        <v>100</v>
      </c>
      <c r="E1634" t="s">
        <v>197</v>
      </c>
      <c r="F1634">
        <v>1005</v>
      </c>
      <c r="G1634" t="s">
        <v>111</v>
      </c>
      <c r="H1634">
        <v>2035</v>
      </c>
      <c r="I1634" t="s">
        <v>103</v>
      </c>
      <c r="J1634">
        <v>3150</v>
      </c>
      <c r="K1634" t="s">
        <v>1118</v>
      </c>
      <c r="L1634">
        <v>0</v>
      </c>
      <c r="N1634" t="s">
        <v>372</v>
      </c>
      <c r="O1634">
        <v>3</v>
      </c>
      <c r="P1634">
        <v>3210</v>
      </c>
      <c r="Q1634" t="s">
        <v>1120</v>
      </c>
      <c r="R1634" t="s">
        <v>201</v>
      </c>
      <c r="S1634">
        <v>1</v>
      </c>
      <c r="T1634">
        <v>1</v>
      </c>
      <c r="U1634">
        <v>81324</v>
      </c>
      <c r="V1634">
        <v>81324</v>
      </c>
    </row>
    <row r="1635" spans="1:22">
      <c r="A1635" t="s">
        <v>196</v>
      </c>
      <c r="B1635">
        <v>41</v>
      </c>
      <c r="C1635" t="s">
        <v>1097</v>
      </c>
      <c r="D1635">
        <v>100</v>
      </c>
      <c r="E1635" t="s">
        <v>197</v>
      </c>
      <c r="F1635">
        <v>1005</v>
      </c>
      <c r="G1635" t="s">
        <v>111</v>
      </c>
      <c r="H1635">
        <v>2035</v>
      </c>
      <c r="I1635" t="s">
        <v>103</v>
      </c>
      <c r="J1635">
        <v>3150</v>
      </c>
      <c r="K1635" t="s">
        <v>1118</v>
      </c>
      <c r="L1635">
        <v>0</v>
      </c>
      <c r="N1635" t="s">
        <v>249</v>
      </c>
      <c r="O1635">
        <v>10</v>
      </c>
      <c r="P1635">
        <v>3092</v>
      </c>
      <c r="Q1635" t="s">
        <v>750</v>
      </c>
      <c r="R1635" t="s">
        <v>201</v>
      </c>
      <c r="S1635">
        <v>1</v>
      </c>
      <c r="T1635">
        <v>1</v>
      </c>
      <c r="U1635">
        <v>102444</v>
      </c>
      <c r="V1635">
        <v>102444</v>
      </c>
    </row>
    <row r="1636" spans="1:22">
      <c r="A1636" t="s">
        <v>196</v>
      </c>
      <c r="B1636">
        <v>41</v>
      </c>
      <c r="C1636" t="s">
        <v>1097</v>
      </c>
      <c r="D1636">
        <v>100</v>
      </c>
      <c r="E1636" t="s">
        <v>197</v>
      </c>
      <c r="F1636">
        <v>1005</v>
      </c>
      <c r="G1636" t="s">
        <v>111</v>
      </c>
      <c r="H1636">
        <v>2035</v>
      </c>
      <c r="I1636" t="s">
        <v>103</v>
      </c>
      <c r="J1636">
        <v>3150</v>
      </c>
      <c r="K1636" t="s">
        <v>1118</v>
      </c>
      <c r="L1636">
        <v>0</v>
      </c>
      <c r="N1636" t="s">
        <v>249</v>
      </c>
      <c r="O1636">
        <v>10</v>
      </c>
      <c r="P1636">
        <v>3092</v>
      </c>
      <c r="Q1636" t="s">
        <v>750</v>
      </c>
      <c r="R1636" t="s">
        <v>201</v>
      </c>
      <c r="S1636">
        <v>1</v>
      </c>
      <c r="T1636">
        <v>1</v>
      </c>
      <c r="U1636">
        <v>93384</v>
      </c>
      <c r="V1636">
        <v>93384</v>
      </c>
    </row>
    <row r="1637" spans="1:22">
      <c r="A1637" t="s">
        <v>196</v>
      </c>
      <c r="B1637">
        <v>41</v>
      </c>
      <c r="C1637" t="s">
        <v>1097</v>
      </c>
      <c r="D1637">
        <v>100</v>
      </c>
      <c r="E1637" t="s">
        <v>197</v>
      </c>
      <c r="F1637">
        <v>1005</v>
      </c>
      <c r="G1637" t="s">
        <v>111</v>
      </c>
      <c r="H1637">
        <v>2035</v>
      </c>
      <c r="I1637" t="s">
        <v>103</v>
      </c>
      <c r="J1637">
        <v>3150</v>
      </c>
      <c r="K1637" t="s">
        <v>1118</v>
      </c>
      <c r="L1637">
        <v>0</v>
      </c>
      <c r="N1637" t="s">
        <v>274</v>
      </c>
      <c r="O1637">
        <v>20</v>
      </c>
      <c r="P1637">
        <v>3057</v>
      </c>
      <c r="Q1637" t="s">
        <v>1121</v>
      </c>
      <c r="R1637" t="s">
        <v>201</v>
      </c>
      <c r="S1637">
        <v>1</v>
      </c>
      <c r="T1637">
        <v>1</v>
      </c>
      <c r="U1637">
        <v>121668</v>
      </c>
      <c r="V1637">
        <v>121668</v>
      </c>
    </row>
    <row r="1638" spans="1:22">
      <c r="A1638" t="s">
        <v>196</v>
      </c>
      <c r="B1638">
        <v>41</v>
      </c>
      <c r="C1638" t="s">
        <v>1097</v>
      </c>
      <c r="D1638">
        <v>100</v>
      </c>
      <c r="E1638" t="s">
        <v>197</v>
      </c>
      <c r="F1638">
        <v>1005</v>
      </c>
      <c r="G1638" t="s">
        <v>111</v>
      </c>
      <c r="H1638">
        <v>2035</v>
      </c>
      <c r="I1638" t="s">
        <v>103</v>
      </c>
      <c r="J1638">
        <v>3150</v>
      </c>
      <c r="K1638" t="s">
        <v>1118</v>
      </c>
      <c r="L1638">
        <v>0</v>
      </c>
      <c r="N1638" t="s">
        <v>372</v>
      </c>
      <c r="O1638">
        <v>4</v>
      </c>
      <c r="P1638">
        <v>1912</v>
      </c>
      <c r="Q1638" t="s">
        <v>608</v>
      </c>
      <c r="R1638" t="s">
        <v>201</v>
      </c>
      <c r="S1638">
        <v>1</v>
      </c>
      <c r="T1638">
        <v>1</v>
      </c>
      <c r="U1638">
        <v>81324</v>
      </c>
      <c r="V1638">
        <v>81324</v>
      </c>
    </row>
    <row r="1639" spans="1:22">
      <c r="A1639" t="s">
        <v>196</v>
      </c>
      <c r="B1639">
        <v>41</v>
      </c>
      <c r="C1639" t="s">
        <v>1097</v>
      </c>
      <c r="D1639">
        <v>100</v>
      </c>
      <c r="E1639" t="s">
        <v>197</v>
      </c>
      <c r="F1639">
        <v>1005</v>
      </c>
      <c r="G1639" t="s">
        <v>111</v>
      </c>
      <c r="H1639">
        <v>2035</v>
      </c>
      <c r="I1639" t="s">
        <v>103</v>
      </c>
      <c r="J1639">
        <v>3150</v>
      </c>
      <c r="K1639" t="s">
        <v>1118</v>
      </c>
      <c r="L1639">
        <v>0</v>
      </c>
      <c r="N1639" t="s">
        <v>297</v>
      </c>
      <c r="O1639">
        <v>20</v>
      </c>
      <c r="P1639">
        <v>1441</v>
      </c>
      <c r="Q1639" t="s">
        <v>1122</v>
      </c>
      <c r="R1639" t="s">
        <v>201</v>
      </c>
      <c r="S1639">
        <v>1</v>
      </c>
      <c r="T1639">
        <v>1</v>
      </c>
      <c r="U1639">
        <v>97332</v>
      </c>
      <c r="V1639">
        <v>97332</v>
      </c>
    </row>
    <row r="1640" spans="1:22">
      <c r="A1640" t="s">
        <v>196</v>
      </c>
      <c r="B1640">
        <v>41</v>
      </c>
      <c r="C1640" t="s">
        <v>1097</v>
      </c>
      <c r="D1640">
        <v>100</v>
      </c>
      <c r="E1640" t="s">
        <v>197</v>
      </c>
      <c r="F1640">
        <v>1005</v>
      </c>
      <c r="G1640" t="s">
        <v>111</v>
      </c>
      <c r="H1640">
        <v>2035</v>
      </c>
      <c r="I1640" t="s">
        <v>103</v>
      </c>
      <c r="J1640">
        <v>3150</v>
      </c>
      <c r="K1640" t="s">
        <v>1118</v>
      </c>
      <c r="L1640">
        <v>0</v>
      </c>
      <c r="N1640" t="s">
        <v>249</v>
      </c>
      <c r="O1640">
        <v>10</v>
      </c>
      <c r="P1640">
        <v>311</v>
      </c>
      <c r="Q1640" t="s">
        <v>661</v>
      </c>
      <c r="R1640" t="s">
        <v>201</v>
      </c>
      <c r="S1640">
        <v>1</v>
      </c>
      <c r="T1640">
        <v>1</v>
      </c>
      <c r="U1640">
        <v>113568</v>
      </c>
      <c r="V1640">
        <v>113568</v>
      </c>
    </row>
    <row r="1641" spans="1:22">
      <c r="A1641" t="s">
        <v>196</v>
      </c>
      <c r="B1641">
        <v>41</v>
      </c>
      <c r="C1641" t="s">
        <v>1097</v>
      </c>
      <c r="D1641">
        <v>100</v>
      </c>
      <c r="E1641" t="s">
        <v>197</v>
      </c>
      <c r="F1641">
        <v>1005</v>
      </c>
      <c r="G1641" t="s">
        <v>111</v>
      </c>
      <c r="H1641">
        <v>2035</v>
      </c>
      <c r="I1641" t="s">
        <v>103</v>
      </c>
      <c r="J1641">
        <v>3150</v>
      </c>
      <c r="K1641" t="s">
        <v>1118</v>
      </c>
      <c r="L1641">
        <v>0</v>
      </c>
      <c r="N1641" t="s">
        <v>199</v>
      </c>
      <c r="O1641">
        <v>0</v>
      </c>
      <c r="P1641">
        <v>15</v>
      </c>
      <c r="Q1641" t="s">
        <v>264</v>
      </c>
      <c r="R1641" t="s">
        <v>201</v>
      </c>
      <c r="S1641">
        <v>0</v>
      </c>
      <c r="T1641">
        <v>0</v>
      </c>
      <c r="U1641">
        <v>12511</v>
      </c>
      <c r="V1641">
        <v>12511</v>
      </c>
    </row>
    <row r="1642" spans="1:22">
      <c r="A1642" t="s">
        <v>196</v>
      </c>
      <c r="B1642">
        <v>41</v>
      </c>
      <c r="C1642" t="s">
        <v>1097</v>
      </c>
      <c r="D1642">
        <v>100</v>
      </c>
      <c r="E1642" t="s">
        <v>197</v>
      </c>
      <c r="F1642">
        <v>1005</v>
      </c>
      <c r="G1642" t="s">
        <v>111</v>
      </c>
      <c r="H1642">
        <v>2035</v>
      </c>
      <c r="I1642" t="s">
        <v>103</v>
      </c>
      <c r="J1642">
        <v>3152</v>
      </c>
      <c r="K1642" t="s">
        <v>1123</v>
      </c>
      <c r="L1642">
        <v>0</v>
      </c>
      <c r="N1642" t="s">
        <v>1124</v>
      </c>
      <c r="O1642">
        <v>37</v>
      </c>
      <c r="P1642">
        <v>3752</v>
      </c>
      <c r="Q1642" t="s">
        <v>1125</v>
      </c>
      <c r="R1642" t="s">
        <v>201</v>
      </c>
      <c r="S1642">
        <v>1</v>
      </c>
      <c r="T1642">
        <v>1</v>
      </c>
      <c r="U1642">
        <v>137376</v>
      </c>
      <c r="V1642">
        <v>137376</v>
      </c>
    </row>
    <row r="1643" spans="1:22">
      <c r="A1643" t="s">
        <v>196</v>
      </c>
      <c r="B1643">
        <v>41</v>
      </c>
      <c r="C1643" t="s">
        <v>1097</v>
      </c>
      <c r="D1643">
        <v>100</v>
      </c>
      <c r="E1643" t="s">
        <v>197</v>
      </c>
      <c r="F1643">
        <v>1005</v>
      </c>
      <c r="G1643" t="s">
        <v>111</v>
      </c>
      <c r="H1643">
        <v>2035</v>
      </c>
      <c r="I1643" t="s">
        <v>103</v>
      </c>
      <c r="J1643">
        <v>3152</v>
      </c>
      <c r="K1643" t="s">
        <v>1123</v>
      </c>
      <c r="L1643">
        <v>0</v>
      </c>
      <c r="N1643" t="s">
        <v>1124</v>
      </c>
      <c r="O1643">
        <v>37</v>
      </c>
      <c r="P1643">
        <v>3752</v>
      </c>
      <c r="Q1643" t="s">
        <v>1125</v>
      </c>
      <c r="R1643" t="s">
        <v>201</v>
      </c>
      <c r="S1643">
        <v>1</v>
      </c>
      <c r="T1643">
        <v>1</v>
      </c>
      <c r="U1643">
        <v>101448</v>
      </c>
      <c r="V1643">
        <v>101448</v>
      </c>
    </row>
    <row r="1644" spans="1:22">
      <c r="A1644" t="s">
        <v>196</v>
      </c>
      <c r="B1644">
        <v>41</v>
      </c>
      <c r="C1644" t="s">
        <v>1097</v>
      </c>
      <c r="D1644">
        <v>100</v>
      </c>
      <c r="E1644" t="s">
        <v>197</v>
      </c>
      <c r="F1644">
        <v>1005</v>
      </c>
      <c r="G1644" t="s">
        <v>111</v>
      </c>
      <c r="H1644">
        <v>2035</v>
      </c>
      <c r="I1644" t="s">
        <v>103</v>
      </c>
      <c r="J1644">
        <v>3152</v>
      </c>
      <c r="K1644" t="s">
        <v>1123</v>
      </c>
      <c r="L1644">
        <v>0</v>
      </c>
      <c r="N1644" t="s">
        <v>1124</v>
      </c>
      <c r="O1644">
        <v>37</v>
      </c>
      <c r="P1644">
        <v>3752</v>
      </c>
      <c r="Q1644" t="s">
        <v>1125</v>
      </c>
      <c r="R1644" t="s">
        <v>201</v>
      </c>
      <c r="S1644">
        <v>1</v>
      </c>
      <c r="T1644">
        <v>1</v>
      </c>
      <c r="U1644">
        <v>87504</v>
      </c>
      <c r="V1644">
        <v>87504</v>
      </c>
    </row>
    <row r="1645" spans="1:22">
      <c r="A1645" t="s">
        <v>196</v>
      </c>
      <c r="B1645">
        <v>41</v>
      </c>
      <c r="C1645" t="s">
        <v>1097</v>
      </c>
      <c r="D1645">
        <v>100</v>
      </c>
      <c r="E1645" t="s">
        <v>197</v>
      </c>
      <c r="F1645">
        <v>1005</v>
      </c>
      <c r="G1645" t="s">
        <v>111</v>
      </c>
      <c r="H1645">
        <v>2035</v>
      </c>
      <c r="I1645" t="s">
        <v>103</v>
      </c>
      <c r="J1645">
        <v>3152</v>
      </c>
      <c r="K1645" t="s">
        <v>1123</v>
      </c>
      <c r="L1645">
        <v>0</v>
      </c>
      <c r="N1645" t="s">
        <v>249</v>
      </c>
      <c r="O1645">
        <v>10</v>
      </c>
      <c r="P1645">
        <v>3092</v>
      </c>
      <c r="Q1645" t="s">
        <v>750</v>
      </c>
      <c r="R1645" t="s">
        <v>201</v>
      </c>
      <c r="S1645">
        <v>1</v>
      </c>
      <c r="T1645">
        <v>1</v>
      </c>
      <c r="U1645">
        <v>113568</v>
      </c>
      <c r="V1645">
        <v>113568</v>
      </c>
    </row>
    <row r="1646" spans="1:22">
      <c r="A1646" t="s">
        <v>196</v>
      </c>
      <c r="B1646">
        <v>41</v>
      </c>
      <c r="C1646" t="s">
        <v>1097</v>
      </c>
      <c r="D1646">
        <v>100</v>
      </c>
      <c r="E1646" t="s">
        <v>197</v>
      </c>
      <c r="F1646">
        <v>1005</v>
      </c>
      <c r="G1646" t="s">
        <v>111</v>
      </c>
      <c r="H1646">
        <v>2035</v>
      </c>
      <c r="I1646" t="s">
        <v>103</v>
      </c>
      <c r="J1646">
        <v>3152</v>
      </c>
      <c r="K1646" t="s">
        <v>1123</v>
      </c>
      <c r="L1646">
        <v>0</v>
      </c>
      <c r="N1646" t="s">
        <v>199</v>
      </c>
      <c r="O1646">
        <v>0</v>
      </c>
      <c r="P1646">
        <v>15</v>
      </c>
      <c r="Q1646" t="s">
        <v>264</v>
      </c>
      <c r="R1646" t="s">
        <v>201</v>
      </c>
      <c r="S1646">
        <v>0</v>
      </c>
      <c r="T1646">
        <v>0</v>
      </c>
      <c r="U1646">
        <v>4198</v>
      </c>
      <c r="V1646">
        <v>4198</v>
      </c>
    </row>
    <row r="1647" spans="1:22">
      <c r="A1647" t="s">
        <v>196</v>
      </c>
      <c r="B1647">
        <v>41</v>
      </c>
      <c r="C1647" t="s">
        <v>1097</v>
      </c>
      <c r="D1647">
        <v>100</v>
      </c>
      <c r="E1647" t="s">
        <v>197</v>
      </c>
      <c r="F1647">
        <v>1005</v>
      </c>
      <c r="G1647" t="s">
        <v>111</v>
      </c>
      <c r="H1647">
        <v>2035</v>
      </c>
      <c r="I1647" t="s">
        <v>103</v>
      </c>
      <c r="J1647">
        <v>3154</v>
      </c>
      <c r="K1647" t="s">
        <v>1126</v>
      </c>
      <c r="L1647">
        <v>0</v>
      </c>
      <c r="N1647" t="s">
        <v>297</v>
      </c>
      <c r="O1647">
        <v>20</v>
      </c>
      <c r="P1647">
        <v>1441</v>
      </c>
      <c r="Q1647" t="s">
        <v>1122</v>
      </c>
      <c r="R1647" t="s">
        <v>201</v>
      </c>
      <c r="S1647">
        <v>1</v>
      </c>
      <c r="T1647">
        <v>1</v>
      </c>
      <c r="U1647">
        <v>130476</v>
      </c>
      <c r="V1647">
        <v>130476</v>
      </c>
    </row>
    <row r="1648" spans="1:22">
      <c r="A1648" t="s">
        <v>196</v>
      </c>
      <c r="B1648">
        <v>41</v>
      </c>
      <c r="C1648" t="s">
        <v>1097</v>
      </c>
      <c r="D1648">
        <v>100</v>
      </c>
      <c r="E1648" t="s">
        <v>197</v>
      </c>
      <c r="F1648">
        <v>1005</v>
      </c>
      <c r="G1648" t="s">
        <v>111</v>
      </c>
      <c r="H1648">
        <v>2035</v>
      </c>
      <c r="I1648" t="s">
        <v>103</v>
      </c>
      <c r="J1648">
        <v>3156</v>
      </c>
      <c r="K1648" t="s">
        <v>1127</v>
      </c>
      <c r="L1648">
        <v>0</v>
      </c>
      <c r="N1648" t="s">
        <v>251</v>
      </c>
      <c r="O1648">
        <v>10</v>
      </c>
      <c r="P1648">
        <v>3858</v>
      </c>
      <c r="Q1648" t="s">
        <v>1128</v>
      </c>
      <c r="R1648" t="s">
        <v>201</v>
      </c>
      <c r="S1648">
        <v>1</v>
      </c>
      <c r="T1648">
        <v>1</v>
      </c>
      <c r="U1648">
        <v>118956</v>
      </c>
      <c r="V1648">
        <v>118956</v>
      </c>
    </row>
    <row r="1649" spans="1:22">
      <c r="A1649" t="s">
        <v>196</v>
      </c>
      <c r="B1649">
        <v>41</v>
      </c>
      <c r="C1649" t="s">
        <v>1097</v>
      </c>
      <c r="D1649">
        <v>100</v>
      </c>
      <c r="E1649" t="s">
        <v>197</v>
      </c>
      <c r="F1649">
        <v>1005</v>
      </c>
      <c r="G1649" t="s">
        <v>111</v>
      </c>
      <c r="H1649">
        <v>2035</v>
      </c>
      <c r="I1649" t="s">
        <v>103</v>
      </c>
      <c r="J1649">
        <v>3156</v>
      </c>
      <c r="K1649" t="s">
        <v>1127</v>
      </c>
      <c r="L1649">
        <v>0</v>
      </c>
      <c r="N1649" t="s">
        <v>372</v>
      </c>
      <c r="O1649">
        <v>4</v>
      </c>
      <c r="P1649">
        <v>3466</v>
      </c>
      <c r="Q1649" t="s">
        <v>1129</v>
      </c>
      <c r="R1649" t="s">
        <v>201</v>
      </c>
      <c r="S1649">
        <v>1</v>
      </c>
      <c r="T1649">
        <v>1</v>
      </c>
      <c r="U1649">
        <v>119100</v>
      </c>
      <c r="V1649">
        <v>119100</v>
      </c>
    </row>
    <row r="1650" spans="1:22">
      <c r="A1650" t="s">
        <v>196</v>
      </c>
      <c r="B1650">
        <v>41</v>
      </c>
      <c r="C1650" t="s">
        <v>1097</v>
      </c>
      <c r="D1650">
        <v>100</v>
      </c>
      <c r="E1650" t="s">
        <v>197</v>
      </c>
      <c r="F1650">
        <v>1005</v>
      </c>
      <c r="G1650" t="s">
        <v>111</v>
      </c>
      <c r="H1650">
        <v>2035</v>
      </c>
      <c r="I1650" t="s">
        <v>103</v>
      </c>
      <c r="J1650">
        <v>3156</v>
      </c>
      <c r="K1650" t="s">
        <v>1127</v>
      </c>
      <c r="L1650">
        <v>0</v>
      </c>
      <c r="N1650" t="s">
        <v>360</v>
      </c>
      <c r="O1650">
        <v>3</v>
      </c>
      <c r="P1650">
        <v>3417</v>
      </c>
      <c r="Q1650" t="s">
        <v>1130</v>
      </c>
      <c r="R1650" t="s">
        <v>201</v>
      </c>
      <c r="S1650">
        <v>1</v>
      </c>
      <c r="T1650">
        <v>1</v>
      </c>
      <c r="U1650">
        <v>57000</v>
      </c>
      <c r="V1650">
        <v>57000</v>
      </c>
    </row>
    <row r="1651" spans="1:22">
      <c r="A1651" t="s">
        <v>196</v>
      </c>
      <c r="B1651">
        <v>41</v>
      </c>
      <c r="C1651" t="s">
        <v>1097</v>
      </c>
      <c r="D1651">
        <v>100</v>
      </c>
      <c r="E1651" t="s">
        <v>197</v>
      </c>
      <c r="F1651">
        <v>1005</v>
      </c>
      <c r="G1651" t="s">
        <v>111</v>
      </c>
      <c r="H1651">
        <v>2035</v>
      </c>
      <c r="I1651" t="s">
        <v>103</v>
      </c>
      <c r="J1651">
        <v>3156</v>
      </c>
      <c r="K1651" t="s">
        <v>1127</v>
      </c>
      <c r="L1651">
        <v>0</v>
      </c>
      <c r="N1651" t="s">
        <v>372</v>
      </c>
      <c r="O1651">
        <v>4</v>
      </c>
      <c r="P1651">
        <v>1912</v>
      </c>
      <c r="Q1651" t="s">
        <v>608</v>
      </c>
      <c r="R1651" t="s">
        <v>201</v>
      </c>
      <c r="S1651">
        <v>1</v>
      </c>
      <c r="T1651">
        <v>1</v>
      </c>
      <c r="U1651">
        <v>81324</v>
      </c>
      <c r="V1651">
        <v>81324</v>
      </c>
    </row>
    <row r="1652" spans="1:22">
      <c r="A1652" t="s">
        <v>196</v>
      </c>
      <c r="B1652">
        <v>41</v>
      </c>
      <c r="C1652" t="s">
        <v>1097</v>
      </c>
      <c r="D1652">
        <v>100</v>
      </c>
      <c r="E1652" t="s">
        <v>197</v>
      </c>
      <c r="F1652">
        <v>1005</v>
      </c>
      <c r="G1652" t="s">
        <v>111</v>
      </c>
      <c r="H1652">
        <v>2035</v>
      </c>
      <c r="I1652" t="s">
        <v>103</v>
      </c>
      <c r="J1652">
        <v>3156</v>
      </c>
      <c r="K1652" t="s">
        <v>1127</v>
      </c>
      <c r="L1652">
        <v>0</v>
      </c>
      <c r="N1652" t="s">
        <v>297</v>
      </c>
      <c r="O1652">
        <v>20</v>
      </c>
      <c r="P1652">
        <v>1441</v>
      </c>
      <c r="Q1652" t="s">
        <v>1122</v>
      </c>
      <c r="R1652" t="s">
        <v>201</v>
      </c>
      <c r="S1652">
        <v>1</v>
      </c>
      <c r="T1652">
        <v>1</v>
      </c>
      <c r="U1652">
        <v>97332</v>
      </c>
      <c r="V1652">
        <v>97332</v>
      </c>
    </row>
    <row r="1653" spans="1:22">
      <c r="A1653" t="s">
        <v>196</v>
      </c>
      <c r="B1653">
        <v>41</v>
      </c>
      <c r="C1653" t="s">
        <v>1097</v>
      </c>
      <c r="D1653">
        <v>100</v>
      </c>
      <c r="E1653" t="s">
        <v>197</v>
      </c>
      <c r="F1653">
        <v>1005</v>
      </c>
      <c r="G1653" t="s">
        <v>111</v>
      </c>
      <c r="H1653">
        <v>2035</v>
      </c>
      <c r="I1653" t="s">
        <v>103</v>
      </c>
      <c r="J1653">
        <v>3156</v>
      </c>
      <c r="K1653" t="s">
        <v>1127</v>
      </c>
      <c r="L1653">
        <v>0</v>
      </c>
      <c r="N1653" t="s">
        <v>199</v>
      </c>
      <c r="O1653">
        <v>0</v>
      </c>
      <c r="P1653">
        <v>15</v>
      </c>
      <c r="Q1653" t="s">
        <v>264</v>
      </c>
      <c r="R1653" t="s">
        <v>201</v>
      </c>
      <c r="S1653">
        <v>0</v>
      </c>
      <c r="T1653">
        <v>0</v>
      </c>
      <c r="U1653">
        <v>2148</v>
      </c>
      <c r="V1653">
        <v>2148</v>
      </c>
    </row>
    <row r="1654" spans="1:22">
      <c r="A1654" t="s">
        <v>196</v>
      </c>
      <c r="B1654">
        <v>41</v>
      </c>
      <c r="C1654" t="s">
        <v>1097</v>
      </c>
      <c r="D1654">
        <v>100</v>
      </c>
      <c r="E1654" t="s">
        <v>197</v>
      </c>
      <c r="F1654">
        <v>1005</v>
      </c>
      <c r="G1654" t="s">
        <v>111</v>
      </c>
      <c r="H1654">
        <v>2040</v>
      </c>
      <c r="I1654" t="s">
        <v>98</v>
      </c>
      <c r="J1654">
        <v>3158</v>
      </c>
      <c r="K1654" t="s">
        <v>1098</v>
      </c>
      <c r="L1654">
        <v>0</v>
      </c>
      <c r="N1654" t="s">
        <v>311</v>
      </c>
      <c r="O1654">
        <v>9</v>
      </c>
      <c r="P1654">
        <v>9660</v>
      </c>
      <c r="Q1654" t="s">
        <v>846</v>
      </c>
      <c r="R1654" t="s">
        <v>201</v>
      </c>
      <c r="S1654">
        <v>1</v>
      </c>
      <c r="T1654">
        <v>1</v>
      </c>
      <c r="U1654">
        <v>194688</v>
      </c>
      <c r="V1654">
        <v>194688</v>
      </c>
    </row>
    <row r="1655" spans="1:22">
      <c r="A1655" t="s">
        <v>196</v>
      </c>
      <c r="B1655">
        <v>41</v>
      </c>
      <c r="C1655" t="s">
        <v>1097</v>
      </c>
      <c r="D1655">
        <v>100</v>
      </c>
      <c r="E1655" t="s">
        <v>197</v>
      </c>
      <c r="F1655">
        <v>1005</v>
      </c>
      <c r="G1655" t="s">
        <v>111</v>
      </c>
      <c r="H1655">
        <v>2040</v>
      </c>
      <c r="I1655" t="s">
        <v>98</v>
      </c>
      <c r="J1655">
        <v>3158</v>
      </c>
      <c r="K1655" t="s">
        <v>1098</v>
      </c>
      <c r="L1655">
        <v>0</v>
      </c>
      <c r="N1655" t="s">
        <v>311</v>
      </c>
      <c r="O1655">
        <v>9</v>
      </c>
      <c r="P1655">
        <v>3348</v>
      </c>
      <c r="Q1655" t="s">
        <v>1119</v>
      </c>
      <c r="R1655" t="s">
        <v>201</v>
      </c>
      <c r="S1655">
        <v>1</v>
      </c>
      <c r="T1655">
        <v>1</v>
      </c>
      <c r="U1655">
        <v>199800</v>
      </c>
      <c r="V1655">
        <v>199800</v>
      </c>
    </row>
    <row r="1656" spans="1:22">
      <c r="A1656" t="s">
        <v>196</v>
      </c>
      <c r="B1656">
        <v>41</v>
      </c>
      <c r="C1656" t="s">
        <v>1097</v>
      </c>
      <c r="D1656">
        <v>100</v>
      </c>
      <c r="E1656" t="s">
        <v>197</v>
      </c>
      <c r="F1656">
        <v>1005</v>
      </c>
      <c r="G1656" t="s">
        <v>111</v>
      </c>
      <c r="H1656">
        <v>2040</v>
      </c>
      <c r="I1656" t="s">
        <v>98</v>
      </c>
      <c r="J1656">
        <v>3158</v>
      </c>
      <c r="K1656" t="s">
        <v>1098</v>
      </c>
      <c r="L1656">
        <v>0</v>
      </c>
      <c r="N1656" t="s">
        <v>251</v>
      </c>
      <c r="O1656">
        <v>10</v>
      </c>
      <c r="P1656">
        <v>802</v>
      </c>
      <c r="Q1656" t="s">
        <v>252</v>
      </c>
      <c r="R1656" t="s">
        <v>201</v>
      </c>
      <c r="S1656">
        <v>1</v>
      </c>
      <c r="T1656">
        <v>1</v>
      </c>
      <c r="U1656">
        <v>89112</v>
      </c>
      <c r="V1656">
        <v>89112</v>
      </c>
    </row>
    <row r="1657" spans="1:22">
      <c r="A1657" t="s">
        <v>196</v>
      </c>
      <c r="B1657">
        <v>41</v>
      </c>
      <c r="C1657" t="s">
        <v>1097</v>
      </c>
      <c r="D1657">
        <v>100</v>
      </c>
      <c r="E1657" t="s">
        <v>197</v>
      </c>
      <c r="F1657">
        <v>1005</v>
      </c>
      <c r="G1657" t="s">
        <v>111</v>
      </c>
      <c r="H1657">
        <v>2040</v>
      </c>
      <c r="I1657" t="s">
        <v>98</v>
      </c>
      <c r="J1657">
        <v>3158</v>
      </c>
      <c r="K1657" t="s">
        <v>1098</v>
      </c>
      <c r="L1657">
        <v>0</v>
      </c>
      <c r="N1657" t="s">
        <v>622</v>
      </c>
      <c r="O1657">
        <v>1</v>
      </c>
      <c r="P1657" t="s">
        <v>667</v>
      </c>
      <c r="Q1657" t="s">
        <v>205</v>
      </c>
      <c r="R1657" t="s">
        <v>201</v>
      </c>
      <c r="S1657">
        <v>1</v>
      </c>
      <c r="T1657">
        <v>1</v>
      </c>
      <c r="U1657">
        <v>51936</v>
      </c>
      <c r="V1657">
        <v>51936</v>
      </c>
    </row>
    <row r="1658" spans="1:22">
      <c r="A1658" t="s">
        <v>196</v>
      </c>
      <c r="B1658">
        <v>41</v>
      </c>
      <c r="C1658" t="s">
        <v>1097</v>
      </c>
      <c r="D1658">
        <v>100</v>
      </c>
      <c r="E1658" t="s">
        <v>197</v>
      </c>
      <c r="F1658">
        <v>1005</v>
      </c>
      <c r="G1658" t="s">
        <v>111</v>
      </c>
      <c r="H1658">
        <v>2040</v>
      </c>
      <c r="I1658" t="s">
        <v>98</v>
      </c>
      <c r="J1658">
        <v>3158</v>
      </c>
      <c r="K1658" t="s">
        <v>1098</v>
      </c>
      <c r="L1658">
        <v>0</v>
      </c>
      <c r="N1658" t="s">
        <v>199</v>
      </c>
      <c r="O1658">
        <v>0</v>
      </c>
      <c r="P1658">
        <v>15</v>
      </c>
      <c r="Q1658" t="s">
        <v>264</v>
      </c>
      <c r="R1658" t="s">
        <v>201</v>
      </c>
      <c r="S1658">
        <v>0</v>
      </c>
      <c r="T1658">
        <v>0</v>
      </c>
      <c r="U1658">
        <v>9207</v>
      </c>
      <c r="V1658">
        <v>9207</v>
      </c>
    </row>
    <row r="1659" spans="1:22">
      <c r="A1659" t="s">
        <v>196</v>
      </c>
      <c r="B1659">
        <v>41</v>
      </c>
      <c r="C1659" t="s">
        <v>1097</v>
      </c>
      <c r="D1659">
        <v>100</v>
      </c>
      <c r="E1659" t="s">
        <v>197</v>
      </c>
      <c r="F1659">
        <v>1005</v>
      </c>
      <c r="G1659" t="s">
        <v>111</v>
      </c>
      <c r="H1659">
        <v>2040</v>
      </c>
      <c r="I1659" t="s">
        <v>98</v>
      </c>
      <c r="J1659">
        <v>3160</v>
      </c>
      <c r="K1659" t="s">
        <v>1131</v>
      </c>
      <c r="L1659">
        <v>0</v>
      </c>
      <c r="N1659" t="s">
        <v>392</v>
      </c>
      <c r="O1659">
        <v>4</v>
      </c>
      <c r="P1659">
        <v>8620</v>
      </c>
      <c r="Q1659" t="s">
        <v>1132</v>
      </c>
      <c r="R1659" t="s">
        <v>201</v>
      </c>
      <c r="S1659">
        <v>1</v>
      </c>
      <c r="T1659">
        <v>1</v>
      </c>
      <c r="U1659">
        <v>102588</v>
      </c>
      <c r="V1659">
        <v>102588</v>
      </c>
    </row>
    <row r="1660" spans="1:22">
      <c r="A1660" t="s">
        <v>196</v>
      </c>
      <c r="B1660">
        <v>41</v>
      </c>
      <c r="C1660" t="s">
        <v>1097</v>
      </c>
      <c r="D1660">
        <v>100</v>
      </c>
      <c r="E1660" t="s">
        <v>197</v>
      </c>
      <c r="F1660">
        <v>1005</v>
      </c>
      <c r="G1660" t="s">
        <v>111</v>
      </c>
      <c r="H1660">
        <v>2040</v>
      </c>
      <c r="I1660" t="s">
        <v>98</v>
      </c>
      <c r="J1660">
        <v>3160</v>
      </c>
      <c r="K1660" t="s">
        <v>1131</v>
      </c>
      <c r="L1660">
        <v>0</v>
      </c>
      <c r="N1660" t="s">
        <v>392</v>
      </c>
      <c r="O1660">
        <v>4</v>
      </c>
      <c r="P1660">
        <v>8620</v>
      </c>
      <c r="Q1660" t="s">
        <v>1132</v>
      </c>
      <c r="R1660" t="s">
        <v>201</v>
      </c>
      <c r="S1660">
        <v>1</v>
      </c>
      <c r="T1660">
        <v>1</v>
      </c>
      <c r="U1660">
        <v>97956</v>
      </c>
      <c r="V1660">
        <v>97956</v>
      </c>
    </row>
    <row r="1661" spans="1:22">
      <c r="A1661" t="s">
        <v>196</v>
      </c>
      <c r="B1661">
        <v>41</v>
      </c>
      <c r="C1661" t="s">
        <v>1097</v>
      </c>
      <c r="D1661">
        <v>100</v>
      </c>
      <c r="E1661" t="s">
        <v>197</v>
      </c>
      <c r="F1661">
        <v>1005</v>
      </c>
      <c r="G1661" t="s">
        <v>111</v>
      </c>
      <c r="H1661">
        <v>2040</v>
      </c>
      <c r="I1661" t="s">
        <v>98</v>
      </c>
      <c r="J1661">
        <v>3160</v>
      </c>
      <c r="K1661" t="s">
        <v>1131</v>
      </c>
      <c r="L1661">
        <v>0</v>
      </c>
      <c r="N1661" t="s">
        <v>372</v>
      </c>
      <c r="O1661">
        <v>4</v>
      </c>
      <c r="P1661">
        <v>1912</v>
      </c>
      <c r="Q1661" t="s">
        <v>608</v>
      </c>
      <c r="R1661" t="s">
        <v>201</v>
      </c>
      <c r="S1661">
        <v>1</v>
      </c>
      <c r="T1661">
        <v>1</v>
      </c>
      <c r="U1661">
        <v>81324</v>
      </c>
      <c r="V1661">
        <v>81324</v>
      </c>
    </row>
    <row r="1662" spans="1:22">
      <c r="A1662" t="s">
        <v>196</v>
      </c>
      <c r="B1662">
        <v>41</v>
      </c>
      <c r="C1662" t="s">
        <v>1097</v>
      </c>
      <c r="D1662">
        <v>100</v>
      </c>
      <c r="E1662" t="s">
        <v>197</v>
      </c>
      <c r="F1662">
        <v>1005</v>
      </c>
      <c r="G1662" t="s">
        <v>111</v>
      </c>
      <c r="H1662">
        <v>2040</v>
      </c>
      <c r="I1662" t="s">
        <v>98</v>
      </c>
      <c r="J1662">
        <v>3160</v>
      </c>
      <c r="K1662" t="s">
        <v>1131</v>
      </c>
      <c r="L1662">
        <v>0</v>
      </c>
      <c r="N1662" t="s">
        <v>622</v>
      </c>
      <c r="O1662">
        <v>1</v>
      </c>
      <c r="P1662">
        <v>1817</v>
      </c>
      <c r="Q1662" t="s">
        <v>988</v>
      </c>
      <c r="R1662" t="s">
        <v>201</v>
      </c>
      <c r="S1662">
        <v>1</v>
      </c>
      <c r="T1662">
        <v>1</v>
      </c>
      <c r="U1662">
        <v>58764</v>
      </c>
      <c r="V1662">
        <v>58764</v>
      </c>
    </row>
    <row r="1663" spans="1:22">
      <c r="A1663" t="s">
        <v>196</v>
      </c>
      <c r="B1663">
        <v>41</v>
      </c>
      <c r="C1663" t="s">
        <v>1097</v>
      </c>
      <c r="D1663">
        <v>100</v>
      </c>
      <c r="E1663" t="s">
        <v>197</v>
      </c>
      <c r="F1663">
        <v>1005</v>
      </c>
      <c r="G1663" t="s">
        <v>111</v>
      </c>
      <c r="H1663">
        <v>2040</v>
      </c>
      <c r="I1663" t="s">
        <v>98</v>
      </c>
      <c r="J1663">
        <v>3160</v>
      </c>
      <c r="K1663" t="s">
        <v>1131</v>
      </c>
      <c r="L1663">
        <v>0</v>
      </c>
      <c r="N1663" t="s">
        <v>249</v>
      </c>
      <c r="O1663">
        <v>10</v>
      </c>
      <c r="P1663">
        <v>311</v>
      </c>
      <c r="Q1663" t="s">
        <v>661</v>
      </c>
      <c r="R1663" t="s">
        <v>201</v>
      </c>
      <c r="S1663">
        <v>1</v>
      </c>
      <c r="T1663">
        <v>1</v>
      </c>
      <c r="U1663">
        <v>143232</v>
      </c>
      <c r="V1663">
        <v>143232</v>
      </c>
    </row>
    <row r="1664" spans="1:22">
      <c r="A1664" t="s">
        <v>196</v>
      </c>
      <c r="B1664">
        <v>41</v>
      </c>
      <c r="C1664" t="s">
        <v>1097</v>
      </c>
      <c r="D1664">
        <v>100</v>
      </c>
      <c r="E1664" t="s">
        <v>197</v>
      </c>
      <c r="F1664">
        <v>1005</v>
      </c>
      <c r="G1664" t="s">
        <v>111</v>
      </c>
      <c r="H1664">
        <v>2040</v>
      </c>
      <c r="I1664" t="s">
        <v>98</v>
      </c>
      <c r="J1664">
        <v>3160</v>
      </c>
      <c r="K1664" t="s">
        <v>1131</v>
      </c>
      <c r="L1664">
        <v>0</v>
      </c>
      <c r="N1664" t="s">
        <v>199</v>
      </c>
      <c r="O1664">
        <v>0</v>
      </c>
      <c r="P1664">
        <v>15</v>
      </c>
      <c r="Q1664" t="s">
        <v>264</v>
      </c>
      <c r="R1664" t="s">
        <v>201</v>
      </c>
      <c r="S1664">
        <v>0</v>
      </c>
      <c r="T1664">
        <v>0</v>
      </c>
      <c r="U1664">
        <v>4751</v>
      </c>
      <c r="V1664">
        <v>4751</v>
      </c>
    </row>
    <row r="1665" spans="1:22">
      <c r="A1665" t="s">
        <v>196</v>
      </c>
      <c r="B1665">
        <v>41</v>
      </c>
      <c r="C1665" t="s">
        <v>1097</v>
      </c>
      <c r="D1665">
        <v>100</v>
      </c>
      <c r="E1665" t="s">
        <v>197</v>
      </c>
      <c r="F1665">
        <v>1005</v>
      </c>
      <c r="G1665" t="s">
        <v>111</v>
      </c>
      <c r="H1665">
        <v>2040</v>
      </c>
      <c r="I1665" t="s">
        <v>98</v>
      </c>
      <c r="J1665">
        <v>3162</v>
      </c>
      <c r="K1665" t="s">
        <v>1133</v>
      </c>
      <c r="L1665">
        <v>0</v>
      </c>
      <c r="N1665" t="s">
        <v>1134</v>
      </c>
      <c r="O1665">
        <v>37</v>
      </c>
      <c r="P1665">
        <v>3763</v>
      </c>
      <c r="Q1665" t="s">
        <v>1135</v>
      </c>
      <c r="R1665" t="s">
        <v>201</v>
      </c>
      <c r="S1665">
        <v>1</v>
      </c>
      <c r="T1665">
        <v>1</v>
      </c>
      <c r="U1665">
        <v>129540</v>
      </c>
      <c r="V1665">
        <v>129540</v>
      </c>
    </row>
    <row r="1666" spans="1:22">
      <c r="A1666" t="s">
        <v>196</v>
      </c>
      <c r="B1666">
        <v>41</v>
      </c>
      <c r="C1666" t="s">
        <v>1097</v>
      </c>
      <c r="D1666">
        <v>100</v>
      </c>
      <c r="E1666" t="s">
        <v>197</v>
      </c>
      <c r="F1666">
        <v>1005</v>
      </c>
      <c r="G1666" t="s">
        <v>111</v>
      </c>
      <c r="H1666">
        <v>2040</v>
      </c>
      <c r="I1666" t="s">
        <v>98</v>
      </c>
      <c r="J1666">
        <v>3162</v>
      </c>
      <c r="K1666" t="s">
        <v>1133</v>
      </c>
      <c r="L1666">
        <v>0</v>
      </c>
      <c r="N1666" t="s">
        <v>1124</v>
      </c>
      <c r="O1666">
        <v>37</v>
      </c>
      <c r="P1666">
        <v>3752</v>
      </c>
      <c r="Q1666" t="s">
        <v>1125</v>
      </c>
      <c r="R1666" t="s">
        <v>201</v>
      </c>
      <c r="S1666">
        <v>1</v>
      </c>
      <c r="T1666">
        <v>1</v>
      </c>
      <c r="U1666">
        <v>107544</v>
      </c>
      <c r="V1666">
        <v>107544</v>
      </c>
    </row>
    <row r="1667" spans="1:22">
      <c r="A1667" t="s">
        <v>196</v>
      </c>
      <c r="B1667">
        <v>41</v>
      </c>
      <c r="C1667" t="s">
        <v>1097</v>
      </c>
      <c r="D1667">
        <v>100</v>
      </c>
      <c r="E1667" t="s">
        <v>197</v>
      </c>
      <c r="F1667">
        <v>1005</v>
      </c>
      <c r="G1667" t="s">
        <v>111</v>
      </c>
      <c r="H1667">
        <v>2040</v>
      </c>
      <c r="I1667" t="s">
        <v>98</v>
      </c>
      <c r="J1667">
        <v>3162</v>
      </c>
      <c r="K1667" t="s">
        <v>1133</v>
      </c>
      <c r="L1667">
        <v>0</v>
      </c>
      <c r="N1667" t="s">
        <v>1124</v>
      </c>
      <c r="O1667">
        <v>37</v>
      </c>
      <c r="P1667">
        <v>3752</v>
      </c>
      <c r="Q1667" t="s">
        <v>1125</v>
      </c>
      <c r="R1667" t="s">
        <v>201</v>
      </c>
      <c r="S1667">
        <v>1</v>
      </c>
      <c r="T1667">
        <v>1</v>
      </c>
      <c r="U1667">
        <v>101448</v>
      </c>
      <c r="V1667">
        <v>101448</v>
      </c>
    </row>
    <row r="1668" spans="1:22">
      <c r="A1668" t="s">
        <v>196</v>
      </c>
      <c r="B1668">
        <v>41</v>
      </c>
      <c r="C1668" t="s">
        <v>1097</v>
      </c>
      <c r="D1668">
        <v>100</v>
      </c>
      <c r="E1668" t="s">
        <v>197</v>
      </c>
      <c r="F1668">
        <v>1005</v>
      </c>
      <c r="G1668" t="s">
        <v>111</v>
      </c>
      <c r="H1668">
        <v>2040</v>
      </c>
      <c r="I1668" t="s">
        <v>98</v>
      </c>
      <c r="J1668">
        <v>3162</v>
      </c>
      <c r="K1668" t="s">
        <v>1133</v>
      </c>
      <c r="L1668">
        <v>0</v>
      </c>
      <c r="N1668" t="s">
        <v>1136</v>
      </c>
      <c r="O1668">
        <v>37</v>
      </c>
      <c r="P1668">
        <v>3751</v>
      </c>
      <c r="Q1668" t="s">
        <v>1137</v>
      </c>
      <c r="R1668" t="s">
        <v>201</v>
      </c>
      <c r="S1668">
        <v>1</v>
      </c>
      <c r="T1668">
        <v>1</v>
      </c>
      <c r="U1668">
        <v>91956</v>
      </c>
      <c r="V1668">
        <v>91956</v>
      </c>
    </row>
    <row r="1669" spans="1:22">
      <c r="A1669" t="s">
        <v>196</v>
      </c>
      <c r="B1669">
        <v>41</v>
      </c>
      <c r="C1669" t="s">
        <v>1097</v>
      </c>
      <c r="D1669">
        <v>100</v>
      </c>
      <c r="E1669" t="s">
        <v>197</v>
      </c>
      <c r="F1669">
        <v>1005</v>
      </c>
      <c r="G1669" t="s">
        <v>111</v>
      </c>
      <c r="H1669">
        <v>2040</v>
      </c>
      <c r="I1669" t="s">
        <v>98</v>
      </c>
      <c r="J1669">
        <v>3162</v>
      </c>
      <c r="K1669" t="s">
        <v>1133</v>
      </c>
      <c r="L1669">
        <v>0</v>
      </c>
      <c r="N1669" t="s">
        <v>351</v>
      </c>
      <c r="O1669">
        <v>1</v>
      </c>
      <c r="P1669">
        <v>1770</v>
      </c>
      <c r="Q1669" t="s">
        <v>1138</v>
      </c>
      <c r="R1669" t="s">
        <v>201</v>
      </c>
      <c r="S1669">
        <v>1</v>
      </c>
      <c r="T1669">
        <v>1</v>
      </c>
      <c r="U1669">
        <v>64488</v>
      </c>
      <c r="V1669">
        <v>64488</v>
      </c>
    </row>
    <row r="1670" spans="1:22">
      <c r="A1670" t="s">
        <v>196</v>
      </c>
      <c r="B1670">
        <v>41</v>
      </c>
      <c r="C1670" t="s">
        <v>1097</v>
      </c>
      <c r="D1670">
        <v>100</v>
      </c>
      <c r="E1670" t="s">
        <v>197</v>
      </c>
      <c r="F1670">
        <v>1005</v>
      </c>
      <c r="G1670" t="s">
        <v>111</v>
      </c>
      <c r="H1670">
        <v>2040</v>
      </c>
      <c r="I1670" t="s">
        <v>98</v>
      </c>
      <c r="J1670">
        <v>3162</v>
      </c>
      <c r="K1670" t="s">
        <v>1133</v>
      </c>
      <c r="L1670">
        <v>0</v>
      </c>
      <c r="N1670" t="s">
        <v>809</v>
      </c>
      <c r="O1670">
        <v>1</v>
      </c>
      <c r="P1670">
        <v>460</v>
      </c>
      <c r="Q1670" t="s">
        <v>810</v>
      </c>
      <c r="R1670" t="s">
        <v>201</v>
      </c>
      <c r="S1670">
        <v>1</v>
      </c>
      <c r="T1670">
        <v>1</v>
      </c>
      <c r="U1670">
        <v>48864</v>
      </c>
      <c r="V1670">
        <v>48864</v>
      </c>
    </row>
    <row r="1671" spans="1:22">
      <c r="A1671" t="s">
        <v>196</v>
      </c>
      <c r="B1671">
        <v>41</v>
      </c>
      <c r="C1671" t="s">
        <v>1097</v>
      </c>
      <c r="D1671">
        <v>100</v>
      </c>
      <c r="E1671" t="s">
        <v>197</v>
      </c>
      <c r="F1671">
        <v>1005</v>
      </c>
      <c r="G1671" t="s">
        <v>111</v>
      </c>
      <c r="H1671">
        <v>2040</v>
      </c>
      <c r="I1671" t="s">
        <v>98</v>
      </c>
      <c r="J1671">
        <v>3162</v>
      </c>
      <c r="K1671" t="s">
        <v>1133</v>
      </c>
      <c r="L1671">
        <v>0</v>
      </c>
      <c r="N1671" t="s">
        <v>199</v>
      </c>
      <c r="O1671">
        <v>0</v>
      </c>
      <c r="P1671">
        <v>15</v>
      </c>
      <c r="Q1671" t="s">
        <v>264</v>
      </c>
      <c r="R1671" t="s">
        <v>201</v>
      </c>
      <c r="S1671">
        <v>0</v>
      </c>
      <c r="T1671">
        <v>0</v>
      </c>
      <c r="U1671">
        <v>5803</v>
      </c>
      <c r="V1671">
        <v>5803</v>
      </c>
    </row>
    <row r="1672" spans="1:22">
      <c r="A1672" t="s">
        <v>196</v>
      </c>
      <c r="B1672">
        <v>41</v>
      </c>
      <c r="C1672" t="s">
        <v>1097</v>
      </c>
      <c r="D1672">
        <v>100</v>
      </c>
      <c r="E1672" t="s">
        <v>197</v>
      </c>
      <c r="F1672">
        <v>1005</v>
      </c>
      <c r="G1672" t="s">
        <v>111</v>
      </c>
      <c r="H1672">
        <v>2040</v>
      </c>
      <c r="I1672" t="s">
        <v>98</v>
      </c>
      <c r="J1672">
        <v>3164</v>
      </c>
      <c r="K1672" t="s">
        <v>1115</v>
      </c>
      <c r="L1672">
        <v>0</v>
      </c>
      <c r="N1672" t="s">
        <v>274</v>
      </c>
      <c r="O1672">
        <v>20</v>
      </c>
      <c r="P1672">
        <v>3057</v>
      </c>
      <c r="Q1672" t="s">
        <v>1121</v>
      </c>
      <c r="R1672" t="s">
        <v>201</v>
      </c>
      <c r="S1672">
        <v>1</v>
      </c>
      <c r="T1672">
        <v>1</v>
      </c>
      <c r="U1672">
        <v>121668</v>
      </c>
      <c r="V1672">
        <v>121668</v>
      </c>
    </row>
    <row r="1673" spans="1:22">
      <c r="A1673" t="s">
        <v>196</v>
      </c>
      <c r="B1673">
        <v>41</v>
      </c>
      <c r="C1673" t="s">
        <v>1097</v>
      </c>
      <c r="D1673">
        <v>100</v>
      </c>
      <c r="E1673" t="s">
        <v>197</v>
      </c>
      <c r="F1673">
        <v>1005</v>
      </c>
      <c r="G1673" t="s">
        <v>111</v>
      </c>
      <c r="H1673">
        <v>2040</v>
      </c>
      <c r="I1673" t="s">
        <v>98</v>
      </c>
      <c r="J1673">
        <v>3164</v>
      </c>
      <c r="K1673" t="s">
        <v>1115</v>
      </c>
      <c r="L1673">
        <v>0</v>
      </c>
      <c r="N1673" t="s">
        <v>809</v>
      </c>
      <c r="O1673">
        <v>1</v>
      </c>
      <c r="P1673">
        <v>460</v>
      </c>
      <c r="Q1673" t="s">
        <v>810</v>
      </c>
      <c r="R1673" t="s">
        <v>201</v>
      </c>
      <c r="S1673">
        <v>1</v>
      </c>
      <c r="T1673">
        <v>1</v>
      </c>
      <c r="U1673">
        <v>82140</v>
      </c>
      <c r="V1673">
        <v>82140</v>
      </c>
    </row>
    <row r="1674" spans="1:22">
      <c r="A1674" t="s">
        <v>196</v>
      </c>
      <c r="B1674">
        <v>41</v>
      </c>
      <c r="C1674" t="s">
        <v>1097</v>
      </c>
      <c r="D1674">
        <v>100</v>
      </c>
      <c r="E1674" t="s">
        <v>197</v>
      </c>
      <c r="F1674">
        <v>1005</v>
      </c>
      <c r="G1674" t="s">
        <v>111</v>
      </c>
      <c r="H1674">
        <v>2040</v>
      </c>
      <c r="I1674" t="s">
        <v>98</v>
      </c>
      <c r="J1674">
        <v>3164</v>
      </c>
      <c r="K1674" t="s">
        <v>1115</v>
      </c>
      <c r="L1674">
        <v>0</v>
      </c>
      <c r="N1674" t="s">
        <v>199</v>
      </c>
      <c r="O1674">
        <v>0</v>
      </c>
      <c r="P1674">
        <v>15</v>
      </c>
      <c r="Q1674" t="s">
        <v>264</v>
      </c>
      <c r="R1674" t="s">
        <v>201</v>
      </c>
      <c r="S1674">
        <v>0</v>
      </c>
      <c r="T1674">
        <v>0</v>
      </c>
      <c r="U1674">
        <v>2448</v>
      </c>
      <c r="V1674">
        <v>2448</v>
      </c>
    </row>
    <row r="1675" spans="1:22">
      <c r="A1675" t="s">
        <v>196</v>
      </c>
      <c r="B1675">
        <v>41</v>
      </c>
      <c r="C1675" t="s">
        <v>1097</v>
      </c>
      <c r="D1675">
        <v>100</v>
      </c>
      <c r="E1675" t="s">
        <v>197</v>
      </c>
      <c r="F1675">
        <v>1005</v>
      </c>
      <c r="G1675" t="s">
        <v>111</v>
      </c>
      <c r="H1675">
        <v>2040</v>
      </c>
      <c r="I1675" t="s">
        <v>98</v>
      </c>
      <c r="J1675">
        <v>3168</v>
      </c>
      <c r="K1675" t="s">
        <v>1139</v>
      </c>
      <c r="L1675">
        <v>0</v>
      </c>
      <c r="N1675" t="s">
        <v>341</v>
      </c>
      <c r="O1675">
        <v>3</v>
      </c>
      <c r="P1675">
        <v>3434</v>
      </c>
      <c r="Q1675" t="s">
        <v>1140</v>
      </c>
      <c r="R1675" t="s">
        <v>201</v>
      </c>
      <c r="S1675">
        <v>1</v>
      </c>
      <c r="T1675">
        <v>1</v>
      </c>
      <c r="U1675">
        <v>113628</v>
      </c>
      <c r="V1675">
        <v>113628</v>
      </c>
    </row>
    <row r="1676" spans="1:22">
      <c r="A1676" t="s">
        <v>196</v>
      </c>
      <c r="B1676">
        <v>41</v>
      </c>
      <c r="C1676" t="s">
        <v>1097</v>
      </c>
      <c r="D1676">
        <v>100</v>
      </c>
      <c r="E1676" t="s">
        <v>197</v>
      </c>
      <c r="F1676">
        <v>1005</v>
      </c>
      <c r="G1676" t="s">
        <v>111</v>
      </c>
      <c r="H1676">
        <v>2040</v>
      </c>
      <c r="I1676" t="s">
        <v>98</v>
      </c>
      <c r="J1676">
        <v>3168</v>
      </c>
      <c r="K1676" t="s">
        <v>1139</v>
      </c>
      <c r="L1676">
        <v>0</v>
      </c>
      <c r="N1676" t="s">
        <v>333</v>
      </c>
      <c r="O1676">
        <v>4</v>
      </c>
      <c r="P1676">
        <v>3407</v>
      </c>
      <c r="Q1676" t="s">
        <v>1111</v>
      </c>
      <c r="R1676" t="s">
        <v>201</v>
      </c>
      <c r="S1676">
        <v>1</v>
      </c>
      <c r="T1676">
        <v>1</v>
      </c>
      <c r="U1676">
        <v>154764</v>
      </c>
      <c r="V1676">
        <v>154764</v>
      </c>
    </row>
    <row r="1677" spans="1:22">
      <c r="A1677" t="s">
        <v>196</v>
      </c>
      <c r="B1677">
        <v>41</v>
      </c>
      <c r="C1677" t="s">
        <v>1097</v>
      </c>
      <c r="D1677">
        <v>100</v>
      </c>
      <c r="E1677" t="s">
        <v>197</v>
      </c>
      <c r="F1677">
        <v>1005</v>
      </c>
      <c r="G1677" t="s">
        <v>111</v>
      </c>
      <c r="H1677">
        <v>2040</v>
      </c>
      <c r="I1677" t="s">
        <v>98</v>
      </c>
      <c r="J1677">
        <v>3168</v>
      </c>
      <c r="K1677" t="s">
        <v>1139</v>
      </c>
      <c r="L1677">
        <v>0</v>
      </c>
      <c r="N1677" t="s">
        <v>311</v>
      </c>
      <c r="O1677">
        <v>9</v>
      </c>
      <c r="P1677">
        <v>3348</v>
      </c>
      <c r="Q1677" t="s">
        <v>1119</v>
      </c>
      <c r="R1677" t="s">
        <v>201</v>
      </c>
      <c r="S1677">
        <v>1</v>
      </c>
      <c r="T1677">
        <v>1</v>
      </c>
      <c r="U1677">
        <v>199800</v>
      </c>
      <c r="V1677">
        <v>199800</v>
      </c>
    </row>
    <row r="1678" spans="1:22">
      <c r="A1678" t="s">
        <v>196</v>
      </c>
      <c r="B1678">
        <v>41</v>
      </c>
      <c r="C1678" t="s">
        <v>1097</v>
      </c>
      <c r="D1678">
        <v>100</v>
      </c>
      <c r="E1678" t="s">
        <v>197</v>
      </c>
      <c r="F1678">
        <v>1005</v>
      </c>
      <c r="G1678" t="s">
        <v>111</v>
      </c>
      <c r="H1678">
        <v>2040</v>
      </c>
      <c r="I1678" t="s">
        <v>98</v>
      </c>
      <c r="J1678">
        <v>3168</v>
      </c>
      <c r="K1678" t="s">
        <v>1139</v>
      </c>
      <c r="L1678">
        <v>0</v>
      </c>
      <c r="N1678" t="s">
        <v>199</v>
      </c>
      <c r="O1678">
        <v>0</v>
      </c>
      <c r="P1678">
        <v>15</v>
      </c>
      <c r="Q1678" t="s">
        <v>264</v>
      </c>
      <c r="R1678" t="s">
        <v>201</v>
      </c>
      <c r="S1678">
        <v>0</v>
      </c>
      <c r="T1678">
        <v>0</v>
      </c>
      <c r="U1678">
        <v>2527</v>
      </c>
      <c r="V1678">
        <v>2527</v>
      </c>
    </row>
    <row r="1679" spans="1:22">
      <c r="A1679" t="s">
        <v>196</v>
      </c>
      <c r="B1679">
        <v>41</v>
      </c>
      <c r="C1679" t="s">
        <v>1097</v>
      </c>
      <c r="D1679">
        <v>100</v>
      </c>
      <c r="E1679" t="s">
        <v>197</v>
      </c>
      <c r="F1679">
        <v>1005</v>
      </c>
      <c r="G1679" t="s">
        <v>111</v>
      </c>
      <c r="H1679">
        <v>2040</v>
      </c>
      <c r="I1679" t="s">
        <v>98</v>
      </c>
      <c r="J1679">
        <v>3170</v>
      </c>
      <c r="K1679" t="s">
        <v>1141</v>
      </c>
      <c r="L1679">
        <v>0</v>
      </c>
      <c r="N1679" t="s">
        <v>311</v>
      </c>
      <c r="O1679">
        <v>9</v>
      </c>
      <c r="P1679">
        <v>3348</v>
      </c>
      <c r="Q1679" t="s">
        <v>1119</v>
      </c>
      <c r="R1679" t="s">
        <v>201</v>
      </c>
      <c r="S1679">
        <v>1</v>
      </c>
      <c r="T1679">
        <v>1</v>
      </c>
      <c r="U1679">
        <v>199800</v>
      </c>
      <c r="V1679">
        <v>199800</v>
      </c>
    </row>
    <row r="1680" spans="1:22">
      <c r="A1680" t="s">
        <v>196</v>
      </c>
      <c r="B1680">
        <v>41</v>
      </c>
      <c r="C1680" t="s">
        <v>1097</v>
      </c>
      <c r="D1680">
        <v>100</v>
      </c>
      <c r="E1680" t="s">
        <v>197</v>
      </c>
      <c r="F1680">
        <v>1005</v>
      </c>
      <c r="G1680" t="s">
        <v>111</v>
      </c>
      <c r="H1680">
        <v>2040</v>
      </c>
      <c r="I1680" t="s">
        <v>98</v>
      </c>
      <c r="J1680">
        <v>3170</v>
      </c>
      <c r="K1680" t="s">
        <v>1141</v>
      </c>
      <c r="L1680">
        <v>0</v>
      </c>
      <c r="N1680" t="s">
        <v>199</v>
      </c>
      <c r="O1680">
        <v>0</v>
      </c>
      <c r="P1680">
        <v>15</v>
      </c>
      <c r="Q1680" t="s">
        <v>264</v>
      </c>
      <c r="R1680" t="s">
        <v>201</v>
      </c>
      <c r="S1680">
        <v>0</v>
      </c>
      <c r="T1680">
        <v>0</v>
      </c>
      <c r="U1680">
        <v>2527</v>
      </c>
      <c r="V1680">
        <v>2527</v>
      </c>
    </row>
    <row r="1681" spans="1:22">
      <c r="A1681" t="s">
        <v>196</v>
      </c>
      <c r="B1681">
        <v>41</v>
      </c>
      <c r="C1681" t="s">
        <v>1097</v>
      </c>
      <c r="D1681">
        <v>100</v>
      </c>
      <c r="E1681" t="s">
        <v>197</v>
      </c>
      <c r="F1681">
        <v>1005</v>
      </c>
      <c r="G1681" t="s">
        <v>111</v>
      </c>
      <c r="H1681">
        <v>2040</v>
      </c>
      <c r="I1681" t="s">
        <v>98</v>
      </c>
      <c r="J1681">
        <v>3172</v>
      </c>
      <c r="K1681" t="s">
        <v>1142</v>
      </c>
      <c r="L1681">
        <v>0</v>
      </c>
      <c r="N1681" t="s">
        <v>341</v>
      </c>
      <c r="O1681">
        <v>3</v>
      </c>
      <c r="P1681">
        <v>3434</v>
      </c>
      <c r="Q1681" t="s">
        <v>1140</v>
      </c>
      <c r="R1681" t="s">
        <v>201</v>
      </c>
      <c r="S1681">
        <v>1</v>
      </c>
      <c r="T1681">
        <v>1</v>
      </c>
      <c r="U1681">
        <v>119100</v>
      </c>
      <c r="V1681">
        <v>119100</v>
      </c>
    </row>
    <row r="1682" spans="1:22">
      <c r="A1682" t="s">
        <v>196</v>
      </c>
      <c r="B1682">
        <v>41</v>
      </c>
      <c r="C1682" t="s">
        <v>1097</v>
      </c>
      <c r="D1682">
        <v>100</v>
      </c>
      <c r="E1682" t="s">
        <v>197</v>
      </c>
      <c r="F1682">
        <v>1005</v>
      </c>
      <c r="G1682" t="s">
        <v>111</v>
      </c>
      <c r="H1682">
        <v>2040</v>
      </c>
      <c r="I1682" t="s">
        <v>98</v>
      </c>
      <c r="J1682">
        <v>3172</v>
      </c>
      <c r="K1682" t="s">
        <v>1142</v>
      </c>
      <c r="L1682">
        <v>0</v>
      </c>
      <c r="N1682" t="s">
        <v>333</v>
      </c>
      <c r="O1682">
        <v>4</v>
      </c>
      <c r="P1682">
        <v>3407</v>
      </c>
      <c r="Q1682" t="s">
        <v>1111</v>
      </c>
      <c r="R1682" t="s">
        <v>201</v>
      </c>
      <c r="S1682">
        <v>1</v>
      </c>
      <c r="T1682">
        <v>1</v>
      </c>
      <c r="U1682">
        <v>117636</v>
      </c>
      <c r="V1682">
        <v>117636</v>
      </c>
    </row>
    <row r="1683" spans="1:22">
      <c r="A1683" t="s">
        <v>196</v>
      </c>
      <c r="B1683">
        <v>41</v>
      </c>
      <c r="C1683" t="s">
        <v>1097</v>
      </c>
      <c r="D1683">
        <v>100</v>
      </c>
      <c r="E1683" t="s">
        <v>197</v>
      </c>
      <c r="F1683">
        <v>1005</v>
      </c>
      <c r="G1683" t="s">
        <v>111</v>
      </c>
      <c r="H1683">
        <v>2040</v>
      </c>
      <c r="I1683" t="s">
        <v>98</v>
      </c>
      <c r="J1683">
        <v>3172</v>
      </c>
      <c r="K1683" t="s">
        <v>1142</v>
      </c>
      <c r="L1683">
        <v>0</v>
      </c>
      <c r="N1683" t="s">
        <v>274</v>
      </c>
      <c r="O1683">
        <v>0</v>
      </c>
      <c r="P1683">
        <v>3402</v>
      </c>
      <c r="Q1683" t="s">
        <v>1112</v>
      </c>
      <c r="R1683" t="s">
        <v>201</v>
      </c>
      <c r="S1683">
        <v>1</v>
      </c>
      <c r="T1683">
        <v>1</v>
      </c>
      <c r="U1683">
        <v>158508</v>
      </c>
      <c r="V1683">
        <v>158508</v>
      </c>
    </row>
    <row r="1684" spans="1:22">
      <c r="A1684" t="s">
        <v>196</v>
      </c>
      <c r="B1684">
        <v>41</v>
      </c>
      <c r="C1684" t="s">
        <v>1097</v>
      </c>
      <c r="D1684">
        <v>100</v>
      </c>
      <c r="E1684" t="s">
        <v>197</v>
      </c>
      <c r="F1684">
        <v>1005</v>
      </c>
      <c r="G1684" t="s">
        <v>111</v>
      </c>
      <c r="H1684">
        <v>2040</v>
      </c>
      <c r="I1684" t="s">
        <v>98</v>
      </c>
      <c r="J1684">
        <v>3172</v>
      </c>
      <c r="K1684" t="s">
        <v>1142</v>
      </c>
      <c r="L1684">
        <v>0</v>
      </c>
      <c r="N1684" t="s">
        <v>199</v>
      </c>
      <c r="O1684">
        <v>0</v>
      </c>
      <c r="P1684">
        <v>15</v>
      </c>
      <c r="Q1684" t="s">
        <v>264</v>
      </c>
      <c r="R1684" t="s">
        <v>201</v>
      </c>
      <c r="S1684">
        <v>0</v>
      </c>
      <c r="T1684">
        <v>0</v>
      </c>
      <c r="U1684">
        <v>4574</v>
      </c>
      <c r="V1684">
        <v>4574</v>
      </c>
    </row>
    <row r="1685" spans="1:22">
      <c r="A1685" t="s">
        <v>196</v>
      </c>
      <c r="B1685">
        <v>41</v>
      </c>
      <c r="C1685" t="s">
        <v>1097</v>
      </c>
      <c r="D1685">
        <v>100</v>
      </c>
      <c r="E1685" t="s">
        <v>197</v>
      </c>
      <c r="F1685">
        <v>1005</v>
      </c>
      <c r="G1685" t="s">
        <v>111</v>
      </c>
      <c r="H1685">
        <v>2045</v>
      </c>
      <c r="I1685" t="s">
        <v>59</v>
      </c>
      <c r="J1685">
        <v>3046</v>
      </c>
      <c r="K1685" t="s">
        <v>1143</v>
      </c>
      <c r="L1685">
        <v>0</v>
      </c>
      <c r="N1685" t="s">
        <v>341</v>
      </c>
      <c r="O1685">
        <v>3</v>
      </c>
      <c r="P1685">
        <v>3825</v>
      </c>
      <c r="Q1685" t="s">
        <v>1144</v>
      </c>
      <c r="R1685" t="s">
        <v>201</v>
      </c>
      <c r="S1685">
        <v>2</v>
      </c>
      <c r="T1685">
        <v>1</v>
      </c>
      <c r="U1685">
        <v>85200</v>
      </c>
      <c r="V1685">
        <v>170400</v>
      </c>
    </row>
    <row r="1686" spans="1:22">
      <c r="A1686" t="s">
        <v>196</v>
      </c>
      <c r="B1686">
        <v>41</v>
      </c>
      <c r="C1686" t="s">
        <v>1097</v>
      </c>
      <c r="D1686">
        <v>100</v>
      </c>
      <c r="E1686" t="s">
        <v>197</v>
      </c>
      <c r="F1686">
        <v>1005</v>
      </c>
      <c r="G1686" t="s">
        <v>111</v>
      </c>
      <c r="H1686">
        <v>2045</v>
      </c>
      <c r="I1686" t="s">
        <v>59</v>
      </c>
      <c r="J1686">
        <v>3046</v>
      </c>
      <c r="K1686" t="s">
        <v>1143</v>
      </c>
      <c r="L1686">
        <v>0</v>
      </c>
      <c r="N1686" t="s">
        <v>341</v>
      </c>
      <c r="O1686">
        <v>3</v>
      </c>
      <c r="P1686">
        <v>3825</v>
      </c>
      <c r="Q1686" t="s">
        <v>1144</v>
      </c>
      <c r="R1686" t="s">
        <v>201</v>
      </c>
      <c r="S1686">
        <v>2</v>
      </c>
      <c r="T1686">
        <v>1</v>
      </c>
      <c r="U1686">
        <v>68616</v>
      </c>
      <c r="V1686">
        <v>137232</v>
      </c>
    </row>
    <row r="1687" spans="1:22">
      <c r="A1687" t="s">
        <v>196</v>
      </c>
      <c r="B1687">
        <v>41</v>
      </c>
      <c r="C1687" t="s">
        <v>1097</v>
      </c>
      <c r="D1687">
        <v>100</v>
      </c>
      <c r="E1687" t="s">
        <v>197</v>
      </c>
      <c r="F1687">
        <v>1005</v>
      </c>
      <c r="G1687" t="s">
        <v>111</v>
      </c>
      <c r="H1687">
        <v>2045</v>
      </c>
      <c r="I1687" t="s">
        <v>59</v>
      </c>
      <c r="J1687">
        <v>3046</v>
      </c>
      <c r="K1687" t="s">
        <v>1143</v>
      </c>
      <c r="L1687">
        <v>0</v>
      </c>
      <c r="N1687" t="s">
        <v>297</v>
      </c>
      <c r="O1687">
        <v>20</v>
      </c>
      <c r="P1687">
        <v>3538</v>
      </c>
      <c r="Q1687" t="s">
        <v>1145</v>
      </c>
      <c r="R1687" t="s">
        <v>201</v>
      </c>
      <c r="S1687">
        <v>1</v>
      </c>
      <c r="T1687">
        <v>1</v>
      </c>
      <c r="U1687">
        <v>97332</v>
      </c>
      <c r="V1687">
        <v>97332</v>
      </c>
    </row>
    <row r="1688" spans="1:22">
      <c r="A1688" t="s">
        <v>196</v>
      </c>
      <c r="B1688">
        <v>41</v>
      </c>
      <c r="C1688" t="s">
        <v>1097</v>
      </c>
      <c r="D1688">
        <v>100</v>
      </c>
      <c r="E1688" t="s">
        <v>197</v>
      </c>
      <c r="F1688">
        <v>1005</v>
      </c>
      <c r="G1688" t="s">
        <v>111</v>
      </c>
      <c r="H1688">
        <v>2045</v>
      </c>
      <c r="I1688" t="s">
        <v>59</v>
      </c>
      <c r="J1688">
        <v>3046</v>
      </c>
      <c r="K1688" t="s">
        <v>1143</v>
      </c>
      <c r="L1688">
        <v>0</v>
      </c>
      <c r="N1688" t="s">
        <v>356</v>
      </c>
      <c r="O1688">
        <v>4</v>
      </c>
      <c r="P1688">
        <v>3530</v>
      </c>
      <c r="Q1688" t="s">
        <v>1146</v>
      </c>
      <c r="R1688" t="s">
        <v>201</v>
      </c>
      <c r="S1688">
        <v>2</v>
      </c>
      <c r="T1688">
        <v>1</v>
      </c>
      <c r="U1688">
        <v>97488</v>
      </c>
      <c r="V1688">
        <v>194976</v>
      </c>
    </row>
    <row r="1689" spans="1:22">
      <c r="A1689" t="s">
        <v>196</v>
      </c>
      <c r="B1689">
        <v>41</v>
      </c>
      <c r="C1689" t="s">
        <v>1097</v>
      </c>
      <c r="D1689">
        <v>100</v>
      </c>
      <c r="E1689" t="s">
        <v>197</v>
      </c>
      <c r="F1689">
        <v>1005</v>
      </c>
      <c r="G1689" t="s">
        <v>111</v>
      </c>
      <c r="H1689">
        <v>2045</v>
      </c>
      <c r="I1689" t="s">
        <v>59</v>
      </c>
      <c r="J1689">
        <v>3046</v>
      </c>
      <c r="K1689" t="s">
        <v>1143</v>
      </c>
      <c r="L1689">
        <v>0</v>
      </c>
      <c r="N1689" t="s">
        <v>356</v>
      </c>
      <c r="O1689">
        <v>4</v>
      </c>
      <c r="P1689">
        <v>3530</v>
      </c>
      <c r="Q1689" t="s">
        <v>1146</v>
      </c>
      <c r="R1689" t="s">
        <v>201</v>
      </c>
      <c r="S1689">
        <v>1</v>
      </c>
      <c r="T1689">
        <v>1</v>
      </c>
      <c r="U1689">
        <v>92940</v>
      </c>
      <c r="V1689">
        <v>92940</v>
      </c>
    </row>
    <row r="1690" spans="1:22">
      <c r="A1690" t="s">
        <v>196</v>
      </c>
      <c r="B1690">
        <v>41</v>
      </c>
      <c r="C1690" t="s">
        <v>1097</v>
      </c>
      <c r="D1690">
        <v>100</v>
      </c>
      <c r="E1690" t="s">
        <v>197</v>
      </c>
      <c r="F1690">
        <v>1005</v>
      </c>
      <c r="G1690" t="s">
        <v>111</v>
      </c>
      <c r="H1690">
        <v>2045</v>
      </c>
      <c r="I1690" t="s">
        <v>59</v>
      </c>
      <c r="J1690">
        <v>3046</v>
      </c>
      <c r="K1690" t="s">
        <v>1143</v>
      </c>
      <c r="L1690">
        <v>0</v>
      </c>
      <c r="N1690" t="s">
        <v>356</v>
      </c>
      <c r="O1690">
        <v>4</v>
      </c>
      <c r="P1690">
        <v>3530</v>
      </c>
      <c r="Q1690" t="s">
        <v>1146</v>
      </c>
      <c r="R1690" t="s">
        <v>201</v>
      </c>
      <c r="S1690">
        <v>3</v>
      </c>
      <c r="T1690">
        <v>1</v>
      </c>
      <c r="U1690">
        <v>90144</v>
      </c>
      <c r="V1690">
        <v>270432</v>
      </c>
    </row>
    <row r="1691" spans="1:22">
      <c r="A1691" t="s">
        <v>196</v>
      </c>
      <c r="B1691">
        <v>41</v>
      </c>
      <c r="C1691" t="s">
        <v>1097</v>
      </c>
      <c r="D1691">
        <v>100</v>
      </c>
      <c r="E1691" t="s">
        <v>197</v>
      </c>
      <c r="F1691">
        <v>1005</v>
      </c>
      <c r="G1691" t="s">
        <v>111</v>
      </c>
      <c r="H1691">
        <v>2045</v>
      </c>
      <c r="I1691" t="s">
        <v>59</v>
      </c>
      <c r="J1691">
        <v>3046</v>
      </c>
      <c r="K1691" t="s">
        <v>1143</v>
      </c>
      <c r="L1691">
        <v>0</v>
      </c>
      <c r="N1691" t="s">
        <v>688</v>
      </c>
      <c r="O1691">
        <v>4</v>
      </c>
      <c r="P1691">
        <v>3505</v>
      </c>
      <c r="Q1691" t="s">
        <v>1147</v>
      </c>
      <c r="R1691" t="s">
        <v>201</v>
      </c>
      <c r="S1691">
        <v>2</v>
      </c>
      <c r="T1691">
        <v>1</v>
      </c>
      <c r="U1691">
        <v>84192</v>
      </c>
      <c r="V1691">
        <v>168384</v>
      </c>
    </row>
    <row r="1692" spans="1:22">
      <c r="A1692" t="s">
        <v>196</v>
      </c>
      <c r="B1692">
        <v>41</v>
      </c>
      <c r="C1692" t="s">
        <v>1097</v>
      </c>
      <c r="D1692">
        <v>100</v>
      </c>
      <c r="E1692" t="s">
        <v>197</v>
      </c>
      <c r="F1692">
        <v>1005</v>
      </c>
      <c r="G1692" t="s">
        <v>111</v>
      </c>
      <c r="H1692">
        <v>2045</v>
      </c>
      <c r="I1692" t="s">
        <v>59</v>
      </c>
      <c r="J1692">
        <v>3046</v>
      </c>
      <c r="K1692" t="s">
        <v>1143</v>
      </c>
      <c r="L1692">
        <v>0</v>
      </c>
      <c r="N1692" t="s">
        <v>688</v>
      </c>
      <c r="O1692">
        <v>4</v>
      </c>
      <c r="P1692">
        <v>3505</v>
      </c>
      <c r="Q1692" t="s">
        <v>1147</v>
      </c>
      <c r="R1692" t="s">
        <v>201</v>
      </c>
      <c r="S1692">
        <v>10</v>
      </c>
      <c r="T1692">
        <v>1</v>
      </c>
      <c r="U1692">
        <v>81636</v>
      </c>
      <c r="V1692">
        <v>816360</v>
      </c>
    </row>
    <row r="1693" spans="1:22">
      <c r="A1693" t="s">
        <v>196</v>
      </c>
      <c r="B1693">
        <v>41</v>
      </c>
      <c r="C1693" t="s">
        <v>1097</v>
      </c>
      <c r="D1693">
        <v>100</v>
      </c>
      <c r="E1693" t="s">
        <v>197</v>
      </c>
      <c r="F1693">
        <v>1005</v>
      </c>
      <c r="G1693" t="s">
        <v>111</v>
      </c>
      <c r="H1693">
        <v>2045</v>
      </c>
      <c r="I1693" t="s">
        <v>59</v>
      </c>
      <c r="J1693">
        <v>3046</v>
      </c>
      <c r="K1693" t="s">
        <v>1143</v>
      </c>
      <c r="L1693">
        <v>0</v>
      </c>
      <c r="N1693" t="s">
        <v>247</v>
      </c>
      <c r="O1693">
        <v>10</v>
      </c>
      <c r="P1693">
        <v>3430</v>
      </c>
      <c r="Q1693" t="s">
        <v>1148</v>
      </c>
      <c r="R1693" t="s">
        <v>201</v>
      </c>
      <c r="S1693">
        <v>1</v>
      </c>
      <c r="T1693">
        <v>1</v>
      </c>
      <c r="U1693">
        <v>60660</v>
      </c>
      <c r="V1693">
        <v>60660</v>
      </c>
    </row>
    <row r="1694" spans="1:22">
      <c r="A1694" t="s">
        <v>196</v>
      </c>
      <c r="B1694">
        <v>41</v>
      </c>
      <c r="C1694" t="s">
        <v>1097</v>
      </c>
      <c r="D1694">
        <v>100</v>
      </c>
      <c r="E1694" t="s">
        <v>197</v>
      </c>
      <c r="F1694">
        <v>1005</v>
      </c>
      <c r="G1694" t="s">
        <v>111</v>
      </c>
      <c r="H1694">
        <v>2045</v>
      </c>
      <c r="I1694" t="s">
        <v>59</v>
      </c>
      <c r="J1694">
        <v>3046</v>
      </c>
      <c r="K1694" t="s">
        <v>1143</v>
      </c>
      <c r="L1694">
        <v>0</v>
      </c>
      <c r="N1694" t="s">
        <v>247</v>
      </c>
      <c r="O1694">
        <v>10</v>
      </c>
      <c r="P1694">
        <v>3430</v>
      </c>
      <c r="Q1694" t="s">
        <v>1148</v>
      </c>
      <c r="R1694" t="s">
        <v>201</v>
      </c>
      <c r="S1694">
        <v>1</v>
      </c>
      <c r="T1694">
        <v>1</v>
      </c>
      <c r="U1694">
        <v>57852</v>
      </c>
      <c r="V1694">
        <v>57852</v>
      </c>
    </row>
    <row r="1695" spans="1:22">
      <c r="A1695" t="s">
        <v>196</v>
      </c>
      <c r="B1695">
        <v>41</v>
      </c>
      <c r="C1695" t="s">
        <v>1097</v>
      </c>
      <c r="D1695">
        <v>100</v>
      </c>
      <c r="E1695" t="s">
        <v>197</v>
      </c>
      <c r="F1695">
        <v>1005</v>
      </c>
      <c r="G1695" t="s">
        <v>111</v>
      </c>
      <c r="H1695">
        <v>2045</v>
      </c>
      <c r="I1695" t="s">
        <v>59</v>
      </c>
      <c r="J1695">
        <v>3046</v>
      </c>
      <c r="K1695" t="s">
        <v>1143</v>
      </c>
      <c r="L1695">
        <v>0</v>
      </c>
      <c r="N1695" t="s">
        <v>1003</v>
      </c>
      <c r="O1695">
        <v>10</v>
      </c>
      <c r="P1695">
        <v>3423</v>
      </c>
      <c r="Q1695" t="s">
        <v>1149</v>
      </c>
      <c r="R1695" t="s">
        <v>201</v>
      </c>
      <c r="S1695">
        <v>4</v>
      </c>
      <c r="T1695">
        <v>1</v>
      </c>
      <c r="U1695">
        <v>50328</v>
      </c>
      <c r="V1695">
        <v>201312</v>
      </c>
    </row>
    <row r="1696" spans="1:22">
      <c r="A1696" t="s">
        <v>196</v>
      </c>
      <c r="B1696">
        <v>41</v>
      </c>
      <c r="C1696" t="s">
        <v>1097</v>
      </c>
      <c r="D1696">
        <v>100</v>
      </c>
      <c r="E1696" t="s">
        <v>197</v>
      </c>
      <c r="F1696">
        <v>1005</v>
      </c>
      <c r="G1696" t="s">
        <v>111</v>
      </c>
      <c r="H1696">
        <v>2045</v>
      </c>
      <c r="I1696" t="s">
        <v>59</v>
      </c>
      <c r="J1696">
        <v>3046</v>
      </c>
      <c r="K1696" t="s">
        <v>1143</v>
      </c>
      <c r="L1696">
        <v>0</v>
      </c>
      <c r="N1696" t="s">
        <v>1003</v>
      </c>
      <c r="O1696">
        <v>10</v>
      </c>
      <c r="P1696">
        <v>3423</v>
      </c>
      <c r="Q1696" t="s">
        <v>1149</v>
      </c>
      <c r="R1696" t="s">
        <v>201</v>
      </c>
      <c r="S1696">
        <v>16</v>
      </c>
      <c r="T1696">
        <v>1</v>
      </c>
      <c r="U1696">
        <v>48060</v>
      </c>
      <c r="V1696">
        <v>768960</v>
      </c>
    </row>
    <row r="1697" spans="1:22">
      <c r="A1697" t="s">
        <v>196</v>
      </c>
      <c r="B1697">
        <v>41</v>
      </c>
      <c r="C1697" t="s">
        <v>1097</v>
      </c>
      <c r="D1697">
        <v>100</v>
      </c>
      <c r="E1697" t="s">
        <v>197</v>
      </c>
      <c r="F1697">
        <v>1005</v>
      </c>
      <c r="G1697" t="s">
        <v>111</v>
      </c>
      <c r="H1697">
        <v>2045</v>
      </c>
      <c r="I1697" t="s">
        <v>59</v>
      </c>
      <c r="J1697">
        <v>3046</v>
      </c>
      <c r="K1697" t="s">
        <v>1143</v>
      </c>
      <c r="L1697">
        <v>0</v>
      </c>
      <c r="N1697" t="s">
        <v>199</v>
      </c>
      <c r="O1697">
        <v>0</v>
      </c>
      <c r="P1697">
        <v>15</v>
      </c>
      <c r="Q1697" t="s">
        <v>264</v>
      </c>
      <c r="R1697" t="s">
        <v>201</v>
      </c>
      <c r="S1697">
        <v>0</v>
      </c>
      <c r="T1697">
        <v>0</v>
      </c>
      <c r="U1697">
        <v>46696</v>
      </c>
      <c r="V1697">
        <v>46696</v>
      </c>
    </row>
    <row r="1698" spans="1:22">
      <c r="A1698" t="s">
        <v>196</v>
      </c>
      <c r="B1698">
        <v>41</v>
      </c>
      <c r="C1698" t="s">
        <v>1097</v>
      </c>
      <c r="D1698">
        <v>100</v>
      </c>
      <c r="E1698" t="s">
        <v>197</v>
      </c>
      <c r="F1698">
        <v>1005</v>
      </c>
      <c r="G1698" t="s">
        <v>111</v>
      </c>
      <c r="H1698">
        <v>2045</v>
      </c>
      <c r="I1698" t="s">
        <v>59</v>
      </c>
      <c r="J1698">
        <v>3174</v>
      </c>
      <c r="K1698" t="s">
        <v>1098</v>
      </c>
      <c r="L1698">
        <v>0</v>
      </c>
      <c r="N1698" t="s">
        <v>311</v>
      </c>
      <c r="O1698">
        <v>9</v>
      </c>
      <c r="P1698">
        <v>3348</v>
      </c>
      <c r="Q1698" t="s">
        <v>1119</v>
      </c>
      <c r="R1698" t="s">
        <v>201</v>
      </c>
      <c r="S1698">
        <v>1</v>
      </c>
      <c r="T1698">
        <v>1</v>
      </c>
      <c r="U1698">
        <v>194688</v>
      </c>
      <c r="V1698">
        <v>194688</v>
      </c>
    </row>
    <row r="1699" spans="1:22">
      <c r="A1699" t="s">
        <v>196</v>
      </c>
      <c r="B1699">
        <v>41</v>
      </c>
      <c r="C1699" t="s">
        <v>1097</v>
      </c>
      <c r="D1699">
        <v>100</v>
      </c>
      <c r="E1699" t="s">
        <v>197</v>
      </c>
      <c r="F1699">
        <v>1005</v>
      </c>
      <c r="G1699" t="s">
        <v>111</v>
      </c>
      <c r="H1699">
        <v>2045</v>
      </c>
      <c r="I1699" t="s">
        <v>59</v>
      </c>
      <c r="J1699">
        <v>3174</v>
      </c>
      <c r="K1699" t="s">
        <v>1098</v>
      </c>
      <c r="L1699">
        <v>0</v>
      </c>
      <c r="N1699" t="s">
        <v>199</v>
      </c>
      <c r="O1699">
        <v>0</v>
      </c>
      <c r="P1699">
        <v>15</v>
      </c>
      <c r="Q1699" t="s">
        <v>264</v>
      </c>
      <c r="R1699" t="s">
        <v>201</v>
      </c>
      <c r="S1699">
        <v>0</v>
      </c>
      <c r="T1699">
        <v>0</v>
      </c>
      <c r="U1699">
        <v>213</v>
      </c>
      <c r="V1699">
        <v>213</v>
      </c>
    </row>
    <row r="1700" spans="1:22">
      <c r="A1700" t="s">
        <v>196</v>
      </c>
      <c r="B1700">
        <v>41</v>
      </c>
      <c r="C1700" t="s">
        <v>1097</v>
      </c>
      <c r="D1700">
        <v>100</v>
      </c>
      <c r="E1700" t="s">
        <v>197</v>
      </c>
      <c r="F1700">
        <v>1005</v>
      </c>
      <c r="G1700" t="s">
        <v>111</v>
      </c>
      <c r="H1700">
        <v>2045</v>
      </c>
      <c r="I1700" t="s">
        <v>59</v>
      </c>
      <c r="J1700">
        <v>3178</v>
      </c>
      <c r="K1700" t="s">
        <v>1150</v>
      </c>
      <c r="L1700">
        <v>0</v>
      </c>
      <c r="N1700" t="s">
        <v>392</v>
      </c>
      <c r="O1700">
        <v>4</v>
      </c>
      <c r="P1700">
        <v>3467</v>
      </c>
      <c r="Q1700" t="s">
        <v>1116</v>
      </c>
      <c r="R1700" t="s">
        <v>201</v>
      </c>
      <c r="S1700">
        <v>1</v>
      </c>
      <c r="T1700">
        <v>1</v>
      </c>
      <c r="U1700">
        <v>143400</v>
      </c>
      <c r="V1700">
        <v>143400</v>
      </c>
    </row>
    <row r="1701" spans="1:22">
      <c r="A1701" t="s">
        <v>196</v>
      </c>
      <c r="B1701">
        <v>41</v>
      </c>
      <c r="C1701" t="s">
        <v>1097</v>
      </c>
      <c r="D1701">
        <v>100</v>
      </c>
      <c r="E1701" t="s">
        <v>197</v>
      </c>
      <c r="F1701">
        <v>1005</v>
      </c>
      <c r="G1701" t="s">
        <v>111</v>
      </c>
      <c r="H1701">
        <v>2045</v>
      </c>
      <c r="I1701" t="s">
        <v>59</v>
      </c>
      <c r="J1701">
        <v>3178</v>
      </c>
      <c r="K1701" t="s">
        <v>1150</v>
      </c>
      <c r="L1701">
        <v>0</v>
      </c>
      <c r="N1701" t="s">
        <v>392</v>
      </c>
      <c r="O1701">
        <v>4</v>
      </c>
      <c r="P1701">
        <v>3467</v>
      </c>
      <c r="Q1701" t="s">
        <v>1116</v>
      </c>
      <c r="R1701" t="s">
        <v>201</v>
      </c>
      <c r="S1701">
        <v>1</v>
      </c>
      <c r="T1701">
        <v>1</v>
      </c>
      <c r="U1701">
        <v>136908</v>
      </c>
      <c r="V1701">
        <v>136908</v>
      </c>
    </row>
    <row r="1702" spans="1:22">
      <c r="A1702" t="s">
        <v>196</v>
      </c>
      <c r="B1702">
        <v>41</v>
      </c>
      <c r="C1702" t="s">
        <v>1097</v>
      </c>
      <c r="D1702">
        <v>100</v>
      </c>
      <c r="E1702" t="s">
        <v>197</v>
      </c>
      <c r="F1702">
        <v>1005</v>
      </c>
      <c r="G1702" t="s">
        <v>111</v>
      </c>
      <c r="H1702">
        <v>2045</v>
      </c>
      <c r="I1702" t="s">
        <v>59</v>
      </c>
      <c r="J1702">
        <v>3178</v>
      </c>
      <c r="K1702" t="s">
        <v>1150</v>
      </c>
      <c r="L1702">
        <v>0</v>
      </c>
      <c r="N1702" t="s">
        <v>392</v>
      </c>
      <c r="O1702">
        <v>4</v>
      </c>
      <c r="P1702">
        <v>3467</v>
      </c>
      <c r="Q1702" t="s">
        <v>1116</v>
      </c>
      <c r="R1702" t="s">
        <v>201</v>
      </c>
      <c r="S1702">
        <v>1</v>
      </c>
      <c r="T1702">
        <v>1</v>
      </c>
      <c r="U1702">
        <v>119100</v>
      </c>
      <c r="V1702">
        <v>119100</v>
      </c>
    </row>
    <row r="1703" spans="1:22">
      <c r="A1703" t="s">
        <v>196</v>
      </c>
      <c r="B1703">
        <v>41</v>
      </c>
      <c r="C1703" t="s">
        <v>1097</v>
      </c>
      <c r="D1703">
        <v>100</v>
      </c>
      <c r="E1703" t="s">
        <v>197</v>
      </c>
      <c r="F1703">
        <v>1005</v>
      </c>
      <c r="G1703" t="s">
        <v>111</v>
      </c>
      <c r="H1703">
        <v>2045</v>
      </c>
      <c r="I1703" t="s">
        <v>59</v>
      </c>
      <c r="J1703">
        <v>3178</v>
      </c>
      <c r="K1703" t="s">
        <v>1150</v>
      </c>
      <c r="L1703">
        <v>0</v>
      </c>
      <c r="N1703" t="s">
        <v>392</v>
      </c>
      <c r="O1703">
        <v>4</v>
      </c>
      <c r="P1703">
        <v>3467</v>
      </c>
      <c r="Q1703" t="s">
        <v>1116</v>
      </c>
      <c r="R1703" t="s">
        <v>201</v>
      </c>
      <c r="S1703">
        <v>3</v>
      </c>
      <c r="T1703">
        <v>1</v>
      </c>
      <c r="U1703">
        <v>97956</v>
      </c>
      <c r="V1703">
        <v>293868</v>
      </c>
    </row>
    <row r="1704" spans="1:22">
      <c r="A1704" t="s">
        <v>196</v>
      </c>
      <c r="B1704">
        <v>41</v>
      </c>
      <c r="C1704" t="s">
        <v>1097</v>
      </c>
      <c r="D1704">
        <v>100</v>
      </c>
      <c r="E1704" t="s">
        <v>197</v>
      </c>
      <c r="F1704">
        <v>1005</v>
      </c>
      <c r="G1704" t="s">
        <v>111</v>
      </c>
      <c r="H1704">
        <v>2045</v>
      </c>
      <c r="I1704" t="s">
        <v>59</v>
      </c>
      <c r="J1704">
        <v>3178</v>
      </c>
      <c r="K1704" t="s">
        <v>1150</v>
      </c>
      <c r="L1704">
        <v>0</v>
      </c>
      <c r="N1704" t="s">
        <v>392</v>
      </c>
      <c r="O1704">
        <v>4</v>
      </c>
      <c r="P1704">
        <v>3467</v>
      </c>
      <c r="Q1704" t="s">
        <v>1116</v>
      </c>
      <c r="R1704" t="s">
        <v>201</v>
      </c>
      <c r="S1704">
        <v>2</v>
      </c>
      <c r="T1704">
        <v>1</v>
      </c>
      <c r="U1704">
        <v>93504</v>
      </c>
      <c r="V1704">
        <v>187008</v>
      </c>
    </row>
    <row r="1705" spans="1:22">
      <c r="A1705" t="s">
        <v>196</v>
      </c>
      <c r="B1705">
        <v>41</v>
      </c>
      <c r="C1705" t="s">
        <v>1097</v>
      </c>
      <c r="D1705">
        <v>100</v>
      </c>
      <c r="E1705" t="s">
        <v>197</v>
      </c>
      <c r="F1705">
        <v>1005</v>
      </c>
      <c r="G1705" t="s">
        <v>111</v>
      </c>
      <c r="H1705">
        <v>2045</v>
      </c>
      <c r="I1705" t="s">
        <v>59</v>
      </c>
      <c r="J1705">
        <v>3178</v>
      </c>
      <c r="K1705" t="s">
        <v>1150</v>
      </c>
      <c r="L1705">
        <v>0</v>
      </c>
      <c r="N1705" t="s">
        <v>372</v>
      </c>
      <c r="O1705">
        <v>4</v>
      </c>
      <c r="P1705">
        <v>3466</v>
      </c>
      <c r="Q1705" t="s">
        <v>1129</v>
      </c>
      <c r="R1705" t="s">
        <v>201</v>
      </c>
      <c r="S1705">
        <v>1</v>
      </c>
      <c r="T1705">
        <v>1</v>
      </c>
      <c r="U1705">
        <v>81324</v>
      </c>
      <c r="V1705">
        <v>81324</v>
      </c>
    </row>
    <row r="1706" spans="1:22">
      <c r="A1706" t="s">
        <v>196</v>
      </c>
      <c r="B1706">
        <v>41</v>
      </c>
      <c r="C1706" t="s">
        <v>1097</v>
      </c>
      <c r="D1706">
        <v>100</v>
      </c>
      <c r="E1706" t="s">
        <v>197</v>
      </c>
      <c r="F1706">
        <v>1005</v>
      </c>
      <c r="G1706" t="s">
        <v>111</v>
      </c>
      <c r="H1706">
        <v>2045</v>
      </c>
      <c r="I1706" t="s">
        <v>59</v>
      </c>
      <c r="J1706">
        <v>3178</v>
      </c>
      <c r="K1706" t="s">
        <v>1150</v>
      </c>
      <c r="L1706">
        <v>0</v>
      </c>
      <c r="N1706" t="s">
        <v>249</v>
      </c>
      <c r="O1706">
        <v>10</v>
      </c>
      <c r="P1706">
        <v>3092</v>
      </c>
      <c r="Q1706" t="s">
        <v>750</v>
      </c>
      <c r="R1706" t="s">
        <v>201</v>
      </c>
      <c r="S1706">
        <v>1</v>
      </c>
      <c r="T1706">
        <v>1</v>
      </c>
      <c r="U1706">
        <v>143232</v>
      </c>
      <c r="V1706">
        <v>143232</v>
      </c>
    </row>
    <row r="1707" spans="1:22">
      <c r="A1707" t="s">
        <v>196</v>
      </c>
      <c r="B1707">
        <v>41</v>
      </c>
      <c r="C1707" t="s">
        <v>1097</v>
      </c>
      <c r="D1707">
        <v>100</v>
      </c>
      <c r="E1707" t="s">
        <v>197</v>
      </c>
      <c r="F1707">
        <v>1005</v>
      </c>
      <c r="G1707" t="s">
        <v>111</v>
      </c>
      <c r="H1707">
        <v>2045</v>
      </c>
      <c r="I1707" t="s">
        <v>59</v>
      </c>
      <c r="J1707">
        <v>3178</v>
      </c>
      <c r="K1707" t="s">
        <v>1150</v>
      </c>
      <c r="L1707">
        <v>0</v>
      </c>
      <c r="N1707" t="s">
        <v>274</v>
      </c>
      <c r="O1707">
        <v>20</v>
      </c>
      <c r="P1707">
        <v>383</v>
      </c>
      <c r="Q1707" t="s">
        <v>354</v>
      </c>
      <c r="R1707" t="s">
        <v>201</v>
      </c>
      <c r="S1707">
        <v>1</v>
      </c>
      <c r="T1707">
        <v>1</v>
      </c>
      <c r="U1707">
        <v>121668</v>
      </c>
      <c r="V1707">
        <v>121668</v>
      </c>
    </row>
    <row r="1708" spans="1:22">
      <c r="A1708" t="s">
        <v>196</v>
      </c>
      <c r="B1708">
        <v>41</v>
      </c>
      <c r="C1708" t="s">
        <v>1097</v>
      </c>
      <c r="D1708">
        <v>100</v>
      </c>
      <c r="E1708" t="s">
        <v>197</v>
      </c>
      <c r="F1708">
        <v>1005</v>
      </c>
      <c r="G1708" t="s">
        <v>111</v>
      </c>
      <c r="H1708">
        <v>2045</v>
      </c>
      <c r="I1708" t="s">
        <v>59</v>
      </c>
      <c r="J1708">
        <v>3178</v>
      </c>
      <c r="K1708" t="s">
        <v>1150</v>
      </c>
      <c r="L1708">
        <v>0</v>
      </c>
      <c r="N1708" t="s">
        <v>199</v>
      </c>
      <c r="O1708">
        <v>0</v>
      </c>
      <c r="P1708">
        <v>15</v>
      </c>
      <c r="Q1708" t="s">
        <v>264</v>
      </c>
      <c r="R1708" t="s">
        <v>201</v>
      </c>
      <c r="S1708">
        <v>0</v>
      </c>
      <c r="T1708">
        <v>0</v>
      </c>
      <c r="U1708">
        <v>16538</v>
      </c>
      <c r="V1708">
        <v>16538</v>
      </c>
    </row>
    <row r="1709" spans="1:22">
      <c r="A1709" t="s">
        <v>196</v>
      </c>
      <c r="B1709">
        <v>41</v>
      </c>
      <c r="C1709" t="s">
        <v>1097</v>
      </c>
      <c r="D1709">
        <v>100</v>
      </c>
      <c r="E1709" t="s">
        <v>197</v>
      </c>
      <c r="F1709">
        <v>1005</v>
      </c>
      <c r="G1709" t="s">
        <v>111</v>
      </c>
      <c r="H1709">
        <v>2045</v>
      </c>
      <c r="I1709" t="s">
        <v>59</v>
      </c>
      <c r="J1709">
        <v>3182</v>
      </c>
      <c r="K1709" t="s">
        <v>1151</v>
      </c>
      <c r="L1709">
        <v>0</v>
      </c>
      <c r="N1709" t="s">
        <v>372</v>
      </c>
      <c r="O1709">
        <v>3</v>
      </c>
      <c r="P1709">
        <v>3897</v>
      </c>
      <c r="Q1709" t="s">
        <v>1152</v>
      </c>
      <c r="R1709" t="s">
        <v>201</v>
      </c>
      <c r="S1709">
        <v>1</v>
      </c>
      <c r="T1709">
        <v>1</v>
      </c>
      <c r="U1709">
        <v>89244</v>
      </c>
      <c r="V1709">
        <v>89244</v>
      </c>
    </row>
    <row r="1710" spans="1:22">
      <c r="A1710" t="s">
        <v>196</v>
      </c>
      <c r="B1710">
        <v>41</v>
      </c>
      <c r="C1710" t="s">
        <v>1097</v>
      </c>
      <c r="D1710">
        <v>100</v>
      </c>
      <c r="E1710" t="s">
        <v>197</v>
      </c>
      <c r="F1710">
        <v>1005</v>
      </c>
      <c r="G1710" t="s">
        <v>111</v>
      </c>
      <c r="H1710">
        <v>2045</v>
      </c>
      <c r="I1710" t="s">
        <v>59</v>
      </c>
      <c r="J1710">
        <v>3182</v>
      </c>
      <c r="K1710" t="s">
        <v>1151</v>
      </c>
      <c r="L1710">
        <v>0</v>
      </c>
      <c r="N1710" t="s">
        <v>271</v>
      </c>
      <c r="O1710">
        <v>20</v>
      </c>
      <c r="P1710">
        <v>3764</v>
      </c>
      <c r="Q1710" t="s">
        <v>1153</v>
      </c>
      <c r="R1710" t="s">
        <v>201</v>
      </c>
      <c r="S1710">
        <v>3</v>
      </c>
      <c r="T1710">
        <v>1</v>
      </c>
      <c r="U1710">
        <v>140496</v>
      </c>
      <c r="V1710">
        <v>421488</v>
      </c>
    </row>
    <row r="1711" spans="1:22">
      <c r="A1711" t="s">
        <v>196</v>
      </c>
      <c r="B1711">
        <v>41</v>
      </c>
      <c r="C1711" t="s">
        <v>1097</v>
      </c>
      <c r="D1711">
        <v>100</v>
      </c>
      <c r="E1711" t="s">
        <v>197</v>
      </c>
      <c r="F1711">
        <v>1005</v>
      </c>
      <c r="G1711" t="s">
        <v>111</v>
      </c>
      <c r="H1711">
        <v>2045</v>
      </c>
      <c r="I1711" t="s">
        <v>59</v>
      </c>
      <c r="J1711">
        <v>3182</v>
      </c>
      <c r="K1711" t="s">
        <v>1151</v>
      </c>
      <c r="L1711">
        <v>0</v>
      </c>
      <c r="N1711" t="s">
        <v>271</v>
      </c>
      <c r="O1711">
        <v>20</v>
      </c>
      <c r="P1711">
        <v>3764</v>
      </c>
      <c r="Q1711" t="s">
        <v>1153</v>
      </c>
      <c r="R1711" t="s">
        <v>201</v>
      </c>
      <c r="S1711">
        <v>1</v>
      </c>
      <c r="T1711">
        <v>1</v>
      </c>
      <c r="U1711">
        <v>135744</v>
      </c>
      <c r="V1711">
        <v>135744</v>
      </c>
    </row>
    <row r="1712" spans="1:22">
      <c r="A1712" t="s">
        <v>196</v>
      </c>
      <c r="B1712">
        <v>41</v>
      </c>
      <c r="C1712" t="s">
        <v>1097</v>
      </c>
      <c r="D1712">
        <v>100</v>
      </c>
      <c r="E1712" t="s">
        <v>197</v>
      </c>
      <c r="F1712">
        <v>1005</v>
      </c>
      <c r="G1712" t="s">
        <v>111</v>
      </c>
      <c r="H1712">
        <v>2045</v>
      </c>
      <c r="I1712" t="s">
        <v>59</v>
      </c>
      <c r="J1712">
        <v>3182</v>
      </c>
      <c r="K1712" t="s">
        <v>1151</v>
      </c>
      <c r="L1712">
        <v>0</v>
      </c>
      <c r="N1712" t="s">
        <v>1124</v>
      </c>
      <c r="O1712">
        <v>37</v>
      </c>
      <c r="P1712">
        <v>3752</v>
      </c>
      <c r="Q1712" t="s">
        <v>1125</v>
      </c>
      <c r="R1712" t="s">
        <v>201</v>
      </c>
      <c r="S1712">
        <v>3</v>
      </c>
      <c r="T1712">
        <v>1</v>
      </c>
      <c r="U1712">
        <v>96708</v>
      </c>
      <c r="V1712">
        <v>290124</v>
      </c>
    </row>
    <row r="1713" spans="1:22">
      <c r="A1713" t="s">
        <v>196</v>
      </c>
      <c r="B1713">
        <v>41</v>
      </c>
      <c r="C1713" t="s">
        <v>1097</v>
      </c>
      <c r="D1713">
        <v>100</v>
      </c>
      <c r="E1713" t="s">
        <v>197</v>
      </c>
      <c r="F1713">
        <v>1005</v>
      </c>
      <c r="G1713" t="s">
        <v>111</v>
      </c>
      <c r="H1713">
        <v>2045</v>
      </c>
      <c r="I1713" t="s">
        <v>59</v>
      </c>
      <c r="J1713">
        <v>3182</v>
      </c>
      <c r="K1713" t="s">
        <v>1151</v>
      </c>
      <c r="L1713">
        <v>0</v>
      </c>
      <c r="N1713" t="s">
        <v>1124</v>
      </c>
      <c r="O1713">
        <v>37</v>
      </c>
      <c r="P1713">
        <v>3752</v>
      </c>
      <c r="Q1713" t="s">
        <v>1125</v>
      </c>
      <c r="R1713" t="s">
        <v>201</v>
      </c>
      <c r="S1713">
        <v>4</v>
      </c>
      <c r="T1713">
        <v>1</v>
      </c>
      <c r="U1713">
        <v>87504</v>
      </c>
      <c r="V1713">
        <v>350016</v>
      </c>
    </row>
    <row r="1714" spans="1:22">
      <c r="A1714" t="s">
        <v>196</v>
      </c>
      <c r="B1714">
        <v>41</v>
      </c>
      <c r="C1714" t="s">
        <v>1097</v>
      </c>
      <c r="D1714">
        <v>100</v>
      </c>
      <c r="E1714" t="s">
        <v>197</v>
      </c>
      <c r="F1714">
        <v>1005</v>
      </c>
      <c r="G1714" t="s">
        <v>111</v>
      </c>
      <c r="H1714">
        <v>2045</v>
      </c>
      <c r="I1714" t="s">
        <v>59</v>
      </c>
      <c r="J1714">
        <v>3182</v>
      </c>
      <c r="K1714" t="s">
        <v>1151</v>
      </c>
      <c r="L1714">
        <v>0</v>
      </c>
      <c r="N1714" t="s">
        <v>1154</v>
      </c>
      <c r="O1714">
        <v>56</v>
      </c>
      <c r="P1714">
        <v>3701</v>
      </c>
      <c r="Q1714" t="s">
        <v>1155</v>
      </c>
      <c r="R1714" t="s">
        <v>201</v>
      </c>
      <c r="S1714">
        <v>1</v>
      </c>
      <c r="T1714">
        <v>1</v>
      </c>
      <c r="U1714">
        <v>94080</v>
      </c>
      <c r="V1714">
        <v>94080</v>
      </c>
    </row>
    <row r="1715" spans="1:22">
      <c r="A1715" t="s">
        <v>196</v>
      </c>
      <c r="B1715">
        <v>41</v>
      </c>
      <c r="C1715" t="s">
        <v>1097</v>
      </c>
      <c r="D1715">
        <v>100</v>
      </c>
      <c r="E1715" t="s">
        <v>197</v>
      </c>
      <c r="F1715">
        <v>1005</v>
      </c>
      <c r="G1715" t="s">
        <v>111</v>
      </c>
      <c r="H1715">
        <v>2045</v>
      </c>
      <c r="I1715" t="s">
        <v>59</v>
      </c>
      <c r="J1715">
        <v>3182</v>
      </c>
      <c r="K1715" t="s">
        <v>1151</v>
      </c>
      <c r="L1715">
        <v>0</v>
      </c>
      <c r="N1715" t="s">
        <v>622</v>
      </c>
      <c r="O1715">
        <v>1</v>
      </c>
      <c r="P1715">
        <v>3566</v>
      </c>
      <c r="Q1715" t="s">
        <v>1156</v>
      </c>
      <c r="R1715" t="s">
        <v>201</v>
      </c>
      <c r="S1715">
        <v>1</v>
      </c>
      <c r="T1715">
        <v>1</v>
      </c>
      <c r="U1715">
        <v>90144</v>
      </c>
      <c r="V1715">
        <v>90144</v>
      </c>
    </row>
    <row r="1716" spans="1:22">
      <c r="A1716" t="s">
        <v>196</v>
      </c>
      <c r="B1716">
        <v>41</v>
      </c>
      <c r="C1716" t="s">
        <v>1097</v>
      </c>
      <c r="D1716">
        <v>100</v>
      </c>
      <c r="E1716" t="s">
        <v>197</v>
      </c>
      <c r="F1716">
        <v>1005</v>
      </c>
      <c r="G1716" t="s">
        <v>111</v>
      </c>
      <c r="H1716">
        <v>2045</v>
      </c>
      <c r="I1716" t="s">
        <v>59</v>
      </c>
      <c r="J1716">
        <v>3182</v>
      </c>
      <c r="K1716" t="s">
        <v>1151</v>
      </c>
      <c r="L1716">
        <v>0</v>
      </c>
      <c r="N1716" t="s">
        <v>622</v>
      </c>
      <c r="O1716">
        <v>1</v>
      </c>
      <c r="P1716">
        <v>3566</v>
      </c>
      <c r="Q1716" t="s">
        <v>1156</v>
      </c>
      <c r="R1716" t="s">
        <v>201</v>
      </c>
      <c r="S1716">
        <v>2</v>
      </c>
      <c r="T1716">
        <v>1</v>
      </c>
      <c r="U1716">
        <v>56124</v>
      </c>
      <c r="V1716">
        <v>112248</v>
      </c>
    </row>
    <row r="1717" spans="1:22">
      <c r="A1717" t="s">
        <v>196</v>
      </c>
      <c r="B1717">
        <v>41</v>
      </c>
      <c r="C1717" t="s">
        <v>1097</v>
      </c>
      <c r="D1717">
        <v>100</v>
      </c>
      <c r="E1717" t="s">
        <v>197</v>
      </c>
      <c r="F1717">
        <v>1005</v>
      </c>
      <c r="G1717" t="s">
        <v>111</v>
      </c>
      <c r="H1717">
        <v>2045</v>
      </c>
      <c r="I1717" t="s">
        <v>59</v>
      </c>
      <c r="J1717">
        <v>3182</v>
      </c>
      <c r="K1717" t="s">
        <v>1151</v>
      </c>
      <c r="L1717">
        <v>0</v>
      </c>
      <c r="N1717" t="s">
        <v>622</v>
      </c>
      <c r="O1717">
        <v>1</v>
      </c>
      <c r="P1717">
        <v>3566</v>
      </c>
      <c r="Q1717" t="s">
        <v>1156</v>
      </c>
      <c r="R1717" t="s">
        <v>201</v>
      </c>
      <c r="S1717">
        <v>1</v>
      </c>
      <c r="T1717">
        <v>1</v>
      </c>
      <c r="U1717">
        <v>53532</v>
      </c>
      <c r="V1717">
        <v>53532</v>
      </c>
    </row>
    <row r="1718" spans="1:22">
      <c r="A1718" t="s">
        <v>196</v>
      </c>
      <c r="B1718">
        <v>41</v>
      </c>
      <c r="C1718" t="s">
        <v>1097</v>
      </c>
      <c r="D1718">
        <v>100</v>
      </c>
      <c r="E1718" t="s">
        <v>197</v>
      </c>
      <c r="F1718">
        <v>1005</v>
      </c>
      <c r="G1718" t="s">
        <v>111</v>
      </c>
      <c r="H1718">
        <v>2045</v>
      </c>
      <c r="I1718" t="s">
        <v>59</v>
      </c>
      <c r="J1718">
        <v>3182</v>
      </c>
      <c r="K1718" t="s">
        <v>1151</v>
      </c>
      <c r="L1718">
        <v>0</v>
      </c>
      <c r="N1718" t="s">
        <v>622</v>
      </c>
      <c r="O1718">
        <v>1</v>
      </c>
      <c r="P1718">
        <v>3566</v>
      </c>
      <c r="Q1718" t="s">
        <v>1156</v>
      </c>
      <c r="R1718" t="s">
        <v>201</v>
      </c>
      <c r="S1718">
        <v>1</v>
      </c>
      <c r="T1718">
        <v>1</v>
      </c>
      <c r="U1718">
        <v>51936</v>
      </c>
      <c r="V1718">
        <v>51936</v>
      </c>
    </row>
    <row r="1719" spans="1:22">
      <c r="A1719" t="s">
        <v>196</v>
      </c>
      <c r="B1719">
        <v>41</v>
      </c>
      <c r="C1719" t="s">
        <v>1097</v>
      </c>
      <c r="D1719">
        <v>100</v>
      </c>
      <c r="E1719" t="s">
        <v>197</v>
      </c>
      <c r="F1719">
        <v>1005</v>
      </c>
      <c r="G1719" t="s">
        <v>111</v>
      </c>
      <c r="H1719">
        <v>2045</v>
      </c>
      <c r="I1719" t="s">
        <v>59</v>
      </c>
      <c r="J1719">
        <v>3182</v>
      </c>
      <c r="K1719" t="s">
        <v>1151</v>
      </c>
      <c r="L1719">
        <v>0</v>
      </c>
      <c r="N1719" t="s">
        <v>271</v>
      </c>
      <c r="O1719">
        <v>10</v>
      </c>
      <c r="P1719">
        <v>3563</v>
      </c>
      <c r="Q1719" t="s">
        <v>1157</v>
      </c>
      <c r="R1719" t="s">
        <v>201</v>
      </c>
      <c r="S1719">
        <v>1</v>
      </c>
      <c r="T1719">
        <v>1</v>
      </c>
      <c r="U1719">
        <v>144756</v>
      </c>
      <c r="V1719">
        <v>144756</v>
      </c>
    </row>
    <row r="1720" spans="1:22">
      <c r="A1720" t="s">
        <v>196</v>
      </c>
      <c r="B1720">
        <v>41</v>
      </c>
      <c r="C1720" t="s">
        <v>1097</v>
      </c>
      <c r="D1720">
        <v>100</v>
      </c>
      <c r="E1720" t="s">
        <v>197</v>
      </c>
      <c r="F1720">
        <v>1005</v>
      </c>
      <c r="G1720" t="s">
        <v>111</v>
      </c>
      <c r="H1720">
        <v>2045</v>
      </c>
      <c r="I1720" t="s">
        <v>59</v>
      </c>
      <c r="J1720">
        <v>3182</v>
      </c>
      <c r="K1720" t="s">
        <v>1151</v>
      </c>
      <c r="L1720">
        <v>0</v>
      </c>
      <c r="N1720" t="s">
        <v>271</v>
      </c>
      <c r="O1720">
        <v>10</v>
      </c>
      <c r="P1720">
        <v>3563</v>
      </c>
      <c r="Q1720" t="s">
        <v>1157</v>
      </c>
      <c r="R1720" t="s">
        <v>201</v>
      </c>
      <c r="S1720">
        <v>2</v>
      </c>
      <c r="T1720">
        <v>1</v>
      </c>
      <c r="U1720">
        <v>121320</v>
      </c>
      <c r="V1720">
        <v>242640</v>
      </c>
    </row>
    <row r="1721" spans="1:22">
      <c r="A1721" t="s">
        <v>196</v>
      </c>
      <c r="B1721">
        <v>41</v>
      </c>
      <c r="C1721" t="s">
        <v>1097</v>
      </c>
      <c r="D1721">
        <v>100</v>
      </c>
      <c r="E1721" t="s">
        <v>197</v>
      </c>
      <c r="F1721">
        <v>1005</v>
      </c>
      <c r="G1721" t="s">
        <v>111</v>
      </c>
      <c r="H1721">
        <v>2045</v>
      </c>
      <c r="I1721" t="s">
        <v>59</v>
      </c>
      <c r="J1721">
        <v>3182</v>
      </c>
      <c r="K1721" t="s">
        <v>1151</v>
      </c>
      <c r="L1721">
        <v>0</v>
      </c>
      <c r="N1721" t="s">
        <v>271</v>
      </c>
      <c r="O1721">
        <v>10</v>
      </c>
      <c r="P1721">
        <v>3563</v>
      </c>
      <c r="Q1721" t="s">
        <v>1157</v>
      </c>
      <c r="R1721" t="s">
        <v>201</v>
      </c>
      <c r="S1721">
        <v>2</v>
      </c>
      <c r="T1721">
        <v>1</v>
      </c>
      <c r="U1721">
        <v>115992</v>
      </c>
      <c r="V1721">
        <v>231984</v>
      </c>
    </row>
    <row r="1722" spans="1:22">
      <c r="A1722" t="s">
        <v>196</v>
      </c>
      <c r="B1722">
        <v>41</v>
      </c>
      <c r="C1722" t="s">
        <v>1097</v>
      </c>
      <c r="D1722">
        <v>100</v>
      </c>
      <c r="E1722" t="s">
        <v>197</v>
      </c>
      <c r="F1722">
        <v>1005</v>
      </c>
      <c r="G1722" t="s">
        <v>111</v>
      </c>
      <c r="H1722">
        <v>2045</v>
      </c>
      <c r="I1722" t="s">
        <v>59</v>
      </c>
      <c r="J1722">
        <v>3182</v>
      </c>
      <c r="K1722" t="s">
        <v>1151</v>
      </c>
      <c r="L1722">
        <v>0</v>
      </c>
      <c r="N1722" t="s">
        <v>356</v>
      </c>
      <c r="O1722">
        <v>4</v>
      </c>
      <c r="P1722">
        <v>3534</v>
      </c>
      <c r="Q1722" t="s">
        <v>1158</v>
      </c>
      <c r="R1722" t="s">
        <v>201</v>
      </c>
      <c r="S1722">
        <v>1</v>
      </c>
      <c r="T1722">
        <v>1</v>
      </c>
      <c r="U1722">
        <v>129636</v>
      </c>
      <c r="V1722">
        <v>129636</v>
      </c>
    </row>
    <row r="1723" spans="1:22">
      <c r="A1723" t="s">
        <v>196</v>
      </c>
      <c r="B1723">
        <v>41</v>
      </c>
      <c r="C1723" t="s">
        <v>1097</v>
      </c>
      <c r="D1723">
        <v>100</v>
      </c>
      <c r="E1723" t="s">
        <v>197</v>
      </c>
      <c r="F1723">
        <v>1005</v>
      </c>
      <c r="G1723" t="s">
        <v>111</v>
      </c>
      <c r="H1723">
        <v>2045</v>
      </c>
      <c r="I1723" t="s">
        <v>59</v>
      </c>
      <c r="J1723">
        <v>3182</v>
      </c>
      <c r="K1723" t="s">
        <v>1151</v>
      </c>
      <c r="L1723">
        <v>0</v>
      </c>
      <c r="N1723" t="s">
        <v>356</v>
      </c>
      <c r="O1723">
        <v>4</v>
      </c>
      <c r="P1723">
        <v>3534</v>
      </c>
      <c r="Q1723" t="s">
        <v>1158</v>
      </c>
      <c r="R1723" t="s">
        <v>201</v>
      </c>
      <c r="S1723">
        <v>6</v>
      </c>
      <c r="T1723">
        <v>1</v>
      </c>
      <c r="U1723">
        <v>97488</v>
      </c>
      <c r="V1723">
        <v>584928</v>
      </c>
    </row>
    <row r="1724" spans="1:22">
      <c r="A1724" t="s">
        <v>196</v>
      </c>
      <c r="B1724">
        <v>41</v>
      </c>
      <c r="C1724" t="s">
        <v>1097</v>
      </c>
      <c r="D1724">
        <v>100</v>
      </c>
      <c r="E1724" t="s">
        <v>197</v>
      </c>
      <c r="F1724">
        <v>1005</v>
      </c>
      <c r="G1724" t="s">
        <v>111</v>
      </c>
      <c r="H1724">
        <v>2045</v>
      </c>
      <c r="I1724" t="s">
        <v>59</v>
      </c>
      <c r="J1724">
        <v>3182</v>
      </c>
      <c r="K1724" t="s">
        <v>1151</v>
      </c>
      <c r="L1724">
        <v>0</v>
      </c>
      <c r="N1724" t="s">
        <v>356</v>
      </c>
      <c r="O1724">
        <v>4</v>
      </c>
      <c r="P1724">
        <v>3534</v>
      </c>
      <c r="Q1724" t="s">
        <v>1158</v>
      </c>
      <c r="R1724" t="s">
        <v>201</v>
      </c>
      <c r="S1724">
        <v>1</v>
      </c>
      <c r="T1724">
        <v>1</v>
      </c>
      <c r="U1724">
        <v>92940</v>
      </c>
      <c r="V1724">
        <v>92940</v>
      </c>
    </row>
    <row r="1725" spans="1:22">
      <c r="A1725" t="s">
        <v>196</v>
      </c>
      <c r="B1725">
        <v>41</v>
      </c>
      <c r="C1725" t="s">
        <v>1097</v>
      </c>
      <c r="D1725">
        <v>100</v>
      </c>
      <c r="E1725" t="s">
        <v>197</v>
      </c>
      <c r="F1725">
        <v>1005</v>
      </c>
      <c r="G1725" t="s">
        <v>111</v>
      </c>
      <c r="H1725">
        <v>2045</v>
      </c>
      <c r="I1725" t="s">
        <v>59</v>
      </c>
      <c r="J1725">
        <v>3182</v>
      </c>
      <c r="K1725" t="s">
        <v>1151</v>
      </c>
      <c r="L1725">
        <v>0</v>
      </c>
      <c r="N1725" t="s">
        <v>688</v>
      </c>
      <c r="O1725">
        <v>4</v>
      </c>
      <c r="P1725">
        <v>3533</v>
      </c>
      <c r="Q1725" t="s">
        <v>1159</v>
      </c>
      <c r="R1725" t="s">
        <v>201</v>
      </c>
      <c r="S1725">
        <v>9</v>
      </c>
      <c r="T1725">
        <v>1</v>
      </c>
      <c r="U1725">
        <v>84192</v>
      </c>
      <c r="V1725">
        <v>757728</v>
      </c>
    </row>
    <row r="1726" spans="1:22">
      <c r="A1726" t="s">
        <v>196</v>
      </c>
      <c r="B1726">
        <v>41</v>
      </c>
      <c r="C1726" t="s">
        <v>1097</v>
      </c>
      <c r="D1726">
        <v>100</v>
      </c>
      <c r="E1726" t="s">
        <v>197</v>
      </c>
      <c r="F1726">
        <v>1005</v>
      </c>
      <c r="G1726" t="s">
        <v>111</v>
      </c>
      <c r="H1726">
        <v>2045</v>
      </c>
      <c r="I1726" t="s">
        <v>59</v>
      </c>
      <c r="J1726">
        <v>3182</v>
      </c>
      <c r="K1726" t="s">
        <v>1151</v>
      </c>
      <c r="L1726">
        <v>0</v>
      </c>
      <c r="N1726" t="s">
        <v>688</v>
      </c>
      <c r="O1726">
        <v>4</v>
      </c>
      <c r="P1726">
        <v>3533</v>
      </c>
      <c r="Q1726" t="s">
        <v>1159</v>
      </c>
      <c r="R1726" t="s">
        <v>201</v>
      </c>
      <c r="S1726">
        <v>1</v>
      </c>
      <c r="T1726">
        <v>1</v>
      </c>
      <c r="U1726">
        <v>81636</v>
      </c>
      <c r="V1726">
        <v>81636</v>
      </c>
    </row>
    <row r="1727" spans="1:22">
      <c r="A1727" t="s">
        <v>196</v>
      </c>
      <c r="B1727">
        <v>41</v>
      </c>
      <c r="C1727" t="s">
        <v>1097</v>
      </c>
      <c r="D1727">
        <v>100</v>
      </c>
      <c r="E1727" t="s">
        <v>197</v>
      </c>
      <c r="F1727">
        <v>1005</v>
      </c>
      <c r="G1727" t="s">
        <v>111</v>
      </c>
      <c r="H1727">
        <v>2045</v>
      </c>
      <c r="I1727" t="s">
        <v>59</v>
      </c>
      <c r="J1727">
        <v>3182</v>
      </c>
      <c r="K1727" t="s">
        <v>1151</v>
      </c>
      <c r="L1727">
        <v>0</v>
      </c>
      <c r="N1727" t="s">
        <v>343</v>
      </c>
      <c r="O1727">
        <v>10</v>
      </c>
      <c r="P1727">
        <v>3469</v>
      </c>
      <c r="Q1727" t="s">
        <v>1160</v>
      </c>
      <c r="R1727" t="s">
        <v>201</v>
      </c>
      <c r="S1727">
        <v>1</v>
      </c>
      <c r="T1727">
        <v>1</v>
      </c>
      <c r="U1727">
        <v>97836</v>
      </c>
      <c r="V1727">
        <v>97836</v>
      </c>
    </row>
    <row r="1728" spans="1:22">
      <c r="A1728" t="s">
        <v>196</v>
      </c>
      <c r="B1728">
        <v>41</v>
      </c>
      <c r="C1728" t="s">
        <v>1097</v>
      </c>
      <c r="D1728">
        <v>100</v>
      </c>
      <c r="E1728" t="s">
        <v>197</v>
      </c>
      <c r="F1728">
        <v>1005</v>
      </c>
      <c r="G1728" t="s">
        <v>111</v>
      </c>
      <c r="H1728">
        <v>2045</v>
      </c>
      <c r="I1728" t="s">
        <v>59</v>
      </c>
      <c r="J1728">
        <v>3182</v>
      </c>
      <c r="K1728" t="s">
        <v>1151</v>
      </c>
      <c r="L1728">
        <v>0</v>
      </c>
      <c r="N1728" t="s">
        <v>360</v>
      </c>
      <c r="O1728">
        <v>3</v>
      </c>
      <c r="P1728">
        <v>3417</v>
      </c>
      <c r="Q1728" t="s">
        <v>1130</v>
      </c>
      <c r="R1728" t="s">
        <v>201</v>
      </c>
      <c r="S1728">
        <v>1</v>
      </c>
      <c r="T1728">
        <v>1</v>
      </c>
      <c r="U1728">
        <v>57000</v>
      </c>
      <c r="V1728">
        <v>57000</v>
      </c>
    </row>
    <row r="1729" spans="1:22">
      <c r="A1729" t="s">
        <v>196</v>
      </c>
      <c r="B1729">
        <v>41</v>
      </c>
      <c r="C1729" t="s">
        <v>1097</v>
      </c>
      <c r="D1729">
        <v>100</v>
      </c>
      <c r="E1729" t="s">
        <v>197</v>
      </c>
      <c r="F1729">
        <v>1005</v>
      </c>
      <c r="G1729" t="s">
        <v>111</v>
      </c>
      <c r="H1729">
        <v>2045</v>
      </c>
      <c r="I1729" t="s">
        <v>59</v>
      </c>
      <c r="J1729">
        <v>3182</v>
      </c>
      <c r="K1729" t="s">
        <v>1151</v>
      </c>
      <c r="L1729">
        <v>0</v>
      </c>
      <c r="N1729" t="s">
        <v>1161</v>
      </c>
      <c r="O1729">
        <v>9</v>
      </c>
      <c r="P1729">
        <v>3384</v>
      </c>
      <c r="Q1729" t="s">
        <v>1162</v>
      </c>
      <c r="R1729" t="s">
        <v>713</v>
      </c>
      <c r="S1729">
        <v>2000</v>
      </c>
      <c r="T1729">
        <v>0</v>
      </c>
      <c r="U1729">
        <v>138.4</v>
      </c>
      <c r="V1729">
        <v>276800</v>
      </c>
    </row>
    <row r="1730" spans="1:22">
      <c r="A1730" t="s">
        <v>196</v>
      </c>
      <c r="B1730">
        <v>41</v>
      </c>
      <c r="C1730" t="s">
        <v>1097</v>
      </c>
      <c r="D1730">
        <v>100</v>
      </c>
      <c r="E1730" t="s">
        <v>197</v>
      </c>
      <c r="F1730">
        <v>1005</v>
      </c>
      <c r="G1730" t="s">
        <v>111</v>
      </c>
      <c r="H1730">
        <v>2045</v>
      </c>
      <c r="I1730" t="s">
        <v>59</v>
      </c>
      <c r="J1730">
        <v>3182</v>
      </c>
      <c r="K1730" t="s">
        <v>1151</v>
      </c>
      <c r="L1730">
        <v>0</v>
      </c>
      <c r="N1730" t="s">
        <v>274</v>
      </c>
      <c r="O1730">
        <v>9</v>
      </c>
      <c r="P1730">
        <v>313</v>
      </c>
      <c r="Q1730" t="s">
        <v>605</v>
      </c>
      <c r="R1730" t="s">
        <v>201</v>
      </c>
      <c r="S1730">
        <v>1</v>
      </c>
      <c r="T1730">
        <v>1</v>
      </c>
      <c r="U1730">
        <v>121668</v>
      </c>
      <c r="V1730">
        <v>121668</v>
      </c>
    </row>
    <row r="1731" spans="1:22">
      <c r="A1731" t="s">
        <v>196</v>
      </c>
      <c r="B1731">
        <v>41</v>
      </c>
      <c r="C1731" t="s">
        <v>1097</v>
      </c>
      <c r="D1731">
        <v>100</v>
      </c>
      <c r="E1731" t="s">
        <v>197</v>
      </c>
      <c r="F1731">
        <v>1005</v>
      </c>
      <c r="G1731" t="s">
        <v>111</v>
      </c>
      <c r="H1731">
        <v>2045</v>
      </c>
      <c r="I1731" t="s">
        <v>59</v>
      </c>
      <c r="J1731">
        <v>3182</v>
      </c>
      <c r="K1731" t="s">
        <v>1151</v>
      </c>
      <c r="L1731">
        <v>0</v>
      </c>
      <c r="N1731" t="s">
        <v>249</v>
      </c>
      <c r="O1731">
        <v>10</v>
      </c>
      <c r="P1731">
        <v>310</v>
      </c>
      <c r="Q1731" t="s">
        <v>447</v>
      </c>
      <c r="R1731" t="s">
        <v>201</v>
      </c>
      <c r="S1731">
        <v>1</v>
      </c>
      <c r="T1731">
        <v>1</v>
      </c>
      <c r="U1731">
        <v>107340</v>
      </c>
      <c r="V1731">
        <v>107340</v>
      </c>
    </row>
    <row r="1732" spans="1:22">
      <c r="A1732" t="s">
        <v>196</v>
      </c>
      <c r="B1732">
        <v>41</v>
      </c>
      <c r="C1732" t="s">
        <v>1097</v>
      </c>
      <c r="D1732">
        <v>100</v>
      </c>
      <c r="E1732" t="s">
        <v>197</v>
      </c>
      <c r="F1732">
        <v>1005</v>
      </c>
      <c r="G1732" t="s">
        <v>111</v>
      </c>
      <c r="H1732">
        <v>2045</v>
      </c>
      <c r="I1732" t="s">
        <v>59</v>
      </c>
      <c r="J1732">
        <v>3182</v>
      </c>
      <c r="K1732" t="s">
        <v>1151</v>
      </c>
      <c r="L1732">
        <v>0</v>
      </c>
      <c r="N1732" t="s">
        <v>199</v>
      </c>
      <c r="O1732">
        <v>0</v>
      </c>
      <c r="P1732">
        <v>15</v>
      </c>
      <c r="Q1732" t="s">
        <v>264</v>
      </c>
      <c r="R1732" t="s">
        <v>201</v>
      </c>
      <c r="S1732">
        <v>0</v>
      </c>
      <c r="T1732">
        <v>0</v>
      </c>
      <c r="U1732">
        <v>68747</v>
      </c>
      <c r="V1732">
        <v>68747</v>
      </c>
    </row>
    <row r="1733" spans="1:22">
      <c r="A1733" t="s">
        <v>196</v>
      </c>
      <c r="B1733">
        <v>41</v>
      </c>
      <c r="C1733" t="s">
        <v>1097</v>
      </c>
      <c r="D1733">
        <v>100</v>
      </c>
      <c r="E1733" t="s">
        <v>197</v>
      </c>
      <c r="F1733">
        <v>1005</v>
      </c>
      <c r="G1733" t="s">
        <v>111</v>
      </c>
      <c r="H1733">
        <v>2050</v>
      </c>
      <c r="I1733" t="s">
        <v>57</v>
      </c>
      <c r="J1733">
        <v>3184</v>
      </c>
      <c r="K1733" t="s">
        <v>1098</v>
      </c>
      <c r="L1733">
        <v>0</v>
      </c>
      <c r="N1733" t="s">
        <v>311</v>
      </c>
      <c r="O1733">
        <v>9</v>
      </c>
      <c r="P1733">
        <v>9813</v>
      </c>
      <c r="Q1733" t="s">
        <v>600</v>
      </c>
      <c r="R1733" t="s">
        <v>201</v>
      </c>
      <c r="S1733">
        <v>1</v>
      </c>
      <c r="T1733">
        <v>1</v>
      </c>
      <c r="U1733">
        <v>180324</v>
      </c>
      <c r="V1733">
        <v>180324</v>
      </c>
    </row>
    <row r="1734" spans="1:22">
      <c r="A1734" t="s">
        <v>196</v>
      </c>
      <c r="B1734">
        <v>41</v>
      </c>
      <c r="C1734" t="s">
        <v>1097</v>
      </c>
      <c r="D1734">
        <v>100</v>
      </c>
      <c r="E1734" t="s">
        <v>197</v>
      </c>
      <c r="F1734">
        <v>1005</v>
      </c>
      <c r="G1734" t="s">
        <v>111</v>
      </c>
      <c r="H1734">
        <v>2050</v>
      </c>
      <c r="I1734" t="s">
        <v>57</v>
      </c>
      <c r="J1734">
        <v>3184</v>
      </c>
      <c r="K1734" t="s">
        <v>1098</v>
      </c>
      <c r="L1734">
        <v>0</v>
      </c>
      <c r="N1734" t="s">
        <v>249</v>
      </c>
      <c r="O1734">
        <v>10</v>
      </c>
      <c r="P1734">
        <v>311</v>
      </c>
      <c r="Q1734" t="s">
        <v>661</v>
      </c>
      <c r="R1734" t="s">
        <v>201</v>
      </c>
      <c r="S1734">
        <v>1</v>
      </c>
      <c r="T1734">
        <v>1</v>
      </c>
      <c r="U1734">
        <v>93384</v>
      </c>
      <c r="V1734">
        <v>93384</v>
      </c>
    </row>
    <row r="1735" spans="1:22">
      <c r="A1735" t="s">
        <v>196</v>
      </c>
      <c r="B1735">
        <v>41</v>
      </c>
      <c r="C1735" t="s">
        <v>1097</v>
      </c>
      <c r="D1735">
        <v>100</v>
      </c>
      <c r="E1735" t="s">
        <v>197</v>
      </c>
      <c r="F1735">
        <v>1005</v>
      </c>
      <c r="G1735" t="s">
        <v>111</v>
      </c>
      <c r="H1735">
        <v>2050</v>
      </c>
      <c r="I1735" t="s">
        <v>57</v>
      </c>
      <c r="J1735">
        <v>3184</v>
      </c>
      <c r="K1735" t="s">
        <v>1098</v>
      </c>
      <c r="L1735">
        <v>0</v>
      </c>
      <c r="N1735" t="s">
        <v>341</v>
      </c>
      <c r="O1735">
        <v>1</v>
      </c>
      <c r="P1735">
        <v>308</v>
      </c>
      <c r="Q1735" t="s">
        <v>355</v>
      </c>
      <c r="R1735" t="s">
        <v>201</v>
      </c>
      <c r="S1735">
        <v>1</v>
      </c>
      <c r="T1735">
        <v>1</v>
      </c>
      <c r="U1735">
        <v>98928</v>
      </c>
      <c r="V1735">
        <v>98928</v>
      </c>
    </row>
    <row r="1736" spans="1:22">
      <c r="A1736" t="s">
        <v>196</v>
      </c>
      <c r="B1736">
        <v>41</v>
      </c>
      <c r="C1736" t="s">
        <v>1097</v>
      </c>
      <c r="D1736">
        <v>100</v>
      </c>
      <c r="E1736" t="s">
        <v>197</v>
      </c>
      <c r="F1736">
        <v>1005</v>
      </c>
      <c r="G1736" t="s">
        <v>111</v>
      </c>
      <c r="H1736">
        <v>2050</v>
      </c>
      <c r="I1736" t="s">
        <v>57</v>
      </c>
      <c r="J1736">
        <v>3184</v>
      </c>
      <c r="K1736" t="s">
        <v>1098</v>
      </c>
      <c r="L1736">
        <v>0</v>
      </c>
      <c r="N1736" t="s">
        <v>199</v>
      </c>
      <c r="O1736">
        <v>0</v>
      </c>
      <c r="P1736">
        <v>15</v>
      </c>
      <c r="Q1736" t="s">
        <v>264</v>
      </c>
      <c r="R1736" t="s">
        <v>201</v>
      </c>
      <c r="S1736">
        <v>0</v>
      </c>
      <c r="T1736">
        <v>0</v>
      </c>
      <c r="U1736">
        <v>8066</v>
      </c>
      <c r="V1736">
        <v>8066</v>
      </c>
    </row>
    <row r="1737" spans="1:22">
      <c r="A1737" t="s">
        <v>196</v>
      </c>
      <c r="B1737">
        <v>41</v>
      </c>
      <c r="C1737" t="s">
        <v>1097</v>
      </c>
      <c r="D1737">
        <v>100</v>
      </c>
      <c r="E1737" t="s">
        <v>197</v>
      </c>
      <c r="F1737">
        <v>1005</v>
      </c>
      <c r="G1737" t="s">
        <v>111</v>
      </c>
      <c r="H1737">
        <v>2050</v>
      </c>
      <c r="I1737" t="s">
        <v>57</v>
      </c>
      <c r="J1737">
        <v>3186</v>
      </c>
      <c r="K1737" t="s">
        <v>1115</v>
      </c>
      <c r="L1737">
        <v>0</v>
      </c>
      <c r="N1737" t="s">
        <v>251</v>
      </c>
      <c r="O1737">
        <v>10</v>
      </c>
      <c r="P1737">
        <v>3858</v>
      </c>
      <c r="Q1737" t="s">
        <v>1128</v>
      </c>
      <c r="R1737" t="s">
        <v>201</v>
      </c>
      <c r="S1737">
        <v>1</v>
      </c>
      <c r="T1737">
        <v>1</v>
      </c>
      <c r="U1737">
        <v>76476</v>
      </c>
      <c r="V1737">
        <v>76476</v>
      </c>
    </row>
    <row r="1738" spans="1:22">
      <c r="A1738" t="s">
        <v>196</v>
      </c>
      <c r="B1738">
        <v>41</v>
      </c>
      <c r="C1738" t="s">
        <v>1097</v>
      </c>
      <c r="D1738">
        <v>100</v>
      </c>
      <c r="E1738" t="s">
        <v>197</v>
      </c>
      <c r="F1738">
        <v>1005</v>
      </c>
      <c r="G1738" t="s">
        <v>111</v>
      </c>
      <c r="H1738">
        <v>2050</v>
      </c>
      <c r="I1738" t="s">
        <v>57</v>
      </c>
      <c r="J1738">
        <v>3186</v>
      </c>
      <c r="K1738" t="s">
        <v>1115</v>
      </c>
      <c r="L1738">
        <v>0</v>
      </c>
      <c r="N1738" t="s">
        <v>360</v>
      </c>
      <c r="O1738">
        <v>3</v>
      </c>
      <c r="P1738">
        <v>3417</v>
      </c>
      <c r="Q1738" t="s">
        <v>1130</v>
      </c>
      <c r="R1738" t="s">
        <v>201</v>
      </c>
      <c r="S1738">
        <v>1</v>
      </c>
      <c r="T1738">
        <v>1</v>
      </c>
      <c r="U1738">
        <v>57000</v>
      </c>
      <c r="V1738">
        <v>57000</v>
      </c>
    </row>
    <row r="1739" spans="1:22">
      <c r="A1739" t="s">
        <v>196</v>
      </c>
      <c r="B1739">
        <v>41</v>
      </c>
      <c r="C1739" t="s">
        <v>1097</v>
      </c>
      <c r="D1739">
        <v>100</v>
      </c>
      <c r="E1739" t="s">
        <v>197</v>
      </c>
      <c r="F1739">
        <v>1005</v>
      </c>
      <c r="G1739" t="s">
        <v>111</v>
      </c>
      <c r="H1739">
        <v>2050</v>
      </c>
      <c r="I1739" t="s">
        <v>57</v>
      </c>
      <c r="J1739">
        <v>3186</v>
      </c>
      <c r="K1739" t="s">
        <v>1115</v>
      </c>
      <c r="L1739">
        <v>0</v>
      </c>
      <c r="N1739" t="s">
        <v>297</v>
      </c>
      <c r="O1739">
        <v>20</v>
      </c>
      <c r="P1739">
        <v>1441</v>
      </c>
      <c r="Q1739" t="s">
        <v>1122</v>
      </c>
      <c r="R1739" t="s">
        <v>201</v>
      </c>
      <c r="S1739">
        <v>1</v>
      </c>
      <c r="T1739">
        <v>1</v>
      </c>
      <c r="U1739">
        <v>111000</v>
      </c>
      <c r="V1739">
        <v>111000</v>
      </c>
    </row>
    <row r="1740" spans="1:22">
      <c r="A1740" t="s">
        <v>196</v>
      </c>
      <c r="B1740">
        <v>41</v>
      </c>
      <c r="C1740" t="s">
        <v>1097</v>
      </c>
      <c r="D1740">
        <v>100</v>
      </c>
      <c r="E1740" t="s">
        <v>197</v>
      </c>
      <c r="F1740">
        <v>1005</v>
      </c>
      <c r="G1740" t="s">
        <v>111</v>
      </c>
      <c r="H1740">
        <v>2050</v>
      </c>
      <c r="I1740" t="s">
        <v>57</v>
      </c>
      <c r="J1740">
        <v>3186</v>
      </c>
      <c r="K1740" t="s">
        <v>1115</v>
      </c>
      <c r="L1740">
        <v>0</v>
      </c>
      <c r="N1740" t="s">
        <v>274</v>
      </c>
      <c r="O1740">
        <v>9</v>
      </c>
      <c r="P1740">
        <v>313</v>
      </c>
      <c r="Q1740" t="s">
        <v>605</v>
      </c>
      <c r="R1740" t="s">
        <v>201</v>
      </c>
      <c r="S1740">
        <v>1</v>
      </c>
      <c r="T1740">
        <v>1</v>
      </c>
      <c r="U1740">
        <v>146808</v>
      </c>
      <c r="V1740">
        <v>146808</v>
      </c>
    </row>
    <row r="1741" spans="1:22">
      <c r="A1741" t="s">
        <v>196</v>
      </c>
      <c r="B1741">
        <v>41</v>
      </c>
      <c r="C1741" t="s">
        <v>1097</v>
      </c>
      <c r="D1741">
        <v>100</v>
      </c>
      <c r="E1741" t="s">
        <v>197</v>
      </c>
      <c r="F1741">
        <v>1005</v>
      </c>
      <c r="G1741" t="s">
        <v>111</v>
      </c>
      <c r="H1741">
        <v>2050</v>
      </c>
      <c r="I1741" t="s">
        <v>57</v>
      </c>
      <c r="J1741">
        <v>3186</v>
      </c>
      <c r="K1741" t="s">
        <v>1115</v>
      </c>
      <c r="L1741">
        <v>0</v>
      </c>
      <c r="N1741" t="s">
        <v>199</v>
      </c>
      <c r="O1741">
        <v>0</v>
      </c>
      <c r="P1741">
        <v>15</v>
      </c>
      <c r="Q1741" t="s">
        <v>264</v>
      </c>
      <c r="R1741" t="s">
        <v>201</v>
      </c>
      <c r="S1741">
        <v>0</v>
      </c>
      <c r="T1741">
        <v>0</v>
      </c>
      <c r="U1741">
        <v>8156</v>
      </c>
      <c r="V1741">
        <v>8156</v>
      </c>
    </row>
    <row r="1742" spans="1:22">
      <c r="A1742" t="s">
        <v>196</v>
      </c>
      <c r="B1742">
        <v>41</v>
      </c>
      <c r="C1742" t="s">
        <v>1097</v>
      </c>
      <c r="D1742">
        <v>100</v>
      </c>
      <c r="E1742" t="s">
        <v>197</v>
      </c>
      <c r="F1742">
        <v>1005</v>
      </c>
      <c r="G1742" t="s">
        <v>111</v>
      </c>
      <c r="H1742">
        <v>2050</v>
      </c>
      <c r="I1742" t="s">
        <v>57</v>
      </c>
      <c r="J1742">
        <v>3188</v>
      </c>
      <c r="K1742" t="s">
        <v>1163</v>
      </c>
      <c r="L1742">
        <v>0</v>
      </c>
      <c r="N1742" t="s">
        <v>341</v>
      </c>
      <c r="O1742">
        <v>3</v>
      </c>
      <c r="P1742">
        <v>3434</v>
      </c>
      <c r="Q1742" t="s">
        <v>1140</v>
      </c>
      <c r="R1742" t="s">
        <v>201</v>
      </c>
      <c r="S1742">
        <v>1</v>
      </c>
      <c r="T1742">
        <v>1</v>
      </c>
      <c r="U1742">
        <v>119100</v>
      </c>
      <c r="V1742">
        <v>119100</v>
      </c>
    </row>
    <row r="1743" spans="1:22">
      <c r="A1743" t="s">
        <v>196</v>
      </c>
      <c r="B1743">
        <v>41</v>
      </c>
      <c r="C1743" t="s">
        <v>1097</v>
      </c>
      <c r="D1743">
        <v>100</v>
      </c>
      <c r="E1743" t="s">
        <v>197</v>
      </c>
      <c r="F1743">
        <v>1005</v>
      </c>
      <c r="G1743" t="s">
        <v>111</v>
      </c>
      <c r="H1743">
        <v>2050</v>
      </c>
      <c r="I1743" t="s">
        <v>57</v>
      </c>
      <c r="J1743">
        <v>3188</v>
      </c>
      <c r="K1743" t="s">
        <v>1163</v>
      </c>
      <c r="L1743">
        <v>0</v>
      </c>
      <c r="N1743" t="s">
        <v>341</v>
      </c>
      <c r="O1743">
        <v>3</v>
      </c>
      <c r="P1743">
        <v>2391</v>
      </c>
      <c r="Q1743" t="s">
        <v>1164</v>
      </c>
      <c r="R1743" t="s">
        <v>201</v>
      </c>
      <c r="S1743">
        <v>1</v>
      </c>
      <c r="T1743">
        <v>1</v>
      </c>
      <c r="U1743">
        <v>119100</v>
      </c>
      <c r="V1743">
        <v>119100</v>
      </c>
    </row>
    <row r="1744" spans="1:22">
      <c r="A1744" t="s">
        <v>196</v>
      </c>
      <c r="B1744">
        <v>41</v>
      </c>
      <c r="C1744" t="s">
        <v>1097</v>
      </c>
      <c r="D1744">
        <v>100</v>
      </c>
      <c r="E1744" t="s">
        <v>197</v>
      </c>
      <c r="F1744">
        <v>1005</v>
      </c>
      <c r="G1744" t="s">
        <v>111</v>
      </c>
      <c r="H1744">
        <v>2050</v>
      </c>
      <c r="I1744" t="s">
        <v>57</v>
      </c>
      <c r="J1744">
        <v>3188</v>
      </c>
      <c r="K1744" t="s">
        <v>1163</v>
      </c>
      <c r="L1744">
        <v>0</v>
      </c>
      <c r="N1744" t="s">
        <v>341</v>
      </c>
      <c r="O1744">
        <v>3</v>
      </c>
      <c r="P1744">
        <v>2391</v>
      </c>
      <c r="Q1744" t="s">
        <v>1164</v>
      </c>
      <c r="R1744" t="s">
        <v>201</v>
      </c>
      <c r="S1744">
        <v>1</v>
      </c>
      <c r="T1744">
        <v>1</v>
      </c>
      <c r="U1744">
        <v>74172</v>
      </c>
      <c r="V1744">
        <v>74172</v>
      </c>
    </row>
    <row r="1745" spans="1:22">
      <c r="A1745" t="s">
        <v>196</v>
      </c>
      <c r="B1745">
        <v>41</v>
      </c>
      <c r="C1745" t="s">
        <v>1097</v>
      </c>
      <c r="D1745">
        <v>100</v>
      </c>
      <c r="E1745" t="s">
        <v>197</v>
      </c>
      <c r="F1745">
        <v>1005</v>
      </c>
      <c r="G1745" t="s">
        <v>111</v>
      </c>
      <c r="H1745">
        <v>2050</v>
      </c>
      <c r="I1745" t="s">
        <v>57</v>
      </c>
      <c r="J1745">
        <v>3188</v>
      </c>
      <c r="K1745" t="s">
        <v>1163</v>
      </c>
      <c r="L1745">
        <v>0</v>
      </c>
      <c r="N1745" t="s">
        <v>274</v>
      </c>
      <c r="O1745">
        <v>0</v>
      </c>
      <c r="P1745">
        <v>2387</v>
      </c>
      <c r="Q1745" t="s">
        <v>1165</v>
      </c>
      <c r="R1745" t="s">
        <v>201</v>
      </c>
      <c r="S1745">
        <v>1</v>
      </c>
      <c r="T1745">
        <v>1</v>
      </c>
      <c r="U1745">
        <v>146808</v>
      </c>
      <c r="V1745">
        <v>146808</v>
      </c>
    </row>
    <row r="1746" spans="1:22">
      <c r="A1746" t="s">
        <v>196</v>
      </c>
      <c r="B1746">
        <v>41</v>
      </c>
      <c r="C1746" t="s">
        <v>1097</v>
      </c>
      <c r="D1746">
        <v>100</v>
      </c>
      <c r="E1746" t="s">
        <v>197</v>
      </c>
      <c r="F1746">
        <v>1005</v>
      </c>
      <c r="G1746" t="s">
        <v>111</v>
      </c>
      <c r="H1746">
        <v>2050</v>
      </c>
      <c r="I1746" t="s">
        <v>57</v>
      </c>
      <c r="J1746">
        <v>3188</v>
      </c>
      <c r="K1746" t="s">
        <v>1163</v>
      </c>
      <c r="L1746">
        <v>0</v>
      </c>
      <c r="N1746" t="s">
        <v>343</v>
      </c>
      <c r="O1746">
        <v>10</v>
      </c>
      <c r="P1746">
        <v>2386</v>
      </c>
      <c r="Q1746" t="s">
        <v>1166</v>
      </c>
      <c r="R1746" t="s">
        <v>201</v>
      </c>
      <c r="S1746">
        <v>1</v>
      </c>
      <c r="T1746">
        <v>1</v>
      </c>
      <c r="U1746">
        <v>124584</v>
      </c>
      <c r="V1746">
        <v>124584</v>
      </c>
    </row>
    <row r="1747" spans="1:22">
      <c r="A1747" t="s">
        <v>196</v>
      </c>
      <c r="B1747">
        <v>41</v>
      </c>
      <c r="C1747" t="s">
        <v>1097</v>
      </c>
      <c r="D1747">
        <v>100</v>
      </c>
      <c r="E1747" t="s">
        <v>197</v>
      </c>
      <c r="F1747">
        <v>1005</v>
      </c>
      <c r="G1747" t="s">
        <v>111</v>
      </c>
      <c r="H1747">
        <v>2050</v>
      </c>
      <c r="I1747" t="s">
        <v>57</v>
      </c>
      <c r="J1747">
        <v>3188</v>
      </c>
      <c r="K1747" t="s">
        <v>1163</v>
      </c>
      <c r="L1747">
        <v>0</v>
      </c>
      <c r="N1747" t="s">
        <v>253</v>
      </c>
      <c r="O1747">
        <v>10</v>
      </c>
      <c r="P1747">
        <v>2385</v>
      </c>
      <c r="Q1747" t="s">
        <v>1167</v>
      </c>
      <c r="R1747" t="s">
        <v>201</v>
      </c>
      <c r="S1747">
        <v>2</v>
      </c>
      <c r="T1747">
        <v>1</v>
      </c>
      <c r="U1747">
        <v>130524</v>
      </c>
      <c r="V1747">
        <v>261048</v>
      </c>
    </row>
    <row r="1748" spans="1:22">
      <c r="A1748" t="s">
        <v>196</v>
      </c>
      <c r="B1748">
        <v>41</v>
      </c>
      <c r="C1748" t="s">
        <v>1097</v>
      </c>
      <c r="D1748">
        <v>100</v>
      </c>
      <c r="E1748" t="s">
        <v>197</v>
      </c>
      <c r="F1748">
        <v>1005</v>
      </c>
      <c r="G1748" t="s">
        <v>111</v>
      </c>
      <c r="H1748">
        <v>2050</v>
      </c>
      <c r="I1748" t="s">
        <v>57</v>
      </c>
      <c r="J1748">
        <v>3188</v>
      </c>
      <c r="K1748" t="s">
        <v>1163</v>
      </c>
      <c r="L1748">
        <v>0</v>
      </c>
      <c r="N1748" t="s">
        <v>253</v>
      </c>
      <c r="O1748">
        <v>10</v>
      </c>
      <c r="P1748">
        <v>2385</v>
      </c>
      <c r="Q1748" t="s">
        <v>1167</v>
      </c>
      <c r="R1748" t="s">
        <v>201</v>
      </c>
      <c r="S1748">
        <v>1</v>
      </c>
      <c r="T1748">
        <v>1</v>
      </c>
      <c r="U1748">
        <v>124584</v>
      </c>
      <c r="V1748">
        <v>124584</v>
      </c>
    </row>
    <row r="1749" spans="1:22">
      <c r="A1749" t="s">
        <v>196</v>
      </c>
      <c r="B1749">
        <v>41</v>
      </c>
      <c r="C1749" t="s">
        <v>1097</v>
      </c>
      <c r="D1749">
        <v>100</v>
      </c>
      <c r="E1749" t="s">
        <v>197</v>
      </c>
      <c r="F1749">
        <v>1005</v>
      </c>
      <c r="G1749" t="s">
        <v>111</v>
      </c>
      <c r="H1749">
        <v>2050</v>
      </c>
      <c r="I1749" t="s">
        <v>57</v>
      </c>
      <c r="J1749">
        <v>3188</v>
      </c>
      <c r="K1749" t="s">
        <v>1163</v>
      </c>
      <c r="L1749">
        <v>0</v>
      </c>
      <c r="N1749" t="s">
        <v>253</v>
      </c>
      <c r="O1749">
        <v>10</v>
      </c>
      <c r="P1749">
        <v>2385</v>
      </c>
      <c r="Q1749" t="s">
        <v>1167</v>
      </c>
      <c r="R1749" t="s">
        <v>201</v>
      </c>
      <c r="S1749">
        <v>2</v>
      </c>
      <c r="T1749">
        <v>1</v>
      </c>
      <c r="U1749">
        <v>93384</v>
      </c>
      <c r="V1749">
        <v>186768</v>
      </c>
    </row>
    <row r="1750" spans="1:22">
      <c r="A1750" t="s">
        <v>196</v>
      </c>
      <c r="B1750">
        <v>41</v>
      </c>
      <c r="C1750" t="s">
        <v>1097</v>
      </c>
      <c r="D1750">
        <v>100</v>
      </c>
      <c r="E1750" t="s">
        <v>197</v>
      </c>
      <c r="F1750">
        <v>1005</v>
      </c>
      <c r="G1750" t="s">
        <v>111</v>
      </c>
      <c r="H1750">
        <v>2050</v>
      </c>
      <c r="I1750" t="s">
        <v>57</v>
      </c>
      <c r="J1750">
        <v>3188</v>
      </c>
      <c r="K1750" t="s">
        <v>1163</v>
      </c>
      <c r="L1750">
        <v>0</v>
      </c>
      <c r="N1750" t="s">
        <v>253</v>
      </c>
      <c r="O1750">
        <v>10</v>
      </c>
      <c r="P1750">
        <v>2385</v>
      </c>
      <c r="Q1750" t="s">
        <v>1167</v>
      </c>
      <c r="R1750" t="s">
        <v>201</v>
      </c>
      <c r="S1750">
        <v>1</v>
      </c>
      <c r="T1750">
        <v>1</v>
      </c>
      <c r="U1750">
        <v>85128</v>
      </c>
      <c r="V1750">
        <v>85128</v>
      </c>
    </row>
    <row r="1751" spans="1:22">
      <c r="A1751" t="s">
        <v>196</v>
      </c>
      <c r="B1751">
        <v>41</v>
      </c>
      <c r="C1751" t="s">
        <v>1097</v>
      </c>
      <c r="D1751">
        <v>100</v>
      </c>
      <c r="E1751" t="s">
        <v>197</v>
      </c>
      <c r="F1751">
        <v>1005</v>
      </c>
      <c r="G1751" t="s">
        <v>111</v>
      </c>
      <c r="H1751">
        <v>2050</v>
      </c>
      <c r="I1751" t="s">
        <v>57</v>
      </c>
      <c r="J1751">
        <v>3188</v>
      </c>
      <c r="K1751" t="s">
        <v>1163</v>
      </c>
      <c r="L1751">
        <v>0</v>
      </c>
      <c r="N1751" t="s">
        <v>253</v>
      </c>
      <c r="O1751">
        <v>10</v>
      </c>
      <c r="P1751">
        <v>2385</v>
      </c>
      <c r="Q1751" t="s">
        <v>1167</v>
      </c>
      <c r="R1751" t="s">
        <v>201</v>
      </c>
      <c r="S1751">
        <v>5</v>
      </c>
      <c r="T1751">
        <v>1</v>
      </c>
      <c r="U1751">
        <v>83052</v>
      </c>
      <c r="V1751">
        <v>415260</v>
      </c>
    </row>
    <row r="1752" spans="1:22">
      <c r="A1752" t="s">
        <v>196</v>
      </c>
      <c r="B1752">
        <v>41</v>
      </c>
      <c r="C1752" t="s">
        <v>1097</v>
      </c>
      <c r="D1752">
        <v>100</v>
      </c>
      <c r="E1752" t="s">
        <v>197</v>
      </c>
      <c r="F1752">
        <v>1005</v>
      </c>
      <c r="G1752" t="s">
        <v>111</v>
      </c>
      <c r="H1752">
        <v>2050</v>
      </c>
      <c r="I1752" t="s">
        <v>57</v>
      </c>
      <c r="J1752">
        <v>3188</v>
      </c>
      <c r="K1752" t="s">
        <v>1163</v>
      </c>
      <c r="L1752">
        <v>0</v>
      </c>
      <c r="N1752" t="s">
        <v>372</v>
      </c>
      <c r="O1752">
        <v>3</v>
      </c>
      <c r="P1752">
        <v>2381</v>
      </c>
      <c r="Q1752" t="s">
        <v>1168</v>
      </c>
      <c r="R1752" t="s">
        <v>201</v>
      </c>
      <c r="S1752">
        <v>4</v>
      </c>
      <c r="T1752">
        <v>1</v>
      </c>
      <c r="U1752">
        <v>130668</v>
      </c>
      <c r="V1752">
        <v>522672</v>
      </c>
    </row>
    <row r="1753" spans="1:22">
      <c r="A1753" t="s">
        <v>196</v>
      </c>
      <c r="B1753">
        <v>41</v>
      </c>
      <c r="C1753" t="s">
        <v>1097</v>
      </c>
      <c r="D1753">
        <v>100</v>
      </c>
      <c r="E1753" t="s">
        <v>197</v>
      </c>
      <c r="F1753">
        <v>1005</v>
      </c>
      <c r="G1753" t="s">
        <v>111</v>
      </c>
      <c r="H1753">
        <v>2050</v>
      </c>
      <c r="I1753" t="s">
        <v>57</v>
      </c>
      <c r="J1753">
        <v>3188</v>
      </c>
      <c r="K1753" t="s">
        <v>1163</v>
      </c>
      <c r="L1753">
        <v>0</v>
      </c>
      <c r="N1753" t="s">
        <v>372</v>
      </c>
      <c r="O1753">
        <v>3</v>
      </c>
      <c r="P1753">
        <v>2381</v>
      </c>
      <c r="Q1753" t="s">
        <v>1168</v>
      </c>
      <c r="R1753" t="s">
        <v>201</v>
      </c>
      <c r="S1753">
        <v>4</v>
      </c>
      <c r="T1753">
        <v>1</v>
      </c>
      <c r="U1753">
        <v>124848</v>
      </c>
      <c r="V1753">
        <v>499392</v>
      </c>
    </row>
    <row r="1754" spans="1:22">
      <c r="A1754" t="s">
        <v>196</v>
      </c>
      <c r="B1754">
        <v>41</v>
      </c>
      <c r="C1754" t="s">
        <v>1097</v>
      </c>
      <c r="D1754">
        <v>100</v>
      </c>
      <c r="E1754" t="s">
        <v>197</v>
      </c>
      <c r="F1754">
        <v>1005</v>
      </c>
      <c r="G1754" t="s">
        <v>111</v>
      </c>
      <c r="H1754">
        <v>2050</v>
      </c>
      <c r="I1754" t="s">
        <v>57</v>
      </c>
      <c r="J1754">
        <v>3188</v>
      </c>
      <c r="K1754" t="s">
        <v>1163</v>
      </c>
      <c r="L1754">
        <v>0</v>
      </c>
      <c r="N1754" t="s">
        <v>372</v>
      </c>
      <c r="O1754">
        <v>3</v>
      </c>
      <c r="P1754">
        <v>2381</v>
      </c>
      <c r="Q1754" t="s">
        <v>1168</v>
      </c>
      <c r="R1754" t="s">
        <v>201</v>
      </c>
      <c r="S1754">
        <v>1</v>
      </c>
      <c r="T1754">
        <v>1</v>
      </c>
      <c r="U1754">
        <v>119100</v>
      </c>
      <c r="V1754">
        <v>119100</v>
      </c>
    </row>
    <row r="1755" spans="1:22">
      <c r="A1755" t="s">
        <v>196</v>
      </c>
      <c r="B1755">
        <v>41</v>
      </c>
      <c r="C1755" t="s">
        <v>1097</v>
      </c>
      <c r="D1755">
        <v>100</v>
      </c>
      <c r="E1755" t="s">
        <v>197</v>
      </c>
      <c r="F1755">
        <v>1005</v>
      </c>
      <c r="G1755" t="s">
        <v>111</v>
      </c>
      <c r="H1755">
        <v>2050</v>
      </c>
      <c r="I1755" t="s">
        <v>57</v>
      </c>
      <c r="J1755">
        <v>3188</v>
      </c>
      <c r="K1755" t="s">
        <v>1163</v>
      </c>
      <c r="L1755">
        <v>0</v>
      </c>
      <c r="N1755" t="s">
        <v>372</v>
      </c>
      <c r="O1755">
        <v>3</v>
      </c>
      <c r="P1755">
        <v>2381</v>
      </c>
      <c r="Q1755" t="s">
        <v>1168</v>
      </c>
      <c r="R1755" t="s">
        <v>201</v>
      </c>
      <c r="S1755">
        <v>1</v>
      </c>
      <c r="T1755">
        <v>1</v>
      </c>
      <c r="U1755">
        <v>113628</v>
      </c>
      <c r="V1755">
        <v>113628</v>
      </c>
    </row>
    <row r="1756" spans="1:22">
      <c r="A1756" t="s">
        <v>196</v>
      </c>
      <c r="B1756">
        <v>41</v>
      </c>
      <c r="C1756" t="s">
        <v>1097</v>
      </c>
      <c r="D1756">
        <v>100</v>
      </c>
      <c r="E1756" t="s">
        <v>197</v>
      </c>
      <c r="F1756">
        <v>1005</v>
      </c>
      <c r="G1756" t="s">
        <v>111</v>
      </c>
      <c r="H1756">
        <v>2050</v>
      </c>
      <c r="I1756" t="s">
        <v>57</v>
      </c>
      <c r="J1756">
        <v>3188</v>
      </c>
      <c r="K1756" t="s">
        <v>1163</v>
      </c>
      <c r="L1756">
        <v>0</v>
      </c>
      <c r="N1756" t="s">
        <v>372</v>
      </c>
      <c r="O1756">
        <v>3</v>
      </c>
      <c r="P1756">
        <v>2381</v>
      </c>
      <c r="Q1756" t="s">
        <v>1168</v>
      </c>
      <c r="R1756" t="s">
        <v>201</v>
      </c>
      <c r="S1756">
        <v>2</v>
      </c>
      <c r="T1756">
        <v>1</v>
      </c>
      <c r="U1756">
        <v>93504</v>
      </c>
      <c r="V1756">
        <v>187008</v>
      </c>
    </row>
    <row r="1757" spans="1:22">
      <c r="A1757" t="s">
        <v>196</v>
      </c>
      <c r="B1757">
        <v>41</v>
      </c>
      <c r="C1757" t="s">
        <v>1097</v>
      </c>
      <c r="D1757">
        <v>100</v>
      </c>
      <c r="E1757" t="s">
        <v>197</v>
      </c>
      <c r="F1757">
        <v>1005</v>
      </c>
      <c r="G1757" t="s">
        <v>111</v>
      </c>
      <c r="H1757">
        <v>2050</v>
      </c>
      <c r="I1757" t="s">
        <v>57</v>
      </c>
      <c r="J1757">
        <v>3188</v>
      </c>
      <c r="K1757" t="s">
        <v>1163</v>
      </c>
      <c r="L1757">
        <v>0</v>
      </c>
      <c r="N1757" t="s">
        <v>372</v>
      </c>
      <c r="O1757">
        <v>3</v>
      </c>
      <c r="P1757">
        <v>2381</v>
      </c>
      <c r="Q1757" t="s">
        <v>1168</v>
      </c>
      <c r="R1757" t="s">
        <v>201</v>
      </c>
      <c r="S1757">
        <v>3</v>
      </c>
      <c r="T1757">
        <v>1</v>
      </c>
      <c r="U1757">
        <v>89244</v>
      </c>
      <c r="V1757">
        <v>267732</v>
      </c>
    </row>
    <row r="1758" spans="1:22">
      <c r="A1758" t="s">
        <v>196</v>
      </c>
      <c r="B1758">
        <v>41</v>
      </c>
      <c r="C1758" t="s">
        <v>1097</v>
      </c>
      <c r="D1758">
        <v>100</v>
      </c>
      <c r="E1758" t="s">
        <v>197</v>
      </c>
      <c r="F1758">
        <v>1005</v>
      </c>
      <c r="G1758" t="s">
        <v>111</v>
      </c>
      <c r="H1758">
        <v>2050</v>
      </c>
      <c r="I1758" t="s">
        <v>57</v>
      </c>
      <c r="J1758">
        <v>3188</v>
      </c>
      <c r="K1758" t="s">
        <v>1163</v>
      </c>
      <c r="L1758">
        <v>0</v>
      </c>
      <c r="N1758" t="s">
        <v>372</v>
      </c>
      <c r="O1758">
        <v>3</v>
      </c>
      <c r="P1758">
        <v>2381</v>
      </c>
      <c r="Q1758" t="s">
        <v>1168</v>
      </c>
      <c r="R1758" t="s">
        <v>201</v>
      </c>
      <c r="S1758">
        <v>2</v>
      </c>
      <c r="T1758">
        <v>1</v>
      </c>
      <c r="U1758">
        <v>85200</v>
      </c>
      <c r="V1758">
        <v>170400</v>
      </c>
    </row>
    <row r="1759" spans="1:22">
      <c r="A1759" t="s">
        <v>196</v>
      </c>
      <c r="B1759">
        <v>41</v>
      </c>
      <c r="C1759" t="s">
        <v>1097</v>
      </c>
      <c r="D1759">
        <v>100</v>
      </c>
      <c r="E1759" t="s">
        <v>197</v>
      </c>
      <c r="F1759">
        <v>1005</v>
      </c>
      <c r="G1759" t="s">
        <v>111</v>
      </c>
      <c r="H1759">
        <v>2050</v>
      </c>
      <c r="I1759" t="s">
        <v>57</v>
      </c>
      <c r="J1759">
        <v>3188</v>
      </c>
      <c r="K1759" t="s">
        <v>1163</v>
      </c>
      <c r="L1759">
        <v>0</v>
      </c>
      <c r="N1759" t="s">
        <v>372</v>
      </c>
      <c r="O1759">
        <v>3</v>
      </c>
      <c r="P1759">
        <v>2381</v>
      </c>
      <c r="Q1759" t="s">
        <v>1168</v>
      </c>
      <c r="R1759" t="s">
        <v>201</v>
      </c>
      <c r="S1759">
        <v>4</v>
      </c>
      <c r="T1759">
        <v>1</v>
      </c>
      <c r="U1759">
        <v>81324</v>
      </c>
      <c r="V1759">
        <v>325296</v>
      </c>
    </row>
    <row r="1760" spans="1:22">
      <c r="A1760" t="s">
        <v>196</v>
      </c>
      <c r="B1760">
        <v>41</v>
      </c>
      <c r="C1760" t="s">
        <v>1097</v>
      </c>
      <c r="D1760">
        <v>100</v>
      </c>
      <c r="E1760" t="s">
        <v>197</v>
      </c>
      <c r="F1760">
        <v>1005</v>
      </c>
      <c r="G1760" t="s">
        <v>111</v>
      </c>
      <c r="H1760">
        <v>2050</v>
      </c>
      <c r="I1760" t="s">
        <v>57</v>
      </c>
      <c r="J1760">
        <v>3188</v>
      </c>
      <c r="K1760" t="s">
        <v>1163</v>
      </c>
      <c r="L1760">
        <v>0</v>
      </c>
      <c r="N1760" t="s">
        <v>372</v>
      </c>
      <c r="O1760">
        <v>3</v>
      </c>
      <c r="P1760">
        <v>2381</v>
      </c>
      <c r="Q1760" t="s">
        <v>1168</v>
      </c>
      <c r="R1760" t="s">
        <v>201</v>
      </c>
      <c r="S1760">
        <v>2</v>
      </c>
      <c r="T1760">
        <v>1</v>
      </c>
      <c r="U1760">
        <v>77640</v>
      </c>
      <c r="V1760">
        <v>155280</v>
      </c>
    </row>
    <row r="1761" spans="1:22">
      <c r="A1761" t="s">
        <v>196</v>
      </c>
      <c r="B1761">
        <v>41</v>
      </c>
      <c r="C1761" t="s">
        <v>1097</v>
      </c>
      <c r="D1761">
        <v>100</v>
      </c>
      <c r="E1761" t="s">
        <v>197</v>
      </c>
      <c r="F1761">
        <v>1005</v>
      </c>
      <c r="G1761" t="s">
        <v>111</v>
      </c>
      <c r="H1761">
        <v>2050</v>
      </c>
      <c r="I1761" t="s">
        <v>57</v>
      </c>
      <c r="J1761">
        <v>3188</v>
      </c>
      <c r="K1761" t="s">
        <v>1163</v>
      </c>
      <c r="L1761">
        <v>0</v>
      </c>
      <c r="N1761" t="s">
        <v>372</v>
      </c>
      <c r="O1761">
        <v>3</v>
      </c>
      <c r="P1761">
        <v>2381</v>
      </c>
      <c r="Q1761" t="s">
        <v>1168</v>
      </c>
      <c r="R1761" t="s">
        <v>201</v>
      </c>
      <c r="S1761">
        <v>12</v>
      </c>
      <c r="T1761">
        <v>1</v>
      </c>
      <c r="U1761">
        <v>75336</v>
      </c>
      <c r="V1761">
        <v>904032</v>
      </c>
    </row>
    <row r="1762" spans="1:22">
      <c r="A1762" t="s">
        <v>196</v>
      </c>
      <c r="B1762">
        <v>41</v>
      </c>
      <c r="C1762" t="s">
        <v>1097</v>
      </c>
      <c r="D1762">
        <v>100</v>
      </c>
      <c r="E1762" t="s">
        <v>197</v>
      </c>
      <c r="F1762">
        <v>1005</v>
      </c>
      <c r="G1762" t="s">
        <v>111</v>
      </c>
      <c r="H1762">
        <v>2050</v>
      </c>
      <c r="I1762" t="s">
        <v>57</v>
      </c>
      <c r="J1762">
        <v>3188</v>
      </c>
      <c r="K1762" t="s">
        <v>1163</v>
      </c>
      <c r="L1762">
        <v>0</v>
      </c>
      <c r="N1762" t="s">
        <v>372</v>
      </c>
      <c r="O1762">
        <v>4</v>
      </c>
      <c r="P1762">
        <v>1912</v>
      </c>
      <c r="Q1762" t="s">
        <v>608</v>
      </c>
      <c r="R1762" t="s">
        <v>201</v>
      </c>
      <c r="S1762">
        <v>1</v>
      </c>
      <c r="T1762">
        <v>1</v>
      </c>
      <c r="U1762">
        <v>89244</v>
      </c>
      <c r="V1762">
        <v>89244</v>
      </c>
    </row>
    <row r="1763" spans="1:22">
      <c r="A1763" t="s">
        <v>196</v>
      </c>
      <c r="B1763">
        <v>41</v>
      </c>
      <c r="C1763" t="s">
        <v>1097</v>
      </c>
      <c r="D1763">
        <v>100</v>
      </c>
      <c r="E1763" t="s">
        <v>197</v>
      </c>
      <c r="F1763">
        <v>1005</v>
      </c>
      <c r="G1763" t="s">
        <v>111</v>
      </c>
      <c r="H1763">
        <v>2050</v>
      </c>
      <c r="I1763" t="s">
        <v>57</v>
      </c>
      <c r="J1763">
        <v>3188</v>
      </c>
      <c r="K1763" t="s">
        <v>1163</v>
      </c>
      <c r="L1763">
        <v>0</v>
      </c>
      <c r="N1763" t="s">
        <v>809</v>
      </c>
      <c r="O1763">
        <v>1</v>
      </c>
      <c r="P1763">
        <v>460</v>
      </c>
      <c r="Q1763" t="s">
        <v>810</v>
      </c>
      <c r="R1763" t="s">
        <v>201</v>
      </c>
      <c r="S1763">
        <v>1</v>
      </c>
      <c r="T1763">
        <v>1</v>
      </c>
      <c r="U1763">
        <v>71436</v>
      </c>
      <c r="V1763">
        <v>71436</v>
      </c>
    </row>
    <row r="1764" spans="1:22">
      <c r="A1764" t="s">
        <v>196</v>
      </c>
      <c r="B1764">
        <v>41</v>
      </c>
      <c r="C1764" t="s">
        <v>1097</v>
      </c>
      <c r="D1764">
        <v>100</v>
      </c>
      <c r="E1764" t="s">
        <v>197</v>
      </c>
      <c r="F1764">
        <v>1005</v>
      </c>
      <c r="G1764" t="s">
        <v>111</v>
      </c>
      <c r="H1764">
        <v>2050</v>
      </c>
      <c r="I1764" t="s">
        <v>57</v>
      </c>
      <c r="J1764">
        <v>3188</v>
      </c>
      <c r="K1764" t="s">
        <v>1163</v>
      </c>
      <c r="L1764">
        <v>0</v>
      </c>
      <c r="N1764" t="s">
        <v>809</v>
      </c>
      <c r="O1764">
        <v>1</v>
      </c>
      <c r="P1764">
        <v>460</v>
      </c>
      <c r="Q1764" t="s">
        <v>810</v>
      </c>
      <c r="R1764" t="s">
        <v>201</v>
      </c>
      <c r="S1764">
        <v>1</v>
      </c>
      <c r="T1764">
        <v>1</v>
      </c>
      <c r="U1764">
        <v>47364</v>
      </c>
      <c r="V1764">
        <v>47364</v>
      </c>
    </row>
    <row r="1765" spans="1:22">
      <c r="A1765" t="s">
        <v>196</v>
      </c>
      <c r="B1765">
        <v>41</v>
      </c>
      <c r="C1765" t="s">
        <v>1097</v>
      </c>
      <c r="D1765">
        <v>100</v>
      </c>
      <c r="E1765" t="s">
        <v>197</v>
      </c>
      <c r="F1765">
        <v>1005</v>
      </c>
      <c r="G1765" t="s">
        <v>111</v>
      </c>
      <c r="H1765">
        <v>2050</v>
      </c>
      <c r="I1765" t="s">
        <v>57</v>
      </c>
      <c r="J1765">
        <v>3188</v>
      </c>
      <c r="K1765" t="s">
        <v>1163</v>
      </c>
      <c r="L1765">
        <v>0</v>
      </c>
      <c r="N1765" t="s">
        <v>622</v>
      </c>
      <c r="O1765">
        <v>1</v>
      </c>
      <c r="P1765" t="s">
        <v>667</v>
      </c>
      <c r="Q1765" t="s">
        <v>205</v>
      </c>
      <c r="R1765" t="s">
        <v>201</v>
      </c>
      <c r="S1765">
        <v>1</v>
      </c>
      <c r="T1765">
        <v>1</v>
      </c>
      <c r="U1765">
        <v>53532</v>
      </c>
      <c r="V1765">
        <v>53532</v>
      </c>
    </row>
    <row r="1766" spans="1:22">
      <c r="A1766" t="s">
        <v>196</v>
      </c>
      <c r="B1766">
        <v>41</v>
      </c>
      <c r="C1766" t="s">
        <v>1097</v>
      </c>
      <c r="D1766">
        <v>100</v>
      </c>
      <c r="E1766" t="s">
        <v>197</v>
      </c>
      <c r="F1766">
        <v>1005</v>
      </c>
      <c r="G1766" t="s">
        <v>111</v>
      </c>
      <c r="H1766">
        <v>2050</v>
      </c>
      <c r="I1766" t="s">
        <v>57</v>
      </c>
      <c r="J1766">
        <v>3188</v>
      </c>
      <c r="K1766" t="s">
        <v>1163</v>
      </c>
      <c r="L1766">
        <v>0</v>
      </c>
      <c r="N1766" t="s">
        <v>199</v>
      </c>
      <c r="O1766">
        <v>0</v>
      </c>
      <c r="P1766">
        <v>15</v>
      </c>
      <c r="Q1766" t="s">
        <v>264</v>
      </c>
      <c r="R1766" t="s">
        <v>201</v>
      </c>
      <c r="S1766">
        <v>0</v>
      </c>
      <c r="T1766">
        <v>0</v>
      </c>
      <c r="U1766">
        <v>41307</v>
      </c>
      <c r="V1766">
        <v>41307</v>
      </c>
    </row>
    <row r="1767" spans="1:22">
      <c r="A1767" t="s">
        <v>196</v>
      </c>
      <c r="B1767">
        <v>41</v>
      </c>
      <c r="C1767" t="s">
        <v>1097</v>
      </c>
      <c r="D1767">
        <v>100</v>
      </c>
      <c r="E1767" t="s">
        <v>197</v>
      </c>
      <c r="F1767">
        <v>1005</v>
      </c>
      <c r="G1767" t="s">
        <v>111</v>
      </c>
      <c r="H1767">
        <v>2050</v>
      </c>
      <c r="I1767" t="s">
        <v>57</v>
      </c>
      <c r="J1767">
        <v>3190</v>
      </c>
      <c r="K1767" t="s">
        <v>1169</v>
      </c>
      <c r="L1767">
        <v>0</v>
      </c>
      <c r="N1767" t="s">
        <v>1170</v>
      </c>
      <c r="O1767">
        <v>44</v>
      </c>
      <c r="P1767">
        <v>2151</v>
      </c>
      <c r="Q1767" t="s">
        <v>1171</v>
      </c>
      <c r="R1767" t="s">
        <v>201</v>
      </c>
      <c r="S1767">
        <v>1</v>
      </c>
      <c r="T1767">
        <v>1</v>
      </c>
      <c r="U1767">
        <v>172572</v>
      </c>
      <c r="V1767">
        <v>172572</v>
      </c>
    </row>
    <row r="1768" spans="1:22">
      <c r="A1768" t="s">
        <v>196</v>
      </c>
      <c r="B1768">
        <v>41</v>
      </c>
      <c r="C1768" t="s">
        <v>1097</v>
      </c>
      <c r="D1768">
        <v>100</v>
      </c>
      <c r="E1768" t="s">
        <v>197</v>
      </c>
      <c r="F1768">
        <v>1005</v>
      </c>
      <c r="G1768" t="s">
        <v>111</v>
      </c>
      <c r="H1768">
        <v>2050</v>
      </c>
      <c r="I1768" t="s">
        <v>57</v>
      </c>
      <c r="J1768">
        <v>3190</v>
      </c>
      <c r="K1768" t="s">
        <v>1169</v>
      </c>
      <c r="L1768">
        <v>0</v>
      </c>
      <c r="N1768" t="s">
        <v>1172</v>
      </c>
      <c r="O1768">
        <v>44</v>
      </c>
      <c r="P1768">
        <v>2150</v>
      </c>
      <c r="Q1768" t="s">
        <v>1173</v>
      </c>
      <c r="R1768" t="s">
        <v>201</v>
      </c>
      <c r="S1768">
        <v>1</v>
      </c>
      <c r="T1768">
        <v>1</v>
      </c>
      <c r="U1768">
        <v>157296</v>
      </c>
      <c r="V1768">
        <v>157296</v>
      </c>
    </row>
    <row r="1769" spans="1:22">
      <c r="A1769" t="s">
        <v>196</v>
      </c>
      <c r="B1769">
        <v>41</v>
      </c>
      <c r="C1769" t="s">
        <v>1097</v>
      </c>
      <c r="D1769">
        <v>100</v>
      </c>
      <c r="E1769" t="s">
        <v>197</v>
      </c>
      <c r="F1769">
        <v>1005</v>
      </c>
      <c r="G1769" t="s">
        <v>111</v>
      </c>
      <c r="H1769">
        <v>2050</v>
      </c>
      <c r="I1769" t="s">
        <v>57</v>
      </c>
      <c r="J1769">
        <v>3190</v>
      </c>
      <c r="K1769" t="s">
        <v>1169</v>
      </c>
      <c r="L1769">
        <v>0</v>
      </c>
      <c r="N1769" t="s">
        <v>1172</v>
      </c>
      <c r="O1769">
        <v>44</v>
      </c>
      <c r="P1769">
        <v>2150</v>
      </c>
      <c r="Q1769" t="s">
        <v>1173</v>
      </c>
      <c r="R1769" t="s">
        <v>201</v>
      </c>
      <c r="S1769">
        <v>1</v>
      </c>
      <c r="T1769">
        <v>1</v>
      </c>
      <c r="U1769">
        <v>119052</v>
      </c>
      <c r="V1769">
        <v>119052</v>
      </c>
    </row>
    <row r="1770" spans="1:22">
      <c r="A1770" t="s">
        <v>196</v>
      </c>
      <c r="B1770">
        <v>41</v>
      </c>
      <c r="C1770" t="s">
        <v>1097</v>
      </c>
      <c r="D1770">
        <v>100</v>
      </c>
      <c r="E1770" t="s">
        <v>197</v>
      </c>
      <c r="F1770">
        <v>1005</v>
      </c>
      <c r="G1770" t="s">
        <v>111</v>
      </c>
      <c r="H1770">
        <v>2050</v>
      </c>
      <c r="I1770" t="s">
        <v>57</v>
      </c>
      <c r="J1770">
        <v>3190</v>
      </c>
      <c r="K1770" t="s">
        <v>1169</v>
      </c>
      <c r="L1770">
        <v>0</v>
      </c>
      <c r="N1770" t="s">
        <v>1172</v>
      </c>
      <c r="O1770">
        <v>44</v>
      </c>
      <c r="P1770">
        <v>2150</v>
      </c>
      <c r="Q1770" t="s">
        <v>1173</v>
      </c>
      <c r="R1770" t="s">
        <v>201</v>
      </c>
      <c r="S1770">
        <v>4</v>
      </c>
      <c r="T1770">
        <v>1</v>
      </c>
      <c r="U1770">
        <v>107460</v>
      </c>
      <c r="V1770">
        <v>429840</v>
      </c>
    </row>
    <row r="1771" spans="1:22">
      <c r="A1771" t="s">
        <v>196</v>
      </c>
      <c r="B1771">
        <v>41</v>
      </c>
      <c r="C1771" t="s">
        <v>1097</v>
      </c>
      <c r="D1771">
        <v>100</v>
      </c>
      <c r="E1771" t="s">
        <v>197</v>
      </c>
      <c r="F1771">
        <v>1005</v>
      </c>
      <c r="G1771" t="s">
        <v>111</v>
      </c>
      <c r="H1771">
        <v>2050</v>
      </c>
      <c r="I1771" t="s">
        <v>57</v>
      </c>
      <c r="J1771">
        <v>3190</v>
      </c>
      <c r="K1771" t="s">
        <v>1169</v>
      </c>
      <c r="L1771">
        <v>0</v>
      </c>
      <c r="N1771" t="s">
        <v>372</v>
      </c>
      <c r="O1771">
        <v>4</v>
      </c>
      <c r="P1771">
        <v>1912</v>
      </c>
      <c r="Q1771" t="s">
        <v>608</v>
      </c>
      <c r="R1771" t="s">
        <v>201</v>
      </c>
      <c r="S1771">
        <v>1</v>
      </c>
      <c r="T1771">
        <v>1</v>
      </c>
      <c r="U1771">
        <v>98928</v>
      </c>
      <c r="V1771">
        <v>98928</v>
      </c>
    </row>
    <row r="1772" spans="1:22">
      <c r="A1772" t="s">
        <v>196</v>
      </c>
      <c r="B1772">
        <v>41</v>
      </c>
      <c r="C1772" t="s">
        <v>1097</v>
      </c>
      <c r="D1772">
        <v>100</v>
      </c>
      <c r="E1772" t="s">
        <v>197</v>
      </c>
      <c r="F1772">
        <v>1005</v>
      </c>
      <c r="G1772" t="s">
        <v>111</v>
      </c>
      <c r="H1772">
        <v>2050</v>
      </c>
      <c r="I1772" t="s">
        <v>57</v>
      </c>
      <c r="J1772">
        <v>3190</v>
      </c>
      <c r="K1772" t="s">
        <v>1169</v>
      </c>
      <c r="L1772">
        <v>0</v>
      </c>
      <c r="N1772" t="s">
        <v>622</v>
      </c>
      <c r="O1772">
        <v>1</v>
      </c>
      <c r="P1772" t="s">
        <v>667</v>
      </c>
      <c r="Q1772" t="s">
        <v>205</v>
      </c>
      <c r="R1772" t="s">
        <v>201</v>
      </c>
      <c r="S1772">
        <v>1</v>
      </c>
      <c r="T1772">
        <v>1</v>
      </c>
      <c r="U1772">
        <v>56124</v>
      </c>
      <c r="V1772">
        <v>56124</v>
      </c>
    </row>
    <row r="1773" spans="1:22">
      <c r="A1773" t="s">
        <v>196</v>
      </c>
      <c r="B1773">
        <v>41</v>
      </c>
      <c r="C1773" t="s">
        <v>1097</v>
      </c>
      <c r="D1773">
        <v>100</v>
      </c>
      <c r="E1773" t="s">
        <v>197</v>
      </c>
      <c r="F1773">
        <v>1005</v>
      </c>
      <c r="G1773" t="s">
        <v>111</v>
      </c>
      <c r="H1773">
        <v>2050</v>
      </c>
      <c r="I1773" t="s">
        <v>57</v>
      </c>
      <c r="J1773">
        <v>3190</v>
      </c>
      <c r="K1773" t="s">
        <v>1169</v>
      </c>
      <c r="L1773">
        <v>0</v>
      </c>
      <c r="N1773" t="s">
        <v>199</v>
      </c>
      <c r="O1773">
        <v>0</v>
      </c>
      <c r="P1773">
        <v>15</v>
      </c>
      <c r="Q1773" t="s">
        <v>264</v>
      </c>
      <c r="R1773" t="s">
        <v>201</v>
      </c>
      <c r="S1773">
        <v>0</v>
      </c>
      <c r="T1773">
        <v>0</v>
      </c>
      <c r="U1773">
        <v>2593</v>
      </c>
      <c r="V1773">
        <v>2593</v>
      </c>
    </row>
    <row r="1774" spans="1:22">
      <c r="A1774" t="s">
        <v>196</v>
      </c>
      <c r="B1774">
        <v>41</v>
      </c>
      <c r="C1774" t="s">
        <v>1097</v>
      </c>
      <c r="D1774">
        <v>100</v>
      </c>
      <c r="E1774" t="s">
        <v>197</v>
      </c>
      <c r="F1774">
        <v>1005</v>
      </c>
      <c r="G1774" t="s">
        <v>111</v>
      </c>
      <c r="H1774">
        <v>2050</v>
      </c>
      <c r="I1774" t="s">
        <v>57</v>
      </c>
      <c r="J1774">
        <v>3192</v>
      </c>
      <c r="K1774" t="s">
        <v>1174</v>
      </c>
      <c r="L1774">
        <v>0</v>
      </c>
      <c r="N1774" t="s">
        <v>266</v>
      </c>
      <c r="O1774">
        <v>0</v>
      </c>
      <c r="P1774">
        <v>2085</v>
      </c>
      <c r="Q1774" t="s">
        <v>665</v>
      </c>
      <c r="R1774" t="s">
        <v>201</v>
      </c>
      <c r="S1774">
        <v>1</v>
      </c>
      <c r="T1774">
        <v>1</v>
      </c>
      <c r="U1774">
        <v>167964</v>
      </c>
      <c r="V1774">
        <v>167964</v>
      </c>
    </row>
    <row r="1775" spans="1:22">
      <c r="A1775" t="s">
        <v>196</v>
      </c>
      <c r="B1775">
        <v>41</v>
      </c>
      <c r="C1775" t="s">
        <v>1097</v>
      </c>
      <c r="D1775">
        <v>100</v>
      </c>
      <c r="E1775" t="s">
        <v>197</v>
      </c>
      <c r="F1775">
        <v>1005</v>
      </c>
      <c r="G1775" t="s">
        <v>111</v>
      </c>
      <c r="H1775">
        <v>2050</v>
      </c>
      <c r="I1775" t="s">
        <v>57</v>
      </c>
      <c r="J1775">
        <v>3192</v>
      </c>
      <c r="K1775" t="s">
        <v>1174</v>
      </c>
      <c r="L1775">
        <v>0</v>
      </c>
      <c r="N1775" t="s">
        <v>372</v>
      </c>
      <c r="O1775">
        <v>3</v>
      </c>
      <c r="P1775">
        <v>2083</v>
      </c>
      <c r="Q1775" t="s">
        <v>1175</v>
      </c>
      <c r="R1775" t="s">
        <v>201</v>
      </c>
      <c r="S1775">
        <v>1</v>
      </c>
      <c r="T1775">
        <v>1</v>
      </c>
      <c r="U1775">
        <v>93504</v>
      </c>
      <c r="V1775">
        <v>93504</v>
      </c>
    </row>
    <row r="1776" spans="1:22">
      <c r="A1776" t="s">
        <v>196</v>
      </c>
      <c r="B1776">
        <v>41</v>
      </c>
      <c r="C1776" t="s">
        <v>1097</v>
      </c>
      <c r="D1776">
        <v>100</v>
      </c>
      <c r="E1776" t="s">
        <v>197</v>
      </c>
      <c r="F1776">
        <v>1005</v>
      </c>
      <c r="G1776" t="s">
        <v>111</v>
      </c>
      <c r="H1776">
        <v>2050</v>
      </c>
      <c r="I1776" t="s">
        <v>57</v>
      </c>
      <c r="J1776">
        <v>3192</v>
      </c>
      <c r="K1776" t="s">
        <v>1174</v>
      </c>
      <c r="L1776">
        <v>0</v>
      </c>
      <c r="N1776" t="s">
        <v>253</v>
      </c>
      <c r="O1776">
        <v>10</v>
      </c>
      <c r="P1776">
        <v>2082</v>
      </c>
      <c r="Q1776" t="s">
        <v>1176</v>
      </c>
      <c r="R1776" t="s">
        <v>201</v>
      </c>
      <c r="S1776">
        <v>1</v>
      </c>
      <c r="T1776">
        <v>1</v>
      </c>
      <c r="U1776">
        <v>93384</v>
      </c>
      <c r="V1776">
        <v>93384</v>
      </c>
    </row>
    <row r="1777" spans="1:22">
      <c r="A1777" t="s">
        <v>196</v>
      </c>
      <c r="B1777">
        <v>41</v>
      </c>
      <c r="C1777" t="s">
        <v>1097</v>
      </c>
      <c r="D1777">
        <v>100</v>
      </c>
      <c r="E1777" t="s">
        <v>197</v>
      </c>
      <c r="F1777">
        <v>1005</v>
      </c>
      <c r="G1777" t="s">
        <v>111</v>
      </c>
      <c r="H1777">
        <v>2050</v>
      </c>
      <c r="I1777" t="s">
        <v>57</v>
      </c>
      <c r="J1777">
        <v>3192</v>
      </c>
      <c r="K1777" t="s">
        <v>1174</v>
      </c>
      <c r="L1777">
        <v>0</v>
      </c>
      <c r="N1777" t="s">
        <v>372</v>
      </c>
      <c r="O1777">
        <v>3</v>
      </c>
      <c r="P1777">
        <v>2077</v>
      </c>
      <c r="Q1777" t="s">
        <v>1177</v>
      </c>
      <c r="R1777" t="s">
        <v>201</v>
      </c>
      <c r="S1777">
        <v>2</v>
      </c>
      <c r="T1777">
        <v>1</v>
      </c>
      <c r="U1777">
        <v>130668</v>
      </c>
      <c r="V1777">
        <v>261336</v>
      </c>
    </row>
    <row r="1778" spans="1:22">
      <c r="A1778" t="s">
        <v>196</v>
      </c>
      <c r="B1778">
        <v>41</v>
      </c>
      <c r="C1778" t="s">
        <v>1097</v>
      </c>
      <c r="D1778">
        <v>100</v>
      </c>
      <c r="E1778" t="s">
        <v>197</v>
      </c>
      <c r="F1778">
        <v>1005</v>
      </c>
      <c r="G1778" t="s">
        <v>111</v>
      </c>
      <c r="H1778">
        <v>2050</v>
      </c>
      <c r="I1778" t="s">
        <v>57</v>
      </c>
      <c r="J1778">
        <v>3192</v>
      </c>
      <c r="K1778" t="s">
        <v>1174</v>
      </c>
      <c r="L1778">
        <v>0</v>
      </c>
      <c r="N1778" t="s">
        <v>372</v>
      </c>
      <c r="O1778">
        <v>3</v>
      </c>
      <c r="P1778">
        <v>2077</v>
      </c>
      <c r="Q1778" t="s">
        <v>1177</v>
      </c>
      <c r="R1778" t="s">
        <v>201</v>
      </c>
      <c r="S1778">
        <v>1</v>
      </c>
      <c r="T1778">
        <v>1</v>
      </c>
      <c r="U1778">
        <v>119100</v>
      </c>
      <c r="V1778">
        <v>119100</v>
      </c>
    </row>
    <row r="1779" spans="1:22">
      <c r="A1779" t="s">
        <v>196</v>
      </c>
      <c r="B1779">
        <v>41</v>
      </c>
      <c r="C1779" t="s">
        <v>1097</v>
      </c>
      <c r="D1779">
        <v>100</v>
      </c>
      <c r="E1779" t="s">
        <v>197</v>
      </c>
      <c r="F1779">
        <v>1005</v>
      </c>
      <c r="G1779" t="s">
        <v>111</v>
      </c>
      <c r="H1779">
        <v>2050</v>
      </c>
      <c r="I1779" t="s">
        <v>57</v>
      </c>
      <c r="J1779">
        <v>3192</v>
      </c>
      <c r="K1779" t="s">
        <v>1174</v>
      </c>
      <c r="L1779">
        <v>0</v>
      </c>
      <c r="N1779" t="s">
        <v>372</v>
      </c>
      <c r="O1779">
        <v>3</v>
      </c>
      <c r="P1779">
        <v>2077</v>
      </c>
      <c r="Q1779" t="s">
        <v>1177</v>
      </c>
      <c r="R1779" t="s">
        <v>201</v>
      </c>
      <c r="S1779">
        <v>1</v>
      </c>
      <c r="T1779">
        <v>1</v>
      </c>
      <c r="U1779">
        <v>98928</v>
      </c>
      <c r="V1779">
        <v>98928</v>
      </c>
    </row>
    <row r="1780" spans="1:22">
      <c r="A1780" t="s">
        <v>196</v>
      </c>
      <c r="B1780">
        <v>41</v>
      </c>
      <c r="C1780" t="s">
        <v>1097</v>
      </c>
      <c r="D1780">
        <v>100</v>
      </c>
      <c r="E1780" t="s">
        <v>197</v>
      </c>
      <c r="F1780">
        <v>1005</v>
      </c>
      <c r="G1780" t="s">
        <v>111</v>
      </c>
      <c r="H1780">
        <v>2050</v>
      </c>
      <c r="I1780" t="s">
        <v>57</v>
      </c>
      <c r="J1780">
        <v>3192</v>
      </c>
      <c r="K1780" t="s">
        <v>1174</v>
      </c>
      <c r="L1780">
        <v>0</v>
      </c>
      <c r="N1780" t="s">
        <v>372</v>
      </c>
      <c r="O1780">
        <v>3</v>
      </c>
      <c r="P1780">
        <v>2077</v>
      </c>
      <c r="Q1780" t="s">
        <v>1177</v>
      </c>
      <c r="R1780" t="s">
        <v>201</v>
      </c>
      <c r="S1780">
        <v>2</v>
      </c>
      <c r="T1780">
        <v>1</v>
      </c>
      <c r="U1780">
        <v>93504</v>
      </c>
      <c r="V1780">
        <v>187008</v>
      </c>
    </row>
    <row r="1781" spans="1:22">
      <c r="A1781" t="s">
        <v>196</v>
      </c>
      <c r="B1781">
        <v>41</v>
      </c>
      <c r="C1781" t="s">
        <v>1097</v>
      </c>
      <c r="D1781">
        <v>100</v>
      </c>
      <c r="E1781" t="s">
        <v>197</v>
      </c>
      <c r="F1781">
        <v>1005</v>
      </c>
      <c r="G1781" t="s">
        <v>111</v>
      </c>
      <c r="H1781">
        <v>2050</v>
      </c>
      <c r="I1781" t="s">
        <v>57</v>
      </c>
      <c r="J1781">
        <v>3192</v>
      </c>
      <c r="K1781" t="s">
        <v>1174</v>
      </c>
      <c r="L1781">
        <v>0</v>
      </c>
      <c r="N1781" t="s">
        <v>372</v>
      </c>
      <c r="O1781">
        <v>3</v>
      </c>
      <c r="P1781">
        <v>2077</v>
      </c>
      <c r="Q1781" t="s">
        <v>1177</v>
      </c>
      <c r="R1781" t="s">
        <v>201</v>
      </c>
      <c r="S1781">
        <v>1</v>
      </c>
      <c r="T1781">
        <v>1</v>
      </c>
      <c r="U1781">
        <v>81324</v>
      </c>
      <c r="V1781">
        <v>81324</v>
      </c>
    </row>
    <row r="1782" spans="1:22">
      <c r="A1782" t="s">
        <v>196</v>
      </c>
      <c r="B1782">
        <v>41</v>
      </c>
      <c r="C1782" t="s">
        <v>1097</v>
      </c>
      <c r="D1782">
        <v>100</v>
      </c>
      <c r="E1782" t="s">
        <v>197</v>
      </c>
      <c r="F1782">
        <v>1005</v>
      </c>
      <c r="G1782" t="s">
        <v>111</v>
      </c>
      <c r="H1782">
        <v>2050</v>
      </c>
      <c r="I1782" t="s">
        <v>57</v>
      </c>
      <c r="J1782">
        <v>3192</v>
      </c>
      <c r="K1782" t="s">
        <v>1174</v>
      </c>
      <c r="L1782">
        <v>0</v>
      </c>
      <c r="N1782" t="s">
        <v>688</v>
      </c>
      <c r="O1782">
        <v>4</v>
      </c>
      <c r="P1782">
        <v>2074</v>
      </c>
      <c r="Q1782" t="s">
        <v>1178</v>
      </c>
      <c r="R1782" t="s">
        <v>201</v>
      </c>
      <c r="S1782">
        <v>1</v>
      </c>
      <c r="T1782">
        <v>1</v>
      </c>
      <c r="U1782">
        <v>118836</v>
      </c>
      <c r="V1782">
        <v>118836</v>
      </c>
    </row>
    <row r="1783" spans="1:22">
      <c r="A1783" t="s">
        <v>196</v>
      </c>
      <c r="B1783">
        <v>41</v>
      </c>
      <c r="C1783" t="s">
        <v>1097</v>
      </c>
      <c r="D1783">
        <v>100</v>
      </c>
      <c r="E1783" t="s">
        <v>197</v>
      </c>
      <c r="F1783">
        <v>1005</v>
      </c>
      <c r="G1783" t="s">
        <v>111</v>
      </c>
      <c r="H1783">
        <v>2050</v>
      </c>
      <c r="I1783" t="s">
        <v>57</v>
      </c>
      <c r="J1783">
        <v>3192</v>
      </c>
      <c r="K1783" t="s">
        <v>1174</v>
      </c>
      <c r="L1783">
        <v>0</v>
      </c>
      <c r="N1783" t="s">
        <v>688</v>
      </c>
      <c r="O1783">
        <v>4</v>
      </c>
      <c r="P1783">
        <v>2074</v>
      </c>
      <c r="Q1783" t="s">
        <v>1178</v>
      </c>
      <c r="R1783" t="s">
        <v>201</v>
      </c>
      <c r="S1783">
        <v>1</v>
      </c>
      <c r="T1783">
        <v>1</v>
      </c>
      <c r="U1783">
        <v>107628</v>
      </c>
      <c r="V1783">
        <v>107628</v>
      </c>
    </row>
    <row r="1784" spans="1:22">
      <c r="A1784" t="s">
        <v>196</v>
      </c>
      <c r="B1784">
        <v>41</v>
      </c>
      <c r="C1784" t="s">
        <v>1097</v>
      </c>
      <c r="D1784">
        <v>100</v>
      </c>
      <c r="E1784" t="s">
        <v>197</v>
      </c>
      <c r="F1784">
        <v>1005</v>
      </c>
      <c r="G1784" t="s">
        <v>111</v>
      </c>
      <c r="H1784">
        <v>2050</v>
      </c>
      <c r="I1784" t="s">
        <v>57</v>
      </c>
      <c r="J1784">
        <v>3192</v>
      </c>
      <c r="K1784" t="s">
        <v>1174</v>
      </c>
      <c r="L1784">
        <v>0</v>
      </c>
      <c r="N1784" t="s">
        <v>688</v>
      </c>
      <c r="O1784">
        <v>4</v>
      </c>
      <c r="P1784">
        <v>2074</v>
      </c>
      <c r="Q1784" t="s">
        <v>1178</v>
      </c>
      <c r="R1784" t="s">
        <v>201</v>
      </c>
      <c r="S1784">
        <v>2</v>
      </c>
      <c r="T1784">
        <v>1</v>
      </c>
      <c r="U1784">
        <v>88524</v>
      </c>
      <c r="V1784">
        <v>177048</v>
      </c>
    </row>
    <row r="1785" spans="1:22">
      <c r="A1785" t="s">
        <v>196</v>
      </c>
      <c r="B1785">
        <v>41</v>
      </c>
      <c r="C1785" t="s">
        <v>1097</v>
      </c>
      <c r="D1785">
        <v>100</v>
      </c>
      <c r="E1785" t="s">
        <v>197</v>
      </c>
      <c r="F1785">
        <v>1005</v>
      </c>
      <c r="G1785" t="s">
        <v>111</v>
      </c>
      <c r="H1785">
        <v>2050</v>
      </c>
      <c r="I1785" t="s">
        <v>57</v>
      </c>
      <c r="J1785">
        <v>3192</v>
      </c>
      <c r="K1785" t="s">
        <v>1174</v>
      </c>
      <c r="L1785">
        <v>0</v>
      </c>
      <c r="N1785" t="s">
        <v>602</v>
      </c>
      <c r="O1785">
        <v>4</v>
      </c>
      <c r="P1785">
        <v>2073</v>
      </c>
      <c r="Q1785" t="s">
        <v>1016</v>
      </c>
      <c r="R1785" t="s">
        <v>201</v>
      </c>
      <c r="S1785">
        <v>1</v>
      </c>
      <c r="T1785">
        <v>1</v>
      </c>
      <c r="U1785">
        <v>141564</v>
      </c>
      <c r="V1785">
        <v>141564</v>
      </c>
    </row>
    <row r="1786" spans="1:22">
      <c r="A1786" t="s">
        <v>196</v>
      </c>
      <c r="B1786">
        <v>41</v>
      </c>
      <c r="C1786" t="s">
        <v>1097</v>
      </c>
      <c r="D1786">
        <v>100</v>
      </c>
      <c r="E1786" t="s">
        <v>197</v>
      </c>
      <c r="F1786">
        <v>1005</v>
      </c>
      <c r="G1786" t="s">
        <v>111</v>
      </c>
      <c r="H1786">
        <v>2050</v>
      </c>
      <c r="I1786" t="s">
        <v>57</v>
      </c>
      <c r="J1786">
        <v>3192</v>
      </c>
      <c r="K1786" t="s">
        <v>1174</v>
      </c>
      <c r="L1786">
        <v>0</v>
      </c>
      <c r="N1786" t="s">
        <v>602</v>
      </c>
      <c r="O1786">
        <v>4</v>
      </c>
      <c r="P1786">
        <v>2073</v>
      </c>
      <c r="Q1786" t="s">
        <v>1016</v>
      </c>
      <c r="R1786" t="s">
        <v>201</v>
      </c>
      <c r="S1786">
        <v>1</v>
      </c>
      <c r="T1786">
        <v>1</v>
      </c>
      <c r="U1786">
        <v>134184</v>
      </c>
      <c r="V1786">
        <v>134184</v>
      </c>
    </row>
    <row r="1787" spans="1:22">
      <c r="A1787" t="s">
        <v>196</v>
      </c>
      <c r="B1787">
        <v>41</v>
      </c>
      <c r="C1787" t="s">
        <v>1097</v>
      </c>
      <c r="D1787">
        <v>100</v>
      </c>
      <c r="E1787" t="s">
        <v>197</v>
      </c>
      <c r="F1787">
        <v>1005</v>
      </c>
      <c r="G1787" t="s">
        <v>111</v>
      </c>
      <c r="H1787">
        <v>2050</v>
      </c>
      <c r="I1787" t="s">
        <v>57</v>
      </c>
      <c r="J1787">
        <v>3192</v>
      </c>
      <c r="K1787" t="s">
        <v>1174</v>
      </c>
      <c r="L1787">
        <v>0</v>
      </c>
      <c r="N1787" t="s">
        <v>602</v>
      </c>
      <c r="O1787">
        <v>4</v>
      </c>
      <c r="P1787">
        <v>2073</v>
      </c>
      <c r="Q1787" t="s">
        <v>1016</v>
      </c>
      <c r="R1787" t="s">
        <v>201</v>
      </c>
      <c r="S1787">
        <v>3</v>
      </c>
      <c r="T1787">
        <v>1</v>
      </c>
      <c r="U1787">
        <v>112536</v>
      </c>
      <c r="V1787">
        <v>337608</v>
      </c>
    </row>
    <row r="1788" spans="1:22">
      <c r="A1788" t="s">
        <v>196</v>
      </c>
      <c r="B1788">
        <v>41</v>
      </c>
      <c r="C1788" t="s">
        <v>1097</v>
      </c>
      <c r="D1788">
        <v>100</v>
      </c>
      <c r="E1788" t="s">
        <v>197</v>
      </c>
      <c r="F1788">
        <v>1005</v>
      </c>
      <c r="G1788" t="s">
        <v>111</v>
      </c>
      <c r="H1788">
        <v>2050</v>
      </c>
      <c r="I1788" t="s">
        <v>57</v>
      </c>
      <c r="J1788">
        <v>3192</v>
      </c>
      <c r="K1788" t="s">
        <v>1174</v>
      </c>
      <c r="L1788">
        <v>0</v>
      </c>
      <c r="N1788" t="s">
        <v>297</v>
      </c>
      <c r="O1788">
        <v>20</v>
      </c>
      <c r="P1788">
        <v>2072</v>
      </c>
      <c r="Q1788" t="s">
        <v>1179</v>
      </c>
      <c r="R1788" t="s">
        <v>201</v>
      </c>
      <c r="S1788">
        <v>1</v>
      </c>
      <c r="T1788">
        <v>1</v>
      </c>
      <c r="U1788">
        <v>111000</v>
      </c>
      <c r="V1788">
        <v>111000</v>
      </c>
    </row>
    <row r="1789" spans="1:22">
      <c r="A1789" t="s">
        <v>196</v>
      </c>
      <c r="B1789">
        <v>41</v>
      </c>
      <c r="C1789" t="s">
        <v>1097</v>
      </c>
      <c r="D1789">
        <v>100</v>
      </c>
      <c r="E1789" t="s">
        <v>197</v>
      </c>
      <c r="F1789">
        <v>1005</v>
      </c>
      <c r="G1789" t="s">
        <v>111</v>
      </c>
      <c r="H1789">
        <v>2050</v>
      </c>
      <c r="I1789" t="s">
        <v>57</v>
      </c>
      <c r="J1789">
        <v>3192</v>
      </c>
      <c r="K1789" t="s">
        <v>1174</v>
      </c>
      <c r="L1789">
        <v>0</v>
      </c>
      <c r="N1789" t="s">
        <v>351</v>
      </c>
      <c r="O1789">
        <v>1</v>
      </c>
      <c r="P1789" t="s">
        <v>352</v>
      </c>
      <c r="Q1789" t="s">
        <v>353</v>
      </c>
      <c r="R1789" t="s">
        <v>201</v>
      </c>
      <c r="S1789">
        <v>1</v>
      </c>
      <c r="T1789">
        <v>1</v>
      </c>
      <c r="U1789">
        <v>67608</v>
      </c>
      <c r="V1789">
        <v>67608</v>
      </c>
    </row>
    <row r="1790" spans="1:22">
      <c r="A1790" t="s">
        <v>196</v>
      </c>
      <c r="B1790">
        <v>41</v>
      </c>
      <c r="C1790" t="s">
        <v>1097</v>
      </c>
      <c r="D1790">
        <v>100</v>
      </c>
      <c r="E1790" t="s">
        <v>197</v>
      </c>
      <c r="F1790">
        <v>1005</v>
      </c>
      <c r="G1790" t="s">
        <v>111</v>
      </c>
      <c r="H1790">
        <v>2050</v>
      </c>
      <c r="I1790" t="s">
        <v>57</v>
      </c>
      <c r="J1790">
        <v>3192</v>
      </c>
      <c r="K1790" t="s">
        <v>1174</v>
      </c>
      <c r="L1790">
        <v>0</v>
      </c>
      <c r="N1790" t="s">
        <v>199</v>
      </c>
      <c r="O1790">
        <v>0</v>
      </c>
      <c r="P1790">
        <v>15</v>
      </c>
      <c r="Q1790" t="s">
        <v>264</v>
      </c>
      <c r="R1790" t="s">
        <v>201</v>
      </c>
      <c r="S1790">
        <v>0</v>
      </c>
      <c r="T1790">
        <v>0</v>
      </c>
      <c r="U1790">
        <v>29887</v>
      </c>
      <c r="V1790">
        <v>29887</v>
      </c>
    </row>
    <row r="1791" spans="1:22">
      <c r="A1791" t="s">
        <v>196</v>
      </c>
      <c r="B1791">
        <v>41</v>
      </c>
      <c r="C1791" t="s">
        <v>1097</v>
      </c>
      <c r="D1791">
        <v>100</v>
      </c>
      <c r="E1791" t="s">
        <v>197</v>
      </c>
      <c r="F1791">
        <v>1005</v>
      </c>
      <c r="G1791" t="s">
        <v>111</v>
      </c>
      <c r="H1791">
        <v>2055</v>
      </c>
      <c r="I1791" t="s">
        <v>107</v>
      </c>
      <c r="J1791">
        <v>3196</v>
      </c>
      <c r="K1791" t="s">
        <v>1180</v>
      </c>
      <c r="L1791">
        <v>0</v>
      </c>
      <c r="N1791" t="s">
        <v>266</v>
      </c>
      <c r="O1791">
        <v>9</v>
      </c>
      <c r="P1791">
        <v>9679</v>
      </c>
      <c r="Q1791" t="s">
        <v>338</v>
      </c>
      <c r="R1791" t="s">
        <v>201</v>
      </c>
      <c r="S1791">
        <v>1</v>
      </c>
      <c r="T1791">
        <v>1</v>
      </c>
      <c r="U1791">
        <v>139140</v>
      </c>
      <c r="V1791">
        <v>139140</v>
      </c>
    </row>
    <row r="1792" spans="1:22">
      <c r="A1792" t="s">
        <v>196</v>
      </c>
      <c r="B1792">
        <v>41</v>
      </c>
      <c r="C1792" t="s">
        <v>1097</v>
      </c>
      <c r="D1792">
        <v>100</v>
      </c>
      <c r="E1792" t="s">
        <v>197</v>
      </c>
      <c r="F1792">
        <v>1005</v>
      </c>
      <c r="G1792" t="s">
        <v>111</v>
      </c>
      <c r="H1792">
        <v>2055</v>
      </c>
      <c r="I1792" t="s">
        <v>107</v>
      </c>
      <c r="J1792">
        <v>3196</v>
      </c>
      <c r="K1792" t="s">
        <v>1180</v>
      </c>
      <c r="L1792">
        <v>0</v>
      </c>
      <c r="N1792" t="s">
        <v>1134</v>
      </c>
      <c r="O1792">
        <v>37</v>
      </c>
      <c r="P1792">
        <v>3763</v>
      </c>
      <c r="Q1792" t="s">
        <v>1135</v>
      </c>
      <c r="R1792" t="s">
        <v>713</v>
      </c>
      <c r="S1792">
        <v>1908</v>
      </c>
      <c r="T1792">
        <v>0</v>
      </c>
      <c r="U1792">
        <v>49.48</v>
      </c>
      <c r="V1792">
        <v>94408</v>
      </c>
    </row>
    <row r="1793" spans="1:22">
      <c r="A1793" t="s">
        <v>196</v>
      </c>
      <c r="B1793">
        <v>41</v>
      </c>
      <c r="C1793" t="s">
        <v>1097</v>
      </c>
      <c r="D1793">
        <v>100</v>
      </c>
      <c r="E1793" t="s">
        <v>197</v>
      </c>
      <c r="F1793">
        <v>1005</v>
      </c>
      <c r="G1793" t="s">
        <v>111</v>
      </c>
      <c r="H1793">
        <v>2055</v>
      </c>
      <c r="I1793" t="s">
        <v>107</v>
      </c>
      <c r="J1793">
        <v>3196</v>
      </c>
      <c r="K1793" t="s">
        <v>1180</v>
      </c>
      <c r="L1793">
        <v>0</v>
      </c>
      <c r="N1793" t="s">
        <v>341</v>
      </c>
      <c r="O1793">
        <v>3</v>
      </c>
      <c r="P1793">
        <v>3434</v>
      </c>
      <c r="Q1793" t="s">
        <v>1140</v>
      </c>
      <c r="R1793" t="s">
        <v>201</v>
      </c>
      <c r="S1793">
        <v>1</v>
      </c>
      <c r="T1793">
        <v>1</v>
      </c>
      <c r="U1793">
        <v>68616</v>
      </c>
      <c r="V1793">
        <v>68616</v>
      </c>
    </row>
    <row r="1794" spans="1:22">
      <c r="A1794" t="s">
        <v>196</v>
      </c>
      <c r="B1794">
        <v>41</v>
      </c>
      <c r="C1794" t="s">
        <v>1097</v>
      </c>
      <c r="D1794">
        <v>100</v>
      </c>
      <c r="E1794" t="s">
        <v>197</v>
      </c>
      <c r="F1794">
        <v>1005</v>
      </c>
      <c r="G1794" t="s">
        <v>111</v>
      </c>
      <c r="H1794">
        <v>2055</v>
      </c>
      <c r="I1794" t="s">
        <v>107</v>
      </c>
      <c r="J1794">
        <v>3198</v>
      </c>
      <c r="K1794" t="s">
        <v>1181</v>
      </c>
      <c r="L1794">
        <v>0</v>
      </c>
      <c r="N1794" t="s">
        <v>1124</v>
      </c>
      <c r="O1794">
        <v>37</v>
      </c>
      <c r="P1794">
        <v>3752</v>
      </c>
      <c r="Q1794" t="s">
        <v>1125</v>
      </c>
      <c r="R1794" t="s">
        <v>201</v>
      </c>
      <c r="S1794">
        <v>1</v>
      </c>
      <c r="T1794">
        <v>1</v>
      </c>
      <c r="U1794">
        <v>137376</v>
      </c>
      <c r="V1794">
        <v>137376</v>
      </c>
    </row>
    <row r="1795" spans="1:22">
      <c r="A1795" t="s">
        <v>196</v>
      </c>
      <c r="B1795">
        <v>41</v>
      </c>
      <c r="C1795" t="s">
        <v>1097</v>
      </c>
      <c r="D1795">
        <v>100</v>
      </c>
      <c r="E1795" t="s">
        <v>197</v>
      </c>
      <c r="F1795">
        <v>1005</v>
      </c>
      <c r="G1795" t="s">
        <v>111</v>
      </c>
      <c r="H1795">
        <v>2055</v>
      </c>
      <c r="I1795" t="s">
        <v>107</v>
      </c>
      <c r="J1795">
        <v>3198</v>
      </c>
      <c r="K1795" t="s">
        <v>1181</v>
      </c>
      <c r="L1795">
        <v>0</v>
      </c>
      <c r="N1795" t="s">
        <v>1124</v>
      </c>
      <c r="O1795">
        <v>37</v>
      </c>
      <c r="P1795">
        <v>3752</v>
      </c>
      <c r="Q1795" t="s">
        <v>1125</v>
      </c>
      <c r="R1795" t="s">
        <v>201</v>
      </c>
      <c r="S1795">
        <v>1</v>
      </c>
      <c r="T1795">
        <v>1</v>
      </c>
      <c r="U1795">
        <v>101448</v>
      </c>
      <c r="V1795">
        <v>101448</v>
      </c>
    </row>
    <row r="1796" spans="1:22">
      <c r="A1796" t="s">
        <v>196</v>
      </c>
      <c r="B1796">
        <v>41</v>
      </c>
      <c r="C1796" t="s">
        <v>1097</v>
      </c>
      <c r="D1796">
        <v>100</v>
      </c>
      <c r="E1796" t="s">
        <v>197</v>
      </c>
      <c r="F1796">
        <v>1005</v>
      </c>
      <c r="G1796" t="s">
        <v>111</v>
      </c>
      <c r="H1796">
        <v>2055</v>
      </c>
      <c r="I1796" t="s">
        <v>107</v>
      </c>
      <c r="J1796">
        <v>3198</v>
      </c>
      <c r="K1796" t="s">
        <v>1181</v>
      </c>
      <c r="L1796">
        <v>0</v>
      </c>
      <c r="N1796" t="s">
        <v>1124</v>
      </c>
      <c r="O1796">
        <v>37</v>
      </c>
      <c r="P1796">
        <v>3752</v>
      </c>
      <c r="Q1796" t="s">
        <v>1125</v>
      </c>
      <c r="R1796" t="s">
        <v>201</v>
      </c>
      <c r="S1796">
        <v>1</v>
      </c>
      <c r="T1796">
        <v>1</v>
      </c>
      <c r="U1796">
        <v>96708</v>
      </c>
      <c r="V1796">
        <v>96708</v>
      </c>
    </row>
    <row r="1797" spans="1:22">
      <c r="A1797" t="s">
        <v>196</v>
      </c>
      <c r="B1797">
        <v>41</v>
      </c>
      <c r="C1797" t="s">
        <v>1097</v>
      </c>
      <c r="D1797">
        <v>100</v>
      </c>
      <c r="E1797" t="s">
        <v>197</v>
      </c>
      <c r="F1797">
        <v>1005</v>
      </c>
      <c r="G1797" t="s">
        <v>111</v>
      </c>
      <c r="H1797">
        <v>2055</v>
      </c>
      <c r="I1797" t="s">
        <v>107</v>
      </c>
      <c r="J1797">
        <v>3198</v>
      </c>
      <c r="K1797" t="s">
        <v>1181</v>
      </c>
      <c r="L1797">
        <v>0</v>
      </c>
      <c r="N1797" t="s">
        <v>1154</v>
      </c>
      <c r="O1797">
        <v>56</v>
      </c>
      <c r="P1797">
        <v>3701</v>
      </c>
      <c r="Q1797" t="s">
        <v>1155</v>
      </c>
      <c r="R1797" t="s">
        <v>201</v>
      </c>
      <c r="S1797">
        <v>1</v>
      </c>
      <c r="T1797">
        <v>1</v>
      </c>
      <c r="U1797">
        <v>94080</v>
      </c>
      <c r="V1797">
        <v>94080</v>
      </c>
    </row>
    <row r="1798" spans="1:22">
      <c r="A1798" t="s">
        <v>196</v>
      </c>
      <c r="B1798">
        <v>41</v>
      </c>
      <c r="C1798" t="s">
        <v>1097</v>
      </c>
      <c r="D1798">
        <v>100</v>
      </c>
      <c r="E1798" t="s">
        <v>197</v>
      </c>
      <c r="F1798">
        <v>1005</v>
      </c>
      <c r="G1798" t="s">
        <v>111</v>
      </c>
      <c r="H1798">
        <v>2055</v>
      </c>
      <c r="I1798" t="s">
        <v>107</v>
      </c>
      <c r="J1798">
        <v>3198</v>
      </c>
      <c r="K1798" t="s">
        <v>1181</v>
      </c>
      <c r="L1798">
        <v>0</v>
      </c>
      <c r="N1798" t="s">
        <v>341</v>
      </c>
      <c r="O1798">
        <v>3</v>
      </c>
      <c r="P1798">
        <v>3434</v>
      </c>
      <c r="Q1798" t="s">
        <v>1140</v>
      </c>
      <c r="R1798" t="s">
        <v>201</v>
      </c>
      <c r="S1798">
        <v>2</v>
      </c>
      <c r="T1798">
        <v>1</v>
      </c>
      <c r="U1798">
        <v>119100</v>
      </c>
      <c r="V1798">
        <v>238200</v>
      </c>
    </row>
    <row r="1799" spans="1:22">
      <c r="A1799" t="s">
        <v>196</v>
      </c>
      <c r="B1799">
        <v>41</v>
      </c>
      <c r="C1799" t="s">
        <v>1097</v>
      </c>
      <c r="D1799">
        <v>100</v>
      </c>
      <c r="E1799" t="s">
        <v>197</v>
      </c>
      <c r="F1799">
        <v>1005</v>
      </c>
      <c r="G1799" t="s">
        <v>111</v>
      </c>
      <c r="H1799">
        <v>2055</v>
      </c>
      <c r="I1799" t="s">
        <v>107</v>
      </c>
      <c r="J1799">
        <v>3198</v>
      </c>
      <c r="K1799" t="s">
        <v>1181</v>
      </c>
      <c r="L1799">
        <v>0</v>
      </c>
      <c r="N1799" t="s">
        <v>249</v>
      </c>
      <c r="O1799">
        <v>10</v>
      </c>
      <c r="P1799">
        <v>3092</v>
      </c>
      <c r="Q1799" t="s">
        <v>750</v>
      </c>
      <c r="R1799" t="s">
        <v>201</v>
      </c>
      <c r="S1799">
        <v>1</v>
      </c>
      <c r="T1799">
        <v>1</v>
      </c>
      <c r="U1799">
        <v>89112</v>
      </c>
      <c r="V1799">
        <v>89112</v>
      </c>
    </row>
    <row r="1800" spans="1:22">
      <c r="A1800" t="s">
        <v>196</v>
      </c>
      <c r="B1800">
        <v>41</v>
      </c>
      <c r="C1800" t="s">
        <v>1097</v>
      </c>
      <c r="D1800">
        <v>100</v>
      </c>
      <c r="E1800" t="s">
        <v>197</v>
      </c>
      <c r="F1800">
        <v>1005</v>
      </c>
      <c r="G1800" t="s">
        <v>111</v>
      </c>
      <c r="H1800">
        <v>2055</v>
      </c>
      <c r="I1800" t="s">
        <v>107</v>
      </c>
      <c r="J1800">
        <v>3198</v>
      </c>
      <c r="K1800" t="s">
        <v>1181</v>
      </c>
      <c r="L1800">
        <v>0</v>
      </c>
      <c r="N1800" t="s">
        <v>199</v>
      </c>
      <c r="O1800">
        <v>0</v>
      </c>
      <c r="P1800">
        <v>15</v>
      </c>
      <c r="Q1800" t="s">
        <v>264</v>
      </c>
      <c r="R1800" t="s">
        <v>201</v>
      </c>
      <c r="S1800">
        <v>0</v>
      </c>
      <c r="T1800">
        <v>0</v>
      </c>
      <c r="U1800">
        <v>7576</v>
      </c>
      <c r="V1800">
        <v>7576</v>
      </c>
    </row>
    <row r="1801" spans="1:22">
      <c r="A1801" t="s">
        <v>196</v>
      </c>
      <c r="B1801">
        <v>41</v>
      </c>
      <c r="C1801" t="s">
        <v>1097</v>
      </c>
      <c r="D1801">
        <v>100</v>
      </c>
      <c r="E1801" t="s">
        <v>197</v>
      </c>
      <c r="F1801">
        <v>1005</v>
      </c>
      <c r="G1801" t="s">
        <v>111</v>
      </c>
      <c r="H1801">
        <v>2055</v>
      </c>
      <c r="I1801" t="s">
        <v>107</v>
      </c>
      <c r="J1801">
        <v>3200</v>
      </c>
      <c r="K1801" t="s">
        <v>1115</v>
      </c>
      <c r="L1801">
        <v>0</v>
      </c>
      <c r="N1801" t="s">
        <v>297</v>
      </c>
      <c r="O1801">
        <v>20</v>
      </c>
      <c r="P1801">
        <v>1441</v>
      </c>
      <c r="Q1801" t="s">
        <v>1122</v>
      </c>
      <c r="R1801" t="s">
        <v>201</v>
      </c>
      <c r="S1801">
        <v>1</v>
      </c>
      <c r="T1801">
        <v>1</v>
      </c>
      <c r="U1801">
        <v>111000</v>
      </c>
      <c r="V1801">
        <v>111000</v>
      </c>
    </row>
    <row r="1802" spans="1:22">
      <c r="A1802" t="s">
        <v>196</v>
      </c>
      <c r="B1802">
        <v>41</v>
      </c>
      <c r="C1802" t="s">
        <v>1097</v>
      </c>
      <c r="D1802">
        <v>100</v>
      </c>
      <c r="E1802" t="s">
        <v>197</v>
      </c>
      <c r="F1802">
        <v>1005</v>
      </c>
      <c r="G1802" t="s">
        <v>111</v>
      </c>
      <c r="H1802">
        <v>2055</v>
      </c>
      <c r="I1802" t="s">
        <v>107</v>
      </c>
      <c r="J1802">
        <v>3200</v>
      </c>
      <c r="K1802" t="s">
        <v>1115</v>
      </c>
      <c r="L1802">
        <v>0</v>
      </c>
      <c r="N1802" t="s">
        <v>274</v>
      </c>
      <c r="O1802">
        <v>9</v>
      </c>
      <c r="P1802">
        <v>313</v>
      </c>
      <c r="Q1802" t="s">
        <v>605</v>
      </c>
      <c r="R1802" t="s">
        <v>201</v>
      </c>
      <c r="S1802">
        <v>1</v>
      </c>
      <c r="T1802">
        <v>1</v>
      </c>
      <c r="U1802">
        <v>121668</v>
      </c>
      <c r="V1802">
        <v>121668</v>
      </c>
    </row>
    <row r="1803" spans="1:22">
      <c r="A1803" t="s">
        <v>196</v>
      </c>
      <c r="B1803">
        <v>41</v>
      </c>
      <c r="C1803" t="s">
        <v>1097</v>
      </c>
      <c r="D1803">
        <v>100</v>
      </c>
      <c r="E1803" t="s">
        <v>197</v>
      </c>
      <c r="F1803">
        <v>1005</v>
      </c>
      <c r="G1803" t="s">
        <v>111</v>
      </c>
      <c r="H1803">
        <v>2055</v>
      </c>
      <c r="I1803" t="s">
        <v>107</v>
      </c>
      <c r="J1803">
        <v>3200</v>
      </c>
      <c r="K1803" t="s">
        <v>1115</v>
      </c>
      <c r="L1803">
        <v>0</v>
      </c>
      <c r="N1803" t="s">
        <v>199</v>
      </c>
      <c r="O1803">
        <v>0</v>
      </c>
      <c r="P1803">
        <v>15</v>
      </c>
      <c r="Q1803" t="s">
        <v>264</v>
      </c>
      <c r="R1803" t="s">
        <v>201</v>
      </c>
      <c r="S1803">
        <v>0</v>
      </c>
      <c r="T1803">
        <v>0</v>
      </c>
      <c r="U1803">
        <v>2496</v>
      </c>
      <c r="V1803">
        <v>2496</v>
      </c>
    </row>
    <row r="1804" spans="1:22">
      <c r="A1804" t="s">
        <v>196</v>
      </c>
      <c r="B1804">
        <v>41</v>
      </c>
      <c r="C1804" t="s">
        <v>1097</v>
      </c>
      <c r="D1804">
        <v>100</v>
      </c>
      <c r="E1804" t="s">
        <v>197</v>
      </c>
      <c r="F1804">
        <v>1005</v>
      </c>
      <c r="G1804" t="s">
        <v>111</v>
      </c>
      <c r="H1804">
        <v>2055</v>
      </c>
      <c r="I1804" t="s">
        <v>107</v>
      </c>
      <c r="J1804">
        <v>3202</v>
      </c>
      <c r="K1804" t="s">
        <v>1182</v>
      </c>
      <c r="L1804">
        <v>0</v>
      </c>
      <c r="N1804" t="s">
        <v>1134</v>
      </c>
      <c r="O1804">
        <v>37</v>
      </c>
      <c r="P1804">
        <v>3763</v>
      </c>
      <c r="Q1804" t="s">
        <v>1135</v>
      </c>
      <c r="R1804" t="s">
        <v>201</v>
      </c>
      <c r="S1804">
        <v>2</v>
      </c>
      <c r="T1804">
        <v>1</v>
      </c>
      <c r="U1804">
        <v>167148</v>
      </c>
      <c r="V1804">
        <v>334296</v>
      </c>
    </row>
    <row r="1805" spans="1:22">
      <c r="A1805" t="s">
        <v>196</v>
      </c>
      <c r="B1805">
        <v>41</v>
      </c>
      <c r="C1805" t="s">
        <v>1097</v>
      </c>
      <c r="D1805">
        <v>100</v>
      </c>
      <c r="E1805" t="s">
        <v>197</v>
      </c>
      <c r="F1805">
        <v>1005</v>
      </c>
      <c r="G1805" t="s">
        <v>111</v>
      </c>
      <c r="H1805">
        <v>2055</v>
      </c>
      <c r="I1805" t="s">
        <v>107</v>
      </c>
      <c r="J1805">
        <v>3202</v>
      </c>
      <c r="K1805" t="s">
        <v>1182</v>
      </c>
      <c r="L1805">
        <v>0</v>
      </c>
      <c r="N1805" t="s">
        <v>1134</v>
      </c>
      <c r="O1805">
        <v>37</v>
      </c>
      <c r="P1805">
        <v>3763</v>
      </c>
      <c r="Q1805" t="s">
        <v>1135</v>
      </c>
      <c r="R1805" t="s">
        <v>201</v>
      </c>
      <c r="S1805">
        <v>2</v>
      </c>
      <c r="T1805">
        <v>1</v>
      </c>
      <c r="U1805">
        <v>117528</v>
      </c>
      <c r="V1805">
        <v>235056</v>
      </c>
    </row>
    <row r="1806" spans="1:22">
      <c r="A1806" t="s">
        <v>196</v>
      </c>
      <c r="B1806">
        <v>41</v>
      </c>
      <c r="C1806" t="s">
        <v>1097</v>
      </c>
      <c r="D1806">
        <v>100</v>
      </c>
      <c r="E1806" t="s">
        <v>197</v>
      </c>
      <c r="F1806">
        <v>1005</v>
      </c>
      <c r="G1806" t="s">
        <v>111</v>
      </c>
      <c r="H1806">
        <v>2055</v>
      </c>
      <c r="I1806" t="s">
        <v>107</v>
      </c>
      <c r="J1806">
        <v>3202</v>
      </c>
      <c r="K1806" t="s">
        <v>1182</v>
      </c>
      <c r="L1806">
        <v>0</v>
      </c>
      <c r="N1806" t="s">
        <v>266</v>
      </c>
      <c r="O1806">
        <v>9</v>
      </c>
      <c r="P1806">
        <v>3366</v>
      </c>
      <c r="Q1806" t="s">
        <v>1183</v>
      </c>
      <c r="R1806" t="s">
        <v>201</v>
      </c>
      <c r="S1806">
        <v>1</v>
      </c>
      <c r="T1806">
        <v>1</v>
      </c>
      <c r="U1806">
        <v>139140</v>
      </c>
      <c r="V1806">
        <v>139140</v>
      </c>
    </row>
    <row r="1807" spans="1:22">
      <c r="A1807" t="s">
        <v>196</v>
      </c>
      <c r="B1807">
        <v>41</v>
      </c>
      <c r="C1807" t="s">
        <v>1097</v>
      </c>
      <c r="D1807">
        <v>100</v>
      </c>
      <c r="E1807" t="s">
        <v>197</v>
      </c>
      <c r="F1807">
        <v>1005</v>
      </c>
      <c r="G1807" t="s">
        <v>111</v>
      </c>
      <c r="H1807">
        <v>2055</v>
      </c>
      <c r="I1807" t="s">
        <v>107</v>
      </c>
      <c r="J1807">
        <v>3202</v>
      </c>
      <c r="K1807" t="s">
        <v>1182</v>
      </c>
      <c r="L1807">
        <v>0</v>
      </c>
      <c r="N1807" t="s">
        <v>809</v>
      </c>
      <c r="O1807">
        <v>1</v>
      </c>
      <c r="P1807">
        <v>3139</v>
      </c>
      <c r="Q1807" t="s">
        <v>1184</v>
      </c>
      <c r="R1807" t="s">
        <v>201</v>
      </c>
      <c r="S1807">
        <v>4</v>
      </c>
      <c r="T1807">
        <v>1</v>
      </c>
      <c r="U1807">
        <v>82140</v>
      </c>
      <c r="V1807">
        <v>328560</v>
      </c>
    </row>
    <row r="1808" spans="1:22">
      <c r="A1808" t="s">
        <v>196</v>
      </c>
      <c r="B1808">
        <v>41</v>
      </c>
      <c r="C1808" t="s">
        <v>1097</v>
      </c>
      <c r="D1808">
        <v>100</v>
      </c>
      <c r="E1808" t="s">
        <v>197</v>
      </c>
      <c r="F1808">
        <v>1005</v>
      </c>
      <c r="G1808" t="s">
        <v>111</v>
      </c>
      <c r="H1808">
        <v>2055</v>
      </c>
      <c r="I1808" t="s">
        <v>107</v>
      </c>
      <c r="J1808">
        <v>3202</v>
      </c>
      <c r="K1808" t="s">
        <v>1182</v>
      </c>
      <c r="L1808">
        <v>0</v>
      </c>
      <c r="N1808" t="s">
        <v>360</v>
      </c>
      <c r="O1808">
        <v>1</v>
      </c>
      <c r="P1808">
        <v>3130</v>
      </c>
      <c r="Q1808" t="s">
        <v>1185</v>
      </c>
      <c r="R1808" t="s">
        <v>201</v>
      </c>
      <c r="S1808">
        <v>1</v>
      </c>
      <c r="T1808">
        <v>1</v>
      </c>
      <c r="U1808">
        <v>58764</v>
      </c>
      <c r="V1808">
        <v>58764</v>
      </c>
    </row>
    <row r="1809" spans="1:22">
      <c r="A1809" t="s">
        <v>196</v>
      </c>
      <c r="B1809">
        <v>41</v>
      </c>
      <c r="C1809" t="s">
        <v>1097</v>
      </c>
      <c r="D1809">
        <v>100</v>
      </c>
      <c r="E1809" t="s">
        <v>197</v>
      </c>
      <c r="F1809">
        <v>1005</v>
      </c>
      <c r="G1809" t="s">
        <v>111</v>
      </c>
      <c r="H1809">
        <v>2055</v>
      </c>
      <c r="I1809" t="s">
        <v>107</v>
      </c>
      <c r="J1809">
        <v>3202</v>
      </c>
      <c r="K1809" t="s">
        <v>1182</v>
      </c>
      <c r="L1809">
        <v>0</v>
      </c>
      <c r="N1809" t="s">
        <v>287</v>
      </c>
      <c r="O1809">
        <v>20</v>
      </c>
      <c r="P1809">
        <v>3127</v>
      </c>
      <c r="Q1809" t="s">
        <v>1186</v>
      </c>
      <c r="R1809" t="s">
        <v>201</v>
      </c>
      <c r="S1809">
        <v>1</v>
      </c>
      <c r="T1809">
        <v>1</v>
      </c>
      <c r="U1809">
        <v>76020</v>
      </c>
      <c r="V1809">
        <v>76020</v>
      </c>
    </row>
    <row r="1810" spans="1:22">
      <c r="A1810" t="s">
        <v>196</v>
      </c>
      <c r="B1810">
        <v>41</v>
      </c>
      <c r="C1810" t="s">
        <v>1097</v>
      </c>
      <c r="D1810">
        <v>100</v>
      </c>
      <c r="E1810" t="s">
        <v>197</v>
      </c>
      <c r="F1810">
        <v>1005</v>
      </c>
      <c r="G1810" t="s">
        <v>111</v>
      </c>
      <c r="H1810">
        <v>2055</v>
      </c>
      <c r="I1810" t="s">
        <v>107</v>
      </c>
      <c r="J1810">
        <v>3202</v>
      </c>
      <c r="K1810" t="s">
        <v>1182</v>
      </c>
      <c r="L1810">
        <v>0</v>
      </c>
      <c r="N1810" t="s">
        <v>199</v>
      </c>
      <c r="O1810">
        <v>0</v>
      </c>
      <c r="P1810">
        <v>15</v>
      </c>
      <c r="Q1810" t="s">
        <v>264</v>
      </c>
      <c r="R1810" t="s">
        <v>201</v>
      </c>
      <c r="S1810">
        <v>0</v>
      </c>
      <c r="T1810">
        <v>0</v>
      </c>
      <c r="U1810">
        <v>4852</v>
      </c>
      <c r="V1810">
        <v>4852</v>
      </c>
    </row>
    <row r="1811" spans="1:22">
      <c r="A1811" t="s">
        <v>196</v>
      </c>
      <c r="B1811">
        <v>45</v>
      </c>
      <c r="C1811" t="s">
        <v>115</v>
      </c>
      <c r="D1811">
        <v>100</v>
      </c>
      <c r="E1811" t="s">
        <v>197</v>
      </c>
      <c r="F1811">
        <v>1005</v>
      </c>
      <c r="G1811" t="s">
        <v>115</v>
      </c>
      <c r="H1811">
        <v>2005</v>
      </c>
      <c r="I1811" t="s">
        <v>115</v>
      </c>
      <c r="J1811">
        <v>3005</v>
      </c>
      <c r="K1811" t="s">
        <v>1187</v>
      </c>
      <c r="L1811">
        <v>0</v>
      </c>
      <c r="N1811" t="s">
        <v>199</v>
      </c>
      <c r="O1811">
        <v>9</v>
      </c>
      <c r="P1811">
        <v>9945</v>
      </c>
      <c r="Q1811" t="s">
        <v>1188</v>
      </c>
      <c r="R1811" t="s">
        <v>201</v>
      </c>
      <c r="S1811">
        <v>1</v>
      </c>
      <c r="T1811">
        <v>1</v>
      </c>
      <c r="U1811">
        <v>184800</v>
      </c>
      <c r="V1811">
        <v>184800</v>
      </c>
    </row>
    <row r="1812" spans="1:22">
      <c r="A1812" t="s">
        <v>196</v>
      </c>
      <c r="B1812">
        <v>45</v>
      </c>
      <c r="C1812" t="s">
        <v>115</v>
      </c>
      <c r="D1812">
        <v>100</v>
      </c>
      <c r="E1812" t="s">
        <v>197</v>
      </c>
      <c r="F1812">
        <v>1005</v>
      </c>
      <c r="G1812" t="s">
        <v>115</v>
      </c>
      <c r="H1812">
        <v>2005</v>
      </c>
      <c r="I1812" t="s">
        <v>115</v>
      </c>
      <c r="J1812">
        <v>3005</v>
      </c>
      <c r="K1812" t="s">
        <v>1187</v>
      </c>
      <c r="L1812">
        <v>0</v>
      </c>
      <c r="N1812" t="s">
        <v>616</v>
      </c>
      <c r="O1812">
        <v>0</v>
      </c>
      <c r="P1812">
        <v>9677</v>
      </c>
      <c r="Q1812" t="s">
        <v>338</v>
      </c>
      <c r="R1812" t="s">
        <v>201</v>
      </c>
      <c r="S1812">
        <v>1</v>
      </c>
      <c r="T1812">
        <v>1</v>
      </c>
      <c r="U1812">
        <v>151884</v>
      </c>
      <c r="V1812">
        <v>151884</v>
      </c>
    </row>
    <row r="1813" spans="1:22">
      <c r="A1813" t="s">
        <v>196</v>
      </c>
      <c r="B1813">
        <v>45</v>
      </c>
      <c r="C1813" t="s">
        <v>115</v>
      </c>
      <c r="D1813">
        <v>100</v>
      </c>
      <c r="E1813" t="s">
        <v>197</v>
      </c>
      <c r="F1813">
        <v>1005</v>
      </c>
      <c r="G1813" t="s">
        <v>115</v>
      </c>
      <c r="H1813">
        <v>2005</v>
      </c>
      <c r="I1813" t="s">
        <v>115</v>
      </c>
      <c r="J1813">
        <v>3005</v>
      </c>
      <c r="K1813" t="s">
        <v>1187</v>
      </c>
      <c r="L1813">
        <v>0</v>
      </c>
      <c r="N1813" t="s">
        <v>614</v>
      </c>
      <c r="O1813">
        <v>0</v>
      </c>
      <c r="P1813">
        <v>9662</v>
      </c>
      <c r="Q1813" t="s">
        <v>846</v>
      </c>
      <c r="R1813" t="s">
        <v>201</v>
      </c>
      <c r="S1813">
        <v>1</v>
      </c>
      <c r="T1813">
        <v>1</v>
      </c>
      <c r="U1813">
        <v>170436</v>
      </c>
      <c r="V1813">
        <v>170436</v>
      </c>
    </row>
    <row r="1814" spans="1:22">
      <c r="A1814" t="s">
        <v>196</v>
      </c>
      <c r="B1814">
        <v>45</v>
      </c>
      <c r="C1814" t="s">
        <v>115</v>
      </c>
      <c r="D1814">
        <v>100</v>
      </c>
      <c r="E1814" t="s">
        <v>197</v>
      </c>
      <c r="F1814">
        <v>1005</v>
      </c>
      <c r="G1814" t="s">
        <v>115</v>
      </c>
      <c r="H1814">
        <v>2005</v>
      </c>
      <c r="I1814" t="s">
        <v>115</v>
      </c>
      <c r="J1814">
        <v>3005</v>
      </c>
      <c r="K1814" t="s">
        <v>1187</v>
      </c>
      <c r="L1814">
        <v>0</v>
      </c>
      <c r="N1814" t="s">
        <v>251</v>
      </c>
      <c r="O1814">
        <v>10</v>
      </c>
      <c r="P1814">
        <v>3099</v>
      </c>
      <c r="Q1814" t="s">
        <v>1189</v>
      </c>
      <c r="R1814" t="s">
        <v>201</v>
      </c>
      <c r="S1814">
        <v>1</v>
      </c>
      <c r="T1814">
        <v>1</v>
      </c>
      <c r="U1814">
        <v>124584</v>
      </c>
      <c r="V1814">
        <v>124584</v>
      </c>
    </row>
    <row r="1815" spans="1:22">
      <c r="A1815" t="s">
        <v>196</v>
      </c>
      <c r="B1815">
        <v>45</v>
      </c>
      <c r="C1815" t="s">
        <v>115</v>
      </c>
      <c r="D1815">
        <v>100</v>
      </c>
      <c r="E1815" t="s">
        <v>197</v>
      </c>
      <c r="F1815">
        <v>1005</v>
      </c>
      <c r="G1815" t="s">
        <v>115</v>
      </c>
      <c r="H1815">
        <v>2005</v>
      </c>
      <c r="I1815" t="s">
        <v>115</v>
      </c>
      <c r="J1815">
        <v>3005</v>
      </c>
      <c r="K1815" t="s">
        <v>1187</v>
      </c>
      <c r="L1815">
        <v>0</v>
      </c>
      <c r="N1815" t="s">
        <v>251</v>
      </c>
      <c r="O1815">
        <v>10</v>
      </c>
      <c r="P1815">
        <v>3099</v>
      </c>
      <c r="Q1815" t="s">
        <v>1189</v>
      </c>
      <c r="R1815" t="s">
        <v>201</v>
      </c>
      <c r="S1815">
        <v>1</v>
      </c>
      <c r="T1815">
        <v>1</v>
      </c>
      <c r="U1815">
        <v>76476</v>
      </c>
      <c r="V1815">
        <v>76476</v>
      </c>
    </row>
    <row r="1816" spans="1:22">
      <c r="A1816" t="s">
        <v>196</v>
      </c>
      <c r="B1816">
        <v>45</v>
      </c>
      <c r="C1816" t="s">
        <v>115</v>
      </c>
      <c r="D1816">
        <v>100</v>
      </c>
      <c r="E1816" t="s">
        <v>197</v>
      </c>
      <c r="F1816">
        <v>1005</v>
      </c>
      <c r="G1816" t="s">
        <v>115</v>
      </c>
      <c r="H1816">
        <v>2005</v>
      </c>
      <c r="I1816" t="s">
        <v>115</v>
      </c>
      <c r="J1816">
        <v>3005</v>
      </c>
      <c r="K1816" t="s">
        <v>1187</v>
      </c>
      <c r="L1816">
        <v>0</v>
      </c>
      <c r="N1816" t="s">
        <v>688</v>
      </c>
      <c r="O1816">
        <v>3</v>
      </c>
      <c r="P1816">
        <v>3085</v>
      </c>
      <c r="Q1816" t="s">
        <v>1190</v>
      </c>
      <c r="R1816" t="s">
        <v>201</v>
      </c>
      <c r="S1816">
        <v>1</v>
      </c>
      <c r="T1816">
        <v>1</v>
      </c>
      <c r="U1816">
        <v>118836</v>
      </c>
      <c r="V1816">
        <v>118836</v>
      </c>
    </row>
    <row r="1817" spans="1:22">
      <c r="A1817" t="s">
        <v>196</v>
      </c>
      <c r="B1817">
        <v>45</v>
      </c>
      <c r="C1817" t="s">
        <v>115</v>
      </c>
      <c r="D1817">
        <v>100</v>
      </c>
      <c r="E1817" t="s">
        <v>197</v>
      </c>
      <c r="F1817">
        <v>1005</v>
      </c>
      <c r="G1817" t="s">
        <v>115</v>
      </c>
      <c r="H1817">
        <v>2005</v>
      </c>
      <c r="I1817" t="s">
        <v>115</v>
      </c>
      <c r="J1817">
        <v>3005</v>
      </c>
      <c r="K1817" t="s">
        <v>1187</v>
      </c>
      <c r="L1817">
        <v>0</v>
      </c>
      <c r="N1817" t="s">
        <v>688</v>
      </c>
      <c r="O1817">
        <v>3</v>
      </c>
      <c r="P1817">
        <v>3085</v>
      </c>
      <c r="Q1817" t="s">
        <v>1190</v>
      </c>
      <c r="R1817" t="s">
        <v>201</v>
      </c>
      <c r="S1817">
        <v>2</v>
      </c>
      <c r="T1817">
        <v>1</v>
      </c>
      <c r="U1817">
        <v>88524</v>
      </c>
      <c r="V1817">
        <v>177048</v>
      </c>
    </row>
    <row r="1818" spans="1:22">
      <c r="A1818" t="s">
        <v>196</v>
      </c>
      <c r="B1818">
        <v>45</v>
      </c>
      <c r="C1818" t="s">
        <v>115</v>
      </c>
      <c r="D1818">
        <v>100</v>
      </c>
      <c r="E1818" t="s">
        <v>197</v>
      </c>
      <c r="F1818">
        <v>1005</v>
      </c>
      <c r="G1818" t="s">
        <v>115</v>
      </c>
      <c r="H1818">
        <v>2005</v>
      </c>
      <c r="I1818" t="s">
        <v>115</v>
      </c>
      <c r="J1818">
        <v>3005</v>
      </c>
      <c r="K1818" t="s">
        <v>1187</v>
      </c>
      <c r="L1818">
        <v>0</v>
      </c>
      <c r="N1818" t="s">
        <v>631</v>
      </c>
      <c r="O1818">
        <v>10</v>
      </c>
      <c r="P1818">
        <v>3016</v>
      </c>
      <c r="Q1818" t="s">
        <v>1191</v>
      </c>
      <c r="R1818" t="s">
        <v>201</v>
      </c>
      <c r="S1818">
        <v>1</v>
      </c>
      <c r="T1818">
        <v>1</v>
      </c>
      <c r="U1818">
        <v>133044</v>
      </c>
      <c r="V1818">
        <v>133044</v>
      </c>
    </row>
    <row r="1819" spans="1:22">
      <c r="A1819" t="s">
        <v>196</v>
      </c>
      <c r="B1819">
        <v>45</v>
      </c>
      <c r="C1819" t="s">
        <v>115</v>
      </c>
      <c r="D1819">
        <v>100</v>
      </c>
      <c r="E1819" t="s">
        <v>197</v>
      </c>
      <c r="F1819">
        <v>1005</v>
      </c>
      <c r="G1819" t="s">
        <v>115</v>
      </c>
      <c r="H1819">
        <v>2005</v>
      </c>
      <c r="I1819" t="s">
        <v>115</v>
      </c>
      <c r="J1819">
        <v>3005</v>
      </c>
      <c r="K1819" t="s">
        <v>1187</v>
      </c>
      <c r="L1819">
        <v>0</v>
      </c>
      <c r="N1819" t="s">
        <v>631</v>
      </c>
      <c r="O1819">
        <v>10</v>
      </c>
      <c r="P1819">
        <v>3015</v>
      </c>
      <c r="Q1819" t="s">
        <v>1192</v>
      </c>
      <c r="R1819" t="s">
        <v>201</v>
      </c>
      <c r="S1819">
        <v>1</v>
      </c>
      <c r="T1819">
        <v>1</v>
      </c>
      <c r="U1819">
        <v>133044</v>
      </c>
      <c r="V1819">
        <v>133044</v>
      </c>
    </row>
    <row r="1820" spans="1:22">
      <c r="A1820" t="s">
        <v>196</v>
      </c>
      <c r="B1820">
        <v>45</v>
      </c>
      <c r="C1820" t="s">
        <v>115</v>
      </c>
      <c r="D1820">
        <v>100</v>
      </c>
      <c r="E1820" t="s">
        <v>197</v>
      </c>
      <c r="F1820">
        <v>1005</v>
      </c>
      <c r="G1820" t="s">
        <v>115</v>
      </c>
      <c r="H1820">
        <v>2005</v>
      </c>
      <c r="I1820" t="s">
        <v>115</v>
      </c>
      <c r="J1820">
        <v>3005</v>
      </c>
      <c r="K1820" t="s">
        <v>1187</v>
      </c>
      <c r="L1820">
        <v>0</v>
      </c>
      <c r="N1820" t="s">
        <v>251</v>
      </c>
      <c r="O1820">
        <v>10</v>
      </c>
      <c r="P1820">
        <v>802</v>
      </c>
      <c r="Q1820" t="s">
        <v>252</v>
      </c>
      <c r="R1820" t="s">
        <v>201</v>
      </c>
      <c r="S1820">
        <v>1</v>
      </c>
      <c r="T1820">
        <v>1</v>
      </c>
      <c r="U1820">
        <v>83052</v>
      </c>
      <c r="V1820">
        <v>83052</v>
      </c>
    </row>
    <row r="1821" spans="1:22">
      <c r="A1821" t="s">
        <v>196</v>
      </c>
      <c r="B1821">
        <v>45</v>
      </c>
      <c r="C1821" t="s">
        <v>115</v>
      </c>
      <c r="D1821">
        <v>100</v>
      </c>
      <c r="E1821" t="s">
        <v>197</v>
      </c>
      <c r="F1821">
        <v>1005</v>
      </c>
      <c r="G1821" t="s">
        <v>115</v>
      </c>
      <c r="H1821">
        <v>2005</v>
      </c>
      <c r="I1821" t="s">
        <v>115</v>
      </c>
      <c r="J1821">
        <v>3005</v>
      </c>
      <c r="K1821" t="s">
        <v>1187</v>
      </c>
      <c r="L1821">
        <v>0</v>
      </c>
      <c r="N1821" t="s">
        <v>199</v>
      </c>
      <c r="O1821">
        <v>0</v>
      </c>
      <c r="P1821">
        <v>15</v>
      </c>
      <c r="Q1821" t="s">
        <v>264</v>
      </c>
      <c r="R1821" t="s">
        <v>201</v>
      </c>
      <c r="S1821">
        <v>0</v>
      </c>
      <c r="T1821">
        <v>0</v>
      </c>
      <c r="U1821">
        <v>12222</v>
      </c>
      <c r="V1821">
        <v>12222</v>
      </c>
    </row>
    <row r="1822" spans="1:22">
      <c r="A1822" t="s">
        <v>196</v>
      </c>
      <c r="B1822">
        <v>45</v>
      </c>
      <c r="C1822" t="s">
        <v>115</v>
      </c>
      <c r="D1822">
        <v>100</v>
      </c>
      <c r="E1822" t="s">
        <v>197</v>
      </c>
      <c r="F1822">
        <v>1005</v>
      </c>
      <c r="G1822" t="s">
        <v>115</v>
      </c>
      <c r="H1822">
        <v>2005</v>
      </c>
      <c r="I1822" t="s">
        <v>115</v>
      </c>
      <c r="J1822">
        <v>3007</v>
      </c>
      <c r="K1822" t="s">
        <v>309</v>
      </c>
      <c r="L1822">
        <v>0</v>
      </c>
      <c r="N1822" t="s">
        <v>251</v>
      </c>
      <c r="O1822">
        <v>10</v>
      </c>
      <c r="P1822">
        <v>1315</v>
      </c>
      <c r="Q1822" t="s">
        <v>765</v>
      </c>
      <c r="R1822" t="s">
        <v>201</v>
      </c>
      <c r="S1822">
        <v>1</v>
      </c>
      <c r="T1822">
        <v>1</v>
      </c>
      <c r="U1822">
        <v>89112</v>
      </c>
      <c r="V1822">
        <v>89112</v>
      </c>
    </row>
    <row r="1823" spans="1:22">
      <c r="A1823" t="s">
        <v>196</v>
      </c>
      <c r="B1823">
        <v>45</v>
      </c>
      <c r="C1823" t="s">
        <v>115</v>
      </c>
      <c r="D1823">
        <v>100</v>
      </c>
      <c r="E1823" t="s">
        <v>197</v>
      </c>
      <c r="F1823">
        <v>1005</v>
      </c>
      <c r="G1823" t="s">
        <v>115</v>
      </c>
      <c r="H1823">
        <v>2005</v>
      </c>
      <c r="I1823" t="s">
        <v>115</v>
      </c>
      <c r="J1823">
        <v>3007</v>
      </c>
      <c r="K1823" t="s">
        <v>309</v>
      </c>
      <c r="L1823">
        <v>0</v>
      </c>
      <c r="N1823" t="s">
        <v>268</v>
      </c>
      <c r="O1823">
        <v>10</v>
      </c>
      <c r="P1823">
        <v>789</v>
      </c>
      <c r="Q1823" t="s">
        <v>324</v>
      </c>
      <c r="R1823" t="s">
        <v>201</v>
      </c>
      <c r="S1823">
        <v>1</v>
      </c>
      <c r="T1823">
        <v>1</v>
      </c>
      <c r="U1823">
        <v>72996</v>
      </c>
      <c r="V1823">
        <v>72996</v>
      </c>
    </row>
    <row r="1824" spans="1:22">
      <c r="A1824" t="s">
        <v>196</v>
      </c>
      <c r="B1824">
        <v>45</v>
      </c>
      <c r="C1824" t="s">
        <v>115</v>
      </c>
      <c r="D1824">
        <v>100</v>
      </c>
      <c r="E1824" t="s">
        <v>197</v>
      </c>
      <c r="F1824">
        <v>1005</v>
      </c>
      <c r="G1824" t="s">
        <v>115</v>
      </c>
      <c r="H1824">
        <v>2005</v>
      </c>
      <c r="I1824" t="s">
        <v>115</v>
      </c>
      <c r="J1824">
        <v>3007</v>
      </c>
      <c r="K1824" t="s">
        <v>309</v>
      </c>
      <c r="L1824">
        <v>0</v>
      </c>
      <c r="N1824" t="s">
        <v>351</v>
      </c>
      <c r="O1824">
        <v>1</v>
      </c>
      <c r="P1824" t="s">
        <v>352</v>
      </c>
      <c r="Q1824" t="s">
        <v>353</v>
      </c>
      <c r="R1824" t="s">
        <v>201</v>
      </c>
      <c r="S1824">
        <v>1</v>
      </c>
      <c r="T1824">
        <v>1</v>
      </c>
      <c r="U1824">
        <v>108576</v>
      </c>
      <c r="V1824">
        <v>108576</v>
      </c>
    </row>
    <row r="1825" spans="1:22">
      <c r="A1825" t="s">
        <v>196</v>
      </c>
      <c r="B1825">
        <v>45</v>
      </c>
      <c r="C1825" t="s">
        <v>115</v>
      </c>
      <c r="D1825">
        <v>100</v>
      </c>
      <c r="E1825" t="s">
        <v>197</v>
      </c>
      <c r="F1825">
        <v>1005</v>
      </c>
      <c r="G1825" t="s">
        <v>115</v>
      </c>
      <c r="H1825">
        <v>2005</v>
      </c>
      <c r="I1825" t="s">
        <v>115</v>
      </c>
      <c r="J1825">
        <v>3007</v>
      </c>
      <c r="K1825" t="s">
        <v>309</v>
      </c>
      <c r="L1825">
        <v>0</v>
      </c>
      <c r="N1825" t="s">
        <v>199</v>
      </c>
      <c r="O1825">
        <v>0</v>
      </c>
      <c r="P1825">
        <v>15</v>
      </c>
      <c r="Q1825" t="s">
        <v>264</v>
      </c>
      <c r="R1825" t="s">
        <v>201</v>
      </c>
      <c r="S1825">
        <v>0</v>
      </c>
      <c r="T1825">
        <v>0</v>
      </c>
      <c r="U1825">
        <v>3335</v>
      </c>
      <c r="V1825">
        <v>3335</v>
      </c>
    </row>
    <row r="1826" spans="1:22">
      <c r="A1826" t="s">
        <v>196</v>
      </c>
      <c r="B1826">
        <v>48</v>
      </c>
      <c r="C1826" t="s">
        <v>101</v>
      </c>
      <c r="D1826">
        <v>100</v>
      </c>
      <c r="E1826" t="s">
        <v>197</v>
      </c>
      <c r="F1826">
        <v>1005</v>
      </c>
      <c r="G1826" t="s">
        <v>101</v>
      </c>
      <c r="H1826">
        <v>2005</v>
      </c>
      <c r="I1826" t="s">
        <v>101</v>
      </c>
      <c r="J1826">
        <v>3005</v>
      </c>
      <c r="K1826" t="s">
        <v>1193</v>
      </c>
      <c r="L1826">
        <v>0</v>
      </c>
      <c r="N1826" t="s">
        <v>199</v>
      </c>
      <c r="O1826">
        <v>9</v>
      </c>
      <c r="P1826">
        <v>9948</v>
      </c>
      <c r="Q1826" t="s">
        <v>1194</v>
      </c>
      <c r="R1826" t="s">
        <v>201</v>
      </c>
      <c r="S1826">
        <v>1</v>
      </c>
      <c r="T1826">
        <v>1</v>
      </c>
      <c r="U1826">
        <v>171924</v>
      </c>
      <c r="V1826">
        <v>171924</v>
      </c>
    </row>
    <row r="1827" spans="1:22">
      <c r="A1827" t="s">
        <v>196</v>
      </c>
      <c r="B1827">
        <v>48</v>
      </c>
      <c r="C1827" t="s">
        <v>101</v>
      </c>
      <c r="D1827">
        <v>100</v>
      </c>
      <c r="E1827" t="s">
        <v>197</v>
      </c>
      <c r="F1827">
        <v>1005</v>
      </c>
      <c r="G1827" t="s">
        <v>101</v>
      </c>
      <c r="H1827">
        <v>2005</v>
      </c>
      <c r="I1827" t="s">
        <v>101</v>
      </c>
      <c r="J1827">
        <v>3005</v>
      </c>
      <c r="K1827" t="s">
        <v>1193</v>
      </c>
      <c r="L1827">
        <v>0</v>
      </c>
      <c r="N1827" t="s">
        <v>616</v>
      </c>
      <c r="O1827">
        <v>0</v>
      </c>
      <c r="P1827">
        <v>9677</v>
      </c>
      <c r="Q1827" t="s">
        <v>338</v>
      </c>
      <c r="R1827" t="s">
        <v>201</v>
      </c>
      <c r="S1827">
        <v>1</v>
      </c>
      <c r="T1827">
        <v>1</v>
      </c>
      <c r="U1827">
        <v>151884</v>
      </c>
      <c r="V1827">
        <v>151884</v>
      </c>
    </row>
    <row r="1828" spans="1:22">
      <c r="A1828" t="s">
        <v>196</v>
      </c>
      <c r="B1828">
        <v>48</v>
      </c>
      <c r="C1828" t="s">
        <v>101</v>
      </c>
      <c r="D1828">
        <v>100</v>
      </c>
      <c r="E1828" t="s">
        <v>197</v>
      </c>
      <c r="F1828">
        <v>1005</v>
      </c>
      <c r="G1828" t="s">
        <v>101</v>
      </c>
      <c r="H1828">
        <v>2005</v>
      </c>
      <c r="I1828" t="s">
        <v>101</v>
      </c>
      <c r="J1828">
        <v>3005</v>
      </c>
      <c r="K1828" t="s">
        <v>1193</v>
      </c>
      <c r="L1828">
        <v>0</v>
      </c>
      <c r="N1828" t="s">
        <v>702</v>
      </c>
      <c r="O1828">
        <v>3</v>
      </c>
      <c r="P1828">
        <v>3073</v>
      </c>
      <c r="Q1828" t="s">
        <v>1195</v>
      </c>
      <c r="R1828" t="s">
        <v>201</v>
      </c>
      <c r="S1828">
        <v>1</v>
      </c>
      <c r="T1828">
        <v>1</v>
      </c>
      <c r="U1828">
        <v>74160</v>
      </c>
      <c r="V1828">
        <v>74160</v>
      </c>
    </row>
    <row r="1829" spans="1:22">
      <c r="A1829" t="s">
        <v>196</v>
      </c>
      <c r="B1829">
        <v>48</v>
      </c>
      <c r="C1829" t="s">
        <v>101</v>
      </c>
      <c r="D1829">
        <v>100</v>
      </c>
      <c r="E1829" t="s">
        <v>197</v>
      </c>
      <c r="F1829">
        <v>1005</v>
      </c>
      <c r="G1829" t="s">
        <v>101</v>
      </c>
      <c r="H1829">
        <v>2005</v>
      </c>
      <c r="I1829" t="s">
        <v>101</v>
      </c>
      <c r="J1829">
        <v>3005</v>
      </c>
      <c r="K1829" t="s">
        <v>1193</v>
      </c>
      <c r="L1829">
        <v>0</v>
      </c>
      <c r="N1829" t="s">
        <v>251</v>
      </c>
      <c r="O1829">
        <v>10</v>
      </c>
      <c r="P1829">
        <v>802</v>
      </c>
      <c r="Q1829" t="s">
        <v>252</v>
      </c>
      <c r="R1829" t="s">
        <v>201</v>
      </c>
      <c r="S1829">
        <v>1</v>
      </c>
      <c r="T1829">
        <v>1</v>
      </c>
      <c r="U1829">
        <v>85128</v>
      </c>
      <c r="V1829">
        <v>85128</v>
      </c>
    </row>
    <row r="1830" spans="1:22">
      <c r="A1830" t="s">
        <v>196</v>
      </c>
      <c r="B1830">
        <v>48</v>
      </c>
      <c r="C1830" t="s">
        <v>101</v>
      </c>
      <c r="D1830">
        <v>100</v>
      </c>
      <c r="E1830" t="s">
        <v>197</v>
      </c>
      <c r="F1830">
        <v>1005</v>
      </c>
      <c r="G1830" t="s">
        <v>101</v>
      </c>
      <c r="H1830">
        <v>2005</v>
      </c>
      <c r="I1830" t="s">
        <v>101</v>
      </c>
      <c r="J1830">
        <v>3005</v>
      </c>
      <c r="K1830" t="s">
        <v>1193</v>
      </c>
      <c r="L1830">
        <v>0</v>
      </c>
      <c r="N1830" t="s">
        <v>251</v>
      </c>
      <c r="O1830">
        <v>10</v>
      </c>
      <c r="P1830">
        <v>368</v>
      </c>
      <c r="Q1830" t="s">
        <v>1196</v>
      </c>
      <c r="R1830" t="s">
        <v>201</v>
      </c>
      <c r="S1830">
        <v>1</v>
      </c>
      <c r="T1830">
        <v>1</v>
      </c>
      <c r="U1830">
        <v>85128</v>
      </c>
      <c r="V1830">
        <v>85128</v>
      </c>
    </row>
    <row r="1831" spans="1:22">
      <c r="A1831" t="s">
        <v>196</v>
      </c>
      <c r="B1831">
        <v>48</v>
      </c>
      <c r="C1831" t="s">
        <v>101</v>
      </c>
      <c r="D1831">
        <v>100</v>
      </c>
      <c r="E1831" t="s">
        <v>197</v>
      </c>
      <c r="F1831">
        <v>1005</v>
      </c>
      <c r="G1831" t="s">
        <v>101</v>
      </c>
      <c r="H1831">
        <v>2005</v>
      </c>
      <c r="I1831" t="s">
        <v>101</v>
      </c>
      <c r="J1831">
        <v>3005</v>
      </c>
      <c r="K1831" t="s">
        <v>1193</v>
      </c>
      <c r="L1831">
        <v>0</v>
      </c>
      <c r="N1831" t="s">
        <v>199</v>
      </c>
      <c r="O1831">
        <v>0</v>
      </c>
      <c r="P1831">
        <v>15</v>
      </c>
      <c r="Q1831" t="s">
        <v>264</v>
      </c>
      <c r="R1831" t="s">
        <v>201</v>
      </c>
      <c r="S1831">
        <v>0</v>
      </c>
      <c r="T1831">
        <v>0</v>
      </c>
      <c r="U1831">
        <v>6555</v>
      </c>
      <c r="V1831">
        <v>6555</v>
      </c>
    </row>
    <row r="1832" spans="1:22">
      <c r="A1832" t="s">
        <v>196</v>
      </c>
      <c r="B1832">
        <v>48</v>
      </c>
      <c r="C1832" t="s">
        <v>101</v>
      </c>
      <c r="D1832">
        <v>100</v>
      </c>
      <c r="E1832" t="s">
        <v>197</v>
      </c>
      <c r="F1832">
        <v>1005</v>
      </c>
      <c r="G1832" t="s">
        <v>101</v>
      </c>
      <c r="H1832">
        <v>2005</v>
      </c>
      <c r="I1832" t="s">
        <v>101</v>
      </c>
      <c r="J1832">
        <v>3010</v>
      </c>
      <c r="K1832" t="s">
        <v>1197</v>
      </c>
      <c r="L1832">
        <v>0</v>
      </c>
      <c r="N1832" t="s">
        <v>251</v>
      </c>
      <c r="O1832">
        <v>10</v>
      </c>
      <c r="P1832">
        <v>368</v>
      </c>
      <c r="Q1832" t="s">
        <v>1196</v>
      </c>
      <c r="R1832" t="s">
        <v>201</v>
      </c>
      <c r="S1832">
        <v>2</v>
      </c>
      <c r="T1832">
        <v>1</v>
      </c>
      <c r="U1832">
        <v>85128</v>
      </c>
      <c r="V1832">
        <v>170256</v>
      </c>
    </row>
    <row r="1833" spans="1:22">
      <c r="A1833" t="s">
        <v>196</v>
      </c>
      <c r="B1833">
        <v>48</v>
      </c>
      <c r="C1833" t="s">
        <v>101</v>
      </c>
      <c r="D1833">
        <v>100</v>
      </c>
      <c r="E1833" t="s">
        <v>197</v>
      </c>
      <c r="F1833">
        <v>1005</v>
      </c>
      <c r="G1833" t="s">
        <v>101</v>
      </c>
      <c r="H1833">
        <v>2005</v>
      </c>
      <c r="I1833" t="s">
        <v>101</v>
      </c>
      <c r="J1833">
        <v>3020</v>
      </c>
      <c r="K1833" t="s">
        <v>763</v>
      </c>
      <c r="L1833">
        <v>4010</v>
      </c>
      <c r="M1833" t="s">
        <v>309</v>
      </c>
      <c r="N1833" t="s">
        <v>631</v>
      </c>
      <c r="O1833">
        <v>0</v>
      </c>
      <c r="P1833">
        <v>119</v>
      </c>
      <c r="Q1833" t="s">
        <v>358</v>
      </c>
      <c r="R1833" t="s">
        <v>201</v>
      </c>
      <c r="S1833">
        <v>1</v>
      </c>
      <c r="T1833">
        <v>1</v>
      </c>
      <c r="U1833">
        <v>110856</v>
      </c>
      <c r="V1833">
        <v>110856</v>
      </c>
    </row>
    <row r="1834" spans="1:22">
      <c r="A1834" t="s">
        <v>196</v>
      </c>
      <c r="B1834">
        <v>48</v>
      </c>
      <c r="C1834" t="s">
        <v>101</v>
      </c>
      <c r="D1834">
        <v>100</v>
      </c>
      <c r="E1834" t="s">
        <v>197</v>
      </c>
      <c r="F1834">
        <v>1005</v>
      </c>
      <c r="G1834" t="s">
        <v>101</v>
      </c>
      <c r="H1834">
        <v>2005</v>
      </c>
      <c r="I1834" t="s">
        <v>101</v>
      </c>
      <c r="J1834">
        <v>3020</v>
      </c>
      <c r="K1834" t="s">
        <v>763</v>
      </c>
      <c r="L1834">
        <v>4010</v>
      </c>
      <c r="M1834" t="s">
        <v>309</v>
      </c>
      <c r="N1834" t="s">
        <v>341</v>
      </c>
      <c r="O1834">
        <v>4</v>
      </c>
      <c r="P1834">
        <v>110</v>
      </c>
      <c r="Q1834" t="s">
        <v>359</v>
      </c>
      <c r="R1834" t="s">
        <v>201</v>
      </c>
      <c r="S1834">
        <v>1</v>
      </c>
      <c r="T1834">
        <v>1</v>
      </c>
      <c r="U1834">
        <v>119100</v>
      </c>
      <c r="V1834">
        <v>119100</v>
      </c>
    </row>
    <row r="1835" spans="1:22">
      <c r="A1835" t="s">
        <v>196</v>
      </c>
      <c r="B1835">
        <v>48</v>
      </c>
      <c r="C1835" t="s">
        <v>101</v>
      </c>
      <c r="D1835">
        <v>100</v>
      </c>
      <c r="E1835" t="s">
        <v>197</v>
      </c>
      <c r="F1835">
        <v>1005</v>
      </c>
      <c r="G1835" t="s">
        <v>101</v>
      </c>
      <c r="H1835">
        <v>2005</v>
      </c>
      <c r="I1835" t="s">
        <v>101</v>
      </c>
      <c r="J1835">
        <v>3020</v>
      </c>
      <c r="K1835" t="s">
        <v>763</v>
      </c>
      <c r="L1835">
        <v>4010</v>
      </c>
      <c r="M1835" t="s">
        <v>309</v>
      </c>
      <c r="N1835" t="s">
        <v>199</v>
      </c>
      <c r="O1835">
        <v>0</v>
      </c>
      <c r="P1835">
        <v>15</v>
      </c>
      <c r="Q1835" t="s">
        <v>264</v>
      </c>
      <c r="R1835" t="s">
        <v>201</v>
      </c>
      <c r="S1835">
        <v>0</v>
      </c>
      <c r="T1835">
        <v>0</v>
      </c>
      <c r="U1835">
        <v>7579</v>
      </c>
      <c r="V1835">
        <v>7579</v>
      </c>
    </row>
    <row r="1836" spans="1:22">
      <c r="A1836" t="s">
        <v>196</v>
      </c>
      <c r="B1836">
        <v>48</v>
      </c>
      <c r="C1836" t="s">
        <v>101</v>
      </c>
      <c r="D1836">
        <v>100</v>
      </c>
      <c r="E1836" t="s">
        <v>197</v>
      </c>
      <c r="F1836">
        <v>1005</v>
      </c>
      <c r="G1836" t="s">
        <v>101</v>
      </c>
      <c r="H1836">
        <v>2005</v>
      </c>
      <c r="I1836" t="s">
        <v>101</v>
      </c>
      <c r="J1836">
        <v>3030</v>
      </c>
      <c r="K1836" t="s">
        <v>1198</v>
      </c>
      <c r="L1836">
        <v>4025</v>
      </c>
      <c r="M1836" t="s">
        <v>1199</v>
      </c>
      <c r="N1836" t="s">
        <v>287</v>
      </c>
      <c r="O1836">
        <v>20</v>
      </c>
      <c r="P1836">
        <v>3503</v>
      </c>
      <c r="Q1836" t="s">
        <v>1200</v>
      </c>
      <c r="R1836" t="s">
        <v>201</v>
      </c>
      <c r="S1836">
        <v>3</v>
      </c>
      <c r="T1836">
        <v>1</v>
      </c>
      <c r="U1836">
        <v>85236</v>
      </c>
      <c r="V1836">
        <v>255708</v>
      </c>
    </row>
    <row r="1837" spans="1:22">
      <c r="A1837" t="s">
        <v>196</v>
      </c>
      <c r="B1837">
        <v>48</v>
      </c>
      <c r="C1837" t="s">
        <v>101</v>
      </c>
      <c r="D1837">
        <v>100</v>
      </c>
      <c r="E1837" t="s">
        <v>197</v>
      </c>
      <c r="F1837">
        <v>1005</v>
      </c>
      <c r="G1837" t="s">
        <v>101</v>
      </c>
      <c r="H1837">
        <v>2005</v>
      </c>
      <c r="I1837" t="s">
        <v>101</v>
      </c>
      <c r="J1837">
        <v>3030</v>
      </c>
      <c r="K1837" t="s">
        <v>1198</v>
      </c>
      <c r="L1837">
        <v>4025</v>
      </c>
      <c r="M1837" t="s">
        <v>1199</v>
      </c>
      <c r="N1837" t="s">
        <v>287</v>
      </c>
      <c r="O1837">
        <v>20</v>
      </c>
      <c r="P1837">
        <v>3503</v>
      </c>
      <c r="Q1837" t="s">
        <v>1200</v>
      </c>
      <c r="R1837" t="s">
        <v>201</v>
      </c>
      <c r="S1837">
        <v>1</v>
      </c>
      <c r="T1837">
        <v>1</v>
      </c>
      <c r="U1837">
        <v>82884</v>
      </c>
      <c r="V1837">
        <v>82884</v>
      </c>
    </row>
    <row r="1838" spans="1:22">
      <c r="A1838" t="s">
        <v>196</v>
      </c>
      <c r="B1838">
        <v>48</v>
      </c>
      <c r="C1838" t="s">
        <v>101</v>
      </c>
      <c r="D1838">
        <v>100</v>
      </c>
      <c r="E1838" t="s">
        <v>197</v>
      </c>
      <c r="F1838">
        <v>1005</v>
      </c>
      <c r="G1838" t="s">
        <v>101</v>
      </c>
      <c r="H1838">
        <v>2005</v>
      </c>
      <c r="I1838" t="s">
        <v>101</v>
      </c>
      <c r="J1838">
        <v>3030</v>
      </c>
      <c r="K1838" t="s">
        <v>1198</v>
      </c>
      <c r="L1838">
        <v>4025</v>
      </c>
      <c r="M1838" t="s">
        <v>1199</v>
      </c>
      <c r="N1838" t="s">
        <v>249</v>
      </c>
      <c r="O1838">
        <v>10</v>
      </c>
      <c r="P1838">
        <v>3092</v>
      </c>
      <c r="Q1838" t="s">
        <v>750</v>
      </c>
      <c r="R1838" t="s">
        <v>201</v>
      </c>
      <c r="S1838">
        <v>1</v>
      </c>
      <c r="T1838">
        <v>1</v>
      </c>
      <c r="U1838">
        <v>102444</v>
      </c>
      <c r="V1838">
        <v>102444</v>
      </c>
    </row>
    <row r="1839" spans="1:22">
      <c r="A1839" t="s">
        <v>196</v>
      </c>
      <c r="B1839">
        <v>48</v>
      </c>
      <c r="C1839" t="s">
        <v>101</v>
      </c>
      <c r="D1839">
        <v>100</v>
      </c>
      <c r="E1839" t="s">
        <v>197</v>
      </c>
      <c r="F1839">
        <v>1005</v>
      </c>
      <c r="G1839" t="s">
        <v>101</v>
      </c>
      <c r="H1839">
        <v>2005</v>
      </c>
      <c r="I1839" t="s">
        <v>101</v>
      </c>
      <c r="J1839">
        <v>3030</v>
      </c>
      <c r="K1839" t="s">
        <v>1198</v>
      </c>
      <c r="L1839">
        <v>4025</v>
      </c>
      <c r="M1839" t="s">
        <v>1199</v>
      </c>
      <c r="N1839" t="s">
        <v>702</v>
      </c>
      <c r="O1839">
        <v>3</v>
      </c>
      <c r="P1839">
        <v>3073</v>
      </c>
      <c r="Q1839" t="s">
        <v>1195</v>
      </c>
      <c r="R1839" t="s">
        <v>201</v>
      </c>
      <c r="S1839">
        <v>1</v>
      </c>
      <c r="T1839">
        <v>1</v>
      </c>
      <c r="U1839">
        <v>108708</v>
      </c>
      <c r="V1839">
        <v>108708</v>
      </c>
    </row>
    <row r="1840" spans="1:22">
      <c r="A1840" t="s">
        <v>196</v>
      </c>
      <c r="B1840">
        <v>48</v>
      </c>
      <c r="C1840" t="s">
        <v>101</v>
      </c>
      <c r="D1840">
        <v>100</v>
      </c>
      <c r="E1840" t="s">
        <v>197</v>
      </c>
      <c r="F1840">
        <v>1005</v>
      </c>
      <c r="G1840" t="s">
        <v>101</v>
      </c>
      <c r="H1840">
        <v>2005</v>
      </c>
      <c r="I1840" t="s">
        <v>101</v>
      </c>
      <c r="J1840">
        <v>3030</v>
      </c>
      <c r="K1840" t="s">
        <v>1198</v>
      </c>
      <c r="L1840">
        <v>4025</v>
      </c>
      <c r="M1840" t="s">
        <v>1199</v>
      </c>
      <c r="N1840" t="s">
        <v>251</v>
      </c>
      <c r="O1840">
        <v>10</v>
      </c>
      <c r="P1840">
        <v>368</v>
      </c>
      <c r="Q1840" t="s">
        <v>1196</v>
      </c>
      <c r="R1840" t="s">
        <v>201</v>
      </c>
      <c r="S1840">
        <v>1</v>
      </c>
      <c r="T1840">
        <v>1</v>
      </c>
      <c r="U1840">
        <v>85128</v>
      </c>
      <c r="V1840">
        <v>85128</v>
      </c>
    </row>
    <row r="1841" spans="1:22">
      <c r="A1841" t="s">
        <v>196</v>
      </c>
      <c r="B1841">
        <v>48</v>
      </c>
      <c r="C1841" t="s">
        <v>101</v>
      </c>
      <c r="D1841">
        <v>100</v>
      </c>
      <c r="E1841" t="s">
        <v>197</v>
      </c>
      <c r="F1841">
        <v>1005</v>
      </c>
      <c r="G1841" t="s">
        <v>101</v>
      </c>
      <c r="H1841">
        <v>2005</v>
      </c>
      <c r="I1841" t="s">
        <v>101</v>
      </c>
      <c r="J1841">
        <v>3030</v>
      </c>
      <c r="K1841" t="s">
        <v>1198</v>
      </c>
      <c r="L1841">
        <v>4025</v>
      </c>
      <c r="M1841" t="s">
        <v>1199</v>
      </c>
      <c r="N1841" t="s">
        <v>341</v>
      </c>
      <c r="O1841">
        <v>1</v>
      </c>
      <c r="P1841">
        <v>308</v>
      </c>
      <c r="Q1841" t="s">
        <v>355</v>
      </c>
      <c r="R1841" t="s">
        <v>201</v>
      </c>
      <c r="S1841">
        <v>1</v>
      </c>
      <c r="T1841">
        <v>1</v>
      </c>
      <c r="U1841">
        <v>74172</v>
      </c>
      <c r="V1841">
        <v>74172</v>
      </c>
    </row>
    <row r="1842" spans="1:22">
      <c r="A1842" t="s">
        <v>196</v>
      </c>
      <c r="B1842">
        <v>48</v>
      </c>
      <c r="C1842" t="s">
        <v>101</v>
      </c>
      <c r="D1842">
        <v>100</v>
      </c>
      <c r="E1842" t="s">
        <v>197</v>
      </c>
      <c r="F1842">
        <v>1005</v>
      </c>
      <c r="G1842" t="s">
        <v>101</v>
      </c>
      <c r="H1842">
        <v>2005</v>
      </c>
      <c r="I1842" t="s">
        <v>101</v>
      </c>
      <c r="J1842">
        <v>3030</v>
      </c>
      <c r="K1842" t="s">
        <v>1198</v>
      </c>
      <c r="L1842">
        <v>4025</v>
      </c>
      <c r="M1842" t="s">
        <v>1199</v>
      </c>
      <c r="N1842" t="s">
        <v>199</v>
      </c>
      <c r="O1842">
        <v>0</v>
      </c>
      <c r="P1842">
        <v>15</v>
      </c>
      <c r="Q1842" t="s">
        <v>264</v>
      </c>
      <c r="R1842" t="s">
        <v>201</v>
      </c>
      <c r="S1842">
        <v>0</v>
      </c>
      <c r="T1842">
        <v>0</v>
      </c>
      <c r="U1842">
        <v>13752</v>
      </c>
      <c r="V1842">
        <v>13752</v>
      </c>
    </row>
    <row r="1843" spans="1:22">
      <c r="A1843" t="s">
        <v>196</v>
      </c>
      <c r="B1843">
        <v>48</v>
      </c>
      <c r="C1843" t="s">
        <v>101</v>
      </c>
      <c r="D1843">
        <v>100</v>
      </c>
      <c r="E1843" t="s">
        <v>197</v>
      </c>
      <c r="F1843">
        <v>1005</v>
      </c>
      <c r="G1843" t="s">
        <v>101</v>
      </c>
      <c r="H1843">
        <v>2005</v>
      </c>
      <c r="I1843" t="s">
        <v>101</v>
      </c>
      <c r="J1843">
        <v>3040</v>
      </c>
      <c r="K1843" t="s">
        <v>1201</v>
      </c>
      <c r="L1843">
        <v>0</v>
      </c>
      <c r="N1843" t="s">
        <v>616</v>
      </c>
      <c r="O1843">
        <v>0</v>
      </c>
      <c r="P1843">
        <v>9677</v>
      </c>
      <c r="Q1843" t="s">
        <v>338</v>
      </c>
      <c r="R1843" t="s">
        <v>201</v>
      </c>
      <c r="S1843">
        <v>1</v>
      </c>
      <c r="T1843">
        <v>1</v>
      </c>
      <c r="U1843">
        <v>158568</v>
      </c>
      <c r="V1843">
        <v>158568</v>
      </c>
    </row>
    <row r="1844" spans="1:22">
      <c r="A1844" t="s">
        <v>196</v>
      </c>
      <c r="B1844">
        <v>48</v>
      </c>
      <c r="C1844" t="s">
        <v>101</v>
      </c>
      <c r="D1844">
        <v>100</v>
      </c>
      <c r="E1844" t="s">
        <v>197</v>
      </c>
      <c r="F1844">
        <v>1005</v>
      </c>
      <c r="G1844" t="s">
        <v>101</v>
      </c>
      <c r="H1844">
        <v>2005</v>
      </c>
      <c r="I1844" t="s">
        <v>101</v>
      </c>
      <c r="J1844">
        <v>3040</v>
      </c>
      <c r="K1844" t="s">
        <v>1201</v>
      </c>
      <c r="L1844">
        <v>0</v>
      </c>
      <c r="N1844" t="s">
        <v>602</v>
      </c>
      <c r="O1844">
        <v>4</v>
      </c>
      <c r="P1844">
        <v>5404</v>
      </c>
      <c r="Q1844" t="s">
        <v>1202</v>
      </c>
      <c r="R1844" t="s">
        <v>201</v>
      </c>
      <c r="S1844">
        <v>1</v>
      </c>
      <c r="T1844">
        <v>1</v>
      </c>
      <c r="U1844">
        <v>117636</v>
      </c>
      <c r="V1844">
        <v>117636</v>
      </c>
    </row>
    <row r="1845" spans="1:22">
      <c r="A1845" t="s">
        <v>196</v>
      </c>
      <c r="B1845">
        <v>48</v>
      </c>
      <c r="C1845" t="s">
        <v>101</v>
      </c>
      <c r="D1845">
        <v>100</v>
      </c>
      <c r="E1845" t="s">
        <v>197</v>
      </c>
      <c r="F1845">
        <v>1005</v>
      </c>
      <c r="G1845" t="s">
        <v>101</v>
      </c>
      <c r="H1845">
        <v>2005</v>
      </c>
      <c r="I1845" t="s">
        <v>101</v>
      </c>
      <c r="J1845">
        <v>3040</v>
      </c>
      <c r="K1845" t="s">
        <v>1201</v>
      </c>
      <c r="L1845">
        <v>0</v>
      </c>
      <c r="N1845" t="s">
        <v>602</v>
      </c>
      <c r="O1845">
        <v>4</v>
      </c>
      <c r="P1845">
        <v>5404</v>
      </c>
      <c r="Q1845" t="s">
        <v>1202</v>
      </c>
      <c r="R1845" t="s">
        <v>201</v>
      </c>
      <c r="S1845">
        <v>1</v>
      </c>
      <c r="T1845">
        <v>1</v>
      </c>
      <c r="U1845">
        <v>99408</v>
      </c>
      <c r="V1845">
        <v>99408</v>
      </c>
    </row>
    <row r="1846" spans="1:22">
      <c r="A1846" t="s">
        <v>196</v>
      </c>
      <c r="B1846">
        <v>48</v>
      </c>
      <c r="C1846" t="s">
        <v>101</v>
      </c>
      <c r="D1846">
        <v>100</v>
      </c>
      <c r="E1846" t="s">
        <v>197</v>
      </c>
      <c r="F1846">
        <v>1005</v>
      </c>
      <c r="G1846" t="s">
        <v>101</v>
      </c>
      <c r="H1846">
        <v>2005</v>
      </c>
      <c r="I1846" t="s">
        <v>101</v>
      </c>
      <c r="J1846">
        <v>3040</v>
      </c>
      <c r="K1846" t="s">
        <v>1201</v>
      </c>
      <c r="L1846">
        <v>0</v>
      </c>
      <c r="N1846" t="s">
        <v>253</v>
      </c>
      <c r="O1846">
        <v>20</v>
      </c>
      <c r="P1846">
        <v>2149</v>
      </c>
      <c r="Q1846" t="s">
        <v>1203</v>
      </c>
      <c r="R1846" t="s">
        <v>201</v>
      </c>
      <c r="S1846">
        <v>1</v>
      </c>
      <c r="T1846">
        <v>1</v>
      </c>
      <c r="U1846">
        <v>89112</v>
      </c>
      <c r="V1846">
        <v>89112</v>
      </c>
    </row>
    <row r="1847" spans="1:22">
      <c r="A1847" t="s">
        <v>196</v>
      </c>
      <c r="B1847">
        <v>48</v>
      </c>
      <c r="C1847" t="s">
        <v>101</v>
      </c>
      <c r="D1847">
        <v>100</v>
      </c>
      <c r="E1847" t="s">
        <v>197</v>
      </c>
      <c r="F1847">
        <v>1005</v>
      </c>
      <c r="G1847" t="s">
        <v>101</v>
      </c>
      <c r="H1847">
        <v>2005</v>
      </c>
      <c r="I1847" t="s">
        <v>101</v>
      </c>
      <c r="J1847">
        <v>3040</v>
      </c>
      <c r="K1847" t="s">
        <v>1201</v>
      </c>
      <c r="L1847">
        <v>0</v>
      </c>
      <c r="N1847" t="s">
        <v>253</v>
      </c>
      <c r="O1847">
        <v>20</v>
      </c>
      <c r="P1847">
        <v>2149</v>
      </c>
      <c r="Q1847" t="s">
        <v>1203</v>
      </c>
      <c r="R1847" t="s">
        <v>201</v>
      </c>
      <c r="S1847">
        <v>1</v>
      </c>
      <c r="T1847">
        <v>1</v>
      </c>
      <c r="U1847">
        <v>83052</v>
      </c>
      <c r="V1847">
        <v>83052</v>
      </c>
    </row>
    <row r="1848" spans="1:22">
      <c r="A1848" t="s">
        <v>196</v>
      </c>
      <c r="B1848">
        <v>48</v>
      </c>
      <c r="C1848" t="s">
        <v>101</v>
      </c>
      <c r="D1848">
        <v>100</v>
      </c>
      <c r="E1848" t="s">
        <v>197</v>
      </c>
      <c r="F1848">
        <v>1005</v>
      </c>
      <c r="G1848" t="s">
        <v>101</v>
      </c>
      <c r="H1848">
        <v>2005</v>
      </c>
      <c r="I1848" t="s">
        <v>101</v>
      </c>
      <c r="J1848">
        <v>3040</v>
      </c>
      <c r="K1848" t="s">
        <v>1201</v>
      </c>
      <c r="L1848">
        <v>0</v>
      </c>
      <c r="N1848" t="s">
        <v>372</v>
      </c>
      <c r="O1848">
        <v>4</v>
      </c>
      <c r="P1848">
        <v>1912</v>
      </c>
      <c r="Q1848" t="s">
        <v>608</v>
      </c>
      <c r="R1848" t="s">
        <v>201</v>
      </c>
      <c r="S1848">
        <v>2</v>
      </c>
      <c r="T1848">
        <v>1</v>
      </c>
      <c r="U1848">
        <v>85200</v>
      </c>
      <c r="V1848">
        <v>170400</v>
      </c>
    </row>
    <row r="1849" spans="1:22">
      <c r="A1849" t="s">
        <v>196</v>
      </c>
      <c r="B1849">
        <v>48</v>
      </c>
      <c r="C1849" t="s">
        <v>101</v>
      </c>
      <c r="D1849">
        <v>100</v>
      </c>
      <c r="E1849" t="s">
        <v>197</v>
      </c>
      <c r="F1849">
        <v>1005</v>
      </c>
      <c r="G1849" t="s">
        <v>101</v>
      </c>
      <c r="H1849">
        <v>2005</v>
      </c>
      <c r="I1849" t="s">
        <v>101</v>
      </c>
      <c r="J1849">
        <v>3040</v>
      </c>
      <c r="K1849" t="s">
        <v>1201</v>
      </c>
      <c r="L1849">
        <v>0</v>
      </c>
      <c r="N1849" t="s">
        <v>199</v>
      </c>
      <c r="O1849">
        <v>0</v>
      </c>
      <c r="P1849">
        <v>15</v>
      </c>
      <c r="Q1849" t="s">
        <v>264</v>
      </c>
      <c r="R1849" t="s">
        <v>201</v>
      </c>
      <c r="S1849">
        <v>0</v>
      </c>
      <c r="T1849">
        <v>0</v>
      </c>
      <c r="U1849">
        <v>16284</v>
      </c>
      <c r="V1849">
        <v>16284</v>
      </c>
    </row>
    <row r="1850" spans="1:22">
      <c r="A1850" t="s">
        <v>196</v>
      </c>
      <c r="B1850">
        <v>48</v>
      </c>
      <c r="C1850" t="s">
        <v>101</v>
      </c>
      <c r="D1850">
        <v>100</v>
      </c>
      <c r="E1850" t="s">
        <v>197</v>
      </c>
      <c r="F1850">
        <v>1005</v>
      </c>
      <c r="G1850" t="s">
        <v>101</v>
      </c>
      <c r="H1850">
        <v>2005</v>
      </c>
      <c r="I1850" t="s">
        <v>101</v>
      </c>
      <c r="J1850">
        <v>3060</v>
      </c>
      <c r="K1850" t="s">
        <v>1204</v>
      </c>
      <c r="L1850">
        <v>0</v>
      </c>
      <c r="N1850" t="s">
        <v>253</v>
      </c>
      <c r="O1850">
        <v>10</v>
      </c>
      <c r="P1850">
        <v>1431</v>
      </c>
      <c r="Q1850" t="s">
        <v>339</v>
      </c>
      <c r="R1850" t="s">
        <v>201</v>
      </c>
      <c r="S1850">
        <v>1</v>
      </c>
      <c r="T1850">
        <v>1</v>
      </c>
      <c r="U1850">
        <v>124584</v>
      </c>
      <c r="V1850">
        <v>124584</v>
      </c>
    </row>
    <row r="1851" spans="1:22">
      <c r="A1851" t="s">
        <v>196</v>
      </c>
      <c r="B1851">
        <v>48</v>
      </c>
      <c r="C1851" t="s">
        <v>101</v>
      </c>
      <c r="D1851">
        <v>100</v>
      </c>
      <c r="E1851" t="s">
        <v>197</v>
      </c>
      <c r="F1851">
        <v>1005</v>
      </c>
      <c r="G1851" t="s">
        <v>101</v>
      </c>
      <c r="H1851">
        <v>2005</v>
      </c>
      <c r="I1851" t="s">
        <v>101</v>
      </c>
      <c r="J1851">
        <v>3060</v>
      </c>
      <c r="K1851" t="s">
        <v>1204</v>
      </c>
      <c r="L1851">
        <v>0</v>
      </c>
      <c r="N1851" t="s">
        <v>372</v>
      </c>
      <c r="O1851">
        <v>1</v>
      </c>
      <c r="P1851">
        <v>1359</v>
      </c>
      <c r="Q1851" t="s">
        <v>933</v>
      </c>
      <c r="R1851" t="s">
        <v>201</v>
      </c>
      <c r="S1851">
        <v>1</v>
      </c>
      <c r="T1851">
        <v>1</v>
      </c>
      <c r="U1851">
        <v>75336</v>
      </c>
      <c r="V1851">
        <v>75336</v>
      </c>
    </row>
    <row r="1852" spans="1:22">
      <c r="A1852" t="s">
        <v>196</v>
      </c>
      <c r="B1852">
        <v>48</v>
      </c>
      <c r="C1852" t="s">
        <v>101</v>
      </c>
      <c r="D1852">
        <v>100</v>
      </c>
      <c r="E1852" t="s">
        <v>197</v>
      </c>
      <c r="F1852">
        <v>1005</v>
      </c>
      <c r="G1852" t="s">
        <v>101</v>
      </c>
      <c r="H1852">
        <v>2005</v>
      </c>
      <c r="I1852" t="s">
        <v>101</v>
      </c>
      <c r="J1852">
        <v>3060</v>
      </c>
      <c r="K1852" t="s">
        <v>1204</v>
      </c>
      <c r="L1852">
        <v>0</v>
      </c>
      <c r="N1852" t="s">
        <v>255</v>
      </c>
      <c r="O1852">
        <v>1</v>
      </c>
      <c r="P1852">
        <v>729</v>
      </c>
      <c r="Q1852" t="s">
        <v>256</v>
      </c>
      <c r="R1852" t="s">
        <v>201</v>
      </c>
      <c r="S1852">
        <v>1</v>
      </c>
      <c r="T1852">
        <v>1</v>
      </c>
      <c r="U1852">
        <v>89244</v>
      </c>
      <c r="V1852">
        <v>89244</v>
      </c>
    </row>
    <row r="1853" spans="1:22">
      <c r="A1853" t="s">
        <v>196</v>
      </c>
      <c r="B1853">
        <v>48</v>
      </c>
      <c r="C1853" t="s">
        <v>101</v>
      </c>
      <c r="D1853">
        <v>100</v>
      </c>
      <c r="E1853" t="s">
        <v>197</v>
      </c>
      <c r="F1853">
        <v>1005</v>
      </c>
      <c r="G1853" t="s">
        <v>101</v>
      </c>
      <c r="H1853">
        <v>2005</v>
      </c>
      <c r="I1853" t="s">
        <v>101</v>
      </c>
      <c r="J1853">
        <v>3060</v>
      </c>
      <c r="K1853" t="s">
        <v>1204</v>
      </c>
      <c r="L1853">
        <v>0</v>
      </c>
      <c r="N1853" t="s">
        <v>199</v>
      </c>
      <c r="O1853">
        <v>0</v>
      </c>
      <c r="P1853">
        <v>15</v>
      </c>
      <c r="Q1853" t="s">
        <v>264</v>
      </c>
      <c r="R1853" t="s">
        <v>201</v>
      </c>
      <c r="S1853">
        <v>0</v>
      </c>
      <c r="T1853">
        <v>0</v>
      </c>
      <c r="U1853">
        <v>3450</v>
      </c>
      <c r="V1853">
        <v>3450</v>
      </c>
    </row>
    <row r="1854" spans="1:22">
      <c r="A1854" t="s">
        <v>196</v>
      </c>
      <c r="B1854">
        <v>50</v>
      </c>
      <c r="C1854" t="s">
        <v>54</v>
      </c>
      <c r="D1854">
        <v>100</v>
      </c>
      <c r="E1854" t="s">
        <v>197</v>
      </c>
      <c r="F1854">
        <v>1005</v>
      </c>
      <c r="G1854" t="s">
        <v>54</v>
      </c>
      <c r="H1854">
        <v>2005</v>
      </c>
      <c r="I1854" t="s">
        <v>54</v>
      </c>
      <c r="J1854">
        <v>3001</v>
      </c>
      <c r="K1854" t="s">
        <v>1205</v>
      </c>
      <c r="L1854">
        <v>0</v>
      </c>
      <c r="N1854" t="s">
        <v>199</v>
      </c>
      <c r="O1854">
        <v>9</v>
      </c>
      <c r="P1854">
        <v>9950</v>
      </c>
      <c r="Q1854" t="s">
        <v>1206</v>
      </c>
      <c r="R1854" t="s">
        <v>201</v>
      </c>
      <c r="S1854">
        <v>1</v>
      </c>
      <c r="T1854">
        <v>1</v>
      </c>
      <c r="U1854">
        <v>213888</v>
      </c>
      <c r="V1854">
        <v>213888</v>
      </c>
    </row>
    <row r="1855" spans="1:22">
      <c r="A1855" t="s">
        <v>196</v>
      </c>
      <c r="B1855">
        <v>50</v>
      </c>
      <c r="C1855" t="s">
        <v>54</v>
      </c>
      <c r="D1855">
        <v>100</v>
      </c>
      <c r="E1855" t="s">
        <v>197</v>
      </c>
      <c r="F1855">
        <v>1005</v>
      </c>
      <c r="G1855" t="s">
        <v>54</v>
      </c>
      <c r="H1855">
        <v>2005</v>
      </c>
      <c r="I1855" t="s">
        <v>54</v>
      </c>
      <c r="J1855">
        <v>3001</v>
      </c>
      <c r="K1855" t="s">
        <v>1205</v>
      </c>
      <c r="L1855">
        <v>0</v>
      </c>
      <c r="N1855" t="s">
        <v>311</v>
      </c>
      <c r="O1855">
        <v>9</v>
      </c>
      <c r="P1855">
        <v>9813</v>
      </c>
      <c r="Q1855" t="s">
        <v>600</v>
      </c>
      <c r="R1855" t="s">
        <v>201</v>
      </c>
      <c r="S1855">
        <v>1</v>
      </c>
      <c r="T1855">
        <v>1</v>
      </c>
      <c r="U1855">
        <v>180324</v>
      </c>
      <c r="V1855">
        <v>180324</v>
      </c>
    </row>
    <row r="1856" spans="1:22">
      <c r="A1856" t="s">
        <v>196</v>
      </c>
      <c r="B1856">
        <v>50</v>
      </c>
      <c r="C1856" t="s">
        <v>54</v>
      </c>
      <c r="D1856">
        <v>100</v>
      </c>
      <c r="E1856" t="s">
        <v>197</v>
      </c>
      <c r="F1856">
        <v>1005</v>
      </c>
      <c r="G1856" t="s">
        <v>54</v>
      </c>
      <c r="H1856">
        <v>2005</v>
      </c>
      <c r="I1856" t="s">
        <v>54</v>
      </c>
      <c r="J1856">
        <v>3001</v>
      </c>
      <c r="K1856" t="s">
        <v>1205</v>
      </c>
      <c r="L1856">
        <v>0</v>
      </c>
      <c r="N1856" t="s">
        <v>311</v>
      </c>
      <c r="O1856">
        <v>9</v>
      </c>
      <c r="P1856">
        <v>9813</v>
      </c>
      <c r="Q1856" t="s">
        <v>600</v>
      </c>
      <c r="R1856" t="s">
        <v>201</v>
      </c>
      <c r="S1856">
        <v>1</v>
      </c>
      <c r="T1856">
        <v>1</v>
      </c>
      <c r="U1856">
        <v>149448</v>
      </c>
      <c r="V1856">
        <v>149448</v>
      </c>
    </row>
    <row r="1857" spans="1:22">
      <c r="A1857" t="s">
        <v>196</v>
      </c>
      <c r="B1857">
        <v>50</v>
      </c>
      <c r="C1857" t="s">
        <v>54</v>
      </c>
      <c r="D1857">
        <v>100</v>
      </c>
      <c r="E1857" t="s">
        <v>197</v>
      </c>
      <c r="F1857">
        <v>1005</v>
      </c>
      <c r="G1857" t="s">
        <v>54</v>
      </c>
      <c r="H1857">
        <v>2005</v>
      </c>
      <c r="I1857" t="s">
        <v>54</v>
      </c>
      <c r="J1857">
        <v>3001</v>
      </c>
      <c r="K1857" t="s">
        <v>1205</v>
      </c>
      <c r="L1857">
        <v>0</v>
      </c>
      <c r="N1857" t="s">
        <v>311</v>
      </c>
      <c r="O1857">
        <v>9</v>
      </c>
      <c r="P1857">
        <v>9660</v>
      </c>
      <c r="Q1857" t="s">
        <v>846</v>
      </c>
      <c r="R1857" t="s">
        <v>201</v>
      </c>
      <c r="S1857">
        <v>1</v>
      </c>
      <c r="T1857">
        <v>1</v>
      </c>
      <c r="U1857">
        <v>188400</v>
      </c>
      <c r="V1857">
        <v>188400</v>
      </c>
    </row>
    <row r="1858" spans="1:22">
      <c r="A1858" t="s">
        <v>196</v>
      </c>
      <c r="B1858">
        <v>50</v>
      </c>
      <c r="C1858" t="s">
        <v>54</v>
      </c>
      <c r="D1858">
        <v>100</v>
      </c>
      <c r="E1858" t="s">
        <v>197</v>
      </c>
      <c r="F1858">
        <v>1005</v>
      </c>
      <c r="G1858" t="s">
        <v>54</v>
      </c>
      <c r="H1858">
        <v>2005</v>
      </c>
      <c r="I1858" t="s">
        <v>54</v>
      </c>
      <c r="J1858">
        <v>3001</v>
      </c>
      <c r="K1858" t="s">
        <v>1205</v>
      </c>
      <c r="L1858">
        <v>0</v>
      </c>
      <c r="N1858" t="s">
        <v>251</v>
      </c>
      <c r="O1858">
        <v>10</v>
      </c>
      <c r="P1858">
        <v>802</v>
      </c>
      <c r="Q1858" t="s">
        <v>252</v>
      </c>
      <c r="R1858" t="s">
        <v>201</v>
      </c>
      <c r="S1858">
        <v>1</v>
      </c>
      <c r="T1858">
        <v>1</v>
      </c>
      <c r="U1858">
        <v>83052</v>
      </c>
      <c r="V1858">
        <v>83052</v>
      </c>
    </row>
    <row r="1859" spans="1:22">
      <c r="A1859" t="s">
        <v>196</v>
      </c>
      <c r="B1859">
        <v>50</v>
      </c>
      <c r="C1859" t="s">
        <v>54</v>
      </c>
      <c r="D1859">
        <v>100</v>
      </c>
      <c r="E1859" t="s">
        <v>197</v>
      </c>
      <c r="F1859">
        <v>1005</v>
      </c>
      <c r="G1859" t="s">
        <v>54</v>
      </c>
      <c r="H1859">
        <v>2005</v>
      </c>
      <c r="I1859" t="s">
        <v>54</v>
      </c>
      <c r="J1859">
        <v>3001</v>
      </c>
      <c r="K1859" t="s">
        <v>1205</v>
      </c>
      <c r="L1859">
        <v>0</v>
      </c>
      <c r="N1859" t="s">
        <v>251</v>
      </c>
      <c r="O1859">
        <v>10</v>
      </c>
      <c r="P1859">
        <v>802</v>
      </c>
      <c r="Q1859" t="s">
        <v>252</v>
      </c>
      <c r="R1859" t="s">
        <v>201</v>
      </c>
      <c r="S1859">
        <v>1</v>
      </c>
      <c r="T1859">
        <v>1</v>
      </c>
      <c r="U1859">
        <v>76476</v>
      </c>
      <c r="V1859">
        <v>76476</v>
      </c>
    </row>
    <row r="1860" spans="1:22">
      <c r="A1860" t="s">
        <v>196</v>
      </c>
      <c r="B1860">
        <v>50</v>
      </c>
      <c r="C1860" t="s">
        <v>54</v>
      </c>
      <c r="D1860">
        <v>100</v>
      </c>
      <c r="E1860" t="s">
        <v>197</v>
      </c>
      <c r="F1860">
        <v>1005</v>
      </c>
      <c r="G1860" t="s">
        <v>54</v>
      </c>
      <c r="H1860">
        <v>2005</v>
      </c>
      <c r="I1860" t="s">
        <v>54</v>
      </c>
      <c r="J1860">
        <v>3001</v>
      </c>
      <c r="K1860" t="s">
        <v>1205</v>
      </c>
      <c r="L1860">
        <v>0</v>
      </c>
      <c r="N1860" t="s">
        <v>257</v>
      </c>
      <c r="O1860">
        <v>9</v>
      </c>
      <c r="P1860">
        <v>705</v>
      </c>
      <c r="Q1860" t="s">
        <v>258</v>
      </c>
      <c r="R1860" t="s">
        <v>201</v>
      </c>
      <c r="S1860">
        <v>1</v>
      </c>
      <c r="T1860">
        <v>1</v>
      </c>
      <c r="U1860">
        <v>111300</v>
      </c>
      <c r="V1860">
        <v>111300</v>
      </c>
    </row>
    <row r="1861" spans="1:22">
      <c r="A1861" t="s">
        <v>196</v>
      </c>
      <c r="B1861">
        <v>50</v>
      </c>
      <c r="C1861" t="s">
        <v>54</v>
      </c>
      <c r="D1861">
        <v>100</v>
      </c>
      <c r="E1861" t="s">
        <v>197</v>
      </c>
      <c r="F1861">
        <v>1005</v>
      </c>
      <c r="G1861" t="s">
        <v>54</v>
      </c>
      <c r="H1861">
        <v>2005</v>
      </c>
      <c r="I1861" t="s">
        <v>54</v>
      </c>
      <c r="J1861">
        <v>3001</v>
      </c>
      <c r="K1861" t="s">
        <v>1205</v>
      </c>
      <c r="L1861">
        <v>0</v>
      </c>
      <c r="N1861" t="s">
        <v>372</v>
      </c>
      <c r="O1861">
        <v>1</v>
      </c>
      <c r="P1861">
        <v>703</v>
      </c>
      <c r="Q1861" t="s">
        <v>1207</v>
      </c>
      <c r="R1861" t="s">
        <v>201</v>
      </c>
      <c r="S1861">
        <v>1</v>
      </c>
      <c r="T1861">
        <v>1</v>
      </c>
      <c r="U1861">
        <v>75336</v>
      </c>
      <c r="V1861">
        <v>75336</v>
      </c>
    </row>
    <row r="1862" spans="1:22">
      <c r="A1862" t="s">
        <v>196</v>
      </c>
      <c r="B1862">
        <v>50</v>
      </c>
      <c r="C1862" t="s">
        <v>54</v>
      </c>
      <c r="D1862">
        <v>100</v>
      </c>
      <c r="E1862" t="s">
        <v>197</v>
      </c>
      <c r="F1862">
        <v>1005</v>
      </c>
      <c r="G1862" t="s">
        <v>54</v>
      </c>
      <c r="H1862">
        <v>2005</v>
      </c>
      <c r="I1862" t="s">
        <v>54</v>
      </c>
      <c r="J1862">
        <v>3001</v>
      </c>
      <c r="K1862" t="s">
        <v>1205</v>
      </c>
      <c r="L1862">
        <v>0</v>
      </c>
      <c r="N1862" t="s">
        <v>247</v>
      </c>
      <c r="O1862">
        <v>20</v>
      </c>
      <c r="P1862">
        <v>366</v>
      </c>
      <c r="Q1862" t="s">
        <v>604</v>
      </c>
      <c r="R1862" t="s">
        <v>201</v>
      </c>
      <c r="S1862">
        <v>1</v>
      </c>
      <c r="T1862">
        <v>1</v>
      </c>
      <c r="U1862">
        <v>69684</v>
      </c>
      <c r="V1862">
        <v>69684</v>
      </c>
    </row>
    <row r="1863" spans="1:22">
      <c r="A1863" t="s">
        <v>196</v>
      </c>
      <c r="B1863">
        <v>50</v>
      </c>
      <c r="C1863" t="s">
        <v>54</v>
      </c>
      <c r="D1863">
        <v>100</v>
      </c>
      <c r="E1863" t="s">
        <v>197</v>
      </c>
      <c r="F1863">
        <v>1005</v>
      </c>
      <c r="G1863" t="s">
        <v>54</v>
      </c>
      <c r="H1863">
        <v>2005</v>
      </c>
      <c r="I1863" t="s">
        <v>54</v>
      </c>
      <c r="J1863">
        <v>3001</v>
      </c>
      <c r="K1863" t="s">
        <v>1205</v>
      </c>
      <c r="L1863">
        <v>0</v>
      </c>
      <c r="N1863" t="s">
        <v>199</v>
      </c>
      <c r="O1863">
        <v>0</v>
      </c>
      <c r="P1863">
        <v>15</v>
      </c>
      <c r="Q1863" t="s">
        <v>264</v>
      </c>
      <c r="R1863" t="s">
        <v>201</v>
      </c>
      <c r="S1863">
        <v>0</v>
      </c>
      <c r="T1863">
        <v>0</v>
      </c>
      <c r="U1863">
        <v>9448</v>
      </c>
      <c r="V1863">
        <v>9448</v>
      </c>
    </row>
    <row r="1864" spans="1:22">
      <c r="A1864" t="s">
        <v>196</v>
      </c>
      <c r="B1864">
        <v>50</v>
      </c>
      <c r="C1864" t="s">
        <v>54</v>
      </c>
      <c r="D1864">
        <v>100</v>
      </c>
      <c r="E1864" t="s">
        <v>197</v>
      </c>
      <c r="F1864">
        <v>1005</v>
      </c>
      <c r="G1864" t="s">
        <v>54</v>
      </c>
      <c r="H1864">
        <v>2005</v>
      </c>
      <c r="I1864" t="s">
        <v>54</v>
      </c>
      <c r="J1864">
        <v>3005</v>
      </c>
      <c r="K1864" t="s">
        <v>309</v>
      </c>
      <c r="L1864">
        <v>0</v>
      </c>
      <c r="N1864" t="s">
        <v>266</v>
      </c>
      <c r="O1864">
        <v>9</v>
      </c>
      <c r="P1864">
        <v>9679</v>
      </c>
      <c r="Q1864" t="s">
        <v>338</v>
      </c>
      <c r="R1864" t="s">
        <v>201</v>
      </c>
      <c r="S1864">
        <v>1</v>
      </c>
      <c r="T1864">
        <v>1</v>
      </c>
      <c r="U1864">
        <v>167964</v>
      </c>
      <c r="V1864">
        <v>167964</v>
      </c>
    </row>
    <row r="1865" spans="1:22">
      <c r="A1865" t="s">
        <v>196</v>
      </c>
      <c r="B1865">
        <v>50</v>
      </c>
      <c r="C1865" t="s">
        <v>54</v>
      </c>
      <c r="D1865">
        <v>100</v>
      </c>
      <c r="E1865" t="s">
        <v>197</v>
      </c>
      <c r="F1865">
        <v>1005</v>
      </c>
      <c r="G1865" t="s">
        <v>54</v>
      </c>
      <c r="H1865">
        <v>2005</v>
      </c>
      <c r="I1865" t="s">
        <v>54</v>
      </c>
      <c r="J1865">
        <v>3005</v>
      </c>
      <c r="K1865" t="s">
        <v>309</v>
      </c>
      <c r="L1865">
        <v>0</v>
      </c>
      <c r="N1865" t="s">
        <v>809</v>
      </c>
      <c r="O1865">
        <v>3</v>
      </c>
      <c r="P1865">
        <v>3006</v>
      </c>
      <c r="Q1865" t="s">
        <v>987</v>
      </c>
      <c r="R1865" t="s">
        <v>201</v>
      </c>
      <c r="S1865">
        <v>1</v>
      </c>
      <c r="T1865">
        <v>1</v>
      </c>
      <c r="U1865">
        <v>51108</v>
      </c>
      <c r="V1865">
        <v>51108</v>
      </c>
    </row>
    <row r="1866" spans="1:22">
      <c r="A1866" t="s">
        <v>196</v>
      </c>
      <c r="B1866">
        <v>50</v>
      </c>
      <c r="C1866" t="s">
        <v>54</v>
      </c>
      <c r="D1866">
        <v>100</v>
      </c>
      <c r="E1866" t="s">
        <v>197</v>
      </c>
      <c r="F1866">
        <v>1005</v>
      </c>
      <c r="G1866" t="s">
        <v>54</v>
      </c>
      <c r="H1866">
        <v>2005</v>
      </c>
      <c r="I1866" t="s">
        <v>54</v>
      </c>
      <c r="J1866">
        <v>3005</v>
      </c>
      <c r="K1866" t="s">
        <v>309</v>
      </c>
      <c r="L1866">
        <v>0</v>
      </c>
      <c r="N1866" t="s">
        <v>253</v>
      </c>
      <c r="O1866">
        <v>20</v>
      </c>
      <c r="P1866">
        <v>1327</v>
      </c>
      <c r="Q1866" t="s">
        <v>1208</v>
      </c>
      <c r="R1866" t="s">
        <v>201</v>
      </c>
      <c r="S1866">
        <v>1</v>
      </c>
      <c r="T1866">
        <v>1</v>
      </c>
      <c r="U1866">
        <v>118956</v>
      </c>
      <c r="V1866">
        <v>118956</v>
      </c>
    </row>
    <row r="1867" spans="1:22">
      <c r="A1867" t="s">
        <v>196</v>
      </c>
      <c r="B1867">
        <v>50</v>
      </c>
      <c r="C1867" t="s">
        <v>54</v>
      </c>
      <c r="D1867">
        <v>100</v>
      </c>
      <c r="E1867" t="s">
        <v>197</v>
      </c>
      <c r="F1867">
        <v>1005</v>
      </c>
      <c r="G1867" t="s">
        <v>54</v>
      </c>
      <c r="H1867">
        <v>2005</v>
      </c>
      <c r="I1867" t="s">
        <v>54</v>
      </c>
      <c r="J1867">
        <v>3005</v>
      </c>
      <c r="K1867" t="s">
        <v>309</v>
      </c>
      <c r="L1867">
        <v>0</v>
      </c>
      <c r="N1867" t="s">
        <v>253</v>
      </c>
      <c r="O1867">
        <v>20</v>
      </c>
      <c r="P1867">
        <v>1327</v>
      </c>
      <c r="Q1867" t="s">
        <v>1208</v>
      </c>
      <c r="R1867" t="s">
        <v>201</v>
      </c>
      <c r="S1867">
        <v>1</v>
      </c>
      <c r="T1867">
        <v>1</v>
      </c>
      <c r="U1867">
        <v>93384</v>
      </c>
      <c r="V1867">
        <v>93384</v>
      </c>
    </row>
    <row r="1868" spans="1:22">
      <c r="A1868" t="s">
        <v>196</v>
      </c>
      <c r="B1868">
        <v>50</v>
      </c>
      <c r="C1868" t="s">
        <v>54</v>
      </c>
      <c r="D1868">
        <v>100</v>
      </c>
      <c r="E1868" t="s">
        <v>197</v>
      </c>
      <c r="F1868">
        <v>1005</v>
      </c>
      <c r="G1868" t="s">
        <v>54</v>
      </c>
      <c r="H1868">
        <v>2005</v>
      </c>
      <c r="I1868" t="s">
        <v>54</v>
      </c>
      <c r="J1868">
        <v>3005</v>
      </c>
      <c r="K1868" t="s">
        <v>309</v>
      </c>
      <c r="L1868">
        <v>0</v>
      </c>
      <c r="N1868" t="s">
        <v>255</v>
      </c>
      <c r="O1868">
        <v>1</v>
      </c>
      <c r="P1868">
        <v>1302</v>
      </c>
      <c r="Q1868" t="s">
        <v>340</v>
      </c>
      <c r="R1868" t="s">
        <v>201</v>
      </c>
      <c r="S1868">
        <v>1</v>
      </c>
      <c r="T1868">
        <v>1</v>
      </c>
      <c r="U1868">
        <v>93504</v>
      </c>
      <c r="V1868">
        <v>93504</v>
      </c>
    </row>
    <row r="1869" spans="1:22">
      <c r="A1869" t="s">
        <v>196</v>
      </c>
      <c r="B1869">
        <v>50</v>
      </c>
      <c r="C1869" t="s">
        <v>54</v>
      </c>
      <c r="D1869">
        <v>100</v>
      </c>
      <c r="E1869" t="s">
        <v>197</v>
      </c>
      <c r="F1869">
        <v>1005</v>
      </c>
      <c r="G1869" t="s">
        <v>54</v>
      </c>
      <c r="H1869">
        <v>2005</v>
      </c>
      <c r="I1869" t="s">
        <v>54</v>
      </c>
      <c r="J1869">
        <v>3005</v>
      </c>
      <c r="K1869" t="s">
        <v>309</v>
      </c>
      <c r="L1869">
        <v>0</v>
      </c>
      <c r="N1869" t="s">
        <v>341</v>
      </c>
      <c r="O1869">
        <v>1</v>
      </c>
      <c r="P1869">
        <v>1301</v>
      </c>
      <c r="Q1869" t="s">
        <v>618</v>
      </c>
      <c r="R1869" t="s">
        <v>201</v>
      </c>
      <c r="S1869">
        <v>1</v>
      </c>
      <c r="T1869">
        <v>1</v>
      </c>
      <c r="U1869">
        <v>103608</v>
      </c>
      <c r="V1869">
        <v>103608</v>
      </c>
    </row>
    <row r="1870" spans="1:22">
      <c r="A1870" t="s">
        <v>196</v>
      </c>
      <c r="B1870">
        <v>50</v>
      </c>
      <c r="C1870" t="s">
        <v>54</v>
      </c>
      <c r="D1870">
        <v>100</v>
      </c>
      <c r="E1870" t="s">
        <v>197</v>
      </c>
      <c r="F1870">
        <v>1005</v>
      </c>
      <c r="G1870" t="s">
        <v>54</v>
      </c>
      <c r="H1870">
        <v>2005</v>
      </c>
      <c r="I1870" t="s">
        <v>54</v>
      </c>
      <c r="J1870">
        <v>3005</v>
      </c>
      <c r="K1870" t="s">
        <v>309</v>
      </c>
      <c r="L1870">
        <v>0</v>
      </c>
      <c r="N1870" t="s">
        <v>341</v>
      </c>
      <c r="O1870">
        <v>1</v>
      </c>
      <c r="P1870">
        <v>1301</v>
      </c>
      <c r="Q1870" t="s">
        <v>618</v>
      </c>
      <c r="R1870" t="s">
        <v>201</v>
      </c>
      <c r="S1870">
        <v>1</v>
      </c>
      <c r="T1870">
        <v>1</v>
      </c>
      <c r="U1870">
        <v>74172</v>
      </c>
      <c r="V1870">
        <v>74172</v>
      </c>
    </row>
    <row r="1871" spans="1:22">
      <c r="A1871" t="s">
        <v>196</v>
      </c>
      <c r="B1871">
        <v>50</v>
      </c>
      <c r="C1871" t="s">
        <v>54</v>
      </c>
      <c r="D1871">
        <v>100</v>
      </c>
      <c r="E1871" t="s">
        <v>197</v>
      </c>
      <c r="F1871">
        <v>1005</v>
      </c>
      <c r="G1871" t="s">
        <v>54</v>
      </c>
      <c r="H1871">
        <v>2005</v>
      </c>
      <c r="I1871" t="s">
        <v>54</v>
      </c>
      <c r="J1871">
        <v>3005</v>
      </c>
      <c r="K1871" t="s">
        <v>309</v>
      </c>
      <c r="L1871">
        <v>0</v>
      </c>
      <c r="N1871" t="s">
        <v>341</v>
      </c>
      <c r="O1871">
        <v>1</v>
      </c>
      <c r="P1871">
        <v>1301</v>
      </c>
      <c r="Q1871" t="s">
        <v>618</v>
      </c>
      <c r="R1871" t="s">
        <v>201</v>
      </c>
      <c r="S1871">
        <v>1</v>
      </c>
      <c r="T1871">
        <v>1</v>
      </c>
      <c r="U1871">
        <v>70752</v>
      </c>
      <c r="V1871">
        <v>70752</v>
      </c>
    </row>
    <row r="1872" spans="1:22">
      <c r="A1872" t="s">
        <v>196</v>
      </c>
      <c r="B1872">
        <v>50</v>
      </c>
      <c r="C1872" t="s">
        <v>54</v>
      </c>
      <c r="D1872">
        <v>100</v>
      </c>
      <c r="E1872" t="s">
        <v>197</v>
      </c>
      <c r="F1872">
        <v>1005</v>
      </c>
      <c r="G1872" t="s">
        <v>54</v>
      </c>
      <c r="H1872">
        <v>2005</v>
      </c>
      <c r="I1872" t="s">
        <v>54</v>
      </c>
      <c r="J1872">
        <v>3005</v>
      </c>
      <c r="K1872" t="s">
        <v>309</v>
      </c>
      <c r="L1872">
        <v>0</v>
      </c>
      <c r="N1872" t="s">
        <v>341</v>
      </c>
      <c r="O1872">
        <v>1</v>
      </c>
      <c r="P1872">
        <v>1301</v>
      </c>
      <c r="Q1872" t="s">
        <v>618</v>
      </c>
      <c r="R1872" t="s">
        <v>201</v>
      </c>
      <c r="S1872">
        <v>1</v>
      </c>
      <c r="T1872">
        <v>1</v>
      </c>
      <c r="U1872">
        <v>68616</v>
      </c>
      <c r="V1872">
        <v>68616</v>
      </c>
    </row>
    <row r="1873" spans="1:22">
      <c r="A1873" t="s">
        <v>196</v>
      </c>
      <c r="B1873">
        <v>50</v>
      </c>
      <c r="C1873" t="s">
        <v>54</v>
      </c>
      <c r="D1873">
        <v>100</v>
      </c>
      <c r="E1873" t="s">
        <v>197</v>
      </c>
      <c r="F1873">
        <v>1005</v>
      </c>
      <c r="G1873" t="s">
        <v>54</v>
      </c>
      <c r="H1873">
        <v>2005</v>
      </c>
      <c r="I1873" t="s">
        <v>54</v>
      </c>
      <c r="J1873">
        <v>3005</v>
      </c>
      <c r="K1873" t="s">
        <v>309</v>
      </c>
      <c r="L1873">
        <v>0</v>
      </c>
      <c r="N1873" t="s">
        <v>281</v>
      </c>
      <c r="O1873">
        <v>20</v>
      </c>
      <c r="P1873">
        <v>1141</v>
      </c>
      <c r="Q1873" t="s">
        <v>332</v>
      </c>
      <c r="R1873" t="s">
        <v>201</v>
      </c>
      <c r="S1873">
        <v>1</v>
      </c>
      <c r="T1873">
        <v>1</v>
      </c>
      <c r="U1873">
        <v>93156</v>
      </c>
      <c r="V1873">
        <v>93156</v>
      </c>
    </row>
    <row r="1874" spans="1:22">
      <c r="A1874" t="s">
        <v>196</v>
      </c>
      <c r="B1874">
        <v>50</v>
      </c>
      <c r="C1874" t="s">
        <v>54</v>
      </c>
      <c r="D1874">
        <v>100</v>
      </c>
      <c r="E1874" t="s">
        <v>197</v>
      </c>
      <c r="F1874">
        <v>1005</v>
      </c>
      <c r="G1874" t="s">
        <v>54</v>
      </c>
      <c r="H1874">
        <v>2005</v>
      </c>
      <c r="I1874" t="s">
        <v>54</v>
      </c>
      <c r="J1874">
        <v>3005</v>
      </c>
      <c r="K1874" t="s">
        <v>309</v>
      </c>
      <c r="L1874">
        <v>0</v>
      </c>
      <c r="N1874" t="s">
        <v>688</v>
      </c>
      <c r="O1874">
        <v>4</v>
      </c>
      <c r="P1874">
        <v>684</v>
      </c>
      <c r="Q1874" t="s">
        <v>1114</v>
      </c>
      <c r="R1874" t="s">
        <v>201</v>
      </c>
      <c r="S1874">
        <v>1</v>
      </c>
      <c r="T1874">
        <v>1</v>
      </c>
      <c r="U1874">
        <v>81636</v>
      </c>
      <c r="V1874">
        <v>81636</v>
      </c>
    </row>
    <row r="1875" spans="1:22">
      <c r="A1875" t="s">
        <v>196</v>
      </c>
      <c r="B1875">
        <v>50</v>
      </c>
      <c r="C1875" t="s">
        <v>54</v>
      </c>
      <c r="D1875">
        <v>100</v>
      </c>
      <c r="E1875" t="s">
        <v>197</v>
      </c>
      <c r="F1875">
        <v>1005</v>
      </c>
      <c r="G1875" t="s">
        <v>54</v>
      </c>
      <c r="H1875">
        <v>2005</v>
      </c>
      <c r="I1875" t="s">
        <v>54</v>
      </c>
      <c r="J1875">
        <v>3005</v>
      </c>
      <c r="K1875" t="s">
        <v>309</v>
      </c>
      <c r="L1875">
        <v>0</v>
      </c>
      <c r="N1875" t="s">
        <v>602</v>
      </c>
      <c r="O1875">
        <v>4</v>
      </c>
      <c r="P1875">
        <v>673</v>
      </c>
      <c r="Q1875" t="s">
        <v>603</v>
      </c>
      <c r="R1875" t="s">
        <v>201</v>
      </c>
      <c r="S1875">
        <v>1</v>
      </c>
      <c r="T1875">
        <v>1</v>
      </c>
      <c r="U1875">
        <v>141564</v>
      </c>
      <c r="V1875">
        <v>141564</v>
      </c>
    </row>
    <row r="1876" spans="1:22">
      <c r="A1876" t="s">
        <v>196</v>
      </c>
      <c r="B1876">
        <v>50</v>
      </c>
      <c r="C1876" t="s">
        <v>54</v>
      </c>
      <c r="D1876">
        <v>100</v>
      </c>
      <c r="E1876" t="s">
        <v>197</v>
      </c>
      <c r="F1876">
        <v>1005</v>
      </c>
      <c r="G1876" t="s">
        <v>54</v>
      </c>
      <c r="H1876">
        <v>2005</v>
      </c>
      <c r="I1876" t="s">
        <v>54</v>
      </c>
      <c r="J1876">
        <v>3005</v>
      </c>
      <c r="K1876" t="s">
        <v>309</v>
      </c>
      <c r="L1876">
        <v>0</v>
      </c>
      <c r="N1876" t="s">
        <v>602</v>
      </c>
      <c r="O1876">
        <v>4</v>
      </c>
      <c r="P1876">
        <v>635</v>
      </c>
      <c r="Q1876" t="s">
        <v>645</v>
      </c>
      <c r="R1876" t="s">
        <v>201</v>
      </c>
      <c r="S1876">
        <v>1</v>
      </c>
      <c r="T1876">
        <v>1</v>
      </c>
      <c r="U1876">
        <v>112536</v>
      </c>
      <c r="V1876">
        <v>112536</v>
      </c>
    </row>
    <row r="1877" spans="1:22">
      <c r="A1877" t="s">
        <v>196</v>
      </c>
      <c r="B1877">
        <v>50</v>
      </c>
      <c r="C1877" t="s">
        <v>54</v>
      </c>
      <c r="D1877">
        <v>100</v>
      </c>
      <c r="E1877" t="s">
        <v>197</v>
      </c>
      <c r="F1877">
        <v>1005</v>
      </c>
      <c r="G1877" t="s">
        <v>54</v>
      </c>
      <c r="H1877">
        <v>2005</v>
      </c>
      <c r="I1877" t="s">
        <v>54</v>
      </c>
      <c r="J1877">
        <v>3005</v>
      </c>
      <c r="K1877" t="s">
        <v>309</v>
      </c>
      <c r="L1877">
        <v>0</v>
      </c>
      <c r="N1877" t="s">
        <v>602</v>
      </c>
      <c r="O1877">
        <v>4</v>
      </c>
      <c r="P1877">
        <v>635</v>
      </c>
      <c r="Q1877" t="s">
        <v>645</v>
      </c>
      <c r="R1877" t="s">
        <v>201</v>
      </c>
      <c r="S1877">
        <v>1</v>
      </c>
      <c r="T1877">
        <v>1</v>
      </c>
      <c r="U1877">
        <v>107628</v>
      </c>
      <c r="V1877">
        <v>107628</v>
      </c>
    </row>
    <row r="1878" spans="1:22">
      <c r="A1878" t="s">
        <v>196</v>
      </c>
      <c r="B1878">
        <v>50</v>
      </c>
      <c r="C1878" t="s">
        <v>54</v>
      </c>
      <c r="D1878">
        <v>100</v>
      </c>
      <c r="E1878" t="s">
        <v>197</v>
      </c>
      <c r="F1878">
        <v>1005</v>
      </c>
      <c r="G1878" t="s">
        <v>54</v>
      </c>
      <c r="H1878">
        <v>2005</v>
      </c>
      <c r="I1878" t="s">
        <v>54</v>
      </c>
      <c r="J1878">
        <v>3005</v>
      </c>
      <c r="K1878" t="s">
        <v>309</v>
      </c>
      <c r="L1878">
        <v>0</v>
      </c>
      <c r="N1878" t="s">
        <v>274</v>
      </c>
      <c r="O1878">
        <v>0</v>
      </c>
      <c r="P1878">
        <v>603</v>
      </c>
      <c r="Q1878" t="s">
        <v>646</v>
      </c>
      <c r="R1878" t="s">
        <v>201</v>
      </c>
      <c r="S1878">
        <v>1</v>
      </c>
      <c r="T1878">
        <v>1</v>
      </c>
      <c r="U1878">
        <v>146808</v>
      </c>
      <c r="V1878">
        <v>146808</v>
      </c>
    </row>
    <row r="1879" spans="1:22">
      <c r="A1879" t="s">
        <v>196</v>
      </c>
      <c r="B1879">
        <v>50</v>
      </c>
      <c r="C1879" t="s">
        <v>54</v>
      </c>
      <c r="D1879">
        <v>100</v>
      </c>
      <c r="E1879" t="s">
        <v>197</v>
      </c>
      <c r="F1879">
        <v>1005</v>
      </c>
      <c r="G1879" t="s">
        <v>54</v>
      </c>
      <c r="H1879">
        <v>2005</v>
      </c>
      <c r="I1879" t="s">
        <v>54</v>
      </c>
      <c r="J1879">
        <v>3005</v>
      </c>
      <c r="K1879" t="s">
        <v>309</v>
      </c>
      <c r="L1879">
        <v>0</v>
      </c>
      <c r="N1879" t="s">
        <v>274</v>
      </c>
      <c r="O1879">
        <v>0</v>
      </c>
      <c r="P1879">
        <v>601</v>
      </c>
      <c r="Q1879" t="s">
        <v>790</v>
      </c>
      <c r="R1879" t="s">
        <v>201</v>
      </c>
      <c r="S1879">
        <v>1</v>
      </c>
      <c r="T1879">
        <v>1</v>
      </c>
      <c r="U1879">
        <v>153384</v>
      </c>
      <c r="V1879">
        <v>153384</v>
      </c>
    </row>
    <row r="1880" spans="1:22">
      <c r="A1880" t="s">
        <v>196</v>
      </c>
      <c r="B1880">
        <v>50</v>
      </c>
      <c r="C1880" t="s">
        <v>54</v>
      </c>
      <c r="D1880">
        <v>100</v>
      </c>
      <c r="E1880" t="s">
        <v>197</v>
      </c>
      <c r="F1880">
        <v>1005</v>
      </c>
      <c r="G1880" t="s">
        <v>54</v>
      </c>
      <c r="H1880">
        <v>2005</v>
      </c>
      <c r="I1880" t="s">
        <v>54</v>
      </c>
      <c r="J1880">
        <v>3005</v>
      </c>
      <c r="K1880" t="s">
        <v>309</v>
      </c>
      <c r="L1880">
        <v>0</v>
      </c>
      <c r="N1880" t="s">
        <v>809</v>
      </c>
      <c r="O1880">
        <v>1</v>
      </c>
      <c r="P1880">
        <v>460</v>
      </c>
      <c r="Q1880" t="s">
        <v>810</v>
      </c>
      <c r="R1880" t="s">
        <v>201</v>
      </c>
      <c r="S1880">
        <v>1</v>
      </c>
      <c r="T1880">
        <v>1</v>
      </c>
      <c r="U1880">
        <v>82140</v>
      </c>
      <c r="V1880">
        <v>82140</v>
      </c>
    </row>
    <row r="1881" spans="1:22">
      <c r="A1881" t="s">
        <v>196</v>
      </c>
      <c r="B1881">
        <v>50</v>
      </c>
      <c r="C1881" t="s">
        <v>54</v>
      </c>
      <c r="D1881">
        <v>100</v>
      </c>
      <c r="E1881" t="s">
        <v>197</v>
      </c>
      <c r="F1881">
        <v>1005</v>
      </c>
      <c r="G1881" t="s">
        <v>54</v>
      </c>
      <c r="H1881">
        <v>2005</v>
      </c>
      <c r="I1881" t="s">
        <v>54</v>
      </c>
      <c r="J1881">
        <v>3005</v>
      </c>
      <c r="K1881" t="s">
        <v>309</v>
      </c>
      <c r="L1881">
        <v>0</v>
      </c>
      <c r="N1881" t="s">
        <v>253</v>
      </c>
      <c r="O1881">
        <v>20</v>
      </c>
      <c r="P1881">
        <v>381</v>
      </c>
      <c r="Q1881" t="s">
        <v>730</v>
      </c>
      <c r="R1881" t="s">
        <v>201</v>
      </c>
      <c r="S1881">
        <v>1</v>
      </c>
      <c r="T1881">
        <v>1</v>
      </c>
      <c r="U1881">
        <v>85128</v>
      </c>
      <c r="V1881">
        <v>85128</v>
      </c>
    </row>
    <row r="1882" spans="1:22">
      <c r="A1882" t="s">
        <v>196</v>
      </c>
      <c r="B1882">
        <v>50</v>
      </c>
      <c r="C1882" t="s">
        <v>54</v>
      </c>
      <c r="D1882">
        <v>100</v>
      </c>
      <c r="E1882" t="s">
        <v>197</v>
      </c>
      <c r="F1882">
        <v>1005</v>
      </c>
      <c r="G1882" t="s">
        <v>54</v>
      </c>
      <c r="H1882">
        <v>2005</v>
      </c>
      <c r="I1882" t="s">
        <v>54</v>
      </c>
      <c r="J1882">
        <v>3005</v>
      </c>
      <c r="K1882" t="s">
        <v>309</v>
      </c>
      <c r="L1882">
        <v>0</v>
      </c>
      <c r="N1882" t="s">
        <v>341</v>
      </c>
      <c r="O1882">
        <v>4</v>
      </c>
      <c r="P1882">
        <v>378</v>
      </c>
      <c r="Q1882" t="s">
        <v>1209</v>
      </c>
      <c r="R1882" t="s">
        <v>201</v>
      </c>
      <c r="S1882">
        <v>1</v>
      </c>
      <c r="T1882">
        <v>1</v>
      </c>
      <c r="U1882">
        <v>103608</v>
      </c>
      <c r="V1882">
        <v>103608</v>
      </c>
    </row>
    <row r="1883" spans="1:22">
      <c r="A1883" t="s">
        <v>196</v>
      </c>
      <c r="B1883">
        <v>50</v>
      </c>
      <c r="C1883" t="s">
        <v>54</v>
      </c>
      <c r="D1883">
        <v>100</v>
      </c>
      <c r="E1883" t="s">
        <v>197</v>
      </c>
      <c r="F1883">
        <v>1005</v>
      </c>
      <c r="G1883" t="s">
        <v>54</v>
      </c>
      <c r="H1883">
        <v>2005</v>
      </c>
      <c r="I1883" t="s">
        <v>54</v>
      </c>
      <c r="J1883">
        <v>3005</v>
      </c>
      <c r="K1883" t="s">
        <v>309</v>
      </c>
      <c r="L1883">
        <v>0</v>
      </c>
      <c r="N1883" t="s">
        <v>247</v>
      </c>
      <c r="O1883">
        <v>20</v>
      </c>
      <c r="P1883">
        <v>366</v>
      </c>
      <c r="Q1883" t="s">
        <v>604</v>
      </c>
      <c r="R1883" t="s">
        <v>201</v>
      </c>
      <c r="S1883">
        <v>1</v>
      </c>
      <c r="T1883">
        <v>1</v>
      </c>
      <c r="U1883">
        <v>66516</v>
      </c>
      <c r="V1883">
        <v>66516</v>
      </c>
    </row>
    <row r="1884" spans="1:22">
      <c r="A1884" t="s">
        <v>196</v>
      </c>
      <c r="B1884">
        <v>50</v>
      </c>
      <c r="C1884" t="s">
        <v>54</v>
      </c>
      <c r="D1884">
        <v>100</v>
      </c>
      <c r="E1884" t="s">
        <v>197</v>
      </c>
      <c r="F1884">
        <v>1005</v>
      </c>
      <c r="G1884" t="s">
        <v>54</v>
      </c>
      <c r="H1884">
        <v>2005</v>
      </c>
      <c r="I1884" t="s">
        <v>54</v>
      </c>
      <c r="J1884">
        <v>3005</v>
      </c>
      <c r="K1884" t="s">
        <v>309</v>
      </c>
      <c r="L1884">
        <v>0</v>
      </c>
      <c r="N1884" t="s">
        <v>341</v>
      </c>
      <c r="O1884">
        <v>1</v>
      </c>
      <c r="P1884">
        <v>308</v>
      </c>
      <c r="Q1884" t="s">
        <v>355</v>
      </c>
      <c r="R1884" t="s">
        <v>201</v>
      </c>
      <c r="S1884">
        <v>1</v>
      </c>
      <c r="T1884">
        <v>1</v>
      </c>
      <c r="U1884">
        <v>68616</v>
      </c>
      <c r="V1884">
        <v>68616</v>
      </c>
    </row>
    <row r="1885" spans="1:22">
      <c r="A1885" t="s">
        <v>196</v>
      </c>
      <c r="B1885">
        <v>50</v>
      </c>
      <c r="C1885" t="s">
        <v>54</v>
      </c>
      <c r="D1885">
        <v>100</v>
      </c>
      <c r="E1885" t="s">
        <v>197</v>
      </c>
      <c r="F1885">
        <v>1005</v>
      </c>
      <c r="G1885" t="s">
        <v>54</v>
      </c>
      <c r="H1885">
        <v>2005</v>
      </c>
      <c r="I1885" t="s">
        <v>54</v>
      </c>
      <c r="J1885">
        <v>3005</v>
      </c>
      <c r="K1885" t="s">
        <v>309</v>
      </c>
      <c r="L1885">
        <v>0</v>
      </c>
      <c r="N1885" t="s">
        <v>199</v>
      </c>
      <c r="O1885">
        <v>0</v>
      </c>
      <c r="P1885">
        <v>15</v>
      </c>
      <c r="Q1885" t="s">
        <v>264</v>
      </c>
      <c r="R1885" t="s">
        <v>201</v>
      </c>
      <c r="S1885">
        <v>0</v>
      </c>
      <c r="T1885">
        <v>0</v>
      </c>
      <c r="U1885">
        <v>34890</v>
      </c>
      <c r="V1885">
        <v>34890</v>
      </c>
    </row>
    <row r="1886" spans="1:22">
      <c r="A1886" t="s">
        <v>196</v>
      </c>
      <c r="B1886">
        <v>50</v>
      </c>
      <c r="C1886" t="s">
        <v>54</v>
      </c>
      <c r="D1886">
        <v>100</v>
      </c>
      <c r="E1886" t="s">
        <v>197</v>
      </c>
      <c r="F1886">
        <v>1005</v>
      </c>
      <c r="G1886" t="s">
        <v>54</v>
      </c>
      <c r="H1886">
        <v>2005</v>
      </c>
      <c r="I1886" t="s">
        <v>54</v>
      </c>
      <c r="J1886">
        <v>3006</v>
      </c>
      <c r="K1886" t="s">
        <v>649</v>
      </c>
      <c r="L1886">
        <v>0</v>
      </c>
      <c r="N1886" t="s">
        <v>266</v>
      </c>
      <c r="O1886">
        <v>9</v>
      </c>
      <c r="P1886">
        <v>9679</v>
      </c>
      <c r="Q1886" t="s">
        <v>338</v>
      </c>
      <c r="R1886" t="s">
        <v>201</v>
      </c>
      <c r="S1886">
        <v>1</v>
      </c>
      <c r="T1886">
        <v>1</v>
      </c>
      <c r="U1886">
        <v>167964</v>
      </c>
      <c r="V1886">
        <v>167964</v>
      </c>
    </row>
    <row r="1887" spans="1:22">
      <c r="A1887" t="s">
        <v>196</v>
      </c>
      <c r="B1887">
        <v>50</v>
      </c>
      <c r="C1887" t="s">
        <v>54</v>
      </c>
      <c r="D1887">
        <v>100</v>
      </c>
      <c r="E1887" t="s">
        <v>197</v>
      </c>
      <c r="F1887">
        <v>1005</v>
      </c>
      <c r="G1887" t="s">
        <v>54</v>
      </c>
      <c r="H1887">
        <v>2005</v>
      </c>
      <c r="I1887" t="s">
        <v>54</v>
      </c>
      <c r="J1887">
        <v>3006</v>
      </c>
      <c r="K1887" t="s">
        <v>649</v>
      </c>
      <c r="L1887">
        <v>0</v>
      </c>
      <c r="N1887" t="s">
        <v>372</v>
      </c>
      <c r="O1887">
        <v>1</v>
      </c>
      <c r="P1887">
        <v>1576</v>
      </c>
      <c r="Q1887" t="s">
        <v>650</v>
      </c>
      <c r="R1887" t="s">
        <v>201</v>
      </c>
      <c r="S1887">
        <v>1</v>
      </c>
      <c r="T1887">
        <v>1</v>
      </c>
      <c r="U1887">
        <v>98928</v>
      </c>
      <c r="V1887">
        <v>98928</v>
      </c>
    </row>
    <row r="1888" spans="1:22">
      <c r="A1888" t="s">
        <v>196</v>
      </c>
      <c r="B1888">
        <v>50</v>
      </c>
      <c r="C1888" t="s">
        <v>54</v>
      </c>
      <c r="D1888">
        <v>100</v>
      </c>
      <c r="E1888" t="s">
        <v>197</v>
      </c>
      <c r="F1888">
        <v>1005</v>
      </c>
      <c r="G1888" t="s">
        <v>54</v>
      </c>
      <c r="H1888">
        <v>2005</v>
      </c>
      <c r="I1888" t="s">
        <v>54</v>
      </c>
      <c r="J1888">
        <v>3006</v>
      </c>
      <c r="K1888" t="s">
        <v>649</v>
      </c>
      <c r="L1888">
        <v>0</v>
      </c>
      <c r="N1888" t="s">
        <v>622</v>
      </c>
      <c r="O1888">
        <v>1</v>
      </c>
      <c r="P1888" t="s">
        <v>667</v>
      </c>
      <c r="Q1888" t="s">
        <v>205</v>
      </c>
      <c r="R1888" t="s">
        <v>201</v>
      </c>
      <c r="S1888">
        <v>1</v>
      </c>
      <c r="T1888">
        <v>1</v>
      </c>
      <c r="U1888">
        <v>90144</v>
      </c>
      <c r="V1888">
        <v>90144</v>
      </c>
    </row>
    <row r="1889" spans="1:22">
      <c r="A1889" t="s">
        <v>196</v>
      </c>
      <c r="B1889">
        <v>50</v>
      </c>
      <c r="C1889" t="s">
        <v>54</v>
      </c>
      <c r="D1889">
        <v>100</v>
      </c>
      <c r="E1889" t="s">
        <v>197</v>
      </c>
      <c r="F1889">
        <v>1005</v>
      </c>
      <c r="G1889" t="s">
        <v>54</v>
      </c>
      <c r="H1889">
        <v>2005</v>
      </c>
      <c r="I1889" t="s">
        <v>54</v>
      </c>
      <c r="J1889">
        <v>3006</v>
      </c>
      <c r="K1889" t="s">
        <v>649</v>
      </c>
      <c r="L1889">
        <v>0</v>
      </c>
      <c r="N1889" t="s">
        <v>622</v>
      </c>
      <c r="O1889">
        <v>1</v>
      </c>
      <c r="P1889" t="s">
        <v>667</v>
      </c>
      <c r="Q1889" t="s">
        <v>205</v>
      </c>
      <c r="R1889" t="s">
        <v>201</v>
      </c>
      <c r="S1889">
        <v>1</v>
      </c>
      <c r="T1889">
        <v>1</v>
      </c>
      <c r="U1889">
        <v>56124</v>
      </c>
      <c r="V1889">
        <v>56124</v>
      </c>
    </row>
    <row r="1890" spans="1:22">
      <c r="A1890" t="s">
        <v>196</v>
      </c>
      <c r="B1890">
        <v>50</v>
      </c>
      <c r="C1890" t="s">
        <v>54</v>
      </c>
      <c r="D1890">
        <v>100</v>
      </c>
      <c r="E1890" t="s">
        <v>197</v>
      </c>
      <c r="F1890">
        <v>1005</v>
      </c>
      <c r="G1890" t="s">
        <v>54</v>
      </c>
      <c r="H1890">
        <v>2005</v>
      </c>
      <c r="I1890" t="s">
        <v>54</v>
      </c>
      <c r="J1890">
        <v>3006</v>
      </c>
      <c r="K1890" t="s">
        <v>649</v>
      </c>
      <c r="L1890">
        <v>0</v>
      </c>
      <c r="N1890" t="s">
        <v>341</v>
      </c>
      <c r="O1890">
        <v>1</v>
      </c>
      <c r="P1890">
        <v>308</v>
      </c>
      <c r="Q1890" t="s">
        <v>355</v>
      </c>
      <c r="R1890" t="s">
        <v>201</v>
      </c>
      <c r="S1890">
        <v>1</v>
      </c>
      <c r="T1890">
        <v>1</v>
      </c>
      <c r="U1890">
        <v>119100</v>
      </c>
      <c r="V1890">
        <v>119100</v>
      </c>
    </row>
    <row r="1891" spans="1:22">
      <c r="A1891" t="s">
        <v>196</v>
      </c>
      <c r="B1891">
        <v>50</v>
      </c>
      <c r="C1891" t="s">
        <v>54</v>
      </c>
      <c r="D1891">
        <v>100</v>
      </c>
      <c r="E1891" t="s">
        <v>197</v>
      </c>
      <c r="F1891">
        <v>1005</v>
      </c>
      <c r="G1891" t="s">
        <v>54</v>
      </c>
      <c r="H1891">
        <v>2005</v>
      </c>
      <c r="I1891" t="s">
        <v>54</v>
      </c>
      <c r="J1891">
        <v>3006</v>
      </c>
      <c r="K1891" t="s">
        <v>649</v>
      </c>
      <c r="L1891">
        <v>0</v>
      </c>
      <c r="N1891" t="s">
        <v>297</v>
      </c>
      <c r="O1891">
        <v>20</v>
      </c>
      <c r="P1891">
        <v>120</v>
      </c>
      <c r="Q1891" t="s">
        <v>657</v>
      </c>
      <c r="R1891" t="s">
        <v>201</v>
      </c>
      <c r="S1891">
        <v>1</v>
      </c>
      <c r="T1891">
        <v>1</v>
      </c>
      <c r="U1891">
        <v>115992</v>
      </c>
      <c r="V1891">
        <v>115992</v>
      </c>
    </row>
    <row r="1892" spans="1:22">
      <c r="A1892" t="s">
        <v>196</v>
      </c>
      <c r="B1892">
        <v>50</v>
      </c>
      <c r="C1892" t="s">
        <v>54</v>
      </c>
      <c r="D1892">
        <v>100</v>
      </c>
      <c r="E1892" t="s">
        <v>197</v>
      </c>
      <c r="F1892">
        <v>1005</v>
      </c>
      <c r="G1892" t="s">
        <v>54</v>
      </c>
      <c r="H1892">
        <v>2005</v>
      </c>
      <c r="I1892" t="s">
        <v>54</v>
      </c>
      <c r="J1892">
        <v>3006</v>
      </c>
      <c r="K1892" t="s">
        <v>649</v>
      </c>
      <c r="L1892">
        <v>0</v>
      </c>
      <c r="N1892" t="s">
        <v>274</v>
      </c>
      <c r="O1892">
        <v>0</v>
      </c>
      <c r="P1892">
        <v>118</v>
      </c>
      <c r="Q1892" t="s">
        <v>358</v>
      </c>
      <c r="R1892" t="s">
        <v>201</v>
      </c>
      <c r="S1892">
        <v>1</v>
      </c>
      <c r="T1892">
        <v>1</v>
      </c>
      <c r="U1892">
        <v>153384</v>
      </c>
      <c r="V1892">
        <v>153384</v>
      </c>
    </row>
    <row r="1893" spans="1:22">
      <c r="A1893" t="s">
        <v>196</v>
      </c>
      <c r="B1893">
        <v>50</v>
      </c>
      <c r="C1893" t="s">
        <v>54</v>
      </c>
      <c r="D1893">
        <v>100</v>
      </c>
      <c r="E1893" t="s">
        <v>197</v>
      </c>
      <c r="F1893">
        <v>1005</v>
      </c>
      <c r="G1893" t="s">
        <v>54</v>
      </c>
      <c r="H1893">
        <v>2005</v>
      </c>
      <c r="I1893" t="s">
        <v>54</v>
      </c>
      <c r="J1893">
        <v>3006</v>
      </c>
      <c r="K1893" t="s">
        <v>649</v>
      </c>
      <c r="L1893">
        <v>0</v>
      </c>
      <c r="N1893" t="s">
        <v>274</v>
      </c>
      <c r="O1893">
        <v>0</v>
      </c>
      <c r="P1893">
        <v>118</v>
      </c>
      <c r="Q1893" t="s">
        <v>358</v>
      </c>
      <c r="R1893" t="s">
        <v>201</v>
      </c>
      <c r="S1893">
        <v>1</v>
      </c>
      <c r="T1893">
        <v>1</v>
      </c>
      <c r="U1893">
        <v>146808</v>
      </c>
      <c r="V1893">
        <v>146808</v>
      </c>
    </row>
    <row r="1894" spans="1:22">
      <c r="A1894" t="s">
        <v>196</v>
      </c>
      <c r="B1894">
        <v>50</v>
      </c>
      <c r="C1894" t="s">
        <v>54</v>
      </c>
      <c r="D1894">
        <v>100</v>
      </c>
      <c r="E1894" t="s">
        <v>197</v>
      </c>
      <c r="F1894">
        <v>1005</v>
      </c>
      <c r="G1894" t="s">
        <v>54</v>
      </c>
      <c r="H1894">
        <v>2005</v>
      </c>
      <c r="I1894" t="s">
        <v>54</v>
      </c>
      <c r="J1894">
        <v>3006</v>
      </c>
      <c r="K1894" t="s">
        <v>649</v>
      </c>
      <c r="L1894">
        <v>0</v>
      </c>
      <c r="N1894" t="s">
        <v>341</v>
      </c>
      <c r="O1894">
        <v>4</v>
      </c>
      <c r="P1894">
        <v>110</v>
      </c>
      <c r="Q1894" t="s">
        <v>359</v>
      </c>
      <c r="R1894" t="s">
        <v>201</v>
      </c>
      <c r="S1894">
        <v>3</v>
      </c>
      <c r="T1894">
        <v>1</v>
      </c>
      <c r="U1894">
        <v>119100</v>
      </c>
      <c r="V1894">
        <v>357300</v>
      </c>
    </row>
    <row r="1895" spans="1:22">
      <c r="A1895" t="s">
        <v>196</v>
      </c>
      <c r="B1895">
        <v>50</v>
      </c>
      <c r="C1895" t="s">
        <v>54</v>
      </c>
      <c r="D1895">
        <v>100</v>
      </c>
      <c r="E1895" t="s">
        <v>197</v>
      </c>
      <c r="F1895">
        <v>1005</v>
      </c>
      <c r="G1895" t="s">
        <v>54</v>
      </c>
      <c r="H1895">
        <v>2005</v>
      </c>
      <c r="I1895" t="s">
        <v>54</v>
      </c>
      <c r="J1895">
        <v>3006</v>
      </c>
      <c r="K1895" t="s">
        <v>649</v>
      </c>
      <c r="L1895">
        <v>0</v>
      </c>
      <c r="N1895" t="s">
        <v>360</v>
      </c>
      <c r="O1895">
        <v>1</v>
      </c>
      <c r="P1895">
        <v>109</v>
      </c>
      <c r="Q1895" t="s">
        <v>361</v>
      </c>
      <c r="R1895" t="s">
        <v>201</v>
      </c>
      <c r="S1895">
        <v>1</v>
      </c>
      <c r="T1895">
        <v>1</v>
      </c>
      <c r="U1895">
        <v>98928</v>
      </c>
      <c r="V1895">
        <v>98928</v>
      </c>
    </row>
    <row r="1896" spans="1:22">
      <c r="A1896" t="s">
        <v>196</v>
      </c>
      <c r="B1896">
        <v>50</v>
      </c>
      <c r="C1896" t="s">
        <v>54</v>
      </c>
      <c r="D1896">
        <v>100</v>
      </c>
      <c r="E1896" t="s">
        <v>197</v>
      </c>
      <c r="F1896">
        <v>1005</v>
      </c>
      <c r="G1896" t="s">
        <v>54</v>
      </c>
      <c r="H1896">
        <v>2005</v>
      </c>
      <c r="I1896" t="s">
        <v>54</v>
      </c>
      <c r="J1896">
        <v>3006</v>
      </c>
      <c r="K1896" t="s">
        <v>649</v>
      </c>
      <c r="L1896">
        <v>0</v>
      </c>
      <c r="N1896" t="s">
        <v>360</v>
      </c>
      <c r="O1896">
        <v>1</v>
      </c>
      <c r="P1896">
        <v>109</v>
      </c>
      <c r="Q1896" t="s">
        <v>361</v>
      </c>
      <c r="R1896" t="s">
        <v>201</v>
      </c>
      <c r="S1896">
        <v>1</v>
      </c>
      <c r="T1896">
        <v>1</v>
      </c>
      <c r="U1896">
        <v>94452</v>
      </c>
      <c r="V1896">
        <v>94452</v>
      </c>
    </row>
    <row r="1897" spans="1:22">
      <c r="A1897" t="s">
        <v>196</v>
      </c>
      <c r="B1897">
        <v>50</v>
      </c>
      <c r="C1897" t="s">
        <v>54</v>
      </c>
      <c r="D1897">
        <v>100</v>
      </c>
      <c r="E1897" t="s">
        <v>197</v>
      </c>
      <c r="F1897">
        <v>1005</v>
      </c>
      <c r="G1897" t="s">
        <v>54</v>
      </c>
      <c r="H1897">
        <v>2005</v>
      </c>
      <c r="I1897" t="s">
        <v>54</v>
      </c>
      <c r="J1897">
        <v>3006</v>
      </c>
      <c r="K1897" t="s">
        <v>649</v>
      </c>
      <c r="L1897">
        <v>0</v>
      </c>
      <c r="N1897" t="s">
        <v>199</v>
      </c>
      <c r="O1897">
        <v>0</v>
      </c>
      <c r="P1897">
        <v>15</v>
      </c>
      <c r="Q1897" t="s">
        <v>264</v>
      </c>
      <c r="R1897" t="s">
        <v>201</v>
      </c>
      <c r="S1897">
        <v>0</v>
      </c>
      <c r="T1897">
        <v>0</v>
      </c>
      <c r="U1897">
        <v>13846</v>
      </c>
      <c r="V1897">
        <v>13846</v>
      </c>
    </row>
    <row r="1898" spans="1:22">
      <c r="A1898" t="s">
        <v>196</v>
      </c>
      <c r="B1898">
        <v>50</v>
      </c>
      <c r="C1898" t="s">
        <v>54</v>
      </c>
      <c r="D1898">
        <v>100</v>
      </c>
      <c r="E1898" t="s">
        <v>197</v>
      </c>
      <c r="F1898">
        <v>1005</v>
      </c>
      <c r="G1898" t="s">
        <v>54</v>
      </c>
      <c r="H1898">
        <v>2005</v>
      </c>
      <c r="I1898" t="s">
        <v>54</v>
      </c>
      <c r="J1898">
        <v>3011</v>
      </c>
      <c r="K1898" t="s">
        <v>1210</v>
      </c>
      <c r="L1898">
        <v>0</v>
      </c>
      <c r="N1898" t="s">
        <v>249</v>
      </c>
      <c r="O1898">
        <v>10</v>
      </c>
      <c r="P1898">
        <v>310</v>
      </c>
      <c r="Q1898" t="s">
        <v>447</v>
      </c>
      <c r="R1898" t="s">
        <v>201</v>
      </c>
      <c r="S1898">
        <v>2</v>
      </c>
      <c r="T1898">
        <v>1</v>
      </c>
      <c r="U1898">
        <v>107340</v>
      </c>
      <c r="V1898">
        <v>214680</v>
      </c>
    </row>
    <row r="1899" spans="1:22">
      <c r="A1899" t="s">
        <v>196</v>
      </c>
      <c r="B1899">
        <v>50</v>
      </c>
      <c r="C1899" t="s">
        <v>54</v>
      </c>
      <c r="D1899">
        <v>100</v>
      </c>
      <c r="E1899" t="s">
        <v>197</v>
      </c>
      <c r="F1899">
        <v>1005</v>
      </c>
      <c r="G1899" t="s">
        <v>54</v>
      </c>
      <c r="H1899">
        <v>2005</v>
      </c>
      <c r="I1899" t="s">
        <v>54</v>
      </c>
      <c r="J1899">
        <v>3011</v>
      </c>
      <c r="K1899" t="s">
        <v>1210</v>
      </c>
      <c r="L1899">
        <v>0</v>
      </c>
      <c r="N1899" t="s">
        <v>251</v>
      </c>
      <c r="O1899">
        <v>20</v>
      </c>
      <c r="P1899">
        <v>309</v>
      </c>
      <c r="Q1899" t="s">
        <v>1211</v>
      </c>
      <c r="R1899" t="s">
        <v>201</v>
      </c>
      <c r="S1899">
        <v>1</v>
      </c>
      <c r="T1899">
        <v>1</v>
      </c>
      <c r="U1899">
        <v>76476</v>
      </c>
      <c r="V1899">
        <v>76476</v>
      </c>
    </row>
    <row r="1900" spans="1:22">
      <c r="A1900" t="s">
        <v>196</v>
      </c>
      <c r="B1900">
        <v>50</v>
      </c>
      <c r="C1900" t="s">
        <v>54</v>
      </c>
      <c r="D1900">
        <v>100</v>
      </c>
      <c r="E1900" t="s">
        <v>197</v>
      </c>
      <c r="F1900">
        <v>1005</v>
      </c>
      <c r="G1900" t="s">
        <v>54</v>
      </c>
      <c r="H1900">
        <v>2005</v>
      </c>
      <c r="I1900" t="s">
        <v>54</v>
      </c>
      <c r="J1900">
        <v>3011</v>
      </c>
      <c r="K1900" t="s">
        <v>1210</v>
      </c>
      <c r="L1900">
        <v>0</v>
      </c>
      <c r="N1900" t="s">
        <v>199</v>
      </c>
      <c r="O1900">
        <v>0</v>
      </c>
      <c r="P1900">
        <v>15</v>
      </c>
      <c r="Q1900" t="s">
        <v>264</v>
      </c>
      <c r="R1900" t="s">
        <v>201</v>
      </c>
      <c r="S1900">
        <v>0</v>
      </c>
      <c r="T1900">
        <v>0</v>
      </c>
      <c r="U1900">
        <v>1824</v>
      </c>
      <c r="V1900">
        <v>1824</v>
      </c>
    </row>
    <row r="1901" spans="1:22">
      <c r="A1901" t="s">
        <v>196</v>
      </c>
      <c r="B1901">
        <v>50</v>
      </c>
      <c r="C1901" t="s">
        <v>54</v>
      </c>
      <c r="D1901">
        <v>100</v>
      </c>
      <c r="E1901" t="s">
        <v>197</v>
      </c>
      <c r="F1901">
        <v>1005</v>
      </c>
      <c r="G1901" t="s">
        <v>54</v>
      </c>
      <c r="H1901">
        <v>2005</v>
      </c>
      <c r="I1901" t="s">
        <v>54</v>
      </c>
      <c r="J1901">
        <v>3025</v>
      </c>
      <c r="K1901" t="s">
        <v>1212</v>
      </c>
      <c r="L1901">
        <v>0</v>
      </c>
      <c r="N1901" t="s">
        <v>266</v>
      </c>
      <c r="O1901">
        <v>9</v>
      </c>
      <c r="P1901">
        <v>9679</v>
      </c>
      <c r="Q1901" t="s">
        <v>338</v>
      </c>
      <c r="R1901" t="s">
        <v>201</v>
      </c>
      <c r="S1901">
        <v>1</v>
      </c>
      <c r="T1901">
        <v>1</v>
      </c>
      <c r="U1901">
        <v>139140</v>
      </c>
      <c r="V1901">
        <v>139140</v>
      </c>
    </row>
    <row r="1902" spans="1:22">
      <c r="A1902" t="s">
        <v>196</v>
      </c>
      <c r="B1902">
        <v>50</v>
      </c>
      <c r="C1902" t="s">
        <v>54</v>
      </c>
      <c r="D1902">
        <v>100</v>
      </c>
      <c r="E1902" t="s">
        <v>197</v>
      </c>
      <c r="F1902">
        <v>1005</v>
      </c>
      <c r="G1902" t="s">
        <v>54</v>
      </c>
      <c r="H1902">
        <v>2005</v>
      </c>
      <c r="I1902" t="s">
        <v>54</v>
      </c>
      <c r="J1902">
        <v>3025</v>
      </c>
      <c r="K1902" t="s">
        <v>1212</v>
      </c>
      <c r="L1902">
        <v>0</v>
      </c>
      <c r="N1902" t="s">
        <v>255</v>
      </c>
      <c r="O1902">
        <v>1</v>
      </c>
      <c r="P1902">
        <v>3955</v>
      </c>
      <c r="Q1902" t="s">
        <v>1213</v>
      </c>
      <c r="R1902" t="s">
        <v>201</v>
      </c>
      <c r="S1902">
        <v>1</v>
      </c>
      <c r="T1902">
        <v>1</v>
      </c>
      <c r="U1902">
        <v>143400</v>
      </c>
      <c r="V1902">
        <v>143400</v>
      </c>
    </row>
    <row r="1903" spans="1:22">
      <c r="A1903" t="s">
        <v>196</v>
      </c>
      <c r="B1903">
        <v>50</v>
      </c>
      <c r="C1903" t="s">
        <v>54</v>
      </c>
      <c r="D1903">
        <v>100</v>
      </c>
      <c r="E1903" t="s">
        <v>197</v>
      </c>
      <c r="F1903">
        <v>1005</v>
      </c>
      <c r="G1903" t="s">
        <v>54</v>
      </c>
      <c r="H1903">
        <v>2005</v>
      </c>
      <c r="I1903" t="s">
        <v>54</v>
      </c>
      <c r="J1903">
        <v>3025</v>
      </c>
      <c r="K1903" t="s">
        <v>1212</v>
      </c>
      <c r="L1903">
        <v>0</v>
      </c>
      <c r="N1903" t="s">
        <v>255</v>
      </c>
      <c r="O1903">
        <v>1</v>
      </c>
      <c r="P1903">
        <v>3955</v>
      </c>
      <c r="Q1903" t="s">
        <v>1213</v>
      </c>
      <c r="R1903" t="s">
        <v>201</v>
      </c>
      <c r="S1903">
        <v>3</v>
      </c>
      <c r="T1903">
        <v>1</v>
      </c>
      <c r="U1903">
        <v>130668</v>
      </c>
      <c r="V1903">
        <v>392004</v>
      </c>
    </row>
    <row r="1904" spans="1:22">
      <c r="A1904" t="s">
        <v>196</v>
      </c>
      <c r="B1904">
        <v>50</v>
      </c>
      <c r="C1904" t="s">
        <v>54</v>
      </c>
      <c r="D1904">
        <v>100</v>
      </c>
      <c r="E1904" t="s">
        <v>197</v>
      </c>
      <c r="F1904">
        <v>1005</v>
      </c>
      <c r="G1904" t="s">
        <v>54</v>
      </c>
      <c r="H1904">
        <v>2005</v>
      </c>
      <c r="I1904" t="s">
        <v>54</v>
      </c>
      <c r="J1904">
        <v>3025</v>
      </c>
      <c r="K1904" t="s">
        <v>1212</v>
      </c>
      <c r="L1904">
        <v>0</v>
      </c>
      <c r="N1904" t="s">
        <v>255</v>
      </c>
      <c r="O1904">
        <v>1</v>
      </c>
      <c r="P1904">
        <v>3955</v>
      </c>
      <c r="Q1904" t="s">
        <v>1213</v>
      </c>
      <c r="R1904" t="s">
        <v>201</v>
      </c>
      <c r="S1904">
        <v>2</v>
      </c>
      <c r="T1904">
        <v>1</v>
      </c>
      <c r="U1904">
        <v>124848</v>
      </c>
      <c r="V1904">
        <v>249696</v>
      </c>
    </row>
    <row r="1905" spans="1:22">
      <c r="A1905" t="s">
        <v>196</v>
      </c>
      <c r="B1905">
        <v>50</v>
      </c>
      <c r="C1905" t="s">
        <v>54</v>
      </c>
      <c r="D1905">
        <v>100</v>
      </c>
      <c r="E1905" t="s">
        <v>197</v>
      </c>
      <c r="F1905">
        <v>1005</v>
      </c>
      <c r="G1905" t="s">
        <v>54</v>
      </c>
      <c r="H1905">
        <v>2005</v>
      </c>
      <c r="I1905" t="s">
        <v>54</v>
      </c>
      <c r="J1905">
        <v>3025</v>
      </c>
      <c r="K1905" t="s">
        <v>1212</v>
      </c>
      <c r="L1905">
        <v>0</v>
      </c>
      <c r="N1905" t="s">
        <v>255</v>
      </c>
      <c r="O1905">
        <v>1</v>
      </c>
      <c r="P1905">
        <v>3955</v>
      </c>
      <c r="Q1905" t="s">
        <v>1213</v>
      </c>
      <c r="R1905" t="s">
        <v>201</v>
      </c>
      <c r="S1905">
        <v>1</v>
      </c>
      <c r="T1905">
        <v>1</v>
      </c>
      <c r="U1905">
        <v>97956</v>
      </c>
      <c r="V1905">
        <v>97956</v>
      </c>
    </row>
    <row r="1906" spans="1:22">
      <c r="A1906" t="s">
        <v>196</v>
      </c>
      <c r="B1906">
        <v>50</v>
      </c>
      <c r="C1906" t="s">
        <v>54</v>
      </c>
      <c r="D1906">
        <v>100</v>
      </c>
      <c r="E1906" t="s">
        <v>197</v>
      </c>
      <c r="F1906">
        <v>1005</v>
      </c>
      <c r="G1906" t="s">
        <v>54</v>
      </c>
      <c r="H1906">
        <v>2005</v>
      </c>
      <c r="I1906" t="s">
        <v>54</v>
      </c>
      <c r="J1906">
        <v>3025</v>
      </c>
      <c r="K1906" t="s">
        <v>1212</v>
      </c>
      <c r="L1906">
        <v>0</v>
      </c>
      <c r="N1906" t="s">
        <v>255</v>
      </c>
      <c r="O1906">
        <v>1</v>
      </c>
      <c r="P1906">
        <v>3955</v>
      </c>
      <c r="Q1906" t="s">
        <v>1213</v>
      </c>
      <c r="R1906" t="s">
        <v>201</v>
      </c>
      <c r="S1906">
        <v>1</v>
      </c>
      <c r="T1906">
        <v>1</v>
      </c>
      <c r="U1906">
        <v>93504</v>
      </c>
      <c r="V1906">
        <v>93504</v>
      </c>
    </row>
    <row r="1907" spans="1:22">
      <c r="A1907" t="s">
        <v>196</v>
      </c>
      <c r="B1907">
        <v>50</v>
      </c>
      <c r="C1907" t="s">
        <v>54</v>
      </c>
      <c r="D1907">
        <v>100</v>
      </c>
      <c r="E1907" t="s">
        <v>197</v>
      </c>
      <c r="F1907">
        <v>1005</v>
      </c>
      <c r="G1907" t="s">
        <v>54</v>
      </c>
      <c r="H1907">
        <v>2005</v>
      </c>
      <c r="I1907" t="s">
        <v>54</v>
      </c>
      <c r="J1907">
        <v>3025</v>
      </c>
      <c r="K1907" t="s">
        <v>1212</v>
      </c>
      <c r="L1907">
        <v>0</v>
      </c>
      <c r="N1907" t="s">
        <v>255</v>
      </c>
      <c r="O1907">
        <v>1</v>
      </c>
      <c r="P1907">
        <v>3955</v>
      </c>
      <c r="Q1907" t="s">
        <v>1213</v>
      </c>
      <c r="R1907" t="s">
        <v>201</v>
      </c>
      <c r="S1907">
        <v>1</v>
      </c>
      <c r="T1907">
        <v>1</v>
      </c>
      <c r="U1907">
        <v>89244</v>
      </c>
      <c r="V1907">
        <v>89244</v>
      </c>
    </row>
    <row r="1908" spans="1:22">
      <c r="A1908" t="s">
        <v>196</v>
      </c>
      <c r="B1908">
        <v>50</v>
      </c>
      <c r="C1908" t="s">
        <v>54</v>
      </c>
      <c r="D1908">
        <v>100</v>
      </c>
      <c r="E1908" t="s">
        <v>197</v>
      </c>
      <c r="F1908">
        <v>1005</v>
      </c>
      <c r="G1908" t="s">
        <v>54</v>
      </c>
      <c r="H1908">
        <v>2005</v>
      </c>
      <c r="I1908" t="s">
        <v>54</v>
      </c>
      <c r="J1908">
        <v>3025</v>
      </c>
      <c r="K1908" t="s">
        <v>1212</v>
      </c>
      <c r="L1908">
        <v>0</v>
      </c>
      <c r="N1908" t="s">
        <v>251</v>
      </c>
      <c r="O1908">
        <v>10</v>
      </c>
      <c r="P1908">
        <v>3858</v>
      </c>
      <c r="Q1908" t="s">
        <v>1128</v>
      </c>
      <c r="R1908" t="s">
        <v>201</v>
      </c>
      <c r="S1908">
        <v>1</v>
      </c>
      <c r="T1908">
        <v>1</v>
      </c>
      <c r="U1908">
        <v>85128</v>
      </c>
      <c r="V1908">
        <v>85128</v>
      </c>
    </row>
    <row r="1909" spans="1:22">
      <c r="A1909" t="s">
        <v>196</v>
      </c>
      <c r="B1909">
        <v>50</v>
      </c>
      <c r="C1909" t="s">
        <v>54</v>
      </c>
      <c r="D1909">
        <v>100</v>
      </c>
      <c r="E1909" t="s">
        <v>197</v>
      </c>
      <c r="F1909">
        <v>1005</v>
      </c>
      <c r="G1909" t="s">
        <v>54</v>
      </c>
      <c r="H1909">
        <v>2005</v>
      </c>
      <c r="I1909" t="s">
        <v>54</v>
      </c>
      <c r="J1909">
        <v>3025</v>
      </c>
      <c r="K1909" t="s">
        <v>1212</v>
      </c>
      <c r="L1909">
        <v>0</v>
      </c>
      <c r="N1909" t="s">
        <v>274</v>
      </c>
      <c r="O1909">
        <v>0</v>
      </c>
      <c r="P1909">
        <v>3018</v>
      </c>
      <c r="Q1909" t="s">
        <v>1214</v>
      </c>
      <c r="R1909" t="s">
        <v>201</v>
      </c>
      <c r="S1909">
        <v>4</v>
      </c>
      <c r="T1909">
        <v>1</v>
      </c>
      <c r="U1909">
        <v>146808</v>
      </c>
      <c r="V1909">
        <v>587232</v>
      </c>
    </row>
    <row r="1910" spans="1:22">
      <c r="A1910" t="s">
        <v>196</v>
      </c>
      <c r="B1910">
        <v>50</v>
      </c>
      <c r="C1910" t="s">
        <v>54</v>
      </c>
      <c r="D1910">
        <v>100</v>
      </c>
      <c r="E1910" t="s">
        <v>197</v>
      </c>
      <c r="F1910">
        <v>1005</v>
      </c>
      <c r="G1910" t="s">
        <v>54</v>
      </c>
      <c r="H1910">
        <v>2005</v>
      </c>
      <c r="I1910" t="s">
        <v>54</v>
      </c>
      <c r="J1910">
        <v>3025</v>
      </c>
      <c r="K1910" t="s">
        <v>1212</v>
      </c>
      <c r="L1910">
        <v>0</v>
      </c>
      <c r="N1910" t="s">
        <v>249</v>
      </c>
      <c r="O1910">
        <v>10</v>
      </c>
      <c r="P1910">
        <v>310</v>
      </c>
      <c r="Q1910" t="s">
        <v>447</v>
      </c>
      <c r="R1910" t="s">
        <v>201</v>
      </c>
      <c r="S1910">
        <v>3</v>
      </c>
      <c r="T1910">
        <v>1</v>
      </c>
      <c r="U1910">
        <v>107340</v>
      </c>
      <c r="V1910">
        <v>322020</v>
      </c>
    </row>
    <row r="1911" spans="1:22">
      <c r="A1911" t="s">
        <v>196</v>
      </c>
      <c r="B1911">
        <v>50</v>
      </c>
      <c r="C1911" t="s">
        <v>54</v>
      </c>
      <c r="D1911">
        <v>100</v>
      </c>
      <c r="E1911" t="s">
        <v>197</v>
      </c>
      <c r="F1911">
        <v>1005</v>
      </c>
      <c r="G1911" t="s">
        <v>54</v>
      </c>
      <c r="H1911">
        <v>2005</v>
      </c>
      <c r="I1911" t="s">
        <v>54</v>
      </c>
      <c r="J1911">
        <v>3025</v>
      </c>
      <c r="K1911" t="s">
        <v>1212</v>
      </c>
      <c r="L1911">
        <v>0</v>
      </c>
      <c r="N1911" t="s">
        <v>341</v>
      </c>
      <c r="O1911">
        <v>1</v>
      </c>
      <c r="P1911">
        <v>308</v>
      </c>
      <c r="Q1911" t="s">
        <v>355</v>
      </c>
      <c r="R1911" t="s">
        <v>201</v>
      </c>
      <c r="S1911">
        <v>1</v>
      </c>
      <c r="T1911">
        <v>1</v>
      </c>
      <c r="U1911">
        <v>74172</v>
      </c>
      <c r="V1911">
        <v>74172</v>
      </c>
    </row>
    <row r="1912" spans="1:22">
      <c r="A1912" t="s">
        <v>196</v>
      </c>
      <c r="B1912">
        <v>50</v>
      </c>
      <c r="C1912" t="s">
        <v>54</v>
      </c>
      <c r="D1912">
        <v>100</v>
      </c>
      <c r="E1912" t="s">
        <v>197</v>
      </c>
      <c r="F1912">
        <v>1005</v>
      </c>
      <c r="G1912" t="s">
        <v>54</v>
      </c>
      <c r="H1912">
        <v>2005</v>
      </c>
      <c r="I1912" t="s">
        <v>54</v>
      </c>
      <c r="J1912">
        <v>3025</v>
      </c>
      <c r="K1912" t="s">
        <v>1212</v>
      </c>
      <c r="L1912">
        <v>0</v>
      </c>
      <c r="N1912" t="s">
        <v>199</v>
      </c>
      <c r="O1912">
        <v>0</v>
      </c>
      <c r="P1912">
        <v>15</v>
      </c>
      <c r="Q1912" t="s">
        <v>264</v>
      </c>
      <c r="R1912" t="s">
        <v>201</v>
      </c>
      <c r="S1912">
        <v>0</v>
      </c>
      <c r="T1912">
        <v>0</v>
      </c>
      <c r="U1912">
        <v>24009</v>
      </c>
      <c r="V1912">
        <v>24009</v>
      </c>
    </row>
    <row r="1913" spans="1:22">
      <c r="A1913" t="s">
        <v>196</v>
      </c>
      <c r="B1913">
        <v>50</v>
      </c>
      <c r="C1913" t="s">
        <v>54</v>
      </c>
      <c r="D1913">
        <v>100</v>
      </c>
      <c r="E1913" t="s">
        <v>197</v>
      </c>
      <c r="F1913">
        <v>1005</v>
      </c>
      <c r="G1913" t="s">
        <v>54</v>
      </c>
      <c r="H1913">
        <v>2005</v>
      </c>
      <c r="I1913" t="s">
        <v>54</v>
      </c>
      <c r="J1913">
        <v>3030</v>
      </c>
      <c r="K1913" t="s">
        <v>1215</v>
      </c>
      <c r="L1913">
        <v>0</v>
      </c>
      <c r="N1913" t="s">
        <v>266</v>
      </c>
      <c r="O1913">
        <v>9</v>
      </c>
      <c r="P1913">
        <v>9679</v>
      </c>
      <c r="Q1913" t="s">
        <v>338</v>
      </c>
      <c r="R1913" t="s">
        <v>201</v>
      </c>
      <c r="S1913">
        <v>1</v>
      </c>
      <c r="T1913">
        <v>1</v>
      </c>
      <c r="U1913">
        <v>157332</v>
      </c>
      <c r="V1913">
        <v>157332</v>
      </c>
    </row>
    <row r="1914" spans="1:22">
      <c r="A1914" t="s">
        <v>196</v>
      </c>
      <c r="B1914">
        <v>50</v>
      </c>
      <c r="C1914" t="s">
        <v>54</v>
      </c>
      <c r="D1914">
        <v>100</v>
      </c>
      <c r="E1914" t="s">
        <v>197</v>
      </c>
      <c r="F1914">
        <v>1005</v>
      </c>
      <c r="G1914" t="s">
        <v>54</v>
      </c>
      <c r="H1914">
        <v>2005</v>
      </c>
      <c r="I1914" t="s">
        <v>54</v>
      </c>
      <c r="J1914">
        <v>3030</v>
      </c>
      <c r="K1914" t="s">
        <v>1215</v>
      </c>
      <c r="L1914">
        <v>0</v>
      </c>
      <c r="N1914" t="s">
        <v>341</v>
      </c>
      <c r="O1914">
        <v>3</v>
      </c>
      <c r="P1914">
        <v>3825</v>
      </c>
      <c r="Q1914" t="s">
        <v>1144</v>
      </c>
      <c r="R1914" t="s">
        <v>201</v>
      </c>
      <c r="S1914">
        <v>1</v>
      </c>
      <c r="T1914">
        <v>1</v>
      </c>
      <c r="U1914">
        <v>77640</v>
      </c>
      <c r="V1914">
        <v>77640</v>
      </c>
    </row>
    <row r="1915" spans="1:22">
      <c r="A1915" t="s">
        <v>196</v>
      </c>
      <c r="B1915">
        <v>50</v>
      </c>
      <c r="C1915" t="s">
        <v>54</v>
      </c>
      <c r="D1915">
        <v>100</v>
      </c>
      <c r="E1915" t="s">
        <v>197</v>
      </c>
      <c r="F1915">
        <v>1005</v>
      </c>
      <c r="G1915" t="s">
        <v>54</v>
      </c>
      <c r="H1915">
        <v>2005</v>
      </c>
      <c r="I1915" t="s">
        <v>54</v>
      </c>
      <c r="J1915">
        <v>3030</v>
      </c>
      <c r="K1915" t="s">
        <v>1215</v>
      </c>
      <c r="L1915">
        <v>0</v>
      </c>
      <c r="N1915" t="s">
        <v>341</v>
      </c>
      <c r="O1915">
        <v>3</v>
      </c>
      <c r="P1915">
        <v>3824</v>
      </c>
      <c r="Q1915" t="s">
        <v>1216</v>
      </c>
      <c r="R1915" t="s">
        <v>201</v>
      </c>
      <c r="S1915">
        <v>2</v>
      </c>
      <c r="T1915">
        <v>1</v>
      </c>
      <c r="U1915">
        <v>68616</v>
      </c>
      <c r="V1915">
        <v>137232</v>
      </c>
    </row>
    <row r="1916" spans="1:22">
      <c r="A1916" t="s">
        <v>196</v>
      </c>
      <c r="B1916">
        <v>50</v>
      </c>
      <c r="C1916" t="s">
        <v>54</v>
      </c>
      <c r="D1916">
        <v>100</v>
      </c>
      <c r="E1916" t="s">
        <v>197</v>
      </c>
      <c r="F1916">
        <v>1005</v>
      </c>
      <c r="G1916" t="s">
        <v>54</v>
      </c>
      <c r="H1916">
        <v>2005</v>
      </c>
      <c r="I1916" t="s">
        <v>54</v>
      </c>
      <c r="J1916">
        <v>3030</v>
      </c>
      <c r="K1916" t="s">
        <v>1215</v>
      </c>
      <c r="L1916">
        <v>0</v>
      </c>
      <c r="N1916" t="s">
        <v>274</v>
      </c>
      <c r="O1916">
        <v>0</v>
      </c>
      <c r="P1916">
        <v>3019</v>
      </c>
      <c r="Q1916" t="s">
        <v>1217</v>
      </c>
      <c r="R1916" t="s">
        <v>201</v>
      </c>
      <c r="S1916">
        <v>2</v>
      </c>
      <c r="T1916">
        <v>1</v>
      </c>
      <c r="U1916">
        <v>137532</v>
      </c>
      <c r="V1916">
        <v>275064</v>
      </c>
    </row>
    <row r="1917" spans="1:22">
      <c r="A1917" t="s">
        <v>196</v>
      </c>
      <c r="B1917">
        <v>50</v>
      </c>
      <c r="C1917" t="s">
        <v>54</v>
      </c>
      <c r="D1917">
        <v>100</v>
      </c>
      <c r="E1917" t="s">
        <v>197</v>
      </c>
      <c r="F1917">
        <v>1005</v>
      </c>
      <c r="G1917" t="s">
        <v>54</v>
      </c>
      <c r="H1917">
        <v>2005</v>
      </c>
      <c r="I1917" t="s">
        <v>54</v>
      </c>
      <c r="J1917">
        <v>3030</v>
      </c>
      <c r="K1917" t="s">
        <v>1215</v>
      </c>
      <c r="L1917">
        <v>0</v>
      </c>
      <c r="N1917" t="s">
        <v>274</v>
      </c>
      <c r="O1917">
        <v>0</v>
      </c>
      <c r="P1917">
        <v>3019</v>
      </c>
      <c r="Q1917" t="s">
        <v>1217</v>
      </c>
      <c r="R1917" t="s">
        <v>201</v>
      </c>
      <c r="S1917">
        <v>1</v>
      </c>
      <c r="T1917">
        <v>1</v>
      </c>
      <c r="U1917">
        <v>121668</v>
      </c>
      <c r="V1917">
        <v>121668</v>
      </c>
    </row>
    <row r="1918" spans="1:22">
      <c r="A1918" t="s">
        <v>196</v>
      </c>
      <c r="B1918">
        <v>50</v>
      </c>
      <c r="C1918" t="s">
        <v>54</v>
      </c>
      <c r="D1918">
        <v>100</v>
      </c>
      <c r="E1918" t="s">
        <v>197</v>
      </c>
      <c r="F1918">
        <v>1005</v>
      </c>
      <c r="G1918" t="s">
        <v>54</v>
      </c>
      <c r="H1918">
        <v>2005</v>
      </c>
      <c r="I1918" t="s">
        <v>54</v>
      </c>
      <c r="J1918">
        <v>3030</v>
      </c>
      <c r="K1918" t="s">
        <v>1215</v>
      </c>
      <c r="L1918">
        <v>0</v>
      </c>
      <c r="N1918" t="s">
        <v>253</v>
      </c>
      <c r="O1918">
        <v>20</v>
      </c>
      <c r="P1918">
        <v>3011</v>
      </c>
      <c r="Q1918" t="s">
        <v>1218</v>
      </c>
      <c r="R1918" t="s">
        <v>201</v>
      </c>
      <c r="S1918">
        <v>1</v>
      </c>
      <c r="T1918">
        <v>1</v>
      </c>
      <c r="U1918">
        <v>113568</v>
      </c>
      <c r="V1918">
        <v>113568</v>
      </c>
    </row>
    <row r="1919" spans="1:22">
      <c r="A1919" t="s">
        <v>196</v>
      </c>
      <c r="B1919">
        <v>50</v>
      </c>
      <c r="C1919" t="s">
        <v>54</v>
      </c>
      <c r="D1919">
        <v>100</v>
      </c>
      <c r="E1919" t="s">
        <v>197</v>
      </c>
      <c r="F1919">
        <v>1005</v>
      </c>
      <c r="G1919" t="s">
        <v>54</v>
      </c>
      <c r="H1919">
        <v>2005</v>
      </c>
      <c r="I1919" t="s">
        <v>54</v>
      </c>
      <c r="J1919">
        <v>3030</v>
      </c>
      <c r="K1919" t="s">
        <v>1215</v>
      </c>
      <c r="L1919">
        <v>0</v>
      </c>
      <c r="N1919" t="s">
        <v>372</v>
      </c>
      <c r="O1919">
        <v>4</v>
      </c>
      <c r="P1919">
        <v>1912</v>
      </c>
      <c r="Q1919" t="s">
        <v>608</v>
      </c>
      <c r="R1919" t="s">
        <v>201</v>
      </c>
      <c r="S1919">
        <v>1</v>
      </c>
      <c r="T1919">
        <v>1</v>
      </c>
      <c r="U1919">
        <v>81324</v>
      </c>
      <c r="V1919">
        <v>81324</v>
      </c>
    </row>
    <row r="1920" spans="1:22">
      <c r="A1920" t="s">
        <v>196</v>
      </c>
      <c r="B1920">
        <v>50</v>
      </c>
      <c r="C1920" t="s">
        <v>54</v>
      </c>
      <c r="D1920">
        <v>100</v>
      </c>
      <c r="E1920" t="s">
        <v>197</v>
      </c>
      <c r="F1920">
        <v>1005</v>
      </c>
      <c r="G1920" t="s">
        <v>54</v>
      </c>
      <c r="H1920">
        <v>2005</v>
      </c>
      <c r="I1920" t="s">
        <v>54</v>
      </c>
      <c r="J1920">
        <v>3030</v>
      </c>
      <c r="K1920" t="s">
        <v>1215</v>
      </c>
      <c r="L1920">
        <v>0</v>
      </c>
      <c r="N1920" t="s">
        <v>281</v>
      </c>
      <c r="O1920">
        <v>20</v>
      </c>
      <c r="P1920">
        <v>1141</v>
      </c>
      <c r="Q1920" t="s">
        <v>332</v>
      </c>
      <c r="R1920" t="s">
        <v>201</v>
      </c>
      <c r="S1920">
        <v>1</v>
      </c>
      <c r="T1920">
        <v>1</v>
      </c>
      <c r="U1920">
        <v>85236</v>
      </c>
      <c r="V1920">
        <v>85236</v>
      </c>
    </row>
    <row r="1921" spans="1:22">
      <c r="A1921" t="s">
        <v>196</v>
      </c>
      <c r="B1921">
        <v>50</v>
      </c>
      <c r="C1921" t="s">
        <v>54</v>
      </c>
      <c r="D1921">
        <v>100</v>
      </c>
      <c r="E1921" t="s">
        <v>197</v>
      </c>
      <c r="F1921">
        <v>1005</v>
      </c>
      <c r="G1921" t="s">
        <v>54</v>
      </c>
      <c r="H1921">
        <v>2005</v>
      </c>
      <c r="I1921" t="s">
        <v>54</v>
      </c>
      <c r="J1921">
        <v>3030</v>
      </c>
      <c r="K1921" t="s">
        <v>1215</v>
      </c>
      <c r="L1921">
        <v>0</v>
      </c>
      <c r="N1921" t="s">
        <v>249</v>
      </c>
      <c r="O1921">
        <v>10</v>
      </c>
      <c r="P1921">
        <v>310</v>
      </c>
      <c r="Q1921" t="s">
        <v>447</v>
      </c>
      <c r="R1921" t="s">
        <v>201</v>
      </c>
      <c r="S1921">
        <v>3</v>
      </c>
      <c r="T1921">
        <v>1</v>
      </c>
      <c r="U1921">
        <v>107340</v>
      </c>
      <c r="V1921">
        <v>322020</v>
      </c>
    </row>
    <row r="1922" spans="1:22">
      <c r="A1922" t="s">
        <v>196</v>
      </c>
      <c r="B1922">
        <v>50</v>
      </c>
      <c r="C1922" t="s">
        <v>54</v>
      </c>
      <c r="D1922">
        <v>100</v>
      </c>
      <c r="E1922" t="s">
        <v>197</v>
      </c>
      <c r="F1922">
        <v>1005</v>
      </c>
      <c r="G1922" t="s">
        <v>54</v>
      </c>
      <c r="H1922">
        <v>2005</v>
      </c>
      <c r="I1922" t="s">
        <v>54</v>
      </c>
      <c r="J1922">
        <v>3030</v>
      </c>
      <c r="K1922" t="s">
        <v>1215</v>
      </c>
      <c r="L1922">
        <v>0</v>
      </c>
      <c r="N1922" t="s">
        <v>249</v>
      </c>
      <c r="O1922">
        <v>10</v>
      </c>
      <c r="P1922">
        <v>310</v>
      </c>
      <c r="Q1922" t="s">
        <v>447</v>
      </c>
      <c r="R1922" t="s">
        <v>201</v>
      </c>
      <c r="S1922">
        <v>8</v>
      </c>
      <c r="T1922">
        <v>1</v>
      </c>
      <c r="U1922">
        <v>102444</v>
      </c>
      <c r="V1922">
        <v>819552</v>
      </c>
    </row>
    <row r="1923" spans="1:22">
      <c r="A1923" t="s">
        <v>196</v>
      </c>
      <c r="B1923">
        <v>50</v>
      </c>
      <c r="C1923" t="s">
        <v>54</v>
      </c>
      <c r="D1923">
        <v>100</v>
      </c>
      <c r="E1923" t="s">
        <v>197</v>
      </c>
      <c r="F1923">
        <v>1005</v>
      </c>
      <c r="G1923" t="s">
        <v>54</v>
      </c>
      <c r="H1923">
        <v>2005</v>
      </c>
      <c r="I1923" t="s">
        <v>54</v>
      </c>
      <c r="J1923">
        <v>3030</v>
      </c>
      <c r="K1923" t="s">
        <v>1215</v>
      </c>
      <c r="L1923">
        <v>0</v>
      </c>
      <c r="N1923" t="s">
        <v>249</v>
      </c>
      <c r="O1923">
        <v>10</v>
      </c>
      <c r="P1923">
        <v>310</v>
      </c>
      <c r="Q1923" t="s">
        <v>447</v>
      </c>
      <c r="R1923" t="s">
        <v>201</v>
      </c>
      <c r="S1923">
        <v>1</v>
      </c>
      <c r="T1923">
        <v>1</v>
      </c>
      <c r="U1923">
        <v>89112</v>
      </c>
      <c r="V1923">
        <v>89112</v>
      </c>
    </row>
    <row r="1924" spans="1:22">
      <c r="A1924" t="s">
        <v>196</v>
      </c>
      <c r="B1924">
        <v>50</v>
      </c>
      <c r="C1924" t="s">
        <v>54</v>
      </c>
      <c r="D1924">
        <v>100</v>
      </c>
      <c r="E1924" t="s">
        <v>197</v>
      </c>
      <c r="F1924">
        <v>1005</v>
      </c>
      <c r="G1924" t="s">
        <v>54</v>
      </c>
      <c r="H1924">
        <v>2005</v>
      </c>
      <c r="I1924" t="s">
        <v>54</v>
      </c>
      <c r="J1924">
        <v>3030</v>
      </c>
      <c r="K1924" t="s">
        <v>1215</v>
      </c>
      <c r="L1924">
        <v>0</v>
      </c>
      <c r="N1924" t="s">
        <v>199</v>
      </c>
      <c r="O1924">
        <v>0</v>
      </c>
      <c r="P1924">
        <v>15</v>
      </c>
      <c r="Q1924" t="s">
        <v>264</v>
      </c>
      <c r="R1924" t="s">
        <v>201</v>
      </c>
      <c r="S1924">
        <v>0</v>
      </c>
      <c r="T1924">
        <v>0</v>
      </c>
      <c r="U1924">
        <v>35430</v>
      </c>
      <c r="V1924">
        <v>35430</v>
      </c>
    </row>
    <row r="1925" spans="1:22">
      <c r="A1925" t="s">
        <v>196</v>
      </c>
      <c r="B1925">
        <v>51</v>
      </c>
      <c r="C1925" t="s">
        <v>32</v>
      </c>
      <c r="D1925">
        <v>100</v>
      </c>
      <c r="E1925" t="s">
        <v>197</v>
      </c>
      <c r="F1925">
        <v>1005</v>
      </c>
      <c r="G1925" t="s">
        <v>32</v>
      </c>
      <c r="H1925">
        <v>2005</v>
      </c>
      <c r="I1925" t="s">
        <v>32</v>
      </c>
      <c r="J1925">
        <v>3005</v>
      </c>
      <c r="K1925" t="s">
        <v>309</v>
      </c>
      <c r="L1925">
        <v>0</v>
      </c>
      <c r="N1925" t="s">
        <v>199</v>
      </c>
      <c r="O1925">
        <v>9</v>
      </c>
      <c r="P1925">
        <v>9951</v>
      </c>
      <c r="Q1925" t="s">
        <v>1219</v>
      </c>
      <c r="R1925" t="s">
        <v>201</v>
      </c>
      <c r="S1925">
        <v>1</v>
      </c>
      <c r="T1925">
        <v>1</v>
      </c>
      <c r="U1925">
        <v>223740</v>
      </c>
      <c r="V1925">
        <v>223740</v>
      </c>
    </row>
    <row r="1926" spans="1:22">
      <c r="A1926" t="s">
        <v>196</v>
      </c>
      <c r="B1926">
        <v>51</v>
      </c>
      <c r="C1926" t="s">
        <v>32</v>
      </c>
      <c r="D1926">
        <v>100</v>
      </c>
      <c r="E1926" t="s">
        <v>197</v>
      </c>
      <c r="F1926">
        <v>1005</v>
      </c>
      <c r="G1926" t="s">
        <v>32</v>
      </c>
      <c r="H1926">
        <v>2005</v>
      </c>
      <c r="I1926" t="s">
        <v>32</v>
      </c>
      <c r="J1926">
        <v>3005</v>
      </c>
      <c r="K1926" t="s">
        <v>309</v>
      </c>
      <c r="L1926">
        <v>0</v>
      </c>
      <c r="N1926" t="s">
        <v>311</v>
      </c>
      <c r="O1926">
        <v>0</v>
      </c>
      <c r="P1926">
        <v>9812</v>
      </c>
      <c r="Q1926" t="s">
        <v>640</v>
      </c>
      <c r="R1926" t="s">
        <v>201</v>
      </c>
      <c r="S1926">
        <v>1</v>
      </c>
      <c r="T1926">
        <v>1</v>
      </c>
      <c r="U1926">
        <v>211200</v>
      </c>
      <c r="V1926">
        <v>211200</v>
      </c>
    </row>
    <row r="1927" spans="1:22">
      <c r="A1927" t="s">
        <v>196</v>
      </c>
      <c r="B1927">
        <v>51</v>
      </c>
      <c r="C1927" t="s">
        <v>32</v>
      </c>
      <c r="D1927">
        <v>100</v>
      </c>
      <c r="E1927" t="s">
        <v>197</v>
      </c>
      <c r="F1927">
        <v>1005</v>
      </c>
      <c r="G1927" t="s">
        <v>32</v>
      </c>
      <c r="H1927">
        <v>2005</v>
      </c>
      <c r="I1927" t="s">
        <v>32</v>
      </c>
      <c r="J1927">
        <v>3005</v>
      </c>
      <c r="K1927" t="s">
        <v>309</v>
      </c>
      <c r="L1927">
        <v>0</v>
      </c>
      <c r="N1927" t="s">
        <v>266</v>
      </c>
      <c r="O1927">
        <v>9</v>
      </c>
      <c r="P1927">
        <v>9684</v>
      </c>
      <c r="Q1927" t="s">
        <v>327</v>
      </c>
      <c r="R1927" t="s">
        <v>201</v>
      </c>
      <c r="S1927">
        <v>1</v>
      </c>
      <c r="T1927">
        <v>1</v>
      </c>
      <c r="U1927">
        <v>139140</v>
      </c>
      <c r="V1927">
        <v>139140</v>
      </c>
    </row>
    <row r="1928" spans="1:22">
      <c r="A1928" t="s">
        <v>196</v>
      </c>
      <c r="B1928">
        <v>51</v>
      </c>
      <c r="C1928" t="s">
        <v>32</v>
      </c>
      <c r="D1928">
        <v>100</v>
      </c>
      <c r="E1928" t="s">
        <v>197</v>
      </c>
      <c r="F1928">
        <v>1005</v>
      </c>
      <c r="G1928" t="s">
        <v>32</v>
      </c>
      <c r="H1928">
        <v>2005</v>
      </c>
      <c r="I1928" t="s">
        <v>32</v>
      </c>
      <c r="J1928">
        <v>3005</v>
      </c>
      <c r="K1928" t="s">
        <v>309</v>
      </c>
      <c r="L1928">
        <v>0</v>
      </c>
      <c r="N1928" t="s">
        <v>251</v>
      </c>
      <c r="O1928">
        <v>10</v>
      </c>
      <c r="P1928">
        <v>802</v>
      </c>
      <c r="Q1928" t="s">
        <v>252</v>
      </c>
      <c r="R1928" t="s">
        <v>201</v>
      </c>
      <c r="S1928">
        <v>1</v>
      </c>
      <c r="T1928">
        <v>1</v>
      </c>
      <c r="U1928">
        <v>83052</v>
      </c>
      <c r="V1928">
        <v>83052</v>
      </c>
    </row>
    <row r="1929" spans="1:22">
      <c r="A1929" t="s">
        <v>196</v>
      </c>
      <c r="B1929">
        <v>51</v>
      </c>
      <c r="C1929" t="s">
        <v>32</v>
      </c>
      <c r="D1929">
        <v>100</v>
      </c>
      <c r="E1929" t="s">
        <v>197</v>
      </c>
      <c r="F1929">
        <v>1005</v>
      </c>
      <c r="G1929" t="s">
        <v>32</v>
      </c>
      <c r="H1929">
        <v>2005</v>
      </c>
      <c r="I1929" t="s">
        <v>32</v>
      </c>
      <c r="J1929">
        <v>3005</v>
      </c>
      <c r="K1929" t="s">
        <v>309</v>
      </c>
      <c r="L1929">
        <v>0</v>
      </c>
      <c r="N1929" t="s">
        <v>341</v>
      </c>
      <c r="O1929">
        <v>1</v>
      </c>
      <c r="P1929">
        <v>708</v>
      </c>
      <c r="Q1929" t="s">
        <v>342</v>
      </c>
      <c r="R1929" t="s">
        <v>201</v>
      </c>
      <c r="S1929">
        <v>1</v>
      </c>
      <c r="T1929">
        <v>1</v>
      </c>
      <c r="U1929">
        <v>77640</v>
      </c>
      <c r="V1929">
        <v>77640</v>
      </c>
    </row>
    <row r="1930" spans="1:22">
      <c r="A1930" t="s">
        <v>196</v>
      </c>
      <c r="B1930">
        <v>51</v>
      </c>
      <c r="C1930" t="s">
        <v>32</v>
      </c>
      <c r="D1930">
        <v>100</v>
      </c>
      <c r="E1930" t="s">
        <v>197</v>
      </c>
      <c r="F1930">
        <v>1005</v>
      </c>
      <c r="G1930" t="s">
        <v>32</v>
      </c>
      <c r="H1930">
        <v>2005</v>
      </c>
      <c r="I1930" t="s">
        <v>32</v>
      </c>
      <c r="J1930">
        <v>3005</v>
      </c>
      <c r="K1930" t="s">
        <v>309</v>
      </c>
      <c r="L1930">
        <v>0</v>
      </c>
      <c r="N1930" t="s">
        <v>341</v>
      </c>
      <c r="O1930">
        <v>1</v>
      </c>
      <c r="P1930">
        <v>708</v>
      </c>
      <c r="Q1930" t="s">
        <v>342</v>
      </c>
      <c r="R1930" t="s">
        <v>201</v>
      </c>
      <c r="S1930">
        <v>1</v>
      </c>
      <c r="T1930">
        <v>1</v>
      </c>
      <c r="U1930">
        <v>68616</v>
      </c>
      <c r="V1930">
        <v>68616</v>
      </c>
    </row>
    <row r="1931" spans="1:22">
      <c r="A1931" t="s">
        <v>196</v>
      </c>
      <c r="B1931">
        <v>51</v>
      </c>
      <c r="C1931" t="s">
        <v>32</v>
      </c>
      <c r="D1931">
        <v>100</v>
      </c>
      <c r="E1931" t="s">
        <v>197</v>
      </c>
      <c r="F1931">
        <v>1005</v>
      </c>
      <c r="G1931" t="s">
        <v>32</v>
      </c>
      <c r="H1931">
        <v>2005</v>
      </c>
      <c r="I1931" t="s">
        <v>32</v>
      </c>
      <c r="J1931">
        <v>3005</v>
      </c>
      <c r="K1931" t="s">
        <v>309</v>
      </c>
      <c r="L1931">
        <v>0</v>
      </c>
      <c r="N1931" t="s">
        <v>199</v>
      </c>
      <c r="O1931">
        <v>0</v>
      </c>
      <c r="P1931">
        <v>15</v>
      </c>
      <c r="Q1931" t="s">
        <v>264</v>
      </c>
      <c r="R1931" t="s">
        <v>201</v>
      </c>
      <c r="S1931">
        <v>0</v>
      </c>
      <c r="T1931">
        <v>0</v>
      </c>
      <c r="U1931">
        <v>1923</v>
      </c>
      <c r="V1931">
        <v>1923</v>
      </c>
    </row>
    <row r="1932" spans="1:22">
      <c r="A1932" t="s">
        <v>196</v>
      </c>
      <c r="B1932">
        <v>51</v>
      </c>
      <c r="C1932" t="s">
        <v>32</v>
      </c>
      <c r="D1932">
        <v>100</v>
      </c>
      <c r="E1932" t="s">
        <v>197</v>
      </c>
      <c r="F1932">
        <v>1005</v>
      </c>
      <c r="G1932" t="s">
        <v>32</v>
      </c>
      <c r="H1932">
        <v>2005</v>
      </c>
      <c r="I1932" t="s">
        <v>32</v>
      </c>
      <c r="J1932">
        <v>3006</v>
      </c>
      <c r="K1932" t="s">
        <v>1220</v>
      </c>
      <c r="L1932">
        <v>0</v>
      </c>
      <c r="N1932" t="s">
        <v>266</v>
      </c>
      <c r="O1932">
        <v>9</v>
      </c>
      <c r="P1932">
        <v>9684</v>
      </c>
      <c r="Q1932" t="s">
        <v>327</v>
      </c>
      <c r="R1932" t="s">
        <v>201</v>
      </c>
      <c r="S1932">
        <v>1</v>
      </c>
      <c r="T1932">
        <v>1</v>
      </c>
      <c r="U1932">
        <v>167964</v>
      </c>
      <c r="V1932">
        <v>167964</v>
      </c>
    </row>
    <row r="1933" spans="1:22">
      <c r="A1933" t="s">
        <v>196</v>
      </c>
      <c r="B1933">
        <v>51</v>
      </c>
      <c r="C1933" t="s">
        <v>32</v>
      </c>
      <c r="D1933">
        <v>100</v>
      </c>
      <c r="E1933" t="s">
        <v>197</v>
      </c>
      <c r="F1933">
        <v>1005</v>
      </c>
      <c r="G1933" t="s">
        <v>32</v>
      </c>
      <c r="H1933">
        <v>2005</v>
      </c>
      <c r="I1933" t="s">
        <v>32</v>
      </c>
      <c r="J1933">
        <v>3006</v>
      </c>
      <c r="K1933" t="s">
        <v>1220</v>
      </c>
      <c r="L1933">
        <v>0</v>
      </c>
      <c r="N1933" t="s">
        <v>721</v>
      </c>
      <c r="O1933">
        <v>54</v>
      </c>
      <c r="P1933">
        <v>9534</v>
      </c>
      <c r="Q1933" t="s">
        <v>960</v>
      </c>
      <c r="R1933" t="s">
        <v>713</v>
      </c>
      <c r="S1933">
        <v>2</v>
      </c>
      <c r="T1933">
        <v>1</v>
      </c>
      <c r="U1933">
        <v>51.4</v>
      </c>
      <c r="V1933">
        <v>213824</v>
      </c>
    </row>
    <row r="1934" spans="1:22">
      <c r="A1934" t="s">
        <v>196</v>
      </c>
      <c r="B1934">
        <v>51</v>
      </c>
      <c r="C1934" t="s">
        <v>32</v>
      </c>
      <c r="D1934">
        <v>100</v>
      </c>
      <c r="E1934" t="s">
        <v>197</v>
      </c>
      <c r="F1934">
        <v>1005</v>
      </c>
      <c r="G1934" t="s">
        <v>32</v>
      </c>
      <c r="H1934">
        <v>2005</v>
      </c>
      <c r="I1934" t="s">
        <v>32</v>
      </c>
      <c r="J1934">
        <v>3006</v>
      </c>
      <c r="K1934" t="s">
        <v>1220</v>
      </c>
      <c r="L1934">
        <v>0</v>
      </c>
      <c r="N1934" t="s">
        <v>721</v>
      </c>
      <c r="O1934">
        <v>53</v>
      </c>
      <c r="P1934">
        <v>9532</v>
      </c>
      <c r="Q1934" t="s">
        <v>901</v>
      </c>
      <c r="R1934" t="s">
        <v>713</v>
      </c>
      <c r="S1934">
        <v>1</v>
      </c>
      <c r="T1934">
        <v>1</v>
      </c>
      <c r="U1934">
        <v>51.4</v>
      </c>
      <c r="V1934">
        <v>106912</v>
      </c>
    </row>
    <row r="1935" spans="1:22">
      <c r="A1935" t="s">
        <v>196</v>
      </c>
      <c r="B1935">
        <v>51</v>
      </c>
      <c r="C1935" t="s">
        <v>32</v>
      </c>
      <c r="D1935">
        <v>100</v>
      </c>
      <c r="E1935" t="s">
        <v>197</v>
      </c>
      <c r="F1935">
        <v>1005</v>
      </c>
      <c r="G1935" t="s">
        <v>32</v>
      </c>
      <c r="H1935">
        <v>2005</v>
      </c>
      <c r="I1935" t="s">
        <v>32</v>
      </c>
      <c r="J1935">
        <v>3006</v>
      </c>
      <c r="K1935" t="s">
        <v>1220</v>
      </c>
      <c r="L1935">
        <v>0</v>
      </c>
      <c r="N1935" t="s">
        <v>351</v>
      </c>
      <c r="O1935">
        <v>1</v>
      </c>
      <c r="P1935" t="s">
        <v>352</v>
      </c>
      <c r="Q1935" t="s">
        <v>353</v>
      </c>
      <c r="R1935" t="s">
        <v>201</v>
      </c>
      <c r="S1935">
        <v>1</v>
      </c>
      <c r="T1935">
        <v>1</v>
      </c>
      <c r="U1935">
        <v>64488</v>
      </c>
      <c r="V1935">
        <v>64488</v>
      </c>
    </row>
    <row r="1936" spans="1:22">
      <c r="A1936" t="s">
        <v>196</v>
      </c>
      <c r="B1936">
        <v>51</v>
      </c>
      <c r="C1936" t="s">
        <v>32</v>
      </c>
      <c r="D1936">
        <v>100</v>
      </c>
      <c r="E1936" t="s">
        <v>197</v>
      </c>
      <c r="F1936">
        <v>1005</v>
      </c>
      <c r="G1936" t="s">
        <v>32</v>
      </c>
      <c r="H1936">
        <v>2005</v>
      </c>
      <c r="I1936" t="s">
        <v>32</v>
      </c>
      <c r="J1936">
        <v>3006</v>
      </c>
      <c r="K1936" t="s">
        <v>1220</v>
      </c>
      <c r="L1936">
        <v>0</v>
      </c>
      <c r="N1936" t="s">
        <v>249</v>
      </c>
      <c r="O1936">
        <v>10</v>
      </c>
      <c r="P1936">
        <v>310</v>
      </c>
      <c r="Q1936" t="s">
        <v>447</v>
      </c>
      <c r="R1936" t="s">
        <v>201</v>
      </c>
      <c r="S1936">
        <v>1</v>
      </c>
      <c r="T1936">
        <v>1</v>
      </c>
      <c r="U1936">
        <v>89112</v>
      </c>
      <c r="V1936">
        <v>89112</v>
      </c>
    </row>
    <row r="1937" spans="1:22">
      <c r="A1937" t="s">
        <v>196</v>
      </c>
      <c r="B1937">
        <v>51</v>
      </c>
      <c r="C1937" t="s">
        <v>32</v>
      </c>
      <c r="D1937">
        <v>100</v>
      </c>
      <c r="E1937" t="s">
        <v>197</v>
      </c>
      <c r="F1937">
        <v>1005</v>
      </c>
      <c r="G1937" t="s">
        <v>32</v>
      </c>
      <c r="H1937">
        <v>2005</v>
      </c>
      <c r="I1937" t="s">
        <v>32</v>
      </c>
      <c r="J1937">
        <v>3006</v>
      </c>
      <c r="K1937" t="s">
        <v>1220</v>
      </c>
      <c r="L1937">
        <v>0</v>
      </c>
      <c r="N1937" t="s">
        <v>199</v>
      </c>
      <c r="O1937">
        <v>0</v>
      </c>
      <c r="P1937">
        <v>15</v>
      </c>
      <c r="Q1937" t="s">
        <v>264</v>
      </c>
      <c r="R1937" t="s">
        <v>201</v>
      </c>
      <c r="S1937">
        <v>0</v>
      </c>
      <c r="T1937">
        <v>0</v>
      </c>
      <c r="U1937">
        <v>6236</v>
      </c>
      <c r="V1937">
        <v>6236</v>
      </c>
    </row>
    <row r="1938" spans="1:22">
      <c r="A1938" t="s">
        <v>196</v>
      </c>
      <c r="B1938">
        <v>51</v>
      </c>
      <c r="C1938" t="s">
        <v>32</v>
      </c>
      <c r="D1938">
        <v>100</v>
      </c>
      <c r="E1938" t="s">
        <v>197</v>
      </c>
      <c r="F1938">
        <v>1005</v>
      </c>
      <c r="G1938" t="s">
        <v>32</v>
      </c>
      <c r="H1938">
        <v>2005</v>
      </c>
      <c r="I1938" t="s">
        <v>32</v>
      </c>
      <c r="J1938">
        <v>3006</v>
      </c>
      <c r="K1938" t="s">
        <v>1220</v>
      </c>
      <c r="L1938">
        <v>0</v>
      </c>
      <c r="N1938" t="s">
        <v>199</v>
      </c>
      <c r="O1938">
        <v>0</v>
      </c>
      <c r="P1938">
        <v>12</v>
      </c>
      <c r="Q1938" t="s">
        <v>724</v>
      </c>
      <c r="R1938" t="s">
        <v>201</v>
      </c>
      <c r="S1938">
        <v>0</v>
      </c>
      <c r="T1938">
        <v>0</v>
      </c>
      <c r="U1938">
        <v>4811</v>
      </c>
      <c r="V1938">
        <v>4811</v>
      </c>
    </row>
    <row r="1939" spans="1:22">
      <c r="A1939" t="s">
        <v>196</v>
      </c>
      <c r="B1939">
        <v>51</v>
      </c>
      <c r="C1939" t="s">
        <v>32</v>
      </c>
      <c r="D1939">
        <v>100</v>
      </c>
      <c r="E1939" t="s">
        <v>197</v>
      </c>
      <c r="F1939">
        <v>1005</v>
      </c>
      <c r="G1939" t="s">
        <v>32</v>
      </c>
      <c r="H1939">
        <v>2005</v>
      </c>
      <c r="I1939" t="s">
        <v>32</v>
      </c>
      <c r="J1939">
        <v>3010</v>
      </c>
      <c r="K1939" t="s">
        <v>97</v>
      </c>
      <c r="L1939">
        <v>4005</v>
      </c>
      <c r="M1939" t="s">
        <v>1221</v>
      </c>
      <c r="N1939" t="s">
        <v>311</v>
      </c>
      <c r="O1939">
        <v>9</v>
      </c>
      <c r="P1939">
        <v>9814</v>
      </c>
      <c r="Q1939" t="s">
        <v>692</v>
      </c>
      <c r="R1939" t="s">
        <v>201</v>
      </c>
      <c r="S1939">
        <v>1</v>
      </c>
      <c r="T1939">
        <v>1</v>
      </c>
      <c r="U1939">
        <v>199800</v>
      </c>
      <c r="V1939">
        <v>199800</v>
      </c>
    </row>
    <row r="1940" spans="1:22">
      <c r="A1940" t="s">
        <v>196</v>
      </c>
      <c r="B1940">
        <v>51</v>
      </c>
      <c r="C1940" t="s">
        <v>32</v>
      </c>
      <c r="D1940">
        <v>100</v>
      </c>
      <c r="E1940" t="s">
        <v>197</v>
      </c>
      <c r="F1940">
        <v>1005</v>
      </c>
      <c r="G1940" t="s">
        <v>32</v>
      </c>
      <c r="H1940">
        <v>2005</v>
      </c>
      <c r="I1940" t="s">
        <v>32</v>
      </c>
      <c r="J1940">
        <v>3010</v>
      </c>
      <c r="K1940" t="s">
        <v>97</v>
      </c>
      <c r="L1940">
        <v>4005</v>
      </c>
      <c r="M1940" t="s">
        <v>1221</v>
      </c>
      <c r="N1940" t="s">
        <v>341</v>
      </c>
      <c r="O1940">
        <v>1</v>
      </c>
      <c r="P1940">
        <v>308</v>
      </c>
      <c r="Q1940" t="s">
        <v>355</v>
      </c>
      <c r="R1940" t="s">
        <v>201</v>
      </c>
      <c r="S1940">
        <v>1</v>
      </c>
      <c r="T1940">
        <v>1</v>
      </c>
      <c r="U1940">
        <v>113628</v>
      </c>
      <c r="V1940">
        <v>113628</v>
      </c>
    </row>
    <row r="1941" spans="1:22">
      <c r="A1941" t="s">
        <v>196</v>
      </c>
      <c r="B1941">
        <v>51</v>
      </c>
      <c r="C1941" t="s">
        <v>32</v>
      </c>
      <c r="D1941">
        <v>100</v>
      </c>
      <c r="E1941" t="s">
        <v>197</v>
      </c>
      <c r="F1941">
        <v>1005</v>
      </c>
      <c r="G1941" t="s">
        <v>32</v>
      </c>
      <c r="H1941">
        <v>2005</v>
      </c>
      <c r="I1941" t="s">
        <v>32</v>
      </c>
      <c r="J1941">
        <v>3010</v>
      </c>
      <c r="K1941" t="s">
        <v>97</v>
      </c>
      <c r="L1941">
        <v>4005</v>
      </c>
      <c r="M1941" t="s">
        <v>1221</v>
      </c>
      <c r="N1941" t="s">
        <v>199</v>
      </c>
      <c r="O1941">
        <v>0</v>
      </c>
      <c r="P1941">
        <v>15</v>
      </c>
      <c r="Q1941" t="s">
        <v>264</v>
      </c>
      <c r="R1941" t="s">
        <v>201</v>
      </c>
      <c r="S1941">
        <v>0</v>
      </c>
      <c r="T1941">
        <v>0</v>
      </c>
      <c r="U1941">
        <v>4521</v>
      </c>
      <c r="V1941">
        <v>4521</v>
      </c>
    </row>
    <row r="1942" spans="1:22">
      <c r="A1942" t="s">
        <v>196</v>
      </c>
      <c r="B1942">
        <v>51</v>
      </c>
      <c r="C1942" t="s">
        <v>32</v>
      </c>
      <c r="D1942">
        <v>100</v>
      </c>
      <c r="E1942" t="s">
        <v>197</v>
      </c>
      <c r="F1942">
        <v>1005</v>
      </c>
      <c r="G1942" t="s">
        <v>32</v>
      </c>
      <c r="H1942">
        <v>2005</v>
      </c>
      <c r="I1942" t="s">
        <v>32</v>
      </c>
      <c r="J1942">
        <v>3010</v>
      </c>
      <c r="K1942" t="s">
        <v>97</v>
      </c>
      <c r="L1942">
        <v>4010</v>
      </c>
      <c r="M1942" t="s">
        <v>1222</v>
      </c>
      <c r="N1942" t="s">
        <v>266</v>
      </c>
      <c r="O1942">
        <v>9</v>
      </c>
      <c r="P1942">
        <v>9684</v>
      </c>
      <c r="Q1942" t="s">
        <v>327</v>
      </c>
      <c r="R1942" t="s">
        <v>201</v>
      </c>
      <c r="S1942">
        <v>1</v>
      </c>
      <c r="T1942">
        <v>1</v>
      </c>
      <c r="U1942">
        <v>175512</v>
      </c>
      <c r="V1942">
        <v>175512</v>
      </c>
    </row>
    <row r="1943" spans="1:22">
      <c r="A1943" t="s">
        <v>196</v>
      </c>
      <c r="B1943">
        <v>51</v>
      </c>
      <c r="C1943" t="s">
        <v>32</v>
      </c>
      <c r="D1943">
        <v>100</v>
      </c>
      <c r="E1943" t="s">
        <v>197</v>
      </c>
      <c r="F1943">
        <v>1005</v>
      </c>
      <c r="G1943" t="s">
        <v>32</v>
      </c>
      <c r="H1943">
        <v>2005</v>
      </c>
      <c r="I1943" t="s">
        <v>32</v>
      </c>
      <c r="J1943">
        <v>3010</v>
      </c>
      <c r="K1943" t="s">
        <v>97</v>
      </c>
      <c r="L1943">
        <v>4010</v>
      </c>
      <c r="M1943" t="s">
        <v>1222</v>
      </c>
      <c r="N1943" t="s">
        <v>372</v>
      </c>
      <c r="O1943">
        <v>1</v>
      </c>
      <c r="P1943">
        <v>1576</v>
      </c>
      <c r="Q1943" t="s">
        <v>650</v>
      </c>
      <c r="R1943" t="s">
        <v>201</v>
      </c>
      <c r="S1943">
        <v>2</v>
      </c>
      <c r="T1943">
        <v>1</v>
      </c>
      <c r="U1943">
        <v>98928</v>
      </c>
      <c r="V1943">
        <v>197856</v>
      </c>
    </row>
    <row r="1944" spans="1:22">
      <c r="A1944" t="s">
        <v>196</v>
      </c>
      <c r="B1944">
        <v>51</v>
      </c>
      <c r="C1944" t="s">
        <v>32</v>
      </c>
      <c r="D1944">
        <v>100</v>
      </c>
      <c r="E1944" t="s">
        <v>197</v>
      </c>
      <c r="F1944">
        <v>1005</v>
      </c>
      <c r="G1944" t="s">
        <v>32</v>
      </c>
      <c r="H1944">
        <v>2005</v>
      </c>
      <c r="I1944" t="s">
        <v>32</v>
      </c>
      <c r="J1944">
        <v>3010</v>
      </c>
      <c r="K1944" t="s">
        <v>97</v>
      </c>
      <c r="L1944">
        <v>4010</v>
      </c>
      <c r="M1944" t="s">
        <v>1222</v>
      </c>
      <c r="N1944" t="s">
        <v>372</v>
      </c>
      <c r="O1944">
        <v>1</v>
      </c>
      <c r="P1944">
        <v>1576</v>
      </c>
      <c r="Q1944" t="s">
        <v>650</v>
      </c>
      <c r="R1944" t="s">
        <v>201</v>
      </c>
      <c r="S1944">
        <v>1</v>
      </c>
      <c r="T1944">
        <v>1</v>
      </c>
      <c r="U1944">
        <v>93504</v>
      </c>
      <c r="V1944">
        <v>93504</v>
      </c>
    </row>
    <row r="1945" spans="1:22">
      <c r="A1945" t="s">
        <v>196</v>
      </c>
      <c r="B1945">
        <v>51</v>
      </c>
      <c r="C1945" t="s">
        <v>32</v>
      </c>
      <c r="D1945">
        <v>100</v>
      </c>
      <c r="E1945" t="s">
        <v>197</v>
      </c>
      <c r="F1945">
        <v>1005</v>
      </c>
      <c r="G1945" t="s">
        <v>32</v>
      </c>
      <c r="H1945">
        <v>2005</v>
      </c>
      <c r="I1945" t="s">
        <v>32</v>
      </c>
      <c r="J1945">
        <v>3010</v>
      </c>
      <c r="K1945" t="s">
        <v>97</v>
      </c>
      <c r="L1945">
        <v>4010</v>
      </c>
      <c r="M1945" t="s">
        <v>1222</v>
      </c>
      <c r="N1945" t="s">
        <v>622</v>
      </c>
      <c r="O1945">
        <v>1</v>
      </c>
      <c r="P1945" t="s">
        <v>667</v>
      </c>
      <c r="Q1945" t="s">
        <v>205</v>
      </c>
      <c r="R1945" t="s">
        <v>201</v>
      </c>
      <c r="S1945">
        <v>1</v>
      </c>
      <c r="T1945">
        <v>1</v>
      </c>
      <c r="U1945">
        <v>90144</v>
      </c>
      <c r="V1945">
        <v>90144</v>
      </c>
    </row>
    <row r="1946" spans="1:22">
      <c r="A1946" t="s">
        <v>196</v>
      </c>
      <c r="B1946">
        <v>51</v>
      </c>
      <c r="C1946" t="s">
        <v>32</v>
      </c>
      <c r="D1946">
        <v>100</v>
      </c>
      <c r="E1946" t="s">
        <v>197</v>
      </c>
      <c r="F1946">
        <v>1005</v>
      </c>
      <c r="G1946" t="s">
        <v>32</v>
      </c>
      <c r="H1946">
        <v>2005</v>
      </c>
      <c r="I1946" t="s">
        <v>32</v>
      </c>
      <c r="J1946">
        <v>3010</v>
      </c>
      <c r="K1946" t="s">
        <v>97</v>
      </c>
      <c r="L1946">
        <v>4010</v>
      </c>
      <c r="M1946" t="s">
        <v>1222</v>
      </c>
      <c r="N1946" t="s">
        <v>249</v>
      </c>
      <c r="O1946">
        <v>20</v>
      </c>
      <c r="P1946">
        <v>394</v>
      </c>
      <c r="Q1946" t="s">
        <v>314</v>
      </c>
      <c r="R1946" t="s">
        <v>201</v>
      </c>
      <c r="S1946">
        <v>1</v>
      </c>
      <c r="T1946">
        <v>1</v>
      </c>
      <c r="U1946">
        <v>143232</v>
      </c>
      <c r="V1946">
        <v>143232</v>
      </c>
    </row>
    <row r="1947" spans="1:22">
      <c r="A1947" t="s">
        <v>196</v>
      </c>
      <c r="B1947">
        <v>51</v>
      </c>
      <c r="C1947" t="s">
        <v>32</v>
      </c>
      <c r="D1947">
        <v>100</v>
      </c>
      <c r="E1947" t="s">
        <v>197</v>
      </c>
      <c r="F1947">
        <v>1005</v>
      </c>
      <c r="G1947" t="s">
        <v>32</v>
      </c>
      <c r="H1947">
        <v>2005</v>
      </c>
      <c r="I1947" t="s">
        <v>32</v>
      </c>
      <c r="J1947">
        <v>3010</v>
      </c>
      <c r="K1947" t="s">
        <v>97</v>
      </c>
      <c r="L1947">
        <v>4010</v>
      </c>
      <c r="M1947" t="s">
        <v>1222</v>
      </c>
      <c r="N1947" t="s">
        <v>253</v>
      </c>
      <c r="O1947">
        <v>20</v>
      </c>
      <c r="P1947">
        <v>381</v>
      </c>
      <c r="Q1947" t="s">
        <v>730</v>
      </c>
      <c r="R1947" t="s">
        <v>201</v>
      </c>
      <c r="S1947">
        <v>1</v>
      </c>
      <c r="T1947">
        <v>1</v>
      </c>
      <c r="U1947">
        <v>136692</v>
      </c>
      <c r="V1947">
        <v>136692</v>
      </c>
    </row>
    <row r="1948" spans="1:22">
      <c r="A1948" t="s">
        <v>196</v>
      </c>
      <c r="B1948">
        <v>51</v>
      </c>
      <c r="C1948" t="s">
        <v>32</v>
      </c>
      <c r="D1948">
        <v>100</v>
      </c>
      <c r="E1948" t="s">
        <v>197</v>
      </c>
      <c r="F1948">
        <v>1005</v>
      </c>
      <c r="G1948" t="s">
        <v>32</v>
      </c>
      <c r="H1948">
        <v>2005</v>
      </c>
      <c r="I1948" t="s">
        <v>32</v>
      </c>
      <c r="J1948">
        <v>3010</v>
      </c>
      <c r="K1948" t="s">
        <v>97</v>
      </c>
      <c r="L1948">
        <v>4010</v>
      </c>
      <c r="M1948" t="s">
        <v>1222</v>
      </c>
      <c r="N1948" t="s">
        <v>253</v>
      </c>
      <c r="O1948">
        <v>20</v>
      </c>
      <c r="P1948">
        <v>381</v>
      </c>
      <c r="Q1948" t="s">
        <v>730</v>
      </c>
      <c r="R1948" t="s">
        <v>201</v>
      </c>
      <c r="S1948">
        <v>1</v>
      </c>
      <c r="T1948">
        <v>1</v>
      </c>
      <c r="U1948">
        <v>89112</v>
      </c>
      <c r="V1948">
        <v>89112</v>
      </c>
    </row>
    <row r="1949" spans="1:22">
      <c r="A1949" t="s">
        <v>196</v>
      </c>
      <c r="B1949">
        <v>51</v>
      </c>
      <c r="C1949" t="s">
        <v>32</v>
      </c>
      <c r="D1949">
        <v>100</v>
      </c>
      <c r="E1949" t="s">
        <v>197</v>
      </c>
      <c r="F1949">
        <v>1005</v>
      </c>
      <c r="G1949" t="s">
        <v>32</v>
      </c>
      <c r="H1949">
        <v>2005</v>
      </c>
      <c r="I1949" t="s">
        <v>32</v>
      </c>
      <c r="J1949">
        <v>3010</v>
      </c>
      <c r="K1949" t="s">
        <v>97</v>
      </c>
      <c r="L1949">
        <v>4010</v>
      </c>
      <c r="M1949" t="s">
        <v>1222</v>
      </c>
      <c r="N1949" t="s">
        <v>356</v>
      </c>
      <c r="O1949">
        <v>4</v>
      </c>
      <c r="P1949">
        <v>124</v>
      </c>
      <c r="Q1949" t="s">
        <v>357</v>
      </c>
      <c r="R1949" t="s">
        <v>201</v>
      </c>
      <c r="S1949">
        <v>1</v>
      </c>
      <c r="T1949">
        <v>1</v>
      </c>
      <c r="U1949">
        <v>90144</v>
      </c>
      <c r="V1949">
        <v>90144</v>
      </c>
    </row>
    <row r="1950" spans="1:22">
      <c r="A1950" t="s">
        <v>196</v>
      </c>
      <c r="B1950">
        <v>51</v>
      </c>
      <c r="C1950" t="s">
        <v>32</v>
      </c>
      <c r="D1950">
        <v>100</v>
      </c>
      <c r="E1950" t="s">
        <v>197</v>
      </c>
      <c r="F1950">
        <v>1005</v>
      </c>
      <c r="G1950" t="s">
        <v>32</v>
      </c>
      <c r="H1950">
        <v>2005</v>
      </c>
      <c r="I1950" t="s">
        <v>32</v>
      </c>
      <c r="J1950">
        <v>3010</v>
      </c>
      <c r="K1950" t="s">
        <v>97</v>
      </c>
      <c r="L1950">
        <v>4010</v>
      </c>
      <c r="M1950" t="s">
        <v>1222</v>
      </c>
      <c r="N1950" t="s">
        <v>392</v>
      </c>
      <c r="O1950">
        <v>1</v>
      </c>
      <c r="P1950">
        <v>123</v>
      </c>
      <c r="Q1950" t="s">
        <v>1223</v>
      </c>
      <c r="R1950" t="s">
        <v>201</v>
      </c>
      <c r="S1950">
        <v>1</v>
      </c>
      <c r="T1950">
        <v>1</v>
      </c>
      <c r="U1950">
        <v>112536</v>
      </c>
      <c r="V1950">
        <v>112536</v>
      </c>
    </row>
    <row r="1951" spans="1:22">
      <c r="A1951" t="s">
        <v>196</v>
      </c>
      <c r="B1951">
        <v>51</v>
      </c>
      <c r="C1951" t="s">
        <v>32</v>
      </c>
      <c r="D1951">
        <v>100</v>
      </c>
      <c r="E1951" t="s">
        <v>197</v>
      </c>
      <c r="F1951">
        <v>1005</v>
      </c>
      <c r="G1951" t="s">
        <v>32</v>
      </c>
      <c r="H1951">
        <v>2005</v>
      </c>
      <c r="I1951" t="s">
        <v>32</v>
      </c>
      <c r="J1951">
        <v>3010</v>
      </c>
      <c r="K1951" t="s">
        <v>97</v>
      </c>
      <c r="L1951">
        <v>4010</v>
      </c>
      <c r="M1951" t="s">
        <v>1222</v>
      </c>
      <c r="N1951" t="s">
        <v>392</v>
      </c>
      <c r="O1951">
        <v>1</v>
      </c>
      <c r="P1951">
        <v>123</v>
      </c>
      <c r="Q1951" t="s">
        <v>1223</v>
      </c>
      <c r="R1951" t="s">
        <v>201</v>
      </c>
      <c r="S1951">
        <v>1</v>
      </c>
      <c r="T1951">
        <v>1</v>
      </c>
      <c r="U1951">
        <v>90732</v>
      </c>
      <c r="V1951">
        <v>90732</v>
      </c>
    </row>
    <row r="1952" spans="1:22">
      <c r="A1952" t="s">
        <v>196</v>
      </c>
      <c r="B1952">
        <v>51</v>
      </c>
      <c r="C1952" t="s">
        <v>32</v>
      </c>
      <c r="D1952">
        <v>100</v>
      </c>
      <c r="E1952" t="s">
        <v>197</v>
      </c>
      <c r="F1952">
        <v>1005</v>
      </c>
      <c r="G1952" t="s">
        <v>32</v>
      </c>
      <c r="H1952">
        <v>2005</v>
      </c>
      <c r="I1952" t="s">
        <v>32</v>
      </c>
      <c r="J1952">
        <v>3010</v>
      </c>
      <c r="K1952" t="s">
        <v>97</v>
      </c>
      <c r="L1952">
        <v>4010</v>
      </c>
      <c r="M1952" t="s">
        <v>1222</v>
      </c>
      <c r="N1952" t="s">
        <v>274</v>
      </c>
      <c r="O1952">
        <v>0</v>
      </c>
      <c r="P1952">
        <v>118</v>
      </c>
      <c r="Q1952" t="s">
        <v>358</v>
      </c>
      <c r="R1952" t="s">
        <v>201</v>
      </c>
      <c r="S1952">
        <v>1</v>
      </c>
      <c r="T1952">
        <v>1</v>
      </c>
      <c r="U1952">
        <v>146808</v>
      </c>
      <c r="V1952">
        <v>146808</v>
      </c>
    </row>
    <row r="1953" spans="1:22">
      <c r="A1953" t="s">
        <v>196</v>
      </c>
      <c r="B1953">
        <v>51</v>
      </c>
      <c r="C1953" t="s">
        <v>32</v>
      </c>
      <c r="D1953">
        <v>100</v>
      </c>
      <c r="E1953" t="s">
        <v>197</v>
      </c>
      <c r="F1953">
        <v>1005</v>
      </c>
      <c r="G1953" t="s">
        <v>32</v>
      </c>
      <c r="H1953">
        <v>2005</v>
      </c>
      <c r="I1953" t="s">
        <v>32</v>
      </c>
      <c r="J1953">
        <v>3010</v>
      </c>
      <c r="K1953" t="s">
        <v>97</v>
      </c>
      <c r="L1953">
        <v>4010</v>
      </c>
      <c r="M1953" t="s">
        <v>1222</v>
      </c>
      <c r="N1953" t="s">
        <v>271</v>
      </c>
      <c r="O1953">
        <v>20</v>
      </c>
      <c r="P1953">
        <v>117</v>
      </c>
      <c r="Q1953" t="s">
        <v>1224</v>
      </c>
      <c r="R1953" t="s">
        <v>201</v>
      </c>
      <c r="S1953">
        <v>2</v>
      </c>
      <c r="T1953">
        <v>1</v>
      </c>
      <c r="U1953">
        <v>115992</v>
      </c>
      <c r="V1953">
        <v>231984</v>
      </c>
    </row>
    <row r="1954" spans="1:22">
      <c r="A1954" t="s">
        <v>196</v>
      </c>
      <c r="B1954">
        <v>51</v>
      </c>
      <c r="C1954" t="s">
        <v>32</v>
      </c>
      <c r="D1954">
        <v>100</v>
      </c>
      <c r="E1954" t="s">
        <v>197</v>
      </c>
      <c r="F1954">
        <v>1005</v>
      </c>
      <c r="G1954" t="s">
        <v>32</v>
      </c>
      <c r="H1954">
        <v>2005</v>
      </c>
      <c r="I1954" t="s">
        <v>32</v>
      </c>
      <c r="J1954">
        <v>3010</v>
      </c>
      <c r="K1954" t="s">
        <v>97</v>
      </c>
      <c r="L1954">
        <v>4010</v>
      </c>
      <c r="M1954" t="s">
        <v>1222</v>
      </c>
      <c r="N1954" t="s">
        <v>356</v>
      </c>
      <c r="O1954">
        <v>4</v>
      </c>
      <c r="P1954">
        <v>111</v>
      </c>
      <c r="Q1954" t="s">
        <v>648</v>
      </c>
      <c r="R1954" t="s">
        <v>201</v>
      </c>
      <c r="S1954">
        <v>1</v>
      </c>
      <c r="T1954">
        <v>1</v>
      </c>
      <c r="U1954">
        <v>129636</v>
      </c>
      <c r="V1954">
        <v>129636</v>
      </c>
    </row>
    <row r="1955" spans="1:22">
      <c r="A1955" t="s">
        <v>196</v>
      </c>
      <c r="B1955">
        <v>51</v>
      </c>
      <c r="C1955" t="s">
        <v>32</v>
      </c>
      <c r="D1955">
        <v>100</v>
      </c>
      <c r="E1955" t="s">
        <v>197</v>
      </c>
      <c r="F1955">
        <v>1005</v>
      </c>
      <c r="G1955" t="s">
        <v>32</v>
      </c>
      <c r="H1955">
        <v>2005</v>
      </c>
      <c r="I1955" t="s">
        <v>32</v>
      </c>
      <c r="J1955">
        <v>3010</v>
      </c>
      <c r="K1955" t="s">
        <v>97</v>
      </c>
      <c r="L1955">
        <v>4010</v>
      </c>
      <c r="M1955" t="s">
        <v>1222</v>
      </c>
      <c r="N1955" t="s">
        <v>341</v>
      </c>
      <c r="O1955">
        <v>4</v>
      </c>
      <c r="P1955">
        <v>110</v>
      </c>
      <c r="Q1955" t="s">
        <v>359</v>
      </c>
      <c r="R1955" t="s">
        <v>201</v>
      </c>
      <c r="S1955">
        <v>1</v>
      </c>
      <c r="T1955">
        <v>1</v>
      </c>
      <c r="U1955">
        <v>108576</v>
      </c>
      <c r="V1955">
        <v>108576</v>
      </c>
    </row>
    <row r="1956" spans="1:22">
      <c r="A1956" t="s">
        <v>196</v>
      </c>
      <c r="B1956">
        <v>51</v>
      </c>
      <c r="C1956" t="s">
        <v>32</v>
      </c>
      <c r="D1956">
        <v>100</v>
      </c>
      <c r="E1956" t="s">
        <v>197</v>
      </c>
      <c r="F1956">
        <v>1005</v>
      </c>
      <c r="G1956" t="s">
        <v>32</v>
      </c>
      <c r="H1956">
        <v>2005</v>
      </c>
      <c r="I1956" t="s">
        <v>32</v>
      </c>
      <c r="J1956">
        <v>3010</v>
      </c>
      <c r="K1956" t="s">
        <v>97</v>
      </c>
      <c r="L1956">
        <v>4010</v>
      </c>
      <c r="M1956" t="s">
        <v>1222</v>
      </c>
      <c r="N1956" t="s">
        <v>341</v>
      </c>
      <c r="O1956">
        <v>4</v>
      </c>
      <c r="P1956">
        <v>110</v>
      </c>
      <c r="Q1956" t="s">
        <v>359</v>
      </c>
      <c r="R1956" t="s">
        <v>201</v>
      </c>
      <c r="S1956">
        <v>2</v>
      </c>
      <c r="T1956">
        <v>1</v>
      </c>
      <c r="U1956">
        <v>74172</v>
      </c>
      <c r="V1956">
        <v>148344</v>
      </c>
    </row>
    <row r="1957" spans="1:22">
      <c r="A1957" t="s">
        <v>196</v>
      </c>
      <c r="B1957">
        <v>51</v>
      </c>
      <c r="C1957" t="s">
        <v>32</v>
      </c>
      <c r="D1957">
        <v>100</v>
      </c>
      <c r="E1957" t="s">
        <v>197</v>
      </c>
      <c r="F1957">
        <v>1005</v>
      </c>
      <c r="G1957" t="s">
        <v>32</v>
      </c>
      <c r="H1957">
        <v>2005</v>
      </c>
      <c r="I1957" t="s">
        <v>32</v>
      </c>
      <c r="J1957">
        <v>3010</v>
      </c>
      <c r="K1957" t="s">
        <v>97</v>
      </c>
      <c r="L1957">
        <v>4010</v>
      </c>
      <c r="M1957" t="s">
        <v>1222</v>
      </c>
      <c r="N1957" t="s">
        <v>360</v>
      </c>
      <c r="O1957">
        <v>1</v>
      </c>
      <c r="P1957">
        <v>109</v>
      </c>
      <c r="Q1957" t="s">
        <v>361</v>
      </c>
      <c r="R1957" t="s">
        <v>201</v>
      </c>
      <c r="S1957">
        <v>1</v>
      </c>
      <c r="T1957">
        <v>1</v>
      </c>
      <c r="U1957">
        <v>98928</v>
      </c>
      <c r="V1957">
        <v>98928</v>
      </c>
    </row>
    <row r="1958" spans="1:22">
      <c r="A1958" t="s">
        <v>196</v>
      </c>
      <c r="B1958">
        <v>51</v>
      </c>
      <c r="C1958" t="s">
        <v>32</v>
      </c>
      <c r="D1958">
        <v>100</v>
      </c>
      <c r="E1958" t="s">
        <v>197</v>
      </c>
      <c r="F1958">
        <v>1005</v>
      </c>
      <c r="G1958" t="s">
        <v>32</v>
      </c>
      <c r="H1958">
        <v>2005</v>
      </c>
      <c r="I1958" t="s">
        <v>32</v>
      </c>
      <c r="J1958">
        <v>3010</v>
      </c>
      <c r="K1958" t="s">
        <v>97</v>
      </c>
      <c r="L1958">
        <v>4010</v>
      </c>
      <c r="M1958" t="s">
        <v>1222</v>
      </c>
      <c r="N1958" t="s">
        <v>199</v>
      </c>
      <c r="O1958">
        <v>0</v>
      </c>
      <c r="P1958">
        <v>15</v>
      </c>
      <c r="Q1958" t="s">
        <v>264</v>
      </c>
      <c r="R1958" t="s">
        <v>201</v>
      </c>
      <c r="S1958">
        <v>0</v>
      </c>
      <c r="T1958">
        <v>0</v>
      </c>
      <c r="U1958">
        <v>19387</v>
      </c>
      <c r="V1958">
        <v>19387</v>
      </c>
    </row>
    <row r="1959" spans="1:22">
      <c r="A1959" t="s">
        <v>196</v>
      </c>
      <c r="B1959">
        <v>51</v>
      </c>
      <c r="C1959" t="s">
        <v>32</v>
      </c>
      <c r="D1959">
        <v>100</v>
      </c>
      <c r="E1959" t="s">
        <v>197</v>
      </c>
      <c r="F1959">
        <v>1005</v>
      </c>
      <c r="G1959" t="s">
        <v>32</v>
      </c>
      <c r="H1959">
        <v>2005</v>
      </c>
      <c r="I1959" t="s">
        <v>32</v>
      </c>
      <c r="J1959">
        <v>3010</v>
      </c>
      <c r="K1959" t="s">
        <v>97</v>
      </c>
      <c r="L1959">
        <v>4015</v>
      </c>
      <c r="M1959" t="s">
        <v>930</v>
      </c>
      <c r="N1959" t="s">
        <v>266</v>
      </c>
      <c r="O1959">
        <v>9</v>
      </c>
      <c r="P1959">
        <v>9684</v>
      </c>
      <c r="Q1959" t="s">
        <v>327</v>
      </c>
      <c r="R1959" t="s">
        <v>201</v>
      </c>
      <c r="S1959">
        <v>1</v>
      </c>
      <c r="T1959">
        <v>1</v>
      </c>
      <c r="U1959">
        <v>175512</v>
      </c>
      <c r="V1959">
        <v>175512</v>
      </c>
    </row>
    <row r="1960" spans="1:22">
      <c r="A1960" t="s">
        <v>196</v>
      </c>
      <c r="B1960">
        <v>51</v>
      </c>
      <c r="C1960" t="s">
        <v>32</v>
      </c>
      <c r="D1960">
        <v>100</v>
      </c>
      <c r="E1960" t="s">
        <v>197</v>
      </c>
      <c r="F1960">
        <v>1005</v>
      </c>
      <c r="G1960" t="s">
        <v>32</v>
      </c>
      <c r="H1960">
        <v>2005</v>
      </c>
      <c r="I1960" t="s">
        <v>32</v>
      </c>
      <c r="J1960">
        <v>3010</v>
      </c>
      <c r="K1960" t="s">
        <v>97</v>
      </c>
      <c r="L1960">
        <v>4015</v>
      </c>
      <c r="M1960" t="s">
        <v>930</v>
      </c>
      <c r="N1960" t="s">
        <v>343</v>
      </c>
      <c r="O1960">
        <v>10</v>
      </c>
      <c r="P1960">
        <v>9012</v>
      </c>
      <c r="Q1960" t="s">
        <v>1225</v>
      </c>
      <c r="R1960" t="s">
        <v>201</v>
      </c>
      <c r="S1960">
        <v>1</v>
      </c>
      <c r="T1960">
        <v>1</v>
      </c>
      <c r="U1960">
        <v>136692</v>
      </c>
      <c r="V1960">
        <v>136692</v>
      </c>
    </row>
    <row r="1961" spans="1:22">
      <c r="A1961" t="s">
        <v>196</v>
      </c>
      <c r="B1961">
        <v>51</v>
      </c>
      <c r="C1961" t="s">
        <v>32</v>
      </c>
      <c r="D1961">
        <v>100</v>
      </c>
      <c r="E1961" t="s">
        <v>197</v>
      </c>
      <c r="F1961">
        <v>1005</v>
      </c>
      <c r="G1961" t="s">
        <v>32</v>
      </c>
      <c r="H1961">
        <v>2005</v>
      </c>
      <c r="I1961" t="s">
        <v>32</v>
      </c>
      <c r="J1961">
        <v>3010</v>
      </c>
      <c r="K1961" t="s">
        <v>97</v>
      </c>
      <c r="L1961">
        <v>4015</v>
      </c>
      <c r="M1961" t="s">
        <v>930</v>
      </c>
      <c r="N1961" t="s">
        <v>341</v>
      </c>
      <c r="O1961">
        <v>1</v>
      </c>
      <c r="P1961">
        <v>1301</v>
      </c>
      <c r="Q1961" t="s">
        <v>618</v>
      </c>
      <c r="R1961" t="s">
        <v>201</v>
      </c>
      <c r="S1961">
        <v>1</v>
      </c>
      <c r="T1961">
        <v>1</v>
      </c>
      <c r="U1961">
        <v>98928</v>
      </c>
      <c r="V1961">
        <v>98928</v>
      </c>
    </row>
    <row r="1962" spans="1:22">
      <c r="A1962" t="s">
        <v>196</v>
      </c>
      <c r="B1962">
        <v>51</v>
      </c>
      <c r="C1962" t="s">
        <v>32</v>
      </c>
      <c r="D1962">
        <v>100</v>
      </c>
      <c r="E1962" t="s">
        <v>197</v>
      </c>
      <c r="F1962">
        <v>1005</v>
      </c>
      <c r="G1962" t="s">
        <v>32</v>
      </c>
      <c r="H1962">
        <v>2005</v>
      </c>
      <c r="I1962" t="s">
        <v>32</v>
      </c>
      <c r="J1962">
        <v>3010</v>
      </c>
      <c r="K1962" t="s">
        <v>97</v>
      </c>
      <c r="L1962">
        <v>4015</v>
      </c>
      <c r="M1962" t="s">
        <v>930</v>
      </c>
      <c r="N1962" t="s">
        <v>360</v>
      </c>
      <c r="O1962">
        <v>1</v>
      </c>
      <c r="P1962">
        <v>450</v>
      </c>
      <c r="Q1962" t="s">
        <v>931</v>
      </c>
      <c r="R1962" t="s">
        <v>201</v>
      </c>
      <c r="S1962">
        <v>2</v>
      </c>
      <c r="T1962">
        <v>1</v>
      </c>
      <c r="U1962">
        <v>67608</v>
      </c>
      <c r="V1962">
        <v>135216</v>
      </c>
    </row>
    <row r="1963" spans="1:22">
      <c r="A1963" t="s">
        <v>196</v>
      </c>
      <c r="B1963">
        <v>51</v>
      </c>
      <c r="C1963" t="s">
        <v>32</v>
      </c>
      <c r="D1963">
        <v>100</v>
      </c>
      <c r="E1963" t="s">
        <v>197</v>
      </c>
      <c r="F1963">
        <v>1005</v>
      </c>
      <c r="G1963" t="s">
        <v>32</v>
      </c>
      <c r="H1963">
        <v>2005</v>
      </c>
      <c r="I1963" t="s">
        <v>32</v>
      </c>
      <c r="J1963">
        <v>3010</v>
      </c>
      <c r="K1963" t="s">
        <v>97</v>
      </c>
      <c r="L1963">
        <v>4015</v>
      </c>
      <c r="M1963" t="s">
        <v>930</v>
      </c>
      <c r="N1963" t="s">
        <v>360</v>
      </c>
      <c r="O1963">
        <v>1</v>
      </c>
      <c r="P1963">
        <v>450</v>
      </c>
      <c r="Q1963" t="s">
        <v>931</v>
      </c>
      <c r="R1963" t="s">
        <v>201</v>
      </c>
      <c r="S1963">
        <v>2</v>
      </c>
      <c r="T1963">
        <v>1</v>
      </c>
      <c r="U1963">
        <v>58764</v>
      </c>
      <c r="V1963">
        <v>117528</v>
      </c>
    </row>
    <row r="1964" spans="1:22">
      <c r="A1964" t="s">
        <v>196</v>
      </c>
      <c r="B1964">
        <v>51</v>
      </c>
      <c r="C1964" t="s">
        <v>32</v>
      </c>
      <c r="D1964">
        <v>100</v>
      </c>
      <c r="E1964" t="s">
        <v>197</v>
      </c>
      <c r="F1964">
        <v>1005</v>
      </c>
      <c r="G1964" t="s">
        <v>32</v>
      </c>
      <c r="H1964">
        <v>2005</v>
      </c>
      <c r="I1964" t="s">
        <v>32</v>
      </c>
      <c r="J1964">
        <v>3010</v>
      </c>
      <c r="K1964" t="s">
        <v>97</v>
      </c>
      <c r="L1964">
        <v>4015</v>
      </c>
      <c r="M1964" t="s">
        <v>930</v>
      </c>
      <c r="N1964" t="s">
        <v>360</v>
      </c>
      <c r="O1964">
        <v>1</v>
      </c>
      <c r="P1964">
        <v>438</v>
      </c>
      <c r="Q1964" t="s">
        <v>1226</v>
      </c>
      <c r="R1964" t="s">
        <v>201</v>
      </c>
      <c r="S1964">
        <v>8</v>
      </c>
      <c r="T1964">
        <v>1</v>
      </c>
      <c r="U1964">
        <v>98928</v>
      </c>
      <c r="V1964">
        <v>791424</v>
      </c>
    </row>
    <row r="1965" spans="1:22">
      <c r="A1965" t="s">
        <v>196</v>
      </c>
      <c r="B1965">
        <v>51</v>
      </c>
      <c r="C1965" t="s">
        <v>32</v>
      </c>
      <c r="D1965">
        <v>100</v>
      </c>
      <c r="E1965" t="s">
        <v>197</v>
      </c>
      <c r="F1965">
        <v>1005</v>
      </c>
      <c r="G1965" t="s">
        <v>32</v>
      </c>
      <c r="H1965">
        <v>2005</v>
      </c>
      <c r="I1965" t="s">
        <v>32</v>
      </c>
      <c r="J1965">
        <v>3010</v>
      </c>
      <c r="K1965" t="s">
        <v>97</v>
      </c>
      <c r="L1965">
        <v>4015</v>
      </c>
      <c r="M1965" t="s">
        <v>930</v>
      </c>
      <c r="N1965" t="s">
        <v>360</v>
      </c>
      <c r="O1965">
        <v>1</v>
      </c>
      <c r="P1965">
        <v>438</v>
      </c>
      <c r="Q1965" t="s">
        <v>1226</v>
      </c>
      <c r="R1965" t="s">
        <v>201</v>
      </c>
      <c r="S1965">
        <v>1</v>
      </c>
      <c r="T1965">
        <v>1</v>
      </c>
      <c r="U1965">
        <v>86112</v>
      </c>
      <c r="V1965">
        <v>86112</v>
      </c>
    </row>
    <row r="1966" spans="1:22">
      <c r="A1966" t="s">
        <v>196</v>
      </c>
      <c r="B1966">
        <v>51</v>
      </c>
      <c r="C1966" t="s">
        <v>32</v>
      </c>
      <c r="D1966">
        <v>100</v>
      </c>
      <c r="E1966" t="s">
        <v>197</v>
      </c>
      <c r="F1966">
        <v>1005</v>
      </c>
      <c r="G1966" t="s">
        <v>32</v>
      </c>
      <c r="H1966">
        <v>2005</v>
      </c>
      <c r="I1966" t="s">
        <v>32</v>
      </c>
      <c r="J1966">
        <v>3010</v>
      </c>
      <c r="K1966" t="s">
        <v>97</v>
      </c>
      <c r="L1966">
        <v>4015</v>
      </c>
      <c r="M1966" t="s">
        <v>930</v>
      </c>
      <c r="N1966" t="s">
        <v>360</v>
      </c>
      <c r="O1966">
        <v>1</v>
      </c>
      <c r="P1966">
        <v>438</v>
      </c>
      <c r="Q1966" t="s">
        <v>1226</v>
      </c>
      <c r="R1966" t="s">
        <v>201</v>
      </c>
      <c r="S1966">
        <v>4</v>
      </c>
      <c r="T1966">
        <v>1</v>
      </c>
      <c r="U1966">
        <v>74916</v>
      </c>
      <c r="V1966">
        <v>299664</v>
      </c>
    </row>
    <row r="1967" spans="1:22">
      <c r="A1967" t="s">
        <v>196</v>
      </c>
      <c r="B1967">
        <v>51</v>
      </c>
      <c r="C1967" t="s">
        <v>32</v>
      </c>
      <c r="D1967">
        <v>100</v>
      </c>
      <c r="E1967" t="s">
        <v>197</v>
      </c>
      <c r="F1967">
        <v>1005</v>
      </c>
      <c r="G1967" t="s">
        <v>32</v>
      </c>
      <c r="H1967">
        <v>2005</v>
      </c>
      <c r="I1967" t="s">
        <v>32</v>
      </c>
      <c r="J1967">
        <v>3010</v>
      </c>
      <c r="K1967" t="s">
        <v>97</v>
      </c>
      <c r="L1967">
        <v>4015</v>
      </c>
      <c r="M1967" t="s">
        <v>930</v>
      </c>
      <c r="N1967" t="s">
        <v>360</v>
      </c>
      <c r="O1967">
        <v>1</v>
      </c>
      <c r="P1967">
        <v>438</v>
      </c>
      <c r="Q1967" t="s">
        <v>1226</v>
      </c>
      <c r="R1967" t="s">
        <v>201</v>
      </c>
      <c r="S1967">
        <v>1</v>
      </c>
      <c r="T1967">
        <v>1</v>
      </c>
      <c r="U1967">
        <v>70752</v>
      </c>
      <c r="V1967">
        <v>70752</v>
      </c>
    </row>
    <row r="1968" spans="1:22">
      <c r="A1968" t="s">
        <v>196</v>
      </c>
      <c r="B1968">
        <v>51</v>
      </c>
      <c r="C1968" t="s">
        <v>32</v>
      </c>
      <c r="D1968">
        <v>100</v>
      </c>
      <c r="E1968" t="s">
        <v>197</v>
      </c>
      <c r="F1968">
        <v>1005</v>
      </c>
      <c r="G1968" t="s">
        <v>32</v>
      </c>
      <c r="H1968">
        <v>2005</v>
      </c>
      <c r="I1968" t="s">
        <v>32</v>
      </c>
      <c r="J1968">
        <v>3010</v>
      </c>
      <c r="K1968" t="s">
        <v>97</v>
      </c>
      <c r="L1968">
        <v>4015</v>
      </c>
      <c r="M1968" t="s">
        <v>930</v>
      </c>
      <c r="N1968" t="s">
        <v>360</v>
      </c>
      <c r="O1968">
        <v>1</v>
      </c>
      <c r="P1968">
        <v>438</v>
      </c>
      <c r="Q1968" t="s">
        <v>1226</v>
      </c>
      <c r="R1968" t="s">
        <v>201</v>
      </c>
      <c r="S1968">
        <v>3</v>
      </c>
      <c r="T1968">
        <v>1</v>
      </c>
      <c r="U1968">
        <v>67608</v>
      </c>
      <c r="V1968">
        <v>202824</v>
      </c>
    </row>
    <row r="1969" spans="1:22">
      <c r="A1969" t="s">
        <v>196</v>
      </c>
      <c r="B1969">
        <v>51</v>
      </c>
      <c r="C1969" t="s">
        <v>32</v>
      </c>
      <c r="D1969">
        <v>100</v>
      </c>
      <c r="E1969" t="s">
        <v>197</v>
      </c>
      <c r="F1969">
        <v>1005</v>
      </c>
      <c r="G1969" t="s">
        <v>32</v>
      </c>
      <c r="H1969">
        <v>2005</v>
      </c>
      <c r="I1969" t="s">
        <v>32</v>
      </c>
      <c r="J1969">
        <v>3010</v>
      </c>
      <c r="K1969" t="s">
        <v>97</v>
      </c>
      <c r="L1969">
        <v>4015</v>
      </c>
      <c r="M1969" t="s">
        <v>930</v>
      </c>
      <c r="N1969" t="s">
        <v>360</v>
      </c>
      <c r="O1969">
        <v>1</v>
      </c>
      <c r="P1969">
        <v>438</v>
      </c>
      <c r="Q1969" t="s">
        <v>1226</v>
      </c>
      <c r="R1969" t="s">
        <v>201</v>
      </c>
      <c r="S1969">
        <v>2</v>
      </c>
      <c r="T1969">
        <v>1</v>
      </c>
      <c r="U1969">
        <v>64488</v>
      </c>
      <c r="V1969">
        <v>128976</v>
      </c>
    </row>
    <row r="1970" spans="1:22">
      <c r="A1970" t="s">
        <v>196</v>
      </c>
      <c r="B1970">
        <v>51</v>
      </c>
      <c r="C1970" t="s">
        <v>32</v>
      </c>
      <c r="D1970">
        <v>100</v>
      </c>
      <c r="E1970" t="s">
        <v>197</v>
      </c>
      <c r="F1970">
        <v>1005</v>
      </c>
      <c r="G1970" t="s">
        <v>32</v>
      </c>
      <c r="H1970">
        <v>2005</v>
      </c>
      <c r="I1970" t="s">
        <v>32</v>
      </c>
      <c r="J1970">
        <v>3010</v>
      </c>
      <c r="K1970" t="s">
        <v>97</v>
      </c>
      <c r="L1970">
        <v>4015</v>
      </c>
      <c r="M1970" t="s">
        <v>930</v>
      </c>
      <c r="N1970" t="s">
        <v>360</v>
      </c>
      <c r="O1970">
        <v>1</v>
      </c>
      <c r="P1970">
        <v>438</v>
      </c>
      <c r="Q1970" t="s">
        <v>1226</v>
      </c>
      <c r="R1970" t="s">
        <v>201</v>
      </c>
      <c r="S1970">
        <v>1</v>
      </c>
      <c r="T1970">
        <v>1</v>
      </c>
      <c r="U1970">
        <v>61548</v>
      </c>
      <c r="V1970">
        <v>61548</v>
      </c>
    </row>
    <row r="1971" spans="1:22">
      <c r="A1971" t="s">
        <v>196</v>
      </c>
      <c r="B1971">
        <v>51</v>
      </c>
      <c r="C1971" t="s">
        <v>32</v>
      </c>
      <c r="D1971">
        <v>100</v>
      </c>
      <c r="E1971" t="s">
        <v>197</v>
      </c>
      <c r="F1971">
        <v>1005</v>
      </c>
      <c r="G1971" t="s">
        <v>32</v>
      </c>
      <c r="H1971">
        <v>2005</v>
      </c>
      <c r="I1971" t="s">
        <v>32</v>
      </c>
      <c r="J1971">
        <v>3010</v>
      </c>
      <c r="K1971" t="s">
        <v>97</v>
      </c>
      <c r="L1971">
        <v>4015</v>
      </c>
      <c r="M1971" t="s">
        <v>930</v>
      </c>
      <c r="N1971" t="s">
        <v>360</v>
      </c>
      <c r="O1971">
        <v>1</v>
      </c>
      <c r="P1971">
        <v>438</v>
      </c>
      <c r="Q1971" t="s">
        <v>1226</v>
      </c>
      <c r="R1971" t="s">
        <v>201</v>
      </c>
      <c r="S1971">
        <v>3</v>
      </c>
      <c r="T1971">
        <v>1</v>
      </c>
      <c r="U1971">
        <v>58764</v>
      </c>
      <c r="V1971">
        <v>176292</v>
      </c>
    </row>
    <row r="1972" spans="1:22">
      <c r="A1972" t="s">
        <v>196</v>
      </c>
      <c r="B1972">
        <v>51</v>
      </c>
      <c r="C1972" t="s">
        <v>32</v>
      </c>
      <c r="D1972">
        <v>100</v>
      </c>
      <c r="E1972" t="s">
        <v>197</v>
      </c>
      <c r="F1972">
        <v>1005</v>
      </c>
      <c r="G1972" t="s">
        <v>32</v>
      </c>
      <c r="H1972">
        <v>2005</v>
      </c>
      <c r="I1972" t="s">
        <v>32</v>
      </c>
      <c r="J1972">
        <v>3010</v>
      </c>
      <c r="K1972" t="s">
        <v>97</v>
      </c>
      <c r="L1972">
        <v>4015</v>
      </c>
      <c r="M1972" t="s">
        <v>930</v>
      </c>
      <c r="N1972" t="s">
        <v>360</v>
      </c>
      <c r="O1972">
        <v>1</v>
      </c>
      <c r="P1972">
        <v>438</v>
      </c>
      <c r="Q1972" t="s">
        <v>1226</v>
      </c>
      <c r="R1972" t="s">
        <v>201</v>
      </c>
      <c r="S1972">
        <v>13</v>
      </c>
      <c r="T1972">
        <v>1</v>
      </c>
      <c r="U1972">
        <v>57000</v>
      </c>
      <c r="V1972">
        <v>741000</v>
      </c>
    </row>
    <row r="1973" spans="1:22">
      <c r="A1973" t="s">
        <v>196</v>
      </c>
      <c r="B1973">
        <v>51</v>
      </c>
      <c r="C1973" t="s">
        <v>32</v>
      </c>
      <c r="D1973">
        <v>100</v>
      </c>
      <c r="E1973" t="s">
        <v>197</v>
      </c>
      <c r="F1973">
        <v>1005</v>
      </c>
      <c r="G1973" t="s">
        <v>32</v>
      </c>
      <c r="H1973">
        <v>2005</v>
      </c>
      <c r="I1973" t="s">
        <v>32</v>
      </c>
      <c r="J1973">
        <v>3010</v>
      </c>
      <c r="K1973" t="s">
        <v>97</v>
      </c>
      <c r="L1973">
        <v>4015</v>
      </c>
      <c r="M1973" t="s">
        <v>930</v>
      </c>
      <c r="N1973" t="s">
        <v>251</v>
      </c>
      <c r="O1973">
        <v>20</v>
      </c>
      <c r="P1973">
        <v>309</v>
      </c>
      <c r="Q1973" t="s">
        <v>1211</v>
      </c>
      <c r="R1973" t="s">
        <v>201</v>
      </c>
      <c r="S1973">
        <v>1</v>
      </c>
      <c r="T1973">
        <v>1</v>
      </c>
      <c r="U1973">
        <v>113568</v>
      </c>
      <c r="V1973">
        <v>113568</v>
      </c>
    </row>
    <row r="1974" spans="1:22">
      <c r="A1974" t="s">
        <v>196</v>
      </c>
      <c r="B1974">
        <v>51</v>
      </c>
      <c r="C1974" t="s">
        <v>32</v>
      </c>
      <c r="D1974">
        <v>100</v>
      </c>
      <c r="E1974" t="s">
        <v>197</v>
      </c>
      <c r="F1974">
        <v>1005</v>
      </c>
      <c r="G1974" t="s">
        <v>32</v>
      </c>
      <c r="H1974">
        <v>2005</v>
      </c>
      <c r="I1974" t="s">
        <v>32</v>
      </c>
      <c r="J1974">
        <v>3010</v>
      </c>
      <c r="K1974" t="s">
        <v>97</v>
      </c>
      <c r="L1974">
        <v>4015</v>
      </c>
      <c r="M1974" t="s">
        <v>930</v>
      </c>
      <c r="N1974" t="s">
        <v>1227</v>
      </c>
      <c r="O1974">
        <v>54</v>
      </c>
      <c r="P1974">
        <v>175</v>
      </c>
      <c r="Q1974" t="s">
        <v>1228</v>
      </c>
      <c r="R1974" t="s">
        <v>201</v>
      </c>
      <c r="S1974">
        <v>1</v>
      </c>
      <c r="T1974">
        <v>1</v>
      </c>
      <c r="U1974">
        <v>108528</v>
      </c>
      <c r="V1974">
        <v>108528</v>
      </c>
    </row>
    <row r="1975" spans="1:22">
      <c r="A1975" t="s">
        <v>196</v>
      </c>
      <c r="B1975">
        <v>51</v>
      </c>
      <c r="C1975" t="s">
        <v>32</v>
      </c>
      <c r="D1975">
        <v>100</v>
      </c>
      <c r="E1975" t="s">
        <v>197</v>
      </c>
      <c r="F1975">
        <v>1005</v>
      </c>
      <c r="G1975" t="s">
        <v>32</v>
      </c>
      <c r="H1975">
        <v>2005</v>
      </c>
      <c r="I1975" t="s">
        <v>32</v>
      </c>
      <c r="J1975">
        <v>3010</v>
      </c>
      <c r="K1975" t="s">
        <v>97</v>
      </c>
      <c r="L1975">
        <v>4015</v>
      </c>
      <c r="M1975" t="s">
        <v>930</v>
      </c>
      <c r="N1975" t="s">
        <v>1227</v>
      </c>
      <c r="O1975">
        <v>54</v>
      </c>
      <c r="P1975">
        <v>175</v>
      </c>
      <c r="Q1975" t="s">
        <v>1228</v>
      </c>
      <c r="R1975" t="s">
        <v>201</v>
      </c>
      <c r="S1975">
        <v>1</v>
      </c>
      <c r="T1975">
        <v>1</v>
      </c>
      <c r="U1975">
        <v>94428</v>
      </c>
      <c r="V1975">
        <v>94428</v>
      </c>
    </row>
    <row r="1976" spans="1:22">
      <c r="A1976" t="s">
        <v>196</v>
      </c>
      <c r="B1976">
        <v>51</v>
      </c>
      <c r="C1976" t="s">
        <v>32</v>
      </c>
      <c r="D1976">
        <v>100</v>
      </c>
      <c r="E1976" t="s">
        <v>197</v>
      </c>
      <c r="F1976">
        <v>1005</v>
      </c>
      <c r="G1976" t="s">
        <v>32</v>
      </c>
      <c r="H1976">
        <v>2005</v>
      </c>
      <c r="I1976" t="s">
        <v>32</v>
      </c>
      <c r="J1976">
        <v>3010</v>
      </c>
      <c r="K1976" t="s">
        <v>97</v>
      </c>
      <c r="L1976">
        <v>4015</v>
      </c>
      <c r="M1976" t="s">
        <v>930</v>
      </c>
      <c r="N1976" t="s">
        <v>1227</v>
      </c>
      <c r="O1976">
        <v>54</v>
      </c>
      <c r="P1976">
        <v>175</v>
      </c>
      <c r="Q1976" t="s">
        <v>1228</v>
      </c>
      <c r="R1976" t="s">
        <v>201</v>
      </c>
      <c r="S1976">
        <v>1</v>
      </c>
      <c r="T1976">
        <v>1</v>
      </c>
      <c r="U1976">
        <v>77628</v>
      </c>
      <c r="V1976">
        <v>77628</v>
      </c>
    </row>
    <row r="1977" spans="1:22">
      <c r="A1977" t="s">
        <v>196</v>
      </c>
      <c r="B1977">
        <v>51</v>
      </c>
      <c r="C1977" t="s">
        <v>32</v>
      </c>
      <c r="D1977">
        <v>100</v>
      </c>
      <c r="E1977" t="s">
        <v>197</v>
      </c>
      <c r="F1977">
        <v>1005</v>
      </c>
      <c r="G1977" t="s">
        <v>32</v>
      </c>
      <c r="H1977">
        <v>2005</v>
      </c>
      <c r="I1977" t="s">
        <v>32</v>
      </c>
      <c r="J1977">
        <v>3010</v>
      </c>
      <c r="K1977" t="s">
        <v>97</v>
      </c>
      <c r="L1977">
        <v>4015</v>
      </c>
      <c r="M1977" t="s">
        <v>930</v>
      </c>
      <c r="N1977" t="s">
        <v>1227</v>
      </c>
      <c r="O1977">
        <v>54</v>
      </c>
      <c r="P1977">
        <v>175</v>
      </c>
      <c r="Q1977" t="s">
        <v>1228</v>
      </c>
      <c r="R1977" t="s">
        <v>201</v>
      </c>
      <c r="S1977">
        <v>1</v>
      </c>
      <c r="T1977">
        <v>1</v>
      </c>
      <c r="U1977">
        <v>70740</v>
      </c>
      <c r="V1977">
        <v>70740</v>
      </c>
    </row>
    <row r="1978" spans="1:22">
      <c r="A1978" t="s">
        <v>196</v>
      </c>
      <c r="B1978">
        <v>51</v>
      </c>
      <c r="C1978" t="s">
        <v>32</v>
      </c>
      <c r="D1978">
        <v>100</v>
      </c>
      <c r="E1978" t="s">
        <v>197</v>
      </c>
      <c r="F1978">
        <v>1005</v>
      </c>
      <c r="G1978" t="s">
        <v>32</v>
      </c>
      <c r="H1978">
        <v>2005</v>
      </c>
      <c r="I1978" t="s">
        <v>32</v>
      </c>
      <c r="J1978">
        <v>3010</v>
      </c>
      <c r="K1978" t="s">
        <v>97</v>
      </c>
      <c r="L1978">
        <v>4015</v>
      </c>
      <c r="M1978" t="s">
        <v>930</v>
      </c>
      <c r="N1978" t="s">
        <v>397</v>
      </c>
      <c r="O1978">
        <v>1</v>
      </c>
      <c r="P1978">
        <v>121</v>
      </c>
      <c r="Q1978" t="s">
        <v>690</v>
      </c>
      <c r="R1978" t="s">
        <v>201</v>
      </c>
      <c r="S1978">
        <v>2</v>
      </c>
      <c r="T1978">
        <v>1</v>
      </c>
      <c r="U1978">
        <v>117912</v>
      </c>
      <c r="V1978">
        <v>235824</v>
      </c>
    </row>
    <row r="1979" spans="1:22">
      <c r="A1979" t="s">
        <v>196</v>
      </c>
      <c r="B1979">
        <v>51</v>
      </c>
      <c r="C1979" t="s">
        <v>32</v>
      </c>
      <c r="D1979">
        <v>100</v>
      </c>
      <c r="E1979" t="s">
        <v>197</v>
      </c>
      <c r="F1979">
        <v>1005</v>
      </c>
      <c r="G1979" t="s">
        <v>32</v>
      </c>
      <c r="H1979">
        <v>2005</v>
      </c>
      <c r="I1979" t="s">
        <v>32</v>
      </c>
      <c r="J1979">
        <v>3010</v>
      </c>
      <c r="K1979" t="s">
        <v>97</v>
      </c>
      <c r="L1979">
        <v>4015</v>
      </c>
      <c r="M1979" t="s">
        <v>930</v>
      </c>
      <c r="N1979" t="s">
        <v>397</v>
      </c>
      <c r="O1979">
        <v>1</v>
      </c>
      <c r="P1979">
        <v>121</v>
      </c>
      <c r="Q1979" t="s">
        <v>690</v>
      </c>
      <c r="R1979" t="s">
        <v>201</v>
      </c>
      <c r="S1979">
        <v>1</v>
      </c>
      <c r="T1979">
        <v>1</v>
      </c>
      <c r="U1979">
        <v>112536</v>
      </c>
      <c r="V1979">
        <v>112536</v>
      </c>
    </row>
    <row r="1980" spans="1:22">
      <c r="A1980" t="s">
        <v>196</v>
      </c>
      <c r="B1980">
        <v>51</v>
      </c>
      <c r="C1980" t="s">
        <v>32</v>
      </c>
      <c r="D1980">
        <v>100</v>
      </c>
      <c r="E1980" t="s">
        <v>197</v>
      </c>
      <c r="F1980">
        <v>1005</v>
      </c>
      <c r="G1980" t="s">
        <v>32</v>
      </c>
      <c r="H1980">
        <v>2005</v>
      </c>
      <c r="I1980" t="s">
        <v>32</v>
      </c>
      <c r="J1980">
        <v>3010</v>
      </c>
      <c r="K1980" t="s">
        <v>97</v>
      </c>
      <c r="L1980">
        <v>4015</v>
      </c>
      <c r="M1980" t="s">
        <v>930</v>
      </c>
      <c r="N1980" t="s">
        <v>372</v>
      </c>
      <c r="O1980">
        <v>1</v>
      </c>
      <c r="P1980">
        <v>114</v>
      </c>
      <c r="Q1980" t="s">
        <v>691</v>
      </c>
      <c r="R1980" t="s">
        <v>201</v>
      </c>
      <c r="S1980">
        <v>1</v>
      </c>
      <c r="T1980">
        <v>1</v>
      </c>
      <c r="U1980">
        <v>89244</v>
      </c>
      <c r="V1980">
        <v>89244</v>
      </c>
    </row>
    <row r="1981" spans="1:22">
      <c r="A1981" t="s">
        <v>196</v>
      </c>
      <c r="B1981">
        <v>51</v>
      </c>
      <c r="C1981" t="s">
        <v>32</v>
      </c>
      <c r="D1981">
        <v>100</v>
      </c>
      <c r="E1981" t="s">
        <v>197</v>
      </c>
      <c r="F1981">
        <v>1005</v>
      </c>
      <c r="G1981" t="s">
        <v>32</v>
      </c>
      <c r="H1981">
        <v>2005</v>
      </c>
      <c r="I1981" t="s">
        <v>32</v>
      </c>
      <c r="J1981">
        <v>3010</v>
      </c>
      <c r="K1981" t="s">
        <v>97</v>
      </c>
      <c r="L1981">
        <v>4015</v>
      </c>
      <c r="M1981" t="s">
        <v>930</v>
      </c>
      <c r="N1981" t="s">
        <v>372</v>
      </c>
      <c r="O1981">
        <v>1</v>
      </c>
      <c r="P1981">
        <v>114</v>
      </c>
      <c r="Q1981" t="s">
        <v>691</v>
      </c>
      <c r="R1981" t="s">
        <v>201</v>
      </c>
      <c r="S1981">
        <v>4</v>
      </c>
      <c r="T1981">
        <v>1</v>
      </c>
      <c r="U1981">
        <v>75336</v>
      </c>
      <c r="V1981">
        <v>301344</v>
      </c>
    </row>
    <row r="1982" spans="1:22">
      <c r="A1982" t="s">
        <v>196</v>
      </c>
      <c r="B1982">
        <v>51</v>
      </c>
      <c r="C1982" t="s">
        <v>32</v>
      </c>
      <c r="D1982">
        <v>100</v>
      </c>
      <c r="E1982" t="s">
        <v>197</v>
      </c>
      <c r="F1982">
        <v>1005</v>
      </c>
      <c r="G1982" t="s">
        <v>32</v>
      </c>
      <c r="H1982">
        <v>2005</v>
      </c>
      <c r="I1982" t="s">
        <v>32</v>
      </c>
      <c r="J1982">
        <v>3010</v>
      </c>
      <c r="K1982" t="s">
        <v>97</v>
      </c>
      <c r="L1982">
        <v>4015</v>
      </c>
      <c r="M1982" t="s">
        <v>930</v>
      </c>
      <c r="N1982" t="s">
        <v>199</v>
      </c>
      <c r="O1982">
        <v>0</v>
      </c>
      <c r="P1982">
        <v>15</v>
      </c>
      <c r="Q1982" t="s">
        <v>264</v>
      </c>
      <c r="R1982" t="s">
        <v>201</v>
      </c>
      <c r="S1982">
        <v>0</v>
      </c>
      <c r="T1982">
        <v>0</v>
      </c>
      <c r="U1982">
        <v>54790</v>
      </c>
      <c r="V1982">
        <v>54790</v>
      </c>
    </row>
    <row r="1983" spans="1:22">
      <c r="A1983" t="s">
        <v>196</v>
      </c>
      <c r="B1983">
        <v>51</v>
      </c>
      <c r="C1983" t="s">
        <v>32</v>
      </c>
      <c r="D1983">
        <v>100</v>
      </c>
      <c r="E1983" t="s">
        <v>197</v>
      </c>
      <c r="F1983">
        <v>1005</v>
      </c>
      <c r="G1983" t="s">
        <v>32</v>
      </c>
      <c r="H1983">
        <v>2005</v>
      </c>
      <c r="I1983" t="s">
        <v>32</v>
      </c>
      <c r="J1983">
        <v>3010</v>
      </c>
      <c r="K1983" t="s">
        <v>97</v>
      </c>
      <c r="L1983">
        <v>4020</v>
      </c>
      <c r="M1983" t="s">
        <v>1229</v>
      </c>
      <c r="N1983" t="s">
        <v>266</v>
      </c>
      <c r="O1983">
        <v>9</v>
      </c>
      <c r="P1983">
        <v>9684</v>
      </c>
      <c r="Q1983" t="s">
        <v>327</v>
      </c>
      <c r="R1983" t="s">
        <v>201</v>
      </c>
      <c r="S1983">
        <v>1</v>
      </c>
      <c r="T1983">
        <v>1</v>
      </c>
      <c r="U1983">
        <v>167964</v>
      </c>
      <c r="V1983">
        <v>167964</v>
      </c>
    </row>
    <row r="1984" spans="1:22">
      <c r="A1984" t="s">
        <v>196</v>
      </c>
      <c r="B1984">
        <v>51</v>
      </c>
      <c r="C1984" t="s">
        <v>32</v>
      </c>
      <c r="D1984">
        <v>100</v>
      </c>
      <c r="E1984" t="s">
        <v>197</v>
      </c>
      <c r="F1984">
        <v>1005</v>
      </c>
      <c r="G1984" t="s">
        <v>32</v>
      </c>
      <c r="H1984">
        <v>2005</v>
      </c>
      <c r="I1984" t="s">
        <v>32</v>
      </c>
      <c r="J1984">
        <v>3010</v>
      </c>
      <c r="K1984" t="s">
        <v>97</v>
      </c>
      <c r="L1984">
        <v>4020</v>
      </c>
      <c r="M1984" t="s">
        <v>1229</v>
      </c>
      <c r="N1984" t="s">
        <v>341</v>
      </c>
      <c r="O1984">
        <v>1</v>
      </c>
      <c r="P1984">
        <v>1482</v>
      </c>
      <c r="Q1984" t="s">
        <v>364</v>
      </c>
      <c r="R1984" t="s">
        <v>201</v>
      </c>
      <c r="S1984">
        <v>1</v>
      </c>
      <c r="T1984">
        <v>1</v>
      </c>
      <c r="U1984">
        <v>90144</v>
      </c>
      <c r="V1984">
        <v>90144</v>
      </c>
    </row>
    <row r="1985" spans="1:22">
      <c r="A1985" t="s">
        <v>196</v>
      </c>
      <c r="B1985">
        <v>51</v>
      </c>
      <c r="C1985" t="s">
        <v>32</v>
      </c>
      <c r="D1985">
        <v>100</v>
      </c>
      <c r="E1985" t="s">
        <v>197</v>
      </c>
      <c r="F1985">
        <v>1005</v>
      </c>
      <c r="G1985" t="s">
        <v>32</v>
      </c>
      <c r="H1985">
        <v>2005</v>
      </c>
      <c r="I1985" t="s">
        <v>32</v>
      </c>
      <c r="J1985">
        <v>3010</v>
      </c>
      <c r="K1985" t="s">
        <v>97</v>
      </c>
      <c r="L1985">
        <v>4020</v>
      </c>
      <c r="M1985" t="s">
        <v>1229</v>
      </c>
      <c r="N1985" t="s">
        <v>274</v>
      </c>
      <c r="O1985">
        <v>20</v>
      </c>
      <c r="P1985">
        <v>1191</v>
      </c>
      <c r="Q1985" t="s">
        <v>927</v>
      </c>
      <c r="R1985" t="s">
        <v>201</v>
      </c>
      <c r="S1985">
        <v>1</v>
      </c>
      <c r="T1985">
        <v>1</v>
      </c>
      <c r="U1985">
        <v>121668</v>
      </c>
      <c r="V1985">
        <v>121668</v>
      </c>
    </row>
    <row r="1986" spans="1:22">
      <c r="A1986" t="s">
        <v>196</v>
      </c>
      <c r="B1986">
        <v>51</v>
      </c>
      <c r="C1986" t="s">
        <v>32</v>
      </c>
      <c r="D1986">
        <v>100</v>
      </c>
      <c r="E1986" t="s">
        <v>197</v>
      </c>
      <c r="F1986">
        <v>1005</v>
      </c>
      <c r="G1986" t="s">
        <v>32</v>
      </c>
      <c r="H1986">
        <v>2005</v>
      </c>
      <c r="I1986" t="s">
        <v>32</v>
      </c>
      <c r="J1986">
        <v>3010</v>
      </c>
      <c r="K1986" t="s">
        <v>97</v>
      </c>
      <c r="L1986">
        <v>4020</v>
      </c>
      <c r="M1986" t="s">
        <v>1229</v>
      </c>
      <c r="N1986" t="s">
        <v>392</v>
      </c>
      <c r="O1986">
        <v>4</v>
      </c>
      <c r="P1986">
        <v>345</v>
      </c>
      <c r="Q1986" t="s">
        <v>393</v>
      </c>
      <c r="R1986" t="s">
        <v>201</v>
      </c>
      <c r="S1986">
        <v>2</v>
      </c>
      <c r="T1986">
        <v>1</v>
      </c>
      <c r="U1986">
        <v>119100</v>
      </c>
      <c r="V1986">
        <v>238200</v>
      </c>
    </row>
    <row r="1987" spans="1:22">
      <c r="A1987" t="s">
        <v>196</v>
      </c>
      <c r="B1987">
        <v>51</v>
      </c>
      <c r="C1987" t="s">
        <v>32</v>
      </c>
      <c r="D1987">
        <v>100</v>
      </c>
      <c r="E1987" t="s">
        <v>197</v>
      </c>
      <c r="F1987">
        <v>1005</v>
      </c>
      <c r="G1987" t="s">
        <v>32</v>
      </c>
      <c r="H1987">
        <v>2005</v>
      </c>
      <c r="I1987" t="s">
        <v>32</v>
      </c>
      <c r="J1987">
        <v>3010</v>
      </c>
      <c r="K1987" t="s">
        <v>97</v>
      </c>
      <c r="L1987">
        <v>4020</v>
      </c>
      <c r="M1987" t="s">
        <v>1229</v>
      </c>
      <c r="N1987" t="s">
        <v>392</v>
      </c>
      <c r="O1987">
        <v>4</v>
      </c>
      <c r="P1987">
        <v>345</v>
      </c>
      <c r="Q1987" t="s">
        <v>393</v>
      </c>
      <c r="R1987" t="s">
        <v>201</v>
      </c>
      <c r="S1987">
        <v>1</v>
      </c>
      <c r="T1987">
        <v>1</v>
      </c>
      <c r="U1987">
        <v>90732</v>
      </c>
      <c r="V1987">
        <v>90732</v>
      </c>
    </row>
    <row r="1988" spans="1:22">
      <c r="A1988" t="s">
        <v>196</v>
      </c>
      <c r="B1988">
        <v>51</v>
      </c>
      <c r="C1988" t="s">
        <v>32</v>
      </c>
      <c r="D1988">
        <v>100</v>
      </c>
      <c r="E1988" t="s">
        <v>197</v>
      </c>
      <c r="F1988">
        <v>1005</v>
      </c>
      <c r="G1988" t="s">
        <v>32</v>
      </c>
      <c r="H1988">
        <v>2005</v>
      </c>
      <c r="I1988" t="s">
        <v>32</v>
      </c>
      <c r="J1988">
        <v>3010</v>
      </c>
      <c r="K1988" t="s">
        <v>97</v>
      </c>
      <c r="L1988">
        <v>4020</v>
      </c>
      <c r="M1988" t="s">
        <v>1229</v>
      </c>
      <c r="N1988" t="s">
        <v>199</v>
      </c>
      <c r="O1988">
        <v>0</v>
      </c>
      <c r="P1988">
        <v>15</v>
      </c>
      <c r="Q1988" t="s">
        <v>264</v>
      </c>
      <c r="R1988" t="s">
        <v>201</v>
      </c>
      <c r="S1988">
        <v>0</v>
      </c>
      <c r="T1988">
        <v>0</v>
      </c>
      <c r="U1988">
        <v>5347</v>
      </c>
      <c r="V1988">
        <v>5347</v>
      </c>
    </row>
    <row r="1989" spans="1:22">
      <c r="A1989" t="s">
        <v>196</v>
      </c>
      <c r="B1989">
        <v>51</v>
      </c>
      <c r="C1989" t="s">
        <v>32</v>
      </c>
      <c r="D1989">
        <v>100</v>
      </c>
      <c r="E1989" t="s">
        <v>197</v>
      </c>
      <c r="F1989">
        <v>1005</v>
      </c>
      <c r="G1989" t="s">
        <v>32</v>
      </c>
      <c r="H1989">
        <v>2005</v>
      </c>
      <c r="I1989" t="s">
        <v>32</v>
      </c>
      <c r="J1989">
        <v>3010</v>
      </c>
      <c r="K1989" t="s">
        <v>97</v>
      </c>
      <c r="L1989">
        <v>4030</v>
      </c>
      <c r="M1989" t="s">
        <v>1230</v>
      </c>
      <c r="N1989" t="s">
        <v>266</v>
      </c>
      <c r="O1989">
        <v>9</v>
      </c>
      <c r="P1989">
        <v>9684</v>
      </c>
      <c r="Q1989" t="s">
        <v>327</v>
      </c>
      <c r="R1989" t="s">
        <v>201</v>
      </c>
      <c r="S1989">
        <v>1</v>
      </c>
      <c r="T1989">
        <v>1</v>
      </c>
      <c r="U1989">
        <v>139140</v>
      </c>
      <c r="V1989">
        <v>139140</v>
      </c>
    </row>
    <row r="1990" spans="1:22">
      <c r="A1990" t="s">
        <v>196</v>
      </c>
      <c r="B1990">
        <v>51</v>
      </c>
      <c r="C1990" t="s">
        <v>32</v>
      </c>
      <c r="D1990">
        <v>100</v>
      </c>
      <c r="E1990" t="s">
        <v>197</v>
      </c>
      <c r="F1990">
        <v>1005</v>
      </c>
      <c r="G1990" t="s">
        <v>32</v>
      </c>
      <c r="H1990">
        <v>2005</v>
      </c>
      <c r="I1990" t="s">
        <v>32</v>
      </c>
      <c r="J1990">
        <v>3010</v>
      </c>
      <c r="K1990" t="s">
        <v>97</v>
      </c>
      <c r="L1990">
        <v>4030</v>
      </c>
      <c r="M1990" t="s">
        <v>1230</v>
      </c>
      <c r="N1990" t="s">
        <v>721</v>
      </c>
      <c r="O1990">
        <v>53</v>
      </c>
      <c r="P1990">
        <v>9532</v>
      </c>
      <c r="Q1990" t="s">
        <v>901</v>
      </c>
      <c r="R1990" t="s">
        <v>713</v>
      </c>
      <c r="S1990">
        <v>1</v>
      </c>
      <c r="T1990">
        <v>1</v>
      </c>
      <c r="U1990">
        <v>51.4</v>
      </c>
      <c r="V1990">
        <v>106912</v>
      </c>
    </row>
    <row r="1991" spans="1:22">
      <c r="A1991" t="s">
        <v>196</v>
      </c>
      <c r="B1991">
        <v>51</v>
      </c>
      <c r="C1991" t="s">
        <v>32</v>
      </c>
      <c r="D1991">
        <v>100</v>
      </c>
      <c r="E1991" t="s">
        <v>197</v>
      </c>
      <c r="F1991">
        <v>1005</v>
      </c>
      <c r="G1991" t="s">
        <v>32</v>
      </c>
      <c r="H1991">
        <v>2005</v>
      </c>
      <c r="I1991" t="s">
        <v>32</v>
      </c>
      <c r="J1991">
        <v>3010</v>
      </c>
      <c r="K1991" t="s">
        <v>97</v>
      </c>
      <c r="L1991">
        <v>4030</v>
      </c>
      <c r="M1991" t="s">
        <v>1230</v>
      </c>
      <c r="N1991" t="s">
        <v>249</v>
      </c>
      <c r="O1991">
        <v>10</v>
      </c>
      <c r="P1991">
        <v>7181</v>
      </c>
      <c r="Q1991" t="s">
        <v>1027</v>
      </c>
      <c r="R1991" t="s">
        <v>201</v>
      </c>
      <c r="S1991">
        <v>1</v>
      </c>
      <c r="T1991">
        <v>1</v>
      </c>
      <c r="U1991">
        <v>113568</v>
      </c>
      <c r="V1991">
        <v>113568</v>
      </c>
    </row>
    <row r="1992" spans="1:22">
      <c r="A1992" t="s">
        <v>196</v>
      </c>
      <c r="B1992">
        <v>51</v>
      </c>
      <c r="C1992" t="s">
        <v>32</v>
      </c>
      <c r="D1992">
        <v>100</v>
      </c>
      <c r="E1992" t="s">
        <v>197</v>
      </c>
      <c r="F1992">
        <v>1005</v>
      </c>
      <c r="G1992" t="s">
        <v>32</v>
      </c>
      <c r="H1992">
        <v>2005</v>
      </c>
      <c r="I1992" t="s">
        <v>32</v>
      </c>
      <c r="J1992">
        <v>3010</v>
      </c>
      <c r="K1992" t="s">
        <v>97</v>
      </c>
      <c r="L1992">
        <v>4030</v>
      </c>
      <c r="M1992" t="s">
        <v>1230</v>
      </c>
      <c r="N1992" t="s">
        <v>251</v>
      </c>
      <c r="O1992">
        <v>10</v>
      </c>
      <c r="P1992">
        <v>4548</v>
      </c>
      <c r="Q1992" t="s">
        <v>941</v>
      </c>
      <c r="R1992" t="s">
        <v>201</v>
      </c>
      <c r="S1992">
        <v>1</v>
      </c>
      <c r="T1992">
        <v>1</v>
      </c>
      <c r="U1992">
        <v>76476</v>
      </c>
      <c r="V1992">
        <v>76476</v>
      </c>
    </row>
    <row r="1993" spans="1:22">
      <c r="A1993" t="s">
        <v>196</v>
      </c>
      <c r="B1993">
        <v>51</v>
      </c>
      <c r="C1993" t="s">
        <v>32</v>
      </c>
      <c r="D1993">
        <v>100</v>
      </c>
      <c r="E1993" t="s">
        <v>197</v>
      </c>
      <c r="F1993">
        <v>1005</v>
      </c>
      <c r="G1993" t="s">
        <v>32</v>
      </c>
      <c r="H1993">
        <v>2005</v>
      </c>
      <c r="I1993" t="s">
        <v>32</v>
      </c>
      <c r="J1993">
        <v>3010</v>
      </c>
      <c r="K1993" t="s">
        <v>97</v>
      </c>
      <c r="L1993">
        <v>4030</v>
      </c>
      <c r="M1993" t="s">
        <v>1230</v>
      </c>
      <c r="N1993" t="s">
        <v>274</v>
      </c>
      <c r="O1993">
        <v>20</v>
      </c>
      <c r="P1993">
        <v>4546</v>
      </c>
      <c r="Q1993" t="s">
        <v>939</v>
      </c>
      <c r="R1993" t="s">
        <v>201</v>
      </c>
      <c r="S1993">
        <v>1</v>
      </c>
      <c r="T1993">
        <v>1</v>
      </c>
      <c r="U1993">
        <v>121668</v>
      </c>
      <c r="V1993">
        <v>121668</v>
      </c>
    </row>
    <row r="1994" spans="1:22">
      <c r="A1994" t="s">
        <v>196</v>
      </c>
      <c r="B1994">
        <v>51</v>
      </c>
      <c r="C1994" t="s">
        <v>32</v>
      </c>
      <c r="D1994">
        <v>100</v>
      </c>
      <c r="E1994" t="s">
        <v>197</v>
      </c>
      <c r="F1994">
        <v>1005</v>
      </c>
      <c r="G1994" t="s">
        <v>32</v>
      </c>
      <c r="H1994">
        <v>2005</v>
      </c>
      <c r="I1994" t="s">
        <v>32</v>
      </c>
      <c r="J1994">
        <v>3010</v>
      </c>
      <c r="K1994" t="s">
        <v>97</v>
      </c>
      <c r="L1994">
        <v>4030</v>
      </c>
      <c r="M1994" t="s">
        <v>1230</v>
      </c>
      <c r="N1994" t="s">
        <v>622</v>
      </c>
      <c r="O1994">
        <v>1</v>
      </c>
      <c r="P1994">
        <v>4238</v>
      </c>
      <c r="Q1994" t="s">
        <v>1231</v>
      </c>
      <c r="R1994" t="s">
        <v>201</v>
      </c>
      <c r="S1994">
        <v>3</v>
      </c>
      <c r="T1994">
        <v>1</v>
      </c>
      <c r="U1994">
        <v>90144</v>
      </c>
      <c r="V1994">
        <v>270432</v>
      </c>
    </row>
    <row r="1995" spans="1:22">
      <c r="A1995" t="s">
        <v>196</v>
      </c>
      <c r="B1995">
        <v>51</v>
      </c>
      <c r="C1995" t="s">
        <v>32</v>
      </c>
      <c r="D1995">
        <v>100</v>
      </c>
      <c r="E1995" t="s">
        <v>197</v>
      </c>
      <c r="F1995">
        <v>1005</v>
      </c>
      <c r="G1995" t="s">
        <v>32</v>
      </c>
      <c r="H1995">
        <v>2005</v>
      </c>
      <c r="I1995" t="s">
        <v>32</v>
      </c>
      <c r="J1995">
        <v>3010</v>
      </c>
      <c r="K1995" t="s">
        <v>97</v>
      </c>
      <c r="L1995">
        <v>4030</v>
      </c>
      <c r="M1995" t="s">
        <v>1230</v>
      </c>
      <c r="N1995" t="s">
        <v>622</v>
      </c>
      <c r="O1995">
        <v>1</v>
      </c>
      <c r="P1995">
        <v>4238</v>
      </c>
      <c r="Q1995" t="s">
        <v>1231</v>
      </c>
      <c r="R1995" t="s">
        <v>201</v>
      </c>
      <c r="S1995">
        <v>2</v>
      </c>
      <c r="T1995">
        <v>1</v>
      </c>
      <c r="U1995">
        <v>86112</v>
      </c>
      <c r="V1995">
        <v>172224</v>
      </c>
    </row>
    <row r="1996" spans="1:22">
      <c r="A1996" t="s">
        <v>196</v>
      </c>
      <c r="B1996">
        <v>51</v>
      </c>
      <c r="C1996" t="s">
        <v>32</v>
      </c>
      <c r="D1996">
        <v>100</v>
      </c>
      <c r="E1996" t="s">
        <v>197</v>
      </c>
      <c r="F1996">
        <v>1005</v>
      </c>
      <c r="G1996" t="s">
        <v>32</v>
      </c>
      <c r="H1996">
        <v>2005</v>
      </c>
      <c r="I1996" t="s">
        <v>32</v>
      </c>
      <c r="J1996">
        <v>3010</v>
      </c>
      <c r="K1996" t="s">
        <v>97</v>
      </c>
      <c r="L1996">
        <v>4030</v>
      </c>
      <c r="M1996" t="s">
        <v>1230</v>
      </c>
      <c r="N1996" t="s">
        <v>622</v>
      </c>
      <c r="O1996">
        <v>1</v>
      </c>
      <c r="P1996">
        <v>4238</v>
      </c>
      <c r="Q1996" t="s">
        <v>1231</v>
      </c>
      <c r="R1996" t="s">
        <v>201</v>
      </c>
      <c r="S1996">
        <v>1</v>
      </c>
      <c r="T1996">
        <v>1</v>
      </c>
      <c r="U1996">
        <v>74916</v>
      </c>
      <c r="V1996">
        <v>74916</v>
      </c>
    </row>
    <row r="1997" spans="1:22">
      <c r="A1997" t="s">
        <v>196</v>
      </c>
      <c r="B1997">
        <v>51</v>
      </c>
      <c r="C1997" t="s">
        <v>32</v>
      </c>
      <c r="D1997">
        <v>100</v>
      </c>
      <c r="E1997" t="s">
        <v>197</v>
      </c>
      <c r="F1997">
        <v>1005</v>
      </c>
      <c r="G1997" t="s">
        <v>32</v>
      </c>
      <c r="H1997">
        <v>2005</v>
      </c>
      <c r="I1997" t="s">
        <v>32</v>
      </c>
      <c r="J1997">
        <v>3010</v>
      </c>
      <c r="K1997" t="s">
        <v>97</v>
      </c>
      <c r="L1997">
        <v>4030</v>
      </c>
      <c r="M1997" t="s">
        <v>1230</v>
      </c>
      <c r="N1997" t="s">
        <v>622</v>
      </c>
      <c r="O1997">
        <v>1</v>
      </c>
      <c r="P1997">
        <v>4238</v>
      </c>
      <c r="Q1997" t="s">
        <v>1231</v>
      </c>
      <c r="R1997" t="s">
        <v>201</v>
      </c>
      <c r="S1997">
        <v>2</v>
      </c>
      <c r="T1997">
        <v>1</v>
      </c>
      <c r="U1997">
        <v>68256</v>
      </c>
      <c r="V1997">
        <v>136512</v>
      </c>
    </row>
    <row r="1998" spans="1:22">
      <c r="A1998" t="s">
        <v>196</v>
      </c>
      <c r="B1998">
        <v>51</v>
      </c>
      <c r="C1998" t="s">
        <v>32</v>
      </c>
      <c r="D1998">
        <v>100</v>
      </c>
      <c r="E1998" t="s">
        <v>197</v>
      </c>
      <c r="F1998">
        <v>1005</v>
      </c>
      <c r="G1998" t="s">
        <v>32</v>
      </c>
      <c r="H1998">
        <v>2005</v>
      </c>
      <c r="I1998" t="s">
        <v>32</v>
      </c>
      <c r="J1998">
        <v>3010</v>
      </c>
      <c r="K1998" t="s">
        <v>97</v>
      </c>
      <c r="L1998">
        <v>4030</v>
      </c>
      <c r="M1998" t="s">
        <v>1230</v>
      </c>
      <c r="N1998" t="s">
        <v>622</v>
      </c>
      <c r="O1998">
        <v>1</v>
      </c>
      <c r="P1998">
        <v>4238</v>
      </c>
      <c r="Q1998" t="s">
        <v>1231</v>
      </c>
      <c r="R1998" t="s">
        <v>201</v>
      </c>
      <c r="S1998">
        <v>1</v>
      </c>
      <c r="T1998">
        <v>1</v>
      </c>
      <c r="U1998">
        <v>58764</v>
      </c>
      <c r="V1998">
        <v>58764</v>
      </c>
    </row>
    <row r="1999" spans="1:22">
      <c r="A1999" t="s">
        <v>196</v>
      </c>
      <c r="B1999">
        <v>51</v>
      </c>
      <c r="C1999" t="s">
        <v>32</v>
      </c>
      <c r="D1999">
        <v>100</v>
      </c>
      <c r="E1999" t="s">
        <v>197</v>
      </c>
      <c r="F1999">
        <v>1005</v>
      </c>
      <c r="G1999" t="s">
        <v>32</v>
      </c>
      <c r="H1999">
        <v>2005</v>
      </c>
      <c r="I1999" t="s">
        <v>32</v>
      </c>
      <c r="J1999">
        <v>3010</v>
      </c>
      <c r="K1999" t="s">
        <v>97</v>
      </c>
      <c r="L1999">
        <v>4030</v>
      </c>
      <c r="M1999" t="s">
        <v>1230</v>
      </c>
      <c r="N1999" t="s">
        <v>622</v>
      </c>
      <c r="O1999">
        <v>1</v>
      </c>
      <c r="P1999">
        <v>4238</v>
      </c>
      <c r="Q1999" t="s">
        <v>1231</v>
      </c>
      <c r="R1999" t="s">
        <v>201</v>
      </c>
      <c r="S1999">
        <v>5</v>
      </c>
      <c r="T1999">
        <v>1</v>
      </c>
      <c r="U1999">
        <v>51936</v>
      </c>
      <c r="V1999">
        <v>259680</v>
      </c>
    </row>
    <row r="2000" spans="1:22">
      <c r="A2000" t="s">
        <v>196</v>
      </c>
      <c r="B2000">
        <v>51</v>
      </c>
      <c r="C2000" t="s">
        <v>32</v>
      </c>
      <c r="D2000">
        <v>100</v>
      </c>
      <c r="E2000" t="s">
        <v>197</v>
      </c>
      <c r="F2000">
        <v>1005</v>
      </c>
      <c r="G2000" t="s">
        <v>32</v>
      </c>
      <c r="H2000">
        <v>2005</v>
      </c>
      <c r="I2000" t="s">
        <v>32</v>
      </c>
      <c r="J2000">
        <v>3010</v>
      </c>
      <c r="K2000" t="s">
        <v>97</v>
      </c>
      <c r="L2000">
        <v>4030</v>
      </c>
      <c r="M2000" t="s">
        <v>1230</v>
      </c>
      <c r="N2000" t="s">
        <v>372</v>
      </c>
      <c r="O2000">
        <v>1</v>
      </c>
      <c r="P2000">
        <v>1854</v>
      </c>
      <c r="Q2000" t="s">
        <v>1232</v>
      </c>
      <c r="R2000" t="s">
        <v>201</v>
      </c>
      <c r="S2000">
        <v>1</v>
      </c>
      <c r="T2000">
        <v>1</v>
      </c>
      <c r="U2000">
        <v>85200</v>
      </c>
      <c r="V2000">
        <v>85200</v>
      </c>
    </row>
    <row r="2001" spans="1:22">
      <c r="A2001" t="s">
        <v>196</v>
      </c>
      <c r="B2001">
        <v>51</v>
      </c>
      <c r="C2001" t="s">
        <v>32</v>
      </c>
      <c r="D2001">
        <v>100</v>
      </c>
      <c r="E2001" t="s">
        <v>197</v>
      </c>
      <c r="F2001">
        <v>1005</v>
      </c>
      <c r="G2001" t="s">
        <v>32</v>
      </c>
      <c r="H2001">
        <v>2005</v>
      </c>
      <c r="I2001" t="s">
        <v>32</v>
      </c>
      <c r="J2001">
        <v>3010</v>
      </c>
      <c r="K2001" t="s">
        <v>97</v>
      </c>
      <c r="L2001">
        <v>4030</v>
      </c>
      <c r="M2001" t="s">
        <v>1230</v>
      </c>
      <c r="N2001" t="s">
        <v>341</v>
      </c>
      <c r="O2001">
        <v>1</v>
      </c>
      <c r="P2001">
        <v>308</v>
      </c>
      <c r="Q2001" t="s">
        <v>355</v>
      </c>
      <c r="R2001" t="s">
        <v>201</v>
      </c>
      <c r="S2001">
        <v>1</v>
      </c>
      <c r="T2001">
        <v>1</v>
      </c>
      <c r="U2001">
        <v>68616</v>
      </c>
      <c r="V2001">
        <v>68616</v>
      </c>
    </row>
    <row r="2002" spans="1:22">
      <c r="A2002" t="s">
        <v>196</v>
      </c>
      <c r="B2002">
        <v>51</v>
      </c>
      <c r="C2002" t="s">
        <v>32</v>
      </c>
      <c r="D2002">
        <v>100</v>
      </c>
      <c r="E2002" t="s">
        <v>197</v>
      </c>
      <c r="F2002">
        <v>1005</v>
      </c>
      <c r="G2002" t="s">
        <v>32</v>
      </c>
      <c r="H2002">
        <v>2005</v>
      </c>
      <c r="I2002" t="s">
        <v>32</v>
      </c>
      <c r="J2002">
        <v>3010</v>
      </c>
      <c r="K2002" t="s">
        <v>97</v>
      </c>
      <c r="L2002">
        <v>4030</v>
      </c>
      <c r="M2002" t="s">
        <v>1230</v>
      </c>
      <c r="N2002" t="s">
        <v>199</v>
      </c>
      <c r="O2002">
        <v>0</v>
      </c>
      <c r="P2002">
        <v>15</v>
      </c>
      <c r="Q2002" t="s">
        <v>264</v>
      </c>
      <c r="R2002" t="s">
        <v>201</v>
      </c>
      <c r="S2002">
        <v>0</v>
      </c>
      <c r="T2002">
        <v>0</v>
      </c>
      <c r="U2002">
        <v>34667</v>
      </c>
      <c r="V2002">
        <v>34667</v>
      </c>
    </row>
    <row r="2003" spans="1:22">
      <c r="A2003" t="s">
        <v>196</v>
      </c>
      <c r="B2003">
        <v>51</v>
      </c>
      <c r="C2003" t="s">
        <v>32</v>
      </c>
      <c r="D2003">
        <v>100</v>
      </c>
      <c r="E2003" t="s">
        <v>197</v>
      </c>
      <c r="F2003">
        <v>1005</v>
      </c>
      <c r="G2003" t="s">
        <v>32</v>
      </c>
      <c r="H2003">
        <v>2005</v>
      </c>
      <c r="I2003" t="s">
        <v>32</v>
      </c>
      <c r="J2003">
        <v>3010</v>
      </c>
      <c r="K2003" t="s">
        <v>97</v>
      </c>
      <c r="L2003">
        <v>4030</v>
      </c>
      <c r="M2003" t="s">
        <v>1230</v>
      </c>
      <c r="N2003" t="s">
        <v>199</v>
      </c>
      <c r="O2003">
        <v>0</v>
      </c>
      <c r="P2003">
        <v>12</v>
      </c>
      <c r="Q2003" t="s">
        <v>724</v>
      </c>
      <c r="R2003" t="s">
        <v>201</v>
      </c>
      <c r="S2003">
        <v>0</v>
      </c>
      <c r="T2003">
        <v>0</v>
      </c>
      <c r="U2003">
        <v>1604</v>
      </c>
      <c r="V2003">
        <v>1604</v>
      </c>
    </row>
    <row r="2004" spans="1:22">
      <c r="A2004" t="s">
        <v>196</v>
      </c>
      <c r="B2004">
        <v>51</v>
      </c>
      <c r="C2004" t="s">
        <v>32</v>
      </c>
      <c r="D2004">
        <v>100</v>
      </c>
      <c r="E2004" t="s">
        <v>197</v>
      </c>
      <c r="F2004">
        <v>1005</v>
      </c>
      <c r="G2004" t="s">
        <v>32</v>
      </c>
      <c r="H2004">
        <v>2005</v>
      </c>
      <c r="I2004" t="s">
        <v>32</v>
      </c>
      <c r="J2004">
        <v>3015</v>
      </c>
      <c r="K2004" t="s">
        <v>1233</v>
      </c>
      <c r="L2004">
        <v>4100</v>
      </c>
      <c r="M2004" t="s">
        <v>1234</v>
      </c>
      <c r="N2004" t="s">
        <v>311</v>
      </c>
      <c r="O2004">
        <v>9</v>
      </c>
      <c r="P2004">
        <v>9814</v>
      </c>
      <c r="Q2004" t="s">
        <v>692</v>
      </c>
      <c r="R2004" t="s">
        <v>201</v>
      </c>
      <c r="S2004">
        <v>1</v>
      </c>
      <c r="T2004">
        <v>1</v>
      </c>
      <c r="U2004">
        <v>188400</v>
      </c>
      <c r="V2004">
        <v>188400</v>
      </c>
    </row>
    <row r="2005" spans="1:22">
      <c r="A2005" t="s">
        <v>196</v>
      </c>
      <c r="B2005">
        <v>51</v>
      </c>
      <c r="C2005" t="s">
        <v>32</v>
      </c>
      <c r="D2005">
        <v>100</v>
      </c>
      <c r="E2005" t="s">
        <v>197</v>
      </c>
      <c r="F2005">
        <v>1005</v>
      </c>
      <c r="G2005" t="s">
        <v>32</v>
      </c>
      <c r="H2005">
        <v>2005</v>
      </c>
      <c r="I2005" t="s">
        <v>32</v>
      </c>
      <c r="J2005">
        <v>3015</v>
      </c>
      <c r="K2005" t="s">
        <v>1233</v>
      </c>
      <c r="L2005">
        <v>4100</v>
      </c>
      <c r="M2005" t="s">
        <v>1234</v>
      </c>
      <c r="N2005" t="s">
        <v>199</v>
      </c>
      <c r="O2005">
        <v>0</v>
      </c>
      <c r="P2005">
        <v>15</v>
      </c>
      <c r="Q2005" t="s">
        <v>264</v>
      </c>
      <c r="R2005" t="s">
        <v>201</v>
      </c>
      <c r="S2005">
        <v>0</v>
      </c>
      <c r="T2005">
        <v>0</v>
      </c>
      <c r="U2005">
        <v>4454</v>
      </c>
      <c r="V2005">
        <v>4454</v>
      </c>
    </row>
    <row r="2006" spans="1:22">
      <c r="A2006" t="s">
        <v>196</v>
      </c>
      <c r="B2006">
        <v>51</v>
      </c>
      <c r="C2006" t="s">
        <v>32</v>
      </c>
      <c r="D2006">
        <v>100</v>
      </c>
      <c r="E2006" t="s">
        <v>197</v>
      </c>
      <c r="F2006">
        <v>1005</v>
      </c>
      <c r="G2006" t="s">
        <v>32</v>
      </c>
      <c r="H2006">
        <v>2005</v>
      </c>
      <c r="I2006" t="s">
        <v>32</v>
      </c>
      <c r="J2006">
        <v>3015</v>
      </c>
      <c r="K2006" t="s">
        <v>1233</v>
      </c>
      <c r="L2006">
        <v>4105</v>
      </c>
      <c r="M2006" t="s">
        <v>928</v>
      </c>
      <c r="N2006" t="s">
        <v>274</v>
      </c>
      <c r="O2006">
        <v>99</v>
      </c>
      <c r="P2006">
        <v>9759</v>
      </c>
      <c r="Q2006" t="s">
        <v>896</v>
      </c>
      <c r="R2006" t="s">
        <v>201</v>
      </c>
      <c r="S2006">
        <v>1</v>
      </c>
      <c r="T2006">
        <v>1</v>
      </c>
      <c r="U2006">
        <v>162672</v>
      </c>
      <c r="V2006">
        <v>162672</v>
      </c>
    </row>
    <row r="2007" spans="1:22">
      <c r="A2007" t="s">
        <v>196</v>
      </c>
      <c r="B2007">
        <v>51</v>
      </c>
      <c r="C2007" t="s">
        <v>32</v>
      </c>
      <c r="D2007">
        <v>100</v>
      </c>
      <c r="E2007" t="s">
        <v>197</v>
      </c>
      <c r="F2007">
        <v>1005</v>
      </c>
      <c r="G2007" t="s">
        <v>32</v>
      </c>
      <c r="H2007">
        <v>2005</v>
      </c>
      <c r="I2007" t="s">
        <v>32</v>
      </c>
      <c r="J2007">
        <v>3015</v>
      </c>
      <c r="K2007" t="s">
        <v>1233</v>
      </c>
      <c r="L2007">
        <v>4105</v>
      </c>
      <c r="M2007" t="s">
        <v>928</v>
      </c>
      <c r="N2007" t="s">
        <v>268</v>
      </c>
      <c r="O2007">
        <v>10</v>
      </c>
      <c r="P2007">
        <v>1911</v>
      </c>
      <c r="Q2007" t="s">
        <v>617</v>
      </c>
      <c r="R2007" t="s">
        <v>201</v>
      </c>
      <c r="S2007">
        <v>1</v>
      </c>
      <c r="T2007">
        <v>1</v>
      </c>
      <c r="U2007">
        <v>80124</v>
      </c>
      <c r="V2007">
        <v>80124</v>
      </c>
    </row>
    <row r="2008" spans="1:22">
      <c r="A2008" t="s">
        <v>196</v>
      </c>
      <c r="B2008">
        <v>51</v>
      </c>
      <c r="C2008" t="s">
        <v>32</v>
      </c>
      <c r="D2008">
        <v>100</v>
      </c>
      <c r="E2008" t="s">
        <v>197</v>
      </c>
      <c r="F2008">
        <v>1005</v>
      </c>
      <c r="G2008" t="s">
        <v>32</v>
      </c>
      <c r="H2008">
        <v>2005</v>
      </c>
      <c r="I2008" t="s">
        <v>32</v>
      </c>
      <c r="J2008">
        <v>3015</v>
      </c>
      <c r="K2008" t="s">
        <v>1233</v>
      </c>
      <c r="L2008">
        <v>4105</v>
      </c>
      <c r="M2008" t="s">
        <v>928</v>
      </c>
      <c r="N2008" t="s">
        <v>249</v>
      </c>
      <c r="O2008">
        <v>10</v>
      </c>
      <c r="P2008">
        <v>1334</v>
      </c>
      <c r="Q2008" t="s">
        <v>1235</v>
      </c>
      <c r="R2008" t="s">
        <v>201</v>
      </c>
      <c r="S2008">
        <v>1</v>
      </c>
      <c r="T2008">
        <v>1</v>
      </c>
      <c r="U2008">
        <v>136692</v>
      </c>
      <c r="V2008">
        <v>136692</v>
      </c>
    </row>
    <row r="2009" spans="1:22">
      <c r="A2009" t="s">
        <v>196</v>
      </c>
      <c r="B2009">
        <v>51</v>
      </c>
      <c r="C2009" t="s">
        <v>32</v>
      </c>
      <c r="D2009">
        <v>100</v>
      </c>
      <c r="E2009" t="s">
        <v>197</v>
      </c>
      <c r="F2009">
        <v>1005</v>
      </c>
      <c r="G2009" t="s">
        <v>32</v>
      </c>
      <c r="H2009">
        <v>2005</v>
      </c>
      <c r="I2009" t="s">
        <v>32</v>
      </c>
      <c r="J2009">
        <v>3015</v>
      </c>
      <c r="K2009" t="s">
        <v>1233</v>
      </c>
      <c r="L2009">
        <v>4105</v>
      </c>
      <c r="M2009" t="s">
        <v>928</v>
      </c>
      <c r="N2009" t="s">
        <v>249</v>
      </c>
      <c r="O2009">
        <v>10</v>
      </c>
      <c r="P2009">
        <v>1334</v>
      </c>
      <c r="Q2009" t="s">
        <v>1235</v>
      </c>
      <c r="R2009" t="s">
        <v>201</v>
      </c>
      <c r="S2009">
        <v>1</v>
      </c>
      <c r="T2009">
        <v>1</v>
      </c>
      <c r="U2009">
        <v>89112</v>
      </c>
      <c r="V2009">
        <v>89112</v>
      </c>
    </row>
    <row r="2010" spans="1:22">
      <c r="A2010" t="s">
        <v>196</v>
      </c>
      <c r="B2010">
        <v>51</v>
      </c>
      <c r="C2010" t="s">
        <v>32</v>
      </c>
      <c r="D2010">
        <v>100</v>
      </c>
      <c r="E2010" t="s">
        <v>197</v>
      </c>
      <c r="F2010">
        <v>1005</v>
      </c>
      <c r="G2010" t="s">
        <v>32</v>
      </c>
      <c r="H2010">
        <v>2005</v>
      </c>
      <c r="I2010" t="s">
        <v>32</v>
      </c>
      <c r="J2010">
        <v>3015</v>
      </c>
      <c r="K2010" t="s">
        <v>1233</v>
      </c>
      <c r="L2010">
        <v>4105</v>
      </c>
      <c r="M2010" t="s">
        <v>928</v>
      </c>
      <c r="N2010" t="s">
        <v>341</v>
      </c>
      <c r="O2010">
        <v>1</v>
      </c>
      <c r="P2010">
        <v>1320</v>
      </c>
      <c r="Q2010" t="s">
        <v>1236</v>
      </c>
      <c r="R2010" t="s">
        <v>201</v>
      </c>
      <c r="S2010">
        <v>2</v>
      </c>
      <c r="T2010">
        <v>1</v>
      </c>
      <c r="U2010">
        <v>77640</v>
      </c>
      <c r="V2010">
        <v>155280</v>
      </c>
    </row>
    <row r="2011" spans="1:22">
      <c r="A2011" t="s">
        <v>196</v>
      </c>
      <c r="B2011">
        <v>51</v>
      </c>
      <c r="C2011" t="s">
        <v>32</v>
      </c>
      <c r="D2011">
        <v>100</v>
      </c>
      <c r="E2011" t="s">
        <v>197</v>
      </c>
      <c r="F2011">
        <v>1005</v>
      </c>
      <c r="G2011" t="s">
        <v>32</v>
      </c>
      <c r="H2011">
        <v>2005</v>
      </c>
      <c r="I2011" t="s">
        <v>32</v>
      </c>
      <c r="J2011">
        <v>3015</v>
      </c>
      <c r="K2011" t="s">
        <v>1233</v>
      </c>
      <c r="L2011">
        <v>4105</v>
      </c>
      <c r="M2011" t="s">
        <v>928</v>
      </c>
      <c r="N2011" t="s">
        <v>255</v>
      </c>
      <c r="O2011">
        <v>1</v>
      </c>
      <c r="P2011">
        <v>1302</v>
      </c>
      <c r="Q2011" t="s">
        <v>340</v>
      </c>
      <c r="R2011" t="s">
        <v>201</v>
      </c>
      <c r="S2011">
        <v>4</v>
      </c>
      <c r="T2011">
        <v>1</v>
      </c>
      <c r="U2011">
        <v>143400</v>
      </c>
      <c r="V2011">
        <v>573600</v>
      </c>
    </row>
    <row r="2012" spans="1:22">
      <c r="A2012" t="s">
        <v>196</v>
      </c>
      <c r="B2012">
        <v>51</v>
      </c>
      <c r="C2012" t="s">
        <v>32</v>
      </c>
      <c r="D2012">
        <v>100</v>
      </c>
      <c r="E2012" t="s">
        <v>197</v>
      </c>
      <c r="F2012">
        <v>1005</v>
      </c>
      <c r="G2012" t="s">
        <v>32</v>
      </c>
      <c r="H2012">
        <v>2005</v>
      </c>
      <c r="I2012" t="s">
        <v>32</v>
      </c>
      <c r="J2012">
        <v>3015</v>
      </c>
      <c r="K2012" t="s">
        <v>1233</v>
      </c>
      <c r="L2012">
        <v>4105</v>
      </c>
      <c r="M2012" t="s">
        <v>928</v>
      </c>
      <c r="N2012" t="s">
        <v>255</v>
      </c>
      <c r="O2012">
        <v>1</v>
      </c>
      <c r="P2012">
        <v>1302</v>
      </c>
      <c r="Q2012" t="s">
        <v>340</v>
      </c>
      <c r="R2012" t="s">
        <v>201</v>
      </c>
      <c r="S2012">
        <v>1</v>
      </c>
      <c r="T2012">
        <v>1</v>
      </c>
      <c r="U2012">
        <v>130668</v>
      </c>
      <c r="V2012">
        <v>130668</v>
      </c>
    </row>
    <row r="2013" spans="1:22">
      <c r="A2013" t="s">
        <v>196</v>
      </c>
      <c r="B2013">
        <v>51</v>
      </c>
      <c r="C2013" t="s">
        <v>32</v>
      </c>
      <c r="D2013">
        <v>100</v>
      </c>
      <c r="E2013" t="s">
        <v>197</v>
      </c>
      <c r="F2013">
        <v>1005</v>
      </c>
      <c r="G2013" t="s">
        <v>32</v>
      </c>
      <c r="H2013">
        <v>2005</v>
      </c>
      <c r="I2013" t="s">
        <v>32</v>
      </c>
      <c r="J2013">
        <v>3015</v>
      </c>
      <c r="K2013" t="s">
        <v>1233</v>
      </c>
      <c r="L2013">
        <v>4105</v>
      </c>
      <c r="M2013" t="s">
        <v>928</v>
      </c>
      <c r="N2013" t="s">
        <v>255</v>
      </c>
      <c r="O2013">
        <v>1</v>
      </c>
      <c r="P2013">
        <v>1302</v>
      </c>
      <c r="Q2013" t="s">
        <v>340</v>
      </c>
      <c r="R2013" t="s">
        <v>201</v>
      </c>
      <c r="S2013">
        <v>2</v>
      </c>
      <c r="T2013">
        <v>1</v>
      </c>
      <c r="U2013">
        <v>93504</v>
      </c>
      <c r="V2013">
        <v>187008</v>
      </c>
    </row>
    <row r="2014" spans="1:22">
      <c r="A2014" t="s">
        <v>196</v>
      </c>
      <c r="B2014">
        <v>51</v>
      </c>
      <c r="C2014" t="s">
        <v>32</v>
      </c>
      <c r="D2014">
        <v>100</v>
      </c>
      <c r="E2014" t="s">
        <v>197</v>
      </c>
      <c r="F2014">
        <v>1005</v>
      </c>
      <c r="G2014" t="s">
        <v>32</v>
      </c>
      <c r="H2014">
        <v>2005</v>
      </c>
      <c r="I2014" t="s">
        <v>32</v>
      </c>
      <c r="J2014">
        <v>3015</v>
      </c>
      <c r="K2014" t="s">
        <v>1233</v>
      </c>
      <c r="L2014">
        <v>4105</v>
      </c>
      <c r="M2014" t="s">
        <v>928</v>
      </c>
      <c r="N2014" t="s">
        <v>255</v>
      </c>
      <c r="O2014">
        <v>1</v>
      </c>
      <c r="P2014">
        <v>1302</v>
      </c>
      <c r="Q2014" t="s">
        <v>340</v>
      </c>
      <c r="R2014" t="s">
        <v>201</v>
      </c>
      <c r="S2014">
        <v>1</v>
      </c>
      <c r="T2014">
        <v>1</v>
      </c>
      <c r="U2014">
        <v>82644</v>
      </c>
      <c r="V2014">
        <v>82644</v>
      </c>
    </row>
    <row r="2015" spans="1:22">
      <c r="A2015" t="s">
        <v>196</v>
      </c>
      <c r="B2015">
        <v>51</v>
      </c>
      <c r="C2015" t="s">
        <v>32</v>
      </c>
      <c r="D2015">
        <v>100</v>
      </c>
      <c r="E2015" t="s">
        <v>197</v>
      </c>
      <c r="F2015">
        <v>1005</v>
      </c>
      <c r="G2015" t="s">
        <v>32</v>
      </c>
      <c r="H2015">
        <v>2005</v>
      </c>
      <c r="I2015" t="s">
        <v>32</v>
      </c>
      <c r="J2015">
        <v>3015</v>
      </c>
      <c r="K2015" t="s">
        <v>1233</v>
      </c>
      <c r="L2015">
        <v>4105</v>
      </c>
      <c r="M2015" t="s">
        <v>928</v>
      </c>
      <c r="N2015" t="s">
        <v>341</v>
      </c>
      <c r="O2015">
        <v>1</v>
      </c>
      <c r="P2015">
        <v>1301</v>
      </c>
      <c r="Q2015" t="s">
        <v>618</v>
      </c>
      <c r="R2015" t="s">
        <v>201</v>
      </c>
      <c r="S2015">
        <v>1</v>
      </c>
      <c r="T2015">
        <v>1</v>
      </c>
      <c r="U2015">
        <v>119100</v>
      </c>
      <c r="V2015">
        <v>119100</v>
      </c>
    </row>
    <row r="2016" spans="1:22">
      <c r="A2016" t="s">
        <v>196</v>
      </c>
      <c r="B2016">
        <v>51</v>
      </c>
      <c r="C2016" t="s">
        <v>32</v>
      </c>
      <c r="D2016">
        <v>100</v>
      </c>
      <c r="E2016" t="s">
        <v>197</v>
      </c>
      <c r="F2016">
        <v>1005</v>
      </c>
      <c r="G2016" t="s">
        <v>32</v>
      </c>
      <c r="H2016">
        <v>2005</v>
      </c>
      <c r="I2016" t="s">
        <v>32</v>
      </c>
      <c r="J2016">
        <v>3015</v>
      </c>
      <c r="K2016" t="s">
        <v>1233</v>
      </c>
      <c r="L2016">
        <v>4105</v>
      </c>
      <c r="M2016" t="s">
        <v>928</v>
      </c>
      <c r="N2016" t="s">
        <v>341</v>
      </c>
      <c r="O2016">
        <v>1</v>
      </c>
      <c r="P2016">
        <v>1301</v>
      </c>
      <c r="Q2016" t="s">
        <v>618</v>
      </c>
      <c r="R2016" t="s">
        <v>201</v>
      </c>
      <c r="S2016">
        <v>1</v>
      </c>
      <c r="T2016">
        <v>1</v>
      </c>
      <c r="U2016">
        <v>108576</v>
      </c>
      <c r="V2016">
        <v>108576</v>
      </c>
    </row>
    <row r="2017" spans="1:22">
      <c r="A2017" t="s">
        <v>196</v>
      </c>
      <c r="B2017">
        <v>51</v>
      </c>
      <c r="C2017" t="s">
        <v>32</v>
      </c>
      <c r="D2017">
        <v>100</v>
      </c>
      <c r="E2017" t="s">
        <v>197</v>
      </c>
      <c r="F2017">
        <v>1005</v>
      </c>
      <c r="G2017" t="s">
        <v>32</v>
      </c>
      <c r="H2017">
        <v>2005</v>
      </c>
      <c r="I2017" t="s">
        <v>32</v>
      </c>
      <c r="J2017">
        <v>3015</v>
      </c>
      <c r="K2017" t="s">
        <v>1233</v>
      </c>
      <c r="L2017">
        <v>4105</v>
      </c>
      <c r="M2017" t="s">
        <v>928</v>
      </c>
      <c r="N2017" t="s">
        <v>341</v>
      </c>
      <c r="O2017">
        <v>1</v>
      </c>
      <c r="P2017">
        <v>1301</v>
      </c>
      <c r="Q2017" t="s">
        <v>618</v>
      </c>
      <c r="R2017" t="s">
        <v>201</v>
      </c>
      <c r="S2017">
        <v>1</v>
      </c>
      <c r="T2017">
        <v>1</v>
      </c>
      <c r="U2017">
        <v>103608</v>
      </c>
      <c r="V2017">
        <v>103608</v>
      </c>
    </row>
    <row r="2018" spans="1:22">
      <c r="A2018" t="s">
        <v>196</v>
      </c>
      <c r="B2018">
        <v>51</v>
      </c>
      <c r="C2018" t="s">
        <v>32</v>
      </c>
      <c r="D2018">
        <v>100</v>
      </c>
      <c r="E2018" t="s">
        <v>197</v>
      </c>
      <c r="F2018">
        <v>1005</v>
      </c>
      <c r="G2018" t="s">
        <v>32</v>
      </c>
      <c r="H2018">
        <v>2005</v>
      </c>
      <c r="I2018" t="s">
        <v>32</v>
      </c>
      <c r="J2018">
        <v>3015</v>
      </c>
      <c r="K2018" t="s">
        <v>1233</v>
      </c>
      <c r="L2018">
        <v>4105</v>
      </c>
      <c r="M2018" t="s">
        <v>928</v>
      </c>
      <c r="N2018" t="s">
        <v>341</v>
      </c>
      <c r="O2018">
        <v>1</v>
      </c>
      <c r="P2018">
        <v>1301</v>
      </c>
      <c r="Q2018" t="s">
        <v>618</v>
      </c>
      <c r="R2018" t="s">
        <v>201</v>
      </c>
      <c r="S2018">
        <v>2</v>
      </c>
      <c r="T2018">
        <v>1</v>
      </c>
      <c r="U2018">
        <v>85200</v>
      </c>
      <c r="V2018">
        <v>170400</v>
      </c>
    </row>
    <row r="2019" spans="1:22">
      <c r="A2019" t="s">
        <v>196</v>
      </c>
      <c r="B2019">
        <v>51</v>
      </c>
      <c r="C2019" t="s">
        <v>32</v>
      </c>
      <c r="D2019">
        <v>100</v>
      </c>
      <c r="E2019" t="s">
        <v>197</v>
      </c>
      <c r="F2019">
        <v>1005</v>
      </c>
      <c r="G2019" t="s">
        <v>32</v>
      </c>
      <c r="H2019">
        <v>2005</v>
      </c>
      <c r="I2019" t="s">
        <v>32</v>
      </c>
      <c r="J2019">
        <v>3015</v>
      </c>
      <c r="K2019" t="s">
        <v>1233</v>
      </c>
      <c r="L2019">
        <v>4105</v>
      </c>
      <c r="M2019" t="s">
        <v>928</v>
      </c>
      <c r="N2019" t="s">
        <v>341</v>
      </c>
      <c r="O2019">
        <v>1</v>
      </c>
      <c r="P2019">
        <v>1301</v>
      </c>
      <c r="Q2019" t="s">
        <v>618</v>
      </c>
      <c r="R2019" t="s">
        <v>201</v>
      </c>
      <c r="S2019">
        <v>2</v>
      </c>
      <c r="T2019">
        <v>1</v>
      </c>
      <c r="U2019">
        <v>81324</v>
      </c>
      <c r="V2019">
        <v>162648</v>
      </c>
    </row>
    <row r="2020" spans="1:22">
      <c r="A2020" t="s">
        <v>196</v>
      </c>
      <c r="B2020">
        <v>51</v>
      </c>
      <c r="C2020" t="s">
        <v>32</v>
      </c>
      <c r="D2020">
        <v>100</v>
      </c>
      <c r="E2020" t="s">
        <v>197</v>
      </c>
      <c r="F2020">
        <v>1005</v>
      </c>
      <c r="G2020" t="s">
        <v>32</v>
      </c>
      <c r="H2020">
        <v>2005</v>
      </c>
      <c r="I2020" t="s">
        <v>32</v>
      </c>
      <c r="J2020">
        <v>3015</v>
      </c>
      <c r="K2020" t="s">
        <v>1233</v>
      </c>
      <c r="L2020">
        <v>4105</v>
      </c>
      <c r="M2020" t="s">
        <v>928</v>
      </c>
      <c r="N2020" t="s">
        <v>341</v>
      </c>
      <c r="O2020">
        <v>1</v>
      </c>
      <c r="P2020">
        <v>1301</v>
      </c>
      <c r="Q2020" t="s">
        <v>618</v>
      </c>
      <c r="R2020" t="s">
        <v>201</v>
      </c>
      <c r="S2020">
        <v>3</v>
      </c>
      <c r="T2020">
        <v>1</v>
      </c>
      <c r="U2020">
        <v>77640</v>
      </c>
      <c r="V2020">
        <v>232920</v>
      </c>
    </row>
    <row r="2021" spans="1:22">
      <c r="A2021" t="s">
        <v>196</v>
      </c>
      <c r="B2021">
        <v>51</v>
      </c>
      <c r="C2021" t="s">
        <v>32</v>
      </c>
      <c r="D2021">
        <v>100</v>
      </c>
      <c r="E2021" t="s">
        <v>197</v>
      </c>
      <c r="F2021">
        <v>1005</v>
      </c>
      <c r="G2021" t="s">
        <v>32</v>
      </c>
      <c r="H2021">
        <v>2005</v>
      </c>
      <c r="I2021" t="s">
        <v>32</v>
      </c>
      <c r="J2021">
        <v>3015</v>
      </c>
      <c r="K2021" t="s">
        <v>1233</v>
      </c>
      <c r="L2021">
        <v>4105</v>
      </c>
      <c r="M2021" t="s">
        <v>928</v>
      </c>
      <c r="N2021" t="s">
        <v>341</v>
      </c>
      <c r="O2021">
        <v>1</v>
      </c>
      <c r="P2021">
        <v>1301</v>
      </c>
      <c r="Q2021" t="s">
        <v>618</v>
      </c>
      <c r="R2021" t="s">
        <v>201</v>
      </c>
      <c r="S2021">
        <v>1</v>
      </c>
      <c r="T2021">
        <v>1</v>
      </c>
      <c r="U2021">
        <v>74172</v>
      </c>
      <c r="V2021">
        <v>74172</v>
      </c>
    </row>
    <row r="2022" spans="1:22">
      <c r="A2022" t="s">
        <v>196</v>
      </c>
      <c r="B2022">
        <v>51</v>
      </c>
      <c r="C2022" t="s">
        <v>32</v>
      </c>
      <c r="D2022">
        <v>100</v>
      </c>
      <c r="E2022" t="s">
        <v>197</v>
      </c>
      <c r="F2022">
        <v>1005</v>
      </c>
      <c r="G2022" t="s">
        <v>32</v>
      </c>
      <c r="H2022">
        <v>2005</v>
      </c>
      <c r="I2022" t="s">
        <v>32</v>
      </c>
      <c r="J2022">
        <v>3015</v>
      </c>
      <c r="K2022" t="s">
        <v>1233</v>
      </c>
      <c r="L2022">
        <v>4105</v>
      </c>
      <c r="M2022" t="s">
        <v>928</v>
      </c>
      <c r="N2022" t="s">
        <v>341</v>
      </c>
      <c r="O2022">
        <v>1</v>
      </c>
      <c r="P2022">
        <v>1301</v>
      </c>
      <c r="Q2022" t="s">
        <v>618</v>
      </c>
      <c r="R2022" t="s">
        <v>201</v>
      </c>
      <c r="S2022">
        <v>3</v>
      </c>
      <c r="T2022">
        <v>1</v>
      </c>
      <c r="U2022">
        <v>68616</v>
      </c>
      <c r="V2022">
        <v>205848</v>
      </c>
    </row>
    <row r="2023" spans="1:22">
      <c r="A2023" t="s">
        <v>196</v>
      </c>
      <c r="B2023">
        <v>51</v>
      </c>
      <c r="C2023" t="s">
        <v>32</v>
      </c>
      <c r="D2023">
        <v>100</v>
      </c>
      <c r="E2023" t="s">
        <v>197</v>
      </c>
      <c r="F2023">
        <v>1005</v>
      </c>
      <c r="G2023" t="s">
        <v>32</v>
      </c>
      <c r="H2023">
        <v>2005</v>
      </c>
      <c r="I2023" t="s">
        <v>32</v>
      </c>
      <c r="J2023">
        <v>3015</v>
      </c>
      <c r="K2023" t="s">
        <v>1233</v>
      </c>
      <c r="L2023">
        <v>4105</v>
      </c>
      <c r="M2023" t="s">
        <v>928</v>
      </c>
      <c r="N2023" t="s">
        <v>253</v>
      </c>
      <c r="O2023">
        <v>10</v>
      </c>
      <c r="P2023">
        <v>1256</v>
      </c>
      <c r="Q2023" t="s">
        <v>727</v>
      </c>
      <c r="R2023" t="s">
        <v>201</v>
      </c>
      <c r="S2023">
        <v>1</v>
      </c>
      <c r="T2023">
        <v>1</v>
      </c>
      <c r="U2023">
        <v>97836</v>
      </c>
      <c r="V2023">
        <v>97836</v>
      </c>
    </row>
    <row r="2024" spans="1:22">
      <c r="A2024" t="s">
        <v>196</v>
      </c>
      <c r="B2024">
        <v>51</v>
      </c>
      <c r="C2024" t="s">
        <v>32</v>
      </c>
      <c r="D2024">
        <v>100</v>
      </c>
      <c r="E2024" t="s">
        <v>197</v>
      </c>
      <c r="F2024">
        <v>1005</v>
      </c>
      <c r="G2024" t="s">
        <v>32</v>
      </c>
      <c r="H2024">
        <v>2005</v>
      </c>
      <c r="I2024" t="s">
        <v>32</v>
      </c>
      <c r="J2024">
        <v>3015</v>
      </c>
      <c r="K2024" t="s">
        <v>1233</v>
      </c>
      <c r="L2024">
        <v>4105</v>
      </c>
      <c r="M2024" t="s">
        <v>928</v>
      </c>
      <c r="N2024" t="s">
        <v>253</v>
      </c>
      <c r="O2024">
        <v>10</v>
      </c>
      <c r="P2024">
        <v>1256</v>
      </c>
      <c r="Q2024" t="s">
        <v>727</v>
      </c>
      <c r="R2024" t="s">
        <v>201</v>
      </c>
      <c r="S2024">
        <v>1</v>
      </c>
      <c r="T2024">
        <v>1</v>
      </c>
      <c r="U2024">
        <v>93384</v>
      </c>
      <c r="V2024">
        <v>93384</v>
      </c>
    </row>
    <row r="2025" spans="1:22">
      <c r="A2025" t="s">
        <v>196</v>
      </c>
      <c r="B2025">
        <v>51</v>
      </c>
      <c r="C2025" t="s">
        <v>32</v>
      </c>
      <c r="D2025">
        <v>100</v>
      </c>
      <c r="E2025" t="s">
        <v>197</v>
      </c>
      <c r="F2025">
        <v>1005</v>
      </c>
      <c r="G2025" t="s">
        <v>32</v>
      </c>
      <c r="H2025">
        <v>2005</v>
      </c>
      <c r="I2025" t="s">
        <v>32</v>
      </c>
      <c r="J2025">
        <v>3015</v>
      </c>
      <c r="K2025" t="s">
        <v>1233</v>
      </c>
      <c r="L2025">
        <v>4105</v>
      </c>
      <c r="M2025" t="s">
        <v>928</v>
      </c>
      <c r="N2025" t="s">
        <v>341</v>
      </c>
      <c r="O2025">
        <v>1</v>
      </c>
      <c r="P2025">
        <v>1255</v>
      </c>
      <c r="Q2025" t="s">
        <v>1237</v>
      </c>
      <c r="R2025" t="s">
        <v>201</v>
      </c>
      <c r="S2025">
        <v>1</v>
      </c>
      <c r="T2025">
        <v>1</v>
      </c>
      <c r="U2025">
        <v>85200</v>
      </c>
      <c r="V2025">
        <v>85200</v>
      </c>
    </row>
    <row r="2026" spans="1:22">
      <c r="A2026" t="s">
        <v>196</v>
      </c>
      <c r="B2026">
        <v>51</v>
      </c>
      <c r="C2026" t="s">
        <v>32</v>
      </c>
      <c r="D2026">
        <v>100</v>
      </c>
      <c r="E2026" t="s">
        <v>197</v>
      </c>
      <c r="F2026">
        <v>1005</v>
      </c>
      <c r="G2026" t="s">
        <v>32</v>
      </c>
      <c r="H2026">
        <v>2005</v>
      </c>
      <c r="I2026" t="s">
        <v>32</v>
      </c>
      <c r="J2026">
        <v>3015</v>
      </c>
      <c r="K2026" t="s">
        <v>1233</v>
      </c>
      <c r="L2026">
        <v>4105</v>
      </c>
      <c r="M2026" t="s">
        <v>928</v>
      </c>
      <c r="N2026" t="s">
        <v>341</v>
      </c>
      <c r="O2026">
        <v>1</v>
      </c>
      <c r="P2026">
        <v>1255</v>
      </c>
      <c r="Q2026" t="s">
        <v>1237</v>
      </c>
      <c r="R2026" t="s">
        <v>201</v>
      </c>
      <c r="S2026">
        <v>6</v>
      </c>
      <c r="T2026">
        <v>1</v>
      </c>
      <c r="U2026">
        <v>81324</v>
      </c>
      <c r="V2026">
        <v>487944</v>
      </c>
    </row>
    <row r="2027" spans="1:22">
      <c r="A2027" t="s">
        <v>196</v>
      </c>
      <c r="B2027">
        <v>51</v>
      </c>
      <c r="C2027" t="s">
        <v>32</v>
      </c>
      <c r="D2027">
        <v>100</v>
      </c>
      <c r="E2027" t="s">
        <v>197</v>
      </c>
      <c r="F2027">
        <v>1005</v>
      </c>
      <c r="G2027" t="s">
        <v>32</v>
      </c>
      <c r="H2027">
        <v>2005</v>
      </c>
      <c r="I2027" t="s">
        <v>32</v>
      </c>
      <c r="J2027">
        <v>3015</v>
      </c>
      <c r="K2027" t="s">
        <v>1233</v>
      </c>
      <c r="L2027">
        <v>4105</v>
      </c>
      <c r="M2027" t="s">
        <v>928</v>
      </c>
      <c r="N2027" t="s">
        <v>341</v>
      </c>
      <c r="O2027">
        <v>1</v>
      </c>
      <c r="P2027">
        <v>1255</v>
      </c>
      <c r="Q2027" t="s">
        <v>1237</v>
      </c>
      <c r="R2027" t="s">
        <v>201</v>
      </c>
      <c r="S2027">
        <v>3</v>
      </c>
      <c r="T2027">
        <v>1</v>
      </c>
      <c r="U2027">
        <v>77640</v>
      </c>
      <c r="V2027">
        <v>232920</v>
      </c>
    </row>
    <row r="2028" spans="1:22">
      <c r="A2028" t="s">
        <v>196</v>
      </c>
      <c r="B2028">
        <v>51</v>
      </c>
      <c r="C2028" t="s">
        <v>32</v>
      </c>
      <c r="D2028">
        <v>100</v>
      </c>
      <c r="E2028" t="s">
        <v>197</v>
      </c>
      <c r="F2028">
        <v>1005</v>
      </c>
      <c r="G2028" t="s">
        <v>32</v>
      </c>
      <c r="H2028">
        <v>2005</v>
      </c>
      <c r="I2028" t="s">
        <v>32</v>
      </c>
      <c r="J2028">
        <v>3015</v>
      </c>
      <c r="K2028" t="s">
        <v>1233</v>
      </c>
      <c r="L2028">
        <v>4105</v>
      </c>
      <c r="M2028" t="s">
        <v>928</v>
      </c>
      <c r="N2028" t="s">
        <v>341</v>
      </c>
      <c r="O2028">
        <v>1</v>
      </c>
      <c r="P2028">
        <v>1255</v>
      </c>
      <c r="Q2028" t="s">
        <v>1237</v>
      </c>
      <c r="R2028" t="s">
        <v>201</v>
      </c>
      <c r="S2028">
        <v>4</v>
      </c>
      <c r="T2028">
        <v>1</v>
      </c>
      <c r="U2028">
        <v>74172</v>
      </c>
      <c r="V2028">
        <v>296688</v>
      </c>
    </row>
    <row r="2029" spans="1:22">
      <c r="A2029" t="s">
        <v>196</v>
      </c>
      <c r="B2029">
        <v>51</v>
      </c>
      <c r="C2029" t="s">
        <v>32</v>
      </c>
      <c r="D2029">
        <v>100</v>
      </c>
      <c r="E2029" t="s">
        <v>197</v>
      </c>
      <c r="F2029">
        <v>1005</v>
      </c>
      <c r="G2029" t="s">
        <v>32</v>
      </c>
      <c r="H2029">
        <v>2005</v>
      </c>
      <c r="I2029" t="s">
        <v>32</v>
      </c>
      <c r="J2029">
        <v>3015</v>
      </c>
      <c r="K2029" t="s">
        <v>1233</v>
      </c>
      <c r="L2029">
        <v>4105</v>
      </c>
      <c r="M2029" t="s">
        <v>928</v>
      </c>
      <c r="N2029" t="s">
        <v>341</v>
      </c>
      <c r="O2029">
        <v>1</v>
      </c>
      <c r="P2029">
        <v>1255</v>
      </c>
      <c r="Q2029" t="s">
        <v>1237</v>
      </c>
      <c r="R2029" t="s">
        <v>201</v>
      </c>
      <c r="S2029">
        <v>5</v>
      </c>
      <c r="T2029">
        <v>1</v>
      </c>
      <c r="U2029">
        <v>70752</v>
      </c>
      <c r="V2029">
        <v>353760</v>
      </c>
    </row>
    <row r="2030" spans="1:22">
      <c r="A2030" t="s">
        <v>196</v>
      </c>
      <c r="B2030">
        <v>51</v>
      </c>
      <c r="C2030" t="s">
        <v>32</v>
      </c>
      <c r="D2030">
        <v>100</v>
      </c>
      <c r="E2030" t="s">
        <v>197</v>
      </c>
      <c r="F2030">
        <v>1005</v>
      </c>
      <c r="G2030" t="s">
        <v>32</v>
      </c>
      <c r="H2030">
        <v>2005</v>
      </c>
      <c r="I2030" t="s">
        <v>32</v>
      </c>
      <c r="J2030">
        <v>3015</v>
      </c>
      <c r="K2030" t="s">
        <v>1233</v>
      </c>
      <c r="L2030">
        <v>4105</v>
      </c>
      <c r="M2030" t="s">
        <v>928</v>
      </c>
      <c r="N2030" t="s">
        <v>341</v>
      </c>
      <c r="O2030">
        <v>1</v>
      </c>
      <c r="P2030">
        <v>1255</v>
      </c>
      <c r="Q2030" t="s">
        <v>1237</v>
      </c>
      <c r="R2030" t="s">
        <v>201</v>
      </c>
      <c r="S2030">
        <v>2</v>
      </c>
      <c r="T2030">
        <v>1</v>
      </c>
      <c r="U2030">
        <v>68616</v>
      </c>
      <c r="V2030">
        <v>137232</v>
      </c>
    </row>
    <row r="2031" spans="1:22">
      <c r="A2031" t="s">
        <v>196</v>
      </c>
      <c r="B2031">
        <v>51</v>
      </c>
      <c r="C2031" t="s">
        <v>32</v>
      </c>
      <c r="D2031">
        <v>100</v>
      </c>
      <c r="E2031" t="s">
        <v>197</v>
      </c>
      <c r="F2031">
        <v>1005</v>
      </c>
      <c r="G2031" t="s">
        <v>32</v>
      </c>
      <c r="H2031">
        <v>2005</v>
      </c>
      <c r="I2031" t="s">
        <v>32</v>
      </c>
      <c r="J2031">
        <v>3015</v>
      </c>
      <c r="K2031" t="s">
        <v>1233</v>
      </c>
      <c r="L2031">
        <v>4105</v>
      </c>
      <c r="M2031" t="s">
        <v>928</v>
      </c>
      <c r="N2031" t="s">
        <v>386</v>
      </c>
      <c r="O2031">
        <v>1</v>
      </c>
      <c r="P2031">
        <v>629</v>
      </c>
      <c r="Q2031" t="s">
        <v>687</v>
      </c>
      <c r="R2031" t="s">
        <v>201</v>
      </c>
      <c r="S2031">
        <v>1</v>
      </c>
      <c r="T2031">
        <v>1</v>
      </c>
      <c r="U2031">
        <v>164808</v>
      </c>
      <c r="V2031">
        <v>164808</v>
      </c>
    </row>
    <row r="2032" spans="1:22">
      <c r="A2032" t="s">
        <v>196</v>
      </c>
      <c r="B2032">
        <v>51</v>
      </c>
      <c r="C2032" t="s">
        <v>32</v>
      </c>
      <c r="D2032">
        <v>100</v>
      </c>
      <c r="E2032" t="s">
        <v>197</v>
      </c>
      <c r="F2032">
        <v>1005</v>
      </c>
      <c r="G2032" t="s">
        <v>32</v>
      </c>
      <c r="H2032">
        <v>2005</v>
      </c>
      <c r="I2032" t="s">
        <v>32</v>
      </c>
      <c r="J2032">
        <v>3015</v>
      </c>
      <c r="K2032" t="s">
        <v>1233</v>
      </c>
      <c r="L2032">
        <v>4105</v>
      </c>
      <c r="M2032" t="s">
        <v>928</v>
      </c>
      <c r="N2032" t="s">
        <v>351</v>
      </c>
      <c r="O2032">
        <v>1</v>
      </c>
      <c r="P2032" t="s">
        <v>352</v>
      </c>
      <c r="Q2032" t="s">
        <v>353</v>
      </c>
      <c r="R2032" t="s">
        <v>201</v>
      </c>
      <c r="S2032">
        <v>1</v>
      </c>
      <c r="T2032">
        <v>1</v>
      </c>
      <c r="U2032">
        <v>108576</v>
      </c>
      <c r="V2032">
        <v>108576</v>
      </c>
    </row>
    <row r="2033" spans="1:22">
      <c r="A2033" t="s">
        <v>196</v>
      </c>
      <c r="B2033">
        <v>51</v>
      </c>
      <c r="C2033" t="s">
        <v>32</v>
      </c>
      <c r="D2033">
        <v>100</v>
      </c>
      <c r="E2033" t="s">
        <v>197</v>
      </c>
      <c r="F2033">
        <v>1005</v>
      </c>
      <c r="G2033" t="s">
        <v>32</v>
      </c>
      <c r="H2033">
        <v>2005</v>
      </c>
      <c r="I2033" t="s">
        <v>32</v>
      </c>
      <c r="J2033">
        <v>3015</v>
      </c>
      <c r="K2033" t="s">
        <v>1233</v>
      </c>
      <c r="L2033">
        <v>4105</v>
      </c>
      <c r="M2033" t="s">
        <v>928</v>
      </c>
      <c r="N2033" t="s">
        <v>351</v>
      </c>
      <c r="O2033">
        <v>1</v>
      </c>
      <c r="P2033" t="s">
        <v>352</v>
      </c>
      <c r="Q2033" t="s">
        <v>353</v>
      </c>
      <c r="R2033" t="s">
        <v>201</v>
      </c>
      <c r="S2033">
        <v>1</v>
      </c>
      <c r="T2033">
        <v>1</v>
      </c>
      <c r="U2033">
        <v>62544</v>
      </c>
      <c r="V2033">
        <v>62544</v>
      </c>
    </row>
    <row r="2034" spans="1:22">
      <c r="A2034" t="s">
        <v>196</v>
      </c>
      <c r="B2034">
        <v>51</v>
      </c>
      <c r="C2034" t="s">
        <v>32</v>
      </c>
      <c r="D2034">
        <v>100</v>
      </c>
      <c r="E2034" t="s">
        <v>197</v>
      </c>
      <c r="F2034">
        <v>1005</v>
      </c>
      <c r="G2034" t="s">
        <v>32</v>
      </c>
      <c r="H2034">
        <v>2005</v>
      </c>
      <c r="I2034" t="s">
        <v>32</v>
      </c>
      <c r="J2034">
        <v>3015</v>
      </c>
      <c r="K2034" t="s">
        <v>1233</v>
      </c>
      <c r="L2034">
        <v>4105</v>
      </c>
      <c r="M2034" t="s">
        <v>928</v>
      </c>
      <c r="N2034" t="s">
        <v>622</v>
      </c>
      <c r="O2034">
        <v>1</v>
      </c>
      <c r="P2034" t="s">
        <v>667</v>
      </c>
      <c r="Q2034" t="s">
        <v>205</v>
      </c>
      <c r="R2034" t="s">
        <v>201</v>
      </c>
      <c r="S2034">
        <v>2</v>
      </c>
      <c r="T2034">
        <v>1</v>
      </c>
      <c r="U2034">
        <v>90144</v>
      </c>
      <c r="V2034">
        <v>180288</v>
      </c>
    </row>
    <row r="2035" spans="1:22">
      <c r="A2035" t="s">
        <v>196</v>
      </c>
      <c r="B2035">
        <v>51</v>
      </c>
      <c r="C2035" t="s">
        <v>32</v>
      </c>
      <c r="D2035">
        <v>100</v>
      </c>
      <c r="E2035" t="s">
        <v>197</v>
      </c>
      <c r="F2035">
        <v>1005</v>
      </c>
      <c r="G2035" t="s">
        <v>32</v>
      </c>
      <c r="H2035">
        <v>2005</v>
      </c>
      <c r="I2035" t="s">
        <v>32</v>
      </c>
      <c r="J2035">
        <v>3015</v>
      </c>
      <c r="K2035" t="s">
        <v>1233</v>
      </c>
      <c r="L2035">
        <v>4105</v>
      </c>
      <c r="M2035" t="s">
        <v>928</v>
      </c>
      <c r="N2035" t="s">
        <v>622</v>
      </c>
      <c r="O2035">
        <v>1</v>
      </c>
      <c r="P2035" t="s">
        <v>667</v>
      </c>
      <c r="Q2035" t="s">
        <v>205</v>
      </c>
      <c r="R2035" t="s">
        <v>201</v>
      </c>
      <c r="S2035">
        <v>1</v>
      </c>
      <c r="T2035">
        <v>1</v>
      </c>
      <c r="U2035">
        <v>64488</v>
      </c>
      <c r="V2035">
        <v>64488</v>
      </c>
    </row>
    <row r="2036" spans="1:22">
      <c r="A2036" t="s">
        <v>196</v>
      </c>
      <c r="B2036">
        <v>51</v>
      </c>
      <c r="C2036" t="s">
        <v>32</v>
      </c>
      <c r="D2036">
        <v>100</v>
      </c>
      <c r="E2036" t="s">
        <v>197</v>
      </c>
      <c r="F2036">
        <v>1005</v>
      </c>
      <c r="G2036" t="s">
        <v>32</v>
      </c>
      <c r="H2036">
        <v>2005</v>
      </c>
      <c r="I2036" t="s">
        <v>32</v>
      </c>
      <c r="J2036">
        <v>3015</v>
      </c>
      <c r="K2036" t="s">
        <v>1233</v>
      </c>
      <c r="L2036">
        <v>4105</v>
      </c>
      <c r="M2036" t="s">
        <v>928</v>
      </c>
      <c r="N2036" t="s">
        <v>622</v>
      </c>
      <c r="O2036">
        <v>1</v>
      </c>
      <c r="P2036" t="s">
        <v>667</v>
      </c>
      <c r="Q2036" t="s">
        <v>205</v>
      </c>
      <c r="R2036" t="s">
        <v>201</v>
      </c>
      <c r="S2036">
        <v>1</v>
      </c>
      <c r="T2036">
        <v>1</v>
      </c>
      <c r="U2036">
        <v>56124</v>
      </c>
      <c r="V2036">
        <v>56124</v>
      </c>
    </row>
    <row r="2037" spans="1:22">
      <c r="A2037" t="s">
        <v>196</v>
      </c>
      <c r="B2037">
        <v>51</v>
      </c>
      <c r="C2037" t="s">
        <v>32</v>
      </c>
      <c r="D2037">
        <v>100</v>
      </c>
      <c r="E2037" t="s">
        <v>197</v>
      </c>
      <c r="F2037">
        <v>1005</v>
      </c>
      <c r="G2037" t="s">
        <v>32</v>
      </c>
      <c r="H2037">
        <v>2005</v>
      </c>
      <c r="I2037" t="s">
        <v>32</v>
      </c>
      <c r="J2037">
        <v>3015</v>
      </c>
      <c r="K2037" t="s">
        <v>1233</v>
      </c>
      <c r="L2037">
        <v>4105</v>
      </c>
      <c r="M2037" t="s">
        <v>928</v>
      </c>
      <c r="N2037" t="s">
        <v>622</v>
      </c>
      <c r="O2037">
        <v>1</v>
      </c>
      <c r="P2037" t="s">
        <v>667</v>
      </c>
      <c r="Q2037" t="s">
        <v>205</v>
      </c>
      <c r="R2037" t="s">
        <v>201</v>
      </c>
      <c r="S2037">
        <v>1</v>
      </c>
      <c r="T2037">
        <v>1</v>
      </c>
      <c r="U2037">
        <v>53532</v>
      </c>
      <c r="V2037">
        <v>53532</v>
      </c>
    </row>
    <row r="2038" spans="1:22">
      <c r="A2038" t="s">
        <v>196</v>
      </c>
      <c r="B2038">
        <v>51</v>
      </c>
      <c r="C2038" t="s">
        <v>32</v>
      </c>
      <c r="D2038">
        <v>100</v>
      </c>
      <c r="E2038" t="s">
        <v>197</v>
      </c>
      <c r="F2038">
        <v>1005</v>
      </c>
      <c r="G2038" t="s">
        <v>32</v>
      </c>
      <c r="H2038">
        <v>2005</v>
      </c>
      <c r="I2038" t="s">
        <v>32</v>
      </c>
      <c r="J2038">
        <v>3015</v>
      </c>
      <c r="K2038" t="s">
        <v>1233</v>
      </c>
      <c r="L2038">
        <v>4105</v>
      </c>
      <c r="M2038" t="s">
        <v>928</v>
      </c>
      <c r="N2038" t="s">
        <v>622</v>
      </c>
      <c r="O2038">
        <v>1</v>
      </c>
      <c r="P2038" t="s">
        <v>667</v>
      </c>
      <c r="Q2038" t="s">
        <v>205</v>
      </c>
      <c r="R2038" t="s">
        <v>201</v>
      </c>
      <c r="S2038">
        <v>3</v>
      </c>
      <c r="T2038">
        <v>1</v>
      </c>
      <c r="U2038">
        <v>51936</v>
      </c>
      <c r="V2038">
        <v>155808</v>
      </c>
    </row>
    <row r="2039" spans="1:22">
      <c r="A2039" t="s">
        <v>196</v>
      </c>
      <c r="B2039">
        <v>51</v>
      </c>
      <c r="C2039" t="s">
        <v>32</v>
      </c>
      <c r="D2039">
        <v>100</v>
      </c>
      <c r="E2039" t="s">
        <v>197</v>
      </c>
      <c r="F2039">
        <v>1005</v>
      </c>
      <c r="G2039" t="s">
        <v>32</v>
      </c>
      <c r="H2039">
        <v>2005</v>
      </c>
      <c r="I2039" t="s">
        <v>32</v>
      </c>
      <c r="J2039">
        <v>3015</v>
      </c>
      <c r="K2039" t="s">
        <v>1233</v>
      </c>
      <c r="L2039">
        <v>4105</v>
      </c>
      <c r="M2039" t="s">
        <v>928</v>
      </c>
      <c r="N2039" t="s">
        <v>249</v>
      </c>
      <c r="O2039">
        <v>10</v>
      </c>
      <c r="P2039">
        <v>310</v>
      </c>
      <c r="Q2039" t="s">
        <v>447</v>
      </c>
      <c r="R2039" t="s">
        <v>201</v>
      </c>
      <c r="S2039">
        <v>1</v>
      </c>
      <c r="T2039">
        <v>1</v>
      </c>
      <c r="U2039">
        <v>102444</v>
      </c>
      <c r="V2039">
        <v>102444</v>
      </c>
    </row>
    <row r="2040" spans="1:22">
      <c r="A2040" t="s">
        <v>196</v>
      </c>
      <c r="B2040">
        <v>51</v>
      </c>
      <c r="C2040" t="s">
        <v>32</v>
      </c>
      <c r="D2040">
        <v>100</v>
      </c>
      <c r="E2040" t="s">
        <v>197</v>
      </c>
      <c r="F2040">
        <v>1005</v>
      </c>
      <c r="G2040" t="s">
        <v>32</v>
      </c>
      <c r="H2040">
        <v>2005</v>
      </c>
      <c r="I2040" t="s">
        <v>32</v>
      </c>
      <c r="J2040">
        <v>3015</v>
      </c>
      <c r="K2040" t="s">
        <v>1233</v>
      </c>
      <c r="L2040">
        <v>4105</v>
      </c>
      <c r="M2040" t="s">
        <v>928</v>
      </c>
      <c r="N2040" t="s">
        <v>341</v>
      </c>
      <c r="O2040">
        <v>1</v>
      </c>
      <c r="P2040">
        <v>308</v>
      </c>
      <c r="Q2040" t="s">
        <v>355</v>
      </c>
      <c r="R2040" t="s">
        <v>201</v>
      </c>
      <c r="S2040">
        <v>1</v>
      </c>
      <c r="T2040">
        <v>1</v>
      </c>
      <c r="U2040">
        <v>77640</v>
      </c>
      <c r="V2040">
        <v>77640</v>
      </c>
    </row>
    <row r="2041" spans="1:22">
      <c r="A2041" t="s">
        <v>196</v>
      </c>
      <c r="B2041">
        <v>51</v>
      </c>
      <c r="C2041" t="s">
        <v>32</v>
      </c>
      <c r="D2041">
        <v>100</v>
      </c>
      <c r="E2041" t="s">
        <v>197</v>
      </c>
      <c r="F2041">
        <v>1005</v>
      </c>
      <c r="G2041" t="s">
        <v>32</v>
      </c>
      <c r="H2041">
        <v>2005</v>
      </c>
      <c r="I2041" t="s">
        <v>32</v>
      </c>
      <c r="J2041">
        <v>3015</v>
      </c>
      <c r="K2041" t="s">
        <v>1233</v>
      </c>
      <c r="L2041">
        <v>4105</v>
      </c>
      <c r="M2041" t="s">
        <v>928</v>
      </c>
      <c r="N2041" t="s">
        <v>341</v>
      </c>
      <c r="O2041">
        <v>1</v>
      </c>
      <c r="P2041">
        <v>308</v>
      </c>
      <c r="Q2041" t="s">
        <v>355</v>
      </c>
      <c r="R2041" t="s">
        <v>201</v>
      </c>
      <c r="S2041">
        <v>1</v>
      </c>
      <c r="T2041">
        <v>1</v>
      </c>
      <c r="U2041">
        <v>74172</v>
      </c>
      <c r="V2041">
        <v>74172</v>
      </c>
    </row>
    <row r="2042" spans="1:22">
      <c r="A2042" t="s">
        <v>196</v>
      </c>
      <c r="B2042">
        <v>51</v>
      </c>
      <c r="C2042" t="s">
        <v>32</v>
      </c>
      <c r="D2042">
        <v>100</v>
      </c>
      <c r="E2042" t="s">
        <v>197</v>
      </c>
      <c r="F2042">
        <v>1005</v>
      </c>
      <c r="G2042" t="s">
        <v>32</v>
      </c>
      <c r="H2042">
        <v>2005</v>
      </c>
      <c r="I2042" t="s">
        <v>32</v>
      </c>
      <c r="J2042">
        <v>3015</v>
      </c>
      <c r="K2042" t="s">
        <v>1233</v>
      </c>
      <c r="L2042">
        <v>4105</v>
      </c>
      <c r="M2042" t="s">
        <v>928</v>
      </c>
      <c r="N2042" t="s">
        <v>274</v>
      </c>
      <c r="O2042">
        <v>0</v>
      </c>
      <c r="P2042">
        <v>306</v>
      </c>
      <c r="Q2042" t="s">
        <v>636</v>
      </c>
      <c r="R2042" t="s">
        <v>201</v>
      </c>
      <c r="S2042">
        <v>1</v>
      </c>
      <c r="T2042">
        <v>1</v>
      </c>
      <c r="U2042">
        <v>153384</v>
      </c>
      <c r="V2042">
        <v>153384</v>
      </c>
    </row>
    <row r="2043" spans="1:22">
      <c r="A2043" t="s">
        <v>196</v>
      </c>
      <c r="B2043">
        <v>51</v>
      </c>
      <c r="C2043" t="s">
        <v>32</v>
      </c>
      <c r="D2043">
        <v>100</v>
      </c>
      <c r="E2043" t="s">
        <v>197</v>
      </c>
      <c r="F2043">
        <v>1005</v>
      </c>
      <c r="G2043" t="s">
        <v>32</v>
      </c>
      <c r="H2043">
        <v>2005</v>
      </c>
      <c r="I2043" t="s">
        <v>32</v>
      </c>
      <c r="J2043">
        <v>3015</v>
      </c>
      <c r="K2043" t="s">
        <v>1233</v>
      </c>
      <c r="L2043">
        <v>4105</v>
      </c>
      <c r="M2043" t="s">
        <v>928</v>
      </c>
      <c r="N2043" t="s">
        <v>199</v>
      </c>
      <c r="O2043">
        <v>0</v>
      </c>
      <c r="P2043">
        <v>15</v>
      </c>
      <c r="Q2043" t="s">
        <v>264</v>
      </c>
      <c r="R2043" t="s">
        <v>201</v>
      </c>
      <c r="S2043">
        <v>0</v>
      </c>
      <c r="T2043">
        <v>0</v>
      </c>
      <c r="U2043">
        <v>87561</v>
      </c>
      <c r="V2043">
        <v>87561</v>
      </c>
    </row>
    <row r="2044" spans="1:22">
      <c r="A2044" t="s">
        <v>196</v>
      </c>
      <c r="B2044">
        <v>51</v>
      </c>
      <c r="C2044" t="s">
        <v>32</v>
      </c>
      <c r="D2044">
        <v>100</v>
      </c>
      <c r="E2044" t="s">
        <v>197</v>
      </c>
      <c r="F2044">
        <v>1005</v>
      </c>
      <c r="G2044" t="s">
        <v>32</v>
      </c>
      <c r="H2044">
        <v>2005</v>
      </c>
      <c r="I2044" t="s">
        <v>32</v>
      </c>
      <c r="J2044">
        <v>3015</v>
      </c>
      <c r="K2044" t="s">
        <v>1233</v>
      </c>
      <c r="L2044">
        <v>4120</v>
      </c>
      <c r="M2044" t="s">
        <v>1238</v>
      </c>
      <c r="N2044" t="s">
        <v>341</v>
      </c>
      <c r="O2044">
        <v>1</v>
      </c>
      <c r="P2044">
        <v>9115</v>
      </c>
      <c r="Q2044" t="s">
        <v>1239</v>
      </c>
      <c r="R2044" t="s">
        <v>201</v>
      </c>
      <c r="S2044">
        <v>2</v>
      </c>
      <c r="T2044">
        <v>1</v>
      </c>
      <c r="U2044">
        <v>119100</v>
      </c>
      <c r="V2044">
        <v>238200</v>
      </c>
    </row>
    <row r="2045" spans="1:22">
      <c r="A2045" t="s">
        <v>196</v>
      </c>
      <c r="B2045">
        <v>51</v>
      </c>
      <c r="C2045" t="s">
        <v>32</v>
      </c>
      <c r="D2045">
        <v>100</v>
      </c>
      <c r="E2045" t="s">
        <v>197</v>
      </c>
      <c r="F2045">
        <v>1005</v>
      </c>
      <c r="G2045" t="s">
        <v>32</v>
      </c>
      <c r="H2045">
        <v>2005</v>
      </c>
      <c r="I2045" t="s">
        <v>32</v>
      </c>
      <c r="J2045">
        <v>3015</v>
      </c>
      <c r="K2045" t="s">
        <v>1233</v>
      </c>
      <c r="L2045">
        <v>4120</v>
      </c>
      <c r="M2045" t="s">
        <v>1238</v>
      </c>
      <c r="N2045" t="s">
        <v>341</v>
      </c>
      <c r="O2045">
        <v>1</v>
      </c>
      <c r="P2045">
        <v>9115</v>
      </c>
      <c r="Q2045" t="s">
        <v>1239</v>
      </c>
      <c r="R2045" t="s">
        <v>201</v>
      </c>
      <c r="S2045">
        <v>1</v>
      </c>
      <c r="T2045">
        <v>1</v>
      </c>
      <c r="U2045">
        <v>98928</v>
      </c>
      <c r="V2045">
        <v>98928</v>
      </c>
    </row>
    <row r="2046" spans="1:22">
      <c r="A2046" t="s">
        <v>196</v>
      </c>
      <c r="B2046">
        <v>51</v>
      </c>
      <c r="C2046" t="s">
        <v>32</v>
      </c>
      <c r="D2046">
        <v>100</v>
      </c>
      <c r="E2046" t="s">
        <v>197</v>
      </c>
      <c r="F2046">
        <v>1005</v>
      </c>
      <c r="G2046" t="s">
        <v>32</v>
      </c>
      <c r="H2046">
        <v>2005</v>
      </c>
      <c r="I2046" t="s">
        <v>32</v>
      </c>
      <c r="J2046">
        <v>3015</v>
      </c>
      <c r="K2046" t="s">
        <v>1233</v>
      </c>
      <c r="L2046">
        <v>4120</v>
      </c>
      <c r="M2046" t="s">
        <v>1238</v>
      </c>
      <c r="N2046" t="s">
        <v>341</v>
      </c>
      <c r="O2046">
        <v>1</v>
      </c>
      <c r="P2046">
        <v>9115</v>
      </c>
      <c r="Q2046" t="s">
        <v>1239</v>
      </c>
      <c r="R2046" t="s">
        <v>201</v>
      </c>
      <c r="S2046">
        <v>4</v>
      </c>
      <c r="T2046">
        <v>1</v>
      </c>
      <c r="U2046">
        <v>81324</v>
      </c>
      <c r="V2046">
        <v>325296</v>
      </c>
    </row>
    <row r="2047" spans="1:22">
      <c r="A2047" t="s">
        <v>196</v>
      </c>
      <c r="B2047">
        <v>51</v>
      </c>
      <c r="C2047" t="s">
        <v>32</v>
      </c>
      <c r="D2047">
        <v>100</v>
      </c>
      <c r="E2047" t="s">
        <v>197</v>
      </c>
      <c r="F2047">
        <v>1005</v>
      </c>
      <c r="G2047" t="s">
        <v>32</v>
      </c>
      <c r="H2047">
        <v>2005</v>
      </c>
      <c r="I2047" t="s">
        <v>32</v>
      </c>
      <c r="J2047">
        <v>3015</v>
      </c>
      <c r="K2047" t="s">
        <v>1233</v>
      </c>
      <c r="L2047">
        <v>4120</v>
      </c>
      <c r="M2047" t="s">
        <v>1238</v>
      </c>
      <c r="N2047" t="s">
        <v>341</v>
      </c>
      <c r="O2047">
        <v>1</v>
      </c>
      <c r="P2047">
        <v>9115</v>
      </c>
      <c r="Q2047" t="s">
        <v>1239</v>
      </c>
      <c r="R2047" t="s">
        <v>201</v>
      </c>
      <c r="S2047">
        <v>1</v>
      </c>
      <c r="T2047">
        <v>1</v>
      </c>
      <c r="U2047">
        <v>70752</v>
      </c>
      <c r="V2047">
        <v>70752</v>
      </c>
    </row>
    <row r="2048" spans="1:22">
      <c r="A2048" t="s">
        <v>196</v>
      </c>
      <c r="B2048">
        <v>51</v>
      </c>
      <c r="C2048" t="s">
        <v>32</v>
      </c>
      <c r="D2048">
        <v>100</v>
      </c>
      <c r="E2048" t="s">
        <v>197</v>
      </c>
      <c r="F2048">
        <v>1005</v>
      </c>
      <c r="G2048" t="s">
        <v>32</v>
      </c>
      <c r="H2048">
        <v>2005</v>
      </c>
      <c r="I2048" t="s">
        <v>32</v>
      </c>
      <c r="J2048">
        <v>3015</v>
      </c>
      <c r="K2048" t="s">
        <v>1233</v>
      </c>
      <c r="L2048">
        <v>4120</v>
      </c>
      <c r="M2048" t="s">
        <v>1238</v>
      </c>
      <c r="N2048" t="s">
        <v>341</v>
      </c>
      <c r="O2048">
        <v>1</v>
      </c>
      <c r="P2048">
        <v>9115</v>
      </c>
      <c r="Q2048" t="s">
        <v>1239</v>
      </c>
      <c r="R2048" t="s">
        <v>201</v>
      </c>
      <c r="S2048">
        <v>3</v>
      </c>
      <c r="T2048">
        <v>1</v>
      </c>
      <c r="U2048">
        <v>68616</v>
      </c>
      <c r="V2048">
        <v>205848</v>
      </c>
    </row>
    <row r="2049" spans="1:22">
      <c r="A2049" t="s">
        <v>196</v>
      </c>
      <c r="B2049">
        <v>51</v>
      </c>
      <c r="C2049" t="s">
        <v>32</v>
      </c>
      <c r="D2049">
        <v>100</v>
      </c>
      <c r="E2049" t="s">
        <v>197</v>
      </c>
      <c r="F2049">
        <v>1005</v>
      </c>
      <c r="G2049" t="s">
        <v>32</v>
      </c>
      <c r="H2049">
        <v>2005</v>
      </c>
      <c r="I2049" t="s">
        <v>32</v>
      </c>
      <c r="J2049">
        <v>3015</v>
      </c>
      <c r="K2049" t="s">
        <v>1233</v>
      </c>
      <c r="L2049">
        <v>4120</v>
      </c>
      <c r="M2049" t="s">
        <v>1238</v>
      </c>
      <c r="N2049" t="s">
        <v>1134</v>
      </c>
      <c r="O2049">
        <v>37</v>
      </c>
      <c r="P2049">
        <v>3763</v>
      </c>
      <c r="Q2049" t="s">
        <v>1135</v>
      </c>
      <c r="R2049" t="s">
        <v>201</v>
      </c>
      <c r="S2049">
        <v>2</v>
      </c>
      <c r="T2049">
        <v>1</v>
      </c>
      <c r="U2049">
        <v>151572</v>
      </c>
      <c r="V2049">
        <v>303144</v>
      </c>
    </row>
    <row r="2050" spans="1:22">
      <c r="A2050" t="s">
        <v>196</v>
      </c>
      <c r="B2050">
        <v>51</v>
      </c>
      <c r="C2050" t="s">
        <v>32</v>
      </c>
      <c r="D2050">
        <v>100</v>
      </c>
      <c r="E2050" t="s">
        <v>197</v>
      </c>
      <c r="F2050">
        <v>1005</v>
      </c>
      <c r="G2050" t="s">
        <v>32</v>
      </c>
      <c r="H2050">
        <v>2005</v>
      </c>
      <c r="I2050" t="s">
        <v>32</v>
      </c>
      <c r="J2050">
        <v>3015</v>
      </c>
      <c r="K2050" t="s">
        <v>1233</v>
      </c>
      <c r="L2050">
        <v>4120</v>
      </c>
      <c r="M2050" t="s">
        <v>1238</v>
      </c>
      <c r="N2050" t="s">
        <v>1134</v>
      </c>
      <c r="O2050">
        <v>37</v>
      </c>
      <c r="P2050">
        <v>3763</v>
      </c>
      <c r="Q2050" t="s">
        <v>1135</v>
      </c>
      <c r="R2050" t="s">
        <v>201</v>
      </c>
      <c r="S2050">
        <v>1</v>
      </c>
      <c r="T2050">
        <v>1</v>
      </c>
      <c r="U2050">
        <v>117528</v>
      </c>
      <c r="V2050">
        <v>117528</v>
      </c>
    </row>
    <row r="2051" spans="1:22">
      <c r="A2051" t="s">
        <v>196</v>
      </c>
      <c r="B2051">
        <v>51</v>
      </c>
      <c r="C2051" t="s">
        <v>32</v>
      </c>
      <c r="D2051">
        <v>100</v>
      </c>
      <c r="E2051" t="s">
        <v>197</v>
      </c>
      <c r="F2051">
        <v>1005</v>
      </c>
      <c r="G2051" t="s">
        <v>32</v>
      </c>
      <c r="H2051">
        <v>2005</v>
      </c>
      <c r="I2051" t="s">
        <v>32</v>
      </c>
      <c r="J2051">
        <v>3015</v>
      </c>
      <c r="K2051" t="s">
        <v>1233</v>
      </c>
      <c r="L2051">
        <v>4120</v>
      </c>
      <c r="M2051" t="s">
        <v>1238</v>
      </c>
      <c r="N2051" t="s">
        <v>1134</v>
      </c>
      <c r="O2051">
        <v>37</v>
      </c>
      <c r="P2051">
        <v>3763</v>
      </c>
      <c r="Q2051" t="s">
        <v>1135</v>
      </c>
      <c r="R2051" t="s">
        <v>201</v>
      </c>
      <c r="S2051">
        <v>1</v>
      </c>
      <c r="T2051">
        <v>1</v>
      </c>
      <c r="U2051">
        <v>106488</v>
      </c>
      <c r="V2051">
        <v>106488</v>
      </c>
    </row>
    <row r="2052" spans="1:22">
      <c r="A2052" t="s">
        <v>196</v>
      </c>
      <c r="B2052">
        <v>51</v>
      </c>
      <c r="C2052" t="s">
        <v>32</v>
      </c>
      <c r="D2052">
        <v>100</v>
      </c>
      <c r="E2052" t="s">
        <v>197</v>
      </c>
      <c r="F2052">
        <v>1005</v>
      </c>
      <c r="G2052" t="s">
        <v>32</v>
      </c>
      <c r="H2052">
        <v>2005</v>
      </c>
      <c r="I2052" t="s">
        <v>32</v>
      </c>
      <c r="J2052">
        <v>3015</v>
      </c>
      <c r="K2052" t="s">
        <v>1233</v>
      </c>
      <c r="L2052">
        <v>4120</v>
      </c>
      <c r="M2052" t="s">
        <v>1238</v>
      </c>
      <c r="N2052" t="s">
        <v>1136</v>
      </c>
      <c r="O2052">
        <v>37</v>
      </c>
      <c r="P2052">
        <v>3603</v>
      </c>
      <c r="Q2052" t="s">
        <v>1240</v>
      </c>
      <c r="R2052" t="s">
        <v>201</v>
      </c>
      <c r="S2052">
        <v>2</v>
      </c>
      <c r="T2052">
        <v>1</v>
      </c>
      <c r="U2052">
        <v>91956</v>
      </c>
      <c r="V2052">
        <v>183912</v>
      </c>
    </row>
    <row r="2053" spans="1:22">
      <c r="A2053" t="s">
        <v>196</v>
      </c>
      <c r="B2053">
        <v>51</v>
      </c>
      <c r="C2053" t="s">
        <v>32</v>
      </c>
      <c r="D2053">
        <v>100</v>
      </c>
      <c r="E2053" t="s">
        <v>197</v>
      </c>
      <c r="F2053">
        <v>1005</v>
      </c>
      <c r="G2053" t="s">
        <v>32</v>
      </c>
      <c r="H2053">
        <v>2005</v>
      </c>
      <c r="I2053" t="s">
        <v>32</v>
      </c>
      <c r="J2053">
        <v>3015</v>
      </c>
      <c r="K2053" t="s">
        <v>1233</v>
      </c>
      <c r="L2053">
        <v>4120</v>
      </c>
      <c r="M2053" t="s">
        <v>1238</v>
      </c>
      <c r="N2053" t="s">
        <v>1136</v>
      </c>
      <c r="O2053">
        <v>37</v>
      </c>
      <c r="P2053">
        <v>3603</v>
      </c>
      <c r="Q2053" t="s">
        <v>1240</v>
      </c>
      <c r="R2053" t="s">
        <v>201</v>
      </c>
      <c r="S2053">
        <v>1</v>
      </c>
      <c r="T2053">
        <v>1</v>
      </c>
      <c r="U2053">
        <v>83304</v>
      </c>
      <c r="V2053">
        <v>83304</v>
      </c>
    </row>
    <row r="2054" spans="1:22">
      <c r="A2054" t="s">
        <v>196</v>
      </c>
      <c r="B2054">
        <v>51</v>
      </c>
      <c r="C2054" t="s">
        <v>32</v>
      </c>
      <c r="D2054">
        <v>100</v>
      </c>
      <c r="E2054" t="s">
        <v>197</v>
      </c>
      <c r="F2054">
        <v>1005</v>
      </c>
      <c r="G2054" t="s">
        <v>32</v>
      </c>
      <c r="H2054">
        <v>2005</v>
      </c>
      <c r="I2054" t="s">
        <v>32</v>
      </c>
      <c r="J2054">
        <v>3015</v>
      </c>
      <c r="K2054" t="s">
        <v>1233</v>
      </c>
      <c r="L2054">
        <v>4120</v>
      </c>
      <c r="M2054" t="s">
        <v>1238</v>
      </c>
      <c r="N2054" t="s">
        <v>1136</v>
      </c>
      <c r="O2054">
        <v>37</v>
      </c>
      <c r="P2054">
        <v>3603</v>
      </c>
      <c r="Q2054" t="s">
        <v>1240</v>
      </c>
      <c r="R2054" t="s">
        <v>201</v>
      </c>
      <c r="S2054">
        <v>1</v>
      </c>
      <c r="T2054">
        <v>1</v>
      </c>
      <c r="U2054">
        <v>79452</v>
      </c>
      <c r="V2054">
        <v>79452</v>
      </c>
    </row>
    <row r="2055" spans="1:22">
      <c r="A2055" t="s">
        <v>196</v>
      </c>
      <c r="B2055">
        <v>51</v>
      </c>
      <c r="C2055" t="s">
        <v>32</v>
      </c>
      <c r="D2055">
        <v>100</v>
      </c>
      <c r="E2055" t="s">
        <v>197</v>
      </c>
      <c r="F2055">
        <v>1005</v>
      </c>
      <c r="G2055" t="s">
        <v>32</v>
      </c>
      <c r="H2055">
        <v>2005</v>
      </c>
      <c r="I2055" t="s">
        <v>32</v>
      </c>
      <c r="J2055">
        <v>3015</v>
      </c>
      <c r="K2055" t="s">
        <v>1233</v>
      </c>
      <c r="L2055">
        <v>4120</v>
      </c>
      <c r="M2055" t="s">
        <v>1238</v>
      </c>
      <c r="N2055" t="s">
        <v>287</v>
      </c>
      <c r="O2055">
        <v>20</v>
      </c>
      <c r="P2055">
        <v>3431</v>
      </c>
      <c r="Q2055" t="s">
        <v>1241</v>
      </c>
      <c r="R2055" t="s">
        <v>201</v>
      </c>
      <c r="S2055">
        <v>2</v>
      </c>
      <c r="T2055">
        <v>1</v>
      </c>
      <c r="U2055">
        <v>76020</v>
      </c>
      <c r="V2055">
        <v>152040</v>
      </c>
    </row>
    <row r="2056" spans="1:22">
      <c r="A2056" t="s">
        <v>196</v>
      </c>
      <c r="B2056">
        <v>51</v>
      </c>
      <c r="C2056" t="s">
        <v>32</v>
      </c>
      <c r="D2056">
        <v>100</v>
      </c>
      <c r="E2056" t="s">
        <v>197</v>
      </c>
      <c r="F2056">
        <v>1005</v>
      </c>
      <c r="G2056" t="s">
        <v>32</v>
      </c>
      <c r="H2056">
        <v>2005</v>
      </c>
      <c r="I2056" t="s">
        <v>32</v>
      </c>
      <c r="J2056">
        <v>3015</v>
      </c>
      <c r="K2056" t="s">
        <v>1233</v>
      </c>
      <c r="L2056">
        <v>4120</v>
      </c>
      <c r="M2056" t="s">
        <v>1238</v>
      </c>
      <c r="N2056" t="s">
        <v>311</v>
      </c>
      <c r="O2056">
        <v>9</v>
      </c>
      <c r="P2056">
        <v>3360</v>
      </c>
      <c r="Q2056" t="s">
        <v>1242</v>
      </c>
      <c r="R2056" t="s">
        <v>201</v>
      </c>
      <c r="S2056">
        <v>1</v>
      </c>
      <c r="T2056">
        <v>1</v>
      </c>
      <c r="U2056">
        <v>149448</v>
      </c>
      <c r="V2056">
        <v>149448</v>
      </c>
    </row>
    <row r="2057" spans="1:22">
      <c r="A2057" t="s">
        <v>196</v>
      </c>
      <c r="B2057">
        <v>51</v>
      </c>
      <c r="C2057" t="s">
        <v>32</v>
      </c>
      <c r="D2057">
        <v>100</v>
      </c>
      <c r="E2057" t="s">
        <v>197</v>
      </c>
      <c r="F2057">
        <v>1005</v>
      </c>
      <c r="G2057" t="s">
        <v>32</v>
      </c>
      <c r="H2057">
        <v>2005</v>
      </c>
      <c r="I2057" t="s">
        <v>32</v>
      </c>
      <c r="J2057">
        <v>3015</v>
      </c>
      <c r="K2057" t="s">
        <v>1233</v>
      </c>
      <c r="L2057">
        <v>4120</v>
      </c>
      <c r="M2057" t="s">
        <v>1238</v>
      </c>
      <c r="N2057" t="s">
        <v>809</v>
      </c>
      <c r="O2057">
        <v>1</v>
      </c>
      <c r="P2057">
        <v>460</v>
      </c>
      <c r="Q2057" t="s">
        <v>810</v>
      </c>
      <c r="R2057" t="s">
        <v>201</v>
      </c>
      <c r="S2057">
        <v>1</v>
      </c>
      <c r="T2057">
        <v>1</v>
      </c>
      <c r="U2057">
        <v>82140</v>
      </c>
      <c r="V2057">
        <v>82140</v>
      </c>
    </row>
    <row r="2058" spans="1:22">
      <c r="A2058" t="s">
        <v>196</v>
      </c>
      <c r="B2058">
        <v>51</v>
      </c>
      <c r="C2058" t="s">
        <v>32</v>
      </c>
      <c r="D2058">
        <v>100</v>
      </c>
      <c r="E2058" t="s">
        <v>197</v>
      </c>
      <c r="F2058">
        <v>1005</v>
      </c>
      <c r="G2058" t="s">
        <v>32</v>
      </c>
      <c r="H2058">
        <v>2005</v>
      </c>
      <c r="I2058" t="s">
        <v>32</v>
      </c>
      <c r="J2058">
        <v>3015</v>
      </c>
      <c r="K2058" t="s">
        <v>1233</v>
      </c>
      <c r="L2058">
        <v>4120</v>
      </c>
      <c r="M2058" t="s">
        <v>1238</v>
      </c>
      <c r="N2058" t="s">
        <v>809</v>
      </c>
      <c r="O2058">
        <v>1</v>
      </c>
      <c r="P2058">
        <v>415</v>
      </c>
      <c r="Q2058" t="s">
        <v>1243</v>
      </c>
      <c r="R2058" t="s">
        <v>201</v>
      </c>
      <c r="S2058">
        <v>1</v>
      </c>
      <c r="T2058">
        <v>1</v>
      </c>
      <c r="U2058">
        <v>53532</v>
      </c>
      <c r="V2058">
        <v>53532</v>
      </c>
    </row>
    <row r="2059" spans="1:22">
      <c r="A2059" t="s">
        <v>196</v>
      </c>
      <c r="B2059">
        <v>51</v>
      </c>
      <c r="C2059" t="s">
        <v>32</v>
      </c>
      <c r="D2059">
        <v>100</v>
      </c>
      <c r="E2059" t="s">
        <v>197</v>
      </c>
      <c r="F2059">
        <v>1005</v>
      </c>
      <c r="G2059" t="s">
        <v>32</v>
      </c>
      <c r="H2059">
        <v>2005</v>
      </c>
      <c r="I2059" t="s">
        <v>32</v>
      </c>
      <c r="J2059">
        <v>3015</v>
      </c>
      <c r="K2059" t="s">
        <v>1233</v>
      </c>
      <c r="L2059">
        <v>4120</v>
      </c>
      <c r="M2059" t="s">
        <v>1238</v>
      </c>
      <c r="N2059" t="s">
        <v>809</v>
      </c>
      <c r="O2059">
        <v>1</v>
      </c>
      <c r="P2059">
        <v>415</v>
      </c>
      <c r="Q2059" t="s">
        <v>1243</v>
      </c>
      <c r="R2059" t="s">
        <v>201</v>
      </c>
      <c r="S2059">
        <v>6</v>
      </c>
      <c r="T2059">
        <v>1</v>
      </c>
      <c r="U2059">
        <v>47364</v>
      </c>
      <c r="V2059">
        <v>284184</v>
      </c>
    </row>
    <row r="2060" spans="1:22">
      <c r="A2060" t="s">
        <v>196</v>
      </c>
      <c r="B2060">
        <v>51</v>
      </c>
      <c r="C2060" t="s">
        <v>32</v>
      </c>
      <c r="D2060">
        <v>100</v>
      </c>
      <c r="E2060" t="s">
        <v>197</v>
      </c>
      <c r="F2060">
        <v>1005</v>
      </c>
      <c r="G2060" t="s">
        <v>32</v>
      </c>
      <c r="H2060">
        <v>2005</v>
      </c>
      <c r="I2060" t="s">
        <v>32</v>
      </c>
      <c r="J2060">
        <v>3015</v>
      </c>
      <c r="K2060" t="s">
        <v>1233</v>
      </c>
      <c r="L2060">
        <v>4120</v>
      </c>
      <c r="M2060" t="s">
        <v>1238</v>
      </c>
      <c r="N2060" t="s">
        <v>622</v>
      </c>
      <c r="O2060">
        <v>1</v>
      </c>
      <c r="P2060" t="s">
        <v>667</v>
      </c>
      <c r="Q2060" t="s">
        <v>205</v>
      </c>
      <c r="R2060" t="s">
        <v>201</v>
      </c>
      <c r="S2060">
        <v>1</v>
      </c>
      <c r="T2060">
        <v>1</v>
      </c>
      <c r="U2060">
        <v>90144</v>
      </c>
      <c r="V2060">
        <v>90144</v>
      </c>
    </row>
    <row r="2061" spans="1:22">
      <c r="A2061" t="s">
        <v>196</v>
      </c>
      <c r="B2061">
        <v>51</v>
      </c>
      <c r="C2061" t="s">
        <v>32</v>
      </c>
      <c r="D2061">
        <v>100</v>
      </c>
      <c r="E2061" t="s">
        <v>197</v>
      </c>
      <c r="F2061">
        <v>1005</v>
      </c>
      <c r="G2061" t="s">
        <v>32</v>
      </c>
      <c r="H2061">
        <v>2005</v>
      </c>
      <c r="I2061" t="s">
        <v>32</v>
      </c>
      <c r="J2061">
        <v>3015</v>
      </c>
      <c r="K2061" t="s">
        <v>1233</v>
      </c>
      <c r="L2061">
        <v>4120</v>
      </c>
      <c r="M2061" t="s">
        <v>1238</v>
      </c>
      <c r="N2061" t="s">
        <v>622</v>
      </c>
      <c r="O2061">
        <v>1</v>
      </c>
      <c r="P2061" t="s">
        <v>667</v>
      </c>
      <c r="Q2061" t="s">
        <v>205</v>
      </c>
      <c r="R2061" t="s">
        <v>201</v>
      </c>
      <c r="S2061">
        <v>1</v>
      </c>
      <c r="T2061">
        <v>1</v>
      </c>
      <c r="U2061">
        <v>56124</v>
      </c>
      <c r="V2061">
        <v>56124</v>
      </c>
    </row>
    <row r="2062" spans="1:22">
      <c r="A2062" t="s">
        <v>196</v>
      </c>
      <c r="B2062">
        <v>51</v>
      </c>
      <c r="C2062" t="s">
        <v>32</v>
      </c>
      <c r="D2062">
        <v>100</v>
      </c>
      <c r="E2062" t="s">
        <v>197</v>
      </c>
      <c r="F2062">
        <v>1005</v>
      </c>
      <c r="G2062" t="s">
        <v>32</v>
      </c>
      <c r="H2062">
        <v>2005</v>
      </c>
      <c r="I2062" t="s">
        <v>32</v>
      </c>
      <c r="J2062">
        <v>3015</v>
      </c>
      <c r="K2062" t="s">
        <v>1233</v>
      </c>
      <c r="L2062">
        <v>4120</v>
      </c>
      <c r="M2062" t="s">
        <v>1238</v>
      </c>
      <c r="N2062" t="s">
        <v>622</v>
      </c>
      <c r="O2062">
        <v>1</v>
      </c>
      <c r="P2062" t="s">
        <v>667</v>
      </c>
      <c r="Q2062" t="s">
        <v>205</v>
      </c>
      <c r="R2062" t="s">
        <v>201</v>
      </c>
      <c r="S2062">
        <v>1</v>
      </c>
      <c r="T2062">
        <v>1</v>
      </c>
      <c r="U2062">
        <v>51936</v>
      </c>
      <c r="V2062">
        <v>51936</v>
      </c>
    </row>
    <row r="2063" spans="1:22">
      <c r="A2063" t="s">
        <v>196</v>
      </c>
      <c r="B2063">
        <v>51</v>
      </c>
      <c r="C2063" t="s">
        <v>32</v>
      </c>
      <c r="D2063">
        <v>100</v>
      </c>
      <c r="E2063" t="s">
        <v>197</v>
      </c>
      <c r="F2063">
        <v>1005</v>
      </c>
      <c r="G2063" t="s">
        <v>32</v>
      </c>
      <c r="H2063">
        <v>2005</v>
      </c>
      <c r="I2063" t="s">
        <v>32</v>
      </c>
      <c r="J2063">
        <v>3015</v>
      </c>
      <c r="K2063" t="s">
        <v>1233</v>
      </c>
      <c r="L2063">
        <v>4120</v>
      </c>
      <c r="M2063" t="s">
        <v>1238</v>
      </c>
      <c r="N2063" t="s">
        <v>274</v>
      </c>
      <c r="O2063">
        <v>9</v>
      </c>
      <c r="P2063">
        <v>341</v>
      </c>
      <c r="Q2063" t="s">
        <v>1244</v>
      </c>
      <c r="R2063" t="s">
        <v>201</v>
      </c>
      <c r="S2063">
        <v>1</v>
      </c>
      <c r="T2063">
        <v>1</v>
      </c>
      <c r="U2063">
        <v>153384</v>
      </c>
      <c r="V2063">
        <v>153384</v>
      </c>
    </row>
    <row r="2064" spans="1:22">
      <c r="A2064" t="s">
        <v>196</v>
      </c>
      <c r="B2064">
        <v>51</v>
      </c>
      <c r="C2064" t="s">
        <v>32</v>
      </c>
      <c r="D2064">
        <v>100</v>
      </c>
      <c r="E2064" t="s">
        <v>197</v>
      </c>
      <c r="F2064">
        <v>1005</v>
      </c>
      <c r="G2064" t="s">
        <v>32</v>
      </c>
      <c r="H2064">
        <v>2005</v>
      </c>
      <c r="I2064" t="s">
        <v>32</v>
      </c>
      <c r="J2064">
        <v>3015</v>
      </c>
      <c r="K2064" t="s">
        <v>1233</v>
      </c>
      <c r="L2064">
        <v>4120</v>
      </c>
      <c r="M2064" t="s">
        <v>1238</v>
      </c>
      <c r="N2064" t="s">
        <v>274</v>
      </c>
      <c r="O2064">
        <v>9</v>
      </c>
      <c r="P2064">
        <v>341</v>
      </c>
      <c r="Q2064" t="s">
        <v>1244</v>
      </c>
      <c r="R2064" t="s">
        <v>201</v>
      </c>
      <c r="S2064">
        <v>1</v>
      </c>
      <c r="T2064">
        <v>1</v>
      </c>
      <c r="U2064">
        <v>146808</v>
      </c>
      <c r="V2064">
        <v>146808</v>
      </c>
    </row>
    <row r="2065" spans="1:22">
      <c r="A2065" t="s">
        <v>196</v>
      </c>
      <c r="B2065">
        <v>51</v>
      </c>
      <c r="C2065" t="s">
        <v>32</v>
      </c>
      <c r="D2065">
        <v>100</v>
      </c>
      <c r="E2065" t="s">
        <v>197</v>
      </c>
      <c r="F2065">
        <v>1005</v>
      </c>
      <c r="G2065" t="s">
        <v>32</v>
      </c>
      <c r="H2065">
        <v>2005</v>
      </c>
      <c r="I2065" t="s">
        <v>32</v>
      </c>
      <c r="J2065">
        <v>3015</v>
      </c>
      <c r="K2065" t="s">
        <v>1233</v>
      </c>
      <c r="L2065">
        <v>4120</v>
      </c>
      <c r="M2065" t="s">
        <v>1238</v>
      </c>
      <c r="N2065" t="s">
        <v>341</v>
      </c>
      <c r="O2065">
        <v>1</v>
      </c>
      <c r="P2065">
        <v>308</v>
      </c>
      <c r="Q2065" t="s">
        <v>355</v>
      </c>
      <c r="R2065" t="s">
        <v>201</v>
      </c>
      <c r="S2065">
        <v>1</v>
      </c>
      <c r="T2065">
        <v>1</v>
      </c>
      <c r="U2065">
        <v>94452</v>
      </c>
      <c r="V2065">
        <v>94452</v>
      </c>
    </row>
    <row r="2066" spans="1:22">
      <c r="A2066" t="s">
        <v>196</v>
      </c>
      <c r="B2066">
        <v>51</v>
      </c>
      <c r="C2066" t="s">
        <v>32</v>
      </c>
      <c r="D2066">
        <v>100</v>
      </c>
      <c r="E2066" t="s">
        <v>197</v>
      </c>
      <c r="F2066">
        <v>1005</v>
      </c>
      <c r="G2066" t="s">
        <v>32</v>
      </c>
      <c r="H2066">
        <v>2005</v>
      </c>
      <c r="I2066" t="s">
        <v>32</v>
      </c>
      <c r="J2066">
        <v>3015</v>
      </c>
      <c r="K2066" t="s">
        <v>1233</v>
      </c>
      <c r="L2066">
        <v>4120</v>
      </c>
      <c r="M2066" t="s">
        <v>1238</v>
      </c>
      <c r="N2066" t="s">
        <v>341</v>
      </c>
      <c r="O2066">
        <v>1</v>
      </c>
      <c r="P2066">
        <v>308</v>
      </c>
      <c r="Q2066" t="s">
        <v>355</v>
      </c>
      <c r="R2066" t="s">
        <v>201</v>
      </c>
      <c r="S2066">
        <v>1</v>
      </c>
      <c r="T2066">
        <v>1</v>
      </c>
      <c r="U2066">
        <v>85200</v>
      </c>
      <c r="V2066">
        <v>85200</v>
      </c>
    </row>
    <row r="2067" spans="1:22">
      <c r="A2067" t="s">
        <v>196</v>
      </c>
      <c r="B2067">
        <v>51</v>
      </c>
      <c r="C2067" t="s">
        <v>32</v>
      </c>
      <c r="D2067">
        <v>100</v>
      </c>
      <c r="E2067" t="s">
        <v>197</v>
      </c>
      <c r="F2067">
        <v>1005</v>
      </c>
      <c r="G2067" t="s">
        <v>32</v>
      </c>
      <c r="H2067">
        <v>2005</v>
      </c>
      <c r="I2067" t="s">
        <v>32</v>
      </c>
      <c r="J2067">
        <v>3015</v>
      </c>
      <c r="K2067" t="s">
        <v>1233</v>
      </c>
      <c r="L2067">
        <v>4120</v>
      </c>
      <c r="M2067" t="s">
        <v>1238</v>
      </c>
      <c r="N2067" t="s">
        <v>199</v>
      </c>
      <c r="O2067">
        <v>0</v>
      </c>
      <c r="P2067">
        <v>15</v>
      </c>
      <c r="Q2067" t="s">
        <v>264</v>
      </c>
      <c r="R2067" t="s">
        <v>201</v>
      </c>
      <c r="S2067">
        <v>0</v>
      </c>
      <c r="T2067">
        <v>0</v>
      </c>
      <c r="U2067">
        <v>34972</v>
      </c>
      <c r="V2067">
        <v>34972</v>
      </c>
    </row>
    <row r="2068" spans="1:22">
      <c r="A2068" t="s">
        <v>196</v>
      </c>
      <c r="B2068">
        <v>51</v>
      </c>
      <c r="C2068" t="s">
        <v>32</v>
      </c>
      <c r="D2068">
        <v>100</v>
      </c>
      <c r="E2068" t="s">
        <v>197</v>
      </c>
      <c r="F2068">
        <v>1005</v>
      </c>
      <c r="G2068" t="s">
        <v>32</v>
      </c>
      <c r="H2068">
        <v>2005</v>
      </c>
      <c r="I2068" t="s">
        <v>32</v>
      </c>
      <c r="J2068">
        <v>3020</v>
      </c>
      <c r="K2068" t="s">
        <v>899</v>
      </c>
      <c r="L2068">
        <v>4200</v>
      </c>
      <c r="M2068" t="s">
        <v>1245</v>
      </c>
      <c r="N2068" t="s">
        <v>311</v>
      </c>
      <c r="O2068">
        <v>9</v>
      </c>
      <c r="P2068">
        <v>9814</v>
      </c>
      <c r="Q2068" t="s">
        <v>692</v>
      </c>
      <c r="R2068" t="s">
        <v>201</v>
      </c>
      <c r="S2068">
        <v>1</v>
      </c>
      <c r="T2068">
        <v>1</v>
      </c>
      <c r="U2068">
        <v>199800</v>
      </c>
      <c r="V2068">
        <v>199800</v>
      </c>
    </row>
    <row r="2069" spans="1:22">
      <c r="A2069" t="s">
        <v>196</v>
      </c>
      <c r="B2069">
        <v>51</v>
      </c>
      <c r="C2069" t="s">
        <v>32</v>
      </c>
      <c r="D2069">
        <v>100</v>
      </c>
      <c r="E2069" t="s">
        <v>197</v>
      </c>
      <c r="F2069">
        <v>1005</v>
      </c>
      <c r="G2069" t="s">
        <v>32</v>
      </c>
      <c r="H2069">
        <v>2005</v>
      </c>
      <c r="I2069" t="s">
        <v>32</v>
      </c>
      <c r="J2069">
        <v>3020</v>
      </c>
      <c r="K2069" t="s">
        <v>899</v>
      </c>
      <c r="L2069">
        <v>4200</v>
      </c>
      <c r="M2069" t="s">
        <v>1245</v>
      </c>
      <c r="N2069" t="s">
        <v>351</v>
      </c>
      <c r="O2069">
        <v>1</v>
      </c>
      <c r="P2069" t="s">
        <v>352</v>
      </c>
      <c r="Q2069" t="s">
        <v>353</v>
      </c>
      <c r="R2069" t="s">
        <v>201</v>
      </c>
      <c r="S2069">
        <v>1</v>
      </c>
      <c r="T2069">
        <v>1</v>
      </c>
      <c r="U2069">
        <v>74172</v>
      </c>
      <c r="V2069">
        <v>74172</v>
      </c>
    </row>
    <row r="2070" spans="1:22">
      <c r="A2070" t="s">
        <v>196</v>
      </c>
      <c r="B2070">
        <v>51</v>
      </c>
      <c r="C2070" t="s">
        <v>32</v>
      </c>
      <c r="D2070">
        <v>100</v>
      </c>
      <c r="E2070" t="s">
        <v>197</v>
      </c>
      <c r="F2070">
        <v>1005</v>
      </c>
      <c r="G2070" t="s">
        <v>32</v>
      </c>
      <c r="H2070">
        <v>2005</v>
      </c>
      <c r="I2070" t="s">
        <v>32</v>
      </c>
      <c r="J2070">
        <v>3020</v>
      </c>
      <c r="K2070" t="s">
        <v>899</v>
      </c>
      <c r="L2070">
        <v>4200</v>
      </c>
      <c r="M2070" t="s">
        <v>1245</v>
      </c>
      <c r="N2070" t="s">
        <v>199</v>
      </c>
      <c r="O2070">
        <v>0</v>
      </c>
      <c r="P2070">
        <v>15</v>
      </c>
      <c r="Q2070" t="s">
        <v>264</v>
      </c>
      <c r="R2070" t="s">
        <v>201</v>
      </c>
      <c r="S2070">
        <v>0</v>
      </c>
      <c r="T2070">
        <v>0</v>
      </c>
      <c r="U2070">
        <v>2527</v>
      </c>
      <c r="V2070">
        <v>2527</v>
      </c>
    </row>
    <row r="2071" spans="1:22">
      <c r="A2071" t="s">
        <v>196</v>
      </c>
      <c r="B2071">
        <v>51</v>
      </c>
      <c r="C2071" t="s">
        <v>32</v>
      </c>
      <c r="D2071">
        <v>100</v>
      </c>
      <c r="E2071" t="s">
        <v>197</v>
      </c>
      <c r="F2071">
        <v>1005</v>
      </c>
      <c r="G2071" t="s">
        <v>32</v>
      </c>
      <c r="H2071">
        <v>2005</v>
      </c>
      <c r="I2071" t="s">
        <v>32</v>
      </c>
      <c r="J2071">
        <v>3020</v>
      </c>
      <c r="K2071" t="s">
        <v>899</v>
      </c>
      <c r="L2071">
        <v>4205</v>
      </c>
      <c r="M2071" t="s">
        <v>1113</v>
      </c>
      <c r="N2071" t="s">
        <v>266</v>
      </c>
      <c r="O2071">
        <v>9</v>
      </c>
      <c r="P2071">
        <v>9684</v>
      </c>
      <c r="Q2071" t="s">
        <v>327</v>
      </c>
      <c r="R2071" t="s">
        <v>201</v>
      </c>
      <c r="S2071">
        <v>1</v>
      </c>
      <c r="T2071">
        <v>1</v>
      </c>
      <c r="U2071">
        <v>175512</v>
      </c>
      <c r="V2071">
        <v>175512</v>
      </c>
    </row>
    <row r="2072" spans="1:22">
      <c r="A2072" t="s">
        <v>196</v>
      </c>
      <c r="B2072">
        <v>51</v>
      </c>
      <c r="C2072" t="s">
        <v>32</v>
      </c>
      <c r="D2072">
        <v>100</v>
      </c>
      <c r="E2072" t="s">
        <v>197</v>
      </c>
      <c r="F2072">
        <v>1005</v>
      </c>
      <c r="G2072" t="s">
        <v>32</v>
      </c>
      <c r="H2072">
        <v>2005</v>
      </c>
      <c r="I2072" t="s">
        <v>32</v>
      </c>
      <c r="J2072">
        <v>3020</v>
      </c>
      <c r="K2072" t="s">
        <v>899</v>
      </c>
      <c r="L2072">
        <v>4205</v>
      </c>
      <c r="M2072" t="s">
        <v>1113</v>
      </c>
      <c r="N2072" t="s">
        <v>281</v>
      </c>
      <c r="O2072">
        <v>20</v>
      </c>
      <c r="P2072">
        <v>1141</v>
      </c>
      <c r="Q2072" t="s">
        <v>332</v>
      </c>
      <c r="R2072" t="s">
        <v>201</v>
      </c>
      <c r="S2072">
        <v>1</v>
      </c>
      <c r="T2072">
        <v>1</v>
      </c>
      <c r="U2072">
        <v>82884</v>
      </c>
      <c r="V2072">
        <v>82884</v>
      </c>
    </row>
    <row r="2073" spans="1:22">
      <c r="A2073" t="s">
        <v>196</v>
      </c>
      <c r="B2073">
        <v>51</v>
      </c>
      <c r="C2073" t="s">
        <v>32</v>
      </c>
      <c r="D2073">
        <v>100</v>
      </c>
      <c r="E2073" t="s">
        <v>197</v>
      </c>
      <c r="F2073">
        <v>1005</v>
      </c>
      <c r="G2073" t="s">
        <v>32</v>
      </c>
      <c r="H2073">
        <v>2005</v>
      </c>
      <c r="I2073" t="s">
        <v>32</v>
      </c>
      <c r="J2073">
        <v>3020</v>
      </c>
      <c r="K2073" t="s">
        <v>899</v>
      </c>
      <c r="L2073">
        <v>4205</v>
      </c>
      <c r="M2073" t="s">
        <v>1113</v>
      </c>
      <c r="N2073" t="s">
        <v>372</v>
      </c>
      <c r="O2073">
        <v>1</v>
      </c>
      <c r="P2073">
        <v>689</v>
      </c>
      <c r="Q2073" t="s">
        <v>685</v>
      </c>
      <c r="R2073" t="s">
        <v>201</v>
      </c>
      <c r="S2073">
        <v>1</v>
      </c>
      <c r="T2073">
        <v>1</v>
      </c>
      <c r="U2073">
        <v>75336</v>
      </c>
      <c r="V2073">
        <v>75336</v>
      </c>
    </row>
    <row r="2074" spans="1:22">
      <c r="A2074" t="s">
        <v>196</v>
      </c>
      <c r="B2074">
        <v>51</v>
      </c>
      <c r="C2074" t="s">
        <v>32</v>
      </c>
      <c r="D2074">
        <v>100</v>
      </c>
      <c r="E2074" t="s">
        <v>197</v>
      </c>
      <c r="F2074">
        <v>1005</v>
      </c>
      <c r="G2074" t="s">
        <v>32</v>
      </c>
      <c r="H2074">
        <v>2005</v>
      </c>
      <c r="I2074" t="s">
        <v>32</v>
      </c>
      <c r="J2074">
        <v>3020</v>
      </c>
      <c r="K2074" t="s">
        <v>899</v>
      </c>
      <c r="L2074">
        <v>4205</v>
      </c>
      <c r="M2074" t="s">
        <v>1113</v>
      </c>
      <c r="N2074" t="s">
        <v>386</v>
      </c>
      <c r="O2074">
        <v>4</v>
      </c>
      <c r="P2074">
        <v>659</v>
      </c>
      <c r="Q2074" t="s">
        <v>686</v>
      </c>
      <c r="R2074" t="s">
        <v>201</v>
      </c>
      <c r="S2074">
        <v>1</v>
      </c>
      <c r="T2074">
        <v>1</v>
      </c>
      <c r="U2074">
        <v>128316</v>
      </c>
      <c r="V2074">
        <v>128316</v>
      </c>
    </row>
    <row r="2075" spans="1:22">
      <c r="A2075" t="s">
        <v>196</v>
      </c>
      <c r="B2075">
        <v>51</v>
      </c>
      <c r="C2075" t="s">
        <v>32</v>
      </c>
      <c r="D2075">
        <v>100</v>
      </c>
      <c r="E2075" t="s">
        <v>197</v>
      </c>
      <c r="F2075">
        <v>1005</v>
      </c>
      <c r="G2075" t="s">
        <v>32</v>
      </c>
      <c r="H2075">
        <v>2005</v>
      </c>
      <c r="I2075" t="s">
        <v>32</v>
      </c>
      <c r="J2075">
        <v>3020</v>
      </c>
      <c r="K2075" t="s">
        <v>899</v>
      </c>
      <c r="L2075">
        <v>4205</v>
      </c>
      <c r="M2075" t="s">
        <v>1113</v>
      </c>
      <c r="N2075" t="s">
        <v>688</v>
      </c>
      <c r="O2075">
        <v>4</v>
      </c>
      <c r="P2075">
        <v>638</v>
      </c>
      <c r="Q2075" t="s">
        <v>1246</v>
      </c>
      <c r="R2075" t="s">
        <v>201</v>
      </c>
      <c r="S2075">
        <v>1</v>
      </c>
      <c r="T2075">
        <v>1</v>
      </c>
      <c r="U2075">
        <v>118836</v>
      </c>
      <c r="V2075">
        <v>118836</v>
      </c>
    </row>
    <row r="2076" spans="1:22">
      <c r="A2076" t="s">
        <v>196</v>
      </c>
      <c r="B2076">
        <v>51</v>
      </c>
      <c r="C2076" t="s">
        <v>32</v>
      </c>
      <c r="D2076">
        <v>100</v>
      </c>
      <c r="E2076" t="s">
        <v>197</v>
      </c>
      <c r="F2076">
        <v>1005</v>
      </c>
      <c r="G2076" t="s">
        <v>32</v>
      </c>
      <c r="H2076">
        <v>2005</v>
      </c>
      <c r="I2076" t="s">
        <v>32</v>
      </c>
      <c r="J2076">
        <v>3020</v>
      </c>
      <c r="K2076" t="s">
        <v>899</v>
      </c>
      <c r="L2076">
        <v>4205</v>
      </c>
      <c r="M2076" t="s">
        <v>1113</v>
      </c>
      <c r="N2076" t="s">
        <v>602</v>
      </c>
      <c r="O2076">
        <v>4</v>
      </c>
      <c r="P2076">
        <v>635</v>
      </c>
      <c r="Q2076" t="s">
        <v>645</v>
      </c>
      <c r="R2076" t="s">
        <v>201</v>
      </c>
      <c r="S2076">
        <v>1</v>
      </c>
      <c r="T2076">
        <v>1</v>
      </c>
      <c r="U2076">
        <v>141564</v>
      </c>
      <c r="V2076">
        <v>141564</v>
      </c>
    </row>
    <row r="2077" spans="1:22">
      <c r="A2077" t="s">
        <v>196</v>
      </c>
      <c r="B2077">
        <v>51</v>
      </c>
      <c r="C2077" t="s">
        <v>32</v>
      </c>
      <c r="D2077">
        <v>100</v>
      </c>
      <c r="E2077" t="s">
        <v>197</v>
      </c>
      <c r="F2077">
        <v>1005</v>
      </c>
      <c r="G2077" t="s">
        <v>32</v>
      </c>
      <c r="H2077">
        <v>2005</v>
      </c>
      <c r="I2077" t="s">
        <v>32</v>
      </c>
      <c r="J2077">
        <v>3020</v>
      </c>
      <c r="K2077" t="s">
        <v>899</v>
      </c>
      <c r="L2077">
        <v>4205</v>
      </c>
      <c r="M2077" t="s">
        <v>1113</v>
      </c>
      <c r="N2077" t="s">
        <v>602</v>
      </c>
      <c r="O2077">
        <v>4</v>
      </c>
      <c r="P2077">
        <v>635</v>
      </c>
      <c r="Q2077" t="s">
        <v>645</v>
      </c>
      <c r="R2077" t="s">
        <v>201</v>
      </c>
      <c r="S2077">
        <v>1</v>
      </c>
      <c r="T2077">
        <v>1</v>
      </c>
      <c r="U2077">
        <v>99408</v>
      </c>
      <c r="V2077">
        <v>99408</v>
      </c>
    </row>
    <row r="2078" spans="1:22">
      <c r="A2078" t="s">
        <v>196</v>
      </c>
      <c r="B2078">
        <v>51</v>
      </c>
      <c r="C2078" t="s">
        <v>32</v>
      </c>
      <c r="D2078">
        <v>100</v>
      </c>
      <c r="E2078" t="s">
        <v>197</v>
      </c>
      <c r="F2078">
        <v>1005</v>
      </c>
      <c r="G2078" t="s">
        <v>32</v>
      </c>
      <c r="H2078">
        <v>2005</v>
      </c>
      <c r="I2078" t="s">
        <v>32</v>
      </c>
      <c r="J2078">
        <v>3020</v>
      </c>
      <c r="K2078" t="s">
        <v>899</v>
      </c>
      <c r="L2078">
        <v>4205</v>
      </c>
      <c r="M2078" t="s">
        <v>1113</v>
      </c>
      <c r="N2078" t="s">
        <v>392</v>
      </c>
      <c r="O2078">
        <v>1</v>
      </c>
      <c r="P2078">
        <v>634</v>
      </c>
      <c r="Q2078" t="s">
        <v>729</v>
      </c>
      <c r="R2078" t="s">
        <v>201</v>
      </c>
      <c r="S2078">
        <v>1</v>
      </c>
      <c r="T2078">
        <v>1</v>
      </c>
      <c r="U2078">
        <v>90732</v>
      </c>
      <c r="V2078">
        <v>90732</v>
      </c>
    </row>
    <row r="2079" spans="1:22">
      <c r="A2079" t="s">
        <v>196</v>
      </c>
      <c r="B2079">
        <v>51</v>
      </c>
      <c r="C2079" t="s">
        <v>32</v>
      </c>
      <c r="D2079">
        <v>100</v>
      </c>
      <c r="E2079" t="s">
        <v>197</v>
      </c>
      <c r="F2079">
        <v>1005</v>
      </c>
      <c r="G2079" t="s">
        <v>32</v>
      </c>
      <c r="H2079">
        <v>2005</v>
      </c>
      <c r="I2079" t="s">
        <v>32</v>
      </c>
      <c r="J2079">
        <v>3020</v>
      </c>
      <c r="K2079" t="s">
        <v>899</v>
      </c>
      <c r="L2079">
        <v>4205</v>
      </c>
      <c r="M2079" t="s">
        <v>1113</v>
      </c>
      <c r="N2079" t="s">
        <v>386</v>
      </c>
      <c r="O2079">
        <v>1</v>
      </c>
      <c r="P2079">
        <v>629</v>
      </c>
      <c r="Q2079" t="s">
        <v>687</v>
      </c>
      <c r="R2079" t="s">
        <v>201</v>
      </c>
      <c r="S2079">
        <v>1</v>
      </c>
      <c r="T2079">
        <v>1</v>
      </c>
      <c r="U2079">
        <v>153228</v>
      </c>
      <c r="V2079">
        <v>153228</v>
      </c>
    </row>
    <row r="2080" spans="1:22">
      <c r="A2080" t="s">
        <v>196</v>
      </c>
      <c r="B2080">
        <v>51</v>
      </c>
      <c r="C2080" t="s">
        <v>32</v>
      </c>
      <c r="D2080">
        <v>100</v>
      </c>
      <c r="E2080" t="s">
        <v>197</v>
      </c>
      <c r="F2080">
        <v>1005</v>
      </c>
      <c r="G2080" t="s">
        <v>32</v>
      </c>
      <c r="H2080">
        <v>2005</v>
      </c>
      <c r="I2080" t="s">
        <v>32</v>
      </c>
      <c r="J2080">
        <v>3020</v>
      </c>
      <c r="K2080" t="s">
        <v>899</v>
      </c>
      <c r="L2080">
        <v>4205</v>
      </c>
      <c r="M2080" t="s">
        <v>1113</v>
      </c>
      <c r="N2080" t="s">
        <v>386</v>
      </c>
      <c r="O2080">
        <v>1</v>
      </c>
      <c r="P2080">
        <v>629</v>
      </c>
      <c r="Q2080" t="s">
        <v>687</v>
      </c>
      <c r="R2080" t="s">
        <v>201</v>
      </c>
      <c r="S2080">
        <v>1</v>
      </c>
      <c r="T2080">
        <v>1</v>
      </c>
      <c r="U2080">
        <v>128316</v>
      </c>
      <c r="V2080">
        <v>128316</v>
      </c>
    </row>
    <row r="2081" spans="1:22">
      <c r="A2081" t="s">
        <v>196</v>
      </c>
      <c r="B2081">
        <v>51</v>
      </c>
      <c r="C2081" t="s">
        <v>32</v>
      </c>
      <c r="D2081">
        <v>100</v>
      </c>
      <c r="E2081" t="s">
        <v>197</v>
      </c>
      <c r="F2081">
        <v>1005</v>
      </c>
      <c r="G2081" t="s">
        <v>32</v>
      </c>
      <c r="H2081">
        <v>2005</v>
      </c>
      <c r="I2081" t="s">
        <v>32</v>
      </c>
      <c r="J2081">
        <v>3020</v>
      </c>
      <c r="K2081" t="s">
        <v>899</v>
      </c>
      <c r="L2081">
        <v>4205</v>
      </c>
      <c r="M2081" t="s">
        <v>1113</v>
      </c>
      <c r="N2081" t="s">
        <v>255</v>
      </c>
      <c r="O2081">
        <v>1</v>
      </c>
      <c r="P2081">
        <v>627</v>
      </c>
      <c r="Q2081" t="s">
        <v>1247</v>
      </c>
      <c r="R2081" t="s">
        <v>201</v>
      </c>
      <c r="S2081">
        <v>1</v>
      </c>
      <c r="T2081">
        <v>1</v>
      </c>
      <c r="U2081">
        <v>143400</v>
      </c>
      <c r="V2081">
        <v>143400</v>
      </c>
    </row>
    <row r="2082" spans="1:22">
      <c r="A2082" t="s">
        <v>196</v>
      </c>
      <c r="B2082">
        <v>51</v>
      </c>
      <c r="C2082" t="s">
        <v>32</v>
      </c>
      <c r="D2082">
        <v>100</v>
      </c>
      <c r="E2082" t="s">
        <v>197</v>
      </c>
      <c r="F2082">
        <v>1005</v>
      </c>
      <c r="G2082" t="s">
        <v>32</v>
      </c>
      <c r="H2082">
        <v>2005</v>
      </c>
      <c r="I2082" t="s">
        <v>32</v>
      </c>
      <c r="J2082">
        <v>3020</v>
      </c>
      <c r="K2082" t="s">
        <v>899</v>
      </c>
      <c r="L2082">
        <v>4205</v>
      </c>
      <c r="M2082" t="s">
        <v>1113</v>
      </c>
      <c r="N2082" t="s">
        <v>274</v>
      </c>
      <c r="O2082">
        <v>0</v>
      </c>
      <c r="P2082">
        <v>601</v>
      </c>
      <c r="Q2082" t="s">
        <v>790</v>
      </c>
      <c r="R2082" t="s">
        <v>201</v>
      </c>
      <c r="S2082">
        <v>1</v>
      </c>
      <c r="T2082">
        <v>1</v>
      </c>
      <c r="U2082">
        <v>146808</v>
      </c>
      <c r="V2082">
        <v>146808</v>
      </c>
    </row>
    <row r="2083" spans="1:22">
      <c r="A2083" t="s">
        <v>196</v>
      </c>
      <c r="B2083">
        <v>51</v>
      </c>
      <c r="C2083" t="s">
        <v>32</v>
      </c>
      <c r="D2083">
        <v>100</v>
      </c>
      <c r="E2083" t="s">
        <v>197</v>
      </c>
      <c r="F2083">
        <v>1005</v>
      </c>
      <c r="G2083" t="s">
        <v>32</v>
      </c>
      <c r="H2083">
        <v>2005</v>
      </c>
      <c r="I2083" t="s">
        <v>32</v>
      </c>
      <c r="J2083">
        <v>3020</v>
      </c>
      <c r="K2083" t="s">
        <v>899</v>
      </c>
      <c r="L2083">
        <v>4205</v>
      </c>
      <c r="M2083" t="s">
        <v>1113</v>
      </c>
      <c r="N2083" t="s">
        <v>249</v>
      </c>
      <c r="O2083">
        <v>20</v>
      </c>
      <c r="P2083">
        <v>394</v>
      </c>
      <c r="Q2083" t="s">
        <v>314</v>
      </c>
      <c r="R2083" t="s">
        <v>201</v>
      </c>
      <c r="S2083">
        <v>1</v>
      </c>
      <c r="T2083">
        <v>1</v>
      </c>
      <c r="U2083">
        <v>102444</v>
      </c>
      <c r="V2083">
        <v>102444</v>
      </c>
    </row>
    <row r="2084" spans="1:22">
      <c r="A2084" t="s">
        <v>196</v>
      </c>
      <c r="B2084">
        <v>51</v>
      </c>
      <c r="C2084" t="s">
        <v>32</v>
      </c>
      <c r="D2084">
        <v>100</v>
      </c>
      <c r="E2084" t="s">
        <v>197</v>
      </c>
      <c r="F2084">
        <v>1005</v>
      </c>
      <c r="G2084" t="s">
        <v>32</v>
      </c>
      <c r="H2084">
        <v>2005</v>
      </c>
      <c r="I2084" t="s">
        <v>32</v>
      </c>
      <c r="J2084">
        <v>3020</v>
      </c>
      <c r="K2084" t="s">
        <v>899</v>
      </c>
      <c r="L2084">
        <v>4205</v>
      </c>
      <c r="M2084" t="s">
        <v>1113</v>
      </c>
      <c r="N2084" t="s">
        <v>249</v>
      </c>
      <c r="O2084">
        <v>10</v>
      </c>
      <c r="P2084">
        <v>310</v>
      </c>
      <c r="Q2084" t="s">
        <v>447</v>
      </c>
      <c r="R2084" t="s">
        <v>201</v>
      </c>
      <c r="S2084">
        <v>2</v>
      </c>
      <c r="T2084">
        <v>1</v>
      </c>
      <c r="U2084">
        <v>113568</v>
      </c>
      <c r="V2084">
        <v>227136</v>
      </c>
    </row>
    <row r="2085" spans="1:22">
      <c r="A2085" t="s">
        <v>196</v>
      </c>
      <c r="B2085">
        <v>51</v>
      </c>
      <c r="C2085" t="s">
        <v>32</v>
      </c>
      <c r="D2085">
        <v>100</v>
      </c>
      <c r="E2085" t="s">
        <v>197</v>
      </c>
      <c r="F2085">
        <v>1005</v>
      </c>
      <c r="G2085" t="s">
        <v>32</v>
      </c>
      <c r="H2085">
        <v>2005</v>
      </c>
      <c r="I2085" t="s">
        <v>32</v>
      </c>
      <c r="J2085">
        <v>3020</v>
      </c>
      <c r="K2085" t="s">
        <v>899</v>
      </c>
      <c r="L2085">
        <v>4205</v>
      </c>
      <c r="M2085" t="s">
        <v>1113</v>
      </c>
      <c r="N2085" t="s">
        <v>249</v>
      </c>
      <c r="O2085">
        <v>10</v>
      </c>
      <c r="P2085">
        <v>310</v>
      </c>
      <c r="Q2085" t="s">
        <v>447</v>
      </c>
      <c r="R2085" t="s">
        <v>201</v>
      </c>
      <c r="S2085">
        <v>1</v>
      </c>
      <c r="T2085">
        <v>1</v>
      </c>
      <c r="U2085">
        <v>107340</v>
      </c>
      <c r="V2085">
        <v>107340</v>
      </c>
    </row>
    <row r="2086" spans="1:22">
      <c r="A2086" t="s">
        <v>196</v>
      </c>
      <c r="B2086">
        <v>51</v>
      </c>
      <c r="C2086" t="s">
        <v>32</v>
      </c>
      <c r="D2086">
        <v>100</v>
      </c>
      <c r="E2086" t="s">
        <v>197</v>
      </c>
      <c r="F2086">
        <v>1005</v>
      </c>
      <c r="G2086" t="s">
        <v>32</v>
      </c>
      <c r="H2086">
        <v>2005</v>
      </c>
      <c r="I2086" t="s">
        <v>32</v>
      </c>
      <c r="J2086">
        <v>3020</v>
      </c>
      <c r="K2086" t="s">
        <v>899</v>
      </c>
      <c r="L2086">
        <v>4205</v>
      </c>
      <c r="M2086" t="s">
        <v>1113</v>
      </c>
      <c r="N2086" t="s">
        <v>249</v>
      </c>
      <c r="O2086">
        <v>10</v>
      </c>
      <c r="P2086">
        <v>310</v>
      </c>
      <c r="Q2086" t="s">
        <v>447</v>
      </c>
      <c r="R2086" t="s">
        <v>201</v>
      </c>
      <c r="S2086">
        <v>1</v>
      </c>
      <c r="T2086">
        <v>1</v>
      </c>
      <c r="U2086">
        <v>97836</v>
      </c>
      <c r="V2086">
        <v>97836</v>
      </c>
    </row>
    <row r="2087" spans="1:22">
      <c r="A2087" t="s">
        <v>196</v>
      </c>
      <c r="B2087">
        <v>51</v>
      </c>
      <c r="C2087" t="s">
        <v>32</v>
      </c>
      <c r="D2087">
        <v>100</v>
      </c>
      <c r="E2087" t="s">
        <v>197</v>
      </c>
      <c r="F2087">
        <v>1005</v>
      </c>
      <c r="G2087" t="s">
        <v>32</v>
      </c>
      <c r="H2087">
        <v>2005</v>
      </c>
      <c r="I2087" t="s">
        <v>32</v>
      </c>
      <c r="J2087">
        <v>3020</v>
      </c>
      <c r="K2087" t="s">
        <v>899</v>
      </c>
      <c r="L2087">
        <v>4205</v>
      </c>
      <c r="M2087" t="s">
        <v>1113</v>
      </c>
      <c r="N2087" t="s">
        <v>199</v>
      </c>
      <c r="O2087">
        <v>0</v>
      </c>
      <c r="P2087">
        <v>15</v>
      </c>
      <c r="Q2087" t="s">
        <v>264</v>
      </c>
      <c r="R2087" t="s">
        <v>201</v>
      </c>
      <c r="S2087">
        <v>0</v>
      </c>
      <c r="T2087">
        <v>0</v>
      </c>
      <c r="U2087">
        <v>20320</v>
      </c>
      <c r="V2087">
        <v>20320</v>
      </c>
    </row>
    <row r="2088" spans="1:22">
      <c r="A2088" t="s">
        <v>196</v>
      </c>
      <c r="B2088">
        <v>51</v>
      </c>
      <c r="C2088" t="s">
        <v>32</v>
      </c>
      <c r="D2088">
        <v>100</v>
      </c>
      <c r="E2088" t="s">
        <v>197</v>
      </c>
      <c r="F2088">
        <v>1005</v>
      </c>
      <c r="G2088" t="s">
        <v>32</v>
      </c>
      <c r="H2088">
        <v>2005</v>
      </c>
      <c r="I2088" t="s">
        <v>32</v>
      </c>
      <c r="J2088">
        <v>3020</v>
      </c>
      <c r="K2088" t="s">
        <v>899</v>
      </c>
      <c r="L2088">
        <v>4210</v>
      </c>
      <c r="M2088" t="s">
        <v>1248</v>
      </c>
      <c r="N2088" t="s">
        <v>249</v>
      </c>
      <c r="O2088">
        <v>10</v>
      </c>
      <c r="P2088">
        <v>311</v>
      </c>
      <c r="Q2088" t="s">
        <v>661</v>
      </c>
      <c r="R2088" t="s">
        <v>201</v>
      </c>
      <c r="S2088">
        <v>1</v>
      </c>
      <c r="T2088">
        <v>1</v>
      </c>
      <c r="U2088">
        <v>124584</v>
      </c>
      <c r="V2088">
        <v>124584</v>
      </c>
    </row>
    <row r="2089" spans="1:22">
      <c r="A2089" t="s">
        <v>196</v>
      </c>
      <c r="B2089">
        <v>51</v>
      </c>
      <c r="C2089" t="s">
        <v>32</v>
      </c>
      <c r="D2089">
        <v>100</v>
      </c>
      <c r="E2089" t="s">
        <v>197</v>
      </c>
      <c r="F2089">
        <v>1005</v>
      </c>
      <c r="G2089" t="s">
        <v>32</v>
      </c>
      <c r="H2089">
        <v>2005</v>
      </c>
      <c r="I2089" t="s">
        <v>32</v>
      </c>
      <c r="J2089">
        <v>3020</v>
      </c>
      <c r="K2089" t="s">
        <v>899</v>
      </c>
      <c r="L2089">
        <v>4210</v>
      </c>
      <c r="M2089" t="s">
        <v>1248</v>
      </c>
      <c r="N2089" t="s">
        <v>249</v>
      </c>
      <c r="O2089">
        <v>10</v>
      </c>
      <c r="P2089">
        <v>310</v>
      </c>
      <c r="Q2089" t="s">
        <v>447</v>
      </c>
      <c r="R2089" t="s">
        <v>201</v>
      </c>
      <c r="S2089">
        <v>2</v>
      </c>
      <c r="T2089">
        <v>1</v>
      </c>
      <c r="U2089">
        <v>113568</v>
      </c>
      <c r="V2089">
        <v>227136</v>
      </c>
    </row>
    <row r="2090" spans="1:22">
      <c r="A2090" t="s">
        <v>196</v>
      </c>
      <c r="B2090">
        <v>54</v>
      </c>
      <c r="C2090" t="s">
        <v>42</v>
      </c>
      <c r="D2090">
        <v>100</v>
      </c>
      <c r="E2090" t="s">
        <v>197</v>
      </c>
      <c r="F2090">
        <v>1005</v>
      </c>
      <c r="G2090" t="s">
        <v>42</v>
      </c>
      <c r="H2090">
        <v>2005</v>
      </c>
      <c r="I2090" t="s">
        <v>42</v>
      </c>
      <c r="J2090">
        <v>3035</v>
      </c>
      <c r="K2090" t="s">
        <v>309</v>
      </c>
      <c r="L2090">
        <v>4000</v>
      </c>
      <c r="M2090" t="s">
        <v>46</v>
      </c>
      <c r="N2090" t="s">
        <v>199</v>
      </c>
      <c r="O2090">
        <v>9</v>
      </c>
      <c r="P2090">
        <v>9954</v>
      </c>
      <c r="Q2090" t="s">
        <v>1249</v>
      </c>
      <c r="R2090" t="s">
        <v>201</v>
      </c>
      <c r="S2090">
        <v>1</v>
      </c>
      <c r="T2090">
        <v>1</v>
      </c>
      <c r="U2090">
        <v>214344</v>
      </c>
      <c r="V2090">
        <v>214344</v>
      </c>
    </row>
    <row r="2091" spans="1:22">
      <c r="A2091" t="s">
        <v>196</v>
      </c>
      <c r="B2091">
        <v>54</v>
      </c>
      <c r="C2091" t="s">
        <v>42</v>
      </c>
      <c r="D2091">
        <v>100</v>
      </c>
      <c r="E2091" t="s">
        <v>197</v>
      </c>
      <c r="F2091">
        <v>1005</v>
      </c>
      <c r="G2091" t="s">
        <v>42</v>
      </c>
      <c r="H2091">
        <v>2005</v>
      </c>
      <c r="I2091" t="s">
        <v>42</v>
      </c>
      <c r="J2091">
        <v>3035</v>
      </c>
      <c r="K2091" t="s">
        <v>309</v>
      </c>
      <c r="L2091">
        <v>4000</v>
      </c>
      <c r="M2091" t="s">
        <v>46</v>
      </c>
      <c r="N2091" t="s">
        <v>266</v>
      </c>
      <c r="O2091">
        <v>9</v>
      </c>
      <c r="P2091">
        <v>9679</v>
      </c>
      <c r="Q2091" t="s">
        <v>338</v>
      </c>
      <c r="R2091" t="s">
        <v>201</v>
      </c>
      <c r="S2091">
        <v>1</v>
      </c>
      <c r="T2091">
        <v>1</v>
      </c>
      <c r="U2091">
        <v>157332</v>
      </c>
      <c r="V2091">
        <v>157332</v>
      </c>
    </row>
    <row r="2092" spans="1:22">
      <c r="A2092" t="s">
        <v>196</v>
      </c>
      <c r="B2092">
        <v>54</v>
      </c>
      <c r="C2092" t="s">
        <v>42</v>
      </c>
      <c r="D2092">
        <v>100</v>
      </c>
      <c r="E2092" t="s">
        <v>197</v>
      </c>
      <c r="F2092">
        <v>1005</v>
      </c>
      <c r="G2092" t="s">
        <v>42</v>
      </c>
      <c r="H2092">
        <v>2005</v>
      </c>
      <c r="I2092" t="s">
        <v>42</v>
      </c>
      <c r="J2092">
        <v>3035</v>
      </c>
      <c r="K2092" t="s">
        <v>309</v>
      </c>
      <c r="L2092">
        <v>4000</v>
      </c>
      <c r="M2092" t="s">
        <v>46</v>
      </c>
      <c r="N2092" t="s">
        <v>311</v>
      </c>
      <c r="O2092">
        <v>9</v>
      </c>
      <c r="P2092">
        <v>9660</v>
      </c>
      <c r="Q2092" t="s">
        <v>846</v>
      </c>
      <c r="R2092" t="s">
        <v>201</v>
      </c>
      <c r="S2092">
        <v>1</v>
      </c>
      <c r="T2092">
        <v>1</v>
      </c>
      <c r="U2092">
        <v>199800</v>
      </c>
      <c r="V2092">
        <v>199800</v>
      </c>
    </row>
    <row r="2093" spans="1:22">
      <c r="A2093" t="s">
        <v>196</v>
      </c>
      <c r="B2093">
        <v>54</v>
      </c>
      <c r="C2093" t="s">
        <v>42</v>
      </c>
      <c r="D2093">
        <v>100</v>
      </c>
      <c r="E2093" t="s">
        <v>197</v>
      </c>
      <c r="F2093">
        <v>1005</v>
      </c>
      <c r="G2093" t="s">
        <v>42</v>
      </c>
      <c r="H2093">
        <v>2005</v>
      </c>
      <c r="I2093" t="s">
        <v>42</v>
      </c>
      <c r="J2093">
        <v>3035</v>
      </c>
      <c r="K2093" t="s">
        <v>309</v>
      </c>
      <c r="L2093">
        <v>4000</v>
      </c>
      <c r="M2093" t="s">
        <v>46</v>
      </c>
      <c r="N2093" t="s">
        <v>372</v>
      </c>
      <c r="O2093">
        <v>4</v>
      </c>
      <c r="P2093">
        <v>1912</v>
      </c>
      <c r="Q2093" t="s">
        <v>608</v>
      </c>
      <c r="R2093" t="s">
        <v>201</v>
      </c>
      <c r="S2093">
        <v>1</v>
      </c>
      <c r="T2093">
        <v>1</v>
      </c>
      <c r="U2093">
        <v>75336</v>
      </c>
      <c r="V2093">
        <v>75336</v>
      </c>
    </row>
    <row r="2094" spans="1:22">
      <c r="A2094" t="s">
        <v>196</v>
      </c>
      <c r="B2094">
        <v>54</v>
      </c>
      <c r="C2094" t="s">
        <v>42</v>
      </c>
      <c r="D2094">
        <v>100</v>
      </c>
      <c r="E2094" t="s">
        <v>197</v>
      </c>
      <c r="F2094">
        <v>1005</v>
      </c>
      <c r="G2094" t="s">
        <v>42</v>
      </c>
      <c r="H2094">
        <v>2005</v>
      </c>
      <c r="I2094" t="s">
        <v>42</v>
      </c>
      <c r="J2094">
        <v>3035</v>
      </c>
      <c r="K2094" t="s">
        <v>309</v>
      </c>
      <c r="L2094">
        <v>4000</v>
      </c>
      <c r="M2094" t="s">
        <v>46</v>
      </c>
      <c r="N2094" t="s">
        <v>688</v>
      </c>
      <c r="O2094">
        <v>4</v>
      </c>
      <c r="P2094">
        <v>1142</v>
      </c>
      <c r="Q2094" t="s">
        <v>1250</v>
      </c>
      <c r="R2094" t="s">
        <v>201</v>
      </c>
      <c r="S2094">
        <v>1</v>
      </c>
      <c r="T2094">
        <v>1</v>
      </c>
      <c r="U2094">
        <v>81636</v>
      </c>
      <c r="V2094">
        <v>81636</v>
      </c>
    </row>
    <row r="2095" spans="1:22">
      <c r="A2095" t="s">
        <v>196</v>
      </c>
      <c r="B2095">
        <v>54</v>
      </c>
      <c r="C2095" t="s">
        <v>42</v>
      </c>
      <c r="D2095">
        <v>100</v>
      </c>
      <c r="E2095" t="s">
        <v>197</v>
      </c>
      <c r="F2095">
        <v>1005</v>
      </c>
      <c r="G2095" t="s">
        <v>42</v>
      </c>
      <c r="H2095">
        <v>2005</v>
      </c>
      <c r="I2095" t="s">
        <v>42</v>
      </c>
      <c r="J2095">
        <v>3035</v>
      </c>
      <c r="K2095" t="s">
        <v>309</v>
      </c>
      <c r="L2095">
        <v>4000</v>
      </c>
      <c r="M2095" t="s">
        <v>46</v>
      </c>
      <c r="N2095" t="s">
        <v>251</v>
      </c>
      <c r="O2095">
        <v>10</v>
      </c>
      <c r="P2095">
        <v>802</v>
      </c>
      <c r="Q2095" t="s">
        <v>252</v>
      </c>
      <c r="R2095" t="s">
        <v>201</v>
      </c>
      <c r="S2095">
        <v>1</v>
      </c>
      <c r="T2095">
        <v>1</v>
      </c>
      <c r="U2095">
        <v>80124</v>
      </c>
      <c r="V2095">
        <v>80124</v>
      </c>
    </row>
    <row r="2096" spans="1:22">
      <c r="A2096" t="s">
        <v>196</v>
      </c>
      <c r="B2096">
        <v>54</v>
      </c>
      <c r="C2096" t="s">
        <v>42</v>
      </c>
      <c r="D2096">
        <v>100</v>
      </c>
      <c r="E2096" t="s">
        <v>197</v>
      </c>
      <c r="F2096">
        <v>1005</v>
      </c>
      <c r="G2096" t="s">
        <v>42</v>
      </c>
      <c r="H2096">
        <v>2005</v>
      </c>
      <c r="I2096" t="s">
        <v>42</v>
      </c>
      <c r="J2096">
        <v>3035</v>
      </c>
      <c r="K2096" t="s">
        <v>309</v>
      </c>
      <c r="L2096">
        <v>4000</v>
      </c>
      <c r="M2096" t="s">
        <v>46</v>
      </c>
      <c r="N2096" t="s">
        <v>386</v>
      </c>
      <c r="O2096">
        <v>3</v>
      </c>
      <c r="P2096" t="s">
        <v>1251</v>
      </c>
      <c r="Q2096" t="s">
        <v>1252</v>
      </c>
      <c r="R2096" t="s">
        <v>201</v>
      </c>
      <c r="S2096">
        <v>1</v>
      </c>
      <c r="T2096">
        <v>1</v>
      </c>
      <c r="U2096">
        <v>128316</v>
      </c>
      <c r="V2096">
        <v>128316</v>
      </c>
    </row>
    <row r="2097" spans="1:22">
      <c r="A2097" t="s">
        <v>196</v>
      </c>
      <c r="B2097">
        <v>54</v>
      </c>
      <c r="C2097" t="s">
        <v>42</v>
      </c>
      <c r="D2097">
        <v>100</v>
      </c>
      <c r="E2097" t="s">
        <v>197</v>
      </c>
      <c r="F2097">
        <v>1005</v>
      </c>
      <c r="G2097" t="s">
        <v>42</v>
      </c>
      <c r="H2097">
        <v>2005</v>
      </c>
      <c r="I2097" t="s">
        <v>42</v>
      </c>
      <c r="J2097">
        <v>3035</v>
      </c>
      <c r="K2097" t="s">
        <v>309</v>
      </c>
      <c r="L2097">
        <v>4000</v>
      </c>
      <c r="M2097" t="s">
        <v>46</v>
      </c>
      <c r="N2097" t="s">
        <v>274</v>
      </c>
      <c r="O2097">
        <v>9</v>
      </c>
      <c r="P2097">
        <v>313</v>
      </c>
      <c r="Q2097" t="s">
        <v>605</v>
      </c>
      <c r="R2097" t="s">
        <v>201</v>
      </c>
      <c r="S2097">
        <v>1</v>
      </c>
      <c r="T2097">
        <v>1</v>
      </c>
      <c r="U2097">
        <v>153384</v>
      </c>
      <c r="V2097">
        <v>153384</v>
      </c>
    </row>
    <row r="2098" spans="1:22">
      <c r="A2098" t="s">
        <v>196</v>
      </c>
      <c r="B2098">
        <v>54</v>
      </c>
      <c r="C2098" t="s">
        <v>42</v>
      </c>
      <c r="D2098">
        <v>100</v>
      </c>
      <c r="E2098" t="s">
        <v>197</v>
      </c>
      <c r="F2098">
        <v>1005</v>
      </c>
      <c r="G2098" t="s">
        <v>42</v>
      </c>
      <c r="H2098">
        <v>2005</v>
      </c>
      <c r="I2098" t="s">
        <v>42</v>
      </c>
      <c r="J2098">
        <v>3035</v>
      </c>
      <c r="K2098" t="s">
        <v>309</v>
      </c>
      <c r="L2098">
        <v>4000</v>
      </c>
      <c r="M2098" t="s">
        <v>46</v>
      </c>
      <c r="N2098" t="s">
        <v>199</v>
      </c>
      <c r="O2098">
        <v>0</v>
      </c>
      <c r="P2098">
        <v>15</v>
      </c>
      <c r="Q2098" t="s">
        <v>264</v>
      </c>
      <c r="R2098" t="s">
        <v>201</v>
      </c>
      <c r="S2098">
        <v>0</v>
      </c>
      <c r="T2098">
        <v>0</v>
      </c>
      <c r="U2098">
        <v>6192</v>
      </c>
      <c r="V2098">
        <v>6192</v>
      </c>
    </row>
    <row r="2099" spans="1:22">
      <c r="A2099" t="s">
        <v>196</v>
      </c>
      <c r="B2099">
        <v>54</v>
      </c>
      <c r="C2099" t="s">
        <v>42</v>
      </c>
      <c r="D2099">
        <v>100</v>
      </c>
      <c r="E2099" t="s">
        <v>197</v>
      </c>
      <c r="F2099">
        <v>1005</v>
      </c>
      <c r="G2099" t="s">
        <v>42</v>
      </c>
      <c r="H2099">
        <v>2005</v>
      </c>
      <c r="I2099" t="s">
        <v>42</v>
      </c>
      <c r="J2099">
        <v>3035</v>
      </c>
      <c r="K2099" t="s">
        <v>309</v>
      </c>
      <c r="L2099">
        <v>4001</v>
      </c>
      <c r="M2099" t="s">
        <v>1253</v>
      </c>
      <c r="N2099" t="s">
        <v>266</v>
      </c>
      <c r="O2099">
        <v>9</v>
      </c>
      <c r="P2099">
        <v>9679</v>
      </c>
      <c r="Q2099" t="s">
        <v>338</v>
      </c>
      <c r="R2099" t="s">
        <v>201</v>
      </c>
      <c r="S2099">
        <v>1</v>
      </c>
      <c r="T2099">
        <v>1</v>
      </c>
      <c r="U2099">
        <v>167964</v>
      </c>
      <c r="V2099">
        <v>167964</v>
      </c>
    </row>
    <row r="2100" spans="1:22">
      <c r="A2100" t="s">
        <v>196</v>
      </c>
      <c r="B2100">
        <v>54</v>
      </c>
      <c r="C2100" t="s">
        <v>42</v>
      </c>
      <c r="D2100">
        <v>100</v>
      </c>
      <c r="E2100" t="s">
        <v>197</v>
      </c>
      <c r="F2100">
        <v>1005</v>
      </c>
      <c r="G2100" t="s">
        <v>42</v>
      </c>
      <c r="H2100">
        <v>2005</v>
      </c>
      <c r="I2100" t="s">
        <v>42</v>
      </c>
      <c r="J2100">
        <v>3035</v>
      </c>
      <c r="K2100" t="s">
        <v>309</v>
      </c>
      <c r="L2100">
        <v>4001</v>
      </c>
      <c r="M2100" t="s">
        <v>1253</v>
      </c>
      <c r="N2100" t="s">
        <v>372</v>
      </c>
      <c r="O2100">
        <v>1</v>
      </c>
      <c r="P2100">
        <v>2944</v>
      </c>
      <c r="Q2100" t="s">
        <v>1254</v>
      </c>
      <c r="R2100" t="s">
        <v>201</v>
      </c>
      <c r="S2100">
        <v>1</v>
      </c>
      <c r="T2100">
        <v>1</v>
      </c>
      <c r="U2100">
        <v>130668</v>
      </c>
      <c r="V2100">
        <v>130668</v>
      </c>
    </row>
    <row r="2101" spans="1:22">
      <c r="A2101" t="s">
        <v>196</v>
      </c>
      <c r="B2101">
        <v>54</v>
      </c>
      <c r="C2101" t="s">
        <v>42</v>
      </c>
      <c r="D2101">
        <v>100</v>
      </c>
      <c r="E2101" t="s">
        <v>197</v>
      </c>
      <c r="F2101">
        <v>1005</v>
      </c>
      <c r="G2101" t="s">
        <v>42</v>
      </c>
      <c r="H2101">
        <v>2005</v>
      </c>
      <c r="I2101" t="s">
        <v>42</v>
      </c>
      <c r="J2101">
        <v>3035</v>
      </c>
      <c r="K2101" t="s">
        <v>309</v>
      </c>
      <c r="L2101">
        <v>4001</v>
      </c>
      <c r="M2101" t="s">
        <v>1253</v>
      </c>
      <c r="N2101" t="s">
        <v>274</v>
      </c>
      <c r="O2101">
        <v>20</v>
      </c>
      <c r="P2101">
        <v>1191</v>
      </c>
      <c r="Q2101" t="s">
        <v>927</v>
      </c>
      <c r="R2101" t="s">
        <v>201</v>
      </c>
      <c r="S2101">
        <v>1</v>
      </c>
      <c r="T2101">
        <v>1</v>
      </c>
      <c r="U2101">
        <v>146808</v>
      </c>
      <c r="V2101">
        <v>146808</v>
      </c>
    </row>
    <row r="2102" spans="1:22">
      <c r="A2102" t="s">
        <v>196</v>
      </c>
      <c r="B2102">
        <v>54</v>
      </c>
      <c r="C2102" t="s">
        <v>42</v>
      </c>
      <c r="D2102">
        <v>100</v>
      </c>
      <c r="E2102" t="s">
        <v>197</v>
      </c>
      <c r="F2102">
        <v>1005</v>
      </c>
      <c r="G2102" t="s">
        <v>42</v>
      </c>
      <c r="H2102">
        <v>2005</v>
      </c>
      <c r="I2102" t="s">
        <v>42</v>
      </c>
      <c r="J2102">
        <v>3035</v>
      </c>
      <c r="K2102" t="s">
        <v>309</v>
      </c>
      <c r="L2102">
        <v>4001</v>
      </c>
      <c r="M2102" t="s">
        <v>1253</v>
      </c>
      <c r="N2102" t="s">
        <v>274</v>
      </c>
      <c r="O2102">
        <v>0</v>
      </c>
      <c r="P2102">
        <v>118</v>
      </c>
      <c r="Q2102" t="s">
        <v>358</v>
      </c>
      <c r="R2102" t="s">
        <v>201</v>
      </c>
      <c r="S2102">
        <v>1</v>
      </c>
      <c r="T2102">
        <v>1</v>
      </c>
      <c r="U2102">
        <v>121668</v>
      </c>
      <c r="V2102">
        <v>121668</v>
      </c>
    </row>
    <row r="2103" spans="1:22">
      <c r="A2103" t="s">
        <v>196</v>
      </c>
      <c r="B2103">
        <v>54</v>
      </c>
      <c r="C2103" t="s">
        <v>42</v>
      </c>
      <c r="D2103">
        <v>100</v>
      </c>
      <c r="E2103" t="s">
        <v>197</v>
      </c>
      <c r="F2103">
        <v>1005</v>
      </c>
      <c r="G2103" t="s">
        <v>42</v>
      </c>
      <c r="H2103">
        <v>2005</v>
      </c>
      <c r="I2103" t="s">
        <v>42</v>
      </c>
      <c r="J2103">
        <v>3035</v>
      </c>
      <c r="K2103" t="s">
        <v>309</v>
      </c>
      <c r="L2103">
        <v>4001</v>
      </c>
      <c r="M2103" t="s">
        <v>1253</v>
      </c>
      <c r="N2103" t="s">
        <v>360</v>
      </c>
      <c r="O2103">
        <v>1</v>
      </c>
      <c r="P2103">
        <v>109</v>
      </c>
      <c r="Q2103" t="s">
        <v>361</v>
      </c>
      <c r="R2103" t="s">
        <v>201</v>
      </c>
      <c r="S2103">
        <v>1</v>
      </c>
      <c r="T2103">
        <v>1</v>
      </c>
      <c r="U2103">
        <v>98928</v>
      </c>
      <c r="V2103">
        <v>98928</v>
      </c>
    </row>
    <row r="2104" spans="1:22">
      <c r="A2104" t="s">
        <v>196</v>
      </c>
      <c r="B2104">
        <v>54</v>
      </c>
      <c r="C2104" t="s">
        <v>42</v>
      </c>
      <c r="D2104">
        <v>100</v>
      </c>
      <c r="E2104" t="s">
        <v>197</v>
      </c>
      <c r="F2104">
        <v>1005</v>
      </c>
      <c r="G2104" t="s">
        <v>42</v>
      </c>
      <c r="H2104">
        <v>2005</v>
      </c>
      <c r="I2104" t="s">
        <v>42</v>
      </c>
      <c r="J2104">
        <v>3035</v>
      </c>
      <c r="K2104" t="s">
        <v>309</v>
      </c>
      <c r="L2104">
        <v>4001</v>
      </c>
      <c r="M2104" t="s">
        <v>1253</v>
      </c>
      <c r="N2104" t="s">
        <v>199</v>
      </c>
      <c r="O2104">
        <v>0</v>
      </c>
      <c r="P2104">
        <v>15</v>
      </c>
      <c r="Q2104" t="s">
        <v>264</v>
      </c>
      <c r="R2104" t="s">
        <v>201</v>
      </c>
      <c r="S2104">
        <v>0</v>
      </c>
      <c r="T2104">
        <v>0</v>
      </c>
      <c r="U2104">
        <v>17904</v>
      </c>
      <c r="V2104">
        <v>17904</v>
      </c>
    </row>
    <row r="2105" spans="1:22">
      <c r="A2105" t="s">
        <v>196</v>
      </c>
      <c r="B2105">
        <v>54</v>
      </c>
      <c r="C2105" t="s">
        <v>42</v>
      </c>
      <c r="D2105">
        <v>100</v>
      </c>
      <c r="E2105" t="s">
        <v>197</v>
      </c>
      <c r="F2105">
        <v>1005</v>
      </c>
      <c r="G2105" t="s">
        <v>42</v>
      </c>
      <c r="H2105">
        <v>2005</v>
      </c>
      <c r="I2105" t="s">
        <v>42</v>
      </c>
      <c r="J2105">
        <v>3035</v>
      </c>
      <c r="K2105" t="s">
        <v>309</v>
      </c>
      <c r="L2105">
        <v>4002</v>
      </c>
      <c r="M2105" t="s">
        <v>783</v>
      </c>
      <c r="N2105" t="s">
        <v>266</v>
      </c>
      <c r="O2105">
        <v>9</v>
      </c>
      <c r="P2105">
        <v>9679</v>
      </c>
      <c r="Q2105" t="s">
        <v>338</v>
      </c>
      <c r="R2105" t="s">
        <v>201</v>
      </c>
      <c r="S2105">
        <v>1</v>
      </c>
      <c r="T2105">
        <v>1</v>
      </c>
      <c r="U2105">
        <v>175512</v>
      </c>
      <c r="V2105">
        <v>175512</v>
      </c>
    </row>
    <row r="2106" spans="1:22">
      <c r="A2106" t="s">
        <v>196</v>
      </c>
      <c r="B2106">
        <v>54</v>
      </c>
      <c r="C2106" t="s">
        <v>42</v>
      </c>
      <c r="D2106">
        <v>100</v>
      </c>
      <c r="E2106" t="s">
        <v>197</v>
      </c>
      <c r="F2106">
        <v>1005</v>
      </c>
      <c r="G2106" t="s">
        <v>42</v>
      </c>
      <c r="H2106">
        <v>2005</v>
      </c>
      <c r="I2106" t="s">
        <v>42</v>
      </c>
      <c r="J2106">
        <v>3035</v>
      </c>
      <c r="K2106" t="s">
        <v>309</v>
      </c>
      <c r="L2106">
        <v>4002</v>
      </c>
      <c r="M2106" t="s">
        <v>783</v>
      </c>
      <c r="N2106" t="s">
        <v>633</v>
      </c>
      <c r="O2106">
        <v>4</v>
      </c>
      <c r="P2106">
        <v>1402</v>
      </c>
      <c r="Q2106" t="s">
        <v>1255</v>
      </c>
      <c r="R2106" t="s">
        <v>201</v>
      </c>
      <c r="S2106">
        <v>1</v>
      </c>
      <c r="T2106">
        <v>1</v>
      </c>
      <c r="U2106">
        <v>98460</v>
      </c>
      <c r="V2106">
        <v>98460</v>
      </c>
    </row>
    <row r="2107" spans="1:22">
      <c r="A2107" t="s">
        <v>196</v>
      </c>
      <c r="B2107">
        <v>54</v>
      </c>
      <c r="C2107" t="s">
        <v>42</v>
      </c>
      <c r="D2107">
        <v>100</v>
      </c>
      <c r="E2107" t="s">
        <v>197</v>
      </c>
      <c r="F2107">
        <v>1005</v>
      </c>
      <c r="G2107" t="s">
        <v>42</v>
      </c>
      <c r="H2107">
        <v>2005</v>
      </c>
      <c r="I2107" t="s">
        <v>42</v>
      </c>
      <c r="J2107">
        <v>3035</v>
      </c>
      <c r="K2107" t="s">
        <v>309</v>
      </c>
      <c r="L2107">
        <v>4002</v>
      </c>
      <c r="M2107" t="s">
        <v>783</v>
      </c>
      <c r="N2107" t="s">
        <v>274</v>
      </c>
      <c r="O2107">
        <v>0</v>
      </c>
      <c r="P2107">
        <v>1338</v>
      </c>
      <c r="Q2107" t="s">
        <v>896</v>
      </c>
      <c r="R2107" t="s">
        <v>201</v>
      </c>
      <c r="S2107">
        <v>1</v>
      </c>
      <c r="T2107">
        <v>1</v>
      </c>
      <c r="U2107">
        <v>162672</v>
      </c>
      <c r="V2107">
        <v>162672</v>
      </c>
    </row>
    <row r="2108" spans="1:22">
      <c r="A2108" t="s">
        <v>196</v>
      </c>
      <c r="B2108">
        <v>54</v>
      </c>
      <c r="C2108" t="s">
        <v>42</v>
      </c>
      <c r="D2108">
        <v>100</v>
      </c>
      <c r="E2108" t="s">
        <v>197</v>
      </c>
      <c r="F2108">
        <v>1005</v>
      </c>
      <c r="G2108" t="s">
        <v>42</v>
      </c>
      <c r="H2108">
        <v>2005</v>
      </c>
      <c r="I2108" t="s">
        <v>42</v>
      </c>
      <c r="J2108">
        <v>3035</v>
      </c>
      <c r="K2108" t="s">
        <v>309</v>
      </c>
      <c r="L2108">
        <v>4002</v>
      </c>
      <c r="M2108" t="s">
        <v>783</v>
      </c>
      <c r="N2108" t="s">
        <v>253</v>
      </c>
      <c r="O2108">
        <v>20</v>
      </c>
      <c r="P2108">
        <v>1327</v>
      </c>
      <c r="Q2108" t="s">
        <v>1208</v>
      </c>
      <c r="R2108" t="s">
        <v>201</v>
      </c>
      <c r="S2108">
        <v>1</v>
      </c>
      <c r="T2108">
        <v>1</v>
      </c>
      <c r="U2108">
        <v>130524</v>
      </c>
      <c r="V2108">
        <v>130524</v>
      </c>
    </row>
    <row r="2109" spans="1:22">
      <c r="A2109" t="s">
        <v>196</v>
      </c>
      <c r="B2109">
        <v>54</v>
      </c>
      <c r="C2109" t="s">
        <v>42</v>
      </c>
      <c r="D2109">
        <v>100</v>
      </c>
      <c r="E2109" t="s">
        <v>197</v>
      </c>
      <c r="F2109">
        <v>1005</v>
      </c>
      <c r="G2109" t="s">
        <v>42</v>
      </c>
      <c r="H2109">
        <v>2005</v>
      </c>
      <c r="I2109" t="s">
        <v>42</v>
      </c>
      <c r="J2109">
        <v>3035</v>
      </c>
      <c r="K2109" t="s">
        <v>309</v>
      </c>
      <c r="L2109">
        <v>4002</v>
      </c>
      <c r="M2109" t="s">
        <v>783</v>
      </c>
      <c r="N2109" t="s">
        <v>268</v>
      </c>
      <c r="O2109">
        <v>10</v>
      </c>
      <c r="P2109">
        <v>1310</v>
      </c>
      <c r="Q2109" t="s">
        <v>787</v>
      </c>
      <c r="R2109" t="s">
        <v>201</v>
      </c>
      <c r="S2109">
        <v>1</v>
      </c>
      <c r="T2109">
        <v>1</v>
      </c>
      <c r="U2109">
        <v>80124</v>
      </c>
      <c r="V2109">
        <v>80124</v>
      </c>
    </row>
    <row r="2110" spans="1:22">
      <c r="A2110" t="s">
        <v>196</v>
      </c>
      <c r="B2110">
        <v>54</v>
      </c>
      <c r="C2110" t="s">
        <v>42</v>
      </c>
      <c r="D2110">
        <v>100</v>
      </c>
      <c r="E2110" t="s">
        <v>197</v>
      </c>
      <c r="F2110">
        <v>1005</v>
      </c>
      <c r="G2110" t="s">
        <v>42</v>
      </c>
      <c r="H2110">
        <v>2005</v>
      </c>
      <c r="I2110" t="s">
        <v>42</v>
      </c>
      <c r="J2110">
        <v>3035</v>
      </c>
      <c r="K2110" t="s">
        <v>309</v>
      </c>
      <c r="L2110">
        <v>4002</v>
      </c>
      <c r="M2110" t="s">
        <v>783</v>
      </c>
      <c r="N2110" t="s">
        <v>372</v>
      </c>
      <c r="O2110">
        <v>1</v>
      </c>
      <c r="P2110">
        <v>689</v>
      </c>
      <c r="Q2110" t="s">
        <v>685</v>
      </c>
      <c r="R2110" t="s">
        <v>201</v>
      </c>
      <c r="S2110">
        <v>1</v>
      </c>
      <c r="T2110">
        <v>1</v>
      </c>
      <c r="U2110">
        <v>81324</v>
      </c>
      <c r="V2110">
        <v>81324</v>
      </c>
    </row>
    <row r="2111" spans="1:22">
      <c r="A2111" t="s">
        <v>196</v>
      </c>
      <c r="B2111">
        <v>54</v>
      </c>
      <c r="C2111" t="s">
        <v>42</v>
      </c>
      <c r="D2111">
        <v>100</v>
      </c>
      <c r="E2111" t="s">
        <v>197</v>
      </c>
      <c r="F2111">
        <v>1005</v>
      </c>
      <c r="G2111" t="s">
        <v>42</v>
      </c>
      <c r="H2111">
        <v>2005</v>
      </c>
      <c r="I2111" t="s">
        <v>42</v>
      </c>
      <c r="J2111">
        <v>3035</v>
      </c>
      <c r="K2111" t="s">
        <v>309</v>
      </c>
      <c r="L2111">
        <v>4002</v>
      </c>
      <c r="M2111" t="s">
        <v>783</v>
      </c>
      <c r="N2111" t="s">
        <v>253</v>
      </c>
      <c r="O2111">
        <v>20</v>
      </c>
      <c r="P2111">
        <v>381</v>
      </c>
      <c r="Q2111" t="s">
        <v>730</v>
      </c>
      <c r="R2111" t="s">
        <v>201</v>
      </c>
      <c r="S2111">
        <v>1</v>
      </c>
      <c r="T2111">
        <v>1</v>
      </c>
      <c r="U2111">
        <v>124584</v>
      </c>
      <c r="V2111">
        <v>124584</v>
      </c>
    </row>
    <row r="2112" spans="1:22">
      <c r="A2112" t="s">
        <v>196</v>
      </c>
      <c r="B2112">
        <v>54</v>
      </c>
      <c r="C2112" t="s">
        <v>42</v>
      </c>
      <c r="D2112">
        <v>100</v>
      </c>
      <c r="E2112" t="s">
        <v>197</v>
      </c>
      <c r="F2112">
        <v>1005</v>
      </c>
      <c r="G2112" t="s">
        <v>42</v>
      </c>
      <c r="H2112">
        <v>2005</v>
      </c>
      <c r="I2112" t="s">
        <v>42</v>
      </c>
      <c r="J2112">
        <v>3035</v>
      </c>
      <c r="K2112" t="s">
        <v>309</v>
      </c>
      <c r="L2112">
        <v>4002</v>
      </c>
      <c r="M2112" t="s">
        <v>783</v>
      </c>
      <c r="N2112" t="s">
        <v>199</v>
      </c>
      <c r="O2112">
        <v>0</v>
      </c>
      <c r="P2112">
        <v>15</v>
      </c>
      <c r="Q2112" t="s">
        <v>264</v>
      </c>
      <c r="R2112" t="s">
        <v>201</v>
      </c>
      <c r="S2112">
        <v>0</v>
      </c>
      <c r="T2112">
        <v>0</v>
      </c>
      <c r="U2112">
        <v>13466</v>
      </c>
      <c r="V2112">
        <v>13466</v>
      </c>
    </row>
    <row r="2113" spans="1:22">
      <c r="A2113" t="s">
        <v>196</v>
      </c>
      <c r="B2113">
        <v>54</v>
      </c>
      <c r="C2113" t="s">
        <v>42</v>
      </c>
      <c r="D2113">
        <v>100</v>
      </c>
      <c r="E2113" t="s">
        <v>197</v>
      </c>
      <c r="F2113">
        <v>1005</v>
      </c>
      <c r="G2113" t="s">
        <v>42</v>
      </c>
      <c r="H2113">
        <v>2005</v>
      </c>
      <c r="I2113" t="s">
        <v>42</v>
      </c>
      <c r="J2113">
        <v>3035</v>
      </c>
      <c r="K2113" t="s">
        <v>309</v>
      </c>
      <c r="L2113">
        <v>4009</v>
      </c>
      <c r="M2113" t="s">
        <v>1256</v>
      </c>
      <c r="N2113" t="s">
        <v>266</v>
      </c>
      <c r="O2113">
        <v>9</v>
      </c>
      <c r="P2113">
        <v>9679</v>
      </c>
      <c r="Q2113" t="s">
        <v>338</v>
      </c>
      <c r="R2113" t="s">
        <v>201</v>
      </c>
      <c r="S2113">
        <v>1</v>
      </c>
      <c r="T2113">
        <v>1</v>
      </c>
      <c r="U2113">
        <v>175512</v>
      </c>
      <c r="V2113">
        <v>175512</v>
      </c>
    </row>
    <row r="2114" spans="1:22">
      <c r="A2114" t="s">
        <v>196</v>
      </c>
      <c r="B2114">
        <v>54</v>
      </c>
      <c r="C2114" t="s">
        <v>42</v>
      </c>
      <c r="D2114">
        <v>100</v>
      </c>
      <c r="E2114" t="s">
        <v>197</v>
      </c>
      <c r="F2114">
        <v>1005</v>
      </c>
      <c r="G2114" t="s">
        <v>42</v>
      </c>
      <c r="H2114">
        <v>2005</v>
      </c>
      <c r="I2114" t="s">
        <v>42</v>
      </c>
      <c r="J2114">
        <v>3035</v>
      </c>
      <c r="K2114" t="s">
        <v>309</v>
      </c>
      <c r="L2114">
        <v>4009</v>
      </c>
      <c r="M2114" t="s">
        <v>1256</v>
      </c>
      <c r="N2114" t="s">
        <v>274</v>
      </c>
      <c r="O2114">
        <v>9</v>
      </c>
      <c r="P2114">
        <v>313</v>
      </c>
      <c r="Q2114" t="s">
        <v>605</v>
      </c>
      <c r="R2114" t="s">
        <v>201</v>
      </c>
      <c r="S2114">
        <v>1</v>
      </c>
      <c r="T2114">
        <v>1</v>
      </c>
      <c r="U2114">
        <v>146808</v>
      </c>
      <c r="V2114">
        <v>146808</v>
      </c>
    </row>
    <row r="2115" spans="1:22">
      <c r="A2115" t="s">
        <v>196</v>
      </c>
      <c r="B2115">
        <v>54</v>
      </c>
      <c r="C2115" t="s">
        <v>42</v>
      </c>
      <c r="D2115">
        <v>100</v>
      </c>
      <c r="E2115" t="s">
        <v>197</v>
      </c>
      <c r="F2115">
        <v>1005</v>
      </c>
      <c r="G2115" t="s">
        <v>42</v>
      </c>
      <c r="H2115">
        <v>2005</v>
      </c>
      <c r="I2115" t="s">
        <v>42</v>
      </c>
      <c r="J2115">
        <v>3035</v>
      </c>
      <c r="K2115" t="s">
        <v>309</v>
      </c>
      <c r="L2115">
        <v>4009</v>
      </c>
      <c r="M2115" t="s">
        <v>1256</v>
      </c>
      <c r="N2115" t="s">
        <v>341</v>
      </c>
      <c r="O2115">
        <v>1</v>
      </c>
      <c r="P2115">
        <v>308</v>
      </c>
      <c r="Q2115" t="s">
        <v>355</v>
      </c>
      <c r="R2115" t="s">
        <v>201</v>
      </c>
      <c r="S2115">
        <v>1</v>
      </c>
      <c r="T2115">
        <v>1</v>
      </c>
      <c r="U2115">
        <v>108576</v>
      </c>
      <c r="V2115">
        <v>108576</v>
      </c>
    </row>
    <row r="2116" spans="1:22">
      <c r="A2116" t="s">
        <v>196</v>
      </c>
      <c r="B2116">
        <v>54</v>
      </c>
      <c r="C2116" t="s">
        <v>42</v>
      </c>
      <c r="D2116">
        <v>100</v>
      </c>
      <c r="E2116" t="s">
        <v>197</v>
      </c>
      <c r="F2116">
        <v>1005</v>
      </c>
      <c r="G2116" t="s">
        <v>42</v>
      </c>
      <c r="H2116">
        <v>2005</v>
      </c>
      <c r="I2116" t="s">
        <v>42</v>
      </c>
      <c r="J2116">
        <v>3035</v>
      </c>
      <c r="K2116" t="s">
        <v>309</v>
      </c>
      <c r="L2116">
        <v>4009</v>
      </c>
      <c r="M2116" t="s">
        <v>1256</v>
      </c>
      <c r="N2116" t="s">
        <v>199</v>
      </c>
      <c r="O2116">
        <v>0</v>
      </c>
      <c r="P2116">
        <v>15</v>
      </c>
      <c r="Q2116" t="s">
        <v>264</v>
      </c>
      <c r="R2116" t="s">
        <v>201</v>
      </c>
      <c r="S2116">
        <v>0</v>
      </c>
      <c r="T2116">
        <v>0</v>
      </c>
      <c r="U2116">
        <v>9642</v>
      </c>
      <c r="V2116">
        <v>9642</v>
      </c>
    </row>
    <row r="2117" spans="1:22">
      <c r="A2117" t="s">
        <v>196</v>
      </c>
      <c r="B2117">
        <v>54</v>
      </c>
      <c r="C2117" t="s">
        <v>42</v>
      </c>
      <c r="D2117">
        <v>100</v>
      </c>
      <c r="E2117" t="s">
        <v>197</v>
      </c>
      <c r="F2117">
        <v>1005</v>
      </c>
      <c r="G2117" t="s">
        <v>42</v>
      </c>
      <c r="H2117">
        <v>2005</v>
      </c>
      <c r="I2117" t="s">
        <v>42</v>
      </c>
      <c r="J2117">
        <v>3042</v>
      </c>
      <c r="K2117" t="s">
        <v>1257</v>
      </c>
      <c r="L2117">
        <v>4101</v>
      </c>
      <c r="M2117" t="s">
        <v>1258</v>
      </c>
      <c r="N2117" t="s">
        <v>266</v>
      </c>
      <c r="O2117">
        <v>9</v>
      </c>
      <c r="P2117">
        <v>9679</v>
      </c>
      <c r="Q2117" t="s">
        <v>338</v>
      </c>
      <c r="R2117" t="s">
        <v>201</v>
      </c>
      <c r="S2117">
        <v>1</v>
      </c>
      <c r="T2117">
        <v>1</v>
      </c>
      <c r="U2117">
        <v>167964</v>
      </c>
      <c r="V2117">
        <v>167964</v>
      </c>
    </row>
    <row r="2118" spans="1:22">
      <c r="A2118" t="s">
        <v>196</v>
      </c>
      <c r="B2118">
        <v>54</v>
      </c>
      <c r="C2118" t="s">
        <v>42</v>
      </c>
      <c r="D2118">
        <v>100</v>
      </c>
      <c r="E2118" t="s">
        <v>197</v>
      </c>
      <c r="F2118">
        <v>1005</v>
      </c>
      <c r="G2118" t="s">
        <v>42</v>
      </c>
      <c r="H2118">
        <v>2005</v>
      </c>
      <c r="I2118" t="s">
        <v>42</v>
      </c>
      <c r="J2118">
        <v>3042</v>
      </c>
      <c r="K2118" t="s">
        <v>1257</v>
      </c>
      <c r="L2118">
        <v>4101</v>
      </c>
      <c r="M2118" t="s">
        <v>1258</v>
      </c>
      <c r="N2118" t="s">
        <v>297</v>
      </c>
      <c r="O2118">
        <v>10</v>
      </c>
      <c r="P2118">
        <v>1408</v>
      </c>
      <c r="Q2118" t="s">
        <v>1259</v>
      </c>
      <c r="R2118" t="s">
        <v>201</v>
      </c>
      <c r="S2118">
        <v>1</v>
      </c>
      <c r="T2118">
        <v>1</v>
      </c>
      <c r="U2118">
        <v>130476</v>
      </c>
      <c r="V2118">
        <v>130476</v>
      </c>
    </row>
    <row r="2119" spans="1:22">
      <c r="A2119" t="s">
        <v>196</v>
      </c>
      <c r="B2119">
        <v>54</v>
      </c>
      <c r="C2119" t="s">
        <v>42</v>
      </c>
      <c r="D2119">
        <v>100</v>
      </c>
      <c r="E2119" t="s">
        <v>197</v>
      </c>
      <c r="F2119">
        <v>1005</v>
      </c>
      <c r="G2119" t="s">
        <v>42</v>
      </c>
      <c r="H2119">
        <v>2005</v>
      </c>
      <c r="I2119" t="s">
        <v>42</v>
      </c>
      <c r="J2119">
        <v>3042</v>
      </c>
      <c r="K2119" t="s">
        <v>1257</v>
      </c>
      <c r="L2119">
        <v>4101</v>
      </c>
      <c r="M2119" t="s">
        <v>1258</v>
      </c>
      <c r="N2119" t="s">
        <v>297</v>
      </c>
      <c r="O2119">
        <v>10</v>
      </c>
      <c r="P2119">
        <v>1408</v>
      </c>
      <c r="Q2119" t="s">
        <v>1259</v>
      </c>
      <c r="R2119" t="s">
        <v>201</v>
      </c>
      <c r="S2119">
        <v>1</v>
      </c>
      <c r="T2119">
        <v>1</v>
      </c>
      <c r="U2119">
        <v>115992</v>
      </c>
      <c r="V2119">
        <v>115992</v>
      </c>
    </row>
    <row r="2120" spans="1:22">
      <c r="A2120" t="s">
        <v>196</v>
      </c>
      <c r="B2120">
        <v>54</v>
      </c>
      <c r="C2120" t="s">
        <v>42</v>
      </c>
      <c r="D2120">
        <v>100</v>
      </c>
      <c r="E2120" t="s">
        <v>197</v>
      </c>
      <c r="F2120">
        <v>1005</v>
      </c>
      <c r="G2120" t="s">
        <v>42</v>
      </c>
      <c r="H2120">
        <v>2005</v>
      </c>
      <c r="I2120" t="s">
        <v>42</v>
      </c>
      <c r="J2120">
        <v>3042</v>
      </c>
      <c r="K2120" t="s">
        <v>1257</v>
      </c>
      <c r="L2120">
        <v>4101</v>
      </c>
      <c r="M2120" t="s">
        <v>1258</v>
      </c>
      <c r="N2120" t="s">
        <v>297</v>
      </c>
      <c r="O2120">
        <v>10</v>
      </c>
      <c r="P2120">
        <v>1408</v>
      </c>
      <c r="Q2120" t="s">
        <v>1259</v>
      </c>
      <c r="R2120" t="s">
        <v>201</v>
      </c>
      <c r="S2120">
        <v>1</v>
      </c>
      <c r="T2120">
        <v>1</v>
      </c>
      <c r="U2120">
        <v>111000</v>
      </c>
      <c r="V2120">
        <v>111000</v>
      </c>
    </row>
    <row r="2121" spans="1:22">
      <c r="A2121" t="s">
        <v>196</v>
      </c>
      <c r="B2121">
        <v>54</v>
      </c>
      <c r="C2121" t="s">
        <v>42</v>
      </c>
      <c r="D2121">
        <v>100</v>
      </c>
      <c r="E2121" t="s">
        <v>197</v>
      </c>
      <c r="F2121">
        <v>1005</v>
      </c>
      <c r="G2121" t="s">
        <v>42</v>
      </c>
      <c r="H2121">
        <v>2005</v>
      </c>
      <c r="I2121" t="s">
        <v>42</v>
      </c>
      <c r="J2121">
        <v>3042</v>
      </c>
      <c r="K2121" t="s">
        <v>1257</v>
      </c>
      <c r="L2121">
        <v>4101</v>
      </c>
      <c r="M2121" t="s">
        <v>1258</v>
      </c>
      <c r="N2121" t="s">
        <v>281</v>
      </c>
      <c r="O2121">
        <v>10</v>
      </c>
      <c r="P2121">
        <v>1405</v>
      </c>
      <c r="Q2121" t="s">
        <v>1260</v>
      </c>
      <c r="R2121" t="s">
        <v>201</v>
      </c>
      <c r="S2121">
        <v>1</v>
      </c>
      <c r="T2121">
        <v>1</v>
      </c>
      <c r="U2121">
        <v>112080</v>
      </c>
      <c r="V2121">
        <v>112080</v>
      </c>
    </row>
    <row r="2122" spans="1:22">
      <c r="A2122" t="s">
        <v>196</v>
      </c>
      <c r="B2122">
        <v>54</v>
      </c>
      <c r="C2122" t="s">
        <v>42</v>
      </c>
      <c r="D2122">
        <v>100</v>
      </c>
      <c r="E2122" t="s">
        <v>197</v>
      </c>
      <c r="F2122">
        <v>1005</v>
      </c>
      <c r="G2122" t="s">
        <v>42</v>
      </c>
      <c r="H2122">
        <v>2005</v>
      </c>
      <c r="I2122" t="s">
        <v>42</v>
      </c>
      <c r="J2122">
        <v>3042</v>
      </c>
      <c r="K2122" t="s">
        <v>1257</v>
      </c>
      <c r="L2122">
        <v>4101</v>
      </c>
      <c r="M2122" t="s">
        <v>1258</v>
      </c>
      <c r="N2122" t="s">
        <v>281</v>
      </c>
      <c r="O2122">
        <v>10</v>
      </c>
      <c r="P2122">
        <v>1405</v>
      </c>
      <c r="Q2122" t="s">
        <v>1260</v>
      </c>
      <c r="R2122" t="s">
        <v>201</v>
      </c>
      <c r="S2122">
        <v>1</v>
      </c>
      <c r="T2122">
        <v>1</v>
      </c>
      <c r="U2122">
        <v>97332</v>
      </c>
      <c r="V2122">
        <v>97332</v>
      </c>
    </row>
    <row r="2123" spans="1:22">
      <c r="A2123" t="s">
        <v>196</v>
      </c>
      <c r="B2123">
        <v>54</v>
      </c>
      <c r="C2123" t="s">
        <v>42</v>
      </c>
      <c r="D2123">
        <v>100</v>
      </c>
      <c r="E2123" t="s">
        <v>197</v>
      </c>
      <c r="F2123">
        <v>1005</v>
      </c>
      <c r="G2123" t="s">
        <v>42</v>
      </c>
      <c r="H2123">
        <v>2005</v>
      </c>
      <c r="I2123" t="s">
        <v>42</v>
      </c>
      <c r="J2123">
        <v>3042</v>
      </c>
      <c r="K2123" t="s">
        <v>1257</v>
      </c>
      <c r="L2123">
        <v>4101</v>
      </c>
      <c r="M2123" t="s">
        <v>1258</v>
      </c>
      <c r="N2123" t="s">
        <v>281</v>
      </c>
      <c r="O2123">
        <v>10</v>
      </c>
      <c r="P2123">
        <v>1405</v>
      </c>
      <c r="Q2123" t="s">
        <v>1260</v>
      </c>
      <c r="R2123" t="s">
        <v>201</v>
      </c>
      <c r="S2123">
        <v>2</v>
      </c>
      <c r="T2123">
        <v>1</v>
      </c>
      <c r="U2123">
        <v>93156</v>
      </c>
      <c r="V2123">
        <v>186312</v>
      </c>
    </row>
    <row r="2124" spans="1:22">
      <c r="A2124" t="s">
        <v>196</v>
      </c>
      <c r="B2124">
        <v>54</v>
      </c>
      <c r="C2124" t="s">
        <v>42</v>
      </c>
      <c r="D2124">
        <v>100</v>
      </c>
      <c r="E2124" t="s">
        <v>197</v>
      </c>
      <c r="F2124">
        <v>1005</v>
      </c>
      <c r="G2124" t="s">
        <v>42</v>
      </c>
      <c r="H2124">
        <v>2005</v>
      </c>
      <c r="I2124" t="s">
        <v>42</v>
      </c>
      <c r="J2124">
        <v>3042</v>
      </c>
      <c r="K2124" t="s">
        <v>1257</v>
      </c>
      <c r="L2124">
        <v>4101</v>
      </c>
      <c r="M2124" t="s">
        <v>1258</v>
      </c>
      <c r="N2124" t="s">
        <v>281</v>
      </c>
      <c r="O2124">
        <v>10</v>
      </c>
      <c r="P2124">
        <v>1405</v>
      </c>
      <c r="Q2124" t="s">
        <v>1260</v>
      </c>
      <c r="R2124" t="s">
        <v>201</v>
      </c>
      <c r="S2124">
        <v>3</v>
      </c>
      <c r="T2124">
        <v>1</v>
      </c>
      <c r="U2124">
        <v>82884</v>
      </c>
      <c r="V2124">
        <v>248652</v>
      </c>
    </row>
    <row r="2125" spans="1:22">
      <c r="A2125" t="s">
        <v>196</v>
      </c>
      <c r="B2125">
        <v>54</v>
      </c>
      <c r="C2125" t="s">
        <v>42</v>
      </c>
      <c r="D2125">
        <v>100</v>
      </c>
      <c r="E2125" t="s">
        <v>197</v>
      </c>
      <c r="F2125">
        <v>1005</v>
      </c>
      <c r="G2125" t="s">
        <v>42</v>
      </c>
      <c r="H2125">
        <v>2005</v>
      </c>
      <c r="I2125" t="s">
        <v>42</v>
      </c>
      <c r="J2125">
        <v>3042</v>
      </c>
      <c r="K2125" t="s">
        <v>1257</v>
      </c>
      <c r="L2125">
        <v>4101</v>
      </c>
      <c r="M2125" t="s">
        <v>1258</v>
      </c>
      <c r="N2125" t="s">
        <v>199</v>
      </c>
      <c r="O2125">
        <v>0</v>
      </c>
      <c r="P2125">
        <v>15</v>
      </c>
      <c r="Q2125" t="s">
        <v>264</v>
      </c>
      <c r="R2125" t="s">
        <v>201</v>
      </c>
      <c r="S2125">
        <v>0</v>
      </c>
      <c r="T2125">
        <v>0</v>
      </c>
      <c r="U2125">
        <v>18487</v>
      </c>
      <c r="V2125">
        <v>18487</v>
      </c>
    </row>
    <row r="2126" spans="1:22">
      <c r="A2126" t="s">
        <v>196</v>
      </c>
      <c r="B2126">
        <v>54</v>
      </c>
      <c r="C2126" t="s">
        <v>42</v>
      </c>
      <c r="D2126">
        <v>100</v>
      </c>
      <c r="E2126" t="s">
        <v>197</v>
      </c>
      <c r="F2126">
        <v>1005</v>
      </c>
      <c r="G2126" t="s">
        <v>42</v>
      </c>
      <c r="H2126">
        <v>2005</v>
      </c>
      <c r="I2126" t="s">
        <v>42</v>
      </c>
      <c r="J2126">
        <v>3042</v>
      </c>
      <c r="K2126" t="s">
        <v>1257</v>
      </c>
      <c r="L2126">
        <v>4102</v>
      </c>
      <c r="M2126" t="s">
        <v>1261</v>
      </c>
      <c r="N2126" t="s">
        <v>281</v>
      </c>
      <c r="O2126">
        <v>10</v>
      </c>
      <c r="P2126">
        <v>1407</v>
      </c>
      <c r="Q2126" t="s">
        <v>1262</v>
      </c>
      <c r="R2126" t="s">
        <v>201</v>
      </c>
      <c r="S2126">
        <v>1</v>
      </c>
      <c r="T2126">
        <v>1</v>
      </c>
      <c r="U2126">
        <v>93156</v>
      </c>
      <c r="V2126">
        <v>93156</v>
      </c>
    </row>
    <row r="2127" spans="1:22">
      <c r="A2127" t="s">
        <v>196</v>
      </c>
      <c r="B2127">
        <v>54</v>
      </c>
      <c r="C2127" t="s">
        <v>42</v>
      </c>
      <c r="D2127">
        <v>100</v>
      </c>
      <c r="E2127" t="s">
        <v>197</v>
      </c>
      <c r="F2127">
        <v>1005</v>
      </c>
      <c r="G2127" t="s">
        <v>42</v>
      </c>
      <c r="H2127">
        <v>2005</v>
      </c>
      <c r="I2127" t="s">
        <v>42</v>
      </c>
      <c r="J2127">
        <v>3042</v>
      </c>
      <c r="K2127" t="s">
        <v>1257</v>
      </c>
      <c r="L2127">
        <v>4102</v>
      </c>
      <c r="M2127" t="s">
        <v>1261</v>
      </c>
      <c r="N2127" t="s">
        <v>281</v>
      </c>
      <c r="O2127">
        <v>10</v>
      </c>
      <c r="P2127">
        <v>1407</v>
      </c>
      <c r="Q2127" t="s">
        <v>1262</v>
      </c>
      <c r="R2127" t="s">
        <v>201</v>
      </c>
      <c r="S2127">
        <v>1</v>
      </c>
      <c r="T2127">
        <v>1</v>
      </c>
      <c r="U2127">
        <v>89112</v>
      </c>
      <c r="V2127">
        <v>89112</v>
      </c>
    </row>
    <row r="2128" spans="1:22">
      <c r="A2128" t="s">
        <v>196</v>
      </c>
      <c r="B2128">
        <v>54</v>
      </c>
      <c r="C2128" t="s">
        <v>42</v>
      </c>
      <c r="D2128">
        <v>100</v>
      </c>
      <c r="E2128" t="s">
        <v>197</v>
      </c>
      <c r="F2128">
        <v>1005</v>
      </c>
      <c r="G2128" t="s">
        <v>42</v>
      </c>
      <c r="H2128">
        <v>2005</v>
      </c>
      <c r="I2128" t="s">
        <v>42</v>
      </c>
      <c r="J2128">
        <v>3042</v>
      </c>
      <c r="K2128" t="s">
        <v>1257</v>
      </c>
      <c r="L2128">
        <v>4102</v>
      </c>
      <c r="M2128" t="s">
        <v>1261</v>
      </c>
      <c r="N2128" t="s">
        <v>281</v>
      </c>
      <c r="O2128">
        <v>10</v>
      </c>
      <c r="P2128">
        <v>1405</v>
      </c>
      <c r="Q2128" t="s">
        <v>1260</v>
      </c>
      <c r="R2128" t="s">
        <v>201</v>
      </c>
      <c r="S2128">
        <v>1</v>
      </c>
      <c r="T2128">
        <v>1</v>
      </c>
      <c r="U2128">
        <v>85236</v>
      </c>
      <c r="V2128">
        <v>85236</v>
      </c>
    </row>
    <row r="2129" spans="1:22">
      <c r="A2129" t="s">
        <v>196</v>
      </c>
      <c r="B2129">
        <v>54</v>
      </c>
      <c r="C2129" t="s">
        <v>42</v>
      </c>
      <c r="D2129">
        <v>100</v>
      </c>
      <c r="E2129" t="s">
        <v>197</v>
      </c>
      <c r="F2129">
        <v>1005</v>
      </c>
      <c r="G2129" t="s">
        <v>42</v>
      </c>
      <c r="H2129">
        <v>2005</v>
      </c>
      <c r="I2129" t="s">
        <v>42</v>
      </c>
      <c r="J2129">
        <v>3042</v>
      </c>
      <c r="K2129" t="s">
        <v>1257</v>
      </c>
      <c r="L2129">
        <v>4102</v>
      </c>
      <c r="M2129" t="s">
        <v>1261</v>
      </c>
      <c r="N2129" t="s">
        <v>281</v>
      </c>
      <c r="O2129">
        <v>10</v>
      </c>
      <c r="P2129">
        <v>1405</v>
      </c>
      <c r="Q2129" t="s">
        <v>1260</v>
      </c>
      <c r="R2129" t="s">
        <v>201</v>
      </c>
      <c r="S2129">
        <v>1</v>
      </c>
      <c r="T2129">
        <v>1</v>
      </c>
      <c r="U2129">
        <v>82884</v>
      </c>
      <c r="V2129">
        <v>82884</v>
      </c>
    </row>
    <row r="2130" spans="1:22">
      <c r="A2130" t="s">
        <v>196</v>
      </c>
      <c r="B2130">
        <v>54</v>
      </c>
      <c r="C2130" t="s">
        <v>42</v>
      </c>
      <c r="D2130">
        <v>100</v>
      </c>
      <c r="E2130" t="s">
        <v>197</v>
      </c>
      <c r="F2130">
        <v>1005</v>
      </c>
      <c r="G2130" t="s">
        <v>42</v>
      </c>
      <c r="H2130">
        <v>2005</v>
      </c>
      <c r="I2130" t="s">
        <v>42</v>
      </c>
      <c r="J2130">
        <v>3042</v>
      </c>
      <c r="K2130" t="s">
        <v>1257</v>
      </c>
      <c r="L2130">
        <v>4102</v>
      </c>
      <c r="M2130" t="s">
        <v>1261</v>
      </c>
      <c r="N2130" t="s">
        <v>199</v>
      </c>
      <c r="O2130">
        <v>0</v>
      </c>
      <c r="P2130">
        <v>15</v>
      </c>
      <c r="Q2130" t="s">
        <v>264</v>
      </c>
      <c r="R2130" t="s">
        <v>201</v>
      </c>
      <c r="S2130">
        <v>0</v>
      </c>
      <c r="T2130">
        <v>0</v>
      </c>
      <c r="U2130">
        <v>6855</v>
      </c>
      <c r="V2130">
        <v>6855</v>
      </c>
    </row>
    <row r="2131" spans="1:22">
      <c r="A2131" t="s">
        <v>196</v>
      </c>
      <c r="B2131">
        <v>54</v>
      </c>
      <c r="C2131" t="s">
        <v>42</v>
      </c>
      <c r="D2131">
        <v>100</v>
      </c>
      <c r="E2131" t="s">
        <v>197</v>
      </c>
      <c r="F2131">
        <v>1005</v>
      </c>
      <c r="G2131" t="s">
        <v>42</v>
      </c>
      <c r="H2131">
        <v>2005</v>
      </c>
      <c r="I2131" t="s">
        <v>42</v>
      </c>
      <c r="J2131">
        <v>3044</v>
      </c>
      <c r="K2131" t="s">
        <v>1263</v>
      </c>
      <c r="L2131">
        <v>4094</v>
      </c>
      <c r="M2131" t="s">
        <v>1264</v>
      </c>
      <c r="N2131" t="s">
        <v>372</v>
      </c>
      <c r="O2131">
        <v>4</v>
      </c>
      <c r="P2131">
        <v>1912</v>
      </c>
      <c r="Q2131" t="s">
        <v>608</v>
      </c>
      <c r="R2131" t="s">
        <v>201</v>
      </c>
      <c r="S2131">
        <v>1</v>
      </c>
      <c r="T2131">
        <v>1</v>
      </c>
      <c r="U2131">
        <v>75336</v>
      </c>
      <c r="V2131">
        <v>75336</v>
      </c>
    </row>
    <row r="2132" spans="1:22">
      <c r="A2132" t="s">
        <v>196</v>
      </c>
      <c r="B2132">
        <v>54</v>
      </c>
      <c r="C2132" t="s">
        <v>42</v>
      </c>
      <c r="D2132">
        <v>100</v>
      </c>
      <c r="E2132" t="s">
        <v>197</v>
      </c>
      <c r="F2132">
        <v>1005</v>
      </c>
      <c r="G2132" t="s">
        <v>42</v>
      </c>
      <c r="H2132">
        <v>2005</v>
      </c>
      <c r="I2132" t="s">
        <v>42</v>
      </c>
      <c r="J2132">
        <v>3044</v>
      </c>
      <c r="K2132" t="s">
        <v>1263</v>
      </c>
      <c r="L2132">
        <v>4094</v>
      </c>
      <c r="M2132" t="s">
        <v>1264</v>
      </c>
      <c r="N2132" t="s">
        <v>281</v>
      </c>
      <c r="O2132">
        <v>10</v>
      </c>
      <c r="P2132">
        <v>1405</v>
      </c>
      <c r="Q2132" t="s">
        <v>1260</v>
      </c>
      <c r="R2132" t="s">
        <v>201</v>
      </c>
      <c r="S2132">
        <v>1</v>
      </c>
      <c r="T2132">
        <v>1</v>
      </c>
      <c r="U2132">
        <v>112080</v>
      </c>
      <c r="V2132">
        <v>112080</v>
      </c>
    </row>
    <row r="2133" spans="1:22">
      <c r="A2133" t="s">
        <v>196</v>
      </c>
      <c r="B2133">
        <v>54</v>
      </c>
      <c r="C2133" t="s">
        <v>42</v>
      </c>
      <c r="D2133">
        <v>100</v>
      </c>
      <c r="E2133" t="s">
        <v>197</v>
      </c>
      <c r="F2133">
        <v>1005</v>
      </c>
      <c r="G2133" t="s">
        <v>42</v>
      </c>
      <c r="H2133">
        <v>2005</v>
      </c>
      <c r="I2133" t="s">
        <v>42</v>
      </c>
      <c r="J2133">
        <v>3044</v>
      </c>
      <c r="K2133" t="s">
        <v>1263</v>
      </c>
      <c r="L2133">
        <v>4094</v>
      </c>
      <c r="M2133" t="s">
        <v>1264</v>
      </c>
      <c r="N2133" t="s">
        <v>274</v>
      </c>
      <c r="O2133">
        <v>9</v>
      </c>
      <c r="P2133">
        <v>313</v>
      </c>
      <c r="Q2133" t="s">
        <v>605</v>
      </c>
      <c r="R2133" t="s">
        <v>201</v>
      </c>
      <c r="S2133">
        <v>1</v>
      </c>
      <c r="T2133">
        <v>1</v>
      </c>
      <c r="U2133">
        <v>146808</v>
      </c>
      <c r="V2133">
        <v>146808</v>
      </c>
    </row>
    <row r="2134" spans="1:22">
      <c r="A2134" t="s">
        <v>196</v>
      </c>
      <c r="B2134">
        <v>54</v>
      </c>
      <c r="C2134" t="s">
        <v>42</v>
      </c>
      <c r="D2134">
        <v>100</v>
      </c>
      <c r="E2134" t="s">
        <v>197</v>
      </c>
      <c r="F2134">
        <v>1005</v>
      </c>
      <c r="G2134" t="s">
        <v>42</v>
      </c>
      <c r="H2134">
        <v>2005</v>
      </c>
      <c r="I2134" t="s">
        <v>42</v>
      </c>
      <c r="J2134">
        <v>3044</v>
      </c>
      <c r="K2134" t="s">
        <v>1263</v>
      </c>
      <c r="L2134">
        <v>4094</v>
      </c>
      <c r="M2134" t="s">
        <v>1264</v>
      </c>
      <c r="N2134" t="s">
        <v>199</v>
      </c>
      <c r="O2134">
        <v>0</v>
      </c>
      <c r="P2134">
        <v>15</v>
      </c>
      <c r="Q2134" t="s">
        <v>264</v>
      </c>
      <c r="R2134" t="s">
        <v>201</v>
      </c>
      <c r="S2134">
        <v>0</v>
      </c>
      <c r="T2134">
        <v>0</v>
      </c>
      <c r="U2134">
        <v>3836</v>
      </c>
      <c r="V2134">
        <v>3836</v>
      </c>
    </row>
    <row r="2135" spans="1:22">
      <c r="A2135" t="s">
        <v>196</v>
      </c>
      <c r="B2135">
        <v>54</v>
      </c>
      <c r="C2135" t="s">
        <v>42</v>
      </c>
      <c r="D2135">
        <v>100</v>
      </c>
      <c r="E2135" t="s">
        <v>197</v>
      </c>
      <c r="F2135">
        <v>1005</v>
      </c>
      <c r="G2135" t="s">
        <v>42</v>
      </c>
      <c r="H2135">
        <v>2005</v>
      </c>
      <c r="I2135" t="s">
        <v>42</v>
      </c>
      <c r="J2135">
        <v>3044</v>
      </c>
      <c r="K2135" t="s">
        <v>1263</v>
      </c>
      <c r="L2135">
        <v>4095</v>
      </c>
      <c r="M2135" t="s">
        <v>1265</v>
      </c>
      <c r="N2135" t="s">
        <v>249</v>
      </c>
      <c r="O2135">
        <v>10</v>
      </c>
      <c r="P2135">
        <v>3092</v>
      </c>
      <c r="Q2135" t="s">
        <v>750</v>
      </c>
      <c r="R2135" t="s">
        <v>201</v>
      </c>
      <c r="S2135">
        <v>1</v>
      </c>
      <c r="T2135">
        <v>1</v>
      </c>
      <c r="U2135">
        <v>150072</v>
      </c>
      <c r="V2135">
        <v>150072</v>
      </c>
    </row>
    <row r="2136" spans="1:22">
      <c r="A2136" t="s">
        <v>196</v>
      </c>
      <c r="B2136">
        <v>54</v>
      </c>
      <c r="C2136" t="s">
        <v>42</v>
      </c>
      <c r="D2136">
        <v>100</v>
      </c>
      <c r="E2136" t="s">
        <v>197</v>
      </c>
      <c r="F2136">
        <v>1005</v>
      </c>
      <c r="G2136" t="s">
        <v>42</v>
      </c>
      <c r="H2136">
        <v>2005</v>
      </c>
      <c r="I2136" t="s">
        <v>42</v>
      </c>
      <c r="J2136">
        <v>3044</v>
      </c>
      <c r="K2136" t="s">
        <v>1263</v>
      </c>
      <c r="L2136">
        <v>4095</v>
      </c>
      <c r="M2136" t="s">
        <v>1265</v>
      </c>
      <c r="N2136" t="s">
        <v>249</v>
      </c>
      <c r="O2136">
        <v>10</v>
      </c>
      <c r="P2136">
        <v>3092</v>
      </c>
      <c r="Q2136" t="s">
        <v>750</v>
      </c>
      <c r="R2136" t="s">
        <v>201</v>
      </c>
      <c r="S2136">
        <v>1</v>
      </c>
      <c r="T2136">
        <v>1</v>
      </c>
      <c r="U2136">
        <v>89112</v>
      </c>
      <c r="V2136">
        <v>89112</v>
      </c>
    </row>
    <row r="2137" spans="1:22">
      <c r="A2137" t="s">
        <v>196</v>
      </c>
      <c r="B2137">
        <v>54</v>
      </c>
      <c r="C2137" t="s">
        <v>42</v>
      </c>
      <c r="D2137">
        <v>100</v>
      </c>
      <c r="E2137" t="s">
        <v>197</v>
      </c>
      <c r="F2137">
        <v>1005</v>
      </c>
      <c r="G2137" t="s">
        <v>42</v>
      </c>
      <c r="H2137">
        <v>2005</v>
      </c>
      <c r="I2137" t="s">
        <v>42</v>
      </c>
      <c r="J2137">
        <v>3044</v>
      </c>
      <c r="K2137" t="s">
        <v>1263</v>
      </c>
      <c r="L2137">
        <v>4095</v>
      </c>
      <c r="M2137" t="s">
        <v>1265</v>
      </c>
      <c r="N2137" t="s">
        <v>251</v>
      </c>
      <c r="O2137">
        <v>10</v>
      </c>
      <c r="P2137">
        <v>1984</v>
      </c>
      <c r="Q2137" t="s">
        <v>1266</v>
      </c>
      <c r="R2137" t="s">
        <v>201</v>
      </c>
      <c r="S2137">
        <v>1</v>
      </c>
      <c r="T2137">
        <v>1</v>
      </c>
      <c r="U2137">
        <v>83052</v>
      </c>
      <c r="V2137">
        <v>83052</v>
      </c>
    </row>
    <row r="2138" spans="1:22">
      <c r="A2138" t="s">
        <v>196</v>
      </c>
      <c r="B2138">
        <v>54</v>
      </c>
      <c r="C2138" t="s">
        <v>42</v>
      </c>
      <c r="D2138">
        <v>100</v>
      </c>
      <c r="E2138" t="s">
        <v>197</v>
      </c>
      <c r="F2138">
        <v>1005</v>
      </c>
      <c r="G2138" t="s">
        <v>42</v>
      </c>
      <c r="H2138">
        <v>2005</v>
      </c>
      <c r="I2138" t="s">
        <v>42</v>
      </c>
      <c r="J2138">
        <v>3044</v>
      </c>
      <c r="K2138" t="s">
        <v>1263</v>
      </c>
      <c r="L2138">
        <v>4095</v>
      </c>
      <c r="M2138" t="s">
        <v>1265</v>
      </c>
      <c r="N2138" t="s">
        <v>199</v>
      </c>
      <c r="O2138">
        <v>0</v>
      </c>
      <c r="P2138">
        <v>15</v>
      </c>
      <c r="Q2138" t="s">
        <v>264</v>
      </c>
      <c r="R2138" t="s">
        <v>201</v>
      </c>
      <c r="S2138">
        <v>0</v>
      </c>
      <c r="T2138">
        <v>0</v>
      </c>
      <c r="U2138">
        <v>2309</v>
      </c>
      <c r="V2138">
        <v>2309</v>
      </c>
    </row>
    <row r="2139" spans="1:22">
      <c r="A2139" t="s">
        <v>196</v>
      </c>
      <c r="B2139">
        <v>54</v>
      </c>
      <c r="C2139" t="s">
        <v>42</v>
      </c>
      <c r="D2139">
        <v>100</v>
      </c>
      <c r="E2139" t="s">
        <v>197</v>
      </c>
      <c r="F2139">
        <v>1005</v>
      </c>
      <c r="G2139" t="s">
        <v>42</v>
      </c>
      <c r="H2139">
        <v>2005</v>
      </c>
      <c r="I2139" t="s">
        <v>42</v>
      </c>
      <c r="J2139">
        <v>3046</v>
      </c>
      <c r="K2139" t="s">
        <v>1267</v>
      </c>
      <c r="L2139">
        <v>4169</v>
      </c>
      <c r="M2139" t="s">
        <v>1268</v>
      </c>
      <c r="N2139" t="s">
        <v>266</v>
      </c>
      <c r="O2139">
        <v>9</v>
      </c>
      <c r="P2139">
        <v>9679</v>
      </c>
      <c r="Q2139" t="s">
        <v>338</v>
      </c>
      <c r="R2139" t="s">
        <v>201</v>
      </c>
      <c r="S2139">
        <v>1</v>
      </c>
      <c r="T2139">
        <v>1</v>
      </c>
      <c r="U2139">
        <v>139140</v>
      </c>
      <c r="V2139">
        <v>139140</v>
      </c>
    </row>
    <row r="2140" spans="1:22">
      <c r="A2140" t="s">
        <v>196</v>
      </c>
      <c r="B2140">
        <v>54</v>
      </c>
      <c r="C2140" t="s">
        <v>42</v>
      </c>
      <c r="D2140">
        <v>100</v>
      </c>
      <c r="E2140" t="s">
        <v>197</v>
      </c>
      <c r="F2140">
        <v>1005</v>
      </c>
      <c r="G2140" t="s">
        <v>42</v>
      </c>
      <c r="H2140">
        <v>2005</v>
      </c>
      <c r="I2140" t="s">
        <v>42</v>
      </c>
      <c r="J2140">
        <v>3046</v>
      </c>
      <c r="K2140" t="s">
        <v>1267</v>
      </c>
      <c r="L2140">
        <v>4169</v>
      </c>
      <c r="M2140" t="s">
        <v>1268</v>
      </c>
      <c r="N2140" t="s">
        <v>253</v>
      </c>
      <c r="O2140">
        <v>10</v>
      </c>
      <c r="P2140">
        <v>1985</v>
      </c>
      <c r="Q2140" t="s">
        <v>1269</v>
      </c>
      <c r="R2140" t="s">
        <v>201</v>
      </c>
      <c r="S2140">
        <v>1</v>
      </c>
      <c r="T2140">
        <v>1</v>
      </c>
      <c r="U2140">
        <v>83052</v>
      </c>
      <c r="V2140">
        <v>83052</v>
      </c>
    </row>
    <row r="2141" spans="1:22">
      <c r="A2141" t="s">
        <v>196</v>
      </c>
      <c r="B2141">
        <v>54</v>
      </c>
      <c r="C2141" t="s">
        <v>42</v>
      </c>
      <c r="D2141">
        <v>100</v>
      </c>
      <c r="E2141" t="s">
        <v>197</v>
      </c>
      <c r="F2141">
        <v>1005</v>
      </c>
      <c r="G2141" t="s">
        <v>42</v>
      </c>
      <c r="H2141">
        <v>2005</v>
      </c>
      <c r="I2141" t="s">
        <v>42</v>
      </c>
      <c r="J2141">
        <v>3046</v>
      </c>
      <c r="K2141" t="s">
        <v>1267</v>
      </c>
      <c r="L2141">
        <v>4169</v>
      </c>
      <c r="M2141" t="s">
        <v>1268</v>
      </c>
      <c r="N2141" t="s">
        <v>281</v>
      </c>
      <c r="O2141">
        <v>10</v>
      </c>
      <c r="P2141">
        <v>1405</v>
      </c>
      <c r="Q2141" t="s">
        <v>1260</v>
      </c>
      <c r="R2141" t="s">
        <v>201</v>
      </c>
      <c r="S2141">
        <v>2</v>
      </c>
      <c r="T2141">
        <v>1</v>
      </c>
      <c r="U2141">
        <v>85236</v>
      </c>
      <c r="V2141">
        <v>170472</v>
      </c>
    </row>
    <row r="2142" spans="1:22">
      <c r="A2142" t="s">
        <v>196</v>
      </c>
      <c r="B2142">
        <v>54</v>
      </c>
      <c r="C2142" t="s">
        <v>42</v>
      </c>
      <c r="D2142">
        <v>100</v>
      </c>
      <c r="E2142" t="s">
        <v>197</v>
      </c>
      <c r="F2142">
        <v>1005</v>
      </c>
      <c r="G2142" t="s">
        <v>42</v>
      </c>
      <c r="H2142">
        <v>2005</v>
      </c>
      <c r="I2142" t="s">
        <v>42</v>
      </c>
      <c r="J2142">
        <v>3046</v>
      </c>
      <c r="K2142" t="s">
        <v>1267</v>
      </c>
      <c r="L2142">
        <v>4169</v>
      </c>
      <c r="M2142" t="s">
        <v>1268</v>
      </c>
      <c r="N2142" t="s">
        <v>281</v>
      </c>
      <c r="O2142">
        <v>10</v>
      </c>
      <c r="P2142">
        <v>1405</v>
      </c>
      <c r="Q2142" t="s">
        <v>1260</v>
      </c>
      <c r="R2142" t="s">
        <v>201</v>
      </c>
      <c r="S2142">
        <v>2</v>
      </c>
      <c r="T2142">
        <v>1</v>
      </c>
      <c r="U2142">
        <v>82884</v>
      </c>
      <c r="V2142">
        <v>165768</v>
      </c>
    </row>
    <row r="2143" spans="1:22">
      <c r="A2143" t="s">
        <v>196</v>
      </c>
      <c r="B2143">
        <v>54</v>
      </c>
      <c r="C2143" t="s">
        <v>42</v>
      </c>
      <c r="D2143">
        <v>100</v>
      </c>
      <c r="E2143" t="s">
        <v>197</v>
      </c>
      <c r="F2143">
        <v>1005</v>
      </c>
      <c r="G2143" t="s">
        <v>42</v>
      </c>
      <c r="H2143">
        <v>2005</v>
      </c>
      <c r="I2143" t="s">
        <v>42</v>
      </c>
      <c r="J2143">
        <v>3046</v>
      </c>
      <c r="K2143" t="s">
        <v>1267</v>
      </c>
      <c r="L2143">
        <v>4169</v>
      </c>
      <c r="M2143" t="s">
        <v>1268</v>
      </c>
      <c r="N2143" t="s">
        <v>249</v>
      </c>
      <c r="O2143">
        <v>10</v>
      </c>
      <c r="P2143">
        <v>310</v>
      </c>
      <c r="Q2143" t="s">
        <v>447</v>
      </c>
      <c r="R2143" t="s">
        <v>201</v>
      </c>
      <c r="S2143">
        <v>1</v>
      </c>
      <c r="T2143">
        <v>1</v>
      </c>
      <c r="U2143">
        <v>97836</v>
      </c>
      <c r="V2143">
        <v>97836</v>
      </c>
    </row>
    <row r="2144" spans="1:22">
      <c r="A2144" t="s">
        <v>196</v>
      </c>
      <c r="B2144">
        <v>54</v>
      </c>
      <c r="C2144" t="s">
        <v>42</v>
      </c>
      <c r="D2144">
        <v>100</v>
      </c>
      <c r="E2144" t="s">
        <v>197</v>
      </c>
      <c r="F2144">
        <v>1005</v>
      </c>
      <c r="G2144" t="s">
        <v>42</v>
      </c>
      <c r="H2144">
        <v>2005</v>
      </c>
      <c r="I2144" t="s">
        <v>42</v>
      </c>
      <c r="J2144">
        <v>3046</v>
      </c>
      <c r="K2144" t="s">
        <v>1267</v>
      </c>
      <c r="L2144">
        <v>4169</v>
      </c>
      <c r="M2144" t="s">
        <v>1268</v>
      </c>
      <c r="N2144" t="s">
        <v>199</v>
      </c>
      <c r="O2144">
        <v>0</v>
      </c>
      <c r="P2144">
        <v>15</v>
      </c>
      <c r="Q2144" t="s">
        <v>264</v>
      </c>
      <c r="R2144" t="s">
        <v>201</v>
      </c>
      <c r="S2144">
        <v>0</v>
      </c>
      <c r="T2144">
        <v>0</v>
      </c>
      <c r="U2144">
        <v>11185</v>
      </c>
      <c r="V2144">
        <v>11185</v>
      </c>
    </row>
    <row r="2145" spans="1:22">
      <c r="A2145" t="s">
        <v>196</v>
      </c>
      <c r="B2145">
        <v>54</v>
      </c>
      <c r="C2145" t="s">
        <v>42</v>
      </c>
      <c r="D2145">
        <v>100</v>
      </c>
      <c r="E2145" t="s">
        <v>197</v>
      </c>
      <c r="F2145">
        <v>1005</v>
      </c>
      <c r="G2145" t="s">
        <v>42</v>
      </c>
      <c r="H2145">
        <v>2005</v>
      </c>
      <c r="I2145" t="s">
        <v>42</v>
      </c>
      <c r="J2145">
        <v>3046</v>
      </c>
      <c r="K2145" t="s">
        <v>1267</v>
      </c>
      <c r="L2145">
        <v>4178</v>
      </c>
      <c r="M2145" t="s">
        <v>1270</v>
      </c>
      <c r="N2145" t="s">
        <v>372</v>
      </c>
      <c r="O2145">
        <v>4</v>
      </c>
      <c r="P2145">
        <v>1912</v>
      </c>
      <c r="Q2145" t="s">
        <v>608</v>
      </c>
      <c r="R2145" t="s">
        <v>201</v>
      </c>
      <c r="S2145">
        <v>1</v>
      </c>
      <c r="T2145">
        <v>1</v>
      </c>
      <c r="U2145">
        <v>85200</v>
      </c>
      <c r="V2145">
        <v>85200</v>
      </c>
    </row>
    <row r="2146" spans="1:22">
      <c r="A2146" t="s">
        <v>196</v>
      </c>
      <c r="B2146">
        <v>54</v>
      </c>
      <c r="C2146" t="s">
        <v>42</v>
      </c>
      <c r="D2146">
        <v>100</v>
      </c>
      <c r="E2146" t="s">
        <v>197</v>
      </c>
      <c r="F2146">
        <v>1005</v>
      </c>
      <c r="G2146" t="s">
        <v>42</v>
      </c>
      <c r="H2146">
        <v>2005</v>
      </c>
      <c r="I2146" t="s">
        <v>42</v>
      </c>
      <c r="J2146">
        <v>3046</v>
      </c>
      <c r="K2146" t="s">
        <v>1267</v>
      </c>
      <c r="L2146">
        <v>4178</v>
      </c>
      <c r="M2146" t="s">
        <v>1270</v>
      </c>
      <c r="N2146" t="s">
        <v>268</v>
      </c>
      <c r="O2146">
        <v>10</v>
      </c>
      <c r="P2146">
        <v>1911</v>
      </c>
      <c r="Q2146" t="s">
        <v>617</v>
      </c>
      <c r="R2146" t="s">
        <v>201</v>
      </c>
      <c r="S2146">
        <v>1</v>
      </c>
      <c r="T2146">
        <v>1</v>
      </c>
      <c r="U2146">
        <v>108432</v>
      </c>
      <c r="V2146">
        <v>108432</v>
      </c>
    </row>
    <row r="2147" spans="1:22">
      <c r="A2147" t="s">
        <v>196</v>
      </c>
      <c r="B2147">
        <v>54</v>
      </c>
      <c r="C2147" t="s">
        <v>42</v>
      </c>
      <c r="D2147">
        <v>100</v>
      </c>
      <c r="E2147" t="s">
        <v>197</v>
      </c>
      <c r="F2147">
        <v>1005</v>
      </c>
      <c r="G2147" t="s">
        <v>42</v>
      </c>
      <c r="H2147">
        <v>2005</v>
      </c>
      <c r="I2147" t="s">
        <v>42</v>
      </c>
      <c r="J2147">
        <v>3046</v>
      </c>
      <c r="K2147" t="s">
        <v>1267</v>
      </c>
      <c r="L2147">
        <v>4178</v>
      </c>
      <c r="M2147" t="s">
        <v>1270</v>
      </c>
      <c r="N2147" t="s">
        <v>274</v>
      </c>
      <c r="O2147">
        <v>20</v>
      </c>
      <c r="P2147">
        <v>1603</v>
      </c>
      <c r="Q2147" t="s">
        <v>1271</v>
      </c>
      <c r="R2147" t="s">
        <v>201</v>
      </c>
      <c r="S2147">
        <v>1</v>
      </c>
      <c r="T2147">
        <v>1</v>
      </c>
      <c r="U2147">
        <v>121668</v>
      </c>
      <c r="V2147">
        <v>121668</v>
      </c>
    </row>
    <row r="2148" spans="1:22">
      <c r="A2148" t="s">
        <v>196</v>
      </c>
      <c r="B2148">
        <v>54</v>
      </c>
      <c r="C2148" t="s">
        <v>42</v>
      </c>
      <c r="D2148">
        <v>100</v>
      </c>
      <c r="E2148" t="s">
        <v>197</v>
      </c>
      <c r="F2148">
        <v>1005</v>
      </c>
      <c r="G2148" t="s">
        <v>42</v>
      </c>
      <c r="H2148">
        <v>2005</v>
      </c>
      <c r="I2148" t="s">
        <v>42</v>
      </c>
      <c r="J2148">
        <v>3046</v>
      </c>
      <c r="K2148" t="s">
        <v>1267</v>
      </c>
      <c r="L2148">
        <v>4178</v>
      </c>
      <c r="M2148" t="s">
        <v>1270</v>
      </c>
      <c r="N2148" t="s">
        <v>372</v>
      </c>
      <c r="O2148">
        <v>1</v>
      </c>
      <c r="P2148">
        <v>1602</v>
      </c>
      <c r="Q2148" t="s">
        <v>1272</v>
      </c>
      <c r="R2148" t="s">
        <v>201</v>
      </c>
      <c r="S2148">
        <v>1</v>
      </c>
      <c r="T2148">
        <v>1</v>
      </c>
      <c r="U2148">
        <v>98928</v>
      </c>
      <c r="V2148">
        <v>98928</v>
      </c>
    </row>
    <row r="2149" spans="1:22">
      <c r="A2149" t="s">
        <v>196</v>
      </c>
      <c r="B2149">
        <v>54</v>
      </c>
      <c r="C2149" t="s">
        <v>42</v>
      </c>
      <c r="D2149">
        <v>100</v>
      </c>
      <c r="E2149" t="s">
        <v>197</v>
      </c>
      <c r="F2149">
        <v>1005</v>
      </c>
      <c r="G2149" t="s">
        <v>42</v>
      </c>
      <c r="H2149">
        <v>2005</v>
      </c>
      <c r="I2149" t="s">
        <v>42</v>
      </c>
      <c r="J2149">
        <v>3046</v>
      </c>
      <c r="K2149" t="s">
        <v>1267</v>
      </c>
      <c r="L2149">
        <v>4178</v>
      </c>
      <c r="M2149" t="s">
        <v>1270</v>
      </c>
      <c r="N2149" t="s">
        <v>372</v>
      </c>
      <c r="O2149">
        <v>1</v>
      </c>
      <c r="P2149">
        <v>1602</v>
      </c>
      <c r="Q2149" t="s">
        <v>1272</v>
      </c>
      <c r="R2149" t="s">
        <v>201</v>
      </c>
      <c r="S2149">
        <v>1</v>
      </c>
      <c r="T2149">
        <v>1</v>
      </c>
      <c r="U2149">
        <v>85200</v>
      </c>
      <c r="V2149">
        <v>85200</v>
      </c>
    </row>
    <row r="2150" spans="1:22">
      <c r="A2150" t="s">
        <v>196</v>
      </c>
      <c r="B2150">
        <v>54</v>
      </c>
      <c r="C2150" t="s">
        <v>42</v>
      </c>
      <c r="D2150">
        <v>100</v>
      </c>
      <c r="E2150" t="s">
        <v>197</v>
      </c>
      <c r="F2150">
        <v>1005</v>
      </c>
      <c r="G2150" t="s">
        <v>42</v>
      </c>
      <c r="H2150">
        <v>2005</v>
      </c>
      <c r="I2150" t="s">
        <v>42</v>
      </c>
      <c r="J2150">
        <v>3046</v>
      </c>
      <c r="K2150" t="s">
        <v>1267</v>
      </c>
      <c r="L2150">
        <v>4178</v>
      </c>
      <c r="M2150" t="s">
        <v>1270</v>
      </c>
      <c r="N2150" t="s">
        <v>372</v>
      </c>
      <c r="O2150">
        <v>1</v>
      </c>
      <c r="P2150">
        <v>1602</v>
      </c>
      <c r="Q2150" t="s">
        <v>1272</v>
      </c>
      <c r="R2150" t="s">
        <v>201</v>
      </c>
      <c r="S2150">
        <v>1</v>
      </c>
      <c r="T2150">
        <v>1</v>
      </c>
      <c r="U2150">
        <v>77640</v>
      </c>
      <c r="V2150">
        <v>77640</v>
      </c>
    </row>
    <row r="2151" spans="1:22">
      <c r="A2151" t="s">
        <v>196</v>
      </c>
      <c r="B2151">
        <v>54</v>
      </c>
      <c r="C2151" t="s">
        <v>42</v>
      </c>
      <c r="D2151">
        <v>100</v>
      </c>
      <c r="E2151" t="s">
        <v>197</v>
      </c>
      <c r="F2151">
        <v>1005</v>
      </c>
      <c r="G2151" t="s">
        <v>42</v>
      </c>
      <c r="H2151">
        <v>2005</v>
      </c>
      <c r="I2151" t="s">
        <v>42</v>
      </c>
      <c r="J2151">
        <v>3046</v>
      </c>
      <c r="K2151" t="s">
        <v>1267</v>
      </c>
      <c r="L2151">
        <v>4178</v>
      </c>
      <c r="M2151" t="s">
        <v>1270</v>
      </c>
      <c r="N2151" t="s">
        <v>372</v>
      </c>
      <c r="O2151">
        <v>1</v>
      </c>
      <c r="P2151">
        <v>1602</v>
      </c>
      <c r="Q2151" t="s">
        <v>1272</v>
      </c>
      <c r="R2151" t="s">
        <v>201</v>
      </c>
      <c r="S2151">
        <v>1</v>
      </c>
      <c r="T2151">
        <v>1</v>
      </c>
      <c r="U2151">
        <v>75336</v>
      </c>
      <c r="V2151">
        <v>75336</v>
      </c>
    </row>
    <row r="2152" spans="1:22">
      <c r="A2152" t="s">
        <v>196</v>
      </c>
      <c r="B2152">
        <v>54</v>
      </c>
      <c r="C2152" t="s">
        <v>42</v>
      </c>
      <c r="D2152">
        <v>100</v>
      </c>
      <c r="E2152" t="s">
        <v>197</v>
      </c>
      <c r="F2152">
        <v>1005</v>
      </c>
      <c r="G2152" t="s">
        <v>42</v>
      </c>
      <c r="H2152">
        <v>2005</v>
      </c>
      <c r="I2152" t="s">
        <v>42</v>
      </c>
      <c r="J2152">
        <v>3046</v>
      </c>
      <c r="K2152" t="s">
        <v>1267</v>
      </c>
      <c r="L2152">
        <v>4178</v>
      </c>
      <c r="M2152" t="s">
        <v>1270</v>
      </c>
      <c r="N2152" t="s">
        <v>281</v>
      </c>
      <c r="O2152">
        <v>10</v>
      </c>
      <c r="P2152">
        <v>1405</v>
      </c>
      <c r="Q2152" t="s">
        <v>1260</v>
      </c>
      <c r="R2152" t="s">
        <v>201</v>
      </c>
      <c r="S2152">
        <v>1</v>
      </c>
      <c r="T2152">
        <v>1</v>
      </c>
      <c r="U2152">
        <v>97332</v>
      </c>
      <c r="V2152">
        <v>97332</v>
      </c>
    </row>
    <row r="2153" spans="1:22">
      <c r="A2153" t="s">
        <v>196</v>
      </c>
      <c r="B2153">
        <v>54</v>
      </c>
      <c r="C2153" t="s">
        <v>42</v>
      </c>
      <c r="D2153">
        <v>100</v>
      </c>
      <c r="E2153" t="s">
        <v>197</v>
      </c>
      <c r="F2153">
        <v>1005</v>
      </c>
      <c r="G2153" t="s">
        <v>42</v>
      </c>
      <c r="H2153">
        <v>2005</v>
      </c>
      <c r="I2153" t="s">
        <v>42</v>
      </c>
      <c r="J2153">
        <v>3046</v>
      </c>
      <c r="K2153" t="s">
        <v>1267</v>
      </c>
      <c r="L2153">
        <v>4178</v>
      </c>
      <c r="M2153" t="s">
        <v>1270</v>
      </c>
      <c r="N2153" t="s">
        <v>351</v>
      </c>
      <c r="O2153">
        <v>1</v>
      </c>
      <c r="P2153" t="s">
        <v>352</v>
      </c>
      <c r="Q2153" t="s">
        <v>353</v>
      </c>
      <c r="R2153" t="s">
        <v>201</v>
      </c>
      <c r="S2153">
        <v>1</v>
      </c>
      <c r="T2153">
        <v>1</v>
      </c>
      <c r="U2153">
        <v>108576</v>
      </c>
      <c r="V2153">
        <v>108576</v>
      </c>
    </row>
    <row r="2154" spans="1:22">
      <c r="A2154" t="s">
        <v>196</v>
      </c>
      <c r="B2154">
        <v>54</v>
      </c>
      <c r="C2154" t="s">
        <v>42</v>
      </c>
      <c r="D2154">
        <v>100</v>
      </c>
      <c r="E2154" t="s">
        <v>197</v>
      </c>
      <c r="F2154">
        <v>1005</v>
      </c>
      <c r="G2154" t="s">
        <v>42</v>
      </c>
      <c r="H2154">
        <v>2005</v>
      </c>
      <c r="I2154" t="s">
        <v>42</v>
      </c>
      <c r="J2154">
        <v>3046</v>
      </c>
      <c r="K2154" t="s">
        <v>1267</v>
      </c>
      <c r="L2154">
        <v>4178</v>
      </c>
      <c r="M2154" t="s">
        <v>1270</v>
      </c>
      <c r="N2154" t="s">
        <v>199</v>
      </c>
      <c r="O2154">
        <v>0</v>
      </c>
      <c r="P2154">
        <v>15</v>
      </c>
      <c r="Q2154" t="s">
        <v>264</v>
      </c>
      <c r="R2154" t="s">
        <v>201</v>
      </c>
      <c r="S2154">
        <v>0</v>
      </c>
      <c r="T2154">
        <v>0</v>
      </c>
      <c r="U2154">
        <v>19744</v>
      </c>
      <c r="V2154">
        <v>19744</v>
      </c>
    </row>
    <row r="2155" spans="1:22">
      <c r="A2155" t="s">
        <v>196</v>
      </c>
      <c r="B2155">
        <v>54</v>
      </c>
      <c r="C2155" t="s">
        <v>42</v>
      </c>
      <c r="D2155">
        <v>100</v>
      </c>
      <c r="E2155" t="s">
        <v>197</v>
      </c>
      <c r="F2155">
        <v>1005</v>
      </c>
      <c r="G2155" t="s">
        <v>42</v>
      </c>
      <c r="H2155">
        <v>2005</v>
      </c>
      <c r="I2155" t="s">
        <v>42</v>
      </c>
      <c r="J2155">
        <v>3046</v>
      </c>
      <c r="K2155" t="s">
        <v>1267</v>
      </c>
      <c r="L2155">
        <v>4184</v>
      </c>
      <c r="M2155" t="s">
        <v>1273</v>
      </c>
      <c r="N2155" t="s">
        <v>602</v>
      </c>
      <c r="O2155">
        <v>4</v>
      </c>
      <c r="P2155">
        <v>5404</v>
      </c>
      <c r="Q2155" t="s">
        <v>1202</v>
      </c>
      <c r="R2155" t="s">
        <v>201</v>
      </c>
      <c r="S2155">
        <v>1</v>
      </c>
      <c r="T2155">
        <v>1</v>
      </c>
      <c r="U2155">
        <v>99408</v>
      </c>
      <c r="V2155">
        <v>99408</v>
      </c>
    </row>
    <row r="2156" spans="1:22">
      <c r="A2156" t="s">
        <v>196</v>
      </c>
      <c r="B2156">
        <v>54</v>
      </c>
      <c r="C2156" t="s">
        <v>42</v>
      </c>
      <c r="D2156">
        <v>100</v>
      </c>
      <c r="E2156" t="s">
        <v>197</v>
      </c>
      <c r="F2156">
        <v>1005</v>
      </c>
      <c r="G2156" t="s">
        <v>42</v>
      </c>
      <c r="H2156">
        <v>2005</v>
      </c>
      <c r="I2156" t="s">
        <v>42</v>
      </c>
      <c r="J2156">
        <v>3046</v>
      </c>
      <c r="K2156" t="s">
        <v>1267</v>
      </c>
      <c r="L2156">
        <v>4184</v>
      </c>
      <c r="M2156" t="s">
        <v>1273</v>
      </c>
      <c r="N2156" t="s">
        <v>688</v>
      </c>
      <c r="O2156">
        <v>4</v>
      </c>
      <c r="P2156">
        <v>5402</v>
      </c>
      <c r="Q2156" t="s">
        <v>1274</v>
      </c>
      <c r="R2156" t="s">
        <v>201</v>
      </c>
      <c r="S2156">
        <v>2</v>
      </c>
      <c r="T2156">
        <v>1</v>
      </c>
      <c r="U2156">
        <v>107628</v>
      </c>
      <c r="V2156">
        <v>215256</v>
      </c>
    </row>
    <row r="2157" spans="1:22">
      <c r="A2157" t="s">
        <v>196</v>
      </c>
      <c r="B2157">
        <v>54</v>
      </c>
      <c r="C2157" t="s">
        <v>42</v>
      </c>
      <c r="D2157">
        <v>100</v>
      </c>
      <c r="E2157" t="s">
        <v>197</v>
      </c>
      <c r="F2157">
        <v>1005</v>
      </c>
      <c r="G2157" t="s">
        <v>42</v>
      </c>
      <c r="H2157">
        <v>2005</v>
      </c>
      <c r="I2157" t="s">
        <v>42</v>
      </c>
      <c r="J2157">
        <v>3046</v>
      </c>
      <c r="K2157" t="s">
        <v>1267</v>
      </c>
      <c r="L2157">
        <v>4184</v>
      </c>
      <c r="M2157" t="s">
        <v>1273</v>
      </c>
      <c r="N2157" t="s">
        <v>688</v>
      </c>
      <c r="O2157">
        <v>4</v>
      </c>
      <c r="P2157">
        <v>5402</v>
      </c>
      <c r="Q2157" t="s">
        <v>1274</v>
      </c>
      <c r="R2157" t="s">
        <v>201</v>
      </c>
      <c r="S2157">
        <v>1</v>
      </c>
      <c r="T2157">
        <v>1</v>
      </c>
      <c r="U2157">
        <v>92940</v>
      </c>
      <c r="V2157">
        <v>92940</v>
      </c>
    </row>
    <row r="2158" spans="1:22">
      <c r="A2158" t="s">
        <v>196</v>
      </c>
      <c r="B2158">
        <v>54</v>
      </c>
      <c r="C2158" t="s">
        <v>42</v>
      </c>
      <c r="D2158">
        <v>100</v>
      </c>
      <c r="E2158" t="s">
        <v>197</v>
      </c>
      <c r="F2158">
        <v>1005</v>
      </c>
      <c r="G2158" t="s">
        <v>42</v>
      </c>
      <c r="H2158">
        <v>2005</v>
      </c>
      <c r="I2158" t="s">
        <v>42</v>
      </c>
      <c r="J2158">
        <v>3046</v>
      </c>
      <c r="K2158" t="s">
        <v>1267</v>
      </c>
      <c r="L2158">
        <v>4184</v>
      </c>
      <c r="M2158" t="s">
        <v>1273</v>
      </c>
      <c r="N2158" t="s">
        <v>688</v>
      </c>
      <c r="O2158">
        <v>4</v>
      </c>
      <c r="P2158">
        <v>5402</v>
      </c>
      <c r="Q2158" t="s">
        <v>1274</v>
      </c>
      <c r="R2158" t="s">
        <v>201</v>
      </c>
      <c r="S2158">
        <v>1</v>
      </c>
      <c r="T2158">
        <v>1</v>
      </c>
      <c r="U2158">
        <v>81636</v>
      </c>
      <c r="V2158">
        <v>81636</v>
      </c>
    </row>
    <row r="2159" spans="1:22">
      <c r="A2159" t="s">
        <v>196</v>
      </c>
      <c r="B2159">
        <v>54</v>
      </c>
      <c r="C2159" t="s">
        <v>42</v>
      </c>
      <c r="D2159">
        <v>100</v>
      </c>
      <c r="E2159" t="s">
        <v>197</v>
      </c>
      <c r="F2159">
        <v>1005</v>
      </c>
      <c r="G2159" t="s">
        <v>42</v>
      </c>
      <c r="H2159">
        <v>2005</v>
      </c>
      <c r="I2159" t="s">
        <v>42</v>
      </c>
      <c r="J2159">
        <v>3046</v>
      </c>
      <c r="K2159" t="s">
        <v>1267</v>
      </c>
      <c r="L2159">
        <v>4184</v>
      </c>
      <c r="M2159" t="s">
        <v>1273</v>
      </c>
      <c r="N2159" t="s">
        <v>372</v>
      </c>
      <c r="O2159">
        <v>4</v>
      </c>
      <c r="P2159">
        <v>1912</v>
      </c>
      <c r="Q2159" t="s">
        <v>608</v>
      </c>
      <c r="R2159" t="s">
        <v>201</v>
      </c>
      <c r="S2159">
        <v>1</v>
      </c>
      <c r="T2159">
        <v>1</v>
      </c>
      <c r="U2159">
        <v>108576</v>
      </c>
      <c r="V2159">
        <v>108576</v>
      </c>
    </row>
    <row r="2160" spans="1:22">
      <c r="A2160" t="s">
        <v>196</v>
      </c>
      <c r="B2160">
        <v>54</v>
      </c>
      <c r="C2160" t="s">
        <v>42</v>
      </c>
      <c r="D2160">
        <v>100</v>
      </c>
      <c r="E2160" t="s">
        <v>197</v>
      </c>
      <c r="F2160">
        <v>1005</v>
      </c>
      <c r="G2160" t="s">
        <v>42</v>
      </c>
      <c r="H2160">
        <v>2005</v>
      </c>
      <c r="I2160" t="s">
        <v>42</v>
      </c>
      <c r="J2160">
        <v>3046</v>
      </c>
      <c r="K2160" t="s">
        <v>1267</v>
      </c>
      <c r="L2160">
        <v>4184</v>
      </c>
      <c r="M2160" t="s">
        <v>1273</v>
      </c>
      <c r="N2160" t="s">
        <v>297</v>
      </c>
      <c r="O2160">
        <v>20</v>
      </c>
      <c r="P2160">
        <v>1441</v>
      </c>
      <c r="Q2160" t="s">
        <v>1122</v>
      </c>
      <c r="R2160" t="s">
        <v>201</v>
      </c>
      <c r="S2160">
        <v>1</v>
      </c>
      <c r="T2160">
        <v>1</v>
      </c>
      <c r="U2160">
        <v>126756</v>
      </c>
      <c r="V2160">
        <v>126756</v>
      </c>
    </row>
    <row r="2161" spans="1:22">
      <c r="A2161" t="s">
        <v>196</v>
      </c>
      <c r="B2161">
        <v>54</v>
      </c>
      <c r="C2161" t="s">
        <v>42</v>
      </c>
      <c r="D2161">
        <v>100</v>
      </c>
      <c r="E2161" t="s">
        <v>197</v>
      </c>
      <c r="F2161">
        <v>1005</v>
      </c>
      <c r="G2161" t="s">
        <v>42</v>
      </c>
      <c r="H2161">
        <v>2005</v>
      </c>
      <c r="I2161" t="s">
        <v>42</v>
      </c>
      <c r="J2161">
        <v>3046</v>
      </c>
      <c r="K2161" t="s">
        <v>1267</v>
      </c>
      <c r="L2161">
        <v>4184</v>
      </c>
      <c r="M2161" t="s">
        <v>1273</v>
      </c>
      <c r="N2161" t="s">
        <v>297</v>
      </c>
      <c r="O2161">
        <v>20</v>
      </c>
      <c r="P2161">
        <v>1441</v>
      </c>
      <c r="Q2161" t="s">
        <v>1122</v>
      </c>
      <c r="R2161" t="s">
        <v>201</v>
      </c>
      <c r="S2161">
        <v>1</v>
      </c>
      <c r="T2161">
        <v>1</v>
      </c>
      <c r="U2161">
        <v>121320</v>
      </c>
      <c r="V2161">
        <v>121320</v>
      </c>
    </row>
    <row r="2162" spans="1:22">
      <c r="A2162" t="s">
        <v>196</v>
      </c>
      <c r="B2162">
        <v>54</v>
      </c>
      <c r="C2162" t="s">
        <v>42</v>
      </c>
      <c r="D2162">
        <v>100</v>
      </c>
      <c r="E2162" t="s">
        <v>197</v>
      </c>
      <c r="F2162">
        <v>1005</v>
      </c>
      <c r="G2162" t="s">
        <v>42</v>
      </c>
      <c r="H2162">
        <v>2005</v>
      </c>
      <c r="I2162" t="s">
        <v>42</v>
      </c>
      <c r="J2162">
        <v>3046</v>
      </c>
      <c r="K2162" t="s">
        <v>1267</v>
      </c>
      <c r="L2162">
        <v>4184</v>
      </c>
      <c r="M2162" t="s">
        <v>1273</v>
      </c>
      <c r="N2162" t="s">
        <v>281</v>
      </c>
      <c r="O2162">
        <v>10</v>
      </c>
      <c r="P2162">
        <v>1405</v>
      </c>
      <c r="Q2162" t="s">
        <v>1260</v>
      </c>
      <c r="R2162" t="s">
        <v>201</v>
      </c>
      <c r="S2162">
        <v>1</v>
      </c>
      <c r="T2162">
        <v>1</v>
      </c>
      <c r="U2162">
        <v>85236</v>
      </c>
      <c r="V2162">
        <v>85236</v>
      </c>
    </row>
    <row r="2163" spans="1:22">
      <c r="A2163" t="s">
        <v>196</v>
      </c>
      <c r="B2163">
        <v>54</v>
      </c>
      <c r="C2163" t="s">
        <v>42</v>
      </c>
      <c r="D2163">
        <v>100</v>
      </c>
      <c r="E2163" t="s">
        <v>197</v>
      </c>
      <c r="F2163">
        <v>1005</v>
      </c>
      <c r="G2163" t="s">
        <v>42</v>
      </c>
      <c r="H2163">
        <v>2005</v>
      </c>
      <c r="I2163" t="s">
        <v>42</v>
      </c>
      <c r="J2163">
        <v>3046</v>
      </c>
      <c r="K2163" t="s">
        <v>1267</v>
      </c>
      <c r="L2163">
        <v>4184</v>
      </c>
      <c r="M2163" t="s">
        <v>1273</v>
      </c>
      <c r="N2163" t="s">
        <v>274</v>
      </c>
      <c r="O2163">
        <v>9</v>
      </c>
      <c r="P2163">
        <v>313</v>
      </c>
      <c r="Q2163" t="s">
        <v>605</v>
      </c>
      <c r="R2163" t="s">
        <v>201</v>
      </c>
      <c r="S2163">
        <v>1</v>
      </c>
      <c r="T2163">
        <v>1</v>
      </c>
      <c r="U2163">
        <v>146808</v>
      </c>
      <c r="V2163">
        <v>146808</v>
      </c>
    </row>
    <row r="2164" spans="1:22">
      <c r="A2164" t="s">
        <v>196</v>
      </c>
      <c r="B2164">
        <v>54</v>
      </c>
      <c r="C2164" t="s">
        <v>42</v>
      </c>
      <c r="D2164">
        <v>100</v>
      </c>
      <c r="E2164" t="s">
        <v>197</v>
      </c>
      <c r="F2164">
        <v>1005</v>
      </c>
      <c r="G2164" t="s">
        <v>42</v>
      </c>
      <c r="H2164">
        <v>2005</v>
      </c>
      <c r="I2164" t="s">
        <v>42</v>
      </c>
      <c r="J2164">
        <v>3046</v>
      </c>
      <c r="K2164" t="s">
        <v>1267</v>
      </c>
      <c r="L2164">
        <v>4184</v>
      </c>
      <c r="M2164" t="s">
        <v>1273</v>
      </c>
      <c r="N2164" t="s">
        <v>199</v>
      </c>
      <c r="O2164">
        <v>0</v>
      </c>
      <c r="P2164">
        <v>15</v>
      </c>
      <c r="Q2164" t="s">
        <v>264</v>
      </c>
      <c r="R2164" t="s">
        <v>201</v>
      </c>
      <c r="S2164">
        <v>0</v>
      </c>
      <c r="T2164">
        <v>0</v>
      </c>
      <c r="U2164">
        <v>20246</v>
      </c>
      <c r="V2164">
        <v>20246</v>
      </c>
    </row>
    <row r="2165" spans="1:22">
      <c r="A2165" t="s">
        <v>196</v>
      </c>
      <c r="B2165">
        <v>54</v>
      </c>
      <c r="C2165" t="s">
        <v>42</v>
      </c>
      <c r="D2165">
        <v>100</v>
      </c>
      <c r="E2165" t="s">
        <v>197</v>
      </c>
      <c r="F2165">
        <v>1005</v>
      </c>
      <c r="G2165" t="s">
        <v>42</v>
      </c>
      <c r="H2165">
        <v>2005</v>
      </c>
      <c r="I2165" t="s">
        <v>42</v>
      </c>
      <c r="J2165">
        <v>3088</v>
      </c>
      <c r="K2165" t="s">
        <v>1275</v>
      </c>
      <c r="L2165">
        <v>4028</v>
      </c>
      <c r="M2165" t="s">
        <v>1276</v>
      </c>
      <c r="N2165" t="s">
        <v>297</v>
      </c>
      <c r="O2165">
        <v>20</v>
      </c>
      <c r="P2165">
        <v>1441</v>
      </c>
      <c r="Q2165" t="s">
        <v>1122</v>
      </c>
      <c r="R2165" t="s">
        <v>201</v>
      </c>
      <c r="S2165">
        <v>1</v>
      </c>
      <c r="T2165">
        <v>1</v>
      </c>
      <c r="U2165">
        <v>126756</v>
      </c>
      <c r="V2165">
        <v>126756</v>
      </c>
    </row>
    <row r="2166" spans="1:22">
      <c r="A2166" t="s">
        <v>196</v>
      </c>
      <c r="B2166">
        <v>54</v>
      </c>
      <c r="C2166" t="s">
        <v>42</v>
      </c>
      <c r="D2166">
        <v>100</v>
      </c>
      <c r="E2166" t="s">
        <v>197</v>
      </c>
      <c r="F2166">
        <v>1005</v>
      </c>
      <c r="G2166" t="s">
        <v>42</v>
      </c>
      <c r="H2166">
        <v>2005</v>
      </c>
      <c r="I2166" t="s">
        <v>42</v>
      </c>
      <c r="J2166">
        <v>3088</v>
      </c>
      <c r="K2166" t="s">
        <v>1275</v>
      </c>
      <c r="L2166">
        <v>4028</v>
      </c>
      <c r="M2166" t="s">
        <v>1276</v>
      </c>
      <c r="N2166" t="s">
        <v>281</v>
      </c>
      <c r="O2166">
        <v>10</v>
      </c>
      <c r="P2166">
        <v>1407</v>
      </c>
      <c r="Q2166" t="s">
        <v>1262</v>
      </c>
      <c r="R2166" t="s">
        <v>201</v>
      </c>
      <c r="S2166">
        <v>1</v>
      </c>
      <c r="T2166">
        <v>1</v>
      </c>
      <c r="U2166">
        <v>93156</v>
      </c>
      <c r="V2166">
        <v>93156</v>
      </c>
    </row>
    <row r="2167" spans="1:22">
      <c r="A2167" t="s">
        <v>196</v>
      </c>
      <c r="B2167">
        <v>54</v>
      </c>
      <c r="C2167" t="s">
        <v>42</v>
      </c>
      <c r="D2167">
        <v>100</v>
      </c>
      <c r="E2167" t="s">
        <v>197</v>
      </c>
      <c r="F2167">
        <v>1005</v>
      </c>
      <c r="G2167" t="s">
        <v>42</v>
      </c>
      <c r="H2167">
        <v>2005</v>
      </c>
      <c r="I2167" t="s">
        <v>42</v>
      </c>
      <c r="J2167">
        <v>3088</v>
      </c>
      <c r="K2167" t="s">
        <v>1275</v>
      </c>
      <c r="L2167">
        <v>4028</v>
      </c>
      <c r="M2167" t="s">
        <v>1276</v>
      </c>
      <c r="N2167" t="s">
        <v>281</v>
      </c>
      <c r="O2167">
        <v>10</v>
      </c>
      <c r="P2167">
        <v>1405</v>
      </c>
      <c r="Q2167" t="s">
        <v>1260</v>
      </c>
      <c r="R2167" t="s">
        <v>201</v>
      </c>
      <c r="S2167">
        <v>3</v>
      </c>
      <c r="T2167">
        <v>1</v>
      </c>
      <c r="U2167">
        <v>93156</v>
      </c>
      <c r="V2167">
        <v>279468</v>
      </c>
    </row>
    <row r="2168" spans="1:22">
      <c r="A2168" t="s">
        <v>196</v>
      </c>
      <c r="B2168">
        <v>54</v>
      </c>
      <c r="C2168" t="s">
        <v>42</v>
      </c>
      <c r="D2168">
        <v>100</v>
      </c>
      <c r="E2168" t="s">
        <v>197</v>
      </c>
      <c r="F2168">
        <v>1005</v>
      </c>
      <c r="G2168" t="s">
        <v>42</v>
      </c>
      <c r="H2168">
        <v>2005</v>
      </c>
      <c r="I2168" t="s">
        <v>42</v>
      </c>
      <c r="J2168">
        <v>3088</v>
      </c>
      <c r="K2168" t="s">
        <v>1275</v>
      </c>
      <c r="L2168">
        <v>4028</v>
      </c>
      <c r="M2168" t="s">
        <v>1276</v>
      </c>
      <c r="N2168" t="s">
        <v>281</v>
      </c>
      <c r="O2168">
        <v>10</v>
      </c>
      <c r="P2168">
        <v>1405</v>
      </c>
      <c r="Q2168" t="s">
        <v>1260</v>
      </c>
      <c r="R2168" t="s">
        <v>201</v>
      </c>
      <c r="S2168">
        <v>1</v>
      </c>
      <c r="T2168">
        <v>1</v>
      </c>
      <c r="U2168">
        <v>82884</v>
      </c>
      <c r="V2168">
        <v>82884</v>
      </c>
    </row>
    <row r="2169" spans="1:22">
      <c r="A2169" t="s">
        <v>196</v>
      </c>
      <c r="B2169">
        <v>54</v>
      </c>
      <c r="C2169" t="s">
        <v>42</v>
      </c>
      <c r="D2169">
        <v>100</v>
      </c>
      <c r="E2169" t="s">
        <v>197</v>
      </c>
      <c r="F2169">
        <v>1005</v>
      </c>
      <c r="G2169" t="s">
        <v>42</v>
      </c>
      <c r="H2169">
        <v>2005</v>
      </c>
      <c r="I2169" t="s">
        <v>42</v>
      </c>
      <c r="J2169">
        <v>3088</v>
      </c>
      <c r="K2169" t="s">
        <v>1275</v>
      </c>
      <c r="L2169">
        <v>4028</v>
      </c>
      <c r="M2169" t="s">
        <v>1276</v>
      </c>
      <c r="N2169" t="s">
        <v>341</v>
      </c>
      <c r="O2169">
        <v>3</v>
      </c>
      <c r="P2169">
        <v>1293</v>
      </c>
      <c r="Q2169" t="s">
        <v>1277</v>
      </c>
      <c r="R2169" t="s">
        <v>201</v>
      </c>
      <c r="S2169">
        <v>1</v>
      </c>
      <c r="T2169">
        <v>1</v>
      </c>
      <c r="U2169">
        <v>119100</v>
      </c>
      <c r="V2169">
        <v>119100</v>
      </c>
    </row>
    <row r="2170" spans="1:22">
      <c r="A2170" t="s">
        <v>196</v>
      </c>
      <c r="B2170">
        <v>54</v>
      </c>
      <c r="C2170" t="s">
        <v>42</v>
      </c>
      <c r="D2170">
        <v>100</v>
      </c>
      <c r="E2170" t="s">
        <v>197</v>
      </c>
      <c r="F2170">
        <v>1005</v>
      </c>
      <c r="G2170" t="s">
        <v>42</v>
      </c>
      <c r="H2170">
        <v>2005</v>
      </c>
      <c r="I2170" t="s">
        <v>42</v>
      </c>
      <c r="J2170">
        <v>3088</v>
      </c>
      <c r="K2170" t="s">
        <v>1275</v>
      </c>
      <c r="L2170">
        <v>4028</v>
      </c>
      <c r="M2170" t="s">
        <v>1276</v>
      </c>
      <c r="N2170" t="s">
        <v>341</v>
      </c>
      <c r="O2170">
        <v>3</v>
      </c>
      <c r="P2170">
        <v>1293</v>
      </c>
      <c r="Q2170" t="s">
        <v>1277</v>
      </c>
      <c r="R2170" t="s">
        <v>201</v>
      </c>
      <c r="S2170">
        <v>1</v>
      </c>
      <c r="T2170">
        <v>1</v>
      </c>
      <c r="U2170">
        <v>74172</v>
      </c>
      <c r="V2170">
        <v>74172</v>
      </c>
    </row>
    <row r="2171" spans="1:22">
      <c r="A2171" t="s">
        <v>196</v>
      </c>
      <c r="B2171">
        <v>54</v>
      </c>
      <c r="C2171" t="s">
        <v>42</v>
      </c>
      <c r="D2171">
        <v>100</v>
      </c>
      <c r="E2171" t="s">
        <v>197</v>
      </c>
      <c r="F2171">
        <v>1005</v>
      </c>
      <c r="G2171" t="s">
        <v>42</v>
      </c>
      <c r="H2171">
        <v>2005</v>
      </c>
      <c r="I2171" t="s">
        <v>42</v>
      </c>
      <c r="J2171">
        <v>3088</v>
      </c>
      <c r="K2171" t="s">
        <v>1275</v>
      </c>
      <c r="L2171">
        <v>4028</v>
      </c>
      <c r="M2171" t="s">
        <v>1276</v>
      </c>
      <c r="N2171" t="s">
        <v>274</v>
      </c>
      <c r="O2171">
        <v>9</v>
      </c>
      <c r="P2171">
        <v>313</v>
      </c>
      <c r="Q2171" t="s">
        <v>605</v>
      </c>
      <c r="R2171" t="s">
        <v>201</v>
      </c>
      <c r="S2171">
        <v>1</v>
      </c>
      <c r="T2171">
        <v>1</v>
      </c>
      <c r="U2171">
        <v>146808</v>
      </c>
      <c r="V2171">
        <v>146808</v>
      </c>
    </row>
    <row r="2172" spans="1:22">
      <c r="A2172" t="s">
        <v>196</v>
      </c>
      <c r="B2172">
        <v>54</v>
      </c>
      <c r="C2172" t="s">
        <v>42</v>
      </c>
      <c r="D2172">
        <v>100</v>
      </c>
      <c r="E2172" t="s">
        <v>197</v>
      </c>
      <c r="F2172">
        <v>1005</v>
      </c>
      <c r="G2172" t="s">
        <v>42</v>
      </c>
      <c r="H2172">
        <v>2005</v>
      </c>
      <c r="I2172" t="s">
        <v>42</v>
      </c>
      <c r="J2172">
        <v>3088</v>
      </c>
      <c r="K2172" t="s">
        <v>1275</v>
      </c>
      <c r="L2172">
        <v>4028</v>
      </c>
      <c r="M2172" t="s">
        <v>1276</v>
      </c>
      <c r="N2172" t="s">
        <v>199</v>
      </c>
      <c r="O2172">
        <v>0</v>
      </c>
      <c r="P2172">
        <v>15</v>
      </c>
      <c r="Q2172" t="s">
        <v>264</v>
      </c>
      <c r="R2172" t="s">
        <v>201</v>
      </c>
      <c r="S2172">
        <v>0</v>
      </c>
      <c r="T2172">
        <v>0</v>
      </c>
      <c r="U2172">
        <v>16275</v>
      </c>
      <c r="V2172">
        <v>16275</v>
      </c>
    </row>
    <row r="2173" spans="1:22">
      <c r="A2173" t="s">
        <v>196</v>
      </c>
      <c r="B2173">
        <v>54</v>
      </c>
      <c r="C2173" t="s">
        <v>42</v>
      </c>
      <c r="D2173">
        <v>100</v>
      </c>
      <c r="E2173" t="s">
        <v>197</v>
      </c>
      <c r="F2173">
        <v>1005</v>
      </c>
      <c r="G2173" t="s">
        <v>42</v>
      </c>
      <c r="H2173">
        <v>2005</v>
      </c>
      <c r="I2173" t="s">
        <v>42</v>
      </c>
      <c r="J2173">
        <v>3088</v>
      </c>
      <c r="K2173" t="s">
        <v>1275</v>
      </c>
      <c r="L2173">
        <v>4029</v>
      </c>
      <c r="M2173" t="s">
        <v>1278</v>
      </c>
      <c r="N2173" t="s">
        <v>311</v>
      </c>
      <c r="O2173">
        <v>9</v>
      </c>
      <c r="P2173">
        <v>9654</v>
      </c>
      <c r="Q2173" t="s">
        <v>1279</v>
      </c>
      <c r="R2173" t="s">
        <v>201</v>
      </c>
      <c r="S2173">
        <v>1</v>
      </c>
      <c r="T2173">
        <v>1</v>
      </c>
      <c r="U2173">
        <v>149448</v>
      </c>
      <c r="V2173">
        <v>149448</v>
      </c>
    </row>
    <row r="2174" spans="1:22">
      <c r="A2174" t="s">
        <v>196</v>
      </c>
      <c r="B2174">
        <v>54</v>
      </c>
      <c r="C2174" t="s">
        <v>42</v>
      </c>
      <c r="D2174">
        <v>100</v>
      </c>
      <c r="E2174" t="s">
        <v>197</v>
      </c>
      <c r="F2174">
        <v>1005</v>
      </c>
      <c r="G2174" t="s">
        <v>42</v>
      </c>
      <c r="H2174">
        <v>2005</v>
      </c>
      <c r="I2174" t="s">
        <v>42</v>
      </c>
      <c r="J2174">
        <v>3088</v>
      </c>
      <c r="K2174" t="s">
        <v>1275</v>
      </c>
      <c r="L2174">
        <v>4029</v>
      </c>
      <c r="M2174" t="s">
        <v>1278</v>
      </c>
      <c r="N2174" t="s">
        <v>253</v>
      </c>
      <c r="O2174">
        <v>10</v>
      </c>
      <c r="P2174">
        <v>1985</v>
      </c>
      <c r="Q2174" t="s">
        <v>1269</v>
      </c>
      <c r="R2174" t="s">
        <v>201</v>
      </c>
      <c r="S2174">
        <v>1</v>
      </c>
      <c r="T2174">
        <v>1</v>
      </c>
      <c r="U2174">
        <v>113568</v>
      </c>
      <c r="V2174">
        <v>113568</v>
      </c>
    </row>
    <row r="2175" spans="1:22">
      <c r="A2175" t="s">
        <v>196</v>
      </c>
      <c r="B2175">
        <v>54</v>
      </c>
      <c r="C2175" t="s">
        <v>42</v>
      </c>
      <c r="D2175">
        <v>100</v>
      </c>
      <c r="E2175" t="s">
        <v>197</v>
      </c>
      <c r="F2175">
        <v>1005</v>
      </c>
      <c r="G2175" t="s">
        <v>42</v>
      </c>
      <c r="H2175">
        <v>2005</v>
      </c>
      <c r="I2175" t="s">
        <v>42</v>
      </c>
      <c r="J2175">
        <v>3088</v>
      </c>
      <c r="K2175" t="s">
        <v>1275</v>
      </c>
      <c r="L2175">
        <v>4029</v>
      </c>
      <c r="M2175" t="s">
        <v>1278</v>
      </c>
      <c r="N2175" t="s">
        <v>266</v>
      </c>
      <c r="O2175">
        <v>9</v>
      </c>
      <c r="P2175">
        <v>1298</v>
      </c>
      <c r="Q2175" t="s">
        <v>1280</v>
      </c>
      <c r="R2175" t="s">
        <v>201</v>
      </c>
      <c r="S2175">
        <v>1</v>
      </c>
      <c r="T2175">
        <v>1</v>
      </c>
      <c r="U2175">
        <v>167964</v>
      </c>
      <c r="V2175">
        <v>167964</v>
      </c>
    </row>
    <row r="2176" spans="1:22">
      <c r="A2176" t="s">
        <v>196</v>
      </c>
      <c r="B2176">
        <v>54</v>
      </c>
      <c r="C2176" t="s">
        <v>42</v>
      </c>
      <c r="D2176">
        <v>100</v>
      </c>
      <c r="E2176" t="s">
        <v>197</v>
      </c>
      <c r="F2176">
        <v>1005</v>
      </c>
      <c r="G2176" t="s">
        <v>42</v>
      </c>
      <c r="H2176">
        <v>2005</v>
      </c>
      <c r="I2176" t="s">
        <v>42</v>
      </c>
      <c r="J2176">
        <v>3088</v>
      </c>
      <c r="K2176" t="s">
        <v>1275</v>
      </c>
      <c r="L2176">
        <v>4029</v>
      </c>
      <c r="M2176" t="s">
        <v>1278</v>
      </c>
      <c r="N2176" t="s">
        <v>351</v>
      </c>
      <c r="O2176">
        <v>1</v>
      </c>
      <c r="P2176">
        <v>801</v>
      </c>
      <c r="Q2176" t="s">
        <v>1281</v>
      </c>
      <c r="R2176" t="s">
        <v>201</v>
      </c>
      <c r="S2176">
        <v>1</v>
      </c>
      <c r="T2176">
        <v>1</v>
      </c>
      <c r="U2176">
        <v>82140</v>
      </c>
      <c r="V2176">
        <v>82140</v>
      </c>
    </row>
    <row r="2177" spans="1:22">
      <c r="A2177" t="s">
        <v>196</v>
      </c>
      <c r="B2177">
        <v>54</v>
      </c>
      <c r="C2177" t="s">
        <v>42</v>
      </c>
      <c r="D2177">
        <v>100</v>
      </c>
      <c r="E2177" t="s">
        <v>197</v>
      </c>
      <c r="F2177">
        <v>1005</v>
      </c>
      <c r="G2177" t="s">
        <v>42</v>
      </c>
      <c r="H2177">
        <v>2005</v>
      </c>
      <c r="I2177" t="s">
        <v>42</v>
      </c>
      <c r="J2177">
        <v>3088</v>
      </c>
      <c r="K2177" t="s">
        <v>1275</v>
      </c>
      <c r="L2177">
        <v>4029</v>
      </c>
      <c r="M2177" t="s">
        <v>1278</v>
      </c>
      <c r="N2177" t="s">
        <v>199</v>
      </c>
      <c r="O2177">
        <v>0</v>
      </c>
      <c r="P2177">
        <v>15</v>
      </c>
      <c r="Q2177" t="s">
        <v>264</v>
      </c>
      <c r="R2177" t="s">
        <v>201</v>
      </c>
      <c r="S2177">
        <v>0</v>
      </c>
      <c r="T2177">
        <v>0</v>
      </c>
      <c r="U2177">
        <v>7186</v>
      </c>
      <c r="V2177">
        <v>7186</v>
      </c>
    </row>
    <row r="2178" spans="1:22">
      <c r="A2178" t="s">
        <v>196</v>
      </c>
      <c r="B2178">
        <v>54</v>
      </c>
      <c r="C2178" t="s">
        <v>42</v>
      </c>
      <c r="D2178">
        <v>100</v>
      </c>
      <c r="E2178" t="s">
        <v>197</v>
      </c>
      <c r="F2178">
        <v>1005</v>
      </c>
      <c r="G2178" t="s">
        <v>42</v>
      </c>
      <c r="H2178">
        <v>2005</v>
      </c>
      <c r="I2178" t="s">
        <v>42</v>
      </c>
      <c r="J2178">
        <v>3088</v>
      </c>
      <c r="K2178" t="s">
        <v>1275</v>
      </c>
      <c r="L2178">
        <v>4098</v>
      </c>
      <c r="M2178" t="s">
        <v>1282</v>
      </c>
      <c r="N2178" t="s">
        <v>281</v>
      </c>
      <c r="O2178">
        <v>0</v>
      </c>
      <c r="P2178">
        <v>5432</v>
      </c>
      <c r="Q2178" t="s">
        <v>1283</v>
      </c>
      <c r="R2178" t="s">
        <v>201</v>
      </c>
      <c r="S2178">
        <v>1</v>
      </c>
      <c r="T2178">
        <v>1</v>
      </c>
      <c r="U2178">
        <v>112080</v>
      </c>
      <c r="V2178">
        <v>112080</v>
      </c>
    </row>
    <row r="2179" spans="1:22">
      <c r="A2179" t="s">
        <v>196</v>
      </c>
      <c r="B2179">
        <v>54</v>
      </c>
      <c r="C2179" t="s">
        <v>42</v>
      </c>
      <c r="D2179">
        <v>100</v>
      </c>
      <c r="E2179" t="s">
        <v>197</v>
      </c>
      <c r="F2179">
        <v>1005</v>
      </c>
      <c r="G2179" t="s">
        <v>42</v>
      </c>
      <c r="H2179">
        <v>2005</v>
      </c>
      <c r="I2179" t="s">
        <v>42</v>
      </c>
      <c r="J2179">
        <v>3088</v>
      </c>
      <c r="K2179" t="s">
        <v>1275</v>
      </c>
      <c r="L2179">
        <v>4098</v>
      </c>
      <c r="M2179" t="s">
        <v>1282</v>
      </c>
      <c r="N2179" t="s">
        <v>688</v>
      </c>
      <c r="O2179">
        <v>4</v>
      </c>
      <c r="P2179">
        <v>5431</v>
      </c>
      <c r="Q2179" t="s">
        <v>1284</v>
      </c>
      <c r="R2179" t="s">
        <v>201</v>
      </c>
      <c r="S2179">
        <v>1</v>
      </c>
      <c r="T2179">
        <v>1</v>
      </c>
      <c r="U2179">
        <v>118836</v>
      </c>
      <c r="V2179">
        <v>118836</v>
      </c>
    </row>
    <row r="2180" spans="1:22">
      <c r="A2180" t="s">
        <v>196</v>
      </c>
      <c r="B2180">
        <v>54</v>
      </c>
      <c r="C2180" t="s">
        <v>42</v>
      </c>
      <c r="D2180">
        <v>100</v>
      </c>
      <c r="E2180" t="s">
        <v>197</v>
      </c>
      <c r="F2180">
        <v>1005</v>
      </c>
      <c r="G2180" t="s">
        <v>42</v>
      </c>
      <c r="H2180">
        <v>2005</v>
      </c>
      <c r="I2180" t="s">
        <v>42</v>
      </c>
      <c r="J2180">
        <v>3088</v>
      </c>
      <c r="K2180" t="s">
        <v>1275</v>
      </c>
      <c r="L2180">
        <v>4098</v>
      </c>
      <c r="M2180" t="s">
        <v>1282</v>
      </c>
      <c r="N2180" t="s">
        <v>341</v>
      </c>
      <c r="O2180">
        <v>3</v>
      </c>
      <c r="P2180">
        <v>1293</v>
      </c>
      <c r="Q2180" t="s">
        <v>1277</v>
      </c>
      <c r="R2180" t="s">
        <v>201</v>
      </c>
      <c r="S2180">
        <v>2</v>
      </c>
      <c r="T2180">
        <v>1</v>
      </c>
      <c r="U2180">
        <v>119100</v>
      </c>
      <c r="V2180">
        <v>238200</v>
      </c>
    </row>
    <row r="2181" spans="1:22">
      <c r="A2181" t="s">
        <v>196</v>
      </c>
      <c r="B2181">
        <v>54</v>
      </c>
      <c r="C2181" t="s">
        <v>42</v>
      </c>
      <c r="D2181">
        <v>100</v>
      </c>
      <c r="E2181" t="s">
        <v>197</v>
      </c>
      <c r="F2181">
        <v>1005</v>
      </c>
      <c r="G2181" t="s">
        <v>42</v>
      </c>
      <c r="H2181">
        <v>2005</v>
      </c>
      <c r="I2181" t="s">
        <v>42</v>
      </c>
      <c r="J2181">
        <v>3088</v>
      </c>
      <c r="K2181" t="s">
        <v>1275</v>
      </c>
      <c r="L2181">
        <v>4098</v>
      </c>
      <c r="M2181" t="s">
        <v>1282</v>
      </c>
      <c r="N2181" t="s">
        <v>341</v>
      </c>
      <c r="O2181">
        <v>3</v>
      </c>
      <c r="P2181">
        <v>1293</v>
      </c>
      <c r="Q2181" t="s">
        <v>1277</v>
      </c>
      <c r="R2181" t="s">
        <v>201</v>
      </c>
      <c r="S2181">
        <v>1</v>
      </c>
      <c r="T2181">
        <v>1</v>
      </c>
      <c r="U2181">
        <v>90144</v>
      </c>
      <c r="V2181">
        <v>90144</v>
      </c>
    </row>
    <row r="2182" spans="1:22">
      <c r="A2182" t="s">
        <v>196</v>
      </c>
      <c r="B2182">
        <v>54</v>
      </c>
      <c r="C2182" t="s">
        <v>42</v>
      </c>
      <c r="D2182">
        <v>100</v>
      </c>
      <c r="E2182" t="s">
        <v>197</v>
      </c>
      <c r="F2182">
        <v>1005</v>
      </c>
      <c r="G2182" t="s">
        <v>42</v>
      </c>
      <c r="H2182">
        <v>2005</v>
      </c>
      <c r="I2182" t="s">
        <v>42</v>
      </c>
      <c r="J2182">
        <v>3088</v>
      </c>
      <c r="K2182" t="s">
        <v>1275</v>
      </c>
      <c r="L2182">
        <v>4098</v>
      </c>
      <c r="M2182" t="s">
        <v>1282</v>
      </c>
      <c r="N2182" t="s">
        <v>341</v>
      </c>
      <c r="O2182">
        <v>3</v>
      </c>
      <c r="P2182">
        <v>1293</v>
      </c>
      <c r="Q2182" t="s">
        <v>1277</v>
      </c>
      <c r="R2182" t="s">
        <v>201</v>
      </c>
      <c r="S2182">
        <v>1</v>
      </c>
      <c r="T2182">
        <v>1</v>
      </c>
      <c r="U2182">
        <v>85200</v>
      </c>
      <c r="V2182">
        <v>85200</v>
      </c>
    </row>
    <row r="2183" spans="1:22">
      <c r="A2183" t="s">
        <v>196</v>
      </c>
      <c r="B2183">
        <v>54</v>
      </c>
      <c r="C2183" t="s">
        <v>42</v>
      </c>
      <c r="D2183">
        <v>100</v>
      </c>
      <c r="E2183" t="s">
        <v>197</v>
      </c>
      <c r="F2183">
        <v>1005</v>
      </c>
      <c r="G2183" t="s">
        <v>42</v>
      </c>
      <c r="H2183">
        <v>2005</v>
      </c>
      <c r="I2183" t="s">
        <v>42</v>
      </c>
      <c r="J2183">
        <v>3088</v>
      </c>
      <c r="K2183" t="s">
        <v>1275</v>
      </c>
      <c r="L2183">
        <v>4098</v>
      </c>
      <c r="M2183" t="s">
        <v>1282</v>
      </c>
      <c r="N2183" t="s">
        <v>341</v>
      </c>
      <c r="O2183">
        <v>3</v>
      </c>
      <c r="P2183">
        <v>1293</v>
      </c>
      <c r="Q2183" t="s">
        <v>1277</v>
      </c>
      <c r="R2183" t="s">
        <v>201</v>
      </c>
      <c r="S2183">
        <v>1</v>
      </c>
      <c r="T2183">
        <v>1</v>
      </c>
      <c r="U2183">
        <v>81324</v>
      </c>
      <c r="V2183">
        <v>81324</v>
      </c>
    </row>
    <row r="2184" spans="1:22">
      <c r="A2184" t="s">
        <v>196</v>
      </c>
      <c r="B2184">
        <v>54</v>
      </c>
      <c r="C2184" t="s">
        <v>42</v>
      </c>
      <c r="D2184">
        <v>100</v>
      </c>
      <c r="E2184" t="s">
        <v>197</v>
      </c>
      <c r="F2184">
        <v>1005</v>
      </c>
      <c r="G2184" t="s">
        <v>42</v>
      </c>
      <c r="H2184">
        <v>2005</v>
      </c>
      <c r="I2184" t="s">
        <v>42</v>
      </c>
      <c r="J2184">
        <v>3088</v>
      </c>
      <c r="K2184" t="s">
        <v>1275</v>
      </c>
      <c r="L2184">
        <v>4098</v>
      </c>
      <c r="M2184" t="s">
        <v>1282</v>
      </c>
      <c r="N2184" t="s">
        <v>341</v>
      </c>
      <c r="O2184">
        <v>3</v>
      </c>
      <c r="P2184">
        <v>1293</v>
      </c>
      <c r="Q2184" t="s">
        <v>1277</v>
      </c>
      <c r="R2184" t="s">
        <v>201</v>
      </c>
      <c r="S2184">
        <v>1</v>
      </c>
      <c r="T2184">
        <v>1</v>
      </c>
      <c r="U2184">
        <v>74172</v>
      </c>
      <c r="V2184">
        <v>74172</v>
      </c>
    </row>
    <row r="2185" spans="1:22">
      <c r="A2185" t="s">
        <v>196</v>
      </c>
      <c r="B2185">
        <v>54</v>
      </c>
      <c r="C2185" t="s">
        <v>42</v>
      </c>
      <c r="D2185">
        <v>100</v>
      </c>
      <c r="E2185" t="s">
        <v>197</v>
      </c>
      <c r="F2185">
        <v>1005</v>
      </c>
      <c r="G2185" t="s">
        <v>42</v>
      </c>
      <c r="H2185">
        <v>2005</v>
      </c>
      <c r="I2185" t="s">
        <v>42</v>
      </c>
      <c r="J2185">
        <v>3088</v>
      </c>
      <c r="K2185" t="s">
        <v>1275</v>
      </c>
      <c r="L2185">
        <v>4098</v>
      </c>
      <c r="M2185" t="s">
        <v>1282</v>
      </c>
      <c r="N2185" t="s">
        <v>341</v>
      </c>
      <c r="O2185">
        <v>3</v>
      </c>
      <c r="P2185">
        <v>1293</v>
      </c>
      <c r="Q2185" t="s">
        <v>1277</v>
      </c>
      <c r="R2185" t="s">
        <v>201</v>
      </c>
      <c r="S2185">
        <v>3</v>
      </c>
      <c r="T2185">
        <v>1</v>
      </c>
      <c r="U2185">
        <v>68616</v>
      </c>
      <c r="V2185">
        <v>205848</v>
      </c>
    </row>
    <row r="2186" spans="1:22">
      <c r="A2186" t="s">
        <v>196</v>
      </c>
      <c r="B2186">
        <v>54</v>
      </c>
      <c r="C2186" t="s">
        <v>42</v>
      </c>
      <c r="D2186">
        <v>100</v>
      </c>
      <c r="E2186" t="s">
        <v>197</v>
      </c>
      <c r="F2186">
        <v>1005</v>
      </c>
      <c r="G2186" t="s">
        <v>42</v>
      </c>
      <c r="H2186">
        <v>2005</v>
      </c>
      <c r="I2186" t="s">
        <v>42</v>
      </c>
      <c r="J2186">
        <v>3088</v>
      </c>
      <c r="K2186" t="s">
        <v>1275</v>
      </c>
      <c r="L2186">
        <v>4098</v>
      </c>
      <c r="M2186" t="s">
        <v>1282</v>
      </c>
      <c r="N2186" t="s">
        <v>1172</v>
      </c>
      <c r="O2186">
        <v>44</v>
      </c>
      <c r="P2186">
        <v>1291</v>
      </c>
      <c r="Q2186" t="s">
        <v>1285</v>
      </c>
      <c r="R2186" t="s">
        <v>201</v>
      </c>
      <c r="S2186">
        <v>1</v>
      </c>
      <c r="T2186">
        <v>1</v>
      </c>
      <c r="U2186">
        <v>157296</v>
      </c>
      <c r="V2186">
        <v>157296</v>
      </c>
    </row>
    <row r="2187" spans="1:22">
      <c r="A2187" t="s">
        <v>196</v>
      </c>
      <c r="B2187">
        <v>54</v>
      </c>
      <c r="C2187" t="s">
        <v>42</v>
      </c>
      <c r="D2187">
        <v>100</v>
      </c>
      <c r="E2187" t="s">
        <v>197</v>
      </c>
      <c r="F2187">
        <v>1005</v>
      </c>
      <c r="G2187" t="s">
        <v>42</v>
      </c>
      <c r="H2187">
        <v>2005</v>
      </c>
      <c r="I2187" t="s">
        <v>42</v>
      </c>
      <c r="J2187">
        <v>3088</v>
      </c>
      <c r="K2187" t="s">
        <v>1275</v>
      </c>
      <c r="L2187">
        <v>4098</v>
      </c>
      <c r="M2187" t="s">
        <v>1282</v>
      </c>
      <c r="N2187" t="s">
        <v>1172</v>
      </c>
      <c r="O2187">
        <v>44</v>
      </c>
      <c r="P2187">
        <v>1291</v>
      </c>
      <c r="Q2187" t="s">
        <v>1285</v>
      </c>
      <c r="R2187" t="s">
        <v>201</v>
      </c>
      <c r="S2187">
        <v>1</v>
      </c>
      <c r="T2187">
        <v>1</v>
      </c>
      <c r="U2187">
        <v>119052</v>
      </c>
      <c r="V2187">
        <v>119052</v>
      </c>
    </row>
    <row r="2188" spans="1:22">
      <c r="A2188" t="s">
        <v>196</v>
      </c>
      <c r="B2188">
        <v>54</v>
      </c>
      <c r="C2188" t="s">
        <v>42</v>
      </c>
      <c r="D2188">
        <v>100</v>
      </c>
      <c r="E2188" t="s">
        <v>197</v>
      </c>
      <c r="F2188">
        <v>1005</v>
      </c>
      <c r="G2188" t="s">
        <v>42</v>
      </c>
      <c r="H2188">
        <v>2005</v>
      </c>
      <c r="I2188" t="s">
        <v>42</v>
      </c>
      <c r="J2188">
        <v>3088</v>
      </c>
      <c r="K2188" t="s">
        <v>1275</v>
      </c>
      <c r="L2188">
        <v>4098</v>
      </c>
      <c r="M2188" t="s">
        <v>1282</v>
      </c>
      <c r="N2188" t="s">
        <v>1172</v>
      </c>
      <c r="O2188">
        <v>44</v>
      </c>
      <c r="P2188">
        <v>1291</v>
      </c>
      <c r="Q2188" t="s">
        <v>1285</v>
      </c>
      <c r="R2188" t="s">
        <v>201</v>
      </c>
      <c r="S2188">
        <v>1</v>
      </c>
      <c r="T2188">
        <v>1</v>
      </c>
      <c r="U2188">
        <v>102540</v>
      </c>
      <c r="V2188">
        <v>102540</v>
      </c>
    </row>
    <row r="2189" spans="1:22">
      <c r="A2189" t="s">
        <v>196</v>
      </c>
      <c r="B2189">
        <v>54</v>
      </c>
      <c r="C2189" t="s">
        <v>42</v>
      </c>
      <c r="D2189">
        <v>100</v>
      </c>
      <c r="E2189" t="s">
        <v>197</v>
      </c>
      <c r="F2189">
        <v>1005</v>
      </c>
      <c r="G2189" t="s">
        <v>42</v>
      </c>
      <c r="H2189">
        <v>2005</v>
      </c>
      <c r="I2189" t="s">
        <v>42</v>
      </c>
      <c r="J2189">
        <v>3088</v>
      </c>
      <c r="K2189" t="s">
        <v>1275</v>
      </c>
      <c r="L2189">
        <v>4098</v>
      </c>
      <c r="M2189" t="s">
        <v>1282</v>
      </c>
      <c r="N2189" t="s">
        <v>274</v>
      </c>
      <c r="O2189">
        <v>9</v>
      </c>
      <c r="P2189">
        <v>313</v>
      </c>
      <c r="Q2189" t="s">
        <v>605</v>
      </c>
      <c r="R2189" t="s">
        <v>201</v>
      </c>
      <c r="S2189">
        <v>1</v>
      </c>
      <c r="T2189">
        <v>1</v>
      </c>
      <c r="U2189">
        <v>137532</v>
      </c>
      <c r="V2189">
        <v>137532</v>
      </c>
    </row>
    <row r="2190" spans="1:22">
      <c r="A2190" t="s">
        <v>196</v>
      </c>
      <c r="B2190">
        <v>54</v>
      </c>
      <c r="C2190" t="s">
        <v>42</v>
      </c>
      <c r="D2190">
        <v>100</v>
      </c>
      <c r="E2190" t="s">
        <v>197</v>
      </c>
      <c r="F2190">
        <v>1005</v>
      </c>
      <c r="G2190" t="s">
        <v>42</v>
      </c>
      <c r="H2190">
        <v>2005</v>
      </c>
      <c r="I2190" t="s">
        <v>42</v>
      </c>
      <c r="J2190">
        <v>3088</v>
      </c>
      <c r="K2190" t="s">
        <v>1275</v>
      </c>
      <c r="L2190">
        <v>4098</v>
      </c>
      <c r="M2190" t="s">
        <v>1282</v>
      </c>
      <c r="N2190" t="s">
        <v>199</v>
      </c>
      <c r="O2190">
        <v>0</v>
      </c>
      <c r="P2190">
        <v>15</v>
      </c>
      <c r="Q2190" t="s">
        <v>264</v>
      </c>
      <c r="R2190" t="s">
        <v>201</v>
      </c>
      <c r="S2190">
        <v>0</v>
      </c>
      <c r="T2190">
        <v>0</v>
      </c>
      <c r="U2190">
        <v>3706</v>
      </c>
      <c r="V2190">
        <v>3706</v>
      </c>
    </row>
    <row r="2191" spans="1:22">
      <c r="A2191" t="s">
        <v>196</v>
      </c>
      <c r="B2191">
        <v>54</v>
      </c>
      <c r="C2191" t="s">
        <v>42</v>
      </c>
      <c r="D2191">
        <v>100</v>
      </c>
      <c r="E2191" t="s">
        <v>197</v>
      </c>
      <c r="F2191">
        <v>1005</v>
      </c>
      <c r="G2191" t="s">
        <v>42</v>
      </c>
      <c r="H2191">
        <v>2005</v>
      </c>
      <c r="I2191" t="s">
        <v>42</v>
      </c>
      <c r="J2191">
        <v>3088</v>
      </c>
      <c r="K2191" t="s">
        <v>1275</v>
      </c>
      <c r="L2191">
        <v>4099</v>
      </c>
      <c r="M2191" t="s">
        <v>1286</v>
      </c>
      <c r="N2191" t="s">
        <v>372</v>
      </c>
      <c r="O2191">
        <v>4</v>
      </c>
      <c r="P2191">
        <v>1912</v>
      </c>
      <c r="Q2191" t="s">
        <v>608</v>
      </c>
      <c r="R2191" t="s">
        <v>201</v>
      </c>
      <c r="S2191">
        <v>2</v>
      </c>
      <c r="T2191">
        <v>1</v>
      </c>
      <c r="U2191">
        <v>93504</v>
      </c>
      <c r="V2191">
        <v>187008</v>
      </c>
    </row>
    <row r="2192" spans="1:22">
      <c r="A2192" t="s">
        <v>196</v>
      </c>
      <c r="B2192">
        <v>54</v>
      </c>
      <c r="C2192" t="s">
        <v>42</v>
      </c>
      <c r="D2192">
        <v>100</v>
      </c>
      <c r="E2192" t="s">
        <v>197</v>
      </c>
      <c r="F2192">
        <v>1005</v>
      </c>
      <c r="G2192" t="s">
        <v>42</v>
      </c>
      <c r="H2192">
        <v>2005</v>
      </c>
      <c r="I2192" t="s">
        <v>42</v>
      </c>
      <c r="J2192">
        <v>3088</v>
      </c>
      <c r="K2192" t="s">
        <v>1275</v>
      </c>
      <c r="L2192">
        <v>4099</v>
      </c>
      <c r="M2192" t="s">
        <v>1286</v>
      </c>
      <c r="N2192" t="s">
        <v>372</v>
      </c>
      <c r="O2192">
        <v>4</v>
      </c>
      <c r="P2192">
        <v>1912</v>
      </c>
      <c r="Q2192" t="s">
        <v>608</v>
      </c>
      <c r="R2192" t="s">
        <v>201</v>
      </c>
      <c r="S2192">
        <v>2</v>
      </c>
      <c r="T2192">
        <v>1</v>
      </c>
      <c r="U2192">
        <v>85200</v>
      </c>
      <c r="V2192">
        <v>170400</v>
      </c>
    </row>
    <row r="2193" spans="1:22">
      <c r="A2193" t="s">
        <v>196</v>
      </c>
      <c r="B2193">
        <v>54</v>
      </c>
      <c r="C2193" t="s">
        <v>42</v>
      </c>
      <c r="D2193">
        <v>100</v>
      </c>
      <c r="E2193" t="s">
        <v>197</v>
      </c>
      <c r="F2193">
        <v>1005</v>
      </c>
      <c r="G2193" t="s">
        <v>42</v>
      </c>
      <c r="H2193">
        <v>2005</v>
      </c>
      <c r="I2193" t="s">
        <v>42</v>
      </c>
      <c r="J2193">
        <v>3088</v>
      </c>
      <c r="K2193" t="s">
        <v>1275</v>
      </c>
      <c r="L2193">
        <v>4099</v>
      </c>
      <c r="M2193" t="s">
        <v>1286</v>
      </c>
      <c r="N2193" t="s">
        <v>281</v>
      </c>
      <c r="O2193">
        <v>10</v>
      </c>
      <c r="P2193">
        <v>1405</v>
      </c>
      <c r="Q2193" t="s">
        <v>1260</v>
      </c>
      <c r="R2193" t="s">
        <v>201</v>
      </c>
      <c r="S2193">
        <v>1</v>
      </c>
      <c r="T2193">
        <v>1</v>
      </c>
      <c r="U2193">
        <v>89112</v>
      </c>
      <c r="V2193">
        <v>89112</v>
      </c>
    </row>
    <row r="2194" spans="1:22">
      <c r="A2194" t="s">
        <v>196</v>
      </c>
      <c r="B2194">
        <v>54</v>
      </c>
      <c r="C2194" t="s">
        <v>42</v>
      </c>
      <c r="D2194">
        <v>100</v>
      </c>
      <c r="E2194" t="s">
        <v>197</v>
      </c>
      <c r="F2194">
        <v>1005</v>
      </c>
      <c r="G2194" t="s">
        <v>42</v>
      </c>
      <c r="H2194">
        <v>2005</v>
      </c>
      <c r="I2194" t="s">
        <v>42</v>
      </c>
      <c r="J2194">
        <v>3088</v>
      </c>
      <c r="K2194" t="s">
        <v>1275</v>
      </c>
      <c r="L2194">
        <v>4099</v>
      </c>
      <c r="M2194" t="s">
        <v>1286</v>
      </c>
      <c r="N2194" t="s">
        <v>281</v>
      </c>
      <c r="O2194">
        <v>10</v>
      </c>
      <c r="P2194">
        <v>1405</v>
      </c>
      <c r="Q2194" t="s">
        <v>1260</v>
      </c>
      <c r="R2194" t="s">
        <v>201</v>
      </c>
      <c r="S2194">
        <v>1</v>
      </c>
      <c r="T2194">
        <v>1</v>
      </c>
      <c r="U2194">
        <v>82884</v>
      </c>
      <c r="V2194">
        <v>82884</v>
      </c>
    </row>
    <row r="2195" spans="1:22">
      <c r="A2195" t="s">
        <v>196</v>
      </c>
      <c r="B2195">
        <v>54</v>
      </c>
      <c r="C2195" t="s">
        <v>42</v>
      </c>
      <c r="D2195">
        <v>100</v>
      </c>
      <c r="E2195" t="s">
        <v>197</v>
      </c>
      <c r="F2195">
        <v>1005</v>
      </c>
      <c r="G2195" t="s">
        <v>42</v>
      </c>
      <c r="H2195">
        <v>2005</v>
      </c>
      <c r="I2195" t="s">
        <v>42</v>
      </c>
      <c r="J2195">
        <v>3088</v>
      </c>
      <c r="K2195" t="s">
        <v>1275</v>
      </c>
      <c r="L2195">
        <v>4099</v>
      </c>
      <c r="M2195" t="s">
        <v>1286</v>
      </c>
      <c r="N2195" t="s">
        <v>253</v>
      </c>
      <c r="O2195">
        <v>10</v>
      </c>
      <c r="P2195">
        <v>1299</v>
      </c>
      <c r="Q2195" t="s">
        <v>1287</v>
      </c>
      <c r="R2195" t="s">
        <v>201</v>
      </c>
      <c r="S2195">
        <v>1</v>
      </c>
      <c r="T2195">
        <v>1</v>
      </c>
      <c r="U2195">
        <v>113568</v>
      </c>
      <c r="V2195">
        <v>113568</v>
      </c>
    </row>
    <row r="2196" spans="1:22">
      <c r="A2196" t="s">
        <v>196</v>
      </c>
      <c r="B2196">
        <v>54</v>
      </c>
      <c r="C2196" t="s">
        <v>42</v>
      </c>
      <c r="D2196">
        <v>100</v>
      </c>
      <c r="E2196" t="s">
        <v>197</v>
      </c>
      <c r="F2196">
        <v>1005</v>
      </c>
      <c r="G2196" t="s">
        <v>42</v>
      </c>
      <c r="H2196">
        <v>2005</v>
      </c>
      <c r="I2196" t="s">
        <v>42</v>
      </c>
      <c r="J2196">
        <v>3088</v>
      </c>
      <c r="K2196" t="s">
        <v>1275</v>
      </c>
      <c r="L2196">
        <v>4099</v>
      </c>
      <c r="M2196" t="s">
        <v>1286</v>
      </c>
      <c r="N2196" t="s">
        <v>199</v>
      </c>
      <c r="O2196">
        <v>0</v>
      </c>
      <c r="P2196">
        <v>15</v>
      </c>
      <c r="Q2196" t="s">
        <v>264</v>
      </c>
      <c r="R2196" t="s">
        <v>201</v>
      </c>
      <c r="S2196">
        <v>0</v>
      </c>
      <c r="T2196">
        <v>0</v>
      </c>
      <c r="U2196">
        <v>22023</v>
      </c>
      <c r="V2196">
        <v>22023</v>
      </c>
    </row>
    <row r="2197" spans="1:22">
      <c r="A2197" t="s">
        <v>196</v>
      </c>
      <c r="B2197">
        <v>54</v>
      </c>
      <c r="C2197" t="s">
        <v>42</v>
      </c>
      <c r="D2197">
        <v>100</v>
      </c>
      <c r="E2197" t="s">
        <v>197</v>
      </c>
      <c r="F2197">
        <v>1005</v>
      </c>
      <c r="G2197" t="s">
        <v>42</v>
      </c>
      <c r="H2197">
        <v>2005</v>
      </c>
      <c r="I2197" t="s">
        <v>42</v>
      </c>
      <c r="J2197">
        <v>3088</v>
      </c>
      <c r="K2197" t="s">
        <v>1275</v>
      </c>
      <c r="L2197">
        <v>4104</v>
      </c>
      <c r="M2197" t="s">
        <v>1288</v>
      </c>
      <c r="N2197" t="s">
        <v>372</v>
      </c>
      <c r="O2197">
        <v>4</v>
      </c>
      <c r="P2197">
        <v>1912</v>
      </c>
      <c r="Q2197" t="s">
        <v>608</v>
      </c>
      <c r="R2197" t="s">
        <v>201</v>
      </c>
      <c r="S2197">
        <v>2</v>
      </c>
      <c r="T2197">
        <v>1</v>
      </c>
      <c r="U2197">
        <v>93504</v>
      </c>
      <c r="V2197">
        <v>187008</v>
      </c>
    </row>
    <row r="2198" spans="1:22">
      <c r="A2198" t="s">
        <v>196</v>
      </c>
      <c r="B2198">
        <v>54</v>
      </c>
      <c r="C2198" t="s">
        <v>42</v>
      </c>
      <c r="D2198">
        <v>100</v>
      </c>
      <c r="E2198" t="s">
        <v>197</v>
      </c>
      <c r="F2198">
        <v>1005</v>
      </c>
      <c r="G2198" t="s">
        <v>42</v>
      </c>
      <c r="H2198">
        <v>2005</v>
      </c>
      <c r="I2198" t="s">
        <v>42</v>
      </c>
      <c r="J2198">
        <v>3088</v>
      </c>
      <c r="K2198" t="s">
        <v>1275</v>
      </c>
      <c r="L2198">
        <v>4104</v>
      </c>
      <c r="M2198" t="s">
        <v>1288</v>
      </c>
      <c r="N2198" t="s">
        <v>253</v>
      </c>
      <c r="O2198">
        <v>10</v>
      </c>
      <c r="P2198">
        <v>1290</v>
      </c>
      <c r="Q2198" t="s">
        <v>1289</v>
      </c>
      <c r="R2198" t="s">
        <v>201</v>
      </c>
      <c r="S2198">
        <v>1</v>
      </c>
      <c r="T2198">
        <v>1</v>
      </c>
      <c r="U2198">
        <v>130524</v>
      </c>
      <c r="V2198">
        <v>130524</v>
      </c>
    </row>
    <row r="2199" spans="1:22">
      <c r="A2199" t="s">
        <v>196</v>
      </c>
      <c r="B2199">
        <v>54</v>
      </c>
      <c r="C2199" t="s">
        <v>42</v>
      </c>
      <c r="D2199">
        <v>100</v>
      </c>
      <c r="E2199" t="s">
        <v>197</v>
      </c>
      <c r="F2199">
        <v>1005</v>
      </c>
      <c r="G2199" t="s">
        <v>42</v>
      </c>
      <c r="H2199">
        <v>2005</v>
      </c>
      <c r="I2199" t="s">
        <v>42</v>
      </c>
      <c r="J2199">
        <v>3088</v>
      </c>
      <c r="K2199" t="s">
        <v>1275</v>
      </c>
      <c r="L2199">
        <v>4104</v>
      </c>
      <c r="M2199" t="s">
        <v>1288</v>
      </c>
      <c r="N2199" t="s">
        <v>199</v>
      </c>
      <c r="O2199">
        <v>0</v>
      </c>
      <c r="P2199">
        <v>15</v>
      </c>
      <c r="Q2199" t="s">
        <v>264</v>
      </c>
      <c r="R2199" t="s">
        <v>201</v>
      </c>
      <c r="S2199">
        <v>0</v>
      </c>
      <c r="T2199">
        <v>0</v>
      </c>
      <c r="U2199">
        <v>9594</v>
      </c>
      <c r="V2199">
        <v>9594</v>
      </c>
    </row>
    <row r="2200" spans="1:22">
      <c r="A2200" t="s">
        <v>196</v>
      </c>
      <c r="B2200">
        <v>54</v>
      </c>
      <c r="C2200" t="s">
        <v>42</v>
      </c>
      <c r="D2200">
        <v>100</v>
      </c>
      <c r="E2200" t="s">
        <v>197</v>
      </c>
      <c r="F2200">
        <v>1005</v>
      </c>
      <c r="G2200" t="s">
        <v>42</v>
      </c>
      <c r="H2200">
        <v>2005</v>
      </c>
      <c r="I2200" t="s">
        <v>42</v>
      </c>
      <c r="J2200">
        <v>3088</v>
      </c>
      <c r="K2200" t="s">
        <v>1275</v>
      </c>
      <c r="L2200">
        <v>4105</v>
      </c>
      <c r="M2200" t="s">
        <v>1290</v>
      </c>
      <c r="N2200" t="s">
        <v>372</v>
      </c>
      <c r="O2200">
        <v>4</v>
      </c>
      <c r="P2200">
        <v>1912</v>
      </c>
      <c r="Q2200" t="s">
        <v>608</v>
      </c>
      <c r="R2200" t="s">
        <v>201</v>
      </c>
      <c r="S2200">
        <v>1</v>
      </c>
      <c r="T2200">
        <v>1</v>
      </c>
      <c r="U2200">
        <v>124848</v>
      </c>
      <c r="V2200">
        <v>124848</v>
      </c>
    </row>
    <row r="2201" spans="1:22">
      <c r="A2201" t="s">
        <v>196</v>
      </c>
      <c r="B2201">
        <v>54</v>
      </c>
      <c r="C2201" t="s">
        <v>42</v>
      </c>
      <c r="D2201">
        <v>100</v>
      </c>
      <c r="E2201" t="s">
        <v>197</v>
      </c>
      <c r="F2201">
        <v>1005</v>
      </c>
      <c r="G2201" t="s">
        <v>42</v>
      </c>
      <c r="H2201">
        <v>2005</v>
      </c>
      <c r="I2201" t="s">
        <v>42</v>
      </c>
      <c r="J2201">
        <v>3088</v>
      </c>
      <c r="K2201" t="s">
        <v>1275</v>
      </c>
      <c r="L2201">
        <v>4105</v>
      </c>
      <c r="M2201" t="s">
        <v>1290</v>
      </c>
      <c r="N2201" t="s">
        <v>268</v>
      </c>
      <c r="O2201">
        <v>10</v>
      </c>
      <c r="P2201">
        <v>1911</v>
      </c>
      <c r="Q2201" t="s">
        <v>617</v>
      </c>
      <c r="R2201" t="s">
        <v>201</v>
      </c>
      <c r="S2201">
        <v>1</v>
      </c>
      <c r="T2201">
        <v>1</v>
      </c>
      <c r="U2201">
        <v>103488</v>
      </c>
      <c r="V2201">
        <v>103488</v>
      </c>
    </row>
    <row r="2202" spans="1:22">
      <c r="A2202" t="s">
        <v>196</v>
      </c>
      <c r="B2202">
        <v>54</v>
      </c>
      <c r="C2202" t="s">
        <v>42</v>
      </c>
      <c r="D2202">
        <v>100</v>
      </c>
      <c r="E2202" t="s">
        <v>197</v>
      </c>
      <c r="F2202">
        <v>1005</v>
      </c>
      <c r="G2202" t="s">
        <v>42</v>
      </c>
      <c r="H2202">
        <v>2005</v>
      </c>
      <c r="I2202" t="s">
        <v>42</v>
      </c>
      <c r="J2202">
        <v>3088</v>
      </c>
      <c r="K2202" t="s">
        <v>1275</v>
      </c>
      <c r="L2202">
        <v>4105</v>
      </c>
      <c r="M2202" t="s">
        <v>1290</v>
      </c>
      <c r="N2202" t="s">
        <v>274</v>
      </c>
      <c r="O2202">
        <v>9</v>
      </c>
      <c r="P2202">
        <v>313</v>
      </c>
      <c r="Q2202" t="s">
        <v>605</v>
      </c>
      <c r="R2202" t="s">
        <v>201</v>
      </c>
      <c r="S2202">
        <v>1</v>
      </c>
      <c r="T2202">
        <v>1</v>
      </c>
      <c r="U2202">
        <v>146808</v>
      </c>
      <c r="V2202">
        <v>146808</v>
      </c>
    </row>
    <row r="2203" spans="1:22">
      <c r="A2203" t="s">
        <v>196</v>
      </c>
      <c r="B2203">
        <v>54</v>
      </c>
      <c r="C2203" t="s">
        <v>42</v>
      </c>
      <c r="D2203">
        <v>100</v>
      </c>
      <c r="E2203" t="s">
        <v>197</v>
      </c>
      <c r="F2203">
        <v>1005</v>
      </c>
      <c r="G2203" t="s">
        <v>42</v>
      </c>
      <c r="H2203">
        <v>2005</v>
      </c>
      <c r="I2203" t="s">
        <v>42</v>
      </c>
      <c r="J2203">
        <v>3088</v>
      </c>
      <c r="K2203" t="s">
        <v>1275</v>
      </c>
      <c r="L2203">
        <v>4105</v>
      </c>
      <c r="M2203" t="s">
        <v>1290</v>
      </c>
      <c r="N2203" t="s">
        <v>199</v>
      </c>
      <c r="O2203">
        <v>0</v>
      </c>
      <c r="P2203">
        <v>15</v>
      </c>
      <c r="Q2203" t="s">
        <v>264</v>
      </c>
      <c r="R2203" t="s">
        <v>201</v>
      </c>
      <c r="S2203">
        <v>0</v>
      </c>
      <c r="T2203">
        <v>0</v>
      </c>
      <c r="U2203">
        <v>11106</v>
      </c>
      <c r="V2203">
        <v>11106</v>
      </c>
    </row>
    <row r="2204" spans="1:22">
      <c r="A2204" t="s">
        <v>196</v>
      </c>
      <c r="B2204">
        <v>55</v>
      </c>
      <c r="C2204" t="s">
        <v>160</v>
      </c>
      <c r="D2204">
        <v>100</v>
      </c>
      <c r="E2204" t="s">
        <v>197</v>
      </c>
      <c r="F2204">
        <v>1005</v>
      </c>
      <c r="G2204" t="s">
        <v>160</v>
      </c>
      <c r="H2204">
        <v>2005</v>
      </c>
      <c r="I2204" t="s">
        <v>160</v>
      </c>
      <c r="J2204">
        <v>3005</v>
      </c>
      <c r="K2204" t="s">
        <v>160</v>
      </c>
      <c r="L2204">
        <v>0</v>
      </c>
      <c r="N2204" t="s">
        <v>199</v>
      </c>
      <c r="O2204">
        <v>9</v>
      </c>
      <c r="P2204">
        <v>9955</v>
      </c>
      <c r="Q2204" t="s">
        <v>1291</v>
      </c>
      <c r="R2204" t="s">
        <v>201</v>
      </c>
      <c r="S2204">
        <v>1</v>
      </c>
      <c r="T2204">
        <v>1</v>
      </c>
      <c r="U2204">
        <v>128772</v>
      </c>
      <c r="V2204">
        <v>128772</v>
      </c>
    </row>
    <row r="2205" spans="1:22">
      <c r="A2205" t="s">
        <v>196</v>
      </c>
      <c r="B2205">
        <v>55</v>
      </c>
      <c r="C2205" t="s">
        <v>160</v>
      </c>
      <c r="D2205">
        <v>100</v>
      </c>
      <c r="E2205" t="s">
        <v>197</v>
      </c>
      <c r="F2205">
        <v>1005</v>
      </c>
      <c r="G2205" t="s">
        <v>160</v>
      </c>
      <c r="H2205">
        <v>2005</v>
      </c>
      <c r="I2205" t="s">
        <v>160</v>
      </c>
      <c r="J2205">
        <v>3005</v>
      </c>
      <c r="K2205" t="s">
        <v>160</v>
      </c>
      <c r="L2205">
        <v>0</v>
      </c>
      <c r="N2205" t="s">
        <v>251</v>
      </c>
      <c r="O2205">
        <v>10</v>
      </c>
      <c r="P2205">
        <v>802</v>
      </c>
      <c r="Q2205" t="s">
        <v>252</v>
      </c>
      <c r="R2205" t="s">
        <v>201</v>
      </c>
      <c r="S2205">
        <v>1</v>
      </c>
      <c r="T2205">
        <v>1</v>
      </c>
      <c r="U2205">
        <v>83052</v>
      </c>
      <c r="V2205">
        <v>83052</v>
      </c>
    </row>
    <row r="2206" spans="1:22">
      <c r="A2206" t="s">
        <v>196</v>
      </c>
      <c r="B2206">
        <v>55</v>
      </c>
      <c r="C2206" t="s">
        <v>160</v>
      </c>
      <c r="D2206">
        <v>100</v>
      </c>
      <c r="E2206" t="s">
        <v>197</v>
      </c>
      <c r="F2206">
        <v>1005</v>
      </c>
      <c r="G2206" t="s">
        <v>160</v>
      </c>
      <c r="H2206">
        <v>2005</v>
      </c>
      <c r="I2206" t="s">
        <v>160</v>
      </c>
      <c r="J2206">
        <v>3005</v>
      </c>
      <c r="K2206" t="s">
        <v>160</v>
      </c>
      <c r="L2206">
        <v>0</v>
      </c>
      <c r="N2206" t="s">
        <v>199</v>
      </c>
      <c r="O2206">
        <v>0</v>
      </c>
      <c r="P2206">
        <v>15</v>
      </c>
      <c r="Q2206" t="s">
        <v>264</v>
      </c>
      <c r="R2206" t="s">
        <v>201</v>
      </c>
      <c r="S2206">
        <v>0</v>
      </c>
      <c r="T2206">
        <v>0</v>
      </c>
      <c r="U2206">
        <v>1471</v>
      </c>
      <c r="V2206">
        <v>1471</v>
      </c>
    </row>
    <row r="2207" spans="1:22">
      <c r="A2207" t="s">
        <v>196</v>
      </c>
      <c r="B2207">
        <v>57</v>
      </c>
      <c r="C2207" t="s">
        <v>31</v>
      </c>
      <c r="D2207">
        <v>100</v>
      </c>
      <c r="E2207" t="s">
        <v>197</v>
      </c>
      <c r="F2207">
        <v>1005</v>
      </c>
      <c r="G2207" t="s">
        <v>31</v>
      </c>
      <c r="H2207">
        <v>2005</v>
      </c>
      <c r="I2207" t="s">
        <v>31</v>
      </c>
      <c r="J2207">
        <v>3004</v>
      </c>
      <c r="K2207" t="s">
        <v>1292</v>
      </c>
      <c r="L2207">
        <v>0</v>
      </c>
      <c r="N2207" t="s">
        <v>199</v>
      </c>
      <c r="O2207">
        <v>9</v>
      </c>
      <c r="P2207">
        <v>9957</v>
      </c>
      <c r="Q2207" t="s">
        <v>1293</v>
      </c>
      <c r="R2207" t="s">
        <v>201</v>
      </c>
      <c r="S2207">
        <v>1</v>
      </c>
      <c r="T2207">
        <v>1</v>
      </c>
      <c r="U2207">
        <v>284016</v>
      </c>
      <c r="V2207">
        <v>284016</v>
      </c>
    </row>
    <row r="2208" spans="1:22">
      <c r="A2208" t="s">
        <v>196</v>
      </c>
      <c r="B2208">
        <v>57</v>
      </c>
      <c r="C2208" t="s">
        <v>31</v>
      </c>
      <c r="D2208">
        <v>100</v>
      </c>
      <c r="E2208" t="s">
        <v>197</v>
      </c>
      <c r="F2208">
        <v>1005</v>
      </c>
      <c r="G2208" t="s">
        <v>31</v>
      </c>
      <c r="H2208">
        <v>2005</v>
      </c>
      <c r="I2208" t="s">
        <v>31</v>
      </c>
      <c r="J2208">
        <v>3004</v>
      </c>
      <c r="K2208" t="s">
        <v>1292</v>
      </c>
      <c r="L2208">
        <v>0</v>
      </c>
      <c r="N2208" t="s">
        <v>1294</v>
      </c>
      <c r="O2208">
        <v>9</v>
      </c>
      <c r="P2208">
        <v>9675</v>
      </c>
      <c r="Q2208" t="s">
        <v>327</v>
      </c>
      <c r="R2208" t="s">
        <v>201</v>
      </c>
      <c r="S2208">
        <v>1</v>
      </c>
      <c r="T2208">
        <v>1</v>
      </c>
      <c r="U2208">
        <v>204516</v>
      </c>
      <c r="V2208">
        <v>204516</v>
      </c>
    </row>
    <row r="2209" spans="1:22">
      <c r="A2209" t="s">
        <v>196</v>
      </c>
      <c r="B2209">
        <v>57</v>
      </c>
      <c r="C2209" t="s">
        <v>31</v>
      </c>
      <c r="D2209">
        <v>100</v>
      </c>
      <c r="E2209" t="s">
        <v>197</v>
      </c>
      <c r="F2209">
        <v>1005</v>
      </c>
      <c r="G2209" t="s">
        <v>31</v>
      </c>
      <c r="H2209">
        <v>2005</v>
      </c>
      <c r="I2209" t="s">
        <v>31</v>
      </c>
      <c r="J2209">
        <v>3004</v>
      </c>
      <c r="K2209" t="s">
        <v>1292</v>
      </c>
      <c r="L2209">
        <v>0</v>
      </c>
      <c r="N2209" t="s">
        <v>1294</v>
      </c>
      <c r="O2209">
        <v>9</v>
      </c>
      <c r="P2209">
        <v>9675</v>
      </c>
      <c r="Q2209" t="s">
        <v>327</v>
      </c>
      <c r="R2209" t="s">
        <v>201</v>
      </c>
      <c r="S2209">
        <v>1</v>
      </c>
      <c r="T2209">
        <v>1</v>
      </c>
      <c r="U2209">
        <v>199284</v>
      </c>
      <c r="V2209">
        <v>199284</v>
      </c>
    </row>
    <row r="2210" spans="1:22">
      <c r="A2210" t="s">
        <v>196</v>
      </c>
      <c r="B2210">
        <v>57</v>
      </c>
      <c r="C2210" t="s">
        <v>31</v>
      </c>
      <c r="D2210">
        <v>100</v>
      </c>
      <c r="E2210" t="s">
        <v>197</v>
      </c>
      <c r="F2210">
        <v>1005</v>
      </c>
      <c r="G2210" t="s">
        <v>31</v>
      </c>
      <c r="H2210">
        <v>2005</v>
      </c>
      <c r="I2210" t="s">
        <v>31</v>
      </c>
      <c r="J2210">
        <v>3004</v>
      </c>
      <c r="K2210" t="s">
        <v>1292</v>
      </c>
      <c r="L2210">
        <v>0</v>
      </c>
      <c r="N2210" t="s">
        <v>245</v>
      </c>
      <c r="O2210">
        <v>20</v>
      </c>
      <c r="P2210">
        <v>1127</v>
      </c>
      <c r="Q2210" t="s">
        <v>292</v>
      </c>
      <c r="R2210" t="s">
        <v>201</v>
      </c>
      <c r="S2210">
        <v>1</v>
      </c>
      <c r="T2210">
        <v>1</v>
      </c>
      <c r="U2210">
        <v>106272</v>
      </c>
      <c r="V2210">
        <v>106272</v>
      </c>
    </row>
    <row r="2211" spans="1:22">
      <c r="A2211" t="s">
        <v>196</v>
      </c>
      <c r="B2211">
        <v>57</v>
      </c>
      <c r="C2211" t="s">
        <v>31</v>
      </c>
      <c r="D2211">
        <v>100</v>
      </c>
      <c r="E2211" t="s">
        <v>197</v>
      </c>
      <c r="F2211">
        <v>1005</v>
      </c>
      <c r="G2211" t="s">
        <v>31</v>
      </c>
      <c r="H2211">
        <v>2005</v>
      </c>
      <c r="I2211" t="s">
        <v>31</v>
      </c>
      <c r="J2211">
        <v>3004</v>
      </c>
      <c r="K2211" t="s">
        <v>1292</v>
      </c>
      <c r="L2211">
        <v>0</v>
      </c>
      <c r="N2211" t="s">
        <v>249</v>
      </c>
      <c r="O2211">
        <v>10</v>
      </c>
      <c r="P2211">
        <v>311</v>
      </c>
      <c r="Q2211" t="s">
        <v>661</v>
      </c>
      <c r="R2211" t="s">
        <v>201</v>
      </c>
      <c r="S2211">
        <v>2</v>
      </c>
      <c r="T2211">
        <v>1</v>
      </c>
      <c r="U2211">
        <v>118956</v>
      </c>
      <c r="V2211">
        <v>237912</v>
      </c>
    </row>
    <row r="2212" spans="1:22">
      <c r="A2212" t="s">
        <v>196</v>
      </c>
      <c r="B2212">
        <v>57</v>
      </c>
      <c r="C2212" t="s">
        <v>31</v>
      </c>
      <c r="D2212">
        <v>100</v>
      </c>
      <c r="E2212" t="s">
        <v>197</v>
      </c>
      <c r="F2212">
        <v>1005</v>
      </c>
      <c r="G2212" t="s">
        <v>31</v>
      </c>
      <c r="H2212">
        <v>2005</v>
      </c>
      <c r="I2212" t="s">
        <v>31</v>
      </c>
      <c r="J2212">
        <v>3004</v>
      </c>
      <c r="K2212" t="s">
        <v>1292</v>
      </c>
      <c r="L2212">
        <v>0</v>
      </c>
      <c r="N2212" t="s">
        <v>199</v>
      </c>
      <c r="O2212">
        <v>0</v>
      </c>
      <c r="P2212">
        <v>15</v>
      </c>
      <c r="Q2212" t="s">
        <v>264</v>
      </c>
      <c r="R2212" t="s">
        <v>201</v>
      </c>
      <c r="S2212">
        <v>0</v>
      </c>
      <c r="T2212">
        <v>0</v>
      </c>
      <c r="U2212">
        <v>6526</v>
      </c>
      <c r="V2212">
        <v>6526</v>
      </c>
    </row>
    <row r="2213" spans="1:22">
      <c r="A2213" t="s">
        <v>196</v>
      </c>
      <c r="B2213">
        <v>57</v>
      </c>
      <c r="C2213" t="s">
        <v>31</v>
      </c>
      <c r="D2213">
        <v>100</v>
      </c>
      <c r="E2213" t="s">
        <v>197</v>
      </c>
      <c r="F2213">
        <v>1005</v>
      </c>
      <c r="G2213" t="s">
        <v>31</v>
      </c>
      <c r="H2213">
        <v>2005</v>
      </c>
      <c r="I2213" t="s">
        <v>31</v>
      </c>
      <c r="J2213">
        <v>3021</v>
      </c>
      <c r="K2213" t="s">
        <v>1295</v>
      </c>
      <c r="L2213">
        <v>4020</v>
      </c>
      <c r="M2213" t="s">
        <v>1295</v>
      </c>
      <c r="N2213" t="s">
        <v>216</v>
      </c>
      <c r="O2213">
        <v>99</v>
      </c>
      <c r="P2213">
        <v>9752</v>
      </c>
      <c r="Q2213" t="s">
        <v>1296</v>
      </c>
      <c r="R2213" t="s">
        <v>201</v>
      </c>
      <c r="S2213">
        <v>1</v>
      </c>
      <c r="T2213">
        <v>1</v>
      </c>
      <c r="U2213">
        <v>192240</v>
      </c>
      <c r="V2213">
        <v>192240</v>
      </c>
    </row>
    <row r="2214" spans="1:22">
      <c r="A2214" t="s">
        <v>196</v>
      </c>
      <c r="B2214">
        <v>57</v>
      </c>
      <c r="C2214" t="s">
        <v>31</v>
      </c>
      <c r="D2214">
        <v>100</v>
      </c>
      <c r="E2214" t="s">
        <v>197</v>
      </c>
      <c r="F2214">
        <v>1005</v>
      </c>
      <c r="G2214" t="s">
        <v>31</v>
      </c>
      <c r="H2214">
        <v>2005</v>
      </c>
      <c r="I2214" t="s">
        <v>31</v>
      </c>
      <c r="J2214">
        <v>3021</v>
      </c>
      <c r="K2214" t="s">
        <v>1295</v>
      </c>
      <c r="L2214">
        <v>4020</v>
      </c>
      <c r="M2214" t="s">
        <v>1295</v>
      </c>
      <c r="N2214" t="s">
        <v>1294</v>
      </c>
      <c r="O2214">
        <v>9</v>
      </c>
      <c r="P2214">
        <v>9675</v>
      </c>
      <c r="Q2214" t="s">
        <v>327</v>
      </c>
      <c r="R2214" t="s">
        <v>201</v>
      </c>
      <c r="S2214">
        <v>2</v>
      </c>
      <c r="T2214">
        <v>1</v>
      </c>
      <c r="U2214">
        <v>184584</v>
      </c>
      <c r="V2214">
        <v>369168</v>
      </c>
    </row>
    <row r="2215" spans="1:22">
      <c r="A2215" t="s">
        <v>196</v>
      </c>
      <c r="B2215">
        <v>57</v>
      </c>
      <c r="C2215" t="s">
        <v>31</v>
      </c>
      <c r="D2215">
        <v>100</v>
      </c>
      <c r="E2215" t="s">
        <v>197</v>
      </c>
      <c r="F2215">
        <v>1005</v>
      </c>
      <c r="G2215" t="s">
        <v>31</v>
      </c>
      <c r="H2215">
        <v>2005</v>
      </c>
      <c r="I2215" t="s">
        <v>31</v>
      </c>
      <c r="J2215">
        <v>3021</v>
      </c>
      <c r="K2215" t="s">
        <v>1295</v>
      </c>
      <c r="L2215">
        <v>4020</v>
      </c>
      <c r="M2215" t="s">
        <v>1295</v>
      </c>
      <c r="N2215" t="s">
        <v>1297</v>
      </c>
      <c r="O2215">
        <v>9</v>
      </c>
      <c r="P2215">
        <v>9011</v>
      </c>
      <c r="Q2215" t="s">
        <v>1298</v>
      </c>
      <c r="R2215" t="s">
        <v>201</v>
      </c>
      <c r="S2215">
        <v>1</v>
      </c>
      <c r="T2215">
        <v>1</v>
      </c>
      <c r="U2215">
        <v>221652</v>
      </c>
      <c r="V2215">
        <v>221652</v>
      </c>
    </row>
    <row r="2216" spans="1:22">
      <c r="A2216" t="s">
        <v>196</v>
      </c>
      <c r="B2216">
        <v>57</v>
      </c>
      <c r="C2216" t="s">
        <v>31</v>
      </c>
      <c r="D2216">
        <v>100</v>
      </c>
      <c r="E2216" t="s">
        <v>197</v>
      </c>
      <c r="F2216">
        <v>1005</v>
      </c>
      <c r="G2216" t="s">
        <v>31</v>
      </c>
      <c r="H2216">
        <v>2005</v>
      </c>
      <c r="I2216" t="s">
        <v>31</v>
      </c>
      <c r="J2216">
        <v>3021</v>
      </c>
      <c r="K2216" t="s">
        <v>1295</v>
      </c>
      <c r="L2216">
        <v>4020</v>
      </c>
      <c r="M2216" t="s">
        <v>1295</v>
      </c>
      <c r="N2216" t="s">
        <v>251</v>
      </c>
      <c r="O2216">
        <v>10</v>
      </c>
      <c r="P2216">
        <v>3585</v>
      </c>
      <c r="Q2216" t="s">
        <v>1299</v>
      </c>
      <c r="R2216" t="s">
        <v>201</v>
      </c>
      <c r="S2216">
        <v>1</v>
      </c>
      <c r="T2216">
        <v>1</v>
      </c>
      <c r="U2216">
        <v>80124</v>
      </c>
      <c r="V2216">
        <v>80124</v>
      </c>
    </row>
    <row r="2217" spans="1:22">
      <c r="A2217" t="s">
        <v>196</v>
      </c>
      <c r="B2217">
        <v>57</v>
      </c>
      <c r="C2217" t="s">
        <v>31</v>
      </c>
      <c r="D2217">
        <v>100</v>
      </c>
      <c r="E2217" t="s">
        <v>197</v>
      </c>
      <c r="F2217">
        <v>1005</v>
      </c>
      <c r="G2217" t="s">
        <v>31</v>
      </c>
      <c r="H2217">
        <v>2005</v>
      </c>
      <c r="I2217" t="s">
        <v>31</v>
      </c>
      <c r="J2217">
        <v>3021</v>
      </c>
      <c r="K2217" t="s">
        <v>1295</v>
      </c>
      <c r="L2217">
        <v>4020</v>
      </c>
      <c r="M2217" t="s">
        <v>1295</v>
      </c>
      <c r="N2217" t="s">
        <v>372</v>
      </c>
      <c r="O2217">
        <v>4</v>
      </c>
      <c r="P2217">
        <v>1912</v>
      </c>
      <c r="Q2217" t="s">
        <v>608</v>
      </c>
      <c r="R2217" t="s">
        <v>201</v>
      </c>
      <c r="S2217">
        <v>3</v>
      </c>
      <c r="T2217">
        <v>1</v>
      </c>
      <c r="U2217">
        <v>75336</v>
      </c>
      <c r="V2217">
        <v>226008</v>
      </c>
    </row>
    <row r="2218" spans="1:22">
      <c r="A2218" t="s">
        <v>196</v>
      </c>
      <c r="B2218">
        <v>57</v>
      </c>
      <c r="C2218" t="s">
        <v>31</v>
      </c>
      <c r="D2218">
        <v>100</v>
      </c>
      <c r="E2218" t="s">
        <v>197</v>
      </c>
      <c r="F2218">
        <v>1005</v>
      </c>
      <c r="G2218" t="s">
        <v>31</v>
      </c>
      <c r="H2218">
        <v>2005</v>
      </c>
      <c r="I2218" t="s">
        <v>31</v>
      </c>
      <c r="J2218">
        <v>3021</v>
      </c>
      <c r="K2218" t="s">
        <v>1295</v>
      </c>
      <c r="L2218">
        <v>4020</v>
      </c>
      <c r="M2218" t="s">
        <v>1295</v>
      </c>
      <c r="N2218" t="s">
        <v>199</v>
      </c>
      <c r="O2218">
        <v>0</v>
      </c>
      <c r="P2218">
        <v>15</v>
      </c>
      <c r="Q2218" t="s">
        <v>264</v>
      </c>
      <c r="R2218" t="s">
        <v>201</v>
      </c>
      <c r="S2218">
        <v>0</v>
      </c>
      <c r="T2218">
        <v>0</v>
      </c>
      <c r="U2218">
        <v>12384</v>
      </c>
      <c r="V2218">
        <v>12384</v>
      </c>
    </row>
    <row r="2219" spans="1:22">
      <c r="A2219" t="s">
        <v>196</v>
      </c>
      <c r="B2219">
        <v>57</v>
      </c>
      <c r="C2219" t="s">
        <v>31</v>
      </c>
      <c r="D2219">
        <v>100</v>
      </c>
      <c r="E2219" t="s">
        <v>197</v>
      </c>
      <c r="F2219">
        <v>1005</v>
      </c>
      <c r="G2219" t="s">
        <v>31</v>
      </c>
      <c r="H2219">
        <v>2005</v>
      </c>
      <c r="I2219" t="s">
        <v>31</v>
      </c>
      <c r="J2219">
        <v>3021</v>
      </c>
      <c r="K2219" t="s">
        <v>1295</v>
      </c>
      <c r="L2219">
        <v>4021</v>
      </c>
      <c r="M2219" t="s">
        <v>1300</v>
      </c>
      <c r="N2219" t="s">
        <v>1294</v>
      </c>
      <c r="O2219">
        <v>0</v>
      </c>
      <c r="P2219">
        <v>9760</v>
      </c>
      <c r="Q2219" t="s">
        <v>267</v>
      </c>
      <c r="R2219" t="s">
        <v>201</v>
      </c>
      <c r="S2219">
        <v>1</v>
      </c>
      <c r="T2219">
        <v>1</v>
      </c>
      <c r="U2219">
        <v>192852</v>
      </c>
      <c r="V2219">
        <v>192852</v>
      </c>
    </row>
    <row r="2220" spans="1:22">
      <c r="A2220" t="s">
        <v>196</v>
      </c>
      <c r="B2220">
        <v>57</v>
      </c>
      <c r="C2220" t="s">
        <v>31</v>
      </c>
      <c r="D2220">
        <v>100</v>
      </c>
      <c r="E2220" t="s">
        <v>197</v>
      </c>
      <c r="F2220">
        <v>1005</v>
      </c>
      <c r="G2220" t="s">
        <v>31</v>
      </c>
      <c r="H2220">
        <v>2005</v>
      </c>
      <c r="I2220" t="s">
        <v>31</v>
      </c>
      <c r="J2220">
        <v>3021</v>
      </c>
      <c r="K2220" t="s">
        <v>1295</v>
      </c>
      <c r="L2220">
        <v>4021</v>
      </c>
      <c r="M2220" t="s">
        <v>1300</v>
      </c>
      <c r="N2220" t="s">
        <v>274</v>
      </c>
      <c r="O2220">
        <v>9</v>
      </c>
      <c r="P2220">
        <v>9758</v>
      </c>
      <c r="Q2220" t="s">
        <v>1301</v>
      </c>
      <c r="R2220" t="s">
        <v>201</v>
      </c>
      <c r="S2220">
        <v>1</v>
      </c>
      <c r="T2220">
        <v>1</v>
      </c>
      <c r="U2220">
        <v>146808</v>
      </c>
      <c r="V2220">
        <v>146808</v>
      </c>
    </row>
    <row r="2221" spans="1:22">
      <c r="A2221" t="s">
        <v>196</v>
      </c>
      <c r="B2221">
        <v>57</v>
      </c>
      <c r="C2221" t="s">
        <v>31</v>
      </c>
      <c r="D2221">
        <v>100</v>
      </c>
      <c r="E2221" t="s">
        <v>197</v>
      </c>
      <c r="F2221">
        <v>1005</v>
      </c>
      <c r="G2221" t="s">
        <v>31</v>
      </c>
      <c r="H2221">
        <v>2005</v>
      </c>
      <c r="I2221" t="s">
        <v>31</v>
      </c>
      <c r="J2221">
        <v>3021</v>
      </c>
      <c r="K2221" t="s">
        <v>1295</v>
      </c>
      <c r="L2221">
        <v>4021</v>
      </c>
      <c r="M2221" t="s">
        <v>1300</v>
      </c>
      <c r="N2221" t="s">
        <v>1294</v>
      </c>
      <c r="O2221">
        <v>9</v>
      </c>
      <c r="P2221">
        <v>9675</v>
      </c>
      <c r="Q2221" t="s">
        <v>327</v>
      </c>
      <c r="R2221" t="s">
        <v>201</v>
      </c>
      <c r="S2221">
        <v>1</v>
      </c>
      <c r="T2221">
        <v>1</v>
      </c>
      <c r="U2221">
        <v>172920</v>
      </c>
      <c r="V2221">
        <v>172920</v>
      </c>
    </row>
    <row r="2222" spans="1:22">
      <c r="A2222" t="s">
        <v>196</v>
      </c>
      <c r="B2222">
        <v>57</v>
      </c>
      <c r="C2222" t="s">
        <v>31</v>
      </c>
      <c r="D2222">
        <v>100</v>
      </c>
      <c r="E2222" t="s">
        <v>197</v>
      </c>
      <c r="F2222">
        <v>1005</v>
      </c>
      <c r="G2222" t="s">
        <v>31</v>
      </c>
      <c r="H2222">
        <v>2005</v>
      </c>
      <c r="I2222" t="s">
        <v>31</v>
      </c>
      <c r="J2222">
        <v>3021</v>
      </c>
      <c r="K2222" t="s">
        <v>1295</v>
      </c>
      <c r="L2222">
        <v>4021</v>
      </c>
      <c r="M2222" t="s">
        <v>1300</v>
      </c>
      <c r="N2222" t="s">
        <v>1302</v>
      </c>
      <c r="O2222">
        <v>71</v>
      </c>
      <c r="P2222">
        <v>9171</v>
      </c>
      <c r="Q2222" t="s">
        <v>1303</v>
      </c>
      <c r="R2222" t="s">
        <v>201</v>
      </c>
      <c r="S2222">
        <v>4</v>
      </c>
      <c r="T2222">
        <v>1</v>
      </c>
      <c r="U2222">
        <v>147252</v>
      </c>
      <c r="V2222">
        <v>589008</v>
      </c>
    </row>
    <row r="2223" spans="1:22">
      <c r="A2223" t="s">
        <v>196</v>
      </c>
      <c r="B2223">
        <v>57</v>
      </c>
      <c r="C2223" t="s">
        <v>31</v>
      </c>
      <c r="D2223">
        <v>100</v>
      </c>
      <c r="E2223" t="s">
        <v>197</v>
      </c>
      <c r="F2223">
        <v>1005</v>
      </c>
      <c r="G2223" t="s">
        <v>31</v>
      </c>
      <c r="H2223">
        <v>2005</v>
      </c>
      <c r="I2223" t="s">
        <v>31</v>
      </c>
      <c r="J2223">
        <v>3021</v>
      </c>
      <c r="K2223" t="s">
        <v>1295</v>
      </c>
      <c r="L2223">
        <v>4021</v>
      </c>
      <c r="M2223" t="s">
        <v>1300</v>
      </c>
      <c r="N2223" t="s">
        <v>1304</v>
      </c>
      <c r="O2223">
        <v>71</v>
      </c>
      <c r="P2223">
        <v>9016</v>
      </c>
      <c r="Q2223" t="s">
        <v>1305</v>
      </c>
      <c r="R2223" t="s">
        <v>201</v>
      </c>
      <c r="S2223">
        <v>1</v>
      </c>
      <c r="T2223">
        <v>1</v>
      </c>
      <c r="U2223">
        <v>170700</v>
      </c>
      <c r="V2223">
        <v>170700</v>
      </c>
    </row>
    <row r="2224" spans="1:22">
      <c r="A2224" t="s">
        <v>196</v>
      </c>
      <c r="B2224">
        <v>57</v>
      </c>
      <c r="C2224" t="s">
        <v>31</v>
      </c>
      <c r="D2224">
        <v>100</v>
      </c>
      <c r="E2224" t="s">
        <v>197</v>
      </c>
      <c r="F2224">
        <v>1005</v>
      </c>
      <c r="G2224" t="s">
        <v>31</v>
      </c>
      <c r="H2224">
        <v>2005</v>
      </c>
      <c r="I2224" t="s">
        <v>31</v>
      </c>
      <c r="J2224">
        <v>3021</v>
      </c>
      <c r="K2224" t="s">
        <v>1295</v>
      </c>
      <c r="L2224">
        <v>4021</v>
      </c>
      <c r="M2224" t="s">
        <v>1300</v>
      </c>
      <c r="N2224" t="s">
        <v>1304</v>
      </c>
      <c r="O2224">
        <v>71</v>
      </c>
      <c r="P2224">
        <v>9016</v>
      </c>
      <c r="Q2224" t="s">
        <v>1305</v>
      </c>
      <c r="R2224" t="s">
        <v>201</v>
      </c>
      <c r="S2224">
        <v>4</v>
      </c>
      <c r="T2224">
        <v>1</v>
      </c>
      <c r="U2224">
        <v>165624</v>
      </c>
      <c r="V2224">
        <v>662496</v>
      </c>
    </row>
    <row r="2225" spans="1:22">
      <c r="A2225" t="s">
        <v>196</v>
      </c>
      <c r="B2225">
        <v>57</v>
      </c>
      <c r="C2225" t="s">
        <v>31</v>
      </c>
      <c r="D2225">
        <v>100</v>
      </c>
      <c r="E2225" t="s">
        <v>197</v>
      </c>
      <c r="F2225">
        <v>1005</v>
      </c>
      <c r="G2225" t="s">
        <v>31</v>
      </c>
      <c r="H2225">
        <v>2005</v>
      </c>
      <c r="I2225" t="s">
        <v>31</v>
      </c>
      <c r="J2225">
        <v>3021</v>
      </c>
      <c r="K2225" t="s">
        <v>1295</v>
      </c>
      <c r="L2225">
        <v>4021</v>
      </c>
      <c r="M2225" t="s">
        <v>1300</v>
      </c>
      <c r="N2225" t="s">
        <v>1304</v>
      </c>
      <c r="O2225">
        <v>71</v>
      </c>
      <c r="P2225">
        <v>9016</v>
      </c>
      <c r="Q2225" t="s">
        <v>1305</v>
      </c>
      <c r="R2225" t="s">
        <v>201</v>
      </c>
      <c r="S2225">
        <v>1</v>
      </c>
      <c r="T2225">
        <v>1</v>
      </c>
      <c r="U2225">
        <v>160746</v>
      </c>
      <c r="V2225">
        <v>160746</v>
      </c>
    </row>
    <row r="2226" spans="1:22">
      <c r="A2226" t="s">
        <v>196</v>
      </c>
      <c r="B2226">
        <v>57</v>
      </c>
      <c r="C2226" t="s">
        <v>31</v>
      </c>
      <c r="D2226">
        <v>100</v>
      </c>
      <c r="E2226" t="s">
        <v>197</v>
      </c>
      <c r="F2226">
        <v>1005</v>
      </c>
      <c r="G2226" t="s">
        <v>31</v>
      </c>
      <c r="H2226">
        <v>2005</v>
      </c>
      <c r="I2226" t="s">
        <v>31</v>
      </c>
      <c r="J2226">
        <v>3021</v>
      </c>
      <c r="K2226" t="s">
        <v>1295</v>
      </c>
      <c r="L2226">
        <v>4021</v>
      </c>
      <c r="M2226" t="s">
        <v>1300</v>
      </c>
      <c r="N2226" t="s">
        <v>271</v>
      </c>
      <c r="O2226">
        <v>20</v>
      </c>
      <c r="P2226">
        <v>1633</v>
      </c>
      <c r="Q2226" t="s">
        <v>904</v>
      </c>
      <c r="R2226" t="s">
        <v>201</v>
      </c>
      <c r="S2226">
        <v>3</v>
      </c>
      <c r="T2226">
        <v>1</v>
      </c>
      <c r="U2226">
        <v>121320</v>
      </c>
      <c r="V2226">
        <v>363960</v>
      </c>
    </row>
    <row r="2227" spans="1:22">
      <c r="A2227" t="s">
        <v>196</v>
      </c>
      <c r="B2227">
        <v>57</v>
      </c>
      <c r="C2227" t="s">
        <v>31</v>
      </c>
      <c r="D2227">
        <v>100</v>
      </c>
      <c r="E2227" t="s">
        <v>197</v>
      </c>
      <c r="F2227">
        <v>1005</v>
      </c>
      <c r="G2227" t="s">
        <v>31</v>
      </c>
      <c r="H2227">
        <v>2005</v>
      </c>
      <c r="I2227" t="s">
        <v>31</v>
      </c>
      <c r="J2227">
        <v>3021</v>
      </c>
      <c r="K2227" t="s">
        <v>1295</v>
      </c>
      <c r="L2227">
        <v>4021</v>
      </c>
      <c r="M2227" t="s">
        <v>1300</v>
      </c>
      <c r="N2227" t="s">
        <v>271</v>
      </c>
      <c r="O2227">
        <v>20</v>
      </c>
      <c r="P2227">
        <v>1633</v>
      </c>
      <c r="Q2227" t="s">
        <v>904</v>
      </c>
      <c r="R2227" t="s">
        <v>201</v>
      </c>
      <c r="S2227">
        <v>3</v>
      </c>
      <c r="T2227">
        <v>1</v>
      </c>
      <c r="U2227">
        <v>115992</v>
      </c>
      <c r="V2227">
        <v>347976</v>
      </c>
    </row>
    <row r="2228" spans="1:22">
      <c r="A2228" t="s">
        <v>196</v>
      </c>
      <c r="B2228">
        <v>57</v>
      </c>
      <c r="C2228" t="s">
        <v>31</v>
      </c>
      <c r="D2228">
        <v>100</v>
      </c>
      <c r="E2228" t="s">
        <v>197</v>
      </c>
      <c r="F2228">
        <v>1005</v>
      </c>
      <c r="G2228" t="s">
        <v>31</v>
      </c>
      <c r="H2228">
        <v>2005</v>
      </c>
      <c r="I2228" t="s">
        <v>31</v>
      </c>
      <c r="J2228">
        <v>3021</v>
      </c>
      <c r="K2228" t="s">
        <v>1295</v>
      </c>
      <c r="L2228">
        <v>4021</v>
      </c>
      <c r="M2228" t="s">
        <v>1300</v>
      </c>
      <c r="N2228" t="s">
        <v>341</v>
      </c>
      <c r="O2228">
        <v>1</v>
      </c>
      <c r="P2228">
        <v>1617</v>
      </c>
      <c r="Q2228" t="s">
        <v>800</v>
      </c>
      <c r="R2228" t="s">
        <v>201</v>
      </c>
      <c r="S2228">
        <v>1</v>
      </c>
      <c r="T2228">
        <v>1</v>
      </c>
      <c r="U2228">
        <v>108576</v>
      </c>
      <c r="V2228">
        <v>108576</v>
      </c>
    </row>
    <row r="2229" spans="1:22">
      <c r="A2229" t="s">
        <v>196</v>
      </c>
      <c r="B2229">
        <v>57</v>
      </c>
      <c r="C2229" t="s">
        <v>31</v>
      </c>
      <c r="D2229">
        <v>100</v>
      </c>
      <c r="E2229" t="s">
        <v>197</v>
      </c>
      <c r="F2229">
        <v>1005</v>
      </c>
      <c r="G2229" t="s">
        <v>31</v>
      </c>
      <c r="H2229">
        <v>2005</v>
      </c>
      <c r="I2229" t="s">
        <v>31</v>
      </c>
      <c r="J2229">
        <v>3021</v>
      </c>
      <c r="K2229" t="s">
        <v>1295</v>
      </c>
      <c r="L2229">
        <v>4021</v>
      </c>
      <c r="M2229" t="s">
        <v>1300</v>
      </c>
      <c r="N2229" t="s">
        <v>341</v>
      </c>
      <c r="O2229">
        <v>1</v>
      </c>
      <c r="P2229">
        <v>1617</v>
      </c>
      <c r="Q2229" t="s">
        <v>800</v>
      </c>
      <c r="R2229" t="s">
        <v>201</v>
      </c>
      <c r="S2229">
        <v>1</v>
      </c>
      <c r="T2229">
        <v>1</v>
      </c>
      <c r="U2229">
        <v>81324</v>
      </c>
      <c r="V2229">
        <v>81324</v>
      </c>
    </row>
    <row r="2230" spans="1:22">
      <c r="A2230" t="s">
        <v>196</v>
      </c>
      <c r="B2230">
        <v>57</v>
      </c>
      <c r="C2230" t="s">
        <v>31</v>
      </c>
      <c r="D2230">
        <v>100</v>
      </c>
      <c r="E2230" t="s">
        <v>197</v>
      </c>
      <c r="F2230">
        <v>1005</v>
      </c>
      <c r="G2230" t="s">
        <v>31</v>
      </c>
      <c r="H2230">
        <v>2005</v>
      </c>
      <c r="I2230" t="s">
        <v>31</v>
      </c>
      <c r="J2230">
        <v>3021</v>
      </c>
      <c r="K2230" t="s">
        <v>1295</v>
      </c>
      <c r="L2230">
        <v>4021</v>
      </c>
      <c r="M2230" t="s">
        <v>1300</v>
      </c>
      <c r="N2230" t="s">
        <v>341</v>
      </c>
      <c r="O2230">
        <v>1</v>
      </c>
      <c r="P2230">
        <v>1617</v>
      </c>
      <c r="Q2230" t="s">
        <v>800</v>
      </c>
      <c r="R2230" t="s">
        <v>201</v>
      </c>
      <c r="S2230">
        <v>1</v>
      </c>
      <c r="T2230">
        <v>1</v>
      </c>
      <c r="U2230">
        <v>74172</v>
      </c>
      <c r="V2230">
        <v>74172</v>
      </c>
    </row>
    <row r="2231" spans="1:22">
      <c r="A2231" t="s">
        <v>196</v>
      </c>
      <c r="B2231">
        <v>57</v>
      </c>
      <c r="C2231" t="s">
        <v>31</v>
      </c>
      <c r="D2231">
        <v>100</v>
      </c>
      <c r="E2231" t="s">
        <v>197</v>
      </c>
      <c r="F2231">
        <v>1005</v>
      </c>
      <c r="G2231" t="s">
        <v>31</v>
      </c>
      <c r="H2231">
        <v>2005</v>
      </c>
      <c r="I2231" t="s">
        <v>31</v>
      </c>
      <c r="J2231">
        <v>3021</v>
      </c>
      <c r="K2231" t="s">
        <v>1295</v>
      </c>
      <c r="L2231">
        <v>4021</v>
      </c>
      <c r="M2231" t="s">
        <v>1300</v>
      </c>
      <c r="N2231" t="s">
        <v>341</v>
      </c>
      <c r="O2231">
        <v>1</v>
      </c>
      <c r="P2231">
        <v>1617</v>
      </c>
      <c r="Q2231" t="s">
        <v>800</v>
      </c>
      <c r="R2231" t="s">
        <v>201</v>
      </c>
      <c r="S2231">
        <v>1</v>
      </c>
      <c r="T2231">
        <v>1</v>
      </c>
      <c r="U2231">
        <v>68616</v>
      </c>
      <c r="V2231">
        <v>68616</v>
      </c>
    </row>
    <row r="2232" spans="1:22">
      <c r="A2232" t="s">
        <v>196</v>
      </c>
      <c r="B2232">
        <v>57</v>
      </c>
      <c r="C2232" t="s">
        <v>31</v>
      </c>
      <c r="D2232">
        <v>100</v>
      </c>
      <c r="E2232" t="s">
        <v>197</v>
      </c>
      <c r="F2232">
        <v>1005</v>
      </c>
      <c r="G2232" t="s">
        <v>31</v>
      </c>
      <c r="H2232">
        <v>2005</v>
      </c>
      <c r="I2232" t="s">
        <v>31</v>
      </c>
      <c r="J2232">
        <v>3021</v>
      </c>
      <c r="K2232" t="s">
        <v>1295</v>
      </c>
      <c r="L2232">
        <v>4021</v>
      </c>
      <c r="M2232" t="s">
        <v>1300</v>
      </c>
      <c r="N2232" t="s">
        <v>372</v>
      </c>
      <c r="O2232">
        <v>1</v>
      </c>
      <c r="P2232">
        <v>714</v>
      </c>
      <c r="Q2232" t="s">
        <v>1306</v>
      </c>
      <c r="R2232" t="s">
        <v>201</v>
      </c>
      <c r="S2232">
        <v>7</v>
      </c>
      <c r="T2232">
        <v>1</v>
      </c>
      <c r="U2232">
        <v>98928</v>
      </c>
      <c r="V2232">
        <v>692496</v>
      </c>
    </row>
    <row r="2233" spans="1:22">
      <c r="A2233" t="s">
        <v>196</v>
      </c>
      <c r="B2233">
        <v>57</v>
      </c>
      <c r="C2233" t="s">
        <v>31</v>
      </c>
      <c r="D2233">
        <v>100</v>
      </c>
      <c r="E2233" t="s">
        <v>197</v>
      </c>
      <c r="F2233">
        <v>1005</v>
      </c>
      <c r="G2233" t="s">
        <v>31</v>
      </c>
      <c r="H2233">
        <v>2005</v>
      </c>
      <c r="I2233" t="s">
        <v>31</v>
      </c>
      <c r="J2233">
        <v>3021</v>
      </c>
      <c r="K2233" t="s">
        <v>1295</v>
      </c>
      <c r="L2233">
        <v>4021</v>
      </c>
      <c r="M2233" t="s">
        <v>1300</v>
      </c>
      <c r="N2233" t="s">
        <v>372</v>
      </c>
      <c r="O2233">
        <v>1</v>
      </c>
      <c r="P2233">
        <v>714</v>
      </c>
      <c r="Q2233" t="s">
        <v>1306</v>
      </c>
      <c r="R2233" t="s">
        <v>201</v>
      </c>
      <c r="S2233">
        <v>6</v>
      </c>
      <c r="T2233">
        <v>1</v>
      </c>
      <c r="U2233">
        <v>93504</v>
      </c>
      <c r="V2233">
        <v>561024</v>
      </c>
    </row>
    <row r="2234" spans="1:22">
      <c r="A2234" t="s">
        <v>196</v>
      </c>
      <c r="B2234">
        <v>57</v>
      </c>
      <c r="C2234" t="s">
        <v>31</v>
      </c>
      <c r="D2234">
        <v>100</v>
      </c>
      <c r="E2234" t="s">
        <v>197</v>
      </c>
      <c r="F2234">
        <v>1005</v>
      </c>
      <c r="G2234" t="s">
        <v>31</v>
      </c>
      <c r="H2234">
        <v>2005</v>
      </c>
      <c r="I2234" t="s">
        <v>31</v>
      </c>
      <c r="J2234">
        <v>3021</v>
      </c>
      <c r="K2234" t="s">
        <v>1295</v>
      </c>
      <c r="L2234">
        <v>4021</v>
      </c>
      <c r="M2234" t="s">
        <v>1300</v>
      </c>
      <c r="N2234" t="s">
        <v>372</v>
      </c>
      <c r="O2234">
        <v>1</v>
      </c>
      <c r="P2234">
        <v>714</v>
      </c>
      <c r="Q2234" t="s">
        <v>1306</v>
      </c>
      <c r="R2234" t="s">
        <v>201</v>
      </c>
      <c r="S2234">
        <v>2</v>
      </c>
      <c r="T2234">
        <v>1</v>
      </c>
      <c r="U2234">
        <v>89244</v>
      </c>
      <c r="V2234">
        <v>178488</v>
      </c>
    </row>
    <row r="2235" spans="1:22">
      <c r="A2235" t="s">
        <v>196</v>
      </c>
      <c r="B2235">
        <v>57</v>
      </c>
      <c r="C2235" t="s">
        <v>31</v>
      </c>
      <c r="D2235">
        <v>100</v>
      </c>
      <c r="E2235" t="s">
        <v>197</v>
      </c>
      <c r="F2235">
        <v>1005</v>
      </c>
      <c r="G2235" t="s">
        <v>31</v>
      </c>
      <c r="H2235">
        <v>2005</v>
      </c>
      <c r="I2235" t="s">
        <v>31</v>
      </c>
      <c r="J2235">
        <v>3021</v>
      </c>
      <c r="K2235" t="s">
        <v>1295</v>
      </c>
      <c r="L2235">
        <v>4021</v>
      </c>
      <c r="M2235" t="s">
        <v>1300</v>
      </c>
      <c r="N2235" t="s">
        <v>372</v>
      </c>
      <c r="O2235">
        <v>1</v>
      </c>
      <c r="P2235">
        <v>714</v>
      </c>
      <c r="Q2235" t="s">
        <v>1306</v>
      </c>
      <c r="R2235" t="s">
        <v>201</v>
      </c>
      <c r="S2235">
        <v>5</v>
      </c>
      <c r="T2235">
        <v>1</v>
      </c>
      <c r="U2235">
        <v>81324</v>
      </c>
      <c r="V2235">
        <v>406620</v>
      </c>
    </row>
    <row r="2236" spans="1:22">
      <c r="A2236" t="s">
        <v>196</v>
      </c>
      <c r="B2236">
        <v>57</v>
      </c>
      <c r="C2236" t="s">
        <v>31</v>
      </c>
      <c r="D2236">
        <v>100</v>
      </c>
      <c r="E2236" t="s">
        <v>197</v>
      </c>
      <c r="F2236">
        <v>1005</v>
      </c>
      <c r="G2236" t="s">
        <v>31</v>
      </c>
      <c r="H2236">
        <v>2005</v>
      </c>
      <c r="I2236" t="s">
        <v>31</v>
      </c>
      <c r="J2236">
        <v>3021</v>
      </c>
      <c r="K2236" t="s">
        <v>1295</v>
      </c>
      <c r="L2236">
        <v>4021</v>
      </c>
      <c r="M2236" t="s">
        <v>1300</v>
      </c>
      <c r="N2236" t="s">
        <v>372</v>
      </c>
      <c r="O2236">
        <v>1</v>
      </c>
      <c r="P2236">
        <v>714</v>
      </c>
      <c r="Q2236" t="s">
        <v>1306</v>
      </c>
      <c r="R2236" t="s">
        <v>201</v>
      </c>
      <c r="S2236">
        <v>4</v>
      </c>
      <c r="T2236">
        <v>1</v>
      </c>
      <c r="U2236">
        <v>75336</v>
      </c>
      <c r="V2236">
        <v>301344</v>
      </c>
    </row>
    <row r="2237" spans="1:22">
      <c r="A2237" t="s">
        <v>196</v>
      </c>
      <c r="B2237">
        <v>57</v>
      </c>
      <c r="C2237" t="s">
        <v>31</v>
      </c>
      <c r="D2237">
        <v>100</v>
      </c>
      <c r="E2237" t="s">
        <v>197</v>
      </c>
      <c r="F2237">
        <v>1005</v>
      </c>
      <c r="G2237" t="s">
        <v>31</v>
      </c>
      <c r="H2237">
        <v>2005</v>
      </c>
      <c r="I2237" t="s">
        <v>31</v>
      </c>
      <c r="J2237">
        <v>3021</v>
      </c>
      <c r="K2237" t="s">
        <v>1295</v>
      </c>
      <c r="L2237">
        <v>4021</v>
      </c>
      <c r="M2237" t="s">
        <v>1300</v>
      </c>
      <c r="N2237" t="s">
        <v>249</v>
      </c>
      <c r="O2237">
        <v>10</v>
      </c>
      <c r="P2237">
        <v>311</v>
      </c>
      <c r="Q2237" t="s">
        <v>661</v>
      </c>
      <c r="R2237" t="s">
        <v>201</v>
      </c>
      <c r="S2237">
        <v>1</v>
      </c>
      <c r="T2237">
        <v>1</v>
      </c>
      <c r="U2237">
        <v>118956</v>
      </c>
      <c r="V2237">
        <v>118956</v>
      </c>
    </row>
    <row r="2238" spans="1:22">
      <c r="A2238" t="s">
        <v>196</v>
      </c>
      <c r="B2238">
        <v>57</v>
      </c>
      <c r="C2238" t="s">
        <v>31</v>
      </c>
      <c r="D2238">
        <v>100</v>
      </c>
      <c r="E2238" t="s">
        <v>197</v>
      </c>
      <c r="F2238">
        <v>1005</v>
      </c>
      <c r="G2238" t="s">
        <v>31</v>
      </c>
      <c r="H2238">
        <v>2005</v>
      </c>
      <c r="I2238" t="s">
        <v>31</v>
      </c>
      <c r="J2238">
        <v>3021</v>
      </c>
      <c r="K2238" t="s">
        <v>1295</v>
      </c>
      <c r="L2238">
        <v>4021</v>
      </c>
      <c r="M2238" t="s">
        <v>1300</v>
      </c>
      <c r="N2238" t="s">
        <v>199</v>
      </c>
      <c r="O2238">
        <v>0</v>
      </c>
      <c r="P2238">
        <v>15</v>
      </c>
      <c r="Q2238" t="s">
        <v>264</v>
      </c>
      <c r="R2238" t="s">
        <v>201</v>
      </c>
      <c r="S2238">
        <v>0</v>
      </c>
      <c r="T2238">
        <v>0</v>
      </c>
      <c r="U2238">
        <v>50955</v>
      </c>
      <c r="V2238">
        <v>50955</v>
      </c>
    </row>
    <row r="2239" spans="1:22">
      <c r="A2239" t="s">
        <v>196</v>
      </c>
      <c r="B2239">
        <v>57</v>
      </c>
      <c r="C2239" t="s">
        <v>31</v>
      </c>
      <c r="D2239">
        <v>100</v>
      </c>
      <c r="E2239" t="s">
        <v>197</v>
      </c>
      <c r="F2239">
        <v>1005</v>
      </c>
      <c r="G2239" t="s">
        <v>31</v>
      </c>
      <c r="H2239">
        <v>2005</v>
      </c>
      <c r="I2239" t="s">
        <v>31</v>
      </c>
      <c r="J2239">
        <v>3021</v>
      </c>
      <c r="K2239" t="s">
        <v>1295</v>
      </c>
      <c r="L2239">
        <v>4022</v>
      </c>
      <c r="M2239" t="s">
        <v>1307</v>
      </c>
      <c r="N2239" t="s">
        <v>257</v>
      </c>
      <c r="O2239">
        <v>9</v>
      </c>
      <c r="P2239">
        <v>9716</v>
      </c>
      <c r="Q2239" t="s">
        <v>1308</v>
      </c>
      <c r="R2239" t="s">
        <v>201</v>
      </c>
      <c r="S2239">
        <v>1</v>
      </c>
      <c r="T2239">
        <v>1</v>
      </c>
      <c r="U2239">
        <v>141684</v>
      </c>
      <c r="V2239">
        <v>141684</v>
      </c>
    </row>
    <row r="2240" spans="1:22">
      <c r="A2240" t="s">
        <v>196</v>
      </c>
      <c r="B2240">
        <v>57</v>
      </c>
      <c r="C2240" t="s">
        <v>31</v>
      </c>
      <c r="D2240">
        <v>100</v>
      </c>
      <c r="E2240" t="s">
        <v>197</v>
      </c>
      <c r="F2240">
        <v>1005</v>
      </c>
      <c r="G2240" t="s">
        <v>31</v>
      </c>
      <c r="H2240">
        <v>2005</v>
      </c>
      <c r="I2240" t="s">
        <v>31</v>
      </c>
      <c r="J2240">
        <v>3021</v>
      </c>
      <c r="K2240" t="s">
        <v>1295</v>
      </c>
      <c r="L2240">
        <v>4022</v>
      </c>
      <c r="M2240" t="s">
        <v>1307</v>
      </c>
      <c r="N2240" t="s">
        <v>257</v>
      </c>
      <c r="O2240">
        <v>9</v>
      </c>
      <c r="P2240">
        <v>9716</v>
      </c>
      <c r="Q2240" t="s">
        <v>1308</v>
      </c>
      <c r="R2240" t="s">
        <v>201</v>
      </c>
      <c r="S2240">
        <v>1</v>
      </c>
      <c r="T2240">
        <v>1</v>
      </c>
      <c r="U2240">
        <v>132912</v>
      </c>
      <c r="V2240">
        <v>132912</v>
      </c>
    </row>
    <row r="2241" spans="1:22">
      <c r="A2241" t="s">
        <v>196</v>
      </c>
      <c r="B2241">
        <v>57</v>
      </c>
      <c r="C2241" t="s">
        <v>31</v>
      </c>
      <c r="D2241">
        <v>100</v>
      </c>
      <c r="E2241" t="s">
        <v>197</v>
      </c>
      <c r="F2241">
        <v>1005</v>
      </c>
      <c r="G2241" t="s">
        <v>31</v>
      </c>
      <c r="H2241">
        <v>2005</v>
      </c>
      <c r="I2241" t="s">
        <v>31</v>
      </c>
      <c r="J2241">
        <v>3021</v>
      </c>
      <c r="K2241" t="s">
        <v>1295</v>
      </c>
      <c r="L2241">
        <v>4022</v>
      </c>
      <c r="M2241" t="s">
        <v>1307</v>
      </c>
      <c r="N2241" t="s">
        <v>257</v>
      </c>
      <c r="O2241">
        <v>9</v>
      </c>
      <c r="P2241">
        <v>9716</v>
      </c>
      <c r="Q2241" t="s">
        <v>1308</v>
      </c>
      <c r="R2241" t="s">
        <v>201</v>
      </c>
      <c r="S2241">
        <v>1</v>
      </c>
      <c r="T2241">
        <v>1</v>
      </c>
      <c r="U2241">
        <v>111300</v>
      </c>
      <c r="V2241">
        <v>111300</v>
      </c>
    </row>
    <row r="2242" spans="1:22">
      <c r="A2242" t="s">
        <v>196</v>
      </c>
      <c r="B2242">
        <v>57</v>
      </c>
      <c r="C2242" t="s">
        <v>31</v>
      </c>
      <c r="D2242">
        <v>100</v>
      </c>
      <c r="E2242" t="s">
        <v>197</v>
      </c>
      <c r="F2242">
        <v>1005</v>
      </c>
      <c r="G2242" t="s">
        <v>31</v>
      </c>
      <c r="H2242">
        <v>2005</v>
      </c>
      <c r="I2242" t="s">
        <v>31</v>
      </c>
      <c r="J2242">
        <v>3021</v>
      </c>
      <c r="K2242" t="s">
        <v>1295</v>
      </c>
      <c r="L2242">
        <v>4022</v>
      </c>
      <c r="M2242" t="s">
        <v>1307</v>
      </c>
      <c r="N2242" t="s">
        <v>777</v>
      </c>
      <c r="O2242">
        <v>9</v>
      </c>
      <c r="P2242">
        <v>9715</v>
      </c>
      <c r="Q2242" t="s">
        <v>778</v>
      </c>
      <c r="R2242" t="s">
        <v>201</v>
      </c>
      <c r="S2242">
        <v>1</v>
      </c>
      <c r="T2242">
        <v>1</v>
      </c>
      <c r="U2242">
        <v>155556</v>
      </c>
      <c r="V2242">
        <v>155556</v>
      </c>
    </row>
    <row r="2243" spans="1:22">
      <c r="A2243" t="s">
        <v>196</v>
      </c>
      <c r="B2243">
        <v>57</v>
      </c>
      <c r="C2243" t="s">
        <v>31</v>
      </c>
      <c r="D2243">
        <v>100</v>
      </c>
      <c r="E2243" t="s">
        <v>197</v>
      </c>
      <c r="F2243">
        <v>1005</v>
      </c>
      <c r="G2243" t="s">
        <v>31</v>
      </c>
      <c r="H2243">
        <v>2005</v>
      </c>
      <c r="I2243" t="s">
        <v>31</v>
      </c>
      <c r="J2243">
        <v>3021</v>
      </c>
      <c r="K2243" t="s">
        <v>1295</v>
      </c>
      <c r="L2243">
        <v>4022</v>
      </c>
      <c r="M2243" t="s">
        <v>1307</v>
      </c>
      <c r="N2243" t="s">
        <v>1302</v>
      </c>
      <c r="O2243">
        <v>71</v>
      </c>
      <c r="P2243">
        <v>9171</v>
      </c>
      <c r="Q2243" t="s">
        <v>1303</v>
      </c>
      <c r="R2243" t="s">
        <v>201</v>
      </c>
      <c r="S2243">
        <v>2</v>
      </c>
      <c r="T2243">
        <v>1</v>
      </c>
      <c r="U2243">
        <v>152010</v>
      </c>
      <c r="V2243">
        <v>304020</v>
      </c>
    </row>
    <row r="2244" spans="1:22">
      <c r="A2244" t="s">
        <v>196</v>
      </c>
      <c r="B2244">
        <v>57</v>
      </c>
      <c r="C2244" t="s">
        <v>31</v>
      </c>
      <c r="D2244">
        <v>100</v>
      </c>
      <c r="E2244" t="s">
        <v>197</v>
      </c>
      <c r="F2244">
        <v>1005</v>
      </c>
      <c r="G2244" t="s">
        <v>31</v>
      </c>
      <c r="H2244">
        <v>2005</v>
      </c>
      <c r="I2244" t="s">
        <v>31</v>
      </c>
      <c r="J2244">
        <v>3021</v>
      </c>
      <c r="K2244" t="s">
        <v>1295</v>
      </c>
      <c r="L2244">
        <v>4022</v>
      </c>
      <c r="M2244" t="s">
        <v>1307</v>
      </c>
      <c r="N2244" t="s">
        <v>1302</v>
      </c>
      <c r="O2244">
        <v>71</v>
      </c>
      <c r="P2244">
        <v>9171</v>
      </c>
      <c r="Q2244" t="s">
        <v>1303</v>
      </c>
      <c r="R2244" t="s">
        <v>201</v>
      </c>
      <c r="S2244">
        <v>1</v>
      </c>
      <c r="T2244">
        <v>1</v>
      </c>
      <c r="U2244">
        <v>147252</v>
      </c>
      <c r="V2244">
        <v>147252</v>
      </c>
    </row>
    <row r="2245" spans="1:22">
      <c r="A2245" t="s">
        <v>196</v>
      </c>
      <c r="B2245">
        <v>57</v>
      </c>
      <c r="C2245" t="s">
        <v>31</v>
      </c>
      <c r="D2245">
        <v>100</v>
      </c>
      <c r="E2245" t="s">
        <v>197</v>
      </c>
      <c r="F2245">
        <v>1005</v>
      </c>
      <c r="G2245" t="s">
        <v>31</v>
      </c>
      <c r="H2245">
        <v>2005</v>
      </c>
      <c r="I2245" t="s">
        <v>31</v>
      </c>
      <c r="J2245">
        <v>3021</v>
      </c>
      <c r="K2245" t="s">
        <v>1295</v>
      </c>
      <c r="L2245">
        <v>4022</v>
      </c>
      <c r="M2245" t="s">
        <v>1307</v>
      </c>
      <c r="N2245" t="s">
        <v>1309</v>
      </c>
      <c r="O2245">
        <v>91</v>
      </c>
      <c r="P2245">
        <v>9161</v>
      </c>
      <c r="Q2245" t="s">
        <v>1310</v>
      </c>
      <c r="R2245" t="s">
        <v>201</v>
      </c>
      <c r="S2245">
        <v>2</v>
      </c>
      <c r="T2245">
        <v>1</v>
      </c>
      <c r="U2245">
        <v>119154</v>
      </c>
      <c r="V2245">
        <v>238308</v>
      </c>
    </row>
    <row r="2246" spans="1:22">
      <c r="A2246" t="s">
        <v>196</v>
      </c>
      <c r="B2246">
        <v>57</v>
      </c>
      <c r="C2246" t="s">
        <v>31</v>
      </c>
      <c r="D2246">
        <v>100</v>
      </c>
      <c r="E2246" t="s">
        <v>197</v>
      </c>
      <c r="F2246">
        <v>1005</v>
      </c>
      <c r="G2246" t="s">
        <v>31</v>
      </c>
      <c r="H2246">
        <v>2005</v>
      </c>
      <c r="I2246" t="s">
        <v>31</v>
      </c>
      <c r="J2246">
        <v>3021</v>
      </c>
      <c r="K2246" t="s">
        <v>1295</v>
      </c>
      <c r="L2246">
        <v>4022</v>
      </c>
      <c r="M2246" t="s">
        <v>1307</v>
      </c>
      <c r="N2246" t="s">
        <v>1309</v>
      </c>
      <c r="O2246">
        <v>91</v>
      </c>
      <c r="P2246">
        <v>9161</v>
      </c>
      <c r="Q2246" t="s">
        <v>1310</v>
      </c>
      <c r="R2246" t="s">
        <v>201</v>
      </c>
      <c r="S2246">
        <v>1</v>
      </c>
      <c r="T2246">
        <v>1</v>
      </c>
      <c r="U2246">
        <v>115158</v>
      </c>
      <c r="V2246">
        <v>115158</v>
      </c>
    </row>
    <row r="2247" spans="1:22">
      <c r="A2247" t="s">
        <v>196</v>
      </c>
      <c r="B2247">
        <v>57</v>
      </c>
      <c r="C2247" t="s">
        <v>31</v>
      </c>
      <c r="D2247">
        <v>100</v>
      </c>
      <c r="E2247" t="s">
        <v>197</v>
      </c>
      <c r="F2247">
        <v>1005</v>
      </c>
      <c r="G2247" t="s">
        <v>31</v>
      </c>
      <c r="H2247">
        <v>2005</v>
      </c>
      <c r="I2247" t="s">
        <v>31</v>
      </c>
      <c r="J2247">
        <v>3021</v>
      </c>
      <c r="K2247" t="s">
        <v>1295</v>
      </c>
      <c r="L2247">
        <v>4022</v>
      </c>
      <c r="M2247" t="s">
        <v>1307</v>
      </c>
      <c r="N2247" t="s">
        <v>1309</v>
      </c>
      <c r="O2247">
        <v>91</v>
      </c>
      <c r="P2247">
        <v>9161</v>
      </c>
      <c r="Q2247" t="s">
        <v>1310</v>
      </c>
      <c r="R2247" t="s">
        <v>201</v>
      </c>
      <c r="S2247">
        <v>5</v>
      </c>
      <c r="T2247">
        <v>1</v>
      </c>
      <c r="U2247">
        <v>111252</v>
      </c>
      <c r="V2247">
        <v>556260</v>
      </c>
    </row>
    <row r="2248" spans="1:22">
      <c r="A2248" t="s">
        <v>196</v>
      </c>
      <c r="B2248">
        <v>57</v>
      </c>
      <c r="C2248" t="s">
        <v>31</v>
      </c>
      <c r="D2248">
        <v>100</v>
      </c>
      <c r="E2248" t="s">
        <v>197</v>
      </c>
      <c r="F2248">
        <v>1005</v>
      </c>
      <c r="G2248" t="s">
        <v>31</v>
      </c>
      <c r="H2248">
        <v>2005</v>
      </c>
      <c r="I2248" t="s">
        <v>31</v>
      </c>
      <c r="J2248">
        <v>3021</v>
      </c>
      <c r="K2248" t="s">
        <v>1295</v>
      </c>
      <c r="L2248">
        <v>4022</v>
      </c>
      <c r="M2248" t="s">
        <v>1307</v>
      </c>
      <c r="N2248" t="s">
        <v>341</v>
      </c>
      <c r="O2248">
        <v>1</v>
      </c>
      <c r="P2248">
        <v>6409</v>
      </c>
      <c r="Q2248" t="s">
        <v>1010</v>
      </c>
      <c r="R2248" t="s">
        <v>201</v>
      </c>
      <c r="S2248">
        <v>1</v>
      </c>
      <c r="T2248">
        <v>1</v>
      </c>
      <c r="U2248">
        <v>119100</v>
      </c>
      <c r="V2248">
        <v>119100</v>
      </c>
    </row>
    <row r="2249" spans="1:22">
      <c r="A2249" t="s">
        <v>196</v>
      </c>
      <c r="B2249">
        <v>57</v>
      </c>
      <c r="C2249" t="s">
        <v>31</v>
      </c>
      <c r="D2249">
        <v>100</v>
      </c>
      <c r="E2249" t="s">
        <v>197</v>
      </c>
      <c r="F2249">
        <v>1005</v>
      </c>
      <c r="G2249" t="s">
        <v>31</v>
      </c>
      <c r="H2249">
        <v>2005</v>
      </c>
      <c r="I2249" t="s">
        <v>31</v>
      </c>
      <c r="J2249">
        <v>3021</v>
      </c>
      <c r="K2249" t="s">
        <v>1295</v>
      </c>
      <c r="L2249">
        <v>4022</v>
      </c>
      <c r="M2249" t="s">
        <v>1307</v>
      </c>
      <c r="N2249" t="s">
        <v>341</v>
      </c>
      <c r="O2249">
        <v>1</v>
      </c>
      <c r="P2249">
        <v>6409</v>
      </c>
      <c r="Q2249" t="s">
        <v>1010</v>
      </c>
      <c r="R2249" t="s">
        <v>201</v>
      </c>
      <c r="S2249">
        <v>1</v>
      </c>
      <c r="T2249">
        <v>1</v>
      </c>
      <c r="U2249">
        <v>108576</v>
      </c>
      <c r="V2249">
        <v>108576</v>
      </c>
    </row>
    <row r="2250" spans="1:22">
      <c r="A2250" t="s">
        <v>196</v>
      </c>
      <c r="B2250">
        <v>57</v>
      </c>
      <c r="C2250" t="s">
        <v>31</v>
      </c>
      <c r="D2250">
        <v>100</v>
      </c>
      <c r="E2250" t="s">
        <v>197</v>
      </c>
      <c r="F2250">
        <v>1005</v>
      </c>
      <c r="G2250" t="s">
        <v>31</v>
      </c>
      <c r="H2250">
        <v>2005</v>
      </c>
      <c r="I2250" t="s">
        <v>31</v>
      </c>
      <c r="J2250">
        <v>3021</v>
      </c>
      <c r="K2250" t="s">
        <v>1295</v>
      </c>
      <c r="L2250">
        <v>4022</v>
      </c>
      <c r="M2250" t="s">
        <v>1307</v>
      </c>
      <c r="N2250" t="s">
        <v>247</v>
      </c>
      <c r="O2250">
        <v>10</v>
      </c>
      <c r="P2250">
        <v>918</v>
      </c>
      <c r="Q2250" t="s">
        <v>1311</v>
      </c>
      <c r="R2250" t="s">
        <v>201</v>
      </c>
      <c r="S2250">
        <v>1</v>
      </c>
      <c r="T2250">
        <v>1</v>
      </c>
      <c r="U2250">
        <v>69684</v>
      </c>
      <c r="V2250">
        <v>69684</v>
      </c>
    </row>
    <row r="2251" spans="1:22">
      <c r="A2251" t="s">
        <v>196</v>
      </c>
      <c r="B2251">
        <v>57</v>
      </c>
      <c r="C2251" t="s">
        <v>31</v>
      </c>
      <c r="D2251">
        <v>100</v>
      </c>
      <c r="E2251" t="s">
        <v>197</v>
      </c>
      <c r="F2251">
        <v>1005</v>
      </c>
      <c r="G2251" t="s">
        <v>31</v>
      </c>
      <c r="H2251">
        <v>2005</v>
      </c>
      <c r="I2251" t="s">
        <v>31</v>
      </c>
      <c r="J2251">
        <v>3021</v>
      </c>
      <c r="K2251" t="s">
        <v>1295</v>
      </c>
      <c r="L2251">
        <v>4022</v>
      </c>
      <c r="M2251" t="s">
        <v>1307</v>
      </c>
      <c r="N2251" t="s">
        <v>253</v>
      </c>
      <c r="O2251">
        <v>10</v>
      </c>
      <c r="P2251">
        <v>790</v>
      </c>
      <c r="Q2251" t="s">
        <v>254</v>
      </c>
      <c r="R2251" t="s">
        <v>201</v>
      </c>
      <c r="S2251">
        <v>1</v>
      </c>
      <c r="T2251">
        <v>1</v>
      </c>
      <c r="U2251">
        <v>93384</v>
      </c>
      <c r="V2251">
        <v>93384</v>
      </c>
    </row>
    <row r="2252" spans="1:22">
      <c r="A2252" t="s">
        <v>196</v>
      </c>
      <c r="B2252">
        <v>57</v>
      </c>
      <c r="C2252" t="s">
        <v>31</v>
      </c>
      <c r="D2252">
        <v>100</v>
      </c>
      <c r="E2252" t="s">
        <v>197</v>
      </c>
      <c r="F2252">
        <v>1005</v>
      </c>
      <c r="G2252" t="s">
        <v>31</v>
      </c>
      <c r="H2252">
        <v>2005</v>
      </c>
      <c r="I2252" t="s">
        <v>31</v>
      </c>
      <c r="J2252">
        <v>3021</v>
      </c>
      <c r="K2252" t="s">
        <v>1295</v>
      </c>
      <c r="L2252">
        <v>4022</v>
      </c>
      <c r="M2252" t="s">
        <v>1307</v>
      </c>
      <c r="N2252" t="s">
        <v>253</v>
      </c>
      <c r="O2252">
        <v>10</v>
      </c>
      <c r="P2252">
        <v>790</v>
      </c>
      <c r="Q2252" t="s">
        <v>254</v>
      </c>
      <c r="R2252" t="s">
        <v>201</v>
      </c>
      <c r="S2252">
        <v>1</v>
      </c>
      <c r="T2252">
        <v>1</v>
      </c>
      <c r="U2252">
        <v>83052</v>
      </c>
      <c r="V2252">
        <v>83052</v>
      </c>
    </row>
    <row r="2253" spans="1:22">
      <c r="A2253" t="s">
        <v>196</v>
      </c>
      <c r="B2253">
        <v>57</v>
      </c>
      <c r="C2253" t="s">
        <v>31</v>
      </c>
      <c r="D2253">
        <v>100</v>
      </c>
      <c r="E2253" t="s">
        <v>197</v>
      </c>
      <c r="F2253">
        <v>1005</v>
      </c>
      <c r="G2253" t="s">
        <v>31</v>
      </c>
      <c r="H2253">
        <v>2005</v>
      </c>
      <c r="I2253" t="s">
        <v>31</v>
      </c>
      <c r="J2253">
        <v>3021</v>
      </c>
      <c r="K2253" t="s">
        <v>1295</v>
      </c>
      <c r="L2253">
        <v>4022</v>
      </c>
      <c r="M2253" t="s">
        <v>1307</v>
      </c>
      <c r="N2253" t="s">
        <v>255</v>
      </c>
      <c r="O2253">
        <v>1</v>
      </c>
      <c r="P2253">
        <v>729</v>
      </c>
      <c r="Q2253" t="s">
        <v>256</v>
      </c>
      <c r="R2253" t="s">
        <v>201</v>
      </c>
      <c r="S2253">
        <v>1</v>
      </c>
      <c r="T2253">
        <v>1</v>
      </c>
      <c r="U2253">
        <v>102588</v>
      </c>
      <c r="V2253">
        <v>102588</v>
      </c>
    </row>
    <row r="2254" spans="1:22">
      <c r="A2254" t="s">
        <v>196</v>
      </c>
      <c r="B2254">
        <v>57</v>
      </c>
      <c r="C2254" t="s">
        <v>31</v>
      </c>
      <c r="D2254">
        <v>100</v>
      </c>
      <c r="E2254" t="s">
        <v>197</v>
      </c>
      <c r="F2254">
        <v>1005</v>
      </c>
      <c r="G2254" t="s">
        <v>31</v>
      </c>
      <c r="H2254">
        <v>2005</v>
      </c>
      <c r="I2254" t="s">
        <v>31</v>
      </c>
      <c r="J2254">
        <v>3021</v>
      </c>
      <c r="K2254" t="s">
        <v>1295</v>
      </c>
      <c r="L2254">
        <v>4022</v>
      </c>
      <c r="M2254" t="s">
        <v>1307</v>
      </c>
      <c r="N2254" t="s">
        <v>249</v>
      </c>
      <c r="O2254">
        <v>10</v>
      </c>
      <c r="P2254">
        <v>722</v>
      </c>
      <c r="Q2254" t="s">
        <v>1312</v>
      </c>
      <c r="R2254" t="s">
        <v>201</v>
      </c>
      <c r="S2254">
        <v>3</v>
      </c>
      <c r="T2254">
        <v>1</v>
      </c>
      <c r="U2254">
        <v>89112</v>
      </c>
      <c r="V2254">
        <v>267336</v>
      </c>
    </row>
    <row r="2255" spans="1:22">
      <c r="A2255" t="s">
        <v>196</v>
      </c>
      <c r="B2255">
        <v>57</v>
      </c>
      <c r="C2255" t="s">
        <v>31</v>
      </c>
      <c r="D2255">
        <v>100</v>
      </c>
      <c r="E2255" t="s">
        <v>197</v>
      </c>
      <c r="F2255">
        <v>1005</v>
      </c>
      <c r="G2255" t="s">
        <v>31</v>
      </c>
      <c r="H2255">
        <v>2005</v>
      </c>
      <c r="I2255" t="s">
        <v>31</v>
      </c>
      <c r="J2255">
        <v>3021</v>
      </c>
      <c r="K2255" t="s">
        <v>1295</v>
      </c>
      <c r="L2255">
        <v>4022</v>
      </c>
      <c r="M2255" t="s">
        <v>1307</v>
      </c>
      <c r="N2255" t="s">
        <v>199</v>
      </c>
      <c r="O2255">
        <v>0</v>
      </c>
      <c r="P2255">
        <v>15</v>
      </c>
      <c r="Q2255" t="s">
        <v>264</v>
      </c>
      <c r="R2255" t="s">
        <v>201</v>
      </c>
      <c r="S2255">
        <v>0</v>
      </c>
      <c r="T2255">
        <v>0</v>
      </c>
      <c r="U2255">
        <v>10971</v>
      </c>
      <c r="V2255">
        <v>10971</v>
      </c>
    </row>
    <row r="2256" spans="1:22">
      <c r="A2256" t="s">
        <v>196</v>
      </c>
      <c r="B2256">
        <v>57</v>
      </c>
      <c r="C2256" t="s">
        <v>31</v>
      </c>
      <c r="D2256">
        <v>100</v>
      </c>
      <c r="E2256" t="s">
        <v>197</v>
      </c>
      <c r="F2256">
        <v>1005</v>
      </c>
      <c r="G2256" t="s">
        <v>31</v>
      </c>
      <c r="H2256">
        <v>2005</v>
      </c>
      <c r="I2256" t="s">
        <v>31</v>
      </c>
      <c r="J2256">
        <v>3021</v>
      </c>
      <c r="K2256" t="s">
        <v>1295</v>
      </c>
      <c r="L2256">
        <v>4023</v>
      </c>
      <c r="M2256" t="s">
        <v>1313</v>
      </c>
      <c r="N2256" t="s">
        <v>216</v>
      </c>
      <c r="O2256">
        <v>99</v>
      </c>
      <c r="P2256">
        <v>9752</v>
      </c>
      <c r="Q2256" t="s">
        <v>1296</v>
      </c>
      <c r="R2256" t="s">
        <v>201</v>
      </c>
      <c r="S2256">
        <v>1</v>
      </c>
      <c r="T2256">
        <v>1</v>
      </c>
      <c r="U2256">
        <v>192240</v>
      </c>
      <c r="V2256">
        <v>192240</v>
      </c>
    </row>
    <row r="2257" spans="1:22">
      <c r="A2257" t="s">
        <v>196</v>
      </c>
      <c r="B2257">
        <v>57</v>
      </c>
      <c r="C2257" t="s">
        <v>31</v>
      </c>
      <c r="D2257">
        <v>100</v>
      </c>
      <c r="E2257" t="s">
        <v>197</v>
      </c>
      <c r="F2257">
        <v>1005</v>
      </c>
      <c r="G2257" t="s">
        <v>31</v>
      </c>
      <c r="H2257">
        <v>2005</v>
      </c>
      <c r="I2257" t="s">
        <v>31</v>
      </c>
      <c r="J2257">
        <v>3021</v>
      </c>
      <c r="K2257" t="s">
        <v>1295</v>
      </c>
      <c r="L2257">
        <v>4023</v>
      </c>
      <c r="M2257" t="s">
        <v>1313</v>
      </c>
      <c r="N2257" t="s">
        <v>1302</v>
      </c>
      <c r="O2257">
        <v>71</v>
      </c>
      <c r="P2257">
        <v>9171</v>
      </c>
      <c r="Q2257" t="s">
        <v>1303</v>
      </c>
      <c r="R2257" t="s">
        <v>201</v>
      </c>
      <c r="S2257">
        <v>1</v>
      </c>
      <c r="T2257">
        <v>1</v>
      </c>
      <c r="U2257">
        <v>152010</v>
      </c>
      <c r="V2257">
        <v>152010</v>
      </c>
    </row>
    <row r="2258" spans="1:22">
      <c r="A2258" t="s">
        <v>196</v>
      </c>
      <c r="B2258">
        <v>57</v>
      </c>
      <c r="C2258" t="s">
        <v>31</v>
      </c>
      <c r="D2258">
        <v>100</v>
      </c>
      <c r="E2258" t="s">
        <v>197</v>
      </c>
      <c r="F2258">
        <v>1005</v>
      </c>
      <c r="G2258" t="s">
        <v>31</v>
      </c>
      <c r="H2258">
        <v>2005</v>
      </c>
      <c r="I2258" t="s">
        <v>31</v>
      </c>
      <c r="J2258">
        <v>3021</v>
      </c>
      <c r="K2258" t="s">
        <v>1295</v>
      </c>
      <c r="L2258">
        <v>4023</v>
      </c>
      <c r="M2258" t="s">
        <v>1313</v>
      </c>
      <c r="N2258" t="s">
        <v>1302</v>
      </c>
      <c r="O2258">
        <v>71</v>
      </c>
      <c r="P2258">
        <v>9171</v>
      </c>
      <c r="Q2258" t="s">
        <v>1303</v>
      </c>
      <c r="R2258" t="s">
        <v>201</v>
      </c>
      <c r="S2258">
        <v>1</v>
      </c>
      <c r="T2258">
        <v>1</v>
      </c>
      <c r="U2258">
        <v>147252</v>
      </c>
      <c r="V2258">
        <v>147252</v>
      </c>
    </row>
    <row r="2259" spans="1:22">
      <c r="A2259" t="s">
        <v>196</v>
      </c>
      <c r="B2259">
        <v>57</v>
      </c>
      <c r="C2259" t="s">
        <v>31</v>
      </c>
      <c r="D2259">
        <v>100</v>
      </c>
      <c r="E2259" t="s">
        <v>197</v>
      </c>
      <c r="F2259">
        <v>1005</v>
      </c>
      <c r="G2259" t="s">
        <v>31</v>
      </c>
      <c r="H2259">
        <v>2005</v>
      </c>
      <c r="I2259" t="s">
        <v>31</v>
      </c>
      <c r="J2259">
        <v>3021</v>
      </c>
      <c r="K2259" t="s">
        <v>1295</v>
      </c>
      <c r="L2259">
        <v>4023</v>
      </c>
      <c r="M2259" t="s">
        <v>1313</v>
      </c>
      <c r="N2259" t="s">
        <v>1302</v>
      </c>
      <c r="O2259">
        <v>71</v>
      </c>
      <c r="P2259">
        <v>9171</v>
      </c>
      <c r="Q2259" t="s">
        <v>1303</v>
      </c>
      <c r="R2259" t="s">
        <v>201</v>
      </c>
      <c r="S2259">
        <v>3</v>
      </c>
      <c r="T2259">
        <v>1</v>
      </c>
      <c r="U2259">
        <v>138318</v>
      </c>
      <c r="V2259">
        <v>414954</v>
      </c>
    </row>
    <row r="2260" spans="1:22">
      <c r="A2260" t="s">
        <v>196</v>
      </c>
      <c r="B2260">
        <v>57</v>
      </c>
      <c r="C2260" t="s">
        <v>31</v>
      </c>
      <c r="D2260">
        <v>100</v>
      </c>
      <c r="E2260" t="s">
        <v>197</v>
      </c>
      <c r="F2260">
        <v>1005</v>
      </c>
      <c r="G2260" t="s">
        <v>31</v>
      </c>
      <c r="H2260">
        <v>2005</v>
      </c>
      <c r="I2260" t="s">
        <v>31</v>
      </c>
      <c r="J2260">
        <v>3021</v>
      </c>
      <c r="K2260" t="s">
        <v>1295</v>
      </c>
      <c r="L2260">
        <v>4023</v>
      </c>
      <c r="M2260" t="s">
        <v>1313</v>
      </c>
      <c r="N2260" t="s">
        <v>1314</v>
      </c>
      <c r="O2260">
        <v>0</v>
      </c>
      <c r="P2260" t="s">
        <v>1315</v>
      </c>
      <c r="Q2260" t="s">
        <v>636</v>
      </c>
      <c r="R2260" t="s">
        <v>201</v>
      </c>
      <c r="S2260">
        <v>1</v>
      </c>
      <c r="T2260">
        <v>1</v>
      </c>
      <c r="U2260">
        <v>160680</v>
      </c>
      <c r="V2260">
        <v>160680</v>
      </c>
    </row>
    <row r="2261" spans="1:22">
      <c r="A2261" t="s">
        <v>196</v>
      </c>
      <c r="B2261">
        <v>57</v>
      </c>
      <c r="C2261" t="s">
        <v>31</v>
      </c>
      <c r="D2261">
        <v>100</v>
      </c>
      <c r="E2261" t="s">
        <v>197</v>
      </c>
      <c r="F2261">
        <v>1005</v>
      </c>
      <c r="G2261" t="s">
        <v>31</v>
      </c>
      <c r="H2261">
        <v>2005</v>
      </c>
      <c r="I2261" t="s">
        <v>31</v>
      </c>
      <c r="J2261">
        <v>3021</v>
      </c>
      <c r="K2261" t="s">
        <v>1295</v>
      </c>
      <c r="L2261">
        <v>4023</v>
      </c>
      <c r="M2261" t="s">
        <v>1313</v>
      </c>
      <c r="N2261" t="s">
        <v>199</v>
      </c>
      <c r="O2261">
        <v>0</v>
      </c>
      <c r="P2261">
        <v>15</v>
      </c>
      <c r="Q2261" t="s">
        <v>264</v>
      </c>
      <c r="R2261" t="s">
        <v>201</v>
      </c>
      <c r="S2261">
        <v>0</v>
      </c>
      <c r="T2261">
        <v>0</v>
      </c>
      <c r="U2261">
        <v>4279</v>
      </c>
      <c r="V2261">
        <v>4279</v>
      </c>
    </row>
    <row r="2262" spans="1:22">
      <c r="A2262" t="s">
        <v>196</v>
      </c>
      <c r="B2262">
        <v>57</v>
      </c>
      <c r="C2262" t="s">
        <v>31</v>
      </c>
      <c r="D2262">
        <v>100</v>
      </c>
      <c r="E2262" t="s">
        <v>197</v>
      </c>
      <c r="F2262">
        <v>1005</v>
      </c>
      <c r="G2262" t="s">
        <v>31</v>
      </c>
      <c r="H2262">
        <v>2005</v>
      </c>
      <c r="I2262" t="s">
        <v>31</v>
      </c>
      <c r="J2262">
        <v>3021</v>
      </c>
      <c r="K2262" t="s">
        <v>1295</v>
      </c>
      <c r="L2262">
        <v>4025</v>
      </c>
      <c r="M2262" t="s">
        <v>1316</v>
      </c>
      <c r="N2262" t="s">
        <v>1294</v>
      </c>
      <c r="O2262">
        <v>9</v>
      </c>
      <c r="P2262">
        <v>9675</v>
      </c>
      <c r="Q2262" t="s">
        <v>327</v>
      </c>
      <c r="R2262" t="s">
        <v>201</v>
      </c>
      <c r="S2262">
        <v>1</v>
      </c>
      <c r="T2262">
        <v>1</v>
      </c>
      <c r="U2262">
        <v>153000</v>
      </c>
      <c r="V2262">
        <v>153000</v>
      </c>
    </row>
    <row r="2263" spans="1:22">
      <c r="A2263" t="s">
        <v>196</v>
      </c>
      <c r="B2263">
        <v>57</v>
      </c>
      <c r="C2263" t="s">
        <v>31</v>
      </c>
      <c r="D2263">
        <v>100</v>
      </c>
      <c r="E2263" t="s">
        <v>197</v>
      </c>
      <c r="F2263">
        <v>1005</v>
      </c>
      <c r="G2263" t="s">
        <v>31</v>
      </c>
      <c r="H2263">
        <v>2005</v>
      </c>
      <c r="I2263" t="s">
        <v>31</v>
      </c>
      <c r="J2263">
        <v>3021</v>
      </c>
      <c r="K2263" t="s">
        <v>1295</v>
      </c>
      <c r="L2263">
        <v>4025</v>
      </c>
      <c r="M2263" t="s">
        <v>1316</v>
      </c>
      <c r="N2263" t="s">
        <v>1314</v>
      </c>
      <c r="O2263">
        <v>9</v>
      </c>
      <c r="P2263">
        <v>9018</v>
      </c>
      <c r="Q2263" t="s">
        <v>1317</v>
      </c>
      <c r="R2263" t="s">
        <v>201</v>
      </c>
      <c r="S2263">
        <v>1</v>
      </c>
      <c r="T2263">
        <v>1</v>
      </c>
      <c r="U2263">
        <v>160680</v>
      </c>
      <c r="V2263">
        <v>160680</v>
      </c>
    </row>
    <row r="2264" spans="1:22">
      <c r="A2264" t="s">
        <v>196</v>
      </c>
      <c r="B2264">
        <v>57</v>
      </c>
      <c r="C2264" t="s">
        <v>31</v>
      </c>
      <c r="D2264">
        <v>100</v>
      </c>
      <c r="E2264" t="s">
        <v>197</v>
      </c>
      <c r="F2264">
        <v>1005</v>
      </c>
      <c r="G2264" t="s">
        <v>31</v>
      </c>
      <c r="H2264">
        <v>2005</v>
      </c>
      <c r="I2264" t="s">
        <v>31</v>
      </c>
      <c r="J2264">
        <v>3021</v>
      </c>
      <c r="K2264" t="s">
        <v>1295</v>
      </c>
      <c r="L2264">
        <v>4025</v>
      </c>
      <c r="M2264" t="s">
        <v>1316</v>
      </c>
      <c r="N2264" t="s">
        <v>199</v>
      </c>
      <c r="O2264">
        <v>0</v>
      </c>
      <c r="P2264">
        <v>15</v>
      </c>
      <c r="Q2264" t="s">
        <v>264</v>
      </c>
      <c r="R2264" t="s">
        <v>201</v>
      </c>
      <c r="S2264">
        <v>0</v>
      </c>
      <c r="T2264">
        <v>0</v>
      </c>
      <c r="U2264">
        <v>2925</v>
      </c>
      <c r="V2264">
        <v>2925</v>
      </c>
    </row>
    <row r="2265" spans="1:22">
      <c r="A2265" t="s">
        <v>196</v>
      </c>
      <c r="B2265">
        <v>57</v>
      </c>
      <c r="C2265" t="s">
        <v>31</v>
      </c>
      <c r="D2265">
        <v>100</v>
      </c>
      <c r="E2265" t="s">
        <v>197</v>
      </c>
      <c r="F2265">
        <v>1005</v>
      </c>
      <c r="G2265" t="s">
        <v>31</v>
      </c>
      <c r="H2265">
        <v>2005</v>
      </c>
      <c r="I2265" t="s">
        <v>31</v>
      </c>
      <c r="J2265">
        <v>3427</v>
      </c>
      <c r="K2265" t="s">
        <v>1318</v>
      </c>
      <c r="L2265">
        <v>4040</v>
      </c>
      <c r="M2265" t="s">
        <v>1318</v>
      </c>
      <c r="N2265" t="s">
        <v>199</v>
      </c>
      <c r="O2265">
        <v>99</v>
      </c>
      <c r="P2265">
        <v>9796</v>
      </c>
      <c r="Q2265" t="s">
        <v>1319</v>
      </c>
      <c r="R2265" t="s">
        <v>201</v>
      </c>
      <c r="S2265">
        <v>1</v>
      </c>
      <c r="T2265">
        <v>1</v>
      </c>
      <c r="U2265">
        <v>201048</v>
      </c>
      <c r="V2265">
        <v>201048</v>
      </c>
    </row>
    <row r="2266" spans="1:22">
      <c r="A2266" t="s">
        <v>196</v>
      </c>
      <c r="B2266">
        <v>57</v>
      </c>
      <c r="C2266" t="s">
        <v>31</v>
      </c>
      <c r="D2266">
        <v>100</v>
      </c>
      <c r="E2266" t="s">
        <v>197</v>
      </c>
      <c r="F2266">
        <v>1005</v>
      </c>
      <c r="G2266" t="s">
        <v>31</v>
      </c>
      <c r="H2266">
        <v>2005</v>
      </c>
      <c r="I2266" t="s">
        <v>31</v>
      </c>
      <c r="J2266">
        <v>3427</v>
      </c>
      <c r="K2266" t="s">
        <v>1318</v>
      </c>
      <c r="L2266">
        <v>4040</v>
      </c>
      <c r="M2266" t="s">
        <v>1318</v>
      </c>
      <c r="N2266" t="s">
        <v>199</v>
      </c>
      <c r="O2266">
        <v>99</v>
      </c>
      <c r="P2266">
        <v>9785</v>
      </c>
      <c r="Q2266" t="s">
        <v>1320</v>
      </c>
      <c r="R2266" t="s">
        <v>201</v>
      </c>
      <c r="S2266">
        <v>1</v>
      </c>
      <c r="T2266">
        <v>1</v>
      </c>
      <c r="U2266">
        <v>219048</v>
      </c>
      <c r="V2266">
        <v>219048</v>
      </c>
    </row>
    <row r="2267" spans="1:22">
      <c r="A2267" t="s">
        <v>196</v>
      </c>
      <c r="B2267">
        <v>57</v>
      </c>
      <c r="C2267" t="s">
        <v>31</v>
      </c>
      <c r="D2267">
        <v>100</v>
      </c>
      <c r="E2267" t="s">
        <v>197</v>
      </c>
      <c r="F2267">
        <v>1005</v>
      </c>
      <c r="G2267" t="s">
        <v>31</v>
      </c>
      <c r="H2267">
        <v>2005</v>
      </c>
      <c r="I2267" t="s">
        <v>31</v>
      </c>
      <c r="J2267">
        <v>3427</v>
      </c>
      <c r="K2267" t="s">
        <v>1318</v>
      </c>
      <c r="L2267">
        <v>4040</v>
      </c>
      <c r="M2267" t="s">
        <v>1318</v>
      </c>
      <c r="N2267" t="s">
        <v>216</v>
      </c>
      <c r="O2267">
        <v>99</v>
      </c>
      <c r="P2267">
        <v>9752</v>
      </c>
      <c r="Q2267" t="s">
        <v>1296</v>
      </c>
      <c r="R2267" t="s">
        <v>201</v>
      </c>
      <c r="S2267">
        <v>1</v>
      </c>
      <c r="T2267">
        <v>1</v>
      </c>
      <c r="U2267">
        <v>192240</v>
      </c>
      <c r="V2267">
        <v>192240</v>
      </c>
    </row>
    <row r="2268" spans="1:22">
      <c r="A2268" t="s">
        <v>196</v>
      </c>
      <c r="B2268">
        <v>57</v>
      </c>
      <c r="C2268" t="s">
        <v>31</v>
      </c>
      <c r="D2268">
        <v>100</v>
      </c>
      <c r="E2268" t="s">
        <v>197</v>
      </c>
      <c r="F2268">
        <v>1005</v>
      </c>
      <c r="G2268" t="s">
        <v>31</v>
      </c>
      <c r="H2268">
        <v>2005</v>
      </c>
      <c r="I2268" t="s">
        <v>31</v>
      </c>
      <c r="J2268">
        <v>3427</v>
      </c>
      <c r="K2268" t="s">
        <v>1318</v>
      </c>
      <c r="L2268">
        <v>4040</v>
      </c>
      <c r="M2268" t="s">
        <v>1318</v>
      </c>
      <c r="N2268" t="s">
        <v>1321</v>
      </c>
      <c r="O2268">
        <v>91</v>
      </c>
      <c r="P2268">
        <v>9174</v>
      </c>
      <c r="Q2268" t="s">
        <v>1322</v>
      </c>
      <c r="R2268" t="s">
        <v>201</v>
      </c>
      <c r="S2268">
        <v>1</v>
      </c>
      <c r="T2268">
        <v>1</v>
      </c>
      <c r="U2268">
        <v>90816</v>
      </c>
      <c r="V2268">
        <v>90816</v>
      </c>
    </row>
    <row r="2269" spans="1:22">
      <c r="A2269" t="s">
        <v>196</v>
      </c>
      <c r="B2269">
        <v>57</v>
      </c>
      <c r="C2269" t="s">
        <v>31</v>
      </c>
      <c r="D2269">
        <v>100</v>
      </c>
      <c r="E2269" t="s">
        <v>197</v>
      </c>
      <c r="F2269">
        <v>1005</v>
      </c>
      <c r="G2269" t="s">
        <v>31</v>
      </c>
      <c r="H2269">
        <v>2005</v>
      </c>
      <c r="I2269" t="s">
        <v>31</v>
      </c>
      <c r="J2269">
        <v>3427</v>
      </c>
      <c r="K2269" t="s">
        <v>1318</v>
      </c>
      <c r="L2269">
        <v>4040</v>
      </c>
      <c r="M2269" t="s">
        <v>1318</v>
      </c>
      <c r="N2269" t="s">
        <v>1304</v>
      </c>
      <c r="O2269">
        <v>73</v>
      </c>
      <c r="P2269">
        <v>9173</v>
      </c>
      <c r="Q2269" t="s">
        <v>1323</v>
      </c>
      <c r="R2269" t="s">
        <v>201</v>
      </c>
      <c r="S2269">
        <v>5</v>
      </c>
      <c r="T2269">
        <v>1</v>
      </c>
      <c r="U2269">
        <v>170700</v>
      </c>
      <c r="V2269">
        <v>853500</v>
      </c>
    </row>
    <row r="2270" spans="1:22">
      <c r="A2270" t="s">
        <v>196</v>
      </c>
      <c r="B2270">
        <v>57</v>
      </c>
      <c r="C2270" t="s">
        <v>31</v>
      </c>
      <c r="D2270">
        <v>100</v>
      </c>
      <c r="E2270" t="s">
        <v>197</v>
      </c>
      <c r="F2270">
        <v>1005</v>
      </c>
      <c r="G2270" t="s">
        <v>31</v>
      </c>
      <c r="H2270">
        <v>2005</v>
      </c>
      <c r="I2270" t="s">
        <v>31</v>
      </c>
      <c r="J2270">
        <v>3427</v>
      </c>
      <c r="K2270" t="s">
        <v>1318</v>
      </c>
      <c r="L2270">
        <v>4040</v>
      </c>
      <c r="M2270" t="s">
        <v>1318</v>
      </c>
      <c r="N2270" t="s">
        <v>1304</v>
      </c>
      <c r="O2270">
        <v>73</v>
      </c>
      <c r="P2270">
        <v>9173</v>
      </c>
      <c r="Q2270" t="s">
        <v>1323</v>
      </c>
      <c r="R2270" t="s">
        <v>201</v>
      </c>
      <c r="S2270">
        <v>1</v>
      </c>
      <c r="T2270">
        <v>1</v>
      </c>
      <c r="U2270">
        <v>155934</v>
      </c>
      <c r="V2270">
        <v>155934</v>
      </c>
    </row>
    <row r="2271" spans="1:22">
      <c r="A2271" t="s">
        <v>196</v>
      </c>
      <c r="B2271">
        <v>57</v>
      </c>
      <c r="C2271" t="s">
        <v>31</v>
      </c>
      <c r="D2271">
        <v>100</v>
      </c>
      <c r="E2271" t="s">
        <v>197</v>
      </c>
      <c r="F2271">
        <v>1005</v>
      </c>
      <c r="G2271" t="s">
        <v>31</v>
      </c>
      <c r="H2271">
        <v>2005</v>
      </c>
      <c r="I2271" t="s">
        <v>31</v>
      </c>
      <c r="J2271">
        <v>3427</v>
      </c>
      <c r="K2271" t="s">
        <v>1318</v>
      </c>
      <c r="L2271">
        <v>4040</v>
      </c>
      <c r="M2271" t="s">
        <v>1318</v>
      </c>
      <c r="N2271" t="s">
        <v>1302</v>
      </c>
      <c r="O2271">
        <v>71</v>
      </c>
      <c r="P2271">
        <v>9171</v>
      </c>
      <c r="Q2271" t="s">
        <v>1303</v>
      </c>
      <c r="R2271" t="s">
        <v>201</v>
      </c>
      <c r="S2271">
        <v>15</v>
      </c>
      <c r="T2271">
        <v>1</v>
      </c>
      <c r="U2271">
        <v>152010</v>
      </c>
      <c r="V2271">
        <v>2280150</v>
      </c>
    </row>
    <row r="2272" spans="1:22">
      <c r="A2272" t="s">
        <v>196</v>
      </c>
      <c r="B2272">
        <v>57</v>
      </c>
      <c r="C2272" t="s">
        <v>31</v>
      </c>
      <c r="D2272">
        <v>100</v>
      </c>
      <c r="E2272" t="s">
        <v>197</v>
      </c>
      <c r="F2272">
        <v>1005</v>
      </c>
      <c r="G2272" t="s">
        <v>31</v>
      </c>
      <c r="H2272">
        <v>2005</v>
      </c>
      <c r="I2272" t="s">
        <v>31</v>
      </c>
      <c r="J2272">
        <v>3427</v>
      </c>
      <c r="K2272" t="s">
        <v>1318</v>
      </c>
      <c r="L2272">
        <v>4040</v>
      </c>
      <c r="M2272" t="s">
        <v>1318</v>
      </c>
      <c r="N2272" t="s">
        <v>1302</v>
      </c>
      <c r="O2272">
        <v>71</v>
      </c>
      <c r="P2272">
        <v>9171</v>
      </c>
      <c r="Q2272" t="s">
        <v>1303</v>
      </c>
      <c r="R2272" t="s">
        <v>201</v>
      </c>
      <c r="S2272">
        <v>16</v>
      </c>
      <c r="T2272">
        <v>1</v>
      </c>
      <c r="U2272">
        <v>147252</v>
      </c>
      <c r="V2272">
        <v>2356032</v>
      </c>
    </row>
    <row r="2273" spans="1:22">
      <c r="A2273" t="s">
        <v>196</v>
      </c>
      <c r="B2273">
        <v>57</v>
      </c>
      <c r="C2273" t="s">
        <v>31</v>
      </c>
      <c r="D2273">
        <v>100</v>
      </c>
      <c r="E2273" t="s">
        <v>197</v>
      </c>
      <c r="F2273">
        <v>1005</v>
      </c>
      <c r="G2273" t="s">
        <v>31</v>
      </c>
      <c r="H2273">
        <v>2005</v>
      </c>
      <c r="I2273" t="s">
        <v>31</v>
      </c>
      <c r="J2273">
        <v>3427</v>
      </c>
      <c r="K2273" t="s">
        <v>1318</v>
      </c>
      <c r="L2273">
        <v>4040</v>
      </c>
      <c r="M2273" t="s">
        <v>1318</v>
      </c>
      <c r="N2273" t="s">
        <v>1302</v>
      </c>
      <c r="O2273">
        <v>71</v>
      </c>
      <c r="P2273">
        <v>9171</v>
      </c>
      <c r="Q2273" t="s">
        <v>1303</v>
      </c>
      <c r="R2273" t="s">
        <v>201</v>
      </c>
      <c r="S2273">
        <v>13</v>
      </c>
      <c r="T2273">
        <v>1</v>
      </c>
      <c r="U2273">
        <v>142668</v>
      </c>
      <c r="V2273">
        <v>1854684</v>
      </c>
    </row>
    <row r="2274" spans="1:22">
      <c r="A2274" t="s">
        <v>196</v>
      </c>
      <c r="B2274">
        <v>57</v>
      </c>
      <c r="C2274" t="s">
        <v>31</v>
      </c>
      <c r="D2274">
        <v>100</v>
      </c>
      <c r="E2274" t="s">
        <v>197</v>
      </c>
      <c r="F2274">
        <v>1005</v>
      </c>
      <c r="G2274" t="s">
        <v>31</v>
      </c>
      <c r="H2274">
        <v>2005</v>
      </c>
      <c r="I2274" t="s">
        <v>31</v>
      </c>
      <c r="J2274">
        <v>3427</v>
      </c>
      <c r="K2274" t="s">
        <v>1318</v>
      </c>
      <c r="L2274">
        <v>4040</v>
      </c>
      <c r="M2274" t="s">
        <v>1318</v>
      </c>
      <c r="N2274" t="s">
        <v>1302</v>
      </c>
      <c r="O2274">
        <v>71</v>
      </c>
      <c r="P2274">
        <v>9171</v>
      </c>
      <c r="Q2274" t="s">
        <v>1303</v>
      </c>
      <c r="R2274" t="s">
        <v>201</v>
      </c>
      <c r="S2274">
        <v>13</v>
      </c>
      <c r="T2274">
        <v>1</v>
      </c>
      <c r="U2274">
        <v>138318</v>
      </c>
      <c r="V2274">
        <v>1798134</v>
      </c>
    </row>
    <row r="2275" spans="1:22">
      <c r="A2275" t="s">
        <v>196</v>
      </c>
      <c r="B2275">
        <v>57</v>
      </c>
      <c r="C2275" t="s">
        <v>31</v>
      </c>
      <c r="D2275">
        <v>100</v>
      </c>
      <c r="E2275" t="s">
        <v>197</v>
      </c>
      <c r="F2275">
        <v>1005</v>
      </c>
      <c r="G2275" t="s">
        <v>31</v>
      </c>
      <c r="H2275">
        <v>2005</v>
      </c>
      <c r="I2275" t="s">
        <v>31</v>
      </c>
      <c r="J2275">
        <v>3427</v>
      </c>
      <c r="K2275" t="s">
        <v>1318</v>
      </c>
      <c r="L2275">
        <v>4040</v>
      </c>
      <c r="M2275" t="s">
        <v>1318</v>
      </c>
      <c r="N2275" t="s">
        <v>1302</v>
      </c>
      <c r="O2275">
        <v>71</v>
      </c>
      <c r="P2275">
        <v>9171</v>
      </c>
      <c r="Q2275" t="s">
        <v>1303</v>
      </c>
      <c r="R2275" t="s">
        <v>201</v>
      </c>
      <c r="S2275">
        <v>4</v>
      </c>
      <c r="T2275">
        <v>1</v>
      </c>
      <c r="U2275">
        <v>133890</v>
      </c>
      <c r="V2275">
        <v>535560</v>
      </c>
    </row>
    <row r="2276" spans="1:22">
      <c r="A2276" t="s">
        <v>196</v>
      </c>
      <c r="B2276">
        <v>57</v>
      </c>
      <c r="C2276" t="s">
        <v>31</v>
      </c>
      <c r="D2276">
        <v>100</v>
      </c>
      <c r="E2276" t="s">
        <v>197</v>
      </c>
      <c r="F2276">
        <v>1005</v>
      </c>
      <c r="G2276" t="s">
        <v>31</v>
      </c>
      <c r="H2276">
        <v>2005</v>
      </c>
      <c r="I2276" t="s">
        <v>31</v>
      </c>
      <c r="J2276">
        <v>3427</v>
      </c>
      <c r="K2276" t="s">
        <v>1318</v>
      </c>
      <c r="L2276">
        <v>4040</v>
      </c>
      <c r="M2276" t="s">
        <v>1318</v>
      </c>
      <c r="N2276" t="s">
        <v>1324</v>
      </c>
      <c r="O2276">
        <v>91</v>
      </c>
      <c r="P2276">
        <v>9165</v>
      </c>
      <c r="Q2276" t="s">
        <v>1325</v>
      </c>
      <c r="R2276" t="s">
        <v>201</v>
      </c>
      <c r="S2276">
        <v>3</v>
      </c>
      <c r="T2276">
        <v>1</v>
      </c>
      <c r="U2276">
        <v>144792</v>
      </c>
      <c r="V2276">
        <v>434376</v>
      </c>
    </row>
    <row r="2277" spans="1:22">
      <c r="A2277" t="s">
        <v>196</v>
      </c>
      <c r="B2277">
        <v>57</v>
      </c>
      <c r="C2277" t="s">
        <v>31</v>
      </c>
      <c r="D2277">
        <v>100</v>
      </c>
      <c r="E2277" t="s">
        <v>197</v>
      </c>
      <c r="F2277">
        <v>1005</v>
      </c>
      <c r="G2277" t="s">
        <v>31</v>
      </c>
      <c r="H2277">
        <v>2005</v>
      </c>
      <c r="I2277" t="s">
        <v>31</v>
      </c>
      <c r="J2277">
        <v>3427</v>
      </c>
      <c r="K2277" t="s">
        <v>1318</v>
      </c>
      <c r="L2277">
        <v>4040</v>
      </c>
      <c r="M2277" t="s">
        <v>1318</v>
      </c>
      <c r="N2277" t="s">
        <v>1324</v>
      </c>
      <c r="O2277">
        <v>91</v>
      </c>
      <c r="P2277">
        <v>9165</v>
      </c>
      <c r="Q2277" t="s">
        <v>1325</v>
      </c>
      <c r="R2277" t="s">
        <v>201</v>
      </c>
      <c r="S2277">
        <v>1</v>
      </c>
      <c r="T2277">
        <v>1</v>
      </c>
      <c r="U2277">
        <v>140454</v>
      </c>
      <c r="V2277">
        <v>140454</v>
      </c>
    </row>
    <row r="2278" spans="1:22">
      <c r="A2278" t="s">
        <v>196</v>
      </c>
      <c r="B2278">
        <v>57</v>
      </c>
      <c r="C2278" t="s">
        <v>31</v>
      </c>
      <c r="D2278">
        <v>100</v>
      </c>
      <c r="E2278" t="s">
        <v>197</v>
      </c>
      <c r="F2278">
        <v>1005</v>
      </c>
      <c r="G2278" t="s">
        <v>31</v>
      </c>
      <c r="H2278">
        <v>2005</v>
      </c>
      <c r="I2278" t="s">
        <v>31</v>
      </c>
      <c r="J2278">
        <v>3427</v>
      </c>
      <c r="K2278" t="s">
        <v>1318</v>
      </c>
      <c r="L2278">
        <v>4040</v>
      </c>
      <c r="M2278" t="s">
        <v>1318</v>
      </c>
      <c r="N2278" t="s">
        <v>1324</v>
      </c>
      <c r="O2278">
        <v>91</v>
      </c>
      <c r="P2278">
        <v>9165</v>
      </c>
      <c r="Q2278" t="s">
        <v>1325</v>
      </c>
      <c r="R2278" t="s">
        <v>201</v>
      </c>
      <c r="S2278">
        <v>4</v>
      </c>
      <c r="T2278">
        <v>1</v>
      </c>
      <c r="U2278">
        <v>135816</v>
      </c>
      <c r="V2278">
        <v>543264</v>
      </c>
    </row>
    <row r="2279" spans="1:22">
      <c r="A2279" t="s">
        <v>196</v>
      </c>
      <c r="B2279">
        <v>57</v>
      </c>
      <c r="C2279" t="s">
        <v>31</v>
      </c>
      <c r="D2279">
        <v>100</v>
      </c>
      <c r="E2279" t="s">
        <v>197</v>
      </c>
      <c r="F2279">
        <v>1005</v>
      </c>
      <c r="G2279" t="s">
        <v>31</v>
      </c>
      <c r="H2279">
        <v>2005</v>
      </c>
      <c r="I2279" t="s">
        <v>31</v>
      </c>
      <c r="J2279">
        <v>3427</v>
      </c>
      <c r="K2279" t="s">
        <v>1318</v>
      </c>
      <c r="L2279">
        <v>4040</v>
      </c>
      <c r="M2279" t="s">
        <v>1318</v>
      </c>
      <c r="N2279" t="s">
        <v>1324</v>
      </c>
      <c r="O2279">
        <v>91</v>
      </c>
      <c r="P2279">
        <v>9165</v>
      </c>
      <c r="Q2279" t="s">
        <v>1325</v>
      </c>
      <c r="R2279" t="s">
        <v>201</v>
      </c>
      <c r="S2279">
        <v>1</v>
      </c>
      <c r="T2279">
        <v>1</v>
      </c>
      <c r="U2279">
        <v>131448</v>
      </c>
      <c r="V2279">
        <v>131448</v>
      </c>
    </row>
    <row r="2280" spans="1:22">
      <c r="A2280" t="s">
        <v>196</v>
      </c>
      <c r="B2280">
        <v>57</v>
      </c>
      <c r="C2280" t="s">
        <v>31</v>
      </c>
      <c r="D2280">
        <v>100</v>
      </c>
      <c r="E2280" t="s">
        <v>197</v>
      </c>
      <c r="F2280">
        <v>1005</v>
      </c>
      <c r="G2280" t="s">
        <v>31</v>
      </c>
      <c r="H2280">
        <v>2005</v>
      </c>
      <c r="I2280" t="s">
        <v>31</v>
      </c>
      <c r="J2280">
        <v>3427</v>
      </c>
      <c r="K2280" t="s">
        <v>1318</v>
      </c>
      <c r="L2280">
        <v>4040</v>
      </c>
      <c r="M2280" t="s">
        <v>1318</v>
      </c>
      <c r="N2280" t="s">
        <v>1324</v>
      </c>
      <c r="O2280">
        <v>91</v>
      </c>
      <c r="P2280">
        <v>9165</v>
      </c>
      <c r="Q2280" t="s">
        <v>1325</v>
      </c>
      <c r="R2280" t="s">
        <v>201</v>
      </c>
      <c r="S2280">
        <v>1</v>
      </c>
      <c r="T2280">
        <v>1</v>
      </c>
      <c r="U2280">
        <v>99426</v>
      </c>
      <c r="V2280">
        <v>99426</v>
      </c>
    </row>
    <row r="2281" spans="1:22">
      <c r="A2281" t="s">
        <v>196</v>
      </c>
      <c r="B2281">
        <v>57</v>
      </c>
      <c r="C2281" t="s">
        <v>31</v>
      </c>
      <c r="D2281">
        <v>100</v>
      </c>
      <c r="E2281" t="s">
        <v>197</v>
      </c>
      <c r="F2281">
        <v>1005</v>
      </c>
      <c r="G2281" t="s">
        <v>31</v>
      </c>
      <c r="H2281">
        <v>2005</v>
      </c>
      <c r="I2281" t="s">
        <v>31</v>
      </c>
      <c r="J2281">
        <v>3427</v>
      </c>
      <c r="K2281" t="s">
        <v>1318</v>
      </c>
      <c r="L2281">
        <v>4040</v>
      </c>
      <c r="M2281" t="s">
        <v>1318</v>
      </c>
      <c r="N2281" t="s">
        <v>1309</v>
      </c>
      <c r="O2281">
        <v>91</v>
      </c>
      <c r="P2281">
        <v>9161</v>
      </c>
      <c r="Q2281" t="s">
        <v>1310</v>
      </c>
      <c r="R2281" t="s">
        <v>201</v>
      </c>
      <c r="S2281">
        <v>1</v>
      </c>
      <c r="T2281">
        <v>1</v>
      </c>
      <c r="U2281">
        <v>127146</v>
      </c>
      <c r="V2281">
        <v>127146</v>
      </c>
    </row>
    <row r="2282" spans="1:22">
      <c r="A2282" t="s">
        <v>196</v>
      </c>
      <c r="B2282">
        <v>57</v>
      </c>
      <c r="C2282" t="s">
        <v>31</v>
      </c>
      <c r="D2282">
        <v>100</v>
      </c>
      <c r="E2282" t="s">
        <v>197</v>
      </c>
      <c r="F2282">
        <v>1005</v>
      </c>
      <c r="G2282" t="s">
        <v>31</v>
      </c>
      <c r="H2282">
        <v>2005</v>
      </c>
      <c r="I2282" t="s">
        <v>31</v>
      </c>
      <c r="J2282">
        <v>3427</v>
      </c>
      <c r="K2282" t="s">
        <v>1318</v>
      </c>
      <c r="L2282">
        <v>4040</v>
      </c>
      <c r="M2282" t="s">
        <v>1318</v>
      </c>
      <c r="N2282" t="s">
        <v>1309</v>
      </c>
      <c r="O2282">
        <v>91</v>
      </c>
      <c r="P2282">
        <v>9161</v>
      </c>
      <c r="Q2282" t="s">
        <v>1310</v>
      </c>
      <c r="R2282" t="s">
        <v>201</v>
      </c>
      <c r="S2282">
        <v>1</v>
      </c>
      <c r="T2282">
        <v>1</v>
      </c>
      <c r="U2282">
        <v>123576</v>
      </c>
      <c r="V2282">
        <v>123576</v>
      </c>
    </row>
    <row r="2283" spans="1:22">
      <c r="A2283" t="s">
        <v>196</v>
      </c>
      <c r="B2283">
        <v>57</v>
      </c>
      <c r="C2283" t="s">
        <v>31</v>
      </c>
      <c r="D2283">
        <v>100</v>
      </c>
      <c r="E2283" t="s">
        <v>197</v>
      </c>
      <c r="F2283">
        <v>1005</v>
      </c>
      <c r="G2283" t="s">
        <v>31</v>
      </c>
      <c r="H2283">
        <v>2005</v>
      </c>
      <c r="I2283" t="s">
        <v>31</v>
      </c>
      <c r="J2283">
        <v>3427</v>
      </c>
      <c r="K2283" t="s">
        <v>1318</v>
      </c>
      <c r="L2283">
        <v>4040</v>
      </c>
      <c r="M2283" t="s">
        <v>1318</v>
      </c>
      <c r="N2283" t="s">
        <v>1309</v>
      </c>
      <c r="O2283">
        <v>91</v>
      </c>
      <c r="P2283">
        <v>9161</v>
      </c>
      <c r="Q2283" t="s">
        <v>1310</v>
      </c>
      <c r="R2283" t="s">
        <v>201</v>
      </c>
      <c r="S2283">
        <v>1</v>
      </c>
      <c r="T2283">
        <v>1</v>
      </c>
      <c r="U2283">
        <v>119154</v>
      </c>
      <c r="V2283">
        <v>119154</v>
      </c>
    </row>
    <row r="2284" spans="1:22">
      <c r="A2284" t="s">
        <v>196</v>
      </c>
      <c r="B2284">
        <v>57</v>
      </c>
      <c r="C2284" t="s">
        <v>31</v>
      </c>
      <c r="D2284">
        <v>100</v>
      </c>
      <c r="E2284" t="s">
        <v>197</v>
      </c>
      <c r="F2284">
        <v>1005</v>
      </c>
      <c r="G2284" t="s">
        <v>31</v>
      </c>
      <c r="H2284">
        <v>2005</v>
      </c>
      <c r="I2284" t="s">
        <v>31</v>
      </c>
      <c r="J2284">
        <v>3427</v>
      </c>
      <c r="K2284" t="s">
        <v>1318</v>
      </c>
      <c r="L2284">
        <v>4040</v>
      </c>
      <c r="M2284" t="s">
        <v>1318</v>
      </c>
      <c r="N2284" t="s">
        <v>1309</v>
      </c>
      <c r="O2284">
        <v>91</v>
      </c>
      <c r="P2284">
        <v>9161</v>
      </c>
      <c r="Q2284" t="s">
        <v>1310</v>
      </c>
      <c r="R2284" t="s">
        <v>201</v>
      </c>
      <c r="S2284">
        <v>3</v>
      </c>
      <c r="T2284">
        <v>1</v>
      </c>
      <c r="U2284">
        <v>115158</v>
      </c>
      <c r="V2284">
        <v>345474</v>
      </c>
    </row>
    <row r="2285" spans="1:22">
      <c r="A2285" t="s">
        <v>196</v>
      </c>
      <c r="B2285">
        <v>57</v>
      </c>
      <c r="C2285" t="s">
        <v>31</v>
      </c>
      <c r="D2285">
        <v>100</v>
      </c>
      <c r="E2285" t="s">
        <v>197</v>
      </c>
      <c r="F2285">
        <v>1005</v>
      </c>
      <c r="G2285" t="s">
        <v>31</v>
      </c>
      <c r="H2285">
        <v>2005</v>
      </c>
      <c r="I2285" t="s">
        <v>31</v>
      </c>
      <c r="J2285">
        <v>3427</v>
      </c>
      <c r="K2285" t="s">
        <v>1318</v>
      </c>
      <c r="L2285">
        <v>4040</v>
      </c>
      <c r="M2285" t="s">
        <v>1318</v>
      </c>
      <c r="N2285" t="s">
        <v>1309</v>
      </c>
      <c r="O2285">
        <v>91</v>
      </c>
      <c r="P2285">
        <v>9161</v>
      </c>
      <c r="Q2285" t="s">
        <v>1310</v>
      </c>
      <c r="R2285" t="s">
        <v>201</v>
      </c>
      <c r="S2285">
        <v>2</v>
      </c>
      <c r="T2285">
        <v>1</v>
      </c>
      <c r="U2285">
        <v>111252</v>
      </c>
      <c r="V2285">
        <v>222504</v>
      </c>
    </row>
    <row r="2286" spans="1:22">
      <c r="A2286" t="s">
        <v>196</v>
      </c>
      <c r="B2286">
        <v>57</v>
      </c>
      <c r="C2286" t="s">
        <v>31</v>
      </c>
      <c r="D2286">
        <v>100</v>
      </c>
      <c r="E2286" t="s">
        <v>197</v>
      </c>
      <c r="F2286">
        <v>1005</v>
      </c>
      <c r="G2286" t="s">
        <v>31</v>
      </c>
      <c r="H2286">
        <v>2005</v>
      </c>
      <c r="I2286" t="s">
        <v>31</v>
      </c>
      <c r="J2286">
        <v>3427</v>
      </c>
      <c r="K2286" t="s">
        <v>1318</v>
      </c>
      <c r="L2286">
        <v>4040</v>
      </c>
      <c r="M2286" t="s">
        <v>1318</v>
      </c>
      <c r="N2286" t="s">
        <v>1309</v>
      </c>
      <c r="O2286">
        <v>91</v>
      </c>
      <c r="P2286">
        <v>9161</v>
      </c>
      <c r="Q2286" t="s">
        <v>1310</v>
      </c>
      <c r="R2286" t="s">
        <v>201</v>
      </c>
      <c r="S2286">
        <v>4</v>
      </c>
      <c r="T2286">
        <v>1</v>
      </c>
      <c r="U2286">
        <v>63636</v>
      </c>
      <c r="V2286">
        <v>254544</v>
      </c>
    </row>
    <row r="2287" spans="1:22">
      <c r="A2287" t="s">
        <v>196</v>
      </c>
      <c r="B2287">
        <v>57</v>
      </c>
      <c r="C2287" t="s">
        <v>31</v>
      </c>
      <c r="D2287">
        <v>100</v>
      </c>
      <c r="E2287" t="s">
        <v>197</v>
      </c>
      <c r="F2287">
        <v>1005</v>
      </c>
      <c r="G2287" t="s">
        <v>31</v>
      </c>
      <c r="H2287">
        <v>2005</v>
      </c>
      <c r="I2287" t="s">
        <v>31</v>
      </c>
      <c r="J2287">
        <v>3427</v>
      </c>
      <c r="K2287" t="s">
        <v>1318</v>
      </c>
      <c r="L2287">
        <v>4040</v>
      </c>
      <c r="M2287" t="s">
        <v>1318</v>
      </c>
      <c r="N2287" t="s">
        <v>253</v>
      </c>
      <c r="O2287">
        <v>10</v>
      </c>
      <c r="P2287">
        <v>1256</v>
      </c>
      <c r="Q2287" t="s">
        <v>727</v>
      </c>
      <c r="R2287" t="s">
        <v>201</v>
      </c>
      <c r="S2287">
        <v>1</v>
      </c>
      <c r="T2287">
        <v>1</v>
      </c>
      <c r="U2287">
        <v>93384</v>
      </c>
      <c r="V2287">
        <v>93384</v>
      </c>
    </row>
    <row r="2288" spans="1:22">
      <c r="A2288" t="s">
        <v>196</v>
      </c>
      <c r="B2288">
        <v>57</v>
      </c>
      <c r="C2288" t="s">
        <v>31</v>
      </c>
      <c r="D2288">
        <v>100</v>
      </c>
      <c r="E2288" t="s">
        <v>197</v>
      </c>
      <c r="F2288">
        <v>1005</v>
      </c>
      <c r="G2288" t="s">
        <v>31</v>
      </c>
      <c r="H2288">
        <v>2005</v>
      </c>
      <c r="I2288" t="s">
        <v>31</v>
      </c>
      <c r="J2288">
        <v>3427</v>
      </c>
      <c r="K2288" t="s">
        <v>1318</v>
      </c>
      <c r="L2288">
        <v>4040</v>
      </c>
      <c r="M2288" t="s">
        <v>1318</v>
      </c>
      <c r="N2288" t="s">
        <v>253</v>
      </c>
      <c r="O2288">
        <v>10</v>
      </c>
      <c r="P2288">
        <v>1256</v>
      </c>
      <c r="Q2288" t="s">
        <v>727</v>
      </c>
      <c r="R2288" t="s">
        <v>201</v>
      </c>
      <c r="S2288">
        <v>2</v>
      </c>
      <c r="T2288">
        <v>1</v>
      </c>
      <c r="U2288">
        <v>83052</v>
      </c>
      <c r="V2288">
        <v>166104</v>
      </c>
    </row>
    <row r="2289" spans="1:22">
      <c r="A2289" t="s">
        <v>196</v>
      </c>
      <c r="B2289">
        <v>57</v>
      </c>
      <c r="C2289" t="s">
        <v>31</v>
      </c>
      <c r="D2289">
        <v>100</v>
      </c>
      <c r="E2289" t="s">
        <v>197</v>
      </c>
      <c r="F2289">
        <v>1005</v>
      </c>
      <c r="G2289" t="s">
        <v>31</v>
      </c>
      <c r="H2289">
        <v>2005</v>
      </c>
      <c r="I2289" t="s">
        <v>31</v>
      </c>
      <c r="J2289">
        <v>3427</v>
      </c>
      <c r="K2289" t="s">
        <v>1318</v>
      </c>
      <c r="L2289">
        <v>4040</v>
      </c>
      <c r="M2289" t="s">
        <v>1318</v>
      </c>
      <c r="N2289" t="s">
        <v>294</v>
      </c>
      <c r="O2289">
        <v>10</v>
      </c>
      <c r="P2289">
        <v>1235</v>
      </c>
      <c r="Q2289" t="s">
        <v>1326</v>
      </c>
      <c r="R2289" t="s">
        <v>201</v>
      </c>
      <c r="S2289">
        <v>6</v>
      </c>
      <c r="T2289">
        <v>1</v>
      </c>
      <c r="U2289">
        <v>66516</v>
      </c>
      <c r="V2289">
        <v>399096</v>
      </c>
    </row>
    <row r="2290" spans="1:22">
      <c r="A2290" t="s">
        <v>196</v>
      </c>
      <c r="B2290">
        <v>57</v>
      </c>
      <c r="C2290" t="s">
        <v>31</v>
      </c>
      <c r="D2290">
        <v>100</v>
      </c>
      <c r="E2290" t="s">
        <v>197</v>
      </c>
      <c r="F2290">
        <v>1005</v>
      </c>
      <c r="G2290" t="s">
        <v>31</v>
      </c>
      <c r="H2290">
        <v>2005</v>
      </c>
      <c r="I2290" t="s">
        <v>31</v>
      </c>
      <c r="J2290">
        <v>3427</v>
      </c>
      <c r="K2290" t="s">
        <v>1318</v>
      </c>
      <c r="L2290">
        <v>4040</v>
      </c>
      <c r="M2290" t="s">
        <v>1318</v>
      </c>
      <c r="N2290" t="s">
        <v>294</v>
      </c>
      <c r="O2290">
        <v>10</v>
      </c>
      <c r="P2290">
        <v>1235</v>
      </c>
      <c r="Q2290" t="s">
        <v>1326</v>
      </c>
      <c r="R2290" t="s">
        <v>201</v>
      </c>
      <c r="S2290">
        <v>25</v>
      </c>
      <c r="T2290">
        <v>1</v>
      </c>
      <c r="U2290">
        <v>63504</v>
      </c>
      <c r="V2290">
        <v>1587600</v>
      </c>
    </row>
    <row r="2291" spans="1:22">
      <c r="A2291" t="s">
        <v>196</v>
      </c>
      <c r="B2291">
        <v>57</v>
      </c>
      <c r="C2291" t="s">
        <v>31</v>
      </c>
      <c r="D2291">
        <v>100</v>
      </c>
      <c r="E2291" t="s">
        <v>197</v>
      </c>
      <c r="F2291">
        <v>1005</v>
      </c>
      <c r="G2291" t="s">
        <v>31</v>
      </c>
      <c r="H2291">
        <v>2005</v>
      </c>
      <c r="I2291" t="s">
        <v>31</v>
      </c>
      <c r="J2291">
        <v>3427</v>
      </c>
      <c r="K2291" t="s">
        <v>1318</v>
      </c>
      <c r="L2291">
        <v>4040</v>
      </c>
      <c r="M2291" t="s">
        <v>1318</v>
      </c>
      <c r="N2291" t="s">
        <v>281</v>
      </c>
      <c r="O2291">
        <v>20</v>
      </c>
      <c r="P2291">
        <v>1141</v>
      </c>
      <c r="Q2291" t="s">
        <v>332</v>
      </c>
      <c r="R2291" t="s">
        <v>201</v>
      </c>
      <c r="S2291">
        <v>1</v>
      </c>
      <c r="T2291">
        <v>1</v>
      </c>
      <c r="U2291">
        <v>82884</v>
      </c>
      <c r="V2291">
        <v>82884</v>
      </c>
    </row>
    <row r="2292" spans="1:22">
      <c r="A2292" t="s">
        <v>196</v>
      </c>
      <c r="B2292">
        <v>57</v>
      </c>
      <c r="C2292" t="s">
        <v>31</v>
      </c>
      <c r="D2292">
        <v>100</v>
      </c>
      <c r="E2292" t="s">
        <v>197</v>
      </c>
      <c r="F2292">
        <v>1005</v>
      </c>
      <c r="G2292" t="s">
        <v>31</v>
      </c>
      <c r="H2292">
        <v>2005</v>
      </c>
      <c r="I2292" t="s">
        <v>31</v>
      </c>
      <c r="J2292">
        <v>3427</v>
      </c>
      <c r="K2292" t="s">
        <v>1318</v>
      </c>
      <c r="L2292">
        <v>4040</v>
      </c>
      <c r="M2292" t="s">
        <v>1318</v>
      </c>
      <c r="N2292" t="s">
        <v>281</v>
      </c>
      <c r="O2292">
        <v>20</v>
      </c>
      <c r="P2292">
        <v>1126</v>
      </c>
      <c r="Q2292" t="s">
        <v>286</v>
      </c>
      <c r="R2292" t="s">
        <v>201</v>
      </c>
      <c r="S2292">
        <v>1</v>
      </c>
      <c r="T2292">
        <v>1</v>
      </c>
      <c r="U2292">
        <v>85236</v>
      </c>
      <c r="V2292">
        <v>85236</v>
      </c>
    </row>
    <row r="2293" spans="1:22">
      <c r="A2293" t="s">
        <v>196</v>
      </c>
      <c r="B2293">
        <v>57</v>
      </c>
      <c r="C2293" t="s">
        <v>31</v>
      </c>
      <c r="D2293">
        <v>100</v>
      </c>
      <c r="E2293" t="s">
        <v>197</v>
      </c>
      <c r="F2293">
        <v>1005</v>
      </c>
      <c r="G2293" t="s">
        <v>31</v>
      </c>
      <c r="H2293">
        <v>2005</v>
      </c>
      <c r="I2293" t="s">
        <v>31</v>
      </c>
      <c r="J2293">
        <v>3427</v>
      </c>
      <c r="K2293" t="s">
        <v>1318</v>
      </c>
      <c r="L2293">
        <v>4040</v>
      </c>
      <c r="M2293" t="s">
        <v>1318</v>
      </c>
      <c r="N2293" t="s">
        <v>199</v>
      </c>
      <c r="O2293">
        <v>0</v>
      </c>
      <c r="P2293">
        <v>15</v>
      </c>
      <c r="Q2293" t="s">
        <v>264</v>
      </c>
      <c r="R2293" t="s">
        <v>201</v>
      </c>
      <c r="S2293">
        <v>0</v>
      </c>
      <c r="T2293">
        <v>0</v>
      </c>
      <c r="U2293">
        <v>84824</v>
      </c>
      <c r="V2293">
        <v>84824</v>
      </c>
    </row>
    <row r="2294" spans="1:22">
      <c r="A2294" t="s">
        <v>196</v>
      </c>
      <c r="B2294">
        <v>57</v>
      </c>
      <c r="C2294" t="s">
        <v>31</v>
      </c>
      <c r="D2294">
        <v>100</v>
      </c>
      <c r="E2294" t="s">
        <v>197</v>
      </c>
      <c r="F2294">
        <v>1005</v>
      </c>
      <c r="G2294" t="s">
        <v>31</v>
      </c>
      <c r="H2294">
        <v>2005</v>
      </c>
      <c r="I2294" t="s">
        <v>31</v>
      </c>
      <c r="J2294">
        <v>3427</v>
      </c>
      <c r="K2294" t="s">
        <v>1318</v>
      </c>
      <c r="L2294">
        <v>4042</v>
      </c>
      <c r="M2294" t="s">
        <v>1327</v>
      </c>
      <c r="N2294" t="s">
        <v>1302</v>
      </c>
      <c r="O2294">
        <v>71</v>
      </c>
      <c r="P2294">
        <v>9171</v>
      </c>
      <c r="Q2294" t="s">
        <v>1303</v>
      </c>
      <c r="R2294" t="s">
        <v>201</v>
      </c>
      <c r="S2294">
        <v>1</v>
      </c>
      <c r="T2294">
        <v>1</v>
      </c>
      <c r="U2294">
        <v>156564</v>
      </c>
      <c r="V2294">
        <v>156564</v>
      </c>
    </row>
    <row r="2295" spans="1:22">
      <c r="A2295" t="s">
        <v>196</v>
      </c>
      <c r="B2295">
        <v>57</v>
      </c>
      <c r="C2295" t="s">
        <v>31</v>
      </c>
      <c r="D2295">
        <v>100</v>
      </c>
      <c r="E2295" t="s">
        <v>197</v>
      </c>
      <c r="F2295">
        <v>1005</v>
      </c>
      <c r="G2295" t="s">
        <v>31</v>
      </c>
      <c r="H2295">
        <v>2005</v>
      </c>
      <c r="I2295" t="s">
        <v>31</v>
      </c>
      <c r="J2295">
        <v>3427</v>
      </c>
      <c r="K2295" t="s">
        <v>1318</v>
      </c>
      <c r="L2295">
        <v>4042</v>
      </c>
      <c r="M2295" t="s">
        <v>1327</v>
      </c>
      <c r="N2295" t="s">
        <v>360</v>
      </c>
      <c r="O2295">
        <v>1</v>
      </c>
      <c r="P2295">
        <v>3130</v>
      </c>
      <c r="Q2295" t="s">
        <v>1185</v>
      </c>
      <c r="R2295" t="s">
        <v>201</v>
      </c>
      <c r="S2295">
        <v>1</v>
      </c>
      <c r="T2295">
        <v>1</v>
      </c>
      <c r="U2295">
        <v>98928</v>
      </c>
      <c r="V2295">
        <v>98928</v>
      </c>
    </row>
    <row r="2296" spans="1:22">
      <c r="A2296" t="s">
        <v>196</v>
      </c>
      <c r="B2296">
        <v>57</v>
      </c>
      <c r="C2296" t="s">
        <v>31</v>
      </c>
      <c r="D2296">
        <v>100</v>
      </c>
      <c r="E2296" t="s">
        <v>197</v>
      </c>
      <c r="F2296">
        <v>1005</v>
      </c>
      <c r="G2296" t="s">
        <v>31</v>
      </c>
      <c r="H2296">
        <v>2005</v>
      </c>
      <c r="I2296" t="s">
        <v>31</v>
      </c>
      <c r="J2296">
        <v>3427</v>
      </c>
      <c r="K2296" t="s">
        <v>1318</v>
      </c>
      <c r="L2296">
        <v>4042</v>
      </c>
      <c r="M2296" t="s">
        <v>1327</v>
      </c>
      <c r="N2296" t="s">
        <v>360</v>
      </c>
      <c r="O2296">
        <v>1</v>
      </c>
      <c r="P2296">
        <v>3130</v>
      </c>
      <c r="Q2296" t="s">
        <v>1185</v>
      </c>
      <c r="R2296" t="s">
        <v>201</v>
      </c>
      <c r="S2296">
        <v>1</v>
      </c>
      <c r="T2296">
        <v>1</v>
      </c>
      <c r="U2296">
        <v>67608</v>
      </c>
      <c r="V2296">
        <v>67608</v>
      </c>
    </row>
    <row r="2297" spans="1:22">
      <c r="A2297" t="s">
        <v>196</v>
      </c>
      <c r="B2297">
        <v>57</v>
      </c>
      <c r="C2297" t="s">
        <v>31</v>
      </c>
      <c r="D2297">
        <v>100</v>
      </c>
      <c r="E2297" t="s">
        <v>197</v>
      </c>
      <c r="F2297">
        <v>1005</v>
      </c>
      <c r="G2297" t="s">
        <v>31</v>
      </c>
      <c r="H2297">
        <v>2005</v>
      </c>
      <c r="I2297" t="s">
        <v>31</v>
      </c>
      <c r="J2297">
        <v>3427</v>
      </c>
      <c r="K2297" t="s">
        <v>1318</v>
      </c>
      <c r="L2297">
        <v>4042</v>
      </c>
      <c r="M2297" t="s">
        <v>1327</v>
      </c>
      <c r="N2297" t="s">
        <v>360</v>
      </c>
      <c r="O2297">
        <v>1</v>
      </c>
      <c r="P2297">
        <v>3130</v>
      </c>
      <c r="Q2297" t="s">
        <v>1185</v>
      </c>
      <c r="R2297" t="s">
        <v>201</v>
      </c>
      <c r="S2297">
        <v>2</v>
      </c>
      <c r="T2297">
        <v>1</v>
      </c>
      <c r="U2297">
        <v>64488</v>
      </c>
      <c r="V2297">
        <v>128976</v>
      </c>
    </row>
    <row r="2298" spans="1:22">
      <c r="A2298" t="s">
        <v>196</v>
      </c>
      <c r="B2298">
        <v>57</v>
      </c>
      <c r="C2298" t="s">
        <v>31</v>
      </c>
      <c r="D2298">
        <v>100</v>
      </c>
      <c r="E2298" t="s">
        <v>197</v>
      </c>
      <c r="F2298">
        <v>1005</v>
      </c>
      <c r="G2298" t="s">
        <v>31</v>
      </c>
      <c r="H2298">
        <v>2005</v>
      </c>
      <c r="I2298" t="s">
        <v>31</v>
      </c>
      <c r="J2298">
        <v>3427</v>
      </c>
      <c r="K2298" t="s">
        <v>1318</v>
      </c>
      <c r="L2298">
        <v>4042</v>
      </c>
      <c r="M2298" t="s">
        <v>1327</v>
      </c>
      <c r="N2298" t="s">
        <v>199</v>
      </c>
      <c r="O2298">
        <v>0</v>
      </c>
      <c r="P2298">
        <v>15</v>
      </c>
      <c r="Q2298" t="s">
        <v>264</v>
      </c>
      <c r="R2298" t="s">
        <v>201</v>
      </c>
      <c r="S2298">
        <v>0</v>
      </c>
      <c r="T2298">
        <v>0</v>
      </c>
      <c r="U2298">
        <v>1901</v>
      </c>
      <c r="V2298">
        <v>1901</v>
      </c>
    </row>
    <row r="2299" spans="1:22">
      <c r="A2299" t="s">
        <v>196</v>
      </c>
      <c r="B2299">
        <v>57</v>
      </c>
      <c r="C2299" t="s">
        <v>31</v>
      </c>
      <c r="D2299">
        <v>100</v>
      </c>
      <c r="E2299" t="s">
        <v>197</v>
      </c>
      <c r="F2299">
        <v>1005</v>
      </c>
      <c r="G2299" t="s">
        <v>31</v>
      </c>
      <c r="H2299">
        <v>2005</v>
      </c>
      <c r="I2299" t="s">
        <v>31</v>
      </c>
      <c r="J2299">
        <v>3427</v>
      </c>
      <c r="K2299" t="s">
        <v>1318</v>
      </c>
      <c r="L2299">
        <v>4043</v>
      </c>
      <c r="M2299" t="s">
        <v>1328</v>
      </c>
      <c r="N2299" t="s">
        <v>1302</v>
      </c>
      <c r="O2299">
        <v>71</v>
      </c>
      <c r="P2299">
        <v>9171</v>
      </c>
      <c r="Q2299" t="s">
        <v>1303</v>
      </c>
      <c r="R2299" t="s">
        <v>201</v>
      </c>
      <c r="S2299">
        <v>1</v>
      </c>
      <c r="T2299">
        <v>1</v>
      </c>
      <c r="U2299">
        <v>142668</v>
      </c>
      <c r="V2299">
        <v>142668</v>
      </c>
    </row>
    <row r="2300" spans="1:22">
      <c r="A2300" t="s">
        <v>196</v>
      </c>
      <c r="B2300">
        <v>57</v>
      </c>
      <c r="C2300" t="s">
        <v>31</v>
      </c>
      <c r="D2300">
        <v>100</v>
      </c>
      <c r="E2300" t="s">
        <v>197</v>
      </c>
      <c r="F2300">
        <v>1005</v>
      </c>
      <c r="G2300" t="s">
        <v>31</v>
      </c>
      <c r="H2300">
        <v>2005</v>
      </c>
      <c r="I2300" t="s">
        <v>31</v>
      </c>
      <c r="J2300">
        <v>3427</v>
      </c>
      <c r="K2300" t="s">
        <v>1318</v>
      </c>
      <c r="L2300">
        <v>4043</v>
      </c>
      <c r="M2300" t="s">
        <v>1328</v>
      </c>
      <c r="N2300" t="s">
        <v>1302</v>
      </c>
      <c r="O2300">
        <v>71</v>
      </c>
      <c r="P2300">
        <v>9171</v>
      </c>
      <c r="Q2300" t="s">
        <v>1303</v>
      </c>
      <c r="R2300" t="s">
        <v>201</v>
      </c>
      <c r="S2300">
        <v>1</v>
      </c>
      <c r="T2300">
        <v>1</v>
      </c>
      <c r="U2300">
        <v>138318</v>
      </c>
      <c r="V2300">
        <v>138318</v>
      </c>
    </row>
    <row r="2301" spans="1:22">
      <c r="A2301" t="s">
        <v>196</v>
      </c>
      <c r="B2301">
        <v>57</v>
      </c>
      <c r="C2301" t="s">
        <v>31</v>
      </c>
      <c r="D2301">
        <v>100</v>
      </c>
      <c r="E2301" t="s">
        <v>197</v>
      </c>
      <c r="F2301">
        <v>1005</v>
      </c>
      <c r="G2301" t="s">
        <v>31</v>
      </c>
      <c r="H2301">
        <v>2005</v>
      </c>
      <c r="I2301" t="s">
        <v>31</v>
      </c>
      <c r="J2301">
        <v>3427</v>
      </c>
      <c r="K2301" t="s">
        <v>1318</v>
      </c>
      <c r="L2301">
        <v>4043</v>
      </c>
      <c r="M2301" t="s">
        <v>1328</v>
      </c>
      <c r="N2301" t="s">
        <v>1309</v>
      </c>
      <c r="O2301">
        <v>91</v>
      </c>
      <c r="P2301">
        <v>9161</v>
      </c>
      <c r="Q2301" t="s">
        <v>1310</v>
      </c>
      <c r="R2301" t="s">
        <v>201</v>
      </c>
      <c r="S2301">
        <v>1</v>
      </c>
      <c r="T2301">
        <v>1</v>
      </c>
      <c r="U2301">
        <v>127146</v>
      </c>
      <c r="V2301">
        <v>127146</v>
      </c>
    </row>
    <row r="2302" spans="1:22">
      <c r="A2302" t="s">
        <v>196</v>
      </c>
      <c r="B2302">
        <v>57</v>
      </c>
      <c r="C2302" t="s">
        <v>31</v>
      </c>
      <c r="D2302">
        <v>100</v>
      </c>
      <c r="E2302" t="s">
        <v>197</v>
      </c>
      <c r="F2302">
        <v>1005</v>
      </c>
      <c r="G2302" t="s">
        <v>31</v>
      </c>
      <c r="H2302">
        <v>2005</v>
      </c>
      <c r="I2302" t="s">
        <v>31</v>
      </c>
      <c r="J2302">
        <v>3427</v>
      </c>
      <c r="K2302" t="s">
        <v>1318</v>
      </c>
      <c r="L2302">
        <v>4043</v>
      </c>
      <c r="M2302" t="s">
        <v>1328</v>
      </c>
      <c r="N2302" t="s">
        <v>1309</v>
      </c>
      <c r="O2302">
        <v>91</v>
      </c>
      <c r="P2302">
        <v>9161</v>
      </c>
      <c r="Q2302" t="s">
        <v>1310</v>
      </c>
      <c r="R2302" t="s">
        <v>201</v>
      </c>
      <c r="S2302">
        <v>2</v>
      </c>
      <c r="T2302">
        <v>1</v>
      </c>
      <c r="U2302">
        <v>119154</v>
      </c>
      <c r="V2302">
        <v>238308</v>
      </c>
    </row>
    <row r="2303" spans="1:22">
      <c r="A2303" t="s">
        <v>196</v>
      </c>
      <c r="B2303">
        <v>57</v>
      </c>
      <c r="C2303" t="s">
        <v>31</v>
      </c>
      <c r="D2303">
        <v>100</v>
      </c>
      <c r="E2303" t="s">
        <v>197</v>
      </c>
      <c r="F2303">
        <v>1005</v>
      </c>
      <c r="G2303" t="s">
        <v>31</v>
      </c>
      <c r="H2303">
        <v>2005</v>
      </c>
      <c r="I2303" t="s">
        <v>31</v>
      </c>
      <c r="J2303">
        <v>3427</v>
      </c>
      <c r="K2303" t="s">
        <v>1318</v>
      </c>
      <c r="L2303">
        <v>4043</v>
      </c>
      <c r="M2303" t="s">
        <v>1328</v>
      </c>
      <c r="N2303" t="s">
        <v>1309</v>
      </c>
      <c r="O2303">
        <v>91</v>
      </c>
      <c r="P2303">
        <v>9161</v>
      </c>
      <c r="Q2303" t="s">
        <v>1310</v>
      </c>
      <c r="R2303" t="s">
        <v>201</v>
      </c>
      <c r="S2303">
        <v>1</v>
      </c>
      <c r="T2303">
        <v>1</v>
      </c>
      <c r="U2303">
        <v>115158</v>
      </c>
      <c r="V2303">
        <v>115158</v>
      </c>
    </row>
    <row r="2304" spans="1:22">
      <c r="A2304" t="s">
        <v>196</v>
      </c>
      <c r="B2304">
        <v>57</v>
      </c>
      <c r="C2304" t="s">
        <v>31</v>
      </c>
      <c r="D2304">
        <v>100</v>
      </c>
      <c r="E2304" t="s">
        <v>197</v>
      </c>
      <c r="F2304">
        <v>1005</v>
      </c>
      <c r="G2304" t="s">
        <v>31</v>
      </c>
      <c r="H2304">
        <v>2005</v>
      </c>
      <c r="I2304" t="s">
        <v>31</v>
      </c>
      <c r="J2304">
        <v>3427</v>
      </c>
      <c r="K2304" t="s">
        <v>1318</v>
      </c>
      <c r="L2304">
        <v>4043</v>
      </c>
      <c r="M2304" t="s">
        <v>1328</v>
      </c>
      <c r="N2304" t="s">
        <v>1309</v>
      </c>
      <c r="O2304">
        <v>91</v>
      </c>
      <c r="P2304">
        <v>9161</v>
      </c>
      <c r="Q2304" t="s">
        <v>1310</v>
      </c>
      <c r="R2304" t="s">
        <v>201</v>
      </c>
      <c r="S2304">
        <v>10</v>
      </c>
      <c r="T2304">
        <v>1</v>
      </c>
      <c r="U2304">
        <v>111252</v>
      </c>
      <c r="V2304">
        <v>1112520</v>
      </c>
    </row>
    <row r="2305" spans="1:22">
      <c r="A2305" t="s">
        <v>196</v>
      </c>
      <c r="B2305">
        <v>57</v>
      </c>
      <c r="C2305" t="s">
        <v>31</v>
      </c>
      <c r="D2305">
        <v>100</v>
      </c>
      <c r="E2305" t="s">
        <v>197</v>
      </c>
      <c r="F2305">
        <v>1005</v>
      </c>
      <c r="G2305" t="s">
        <v>31</v>
      </c>
      <c r="H2305">
        <v>2005</v>
      </c>
      <c r="I2305" t="s">
        <v>31</v>
      </c>
      <c r="J2305">
        <v>3427</v>
      </c>
      <c r="K2305" t="s">
        <v>1318</v>
      </c>
      <c r="L2305">
        <v>4043</v>
      </c>
      <c r="M2305" t="s">
        <v>1328</v>
      </c>
      <c r="N2305" t="s">
        <v>1309</v>
      </c>
      <c r="O2305">
        <v>91</v>
      </c>
      <c r="P2305">
        <v>9161</v>
      </c>
      <c r="Q2305" t="s">
        <v>1310</v>
      </c>
      <c r="R2305" t="s">
        <v>201</v>
      </c>
      <c r="S2305">
        <v>5</v>
      </c>
      <c r="T2305">
        <v>1</v>
      </c>
      <c r="U2305">
        <v>63636</v>
      </c>
      <c r="V2305">
        <v>318180</v>
      </c>
    </row>
    <row r="2306" spans="1:22">
      <c r="A2306" t="s">
        <v>196</v>
      </c>
      <c r="B2306">
        <v>57</v>
      </c>
      <c r="C2306" t="s">
        <v>31</v>
      </c>
      <c r="D2306">
        <v>100</v>
      </c>
      <c r="E2306" t="s">
        <v>197</v>
      </c>
      <c r="F2306">
        <v>1005</v>
      </c>
      <c r="G2306" t="s">
        <v>31</v>
      </c>
      <c r="H2306">
        <v>2005</v>
      </c>
      <c r="I2306" t="s">
        <v>31</v>
      </c>
      <c r="J2306">
        <v>3429</v>
      </c>
      <c r="K2306" t="s">
        <v>1329</v>
      </c>
      <c r="L2306">
        <v>0</v>
      </c>
      <c r="N2306" t="s">
        <v>199</v>
      </c>
      <c r="O2306">
        <v>99</v>
      </c>
      <c r="P2306">
        <v>9796</v>
      </c>
      <c r="Q2306" t="s">
        <v>1319</v>
      </c>
      <c r="R2306" t="s">
        <v>201</v>
      </c>
      <c r="S2306">
        <v>1</v>
      </c>
      <c r="T2306">
        <v>1</v>
      </c>
      <c r="U2306">
        <v>201048</v>
      </c>
      <c r="V2306">
        <v>201048</v>
      </c>
    </row>
    <row r="2307" spans="1:22">
      <c r="A2307" t="s">
        <v>196</v>
      </c>
      <c r="B2307">
        <v>57</v>
      </c>
      <c r="C2307" t="s">
        <v>31</v>
      </c>
      <c r="D2307">
        <v>100</v>
      </c>
      <c r="E2307" t="s">
        <v>197</v>
      </c>
      <c r="F2307">
        <v>1005</v>
      </c>
      <c r="G2307" t="s">
        <v>31</v>
      </c>
      <c r="H2307">
        <v>2005</v>
      </c>
      <c r="I2307" t="s">
        <v>31</v>
      </c>
      <c r="J2307">
        <v>3429</v>
      </c>
      <c r="K2307" t="s">
        <v>1329</v>
      </c>
      <c r="L2307">
        <v>0</v>
      </c>
      <c r="N2307" t="s">
        <v>1294</v>
      </c>
      <c r="O2307">
        <v>9</v>
      </c>
      <c r="P2307">
        <v>9675</v>
      </c>
      <c r="Q2307" t="s">
        <v>327</v>
      </c>
      <c r="R2307" t="s">
        <v>201</v>
      </c>
      <c r="S2307">
        <v>1</v>
      </c>
      <c r="T2307">
        <v>1</v>
      </c>
      <c r="U2307">
        <v>172920</v>
      </c>
      <c r="V2307">
        <v>172920</v>
      </c>
    </row>
    <row r="2308" spans="1:22">
      <c r="A2308" t="s">
        <v>196</v>
      </c>
      <c r="B2308">
        <v>57</v>
      </c>
      <c r="C2308" t="s">
        <v>31</v>
      </c>
      <c r="D2308">
        <v>100</v>
      </c>
      <c r="E2308" t="s">
        <v>197</v>
      </c>
      <c r="F2308">
        <v>1005</v>
      </c>
      <c r="G2308" t="s">
        <v>31</v>
      </c>
      <c r="H2308">
        <v>2005</v>
      </c>
      <c r="I2308" t="s">
        <v>31</v>
      </c>
      <c r="J2308">
        <v>3429</v>
      </c>
      <c r="K2308" t="s">
        <v>1329</v>
      </c>
      <c r="L2308">
        <v>0</v>
      </c>
      <c r="N2308" t="s">
        <v>1330</v>
      </c>
      <c r="O2308">
        <v>75</v>
      </c>
      <c r="P2308">
        <v>9175</v>
      </c>
      <c r="Q2308" t="s">
        <v>1331</v>
      </c>
      <c r="R2308" t="s">
        <v>201</v>
      </c>
      <c r="S2308">
        <v>1</v>
      </c>
      <c r="T2308">
        <v>1</v>
      </c>
      <c r="U2308">
        <v>188352</v>
      </c>
      <c r="V2308">
        <v>188352</v>
      </c>
    </row>
    <row r="2309" spans="1:22">
      <c r="A2309" t="s">
        <v>196</v>
      </c>
      <c r="B2309">
        <v>57</v>
      </c>
      <c r="C2309" t="s">
        <v>31</v>
      </c>
      <c r="D2309">
        <v>100</v>
      </c>
      <c r="E2309" t="s">
        <v>197</v>
      </c>
      <c r="F2309">
        <v>1005</v>
      </c>
      <c r="G2309" t="s">
        <v>31</v>
      </c>
      <c r="H2309">
        <v>2005</v>
      </c>
      <c r="I2309" t="s">
        <v>31</v>
      </c>
      <c r="J2309">
        <v>3429</v>
      </c>
      <c r="K2309" t="s">
        <v>1329</v>
      </c>
      <c r="L2309">
        <v>0</v>
      </c>
      <c r="N2309" t="s">
        <v>1304</v>
      </c>
      <c r="O2309">
        <v>73</v>
      </c>
      <c r="P2309">
        <v>9173</v>
      </c>
      <c r="Q2309" t="s">
        <v>1323</v>
      </c>
      <c r="R2309" t="s">
        <v>201</v>
      </c>
      <c r="S2309">
        <v>1</v>
      </c>
      <c r="T2309">
        <v>1</v>
      </c>
      <c r="U2309">
        <v>170700</v>
      </c>
      <c r="V2309">
        <v>170700</v>
      </c>
    </row>
    <row r="2310" spans="1:22">
      <c r="A2310" t="s">
        <v>196</v>
      </c>
      <c r="B2310">
        <v>57</v>
      </c>
      <c r="C2310" t="s">
        <v>31</v>
      </c>
      <c r="D2310">
        <v>100</v>
      </c>
      <c r="E2310" t="s">
        <v>197</v>
      </c>
      <c r="F2310">
        <v>1005</v>
      </c>
      <c r="G2310" t="s">
        <v>31</v>
      </c>
      <c r="H2310">
        <v>2005</v>
      </c>
      <c r="I2310" t="s">
        <v>31</v>
      </c>
      <c r="J2310">
        <v>3429</v>
      </c>
      <c r="K2310" t="s">
        <v>1329</v>
      </c>
      <c r="L2310">
        <v>0</v>
      </c>
      <c r="N2310" t="s">
        <v>1302</v>
      </c>
      <c r="O2310">
        <v>71</v>
      </c>
      <c r="P2310">
        <v>9171</v>
      </c>
      <c r="Q2310" t="s">
        <v>1303</v>
      </c>
      <c r="R2310" t="s">
        <v>201</v>
      </c>
      <c r="S2310">
        <v>1</v>
      </c>
      <c r="T2310">
        <v>1</v>
      </c>
      <c r="U2310">
        <v>147252</v>
      </c>
      <c r="V2310">
        <v>147252</v>
      </c>
    </row>
    <row r="2311" spans="1:22">
      <c r="A2311" t="s">
        <v>196</v>
      </c>
      <c r="B2311">
        <v>57</v>
      </c>
      <c r="C2311" t="s">
        <v>31</v>
      </c>
      <c r="D2311">
        <v>100</v>
      </c>
      <c r="E2311" t="s">
        <v>197</v>
      </c>
      <c r="F2311">
        <v>1005</v>
      </c>
      <c r="G2311" t="s">
        <v>31</v>
      </c>
      <c r="H2311">
        <v>2005</v>
      </c>
      <c r="I2311" t="s">
        <v>31</v>
      </c>
      <c r="J2311">
        <v>3429</v>
      </c>
      <c r="K2311" t="s">
        <v>1329</v>
      </c>
      <c r="L2311">
        <v>0</v>
      </c>
      <c r="N2311" t="s">
        <v>1309</v>
      </c>
      <c r="O2311">
        <v>91</v>
      </c>
      <c r="P2311">
        <v>9161</v>
      </c>
      <c r="Q2311" t="s">
        <v>1310</v>
      </c>
      <c r="R2311" t="s">
        <v>201</v>
      </c>
      <c r="S2311">
        <v>1</v>
      </c>
      <c r="T2311">
        <v>1</v>
      </c>
      <c r="U2311">
        <v>127146</v>
      </c>
      <c r="V2311">
        <v>127146</v>
      </c>
    </row>
    <row r="2312" spans="1:22">
      <c r="A2312" t="s">
        <v>196</v>
      </c>
      <c r="B2312">
        <v>57</v>
      </c>
      <c r="C2312" t="s">
        <v>31</v>
      </c>
      <c r="D2312">
        <v>100</v>
      </c>
      <c r="E2312" t="s">
        <v>197</v>
      </c>
      <c r="F2312">
        <v>1005</v>
      </c>
      <c r="G2312" t="s">
        <v>31</v>
      </c>
      <c r="H2312">
        <v>2005</v>
      </c>
      <c r="I2312" t="s">
        <v>31</v>
      </c>
      <c r="J2312">
        <v>3429</v>
      </c>
      <c r="K2312" t="s">
        <v>1329</v>
      </c>
      <c r="L2312">
        <v>0</v>
      </c>
      <c r="N2312" t="s">
        <v>1309</v>
      </c>
      <c r="O2312">
        <v>91</v>
      </c>
      <c r="P2312">
        <v>9161</v>
      </c>
      <c r="Q2312" t="s">
        <v>1310</v>
      </c>
      <c r="R2312" t="s">
        <v>201</v>
      </c>
      <c r="S2312">
        <v>2</v>
      </c>
      <c r="T2312">
        <v>1</v>
      </c>
      <c r="U2312">
        <v>111252</v>
      </c>
      <c r="V2312">
        <v>222504</v>
      </c>
    </row>
    <row r="2313" spans="1:22">
      <c r="A2313" t="s">
        <v>196</v>
      </c>
      <c r="B2313">
        <v>57</v>
      </c>
      <c r="C2313" t="s">
        <v>31</v>
      </c>
      <c r="D2313">
        <v>100</v>
      </c>
      <c r="E2313" t="s">
        <v>197</v>
      </c>
      <c r="F2313">
        <v>1005</v>
      </c>
      <c r="G2313" t="s">
        <v>31</v>
      </c>
      <c r="H2313">
        <v>2005</v>
      </c>
      <c r="I2313" t="s">
        <v>31</v>
      </c>
      <c r="J2313">
        <v>3429</v>
      </c>
      <c r="K2313" t="s">
        <v>1329</v>
      </c>
      <c r="L2313">
        <v>0</v>
      </c>
      <c r="N2313" t="s">
        <v>1294</v>
      </c>
      <c r="O2313">
        <v>9</v>
      </c>
      <c r="P2313">
        <v>9102</v>
      </c>
      <c r="Q2313" t="s">
        <v>1332</v>
      </c>
      <c r="R2313" t="s">
        <v>201</v>
      </c>
      <c r="S2313">
        <v>1</v>
      </c>
      <c r="T2313">
        <v>1</v>
      </c>
      <c r="U2313">
        <v>199284</v>
      </c>
      <c r="V2313">
        <v>199284</v>
      </c>
    </row>
    <row r="2314" spans="1:22">
      <c r="A2314" t="s">
        <v>196</v>
      </c>
      <c r="B2314">
        <v>57</v>
      </c>
      <c r="C2314" t="s">
        <v>31</v>
      </c>
      <c r="D2314">
        <v>100</v>
      </c>
      <c r="E2314" t="s">
        <v>197</v>
      </c>
      <c r="F2314">
        <v>1005</v>
      </c>
      <c r="G2314" t="s">
        <v>31</v>
      </c>
      <c r="H2314">
        <v>2005</v>
      </c>
      <c r="I2314" t="s">
        <v>31</v>
      </c>
      <c r="J2314">
        <v>3429</v>
      </c>
      <c r="K2314" t="s">
        <v>1329</v>
      </c>
      <c r="L2314">
        <v>0</v>
      </c>
      <c r="N2314" t="s">
        <v>351</v>
      </c>
      <c r="O2314">
        <v>3</v>
      </c>
      <c r="P2314">
        <v>9101</v>
      </c>
      <c r="Q2314" t="s">
        <v>1333</v>
      </c>
      <c r="R2314" t="s">
        <v>201</v>
      </c>
      <c r="S2314">
        <v>8</v>
      </c>
      <c r="T2314">
        <v>1</v>
      </c>
      <c r="U2314">
        <v>108576</v>
      </c>
      <c r="V2314">
        <v>868608</v>
      </c>
    </row>
    <row r="2315" spans="1:22">
      <c r="A2315" t="s">
        <v>196</v>
      </c>
      <c r="B2315">
        <v>57</v>
      </c>
      <c r="C2315" t="s">
        <v>31</v>
      </c>
      <c r="D2315">
        <v>100</v>
      </c>
      <c r="E2315" t="s">
        <v>197</v>
      </c>
      <c r="F2315">
        <v>1005</v>
      </c>
      <c r="G2315" t="s">
        <v>31</v>
      </c>
      <c r="H2315">
        <v>2005</v>
      </c>
      <c r="I2315" t="s">
        <v>31</v>
      </c>
      <c r="J2315">
        <v>3429</v>
      </c>
      <c r="K2315" t="s">
        <v>1329</v>
      </c>
      <c r="L2315">
        <v>0</v>
      </c>
      <c r="N2315" t="s">
        <v>351</v>
      </c>
      <c r="O2315">
        <v>3</v>
      </c>
      <c r="P2315">
        <v>9101</v>
      </c>
      <c r="Q2315" t="s">
        <v>1333</v>
      </c>
      <c r="R2315" t="s">
        <v>201</v>
      </c>
      <c r="S2315">
        <v>1</v>
      </c>
      <c r="T2315">
        <v>1</v>
      </c>
      <c r="U2315">
        <v>86112</v>
      </c>
      <c r="V2315">
        <v>86112</v>
      </c>
    </row>
    <row r="2316" spans="1:22">
      <c r="A2316" t="s">
        <v>196</v>
      </c>
      <c r="B2316">
        <v>57</v>
      </c>
      <c r="C2316" t="s">
        <v>31</v>
      </c>
      <c r="D2316">
        <v>100</v>
      </c>
      <c r="E2316" t="s">
        <v>197</v>
      </c>
      <c r="F2316">
        <v>1005</v>
      </c>
      <c r="G2316" t="s">
        <v>31</v>
      </c>
      <c r="H2316">
        <v>2005</v>
      </c>
      <c r="I2316" t="s">
        <v>31</v>
      </c>
      <c r="J2316">
        <v>3429</v>
      </c>
      <c r="K2316" t="s">
        <v>1329</v>
      </c>
      <c r="L2316">
        <v>0</v>
      </c>
      <c r="N2316" t="s">
        <v>351</v>
      </c>
      <c r="O2316">
        <v>3</v>
      </c>
      <c r="P2316">
        <v>9101</v>
      </c>
      <c r="Q2316" t="s">
        <v>1333</v>
      </c>
      <c r="R2316" t="s">
        <v>201</v>
      </c>
      <c r="S2316">
        <v>1</v>
      </c>
      <c r="T2316">
        <v>1</v>
      </c>
      <c r="U2316">
        <v>77640</v>
      </c>
      <c r="V2316">
        <v>77640</v>
      </c>
    </row>
    <row r="2317" spans="1:22">
      <c r="A2317" t="s">
        <v>196</v>
      </c>
      <c r="B2317">
        <v>57</v>
      </c>
      <c r="C2317" t="s">
        <v>31</v>
      </c>
      <c r="D2317">
        <v>100</v>
      </c>
      <c r="E2317" t="s">
        <v>197</v>
      </c>
      <c r="F2317">
        <v>1005</v>
      </c>
      <c r="G2317" t="s">
        <v>31</v>
      </c>
      <c r="H2317">
        <v>2005</v>
      </c>
      <c r="I2317" t="s">
        <v>31</v>
      </c>
      <c r="J2317">
        <v>3429</v>
      </c>
      <c r="K2317" t="s">
        <v>1329</v>
      </c>
      <c r="L2317">
        <v>0</v>
      </c>
      <c r="N2317" t="s">
        <v>351</v>
      </c>
      <c r="O2317">
        <v>3</v>
      </c>
      <c r="P2317">
        <v>9101</v>
      </c>
      <c r="Q2317" t="s">
        <v>1333</v>
      </c>
      <c r="R2317" t="s">
        <v>201</v>
      </c>
      <c r="S2317">
        <v>3</v>
      </c>
      <c r="T2317">
        <v>1</v>
      </c>
      <c r="U2317">
        <v>74172</v>
      </c>
      <c r="V2317">
        <v>222516</v>
      </c>
    </row>
    <row r="2318" spans="1:22">
      <c r="A2318" t="s">
        <v>196</v>
      </c>
      <c r="B2318">
        <v>57</v>
      </c>
      <c r="C2318" t="s">
        <v>31</v>
      </c>
      <c r="D2318">
        <v>100</v>
      </c>
      <c r="E2318" t="s">
        <v>197</v>
      </c>
      <c r="F2318">
        <v>1005</v>
      </c>
      <c r="G2318" t="s">
        <v>31</v>
      </c>
      <c r="H2318">
        <v>2005</v>
      </c>
      <c r="I2318" t="s">
        <v>31</v>
      </c>
      <c r="J2318">
        <v>3429</v>
      </c>
      <c r="K2318" t="s">
        <v>1329</v>
      </c>
      <c r="L2318">
        <v>0</v>
      </c>
      <c r="N2318" t="s">
        <v>351</v>
      </c>
      <c r="O2318">
        <v>3</v>
      </c>
      <c r="P2318">
        <v>9101</v>
      </c>
      <c r="Q2318" t="s">
        <v>1333</v>
      </c>
      <c r="R2318" t="s">
        <v>201</v>
      </c>
      <c r="S2318">
        <v>3</v>
      </c>
      <c r="T2318">
        <v>1</v>
      </c>
      <c r="U2318">
        <v>70752</v>
      </c>
      <c r="V2318">
        <v>212256</v>
      </c>
    </row>
    <row r="2319" spans="1:22">
      <c r="A2319" t="s">
        <v>196</v>
      </c>
      <c r="B2319">
        <v>57</v>
      </c>
      <c r="C2319" t="s">
        <v>31</v>
      </c>
      <c r="D2319">
        <v>100</v>
      </c>
      <c r="E2319" t="s">
        <v>197</v>
      </c>
      <c r="F2319">
        <v>1005</v>
      </c>
      <c r="G2319" t="s">
        <v>31</v>
      </c>
      <c r="H2319">
        <v>2005</v>
      </c>
      <c r="I2319" t="s">
        <v>31</v>
      </c>
      <c r="J2319">
        <v>3429</v>
      </c>
      <c r="K2319" t="s">
        <v>1329</v>
      </c>
      <c r="L2319">
        <v>0</v>
      </c>
      <c r="N2319" t="s">
        <v>351</v>
      </c>
      <c r="O2319">
        <v>3</v>
      </c>
      <c r="P2319">
        <v>9101</v>
      </c>
      <c r="Q2319" t="s">
        <v>1333</v>
      </c>
      <c r="R2319" t="s">
        <v>201</v>
      </c>
      <c r="S2319">
        <v>2</v>
      </c>
      <c r="T2319">
        <v>1</v>
      </c>
      <c r="U2319">
        <v>67608</v>
      </c>
      <c r="V2319">
        <v>135216</v>
      </c>
    </row>
    <row r="2320" spans="1:22">
      <c r="A2320" t="s">
        <v>196</v>
      </c>
      <c r="B2320">
        <v>57</v>
      </c>
      <c r="C2320" t="s">
        <v>31</v>
      </c>
      <c r="D2320">
        <v>100</v>
      </c>
      <c r="E2320" t="s">
        <v>197</v>
      </c>
      <c r="F2320">
        <v>1005</v>
      </c>
      <c r="G2320" t="s">
        <v>31</v>
      </c>
      <c r="H2320">
        <v>2005</v>
      </c>
      <c r="I2320" t="s">
        <v>31</v>
      </c>
      <c r="J2320">
        <v>3429</v>
      </c>
      <c r="K2320" t="s">
        <v>1329</v>
      </c>
      <c r="L2320">
        <v>0</v>
      </c>
      <c r="N2320" t="s">
        <v>351</v>
      </c>
      <c r="O2320">
        <v>3</v>
      </c>
      <c r="P2320">
        <v>9101</v>
      </c>
      <c r="Q2320" t="s">
        <v>1333</v>
      </c>
      <c r="R2320" t="s">
        <v>201</v>
      </c>
      <c r="S2320">
        <v>1</v>
      </c>
      <c r="T2320">
        <v>1</v>
      </c>
      <c r="U2320">
        <v>64488</v>
      </c>
      <c r="V2320">
        <v>64488</v>
      </c>
    </row>
    <row r="2321" spans="1:22">
      <c r="A2321" t="s">
        <v>196</v>
      </c>
      <c r="B2321">
        <v>57</v>
      </c>
      <c r="C2321" t="s">
        <v>31</v>
      </c>
      <c r="D2321">
        <v>100</v>
      </c>
      <c r="E2321" t="s">
        <v>197</v>
      </c>
      <c r="F2321">
        <v>1005</v>
      </c>
      <c r="G2321" t="s">
        <v>31</v>
      </c>
      <c r="H2321">
        <v>2005</v>
      </c>
      <c r="I2321" t="s">
        <v>31</v>
      </c>
      <c r="J2321">
        <v>3429</v>
      </c>
      <c r="K2321" t="s">
        <v>1329</v>
      </c>
      <c r="L2321">
        <v>0</v>
      </c>
      <c r="N2321" t="s">
        <v>351</v>
      </c>
      <c r="O2321">
        <v>3</v>
      </c>
      <c r="P2321">
        <v>9101</v>
      </c>
      <c r="Q2321" t="s">
        <v>1333</v>
      </c>
      <c r="R2321" t="s">
        <v>201</v>
      </c>
      <c r="S2321">
        <v>20</v>
      </c>
      <c r="T2321">
        <v>1</v>
      </c>
      <c r="U2321">
        <v>62544</v>
      </c>
      <c r="V2321">
        <v>1250880</v>
      </c>
    </row>
    <row r="2322" spans="1:22">
      <c r="A2322" t="s">
        <v>196</v>
      </c>
      <c r="B2322">
        <v>57</v>
      </c>
      <c r="C2322" t="s">
        <v>31</v>
      </c>
      <c r="D2322">
        <v>100</v>
      </c>
      <c r="E2322" t="s">
        <v>197</v>
      </c>
      <c r="F2322">
        <v>1005</v>
      </c>
      <c r="G2322" t="s">
        <v>31</v>
      </c>
      <c r="H2322">
        <v>2005</v>
      </c>
      <c r="I2322" t="s">
        <v>31</v>
      </c>
      <c r="J2322">
        <v>3429</v>
      </c>
      <c r="K2322" t="s">
        <v>1329</v>
      </c>
      <c r="L2322">
        <v>0</v>
      </c>
      <c r="N2322" t="s">
        <v>255</v>
      </c>
      <c r="O2322">
        <v>1</v>
      </c>
      <c r="P2322">
        <v>3955</v>
      </c>
      <c r="Q2322" t="s">
        <v>1213</v>
      </c>
      <c r="R2322" t="s">
        <v>201</v>
      </c>
      <c r="S2322">
        <v>1</v>
      </c>
      <c r="T2322">
        <v>1</v>
      </c>
      <c r="U2322">
        <v>143400</v>
      </c>
      <c r="V2322">
        <v>143400</v>
      </c>
    </row>
    <row r="2323" spans="1:22">
      <c r="A2323" t="s">
        <v>196</v>
      </c>
      <c r="B2323">
        <v>57</v>
      </c>
      <c r="C2323" t="s">
        <v>31</v>
      </c>
      <c r="D2323">
        <v>100</v>
      </c>
      <c r="E2323" t="s">
        <v>197</v>
      </c>
      <c r="F2323">
        <v>1005</v>
      </c>
      <c r="G2323" t="s">
        <v>31</v>
      </c>
      <c r="H2323">
        <v>2005</v>
      </c>
      <c r="I2323" t="s">
        <v>31</v>
      </c>
      <c r="J2323">
        <v>3429</v>
      </c>
      <c r="K2323" t="s">
        <v>1329</v>
      </c>
      <c r="L2323">
        <v>0</v>
      </c>
      <c r="N2323" t="s">
        <v>255</v>
      </c>
      <c r="O2323">
        <v>1</v>
      </c>
      <c r="P2323">
        <v>3955</v>
      </c>
      <c r="Q2323" t="s">
        <v>1213</v>
      </c>
      <c r="R2323" t="s">
        <v>201</v>
      </c>
      <c r="S2323">
        <v>1</v>
      </c>
      <c r="T2323">
        <v>1</v>
      </c>
      <c r="U2323">
        <v>97956</v>
      </c>
      <c r="V2323">
        <v>97956</v>
      </c>
    </row>
    <row r="2324" spans="1:22">
      <c r="A2324" t="s">
        <v>196</v>
      </c>
      <c r="B2324">
        <v>57</v>
      </c>
      <c r="C2324" t="s">
        <v>31</v>
      </c>
      <c r="D2324">
        <v>100</v>
      </c>
      <c r="E2324" t="s">
        <v>197</v>
      </c>
      <c r="F2324">
        <v>1005</v>
      </c>
      <c r="G2324" t="s">
        <v>31</v>
      </c>
      <c r="H2324">
        <v>2005</v>
      </c>
      <c r="I2324" t="s">
        <v>31</v>
      </c>
      <c r="J2324">
        <v>3429</v>
      </c>
      <c r="K2324" t="s">
        <v>1329</v>
      </c>
      <c r="L2324">
        <v>0</v>
      </c>
      <c r="N2324" t="s">
        <v>255</v>
      </c>
      <c r="O2324">
        <v>1</v>
      </c>
      <c r="P2324">
        <v>3955</v>
      </c>
      <c r="Q2324" t="s">
        <v>1213</v>
      </c>
      <c r="R2324" t="s">
        <v>201</v>
      </c>
      <c r="S2324">
        <v>3</v>
      </c>
      <c r="T2324">
        <v>1</v>
      </c>
      <c r="U2324">
        <v>93504</v>
      </c>
      <c r="V2324">
        <v>280512</v>
      </c>
    </row>
    <row r="2325" spans="1:22">
      <c r="A2325" t="s">
        <v>196</v>
      </c>
      <c r="B2325">
        <v>57</v>
      </c>
      <c r="C2325" t="s">
        <v>31</v>
      </c>
      <c r="D2325">
        <v>100</v>
      </c>
      <c r="E2325" t="s">
        <v>197</v>
      </c>
      <c r="F2325">
        <v>1005</v>
      </c>
      <c r="G2325" t="s">
        <v>31</v>
      </c>
      <c r="H2325">
        <v>2005</v>
      </c>
      <c r="I2325" t="s">
        <v>31</v>
      </c>
      <c r="J2325">
        <v>3429</v>
      </c>
      <c r="K2325" t="s">
        <v>1329</v>
      </c>
      <c r="L2325">
        <v>0</v>
      </c>
      <c r="N2325" t="s">
        <v>255</v>
      </c>
      <c r="O2325">
        <v>1</v>
      </c>
      <c r="P2325">
        <v>3955</v>
      </c>
      <c r="Q2325" t="s">
        <v>1213</v>
      </c>
      <c r="R2325" t="s">
        <v>201</v>
      </c>
      <c r="S2325">
        <v>1</v>
      </c>
      <c r="T2325">
        <v>1</v>
      </c>
      <c r="U2325">
        <v>82644</v>
      </c>
      <c r="V2325">
        <v>82644</v>
      </c>
    </row>
    <row r="2326" spans="1:22">
      <c r="A2326" t="s">
        <v>196</v>
      </c>
      <c r="B2326">
        <v>57</v>
      </c>
      <c r="C2326" t="s">
        <v>31</v>
      </c>
      <c r="D2326">
        <v>100</v>
      </c>
      <c r="E2326" t="s">
        <v>197</v>
      </c>
      <c r="F2326">
        <v>1005</v>
      </c>
      <c r="G2326" t="s">
        <v>31</v>
      </c>
      <c r="H2326">
        <v>2005</v>
      </c>
      <c r="I2326" t="s">
        <v>31</v>
      </c>
      <c r="J2326">
        <v>3429</v>
      </c>
      <c r="K2326" t="s">
        <v>1329</v>
      </c>
      <c r="L2326">
        <v>0</v>
      </c>
      <c r="N2326" t="s">
        <v>372</v>
      </c>
      <c r="O2326">
        <v>3</v>
      </c>
      <c r="P2326">
        <v>3897</v>
      </c>
      <c r="Q2326" t="s">
        <v>1152</v>
      </c>
      <c r="R2326" t="s">
        <v>201</v>
      </c>
      <c r="S2326">
        <v>3</v>
      </c>
      <c r="T2326">
        <v>1</v>
      </c>
      <c r="U2326">
        <v>75336</v>
      </c>
      <c r="V2326">
        <v>226008</v>
      </c>
    </row>
    <row r="2327" spans="1:22">
      <c r="A2327" t="s">
        <v>196</v>
      </c>
      <c r="B2327">
        <v>57</v>
      </c>
      <c r="C2327" t="s">
        <v>31</v>
      </c>
      <c r="D2327">
        <v>100</v>
      </c>
      <c r="E2327" t="s">
        <v>197</v>
      </c>
      <c r="F2327">
        <v>1005</v>
      </c>
      <c r="G2327" t="s">
        <v>31</v>
      </c>
      <c r="H2327">
        <v>2005</v>
      </c>
      <c r="I2327" t="s">
        <v>31</v>
      </c>
      <c r="J2327">
        <v>3429</v>
      </c>
      <c r="K2327" t="s">
        <v>1329</v>
      </c>
      <c r="L2327">
        <v>0</v>
      </c>
      <c r="N2327" t="s">
        <v>341</v>
      </c>
      <c r="O2327">
        <v>3</v>
      </c>
      <c r="P2327">
        <v>3529</v>
      </c>
      <c r="Q2327" t="s">
        <v>1334</v>
      </c>
      <c r="R2327" t="s">
        <v>201</v>
      </c>
      <c r="S2327">
        <v>1</v>
      </c>
      <c r="T2327">
        <v>1</v>
      </c>
      <c r="U2327">
        <v>77640</v>
      </c>
      <c r="V2327">
        <v>77640</v>
      </c>
    </row>
    <row r="2328" spans="1:22">
      <c r="A2328" t="s">
        <v>196</v>
      </c>
      <c r="B2328">
        <v>57</v>
      </c>
      <c r="C2328" t="s">
        <v>31</v>
      </c>
      <c r="D2328">
        <v>100</v>
      </c>
      <c r="E2328" t="s">
        <v>197</v>
      </c>
      <c r="F2328">
        <v>1005</v>
      </c>
      <c r="G2328" t="s">
        <v>31</v>
      </c>
      <c r="H2328">
        <v>2005</v>
      </c>
      <c r="I2328" t="s">
        <v>31</v>
      </c>
      <c r="J2328">
        <v>3429</v>
      </c>
      <c r="K2328" t="s">
        <v>1329</v>
      </c>
      <c r="L2328">
        <v>0</v>
      </c>
      <c r="N2328" t="s">
        <v>341</v>
      </c>
      <c r="O2328">
        <v>3</v>
      </c>
      <c r="P2328">
        <v>3529</v>
      </c>
      <c r="Q2328" t="s">
        <v>1334</v>
      </c>
      <c r="R2328" t="s">
        <v>201</v>
      </c>
      <c r="S2328">
        <v>2</v>
      </c>
      <c r="T2328">
        <v>1</v>
      </c>
      <c r="U2328">
        <v>68616</v>
      </c>
      <c r="V2328">
        <v>137232</v>
      </c>
    </row>
    <row r="2329" spans="1:22">
      <c r="A2329" t="s">
        <v>196</v>
      </c>
      <c r="B2329">
        <v>57</v>
      </c>
      <c r="C2329" t="s">
        <v>31</v>
      </c>
      <c r="D2329">
        <v>100</v>
      </c>
      <c r="E2329" t="s">
        <v>197</v>
      </c>
      <c r="F2329">
        <v>1005</v>
      </c>
      <c r="G2329" t="s">
        <v>31</v>
      </c>
      <c r="H2329">
        <v>2005</v>
      </c>
      <c r="I2329" t="s">
        <v>31</v>
      </c>
      <c r="J2329">
        <v>3429</v>
      </c>
      <c r="K2329" t="s">
        <v>1329</v>
      </c>
      <c r="L2329">
        <v>0</v>
      </c>
      <c r="N2329" t="s">
        <v>356</v>
      </c>
      <c r="O2329">
        <v>3</v>
      </c>
      <c r="P2329">
        <v>3097</v>
      </c>
      <c r="Q2329" t="s">
        <v>1335</v>
      </c>
      <c r="R2329" t="s">
        <v>201</v>
      </c>
      <c r="S2329">
        <v>1</v>
      </c>
      <c r="T2329">
        <v>1</v>
      </c>
      <c r="U2329">
        <v>107628</v>
      </c>
      <c r="V2329">
        <v>107628</v>
      </c>
    </row>
    <row r="2330" spans="1:22">
      <c r="A2330" t="s">
        <v>196</v>
      </c>
      <c r="B2330">
        <v>57</v>
      </c>
      <c r="C2330" t="s">
        <v>31</v>
      </c>
      <c r="D2330">
        <v>100</v>
      </c>
      <c r="E2330" t="s">
        <v>197</v>
      </c>
      <c r="F2330">
        <v>1005</v>
      </c>
      <c r="G2330" t="s">
        <v>31</v>
      </c>
      <c r="H2330">
        <v>2005</v>
      </c>
      <c r="I2330" t="s">
        <v>31</v>
      </c>
      <c r="J2330">
        <v>3429</v>
      </c>
      <c r="K2330" t="s">
        <v>1329</v>
      </c>
      <c r="L2330">
        <v>0</v>
      </c>
      <c r="N2330" t="s">
        <v>253</v>
      </c>
      <c r="O2330">
        <v>10</v>
      </c>
      <c r="P2330">
        <v>1927</v>
      </c>
      <c r="Q2330" t="s">
        <v>1336</v>
      </c>
      <c r="R2330" t="s">
        <v>201</v>
      </c>
      <c r="S2330">
        <v>1</v>
      </c>
      <c r="T2330">
        <v>1</v>
      </c>
      <c r="U2330">
        <v>136692</v>
      </c>
      <c r="V2330">
        <v>136692</v>
      </c>
    </row>
    <row r="2331" spans="1:22">
      <c r="A2331" t="s">
        <v>196</v>
      </c>
      <c r="B2331">
        <v>57</v>
      </c>
      <c r="C2331" t="s">
        <v>31</v>
      </c>
      <c r="D2331">
        <v>100</v>
      </c>
      <c r="E2331" t="s">
        <v>197</v>
      </c>
      <c r="F2331">
        <v>1005</v>
      </c>
      <c r="G2331" t="s">
        <v>31</v>
      </c>
      <c r="H2331">
        <v>2005</v>
      </c>
      <c r="I2331" t="s">
        <v>31</v>
      </c>
      <c r="J2331">
        <v>3429</v>
      </c>
      <c r="K2331" t="s">
        <v>1329</v>
      </c>
      <c r="L2331">
        <v>0</v>
      </c>
      <c r="N2331" t="s">
        <v>253</v>
      </c>
      <c r="O2331">
        <v>10</v>
      </c>
      <c r="P2331">
        <v>1927</v>
      </c>
      <c r="Q2331" t="s">
        <v>1336</v>
      </c>
      <c r="R2331" t="s">
        <v>201</v>
      </c>
      <c r="S2331">
        <v>2</v>
      </c>
      <c r="T2331">
        <v>1</v>
      </c>
      <c r="U2331">
        <v>113568</v>
      </c>
      <c r="V2331">
        <v>227136</v>
      </c>
    </row>
    <row r="2332" spans="1:22">
      <c r="A2332" t="s">
        <v>196</v>
      </c>
      <c r="B2332">
        <v>57</v>
      </c>
      <c r="C2332" t="s">
        <v>31</v>
      </c>
      <c r="D2332">
        <v>100</v>
      </c>
      <c r="E2332" t="s">
        <v>197</v>
      </c>
      <c r="F2332">
        <v>1005</v>
      </c>
      <c r="G2332" t="s">
        <v>31</v>
      </c>
      <c r="H2332">
        <v>2005</v>
      </c>
      <c r="I2332" t="s">
        <v>31</v>
      </c>
      <c r="J2332">
        <v>3429</v>
      </c>
      <c r="K2332" t="s">
        <v>1329</v>
      </c>
      <c r="L2332">
        <v>0</v>
      </c>
      <c r="N2332" t="s">
        <v>253</v>
      </c>
      <c r="O2332">
        <v>10</v>
      </c>
      <c r="P2332">
        <v>1927</v>
      </c>
      <c r="Q2332" t="s">
        <v>1336</v>
      </c>
      <c r="R2332" t="s">
        <v>201</v>
      </c>
      <c r="S2332">
        <v>2</v>
      </c>
      <c r="T2332">
        <v>1</v>
      </c>
      <c r="U2332">
        <v>97836</v>
      </c>
      <c r="V2332">
        <v>195672</v>
      </c>
    </row>
    <row r="2333" spans="1:22">
      <c r="A2333" t="s">
        <v>196</v>
      </c>
      <c r="B2333">
        <v>57</v>
      </c>
      <c r="C2333" t="s">
        <v>31</v>
      </c>
      <c r="D2333">
        <v>100</v>
      </c>
      <c r="E2333" t="s">
        <v>197</v>
      </c>
      <c r="F2333">
        <v>1005</v>
      </c>
      <c r="G2333" t="s">
        <v>31</v>
      </c>
      <c r="H2333">
        <v>2005</v>
      </c>
      <c r="I2333" t="s">
        <v>31</v>
      </c>
      <c r="J2333">
        <v>3429</v>
      </c>
      <c r="K2333" t="s">
        <v>1329</v>
      </c>
      <c r="L2333">
        <v>0</v>
      </c>
      <c r="N2333" t="s">
        <v>372</v>
      </c>
      <c r="O2333">
        <v>1</v>
      </c>
      <c r="P2333">
        <v>1910</v>
      </c>
      <c r="Q2333" t="s">
        <v>1337</v>
      </c>
      <c r="R2333" t="s">
        <v>201</v>
      </c>
      <c r="S2333">
        <v>2</v>
      </c>
      <c r="T2333">
        <v>1</v>
      </c>
      <c r="U2333">
        <v>93504</v>
      </c>
      <c r="V2333">
        <v>187008</v>
      </c>
    </row>
    <row r="2334" spans="1:22">
      <c r="A2334" t="s">
        <v>196</v>
      </c>
      <c r="B2334">
        <v>57</v>
      </c>
      <c r="C2334" t="s">
        <v>31</v>
      </c>
      <c r="D2334">
        <v>100</v>
      </c>
      <c r="E2334" t="s">
        <v>197</v>
      </c>
      <c r="F2334">
        <v>1005</v>
      </c>
      <c r="G2334" t="s">
        <v>31</v>
      </c>
      <c r="H2334">
        <v>2005</v>
      </c>
      <c r="I2334" t="s">
        <v>31</v>
      </c>
      <c r="J2334">
        <v>3429</v>
      </c>
      <c r="K2334" t="s">
        <v>1329</v>
      </c>
      <c r="L2334">
        <v>0</v>
      </c>
      <c r="N2334" t="s">
        <v>372</v>
      </c>
      <c r="O2334">
        <v>1</v>
      </c>
      <c r="P2334">
        <v>1910</v>
      </c>
      <c r="Q2334" t="s">
        <v>1337</v>
      </c>
      <c r="R2334" t="s">
        <v>201</v>
      </c>
      <c r="S2334">
        <v>4</v>
      </c>
      <c r="T2334">
        <v>1</v>
      </c>
      <c r="U2334">
        <v>75336</v>
      </c>
      <c r="V2334">
        <v>301344</v>
      </c>
    </row>
    <row r="2335" spans="1:22">
      <c r="A2335" t="s">
        <v>196</v>
      </c>
      <c r="B2335">
        <v>57</v>
      </c>
      <c r="C2335" t="s">
        <v>31</v>
      </c>
      <c r="D2335">
        <v>100</v>
      </c>
      <c r="E2335" t="s">
        <v>197</v>
      </c>
      <c r="F2335">
        <v>1005</v>
      </c>
      <c r="G2335" t="s">
        <v>31</v>
      </c>
      <c r="H2335">
        <v>2005</v>
      </c>
      <c r="I2335" t="s">
        <v>31</v>
      </c>
      <c r="J2335">
        <v>3429</v>
      </c>
      <c r="K2335" t="s">
        <v>1329</v>
      </c>
      <c r="L2335">
        <v>0</v>
      </c>
      <c r="N2335" t="s">
        <v>281</v>
      </c>
      <c r="O2335">
        <v>20</v>
      </c>
      <c r="P2335">
        <v>1368</v>
      </c>
      <c r="Q2335" t="s">
        <v>853</v>
      </c>
      <c r="R2335" t="s">
        <v>201</v>
      </c>
      <c r="S2335">
        <v>1</v>
      </c>
      <c r="T2335">
        <v>1</v>
      </c>
      <c r="U2335">
        <v>101628</v>
      </c>
      <c r="V2335">
        <v>101628</v>
      </c>
    </row>
    <row r="2336" spans="1:22">
      <c r="A2336" t="s">
        <v>196</v>
      </c>
      <c r="B2336">
        <v>57</v>
      </c>
      <c r="C2336" t="s">
        <v>31</v>
      </c>
      <c r="D2336">
        <v>100</v>
      </c>
      <c r="E2336" t="s">
        <v>197</v>
      </c>
      <c r="F2336">
        <v>1005</v>
      </c>
      <c r="G2336" t="s">
        <v>31</v>
      </c>
      <c r="H2336">
        <v>2005</v>
      </c>
      <c r="I2336" t="s">
        <v>31</v>
      </c>
      <c r="J2336">
        <v>3429</v>
      </c>
      <c r="K2336" t="s">
        <v>1329</v>
      </c>
      <c r="L2336">
        <v>0</v>
      </c>
      <c r="N2336" t="s">
        <v>255</v>
      </c>
      <c r="O2336">
        <v>1</v>
      </c>
      <c r="P2336">
        <v>729</v>
      </c>
      <c r="Q2336" t="s">
        <v>256</v>
      </c>
      <c r="R2336" t="s">
        <v>201</v>
      </c>
      <c r="S2336">
        <v>6</v>
      </c>
      <c r="T2336">
        <v>1</v>
      </c>
      <c r="U2336">
        <v>82644</v>
      </c>
      <c r="V2336">
        <v>495864</v>
      </c>
    </row>
    <row r="2337" spans="1:22">
      <c r="A2337" t="s">
        <v>196</v>
      </c>
      <c r="B2337">
        <v>57</v>
      </c>
      <c r="C2337" t="s">
        <v>31</v>
      </c>
      <c r="D2337">
        <v>100</v>
      </c>
      <c r="E2337" t="s">
        <v>197</v>
      </c>
      <c r="F2337">
        <v>1005</v>
      </c>
      <c r="G2337" t="s">
        <v>31</v>
      </c>
      <c r="H2337">
        <v>2005</v>
      </c>
      <c r="I2337" t="s">
        <v>31</v>
      </c>
      <c r="J2337">
        <v>3429</v>
      </c>
      <c r="K2337" t="s">
        <v>1329</v>
      </c>
      <c r="L2337">
        <v>0</v>
      </c>
      <c r="N2337" t="s">
        <v>1314</v>
      </c>
      <c r="O2337">
        <v>0</v>
      </c>
      <c r="P2337" t="s">
        <v>1315</v>
      </c>
      <c r="Q2337" t="s">
        <v>636</v>
      </c>
      <c r="R2337" t="s">
        <v>201</v>
      </c>
      <c r="S2337">
        <v>1</v>
      </c>
      <c r="T2337">
        <v>1</v>
      </c>
      <c r="U2337">
        <v>160680</v>
      </c>
      <c r="V2337">
        <v>160680</v>
      </c>
    </row>
    <row r="2338" spans="1:22">
      <c r="A2338" t="s">
        <v>196</v>
      </c>
      <c r="B2338">
        <v>57</v>
      </c>
      <c r="C2338" t="s">
        <v>31</v>
      </c>
      <c r="D2338">
        <v>100</v>
      </c>
      <c r="E2338" t="s">
        <v>197</v>
      </c>
      <c r="F2338">
        <v>1005</v>
      </c>
      <c r="G2338" t="s">
        <v>31</v>
      </c>
      <c r="H2338">
        <v>2005</v>
      </c>
      <c r="I2338" t="s">
        <v>31</v>
      </c>
      <c r="J2338">
        <v>3429</v>
      </c>
      <c r="K2338" t="s">
        <v>1329</v>
      </c>
      <c r="L2338">
        <v>0</v>
      </c>
      <c r="N2338" t="s">
        <v>249</v>
      </c>
      <c r="O2338">
        <v>10</v>
      </c>
      <c r="P2338">
        <v>311</v>
      </c>
      <c r="Q2338" t="s">
        <v>661</v>
      </c>
      <c r="R2338" t="s">
        <v>201</v>
      </c>
      <c r="S2338">
        <v>3</v>
      </c>
      <c r="T2338">
        <v>1</v>
      </c>
      <c r="U2338">
        <v>118956</v>
      </c>
      <c r="V2338">
        <v>356868</v>
      </c>
    </row>
    <row r="2339" spans="1:22">
      <c r="A2339" t="s">
        <v>196</v>
      </c>
      <c r="B2339">
        <v>57</v>
      </c>
      <c r="C2339" t="s">
        <v>31</v>
      </c>
      <c r="D2339">
        <v>100</v>
      </c>
      <c r="E2339" t="s">
        <v>197</v>
      </c>
      <c r="F2339">
        <v>1005</v>
      </c>
      <c r="G2339" t="s">
        <v>31</v>
      </c>
      <c r="H2339">
        <v>2005</v>
      </c>
      <c r="I2339" t="s">
        <v>31</v>
      </c>
      <c r="J2339">
        <v>3429</v>
      </c>
      <c r="K2339" t="s">
        <v>1329</v>
      </c>
      <c r="L2339">
        <v>0</v>
      </c>
      <c r="N2339" t="s">
        <v>341</v>
      </c>
      <c r="O2339">
        <v>1</v>
      </c>
      <c r="P2339">
        <v>308</v>
      </c>
      <c r="Q2339" t="s">
        <v>355</v>
      </c>
      <c r="R2339" t="s">
        <v>201</v>
      </c>
      <c r="S2339">
        <v>1</v>
      </c>
      <c r="T2339">
        <v>1</v>
      </c>
      <c r="U2339">
        <v>68616</v>
      </c>
      <c r="V2339">
        <v>68616</v>
      </c>
    </row>
    <row r="2340" spans="1:22">
      <c r="A2340" t="s">
        <v>196</v>
      </c>
      <c r="B2340">
        <v>57</v>
      </c>
      <c r="C2340" t="s">
        <v>31</v>
      </c>
      <c r="D2340">
        <v>100</v>
      </c>
      <c r="E2340" t="s">
        <v>197</v>
      </c>
      <c r="F2340">
        <v>1005</v>
      </c>
      <c r="G2340" t="s">
        <v>31</v>
      </c>
      <c r="H2340">
        <v>2005</v>
      </c>
      <c r="I2340" t="s">
        <v>31</v>
      </c>
      <c r="J2340">
        <v>3429</v>
      </c>
      <c r="K2340" t="s">
        <v>1329</v>
      </c>
      <c r="L2340">
        <v>0</v>
      </c>
      <c r="N2340" t="s">
        <v>199</v>
      </c>
      <c r="O2340">
        <v>0</v>
      </c>
      <c r="P2340">
        <v>15</v>
      </c>
      <c r="Q2340" t="s">
        <v>264</v>
      </c>
      <c r="R2340" t="s">
        <v>201</v>
      </c>
      <c r="S2340">
        <v>0</v>
      </c>
      <c r="T2340">
        <v>0</v>
      </c>
      <c r="U2340">
        <v>35631</v>
      </c>
      <c r="V2340">
        <v>35631</v>
      </c>
    </row>
    <row r="2341" spans="1:22">
      <c r="A2341" t="s">
        <v>196</v>
      </c>
      <c r="B2341">
        <v>57</v>
      </c>
      <c r="C2341" t="s">
        <v>31</v>
      </c>
      <c r="D2341">
        <v>100</v>
      </c>
      <c r="E2341" t="s">
        <v>197</v>
      </c>
      <c r="F2341">
        <v>1005</v>
      </c>
      <c r="G2341" t="s">
        <v>31</v>
      </c>
      <c r="H2341">
        <v>2005</v>
      </c>
      <c r="I2341" t="s">
        <v>31</v>
      </c>
      <c r="J2341">
        <v>3437</v>
      </c>
      <c r="K2341" t="s">
        <v>1338</v>
      </c>
      <c r="L2341">
        <v>0</v>
      </c>
      <c r="N2341" t="s">
        <v>1302</v>
      </c>
      <c r="O2341">
        <v>71</v>
      </c>
      <c r="P2341">
        <v>9171</v>
      </c>
      <c r="Q2341" t="s">
        <v>1303</v>
      </c>
      <c r="R2341" t="s">
        <v>201</v>
      </c>
      <c r="S2341">
        <v>1</v>
      </c>
      <c r="T2341">
        <v>1</v>
      </c>
      <c r="U2341">
        <v>138318</v>
      </c>
      <c r="V2341">
        <v>138318</v>
      </c>
    </row>
    <row r="2342" spans="1:22">
      <c r="A2342" t="s">
        <v>196</v>
      </c>
      <c r="B2342">
        <v>57</v>
      </c>
      <c r="C2342" t="s">
        <v>31</v>
      </c>
      <c r="D2342">
        <v>100</v>
      </c>
      <c r="E2342" t="s">
        <v>197</v>
      </c>
      <c r="F2342">
        <v>1005</v>
      </c>
      <c r="G2342" t="s">
        <v>31</v>
      </c>
      <c r="H2342">
        <v>2005</v>
      </c>
      <c r="I2342" t="s">
        <v>31</v>
      </c>
      <c r="J2342">
        <v>3437</v>
      </c>
      <c r="K2342" t="s">
        <v>1338</v>
      </c>
      <c r="L2342">
        <v>0</v>
      </c>
      <c r="N2342" t="s">
        <v>1309</v>
      </c>
      <c r="O2342">
        <v>91</v>
      </c>
      <c r="P2342">
        <v>9161</v>
      </c>
      <c r="Q2342" t="s">
        <v>1310</v>
      </c>
      <c r="R2342" t="s">
        <v>201</v>
      </c>
      <c r="S2342">
        <v>1</v>
      </c>
      <c r="T2342">
        <v>1</v>
      </c>
      <c r="U2342">
        <v>127146</v>
      </c>
      <c r="V2342">
        <v>127146</v>
      </c>
    </row>
    <row r="2343" spans="1:22">
      <c r="A2343" t="s">
        <v>196</v>
      </c>
      <c r="B2343">
        <v>57</v>
      </c>
      <c r="C2343" t="s">
        <v>31</v>
      </c>
      <c r="D2343">
        <v>100</v>
      </c>
      <c r="E2343" t="s">
        <v>197</v>
      </c>
      <c r="F2343">
        <v>1005</v>
      </c>
      <c r="G2343" t="s">
        <v>31</v>
      </c>
      <c r="H2343">
        <v>2005</v>
      </c>
      <c r="I2343" t="s">
        <v>31</v>
      </c>
      <c r="J2343">
        <v>3437</v>
      </c>
      <c r="K2343" t="s">
        <v>1338</v>
      </c>
      <c r="L2343">
        <v>0</v>
      </c>
      <c r="N2343" t="s">
        <v>1309</v>
      </c>
      <c r="O2343">
        <v>91</v>
      </c>
      <c r="P2343">
        <v>9161</v>
      </c>
      <c r="Q2343" t="s">
        <v>1310</v>
      </c>
      <c r="R2343" t="s">
        <v>201</v>
      </c>
      <c r="S2343">
        <v>2</v>
      </c>
      <c r="T2343">
        <v>1</v>
      </c>
      <c r="U2343">
        <v>123576</v>
      </c>
      <c r="V2343">
        <v>247152</v>
      </c>
    </row>
    <row r="2344" spans="1:22">
      <c r="A2344" t="s">
        <v>196</v>
      </c>
      <c r="B2344">
        <v>57</v>
      </c>
      <c r="C2344" t="s">
        <v>31</v>
      </c>
      <c r="D2344">
        <v>100</v>
      </c>
      <c r="E2344" t="s">
        <v>197</v>
      </c>
      <c r="F2344">
        <v>1005</v>
      </c>
      <c r="G2344" t="s">
        <v>31</v>
      </c>
      <c r="H2344">
        <v>2005</v>
      </c>
      <c r="I2344" t="s">
        <v>31</v>
      </c>
      <c r="J2344">
        <v>3437</v>
      </c>
      <c r="K2344" t="s">
        <v>1338</v>
      </c>
      <c r="L2344">
        <v>0</v>
      </c>
      <c r="N2344" t="s">
        <v>1309</v>
      </c>
      <c r="O2344">
        <v>91</v>
      </c>
      <c r="P2344">
        <v>9161</v>
      </c>
      <c r="Q2344" t="s">
        <v>1310</v>
      </c>
      <c r="R2344" t="s">
        <v>201</v>
      </c>
      <c r="S2344">
        <v>2</v>
      </c>
      <c r="T2344">
        <v>1</v>
      </c>
      <c r="U2344">
        <v>119154</v>
      </c>
      <c r="V2344">
        <v>238308</v>
      </c>
    </row>
    <row r="2345" spans="1:22">
      <c r="A2345" t="s">
        <v>196</v>
      </c>
      <c r="B2345">
        <v>57</v>
      </c>
      <c r="C2345" t="s">
        <v>31</v>
      </c>
      <c r="D2345">
        <v>100</v>
      </c>
      <c r="E2345" t="s">
        <v>197</v>
      </c>
      <c r="F2345">
        <v>1005</v>
      </c>
      <c r="G2345" t="s">
        <v>31</v>
      </c>
      <c r="H2345">
        <v>2005</v>
      </c>
      <c r="I2345" t="s">
        <v>31</v>
      </c>
      <c r="J2345">
        <v>3437</v>
      </c>
      <c r="K2345" t="s">
        <v>1338</v>
      </c>
      <c r="L2345">
        <v>0</v>
      </c>
      <c r="N2345" t="s">
        <v>1309</v>
      </c>
      <c r="O2345">
        <v>91</v>
      </c>
      <c r="P2345">
        <v>9161</v>
      </c>
      <c r="Q2345" t="s">
        <v>1310</v>
      </c>
      <c r="R2345" t="s">
        <v>201</v>
      </c>
      <c r="S2345">
        <v>1</v>
      </c>
      <c r="T2345">
        <v>1</v>
      </c>
      <c r="U2345">
        <v>115158</v>
      </c>
      <c r="V2345">
        <v>115158</v>
      </c>
    </row>
    <row r="2346" spans="1:22">
      <c r="A2346" t="s">
        <v>196</v>
      </c>
      <c r="B2346">
        <v>57</v>
      </c>
      <c r="C2346" t="s">
        <v>31</v>
      </c>
      <c r="D2346">
        <v>100</v>
      </c>
      <c r="E2346" t="s">
        <v>197</v>
      </c>
      <c r="F2346">
        <v>1005</v>
      </c>
      <c r="G2346" t="s">
        <v>31</v>
      </c>
      <c r="H2346">
        <v>2005</v>
      </c>
      <c r="I2346" t="s">
        <v>31</v>
      </c>
      <c r="J2346">
        <v>3437</v>
      </c>
      <c r="K2346" t="s">
        <v>1338</v>
      </c>
      <c r="L2346">
        <v>0</v>
      </c>
      <c r="N2346" t="s">
        <v>1309</v>
      </c>
      <c r="O2346">
        <v>91</v>
      </c>
      <c r="P2346">
        <v>9161</v>
      </c>
      <c r="Q2346" t="s">
        <v>1310</v>
      </c>
      <c r="R2346" t="s">
        <v>201</v>
      </c>
      <c r="S2346">
        <v>1</v>
      </c>
      <c r="T2346">
        <v>1</v>
      </c>
      <c r="U2346">
        <v>111252</v>
      </c>
      <c r="V2346">
        <v>111252</v>
      </c>
    </row>
    <row r="2347" spans="1:22">
      <c r="A2347" t="s">
        <v>196</v>
      </c>
      <c r="B2347">
        <v>57</v>
      </c>
      <c r="C2347" t="s">
        <v>31</v>
      </c>
      <c r="D2347">
        <v>100</v>
      </c>
      <c r="E2347" t="s">
        <v>197</v>
      </c>
      <c r="F2347">
        <v>1005</v>
      </c>
      <c r="G2347" t="s">
        <v>31</v>
      </c>
      <c r="H2347">
        <v>2007</v>
      </c>
      <c r="I2347" t="s">
        <v>60</v>
      </c>
      <c r="J2347">
        <v>3430</v>
      </c>
      <c r="K2347" t="s">
        <v>1339</v>
      </c>
      <c r="L2347">
        <v>0</v>
      </c>
      <c r="N2347" t="s">
        <v>199</v>
      </c>
      <c r="O2347">
        <v>99</v>
      </c>
      <c r="P2347">
        <v>9796</v>
      </c>
      <c r="Q2347" t="s">
        <v>1319</v>
      </c>
      <c r="R2347" t="s">
        <v>201</v>
      </c>
      <c r="S2347">
        <v>4</v>
      </c>
      <c r="T2347">
        <v>1</v>
      </c>
      <c r="U2347">
        <v>201048</v>
      </c>
      <c r="V2347">
        <v>804192</v>
      </c>
    </row>
    <row r="2348" spans="1:22">
      <c r="A2348" t="s">
        <v>196</v>
      </c>
      <c r="B2348">
        <v>57</v>
      </c>
      <c r="C2348" t="s">
        <v>31</v>
      </c>
      <c r="D2348">
        <v>100</v>
      </c>
      <c r="E2348" t="s">
        <v>197</v>
      </c>
      <c r="F2348">
        <v>1005</v>
      </c>
      <c r="G2348" t="s">
        <v>31</v>
      </c>
      <c r="H2348">
        <v>2007</v>
      </c>
      <c r="I2348" t="s">
        <v>60</v>
      </c>
      <c r="J2348">
        <v>3430</v>
      </c>
      <c r="K2348" t="s">
        <v>1339</v>
      </c>
      <c r="L2348">
        <v>0</v>
      </c>
      <c r="N2348" t="s">
        <v>199</v>
      </c>
      <c r="O2348">
        <v>99</v>
      </c>
      <c r="P2348">
        <v>9781</v>
      </c>
      <c r="Q2348" t="s">
        <v>1340</v>
      </c>
      <c r="R2348" t="s">
        <v>201</v>
      </c>
      <c r="S2348">
        <v>1</v>
      </c>
      <c r="T2348">
        <v>1</v>
      </c>
      <c r="U2348">
        <v>226872</v>
      </c>
      <c r="V2348">
        <v>226872</v>
      </c>
    </row>
    <row r="2349" spans="1:22">
      <c r="A2349" t="s">
        <v>196</v>
      </c>
      <c r="B2349">
        <v>57</v>
      </c>
      <c r="C2349" t="s">
        <v>31</v>
      </c>
      <c r="D2349">
        <v>100</v>
      </c>
      <c r="E2349" t="s">
        <v>197</v>
      </c>
      <c r="F2349">
        <v>1005</v>
      </c>
      <c r="G2349" t="s">
        <v>31</v>
      </c>
      <c r="H2349">
        <v>2007</v>
      </c>
      <c r="I2349" t="s">
        <v>60</v>
      </c>
      <c r="J2349">
        <v>3430</v>
      </c>
      <c r="K2349" t="s">
        <v>1339</v>
      </c>
      <c r="L2349">
        <v>0</v>
      </c>
      <c r="N2349" t="s">
        <v>216</v>
      </c>
      <c r="O2349">
        <v>99</v>
      </c>
      <c r="P2349">
        <v>9752</v>
      </c>
      <c r="Q2349" t="s">
        <v>1296</v>
      </c>
      <c r="R2349" t="s">
        <v>201</v>
      </c>
      <c r="S2349">
        <v>1</v>
      </c>
      <c r="T2349">
        <v>1</v>
      </c>
      <c r="U2349">
        <v>192240</v>
      </c>
      <c r="V2349">
        <v>192240</v>
      </c>
    </row>
    <row r="2350" spans="1:22">
      <c r="A2350" t="s">
        <v>196</v>
      </c>
      <c r="B2350">
        <v>57</v>
      </c>
      <c r="C2350" t="s">
        <v>31</v>
      </c>
      <c r="D2350">
        <v>100</v>
      </c>
      <c r="E2350" t="s">
        <v>197</v>
      </c>
      <c r="F2350">
        <v>1005</v>
      </c>
      <c r="G2350" t="s">
        <v>31</v>
      </c>
      <c r="H2350">
        <v>2007</v>
      </c>
      <c r="I2350" t="s">
        <v>60</v>
      </c>
      <c r="J2350">
        <v>3430</v>
      </c>
      <c r="K2350" t="s">
        <v>1339</v>
      </c>
      <c r="L2350">
        <v>0</v>
      </c>
      <c r="N2350" t="s">
        <v>1294</v>
      </c>
      <c r="O2350">
        <v>9</v>
      </c>
      <c r="P2350">
        <v>9675</v>
      </c>
      <c r="Q2350" t="s">
        <v>327</v>
      </c>
      <c r="R2350" t="s">
        <v>201</v>
      </c>
      <c r="S2350">
        <v>1</v>
      </c>
      <c r="T2350">
        <v>1</v>
      </c>
      <c r="U2350">
        <v>172920</v>
      </c>
      <c r="V2350">
        <v>172920</v>
      </c>
    </row>
    <row r="2351" spans="1:22">
      <c r="A2351" t="s">
        <v>196</v>
      </c>
      <c r="B2351">
        <v>57</v>
      </c>
      <c r="C2351" t="s">
        <v>31</v>
      </c>
      <c r="D2351">
        <v>100</v>
      </c>
      <c r="E2351" t="s">
        <v>197</v>
      </c>
      <c r="F2351">
        <v>1005</v>
      </c>
      <c r="G2351" t="s">
        <v>31</v>
      </c>
      <c r="H2351">
        <v>2007</v>
      </c>
      <c r="I2351" t="s">
        <v>60</v>
      </c>
      <c r="J2351">
        <v>3430</v>
      </c>
      <c r="K2351" t="s">
        <v>1339</v>
      </c>
      <c r="L2351">
        <v>0</v>
      </c>
      <c r="N2351" t="s">
        <v>1304</v>
      </c>
      <c r="O2351">
        <v>73</v>
      </c>
      <c r="P2351">
        <v>9173</v>
      </c>
      <c r="Q2351" t="s">
        <v>1323</v>
      </c>
      <c r="R2351" t="s">
        <v>201</v>
      </c>
      <c r="S2351">
        <v>1</v>
      </c>
      <c r="T2351">
        <v>1</v>
      </c>
      <c r="U2351">
        <v>160746</v>
      </c>
      <c r="V2351">
        <v>160746</v>
      </c>
    </row>
    <row r="2352" spans="1:22">
      <c r="A2352" t="s">
        <v>196</v>
      </c>
      <c r="B2352">
        <v>57</v>
      </c>
      <c r="C2352" t="s">
        <v>31</v>
      </c>
      <c r="D2352">
        <v>100</v>
      </c>
      <c r="E2352" t="s">
        <v>197</v>
      </c>
      <c r="F2352">
        <v>1005</v>
      </c>
      <c r="G2352" t="s">
        <v>31</v>
      </c>
      <c r="H2352">
        <v>2007</v>
      </c>
      <c r="I2352" t="s">
        <v>60</v>
      </c>
      <c r="J2352">
        <v>3430</v>
      </c>
      <c r="K2352" t="s">
        <v>1339</v>
      </c>
      <c r="L2352">
        <v>0</v>
      </c>
      <c r="N2352" t="s">
        <v>1309</v>
      </c>
      <c r="O2352">
        <v>91</v>
      </c>
      <c r="P2352">
        <v>9161</v>
      </c>
      <c r="Q2352" t="s">
        <v>1310</v>
      </c>
      <c r="R2352" t="s">
        <v>201</v>
      </c>
      <c r="S2352">
        <v>1</v>
      </c>
      <c r="T2352">
        <v>1</v>
      </c>
      <c r="U2352">
        <v>123576</v>
      </c>
      <c r="V2352">
        <v>123576</v>
      </c>
    </row>
    <row r="2353" spans="1:22">
      <c r="A2353" t="s">
        <v>196</v>
      </c>
      <c r="B2353">
        <v>57</v>
      </c>
      <c r="C2353" t="s">
        <v>31</v>
      </c>
      <c r="D2353">
        <v>100</v>
      </c>
      <c r="E2353" t="s">
        <v>197</v>
      </c>
      <c r="F2353">
        <v>1005</v>
      </c>
      <c r="G2353" t="s">
        <v>31</v>
      </c>
      <c r="H2353">
        <v>2007</v>
      </c>
      <c r="I2353" t="s">
        <v>60</v>
      </c>
      <c r="J2353">
        <v>3430</v>
      </c>
      <c r="K2353" t="s">
        <v>1339</v>
      </c>
      <c r="L2353">
        <v>0</v>
      </c>
      <c r="N2353" t="s">
        <v>1309</v>
      </c>
      <c r="O2353">
        <v>91</v>
      </c>
      <c r="P2353">
        <v>9161</v>
      </c>
      <c r="Q2353" t="s">
        <v>1310</v>
      </c>
      <c r="R2353" t="s">
        <v>201</v>
      </c>
      <c r="S2353">
        <v>1</v>
      </c>
      <c r="T2353">
        <v>1</v>
      </c>
      <c r="U2353">
        <v>115158</v>
      </c>
      <c r="V2353">
        <v>115158</v>
      </c>
    </row>
    <row r="2354" spans="1:22">
      <c r="A2354" t="s">
        <v>196</v>
      </c>
      <c r="B2354">
        <v>57</v>
      </c>
      <c r="C2354" t="s">
        <v>31</v>
      </c>
      <c r="D2354">
        <v>100</v>
      </c>
      <c r="E2354" t="s">
        <v>197</v>
      </c>
      <c r="F2354">
        <v>1005</v>
      </c>
      <c r="G2354" t="s">
        <v>31</v>
      </c>
      <c r="H2354">
        <v>2007</v>
      </c>
      <c r="I2354" t="s">
        <v>60</v>
      </c>
      <c r="J2354">
        <v>3430</v>
      </c>
      <c r="K2354" t="s">
        <v>1339</v>
      </c>
      <c r="L2354">
        <v>0</v>
      </c>
      <c r="N2354" t="s">
        <v>1309</v>
      </c>
      <c r="O2354">
        <v>91</v>
      </c>
      <c r="P2354">
        <v>9161</v>
      </c>
      <c r="Q2354" t="s">
        <v>1310</v>
      </c>
      <c r="R2354" t="s">
        <v>201</v>
      </c>
      <c r="S2354">
        <v>1</v>
      </c>
      <c r="T2354">
        <v>1</v>
      </c>
      <c r="U2354">
        <v>111252</v>
      </c>
      <c r="V2354">
        <v>111252</v>
      </c>
    </row>
    <row r="2355" spans="1:22">
      <c r="A2355" t="s">
        <v>196</v>
      </c>
      <c r="B2355">
        <v>57</v>
      </c>
      <c r="C2355" t="s">
        <v>31</v>
      </c>
      <c r="D2355">
        <v>100</v>
      </c>
      <c r="E2355" t="s">
        <v>197</v>
      </c>
      <c r="F2355">
        <v>1005</v>
      </c>
      <c r="G2355" t="s">
        <v>31</v>
      </c>
      <c r="H2355">
        <v>2007</v>
      </c>
      <c r="I2355" t="s">
        <v>60</v>
      </c>
      <c r="J2355">
        <v>3430</v>
      </c>
      <c r="K2355" t="s">
        <v>1339</v>
      </c>
      <c r="L2355">
        <v>0</v>
      </c>
      <c r="N2355" t="s">
        <v>281</v>
      </c>
      <c r="O2355">
        <v>20</v>
      </c>
      <c r="P2355">
        <v>1141</v>
      </c>
      <c r="Q2355" t="s">
        <v>332</v>
      </c>
      <c r="R2355" t="s">
        <v>201</v>
      </c>
      <c r="S2355">
        <v>1</v>
      </c>
      <c r="T2355">
        <v>1</v>
      </c>
      <c r="U2355">
        <v>82884</v>
      </c>
      <c r="V2355">
        <v>82884</v>
      </c>
    </row>
    <row r="2356" spans="1:22">
      <c r="A2356" t="s">
        <v>196</v>
      </c>
      <c r="B2356">
        <v>57</v>
      </c>
      <c r="C2356" t="s">
        <v>31</v>
      </c>
      <c r="D2356">
        <v>100</v>
      </c>
      <c r="E2356" t="s">
        <v>197</v>
      </c>
      <c r="F2356">
        <v>1005</v>
      </c>
      <c r="G2356" t="s">
        <v>31</v>
      </c>
      <c r="H2356">
        <v>2007</v>
      </c>
      <c r="I2356" t="s">
        <v>60</v>
      </c>
      <c r="J2356">
        <v>3430</v>
      </c>
      <c r="K2356" t="s">
        <v>1339</v>
      </c>
      <c r="L2356">
        <v>0</v>
      </c>
      <c r="N2356" t="s">
        <v>249</v>
      </c>
      <c r="O2356">
        <v>10</v>
      </c>
      <c r="P2356">
        <v>722</v>
      </c>
      <c r="Q2356" t="s">
        <v>1312</v>
      </c>
      <c r="R2356" t="s">
        <v>201</v>
      </c>
      <c r="S2356">
        <v>1</v>
      </c>
      <c r="T2356">
        <v>1</v>
      </c>
      <c r="U2356">
        <v>97836</v>
      </c>
      <c r="V2356">
        <v>97836</v>
      </c>
    </row>
    <row r="2357" spans="1:22">
      <c r="A2357" t="s">
        <v>196</v>
      </c>
      <c r="B2357">
        <v>57</v>
      </c>
      <c r="C2357" t="s">
        <v>31</v>
      </c>
      <c r="D2357">
        <v>100</v>
      </c>
      <c r="E2357" t="s">
        <v>197</v>
      </c>
      <c r="F2357">
        <v>1005</v>
      </c>
      <c r="G2357" t="s">
        <v>31</v>
      </c>
      <c r="H2357">
        <v>2007</v>
      </c>
      <c r="I2357" t="s">
        <v>60</v>
      </c>
      <c r="J2357">
        <v>3430</v>
      </c>
      <c r="K2357" t="s">
        <v>1339</v>
      </c>
      <c r="L2357">
        <v>0</v>
      </c>
      <c r="N2357" t="s">
        <v>1314</v>
      </c>
      <c r="O2357">
        <v>0</v>
      </c>
      <c r="P2357" t="s">
        <v>1315</v>
      </c>
      <c r="Q2357" t="s">
        <v>636</v>
      </c>
      <c r="R2357" t="s">
        <v>201</v>
      </c>
      <c r="S2357">
        <v>1</v>
      </c>
      <c r="T2357">
        <v>1</v>
      </c>
      <c r="U2357">
        <v>160680</v>
      </c>
      <c r="V2357">
        <v>160680</v>
      </c>
    </row>
    <row r="2358" spans="1:22">
      <c r="A2358" t="s">
        <v>196</v>
      </c>
      <c r="B2358">
        <v>57</v>
      </c>
      <c r="C2358" t="s">
        <v>31</v>
      </c>
      <c r="D2358">
        <v>100</v>
      </c>
      <c r="E2358" t="s">
        <v>197</v>
      </c>
      <c r="F2358">
        <v>1005</v>
      </c>
      <c r="G2358" t="s">
        <v>31</v>
      </c>
      <c r="H2358">
        <v>2007</v>
      </c>
      <c r="I2358" t="s">
        <v>60</v>
      </c>
      <c r="J2358">
        <v>3430</v>
      </c>
      <c r="K2358" t="s">
        <v>1339</v>
      </c>
      <c r="L2358">
        <v>0</v>
      </c>
      <c r="N2358" t="s">
        <v>341</v>
      </c>
      <c r="O2358">
        <v>1</v>
      </c>
      <c r="P2358">
        <v>308</v>
      </c>
      <c r="Q2358" t="s">
        <v>355</v>
      </c>
      <c r="R2358" t="s">
        <v>201</v>
      </c>
      <c r="S2358">
        <v>1</v>
      </c>
      <c r="T2358">
        <v>1</v>
      </c>
      <c r="U2358">
        <v>68616</v>
      </c>
      <c r="V2358">
        <v>68616</v>
      </c>
    </row>
    <row r="2359" spans="1:22">
      <c r="A2359" t="s">
        <v>196</v>
      </c>
      <c r="B2359">
        <v>57</v>
      </c>
      <c r="C2359" t="s">
        <v>31</v>
      </c>
      <c r="D2359">
        <v>100</v>
      </c>
      <c r="E2359" t="s">
        <v>197</v>
      </c>
      <c r="F2359">
        <v>1005</v>
      </c>
      <c r="G2359" t="s">
        <v>31</v>
      </c>
      <c r="H2359">
        <v>2007</v>
      </c>
      <c r="I2359" t="s">
        <v>60</v>
      </c>
      <c r="J2359">
        <v>3430</v>
      </c>
      <c r="K2359" t="s">
        <v>1339</v>
      </c>
      <c r="L2359">
        <v>0</v>
      </c>
      <c r="N2359" t="s">
        <v>199</v>
      </c>
      <c r="O2359">
        <v>0</v>
      </c>
      <c r="P2359">
        <v>15</v>
      </c>
      <c r="Q2359" t="s">
        <v>264</v>
      </c>
      <c r="R2359" t="s">
        <v>201</v>
      </c>
      <c r="S2359">
        <v>0</v>
      </c>
      <c r="T2359">
        <v>0</v>
      </c>
      <c r="U2359">
        <v>19460</v>
      </c>
      <c r="V2359">
        <v>19460</v>
      </c>
    </row>
    <row r="2360" spans="1:22">
      <c r="A2360" t="s">
        <v>196</v>
      </c>
      <c r="B2360">
        <v>57</v>
      </c>
      <c r="C2360" t="s">
        <v>31</v>
      </c>
      <c r="D2360">
        <v>100</v>
      </c>
      <c r="E2360" t="s">
        <v>197</v>
      </c>
      <c r="F2360">
        <v>1005</v>
      </c>
      <c r="G2360" t="s">
        <v>31</v>
      </c>
      <c r="H2360">
        <v>2007</v>
      </c>
      <c r="I2360" t="s">
        <v>60</v>
      </c>
      <c r="J2360">
        <v>3434</v>
      </c>
      <c r="K2360" t="s">
        <v>1341</v>
      </c>
      <c r="L2360">
        <v>0</v>
      </c>
      <c r="N2360" t="s">
        <v>1304</v>
      </c>
      <c r="O2360">
        <v>73</v>
      </c>
      <c r="P2360">
        <v>9173</v>
      </c>
      <c r="Q2360" t="s">
        <v>1323</v>
      </c>
      <c r="R2360" t="s">
        <v>201</v>
      </c>
      <c r="S2360">
        <v>1</v>
      </c>
      <c r="T2360">
        <v>1</v>
      </c>
      <c r="U2360">
        <v>165624</v>
      </c>
      <c r="V2360">
        <v>165624</v>
      </c>
    </row>
    <row r="2361" spans="1:22">
      <c r="A2361" t="s">
        <v>196</v>
      </c>
      <c r="B2361">
        <v>57</v>
      </c>
      <c r="C2361" t="s">
        <v>31</v>
      </c>
      <c r="D2361">
        <v>100</v>
      </c>
      <c r="E2361" t="s">
        <v>197</v>
      </c>
      <c r="F2361">
        <v>1005</v>
      </c>
      <c r="G2361" t="s">
        <v>31</v>
      </c>
      <c r="H2361">
        <v>2007</v>
      </c>
      <c r="I2361" t="s">
        <v>60</v>
      </c>
      <c r="J2361">
        <v>3434</v>
      </c>
      <c r="K2361" t="s">
        <v>1341</v>
      </c>
      <c r="L2361">
        <v>0</v>
      </c>
      <c r="N2361" t="s">
        <v>1302</v>
      </c>
      <c r="O2361">
        <v>71</v>
      </c>
      <c r="P2361">
        <v>9171</v>
      </c>
      <c r="Q2361" t="s">
        <v>1303</v>
      </c>
      <c r="R2361" t="s">
        <v>201</v>
      </c>
      <c r="S2361">
        <v>1</v>
      </c>
      <c r="T2361">
        <v>1</v>
      </c>
      <c r="U2361">
        <v>142668</v>
      </c>
      <c r="V2361">
        <v>142668</v>
      </c>
    </row>
    <row r="2362" spans="1:22">
      <c r="A2362" t="s">
        <v>196</v>
      </c>
      <c r="B2362">
        <v>57</v>
      </c>
      <c r="C2362" t="s">
        <v>31</v>
      </c>
      <c r="D2362">
        <v>100</v>
      </c>
      <c r="E2362" t="s">
        <v>197</v>
      </c>
      <c r="F2362">
        <v>1005</v>
      </c>
      <c r="G2362" t="s">
        <v>31</v>
      </c>
      <c r="H2362">
        <v>2007</v>
      </c>
      <c r="I2362" t="s">
        <v>60</v>
      </c>
      <c r="J2362">
        <v>3434</v>
      </c>
      <c r="K2362" t="s">
        <v>1341</v>
      </c>
      <c r="L2362">
        <v>0</v>
      </c>
      <c r="N2362" t="s">
        <v>1302</v>
      </c>
      <c r="O2362">
        <v>71</v>
      </c>
      <c r="P2362">
        <v>9171</v>
      </c>
      <c r="Q2362" t="s">
        <v>1303</v>
      </c>
      <c r="R2362" t="s">
        <v>201</v>
      </c>
      <c r="S2362">
        <v>1</v>
      </c>
      <c r="T2362">
        <v>1</v>
      </c>
      <c r="U2362">
        <v>138318</v>
      </c>
      <c r="V2362">
        <v>138318</v>
      </c>
    </row>
    <row r="2363" spans="1:22">
      <c r="A2363" t="s">
        <v>196</v>
      </c>
      <c r="B2363">
        <v>57</v>
      </c>
      <c r="C2363" t="s">
        <v>31</v>
      </c>
      <c r="D2363">
        <v>100</v>
      </c>
      <c r="E2363" t="s">
        <v>197</v>
      </c>
      <c r="F2363">
        <v>1005</v>
      </c>
      <c r="G2363" t="s">
        <v>31</v>
      </c>
      <c r="H2363">
        <v>2007</v>
      </c>
      <c r="I2363" t="s">
        <v>60</v>
      </c>
      <c r="J2363">
        <v>3434</v>
      </c>
      <c r="K2363" t="s">
        <v>1341</v>
      </c>
      <c r="L2363">
        <v>0</v>
      </c>
      <c r="N2363" t="s">
        <v>1309</v>
      </c>
      <c r="O2363">
        <v>91</v>
      </c>
      <c r="P2363">
        <v>9161</v>
      </c>
      <c r="Q2363" t="s">
        <v>1310</v>
      </c>
      <c r="R2363" t="s">
        <v>201</v>
      </c>
      <c r="S2363">
        <v>2</v>
      </c>
      <c r="T2363">
        <v>1</v>
      </c>
      <c r="U2363">
        <v>111252</v>
      </c>
      <c r="V2363">
        <v>222504</v>
      </c>
    </row>
    <row r="2364" spans="1:22">
      <c r="A2364" t="s">
        <v>196</v>
      </c>
      <c r="B2364">
        <v>57</v>
      </c>
      <c r="C2364" t="s">
        <v>31</v>
      </c>
      <c r="D2364">
        <v>100</v>
      </c>
      <c r="E2364" t="s">
        <v>197</v>
      </c>
      <c r="F2364">
        <v>1005</v>
      </c>
      <c r="G2364" t="s">
        <v>31</v>
      </c>
      <c r="H2364">
        <v>2007</v>
      </c>
      <c r="I2364" t="s">
        <v>60</v>
      </c>
      <c r="J2364">
        <v>3435</v>
      </c>
      <c r="K2364" t="s">
        <v>1342</v>
      </c>
      <c r="L2364">
        <v>0</v>
      </c>
      <c r="N2364" t="s">
        <v>216</v>
      </c>
      <c r="O2364">
        <v>99</v>
      </c>
      <c r="P2364">
        <v>9752</v>
      </c>
      <c r="Q2364" t="s">
        <v>1296</v>
      </c>
      <c r="R2364" t="s">
        <v>201</v>
      </c>
      <c r="S2364">
        <v>1</v>
      </c>
      <c r="T2364">
        <v>1</v>
      </c>
      <c r="U2364">
        <v>192240</v>
      </c>
      <c r="V2364">
        <v>192240</v>
      </c>
    </row>
    <row r="2365" spans="1:22">
      <c r="A2365" t="s">
        <v>196</v>
      </c>
      <c r="B2365">
        <v>57</v>
      </c>
      <c r="C2365" t="s">
        <v>31</v>
      </c>
      <c r="D2365">
        <v>100</v>
      </c>
      <c r="E2365" t="s">
        <v>197</v>
      </c>
      <c r="F2365">
        <v>1005</v>
      </c>
      <c r="G2365" t="s">
        <v>31</v>
      </c>
      <c r="H2365">
        <v>2007</v>
      </c>
      <c r="I2365" t="s">
        <v>60</v>
      </c>
      <c r="J2365">
        <v>3435</v>
      </c>
      <c r="K2365" t="s">
        <v>1342</v>
      </c>
      <c r="L2365">
        <v>0</v>
      </c>
      <c r="N2365" t="s">
        <v>1302</v>
      </c>
      <c r="O2365">
        <v>71</v>
      </c>
      <c r="P2365">
        <v>9171</v>
      </c>
      <c r="Q2365" t="s">
        <v>1303</v>
      </c>
      <c r="R2365" t="s">
        <v>201</v>
      </c>
      <c r="S2365">
        <v>2</v>
      </c>
      <c r="T2365">
        <v>1</v>
      </c>
      <c r="U2365">
        <v>152010</v>
      </c>
      <c r="V2365">
        <v>304020</v>
      </c>
    </row>
    <row r="2366" spans="1:22">
      <c r="A2366" t="s">
        <v>196</v>
      </c>
      <c r="B2366">
        <v>57</v>
      </c>
      <c r="C2366" t="s">
        <v>31</v>
      </c>
      <c r="D2366">
        <v>100</v>
      </c>
      <c r="E2366" t="s">
        <v>197</v>
      </c>
      <c r="F2366">
        <v>1005</v>
      </c>
      <c r="G2366" t="s">
        <v>31</v>
      </c>
      <c r="H2366">
        <v>2007</v>
      </c>
      <c r="I2366" t="s">
        <v>60</v>
      </c>
      <c r="J2366">
        <v>3435</v>
      </c>
      <c r="K2366" t="s">
        <v>1342</v>
      </c>
      <c r="L2366">
        <v>0</v>
      </c>
      <c r="N2366" t="s">
        <v>1302</v>
      </c>
      <c r="O2366">
        <v>71</v>
      </c>
      <c r="P2366">
        <v>9171</v>
      </c>
      <c r="Q2366" t="s">
        <v>1303</v>
      </c>
      <c r="R2366" t="s">
        <v>201</v>
      </c>
      <c r="S2366">
        <v>1</v>
      </c>
      <c r="T2366">
        <v>1</v>
      </c>
      <c r="U2366">
        <v>147252</v>
      </c>
      <c r="V2366">
        <v>147252</v>
      </c>
    </row>
    <row r="2367" spans="1:22">
      <c r="A2367" t="s">
        <v>196</v>
      </c>
      <c r="B2367">
        <v>57</v>
      </c>
      <c r="C2367" t="s">
        <v>31</v>
      </c>
      <c r="D2367">
        <v>100</v>
      </c>
      <c r="E2367" t="s">
        <v>197</v>
      </c>
      <c r="F2367">
        <v>1005</v>
      </c>
      <c r="G2367" t="s">
        <v>31</v>
      </c>
      <c r="H2367">
        <v>2007</v>
      </c>
      <c r="I2367" t="s">
        <v>60</v>
      </c>
      <c r="J2367">
        <v>3435</v>
      </c>
      <c r="K2367" t="s">
        <v>1342</v>
      </c>
      <c r="L2367">
        <v>0</v>
      </c>
      <c r="N2367" t="s">
        <v>1302</v>
      </c>
      <c r="O2367">
        <v>71</v>
      </c>
      <c r="P2367">
        <v>9171</v>
      </c>
      <c r="Q2367" t="s">
        <v>1303</v>
      </c>
      <c r="R2367" t="s">
        <v>201</v>
      </c>
      <c r="S2367">
        <v>1</v>
      </c>
      <c r="T2367">
        <v>1</v>
      </c>
      <c r="U2367">
        <v>142668</v>
      </c>
      <c r="V2367">
        <v>142668</v>
      </c>
    </row>
    <row r="2368" spans="1:22">
      <c r="A2368" t="s">
        <v>196</v>
      </c>
      <c r="B2368">
        <v>57</v>
      </c>
      <c r="C2368" t="s">
        <v>31</v>
      </c>
      <c r="D2368">
        <v>100</v>
      </c>
      <c r="E2368" t="s">
        <v>197</v>
      </c>
      <c r="F2368">
        <v>1005</v>
      </c>
      <c r="G2368" t="s">
        <v>31</v>
      </c>
      <c r="H2368">
        <v>2007</v>
      </c>
      <c r="I2368" t="s">
        <v>60</v>
      </c>
      <c r="J2368">
        <v>3435</v>
      </c>
      <c r="K2368" t="s">
        <v>1342</v>
      </c>
      <c r="L2368">
        <v>0</v>
      </c>
      <c r="N2368" t="s">
        <v>1302</v>
      </c>
      <c r="O2368">
        <v>71</v>
      </c>
      <c r="P2368">
        <v>9171</v>
      </c>
      <c r="Q2368" t="s">
        <v>1303</v>
      </c>
      <c r="R2368" t="s">
        <v>201</v>
      </c>
      <c r="S2368">
        <v>2</v>
      </c>
      <c r="T2368">
        <v>1</v>
      </c>
      <c r="U2368">
        <v>138318</v>
      </c>
      <c r="V2368">
        <v>276636</v>
      </c>
    </row>
    <row r="2369" spans="1:22">
      <c r="A2369" t="s">
        <v>196</v>
      </c>
      <c r="B2369">
        <v>57</v>
      </c>
      <c r="C2369" t="s">
        <v>31</v>
      </c>
      <c r="D2369">
        <v>100</v>
      </c>
      <c r="E2369" t="s">
        <v>197</v>
      </c>
      <c r="F2369">
        <v>1005</v>
      </c>
      <c r="G2369" t="s">
        <v>31</v>
      </c>
      <c r="H2369">
        <v>2007</v>
      </c>
      <c r="I2369" t="s">
        <v>60</v>
      </c>
      <c r="J2369">
        <v>3435</v>
      </c>
      <c r="K2369" t="s">
        <v>1342</v>
      </c>
      <c r="L2369">
        <v>0</v>
      </c>
      <c r="N2369" t="s">
        <v>1324</v>
      </c>
      <c r="O2369">
        <v>91</v>
      </c>
      <c r="P2369">
        <v>9165</v>
      </c>
      <c r="Q2369" t="s">
        <v>1325</v>
      </c>
      <c r="R2369" t="s">
        <v>201</v>
      </c>
      <c r="S2369">
        <v>1</v>
      </c>
      <c r="T2369">
        <v>1</v>
      </c>
      <c r="U2369">
        <v>144792</v>
      </c>
      <c r="V2369">
        <v>144792</v>
      </c>
    </row>
    <row r="2370" spans="1:22">
      <c r="A2370" t="s">
        <v>196</v>
      </c>
      <c r="B2370">
        <v>57</v>
      </c>
      <c r="C2370" t="s">
        <v>31</v>
      </c>
      <c r="D2370">
        <v>100</v>
      </c>
      <c r="E2370" t="s">
        <v>197</v>
      </c>
      <c r="F2370">
        <v>1005</v>
      </c>
      <c r="G2370" t="s">
        <v>31</v>
      </c>
      <c r="H2370">
        <v>2007</v>
      </c>
      <c r="I2370" t="s">
        <v>60</v>
      </c>
      <c r="J2370">
        <v>3435</v>
      </c>
      <c r="K2370" t="s">
        <v>1342</v>
      </c>
      <c r="L2370">
        <v>0</v>
      </c>
      <c r="N2370" t="s">
        <v>1324</v>
      </c>
      <c r="O2370">
        <v>91</v>
      </c>
      <c r="P2370">
        <v>9165</v>
      </c>
      <c r="Q2370" t="s">
        <v>1325</v>
      </c>
      <c r="R2370" t="s">
        <v>201</v>
      </c>
      <c r="S2370">
        <v>3</v>
      </c>
      <c r="T2370">
        <v>1</v>
      </c>
      <c r="U2370">
        <v>140454</v>
      </c>
      <c r="V2370">
        <v>421362</v>
      </c>
    </row>
    <row r="2371" spans="1:22">
      <c r="A2371" t="s">
        <v>196</v>
      </c>
      <c r="B2371">
        <v>57</v>
      </c>
      <c r="C2371" t="s">
        <v>31</v>
      </c>
      <c r="D2371">
        <v>100</v>
      </c>
      <c r="E2371" t="s">
        <v>197</v>
      </c>
      <c r="F2371">
        <v>1005</v>
      </c>
      <c r="G2371" t="s">
        <v>31</v>
      </c>
      <c r="H2371">
        <v>2007</v>
      </c>
      <c r="I2371" t="s">
        <v>60</v>
      </c>
      <c r="J2371">
        <v>3435</v>
      </c>
      <c r="K2371" t="s">
        <v>1342</v>
      </c>
      <c r="L2371">
        <v>0</v>
      </c>
      <c r="N2371" t="s">
        <v>1324</v>
      </c>
      <c r="O2371">
        <v>91</v>
      </c>
      <c r="P2371">
        <v>9165</v>
      </c>
      <c r="Q2371" t="s">
        <v>1325</v>
      </c>
      <c r="R2371" t="s">
        <v>201</v>
      </c>
      <c r="S2371">
        <v>1</v>
      </c>
      <c r="T2371">
        <v>1</v>
      </c>
      <c r="U2371">
        <v>99426</v>
      </c>
      <c r="V2371">
        <v>99426</v>
      </c>
    </row>
    <row r="2372" spans="1:22">
      <c r="A2372" t="s">
        <v>196</v>
      </c>
      <c r="B2372">
        <v>57</v>
      </c>
      <c r="C2372" t="s">
        <v>31</v>
      </c>
      <c r="D2372">
        <v>100</v>
      </c>
      <c r="E2372" t="s">
        <v>197</v>
      </c>
      <c r="F2372">
        <v>1005</v>
      </c>
      <c r="G2372" t="s">
        <v>31</v>
      </c>
      <c r="H2372">
        <v>2007</v>
      </c>
      <c r="I2372" t="s">
        <v>60</v>
      </c>
      <c r="J2372">
        <v>3435</v>
      </c>
      <c r="K2372" t="s">
        <v>1342</v>
      </c>
      <c r="L2372">
        <v>0</v>
      </c>
      <c r="N2372" t="s">
        <v>1309</v>
      </c>
      <c r="O2372">
        <v>91</v>
      </c>
      <c r="P2372">
        <v>9161</v>
      </c>
      <c r="Q2372" t="s">
        <v>1310</v>
      </c>
      <c r="R2372" t="s">
        <v>201</v>
      </c>
      <c r="S2372">
        <v>3</v>
      </c>
      <c r="T2372">
        <v>1</v>
      </c>
      <c r="U2372">
        <v>127146</v>
      </c>
      <c r="V2372">
        <v>381438</v>
      </c>
    </row>
    <row r="2373" spans="1:22">
      <c r="A2373" t="s">
        <v>196</v>
      </c>
      <c r="B2373">
        <v>57</v>
      </c>
      <c r="C2373" t="s">
        <v>31</v>
      </c>
      <c r="D2373">
        <v>100</v>
      </c>
      <c r="E2373" t="s">
        <v>197</v>
      </c>
      <c r="F2373">
        <v>1005</v>
      </c>
      <c r="G2373" t="s">
        <v>31</v>
      </c>
      <c r="H2373">
        <v>2007</v>
      </c>
      <c r="I2373" t="s">
        <v>60</v>
      </c>
      <c r="J2373">
        <v>3435</v>
      </c>
      <c r="K2373" t="s">
        <v>1342</v>
      </c>
      <c r="L2373">
        <v>0</v>
      </c>
      <c r="N2373" t="s">
        <v>1309</v>
      </c>
      <c r="O2373">
        <v>91</v>
      </c>
      <c r="P2373">
        <v>9161</v>
      </c>
      <c r="Q2373" t="s">
        <v>1310</v>
      </c>
      <c r="R2373" t="s">
        <v>201</v>
      </c>
      <c r="S2373">
        <v>1</v>
      </c>
      <c r="T2373">
        <v>1</v>
      </c>
      <c r="U2373">
        <v>123576</v>
      </c>
      <c r="V2373">
        <v>123576</v>
      </c>
    </row>
    <row r="2374" spans="1:22">
      <c r="A2374" t="s">
        <v>196</v>
      </c>
      <c r="B2374">
        <v>57</v>
      </c>
      <c r="C2374" t="s">
        <v>31</v>
      </c>
      <c r="D2374">
        <v>100</v>
      </c>
      <c r="E2374" t="s">
        <v>197</v>
      </c>
      <c r="F2374">
        <v>1005</v>
      </c>
      <c r="G2374" t="s">
        <v>31</v>
      </c>
      <c r="H2374">
        <v>2007</v>
      </c>
      <c r="I2374" t="s">
        <v>60</v>
      </c>
      <c r="J2374">
        <v>3435</v>
      </c>
      <c r="K2374" t="s">
        <v>1342</v>
      </c>
      <c r="L2374">
        <v>0</v>
      </c>
      <c r="N2374" t="s">
        <v>1309</v>
      </c>
      <c r="O2374">
        <v>91</v>
      </c>
      <c r="P2374">
        <v>9161</v>
      </c>
      <c r="Q2374" t="s">
        <v>1310</v>
      </c>
      <c r="R2374" t="s">
        <v>201</v>
      </c>
      <c r="S2374">
        <v>2</v>
      </c>
      <c r="T2374">
        <v>1</v>
      </c>
      <c r="U2374">
        <v>119154</v>
      </c>
      <c r="V2374">
        <v>238308</v>
      </c>
    </row>
    <row r="2375" spans="1:22">
      <c r="A2375" t="s">
        <v>196</v>
      </c>
      <c r="B2375">
        <v>57</v>
      </c>
      <c r="C2375" t="s">
        <v>31</v>
      </c>
      <c r="D2375">
        <v>100</v>
      </c>
      <c r="E2375" t="s">
        <v>197</v>
      </c>
      <c r="F2375">
        <v>1005</v>
      </c>
      <c r="G2375" t="s">
        <v>31</v>
      </c>
      <c r="H2375">
        <v>2007</v>
      </c>
      <c r="I2375" t="s">
        <v>60</v>
      </c>
      <c r="J2375">
        <v>3435</v>
      </c>
      <c r="K2375" t="s">
        <v>1342</v>
      </c>
      <c r="L2375">
        <v>0</v>
      </c>
      <c r="N2375" t="s">
        <v>1309</v>
      </c>
      <c r="O2375">
        <v>91</v>
      </c>
      <c r="P2375">
        <v>9161</v>
      </c>
      <c r="Q2375" t="s">
        <v>1310</v>
      </c>
      <c r="R2375" t="s">
        <v>201</v>
      </c>
      <c r="S2375">
        <v>1</v>
      </c>
      <c r="T2375">
        <v>1</v>
      </c>
      <c r="U2375">
        <v>115158</v>
      </c>
      <c r="V2375">
        <v>115158</v>
      </c>
    </row>
    <row r="2376" spans="1:22">
      <c r="A2376" t="s">
        <v>196</v>
      </c>
      <c r="B2376">
        <v>57</v>
      </c>
      <c r="C2376" t="s">
        <v>31</v>
      </c>
      <c r="D2376">
        <v>100</v>
      </c>
      <c r="E2376" t="s">
        <v>197</v>
      </c>
      <c r="F2376">
        <v>1005</v>
      </c>
      <c r="G2376" t="s">
        <v>31</v>
      </c>
      <c r="H2376">
        <v>2007</v>
      </c>
      <c r="I2376" t="s">
        <v>60</v>
      </c>
      <c r="J2376">
        <v>3435</v>
      </c>
      <c r="K2376" t="s">
        <v>1342</v>
      </c>
      <c r="L2376">
        <v>0</v>
      </c>
      <c r="N2376" t="s">
        <v>1309</v>
      </c>
      <c r="O2376">
        <v>91</v>
      </c>
      <c r="P2376">
        <v>9161</v>
      </c>
      <c r="Q2376" t="s">
        <v>1310</v>
      </c>
      <c r="R2376" t="s">
        <v>201</v>
      </c>
      <c r="S2376">
        <v>3</v>
      </c>
      <c r="T2376">
        <v>1</v>
      </c>
      <c r="U2376">
        <v>111252</v>
      </c>
      <c r="V2376">
        <v>333756</v>
      </c>
    </row>
    <row r="2377" spans="1:22">
      <c r="A2377" t="s">
        <v>196</v>
      </c>
      <c r="B2377">
        <v>57</v>
      </c>
      <c r="C2377" t="s">
        <v>31</v>
      </c>
      <c r="D2377">
        <v>100</v>
      </c>
      <c r="E2377" t="s">
        <v>197</v>
      </c>
      <c r="F2377">
        <v>1005</v>
      </c>
      <c r="G2377" t="s">
        <v>31</v>
      </c>
      <c r="H2377">
        <v>2007</v>
      </c>
      <c r="I2377" t="s">
        <v>60</v>
      </c>
      <c r="J2377">
        <v>3435</v>
      </c>
      <c r="K2377" t="s">
        <v>1342</v>
      </c>
      <c r="L2377">
        <v>0</v>
      </c>
      <c r="N2377" t="s">
        <v>1309</v>
      </c>
      <c r="O2377">
        <v>91</v>
      </c>
      <c r="P2377">
        <v>9161</v>
      </c>
      <c r="Q2377" t="s">
        <v>1310</v>
      </c>
      <c r="R2377" t="s">
        <v>201</v>
      </c>
      <c r="S2377">
        <v>2</v>
      </c>
      <c r="T2377">
        <v>1</v>
      </c>
      <c r="U2377">
        <v>63636</v>
      </c>
      <c r="V2377">
        <v>127272</v>
      </c>
    </row>
    <row r="2378" spans="1:22">
      <c r="A2378" t="s">
        <v>196</v>
      </c>
      <c r="B2378">
        <v>57</v>
      </c>
      <c r="C2378" t="s">
        <v>31</v>
      </c>
      <c r="D2378">
        <v>100</v>
      </c>
      <c r="E2378" t="s">
        <v>197</v>
      </c>
      <c r="F2378">
        <v>1005</v>
      </c>
      <c r="G2378" t="s">
        <v>31</v>
      </c>
      <c r="H2378">
        <v>2007</v>
      </c>
      <c r="I2378" t="s">
        <v>60</v>
      </c>
      <c r="J2378">
        <v>3435</v>
      </c>
      <c r="K2378" t="s">
        <v>1342</v>
      </c>
      <c r="L2378">
        <v>0</v>
      </c>
      <c r="N2378" t="s">
        <v>199</v>
      </c>
      <c r="O2378">
        <v>0</v>
      </c>
      <c r="P2378">
        <v>15</v>
      </c>
      <c r="Q2378" t="s">
        <v>264</v>
      </c>
      <c r="R2378" t="s">
        <v>201</v>
      </c>
      <c r="S2378">
        <v>0</v>
      </c>
      <c r="T2378">
        <v>0</v>
      </c>
      <c r="U2378">
        <v>6407</v>
      </c>
      <c r="V2378">
        <v>6407</v>
      </c>
    </row>
    <row r="2379" spans="1:22">
      <c r="A2379" t="s">
        <v>196</v>
      </c>
      <c r="B2379">
        <v>57</v>
      </c>
      <c r="C2379" t="s">
        <v>31</v>
      </c>
      <c r="D2379">
        <v>100</v>
      </c>
      <c r="E2379" t="s">
        <v>197</v>
      </c>
      <c r="F2379">
        <v>1005</v>
      </c>
      <c r="G2379" t="s">
        <v>31</v>
      </c>
      <c r="H2379">
        <v>2007</v>
      </c>
      <c r="I2379" t="s">
        <v>60</v>
      </c>
      <c r="J2379">
        <v>3441</v>
      </c>
      <c r="K2379" t="s">
        <v>1343</v>
      </c>
      <c r="L2379">
        <v>0</v>
      </c>
      <c r="N2379" t="s">
        <v>1344</v>
      </c>
      <c r="O2379">
        <v>91</v>
      </c>
      <c r="P2379">
        <v>9160</v>
      </c>
      <c r="Q2379" t="s">
        <v>1345</v>
      </c>
      <c r="R2379" t="s">
        <v>201</v>
      </c>
      <c r="S2379">
        <v>3</v>
      </c>
      <c r="T2379">
        <v>1</v>
      </c>
      <c r="U2379">
        <v>152010</v>
      </c>
      <c r="V2379">
        <v>456030</v>
      </c>
    </row>
    <row r="2380" spans="1:22">
      <c r="A2380" t="s">
        <v>196</v>
      </c>
      <c r="B2380">
        <v>57</v>
      </c>
      <c r="C2380" t="s">
        <v>31</v>
      </c>
      <c r="D2380">
        <v>100</v>
      </c>
      <c r="E2380" t="s">
        <v>197</v>
      </c>
      <c r="F2380">
        <v>1005</v>
      </c>
      <c r="G2380" t="s">
        <v>31</v>
      </c>
      <c r="H2380">
        <v>2007</v>
      </c>
      <c r="I2380" t="s">
        <v>60</v>
      </c>
      <c r="J2380">
        <v>3441</v>
      </c>
      <c r="K2380" t="s">
        <v>1343</v>
      </c>
      <c r="L2380">
        <v>0</v>
      </c>
      <c r="N2380" t="s">
        <v>1344</v>
      </c>
      <c r="O2380">
        <v>91</v>
      </c>
      <c r="P2380">
        <v>9160</v>
      </c>
      <c r="Q2380" t="s">
        <v>1345</v>
      </c>
      <c r="R2380" t="s">
        <v>201</v>
      </c>
      <c r="S2380">
        <v>5</v>
      </c>
      <c r="T2380">
        <v>1</v>
      </c>
      <c r="U2380">
        <v>147252</v>
      </c>
      <c r="V2380">
        <v>736260</v>
      </c>
    </row>
    <row r="2381" spans="1:22">
      <c r="A2381" t="s">
        <v>196</v>
      </c>
      <c r="B2381">
        <v>57</v>
      </c>
      <c r="C2381" t="s">
        <v>31</v>
      </c>
      <c r="D2381">
        <v>100</v>
      </c>
      <c r="E2381" t="s">
        <v>197</v>
      </c>
      <c r="F2381">
        <v>1005</v>
      </c>
      <c r="G2381" t="s">
        <v>31</v>
      </c>
      <c r="H2381">
        <v>2007</v>
      </c>
      <c r="I2381" t="s">
        <v>60</v>
      </c>
      <c r="J2381">
        <v>3441</v>
      </c>
      <c r="K2381" t="s">
        <v>1343</v>
      </c>
      <c r="L2381">
        <v>0</v>
      </c>
      <c r="N2381" t="s">
        <v>1344</v>
      </c>
      <c r="O2381">
        <v>91</v>
      </c>
      <c r="P2381">
        <v>9160</v>
      </c>
      <c r="Q2381" t="s">
        <v>1345</v>
      </c>
      <c r="R2381" t="s">
        <v>201</v>
      </c>
      <c r="S2381">
        <v>5</v>
      </c>
      <c r="T2381">
        <v>1</v>
      </c>
      <c r="U2381">
        <v>142668</v>
      </c>
      <c r="V2381">
        <v>713340</v>
      </c>
    </row>
    <row r="2382" spans="1:22">
      <c r="A2382" t="s">
        <v>196</v>
      </c>
      <c r="B2382">
        <v>57</v>
      </c>
      <c r="C2382" t="s">
        <v>31</v>
      </c>
      <c r="D2382">
        <v>100</v>
      </c>
      <c r="E2382" t="s">
        <v>197</v>
      </c>
      <c r="F2382">
        <v>1005</v>
      </c>
      <c r="G2382" t="s">
        <v>31</v>
      </c>
      <c r="H2382">
        <v>2007</v>
      </c>
      <c r="I2382" t="s">
        <v>60</v>
      </c>
      <c r="J2382">
        <v>3441</v>
      </c>
      <c r="K2382" t="s">
        <v>1343</v>
      </c>
      <c r="L2382">
        <v>0</v>
      </c>
      <c r="N2382" t="s">
        <v>1344</v>
      </c>
      <c r="O2382">
        <v>91</v>
      </c>
      <c r="P2382">
        <v>9160</v>
      </c>
      <c r="Q2382" t="s">
        <v>1345</v>
      </c>
      <c r="R2382" t="s">
        <v>201</v>
      </c>
      <c r="S2382">
        <v>6</v>
      </c>
      <c r="T2382">
        <v>1</v>
      </c>
      <c r="U2382">
        <v>138318</v>
      </c>
      <c r="V2382">
        <v>829908</v>
      </c>
    </row>
    <row r="2383" spans="1:22">
      <c r="A2383" t="s">
        <v>196</v>
      </c>
      <c r="B2383">
        <v>57</v>
      </c>
      <c r="C2383" t="s">
        <v>31</v>
      </c>
      <c r="D2383">
        <v>100</v>
      </c>
      <c r="E2383" t="s">
        <v>197</v>
      </c>
      <c r="F2383">
        <v>1005</v>
      </c>
      <c r="G2383" t="s">
        <v>31</v>
      </c>
      <c r="H2383">
        <v>2007</v>
      </c>
      <c r="I2383" t="s">
        <v>60</v>
      </c>
      <c r="J2383">
        <v>3441</v>
      </c>
      <c r="K2383" t="s">
        <v>1343</v>
      </c>
      <c r="L2383">
        <v>0</v>
      </c>
      <c r="N2383" t="s">
        <v>1344</v>
      </c>
      <c r="O2383">
        <v>91</v>
      </c>
      <c r="P2383">
        <v>9160</v>
      </c>
      <c r="Q2383" t="s">
        <v>1345</v>
      </c>
      <c r="R2383" t="s">
        <v>201</v>
      </c>
      <c r="S2383">
        <v>3</v>
      </c>
      <c r="T2383">
        <v>1</v>
      </c>
      <c r="U2383">
        <v>133884</v>
      </c>
      <c r="V2383">
        <v>401652</v>
      </c>
    </row>
    <row r="2384" spans="1:22">
      <c r="A2384" t="s">
        <v>196</v>
      </c>
      <c r="B2384">
        <v>57</v>
      </c>
      <c r="C2384" t="s">
        <v>31</v>
      </c>
      <c r="D2384">
        <v>100</v>
      </c>
      <c r="E2384" t="s">
        <v>197</v>
      </c>
      <c r="F2384">
        <v>1005</v>
      </c>
      <c r="G2384" t="s">
        <v>31</v>
      </c>
      <c r="H2384">
        <v>2007</v>
      </c>
      <c r="I2384" t="s">
        <v>60</v>
      </c>
      <c r="J2384">
        <v>3441</v>
      </c>
      <c r="K2384" t="s">
        <v>1343</v>
      </c>
      <c r="L2384">
        <v>0</v>
      </c>
      <c r="N2384" t="s">
        <v>199</v>
      </c>
      <c r="O2384">
        <v>0</v>
      </c>
      <c r="P2384">
        <v>15</v>
      </c>
      <c r="Q2384" t="s">
        <v>264</v>
      </c>
      <c r="R2384" t="s">
        <v>201</v>
      </c>
      <c r="S2384">
        <v>0</v>
      </c>
      <c r="T2384">
        <v>0</v>
      </c>
      <c r="U2384">
        <v>10400</v>
      </c>
      <c r="V2384">
        <v>10400</v>
      </c>
    </row>
    <row r="2385" spans="1:22">
      <c r="A2385" t="s">
        <v>196</v>
      </c>
      <c r="B2385">
        <v>57</v>
      </c>
      <c r="C2385" t="s">
        <v>31</v>
      </c>
      <c r="D2385">
        <v>100</v>
      </c>
      <c r="E2385" t="s">
        <v>197</v>
      </c>
      <c r="F2385">
        <v>1005</v>
      </c>
      <c r="G2385" t="s">
        <v>31</v>
      </c>
      <c r="H2385">
        <v>2012</v>
      </c>
      <c r="I2385" t="s">
        <v>2</v>
      </c>
      <c r="J2385">
        <v>3283</v>
      </c>
      <c r="K2385" t="s">
        <v>1346</v>
      </c>
      <c r="L2385">
        <v>0</v>
      </c>
      <c r="N2385" t="s">
        <v>199</v>
      </c>
      <c r="O2385">
        <v>99</v>
      </c>
      <c r="P2385">
        <v>9785</v>
      </c>
      <c r="Q2385" t="s">
        <v>1320</v>
      </c>
      <c r="R2385" t="s">
        <v>201</v>
      </c>
      <c r="S2385">
        <v>1</v>
      </c>
      <c r="T2385">
        <v>1</v>
      </c>
      <c r="U2385">
        <v>219048</v>
      </c>
      <c r="V2385">
        <v>219048</v>
      </c>
    </row>
    <row r="2386" spans="1:22">
      <c r="A2386" t="s">
        <v>196</v>
      </c>
      <c r="B2386">
        <v>57</v>
      </c>
      <c r="C2386" t="s">
        <v>31</v>
      </c>
      <c r="D2386">
        <v>100</v>
      </c>
      <c r="E2386" t="s">
        <v>197</v>
      </c>
      <c r="F2386">
        <v>1005</v>
      </c>
      <c r="G2386" t="s">
        <v>31</v>
      </c>
      <c r="H2386">
        <v>2012</v>
      </c>
      <c r="I2386" t="s">
        <v>2</v>
      </c>
      <c r="J2386">
        <v>3283</v>
      </c>
      <c r="K2386" t="s">
        <v>1346</v>
      </c>
      <c r="L2386">
        <v>0</v>
      </c>
      <c r="N2386" t="s">
        <v>216</v>
      </c>
      <c r="O2386">
        <v>99</v>
      </c>
      <c r="P2386">
        <v>9752</v>
      </c>
      <c r="Q2386" t="s">
        <v>1296</v>
      </c>
      <c r="R2386" t="s">
        <v>201</v>
      </c>
      <c r="S2386">
        <v>1</v>
      </c>
      <c r="T2386">
        <v>1</v>
      </c>
      <c r="U2386">
        <v>192240</v>
      </c>
      <c r="V2386">
        <v>192240</v>
      </c>
    </row>
    <row r="2387" spans="1:22">
      <c r="A2387" t="s">
        <v>196</v>
      </c>
      <c r="B2387">
        <v>57</v>
      </c>
      <c r="C2387" t="s">
        <v>31</v>
      </c>
      <c r="D2387">
        <v>100</v>
      </c>
      <c r="E2387" t="s">
        <v>197</v>
      </c>
      <c r="F2387">
        <v>1005</v>
      </c>
      <c r="G2387" t="s">
        <v>31</v>
      </c>
      <c r="H2387">
        <v>2012</v>
      </c>
      <c r="I2387" t="s">
        <v>2</v>
      </c>
      <c r="J2387">
        <v>3283</v>
      </c>
      <c r="K2387" t="s">
        <v>1346</v>
      </c>
      <c r="L2387">
        <v>0</v>
      </c>
      <c r="N2387" t="s">
        <v>1304</v>
      </c>
      <c r="O2387">
        <v>73</v>
      </c>
      <c r="P2387">
        <v>9173</v>
      </c>
      <c r="Q2387" t="s">
        <v>1323</v>
      </c>
      <c r="R2387" t="s">
        <v>201</v>
      </c>
      <c r="S2387">
        <v>1</v>
      </c>
      <c r="T2387">
        <v>1</v>
      </c>
      <c r="U2387">
        <v>170700</v>
      </c>
      <c r="V2387">
        <v>170700</v>
      </c>
    </row>
    <row r="2388" spans="1:22">
      <c r="A2388" t="s">
        <v>196</v>
      </c>
      <c r="B2388">
        <v>57</v>
      </c>
      <c r="C2388" t="s">
        <v>31</v>
      </c>
      <c r="D2388">
        <v>100</v>
      </c>
      <c r="E2388" t="s">
        <v>197</v>
      </c>
      <c r="F2388">
        <v>1005</v>
      </c>
      <c r="G2388" t="s">
        <v>31</v>
      </c>
      <c r="H2388">
        <v>2012</v>
      </c>
      <c r="I2388" t="s">
        <v>2</v>
      </c>
      <c r="J2388">
        <v>3283</v>
      </c>
      <c r="K2388" t="s">
        <v>1346</v>
      </c>
      <c r="L2388">
        <v>0</v>
      </c>
      <c r="N2388" t="s">
        <v>1302</v>
      </c>
      <c r="O2388">
        <v>71</v>
      </c>
      <c r="P2388">
        <v>9171</v>
      </c>
      <c r="Q2388" t="s">
        <v>1303</v>
      </c>
      <c r="R2388" t="s">
        <v>201</v>
      </c>
      <c r="S2388">
        <v>2</v>
      </c>
      <c r="T2388">
        <v>1</v>
      </c>
      <c r="U2388">
        <v>147252</v>
      </c>
      <c r="V2388">
        <v>294504</v>
      </c>
    </row>
    <row r="2389" spans="1:22">
      <c r="A2389" t="s">
        <v>196</v>
      </c>
      <c r="B2389">
        <v>57</v>
      </c>
      <c r="C2389" t="s">
        <v>31</v>
      </c>
      <c r="D2389">
        <v>100</v>
      </c>
      <c r="E2389" t="s">
        <v>197</v>
      </c>
      <c r="F2389">
        <v>1005</v>
      </c>
      <c r="G2389" t="s">
        <v>31</v>
      </c>
      <c r="H2389">
        <v>2012</v>
      </c>
      <c r="I2389" t="s">
        <v>2</v>
      </c>
      <c r="J2389">
        <v>3283</v>
      </c>
      <c r="K2389" t="s">
        <v>1346</v>
      </c>
      <c r="L2389">
        <v>0</v>
      </c>
      <c r="N2389" t="s">
        <v>1302</v>
      </c>
      <c r="O2389">
        <v>71</v>
      </c>
      <c r="P2389">
        <v>9171</v>
      </c>
      <c r="Q2389" t="s">
        <v>1303</v>
      </c>
      <c r="R2389" t="s">
        <v>201</v>
      </c>
      <c r="S2389">
        <v>1</v>
      </c>
      <c r="T2389">
        <v>1</v>
      </c>
      <c r="U2389">
        <v>142668</v>
      </c>
      <c r="V2389">
        <v>142668</v>
      </c>
    </row>
    <row r="2390" spans="1:22">
      <c r="A2390" t="s">
        <v>196</v>
      </c>
      <c r="B2390">
        <v>57</v>
      </c>
      <c r="C2390" t="s">
        <v>31</v>
      </c>
      <c r="D2390">
        <v>100</v>
      </c>
      <c r="E2390" t="s">
        <v>197</v>
      </c>
      <c r="F2390">
        <v>1005</v>
      </c>
      <c r="G2390" t="s">
        <v>31</v>
      </c>
      <c r="H2390">
        <v>2012</v>
      </c>
      <c r="I2390" t="s">
        <v>2</v>
      </c>
      <c r="J2390">
        <v>3283</v>
      </c>
      <c r="K2390" t="s">
        <v>1346</v>
      </c>
      <c r="L2390">
        <v>0</v>
      </c>
      <c r="N2390" t="s">
        <v>1309</v>
      </c>
      <c r="O2390">
        <v>91</v>
      </c>
      <c r="P2390">
        <v>9161</v>
      </c>
      <c r="Q2390" t="s">
        <v>1310</v>
      </c>
      <c r="R2390" t="s">
        <v>201</v>
      </c>
      <c r="S2390">
        <v>1</v>
      </c>
      <c r="T2390">
        <v>1</v>
      </c>
      <c r="U2390">
        <v>127146</v>
      </c>
      <c r="V2390">
        <v>127146</v>
      </c>
    </row>
    <row r="2391" spans="1:22">
      <c r="A2391" t="s">
        <v>196</v>
      </c>
      <c r="B2391">
        <v>57</v>
      </c>
      <c r="C2391" t="s">
        <v>31</v>
      </c>
      <c r="D2391">
        <v>100</v>
      </c>
      <c r="E2391" t="s">
        <v>197</v>
      </c>
      <c r="F2391">
        <v>1005</v>
      </c>
      <c r="G2391" t="s">
        <v>31</v>
      </c>
      <c r="H2391">
        <v>2012</v>
      </c>
      <c r="I2391" t="s">
        <v>2</v>
      </c>
      <c r="J2391">
        <v>3283</v>
      </c>
      <c r="K2391" t="s">
        <v>1346</v>
      </c>
      <c r="L2391">
        <v>0</v>
      </c>
      <c r="N2391" t="s">
        <v>1309</v>
      </c>
      <c r="O2391">
        <v>91</v>
      </c>
      <c r="P2391">
        <v>9161</v>
      </c>
      <c r="Q2391" t="s">
        <v>1310</v>
      </c>
      <c r="R2391" t="s">
        <v>201</v>
      </c>
      <c r="S2391">
        <v>1</v>
      </c>
      <c r="T2391">
        <v>1</v>
      </c>
      <c r="U2391">
        <v>115158</v>
      </c>
      <c r="V2391">
        <v>115158</v>
      </c>
    </row>
    <row r="2392" spans="1:22">
      <c r="A2392" t="s">
        <v>196</v>
      </c>
      <c r="B2392">
        <v>57</v>
      </c>
      <c r="C2392" t="s">
        <v>31</v>
      </c>
      <c r="D2392">
        <v>100</v>
      </c>
      <c r="E2392" t="s">
        <v>197</v>
      </c>
      <c r="F2392">
        <v>1005</v>
      </c>
      <c r="G2392" t="s">
        <v>31</v>
      </c>
      <c r="H2392">
        <v>2012</v>
      </c>
      <c r="I2392" t="s">
        <v>2</v>
      </c>
      <c r="J2392">
        <v>3283</v>
      </c>
      <c r="K2392" t="s">
        <v>1346</v>
      </c>
      <c r="L2392">
        <v>0</v>
      </c>
      <c r="N2392" t="s">
        <v>1309</v>
      </c>
      <c r="O2392">
        <v>91</v>
      </c>
      <c r="P2392">
        <v>9161</v>
      </c>
      <c r="Q2392" t="s">
        <v>1310</v>
      </c>
      <c r="R2392" t="s">
        <v>201</v>
      </c>
      <c r="S2392">
        <v>1</v>
      </c>
      <c r="T2392">
        <v>1</v>
      </c>
      <c r="U2392">
        <v>111252</v>
      </c>
      <c r="V2392">
        <v>111252</v>
      </c>
    </row>
    <row r="2393" spans="1:22">
      <c r="A2393" t="s">
        <v>196</v>
      </c>
      <c r="B2393">
        <v>57</v>
      </c>
      <c r="C2393" t="s">
        <v>31</v>
      </c>
      <c r="D2393">
        <v>100</v>
      </c>
      <c r="E2393" t="s">
        <v>197</v>
      </c>
      <c r="F2393">
        <v>1005</v>
      </c>
      <c r="G2393" t="s">
        <v>31</v>
      </c>
      <c r="H2393">
        <v>2012</v>
      </c>
      <c r="I2393" t="s">
        <v>2</v>
      </c>
      <c r="J2393">
        <v>3283</v>
      </c>
      <c r="K2393" t="s">
        <v>1346</v>
      </c>
      <c r="L2393">
        <v>0</v>
      </c>
      <c r="N2393" t="s">
        <v>392</v>
      </c>
      <c r="O2393">
        <v>3</v>
      </c>
      <c r="P2393">
        <v>9117</v>
      </c>
      <c r="Q2393" t="s">
        <v>1347</v>
      </c>
      <c r="R2393" t="s">
        <v>201</v>
      </c>
      <c r="S2393">
        <v>3</v>
      </c>
      <c r="T2393">
        <v>1</v>
      </c>
      <c r="U2393">
        <v>93504</v>
      </c>
      <c r="V2393">
        <v>280512</v>
      </c>
    </row>
    <row r="2394" spans="1:22">
      <c r="A2394" t="s">
        <v>196</v>
      </c>
      <c r="B2394">
        <v>57</v>
      </c>
      <c r="C2394" t="s">
        <v>31</v>
      </c>
      <c r="D2394">
        <v>100</v>
      </c>
      <c r="E2394" t="s">
        <v>197</v>
      </c>
      <c r="F2394">
        <v>1005</v>
      </c>
      <c r="G2394" t="s">
        <v>31</v>
      </c>
      <c r="H2394">
        <v>2012</v>
      </c>
      <c r="I2394" t="s">
        <v>2</v>
      </c>
      <c r="J2394">
        <v>3283</v>
      </c>
      <c r="K2394" t="s">
        <v>1346</v>
      </c>
      <c r="L2394">
        <v>0</v>
      </c>
      <c r="N2394" t="s">
        <v>392</v>
      </c>
      <c r="O2394">
        <v>3</v>
      </c>
      <c r="P2394">
        <v>9117</v>
      </c>
      <c r="Q2394" t="s">
        <v>1347</v>
      </c>
      <c r="R2394" t="s">
        <v>201</v>
      </c>
      <c r="S2394">
        <v>5</v>
      </c>
      <c r="T2394">
        <v>1</v>
      </c>
      <c r="U2394">
        <v>90732</v>
      </c>
      <c r="V2394">
        <v>453660</v>
      </c>
    </row>
    <row r="2395" spans="1:22">
      <c r="A2395" t="s">
        <v>196</v>
      </c>
      <c r="B2395">
        <v>57</v>
      </c>
      <c r="C2395" t="s">
        <v>31</v>
      </c>
      <c r="D2395">
        <v>100</v>
      </c>
      <c r="E2395" t="s">
        <v>197</v>
      </c>
      <c r="F2395">
        <v>1005</v>
      </c>
      <c r="G2395" t="s">
        <v>31</v>
      </c>
      <c r="H2395">
        <v>2012</v>
      </c>
      <c r="I2395" t="s">
        <v>2</v>
      </c>
      <c r="J2395">
        <v>3283</v>
      </c>
      <c r="K2395" t="s">
        <v>1346</v>
      </c>
      <c r="L2395">
        <v>0</v>
      </c>
      <c r="N2395" t="s">
        <v>199</v>
      </c>
      <c r="O2395">
        <v>0</v>
      </c>
      <c r="P2395">
        <v>15</v>
      </c>
      <c r="Q2395" t="s">
        <v>264</v>
      </c>
      <c r="R2395" t="s">
        <v>201</v>
      </c>
      <c r="S2395">
        <v>0</v>
      </c>
      <c r="T2395">
        <v>0</v>
      </c>
      <c r="U2395">
        <v>12572</v>
      </c>
      <c r="V2395">
        <v>12572</v>
      </c>
    </row>
    <row r="2396" spans="1:22">
      <c r="A2396" t="s">
        <v>196</v>
      </c>
      <c r="B2396">
        <v>57</v>
      </c>
      <c r="C2396" t="s">
        <v>31</v>
      </c>
      <c r="D2396">
        <v>100</v>
      </c>
      <c r="E2396" t="s">
        <v>197</v>
      </c>
      <c r="F2396">
        <v>1005</v>
      </c>
      <c r="G2396" t="s">
        <v>31</v>
      </c>
      <c r="H2396">
        <v>2012</v>
      </c>
      <c r="I2396" t="s">
        <v>2</v>
      </c>
      <c r="J2396">
        <v>3321</v>
      </c>
      <c r="K2396" t="s">
        <v>1348</v>
      </c>
      <c r="L2396">
        <v>0</v>
      </c>
      <c r="N2396" t="s">
        <v>199</v>
      </c>
      <c r="O2396">
        <v>99</v>
      </c>
      <c r="P2396">
        <v>9796</v>
      </c>
      <c r="Q2396" t="s">
        <v>1319</v>
      </c>
      <c r="R2396" t="s">
        <v>201</v>
      </c>
      <c r="S2396">
        <v>6</v>
      </c>
      <c r="T2396">
        <v>1</v>
      </c>
      <c r="U2396">
        <v>201048</v>
      </c>
      <c r="V2396">
        <v>1206288</v>
      </c>
    </row>
    <row r="2397" spans="1:22">
      <c r="A2397" t="s">
        <v>196</v>
      </c>
      <c r="B2397">
        <v>57</v>
      </c>
      <c r="C2397" t="s">
        <v>31</v>
      </c>
      <c r="D2397">
        <v>100</v>
      </c>
      <c r="E2397" t="s">
        <v>197</v>
      </c>
      <c r="F2397">
        <v>1005</v>
      </c>
      <c r="G2397" t="s">
        <v>31</v>
      </c>
      <c r="H2397">
        <v>2012</v>
      </c>
      <c r="I2397" t="s">
        <v>2</v>
      </c>
      <c r="J2397">
        <v>3321</v>
      </c>
      <c r="K2397" t="s">
        <v>1348</v>
      </c>
      <c r="L2397">
        <v>0</v>
      </c>
      <c r="N2397" t="s">
        <v>216</v>
      </c>
      <c r="O2397">
        <v>99</v>
      </c>
      <c r="P2397">
        <v>9752</v>
      </c>
      <c r="Q2397" t="s">
        <v>1296</v>
      </c>
      <c r="R2397" t="s">
        <v>201</v>
      </c>
      <c r="S2397">
        <v>22</v>
      </c>
      <c r="T2397">
        <v>1</v>
      </c>
      <c r="U2397">
        <v>192240</v>
      </c>
      <c r="V2397">
        <v>4229280</v>
      </c>
    </row>
    <row r="2398" spans="1:22">
      <c r="A2398" t="s">
        <v>196</v>
      </c>
      <c r="B2398">
        <v>57</v>
      </c>
      <c r="C2398" t="s">
        <v>31</v>
      </c>
      <c r="D2398">
        <v>100</v>
      </c>
      <c r="E2398" t="s">
        <v>197</v>
      </c>
      <c r="F2398">
        <v>1005</v>
      </c>
      <c r="G2398" t="s">
        <v>31</v>
      </c>
      <c r="H2398">
        <v>2012</v>
      </c>
      <c r="I2398" t="s">
        <v>2</v>
      </c>
      <c r="J2398">
        <v>3321</v>
      </c>
      <c r="K2398" t="s">
        <v>1348</v>
      </c>
      <c r="L2398">
        <v>0</v>
      </c>
      <c r="N2398" t="s">
        <v>1330</v>
      </c>
      <c r="O2398">
        <v>75</v>
      </c>
      <c r="P2398">
        <v>9175</v>
      </c>
      <c r="Q2398" t="s">
        <v>1331</v>
      </c>
      <c r="R2398" t="s">
        <v>201</v>
      </c>
      <c r="S2398">
        <v>2</v>
      </c>
      <c r="T2398">
        <v>1</v>
      </c>
      <c r="U2398">
        <v>188352</v>
      </c>
      <c r="V2398">
        <v>376704</v>
      </c>
    </row>
    <row r="2399" spans="1:22">
      <c r="A2399" t="s">
        <v>196</v>
      </c>
      <c r="B2399">
        <v>57</v>
      </c>
      <c r="C2399" t="s">
        <v>31</v>
      </c>
      <c r="D2399">
        <v>100</v>
      </c>
      <c r="E2399" t="s">
        <v>197</v>
      </c>
      <c r="F2399">
        <v>1005</v>
      </c>
      <c r="G2399" t="s">
        <v>31</v>
      </c>
      <c r="H2399">
        <v>2012</v>
      </c>
      <c r="I2399" t="s">
        <v>2</v>
      </c>
      <c r="J2399">
        <v>3321</v>
      </c>
      <c r="K2399" t="s">
        <v>1348</v>
      </c>
      <c r="L2399">
        <v>0</v>
      </c>
      <c r="N2399" t="s">
        <v>1330</v>
      </c>
      <c r="O2399">
        <v>75</v>
      </c>
      <c r="P2399">
        <v>9175</v>
      </c>
      <c r="Q2399" t="s">
        <v>1331</v>
      </c>
      <c r="R2399" t="s">
        <v>201</v>
      </c>
      <c r="S2399">
        <v>10</v>
      </c>
      <c r="T2399">
        <v>1</v>
      </c>
      <c r="U2399">
        <v>185676</v>
      </c>
      <c r="V2399">
        <v>1856760</v>
      </c>
    </row>
    <row r="2400" spans="1:22">
      <c r="A2400" t="s">
        <v>196</v>
      </c>
      <c r="B2400">
        <v>57</v>
      </c>
      <c r="C2400" t="s">
        <v>31</v>
      </c>
      <c r="D2400">
        <v>100</v>
      </c>
      <c r="E2400" t="s">
        <v>197</v>
      </c>
      <c r="F2400">
        <v>1005</v>
      </c>
      <c r="G2400" t="s">
        <v>31</v>
      </c>
      <c r="H2400">
        <v>2012</v>
      </c>
      <c r="I2400" t="s">
        <v>2</v>
      </c>
      <c r="J2400">
        <v>3321</v>
      </c>
      <c r="K2400" t="s">
        <v>1348</v>
      </c>
      <c r="L2400">
        <v>0</v>
      </c>
      <c r="N2400" t="s">
        <v>1330</v>
      </c>
      <c r="O2400">
        <v>75</v>
      </c>
      <c r="P2400">
        <v>9175</v>
      </c>
      <c r="Q2400" t="s">
        <v>1331</v>
      </c>
      <c r="R2400" t="s">
        <v>201</v>
      </c>
      <c r="S2400">
        <v>5</v>
      </c>
      <c r="T2400">
        <v>1</v>
      </c>
      <c r="U2400">
        <v>181188</v>
      </c>
      <c r="V2400">
        <v>905940</v>
      </c>
    </row>
    <row r="2401" spans="1:22">
      <c r="A2401" t="s">
        <v>196</v>
      </c>
      <c r="B2401">
        <v>57</v>
      </c>
      <c r="C2401" t="s">
        <v>31</v>
      </c>
      <c r="D2401">
        <v>100</v>
      </c>
      <c r="E2401" t="s">
        <v>197</v>
      </c>
      <c r="F2401">
        <v>1005</v>
      </c>
      <c r="G2401" t="s">
        <v>31</v>
      </c>
      <c r="H2401">
        <v>2012</v>
      </c>
      <c r="I2401" t="s">
        <v>2</v>
      </c>
      <c r="J2401">
        <v>3321</v>
      </c>
      <c r="K2401" t="s">
        <v>1348</v>
      </c>
      <c r="L2401">
        <v>0</v>
      </c>
      <c r="N2401" t="s">
        <v>1330</v>
      </c>
      <c r="O2401">
        <v>75</v>
      </c>
      <c r="P2401">
        <v>9175</v>
      </c>
      <c r="Q2401" t="s">
        <v>1331</v>
      </c>
      <c r="R2401" t="s">
        <v>201</v>
      </c>
      <c r="S2401">
        <v>2</v>
      </c>
      <c r="T2401">
        <v>1</v>
      </c>
      <c r="U2401">
        <v>171456</v>
      </c>
      <c r="V2401">
        <v>342912</v>
      </c>
    </row>
    <row r="2402" spans="1:22">
      <c r="A2402" t="s">
        <v>196</v>
      </c>
      <c r="B2402">
        <v>57</v>
      </c>
      <c r="C2402" t="s">
        <v>31</v>
      </c>
      <c r="D2402">
        <v>100</v>
      </c>
      <c r="E2402" t="s">
        <v>197</v>
      </c>
      <c r="F2402">
        <v>1005</v>
      </c>
      <c r="G2402" t="s">
        <v>31</v>
      </c>
      <c r="H2402">
        <v>2012</v>
      </c>
      <c r="I2402" t="s">
        <v>2</v>
      </c>
      <c r="J2402">
        <v>3321</v>
      </c>
      <c r="K2402" t="s">
        <v>1348</v>
      </c>
      <c r="L2402">
        <v>0</v>
      </c>
      <c r="N2402" t="s">
        <v>1304</v>
      </c>
      <c r="O2402">
        <v>73</v>
      </c>
      <c r="P2402">
        <v>9173</v>
      </c>
      <c r="Q2402" t="s">
        <v>1323</v>
      </c>
      <c r="R2402" t="s">
        <v>201</v>
      </c>
      <c r="S2402">
        <v>16</v>
      </c>
      <c r="T2402">
        <v>1</v>
      </c>
      <c r="U2402">
        <v>175002</v>
      </c>
      <c r="V2402">
        <v>2800032</v>
      </c>
    </row>
    <row r="2403" spans="1:22">
      <c r="A2403" t="s">
        <v>196</v>
      </c>
      <c r="B2403">
        <v>57</v>
      </c>
      <c r="C2403" t="s">
        <v>31</v>
      </c>
      <c r="D2403">
        <v>100</v>
      </c>
      <c r="E2403" t="s">
        <v>197</v>
      </c>
      <c r="F2403">
        <v>1005</v>
      </c>
      <c r="G2403" t="s">
        <v>31</v>
      </c>
      <c r="H2403">
        <v>2012</v>
      </c>
      <c r="I2403" t="s">
        <v>2</v>
      </c>
      <c r="J2403">
        <v>3321</v>
      </c>
      <c r="K2403" t="s">
        <v>1348</v>
      </c>
      <c r="L2403">
        <v>0</v>
      </c>
      <c r="N2403" t="s">
        <v>1304</v>
      </c>
      <c r="O2403">
        <v>73</v>
      </c>
      <c r="P2403">
        <v>9173</v>
      </c>
      <c r="Q2403" t="s">
        <v>1323</v>
      </c>
      <c r="R2403" t="s">
        <v>201</v>
      </c>
      <c r="S2403">
        <v>94</v>
      </c>
      <c r="T2403">
        <v>1</v>
      </c>
      <c r="U2403">
        <v>170700</v>
      </c>
      <c r="V2403">
        <v>16045800</v>
      </c>
    </row>
    <row r="2404" spans="1:22">
      <c r="A2404" t="s">
        <v>196</v>
      </c>
      <c r="B2404">
        <v>57</v>
      </c>
      <c r="C2404" t="s">
        <v>31</v>
      </c>
      <c r="D2404">
        <v>100</v>
      </c>
      <c r="E2404" t="s">
        <v>197</v>
      </c>
      <c r="F2404">
        <v>1005</v>
      </c>
      <c r="G2404" t="s">
        <v>31</v>
      </c>
      <c r="H2404">
        <v>2012</v>
      </c>
      <c r="I2404" t="s">
        <v>2</v>
      </c>
      <c r="J2404">
        <v>3321</v>
      </c>
      <c r="K2404" t="s">
        <v>1348</v>
      </c>
      <c r="L2404">
        <v>0</v>
      </c>
      <c r="N2404" t="s">
        <v>1304</v>
      </c>
      <c r="O2404">
        <v>73</v>
      </c>
      <c r="P2404">
        <v>9173</v>
      </c>
      <c r="Q2404" t="s">
        <v>1323</v>
      </c>
      <c r="R2404" t="s">
        <v>201</v>
      </c>
      <c r="S2404">
        <v>55</v>
      </c>
      <c r="T2404">
        <v>1</v>
      </c>
      <c r="U2404">
        <v>165624</v>
      </c>
      <c r="V2404">
        <v>9109320</v>
      </c>
    </row>
    <row r="2405" spans="1:22">
      <c r="A2405" t="s">
        <v>196</v>
      </c>
      <c r="B2405">
        <v>57</v>
      </c>
      <c r="C2405" t="s">
        <v>31</v>
      </c>
      <c r="D2405">
        <v>100</v>
      </c>
      <c r="E2405" t="s">
        <v>197</v>
      </c>
      <c r="F2405">
        <v>1005</v>
      </c>
      <c r="G2405" t="s">
        <v>31</v>
      </c>
      <c r="H2405">
        <v>2012</v>
      </c>
      <c r="I2405" t="s">
        <v>2</v>
      </c>
      <c r="J2405">
        <v>3321</v>
      </c>
      <c r="K2405" t="s">
        <v>1348</v>
      </c>
      <c r="L2405">
        <v>0</v>
      </c>
      <c r="N2405" t="s">
        <v>1304</v>
      </c>
      <c r="O2405">
        <v>73</v>
      </c>
      <c r="P2405">
        <v>9173</v>
      </c>
      <c r="Q2405" t="s">
        <v>1323</v>
      </c>
      <c r="R2405" t="s">
        <v>201</v>
      </c>
      <c r="S2405">
        <v>26</v>
      </c>
      <c r="T2405">
        <v>1</v>
      </c>
      <c r="U2405">
        <v>160746</v>
      </c>
      <c r="V2405">
        <v>4179396</v>
      </c>
    </row>
    <row r="2406" spans="1:22">
      <c r="A2406" t="s">
        <v>196</v>
      </c>
      <c r="B2406">
        <v>57</v>
      </c>
      <c r="C2406" t="s">
        <v>31</v>
      </c>
      <c r="D2406">
        <v>100</v>
      </c>
      <c r="E2406" t="s">
        <v>197</v>
      </c>
      <c r="F2406">
        <v>1005</v>
      </c>
      <c r="G2406" t="s">
        <v>31</v>
      </c>
      <c r="H2406">
        <v>2012</v>
      </c>
      <c r="I2406" t="s">
        <v>2</v>
      </c>
      <c r="J2406">
        <v>3321</v>
      </c>
      <c r="K2406" t="s">
        <v>1348</v>
      </c>
      <c r="L2406">
        <v>0</v>
      </c>
      <c r="N2406" t="s">
        <v>1304</v>
      </c>
      <c r="O2406">
        <v>73</v>
      </c>
      <c r="P2406">
        <v>9173</v>
      </c>
      <c r="Q2406" t="s">
        <v>1323</v>
      </c>
      <c r="R2406" t="s">
        <v>201</v>
      </c>
      <c r="S2406">
        <v>22</v>
      </c>
      <c r="T2406">
        <v>1</v>
      </c>
      <c r="U2406">
        <v>155934</v>
      </c>
      <c r="V2406">
        <v>3430548</v>
      </c>
    </row>
    <row r="2407" spans="1:22">
      <c r="A2407" t="s">
        <v>196</v>
      </c>
      <c r="B2407">
        <v>57</v>
      </c>
      <c r="C2407" t="s">
        <v>31</v>
      </c>
      <c r="D2407">
        <v>100</v>
      </c>
      <c r="E2407" t="s">
        <v>197</v>
      </c>
      <c r="F2407">
        <v>1005</v>
      </c>
      <c r="G2407" t="s">
        <v>31</v>
      </c>
      <c r="H2407">
        <v>2012</v>
      </c>
      <c r="I2407" t="s">
        <v>2</v>
      </c>
      <c r="J2407">
        <v>3321</v>
      </c>
      <c r="K2407" t="s">
        <v>1348</v>
      </c>
      <c r="L2407">
        <v>0</v>
      </c>
      <c r="N2407" t="s">
        <v>1302</v>
      </c>
      <c r="O2407">
        <v>71</v>
      </c>
      <c r="P2407">
        <v>9171</v>
      </c>
      <c r="Q2407" t="s">
        <v>1303</v>
      </c>
      <c r="R2407" t="s">
        <v>201</v>
      </c>
      <c r="S2407">
        <v>22</v>
      </c>
      <c r="T2407">
        <v>1</v>
      </c>
      <c r="U2407">
        <v>156564</v>
      </c>
      <c r="V2407">
        <v>3444408</v>
      </c>
    </row>
    <row r="2408" spans="1:22">
      <c r="A2408" t="s">
        <v>196</v>
      </c>
      <c r="B2408">
        <v>57</v>
      </c>
      <c r="C2408" t="s">
        <v>31</v>
      </c>
      <c r="D2408">
        <v>100</v>
      </c>
      <c r="E2408" t="s">
        <v>197</v>
      </c>
      <c r="F2408">
        <v>1005</v>
      </c>
      <c r="G2408" t="s">
        <v>31</v>
      </c>
      <c r="H2408">
        <v>2012</v>
      </c>
      <c r="I2408" t="s">
        <v>2</v>
      </c>
      <c r="J2408">
        <v>3321</v>
      </c>
      <c r="K2408" t="s">
        <v>1348</v>
      </c>
      <c r="L2408">
        <v>0</v>
      </c>
      <c r="N2408" t="s">
        <v>1302</v>
      </c>
      <c r="O2408">
        <v>71</v>
      </c>
      <c r="P2408">
        <v>9171</v>
      </c>
      <c r="Q2408" t="s">
        <v>1303</v>
      </c>
      <c r="R2408" t="s">
        <v>201</v>
      </c>
      <c r="S2408">
        <v>233</v>
      </c>
      <c r="T2408">
        <v>1</v>
      </c>
      <c r="U2408">
        <v>152010</v>
      </c>
      <c r="V2408">
        <v>35418330</v>
      </c>
    </row>
    <row r="2409" spans="1:22">
      <c r="A2409" t="s">
        <v>196</v>
      </c>
      <c r="B2409">
        <v>57</v>
      </c>
      <c r="C2409" t="s">
        <v>31</v>
      </c>
      <c r="D2409">
        <v>100</v>
      </c>
      <c r="E2409" t="s">
        <v>197</v>
      </c>
      <c r="F2409">
        <v>1005</v>
      </c>
      <c r="G2409" t="s">
        <v>31</v>
      </c>
      <c r="H2409">
        <v>2012</v>
      </c>
      <c r="I2409" t="s">
        <v>2</v>
      </c>
      <c r="J2409">
        <v>3321</v>
      </c>
      <c r="K2409" t="s">
        <v>1348</v>
      </c>
      <c r="L2409">
        <v>0</v>
      </c>
      <c r="N2409" t="s">
        <v>1302</v>
      </c>
      <c r="O2409">
        <v>71</v>
      </c>
      <c r="P2409">
        <v>9171</v>
      </c>
      <c r="Q2409" t="s">
        <v>1303</v>
      </c>
      <c r="R2409" t="s">
        <v>201</v>
      </c>
      <c r="S2409">
        <v>285</v>
      </c>
      <c r="T2409">
        <v>1</v>
      </c>
      <c r="U2409">
        <v>147252</v>
      </c>
      <c r="V2409">
        <v>41966820</v>
      </c>
    </row>
    <row r="2410" spans="1:22">
      <c r="A2410" t="s">
        <v>196</v>
      </c>
      <c r="B2410">
        <v>57</v>
      </c>
      <c r="C2410" t="s">
        <v>31</v>
      </c>
      <c r="D2410">
        <v>100</v>
      </c>
      <c r="E2410" t="s">
        <v>197</v>
      </c>
      <c r="F2410">
        <v>1005</v>
      </c>
      <c r="G2410" t="s">
        <v>31</v>
      </c>
      <c r="H2410">
        <v>2012</v>
      </c>
      <c r="I2410" t="s">
        <v>2</v>
      </c>
      <c r="J2410">
        <v>3321</v>
      </c>
      <c r="K2410" t="s">
        <v>1348</v>
      </c>
      <c r="L2410">
        <v>0</v>
      </c>
      <c r="N2410" t="s">
        <v>1302</v>
      </c>
      <c r="O2410">
        <v>71</v>
      </c>
      <c r="P2410">
        <v>9171</v>
      </c>
      <c r="Q2410" t="s">
        <v>1303</v>
      </c>
      <c r="R2410" t="s">
        <v>201</v>
      </c>
      <c r="S2410">
        <v>158</v>
      </c>
      <c r="T2410">
        <v>1</v>
      </c>
      <c r="U2410">
        <v>142668</v>
      </c>
      <c r="V2410">
        <v>22541544</v>
      </c>
    </row>
    <row r="2411" spans="1:22">
      <c r="A2411" t="s">
        <v>196</v>
      </c>
      <c r="B2411">
        <v>57</v>
      </c>
      <c r="C2411" t="s">
        <v>31</v>
      </c>
      <c r="D2411">
        <v>100</v>
      </c>
      <c r="E2411" t="s">
        <v>197</v>
      </c>
      <c r="F2411">
        <v>1005</v>
      </c>
      <c r="G2411" t="s">
        <v>31</v>
      </c>
      <c r="H2411">
        <v>2012</v>
      </c>
      <c r="I2411" t="s">
        <v>2</v>
      </c>
      <c r="J2411">
        <v>3321</v>
      </c>
      <c r="K2411" t="s">
        <v>1348</v>
      </c>
      <c r="L2411">
        <v>0</v>
      </c>
      <c r="N2411" t="s">
        <v>1302</v>
      </c>
      <c r="O2411">
        <v>71</v>
      </c>
      <c r="P2411">
        <v>9171</v>
      </c>
      <c r="Q2411" t="s">
        <v>1303</v>
      </c>
      <c r="R2411" t="s">
        <v>201</v>
      </c>
      <c r="S2411">
        <v>185</v>
      </c>
      <c r="T2411">
        <v>1</v>
      </c>
      <c r="U2411">
        <v>138318</v>
      </c>
      <c r="V2411">
        <v>25588830</v>
      </c>
    </row>
    <row r="2412" spans="1:22">
      <c r="A2412" t="s">
        <v>196</v>
      </c>
      <c r="B2412">
        <v>57</v>
      </c>
      <c r="C2412" t="s">
        <v>31</v>
      </c>
      <c r="D2412">
        <v>100</v>
      </c>
      <c r="E2412" t="s">
        <v>197</v>
      </c>
      <c r="F2412">
        <v>1005</v>
      </c>
      <c r="G2412" t="s">
        <v>31</v>
      </c>
      <c r="H2412">
        <v>2012</v>
      </c>
      <c r="I2412" t="s">
        <v>2</v>
      </c>
      <c r="J2412">
        <v>3321</v>
      </c>
      <c r="K2412" t="s">
        <v>1348</v>
      </c>
      <c r="L2412">
        <v>0</v>
      </c>
      <c r="N2412" t="s">
        <v>1302</v>
      </c>
      <c r="O2412">
        <v>71</v>
      </c>
      <c r="P2412">
        <v>9171</v>
      </c>
      <c r="Q2412" t="s">
        <v>1303</v>
      </c>
      <c r="R2412" t="s">
        <v>201</v>
      </c>
      <c r="S2412">
        <v>40</v>
      </c>
      <c r="T2412">
        <v>1</v>
      </c>
      <c r="U2412">
        <v>133890</v>
      </c>
      <c r="V2412">
        <v>5355600</v>
      </c>
    </row>
    <row r="2413" spans="1:22">
      <c r="A2413" t="s">
        <v>196</v>
      </c>
      <c r="B2413">
        <v>57</v>
      </c>
      <c r="C2413" t="s">
        <v>31</v>
      </c>
      <c r="D2413">
        <v>100</v>
      </c>
      <c r="E2413" t="s">
        <v>197</v>
      </c>
      <c r="F2413">
        <v>1005</v>
      </c>
      <c r="G2413" t="s">
        <v>31</v>
      </c>
      <c r="H2413">
        <v>2012</v>
      </c>
      <c r="I2413" t="s">
        <v>2</v>
      </c>
      <c r="J2413">
        <v>3321</v>
      </c>
      <c r="K2413" t="s">
        <v>1348</v>
      </c>
      <c r="L2413">
        <v>0</v>
      </c>
      <c r="N2413" t="s">
        <v>1324</v>
      </c>
      <c r="O2413">
        <v>91</v>
      </c>
      <c r="P2413">
        <v>9165</v>
      </c>
      <c r="Q2413" t="s">
        <v>1325</v>
      </c>
      <c r="R2413" t="s">
        <v>201</v>
      </c>
      <c r="S2413">
        <v>1</v>
      </c>
      <c r="T2413">
        <v>1</v>
      </c>
      <c r="U2413">
        <v>131448</v>
      </c>
      <c r="V2413">
        <v>131448</v>
      </c>
    </row>
    <row r="2414" spans="1:22">
      <c r="A2414" t="s">
        <v>196</v>
      </c>
      <c r="B2414">
        <v>57</v>
      </c>
      <c r="C2414" t="s">
        <v>31</v>
      </c>
      <c r="D2414">
        <v>100</v>
      </c>
      <c r="E2414" t="s">
        <v>197</v>
      </c>
      <c r="F2414">
        <v>1005</v>
      </c>
      <c r="G2414" t="s">
        <v>31</v>
      </c>
      <c r="H2414">
        <v>2012</v>
      </c>
      <c r="I2414" t="s">
        <v>2</v>
      </c>
      <c r="J2414">
        <v>3321</v>
      </c>
      <c r="K2414" t="s">
        <v>1348</v>
      </c>
      <c r="L2414">
        <v>0</v>
      </c>
      <c r="N2414" t="s">
        <v>1349</v>
      </c>
      <c r="O2414">
        <v>91</v>
      </c>
      <c r="P2414">
        <v>9164</v>
      </c>
      <c r="Q2414" t="s">
        <v>1350</v>
      </c>
      <c r="R2414" t="s">
        <v>201</v>
      </c>
      <c r="S2414">
        <v>22</v>
      </c>
      <c r="T2414">
        <v>1</v>
      </c>
      <c r="U2414">
        <v>137568</v>
      </c>
      <c r="V2414">
        <v>3026496</v>
      </c>
    </row>
    <row r="2415" spans="1:22">
      <c r="A2415" t="s">
        <v>196</v>
      </c>
      <c r="B2415">
        <v>57</v>
      </c>
      <c r="C2415" t="s">
        <v>31</v>
      </c>
      <c r="D2415">
        <v>100</v>
      </c>
      <c r="E2415" t="s">
        <v>197</v>
      </c>
      <c r="F2415">
        <v>1005</v>
      </c>
      <c r="G2415" t="s">
        <v>31</v>
      </c>
      <c r="H2415">
        <v>2012</v>
      </c>
      <c r="I2415" t="s">
        <v>2</v>
      </c>
      <c r="J2415">
        <v>3321</v>
      </c>
      <c r="K2415" t="s">
        <v>1348</v>
      </c>
      <c r="L2415">
        <v>0</v>
      </c>
      <c r="N2415" t="s">
        <v>1349</v>
      </c>
      <c r="O2415">
        <v>91</v>
      </c>
      <c r="P2415">
        <v>9164</v>
      </c>
      <c r="Q2415" t="s">
        <v>1350</v>
      </c>
      <c r="R2415" t="s">
        <v>201</v>
      </c>
      <c r="S2415">
        <v>41</v>
      </c>
      <c r="T2415">
        <v>1</v>
      </c>
      <c r="U2415">
        <v>133650</v>
      </c>
      <c r="V2415">
        <v>5479650</v>
      </c>
    </row>
    <row r="2416" spans="1:22">
      <c r="A2416" t="s">
        <v>196</v>
      </c>
      <c r="B2416">
        <v>57</v>
      </c>
      <c r="C2416" t="s">
        <v>31</v>
      </c>
      <c r="D2416">
        <v>100</v>
      </c>
      <c r="E2416" t="s">
        <v>197</v>
      </c>
      <c r="F2416">
        <v>1005</v>
      </c>
      <c r="G2416" t="s">
        <v>31</v>
      </c>
      <c r="H2416">
        <v>2012</v>
      </c>
      <c r="I2416" t="s">
        <v>2</v>
      </c>
      <c r="J2416">
        <v>3321</v>
      </c>
      <c r="K2416" t="s">
        <v>1348</v>
      </c>
      <c r="L2416">
        <v>0</v>
      </c>
      <c r="N2416" t="s">
        <v>1349</v>
      </c>
      <c r="O2416">
        <v>91</v>
      </c>
      <c r="P2416">
        <v>9164</v>
      </c>
      <c r="Q2416" t="s">
        <v>1350</v>
      </c>
      <c r="R2416" t="s">
        <v>201</v>
      </c>
      <c r="S2416">
        <v>40</v>
      </c>
      <c r="T2416">
        <v>1</v>
      </c>
      <c r="U2416">
        <v>128964</v>
      </c>
      <c r="V2416">
        <v>5158560</v>
      </c>
    </row>
    <row r="2417" spans="1:22">
      <c r="A2417" t="s">
        <v>196</v>
      </c>
      <c r="B2417">
        <v>57</v>
      </c>
      <c r="C2417" t="s">
        <v>31</v>
      </c>
      <c r="D2417">
        <v>100</v>
      </c>
      <c r="E2417" t="s">
        <v>197</v>
      </c>
      <c r="F2417">
        <v>1005</v>
      </c>
      <c r="G2417" t="s">
        <v>31</v>
      </c>
      <c r="H2417">
        <v>2012</v>
      </c>
      <c r="I2417" t="s">
        <v>2</v>
      </c>
      <c r="J2417">
        <v>3321</v>
      </c>
      <c r="K2417" t="s">
        <v>1348</v>
      </c>
      <c r="L2417">
        <v>0</v>
      </c>
      <c r="N2417" t="s">
        <v>1349</v>
      </c>
      <c r="O2417">
        <v>91</v>
      </c>
      <c r="P2417">
        <v>9164</v>
      </c>
      <c r="Q2417" t="s">
        <v>1350</v>
      </c>
      <c r="R2417" t="s">
        <v>201</v>
      </c>
      <c r="S2417">
        <v>61</v>
      </c>
      <c r="T2417">
        <v>1</v>
      </c>
      <c r="U2417">
        <v>124578</v>
      </c>
      <c r="V2417">
        <v>7599258</v>
      </c>
    </row>
    <row r="2418" spans="1:22">
      <c r="A2418" t="s">
        <v>196</v>
      </c>
      <c r="B2418">
        <v>57</v>
      </c>
      <c r="C2418" t="s">
        <v>31</v>
      </c>
      <c r="D2418">
        <v>100</v>
      </c>
      <c r="E2418" t="s">
        <v>197</v>
      </c>
      <c r="F2418">
        <v>1005</v>
      </c>
      <c r="G2418" t="s">
        <v>31</v>
      </c>
      <c r="H2418">
        <v>2012</v>
      </c>
      <c r="I2418" t="s">
        <v>2</v>
      </c>
      <c r="J2418">
        <v>3321</v>
      </c>
      <c r="K2418" t="s">
        <v>1348</v>
      </c>
      <c r="L2418">
        <v>0</v>
      </c>
      <c r="N2418" t="s">
        <v>1349</v>
      </c>
      <c r="O2418">
        <v>91</v>
      </c>
      <c r="P2418">
        <v>9164</v>
      </c>
      <c r="Q2418" t="s">
        <v>1350</v>
      </c>
      <c r="R2418" t="s">
        <v>201</v>
      </c>
      <c r="S2418">
        <v>199</v>
      </c>
      <c r="T2418">
        <v>1</v>
      </c>
      <c r="U2418">
        <v>120564</v>
      </c>
      <c r="V2418">
        <v>23992236</v>
      </c>
    </row>
    <row r="2419" spans="1:22">
      <c r="A2419" t="s">
        <v>196</v>
      </c>
      <c r="B2419">
        <v>57</v>
      </c>
      <c r="C2419" t="s">
        <v>31</v>
      </c>
      <c r="D2419">
        <v>100</v>
      </c>
      <c r="E2419" t="s">
        <v>197</v>
      </c>
      <c r="F2419">
        <v>1005</v>
      </c>
      <c r="G2419" t="s">
        <v>31</v>
      </c>
      <c r="H2419">
        <v>2012</v>
      </c>
      <c r="I2419" t="s">
        <v>2</v>
      </c>
      <c r="J2419">
        <v>3321</v>
      </c>
      <c r="K2419" t="s">
        <v>1348</v>
      </c>
      <c r="L2419">
        <v>0</v>
      </c>
      <c r="N2419" t="s">
        <v>1349</v>
      </c>
      <c r="O2419">
        <v>91</v>
      </c>
      <c r="P2419">
        <v>9164</v>
      </c>
      <c r="Q2419" t="s">
        <v>1350</v>
      </c>
      <c r="R2419" t="s">
        <v>201</v>
      </c>
      <c r="S2419">
        <v>10</v>
      </c>
      <c r="T2419">
        <v>1</v>
      </c>
      <c r="U2419">
        <v>114828</v>
      </c>
      <c r="V2419">
        <v>1148280</v>
      </c>
    </row>
    <row r="2420" spans="1:22">
      <c r="A2420" t="s">
        <v>196</v>
      </c>
      <c r="B2420">
        <v>57</v>
      </c>
      <c r="C2420" t="s">
        <v>31</v>
      </c>
      <c r="D2420">
        <v>100</v>
      </c>
      <c r="E2420" t="s">
        <v>197</v>
      </c>
      <c r="F2420">
        <v>1005</v>
      </c>
      <c r="G2420" t="s">
        <v>31</v>
      </c>
      <c r="H2420">
        <v>2012</v>
      </c>
      <c r="I2420" t="s">
        <v>2</v>
      </c>
      <c r="J2420">
        <v>3321</v>
      </c>
      <c r="K2420" t="s">
        <v>1348</v>
      </c>
      <c r="L2420">
        <v>0</v>
      </c>
      <c r="N2420" t="s">
        <v>1349</v>
      </c>
      <c r="O2420">
        <v>91</v>
      </c>
      <c r="P2420">
        <v>9164</v>
      </c>
      <c r="Q2420" t="s">
        <v>1350</v>
      </c>
      <c r="R2420" t="s">
        <v>201</v>
      </c>
      <c r="S2420">
        <v>71</v>
      </c>
      <c r="T2420">
        <v>1</v>
      </c>
      <c r="U2420">
        <v>93942</v>
      </c>
      <c r="V2420">
        <v>6669882</v>
      </c>
    </row>
    <row r="2421" spans="1:22">
      <c r="A2421" t="s">
        <v>196</v>
      </c>
      <c r="B2421">
        <v>57</v>
      </c>
      <c r="C2421" t="s">
        <v>31</v>
      </c>
      <c r="D2421">
        <v>100</v>
      </c>
      <c r="E2421" t="s">
        <v>197</v>
      </c>
      <c r="F2421">
        <v>1005</v>
      </c>
      <c r="G2421" t="s">
        <v>31</v>
      </c>
      <c r="H2421">
        <v>2012</v>
      </c>
      <c r="I2421" t="s">
        <v>2</v>
      </c>
      <c r="J2421">
        <v>3321</v>
      </c>
      <c r="K2421" t="s">
        <v>1348</v>
      </c>
      <c r="L2421">
        <v>0</v>
      </c>
      <c r="N2421" t="s">
        <v>1309</v>
      </c>
      <c r="O2421">
        <v>91</v>
      </c>
      <c r="P2421">
        <v>9161</v>
      </c>
      <c r="Q2421" t="s">
        <v>1310</v>
      </c>
      <c r="R2421" t="s">
        <v>201</v>
      </c>
      <c r="S2421">
        <v>714</v>
      </c>
      <c r="T2421">
        <v>1</v>
      </c>
      <c r="U2421">
        <v>127146</v>
      </c>
      <c r="V2421">
        <v>90782244</v>
      </c>
    </row>
    <row r="2422" spans="1:22">
      <c r="A2422" t="s">
        <v>196</v>
      </c>
      <c r="B2422">
        <v>57</v>
      </c>
      <c r="C2422" t="s">
        <v>31</v>
      </c>
      <c r="D2422">
        <v>100</v>
      </c>
      <c r="E2422" t="s">
        <v>197</v>
      </c>
      <c r="F2422">
        <v>1005</v>
      </c>
      <c r="G2422" t="s">
        <v>31</v>
      </c>
      <c r="H2422">
        <v>2012</v>
      </c>
      <c r="I2422" t="s">
        <v>2</v>
      </c>
      <c r="J2422">
        <v>3321</v>
      </c>
      <c r="K2422" t="s">
        <v>1348</v>
      </c>
      <c r="L2422">
        <v>0</v>
      </c>
      <c r="N2422" t="s">
        <v>1309</v>
      </c>
      <c r="O2422">
        <v>91</v>
      </c>
      <c r="P2422">
        <v>9161</v>
      </c>
      <c r="Q2422" t="s">
        <v>1310</v>
      </c>
      <c r="R2422" t="s">
        <v>201</v>
      </c>
      <c r="S2422">
        <v>747</v>
      </c>
      <c r="T2422">
        <v>1</v>
      </c>
      <c r="U2422">
        <v>123576</v>
      </c>
      <c r="V2422">
        <v>92311272</v>
      </c>
    </row>
    <row r="2423" spans="1:22">
      <c r="A2423" t="s">
        <v>196</v>
      </c>
      <c r="B2423">
        <v>57</v>
      </c>
      <c r="C2423" t="s">
        <v>31</v>
      </c>
      <c r="D2423">
        <v>100</v>
      </c>
      <c r="E2423" t="s">
        <v>197</v>
      </c>
      <c r="F2423">
        <v>1005</v>
      </c>
      <c r="G2423" t="s">
        <v>31</v>
      </c>
      <c r="H2423">
        <v>2012</v>
      </c>
      <c r="I2423" t="s">
        <v>2</v>
      </c>
      <c r="J2423">
        <v>3321</v>
      </c>
      <c r="K2423" t="s">
        <v>1348</v>
      </c>
      <c r="L2423">
        <v>0</v>
      </c>
      <c r="N2423" t="s">
        <v>1309</v>
      </c>
      <c r="O2423">
        <v>91</v>
      </c>
      <c r="P2423">
        <v>9161</v>
      </c>
      <c r="Q2423" t="s">
        <v>1310</v>
      </c>
      <c r="R2423" t="s">
        <v>201</v>
      </c>
      <c r="S2423">
        <v>498</v>
      </c>
      <c r="T2423">
        <v>1</v>
      </c>
      <c r="U2423">
        <v>119154</v>
      </c>
      <c r="V2423">
        <v>59338692</v>
      </c>
    </row>
    <row r="2424" spans="1:22">
      <c r="A2424" t="s">
        <v>196</v>
      </c>
      <c r="B2424">
        <v>57</v>
      </c>
      <c r="C2424" t="s">
        <v>31</v>
      </c>
      <c r="D2424">
        <v>100</v>
      </c>
      <c r="E2424" t="s">
        <v>197</v>
      </c>
      <c r="F2424">
        <v>1005</v>
      </c>
      <c r="G2424" t="s">
        <v>31</v>
      </c>
      <c r="H2424">
        <v>2012</v>
      </c>
      <c r="I2424" t="s">
        <v>2</v>
      </c>
      <c r="J2424">
        <v>3321</v>
      </c>
      <c r="K2424" t="s">
        <v>1348</v>
      </c>
      <c r="L2424">
        <v>0</v>
      </c>
      <c r="N2424" t="s">
        <v>1309</v>
      </c>
      <c r="O2424">
        <v>91</v>
      </c>
      <c r="P2424">
        <v>9161</v>
      </c>
      <c r="Q2424" t="s">
        <v>1310</v>
      </c>
      <c r="R2424" t="s">
        <v>201</v>
      </c>
      <c r="S2424">
        <v>800</v>
      </c>
      <c r="T2424">
        <v>1</v>
      </c>
      <c r="U2424">
        <v>115158</v>
      </c>
      <c r="V2424">
        <v>92126400</v>
      </c>
    </row>
    <row r="2425" spans="1:22">
      <c r="A2425" t="s">
        <v>196</v>
      </c>
      <c r="B2425">
        <v>57</v>
      </c>
      <c r="C2425" t="s">
        <v>31</v>
      </c>
      <c r="D2425">
        <v>100</v>
      </c>
      <c r="E2425" t="s">
        <v>197</v>
      </c>
      <c r="F2425">
        <v>1005</v>
      </c>
      <c r="G2425" t="s">
        <v>31</v>
      </c>
      <c r="H2425">
        <v>2012</v>
      </c>
      <c r="I2425" t="s">
        <v>2</v>
      </c>
      <c r="J2425">
        <v>3321</v>
      </c>
      <c r="K2425" t="s">
        <v>1348</v>
      </c>
      <c r="L2425">
        <v>0</v>
      </c>
      <c r="N2425" t="s">
        <v>1309</v>
      </c>
      <c r="O2425">
        <v>91</v>
      </c>
      <c r="P2425">
        <v>9161</v>
      </c>
      <c r="Q2425" t="s">
        <v>1310</v>
      </c>
      <c r="R2425" t="s">
        <v>201</v>
      </c>
      <c r="S2425">
        <v>2148</v>
      </c>
      <c r="T2425">
        <v>1</v>
      </c>
      <c r="U2425">
        <v>111252</v>
      </c>
      <c r="V2425">
        <v>238969296</v>
      </c>
    </row>
    <row r="2426" spans="1:22">
      <c r="A2426" t="s">
        <v>196</v>
      </c>
      <c r="B2426">
        <v>57</v>
      </c>
      <c r="C2426" t="s">
        <v>31</v>
      </c>
      <c r="D2426">
        <v>100</v>
      </c>
      <c r="E2426" t="s">
        <v>197</v>
      </c>
      <c r="F2426">
        <v>1005</v>
      </c>
      <c r="G2426" t="s">
        <v>31</v>
      </c>
      <c r="H2426">
        <v>2012</v>
      </c>
      <c r="I2426" t="s">
        <v>2</v>
      </c>
      <c r="J2426">
        <v>3321</v>
      </c>
      <c r="K2426" t="s">
        <v>1348</v>
      </c>
      <c r="L2426">
        <v>0</v>
      </c>
      <c r="N2426" t="s">
        <v>1309</v>
      </c>
      <c r="O2426">
        <v>91</v>
      </c>
      <c r="P2426">
        <v>9161</v>
      </c>
      <c r="Q2426" t="s">
        <v>1310</v>
      </c>
      <c r="R2426" t="s">
        <v>201</v>
      </c>
      <c r="S2426">
        <v>473</v>
      </c>
      <c r="T2426">
        <v>1</v>
      </c>
      <c r="U2426">
        <v>105906</v>
      </c>
      <c r="V2426">
        <v>50093538</v>
      </c>
    </row>
    <row r="2427" spans="1:22">
      <c r="A2427" t="s">
        <v>196</v>
      </c>
      <c r="B2427">
        <v>57</v>
      </c>
      <c r="C2427" t="s">
        <v>31</v>
      </c>
      <c r="D2427">
        <v>100</v>
      </c>
      <c r="E2427" t="s">
        <v>197</v>
      </c>
      <c r="F2427">
        <v>1005</v>
      </c>
      <c r="G2427" t="s">
        <v>31</v>
      </c>
      <c r="H2427">
        <v>2012</v>
      </c>
      <c r="I2427" t="s">
        <v>2</v>
      </c>
      <c r="J2427">
        <v>3321</v>
      </c>
      <c r="K2427" t="s">
        <v>1348</v>
      </c>
      <c r="L2427">
        <v>0</v>
      </c>
      <c r="N2427" t="s">
        <v>1309</v>
      </c>
      <c r="O2427">
        <v>91</v>
      </c>
      <c r="P2427">
        <v>9161</v>
      </c>
      <c r="Q2427" t="s">
        <v>1310</v>
      </c>
      <c r="R2427" t="s">
        <v>201</v>
      </c>
      <c r="S2427">
        <v>698</v>
      </c>
      <c r="T2427">
        <v>1</v>
      </c>
      <c r="U2427">
        <v>100950</v>
      </c>
      <c r="V2427">
        <v>70463100</v>
      </c>
    </row>
    <row r="2428" spans="1:22">
      <c r="A2428" t="s">
        <v>196</v>
      </c>
      <c r="B2428">
        <v>57</v>
      </c>
      <c r="C2428" t="s">
        <v>31</v>
      </c>
      <c r="D2428">
        <v>100</v>
      </c>
      <c r="E2428" t="s">
        <v>197</v>
      </c>
      <c r="F2428">
        <v>1005</v>
      </c>
      <c r="G2428" t="s">
        <v>31</v>
      </c>
      <c r="H2428">
        <v>2012</v>
      </c>
      <c r="I2428" t="s">
        <v>2</v>
      </c>
      <c r="J2428">
        <v>3321</v>
      </c>
      <c r="K2428" t="s">
        <v>1348</v>
      </c>
      <c r="L2428">
        <v>0</v>
      </c>
      <c r="N2428" t="s">
        <v>1309</v>
      </c>
      <c r="O2428">
        <v>91</v>
      </c>
      <c r="P2428">
        <v>9161</v>
      </c>
      <c r="Q2428" t="s">
        <v>1310</v>
      </c>
      <c r="R2428" t="s">
        <v>201</v>
      </c>
      <c r="S2428">
        <v>485</v>
      </c>
      <c r="T2428">
        <v>1</v>
      </c>
      <c r="U2428">
        <v>95982</v>
      </c>
      <c r="V2428">
        <v>46551270</v>
      </c>
    </row>
    <row r="2429" spans="1:22">
      <c r="A2429" t="s">
        <v>196</v>
      </c>
      <c r="B2429">
        <v>57</v>
      </c>
      <c r="C2429" t="s">
        <v>31</v>
      </c>
      <c r="D2429">
        <v>100</v>
      </c>
      <c r="E2429" t="s">
        <v>197</v>
      </c>
      <c r="F2429">
        <v>1005</v>
      </c>
      <c r="G2429" t="s">
        <v>31</v>
      </c>
      <c r="H2429">
        <v>2012</v>
      </c>
      <c r="I2429" t="s">
        <v>2</v>
      </c>
      <c r="J2429">
        <v>3321</v>
      </c>
      <c r="K2429" t="s">
        <v>1348</v>
      </c>
      <c r="L2429">
        <v>0</v>
      </c>
      <c r="N2429" t="s">
        <v>1309</v>
      </c>
      <c r="O2429">
        <v>91</v>
      </c>
      <c r="P2429">
        <v>9161</v>
      </c>
      <c r="Q2429" t="s">
        <v>1310</v>
      </c>
      <c r="R2429" t="s">
        <v>201</v>
      </c>
      <c r="S2429">
        <v>187</v>
      </c>
      <c r="T2429">
        <v>1</v>
      </c>
      <c r="U2429">
        <v>90816</v>
      </c>
      <c r="V2429">
        <v>16982592</v>
      </c>
    </row>
    <row r="2430" spans="1:22">
      <c r="A2430" t="s">
        <v>196</v>
      </c>
      <c r="B2430">
        <v>57</v>
      </c>
      <c r="C2430" t="s">
        <v>31</v>
      </c>
      <c r="D2430">
        <v>100</v>
      </c>
      <c r="E2430" t="s">
        <v>197</v>
      </c>
      <c r="F2430">
        <v>1005</v>
      </c>
      <c r="G2430" t="s">
        <v>31</v>
      </c>
      <c r="H2430">
        <v>2012</v>
      </c>
      <c r="I2430" t="s">
        <v>2</v>
      </c>
      <c r="J2430">
        <v>3321</v>
      </c>
      <c r="K2430" t="s">
        <v>1348</v>
      </c>
      <c r="L2430">
        <v>0</v>
      </c>
      <c r="N2430" t="s">
        <v>1309</v>
      </c>
      <c r="O2430">
        <v>91</v>
      </c>
      <c r="P2430">
        <v>9161</v>
      </c>
      <c r="Q2430" t="s">
        <v>1310</v>
      </c>
      <c r="R2430" t="s">
        <v>201</v>
      </c>
      <c r="S2430">
        <v>645</v>
      </c>
      <c r="T2430">
        <v>1</v>
      </c>
      <c r="U2430">
        <v>63636</v>
      </c>
      <c r="V2430">
        <v>41045220</v>
      </c>
    </row>
    <row r="2431" spans="1:22">
      <c r="A2431" t="s">
        <v>196</v>
      </c>
      <c r="B2431">
        <v>57</v>
      </c>
      <c r="C2431" t="s">
        <v>31</v>
      </c>
      <c r="D2431">
        <v>100</v>
      </c>
      <c r="E2431" t="s">
        <v>197</v>
      </c>
      <c r="F2431">
        <v>1005</v>
      </c>
      <c r="G2431" t="s">
        <v>31</v>
      </c>
      <c r="H2431">
        <v>2012</v>
      </c>
      <c r="I2431" t="s">
        <v>2</v>
      </c>
      <c r="J2431">
        <v>3321</v>
      </c>
      <c r="K2431" t="s">
        <v>1348</v>
      </c>
      <c r="L2431">
        <v>0</v>
      </c>
      <c r="N2431" t="s">
        <v>1351</v>
      </c>
      <c r="O2431">
        <v>2</v>
      </c>
      <c r="P2431">
        <v>9122</v>
      </c>
      <c r="Q2431" t="s">
        <v>1352</v>
      </c>
      <c r="R2431" t="s">
        <v>201</v>
      </c>
      <c r="S2431">
        <v>41</v>
      </c>
      <c r="T2431">
        <v>1</v>
      </c>
      <c r="U2431">
        <v>86016</v>
      </c>
      <c r="V2431">
        <v>3526656</v>
      </c>
    </row>
    <row r="2432" spans="1:22">
      <c r="A2432" t="s">
        <v>196</v>
      </c>
      <c r="B2432">
        <v>57</v>
      </c>
      <c r="C2432" t="s">
        <v>31</v>
      </c>
      <c r="D2432">
        <v>100</v>
      </c>
      <c r="E2432" t="s">
        <v>197</v>
      </c>
      <c r="F2432">
        <v>1005</v>
      </c>
      <c r="G2432" t="s">
        <v>31</v>
      </c>
      <c r="H2432">
        <v>2012</v>
      </c>
      <c r="I2432" t="s">
        <v>2</v>
      </c>
      <c r="J2432">
        <v>3321</v>
      </c>
      <c r="K2432" t="s">
        <v>1348</v>
      </c>
      <c r="L2432">
        <v>0</v>
      </c>
      <c r="N2432" t="s">
        <v>1351</v>
      </c>
      <c r="O2432">
        <v>2</v>
      </c>
      <c r="P2432">
        <v>9122</v>
      </c>
      <c r="Q2432" t="s">
        <v>1352</v>
      </c>
      <c r="R2432" t="s">
        <v>201</v>
      </c>
      <c r="S2432">
        <v>7</v>
      </c>
      <c r="T2432">
        <v>1</v>
      </c>
      <c r="U2432">
        <v>82104</v>
      </c>
      <c r="V2432">
        <v>574728</v>
      </c>
    </row>
    <row r="2433" spans="1:22">
      <c r="A2433" t="s">
        <v>196</v>
      </c>
      <c r="B2433">
        <v>57</v>
      </c>
      <c r="C2433" t="s">
        <v>31</v>
      </c>
      <c r="D2433">
        <v>100</v>
      </c>
      <c r="E2433" t="s">
        <v>197</v>
      </c>
      <c r="F2433">
        <v>1005</v>
      </c>
      <c r="G2433" t="s">
        <v>31</v>
      </c>
      <c r="H2433">
        <v>2012</v>
      </c>
      <c r="I2433" t="s">
        <v>2</v>
      </c>
      <c r="J2433">
        <v>3321</v>
      </c>
      <c r="K2433" t="s">
        <v>1348</v>
      </c>
      <c r="L2433">
        <v>0</v>
      </c>
      <c r="N2433" t="s">
        <v>1351</v>
      </c>
      <c r="O2433">
        <v>2</v>
      </c>
      <c r="P2433">
        <v>9122</v>
      </c>
      <c r="Q2433" t="s">
        <v>1352</v>
      </c>
      <c r="R2433" t="s">
        <v>201</v>
      </c>
      <c r="S2433">
        <v>25</v>
      </c>
      <c r="T2433">
        <v>1</v>
      </c>
      <c r="U2433">
        <v>78384</v>
      </c>
      <c r="V2433">
        <v>1959600</v>
      </c>
    </row>
    <row r="2434" spans="1:22">
      <c r="A2434" t="s">
        <v>196</v>
      </c>
      <c r="B2434">
        <v>57</v>
      </c>
      <c r="C2434" t="s">
        <v>31</v>
      </c>
      <c r="D2434">
        <v>100</v>
      </c>
      <c r="E2434" t="s">
        <v>197</v>
      </c>
      <c r="F2434">
        <v>1005</v>
      </c>
      <c r="G2434" t="s">
        <v>31</v>
      </c>
      <c r="H2434">
        <v>2012</v>
      </c>
      <c r="I2434" t="s">
        <v>2</v>
      </c>
      <c r="J2434">
        <v>3321</v>
      </c>
      <c r="K2434" t="s">
        <v>1348</v>
      </c>
      <c r="L2434">
        <v>0</v>
      </c>
      <c r="N2434" t="s">
        <v>1351</v>
      </c>
      <c r="O2434">
        <v>2</v>
      </c>
      <c r="P2434">
        <v>9122</v>
      </c>
      <c r="Q2434" t="s">
        <v>1352</v>
      </c>
      <c r="R2434" t="s">
        <v>201</v>
      </c>
      <c r="S2434">
        <v>18</v>
      </c>
      <c r="T2434">
        <v>1</v>
      </c>
      <c r="U2434">
        <v>74844</v>
      </c>
      <c r="V2434">
        <v>1347192</v>
      </c>
    </row>
    <row r="2435" spans="1:22">
      <c r="A2435" t="s">
        <v>196</v>
      </c>
      <c r="B2435">
        <v>57</v>
      </c>
      <c r="C2435" t="s">
        <v>31</v>
      </c>
      <c r="D2435">
        <v>100</v>
      </c>
      <c r="E2435" t="s">
        <v>197</v>
      </c>
      <c r="F2435">
        <v>1005</v>
      </c>
      <c r="G2435" t="s">
        <v>31</v>
      </c>
      <c r="H2435">
        <v>2012</v>
      </c>
      <c r="I2435" t="s">
        <v>2</v>
      </c>
      <c r="J2435">
        <v>3321</v>
      </c>
      <c r="K2435" t="s">
        <v>1348</v>
      </c>
      <c r="L2435">
        <v>0</v>
      </c>
      <c r="N2435" t="s">
        <v>1351</v>
      </c>
      <c r="O2435">
        <v>2</v>
      </c>
      <c r="P2435">
        <v>9122</v>
      </c>
      <c r="Q2435" t="s">
        <v>1352</v>
      </c>
      <c r="R2435" t="s">
        <v>201</v>
      </c>
      <c r="S2435">
        <v>10</v>
      </c>
      <c r="T2435">
        <v>1</v>
      </c>
      <c r="U2435">
        <v>71436</v>
      </c>
      <c r="V2435">
        <v>714360</v>
      </c>
    </row>
    <row r="2436" spans="1:22">
      <c r="A2436" t="s">
        <v>196</v>
      </c>
      <c r="B2436">
        <v>57</v>
      </c>
      <c r="C2436" t="s">
        <v>31</v>
      </c>
      <c r="D2436">
        <v>100</v>
      </c>
      <c r="E2436" t="s">
        <v>197</v>
      </c>
      <c r="F2436">
        <v>1005</v>
      </c>
      <c r="G2436" t="s">
        <v>31</v>
      </c>
      <c r="H2436">
        <v>2012</v>
      </c>
      <c r="I2436" t="s">
        <v>2</v>
      </c>
      <c r="J2436">
        <v>3321</v>
      </c>
      <c r="K2436" t="s">
        <v>1348</v>
      </c>
      <c r="L2436">
        <v>0</v>
      </c>
      <c r="N2436" t="s">
        <v>1351</v>
      </c>
      <c r="O2436">
        <v>2</v>
      </c>
      <c r="P2436">
        <v>9122</v>
      </c>
      <c r="Q2436" t="s">
        <v>1352</v>
      </c>
      <c r="R2436" t="s">
        <v>201</v>
      </c>
      <c r="S2436">
        <v>36</v>
      </c>
      <c r="T2436">
        <v>1</v>
      </c>
      <c r="U2436">
        <v>68196</v>
      </c>
      <c r="V2436">
        <v>2455056</v>
      </c>
    </row>
    <row r="2437" spans="1:22">
      <c r="A2437" t="s">
        <v>196</v>
      </c>
      <c r="B2437">
        <v>57</v>
      </c>
      <c r="C2437" t="s">
        <v>31</v>
      </c>
      <c r="D2437">
        <v>100</v>
      </c>
      <c r="E2437" t="s">
        <v>197</v>
      </c>
      <c r="F2437">
        <v>1005</v>
      </c>
      <c r="G2437" t="s">
        <v>31</v>
      </c>
      <c r="H2437">
        <v>2012</v>
      </c>
      <c r="I2437" t="s">
        <v>2</v>
      </c>
      <c r="J2437">
        <v>3321</v>
      </c>
      <c r="K2437" t="s">
        <v>1348</v>
      </c>
      <c r="L2437">
        <v>0</v>
      </c>
      <c r="N2437" t="s">
        <v>1351</v>
      </c>
      <c r="O2437">
        <v>2</v>
      </c>
      <c r="P2437">
        <v>9122</v>
      </c>
      <c r="Q2437" t="s">
        <v>1352</v>
      </c>
      <c r="R2437" t="s">
        <v>201</v>
      </c>
      <c r="S2437">
        <v>14</v>
      </c>
      <c r="T2437">
        <v>1</v>
      </c>
      <c r="U2437">
        <v>65064</v>
      </c>
      <c r="V2437">
        <v>910896</v>
      </c>
    </row>
    <row r="2438" spans="1:22">
      <c r="A2438" t="s">
        <v>196</v>
      </c>
      <c r="B2438">
        <v>57</v>
      </c>
      <c r="C2438" t="s">
        <v>31</v>
      </c>
      <c r="D2438">
        <v>100</v>
      </c>
      <c r="E2438" t="s">
        <v>197</v>
      </c>
      <c r="F2438">
        <v>1005</v>
      </c>
      <c r="G2438" t="s">
        <v>31</v>
      </c>
      <c r="H2438">
        <v>2012</v>
      </c>
      <c r="I2438" t="s">
        <v>2</v>
      </c>
      <c r="J2438">
        <v>3321</v>
      </c>
      <c r="K2438" t="s">
        <v>1348</v>
      </c>
      <c r="L2438">
        <v>0</v>
      </c>
      <c r="N2438" t="s">
        <v>1351</v>
      </c>
      <c r="O2438">
        <v>2</v>
      </c>
      <c r="P2438">
        <v>9122</v>
      </c>
      <c r="Q2438" t="s">
        <v>1352</v>
      </c>
      <c r="R2438" t="s">
        <v>201</v>
      </c>
      <c r="S2438">
        <v>2</v>
      </c>
      <c r="T2438">
        <v>1</v>
      </c>
      <c r="U2438">
        <v>62136</v>
      </c>
      <c r="V2438">
        <v>124272</v>
      </c>
    </row>
    <row r="2439" spans="1:22">
      <c r="A2439" t="s">
        <v>196</v>
      </c>
      <c r="B2439">
        <v>57</v>
      </c>
      <c r="C2439" t="s">
        <v>31</v>
      </c>
      <c r="D2439">
        <v>100</v>
      </c>
      <c r="E2439" t="s">
        <v>197</v>
      </c>
      <c r="F2439">
        <v>1005</v>
      </c>
      <c r="G2439" t="s">
        <v>31</v>
      </c>
      <c r="H2439">
        <v>2012</v>
      </c>
      <c r="I2439" t="s">
        <v>2</v>
      </c>
      <c r="J2439">
        <v>3321</v>
      </c>
      <c r="K2439" t="s">
        <v>1348</v>
      </c>
      <c r="L2439">
        <v>0</v>
      </c>
      <c r="N2439" t="s">
        <v>1351</v>
      </c>
      <c r="O2439">
        <v>2</v>
      </c>
      <c r="P2439">
        <v>9122</v>
      </c>
      <c r="Q2439" t="s">
        <v>1352</v>
      </c>
      <c r="R2439" t="s">
        <v>201</v>
      </c>
      <c r="S2439">
        <v>4</v>
      </c>
      <c r="T2439">
        <v>1</v>
      </c>
      <c r="U2439">
        <v>55932</v>
      </c>
      <c r="V2439">
        <v>223728</v>
      </c>
    </row>
    <row r="2440" spans="1:22">
      <c r="A2440" t="s">
        <v>196</v>
      </c>
      <c r="B2440">
        <v>57</v>
      </c>
      <c r="C2440" t="s">
        <v>31</v>
      </c>
      <c r="D2440">
        <v>100</v>
      </c>
      <c r="E2440" t="s">
        <v>197</v>
      </c>
      <c r="F2440">
        <v>1005</v>
      </c>
      <c r="G2440" t="s">
        <v>31</v>
      </c>
      <c r="H2440">
        <v>2012</v>
      </c>
      <c r="I2440" t="s">
        <v>2</v>
      </c>
      <c r="J2440">
        <v>3321</v>
      </c>
      <c r="K2440" t="s">
        <v>1348</v>
      </c>
      <c r="L2440">
        <v>0</v>
      </c>
      <c r="N2440" t="s">
        <v>1351</v>
      </c>
      <c r="O2440">
        <v>2</v>
      </c>
      <c r="P2440">
        <v>9122</v>
      </c>
      <c r="Q2440" t="s">
        <v>1352</v>
      </c>
      <c r="R2440" t="s">
        <v>201</v>
      </c>
      <c r="S2440">
        <v>10</v>
      </c>
      <c r="T2440">
        <v>1</v>
      </c>
      <c r="U2440">
        <v>50964</v>
      </c>
      <c r="V2440">
        <v>509640</v>
      </c>
    </row>
    <row r="2441" spans="1:22">
      <c r="A2441" t="s">
        <v>196</v>
      </c>
      <c r="B2441">
        <v>57</v>
      </c>
      <c r="C2441" t="s">
        <v>31</v>
      </c>
      <c r="D2441">
        <v>100</v>
      </c>
      <c r="E2441" t="s">
        <v>197</v>
      </c>
      <c r="F2441">
        <v>1005</v>
      </c>
      <c r="G2441" t="s">
        <v>31</v>
      </c>
      <c r="H2441">
        <v>2012</v>
      </c>
      <c r="I2441" t="s">
        <v>2</v>
      </c>
      <c r="J2441">
        <v>3321</v>
      </c>
      <c r="K2441" t="s">
        <v>1348</v>
      </c>
      <c r="L2441">
        <v>0</v>
      </c>
      <c r="N2441" t="s">
        <v>1351</v>
      </c>
      <c r="O2441">
        <v>2</v>
      </c>
      <c r="P2441">
        <v>9122</v>
      </c>
      <c r="Q2441" t="s">
        <v>1352</v>
      </c>
      <c r="R2441" t="s">
        <v>201</v>
      </c>
      <c r="S2441">
        <v>21</v>
      </c>
      <c r="T2441">
        <v>1</v>
      </c>
      <c r="U2441">
        <v>48588</v>
      </c>
      <c r="V2441">
        <v>1020348</v>
      </c>
    </row>
    <row r="2442" spans="1:22">
      <c r="A2442" t="s">
        <v>196</v>
      </c>
      <c r="B2442">
        <v>57</v>
      </c>
      <c r="C2442" t="s">
        <v>31</v>
      </c>
      <c r="D2442">
        <v>100</v>
      </c>
      <c r="E2442" t="s">
        <v>197</v>
      </c>
      <c r="F2442">
        <v>1005</v>
      </c>
      <c r="G2442" t="s">
        <v>31</v>
      </c>
      <c r="H2442">
        <v>2012</v>
      </c>
      <c r="I2442" t="s">
        <v>2</v>
      </c>
      <c r="J2442">
        <v>3321</v>
      </c>
      <c r="K2442" t="s">
        <v>1348</v>
      </c>
      <c r="L2442">
        <v>0</v>
      </c>
      <c r="N2442" t="s">
        <v>622</v>
      </c>
      <c r="O2442">
        <v>1</v>
      </c>
      <c r="P2442">
        <v>9116</v>
      </c>
      <c r="Q2442" t="s">
        <v>1353</v>
      </c>
      <c r="R2442" t="s">
        <v>201</v>
      </c>
      <c r="S2442">
        <v>2</v>
      </c>
      <c r="T2442">
        <v>1</v>
      </c>
      <c r="U2442">
        <v>90144</v>
      </c>
      <c r="V2442">
        <v>180288</v>
      </c>
    </row>
    <row r="2443" spans="1:22">
      <c r="A2443" t="s">
        <v>196</v>
      </c>
      <c r="B2443">
        <v>57</v>
      </c>
      <c r="C2443" t="s">
        <v>31</v>
      </c>
      <c r="D2443">
        <v>100</v>
      </c>
      <c r="E2443" t="s">
        <v>197</v>
      </c>
      <c r="F2443">
        <v>1005</v>
      </c>
      <c r="G2443" t="s">
        <v>31</v>
      </c>
      <c r="H2443">
        <v>2012</v>
      </c>
      <c r="I2443" t="s">
        <v>2</v>
      </c>
      <c r="J2443">
        <v>3321</v>
      </c>
      <c r="K2443" t="s">
        <v>1348</v>
      </c>
      <c r="L2443">
        <v>0</v>
      </c>
      <c r="N2443" t="s">
        <v>622</v>
      </c>
      <c r="O2443">
        <v>1</v>
      </c>
      <c r="P2443">
        <v>9116</v>
      </c>
      <c r="Q2443" t="s">
        <v>1353</v>
      </c>
      <c r="R2443" t="s">
        <v>201</v>
      </c>
      <c r="S2443">
        <v>1</v>
      </c>
      <c r="T2443">
        <v>1</v>
      </c>
      <c r="U2443">
        <v>82140</v>
      </c>
      <c r="V2443">
        <v>82140</v>
      </c>
    </row>
    <row r="2444" spans="1:22">
      <c r="A2444" t="s">
        <v>196</v>
      </c>
      <c r="B2444">
        <v>57</v>
      </c>
      <c r="C2444" t="s">
        <v>31</v>
      </c>
      <c r="D2444">
        <v>100</v>
      </c>
      <c r="E2444" t="s">
        <v>197</v>
      </c>
      <c r="F2444">
        <v>1005</v>
      </c>
      <c r="G2444" t="s">
        <v>31</v>
      </c>
      <c r="H2444">
        <v>2012</v>
      </c>
      <c r="I2444" t="s">
        <v>2</v>
      </c>
      <c r="J2444">
        <v>3321</v>
      </c>
      <c r="K2444" t="s">
        <v>1348</v>
      </c>
      <c r="L2444">
        <v>0</v>
      </c>
      <c r="N2444" t="s">
        <v>622</v>
      </c>
      <c r="O2444">
        <v>1</v>
      </c>
      <c r="P2444">
        <v>9116</v>
      </c>
      <c r="Q2444" t="s">
        <v>1353</v>
      </c>
      <c r="R2444" t="s">
        <v>201</v>
      </c>
      <c r="S2444">
        <v>1</v>
      </c>
      <c r="T2444">
        <v>1</v>
      </c>
      <c r="U2444">
        <v>78432</v>
      </c>
      <c r="V2444">
        <v>78432</v>
      </c>
    </row>
    <row r="2445" spans="1:22">
      <c r="A2445" t="s">
        <v>196</v>
      </c>
      <c r="B2445">
        <v>57</v>
      </c>
      <c r="C2445" t="s">
        <v>31</v>
      </c>
      <c r="D2445">
        <v>100</v>
      </c>
      <c r="E2445" t="s">
        <v>197</v>
      </c>
      <c r="F2445">
        <v>1005</v>
      </c>
      <c r="G2445" t="s">
        <v>31</v>
      </c>
      <c r="H2445">
        <v>2012</v>
      </c>
      <c r="I2445" t="s">
        <v>2</v>
      </c>
      <c r="J2445">
        <v>3321</v>
      </c>
      <c r="K2445" t="s">
        <v>1348</v>
      </c>
      <c r="L2445">
        <v>0</v>
      </c>
      <c r="N2445" t="s">
        <v>622</v>
      </c>
      <c r="O2445">
        <v>1</v>
      </c>
      <c r="P2445">
        <v>9116</v>
      </c>
      <c r="Q2445" t="s">
        <v>1353</v>
      </c>
      <c r="R2445" t="s">
        <v>201</v>
      </c>
      <c r="S2445">
        <v>3</v>
      </c>
      <c r="T2445">
        <v>1</v>
      </c>
      <c r="U2445">
        <v>74916</v>
      </c>
      <c r="V2445">
        <v>224748</v>
      </c>
    </row>
    <row r="2446" spans="1:22">
      <c r="A2446" t="s">
        <v>196</v>
      </c>
      <c r="B2446">
        <v>57</v>
      </c>
      <c r="C2446" t="s">
        <v>31</v>
      </c>
      <c r="D2446">
        <v>100</v>
      </c>
      <c r="E2446" t="s">
        <v>197</v>
      </c>
      <c r="F2446">
        <v>1005</v>
      </c>
      <c r="G2446" t="s">
        <v>31</v>
      </c>
      <c r="H2446">
        <v>2012</v>
      </c>
      <c r="I2446" t="s">
        <v>2</v>
      </c>
      <c r="J2446">
        <v>3321</v>
      </c>
      <c r="K2446" t="s">
        <v>1348</v>
      </c>
      <c r="L2446">
        <v>0</v>
      </c>
      <c r="N2446" t="s">
        <v>622</v>
      </c>
      <c r="O2446">
        <v>1</v>
      </c>
      <c r="P2446">
        <v>9116</v>
      </c>
      <c r="Q2446" t="s">
        <v>1353</v>
      </c>
      <c r="R2446" t="s">
        <v>201</v>
      </c>
      <c r="S2446">
        <v>1</v>
      </c>
      <c r="T2446">
        <v>1</v>
      </c>
      <c r="U2446">
        <v>71436</v>
      </c>
      <c r="V2446">
        <v>71436</v>
      </c>
    </row>
    <row r="2447" spans="1:22">
      <c r="A2447" t="s">
        <v>196</v>
      </c>
      <c r="B2447">
        <v>57</v>
      </c>
      <c r="C2447" t="s">
        <v>31</v>
      </c>
      <c r="D2447">
        <v>100</v>
      </c>
      <c r="E2447" t="s">
        <v>197</v>
      </c>
      <c r="F2447">
        <v>1005</v>
      </c>
      <c r="G2447" t="s">
        <v>31</v>
      </c>
      <c r="H2447">
        <v>2012</v>
      </c>
      <c r="I2447" t="s">
        <v>2</v>
      </c>
      <c r="J2447">
        <v>3321</v>
      </c>
      <c r="K2447" t="s">
        <v>1348</v>
      </c>
      <c r="L2447">
        <v>0</v>
      </c>
      <c r="N2447" t="s">
        <v>622</v>
      </c>
      <c r="O2447">
        <v>1</v>
      </c>
      <c r="P2447">
        <v>9116</v>
      </c>
      <c r="Q2447" t="s">
        <v>1353</v>
      </c>
      <c r="R2447" t="s">
        <v>201</v>
      </c>
      <c r="S2447">
        <v>48</v>
      </c>
      <c r="T2447">
        <v>1</v>
      </c>
      <c r="U2447">
        <v>68256</v>
      </c>
      <c r="V2447">
        <v>3276288</v>
      </c>
    </row>
    <row r="2448" spans="1:22">
      <c r="A2448" t="s">
        <v>196</v>
      </c>
      <c r="B2448">
        <v>57</v>
      </c>
      <c r="C2448" t="s">
        <v>31</v>
      </c>
      <c r="D2448">
        <v>100</v>
      </c>
      <c r="E2448" t="s">
        <v>197</v>
      </c>
      <c r="F2448">
        <v>1005</v>
      </c>
      <c r="G2448" t="s">
        <v>31</v>
      </c>
      <c r="H2448">
        <v>2012</v>
      </c>
      <c r="I2448" t="s">
        <v>2</v>
      </c>
      <c r="J2448">
        <v>3321</v>
      </c>
      <c r="K2448" t="s">
        <v>1348</v>
      </c>
      <c r="L2448">
        <v>0</v>
      </c>
      <c r="N2448" t="s">
        <v>622</v>
      </c>
      <c r="O2448">
        <v>1</v>
      </c>
      <c r="P2448">
        <v>9116</v>
      </c>
      <c r="Q2448" t="s">
        <v>1353</v>
      </c>
      <c r="R2448" t="s">
        <v>201</v>
      </c>
      <c r="S2448">
        <v>3</v>
      </c>
      <c r="T2448">
        <v>1</v>
      </c>
      <c r="U2448">
        <v>64488</v>
      </c>
      <c r="V2448">
        <v>193464</v>
      </c>
    </row>
    <row r="2449" spans="1:22">
      <c r="A2449" t="s">
        <v>196</v>
      </c>
      <c r="B2449">
        <v>57</v>
      </c>
      <c r="C2449" t="s">
        <v>31</v>
      </c>
      <c r="D2449">
        <v>100</v>
      </c>
      <c r="E2449" t="s">
        <v>197</v>
      </c>
      <c r="F2449">
        <v>1005</v>
      </c>
      <c r="G2449" t="s">
        <v>31</v>
      </c>
      <c r="H2449">
        <v>2012</v>
      </c>
      <c r="I2449" t="s">
        <v>2</v>
      </c>
      <c r="J2449">
        <v>3321</v>
      </c>
      <c r="K2449" t="s">
        <v>1348</v>
      </c>
      <c r="L2449">
        <v>0</v>
      </c>
      <c r="N2449" t="s">
        <v>622</v>
      </c>
      <c r="O2449">
        <v>1</v>
      </c>
      <c r="P2449">
        <v>9116</v>
      </c>
      <c r="Q2449" t="s">
        <v>1353</v>
      </c>
      <c r="R2449" t="s">
        <v>201</v>
      </c>
      <c r="S2449">
        <v>1</v>
      </c>
      <c r="T2449">
        <v>1</v>
      </c>
      <c r="U2449">
        <v>61548</v>
      </c>
      <c r="V2449">
        <v>61548</v>
      </c>
    </row>
    <row r="2450" spans="1:22">
      <c r="A2450" t="s">
        <v>196</v>
      </c>
      <c r="B2450">
        <v>57</v>
      </c>
      <c r="C2450" t="s">
        <v>31</v>
      </c>
      <c r="D2450">
        <v>100</v>
      </c>
      <c r="E2450" t="s">
        <v>197</v>
      </c>
      <c r="F2450">
        <v>1005</v>
      </c>
      <c r="G2450" t="s">
        <v>31</v>
      </c>
      <c r="H2450">
        <v>2012</v>
      </c>
      <c r="I2450" t="s">
        <v>2</v>
      </c>
      <c r="J2450">
        <v>3321</v>
      </c>
      <c r="K2450" t="s">
        <v>1348</v>
      </c>
      <c r="L2450">
        <v>0</v>
      </c>
      <c r="N2450" t="s">
        <v>622</v>
      </c>
      <c r="O2450">
        <v>1</v>
      </c>
      <c r="P2450">
        <v>9116</v>
      </c>
      <c r="Q2450" t="s">
        <v>1353</v>
      </c>
      <c r="R2450" t="s">
        <v>201</v>
      </c>
      <c r="S2450">
        <v>4</v>
      </c>
      <c r="T2450">
        <v>1</v>
      </c>
      <c r="U2450">
        <v>58764</v>
      </c>
      <c r="V2450">
        <v>235056</v>
      </c>
    </row>
    <row r="2451" spans="1:22">
      <c r="A2451" t="s">
        <v>196</v>
      </c>
      <c r="B2451">
        <v>57</v>
      </c>
      <c r="C2451" t="s">
        <v>31</v>
      </c>
      <c r="D2451">
        <v>100</v>
      </c>
      <c r="E2451" t="s">
        <v>197</v>
      </c>
      <c r="F2451">
        <v>1005</v>
      </c>
      <c r="G2451" t="s">
        <v>31</v>
      </c>
      <c r="H2451">
        <v>2012</v>
      </c>
      <c r="I2451" t="s">
        <v>2</v>
      </c>
      <c r="J2451">
        <v>3321</v>
      </c>
      <c r="K2451" t="s">
        <v>1348</v>
      </c>
      <c r="L2451">
        <v>0</v>
      </c>
      <c r="N2451" t="s">
        <v>622</v>
      </c>
      <c r="O2451">
        <v>1</v>
      </c>
      <c r="P2451">
        <v>9116</v>
      </c>
      <c r="Q2451" t="s">
        <v>1353</v>
      </c>
      <c r="R2451" t="s">
        <v>201</v>
      </c>
      <c r="S2451">
        <v>18</v>
      </c>
      <c r="T2451">
        <v>1</v>
      </c>
      <c r="U2451">
        <v>56124</v>
      </c>
      <c r="V2451">
        <v>1010232</v>
      </c>
    </row>
    <row r="2452" spans="1:22">
      <c r="A2452" t="s">
        <v>196</v>
      </c>
      <c r="B2452">
        <v>57</v>
      </c>
      <c r="C2452" t="s">
        <v>31</v>
      </c>
      <c r="D2452">
        <v>100</v>
      </c>
      <c r="E2452" t="s">
        <v>197</v>
      </c>
      <c r="F2452">
        <v>1005</v>
      </c>
      <c r="G2452" t="s">
        <v>31</v>
      </c>
      <c r="H2452">
        <v>2012</v>
      </c>
      <c r="I2452" t="s">
        <v>2</v>
      </c>
      <c r="J2452">
        <v>3321</v>
      </c>
      <c r="K2452" t="s">
        <v>1348</v>
      </c>
      <c r="L2452">
        <v>0</v>
      </c>
      <c r="N2452" t="s">
        <v>622</v>
      </c>
      <c r="O2452">
        <v>1</v>
      </c>
      <c r="P2452">
        <v>9116</v>
      </c>
      <c r="Q2452" t="s">
        <v>1353</v>
      </c>
      <c r="R2452" t="s">
        <v>201</v>
      </c>
      <c r="S2452">
        <v>8</v>
      </c>
      <c r="T2452">
        <v>1</v>
      </c>
      <c r="U2452">
        <v>51936</v>
      </c>
      <c r="V2452">
        <v>415488</v>
      </c>
    </row>
    <row r="2453" spans="1:22">
      <c r="A2453" t="s">
        <v>196</v>
      </c>
      <c r="B2453">
        <v>57</v>
      </c>
      <c r="C2453" t="s">
        <v>31</v>
      </c>
      <c r="D2453">
        <v>100</v>
      </c>
      <c r="E2453" t="s">
        <v>197</v>
      </c>
      <c r="F2453">
        <v>1005</v>
      </c>
      <c r="G2453" t="s">
        <v>31</v>
      </c>
      <c r="H2453">
        <v>2012</v>
      </c>
      <c r="I2453" t="s">
        <v>2</v>
      </c>
      <c r="J2453">
        <v>3321</v>
      </c>
      <c r="K2453" t="s">
        <v>1348</v>
      </c>
      <c r="L2453">
        <v>0</v>
      </c>
      <c r="N2453" t="s">
        <v>839</v>
      </c>
      <c r="O2453">
        <v>0</v>
      </c>
      <c r="P2453">
        <v>9106</v>
      </c>
      <c r="Q2453" t="s">
        <v>1354</v>
      </c>
      <c r="R2453" t="s">
        <v>713</v>
      </c>
      <c r="S2453">
        <v>55554</v>
      </c>
      <c r="T2453">
        <v>0</v>
      </c>
      <c r="U2453">
        <v>15.8</v>
      </c>
      <c r="V2453">
        <v>877753</v>
      </c>
    </row>
    <row r="2454" spans="1:22">
      <c r="A2454" t="s">
        <v>196</v>
      </c>
      <c r="B2454">
        <v>57</v>
      </c>
      <c r="C2454" t="s">
        <v>31</v>
      </c>
      <c r="D2454">
        <v>100</v>
      </c>
      <c r="E2454" t="s">
        <v>197</v>
      </c>
      <c r="F2454">
        <v>1005</v>
      </c>
      <c r="G2454" t="s">
        <v>31</v>
      </c>
      <c r="H2454">
        <v>2012</v>
      </c>
      <c r="I2454" t="s">
        <v>2</v>
      </c>
      <c r="J2454">
        <v>3321</v>
      </c>
      <c r="K2454" t="s">
        <v>1348</v>
      </c>
      <c r="L2454">
        <v>0</v>
      </c>
      <c r="N2454" t="s">
        <v>809</v>
      </c>
      <c r="O2454">
        <v>1</v>
      </c>
      <c r="P2454">
        <v>460</v>
      </c>
      <c r="Q2454" t="s">
        <v>810</v>
      </c>
      <c r="R2454" t="s">
        <v>201</v>
      </c>
      <c r="S2454">
        <v>9</v>
      </c>
      <c r="T2454">
        <v>1</v>
      </c>
      <c r="U2454">
        <v>82140</v>
      </c>
      <c r="V2454">
        <v>739260</v>
      </c>
    </row>
    <row r="2455" spans="1:22">
      <c r="A2455" t="s">
        <v>196</v>
      </c>
      <c r="B2455">
        <v>57</v>
      </c>
      <c r="C2455" t="s">
        <v>31</v>
      </c>
      <c r="D2455">
        <v>100</v>
      </c>
      <c r="E2455" t="s">
        <v>197</v>
      </c>
      <c r="F2455">
        <v>1005</v>
      </c>
      <c r="G2455" t="s">
        <v>31</v>
      </c>
      <c r="H2455">
        <v>2012</v>
      </c>
      <c r="I2455" t="s">
        <v>2</v>
      </c>
      <c r="J2455">
        <v>3321</v>
      </c>
      <c r="K2455" t="s">
        <v>1348</v>
      </c>
      <c r="L2455">
        <v>0</v>
      </c>
      <c r="N2455" t="s">
        <v>809</v>
      </c>
      <c r="O2455">
        <v>1</v>
      </c>
      <c r="P2455">
        <v>460</v>
      </c>
      <c r="Q2455" t="s">
        <v>810</v>
      </c>
      <c r="R2455" t="s">
        <v>201</v>
      </c>
      <c r="S2455">
        <v>1</v>
      </c>
      <c r="T2455">
        <v>1</v>
      </c>
      <c r="U2455">
        <v>78432</v>
      </c>
      <c r="V2455">
        <v>78432</v>
      </c>
    </row>
    <row r="2456" spans="1:22">
      <c r="A2456" t="s">
        <v>196</v>
      </c>
      <c r="B2456">
        <v>57</v>
      </c>
      <c r="C2456" t="s">
        <v>31</v>
      </c>
      <c r="D2456">
        <v>100</v>
      </c>
      <c r="E2456" t="s">
        <v>197</v>
      </c>
      <c r="F2456">
        <v>1005</v>
      </c>
      <c r="G2456" t="s">
        <v>31</v>
      </c>
      <c r="H2456">
        <v>2012</v>
      </c>
      <c r="I2456" t="s">
        <v>2</v>
      </c>
      <c r="J2456">
        <v>3321</v>
      </c>
      <c r="K2456" t="s">
        <v>1348</v>
      </c>
      <c r="L2456">
        <v>0</v>
      </c>
      <c r="N2456" t="s">
        <v>809</v>
      </c>
      <c r="O2456">
        <v>1</v>
      </c>
      <c r="P2456">
        <v>460</v>
      </c>
      <c r="Q2456" t="s">
        <v>810</v>
      </c>
      <c r="R2456" t="s">
        <v>201</v>
      </c>
      <c r="S2456">
        <v>1</v>
      </c>
      <c r="T2456">
        <v>1</v>
      </c>
      <c r="U2456">
        <v>74916</v>
      </c>
      <c r="V2456">
        <v>74916</v>
      </c>
    </row>
    <row r="2457" spans="1:22">
      <c r="A2457" t="s">
        <v>196</v>
      </c>
      <c r="B2457">
        <v>57</v>
      </c>
      <c r="C2457" t="s">
        <v>31</v>
      </c>
      <c r="D2457">
        <v>100</v>
      </c>
      <c r="E2457" t="s">
        <v>197</v>
      </c>
      <c r="F2457">
        <v>1005</v>
      </c>
      <c r="G2457" t="s">
        <v>31</v>
      </c>
      <c r="H2457">
        <v>2012</v>
      </c>
      <c r="I2457" t="s">
        <v>2</v>
      </c>
      <c r="J2457">
        <v>3321</v>
      </c>
      <c r="K2457" t="s">
        <v>1348</v>
      </c>
      <c r="L2457">
        <v>0</v>
      </c>
      <c r="N2457" t="s">
        <v>1007</v>
      </c>
      <c r="O2457">
        <v>1</v>
      </c>
      <c r="P2457">
        <v>459</v>
      </c>
      <c r="Q2457" t="s">
        <v>1355</v>
      </c>
      <c r="R2457" t="s">
        <v>201</v>
      </c>
      <c r="S2457">
        <v>3</v>
      </c>
      <c r="T2457">
        <v>1</v>
      </c>
      <c r="U2457">
        <v>74916</v>
      </c>
      <c r="V2457">
        <v>224748</v>
      </c>
    </row>
    <row r="2458" spans="1:22">
      <c r="A2458" t="s">
        <v>196</v>
      </c>
      <c r="B2458">
        <v>57</v>
      </c>
      <c r="C2458" t="s">
        <v>31</v>
      </c>
      <c r="D2458">
        <v>100</v>
      </c>
      <c r="E2458" t="s">
        <v>197</v>
      </c>
      <c r="F2458">
        <v>1005</v>
      </c>
      <c r="G2458" t="s">
        <v>31</v>
      </c>
      <c r="H2458">
        <v>2012</v>
      </c>
      <c r="I2458" t="s">
        <v>2</v>
      </c>
      <c r="J2458">
        <v>3321</v>
      </c>
      <c r="K2458" t="s">
        <v>1348</v>
      </c>
      <c r="L2458">
        <v>0</v>
      </c>
      <c r="N2458" t="s">
        <v>1007</v>
      </c>
      <c r="O2458">
        <v>1</v>
      </c>
      <c r="P2458">
        <v>459</v>
      </c>
      <c r="Q2458" t="s">
        <v>1355</v>
      </c>
      <c r="R2458" t="s">
        <v>201</v>
      </c>
      <c r="S2458">
        <v>2</v>
      </c>
      <c r="T2458">
        <v>1</v>
      </c>
      <c r="U2458">
        <v>43164</v>
      </c>
      <c r="V2458">
        <v>86328</v>
      </c>
    </row>
    <row r="2459" spans="1:22">
      <c r="A2459" t="s">
        <v>196</v>
      </c>
      <c r="B2459">
        <v>57</v>
      </c>
      <c r="C2459" t="s">
        <v>31</v>
      </c>
      <c r="D2459">
        <v>100</v>
      </c>
      <c r="E2459" t="s">
        <v>197</v>
      </c>
      <c r="F2459">
        <v>1005</v>
      </c>
      <c r="G2459" t="s">
        <v>31</v>
      </c>
      <c r="H2459">
        <v>2012</v>
      </c>
      <c r="I2459" t="s">
        <v>2</v>
      </c>
      <c r="J2459">
        <v>3321</v>
      </c>
      <c r="K2459" t="s">
        <v>1348</v>
      </c>
      <c r="L2459">
        <v>0</v>
      </c>
      <c r="N2459" t="s">
        <v>351</v>
      </c>
      <c r="O2459">
        <v>1</v>
      </c>
      <c r="P2459" t="s">
        <v>352</v>
      </c>
      <c r="Q2459" t="s">
        <v>353</v>
      </c>
      <c r="R2459" t="s">
        <v>201</v>
      </c>
      <c r="S2459">
        <v>1</v>
      </c>
      <c r="T2459">
        <v>1</v>
      </c>
      <c r="U2459">
        <v>108576</v>
      </c>
      <c r="V2459">
        <v>108576</v>
      </c>
    </row>
    <row r="2460" spans="1:22">
      <c r="A2460" t="s">
        <v>196</v>
      </c>
      <c r="B2460">
        <v>57</v>
      </c>
      <c r="C2460" t="s">
        <v>31</v>
      </c>
      <c r="D2460">
        <v>100</v>
      </c>
      <c r="E2460" t="s">
        <v>197</v>
      </c>
      <c r="F2460">
        <v>1005</v>
      </c>
      <c r="G2460" t="s">
        <v>31</v>
      </c>
      <c r="H2460">
        <v>2012</v>
      </c>
      <c r="I2460" t="s">
        <v>2</v>
      </c>
      <c r="J2460">
        <v>3321</v>
      </c>
      <c r="K2460" t="s">
        <v>1348</v>
      </c>
      <c r="L2460">
        <v>0</v>
      </c>
      <c r="N2460" t="s">
        <v>199</v>
      </c>
      <c r="O2460">
        <v>0</v>
      </c>
      <c r="P2460">
        <v>15</v>
      </c>
      <c r="Q2460" t="s">
        <v>264</v>
      </c>
      <c r="R2460" t="s">
        <v>201</v>
      </c>
      <c r="S2460">
        <v>0</v>
      </c>
      <c r="T2460">
        <v>0</v>
      </c>
      <c r="U2460">
        <v>10307025</v>
      </c>
      <c r="V2460">
        <v>10307025</v>
      </c>
    </row>
    <row r="2461" spans="1:22">
      <c r="A2461" t="s">
        <v>196</v>
      </c>
      <c r="B2461">
        <v>57</v>
      </c>
      <c r="C2461" t="s">
        <v>31</v>
      </c>
      <c r="D2461">
        <v>100</v>
      </c>
      <c r="E2461" t="s">
        <v>197</v>
      </c>
      <c r="F2461">
        <v>1005</v>
      </c>
      <c r="G2461" t="s">
        <v>31</v>
      </c>
      <c r="H2461">
        <v>2012</v>
      </c>
      <c r="I2461" t="s">
        <v>2</v>
      </c>
      <c r="J2461">
        <v>3322</v>
      </c>
      <c r="K2461" t="s">
        <v>1356</v>
      </c>
      <c r="L2461">
        <v>0</v>
      </c>
      <c r="N2461" t="s">
        <v>216</v>
      </c>
      <c r="O2461">
        <v>99</v>
      </c>
      <c r="P2461">
        <v>9752</v>
      </c>
      <c r="Q2461" t="s">
        <v>1296</v>
      </c>
      <c r="R2461" t="s">
        <v>201</v>
      </c>
      <c r="S2461">
        <v>5</v>
      </c>
      <c r="T2461">
        <v>1</v>
      </c>
      <c r="U2461">
        <v>192240</v>
      </c>
      <c r="V2461">
        <v>961200</v>
      </c>
    </row>
    <row r="2462" spans="1:22">
      <c r="A2462" t="s">
        <v>196</v>
      </c>
      <c r="B2462">
        <v>57</v>
      </c>
      <c r="C2462" t="s">
        <v>31</v>
      </c>
      <c r="D2462">
        <v>100</v>
      </c>
      <c r="E2462" t="s">
        <v>197</v>
      </c>
      <c r="F2462">
        <v>1005</v>
      </c>
      <c r="G2462" t="s">
        <v>31</v>
      </c>
      <c r="H2462">
        <v>2012</v>
      </c>
      <c r="I2462" t="s">
        <v>2</v>
      </c>
      <c r="J2462">
        <v>3322</v>
      </c>
      <c r="K2462" t="s">
        <v>1356</v>
      </c>
      <c r="L2462">
        <v>0</v>
      </c>
      <c r="N2462" t="s">
        <v>1304</v>
      </c>
      <c r="O2462">
        <v>73</v>
      </c>
      <c r="P2462">
        <v>9173</v>
      </c>
      <c r="Q2462" t="s">
        <v>1323</v>
      </c>
      <c r="R2462" t="s">
        <v>201</v>
      </c>
      <c r="S2462">
        <v>5</v>
      </c>
      <c r="T2462">
        <v>1</v>
      </c>
      <c r="U2462">
        <v>170700</v>
      </c>
      <c r="V2462">
        <v>853500</v>
      </c>
    </row>
    <row r="2463" spans="1:22">
      <c r="A2463" t="s">
        <v>196</v>
      </c>
      <c r="B2463">
        <v>57</v>
      </c>
      <c r="C2463" t="s">
        <v>31</v>
      </c>
      <c r="D2463">
        <v>100</v>
      </c>
      <c r="E2463" t="s">
        <v>197</v>
      </c>
      <c r="F2463">
        <v>1005</v>
      </c>
      <c r="G2463" t="s">
        <v>31</v>
      </c>
      <c r="H2463">
        <v>2012</v>
      </c>
      <c r="I2463" t="s">
        <v>2</v>
      </c>
      <c r="J2463">
        <v>3322</v>
      </c>
      <c r="K2463" t="s">
        <v>1356</v>
      </c>
      <c r="L2463">
        <v>0</v>
      </c>
      <c r="N2463" t="s">
        <v>1304</v>
      </c>
      <c r="O2463">
        <v>73</v>
      </c>
      <c r="P2463">
        <v>9173</v>
      </c>
      <c r="Q2463" t="s">
        <v>1323</v>
      </c>
      <c r="R2463" t="s">
        <v>201</v>
      </c>
      <c r="S2463">
        <v>1</v>
      </c>
      <c r="T2463">
        <v>1</v>
      </c>
      <c r="U2463">
        <v>165624</v>
      </c>
      <c r="V2463">
        <v>165624</v>
      </c>
    </row>
    <row r="2464" spans="1:22">
      <c r="A2464" t="s">
        <v>196</v>
      </c>
      <c r="B2464">
        <v>57</v>
      </c>
      <c r="C2464" t="s">
        <v>31</v>
      </c>
      <c r="D2464">
        <v>100</v>
      </c>
      <c r="E2464" t="s">
        <v>197</v>
      </c>
      <c r="F2464">
        <v>1005</v>
      </c>
      <c r="G2464" t="s">
        <v>31</v>
      </c>
      <c r="H2464">
        <v>2012</v>
      </c>
      <c r="I2464" t="s">
        <v>2</v>
      </c>
      <c r="J2464">
        <v>3322</v>
      </c>
      <c r="K2464" t="s">
        <v>1356</v>
      </c>
      <c r="L2464">
        <v>0</v>
      </c>
      <c r="N2464" t="s">
        <v>1304</v>
      </c>
      <c r="O2464">
        <v>73</v>
      </c>
      <c r="P2464">
        <v>9173</v>
      </c>
      <c r="Q2464" t="s">
        <v>1323</v>
      </c>
      <c r="R2464" t="s">
        <v>201</v>
      </c>
      <c r="S2464">
        <v>1</v>
      </c>
      <c r="T2464">
        <v>1</v>
      </c>
      <c r="U2464">
        <v>160746</v>
      </c>
      <c r="V2464">
        <v>160746</v>
      </c>
    </row>
    <row r="2465" spans="1:22">
      <c r="A2465" t="s">
        <v>196</v>
      </c>
      <c r="B2465">
        <v>57</v>
      </c>
      <c r="C2465" t="s">
        <v>31</v>
      </c>
      <c r="D2465">
        <v>100</v>
      </c>
      <c r="E2465" t="s">
        <v>197</v>
      </c>
      <c r="F2465">
        <v>1005</v>
      </c>
      <c r="G2465" t="s">
        <v>31</v>
      </c>
      <c r="H2465">
        <v>2012</v>
      </c>
      <c r="I2465" t="s">
        <v>2</v>
      </c>
      <c r="J2465">
        <v>3322</v>
      </c>
      <c r="K2465" t="s">
        <v>1356</v>
      </c>
      <c r="L2465">
        <v>0</v>
      </c>
      <c r="N2465" t="s">
        <v>1304</v>
      </c>
      <c r="O2465">
        <v>73</v>
      </c>
      <c r="P2465">
        <v>9173</v>
      </c>
      <c r="Q2465" t="s">
        <v>1323</v>
      </c>
      <c r="R2465" t="s">
        <v>201</v>
      </c>
      <c r="S2465">
        <v>1</v>
      </c>
      <c r="T2465">
        <v>1</v>
      </c>
      <c r="U2465">
        <v>155934</v>
      </c>
      <c r="V2465">
        <v>155934</v>
      </c>
    </row>
    <row r="2466" spans="1:22">
      <c r="A2466" t="s">
        <v>196</v>
      </c>
      <c r="B2466">
        <v>57</v>
      </c>
      <c r="C2466" t="s">
        <v>31</v>
      </c>
      <c r="D2466">
        <v>100</v>
      </c>
      <c r="E2466" t="s">
        <v>197</v>
      </c>
      <c r="F2466">
        <v>1005</v>
      </c>
      <c r="G2466" t="s">
        <v>31</v>
      </c>
      <c r="H2466">
        <v>2012</v>
      </c>
      <c r="I2466" t="s">
        <v>2</v>
      </c>
      <c r="J2466">
        <v>3322</v>
      </c>
      <c r="K2466" t="s">
        <v>1356</v>
      </c>
      <c r="L2466">
        <v>0</v>
      </c>
      <c r="N2466" t="s">
        <v>1302</v>
      </c>
      <c r="O2466">
        <v>71</v>
      </c>
      <c r="P2466">
        <v>9171</v>
      </c>
      <c r="Q2466" t="s">
        <v>1303</v>
      </c>
      <c r="R2466" t="s">
        <v>201</v>
      </c>
      <c r="S2466">
        <v>3</v>
      </c>
      <c r="T2466">
        <v>1</v>
      </c>
      <c r="U2466">
        <v>156564</v>
      </c>
      <c r="V2466">
        <v>469692</v>
      </c>
    </row>
    <row r="2467" spans="1:22">
      <c r="A2467" t="s">
        <v>196</v>
      </c>
      <c r="B2467">
        <v>57</v>
      </c>
      <c r="C2467" t="s">
        <v>31</v>
      </c>
      <c r="D2467">
        <v>100</v>
      </c>
      <c r="E2467" t="s">
        <v>197</v>
      </c>
      <c r="F2467">
        <v>1005</v>
      </c>
      <c r="G2467" t="s">
        <v>31</v>
      </c>
      <c r="H2467">
        <v>2012</v>
      </c>
      <c r="I2467" t="s">
        <v>2</v>
      </c>
      <c r="J2467">
        <v>3322</v>
      </c>
      <c r="K2467" t="s">
        <v>1356</v>
      </c>
      <c r="L2467">
        <v>0</v>
      </c>
      <c r="N2467" t="s">
        <v>1302</v>
      </c>
      <c r="O2467">
        <v>71</v>
      </c>
      <c r="P2467">
        <v>9171</v>
      </c>
      <c r="Q2467" t="s">
        <v>1303</v>
      </c>
      <c r="R2467" t="s">
        <v>201</v>
      </c>
      <c r="S2467">
        <v>21</v>
      </c>
      <c r="T2467">
        <v>1</v>
      </c>
      <c r="U2467">
        <v>152010</v>
      </c>
      <c r="V2467">
        <v>3192210</v>
      </c>
    </row>
    <row r="2468" spans="1:22">
      <c r="A2468" t="s">
        <v>196</v>
      </c>
      <c r="B2468">
        <v>57</v>
      </c>
      <c r="C2468" t="s">
        <v>31</v>
      </c>
      <c r="D2468">
        <v>100</v>
      </c>
      <c r="E2468" t="s">
        <v>197</v>
      </c>
      <c r="F2468">
        <v>1005</v>
      </c>
      <c r="G2468" t="s">
        <v>31</v>
      </c>
      <c r="H2468">
        <v>2012</v>
      </c>
      <c r="I2468" t="s">
        <v>2</v>
      </c>
      <c r="J2468">
        <v>3322</v>
      </c>
      <c r="K2468" t="s">
        <v>1356</v>
      </c>
      <c r="L2468">
        <v>0</v>
      </c>
      <c r="N2468" t="s">
        <v>1302</v>
      </c>
      <c r="O2468">
        <v>71</v>
      </c>
      <c r="P2468">
        <v>9171</v>
      </c>
      <c r="Q2468" t="s">
        <v>1303</v>
      </c>
      <c r="R2468" t="s">
        <v>201</v>
      </c>
      <c r="S2468">
        <v>19</v>
      </c>
      <c r="T2468">
        <v>1</v>
      </c>
      <c r="U2468">
        <v>147252</v>
      </c>
      <c r="V2468">
        <v>2797788</v>
      </c>
    </row>
    <row r="2469" spans="1:22">
      <c r="A2469" t="s">
        <v>196</v>
      </c>
      <c r="B2469">
        <v>57</v>
      </c>
      <c r="C2469" t="s">
        <v>31</v>
      </c>
      <c r="D2469">
        <v>100</v>
      </c>
      <c r="E2469" t="s">
        <v>197</v>
      </c>
      <c r="F2469">
        <v>1005</v>
      </c>
      <c r="G2469" t="s">
        <v>31</v>
      </c>
      <c r="H2469">
        <v>2012</v>
      </c>
      <c r="I2469" t="s">
        <v>2</v>
      </c>
      <c r="J2469">
        <v>3322</v>
      </c>
      <c r="K2469" t="s">
        <v>1356</v>
      </c>
      <c r="L2469">
        <v>0</v>
      </c>
      <c r="N2469" t="s">
        <v>1302</v>
      </c>
      <c r="O2469">
        <v>71</v>
      </c>
      <c r="P2469">
        <v>9171</v>
      </c>
      <c r="Q2469" t="s">
        <v>1303</v>
      </c>
      <c r="R2469" t="s">
        <v>201</v>
      </c>
      <c r="S2469">
        <v>14</v>
      </c>
      <c r="T2469">
        <v>1</v>
      </c>
      <c r="U2469">
        <v>142668</v>
      </c>
      <c r="V2469">
        <v>1997352</v>
      </c>
    </row>
    <row r="2470" spans="1:22">
      <c r="A2470" t="s">
        <v>196</v>
      </c>
      <c r="B2470">
        <v>57</v>
      </c>
      <c r="C2470" t="s">
        <v>31</v>
      </c>
      <c r="D2470">
        <v>100</v>
      </c>
      <c r="E2470" t="s">
        <v>197</v>
      </c>
      <c r="F2470">
        <v>1005</v>
      </c>
      <c r="G2470" t="s">
        <v>31</v>
      </c>
      <c r="H2470">
        <v>2012</v>
      </c>
      <c r="I2470" t="s">
        <v>2</v>
      </c>
      <c r="J2470">
        <v>3322</v>
      </c>
      <c r="K2470" t="s">
        <v>1356</v>
      </c>
      <c r="L2470">
        <v>0</v>
      </c>
      <c r="N2470" t="s">
        <v>1302</v>
      </c>
      <c r="O2470">
        <v>71</v>
      </c>
      <c r="P2470">
        <v>9171</v>
      </c>
      <c r="Q2470" t="s">
        <v>1303</v>
      </c>
      <c r="R2470" t="s">
        <v>201</v>
      </c>
      <c r="S2470">
        <v>12</v>
      </c>
      <c r="T2470">
        <v>1</v>
      </c>
      <c r="U2470">
        <v>138318</v>
      </c>
      <c r="V2470">
        <v>1659816</v>
      </c>
    </row>
    <row r="2471" spans="1:22">
      <c r="A2471" t="s">
        <v>196</v>
      </c>
      <c r="B2471">
        <v>57</v>
      </c>
      <c r="C2471" t="s">
        <v>31</v>
      </c>
      <c r="D2471">
        <v>100</v>
      </c>
      <c r="E2471" t="s">
        <v>197</v>
      </c>
      <c r="F2471">
        <v>1005</v>
      </c>
      <c r="G2471" t="s">
        <v>31</v>
      </c>
      <c r="H2471">
        <v>2012</v>
      </c>
      <c r="I2471" t="s">
        <v>2</v>
      </c>
      <c r="J2471">
        <v>3322</v>
      </c>
      <c r="K2471" t="s">
        <v>1356</v>
      </c>
      <c r="L2471">
        <v>0</v>
      </c>
      <c r="N2471" t="s">
        <v>1324</v>
      </c>
      <c r="O2471">
        <v>91</v>
      </c>
      <c r="P2471">
        <v>9165</v>
      </c>
      <c r="Q2471" t="s">
        <v>1325</v>
      </c>
      <c r="R2471" t="s">
        <v>201</v>
      </c>
      <c r="S2471">
        <v>274</v>
      </c>
      <c r="T2471">
        <v>1</v>
      </c>
      <c r="U2471">
        <v>144792</v>
      </c>
      <c r="V2471">
        <v>39673008</v>
      </c>
    </row>
    <row r="2472" spans="1:22">
      <c r="A2472" t="s">
        <v>196</v>
      </c>
      <c r="B2472">
        <v>57</v>
      </c>
      <c r="C2472" t="s">
        <v>31</v>
      </c>
      <c r="D2472">
        <v>100</v>
      </c>
      <c r="E2472" t="s">
        <v>197</v>
      </c>
      <c r="F2472">
        <v>1005</v>
      </c>
      <c r="G2472" t="s">
        <v>31</v>
      </c>
      <c r="H2472">
        <v>2012</v>
      </c>
      <c r="I2472" t="s">
        <v>2</v>
      </c>
      <c r="J2472">
        <v>3322</v>
      </c>
      <c r="K2472" t="s">
        <v>1356</v>
      </c>
      <c r="L2472">
        <v>0</v>
      </c>
      <c r="N2472" t="s">
        <v>1324</v>
      </c>
      <c r="O2472">
        <v>91</v>
      </c>
      <c r="P2472">
        <v>9165</v>
      </c>
      <c r="Q2472" t="s">
        <v>1325</v>
      </c>
      <c r="R2472" t="s">
        <v>201</v>
      </c>
      <c r="S2472">
        <v>237</v>
      </c>
      <c r="T2472">
        <v>1</v>
      </c>
      <c r="U2472">
        <v>140454</v>
      </c>
      <c r="V2472">
        <v>33287598</v>
      </c>
    </row>
    <row r="2473" spans="1:22">
      <c r="A2473" t="s">
        <v>196</v>
      </c>
      <c r="B2473">
        <v>57</v>
      </c>
      <c r="C2473" t="s">
        <v>31</v>
      </c>
      <c r="D2473">
        <v>100</v>
      </c>
      <c r="E2473" t="s">
        <v>197</v>
      </c>
      <c r="F2473">
        <v>1005</v>
      </c>
      <c r="G2473" t="s">
        <v>31</v>
      </c>
      <c r="H2473">
        <v>2012</v>
      </c>
      <c r="I2473" t="s">
        <v>2</v>
      </c>
      <c r="J2473">
        <v>3322</v>
      </c>
      <c r="K2473" t="s">
        <v>1356</v>
      </c>
      <c r="L2473">
        <v>0</v>
      </c>
      <c r="N2473" t="s">
        <v>1324</v>
      </c>
      <c r="O2473">
        <v>91</v>
      </c>
      <c r="P2473">
        <v>9165</v>
      </c>
      <c r="Q2473" t="s">
        <v>1325</v>
      </c>
      <c r="R2473" t="s">
        <v>201</v>
      </c>
      <c r="S2473">
        <v>177</v>
      </c>
      <c r="T2473">
        <v>1</v>
      </c>
      <c r="U2473">
        <v>135816</v>
      </c>
      <c r="V2473">
        <v>24039432</v>
      </c>
    </row>
    <row r="2474" spans="1:22">
      <c r="A2474" t="s">
        <v>196</v>
      </c>
      <c r="B2474">
        <v>57</v>
      </c>
      <c r="C2474" t="s">
        <v>31</v>
      </c>
      <c r="D2474">
        <v>100</v>
      </c>
      <c r="E2474" t="s">
        <v>197</v>
      </c>
      <c r="F2474">
        <v>1005</v>
      </c>
      <c r="G2474" t="s">
        <v>31</v>
      </c>
      <c r="H2474">
        <v>2012</v>
      </c>
      <c r="I2474" t="s">
        <v>2</v>
      </c>
      <c r="J2474">
        <v>3322</v>
      </c>
      <c r="K2474" t="s">
        <v>1356</v>
      </c>
      <c r="L2474">
        <v>0</v>
      </c>
      <c r="N2474" t="s">
        <v>1324</v>
      </c>
      <c r="O2474">
        <v>91</v>
      </c>
      <c r="P2474">
        <v>9165</v>
      </c>
      <c r="Q2474" t="s">
        <v>1325</v>
      </c>
      <c r="R2474" t="s">
        <v>201</v>
      </c>
      <c r="S2474">
        <v>170</v>
      </c>
      <c r="T2474">
        <v>1</v>
      </c>
      <c r="U2474">
        <v>131448</v>
      </c>
      <c r="V2474">
        <v>22346160</v>
      </c>
    </row>
    <row r="2475" spans="1:22">
      <c r="A2475" t="s">
        <v>196</v>
      </c>
      <c r="B2475">
        <v>57</v>
      </c>
      <c r="C2475" t="s">
        <v>31</v>
      </c>
      <c r="D2475">
        <v>100</v>
      </c>
      <c r="E2475" t="s">
        <v>197</v>
      </c>
      <c r="F2475">
        <v>1005</v>
      </c>
      <c r="G2475" t="s">
        <v>31</v>
      </c>
      <c r="H2475">
        <v>2012</v>
      </c>
      <c r="I2475" t="s">
        <v>2</v>
      </c>
      <c r="J2475">
        <v>3322</v>
      </c>
      <c r="K2475" t="s">
        <v>1356</v>
      </c>
      <c r="L2475">
        <v>0</v>
      </c>
      <c r="N2475" t="s">
        <v>1324</v>
      </c>
      <c r="O2475">
        <v>91</v>
      </c>
      <c r="P2475">
        <v>9165</v>
      </c>
      <c r="Q2475" t="s">
        <v>1325</v>
      </c>
      <c r="R2475" t="s">
        <v>201</v>
      </c>
      <c r="S2475">
        <v>132</v>
      </c>
      <c r="T2475">
        <v>1</v>
      </c>
      <c r="U2475">
        <v>127230</v>
      </c>
      <c r="V2475">
        <v>16794360</v>
      </c>
    </row>
    <row r="2476" spans="1:22">
      <c r="A2476" t="s">
        <v>196</v>
      </c>
      <c r="B2476">
        <v>57</v>
      </c>
      <c r="C2476" t="s">
        <v>31</v>
      </c>
      <c r="D2476">
        <v>100</v>
      </c>
      <c r="E2476" t="s">
        <v>197</v>
      </c>
      <c r="F2476">
        <v>1005</v>
      </c>
      <c r="G2476" t="s">
        <v>31</v>
      </c>
      <c r="H2476">
        <v>2012</v>
      </c>
      <c r="I2476" t="s">
        <v>2</v>
      </c>
      <c r="J2476">
        <v>3322</v>
      </c>
      <c r="K2476" t="s">
        <v>1356</v>
      </c>
      <c r="L2476">
        <v>0</v>
      </c>
      <c r="N2476" t="s">
        <v>1324</v>
      </c>
      <c r="O2476">
        <v>91</v>
      </c>
      <c r="P2476">
        <v>9165</v>
      </c>
      <c r="Q2476" t="s">
        <v>1325</v>
      </c>
      <c r="R2476" t="s">
        <v>201</v>
      </c>
      <c r="S2476">
        <v>1</v>
      </c>
      <c r="T2476">
        <v>1</v>
      </c>
      <c r="U2476">
        <v>121200</v>
      </c>
      <c r="V2476">
        <v>121200</v>
      </c>
    </row>
    <row r="2477" spans="1:22">
      <c r="A2477" t="s">
        <v>196</v>
      </c>
      <c r="B2477">
        <v>57</v>
      </c>
      <c r="C2477" t="s">
        <v>31</v>
      </c>
      <c r="D2477">
        <v>100</v>
      </c>
      <c r="E2477" t="s">
        <v>197</v>
      </c>
      <c r="F2477">
        <v>1005</v>
      </c>
      <c r="G2477" t="s">
        <v>31</v>
      </c>
      <c r="H2477">
        <v>2012</v>
      </c>
      <c r="I2477" t="s">
        <v>2</v>
      </c>
      <c r="J2477">
        <v>3322</v>
      </c>
      <c r="K2477" t="s">
        <v>1356</v>
      </c>
      <c r="L2477">
        <v>0</v>
      </c>
      <c r="N2477" t="s">
        <v>1324</v>
      </c>
      <c r="O2477">
        <v>91</v>
      </c>
      <c r="P2477">
        <v>9165</v>
      </c>
      <c r="Q2477" t="s">
        <v>1325</v>
      </c>
      <c r="R2477" t="s">
        <v>201</v>
      </c>
      <c r="S2477">
        <v>94</v>
      </c>
      <c r="T2477">
        <v>1</v>
      </c>
      <c r="U2477">
        <v>99426</v>
      </c>
      <c r="V2477">
        <v>9346044</v>
      </c>
    </row>
    <row r="2478" spans="1:22">
      <c r="A2478" t="s">
        <v>196</v>
      </c>
      <c r="B2478">
        <v>57</v>
      </c>
      <c r="C2478" t="s">
        <v>31</v>
      </c>
      <c r="D2478">
        <v>100</v>
      </c>
      <c r="E2478" t="s">
        <v>197</v>
      </c>
      <c r="F2478">
        <v>1005</v>
      </c>
      <c r="G2478" t="s">
        <v>31</v>
      </c>
      <c r="H2478">
        <v>2012</v>
      </c>
      <c r="I2478" t="s">
        <v>2</v>
      </c>
      <c r="J2478">
        <v>3322</v>
      </c>
      <c r="K2478" t="s">
        <v>1356</v>
      </c>
      <c r="L2478">
        <v>0</v>
      </c>
      <c r="N2478" t="s">
        <v>1309</v>
      </c>
      <c r="O2478">
        <v>91</v>
      </c>
      <c r="P2478">
        <v>9161</v>
      </c>
      <c r="Q2478" t="s">
        <v>1310</v>
      </c>
      <c r="R2478" t="s">
        <v>201</v>
      </c>
      <c r="S2478">
        <v>1</v>
      </c>
      <c r="T2478">
        <v>1</v>
      </c>
      <c r="U2478">
        <v>127146</v>
      </c>
      <c r="V2478">
        <v>127146</v>
      </c>
    </row>
    <row r="2479" spans="1:22">
      <c r="A2479" t="s">
        <v>196</v>
      </c>
      <c r="B2479">
        <v>57</v>
      </c>
      <c r="C2479" t="s">
        <v>31</v>
      </c>
      <c r="D2479">
        <v>100</v>
      </c>
      <c r="E2479" t="s">
        <v>197</v>
      </c>
      <c r="F2479">
        <v>1005</v>
      </c>
      <c r="G2479" t="s">
        <v>31</v>
      </c>
      <c r="H2479">
        <v>2012</v>
      </c>
      <c r="I2479" t="s">
        <v>2</v>
      </c>
      <c r="J2479">
        <v>3322</v>
      </c>
      <c r="K2479" t="s">
        <v>1356</v>
      </c>
      <c r="L2479">
        <v>0</v>
      </c>
      <c r="N2479" t="s">
        <v>1309</v>
      </c>
      <c r="O2479">
        <v>91</v>
      </c>
      <c r="P2479">
        <v>9161</v>
      </c>
      <c r="Q2479" t="s">
        <v>1310</v>
      </c>
      <c r="R2479" t="s">
        <v>201</v>
      </c>
      <c r="S2479">
        <v>2</v>
      </c>
      <c r="T2479">
        <v>1</v>
      </c>
      <c r="U2479">
        <v>123576</v>
      </c>
      <c r="V2479">
        <v>247152</v>
      </c>
    </row>
    <row r="2480" spans="1:22">
      <c r="A2480" t="s">
        <v>196</v>
      </c>
      <c r="B2480">
        <v>57</v>
      </c>
      <c r="C2480" t="s">
        <v>31</v>
      </c>
      <c r="D2480">
        <v>100</v>
      </c>
      <c r="E2480" t="s">
        <v>197</v>
      </c>
      <c r="F2480">
        <v>1005</v>
      </c>
      <c r="G2480" t="s">
        <v>31</v>
      </c>
      <c r="H2480">
        <v>2012</v>
      </c>
      <c r="I2480" t="s">
        <v>2</v>
      </c>
      <c r="J2480">
        <v>3322</v>
      </c>
      <c r="K2480" t="s">
        <v>1356</v>
      </c>
      <c r="L2480">
        <v>0</v>
      </c>
      <c r="N2480" t="s">
        <v>1309</v>
      </c>
      <c r="O2480">
        <v>91</v>
      </c>
      <c r="P2480">
        <v>9161</v>
      </c>
      <c r="Q2480" t="s">
        <v>1310</v>
      </c>
      <c r="R2480" t="s">
        <v>201</v>
      </c>
      <c r="S2480">
        <v>1</v>
      </c>
      <c r="T2480">
        <v>1</v>
      </c>
      <c r="U2480">
        <v>111252</v>
      </c>
      <c r="V2480">
        <v>111252</v>
      </c>
    </row>
    <row r="2481" spans="1:22">
      <c r="A2481" t="s">
        <v>196</v>
      </c>
      <c r="B2481">
        <v>57</v>
      </c>
      <c r="C2481" t="s">
        <v>31</v>
      </c>
      <c r="D2481">
        <v>100</v>
      </c>
      <c r="E2481" t="s">
        <v>197</v>
      </c>
      <c r="F2481">
        <v>1005</v>
      </c>
      <c r="G2481" t="s">
        <v>31</v>
      </c>
      <c r="H2481">
        <v>2012</v>
      </c>
      <c r="I2481" t="s">
        <v>2</v>
      </c>
      <c r="J2481">
        <v>3322</v>
      </c>
      <c r="K2481" t="s">
        <v>1356</v>
      </c>
      <c r="L2481">
        <v>0</v>
      </c>
      <c r="N2481" t="s">
        <v>1349</v>
      </c>
      <c r="O2481">
        <v>91</v>
      </c>
      <c r="P2481">
        <v>9149</v>
      </c>
      <c r="Q2481" t="s">
        <v>1357</v>
      </c>
      <c r="R2481" t="s">
        <v>201</v>
      </c>
      <c r="S2481">
        <v>6</v>
      </c>
      <c r="T2481">
        <v>1</v>
      </c>
      <c r="U2481">
        <v>93942</v>
      </c>
      <c r="V2481">
        <v>563652</v>
      </c>
    </row>
    <row r="2482" spans="1:22">
      <c r="A2482" t="s">
        <v>196</v>
      </c>
      <c r="B2482">
        <v>57</v>
      </c>
      <c r="C2482" t="s">
        <v>31</v>
      </c>
      <c r="D2482">
        <v>100</v>
      </c>
      <c r="E2482" t="s">
        <v>197</v>
      </c>
      <c r="F2482">
        <v>1005</v>
      </c>
      <c r="G2482" t="s">
        <v>31</v>
      </c>
      <c r="H2482">
        <v>2012</v>
      </c>
      <c r="I2482" t="s">
        <v>2</v>
      </c>
      <c r="J2482">
        <v>3322</v>
      </c>
      <c r="K2482" t="s">
        <v>1356</v>
      </c>
      <c r="L2482">
        <v>0</v>
      </c>
      <c r="N2482" t="s">
        <v>392</v>
      </c>
      <c r="O2482">
        <v>3</v>
      </c>
      <c r="P2482">
        <v>9117</v>
      </c>
      <c r="Q2482" t="s">
        <v>1347</v>
      </c>
      <c r="R2482" t="s">
        <v>201</v>
      </c>
      <c r="S2482">
        <v>4</v>
      </c>
      <c r="T2482">
        <v>1</v>
      </c>
      <c r="U2482">
        <v>90732</v>
      </c>
      <c r="V2482">
        <v>362928</v>
      </c>
    </row>
    <row r="2483" spans="1:22">
      <c r="A2483" t="s">
        <v>196</v>
      </c>
      <c r="B2483">
        <v>57</v>
      </c>
      <c r="C2483" t="s">
        <v>31</v>
      </c>
      <c r="D2483">
        <v>100</v>
      </c>
      <c r="E2483" t="s">
        <v>197</v>
      </c>
      <c r="F2483">
        <v>1005</v>
      </c>
      <c r="G2483" t="s">
        <v>31</v>
      </c>
      <c r="H2483">
        <v>2012</v>
      </c>
      <c r="I2483" t="s">
        <v>2</v>
      </c>
      <c r="J2483">
        <v>3322</v>
      </c>
      <c r="K2483" t="s">
        <v>1356</v>
      </c>
      <c r="L2483">
        <v>0</v>
      </c>
      <c r="N2483" t="s">
        <v>839</v>
      </c>
      <c r="O2483">
        <v>0</v>
      </c>
      <c r="P2483">
        <v>9107</v>
      </c>
      <c r="Q2483" t="s">
        <v>1358</v>
      </c>
      <c r="R2483" t="s">
        <v>713</v>
      </c>
      <c r="S2483">
        <v>5621</v>
      </c>
      <c r="T2483">
        <v>0</v>
      </c>
      <c r="U2483">
        <v>35</v>
      </c>
      <c r="V2483">
        <v>196735</v>
      </c>
    </row>
    <row r="2484" spans="1:22">
      <c r="A2484" t="s">
        <v>196</v>
      </c>
      <c r="B2484">
        <v>57</v>
      </c>
      <c r="C2484" t="s">
        <v>31</v>
      </c>
      <c r="D2484">
        <v>100</v>
      </c>
      <c r="E2484" t="s">
        <v>197</v>
      </c>
      <c r="F2484">
        <v>1005</v>
      </c>
      <c r="G2484" t="s">
        <v>31</v>
      </c>
      <c r="H2484">
        <v>2012</v>
      </c>
      <c r="I2484" t="s">
        <v>2</v>
      </c>
      <c r="J2484">
        <v>3322</v>
      </c>
      <c r="K2484" t="s">
        <v>1356</v>
      </c>
      <c r="L2484">
        <v>0</v>
      </c>
      <c r="N2484" t="s">
        <v>386</v>
      </c>
      <c r="O2484">
        <v>1</v>
      </c>
      <c r="P2484">
        <v>629</v>
      </c>
      <c r="Q2484" t="s">
        <v>687</v>
      </c>
      <c r="R2484" t="s">
        <v>201</v>
      </c>
      <c r="S2484">
        <v>1</v>
      </c>
      <c r="T2484">
        <v>1</v>
      </c>
      <c r="U2484">
        <v>119244</v>
      </c>
      <c r="V2484">
        <v>119244</v>
      </c>
    </row>
    <row r="2485" spans="1:22">
      <c r="A2485" t="s">
        <v>196</v>
      </c>
      <c r="B2485">
        <v>57</v>
      </c>
      <c r="C2485" t="s">
        <v>31</v>
      </c>
      <c r="D2485">
        <v>100</v>
      </c>
      <c r="E2485" t="s">
        <v>197</v>
      </c>
      <c r="F2485">
        <v>1005</v>
      </c>
      <c r="G2485" t="s">
        <v>31</v>
      </c>
      <c r="H2485">
        <v>2012</v>
      </c>
      <c r="I2485" t="s">
        <v>2</v>
      </c>
      <c r="J2485">
        <v>3322</v>
      </c>
      <c r="K2485" t="s">
        <v>1356</v>
      </c>
      <c r="L2485">
        <v>0</v>
      </c>
      <c r="N2485" t="s">
        <v>809</v>
      </c>
      <c r="O2485">
        <v>1</v>
      </c>
      <c r="P2485">
        <v>460</v>
      </c>
      <c r="Q2485" t="s">
        <v>810</v>
      </c>
      <c r="R2485" t="s">
        <v>201</v>
      </c>
      <c r="S2485">
        <v>1</v>
      </c>
      <c r="T2485">
        <v>1</v>
      </c>
      <c r="U2485">
        <v>82140</v>
      </c>
      <c r="V2485">
        <v>82140</v>
      </c>
    </row>
    <row r="2486" spans="1:22">
      <c r="A2486" t="s">
        <v>196</v>
      </c>
      <c r="B2486">
        <v>57</v>
      </c>
      <c r="C2486" t="s">
        <v>31</v>
      </c>
      <c r="D2486">
        <v>100</v>
      </c>
      <c r="E2486" t="s">
        <v>197</v>
      </c>
      <c r="F2486">
        <v>1005</v>
      </c>
      <c r="G2486" t="s">
        <v>31</v>
      </c>
      <c r="H2486">
        <v>2012</v>
      </c>
      <c r="I2486" t="s">
        <v>2</v>
      </c>
      <c r="J2486">
        <v>3322</v>
      </c>
      <c r="K2486" t="s">
        <v>1356</v>
      </c>
      <c r="L2486">
        <v>0</v>
      </c>
      <c r="N2486" t="s">
        <v>199</v>
      </c>
      <c r="O2486">
        <v>0</v>
      </c>
      <c r="P2486">
        <v>15</v>
      </c>
      <c r="Q2486" t="s">
        <v>264</v>
      </c>
      <c r="R2486" t="s">
        <v>201</v>
      </c>
      <c r="S2486">
        <v>0</v>
      </c>
      <c r="T2486">
        <v>0</v>
      </c>
      <c r="U2486">
        <v>291447</v>
      </c>
      <c r="V2486">
        <v>291447</v>
      </c>
    </row>
    <row r="2487" spans="1:22">
      <c r="A2487" t="s">
        <v>196</v>
      </c>
      <c r="B2487">
        <v>57</v>
      </c>
      <c r="C2487" t="s">
        <v>31</v>
      </c>
      <c r="D2487">
        <v>100</v>
      </c>
      <c r="E2487" t="s">
        <v>197</v>
      </c>
      <c r="F2487">
        <v>1005</v>
      </c>
      <c r="G2487" t="s">
        <v>31</v>
      </c>
      <c r="H2487">
        <v>2016</v>
      </c>
      <c r="I2487" t="s">
        <v>11</v>
      </c>
      <c r="J2487">
        <v>3274</v>
      </c>
      <c r="K2487" t="s">
        <v>11</v>
      </c>
      <c r="L2487">
        <v>0</v>
      </c>
      <c r="N2487" t="s">
        <v>199</v>
      </c>
      <c r="O2487">
        <v>99</v>
      </c>
      <c r="P2487">
        <v>9796</v>
      </c>
      <c r="Q2487" t="s">
        <v>1319</v>
      </c>
      <c r="R2487" t="s">
        <v>201</v>
      </c>
      <c r="S2487">
        <v>1</v>
      </c>
      <c r="T2487">
        <v>1</v>
      </c>
      <c r="U2487">
        <v>201048</v>
      </c>
      <c r="V2487">
        <v>201048</v>
      </c>
    </row>
    <row r="2488" spans="1:22">
      <c r="A2488" t="s">
        <v>196</v>
      </c>
      <c r="B2488">
        <v>57</v>
      </c>
      <c r="C2488" t="s">
        <v>31</v>
      </c>
      <c r="D2488">
        <v>100</v>
      </c>
      <c r="E2488" t="s">
        <v>197</v>
      </c>
      <c r="F2488">
        <v>1005</v>
      </c>
      <c r="G2488" t="s">
        <v>31</v>
      </c>
      <c r="H2488">
        <v>2016</v>
      </c>
      <c r="I2488" t="s">
        <v>11</v>
      </c>
      <c r="J2488">
        <v>3274</v>
      </c>
      <c r="K2488" t="s">
        <v>11</v>
      </c>
      <c r="L2488">
        <v>0</v>
      </c>
      <c r="N2488" t="s">
        <v>199</v>
      </c>
      <c r="O2488">
        <v>99</v>
      </c>
      <c r="P2488">
        <v>9785</v>
      </c>
      <c r="Q2488" t="s">
        <v>1320</v>
      </c>
      <c r="R2488" t="s">
        <v>201</v>
      </c>
      <c r="S2488">
        <v>1</v>
      </c>
      <c r="T2488">
        <v>1</v>
      </c>
      <c r="U2488">
        <v>219048</v>
      </c>
      <c r="V2488">
        <v>219048</v>
      </c>
    </row>
    <row r="2489" spans="1:22">
      <c r="A2489" t="s">
        <v>196</v>
      </c>
      <c r="B2489">
        <v>57</v>
      </c>
      <c r="C2489" t="s">
        <v>31</v>
      </c>
      <c r="D2489">
        <v>100</v>
      </c>
      <c r="E2489" t="s">
        <v>197</v>
      </c>
      <c r="F2489">
        <v>1005</v>
      </c>
      <c r="G2489" t="s">
        <v>31</v>
      </c>
      <c r="H2489">
        <v>2016</v>
      </c>
      <c r="I2489" t="s">
        <v>11</v>
      </c>
      <c r="J2489">
        <v>3274</v>
      </c>
      <c r="K2489" t="s">
        <v>11</v>
      </c>
      <c r="L2489">
        <v>0</v>
      </c>
      <c r="N2489" t="s">
        <v>1304</v>
      </c>
      <c r="O2489">
        <v>73</v>
      </c>
      <c r="P2489">
        <v>9173</v>
      </c>
      <c r="Q2489" t="s">
        <v>1323</v>
      </c>
      <c r="R2489" t="s">
        <v>201</v>
      </c>
      <c r="S2489">
        <v>2</v>
      </c>
      <c r="T2489">
        <v>1</v>
      </c>
      <c r="U2489">
        <v>170700</v>
      </c>
      <c r="V2489">
        <v>341400</v>
      </c>
    </row>
    <row r="2490" spans="1:22">
      <c r="A2490" t="s">
        <v>196</v>
      </c>
      <c r="B2490">
        <v>57</v>
      </c>
      <c r="C2490" t="s">
        <v>31</v>
      </c>
      <c r="D2490">
        <v>100</v>
      </c>
      <c r="E2490" t="s">
        <v>197</v>
      </c>
      <c r="F2490">
        <v>1005</v>
      </c>
      <c r="G2490" t="s">
        <v>31</v>
      </c>
      <c r="H2490">
        <v>2016</v>
      </c>
      <c r="I2490" t="s">
        <v>11</v>
      </c>
      <c r="J2490">
        <v>3274</v>
      </c>
      <c r="K2490" t="s">
        <v>11</v>
      </c>
      <c r="L2490">
        <v>0</v>
      </c>
      <c r="N2490" t="s">
        <v>1302</v>
      </c>
      <c r="O2490">
        <v>71</v>
      </c>
      <c r="P2490">
        <v>9171</v>
      </c>
      <c r="Q2490" t="s">
        <v>1303</v>
      </c>
      <c r="R2490" t="s">
        <v>201</v>
      </c>
      <c r="S2490">
        <v>2</v>
      </c>
      <c r="T2490">
        <v>1</v>
      </c>
      <c r="U2490">
        <v>152010</v>
      </c>
      <c r="V2490">
        <v>304020</v>
      </c>
    </row>
    <row r="2491" spans="1:22">
      <c r="A2491" t="s">
        <v>196</v>
      </c>
      <c r="B2491">
        <v>57</v>
      </c>
      <c r="C2491" t="s">
        <v>31</v>
      </c>
      <c r="D2491">
        <v>100</v>
      </c>
      <c r="E2491" t="s">
        <v>197</v>
      </c>
      <c r="F2491">
        <v>1005</v>
      </c>
      <c r="G2491" t="s">
        <v>31</v>
      </c>
      <c r="H2491">
        <v>2016</v>
      </c>
      <c r="I2491" t="s">
        <v>11</v>
      </c>
      <c r="J2491">
        <v>3274</v>
      </c>
      <c r="K2491" t="s">
        <v>11</v>
      </c>
      <c r="L2491">
        <v>0</v>
      </c>
      <c r="N2491" t="s">
        <v>1302</v>
      </c>
      <c r="O2491">
        <v>71</v>
      </c>
      <c r="P2491">
        <v>9171</v>
      </c>
      <c r="Q2491" t="s">
        <v>1303</v>
      </c>
      <c r="R2491" t="s">
        <v>201</v>
      </c>
      <c r="S2491">
        <v>2</v>
      </c>
      <c r="T2491">
        <v>1</v>
      </c>
      <c r="U2491">
        <v>142668</v>
      </c>
      <c r="V2491">
        <v>285336</v>
      </c>
    </row>
    <row r="2492" spans="1:22">
      <c r="A2492" t="s">
        <v>196</v>
      </c>
      <c r="B2492">
        <v>57</v>
      </c>
      <c r="C2492" t="s">
        <v>31</v>
      </c>
      <c r="D2492">
        <v>100</v>
      </c>
      <c r="E2492" t="s">
        <v>197</v>
      </c>
      <c r="F2492">
        <v>1005</v>
      </c>
      <c r="G2492" t="s">
        <v>31</v>
      </c>
      <c r="H2492">
        <v>2016</v>
      </c>
      <c r="I2492" t="s">
        <v>11</v>
      </c>
      <c r="J2492">
        <v>3274</v>
      </c>
      <c r="K2492" t="s">
        <v>11</v>
      </c>
      <c r="L2492">
        <v>0</v>
      </c>
      <c r="N2492" t="s">
        <v>1324</v>
      </c>
      <c r="O2492">
        <v>91</v>
      </c>
      <c r="P2492">
        <v>9165</v>
      </c>
      <c r="Q2492" t="s">
        <v>1325</v>
      </c>
      <c r="R2492" t="s">
        <v>201</v>
      </c>
      <c r="S2492">
        <v>2</v>
      </c>
      <c r="T2492">
        <v>1</v>
      </c>
      <c r="U2492">
        <v>144792</v>
      </c>
      <c r="V2492">
        <v>289584</v>
      </c>
    </row>
    <row r="2493" spans="1:22">
      <c r="A2493" t="s">
        <v>196</v>
      </c>
      <c r="B2493">
        <v>57</v>
      </c>
      <c r="C2493" t="s">
        <v>31</v>
      </c>
      <c r="D2493">
        <v>100</v>
      </c>
      <c r="E2493" t="s">
        <v>197</v>
      </c>
      <c r="F2493">
        <v>1005</v>
      </c>
      <c r="G2493" t="s">
        <v>31</v>
      </c>
      <c r="H2493">
        <v>2016</v>
      </c>
      <c r="I2493" t="s">
        <v>11</v>
      </c>
      <c r="J2493">
        <v>3274</v>
      </c>
      <c r="K2493" t="s">
        <v>11</v>
      </c>
      <c r="L2493">
        <v>0</v>
      </c>
      <c r="N2493" t="s">
        <v>1324</v>
      </c>
      <c r="O2493">
        <v>91</v>
      </c>
      <c r="P2493">
        <v>9165</v>
      </c>
      <c r="Q2493" t="s">
        <v>1325</v>
      </c>
      <c r="R2493" t="s">
        <v>201</v>
      </c>
      <c r="S2493">
        <v>6</v>
      </c>
      <c r="T2493">
        <v>1</v>
      </c>
      <c r="U2493">
        <v>140454</v>
      </c>
      <c r="V2493">
        <v>842724</v>
      </c>
    </row>
    <row r="2494" spans="1:22">
      <c r="A2494" t="s">
        <v>196</v>
      </c>
      <c r="B2494">
        <v>57</v>
      </c>
      <c r="C2494" t="s">
        <v>31</v>
      </c>
      <c r="D2494">
        <v>100</v>
      </c>
      <c r="E2494" t="s">
        <v>197</v>
      </c>
      <c r="F2494">
        <v>1005</v>
      </c>
      <c r="G2494" t="s">
        <v>31</v>
      </c>
      <c r="H2494">
        <v>2016</v>
      </c>
      <c r="I2494" t="s">
        <v>11</v>
      </c>
      <c r="J2494">
        <v>3274</v>
      </c>
      <c r="K2494" t="s">
        <v>11</v>
      </c>
      <c r="L2494">
        <v>0</v>
      </c>
      <c r="N2494" t="s">
        <v>1324</v>
      </c>
      <c r="O2494">
        <v>91</v>
      </c>
      <c r="P2494">
        <v>9165</v>
      </c>
      <c r="Q2494" t="s">
        <v>1325</v>
      </c>
      <c r="R2494" t="s">
        <v>201</v>
      </c>
      <c r="S2494">
        <v>4</v>
      </c>
      <c r="T2494">
        <v>1</v>
      </c>
      <c r="U2494">
        <v>135816</v>
      </c>
      <c r="V2494">
        <v>543264</v>
      </c>
    </row>
    <row r="2495" spans="1:22">
      <c r="A2495" t="s">
        <v>196</v>
      </c>
      <c r="B2495">
        <v>57</v>
      </c>
      <c r="C2495" t="s">
        <v>31</v>
      </c>
      <c r="D2495">
        <v>100</v>
      </c>
      <c r="E2495" t="s">
        <v>197</v>
      </c>
      <c r="F2495">
        <v>1005</v>
      </c>
      <c r="G2495" t="s">
        <v>31</v>
      </c>
      <c r="H2495">
        <v>2016</v>
      </c>
      <c r="I2495" t="s">
        <v>11</v>
      </c>
      <c r="J2495">
        <v>3274</v>
      </c>
      <c r="K2495" t="s">
        <v>11</v>
      </c>
      <c r="L2495">
        <v>0</v>
      </c>
      <c r="N2495" t="s">
        <v>1324</v>
      </c>
      <c r="O2495">
        <v>91</v>
      </c>
      <c r="P2495">
        <v>9165</v>
      </c>
      <c r="Q2495" t="s">
        <v>1325</v>
      </c>
      <c r="R2495" t="s">
        <v>201</v>
      </c>
      <c r="S2495">
        <v>4</v>
      </c>
      <c r="T2495">
        <v>1</v>
      </c>
      <c r="U2495">
        <v>99426</v>
      </c>
      <c r="V2495">
        <v>397704</v>
      </c>
    </row>
    <row r="2496" spans="1:22">
      <c r="A2496" t="s">
        <v>196</v>
      </c>
      <c r="B2496">
        <v>57</v>
      </c>
      <c r="C2496" t="s">
        <v>31</v>
      </c>
      <c r="D2496">
        <v>100</v>
      </c>
      <c r="E2496" t="s">
        <v>197</v>
      </c>
      <c r="F2496">
        <v>1005</v>
      </c>
      <c r="G2496" t="s">
        <v>31</v>
      </c>
      <c r="H2496">
        <v>2016</v>
      </c>
      <c r="I2496" t="s">
        <v>11</v>
      </c>
      <c r="J2496">
        <v>3274</v>
      </c>
      <c r="K2496" t="s">
        <v>11</v>
      </c>
      <c r="L2496">
        <v>0</v>
      </c>
      <c r="N2496" t="s">
        <v>1309</v>
      </c>
      <c r="O2496">
        <v>91</v>
      </c>
      <c r="P2496">
        <v>9161</v>
      </c>
      <c r="Q2496" t="s">
        <v>1310</v>
      </c>
      <c r="R2496" t="s">
        <v>201</v>
      </c>
      <c r="S2496">
        <v>2</v>
      </c>
      <c r="T2496">
        <v>1</v>
      </c>
      <c r="U2496">
        <v>123576</v>
      </c>
      <c r="V2496">
        <v>247152</v>
      </c>
    </row>
    <row r="2497" spans="1:22">
      <c r="A2497" t="s">
        <v>196</v>
      </c>
      <c r="B2497">
        <v>57</v>
      </c>
      <c r="C2497" t="s">
        <v>31</v>
      </c>
      <c r="D2497">
        <v>100</v>
      </c>
      <c r="E2497" t="s">
        <v>197</v>
      </c>
      <c r="F2497">
        <v>1005</v>
      </c>
      <c r="G2497" t="s">
        <v>31</v>
      </c>
      <c r="H2497">
        <v>2016</v>
      </c>
      <c r="I2497" t="s">
        <v>11</v>
      </c>
      <c r="J2497">
        <v>3274</v>
      </c>
      <c r="K2497" t="s">
        <v>11</v>
      </c>
      <c r="L2497">
        <v>0</v>
      </c>
      <c r="N2497" t="s">
        <v>1309</v>
      </c>
      <c r="O2497">
        <v>91</v>
      </c>
      <c r="P2497">
        <v>9161</v>
      </c>
      <c r="Q2497" t="s">
        <v>1310</v>
      </c>
      <c r="R2497" t="s">
        <v>201</v>
      </c>
      <c r="S2497">
        <v>1</v>
      </c>
      <c r="T2497">
        <v>1</v>
      </c>
      <c r="U2497">
        <v>119154</v>
      </c>
      <c r="V2497">
        <v>119154</v>
      </c>
    </row>
    <row r="2498" spans="1:22">
      <c r="A2498" t="s">
        <v>196</v>
      </c>
      <c r="B2498">
        <v>57</v>
      </c>
      <c r="C2498" t="s">
        <v>31</v>
      </c>
      <c r="D2498">
        <v>100</v>
      </c>
      <c r="E2498" t="s">
        <v>197</v>
      </c>
      <c r="F2498">
        <v>1005</v>
      </c>
      <c r="G2498" t="s">
        <v>31</v>
      </c>
      <c r="H2498">
        <v>2016</v>
      </c>
      <c r="I2498" t="s">
        <v>11</v>
      </c>
      <c r="J2498">
        <v>3274</v>
      </c>
      <c r="K2498" t="s">
        <v>11</v>
      </c>
      <c r="L2498">
        <v>0</v>
      </c>
      <c r="N2498" t="s">
        <v>1309</v>
      </c>
      <c r="O2498">
        <v>91</v>
      </c>
      <c r="P2498">
        <v>9161</v>
      </c>
      <c r="Q2498" t="s">
        <v>1310</v>
      </c>
      <c r="R2498" t="s">
        <v>201</v>
      </c>
      <c r="S2498">
        <v>1</v>
      </c>
      <c r="T2498">
        <v>1</v>
      </c>
      <c r="U2498">
        <v>115158</v>
      </c>
      <c r="V2498">
        <v>115158</v>
      </c>
    </row>
    <row r="2499" spans="1:22">
      <c r="A2499" t="s">
        <v>196</v>
      </c>
      <c r="B2499">
        <v>57</v>
      </c>
      <c r="C2499" t="s">
        <v>31</v>
      </c>
      <c r="D2499">
        <v>100</v>
      </c>
      <c r="E2499" t="s">
        <v>197</v>
      </c>
      <c r="F2499">
        <v>1005</v>
      </c>
      <c r="G2499" t="s">
        <v>31</v>
      </c>
      <c r="H2499">
        <v>2016</v>
      </c>
      <c r="I2499" t="s">
        <v>11</v>
      </c>
      <c r="J2499">
        <v>3274</v>
      </c>
      <c r="K2499" t="s">
        <v>11</v>
      </c>
      <c r="L2499">
        <v>0</v>
      </c>
      <c r="N2499" t="s">
        <v>1309</v>
      </c>
      <c r="O2499">
        <v>91</v>
      </c>
      <c r="P2499">
        <v>9161</v>
      </c>
      <c r="Q2499" t="s">
        <v>1310</v>
      </c>
      <c r="R2499" t="s">
        <v>201</v>
      </c>
      <c r="S2499">
        <v>1</v>
      </c>
      <c r="T2499">
        <v>1</v>
      </c>
      <c r="U2499">
        <v>111252</v>
      </c>
      <c r="V2499">
        <v>111252</v>
      </c>
    </row>
    <row r="2500" spans="1:22">
      <c r="A2500" t="s">
        <v>196</v>
      </c>
      <c r="B2500">
        <v>57</v>
      </c>
      <c r="C2500" t="s">
        <v>31</v>
      </c>
      <c r="D2500">
        <v>100</v>
      </c>
      <c r="E2500" t="s">
        <v>197</v>
      </c>
      <c r="F2500">
        <v>1005</v>
      </c>
      <c r="G2500" t="s">
        <v>31</v>
      </c>
      <c r="H2500">
        <v>2016</v>
      </c>
      <c r="I2500" t="s">
        <v>11</v>
      </c>
      <c r="J2500">
        <v>3274</v>
      </c>
      <c r="K2500" t="s">
        <v>11</v>
      </c>
      <c r="L2500">
        <v>0</v>
      </c>
      <c r="N2500" t="s">
        <v>602</v>
      </c>
      <c r="O2500">
        <v>4</v>
      </c>
      <c r="P2500">
        <v>635</v>
      </c>
      <c r="Q2500" t="s">
        <v>645</v>
      </c>
      <c r="R2500" t="s">
        <v>201</v>
      </c>
      <c r="S2500">
        <v>1</v>
      </c>
      <c r="T2500">
        <v>1</v>
      </c>
      <c r="U2500">
        <v>141564</v>
      </c>
      <c r="V2500">
        <v>141564</v>
      </c>
    </row>
    <row r="2501" spans="1:22">
      <c r="A2501" t="s">
        <v>196</v>
      </c>
      <c r="B2501">
        <v>57</v>
      </c>
      <c r="C2501" t="s">
        <v>31</v>
      </c>
      <c r="D2501">
        <v>100</v>
      </c>
      <c r="E2501" t="s">
        <v>197</v>
      </c>
      <c r="F2501">
        <v>1005</v>
      </c>
      <c r="G2501" t="s">
        <v>31</v>
      </c>
      <c r="H2501">
        <v>2016</v>
      </c>
      <c r="I2501" t="s">
        <v>11</v>
      </c>
      <c r="J2501">
        <v>3274</v>
      </c>
      <c r="K2501" t="s">
        <v>11</v>
      </c>
      <c r="L2501">
        <v>0</v>
      </c>
      <c r="N2501" t="s">
        <v>341</v>
      </c>
      <c r="O2501">
        <v>1</v>
      </c>
      <c r="P2501">
        <v>308</v>
      </c>
      <c r="Q2501" t="s">
        <v>355</v>
      </c>
      <c r="R2501" t="s">
        <v>201</v>
      </c>
      <c r="S2501">
        <v>1</v>
      </c>
      <c r="T2501">
        <v>1</v>
      </c>
      <c r="U2501">
        <v>119100</v>
      </c>
      <c r="V2501">
        <v>119100</v>
      </c>
    </row>
    <row r="2502" spans="1:22">
      <c r="A2502" t="s">
        <v>196</v>
      </c>
      <c r="B2502">
        <v>57</v>
      </c>
      <c r="C2502" t="s">
        <v>31</v>
      </c>
      <c r="D2502">
        <v>100</v>
      </c>
      <c r="E2502" t="s">
        <v>197</v>
      </c>
      <c r="F2502">
        <v>1005</v>
      </c>
      <c r="G2502" t="s">
        <v>31</v>
      </c>
      <c r="H2502">
        <v>2016</v>
      </c>
      <c r="I2502" t="s">
        <v>11</v>
      </c>
      <c r="J2502">
        <v>3274</v>
      </c>
      <c r="K2502" t="s">
        <v>11</v>
      </c>
      <c r="L2502">
        <v>0</v>
      </c>
      <c r="N2502" t="s">
        <v>199</v>
      </c>
      <c r="O2502">
        <v>0</v>
      </c>
      <c r="P2502">
        <v>15</v>
      </c>
      <c r="Q2502" t="s">
        <v>264</v>
      </c>
      <c r="R2502" t="s">
        <v>201</v>
      </c>
      <c r="S2502">
        <v>0</v>
      </c>
      <c r="T2502">
        <v>0</v>
      </c>
      <c r="U2502">
        <v>8613</v>
      </c>
      <c r="V2502">
        <v>8613</v>
      </c>
    </row>
    <row r="2503" spans="1:22">
      <c r="A2503" t="s">
        <v>196</v>
      </c>
      <c r="B2503">
        <v>57</v>
      </c>
      <c r="C2503" t="s">
        <v>31</v>
      </c>
      <c r="D2503">
        <v>100</v>
      </c>
      <c r="E2503" t="s">
        <v>197</v>
      </c>
      <c r="F2503">
        <v>1005</v>
      </c>
      <c r="G2503" t="s">
        <v>31</v>
      </c>
      <c r="H2503">
        <v>2016</v>
      </c>
      <c r="I2503" t="s">
        <v>11</v>
      </c>
      <c r="J2503">
        <v>3282</v>
      </c>
      <c r="K2503" t="s">
        <v>1359</v>
      </c>
      <c r="L2503">
        <v>4280</v>
      </c>
      <c r="M2503" t="s">
        <v>1359</v>
      </c>
      <c r="N2503" t="s">
        <v>216</v>
      </c>
      <c r="O2503">
        <v>99</v>
      </c>
      <c r="P2503">
        <v>9752</v>
      </c>
      <c r="Q2503" t="s">
        <v>1296</v>
      </c>
      <c r="R2503" t="s">
        <v>201</v>
      </c>
      <c r="S2503">
        <v>1</v>
      </c>
      <c r="T2503">
        <v>1</v>
      </c>
      <c r="U2503">
        <v>192240</v>
      </c>
      <c r="V2503">
        <v>192240</v>
      </c>
    </row>
    <row r="2504" spans="1:22">
      <c r="A2504" t="s">
        <v>196</v>
      </c>
      <c r="B2504">
        <v>57</v>
      </c>
      <c r="C2504" t="s">
        <v>31</v>
      </c>
      <c r="D2504">
        <v>100</v>
      </c>
      <c r="E2504" t="s">
        <v>197</v>
      </c>
      <c r="F2504">
        <v>1005</v>
      </c>
      <c r="G2504" t="s">
        <v>31</v>
      </c>
      <c r="H2504">
        <v>2016</v>
      </c>
      <c r="I2504" t="s">
        <v>11</v>
      </c>
      <c r="J2504">
        <v>3282</v>
      </c>
      <c r="K2504" t="s">
        <v>1359</v>
      </c>
      <c r="L2504">
        <v>4280</v>
      </c>
      <c r="M2504" t="s">
        <v>1359</v>
      </c>
      <c r="N2504" t="s">
        <v>1302</v>
      </c>
      <c r="O2504">
        <v>71</v>
      </c>
      <c r="P2504">
        <v>9171</v>
      </c>
      <c r="Q2504" t="s">
        <v>1303</v>
      </c>
      <c r="R2504" t="s">
        <v>201</v>
      </c>
      <c r="S2504">
        <v>1</v>
      </c>
      <c r="T2504">
        <v>1</v>
      </c>
      <c r="U2504">
        <v>142668</v>
      </c>
      <c r="V2504">
        <v>142668</v>
      </c>
    </row>
    <row r="2505" spans="1:22">
      <c r="A2505" t="s">
        <v>196</v>
      </c>
      <c r="B2505">
        <v>57</v>
      </c>
      <c r="C2505" t="s">
        <v>31</v>
      </c>
      <c r="D2505">
        <v>100</v>
      </c>
      <c r="E2505" t="s">
        <v>197</v>
      </c>
      <c r="F2505">
        <v>1005</v>
      </c>
      <c r="G2505" t="s">
        <v>31</v>
      </c>
      <c r="H2505">
        <v>2016</v>
      </c>
      <c r="I2505" t="s">
        <v>11</v>
      </c>
      <c r="J2505">
        <v>3282</v>
      </c>
      <c r="K2505" t="s">
        <v>1359</v>
      </c>
      <c r="L2505">
        <v>4280</v>
      </c>
      <c r="M2505" t="s">
        <v>1359</v>
      </c>
      <c r="N2505" t="s">
        <v>1324</v>
      </c>
      <c r="O2505">
        <v>91</v>
      </c>
      <c r="P2505">
        <v>9165</v>
      </c>
      <c r="Q2505" t="s">
        <v>1325</v>
      </c>
      <c r="R2505" t="s">
        <v>201</v>
      </c>
      <c r="S2505">
        <v>1</v>
      </c>
      <c r="T2505">
        <v>1</v>
      </c>
      <c r="U2505">
        <v>144792</v>
      </c>
      <c r="V2505">
        <v>144792</v>
      </c>
    </row>
    <row r="2506" spans="1:22">
      <c r="A2506" t="s">
        <v>196</v>
      </c>
      <c r="B2506">
        <v>57</v>
      </c>
      <c r="C2506" t="s">
        <v>31</v>
      </c>
      <c r="D2506">
        <v>100</v>
      </c>
      <c r="E2506" t="s">
        <v>197</v>
      </c>
      <c r="F2506">
        <v>1005</v>
      </c>
      <c r="G2506" t="s">
        <v>31</v>
      </c>
      <c r="H2506">
        <v>2016</v>
      </c>
      <c r="I2506" t="s">
        <v>11</v>
      </c>
      <c r="J2506">
        <v>3282</v>
      </c>
      <c r="K2506" t="s">
        <v>1359</v>
      </c>
      <c r="L2506">
        <v>4280</v>
      </c>
      <c r="M2506" t="s">
        <v>1359</v>
      </c>
      <c r="N2506" t="s">
        <v>1324</v>
      </c>
      <c r="O2506">
        <v>91</v>
      </c>
      <c r="P2506">
        <v>9165</v>
      </c>
      <c r="Q2506" t="s">
        <v>1325</v>
      </c>
      <c r="R2506" t="s">
        <v>201</v>
      </c>
      <c r="S2506">
        <v>1</v>
      </c>
      <c r="T2506">
        <v>1</v>
      </c>
      <c r="U2506">
        <v>140454</v>
      </c>
      <c r="V2506">
        <v>140454</v>
      </c>
    </row>
    <row r="2507" spans="1:22">
      <c r="A2507" t="s">
        <v>196</v>
      </c>
      <c r="B2507">
        <v>57</v>
      </c>
      <c r="C2507" t="s">
        <v>31</v>
      </c>
      <c r="D2507">
        <v>100</v>
      </c>
      <c r="E2507" t="s">
        <v>197</v>
      </c>
      <c r="F2507">
        <v>1005</v>
      </c>
      <c r="G2507" t="s">
        <v>31</v>
      </c>
      <c r="H2507">
        <v>2016</v>
      </c>
      <c r="I2507" t="s">
        <v>11</v>
      </c>
      <c r="J2507">
        <v>3282</v>
      </c>
      <c r="K2507" t="s">
        <v>1359</v>
      </c>
      <c r="L2507">
        <v>4280</v>
      </c>
      <c r="M2507" t="s">
        <v>1359</v>
      </c>
      <c r="N2507" t="s">
        <v>1324</v>
      </c>
      <c r="O2507">
        <v>91</v>
      </c>
      <c r="P2507">
        <v>9165</v>
      </c>
      <c r="Q2507" t="s">
        <v>1325</v>
      </c>
      <c r="R2507" t="s">
        <v>201</v>
      </c>
      <c r="S2507">
        <v>1</v>
      </c>
      <c r="T2507">
        <v>1</v>
      </c>
      <c r="U2507">
        <v>135816</v>
      </c>
      <c r="V2507">
        <v>135816</v>
      </c>
    </row>
    <row r="2508" spans="1:22">
      <c r="A2508" t="s">
        <v>196</v>
      </c>
      <c r="B2508">
        <v>57</v>
      </c>
      <c r="C2508" t="s">
        <v>31</v>
      </c>
      <c r="D2508">
        <v>100</v>
      </c>
      <c r="E2508" t="s">
        <v>197</v>
      </c>
      <c r="F2508">
        <v>1005</v>
      </c>
      <c r="G2508" t="s">
        <v>31</v>
      </c>
      <c r="H2508">
        <v>2016</v>
      </c>
      <c r="I2508" t="s">
        <v>11</v>
      </c>
      <c r="J2508">
        <v>3282</v>
      </c>
      <c r="K2508" t="s">
        <v>1359</v>
      </c>
      <c r="L2508">
        <v>4280</v>
      </c>
      <c r="M2508" t="s">
        <v>1359</v>
      </c>
      <c r="N2508" t="s">
        <v>1324</v>
      </c>
      <c r="O2508">
        <v>91</v>
      </c>
      <c r="P2508">
        <v>9165</v>
      </c>
      <c r="Q2508" t="s">
        <v>1325</v>
      </c>
      <c r="R2508" t="s">
        <v>201</v>
      </c>
      <c r="S2508">
        <v>2</v>
      </c>
      <c r="T2508">
        <v>1</v>
      </c>
      <c r="U2508">
        <v>99426</v>
      </c>
      <c r="V2508">
        <v>198852</v>
      </c>
    </row>
    <row r="2509" spans="1:22">
      <c r="A2509" t="s">
        <v>196</v>
      </c>
      <c r="B2509">
        <v>57</v>
      </c>
      <c r="C2509" t="s">
        <v>31</v>
      </c>
      <c r="D2509">
        <v>100</v>
      </c>
      <c r="E2509" t="s">
        <v>197</v>
      </c>
      <c r="F2509">
        <v>1005</v>
      </c>
      <c r="G2509" t="s">
        <v>31</v>
      </c>
      <c r="H2509">
        <v>2016</v>
      </c>
      <c r="I2509" t="s">
        <v>11</v>
      </c>
      <c r="J2509">
        <v>3282</v>
      </c>
      <c r="K2509" t="s">
        <v>1359</v>
      </c>
      <c r="L2509">
        <v>4280</v>
      </c>
      <c r="M2509" t="s">
        <v>1359</v>
      </c>
      <c r="N2509" t="s">
        <v>1309</v>
      </c>
      <c r="O2509">
        <v>91</v>
      </c>
      <c r="P2509">
        <v>9161</v>
      </c>
      <c r="Q2509" t="s">
        <v>1310</v>
      </c>
      <c r="R2509" t="s">
        <v>201</v>
      </c>
      <c r="S2509">
        <v>3</v>
      </c>
      <c r="T2509">
        <v>1</v>
      </c>
      <c r="U2509">
        <v>127146</v>
      </c>
      <c r="V2509">
        <v>381438</v>
      </c>
    </row>
    <row r="2510" spans="1:22">
      <c r="A2510" t="s">
        <v>196</v>
      </c>
      <c r="B2510">
        <v>57</v>
      </c>
      <c r="C2510" t="s">
        <v>31</v>
      </c>
      <c r="D2510">
        <v>100</v>
      </c>
      <c r="E2510" t="s">
        <v>197</v>
      </c>
      <c r="F2510">
        <v>1005</v>
      </c>
      <c r="G2510" t="s">
        <v>31</v>
      </c>
      <c r="H2510">
        <v>2016</v>
      </c>
      <c r="I2510" t="s">
        <v>11</v>
      </c>
      <c r="J2510">
        <v>3282</v>
      </c>
      <c r="K2510" t="s">
        <v>1359</v>
      </c>
      <c r="L2510">
        <v>4280</v>
      </c>
      <c r="M2510" t="s">
        <v>1359</v>
      </c>
      <c r="N2510" t="s">
        <v>1309</v>
      </c>
      <c r="O2510">
        <v>91</v>
      </c>
      <c r="P2510">
        <v>9161</v>
      </c>
      <c r="Q2510" t="s">
        <v>1310</v>
      </c>
      <c r="R2510" t="s">
        <v>201</v>
      </c>
      <c r="S2510">
        <v>3</v>
      </c>
      <c r="T2510">
        <v>1</v>
      </c>
      <c r="U2510">
        <v>123576</v>
      </c>
      <c r="V2510">
        <v>370728</v>
      </c>
    </row>
    <row r="2511" spans="1:22">
      <c r="A2511" t="s">
        <v>196</v>
      </c>
      <c r="B2511">
        <v>57</v>
      </c>
      <c r="C2511" t="s">
        <v>31</v>
      </c>
      <c r="D2511">
        <v>100</v>
      </c>
      <c r="E2511" t="s">
        <v>197</v>
      </c>
      <c r="F2511">
        <v>1005</v>
      </c>
      <c r="G2511" t="s">
        <v>31</v>
      </c>
      <c r="H2511">
        <v>2016</v>
      </c>
      <c r="I2511" t="s">
        <v>11</v>
      </c>
      <c r="J2511">
        <v>3282</v>
      </c>
      <c r="K2511" t="s">
        <v>1359</v>
      </c>
      <c r="L2511">
        <v>4280</v>
      </c>
      <c r="M2511" t="s">
        <v>1359</v>
      </c>
      <c r="N2511" t="s">
        <v>1309</v>
      </c>
      <c r="O2511">
        <v>91</v>
      </c>
      <c r="P2511">
        <v>9161</v>
      </c>
      <c r="Q2511" t="s">
        <v>1310</v>
      </c>
      <c r="R2511" t="s">
        <v>201</v>
      </c>
      <c r="S2511">
        <v>2</v>
      </c>
      <c r="T2511">
        <v>1</v>
      </c>
      <c r="U2511">
        <v>119154</v>
      </c>
      <c r="V2511">
        <v>238308</v>
      </c>
    </row>
    <row r="2512" spans="1:22">
      <c r="A2512" t="s">
        <v>196</v>
      </c>
      <c r="B2512">
        <v>57</v>
      </c>
      <c r="C2512" t="s">
        <v>31</v>
      </c>
      <c r="D2512">
        <v>100</v>
      </c>
      <c r="E2512" t="s">
        <v>197</v>
      </c>
      <c r="F2512">
        <v>1005</v>
      </c>
      <c r="G2512" t="s">
        <v>31</v>
      </c>
      <c r="H2512">
        <v>2016</v>
      </c>
      <c r="I2512" t="s">
        <v>11</v>
      </c>
      <c r="J2512">
        <v>3282</v>
      </c>
      <c r="K2512" t="s">
        <v>1359</v>
      </c>
      <c r="L2512">
        <v>4280</v>
      </c>
      <c r="M2512" t="s">
        <v>1359</v>
      </c>
      <c r="N2512" t="s">
        <v>1309</v>
      </c>
      <c r="O2512">
        <v>91</v>
      </c>
      <c r="P2512">
        <v>9161</v>
      </c>
      <c r="Q2512" t="s">
        <v>1310</v>
      </c>
      <c r="R2512" t="s">
        <v>201</v>
      </c>
      <c r="S2512">
        <v>3</v>
      </c>
      <c r="T2512">
        <v>1</v>
      </c>
      <c r="U2512">
        <v>115158</v>
      </c>
      <c r="V2512">
        <v>345474</v>
      </c>
    </row>
    <row r="2513" spans="1:22">
      <c r="A2513" t="s">
        <v>196</v>
      </c>
      <c r="B2513">
        <v>57</v>
      </c>
      <c r="C2513" t="s">
        <v>31</v>
      </c>
      <c r="D2513">
        <v>100</v>
      </c>
      <c r="E2513" t="s">
        <v>197</v>
      </c>
      <c r="F2513">
        <v>1005</v>
      </c>
      <c r="G2513" t="s">
        <v>31</v>
      </c>
      <c r="H2513">
        <v>2016</v>
      </c>
      <c r="I2513" t="s">
        <v>11</v>
      </c>
      <c r="J2513">
        <v>3282</v>
      </c>
      <c r="K2513" t="s">
        <v>1359</v>
      </c>
      <c r="L2513">
        <v>4280</v>
      </c>
      <c r="M2513" t="s">
        <v>1359</v>
      </c>
      <c r="N2513" t="s">
        <v>1309</v>
      </c>
      <c r="O2513">
        <v>91</v>
      </c>
      <c r="P2513">
        <v>9161</v>
      </c>
      <c r="Q2513" t="s">
        <v>1310</v>
      </c>
      <c r="R2513" t="s">
        <v>201</v>
      </c>
      <c r="S2513">
        <v>1</v>
      </c>
      <c r="T2513">
        <v>1</v>
      </c>
      <c r="U2513">
        <v>111252</v>
      </c>
      <c r="V2513">
        <v>111252</v>
      </c>
    </row>
    <row r="2514" spans="1:22">
      <c r="A2514" t="s">
        <v>196</v>
      </c>
      <c r="B2514">
        <v>57</v>
      </c>
      <c r="C2514" t="s">
        <v>31</v>
      </c>
      <c r="D2514">
        <v>100</v>
      </c>
      <c r="E2514" t="s">
        <v>197</v>
      </c>
      <c r="F2514">
        <v>1005</v>
      </c>
      <c r="G2514" t="s">
        <v>31</v>
      </c>
      <c r="H2514">
        <v>2016</v>
      </c>
      <c r="I2514" t="s">
        <v>11</v>
      </c>
      <c r="J2514">
        <v>3282</v>
      </c>
      <c r="K2514" t="s">
        <v>1359</v>
      </c>
      <c r="L2514">
        <v>4280</v>
      </c>
      <c r="M2514" t="s">
        <v>1359</v>
      </c>
      <c r="N2514" t="s">
        <v>1309</v>
      </c>
      <c r="O2514">
        <v>91</v>
      </c>
      <c r="P2514">
        <v>9161</v>
      </c>
      <c r="Q2514" t="s">
        <v>1310</v>
      </c>
      <c r="R2514" t="s">
        <v>201</v>
      </c>
      <c r="S2514">
        <v>2</v>
      </c>
      <c r="T2514">
        <v>1</v>
      </c>
      <c r="U2514">
        <v>63636</v>
      </c>
      <c r="V2514">
        <v>127272</v>
      </c>
    </row>
    <row r="2515" spans="1:22">
      <c r="A2515" t="s">
        <v>196</v>
      </c>
      <c r="B2515">
        <v>57</v>
      </c>
      <c r="C2515" t="s">
        <v>31</v>
      </c>
      <c r="D2515">
        <v>100</v>
      </c>
      <c r="E2515" t="s">
        <v>197</v>
      </c>
      <c r="F2515">
        <v>1005</v>
      </c>
      <c r="G2515" t="s">
        <v>31</v>
      </c>
      <c r="H2515">
        <v>2016</v>
      </c>
      <c r="I2515" t="s">
        <v>11</v>
      </c>
      <c r="J2515">
        <v>3282</v>
      </c>
      <c r="K2515" t="s">
        <v>1359</v>
      </c>
      <c r="L2515">
        <v>4280</v>
      </c>
      <c r="M2515" t="s">
        <v>1359</v>
      </c>
      <c r="N2515" t="s">
        <v>249</v>
      </c>
      <c r="O2515">
        <v>10</v>
      </c>
      <c r="P2515">
        <v>3092</v>
      </c>
      <c r="Q2515" t="s">
        <v>750</v>
      </c>
      <c r="R2515" t="s">
        <v>201</v>
      </c>
      <c r="S2515">
        <v>1</v>
      </c>
      <c r="T2515">
        <v>1</v>
      </c>
      <c r="U2515">
        <v>89112</v>
      </c>
      <c r="V2515">
        <v>89112</v>
      </c>
    </row>
    <row r="2516" spans="1:22">
      <c r="A2516" t="s">
        <v>196</v>
      </c>
      <c r="B2516">
        <v>57</v>
      </c>
      <c r="C2516" t="s">
        <v>31</v>
      </c>
      <c r="D2516">
        <v>100</v>
      </c>
      <c r="E2516" t="s">
        <v>197</v>
      </c>
      <c r="F2516">
        <v>1005</v>
      </c>
      <c r="G2516" t="s">
        <v>31</v>
      </c>
      <c r="H2516">
        <v>2016</v>
      </c>
      <c r="I2516" t="s">
        <v>11</v>
      </c>
      <c r="J2516">
        <v>3282</v>
      </c>
      <c r="K2516" t="s">
        <v>1359</v>
      </c>
      <c r="L2516">
        <v>4280</v>
      </c>
      <c r="M2516" t="s">
        <v>1359</v>
      </c>
      <c r="N2516" t="s">
        <v>809</v>
      </c>
      <c r="O2516">
        <v>1</v>
      </c>
      <c r="P2516">
        <v>460</v>
      </c>
      <c r="Q2516" t="s">
        <v>810</v>
      </c>
      <c r="R2516" t="s">
        <v>201</v>
      </c>
      <c r="S2516">
        <v>3</v>
      </c>
      <c r="T2516">
        <v>1</v>
      </c>
      <c r="U2516">
        <v>82140</v>
      </c>
      <c r="V2516">
        <v>246420</v>
      </c>
    </row>
    <row r="2517" spans="1:22">
      <c r="A2517" t="s">
        <v>196</v>
      </c>
      <c r="B2517">
        <v>57</v>
      </c>
      <c r="C2517" t="s">
        <v>31</v>
      </c>
      <c r="D2517">
        <v>100</v>
      </c>
      <c r="E2517" t="s">
        <v>197</v>
      </c>
      <c r="F2517">
        <v>1005</v>
      </c>
      <c r="G2517" t="s">
        <v>31</v>
      </c>
      <c r="H2517">
        <v>2016</v>
      </c>
      <c r="I2517" t="s">
        <v>11</v>
      </c>
      <c r="J2517">
        <v>3282</v>
      </c>
      <c r="K2517" t="s">
        <v>1359</v>
      </c>
      <c r="L2517">
        <v>4280</v>
      </c>
      <c r="M2517" t="s">
        <v>1359</v>
      </c>
      <c r="N2517" t="s">
        <v>199</v>
      </c>
      <c r="O2517">
        <v>0</v>
      </c>
      <c r="P2517">
        <v>15</v>
      </c>
      <c r="Q2517" t="s">
        <v>264</v>
      </c>
      <c r="R2517" t="s">
        <v>201</v>
      </c>
      <c r="S2517">
        <v>0</v>
      </c>
      <c r="T2517">
        <v>0</v>
      </c>
      <c r="U2517">
        <v>7203</v>
      </c>
      <c r="V2517">
        <v>7203</v>
      </c>
    </row>
    <row r="2518" spans="1:22">
      <c r="A2518" t="s">
        <v>196</v>
      </c>
      <c r="B2518">
        <v>57</v>
      </c>
      <c r="C2518" t="s">
        <v>31</v>
      </c>
      <c r="D2518">
        <v>100</v>
      </c>
      <c r="E2518" t="s">
        <v>197</v>
      </c>
      <c r="F2518">
        <v>1005</v>
      </c>
      <c r="G2518" t="s">
        <v>31</v>
      </c>
      <c r="H2518">
        <v>2016</v>
      </c>
      <c r="I2518" t="s">
        <v>11</v>
      </c>
      <c r="J2518">
        <v>3282</v>
      </c>
      <c r="K2518" t="s">
        <v>1359</v>
      </c>
      <c r="L2518">
        <v>4285</v>
      </c>
      <c r="M2518" t="s">
        <v>1360</v>
      </c>
      <c r="N2518" t="s">
        <v>1304</v>
      </c>
      <c r="O2518">
        <v>73</v>
      </c>
      <c r="P2518">
        <v>9173</v>
      </c>
      <c r="Q2518" t="s">
        <v>1323</v>
      </c>
      <c r="R2518" t="s">
        <v>201</v>
      </c>
      <c r="S2518">
        <v>1</v>
      </c>
      <c r="T2518">
        <v>1</v>
      </c>
      <c r="U2518">
        <v>170700</v>
      </c>
      <c r="V2518">
        <v>170700</v>
      </c>
    </row>
    <row r="2519" spans="1:22">
      <c r="A2519" t="s">
        <v>196</v>
      </c>
      <c r="B2519">
        <v>57</v>
      </c>
      <c r="C2519" t="s">
        <v>31</v>
      </c>
      <c r="D2519">
        <v>100</v>
      </c>
      <c r="E2519" t="s">
        <v>197</v>
      </c>
      <c r="F2519">
        <v>1005</v>
      </c>
      <c r="G2519" t="s">
        <v>31</v>
      </c>
      <c r="H2519">
        <v>2016</v>
      </c>
      <c r="I2519" t="s">
        <v>11</v>
      </c>
      <c r="J2519">
        <v>3282</v>
      </c>
      <c r="K2519" t="s">
        <v>1359</v>
      </c>
      <c r="L2519">
        <v>4285</v>
      </c>
      <c r="M2519" t="s">
        <v>1360</v>
      </c>
      <c r="N2519" t="s">
        <v>1302</v>
      </c>
      <c r="O2519">
        <v>71</v>
      </c>
      <c r="P2519">
        <v>9171</v>
      </c>
      <c r="Q2519" t="s">
        <v>1303</v>
      </c>
      <c r="R2519" t="s">
        <v>201</v>
      </c>
      <c r="S2519">
        <v>1</v>
      </c>
      <c r="T2519">
        <v>1</v>
      </c>
      <c r="U2519">
        <v>152010</v>
      </c>
      <c r="V2519">
        <v>152010</v>
      </c>
    </row>
    <row r="2520" spans="1:22">
      <c r="A2520" t="s">
        <v>196</v>
      </c>
      <c r="B2520">
        <v>57</v>
      </c>
      <c r="C2520" t="s">
        <v>31</v>
      </c>
      <c r="D2520">
        <v>100</v>
      </c>
      <c r="E2520" t="s">
        <v>197</v>
      </c>
      <c r="F2520">
        <v>1005</v>
      </c>
      <c r="G2520" t="s">
        <v>31</v>
      </c>
      <c r="H2520">
        <v>2016</v>
      </c>
      <c r="I2520" t="s">
        <v>11</v>
      </c>
      <c r="J2520">
        <v>3282</v>
      </c>
      <c r="K2520" t="s">
        <v>1359</v>
      </c>
      <c r="L2520">
        <v>4285</v>
      </c>
      <c r="M2520" t="s">
        <v>1360</v>
      </c>
      <c r="N2520" t="s">
        <v>1302</v>
      </c>
      <c r="O2520">
        <v>71</v>
      </c>
      <c r="P2520">
        <v>9171</v>
      </c>
      <c r="Q2520" t="s">
        <v>1303</v>
      </c>
      <c r="R2520" t="s">
        <v>201</v>
      </c>
      <c r="S2520">
        <v>1</v>
      </c>
      <c r="T2520">
        <v>1</v>
      </c>
      <c r="U2520">
        <v>142668</v>
      </c>
      <c r="V2520">
        <v>142668</v>
      </c>
    </row>
    <row r="2521" spans="1:22">
      <c r="A2521" t="s">
        <v>196</v>
      </c>
      <c r="B2521">
        <v>57</v>
      </c>
      <c r="C2521" t="s">
        <v>31</v>
      </c>
      <c r="D2521">
        <v>100</v>
      </c>
      <c r="E2521" t="s">
        <v>197</v>
      </c>
      <c r="F2521">
        <v>1005</v>
      </c>
      <c r="G2521" t="s">
        <v>31</v>
      </c>
      <c r="H2521">
        <v>2016</v>
      </c>
      <c r="I2521" t="s">
        <v>11</v>
      </c>
      <c r="J2521">
        <v>3282</v>
      </c>
      <c r="K2521" t="s">
        <v>1359</v>
      </c>
      <c r="L2521">
        <v>4285</v>
      </c>
      <c r="M2521" t="s">
        <v>1360</v>
      </c>
      <c r="N2521" t="s">
        <v>1302</v>
      </c>
      <c r="O2521">
        <v>71</v>
      </c>
      <c r="P2521">
        <v>9171</v>
      </c>
      <c r="Q2521" t="s">
        <v>1303</v>
      </c>
      <c r="R2521" t="s">
        <v>201</v>
      </c>
      <c r="S2521">
        <v>1</v>
      </c>
      <c r="T2521">
        <v>1</v>
      </c>
      <c r="U2521">
        <v>138318</v>
      </c>
      <c r="V2521">
        <v>138318</v>
      </c>
    </row>
    <row r="2522" spans="1:22">
      <c r="A2522" t="s">
        <v>196</v>
      </c>
      <c r="B2522">
        <v>57</v>
      </c>
      <c r="C2522" t="s">
        <v>31</v>
      </c>
      <c r="D2522">
        <v>100</v>
      </c>
      <c r="E2522" t="s">
        <v>197</v>
      </c>
      <c r="F2522">
        <v>1005</v>
      </c>
      <c r="G2522" t="s">
        <v>31</v>
      </c>
      <c r="H2522">
        <v>2016</v>
      </c>
      <c r="I2522" t="s">
        <v>11</v>
      </c>
      <c r="J2522">
        <v>3282</v>
      </c>
      <c r="K2522" t="s">
        <v>1359</v>
      </c>
      <c r="L2522">
        <v>4285</v>
      </c>
      <c r="M2522" t="s">
        <v>1360</v>
      </c>
      <c r="N2522" t="s">
        <v>1324</v>
      </c>
      <c r="O2522">
        <v>91</v>
      </c>
      <c r="P2522">
        <v>9165</v>
      </c>
      <c r="Q2522" t="s">
        <v>1325</v>
      </c>
      <c r="R2522" t="s">
        <v>201</v>
      </c>
      <c r="S2522">
        <v>7</v>
      </c>
      <c r="T2522">
        <v>1</v>
      </c>
      <c r="U2522">
        <v>144792</v>
      </c>
      <c r="V2522">
        <v>1013544</v>
      </c>
    </row>
    <row r="2523" spans="1:22">
      <c r="A2523" t="s">
        <v>196</v>
      </c>
      <c r="B2523">
        <v>57</v>
      </c>
      <c r="C2523" t="s">
        <v>31</v>
      </c>
      <c r="D2523">
        <v>100</v>
      </c>
      <c r="E2523" t="s">
        <v>197</v>
      </c>
      <c r="F2523">
        <v>1005</v>
      </c>
      <c r="G2523" t="s">
        <v>31</v>
      </c>
      <c r="H2523">
        <v>2016</v>
      </c>
      <c r="I2523" t="s">
        <v>11</v>
      </c>
      <c r="J2523">
        <v>3282</v>
      </c>
      <c r="K2523" t="s">
        <v>1359</v>
      </c>
      <c r="L2523">
        <v>4285</v>
      </c>
      <c r="M2523" t="s">
        <v>1360</v>
      </c>
      <c r="N2523" t="s">
        <v>1324</v>
      </c>
      <c r="O2523">
        <v>91</v>
      </c>
      <c r="P2523">
        <v>9165</v>
      </c>
      <c r="Q2523" t="s">
        <v>1325</v>
      </c>
      <c r="R2523" t="s">
        <v>201</v>
      </c>
      <c r="S2523">
        <v>9</v>
      </c>
      <c r="T2523">
        <v>1</v>
      </c>
      <c r="U2523">
        <v>140454</v>
      </c>
      <c r="V2523">
        <v>1264086</v>
      </c>
    </row>
    <row r="2524" spans="1:22">
      <c r="A2524" t="s">
        <v>196</v>
      </c>
      <c r="B2524">
        <v>57</v>
      </c>
      <c r="C2524" t="s">
        <v>31</v>
      </c>
      <c r="D2524">
        <v>100</v>
      </c>
      <c r="E2524" t="s">
        <v>197</v>
      </c>
      <c r="F2524">
        <v>1005</v>
      </c>
      <c r="G2524" t="s">
        <v>31</v>
      </c>
      <c r="H2524">
        <v>2016</v>
      </c>
      <c r="I2524" t="s">
        <v>11</v>
      </c>
      <c r="J2524">
        <v>3282</v>
      </c>
      <c r="K2524" t="s">
        <v>1359</v>
      </c>
      <c r="L2524">
        <v>4285</v>
      </c>
      <c r="M2524" t="s">
        <v>1360</v>
      </c>
      <c r="N2524" t="s">
        <v>1324</v>
      </c>
      <c r="O2524">
        <v>91</v>
      </c>
      <c r="P2524">
        <v>9165</v>
      </c>
      <c r="Q2524" t="s">
        <v>1325</v>
      </c>
      <c r="R2524" t="s">
        <v>201</v>
      </c>
      <c r="S2524">
        <v>5</v>
      </c>
      <c r="T2524">
        <v>1</v>
      </c>
      <c r="U2524">
        <v>135816</v>
      </c>
      <c r="V2524">
        <v>679080</v>
      </c>
    </row>
    <row r="2525" spans="1:22">
      <c r="A2525" t="s">
        <v>196</v>
      </c>
      <c r="B2525">
        <v>57</v>
      </c>
      <c r="C2525" t="s">
        <v>31</v>
      </c>
      <c r="D2525">
        <v>100</v>
      </c>
      <c r="E2525" t="s">
        <v>197</v>
      </c>
      <c r="F2525">
        <v>1005</v>
      </c>
      <c r="G2525" t="s">
        <v>31</v>
      </c>
      <c r="H2525">
        <v>2016</v>
      </c>
      <c r="I2525" t="s">
        <v>11</v>
      </c>
      <c r="J2525">
        <v>3282</v>
      </c>
      <c r="K2525" t="s">
        <v>1359</v>
      </c>
      <c r="L2525">
        <v>4285</v>
      </c>
      <c r="M2525" t="s">
        <v>1360</v>
      </c>
      <c r="N2525" t="s">
        <v>1324</v>
      </c>
      <c r="O2525">
        <v>91</v>
      </c>
      <c r="P2525">
        <v>9165</v>
      </c>
      <c r="Q2525" t="s">
        <v>1325</v>
      </c>
      <c r="R2525" t="s">
        <v>201</v>
      </c>
      <c r="S2525">
        <v>4</v>
      </c>
      <c r="T2525">
        <v>1</v>
      </c>
      <c r="U2525">
        <v>131448</v>
      </c>
      <c r="V2525">
        <v>525792</v>
      </c>
    </row>
    <row r="2526" spans="1:22">
      <c r="A2526" t="s">
        <v>196</v>
      </c>
      <c r="B2526">
        <v>57</v>
      </c>
      <c r="C2526" t="s">
        <v>31</v>
      </c>
      <c r="D2526">
        <v>100</v>
      </c>
      <c r="E2526" t="s">
        <v>197</v>
      </c>
      <c r="F2526">
        <v>1005</v>
      </c>
      <c r="G2526" t="s">
        <v>31</v>
      </c>
      <c r="H2526">
        <v>2016</v>
      </c>
      <c r="I2526" t="s">
        <v>11</v>
      </c>
      <c r="J2526">
        <v>3282</v>
      </c>
      <c r="K2526" t="s">
        <v>1359</v>
      </c>
      <c r="L2526">
        <v>4285</v>
      </c>
      <c r="M2526" t="s">
        <v>1360</v>
      </c>
      <c r="N2526" t="s">
        <v>1324</v>
      </c>
      <c r="O2526">
        <v>91</v>
      </c>
      <c r="P2526">
        <v>9165</v>
      </c>
      <c r="Q2526" t="s">
        <v>1325</v>
      </c>
      <c r="R2526" t="s">
        <v>201</v>
      </c>
      <c r="S2526">
        <v>8</v>
      </c>
      <c r="T2526">
        <v>1</v>
      </c>
      <c r="U2526">
        <v>99426</v>
      </c>
      <c r="V2526">
        <v>795408</v>
      </c>
    </row>
    <row r="2527" spans="1:22">
      <c r="A2527" t="s">
        <v>196</v>
      </c>
      <c r="B2527">
        <v>57</v>
      </c>
      <c r="C2527" t="s">
        <v>31</v>
      </c>
      <c r="D2527">
        <v>100</v>
      </c>
      <c r="E2527" t="s">
        <v>197</v>
      </c>
      <c r="F2527">
        <v>1005</v>
      </c>
      <c r="G2527" t="s">
        <v>31</v>
      </c>
      <c r="H2527">
        <v>2016</v>
      </c>
      <c r="I2527" t="s">
        <v>11</v>
      </c>
      <c r="J2527">
        <v>3282</v>
      </c>
      <c r="K2527" t="s">
        <v>1359</v>
      </c>
      <c r="L2527">
        <v>4285</v>
      </c>
      <c r="M2527" t="s">
        <v>1360</v>
      </c>
      <c r="N2527" t="s">
        <v>1309</v>
      </c>
      <c r="O2527">
        <v>91</v>
      </c>
      <c r="P2527">
        <v>9161</v>
      </c>
      <c r="Q2527" t="s">
        <v>1310</v>
      </c>
      <c r="R2527" t="s">
        <v>201</v>
      </c>
      <c r="S2527">
        <v>1</v>
      </c>
      <c r="T2527">
        <v>1</v>
      </c>
      <c r="U2527">
        <v>123576</v>
      </c>
      <c r="V2527">
        <v>123576</v>
      </c>
    </row>
    <row r="2528" spans="1:22">
      <c r="A2528" t="s">
        <v>196</v>
      </c>
      <c r="B2528">
        <v>57</v>
      </c>
      <c r="C2528" t="s">
        <v>31</v>
      </c>
      <c r="D2528">
        <v>100</v>
      </c>
      <c r="E2528" t="s">
        <v>197</v>
      </c>
      <c r="F2528">
        <v>1005</v>
      </c>
      <c r="G2528" t="s">
        <v>31</v>
      </c>
      <c r="H2528">
        <v>2016</v>
      </c>
      <c r="I2528" t="s">
        <v>11</v>
      </c>
      <c r="J2528">
        <v>3282</v>
      </c>
      <c r="K2528" t="s">
        <v>1359</v>
      </c>
      <c r="L2528">
        <v>4285</v>
      </c>
      <c r="M2528" t="s">
        <v>1360</v>
      </c>
      <c r="N2528" t="s">
        <v>1309</v>
      </c>
      <c r="O2528">
        <v>91</v>
      </c>
      <c r="P2528">
        <v>9161</v>
      </c>
      <c r="Q2528" t="s">
        <v>1310</v>
      </c>
      <c r="R2528" t="s">
        <v>201</v>
      </c>
      <c r="S2528">
        <v>1</v>
      </c>
      <c r="T2528">
        <v>1</v>
      </c>
      <c r="U2528">
        <v>119154</v>
      </c>
      <c r="V2528">
        <v>119154</v>
      </c>
    </row>
    <row r="2529" spans="1:22">
      <c r="A2529" t="s">
        <v>196</v>
      </c>
      <c r="B2529">
        <v>57</v>
      </c>
      <c r="C2529" t="s">
        <v>31</v>
      </c>
      <c r="D2529">
        <v>100</v>
      </c>
      <c r="E2529" t="s">
        <v>197</v>
      </c>
      <c r="F2529">
        <v>1005</v>
      </c>
      <c r="G2529" t="s">
        <v>31</v>
      </c>
      <c r="H2529">
        <v>2016</v>
      </c>
      <c r="I2529" t="s">
        <v>11</v>
      </c>
      <c r="J2529">
        <v>3282</v>
      </c>
      <c r="K2529" t="s">
        <v>1359</v>
      </c>
      <c r="L2529">
        <v>4285</v>
      </c>
      <c r="M2529" t="s">
        <v>1360</v>
      </c>
      <c r="N2529" t="s">
        <v>199</v>
      </c>
      <c r="O2529">
        <v>0</v>
      </c>
      <c r="P2529">
        <v>15</v>
      </c>
      <c r="Q2529" t="s">
        <v>264</v>
      </c>
      <c r="R2529" t="s">
        <v>201</v>
      </c>
      <c r="S2529">
        <v>0</v>
      </c>
      <c r="T2529">
        <v>0</v>
      </c>
      <c r="U2529">
        <v>5380</v>
      </c>
      <c r="V2529">
        <v>5380</v>
      </c>
    </row>
    <row r="2530" spans="1:22">
      <c r="A2530" t="s">
        <v>196</v>
      </c>
      <c r="B2530">
        <v>57</v>
      </c>
      <c r="C2530" t="s">
        <v>31</v>
      </c>
      <c r="D2530">
        <v>100</v>
      </c>
      <c r="E2530" t="s">
        <v>197</v>
      </c>
      <c r="F2530">
        <v>1005</v>
      </c>
      <c r="G2530" t="s">
        <v>31</v>
      </c>
      <c r="H2530">
        <v>2016</v>
      </c>
      <c r="I2530" t="s">
        <v>11</v>
      </c>
      <c r="J2530">
        <v>3282</v>
      </c>
      <c r="K2530" t="s">
        <v>1359</v>
      </c>
      <c r="L2530">
        <v>4286</v>
      </c>
      <c r="M2530" t="s">
        <v>1361</v>
      </c>
      <c r="N2530" t="s">
        <v>1302</v>
      </c>
      <c r="O2530">
        <v>71</v>
      </c>
      <c r="P2530">
        <v>9171</v>
      </c>
      <c r="Q2530" t="s">
        <v>1303</v>
      </c>
      <c r="R2530" t="s">
        <v>201</v>
      </c>
      <c r="S2530">
        <v>1</v>
      </c>
      <c r="T2530">
        <v>1</v>
      </c>
      <c r="U2530">
        <v>156564</v>
      </c>
      <c r="V2530">
        <v>156564</v>
      </c>
    </row>
    <row r="2531" spans="1:22">
      <c r="A2531" t="s">
        <v>196</v>
      </c>
      <c r="B2531">
        <v>57</v>
      </c>
      <c r="C2531" t="s">
        <v>31</v>
      </c>
      <c r="D2531">
        <v>100</v>
      </c>
      <c r="E2531" t="s">
        <v>197</v>
      </c>
      <c r="F2531">
        <v>1005</v>
      </c>
      <c r="G2531" t="s">
        <v>31</v>
      </c>
      <c r="H2531">
        <v>2016</v>
      </c>
      <c r="I2531" t="s">
        <v>11</v>
      </c>
      <c r="J2531">
        <v>3282</v>
      </c>
      <c r="K2531" t="s">
        <v>1359</v>
      </c>
      <c r="L2531">
        <v>4286</v>
      </c>
      <c r="M2531" t="s">
        <v>1361</v>
      </c>
      <c r="N2531" t="s">
        <v>1324</v>
      </c>
      <c r="O2531">
        <v>91</v>
      </c>
      <c r="P2531">
        <v>9165</v>
      </c>
      <c r="Q2531" t="s">
        <v>1325</v>
      </c>
      <c r="R2531" t="s">
        <v>201</v>
      </c>
      <c r="S2531">
        <v>3</v>
      </c>
      <c r="T2531">
        <v>1</v>
      </c>
      <c r="U2531">
        <v>144792</v>
      </c>
      <c r="V2531">
        <v>434376</v>
      </c>
    </row>
    <row r="2532" spans="1:22">
      <c r="A2532" t="s">
        <v>196</v>
      </c>
      <c r="B2532">
        <v>57</v>
      </c>
      <c r="C2532" t="s">
        <v>31</v>
      </c>
      <c r="D2532">
        <v>100</v>
      </c>
      <c r="E2532" t="s">
        <v>197</v>
      </c>
      <c r="F2532">
        <v>1005</v>
      </c>
      <c r="G2532" t="s">
        <v>31</v>
      </c>
      <c r="H2532">
        <v>2016</v>
      </c>
      <c r="I2532" t="s">
        <v>11</v>
      </c>
      <c r="J2532">
        <v>3282</v>
      </c>
      <c r="K2532" t="s">
        <v>1359</v>
      </c>
      <c r="L2532">
        <v>4286</v>
      </c>
      <c r="M2532" t="s">
        <v>1361</v>
      </c>
      <c r="N2532" t="s">
        <v>1324</v>
      </c>
      <c r="O2532">
        <v>91</v>
      </c>
      <c r="P2532">
        <v>9165</v>
      </c>
      <c r="Q2532" t="s">
        <v>1325</v>
      </c>
      <c r="R2532" t="s">
        <v>201</v>
      </c>
      <c r="S2532">
        <v>1</v>
      </c>
      <c r="T2532">
        <v>1</v>
      </c>
      <c r="U2532">
        <v>140454</v>
      </c>
      <c r="V2532">
        <v>140454</v>
      </c>
    </row>
    <row r="2533" spans="1:22">
      <c r="A2533" t="s">
        <v>196</v>
      </c>
      <c r="B2533">
        <v>57</v>
      </c>
      <c r="C2533" t="s">
        <v>31</v>
      </c>
      <c r="D2533">
        <v>100</v>
      </c>
      <c r="E2533" t="s">
        <v>197</v>
      </c>
      <c r="F2533">
        <v>1005</v>
      </c>
      <c r="G2533" t="s">
        <v>31</v>
      </c>
      <c r="H2533">
        <v>2016</v>
      </c>
      <c r="I2533" t="s">
        <v>11</v>
      </c>
      <c r="J2533">
        <v>3282</v>
      </c>
      <c r="K2533" t="s">
        <v>1359</v>
      </c>
      <c r="L2533">
        <v>4286</v>
      </c>
      <c r="M2533" t="s">
        <v>1361</v>
      </c>
      <c r="N2533" t="s">
        <v>1324</v>
      </c>
      <c r="O2533">
        <v>91</v>
      </c>
      <c r="P2533">
        <v>9165</v>
      </c>
      <c r="Q2533" t="s">
        <v>1325</v>
      </c>
      <c r="R2533" t="s">
        <v>201</v>
      </c>
      <c r="S2533">
        <v>1</v>
      </c>
      <c r="T2533">
        <v>1</v>
      </c>
      <c r="U2533">
        <v>135816</v>
      </c>
      <c r="V2533">
        <v>135816</v>
      </c>
    </row>
    <row r="2534" spans="1:22">
      <c r="A2534" t="s">
        <v>196</v>
      </c>
      <c r="B2534">
        <v>57</v>
      </c>
      <c r="C2534" t="s">
        <v>31</v>
      </c>
      <c r="D2534">
        <v>100</v>
      </c>
      <c r="E2534" t="s">
        <v>197</v>
      </c>
      <c r="F2534">
        <v>1005</v>
      </c>
      <c r="G2534" t="s">
        <v>31</v>
      </c>
      <c r="H2534">
        <v>2016</v>
      </c>
      <c r="I2534" t="s">
        <v>11</v>
      </c>
      <c r="J2534">
        <v>3282</v>
      </c>
      <c r="K2534" t="s">
        <v>1359</v>
      </c>
      <c r="L2534">
        <v>4286</v>
      </c>
      <c r="M2534" t="s">
        <v>1361</v>
      </c>
      <c r="N2534" t="s">
        <v>1324</v>
      </c>
      <c r="O2534">
        <v>91</v>
      </c>
      <c r="P2534">
        <v>9165</v>
      </c>
      <c r="Q2534" t="s">
        <v>1325</v>
      </c>
      <c r="R2534" t="s">
        <v>201</v>
      </c>
      <c r="S2534">
        <v>3</v>
      </c>
      <c r="T2534">
        <v>1</v>
      </c>
      <c r="U2534">
        <v>99426</v>
      </c>
      <c r="V2534">
        <v>298278</v>
      </c>
    </row>
    <row r="2535" spans="1:22">
      <c r="A2535" t="s">
        <v>196</v>
      </c>
      <c r="B2535">
        <v>57</v>
      </c>
      <c r="C2535" t="s">
        <v>31</v>
      </c>
      <c r="D2535">
        <v>100</v>
      </c>
      <c r="E2535" t="s">
        <v>197</v>
      </c>
      <c r="F2535">
        <v>1005</v>
      </c>
      <c r="G2535" t="s">
        <v>31</v>
      </c>
      <c r="H2535">
        <v>2016</v>
      </c>
      <c r="I2535" t="s">
        <v>11</v>
      </c>
      <c r="J2535">
        <v>3282</v>
      </c>
      <c r="K2535" t="s">
        <v>1359</v>
      </c>
      <c r="L2535">
        <v>4286</v>
      </c>
      <c r="M2535" t="s">
        <v>1361</v>
      </c>
      <c r="N2535" t="s">
        <v>1309</v>
      </c>
      <c r="O2535">
        <v>91</v>
      </c>
      <c r="P2535">
        <v>9161</v>
      </c>
      <c r="Q2535" t="s">
        <v>1310</v>
      </c>
      <c r="R2535" t="s">
        <v>201</v>
      </c>
      <c r="S2535">
        <v>1</v>
      </c>
      <c r="T2535">
        <v>1</v>
      </c>
      <c r="U2535">
        <v>115158</v>
      </c>
      <c r="V2535">
        <v>115158</v>
      </c>
    </row>
    <row r="2536" spans="1:22">
      <c r="A2536" t="s">
        <v>196</v>
      </c>
      <c r="B2536">
        <v>57</v>
      </c>
      <c r="C2536" t="s">
        <v>31</v>
      </c>
      <c r="D2536">
        <v>100</v>
      </c>
      <c r="E2536" t="s">
        <v>197</v>
      </c>
      <c r="F2536">
        <v>1005</v>
      </c>
      <c r="G2536" t="s">
        <v>31</v>
      </c>
      <c r="H2536">
        <v>2016</v>
      </c>
      <c r="I2536" t="s">
        <v>11</v>
      </c>
      <c r="J2536">
        <v>3282</v>
      </c>
      <c r="K2536" t="s">
        <v>1359</v>
      </c>
      <c r="L2536">
        <v>4286</v>
      </c>
      <c r="M2536" t="s">
        <v>1361</v>
      </c>
      <c r="N2536" t="s">
        <v>1309</v>
      </c>
      <c r="O2536">
        <v>91</v>
      </c>
      <c r="P2536">
        <v>9161</v>
      </c>
      <c r="Q2536" t="s">
        <v>1310</v>
      </c>
      <c r="R2536" t="s">
        <v>201</v>
      </c>
      <c r="S2536">
        <v>1</v>
      </c>
      <c r="T2536">
        <v>1</v>
      </c>
      <c r="U2536">
        <v>111252</v>
      </c>
      <c r="V2536">
        <v>111252</v>
      </c>
    </row>
    <row r="2537" spans="1:22">
      <c r="A2537" t="s">
        <v>196</v>
      </c>
      <c r="B2537">
        <v>57</v>
      </c>
      <c r="C2537" t="s">
        <v>31</v>
      </c>
      <c r="D2537">
        <v>100</v>
      </c>
      <c r="E2537" t="s">
        <v>197</v>
      </c>
      <c r="F2537">
        <v>1005</v>
      </c>
      <c r="G2537" t="s">
        <v>31</v>
      </c>
      <c r="H2537">
        <v>2016</v>
      </c>
      <c r="I2537" t="s">
        <v>11</v>
      </c>
      <c r="J2537">
        <v>3282</v>
      </c>
      <c r="K2537" t="s">
        <v>1359</v>
      </c>
      <c r="L2537">
        <v>4286</v>
      </c>
      <c r="M2537" t="s">
        <v>1361</v>
      </c>
      <c r="N2537" t="s">
        <v>199</v>
      </c>
      <c r="O2537">
        <v>0</v>
      </c>
      <c r="P2537">
        <v>15</v>
      </c>
      <c r="Q2537" t="s">
        <v>264</v>
      </c>
      <c r="R2537" t="s">
        <v>201</v>
      </c>
      <c r="S2537">
        <v>0</v>
      </c>
      <c r="T2537">
        <v>0</v>
      </c>
      <c r="U2537">
        <v>5035</v>
      </c>
      <c r="V2537">
        <v>5035</v>
      </c>
    </row>
    <row r="2538" spans="1:22">
      <c r="A2538" t="s">
        <v>196</v>
      </c>
      <c r="B2538">
        <v>57</v>
      </c>
      <c r="C2538" t="s">
        <v>31</v>
      </c>
      <c r="D2538">
        <v>100</v>
      </c>
      <c r="E2538" t="s">
        <v>197</v>
      </c>
      <c r="F2538">
        <v>1005</v>
      </c>
      <c r="G2538" t="s">
        <v>31</v>
      </c>
      <c r="H2538">
        <v>2016</v>
      </c>
      <c r="I2538" t="s">
        <v>11</v>
      </c>
      <c r="J2538">
        <v>3287</v>
      </c>
      <c r="K2538" t="s">
        <v>1362</v>
      </c>
      <c r="L2538">
        <v>4277</v>
      </c>
      <c r="M2538" t="s">
        <v>1362</v>
      </c>
      <c r="N2538" t="s">
        <v>216</v>
      </c>
      <c r="O2538">
        <v>99</v>
      </c>
      <c r="P2538">
        <v>9752</v>
      </c>
      <c r="Q2538" t="s">
        <v>1296</v>
      </c>
      <c r="R2538" t="s">
        <v>201</v>
      </c>
      <c r="S2538">
        <v>1</v>
      </c>
      <c r="T2538">
        <v>1</v>
      </c>
      <c r="U2538">
        <v>192240</v>
      </c>
      <c r="V2538">
        <v>192240</v>
      </c>
    </row>
    <row r="2539" spans="1:22">
      <c r="A2539" t="s">
        <v>196</v>
      </c>
      <c r="B2539">
        <v>57</v>
      </c>
      <c r="C2539" t="s">
        <v>31</v>
      </c>
      <c r="D2539">
        <v>100</v>
      </c>
      <c r="E2539" t="s">
        <v>197</v>
      </c>
      <c r="F2539">
        <v>1005</v>
      </c>
      <c r="G2539" t="s">
        <v>31</v>
      </c>
      <c r="H2539">
        <v>2016</v>
      </c>
      <c r="I2539" t="s">
        <v>11</v>
      </c>
      <c r="J2539">
        <v>3287</v>
      </c>
      <c r="K2539" t="s">
        <v>1362</v>
      </c>
      <c r="L2539">
        <v>4277</v>
      </c>
      <c r="M2539" t="s">
        <v>1362</v>
      </c>
      <c r="N2539" t="s">
        <v>1304</v>
      </c>
      <c r="O2539">
        <v>73</v>
      </c>
      <c r="P2539">
        <v>9173</v>
      </c>
      <c r="Q2539" t="s">
        <v>1323</v>
      </c>
      <c r="R2539" t="s">
        <v>201</v>
      </c>
      <c r="S2539">
        <v>2</v>
      </c>
      <c r="T2539">
        <v>1</v>
      </c>
      <c r="U2539">
        <v>170700</v>
      </c>
      <c r="V2539">
        <v>341400</v>
      </c>
    </row>
    <row r="2540" spans="1:22">
      <c r="A2540" t="s">
        <v>196</v>
      </c>
      <c r="B2540">
        <v>57</v>
      </c>
      <c r="C2540" t="s">
        <v>31</v>
      </c>
      <c r="D2540">
        <v>100</v>
      </c>
      <c r="E2540" t="s">
        <v>197</v>
      </c>
      <c r="F2540">
        <v>1005</v>
      </c>
      <c r="G2540" t="s">
        <v>31</v>
      </c>
      <c r="H2540">
        <v>2016</v>
      </c>
      <c r="I2540" t="s">
        <v>11</v>
      </c>
      <c r="J2540">
        <v>3287</v>
      </c>
      <c r="K2540" t="s">
        <v>1362</v>
      </c>
      <c r="L2540">
        <v>4277</v>
      </c>
      <c r="M2540" t="s">
        <v>1362</v>
      </c>
      <c r="N2540" t="s">
        <v>1302</v>
      </c>
      <c r="O2540">
        <v>71</v>
      </c>
      <c r="P2540">
        <v>9171</v>
      </c>
      <c r="Q2540" t="s">
        <v>1303</v>
      </c>
      <c r="R2540" t="s">
        <v>201</v>
      </c>
      <c r="S2540">
        <v>1</v>
      </c>
      <c r="T2540">
        <v>1</v>
      </c>
      <c r="U2540">
        <v>142668</v>
      </c>
      <c r="V2540">
        <v>142668</v>
      </c>
    </row>
    <row r="2541" spans="1:22">
      <c r="A2541" t="s">
        <v>196</v>
      </c>
      <c r="B2541">
        <v>57</v>
      </c>
      <c r="C2541" t="s">
        <v>31</v>
      </c>
      <c r="D2541">
        <v>100</v>
      </c>
      <c r="E2541" t="s">
        <v>197</v>
      </c>
      <c r="F2541">
        <v>1005</v>
      </c>
      <c r="G2541" t="s">
        <v>31</v>
      </c>
      <c r="H2541">
        <v>2016</v>
      </c>
      <c r="I2541" t="s">
        <v>11</v>
      </c>
      <c r="J2541">
        <v>3287</v>
      </c>
      <c r="K2541" t="s">
        <v>1362</v>
      </c>
      <c r="L2541">
        <v>4277</v>
      </c>
      <c r="M2541" t="s">
        <v>1362</v>
      </c>
      <c r="N2541" t="s">
        <v>1309</v>
      </c>
      <c r="O2541">
        <v>91</v>
      </c>
      <c r="P2541">
        <v>9161</v>
      </c>
      <c r="Q2541" t="s">
        <v>1310</v>
      </c>
      <c r="R2541" t="s">
        <v>201</v>
      </c>
      <c r="S2541">
        <v>1</v>
      </c>
      <c r="T2541">
        <v>1</v>
      </c>
      <c r="U2541">
        <v>115158</v>
      </c>
      <c r="V2541">
        <v>115158</v>
      </c>
    </row>
    <row r="2542" spans="1:22">
      <c r="A2542" t="s">
        <v>196</v>
      </c>
      <c r="B2542">
        <v>57</v>
      </c>
      <c r="C2542" t="s">
        <v>31</v>
      </c>
      <c r="D2542">
        <v>100</v>
      </c>
      <c r="E2542" t="s">
        <v>197</v>
      </c>
      <c r="F2542">
        <v>1005</v>
      </c>
      <c r="G2542" t="s">
        <v>31</v>
      </c>
      <c r="H2542">
        <v>2016</v>
      </c>
      <c r="I2542" t="s">
        <v>11</v>
      </c>
      <c r="J2542">
        <v>3287</v>
      </c>
      <c r="K2542" t="s">
        <v>1362</v>
      </c>
      <c r="L2542">
        <v>4277</v>
      </c>
      <c r="M2542" t="s">
        <v>1362</v>
      </c>
      <c r="N2542" t="s">
        <v>1309</v>
      </c>
      <c r="O2542">
        <v>91</v>
      </c>
      <c r="P2542">
        <v>9161</v>
      </c>
      <c r="Q2542" t="s">
        <v>1310</v>
      </c>
      <c r="R2542" t="s">
        <v>201</v>
      </c>
      <c r="S2542">
        <v>2</v>
      </c>
      <c r="T2542">
        <v>1</v>
      </c>
      <c r="U2542">
        <v>111252</v>
      </c>
      <c r="V2542">
        <v>222504</v>
      </c>
    </row>
    <row r="2543" spans="1:22">
      <c r="A2543" t="s">
        <v>196</v>
      </c>
      <c r="B2543">
        <v>57</v>
      </c>
      <c r="C2543" t="s">
        <v>31</v>
      </c>
      <c r="D2543">
        <v>100</v>
      </c>
      <c r="E2543" t="s">
        <v>197</v>
      </c>
      <c r="F2543">
        <v>1005</v>
      </c>
      <c r="G2543" t="s">
        <v>31</v>
      </c>
      <c r="H2543">
        <v>2016</v>
      </c>
      <c r="I2543" t="s">
        <v>11</v>
      </c>
      <c r="J2543">
        <v>3287</v>
      </c>
      <c r="K2543" t="s">
        <v>1362</v>
      </c>
      <c r="L2543">
        <v>4277</v>
      </c>
      <c r="M2543" t="s">
        <v>1362</v>
      </c>
      <c r="N2543" t="s">
        <v>1309</v>
      </c>
      <c r="O2543">
        <v>91</v>
      </c>
      <c r="P2543">
        <v>9161</v>
      </c>
      <c r="Q2543" t="s">
        <v>1310</v>
      </c>
      <c r="R2543" t="s">
        <v>201</v>
      </c>
      <c r="S2543">
        <v>1</v>
      </c>
      <c r="T2543">
        <v>1</v>
      </c>
      <c r="U2543">
        <v>63636</v>
      </c>
      <c r="V2543">
        <v>63636</v>
      </c>
    </row>
    <row r="2544" spans="1:22">
      <c r="A2544" t="s">
        <v>196</v>
      </c>
      <c r="B2544">
        <v>57</v>
      </c>
      <c r="C2544" t="s">
        <v>31</v>
      </c>
      <c r="D2544">
        <v>100</v>
      </c>
      <c r="E2544" t="s">
        <v>197</v>
      </c>
      <c r="F2544">
        <v>1005</v>
      </c>
      <c r="G2544" t="s">
        <v>31</v>
      </c>
      <c r="H2544">
        <v>2016</v>
      </c>
      <c r="I2544" t="s">
        <v>11</v>
      </c>
      <c r="J2544">
        <v>3287</v>
      </c>
      <c r="K2544" t="s">
        <v>1362</v>
      </c>
      <c r="L2544">
        <v>4277</v>
      </c>
      <c r="M2544" t="s">
        <v>1362</v>
      </c>
      <c r="N2544" t="s">
        <v>199</v>
      </c>
      <c r="O2544">
        <v>0</v>
      </c>
      <c r="P2544">
        <v>15</v>
      </c>
      <c r="Q2544" t="s">
        <v>264</v>
      </c>
      <c r="R2544" t="s">
        <v>201</v>
      </c>
      <c r="S2544">
        <v>0</v>
      </c>
      <c r="T2544">
        <v>0</v>
      </c>
      <c r="U2544">
        <v>2968</v>
      </c>
      <c r="V2544">
        <v>2968</v>
      </c>
    </row>
    <row r="2545" spans="1:22">
      <c r="A2545" t="s">
        <v>196</v>
      </c>
      <c r="B2545">
        <v>57</v>
      </c>
      <c r="C2545" t="s">
        <v>31</v>
      </c>
      <c r="D2545">
        <v>100</v>
      </c>
      <c r="E2545" t="s">
        <v>197</v>
      </c>
      <c r="F2545">
        <v>1005</v>
      </c>
      <c r="G2545" t="s">
        <v>31</v>
      </c>
      <c r="H2545">
        <v>2016</v>
      </c>
      <c r="I2545" t="s">
        <v>11</v>
      </c>
      <c r="J2545">
        <v>3287</v>
      </c>
      <c r="K2545" t="s">
        <v>1362</v>
      </c>
      <c r="L2545">
        <v>4278</v>
      </c>
      <c r="M2545" t="s">
        <v>1363</v>
      </c>
      <c r="N2545" t="s">
        <v>1302</v>
      </c>
      <c r="O2545">
        <v>71</v>
      </c>
      <c r="P2545">
        <v>9171</v>
      </c>
      <c r="Q2545" t="s">
        <v>1303</v>
      </c>
      <c r="R2545" t="s">
        <v>201</v>
      </c>
      <c r="S2545">
        <v>2</v>
      </c>
      <c r="T2545">
        <v>1</v>
      </c>
      <c r="U2545">
        <v>152010</v>
      </c>
      <c r="V2545">
        <v>304020</v>
      </c>
    </row>
    <row r="2546" spans="1:22">
      <c r="A2546" t="s">
        <v>196</v>
      </c>
      <c r="B2546">
        <v>57</v>
      </c>
      <c r="C2546" t="s">
        <v>31</v>
      </c>
      <c r="D2546">
        <v>100</v>
      </c>
      <c r="E2546" t="s">
        <v>197</v>
      </c>
      <c r="F2546">
        <v>1005</v>
      </c>
      <c r="G2546" t="s">
        <v>31</v>
      </c>
      <c r="H2546">
        <v>2016</v>
      </c>
      <c r="I2546" t="s">
        <v>11</v>
      </c>
      <c r="J2546">
        <v>3287</v>
      </c>
      <c r="K2546" t="s">
        <v>1362</v>
      </c>
      <c r="L2546">
        <v>4278</v>
      </c>
      <c r="M2546" t="s">
        <v>1363</v>
      </c>
      <c r="N2546" t="s">
        <v>1302</v>
      </c>
      <c r="O2546">
        <v>71</v>
      </c>
      <c r="P2546">
        <v>9171</v>
      </c>
      <c r="Q2546" t="s">
        <v>1303</v>
      </c>
      <c r="R2546" t="s">
        <v>201</v>
      </c>
      <c r="S2546">
        <v>3</v>
      </c>
      <c r="T2546">
        <v>1</v>
      </c>
      <c r="U2546">
        <v>138318</v>
      </c>
      <c r="V2546">
        <v>414954</v>
      </c>
    </row>
    <row r="2547" spans="1:22">
      <c r="A2547" t="s">
        <v>196</v>
      </c>
      <c r="B2547">
        <v>57</v>
      </c>
      <c r="C2547" t="s">
        <v>31</v>
      </c>
      <c r="D2547">
        <v>100</v>
      </c>
      <c r="E2547" t="s">
        <v>197</v>
      </c>
      <c r="F2547">
        <v>1005</v>
      </c>
      <c r="G2547" t="s">
        <v>31</v>
      </c>
      <c r="H2547">
        <v>2016</v>
      </c>
      <c r="I2547" t="s">
        <v>11</v>
      </c>
      <c r="J2547">
        <v>3287</v>
      </c>
      <c r="K2547" t="s">
        <v>1362</v>
      </c>
      <c r="L2547">
        <v>4278</v>
      </c>
      <c r="M2547" t="s">
        <v>1363</v>
      </c>
      <c r="N2547" t="s">
        <v>1324</v>
      </c>
      <c r="O2547">
        <v>91</v>
      </c>
      <c r="P2547">
        <v>9165</v>
      </c>
      <c r="Q2547" t="s">
        <v>1325</v>
      </c>
      <c r="R2547" t="s">
        <v>201</v>
      </c>
      <c r="S2547">
        <v>5</v>
      </c>
      <c r="T2547">
        <v>1</v>
      </c>
      <c r="U2547">
        <v>144792</v>
      </c>
      <c r="V2547">
        <v>723960</v>
      </c>
    </row>
    <row r="2548" spans="1:22">
      <c r="A2548" t="s">
        <v>196</v>
      </c>
      <c r="B2548">
        <v>57</v>
      </c>
      <c r="C2548" t="s">
        <v>31</v>
      </c>
      <c r="D2548">
        <v>100</v>
      </c>
      <c r="E2548" t="s">
        <v>197</v>
      </c>
      <c r="F2548">
        <v>1005</v>
      </c>
      <c r="G2548" t="s">
        <v>31</v>
      </c>
      <c r="H2548">
        <v>2016</v>
      </c>
      <c r="I2548" t="s">
        <v>11</v>
      </c>
      <c r="J2548">
        <v>3287</v>
      </c>
      <c r="K2548" t="s">
        <v>1362</v>
      </c>
      <c r="L2548">
        <v>4278</v>
      </c>
      <c r="M2548" t="s">
        <v>1363</v>
      </c>
      <c r="N2548" t="s">
        <v>1324</v>
      </c>
      <c r="O2548">
        <v>91</v>
      </c>
      <c r="P2548">
        <v>9165</v>
      </c>
      <c r="Q2548" t="s">
        <v>1325</v>
      </c>
      <c r="R2548" t="s">
        <v>201</v>
      </c>
      <c r="S2548">
        <v>4</v>
      </c>
      <c r="T2548">
        <v>1</v>
      </c>
      <c r="U2548">
        <v>140454</v>
      </c>
      <c r="V2548">
        <v>561816</v>
      </c>
    </row>
    <row r="2549" spans="1:22">
      <c r="A2549" t="s">
        <v>196</v>
      </c>
      <c r="B2549">
        <v>57</v>
      </c>
      <c r="C2549" t="s">
        <v>31</v>
      </c>
      <c r="D2549">
        <v>100</v>
      </c>
      <c r="E2549" t="s">
        <v>197</v>
      </c>
      <c r="F2549">
        <v>1005</v>
      </c>
      <c r="G2549" t="s">
        <v>31</v>
      </c>
      <c r="H2549">
        <v>2016</v>
      </c>
      <c r="I2549" t="s">
        <v>11</v>
      </c>
      <c r="J2549">
        <v>3287</v>
      </c>
      <c r="K2549" t="s">
        <v>1362</v>
      </c>
      <c r="L2549">
        <v>4278</v>
      </c>
      <c r="M2549" t="s">
        <v>1363</v>
      </c>
      <c r="N2549" t="s">
        <v>1324</v>
      </c>
      <c r="O2549">
        <v>91</v>
      </c>
      <c r="P2549">
        <v>9165</v>
      </c>
      <c r="Q2549" t="s">
        <v>1325</v>
      </c>
      <c r="R2549" t="s">
        <v>201</v>
      </c>
      <c r="S2549">
        <v>2</v>
      </c>
      <c r="T2549">
        <v>1</v>
      </c>
      <c r="U2549">
        <v>135816</v>
      </c>
      <c r="V2549">
        <v>271632</v>
      </c>
    </row>
    <row r="2550" spans="1:22">
      <c r="A2550" t="s">
        <v>196</v>
      </c>
      <c r="B2550">
        <v>57</v>
      </c>
      <c r="C2550" t="s">
        <v>31</v>
      </c>
      <c r="D2550">
        <v>100</v>
      </c>
      <c r="E2550" t="s">
        <v>197</v>
      </c>
      <c r="F2550">
        <v>1005</v>
      </c>
      <c r="G2550" t="s">
        <v>31</v>
      </c>
      <c r="H2550">
        <v>2016</v>
      </c>
      <c r="I2550" t="s">
        <v>11</v>
      </c>
      <c r="J2550">
        <v>3287</v>
      </c>
      <c r="K2550" t="s">
        <v>1362</v>
      </c>
      <c r="L2550">
        <v>4278</v>
      </c>
      <c r="M2550" t="s">
        <v>1363</v>
      </c>
      <c r="N2550" t="s">
        <v>1324</v>
      </c>
      <c r="O2550">
        <v>91</v>
      </c>
      <c r="P2550">
        <v>9165</v>
      </c>
      <c r="Q2550" t="s">
        <v>1325</v>
      </c>
      <c r="R2550" t="s">
        <v>201</v>
      </c>
      <c r="S2550">
        <v>7</v>
      </c>
      <c r="T2550">
        <v>1</v>
      </c>
      <c r="U2550">
        <v>131448</v>
      </c>
      <c r="V2550">
        <v>920136</v>
      </c>
    </row>
    <row r="2551" spans="1:22">
      <c r="A2551" t="s">
        <v>196</v>
      </c>
      <c r="B2551">
        <v>57</v>
      </c>
      <c r="C2551" t="s">
        <v>31</v>
      </c>
      <c r="D2551">
        <v>100</v>
      </c>
      <c r="E2551" t="s">
        <v>197</v>
      </c>
      <c r="F2551">
        <v>1005</v>
      </c>
      <c r="G2551" t="s">
        <v>31</v>
      </c>
      <c r="H2551">
        <v>2016</v>
      </c>
      <c r="I2551" t="s">
        <v>11</v>
      </c>
      <c r="J2551">
        <v>3287</v>
      </c>
      <c r="K2551" t="s">
        <v>1362</v>
      </c>
      <c r="L2551">
        <v>4278</v>
      </c>
      <c r="M2551" t="s">
        <v>1363</v>
      </c>
      <c r="N2551" t="s">
        <v>1324</v>
      </c>
      <c r="O2551">
        <v>91</v>
      </c>
      <c r="P2551">
        <v>9165</v>
      </c>
      <c r="Q2551" t="s">
        <v>1325</v>
      </c>
      <c r="R2551" t="s">
        <v>201</v>
      </c>
      <c r="S2551">
        <v>2</v>
      </c>
      <c r="T2551">
        <v>1</v>
      </c>
      <c r="U2551">
        <v>99426</v>
      </c>
      <c r="V2551">
        <v>198852</v>
      </c>
    </row>
    <row r="2552" spans="1:22">
      <c r="A2552" t="s">
        <v>196</v>
      </c>
      <c r="B2552">
        <v>57</v>
      </c>
      <c r="C2552" t="s">
        <v>31</v>
      </c>
      <c r="D2552">
        <v>100</v>
      </c>
      <c r="E2552" t="s">
        <v>197</v>
      </c>
      <c r="F2552">
        <v>1005</v>
      </c>
      <c r="G2552" t="s">
        <v>31</v>
      </c>
      <c r="H2552">
        <v>2016</v>
      </c>
      <c r="I2552" t="s">
        <v>11</v>
      </c>
      <c r="J2552">
        <v>3287</v>
      </c>
      <c r="K2552" t="s">
        <v>1362</v>
      </c>
      <c r="L2552">
        <v>4278</v>
      </c>
      <c r="M2552" t="s">
        <v>1363</v>
      </c>
      <c r="N2552" t="s">
        <v>199</v>
      </c>
      <c r="O2552">
        <v>0</v>
      </c>
      <c r="P2552">
        <v>15</v>
      </c>
      <c r="Q2552" t="s">
        <v>264</v>
      </c>
      <c r="R2552" t="s">
        <v>201</v>
      </c>
      <c r="S2552">
        <v>0</v>
      </c>
      <c r="T2552">
        <v>0</v>
      </c>
      <c r="U2552">
        <v>3176</v>
      </c>
      <c r="V2552">
        <v>3176</v>
      </c>
    </row>
    <row r="2553" spans="1:22">
      <c r="A2553" t="s">
        <v>196</v>
      </c>
      <c r="B2553">
        <v>57</v>
      </c>
      <c r="C2553" t="s">
        <v>31</v>
      </c>
      <c r="D2553">
        <v>100</v>
      </c>
      <c r="E2553" t="s">
        <v>197</v>
      </c>
      <c r="F2553">
        <v>1005</v>
      </c>
      <c r="G2553" t="s">
        <v>31</v>
      </c>
      <c r="H2553">
        <v>2016</v>
      </c>
      <c r="I2553" t="s">
        <v>11</v>
      </c>
      <c r="J2553">
        <v>3287</v>
      </c>
      <c r="K2553" t="s">
        <v>1362</v>
      </c>
      <c r="L2553">
        <v>4279</v>
      </c>
      <c r="M2553" t="s">
        <v>1364</v>
      </c>
      <c r="N2553" t="s">
        <v>1304</v>
      </c>
      <c r="O2553">
        <v>73</v>
      </c>
      <c r="P2553">
        <v>9173</v>
      </c>
      <c r="Q2553" t="s">
        <v>1323</v>
      </c>
      <c r="R2553" t="s">
        <v>201</v>
      </c>
      <c r="S2553">
        <v>1</v>
      </c>
      <c r="T2553">
        <v>1</v>
      </c>
      <c r="U2553">
        <v>155934</v>
      </c>
      <c r="V2553">
        <v>155934</v>
      </c>
    </row>
    <row r="2554" spans="1:22">
      <c r="A2554" t="s">
        <v>196</v>
      </c>
      <c r="B2554">
        <v>57</v>
      </c>
      <c r="C2554" t="s">
        <v>31</v>
      </c>
      <c r="D2554">
        <v>100</v>
      </c>
      <c r="E2554" t="s">
        <v>197</v>
      </c>
      <c r="F2554">
        <v>1005</v>
      </c>
      <c r="G2554" t="s">
        <v>31</v>
      </c>
      <c r="H2554">
        <v>2016</v>
      </c>
      <c r="I2554" t="s">
        <v>11</v>
      </c>
      <c r="J2554">
        <v>3287</v>
      </c>
      <c r="K2554" t="s">
        <v>1362</v>
      </c>
      <c r="L2554">
        <v>4279</v>
      </c>
      <c r="M2554" t="s">
        <v>1364</v>
      </c>
      <c r="N2554" t="s">
        <v>1302</v>
      </c>
      <c r="O2554">
        <v>71</v>
      </c>
      <c r="P2554">
        <v>9171</v>
      </c>
      <c r="Q2554" t="s">
        <v>1303</v>
      </c>
      <c r="R2554" t="s">
        <v>201</v>
      </c>
      <c r="S2554">
        <v>2</v>
      </c>
      <c r="T2554">
        <v>1</v>
      </c>
      <c r="U2554">
        <v>152010</v>
      </c>
      <c r="V2554">
        <v>304020</v>
      </c>
    </row>
    <row r="2555" spans="1:22">
      <c r="A2555" t="s">
        <v>196</v>
      </c>
      <c r="B2555">
        <v>57</v>
      </c>
      <c r="C2555" t="s">
        <v>31</v>
      </c>
      <c r="D2555">
        <v>100</v>
      </c>
      <c r="E2555" t="s">
        <v>197</v>
      </c>
      <c r="F2555">
        <v>1005</v>
      </c>
      <c r="G2555" t="s">
        <v>31</v>
      </c>
      <c r="H2555">
        <v>2016</v>
      </c>
      <c r="I2555" t="s">
        <v>11</v>
      </c>
      <c r="J2555">
        <v>3287</v>
      </c>
      <c r="K2555" t="s">
        <v>1362</v>
      </c>
      <c r="L2555">
        <v>4279</v>
      </c>
      <c r="M2555" t="s">
        <v>1364</v>
      </c>
      <c r="N2555" t="s">
        <v>1302</v>
      </c>
      <c r="O2555">
        <v>71</v>
      </c>
      <c r="P2555">
        <v>9171</v>
      </c>
      <c r="Q2555" t="s">
        <v>1303</v>
      </c>
      <c r="R2555" t="s">
        <v>201</v>
      </c>
      <c r="S2555">
        <v>1</v>
      </c>
      <c r="T2555">
        <v>1</v>
      </c>
      <c r="U2555">
        <v>147252</v>
      </c>
      <c r="V2555">
        <v>147252</v>
      </c>
    </row>
    <row r="2556" spans="1:22">
      <c r="A2556" t="s">
        <v>196</v>
      </c>
      <c r="B2556">
        <v>57</v>
      </c>
      <c r="C2556" t="s">
        <v>31</v>
      </c>
      <c r="D2556">
        <v>100</v>
      </c>
      <c r="E2556" t="s">
        <v>197</v>
      </c>
      <c r="F2556">
        <v>1005</v>
      </c>
      <c r="G2556" t="s">
        <v>31</v>
      </c>
      <c r="H2556">
        <v>2016</v>
      </c>
      <c r="I2556" t="s">
        <v>11</v>
      </c>
      <c r="J2556">
        <v>3287</v>
      </c>
      <c r="K2556" t="s">
        <v>1362</v>
      </c>
      <c r="L2556">
        <v>4279</v>
      </c>
      <c r="M2556" t="s">
        <v>1364</v>
      </c>
      <c r="N2556" t="s">
        <v>1302</v>
      </c>
      <c r="O2556">
        <v>71</v>
      </c>
      <c r="P2556">
        <v>9171</v>
      </c>
      <c r="Q2556" t="s">
        <v>1303</v>
      </c>
      <c r="R2556" t="s">
        <v>201</v>
      </c>
      <c r="S2556">
        <v>1</v>
      </c>
      <c r="T2556">
        <v>1</v>
      </c>
      <c r="U2556">
        <v>142668</v>
      </c>
      <c r="V2556">
        <v>142668</v>
      </c>
    </row>
    <row r="2557" spans="1:22">
      <c r="A2557" t="s">
        <v>196</v>
      </c>
      <c r="B2557">
        <v>57</v>
      </c>
      <c r="C2557" t="s">
        <v>31</v>
      </c>
      <c r="D2557">
        <v>100</v>
      </c>
      <c r="E2557" t="s">
        <v>197</v>
      </c>
      <c r="F2557">
        <v>1005</v>
      </c>
      <c r="G2557" t="s">
        <v>31</v>
      </c>
      <c r="H2557">
        <v>2016</v>
      </c>
      <c r="I2557" t="s">
        <v>11</v>
      </c>
      <c r="J2557">
        <v>3287</v>
      </c>
      <c r="K2557" t="s">
        <v>1362</v>
      </c>
      <c r="L2557">
        <v>4279</v>
      </c>
      <c r="M2557" t="s">
        <v>1364</v>
      </c>
      <c r="N2557" t="s">
        <v>1302</v>
      </c>
      <c r="O2557">
        <v>71</v>
      </c>
      <c r="P2557">
        <v>9171</v>
      </c>
      <c r="Q2557" t="s">
        <v>1303</v>
      </c>
      <c r="R2557" t="s">
        <v>201</v>
      </c>
      <c r="S2557">
        <v>2</v>
      </c>
      <c r="T2557">
        <v>1</v>
      </c>
      <c r="U2557">
        <v>138318</v>
      </c>
      <c r="V2557">
        <v>276636</v>
      </c>
    </row>
    <row r="2558" spans="1:22">
      <c r="A2558" t="s">
        <v>196</v>
      </c>
      <c r="B2558">
        <v>57</v>
      </c>
      <c r="C2558" t="s">
        <v>31</v>
      </c>
      <c r="D2558">
        <v>100</v>
      </c>
      <c r="E2558" t="s">
        <v>197</v>
      </c>
      <c r="F2558">
        <v>1005</v>
      </c>
      <c r="G2558" t="s">
        <v>31</v>
      </c>
      <c r="H2558">
        <v>2016</v>
      </c>
      <c r="I2558" t="s">
        <v>11</v>
      </c>
      <c r="J2558">
        <v>3287</v>
      </c>
      <c r="K2558" t="s">
        <v>1362</v>
      </c>
      <c r="L2558">
        <v>4279</v>
      </c>
      <c r="M2558" t="s">
        <v>1364</v>
      </c>
      <c r="N2558" t="s">
        <v>1309</v>
      </c>
      <c r="O2558">
        <v>91</v>
      </c>
      <c r="P2558">
        <v>9161</v>
      </c>
      <c r="Q2558" t="s">
        <v>1310</v>
      </c>
      <c r="R2558" t="s">
        <v>201</v>
      </c>
      <c r="S2558">
        <v>2</v>
      </c>
      <c r="T2558">
        <v>1</v>
      </c>
      <c r="U2558">
        <v>115158</v>
      </c>
      <c r="V2558">
        <v>230316</v>
      </c>
    </row>
    <row r="2559" spans="1:22">
      <c r="A2559" t="s">
        <v>196</v>
      </c>
      <c r="B2559">
        <v>57</v>
      </c>
      <c r="C2559" t="s">
        <v>31</v>
      </c>
      <c r="D2559">
        <v>100</v>
      </c>
      <c r="E2559" t="s">
        <v>197</v>
      </c>
      <c r="F2559">
        <v>1005</v>
      </c>
      <c r="G2559" t="s">
        <v>31</v>
      </c>
      <c r="H2559">
        <v>2016</v>
      </c>
      <c r="I2559" t="s">
        <v>11</v>
      </c>
      <c r="J2559">
        <v>3287</v>
      </c>
      <c r="K2559" t="s">
        <v>1362</v>
      </c>
      <c r="L2559">
        <v>4279</v>
      </c>
      <c r="M2559" t="s">
        <v>1364</v>
      </c>
      <c r="N2559" t="s">
        <v>1309</v>
      </c>
      <c r="O2559">
        <v>91</v>
      </c>
      <c r="P2559">
        <v>9161</v>
      </c>
      <c r="Q2559" t="s">
        <v>1310</v>
      </c>
      <c r="R2559" t="s">
        <v>201</v>
      </c>
      <c r="S2559">
        <v>3</v>
      </c>
      <c r="T2559">
        <v>1</v>
      </c>
      <c r="U2559">
        <v>111252</v>
      </c>
      <c r="V2559">
        <v>333756</v>
      </c>
    </row>
    <row r="2560" spans="1:22">
      <c r="A2560" t="s">
        <v>196</v>
      </c>
      <c r="B2560">
        <v>57</v>
      </c>
      <c r="C2560" t="s">
        <v>31</v>
      </c>
      <c r="D2560">
        <v>100</v>
      </c>
      <c r="E2560" t="s">
        <v>197</v>
      </c>
      <c r="F2560">
        <v>1005</v>
      </c>
      <c r="G2560" t="s">
        <v>31</v>
      </c>
      <c r="H2560">
        <v>2016</v>
      </c>
      <c r="I2560" t="s">
        <v>11</v>
      </c>
      <c r="J2560">
        <v>3287</v>
      </c>
      <c r="K2560" t="s">
        <v>1362</v>
      </c>
      <c r="L2560">
        <v>4279</v>
      </c>
      <c r="M2560" t="s">
        <v>1364</v>
      </c>
      <c r="N2560" t="s">
        <v>1349</v>
      </c>
      <c r="O2560">
        <v>91</v>
      </c>
      <c r="P2560">
        <v>9151</v>
      </c>
      <c r="Q2560" t="s">
        <v>1365</v>
      </c>
      <c r="R2560" t="s">
        <v>201</v>
      </c>
      <c r="S2560">
        <v>4</v>
      </c>
      <c r="T2560">
        <v>1</v>
      </c>
      <c r="U2560">
        <v>137568</v>
      </c>
      <c r="V2560">
        <v>550272</v>
      </c>
    </row>
    <row r="2561" spans="1:22">
      <c r="A2561" t="s">
        <v>196</v>
      </c>
      <c r="B2561">
        <v>57</v>
      </c>
      <c r="C2561" t="s">
        <v>31</v>
      </c>
      <c r="D2561">
        <v>100</v>
      </c>
      <c r="E2561" t="s">
        <v>197</v>
      </c>
      <c r="F2561">
        <v>1005</v>
      </c>
      <c r="G2561" t="s">
        <v>31</v>
      </c>
      <c r="H2561">
        <v>2016</v>
      </c>
      <c r="I2561" t="s">
        <v>11</v>
      </c>
      <c r="J2561">
        <v>3287</v>
      </c>
      <c r="K2561" t="s">
        <v>1362</v>
      </c>
      <c r="L2561">
        <v>4279</v>
      </c>
      <c r="M2561" t="s">
        <v>1364</v>
      </c>
      <c r="N2561" t="s">
        <v>1349</v>
      </c>
      <c r="O2561">
        <v>91</v>
      </c>
      <c r="P2561">
        <v>9151</v>
      </c>
      <c r="Q2561" t="s">
        <v>1365</v>
      </c>
      <c r="R2561" t="s">
        <v>201</v>
      </c>
      <c r="S2561">
        <v>4</v>
      </c>
      <c r="T2561">
        <v>1</v>
      </c>
      <c r="U2561">
        <v>133650</v>
      </c>
      <c r="V2561">
        <v>534600</v>
      </c>
    </row>
    <row r="2562" spans="1:22">
      <c r="A2562" t="s">
        <v>196</v>
      </c>
      <c r="B2562">
        <v>57</v>
      </c>
      <c r="C2562" t="s">
        <v>31</v>
      </c>
      <c r="D2562">
        <v>100</v>
      </c>
      <c r="E2562" t="s">
        <v>197</v>
      </c>
      <c r="F2562">
        <v>1005</v>
      </c>
      <c r="G2562" t="s">
        <v>31</v>
      </c>
      <c r="H2562">
        <v>2016</v>
      </c>
      <c r="I2562" t="s">
        <v>11</v>
      </c>
      <c r="J2562">
        <v>3287</v>
      </c>
      <c r="K2562" t="s">
        <v>1362</v>
      </c>
      <c r="L2562">
        <v>4279</v>
      </c>
      <c r="M2562" t="s">
        <v>1364</v>
      </c>
      <c r="N2562" t="s">
        <v>1349</v>
      </c>
      <c r="O2562">
        <v>91</v>
      </c>
      <c r="P2562">
        <v>9151</v>
      </c>
      <c r="Q2562" t="s">
        <v>1365</v>
      </c>
      <c r="R2562" t="s">
        <v>201</v>
      </c>
      <c r="S2562">
        <v>3</v>
      </c>
      <c r="T2562">
        <v>1</v>
      </c>
      <c r="U2562">
        <v>128964</v>
      </c>
      <c r="V2562">
        <v>386892</v>
      </c>
    </row>
    <row r="2563" spans="1:22">
      <c r="A2563" t="s">
        <v>196</v>
      </c>
      <c r="B2563">
        <v>57</v>
      </c>
      <c r="C2563" t="s">
        <v>31</v>
      </c>
      <c r="D2563">
        <v>100</v>
      </c>
      <c r="E2563" t="s">
        <v>197</v>
      </c>
      <c r="F2563">
        <v>1005</v>
      </c>
      <c r="G2563" t="s">
        <v>31</v>
      </c>
      <c r="H2563">
        <v>2016</v>
      </c>
      <c r="I2563" t="s">
        <v>11</v>
      </c>
      <c r="J2563">
        <v>3287</v>
      </c>
      <c r="K2563" t="s">
        <v>1362</v>
      </c>
      <c r="L2563">
        <v>4279</v>
      </c>
      <c r="M2563" t="s">
        <v>1364</v>
      </c>
      <c r="N2563" t="s">
        <v>1349</v>
      </c>
      <c r="O2563">
        <v>91</v>
      </c>
      <c r="P2563">
        <v>9151</v>
      </c>
      <c r="Q2563" t="s">
        <v>1365</v>
      </c>
      <c r="R2563" t="s">
        <v>201</v>
      </c>
      <c r="S2563">
        <v>3</v>
      </c>
      <c r="T2563">
        <v>1</v>
      </c>
      <c r="U2563">
        <v>124578</v>
      </c>
      <c r="V2563">
        <v>373734</v>
      </c>
    </row>
    <row r="2564" spans="1:22">
      <c r="A2564" t="s">
        <v>196</v>
      </c>
      <c r="B2564">
        <v>57</v>
      </c>
      <c r="C2564" t="s">
        <v>31</v>
      </c>
      <c r="D2564">
        <v>100</v>
      </c>
      <c r="E2564" t="s">
        <v>197</v>
      </c>
      <c r="F2564">
        <v>1005</v>
      </c>
      <c r="G2564" t="s">
        <v>31</v>
      </c>
      <c r="H2564">
        <v>2016</v>
      </c>
      <c r="I2564" t="s">
        <v>11</v>
      </c>
      <c r="J2564">
        <v>3287</v>
      </c>
      <c r="K2564" t="s">
        <v>1362</v>
      </c>
      <c r="L2564">
        <v>4279</v>
      </c>
      <c r="M2564" t="s">
        <v>1364</v>
      </c>
      <c r="N2564" t="s">
        <v>1349</v>
      </c>
      <c r="O2564">
        <v>91</v>
      </c>
      <c r="P2564">
        <v>9151</v>
      </c>
      <c r="Q2564" t="s">
        <v>1365</v>
      </c>
      <c r="R2564" t="s">
        <v>201</v>
      </c>
      <c r="S2564">
        <v>8</v>
      </c>
      <c r="T2564">
        <v>1</v>
      </c>
      <c r="U2564">
        <v>120564</v>
      </c>
      <c r="V2564">
        <v>964512</v>
      </c>
    </row>
    <row r="2565" spans="1:22">
      <c r="A2565" t="s">
        <v>196</v>
      </c>
      <c r="B2565">
        <v>57</v>
      </c>
      <c r="C2565" t="s">
        <v>31</v>
      </c>
      <c r="D2565">
        <v>100</v>
      </c>
      <c r="E2565" t="s">
        <v>197</v>
      </c>
      <c r="F2565">
        <v>1005</v>
      </c>
      <c r="G2565" t="s">
        <v>31</v>
      </c>
      <c r="H2565">
        <v>2016</v>
      </c>
      <c r="I2565" t="s">
        <v>11</v>
      </c>
      <c r="J2565">
        <v>3287</v>
      </c>
      <c r="K2565" t="s">
        <v>1362</v>
      </c>
      <c r="L2565">
        <v>4279</v>
      </c>
      <c r="M2565" t="s">
        <v>1364</v>
      </c>
      <c r="N2565" t="s">
        <v>1349</v>
      </c>
      <c r="O2565">
        <v>91</v>
      </c>
      <c r="P2565">
        <v>9151</v>
      </c>
      <c r="Q2565" t="s">
        <v>1365</v>
      </c>
      <c r="R2565" t="s">
        <v>201</v>
      </c>
      <c r="S2565">
        <v>2</v>
      </c>
      <c r="T2565">
        <v>1</v>
      </c>
      <c r="U2565">
        <v>93942</v>
      </c>
      <c r="V2565">
        <v>187884</v>
      </c>
    </row>
    <row r="2566" spans="1:22">
      <c r="A2566" t="s">
        <v>196</v>
      </c>
      <c r="B2566">
        <v>57</v>
      </c>
      <c r="C2566" t="s">
        <v>31</v>
      </c>
      <c r="D2566">
        <v>100</v>
      </c>
      <c r="E2566" t="s">
        <v>197</v>
      </c>
      <c r="F2566">
        <v>1005</v>
      </c>
      <c r="G2566" t="s">
        <v>31</v>
      </c>
      <c r="H2566">
        <v>2016</v>
      </c>
      <c r="I2566" t="s">
        <v>11</v>
      </c>
      <c r="J2566">
        <v>3287</v>
      </c>
      <c r="K2566" t="s">
        <v>1362</v>
      </c>
      <c r="L2566">
        <v>4279</v>
      </c>
      <c r="M2566" t="s">
        <v>1364</v>
      </c>
      <c r="N2566" t="s">
        <v>392</v>
      </c>
      <c r="O2566">
        <v>3</v>
      </c>
      <c r="P2566">
        <v>9117</v>
      </c>
      <c r="Q2566" t="s">
        <v>1347</v>
      </c>
      <c r="R2566" t="s">
        <v>201</v>
      </c>
      <c r="S2566">
        <v>2</v>
      </c>
      <c r="T2566">
        <v>1</v>
      </c>
      <c r="U2566">
        <v>90732</v>
      </c>
      <c r="V2566">
        <v>181464</v>
      </c>
    </row>
    <row r="2567" spans="1:22">
      <c r="A2567" t="s">
        <v>196</v>
      </c>
      <c r="B2567">
        <v>57</v>
      </c>
      <c r="C2567" t="s">
        <v>31</v>
      </c>
      <c r="D2567">
        <v>100</v>
      </c>
      <c r="E2567" t="s">
        <v>197</v>
      </c>
      <c r="F2567">
        <v>1005</v>
      </c>
      <c r="G2567" t="s">
        <v>31</v>
      </c>
      <c r="H2567">
        <v>2016</v>
      </c>
      <c r="I2567" t="s">
        <v>11</v>
      </c>
      <c r="J2567">
        <v>3287</v>
      </c>
      <c r="K2567" t="s">
        <v>1362</v>
      </c>
      <c r="L2567">
        <v>4279</v>
      </c>
      <c r="M2567" t="s">
        <v>1364</v>
      </c>
      <c r="N2567" t="s">
        <v>809</v>
      </c>
      <c r="O2567">
        <v>1</v>
      </c>
      <c r="P2567">
        <v>460</v>
      </c>
      <c r="Q2567" t="s">
        <v>810</v>
      </c>
      <c r="R2567" t="s">
        <v>201</v>
      </c>
      <c r="S2567">
        <v>1</v>
      </c>
      <c r="T2567">
        <v>1</v>
      </c>
      <c r="U2567">
        <v>82140</v>
      </c>
      <c r="V2567">
        <v>82140</v>
      </c>
    </row>
    <row r="2568" spans="1:22">
      <c r="A2568" t="s">
        <v>196</v>
      </c>
      <c r="B2568">
        <v>57</v>
      </c>
      <c r="C2568" t="s">
        <v>31</v>
      </c>
      <c r="D2568">
        <v>100</v>
      </c>
      <c r="E2568" t="s">
        <v>197</v>
      </c>
      <c r="F2568">
        <v>1005</v>
      </c>
      <c r="G2568" t="s">
        <v>31</v>
      </c>
      <c r="H2568">
        <v>2016</v>
      </c>
      <c r="I2568" t="s">
        <v>11</v>
      </c>
      <c r="J2568">
        <v>3287</v>
      </c>
      <c r="K2568" t="s">
        <v>1362</v>
      </c>
      <c r="L2568">
        <v>4279</v>
      </c>
      <c r="M2568" t="s">
        <v>1364</v>
      </c>
      <c r="N2568" t="s">
        <v>1007</v>
      </c>
      <c r="O2568">
        <v>1</v>
      </c>
      <c r="P2568">
        <v>459</v>
      </c>
      <c r="Q2568" t="s">
        <v>1355</v>
      </c>
      <c r="R2568" t="s">
        <v>201</v>
      </c>
      <c r="S2568">
        <v>2</v>
      </c>
      <c r="T2568">
        <v>1</v>
      </c>
      <c r="U2568">
        <v>43164</v>
      </c>
      <c r="V2568">
        <v>86328</v>
      </c>
    </row>
    <row r="2569" spans="1:22">
      <c r="A2569" t="s">
        <v>196</v>
      </c>
      <c r="B2569">
        <v>57</v>
      </c>
      <c r="C2569" t="s">
        <v>31</v>
      </c>
      <c r="D2569">
        <v>100</v>
      </c>
      <c r="E2569" t="s">
        <v>197</v>
      </c>
      <c r="F2569">
        <v>1005</v>
      </c>
      <c r="G2569" t="s">
        <v>31</v>
      </c>
      <c r="H2569">
        <v>2016</v>
      </c>
      <c r="I2569" t="s">
        <v>11</v>
      </c>
      <c r="J2569">
        <v>3287</v>
      </c>
      <c r="K2569" t="s">
        <v>1362</v>
      </c>
      <c r="L2569">
        <v>4279</v>
      </c>
      <c r="M2569" t="s">
        <v>1364</v>
      </c>
      <c r="N2569" t="s">
        <v>199</v>
      </c>
      <c r="O2569">
        <v>0</v>
      </c>
      <c r="P2569">
        <v>15</v>
      </c>
      <c r="Q2569" t="s">
        <v>264</v>
      </c>
      <c r="R2569" t="s">
        <v>201</v>
      </c>
      <c r="S2569">
        <v>0</v>
      </c>
      <c r="T2569">
        <v>0</v>
      </c>
      <c r="U2569">
        <v>14324</v>
      </c>
      <c r="V2569">
        <v>14324</v>
      </c>
    </row>
    <row r="2570" spans="1:22">
      <c r="A2570" t="s">
        <v>196</v>
      </c>
      <c r="B2570">
        <v>57</v>
      </c>
      <c r="C2570" t="s">
        <v>31</v>
      </c>
      <c r="D2570">
        <v>100</v>
      </c>
      <c r="E2570" t="s">
        <v>197</v>
      </c>
      <c r="F2570">
        <v>1005</v>
      </c>
      <c r="G2570" t="s">
        <v>31</v>
      </c>
      <c r="H2570">
        <v>2016</v>
      </c>
      <c r="I2570" t="s">
        <v>11</v>
      </c>
      <c r="J2570">
        <v>3287</v>
      </c>
      <c r="K2570" t="s">
        <v>1362</v>
      </c>
      <c r="L2570">
        <v>4287</v>
      </c>
      <c r="M2570" t="s">
        <v>1366</v>
      </c>
      <c r="N2570" t="s">
        <v>1302</v>
      </c>
      <c r="O2570">
        <v>71</v>
      </c>
      <c r="P2570">
        <v>9171</v>
      </c>
      <c r="Q2570" t="s">
        <v>1303</v>
      </c>
      <c r="R2570" t="s">
        <v>201</v>
      </c>
      <c r="S2570">
        <v>2</v>
      </c>
      <c r="T2570">
        <v>1</v>
      </c>
      <c r="U2570">
        <v>147252</v>
      </c>
      <c r="V2570">
        <v>294504</v>
      </c>
    </row>
    <row r="2571" spans="1:22">
      <c r="A2571" t="s">
        <v>196</v>
      </c>
      <c r="B2571">
        <v>57</v>
      </c>
      <c r="C2571" t="s">
        <v>31</v>
      </c>
      <c r="D2571">
        <v>100</v>
      </c>
      <c r="E2571" t="s">
        <v>197</v>
      </c>
      <c r="F2571">
        <v>1005</v>
      </c>
      <c r="G2571" t="s">
        <v>31</v>
      </c>
      <c r="H2571">
        <v>2016</v>
      </c>
      <c r="I2571" t="s">
        <v>11</v>
      </c>
      <c r="J2571">
        <v>3287</v>
      </c>
      <c r="K2571" t="s">
        <v>1362</v>
      </c>
      <c r="L2571">
        <v>4287</v>
      </c>
      <c r="M2571" t="s">
        <v>1366</v>
      </c>
      <c r="N2571" t="s">
        <v>1302</v>
      </c>
      <c r="O2571">
        <v>71</v>
      </c>
      <c r="P2571">
        <v>9171</v>
      </c>
      <c r="Q2571" t="s">
        <v>1303</v>
      </c>
      <c r="R2571" t="s">
        <v>201</v>
      </c>
      <c r="S2571">
        <v>1</v>
      </c>
      <c r="T2571">
        <v>1</v>
      </c>
      <c r="U2571">
        <v>142668</v>
      </c>
      <c r="V2571">
        <v>142668</v>
      </c>
    </row>
    <row r="2572" spans="1:22">
      <c r="A2572" t="s">
        <v>196</v>
      </c>
      <c r="B2572">
        <v>57</v>
      </c>
      <c r="C2572" t="s">
        <v>31</v>
      </c>
      <c r="D2572">
        <v>100</v>
      </c>
      <c r="E2572" t="s">
        <v>197</v>
      </c>
      <c r="F2572">
        <v>1005</v>
      </c>
      <c r="G2572" t="s">
        <v>31</v>
      </c>
      <c r="H2572">
        <v>2016</v>
      </c>
      <c r="I2572" t="s">
        <v>11</v>
      </c>
      <c r="J2572">
        <v>3287</v>
      </c>
      <c r="K2572" t="s">
        <v>1362</v>
      </c>
      <c r="L2572">
        <v>4287</v>
      </c>
      <c r="M2572" t="s">
        <v>1366</v>
      </c>
      <c r="N2572" t="s">
        <v>1324</v>
      </c>
      <c r="O2572">
        <v>91</v>
      </c>
      <c r="P2572">
        <v>9165</v>
      </c>
      <c r="Q2572" t="s">
        <v>1325</v>
      </c>
      <c r="R2572" t="s">
        <v>201</v>
      </c>
      <c r="S2572">
        <v>6</v>
      </c>
      <c r="T2572">
        <v>1</v>
      </c>
      <c r="U2572">
        <v>144792</v>
      </c>
      <c r="V2572">
        <v>868752</v>
      </c>
    </row>
    <row r="2573" spans="1:22">
      <c r="A2573" t="s">
        <v>196</v>
      </c>
      <c r="B2573">
        <v>57</v>
      </c>
      <c r="C2573" t="s">
        <v>31</v>
      </c>
      <c r="D2573">
        <v>100</v>
      </c>
      <c r="E2573" t="s">
        <v>197</v>
      </c>
      <c r="F2573">
        <v>1005</v>
      </c>
      <c r="G2573" t="s">
        <v>31</v>
      </c>
      <c r="H2573">
        <v>2016</v>
      </c>
      <c r="I2573" t="s">
        <v>11</v>
      </c>
      <c r="J2573">
        <v>3287</v>
      </c>
      <c r="K2573" t="s">
        <v>1362</v>
      </c>
      <c r="L2573">
        <v>4287</v>
      </c>
      <c r="M2573" t="s">
        <v>1366</v>
      </c>
      <c r="N2573" t="s">
        <v>1324</v>
      </c>
      <c r="O2573">
        <v>91</v>
      </c>
      <c r="P2573">
        <v>9165</v>
      </c>
      <c r="Q2573" t="s">
        <v>1325</v>
      </c>
      <c r="R2573" t="s">
        <v>201</v>
      </c>
      <c r="S2573">
        <v>5</v>
      </c>
      <c r="T2573">
        <v>1</v>
      </c>
      <c r="U2573">
        <v>140454</v>
      </c>
      <c r="V2573">
        <v>702270</v>
      </c>
    </row>
    <row r="2574" spans="1:22">
      <c r="A2574" t="s">
        <v>196</v>
      </c>
      <c r="B2574">
        <v>57</v>
      </c>
      <c r="C2574" t="s">
        <v>31</v>
      </c>
      <c r="D2574">
        <v>100</v>
      </c>
      <c r="E2574" t="s">
        <v>197</v>
      </c>
      <c r="F2574">
        <v>1005</v>
      </c>
      <c r="G2574" t="s">
        <v>31</v>
      </c>
      <c r="H2574">
        <v>2016</v>
      </c>
      <c r="I2574" t="s">
        <v>11</v>
      </c>
      <c r="J2574">
        <v>3287</v>
      </c>
      <c r="K2574" t="s">
        <v>1362</v>
      </c>
      <c r="L2574">
        <v>4287</v>
      </c>
      <c r="M2574" t="s">
        <v>1366</v>
      </c>
      <c r="N2574" t="s">
        <v>1324</v>
      </c>
      <c r="O2574">
        <v>91</v>
      </c>
      <c r="P2574">
        <v>9165</v>
      </c>
      <c r="Q2574" t="s">
        <v>1325</v>
      </c>
      <c r="R2574" t="s">
        <v>201</v>
      </c>
      <c r="S2574">
        <v>7</v>
      </c>
      <c r="T2574">
        <v>1</v>
      </c>
      <c r="U2574">
        <v>135816</v>
      </c>
      <c r="V2574">
        <v>950712</v>
      </c>
    </row>
    <row r="2575" spans="1:22">
      <c r="A2575" t="s">
        <v>196</v>
      </c>
      <c r="B2575">
        <v>57</v>
      </c>
      <c r="C2575" t="s">
        <v>31</v>
      </c>
      <c r="D2575">
        <v>100</v>
      </c>
      <c r="E2575" t="s">
        <v>197</v>
      </c>
      <c r="F2575">
        <v>1005</v>
      </c>
      <c r="G2575" t="s">
        <v>31</v>
      </c>
      <c r="H2575">
        <v>2016</v>
      </c>
      <c r="I2575" t="s">
        <v>11</v>
      </c>
      <c r="J2575">
        <v>3287</v>
      </c>
      <c r="K2575" t="s">
        <v>1362</v>
      </c>
      <c r="L2575">
        <v>4287</v>
      </c>
      <c r="M2575" t="s">
        <v>1366</v>
      </c>
      <c r="N2575" t="s">
        <v>1324</v>
      </c>
      <c r="O2575">
        <v>91</v>
      </c>
      <c r="P2575">
        <v>9165</v>
      </c>
      <c r="Q2575" t="s">
        <v>1325</v>
      </c>
      <c r="R2575" t="s">
        <v>201</v>
      </c>
      <c r="S2575">
        <v>3</v>
      </c>
      <c r="T2575">
        <v>1</v>
      </c>
      <c r="U2575">
        <v>131448</v>
      </c>
      <c r="V2575">
        <v>394344</v>
      </c>
    </row>
    <row r="2576" spans="1:22">
      <c r="A2576" t="s">
        <v>196</v>
      </c>
      <c r="B2576">
        <v>57</v>
      </c>
      <c r="C2576" t="s">
        <v>31</v>
      </c>
      <c r="D2576">
        <v>100</v>
      </c>
      <c r="E2576" t="s">
        <v>197</v>
      </c>
      <c r="F2576">
        <v>1005</v>
      </c>
      <c r="G2576" t="s">
        <v>31</v>
      </c>
      <c r="H2576">
        <v>2016</v>
      </c>
      <c r="I2576" t="s">
        <v>11</v>
      </c>
      <c r="J2576">
        <v>3287</v>
      </c>
      <c r="K2576" t="s">
        <v>1362</v>
      </c>
      <c r="L2576">
        <v>4287</v>
      </c>
      <c r="M2576" t="s">
        <v>1366</v>
      </c>
      <c r="N2576" t="s">
        <v>1324</v>
      </c>
      <c r="O2576">
        <v>91</v>
      </c>
      <c r="P2576">
        <v>9165</v>
      </c>
      <c r="Q2576" t="s">
        <v>1325</v>
      </c>
      <c r="R2576" t="s">
        <v>201</v>
      </c>
      <c r="S2576">
        <v>5</v>
      </c>
      <c r="T2576">
        <v>1</v>
      </c>
      <c r="U2576">
        <v>99426</v>
      </c>
      <c r="V2576">
        <v>497130</v>
      </c>
    </row>
    <row r="2577" spans="1:22">
      <c r="A2577" t="s">
        <v>196</v>
      </c>
      <c r="B2577">
        <v>57</v>
      </c>
      <c r="C2577" t="s">
        <v>31</v>
      </c>
      <c r="D2577">
        <v>100</v>
      </c>
      <c r="E2577" t="s">
        <v>197</v>
      </c>
      <c r="F2577">
        <v>1005</v>
      </c>
      <c r="G2577" t="s">
        <v>31</v>
      </c>
      <c r="H2577">
        <v>2016</v>
      </c>
      <c r="I2577" t="s">
        <v>11</v>
      </c>
      <c r="J2577">
        <v>3287</v>
      </c>
      <c r="K2577" t="s">
        <v>1362</v>
      </c>
      <c r="L2577">
        <v>4287</v>
      </c>
      <c r="M2577" t="s">
        <v>1366</v>
      </c>
      <c r="N2577" t="s">
        <v>1309</v>
      </c>
      <c r="O2577">
        <v>91</v>
      </c>
      <c r="P2577">
        <v>9161</v>
      </c>
      <c r="Q2577" t="s">
        <v>1310</v>
      </c>
      <c r="R2577" t="s">
        <v>201</v>
      </c>
      <c r="S2577">
        <v>1</v>
      </c>
      <c r="T2577">
        <v>1</v>
      </c>
      <c r="U2577">
        <v>119154</v>
      </c>
      <c r="V2577">
        <v>119154</v>
      </c>
    </row>
    <row r="2578" spans="1:22">
      <c r="A2578" t="s">
        <v>196</v>
      </c>
      <c r="B2578">
        <v>57</v>
      </c>
      <c r="C2578" t="s">
        <v>31</v>
      </c>
      <c r="D2578">
        <v>100</v>
      </c>
      <c r="E2578" t="s">
        <v>197</v>
      </c>
      <c r="F2578">
        <v>1005</v>
      </c>
      <c r="G2578" t="s">
        <v>31</v>
      </c>
      <c r="H2578">
        <v>2016</v>
      </c>
      <c r="I2578" t="s">
        <v>11</v>
      </c>
      <c r="J2578">
        <v>3287</v>
      </c>
      <c r="K2578" t="s">
        <v>1362</v>
      </c>
      <c r="L2578">
        <v>4287</v>
      </c>
      <c r="M2578" t="s">
        <v>1366</v>
      </c>
      <c r="N2578" t="s">
        <v>199</v>
      </c>
      <c r="O2578">
        <v>0</v>
      </c>
      <c r="P2578">
        <v>15</v>
      </c>
      <c r="Q2578" t="s">
        <v>264</v>
      </c>
      <c r="R2578" t="s">
        <v>201</v>
      </c>
      <c r="S2578">
        <v>0</v>
      </c>
      <c r="T2578">
        <v>0</v>
      </c>
      <c r="U2578">
        <v>13792</v>
      </c>
      <c r="V2578">
        <v>13792</v>
      </c>
    </row>
    <row r="2579" spans="1:22">
      <c r="A2579" t="s">
        <v>196</v>
      </c>
      <c r="B2579">
        <v>57</v>
      </c>
      <c r="C2579" t="s">
        <v>31</v>
      </c>
      <c r="D2579">
        <v>100</v>
      </c>
      <c r="E2579" t="s">
        <v>197</v>
      </c>
      <c r="F2579">
        <v>1005</v>
      </c>
      <c r="G2579" t="s">
        <v>31</v>
      </c>
      <c r="H2579">
        <v>2016</v>
      </c>
      <c r="I2579" t="s">
        <v>11</v>
      </c>
      <c r="J2579">
        <v>3287</v>
      </c>
      <c r="K2579" t="s">
        <v>1362</v>
      </c>
      <c r="L2579">
        <v>4295</v>
      </c>
      <c r="M2579" t="s">
        <v>1367</v>
      </c>
      <c r="N2579" t="s">
        <v>1302</v>
      </c>
      <c r="O2579">
        <v>71</v>
      </c>
      <c r="P2579">
        <v>9171</v>
      </c>
      <c r="Q2579" t="s">
        <v>1303</v>
      </c>
      <c r="R2579" t="s">
        <v>201</v>
      </c>
      <c r="S2579">
        <v>2</v>
      </c>
      <c r="T2579">
        <v>1</v>
      </c>
      <c r="U2579">
        <v>152010</v>
      </c>
      <c r="V2579">
        <v>304020</v>
      </c>
    </row>
    <row r="2580" spans="1:22">
      <c r="A2580" t="s">
        <v>196</v>
      </c>
      <c r="B2580">
        <v>57</v>
      </c>
      <c r="C2580" t="s">
        <v>31</v>
      </c>
      <c r="D2580">
        <v>100</v>
      </c>
      <c r="E2580" t="s">
        <v>197</v>
      </c>
      <c r="F2580">
        <v>1005</v>
      </c>
      <c r="G2580" t="s">
        <v>31</v>
      </c>
      <c r="H2580">
        <v>2016</v>
      </c>
      <c r="I2580" t="s">
        <v>11</v>
      </c>
      <c r="J2580">
        <v>3287</v>
      </c>
      <c r="K2580" t="s">
        <v>1362</v>
      </c>
      <c r="L2580">
        <v>4295</v>
      </c>
      <c r="M2580" t="s">
        <v>1367</v>
      </c>
      <c r="N2580" t="s">
        <v>1302</v>
      </c>
      <c r="O2580">
        <v>71</v>
      </c>
      <c r="P2580">
        <v>9171</v>
      </c>
      <c r="Q2580" t="s">
        <v>1303</v>
      </c>
      <c r="R2580" t="s">
        <v>201</v>
      </c>
      <c r="S2580">
        <v>1</v>
      </c>
      <c r="T2580">
        <v>1</v>
      </c>
      <c r="U2580">
        <v>147252</v>
      </c>
      <c r="V2580">
        <v>147252</v>
      </c>
    </row>
    <row r="2581" spans="1:22">
      <c r="A2581" t="s">
        <v>196</v>
      </c>
      <c r="B2581">
        <v>57</v>
      </c>
      <c r="C2581" t="s">
        <v>31</v>
      </c>
      <c r="D2581">
        <v>100</v>
      </c>
      <c r="E2581" t="s">
        <v>197</v>
      </c>
      <c r="F2581">
        <v>1005</v>
      </c>
      <c r="G2581" t="s">
        <v>31</v>
      </c>
      <c r="H2581">
        <v>2016</v>
      </c>
      <c r="I2581" t="s">
        <v>11</v>
      </c>
      <c r="J2581">
        <v>3287</v>
      </c>
      <c r="K2581" t="s">
        <v>1362</v>
      </c>
      <c r="L2581">
        <v>4295</v>
      </c>
      <c r="M2581" t="s">
        <v>1367</v>
      </c>
      <c r="N2581" t="s">
        <v>1302</v>
      </c>
      <c r="O2581">
        <v>71</v>
      </c>
      <c r="P2581">
        <v>9171</v>
      </c>
      <c r="Q2581" t="s">
        <v>1303</v>
      </c>
      <c r="R2581" t="s">
        <v>201</v>
      </c>
      <c r="S2581">
        <v>4</v>
      </c>
      <c r="T2581">
        <v>1</v>
      </c>
      <c r="U2581">
        <v>138318</v>
      </c>
      <c r="V2581">
        <v>553272</v>
      </c>
    </row>
    <row r="2582" spans="1:22">
      <c r="A2582" t="s">
        <v>196</v>
      </c>
      <c r="B2582">
        <v>57</v>
      </c>
      <c r="C2582" t="s">
        <v>31</v>
      </c>
      <c r="D2582">
        <v>100</v>
      </c>
      <c r="E2582" t="s">
        <v>197</v>
      </c>
      <c r="F2582">
        <v>1005</v>
      </c>
      <c r="G2582" t="s">
        <v>31</v>
      </c>
      <c r="H2582">
        <v>2016</v>
      </c>
      <c r="I2582" t="s">
        <v>11</v>
      </c>
      <c r="J2582">
        <v>3287</v>
      </c>
      <c r="K2582" t="s">
        <v>1362</v>
      </c>
      <c r="L2582">
        <v>4295</v>
      </c>
      <c r="M2582" t="s">
        <v>1367</v>
      </c>
      <c r="N2582" t="s">
        <v>1324</v>
      </c>
      <c r="O2582">
        <v>91</v>
      </c>
      <c r="P2582">
        <v>9165</v>
      </c>
      <c r="Q2582" t="s">
        <v>1325</v>
      </c>
      <c r="R2582" t="s">
        <v>201</v>
      </c>
      <c r="S2582">
        <v>8</v>
      </c>
      <c r="T2582">
        <v>1</v>
      </c>
      <c r="U2582">
        <v>144792</v>
      </c>
      <c r="V2582">
        <v>1158336</v>
      </c>
    </row>
    <row r="2583" spans="1:22">
      <c r="A2583" t="s">
        <v>196</v>
      </c>
      <c r="B2583">
        <v>57</v>
      </c>
      <c r="C2583" t="s">
        <v>31</v>
      </c>
      <c r="D2583">
        <v>100</v>
      </c>
      <c r="E2583" t="s">
        <v>197</v>
      </c>
      <c r="F2583">
        <v>1005</v>
      </c>
      <c r="G2583" t="s">
        <v>31</v>
      </c>
      <c r="H2583">
        <v>2016</v>
      </c>
      <c r="I2583" t="s">
        <v>11</v>
      </c>
      <c r="J2583">
        <v>3287</v>
      </c>
      <c r="K2583" t="s">
        <v>1362</v>
      </c>
      <c r="L2583">
        <v>4295</v>
      </c>
      <c r="M2583" t="s">
        <v>1367</v>
      </c>
      <c r="N2583" t="s">
        <v>1324</v>
      </c>
      <c r="O2583">
        <v>91</v>
      </c>
      <c r="P2583">
        <v>9165</v>
      </c>
      <c r="Q2583" t="s">
        <v>1325</v>
      </c>
      <c r="R2583" t="s">
        <v>201</v>
      </c>
      <c r="S2583">
        <v>3</v>
      </c>
      <c r="T2583">
        <v>1</v>
      </c>
      <c r="U2583">
        <v>140454</v>
      </c>
      <c r="V2583">
        <v>421362</v>
      </c>
    </row>
    <row r="2584" spans="1:22">
      <c r="A2584" t="s">
        <v>196</v>
      </c>
      <c r="B2584">
        <v>57</v>
      </c>
      <c r="C2584" t="s">
        <v>31</v>
      </c>
      <c r="D2584">
        <v>100</v>
      </c>
      <c r="E2584" t="s">
        <v>197</v>
      </c>
      <c r="F2584">
        <v>1005</v>
      </c>
      <c r="G2584" t="s">
        <v>31</v>
      </c>
      <c r="H2584">
        <v>2016</v>
      </c>
      <c r="I2584" t="s">
        <v>11</v>
      </c>
      <c r="J2584">
        <v>3287</v>
      </c>
      <c r="K2584" t="s">
        <v>1362</v>
      </c>
      <c r="L2584">
        <v>4295</v>
      </c>
      <c r="M2584" t="s">
        <v>1367</v>
      </c>
      <c r="N2584" t="s">
        <v>1324</v>
      </c>
      <c r="O2584">
        <v>91</v>
      </c>
      <c r="P2584">
        <v>9165</v>
      </c>
      <c r="Q2584" t="s">
        <v>1325</v>
      </c>
      <c r="R2584" t="s">
        <v>201</v>
      </c>
      <c r="S2584">
        <v>3</v>
      </c>
      <c r="T2584">
        <v>1</v>
      </c>
      <c r="U2584">
        <v>135816</v>
      </c>
      <c r="V2584">
        <v>407448</v>
      </c>
    </row>
    <row r="2585" spans="1:22">
      <c r="A2585" t="s">
        <v>196</v>
      </c>
      <c r="B2585">
        <v>57</v>
      </c>
      <c r="C2585" t="s">
        <v>31</v>
      </c>
      <c r="D2585">
        <v>100</v>
      </c>
      <c r="E2585" t="s">
        <v>197</v>
      </c>
      <c r="F2585">
        <v>1005</v>
      </c>
      <c r="G2585" t="s">
        <v>31</v>
      </c>
      <c r="H2585">
        <v>2016</v>
      </c>
      <c r="I2585" t="s">
        <v>11</v>
      </c>
      <c r="J2585">
        <v>3287</v>
      </c>
      <c r="K2585" t="s">
        <v>1362</v>
      </c>
      <c r="L2585">
        <v>4295</v>
      </c>
      <c r="M2585" t="s">
        <v>1367</v>
      </c>
      <c r="N2585" t="s">
        <v>1324</v>
      </c>
      <c r="O2585">
        <v>91</v>
      </c>
      <c r="P2585">
        <v>9165</v>
      </c>
      <c r="Q2585" t="s">
        <v>1325</v>
      </c>
      <c r="R2585" t="s">
        <v>201</v>
      </c>
      <c r="S2585">
        <v>4</v>
      </c>
      <c r="T2585">
        <v>1</v>
      </c>
      <c r="U2585">
        <v>131448</v>
      </c>
      <c r="V2585">
        <v>525792</v>
      </c>
    </row>
    <row r="2586" spans="1:22">
      <c r="A2586" t="s">
        <v>196</v>
      </c>
      <c r="B2586">
        <v>57</v>
      </c>
      <c r="C2586" t="s">
        <v>31</v>
      </c>
      <c r="D2586">
        <v>100</v>
      </c>
      <c r="E2586" t="s">
        <v>197</v>
      </c>
      <c r="F2586">
        <v>1005</v>
      </c>
      <c r="G2586" t="s">
        <v>31</v>
      </c>
      <c r="H2586">
        <v>2016</v>
      </c>
      <c r="I2586" t="s">
        <v>11</v>
      </c>
      <c r="J2586">
        <v>3287</v>
      </c>
      <c r="K2586" t="s">
        <v>1362</v>
      </c>
      <c r="L2586">
        <v>4295</v>
      </c>
      <c r="M2586" t="s">
        <v>1367</v>
      </c>
      <c r="N2586" t="s">
        <v>1324</v>
      </c>
      <c r="O2586">
        <v>91</v>
      </c>
      <c r="P2586">
        <v>9165</v>
      </c>
      <c r="Q2586" t="s">
        <v>1325</v>
      </c>
      <c r="R2586" t="s">
        <v>201</v>
      </c>
      <c r="S2586">
        <v>14</v>
      </c>
      <c r="T2586">
        <v>1</v>
      </c>
      <c r="U2586">
        <v>99426</v>
      </c>
      <c r="V2586">
        <v>1391964</v>
      </c>
    </row>
    <row r="2587" spans="1:22">
      <c r="A2587" t="s">
        <v>196</v>
      </c>
      <c r="B2587">
        <v>57</v>
      </c>
      <c r="C2587" t="s">
        <v>31</v>
      </c>
      <c r="D2587">
        <v>100</v>
      </c>
      <c r="E2587" t="s">
        <v>197</v>
      </c>
      <c r="F2587">
        <v>1005</v>
      </c>
      <c r="G2587" t="s">
        <v>31</v>
      </c>
      <c r="H2587">
        <v>2016</v>
      </c>
      <c r="I2587" t="s">
        <v>11</v>
      </c>
      <c r="J2587">
        <v>3287</v>
      </c>
      <c r="K2587" t="s">
        <v>1362</v>
      </c>
      <c r="L2587">
        <v>4295</v>
      </c>
      <c r="M2587" t="s">
        <v>1367</v>
      </c>
      <c r="N2587" t="s">
        <v>1309</v>
      </c>
      <c r="O2587">
        <v>91</v>
      </c>
      <c r="P2587">
        <v>9161</v>
      </c>
      <c r="Q2587" t="s">
        <v>1310</v>
      </c>
      <c r="R2587" t="s">
        <v>201</v>
      </c>
      <c r="S2587">
        <v>2</v>
      </c>
      <c r="T2587">
        <v>1</v>
      </c>
      <c r="U2587">
        <v>127146</v>
      </c>
      <c r="V2587">
        <v>254292</v>
      </c>
    </row>
    <row r="2588" spans="1:22">
      <c r="A2588" t="s">
        <v>196</v>
      </c>
      <c r="B2588">
        <v>57</v>
      </c>
      <c r="C2588" t="s">
        <v>31</v>
      </c>
      <c r="D2588">
        <v>100</v>
      </c>
      <c r="E2588" t="s">
        <v>197</v>
      </c>
      <c r="F2588">
        <v>1005</v>
      </c>
      <c r="G2588" t="s">
        <v>31</v>
      </c>
      <c r="H2588">
        <v>2016</v>
      </c>
      <c r="I2588" t="s">
        <v>11</v>
      </c>
      <c r="J2588">
        <v>3287</v>
      </c>
      <c r="K2588" t="s">
        <v>1362</v>
      </c>
      <c r="L2588">
        <v>4295</v>
      </c>
      <c r="M2588" t="s">
        <v>1367</v>
      </c>
      <c r="N2588" t="s">
        <v>1309</v>
      </c>
      <c r="O2588">
        <v>91</v>
      </c>
      <c r="P2588">
        <v>9161</v>
      </c>
      <c r="Q2588" t="s">
        <v>1310</v>
      </c>
      <c r="R2588" t="s">
        <v>201</v>
      </c>
      <c r="S2588">
        <v>1</v>
      </c>
      <c r="T2588">
        <v>1</v>
      </c>
      <c r="U2588">
        <v>123576</v>
      </c>
      <c r="V2588">
        <v>123576</v>
      </c>
    </row>
    <row r="2589" spans="1:22">
      <c r="A2589" t="s">
        <v>196</v>
      </c>
      <c r="B2589">
        <v>57</v>
      </c>
      <c r="C2589" t="s">
        <v>31</v>
      </c>
      <c r="D2589">
        <v>100</v>
      </c>
      <c r="E2589" t="s">
        <v>197</v>
      </c>
      <c r="F2589">
        <v>1005</v>
      </c>
      <c r="G2589" t="s">
        <v>31</v>
      </c>
      <c r="H2589">
        <v>2016</v>
      </c>
      <c r="I2589" t="s">
        <v>11</v>
      </c>
      <c r="J2589">
        <v>3287</v>
      </c>
      <c r="K2589" t="s">
        <v>1362</v>
      </c>
      <c r="L2589">
        <v>4295</v>
      </c>
      <c r="M2589" t="s">
        <v>1367</v>
      </c>
      <c r="N2589" t="s">
        <v>1309</v>
      </c>
      <c r="O2589">
        <v>91</v>
      </c>
      <c r="P2589">
        <v>9161</v>
      </c>
      <c r="Q2589" t="s">
        <v>1310</v>
      </c>
      <c r="R2589" t="s">
        <v>201</v>
      </c>
      <c r="S2589">
        <v>2</v>
      </c>
      <c r="T2589">
        <v>1</v>
      </c>
      <c r="U2589">
        <v>119154</v>
      </c>
      <c r="V2589">
        <v>238308</v>
      </c>
    </row>
    <row r="2590" spans="1:22">
      <c r="A2590" t="s">
        <v>196</v>
      </c>
      <c r="B2590">
        <v>57</v>
      </c>
      <c r="C2590" t="s">
        <v>31</v>
      </c>
      <c r="D2590">
        <v>100</v>
      </c>
      <c r="E2590" t="s">
        <v>197</v>
      </c>
      <c r="F2590">
        <v>1005</v>
      </c>
      <c r="G2590" t="s">
        <v>31</v>
      </c>
      <c r="H2590">
        <v>2016</v>
      </c>
      <c r="I2590" t="s">
        <v>11</v>
      </c>
      <c r="J2590">
        <v>3287</v>
      </c>
      <c r="K2590" t="s">
        <v>1362</v>
      </c>
      <c r="L2590">
        <v>4295</v>
      </c>
      <c r="M2590" t="s">
        <v>1367</v>
      </c>
      <c r="N2590" t="s">
        <v>1309</v>
      </c>
      <c r="O2590">
        <v>91</v>
      </c>
      <c r="P2590">
        <v>9161</v>
      </c>
      <c r="Q2590" t="s">
        <v>1310</v>
      </c>
      <c r="R2590" t="s">
        <v>201</v>
      </c>
      <c r="S2590">
        <v>29</v>
      </c>
      <c r="T2590">
        <v>1</v>
      </c>
      <c r="U2590">
        <v>111252</v>
      </c>
      <c r="V2590">
        <v>3226308</v>
      </c>
    </row>
    <row r="2591" spans="1:22">
      <c r="A2591" t="s">
        <v>196</v>
      </c>
      <c r="B2591">
        <v>57</v>
      </c>
      <c r="C2591" t="s">
        <v>31</v>
      </c>
      <c r="D2591">
        <v>100</v>
      </c>
      <c r="E2591" t="s">
        <v>197</v>
      </c>
      <c r="F2591">
        <v>1005</v>
      </c>
      <c r="G2591" t="s">
        <v>31</v>
      </c>
      <c r="H2591">
        <v>2016</v>
      </c>
      <c r="I2591" t="s">
        <v>11</v>
      </c>
      <c r="J2591">
        <v>3287</v>
      </c>
      <c r="K2591" t="s">
        <v>1362</v>
      </c>
      <c r="L2591">
        <v>4295</v>
      </c>
      <c r="M2591" t="s">
        <v>1367</v>
      </c>
      <c r="N2591" t="s">
        <v>1309</v>
      </c>
      <c r="O2591">
        <v>91</v>
      </c>
      <c r="P2591">
        <v>9161</v>
      </c>
      <c r="Q2591" t="s">
        <v>1310</v>
      </c>
      <c r="R2591" t="s">
        <v>201</v>
      </c>
      <c r="S2591">
        <v>1</v>
      </c>
      <c r="T2591">
        <v>1</v>
      </c>
      <c r="U2591">
        <v>63636</v>
      </c>
      <c r="V2591">
        <v>63636</v>
      </c>
    </row>
    <row r="2592" spans="1:22">
      <c r="A2592" t="s">
        <v>196</v>
      </c>
      <c r="B2592">
        <v>57</v>
      </c>
      <c r="C2592" t="s">
        <v>31</v>
      </c>
      <c r="D2592">
        <v>100</v>
      </c>
      <c r="E2592" t="s">
        <v>197</v>
      </c>
      <c r="F2592">
        <v>1005</v>
      </c>
      <c r="G2592" t="s">
        <v>31</v>
      </c>
      <c r="H2592">
        <v>2016</v>
      </c>
      <c r="I2592" t="s">
        <v>11</v>
      </c>
      <c r="J2592">
        <v>3287</v>
      </c>
      <c r="K2592" t="s">
        <v>1362</v>
      </c>
      <c r="L2592">
        <v>4295</v>
      </c>
      <c r="M2592" t="s">
        <v>1367</v>
      </c>
      <c r="N2592" t="s">
        <v>199</v>
      </c>
      <c r="O2592">
        <v>0</v>
      </c>
      <c r="P2592">
        <v>15</v>
      </c>
      <c r="Q2592" t="s">
        <v>264</v>
      </c>
      <c r="R2592" t="s">
        <v>201</v>
      </c>
      <c r="S2592">
        <v>0</v>
      </c>
      <c r="T2592">
        <v>0</v>
      </c>
      <c r="U2592">
        <v>1590</v>
      </c>
      <c r="V2592">
        <v>1590</v>
      </c>
    </row>
    <row r="2593" spans="1:22">
      <c r="A2593" t="s">
        <v>196</v>
      </c>
      <c r="B2593">
        <v>57</v>
      </c>
      <c r="C2593" t="s">
        <v>31</v>
      </c>
      <c r="D2593">
        <v>100</v>
      </c>
      <c r="E2593" t="s">
        <v>197</v>
      </c>
      <c r="F2593">
        <v>1005</v>
      </c>
      <c r="G2593" t="s">
        <v>31</v>
      </c>
      <c r="H2593">
        <v>2016</v>
      </c>
      <c r="I2593" t="s">
        <v>11</v>
      </c>
      <c r="J2593">
        <v>3291</v>
      </c>
      <c r="K2593" t="s">
        <v>1368</v>
      </c>
      <c r="L2593">
        <v>4306</v>
      </c>
      <c r="M2593" t="s">
        <v>1368</v>
      </c>
      <c r="N2593" t="s">
        <v>1294</v>
      </c>
      <c r="O2593">
        <v>9</v>
      </c>
      <c r="P2593">
        <v>9675</v>
      </c>
      <c r="Q2593" t="s">
        <v>327</v>
      </c>
      <c r="R2593" t="s">
        <v>201</v>
      </c>
      <c r="S2593">
        <v>2</v>
      </c>
      <c r="T2593">
        <v>1</v>
      </c>
      <c r="U2593">
        <v>153000</v>
      </c>
      <c r="V2593">
        <v>306000</v>
      </c>
    </row>
    <row r="2594" spans="1:22">
      <c r="A2594" t="s">
        <v>196</v>
      </c>
      <c r="B2594">
        <v>57</v>
      </c>
      <c r="C2594" t="s">
        <v>31</v>
      </c>
      <c r="D2594">
        <v>100</v>
      </c>
      <c r="E2594" t="s">
        <v>197</v>
      </c>
      <c r="F2594">
        <v>1005</v>
      </c>
      <c r="G2594" t="s">
        <v>31</v>
      </c>
      <c r="H2594">
        <v>2016</v>
      </c>
      <c r="I2594" t="s">
        <v>11</v>
      </c>
      <c r="J2594">
        <v>3291</v>
      </c>
      <c r="K2594" t="s">
        <v>1368</v>
      </c>
      <c r="L2594">
        <v>4306</v>
      </c>
      <c r="M2594" t="s">
        <v>1368</v>
      </c>
      <c r="N2594" t="s">
        <v>356</v>
      </c>
      <c r="O2594">
        <v>4</v>
      </c>
      <c r="P2594">
        <v>9246</v>
      </c>
      <c r="Q2594" t="s">
        <v>1369</v>
      </c>
      <c r="R2594" t="s">
        <v>201</v>
      </c>
      <c r="S2594">
        <v>1</v>
      </c>
      <c r="T2594">
        <v>1</v>
      </c>
      <c r="U2594">
        <v>129636</v>
      </c>
      <c r="V2594">
        <v>129636</v>
      </c>
    </row>
    <row r="2595" spans="1:22">
      <c r="A2595" t="s">
        <v>196</v>
      </c>
      <c r="B2595">
        <v>57</v>
      </c>
      <c r="C2595" t="s">
        <v>31</v>
      </c>
      <c r="D2595">
        <v>100</v>
      </c>
      <c r="E2595" t="s">
        <v>197</v>
      </c>
      <c r="F2595">
        <v>1005</v>
      </c>
      <c r="G2595" t="s">
        <v>31</v>
      </c>
      <c r="H2595">
        <v>2016</v>
      </c>
      <c r="I2595" t="s">
        <v>11</v>
      </c>
      <c r="J2595">
        <v>3291</v>
      </c>
      <c r="K2595" t="s">
        <v>1368</v>
      </c>
      <c r="L2595">
        <v>4306</v>
      </c>
      <c r="M2595" t="s">
        <v>1368</v>
      </c>
      <c r="N2595" t="s">
        <v>356</v>
      </c>
      <c r="O2595">
        <v>4</v>
      </c>
      <c r="P2595">
        <v>9246</v>
      </c>
      <c r="Q2595" t="s">
        <v>1369</v>
      </c>
      <c r="R2595" t="s">
        <v>201</v>
      </c>
      <c r="S2595">
        <v>1</v>
      </c>
      <c r="T2595">
        <v>1</v>
      </c>
      <c r="U2595">
        <v>90144</v>
      </c>
      <c r="V2595">
        <v>90144</v>
      </c>
    </row>
    <row r="2596" spans="1:22">
      <c r="A2596" t="s">
        <v>196</v>
      </c>
      <c r="B2596">
        <v>57</v>
      </c>
      <c r="C2596" t="s">
        <v>31</v>
      </c>
      <c r="D2596">
        <v>100</v>
      </c>
      <c r="E2596" t="s">
        <v>197</v>
      </c>
      <c r="F2596">
        <v>1005</v>
      </c>
      <c r="G2596" t="s">
        <v>31</v>
      </c>
      <c r="H2596">
        <v>2016</v>
      </c>
      <c r="I2596" t="s">
        <v>11</v>
      </c>
      <c r="J2596">
        <v>3291</v>
      </c>
      <c r="K2596" t="s">
        <v>1368</v>
      </c>
      <c r="L2596">
        <v>4306</v>
      </c>
      <c r="M2596" t="s">
        <v>1368</v>
      </c>
      <c r="N2596" t="s">
        <v>1370</v>
      </c>
      <c r="O2596">
        <v>20</v>
      </c>
      <c r="P2596">
        <v>9234</v>
      </c>
      <c r="Q2596" t="s">
        <v>1371</v>
      </c>
      <c r="R2596" t="s">
        <v>201</v>
      </c>
      <c r="S2596">
        <v>2</v>
      </c>
      <c r="T2596">
        <v>1</v>
      </c>
      <c r="U2596">
        <v>135744</v>
      </c>
      <c r="V2596">
        <v>271488</v>
      </c>
    </row>
    <row r="2597" spans="1:22">
      <c r="A2597" t="s">
        <v>196</v>
      </c>
      <c r="B2597">
        <v>57</v>
      </c>
      <c r="C2597" t="s">
        <v>31</v>
      </c>
      <c r="D2597">
        <v>100</v>
      </c>
      <c r="E2597" t="s">
        <v>197</v>
      </c>
      <c r="F2597">
        <v>1005</v>
      </c>
      <c r="G2597" t="s">
        <v>31</v>
      </c>
      <c r="H2597">
        <v>2016</v>
      </c>
      <c r="I2597" t="s">
        <v>11</v>
      </c>
      <c r="J2597">
        <v>3291</v>
      </c>
      <c r="K2597" t="s">
        <v>1368</v>
      </c>
      <c r="L2597">
        <v>4306</v>
      </c>
      <c r="M2597" t="s">
        <v>1368</v>
      </c>
      <c r="N2597" t="s">
        <v>1370</v>
      </c>
      <c r="O2597">
        <v>20</v>
      </c>
      <c r="P2597">
        <v>9234</v>
      </c>
      <c r="Q2597" t="s">
        <v>1371</v>
      </c>
      <c r="R2597" t="s">
        <v>201</v>
      </c>
      <c r="S2597">
        <v>2</v>
      </c>
      <c r="T2597">
        <v>1</v>
      </c>
      <c r="U2597">
        <v>121320</v>
      </c>
      <c r="V2597">
        <v>242640</v>
      </c>
    </row>
    <row r="2598" spans="1:22">
      <c r="A2598" t="s">
        <v>196</v>
      </c>
      <c r="B2598">
        <v>57</v>
      </c>
      <c r="C2598" t="s">
        <v>31</v>
      </c>
      <c r="D2598">
        <v>100</v>
      </c>
      <c r="E2598" t="s">
        <v>197</v>
      </c>
      <c r="F2598">
        <v>1005</v>
      </c>
      <c r="G2598" t="s">
        <v>31</v>
      </c>
      <c r="H2598">
        <v>2016</v>
      </c>
      <c r="I2598" t="s">
        <v>11</v>
      </c>
      <c r="J2598">
        <v>3291</v>
      </c>
      <c r="K2598" t="s">
        <v>1368</v>
      </c>
      <c r="L2598">
        <v>4306</v>
      </c>
      <c r="M2598" t="s">
        <v>1368</v>
      </c>
      <c r="N2598" t="s">
        <v>1294</v>
      </c>
      <c r="O2598">
        <v>0</v>
      </c>
      <c r="P2598">
        <v>9208</v>
      </c>
      <c r="Q2598" t="s">
        <v>1372</v>
      </c>
      <c r="R2598" t="s">
        <v>201</v>
      </c>
      <c r="S2598">
        <v>1</v>
      </c>
      <c r="T2598">
        <v>1</v>
      </c>
      <c r="U2598">
        <v>153000</v>
      </c>
      <c r="V2598">
        <v>153000</v>
      </c>
    </row>
    <row r="2599" spans="1:22">
      <c r="A2599" t="s">
        <v>196</v>
      </c>
      <c r="B2599">
        <v>57</v>
      </c>
      <c r="C2599" t="s">
        <v>31</v>
      </c>
      <c r="D2599">
        <v>100</v>
      </c>
      <c r="E2599" t="s">
        <v>197</v>
      </c>
      <c r="F2599">
        <v>1005</v>
      </c>
      <c r="G2599" t="s">
        <v>31</v>
      </c>
      <c r="H2599">
        <v>2016</v>
      </c>
      <c r="I2599" t="s">
        <v>11</v>
      </c>
      <c r="J2599">
        <v>3291</v>
      </c>
      <c r="K2599" t="s">
        <v>1368</v>
      </c>
      <c r="L2599">
        <v>4306</v>
      </c>
      <c r="M2599" t="s">
        <v>1368</v>
      </c>
      <c r="N2599" t="s">
        <v>1349</v>
      </c>
      <c r="O2599">
        <v>91</v>
      </c>
      <c r="P2599">
        <v>9206</v>
      </c>
      <c r="Q2599" t="s">
        <v>1373</v>
      </c>
      <c r="R2599" t="s">
        <v>201</v>
      </c>
      <c r="S2599">
        <v>50</v>
      </c>
      <c r="T2599">
        <v>1</v>
      </c>
      <c r="U2599">
        <v>137568</v>
      </c>
      <c r="V2599">
        <v>6878400</v>
      </c>
    </row>
    <row r="2600" spans="1:22">
      <c r="A2600" t="s">
        <v>196</v>
      </c>
      <c r="B2600">
        <v>57</v>
      </c>
      <c r="C2600" t="s">
        <v>31</v>
      </c>
      <c r="D2600">
        <v>100</v>
      </c>
      <c r="E2600" t="s">
        <v>197</v>
      </c>
      <c r="F2600">
        <v>1005</v>
      </c>
      <c r="G2600" t="s">
        <v>31</v>
      </c>
      <c r="H2600">
        <v>2016</v>
      </c>
      <c r="I2600" t="s">
        <v>11</v>
      </c>
      <c r="J2600">
        <v>3291</v>
      </c>
      <c r="K2600" t="s">
        <v>1368</v>
      </c>
      <c r="L2600">
        <v>4306</v>
      </c>
      <c r="M2600" t="s">
        <v>1368</v>
      </c>
      <c r="N2600" t="s">
        <v>1349</v>
      </c>
      <c r="O2600">
        <v>91</v>
      </c>
      <c r="P2600">
        <v>9206</v>
      </c>
      <c r="Q2600" t="s">
        <v>1373</v>
      </c>
      <c r="R2600" t="s">
        <v>201</v>
      </c>
      <c r="S2600">
        <v>39</v>
      </c>
      <c r="T2600">
        <v>1</v>
      </c>
      <c r="U2600">
        <v>133650</v>
      </c>
      <c r="V2600">
        <v>5212350</v>
      </c>
    </row>
    <row r="2601" spans="1:22">
      <c r="A2601" t="s">
        <v>196</v>
      </c>
      <c r="B2601">
        <v>57</v>
      </c>
      <c r="C2601" t="s">
        <v>31</v>
      </c>
      <c r="D2601">
        <v>100</v>
      </c>
      <c r="E2601" t="s">
        <v>197</v>
      </c>
      <c r="F2601">
        <v>1005</v>
      </c>
      <c r="G2601" t="s">
        <v>31</v>
      </c>
      <c r="H2601">
        <v>2016</v>
      </c>
      <c r="I2601" t="s">
        <v>11</v>
      </c>
      <c r="J2601">
        <v>3291</v>
      </c>
      <c r="K2601" t="s">
        <v>1368</v>
      </c>
      <c r="L2601">
        <v>4306</v>
      </c>
      <c r="M2601" t="s">
        <v>1368</v>
      </c>
      <c r="N2601" t="s">
        <v>1349</v>
      </c>
      <c r="O2601">
        <v>91</v>
      </c>
      <c r="P2601">
        <v>9206</v>
      </c>
      <c r="Q2601" t="s">
        <v>1373</v>
      </c>
      <c r="R2601" t="s">
        <v>201</v>
      </c>
      <c r="S2601">
        <v>23</v>
      </c>
      <c r="T2601">
        <v>1</v>
      </c>
      <c r="U2601">
        <v>128964</v>
      </c>
      <c r="V2601">
        <v>2966172</v>
      </c>
    </row>
    <row r="2602" spans="1:22">
      <c r="A2602" t="s">
        <v>196</v>
      </c>
      <c r="B2602">
        <v>57</v>
      </c>
      <c r="C2602" t="s">
        <v>31</v>
      </c>
      <c r="D2602">
        <v>100</v>
      </c>
      <c r="E2602" t="s">
        <v>197</v>
      </c>
      <c r="F2602">
        <v>1005</v>
      </c>
      <c r="G2602" t="s">
        <v>31</v>
      </c>
      <c r="H2602">
        <v>2016</v>
      </c>
      <c r="I2602" t="s">
        <v>11</v>
      </c>
      <c r="J2602">
        <v>3291</v>
      </c>
      <c r="K2602" t="s">
        <v>1368</v>
      </c>
      <c r="L2602">
        <v>4306</v>
      </c>
      <c r="M2602" t="s">
        <v>1368</v>
      </c>
      <c r="N2602" t="s">
        <v>1349</v>
      </c>
      <c r="O2602">
        <v>91</v>
      </c>
      <c r="P2602">
        <v>9206</v>
      </c>
      <c r="Q2602" t="s">
        <v>1373</v>
      </c>
      <c r="R2602" t="s">
        <v>201</v>
      </c>
      <c r="S2602">
        <v>2</v>
      </c>
      <c r="T2602">
        <v>1</v>
      </c>
      <c r="U2602">
        <v>124578</v>
      </c>
      <c r="V2602">
        <v>249156</v>
      </c>
    </row>
    <row r="2603" spans="1:22">
      <c r="A2603" t="s">
        <v>196</v>
      </c>
      <c r="B2603">
        <v>57</v>
      </c>
      <c r="C2603" t="s">
        <v>31</v>
      </c>
      <c r="D2603">
        <v>100</v>
      </c>
      <c r="E2603" t="s">
        <v>197</v>
      </c>
      <c r="F2603">
        <v>1005</v>
      </c>
      <c r="G2603" t="s">
        <v>31</v>
      </c>
      <c r="H2603">
        <v>2016</v>
      </c>
      <c r="I2603" t="s">
        <v>11</v>
      </c>
      <c r="J2603">
        <v>3291</v>
      </c>
      <c r="K2603" t="s">
        <v>1368</v>
      </c>
      <c r="L2603">
        <v>4306</v>
      </c>
      <c r="M2603" t="s">
        <v>1368</v>
      </c>
      <c r="N2603" t="s">
        <v>1349</v>
      </c>
      <c r="O2603">
        <v>91</v>
      </c>
      <c r="P2603">
        <v>9206</v>
      </c>
      <c r="Q2603" t="s">
        <v>1373</v>
      </c>
      <c r="R2603" t="s">
        <v>201</v>
      </c>
      <c r="S2603">
        <v>9</v>
      </c>
      <c r="T2603">
        <v>1</v>
      </c>
      <c r="U2603">
        <v>120564</v>
      </c>
      <c r="V2603">
        <v>1085076</v>
      </c>
    </row>
    <row r="2604" spans="1:22">
      <c r="A2604" t="s">
        <v>196</v>
      </c>
      <c r="B2604">
        <v>57</v>
      </c>
      <c r="C2604" t="s">
        <v>31</v>
      </c>
      <c r="D2604">
        <v>100</v>
      </c>
      <c r="E2604" t="s">
        <v>197</v>
      </c>
      <c r="F2604">
        <v>1005</v>
      </c>
      <c r="G2604" t="s">
        <v>31</v>
      </c>
      <c r="H2604">
        <v>2016</v>
      </c>
      <c r="I2604" t="s">
        <v>11</v>
      </c>
      <c r="J2604">
        <v>3291</v>
      </c>
      <c r="K2604" t="s">
        <v>1368</v>
      </c>
      <c r="L2604">
        <v>4306</v>
      </c>
      <c r="M2604" t="s">
        <v>1368</v>
      </c>
      <c r="N2604" t="s">
        <v>1349</v>
      </c>
      <c r="O2604">
        <v>91</v>
      </c>
      <c r="P2604">
        <v>9206</v>
      </c>
      <c r="Q2604" t="s">
        <v>1373</v>
      </c>
      <c r="R2604" t="s">
        <v>201</v>
      </c>
      <c r="S2604">
        <v>19</v>
      </c>
      <c r="T2604">
        <v>1</v>
      </c>
      <c r="U2604">
        <v>93942</v>
      </c>
      <c r="V2604">
        <v>1784898</v>
      </c>
    </row>
    <row r="2605" spans="1:22">
      <c r="A2605" t="s">
        <v>196</v>
      </c>
      <c r="B2605">
        <v>57</v>
      </c>
      <c r="C2605" t="s">
        <v>31</v>
      </c>
      <c r="D2605">
        <v>100</v>
      </c>
      <c r="E2605" t="s">
        <v>197</v>
      </c>
      <c r="F2605">
        <v>1005</v>
      </c>
      <c r="G2605" t="s">
        <v>31</v>
      </c>
      <c r="H2605">
        <v>2016</v>
      </c>
      <c r="I2605" t="s">
        <v>11</v>
      </c>
      <c r="J2605">
        <v>3291</v>
      </c>
      <c r="K2605" t="s">
        <v>1368</v>
      </c>
      <c r="L2605">
        <v>4306</v>
      </c>
      <c r="M2605" t="s">
        <v>1368</v>
      </c>
      <c r="N2605" t="s">
        <v>1344</v>
      </c>
      <c r="O2605">
        <v>91</v>
      </c>
      <c r="P2605">
        <v>9201</v>
      </c>
      <c r="Q2605" t="s">
        <v>1374</v>
      </c>
      <c r="R2605" t="s">
        <v>201</v>
      </c>
      <c r="S2605">
        <v>2</v>
      </c>
      <c r="T2605">
        <v>1</v>
      </c>
      <c r="U2605">
        <v>152010</v>
      </c>
      <c r="V2605">
        <v>304020</v>
      </c>
    </row>
    <row r="2606" spans="1:22">
      <c r="A2606" t="s">
        <v>196</v>
      </c>
      <c r="B2606">
        <v>57</v>
      </c>
      <c r="C2606" t="s">
        <v>31</v>
      </c>
      <c r="D2606">
        <v>100</v>
      </c>
      <c r="E2606" t="s">
        <v>197</v>
      </c>
      <c r="F2606">
        <v>1005</v>
      </c>
      <c r="G2606" t="s">
        <v>31</v>
      </c>
      <c r="H2606">
        <v>2016</v>
      </c>
      <c r="I2606" t="s">
        <v>11</v>
      </c>
      <c r="J2606">
        <v>3291</v>
      </c>
      <c r="K2606" t="s">
        <v>1368</v>
      </c>
      <c r="L2606">
        <v>4306</v>
      </c>
      <c r="M2606" t="s">
        <v>1368</v>
      </c>
      <c r="N2606" t="s">
        <v>1304</v>
      </c>
      <c r="O2606">
        <v>73</v>
      </c>
      <c r="P2606">
        <v>9173</v>
      </c>
      <c r="Q2606" t="s">
        <v>1323</v>
      </c>
      <c r="R2606" t="s">
        <v>201</v>
      </c>
      <c r="S2606">
        <v>1</v>
      </c>
      <c r="T2606">
        <v>1</v>
      </c>
      <c r="U2606">
        <v>170700</v>
      </c>
      <c r="V2606">
        <v>170700</v>
      </c>
    </row>
    <row r="2607" spans="1:22">
      <c r="A2607" t="s">
        <v>196</v>
      </c>
      <c r="B2607">
        <v>57</v>
      </c>
      <c r="C2607" t="s">
        <v>31</v>
      </c>
      <c r="D2607">
        <v>100</v>
      </c>
      <c r="E2607" t="s">
        <v>197</v>
      </c>
      <c r="F2607">
        <v>1005</v>
      </c>
      <c r="G2607" t="s">
        <v>31</v>
      </c>
      <c r="H2607">
        <v>2016</v>
      </c>
      <c r="I2607" t="s">
        <v>11</v>
      </c>
      <c r="J2607">
        <v>3291</v>
      </c>
      <c r="K2607" t="s">
        <v>1368</v>
      </c>
      <c r="L2607">
        <v>4306</v>
      </c>
      <c r="M2607" t="s">
        <v>1368</v>
      </c>
      <c r="N2607" t="s">
        <v>1304</v>
      </c>
      <c r="O2607">
        <v>73</v>
      </c>
      <c r="P2607">
        <v>9173</v>
      </c>
      <c r="Q2607" t="s">
        <v>1323</v>
      </c>
      <c r="R2607" t="s">
        <v>201</v>
      </c>
      <c r="S2607">
        <v>1</v>
      </c>
      <c r="T2607">
        <v>1</v>
      </c>
      <c r="U2607">
        <v>160746</v>
      </c>
      <c r="V2607">
        <v>160746</v>
      </c>
    </row>
    <row r="2608" spans="1:22">
      <c r="A2608" t="s">
        <v>196</v>
      </c>
      <c r="B2608">
        <v>57</v>
      </c>
      <c r="C2608" t="s">
        <v>31</v>
      </c>
      <c r="D2608">
        <v>100</v>
      </c>
      <c r="E2608" t="s">
        <v>197</v>
      </c>
      <c r="F2608">
        <v>1005</v>
      </c>
      <c r="G2608" t="s">
        <v>31</v>
      </c>
      <c r="H2608">
        <v>2016</v>
      </c>
      <c r="I2608" t="s">
        <v>11</v>
      </c>
      <c r="J2608">
        <v>3291</v>
      </c>
      <c r="K2608" t="s">
        <v>1368</v>
      </c>
      <c r="L2608">
        <v>4306</v>
      </c>
      <c r="M2608" t="s">
        <v>1368</v>
      </c>
      <c r="N2608" t="s">
        <v>1302</v>
      </c>
      <c r="O2608">
        <v>71</v>
      </c>
      <c r="P2608">
        <v>9171</v>
      </c>
      <c r="Q2608" t="s">
        <v>1303</v>
      </c>
      <c r="R2608" t="s">
        <v>201</v>
      </c>
      <c r="S2608">
        <v>8</v>
      </c>
      <c r="T2608">
        <v>1</v>
      </c>
      <c r="U2608">
        <v>152010</v>
      </c>
      <c r="V2608">
        <v>1216080</v>
      </c>
    </row>
    <row r="2609" spans="1:22">
      <c r="A2609" t="s">
        <v>196</v>
      </c>
      <c r="B2609">
        <v>57</v>
      </c>
      <c r="C2609" t="s">
        <v>31</v>
      </c>
      <c r="D2609">
        <v>100</v>
      </c>
      <c r="E2609" t="s">
        <v>197</v>
      </c>
      <c r="F2609">
        <v>1005</v>
      </c>
      <c r="G2609" t="s">
        <v>31</v>
      </c>
      <c r="H2609">
        <v>2016</v>
      </c>
      <c r="I2609" t="s">
        <v>11</v>
      </c>
      <c r="J2609">
        <v>3291</v>
      </c>
      <c r="K2609" t="s">
        <v>1368</v>
      </c>
      <c r="L2609">
        <v>4306</v>
      </c>
      <c r="M2609" t="s">
        <v>1368</v>
      </c>
      <c r="N2609" t="s">
        <v>1302</v>
      </c>
      <c r="O2609">
        <v>71</v>
      </c>
      <c r="P2609">
        <v>9171</v>
      </c>
      <c r="Q2609" t="s">
        <v>1303</v>
      </c>
      <c r="R2609" t="s">
        <v>201</v>
      </c>
      <c r="S2609">
        <v>6</v>
      </c>
      <c r="T2609">
        <v>1</v>
      </c>
      <c r="U2609">
        <v>147252</v>
      </c>
      <c r="V2609">
        <v>883512</v>
      </c>
    </row>
    <row r="2610" spans="1:22">
      <c r="A2610" t="s">
        <v>196</v>
      </c>
      <c r="B2610">
        <v>57</v>
      </c>
      <c r="C2610" t="s">
        <v>31</v>
      </c>
      <c r="D2610">
        <v>100</v>
      </c>
      <c r="E2610" t="s">
        <v>197</v>
      </c>
      <c r="F2610">
        <v>1005</v>
      </c>
      <c r="G2610" t="s">
        <v>31</v>
      </c>
      <c r="H2610">
        <v>2016</v>
      </c>
      <c r="I2610" t="s">
        <v>11</v>
      </c>
      <c r="J2610">
        <v>3291</v>
      </c>
      <c r="K2610" t="s">
        <v>1368</v>
      </c>
      <c r="L2610">
        <v>4306</v>
      </c>
      <c r="M2610" t="s">
        <v>1368</v>
      </c>
      <c r="N2610" t="s">
        <v>1302</v>
      </c>
      <c r="O2610">
        <v>71</v>
      </c>
      <c r="P2610">
        <v>9171</v>
      </c>
      <c r="Q2610" t="s">
        <v>1303</v>
      </c>
      <c r="R2610" t="s">
        <v>201</v>
      </c>
      <c r="S2610">
        <v>1</v>
      </c>
      <c r="T2610">
        <v>1</v>
      </c>
      <c r="U2610">
        <v>142668</v>
      </c>
      <c r="V2610">
        <v>142668</v>
      </c>
    </row>
    <row r="2611" spans="1:22">
      <c r="A2611" t="s">
        <v>196</v>
      </c>
      <c r="B2611">
        <v>57</v>
      </c>
      <c r="C2611" t="s">
        <v>31</v>
      </c>
      <c r="D2611">
        <v>100</v>
      </c>
      <c r="E2611" t="s">
        <v>197</v>
      </c>
      <c r="F2611">
        <v>1005</v>
      </c>
      <c r="G2611" t="s">
        <v>31</v>
      </c>
      <c r="H2611">
        <v>2016</v>
      </c>
      <c r="I2611" t="s">
        <v>11</v>
      </c>
      <c r="J2611">
        <v>3291</v>
      </c>
      <c r="K2611" t="s">
        <v>1368</v>
      </c>
      <c r="L2611">
        <v>4306</v>
      </c>
      <c r="M2611" t="s">
        <v>1368</v>
      </c>
      <c r="N2611" t="s">
        <v>1302</v>
      </c>
      <c r="O2611">
        <v>71</v>
      </c>
      <c r="P2611">
        <v>9171</v>
      </c>
      <c r="Q2611" t="s">
        <v>1303</v>
      </c>
      <c r="R2611" t="s">
        <v>201</v>
      </c>
      <c r="S2611">
        <v>1</v>
      </c>
      <c r="T2611">
        <v>1</v>
      </c>
      <c r="U2611">
        <v>138318</v>
      </c>
      <c r="V2611">
        <v>138318</v>
      </c>
    </row>
    <row r="2612" spans="1:22">
      <c r="A2612" t="s">
        <v>196</v>
      </c>
      <c r="B2612">
        <v>57</v>
      </c>
      <c r="C2612" t="s">
        <v>31</v>
      </c>
      <c r="D2612">
        <v>100</v>
      </c>
      <c r="E2612" t="s">
        <v>197</v>
      </c>
      <c r="F2612">
        <v>1005</v>
      </c>
      <c r="G2612" t="s">
        <v>31</v>
      </c>
      <c r="H2612">
        <v>2016</v>
      </c>
      <c r="I2612" t="s">
        <v>11</v>
      </c>
      <c r="J2612">
        <v>3291</v>
      </c>
      <c r="K2612" t="s">
        <v>1368</v>
      </c>
      <c r="L2612">
        <v>4306</v>
      </c>
      <c r="M2612" t="s">
        <v>1368</v>
      </c>
      <c r="N2612" t="s">
        <v>1344</v>
      </c>
      <c r="O2612">
        <v>91</v>
      </c>
      <c r="P2612">
        <v>9166</v>
      </c>
      <c r="Q2612" t="s">
        <v>1375</v>
      </c>
      <c r="R2612" t="s">
        <v>201</v>
      </c>
      <c r="S2612">
        <v>2</v>
      </c>
      <c r="T2612">
        <v>1</v>
      </c>
      <c r="U2612">
        <v>138318</v>
      </c>
      <c r="V2612">
        <v>276636</v>
      </c>
    </row>
    <row r="2613" spans="1:22">
      <c r="A2613" t="s">
        <v>196</v>
      </c>
      <c r="B2613">
        <v>57</v>
      </c>
      <c r="C2613" t="s">
        <v>31</v>
      </c>
      <c r="D2613">
        <v>100</v>
      </c>
      <c r="E2613" t="s">
        <v>197</v>
      </c>
      <c r="F2613">
        <v>1005</v>
      </c>
      <c r="G2613" t="s">
        <v>31</v>
      </c>
      <c r="H2613">
        <v>2016</v>
      </c>
      <c r="I2613" t="s">
        <v>11</v>
      </c>
      <c r="J2613">
        <v>3291</v>
      </c>
      <c r="K2613" t="s">
        <v>1368</v>
      </c>
      <c r="L2613">
        <v>4306</v>
      </c>
      <c r="M2613" t="s">
        <v>1368</v>
      </c>
      <c r="N2613" t="s">
        <v>1321</v>
      </c>
      <c r="O2613">
        <v>91</v>
      </c>
      <c r="P2613">
        <v>9163</v>
      </c>
      <c r="Q2613" t="s">
        <v>1376</v>
      </c>
      <c r="R2613" t="s">
        <v>201</v>
      </c>
      <c r="S2613">
        <v>2</v>
      </c>
      <c r="T2613">
        <v>1</v>
      </c>
      <c r="U2613">
        <v>129774</v>
      </c>
      <c r="V2613">
        <v>259548</v>
      </c>
    </row>
    <row r="2614" spans="1:22">
      <c r="A2614" t="s">
        <v>196</v>
      </c>
      <c r="B2614">
        <v>57</v>
      </c>
      <c r="C2614" t="s">
        <v>31</v>
      </c>
      <c r="D2614">
        <v>100</v>
      </c>
      <c r="E2614" t="s">
        <v>197</v>
      </c>
      <c r="F2614">
        <v>1005</v>
      </c>
      <c r="G2614" t="s">
        <v>31</v>
      </c>
      <c r="H2614">
        <v>2016</v>
      </c>
      <c r="I2614" t="s">
        <v>11</v>
      </c>
      <c r="J2614">
        <v>3291</v>
      </c>
      <c r="K2614" t="s">
        <v>1368</v>
      </c>
      <c r="L2614">
        <v>4306</v>
      </c>
      <c r="M2614" t="s">
        <v>1368</v>
      </c>
      <c r="N2614" t="s">
        <v>1321</v>
      </c>
      <c r="O2614">
        <v>91</v>
      </c>
      <c r="P2614">
        <v>9163</v>
      </c>
      <c r="Q2614" t="s">
        <v>1376</v>
      </c>
      <c r="R2614" t="s">
        <v>201</v>
      </c>
      <c r="S2614">
        <v>1</v>
      </c>
      <c r="T2614">
        <v>1</v>
      </c>
      <c r="U2614">
        <v>125112</v>
      </c>
      <c r="V2614">
        <v>125112</v>
      </c>
    </row>
    <row r="2615" spans="1:22">
      <c r="A2615" t="s">
        <v>196</v>
      </c>
      <c r="B2615">
        <v>57</v>
      </c>
      <c r="C2615" t="s">
        <v>31</v>
      </c>
      <c r="D2615">
        <v>100</v>
      </c>
      <c r="E2615" t="s">
        <v>197</v>
      </c>
      <c r="F2615">
        <v>1005</v>
      </c>
      <c r="G2615" t="s">
        <v>31</v>
      </c>
      <c r="H2615">
        <v>2016</v>
      </c>
      <c r="I2615" t="s">
        <v>11</v>
      </c>
      <c r="J2615">
        <v>3291</v>
      </c>
      <c r="K2615" t="s">
        <v>1368</v>
      </c>
      <c r="L2615">
        <v>4306</v>
      </c>
      <c r="M2615" t="s">
        <v>1368</v>
      </c>
      <c r="N2615" t="s">
        <v>1321</v>
      </c>
      <c r="O2615">
        <v>91</v>
      </c>
      <c r="P2615">
        <v>9163</v>
      </c>
      <c r="Q2615" t="s">
        <v>1376</v>
      </c>
      <c r="R2615" t="s">
        <v>201</v>
      </c>
      <c r="S2615">
        <v>2</v>
      </c>
      <c r="T2615">
        <v>1</v>
      </c>
      <c r="U2615">
        <v>120900</v>
      </c>
      <c r="V2615">
        <v>241800</v>
      </c>
    </row>
    <row r="2616" spans="1:22">
      <c r="A2616" t="s">
        <v>196</v>
      </c>
      <c r="B2616">
        <v>57</v>
      </c>
      <c r="C2616" t="s">
        <v>31</v>
      </c>
      <c r="D2616">
        <v>100</v>
      </c>
      <c r="E2616" t="s">
        <v>197</v>
      </c>
      <c r="F2616">
        <v>1005</v>
      </c>
      <c r="G2616" t="s">
        <v>31</v>
      </c>
      <c r="H2616">
        <v>2016</v>
      </c>
      <c r="I2616" t="s">
        <v>11</v>
      </c>
      <c r="J2616">
        <v>3291</v>
      </c>
      <c r="K2616" t="s">
        <v>1368</v>
      </c>
      <c r="L2616">
        <v>4306</v>
      </c>
      <c r="M2616" t="s">
        <v>1368</v>
      </c>
      <c r="N2616" t="s">
        <v>1321</v>
      </c>
      <c r="O2616">
        <v>91</v>
      </c>
      <c r="P2616">
        <v>9163</v>
      </c>
      <c r="Q2616" t="s">
        <v>1376</v>
      </c>
      <c r="R2616" t="s">
        <v>201</v>
      </c>
      <c r="S2616">
        <v>13</v>
      </c>
      <c r="T2616">
        <v>1</v>
      </c>
      <c r="U2616">
        <v>116856</v>
      </c>
      <c r="V2616">
        <v>1519128</v>
      </c>
    </row>
    <row r="2617" spans="1:22">
      <c r="A2617" t="s">
        <v>196</v>
      </c>
      <c r="B2617">
        <v>57</v>
      </c>
      <c r="C2617" t="s">
        <v>31</v>
      </c>
      <c r="D2617">
        <v>100</v>
      </c>
      <c r="E2617" t="s">
        <v>197</v>
      </c>
      <c r="F2617">
        <v>1005</v>
      </c>
      <c r="G2617" t="s">
        <v>31</v>
      </c>
      <c r="H2617">
        <v>2016</v>
      </c>
      <c r="I2617" t="s">
        <v>11</v>
      </c>
      <c r="J2617">
        <v>3291</v>
      </c>
      <c r="K2617" t="s">
        <v>1368</v>
      </c>
      <c r="L2617">
        <v>4306</v>
      </c>
      <c r="M2617" t="s">
        <v>1368</v>
      </c>
      <c r="N2617" t="s">
        <v>1321</v>
      </c>
      <c r="O2617">
        <v>91</v>
      </c>
      <c r="P2617">
        <v>9163</v>
      </c>
      <c r="Q2617" t="s">
        <v>1376</v>
      </c>
      <c r="R2617" t="s">
        <v>201</v>
      </c>
      <c r="S2617">
        <v>2</v>
      </c>
      <c r="T2617">
        <v>1</v>
      </c>
      <c r="U2617">
        <v>90816</v>
      </c>
      <c r="V2617">
        <v>181632</v>
      </c>
    </row>
    <row r="2618" spans="1:22">
      <c r="A2618" t="s">
        <v>196</v>
      </c>
      <c r="B2618">
        <v>57</v>
      </c>
      <c r="C2618" t="s">
        <v>31</v>
      </c>
      <c r="D2618">
        <v>100</v>
      </c>
      <c r="E2618" t="s">
        <v>197</v>
      </c>
      <c r="F2618">
        <v>1005</v>
      </c>
      <c r="G2618" t="s">
        <v>31</v>
      </c>
      <c r="H2618">
        <v>2016</v>
      </c>
      <c r="I2618" t="s">
        <v>11</v>
      </c>
      <c r="J2618">
        <v>3291</v>
      </c>
      <c r="K2618" t="s">
        <v>1368</v>
      </c>
      <c r="L2618">
        <v>4306</v>
      </c>
      <c r="M2618" t="s">
        <v>1368</v>
      </c>
      <c r="N2618" t="s">
        <v>1309</v>
      </c>
      <c r="O2618">
        <v>91</v>
      </c>
      <c r="P2618">
        <v>9161</v>
      </c>
      <c r="Q2618" t="s">
        <v>1310</v>
      </c>
      <c r="R2618" t="s">
        <v>201</v>
      </c>
      <c r="S2618">
        <v>1</v>
      </c>
      <c r="T2618">
        <v>1</v>
      </c>
      <c r="U2618">
        <v>127146</v>
      </c>
      <c r="V2618">
        <v>127146</v>
      </c>
    </row>
    <row r="2619" spans="1:22">
      <c r="A2619" t="s">
        <v>196</v>
      </c>
      <c r="B2619">
        <v>57</v>
      </c>
      <c r="C2619" t="s">
        <v>31</v>
      </c>
      <c r="D2619">
        <v>100</v>
      </c>
      <c r="E2619" t="s">
        <v>197</v>
      </c>
      <c r="F2619">
        <v>1005</v>
      </c>
      <c r="G2619" t="s">
        <v>31</v>
      </c>
      <c r="H2619">
        <v>2016</v>
      </c>
      <c r="I2619" t="s">
        <v>11</v>
      </c>
      <c r="J2619">
        <v>3291</v>
      </c>
      <c r="K2619" t="s">
        <v>1368</v>
      </c>
      <c r="L2619">
        <v>4306</v>
      </c>
      <c r="M2619" t="s">
        <v>1368</v>
      </c>
      <c r="N2619" t="s">
        <v>1309</v>
      </c>
      <c r="O2619">
        <v>91</v>
      </c>
      <c r="P2619">
        <v>9161</v>
      </c>
      <c r="Q2619" t="s">
        <v>1310</v>
      </c>
      <c r="R2619" t="s">
        <v>201</v>
      </c>
      <c r="S2619">
        <v>1</v>
      </c>
      <c r="T2619">
        <v>1</v>
      </c>
      <c r="U2619">
        <v>119154</v>
      </c>
      <c r="V2619">
        <v>119154</v>
      </c>
    </row>
    <row r="2620" spans="1:22">
      <c r="A2620" t="s">
        <v>196</v>
      </c>
      <c r="B2620">
        <v>57</v>
      </c>
      <c r="C2620" t="s">
        <v>31</v>
      </c>
      <c r="D2620">
        <v>100</v>
      </c>
      <c r="E2620" t="s">
        <v>197</v>
      </c>
      <c r="F2620">
        <v>1005</v>
      </c>
      <c r="G2620" t="s">
        <v>31</v>
      </c>
      <c r="H2620">
        <v>2016</v>
      </c>
      <c r="I2620" t="s">
        <v>11</v>
      </c>
      <c r="J2620">
        <v>3291</v>
      </c>
      <c r="K2620" t="s">
        <v>1368</v>
      </c>
      <c r="L2620">
        <v>4306</v>
      </c>
      <c r="M2620" t="s">
        <v>1368</v>
      </c>
      <c r="N2620" t="s">
        <v>1309</v>
      </c>
      <c r="O2620">
        <v>91</v>
      </c>
      <c r="P2620">
        <v>9161</v>
      </c>
      <c r="Q2620" t="s">
        <v>1310</v>
      </c>
      <c r="R2620" t="s">
        <v>201</v>
      </c>
      <c r="S2620">
        <v>3</v>
      </c>
      <c r="T2620">
        <v>1</v>
      </c>
      <c r="U2620">
        <v>111252</v>
      </c>
      <c r="V2620">
        <v>333756</v>
      </c>
    </row>
    <row r="2621" spans="1:22">
      <c r="A2621" t="s">
        <v>196</v>
      </c>
      <c r="B2621">
        <v>57</v>
      </c>
      <c r="C2621" t="s">
        <v>31</v>
      </c>
      <c r="D2621">
        <v>100</v>
      </c>
      <c r="E2621" t="s">
        <v>197</v>
      </c>
      <c r="F2621">
        <v>1005</v>
      </c>
      <c r="G2621" t="s">
        <v>31</v>
      </c>
      <c r="H2621">
        <v>2016</v>
      </c>
      <c r="I2621" t="s">
        <v>11</v>
      </c>
      <c r="J2621">
        <v>3291</v>
      </c>
      <c r="K2621" t="s">
        <v>1368</v>
      </c>
      <c r="L2621">
        <v>4306</v>
      </c>
      <c r="M2621" t="s">
        <v>1368</v>
      </c>
      <c r="N2621" t="s">
        <v>839</v>
      </c>
      <c r="O2621">
        <v>0</v>
      </c>
      <c r="P2621">
        <v>9108</v>
      </c>
      <c r="Q2621" t="s">
        <v>1377</v>
      </c>
      <c r="R2621" t="s">
        <v>713</v>
      </c>
      <c r="S2621">
        <v>12380</v>
      </c>
      <c r="T2621">
        <v>0</v>
      </c>
      <c r="U2621">
        <v>18.920000000000002</v>
      </c>
      <c r="V2621">
        <v>234230</v>
      </c>
    </row>
    <row r="2622" spans="1:22">
      <c r="A2622" t="s">
        <v>196</v>
      </c>
      <c r="B2622">
        <v>57</v>
      </c>
      <c r="C2622" t="s">
        <v>31</v>
      </c>
      <c r="D2622">
        <v>100</v>
      </c>
      <c r="E2622" t="s">
        <v>197</v>
      </c>
      <c r="F2622">
        <v>1005</v>
      </c>
      <c r="G2622" t="s">
        <v>31</v>
      </c>
      <c r="H2622">
        <v>2016</v>
      </c>
      <c r="I2622" t="s">
        <v>11</v>
      </c>
      <c r="J2622">
        <v>3291</v>
      </c>
      <c r="K2622" t="s">
        <v>1368</v>
      </c>
      <c r="L2622">
        <v>4306</v>
      </c>
      <c r="M2622" t="s">
        <v>1368</v>
      </c>
      <c r="N2622" t="s">
        <v>622</v>
      </c>
      <c r="O2622">
        <v>1</v>
      </c>
      <c r="P2622">
        <v>4238</v>
      </c>
      <c r="Q2622" t="s">
        <v>1231</v>
      </c>
      <c r="R2622" t="s">
        <v>201</v>
      </c>
      <c r="S2622">
        <v>1</v>
      </c>
      <c r="T2622">
        <v>1</v>
      </c>
      <c r="U2622">
        <v>90144</v>
      </c>
      <c r="V2622">
        <v>90144</v>
      </c>
    </row>
    <row r="2623" spans="1:22">
      <c r="A2623" t="s">
        <v>196</v>
      </c>
      <c r="B2623">
        <v>57</v>
      </c>
      <c r="C2623" t="s">
        <v>31</v>
      </c>
      <c r="D2623">
        <v>100</v>
      </c>
      <c r="E2623" t="s">
        <v>197</v>
      </c>
      <c r="F2623">
        <v>1005</v>
      </c>
      <c r="G2623" t="s">
        <v>31</v>
      </c>
      <c r="H2623">
        <v>2016</v>
      </c>
      <c r="I2623" t="s">
        <v>11</v>
      </c>
      <c r="J2623">
        <v>3291</v>
      </c>
      <c r="K2623" t="s">
        <v>1368</v>
      </c>
      <c r="L2623">
        <v>4306</v>
      </c>
      <c r="M2623" t="s">
        <v>1368</v>
      </c>
      <c r="N2623" t="s">
        <v>702</v>
      </c>
      <c r="O2623">
        <v>4</v>
      </c>
      <c r="P2623">
        <v>2921</v>
      </c>
      <c r="Q2623" t="s">
        <v>1378</v>
      </c>
      <c r="R2623" t="s">
        <v>201</v>
      </c>
      <c r="S2623">
        <v>1</v>
      </c>
      <c r="T2623">
        <v>1</v>
      </c>
      <c r="U2623">
        <v>74160</v>
      </c>
      <c r="V2623">
        <v>74160</v>
      </c>
    </row>
    <row r="2624" spans="1:22">
      <c r="A2624" t="s">
        <v>196</v>
      </c>
      <c r="B2624">
        <v>57</v>
      </c>
      <c r="C2624" t="s">
        <v>31</v>
      </c>
      <c r="D2624">
        <v>100</v>
      </c>
      <c r="E2624" t="s">
        <v>197</v>
      </c>
      <c r="F2624">
        <v>1005</v>
      </c>
      <c r="G2624" t="s">
        <v>31</v>
      </c>
      <c r="H2624">
        <v>2016</v>
      </c>
      <c r="I2624" t="s">
        <v>11</v>
      </c>
      <c r="J2624">
        <v>3291</v>
      </c>
      <c r="K2624" t="s">
        <v>1368</v>
      </c>
      <c r="L2624">
        <v>4306</v>
      </c>
      <c r="M2624" t="s">
        <v>1368</v>
      </c>
      <c r="N2624" t="s">
        <v>688</v>
      </c>
      <c r="O2624">
        <v>4</v>
      </c>
      <c r="P2624">
        <v>1142</v>
      </c>
      <c r="Q2624" t="s">
        <v>1250</v>
      </c>
      <c r="R2624" t="s">
        <v>201</v>
      </c>
      <c r="S2624">
        <v>1</v>
      </c>
      <c r="T2624">
        <v>1</v>
      </c>
      <c r="U2624">
        <v>81636</v>
      </c>
      <c r="V2624">
        <v>81636</v>
      </c>
    </row>
    <row r="2625" spans="1:22">
      <c r="A2625" t="s">
        <v>196</v>
      </c>
      <c r="B2625">
        <v>57</v>
      </c>
      <c r="C2625" t="s">
        <v>31</v>
      </c>
      <c r="D2625">
        <v>100</v>
      </c>
      <c r="E2625" t="s">
        <v>197</v>
      </c>
      <c r="F2625">
        <v>1005</v>
      </c>
      <c r="G2625" t="s">
        <v>31</v>
      </c>
      <c r="H2625">
        <v>2016</v>
      </c>
      <c r="I2625" t="s">
        <v>11</v>
      </c>
      <c r="J2625">
        <v>3291</v>
      </c>
      <c r="K2625" t="s">
        <v>1368</v>
      </c>
      <c r="L2625">
        <v>4306</v>
      </c>
      <c r="M2625" t="s">
        <v>1368</v>
      </c>
      <c r="N2625" t="s">
        <v>809</v>
      </c>
      <c r="O2625">
        <v>1</v>
      </c>
      <c r="P2625">
        <v>460</v>
      </c>
      <c r="Q2625" t="s">
        <v>810</v>
      </c>
      <c r="R2625" t="s">
        <v>201</v>
      </c>
      <c r="S2625">
        <v>1</v>
      </c>
      <c r="T2625">
        <v>1</v>
      </c>
      <c r="U2625">
        <v>82140</v>
      </c>
      <c r="V2625">
        <v>82140</v>
      </c>
    </row>
    <row r="2626" spans="1:22">
      <c r="A2626" t="s">
        <v>196</v>
      </c>
      <c r="B2626">
        <v>57</v>
      </c>
      <c r="C2626" t="s">
        <v>31</v>
      </c>
      <c r="D2626">
        <v>100</v>
      </c>
      <c r="E2626" t="s">
        <v>197</v>
      </c>
      <c r="F2626">
        <v>1005</v>
      </c>
      <c r="G2626" t="s">
        <v>31</v>
      </c>
      <c r="H2626">
        <v>2016</v>
      </c>
      <c r="I2626" t="s">
        <v>11</v>
      </c>
      <c r="J2626">
        <v>3291</v>
      </c>
      <c r="K2626" t="s">
        <v>1368</v>
      </c>
      <c r="L2626">
        <v>4306</v>
      </c>
      <c r="M2626" t="s">
        <v>1368</v>
      </c>
      <c r="N2626" t="s">
        <v>199</v>
      </c>
      <c r="O2626">
        <v>0</v>
      </c>
      <c r="P2626">
        <v>15</v>
      </c>
      <c r="Q2626" t="s">
        <v>264</v>
      </c>
      <c r="R2626" t="s">
        <v>201</v>
      </c>
      <c r="S2626">
        <v>0</v>
      </c>
      <c r="T2626">
        <v>0</v>
      </c>
      <c r="U2626">
        <v>72997</v>
      </c>
      <c r="V2626">
        <v>72997</v>
      </c>
    </row>
    <row r="2627" spans="1:22">
      <c r="A2627" t="s">
        <v>196</v>
      </c>
      <c r="B2627">
        <v>57</v>
      </c>
      <c r="C2627" t="s">
        <v>31</v>
      </c>
      <c r="D2627">
        <v>100</v>
      </c>
      <c r="E2627" t="s">
        <v>197</v>
      </c>
      <c r="F2627">
        <v>1005</v>
      </c>
      <c r="G2627" t="s">
        <v>31</v>
      </c>
      <c r="H2627">
        <v>2016</v>
      </c>
      <c r="I2627" t="s">
        <v>11</v>
      </c>
      <c r="J2627">
        <v>3291</v>
      </c>
      <c r="K2627" t="s">
        <v>1368</v>
      </c>
      <c r="L2627">
        <v>4307</v>
      </c>
      <c r="M2627" t="s">
        <v>1379</v>
      </c>
      <c r="N2627" t="s">
        <v>1304</v>
      </c>
      <c r="O2627">
        <v>73</v>
      </c>
      <c r="P2627">
        <v>9173</v>
      </c>
      <c r="Q2627" t="s">
        <v>1323</v>
      </c>
      <c r="R2627" t="s">
        <v>201</v>
      </c>
      <c r="S2627">
        <v>1</v>
      </c>
      <c r="T2627">
        <v>1</v>
      </c>
      <c r="U2627">
        <v>170700</v>
      </c>
      <c r="V2627">
        <v>170700</v>
      </c>
    </row>
    <row r="2628" spans="1:22">
      <c r="A2628" t="s">
        <v>196</v>
      </c>
      <c r="B2628">
        <v>57</v>
      </c>
      <c r="C2628" t="s">
        <v>31</v>
      </c>
      <c r="D2628">
        <v>100</v>
      </c>
      <c r="E2628" t="s">
        <v>197</v>
      </c>
      <c r="F2628">
        <v>1005</v>
      </c>
      <c r="G2628" t="s">
        <v>31</v>
      </c>
      <c r="H2628">
        <v>2016</v>
      </c>
      <c r="I2628" t="s">
        <v>11</v>
      </c>
      <c r="J2628">
        <v>3291</v>
      </c>
      <c r="K2628" t="s">
        <v>1368</v>
      </c>
      <c r="L2628">
        <v>4307</v>
      </c>
      <c r="M2628" t="s">
        <v>1379</v>
      </c>
      <c r="N2628" t="s">
        <v>1302</v>
      </c>
      <c r="O2628">
        <v>71</v>
      </c>
      <c r="P2628">
        <v>9171</v>
      </c>
      <c r="Q2628" t="s">
        <v>1303</v>
      </c>
      <c r="R2628" t="s">
        <v>201</v>
      </c>
      <c r="S2628">
        <v>1</v>
      </c>
      <c r="T2628">
        <v>1</v>
      </c>
      <c r="U2628">
        <v>152010</v>
      </c>
      <c r="V2628">
        <v>152010</v>
      </c>
    </row>
    <row r="2629" spans="1:22">
      <c r="A2629" t="s">
        <v>196</v>
      </c>
      <c r="B2629">
        <v>57</v>
      </c>
      <c r="C2629" t="s">
        <v>31</v>
      </c>
      <c r="D2629">
        <v>100</v>
      </c>
      <c r="E2629" t="s">
        <v>197</v>
      </c>
      <c r="F2629">
        <v>1005</v>
      </c>
      <c r="G2629" t="s">
        <v>31</v>
      </c>
      <c r="H2629">
        <v>2016</v>
      </c>
      <c r="I2629" t="s">
        <v>11</v>
      </c>
      <c r="J2629">
        <v>3291</v>
      </c>
      <c r="K2629" t="s">
        <v>1368</v>
      </c>
      <c r="L2629">
        <v>4307</v>
      </c>
      <c r="M2629" t="s">
        <v>1379</v>
      </c>
      <c r="N2629" t="s">
        <v>1302</v>
      </c>
      <c r="O2629">
        <v>71</v>
      </c>
      <c r="P2629">
        <v>9171</v>
      </c>
      <c r="Q2629" t="s">
        <v>1303</v>
      </c>
      <c r="R2629" t="s">
        <v>201</v>
      </c>
      <c r="S2629">
        <v>1</v>
      </c>
      <c r="T2629">
        <v>1</v>
      </c>
      <c r="U2629">
        <v>147252</v>
      </c>
      <c r="V2629">
        <v>147252</v>
      </c>
    </row>
    <row r="2630" spans="1:22">
      <c r="A2630" t="s">
        <v>196</v>
      </c>
      <c r="B2630">
        <v>57</v>
      </c>
      <c r="C2630" t="s">
        <v>31</v>
      </c>
      <c r="D2630">
        <v>100</v>
      </c>
      <c r="E2630" t="s">
        <v>197</v>
      </c>
      <c r="F2630">
        <v>1005</v>
      </c>
      <c r="G2630" t="s">
        <v>31</v>
      </c>
      <c r="H2630">
        <v>2016</v>
      </c>
      <c r="I2630" t="s">
        <v>11</v>
      </c>
      <c r="J2630">
        <v>3291</v>
      </c>
      <c r="K2630" t="s">
        <v>1368</v>
      </c>
      <c r="L2630">
        <v>4307</v>
      </c>
      <c r="M2630" t="s">
        <v>1379</v>
      </c>
      <c r="N2630" t="s">
        <v>1302</v>
      </c>
      <c r="O2630">
        <v>71</v>
      </c>
      <c r="P2630">
        <v>9171</v>
      </c>
      <c r="Q2630" t="s">
        <v>1303</v>
      </c>
      <c r="R2630" t="s">
        <v>201</v>
      </c>
      <c r="S2630">
        <v>2</v>
      </c>
      <c r="T2630">
        <v>1</v>
      </c>
      <c r="U2630">
        <v>138318</v>
      </c>
      <c r="V2630">
        <v>276636</v>
      </c>
    </row>
    <row r="2631" spans="1:22">
      <c r="A2631" t="s">
        <v>196</v>
      </c>
      <c r="B2631">
        <v>57</v>
      </c>
      <c r="C2631" t="s">
        <v>31</v>
      </c>
      <c r="D2631">
        <v>100</v>
      </c>
      <c r="E2631" t="s">
        <v>197</v>
      </c>
      <c r="F2631">
        <v>1005</v>
      </c>
      <c r="G2631" t="s">
        <v>31</v>
      </c>
      <c r="H2631">
        <v>2016</v>
      </c>
      <c r="I2631" t="s">
        <v>11</v>
      </c>
      <c r="J2631">
        <v>3291</v>
      </c>
      <c r="K2631" t="s">
        <v>1368</v>
      </c>
      <c r="L2631">
        <v>4307</v>
      </c>
      <c r="M2631" t="s">
        <v>1379</v>
      </c>
      <c r="N2631" t="s">
        <v>1309</v>
      </c>
      <c r="O2631">
        <v>91</v>
      </c>
      <c r="P2631">
        <v>9161</v>
      </c>
      <c r="Q2631" t="s">
        <v>1310</v>
      </c>
      <c r="R2631" t="s">
        <v>201</v>
      </c>
      <c r="S2631">
        <v>1</v>
      </c>
      <c r="T2631">
        <v>1</v>
      </c>
      <c r="U2631">
        <v>123576</v>
      </c>
      <c r="V2631">
        <v>123576</v>
      </c>
    </row>
    <row r="2632" spans="1:22">
      <c r="A2632" t="s">
        <v>196</v>
      </c>
      <c r="B2632">
        <v>57</v>
      </c>
      <c r="C2632" t="s">
        <v>31</v>
      </c>
      <c r="D2632">
        <v>100</v>
      </c>
      <c r="E2632" t="s">
        <v>197</v>
      </c>
      <c r="F2632">
        <v>1005</v>
      </c>
      <c r="G2632" t="s">
        <v>31</v>
      </c>
      <c r="H2632">
        <v>2016</v>
      </c>
      <c r="I2632" t="s">
        <v>11</v>
      </c>
      <c r="J2632">
        <v>3291</v>
      </c>
      <c r="K2632" t="s">
        <v>1368</v>
      </c>
      <c r="L2632">
        <v>4307</v>
      </c>
      <c r="M2632" t="s">
        <v>1379</v>
      </c>
      <c r="N2632" t="s">
        <v>1309</v>
      </c>
      <c r="O2632">
        <v>91</v>
      </c>
      <c r="P2632">
        <v>9161</v>
      </c>
      <c r="Q2632" t="s">
        <v>1310</v>
      </c>
      <c r="R2632" t="s">
        <v>201</v>
      </c>
      <c r="S2632">
        <v>5</v>
      </c>
      <c r="T2632">
        <v>1</v>
      </c>
      <c r="U2632">
        <v>111252</v>
      </c>
      <c r="V2632">
        <v>556260</v>
      </c>
    </row>
    <row r="2633" spans="1:22">
      <c r="A2633" t="s">
        <v>196</v>
      </c>
      <c r="B2633">
        <v>57</v>
      </c>
      <c r="C2633" t="s">
        <v>31</v>
      </c>
      <c r="D2633">
        <v>100</v>
      </c>
      <c r="E2633" t="s">
        <v>197</v>
      </c>
      <c r="F2633">
        <v>1005</v>
      </c>
      <c r="G2633" t="s">
        <v>31</v>
      </c>
      <c r="H2633">
        <v>2016</v>
      </c>
      <c r="I2633" t="s">
        <v>11</v>
      </c>
      <c r="J2633">
        <v>3291</v>
      </c>
      <c r="K2633" t="s">
        <v>1368</v>
      </c>
      <c r="L2633">
        <v>4307</v>
      </c>
      <c r="M2633" t="s">
        <v>1379</v>
      </c>
      <c r="N2633" t="s">
        <v>251</v>
      </c>
      <c r="O2633">
        <v>10</v>
      </c>
      <c r="P2633">
        <v>9118</v>
      </c>
      <c r="Q2633" t="s">
        <v>1380</v>
      </c>
      <c r="R2633" t="s">
        <v>201</v>
      </c>
      <c r="S2633">
        <v>1</v>
      </c>
      <c r="T2633">
        <v>1</v>
      </c>
      <c r="U2633">
        <v>83052</v>
      </c>
      <c r="V2633">
        <v>83052</v>
      </c>
    </row>
    <row r="2634" spans="1:22">
      <c r="A2634" t="s">
        <v>196</v>
      </c>
      <c r="B2634">
        <v>57</v>
      </c>
      <c r="C2634" t="s">
        <v>31</v>
      </c>
      <c r="D2634">
        <v>100</v>
      </c>
      <c r="E2634" t="s">
        <v>197</v>
      </c>
      <c r="F2634">
        <v>1005</v>
      </c>
      <c r="G2634" t="s">
        <v>31</v>
      </c>
      <c r="H2634">
        <v>2016</v>
      </c>
      <c r="I2634" t="s">
        <v>11</v>
      </c>
      <c r="J2634">
        <v>3291</v>
      </c>
      <c r="K2634" t="s">
        <v>1368</v>
      </c>
      <c r="L2634">
        <v>4307</v>
      </c>
      <c r="M2634" t="s">
        <v>1379</v>
      </c>
      <c r="N2634" t="s">
        <v>360</v>
      </c>
      <c r="O2634">
        <v>1</v>
      </c>
      <c r="P2634">
        <v>4239</v>
      </c>
      <c r="Q2634" t="s">
        <v>1381</v>
      </c>
      <c r="R2634" t="s">
        <v>201</v>
      </c>
      <c r="S2634">
        <v>1</v>
      </c>
      <c r="T2634">
        <v>1</v>
      </c>
      <c r="U2634">
        <v>94452</v>
      </c>
      <c r="V2634">
        <v>94452</v>
      </c>
    </row>
    <row r="2635" spans="1:22">
      <c r="A2635" t="s">
        <v>196</v>
      </c>
      <c r="B2635">
        <v>57</v>
      </c>
      <c r="C2635" t="s">
        <v>31</v>
      </c>
      <c r="D2635">
        <v>100</v>
      </c>
      <c r="E2635" t="s">
        <v>197</v>
      </c>
      <c r="F2635">
        <v>1005</v>
      </c>
      <c r="G2635" t="s">
        <v>31</v>
      </c>
      <c r="H2635">
        <v>2016</v>
      </c>
      <c r="I2635" t="s">
        <v>11</v>
      </c>
      <c r="J2635">
        <v>3291</v>
      </c>
      <c r="K2635" t="s">
        <v>1368</v>
      </c>
      <c r="L2635">
        <v>4307</v>
      </c>
      <c r="M2635" t="s">
        <v>1379</v>
      </c>
      <c r="N2635" t="s">
        <v>622</v>
      </c>
      <c r="O2635">
        <v>1</v>
      </c>
      <c r="P2635">
        <v>4238</v>
      </c>
      <c r="Q2635" t="s">
        <v>1231</v>
      </c>
      <c r="R2635" t="s">
        <v>201</v>
      </c>
      <c r="S2635">
        <v>3</v>
      </c>
      <c r="T2635">
        <v>1</v>
      </c>
      <c r="U2635">
        <v>90144</v>
      </c>
      <c r="V2635">
        <v>270432</v>
      </c>
    </row>
    <row r="2636" spans="1:22">
      <c r="A2636" t="s">
        <v>196</v>
      </c>
      <c r="B2636">
        <v>57</v>
      </c>
      <c r="C2636" t="s">
        <v>31</v>
      </c>
      <c r="D2636">
        <v>100</v>
      </c>
      <c r="E2636" t="s">
        <v>197</v>
      </c>
      <c r="F2636">
        <v>1005</v>
      </c>
      <c r="G2636" t="s">
        <v>31</v>
      </c>
      <c r="H2636">
        <v>2016</v>
      </c>
      <c r="I2636" t="s">
        <v>11</v>
      </c>
      <c r="J2636">
        <v>3291</v>
      </c>
      <c r="K2636" t="s">
        <v>1368</v>
      </c>
      <c r="L2636">
        <v>4307</v>
      </c>
      <c r="M2636" t="s">
        <v>1379</v>
      </c>
      <c r="N2636" t="s">
        <v>622</v>
      </c>
      <c r="O2636">
        <v>1</v>
      </c>
      <c r="P2636">
        <v>4238</v>
      </c>
      <c r="Q2636" t="s">
        <v>1231</v>
      </c>
      <c r="R2636" t="s">
        <v>201</v>
      </c>
      <c r="S2636">
        <v>1</v>
      </c>
      <c r="T2636">
        <v>1</v>
      </c>
      <c r="U2636">
        <v>86112</v>
      </c>
      <c r="V2636">
        <v>86112</v>
      </c>
    </row>
    <row r="2637" spans="1:22">
      <c r="A2637" t="s">
        <v>196</v>
      </c>
      <c r="B2637">
        <v>57</v>
      </c>
      <c r="C2637" t="s">
        <v>31</v>
      </c>
      <c r="D2637">
        <v>100</v>
      </c>
      <c r="E2637" t="s">
        <v>197</v>
      </c>
      <c r="F2637">
        <v>1005</v>
      </c>
      <c r="G2637" t="s">
        <v>31</v>
      </c>
      <c r="H2637">
        <v>2016</v>
      </c>
      <c r="I2637" t="s">
        <v>11</v>
      </c>
      <c r="J2637">
        <v>3291</v>
      </c>
      <c r="K2637" t="s">
        <v>1368</v>
      </c>
      <c r="L2637">
        <v>4307</v>
      </c>
      <c r="M2637" t="s">
        <v>1379</v>
      </c>
      <c r="N2637" t="s">
        <v>622</v>
      </c>
      <c r="O2637">
        <v>1</v>
      </c>
      <c r="P2637">
        <v>4238</v>
      </c>
      <c r="Q2637" t="s">
        <v>1231</v>
      </c>
      <c r="R2637" t="s">
        <v>201</v>
      </c>
      <c r="S2637">
        <v>2</v>
      </c>
      <c r="T2637">
        <v>1</v>
      </c>
      <c r="U2637">
        <v>71436</v>
      </c>
      <c r="V2637">
        <v>142872</v>
      </c>
    </row>
    <row r="2638" spans="1:22">
      <c r="A2638" t="s">
        <v>196</v>
      </c>
      <c r="B2638">
        <v>57</v>
      </c>
      <c r="C2638" t="s">
        <v>31</v>
      </c>
      <c r="D2638">
        <v>100</v>
      </c>
      <c r="E2638" t="s">
        <v>197</v>
      </c>
      <c r="F2638">
        <v>1005</v>
      </c>
      <c r="G2638" t="s">
        <v>31</v>
      </c>
      <c r="H2638">
        <v>2016</v>
      </c>
      <c r="I2638" t="s">
        <v>11</v>
      </c>
      <c r="J2638">
        <v>3291</v>
      </c>
      <c r="K2638" t="s">
        <v>1368</v>
      </c>
      <c r="L2638">
        <v>4307</v>
      </c>
      <c r="M2638" t="s">
        <v>1379</v>
      </c>
      <c r="N2638" t="s">
        <v>622</v>
      </c>
      <c r="O2638">
        <v>1</v>
      </c>
      <c r="P2638">
        <v>4238</v>
      </c>
      <c r="Q2638" t="s">
        <v>1231</v>
      </c>
      <c r="R2638" t="s">
        <v>201</v>
      </c>
      <c r="S2638">
        <v>5</v>
      </c>
      <c r="T2638">
        <v>1</v>
      </c>
      <c r="U2638">
        <v>68256</v>
      </c>
      <c r="V2638">
        <v>341280</v>
      </c>
    </row>
    <row r="2639" spans="1:22">
      <c r="A2639" t="s">
        <v>196</v>
      </c>
      <c r="B2639">
        <v>57</v>
      </c>
      <c r="C2639" t="s">
        <v>31</v>
      </c>
      <c r="D2639">
        <v>100</v>
      </c>
      <c r="E2639" t="s">
        <v>197</v>
      </c>
      <c r="F2639">
        <v>1005</v>
      </c>
      <c r="G2639" t="s">
        <v>31</v>
      </c>
      <c r="H2639">
        <v>2016</v>
      </c>
      <c r="I2639" t="s">
        <v>11</v>
      </c>
      <c r="J2639">
        <v>3291</v>
      </c>
      <c r="K2639" t="s">
        <v>1368</v>
      </c>
      <c r="L2639">
        <v>4307</v>
      </c>
      <c r="M2639" t="s">
        <v>1379</v>
      </c>
      <c r="N2639" t="s">
        <v>622</v>
      </c>
      <c r="O2639">
        <v>1</v>
      </c>
      <c r="P2639">
        <v>4238</v>
      </c>
      <c r="Q2639" t="s">
        <v>1231</v>
      </c>
      <c r="R2639" t="s">
        <v>201</v>
      </c>
      <c r="S2639">
        <v>1</v>
      </c>
      <c r="T2639">
        <v>1</v>
      </c>
      <c r="U2639">
        <v>56124</v>
      </c>
      <c r="V2639">
        <v>56124</v>
      </c>
    </row>
    <row r="2640" spans="1:22">
      <c r="A2640" t="s">
        <v>196</v>
      </c>
      <c r="B2640">
        <v>57</v>
      </c>
      <c r="C2640" t="s">
        <v>31</v>
      </c>
      <c r="D2640">
        <v>100</v>
      </c>
      <c r="E2640" t="s">
        <v>197</v>
      </c>
      <c r="F2640">
        <v>1005</v>
      </c>
      <c r="G2640" t="s">
        <v>31</v>
      </c>
      <c r="H2640">
        <v>2016</v>
      </c>
      <c r="I2640" t="s">
        <v>11</v>
      </c>
      <c r="J2640">
        <v>3291</v>
      </c>
      <c r="K2640" t="s">
        <v>1368</v>
      </c>
      <c r="L2640">
        <v>4307</v>
      </c>
      <c r="M2640" t="s">
        <v>1379</v>
      </c>
      <c r="N2640" t="s">
        <v>199</v>
      </c>
      <c r="O2640">
        <v>0</v>
      </c>
      <c r="P2640">
        <v>15</v>
      </c>
      <c r="Q2640" t="s">
        <v>264</v>
      </c>
      <c r="R2640" t="s">
        <v>201</v>
      </c>
      <c r="S2640">
        <v>0</v>
      </c>
      <c r="T2640">
        <v>0</v>
      </c>
      <c r="U2640">
        <v>6446</v>
      </c>
      <c r="V2640">
        <v>6446</v>
      </c>
    </row>
    <row r="2641" spans="1:22">
      <c r="A2641" t="s">
        <v>196</v>
      </c>
      <c r="B2641">
        <v>57</v>
      </c>
      <c r="C2641" t="s">
        <v>31</v>
      </c>
      <c r="D2641">
        <v>100</v>
      </c>
      <c r="E2641" t="s">
        <v>197</v>
      </c>
      <c r="F2641">
        <v>1005</v>
      </c>
      <c r="G2641" t="s">
        <v>31</v>
      </c>
      <c r="H2641">
        <v>2016</v>
      </c>
      <c r="I2641" t="s">
        <v>11</v>
      </c>
      <c r="J2641">
        <v>3294</v>
      </c>
      <c r="K2641" t="s">
        <v>1382</v>
      </c>
      <c r="L2641">
        <v>0</v>
      </c>
      <c r="N2641" t="s">
        <v>216</v>
      </c>
      <c r="O2641">
        <v>99</v>
      </c>
      <c r="P2641">
        <v>9752</v>
      </c>
      <c r="Q2641" t="s">
        <v>1296</v>
      </c>
      <c r="R2641" t="s">
        <v>201</v>
      </c>
      <c r="S2641">
        <v>1</v>
      </c>
      <c r="T2641">
        <v>1</v>
      </c>
      <c r="U2641">
        <v>192240</v>
      </c>
      <c r="V2641">
        <v>192240</v>
      </c>
    </row>
    <row r="2642" spans="1:22">
      <c r="A2642" t="s">
        <v>196</v>
      </c>
      <c r="B2642">
        <v>57</v>
      </c>
      <c r="C2642" t="s">
        <v>31</v>
      </c>
      <c r="D2642">
        <v>100</v>
      </c>
      <c r="E2642" t="s">
        <v>197</v>
      </c>
      <c r="F2642">
        <v>1005</v>
      </c>
      <c r="G2642" t="s">
        <v>31</v>
      </c>
      <c r="H2642">
        <v>2016</v>
      </c>
      <c r="I2642" t="s">
        <v>11</v>
      </c>
      <c r="J2642">
        <v>3294</v>
      </c>
      <c r="K2642" t="s">
        <v>1382</v>
      </c>
      <c r="L2642">
        <v>0</v>
      </c>
      <c r="N2642" t="s">
        <v>1304</v>
      </c>
      <c r="O2642">
        <v>73</v>
      </c>
      <c r="P2642">
        <v>9173</v>
      </c>
      <c r="Q2642" t="s">
        <v>1323</v>
      </c>
      <c r="R2642" t="s">
        <v>201</v>
      </c>
      <c r="S2642">
        <v>1</v>
      </c>
      <c r="T2642">
        <v>1</v>
      </c>
      <c r="U2642">
        <v>160746</v>
      </c>
      <c r="V2642">
        <v>160746</v>
      </c>
    </row>
    <row r="2643" spans="1:22">
      <c r="A2643" t="s">
        <v>196</v>
      </c>
      <c r="B2643">
        <v>57</v>
      </c>
      <c r="C2643" t="s">
        <v>31</v>
      </c>
      <c r="D2643">
        <v>100</v>
      </c>
      <c r="E2643" t="s">
        <v>197</v>
      </c>
      <c r="F2643">
        <v>1005</v>
      </c>
      <c r="G2643" t="s">
        <v>31</v>
      </c>
      <c r="H2643">
        <v>2016</v>
      </c>
      <c r="I2643" t="s">
        <v>11</v>
      </c>
      <c r="J2643">
        <v>3294</v>
      </c>
      <c r="K2643" t="s">
        <v>1382</v>
      </c>
      <c r="L2643">
        <v>0</v>
      </c>
      <c r="N2643" t="s">
        <v>1302</v>
      </c>
      <c r="O2643">
        <v>71</v>
      </c>
      <c r="P2643">
        <v>9171</v>
      </c>
      <c r="Q2643" t="s">
        <v>1303</v>
      </c>
      <c r="R2643" t="s">
        <v>201</v>
      </c>
      <c r="S2643">
        <v>2</v>
      </c>
      <c r="T2643">
        <v>1</v>
      </c>
      <c r="U2643">
        <v>147252</v>
      </c>
      <c r="V2643">
        <v>294504</v>
      </c>
    </row>
    <row r="2644" spans="1:22">
      <c r="A2644" t="s">
        <v>196</v>
      </c>
      <c r="B2644">
        <v>57</v>
      </c>
      <c r="C2644" t="s">
        <v>31</v>
      </c>
      <c r="D2644">
        <v>100</v>
      </c>
      <c r="E2644" t="s">
        <v>197</v>
      </c>
      <c r="F2644">
        <v>1005</v>
      </c>
      <c r="G2644" t="s">
        <v>31</v>
      </c>
      <c r="H2644">
        <v>2016</v>
      </c>
      <c r="I2644" t="s">
        <v>11</v>
      </c>
      <c r="J2644">
        <v>3294</v>
      </c>
      <c r="K2644" t="s">
        <v>1382</v>
      </c>
      <c r="L2644">
        <v>0</v>
      </c>
      <c r="N2644" t="s">
        <v>1302</v>
      </c>
      <c r="O2644">
        <v>71</v>
      </c>
      <c r="P2644">
        <v>9171</v>
      </c>
      <c r="Q2644" t="s">
        <v>1303</v>
      </c>
      <c r="R2644" t="s">
        <v>201</v>
      </c>
      <c r="S2644">
        <v>1</v>
      </c>
      <c r="T2644">
        <v>1</v>
      </c>
      <c r="U2644">
        <v>138318</v>
      </c>
      <c r="V2644">
        <v>138318</v>
      </c>
    </row>
    <row r="2645" spans="1:22">
      <c r="A2645" t="s">
        <v>196</v>
      </c>
      <c r="B2645">
        <v>57</v>
      </c>
      <c r="C2645" t="s">
        <v>31</v>
      </c>
      <c r="D2645">
        <v>100</v>
      </c>
      <c r="E2645" t="s">
        <v>197</v>
      </c>
      <c r="F2645">
        <v>1005</v>
      </c>
      <c r="G2645" t="s">
        <v>31</v>
      </c>
      <c r="H2645">
        <v>2016</v>
      </c>
      <c r="I2645" t="s">
        <v>11</v>
      </c>
      <c r="J2645">
        <v>3294</v>
      </c>
      <c r="K2645" t="s">
        <v>1382</v>
      </c>
      <c r="L2645">
        <v>0</v>
      </c>
      <c r="N2645" t="s">
        <v>1324</v>
      </c>
      <c r="O2645">
        <v>91</v>
      </c>
      <c r="P2645">
        <v>9165</v>
      </c>
      <c r="Q2645" t="s">
        <v>1325</v>
      </c>
      <c r="R2645" t="s">
        <v>201</v>
      </c>
      <c r="S2645">
        <v>5</v>
      </c>
      <c r="T2645">
        <v>1</v>
      </c>
      <c r="U2645">
        <v>144792</v>
      </c>
      <c r="V2645">
        <v>723960</v>
      </c>
    </row>
    <row r="2646" spans="1:22">
      <c r="A2646" t="s">
        <v>196</v>
      </c>
      <c r="B2646">
        <v>57</v>
      </c>
      <c r="C2646" t="s">
        <v>31</v>
      </c>
      <c r="D2646">
        <v>100</v>
      </c>
      <c r="E2646" t="s">
        <v>197</v>
      </c>
      <c r="F2646">
        <v>1005</v>
      </c>
      <c r="G2646" t="s">
        <v>31</v>
      </c>
      <c r="H2646">
        <v>2016</v>
      </c>
      <c r="I2646" t="s">
        <v>11</v>
      </c>
      <c r="J2646">
        <v>3294</v>
      </c>
      <c r="K2646" t="s">
        <v>1382</v>
      </c>
      <c r="L2646">
        <v>0</v>
      </c>
      <c r="N2646" t="s">
        <v>1324</v>
      </c>
      <c r="O2646">
        <v>91</v>
      </c>
      <c r="P2646">
        <v>9165</v>
      </c>
      <c r="Q2646" t="s">
        <v>1325</v>
      </c>
      <c r="R2646" t="s">
        <v>201</v>
      </c>
      <c r="S2646">
        <v>3</v>
      </c>
      <c r="T2646">
        <v>1</v>
      </c>
      <c r="U2646">
        <v>140454</v>
      </c>
      <c r="V2646">
        <v>421362</v>
      </c>
    </row>
    <row r="2647" spans="1:22">
      <c r="A2647" t="s">
        <v>196</v>
      </c>
      <c r="B2647">
        <v>57</v>
      </c>
      <c r="C2647" t="s">
        <v>31</v>
      </c>
      <c r="D2647">
        <v>100</v>
      </c>
      <c r="E2647" t="s">
        <v>197</v>
      </c>
      <c r="F2647">
        <v>1005</v>
      </c>
      <c r="G2647" t="s">
        <v>31</v>
      </c>
      <c r="H2647">
        <v>2016</v>
      </c>
      <c r="I2647" t="s">
        <v>11</v>
      </c>
      <c r="J2647">
        <v>3294</v>
      </c>
      <c r="K2647" t="s">
        <v>1382</v>
      </c>
      <c r="L2647">
        <v>0</v>
      </c>
      <c r="N2647" t="s">
        <v>1324</v>
      </c>
      <c r="O2647">
        <v>91</v>
      </c>
      <c r="P2647">
        <v>9165</v>
      </c>
      <c r="Q2647" t="s">
        <v>1325</v>
      </c>
      <c r="R2647" t="s">
        <v>201</v>
      </c>
      <c r="S2647">
        <v>4</v>
      </c>
      <c r="T2647">
        <v>1</v>
      </c>
      <c r="U2647">
        <v>135816</v>
      </c>
      <c r="V2647">
        <v>543264</v>
      </c>
    </row>
    <row r="2648" spans="1:22">
      <c r="A2648" t="s">
        <v>196</v>
      </c>
      <c r="B2648">
        <v>57</v>
      </c>
      <c r="C2648" t="s">
        <v>31</v>
      </c>
      <c r="D2648">
        <v>100</v>
      </c>
      <c r="E2648" t="s">
        <v>197</v>
      </c>
      <c r="F2648">
        <v>1005</v>
      </c>
      <c r="G2648" t="s">
        <v>31</v>
      </c>
      <c r="H2648">
        <v>2016</v>
      </c>
      <c r="I2648" t="s">
        <v>11</v>
      </c>
      <c r="J2648">
        <v>3294</v>
      </c>
      <c r="K2648" t="s">
        <v>1382</v>
      </c>
      <c r="L2648">
        <v>0</v>
      </c>
      <c r="N2648" t="s">
        <v>1324</v>
      </c>
      <c r="O2648">
        <v>91</v>
      </c>
      <c r="P2648">
        <v>9165</v>
      </c>
      <c r="Q2648" t="s">
        <v>1325</v>
      </c>
      <c r="R2648" t="s">
        <v>201</v>
      </c>
      <c r="S2648">
        <v>6</v>
      </c>
      <c r="T2648">
        <v>1</v>
      </c>
      <c r="U2648">
        <v>131448</v>
      </c>
      <c r="V2648">
        <v>788688</v>
      </c>
    </row>
    <row r="2649" spans="1:22">
      <c r="A2649" t="s">
        <v>196</v>
      </c>
      <c r="B2649">
        <v>57</v>
      </c>
      <c r="C2649" t="s">
        <v>31</v>
      </c>
      <c r="D2649">
        <v>100</v>
      </c>
      <c r="E2649" t="s">
        <v>197</v>
      </c>
      <c r="F2649">
        <v>1005</v>
      </c>
      <c r="G2649" t="s">
        <v>31</v>
      </c>
      <c r="H2649">
        <v>2016</v>
      </c>
      <c r="I2649" t="s">
        <v>11</v>
      </c>
      <c r="J2649">
        <v>3294</v>
      </c>
      <c r="K2649" t="s">
        <v>1382</v>
      </c>
      <c r="L2649">
        <v>0</v>
      </c>
      <c r="N2649" t="s">
        <v>1324</v>
      </c>
      <c r="O2649">
        <v>91</v>
      </c>
      <c r="P2649">
        <v>9165</v>
      </c>
      <c r="Q2649" t="s">
        <v>1325</v>
      </c>
      <c r="R2649" t="s">
        <v>201</v>
      </c>
      <c r="S2649">
        <v>2</v>
      </c>
      <c r="T2649">
        <v>1</v>
      </c>
      <c r="U2649">
        <v>127230</v>
      </c>
      <c r="V2649">
        <v>254460</v>
      </c>
    </row>
    <row r="2650" spans="1:22">
      <c r="A2650" t="s">
        <v>196</v>
      </c>
      <c r="B2650">
        <v>57</v>
      </c>
      <c r="C2650" t="s">
        <v>31</v>
      </c>
      <c r="D2650">
        <v>100</v>
      </c>
      <c r="E2650" t="s">
        <v>197</v>
      </c>
      <c r="F2650">
        <v>1005</v>
      </c>
      <c r="G2650" t="s">
        <v>31</v>
      </c>
      <c r="H2650">
        <v>2016</v>
      </c>
      <c r="I2650" t="s">
        <v>11</v>
      </c>
      <c r="J2650">
        <v>3294</v>
      </c>
      <c r="K2650" t="s">
        <v>1382</v>
      </c>
      <c r="L2650">
        <v>0</v>
      </c>
      <c r="N2650" t="s">
        <v>1324</v>
      </c>
      <c r="O2650">
        <v>91</v>
      </c>
      <c r="P2650">
        <v>9165</v>
      </c>
      <c r="Q2650" t="s">
        <v>1325</v>
      </c>
      <c r="R2650" t="s">
        <v>201</v>
      </c>
      <c r="S2650">
        <v>6</v>
      </c>
      <c r="T2650">
        <v>1</v>
      </c>
      <c r="U2650">
        <v>99426</v>
      </c>
      <c r="V2650">
        <v>596556</v>
      </c>
    </row>
    <row r="2651" spans="1:22">
      <c r="A2651" t="s">
        <v>196</v>
      </c>
      <c r="B2651">
        <v>57</v>
      </c>
      <c r="C2651" t="s">
        <v>31</v>
      </c>
      <c r="D2651">
        <v>100</v>
      </c>
      <c r="E2651" t="s">
        <v>197</v>
      </c>
      <c r="F2651">
        <v>1005</v>
      </c>
      <c r="G2651" t="s">
        <v>31</v>
      </c>
      <c r="H2651">
        <v>2016</v>
      </c>
      <c r="I2651" t="s">
        <v>11</v>
      </c>
      <c r="J2651">
        <v>3294</v>
      </c>
      <c r="K2651" t="s">
        <v>1382</v>
      </c>
      <c r="L2651">
        <v>0</v>
      </c>
      <c r="N2651" t="s">
        <v>199</v>
      </c>
      <c r="O2651">
        <v>0</v>
      </c>
      <c r="P2651">
        <v>15</v>
      </c>
      <c r="Q2651" t="s">
        <v>264</v>
      </c>
      <c r="R2651" t="s">
        <v>201</v>
      </c>
      <c r="S2651">
        <v>0</v>
      </c>
      <c r="T2651">
        <v>0</v>
      </c>
      <c r="U2651">
        <v>10790</v>
      </c>
      <c r="V2651">
        <v>10790</v>
      </c>
    </row>
    <row r="2652" spans="1:22">
      <c r="A2652" t="s">
        <v>196</v>
      </c>
      <c r="B2652">
        <v>57</v>
      </c>
      <c r="C2652" t="s">
        <v>31</v>
      </c>
      <c r="D2652">
        <v>100</v>
      </c>
      <c r="E2652" t="s">
        <v>197</v>
      </c>
      <c r="F2652">
        <v>1005</v>
      </c>
      <c r="G2652" t="s">
        <v>31</v>
      </c>
      <c r="H2652">
        <v>2028</v>
      </c>
      <c r="I2652" t="s">
        <v>6</v>
      </c>
      <c r="J2652">
        <v>3330</v>
      </c>
      <c r="K2652" t="s">
        <v>6</v>
      </c>
      <c r="L2652">
        <v>0</v>
      </c>
      <c r="N2652" t="s">
        <v>199</v>
      </c>
      <c r="O2652">
        <v>99</v>
      </c>
      <c r="P2652">
        <v>9796</v>
      </c>
      <c r="Q2652" t="s">
        <v>1319</v>
      </c>
      <c r="R2652" t="s">
        <v>201</v>
      </c>
      <c r="S2652">
        <v>1</v>
      </c>
      <c r="T2652">
        <v>1</v>
      </c>
      <c r="U2652">
        <v>201048</v>
      </c>
      <c r="V2652">
        <v>201048</v>
      </c>
    </row>
    <row r="2653" spans="1:22">
      <c r="A2653" t="s">
        <v>196</v>
      </c>
      <c r="B2653">
        <v>57</v>
      </c>
      <c r="C2653" t="s">
        <v>31</v>
      </c>
      <c r="D2653">
        <v>100</v>
      </c>
      <c r="E2653" t="s">
        <v>197</v>
      </c>
      <c r="F2653">
        <v>1005</v>
      </c>
      <c r="G2653" t="s">
        <v>31</v>
      </c>
      <c r="H2653">
        <v>2028</v>
      </c>
      <c r="I2653" t="s">
        <v>6</v>
      </c>
      <c r="J2653">
        <v>3330</v>
      </c>
      <c r="K2653" t="s">
        <v>6</v>
      </c>
      <c r="L2653">
        <v>0</v>
      </c>
      <c r="N2653" t="s">
        <v>199</v>
      </c>
      <c r="O2653">
        <v>99</v>
      </c>
      <c r="P2653">
        <v>9785</v>
      </c>
      <c r="Q2653" t="s">
        <v>1320</v>
      </c>
      <c r="R2653" t="s">
        <v>201</v>
      </c>
      <c r="S2653">
        <v>1</v>
      </c>
      <c r="T2653">
        <v>1</v>
      </c>
      <c r="U2653">
        <v>219048</v>
      </c>
      <c r="V2653">
        <v>219048</v>
      </c>
    </row>
    <row r="2654" spans="1:22">
      <c r="A2654" t="s">
        <v>196</v>
      </c>
      <c r="B2654">
        <v>57</v>
      </c>
      <c r="C2654" t="s">
        <v>31</v>
      </c>
      <c r="D2654">
        <v>100</v>
      </c>
      <c r="E2654" t="s">
        <v>197</v>
      </c>
      <c r="F2654">
        <v>1005</v>
      </c>
      <c r="G2654" t="s">
        <v>31</v>
      </c>
      <c r="H2654">
        <v>2028</v>
      </c>
      <c r="I2654" t="s">
        <v>6</v>
      </c>
      <c r="J2654">
        <v>3330</v>
      </c>
      <c r="K2654" t="s">
        <v>6</v>
      </c>
      <c r="L2654">
        <v>0</v>
      </c>
      <c r="N2654" t="s">
        <v>216</v>
      </c>
      <c r="O2654">
        <v>99</v>
      </c>
      <c r="P2654">
        <v>9752</v>
      </c>
      <c r="Q2654" t="s">
        <v>1296</v>
      </c>
      <c r="R2654" t="s">
        <v>201</v>
      </c>
      <c r="S2654">
        <v>1</v>
      </c>
      <c r="T2654">
        <v>1</v>
      </c>
      <c r="U2654">
        <v>192240</v>
      </c>
      <c r="V2654">
        <v>192240</v>
      </c>
    </row>
    <row r="2655" spans="1:22">
      <c r="A2655" t="s">
        <v>196</v>
      </c>
      <c r="B2655">
        <v>57</v>
      </c>
      <c r="C2655" t="s">
        <v>31</v>
      </c>
      <c r="D2655">
        <v>100</v>
      </c>
      <c r="E2655" t="s">
        <v>197</v>
      </c>
      <c r="F2655">
        <v>1005</v>
      </c>
      <c r="G2655" t="s">
        <v>31</v>
      </c>
      <c r="H2655">
        <v>2028</v>
      </c>
      <c r="I2655" t="s">
        <v>6</v>
      </c>
      <c r="J2655">
        <v>3330</v>
      </c>
      <c r="K2655" t="s">
        <v>6</v>
      </c>
      <c r="L2655">
        <v>0</v>
      </c>
      <c r="N2655" t="s">
        <v>1304</v>
      </c>
      <c r="O2655">
        <v>73</v>
      </c>
      <c r="P2655">
        <v>9173</v>
      </c>
      <c r="Q2655" t="s">
        <v>1323</v>
      </c>
      <c r="R2655" t="s">
        <v>201</v>
      </c>
      <c r="S2655">
        <v>1</v>
      </c>
      <c r="T2655">
        <v>1</v>
      </c>
      <c r="U2655">
        <v>165624</v>
      </c>
      <c r="V2655">
        <v>165624</v>
      </c>
    </row>
    <row r="2656" spans="1:22">
      <c r="A2656" t="s">
        <v>196</v>
      </c>
      <c r="B2656">
        <v>57</v>
      </c>
      <c r="C2656" t="s">
        <v>31</v>
      </c>
      <c r="D2656">
        <v>100</v>
      </c>
      <c r="E2656" t="s">
        <v>197</v>
      </c>
      <c r="F2656">
        <v>1005</v>
      </c>
      <c r="G2656" t="s">
        <v>31</v>
      </c>
      <c r="H2656">
        <v>2028</v>
      </c>
      <c r="I2656" t="s">
        <v>6</v>
      </c>
      <c r="J2656">
        <v>3330</v>
      </c>
      <c r="K2656" t="s">
        <v>6</v>
      </c>
      <c r="L2656">
        <v>0</v>
      </c>
      <c r="N2656" t="s">
        <v>1302</v>
      </c>
      <c r="O2656">
        <v>71</v>
      </c>
      <c r="P2656">
        <v>9171</v>
      </c>
      <c r="Q2656" t="s">
        <v>1303</v>
      </c>
      <c r="R2656" t="s">
        <v>201</v>
      </c>
      <c r="S2656">
        <v>1</v>
      </c>
      <c r="T2656">
        <v>1</v>
      </c>
      <c r="U2656">
        <v>147252</v>
      </c>
      <c r="V2656">
        <v>147252</v>
      </c>
    </row>
    <row r="2657" spans="1:22">
      <c r="A2657" t="s">
        <v>196</v>
      </c>
      <c r="B2657">
        <v>57</v>
      </c>
      <c r="C2657" t="s">
        <v>31</v>
      </c>
      <c r="D2657">
        <v>100</v>
      </c>
      <c r="E2657" t="s">
        <v>197</v>
      </c>
      <c r="F2657">
        <v>1005</v>
      </c>
      <c r="G2657" t="s">
        <v>31</v>
      </c>
      <c r="H2657">
        <v>2028</v>
      </c>
      <c r="I2657" t="s">
        <v>6</v>
      </c>
      <c r="J2657">
        <v>3330</v>
      </c>
      <c r="K2657" t="s">
        <v>6</v>
      </c>
      <c r="L2657">
        <v>0</v>
      </c>
      <c r="N2657" t="s">
        <v>1309</v>
      </c>
      <c r="O2657">
        <v>91</v>
      </c>
      <c r="P2657">
        <v>9161</v>
      </c>
      <c r="Q2657" t="s">
        <v>1310</v>
      </c>
      <c r="R2657" t="s">
        <v>201</v>
      </c>
      <c r="S2657">
        <v>1</v>
      </c>
      <c r="T2657">
        <v>1</v>
      </c>
      <c r="U2657">
        <v>119154</v>
      </c>
      <c r="V2657">
        <v>119154</v>
      </c>
    </row>
    <row r="2658" spans="1:22">
      <c r="A2658" t="s">
        <v>196</v>
      </c>
      <c r="B2658">
        <v>57</v>
      </c>
      <c r="C2658" t="s">
        <v>31</v>
      </c>
      <c r="D2658">
        <v>100</v>
      </c>
      <c r="E2658" t="s">
        <v>197</v>
      </c>
      <c r="F2658">
        <v>1005</v>
      </c>
      <c r="G2658" t="s">
        <v>31</v>
      </c>
      <c r="H2658">
        <v>2028</v>
      </c>
      <c r="I2658" t="s">
        <v>6</v>
      </c>
      <c r="J2658">
        <v>3330</v>
      </c>
      <c r="K2658" t="s">
        <v>6</v>
      </c>
      <c r="L2658">
        <v>0</v>
      </c>
      <c r="N2658" t="s">
        <v>1309</v>
      </c>
      <c r="O2658">
        <v>91</v>
      </c>
      <c r="P2658">
        <v>9161</v>
      </c>
      <c r="Q2658" t="s">
        <v>1310</v>
      </c>
      <c r="R2658" t="s">
        <v>201</v>
      </c>
      <c r="S2658">
        <v>1</v>
      </c>
      <c r="T2658">
        <v>1</v>
      </c>
      <c r="U2658">
        <v>115158</v>
      </c>
      <c r="V2658">
        <v>115158</v>
      </c>
    </row>
    <row r="2659" spans="1:22">
      <c r="A2659" t="s">
        <v>196</v>
      </c>
      <c r="B2659">
        <v>57</v>
      </c>
      <c r="C2659" t="s">
        <v>31</v>
      </c>
      <c r="D2659">
        <v>100</v>
      </c>
      <c r="E2659" t="s">
        <v>197</v>
      </c>
      <c r="F2659">
        <v>1005</v>
      </c>
      <c r="G2659" t="s">
        <v>31</v>
      </c>
      <c r="H2659">
        <v>2028</v>
      </c>
      <c r="I2659" t="s">
        <v>6</v>
      </c>
      <c r="J2659">
        <v>3330</v>
      </c>
      <c r="K2659" t="s">
        <v>6</v>
      </c>
      <c r="L2659">
        <v>0</v>
      </c>
      <c r="N2659" t="s">
        <v>1309</v>
      </c>
      <c r="O2659">
        <v>91</v>
      </c>
      <c r="P2659">
        <v>9161</v>
      </c>
      <c r="Q2659" t="s">
        <v>1310</v>
      </c>
      <c r="R2659" t="s">
        <v>201</v>
      </c>
      <c r="S2659">
        <v>1</v>
      </c>
      <c r="T2659">
        <v>1</v>
      </c>
      <c r="U2659">
        <v>111252</v>
      </c>
      <c r="V2659">
        <v>111252</v>
      </c>
    </row>
    <row r="2660" spans="1:22">
      <c r="A2660" t="s">
        <v>196</v>
      </c>
      <c r="B2660">
        <v>57</v>
      </c>
      <c r="C2660" t="s">
        <v>31</v>
      </c>
      <c r="D2660">
        <v>100</v>
      </c>
      <c r="E2660" t="s">
        <v>197</v>
      </c>
      <c r="F2660">
        <v>1005</v>
      </c>
      <c r="G2660" t="s">
        <v>31</v>
      </c>
      <c r="H2660">
        <v>2028</v>
      </c>
      <c r="I2660" t="s">
        <v>6</v>
      </c>
      <c r="J2660">
        <v>3330</v>
      </c>
      <c r="K2660" t="s">
        <v>6</v>
      </c>
      <c r="L2660">
        <v>0</v>
      </c>
      <c r="N2660" t="s">
        <v>199</v>
      </c>
      <c r="O2660">
        <v>0</v>
      </c>
      <c r="P2660">
        <v>15</v>
      </c>
      <c r="Q2660" t="s">
        <v>264</v>
      </c>
      <c r="R2660" t="s">
        <v>201</v>
      </c>
      <c r="S2660">
        <v>0</v>
      </c>
      <c r="T2660">
        <v>0</v>
      </c>
      <c r="U2660">
        <v>3284</v>
      </c>
      <c r="V2660">
        <v>3284</v>
      </c>
    </row>
    <row r="2661" spans="1:22">
      <c r="A2661" t="s">
        <v>196</v>
      </c>
      <c r="B2661">
        <v>57</v>
      </c>
      <c r="C2661" t="s">
        <v>31</v>
      </c>
      <c r="D2661">
        <v>100</v>
      </c>
      <c r="E2661" t="s">
        <v>197</v>
      </c>
      <c r="F2661">
        <v>1005</v>
      </c>
      <c r="G2661" t="s">
        <v>31</v>
      </c>
      <c r="H2661">
        <v>2028</v>
      </c>
      <c r="I2661" t="s">
        <v>6</v>
      </c>
      <c r="J2661">
        <v>3334</v>
      </c>
      <c r="K2661" t="s">
        <v>1383</v>
      </c>
      <c r="L2661">
        <v>0</v>
      </c>
      <c r="N2661" t="s">
        <v>216</v>
      </c>
      <c r="O2661">
        <v>99</v>
      </c>
      <c r="P2661">
        <v>9752</v>
      </c>
      <c r="Q2661" t="s">
        <v>1296</v>
      </c>
      <c r="R2661" t="s">
        <v>201</v>
      </c>
      <c r="S2661">
        <v>1</v>
      </c>
      <c r="T2661">
        <v>1</v>
      </c>
      <c r="U2661">
        <v>192240</v>
      </c>
      <c r="V2661">
        <v>192240</v>
      </c>
    </row>
    <row r="2662" spans="1:22">
      <c r="A2662" t="s">
        <v>196</v>
      </c>
      <c r="B2662">
        <v>57</v>
      </c>
      <c r="C2662" t="s">
        <v>31</v>
      </c>
      <c r="D2662">
        <v>100</v>
      </c>
      <c r="E2662" t="s">
        <v>197</v>
      </c>
      <c r="F2662">
        <v>1005</v>
      </c>
      <c r="G2662" t="s">
        <v>31</v>
      </c>
      <c r="H2662">
        <v>2028</v>
      </c>
      <c r="I2662" t="s">
        <v>6</v>
      </c>
      <c r="J2662">
        <v>3334</v>
      </c>
      <c r="K2662" t="s">
        <v>1383</v>
      </c>
      <c r="L2662">
        <v>0</v>
      </c>
      <c r="N2662" t="s">
        <v>1304</v>
      </c>
      <c r="O2662">
        <v>73</v>
      </c>
      <c r="P2662">
        <v>9173</v>
      </c>
      <c r="Q2662" t="s">
        <v>1323</v>
      </c>
      <c r="R2662" t="s">
        <v>201</v>
      </c>
      <c r="S2662">
        <v>3</v>
      </c>
      <c r="T2662">
        <v>1</v>
      </c>
      <c r="U2662">
        <v>170700</v>
      </c>
      <c r="V2662">
        <v>512100</v>
      </c>
    </row>
    <row r="2663" spans="1:22">
      <c r="A2663" t="s">
        <v>196</v>
      </c>
      <c r="B2663">
        <v>57</v>
      </c>
      <c r="C2663" t="s">
        <v>31</v>
      </c>
      <c r="D2663">
        <v>100</v>
      </c>
      <c r="E2663" t="s">
        <v>197</v>
      </c>
      <c r="F2663">
        <v>1005</v>
      </c>
      <c r="G2663" t="s">
        <v>31</v>
      </c>
      <c r="H2663">
        <v>2028</v>
      </c>
      <c r="I2663" t="s">
        <v>6</v>
      </c>
      <c r="J2663">
        <v>3334</v>
      </c>
      <c r="K2663" t="s">
        <v>1383</v>
      </c>
      <c r="L2663">
        <v>0</v>
      </c>
      <c r="N2663" t="s">
        <v>1304</v>
      </c>
      <c r="O2663">
        <v>73</v>
      </c>
      <c r="P2663">
        <v>9173</v>
      </c>
      <c r="Q2663" t="s">
        <v>1323</v>
      </c>
      <c r="R2663" t="s">
        <v>201</v>
      </c>
      <c r="S2663">
        <v>1</v>
      </c>
      <c r="T2663">
        <v>1</v>
      </c>
      <c r="U2663">
        <v>160746</v>
      </c>
      <c r="V2663">
        <v>160746</v>
      </c>
    </row>
    <row r="2664" spans="1:22">
      <c r="A2664" t="s">
        <v>196</v>
      </c>
      <c r="B2664">
        <v>57</v>
      </c>
      <c r="C2664" t="s">
        <v>31</v>
      </c>
      <c r="D2664">
        <v>100</v>
      </c>
      <c r="E2664" t="s">
        <v>197</v>
      </c>
      <c r="F2664">
        <v>1005</v>
      </c>
      <c r="G2664" t="s">
        <v>31</v>
      </c>
      <c r="H2664">
        <v>2028</v>
      </c>
      <c r="I2664" t="s">
        <v>6</v>
      </c>
      <c r="J2664">
        <v>3334</v>
      </c>
      <c r="K2664" t="s">
        <v>1383</v>
      </c>
      <c r="L2664">
        <v>0</v>
      </c>
      <c r="N2664" t="s">
        <v>1302</v>
      </c>
      <c r="O2664">
        <v>71</v>
      </c>
      <c r="P2664">
        <v>9171</v>
      </c>
      <c r="Q2664" t="s">
        <v>1303</v>
      </c>
      <c r="R2664" t="s">
        <v>201</v>
      </c>
      <c r="S2664">
        <v>2</v>
      </c>
      <c r="T2664">
        <v>1</v>
      </c>
      <c r="U2664">
        <v>156564</v>
      </c>
      <c r="V2664">
        <v>313128</v>
      </c>
    </row>
    <row r="2665" spans="1:22">
      <c r="A2665" t="s">
        <v>196</v>
      </c>
      <c r="B2665">
        <v>57</v>
      </c>
      <c r="C2665" t="s">
        <v>31</v>
      </c>
      <c r="D2665">
        <v>100</v>
      </c>
      <c r="E2665" t="s">
        <v>197</v>
      </c>
      <c r="F2665">
        <v>1005</v>
      </c>
      <c r="G2665" t="s">
        <v>31</v>
      </c>
      <c r="H2665">
        <v>2028</v>
      </c>
      <c r="I2665" t="s">
        <v>6</v>
      </c>
      <c r="J2665">
        <v>3334</v>
      </c>
      <c r="K2665" t="s">
        <v>1383</v>
      </c>
      <c r="L2665">
        <v>0</v>
      </c>
      <c r="N2665" t="s">
        <v>1302</v>
      </c>
      <c r="O2665">
        <v>71</v>
      </c>
      <c r="P2665">
        <v>9171</v>
      </c>
      <c r="Q2665" t="s">
        <v>1303</v>
      </c>
      <c r="R2665" t="s">
        <v>201</v>
      </c>
      <c r="S2665">
        <v>7</v>
      </c>
      <c r="T2665">
        <v>1</v>
      </c>
      <c r="U2665">
        <v>152010</v>
      </c>
      <c r="V2665">
        <v>1064070</v>
      </c>
    </row>
    <row r="2666" spans="1:22">
      <c r="A2666" t="s">
        <v>196</v>
      </c>
      <c r="B2666">
        <v>57</v>
      </c>
      <c r="C2666" t="s">
        <v>31</v>
      </c>
      <c r="D2666">
        <v>100</v>
      </c>
      <c r="E2666" t="s">
        <v>197</v>
      </c>
      <c r="F2666">
        <v>1005</v>
      </c>
      <c r="G2666" t="s">
        <v>31</v>
      </c>
      <c r="H2666">
        <v>2028</v>
      </c>
      <c r="I2666" t="s">
        <v>6</v>
      </c>
      <c r="J2666">
        <v>3334</v>
      </c>
      <c r="K2666" t="s">
        <v>1383</v>
      </c>
      <c r="L2666">
        <v>0</v>
      </c>
      <c r="N2666" t="s">
        <v>1302</v>
      </c>
      <c r="O2666">
        <v>71</v>
      </c>
      <c r="P2666">
        <v>9171</v>
      </c>
      <c r="Q2666" t="s">
        <v>1303</v>
      </c>
      <c r="R2666" t="s">
        <v>201</v>
      </c>
      <c r="S2666">
        <v>6</v>
      </c>
      <c r="T2666">
        <v>1</v>
      </c>
      <c r="U2666">
        <v>147252</v>
      </c>
      <c r="V2666">
        <v>883512</v>
      </c>
    </row>
    <row r="2667" spans="1:22">
      <c r="A2667" t="s">
        <v>196</v>
      </c>
      <c r="B2667">
        <v>57</v>
      </c>
      <c r="C2667" t="s">
        <v>31</v>
      </c>
      <c r="D2667">
        <v>100</v>
      </c>
      <c r="E2667" t="s">
        <v>197</v>
      </c>
      <c r="F2667">
        <v>1005</v>
      </c>
      <c r="G2667" t="s">
        <v>31</v>
      </c>
      <c r="H2667">
        <v>2028</v>
      </c>
      <c r="I2667" t="s">
        <v>6</v>
      </c>
      <c r="J2667">
        <v>3334</v>
      </c>
      <c r="K2667" t="s">
        <v>1383</v>
      </c>
      <c r="L2667">
        <v>0</v>
      </c>
      <c r="N2667" t="s">
        <v>1302</v>
      </c>
      <c r="O2667">
        <v>71</v>
      </c>
      <c r="P2667">
        <v>9171</v>
      </c>
      <c r="Q2667" t="s">
        <v>1303</v>
      </c>
      <c r="R2667" t="s">
        <v>201</v>
      </c>
      <c r="S2667">
        <v>6</v>
      </c>
      <c r="T2667">
        <v>1</v>
      </c>
      <c r="U2667">
        <v>142668</v>
      </c>
      <c r="V2667">
        <v>856008</v>
      </c>
    </row>
    <row r="2668" spans="1:22">
      <c r="A2668" t="s">
        <v>196</v>
      </c>
      <c r="B2668">
        <v>57</v>
      </c>
      <c r="C2668" t="s">
        <v>31</v>
      </c>
      <c r="D2668">
        <v>100</v>
      </c>
      <c r="E2668" t="s">
        <v>197</v>
      </c>
      <c r="F2668">
        <v>1005</v>
      </c>
      <c r="G2668" t="s">
        <v>31</v>
      </c>
      <c r="H2668">
        <v>2028</v>
      </c>
      <c r="I2668" t="s">
        <v>6</v>
      </c>
      <c r="J2668">
        <v>3334</v>
      </c>
      <c r="K2668" t="s">
        <v>1383</v>
      </c>
      <c r="L2668">
        <v>0</v>
      </c>
      <c r="N2668" t="s">
        <v>1302</v>
      </c>
      <c r="O2668">
        <v>71</v>
      </c>
      <c r="P2668">
        <v>9171</v>
      </c>
      <c r="Q2668" t="s">
        <v>1303</v>
      </c>
      <c r="R2668" t="s">
        <v>201</v>
      </c>
      <c r="S2668">
        <v>4</v>
      </c>
      <c r="T2668">
        <v>1</v>
      </c>
      <c r="U2668">
        <v>138318</v>
      </c>
      <c r="V2668">
        <v>553272</v>
      </c>
    </row>
    <row r="2669" spans="1:22">
      <c r="A2669" t="s">
        <v>196</v>
      </c>
      <c r="B2669">
        <v>57</v>
      </c>
      <c r="C2669" t="s">
        <v>31</v>
      </c>
      <c r="D2669">
        <v>100</v>
      </c>
      <c r="E2669" t="s">
        <v>197</v>
      </c>
      <c r="F2669">
        <v>1005</v>
      </c>
      <c r="G2669" t="s">
        <v>31</v>
      </c>
      <c r="H2669">
        <v>2028</v>
      </c>
      <c r="I2669" t="s">
        <v>6</v>
      </c>
      <c r="J2669">
        <v>3334</v>
      </c>
      <c r="K2669" t="s">
        <v>1383</v>
      </c>
      <c r="L2669">
        <v>0</v>
      </c>
      <c r="N2669" t="s">
        <v>1324</v>
      </c>
      <c r="O2669">
        <v>91</v>
      </c>
      <c r="P2669">
        <v>9165</v>
      </c>
      <c r="Q2669" t="s">
        <v>1325</v>
      </c>
      <c r="R2669" t="s">
        <v>201</v>
      </c>
      <c r="S2669">
        <v>3</v>
      </c>
      <c r="T2669">
        <v>1</v>
      </c>
      <c r="U2669">
        <v>99426</v>
      </c>
      <c r="V2669">
        <v>298278</v>
      </c>
    </row>
    <row r="2670" spans="1:22">
      <c r="A2670" t="s">
        <v>196</v>
      </c>
      <c r="B2670">
        <v>57</v>
      </c>
      <c r="C2670" t="s">
        <v>31</v>
      </c>
      <c r="D2670">
        <v>100</v>
      </c>
      <c r="E2670" t="s">
        <v>197</v>
      </c>
      <c r="F2670">
        <v>1005</v>
      </c>
      <c r="G2670" t="s">
        <v>31</v>
      </c>
      <c r="H2670">
        <v>2028</v>
      </c>
      <c r="I2670" t="s">
        <v>6</v>
      </c>
      <c r="J2670">
        <v>3334</v>
      </c>
      <c r="K2670" t="s">
        <v>1383</v>
      </c>
      <c r="L2670">
        <v>0</v>
      </c>
      <c r="N2670" t="s">
        <v>1309</v>
      </c>
      <c r="O2670">
        <v>91</v>
      </c>
      <c r="P2670">
        <v>9161</v>
      </c>
      <c r="Q2670" t="s">
        <v>1310</v>
      </c>
      <c r="R2670" t="s">
        <v>201</v>
      </c>
      <c r="S2670">
        <v>21</v>
      </c>
      <c r="T2670">
        <v>1</v>
      </c>
      <c r="U2670">
        <v>127146</v>
      </c>
      <c r="V2670">
        <v>2670066</v>
      </c>
    </row>
    <row r="2671" spans="1:22">
      <c r="A2671" t="s">
        <v>196</v>
      </c>
      <c r="B2671">
        <v>57</v>
      </c>
      <c r="C2671" t="s">
        <v>31</v>
      </c>
      <c r="D2671">
        <v>100</v>
      </c>
      <c r="E2671" t="s">
        <v>197</v>
      </c>
      <c r="F2671">
        <v>1005</v>
      </c>
      <c r="G2671" t="s">
        <v>31</v>
      </c>
      <c r="H2671">
        <v>2028</v>
      </c>
      <c r="I2671" t="s">
        <v>6</v>
      </c>
      <c r="J2671">
        <v>3334</v>
      </c>
      <c r="K2671" t="s">
        <v>1383</v>
      </c>
      <c r="L2671">
        <v>0</v>
      </c>
      <c r="N2671" t="s">
        <v>1309</v>
      </c>
      <c r="O2671">
        <v>91</v>
      </c>
      <c r="P2671">
        <v>9161</v>
      </c>
      <c r="Q2671" t="s">
        <v>1310</v>
      </c>
      <c r="R2671" t="s">
        <v>201</v>
      </c>
      <c r="S2671">
        <v>7</v>
      </c>
      <c r="T2671">
        <v>1</v>
      </c>
      <c r="U2671">
        <v>123576</v>
      </c>
      <c r="V2671">
        <v>865032</v>
      </c>
    </row>
    <row r="2672" spans="1:22">
      <c r="A2672" t="s">
        <v>196</v>
      </c>
      <c r="B2672">
        <v>57</v>
      </c>
      <c r="C2672" t="s">
        <v>31</v>
      </c>
      <c r="D2672">
        <v>100</v>
      </c>
      <c r="E2672" t="s">
        <v>197</v>
      </c>
      <c r="F2672">
        <v>1005</v>
      </c>
      <c r="G2672" t="s">
        <v>31</v>
      </c>
      <c r="H2672">
        <v>2028</v>
      </c>
      <c r="I2672" t="s">
        <v>6</v>
      </c>
      <c r="J2672">
        <v>3334</v>
      </c>
      <c r="K2672" t="s">
        <v>1383</v>
      </c>
      <c r="L2672">
        <v>0</v>
      </c>
      <c r="N2672" t="s">
        <v>1309</v>
      </c>
      <c r="O2672">
        <v>91</v>
      </c>
      <c r="P2672">
        <v>9161</v>
      </c>
      <c r="Q2672" t="s">
        <v>1310</v>
      </c>
      <c r="R2672" t="s">
        <v>201</v>
      </c>
      <c r="S2672">
        <v>3</v>
      </c>
      <c r="T2672">
        <v>1</v>
      </c>
      <c r="U2672">
        <v>119154</v>
      </c>
      <c r="V2672">
        <v>357462</v>
      </c>
    </row>
    <row r="2673" spans="1:22">
      <c r="A2673" t="s">
        <v>196</v>
      </c>
      <c r="B2673">
        <v>57</v>
      </c>
      <c r="C2673" t="s">
        <v>31</v>
      </c>
      <c r="D2673">
        <v>100</v>
      </c>
      <c r="E2673" t="s">
        <v>197</v>
      </c>
      <c r="F2673">
        <v>1005</v>
      </c>
      <c r="G2673" t="s">
        <v>31</v>
      </c>
      <c r="H2673">
        <v>2028</v>
      </c>
      <c r="I2673" t="s">
        <v>6</v>
      </c>
      <c r="J2673">
        <v>3334</v>
      </c>
      <c r="K2673" t="s">
        <v>1383</v>
      </c>
      <c r="L2673">
        <v>0</v>
      </c>
      <c r="N2673" t="s">
        <v>1309</v>
      </c>
      <c r="O2673">
        <v>91</v>
      </c>
      <c r="P2673">
        <v>9161</v>
      </c>
      <c r="Q2673" t="s">
        <v>1310</v>
      </c>
      <c r="R2673" t="s">
        <v>201</v>
      </c>
      <c r="S2673">
        <v>2</v>
      </c>
      <c r="T2673">
        <v>1</v>
      </c>
      <c r="U2673">
        <v>115158</v>
      </c>
      <c r="V2673">
        <v>230316</v>
      </c>
    </row>
    <row r="2674" spans="1:22">
      <c r="A2674" t="s">
        <v>196</v>
      </c>
      <c r="B2674">
        <v>57</v>
      </c>
      <c r="C2674" t="s">
        <v>31</v>
      </c>
      <c r="D2674">
        <v>100</v>
      </c>
      <c r="E2674" t="s">
        <v>197</v>
      </c>
      <c r="F2674">
        <v>1005</v>
      </c>
      <c r="G2674" t="s">
        <v>31</v>
      </c>
      <c r="H2674">
        <v>2028</v>
      </c>
      <c r="I2674" t="s">
        <v>6</v>
      </c>
      <c r="J2674">
        <v>3334</v>
      </c>
      <c r="K2674" t="s">
        <v>1383</v>
      </c>
      <c r="L2674">
        <v>0</v>
      </c>
      <c r="N2674" t="s">
        <v>1309</v>
      </c>
      <c r="O2674">
        <v>91</v>
      </c>
      <c r="P2674">
        <v>9161</v>
      </c>
      <c r="Q2674" t="s">
        <v>1310</v>
      </c>
      <c r="R2674" t="s">
        <v>201</v>
      </c>
      <c r="S2674">
        <v>10</v>
      </c>
      <c r="T2674">
        <v>1</v>
      </c>
      <c r="U2674">
        <v>111252</v>
      </c>
      <c r="V2674">
        <v>1112520</v>
      </c>
    </row>
    <row r="2675" spans="1:22">
      <c r="A2675" t="s">
        <v>196</v>
      </c>
      <c r="B2675">
        <v>57</v>
      </c>
      <c r="C2675" t="s">
        <v>31</v>
      </c>
      <c r="D2675">
        <v>100</v>
      </c>
      <c r="E2675" t="s">
        <v>197</v>
      </c>
      <c r="F2675">
        <v>1005</v>
      </c>
      <c r="G2675" t="s">
        <v>31</v>
      </c>
      <c r="H2675">
        <v>2028</v>
      </c>
      <c r="I2675" t="s">
        <v>6</v>
      </c>
      <c r="J2675">
        <v>3334</v>
      </c>
      <c r="K2675" t="s">
        <v>1383</v>
      </c>
      <c r="L2675">
        <v>0</v>
      </c>
      <c r="N2675" t="s">
        <v>1309</v>
      </c>
      <c r="O2675">
        <v>91</v>
      </c>
      <c r="P2675">
        <v>9161</v>
      </c>
      <c r="Q2675" t="s">
        <v>1310</v>
      </c>
      <c r="R2675" t="s">
        <v>201</v>
      </c>
      <c r="S2675">
        <v>64</v>
      </c>
      <c r="T2675">
        <v>1</v>
      </c>
      <c r="U2675">
        <v>63636</v>
      </c>
      <c r="V2675">
        <v>4072704</v>
      </c>
    </row>
    <row r="2676" spans="1:22">
      <c r="A2676" t="s">
        <v>196</v>
      </c>
      <c r="B2676">
        <v>57</v>
      </c>
      <c r="C2676" t="s">
        <v>31</v>
      </c>
      <c r="D2676">
        <v>100</v>
      </c>
      <c r="E2676" t="s">
        <v>197</v>
      </c>
      <c r="F2676">
        <v>1005</v>
      </c>
      <c r="G2676" t="s">
        <v>31</v>
      </c>
      <c r="H2676">
        <v>2028</v>
      </c>
      <c r="I2676" t="s">
        <v>6</v>
      </c>
      <c r="J2676">
        <v>3334</v>
      </c>
      <c r="K2676" t="s">
        <v>1383</v>
      </c>
      <c r="L2676">
        <v>0</v>
      </c>
      <c r="N2676" t="s">
        <v>1321</v>
      </c>
      <c r="O2676">
        <v>91</v>
      </c>
      <c r="P2676">
        <v>9153</v>
      </c>
      <c r="Q2676" t="s">
        <v>1384</v>
      </c>
      <c r="R2676" t="s">
        <v>201</v>
      </c>
      <c r="S2676">
        <v>4</v>
      </c>
      <c r="T2676">
        <v>1</v>
      </c>
      <c r="U2676">
        <v>133650</v>
      </c>
      <c r="V2676">
        <v>534600</v>
      </c>
    </row>
    <row r="2677" spans="1:22">
      <c r="A2677" t="s">
        <v>196</v>
      </c>
      <c r="B2677">
        <v>57</v>
      </c>
      <c r="C2677" t="s">
        <v>31</v>
      </c>
      <c r="D2677">
        <v>100</v>
      </c>
      <c r="E2677" t="s">
        <v>197</v>
      </c>
      <c r="F2677">
        <v>1005</v>
      </c>
      <c r="G2677" t="s">
        <v>31</v>
      </c>
      <c r="H2677">
        <v>2028</v>
      </c>
      <c r="I2677" t="s">
        <v>6</v>
      </c>
      <c r="J2677">
        <v>3334</v>
      </c>
      <c r="K2677" t="s">
        <v>1383</v>
      </c>
      <c r="L2677">
        <v>0</v>
      </c>
      <c r="N2677" t="s">
        <v>1321</v>
      </c>
      <c r="O2677">
        <v>91</v>
      </c>
      <c r="P2677">
        <v>9153</v>
      </c>
      <c r="Q2677" t="s">
        <v>1384</v>
      </c>
      <c r="R2677" t="s">
        <v>201</v>
      </c>
      <c r="S2677">
        <v>4</v>
      </c>
      <c r="T2677">
        <v>1</v>
      </c>
      <c r="U2677">
        <v>129774</v>
      </c>
      <c r="V2677">
        <v>519096</v>
      </c>
    </row>
    <row r="2678" spans="1:22">
      <c r="A2678" t="s">
        <v>196</v>
      </c>
      <c r="B2678">
        <v>57</v>
      </c>
      <c r="C2678" t="s">
        <v>31</v>
      </c>
      <c r="D2678">
        <v>100</v>
      </c>
      <c r="E2678" t="s">
        <v>197</v>
      </c>
      <c r="F2678">
        <v>1005</v>
      </c>
      <c r="G2678" t="s">
        <v>31</v>
      </c>
      <c r="H2678">
        <v>2028</v>
      </c>
      <c r="I2678" t="s">
        <v>6</v>
      </c>
      <c r="J2678">
        <v>3334</v>
      </c>
      <c r="K2678" t="s">
        <v>1383</v>
      </c>
      <c r="L2678">
        <v>0</v>
      </c>
      <c r="N2678" t="s">
        <v>1321</v>
      </c>
      <c r="O2678">
        <v>91</v>
      </c>
      <c r="P2678">
        <v>9153</v>
      </c>
      <c r="Q2678" t="s">
        <v>1384</v>
      </c>
      <c r="R2678" t="s">
        <v>201</v>
      </c>
      <c r="S2678">
        <v>3</v>
      </c>
      <c r="T2678">
        <v>1</v>
      </c>
      <c r="U2678">
        <v>125112</v>
      </c>
      <c r="V2678">
        <v>375336</v>
      </c>
    </row>
    <row r="2679" spans="1:22">
      <c r="A2679" t="s">
        <v>196</v>
      </c>
      <c r="B2679">
        <v>57</v>
      </c>
      <c r="C2679" t="s">
        <v>31</v>
      </c>
      <c r="D2679">
        <v>100</v>
      </c>
      <c r="E2679" t="s">
        <v>197</v>
      </c>
      <c r="F2679">
        <v>1005</v>
      </c>
      <c r="G2679" t="s">
        <v>31</v>
      </c>
      <c r="H2679">
        <v>2028</v>
      </c>
      <c r="I2679" t="s">
        <v>6</v>
      </c>
      <c r="J2679">
        <v>3334</v>
      </c>
      <c r="K2679" t="s">
        <v>1383</v>
      </c>
      <c r="L2679">
        <v>0</v>
      </c>
      <c r="N2679" t="s">
        <v>1321</v>
      </c>
      <c r="O2679">
        <v>91</v>
      </c>
      <c r="P2679">
        <v>9153</v>
      </c>
      <c r="Q2679" t="s">
        <v>1384</v>
      </c>
      <c r="R2679" t="s">
        <v>201</v>
      </c>
      <c r="S2679">
        <v>1</v>
      </c>
      <c r="T2679">
        <v>1</v>
      </c>
      <c r="U2679">
        <v>116856</v>
      </c>
      <c r="V2679">
        <v>116856</v>
      </c>
    </row>
    <row r="2680" spans="1:22">
      <c r="A2680" t="s">
        <v>196</v>
      </c>
      <c r="B2680">
        <v>57</v>
      </c>
      <c r="C2680" t="s">
        <v>31</v>
      </c>
      <c r="D2680">
        <v>100</v>
      </c>
      <c r="E2680" t="s">
        <v>197</v>
      </c>
      <c r="F2680">
        <v>1005</v>
      </c>
      <c r="G2680" t="s">
        <v>31</v>
      </c>
      <c r="H2680">
        <v>2028</v>
      </c>
      <c r="I2680" t="s">
        <v>6</v>
      </c>
      <c r="J2680">
        <v>3334</v>
      </c>
      <c r="K2680" t="s">
        <v>1383</v>
      </c>
      <c r="L2680">
        <v>0</v>
      </c>
      <c r="N2680" t="s">
        <v>1321</v>
      </c>
      <c r="O2680">
        <v>91</v>
      </c>
      <c r="P2680">
        <v>9153</v>
      </c>
      <c r="Q2680" t="s">
        <v>1384</v>
      </c>
      <c r="R2680" t="s">
        <v>201</v>
      </c>
      <c r="S2680">
        <v>2</v>
      </c>
      <c r="T2680">
        <v>1</v>
      </c>
      <c r="U2680">
        <v>90816</v>
      </c>
      <c r="V2680">
        <v>181632</v>
      </c>
    </row>
    <row r="2681" spans="1:22">
      <c r="A2681" t="s">
        <v>196</v>
      </c>
      <c r="B2681">
        <v>57</v>
      </c>
      <c r="C2681" t="s">
        <v>31</v>
      </c>
      <c r="D2681">
        <v>100</v>
      </c>
      <c r="E2681" t="s">
        <v>197</v>
      </c>
      <c r="F2681">
        <v>1005</v>
      </c>
      <c r="G2681" t="s">
        <v>31</v>
      </c>
      <c r="H2681">
        <v>2028</v>
      </c>
      <c r="I2681" t="s">
        <v>6</v>
      </c>
      <c r="J2681">
        <v>3334</v>
      </c>
      <c r="K2681" t="s">
        <v>1383</v>
      </c>
      <c r="L2681">
        <v>0</v>
      </c>
      <c r="N2681" t="s">
        <v>199</v>
      </c>
      <c r="O2681">
        <v>0</v>
      </c>
      <c r="P2681">
        <v>15</v>
      </c>
      <c r="Q2681" t="s">
        <v>264</v>
      </c>
      <c r="R2681" t="s">
        <v>201</v>
      </c>
      <c r="S2681">
        <v>0</v>
      </c>
      <c r="T2681">
        <v>0</v>
      </c>
      <c r="U2681">
        <v>17221</v>
      </c>
      <c r="V2681">
        <v>17221</v>
      </c>
    </row>
    <row r="2682" spans="1:22">
      <c r="A2682" t="s">
        <v>196</v>
      </c>
      <c r="B2682">
        <v>57</v>
      </c>
      <c r="C2682" t="s">
        <v>31</v>
      </c>
      <c r="D2682">
        <v>100</v>
      </c>
      <c r="E2682" t="s">
        <v>197</v>
      </c>
      <c r="F2682">
        <v>1005</v>
      </c>
      <c r="G2682" t="s">
        <v>31</v>
      </c>
      <c r="H2682">
        <v>2028</v>
      </c>
      <c r="I2682" t="s">
        <v>6</v>
      </c>
      <c r="J2682">
        <v>3338</v>
      </c>
      <c r="K2682" t="s">
        <v>1385</v>
      </c>
      <c r="L2682">
        <v>4220</v>
      </c>
      <c r="M2682" t="s">
        <v>1385</v>
      </c>
      <c r="N2682" t="s">
        <v>216</v>
      </c>
      <c r="O2682">
        <v>99</v>
      </c>
      <c r="P2682">
        <v>9752</v>
      </c>
      <c r="Q2682" t="s">
        <v>1296</v>
      </c>
      <c r="R2682" t="s">
        <v>201</v>
      </c>
      <c r="S2682">
        <v>1</v>
      </c>
      <c r="T2682">
        <v>1</v>
      </c>
      <c r="U2682">
        <v>192240</v>
      </c>
      <c r="V2682">
        <v>192240</v>
      </c>
    </row>
    <row r="2683" spans="1:22">
      <c r="A2683" t="s">
        <v>196</v>
      </c>
      <c r="B2683">
        <v>57</v>
      </c>
      <c r="C2683" t="s">
        <v>31</v>
      </c>
      <c r="D2683">
        <v>100</v>
      </c>
      <c r="E2683" t="s">
        <v>197</v>
      </c>
      <c r="F2683">
        <v>1005</v>
      </c>
      <c r="G2683" t="s">
        <v>31</v>
      </c>
      <c r="H2683">
        <v>2028</v>
      </c>
      <c r="I2683" t="s">
        <v>6</v>
      </c>
      <c r="J2683">
        <v>3338</v>
      </c>
      <c r="K2683" t="s">
        <v>1385</v>
      </c>
      <c r="L2683">
        <v>4220</v>
      </c>
      <c r="M2683" t="s">
        <v>1385</v>
      </c>
      <c r="N2683" t="s">
        <v>1304</v>
      </c>
      <c r="O2683">
        <v>73</v>
      </c>
      <c r="P2683">
        <v>9173</v>
      </c>
      <c r="Q2683" t="s">
        <v>1323</v>
      </c>
      <c r="R2683" t="s">
        <v>201</v>
      </c>
      <c r="S2683">
        <v>1</v>
      </c>
      <c r="T2683">
        <v>1</v>
      </c>
      <c r="U2683">
        <v>165624</v>
      </c>
      <c r="V2683">
        <v>165624</v>
      </c>
    </row>
    <row r="2684" spans="1:22">
      <c r="A2684" t="s">
        <v>196</v>
      </c>
      <c r="B2684">
        <v>57</v>
      </c>
      <c r="C2684" t="s">
        <v>31</v>
      </c>
      <c r="D2684">
        <v>100</v>
      </c>
      <c r="E2684" t="s">
        <v>197</v>
      </c>
      <c r="F2684">
        <v>1005</v>
      </c>
      <c r="G2684" t="s">
        <v>31</v>
      </c>
      <c r="H2684">
        <v>2028</v>
      </c>
      <c r="I2684" t="s">
        <v>6</v>
      </c>
      <c r="J2684">
        <v>3338</v>
      </c>
      <c r="K2684" t="s">
        <v>1385</v>
      </c>
      <c r="L2684">
        <v>4220</v>
      </c>
      <c r="M2684" t="s">
        <v>1385</v>
      </c>
      <c r="N2684" t="s">
        <v>1302</v>
      </c>
      <c r="O2684">
        <v>71</v>
      </c>
      <c r="P2684">
        <v>9171</v>
      </c>
      <c r="Q2684" t="s">
        <v>1303</v>
      </c>
      <c r="R2684" t="s">
        <v>201</v>
      </c>
      <c r="S2684">
        <v>1</v>
      </c>
      <c r="T2684">
        <v>1</v>
      </c>
      <c r="U2684">
        <v>152010</v>
      </c>
      <c r="V2684">
        <v>152010</v>
      </c>
    </row>
    <row r="2685" spans="1:22">
      <c r="A2685" t="s">
        <v>196</v>
      </c>
      <c r="B2685">
        <v>57</v>
      </c>
      <c r="C2685" t="s">
        <v>31</v>
      </c>
      <c r="D2685">
        <v>100</v>
      </c>
      <c r="E2685" t="s">
        <v>197</v>
      </c>
      <c r="F2685">
        <v>1005</v>
      </c>
      <c r="G2685" t="s">
        <v>31</v>
      </c>
      <c r="H2685">
        <v>2028</v>
      </c>
      <c r="I2685" t="s">
        <v>6</v>
      </c>
      <c r="J2685">
        <v>3338</v>
      </c>
      <c r="K2685" t="s">
        <v>1385</v>
      </c>
      <c r="L2685">
        <v>4220</v>
      </c>
      <c r="M2685" t="s">
        <v>1385</v>
      </c>
      <c r="N2685" t="s">
        <v>1302</v>
      </c>
      <c r="O2685">
        <v>71</v>
      </c>
      <c r="P2685">
        <v>9171</v>
      </c>
      <c r="Q2685" t="s">
        <v>1303</v>
      </c>
      <c r="R2685" t="s">
        <v>201</v>
      </c>
      <c r="S2685">
        <v>1</v>
      </c>
      <c r="T2685">
        <v>1</v>
      </c>
      <c r="U2685">
        <v>147252</v>
      </c>
      <c r="V2685">
        <v>147252</v>
      </c>
    </row>
    <row r="2686" spans="1:22">
      <c r="A2686" t="s">
        <v>196</v>
      </c>
      <c r="B2686">
        <v>57</v>
      </c>
      <c r="C2686" t="s">
        <v>31</v>
      </c>
      <c r="D2686">
        <v>100</v>
      </c>
      <c r="E2686" t="s">
        <v>197</v>
      </c>
      <c r="F2686">
        <v>1005</v>
      </c>
      <c r="G2686" t="s">
        <v>31</v>
      </c>
      <c r="H2686">
        <v>2028</v>
      </c>
      <c r="I2686" t="s">
        <v>6</v>
      </c>
      <c r="J2686">
        <v>3338</v>
      </c>
      <c r="K2686" t="s">
        <v>1385</v>
      </c>
      <c r="L2686">
        <v>4220</v>
      </c>
      <c r="M2686" t="s">
        <v>1385</v>
      </c>
      <c r="N2686" t="s">
        <v>1309</v>
      </c>
      <c r="O2686">
        <v>91</v>
      </c>
      <c r="P2686">
        <v>9161</v>
      </c>
      <c r="Q2686" t="s">
        <v>1310</v>
      </c>
      <c r="R2686" t="s">
        <v>201</v>
      </c>
      <c r="S2686">
        <v>4</v>
      </c>
      <c r="T2686">
        <v>1</v>
      </c>
      <c r="U2686">
        <v>119154</v>
      </c>
      <c r="V2686">
        <v>476616</v>
      </c>
    </row>
    <row r="2687" spans="1:22">
      <c r="A2687" t="s">
        <v>196</v>
      </c>
      <c r="B2687">
        <v>57</v>
      </c>
      <c r="C2687" t="s">
        <v>31</v>
      </c>
      <c r="D2687">
        <v>100</v>
      </c>
      <c r="E2687" t="s">
        <v>197</v>
      </c>
      <c r="F2687">
        <v>1005</v>
      </c>
      <c r="G2687" t="s">
        <v>31</v>
      </c>
      <c r="H2687">
        <v>2028</v>
      </c>
      <c r="I2687" t="s">
        <v>6</v>
      </c>
      <c r="J2687">
        <v>3338</v>
      </c>
      <c r="K2687" t="s">
        <v>1385</v>
      </c>
      <c r="L2687">
        <v>4220</v>
      </c>
      <c r="M2687" t="s">
        <v>1385</v>
      </c>
      <c r="N2687" t="s">
        <v>1309</v>
      </c>
      <c r="O2687">
        <v>91</v>
      </c>
      <c r="P2687">
        <v>9161</v>
      </c>
      <c r="Q2687" t="s">
        <v>1310</v>
      </c>
      <c r="R2687" t="s">
        <v>201</v>
      </c>
      <c r="S2687">
        <v>2</v>
      </c>
      <c r="T2687">
        <v>1</v>
      </c>
      <c r="U2687">
        <v>111252</v>
      </c>
      <c r="V2687">
        <v>222504</v>
      </c>
    </row>
    <row r="2688" spans="1:22">
      <c r="A2688" t="s">
        <v>196</v>
      </c>
      <c r="B2688">
        <v>57</v>
      </c>
      <c r="C2688" t="s">
        <v>31</v>
      </c>
      <c r="D2688">
        <v>100</v>
      </c>
      <c r="E2688" t="s">
        <v>197</v>
      </c>
      <c r="F2688">
        <v>1005</v>
      </c>
      <c r="G2688" t="s">
        <v>31</v>
      </c>
      <c r="H2688">
        <v>2028</v>
      </c>
      <c r="I2688" t="s">
        <v>6</v>
      </c>
      <c r="J2688">
        <v>3338</v>
      </c>
      <c r="K2688" t="s">
        <v>1385</v>
      </c>
      <c r="L2688">
        <v>4220</v>
      </c>
      <c r="M2688" t="s">
        <v>1385</v>
      </c>
      <c r="N2688" t="s">
        <v>1309</v>
      </c>
      <c r="O2688">
        <v>91</v>
      </c>
      <c r="P2688">
        <v>9161</v>
      </c>
      <c r="Q2688" t="s">
        <v>1310</v>
      </c>
      <c r="R2688" t="s">
        <v>201</v>
      </c>
      <c r="S2688">
        <v>2</v>
      </c>
      <c r="T2688">
        <v>1</v>
      </c>
      <c r="U2688">
        <v>63636</v>
      </c>
      <c r="V2688">
        <v>127272</v>
      </c>
    </row>
    <row r="2689" spans="1:22">
      <c r="A2689" t="s">
        <v>196</v>
      </c>
      <c r="B2689">
        <v>57</v>
      </c>
      <c r="C2689" t="s">
        <v>31</v>
      </c>
      <c r="D2689">
        <v>100</v>
      </c>
      <c r="E2689" t="s">
        <v>197</v>
      </c>
      <c r="F2689">
        <v>1005</v>
      </c>
      <c r="G2689" t="s">
        <v>31</v>
      </c>
      <c r="H2689">
        <v>2028</v>
      </c>
      <c r="I2689" t="s">
        <v>6</v>
      </c>
      <c r="J2689">
        <v>3338</v>
      </c>
      <c r="K2689" t="s">
        <v>1385</v>
      </c>
      <c r="L2689">
        <v>4220</v>
      </c>
      <c r="M2689" t="s">
        <v>1385</v>
      </c>
      <c r="N2689" t="s">
        <v>199</v>
      </c>
      <c r="O2689">
        <v>0</v>
      </c>
      <c r="P2689">
        <v>15</v>
      </c>
      <c r="Q2689" t="s">
        <v>264</v>
      </c>
      <c r="R2689" t="s">
        <v>201</v>
      </c>
      <c r="S2689">
        <v>0</v>
      </c>
      <c r="T2689">
        <v>0</v>
      </c>
      <c r="U2689">
        <v>8331</v>
      </c>
      <c r="V2689">
        <v>8331</v>
      </c>
    </row>
    <row r="2690" spans="1:22">
      <c r="A2690" t="s">
        <v>196</v>
      </c>
      <c r="B2690">
        <v>57</v>
      </c>
      <c r="C2690" t="s">
        <v>31</v>
      </c>
      <c r="D2690">
        <v>100</v>
      </c>
      <c r="E2690" t="s">
        <v>197</v>
      </c>
      <c r="F2690">
        <v>1005</v>
      </c>
      <c r="G2690" t="s">
        <v>31</v>
      </c>
      <c r="H2690">
        <v>2028</v>
      </c>
      <c r="I2690" t="s">
        <v>6</v>
      </c>
      <c r="J2690">
        <v>3338</v>
      </c>
      <c r="K2690" t="s">
        <v>1385</v>
      </c>
      <c r="L2690">
        <v>4221</v>
      </c>
      <c r="M2690" t="s">
        <v>1386</v>
      </c>
      <c r="N2690" t="s">
        <v>1304</v>
      </c>
      <c r="O2690">
        <v>73</v>
      </c>
      <c r="P2690">
        <v>9173</v>
      </c>
      <c r="Q2690" t="s">
        <v>1323</v>
      </c>
      <c r="R2690" t="s">
        <v>201</v>
      </c>
      <c r="S2690">
        <v>1</v>
      </c>
      <c r="T2690">
        <v>1</v>
      </c>
      <c r="U2690">
        <v>175002</v>
      </c>
      <c r="V2690">
        <v>175002</v>
      </c>
    </row>
    <row r="2691" spans="1:22">
      <c r="A2691" t="s">
        <v>196</v>
      </c>
      <c r="B2691">
        <v>57</v>
      </c>
      <c r="C2691" t="s">
        <v>31</v>
      </c>
      <c r="D2691">
        <v>100</v>
      </c>
      <c r="E2691" t="s">
        <v>197</v>
      </c>
      <c r="F2691">
        <v>1005</v>
      </c>
      <c r="G2691" t="s">
        <v>31</v>
      </c>
      <c r="H2691">
        <v>2028</v>
      </c>
      <c r="I2691" t="s">
        <v>6</v>
      </c>
      <c r="J2691">
        <v>3338</v>
      </c>
      <c r="K2691" t="s">
        <v>1385</v>
      </c>
      <c r="L2691">
        <v>4221</v>
      </c>
      <c r="M2691" t="s">
        <v>1386</v>
      </c>
      <c r="N2691" t="s">
        <v>1302</v>
      </c>
      <c r="O2691">
        <v>71</v>
      </c>
      <c r="P2691">
        <v>9171</v>
      </c>
      <c r="Q2691" t="s">
        <v>1303</v>
      </c>
      <c r="R2691" t="s">
        <v>201</v>
      </c>
      <c r="S2691">
        <v>1</v>
      </c>
      <c r="T2691">
        <v>1</v>
      </c>
      <c r="U2691">
        <v>156564</v>
      </c>
      <c r="V2691">
        <v>156564</v>
      </c>
    </row>
    <row r="2692" spans="1:22">
      <c r="A2692" t="s">
        <v>196</v>
      </c>
      <c r="B2692">
        <v>57</v>
      </c>
      <c r="C2692" t="s">
        <v>31</v>
      </c>
      <c r="D2692">
        <v>100</v>
      </c>
      <c r="E2692" t="s">
        <v>197</v>
      </c>
      <c r="F2692">
        <v>1005</v>
      </c>
      <c r="G2692" t="s">
        <v>31</v>
      </c>
      <c r="H2692">
        <v>2028</v>
      </c>
      <c r="I2692" t="s">
        <v>6</v>
      </c>
      <c r="J2692">
        <v>3338</v>
      </c>
      <c r="K2692" t="s">
        <v>1385</v>
      </c>
      <c r="L2692">
        <v>4221</v>
      </c>
      <c r="M2692" t="s">
        <v>1386</v>
      </c>
      <c r="N2692" t="s">
        <v>1302</v>
      </c>
      <c r="O2692">
        <v>71</v>
      </c>
      <c r="P2692">
        <v>9171</v>
      </c>
      <c r="Q2692" t="s">
        <v>1303</v>
      </c>
      <c r="R2692" t="s">
        <v>201</v>
      </c>
      <c r="S2692">
        <v>2</v>
      </c>
      <c r="T2692">
        <v>1</v>
      </c>
      <c r="U2692">
        <v>152010</v>
      </c>
      <c r="V2692">
        <v>304020</v>
      </c>
    </row>
    <row r="2693" spans="1:22">
      <c r="A2693" t="s">
        <v>196</v>
      </c>
      <c r="B2693">
        <v>57</v>
      </c>
      <c r="C2693" t="s">
        <v>31</v>
      </c>
      <c r="D2693">
        <v>100</v>
      </c>
      <c r="E2693" t="s">
        <v>197</v>
      </c>
      <c r="F2693">
        <v>1005</v>
      </c>
      <c r="G2693" t="s">
        <v>31</v>
      </c>
      <c r="H2693">
        <v>2028</v>
      </c>
      <c r="I2693" t="s">
        <v>6</v>
      </c>
      <c r="J2693">
        <v>3338</v>
      </c>
      <c r="K2693" t="s">
        <v>1385</v>
      </c>
      <c r="L2693">
        <v>4221</v>
      </c>
      <c r="M2693" t="s">
        <v>1386</v>
      </c>
      <c r="N2693" t="s">
        <v>1302</v>
      </c>
      <c r="O2693">
        <v>71</v>
      </c>
      <c r="P2693">
        <v>9171</v>
      </c>
      <c r="Q2693" t="s">
        <v>1303</v>
      </c>
      <c r="R2693" t="s">
        <v>201</v>
      </c>
      <c r="S2693">
        <v>6</v>
      </c>
      <c r="T2693">
        <v>1</v>
      </c>
      <c r="U2693">
        <v>147252</v>
      </c>
      <c r="V2693">
        <v>883512</v>
      </c>
    </row>
    <row r="2694" spans="1:22">
      <c r="A2694" t="s">
        <v>196</v>
      </c>
      <c r="B2694">
        <v>57</v>
      </c>
      <c r="C2694" t="s">
        <v>31</v>
      </c>
      <c r="D2694">
        <v>100</v>
      </c>
      <c r="E2694" t="s">
        <v>197</v>
      </c>
      <c r="F2694">
        <v>1005</v>
      </c>
      <c r="G2694" t="s">
        <v>31</v>
      </c>
      <c r="H2694">
        <v>2028</v>
      </c>
      <c r="I2694" t="s">
        <v>6</v>
      </c>
      <c r="J2694">
        <v>3338</v>
      </c>
      <c r="K2694" t="s">
        <v>1385</v>
      </c>
      <c r="L2694">
        <v>4221</v>
      </c>
      <c r="M2694" t="s">
        <v>1386</v>
      </c>
      <c r="N2694" t="s">
        <v>1302</v>
      </c>
      <c r="O2694">
        <v>71</v>
      </c>
      <c r="P2694">
        <v>9171</v>
      </c>
      <c r="Q2694" t="s">
        <v>1303</v>
      </c>
      <c r="R2694" t="s">
        <v>201</v>
      </c>
      <c r="S2694">
        <v>1</v>
      </c>
      <c r="T2694">
        <v>1</v>
      </c>
      <c r="U2694">
        <v>138318</v>
      </c>
      <c r="V2694">
        <v>138318</v>
      </c>
    </row>
    <row r="2695" spans="1:22">
      <c r="A2695" t="s">
        <v>196</v>
      </c>
      <c r="B2695">
        <v>57</v>
      </c>
      <c r="C2695" t="s">
        <v>31</v>
      </c>
      <c r="D2695">
        <v>100</v>
      </c>
      <c r="E2695" t="s">
        <v>197</v>
      </c>
      <c r="F2695">
        <v>1005</v>
      </c>
      <c r="G2695" t="s">
        <v>31</v>
      </c>
      <c r="H2695">
        <v>2028</v>
      </c>
      <c r="I2695" t="s">
        <v>6</v>
      </c>
      <c r="J2695">
        <v>3338</v>
      </c>
      <c r="K2695" t="s">
        <v>1385</v>
      </c>
      <c r="L2695">
        <v>4221</v>
      </c>
      <c r="M2695" t="s">
        <v>1386</v>
      </c>
      <c r="N2695" t="s">
        <v>1309</v>
      </c>
      <c r="O2695">
        <v>91</v>
      </c>
      <c r="P2695">
        <v>9161</v>
      </c>
      <c r="Q2695" t="s">
        <v>1310</v>
      </c>
      <c r="R2695" t="s">
        <v>201</v>
      </c>
      <c r="S2695">
        <v>1</v>
      </c>
      <c r="T2695">
        <v>1</v>
      </c>
      <c r="U2695">
        <v>123576</v>
      </c>
      <c r="V2695">
        <v>123576</v>
      </c>
    </row>
    <row r="2696" spans="1:22">
      <c r="A2696" t="s">
        <v>196</v>
      </c>
      <c r="B2696">
        <v>57</v>
      </c>
      <c r="C2696" t="s">
        <v>31</v>
      </c>
      <c r="D2696">
        <v>100</v>
      </c>
      <c r="E2696" t="s">
        <v>197</v>
      </c>
      <c r="F2696">
        <v>1005</v>
      </c>
      <c r="G2696" t="s">
        <v>31</v>
      </c>
      <c r="H2696">
        <v>2028</v>
      </c>
      <c r="I2696" t="s">
        <v>6</v>
      </c>
      <c r="J2696">
        <v>3338</v>
      </c>
      <c r="K2696" t="s">
        <v>1385</v>
      </c>
      <c r="L2696">
        <v>4221</v>
      </c>
      <c r="M2696" t="s">
        <v>1386</v>
      </c>
      <c r="N2696" t="s">
        <v>1309</v>
      </c>
      <c r="O2696">
        <v>91</v>
      </c>
      <c r="P2696">
        <v>9161</v>
      </c>
      <c r="Q2696" t="s">
        <v>1310</v>
      </c>
      <c r="R2696" t="s">
        <v>201</v>
      </c>
      <c r="S2696">
        <v>1</v>
      </c>
      <c r="T2696">
        <v>1</v>
      </c>
      <c r="U2696">
        <v>111252</v>
      </c>
      <c r="V2696">
        <v>111252</v>
      </c>
    </row>
    <row r="2697" spans="1:22">
      <c r="A2697" t="s">
        <v>196</v>
      </c>
      <c r="B2697">
        <v>57</v>
      </c>
      <c r="C2697" t="s">
        <v>31</v>
      </c>
      <c r="D2697">
        <v>100</v>
      </c>
      <c r="E2697" t="s">
        <v>197</v>
      </c>
      <c r="F2697">
        <v>1005</v>
      </c>
      <c r="G2697" t="s">
        <v>31</v>
      </c>
      <c r="H2697">
        <v>2028</v>
      </c>
      <c r="I2697" t="s">
        <v>6</v>
      </c>
      <c r="J2697">
        <v>3338</v>
      </c>
      <c r="K2697" t="s">
        <v>1385</v>
      </c>
      <c r="L2697">
        <v>4221</v>
      </c>
      <c r="M2697" t="s">
        <v>1386</v>
      </c>
      <c r="N2697" t="s">
        <v>1349</v>
      </c>
      <c r="O2697">
        <v>91</v>
      </c>
      <c r="P2697">
        <v>9149</v>
      </c>
      <c r="Q2697" t="s">
        <v>1357</v>
      </c>
      <c r="R2697" t="s">
        <v>201</v>
      </c>
      <c r="S2697">
        <v>4</v>
      </c>
      <c r="T2697">
        <v>1</v>
      </c>
      <c r="U2697">
        <v>137568</v>
      </c>
      <c r="V2697">
        <v>550272</v>
      </c>
    </row>
    <row r="2698" spans="1:22">
      <c r="A2698" t="s">
        <v>196</v>
      </c>
      <c r="B2698">
        <v>57</v>
      </c>
      <c r="C2698" t="s">
        <v>31</v>
      </c>
      <c r="D2698">
        <v>100</v>
      </c>
      <c r="E2698" t="s">
        <v>197</v>
      </c>
      <c r="F2698">
        <v>1005</v>
      </c>
      <c r="G2698" t="s">
        <v>31</v>
      </c>
      <c r="H2698">
        <v>2028</v>
      </c>
      <c r="I2698" t="s">
        <v>6</v>
      </c>
      <c r="J2698">
        <v>3338</v>
      </c>
      <c r="K2698" t="s">
        <v>1385</v>
      </c>
      <c r="L2698">
        <v>4221</v>
      </c>
      <c r="M2698" t="s">
        <v>1386</v>
      </c>
      <c r="N2698" t="s">
        <v>1349</v>
      </c>
      <c r="O2698">
        <v>91</v>
      </c>
      <c r="P2698">
        <v>9149</v>
      </c>
      <c r="Q2698" t="s">
        <v>1357</v>
      </c>
      <c r="R2698" t="s">
        <v>201</v>
      </c>
      <c r="S2698">
        <v>10</v>
      </c>
      <c r="T2698">
        <v>1</v>
      </c>
      <c r="U2698">
        <v>133650</v>
      </c>
      <c r="V2698">
        <v>1336500</v>
      </c>
    </row>
    <row r="2699" spans="1:22">
      <c r="A2699" t="s">
        <v>196</v>
      </c>
      <c r="B2699">
        <v>57</v>
      </c>
      <c r="C2699" t="s">
        <v>31</v>
      </c>
      <c r="D2699">
        <v>100</v>
      </c>
      <c r="E2699" t="s">
        <v>197</v>
      </c>
      <c r="F2699">
        <v>1005</v>
      </c>
      <c r="G2699" t="s">
        <v>31</v>
      </c>
      <c r="H2699">
        <v>2028</v>
      </c>
      <c r="I2699" t="s">
        <v>6</v>
      </c>
      <c r="J2699">
        <v>3338</v>
      </c>
      <c r="K2699" t="s">
        <v>1385</v>
      </c>
      <c r="L2699">
        <v>4221</v>
      </c>
      <c r="M2699" t="s">
        <v>1386</v>
      </c>
      <c r="N2699" t="s">
        <v>1349</v>
      </c>
      <c r="O2699">
        <v>91</v>
      </c>
      <c r="P2699">
        <v>9149</v>
      </c>
      <c r="Q2699" t="s">
        <v>1357</v>
      </c>
      <c r="R2699" t="s">
        <v>201</v>
      </c>
      <c r="S2699">
        <v>7</v>
      </c>
      <c r="T2699">
        <v>1</v>
      </c>
      <c r="U2699">
        <v>128964</v>
      </c>
      <c r="V2699">
        <v>902748</v>
      </c>
    </row>
    <row r="2700" spans="1:22">
      <c r="A2700" t="s">
        <v>196</v>
      </c>
      <c r="B2700">
        <v>57</v>
      </c>
      <c r="C2700" t="s">
        <v>31</v>
      </c>
      <c r="D2700">
        <v>100</v>
      </c>
      <c r="E2700" t="s">
        <v>197</v>
      </c>
      <c r="F2700">
        <v>1005</v>
      </c>
      <c r="G2700" t="s">
        <v>31</v>
      </c>
      <c r="H2700">
        <v>2028</v>
      </c>
      <c r="I2700" t="s">
        <v>6</v>
      </c>
      <c r="J2700">
        <v>3338</v>
      </c>
      <c r="K2700" t="s">
        <v>1385</v>
      </c>
      <c r="L2700">
        <v>4221</v>
      </c>
      <c r="M2700" t="s">
        <v>1386</v>
      </c>
      <c r="N2700" t="s">
        <v>1349</v>
      </c>
      <c r="O2700">
        <v>91</v>
      </c>
      <c r="P2700">
        <v>9149</v>
      </c>
      <c r="Q2700" t="s">
        <v>1357</v>
      </c>
      <c r="R2700" t="s">
        <v>201</v>
      </c>
      <c r="S2700">
        <v>22</v>
      </c>
      <c r="T2700">
        <v>1</v>
      </c>
      <c r="U2700">
        <v>124578</v>
      </c>
      <c r="V2700">
        <v>2740716</v>
      </c>
    </row>
    <row r="2701" spans="1:22">
      <c r="A2701" t="s">
        <v>196</v>
      </c>
      <c r="B2701">
        <v>57</v>
      </c>
      <c r="C2701" t="s">
        <v>31</v>
      </c>
      <c r="D2701">
        <v>100</v>
      </c>
      <c r="E2701" t="s">
        <v>197</v>
      </c>
      <c r="F2701">
        <v>1005</v>
      </c>
      <c r="G2701" t="s">
        <v>31</v>
      </c>
      <c r="H2701">
        <v>2028</v>
      </c>
      <c r="I2701" t="s">
        <v>6</v>
      </c>
      <c r="J2701">
        <v>3338</v>
      </c>
      <c r="K2701" t="s">
        <v>1385</v>
      </c>
      <c r="L2701">
        <v>4221</v>
      </c>
      <c r="M2701" t="s">
        <v>1386</v>
      </c>
      <c r="N2701" t="s">
        <v>1349</v>
      </c>
      <c r="O2701">
        <v>91</v>
      </c>
      <c r="P2701">
        <v>9149</v>
      </c>
      <c r="Q2701" t="s">
        <v>1357</v>
      </c>
      <c r="R2701" t="s">
        <v>201</v>
      </c>
      <c r="S2701">
        <v>16</v>
      </c>
      <c r="T2701">
        <v>1</v>
      </c>
      <c r="U2701">
        <v>120564</v>
      </c>
      <c r="V2701">
        <v>1929024</v>
      </c>
    </row>
    <row r="2702" spans="1:22">
      <c r="A2702" t="s">
        <v>196</v>
      </c>
      <c r="B2702">
        <v>57</v>
      </c>
      <c r="C2702" t="s">
        <v>31</v>
      </c>
      <c r="D2702">
        <v>100</v>
      </c>
      <c r="E2702" t="s">
        <v>197</v>
      </c>
      <c r="F2702">
        <v>1005</v>
      </c>
      <c r="G2702" t="s">
        <v>31</v>
      </c>
      <c r="H2702">
        <v>2028</v>
      </c>
      <c r="I2702" t="s">
        <v>6</v>
      </c>
      <c r="J2702">
        <v>3338</v>
      </c>
      <c r="K2702" t="s">
        <v>1385</v>
      </c>
      <c r="L2702">
        <v>4221</v>
      </c>
      <c r="M2702" t="s">
        <v>1386</v>
      </c>
      <c r="N2702" t="s">
        <v>1349</v>
      </c>
      <c r="O2702">
        <v>91</v>
      </c>
      <c r="P2702">
        <v>9149</v>
      </c>
      <c r="Q2702" t="s">
        <v>1357</v>
      </c>
      <c r="R2702" t="s">
        <v>201</v>
      </c>
      <c r="S2702">
        <v>1</v>
      </c>
      <c r="T2702">
        <v>1</v>
      </c>
      <c r="U2702">
        <v>93942</v>
      </c>
      <c r="V2702">
        <v>93942</v>
      </c>
    </row>
    <row r="2703" spans="1:22">
      <c r="A2703" t="s">
        <v>196</v>
      </c>
      <c r="B2703">
        <v>57</v>
      </c>
      <c r="C2703" t="s">
        <v>31</v>
      </c>
      <c r="D2703">
        <v>100</v>
      </c>
      <c r="E2703" t="s">
        <v>197</v>
      </c>
      <c r="F2703">
        <v>1005</v>
      </c>
      <c r="G2703" t="s">
        <v>31</v>
      </c>
      <c r="H2703">
        <v>2028</v>
      </c>
      <c r="I2703" t="s">
        <v>6</v>
      </c>
      <c r="J2703">
        <v>3338</v>
      </c>
      <c r="K2703" t="s">
        <v>1385</v>
      </c>
      <c r="L2703">
        <v>4221</v>
      </c>
      <c r="M2703" t="s">
        <v>1386</v>
      </c>
      <c r="N2703" t="s">
        <v>199</v>
      </c>
      <c r="O2703">
        <v>0</v>
      </c>
      <c r="P2703">
        <v>15</v>
      </c>
      <c r="Q2703" t="s">
        <v>264</v>
      </c>
      <c r="R2703" t="s">
        <v>201</v>
      </c>
      <c r="S2703">
        <v>0</v>
      </c>
      <c r="T2703">
        <v>0</v>
      </c>
      <c r="U2703">
        <v>16219</v>
      </c>
      <c r="V2703">
        <v>16219</v>
      </c>
    </row>
    <row r="2704" spans="1:22">
      <c r="A2704" t="s">
        <v>196</v>
      </c>
      <c r="B2704">
        <v>57</v>
      </c>
      <c r="C2704" t="s">
        <v>31</v>
      </c>
      <c r="D2704">
        <v>100</v>
      </c>
      <c r="E2704" t="s">
        <v>197</v>
      </c>
      <c r="F2704">
        <v>1005</v>
      </c>
      <c r="G2704" t="s">
        <v>31</v>
      </c>
      <c r="H2704">
        <v>2028</v>
      </c>
      <c r="I2704" t="s">
        <v>6</v>
      </c>
      <c r="J2704">
        <v>3338</v>
      </c>
      <c r="K2704" t="s">
        <v>1385</v>
      </c>
      <c r="L2704">
        <v>4222</v>
      </c>
      <c r="M2704" t="s">
        <v>1387</v>
      </c>
      <c r="N2704" t="s">
        <v>1304</v>
      </c>
      <c r="O2704">
        <v>73</v>
      </c>
      <c r="P2704">
        <v>9173</v>
      </c>
      <c r="Q2704" t="s">
        <v>1323</v>
      </c>
      <c r="R2704" t="s">
        <v>201</v>
      </c>
      <c r="S2704">
        <v>1</v>
      </c>
      <c r="T2704">
        <v>1</v>
      </c>
      <c r="U2704">
        <v>160746</v>
      </c>
      <c r="V2704">
        <v>160746</v>
      </c>
    </row>
    <row r="2705" spans="1:22">
      <c r="A2705" t="s">
        <v>196</v>
      </c>
      <c r="B2705">
        <v>57</v>
      </c>
      <c r="C2705" t="s">
        <v>31</v>
      </c>
      <c r="D2705">
        <v>100</v>
      </c>
      <c r="E2705" t="s">
        <v>197</v>
      </c>
      <c r="F2705">
        <v>1005</v>
      </c>
      <c r="G2705" t="s">
        <v>31</v>
      </c>
      <c r="H2705">
        <v>2028</v>
      </c>
      <c r="I2705" t="s">
        <v>6</v>
      </c>
      <c r="J2705">
        <v>3338</v>
      </c>
      <c r="K2705" t="s">
        <v>1385</v>
      </c>
      <c r="L2705">
        <v>4222</v>
      </c>
      <c r="M2705" t="s">
        <v>1387</v>
      </c>
      <c r="N2705" t="s">
        <v>1302</v>
      </c>
      <c r="O2705">
        <v>71</v>
      </c>
      <c r="P2705">
        <v>9171</v>
      </c>
      <c r="Q2705" t="s">
        <v>1303</v>
      </c>
      <c r="R2705" t="s">
        <v>201</v>
      </c>
      <c r="S2705">
        <v>3</v>
      </c>
      <c r="T2705">
        <v>1</v>
      </c>
      <c r="U2705">
        <v>152010</v>
      </c>
      <c r="V2705">
        <v>456030</v>
      </c>
    </row>
    <row r="2706" spans="1:22">
      <c r="A2706" t="s">
        <v>196</v>
      </c>
      <c r="B2706">
        <v>57</v>
      </c>
      <c r="C2706" t="s">
        <v>31</v>
      </c>
      <c r="D2706">
        <v>100</v>
      </c>
      <c r="E2706" t="s">
        <v>197</v>
      </c>
      <c r="F2706">
        <v>1005</v>
      </c>
      <c r="G2706" t="s">
        <v>31</v>
      </c>
      <c r="H2706">
        <v>2028</v>
      </c>
      <c r="I2706" t="s">
        <v>6</v>
      </c>
      <c r="J2706">
        <v>3338</v>
      </c>
      <c r="K2706" t="s">
        <v>1385</v>
      </c>
      <c r="L2706">
        <v>4222</v>
      </c>
      <c r="M2706" t="s">
        <v>1387</v>
      </c>
      <c r="N2706" t="s">
        <v>1302</v>
      </c>
      <c r="O2706">
        <v>71</v>
      </c>
      <c r="P2706">
        <v>9171</v>
      </c>
      <c r="Q2706" t="s">
        <v>1303</v>
      </c>
      <c r="R2706" t="s">
        <v>201</v>
      </c>
      <c r="S2706">
        <v>3</v>
      </c>
      <c r="T2706">
        <v>1</v>
      </c>
      <c r="U2706">
        <v>147252</v>
      </c>
      <c r="V2706">
        <v>441756</v>
      </c>
    </row>
    <row r="2707" spans="1:22">
      <c r="A2707" t="s">
        <v>196</v>
      </c>
      <c r="B2707">
        <v>57</v>
      </c>
      <c r="C2707" t="s">
        <v>31</v>
      </c>
      <c r="D2707">
        <v>100</v>
      </c>
      <c r="E2707" t="s">
        <v>197</v>
      </c>
      <c r="F2707">
        <v>1005</v>
      </c>
      <c r="G2707" t="s">
        <v>31</v>
      </c>
      <c r="H2707">
        <v>2028</v>
      </c>
      <c r="I2707" t="s">
        <v>6</v>
      </c>
      <c r="J2707">
        <v>3338</v>
      </c>
      <c r="K2707" t="s">
        <v>1385</v>
      </c>
      <c r="L2707">
        <v>4222</v>
      </c>
      <c r="M2707" t="s">
        <v>1387</v>
      </c>
      <c r="N2707" t="s">
        <v>1302</v>
      </c>
      <c r="O2707">
        <v>71</v>
      </c>
      <c r="P2707">
        <v>9171</v>
      </c>
      <c r="Q2707" t="s">
        <v>1303</v>
      </c>
      <c r="R2707" t="s">
        <v>201</v>
      </c>
      <c r="S2707">
        <v>3</v>
      </c>
      <c r="T2707">
        <v>1</v>
      </c>
      <c r="U2707">
        <v>142668</v>
      </c>
      <c r="V2707">
        <v>428004</v>
      </c>
    </row>
    <row r="2708" spans="1:22">
      <c r="A2708" t="s">
        <v>196</v>
      </c>
      <c r="B2708">
        <v>57</v>
      </c>
      <c r="C2708" t="s">
        <v>31</v>
      </c>
      <c r="D2708">
        <v>100</v>
      </c>
      <c r="E2708" t="s">
        <v>197</v>
      </c>
      <c r="F2708">
        <v>1005</v>
      </c>
      <c r="G2708" t="s">
        <v>31</v>
      </c>
      <c r="H2708">
        <v>2028</v>
      </c>
      <c r="I2708" t="s">
        <v>6</v>
      </c>
      <c r="J2708">
        <v>3338</v>
      </c>
      <c r="K2708" t="s">
        <v>1385</v>
      </c>
      <c r="L2708">
        <v>4222</v>
      </c>
      <c r="M2708" t="s">
        <v>1387</v>
      </c>
      <c r="N2708" t="s">
        <v>1321</v>
      </c>
      <c r="O2708">
        <v>91</v>
      </c>
      <c r="P2708">
        <v>9168</v>
      </c>
      <c r="Q2708" t="s">
        <v>1388</v>
      </c>
      <c r="R2708" t="s">
        <v>201</v>
      </c>
      <c r="S2708">
        <v>8</v>
      </c>
      <c r="T2708">
        <v>1</v>
      </c>
      <c r="U2708">
        <v>133650</v>
      </c>
      <c r="V2708">
        <v>1069200</v>
      </c>
    </row>
    <row r="2709" spans="1:22">
      <c r="A2709" t="s">
        <v>196</v>
      </c>
      <c r="B2709">
        <v>57</v>
      </c>
      <c r="C2709" t="s">
        <v>31</v>
      </c>
      <c r="D2709">
        <v>100</v>
      </c>
      <c r="E2709" t="s">
        <v>197</v>
      </c>
      <c r="F2709">
        <v>1005</v>
      </c>
      <c r="G2709" t="s">
        <v>31</v>
      </c>
      <c r="H2709">
        <v>2028</v>
      </c>
      <c r="I2709" t="s">
        <v>6</v>
      </c>
      <c r="J2709">
        <v>3338</v>
      </c>
      <c r="K2709" t="s">
        <v>1385</v>
      </c>
      <c r="L2709">
        <v>4222</v>
      </c>
      <c r="M2709" t="s">
        <v>1387</v>
      </c>
      <c r="N2709" t="s">
        <v>1321</v>
      </c>
      <c r="O2709">
        <v>91</v>
      </c>
      <c r="P2709">
        <v>9168</v>
      </c>
      <c r="Q2709" t="s">
        <v>1388</v>
      </c>
      <c r="R2709" t="s">
        <v>201</v>
      </c>
      <c r="S2709">
        <v>7</v>
      </c>
      <c r="T2709">
        <v>1</v>
      </c>
      <c r="U2709">
        <v>129774</v>
      </c>
      <c r="V2709">
        <v>908418</v>
      </c>
    </row>
    <row r="2710" spans="1:22">
      <c r="A2710" t="s">
        <v>196</v>
      </c>
      <c r="B2710">
        <v>57</v>
      </c>
      <c r="C2710" t="s">
        <v>31</v>
      </c>
      <c r="D2710">
        <v>100</v>
      </c>
      <c r="E2710" t="s">
        <v>197</v>
      </c>
      <c r="F2710">
        <v>1005</v>
      </c>
      <c r="G2710" t="s">
        <v>31</v>
      </c>
      <c r="H2710">
        <v>2028</v>
      </c>
      <c r="I2710" t="s">
        <v>6</v>
      </c>
      <c r="J2710">
        <v>3338</v>
      </c>
      <c r="K2710" t="s">
        <v>1385</v>
      </c>
      <c r="L2710">
        <v>4222</v>
      </c>
      <c r="M2710" t="s">
        <v>1387</v>
      </c>
      <c r="N2710" t="s">
        <v>1321</v>
      </c>
      <c r="O2710">
        <v>91</v>
      </c>
      <c r="P2710">
        <v>9168</v>
      </c>
      <c r="Q2710" t="s">
        <v>1388</v>
      </c>
      <c r="R2710" t="s">
        <v>201</v>
      </c>
      <c r="S2710">
        <v>2</v>
      </c>
      <c r="T2710">
        <v>1</v>
      </c>
      <c r="U2710">
        <v>125112</v>
      </c>
      <c r="V2710">
        <v>250224</v>
      </c>
    </row>
    <row r="2711" spans="1:22">
      <c r="A2711" t="s">
        <v>196</v>
      </c>
      <c r="B2711">
        <v>57</v>
      </c>
      <c r="C2711" t="s">
        <v>31</v>
      </c>
      <c r="D2711">
        <v>100</v>
      </c>
      <c r="E2711" t="s">
        <v>197</v>
      </c>
      <c r="F2711">
        <v>1005</v>
      </c>
      <c r="G2711" t="s">
        <v>31</v>
      </c>
      <c r="H2711">
        <v>2028</v>
      </c>
      <c r="I2711" t="s">
        <v>6</v>
      </c>
      <c r="J2711">
        <v>3338</v>
      </c>
      <c r="K2711" t="s">
        <v>1385</v>
      </c>
      <c r="L2711">
        <v>4222</v>
      </c>
      <c r="M2711" t="s">
        <v>1387</v>
      </c>
      <c r="N2711" t="s">
        <v>1321</v>
      </c>
      <c r="O2711">
        <v>91</v>
      </c>
      <c r="P2711">
        <v>9168</v>
      </c>
      <c r="Q2711" t="s">
        <v>1388</v>
      </c>
      <c r="R2711" t="s">
        <v>201</v>
      </c>
      <c r="S2711">
        <v>3</v>
      </c>
      <c r="T2711">
        <v>1</v>
      </c>
      <c r="U2711">
        <v>120900</v>
      </c>
      <c r="V2711">
        <v>362700</v>
      </c>
    </row>
    <row r="2712" spans="1:22">
      <c r="A2712" t="s">
        <v>196</v>
      </c>
      <c r="B2712">
        <v>57</v>
      </c>
      <c r="C2712" t="s">
        <v>31</v>
      </c>
      <c r="D2712">
        <v>100</v>
      </c>
      <c r="E2712" t="s">
        <v>197</v>
      </c>
      <c r="F2712">
        <v>1005</v>
      </c>
      <c r="G2712" t="s">
        <v>31</v>
      </c>
      <c r="H2712">
        <v>2028</v>
      </c>
      <c r="I2712" t="s">
        <v>6</v>
      </c>
      <c r="J2712">
        <v>3338</v>
      </c>
      <c r="K2712" t="s">
        <v>1385</v>
      </c>
      <c r="L2712">
        <v>4222</v>
      </c>
      <c r="M2712" t="s">
        <v>1387</v>
      </c>
      <c r="N2712" t="s">
        <v>1321</v>
      </c>
      <c r="O2712">
        <v>91</v>
      </c>
      <c r="P2712">
        <v>9168</v>
      </c>
      <c r="Q2712" t="s">
        <v>1388</v>
      </c>
      <c r="R2712" t="s">
        <v>201</v>
      </c>
      <c r="S2712">
        <v>12</v>
      </c>
      <c r="T2712">
        <v>1</v>
      </c>
      <c r="U2712">
        <v>116856</v>
      </c>
      <c r="V2712">
        <v>1402272</v>
      </c>
    </row>
    <row r="2713" spans="1:22">
      <c r="A2713" t="s">
        <v>196</v>
      </c>
      <c r="B2713">
        <v>57</v>
      </c>
      <c r="C2713" t="s">
        <v>31</v>
      </c>
      <c r="D2713">
        <v>100</v>
      </c>
      <c r="E2713" t="s">
        <v>197</v>
      </c>
      <c r="F2713">
        <v>1005</v>
      </c>
      <c r="G2713" t="s">
        <v>31</v>
      </c>
      <c r="H2713">
        <v>2028</v>
      </c>
      <c r="I2713" t="s">
        <v>6</v>
      </c>
      <c r="J2713">
        <v>3338</v>
      </c>
      <c r="K2713" t="s">
        <v>1385</v>
      </c>
      <c r="L2713">
        <v>4222</v>
      </c>
      <c r="M2713" t="s">
        <v>1387</v>
      </c>
      <c r="N2713" t="s">
        <v>1321</v>
      </c>
      <c r="O2713">
        <v>91</v>
      </c>
      <c r="P2713">
        <v>9168</v>
      </c>
      <c r="Q2713" t="s">
        <v>1388</v>
      </c>
      <c r="R2713" t="s">
        <v>201</v>
      </c>
      <c r="S2713">
        <v>2</v>
      </c>
      <c r="T2713">
        <v>1</v>
      </c>
      <c r="U2713">
        <v>90816</v>
      </c>
      <c r="V2713">
        <v>181632</v>
      </c>
    </row>
    <row r="2714" spans="1:22">
      <c r="A2714" t="s">
        <v>196</v>
      </c>
      <c r="B2714">
        <v>57</v>
      </c>
      <c r="C2714" t="s">
        <v>31</v>
      </c>
      <c r="D2714">
        <v>100</v>
      </c>
      <c r="E2714" t="s">
        <v>197</v>
      </c>
      <c r="F2714">
        <v>1005</v>
      </c>
      <c r="G2714" t="s">
        <v>31</v>
      </c>
      <c r="H2714">
        <v>2028</v>
      </c>
      <c r="I2714" t="s">
        <v>6</v>
      </c>
      <c r="J2714">
        <v>3338</v>
      </c>
      <c r="K2714" t="s">
        <v>1385</v>
      </c>
      <c r="L2714">
        <v>4222</v>
      </c>
      <c r="M2714" t="s">
        <v>1387</v>
      </c>
      <c r="N2714" t="s">
        <v>1321</v>
      </c>
      <c r="O2714">
        <v>91</v>
      </c>
      <c r="P2714">
        <v>9154</v>
      </c>
      <c r="Q2714" t="s">
        <v>1389</v>
      </c>
      <c r="R2714" t="s">
        <v>201</v>
      </c>
      <c r="S2714">
        <v>1</v>
      </c>
      <c r="T2714">
        <v>1</v>
      </c>
      <c r="U2714">
        <v>133650</v>
      </c>
      <c r="V2714">
        <v>133650</v>
      </c>
    </row>
    <row r="2715" spans="1:22">
      <c r="A2715" t="s">
        <v>196</v>
      </c>
      <c r="B2715">
        <v>57</v>
      </c>
      <c r="C2715" t="s">
        <v>31</v>
      </c>
      <c r="D2715">
        <v>100</v>
      </c>
      <c r="E2715" t="s">
        <v>197</v>
      </c>
      <c r="F2715">
        <v>1005</v>
      </c>
      <c r="G2715" t="s">
        <v>31</v>
      </c>
      <c r="H2715">
        <v>2028</v>
      </c>
      <c r="I2715" t="s">
        <v>6</v>
      </c>
      <c r="J2715">
        <v>3338</v>
      </c>
      <c r="K2715" t="s">
        <v>1385</v>
      </c>
      <c r="L2715">
        <v>4222</v>
      </c>
      <c r="M2715" t="s">
        <v>1387</v>
      </c>
      <c r="N2715" t="s">
        <v>1321</v>
      </c>
      <c r="O2715">
        <v>91</v>
      </c>
      <c r="P2715">
        <v>9154</v>
      </c>
      <c r="Q2715" t="s">
        <v>1389</v>
      </c>
      <c r="R2715" t="s">
        <v>201</v>
      </c>
      <c r="S2715">
        <v>1</v>
      </c>
      <c r="T2715">
        <v>1</v>
      </c>
      <c r="U2715">
        <v>129774</v>
      </c>
      <c r="V2715">
        <v>129774</v>
      </c>
    </row>
    <row r="2716" spans="1:22">
      <c r="A2716" t="s">
        <v>196</v>
      </c>
      <c r="B2716">
        <v>57</v>
      </c>
      <c r="C2716" t="s">
        <v>31</v>
      </c>
      <c r="D2716">
        <v>100</v>
      </c>
      <c r="E2716" t="s">
        <v>197</v>
      </c>
      <c r="F2716">
        <v>1005</v>
      </c>
      <c r="G2716" t="s">
        <v>31</v>
      </c>
      <c r="H2716">
        <v>2028</v>
      </c>
      <c r="I2716" t="s">
        <v>6</v>
      </c>
      <c r="J2716">
        <v>3338</v>
      </c>
      <c r="K2716" t="s">
        <v>1385</v>
      </c>
      <c r="L2716">
        <v>4222</v>
      </c>
      <c r="M2716" t="s">
        <v>1387</v>
      </c>
      <c r="N2716" t="s">
        <v>1321</v>
      </c>
      <c r="O2716">
        <v>91</v>
      </c>
      <c r="P2716">
        <v>9154</v>
      </c>
      <c r="Q2716" t="s">
        <v>1389</v>
      </c>
      <c r="R2716" t="s">
        <v>201</v>
      </c>
      <c r="S2716">
        <v>2</v>
      </c>
      <c r="T2716">
        <v>1</v>
      </c>
      <c r="U2716">
        <v>120900</v>
      </c>
      <c r="V2716">
        <v>241800</v>
      </c>
    </row>
    <row r="2717" spans="1:22">
      <c r="A2717" t="s">
        <v>196</v>
      </c>
      <c r="B2717">
        <v>57</v>
      </c>
      <c r="C2717" t="s">
        <v>31</v>
      </c>
      <c r="D2717">
        <v>100</v>
      </c>
      <c r="E2717" t="s">
        <v>197</v>
      </c>
      <c r="F2717">
        <v>1005</v>
      </c>
      <c r="G2717" t="s">
        <v>31</v>
      </c>
      <c r="H2717">
        <v>2028</v>
      </c>
      <c r="I2717" t="s">
        <v>6</v>
      </c>
      <c r="J2717">
        <v>3338</v>
      </c>
      <c r="K2717" t="s">
        <v>1385</v>
      </c>
      <c r="L2717">
        <v>4222</v>
      </c>
      <c r="M2717" t="s">
        <v>1387</v>
      </c>
      <c r="N2717" t="s">
        <v>1321</v>
      </c>
      <c r="O2717">
        <v>91</v>
      </c>
      <c r="P2717">
        <v>9154</v>
      </c>
      <c r="Q2717" t="s">
        <v>1389</v>
      </c>
      <c r="R2717" t="s">
        <v>201</v>
      </c>
      <c r="S2717">
        <v>1</v>
      </c>
      <c r="T2717">
        <v>1</v>
      </c>
      <c r="U2717">
        <v>116856</v>
      </c>
      <c r="V2717">
        <v>116856</v>
      </c>
    </row>
    <row r="2718" spans="1:22">
      <c r="A2718" t="s">
        <v>196</v>
      </c>
      <c r="B2718">
        <v>57</v>
      </c>
      <c r="C2718" t="s">
        <v>31</v>
      </c>
      <c r="D2718">
        <v>100</v>
      </c>
      <c r="E2718" t="s">
        <v>197</v>
      </c>
      <c r="F2718">
        <v>1005</v>
      </c>
      <c r="G2718" t="s">
        <v>31</v>
      </c>
      <c r="H2718">
        <v>2028</v>
      </c>
      <c r="I2718" t="s">
        <v>6</v>
      </c>
      <c r="J2718">
        <v>3338</v>
      </c>
      <c r="K2718" t="s">
        <v>1385</v>
      </c>
      <c r="L2718">
        <v>4222</v>
      </c>
      <c r="M2718" t="s">
        <v>1387</v>
      </c>
      <c r="N2718" t="s">
        <v>1321</v>
      </c>
      <c r="O2718">
        <v>91</v>
      </c>
      <c r="P2718">
        <v>9154</v>
      </c>
      <c r="Q2718" t="s">
        <v>1389</v>
      </c>
      <c r="R2718" t="s">
        <v>201</v>
      </c>
      <c r="S2718">
        <v>2</v>
      </c>
      <c r="T2718">
        <v>1</v>
      </c>
      <c r="U2718">
        <v>90816</v>
      </c>
      <c r="V2718">
        <v>181632</v>
      </c>
    </row>
    <row r="2719" spans="1:22">
      <c r="A2719" t="s">
        <v>196</v>
      </c>
      <c r="B2719">
        <v>57</v>
      </c>
      <c r="C2719" t="s">
        <v>31</v>
      </c>
      <c r="D2719">
        <v>100</v>
      </c>
      <c r="E2719" t="s">
        <v>197</v>
      </c>
      <c r="F2719">
        <v>1005</v>
      </c>
      <c r="G2719" t="s">
        <v>31</v>
      </c>
      <c r="H2719">
        <v>2028</v>
      </c>
      <c r="I2719" t="s">
        <v>6</v>
      </c>
      <c r="J2719">
        <v>3338</v>
      </c>
      <c r="K2719" t="s">
        <v>1385</v>
      </c>
      <c r="L2719">
        <v>4222</v>
      </c>
      <c r="M2719" t="s">
        <v>1387</v>
      </c>
      <c r="N2719" t="s">
        <v>199</v>
      </c>
      <c r="O2719">
        <v>0</v>
      </c>
      <c r="P2719">
        <v>15</v>
      </c>
      <c r="Q2719" t="s">
        <v>264</v>
      </c>
      <c r="R2719" t="s">
        <v>201</v>
      </c>
      <c r="S2719">
        <v>0</v>
      </c>
      <c r="T2719">
        <v>0</v>
      </c>
      <c r="U2719">
        <v>9500</v>
      </c>
      <c r="V2719">
        <v>9500</v>
      </c>
    </row>
    <row r="2720" spans="1:22">
      <c r="A2720" t="s">
        <v>196</v>
      </c>
      <c r="B2720">
        <v>57</v>
      </c>
      <c r="C2720" t="s">
        <v>31</v>
      </c>
      <c r="D2720">
        <v>100</v>
      </c>
      <c r="E2720" t="s">
        <v>197</v>
      </c>
      <c r="F2720">
        <v>1005</v>
      </c>
      <c r="G2720" t="s">
        <v>31</v>
      </c>
      <c r="H2720">
        <v>2028</v>
      </c>
      <c r="I2720" t="s">
        <v>6</v>
      </c>
      <c r="J2720">
        <v>3338</v>
      </c>
      <c r="K2720" t="s">
        <v>1385</v>
      </c>
      <c r="L2720">
        <v>4223</v>
      </c>
      <c r="M2720" t="s">
        <v>1390</v>
      </c>
      <c r="N2720" t="s">
        <v>1304</v>
      </c>
      <c r="O2720">
        <v>73</v>
      </c>
      <c r="P2720">
        <v>9173</v>
      </c>
      <c r="Q2720" t="s">
        <v>1323</v>
      </c>
      <c r="R2720" t="s">
        <v>201</v>
      </c>
      <c r="S2720">
        <v>1</v>
      </c>
      <c r="T2720">
        <v>1</v>
      </c>
      <c r="U2720">
        <v>170700</v>
      </c>
      <c r="V2720">
        <v>170700</v>
      </c>
    </row>
    <row r="2721" spans="1:22">
      <c r="A2721" t="s">
        <v>196</v>
      </c>
      <c r="B2721">
        <v>57</v>
      </c>
      <c r="C2721" t="s">
        <v>31</v>
      </c>
      <c r="D2721">
        <v>100</v>
      </c>
      <c r="E2721" t="s">
        <v>197</v>
      </c>
      <c r="F2721">
        <v>1005</v>
      </c>
      <c r="G2721" t="s">
        <v>31</v>
      </c>
      <c r="H2721">
        <v>2028</v>
      </c>
      <c r="I2721" t="s">
        <v>6</v>
      </c>
      <c r="J2721">
        <v>3338</v>
      </c>
      <c r="K2721" t="s">
        <v>1385</v>
      </c>
      <c r="L2721">
        <v>4223</v>
      </c>
      <c r="M2721" t="s">
        <v>1390</v>
      </c>
      <c r="N2721" t="s">
        <v>1302</v>
      </c>
      <c r="O2721">
        <v>71</v>
      </c>
      <c r="P2721">
        <v>9171</v>
      </c>
      <c r="Q2721" t="s">
        <v>1303</v>
      </c>
      <c r="R2721" t="s">
        <v>201</v>
      </c>
      <c r="S2721">
        <v>1</v>
      </c>
      <c r="T2721">
        <v>1</v>
      </c>
      <c r="U2721">
        <v>152010</v>
      </c>
      <c r="V2721">
        <v>152010</v>
      </c>
    </row>
    <row r="2722" spans="1:22">
      <c r="A2722" t="s">
        <v>196</v>
      </c>
      <c r="B2722">
        <v>57</v>
      </c>
      <c r="C2722" t="s">
        <v>31</v>
      </c>
      <c r="D2722">
        <v>100</v>
      </c>
      <c r="E2722" t="s">
        <v>197</v>
      </c>
      <c r="F2722">
        <v>1005</v>
      </c>
      <c r="G2722" t="s">
        <v>31</v>
      </c>
      <c r="H2722">
        <v>2028</v>
      </c>
      <c r="I2722" t="s">
        <v>6</v>
      </c>
      <c r="J2722">
        <v>3338</v>
      </c>
      <c r="K2722" t="s">
        <v>1385</v>
      </c>
      <c r="L2722">
        <v>4223</v>
      </c>
      <c r="M2722" t="s">
        <v>1390</v>
      </c>
      <c r="N2722" t="s">
        <v>1302</v>
      </c>
      <c r="O2722">
        <v>71</v>
      </c>
      <c r="P2722">
        <v>9171</v>
      </c>
      <c r="Q2722" t="s">
        <v>1303</v>
      </c>
      <c r="R2722" t="s">
        <v>201</v>
      </c>
      <c r="S2722">
        <v>3</v>
      </c>
      <c r="T2722">
        <v>1</v>
      </c>
      <c r="U2722">
        <v>147252</v>
      </c>
      <c r="V2722">
        <v>441756</v>
      </c>
    </row>
    <row r="2723" spans="1:22">
      <c r="A2723" t="s">
        <v>196</v>
      </c>
      <c r="B2723">
        <v>57</v>
      </c>
      <c r="C2723" t="s">
        <v>31</v>
      </c>
      <c r="D2723">
        <v>100</v>
      </c>
      <c r="E2723" t="s">
        <v>197</v>
      </c>
      <c r="F2723">
        <v>1005</v>
      </c>
      <c r="G2723" t="s">
        <v>31</v>
      </c>
      <c r="H2723">
        <v>2028</v>
      </c>
      <c r="I2723" t="s">
        <v>6</v>
      </c>
      <c r="J2723">
        <v>3338</v>
      </c>
      <c r="K2723" t="s">
        <v>1385</v>
      </c>
      <c r="L2723">
        <v>4223</v>
      </c>
      <c r="M2723" t="s">
        <v>1390</v>
      </c>
      <c r="N2723" t="s">
        <v>1321</v>
      </c>
      <c r="O2723">
        <v>91</v>
      </c>
      <c r="P2723">
        <v>9169</v>
      </c>
      <c r="Q2723" t="s">
        <v>1391</v>
      </c>
      <c r="R2723" t="s">
        <v>201</v>
      </c>
      <c r="S2723">
        <v>3</v>
      </c>
      <c r="T2723">
        <v>1</v>
      </c>
      <c r="U2723">
        <v>133650</v>
      </c>
      <c r="V2723">
        <v>400950</v>
      </c>
    </row>
    <row r="2724" spans="1:22">
      <c r="A2724" t="s">
        <v>196</v>
      </c>
      <c r="B2724">
        <v>57</v>
      </c>
      <c r="C2724" t="s">
        <v>31</v>
      </c>
      <c r="D2724">
        <v>100</v>
      </c>
      <c r="E2724" t="s">
        <v>197</v>
      </c>
      <c r="F2724">
        <v>1005</v>
      </c>
      <c r="G2724" t="s">
        <v>31</v>
      </c>
      <c r="H2724">
        <v>2028</v>
      </c>
      <c r="I2724" t="s">
        <v>6</v>
      </c>
      <c r="J2724">
        <v>3338</v>
      </c>
      <c r="K2724" t="s">
        <v>1385</v>
      </c>
      <c r="L2724">
        <v>4223</v>
      </c>
      <c r="M2724" t="s">
        <v>1390</v>
      </c>
      <c r="N2724" t="s">
        <v>1321</v>
      </c>
      <c r="O2724">
        <v>91</v>
      </c>
      <c r="P2724">
        <v>9169</v>
      </c>
      <c r="Q2724" t="s">
        <v>1391</v>
      </c>
      <c r="R2724" t="s">
        <v>201</v>
      </c>
      <c r="S2724">
        <v>2</v>
      </c>
      <c r="T2724">
        <v>1</v>
      </c>
      <c r="U2724">
        <v>129774</v>
      </c>
      <c r="V2724">
        <v>259548</v>
      </c>
    </row>
    <row r="2725" spans="1:22">
      <c r="A2725" t="s">
        <v>196</v>
      </c>
      <c r="B2725">
        <v>57</v>
      </c>
      <c r="C2725" t="s">
        <v>31</v>
      </c>
      <c r="D2725">
        <v>100</v>
      </c>
      <c r="E2725" t="s">
        <v>197</v>
      </c>
      <c r="F2725">
        <v>1005</v>
      </c>
      <c r="G2725" t="s">
        <v>31</v>
      </c>
      <c r="H2725">
        <v>2028</v>
      </c>
      <c r="I2725" t="s">
        <v>6</v>
      </c>
      <c r="J2725">
        <v>3338</v>
      </c>
      <c r="K2725" t="s">
        <v>1385</v>
      </c>
      <c r="L2725">
        <v>4223</v>
      </c>
      <c r="M2725" t="s">
        <v>1390</v>
      </c>
      <c r="N2725" t="s">
        <v>1321</v>
      </c>
      <c r="O2725">
        <v>91</v>
      </c>
      <c r="P2725">
        <v>9169</v>
      </c>
      <c r="Q2725" t="s">
        <v>1391</v>
      </c>
      <c r="R2725" t="s">
        <v>201</v>
      </c>
      <c r="S2725">
        <v>2</v>
      </c>
      <c r="T2725">
        <v>1</v>
      </c>
      <c r="U2725">
        <v>125112</v>
      </c>
      <c r="V2725">
        <v>250224</v>
      </c>
    </row>
    <row r="2726" spans="1:22">
      <c r="A2726" t="s">
        <v>196</v>
      </c>
      <c r="B2726">
        <v>57</v>
      </c>
      <c r="C2726" t="s">
        <v>31</v>
      </c>
      <c r="D2726">
        <v>100</v>
      </c>
      <c r="E2726" t="s">
        <v>197</v>
      </c>
      <c r="F2726">
        <v>1005</v>
      </c>
      <c r="G2726" t="s">
        <v>31</v>
      </c>
      <c r="H2726">
        <v>2028</v>
      </c>
      <c r="I2726" t="s">
        <v>6</v>
      </c>
      <c r="J2726">
        <v>3338</v>
      </c>
      <c r="K2726" t="s">
        <v>1385</v>
      </c>
      <c r="L2726">
        <v>4223</v>
      </c>
      <c r="M2726" t="s">
        <v>1390</v>
      </c>
      <c r="N2726" t="s">
        <v>1321</v>
      </c>
      <c r="O2726">
        <v>91</v>
      </c>
      <c r="P2726">
        <v>9169</v>
      </c>
      <c r="Q2726" t="s">
        <v>1391</v>
      </c>
      <c r="R2726" t="s">
        <v>201</v>
      </c>
      <c r="S2726">
        <v>5</v>
      </c>
      <c r="T2726">
        <v>1</v>
      </c>
      <c r="U2726">
        <v>120900</v>
      </c>
      <c r="V2726">
        <v>604500</v>
      </c>
    </row>
    <row r="2727" spans="1:22">
      <c r="A2727" t="s">
        <v>196</v>
      </c>
      <c r="B2727">
        <v>57</v>
      </c>
      <c r="C2727" t="s">
        <v>31</v>
      </c>
      <c r="D2727">
        <v>100</v>
      </c>
      <c r="E2727" t="s">
        <v>197</v>
      </c>
      <c r="F2727">
        <v>1005</v>
      </c>
      <c r="G2727" t="s">
        <v>31</v>
      </c>
      <c r="H2727">
        <v>2028</v>
      </c>
      <c r="I2727" t="s">
        <v>6</v>
      </c>
      <c r="J2727">
        <v>3338</v>
      </c>
      <c r="K2727" t="s">
        <v>1385</v>
      </c>
      <c r="L2727">
        <v>4223</v>
      </c>
      <c r="M2727" t="s">
        <v>1390</v>
      </c>
      <c r="N2727" t="s">
        <v>1321</v>
      </c>
      <c r="O2727">
        <v>91</v>
      </c>
      <c r="P2727">
        <v>9169</v>
      </c>
      <c r="Q2727" t="s">
        <v>1391</v>
      </c>
      <c r="R2727" t="s">
        <v>201</v>
      </c>
      <c r="S2727">
        <v>3</v>
      </c>
      <c r="T2727">
        <v>1</v>
      </c>
      <c r="U2727">
        <v>116856</v>
      </c>
      <c r="V2727">
        <v>350568</v>
      </c>
    </row>
    <row r="2728" spans="1:22">
      <c r="A2728" t="s">
        <v>196</v>
      </c>
      <c r="B2728">
        <v>57</v>
      </c>
      <c r="C2728" t="s">
        <v>31</v>
      </c>
      <c r="D2728">
        <v>100</v>
      </c>
      <c r="E2728" t="s">
        <v>197</v>
      </c>
      <c r="F2728">
        <v>1005</v>
      </c>
      <c r="G2728" t="s">
        <v>31</v>
      </c>
      <c r="H2728">
        <v>2028</v>
      </c>
      <c r="I2728" t="s">
        <v>6</v>
      </c>
      <c r="J2728">
        <v>3338</v>
      </c>
      <c r="K2728" t="s">
        <v>1385</v>
      </c>
      <c r="L2728">
        <v>4223</v>
      </c>
      <c r="M2728" t="s">
        <v>1390</v>
      </c>
      <c r="N2728" t="s">
        <v>1321</v>
      </c>
      <c r="O2728">
        <v>91</v>
      </c>
      <c r="P2728">
        <v>9169</v>
      </c>
      <c r="Q2728" t="s">
        <v>1391</v>
      </c>
      <c r="R2728" t="s">
        <v>201</v>
      </c>
      <c r="S2728">
        <v>2</v>
      </c>
      <c r="T2728">
        <v>1</v>
      </c>
      <c r="U2728">
        <v>90816</v>
      </c>
      <c r="V2728">
        <v>181632</v>
      </c>
    </row>
    <row r="2729" spans="1:22">
      <c r="A2729" t="s">
        <v>196</v>
      </c>
      <c r="B2729">
        <v>57</v>
      </c>
      <c r="C2729" t="s">
        <v>31</v>
      </c>
      <c r="D2729">
        <v>100</v>
      </c>
      <c r="E2729" t="s">
        <v>197</v>
      </c>
      <c r="F2729">
        <v>1005</v>
      </c>
      <c r="G2729" t="s">
        <v>31</v>
      </c>
      <c r="H2729">
        <v>2028</v>
      </c>
      <c r="I2729" t="s">
        <v>6</v>
      </c>
      <c r="J2729">
        <v>3338</v>
      </c>
      <c r="K2729" t="s">
        <v>1385</v>
      </c>
      <c r="L2729">
        <v>4223</v>
      </c>
      <c r="M2729" t="s">
        <v>1390</v>
      </c>
      <c r="N2729" t="s">
        <v>199</v>
      </c>
      <c r="O2729">
        <v>0</v>
      </c>
      <c r="P2729">
        <v>15</v>
      </c>
      <c r="Q2729" t="s">
        <v>264</v>
      </c>
      <c r="R2729" t="s">
        <v>201</v>
      </c>
      <c r="S2729">
        <v>0</v>
      </c>
      <c r="T2729">
        <v>0</v>
      </c>
      <c r="U2729">
        <v>3047</v>
      </c>
      <c r="V2729">
        <v>3047</v>
      </c>
    </row>
    <row r="2730" spans="1:22">
      <c r="A2730" t="s">
        <v>196</v>
      </c>
      <c r="B2730">
        <v>57</v>
      </c>
      <c r="C2730" t="s">
        <v>31</v>
      </c>
      <c r="D2730">
        <v>100</v>
      </c>
      <c r="E2730" t="s">
        <v>197</v>
      </c>
      <c r="F2730">
        <v>1005</v>
      </c>
      <c r="G2730" t="s">
        <v>31</v>
      </c>
      <c r="H2730">
        <v>2028</v>
      </c>
      <c r="I2730" t="s">
        <v>6</v>
      </c>
      <c r="J2730">
        <v>3338</v>
      </c>
      <c r="K2730" t="s">
        <v>1385</v>
      </c>
      <c r="L2730">
        <v>4224</v>
      </c>
      <c r="M2730" t="s">
        <v>1392</v>
      </c>
      <c r="N2730" t="s">
        <v>1304</v>
      </c>
      <c r="O2730">
        <v>73</v>
      </c>
      <c r="P2730">
        <v>9173</v>
      </c>
      <c r="Q2730" t="s">
        <v>1323</v>
      </c>
      <c r="R2730" t="s">
        <v>201</v>
      </c>
      <c r="S2730">
        <v>1</v>
      </c>
      <c r="T2730">
        <v>1</v>
      </c>
      <c r="U2730">
        <v>170700</v>
      </c>
      <c r="V2730">
        <v>170700</v>
      </c>
    </row>
    <row r="2731" spans="1:22">
      <c r="A2731" t="s">
        <v>196</v>
      </c>
      <c r="B2731">
        <v>57</v>
      </c>
      <c r="C2731" t="s">
        <v>31</v>
      </c>
      <c r="D2731">
        <v>100</v>
      </c>
      <c r="E2731" t="s">
        <v>197</v>
      </c>
      <c r="F2731">
        <v>1005</v>
      </c>
      <c r="G2731" t="s">
        <v>31</v>
      </c>
      <c r="H2731">
        <v>2028</v>
      </c>
      <c r="I2731" t="s">
        <v>6</v>
      </c>
      <c r="J2731">
        <v>3338</v>
      </c>
      <c r="K2731" t="s">
        <v>1385</v>
      </c>
      <c r="L2731">
        <v>4224</v>
      </c>
      <c r="M2731" t="s">
        <v>1392</v>
      </c>
      <c r="N2731" t="s">
        <v>1302</v>
      </c>
      <c r="O2731">
        <v>71</v>
      </c>
      <c r="P2731">
        <v>9171</v>
      </c>
      <c r="Q2731" t="s">
        <v>1303</v>
      </c>
      <c r="R2731" t="s">
        <v>201</v>
      </c>
      <c r="S2731">
        <v>2</v>
      </c>
      <c r="T2731">
        <v>1</v>
      </c>
      <c r="U2731">
        <v>152010</v>
      </c>
      <c r="V2731">
        <v>304020</v>
      </c>
    </row>
    <row r="2732" spans="1:22">
      <c r="A2732" t="s">
        <v>196</v>
      </c>
      <c r="B2732">
        <v>57</v>
      </c>
      <c r="C2732" t="s">
        <v>31</v>
      </c>
      <c r="D2732">
        <v>100</v>
      </c>
      <c r="E2732" t="s">
        <v>197</v>
      </c>
      <c r="F2732">
        <v>1005</v>
      </c>
      <c r="G2732" t="s">
        <v>31</v>
      </c>
      <c r="H2732">
        <v>2028</v>
      </c>
      <c r="I2732" t="s">
        <v>6</v>
      </c>
      <c r="J2732">
        <v>3338</v>
      </c>
      <c r="K2732" t="s">
        <v>1385</v>
      </c>
      <c r="L2732">
        <v>4224</v>
      </c>
      <c r="M2732" t="s">
        <v>1392</v>
      </c>
      <c r="N2732" t="s">
        <v>1302</v>
      </c>
      <c r="O2732">
        <v>71</v>
      </c>
      <c r="P2732">
        <v>9171</v>
      </c>
      <c r="Q2732" t="s">
        <v>1303</v>
      </c>
      <c r="R2732" t="s">
        <v>201</v>
      </c>
      <c r="S2732">
        <v>2</v>
      </c>
      <c r="T2732">
        <v>1</v>
      </c>
      <c r="U2732">
        <v>147252</v>
      </c>
      <c r="V2732">
        <v>294504</v>
      </c>
    </row>
    <row r="2733" spans="1:22">
      <c r="A2733" t="s">
        <v>196</v>
      </c>
      <c r="B2733">
        <v>57</v>
      </c>
      <c r="C2733" t="s">
        <v>31</v>
      </c>
      <c r="D2733">
        <v>100</v>
      </c>
      <c r="E2733" t="s">
        <v>197</v>
      </c>
      <c r="F2733">
        <v>1005</v>
      </c>
      <c r="G2733" t="s">
        <v>31</v>
      </c>
      <c r="H2733">
        <v>2028</v>
      </c>
      <c r="I2733" t="s">
        <v>6</v>
      </c>
      <c r="J2733">
        <v>3338</v>
      </c>
      <c r="K2733" t="s">
        <v>1385</v>
      </c>
      <c r="L2733">
        <v>4224</v>
      </c>
      <c r="M2733" t="s">
        <v>1392</v>
      </c>
      <c r="N2733" t="s">
        <v>1302</v>
      </c>
      <c r="O2733">
        <v>71</v>
      </c>
      <c r="P2733">
        <v>9171</v>
      </c>
      <c r="Q2733" t="s">
        <v>1303</v>
      </c>
      <c r="R2733" t="s">
        <v>201</v>
      </c>
      <c r="S2733">
        <v>1</v>
      </c>
      <c r="T2733">
        <v>1</v>
      </c>
      <c r="U2733">
        <v>142668</v>
      </c>
      <c r="V2733">
        <v>142668</v>
      </c>
    </row>
    <row r="2734" spans="1:22">
      <c r="A2734" t="s">
        <v>196</v>
      </c>
      <c r="B2734">
        <v>57</v>
      </c>
      <c r="C2734" t="s">
        <v>31</v>
      </c>
      <c r="D2734">
        <v>100</v>
      </c>
      <c r="E2734" t="s">
        <v>197</v>
      </c>
      <c r="F2734">
        <v>1005</v>
      </c>
      <c r="G2734" t="s">
        <v>31</v>
      </c>
      <c r="H2734">
        <v>2028</v>
      </c>
      <c r="I2734" t="s">
        <v>6</v>
      </c>
      <c r="J2734">
        <v>3338</v>
      </c>
      <c r="K2734" t="s">
        <v>1385</v>
      </c>
      <c r="L2734">
        <v>4224</v>
      </c>
      <c r="M2734" t="s">
        <v>1392</v>
      </c>
      <c r="N2734" t="s">
        <v>1321</v>
      </c>
      <c r="O2734">
        <v>91</v>
      </c>
      <c r="P2734">
        <v>9153</v>
      </c>
      <c r="Q2734" t="s">
        <v>1384</v>
      </c>
      <c r="R2734" t="s">
        <v>201</v>
      </c>
      <c r="S2734">
        <v>4</v>
      </c>
      <c r="T2734">
        <v>1</v>
      </c>
      <c r="U2734">
        <v>133650</v>
      </c>
      <c r="V2734">
        <v>534600</v>
      </c>
    </row>
    <row r="2735" spans="1:22">
      <c r="A2735" t="s">
        <v>196</v>
      </c>
      <c r="B2735">
        <v>57</v>
      </c>
      <c r="C2735" t="s">
        <v>31</v>
      </c>
      <c r="D2735">
        <v>100</v>
      </c>
      <c r="E2735" t="s">
        <v>197</v>
      </c>
      <c r="F2735">
        <v>1005</v>
      </c>
      <c r="G2735" t="s">
        <v>31</v>
      </c>
      <c r="H2735">
        <v>2028</v>
      </c>
      <c r="I2735" t="s">
        <v>6</v>
      </c>
      <c r="J2735">
        <v>3338</v>
      </c>
      <c r="K2735" t="s">
        <v>1385</v>
      </c>
      <c r="L2735">
        <v>4224</v>
      </c>
      <c r="M2735" t="s">
        <v>1392</v>
      </c>
      <c r="N2735" t="s">
        <v>1321</v>
      </c>
      <c r="O2735">
        <v>91</v>
      </c>
      <c r="P2735">
        <v>9153</v>
      </c>
      <c r="Q2735" t="s">
        <v>1384</v>
      </c>
      <c r="R2735" t="s">
        <v>201</v>
      </c>
      <c r="S2735">
        <v>3</v>
      </c>
      <c r="T2735">
        <v>1</v>
      </c>
      <c r="U2735">
        <v>129774</v>
      </c>
      <c r="V2735">
        <v>389322</v>
      </c>
    </row>
    <row r="2736" spans="1:22">
      <c r="A2736" t="s">
        <v>196</v>
      </c>
      <c r="B2736">
        <v>57</v>
      </c>
      <c r="C2736" t="s">
        <v>31</v>
      </c>
      <c r="D2736">
        <v>100</v>
      </c>
      <c r="E2736" t="s">
        <v>197</v>
      </c>
      <c r="F2736">
        <v>1005</v>
      </c>
      <c r="G2736" t="s">
        <v>31</v>
      </c>
      <c r="H2736">
        <v>2028</v>
      </c>
      <c r="I2736" t="s">
        <v>6</v>
      </c>
      <c r="J2736">
        <v>3338</v>
      </c>
      <c r="K2736" t="s">
        <v>1385</v>
      </c>
      <c r="L2736">
        <v>4224</v>
      </c>
      <c r="M2736" t="s">
        <v>1392</v>
      </c>
      <c r="N2736" t="s">
        <v>1321</v>
      </c>
      <c r="O2736">
        <v>91</v>
      </c>
      <c r="P2736">
        <v>9152</v>
      </c>
      <c r="Q2736" t="s">
        <v>1393</v>
      </c>
      <c r="R2736" t="s">
        <v>201</v>
      </c>
      <c r="S2736">
        <v>5</v>
      </c>
      <c r="T2736">
        <v>1</v>
      </c>
      <c r="U2736">
        <v>133650</v>
      </c>
      <c r="V2736">
        <v>668250</v>
      </c>
    </row>
    <row r="2737" spans="1:22">
      <c r="A2737" t="s">
        <v>196</v>
      </c>
      <c r="B2737">
        <v>57</v>
      </c>
      <c r="C2737" t="s">
        <v>31</v>
      </c>
      <c r="D2737">
        <v>100</v>
      </c>
      <c r="E2737" t="s">
        <v>197</v>
      </c>
      <c r="F2737">
        <v>1005</v>
      </c>
      <c r="G2737" t="s">
        <v>31</v>
      </c>
      <c r="H2737">
        <v>2028</v>
      </c>
      <c r="I2737" t="s">
        <v>6</v>
      </c>
      <c r="J2737">
        <v>3338</v>
      </c>
      <c r="K2737" t="s">
        <v>1385</v>
      </c>
      <c r="L2737">
        <v>4224</v>
      </c>
      <c r="M2737" t="s">
        <v>1392</v>
      </c>
      <c r="N2737" t="s">
        <v>1321</v>
      </c>
      <c r="O2737">
        <v>91</v>
      </c>
      <c r="P2737">
        <v>9152</v>
      </c>
      <c r="Q2737" t="s">
        <v>1393</v>
      </c>
      <c r="R2737" t="s">
        <v>201</v>
      </c>
      <c r="S2737">
        <v>6</v>
      </c>
      <c r="T2737">
        <v>1</v>
      </c>
      <c r="U2737">
        <v>129774</v>
      </c>
      <c r="V2737">
        <v>778644</v>
      </c>
    </row>
    <row r="2738" spans="1:22">
      <c r="A2738" t="s">
        <v>196</v>
      </c>
      <c r="B2738">
        <v>57</v>
      </c>
      <c r="C2738" t="s">
        <v>31</v>
      </c>
      <c r="D2738">
        <v>100</v>
      </c>
      <c r="E2738" t="s">
        <v>197</v>
      </c>
      <c r="F2738">
        <v>1005</v>
      </c>
      <c r="G2738" t="s">
        <v>31</v>
      </c>
      <c r="H2738">
        <v>2028</v>
      </c>
      <c r="I2738" t="s">
        <v>6</v>
      </c>
      <c r="J2738">
        <v>3338</v>
      </c>
      <c r="K2738" t="s">
        <v>1385</v>
      </c>
      <c r="L2738">
        <v>4224</v>
      </c>
      <c r="M2738" t="s">
        <v>1392</v>
      </c>
      <c r="N2738" t="s">
        <v>1321</v>
      </c>
      <c r="O2738">
        <v>91</v>
      </c>
      <c r="P2738">
        <v>9152</v>
      </c>
      <c r="Q2738" t="s">
        <v>1393</v>
      </c>
      <c r="R2738" t="s">
        <v>201</v>
      </c>
      <c r="S2738">
        <v>1</v>
      </c>
      <c r="T2738">
        <v>1</v>
      </c>
      <c r="U2738">
        <v>125112</v>
      </c>
      <c r="V2738">
        <v>125112</v>
      </c>
    </row>
    <row r="2739" spans="1:22">
      <c r="A2739" t="s">
        <v>196</v>
      </c>
      <c r="B2739">
        <v>57</v>
      </c>
      <c r="C2739" t="s">
        <v>31</v>
      </c>
      <c r="D2739">
        <v>100</v>
      </c>
      <c r="E2739" t="s">
        <v>197</v>
      </c>
      <c r="F2739">
        <v>1005</v>
      </c>
      <c r="G2739" t="s">
        <v>31</v>
      </c>
      <c r="H2739">
        <v>2028</v>
      </c>
      <c r="I2739" t="s">
        <v>6</v>
      </c>
      <c r="J2739">
        <v>3338</v>
      </c>
      <c r="K2739" t="s">
        <v>1385</v>
      </c>
      <c r="L2739">
        <v>4224</v>
      </c>
      <c r="M2739" t="s">
        <v>1392</v>
      </c>
      <c r="N2739" t="s">
        <v>1321</v>
      </c>
      <c r="O2739">
        <v>91</v>
      </c>
      <c r="P2739">
        <v>9152</v>
      </c>
      <c r="Q2739" t="s">
        <v>1393</v>
      </c>
      <c r="R2739" t="s">
        <v>201</v>
      </c>
      <c r="S2739">
        <v>7</v>
      </c>
      <c r="T2739">
        <v>1</v>
      </c>
      <c r="U2739">
        <v>90816</v>
      </c>
      <c r="V2739">
        <v>635712</v>
      </c>
    </row>
    <row r="2740" spans="1:22">
      <c r="A2740" t="s">
        <v>196</v>
      </c>
      <c r="B2740">
        <v>57</v>
      </c>
      <c r="C2740" t="s">
        <v>31</v>
      </c>
      <c r="D2740">
        <v>100</v>
      </c>
      <c r="E2740" t="s">
        <v>197</v>
      </c>
      <c r="F2740">
        <v>1005</v>
      </c>
      <c r="G2740" t="s">
        <v>31</v>
      </c>
      <c r="H2740">
        <v>2028</v>
      </c>
      <c r="I2740" t="s">
        <v>6</v>
      </c>
      <c r="J2740">
        <v>3338</v>
      </c>
      <c r="K2740" t="s">
        <v>1385</v>
      </c>
      <c r="L2740">
        <v>4224</v>
      </c>
      <c r="M2740" t="s">
        <v>1392</v>
      </c>
      <c r="N2740" t="s">
        <v>199</v>
      </c>
      <c r="O2740">
        <v>0</v>
      </c>
      <c r="P2740">
        <v>15</v>
      </c>
      <c r="Q2740" t="s">
        <v>264</v>
      </c>
      <c r="R2740" t="s">
        <v>201</v>
      </c>
      <c r="S2740">
        <v>0</v>
      </c>
      <c r="T2740">
        <v>0</v>
      </c>
      <c r="U2740">
        <v>2400</v>
      </c>
      <c r="V2740">
        <v>2400</v>
      </c>
    </row>
    <row r="2741" spans="1:22">
      <c r="A2741" t="s">
        <v>196</v>
      </c>
      <c r="B2741">
        <v>57</v>
      </c>
      <c r="C2741" t="s">
        <v>31</v>
      </c>
      <c r="D2741">
        <v>100</v>
      </c>
      <c r="E2741" t="s">
        <v>197</v>
      </c>
      <c r="F2741">
        <v>1005</v>
      </c>
      <c r="G2741" t="s">
        <v>31</v>
      </c>
      <c r="H2741">
        <v>2028</v>
      </c>
      <c r="I2741" t="s">
        <v>6</v>
      </c>
      <c r="J2741">
        <v>3338</v>
      </c>
      <c r="K2741" t="s">
        <v>1385</v>
      </c>
      <c r="L2741">
        <v>4225</v>
      </c>
      <c r="M2741" t="s">
        <v>1394</v>
      </c>
      <c r="N2741" t="s">
        <v>1302</v>
      </c>
      <c r="O2741">
        <v>71</v>
      </c>
      <c r="P2741">
        <v>9171</v>
      </c>
      <c r="Q2741" t="s">
        <v>1303</v>
      </c>
      <c r="R2741" t="s">
        <v>201</v>
      </c>
      <c r="S2741">
        <v>1</v>
      </c>
      <c r="T2741">
        <v>1</v>
      </c>
      <c r="U2741">
        <v>147252</v>
      </c>
      <c r="V2741">
        <v>147252</v>
      </c>
    </row>
    <row r="2742" spans="1:22">
      <c r="A2742" t="s">
        <v>196</v>
      </c>
      <c r="B2742">
        <v>57</v>
      </c>
      <c r="C2742" t="s">
        <v>31</v>
      </c>
      <c r="D2742">
        <v>100</v>
      </c>
      <c r="E2742" t="s">
        <v>197</v>
      </c>
      <c r="F2742">
        <v>1005</v>
      </c>
      <c r="G2742" t="s">
        <v>31</v>
      </c>
      <c r="H2742">
        <v>2028</v>
      </c>
      <c r="I2742" t="s">
        <v>6</v>
      </c>
      <c r="J2742">
        <v>3338</v>
      </c>
      <c r="K2742" t="s">
        <v>1385</v>
      </c>
      <c r="L2742">
        <v>4225</v>
      </c>
      <c r="M2742" t="s">
        <v>1394</v>
      </c>
      <c r="N2742" t="s">
        <v>1302</v>
      </c>
      <c r="O2742">
        <v>71</v>
      </c>
      <c r="P2742">
        <v>9171</v>
      </c>
      <c r="Q2742" t="s">
        <v>1303</v>
      </c>
      <c r="R2742" t="s">
        <v>201</v>
      </c>
      <c r="S2742">
        <v>1</v>
      </c>
      <c r="T2742">
        <v>1</v>
      </c>
      <c r="U2742">
        <v>138318</v>
      </c>
      <c r="V2742">
        <v>138318</v>
      </c>
    </row>
    <row r="2743" spans="1:22">
      <c r="A2743" t="s">
        <v>196</v>
      </c>
      <c r="B2743">
        <v>57</v>
      </c>
      <c r="C2743" t="s">
        <v>31</v>
      </c>
      <c r="D2743">
        <v>100</v>
      </c>
      <c r="E2743" t="s">
        <v>197</v>
      </c>
      <c r="F2743">
        <v>1005</v>
      </c>
      <c r="G2743" t="s">
        <v>31</v>
      </c>
      <c r="H2743">
        <v>2028</v>
      </c>
      <c r="I2743" t="s">
        <v>6</v>
      </c>
      <c r="J2743">
        <v>3338</v>
      </c>
      <c r="K2743" t="s">
        <v>1385</v>
      </c>
      <c r="L2743">
        <v>4225</v>
      </c>
      <c r="M2743" t="s">
        <v>1394</v>
      </c>
      <c r="N2743" t="s">
        <v>1344</v>
      </c>
      <c r="O2743">
        <v>91</v>
      </c>
      <c r="P2743">
        <v>9158</v>
      </c>
      <c r="Q2743" t="s">
        <v>1395</v>
      </c>
      <c r="R2743" t="s">
        <v>201</v>
      </c>
      <c r="S2743">
        <v>3</v>
      </c>
      <c r="T2743">
        <v>1</v>
      </c>
      <c r="U2743">
        <v>152010</v>
      </c>
      <c r="V2743">
        <v>456030</v>
      </c>
    </row>
    <row r="2744" spans="1:22">
      <c r="A2744" t="s">
        <v>196</v>
      </c>
      <c r="B2744">
        <v>57</v>
      </c>
      <c r="C2744" t="s">
        <v>31</v>
      </c>
      <c r="D2744">
        <v>100</v>
      </c>
      <c r="E2744" t="s">
        <v>197</v>
      </c>
      <c r="F2744">
        <v>1005</v>
      </c>
      <c r="G2744" t="s">
        <v>31</v>
      </c>
      <c r="H2744">
        <v>2028</v>
      </c>
      <c r="I2744" t="s">
        <v>6</v>
      </c>
      <c r="J2744">
        <v>3338</v>
      </c>
      <c r="K2744" t="s">
        <v>1385</v>
      </c>
      <c r="L2744">
        <v>4225</v>
      </c>
      <c r="M2744" t="s">
        <v>1394</v>
      </c>
      <c r="N2744" t="s">
        <v>1344</v>
      </c>
      <c r="O2744">
        <v>91</v>
      </c>
      <c r="P2744">
        <v>9158</v>
      </c>
      <c r="Q2744" t="s">
        <v>1395</v>
      </c>
      <c r="R2744" t="s">
        <v>201</v>
      </c>
      <c r="S2744">
        <v>3</v>
      </c>
      <c r="T2744">
        <v>1</v>
      </c>
      <c r="U2744">
        <v>147252</v>
      </c>
      <c r="V2744">
        <v>441756</v>
      </c>
    </row>
    <row r="2745" spans="1:22">
      <c r="A2745" t="s">
        <v>196</v>
      </c>
      <c r="B2745">
        <v>57</v>
      </c>
      <c r="C2745" t="s">
        <v>31</v>
      </c>
      <c r="D2745">
        <v>100</v>
      </c>
      <c r="E2745" t="s">
        <v>197</v>
      </c>
      <c r="F2745">
        <v>1005</v>
      </c>
      <c r="G2745" t="s">
        <v>31</v>
      </c>
      <c r="H2745">
        <v>2028</v>
      </c>
      <c r="I2745" t="s">
        <v>6</v>
      </c>
      <c r="J2745">
        <v>3338</v>
      </c>
      <c r="K2745" t="s">
        <v>1385</v>
      </c>
      <c r="L2745">
        <v>4225</v>
      </c>
      <c r="M2745" t="s">
        <v>1394</v>
      </c>
      <c r="N2745" t="s">
        <v>1344</v>
      </c>
      <c r="O2745">
        <v>91</v>
      </c>
      <c r="P2745">
        <v>9158</v>
      </c>
      <c r="Q2745" t="s">
        <v>1395</v>
      </c>
      <c r="R2745" t="s">
        <v>201</v>
      </c>
      <c r="S2745">
        <v>5</v>
      </c>
      <c r="T2745">
        <v>1</v>
      </c>
      <c r="U2745">
        <v>142668</v>
      </c>
      <c r="V2745">
        <v>713340</v>
      </c>
    </row>
    <row r="2746" spans="1:22">
      <c r="A2746" t="s">
        <v>196</v>
      </c>
      <c r="B2746">
        <v>57</v>
      </c>
      <c r="C2746" t="s">
        <v>31</v>
      </c>
      <c r="D2746">
        <v>100</v>
      </c>
      <c r="E2746" t="s">
        <v>197</v>
      </c>
      <c r="F2746">
        <v>1005</v>
      </c>
      <c r="G2746" t="s">
        <v>31</v>
      </c>
      <c r="H2746">
        <v>2028</v>
      </c>
      <c r="I2746" t="s">
        <v>6</v>
      </c>
      <c r="J2746">
        <v>3338</v>
      </c>
      <c r="K2746" t="s">
        <v>1385</v>
      </c>
      <c r="L2746">
        <v>4225</v>
      </c>
      <c r="M2746" t="s">
        <v>1394</v>
      </c>
      <c r="N2746" t="s">
        <v>1344</v>
      </c>
      <c r="O2746">
        <v>91</v>
      </c>
      <c r="P2746">
        <v>9158</v>
      </c>
      <c r="Q2746" t="s">
        <v>1395</v>
      </c>
      <c r="R2746" t="s">
        <v>201</v>
      </c>
      <c r="S2746">
        <v>2</v>
      </c>
      <c r="T2746">
        <v>1</v>
      </c>
      <c r="U2746">
        <v>138318</v>
      </c>
      <c r="V2746">
        <v>276636</v>
      </c>
    </row>
    <row r="2747" spans="1:22">
      <c r="A2747" t="s">
        <v>196</v>
      </c>
      <c r="B2747">
        <v>57</v>
      </c>
      <c r="C2747" t="s">
        <v>31</v>
      </c>
      <c r="D2747">
        <v>100</v>
      </c>
      <c r="E2747" t="s">
        <v>197</v>
      </c>
      <c r="F2747">
        <v>1005</v>
      </c>
      <c r="G2747" t="s">
        <v>31</v>
      </c>
      <c r="H2747">
        <v>2028</v>
      </c>
      <c r="I2747" t="s">
        <v>6</v>
      </c>
      <c r="J2747">
        <v>3338</v>
      </c>
      <c r="K2747" t="s">
        <v>1385</v>
      </c>
      <c r="L2747">
        <v>4225</v>
      </c>
      <c r="M2747" t="s">
        <v>1394</v>
      </c>
      <c r="N2747" t="s">
        <v>1344</v>
      </c>
      <c r="O2747">
        <v>91</v>
      </c>
      <c r="P2747">
        <v>9158</v>
      </c>
      <c r="Q2747" t="s">
        <v>1395</v>
      </c>
      <c r="R2747" t="s">
        <v>201</v>
      </c>
      <c r="S2747">
        <v>1</v>
      </c>
      <c r="T2747">
        <v>1</v>
      </c>
      <c r="U2747">
        <v>133884</v>
      </c>
      <c r="V2747">
        <v>133884</v>
      </c>
    </row>
    <row r="2748" spans="1:22">
      <c r="A2748" t="s">
        <v>196</v>
      </c>
      <c r="B2748">
        <v>57</v>
      </c>
      <c r="C2748" t="s">
        <v>31</v>
      </c>
      <c r="D2748">
        <v>100</v>
      </c>
      <c r="E2748" t="s">
        <v>197</v>
      </c>
      <c r="F2748">
        <v>1005</v>
      </c>
      <c r="G2748" t="s">
        <v>31</v>
      </c>
      <c r="H2748">
        <v>2028</v>
      </c>
      <c r="I2748" t="s">
        <v>6</v>
      </c>
      <c r="J2748">
        <v>3338</v>
      </c>
      <c r="K2748" t="s">
        <v>1385</v>
      </c>
      <c r="L2748">
        <v>4225</v>
      </c>
      <c r="M2748" t="s">
        <v>1394</v>
      </c>
      <c r="N2748" t="s">
        <v>199</v>
      </c>
      <c r="O2748">
        <v>0</v>
      </c>
      <c r="P2748">
        <v>15</v>
      </c>
      <c r="Q2748" t="s">
        <v>264</v>
      </c>
      <c r="R2748" t="s">
        <v>201</v>
      </c>
      <c r="S2748">
        <v>0</v>
      </c>
      <c r="T2748">
        <v>0</v>
      </c>
      <c r="U2748">
        <v>7518</v>
      </c>
      <c r="V2748">
        <v>7518</v>
      </c>
    </row>
    <row r="2749" spans="1:22">
      <c r="A2749" t="s">
        <v>196</v>
      </c>
      <c r="B2749">
        <v>57</v>
      </c>
      <c r="C2749" t="s">
        <v>31</v>
      </c>
      <c r="D2749">
        <v>100</v>
      </c>
      <c r="E2749" t="s">
        <v>197</v>
      </c>
      <c r="F2749">
        <v>1005</v>
      </c>
      <c r="G2749" t="s">
        <v>31</v>
      </c>
      <c r="H2749">
        <v>2028</v>
      </c>
      <c r="I2749" t="s">
        <v>6</v>
      </c>
      <c r="J2749">
        <v>3338</v>
      </c>
      <c r="K2749" t="s">
        <v>1385</v>
      </c>
      <c r="L2749">
        <v>4227</v>
      </c>
      <c r="M2749" t="s">
        <v>1396</v>
      </c>
      <c r="N2749" t="s">
        <v>1304</v>
      </c>
      <c r="O2749">
        <v>73</v>
      </c>
      <c r="P2749">
        <v>9173</v>
      </c>
      <c r="Q2749" t="s">
        <v>1323</v>
      </c>
      <c r="R2749" t="s">
        <v>201</v>
      </c>
      <c r="S2749">
        <v>1</v>
      </c>
      <c r="T2749">
        <v>1</v>
      </c>
      <c r="U2749">
        <v>155934</v>
      </c>
      <c r="V2749">
        <v>155934</v>
      </c>
    </row>
    <row r="2750" spans="1:22">
      <c r="A2750" t="s">
        <v>196</v>
      </c>
      <c r="B2750">
        <v>57</v>
      </c>
      <c r="C2750" t="s">
        <v>31</v>
      </c>
      <c r="D2750">
        <v>100</v>
      </c>
      <c r="E2750" t="s">
        <v>197</v>
      </c>
      <c r="F2750">
        <v>1005</v>
      </c>
      <c r="G2750" t="s">
        <v>31</v>
      </c>
      <c r="H2750">
        <v>2028</v>
      </c>
      <c r="I2750" t="s">
        <v>6</v>
      </c>
      <c r="J2750">
        <v>3338</v>
      </c>
      <c r="K2750" t="s">
        <v>1385</v>
      </c>
      <c r="L2750">
        <v>4227</v>
      </c>
      <c r="M2750" t="s">
        <v>1396</v>
      </c>
      <c r="N2750" t="s">
        <v>1302</v>
      </c>
      <c r="O2750">
        <v>71</v>
      </c>
      <c r="P2750">
        <v>9171</v>
      </c>
      <c r="Q2750" t="s">
        <v>1303</v>
      </c>
      <c r="R2750" t="s">
        <v>201</v>
      </c>
      <c r="S2750">
        <v>1</v>
      </c>
      <c r="T2750">
        <v>1</v>
      </c>
      <c r="U2750">
        <v>152010</v>
      </c>
      <c r="V2750">
        <v>152010</v>
      </c>
    </row>
    <row r="2751" spans="1:22">
      <c r="A2751" t="s">
        <v>196</v>
      </c>
      <c r="B2751">
        <v>57</v>
      </c>
      <c r="C2751" t="s">
        <v>31</v>
      </c>
      <c r="D2751">
        <v>100</v>
      </c>
      <c r="E2751" t="s">
        <v>197</v>
      </c>
      <c r="F2751">
        <v>1005</v>
      </c>
      <c r="G2751" t="s">
        <v>31</v>
      </c>
      <c r="H2751">
        <v>2028</v>
      </c>
      <c r="I2751" t="s">
        <v>6</v>
      </c>
      <c r="J2751">
        <v>3338</v>
      </c>
      <c r="K2751" t="s">
        <v>1385</v>
      </c>
      <c r="L2751">
        <v>4227</v>
      </c>
      <c r="M2751" t="s">
        <v>1396</v>
      </c>
      <c r="N2751" t="s">
        <v>1302</v>
      </c>
      <c r="O2751">
        <v>71</v>
      </c>
      <c r="P2751">
        <v>9171</v>
      </c>
      <c r="Q2751" t="s">
        <v>1303</v>
      </c>
      <c r="R2751" t="s">
        <v>201</v>
      </c>
      <c r="S2751">
        <v>2</v>
      </c>
      <c r="T2751">
        <v>1</v>
      </c>
      <c r="U2751">
        <v>147252</v>
      </c>
      <c r="V2751">
        <v>294504</v>
      </c>
    </row>
    <row r="2752" spans="1:22">
      <c r="A2752" t="s">
        <v>196</v>
      </c>
      <c r="B2752">
        <v>57</v>
      </c>
      <c r="C2752" t="s">
        <v>31</v>
      </c>
      <c r="D2752">
        <v>100</v>
      </c>
      <c r="E2752" t="s">
        <v>197</v>
      </c>
      <c r="F2752">
        <v>1005</v>
      </c>
      <c r="G2752" t="s">
        <v>31</v>
      </c>
      <c r="H2752">
        <v>2028</v>
      </c>
      <c r="I2752" t="s">
        <v>6</v>
      </c>
      <c r="J2752">
        <v>3338</v>
      </c>
      <c r="K2752" t="s">
        <v>1385</v>
      </c>
      <c r="L2752">
        <v>4227</v>
      </c>
      <c r="M2752" t="s">
        <v>1396</v>
      </c>
      <c r="N2752" t="s">
        <v>1302</v>
      </c>
      <c r="O2752">
        <v>71</v>
      </c>
      <c r="P2752">
        <v>9171</v>
      </c>
      <c r="Q2752" t="s">
        <v>1303</v>
      </c>
      <c r="R2752" t="s">
        <v>201</v>
      </c>
      <c r="S2752">
        <v>3</v>
      </c>
      <c r="T2752">
        <v>1</v>
      </c>
      <c r="U2752">
        <v>142668</v>
      </c>
      <c r="V2752">
        <v>428004</v>
      </c>
    </row>
    <row r="2753" spans="1:22">
      <c r="A2753" t="s">
        <v>196</v>
      </c>
      <c r="B2753">
        <v>57</v>
      </c>
      <c r="C2753" t="s">
        <v>31</v>
      </c>
      <c r="D2753">
        <v>100</v>
      </c>
      <c r="E2753" t="s">
        <v>197</v>
      </c>
      <c r="F2753">
        <v>1005</v>
      </c>
      <c r="G2753" t="s">
        <v>31</v>
      </c>
      <c r="H2753">
        <v>2028</v>
      </c>
      <c r="I2753" t="s">
        <v>6</v>
      </c>
      <c r="J2753">
        <v>3338</v>
      </c>
      <c r="K2753" t="s">
        <v>1385</v>
      </c>
      <c r="L2753">
        <v>4227</v>
      </c>
      <c r="M2753" t="s">
        <v>1396</v>
      </c>
      <c r="N2753" t="s">
        <v>1302</v>
      </c>
      <c r="O2753">
        <v>71</v>
      </c>
      <c r="P2753">
        <v>9171</v>
      </c>
      <c r="Q2753" t="s">
        <v>1303</v>
      </c>
      <c r="R2753" t="s">
        <v>201</v>
      </c>
      <c r="S2753">
        <v>3</v>
      </c>
      <c r="T2753">
        <v>1</v>
      </c>
      <c r="U2753">
        <v>138318</v>
      </c>
      <c r="V2753">
        <v>414954</v>
      </c>
    </row>
    <row r="2754" spans="1:22">
      <c r="A2754" t="s">
        <v>196</v>
      </c>
      <c r="B2754">
        <v>57</v>
      </c>
      <c r="C2754" t="s">
        <v>31</v>
      </c>
      <c r="D2754">
        <v>100</v>
      </c>
      <c r="E2754" t="s">
        <v>197</v>
      </c>
      <c r="F2754">
        <v>1005</v>
      </c>
      <c r="G2754" t="s">
        <v>31</v>
      </c>
      <c r="H2754">
        <v>2028</v>
      </c>
      <c r="I2754" t="s">
        <v>6</v>
      </c>
      <c r="J2754">
        <v>3338</v>
      </c>
      <c r="K2754" t="s">
        <v>1385</v>
      </c>
      <c r="L2754">
        <v>4227</v>
      </c>
      <c r="M2754" t="s">
        <v>1396</v>
      </c>
      <c r="N2754" t="s">
        <v>1309</v>
      </c>
      <c r="O2754">
        <v>91</v>
      </c>
      <c r="P2754">
        <v>9161</v>
      </c>
      <c r="Q2754" t="s">
        <v>1310</v>
      </c>
      <c r="R2754" t="s">
        <v>201</v>
      </c>
      <c r="S2754">
        <v>14</v>
      </c>
      <c r="T2754">
        <v>1</v>
      </c>
      <c r="U2754">
        <v>127146</v>
      </c>
      <c r="V2754">
        <v>1780044</v>
      </c>
    </row>
    <row r="2755" spans="1:22">
      <c r="A2755" t="s">
        <v>196</v>
      </c>
      <c r="B2755">
        <v>57</v>
      </c>
      <c r="C2755" t="s">
        <v>31</v>
      </c>
      <c r="D2755">
        <v>100</v>
      </c>
      <c r="E2755" t="s">
        <v>197</v>
      </c>
      <c r="F2755">
        <v>1005</v>
      </c>
      <c r="G2755" t="s">
        <v>31</v>
      </c>
      <c r="H2755">
        <v>2028</v>
      </c>
      <c r="I2755" t="s">
        <v>6</v>
      </c>
      <c r="J2755">
        <v>3338</v>
      </c>
      <c r="K2755" t="s">
        <v>1385</v>
      </c>
      <c r="L2755">
        <v>4227</v>
      </c>
      <c r="M2755" t="s">
        <v>1396</v>
      </c>
      <c r="N2755" t="s">
        <v>1309</v>
      </c>
      <c r="O2755">
        <v>91</v>
      </c>
      <c r="P2755">
        <v>9161</v>
      </c>
      <c r="Q2755" t="s">
        <v>1310</v>
      </c>
      <c r="R2755" t="s">
        <v>201</v>
      </c>
      <c r="S2755">
        <v>4</v>
      </c>
      <c r="T2755">
        <v>1</v>
      </c>
      <c r="U2755">
        <v>123576</v>
      </c>
      <c r="V2755">
        <v>494304</v>
      </c>
    </row>
    <row r="2756" spans="1:22">
      <c r="A2756" t="s">
        <v>196</v>
      </c>
      <c r="B2756">
        <v>57</v>
      </c>
      <c r="C2756" t="s">
        <v>31</v>
      </c>
      <c r="D2756">
        <v>100</v>
      </c>
      <c r="E2756" t="s">
        <v>197</v>
      </c>
      <c r="F2756">
        <v>1005</v>
      </c>
      <c r="G2756" t="s">
        <v>31</v>
      </c>
      <c r="H2756">
        <v>2028</v>
      </c>
      <c r="I2756" t="s">
        <v>6</v>
      </c>
      <c r="J2756">
        <v>3338</v>
      </c>
      <c r="K2756" t="s">
        <v>1385</v>
      </c>
      <c r="L2756">
        <v>4227</v>
      </c>
      <c r="M2756" t="s">
        <v>1396</v>
      </c>
      <c r="N2756" t="s">
        <v>1309</v>
      </c>
      <c r="O2756">
        <v>91</v>
      </c>
      <c r="P2756">
        <v>9161</v>
      </c>
      <c r="Q2756" t="s">
        <v>1310</v>
      </c>
      <c r="R2756" t="s">
        <v>201</v>
      </c>
      <c r="S2756">
        <v>1</v>
      </c>
      <c r="T2756">
        <v>1</v>
      </c>
      <c r="U2756">
        <v>115158</v>
      </c>
      <c r="V2756">
        <v>115158</v>
      </c>
    </row>
    <row r="2757" spans="1:22">
      <c r="A2757" t="s">
        <v>196</v>
      </c>
      <c r="B2757">
        <v>57</v>
      </c>
      <c r="C2757" t="s">
        <v>31</v>
      </c>
      <c r="D2757">
        <v>100</v>
      </c>
      <c r="E2757" t="s">
        <v>197</v>
      </c>
      <c r="F2757">
        <v>1005</v>
      </c>
      <c r="G2757" t="s">
        <v>31</v>
      </c>
      <c r="H2757">
        <v>2028</v>
      </c>
      <c r="I2757" t="s">
        <v>6</v>
      </c>
      <c r="J2757">
        <v>3338</v>
      </c>
      <c r="K2757" t="s">
        <v>1385</v>
      </c>
      <c r="L2757">
        <v>4227</v>
      </c>
      <c r="M2757" t="s">
        <v>1396</v>
      </c>
      <c r="N2757" t="s">
        <v>1309</v>
      </c>
      <c r="O2757">
        <v>91</v>
      </c>
      <c r="P2757">
        <v>9161</v>
      </c>
      <c r="Q2757" t="s">
        <v>1310</v>
      </c>
      <c r="R2757" t="s">
        <v>201</v>
      </c>
      <c r="S2757">
        <v>26</v>
      </c>
      <c r="T2757">
        <v>1</v>
      </c>
      <c r="U2757">
        <v>111252</v>
      </c>
      <c r="V2757">
        <v>2892552</v>
      </c>
    </row>
    <row r="2758" spans="1:22">
      <c r="A2758" t="s">
        <v>196</v>
      </c>
      <c r="B2758">
        <v>57</v>
      </c>
      <c r="C2758" t="s">
        <v>31</v>
      </c>
      <c r="D2758">
        <v>100</v>
      </c>
      <c r="E2758" t="s">
        <v>197</v>
      </c>
      <c r="F2758">
        <v>1005</v>
      </c>
      <c r="G2758" t="s">
        <v>31</v>
      </c>
      <c r="H2758">
        <v>2028</v>
      </c>
      <c r="I2758" t="s">
        <v>6</v>
      </c>
      <c r="J2758">
        <v>3338</v>
      </c>
      <c r="K2758" t="s">
        <v>1385</v>
      </c>
      <c r="L2758">
        <v>4227</v>
      </c>
      <c r="M2758" t="s">
        <v>1396</v>
      </c>
      <c r="N2758" t="s">
        <v>1309</v>
      </c>
      <c r="O2758">
        <v>91</v>
      </c>
      <c r="P2758">
        <v>9161</v>
      </c>
      <c r="Q2758" t="s">
        <v>1310</v>
      </c>
      <c r="R2758" t="s">
        <v>201</v>
      </c>
      <c r="S2758">
        <v>15</v>
      </c>
      <c r="T2758">
        <v>1</v>
      </c>
      <c r="U2758">
        <v>63636</v>
      </c>
      <c r="V2758">
        <v>954540</v>
      </c>
    </row>
    <row r="2759" spans="1:22">
      <c r="A2759" t="s">
        <v>196</v>
      </c>
      <c r="B2759">
        <v>57</v>
      </c>
      <c r="C2759" t="s">
        <v>31</v>
      </c>
      <c r="D2759">
        <v>100</v>
      </c>
      <c r="E2759" t="s">
        <v>197</v>
      </c>
      <c r="F2759">
        <v>1005</v>
      </c>
      <c r="G2759" t="s">
        <v>31</v>
      </c>
      <c r="H2759">
        <v>2028</v>
      </c>
      <c r="I2759" t="s">
        <v>6</v>
      </c>
      <c r="J2759">
        <v>3338</v>
      </c>
      <c r="K2759" t="s">
        <v>1385</v>
      </c>
      <c r="L2759">
        <v>4227</v>
      </c>
      <c r="M2759" t="s">
        <v>1396</v>
      </c>
      <c r="N2759" t="s">
        <v>809</v>
      </c>
      <c r="O2759">
        <v>1</v>
      </c>
      <c r="P2759">
        <v>460</v>
      </c>
      <c r="Q2759" t="s">
        <v>810</v>
      </c>
      <c r="R2759" t="s">
        <v>201</v>
      </c>
      <c r="S2759">
        <v>1</v>
      </c>
      <c r="T2759">
        <v>1</v>
      </c>
      <c r="U2759">
        <v>82140</v>
      </c>
      <c r="V2759">
        <v>82140</v>
      </c>
    </row>
    <row r="2760" spans="1:22">
      <c r="A2760" t="s">
        <v>196</v>
      </c>
      <c r="B2760">
        <v>57</v>
      </c>
      <c r="C2760" t="s">
        <v>31</v>
      </c>
      <c r="D2760">
        <v>100</v>
      </c>
      <c r="E2760" t="s">
        <v>197</v>
      </c>
      <c r="F2760">
        <v>1005</v>
      </c>
      <c r="G2760" t="s">
        <v>31</v>
      </c>
      <c r="H2760">
        <v>2028</v>
      </c>
      <c r="I2760" t="s">
        <v>6</v>
      </c>
      <c r="J2760">
        <v>3338</v>
      </c>
      <c r="K2760" t="s">
        <v>1385</v>
      </c>
      <c r="L2760">
        <v>4227</v>
      </c>
      <c r="M2760" t="s">
        <v>1396</v>
      </c>
      <c r="N2760" t="s">
        <v>622</v>
      </c>
      <c r="O2760">
        <v>1</v>
      </c>
      <c r="P2760" t="s">
        <v>667</v>
      </c>
      <c r="Q2760" t="s">
        <v>205</v>
      </c>
      <c r="R2760" t="s">
        <v>201</v>
      </c>
      <c r="S2760">
        <v>1</v>
      </c>
      <c r="T2760">
        <v>1</v>
      </c>
      <c r="U2760">
        <v>90144</v>
      </c>
      <c r="V2760">
        <v>90144</v>
      </c>
    </row>
    <row r="2761" spans="1:22">
      <c r="A2761" t="s">
        <v>196</v>
      </c>
      <c r="B2761">
        <v>57</v>
      </c>
      <c r="C2761" t="s">
        <v>31</v>
      </c>
      <c r="D2761">
        <v>100</v>
      </c>
      <c r="E2761" t="s">
        <v>197</v>
      </c>
      <c r="F2761">
        <v>1005</v>
      </c>
      <c r="G2761" t="s">
        <v>31</v>
      </c>
      <c r="H2761">
        <v>2028</v>
      </c>
      <c r="I2761" t="s">
        <v>6</v>
      </c>
      <c r="J2761">
        <v>3339</v>
      </c>
      <c r="K2761" t="s">
        <v>1397</v>
      </c>
      <c r="L2761">
        <v>4218</v>
      </c>
      <c r="M2761" t="s">
        <v>1398</v>
      </c>
      <c r="N2761" t="s">
        <v>1304</v>
      </c>
      <c r="O2761">
        <v>73</v>
      </c>
      <c r="P2761">
        <v>9173</v>
      </c>
      <c r="Q2761" t="s">
        <v>1323</v>
      </c>
      <c r="R2761" t="s">
        <v>201</v>
      </c>
      <c r="S2761">
        <v>1</v>
      </c>
      <c r="T2761">
        <v>1</v>
      </c>
      <c r="U2761">
        <v>170700</v>
      </c>
      <c r="V2761">
        <v>170700</v>
      </c>
    </row>
    <row r="2762" spans="1:22">
      <c r="A2762" t="s">
        <v>196</v>
      </c>
      <c r="B2762">
        <v>57</v>
      </c>
      <c r="C2762" t="s">
        <v>31</v>
      </c>
      <c r="D2762">
        <v>100</v>
      </c>
      <c r="E2762" t="s">
        <v>197</v>
      </c>
      <c r="F2762">
        <v>1005</v>
      </c>
      <c r="G2762" t="s">
        <v>31</v>
      </c>
      <c r="H2762">
        <v>2028</v>
      </c>
      <c r="I2762" t="s">
        <v>6</v>
      </c>
      <c r="J2762">
        <v>3339</v>
      </c>
      <c r="K2762" t="s">
        <v>1397</v>
      </c>
      <c r="L2762">
        <v>4218</v>
      </c>
      <c r="M2762" t="s">
        <v>1398</v>
      </c>
      <c r="N2762" t="s">
        <v>1302</v>
      </c>
      <c r="O2762">
        <v>71</v>
      </c>
      <c r="P2762">
        <v>9171</v>
      </c>
      <c r="Q2762" t="s">
        <v>1303</v>
      </c>
      <c r="R2762" t="s">
        <v>201</v>
      </c>
      <c r="S2762">
        <v>2</v>
      </c>
      <c r="T2762">
        <v>1</v>
      </c>
      <c r="U2762">
        <v>152010</v>
      </c>
      <c r="V2762">
        <v>304020</v>
      </c>
    </row>
    <row r="2763" spans="1:22">
      <c r="A2763" t="s">
        <v>196</v>
      </c>
      <c r="B2763">
        <v>57</v>
      </c>
      <c r="C2763" t="s">
        <v>31</v>
      </c>
      <c r="D2763">
        <v>100</v>
      </c>
      <c r="E2763" t="s">
        <v>197</v>
      </c>
      <c r="F2763">
        <v>1005</v>
      </c>
      <c r="G2763" t="s">
        <v>31</v>
      </c>
      <c r="H2763">
        <v>2028</v>
      </c>
      <c r="I2763" t="s">
        <v>6</v>
      </c>
      <c r="J2763">
        <v>3339</v>
      </c>
      <c r="K2763" t="s">
        <v>1397</v>
      </c>
      <c r="L2763">
        <v>4218</v>
      </c>
      <c r="M2763" t="s">
        <v>1398</v>
      </c>
      <c r="N2763" t="s">
        <v>1302</v>
      </c>
      <c r="O2763">
        <v>71</v>
      </c>
      <c r="P2763">
        <v>9171</v>
      </c>
      <c r="Q2763" t="s">
        <v>1303</v>
      </c>
      <c r="R2763" t="s">
        <v>201</v>
      </c>
      <c r="S2763">
        <v>2</v>
      </c>
      <c r="T2763">
        <v>1</v>
      </c>
      <c r="U2763">
        <v>147252</v>
      </c>
      <c r="V2763">
        <v>294504</v>
      </c>
    </row>
    <row r="2764" spans="1:22">
      <c r="A2764" t="s">
        <v>196</v>
      </c>
      <c r="B2764">
        <v>57</v>
      </c>
      <c r="C2764" t="s">
        <v>31</v>
      </c>
      <c r="D2764">
        <v>100</v>
      </c>
      <c r="E2764" t="s">
        <v>197</v>
      </c>
      <c r="F2764">
        <v>1005</v>
      </c>
      <c r="G2764" t="s">
        <v>31</v>
      </c>
      <c r="H2764">
        <v>2028</v>
      </c>
      <c r="I2764" t="s">
        <v>6</v>
      </c>
      <c r="J2764">
        <v>3339</v>
      </c>
      <c r="K2764" t="s">
        <v>1397</v>
      </c>
      <c r="L2764">
        <v>4218</v>
      </c>
      <c r="M2764" t="s">
        <v>1398</v>
      </c>
      <c r="N2764" t="s">
        <v>1302</v>
      </c>
      <c r="O2764">
        <v>71</v>
      </c>
      <c r="P2764">
        <v>9171</v>
      </c>
      <c r="Q2764" t="s">
        <v>1303</v>
      </c>
      <c r="R2764" t="s">
        <v>201</v>
      </c>
      <c r="S2764">
        <v>2</v>
      </c>
      <c r="T2764">
        <v>1</v>
      </c>
      <c r="U2764">
        <v>142668</v>
      </c>
      <c r="V2764">
        <v>285336</v>
      </c>
    </row>
    <row r="2765" spans="1:22">
      <c r="A2765" t="s">
        <v>196</v>
      </c>
      <c r="B2765">
        <v>57</v>
      </c>
      <c r="C2765" t="s">
        <v>31</v>
      </c>
      <c r="D2765">
        <v>100</v>
      </c>
      <c r="E2765" t="s">
        <v>197</v>
      </c>
      <c r="F2765">
        <v>1005</v>
      </c>
      <c r="G2765" t="s">
        <v>31</v>
      </c>
      <c r="H2765">
        <v>2028</v>
      </c>
      <c r="I2765" t="s">
        <v>6</v>
      </c>
      <c r="J2765">
        <v>3339</v>
      </c>
      <c r="K2765" t="s">
        <v>1397</v>
      </c>
      <c r="L2765">
        <v>4218</v>
      </c>
      <c r="M2765" t="s">
        <v>1398</v>
      </c>
      <c r="N2765" t="s">
        <v>1324</v>
      </c>
      <c r="O2765">
        <v>91</v>
      </c>
      <c r="P2765">
        <v>9165</v>
      </c>
      <c r="Q2765" t="s">
        <v>1325</v>
      </c>
      <c r="R2765" t="s">
        <v>201</v>
      </c>
      <c r="S2765">
        <v>1</v>
      </c>
      <c r="T2765">
        <v>1</v>
      </c>
      <c r="U2765">
        <v>144792</v>
      </c>
      <c r="V2765">
        <v>144792</v>
      </c>
    </row>
    <row r="2766" spans="1:22">
      <c r="A2766" t="s">
        <v>196</v>
      </c>
      <c r="B2766">
        <v>57</v>
      </c>
      <c r="C2766" t="s">
        <v>31</v>
      </c>
      <c r="D2766">
        <v>100</v>
      </c>
      <c r="E2766" t="s">
        <v>197</v>
      </c>
      <c r="F2766">
        <v>1005</v>
      </c>
      <c r="G2766" t="s">
        <v>31</v>
      </c>
      <c r="H2766">
        <v>2028</v>
      </c>
      <c r="I2766" t="s">
        <v>6</v>
      </c>
      <c r="J2766">
        <v>3339</v>
      </c>
      <c r="K2766" t="s">
        <v>1397</v>
      </c>
      <c r="L2766">
        <v>4218</v>
      </c>
      <c r="M2766" t="s">
        <v>1398</v>
      </c>
      <c r="N2766" t="s">
        <v>1324</v>
      </c>
      <c r="O2766">
        <v>91</v>
      </c>
      <c r="P2766">
        <v>9165</v>
      </c>
      <c r="Q2766" t="s">
        <v>1325</v>
      </c>
      <c r="R2766" t="s">
        <v>201</v>
      </c>
      <c r="S2766">
        <v>1</v>
      </c>
      <c r="T2766">
        <v>1</v>
      </c>
      <c r="U2766">
        <v>140454</v>
      </c>
      <c r="V2766">
        <v>140454</v>
      </c>
    </row>
    <row r="2767" spans="1:22">
      <c r="A2767" t="s">
        <v>196</v>
      </c>
      <c r="B2767">
        <v>57</v>
      </c>
      <c r="C2767" t="s">
        <v>31</v>
      </c>
      <c r="D2767">
        <v>100</v>
      </c>
      <c r="E2767" t="s">
        <v>197</v>
      </c>
      <c r="F2767">
        <v>1005</v>
      </c>
      <c r="G2767" t="s">
        <v>31</v>
      </c>
      <c r="H2767">
        <v>2028</v>
      </c>
      <c r="I2767" t="s">
        <v>6</v>
      </c>
      <c r="J2767">
        <v>3339</v>
      </c>
      <c r="K2767" t="s">
        <v>1397</v>
      </c>
      <c r="L2767">
        <v>4218</v>
      </c>
      <c r="M2767" t="s">
        <v>1398</v>
      </c>
      <c r="N2767" t="s">
        <v>1324</v>
      </c>
      <c r="O2767">
        <v>91</v>
      </c>
      <c r="P2767">
        <v>9165</v>
      </c>
      <c r="Q2767" t="s">
        <v>1325</v>
      </c>
      <c r="R2767" t="s">
        <v>201</v>
      </c>
      <c r="S2767">
        <v>1</v>
      </c>
      <c r="T2767">
        <v>1</v>
      </c>
      <c r="U2767">
        <v>135816</v>
      </c>
      <c r="V2767">
        <v>135816</v>
      </c>
    </row>
    <row r="2768" spans="1:22">
      <c r="A2768" t="s">
        <v>196</v>
      </c>
      <c r="B2768">
        <v>57</v>
      </c>
      <c r="C2768" t="s">
        <v>31</v>
      </c>
      <c r="D2768">
        <v>100</v>
      </c>
      <c r="E2768" t="s">
        <v>197</v>
      </c>
      <c r="F2768">
        <v>1005</v>
      </c>
      <c r="G2768" t="s">
        <v>31</v>
      </c>
      <c r="H2768">
        <v>2028</v>
      </c>
      <c r="I2768" t="s">
        <v>6</v>
      </c>
      <c r="J2768">
        <v>3339</v>
      </c>
      <c r="K2768" t="s">
        <v>1397</v>
      </c>
      <c r="L2768">
        <v>4218</v>
      </c>
      <c r="M2768" t="s">
        <v>1398</v>
      </c>
      <c r="N2768" t="s">
        <v>1324</v>
      </c>
      <c r="O2768">
        <v>91</v>
      </c>
      <c r="P2768">
        <v>9165</v>
      </c>
      <c r="Q2768" t="s">
        <v>1325</v>
      </c>
      <c r="R2768" t="s">
        <v>201</v>
      </c>
      <c r="S2768">
        <v>5</v>
      </c>
      <c r="T2768">
        <v>1</v>
      </c>
      <c r="U2768">
        <v>99426</v>
      </c>
      <c r="V2768">
        <v>497130</v>
      </c>
    </row>
    <row r="2769" spans="1:22">
      <c r="A2769" t="s">
        <v>196</v>
      </c>
      <c r="B2769">
        <v>57</v>
      </c>
      <c r="C2769" t="s">
        <v>31</v>
      </c>
      <c r="D2769">
        <v>100</v>
      </c>
      <c r="E2769" t="s">
        <v>197</v>
      </c>
      <c r="F2769">
        <v>1005</v>
      </c>
      <c r="G2769" t="s">
        <v>31</v>
      </c>
      <c r="H2769">
        <v>2028</v>
      </c>
      <c r="I2769" t="s">
        <v>6</v>
      </c>
      <c r="J2769">
        <v>3339</v>
      </c>
      <c r="K2769" t="s">
        <v>1397</v>
      </c>
      <c r="L2769">
        <v>4218</v>
      </c>
      <c r="M2769" t="s">
        <v>1398</v>
      </c>
      <c r="N2769" t="s">
        <v>1309</v>
      </c>
      <c r="O2769">
        <v>91</v>
      </c>
      <c r="P2769">
        <v>9161</v>
      </c>
      <c r="Q2769" t="s">
        <v>1310</v>
      </c>
      <c r="R2769" t="s">
        <v>201</v>
      </c>
      <c r="S2769">
        <v>4</v>
      </c>
      <c r="T2769">
        <v>1</v>
      </c>
      <c r="U2769">
        <v>127146</v>
      </c>
      <c r="V2769">
        <v>508584</v>
      </c>
    </row>
    <row r="2770" spans="1:22">
      <c r="A2770" t="s">
        <v>196</v>
      </c>
      <c r="B2770">
        <v>57</v>
      </c>
      <c r="C2770" t="s">
        <v>31</v>
      </c>
      <c r="D2770">
        <v>100</v>
      </c>
      <c r="E2770" t="s">
        <v>197</v>
      </c>
      <c r="F2770">
        <v>1005</v>
      </c>
      <c r="G2770" t="s">
        <v>31</v>
      </c>
      <c r="H2770">
        <v>2028</v>
      </c>
      <c r="I2770" t="s">
        <v>6</v>
      </c>
      <c r="J2770">
        <v>3339</v>
      </c>
      <c r="K2770" t="s">
        <v>1397</v>
      </c>
      <c r="L2770">
        <v>4218</v>
      </c>
      <c r="M2770" t="s">
        <v>1398</v>
      </c>
      <c r="N2770" t="s">
        <v>1309</v>
      </c>
      <c r="O2770">
        <v>91</v>
      </c>
      <c r="P2770">
        <v>9161</v>
      </c>
      <c r="Q2770" t="s">
        <v>1310</v>
      </c>
      <c r="R2770" t="s">
        <v>201</v>
      </c>
      <c r="S2770">
        <v>5</v>
      </c>
      <c r="T2770">
        <v>1</v>
      </c>
      <c r="U2770">
        <v>123576</v>
      </c>
      <c r="V2770">
        <v>617880</v>
      </c>
    </row>
    <row r="2771" spans="1:22">
      <c r="A2771" t="s">
        <v>196</v>
      </c>
      <c r="B2771">
        <v>57</v>
      </c>
      <c r="C2771" t="s">
        <v>31</v>
      </c>
      <c r="D2771">
        <v>100</v>
      </c>
      <c r="E2771" t="s">
        <v>197</v>
      </c>
      <c r="F2771">
        <v>1005</v>
      </c>
      <c r="G2771" t="s">
        <v>31</v>
      </c>
      <c r="H2771">
        <v>2028</v>
      </c>
      <c r="I2771" t="s">
        <v>6</v>
      </c>
      <c r="J2771">
        <v>3339</v>
      </c>
      <c r="K2771" t="s">
        <v>1397</v>
      </c>
      <c r="L2771">
        <v>4218</v>
      </c>
      <c r="M2771" t="s">
        <v>1398</v>
      </c>
      <c r="N2771" t="s">
        <v>1309</v>
      </c>
      <c r="O2771">
        <v>91</v>
      </c>
      <c r="P2771">
        <v>9161</v>
      </c>
      <c r="Q2771" t="s">
        <v>1310</v>
      </c>
      <c r="R2771" t="s">
        <v>201</v>
      </c>
      <c r="S2771">
        <v>8</v>
      </c>
      <c r="T2771">
        <v>1</v>
      </c>
      <c r="U2771">
        <v>119154</v>
      </c>
      <c r="V2771">
        <v>953232</v>
      </c>
    </row>
    <row r="2772" spans="1:22">
      <c r="A2772" t="s">
        <v>196</v>
      </c>
      <c r="B2772">
        <v>57</v>
      </c>
      <c r="C2772" t="s">
        <v>31</v>
      </c>
      <c r="D2772">
        <v>100</v>
      </c>
      <c r="E2772" t="s">
        <v>197</v>
      </c>
      <c r="F2772">
        <v>1005</v>
      </c>
      <c r="G2772" t="s">
        <v>31</v>
      </c>
      <c r="H2772">
        <v>2028</v>
      </c>
      <c r="I2772" t="s">
        <v>6</v>
      </c>
      <c r="J2772">
        <v>3339</v>
      </c>
      <c r="K2772" t="s">
        <v>1397</v>
      </c>
      <c r="L2772">
        <v>4218</v>
      </c>
      <c r="M2772" t="s">
        <v>1398</v>
      </c>
      <c r="N2772" t="s">
        <v>1309</v>
      </c>
      <c r="O2772">
        <v>91</v>
      </c>
      <c r="P2772">
        <v>9161</v>
      </c>
      <c r="Q2772" t="s">
        <v>1310</v>
      </c>
      <c r="R2772" t="s">
        <v>201</v>
      </c>
      <c r="S2772">
        <v>2</v>
      </c>
      <c r="T2772">
        <v>1</v>
      </c>
      <c r="U2772">
        <v>111252</v>
      </c>
      <c r="V2772">
        <v>222504</v>
      </c>
    </row>
    <row r="2773" spans="1:22">
      <c r="A2773" t="s">
        <v>196</v>
      </c>
      <c r="B2773">
        <v>57</v>
      </c>
      <c r="C2773" t="s">
        <v>31</v>
      </c>
      <c r="D2773">
        <v>100</v>
      </c>
      <c r="E2773" t="s">
        <v>197</v>
      </c>
      <c r="F2773">
        <v>1005</v>
      </c>
      <c r="G2773" t="s">
        <v>31</v>
      </c>
      <c r="H2773">
        <v>2028</v>
      </c>
      <c r="I2773" t="s">
        <v>6</v>
      </c>
      <c r="J2773">
        <v>3339</v>
      </c>
      <c r="K2773" t="s">
        <v>1397</v>
      </c>
      <c r="L2773">
        <v>4218</v>
      </c>
      <c r="M2773" t="s">
        <v>1398</v>
      </c>
      <c r="N2773" t="s">
        <v>199</v>
      </c>
      <c r="O2773">
        <v>0</v>
      </c>
      <c r="P2773">
        <v>15</v>
      </c>
      <c r="Q2773" t="s">
        <v>264</v>
      </c>
      <c r="R2773" t="s">
        <v>201</v>
      </c>
      <c r="S2773">
        <v>0</v>
      </c>
      <c r="T2773">
        <v>0</v>
      </c>
      <c r="U2773">
        <v>12662</v>
      </c>
      <c r="V2773">
        <v>12662</v>
      </c>
    </row>
    <row r="2774" spans="1:22">
      <c r="A2774" t="s">
        <v>196</v>
      </c>
      <c r="B2774">
        <v>57</v>
      </c>
      <c r="C2774" t="s">
        <v>31</v>
      </c>
      <c r="D2774">
        <v>100</v>
      </c>
      <c r="E2774" t="s">
        <v>197</v>
      </c>
      <c r="F2774">
        <v>1005</v>
      </c>
      <c r="G2774" t="s">
        <v>31</v>
      </c>
      <c r="H2774">
        <v>2028</v>
      </c>
      <c r="I2774" t="s">
        <v>6</v>
      </c>
      <c r="J2774">
        <v>3339</v>
      </c>
      <c r="K2774" t="s">
        <v>1397</v>
      </c>
      <c r="L2774">
        <v>4226</v>
      </c>
      <c r="M2774" t="s">
        <v>1399</v>
      </c>
      <c r="N2774" t="s">
        <v>216</v>
      </c>
      <c r="O2774">
        <v>99</v>
      </c>
      <c r="P2774">
        <v>9752</v>
      </c>
      <c r="Q2774" t="s">
        <v>1296</v>
      </c>
      <c r="R2774" t="s">
        <v>201</v>
      </c>
      <c r="S2774">
        <v>1</v>
      </c>
      <c r="T2774">
        <v>1</v>
      </c>
      <c r="U2774">
        <v>192240</v>
      </c>
      <c r="V2774">
        <v>192240</v>
      </c>
    </row>
    <row r="2775" spans="1:22">
      <c r="A2775" t="s">
        <v>196</v>
      </c>
      <c r="B2775">
        <v>57</v>
      </c>
      <c r="C2775" t="s">
        <v>31</v>
      </c>
      <c r="D2775">
        <v>100</v>
      </c>
      <c r="E2775" t="s">
        <v>197</v>
      </c>
      <c r="F2775">
        <v>1005</v>
      </c>
      <c r="G2775" t="s">
        <v>31</v>
      </c>
      <c r="H2775">
        <v>2028</v>
      </c>
      <c r="I2775" t="s">
        <v>6</v>
      </c>
      <c r="J2775">
        <v>3339</v>
      </c>
      <c r="K2775" t="s">
        <v>1397</v>
      </c>
      <c r="L2775">
        <v>4226</v>
      </c>
      <c r="M2775" t="s">
        <v>1399</v>
      </c>
      <c r="N2775" t="s">
        <v>1304</v>
      </c>
      <c r="O2775">
        <v>73</v>
      </c>
      <c r="P2775">
        <v>9173</v>
      </c>
      <c r="Q2775" t="s">
        <v>1323</v>
      </c>
      <c r="R2775" t="s">
        <v>201</v>
      </c>
      <c r="S2775">
        <v>1</v>
      </c>
      <c r="T2775">
        <v>1</v>
      </c>
      <c r="U2775">
        <v>170700</v>
      </c>
      <c r="V2775">
        <v>170700</v>
      </c>
    </row>
    <row r="2776" spans="1:22">
      <c r="A2776" t="s">
        <v>196</v>
      </c>
      <c r="B2776">
        <v>57</v>
      </c>
      <c r="C2776" t="s">
        <v>31</v>
      </c>
      <c r="D2776">
        <v>100</v>
      </c>
      <c r="E2776" t="s">
        <v>197</v>
      </c>
      <c r="F2776">
        <v>1005</v>
      </c>
      <c r="G2776" t="s">
        <v>31</v>
      </c>
      <c r="H2776">
        <v>2028</v>
      </c>
      <c r="I2776" t="s">
        <v>6</v>
      </c>
      <c r="J2776">
        <v>3339</v>
      </c>
      <c r="K2776" t="s">
        <v>1397</v>
      </c>
      <c r="L2776">
        <v>4226</v>
      </c>
      <c r="M2776" t="s">
        <v>1399</v>
      </c>
      <c r="N2776" t="s">
        <v>1304</v>
      </c>
      <c r="O2776">
        <v>73</v>
      </c>
      <c r="P2776">
        <v>9173</v>
      </c>
      <c r="Q2776" t="s">
        <v>1323</v>
      </c>
      <c r="R2776" t="s">
        <v>201</v>
      </c>
      <c r="S2776">
        <v>1</v>
      </c>
      <c r="T2776">
        <v>1</v>
      </c>
      <c r="U2776">
        <v>155934</v>
      </c>
      <c r="V2776">
        <v>155934</v>
      </c>
    </row>
    <row r="2777" spans="1:22">
      <c r="A2777" t="s">
        <v>196</v>
      </c>
      <c r="B2777">
        <v>57</v>
      </c>
      <c r="C2777" t="s">
        <v>31</v>
      </c>
      <c r="D2777">
        <v>100</v>
      </c>
      <c r="E2777" t="s">
        <v>197</v>
      </c>
      <c r="F2777">
        <v>1005</v>
      </c>
      <c r="G2777" t="s">
        <v>31</v>
      </c>
      <c r="H2777">
        <v>2028</v>
      </c>
      <c r="I2777" t="s">
        <v>6</v>
      </c>
      <c r="J2777">
        <v>3339</v>
      </c>
      <c r="K2777" t="s">
        <v>1397</v>
      </c>
      <c r="L2777">
        <v>4226</v>
      </c>
      <c r="M2777" t="s">
        <v>1399</v>
      </c>
      <c r="N2777" t="s">
        <v>1302</v>
      </c>
      <c r="O2777">
        <v>71</v>
      </c>
      <c r="P2777">
        <v>9171</v>
      </c>
      <c r="Q2777" t="s">
        <v>1303</v>
      </c>
      <c r="R2777" t="s">
        <v>201</v>
      </c>
      <c r="S2777">
        <v>2</v>
      </c>
      <c r="T2777">
        <v>1</v>
      </c>
      <c r="U2777">
        <v>147252</v>
      </c>
      <c r="V2777">
        <v>294504</v>
      </c>
    </row>
    <row r="2778" spans="1:22">
      <c r="A2778" t="s">
        <v>196</v>
      </c>
      <c r="B2778">
        <v>57</v>
      </c>
      <c r="C2778" t="s">
        <v>31</v>
      </c>
      <c r="D2778">
        <v>100</v>
      </c>
      <c r="E2778" t="s">
        <v>197</v>
      </c>
      <c r="F2778">
        <v>1005</v>
      </c>
      <c r="G2778" t="s">
        <v>31</v>
      </c>
      <c r="H2778">
        <v>2028</v>
      </c>
      <c r="I2778" t="s">
        <v>6</v>
      </c>
      <c r="J2778">
        <v>3339</v>
      </c>
      <c r="K2778" t="s">
        <v>1397</v>
      </c>
      <c r="L2778">
        <v>4226</v>
      </c>
      <c r="M2778" t="s">
        <v>1399</v>
      </c>
      <c r="N2778" t="s">
        <v>1302</v>
      </c>
      <c r="O2778">
        <v>71</v>
      </c>
      <c r="P2778">
        <v>9171</v>
      </c>
      <c r="Q2778" t="s">
        <v>1303</v>
      </c>
      <c r="R2778" t="s">
        <v>201</v>
      </c>
      <c r="S2778">
        <v>4</v>
      </c>
      <c r="T2778">
        <v>1</v>
      </c>
      <c r="U2778">
        <v>138318</v>
      </c>
      <c r="V2778">
        <v>553272</v>
      </c>
    </row>
    <row r="2779" spans="1:22">
      <c r="A2779" t="s">
        <v>196</v>
      </c>
      <c r="B2779">
        <v>57</v>
      </c>
      <c r="C2779" t="s">
        <v>31</v>
      </c>
      <c r="D2779">
        <v>100</v>
      </c>
      <c r="E2779" t="s">
        <v>197</v>
      </c>
      <c r="F2779">
        <v>1005</v>
      </c>
      <c r="G2779" t="s">
        <v>31</v>
      </c>
      <c r="H2779">
        <v>2028</v>
      </c>
      <c r="I2779" t="s">
        <v>6</v>
      </c>
      <c r="J2779">
        <v>3339</v>
      </c>
      <c r="K2779" t="s">
        <v>1397</v>
      </c>
      <c r="L2779">
        <v>4226</v>
      </c>
      <c r="M2779" t="s">
        <v>1399</v>
      </c>
      <c r="N2779" t="s">
        <v>1324</v>
      </c>
      <c r="O2779">
        <v>91</v>
      </c>
      <c r="P2779">
        <v>9165</v>
      </c>
      <c r="Q2779" t="s">
        <v>1325</v>
      </c>
      <c r="R2779" t="s">
        <v>201</v>
      </c>
      <c r="S2779">
        <v>1</v>
      </c>
      <c r="T2779">
        <v>1</v>
      </c>
      <c r="U2779">
        <v>144792</v>
      </c>
      <c r="V2779">
        <v>144792</v>
      </c>
    </row>
    <row r="2780" spans="1:22">
      <c r="A2780" t="s">
        <v>196</v>
      </c>
      <c r="B2780">
        <v>57</v>
      </c>
      <c r="C2780" t="s">
        <v>31</v>
      </c>
      <c r="D2780">
        <v>100</v>
      </c>
      <c r="E2780" t="s">
        <v>197</v>
      </c>
      <c r="F2780">
        <v>1005</v>
      </c>
      <c r="G2780" t="s">
        <v>31</v>
      </c>
      <c r="H2780">
        <v>2028</v>
      </c>
      <c r="I2780" t="s">
        <v>6</v>
      </c>
      <c r="J2780">
        <v>3339</v>
      </c>
      <c r="K2780" t="s">
        <v>1397</v>
      </c>
      <c r="L2780">
        <v>4226</v>
      </c>
      <c r="M2780" t="s">
        <v>1399</v>
      </c>
      <c r="N2780" t="s">
        <v>1324</v>
      </c>
      <c r="O2780">
        <v>91</v>
      </c>
      <c r="P2780">
        <v>9165</v>
      </c>
      <c r="Q2780" t="s">
        <v>1325</v>
      </c>
      <c r="R2780" t="s">
        <v>201</v>
      </c>
      <c r="S2780">
        <v>1</v>
      </c>
      <c r="T2780">
        <v>1</v>
      </c>
      <c r="U2780">
        <v>135816</v>
      </c>
      <c r="V2780">
        <v>135816</v>
      </c>
    </row>
    <row r="2781" spans="1:22">
      <c r="A2781" t="s">
        <v>196</v>
      </c>
      <c r="B2781">
        <v>57</v>
      </c>
      <c r="C2781" t="s">
        <v>31</v>
      </c>
      <c r="D2781">
        <v>100</v>
      </c>
      <c r="E2781" t="s">
        <v>197</v>
      </c>
      <c r="F2781">
        <v>1005</v>
      </c>
      <c r="G2781" t="s">
        <v>31</v>
      </c>
      <c r="H2781">
        <v>2028</v>
      </c>
      <c r="I2781" t="s">
        <v>6</v>
      </c>
      <c r="J2781">
        <v>3339</v>
      </c>
      <c r="K2781" t="s">
        <v>1397</v>
      </c>
      <c r="L2781">
        <v>4226</v>
      </c>
      <c r="M2781" t="s">
        <v>1399</v>
      </c>
      <c r="N2781" t="s">
        <v>1309</v>
      </c>
      <c r="O2781">
        <v>91</v>
      </c>
      <c r="P2781">
        <v>9161</v>
      </c>
      <c r="Q2781" t="s">
        <v>1310</v>
      </c>
      <c r="R2781" t="s">
        <v>201</v>
      </c>
      <c r="S2781">
        <v>2</v>
      </c>
      <c r="T2781">
        <v>1</v>
      </c>
      <c r="U2781">
        <v>127146</v>
      </c>
      <c r="V2781">
        <v>254292</v>
      </c>
    </row>
    <row r="2782" spans="1:22">
      <c r="A2782" t="s">
        <v>196</v>
      </c>
      <c r="B2782">
        <v>57</v>
      </c>
      <c r="C2782" t="s">
        <v>31</v>
      </c>
      <c r="D2782">
        <v>100</v>
      </c>
      <c r="E2782" t="s">
        <v>197</v>
      </c>
      <c r="F2782">
        <v>1005</v>
      </c>
      <c r="G2782" t="s">
        <v>31</v>
      </c>
      <c r="H2782">
        <v>2028</v>
      </c>
      <c r="I2782" t="s">
        <v>6</v>
      </c>
      <c r="J2782">
        <v>3339</v>
      </c>
      <c r="K2782" t="s">
        <v>1397</v>
      </c>
      <c r="L2782">
        <v>4226</v>
      </c>
      <c r="M2782" t="s">
        <v>1399</v>
      </c>
      <c r="N2782" t="s">
        <v>1309</v>
      </c>
      <c r="O2782">
        <v>91</v>
      </c>
      <c r="P2782">
        <v>9161</v>
      </c>
      <c r="Q2782" t="s">
        <v>1310</v>
      </c>
      <c r="R2782" t="s">
        <v>201</v>
      </c>
      <c r="S2782">
        <v>4</v>
      </c>
      <c r="T2782">
        <v>1</v>
      </c>
      <c r="U2782">
        <v>123576</v>
      </c>
      <c r="V2782">
        <v>494304</v>
      </c>
    </row>
    <row r="2783" spans="1:22">
      <c r="A2783" t="s">
        <v>196</v>
      </c>
      <c r="B2783">
        <v>57</v>
      </c>
      <c r="C2783" t="s">
        <v>31</v>
      </c>
      <c r="D2783">
        <v>100</v>
      </c>
      <c r="E2783" t="s">
        <v>197</v>
      </c>
      <c r="F2783">
        <v>1005</v>
      </c>
      <c r="G2783" t="s">
        <v>31</v>
      </c>
      <c r="H2783">
        <v>2028</v>
      </c>
      <c r="I2783" t="s">
        <v>6</v>
      </c>
      <c r="J2783">
        <v>3339</v>
      </c>
      <c r="K2783" t="s">
        <v>1397</v>
      </c>
      <c r="L2783">
        <v>4226</v>
      </c>
      <c r="M2783" t="s">
        <v>1399</v>
      </c>
      <c r="N2783" t="s">
        <v>1309</v>
      </c>
      <c r="O2783">
        <v>91</v>
      </c>
      <c r="P2783">
        <v>9161</v>
      </c>
      <c r="Q2783" t="s">
        <v>1310</v>
      </c>
      <c r="R2783" t="s">
        <v>201</v>
      </c>
      <c r="S2783">
        <v>1</v>
      </c>
      <c r="T2783">
        <v>1</v>
      </c>
      <c r="U2783">
        <v>119154</v>
      </c>
      <c r="V2783">
        <v>119154</v>
      </c>
    </row>
    <row r="2784" spans="1:22">
      <c r="A2784" t="s">
        <v>196</v>
      </c>
      <c r="B2784">
        <v>57</v>
      </c>
      <c r="C2784" t="s">
        <v>31</v>
      </c>
      <c r="D2784">
        <v>100</v>
      </c>
      <c r="E2784" t="s">
        <v>197</v>
      </c>
      <c r="F2784">
        <v>1005</v>
      </c>
      <c r="G2784" t="s">
        <v>31</v>
      </c>
      <c r="H2784">
        <v>2028</v>
      </c>
      <c r="I2784" t="s">
        <v>6</v>
      </c>
      <c r="J2784">
        <v>3339</v>
      </c>
      <c r="K2784" t="s">
        <v>1397</v>
      </c>
      <c r="L2784">
        <v>4226</v>
      </c>
      <c r="M2784" t="s">
        <v>1399</v>
      </c>
      <c r="N2784" t="s">
        <v>1309</v>
      </c>
      <c r="O2784">
        <v>91</v>
      </c>
      <c r="P2784">
        <v>9161</v>
      </c>
      <c r="Q2784" t="s">
        <v>1310</v>
      </c>
      <c r="R2784" t="s">
        <v>201</v>
      </c>
      <c r="S2784">
        <v>24</v>
      </c>
      <c r="T2784">
        <v>1</v>
      </c>
      <c r="U2784">
        <v>111252</v>
      </c>
      <c r="V2784">
        <v>2670048</v>
      </c>
    </row>
    <row r="2785" spans="1:22">
      <c r="A2785" t="s">
        <v>196</v>
      </c>
      <c r="B2785">
        <v>57</v>
      </c>
      <c r="C2785" t="s">
        <v>31</v>
      </c>
      <c r="D2785">
        <v>100</v>
      </c>
      <c r="E2785" t="s">
        <v>197</v>
      </c>
      <c r="F2785">
        <v>1005</v>
      </c>
      <c r="G2785" t="s">
        <v>31</v>
      </c>
      <c r="H2785">
        <v>2028</v>
      </c>
      <c r="I2785" t="s">
        <v>6</v>
      </c>
      <c r="J2785">
        <v>3339</v>
      </c>
      <c r="K2785" t="s">
        <v>1397</v>
      </c>
      <c r="L2785">
        <v>4226</v>
      </c>
      <c r="M2785" t="s">
        <v>1399</v>
      </c>
      <c r="N2785" t="s">
        <v>1309</v>
      </c>
      <c r="O2785">
        <v>91</v>
      </c>
      <c r="P2785">
        <v>9161</v>
      </c>
      <c r="Q2785" t="s">
        <v>1310</v>
      </c>
      <c r="R2785" t="s">
        <v>201</v>
      </c>
      <c r="S2785">
        <v>1</v>
      </c>
      <c r="T2785">
        <v>1</v>
      </c>
      <c r="U2785">
        <v>63636</v>
      </c>
      <c r="V2785">
        <v>63636</v>
      </c>
    </row>
    <row r="2786" spans="1:22">
      <c r="A2786" t="s">
        <v>196</v>
      </c>
      <c r="B2786">
        <v>57</v>
      </c>
      <c r="C2786" t="s">
        <v>31</v>
      </c>
      <c r="D2786">
        <v>100</v>
      </c>
      <c r="E2786" t="s">
        <v>197</v>
      </c>
      <c r="F2786">
        <v>1005</v>
      </c>
      <c r="G2786" t="s">
        <v>31</v>
      </c>
      <c r="H2786">
        <v>2028</v>
      </c>
      <c r="I2786" t="s">
        <v>6</v>
      </c>
      <c r="J2786">
        <v>3339</v>
      </c>
      <c r="K2786" t="s">
        <v>1397</v>
      </c>
      <c r="L2786">
        <v>4226</v>
      </c>
      <c r="M2786" t="s">
        <v>1399</v>
      </c>
      <c r="N2786" t="s">
        <v>392</v>
      </c>
      <c r="O2786">
        <v>3</v>
      </c>
      <c r="P2786">
        <v>9117</v>
      </c>
      <c r="Q2786" t="s">
        <v>1347</v>
      </c>
      <c r="R2786" t="s">
        <v>201</v>
      </c>
      <c r="S2786">
        <v>2</v>
      </c>
      <c r="T2786">
        <v>1</v>
      </c>
      <c r="U2786">
        <v>97956</v>
      </c>
      <c r="V2786">
        <v>195912</v>
      </c>
    </row>
    <row r="2787" spans="1:22">
      <c r="A2787" t="s">
        <v>196</v>
      </c>
      <c r="B2787">
        <v>57</v>
      </c>
      <c r="C2787" t="s">
        <v>31</v>
      </c>
      <c r="D2787">
        <v>100</v>
      </c>
      <c r="E2787" t="s">
        <v>197</v>
      </c>
      <c r="F2787">
        <v>1005</v>
      </c>
      <c r="G2787" t="s">
        <v>31</v>
      </c>
      <c r="H2787">
        <v>2028</v>
      </c>
      <c r="I2787" t="s">
        <v>6</v>
      </c>
      <c r="J2787">
        <v>3339</v>
      </c>
      <c r="K2787" t="s">
        <v>1397</v>
      </c>
      <c r="L2787">
        <v>4226</v>
      </c>
      <c r="M2787" t="s">
        <v>1399</v>
      </c>
      <c r="N2787" t="s">
        <v>839</v>
      </c>
      <c r="O2787">
        <v>0</v>
      </c>
      <c r="P2787">
        <v>9006</v>
      </c>
      <c r="Q2787" t="s">
        <v>1400</v>
      </c>
      <c r="R2787" t="s">
        <v>713</v>
      </c>
      <c r="S2787">
        <v>17680</v>
      </c>
      <c r="T2787">
        <v>0</v>
      </c>
      <c r="U2787">
        <v>37</v>
      </c>
      <c r="V2787">
        <v>654160</v>
      </c>
    </row>
    <row r="2788" spans="1:22">
      <c r="A2788" t="s">
        <v>196</v>
      </c>
      <c r="B2788">
        <v>57</v>
      </c>
      <c r="C2788" t="s">
        <v>31</v>
      </c>
      <c r="D2788">
        <v>100</v>
      </c>
      <c r="E2788" t="s">
        <v>197</v>
      </c>
      <c r="F2788">
        <v>1005</v>
      </c>
      <c r="G2788" t="s">
        <v>31</v>
      </c>
      <c r="H2788">
        <v>2028</v>
      </c>
      <c r="I2788" t="s">
        <v>6</v>
      </c>
      <c r="J2788">
        <v>3339</v>
      </c>
      <c r="K2788" t="s">
        <v>1397</v>
      </c>
      <c r="L2788">
        <v>4226</v>
      </c>
      <c r="M2788" t="s">
        <v>1399</v>
      </c>
      <c r="N2788" t="s">
        <v>199</v>
      </c>
      <c r="O2788">
        <v>0</v>
      </c>
      <c r="P2788">
        <v>15</v>
      </c>
      <c r="Q2788" t="s">
        <v>264</v>
      </c>
      <c r="R2788" t="s">
        <v>201</v>
      </c>
      <c r="S2788">
        <v>0</v>
      </c>
      <c r="T2788">
        <v>0</v>
      </c>
      <c r="U2788">
        <v>13404</v>
      </c>
      <c r="V2788">
        <v>13404</v>
      </c>
    </row>
    <row r="2789" spans="1:22">
      <c r="A2789" t="s">
        <v>196</v>
      </c>
      <c r="B2789">
        <v>57</v>
      </c>
      <c r="C2789" t="s">
        <v>31</v>
      </c>
      <c r="D2789">
        <v>100</v>
      </c>
      <c r="E2789" t="s">
        <v>197</v>
      </c>
      <c r="F2789">
        <v>1005</v>
      </c>
      <c r="G2789" t="s">
        <v>31</v>
      </c>
      <c r="H2789">
        <v>2028</v>
      </c>
      <c r="I2789" t="s">
        <v>6</v>
      </c>
      <c r="J2789">
        <v>3339</v>
      </c>
      <c r="K2789" t="s">
        <v>1397</v>
      </c>
      <c r="L2789">
        <v>4229</v>
      </c>
      <c r="M2789" t="s">
        <v>1401</v>
      </c>
      <c r="N2789" t="s">
        <v>1302</v>
      </c>
      <c r="O2789">
        <v>71</v>
      </c>
      <c r="P2789">
        <v>9171</v>
      </c>
      <c r="Q2789" t="s">
        <v>1303</v>
      </c>
      <c r="R2789" t="s">
        <v>201</v>
      </c>
      <c r="S2789">
        <v>1</v>
      </c>
      <c r="T2789">
        <v>1</v>
      </c>
      <c r="U2789">
        <v>142668</v>
      </c>
      <c r="V2789">
        <v>142668</v>
      </c>
    </row>
    <row r="2790" spans="1:22">
      <c r="A2790" t="s">
        <v>196</v>
      </c>
      <c r="B2790">
        <v>57</v>
      </c>
      <c r="C2790" t="s">
        <v>31</v>
      </c>
      <c r="D2790">
        <v>100</v>
      </c>
      <c r="E2790" t="s">
        <v>197</v>
      </c>
      <c r="F2790">
        <v>1005</v>
      </c>
      <c r="G2790" t="s">
        <v>31</v>
      </c>
      <c r="H2790">
        <v>2028</v>
      </c>
      <c r="I2790" t="s">
        <v>6</v>
      </c>
      <c r="J2790">
        <v>3339</v>
      </c>
      <c r="K2790" t="s">
        <v>1397</v>
      </c>
      <c r="L2790">
        <v>4229</v>
      </c>
      <c r="M2790" t="s">
        <v>1401</v>
      </c>
      <c r="N2790" t="s">
        <v>1302</v>
      </c>
      <c r="O2790">
        <v>71</v>
      </c>
      <c r="P2790">
        <v>9171</v>
      </c>
      <c r="Q2790" t="s">
        <v>1303</v>
      </c>
      <c r="R2790" t="s">
        <v>201</v>
      </c>
      <c r="S2790">
        <v>1</v>
      </c>
      <c r="T2790">
        <v>1</v>
      </c>
      <c r="U2790">
        <v>138318</v>
      </c>
      <c r="V2790">
        <v>138318</v>
      </c>
    </row>
    <row r="2791" spans="1:22">
      <c r="A2791" t="s">
        <v>196</v>
      </c>
      <c r="B2791">
        <v>57</v>
      </c>
      <c r="C2791" t="s">
        <v>31</v>
      </c>
      <c r="D2791">
        <v>100</v>
      </c>
      <c r="E2791" t="s">
        <v>197</v>
      </c>
      <c r="F2791">
        <v>1005</v>
      </c>
      <c r="G2791" t="s">
        <v>31</v>
      </c>
      <c r="H2791">
        <v>2028</v>
      </c>
      <c r="I2791" t="s">
        <v>6</v>
      </c>
      <c r="J2791">
        <v>3423</v>
      </c>
      <c r="K2791" t="s">
        <v>1402</v>
      </c>
      <c r="L2791">
        <v>4290</v>
      </c>
      <c r="M2791" t="s">
        <v>1402</v>
      </c>
      <c r="N2791" t="s">
        <v>199</v>
      </c>
      <c r="O2791">
        <v>99</v>
      </c>
      <c r="P2791">
        <v>9796</v>
      </c>
      <c r="Q2791" t="s">
        <v>1319</v>
      </c>
      <c r="R2791" t="s">
        <v>201</v>
      </c>
      <c r="S2791">
        <v>1</v>
      </c>
      <c r="T2791">
        <v>1</v>
      </c>
      <c r="U2791">
        <v>201048</v>
      </c>
      <c r="V2791">
        <v>201048</v>
      </c>
    </row>
    <row r="2792" spans="1:22">
      <c r="A2792" t="s">
        <v>196</v>
      </c>
      <c r="B2792">
        <v>57</v>
      </c>
      <c r="C2792" t="s">
        <v>31</v>
      </c>
      <c r="D2792">
        <v>100</v>
      </c>
      <c r="E2792" t="s">
        <v>197</v>
      </c>
      <c r="F2792">
        <v>1005</v>
      </c>
      <c r="G2792" t="s">
        <v>31</v>
      </c>
      <c r="H2792">
        <v>2028</v>
      </c>
      <c r="I2792" t="s">
        <v>6</v>
      </c>
      <c r="J2792">
        <v>3423</v>
      </c>
      <c r="K2792" t="s">
        <v>1402</v>
      </c>
      <c r="L2792">
        <v>4290</v>
      </c>
      <c r="M2792" t="s">
        <v>1402</v>
      </c>
      <c r="N2792" t="s">
        <v>1304</v>
      </c>
      <c r="O2792">
        <v>73</v>
      </c>
      <c r="P2792">
        <v>9173</v>
      </c>
      <c r="Q2792" t="s">
        <v>1323</v>
      </c>
      <c r="R2792" t="s">
        <v>201</v>
      </c>
      <c r="S2792">
        <v>1</v>
      </c>
      <c r="T2792">
        <v>1</v>
      </c>
      <c r="U2792">
        <v>170700</v>
      </c>
      <c r="V2792">
        <v>170700</v>
      </c>
    </row>
    <row r="2793" spans="1:22">
      <c r="A2793" t="s">
        <v>196</v>
      </c>
      <c r="B2793">
        <v>57</v>
      </c>
      <c r="C2793" t="s">
        <v>31</v>
      </c>
      <c r="D2793">
        <v>100</v>
      </c>
      <c r="E2793" t="s">
        <v>197</v>
      </c>
      <c r="F2793">
        <v>1005</v>
      </c>
      <c r="G2793" t="s">
        <v>31</v>
      </c>
      <c r="H2793">
        <v>2028</v>
      </c>
      <c r="I2793" t="s">
        <v>6</v>
      </c>
      <c r="J2793">
        <v>3423</v>
      </c>
      <c r="K2793" t="s">
        <v>1402</v>
      </c>
      <c r="L2793">
        <v>4290</v>
      </c>
      <c r="M2793" t="s">
        <v>1402</v>
      </c>
      <c r="N2793" t="s">
        <v>1302</v>
      </c>
      <c r="O2793">
        <v>71</v>
      </c>
      <c r="P2793">
        <v>9171</v>
      </c>
      <c r="Q2793" t="s">
        <v>1303</v>
      </c>
      <c r="R2793" t="s">
        <v>201</v>
      </c>
      <c r="S2793">
        <v>1</v>
      </c>
      <c r="T2793">
        <v>1</v>
      </c>
      <c r="U2793">
        <v>147252</v>
      </c>
      <c r="V2793">
        <v>147252</v>
      </c>
    </row>
    <row r="2794" spans="1:22">
      <c r="A2794" t="s">
        <v>196</v>
      </c>
      <c r="B2794">
        <v>57</v>
      </c>
      <c r="C2794" t="s">
        <v>31</v>
      </c>
      <c r="D2794">
        <v>100</v>
      </c>
      <c r="E2794" t="s">
        <v>197</v>
      </c>
      <c r="F2794">
        <v>1005</v>
      </c>
      <c r="G2794" t="s">
        <v>31</v>
      </c>
      <c r="H2794">
        <v>2028</v>
      </c>
      <c r="I2794" t="s">
        <v>6</v>
      </c>
      <c r="J2794">
        <v>3423</v>
      </c>
      <c r="K2794" t="s">
        <v>1402</v>
      </c>
      <c r="L2794">
        <v>4290</v>
      </c>
      <c r="M2794" t="s">
        <v>1402</v>
      </c>
      <c r="N2794" t="s">
        <v>1309</v>
      </c>
      <c r="O2794">
        <v>91</v>
      </c>
      <c r="P2794">
        <v>9161</v>
      </c>
      <c r="Q2794" t="s">
        <v>1310</v>
      </c>
      <c r="R2794" t="s">
        <v>201</v>
      </c>
      <c r="S2794">
        <v>1</v>
      </c>
      <c r="T2794">
        <v>1</v>
      </c>
      <c r="U2794">
        <v>127146</v>
      </c>
      <c r="V2794">
        <v>127146</v>
      </c>
    </row>
    <row r="2795" spans="1:22">
      <c r="A2795" t="s">
        <v>196</v>
      </c>
      <c r="B2795">
        <v>57</v>
      </c>
      <c r="C2795" t="s">
        <v>31</v>
      </c>
      <c r="D2795">
        <v>100</v>
      </c>
      <c r="E2795" t="s">
        <v>197</v>
      </c>
      <c r="F2795">
        <v>1005</v>
      </c>
      <c r="G2795" t="s">
        <v>31</v>
      </c>
      <c r="H2795">
        <v>2028</v>
      </c>
      <c r="I2795" t="s">
        <v>6</v>
      </c>
      <c r="J2795">
        <v>3423</v>
      </c>
      <c r="K2795" t="s">
        <v>1402</v>
      </c>
      <c r="L2795">
        <v>4290</v>
      </c>
      <c r="M2795" t="s">
        <v>1402</v>
      </c>
      <c r="N2795" t="s">
        <v>1321</v>
      </c>
      <c r="O2795">
        <v>91</v>
      </c>
      <c r="P2795">
        <v>9126</v>
      </c>
      <c r="Q2795" t="s">
        <v>1403</v>
      </c>
      <c r="R2795" t="s">
        <v>201</v>
      </c>
      <c r="S2795">
        <v>8</v>
      </c>
      <c r="T2795">
        <v>1</v>
      </c>
      <c r="U2795">
        <v>129774</v>
      </c>
      <c r="V2795">
        <v>1038192</v>
      </c>
    </row>
    <row r="2796" spans="1:22">
      <c r="A2796" t="s">
        <v>196</v>
      </c>
      <c r="B2796">
        <v>57</v>
      </c>
      <c r="C2796" t="s">
        <v>31</v>
      </c>
      <c r="D2796">
        <v>100</v>
      </c>
      <c r="E2796" t="s">
        <v>197</v>
      </c>
      <c r="F2796">
        <v>1005</v>
      </c>
      <c r="G2796" t="s">
        <v>31</v>
      </c>
      <c r="H2796">
        <v>2028</v>
      </c>
      <c r="I2796" t="s">
        <v>6</v>
      </c>
      <c r="J2796">
        <v>3423</v>
      </c>
      <c r="K2796" t="s">
        <v>1402</v>
      </c>
      <c r="L2796">
        <v>4290</v>
      </c>
      <c r="M2796" t="s">
        <v>1402</v>
      </c>
      <c r="N2796" t="s">
        <v>1321</v>
      </c>
      <c r="O2796">
        <v>91</v>
      </c>
      <c r="P2796">
        <v>9126</v>
      </c>
      <c r="Q2796" t="s">
        <v>1403</v>
      </c>
      <c r="R2796" t="s">
        <v>201</v>
      </c>
      <c r="S2796">
        <v>2</v>
      </c>
      <c r="T2796">
        <v>1</v>
      </c>
      <c r="U2796">
        <v>125112</v>
      </c>
      <c r="V2796">
        <v>250224</v>
      </c>
    </row>
    <row r="2797" spans="1:22">
      <c r="A2797" t="s">
        <v>196</v>
      </c>
      <c r="B2797">
        <v>57</v>
      </c>
      <c r="C2797" t="s">
        <v>31</v>
      </c>
      <c r="D2797">
        <v>100</v>
      </c>
      <c r="E2797" t="s">
        <v>197</v>
      </c>
      <c r="F2797">
        <v>1005</v>
      </c>
      <c r="G2797" t="s">
        <v>31</v>
      </c>
      <c r="H2797">
        <v>2028</v>
      </c>
      <c r="I2797" t="s">
        <v>6</v>
      </c>
      <c r="J2797">
        <v>3423</v>
      </c>
      <c r="K2797" t="s">
        <v>1402</v>
      </c>
      <c r="L2797">
        <v>4290</v>
      </c>
      <c r="M2797" t="s">
        <v>1402</v>
      </c>
      <c r="N2797" t="s">
        <v>1321</v>
      </c>
      <c r="O2797">
        <v>91</v>
      </c>
      <c r="P2797">
        <v>9126</v>
      </c>
      <c r="Q2797" t="s">
        <v>1403</v>
      </c>
      <c r="R2797" t="s">
        <v>201</v>
      </c>
      <c r="S2797">
        <v>2</v>
      </c>
      <c r="T2797">
        <v>1</v>
      </c>
      <c r="U2797">
        <v>120900</v>
      </c>
      <c r="V2797">
        <v>241800</v>
      </c>
    </row>
    <row r="2798" spans="1:22">
      <c r="A2798" t="s">
        <v>196</v>
      </c>
      <c r="B2798">
        <v>57</v>
      </c>
      <c r="C2798" t="s">
        <v>31</v>
      </c>
      <c r="D2798">
        <v>100</v>
      </c>
      <c r="E2798" t="s">
        <v>197</v>
      </c>
      <c r="F2798">
        <v>1005</v>
      </c>
      <c r="G2798" t="s">
        <v>31</v>
      </c>
      <c r="H2798">
        <v>2028</v>
      </c>
      <c r="I2798" t="s">
        <v>6</v>
      </c>
      <c r="J2798">
        <v>3423</v>
      </c>
      <c r="K2798" t="s">
        <v>1402</v>
      </c>
      <c r="L2798">
        <v>4290</v>
      </c>
      <c r="M2798" t="s">
        <v>1402</v>
      </c>
      <c r="N2798" t="s">
        <v>1321</v>
      </c>
      <c r="O2798">
        <v>91</v>
      </c>
      <c r="P2798">
        <v>9126</v>
      </c>
      <c r="Q2798" t="s">
        <v>1403</v>
      </c>
      <c r="R2798" t="s">
        <v>201</v>
      </c>
      <c r="S2798">
        <v>5</v>
      </c>
      <c r="T2798">
        <v>1</v>
      </c>
      <c r="U2798">
        <v>90816</v>
      </c>
      <c r="V2798">
        <v>454080</v>
      </c>
    </row>
    <row r="2799" spans="1:22">
      <c r="A2799" t="s">
        <v>196</v>
      </c>
      <c r="B2799">
        <v>57</v>
      </c>
      <c r="C2799" t="s">
        <v>31</v>
      </c>
      <c r="D2799">
        <v>100</v>
      </c>
      <c r="E2799" t="s">
        <v>197</v>
      </c>
      <c r="F2799">
        <v>1005</v>
      </c>
      <c r="G2799" t="s">
        <v>31</v>
      </c>
      <c r="H2799">
        <v>2028</v>
      </c>
      <c r="I2799" t="s">
        <v>6</v>
      </c>
      <c r="J2799">
        <v>3423</v>
      </c>
      <c r="K2799" t="s">
        <v>1402</v>
      </c>
      <c r="L2799">
        <v>4290</v>
      </c>
      <c r="M2799" t="s">
        <v>1402</v>
      </c>
      <c r="N2799" t="s">
        <v>281</v>
      </c>
      <c r="O2799">
        <v>20</v>
      </c>
      <c r="P2799">
        <v>1141</v>
      </c>
      <c r="Q2799" t="s">
        <v>332</v>
      </c>
      <c r="R2799" t="s">
        <v>201</v>
      </c>
      <c r="S2799">
        <v>1</v>
      </c>
      <c r="T2799">
        <v>1</v>
      </c>
      <c r="U2799">
        <v>89112</v>
      </c>
      <c r="V2799">
        <v>89112</v>
      </c>
    </row>
    <row r="2800" spans="1:22">
      <c r="A2800" t="s">
        <v>196</v>
      </c>
      <c r="B2800">
        <v>57</v>
      </c>
      <c r="C2800" t="s">
        <v>31</v>
      </c>
      <c r="D2800">
        <v>100</v>
      </c>
      <c r="E2800" t="s">
        <v>197</v>
      </c>
      <c r="F2800">
        <v>1005</v>
      </c>
      <c r="G2800" t="s">
        <v>31</v>
      </c>
      <c r="H2800">
        <v>2028</v>
      </c>
      <c r="I2800" t="s">
        <v>6</v>
      </c>
      <c r="J2800">
        <v>3423</v>
      </c>
      <c r="K2800" t="s">
        <v>1402</v>
      </c>
      <c r="L2800">
        <v>4290</v>
      </c>
      <c r="M2800" t="s">
        <v>1402</v>
      </c>
      <c r="N2800" t="s">
        <v>809</v>
      </c>
      <c r="O2800">
        <v>1</v>
      </c>
      <c r="P2800">
        <v>460</v>
      </c>
      <c r="Q2800" t="s">
        <v>810</v>
      </c>
      <c r="R2800" t="s">
        <v>201</v>
      </c>
      <c r="S2800">
        <v>2</v>
      </c>
      <c r="T2800">
        <v>1</v>
      </c>
      <c r="U2800">
        <v>82140</v>
      </c>
      <c r="V2800">
        <v>164280</v>
      </c>
    </row>
    <row r="2801" spans="1:22">
      <c r="A2801" t="s">
        <v>196</v>
      </c>
      <c r="B2801">
        <v>57</v>
      </c>
      <c r="C2801" t="s">
        <v>31</v>
      </c>
      <c r="D2801">
        <v>100</v>
      </c>
      <c r="E2801" t="s">
        <v>197</v>
      </c>
      <c r="F2801">
        <v>1005</v>
      </c>
      <c r="G2801" t="s">
        <v>31</v>
      </c>
      <c r="H2801">
        <v>2028</v>
      </c>
      <c r="I2801" t="s">
        <v>6</v>
      </c>
      <c r="J2801">
        <v>3423</v>
      </c>
      <c r="K2801" t="s">
        <v>1402</v>
      </c>
      <c r="L2801">
        <v>4290</v>
      </c>
      <c r="M2801" t="s">
        <v>1402</v>
      </c>
      <c r="N2801" t="s">
        <v>809</v>
      </c>
      <c r="O2801">
        <v>1</v>
      </c>
      <c r="P2801">
        <v>460</v>
      </c>
      <c r="Q2801" t="s">
        <v>810</v>
      </c>
      <c r="R2801" t="s">
        <v>201</v>
      </c>
      <c r="S2801">
        <v>1</v>
      </c>
      <c r="T2801">
        <v>1</v>
      </c>
      <c r="U2801">
        <v>71436</v>
      </c>
      <c r="V2801">
        <v>71436</v>
      </c>
    </row>
    <row r="2802" spans="1:22">
      <c r="A2802" t="s">
        <v>196</v>
      </c>
      <c r="B2802">
        <v>57</v>
      </c>
      <c r="C2802" t="s">
        <v>31</v>
      </c>
      <c r="D2802">
        <v>100</v>
      </c>
      <c r="E2802" t="s">
        <v>197</v>
      </c>
      <c r="F2802">
        <v>1005</v>
      </c>
      <c r="G2802" t="s">
        <v>31</v>
      </c>
      <c r="H2802">
        <v>2028</v>
      </c>
      <c r="I2802" t="s">
        <v>6</v>
      </c>
      <c r="J2802">
        <v>3423</v>
      </c>
      <c r="K2802" t="s">
        <v>1402</v>
      </c>
      <c r="L2802">
        <v>4290</v>
      </c>
      <c r="M2802" t="s">
        <v>1402</v>
      </c>
      <c r="N2802" t="s">
        <v>341</v>
      </c>
      <c r="O2802">
        <v>4</v>
      </c>
      <c r="P2802">
        <v>110</v>
      </c>
      <c r="Q2802" t="s">
        <v>359</v>
      </c>
      <c r="R2802" t="s">
        <v>201</v>
      </c>
      <c r="S2802">
        <v>1</v>
      </c>
      <c r="T2802">
        <v>1</v>
      </c>
      <c r="U2802">
        <v>113628</v>
      </c>
      <c r="V2802">
        <v>113628</v>
      </c>
    </row>
    <row r="2803" spans="1:22">
      <c r="A2803" t="s">
        <v>196</v>
      </c>
      <c r="B2803">
        <v>57</v>
      </c>
      <c r="C2803" t="s">
        <v>31</v>
      </c>
      <c r="D2803">
        <v>100</v>
      </c>
      <c r="E2803" t="s">
        <v>197</v>
      </c>
      <c r="F2803">
        <v>1005</v>
      </c>
      <c r="G2803" t="s">
        <v>31</v>
      </c>
      <c r="H2803">
        <v>2028</v>
      </c>
      <c r="I2803" t="s">
        <v>6</v>
      </c>
      <c r="J2803">
        <v>3423</v>
      </c>
      <c r="K2803" t="s">
        <v>1402</v>
      </c>
      <c r="L2803">
        <v>4290</v>
      </c>
      <c r="M2803" t="s">
        <v>1402</v>
      </c>
      <c r="N2803" t="s">
        <v>199</v>
      </c>
      <c r="O2803">
        <v>0</v>
      </c>
      <c r="P2803">
        <v>15</v>
      </c>
      <c r="Q2803" t="s">
        <v>264</v>
      </c>
      <c r="R2803" t="s">
        <v>201</v>
      </c>
      <c r="S2803">
        <v>0</v>
      </c>
      <c r="T2803">
        <v>0</v>
      </c>
      <c r="U2803">
        <v>5000</v>
      </c>
      <c r="V2803">
        <v>5000</v>
      </c>
    </row>
    <row r="2804" spans="1:22">
      <c r="A2804" t="s">
        <v>196</v>
      </c>
      <c r="B2804">
        <v>57</v>
      </c>
      <c r="C2804" t="s">
        <v>31</v>
      </c>
      <c r="D2804">
        <v>100</v>
      </c>
      <c r="E2804" t="s">
        <v>197</v>
      </c>
      <c r="F2804">
        <v>1005</v>
      </c>
      <c r="G2804" t="s">
        <v>31</v>
      </c>
      <c r="H2804">
        <v>2028</v>
      </c>
      <c r="I2804" t="s">
        <v>6</v>
      </c>
      <c r="J2804">
        <v>3423</v>
      </c>
      <c r="K2804" t="s">
        <v>1402</v>
      </c>
      <c r="L2804">
        <v>4291</v>
      </c>
      <c r="M2804" t="s">
        <v>1404</v>
      </c>
      <c r="N2804" t="s">
        <v>1304</v>
      </c>
      <c r="O2804">
        <v>73</v>
      </c>
      <c r="P2804">
        <v>9173</v>
      </c>
      <c r="Q2804" t="s">
        <v>1323</v>
      </c>
      <c r="R2804" t="s">
        <v>201</v>
      </c>
      <c r="S2804">
        <v>2</v>
      </c>
      <c r="T2804">
        <v>1</v>
      </c>
      <c r="U2804">
        <v>170700</v>
      </c>
      <c r="V2804">
        <v>341400</v>
      </c>
    </row>
    <row r="2805" spans="1:22">
      <c r="A2805" t="s">
        <v>196</v>
      </c>
      <c r="B2805">
        <v>57</v>
      </c>
      <c r="C2805" t="s">
        <v>31</v>
      </c>
      <c r="D2805">
        <v>100</v>
      </c>
      <c r="E2805" t="s">
        <v>197</v>
      </c>
      <c r="F2805">
        <v>1005</v>
      </c>
      <c r="G2805" t="s">
        <v>31</v>
      </c>
      <c r="H2805">
        <v>2028</v>
      </c>
      <c r="I2805" t="s">
        <v>6</v>
      </c>
      <c r="J2805">
        <v>3423</v>
      </c>
      <c r="K2805" t="s">
        <v>1402</v>
      </c>
      <c r="L2805">
        <v>4291</v>
      </c>
      <c r="M2805" t="s">
        <v>1404</v>
      </c>
      <c r="N2805" t="s">
        <v>1304</v>
      </c>
      <c r="O2805">
        <v>73</v>
      </c>
      <c r="P2805">
        <v>9173</v>
      </c>
      <c r="Q2805" t="s">
        <v>1323</v>
      </c>
      <c r="R2805" t="s">
        <v>201</v>
      </c>
      <c r="S2805">
        <v>1</v>
      </c>
      <c r="T2805">
        <v>1</v>
      </c>
      <c r="U2805">
        <v>165624</v>
      </c>
      <c r="V2805">
        <v>165624</v>
      </c>
    </row>
    <row r="2806" spans="1:22">
      <c r="A2806" t="s">
        <v>196</v>
      </c>
      <c r="B2806">
        <v>57</v>
      </c>
      <c r="C2806" t="s">
        <v>31</v>
      </c>
      <c r="D2806">
        <v>100</v>
      </c>
      <c r="E2806" t="s">
        <v>197</v>
      </c>
      <c r="F2806">
        <v>1005</v>
      </c>
      <c r="G2806" t="s">
        <v>31</v>
      </c>
      <c r="H2806">
        <v>2028</v>
      </c>
      <c r="I2806" t="s">
        <v>6</v>
      </c>
      <c r="J2806">
        <v>3423</v>
      </c>
      <c r="K2806" t="s">
        <v>1402</v>
      </c>
      <c r="L2806">
        <v>4291</v>
      </c>
      <c r="M2806" t="s">
        <v>1404</v>
      </c>
      <c r="N2806" t="s">
        <v>1304</v>
      </c>
      <c r="O2806">
        <v>73</v>
      </c>
      <c r="P2806">
        <v>9173</v>
      </c>
      <c r="Q2806" t="s">
        <v>1323</v>
      </c>
      <c r="R2806" t="s">
        <v>201</v>
      </c>
      <c r="S2806">
        <v>1</v>
      </c>
      <c r="T2806">
        <v>1</v>
      </c>
      <c r="U2806">
        <v>155934</v>
      </c>
      <c r="V2806">
        <v>155934</v>
      </c>
    </row>
    <row r="2807" spans="1:22">
      <c r="A2807" t="s">
        <v>196</v>
      </c>
      <c r="B2807">
        <v>57</v>
      </c>
      <c r="C2807" t="s">
        <v>31</v>
      </c>
      <c r="D2807">
        <v>100</v>
      </c>
      <c r="E2807" t="s">
        <v>197</v>
      </c>
      <c r="F2807">
        <v>1005</v>
      </c>
      <c r="G2807" t="s">
        <v>31</v>
      </c>
      <c r="H2807">
        <v>2028</v>
      </c>
      <c r="I2807" t="s">
        <v>6</v>
      </c>
      <c r="J2807">
        <v>3423</v>
      </c>
      <c r="K2807" t="s">
        <v>1402</v>
      </c>
      <c r="L2807">
        <v>4291</v>
      </c>
      <c r="M2807" t="s">
        <v>1404</v>
      </c>
      <c r="N2807" t="s">
        <v>1302</v>
      </c>
      <c r="O2807">
        <v>71</v>
      </c>
      <c r="P2807">
        <v>9171</v>
      </c>
      <c r="Q2807" t="s">
        <v>1303</v>
      </c>
      <c r="R2807" t="s">
        <v>201</v>
      </c>
      <c r="S2807">
        <v>5</v>
      </c>
      <c r="T2807">
        <v>1</v>
      </c>
      <c r="U2807">
        <v>152010</v>
      </c>
      <c r="V2807">
        <v>760050</v>
      </c>
    </row>
    <row r="2808" spans="1:22">
      <c r="A2808" t="s">
        <v>196</v>
      </c>
      <c r="B2808">
        <v>57</v>
      </c>
      <c r="C2808" t="s">
        <v>31</v>
      </c>
      <c r="D2808">
        <v>100</v>
      </c>
      <c r="E2808" t="s">
        <v>197</v>
      </c>
      <c r="F2808">
        <v>1005</v>
      </c>
      <c r="G2808" t="s">
        <v>31</v>
      </c>
      <c r="H2808">
        <v>2028</v>
      </c>
      <c r="I2808" t="s">
        <v>6</v>
      </c>
      <c r="J2808">
        <v>3423</v>
      </c>
      <c r="K2808" t="s">
        <v>1402</v>
      </c>
      <c r="L2808">
        <v>4291</v>
      </c>
      <c r="M2808" t="s">
        <v>1404</v>
      </c>
      <c r="N2808" t="s">
        <v>1302</v>
      </c>
      <c r="O2808">
        <v>71</v>
      </c>
      <c r="P2808">
        <v>9171</v>
      </c>
      <c r="Q2808" t="s">
        <v>1303</v>
      </c>
      <c r="R2808" t="s">
        <v>201</v>
      </c>
      <c r="S2808">
        <v>10</v>
      </c>
      <c r="T2808">
        <v>1</v>
      </c>
      <c r="U2808">
        <v>147252</v>
      </c>
      <c r="V2808">
        <v>1472520</v>
      </c>
    </row>
    <row r="2809" spans="1:22">
      <c r="A2809" t="s">
        <v>196</v>
      </c>
      <c r="B2809">
        <v>57</v>
      </c>
      <c r="C2809" t="s">
        <v>31</v>
      </c>
      <c r="D2809">
        <v>100</v>
      </c>
      <c r="E2809" t="s">
        <v>197</v>
      </c>
      <c r="F2809">
        <v>1005</v>
      </c>
      <c r="G2809" t="s">
        <v>31</v>
      </c>
      <c r="H2809">
        <v>2028</v>
      </c>
      <c r="I2809" t="s">
        <v>6</v>
      </c>
      <c r="J2809">
        <v>3423</v>
      </c>
      <c r="K2809" t="s">
        <v>1402</v>
      </c>
      <c r="L2809">
        <v>4291</v>
      </c>
      <c r="M2809" t="s">
        <v>1404</v>
      </c>
      <c r="N2809" t="s">
        <v>1302</v>
      </c>
      <c r="O2809">
        <v>71</v>
      </c>
      <c r="P2809">
        <v>9171</v>
      </c>
      <c r="Q2809" t="s">
        <v>1303</v>
      </c>
      <c r="R2809" t="s">
        <v>201</v>
      </c>
      <c r="S2809">
        <v>7</v>
      </c>
      <c r="T2809">
        <v>1</v>
      </c>
      <c r="U2809">
        <v>142668</v>
      </c>
      <c r="V2809">
        <v>998676</v>
      </c>
    </row>
    <row r="2810" spans="1:22">
      <c r="A2810" t="s">
        <v>196</v>
      </c>
      <c r="B2810">
        <v>57</v>
      </c>
      <c r="C2810" t="s">
        <v>31</v>
      </c>
      <c r="D2810">
        <v>100</v>
      </c>
      <c r="E2810" t="s">
        <v>197</v>
      </c>
      <c r="F2810">
        <v>1005</v>
      </c>
      <c r="G2810" t="s">
        <v>31</v>
      </c>
      <c r="H2810">
        <v>2028</v>
      </c>
      <c r="I2810" t="s">
        <v>6</v>
      </c>
      <c r="J2810">
        <v>3423</v>
      </c>
      <c r="K2810" t="s">
        <v>1402</v>
      </c>
      <c r="L2810">
        <v>4291</v>
      </c>
      <c r="M2810" t="s">
        <v>1404</v>
      </c>
      <c r="N2810" t="s">
        <v>1302</v>
      </c>
      <c r="O2810">
        <v>71</v>
      </c>
      <c r="P2810">
        <v>9171</v>
      </c>
      <c r="Q2810" t="s">
        <v>1303</v>
      </c>
      <c r="R2810" t="s">
        <v>201</v>
      </c>
      <c r="S2810">
        <v>17</v>
      </c>
      <c r="T2810">
        <v>1</v>
      </c>
      <c r="U2810">
        <v>138318</v>
      </c>
      <c r="V2810">
        <v>2351406</v>
      </c>
    </row>
    <row r="2811" spans="1:22">
      <c r="A2811" t="s">
        <v>196</v>
      </c>
      <c r="B2811">
        <v>57</v>
      </c>
      <c r="C2811" t="s">
        <v>31</v>
      </c>
      <c r="D2811">
        <v>100</v>
      </c>
      <c r="E2811" t="s">
        <v>197</v>
      </c>
      <c r="F2811">
        <v>1005</v>
      </c>
      <c r="G2811" t="s">
        <v>31</v>
      </c>
      <c r="H2811">
        <v>2028</v>
      </c>
      <c r="I2811" t="s">
        <v>6</v>
      </c>
      <c r="J2811">
        <v>3423</v>
      </c>
      <c r="K2811" t="s">
        <v>1402</v>
      </c>
      <c r="L2811">
        <v>4291</v>
      </c>
      <c r="M2811" t="s">
        <v>1404</v>
      </c>
      <c r="N2811" t="s">
        <v>1309</v>
      </c>
      <c r="O2811">
        <v>91</v>
      </c>
      <c r="P2811">
        <v>9161</v>
      </c>
      <c r="Q2811" t="s">
        <v>1310</v>
      </c>
      <c r="R2811" t="s">
        <v>201</v>
      </c>
      <c r="S2811">
        <v>37</v>
      </c>
      <c r="T2811">
        <v>1</v>
      </c>
      <c r="U2811">
        <v>127146</v>
      </c>
      <c r="V2811">
        <v>4704402</v>
      </c>
    </row>
    <row r="2812" spans="1:22">
      <c r="A2812" t="s">
        <v>196</v>
      </c>
      <c r="B2812">
        <v>57</v>
      </c>
      <c r="C2812" t="s">
        <v>31</v>
      </c>
      <c r="D2812">
        <v>100</v>
      </c>
      <c r="E2812" t="s">
        <v>197</v>
      </c>
      <c r="F2812">
        <v>1005</v>
      </c>
      <c r="G2812" t="s">
        <v>31</v>
      </c>
      <c r="H2812">
        <v>2028</v>
      </c>
      <c r="I2812" t="s">
        <v>6</v>
      </c>
      <c r="J2812">
        <v>3423</v>
      </c>
      <c r="K2812" t="s">
        <v>1402</v>
      </c>
      <c r="L2812">
        <v>4291</v>
      </c>
      <c r="M2812" t="s">
        <v>1404</v>
      </c>
      <c r="N2812" t="s">
        <v>1309</v>
      </c>
      <c r="O2812">
        <v>91</v>
      </c>
      <c r="P2812">
        <v>9161</v>
      </c>
      <c r="Q2812" t="s">
        <v>1310</v>
      </c>
      <c r="R2812" t="s">
        <v>201</v>
      </c>
      <c r="S2812">
        <v>44</v>
      </c>
      <c r="T2812">
        <v>1</v>
      </c>
      <c r="U2812">
        <v>123576</v>
      </c>
      <c r="V2812">
        <v>5437344</v>
      </c>
    </row>
    <row r="2813" spans="1:22">
      <c r="A2813" t="s">
        <v>196</v>
      </c>
      <c r="B2813">
        <v>57</v>
      </c>
      <c r="C2813" t="s">
        <v>31</v>
      </c>
      <c r="D2813">
        <v>100</v>
      </c>
      <c r="E2813" t="s">
        <v>197</v>
      </c>
      <c r="F2813">
        <v>1005</v>
      </c>
      <c r="G2813" t="s">
        <v>31</v>
      </c>
      <c r="H2813">
        <v>2028</v>
      </c>
      <c r="I2813" t="s">
        <v>6</v>
      </c>
      <c r="J2813">
        <v>3423</v>
      </c>
      <c r="K2813" t="s">
        <v>1402</v>
      </c>
      <c r="L2813">
        <v>4291</v>
      </c>
      <c r="M2813" t="s">
        <v>1404</v>
      </c>
      <c r="N2813" t="s">
        <v>1309</v>
      </c>
      <c r="O2813">
        <v>91</v>
      </c>
      <c r="P2813">
        <v>9161</v>
      </c>
      <c r="Q2813" t="s">
        <v>1310</v>
      </c>
      <c r="R2813" t="s">
        <v>201</v>
      </c>
      <c r="S2813">
        <v>21</v>
      </c>
      <c r="T2813">
        <v>1</v>
      </c>
      <c r="U2813">
        <v>119154</v>
      </c>
      <c r="V2813">
        <v>2502234</v>
      </c>
    </row>
    <row r="2814" spans="1:22">
      <c r="A2814" t="s">
        <v>196</v>
      </c>
      <c r="B2814">
        <v>57</v>
      </c>
      <c r="C2814" t="s">
        <v>31</v>
      </c>
      <c r="D2814">
        <v>100</v>
      </c>
      <c r="E2814" t="s">
        <v>197</v>
      </c>
      <c r="F2814">
        <v>1005</v>
      </c>
      <c r="G2814" t="s">
        <v>31</v>
      </c>
      <c r="H2814">
        <v>2028</v>
      </c>
      <c r="I2814" t="s">
        <v>6</v>
      </c>
      <c r="J2814">
        <v>3423</v>
      </c>
      <c r="K2814" t="s">
        <v>1402</v>
      </c>
      <c r="L2814">
        <v>4291</v>
      </c>
      <c r="M2814" t="s">
        <v>1404</v>
      </c>
      <c r="N2814" t="s">
        <v>1309</v>
      </c>
      <c r="O2814">
        <v>91</v>
      </c>
      <c r="P2814">
        <v>9161</v>
      </c>
      <c r="Q2814" t="s">
        <v>1310</v>
      </c>
      <c r="R2814" t="s">
        <v>201</v>
      </c>
      <c r="S2814">
        <v>5</v>
      </c>
      <c r="T2814">
        <v>1</v>
      </c>
      <c r="U2814">
        <v>115158</v>
      </c>
      <c r="V2814">
        <v>575790</v>
      </c>
    </row>
    <row r="2815" spans="1:22">
      <c r="A2815" t="s">
        <v>196</v>
      </c>
      <c r="B2815">
        <v>57</v>
      </c>
      <c r="C2815" t="s">
        <v>31</v>
      </c>
      <c r="D2815">
        <v>100</v>
      </c>
      <c r="E2815" t="s">
        <v>197</v>
      </c>
      <c r="F2815">
        <v>1005</v>
      </c>
      <c r="G2815" t="s">
        <v>31</v>
      </c>
      <c r="H2815">
        <v>2028</v>
      </c>
      <c r="I2815" t="s">
        <v>6</v>
      </c>
      <c r="J2815">
        <v>3423</v>
      </c>
      <c r="K2815" t="s">
        <v>1402</v>
      </c>
      <c r="L2815">
        <v>4291</v>
      </c>
      <c r="M2815" t="s">
        <v>1404</v>
      </c>
      <c r="N2815" t="s">
        <v>1309</v>
      </c>
      <c r="O2815">
        <v>91</v>
      </c>
      <c r="P2815">
        <v>9161</v>
      </c>
      <c r="Q2815" t="s">
        <v>1310</v>
      </c>
      <c r="R2815" t="s">
        <v>201</v>
      </c>
      <c r="S2815">
        <v>24</v>
      </c>
      <c r="T2815">
        <v>1</v>
      </c>
      <c r="U2815">
        <v>111252</v>
      </c>
      <c r="V2815">
        <v>2670048</v>
      </c>
    </row>
    <row r="2816" spans="1:22">
      <c r="A2816" t="s">
        <v>196</v>
      </c>
      <c r="B2816">
        <v>57</v>
      </c>
      <c r="C2816" t="s">
        <v>31</v>
      </c>
      <c r="D2816">
        <v>100</v>
      </c>
      <c r="E2816" t="s">
        <v>197</v>
      </c>
      <c r="F2816">
        <v>1005</v>
      </c>
      <c r="G2816" t="s">
        <v>31</v>
      </c>
      <c r="H2816">
        <v>2028</v>
      </c>
      <c r="I2816" t="s">
        <v>6</v>
      </c>
      <c r="J2816">
        <v>3423</v>
      </c>
      <c r="K2816" t="s">
        <v>1402</v>
      </c>
      <c r="L2816">
        <v>4291</v>
      </c>
      <c r="M2816" t="s">
        <v>1404</v>
      </c>
      <c r="N2816" t="s">
        <v>1309</v>
      </c>
      <c r="O2816">
        <v>91</v>
      </c>
      <c r="P2816">
        <v>9161</v>
      </c>
      <c r="Q2816" t="s">
        <v>1310</v>
      </c>
      <c r="R2816" t="s">
        <v>201</v>
      </c>
      <c r="S2816">
        <v>24</v>
      </c>
      <c r="T2816">
        <v>1</v>
      </c>
      <c r="U2816">
        <v>100950</v>
      </c>
      <c r="V2816">
        <v>2422800</v>
      </c>
    </row>
    <row r="2817" spans="1:22">
      <c r="A2817" t="s">
        <v>196</v>
      </c>
      <c r="B2817">
        <v>57</v>
      </c>
      <c r="C2817" t="s">
        <v>31</v>
      </c>
      <c r="D2817">
        <v>100</v>
      </c>
      <c r="E2817" t="s">
        <v>197</v>
      </c>
      <c r="F2817">
        <v>1005</v>
      </c>
      <c r="G2817" t="s">
        <v>31</v>
      </c>
      <c r="H2817">
        <v>2028</v>
      </c>
      <c r="I2817" t="s">
        <v>6</v>
      </c>
      <c r="J2817">
        <v>3423</v>
      </c>
      <c r="K2817" t="s">
        <v>1402</v>
      </c>
      <c r="L2817">
        <v>4291</v>
      </c>
      <c r="M2817" t="s">
        <v>1404</v>
      </c>
      <c r="N2817" t="s">
        <v>1309</v>
      </c>
      <c r="O2817">
        <v>91</v>
      </c>
      <c r="P2817">
        <v>9161</v>
      </c>
      <c r="Q2817" t="s">
        <v>1310</v>
      </c>
      <c r="R2817" t="s">
        <v>201</v>
      </c>
      <c r="S2817">
        <v>6</v>
      </c>
      <c r="T2817">
        <v>1</v>
      </c>
      <c r="U2817">
        <v>95982</v>
      </c>
      <c r="V2817">
        <v>575892</v>
      </c>
    </row>
    <row r="2818" spans="1:22">
      <c r="A2818" t="s">
        <v>196</v>
      </c>
      <c r="B2818">
        <v>57</v>
      </c>
      <c r="C2818" t="s">
        <v>31</v>
      </c>
      <c r="D2818">
        <v>100</v>
      </c>
      <c r="E2818" t="s">
        <v>197</v>
      </c>
      <c r="F2818">
        <v>1005</v>
      </c>
      <c r="G2818" t="s">
        <v>31</v>
      </c>
      <c r="H2818">
        <v>2028</v>
      </c>
      <c r="I2818" t="s">
        <v>6</v>
      </c>
      <c r="J2818">
        <v>3423</v>
      </c>
      <c r="K2818" t="s">
        <v>1402</v>
      </c>
      <c r="L2818">
        <v>4291</v>
      </c>
      <c r="M2818" t="s">
        <v>1404</v>
      </c>
      <c r="N2818" t="s">
        <v>1309</v>
      </c>
      <c r="O2818">
        <v>91</v>
      </c>
      <c r="P2818">
        <v>9161</v>
      </c>
      <c r="Q2818" t="s">
        <v>1310</v>
      </c>
      <c r="R2818" t="s">
        <v>201</v>
      </c>
      <c r="S2818">
        <v>24</v>
      </c>
      <c r="T2818">
        <v>1</v>
      </c>
      <c r="U2818">
        <v>63636</v>
      </c>
      <c r="V2818">
        <v>1527264</v>
      </c>
    </row>
    <row r="2819" spans="1:22">
      <c r="A2819" t="s">
        <v>196</v>
      </c>
      <c r="B2819">
        <v>57</v>
      </c>
      <c r="C2819" t="s">
        <v>31</v>
      </c>
      <c r="D2819">
        <v>100</v>
      </c>
      <c r="E2819" t="s">
        <v>197</v>
      </c>
      <c r="F2819">
        <v>1005</v>
      </c>
      <c r="G2819" t="s">
        <v>31</v>
      </c>
      <c r="H2819">
        <v>2028</v>
      </c>
      <c r="I2819" t="s">
        <v>6</v>
      </c>
      <c r="J2819">
        <v>3423</v>
      </c>
      <c r="K2819" t="s">
        <v>1402</v>
      </c>
      <c r="L2819">
        <v>4291</v>
      </c>
      <c r="M2819" t="s">
        <v>1404</v>
      </c>
      <c r="N2819" t="s">
        <v>809</v>
      </c>
      <c r="O2819">
        <v>1</v>
      </c>
      <c r="P2819">
        <v>460</v>
      </c>
      <c r="Q2819" t="s">
        <v>810</v>
      </c>
      <c r="R2819" t="s">
        <v>201</v>
      </c>
      <c r="S2819">
        <v>1</v>
      </c>
      <c r="T2819">
        <v>1</v>
      </c>
      <c r="U2819">
        <v>82140</v>
      </c>
      <c r="V2819">
        <v>82140</v>
      </c>
    </row>
    <row r="2820" spans="1:22">
      <c r="A2820" t="s">
        <v>196</v>
      </c>
      <c r="B2820">
        <v>57</v>
      </c>
      <c r="C2820" t="s">
        <v>31</v>
      </c>
      <c r="D2820">
        <v>100</v>
      </c>
      <c r="E2820" t="s">
        <v>197</v>
      </c>
      <c r="F2820">
        <v>1005</v>
      </c>
      <c r="G2820" t="s">
        <v>31</v>
      </c>
      <c r="H2820">
        <v>2028</v>
      </c>
      <c r="I2820" t="s">
        <v>6</v>
      </c>
      <c r="J2820">
        <v>3423</v>
      </c>
      <c r="K2820" t="s">
        <v>1402</v>
      </c>
      <c r="L2820">
        <v>4291</v>
      </c>
      <c r="M2820" t="s">
        <v>1404</v>
      </c>
      <c r="N2820" t="s">
        <v>199</v>
      </c>
      <c r="O2820">
        <v>0</v>
      </c>
      <c r="P2820">
        <v>15</v>
      </c>
      <c r="Q2820" t="s">
        <v>264</v>
      </c>
      <c r="R2820" t="s">
        <v>201</v>
      </c>
      <c r="S2820">
        <v>0</v>
      </c>
      <c r="T2820">
        <v>0</v>
      </c>
      <c r="U2820">
        <v>114061</v>
      </c>
      <c r="V2820">
        <v>114061</v>
      </c>
    </row>
    <row r="2821" spans="1:22">
      <c r="A2821" t="s">
        <v>196</v>
      </c>
      <c r="B2821">
        <v>57</v>
      </c>
      <c r="C2821" t="s">
        <v>31</v>
      </c>
      <c r="D2821">
        <v>100</v>
      </c>
      <c r="E2821" t="s">
        <v>197</v>
      </c>
      <c r="F2821">
        <v>1005</v>
      </c>
      <c r="G2821" t="s">
        <v>31</v>
      </c>
      <c r="H2821">
        <v>2028</v>
      </c>
      <c r="I2821" t="s">
        <v>6</v>
      </c>
      <c r="J2821">
        <v>3423</v>
      </c>
      <c r="K2821" t="s">
        <v>1402</v>
      </c>
      <c r="L2821">
        <v>4292</v>
      </c>
      <c r="M2821" t="s">
        <v>1405</v>
      </c>
      <c r="N2821" t="s">
        <v>1304</v>
      </c>
      <c r="O2821">
        <v>73</v>
      </c>
      <c r="P2821">
        <v>9173</v>
      </c>
      <c r="Q2821" t="s">
        <v>1323</v>
      </c>
      <c r="R2821" t="s">
        <v>201</v>
      </c>
      <c r="S2821">
        <v>1</v>
      </c>
      <c r="T2821">
        <v>1</v>
      </c>
      <c r="U2821">
        <v>170700</v>
      </c>
      <c r="V2821">
        <v>170700</v>
      </c>
    </row>
    <row r="2822" spans="1:22">
      <c r="A2822" t="s">
        <v>196</v>
      </c>
      <c r="B2822">
        <v>57</v>
      </c>
      <c r="C2822" t="s">
        <v>31</v>
      </c>
      <c r="D2822">
        <v>100</v>
      </c>
      <c r="E2822" t="s">
        <v>197</v>
      </c>
      <c r="F2822">
        <v>1005</v>
      </c>
      <c r="G2822" t="s">
        <v>31</v>
      </c>
      <c r="H2822">
        <v>2028</v>
      </c>
      <c r="I2822" t="s">
        <v>6</v>
      </c>
      <c r="J2822">
        <v>3423</v>
      </c>
      <c r="K2822" t="s">
        <v>1402</v>
      </c>
      <c r="L2822">
        <v>4292</v>
      </c>
      <c r="M2822" t="s">
        <v>1405</v>
      </c>
      <c r="N2822" t="s">
        <v>1304</v>
      </c>
      <c r="O2822">
        <v>73</v>
      </c>
      <c r="P2822">
        <v>9173</v>
      </c>
      <c r="Q2822" t="s">
        <v>1323</v>
      </c>
      <c r="R2822" t="s">
        <v>201</v>
      </c>
      <c r="S2822">
        <v>2</v>
      </c>
      <c r="T2822">
        <v>1</v>
      </c>
      <c r="U2822">
        <v>155934</v>
      </c>
      <c r="V2822">
        <v>311868</v>
      </c>
    </row>
    <row r="2823" spans="1:22">
      <c r="A2823" t="s">
        <v>196</v>
      </c>
      <c r="B2823">
        <v>57</v>
      </c>
      <c r="C2823" t="s">
        <v>31</v>
      </c>
      <c r="D2823">
        <v>100</v>
      </c>
      <c r="E2823" t="s">
        <v>197</v>
      </c>
      <c r="F2823">
        <v>1005</v>
      </c>
      <c r="G2823" t="s">
        <v>31</v>
      </c>
      <c r="H2823">
        <v>2028</v>
      </c>
      <c r="I2823" t="s">
        <v>6</v>
      </c>
      <c r="J2823">
        <v>3423</v>
      </c>
      <c r="K2823" t="s">
        <v>1402</v>
      </c>
      <c r="L2823">
        <v>4292</v>
      </c>
      <c r="M2823" t="s">
        <v>1405</v>
      </c>
      <c r="N2823" t="s">
        <v>1302</v>
      </c>
      <c r="O2823">
        <v>71</v>
      </c>
      <c r="P2823">
        <v>9171</v>
      </c>
      <c r="Q2823" t="s">
        <v>1303</v>
      </c>
      <c r="R2823" t="s">
        <v>201</v>
      </c>
      <c r="S2823">
        <v>10</v>
      </c>
      <c r="T2823">
        <v>1</v>
      </c>
      <c r="U2823">
        <v>152010</v>
      </c>
      <c r="V2823">
        <v>1520100</v>
      </c>
    </row>
    <row r="2824" spans="1:22">
      <c r="A2824" t="s">
        <v>196</v>
      </c>
      <c r="B2824">
        <v>57</v>
      </c>
      <c r="C2824" t="s">
        <v>31</v>
      </c>
      <c r="D2824">
        <v>100</v>
      </c>
      <c r="E2824" t="s">
        <v>197</v>
      </c>
      <c r="F2824">
        <v>1005</v>
      </c>
      <c r="G2824" t="s">
        <v>31</v>
      </c>
      <c r="H2824">
        <v>2028</v>
      </c>
      <c r="I2824" t="s">
        <v>6</v>
      </c>
      <c r="J2824">
        <v>3423</v>
      </c>
      <c r="K2824" t="s">
        <v>1402</v>
      </c>
      <c r="L2824">
        <v>4292</v>
      </c>
      <c r="M2824" t="s">
        <v>1405</v>
      </c>
      <c r="N2824" t="s">
        <v>1302</v>
      </c>
      <c r="O2824">
        <v>71</v>
      </c>
      <c r="P2824">
        <v>9171</v>
      </c>
      <c r="Q2824" t="s">
        <v>1303</v>
      </c>
      <c r="R2824" t="s">
        <v>201</v>
      </c>
      <c r="S2824">
        <v>7</v>
      </c>
      <c r="T2824">
        <v>1</v>
      </c>
      <c r="U2824">
        <v>147252</v>
      </c>
      <c r="V2824">
        <v>1030764</v>
      </c>
    </row>
    <row r="2825" spans="1:22">
      <c r="A2825" t="s">
        <v>196</v>
      </c>
      <c r="B2825">
        <v>57</v>
      </c>
      <c r="C2825" t="s">
        <v>31</v>
      </c>
      <c r="D2825">
        <v>100</v>
      </c>
      <c r="E2825" t="s">
        <v>197</v>
      </c>
      <c r="F2825">
        <v>1005</v>
      </c>
      <c r="G2825" t="s">
        <v>31</v>
      </c>
      <c r="H2825">
        <v>2028</v>
      </c>
      <c r="I2825" t="s">
        <v>6</v>
      </c>
      <c r="J2825">
        <v>3423</v>
      </c>
      <c r="K2825" t="s">
        <v>1402</v>
      </c>
      <c r="L2825">
        <v>4292</v>
      </c>
      <c r="M2825" t="s">
        <v>1405</v>
      </c>
      <c r="N2825" t="s">
        <v>1302</v>
      </c>
      <c r="O2825">
        <v>71</v>
      </c>
      <c r="P2825">
        <v>9171</v>
      </c>
      <c r="Q2825" t="s">
        <v>1303</v>
      </c>
      <c r="R2825" t="s">
        <v>201</v>
      </c>
      <c r="S2825">
        <v>3</v>
      </c>
      <c r="T2825">
        <v>1</v>
      </c>
      <c r="U2825">
        <v>142668</v>
      </c>
      <c r="V2825">
        <v>428004</v>
      </c>
    </row>
    <row r="2826" spans="1:22">
      <c r="A2826" t="s">
        <v>196</v>
      </c>
      <c r="B2826">
        <v>57</v>
      </c>
      <c r="C2826" t="s">
        <v>31</v>
      </c>
      <c r="D2826">
        <v>100</v>
      </c>
      <c r="E2826" t="s">
        <v>197</v>
      </c>
      <c r="F2826">
        <v>1005</v>
      </c>
      <c r="G2826" t="s">
        <v>31</v>
      </c>
      <c r="H2826">
        <v>2028</v>
      </c>
      <c r="I2826" t="s">
        <v>6</v>
      </c>
      <c r="J2826">
        <v>3423</v>
      </c>
      <c r="K2826" t="s">
        <v>1402</v>
      </c>
      <c r="L2826">
        <v>4292</v>
      </c>
      <c r="M2826" t="s">
        <v>1405</v>
      </c>
      <c r="N2826" t="s">
        <v>1302</v>
      </c>
      <c r="O2826">
        <v>71</v>
      </c>
      <c r="P2826">
        <v>9171</v>
      </c>
      <c r="Q2826" t="s">
        <v>1303</v>
      </c>
      <c r="R2826" t="s">
        <v>201</v>
      </c>
      <c r="S2826">
        <v>5</v>
      </c>
      <c r="T2826">
        <v>1</v>
      </c>
      <c r="U2826">
        <v>138318</v>
      </c>
      <c r="V2826">
        <v>691590</v>
      </c>
    </row>
    <row r="2827" spans="1:22">
      <c r="A2827" t="s">
        <v>196</v>
      </c>
      <c r="B2827">
        <v>57</v>
      </c>
      <c r="C2827" t="s">
        <v>31</v>
      </c>
      <c r="D2827">
        <v>100</v>
      </c>
      <c r="E2827" t="s">
        <v>197</v>
      </c>
      <c r="F2827">
        <v>1005</v>
      </c>
      <c r="G2827" t="s">
        <v>31</v>
      </c>
      <c r="H2827">
        <v>2028</v>
      </c>
      <c r="I2827" t="s">
        <v>6</v>
      </c>
      <c r="J2827">
        <v>3423</v>
      </c>
      <c r="K2827" t="s">
        <v>1402</v>
      </c>
      <c r="L2827">
        <v>4292</v>
      </c>
      <c r="M2827" t="s">
        <v>1405</v>
      </c>
      <c r="N2827" t="s">
        <v>1324</v>
      </c>
      <c r="O2827">
        <v>91</v>
      </c>
      <c r="P2827">
        <v>9165</v>
      </c>
      <c r="Q2827" t="s">
        <v>1325</v>
      </c>
      <c r="R2827" t="s">
        <v>201</v>
      </c>
      <c r="S2827">
        <v>1</v>
      </c>
      <c r="T2827">
        <v>1</v>
      </c>
      <c r="U2827">
        <v>144792</v>
      </c>
      <c r="V2827">
        <v>144792</v>
      </c>
    </row>
    <row r="2828" spans="1:22">
      <c r="A2828" t="s">
        <v>196</v>
      </c>
      <c r="B2828">
        <v>57</v>
      </c>
      <c r="C2828" t="s">
        <v>31</v>
      </c>
      <c r="D2828">
        <v>100</v>
      </c>
      <c r="E2828" t="s">
        <v>197</v>
      </c>
      <c r="F2828">
        <v>1005</v>
      </c>
      <c r="G2828" t="s">
        <v>31</v>
      </c>
      <c r="H2828">
        <v>2028</v>
      </c>
      <c r="I2828" t="s">
        <v>6</v>
      </c>
      <c r="J2828">
        <v>3423</v>
      </c>
      <c r="K2828" t="s">
        <v>1402</v>
      </c>
      <c r="L2828">
        <v>4292</v>
      </c>
      <c r="M2828" t="s">
        <v>1405</v>
      </c>
      <c r="N2828" t="s">
        <v>1324</v>
      </c>
      <c r="O2828">
        <v>91</v>
      </c>
      <c r="P2828">
        <v>9165</v>
      </c>
      <c r="Q2828" t="s">
        <v>1325</v>
      </c>
      <c r="R2828" t="s">
        <v>201</v>
      </c>
      <c r="S2828">
        <v>1</v>
      </c>
      <c r="T2828">
        <v>1</v>
      </c>
      <c r="U2828">
        <v>135816</v>
      </c>
      <c r="V2828">
        <v>135816</v>
      </c>
    </row>
    <row r="2829" spans="1:22">
      <c r="A2829" t="s">
        <v>196</v>
      </c>
      <c r="B2829">
        <v>57</v>
      </c>
      <c r="C2829" t="s">
        <v>31</v>
      </c>
      <c r="D2829">
        <v>100</v>
      </c>
      <c r="E2829" t="s">
        <v>197</v>
      </c>
      <c r="F2829">
        <v>1005</v>
      </c>
      <c r="G2829" t="s">
        <v>31</v>
      </c>
      <c r="H2829">
        <v>2028</v>
      </c>
      <c r="I2829" t="s">
        <v>6</v>
      </c>
      <c r="J2829">
        <v>3423</v>
      </c>
      <c r="K2829" t="s">
        <v>1402</v>
      </c>
      <c r="L2829">
        <v>4292</v>
      </c>
      <c r="M2829" t="s">
        <v>1405</v>
      </c>
      <c r="N2829" t="s">
        <v>1324</v>
      </c>
      <c r="O2829">
        <v>91</v>
      </c>
      <c r="P2829">
        <v>9165</v>
      </c>
      <c r="Q2829" t="s">
        <v>1325</v>
      </c>
      <c r="R2829" t="s">
        <v>201</v>
      </c>
      <c r="S2829">
        <v>3</v>
      </c>
      <c r="T2829">
        <v>1</v>
      </c>
      <c r="U2829">
        <v>131448</v>
      </c>
      <c r="V2829">
        <v>394344</v>
      </c>
    </row>
    <row r="2830" spans="1:22">
      <c r="A2830" t="s">
        <v>196</v>
      </c>
      <c r="B2830">
        <v>57</v>
      </c>
      <c r="C2830" t="s">
        <v>31</v>
      </c>
      <c r="D2830">
        <v>100</v>
      </c>
      <c r="E2830" t="s">
        <v>197</v>
      </c>
      <c r="F2830">
        <v>1005</v>
      </c>
      <c r="G2830" t="s">
        <v>31</v>
      </c>
      <c r="H2830">
        <v>2028</v>
      </c>
      <c r="I2830" t="s">
        <v>6</v>
      </c>
      <c r="J2830">
        <v>3423</v>
      </c>
      <c r="K2830" t="s">
        <v>1402</v>
      </c>
      <c r="L2830">
        <v>4292</v>
      </c>
      <c r="M2830" t="s">
        <v>1405</v>
      </c>
      <c r="N2830" t="s">
        <v>1309</v>
      </c>
      <c r="O2830">
        <v>91</v>
      </c>
      <c r="P2830">
        <v>9161</v>
      </c>
      <c r="Q2830" t="s">
        <v>1310</v>
      </c>
      <c r="R2830" t="s">
        <v>201</v>
      </c>
      <c r="S2830">
        <v>19</v>
      </c>
      <c r="T2830">
        <v>1</v>
      </c>
      <c r="U2830">
        <v>127146</v>
      </c>
      <c r="V2830">
        <v>2415774</v>
      </c>
    </row>
    <row r="2831" spans="1:22">
      <c r="A2831" t="s">
        <v>196</v>
      </c>
      <c r="B2831">
        <v>57</v>
      </c>
      <c r="C2831" t="s">
        <v>31</v>
      </c>
      <c r="D2831">
        <v>100</v>
      </c>
      <c r="E2831" t="s">
        <v>197</v>
      </c>
      <c r="F2831">
        <v>1005</v>
      </c>
      <c r="G2831" t="s">
        <v>31</v>
      </c>
      <c r="H2831">
        <v>2028</v>
      </c>
      <c r="I2831" t="s">
        <v>6</v>
      </c>
      <c r="J2831">
        <v>3423</v>
      </c>
      <c r="K2831" t="s">
        <v>1402</v>
      </c>
      <c r="L2831">
        <v>4292</v>
      </c>
      <c r="M2831" t="s">
        <v>1405</v>
      </c>
      <c r="N2831" t="s">
        <v>1309</v>
      </c>
      <c r="O2831">
        <v>91</v>
      </c>
      <c r="P2831">
        <v>9161</v>
      </c>
      <c r="Q2831" t="s">
        <v>1310</v>
      </c>
      <c r="R2831" t="s">
        <v>201</v>
      </c>
      <c r="S2831">
        <v>22</v>
      </c>
      <c r="T2831">
        <v>1</v>
      </c>
      <c r="U2831">
        <v>123576</v>
      </c>
      <c r="V2831">
        <v>2718672</v>
      </c>
    </row>
    <row r="2832" spans="1:22">
      <c r="A2832" t="s">
        <v>196</v>
      </c>
      <c r="B2832">
        <v>57</v>
      </c>
      <c r="C2832" t="s">
        <v>31</v>
      </c>
      <c r="D2832">
        <v>100</v>
      </c>
      <c r="E2832" t="s">
        <v>197</v>
      </c>
      <c r="F2832">
        <v>1005</v>
      </c>
      <c r="G2832" t="s">
        <v>31</v>
      </c>
      <c r="H2832">
        <v>2028</v>
      </c>
      <c r="I2832" t="s">
        <v>6</v>
      </c>
      <c r="J2832">
        <v>3423</v>
      </c>
      <c r="K2832" t="s">
        <v>1402</v>
      </c>
      <c r="L2832">
        <v>4292</v>
      </c>
      <c r="M2832" t="s">
        <v>1405</v>
      </c>
      <c r="N2832" t="s">
        <v>1309</v>
      </c>
      <c r="O2832">
        <v>91</v>
      </c>
      <c r="P2832">
        <v>9161</v>
      </c>
      <c r="Q2832" t="s">
        <v>1310</v>
      </c>
      <c r="R2832" t="s">
        <v>201</v>
      </c>
      <c r="S2832">
        <v>13</v>
      </c>
      <c r="T2832">
        <v>1</v>
      </c>
      <c r="U2832">
        <v>119154</v>
      </c>
      <c r="V2832">
        <v>1549002</v>
      </c>
    </row>
    <row r="2833" spans="1:22">
      <c r="A2833" t="s">
        <v>196</v>
      </c>
      <c r="B2833">
        <v>57</v>
      </c>
      <c r="C2833" t="s">
        <v>31</v>
      </c>
      <c r="D2833">
        <v>100</v>
      </c>
      <c r="E2833" t="s">
        <v>197</v>
      </c>
      <c r="F2833">
        <v>1005</v>
      </c>
      <c r="G2833" t="s">
        <v>31</v>
      </c>
      <c r="H2833">
        <v>2028</v>
      </c>
      <c r="I2833" t="s">
        <v>6</v>
      </c>
      <c r="J2833">
        <v>3423</v>
      </c>
      <c r="K2833" t="s">
        <v>1402</v>
      </c>
      <c r="L2833">
        <v>4292</v>
      </c>
      <c r="M2833" t="s">
        <v>1405</v>
      </c>
      <c r="N2833" t="s">
        <v>1309</v>
      </c>
      <c r="O2833">
        <v>91</v>
      </c>
      <c r="P2833">
        <v>9161</v>
      </c>
      <c r="Q2833" t="s">
        <v>1310</v>
      </c>
      <c r="R2833" t="s">
        <v>201</v>
      </c>
      <c r="S2833">
        <v>3</v>
      </c>
      <c r="T2833">
        <v>1</v>
      </c>
      <c r="U2833">
        <v>115158</v>
      </c>
      <c r="V2833">
        <v>345474</v>
      </c>
    </row>
    <row r="2834" spans="1:22">
      <c r="A2834" t="s">
        <v>196</v>
      </c>
      <c r="B2834">
        <v>57</v>
      </c>
      <c r="C2834" t="s">
        <v>31</v>
      </c>
      <c r="D2834">
        <v>100</v>
      </c>
      <c r="E2834" t="s">
        <v>197</v>
      </c>
      <c r="F2834">
        <v>1005</v>
      </c>
      <c r="G2834" t="s">
        <v>31</v>
      </c>
      <c r="H2834">
        <v>2028</v>
      </c>
      <c r="I2834" t="s">
        <v>6</v>
      </c>
      <c r="J2834">
        <v>3423</v>
      </c>
      <c r="K2834" t="s">
        <v>1402</v>
      </c>
      <c r="L2834">
        <v>4292</v>
      </c>
      <c r="M2834" t="s">
        <v>1405</v>
      </c>
      <c r="N2834" t="s">
        <v>1309</v>
      </c>
      <c r="O2834">
        <v>91</v>
      </c>
      <c r="P2834">
        <v>9161</v>
      </c>
      <c r="Q2834" t="s">
        <v>1310</v>
      </c>
      <c r="R2834" t="s">
        <v>201</v>
      </c>
      <c r="S2834">
        <v>1</v>
      </c>
      <c r="T2834">
        <v>1</v>
      </c>
      <c r="U2834">
        <v>111252</v>
      </c>
      <c r="V2834">
        <v>111252</v>
      </c>
    </row>
    <row r="2835" spans="1:22">
      <c r="A2835" t="s">
        <v>196</v>
      </c>
      <c r="B2835">
        <v>57</v>
      </c>
      <c r="C2835" t="s">
        <v>31</v>
      </c>
      <c r="D2835">
        <v>100</v>
      </c>
      <c r="E2835" t="s">
        <v>197</v>
      </c>
      <c r="F2835">
        <v>1005</v>
      </c>
      <c r="G2835" t="s">
        <v>31</v>
      </c>
      <c r="H2835">
        <v>2028</v>
      </c>
      <c r="I2835" t="s">
        <v>6</v>
      </c>
      <c r="J2835">
        <v>3423</v>
      </c>
      <c r="K2835" t="s">
        <v>1402</v>
      </c>
      <c r="L2835">
        <v>4292</v>
      </c>
      <c r="M2835" t="s">
        <v>1405</v>
      </c>
      <c r="N2835" t="s">
        <v>1309</v>
      </c>
      <c r="O2835">
        <v>91</v>
      </c>
      <c r="P2835">
        <v>9161</v>
      </c>
      <c r="Q2835" t="s">
        <v>1310</v>
      </c>
      <c r="R2835" t="s">
        <v>201</v>
      </c>
      <c r="S2835">
        <v>11</v>
      </c>
      <c r="T2835">
        <v>1</v>
      </c>
      <c r="U2835">
        <v>63636</v>
      </c>
      <c r="V2835">
        <v>699996</v>
      </c>
    </row>
    <row r="2836" spans="1:22">
      <c r="A2836" t="s">
        <v>196</v>
      </c>
      <c r="B2836">
        <v>57</v>
      </c>
      <c r="C2836" t="s">
        <v>31</v>
      </c>
      <c r="D2836">
        <v>100</v>
      </c>
      <c r="E2836" t="s">
        <v>197</v>
      </c>
      <c r="F2836">
        <v>1005</v>
      </c>
      <c r="G2836" t="s">
        <v>31</v>
      </c>
      <c r="H2836">
        <v>2028</v>
      </c>
      <c r="I2836" t="s">
        <v>6</v>
      </c>
      <c r="J2836">
        <v>3423</v>
      </c>
      <c r="K2836" t="s">
        <v>1402</v>
      </c>
      <c r="L2836">
        <v>4292</v>
      </c>
      <c r="M2836" t="s">
        <v>1405</v>
      </c>
      <c r="N2836" t="s">
        <v>809</v>
      </c>
      <c r="O2836">
        <v>1</v>
      </c>
      <c r="P2836">
        <v>460</v>
      </c>
      <c r="Q2836" t="s">
        <v>810</v>
      </c>
      <c r="R2836" t="s">
        <v>201</v>
      </c>
      <c r="S2836">
        <v>1</v>
      </c>
      <c r="T2836">
        <v>1</v>
      </c>
      <c r="U2836">
        <v>82140</v>
      </c>
      <c r="V2836">
        <v>82140</v>
      </c>
    </row>
    <row r="2837" spans="1:22">
      <c r="A2837" t="s">
        <v>196</v>
      </c>
      <c r="B2837">
        <v>57</v>
      </c>
      <c r="C2837" t="s">
        <v>31</v>
      </c>
      <c r="D2837">
        <v>100</v>
      </c>
      <c r="E2837" t="s">
        <v>197</v>
      </c>
      <c r="F2837">
        <v>1005</v>
      </c>
      <c r="G2837" t="s">
        <v>31</v>
      </c>
      <c r="H2837">
        <v>2028</v>
      </c>
      <c r="I2837" t="s">
        <v>6</v>
      </c>
      <c r="J2837">
        <v>3423</v>
      </c>
      <c r="K2837" t="s">
        <v>1402</v>
      </c>
      <c r="L2837">
        <v>4292</v>
      </c>
      <c r="M2837" t="s">
        <v>1405</v>
      </c>
      <c r="N2837" t="s">
        <v>199</v>
      </c>
      <c r="O2837">
        <v>0</v>
      </c>
      <c r="P2837">
        <v>15</v>
      </c>
      <c r="Q2837" t="s">
        <v>264</v>
      </c>
      <c r="R2837" t="s">
        <v>201</v>
      </c>
      <c r="S2837">
        <v>0</v>
      </c>
      <c r="T2837">
        <v>0</v>
      </c>
      <c r="U2837">
        <v>33495</v>
      </c>
      <c r="V2837">
        <v>33495</v>
      </c>
    </row>
    <row r="2838" spans="1:22">
      <c r="A2838" t="s">
        <v>196</v>
      </c>
      <c r="B2838">
        <v>57</v>
      </c>
      <c r="C2838" t="s">
        <v>31</v>
      </c>
      <c r="D2838">
        <v>100</v>
      </c>
      <c r="E2838" t="s">
        <v>197</v>
      </c>
      <c r="F2838">
        <v>1005</v>
      </c>
      <c r="G2838" t="s">
        <v>31</v>
      </c>
      <c r="H2838">
        <v>2028</v>
      </c>
      <c r="I2838" t="s">
        <v>6</v>
      </c>
      <c r="J2838">
        <v>3423</v>
      </c>
      <c r="K2838" t="s">
        <v>1402</v>
      </c>
      <c r="L2838">
        <v>4293</v>
      </c>
      <c r="M2838" t="s">
        <v>1406</v>
      </c>
      <c r="N2838" t="s">
        <v>1304</v>
      </c>
      <c r="O2838">
        <v>73</v>
      </c>
      <c r="P2838">
        <v>9173</v>
      </c>
      <c r="Q2838" t="s">
        <v>1323</v>
      </c>
      <c r="R2838" t="s">
        <v>201</v>
      </c>
      <c r="S2838">
        <v>1</v>
      </c>
      <c r="T2838">
        <v>1</v>
      </c>
      <c r="U2838">
        <v>170700</v>
      </c>
      <c r="V2838">
        <v>170700</v>
      </c>
    </row>
    <row r="2839" spans="1:22">
      <c r="A2839" t="s">
        <v>196</v>
      </c>
      <c r="B2839">
        <v>57</v>
      </c>
      <c r="C2839" t="s">
        <v>31</v>
      </c>
      <c r="D2839">
        <v>100</v>
      </c>
      <c r="E2839" t="s">
        <v>197</v>
      </c>
      <c r="F2839">
        <v>1005</v>
      </c>
      <c r="G2839" t="s">
        <v>31</v>
      </c>
      <c r="H2839">
        <v>2028</v>
      </c>
      <c r="I2839" t="s">
        <v>6</v>
      </c>
      <c r="J2839">
        <v>3423</v>
      </c>
      <c r="K2839" t="s">
        <v>1402</v>
      </c>
      <c r="L2839">
        <v>4293</v>
      </c>
      <c r="M2839" t="s">
        <v>1406</v>
      </c>
      <c r="N2839" t="s">
        <v>1304</v>
      </c>
      <c r="O2839">
        <v>73</v>
      </c>
      <c r="P2839">
        <v>9173</v>
      </c>
      <c r="Q2839" t="s">
        <v>1323</v>
      </c>
      <c r="R2839" t="s">
        <v>201</v>
      </c>
      <c r="S2839">
        <v>1</v>
      </c>
      <c r="T2839">
        <v>1</v>
      </c>
      <c r="U2839">
        <v>155934</v>
      </c>
      <c r="V2839">
        <v>155934</v>
      </c>
    </row>
    <row r="2840" spans="1:22">
      <c r="A2840" t="s">
        <v>196</v>
      </c>
      <c r="B2840">
        <v>57</v>
      </c>
      <c r="C2840" t="s">
        <v>31</v>
      </c>
      <c r="D2840">
        <v>100</v>
      </c>
      <c r="E2840" t="s">
        <v>197</v>
      </c>
      <c r="F2840">
        <v>1005</v>
      </c>
      <c r="G2840" t="s">
        <v>31</v>
      </c>
      <c r="H2840">
        <v>2028</v>
      </c>
      <c r="I2840" t="s">
        <v>6</v>
      </c>
      <c r="J2840">
        <v>3423</v>
      </c>
      <c r="K2840" t="s">
        <v>1402</v>
      </c>
      <c r="L2840">
        <v>4293</v>
      </c>
      <c r="M2840" t="s">
        <v>1406</v>
      </c>
      <c r="N2840" t="s">
        <v>1302</v>
      </c>
      <c r="O2840">
        <v>71</v>
      </c>
      <c r="P2840">
        <v>9171</v>
      </c>
      <c r="Q2840" t="s">
        <v>1303</v>
      </c>
      <c r="R2840" t="s">
        <v>201</v>
      </c>
      <c r="S2840">
        <v>1</v>
      </c>
      <c r="T2840">
        <v>1</v>
      </c>
      <c r="U2840">
        <v>156564</v>
      </c>
      <c r="V2840">
        <v>156564</v>
      </c>
    </row>
    <row r="2841" spans="1:22">
      <c r="A2841" t="s">
        <v>196</v>
      </c>
      <c r="B2841">
        <v>57</v>
      </c>
      <c r="C2841" t="s">
        <v>31</v>
      </c>
      <c r="D2841">
        <v>100</v>
      </c>
      <c r="E2841" t="s">
        <v>197</v>
      </c>
      <c r="F2841">
        <v>1005</v>
      </c>
      <c r="G2841" t="s">
        <v>31</v>
      </c>
      <c r="H2841">
        <v>2028</v>
      </c>
      <c r="I2841" t="s">
        <v>6</v>
      </c>
      <c r="J2841">
        <v>3423</v>
      </c>
      <c r="K2841" t="s">
        <v>1402</v>
      </c>
      <c r="L2841">
        <v>4293</v>
      </c>
      <c r="M2841" t="s">
        <v>1406</v>
      </c>
      <c r="N2841" t="s">
        <v>1302</v>
      </c>
      <c r="O2841">
        <v>71</v>
      </c>
      <c r="P2841">
        <v>9171</v>
      </c>
      <c r="Q2841" t="s">
        <v>1303</v>
      </c>
      <c r="R2841" t="s">
        <v>201</v>
      </c>
      <c r="S2841">
        <v>1</v>
      </c>
      <c r="T2841">
        <v>1</v>
      </c>
      <c r="U2841">
        <v>152010</v>
      </c>
      <c r="V2841">
        <v>152010</v>
      </c>
    </row>
    <row r="2842" spans="1:22">
      <c r="A2842" t="s">
        <v>196</v>
      </c>
      <c r="B2842">
        <v>57</v>
      </c>
      <c r="C2842" t="s">
        <v>31</v>
      </c>
      <c r="D2842">
        <v>100</v>
      </c>
      <c r="E2842" t="s">
        <v>197</v>
      </c>
      <c r="F2842">
        <v>1005</v>
      </c>
      <c r="G2842" t="s">
        <v>31</v>
      </c>
      <c r="H2842">
        <v>2028</v>
      </c>
      <c r="I2842" t="s">
        <v>6</v>
      </c>
      <c r="J2842">
        <v>3423</v>
      </c>
      <c r="K2842" t="s">
        <v>1402</v>
      </c>
      <c r="L2842">
        <v>4293</v>
      </c>
      <c r="M2842" t="s">
        <v>1406</v>
      </c>
      <c r="N2842" t="s">
        <v>1302</v>
      </c>
      <c r="O2842">
        <v>71</v>
      </c>
      <c r="P2842">
        <v>9171</v>
      </c>
      <c r="Q2842" t="s">
        <v>1303</v>
      </c>
      <c r="R2842" t="s">
        <v>201</v>
      </c>
      <c r="S2842">
        <v>1</v>
      </c>
      <c r="T2842">
        <v>1</v>
      </c>
      <c r="U2842">
        <v>147252</v>
      </c>
      <c r="V2842">
        <v>147252</v>
      </c>
    </row>
    <row r="2843" spans="1:22">
      <c r="A2843" t="s">
        <v>196</v>
      </c>
      <c r="B2843">
        <v>57</v>
      </c>
      <c r="C2843" t="s">
        <v>31</v>
      </c>
      <c r="D2843">
        <v>100</v>
      </c>
      <c r="E2843" t="s">
        <v>197</v>
      </c>
      <c r="F2843">
        <v>1005</v>
      </c>
      <c r="G2843" t="s">
        <v>31</v>
      </c>
      <c r="H2843">
        <v>2028</v>
      </c>
      <c r="I2843" t="s">
        <v>6</v>
      </c>
      <c r="J2843">
        <v>3423</v>
      </c>
      <c r="K2843" t="s">
        <v>1402</v>
      </c>
      <c r="L2843">
        <v>4293</v>
      </c>
      <c r="M2843" t="s">
        <v>1406</v>
      </c>
      <c r="N2843" t="s">
        <v>1302</v>
      </c>
      <c r="O2843">
        <v>71</v>
      </c>
      <c r="P2843">
        <v>9171</v>
      </c>
      <c r="Q2843" t="s">
        <v>1303</v>
      </c>
      <c r="R2843" t="s">
        <v>201</v>
      </c>
      <c r="S2843">
        <v>2</v>
      </c>
      <c r="T2843">
        <v>1</v>
      </c>
      <c r="U2843">
        <v>142668</v>
      </c>
      <c r="V2843">
        <v>285336</v>
      </c>
    </row>
    <row r="2844" spans="1:22">
      <c r="A2844" t="s">
        <v>196</v>
      </c>
      <c r="B2844">
        <v>57</v>
      </c>
      <c r="C2844" t="s">
        <v>31</v>
      </c>
      <c r="D2844">
        <v>100</v>
      </c>
      <c r="E2844" t="s">
        <v>197</v>
      </c>
      <c r="F2844">
        <v>1005</v>
      </c>
      <c r="G2844" t="s">
        <v>31</v>
      </c>
      <c r="H2844">
        <v>2028</v>
      </c>
      <c r="I2844" t="s">
        <v>6</v>
      </c>
      <c r="J2844">
        <v>3423</v>
      </c>
      <c r="K2844" t="s">
        <v>1402</v>
      </c>
      <c r="L2844">
        <v>4293</v>
      </c>
      <c r="M2844" t="s">
        <v>1406</v>
      </c>
      <c r="N2844" t="s">
        <v>1302</v>
      </c>
      <c r="O2844">
        <v>71</v>
      </c>
      <c r="P2844">
        <v>9171</v>
      </c>
      <c r="Q2844" t="s">
        <v>1303</v>
      </c>
      <c r="R2844" t="s">
        <v>201</v>
      </c>
      <c r="S2844">
        <v>2</v>
      </c>
      <c r="T2844">
        <v>1</v>
      </c>
      <c r="U2844">
        <v>138318</v>
      </c>
      <c r="V2844">
        <v>276636</v>
      </c>
    </row>
    <row r="2845" spans="1:22">
      <c r="A2845" t="s">
        <v>196</v>
      </c>
      <c r="B2845">
        <v>57</v>
      </c>
      <c r="C2845" t="s">
        <v>31</v>
      </c>
      <c r="D2845">
        <v>100</v>
      </c>
      <c r="E2845" t="s">
        <v>197</v>
      </c>
      <c r="F2845">
        <v>1005</v>
      </c>
      <c r="G2845" t="s">
        <v>31</v>
      </c>
      <c r="H2845">
        <v>2028</v>
      </c>
      <c r="I2845" t="s">
        <v>6</v>
      </c>
      <c r="J2845">
        <v>3423</v>
      </c>
      <c r="K2845" t="s">
        <v>1402</v>
      </c>
      <c r="L2845">
        <v>4293</v>
      </c>
      <c r="M2845" t="s">
        <v>1406</v>
      </c>
      <c r="N2845" t="s">
        <v>1324</v>
      </c>
      <c r="O2845">
        <v>91</v>
      </c>
      <c r="P2845">
        <v>9165</v>
      </c>
      <c r="Q2845" t="s">
        <v>1325</v>
      </c>
      <c r="R2845" t="s">
        <v>201</v>
      </c>
      <c r="S2845">
        <v>1</v>
      </c>
      <c r="T2845">
        <v>1</v>
      </c>
      <c r="U2845">
        <v>144792</v>
      </c>
      <c r="V2845">
        <v>144792</v>
      </c>
    </row>
    <row r="2846" spans="1:22">
      <c r="A2846" t="s">
        <v>196</v>
      </c>
      <c r="B2846">
        <v>57</v>
      </c>
      <c r="C2846" t="s">
        <v>31</v>
      </c>
      <c r="D2846">
        <v>100</v>
      </c>
      <c r="E2846" t="s">
        <v>197</v>
      </c>
      <c r="F2846">
        <v>1005</v>
      </c>
      <c r="G2846" t="s">
        <v>31</v>
      </c>
      <c r="H2846">
        <v>2028</v>
      </c>
      <c r="I2846" t="s">
        <v>6</v>
      </c>
      <c r="J2846">
        <v>3423</v>
      </c>
      <c r="K2846" t="s">
        <v>1402</v>
      </c>
      <c r="L2846">
        <v>4293</v>
      </c>
      <c r="M2846" t="s">
        <v>1406</v>
      </c>
      <c r="N2846" t="s">
        <v>1324</v>
      </c>
      <c r="O2846">
        <v>91</v>
      </c>
      <c r="P2846">
        <v>9165</v>
      </c>
      <c r="Q2846" t="s">
        <v>1325</v>
      </c>
      <c r="R2846" t="s">
        <v>201</v>
      </c>
      <c r="S2846">
        <v>2</v>
      </c>
      <c r="T2846">
        <v>1</v>
      </c>
      <c r="U2846">
        <v>140454</v>
      </c>
      <c r="V2846">
        <v>280908</v>
      </c>
    </row>
    <row r="2847" spans="1:22">
      <c r="A2847" t="s">
        <v>196</v>
      </c>
      <c r="B2847">
        <v>57</v>
      </c>
      <c r="C2847" t="s">
        <v>31</v>
      </c>
      <c r="D2847">
        <v>100</v>
      </c>
      <c r="E2847" t="s">
        <v>197</v>
      </c>
      <c r="F2847">
        <v>1005</v>
      </c>
      <c r="G2847" t="s">
        <v>31</v>
      </c>
      <c r="H2847">
        <v>2028</v>
      </c>
      <c r="I2847" t="s">
        <v>6</v>
      </c>
      <c r="J2847">
        <v>3423</v>
      </c>
      <c r="K2847" t="s">
        <v>1402</v>
      </c>
      <c r="L2847">
        <v>4293</v>
      </c>
      <c r="M2847" t="s">
        <v>1406</v>
      </c>
      <c r="N2847" t="s">
        <v>1324</v>
      </c>
      <c r="O2847">
        <v>91</v>
      </c>
      <c r="P2847">
        <v>9165</v>
      </c>
      <c r="Q2847" t="s">
        <v>1325</v>
      </c>
      <c r="R2847" t="s">
        <v>201</v>
      </c>
      <c r="S2847">
        <v>1</v>
      </c>
      <c r="T2847">
        <v>1</v>
      </c>
      <c r="U2847">
        <v>135816</v>
      </c>
      <c r="V2847">
        <v>135816</v>
      </c>
    </row>
    <row r="2848" spans="1:22">
      <c r="A2848" t="s">
        <v>196</v>
      </c>
      <c r="B2848">
        <v>57</v>
      </c>
      <c r="C2848" t="s">
        <v>31</v>
      </c>
      <c r="D2848">
        <v>100</v>
      </c>
      <c r="E2848" t="s">
        <v>197</v>
      </c>
      <c r="F2848">
        <v>1005</v>
      </c>
      <c r="G2848" t="s">
        <v>31</v>
      </c>
      <c r="H2848">
        <v>2028</v>
      </c>
      <c r="I2848" t="s">
        <v>6</v>
      </c>
      <c r="J2848">
        <v>3423</v>
      </c>
      <c r="K2848" t="s">
        <v>1402</v>
      </c>
      <c r="L2848">
        <v>4293</v>
      </c>
      <c r="M2848" t="s">
        <v>1406</v>
      </c>
      <c r="N2848" t="s">
        <v>1309</v>
      </c>
      <c r="O2848">
        <v>91</v>
      </c>
      <c r="P2848">
        <v>9161</v>
      </c>
      <c r="Q2848" t="s">
        <v>1310</v>
      </c>
      <c r="R2848" t="s">
        <v>201</v>
      </c>
      <c r="S2848">
        <v>4</v>
      </c>
      <c r="T2848">
        <v>1</v>
      </c>
      <c r="U2848">
        <v>127146</v>
      </c>
      <c r="V2848">
        <v>508584</v>
      </c>
    </row>
    <row r="2849" spans="1:22">
      <c r="A2849" t="s">
        <v>196</v>
      </c>
      <c r="B2849">
        <v>57</v>
      </c>
      <c r="C2849" t="s">
        <v>31</v>
      </c>
      <c r="D2849">
        <v>100</v>
      </c>
      <c r="E2849" t="s">
        <v>197</v>
      </c>
      <c r="F2849">
        <v>1005</v>
      </c>
      <c r="G2849" t="s">
        <v>31</v>
      </c>
      <c r="H2849">
        <v>2028</v>
      </c>
      <c r="I2849" t="s">
        <v>6</v>
      </c>
      <c r="J2849">
        <v>3423</v>
      </c>
      <c r="K2849" t="s">
        <v>1402</v>
      </c>
      <c r="L2849">
        <v>4293</v>
      </c>
      <c r="M2849" t="s">
        <v>1406</v>
      </c>
      <c r="N2849" t="s">
        <v>1309</v>
      </c>
      <c r="O2849">
        <v>91</v>
      </c>
      <c r="P2849">
        <v>9161</v>
      </c>
      <c r="Q2849" t="s">
        <v>1310</v>
      </c>
      <c r="R2849" t="s">
        <v>201</v>
      </c>
      <c r="S2849">
        <v>6</v>
      </c>
      <c r="T2849">
        <v>1</v>
      </c>
      <c r="U2849">
        <v>123576</v>
      </c>
      <c r="V2849">
        <v>741456</v>
      </c>
    </row>
    <row r="2850" spans="1:22">
      <c r="A2850" t="s">
        <v>196</v>
      </c>
      <c r="B2850">
        <v>57</v>
      </c>
      <c r="C2850" t="s">
        <v>31</v>
      </c>
      <c r="D2850">
        <v>100</v>
      </c>
      <c r="E2850" t="s">
        <v>197</v>
      </c>
      <c r="F2850">
        <v>1005</v>
      </c>
      <c r="G2850" t="s">
        <v>31</v>
      </c>
      <c r="H2850">
        <v>2028</v>
      </c>
      <c r="I2850" t="s">
        <v>6</v>
      </c>
      <c r="J2850">
        <v>3423</v>
      </c>
      <c r="K2850" t="s">
        <v>1402</v>
      </c>
      <c r="L2850">
        <v>4293</v>
      </c>
      <c r="M2850" t="s">
        <v>1406</v>
      </c>
      <c r="N2850" t="s">
        <v>1309</v>
      </c>
      <c r="O2850">
        <v>91</v>
      </c>
      <c r="P2850">
        <v>9161</v>
      </c>
      <c r="Q2850" t="s">
        <v>1310</v>
      </c>
      <c r="R2850" t="s">
        <v>201</v>
      </c>
      <c r="S2850">
        <v>4</v>
      </c>
      <c r="T2850">
        <v>1</v>
      </c>
      <c r="U2850">
        <v>119154</v>
      </c>
      <c r="V2850">
        <v>476616</v>
      </c>
    </row>
    <row r="2851" spans="1:22">
      <c r="A2851" t="s">
        <v>196</v>
      </c>
      <c r="B2851">
        <v>57</v>
      </c>
      <c r="C2851" t="s">
        <v>31</v>
      </c>
      <c r="D2851">
        <v>100</v>
      </c>
      <c r="E2851" t="s">
        <v>197</v>
      </c>
      <c r="F2851">
        <v>1005</v>
      </c>
      <c r="G2851" t="s">
        <v>31</v>
      </c>
      <c r="H2851">
        <v>2028</v>
      </c>
      <c r="I2851" t="s">
        <v>6</v>
      </c>
      <c r="J2851">
        <v>3423</v>
      </c>
      <c r="K2851" t="s">
        <v>1402</v>
      </c>
      <c r="L2851">
        <v>4293</v>
      </c>
      <c r="M2851" t="s">
        <v>1406</v>
      </c>
      <c r="N2851" t="s">
        <v>1309</v>
      </c>
      <c r="O2851">
        <v>91</v>
      </c>
      <c r="P2851">
        <v>9161</v>
      </c>
      <c r="Q2851" t="s">
        <v>1310</v>
      </c>
      <c r="R2851" t="s">
        <v>201</v>
      </c>
      <c r="S2851">
        <v>3</v>
      </c>
      <c r="T2851">
        <v>1</v>
      </c>
      <c r="U2851">
        <v>115158</v>
      </c>
      <c r="V2851">
        <v>345474</v>
      </c>
    </row>
    <row r="2852" spans="1:22">
      <c r="A2852" t="s">
        <v>196</v>
      </c>
      <c r="B2852">
        <v>57</v>
      </c>
      <c r="C2852" t="s">
        <v>31</v>
      </c>
      <c r="D2852">
        <v>100</v>
      </c>
      <c r="E2852" t="s">
        <v>197</v>
      </c>
      <c r="F2852">
        <v>1005</v>
      </c>
      <c r="G2852" t="s">
        <v>31</v>
      </c>
      <c r="H2852">
        <v>2028</v>
      </c>
      <c r="I2852" t="s">
        <v>6</v>
      </c>
      <c r="J2852">
        <v>3423</v>
      </c>
      <c r="K2852" t="s">
        <v>1402</v>
      </c>
      <c r="L2852">
        <v>4293</v>
      </c>
      <c r="M2852" t="s">
        <v>1406</v>
      </c>
      <c r="N2852" t="s">
        <v>1309</v>
      </c>
      <c r="O2852">
        <v>91</v>
      </c>
      <c r="P2852">
        <v>9161</v>
      </c>
      <c r="Q2852" t="s">
        <v>1310</v>
      </c>
      <c r="R2852" t="s">
        <v>201</v>
      </c>
      <c r="S2852">
        <v>8</v>
      </c>
      <c r="T2852">
        <v>1</v>
      </c>
      <c r="U2852">
        <v>111252</v>
      </c>
      <c r="V2852">
        <v>890016</v>
      </c>
    </row>
    <row r="2853" spans="1:22">
      <c r="A2853" t="s">
        <v>196</v>
      </c>
      <c r="B2853">
        <v>57</v>
      </c>
      <c r="C2853" t="s">
        <v>31</v>
      </c>
      <c r="D2853">
        <v>100</v>
      </c>
      <c r="E2853" t="s">
        <v>197</v>
      </c>
      <c r="F2853">
        <v>1005</v>
      </c>
      <c r="G2853" t="s">
        <v>31</v>
      </c>
      <c r="H2853">
        <v>2028</v>
      </c>
      <c r="I2853" t="s">
        <v>6</v>
      </c>
      <c r="J2853">
        <v>3423</v>
      </c>
      <c r="K2853" t="s">
        <v>1402</v>
      </c>
      <c r="L2853">
        <v>4293</v>
      </c>
      <c r="M2853" t="s">
        <v>1406</v>
      </c>
      <c r="N2853" t="s">
        <v>839</v>
      </c>
      <c r="O2853">
        <v>0</v>
      </c>
      <c r="P2853">
        <v>4096</v>
      </c>
      <c r="Q2853" t="s">
        <v>1407</v>
      </c>
      <c r="R2853" t="s">
        <v>713</v>
      </c>
      <c r="S2853">
        <v>1</v>
      </c>
      <c r="T2853">
        <v>1</v>
      </c>
      <c r="U2853">
        <v>16.600000000000001</v>
      </c>
      <c r="V2853">
        <v>34528</v>
      </c>
    </row>
    <row r="2854" spans="1:22">
      <c r="A2854" t="s">
        <v>196</v>
      </c>
      <c r="B2854">
        <v>57</v>
      </c>
      <c r="C2854" t="s">
        <v>31</v>
      </c>
      <c r="D2854">
        <v>100</v>
      </c>
      <c r="E2854" t="s">
        <v>197</v>
      </c>
      <c r="F2854">
        <v>1005</v>
      </c>
      <c r="G2854" t="s">
        <v>31</v>
      </c>
      <c r="H2854">
        <v>2028</v>
      </c>
      <c r="I2854" t="s">
        <v>6</v>
      </c>
      <c r="J2854">
        <v>3423</v>
      </c>
      <c r="K2854" t="s">
        <v>1402</v>
      </c>
      <c r="L2854">
        <v>4293</v>
      </c>
      <c r="M2854" t="s">
        <v>1406</v>
      </c>
      <c r="N2854" t="s">
        <v>839</v>
      </c>
      <c r="O2854">
        <v>0</v>
      </c>
      <c r="P2854">
        <v>4096</v>
      </c>
      <c r="Q2854" t="s">
        <v>1407</v>
      </c>
      <c r="R2854" t="s">
        <v>713</v>
      </c>
      <c r="S2854">
        <v>2704</v>
      </c>
      <c r="T2854">
        <v>0</v>
      </c>
      <c r="U2854">
        <v>15.4</v>
      </c>
      <c r="V2854">
        <v>41642</v>
      </c>
    </row>
    <row r="2855" spans="1:22">
      <c r="A2855" t="s">
        <v>196</v>
      </c>
      <c r="B2855">
        <v>57</v>
      </c>
      <c r="C2855" t="s">
        <v>31</v>
      </c>
      <c r="D2855">
        <v>100</v>
      </c>
      <c r="E2855" t="s">
        <v>197</v>
      </c>
      <c r="F2855">
        <v>1005</v>
      </c>
      <c r="G2855" t="s">
        <v>31</v>
      </c>
      <c r="H2855">
        <v>2028</v>
      </c>
      <c r="I2855" t="s">
        <v>6</v>
      </c>
      <c r="J2855">
        <v>3423</v>
      </c>
      <c r="K2855" t="s">
        <v>1402</v>
      </c>
      <c r="L2855">
        <v>4293</v>
      </c>
      <c r="M2855" t="s">
        <v>1406</v>
      </c>
      <c r="N2855" t="s">
        <v>809</v>
      </c>
      <c r="O2855">
        <v>1</v>
      </c>
      <c r="P2855">
        <v>460</v>
      </c>
      <c r="Q2855" t="s">
        <v>810</v>
      </c>
      <c r="R2855" t="s">
        <v>201</v>
      </c>
      <c r="S2855">
        <v>1</v>
      </c>
      <c r="T2855">
        <v>1</v>
      </c>
      <c r="U2855">
        <v>82140</v>
      </c>
      <c r="V2855">
        <v>82140</v>
      </c>
    </row>
    <row r="2856" spans="1:22">
      <c r="A2856" t="s">
        <v>196</v>
      </c>
      <c r="B2856">
        <v>57</v>
      </c>
      <c r="C2856" t="s">
        <v>31</v>
      </c>
      <c r="D2856">
        <v>100</v>
      </c>
      <c r="E2856" t="s">
        <v>197</v>
      </c>
      <c r="F2856">
        <v>1005</v>
      </c>
      <c r="G2856" t="s">
        <v>31</v>
      </c>
      <c r="H2856">
        <v>2028</v>
      </c>
      <c r="I2856" t="s">
        <v>6</v>
      </c>
      <c r="J2856">
        <v>3423</v>
      </c>
      <c r="K2856" t="s">
        <v>1402</v>
      </c>
      <c r="L2856">
        <v>4293</v>
      </c>
      <c r="M2856" t="s">
        <v>1406</v>
      </c>
      <c r="N2856" t="s">
        <v>199</v>
      </c>
      <c r="O2856">
        <v>0</v>
      </c>
      <c r="P2856">
        <v>15</v>
      </c>
      <c r="Q2856" t="s">
        <v>264</v>
      </c>
      <c r="R2856" t="s">
        <v>201</v>
      </c>
      <c r="S2856">
        <v>0</v>
      </c>
      <c r="T2856">
        <v>0</v>
      </c>
      <c r="U2856">
        <v>12471</v>
      </c>
      <c r="V2856">
        <v>12471</v>
      </c>
    </row>
    <row r="2857" spans="1:22">
      <c r="A2857" t="s">
        <v>196</v>
      </c>
      <c r="B2857">
        <v>57</v>
      </c>
      <c r="C2857" t="s">
        <v>31</v>
      </c>
      <c r="D2857">
        <v>100</v>
      </c>
      <c r="E2857" t="s">
        <v>197</v>
      </c>
      <c r="F2857">
        <v>1005</v>
      </c>
      <c r="G2857" t="s">
        <v>31</v>
      </c>
      <c r="H2857">
        <v>2028</v>
      </c>
      <c r="I2857" t="s">
        <v>6</v>
      </c>
      <c r="J2857">
        <v>3423</v>
      </c>
      <c r="K2857" t="s">
        <v>1402</v>
      </c>
      <c r="L2857">
        <v>4294</v>
      </c>
      <c r="M2857" t="s">
        <v>1408</v>
      </c>
      <c r="N2857" t="s">
        <v>1304</v>
      </c>
      <c r="O2857">
        <v>73</v>
      </c>
      <c r="P2857">
        <v>9173</v>
      </c>
      <c r="Q2857" t="s">
        <v>1323</v>
      </c>
      <c r="R2857" t="s">
        <v>201</v>
      </c>
      <c r="S2857">
        <v>1</v>
      </c>
      <c r="T2857">
        <v>1</v>
      </c>
      <c r="U2857">
        <v>170700</v>
      </c>
      <c r="V2857">
        <v>170700</v>
      </c>
    </row>
    <row r="2858" spans="1:22">
      <c r="A2858" t="s">
        <v>196</v>
      </c>
      <c r="B2858">
        <v>57</v>
      </c>
      <c r="C2858" t="s">
        <v>31</v>
      </c>
      <c r="D2858">
        <v>100</v>
      </c>
      <c r="E2858" t="s">
        <v>197</v>
      </c>
      <c r="F2858">
        <v>1005</v>
      </c>
      <c r="G2858" t="s">
        <v>31</v>
      </c>
      <c r="H2858">
        <v>2028</v>
      </c>
      <c r="I2858" t="s">
        <v>6</v>
      </c>
      <c r="J2858">
        <v>3423</v>
      </c>
      <c r="K2858" t="s">
        <v>1402</v>
      </c>
      <c r="L2858">
        <v>4294</v>
      </c>
      <c r="M2858" t="s">
        <v>1408</v>
      </c>
      <c r="N2858" t="s">
        <v>1302</v>
      </c>
      <c r="O2858">
        <v>71</v>
      </c>
      <c r="P2858">
        <v>9171</v>
      </c>
      <c r="Q2858" t="s">
        <v>1303</v>
      </c>
      <c r="R2858" t="s">
        <v>201</v>
      </c>
      <c r="S2858">
        <v>3</v>
      </c>
      <c r="T2858">
        <v>1</v>
      </c>
      <c r="U2858">
        <v>147252</v>
      </c>
      <c r="V2858">
        <v>441756</v>
      </c>
    </row>
    <row r="2859" spans="1:22">
      <c r="A2859" t="s">
        <v>196</v>
      </c>
      <c r="B2859">
        <v>57</v>
      </c>
      <c r="C2859" t="s">
        <v>31</v>
      </c>
      <c r="D2859">
        <v>100</v>
      </c>
      <c r="E2859" t="s">
        <v>197</v>
      </c>
      <c r="F2859">
        <v>1005</v>
      </c>
      <c r="G2859" t="s">
        <v>31</v>
      </c>
      <c r="H2859">
        <v>2028</v>
      </c>
      <c r="I2859" t="s">
        <v>6</v>
      </c>
      <c r="J2859">
        <v>3423</v>
      </c>
      <c r="K2859" t="s">
        <v>1402</v>
      </c>
      <c r="L2859">
        <v>4294</v>
      </c>
      <c r="M2859" t="s">
        <v>1408</v>
      </c>
      <c r="N2859" t="s">
        <v>1302</v>
      </c>
      <c r="O2859">
        <v>71</v>
      </c>
      <c r="P2859">
        <v>9171</v>
      </c>
      <c r="Q2859" t="s">
        <v>1303</v>
      </c>
      <c r="R2859" t="s">
        <v>201</v>
      </c>
      <c r="S2859">
        <v>1</v>
      </c>
      <c r="T2859">
        <v>1</v>
      </c>
      <c r="U2859">
        <v>142668</v>
      </c>
      <c r="V2859">
        <v>142668</v>
      </c>
    </row>
    <row r="2860" spans="1:22">
      <c r="A2860" t="s">
        <v>196</v>
      </c>
      <c r="B2860">
        <v>57</v>
      </c>
      <c r="C2860" t="s">
        <v>31</v>
      </c>
      <c r="D2860">
        <v>100</v>
      </c>
      <c r="E2860" t="s">
        <v>197</v>
      </c>
      <c r="F2860">
        <v>1005</v>
      </c>
      <c r="G2860" t="s">
        <v>31</v>
      </c>
      <c r="H2860">
        <v>2028</v>
      </c>
      <c r="I2860" t="s">
        <v>6</v>
      </c>
      <c r="J2860">
        <v>3423</v>
      </c>
      <c r="K2860" t="s">
        <v>1402</v>
      </c>
      <c r="L2860">
        <v>4294</v>
      </c>
      <c r="M2860" t="s">
        <v>1408</v>
      </c>
      <c r="N2860" t="s">
        <v>1309</v>
      </c>
      <c r="O2860">
        <v>91</v>
      </c>
      <c r="P2860">
        <v>9161</v>
      </c>
      <c r="Q2860" t="s">
        <v>1310</v>
      </c>
      <c r="R2860" t="s">
        <v>201</v>
      </c>
      <c r="S2860">
        <v>4</v>
      </c>
      <c r="T2860">
        <v>1</v>
      </c>
      <c r="U2860">
        <v>127146</v>
      </c>
      <c r="V2860">
        <v>508584</v>
      </c>
    </row>
    <row r="2861" spans="1:22">
      <c r="A2861" t="s">
        <v>196</v>
      </c>
      <c r="B2861">
        <v>57</v>
      </c>
      <c r="C2861" t="s">
        <v>31</v>
      </c>
      <c r="D2861">
        <v>100</v>
      </c>
      <c r="E2861" t="s">
        <v>197</v>
      </c>
      <c r="F2861">
        <v>1005</v>
      </c>
      <c r="G2861" t="s">
        <v>31</v>
      </c>
      <c r="H2861">
        <v>2028</v>
      </c>
      <c r="I2861" t="s">
        <v>6</v>
      </c>
      <c r="J2861">
        <v>3423</v>
      </c>
      <c r="K2861" t="s">
        <v>1402</v>
      </c>
      <c r="L2861">
        <v>4294</v>
      </c>
      <c r="M2861" t="s">
        <v>1408</v>
      </c>
      <c r="N2861" t="s">
        <v>1309</v>
      </c>
      <c r="O2861">
        <v>91</v>
      </c>
      <c r="P2861">
        <v>9161</v>
      </c>
      <c r="Q2861" t="s">
        <v>1310</v>
      </c>
      <c r="R2861" t="s">
        <v>201</v>
      </c>
      <c r="S2861">
        <v>1</v>
      </c>
      <c r="T2861">
        <v>1</v>
      </c>
      <c r="U2861">
        <v>123576</v>
      </c>
      <c r="V2861">
        <v>123576</v>
      </c>
    </row>
    <row r="2862" spans="1:22">
      <c r="A2862" t="s">
        <v>196</v>
      </c>
      <c r="B2862">
        <v>57</v>
      </c>
      <c r="C2862" t="s">
        <v>31</v>
      </c>
      <c r="D2862">
        <v>100</v>
      </c>
      <c r="E2862" t="s">
        <v>197</v>
      </c>
      <c r="F2862">
        <v>1005</v>
      </c>
      <c r="G2862" t="s">
        <v>31</v>
      </c>
      <c r="H2862">
        <v>2028</v>
      </c>
      <c r="I2862" t="s">
        <v>6</v>
      </c>
      <c r="J2862">
        <v>3423</v>
      </c>
      <c r="K2862" t="s">
        <v>1402</v>
      </c>
      <c r="L2862">
        <v>4294</v>
      </c>
      <c r="M2862" t="s">
        <v>1408</v>
      </c>
      <c r="N2862" t="s">
        <v>1309</v>
      </c>
      <c r="O2862">
        <v>91</v>
      </c>
      <c r="P2862">
        <v>9161</v>
      </c>
      <c r="Q2862" t="s">
        <v>1310</v>
      </c>
      <c r="R2862" t="s">
        <v>201</v>
      </c>
      <c r="S2862">
        <v>1</v>
      </c>
      <c r="T2862">
        <v>1</v>
      </c>
      <c r="U2862">
        <v>119154</v>
      </c>
      <c r="V2862">
        <v>119154</v>
      </c>
    </row>
    <row r="2863" spans="1:22">
      <c r="A2863" t="s">
        <v>196</v>
      </c>
      <c r="B2863">
        <v>57</v>
      </c>
      <c r="C2863" t="s">
        <v>31</v>
      </c>
      <c r="D2863">
        <v>100</v>
      </c>
      <c r="E2863" t="s">
        <v>197</v>
      </c>
      <c r="F2863">
        <v>1005</v>
      </c>
      <c r="G2863" t="s">
        <v>31</v>
      </c>
      <c r="H2863">
        <v>2028</v>
      </c>
      <c r="I2863" t="s">
        <v>6</v>
      </c>
      <c r="J2863">
        <v>3423</v>
      </c>
      <c r="K2863" t="s">
        <v>1402</v>
      </c>
      <c r="L2863">
        <v>4294</v>
      </c>
      <c r="M2863" t="s">
        <v>1408</v>
      </c>
      <c r="N2863" t="s">
        <v>1309</v>
      </c>
      <c r="O2863">
        <v>91</v>
      </c>
      <c r="P2863">
        <v>9161</v>
      </c>
      <c r="Q2863" t="s">
        <v>1310</v>
      </c>
      <c r="R2863" t="s">
        <v>201</v>
      </c>
      <c r="S2863">
        <v>5</v>
      </c>
      <c r="T2863">
        <v>1</v>
      </c>
      <c r="U2863">
        <v>111252</v>
      </c>
      <c r="V2863">
        <v>556260</v>
      </c>
    </row>
    <row r="2864" spans="1:22">
      <c r="A2864" t="s">
        <v>196</v>
      </c>
      <c r="B2864">
        <v>57</v>
      </c>
      <c r="C2864" t="s">
        <v>31</v>
      </c>
      <c r="D2864">
        <v>100</v>
      </c>
      <c r="E2864" t="s">
        <v>197</v>
      </c>
      <c r="F2864">
        <v>1005</v>
      </c>
      <c r="G2864" t="s">
        <v>31</v>
      </c>
      <c r="H2864">
        <v>2028</v>
      </c>
      <c r="I2864" t="s">
        <v>6</v>
      </c>
      <c r="J2864">
        <v>3423</v>
      </c>
      <c r="K2864" t="s">
        <v>1402</v>
      </c>
      <c r="L2864">
        <v>4294</v>
      </c>
      <c r="M2864" t="s">
        <v>1408</v>
      </c>
      <c r="N2864" t="s">
        <v>341</v>
      </c>
      <c r="O2864">
        <v>4</v>
      </c>
      <c r="P2864">
        <v>110</v>
      </c>
      <c r="Q2864" t="s">
        <v>359</v>
      </c>
      <c r="R2864" t="s">
        <v>201</v>
      </c>
      <c r="S2864">
        <v>1</v>
      </c>
      <c r="T2864">
        <v>1</v>
      </c>
      <c r="U2864">
        <v>119100</v>
      </c>
      <c r="V2864">
        <v>119100</v>
      </c>
    </row>
    <row r="2865" spans="1:22">
      <c r="A2865" t="s">
        <v>196</v>
      </c>
      <c r="B2865">
        <v>57</v>
      </c>
      <c r="C2865" t="s">
        <v>31</v>
      </c>
      <c r="D2865">
        <v>100</v>
      </c>
      <c r="E2865" t="s">
        <v>197</v>
      </c>
      <c r="F2865">
        <v>1005</v>
      </c>
      <c r="G2865" t="s">
        <v>31</v>
      </c>
      <c r="H2865">
        <v>2028</v>
      </c>
      <c r="I2865" t="s">
        <v>6</v>
      </c>
      <c r="J2865">
        <v>3423</v>
      </c>
      <c r="K2865" t="s">
        <v>1402</v>
      </c>
      <c r="L2865">
        <v>4294</v>
      </c>
      <c r="M2865" t="s">
        <v>1408</v>
      </c>
      <c r="N2865" t="s">
        <v>341</v>
      </c>
      <c r="O2865">
        <v>4</v>
      </c>
      <c r="P2865">
        <v>110</v>
      </c>
      <c r="Q2865" t="s">
        <v>359</v>
      </c>
      <c r="R2865" t="s">
        <v>201</v>
      </c>
      <c r="S2865">
        <v>1</v>
      </c>
      <c r="T2865">
        <v>1</v>
      </c>
      <c r="U2865">
        <v>103608</v>
      </c>
      <c r="V2865">
        <v>103608</v>
      </c>
    </row>
    <row r="2866" spans="1:22">
      <c r="A2866" t="s">
        <v>196</v>
      </c>
      <c r="B2866">
        <v>57</v>
      </c>
      <c r="C2866" t="s">
        <v>31</v>
      </c>
      <c r="D2866">
        <v>100</v>
      </c>
      <c r="E2866" t="s">
        <v>197</v>
      </c>
      <c r="F2866">
        <v>1005</v>
      </c>
      <c r="G2866" t="s">
        <v>31</v>
      </c>
      <c r="H2866">
        <v>2028</v>
      </c>
      <c r="I2866" t="s">
        <v>6</v>
      </c>
      <c r="J2866">
        <v>3423</v>
      </c>
      <c r="K2866" t="s">
        <v>1402</v>
      </c>
      <c r="L2866">
        <v>4294</v>
      </c>
      <c r="M2866" t="s">
        <v>1408</v>
      </c>
      <c r="N2866" t="s">
        <v>199</v>
      </c>
      <c r="O2866">
        <v>0</v>
      </c>
      <c r="P2866">
        <v>15</v>
      </c>
      <c r="Q2866" t="s">
        <v>264</v>
      </c>
      <c r="R2866" t="s">
        <v>201</v>
      </c>
      <c r="S2866">
        <v>0</v>
      </c>
      <c r="T2866">
        <v>0</v>
      </c>
      <c r="U2866">
        <v>8004</v>
      </c>
      <c r="V2866">
        <v>8004</v>
      </c>
    </row>
    <row r="2867" spans="1:22">
      <c r="A2867" t="s">
        <v>196</v>
      </c>
      <c r="B2867">
        <v>57</v>
      </c>
      <c r="C2867" t="s">
        <v>31</v>
      </c>
      <c r="D2867">
        <v>100</v>
      </c>
      <c r="E2867" t="s">
        <v>197</v>
      </c>
      <c r="F2867">
        <v>1005</v>
      </c>
      <c r="G2867" t="s">
        <v>31</v>
      </c>
      <c r="H2867">
        <v>2037</v>
      </c>
      <c r="I2867" t="s">
        <v>37</v>
      </c>
      <c r="J2867">
        <v>3063</v>
      </c>
      <c r="K2867" t="s">
        <v>1409</v>
      </c>
      <c r="L2867">
        <v>4132</v>
      </c>
      <c r="M2867" t="s">
        <v>1410</v>
      </c>
      <c r="N2867" t="s">
        <v>255</v>
      </c>
      <c r="O2867">
        <v>1</v>
      </c>
      <c r="P2867">
        <v>9228</v>
      </c>
      <c r="Q2867" t="s">
        <v>1411</v>
      </c>
      <c r="R2867" t="s">
        <v>201</v>
      </c>
      <c r="S2867">
        <v>1</v>
      </c>
      <c r="T2867">
        <v>1</v>
      </c>
      <c r="U2867">
        <v>119100</v>
      </c>
      <c r="V2867">
        <v>119100</v>
      </c>
    </row>
    <row r="2868" spans="1:22">
      <c r="A2868" t="s">
        <v>196</v>
      </c>
      <c r="B2868">
        <v>57</v>
      </c>
      <c r="C2868" t="s">
        <v>31</v>
      </c>
      <c r="D2868">
        <v>100</v>
      </c>
      <c r="E2868" t="s">
        <v>197</v>
      </c>
      <c r="F2868">
        <v>1005</v>
      </c>
      <c r="G2868" t="s">
        <v>31</v>
      </c>
      <c r="H2868">
        <v>2037</v>
      </c>
      <c r="I2868" t="s">
        <v>37</v>
      </c>
      <c r="J2868">
        <v>3063</v>
      </c>
      <c r="K2868" t="s">
        <v>1409</v>
      </c>
      <c r="L2868">
        <v>4132</v>
      </c>
      <c r="M2868" t="s">
        <v>1410</v>
      </c>
      <c r="N2868" t="s">
        <v>341</v>
      </c>
      <c r="O2868">
        <v>1</v>
      </c>
      <c r="P2868">
        <v>9225</v>
      </c>
      <c r="Q2868" t="s">
        <v>1412</v>
      </c>
      <c r="R2868" t="s">
        <v>201</v>
      </c>
      <c r="S2868">
        <v>2</v>
      </c>
      <c r="T2868">
        <v>1</v>
      </c>
      <c r="U2868">
        <v>119100</v>
      </c>
      <c r="V2868">
        <v>238200</v>
      </c>
    </row>
    <row r="2869" spans="1:22">
      <c r="A2869" t="s">
        <v>196</v>
      </c>
      <c r="B2869">
        <v>57</v>
      </c>
      <c r="C2869" t="s">
        <v>31</v>
      </c>
      <c r="D2869">
        <v>100</v>
      </c>
      <c r="E2869" t="s">
        <v>197</v>
      </c>
      <c r="F2869">
        <v>1005</v>
      </c>
      <c r="G2869" t="s">
        <v>31</v>
      </c>
      <c r="H2869">
        <v>2037</v>
      </c>
      <c r="I2869" t="s">
        <v>37</v>
      </c>
      <c r="J2869">
        <v>3063</v>
      </c>
      <c r="K2869" t="s">
        <v>1409</v>
      </c>
      <c r="L2869">
        <v>4132</v>
      </c>
      <c r="M2869" t="s">
        <v>1410</v>
      </c>
      <c r="N2869" t="s">
        <v>341</v>
      </c>
      <c r="O2869">
        <v>1</v>
      </c>
      <c r="P2869">
        <v>9225</v>
      </c>
      <c r="Q2869" t="s">
        <v>1412</v>
      </c>
      <c r="R2869" t="s">
        <v>201</v>
      </c>
      <c r="S2869">
        <v>1</v>
      </c>
      <c r="T2869">
        <v>1</v>
      </c>
      <c r="U2869">
        <v>81324</v>
      </c>
      <c r="V2869">
        <v>81324</v>
      </c>
    </row>
    <row r="2870" spans="1:22">
      <c r="A2870" t="s">
        <v>196</v>
      </c>
      <c r="B2870">
        <v>57</v>
      </c>
      <c r="C2870" t="s">
        <v>31</v>
      </c>
      <c r="D2870">
        <v>100</v>
      </c>
      <c r="E2870" t="s">
        <v>197</v>
      </c>
      <c r="F2870">
        <v>1005</v>
      </c>
      <c r="G2870" t="s">
        <v>31</v>
      </c>
      <c r="H2870">
        <v>2037</v>
      </c>
      <c r="I2870" t="s">
        <v>37</v>
      </c>
      <c r="J2870">
        <v>3063</v>
      </c>
      <c r="K2870" t="s">
        <v>1409</v>
      </c>
      <c r="L2870">
        <v>4132</v>
      </c>
      <c r="M2870" t="s">
        <v>1410</v>
      </c>
      <c r="N2870" t="s">
        <v>341</v>
      </c>
      <c r="O2870">
        <v>1</v>
      </c>
      <c r="P2870">
        <v>9225</v>
      </c>
      <c r="Q2870" t="s">
        <v>1412</v>
      </c>
      <c r="R2870" t="s">
        <v>201</v>
      </c>
      <c r="S2870">
        <v>1</v>
      </c>
      <c r="T2870">
        <v>1</v>
      </c>
      <c r="U2870">
        <v>68616</v>
      </c>
      <c r="V2870">
        <v>68616</v>
      </c>
    </row>
    <row r="2871" spans="1:22">
      <c r="A2871" t="s">
        <v>196</v>
      </c>
      <c r="B2871">
        <v>57</v>
      </c>
      <c r="C2871" t="s">
        <v>31</v>
      </c>
      <c r="D2871">
        <v>100</v>
      </c>
      <c r="E2871" t="s">
        <v>197</v>
      </c>
      <c r="F2871">
        <v>1005</v>
      </c>
      <c r="G2871" t="s">
        <v>31</v>
      </c>
      <c r="H2871">
        <v>2037</v>
      </c>
      <c r="I2871" t="s">
        <v>37</v>
      </c>
      <c r="J2871">
        <v>3063</v>
      </c>
      <c r="K2871" t="s">
        <v>1409</v>
      </c>
      <c r="L2871">
        <v>4132</v>
      </c>
      <c r="M2871" t="s">
        <v>1410</v>
      </c>
      <c r="N2871" t="s">
        <v>360</v>
      </c>
      <c r="O2871">
        <v>1</v>
      </c>
      <c r="P2871">
        <v>9224</v>
      </c>
      <c r="Q2871" t="s">
        <v>1413</v>
      </c>
      <c r="R2871" t="s">
        <v>201</v>
      </c>
      <c r="S2871">
        <v>4</v>
      </c>
      <c r="T2871">
        <v>1</v>
      </c>
      <c r="U2871">
        <v>98928</v>
      </c>
      <c r="V2871">
        <v>395712</v>
      </c>
    </row>
    <row r="2872" spans="1:22">
      <c r="A2872" t="s">
        <v>196</v>
      </c>
      <c r="B2872">
        <v>57</v>
      </c>
      <c r="C2872" t="s">
        <v>31</v>
      </c>
      <c r="D2872">
        <v>100</v>
      </c>
      <c r="E2872" t="s">
        <v>197</v>
      </c>
      <c r="F2872">
        <v>1005</v>
      </c>
      <c r="G2872" t="s">
        <v>31</v>
      </c>
      <c r="H2872">
        <v>2037</v>
      </c>
      <c r="I2872" t="s">
        <v>37</v>
      </c>
      <c r="J2872">
        <v>3063</v>
      </c>
      <c r="K2872" t="s">
        <v>1409</v>
      </c>
      <c r="L2872">
        <v>4132</v>
      </c>
      <c r="M2872" t="s">
        <v>1410</v>
      </c>
      <c r="N2872" t="s">
        <v>360</v>
      </c>
      <c r="O2872">
        <v>1</v>
      </c>
      <c r="P2872">
        <v>9224</v>
      </c>
      <c r="Q2872" t="s">
        <v>1413</v>
      </c>
      <c r="R2872" t="s">
        <v>201</v>
      </c>
      <c r="S2872">
        <v>1</v>
      </c>
      <c r="T2872">
        <v>1</v>
      </c>
      <c r="U2872">
        <v>94452</v>
      </c>
      <c r="V2872">
        <v>94452</v>
      </c>
    </row>
    <row r="2873" spans="1:22">
      <c r="A2873" t="s">
        <v>196</v>
      </c>
      <c r="B2873">
        <v>57</v>
      </c>
      <c r="C2873" t="s">
        <v>31</v>
      </c>
      <c r="D2873">
        <v>100</v>
      </c>
      <c r="E2873" t="s">
        <v>197</v>
      </c>
      <c r="F2873">
        <v>1005</v>
      </c>
      <c r="G2873" t="s">
        <v>31</v>
      </c>
      <c r="H2873">
        <v>2037</v>
      </c>
      <c r="I2873" t="s">
        <v>37</v>
      </c>
      <c r="J2873">
        <v>3063</v>
      </c>
      <c r="K2873" t="s">
        <v>1409</v>
      </c>
      <c r="L2873">
        <v>4132</v>
      </c>
      <c r="M2873" t="s">
        <v>1410</v>
      </c>
      <c r="N2873" t="s">
        <v>360</v>
      </c>
      <c r="O2873">
        <v>1</v>
      </c>
      <c r="P2873">
        <v>9224</v>
      </c>
      <c r="Q2873" t="s">
        <v>1413</v>
      </c>
      <c r="R2873" t="s">
        <v>201</v>
      </c>
      <c r="S2873">
        <v>2</v>
      </c>
      <c r="T2873">
        <v>1</v>
      </c>
      <c r="U2873">
        <v>74916</v>
      </c>
      <c r="V2873">
        <v>149832</v>
      </c>
    </row>
    <row r="2874" spans="1:22">
      <c r="A2874" t="s">
        <v>196</v>
      </c>
      <c r="B2874">
        <v>57</v>
      </c>
      <c r="C2874" t="s">
        <v>31</v>
      </c>
      <c r="D2874">
        <v>100</v>
      </c>
      <c r="E2874" t="s">
        <v>197</v>
      </c>
      <c r="F2874">
        <v>1005</v>
      </c>
      <c r="G2874" t="s">
        <v>31</v>
      </c>
      <c r="H2874">
        <v>2037</v>
      </c>
      <c r="I2874" t="s">
        <v>37</v>
      </c>
      <c r="J2874">
        <v>3063</v>
      </c>
      <c r="K2874" t="s">
        <v>1409</v>
      </c>
      <c r="L2874">
        <v>4132</v>
      </c>
      <c r="M2874" t="s">
        <v>1410</v>
      </c>
      <c r="N2874" t="s">
        <v>1294</v>
      </c>
      <c r="O2874">
        <v>9</v>
      </c>
      <c r="P2874">
        <v>9221</v>
      </c>
      <c r="Q2874" t="s">
        <v>1414</v>
      </c>
      <c r="R2874" t="s">
        <v>201</v>
      </c>
      <c r="S2874">
        <v>1</v>
      </c>
      <c r="T2874">
        <v>1</v>
      </c>
      <c r="U2874">
        <v>184584</v>
      </c>
      <c r="V2874">
        <v>184584</v>
      </c>
    </row>
    <row r="2875" spans="1:22">
      <c r="A2875" t="s">
        <v>196</v>
      </c>
      <c r="B2875">
        <v>57</v>
      </c>
      <c r="C2875" t="s">
        <v>31</v>
      </c>
      <c r="D2875">
        <v>100</v>
      </c>
      <c r="E2875" t="s">
        <v>197</v>
      </c>
      <c r="F2875">
        <v>1005</v>
      </c>
      <c r="G2875" t="s">
        <v>31</v>
      </c>
      <c r="H2875">
        <v>2037</v>
      </c>
      <c r="I2875" t="s">
        <v>37</v>
      </c>
      <c r="J2875">
        <v>3063</v>
      </c>
      <c r="K2875" t="s">
        <v>1409</v>
      </c>
      <c r="L2875">
        <v>4132</v>
      </c>
      <c r="M2875" t="s">
        <v>1410</v>
      </c>
      <c r="N2875" t="s">
        <v>341</v>
      </c>
      <c r="O2875">
        <v>3</v>
      </c>
      <c r="P2875">
        <v>9197</v>
      </c>
      <c r="Q2875" t="s">
        <v>1415</v>
      </c>
      <c r="R2875" t="s">
        <v>201</v>
      </c>
      <c r="S2875">
        <v>2</v>
      </c>
      <c r="T2875">
        <v>1</v>
      </c>
      <c r="U2875">
        <v>108576</v>
      </c>
      <c r="V2875">
        <v>217152</v>
      </c>
    </row>
    <row r="2876" spans="1:22">
      <c r="A2876" t="s">
        <v>196</v>
      </c>
      <c r="B2876">
        <v>57</v>
      </c>
      <c r="C2876" t="s">
        <v>31</v>
      </c>
      <c r="D2876">
        <v>100</v>
      </c>
      <c r="E2876" t="s">
        <v>197</v>
      </c>
      <c r="F2876">
        <v>1005</v>
      </c>
      <c r="G2876" t="s">
        <v>31</v>
      </c>
      <c r="H2876">
        <v>2037</v>
      </c>
      <c r="I2876" t="s">
        <v>37</v>
      </c>
      <c r="J2876">
        <v>3063</v>
      </c>
      <c r="K2876" t="s">
        <v>1409</v>
      </c>
      <c r="L2876">
        <v>4132</v>
      </c>
      <c r="M2876" t="s">
        <v>1410</v>
      </c>
      <c r="N2876" t="s">
        <v>341</v>
      </c>
      <c r="O2876">
        <v>3</v>
      </c>
      <c r="P2876">
        <v>9197</v>
      </c>
      <c r="Q2876" t="s">
        <v>1415</v>
      </c>
      <c r="R2876" t="s">
        <v>201</v>
      </c>
      <c r="S2876">
        <v>1</v>
      </c>
      <c r="T2876">
        <v>1</v>
      </c>
      <c r="U2876">
        <v>103608</v>
      </c>
      <c r="V2876">
        <v>103608</v>
      </c>
    </row>
    <row r="2877" spans="1:22">
      <c r="A2877" t="s">
        <v>196</v>
      </c>
      <c r="B2877">
        <v>57</v>
      </c>
      <c r="C2877" t="s">
        <v>31</v>
      </c>
      <c r="D2877">
        <v>100</v>
      </c>
      <c r="E2877" t="s">
        <v>197</v>
      </c>
      <c r="F2877">
        <v>1005</v>
      </c>
      <c r="G2877" t="s">
        <v>31</v>
      </c>
      <c r="H2877">
        <v>2037</v>
      </c>
      <c r="I2877" t="s">
        <v>37</v>
      </c>
      <c r="J2877">
        <v>3063</v>
      </c>
      <c r="K2877" t="s">
        <v>1409</v>
      </c>
      <c r="L2877">
        <v>4132</v>
      </c>
      <c r="M2877" t="s">
        <v>1410</v>
      </c>
      <c r="N2877" t="s">
        <v>341</v>
      </c>
      <c r="O2877">
        <v>3</v>
      </c>
      <c r="P2877">
        <v>9197</v>
      </c>
      <c r="Q2877" t="s">
        <v>1415</v>
      </c>
      <c r="R2877" t="s">
        <v>201</v>
      </c>
      <c r="S2877">
        <v>3</v>
      </c>
      <c r="T2877">
        <v>1</v>
      </c>
      <c r="U2877">
        <v>98928</v>
      </c>
      <c r="V2877">
        <v>296784</v>
      </c>
    </row>
    <row r="2878" spans="1:22">
      <c r="A2878" t="s">
        <v>196</v>
      </c>
      <c r="B2878">
        <v>57</v>
      </c>
      <c r="C2878" t="s">
        <v>31</v>
      </c>
      <c r="D2878">
        <v>100</v>
      </c>
      <c r="E2878" t="s">
        <v>197</v>
      </c>
      <c r="F2878">
        <v>1005</v>
      </c>
      <c r="G2878" t="s">
        <v>31</v>
      </c>
      <c r="H2878">
        <v>2037</v>
      </c>
      <c r="I2878" t="s">
        <v>37</v>
      </c>
      <c r="J2878">
        <v>3063</v>
      </c>
      <c r="K2878" t="s">
        <v>1409</v>
      </c>
      <c r="L2878">
        <v>4132</v>
      </c>
      <c r="M2878" t="s">
        <v>1410</v>
      </c>
      <c r="N2878" t="s">
        <v>341</v>
      </c>
      <c r="O2878">
        <v>3</v>
      </c>
      <c r="P2878">
        <v>9197</v>
      </c>
      <c r="Q2878" t="s">
        <v>1415</v>
      </c>
      <c r="R2878" t="s">
        <v>201</v>
      </c>
      <c r="S2878">
        <v>1</v>
      </c>
      <c r="T2878">
        <v>1</v>
      </c>
      <c r="U2878">
        <v>94452</v>
      </c>
      <c r="V2878">
        <v>94452</v>
      </c>
    </row>
    <row r="2879" spans="1:22">
      <c r="A2879" t="s">
        <v>196</v>
      </c>
      <c r="B2879">
        <v>57</v>
      </c>
      <c r="C2879" t="s">
        <v>31</v>
      </c>
      <c r="D2879">
        <v>100</v>
      </c>
      <c r="E2879" t="s">
        <v>197</v>
      </c>
      <c r="F2879">
        <v>1005</v>
      </c>
      <c r="G2879" t="s">
        <v>31</v>
      </c>
      <c r="H2879">
        <v>2037</v>
      </c>
      <c r="I2879" t="s">
        <v>37</v>
      </c>
      <c r="J2879">
        <v>3063</v>
      </c>
      <c r="K2879" t="s">
        <v>1409</v>
      </c>
      <c r="L2879">
        <v>4132</v>
      </c>
      <c r="M2879" t="s">
        <v>1410</v>
      </c>
      <c r="N2879" t="s">
        <v>341</v>
      </c>
      <c r="O2879">
        <v>3</v>
      </c>
      <c r="P2879">
        <v>9197</v>
      </c>
      <c r="Q2879" t="s">
        <v>1415</v>
      </c>
      <c r="R2879" t="s">
        <v>201</v>
      </c>
      <c r="S2879">
        <v>2</v>
      </c>
      <c r="T2879">
        <v>1</v>
      </c>
      <c r="U2879">
        <v>90144</v>
      </c>
      <c r="V2879">
        <v>180288</v>
      </c>
    </row>
    <row r="2880" spans="1:22">
      <c r="A2880" t="s">
        <v>196</v>
      </c>
      <c r="B2880">
        <v>57</v>
      </c>
      <c r="C2880" t="s">
        <v>31</v>
      </c>
      <c r="D2880">
        <v>100</v>
      </c>
      <c r="E2880" t="s">
        <v>197</v>
      </c>
      <c r="F2880">
        <v>1005</v>
      </c>
      <c r="G2880" t="s">
        <v>31</v>
      </c>
      <c r="H2880">
        <v>2037</v>
      </c>
      <c r="I2880" t="s">
        <v>37</v>
      </c>
      <c r="J2880">
        <v>3063</v>
      </c>
      <c r="K2880" t="s">
        <v>1409</v>
      </c>
      <c r="L2880">
        <v>4132</v>
      </c>
      <c r="M2880" t="s">
        <v>1410</v>
      </c>
      <c r="N2880" t="s">
        <v>341</v>
      </c>
      <c r="O2880">
        <v>3</v>
      </c>
      <c r="P2880">
        <v>9197</v>
      </c>
      <c r="Q2880" t="s">
        <v>1415</v>
      </c>
      <c r="R2880" t="s">
        <v>201</v>
      </c>
      <c r="S2880">
        <v>2</v>
      </c>
      <c r="T2880">
        <v>1</v>
      </c>
      <c r="U2880">
        <v>81324</v>
      </c>
      <c r="V2880">
        <v>162648</v>
      </c>
    </row>
    <row r="2881" spans="1:22">
      <c r="A2881" t="s">
        <v>196</v>
      </c>
      <c r="B2881">
        <v>57</v>
      </c>
      <c r="C2881" t="s">
        <v>31</v>
      </c>
      <c r="D2881">
        <v>100</v>
      </c>
      <c r="E2881" t="s">
        <v>197</v>
      </c>
      <c r="F2881">
        <v>1005</v>
      </c>
      <c r="G2881" t="s">
        <v>31</v>
      </c>
      <c r="H2881">
        <v>2037</v>
      </c>
      <c r="I2881" t="s">
        <v>37</v>
      </c>
      <c r="J2881">
        <v>3063</v>
      </c>
      <c r="K2881" t="s">
        <v>1409</v>
      </c>
      <c r="L2881">
        <v>4132</v>
      </c>
      <c r="M2881" t="s">
        <v>1410</v>
      </c>
      <c r="N2881" t="s">
        <v>341</v>
      </c>
      <c r="O2881">
        <v>3</v>
      </c>
      <c r="P2881">
        <v>9197</v>
      </c>
      <c r="Q2881" t="s">
        <v>1415</v>
      </c>
      <c r="R2881" t="s">
        <v>201</v>
      </c>
      <c r="S2881">
        <v>1</v>
      </c>
      <c r="T2881">
        <v>1</v>
      </c>
      <c r="U2881">
        <v>74172</v>
      </c>
      <c r="V2881">
        <v>74172</v>
      </c>
    </row>
    <row r="2882" spans="1:22">
      <c r="A2882" t="s">
        <v>196</v>
      </c>
      <c r="B2882">
        <v>57</v>
      </c>
      <c r="C2882" t="s">
        <v>31</v>
      </c>
      <c r="D2882">
        <v>100</v>
      </c>
      <c r="E2882" t="s">
        <v>197</v>
      </c>
      <c r="F2882">
        <v>1005</v>
      </c>
      <c r="G2882" t="s">
        <v>31</v>
      </c>
      <c r="H2882">
        <v>2037</v>
      </c>
      <c r="I2882" t="s">
        <v>37</v>
      </c>
      <c r="J2882">
        <v>3063</v>
      </c>
      <c r="K2882" t="s">
        <v>1409</v>
      </c>
      <c r="L2882">
        <v>4132</v>
      </c>
      <c r="M2882" t="s">
        <v>1410</v>
      </c>
      <c r="N2882" t="s">
        <v>341</v>
      </c>
      <c r="O2882">
        <v>3</v>
      </c>
      <c r="P2882">
        <v>9197</v>
      </c>
      <c r="Q2882" t="s">
        <v>1415</v>
      </c>
      <c r="R2882" t="s">
        <v>201</v>
      </c>
      <c r="S2882">
        <v>3</v>
      </c>
      <c r="T2882">
        <v>1</v>
      </c>
      <c r="U2882">
        <v>70752</v>
      </c>
      <c r="V2882">
        <v>212256</v>
      </c>
    </row>
    <row r="2883" spans="1:22">
      <c r="A2883" t="s">
        <v>196</v>
      </c>
      <c r="B2883">
        <v>57</v>
      </c>
      <c r="C2883" t="s">
        <v>31</v>
      </c>
      <c r="D2883">
        <v>100</v>
      </c>
      <c r="E2883" t="s">
        <v>197</v>
      </c>
      <c r="F2883">
        <v>1005</v>
      </c>
      <c r="G2883" t="s">
        <v>31</v>
      </c>
      <c r="H2883">
        <v>2037</v>
      </c>
      <c r="I2883" t="s">
        <v>37</v>
      </c>
      <c r="J2883">
        <v>3063</v>
      </c>
      <c r="K2883" t="s">
        <v>1409</v>
      </c>
      <c r="L2883">
        <v>4132</v>
      </c>
      <c r="M2883" t="s">
        <v>1410</v>
      </c>
      <c r="N2883" t="s">
        <v>341</v>
      </c>
      <c r="O2883">
        <v>3</v>
      </c>
      <c r="P2883">
        <v>9197</v>
      </c>
      <c r="Q2883" t="s">
        <v>1415</v>
      </c>
      <c r="R2883" t="s">
        <v>201</v>
      </c>
      <c r="S2883">
        <v>3</v>
      </c>
      <c r="T2883">
        <v>1</v>
      </c>
      <c r="U2883">
        <v>68616</v>
      </c>
      <c r="V2883">
        <v>205848</v>
      </c>
    </row>
    <row r="2884" spans="1:22">
      <c r="A2884" t="s">
        <v>196</v>
      </c>
      <c r="B2884">
        <v>57</v>
      </c>
      <c r="C2884" t="s">
        <v>31</v>
      </c>
      <c r="D2884">
        <v>100</v>
      </c>
      <c r="E2884" t="s">
        <v>197</v>
      </c>
      <c r="F2884">
        <v>1005</v>
      </c>
      <c r="G2884" t="s">
        <v>31</v>
      </c>
      <c r="H2884">
        <v>2037</v>
      </c>
      <c r="I2884" t="s">
        <v>37</v>
      </c>
      <c r="J2884">
        <v>3063</v>
      </c>
      <c r="K2884" t="s">
        <v>1409</v>
      </c>
      <c r="L2884">
        <v>4132</v>
      </c>
      <c r="M2884" t="s">
        <v>1410</v>
      </c>
      <c r="N2884" t="s">
        <v>294</v>
      </c>
      <c r="O2884">
        <v>10</v>
      </c>
      <c r="P2884">
        <v>9194</v>
      </c>
      <c r="Q2884" t="s">
        <v>1416</v>
      </c>
      <c r="R2884" t="s">
        <v>201</v>
      </c>
      <c r="S2884">
        <v>2</v>
      </c>
      <c r="T2884">
        <v>1</v>
      </c>
      <c r="U2884">
        <v>80916</v>
      </c>
      <c r="V2884">
        <v>161832</v>
      </c>
    </row>
    <row r="2885" spans="1:22">
      <c r="A2885" t="s">
        <v>196</v>
      </c>
      <c r="B2885">
        <v>57</v>
      </c>
      <c r="C2885" t="s">
        <v>31</v>
      </c>
      <c r="D2885">
        <v>100</v>
      </c>
      <c r="E2885" t="s">
        <v>197</v>
      </c>
      <c r="F2885">
        <v>1005</v>
      </c>
      <c r="G2885" t="s">
        <v>31</v>
      </c>
      <c r="H2885">
        <v>2037</v>
      </c>
      <c r="I2885" t="s">
        <v>37</v>
      </c>
      <c r="J2885">
        <v>3063</v>
      </c>
      <c r="K2885" t="s">
        <v>1409</v>
      </c>
      <c r="L2885">
        <v>4132</v>
      </c>
      <c r="M2885" t="s">
        <v>1410</v>
      </c>
      <c r="N2885" t="s">
        <v>294</v>
      </c>
      <c r="O2885">
        <v>10</v>
      </c>
      <c r="P2885">
        <v>9194</v>
      </c>
      <c r="Q2885" t="s">
        <v>1416</v>
      </c>
      <c r="R2885" t="s">
        <v>201</v>
      </c>
      <c r="S2885">
        <v>1</v>
      </c>
      <c r="T2885">
        <v>1</v>
      </c>
      <c r="U2885">
        <v>76476</v>
      </c>
      <c r="V2885">
        <v>76476</v>
      </c>
    </row>
    <row r="2886" spans="1:22">
      <c r="A2886" t="s">
        <v>196</v>
      </c>
      <c r="B2886">
        <v>57</v>
      </c>
      <c r="C2886" t="s">
        <v>31</v>
      </c>
      <c r="D2886">
        <v>100</v>
      </c>
      <c r="E2886" t="s">
        <v>197</v>
      </c>
      <c r="F2886">
        <v>1005</v>
      </c>
      <c r="G2886" t="s">
        <v>31</v>
      </c>
      <c r="H2886">
        <v>2037</v>
      </c>
      <c r="I2886" t="s">
        <v>37</v>
      </c>
      <c r="J2886">
        <v>3063</v>
      </c>
      <c r="K2886" t="s">
        <v>1409</v>
      </c>
      <c r="L2886">
        <v>4132</v>
      </c>
      <c r="M2886" t="s">
        <v>1410</v>
      </c>
      <c r="N2886" t="s">
        <v>294</v>
      </c>
      <c r="O2886">
        <v>10</v>
      </c>
      <c r="P2886">
        <v>9194</v>
      </c>
      <c r="Q2886" t="s">
        <v>1416</v>
      </c>
      <c r="R2886" t="s">
        <v>201</v>
      </c>
      <c r="S2886">
        <v>3</v>
      </c>
      <c r="T2886">
        <v>1</v>
      </c>
      <c r="U2886">
        <v>72996</v>
      </c>
      <c r="V2886">
        <v>218988</v>
      </c>
    </row>
    <row r="2887" spans="1:22">
      <c r="A2887" t="s">
        <v>196</v>
      </c>
      <c r="B2887">
        <v>57</v>
      </c>
      <c r="C2887" t="s">
        <v>31</v>
      </c>
      <c r="D2887">
        <v>100</v>
      </c>
      <c r="E2887" t="s">
        <v>197</v>
      </c>
      <c r="F2887">
        <v>1005</v>
      </c>
      <c r="G2887" t="s">
        <v>31</v>
      </c>
      <c r="H2887">
        <v>2037</v>
      </c>
      <c r="I2887" t="s">
        <v>37</v>
      </c>
      <c r="J2887">
        <v>3063</v>
      </c>
      <c r="K2887" t="s">
        <v>1409</v>
      </c>
      <c r="L2887">
        <v>4132</v>
      </c>
      <c r="M2887" t="s">
        <v>1410</v>
      </c>
      <c r="N2887" t="s">
        <v>294</v>
      </c>
      <c r="O2887">
        <v>10</v>
      </c>
      <c r="P2887">
        <v>9194</v>
      </c>
      <c r="Q2887" t="s">
        <v>1416</v>
      </c>
      <c r="R2887" t="s">
        <v>201</v>
      </c>
      <c r="S2887">
        <v>1</v>
      </c>
      <c r="T2887">
        <v>1</v>
      </c>
      <c r="U2887">
        <v>66516</v>
      </c>
      <c r="V2887">
        <v>66516</v>
      </c>
    </row>
    <row r="2888" spans="1:22">
      <c r="A2888" t="s">
        <v>196</v>
      </c>
      <c r="B2888">
        <v>57</v>
      </c>
      <c r="C2888" t="s">
        <v>31</v>
      </c>
      <c r="D2888">
        <v>100</v>
      </c>
      <c r="E2888" t="s">
        <v>197</v>
      </c>
      <c r="F2888">
        <v>1005</v>
      </c>
      <c r="G2888" t="s">
        <v>31</v>
      </c>
      <c r="H2888">
        <v>2037</v>
      </c>
      <c r="I2888" t="s">
        <v>37</v>
      </c>
      <c r="J2888">
        <v>3063</v>
      </c>
      <c r="K2888" t="s">
        <v>1409</v>
      </c>
      <c r="L2888">
        <v>4132</v>
      </c>
      <c r="M2888" t="s">
        <v>1410</v>
      </c>
      <c r="N2888" t="s">
        <v>294</v>
      </c>
      <c r="O2888">
        <v>10</v>
      </c>
      <c r="P2888">
        <v>9194</v>
      </c>
      <c r="Q2888" t="s">
        <v>1416</v>
      </c>
      <c r="R2888" t="s">
        <v>201</v>
      </c>
      <c r="S2888">
        <v>2</v>
      </c>
      <c r="T2888">
        <v>1</v>
      </c>
      <c r="U2888">
        <v>63504</v>
      </c>
      <c r="V2888">
        <v>127008</v>
      </c>
    </row>
    <row r="2889" spans="1:22">
      <c r="A2889" t="s">
        <v>196</v>
      </c>
      <c r="B2889">
        <v>57</v>
      </c>
      <c r="C2889" t="s">
        <v>31</v>
      </c>
      <c r="D2889">
        <v>100</v>
      </c>
      <c r="E2889" t="s">
        <v>197</v>
      </c>
      <c r="F2889">
        <v>1005</v>
      </c>
      <c r="G2889" t="s">
        <v>31</v>
      </c>
      <c r="H2889">
        <v>2037</v>
      </c>
      <c r="I2889" t="s">
        <v>37</v>
      </c>
      <c r="J2889">
        <v>3063</v>
      </c>
      <c r="K2889" t="s">
        <v>1409</v>
      </c>
      <c r="L2889">
        <v>4132</v>
      </c>
      <c r="M2889" t="s">
        <v>1410</v>
      </c>
      <c r="N2889" t="s">
        <v>1302</v>
      </c>
      <c r="O2889">
        <v>71</v>
      </c>
      <c r="P2889">
        <v>9171</v>
      </c>
      <c r="Q2889" t="s">
        <v>1303</v>
      </c>
      <c r="R2889" t="s">
        <v>201</v>
      </c>
      <c r="S2889">
        <v>4</v>
      </c>
      <c r="T2889">
        <v>1</v>
      </c>
      <c r="U2889">
        <v>147252</v>
      </c>
      <c r="V2889">
        <v>589008</v>
      </c>
    </row>
    <row r="2890" spans="1:22">
      <c r="A2890" t="s">
        <v>196</v>
      </c>
      <c r="B2890">
        <v>57</v>
      </c>
      <c r="C2890" t="s">
        <v>31</v>
      </c>
      <c r="D2890">
        <v>100</v>
      </c>
      <c r="E2890" t="s">
        <v>197</v>
      </c>
      <c r="F2890">
        <v>1005</v>
      </c>
      <c r="G2890" t="s">
        <v>31</v>
      </c>
      <c r="H2890">
        <v>2037</v>
      </c>
      <c r="I2890" t="s">
        <v>37</v>
      </c>
      <c r="J2890">
        <v>3063</v>
      </c>
      <c r="K2890" t="s">
        <v>1409</v>
      </c>
      <c r="L2890">
        <v>4132</v>
      </c>
      <c r="M2890" t="s">
        <v>1410</v>
      </c>
      <c r="N2890" t="s">
        <v>1302</v>
      </c>
      <c r="O2890">
        <v>71</v>
      </c>
      <c r="P2890">
        <v>9171</v>
      </c>
      <c r="Q2890" t="s">
        <v>1303</v>
      </c>
      <c r="R2890" t="s">
        <v>201</v>
      </c>
      <c r="S2890">
        <v>4</v>
      </c>
      <c r="T2890">
        <v>1</v>
      </c>
      <c r="U2890">
        <v>138318</v>
      </c>
      <c r="V2890">
        <v>553272</v>
      </c>
    </row>
    <row r="2891" spans="1:22">
      <c r="A2891" t="s">
        <v>196</v>
      </c>
      <c r="B2891">
        <v>57</v>
      </c>
      <c r="C2891" t="s">
        <v>31</v>
      </c>
      <c r="D2891">
        <v>100</v>
      </c>
      <c r="E2891" t="s">
        <v>197</v>
      </c>
      <c r="F2891">
        <v>1005</v>
      </c>
      <c r="G2891" t="s">
        <v>31</v>
      </c>
      <c r="H2891">
        <v>2037</v>
      </c>
      <c r="I2891" t="s">
        <v>37</v>
      </c>
      <c r="J2891">
        <v>3063</v>
      </c>
      <c r="K2891" t="s">
        <v>1409</v>
      </c>
      <c r="L2891">
        <v>4132</v>
      </c>
      <c r="M2891" t="s">
        <v>1410</v>
      </c>
      <c r="N2891" t="s">
        <v>372</v>
      </c>
      <c r="O2891">
        <v>1</v>
      </c>
      <c r="P2891">
        <v>9003</v>
      </c>
      <c r="Q2891" t="s">
        <v>1417</v>
      </c>
      <c r="R2891" t="s">
        <v>201</v>
      </c>
      <c r="S2891">
        <v>2</v>
      </c>
      <c r="T2891">
        <v>1</v>
      </c>
      <c r="U2891">
        <v>130668</v>
      </c>
      <c r="V2891">
        <v>261336</v>
      </c>
    </row>
    <row r="2892" spans="1:22">
      <c r="A2892" t="s">
        <v>196</v>
      </c>
      <c r="B2892">
        <v>57</v>
      </c>
      <c r="C2892" t="s">
        <v>31</v>
      </c>
      <c r="D2892">
        <v>100</v>
      </c>
      <c r="E2892" t="s">
        <v>197</v>
      </c>
      <c r="F2892">
        <v>1005</v>
      </c>
      <c r="G2892" t="s">
        <v>31</v>
      </c>
      <c r="H2892">
        <v>2037</v>
      </c>
      <c r="I2892" t="s">
        <v>37</v>
      </c>
      <c r="J2892">
        <v>3063</v>
      </c>
      <c r="K2892" t="s">
        <v>1409</v>
      </c>
      <c r="L2892">
        <v>4132</v>
      </c>
      <c r="M2892" t="s">
        <v>1410</v>
      </c>
      <c r="N2892" t="s">
        <v>372</v>
      </c>
      <c r="O2892">
        <v>1</v>
      </c>
      <c r="P2892">
        <v>9003</v>
      </c>
      <c r="Q2892" t="s">
        <v>1417</v>
      </c>
      <c r="R2892" t="s">
        <v>201</v>
      </c>
      <c r="S2892">
        <v>1</v>
      </c>
      <c r="T2892">
        <v>1</v>
      </c>
      <c r="U2892">
        <v>113628</v>
      </c>
      <c r="V2892">
        <v>113628</v>
      </c>
    </row>
    <row r="2893" spans="1:22">
      <c r="A2893" t="s">
        <v>196</v>
      </c>
      <c r="B2893">
        <v>57</v>
      </c>
      <c r="C2893" t="s">
        <v>31</v>
      </c>
      <c r="D2893">
        <v>100</v>
      </c>
      <c r="E2893" t="s">
        <v>197</v>
      </c>
      <c r="F2893">
        <v>1005</v>
      </c>
      <c r="G2893" t="s">
        <v>31</v>
      </c>
      <c r="H2893">
        <v>2037</v>
      </c>
      <c r="I2893" t="s">
        <v>37</v>
      </c>
      <c r="J2893">
        <v>3063</v>
      </c>
      <c r="K2893" t="s">
        <v>1409</v>
      </c>
      <c r="L2893">
        <v>4132</v>
      </c>
      <c r="M2893" t="s">
        <v>1410</v>
      </c>
      <c r="N2893" t="s">
        <v>372</v>
      </c>
      <c r="O2893">
        <v>1</v>
      </c>
      <c r="P2893">
        <v>9003</v>
      </c>
      <c r="Q2893" t="s">
        <v>1417</v>
      </c>
      <c r="R2893" t="s">
        <v>201</v>
      </c>
      <c r="S2893">
        <v>1</v>
      </c>
      <c r="T2893">
        <v>1</v>
      </c>
      <c r="U2893">
        <v>98928</v>
      </c>
      <c r="V2893">
        <v>98928</v>
      </c>
    </row>
    <row r="2894" spans="1:22">
      <c r="A2894" t="s">
        <v>196</v>
      </c>
      <c r="B2894">
        <v>57</v>
      </c>
      <c r="C2894" t="s">
        <v>31</v>
      </c>
      <c r="D2894">
        <v>100</v>
      </c>
      <c r="E2894" t="s">
        <v>197</v>
      </c>
      <c r="F2894">
        <v>1005</v>
      </c>
      <c r="G2894" t="s">
        <v>31</v>
      </c>
      <c r="H2894">
        <v>2037</v>
      </c>
      <c r="I2894" t="s">
        <v>37</v>
      </c>
      <c r="J2894">
        <v>3063</v>
      </c>
      <c r="K2894" t="s">
        <v>1409</v>
      </c>
      <c r="L2894">
        <v>4132</v>
      </c>
      <c r="M2894" t="s">
        <v>1410</v>
      </c>
      <c r="N2894" t="s">
        <v>372</v>
      </c>
      <c r="O2894">
        <v>1</v>
      </c>
      <c r="P2894">
        <v>9003</v>
      </c>
      <c r="Q2894" t="s">
        <v>1417</v>
      </c>
      <c r="R2894" t="s">
        <v>201</v>
      </c>
      <c r="S2894">
        <v>1</v>
      </c>
      <c r="T2894">
        <v>1</v>
      </c>
      <c r="U2894">
        <v>93504</v>
      </c>
      <c r="V2894">
        <v>93504</v>
      </c>
    </row>
    <row r="2895" spans="1:22">
      <c r="A2895" t="s">
        <v>196</v>
      </c>
      <c r="B2895">
        <v>57</v>
      </c>
      <c r="C2895" t="s">
        <v>31</v>
      </c>
      <c r="D2895">
        <v>100</v>
      </c>
      <c r="E2895" t="s">
        <v>197</v>
      </c>
      <c r="F2895">
        <v>1005</v>
      </c>
      <c r="G2895" t="s">
        <v>31</v>
      </c>
      <c r="H2895">
        <v>2037</v>
      </c>
      <c r="I2895" t="s">
        <v>37</v>
      </c>
      <c r="J2895">
        <v>3063</v>
      </c>
      <c r="K2895" t="s">
        <v>1409</v>
      </c>
      <c r="L2895">
        <v>4132</v>
      </c>
      <c r="M2895" t="s">
        <v>1410</v>
      </c>
      <c r="N2895" t="s">
        <v>372</v>
      </c>
      <c r="O2895">
        <v>1</v>
      </c>
      <c r="P2895">
        <v>9003</v>
      </c>
      <c r="Q2895" t="s">
        <v>1417</v>
      </c>
      <c r="R2895" t="s">
        <v>201</v>
      </c>
      <c r="S2895">
        <v>1</v>
      </c>
      <c r="T2895">
        <v>1</v>
      </c>
      <c r="U2895">
        <v>89244</v>
      </c>
      <c r="V2895">
        <v>89244</v>
      </c>
    </row>
    <row r="2896" spans="1:22">
      <c r="A2896" t="s">
        <v>196</v>
      </c>
      <c r="B2896">
        <v>57</v>
      </c>
      <c r="C2896" t="s">
        <v>31</v>
      </c>
      <c r="D2896">
        <v>100</v>
      </c>
      <c r="E2896" t="s">
        <v>197</v>
      </c>
      <c r="F2896">
        <v>1005</v>
      </c>
      <c r="G2896" t="s">
        <v>31</v>
      </c>
      <c r="H2896">
        <v>2037</v>
      </c>
      <c r="I2896" t="s">
        <v>37</v>
      </c>
      <c r="J2896">
        <v>3063</v>
      </c>
      <c r="K2896" t="s">
        <v>1409</v>
      </c>
      <c r="L2896">
        <v>4132</v>
      </c>
      <c r="M2896" t="s">
        <v>1410</v>
      </c>
      <c r="N2896" t="s">
        <v>372</v>
      </c>
      <c r="O2896">
        <v>1</v>
      </c>
      <c r="P2896">
        <v>9003</v>
      </c>
      <c r="Q2896" t="s">
        <v>1417</v>
      </c>
      <c r="R2896" t="s">
        <v>201</v>
      </c>
      <c r="S2896">
        <v>1</v>
      </c>
      <c r="T2896">
        <v>1</v>
      </c>
      <c r="U2896">
        <v>85200</v>
      </c>
      <c r="V2896">
        <v>85200</v>
      </c>
    </row>
    <row r="2897" spans="1:22">
      <c r="A2897" t="s">
        <v>196</v>
      </c>
      <c r="B2897">
        <v>57</v>
      </c>
      <c r="C2897" t="s">
        <v>31</v>
      </c>
      <c r="D2897">
        <v>100</v>
      </c>
      <c r="E2897" t="s">
        <v>197</v>
      </c>
      <c r="F2897">
        <v>1005</v>
      </c>
      <c r="G2897" t="s">
        <v>31</v>
      </c>
      <c r="H2897">
        <v>2037</v>
      </c>
      <c r="I2897" t="s">
        <v>37</v>
      </c>
      <c r="J2897">
        <v>3063</v>
      </c>
      <c r="K2897" t="s">
        <v>1409</v>
      </c>
      <c r="L2897">
        <v>4132</v>
      </c>
      <c r="M2897" t="s">
        <v>1410</v>
      </c>
      <c r="N2897" t="s">
        <v>372</v>
      </c>
      <c r="O2897">
        <v>1</v>
      </c>
      <c r="P2897">
        <v>9003</v>
      </c>
      <c r="Q2897" t="s">
        <v>1417</v>
      </c>
      <c r="R2897" t="s">
        <v>201</v>
      </c>
      <c r="S2897">
        <v>2</v>
      </c>
      <c r="T2897">
        <v>1</v>
      </c>
      <c r="U2897">
        <v>81324</v>
      </c>
      <c r="V2897">
        <v>162648</v>
      </c>
    </row>
    <row r="2898" spans="1:22">
      <c r="A2898" t="s">
        <v>196</v>
      </c>
      <c r="B2898">
        <v>57</v>
      </c>
      <c r="C2898" t="s">
        <v>31</v>
      </c>
      <c r="D2898">
        <v>100</v>
      </c>
      <c r="E2898" t="s">
        <v>197</v>
      </c>
      <c r="F2898">
        <v>1005</v>
      </c>
      <c r="G2898" t="s">
        <v>31</v>
      </c>
      <c r="H2898">
        <v>2037</v>
      </c>
      <c r="I2898" t="s">
        <v>37</v>
      </c>
      <c r="J2898">
        <v>3063</v>
      </c>
      <c r="K2898" t="s">
        <v>1409</v>
      </c>
      <c r="L2898">
        <v>4132</v>
      </c>
      <c r="M2898" t="s">
        <v>1410</v>
      </c>
      <c r="N2898" t="s">
        <v>809</v>
      </c>
      <c r="O2898">
        <v>1</v>
      </c>
      <c r="P2898">
        <v>1815</v>
      </c>
      <c r="Q2898" t="s">
        <v>1418</v>
      </c>
      <c r="R2898" t="s">
        <v>201</v>
      </c>
      <c r="S2898">
        <v>1</v>
      </c>
      <c r="T2898">
        <v>1</v>
      </c>
      <c r="U2898">
        <v>82140</v>
      </c>
      <c r="V2898">
        <v>82140</v>
      </c>
    </row>
    <row r="2899" spans="1:22">
      <c r="A2899" t="s">
        <v>196</v>
      </c>
      <c r="B2899">
        <v>57</v>
      </c>
      <c r="C2899" t="s">
        <v>31</v>
      </c>
      <c r="D2899">
        <v>100</v>
      </c>
      <c r="E2899" t="s">
        <v>197</v>
      </c>
      <c r="F2899">
        <v>1005</v>
      </c>
      <c r="G2899" t="s">
        <v>31</v>
      </c>
      <c r="H2899">
        <v>2037</v>
      </c>
      <c r="I2899" t="s">
        <v>37</v>
      </c>
      <c r="J2899">
        <v>3063</v>
      </c>
      <c r="K2899" t="s">
        <v>1409</v>
      </c>
      <c r="L2899">
        <v>4132</v>
      </c>
      <c r="M2899" t="s">
        <v>1410</v>
      </c>
      <c r="N2899" t="s">
        <v>809</v>
      </c>
      <c r="O2899">
        <v>1</v>
      </c>
      <c r="P2899">
        <v>460</v>
      </c>
      <c r="Q2899" t="s">
        <v>810</v>
      </c>
      <c r="R2899" t="s">
        <v>201</v>
      </c>
      <c r="S2899">
        <v>2</v>
      </c>
      <c r="T2899">
        <v>1</v>
      </c>
      <c r="U2899">
        <v>82140</v>
      </c>
      <c r="V2899">
        <v>164280</v>
      </c>
    </row>
    <row r="2900" spans="1:22">
      <c r="A2900" t="s">
        <v>196</v>
      </c>
      <c r="B2900">
        <v>57</v>
      </c>
      <c r="C2900" t="s">
        <v>31</v>
      </c>
      <c r="D2900">
        <v>100</v>
      </c>
      <c r="E2900" t="s">
        <v>197</v>
      </c>
      <c r="F2900">
        <v>1005</v>
      </c>
      <c r="G2900" t="s">
        <v>31</v>
      </c>
      <c r="H2900">
        <v>2037</v>
      </c>
      <c r="I2900" t="s">
        <v>37</v>
      </c>
      <c r="J2900">
        <v>3063</v>
      </c>
      <c r="K2900" t="s">
        <v>1409</v>
      </c>
      <c r="L2900">
        <v>4132</v>
      </c>
      <c r="M2900" t="s">
        <v>1410</v>
      </c>
      <c r="N2900" t="s">
        <v>809</v>
      </c>
      <c r="O2900">
        <v>1</v>
      </c>
      <c r="P2900">
        <v>460</v>
      </c>
      <c r="Q2900" t="s">
        <v>810</v>
      </c>
      <c r="R2900" t="s">
        <v>201</v>
      </c>
      <c r="S2900">
        <v>2</v>
      </c>
      <c r="T2900">
        <v>1</v>
      </c>
      <c r="U2900">
        <v>47364</v>
      </c>
      <c r="V2900">
        <v>94728</v>
      </c>
    </row>
    <row r="2901" spans="1:22">
      <c r="A2901" t="s">
        <v>196</v>
      </c>
      <c r="B2901">
        <v>57</v>
      </c>
      <c r="C2901" t="s">
        <v>31</v>
      </c>
      <c r="D2901">
        <v>100</v>
      </c>
      <c r="E2901" t="s">
        <v>197</v>
      </c>
      <c r="F2901">
        <v>1005</v>
      </c>
      <c r="G2901" t="s">
        <v>31</v>
      </c>
      <c r="H2901">
        <v>2037</v>
      </c>
      <c r="I2901" t="s">
        <v>37</v>
      </c>
      <c r="J2901">
        <v>3063</v>
      </c>
      <c r="K2901" t="s">
        <v>1409</v>
      </c>
      <c r="L2901">
        <v>4132</v>
      </c>
      <c r="M2901" t="s">
        <v>1410</v>
      </c>
      <c r="N2901" t="s">
        <v>622</v>
      </c>
      <c r="O2901">
        <v>1</v>
      </c>
      <c r="P2901" t="s">
        <v>667</v>
      </c>
      <c r="Q2901" t="s">
        <v>205</v>
      </c>
      <c r="R2901" t="s">
        <v>201</v>
      </c>
      <c r="S2901">
        <v>1</v>
      </c>
      <c r="T2901">
        <v>1</v>
      </c>
      <c r="U2901">
        <v>90144</v>
      </c>
      <c r="V2901">
        <v>90144</v>
      </c>
    </row>
    <row r="2902" spans="1:22">
      <c r="A2902" t="s">
        <v>196</v>
      </c>
      <c r="B2902">
        <v>57</v>
      </c>
      <c r="C2902" t="s">
        <v>31</v>
      </c>
      <c r="D2902">
        <v>100</v>
      </c>
      <c r="E2902" t="s">
        <v>197</v>
      </c>
      <c r="F2902">
        <v>1005</v>
      </c>
      <c r="G2902" t="s">
        <v>31</v>
      </c>
      <c r="H2902">
        <v>2037</v>
      </c>
      <c r="I2902" t="s">
        <v>37</v>
      </c>
      <c r="J2902">
        <v>3063</v>
      </c>
      <c r="K2902" t="s">
        <v>1409</v>
      </c>
      <c r="L2902">
        <v>4132</v>
      </c>
      <c r="M2902" t="s">
        <v>1410</v>
      </c>
      <c r="N2902" t="s">
        <v>622</v>
      </c>
      <c r="O2902">
        <v>1</v>
      </c>
      <c r="P2902" t="s">
        <v>667</v>
      </c>
      <c r="Q2902" t="s">
        <v>205</v>
      </c>
      <c r="R2902" t="s">
        <v>201</v>
      </c>
      <c r="S2902">
        <v>1</v>
      </c>
      <c r="T2902">
        <v>1</v>
      </c>
      <c r="U2902">
        <v>78432</v>
      </c>
      <c r="V2902">
        <v>78432</v>
      </c>
    </row>
    <row r="2903" spans="1:22">
      <c r="A2903" t="s">
        <v>196</v>
      </c>
      <c r="B2903">
        <v>57</v>
      </c>
      <c r="C2903" t="s">
        <v>31</v>
      </c>
      <c r="D2903">
        <v>100</v>
      </c>
      <c r="E2903" t="s">
        <v>197</v>
      </c>
      <c r="F2903">
        <v>1005</v>
      </c>
      <c r="G2903" t="s">
        <v>31</v>
      </c>
      <c r="H2903">
        <v>2037</v>
      </c>
      <c r="I2903" t="s">
        <v>37</v>
      </c>
      <c r="J2903">
        <v>3063</v>
      </c>
      <c r="K2903" t="s">
        <v>1409</v>
      </c>
      <c r="L2903">
        <v>4132</v>
      </c>
      <c r="M2903" t="s">
        <v>1410</v>
      </c>
      <c r="N2903" t="s">
        <v>622</v>
      </c>
      <c r="O2903">
        <v>1</v>
      </c>
      <c r="P2903" t="s">
        <v>667</v>
      </c>
      <c r="Q2903" t="s">
        <v>205</v>
      </c>
      <c r="R2903" t="s">
        <v>201</v>
      </c>
      <c r="S2903">
        <v>1</v>
      </c>
      <c r="T2903">
        <v>1</v>
      </c>
      <c r="U2903">
        <v>58764</v>
      </c>
      <c r="V2903">
        <v>58764</v>
      </c>
    </row>
    <row r="2904" spans="1:22">
      <c r="A2904" t="s">
        <v>196</v>
      </c>
      <c r="B2904">
        <v>57</v>
      </c>
      <c r="C2904" t="s">
        <v>31</v>
      </c>
      <c r="D2904">
        <v>100</v>
      </c>
      <c r="E2904" t="s">
        <v>197</v>
      </c>
      <c r="F2904">
        <v>1005</v>
      </c>
      <c r="G2904" t="s">
        <v>31</v>
      </c>
      <c r="H2904">
        <v>2037</v>
      </c>
      <c r="I2904" t="s">
        <v>37</v>
      </c>
      <c r="J2904">
        <v>3063</v>
      </c>
      <c r="K2904" t="s">
        <v>1409</v>
      </c>
      <c r="L2904">
        <v>4132</v>
      </c>
      <c r="M2904" t="s">
        <v>1410</v>
      </c>
      <c r="N2904" t="s">
        <v>622</v>
      </c>
      <c r="O2904">
        <v>1</v>
      </c>
      <c r="P2904" t="s">
        <v>667</v>
      </c>
      <c r="Q2904" t="s">
        <v>205</v>
      </c>
      <c r="R2904" t="s">
        <v>201</v>
      </c>
      <c r="S2904">
        <v>3</v>
      </c>
      <c r="T2904">
        <v>1</v>
      </c>
      <c r="U2904">
        <v>53532</v>
      </c>
      <c r="V2904">
        <v>160596</v>
      </c>
    </row>
    <row r="2905" spans="1:22">
      <c r="A2905" t="s">
        <v>196</v>
      </c>
      <c r="B2905">
        <v>57</v>
      </c>
      <c r="C2905" t="s">
        <v>31</v>
      </c>
      <c r="D2905">
        <v>100</v>
      </c>
      <c r="E2905" t="s">
        <v>197</v>
      </c>
      <c r="F2905">
        <v>1005</v>
      </c>
      <c r="G2905" t="s">
        <v>31</v>
      </c>
      <c r="H2905">
        <v>2037</v>
      </c>
      <c r="I2905" t="s">
        <v>37</v>
      </c>
      <c r="J2905">
        <v>3063</v>
      </c>
      <c r="K2905" t="s">
        <v>1409</v>
      </c>
      <c r="L2905">
        <v>4132</v>
      </c>
      <c r="M2905" t="s">
        <v>1410</v>
      </c>
      <c r="N2905" t="s">
        <v>622</v>
      </c>
      <c r="O2905">
        <v>1</v>
      </c>
      <c r="P2905" t="s">
        <v>667</v>
      </c>
      <c r="Q2905" t="s">
        <v>205</v>
      </c>
      <c r="R2905" t="s">
        <v>201</v>
      </c>
      <c r="S2905">
        <v>4</v>
      </c>
      <c r="T2905">
        <v>1</v>
      </c>
      <c r="U2905">
        <v>51936</v>
      </c>
      <c r="V2905">
        <v>207744</v>
      </c>
    </row>
    <row r="2906" spans="1:22">
      <c r="A2906" t="s">
        <v>196</v>
      </c>
      <c r="B2906">
        <v>57</v>
      </c>
      <c r="C2906" t="s">
        <v>31</v>
      </c>
      <c r="D2906">
        <v>100</v>
      </c>
      <c r="E2906" t="s">
        <v>197</v>
      </c>
      <c r="F2906">
        <v>1005</v>
      </c>
      <c r="G2906" t="s">
        <v>31</v>
      </c>
      <c r="H2906">
        <v>2037</v>
      </c>
      <c r="I2906" t="s">
        <v>37</v>
      </c>
      <c r="J2906">
        <v>3063</v>
      </c>
      <c r="K2906" t="s">
        <v>1409</v>
      </c>
      <c r="L2906">
        <v>4132</v>
      </c>
      <c r="M2906" t="s">
        <v>1410</v>
      </c>
      <c r="N2906" t="s">
        <v>249</v>
      </c>
      <c r="O2906">
        <v>20</v>
      </c>
      <c r="P2906">
        <v>394</v>
      </c>
      <c r="Q2906" t="s">
        <v>314</v>
      </c>
      <c r="R2906" t="s">
        <v>201</v>
      </c>
      <c r="S2906">
        <v>1</v>
      </c>
      <c r="T2906">
        <v>1</v>
      </c>
      <c r="U2906">
        <v>102444</v>
      </c>
      <c r="V2906">
        <v>102444</v>
      </c>
    </row>
    <row r="2907" spans="1:22">
      <c r="A2907" t="s">
        <v>196</v>
      </c>
      <c r="B2907">
        <v>57</v>
      </c>
      <c r="C2907" t="s">
        <v>31</v>
      </c>
      <c r="D2907">
        <v>100</v>
      </c>
      <c r="E2907" t="s">
        <v>197</v>
      </c>
      <c r="F2907">
        <v>1005</v>
      </c>
      <c r="G2907" t="s">
        <v>31</v>
      </c>
      <c r="H2907">
        <v>2037</v>
      </c>
      <c r="I2907" t="s">
        <v>37</v>
      </c>
      <c r="J2907">
        <v>3063</v>
      </c>
      <c r="K2907" t="s">
        <v>1409</v>
      </c>
      <c r="L2907">
        <v>4132</v>
      </c>
      <c r="M2907" t="s">
        <v>1410</v>
      </c>
      <c r="N2907" t="s">
        <v>249</v>
      </c>
      <c r="O2907">
        <v>20</v>
      </c>
      <c r="P2907">
        <v>394</v>
      </c>
      <c r="Q2907" t="s">
        <v>314</v>
      </c>
      <c r="R2907" t="s">
        <v>201</v>
      </c>
      <c r="S2907">
        <v>1</v>
      </c>
      <c r="T2907">
        <v>1</v>
      </c>
      <c r="U2907">
        <v>97836</v>
      </c>
      <c r="V2907">
        <v>97836</v>
      </c>
    </row>
    <row r="2908" spans="1:22">
      <c r="A2908" t="s">
        <v>196</v>
      </c>
      <c r="B2908">
        <v>57</v>
      </c>
      <c r="C2908" t="s">
        <v>31</v>
      </c>
      <c r="D2908">
        <v>100</v>
      </c>
      <c r="E2908" t="s">
        <v>197</v>
      </c>
      <c r="F2908">
        <v>1005</v>
      </c>
      <c r="G2908" t="s">
        <v>31</v>
      </c>
      <c r="H2908">
        <v>2037</v>
      </c>
      <c r="I2908" t="s">
        <v>37</v>
      </c>
      <c r="J2908">
        <v>3063</v>
      </c>
      <c r="K2908" t="s">
        <v>1409</v>
      </c>
      <c r="L2908">
        <v>4132</v>
      </c>
      <c r="M2908" t="s">
        <v>1410</v>
      </c>
      <c r="N2908" t="s">
        <v>199</v>
      </c>
      <c r="O2908">
        <v>0</v>
      </c>
      <c r="P2908">
        <v>15</v>
      </c>
      <c r="Q2908" t="s">
        <v>264</v>
      </c>
      <c r="R2908" t="s">
        <v>201</v>
      </c>
      <c r="S2908">
        <v>0</v>
      </c>
      <c r="T2908">
        <v>0</v>
      </c>
      <c r="U2908">
        <v>66994</v>
      </c>
      <c r="V2908">
        <v>66994</v>
      </c>
    </row>
    <row r="2909" spans="1:22">
      <c r="A2909" t="s">
        <v>196</v>
      </c>
      <c r="B2909">
        <v>57</v>
      </c>
      <c r="C2909" t="s">
        <v>31</v>
      </c>
      <c r="D2909">
        <v>100</v>
      </c>
      <c r="E2909" t="s">
        <v>197</v>
      </c>
      <c r="F2909">
        <v>1005</v>
      </c>
      <c r="G2909" t="s">
        <v>31</v>
      </c>
      <c r="H2909">
        <v>2037</v>
      </c>
      <c r="I2909" t="s">
        <v>37</v>
      </c>
      <c r="J2909">
        <v>3063</v>
      </c>
      <c r="K2909" t="s">
        <v>1409</v>
      </c>
      <c r="L2909">
        <v>4133</v>
      </c>
      <c r="M2909" t="s">
        <v>1419</v>
      </c>
      <c r="N2909" t="s">
        <v>341</v>
      </c>
      <c r="O2909">
        <v>3</v>
      </c>
      <c r="P2909">
        <v>9197</v>
      </c>
      <c r="Q2909" t="s">
        <v>1415</v>
      </c>
      <c r="R2909" t="s">
        <v>201</v>
      </c>
      <c r="S2909">
        <v>1</v>
      </c>
      <c r="T2909">
        <v>1</v>
      </c>
      <c r="U2909">
        <v>74172</v>
      </c>
      <c r="V2909">
        <v>74172</v>
      </c>
    </row>
    <row r="2910" spans="1:22">
      <c r="A2910" t="s">
        <v>196</v>
      </c>
      <c r="B2910">
        <v>57</v>
      </c>
      <c r="C2910" t="s">
        <v>31</v>
      </c>
      <c r="D2910">
        <v>100</v>
      </c>
      <c r="E2910" t="s">
        <v>197</v>
      </c>
      <c r="F2910">
        <v>1005</v>
      </c>
      <c r="G2910" t="s">
        <v>31</v>
      </c>
      <c r="H2910">
        <v>2037</v>
      </c>
      <c r="I2910" t="s">
        <v>37</v>
      </c>
      <c r="J2910">
        <v>3063</v>
      </c>
      <c r="K2910" t="s">
        <v>1409</v>
      </c>
      <c r="L2910">
        <v>4133</v>
      </c>
      <c r="M2910" t="s">
        <v>1419</v>
      </c>
      <c r="N2910" t="s">
        <v>341</v>
      </c>
      <c r="O2910">
        <v>3</v>
      </c>
      <c r="P2910">
        <v>9197</v>
      </c>
      <c r="Q2910" t="s">
        <v>1415</v>
      </c>
      <c r="R2910" t="s">
        <v>201</v>
      </c>
      <c r="S2910">
        <v>1</v>
      </c>
      <c r="T2910">
        <v>1</v>
      </c>
      <c r="U2910">
        <v>70752</v>
      </c>
      <c r="V2910">
        <v>70752</v>
      </c>
    </row>
    <row r="2911" spans="1:22">
      <c r="A2911" t="s">
        <v>196</v>
      </c>
      <c r="B2911">
        <v>57</v>
      </c>
      <c r="C2911" t="s">
        <v>31</v>
      </c>
      <c r="D2911">
        <v>100</v>
      </c>
      <c r="E2911" t="s">
        <v>197</v>
      </c>
      <c r="F2911">
        <v>1005</v>
      </c>
      <c r="G2911" t="s">
        <v>31</v>
      </c>
      <c r="H2911">
        <v>2037</v>
      </c>
      <c r="I2911" t="s">
        <v>37</v>
      </c>
      <c r="J2911">
        <v>3063</v>
      </c>
      <c r="K2911" t="s">
        <v>1409</v>
      </c>
      <c r="L2911">
        <v>4133</v>
      </c>
      <c r="M2911" t="s">
        <v>1419</v>
      </c>
      <c r="N2911" t="s">
        <v>341</v>
      </c>
      <c r="O2911">
        <v>3</v>
      </c>
      <c r="P2911">
        <v>9197</v>
      </c>
      <c r="Q2911" t="s">
        <v>1415</v>
      </c>
      <c r="R2911" t="s">
        <v>201</v>
      </c>
      <c r="S2911">
        <v>2</v>
      </c>
      <c r="T2911">
        <v>1</v>
      </c>
      <c r="U2911">
        <v>68616</v>
      </c>
      <c r="V2911">
        <v>137232</v>
      </c>
    </row>
    <row r="2912" spans="1:22">
      <c r="A2912" t="s">
        <v>196</v>
      </c>
      <c r="B2912">
        <v>57</v>
      </c>
      <c r="C2912" t="s">
        <v>31</v>
      </c>
      <c r="D2912">
        <v>100</v>
      </c>
      <c r="E2912" t="s">
        <v>197</v>
      </c>
      <c r="F2912">
        <v>1005</v>
      </c>
      <c r="G2912" t="s">
        <v>31</v>
      </c>
      <c r="H2912">
        <v>2037</v>
      </c>
      <c r="I2912" t="s">
        <v>37</v>
      </c>
      <c r="J2912">
        <v>3063</v>
      </c>
      <c r="K2912" t="s">
        <v>1409</v>
      </c>
      <c r="L2912">
        <v>4133</v>
      </c>
      <c r="M2912" t="s">
        <v>1419</v>
      </c>
      <c r="N2912" t="s">
        <v>372</v>
      </c>
      <c r="O2912">
        <v>1</v>
      </c>
      <c r="P2912">
        <v>9196</v>
      </c>
      <c r="Q2912" t="s">
        <v>1420</v>
      </c>
      <c r="R2912" t="s">
        <v>201</v>
      </c>
      <c r="S2912">
        <v>2</v>
      </c>
      <c r="T2912">
        <v>1</v>
      </c>
      <c r="U2912">
        <v>130668</v>
      </c>
      <c r="V2912">
        <v>261336</v>
      </c>
    </row>
    <row r="2913" spans="1:22">
      <c r="A2913" t="s">
        <v>196</v>
      </c>
      <c r="B2913">
        <v>57</v>
      </c>
      <c r="C2913" t="s">
        <v>31</v>
      </c>
      <c r="D2913">
        <v>100</v>
      </c>
      <c r="E2913" t="s">
        <v>197</v>
      </c>
      <c r="F2913">
        <v>1005</v>
      </c>
      <c r="G2913" t="s">
        <v>31</v>
      </c>
      <c r="H2913">
        <v>2037</v>
      </c>
      <c r="I2913" t="s">
        <v>37</v>
      </c>
      <c r="J2913">
        <v>3063</v>
      </c>
      <c r="K2913" t="s">
        <v>1409</v>
      </c>
      <c r="L2913">
        <v>4133</v>
      </c>
      <c r="M2913" t="s">
        <v>1419</v>
      </c>
      <c r="N2913" t="s">
        <v>372</v>
      </c>
      <c r="O2913">
        <v>1</v>
      </c>
      <c r="P2913">
        <v>9196</v>
      </c>
      <c r="Q2913" t="s">
        <v>1420</v>
      </c>
      <c r="R2913" t="s">
        <v>201</v>
      </c>
      <c r="S2913">
        <v>1</v>
      </c>
      <c r="T2913">
        <v>1</v>
      </c>
      <c r="U2913">
        <v>98928</v>
      </c>
      <c r="V2913">
        <v>98928</v>
      </c>
    </row>
    <row r="2914" spans="1:22">
      <c r="A2914" t="s">
        <v>196</v>
      </c>
      <c r="B2914">
        <v>57</v>
      </c>
      <c r="C2914" t="s">
        <v>31</v>
      </c>
      <c r="D2914">
        <v>100</v>
      </c>
      <c r="E2914" t="s">
        <v>197</v>
      </c>
      <c r="F2914">
        <v>1005</v>
      </c>
      <c r="G2914" t="s">
        <v>31</v>
      </c>
      <c r="H2914">
        <v>2037</v>
      </c>
      <c r="I2914" t="s">
        <v>37</v>
      </c>
      <c r="J2914">
        <v>3063</v>
      </c>
      <c r="K2914" t="s">
        <v>1409</v>
      </c>
      <c r="L2914">
        <v>4133</v>
      </c>
      <c r="M2914" t="s">
        <v>1419</v>
      </c>
      <c r="N2914" t="s">
        <v>372</v>
      </c>
      <c r="O2914">
        <v>1</v>
      </c>
      <c r="P2914">
        <v>9196</v>
      </c>
      <c r="Q2914" t="s">
        <v>1420</v>
      </c>
      <c r="R2914" t="s">
        <v>201</v>
      </c>
      <c r="S2914">
        <v>1</v>
      </c>
      <c r="T2914">
        <v>1</v>
      </c>
      <c r="U2914">
        <v>75336</v>
      </c>
      <c r="V2914">
        <v>75336</v>
      </c>
    </row>
    <row r="2915" spans="1:22">
      <c r="A2915" t="s">
        <v>196</v>
      </c>
      <c r="B2915">
        <v>57</v>
      </c>
      <c r="C2915" t="s">
        <v>31</v>
      </c>
      <c r="D2915">
        <v>100</v>
      </c>
      <c r="E2915" t="s">
        <v>197</v>
      </c>
      <c r="F2915">
        <v>1005</v>
      </c>
      <c r="G2915" t="s">
        <v>31</v>
      </c>
      <c r="H2915">
        <v>2037</v>
      </c>
      <c r="I2915" t="s">
        <v>37</v>
      </c>
      <c r="J2915">
        <v>3063</v>
      </c>
      <c r="K2915" t="s">
        <v>1409</v>
      </c>
      <c r="L2915">
        <v>4133</v>
      </c>
      <c r="M2915" t="s">
        <v>1419</v>
      </c>
      <c r="N2915" t="s">
        <v>294</v>
      </c>
      <c r="O2915">
        <v>10</v>
      </c>
      <c r="P2915">
        <v>9194</v>
      </c>
      <c r="Q2915" t="s">
        <v>1416</v>
      </c>
      <c r="R2915" t="s">
        <v>201</v>
      </c>
      <c r="S2915">
        <v>8</v>
      </c>
      <c r="T2915">
        <v>1</v>
      </c>
      <c r="U2915">
        <v>66516</v>
      </c>
      <c r="V2915">
        <v>532128</v>
      </c>
    </row>
    <row r="2916" spans="1:22">
      <c r="A2916" t="s">
        <v>196</v>
      </c>
      <c r="B2916">
        <v>57</v>
      </c>
      <c r="C2916" t="s">
        <v>31</v>
      </c>
      <c r="D2916">
        <v>100</v>
      </c>
      <c r="E2916" t="s">
        <v>197</v>
      </c>
      <c r="F2916">
        <v>1005</v>
      </c>
      <c r="G2916" t="s">
        <v>31</v>
      </c>
      <c r="H2916">
        <v>2037</v>
      </c>
      <c r="I2916" t="s">
        <v>37</v>
      </c>
      <c r="J2916">
        <v>3063</v>
      </c>
      <c r="K2916" t="s">
        <v>1409</v>
      </c>
      <c r="L2916">
        <v>4133</v>
      </c>
      <c r="M2916" t="s">
        <v>1419</v>
      </c>
      <c r="N2916" t="s">
        <v>1302</v>
      </c>
      <c r="O2916">
        <v>71</v>
      </c>
      <c r="P2916">
        <v>9171</v>
      </c>
      <c r="Q2916" t="s">
        <v>1303</v>
      </c>
      <c r="R2916" t="s">
        <v>201</v>
      </c>
      <c r="S2916">
        <v>1</v>
      </c>
      <c r="T2916">
        <v>1</v>
      </c>
      <c r="U2916">
        <v>152010</v>
      </c>
      <c r="V2916">
        <v>152010</v>
      </c>
    </row>
    <row r="2917" spans="1:22">
      <c r="A2917" t="s">
        <v>196</v>
      </c>
      <c r="B2917">
        <v>57</v>
      </c>
      <c r="C2917" t="s">
        <v>31</v>
      </c>
      <c r="D2917">
        <v>100</v>
      </c>
      <c r="E2917" t="s">
        <v>197</v>
      </c>
      <c r="F2917">
        <v>1005</v>
      </c>
      <c r="G2917" t="s">
        <v>31</v>
      </c>
      <c r="H2917">
        <v>2037</v>
      </c>
      <c r="I2917" t="s">
        <v>37</v>
      </c>
      <c r="J2917">
        <v>3063</v>
      </c>
      <c r="K2917" t="s">
        <v>1409</v>
      </c>
      <c r="L2917">
        <v>4133</v>
      </c>
      <c r="M2917" t="s">
        <v>1419</v>
      </c>
      <c r="N2917" t="s">
        <v>372</v>
      </c>
      <c r="O2917">
        <v>1</v>
      </c>
      <c r="P2917">
        <v>9003</v>
      </c>
      <c r="Q2917" t="s">
        <v>1417</v>
      </c>
      <c r="R2917" t="s">
        <v>201</v>
      </c>
      <c r="S2917">
        <v>1</v>
      </c>
      <c r="T2917">
        <v>1</v>
      </c>
      <c r="U2917">
        <v>93504</v>
      </c>
      <c r="V2917">
        <v>93504</v>
      </c>
    </row>
    <row r="2918" spans="1:22">
      <c r="A2918" t="s">
        <v>196</v>
      </c>
      <c r="B2918">
        <v>57</v>
      </c>
      <c r="C2918" t="s">
        <v>31</v>
      </c>
      <c r="D2918">
        <v>100</v>
      </c>
      <c r="E2918" t="s">
        <v>197</v>
      </c>
      <c r="F2918">
        <v>1005</v>
      </c>
      <c r="G2918" t="s">
        <v>31</v>
      </c>
      <c r="H2918">
        <v>2037</v>
      </c>
      <c r="I2918" t="s">
        <v>37</v>
      </c>
      <c r="J2918">
        <v>3063</v>
      </c>
      <c r="K2918" t="s">
        <v>1409</v>
      </c>
      <c r="L2918">
        <v>4133</v>
      </c>
      <c r="M2918" t="s">
        <v>1419</v>
      </c>
      <c r="N2918" t="s">
        <v>372</v>
      </c>
      <c r="O2918">
        <v>1</v>
      </c>
      <c r="P2918">
        <v>9003</v>
      </c>
      <c r="Q2918" t="s">
        <v>1417</v>
      </c>
      <c r="R2918" t="s">
        <v>201</v>
      </c>
      <c r="S2918">
        <v>4</v>
      </c>
      <c r="T2918">
        <v>1</v>
      </c>
      <c r="U2918">
        <v>81324</v>
      </c>
      <c r="V2918">
        <v>325296</v>
      </c>
    </row>
    <row r="2919" spans="1:22">
      <c r="A2919" t="s">
        <v>196</v>
      </c>
      <c r="B2919">
        <v>57</v>
      </c>
      <c r="C2919" t="s">
        <v>31</v>
      </c>
      <c r="D2919">
        <v>100</v>
      </c>
      <c r="E2919" t="s">
        <v>197</v>
      </c>
      <c r="F2919">
        <v>1005</v>
      </c>
      <c r="G2919" t="s">
        <v>31</v>
      </c>
      <c r="H2919">
        <v>2037</v>
      </c>
      <c r="I2919" t="s">
        <v>37</v>
      </c>
      <c r="J2919">
        <v>3063</v>
      </c>
      <c r="K2919" t="s">
        <v>1409</v>
      </c>
      <c r="L2919">
        <v>4133</v>
      </c>
      <c r="M2919" t="s">
        <v>1419</v>
      </c>
      <c r="N2919" t="s">
        <v>372</v>
      </c>
      <c r="O2919">
        <v>1</v>
      </c>
      <c r="P2919">
        <v>9003</v>
      </c>
      <c r="Q2919" t="s">
        <v>1417</v>
      </c>
      <c r="R2919" t="s">
        <v>201</v>
      </c>
      <c r="S2919">
        <v>3</v>
      </c>
      <c r="T2919">
        <v>1</v>
      </c>
      <c r="U2919">
        <v>75336</v>
      </c>
      <c r="V2919">
        <v>226008</v>
      </c>
    </row>
    <row r="2920" spans="1:22">
      <c r="A2920" t="s">
        <v>196</v>
      </c>
      <c r="B2920">
        <v>57</v>
      </c>
      <c r="C2920" t="s">
        <v>31</v>
      </c>
      <c r="D2920">
        <v>100</v>
      </c>
      <c r="E2920" t="s">
        <v>197</v>
      </c>
      <c r="F2920">
        <v>1005</v>
      </c>
      <c r="G2920" t="s">
        <v>31</v>
      </c>
      <c r="H2920">
        <v>2037</v>
      </c>
      <c r="I2920" t="s">
        <v>37</v>
      </c>
      <c r="J2920">
        <v>3063</v>
      </c>
      <c r="K2920" t="s">
        <v>1409</v>
      </c>
      <c r="L2920">
        <v>4133</v>
      </c>
      <c r="M2920" t="s">
        <v>1419</v>
      </c>
      <c r="N2920" t="s">
        <v>809</v>
      </c>
      <c r="O2920">
        <v>1</v>
      </c>
      <c r="P2920">
        <v>460</v>
      </c>
      <c r="Q2920" t="s">
        <v>810</v>
      </c>
      <c r="R2920" t="s">
        <v>201</v>
      </c>
      <c r="S2920">
        <v>8</v>
      </c>
      <c r="T2920">
        <v>1</v>
      </c>
      <c r="U2920">
        <v>82140</v>
      </c>
      <c r="V2920">
        <v>657120</v>
      </c>
    </row>
    <row r="2921" spans="1:22">
      <c r="A2921" t="s">
        <v>196</v>
      </c>
      <c r="B2921">
        <v>57</v>
      </c>
      <c r="C2921" t="s">
        <v>31</v>
      </c>
      <c r="D2921">
        <v>100</v>
      </c>
      <c r="E2921" t="s">
        <v>197</v>
      </c>
      <c r="F2921">
        <v>1005</v>
      </c>
      <c r="G2921" t="s">
        <v>31</v>
      </c>
      <c r="H2921">
        <v>2037</v>
      </c>
      <c r="I2921" t="s">
        <v>37</v>
      </c>
      <c r="J2921">
        <v>3063</v>
      </c>
      <c r="K2921" t="s">
        <v>1409</v>
      </c>
      <c r="L2921">
        <v>4133</v>
      </c>
      <c r="M2921" t="s">
        <v>1419</v>
      </c>
      <c r="N2921" t="s">
        <v>809</v>
      </c>
      <c r="O2921">
        <v>1</v>
      </c>
      <c r="P2921">
        <v>460</v>
      </c>
      <c r="Q2921" t="s">
        <v>810</v>
      </c>
      <c r="R2921" t="s">
        <v>201</v>
      </c>
      <c r="S2921">
        <v>2</v>
      </c>
      <c r="T2921">
        <v>1</v>
      </c>
      <c r="U2921">
        <v>71436</v>
      </c>
      <c r="V2921">
        <v>142872</v>
      </c>
    </row>
    <row r="2922" spans="1:22">
      <c r="A2922" t="s">
        <v>196</v>
      </c>
      <c r="B2922">
        <v>57</v>
      </c>
      <c r="C2922" t="s">
        <v>31</v>
      </c>
      <c r="D2922">
        <v>100</v>
      </c>
      <c r="E2922" t="s">
        <v>197</v>
      </c>
      <c r="F2922">
        <v>1005</v>
      </c>
      <c r="G2922" t="s">
        <v>31</v>
      </c>
      <c r="H2922">
        <v>2037</v>
      </c>
      <c r="I2922" t="s">
        <v>37</v>
      </c>
      <c r="J2922">
        <v>3063</v>
      </c>
      <c r="K2922" t="s">
        <v>1409</v>
      </c>
      <c r="L2922">
        <v>4133</v>
      </c>
      <c r="M2922" t="s">
        <v>1419</v>
      </c>
      <c r="N2922" t="s">
        <v>809</v>
      </c>
      <c r="O2922">
        <v>1</v>
      </c>
      <c r="P2922">
        <v>460</v>
      </c>
      <c r="Q2922" t="s">
        <v>810</v>
      </c>
      <c r="R2922" t="s">
        <v>201</v>
      </c>
      <c r="S2922">
        <v>1</v>
      </c>
      <c r="T2922">
        <v>1</v>
      </c>
      <c r="U2922">
        <v>47364</v>
      </c>
      <c r="V2922">
        <v>47364</v>
      </c>
    </row>
    <row r="2923" spans="1:22">
      <c r="A2923" t="s">
        <v>196</v>
      </c>
      <c r="B2923">
        <v>57</v>
      </c>
      <c r="C2923" t="s">
        <v>31</v>
      </c>
      <c r="D2923">
        <v>100</v>
      </c>
      <c r="E2923" t="s">
        <v>197</v>
      </c>
      <c r="F2923">
        <v>1005</v>
      </c>
      <c r="G2923" t="s">
        <v>31</v>
      </c>
      <c r="H2923">
        <v>2037</v>
      </c>
      <c r="I2923" t="s">
        <v>37</v>
      </c>
      <c r="J2923">
        <v>3063</v>
      </c>
      <c r="K2923" t="s">
        <v>1409</v>
      </c>
      <c r="L2923">
        <v>4133</v>
      </c>
      <c r="M2923" t="s">
        <v>1419</v>
      </c>
      <c r="N2923" t="s">
        <v>809</v>
      </c>
      <c r="O2923">
        <v>1</v>
      </c>
      <c r="P2923">
        <v>415</v>
      </c>
      <c r="Q2923" t="s">
        <v>1243</v>
      </c>
      <c r="R2923" t="s">
        <v>201</v>
      </c>
      <c r="S2923">
        <v>1</v>
      </c>
      <c r="T2923">
        <v>1</v>
      </c>
      <c r="U2923">
        <v>82140</v>
      </c>
      <c r="V2923">
        <v>82140</v>
      </c>
    </row>
    <row r="2924" spans="1:22">
      <c r="A2924" t="s">
        <v>196</v>
      </c>
      <c r="B2924">
        <v>57</v>
      </c>
      <c r="C2924" t="s">
        <v>31</v>
      </c>
      <c r="D2924">
        <v>100</v>
      </c>
      <c r="E2924" t="s">
        <v>197</v>
      </c>
      <c r="F2924">
        <v>1005</v>
      </c>
      <c r="G2924" t="s">
        <v>31</v>
      </c>
      <c r="H2924">
        <v>2037</v>
      </c>
      <c r="I2924" t="s">
        <v>37</v>
      </c>
      <c r="J2924">
        <v>3063</v>
      </c>
      <c r="K2924" t="s">
        <v>1409</v>
      </c>
      <c r="L2924">
        <v>4133</v>
      </c>
      <c r="M2924" t="s">
        <v>1419</v>
      </c>
      <c r="N2924" t="s">
        <v>809</v>
      </c>
      <c r="O2924">
        <v>1</v>
      </c>
      <c r="P2924">
        <v>415</v>
      </c>
      <c r="Q2924" t="s">
        <v>1243</v>
      </c>
      <c r="R2924" t="s">
        <v>201</v>
      </c>
      <c r="S2924">
        <v>3</v>
      </c>
      <c r="T2924">
        <v>1</v>
      </c>
      <c r="U2924">
        <v>48864</v>
      </c>
      <c r="V2924">
        <v>146592</v>
      </c>
    </row>
    <row r="2925" spans="1:22">
      <c r="A2925" t="s">
        <v>196</v>
      </c>
      <c r="B2925">
        <v>57</v>
      </c>
      <c r="C2925" t="s">
        <v>31</v>
      </c>
      <c r="D2925">
        <v>100</v>
      </c>
      <c r="E2925" t="s">
        <v>197</v>
      </c>
      <c r="F2925">
        <v>1005</v>
      </c>
      <c r="G2925" t="s">
        <v>31</v>
      </c>
      <c r="H2925">
        <v>2037</v>
      </c>
      <c r="I2925" t="s">
        <v>37</v>
      </c>
      <c r="J2925">
        <v>3063</v>
      </c>
      <c r="K2925" t="s">
        <v>1409</v>
      </c>
      <c r="L2925">
        <v>4133</v>
      </c>
      <c r="M2925" t="s">
        <v>1419</v>
      </c>
      <c r="N2925" t="s">
        <v>351</v>
      </c>
      <c r="O2925">
        <v>1</v>
      </c>
      <c r="P2925" t="s">
        <v>352</v>
      </c>
      <c r="Q2925" t="s">
        <v>353</v>
      </c>
      <c r="R2925" t="s">
        <v>201</v>
      </c>
      <c r="S2925">
        <v>1</v>
      </c>
      <c r="T2925">
        <v>1</v>
      </c>
      <c r="U2925">
        <v>77640</v>
      </c>
      <c r="V2925">
        <v>77640</v>
      </c>
    </row>
    <row r="2926" spans="1:22">
      <c r="A2926" t="s">
        <v>196</v>
      </c>
      <c r="B2926">
        <v>57</v>
      </c>
      <c r="C2926" t="s">
        <v>31</v>
      </c>
      <c r="D2926">
        <v>100</v>
      </c>
      <c r="E2926" t="s">
        <v>197</v>
      </c>
      <c r="F2926">
        <v>1005</v>
      </c>
      <c r="G2926" t="s">
        <v>31</v>
      </c>
      <c r="H2926">
        <v>2037</v>
      </c>
      <c r="I2926" t="s">
        <v>37</v>
      </c>
      <c r="J2926">
        <v>3063</v>
      </c>
      <c r="K2926" t="s">
        <v>1409</v>
      </c>
      <c r="L2926">
        <v>4133</v>
      </c>
      <c r="M2926" t="s">
        <v>1419</v>
      </c>
      <c r="N2926" t="s">
        <v>622</v>
      </c>
      <c r="O2926">
        <v>1</v>
      </c>
      <c r="P2926" t="s">
        <v>667</v>
      </c>
      <c r="Q2926" t="s">
        <v>205</v>
      </c>
      <c r="R2926" t="s">
        <v>201</v>
      </c>
      <c r="S2926">
        <v>1</v>
      </c>
      <c r="T2926">
        <v>1</v>
      </c>
      <c r="U2926">
        <v>78432</v>
      </c>
      <c r="V2926">
        <v>78432</v>
      </c>
    </row>
    <row r="2927" spans="1:22">
      <c r="A2927" t="s">
        <v>196</v>
      </c>
      <c r="B2927">
        <v>57</v>
      </c>
      <c r="C2927" t="s">
        <v>31</v>
      </c>
      <c r="D2927">
        <v>100</v>
      </c>
      <c r="E2927" t="s">
        <v>197</v>
      </c>
      <c r="F2927">
        <v>1005</v>
      </c>
      <c r="G2927" t="s">
        <v>31</v>
      </c>
      <c r="H2927">
        <v>2037</v>
      </c>
      <c r="I2927" t="s">
        <v>37</v>
      </c>
      <c r="J2927">
        <v>3063</v>
      </c>
      <c r="K2927" t="s">
        <v>1409</v>
      </c>
      <c r="L2927">
        <v>4133</v>
      </c>
      <c r="M2927" t="s">
        <v>1419</v>
      </c>
      <c r="N2927" t="s">
        <v>622</v>
      </c>
      <c r="O2927">
        <v>1</v>
      </c>
      <c r="P2927" t="s">
        <v>667</v>
      </c>
      <c r="Q2927" t="s">
        <v>205</v>
      </c>
      <c r="R2927" t="s">
        <v>201</v>
      </c>
      <c r="S2927">
        <v>1</v>
      </c>
      <c r="T2927">
        <v>1</v>
      </c>
      <c r="U2927">
        <v>51936</v>
      </c>
      <c r="V2927">
        <v>51936</v>
      </c>
    </row>
    <row r="2928" spans="1:22">
      <c r="A2928" t="s">
        <v>196</v>
      </c>
      <c r="B2928">
        <v>57</v>
      </c>
      <c r="C2928" t="s">
        <v>31</v>
      </c>
      <c r="D2928">
        <v>100</v>
      </c>
      <c r="E2928" t="s">
        <v>197</v>
      </c>
      <c r="F2928">
        <v>1005</v>
      </c>
      <c r="G2928" t="s">
        <v>31</v>
      </c>
      <c r="H2928">
        <v>2037</v>
      </c>
      <c r="I2928" t="s">
        <v>37</v>
      </c>
      <c r="J2928">
        <v>3063</v>
      </c>
      <c r="K2928" t="s">
        <v>1409</v>
      </c>
      <c r="L2928">
        <v>4133</v>
      </c>
      <c r="M2928" t="s">
        <v>1419</v>
      </c>
      <c r="N2928" t="s">
        <v>1314</v>
      </c>
      <c r="O2928">
        <v>0</v>
      </c>
      <c r="P2928" t="s">
        <v>1315</v>
      </c>
      <c r="Q2928" t="s">
        <v>636</v>
      </c>
      <c r="R2928" t="s">
        <v>201</v>
      </c>
      <c r="S2928">
        <v>1</v>
      </c>
      <c r="T2928">
        <v>1</v>
      </c>
      <c r="U2928">
        <v>150768</v>
      </c>
      <c r="V2928">
        <v>150768</v>
      </c>
    </row>
    <row r="2929" spans="1:22">
      <c r="A2929" t="s">
        <v>196</v>
      </c>
      <c r="B2929">
        <v>57</v>
      </c>
      <c r="C2929" t="s">
        <v>31</v>
      </c>
      <c r="D2929">
        <v>100</v>
      </c>
      <c r="E2929" t="s">
        <v>197</v>
      </c>
      <c r="F2929">
        <v>1005</v>
      </c>
      <c r="G2929" t="s">
        <v>31</v>
      </c>
      <c r="H2929">
        <v>2037</v>
      </c>
      <c r="I2929" t="s">
        <v>37</v>
      </c>
      <c r="J2929">
        <v>3063</v>
      </c>
      <c r="K2929" t="s">
        <v>1409</v>
      </c>
      <c r="L2929">
        <v>4133</v>
      </c>
      <c r="M2929" t="s">
        <v>1419</v>
      </c>
      <c r="N2929" t="s">
        <v>249</v>
      </c>
      <c r="O2929">
        <v>20</v>
      </c>
      <c r="P2929">
        <v>394</v>
      </c>
      <c r="Q2929" t="s">
        <v>314</v>
      </c>
      <c r="R2929" t="s">
        <v>201</v>
      </c>
      <c r="S2929">
        <v>2</v>
      </c>
      <c r="T2929">
        <v>1</v>
      </c>
      <c r="U2929">
        <v>97836</v>
      </c>
      <c r="V2929">
        <v>195672</v>
      </c>
    </row>
    <row r="2930" spans="1:22">
      <c r="A2930" t="s">
        <v>196</v>
      </c>
      <c r="B2930">
        <v>57</v>
      </c>
      <c r="C2930" t="s">
        <v>31</v>
      </c>
      <c r="D2930">
        <v>100</v>
      </c>
      <c r="E2930" t="s">
        <v>197</v>
      </c>
      <c r="F2930">
        <v>1005</v>
      </c>
      <c r="G2930" t="s">
        <v>31</v>
      </c>
      <c r="H2930">
        <v>2037</v>
      </c>
      <c r="I2930" t="s">
        <v>37</v>
      </c>
      <c r="J2930">
        <v>3063</v>
      </c>
      <c r="K2930" t="s">
        <v>1409</v>
      </c>
      <c r="L2930">
        <v>4133</v>
      </c>
      <c r="M2930" t="s">
        <v>1419</v>
      </c>
      <c r="N2930" t="s">
        <v>622</v>
      </c>
      <c r="O2930">
        <v>1</v>
      </c>
      <c r="P2930">
        <v>235</v>
      </c>
      <c r="Q2930" t="s">
        <v>698</v>
      </c>
      <c r="R2930" t="s">
        <v>201</v>
      </c>
      <c r="S2930">
        <v>1</v>
      </c>
      <c r="T2930">
        <v>1</v>
      </c>
      <c r="U2930">
        <v>90144</v>
      </c>
      <c r="V2930">
        <v>90144</v>
      </c>
    </row>
    <row r="2931" spans="1:22">
      <c r="A2931" t="s">
        <v>196</v>
      </c>
      <c r="B2931">
        <v>57</v>
      </c>
      <c r="C2931" t="s">
        <v>31</v>
      </c>
      <c r="D2931">
        <v>100</v>
      </c>
      <c r="E2931" t="s">
        <v>197</v>
      </c>
      <c r="F2931">
        <v>1005</v>
      </c>
      <c r="G2931" t="s">
        <v>31</v>
      </c>
      <c r="H2931">
        <v>2037</v>
      </c>
      <c r="I2931" t="s">
        <v>37</v>
      </c>
      <c r="J2931">
        <v>3063</v>
      </c>
      <c r="K2931" t="s">
        <v>1409</v>
      </c>
      <c r="L2931">
        <v>4133</v>
      </c>
      <c r="M2931" t="s">
        <v>1419</v>
      </c>
      <c r="N2931" t="s">
        <v>199</v>
      </c>
      <c r="O2931">
        <v>0</v>
      </c>
      <c r="P2931">
        <v>15</v>
      </c>
      <c r="Q2931" t="s">
        <v>264</v>
      </c>
      <c r="R2931" t="s">
        <v>201</v>
      </c>
      <c r="S2931">
        <v>0</v>
      </c>
      <c r="T2931">
        <v>0</v>
      </c>
      <c r="U2931">
        <v>41473</v>
      </c>
      <c r="V2931">
        <v>41473</v>
      </c>
    </row>
    <row r="2932" spans="1:22">
      <c r="A2932" t="s">
        <v>196</v>
      </c>
      <c r="B2932">
        <v>57</v>
      </c>
      <c r="C2932" t="s">
        <v>31</v>
      </c>
      <c r="D2932">
        <v>100</v>
      </c>
      <c r="E2932" t="s">
        <v>197</v>
      </c>
      <c r="F2932">
        <v>1005</v>
      </c>
      <c r="G2932" t="s">
        <v>31</v>
      </c>
      <c r="H2932">
        <v>2037</v>
      </c>
      <c r="I2932" t="s">
        <v>37</v>
      </c>
      <c r="J2932">
        <v>3063</v>
      </c>
      <c r="K2932" t="s">
        <v>1409</v>
      </c>
      <c r="L2932">
        <v>4141</v>
      </c>
      <c r="M2932" t="s">
        <v>1409</v>
      </c>
      <c r="N2932" t="s">
        <v>216</v>
      </c>
      <c r="O2932">
        <v>99</v>
      </c>
      <c r="P2932">
        <v>9752</v>
      </c>
      <c r="Q2932" t="s">
        <v>1296</v>
      </c>
      <c r="R2932" t="s">
        <v>201</v>
      </c>
      <c r="S2932">
        <v>1</v>
      </c>
      <c r="T2932">
        <v>1</v>
      </c>
      <c r="U2932">
        <v>192240</v>
      </c>
      <c r="V2932">
        <v>192240</v>
      </c>
    </row>
    <row r="2933" spans="1:22">
      <c r="A2933" t="s">
        <v>196</v>
      </c>
      <c r="B2933">
        <v>57</v>
      </c>
      <c r="C2933" t="s">
        <v>31</v>
      </c>
      <c r="D2933">
        <v>100</v>
      </c>
      <c r="E2933" t="s">
        <v>197</v>
      </c>
      <c r="F2933">
        <v>1005</v>
      </c>
      <c r="G2933" t="s">
        <v>31</v>
      </c>
      <c r="H2933">
        <v>2037</v>
      </c>
      <c r="I2933" t="s">
        <v>37</v>
      </c>
      <c r="J2933">
        <v>3063</v>
      </c>
      <c r="K2933" t="s">
        <v>1409</v>
      </c>
      <c r="L2933">
        <v>4141</v>
      </c>
      <c r="M2933" t="s">
        <v>1409</v>
      </c>
      <c r="N2933" t="s">
        <v>1330</v>
      </c>
      <c r="O2933">
        <v>75</v>
      </c>
      <c r="P2933">
        <v>9175</v>
      </c>
      <c r="Q2933" t="s">
        <v>1331</v>
      </c>
      <c r="R2933" t="s">
        <v>201</v>
      </c>
      <c r="S2933">
        <v>1</v>
      </c>
      <c r="T2933">
        <v>1</v>
      </c>
      <c r="U2933">
        <v>188352</v>
      </c>
      <c r="V2933">
        <v>188352</v>
      </c>
    </row>
    <row r="2934" spans="1:22">
      <c r="A2934" t="s">
        <v>196</v>
      </c>
      <c r="B2934">
        <v>57</v>
      </c>
      <c r="C2934" t="s">
        <v>31</v>
      </c>
      <c r="D2934">
        <v>100</v>
      </c>
      <c r="E2934" t="s">
        <v>197</v>
      </c>
      <c r="F2934">
        <v>1005</v>
      </c>
      <c r="G2934" t="s">
        <v>31</v>
      </c>
      <c r="H2934">
        <v>2037</v>
      </c>
      <c r="I2934" t="s">
        <v>37</v>
      </c>
      <c r="J2934">
        <v>3063</v>
      </c>
      <c r="K2934" t="s">
        <v>1409</v>
      </c>
      <c r="L2934">
        <v>4141</v>
      </c>
      <c r="M2934" t="s">
        <v>1409</v>
      </c>
      <c r="N2934" t="s">
        <v>1302</v>
      </c>
      <c r="O2934">
        <v>71</v>
      </c>
      <c r="P2934">
        <v>9171</v>
      </c>
      <c r="Q2934" t="s">
        <v>1303</v>
      </c>
      <c r="R2934" t="s">
        <v>201</v>
      </c>
      <c r="S2934">
        <v>2</v>
      </c>
      <c r="T2934">
        <v>1</v>
      </c>
      <c r="U2934">
        <v>142668</v>
      </c>
      <c r="V2934">
        <v>285336</v>
      </c>
    </row>
    <row r="2935" spans="1:22">
      <c r="A2935" t="s">
        <v>196</v>
      </c>
      <c r="B2935">
        <v>57</v>
      </c>
      <c r="C2935" t="s">
        <v>31</v>
      </c>
      <c r="D2935">
        <v>100</v>
      </c>
      <c r="E2935" t="s">
        <v>197</v>
      </c>
      <c r="F2935">
        <v>1005</v>
      </c>
      <c r="G2935" t="s">
        <v>31</v>
      </c>
      <c r="H2935">
        <v>2037</v>
      </c>
      <c r="I2935" t="s">
        <v>37</v>
      </c>
      <c r="J2935">
        <v>3063</v>
      </c>
      <c r="K2935" t="s">
        <v>1409</v>
      </c>
      <c r="L2935">
        <v>4141</v>
      </c>
      <c r="M2935" t="s">
        <v>1409</v>
      </c>
      <c r="N2935" t="s">
        <v>1309</v>
      </c>
      <c r="O2935">
        <v>91</v>
      </c>
      <c r="P2935">
        <v>9161</v>
      </c>
      <c r="Q2935" t="s">
        <v>1310</v>
      </c>
      <c r="R2935" t="s">
        <v>201</v>
      </c>
      <c r="S2935">
        <v>1</v>
      </c>
      <c r="T2935">
        <v>1</v>
      </c>
      <c r="U2935">
        <v>115158</v>
      </c>
      <c r="V2935">
        <v>115158</v>
      </c>
    </row>
    <row r="2936" spans="1:22">
      <c r="A2936" t="s">
        <v>196</v>
      </c>
      <c r="B2936">
        <v>57</v>
      </c>
      <c r="C2936" t="s">
        <v>31</v>
      </c>
      <c r="D2936">
        <v>100</v>
      </c>
      <c r="E2936" t="s">
        <v>197</v>
      </c>
      <c r="F2936">
        <v>1005</v>
      </c>
      <c r="G2936" t="s">
        <v>31</v>
      </c>
      <c r="H2936">
        <v>2037</v>
      </c>
      <c r="I2936" t="s">
        <v>37</v>
      </c>
      <c r="J2936">
        <v>3063</v>
      </c>
      <c r="K2936" t="s">
        <v>1409</v>
      </c>
      <c r="L2936">
        <v>4141</v>
      </c>
      <c r="M2936" t="s">
        <v>1409</v>
      </c>
      <c r="N2936" t="s">
        <v>1309</v>
      </c>
      <c r="O2936">
        <v>91</v>
      </c>
      <c r="P2936">
        <v>9161</v>
      </c>
      <c r="Q2936" t="s">
        <v>1310</v>
      </c>
      <c r="R2936" t="s">
        <v>201</v>
      </c>
      <c r="S2936">
        <v>1</v>
      </c>
      <c r="T2936">
        <v>1</v>
      </c>
      <c r="U2936">
        <v>111252</v>
      </c>
      <c r="V2936">
        <v>111252</v>
      </c>
    </row>
    <row r="2937" spans="1:22">
      <c r="A2937" t="s">
        <v>196</v>
      </c>
      <c r="B2937">
        <v>57</v>
      </c>
      <c r="C2937" t="s">
        <v>31</v>
      </c>
      <c r="D2937">
        <v>100</v>
      </c>
      <c r="E2937" t="s">
        <v>197</v>
      </c>
      <c r="F2937">
        <v>1005</v>
      </c>
      <c r="G2937" t="s">
        <v>31</v>
      </c>
      <c r="H2937">
        <v>2037</v>
      </c>
      <c r="I2937" t="s">
        <v>37</v>
      </c>
      <c r="J2937">
        <v>3063</v>
      </c>
      <c r="K2937" t="s">
        <v>1409</v>
      </c>
      <c r="L2937">
        <v>4141</v>
      </c>
      <c r="M2937" t="s">
        <v>1409</v>
      </c>
      <c r="N2937" t="s">
        <v>1309</v>
      </c>
      <c r="O2937">
        <v>91</v>
      </c>
      <c r="P2937">
        <v>9161</v>
      </c>
      <c r="Q2937" t="s">
        <v>1310</v>
      </c>
      <c r="R2937" t="s">
        <v>201</v>
      </c>
      <c r="S2937">
        <v>1</v>
      </c>
      <c r="T2937">
        <v>1</v>
      </c>
      <c r="U2937">
        <v>105906</v>
      </c>
      <c r="V2937">
        <v>105906</v>
      </c>
    </row>
    <row r="2938" spans="1:22">
      <c r="A2938" t="s">
        <v>196</v>
      </c>
      <c r="B2938">
        <v>57</v>
      </c>
      <c r="C2938" t="s">
        <v>31</v>
      </c>
      <c r="D2938">
        <v>100</v>
      </c>
      <c r="E2938" t="s">
        <v>197</v>
      </c>
      <c r="F2938">
        <v>1005</v>
      </c>
      <c r="G2938" t="s">
        <v>31</v>
      </c>
      <c r="H2938">
        <v>2037</v>
      </c>
      <c r="I2938" t="s">
        <v>37</v>
      </c>
      <c r="J2938">
        <v>3063</v>
      </c>
      <c r="K2938" t="s">
        <v>1409</v>
      </c>
      <c r="L2938">
        <v>4141</v>
      </c>
      <c r="M2938" t="s">
        <v>1409</v>
      </c>
      <c r="N2938" t="s">
        <v>199</v>
      </c>
      <c r="O2938">
        <v>0</v>
      </c>
      <c r="P2938">
        <v>15</v>
      </c>
      <c r="Q2938" t="s">
        <v>264</v>
      </c>
      <c r="R2938" t="s">
        <v>201</v>
      </c>
      <c r="S2938">
        <v>0</v>
      </c>
      <c r="T2938">
        <v>0</v>
      </c>
      <c r="U2938">
        <v>5067</v>
      </c>
      <c r="V2938">
        <v>5067</v>
      </c>
    </row>
    <row r="2939" spans="1:22">
      <c r="A2939" t="s">
        <v>196</v>
      </c>
      <c r="B2939">
        <v>57</v>
      </c>
      <c r="C2939" t="s">
        <v>31</v>
      </c>
      <c r="D2939">
        <v>100</v>
      </c>
      <c r="E2939" t="s">
        <v>197</v>
      </c>
      <c r="F2939">
        <v>1005</v>
      </c>
      <c r="G2939" t="s">
        <v>31</v>
      </c>
      <c r="H2939">
        <v>2037</v>
      </c>
      <c r="I2939" t="s">
        <v>37</v>
      </c>
      <c r="J2939">
        <v>3066</v>
      </c>
      <c r="K2939" t="s">
        <v>1421</v>
      </c>
      <c r="L2939">
        <v>4136</v>
      </c>
      <c r="M2939" t="s">
        <v>1422</v>
      </c>
      <c r="N2939" t="s">
        <v>1304</v>
      </c>
      <c r="O2939">
        <v>73</v>
      </c>
      <c r="P2939">
        <v>9173</v>
      </c>
      <c r="Q2939" t="s">
        <v>1323</v>
      </c>
      <c r="R2939" t="s">
        <v>201</v>
      </c>
      <c r="S2939">
        <v>1</v>
      </c>
      <c r="T2939">
        <v>1</v>
      </c>
      <c r="U2939">
        <v>170700</v>
      </c>
      <c r="V2939">
        <v>170700</v>
      </c>
    </row>
    <row r="2940" spans="1:22">
      <c r="A2940" t="s">
        <v>196</v>
      </c>
      <c r="B2940">
        <v>57</v>
      </c>
      <c r="C2940" t="s">
        <v>31</v>
      </c>
      <c r="D2940">
        <v>100</v>
      </c>
      <c r="E2940" t="s">
        <v>197</v>
      </c>
      <c r="F2940">
        <v>1005</v>
      </c>
      <c r="G2940" t="s">
        <v>31</v>
      </c>
      <c r="H2940">
        <v>2037</v>
      </c>
      <c r="I2940" t="s">
        <v>37</v>
      </c>
      <c r="J2940">
        <v>3066</v>
      </c>
      <c r="K2940" t="s">
        <v>1421</v>
      </c>
      <c r="L2940">
        <v>4136</v>
      </c>
      <c r="M2940" t="s">
        <v>1422</v>
      </c>
      <c r="N2940" t="s">
        <v>1302</v>
      </c>
      <c r="O2940">
        <v>71</v>
      </c>
      <c r="P2940">
        <v>9171</v>
      </c>
      <c r="Q2940" t="s">
        <v>1303</v>
      </c>
      <c r="R2940" t="s">
        <v>201</v>
      </c>
      <c r="S2940">
        <v>5</v>
      </c>
      <c r="T2940">
        <v>1</v>
      </c>
      <c r="U2940">
        <v>152010</v>
      </c>
      <c r="V2940">
        <v>760050</v>
      </c>
    </row>
    <row r="2941" spans="1:22">
      <c r="A2941" t="s">
        <v>196</v>
      </c>
      <c r="B2941">
        <v>57</v>
      </c>
      <c r="C2941" t="s">
        <v>31</v>
      </c>
      <c r="D2941">
        <v>100</v>
      </c>
      <c r="E2941" t="s">
        <v>197</v>
      </c>
      <c r="F2941">
        <v>1005</v>
      </c>
      <c r="G2941" t="s">
        <v>31</v>
      </c>
      <c r="H2941">
        <v>2037</v>
      </c>
      <c r="I2941" t="s">
        <v>37</v>
      </c>
      <c r="J2941">
        <v>3066</v>
      </c>
      <c r="K2941" t="s">
        <v>1421</v>
      </c>
      <c r="L2941">
        <v>4136</v>
      </c>
      <c r="M2941" t="s">
        <v>1422</v>
      </c>
      <c r="N2941" t="s">
        <v>1302</v>
      </c>
      <c r="O2941">
        <v>71</v>
      </c>
      <c r="P2941">
        <v>9171</v>
      </c>
      <c r="Q2941" t="s">
        <v>1303</v>
      </c>
      <c r="R2941" t="s">
        <v>201</v>
      </c>
      <c r="S2941">
        <v>4</v>
      </c>
      <c r="T2941">
        <v>1</v>
      </c>
      <c r="U2941">
        <v>147252</v>
      </c>
      <c r="V2941">
        <v>589008</v>
      </c>
    </row>
    <row r="2942" spans="1:22">
      <c r="A2942" t="s">
        <v>196</v>
      </c>
      <c r="B2942">
        <v>57</v>
      </c>
      <c r="C2942" t="s">
        <v>31</v>
      </c>
      <c r="D2942">
        <v>100</v>
      </c>
      <c r="E2942" t="s">
        <v>197</v>
      </c>
      <c r="F2942">
        <v>1005</v>
      </c>
      <c r="G2942" t="s">
        <v>31</v>
      </c>
      <c r="H2942">
        <v>2037</v>
      </c>
      <c r="I2942" t="s">
        <v>37</v>
      </c>
      <c r="J2942">
        <v>3066</v>
      </c>
      <c r="K2942" t="s">
        <v>1421</v>
      </c>
      <c r="L2942">
        <v>4136</v>
      </c>
      <c r="M2942" t="s">
        <v>1422</v>
      </c>
      <c r="N2942" t="s">
        <v>1302</v>
      </c>
      <c r="O2942">
        <v>71</v>
      </c>
      <c r="P2942">
        <v>9171</v>
      </c>
      <c r="Q2942" t="s">
        <v>1303</v>
      </c>
      <c r="R2942" t="s">
        <v>201</v>
      </c>
      <c r="S2942">
        <v>2</v>
      </c>
      <c r="T2942">
        <v>1</v>
      </c>
      <c r="U2942">
        <v>142668</v>
      </c>
      <c r="V2942">
        <v>285336</v>
      </c>
    </row>
    <row r="2943" spans="1:22">
      <c r="A2943" t="s">
        <v>196</v>
      </c>
      <c r="B2943">
        <v>57</v>
      </c>
      <c r="C2943" t="s">
        <v>31</v>
      </c>
      <c r="D2943">
        <v>100</v>
      </c>
      <c r="E2943" t="s">
        <v>197</v>
      </c>
      <c r="F2943">
        <v>1005</v>
      </c>
      <c r="G2943" t="s">
        <v>31</v>
      </c>
      <c r="H2943">
        <v>2037</v>
      </c>
      <c r="I2943" t="s">
        <v>37</v>
      </c>
      <c r="J2943">
        <v>3066</v>
      </c>
      <c r="K2943" t="s">
        <v>1421</v>
      </c>
      <c r="L2943">
        <v>4136</v>
      </c>
      <c r="M2943" t="s">
        <v>1422</v>
      </c>
      <c r="N2943" t="s">
        <v>1309</v>
      </c>
      <c r="O2943">
        <v>91</v>
      </c>
      <c r="P2943">
        <v>9161</v>
      </c>
      <c r="Q2943" t="s">
        <v>1310</v>
      </c>
      <c r="R2943" t="s">
        <v>201</v>
      </c>
      <c r="S2943">
        <v>1</v>
      </c>
      <c r="T2943">
        <v>1</v>
      </c>
      <c r="U2943">
        <v>127146</v>
      </c>
      <c r="V2943">
        <v>127146</v>
      </c>
    </row>
    <row r="2944" spans="1:22">
      <c r="A2944" t="s">
        <v>196</v>
      </c>
      <c r="B2944">
        <v>57</v>
      </c>
      <c r="C2944" t="s">
        <v>31</v>
      </c>
      <c r="D2944">
        <v>100</v>
      </c>
      <c r="E2944" t="s">
        <v>197</v>
      </c>
      <c r="F2944">
        <v>1005</v>
      </c>
      <c r="G2944" t="s">
        <v>31</v>
      </c>
      <c r="H2944">
        <v>2037</v>
      </c>
      <c r="I2944" t="s">
        <v>37</v>
      </c>
      <c r="J2944">
        <v>3066</v>
      </c>
      <c r="K2944" t="s">
        <v>1421</v>
      </c>
      <c r="L2944">
        <v>4136</v>
      </c>
      <c r="M2944" t="s">
        <v>1422</v>
      </c>
      <c r="N2944" t="s">
        <v>1309</v>
      </c>
      <c r="O2944">
        <v>91</v>
      </c>
      <c r="P2944">
        <v>9161</v>
      </c>
      <c r="Q2944" t="s">
        <v>1310</v>
      </c>
      <c r="R2944" t="s">
        <v>201</v>
      </c>
      <c r="S2944">
        <v>1</v>
      </c>
      <c r="T2944">
        <v>1</v>
      </c>
      <c r="U2944">
        <v>119154</v>
      </c>
      <c r="V2944">
        <v>119154</v>
      </c>
    </row>
    <row r="2945" spans="1:22">
      <c r="A2945" t="s">
        <v>196</v>
      </c>
      <c r="B2945">
        <v>57</v>
      </c>
      <c r="C2945" t="s">
        <v>31</v>
      </c>
      <c r="D2945">
        <v>100</v>
      </c>
      <c r="E2945" t="s">
        <v>197</v>
      </c>
      <c r="F2945">
        <v>1005</v>
      </c>
      <c r="G2945" t="s">
        <v>31</v>
      </c>
      <c r="H2945">
        <v>2037</v>
      </c>
      <c r="I2945" t="s">
        <v>37</v>
      </c>
      <c r="J2945">
        <v>3066</v>
      </c>
      <c r="K2945" t="s">
        <v>1421</v>
      </c>
      <c r="L2945">
        <v>4136</v>
      </c>
      <c r="M2945" t="s">
        <v>1422</v>
      </c>
      <c r="N2945" t="s">
        <v>1309</v>
      </c>
      <c r="O2945">
        <v>91</v>
      </c>
      <c r="P2945">
        <v>9161</v>
      </c>
      <c r="Q2945" t="s">
        <v>1310</v>
      </c>
      <c r="R2945" t="s">
        <v>201</v>
      </c>
      <c r="S2945">
        <v>2</v>
      </c>
      <c r="T2945">
        <v>1</v>
      </c>
      <c r="U2945">
        <v>115158</v>
      </c>
      <c r="V2945">
        <v>230316</v>
      </c>
    </row>
    <row r="2946" spans="1:22">
      <c r="A2946" t="s">
        <v>196</v>
      </c>
      <c r="B2946">
        <v>57</v>
      </c>
      <c r="C2946" t="s">
        <v>31</v>
      </c>
      <c r="D2946">
        <v>100</v>
      </c>
      <c r="E2946" t="s">
        <v>197</v>
      </c>
      <c r="F2946">
        <v>1005</v>
      </c>
      <c r="G2946" t="s">
        <v>31</v>
      </c>
      <c r="H2946">
        <v>2037</v>
      </c>
      <c r="I2946" t="s">
        <v>37</v>
      </c>
      <c r="J2946">
        <v>3066</v>
      </c>
      <c r="K2946" t="s">
        <v>1421</v>
      </c>
      <c r="L2946">
        <v>4136</v>
      </c>
      <c r="M2946" t="s">
        <v>1422</v>
      </c>
      <c r="N2946" t="s">
        <v>1309</v>
      </c>
      <c r="O2946">
        <v>91</v>
      </c>
      <c r="P2946">
        <v>9161</v>
      </c>
      <c r="Q2946" t="s">
        <v>1310</v>
      </c>
      <c r="R2946" t="s">
        <v>201</v>
      </c>
      <c r="S2946">
        <v>5</v>
      </c>
      <c r="T2946">
        <v>1</v>
      </c>
      <c r="U2946">
        <v>111252</v>
      </c>
      <c r="V2946">
        <v>556260</v>
      </c>
    </row>
    <row r="2947" spans="1:22">
      <c r="A2947" t="s">
        <v>196</v>
      </c>
      <c r="B2947">
        <v>57</v>
      </c>
      <c r="C2947" t="s">
        <v>31</v>
      </c>
      <c r="D2947">
        <v>100</v>
      </c>
      <c r="E2947" t="s">
        <v>197</v>
      </c>
      <c r="F2947">
        <v>1005</v>
      </c>
      <c r="G2947" t="s">
        <v>31</v>
      </c>
      <c r="H2947">
        <v>2037</v>
      </c>
      <c r="I2947" t="s">
        <v>37</v>
      </c>
      <c r="J2947">
        <v>3066</v>
      </c>
      <c r="K2947" t="s">
        <v>1421</v>
      </c>
      <c r="L2947">
        <v>4136</v>
      </c>
      <c r="M2947" t="s">
        <v>1422</v>
      </c>
      <c r="N2947" t="s">
        <v>1309</v>
      </c>
      <c r="O2947">
        <v>91</v>
      </c>
      <c r="P2947">
        <v>9161</v>
      </c>
      <c r="Q2947" t="s">
        <v>1310</v>
      </c>
      <c r="R2947" t="s">
        <v>201</v>
      </c>
      <c r="S2947">
        <v>2</v>
      </c>
      <c r="T2947">
        <v>1</v>
      </c>
      <c r="U2947">
        <v>63636</v>
      </c>
      <c r="V2947">
        <v>127272</v>
      </c>
    </row>
    <row r="2948" spans="1:22">
      <c r="A2948" t="s">
        <v>196</v>
      </c>
      <c r="B2948">
        <v>57</v>
      </c>
      <c r="C2948" t="s">
        <v>31</v>
      </c>
      <c r="D2948">
        <v>100</v>
      </c>
      <c r="E2948" t="s">
        <v>197</v>
      </c>
      <c r="F2948">
        <v>1005</v>
      </c>
      <c r="G2948" t="s">
        <v>31</v>
      </c>
      <c r="H2948">
        <v>2037</v>
      </c>
      <c r="I2948" t="s">
        <v>37</v>
      </c>
      <c r="J2948">
        <v>3066</v>
      </c>
      <c r="K2948" t="s">
        <v>1421</v>
      </c>
      <c r="L2948">
        <v>4136</v>
      </c>
      <c r="M2948" t="s">
        <v>1422</v>
      </c>
      <c r="N2948" t="s">
        <v>809</v>
      </c>
      <c r="O2948">
        <v>1</v>
      </c>
      <c r="P2948">
        <v>460</v>
      </c>
      <c r="Q2948" t="s">
        <v>810</v>
      </c>
      <c r="R2948" t="s">
        <v>201</v>
      </c>
      <c r="S2948">
        <v>5</v>
      </c>
      <c r="T2948">
        <v>1</v>
      </c>
      <c r="U2948">
        <v>82140</v>
      </c>
      <c r="V2948">
        <v>410700</v>
      </c>
    </row>
    <row r="2949" spans="1:22">
      <c r="A2949" t="s">
        <v>196</v>
      </c>
      <c r="B2949">
        <v>57</v>
      </c>
      <c r="C2949" t="s">
        <v>31</v>
      </c>
      <c r="D2949">
        <v>100</v>
      </c>
      <c r="E2949" t="s">
        <v>197</v>
      </c>
      <c r="F2949">
        <v>1005</v>
      </c>
      <c r="G2949" t="s">
        <v>31</v>
      </c>
      <c r="H2949">
        <v>2037</v>
      </c>
      <c r="I2949" t="s">
        <v>37</v>
      </c>
      <c r="J2949">
        <v>3066</v>
      </c>
      <c r="K2949" t="s">
        <v>1421</v>
      </c>
      <c r="L2949">
        <v>4136</v>
      </c>
      <c r="M2949" t="s">
        <v>1422</v>
      </c>
      <c r="N2949" t="s">
        <v>809</v>
      </c>
      <c r="O2949">
        <v>1</v>
      </c>
      <c r="P2949">
        <v>460</v>
      </c>
      <c r="Q2949" t="s">
        <v>810</v>
      </c>
      <c r="R2949" t="s">
        <v>201</v>
      </c>
      <c r="S2949">
        <v>1</v>
      </c>
      <c r="T2949">
        <v>1</v>
      </c>
      <c r="U2949">
        <v>78432</v>
      </c>
      <c r="V2949">
        <v>78432</v>
      </c>
    </row>
    <row r="2950" spans="1:22">
      <c r="A2950" t="s">
        <v>196</v>
      </c>
      <c r="B2950">
        <v>57</v>
      </c>
      <c r="C2950" t="s">
        <v>31</v>
      </c>
      <c r="D2950">
        <v>100</v>
      </c>
      <c r="E2950" t="s">
        <v>197</v>
      </c>
      <c r="F2950">
        <v>1005</v>
      </c>
      <c r="G2950" t="s">
        <v>31</v>
      </c>
      <c r="H2950">
        <v>2037</v>
      </c>
      <c r="I2950" t="s">
        <v>37</v>
      </c>
      <c r="J2950">
        <v>3066</v>
      </c>
      <c r="K2950" t="s">
        <v>1421</v>
      </c>
      <c r="L2950">
        <v>4136</v>
      </c>
      <c r="M2950" t="s">
        <v>1422</v>
      </c>
      <c r="N2950" t="s">
        <v>809</v>
      </c>
      <c r="O2950">
        <v>1</v>
      </c>
      <c r="P2950">
        <v>460</v>
      </c>
      <c r="Q2950" t="s">
        <v>810</v>
      </c>
      <c r="R2950" t="s">
        <v>201</v>
      </c>
      <c r="S2950">
        <v>1</v>
      </c>
      <c r="T2950">
        <v>1</v>
      </c>
      <c r="U2950">
        <v>47364</v>
      </c>
      <c r="V2950">
        <v>47364</v>
      </c>
    </row>
    <row r="2951" spans="1:22">
      <c r="A2951" t="s">
        <v>196</v>
      </c>
      <c r="B2951">
        <v>57</v>
      </c>
      <c r="C2951" t="s">
        <v>31</v>
      </c>
      <c r="D2951">
        <v>100</v>
      </c>
      <c r="E2951" t="s">
        <v>197</v>
      </c>
      <c r="F2951">
        <v>1005</v>
      </c>
      <c r="G2951" t="s">
        <v>31</v>
      </c>
      <c r="H2951">
        <v>2037</v>
      </c>
      <c r="I2951" t="s">
        <v>37</v>
      </c>
      <c r="J2951">
        <v>3066</v>
      </c>
      <c r="K2951" t="s">
        <v>1421</v>
      </c>
      <c r="L2951">
        <v>4136</v>
      </c>
      <c r="M2951" t="s">
        <v>1422</v>
      </c>
      <c r="N2951" t="s">
        <v>199</v>
      </c>
      <c r="O2951">
        <v>0</v>
      </c>
      <c r="P2951">
        <v>15</v>
      </c>
      <c r="Q2951" t="s">
        <v>264</v>
      </c>
      <c r="R2951" t="s">
        <v>201</v>
      </c>
      <c r="S2951">
        <v>0</v>
      </c>
      <c r="T2951">
        <v>0</v>
      </c>
      <c r="U2951">
        <v>5261</v>
      </c>
      <c r="V2951">
        <v>5261</v>
      </c>
    </row>
    <row r="2952" spans="1:22">
      <c r="A2952" t="s">
        <v>196</v>
      </c>
      <c r="B2952">
        <v>57</v>
      </c>
      <c r="C2952" t="s">
        <v>31</v>
      </c>
      <c r="D2952">
        <v>100</v>
      </c>
      <c r="E2952" t="s">
        <v>197</v>
      </c>
      <c r="F2952">
        <v>1005</v>
      </c>
      <c r="G2952" t="s">
        <v>31</v>
      </c>
      <c r="H2952">
        <v>2037</v>
      </c>
      <c r="I2952" t="s">
        <v>37</v>
      </c>
      <c r="J2952">
        <v>3066</v>
      </c>
      <c r="K2952" t="s">
        <v>1421</v>
      </c>
      <c r="L2952">
        <v>4137</v>
      </c>
      <c r="M2952" t="s">
        <v>1423</v>
      </c>
      <c r="N2952" t="s">
        <v>1304</v>
      </c>
      <c r="O2952">
        <v>73</v>
      </c>
      <c r="P2952">
        <v>9173</v>
      </c>
      <c r="Q2952" t="s">
        <v>1323</v>
      </c>
      <c r="R2952" t="s">
        <v>201</v>
      </c>
      <c r="S2952">
        <v>1</v>
      </c>
      <c r="T2952">
        <v>1</v>
      </c>
      <c r="U2952">
        <v>160746</v>
      </c>
      <c r="V2952">
        <v>160746</v>
      </c>
    </row>
    <row r="2953" spans="1:22">
      <c r="A2953" t="s">
        <v>196</v>
      </c>
      <c r="B2953">
        <v>57</v>
      </c>
      <c r="C2953" t="s">
        <v>31</v>
      </c>
      <c r="D2953">
        <v>100</v>
      </c>
      <c r="E2953" t="s">
        <v>197</v>
      </c>
      <c r="F2953">
        <v>1005</v>
      </c>
      <c r="G2953" t="s">
        <v>31</v>
      </c>
      <c r="H2953">
        <v>2037</v>
      </c>
      <c r="I2953" t="s">
        <v>37</v>
      </c>
      <c r="J2953">
        <v>3066</v>
      </c>
      <c r="K2953" t="s">
        <v>1421</v>
      </c>
      <c r="L2953">
        <v>4137</v>
      </c>
      <c r="M2953" t="s">
        <v>1423</v>
      </c>
      <c r="N2953" t="s">
        <v>1302</v>
      </c>
      <c r="O2953">
        <v>71</v>
      </c>
      <c r="P2953">
        <v>9171</v>
      </c>
      <c r="Q2953" t="s">
        <v>1303</v>
      </c>
      <c r="R2953" t="s">
        <v>201</v>
      </c>
      <c r="S2953">
        <v>1</v>
      </c>
      <c r="T2953">
        <v>1</v>
      </c>
      <c r="U2953">
        <v>152010</v>
      </c>
      <c r="V2953">
        <v>152010</v>
      </c>
    </row>
    <row r="2954" spans="1:22">
      <c r="A2954" t="s">
        <v>196</v>
      </c>
      <c r="B2954">
        <v>57</v>
      </c>
      <c r="C2954" t="s">
        <v>31</v>
      </c>
      <c r="D2954">
        <v>100</v>
      </c>
      <c r="E2954" t="s">
        <v>197</v>
      </c>
      <c r="F2954">
        <v>1005</v>
      </c>
      <c r="G2954" t="s">
        <v>31</v>
      </c>
      <c r="H2954">
        <v>2037</v>
      </c>
      <c r="I2954" t="s">
        <v>37</v>
      </c>
      <c r="J2954">
        <v>3066</v>
      </c>
      <c r="K2954" t="s">
        <v>1421</v>
      </c>
      <c r="L2954">
        <v>4137</v>
      </c>
      <c r="M2954" t="s">
        <v>1423</v>
      </c>
      <c r="N2954" t="s">
        <v>1302</v>
      </c>
      <c r="O2954">
        <v>71</v>
      </c>
      <c r="P2954">
        <v>9171</v>
      </c>
      <c r="Q2954" t="s">
        <v>1303</v>
      </c>
      <c r="R2954" t="s">
        <v>201</v>
      </c>
      <c r="S2954">
        <v>2</v>
      </c>
      <c r="T2954">
        <v>1</v>
      </c>
      <c r="U2954">
        <v>147252</v>
      </c>
      <c r="V2954">
        <v>294504</v>
      </c>
    </row>
    <row r="2955" spans="1:22">
      <c r="A2955" t="s">
        <v>196</v>
      </c>
      <c r="B2955">
        <v>57</v>
      </c>
      <c r="C2955" t="s">
        <v>31</v>
      </c>
      <c r="D2955">
        <v>100</v>
      </c>
      <c r="E2955" t="s">
        <v>197</v>
      </c>
      <c r="F2955">
        <v>1005</v>
      </c>
      <c r="G2955" t="s">
        <v>31</v>
      </c>
      <c r="H2955">
        <v>2037</v>
      </c>
      <c r="I2955" t="s">
        <v>37</v>
      </c>
      <c r="J2955">
        <v>3066</v>
      </c>
      <c r="K2955" t="s">
        <v>1421</v>
      </c>
      <c r="L2955">
        <v>4137</v>
      </c>
      <c r="M2955" t="s">
        <v>1423</v>
      </c>
      <c r="N2955" t="s">
        <v>1302</v>
      </c>
      <c r="O2955">
        <v>71</v>
      </c>
      <c r="P2955">
        <v>9171</v>
      </c>
      <c r="Q2955" t="s">
        <v>1303</v>
      </c>
      <c r="R2955" t="s">
        <v>201</v>
      </c>
      <c r="S2955">
        <v>1</v>
      </c>
      <c r="T2955">
        <v>1</v>
      </c>
      <c r="U2955">
        <v>138318</v>
      </c>
      <c r="V2955">
        <v>138318</v>
      </c>
    </row>
    <row r="2956" spans="1:22">
      <c r="A2956" t="s">
        <v>196</v>
      </c>
      <c r="B2956">
        <v>57</v>
      </c>
      <c r="C2956" t="s">
        <v>31</v>
      </c>
      <c r="D2956">
        <v>100</v>
      </c>
      <c r="E2956" t="s">
        <v>197</v>
      </c>
      <c r="F2956">
        <v>1005</v>
      </c>
      <c r="G2956" t="s">
        <v>31</v>
      </c>
      <c r="H2956">
        <v>2037</v>
      </c>
      <c r="I2956" t="s">
        <v>37</v>
      </c>
      <c r="J2956">
        <v>3066</v>
      </c>
      <c r="K2956" t="s">
        <v>1421</v>
      </c>
      <c r="L2956">
        <v>4137</v>
      </c>
      <c r="M2956" t="s">
        <v>1423</v>
      </c>
      <c r="N2956" t="s">
        <v>1309</v>
      </c>
      <c r="O2956">
        <v>91</v>
      </c>
      <c r="P2956">
        <v>9161</v>
      </c>
      <c r="Q2956" t="s">
        <v>1310</v>
      </c>
      <c r="R2956" t="s">
        <v>201</v>
      </c>
      <c r="S2956">
        <v>3</v>
      </c>
      <c r="T2956">
        <v>1</v>
      </c>
      <c r="U2956">
        <v>127146</v>
      </c>
      <c r="V2956">
        <v>381438</v>
      </c>
    </row>
    <row r="2957" spans="1:22">
      <c r="A2957" t="s">
        <v>196</v>
      </c>
      <c r="B2957">
        <v>57</v>
      </c>
      <c r="C2957" t="s">
        <v>31</v>
      </c>
      <c r="D2957">
        <v>100</v>
      </c>
      <c r="E2957" t="s">
        <v>197</v>
      </c>
      <c r="F2957">
        <v>1005</v>
      </c>
      <c r="G2957" t="s">
        <v>31</v>
      </c>
      <c r="H2957">
        <v>2037</v>
      </c>
      <c r="I2957" t="s">
        <v>37</v>
      </c>
      <c r="J2957">
        <v>3066</v>
      </c>
      <c r="K2957" t="s">
        <v>1421</v>
      </c>
      <c r="L2957">
        <v>4137</v>
      </c>
      <c r="M2957" t="s">
        <v>1423</v>
      </c>
      <c r="N2957" t="s">
        <v>1309</v>
      </c>
      <c r="O2957">
        <v>91</v>
      </c>
      <c r="P2957">
        <v>9161</v>
      </c>
      <c r="Q2957" t="s">
        <v>1310</v>
      </c>
      <c r="R2957" t="s">
        <v>201</v>
      </c>
      <c r="S2957">
        <v>1</v>
      </c>
      <c r="T2957">
        <v>1</v>
      </c>
      <c r="U2957">
        <v>123576</v>
      </c>
      <c r="V2957">
        <v>123576</v>
      </c>
    </row>
    <row r="2958" spans="1:22">
      <c r="A2958" t="s">
        <v>196</v>
      </c>
      <c r="B2958">
        <v>57</v>
      </c>
      <c r="C2958" t="s">
        <v>31</v>
      </c>
      <c r="D2958">
        <v>100</v>
      </c>
      <c r="E2958" t="s">
        <v>197</v>
      </c>
      <c r="F2958">
        <v>1005</v>
      </c>
      <c r="G2958" t="s">
        <v>31</v>
      </c>
      <c r="H2958">
        <v>2037</v>
      </c>
      <c r="I2958" t="s">
        <v>37</v>
      </c>
      <c r="J2958">
        <v>3066</v>
      </c>
      <c r="K2958" t="s">
        <v>1421</v>
      </c>
      <c r="L2958">
        <v>4137</v>
      </c>
      <c r="M2958" t="s">
        <v>1423</v>
      </c>
      <c r="N2958" t="s">
        <v>1309</v>
      </c>
      <c r="O2958">
        <v>91</v>
      </c>
      <c r="P2958">
        <v>9161</v>
      </c>
      <c r="Q2958" t="s">
        <v>1310</v>
      </c>
      <c r="R2958" t="s">
        <v>201</v>
      </c>
      <c r="S2958">
        <v>2</v>
      </c>
      <c r="T2958">
        <v>1</v>
      </c>
      <c r="U2958">
        <v>111252</v>
      </c>
      <c r="V2958">
        <v>222504</v>
      </c>
    </row>
    <row r="2959" spans="1:22">
      <c r="A2959" t="s">
        <v>196</v>
      </c>
      <c r="B2959">
        <v>57</v>
      </c>
      <c r="C2959" t="s">
        <v>31</v>
      </c>
      <c r="D2959">
        <v>100</v>
      </c>
      <c r="E2959" t="s">
        <v>197</v>
      </c>
      <c r="F2959">
        <v>1005</v>
      </c>
      <c r="G2959" t="s">
        <v>31</v>
      </c>
      <c r="H2959">
        <v>2037</v>
      </c>
      <c r="I2959" t="s">
        <v>37</v>
      </c>
      <c r="J2959">
        <v>3066</v>
      </c>
      <c r="K2959" t="s">
        <v>1421</v>
      </c>
      <c r="L2959">
        <v>4137</v>
      </c>
      <c r="M2959" t="s">
        <v>1423</v>
      </c>
      <c r="N2959" t="s">
        <v>199</v>
      </c>
      <c r="O2959">
        <v>0</v>
      </c>
      <c r="P2959">
        <v>15</v>
      </c>
      <c r="Q2959" t="s">
        <v>264</v>
      </c>
      <c r="R2959" t="s">
        <v>201</v>
      </c>
      <c r="S2959">
        <v>0</v>
      </c>
      <c r="T2959">
        <v>0</v>
      </c>
      <c r="U2959">
        <v>7228</v>
      </c>
      <c r="V2959">
        <v>7228</v>
      </c>
    </row>
    <row r="2960" spans="1:22">
      <c r="A2960" t="s">
        <v>196</v>
      </c>
      <c r="B2960">
        <v>57</v>
      </c>
      <c r="C2960" t="s">
        <v>31</v>
      </c>
      <c r="D2960">
        <v>100</v>
      </c>
      <c r="E2960" t="s">
        <v>197</v>
      </c>
      <c r="F2960">
        <v>1005</v>
      </c>
      <c r="G2960" t="s">
        <v>31</v>
      </c>
      <c r="H2960">
        <v>2037</v>
      </c>
      <c r="I2960" t="s">
        <v>37</v>
      </c>
      <c r="J2960">
        <v>3069</v>
      </c>
      <c r="K2960" t="s">
        <v>1424</v>
      </c>
      <c r="L2960">
        <v>4139</v>
      </c>
      <c r="M2960" t="s">
        <v>1424</v>
      </c>
      <c r="N2960" t="s">
        <v>1304</v>
      </c>
      <c r="O2960">
        <v>73</v>
      </c>
      <c r="P2960">
        <v>9173</v>
      </c>
      <c r="Q2960" t="s">
        <v>1323</v>
      </c>
      <c r="R2960" t="s">
        <v>201</v>
      </c>
      <c r="S2960">
        <v>1</v>
      </c>
      <c r="T2960">
        <v>1</v>
      </c>
      <c r="U2960">
        <v>165624</v>
      </c>
      <c r="V2960">
        <v>165624</v>
      </c>
    </row>
    <row r="2961" spans="1:22">
      <c r="A2961" t="s">
        <v>196</v>
      </c>
      <c r="B2961">
        <v>57</v>
      </c>
      <c r="C2961" t="s">
        <v>31</v>
      </c>
      <c r="D2961">
        <v>100</v>
      </c>
      <c r="E2961" t="s">
        <v>197</v>
      </c>
      <c r="F2961">
        <v>1005</v>
      </c>
      <c r="G2961" t="s">
        <v>31</v>
      </c>
      <c r="H2961">
        <v>2037</v>
      </c>
      <c r="I2961" t="s">
        <v>37</v>
      </c>
      <c r="J2961">
        <v>3069</v>
      </c>
      <c r="K2961" t="s">
        <v>1424</v>
      </c>
      <c r="L2961">
        <v>4139</v>
      </c>
      <c r="M2961" t="s">
        <v>1424</v>
      </c>
      <c r="N2961" t="s">
        <v>1304</v>
      </c>
      <c r="O2961">
        <v>73</v>
      </c>
      <c r="P2961">
        <v>9173</v>
      </c>
      <c r="Q2961" t="s">
        <v>1323</v>
      </c>
      <c r="R2961" t="s">
        <v>201</v>
      </c>
      <c r="S2961">
        <v>1</v>
      </c>
      <c r="T2961">
        <v>1</v>
      </c>
      <c r="U2961">
        <v>160746</v>
      </c>
      <c r="V2961">
        <v>160746</v>
      </c>
    </row>
    <row r="2962" spans="1:22">
      <c r="A2962" t="s">
        <v>196</v>
      </c>
      <c r="B2962">
        <v>57</v>
      </c>
      <c r="C2962" t="s">
        <v>31</v>
      </c>
      <c r="D2962">
        <v>100</v>
      </c>
      <c r="E2962" t="s">
        <v>197</v>
      </c>
      <c r="F2962">
        <v>1005</v>
      </c>
      <c r="G2962" t="s">
        <v>31</v>
      </c>
      <c r="H2962">
        <v>2037</v>
      </c>
      <c r="I2962" t="s">
        <v>37</v>
      </c>
      <c r="J2962">
        <v>3069</v>
      </c>
      <c r="K2962" t="s">
        <v>1424</v>
      </c>
      <c r="L2962">
        <v>4139</v>
      </c>
      <c r="M2962" t="s">
        <v>1424</v>
      </c>
      <c r="N2962" t="s">
        <v>1302</v>
      </c>
      <c r="O2962">
        <v>71</v>
      </c>
      <c r="P2962">
        <v>9171</v>
      </c>
      <c r="Q2962" t="s">
        <v>1303</v>
      </c>
      <c r="R2962" t="s">
        <v>201</v>
      </c>
      <c r="S2962">
        <v>1</v>
      </c>
      <c r="T2962">
        <v>1</v>
      </c>
      <c r="U2962">
        <v>156564</v>
      </c>
      <c r="V2962">
        <v>156564</v>
      </c>
    </row>
    <row r="2963" spans="1:22">
      <c r="A2963" t="s">
        <v>196</v>
      </c>
      <c r="B2963">
        <v>57</v>
      </c>
      <c r="C2963" t="s">
        <v>31</v>
      </c>
      <c r="D2963">
        <v>100</v>
      </c>
      <c r="E2963" t="s">
        <v>197</v>
      </c>
      <c r="F2963">
        <v>1005</v>
      </c>
      <c r="G2963" t="s">
        <v>31</v>
      </c>
      <c r="H2963">
        <v>2037</v>
      </c>
      <c r="I2963" t="s">
        <v>37</v>
      </c>
      <c r="J2963">
        <v>3069</v>
      </c>
      <c r="K2963" t="s">
        <v>1424</v>
      </c>
      <c r="L2963">
        <v>4139</v>
      </c>
      <c r="M2963" t="s">
        <v>1424</v>
      </c>
      <c r="N2963" t="s">
        <v>1302</v>
      </c>
      <c r="O2963">
        <v>71</v>
      </c>
      <c r="P2963">
        <v>9171</v>
      </c>
      <c r="Q2963" t="s">
        <v>1303</v>
      </c>
      <c r="R2963" t="s">
        <v>201</v>
      </c>
      <c r="S2963">
        <v>2</v>
      </c>
      <c r="T2963">
        <v>1</v>
      </c>
      <c r="U2963">
        <v>147252</v>
      </c>
      <c r="V2963">
        <v>294504</v>
      </c>
    </row>
    <row r="2964" spans="1:22">
      <c r="A2964" t="s">
        <v>196</v>
      </c>
      <c r="B2964">
        <v>57</v>
      </c>
      <c r="C2964" t="s">
        <v>31</v>
      </c>
      <c r="D2964">
        <v>100</v>
      </c>
      <c r="E2964" t="s">
        <v>197</v>
      </c>
      <c r="F2964">
        <v>1005</v>
      </c>
      <c r="G2964" t="s">
        <v>31</v>
      </c>
      <c r="H2964">
        <v>2037</v>
      </c>
      <c r="I2964" t="s">
        <v>37</v>
      </c>
      <c r="J2964">
        <v>3069</v>
      </c>
      <c r="K2964" t="s">
        <v>1424</v>
      </c>
      <c r="L2964">
        <v>4139</v>
      </c>
      <c r="M2964" t="s">
        <v>1424</v>
      </c>
      <c r="N2964" t="s">
        <v>1302</v>
      </c>
      <c r="O2964">
        <v>71</v>
      </c>
      <c r="P2964">
        <v>9171</v>
      </c>
      <c r="Q2964" t="s">
        <v>1303</v>
      </c>
      <c r="R2964" t="s">
        <v>201</v>
      </c>
      <c r="S2964">
        <v>1</v>
      </c>
      <c r="T2964">
        <v>1</v>
      </c>
      <c r="U2964">
        <v>142668</v>
      </c>
      <c r="V2964">
        <v>142668</v>
      </c>
    </row>
    <row r="2965" spans="1:22">
      <c r="A2965" t="s">
        <v>196</v>
      </c>
      <c r="B2965">
        <v>57</v>
      </c>
      <c r="C2965" t="s">
        <v>31</v>
      </c>
      <c r="D2965">
        <v>100</v>
      </c>
      <c r="E2965" t="s">
        <v>197</v>
      </c>
      <c r="F2965">
        <v>1005</v>
      </c>
      <c r="G2965" t="s">
        <v>31</v>
      </c>
      <c r="H2965">
        <v>2037</v>
      </c>
      <c r="I2965" t="s">
        <v>37</v>
      </c>
      <c r="J2965">
        <v>3069</v>
      </c>
      <c r="K2965" t="s">
        <v>1424</v>
      </c>
      <c r="L2965">
        <v>4139</v>
      </c>
      <c r="M2965" t="s">
        <v>1424</v>
      </c>
      <c r="N2965" t="s">
        <v>1309</v>
      </c>
      <c r="O2965">
        <v>91</v>
      </c>
      <c r="P2965">
        <v>9161</v>
      </c>
      <c r="Q2965" t="s">
        <v>1310</v>
      </c>
      <c r="R2965" t="s">
        <v>201</v>
      </c>
      <c r="S2965">
        <v>1</v>
      </c>
      <c r="T2965">
        <v>1</v>
      </c>
      <c r="U2965">
        <v>123576</v>
      </c>
      <c r="V2965">
        <v>123576</v>
      </c>
    </row>
    <row r="2966" spans="1:22">
      <c r="A2966" t="s">
        <v>196</v>
      </c>
      <c r="B2966">
        <v>57</v>
      </c>
      <c r="C2966" t="s">
        <v>31</v>
      </c>
      <c r="D2966">
        <v>100</v>
      </c>
      <c r="E2966" t="s">
        <v>197</v>
      </c>
      <c r="F2966">
        <v>1005</v>
      </c>
      <c r="G2966" t="s">
        <v>31</v>
      </c>
      <c r="H2966">
        <v>2037</v>
      </c>
      <c r="I2966" t="s">
        <v>37</v>
      </c>
      <c r="J2966">
        <v>3069</v>
      </c>
      <c r="K2966" t="s">
        <v>1424</v>
      </c>
      <c r="L2966">
        <v>4139</v>
      </c>
      <c r="M2966" t="s">
        <v>1424</v>
      </c>
      <c r="N2966" t="s">
        <v>1309</v>
      </c>
      <c r="O2966">
        <v>91</v>
      </c>
      <c r="P2966">
        <v>9161</v>
      </c>
      <c r="Q2966" t="s">
        <v>1310</v>
      </c>
      <c r="R2966" t="s">
        <v>201</v>
      </c>
      <c r="S2966">
        <v>1</v>
      </c>
      <c r="T2966">
        <v>1</v>
      </c>
      <c r="U2966">
        <v>119154</v>
      </c>
      <c r="V2966">
        <v>119154</v>
      </c>
    </row>
    <row r="2967" spans="1:22">
      <c r="A2967" t="s">
        <v>196</v>
      </c>
      <c r="B2967">
        <v>57</v>
      </c>
      <c r="C2967" t="s">
        <v>31</v>
      </c>
      <c r="D2967">
        <v>100</v>
      </c>
      <c r="E2967" t="s">
        <v>197</v>
      </c>
      <c r="F2967">
        <v>1005</v>
      </c>
      <c r="G2967" t="s">
        <v>31</v>
      </c>
      <c r="H2967">
        <v>2037</v>
      </c>
      <c r="I2967" t="s">
        <v>37</v>
      </c>
      <c r="J2967">
        <v>3069</v>
      </c>
      <c r="K2967" t="s">
        <v>1424</v>
      </c>
      <c r="L2967">
        <v>4139</v>
      </c>
      <c r="M2967" t="s">
        <v>1424</v>
      </c>
      <c r="N2967" t="s">
        <v>1309</v>
      </c>
      <c r="O2967">
        <v>91</v>
      </c>
      <c r="P2967">
        <v>9161</v>
      </c>
      <c r="Q2967" t="s">
        <v>1310</v>
      </c>
      <c r="R2967" t="s">
        <v>201</v>
      </c>
      <c r="S2967">
        <v>2</v>
      </c>
      <c r="T2967">
        <v>1</v>
      </c>
      <c r="U2967">
        <v>115158</v>
      </c>
      <c r="V2967">
        <v>230316</v>
      </c>
    </row>
    <row r="2968" spans="1:22">
      <c r="A2968" t="s">
        <v>196</v>
      </c>
      <c r="B2968">
        <v>57</v>
      </c>
      <c r="C2968" t="s">
        <v>31</v>
      </c>
      <c r="D2968">
        <v>100</v>
      </c>
      <c r="E2968" t="s">
        <v>197</v>
      </c>
      <c r="F2968">
        <v>1005</v>
      </c>
      <c r="G2968" t="s">
        <v>31</v>
      </c>
      <c r="H2968">
        <v>2037</v>
      </c>
      <c r="I2968" t="s">
        <v>37</v>
      </c>
      <c r="J2968">
        <v>3069</v>
      </c>
      <c r="K2968" t="s">
        <v>1424</v>
      </c>
      <c r="L2968">
        <v>4139</v>
      </c>
      <c r="M2968" t="s">
        <v>1424</v>
      </c>
      <c r="N2968" t="s">
        <v>392</v>
      </c>
      <c r="O2968">
        <v>3</v>
      </c>
      <c r="P2968">
        <v>9117</v>
      </c>
      <c r="Q2968" t="s">
        <v>1347</v>
      </c>
      <c r="R2968" t="s">
        <v>201</v>
      </c>
      <c r="S2968">
        <v>5</v>
      </c>
      <c r="T2968">
        <v>1</v>
      </c>
      <c r="U2968">
        <v>119100</v>
      </c>
      <c r="V2968">
        <v>595500</v>
      </c>
    </row>
    <row r="2969" spans="1:22">
      <c r="A2969" t="s">
        <v>196</v>
      </c>
      <c r="B2969">
        <v>57</v>
      </c>
      <c r="C2969" t="s">
        <v>31</v>
      </c>
      <c r="D2969">
        <v>100</v>
      </c>
      <c r="E2969" t="s">
        <v>197</v>
      </c>
      <c r="F2969">
        <v>1005</v>
      </c>
      <c r="G2969" t="s">
        <v>31</v>
      </c>
      <c r="H2969">
        <v>2037</v>
      </c>
      <c r="I2969" t="s">
        <v>37</v>
      </c>
      <c r="J2969">
        <v>3069</v>
      </c>
      <c r="K2969" t="s">
        <v>1424</v>
      </c>
      <c r="L2969">
        <v>4139</v>
      </c>
      <c r="M2969" t="s">
        <v>1424</v>
      </c>
      <c r="N2969" t="s">
        <v>392</v>
      </c>
      <c r="O2969">
        <v>3</v>
      </c>
      <c r="P2969">
        <v>9117</v>
      </c>
      <c r="Q2969" t="s">
        <v>1347</v>
      </c>
      <c r="R2969" t="s">
        <v>201</v>
      </c>
      <c r="S2969">
        <v>5</v>
      </c>
      <c r="T2969">
        <v>1</v>
      </c>
      <c r="U2969">
        <v>112536</v>
      </c>
      <c r="V2969">
        <v>562680</v>
      </c>
    </row>
    <row r="2970" spans="1:22">
      <c r="A2970" t="s">
        <v>196</v>
      </c>
      <c r="B2970">
        <v>57</v>
      </c>
      <c r="C2970" t="s">
        <v>31</v>
      </c>
      <c r="D2970">
        <v>100</v>
      </c>
      <c r="E2970" t="s">
        <v>197</v>
      </c>
      <c r="F2970">
        <v>1005</v>
      </c>
      <c r="G2970" t="s">
        <v>31</v>
      </c>
      <c r="H2970">
        <v>2037</v>
      </c>
      <c r="I2970" t="s">
        <v>37</v>
      </c>
      <c r="J2970">
        <v>3069</v>
      </c>
      <c r="K2970" t="s">
        <v>1424</v>
      </c>
      <c r="L2970">
        <v>4139</v>
      </c>
      <c r="M2970" t="s">
        <v>1424</v>
      </c>
      <c r="N2970" t="s">
        <v>392</v>
      </c>
      <c r="O2970">
        <v>3</v>
      </c>
      <c r="P2970">
        <v>9117</v>
      </c>
      <c r="Q2970" t="s">
        <v>1347</v>
      </c>
      <c r="R2970" t="s">
        <v>201</v>
      </c>
      <c r="S2970">
        <v>2</v>
      </c>
      <c r="T2970">
        <v>1</v>
      </c>
      <c r="U2970">
        <v>107508</v>
      </c>
      <c r="V2970">
        <v>215016</v>
      </c>
    </row>
    <row r="2971" spans="1:22">
      <c r="A2971" t="s">
        <v>196</v>
      </c>
      <c r="B2971">
        <v>57</v>
      </c>
      <c r="C2971" t="s">
        <v>31</v>
      </c>
      <c r="D2971">
        <v>100</v>
      </c>
      <c r="E2971" t="s">
        <v>197</v>
      </c>
      <c r="F2971">
        <v>1005</v>
      </c>
      <c r="G2971" t="s">
        <v>31</v>
      </c>
      <c r="H2971">
        <v>2037</v>
      </c>
      <c r="I2971" t="s">
        <v>37</v>
      </c>
      <c r="J2971">
        <v>3069</v>
      </c>
      <c r="K2971" t="s">
        <v>1424</v>
      </c>
      <c r="L2971">
        <v>4139</v>
      </c>
      <c r="M2971" t="s">
        <v>1424</v>
      </c>
      <c r="N2971" t="s">
        <v>392</v>
      </c>
      <c r="O2971">
        <v>3</v>
      </c>
      <c r="P2971">
        <v>9117</v>
      </c>
      <c r="Q2971" t="s">
        <v>1347</v>
      </c>
      <c r="R2971" t="s">
        <v>201</v>
      </c>
      <c r="S2971">
        <v>2</v>
      </c>
      <c r="T2971">
        <v>1</v>
      </c>
      <c r="U2971">
        <v>102588</v>
      </c>
      <c r="V2971">
        <v>205176</v>
      </c>
    </row>
    <row r="2972" spans="1:22">
      <c r="A2972" t="s">
        <v>196</v>
      </c>
      <c r="B2972">
        <v>57</v>
      </c>
      <c r="C2972" t="s">
        <v>31</v>
      </c>
      <c r="D2972">
        <v>100</v>
      </c>
      <c r="E2972" t="s">
        <v>197</v>
      </c>
      <c r="F2972">
        <v>1005</v>
      </c>
      <c r="G2972" t="s">
        <v>31</v>
      </c>
      <c r="H2972">
        <v>2037</v>
      </c>
      <c r="I2972" t="s">
        <v>37</v>
      </c>
      <c r="J2972">
        <v>3069</v>
      </c>
      <c r="K2972" t="s">
        <v>1424</v>
      </c>
      <c r="L2972">
        <v>4139</v>
      </c>
      <c r="M2972" t="s">
        <v>1424</v>
      </c>
      <c r="N2972" t="s">
        <v>392</v>
      </c>
      <c r="O2972">
        <v>3</v>
      </c>
      <c r="P2972">
        <v>9117</v>
      </c>
      <c r="Q2972" t="s">
        <v>1347</v>
      </c>
      <c r="R2972" t="s">
        <v>201</v>
      </c>
      <c r="S2972">
        <v>3</v>
      </c>
      <c r="T2972">
        <v>1</v>
      </c>
      <c r="U2972">
        <v>90732</v>
      </c>
      <c r="V2972">
        <v>272196</v>
      </c>
    </row>
    <row r="2973" spans="1:22">
      <c r="A2973" t="s">
        <v>196</v>
      </c>
      <c r="B2973">
        <v>57</v>
      </c>
      <c r="C2973" t="s">
        <v>31</v>
      </c>
      <c r="D2973">
        <v>100</v>
      </c>
      <c r="E2973" t="s">
        <v>197</v>
      </c>
      <c r="F2973">
        <v>1005</v>
      </c>
      <c r="G2973" t="s">
        <v>31</v>
      </c>
      <c r="H2973">
        <v>2037</v>
      </c>
      <c r="I2973" t="s">
        <v>37</v>
      </c>
      <c r="J2973">
        <v>3069</v>
      </c>
      <c r="K2973" t="s">
        <v>1424</v>
      </c>
      <c r="L2973">
        <v>4139</v>
      </c>
      <c r="M2973" t="s">
        <v>1424</v>
      </c>
      <c r="N2973" t="s">
        <v>281</v>
      </c>
      <c r="O2973">
        <v>20</v>
      </c>
      <c r="P2973">
        <v>1141</v>
      </c>
      <c r="Q2973" t="s">
        <v>332</v>
      </c>
      <c r="R2973" t="s">
        <v>201</v>
      </c>
      <c r="S2973">
        <v>1</v>
      </c>
      <c r="T2973">
        <v>1</v>
      </c>
      <c r="U2973">
        <v>112080</v>
      </c>
      <c r="V2973">
        <v>112080</v>
      </c>
    </row>
    <row r="2974" spans="1:22">
      <c r="A2974" t="s">
        <v>196</v>
      </c>
      <c r="B2974">
        <v>57</v>
      </c>
      <c r="C2974" t="s">
        <v>31</v>
      </c>
      <c r="D2974">
        <v>100</v>
      </c>
      <c r="E2974" t="s">
        <v>197</v>
      </c>
      <c r="F2974">
        <v>1005</v>
      </c>
      <c r="G2974" t="s">
        <v>31</v>
      </c>
      <c r="H2974">
        <v>2037</v>
      </c>
      <c r="I2974" t="s">
        <v>37</v>
      </c>
      <c r="J2974">
        <v>3069</v>
      </c>
      <c r="K2974" t="s">
        <v>1424</v>
      </c>
      <c r="L2974">
        <v>4139</v>
      </c>
      <c r="M2974" t="s">
        <v>1424</v>
      </c>
      <c r="N2974" t="s">
        <v>281</v>
      </c>
      <c r="O2974">
        <v>20</v>
      </c>
      <c r="P2974">
        <v>1141</v>
      </c>
      <c r="Q2974" t="s">
        <v>332</v>
      </c>
      <c r="R2974" t="s">
        <v>201</v>
      </c>
      <c r="S2974">
        <v>4</v>
      </c>
      <c r="T2974">
        <v>1</v>
      </c>
      <c r="U2974">
        <v>85236</v>
      </c>
      <c r="V2974">
        <v>340944</v>
      </c>
    </row>
    <row r="2975" spans="1:22">
      <c r="A2975" t="s">
        <v>196</v>
      </c>
      <c r="B2975">
        <v>57</v>
      </c>
      <c r="C2975" t="s">
        <v>31</v>
      </c>
      <c r="D2975">
        <v>100</v>
      </c>
      <c r="E2975" t="s">
        <v>197</v>
      </c>
      <c r="F2975">
        <v>1005</v>
      </c>
      <c r="G2975" t="s">
        <v>31</v>
      </c>
      <c r="H2975">
        <v>2037</v>
      </c>
      <c r="I2975" t="s">
        <v>37</v>
      </c>
      <c r="J2975">
        <v>3069</v>
      </c>
      <c r="K2975" t="s">
        <v>1424</v>
      </c>
      <c r="L2975">
        <v>4139</v>
      </c>
      <c r="M2975" t="s">
        <v>1424</v>
      </c>
      <c r="N2975" t="s">
        <v>281</v>
      </c>
      <c r="O2975">
        <v>20</v>
      </c>
      <c r="P2975">
        <v>1141</v>
      </c>
      <c r="Q2975" t="s">
        <v>332</v>
      </c>
      <c r="R2975" t="s">
        <v>201</v>
      </c>
      <c r="S2975">
        <v>9</v>
      </c>
      <c r="T2975">
        <v>1</v>
      </c>
      <c r="U2975">
        <v>82884</v>
      </c>
      <c r="V2975">
        <v>745956</v>
      </c>
    </row>
    <row r="2976" spans="1:22">
      <c r="A2976" t="s">
        <v>196</v>
      </c>
      <c r="B2976">
        <v>57</v>
      </c>
      <c r="C2976" t="s">
        <v>31</v>
      </c>
      <c r="D2976">
        <v>100</v>
      </c>
      <c r="E2976" t="s">
        <v>197</v>
      </c>
      <c r="F2976">
        <v>1005</v>
      </c>
      <c r="G2976" t="s">
        <v>31</v>
      </c>
      <c r="H2976">
        <v>2037</v>
      </c>
      <c r="I2976" t="s">
        <v>37</v>
      </c>
      <c r="J2976">
        <v>3069</v>
      </c>
      <c r="K2976" t="s">
        <v>1424</v>
      </c>
      <c r="L2976">
        <v>4139</v>
      </c>
      <c r="M2976" t="s">
        <v>1424</v>
      </c>
      <c r="N2976" t="s">
        <v>333</v>
      </c>
      <c r="O2976">
        <v>3</v>
      </c>
      <c r="P2976">
        <v>1140</v>
      </c>
      <c r="Q2976" t="s">
        <v>334</v>
      </c>
      <c r="R2976" t="s">
        <v>201</v>
      </c>
      <c r="S2976">
        <v>2</v>
      </c>
      <c r="T2976">
        <v>1</v>
      </c>
      <c r="U2976">
        <v>117636</v>
      </c>
      <c r="V2976">
        <v>235272</v>
      </c>
    </row>
    <row r="2977" spans="1:22">
      <c r="A2977" t="s">
        <v>196</v>
      </c>
      <c r="B2977">
        <v>57</v>
      </c>
      <c r="C2977" t="s">
        <v>31</v>
      </c>
      <c r="D2977">
        <v>100</v>
      </c>
      <c r="E2977" t="s">
        <v>197</v>
      </c>
      <c r="F2977">
        <v>1005</v>
      </c>
      <c r="G2977" t="s">
        <v>31</v>
      </c>
      <c r="H2977">
        <v>2037</v>
      </c>
      <c r="I2977" t="s">
        <v>37</v>
      </c>
      <c r="J2977">
        <v>3069</v>
      </c>
      <c r="K2977" t="s">
        <v>1424</v>
      </c>
      <c r="L2977">
        <v>4139</v>
      </c>
      <c r="M2977" t="s">
        <v>1424</v>
      </c>
      <c r="N2977" t="s">
        <v>333</v>
      </c>
      <c r="O2977">
        <v>3</v>
      </c>
      <c r="P2977">
        <v>1140</v>
      </c>
      <c r="Q2977" t="s">
        <v>334</v>
      </c>
      <c r="R2977" t="s">
        <v>201</v>
      </c>
      <c r="S2977">
        <v>3</v>
      </c>
      <c r="T2977">
        <v>1</v>
      </c>
      <c r="U2977">
        <v>109140</v>
      </c>
      <c r="V2977">
        <v>327420</v>
      </c>
    </row>
    <row r="2978" spans="1:22">
      <c r="A2978" t="s">
        <v>196</v>
      </c>
      <c r="B2978">
        <v>57</v>
      </c>
      <c r="C2978" t="s">
        <v>31</v>
      </c>
      <c r="D2978">
        <v>100</v>
      </c>
      <c r="E2978" t="s">
        <v>197</v>
      </c>
      <c r="F2978">
        <v>1005</v>
      </c>
      <c r="G2978" t="s">
        <v>31</v>
      </c>
      <c r="H2978">
        <v>2037</v>
      </c>
      <c r="I2978" t="s">
        <v>37</v>
      </c>
      <c r="J2978">
        <v>3069</v>
      </c>
      <c r="K2978" t="s">
        <v>1424</v>
      </c>
      <c r="L2978">
        <v>4139</v>
      </c>
      <c r="M2978" t="s">
        <v>1424</v>
      </c>
      <c r="N2978" t="s">
        <v>386</v>
      </c>
      <c r="O2978">
        <v>3</v>
      </c>
      <c r="P2978" t="s">
        <v>1251</v>
      </c>
      <c r="Q2978" t="s">
        <v>1252</v>
      </c>
      <c r="R2978" t="s">
        <v>201</v>
      </c>
      <c r="S2978">
        <v>4</v>
      </c>
      <c r="T2978">
        <v>1</v>
      </c>
      <c r="U2978">
        <v>140148</v>
      </c>
      <c r="V2978">
        <v>560592</v>
      </c>
    </row>
    <row r="2979" spans="1:22">
      <c r="A2979" t="s">
        <v>196</v>
      </c>
      <c r="B2979">
        <v>57</v>
      </c>
      <c r="C2979" t="s">
        <v>31</v>
      </c>
      <c r="D2979">
        <v>100</v>
      </c>
      <c r="E2979" t="s">
        <v>197</v>
      </c>
      <c r="F2979">
        <v>1005</v>
      </c>
      <c r="G2979" t="s">
        <v>31</v>
      </c>
      <c r="H2979">
        <v>2037</v>
      </c>
      <c r="I2979" t="s">
        <v>37</v>
      </c>
      <c r="J2979">
        <v>3069</v>
      </c>
      <c r="K2979" t="s">
        <v>1424</v>
      </c>
      <c r="L2979">
        <v>4139</v>
      </c>
      <c r="M2979" t="s">
        <v>1424</v>
      </c>
      <c r="N2979" t="s">
        <v>386</v>
      </c>
      <c r="O2979">
        <v>3</v>
      </c>
      <c r="P2979" t="s">
        <v>1251</v>
      </c>
      <c r="Q2979" t="s">
        <v>1252</v>
      </c>
      <c r="R2979" t="s">
        <v>201</v>
      </c>
      <c r="S2979">
        <v>1</v>
      </c>
      <c r="T2979">
        <v>1</v>
      </c>
      <c r="U2979">
        <v>119244</v>
      </c>
      <c r="V2979">
        <v>119244</v>
      </c>
    </row>
    <row r="2980" spans="1:22">
      <c r="A2980" t="s">
        <v>196</v>
      </c>
      <c r="B2980">
        <v>57</v>
      </c>
      <c r="C2980" t="s">
        <v>31</v>
      </c>
      <c r="D2980">
        <v>100</v>
      </c>
      <c r="E2980" t="s">
        <v>197</v>
      </c>
      <c r="F2980">
        <v>1005</v>
      </c>
      <c r="G2980" t="s">
        <v>31</v>
      </c>
      <c r="H2980">
        <v>2037</v>
      </c>
      <c r="I2980" t="s">
        <v>37</v>
      </c>
      <c r="J2980">
        <v>3069</v>
      </c>
      <c r="K2980" t="s">
        <v>1424</v>
      </c>
      <c r="L2980">
        <v>4139</v>
      </c>
      <c r="M2980" t="s">
        <v>1424</v>
      </c>
      <c r="N2980" t="s">
        <v>199</v>
      </c>
      <c r="O2980">
        <v>0</v>
      </c>
      <c r="P2980">
        <v>15</v>
      </c>
      <c r="Q2980" t="s">
        <v>264</v>
      </c>
      <c r="R2980" t="s">
        <v>201</v>
      </c>
      <c r="S2980">
        <v>0</v>
      </c>
      <c r="T2980">
        <v>0</v>
      </c>
      <c r="U2980">
        <v>48333</v>
      </c>
      <c r="V2980">
        <v>48333</v>
      </c>
    </row>
    <row r="2981" spans="1:22">
      <c r="A2981" t="s">
        <v>196</v>
      </c>
      <c r="B2981">
        <v>57</v>
      </c>
      <c r="C2981" t="s">
        <v>31</v>
      </c>
      <c r="D2981">
        <v>100</v>
      </c>
      <c r="E2981" t="s">
        <v>197</v>
      </c>
      <c r="F2981">
        <v>1005</v>
      </c>
      <c r="G2981" t="s">
        <v>31</v>
      </c>
      <c r="H2981">
        <v>2037</v>
      </c>
      <c r="I2981" t="s">
        <v>37</v>
      </c>
      <c r="J2981">
        <v>3069</v>
      </c>
      <c r="K2981" t="s">
        <v>1424</v>
      </c>
      <c r="L2981">
        <v>4143</v>
      </c>
      <c r="M2981" t="s">
        <v>1425</v>
      </c>
      <c r="N2981" t="s">
        <v>216</v>
      </c>
      <c r="O2981">
        <v>99</v>
      </c>
      <c r="P2981">
        <v>9752</v>
      </c>
      <c r="Q2981" t="s">
        <v>1296</v>
      </c>
      <c r="R2981" t="s">
        <v>201</v>
      </c>
      <c r="S2981">
        <v>1</v>
      </c>
      <c r="T2981">
        <v>1</v>
      </c>
      <c r="U2981">
        <v>192240</v>
      </c>
      <c r="V2981">
        <v>192240</v>
      </c>
    </row>
    <row r="2982" spans="1:22">
      <c r="A2982" t="s">
        <v>196</v>
      </c>
      <c r="B2982">
        <v>57</v>
      </c>
      <c r="C2982" t="s">
        <v>31</v>
      </c>
      <c r="D2982">
        <v>100</v>
      </c>
      <c r="E2982" t="s">
        <v>197</v>
      </c>
      <c r="F2982">
        <v>1005</v>
      </c>
      <c r="G2982" t="s">
        <v>31</v>
      </c>
      <c r="H2982">
        <v>2037</v>
      </c>
      <c r="I2982" t="s">
        <v>37</v>
      </c>
      <c r="J2982">
        <v>3069</v>
      </c>
      <c r="K2982" t="s">
        <v>1424</v>
      </c>
      <c r="L2982">
        <v>4143</v>
      </c>
      <c r="M2982" t="s">
        <v>1425</v>
      </c>
      <c r="N2982" t="s">
        <v>1304</v>
      </c>
      <c r="O2982">
        <v>73</v>
      </c>
      <c r="P2982">
        <v>9173</v>
      </c>
      <c r="Q2982" t="s">
        <v>1323</v>
      </c>
      <c r="R2982" t="s">
        <v>201</v>
      </c>
      <c r="S2982">
        <v>4</v>
      </c>
      <c r="T2982">
        <v>1</v>
      </c>
      <c r="U2982">
        <v>170700</v>
      </c>
      <c r="V2982">
        <v>682800</v>
      </c>
    </row>
    <row r="2983" spans="1:22">
      <c r="A2983" t="s">
        <v>196</v>
      </c>
      <c r="B2983">
        <v>57</v>
      </c>
      <c r="C2983" t="s">
        <v>31</v>
      </c>
      <c r="D2983">
        <v>100</v>
      </c>
      <c r="E2983" t="s">
        <v>197</v>
      </c>
      <c r="F2983">
        <v>1005</v>
      </c>
      <c r="G2983" t="s">
        <v>31</v>
      </c>
      <c r="H2983">
        <v>2037</v>
      </c>
      <c r="I2983" t="s">
        <v>37</v>
      </c>
      <c r="J2983">
        <v>3069</v>
      </c>
      <c r="K2983" t="s">
        <v>1424</v>
      </c>
      <c r="L2983">
        <v>4143</v>
      </c>
      <c r="M2983" t="s">
        <v>1425</v>
      </c>
      <c r="N2983" t="s">
        <v>1304</v>
      </c>
      <c r="O2983">
        <v>73</v>
      </c>
      <c r="P2983">
        <v>9173</v>
      </c>
      <c r="Q2983" t="s">
        <v>1323</v>
      </c>
      <c r="R2983" t="s">
        <v>201</v>
      </c>
      <c r="S2983">
        <v>1</v>
      </c>
      <c r="T2983">
        <v>1</v>
      </c>
      <c r="U2983">
        <v>165624</v>
      </c>
      <c r="V2983">
        <v>165624</v>
      </c>
    </row>
    <row r="2984" spans="1:22">
      <c r="A2984" t="s">
        <v>196</v>
      </c>
      <c r="B2984">
        <v>57</v>
      </c>
      <c r="C2984" t="s">
        <v>31</v>
      </c>
      <c r="D2984">
        <v>100</v>
      </c>
      <c r="E2984" t="s">
        <v>197</v>
      </c>
      <c r="F2984">
        <v>1005</v>
      </c>
      <c r="G2984" t="s">
        <v>31</v>
      </c>
      <c r="H2984">
        <v>2037</v>
      </c>
      <c r="I2984" t="s">
        <v>37</v>
      </c>
      <c r="J2984">
        <v>3069</v>
      </c>
      <c r="K2984" t="s">
        <v>1424</v>
      </c>
      <c r="L2984">
        <v>4143</v>
      </c>
      <c r="M2984" t="s">
        <v>1425</v>
      </c>
      <c r="N2984" t="s">
        <v>1304</v>
      </c>
      <c r="O2984">
        <v>73</v>
      </c>
      <c r="P2984">
        <v>9173</v>
      </c>
      <c r="Q2984" t="s">
        <v>1323</v>
      </c>
      <c r="R2984" t="s">
        <v>201</v>
      </c>
      <c r="S2984">
        <v>1</v>
      </c>
      <c r="T2984">
        <v>1</v>
      </c>
      <c r="U2984">
        <v>160746</v>
      </c>
      <c r="V2984">
        <v>160746</v>
      </c>
    </row>
    <row r="2985" spans="1:22">
      <c r="A2985" t="s">
        <v>196</v>
      </c>
      <c r="B2985">
        <v>57</v>
      </c>
      <c r="C2985" t="s">
        <v>31</v>
      </c>
      <c r="D2985">
        <v>100</v>
      </c>
      <c r="E2985" t="s">
        <v>197</v>
      </c>
      <c r="F2985">
        <v>1005</v>
      </c>
      <c r="G2985" t="s">
        <v>31</v>
      </c>
      <c r="H2985">
        <v>2037</v>
      </c>
      <c r="I2985" t="s">
        <v>37</v>
      </c>
      <c r="J2985">
        <v>3069</v>
      </c>
      <c r="K2985" t="s">
        <v>1424</v>
      </c>
      <c r="L2985">
        <v>4143</v>
      </c>
      <c r="M2985" t="s">
        <v>1425</v>
      </c>
      <c r="N2985" t="s">
        <v>1302</v>
      </c>
      <c r="O2985">
        <v>71</v>
      </c>
      <c r="P2985">
        <v>9171</v>
      </c>
      <c r="Q2985" t="s">
        <v>1303</v>
      </c>
      <c r="R2985" t="s">
        <v>201</v>
      </c>
      <c r="S2985">
        <v>1</v>
      </c>
      <c r="T2985">
        <v>1</v>
      </c>
      <c r="U2985">
        <v>156564</v>
      </c>
      <c r="V2985">
        <v>156564</v>
      </c>
    </row>
    <row r="2986" spans="1:22">
      <c r="A2986" t="s">
        <v>196</v>
      </c>
      <c r="B2986">
        <v>57</v>
      </c>
      <c r="C2986" t="s">
        <v>31</v>
      </c>
      <c r="D2986">
        <v>100</v>
      </c>
      <c r="E2986" t="s">
        <v>197</v>
      </c>
      <c r="F2986">
        <v>1005</v>
      </c>
      <c r="G2986" t="s">
        <v>31</v>
      </c>
      <c r="H2986">
        <v>2037</v>
      </c>
      <c r="I2986" t="s">
        <v>37</v>
      </c>
      <c r="J2986">
        <v>3069</v>
      </c>
      <c r="K2986" t="s">
        <v>1424</v>
      </c>
      <c r="L2986">
        <v>4143</v>
      </c>
      <c r="M2986" t="s">
        <v>1425</v>
      </c>
      <c r="N2986" t="s">
        <v>1302</v>
      </c>
      <c r="O2986">
        <v>71</v>
      </c>
      <c r="P2986">
        <v>9171</v>
      </c>
      <c r="Q2986" t="s">
        <v>1303</v>
      </c>
      <c r="R2986" t="s">
        <v>201</v>
      </c>
      <c r="S2986">
        <v>3</v>
      </c>
      <c r="T2986">
        <v>1</v>
      </c>
      <c r="U2986">
        <v>152010</v>
      </c>
      <c r="V2986">
        <v>456030</v>
      </c>
    </row>
    <row r="2987" spans="1:22">
      <c r="A2987" t="s">
        <v>196</v>
      </c>
      <c r="B2987">
        <v>57</v>
      </c>
      <c r="C2987" t="s">
        <v>31</v>
      </c>
      <c r="D2987">
        <v>100</v>
      </c>
      <c r="E2987" t="s">
        <v>197</v>
      </c>
      <c r="F2987">
        <v>1005</v>
      </c>
      <c r="G2987" t="s">
        <v>31</v>
      </c>
      <c r="H2987">
        <v>2037</v>
      </c>
      <c r="I2987" t="s">
        <v>37</v>
      </c>
      <c r="J2987">
        <v>3069</v>
      </c>
      <c r="K2987" t="s">
        <v>1424</v>
      </c>
      <c r="L2987">
        <v>4143</v>
      </c>
      <c r="M2987" t="s">
        <v>1425</v>
      </c>
      <c r="N2987" t="s">
        <v>1302</v>
      </c>
      <c r="O2987">
        <v>71</v>
      </c>
      <c r="P2987">
        <v>9171</v>
      </c>
      <c r="Q2987" t="s">
        <v>1303</v>
      </c>
      <c r="R2987" t="s">
        <v>201</v>
      </c>
      <c r="S2987">
        <v>3</v>
      </c>
      <c r="T2987">
        <v>1</v>
      </c>
      <c r="U2987">
        <v>138318</v>
      </c>
      <c r="V2987">
        <v>414954</v>
      </c>
    </row>
    <row r="2988" spans="1:22">
      <c r="A2988" t="s">
        <v>196</v>
      </c>
      <c r="B2988">
        <v>57</v>
      </c>
      <c r="C2988" t="s">
        <v>31</v>
      </c>
      <c r="D2988">
        <v>100</v>
      </c>
      <c r="E2988" t="s">
        <v>197</v>
      </c>
      <c r="F2988">
        <v>1005</v>
      </c>
      <c r="G2988" t="s">
        <v>31</v>
      </c>
      <c r="H2988">
        <v>2037</v>
      </c>
      <c r="I2988" t="s">
        <v>37</v>
      </c>
      <c r="J2988">
        <v>3069</v>
      </c>
      <c r="K2988" t="s">
        <v>1424</v>
      </c>
      <c r="L2988">
        <v>4143</v>
      </c>
      <c r="M2988" t="s">
        <v>1425</v>
      </c>
      <c r="N2988" t="s">
        <v>1324</v>
      </c>
      <c r="O2988">
        <v>91</v>
      </c>
      <c r="P2988">
        <v>9165</v>
      </c>
      <c r="Q2988" t="s">
        <v>1325</v>
      </c>
      <c r="R2988" t="s">
        <v>201</v>
      </c>
      <c r="S2988">
        <v>1</v>
      </c>
      <c r="T2988">
        <v>1</v>
      </c>
      <c r="U2988">
        <v>144792</v>
      </c>
      <c r="V2988">
        <v>144792</v>
      </c>
    </row>
    <row r="2989" spans="1:22">
      <c r="A2989" t="s">
        <v>196</v>
      </c>
      <c r="B2989">
        <v>57</v>
      </c>
      <c r="C2989" t="s">
        <v>31</v>
      </c>
      <c r="D2989">
        <v>100</v>
      </c>
      <c r="E2989" t="s">
        <v>197</v>
      </c>
      <c r="F2989">
        <v>1005</v>
      </c>
      <c r="G2989" t="s">
        <v>31</v>
      </c>
      <c r="H2989">
        <v>2037</v>
      </c>
      <c r="I2989" t="s">
        <v>37</v>
      </c>
      <c r="J2989">
        <v>3069</v>
      </c>
      <c r="K2989" t="s">
        <v>1424</v>
      </c>
      <c r="L2989">
        <v>4143</v>
      </c>
      <c r="M2989" t="s">
        <v>1425</v>
      </c>
      <c r="N2989" t="s">
        <v>1324</v>
      </c>
      <c r="O2989">
        <v>91</v>
      </c>
      <c r="P2989">
        <v>9165</v>
      </c>
      <c r="Q2989" t="s">
        <v>1325</v>
      </c>
      <c r="R2989" t="s">
        <v>201</v>
      </c>
      <c r="S2989">
        <v>1</v>
      </c>
      <c r="T2989">
        <v>1</v>
      </c>
      <c r="U2989">
        <v>140454</v>
      </c>
      <c r="V2989">
        <v>140454</v>
      </c>
    </row>
    <row r="2990" spans="1:22">
      <c r="A2990" t="s">
        <v>196</v>
      </c>
      <c r="B2990">
        <v>57</v>
      </c>
      <c r="C2990" t="s">
        <v>31</v>
      </c>
      <c r="D2990">
        <v>100</v>
      </c>
      <c r="E2990" t="s">
        <v>197</v>
      </c>
      <c r="F2990">
        <v>1005</v>
      </c>
      <c r="G2990" t="s">
        <v>31</v>
      </c>
      <c r="H2990">
        <v>2037</v>
      </c>
      <c r="I2990" t="s">
        <v>37</v>
      </c>
      <c r="J2990">
        <v>3069</v>
      </c>
      <c r="K2990" t="s">
        <v>1424</v>
      </c>
      <c r="L2990">
        <v>4143</v>
      </c>
      <c r="M2990" t="s">
        <v>1425</v>
      </c>
      <c r="N2990" t="s">
        <v>1309</v>
      </c>
      <c r="O2990">
        <v>91</v>
      </c>
      <c r="P2990">
        <v>9161</v>
      </c>
      <c r="Q2990" t="s">
        <v>1310</v>
      </c>
      <c r="R2990" t="s">
        <v>201</v>
      </c>
      <c r="S2990">
        <v>3</v>
      </c>
      <c r="T2990">
        <v>1</v>
      </c>
      <c r="U2990">
        <v>127146</v>
      </c>
      <c r="V2990">
        <v>381438</v>
      </c>
    </row>
    <row r="2991" spans="1:22">
      <c r="A2991" t="s">
        <v>196</v>
      </c>
      <c r="B2991">
        <v>57</v>
      </c>
      <c r="C2991" t="s">
        <v>31</v>
      </c>
      <c r="D2991">
        <v>100</v>
      </c>
      <c r="E2991" t="s">
        <v>197</v>
      </c>
      <c r="F2991">
        <v>1005</v>
      </c>
      <c r="G2991" t="s">
        <v>31</v>
      </c>
      <c r="H2991">
        <v>2037</v>
      </c>
      <c r="I2991" t="s">
        <v>37</v>
      </c>
      <c r="J2991">
        <v>3069</v>
      </c>
      <c r="K2991" t="s">
        <v>1424</v>
      </c>
      <c r="L2991">
        <v>4143</v>
      </c>
      <c r="M2991" t="s">
        <v>1425</v>
      </c>
      <c r="N2991" t="s">
        <v>1309</v>
      </c>
      <c r="O2991">
        <v>91</v>
      </c>
      <c r="P2991">
        <v>9161</v>
      </c>
      <c r="Q2991" t="s">
        <v>1310</v>
      </c>
      <c r="R2991" t="s">
        <v>201</v>
      </c>
      <c r="S2991">
        <v>3</v>
      </c>
      <c r="T2991">
        <v>1</v>
      </c>
      <c r="U2991">
        <v>119154</v>
      </c>
      <c r="V2991">
        <v>357462</v>
      </c>
    </row>
    <row r="2992" spans="1:22">
      <c r="A2992" t="s">
        <v>196</v>
      </c>
      <c r="B2992">
        <v>57</v>
      </c>
      <c r="C2992" t="s">
        <v>31</v>
      </c>
      <c r="D2992">
        <v>100</v>
      </c>
      <c r="E2992" t="s">
        <v>197</v>
      </c>
      <c r="F2992">
        <v>1005</v>
      </c>
      <c r="G2992" t="s">
        <v>31</v>
      </c>
      <c r="H2992">
        <v>2037</v>
      </c>
      <c r="I2992" t="s">
        <v>37</v>
      </c>
      <c r="J2992">
        <v>3069</v>
      </c>
      <c r="K2992" t="s">
        <v>1424</v>
      </c>
      <c r="L2992">
        <v>4143</v>
      </c>
      <c r="M2992" t="s">
        <v>1425</v>
      </c>
      <c r="N2992" t="s">
        <v>1309</v>
      </c>
      <c r="O2992">
        <v>91</v>
      </c>
      <c r="P2992">
        <v>9161</v>
      </c>
      <c r="Q2992" t="s">
        <v>1310</v>
      </c>
      <c r="R2992" t="s">
        <v>201</v>
      </c>
      <c r="S2992">
        <v>11</v>
      </c>
      <c r="T2992">
        <v>1</v>
      </c>
      <c r="U2992">
        <v>111252</v>
      </c>
      <c r="V2992">
        <v>1223772</v>
      </c>
    </row>
    <row r="2993" spans="1:22">
      <c r="A2993" t="s">
        <v>196</v>
      </c>
      <c r="B2993">
        <v>57</v>
      </c>
      <c r="C2993" t="s">
        <v>31</v>
      </c>
      <c r="D2993">
        <v>100</v>
      </c>
      <c r="E2993" t="s">
        <v>197</v>
      </c>
      <c r="F2993">
        <v>1005</v>
      </c>
      <c r="G2993" t="s">
        <v>31</v>
      </c>
      <c r="H2993">
        <v>2037</v>
      </c>
      <c r="I2993" t="s">
        <v>37</v>
      </c>
      <c r="J2993">
        <v>3069</v>
      </c>
      <c r="K2993" t="s">
        <v>1424</v>
      </c>
      <c r="L2993">
        <v>4143</v>
      </c>
      <c r="M2993" t="s">
        <v>1425</v>
      </c>
      <c r="N2993" t="s">
        <v>1309</v>
      </c>
      <c r="O2993">
        <v>91</v>
      </c>
      <c r="P2993">
        <v>9161</v>
      </c>
      <c r="Q2993" t="s">
        <v>1310</v>
      </c>
      <c r="R2993" t="s">
        <v>201</v>
      </c>
      <c r="S2993">
        <v>2</v>
      </c>
      <c r="T2993">
        <v>1</v>
      </c>
      <c r="U2993">
        <v>63636</v>
      </c>
      <c r="V2993">
        <v>127272</v>
      </c>
    </row>
    <row r="2994" spans="1:22">
      <c r="A2994" t="s">
        <v>196</v>
      </c>
      <c r="B2994">
        <v>57</v>
      </c>
      <c r="C2994" t="s">
        <v>31</v>
      </c>
      <c r="D2994">
        <v>100</v>
      </c>
      <c r="E2994" t="s">
        <v>197</v>
      </c>
      <c r="F2994">
        <v>1005</v>
      </c>
      <c r="G2994" t="s">
        <v>31</v>
      </c>
      <c r="H2994">
        <v>2037</v>
      </c>
      <c r="I2994" t="s">
        <v>37</v>
      </c>
      <c r="J2994">
        <v>3069</v>
      </c>
      <c r="K2994" t="s">
        <v>1424</v>
      </c>
      <c r="L2994">
        <v>4143</v>
      </c>
      <c r="M2994" t="s">
        <v>1425</v>
      </c>
      <c r="N2994" t="s">
        <v>333</v>
      </c>
      <c r="O2994">
        <v>3</v>
      </c>
      <c r="P2994">
        <v>1140</v>
      </c>
      <c r="Q2994" t="s">
        <v>334</v>
      </c>
      <c r="R2994" t="s">
        <v>201</v>
      </c>
      <c r="S2994">
        <v>1</v>
      </c>
      <c r="T2994">
        <v>1</v>
      </c>
      <c r="U2994">
        <v>117636</v>
      </c>
      <c r="V2994">
        <v>117636</v>
      </c>
    </row>
    <row r="2995" spans="1:22">
      <c r="A2995" t="s">
        <v>196</v>
      </c>
      <c r="B2995">
        <v>57</v>
      </c>
      <c r="C2995" t="s">
        <v>31</v>
      </c>
      <c r="D2995">
        <v>100</v>
      </c>
      <c r="E2995" t="s">
        <v>197</v>
      </c>
      <c r="F2995">
        <v>1005</v>
      </c>
      <c r="G2995" t="s">
        <v>31</v>
      </c>
      <c r="H2995">
        <v>2037</v>
      </c>
      <c r="I2995" t="s">
        <v>37</v>
      </c>
      <c r="J2995">
        <v>3069</v>
      </c>
      <c r="K2995" t="s">
        <v>1424</v>
      </c>
      <c r="L2995">
        <v>4143</v>
      </c>
      <c r="M2995" t="s">
        <v>1425</v>
      </c>
      <c r="N2995" t="s">
        <v>199</v>
      </c>
      <c r="O2995">
        <v>0</v>
      </c>
      <c r="P2995">
        <v>15</v>
      </c>
      <c r="Q2995" t="s">
        <v>264</v>
      </c>
      <c r="R2995" t="s">
        <v>201</v>
      </c>
      <c r="S2995">
        <v>0</v>
      </c>
      <c r="T2995">
        <v>0</v>
      </c>
      <c r="U2995">
        <v>2311</v>
      </c>
      <c r="V2995">
        <v>2311</v>
      </c>
    </row>
    <row r="2996" spans="1:22">
      <c r="A2996" t="s">
        <v>196</v>
      </c>
      <c r="B2996">
        <v>57</v>
      </c>
      <c r="C2996" t="s">
        <v>31</v>
      </c>
      <c r="D2996">
        <v>100</v>
      </c>
      <c r="E2996" t="s">
        <v>197</v>
      </c>
      <c r="F2996">
        <v>1005</v>
      </c>
      <c r="G2996" t="s">
        <v>31</v>
      </c>
      <c r="H2996">
        <v>2040</v>
      </c>
      <c r="I2996" t="s">
        <v>26</v>
      </c>
      <c r="J2996">
        <v>3350</v>
      </c>
      <c r="K2996" t="s">
        <v>26</v>
      </c>
      <c r="L2996">
        <v>0</v>
      </c>
      <c r="N2996" t="s">
        <v>199</v>
      </c>
      <c r="O2996">
        <v>99</v>
      </c>
      <c r="P2996">
        <v>9796</v>
      </c>
      <c r="Q2996" t="s">
        <v>1319</v>
      </c>
      <c r="R2996" t="s">
        <v>201</v>
      </c>
      <c r="S2996">
        <v>1</v>
      </c>
      <c r="T2996">
        <v>1</v>
      </c>
      <c r="U2996">
        <v>201048</v>
      </c>
      <c r="V2996">
        <v>201048</v>
      </c>
    </row>
    <row r="2997" spans="1:22">
      <c r="A2997" t="s">
        <v>196</v>
      </c>
      <c r="B2997">
        <v>57</v>
      </c>
      <c r="C2997" t="s">
        <v>31</v>
      </c>
      <c r="D2997">
        <v>100</v>
      </c>
      <c r="E2997" t="s">
        <v>197</v>
      </c>
      <c r="F2997">
        <v>1005</v>
      </c>
      <c r="G2997" t="s">
        <v>31</v>
      </c>
      <c r="H2997">
        <v>2040</v>
      </c>
      <c r="I2997" t="s">
        <v>26</v>
      </c>
      <c r="J2997">
        <v>3350</v>
      </c>
      <c r="K2997" t="s">
        <v>26</v>
      </c>
      <c r="L2997">
        <v>0</v>
      </c>
      <c r="N2997" t="s">
        <v>199</v>
      </c>
      <c r="O2997">
        <v>99</v>
      </c>
      <c r="P2997">
        <v>9785</v>
      </c>
      <c r="Q2997" t="s">
        <v>1320</v>
      </c>
      <c r="R2997" t="s">
        <v>201</v>
      </c>
      <c r="S2997">
        <v>1</v>
      </c>
      <c r="T2997">
        <v>1</v>
      </c>
      <c r="U2997">
        <v>219048</v>
      </c>
      <c r="V2997">
        <v>219048</v>
      </c>
    </row>
    <row r="2998" spans="1:22">
      <c r="A2998" t="s">
        <v>196</v>
      </c>
      <c r="B2998">
        <v>57</v>
      </c>
      <c r="C2998" t="s">
        <v>31</v>
      </c>
      <c r="D2998">
        <v>100</v>
      </c>
      <c r="E2998" t="s">
        <v>197</v>
      </c>
      <c r="F2998">
        <v>1005</v>
      </c>
      <c r="G2998" t="s">
        <v>31</v>
      </c>
      <c r="H2998">
        <v>2040</v>
      </c>
      <c r="I2998" t="s">
        <v>26</v>
      </c>
      <c r="J2998">
        <v>3350</v>
      </c>
      <c r="K2998" t="s">
        <v>26</v>
      </c>
      <c r="L2998">
        <v>0</v>
      </c>
      <c r="N2998" t="s">
        <v>199</v>
      </c>
      <c r="O2998">
        <v>99</v>
      </c>
      <c r="P2998">
        <v>9782</v>
      </c>
      <c r="Q2998" t="s">
        <v>1426</v>
      </c>
      <c r="R2998" t="s">
        <v>201</v>
      </c>
      <c r="S2998">
        <v>1</v>
      </c>
      <c r="T2998">
        <v>1</v>
      </c>
      <c r="U2998">
        <v>220296</v>
      </c>
      <c r="V2998">
        <v>220296</v>
      </c>
    </row>
    <row r="2999" spans="1:22">
      <c r="A2999" t="s">
        <v>196</v>
      </c>
      <c r="B2999">
        <v>57</v>
      </c>
      <c r="C2999" t="s">
        <v>31</v>
      </c>
      <c r="D2999">
        <v>100</v>
      </c>
      <c r="E2999" t="s">
        <v>197</v>
      </c>
      <c r="F2999">
        <v>1005</v>
      </c>
      <c r="G2999" t="s">
        <v>31</v>
      </c>
      <c r="H2999">
        <v>2040</v>
      </c>
      <c r="I2999" t="s">
        <v>26</v>
      </c>
      <c r="J2999">
        <v>3350</v>
      </c>
      <c r="K2999" t="s">
        <v>26</v>
      </c>
      <c r="L2999">
        <v>0</v>
      </c>
      <c r="N2999" t="s">
        <v>216</v>
      </c>
      <c r="O2999">
        <v>99</v>
      </c>
      <c r="P2999">
        <v>9752</v>
      </c>
      <c r="Q2999" t="s">
        <v>1296</v>
      </c>
      <c r="R2999" t="s">
        <v>201</v>
      </c>
      <c r="S2999">
        <v>2</v>
      </c>
      <c r="T2999">
        <v>1</v>
      </c>
      <c r="U2999">
        <v>192240</v>
      </c>
      <c r="V2999">
        <v>384480</v>
      </c>
    </row>
    <row r="3000" spans="1:22">
      <c r="A3000" t="s">
        <v>196</v>
      </c>
      <c r="B3000">
        <v>57</v>
      </c>
      <c r="C3000" t="s">
        <v>31</v>
      </c>
      <c r="D3000">
        <v>100</v>
      </c>
      <c r="E3000" t="s">
        <v>197</v>
      </c>
      <c r="F3000">
        <v>1005</v>
      </c>
      <c r="G3000" t="s">
        <v>31</v>
      </c>
      <c r="H3000">
        <v>2040</v>
      </c>
      <c r="I3000" t="s">
        <v>26</v>
      </c>
      <c r="J3000">
        <v>3350</v>
      </c>
      <c r="K3000" t="s">
        <v>26</v>
      </c>
      <c r="L3000">
        <v>0</v>
      </c>
      <c r="N3000" t="s">
        <v>1294</v>
      </c>
      <c r="O3000">
        <v>9</v>
      </c>
      <c r="P3000">
        <v>9675</v>
      </c>
      <c r="Q3000" t="s">
        <v>327</v>
      </c>
      <c r="R3000" t="s">
        <v>201</v>
      </c>
      <c r="S3000">
        <v>1</v>
      </c>
      <c r="T3000">
        <v>1</v>
      </c>
      <c r="U3000">
        <v>192852</v>
      </c>
      <c r="V3000">
        <v>192852</v>
      </c>
    </row>
    <row r="3001" spans="1:22">
      <c r="A3001" t="s">
        <v>196</v>
      </c>
      <c r="B3001">
        <v>57</v>
      </c>
      <c r="C3001" t="s">
        <v>31</v>
      </c>
      <c r="D3001">
        <v>100</v>
      </c>
      <c r="E3001" t="s">
        <v>197</v>
      </c>
      <c r="F3001">
        <v>1005</v>
      </c>
      <c r="G3001" t="s">
        <v>31</v>
      </c>
      <c r="H3001">
        <v>2040</v>
      </c>
      <c r="I3001" t="s">
        <v>26</v>
      </c>
      <c r="J3001">
        <v>3350</v>
      </c>
      <c r="K3001" t="s">
        <v>26</v>
      </c>
      <c r="L3001">
        <v>0</v>
      </c>
      <c r="N3001" t="s">
        <v>1330</v>
      </c>
      <c r="O3001">
        <v>75</v>
      </c>
      <c r="P3001">
        <v>9175</v>
      </c>
      <c r="Q3001" t="s">
        <v>1331</v>
      </c>
      <c r="R3001" t="s">
        <v>201</v>
      </c>
      <c r="S3001">
        <v>1</v>
      </c>
      <c r="T3001">
        <v>1</v>
      </c>
      <c r="U3001">
        <v>188352</v>
      </c>
      <c r="V3001">
        <v>188352</v>
      </c>
    </row>
    <row r="3002" spans="1:22">
      <c r="A3002" t="s">
        <v>196</v>
      </c>
      <c r="B3002">
        <v>57</v>
      </c>
      <c r="C3002" t="s">
        <v>31</v>
      </c>
      <c r="D3002">
        <v>100</v>
      </c>
      <c r="E3002" t="s">
        <v>197</v>
      </c>
      <c r="F3002">
        <v>1005</v>
      </c>
      <c r="G3002" t="s">
        <v>31</v>
      </c>
      <c r="H3002">
        <v>2040</v>
      </c>
      <c r="I3002" t="s">
        <v>26</v>
      </c>
      <c r="J3002">
        <v>3350</v>
      </c>
      <c r="K3002" t="s">
        <v>26</v>
      </c>
      <c r="L3002">
        <v>0</v>
      </c>
      <c r="N3002" t="s">
        <v>1330</v>
      </c>
      <c r="O3002">
        <v>75</v>
      </c>
      <c r="P3002">
        <v>9175</v>
      </c>
      <c r="Q3002" t="s">
        <v>1331</v>
      </c>
      <c r="R3002" t="s">
        <v>201</v>
      </c>
      <c r="S3002">
        <v>2</v>
      </c>
      <c r="T3002">
        <v>1</v>
      </c>
      <c r="U3002">
        <v>185676</v>
      </c>
      <c r="V3002">
        <v>371352</v>
      </c>
    </row>
    <row r="3003" spans="1:22">
      <c r="A3003" t="s">
        <v>196</v>
      </c>
      <c r="B3003">
        <v>57</v>
      </c>
      <c r="C3003" t="s">
        <v>31</v>
      </c>
      <c r="D3003">
        <v>100</v>
      </c>
      <c r="E3003" t="s">
        <v>197</v>
      </c>
      <c r="F3003">
        <v>1005</v>
      </c>
      <c r="G3003" t="s">
        <v>31</v>
      </c>
      <c r="H3003">
        <v>2040</v>
      </c>
      <c r="I3003" t="s">
        <v>26</v>
      </c>
      <c r="J3003">
        <v>3350</v>
      </c>
      <c r="K3003" t="s">
        <v>26</v>
      </c>
      <c r="L3003">
        <v>0</v>
      </c>
      <c r="N3003" t="s">
        <v>1330</v>
      </c>
      <c r="O3003">
        <v>75</v>
      </c>
      <c r="P3003">
        <v>9175</v>
      </c>
      <c r="Q3003" t="s">
        <v>1331</v>
      </c>
      <c r="R3003" t="s">
        <v>201</v>
      </c>
      <c r="S3003">
        <v>1</v>
      </c>
      <c r="T3003">
        <v>1</v>
      </c>
      <c r="U3003">
        <v>176292</v>
      </c>
      <c r="V3003">
        <v>176292</v>
      </c>
    </row>
    <row r="3004" spans="1:22">
      <c r="A3004" t="s">
        <v>196</v>
      </c>
      <c r="B3004">
        <v>57</v>
      </c>
      <c r="C3004" t="s">
        <v>31</v>
      </c>
      <c r="D3004">
        <v>100</v>
      </c>
      <c r="E3004" t="s">
        <v>197</v>
      </c>
      <c r="F3004">
        <v>1005</v>
      </c>
      <c r="G3004" t="s">
        <v>31</v>
      </c>
      <c r="H3004">
        <v>2040</v>
      </c>
      <c r="I3004" t="s">
        <v>26</v>
      </c>
      <c r="J3004">
        <v>3350</v>
      </c>
      <c r="K3004" t="s">
        <v>26</v>
      </c>
      <c r="L3004">
        <v>0</v>
      </c>
      <c r="N3004" t="s">
        <v>1330</v>
      </c>
      <c r="O3004">
        <v>75</v>
      </c>
      <c r="P3004">
        <v>9175</v>
      </c>
      <c r="Q3004" t="s">
        <v>1331</v>
      </c>
      <c r="R3004" t="s">
        <v>201</v>
      </c>
      <c r="S3004">
        <v>2</v>
      </c>
      <c r="T3004">
        <v>1</v>
      </c>
      <c r="U3004">
        <v>171456</v>
      </c>
      <c r="V3004">
        <v>342912</v>
      </c>
    </row>
    <row r="3005" spans="1:22">
      <c r="A3005" t="s">
        <v>196</v>
      </c>
      <c r="B3005">
        <v>57</v>
      </c>
      <c r="C3005" t="s">
        <v>31</v>
      </c>
      <c r="D3005">
        <v>100</v>
      </c>
      <c r="E3005" t="s">
        <v>197</v>
      </c>
      <c r="F3005">
        <v>1005</v>
      </c>
      <c r="G3005" t="s">
        <v>31</v>
      </c>
      <c r="H3005">
        <v>2040</v>
      </c>
      <c r="I3005" t="s">
        <v>26</v>
      </c>
      <c r="J3005">
        <v>3350</v>
      </c>
      <c r="K3005" t="s">
        <v>26</v>
      </c>
      <c r="L3005">
        <v>0</v>
      </c>
      <c r="N3005" t="s">
        <v>1302</v>
      </c>
      <c r="O3005">
        <v>71</v>
      </c>
      <c r="P3005">
        <v>9171</v>
      </c>
      <c r="Q3005" t="s">
        <v>1303</v>
      </c>
      <c r="R3005" t="s">
        <v>201</v>
      </c>
      <c r="S3005">
        <v>1</v>
      </c>
      <c r="T3005">
        <v>1</v>
      </c>
      <c r="U3005">
        <v>147252</v>
      </c>
      <c r="V3005">
        <v>147252</v>
      </c>
    </row>
    <row r="3006" spans="1:22">
      <c r="A3006" t="s">
        <v>196</v>
      </c>
      <c r="B3006">
        <v>57</v>
      </c>
      <c r="C3006" t="s">
        <v>31</v>
      </c>
      <c r="D3006">
        <v>100</v>
      </c>
      <c r="E3006" t="s">
        <v>197</v>
      </c>
      <c r="F3006">
        <v>1005</v>
      </c>
      <c r="G3006" t="s">
        <v>31</v>
      </c>
      <c r="H3006">
        <v>2040</v>
      </c>
      <c r="I3006" t="s">
        <v>26</v>
      </c>
      <c r="J3006">
        <v>3350</v>
      </c>
      <c r="K3006" t="s">
        <v>26</v>
      </c>
      <c r="L3006">
        <v>0</v>
      </c>
      <c r="N3006" t="s">
        <v>1309</v>
      </c>
      <c r="O3006">
        <v>91</v>
      </c>
      <c r="P3006">
        <v>9161</v>
      </c>
      <c r="Q3006" t="s">
        <v>1310</v>
      </c>
      <c r="R3006" t="s">
        <v>201</v>
      </c>
      <c r="S3006">
        <v>2</v>
      </c>
      <c r="T3006">
        <v>1</v>
      </c>
      <c r="U3006">
        <v>127146</v>
      </c>
      <c r="V3006">
        <v>254292</v>
      </c>
    </row>
    <row r="3007" spans="1:22">
      <c r="A3007" t="s">
        <v>196</v>
      </c>
      <c r="B3007">
        <v>57</v>
      </c>
      <c r="C3007" t="s">
        <v>31</v>
      </c>
      <c r="D3007">
        <v>100</v>
      </c>
      <c r="E3007" t="s">
        <v>197</v>
      </c>
      <c r="F3007">
        <v>1005</v>
      </c>
      <c r="G3007" t="s">
        <v>31</v>
      </c>
      <c r="H3007">
        <v>2040</v>
      </c>
      <c r="I3007" t="s">
        <v>26</v>
      </c>
      <c r="J3007">
        <v>3350</v>
      </c>
      <c r="K3007" t="s">
        <v>26</v>
      </c>
      <c r="L3007">
        <v>0</v>
      </c>
      <c r="N3007" t="s">
        <v>261</v>
      </c>
      <c r="O3007">
        <v>20</v>
      </c>
      <c r="P3007">
        <v>9024</v>
      </c>
      <c r="Q3007" t="s">
        <v>1427</v>
      </c>
      <c r="R3007" t="s">
        <v>201</v>
      </c>
      <c r="S3007">
        <v>1</v>
      </c>
      <c r="T3007">
        <v>1</v>
      </c>
      <c r="U3007">
        <v>106272</v>
      </c>
      <c r="V3007">
        <v>106272</v>
      </c>
    </row>
    <row r="3008" spans="1:22">
      <c r="A3008" t="s">
        <v>196</v>
      </c>
      <c r="B3008">
        <v>57</v>
      </c>
      <c r="C3008" t="s">
        <v>31</v>
      </c>
      <c r="D3008">
        <v>100</v>
      </c>
      <c r="E3008" t="s">
        <v>197</v>
      </c>
      <c r="F3008">
        <v>1005</v>
      </c>
      <c r="G3008" t="s">
        <v>31</v>
      </c>
      <c r="H3008">
        <v>2040</v>
      </c>
      <c r="I3008" t="s">
        <v>26</v>
      </c>
      <c r="J3008">
        <v>3350</v>
      </c>
      <c r="K3008" t="s">
        <v>26</v>
      </c>
      <c r="L3008">
        <v>0</v>
      </c>
      <c r="N3008" t="s">
        <v>261</v>
      </c>
      <c r="O3008">
        <v>20</v>
      </c>
      <c r="P3008">
        <v>9024</v>
      </c>
      <c r="Q3008" t="s">
        <v>1427</v>
      </c>
      <c r="R3008" t="s">
        <v>201</v>
      </c>
      <c r="S3008">
        <v>2</v>
      </c>
      <c r="T3008">
        <v>1</v>
      </c>
      <c r="U3008">
        <v>93156</v>
      </c>
      <c r="V3008">
        <v>186312</v>
      </c>
    </row>
    <row r="3009" spans="1:22">
      <c r="A3009" t="s">
        <v>196</v>
      </c>
      <c r="B3009">
        <v>57</v>
      </c>
      <c r="C3009" t="s">
        <v>31</v>
      </c>
      <c r="D3009">
        <v>100</v>
      </c>
      <c r="E3009" t="s">
        <v>197</v>
      </c>
      <c r="F3009">
        <v>1005</v>
      </c>
      <c r="G3009" t="s">
        <v>31</v>
      </c>
      <c r="H3009">
        <v>2040</v>
      </c>
      <c r="I3009" t="s">
        <v>26</v>
      </c>
      <c r="J3009">
        <v>3350</v>
      </c>
      <c r="K3009" t="s">
        <v>26</v>
      </c>
      <c r="L3009">
        <v>0</v>
      </c>
      <c r="N3009" t="s">
        <v>261</v>
      </c>
      <c r="O3009">
        <v>20</v>
      </c>
      <c r="P3009">
        <v>9024</v>
      </c>
      <c r="Q3009" t="s">
        <v>1427</v>
      </c>
      <c r="R3009" t="s">
        <v>201</v>
      </c>
      <c r="S3009">
        <v>1</v>
      </c>
      <c r="T3009">
        <v>1</v>
      </c>
      <c r="U3009">
        <v>89112</v>
      </c>
      <c r="V3009">
        <v>89112</v>
      </c>
    </row>
    <row r="3010" spans="1:22">
      <c r="A3010" t="s">
        <v>196</v>
      </c>
      <c r="B3010">
        <v>57</v>
      </c>
      <c r="C3010" t="s">
        <v>31</v>
      </c>
      <c r="D3010">
        <v>100</v>
      </c>
      <c r="E3010" t="s">
        <v>197</v>
      </c>
      <c r="F3010">
        <v>1005</v>
      </c>
      <c r="G3010" t="s">
        <v>31</v>
      </c>
      <c r="H3010">
        <v>2040</v>
      </c>
      <c r="I3010" t="s">
        <v>26</v>
      </c>
      <c r="J3010">
        <v>3350</v>
      </c>
      <c r="K3010" t="s">
        <v>26</v>
      </c>
      <c r="L3010">
        <v>0</v>
      </c>
      <c r="N3010" t="s">
        <v>261</v>
      </c>
      <c r="O3010">
        <v>20</v>
      </c>
      <c r="P3010">
        <v>2903</v>
      </c>
      <c r="Q3010" t="s">
        <v>1428</v>
      </c>
      <c r="R3010" t="s">
        <v>201</v>
      </c>
      <c r="S3010">
        <v>1</v>
      </c>
      <c r="T3010">
        <v>1</v>
      </c>
      <c r="U3010">
        <v>97332</v>
      </c>
      <c r="V3010">
        <v>97332</v>
      </c>
    </row>
    <row r="3011" spans="1:22">
      <c r="A3011" t="s">
        <v>196</v>
      </c>
      <c r="B3011">
        <v>57</v>
      </c>
      <c r="C3011" t="s">
        <v>31</v>
      </c>
      <c r="D3011">
        <v>100</v>
      </c>
      <c r="E3011" t="s">
        <v>197</v>
      </c>
      <c r="F3011">
        <v>1005</v>
      </c>
      <c r="G3011" t="s">
        <v>31</v>
      </c>
      <c r="H3011">
        <v>2040</v>
      </c>
      <c r="I3011" t="s">
        <v>26</v>
      </c>
      <c r="J3011">
        <v>3350</v>
      </c>
      <c r="K3011" t="s">
        <v>26</v>
      </c>
      <c r="L3011">
        <v>0</v>
      </c>
      <c r="N3011" t="s">
        <v>261</v>
      </c>
      <c r="O3011">
        <v>20</v>
      </c>
      <c r="P3011">
        <v>2903</v>
      </c>
      <c r="Q3011" t="s">
        <v>1428</v>
      </c>
      <c r="R3011" t="s">
        <v>201</v>
      </c>
      <c r="S3011">
        <v>1</v>
      </c>
      <c r="T3011">
        <v>1</v>
      </c>
      <c r="U3011">
        <v>93156</v>
      </c>
      <c r="V3011">
        <v>93156</v>
      </c>
    </row>
    <row r="3012" spans="1:22">
      <c r="A3012" t="s">
        <v>196</v>
      </c>
      <c r="B3012">
        <v>57</v>
      </c>
      <c r="C3012" t="s">
        <v>31</v>
      </c>
      <c r="D3012">
        <v>100</v>
      </c>
      <c r="E3012" t="s">
        <v>197</v>
      </c>
      <c r="F3012">
        <v>1005</v>
      </c>
      <c r="G3012" t="s">
        <v>31</v>
      </c>
      <c r="H3012">
        <v>2040</v>
      </c>
      <c r="I3012" t="s">
        <v>26</v>
      </c>
      <c r="J3012">
        <v>3350</v>
      </c>
      <c r="K3012" t="s">
        <v>26</v>
      </c>
      <c r="L3012">
        <v>0</v>
      </c>
      <c r="N3012" t="s">
        <v>372</v>
      </c>
      <c r="O3012">
        <v>4</v>
      </c>
      <c r="P3012">
        <v>1912</v>
      </c>
      <c r="Q3012" t="s">
        <v>608</v>
      </c>
      <c r="R3012" t="s">
        <v>201</v>
      </c>
      <c r="S3012">
        <v>3</v>
      </c>
      <c r="T3012">
        <v>1</v>
      </c>
      <c r="U3012">
        <v>75336</v>
      </c>
      <c r="V3012">
        <v>226008</v>
      </c>
    </row>
    <row r="3013" spans="1:22">
      <c r="A3013" t="s">
        <v>196</v>
      </c>
      <c r="B3013">
        <v>57</v>
      </c>
      <c r="C3013" t="s">
        <v>31</v>
      </c>
      <c r="D3013">
        <v>100</v>
      </c>
      <c r="E3013" t="s">
        <v>197</v>
      </c>
      <c r="F3013">
        <v>1005</v>
      </c>
      <c r="G3013" t="s">
        <v>31</v>
      </c>
      <c r="H3013">
        <v>2040</v>
      </c>
      <c r="I3013" t="s">
        <v>26</v>
      </c>
      <c r="J3013">
        <v>3350</v>
      </c>
      <c r="K3013" t="s">
        <v>26</v>
      </c>
      <c r="L3013">
        <v>0</v>
      </c>
      <c r="N3013" t="s">
        <v>356</v>
      </c>
      <c r="O3013">
        <v>4</v>
      </c>
      <c r="P3013">
        <v>1646</v>
      </c>
      <c r="Q3013" t="s">
        <v>1102</v>
      </c>
      <c r="R3013" t="s">
        <v>201</v>
      </c>
      <c r="S3013">
        <v>1</v>
      </c>
      <c r="T3013">
        <v>1</v>
      </c>
      <c r="U3013">
        <v>90144</v>
      </c>
      <c r="V3013">
        <v>90144</v>
      </c>
    </row>
    <row r="3014" spans="1:22">
      <c r="A3014" t="s">
        <v>196</v>
      </c>
      <c r="B3014">
        <v>57</v>
      </c>
      <c r="C3014" t="s">
        <v>31</v>
      </c>
      <c r="D3014">
        <v>100</v>
      </c>
      <c r="E3014" t="s">
        <v>197</v>
      </c>
      <c r="F3014">
        <v>1005</v>
      </c>
      <c r="G3014" t="s">
        <v>31</v>
      </c>
      <c r="H3014">
        <v>2040</v>
      </c>
      <c r="I3014" t="s">
        <v>26</v>
      </c>
      <c r="J3014">
        <v>3350</v>
      </c>
      <c r="K3014" t="s">
        <v>26</v>
      </c>
      <c r="L3014">
        <v>0</v>
      </c>
      <c r="N3014" t="s">
        <v>341</v>
      </c>
      <c r="O3014">
        <v>1</v>
      </c>
      <c r="P3014">
        <v>1617</v>
      </c>
      <c r="Q3014" t="s">
        <v>800</v>
      </c>
      <c r="R3014" t="s">
        <v>201</v>
      </c>
      <c r="S3014">
        <v>1</v>
      </c>
      <c r="T3014">
        <v>1</v>
      </c>
      <c r="U3014">
        <v>74172</v>
      </c>
      <c r="V3014">
        <v>74172</v>
      </c>
    </row>
    <row r="3015" spans="1:22">
      <c r="A3015" t="s">
        <v>196</v>
      </c>
      <c r="B3015">
        <v>57</v>
      </c>
      <c r="C3015" t="s">
        <v>31</v>
      </c>
      <c r="D3015">
        <v>100</v>
      </c>
      <c r="E3015" t="s">
        <v>197</v>
      </c>
      <c r="F3015">
        <v>1005</v>
      </c>
      <c r="G3015" t="s">
        <v>31</v>
      </c>
      <c r="H3015">
        <v>2040</v>
      </c>
      <c r="I3015" t="s">
        <v>26</v>
      </c>
      <c r="J3015">
        <v>3350</v>
      </c>
      <c r="K3015" t="s">
        <v>26</v>
      </c>
      <c r="L3015">
        <v>0</v>
      </c>
      <c r="N3015" t="s">
        <v>341</v>
      </c>
      <c r="O3015">
        <v>1</v>
      </c>
      <c r="P3015">
        <v>1617</v>
      </c>
      <c r="Q3015" t="s">
        <v>800</v>
      </c>
      <c r="R3015" t="s">
        <v>201</v>
      </c>
      <c r="S3015">
        <v>2</v>
      </c>
      <c r="T3015">
        <v>1</v>
      </c>
      <c r="U3015">
        <v>68616</v>
      </c>
      <c r="V3015">
        <v>137232</v>
      </c>
    </row>
    <row r="3016" spans="1:22">
      <c r="A3016" t="s">
        <v>196</v>
      </c>
      <c r="B3016">
        <v>57</v>
      </c>
      <c r="C3016" t="s">
        <v>31</v>
      </c>
      <c r="D3016">
        <v>100</v>
      </c>
      <c r="E3016" t="s">
        <v>197</v>
      </c>
      <c r="F3016">
        <v>1005</v>
      </c>
      <c r="G3016" t="s">
        <v>31</v>
      </c>
      <c r="H3016">
        <v>2040</v>
      </c>
      <c r="I3016" t="s">
        <v>26</v>
      </c>
      <c r="J3016">
        <v>3350</v>
      </c>
      <c r="K3016" t="s">
        <v>26</v>
      </c>
      <c r="L3016">
        <v>0</v>
      </c>
      <c r="N3016" t="s">
        <v>245</v>
      </c>
      <c r="O3016">
        <v>20</v>
      </c>
      <c r="P3016">
        <v>1127</v>
      </c>
      <c r="Q3016" t="s">
        <v>292</v>
      </c>
      <c r="R3016" t="s">
        <v>201</v>
      </c>
      <c r="S3016">
        <v>2</v>
      </c>
      <c r="T3016">
        <v>1</v>
      </c>
      <c r="U3016">
        <v>115992</v>
      </c>
      <c r="V3016">
        <v>231984</v>
      </c>
    </row>
    <row r="3017" spans="1:22">
      <c r="A3017" t="s">
        <v>196</v>
      </c>
      <c r="B3017">
        <v>57</v>
      </c>
      <c r="C3017" t="s">
        <v>31</v>
      </c>
      <c r="D3017">
        <v>100</v>
      </c>
      <c r="E3017" t="s">
        <v>197</v>
      </c>
      <c r="F3017">
        <v>1005</v>
      </c>
      <c r="G3017" t="s">
        <v>31</v>
      </c>
      <c r="H3017">
        <v>2040</v>
      </c>
      <c r="I3017" t="s">
        <v>26</v>
      </c>
      <c r="J3017">
        <v>3350</v>
      </c>
      <c r="K3017" t="s">
        <v>26</v>
      </c>
      <c r="L3017">
        <v>0</v>
      </c>
      <c r="N3017" t="s">
        <v>245</v>
      </c>
      <c r="O3017">
        <v>20</v>
      </c>
      <c r="P3017">
        <v>1127</v>
      </c>
      <c r="Q3017" t="s">
        <v>292</v>
      </c>
      <c r="R3017" t="s">
        <v>201</v>
      </c>
      <c r="S3017">
        <v>2</v>
      </c>
      <c r="T3017">
        <v>1</v>
      </c>
      <c r="U3017">
        <v>106272</v>
      </c>
      <c r="V3017">
        <v>212544</v>
      </c>
    </row>
    <row r="3018" spans="1:22">
      <c r="A3018" t="s">
        <v>196</v>
      </c>
      <c r="B3018">
        <v>57</v>
      </c>
      <c r="C3018" t="s">
        <v>31</v>
      </c>
      <c r="D3018">
        <v>100</v>
      </c>
      <c r="E3018" t="s">
        <v>197</v>
      </c>
      <c r="F3018">
        <v>1005</v>
      </c>
      <c r="G3018" t="s">
        <v>31</v>
      </c>
      <c r="H3018">
        <v>2040</v>
      </c>
      <c r="I3018" t="s">
        <v>26</v>
      </c>
      <c r="J3018">
        <v>3350</v>
      </c>
      <c r="K3018" t="s">
        <v>26</v>
      </c>
      <c r="L3018">
        <v>0</v>
      </c>
      <c r="N3018" t="s">
        <v>281</v>
      </c>
      <c r="O3018">
        <v>20</v>
      </c>
      <c r="P3018">
        <v>1126</v>
      </c>
      <c r="Q3018" t="s">
        <v>286</v>
      </c>
      <c r="R3018" t="s">
        <v>201</v>
      </c>
      <c r="S3018">
        <v>2</v>
      </c>
      <c r="T3018">
        <v>1</v>
      </c>
      <c r="U3018">
        <v>89112</v>
      </c>
      <c r="V3018">
        <v>178224</v>
      </c>
    </row>
    <row r="3019" spans="1:22">
      <c r="A3019" t="s">
        <v>196</v>
      </c>
      <c r="B3019">
        <v>57</v>
      </c>
      <c r="C3019" t="s">
        <v>31</v>
      </c>
      <c r="D3019">
        <v>100</v>
      </c>
      <c r="E3019" t="s">
        <v>197</v>
      </c>
      <c r="F3019">
        <v>1005</v>
      </c>
      <c r="G3019" t="s">
        <v>31</v>
      </c>
      <c r="H3019">
        <v>2040</v>
      </c>
      <c r="I3019" t="s">
        <v>26</v>
      </c>
      <c r="J3019">
        <v>3350</v>
      </c>
      <c r="K3019" t="s">
        <v>26</v>
      </c>
      <c r="L3019">
        <v>0</v>
      </c>
      <c r="N3019" t="s">
        <v>281</v>
      </c>
      <c r="O3019">
        <v>20</v>
      </c>
      <c r="P3019">
        <v>1126</v>
      </c>
      <c r="Q3019" t="s">
        <v>286</v>
      </c>
      <c r="R3019" t="s">
        <v>201</v>
      </c>
      <c r="S3019">
        <v>9</v>
      </c>
      <c r="T3019">
        <v>1</v>
      </c>
      <c r="U3019">
        <v>82884</v>
      </c>
      <c r="V3019">
        <v>745956</v>
      </c>
    </row>
    <row r="3020" spans="1:22">
      <c r="A3020" t="s">
        <v>196</v>
      </c>
      <c r="B3020">
        <v>57</v>
      </c>
      <c r="C3020" t="s">
        <v>31</v>
      </c>
      <c r="D3020">
        <v>100</v>
      </c>
      <c r="E3020" t="s">
        <v>197</v>
      </c>
      <c r="F3020">
        <v>1005</v>
      </c>
      <c r="G3020" t="s">
        <v>31</v>
      </c>
      <c r="H3020">
        <v>2040</v>
      </c>
      <c r="I3020" t="s">
        <v>26</v>
      </c>
      <c r="J3020">
        <v>3350</v>
      </c>
      <c r="K3020" t="s">
        <v>26</v>
      </c>
      <c r="L3020">
        <v>0</v>
      </c>
      <c r="N3020" t="s">
        <v>287</v>
      </c>
      <c r="O3020">
        <v>20</v>
      </c>
      <c r="P3020">
        <v>1125</v>
      </c>
      <c r="Q3020" t="s">
        <v>288</v>
      </c>
      <c r="R3020" t="s">
        <v>201</v>
      </c>
      <c r="S3020">
        <v>7</v>
      </c>
      <c r="T3020">
        <v>1</v>
      </c>
      <c r="U3020">
        <v>76020</v>
      </c>
      <c r="V3020">
        <v>532140</v>
      </c>
    </row>
    <row r="3021" spans="1:22">
      <c r="A3021" t="s">
        <v>196</v>
      </c>
      <c r="B3021">
        <v>57</v>
      </c>
      <c r="C3021" t="s">
        <v>31</v>
      </c>
      <c r="D3021">
        <v>100</v>
      </c>
      <c r="E3021" t="s">
        <v>197</v>
      </c>
      <c r="F3021">
        <v>1005</v>
      </c>
      <c r="G3021" t="s">
        <v>31</v>
      </c>
      <c r="H3021">
        <v>2040</v>
      </c>
      <c r="I3021" t="s">
        <v>26</v>
      </c>
      <c r="J3021">
        <v>3350</v>
      </c>
      <c r="K3021" t="s">
        <v>26</v>
      </c>
      <c r="L3021">
        <v>0</v>
      </c>
      <c r="N3021" t="s">
        <v>253</v>
      </c>
      <c r="O3021">
        <v>10</v>
      </c>
      <c r="P3021">
        <v>790</v>
      </c>
      <c r="Q3021" t="s">
        <v>254</v>
      </c>
      <c r="R3021" t="s">
        <v>201</v>
      </c>
      <c r="S3021">
        <v>1</v>
      </c>
      <c r="T3021">
        <v>1</v>
      </c>
      <c r="U3021">
        <v>83052</v>
      </c>
      <c r="V3021">
        <v>83052</v>
      </c>
    </row>
    <row r="3022" spans="1:22">
      <c r="A3022" t="s">
        <v>196</v>
      </c>
      <c r="B3022">
        <v>57</v>
      </c>
      <c r="C3022" t="s">
        <v>31</v>
      </c>
      <c r="D3022">
        <v>100</v>
      </c>
      <c r="E3022" t="s">
        <v>197</v>
      </c>
      <c r="F3022">
        <v>1005</v>
      </c>
      <c r="G3022" t="s">
        <v>31</v>
      </c>
      <c r="H3022">
        <v>2040</v>
      </c>
      <c r="I3022" t="s">
        <v>26</v>
      </c>
      <c r="J3022">
        <v>3350</v>
      </c>
      <c r="K3022" t="s">
        <v>26</v>
      </c>
      <c r="L3022">
        <v>0</v>
      </c>
      <c r="N3022" t="s">
        <v>255</v>
      </c>
      <c r="O3022">
        <v>1</v>
      </c>
      <c r="P3022">
        <v>729</v>
      </c>
      <c r="Q3022" t="s">
        <v>256</v>
      </c>
      <c r="R3022" t="s">
        <v>201</v>
      </c>
      <c r="S3022">
        <v>2</v>
      </c>
      <c r="T3022">
        <v>1</v>
      </c>
      <c r="U3022">
        <v>82644</v>
      </c>
      <c r="V3022">
        <v>165288</v>
      </c>
    </row>
    <row r="3023" spans="1:22">
      <c r="A3023" t="s">
        <v>196</v>
      </c>
      <c r="B3023">
        <v>57</v>
      </c>
      <c r="C3023" t="s">
        <v>31</v>
      </c>
      <c r="D3023">
        <v>100</v>
      </c>
      <c r="E3023" t="s">
        <v>197</v>
      </c>
      <c r="F3023">
        <v>1005</v>
      </c>
      <c r="G3023" t="s">
        <v>31</v>
      </c>
      <c r="H3023">
        <v>2040</v>
      </c>
      <c r="I3023" t="s">
        <v>26</v>
      </c>
      <c r="J3023">
        <v>3350</v>
      </c>
      <c r="K3023" t="s">
        <v>26</v>
      </c>
      <c r="L3023">
        <v>0</v>
      </c>
      <c r="N3023" t="s">
        <v>386</v>
      </c>
      <c r="O3023">
        <v>3</v>
      </c>
      <c r="P3023" t="s">
        <v>1251</v>
      </c>
      <c r="Q3023" t="s">
        <v>1252</v>
      </c>
      <c r="R3023" t="s">
        <v>201</v>
      </c>
      <c r="S3023">
        <v>1</v>
      </c>
      <c r="T3023">
        <v>1</v>
      </c>
      <c r="U3023">
        <v>140148</v>
      </c>
      <c r="V3023">
        <v>140148</v>
      </c>
    </row>
    <row r="3024" spans="1:22">
      <c r="A3024" t="s">
        <v>196</v>
      </c>
      <c r="B3024">
        <v>57</v>
      </c>
      <c r="C3024" t="s">
        <v>31</v>
      </c>
      <c r="D3024">
        <v>100</v>
      </c>
      <c r="E3024" t="s">
        <v>197</v>
      </c>
      <c r="F3024">
        <v>1005</v>
      </c>
      <c r="G3024" t="s">
        <v>31</v>
      </c>
      <c r="H3024">
        <v>2040</v>
      </c>
      <c r="I3024" t="s">
        <v>26</v>
      </c>
      <c r="J3024">
        <v>3350</v>
      </c>
      <c r="K3024" t="s">
        <v>26</v>
      </c>
      <c r="L3024">
        <v>0</v>
      </c>
      <c r="N3024" t="s">
        <v>249</v>
      </c>
      <c r="O3024">
        <v>10</v>
      </c>
      <c r="P3024">
        <v>311</v>
      </c>
      <c r="Q3024" t="s">
        <v>661</v>
      </c>
      <c r="R3024" t="s">
        <v>201</v>
      </c>
      <c r="S3024">
        <v>1</v>
      </c>
      <c r="T3024">
        <v>1</v>
      </c>
      <c r="U3024">
        <v>118956</v>
      </c>
      <c r="V3024">
        <v>118956</v>
      </c>
    </row>
    <row r="3025" spans="1:22">
      <c r="A3025" t="s">
        <v>196</v>
      </c>
      <c r="B3025">
        <v>57</v>
      </c>
      <c r="C3025" t="s">
        <v>31</v>
      </c>
      <c r="D3025">
        <v>100</v>
      </c>
      <c r="E3025" t="s">
        <v>197</v>
      </c>
      <c r="F3025">
        <v>1005</v>
      </c>
      <c r="G3025" t="s">
        <v>31</v>
      </c>
      <c r="H3025">
        <v>2040</v>
      </c>
      <c r="I3025" t="s">
        <v>26</v>
      </c>
      <c r="J3025">
        <v>3350</v>
      </c>
      <c r="K3025" t="s">
        <v>26</v>
      </c>
      <c r="L3025">
        <v>0</v>
      </c>
      <c r="N3025" t="s">
        <v>249</v>
      </c>
      <c r="O3025">
        <v>10</v>
      </c>
      <c r="P3025">
        <v>311</v>
      </c>
      <c r="Q3025" t="s">
        <v>661</v>
      </c>
      <c r="R3025" t="s">
        <v>201</v>
      </c>
      <c r="S3025">
        <v>1</v>
      </c>
      <c r="T3025">
        <v>1</v>
      </c>
      <c r="U3025">
        <v>89112</v>
      </c>
      <c r="V3025">
        <v>89112</v>
      </c>
    </row>
    <row r="3026" spans="1:22">
      <c r="A3026" t="s">
        <v>196</v>
      </c>
      <c r="B3026">
        <v>57</v>
      </c>
      <c r="C3026" t="s">
        <v>31</v>
      </c>
      <c r="D3026">
        <v>100</v>
      </c>
      <c r="E3026" t="s">
        <v>197</v>
      </c>
      <c r="F3026">
        <v>1005</v>
      </c>
      <c r="G3026" t="s">
        <v>31</v>
      </c>
      <c r="H3026">
        <v>2040</v>
      </c>
      <c r="I3026" t="s">
        <v>26</v>
      </c>
      <c r="J3026">
        <v>3350</v>
      </c>
      <c r="K3026" t="s">
        <v>26</v>
      </c>
      <c r="L3026">
        <v>0</v>
      </c>
      <c r="N3026" t="s">
        <v>341</v>
      </c>
      <c r="O3026">
        <v>1</v>
      </c>
      <c r="P3026">
        <v>308</v>
      </c>
      <c r="Q3026" t="s">
        <v>355</v>
      </c>
      <c r="R3026" t="s">
        <v>201</v>
      </c>
      <c r="S3026">
        <v>2</v>
      </c>
      <c r="T3026">
        <v>1</v>
      </c>
      <c r="U3026">
        <v>113628</v>
      </c>
      <c r="V3026">
        <v>227256</v>
      </c>
    </row>
    <row r="3027" spans="1:22">
      <c r="A3027" t="s">
        <v>196</v>
      </c>
      <c r="B3027">
        <v>57</v>
      </c>
      <c r="C3027" t="s">
        <v>31</v>
      </c>
      <c r="D3027">
        <v>100</v>
      </c>
      <c r="E3027" t="s">
        <v>197</v>
      </c>
      <c r="F3027">
        <v>1005</v>
      </c>
      <c r="G3027" t="s">
        <v>31</v>
      </c>
      <c r="H3027">
        <v>2040</v>
      </c>
      <c r="I3027" t="s">
        <v>26</v>
      </c>
      <c r="J3027">
        <v>3350</v>
      </c>
      <c r="K3027" t="s">
        <v>26</v>
      </c>
      <c r="L3027">
        <v>0</v>
      </c>
      <c r="N3027" t="s">
        <v>199</v>
      </c>
      <c r="O3027">
        <v>0</v>
      </c>
      <c r="P3027">
        <v>15</v>
      </c>
      <c r="Q3027" t="s">
        <v>264</v>
      </c>
      <c r="R3027" t="s">
        <v>201</v>
      </c>
      <c r="S3027">
        <v>0</v>
      </c>
      <c r="T3027">
        <v>0</v>
      </c>
      <c r="U3027">
        <v>63767</v>
      </c>
      <c r="V3027">
        <v>63767</v>
      </c>
    </row>
    <row r="3028" spans="1:22">
      <c r="A3028" t="s">
        <v>196</v>
      </c>
      <c r="B3028">
        <v>57</v>
      </c>
      <c r="C3028" t="s">
        <v>31</v>
      </c>
      <c r="D3028">
        <v>100</v>
      </c>
      <c r="E3028" t="s">
        <v>197</v>
      </c>
      <c r="F3028">
        <v>1005</v>
      </c>
      <c r="G3028" t="s">
        <v>31</v>
      </c>
      <c r="H3028">
        <v>2040</v>
      </c>
      <c r="I3028" t="s">
        <v>26</v>
      </c>
      <c r="J3028">
        <v>3355</v>
      </c>
      <c r="K3028" t="s">
        <v>1429</v>
      </c>
      <c r="L3028">
        <v>4355</v>
      </c>
      <c r="M3028" t="s">
        <v>1430</v>
      </c>
      <c r="N3028" t="s">
        <v>1302</v>
      </c>
      <c r="O3028">
        <v>71</v>
      </c>
      <c r="P3028">
        <v>9171</v>
      </c>
      <c r="Q3028" t="s">
        <v>1303</v>
      </c>
      <c r="R3028" t="s">
        <v>201</v>
      </c>
      <c r="S3028">
        <v>1</v>
      </c>
      <c r="T3028">
        <v>1</v>
      </c>
      <c r="U3028">
        <v>147252</v>
      </c>
      <c r="V3028">
        <v>147252</v>
      </c>
    </row>
    <row r="3029" spans="1:22">
      <c r="A3029" t="s">
        <v>196</v>
      </c>
      <c r="B3029">
        <v>57</v>
      </c>
      <c r="C3029" t="s">
        <v>31</v>
      </c>
      <c r="D3029">
        <v>100</v>
      </c>
      <c r="E3029" t="s">
        <v>197</v>
      </c>
      <c r="F3029">
        <v>1005</v>
      </c>
      <c r="G3029" t="s">
        <v>31</v>
      </c>
      <c r="H3029">
        <v>2040</v>
      </c>
      <c r="I3029" t="s">
        <v>26</v>
      </c>
      <c r="J3029">
        <v>3355</v>
      </c>
      <c r="K3029" t="s">
        <v>1429</v>
      </c>
      <c r="L3029">
        <v>4355</v>
      </c>
      <c r="M3029" t="s">
        <v>1430</v>
      </c>
      <c r="N3029" t="s">
        <v>1309</v>
      </c>
      <c r="O3029">
        <v>91</v>
      </c>
      <c r="P3029">
        <v>9161</v>
      </c>
      <c r="Q3029" t="s">
        <v>1310</v>
      </c>
      <c r="R3029" t="s">
        <v>201</v>
      </c>
      <c r="S3029">
        <v>1</v>
      </c>
      <c r="T3029">
        <v>1</v>
      </c>
      <c r="U3029">
        <v>119154</v>
      </c>
      <c r="V3029">
        <v>119154</v>
      </c>
    </row>
    <row r="3030" spans="1:22">
      <c r="A3030" t="s">
        <v>196</v>
      </c>
      <c r="B3030">
        <v>57</v>
      </c>
      <c r="C3030" t="s">
        <v>31</v>
      </c>
      <c r="D3030">
        <v>100</v>
      </c>
      <c r="E3030" t="s">
        <v>197</v>
      </c>
      <c r="F3030">
        <v>1005</v>
      </c>
      <c r="G3030" t="s">
        <v>31</v>
      </c>
      <c r="H3030">
        <v>2040</v>
      </c>
      <c r="I3030" t="s">
        <v>26</v>
      </c>
      <c r="J3030">
        <v>3355</v>
      </c>
      <c r="K3030" t="s">
        <v>1429</v>
      </c>
      <c r="L3030">
        <v>4355</v>
      </c>
      <c r="M3030" t="s">
        <v>1430</v>
      </c>
      <c r="N3030" t="s">
        <v>199</v>
      </c>
      <c r="O3030">
        <v>0</v>
      </c>
      <c r="P3030">
        <v>15</v>
      </c>
      <c r="Q3030" t="s">
        <v>264</v>
      </c>
      <c r="R3030" t="s">
        <v>201</v>
      </c>
      <c r="S3030">
        <v>0</v>
      </c>
      <c r="T3030">
        <v>0</v>
      </c>
      <c r="U3030">
        <v>2695</v>
      </c>
      <c r="V3030">
        <v>2695</v>
      </c>
    </row>
    <row r="3031" spans="1:22">
      <c r="A3031" t="s">
        <v>196</v>
      </c>
      <c r="B3031">
        <v>57</v>
      </c>
      <c r="C3031" t="s">
        <v>31</v>
      </c>
      <c r="D3031">
        <v>100</v>
      </c>
      <c r="E3031" t="s">
        <v>197</v>
      </c>
      <c r="F3031">
        <v>1005</v>
      </c>
      <c r="G3031" t="s">
        <v>31</v>
      </c>
      <c r="H3031">
        <v>2040</v>
      </c>
      <c r="I3031" t="s">
        <v>26</v>
      </c>
      <c r="J3031">
        <v>3355</v>
      </c>
      <c r="K3031" t="s">
        <v>1429</v>
      </c>
      <c r="L3031">
        <v>4356</v>
      </c>
      <c r="M3031" t="s">
        <v>1431</v>
      </c>
      <c r="N3031" t="s">
        <v>1304</v>
      </c>
      <c r="O3031">
        <v>73</v>
      </c>
      <c r="P3031">
        <v>9173</v>
      </c>
      <c r="Q3031" t="s">
        <v>1323</v>
      </c>
      <c r="R3031" t="s">
        <v>201</v>
      </c>
      <c r="S3031">
        <v>1</v>
      </c>
      <c r="T3031">
        <v>1</v>
      </c>
      <c r="U3031">
        <v>170700</v>
      </c>
      <c r="V3031">
        <v>170700</v>
      </c>
    </row>
    <row r="3032" spans="1:22">
      <c r="A3032" t="s">
        <v>196</v>
      </c>
      <c r="B3032">
        <v>57</v>
      </c>
      <c r="C3032" t="s">
        <v>31</v>
      </c>
      <c r="D3032">
        <v>100</v>
      </c>
      <c r="E3032" t="s">
        <v>197</v>
      </c>
      <c r="F3032">
        <v>1005</v>
      </c>
      <c r="G3032" t="s">
        <v>31</v>
      </c>
      <c r="H3032">
        <v>2040</v>
      </c>
      <c r="I3032" t="s">
        <v>26</v>
      </c>
      <c r="J3032">
        <v>3355</v>
      </c>
      <c r="K3032" t="s">
        <v>1429</v>
      </c>
      <c r="L3032">
        <v>4356</v>
      </c>
      <c r="M3032" t="s">
        <v>1431</v>
      </c>
      <c r="N3032" t="s">
        <v>1302</v>
      </c>
      <c r="O3032">
        <v>71</v>
      </c>
      <c r="P3032">
        <v>9171</v>
      </c>
      <c r="Q3032" t="s">
        <v>1303</v>
      </c>
      <c r="R3032" t="s">
        <v>201</v>
      </c>
      <c r="S3032">
        <v>1</v>
      </c>
      <c r="T3032">
        <v>1</v>
      </c>
      <c r="U3032">
        <v>147252</v>
      </c>
      <c r="V3032">
        <v>147252</v>
      </c>
    </row>
    <row r="3033" spans="1:22">
      <c r="A3033" t="s">
        <v>196</v>
      </c>
      <c r="B3033">
        <v>57</v>
      </c>
      <c r="C3033" t="s">
        <v>31</v>
      </c>
      <c r="D3033">
        <v>100</v>
      </c>
      <c r="E3033" t="s">
        <v>197</v>
      </c>
      <c r="F3033">
        <v>1005</v>
      </c>
      <c r="G3033" t="s">
        <v>31</v>
      </c>
      <c r="H3033">
        <v>2040</v>
      </c>
      <c r="I3033" t="s">
        <v>26</v>
      </c>
      <c r="J3033">
        <v>3355</v>
      </c>
      <c r="K3033" t="s">
        <v>1429</v>
      </c>
      <c r="L3033">
        <v>4356</v>
      </c>
      <c r="M3033" t="s">
        <v>1431</v>
      </c>
      <c r="N3033" t="s">
        <v>1302</v>
      </c>
      <c r="O3033">
        <v>71</v>
      </c>
      <c r="P3033">
        <v>9171</v>
      </c>
      <c r="Q3033" t="s">
        <v>1303</v>
      </c>
      <c r="R3033" t="s">
        <v>201</v>
      </c>
      <c r="S3033">
        <v>1</v>
      </c>
      <c r="T3033">
        <v>1</v>
      </c>
      <c r="U3033">
        <v>142668</v>
      </c>
      <c r="V3033">
        <v>142668</v>
      </c>
    </row>
    <row r="3034" spans="1:22">
      <c r="A3034" t="s">
        <v>196</v>
      </c>
      <c r="B3034">
        <v>57</v>
      </c>
      <c r="C3034" t="s">
        <v>31</v>
      </c>
      <c r="D3034">
        <v>100</v>
      </c>
      <c r="E3034" t="s">
        <v>197</v>
      </c>
      <c r="F3034">
        <v>1005</v>
      </c>
      <c r="G3034" t="s">
        <v>31</v>
      </c>
      <c r="H3034">
        <v>2040</v>
      </c>
      <c r="I3034" t="s">
        <v>26</v>
      </c>
      <c r="J3034">
        <v>3355</v>
      </c>
      <c r="K3034" t="s">
        <v>1429</v>
      </c>
      <c r="L3034">
        <v>4356</v>
      </c>
      <c r="M3034" t="s">
        <v>1431</v>
      </c>
      <c r="N3034" t="s">
        <v>1309</v>
      </c>
      <c r="O3034">
        <v>91</v>
      </c>
      <c r="P3034">
        <v>9161</v>
      </c>
      <c r="Q3034" t="s">
        <v>1310</v>
      </c>
      <c r="R3034" t="s">
        <v>201</v>
      </c>
      <c r="S3034">
        <v>1</v>
      </c>
      <c r="T3034">
        <v>1</v>
      </c>
      <c r="U3034">
        <v>111252</v>
      </c>
      <c r="V3034">
        <v>111252</v>
      </c>
    </row>
    <row r="3035" spans="1:22">
      <c r="A3035" t="s">
        <v>196</v>
      </c>
      <c r="B3035">
        <v>57</v>
      </c>
      <c r="C3035" t="s">
        <v>31</v>
      </c>
      <c r="D3035">
        <v>100</v>
      </c>
      <c r="E3035" t="s">
        <v>197</v>
      </c>
      <c r="F3035">
        <v>1005</v>
      </c>
      <c r="G3035" t="s">
        <v>31</v>
      </c>
      <c r="H3035">
        <v>2040</v>
      </c>
      <c r="I3035" t="s">
        <v>26</v>
      </c>
      <c r="J3035">
        <v>3355</v>
      </c>
      <c r="K3035" t="s">
        <v>1429</v>
      </c>
      <c r="L3035">
        <v>4356</v>
      </c>
      <c r="M3035" t="s">
        <v>1431</v>
      </c>
      <c r="N3035" t="s">
        <v>199</v>
      </c>
      <c r="O3035">
        <v>0</v>
      </c>
      <c r="P3035">
        <v>15</v>
      </c>
      <c r="Q3035" t="s">
        <v>264</v>
      </c>
      <c r="R3035" t="s">
        <v>201</v>
      </c>
      <c r="S3035">
        <v>0</v>
      </c>
      <c r="T3035">
        <v>0</v>
      </c>
      <c r="U3035">
        <v>1855</v>
      </c>
      <c r="V3035">
        <v>1855</v>
      </c>
    </row>
    <row r="3036" spans="1:22">
      <c r="A3036" t="s">
        <v>196</v>
      </c>
      <c r="B3036">
        <v>57</v>
      </c>
      <c r="C3036" t="s">
        <v>31</v>
      </c>
      <c r="D3036">
        <v>100</v>
      </c>
      <c r="E3036" t="s">
        <v>197</v>
      </c>
      <c r="F3036">
        <v>1005</v>
      </c>
      <c r="G3036" t="s">
        <v>31</v>
      </c>
      <c r="H3036">
        <v>2040</v>
      </c>
      <c r="I3036" t="s">
        <v>26</v>
      </c>
      <c r="J3036">
        <v>3358</v>
      </c>
      <c r="K3036" t="s">
        <v>1432</v>
      </c>
      <c r="L3036">
        <v>4361</v>
      </c>
      <c r="M3036" t="s">
        <v>1433</v>
      </c>
      <c r="N3036" t="s">
        <v>199</v>
      </c>
      <c r="O3036">
        <v>99</v>
      </c>
      <c r="P3036">
        <v>9796</v>
      </c>
      <c r="Q3036" t="s">
        <v>1319</v>
      </c>
      <c r="R3036" t="s">
        <v>201</v>
      </c>
      <c r="S3036">
        <v>1</v>
      </c>
      <c r="T3036">
        <v>1</v>
      </c>
      <c r="U3036">
        <v>201048</v>
      </c>
      <c r="V3036">
        <v>201048</v>
      </c>
    </row>
    <row r="3037" spans="1:22">
      <c r="A3037" t="s">
        <v>196</v>
      </c>
      <c r="B3037">
        <v>57</v>
      </c>
      <c r="C3037" t="s">
        <v>31</v>
      </c>
      <c r="D3037">
        <v>100</v>
      </c>
      <c r="E3037" t="s">
        <v>197</v>
      </c>
      <c r="F3037">
        <v>1005</v>
      </c>
      <c r="G3037" t="s">
        <v>31</v>
      </c>
      <c r="H3037">
        <v>2040</v>
      </c>
      <c r="I3037" t="s">
        <v>26</v>
      </c>
      <c r="J3037">
        <v>3358</v>
      </c>
      <c r="K3037" t="s">
        <v>1432</v>
      </c>
      <c r="L3037">
        <v>4361</v>
      </c>
      <c r="M3037" t="s">
        <v>1433</v>
      </c>
      <c r="N3037" t="s">
        <v>216</v>
      </c>
      <c r="O3037">
        <v>99</v>
      </c>
      <c r="P3037">
        <v>9752</v>
      </c>
      <c r="Q3037" t="s">
        <v>1296</v>
      </c>
      <c r="R3037" t="s">
        <v>201</v>
      </c>
      <c r="S3037">
        <v>1</v>
      </c>
      <c r="T3037">
        <v>1</v>
      </c>
      <c r="U3037">
        <v>192240</v>
      </c>
      <c r="V3037">
        <v>192240</v>
      </c>
    </row>
    <row r="3038" spans="1:22">
      <c r="A3038" t="s">
        <v>196</v>
      </c>
      <c r="B3038">
        <v>57</v>
      </c>
      <c r="C3038" t="s">
        <v>31</v>
      </c>
      <c r="D3038">
        <v>100</v>
      </c>
      <c r="E3038" t="s">
        <v>197</v>
      </c>
      <c r="F3038">
        <v>1005</v>
      </c>
      <c r="G3038" t="s">
        <v>31</v>
      </c>
      <c r="H3038">
        <v>2040</v>
      </c>
      <c r="I3038" t="s">
        <v>26</v>
      </c>
      <c r="J3038">
        <v>3358</v>
      </c>
      <c r="K3038" t="s">
        <v>1432</v>
      </c>
      <c r="L3038">
        <v>4361</v>
      </c>
      <c r="M3038" t="s">
        <v>1433</v>
      </c>
      <c r="N3038" t="s">
        <v>1304</v>
      </c>
      <c r="O3038">
        <v>73</v>
      </c>
      <c r="P3038">
        <v>9173</v>
      </c>
      <c r="Q3038" t="s">
        <v>1323</v>
      </c>
      <c r="R3038" t="s">
        <v>201</v>
      </c>
      <c r="S3038">
        <v>3</v>
      </c>
      <c r="T3038">
        <v>1</v>
      </c>
      <c r="U3038">
        <v>170700</v>
      </c>
      <c r="V3038">
        <v>512100</v>
      </c>
    </row>
    <row r="3039" spans="1:22">
      <c r="A3039" t="s">
        <v>196</v>
      </c>
      <c r="B3039">
        <v>57</v>
      </c>
      <c r="C3039" t="s">
        <v>31</v>
      </c>
      <c r="D3039">
        <v>100</v>
      </c>
      <c r="E3039" t="s">
        <v>197</v>
      </c>
      <c r="F3039">
        <v>1005</v>
      </c>
      <c r="G3039" t="s">
        <v>31</v>
      </c>
      <c r="H3039">
        <v>2040</v>
      </c>
      <c r="I3039" t="s">
        <v>26</v>
      </c>
      <c r="J3039">
        <v>3358</v>
      </c>
      <c r="K3039" t="s">
        <v>1432</v>
      </c>
      <c r="L3039">
        <v>4361</v>
      </c>
      <c r="M3039" t="s">
        <v>1433</v>
      </c>
      <c r="N3039" t="s">
        <v>1304</v>
      </c>
      <c r="O3039">
        <v>73</v>
      </c>
      <c r="P3039">
        <v>9173</v>
      </c>
      <c r="Q3039" t="s">
        <v>1323</v>
      </c>
      <c r="R3039" t="s">
        <v>201</v>
      </c>
      <c r="S3039">
        <v>3</v>
      </c>
      <c r="T3039">
        <v>1</v>
      </c>
      <c r="U3039">
        <v>165624</v>
      </c>
      <c r="V3039">
        <v>496872</v>
      </c>
    </row>
    <row r="3040" spans="1:22">
      <c r="A3040" t="s">
        <v>196</v>
      </c>
      <c r="B3040">
        <v>57</v>
      </c>
      <c r="C3040" t="s">
        <v>31</v>
      </c>
      <c r="D3040">
        <v>100</v>
      </c>
      <c r="E3040" t="s">
        <v>197</v>
      </c>
      <c r="F3040">
        <v>1005</v>
      </c>
      <c r="G3040" t="s">
        <v>31</v>
      </c>
      <c r="H3040">
        <v>2040</v>
      </c>
      <c r="I3040" t="s">
        <v>26</v>
      </c>
      <c r="J3040">
        <v>3358</v>
      </c>
      <c r="K3040" t="s">
        <v>1432</v>
      </c>
      <c r="L3040">
        <v>4361</v>
      </c>
      <c r="M3040" t="s">
        <v>1433</v>
      </c>
      <c r="N3040" t="s">
        <v>1304</v>
      </c>
      <c r="O3040">
        <v>73</v>
      </c>
      <c r="P3040">
        <v>9173</v>
      </c>
      <c r="Q3040" t="s">
        <v>1323</v>
      </c>
      <c r="R3040" t="s">
        <v>201</v>
      </c>
      <c r="S3040">
        <v>1</v>
      </c>
      <c r="T3040">
        <v>1</v>
      </c>
      <c r="U3040">
        <v>160746</v>
      </c>
      <c r="V3040">
        <v>160746</v>
      </c>
    </row>
    <row r="3041" spans="1:22">
      <c r="A3041" t="s">
        <v>196</v>
      </c>
      <c r="B3041">
        <v>57</v>
      </c>
      <c r="C3041" t="s">
        <v>31</v>
      </c>
      <c r="D3041">
        <v>100</v>
      </c>
      <c r="E3041" t="s">
        <v>197</v>
      </c>
      <c r="F3041">
        <v>1005</v>
      </c>
      <c r="G3041" t="s">
        <v>31</v>
      </c>
      <c r="H3041">
        <v>2040</v>
      </c>
      <c r="I3041" t="s">
        <v>26</v>
      </c>
      <c r="J3041">
        <v>3358</v>
      </c>
      <c r="K3041" t="s">
        <v>1432</v>
      </c>
      <c r="L3041">
        <v>4361</v>
      </c>
      <c r="M3041" t="s">
        <v>1433</v>
      </c>
      <c r="N3041" t="s">
        <v>1304</v>
      </c>
      <c r="O3041">
        <v>73</v>
      </c>
      <c r="P3041">
        <v>9173</v>
      </c>
      <c r="Q3041" t="s">
        <v>1323</v>
      </c>
      <c r="R3041" t="s">
        <v>201</v>
      </c>
      <c r="S3041">
        <v>1</v>
      </c>
      <c r="T3041">
        <v>1</v>
      </c>
      <c r="U3041">
        <v>155934</v>
      </c>
      <c r="V3041">
        <v>155934</v>
      </c>
    </row>
    <row r="3042" spans="1:22">
      <c r="A3042" t="s">
        <v>196</v>
      </c>
      <c r="B3042">
        <v>57</v>
      </c>
      <c r="C3042" t="s">
        <v>31</v>
      </c>
      <c r="D3042">
        <v>100</v>
      </c>
      <c r="E3042" t="s">
        <v>197</v>
      </c>
      <c r="F3042">
        <v>1005</v>
      </c>
      <c r="G3042" t="s">
        <v>31</v>
      </c>
      <c r="H3042">
        <v>2040</v>
      </c>
      <c r="I3042" t="s">
        <v>26</v>
      </c>
      <c r="J3042">
        <v>3358</v>
      </c>
      <c r="K3042" t="s">
        <v>1432</v>
      </c>
      <c r="L3042">
        <v>4361</v>
      </c>
      <c r="M3042" t="s">
        <v>1433</v>
      </c>
      <c r="N3042" t="s">
        <v>1302</v>
      </c>
      <c r="O3042">
        <v>71</v>
      </c>
      <c r="P3042">
        <v>9171</v>
      </c>
      <c r="Q3042" t="s">
        <v>1303</v>
      </c>
      <c r="R3042" t="s">
        <v>201</v>
      </c>
      <c r="S3042">
        <v>1</v>
      </c>
      <c r="T3042">
        <v>1</v>
      </c>
      <c r="U3042">
        <v>156564</v>
      </c>
      <c r="V3042">
        <v>156564</v>
      </c>
    </row>
    <row r="3043" spans="1:22">
      <c r="A3043" t="s">
        <v>196</v>
      </c>
      <c r="B3043">
        <v>57</v>
      </c>
      <c r="C3043" t="s">
        <v>31</v>
      </c>
      <c r="D3043">
        <v>100</v>
      </c>
      <c r="E3043" t="s">
        <v>197</v>
      </c>
      <c r="F3043">
        <v>1005</v>
      </c>
      <c r="G3043" t="s">
        <v>31</v>
      </c>
      <c r="H3043">
        <v>2040</v>
      </c>
      <c r="I3043" t="s">
        <v>26</v>
      </c>
      <c r="J3043">
        <v>3358</v>
      </c>
      <c r="K3043" t="s">
        <v>1432</v>
      </c>
      <c r="L3043">
        <v>4361</v>
      </c>
      <c r="M3043" t="s">
        <v>1433</v>
      </c>
      <c r="N3043" t="s">
        <v>1302</v>
      </c>
      <c r="O3043">
        <v>71</v>
      </c>
      <c r="P3043">
        <v>9171</v>
      </c>
      <c r="Q3043" t="s">
        <v>1303</v>
      </c>
      <c r="R3043" t="s">
        <v>201</v>
      </c>
      <c r="S3043">
        <v>12</v>
      </c>
      <c r="T3043">
        <v>1</v>
      </c>
      <c r="U3043">
        <v>152010</v>
      </c>
      <c r="V3043">
        <v>1824120</v>
      </c>
    </row>
    <row r="3044" spans="1:22">
      <c r="A3044" t="s">
        <v>196</v>
      </c>
      <c r="B3044">
        <v>57</v>
      </c>
      <c r="C3044" t="s">
        <v>31</v>
      </c>
      <c r="D3044">
        <v>100</v>
      </c>
      <c r="E3044" t="s">
        <v>197</v>
      </c>
      <c r="F3044">
        <v>1005</v>
      </c>
      <c r="G3044" t="s">
        <v>31</v>
      </c>
      <c r="H3044">
        <v>2040</v>
      </c>
      <c r="I3044" t="s">
        <v>26</v>
      </c>
      <c r="J3044">
        <v>3358</v>
      </c>
      <c r="K3044" t="s">
        <v>1432</v>
      </c>
      <c r="L3044">
        <v>4361</v>
      </c>
      <c r="M3044" t="s">
        <v>1433</v>
      </c>
      <c r="N3044" t="s">
        <v>1302</v>
      </c>
      <c r="O3044">
        <v>71</v>
      </c>
      <c r="P3044">
        <v>9171</v>
      </c>
      <c r="Q3044" t="s">
        <v>1303</v>
      </c>
      <c r="R3044" t="s">
        <v>201</v>
      </c>
      <c r="S3044">
        <v>13</v>
      </c>
      <c r="T3044">
        <v>1</v>
      </c>
      <c r="U3044">
        <v>147252</v>
      </c>
      <c r="V3044">
        <v>1914276</v>
      </c>
    </row>
    <row r="3045" spans="1:22">
      <c r="A3045" t="s">
        <v>196</v>
      </c>
      <c r="B3045">
        <v>57</v>
      </c>
      <c r="C3045" t="s">
        <v>31</v>
      </c>
      <c r="D3045">
        <v>100</v>
      </c>
      <c r="E3045" t="s">
        <v>197</v>
      </c>
      <c r="F3045">
        <v>1005</v>
      </c>
      <c r="G3045" t="s">
        <v>31</v>
      </c>
      <c r="H3045">
        <v>2040</v>
      </c>
      <c r="I3045" t="s">
        <v>26</v>
      </c>
      <c r="J3045">
        <v>3358</v>
      </c>
      <c r="K3045" t="s">
        <v>1432</v>
      </c>
      <c r="L3045">
        <v>4361</v>
      </c>
      <c r="M3045" t="s">
        <v>1433</v>
      </c>
      <c r="N3045" t="s">
        <v>1302</v>
      </c>
      <c r="O3045">
        <v>71</v>
      </c>
      <c r="P3045">
        <v>9171</v>
      </c>
      <c r="Q3045" t="s">
        <v>1303</v>
      </c>
      <c r="R3045" t="s">
        <v>201</v>
      </c>
      <c r="S3045">
        <v>6</v>
      </c>
      <c r="T3045">
        <v>1</v>
      </c>
      <c r="U3045">
        <v>142668</v>
      </c>
      <c r="V3045">
        <v>856008</v>
      </c>
    </row>
    <row r="3046" spans="1:22">
      <c r="A3046" t="s">
        <v>196</v>
      </c>
      <c r="B3046">
        <v>57</v>
      </c>
      <c r="C3046" t="s">
        <v>31</v>
      </c>
      <c r="D3046">
        <v>100</v>
      </c>
      <c r="E3046" t="s">
        <v>197</v>
      </c>
      <c r="F3046">
        <v>1005</v>
      </c>
      <c r="G3046" t="s">
        <v>31</v>
      </c>
      <c r="H3046">
        <v>2040</v>
      </c>
      <c r="I3046" t="s">
        <v>26</v>
      </c>
      <c r="J3046">
        <v>3358</v>
      </c>
      <c r="K3046" t="s">
        <v>1432</v>
      </c>
      <c r="L3046">
        <v>4361</v>
      </c>
      <c r="M3046" t="s">
        <v>1433</v>
      </c>
      <c r="N3046" t="s">
        <v>1302</v>
      </c>
      <c r="O3046">
        <v>71</v>
      </c>
      <c r="P3046">
        <v>9171</v>
      </c>
      <c r="Q3046" t="s">
        <v>1303</v>
      </c>
      <c r="R3046" t="s">
        <v>201</v>
      </c>
      <c r="S3046">
        <v>8</v>
      </c>
      <c r="T3046">
        <v>1</v>
      </c>
      <c r="U3046">
        <v>138318</v>
      </c>
      <c r="V3046">
        <v>1106544</v>
      </c>
    </row>
    <row r="3047" spans="1:22">
      <c r="A3047" t="s">
        <v>196</v>
      </c>
      <c r="B3047">
        <v>57</v>
      </c>
      <c r="C3047" t="s">
        <v>31</v>
      </c>
      <c r="D3047">
        <v>100</v>
      </c>
      <c r="E3047" t="s">
        <v>197</v>
      </c>
      <c r="F3047">
        <v>1005</v>
      </c>
      <c r="G3047" t="s">
        <v>31</v>
      </c>
      <c r="H3047">
        <v>2040</v>
      </c>
      <c r="I3047" t="s">
        <v>26</v>
      </c>
      <c r="J3047">
        <v>3358</v>
      </c>
      <c r="K3047" t="s">
        <v>1432</v>
      </c>
      <c r="L3047">
        <v>4361</v>
      </c>
      <c r="M3047" t="s">
        <v>1433</v>
      </c>
      <c r="N3047" t="s">
        <v>1302</v>
      </c>
      <c r="O3047">
        <v>71</v>
      </c>
      <c r="P3047">
        <v>9171</v>
      </c>
      <c r="Q3047" t="s">
        <v>1303</v>
      </c>
      <c r="R3047" t="s">
        <v>201</v>
      </c>
      <c r="S3047">
        <v>2</v>
      </c>
      <c r="T3047">
        <v>1</v>
      </c>
      <c r="U3047">
        <v>133890</v>
      </c>
      <c r="V3047">
        <v>267780</v>
      </c>
    </row>
    <row r="3048" spans="1:22">
      <c r="A3048" t="s">
        <v>196</v>
      </c>
      <c r="B3048">
        <v>57</v>
      </c>
      <c r="C3048" t="s">
        <v>31</v>
      </c>
      <c r="D3048">
        <v>100</v>
      </c>
      <c r="E3048" t="s">
        <v>197</v>
      </c>
      <c r="F3048">
        <v>1005</v>
      </c>
      <c r="G3048" t="s">
        <v>31</v>
      </c>
      <c r="H3048">
        <v>2040</v>
      </c>
      <c r="I3048" t="s">
        <v>26</v>
      </c>
      <c r="J3048">
        <v>3358</v>
      </c>
      <c r="K3048" t="s">
        <v>1432</v>
      </c>
      <c r="L3048">
        <v>4361</v>
      </c>
      <c r="M3048" t="s">
        <v>1433</v>
      </c>
      <c r="N3048" t="s">
        <v>1321</v>
      </c>
      <c r="O3048">
        <v>91</v>
      </c>
      <c r="P3048">
        <v>9170</v>
      </c>
      <c r="Q3048" t="s">
        <v>1434</v>
      </c>
      <c r="R3048" t="s">
        <v>201</v>
      </c>
      <c r="S3048">
        <v>1</v>
      </c>
      <c r="T3048">
        <v>1</v>
      </c>
      <c r="U3048">
        <v>90816</v>
      </c>
      <c r="V3048">
        <v>90816</v>
      </c>
    </row>
    <row r="3049" spans="1:22">
      <c r="A3049" t="s">
        <v>196</v>
      </c>
      <c r="B3049">
        <v>57</v>
      </c>
      <c r="C3049" t="s">
        <v>31</v>
      </c>
      <c r="D3049">
        <v>100</v>
      </c>
      <c r="E3049" t="s">
        <v>197</v>
      </c>
      <c r="F3049">
        <v>1005</v>
      </c>
      <c r="G3049" t="s">
        <v>31</v>
      </c>
      <c r="H3049">
        <v>2040</v>
      </c>
      <c r="I3049" t="s">
        <v>26</v>
      </c>
      <c r="J3049">
        <v>3358</v>
      </c>
      <c r="K3049" t="s">
        <v>1432</v>
      </c>
      <c r="L3049">
        <v>4361</v>
      </c>
      <c r="M3049" t="s">
        <v>1433</v>
      </c>
      <c r="N3049" t="s">
        <v>1324</v>
      </c>
      <c r="O3049">
        <v>91</v>
      </c>
      <c r="P3049">
        <v>9165</v>
      </c>
      <c r="Q3049" t="s">
        <v>1325</v>
      </c>
      <c r="R3049" t="s">
        <v>201</v>
      </c>
      <c r="S3049">
        <v>1</v>
      </c>
      <c r="T3049">
        <v>1</v>
      </c>
      <c r="U3049">
        <v>140454</v>
      </c>
      <c r="V3049">
        <v>140454</v>
      </c>
    </row>
    <row r="3050" spans="1:22">
      <c r="A3050" t="s">
        <v>196</v>
      </c>
      <c r="B3050">
        <v>57</v>
      </c>
      <c r="C3050" t="s">
        <v>31</v>
      </c>
      <c r="D3050">
        <v>100</v>
      </c>
      <c r="E3050" t="s">
        <v>197</v>
      </c>
      <c r="F3050">
        <v>1005</v>
      </c>
      <c r="G3050" t="s">
        <v>31</v>
      </c>
      <c r="H3050">
        <v>2040</v>
      </c>
      <c r="I3050" t="s">
        <v>26</v>
      </c>
      <c r="J3050">
        <v>3358</v>
      </c>
      <c r="K3050" t="s">
        <v>1432</v>
      </c>
      <c r="L3050">
        <v>4361</v>
      </c>
      <c r="M3050" t="s">
        <v>1433</v>
      </c>
      <c r="N3050" t="s">
        <v>1349</v>
      </c>
      <c r="O3050">
        <v>91</v>
      </c>
      <c r="P3050">
        <v>9164</v>
      </c>
      <c r="Q3050" t="s">
        <v>1350</v>
      </c>
      <c r="R3050" t="s">
        <v>201</v>
      </c>
      <c r="S3050">
        <v>1</v>
      </c>
      <c r="T3050">
        <v>1</v>
      </c>
      <c r="U3050">
        <v>133650</v>
      </c>
      <c r="V3050">
        <v>133650</v>
      </c>
    </row>
    <row r="3051" spans="1:22">
      <c r="A3051" t="s">
        <v>196</v>
      </c>
      <c r="B3051">
        <v>57</v>
      </c>
      <c r="C3051" t="s">
        <v>31</v>
      </c>
      <c r="D3051">
        <v>100</v>
      </c>
      <c r="E3051" t="s">
        <v>197</v>
      </c>
      <c r="F3051">
        <v>1005</v>
      </c>
      <c r="G3051" t="s">
        <v>31</v>
      </c>
      <c r="H3051">
        <v>2040</v>
      </c>
      <c r="I3051" t="s">
        <v>26</v>
      </c>
      <c r="J3051">
        <v>3358</v>
      </c>
      <c r="K3051" t="s">
        <v>1432</v>
      </c>
      <c r="L3051">
        <v>4361</v>
      </c>
      <c r="M3051" t="s">
        <v>1433</v>
      </c>
      <c r="N3051" t="s">
        <v>1349</v>
      </c>
      <c r="O3051">
        <v>91</v>
      </c>
      <c r="P3051">
        <v>9164</v>
      </c>
      <c r="Q3051" t="s">
        <v>1350</v>
      </c>
      <c r="R3051" t="s">
        <v>201</v>
      </c>
      <c r="S3051">
        <v>2</v>
      </c>
      <c r="T3051">
        <v>1</v>
      </c>
      <c r="U3051">
        <v>120564</v>
      </c>
      <c r="V3051">
        <v>241128</v>
      </c>
    </row>
    <row r="3052" spans="1:22">
      <c r="A3052" t="s">
        <v>196</v>
      </c>
      <c r="B3052">
        <v>57</v>
      </c>
      <c r="C3052" t="s">
        <v>31</v>
      </c>
      <c r="D3052">
        <v>100</v>
      </c>
      <c r="E3052" t="s">
        <v>197</v>
      </c>
      <c r="F3052">
        <v>1005</v>
      </c>
      <c r="G3052" t="s">
        <v>31</v>
      </c>
      <c r="H3052">
        <v>2040</v>
      </c>
      <c r="I3052" t="s">
        <v>26</v>
      </c>
      <c r="J3052">
        <v>3358</v>
      </c>
      <c r="K3052" t="s">
        <v>1432</v>
      </c>
      <c r="L3052">
        <v>4361</v>
      </c>
      <c r="M3052" t="s">
        <v>1433</v>
      </c>
      <c r="N3052" t="s">
        <v>1349</v>
      </c>
      <c r="O3052">
        <v>91</v>
      </c>
      <c r="P3052">
        <v>9164</v>
      </c>
      <c r="Q3052" t="s">
        <v>1350</v>
      </c>
      <c r="R3052" t="s">
        <v>201</v>
      </c>
      <c r="S3052">
        <v>2</v>
      </c>
      <c r="T3052">
        <v>1</v>
      </c>
      <c r="U3052">
        <v>93942</v>
      </c>
      <c r="V3052">
        <v>187884</v>
      </c>
    </row>
    <row r="3053" spans="1:22">
      <c r="A3053" t="s">
        <v>196</v>
      </c>
      <c r="B3053">
        <v>57</v>
      </c>
      <c r="C3053" t="s">
        <v>31</v>
      </c>
      <c r="D3053">
        <v>100</v>
      </c>
      <c r="E3053" t="s">
        <v>197</v>
      </c>
      <c r="F3053">
        <v>1005</v>
      </c>
      <c r="G3053" t="s">
        <v>31</v>
      </c>
      <c r="H3053">
        <v>2040</v>
      </c>
      <c r="I3053" t="s">
        <v>26</v>
      </c>
      <c r="J3053">
        <v>3358</v>
      </c>
      <c r="K3053" t="s">
        <v>1432</v>
      </c>
      <c r="L3053">
        <v>4361</v>
      </c>
      <c r="M3053" t="s">
        <v>1433</v>
      </c>
      <c r="N3053" t="s">
        <v>1309</v>
      </c>
      <c r="O3053">
        <v>91</v>
      </c>
      <c r="P3053">
        <v>9161</v>
      </c>
      <c r="Q3053" t="s">
        <v>1310</v>
      </c>
      <c r="R3053" t="s">
        <v>201</v>
      </c>
      <c r="S3053">
        <v>17</v>
      </c>
      <c r="T3053">
        <v>1</v>
      </c>
      <c r="U3053">
        <v>127146</v>
      </c>
      <c r="V3053">
        <v>2161482</v>
      </c>
    </row>
    <row r="3054" spans="1:22">
      <c r="A3054" t="s">
        <v>196</v>
      </c>
      <c r="B3054">
        <v>57</v>
      </c>
      <c r="C3054" t="s">
        <v>31</v>
      </c>
      <c r="D3054">
        <v>100</v>
      </c>
      <c r="E3054" t="s">
        <v>197</v>
      </c>
      <c r="F3054">
        <v>1005</v>
      </c>
      <c r="G3054" t="s">
        <v>31</v>
      </c>
      <c r="H3054">
        <v>2040</v>
      </c>
      <c r="I3054" t="s">
        <v>26</v>
      </c>
      <c r="J3054">
        <v>3358</v>
      </c>
      <c r="K3054" t="s">
        <v>1432</v>
      </c>
      <c r="L3054">
        <v>4361</v>
      </c>
      <c r="M3054" t="s">
        <v>1433</v>
      </c>
      <c r="N3054" t="s">
        <v>1309</v>
      </c>
      <c r="O3054">
        <v>91</v>
      </c>
      <c r="P3054">
        <v>9161</v>
      </c>
      <c r="Q3054" t="s">
        <v>1310</v>
      </c>
      <c r="R3054" t="s">
        <v>201</v>
      </c>
      <c r="S3054">
        <v>31</v>
      </c>
      <c r="T3054">
        <v>1</v>
      </c>
      <c r="U3054">
        <v>123576</v>
      </c>
      <c r="V3054">
        <v>3830856</v>
      </c>
    </row>
    <row r="3055" spans="1:22">
      <c r="A3055" t="s">
        <v>196</v>
      </c>
      <c r="B3055">
        <v>57</v>
      </c>
      <c r="C3055" t="s">
        <v>31</v>
      </c>
      <c r="D3055">
        <v>100</v>
      </c>
      <c r="E3055" t="s">
        <v>197</v>
      </c>
      <c r="F3055">
        <v>1005</v>
      </c>
      <c r="G3055" t="s">
        <v>31</v>
      </c>
      <c r="H3055">
        <v>2040</v>
      </c>
      <c r="I3055" t="s">
        <v>26</v>
      </c>
      <c r="J3055">
        <v>3358</v>
      </c>
      <c r="K3055" t="s">
        <v>1432</v>
      </c>
      <c r="L3055">
        <v>4361</v>
      </c>
      <c r="M3055" t="s">
        <v>1433</v>
      </c>
      <c r="N3055" t="s">
        <v>1309</v>
      </c>
      <c r="O3055">
        <v>91</v>
      </c>
      <c r="P3055">
        <v>9161</v>
      </c>
      <c r="Q3055" t="s">
        <v>1310</v>
      </c>
      <c r="R3055" t="s">
        <v>201</v>
      </c>
      <c r="S3055">
        <v>14</v>
      </c>
      <c r="T3055">
        <v>1</v>
      </c>
      <c r="U3055">
        <v>119154</v>
      </c>
      <c r="V3055">
        <v>1668156</v>
      </c>
    </row>
    <row r="3056" spans="1:22">
      <c r="A3056" t="s">
        <v>196</v>
      </c>
      <c r="B3056">
        <v>57</v>
      </c>
      <c r="C3056" t="s">
        <v>31</v>
      </c>
      <c r="D3056">
        <v>100</v>
      </c>
      <c r="E3056" t="s">
        <v>197</v>
      </c>
      <c r="F3056">
        <v>1005</v>
      </c>
      <c r="G3056" t="s">
        <v>31</v>
      </c>
      <c r="H3056">
        <v>2040</v>
      </c>
      <c r="I3056" t="s">
        <v>26</v>
      </c>
      <c r="J3056">
        <v>3358</v>
      </c>
      <c r="K3056" t="s">
        <v>1432</v>
      </c>
      <c r="L3056">
        <v>4361</v>
      </c>
      <c r="M3056" t="s">
        <v>1433</v>
      </c>
      <c r="N3056" t="s">
        <v>1309</v>
      </c>
      <c r="O3056">
        <v>91</v>
      </c>
      <c r="P3056">
        <v>9161</v>
      </c>
      <c r="Q3056" t="s">
        <v>1310</v>
      </c>
      <c r="R3056" t="s">
        <v>201</v>
      </c>
      <c r="S3056">
        <v>5</v>
      </c>
      <c r="T3056">
        <v>1</v>
      </c>
      <c r="U3056">
        <v>115158</v>
      </c>
      <c r="V3056">
        <v>575790</v>
      </c>
    </row>
    <row r="3057" spans="1:22">
      <c r="A3057" t="s">
        <v>196</v>
      </c>
      <c r="B3057">
        <v>57</v>
      </c>
      <c r="C3057" t="s">
        <v>31</v>
      </c>
      <c r="D3057">
        <v>100</v>
      </c>
      <c r="E3057" t="s">
        <v>197</v>
      </c>
      <c r="F3057">
        <v>1005</v>
      </c>
      <c r="G3057" t="s">
        <v>31</v>
      </c>
      <c r="H3057">
        <v>2040</v>
      </c>
      <c r="I3057" t="s">
        <v>26</v>
      </c>
      <c r="J3057">
        <v>3358</v>
      </c>
      <c r="K3057" t="s">
        <v>1432</v>
      </c>
      <c r="L3057">
        <v>4361</v>
      </c>
      <c r="M3057" t="s">
        <v>1433</v>
      </c>
      <c r="N3057" t="s">
        <v>1309</v>
      </c>
      <c r="O3057">
        <v>91</v>
      </c>
      <c r="P3057">
        <v>9161</v>
      </c>
      <c r="Q3057" t="s">
        <v>1310</v>
      </c>
      <c r="R3057" t="s">
        <v>201</v>
      </c>
      <c r="S3057">
        <v>53</v>
      </c>
      <c r="T3057">
        <v>1</v>
      </c>
      <c r="U3057">
        <v>111252</v>
      </c>
      <c r="V3057">
        <v>5896356</v>
      </c>
    </row>
    <row r="3058" spans="1:22">
      <c r="A3058" t="s">
        <v>196</v>
      </c>
      <c r="B3058">
        <v>57</v>
      </c>
      <c r="C3058" t="s">
        <v>31</v>
      </c>
      <c r="D3058">
        <v>100</v>
      </c>
      <c r="E3058" t="s">
        <v>197</v>
      </c>
      <c r="F3058">
        <v>1005</v>
      </c>
      <c r="G3058" t="s">
        <v>31</v>
      </c>
      <c r="H3058">
        <v>2040</v>
      </c>
      <c r="I3058" t="s">
        <v>26</v>
      </c>
      <c r="J3058">
        <v>3358</v>
      </c>
      <c r="K3058" t="s">
        <v>1432</v>
      </c>
      <c r="L3058">
        <v>4361</v>
      </c>
      <c r="M3058" t="s">
        <v>1433</v>
      </c>
      <c r="N3058" t="s">
        <v>1309</v>
      </c>
      <c r="O3058">
        <v>91</v>
      </c>
      <c r="P3058">
        <v>9161</v>
      </c>
      <c r="Q3058" t="s">
        <v>1310</v>
      </c>
      <c r="R3058" t="s">
        <v>201</v>
      </c>
      <c r="S3058">
        <v>9</v>
      </c>
      <c r="T3058">
        <v>1</v>
      </c>
      <c r="U3058">
        <v>63636</v>
      </c>
      <c r="V3058">
        <v>572724</v>
      </c>
    </row>
    <row r="3059" spans="1:22">
      <c r="A3059" t="s">
        <v>196</v>
      </c>
      <c r="B3059">
        <v>57</v>
      </c>
      <c r="C3059" t="s">
        <v>31</v>
      </c>
      <c r="D3059">
        <v>100</v>
      </c>
      <c r="E3059" t="s">
        <v>197</v>
      </c>
      <c r="F3059">
        <v>1005</v>
      </c>
      <c r="G3059" t="s">
        <v>31</v>
      </c>
      <c r="H3059">
        <v>2040</v>
      </c>
      <c r="I3059" t="s">
        <v>26</v>
      </c>
      <c r="J3059">
        <v>3358</v>
      </c>
      <c r="K3059" t="s">
        <v>1432</v>
      </c>
      <c r="L3059">
        <v>4361</v>
      </c>
      <c r="M3059" t="s">
        <v>1433</v>
      </c>
      <c r="N3059" t="s">
        <v>261</v>
      </c>
      <c r="O3059">
        <v>20</v>
      </c>
      <c r="P3059">
        <v>9024</v>
      </c>
      <c r="Q3059" t="s">
        <v>1427</v>
      </c>
      <c r="R3059" t="s">
        <v>201</v>
      </c>
      <c r="S3059">
        <v>3</v>
      </c>
      <c r="T3059">
        <v>1</v>
      </c>
      <c r="U3059">
        <v>89112</v>
      </c>
      <c r="V3059">
        <v>267336</v>
      </c>
    </row>
    <row r="3060" spans="1:22">
      <c r="A3060" t="s">
        <v>196</v>
      </c>
      <c r="B3060">
        <v>57</v>
      </c>
      <c r="C3060" t="s">
        <v>31</v>
      </c>
      <c r="D3060">
        <v>100</v>
      </c>
      <c r="E3060" t="s">
        <v>197</v>
      </c>
      <c r="F3060">
        <v>1005</v>
      </c>
      <c r="G3060" t="s">
        <v>31</v>
      </c>
      <c r="H3060">
        <v>2040</v>
      </c>
      <c r="I3060" t="s">
        <v>26</v>
      </c>
      <c r="J3060">
        <v>3358</v>
      </c>
      <c r="K3060" t="s">
        <v>1432</v>
      </c>
      <c r="L3060">
        <v>4361</v>
      </c>
      <c r="M3060" t="s">
        <v>1433</v>
      </c>
      <c r="N3060" t="s">
        <v>356</v>
      </c>
      <c r="O3060">
        <v>4</v>
      </c>
      <c r="P3060">
        <v>1646</v>
      </c>
      <c r="Q3060" t="s">
        <v>1102</v>
      </c>
      <c r="R3060" t="s">
        <v>201</v>
      </c>
      <c r="S3060">
        <v>1</v>
      </c>
      <c r="T3060">
        <v>1</v>
      </c>
      <c r="U3060">
        <v>112536</v>
      </c>
      <c r="V3060">
        <v>112536</v>
      </c>
    </row>
    <row r="3061" spans="1:22">
      <c r="A3061" t="s">
        <v>196</v>
      </c>
      <c r="B3061">
        <v>57</v>
      </c>
      <c r="C3061" t="s">
        <v>31</v>
      </c>
      <c r="D3061">
        <v>100</v>
      </c>
      <c r="E3061" t="s">
        <v>197</v>
      </c>
      <c r="F3061">
        <v>1005</v>
      </c>
      <c r="G3061" t="s">
        <v>31</v>
      </c>
      <c r="H3061">
        <v>2040</v>
      </c>
      <c r="I3061" t="s">
        <v>26</v>
      </c>
      <c r="J3061">
        <v>3358</v>
      </c>
      <c r="K3061" t="s">
        <v>1432</v>
      </c>
      <c r="L3061">
        <v>4361</v>
      </c>
      <c r="M3061" t="s">
        <v>1433</v>
      </c>
      <c r="N3061" t="s">
        <v>356</v>
      </c>
      <c r="O3061">
        <v>4</v>
      </c>
      <c r="P3061">
        <v>1646</v>
      </c>
      <c r="Q3061" t="s">
        <v>1102</v>
      </c>
      <c r="R3061" t="s">
        <v>201</v>
      </c>
      <c r="S3061">
        <v>1</v>
      </c>
      <c r="T3061">
        <v>1</v>
      </c>
      <c r="U3061">
        <v>102516</v>
      </c>
      <c r="V3061">
        <v>102516</v>
      </c>
    </row>
    <row r="3062" spans="1:22">
      <c r="A3062" t="s">
        <v>196</v>
      </c>
      <c r="B3062">
        <v>57</v>
      </c>
      <c r="C3062" t="s">
        <v>31</v>
      </c>
      <c r="D3062">
        <v>100</v>
      </c>
      <c r="E3062" t="s">
        <v>197</v>
      </c>
      <c r="F3062">
        <v>1005</v>
      </c>
      <c r="G3062" t="s">
        <v>31</v>
      </c>
      <c r="H3062">
        <v>2040</v>
      </c>
      <c r="I3062" t="s">
        <v>26</v>
      </c>
      <c r="J3062">
        <v>3358</v>
      </c>
      <c r="K3062" t="s">
        <v>1432</v>
      </c>
      <c r="L3062">
        <v>4361</v>
      </c>
      <c r="M3062" t="s">
        <v>1433</v>
      </c>
      <c r="N3062" t="s">
        <v>372</v>
      </c>
      <c r="O3062">
        <v>1</v>
      </c>
      <c r="P3062">
        <v>1359</v>
      </c>
      <c r="Q3062" t="s">
        <v>933</v>
      </c>
      <c r="R3062" t="s">
        <v>201</v>
      </c>
      <c r="S3062">
        <v>8</v>
      </c>
      <c r="T3062">
        <v>1</v>
      </c>
      <c r="U3062">
        <v>130668</v>
      </c>
      <c r="V3062">
        <v>1045344</v>
      </c>
    </row>
    <row r="3063" spans="1:22">
      <c r="A3063" t="s">
        <v>196</v>
      </c>
      <c r="B3063">
        <v>57</v>
      </c>
      <c r="C3063" t="s">
        <v>31</v>
      </c>
      <c r="D3063">
        <v>100</v>
      </c>
      <c r="E3063" t="s">
        <v>197</v>
      </c>
      <c r="F3063">
        <v>1005</v>
      </c>
      <c r="G3063" t="s">
        <v>31</v>
      </c>
      <c r="H3063">
        <v>2040</v>
      </c>
      <c r="I3063" t="s">
        <v>26</v>
      </c>
      <c r="J3063">
        <v>3358</v>
      </c>
      <c r="K3063" t="s">
        <v>1432</v>
      </c>
      <c r="L3063">
        <v>4361</v>
      </c>
      <c r="M3063" t="s">
        <v>1433</v>
      </c>
      <c r="N3063" t="s">
        <v>372</v>
      </c>
      <c r="O3063">
        <v>1</v>
      </c>
      <c r="P3063">
        <v>1359</v>
      </c>
      <c r="Q3063" t="s">
        <v>933</v>
      </c>
      <c r="R3063" t="s">
        <v>201</v>
      </c>
      <c r="S3063">
        <v>1</v>
      </c>
      <c r="T3063">
        <v>1</v>
      </c>
      <c r="U3063">
        <v>113628</v>
      </c>
      <c r="V3063">
        <v>113628</v>
      </c>
    </row>
    <row r="3064" spans="1:22">
      <c r="A3064" t="s">
        <v>196</v>
      </c>
      <c r="B3064">
        <v>57</v>
      </c>
      <c r="C3064" t="s">
        <v>31</v>
      </c>
      <c r="D3064">
        <v>100</v>
      </c>
      <c r="E3064" t="s">
        <v>197</v>
      </c>
      <c r="F3064">
        <v>1005</v>
      </c>
      <c r="G3064" t="s">
        <v>31</v>
      </c>
      <c r="H3064">
        <v>2040</v>
      </c>
      <c r="I3064" t="s">
        <v>26</v>
      </c>
      <c r="J3064">
        <v>3358</v>
      </c>
      <c r="K3064" t="s">
        <v>1432</v>
      </c>
      <c r="L3064">
        <v>4361</v>
      </c>
      <c r="M3064" t="s">
        <v>1433</v>
      </c>
      <c r="N3064" t="s">
        <v>372</v>
      </c>
      <c r="O3064">
        <v>1</v>
      </c>
      <c r="P3064">
        <v>1359</v>
      </c>
      <c r="Q3064" t="s">
        <v>933</v>
      </c>
      <c r="R3064" t="s">
        <v>201</v>
      </c>
      <c r="S3064">
        <v>1</v>
      </c>
      <c r="T3064">
        <v>1</v>
      </c>
      <c r="U3064">
        <v>108576</v>
      </c>
      <c r="V3064">
        <v>108576</v>
      </c>
    </row>
    <row r="3065" spans="1:22">
      <c r="A3065" t="s">
        <v>196</v>
      </c>
      <c r="B3065">
        <v>57</v>
      </c>
      <c r="C3065" t="s">
        <v>31</v>
      </c>
      <c r="D3065">
        <v>100</v>
      </c>
      <c r="E3065" t="s">
        <v>197</v>
      </c>
      <c r="F3065">
        <v>1005</v>
      </c>
      <c r="G3065" t="s">
        <v>31</v>
      </c>
      <c r="H3065">
        <v>2040</v>
      </c>
      <c r="I3065" t="s">
        <v>26</v>
      </c>
      <c r="J3065">
        <v>3358</v>
      </c>
      <c r="K3065" t="s">
        <v>1432</v>
      </c>
      <c r="L3065">
        <v>4361</v>
      </c>
      <c r="M3065" t="s">
        <v>1433</v>
      </c>
      <c r="N3065" t="s">
        <v>372</v>
      </c>
      <c r="O3065">
        <v>1</v>
      </c>
      <c r="P3065">
        <v>1359</v>
      </c>
      <c r="Q3065" t="s">
        <v>933</v>
      </c>
      <c r="R3065" t="s">
        <v>201</v>
      </c>
      <c r="S3065">
        <v>2</v>
      </c>
      <c r="T3065">
        <v>1</v>
      </c>
      <c r="U3065">
        <v>98928</v>
      </c>
      <c r="V3065">
        <v>197856</v>
      </c>
    </row>
    <row r="3066" spans="1:22">
      <c r="A3066" t="s">
        <v>196</v>
      </c>
      <c r="B3066">
        <v>57</v>
      </c>
      <c r="C3066" t="s">
        <v>31</v>
      </c>
      <c r="D3066">
        <v>100</v>
      </c>
      <c r="E3066" t="s">
        <v>197</v>
      </c>
      <c r="F3066">
        <v>1005</v>
      </c>
      <c r="G3066" t="s">
        <v>31</v>
      </c>
      <c r="H3066">
        <v>2040</v>
      </c>
      <c r="I3066" t="s">
        <v>26</v>
      </c>
      <c r="J3066">
        <v>3358</v>
      </c>
      <c r="K3066" t="s">
        <v>1432</v>
      </c>
      <c r="L3066">
        <v>4361</v>
      </c>
      <c r="M3066" t="s">
        <v>1433</v>
      </c>
      <c r="N3066" t="s">
        <v>372</v>
      </c>
      <c r="O3066">
        <v>1</v>
      </c>
      <c r="P3066">
        <v>1359</v>
      </c>
      <c r="Q3066" t="s">
        <v>933</v>
      </c>
      <c r="R3066" t="s">
        <v>201</v>
      </c>
      <c r="S3066">
        <v>1</v>
      </c>
      <c r="T3066">
        <v>1</v>
      </c>
      <c r="U3066">
        <v>93504</v>
      </c>
      <c r="V3066">
        <v>93504</v>
      </c>
    </row>
    <row r="3067" spans="1:22">
      <c r="A3067" t="s">
        <v>196</v>
      </c>
      <c r="B3067">
        <v>57</v>
      </c>
      <c r="C3067" t="s">
        <v>31</v>
      </c>
      <c r="D3067">
        <v>100</v>
      </c>
      <c r="E3067" t="s">
        <v>197</v>
      </c>
      <c r="F3067">
        <v>1005</v>
      </c>
      <c r="G3067" t="s">
        <v>31</v>
      </c>
      <c r="H3067">
        <v>2040</v>
      </c>
      <c r="I3067" t="s">
        <v>26</v>
      </c>
      <c r="J3067">
        <v>3358</v>
      </c>
      <c r="K3067" t="s">
        <v>1432</v>
      </c>
      <c r="L3067">
        <v>4361</v>
      </c>
      <c r="M3067" t="s">
        <v>1433</v>
      </c>
      <c r="N3067" t="s">
        <v>372</v>
      </c>
      <c r="O3067">
        <v>1</v>
      </c>
      <c r="P3067">
        <v>1359</v>
      </c>
      <c r="Q3067" t="s">
        <v>933</v>
      </c>
      <c r="R3067" t="s">
        <v>201</v>
      </c>
      <c r="S3067">
        <v>1</v>
      </c>
      <c r="T3067">
        <v>1</v>
      </c>
      <c r="U3067">
        <v>89244</v>
      </c>
      <c r="V3067">
        <v>89244</v>
      </c>
    </row>
    <row r="3068" spans="1:22">
      <c r="A3068" t="s">
        <v>196</v>
      </c>
      <c r="B3068">
        <v>57</v>
      </c>
      <c r="C3068" t="s">
        <v>31</v>
      </c>
      <c r="D3068">
        <v>100</v>
      </c>
      <c r="E3068" t="s">
        <v>197</v>
      </c>
      <c r="F3068">
        <v>1005</v>
      </c>
      <c r="G3068" t="s">
        <v>31</v>
      </c>
      <c r="H3068">
        <v>2040</v>
      </c>
      <c r="I3068" t="s">
        <v>26</v>
      </c>
      <c r="J3068">
        <v>3358</v>
      </c>
      <c r="K3068" t="s">
        <v>1432</v>
      </c>
      <c r="L3068">
        <v>4361</v>
      </c>
      <c r="M3068" t="s">
        <v>1433</v>
      </c>
      <c r="N3068" t="s">
        <v>372</v>
      </c>
      <c r="O3068">
        <v>1</v>
      </c>
      <c r="P3068">
        <v>1359</v>
      </c>
      <c r="Q3068" t="s">
        <v>933</v>
      </c>
      <c r="R3068" t="s">
        <v>201</v>
      </c>
      <c r="S3068">
        <v>2</v>
      </c>
      <c r="T3068">
        <v>1</v>
      </c>
      <c r="U3068">
        <v>85200</v>
      </c>
      <c r="V3068">
        <v>170400</v>
      </c>
    </row>
    <row r="3069" spans="1:22">
      <c r="A3069" t="s">
        <v>196</v>
      </c>
      <c r="B3069">
        <v>57</v>
      </c>
      <c r="C3069" t="s">
        <v>31</v>
      </c>
      <c r="D3069">
        <v>100</v>
      </c>
      <c r="E3069" t="s">
        <v>197</v>
      </c>
      <c r="F3069">
        <v>1005</v>
      </c>
      <c r="G3069" t="s">
        <v>31</v>
      </c>
      <c r="H3069">
        <v>2040</v>
      </c>
      <c r="I3069" t="s">
        <v>26</v>
      </c>
      <c r="J3069">
        <v>3358</v>
      </c>
      <c r="K3069" t="s">
        <v>1432</v>
      </c>
      <c r="L3069">
        <v>4361</v>
      </c>
      <c r="M3069" t="s">
        <v>1433</v>
      </c>
      <c r="N3069" t="s">
        <v>372</v>
      </c>
      <c r="O3069">
        <v>1</v>
      </c>
      <c r="P3069">
        <v>1359</v>
      </c>
      <c r="Q3069" t="s">
        <v>933</v>
      </c>
      <c r="R3069" t="s">
        <v>201</v>
      </c>
      <c r="S3069">
        <v>8</v>
      </c>
      <c r="T3069">
        <v>1</v>
      </c>
      <c r="U3069">
        <v>81324</v>
      </c>
      <c r="V3069">
        <v>650592</v>
      </c>
    </row>
    <row r="3070" spans="1:22">
      <c r="A3070" t="s">
        <v>196</v>
      </c>
      <c r="B3070">
        <v>57</v>
      </c>
      <c r="C3070" t="s">
        <v>31</v>
      </c>
      <c r="D3070">
        <v>100</v>
      </c>
      <c r="E3070" t="s">
        <v>197</v>
      </c>
      <c r="F3070">
        <v>1005</v>
      </c>
      <c r="G3070" t="s">
        <v>31</v>
      </c>
      <c r="H3070">
        <v>2040</v>
      </c>
      <c r="I3070" t="s">
        <v>26</v>
      </c>
      <c r="J3070">
        <v>3358</v>
      </c>
      <c r="K3070" t="s">
        <v>1432</v>
      </c>
      <c r="L3070">
        <v>4361</v>
      </c>
      <c r="M3070" t="s">
        <v>1433</v>
      </c>
      <c r="N3070" t="s">
        <v>372</v>
      </c>
      <c r="O3070">
        <v>1</v>
      </c>
      <c r="P3070">
        <v>1359</v>
      </c>
      <c r="Q3070" t="s">
        <v>933</v>
      </c>
      <c r="R3070" t="s">
        <v>201</v>
      </c>
      <c r="S3070">
        <v>10</v>
      </c>
      <c r="T3070">
        <v>1</v>
      </c>
      <c r="U3070">
        <v>77640</v>
      </c>
      <c r="V3070">
        <v>776400</v>
      </c>
    </row>
    <row r="3071" spans="1:22">
      <c r="A3071" t="s">
        <v>196</v>
      </c>
      <c r="B3071">
        <v>57</v>
      </c>
      <c r="C3071" t="s">
        <v>31</v>
      </c>
      <c r="D3071">
        <v>100</v>
      </c>
      <c r="E3071" t="s">
        <v>197</v>
      </c>
      <c r="F3071">
        <v>1005</v>
      </c>
      <c r="G3071" t="s">
        <v>31</v>
      </c>
      <c r="H3071">
        <v>2040</v>
      </c>
      <c r="I3071" t="s">
        <v>26</v>
      </c>
      <c r="J3071">
        <v>3358</v>
      </c>
      <c r="K3071" t="s">
        <v>1432</v>
      </c>
      <c r="L3071">
        <v>4361</v>
      </c>
      <c r="M3071" t="s">
        <v>1433</v>
      </c>
      <c r="N3071" t="s">
        <v>372</v>
      </c>
      <c r="O3071">
        <v>1</v>
      </c>
      <c r="P3071">
        <v>1359</v>
      </c>
      <c r="Q3071" t="s">
        <v>933</v>
      </c>
      <c r="R3071" t="s">
        <v>201</v>
      </c>
      <c r="S3071">
        <v>62</v>
      </c>
      <c r="T3071">
        <v>1</v>
      </c>
      <c r="U3071">
        <v>75336</v>
      </c>
      <c r="V3071">
        <v>4670832</v>
      </c>
    </row>
    <row r="3072" spans="1:22">
      <c r="A3072" t="s">
        <v>196</v>
      </c>
      <c r="B3072">
        <v>57</v>
      </c>
      <c r="C3072" t="s">
        <v>31</v>
      </c>
      <c r="D3072">
        <v>100</v>
      </c>
      <c r="E3072" t="s">
        <v>197</v>
      </c>
      <c r="F3072">
        <v>1005</v>
      </c>
      <c r="G3072" t="s">
        <v>31</v>
      </c>
      <c r="H3072">
        <v>2040</v>
      </c>
      <c r="I3072" t="s">
        <v>26</v>
      </c>
      <c r="J3072">
        <v>3358</v>
      </c>
      <c r="K3072" t="s">
        <v>1432</v>
      </c>
      <c r="L3072">
        <v>4361</v>
      </c>
      <c r="M3072" t="s">
        <v>1433</v>
      </c>
      <c r="N3072" t="s">
        <v>622</v>
      </c>
      <c r="O3072">
        <v>1</v>
      </c>
      <c r="P3072" t="s">
        <v>667</v>
      </c>
      <c r="Q3072" t="s">
        <v>205</v>
      </c>
      <c r="R3072" t="s">
        <v>201</v>
      </c>
      <c r="S3072">
        <v>1</v>
      </c>
      <c r="T3072">
        <v>1</v>
      </c>
      <c r="U3072">
        <v>90144</v>
      </c>
      <c r="V3072">
        <v>90144</v>
      </c>
    </row>
    <row r="3073" spans="1:22">
      <c r="A3073" t="s">
        <v>196</v>
      </c>
      <c r="B3073">
        <v>57</v>
      </c>
      <c r="C3073" t="s">
        <v>31</v>
      </c>
      <c r="D3073">
        <v>100</v>
      </c>
      <c r="E3073" t="s">
        <v>197</v>
      </c>
      <c r="F3073">
        <v>1005</v>
      </c>
      <c r="G3073" t="s">
        <v>31</v>
      </c>
      <c r="H3073">
        <v>2040</v>
      </c>
      <c r="I3073" t="s">
        <v>26</v>
      </c>
      <c r="J3073">
        <v>3358</v>
      </c>
      <c r="K3073" t="s">
        <v>1432</v>
      </c>
      <c r="L3073">
        <v>4361</v>
      </c>
      <c r="M3073" t="s">
        <v>1433</v>
      </c>
      <c r="N3073" t="s">
        <v>622</v>
      </c>
      <c r="O3073">
        <v>1</v>
      </c>
      <c r="P3073" t="s">
        <v>667</v>
      </c>
      <c r="Q3073" t="s">
        <v>205</v>
      </c>
      <c r="R3073" t="s">
        <v>201</v>
      </c>
      <c r="S3073">
        <v>1</v>
      </c>
      <c r="T3073">
        <v>1</v>
      </c>
      <c r="U3073">
        <v>51936</v>
      </c>
      <c r="V3073">
        <v>51936</v>
      </c>
    </row>
    <row r="3074" spans="1:22">
      <c r="A3074" t="s">
        <v>196</v>
      </c>
      <c r="B3074">
        <v>57</v>
      </c>
      <c r="C3074" t="s">
        <v>31</v>
      </c>
      <c r="D3074">
        <v>100</v>
      </c>
      <c r="E3074" t="s">
        <v>197</v>
      </c>
      <c r="F3074">
        <v>1005</v>
      </c>
      <c r="G3074" t="s">
        <v>31</v>
      </c>
      <c r="H3074">
        <v>2040</v>
      </c>
      <c r="I3074" t="s">
        <v>26</v>
      </c>
      <c r="J3074">
        <v>3358</v>
      </c>
      <c r="K3074" t="s">
        <v>1432</v>
      </c>
      <c r="L3074">
        <v>4361</v>
      </c>
      <c r="M3074" t="s">
        <v>1433</v>
      </c>
      <c r="N3074" t="s">
        <v>1314</v>
      </c>
      <c r="O3074">
        <v>0</v>
      </c>
      <c r="P3074" t="s">
        <v>1315</v>
      </c>
      <c r="Q3074" t="s">
        <v>636</v>
      </c>
      <c r="R3074" t="s">
        <v>201</v>
      </c>
      <c r="S3074">
        <v>11</v>
      </c>
      <c r="T3074">
        <v>1</v>
      </c>
      <c r="U3074">
        <v>133836</v>
      </c>
      <c r="V3074">
        <v>1472196</v>
      </c>
    </row>
    <row r="3075" spans="1:22">
      <c r="A3075" t="s">
        <v>196</v>
      </c>
      <c r="B3075">
        <v>57</v>
      </c>
      <c r="C3075" t="s">
        <v>31</v>
      </c>
      <c r="D3075">
        <v>100</v>
      </c>
      <c r="E3075" t="s">
        <v>197</v>
      </c>
      <c r="F3075">
        <v>1005</v>
      </c>
      <c r="G3075" t="s">
        <v>31</v>
      </c>
      <c r="H3075">
        <v>2040</v>
      </c>
      <c r="I3075" t="s">
        <v>26</v>
      </c>
      <c r="J3075">
        <v>3358</v>
      </c>
      <c r="K3075" t="s">
        <v>1432</v>
      </c>
      <c r="L3075">
        <v>4361</v>
      </c>
      <c r="M3075" t="s">
        <v>1433</v>
      </c>
      <c r="N3075" t="s">
        <v>249</v>
      </c>
      <c r="O3075">
        <v>20</v>
      </c>
      <c r="P3075">
        <v>394</v>
      </c>
      <c r="Q3075" t="s">
        <v>314</v>
      </c>
      <c r="R3075" t="s">
        <v>201</v>
      </c>
      <c r="S3075">
        <v>1</v>
      </c>
      <c r="T3075">
        <v>1</v>
      </c>
      <c r="U3075">
        <v>89112</v>
      </c>
      <c r="V3075">
        <v>89112</v>
      </c>
    </row>
    <row r="3076" spans="1:22">
      <c r="A3076" t="s">
        <v>196</v>
      </c>
      <c r="B3076">
        <v>57</v>
      </c>
      <c r="C3076" t="s">
        <v>31</v>
      </c>
      <c r="D3076">
        <v>100</v>
      </c>
      <c r="E3076" t="s">
        <v>197</v>
      </c>
      <c r="F3076">
        <v>1005</v>
      </c>
      <c r="G3076" t="s">
        <v>31</v>
      </c>
      <c r="H3076">
        <v>2040</v>
      </c>
      <c r="I3076" t="s">
        <v>26</v>
      </c>
      <c r="J3076">
        <v>3358</v>
      </c>
      <c r="K3076" t="s">
        <v>1432</v>
      </c>
      <c r="L3076">
        <v>4361</v>
      </c>
      <c r="M3076" t="s">
        <v>1433</v>
      </c>
      <c r="N3076" t="s">
        <v>199</v>
      </c>
      <c r="O3076">
        <v>0</v>
      </c>
      <c r="P3076">
        <v>15</v>
      </c>
      <c r="Q3076" t="s">
        <v>264</v>
      </c>
      <c r="R3076" t="s">
        <v>201</v>
      </c>
      <c r="S3076">
        <v>0</v>
      </c>
      <c r="T3076">
        <v>0</v>
      </c>
      <c r="U3076">
        <v>128715</v>
      </c>
      <c r="V3076">
        <v>128715</v>
      </c>
    </row>
    <row r="3077" spans="1:22">
      <c r="A3077" t="s">
        <v>196</v>
      </c>
      <c r="B3077">
        <v>57</v>
      </c>
      <c r="C3077" t="s">
        <v>31</v>
      </c>
      <c r="D3077">
        <v>100</v>
      </c>
      <c r="E3077" t="s">
        <v>197</v>
      </c>
      <c r="F3077">
        <v>1005</v>
      </c>
      <c r="G3077" t="s">
        <v>31</v>
      </c>
      <c r="H3077">
        <v>2040</v>
      </c>
      <c r="I3077" t="s">
        <v>26</v>
      </c>
      <c r="J3077">
        <v>3358</v>
      </c>
      <c r="K3077" t="s">
        <v>1432</v>
      </c>
      <c r="L3077">
        <v>4364</v>
      </c>
      <c r="M3077" t="s">
        <v>1435</v>
      </c>
      <c r="N3077" t="s">
        <v>199</v>
      </c>
      <c r="O3077">
        <v>99</v>
      </c>
      <c r="P3077">
        <v>9796</v>
      </c>
      <c r="Q3077" t="s">
        <v>1319</v>
      </c>
      <c r="R3077" t="s">
        <v>201</v>
      </c>
      <c r="S3077">
        <v>1</v>
      </c>
      <c r="T3077">
        <v>1</v>
      </c>
      <c r="U3077">
        <v>201048</v>
      </c>
      <c r="V3077">
        <v>201048</v>
      </c>
    </row>
    <row r="3078" spans="1:22">
      <c r="A3078" t="s">
        <v>196</v>
      </c>
      <c r="B3078">
        <v>57</v>
      </c>
      <c r="C3078" t="s">
        <v>31</v>
      </c>
      <c r="D3078">
        <v>100</v>
      </c>
      <c r="E3078" t="s">
        <v>197</v>
      </c>
      <c r="F3078">
        <v>1005</v>
      </c>
      <c r="G3078" t="s">
        <v>31</v>
      </c>
      <c r="H3078">
        <v>2040</v>
      </c>
      <c r="I3078" t="s">
        <v>26</v>
      </c>
      <c r="J3078">
        <v>3358</v>
      </c>
      <c r="K3078" t="s">
        <v>1432</v>
      </c>
      <c r="L3078">
        <v>4364</v>
      </c>
      <c r="M3078" t="s">
        <v>1435</v>
      </c>
      <c r="N3078" t="s">
        <v>1304</v>
      </c>
      <c r="O3078">
        <v>73</v>
      </c>
      <c r="P3078">
        <v>9173</v>
      </c>
      <c r="Q3078" t="s">
        <v>1323</v>
      </c>
      <c r="R3078" t="s">
        <v>201</v>
      </c>
      <c r="S3078">
        <v>1</v>
      </c>
      <c r="T3078">
        <v>1</v>
      </c>
      <c r="U3078">
        <v>155934</v>
      </c>
      <c r="V3078">
        <v>155934</v>
      </c>
    </row>
    <row r="3079" spans="1:22">
      <c r="A3079" t="s">
        <v>196</v>
      </c>
      <c r="B3079">
        <v>57</v>
      </c>
      <c r="C3079" t="s">
        <v>31</v>
      </c>
      <c r="D3079">
        <v>100</v>
      </c>
      <c r="E3079" t="s">
        <v>197</v>
      </c>
      <c r="F3079">
        <v>1005</v>
      </c>
      <c r="G3079" t="s">
        <v>31</v>
      </c>
      <c r="H3079">
        <v>2040</v>
      </c>
      <c r="I3079" t="s">
        <v>26</v>
      </c>
      <c r="J3079">
        <v>3358</v>
      </c>
      <c r="K3079" t="s">
        <v>1432</v>
      </c>
      <c r="L3079">
        <v>4364</v>
      </c>
      <c r="M3079" t="s">
        <v>1435</v>
      </c>
      <c r="N3079" t="s">
        <v>1302</v>
      </c>
      <c r="O3079">
        <v>71</v>
      </c>
      <c r="P3079">
        <v>9171</v>
      </c>
      <c r="Q3079" t="s">
        <v>1303</v>
      </c>
      <c r="R3079" t="s">
        <v>201</v>
      </c>
      <c r="S3079">
        <v>2</v>
      </c>
      <c r="T3079">
        <v>1</v>
      </c>
      <c r="U3079">
        <v>142668</v>
      </c>
      <c r="V3079">
        <v>285336</v>
      </c>
    </row>
    <row r="3080" spans="1:22">
      <c r="A3080" t="s">
        <v>196</v>
      </c>
      <c r="B3080">
        <v>57</v>
      </c>
      <c r="C3080" t="s">
        <v>31</v>
      </c>
      <c r="D3080">
        <v>100</v>
      </c>
      <c r="E3080" t="s">
        <v>197</v>
      </c>
      <c r="F3080">
        <v>1005</v>
      </c>
      <c r="G3080" t="s">
        <v>31</v>
      </c>
      <c r="H3080">
        <v>2040</v>
      </c>
      <c r="I3080" t="s">
        <v>26</v>
      </c>
      <c r="J3080">
        <v>3358</v>
      </c>
      <c r="K3080" t="s">
        <v>1432</v>
      </c>
      <c r="L3080">
        <v>4364</v>
      </c>
      <c r="M3080" t="s">
        <v>1435</v>
      </c>
      <c r="N3080" t="s">
        <v>1309</v>
      </c>
      <c r="O3080">
        <v>91</v>
      </c>
      <c r="P3080">
        <v>9161</v>
      </c>
      <c r="Q3080" t="s">
        <v>1310</v>
      </c>
      <c r="R3080" t="s">
        <v>201</v>
      </c>
      <c r="S3080">
        <v>1</v>
      </c>
      <c r="T3080">
        <v>1</v>
      </c>
      <c r="U3080">
        <v>123576</v>
      </c>
      <c r="V3080">
        <v>123576</v>
      </c>
    </row>
    <row r="3081" spans="1:22">
      <c r="A3081" t="s">
        <v>196</v>
      </c>
      <c r="B3081">
        <v>57</v>
      </c>
      <c r="C3081" t="s">
        <v>31</v>
      </c>
      <c r="D3081">
        <v>100</v>
      </c>
      <c r="E3081" t="s">
        <v>197</v>
      </c>
      <c r="F3081">
        <v>1005</v>
      </c>
      <c r="G3081" t="s">
        <v>31</v>
      </c>
      <c r="H3081">
        <v>2040</v>
      </c>
      <c r="I3081" t="s">
        <v>26</v>
      </c>
      <c r="J3081">
        <v>3358</v>
      </c>
      <c r="K3081" t="s">
        <v>1432</v>
      </c>
      <c r="L3081">
        <v>4364</v>
      </c>
      <c r="M3081" t="s">
        <v>1435</v>
      </c>
      <c r="N3081" t="s">
        <v>1309</v>
      </c>
      <c r="O3081">
        <v>91</v>
      </c>
      <c r="P3081">
        <v>9161</v>
      </c>
      <c r="Q3081" t="s">
        <v>1310</v>
      </c>
      <c r="R3081" t="s">
        <v>201</v>
      </c>
      <c r="S3081">
        <v>1</v>
      </c>
      <c r="T3081">
        <v>1</v>
      </c>
      <c r="U3081">
        <v>119154</v>
      </c>
      <c r="V3081">
        <v>119154</v>
      </c>
    </row>
    <row r="3082" spans="1:22">
      <c r="A3082" t="s">
        <v>196</v>
      </c>
      <c r="B3082">
        <v>57</v>
      </c>
      <c r="C3082" t="s">
        <v>31</v>
      </c>
      <c r="D3082">
        <v>100</v>
      </c>
      <c r="E3082" t="s">
        <v>197</v>
      </c>
      <c r="F3082">
        <v>1005</v>
      </c>
      <c r="G3082" t="s">
        <v>31</v>
      </c>
      <c r="H3082">
        <v>2040</v>
      </c>
      <c r="I3082" t="s">
        <v>26</v>
      </c>
      <c r="J3082">
        <v>3358</v>
      </c>
      <c r="K3082" t="s">
        <v>1432</v>
      </c>
      <c r="L3082">
        <v>4364</v>
      </c>
      <c r="M3082" t="s">
        <v>1435</v>
      </c>
      <c r="N3082" t="s">
        <v>1309</v>
      </c>
      <c r="O3082">
        <v>91</v>
      </c>
      <c r="P3082">
        <v>9161</v>
      </c>
      <c r="Q3082" t="s">
        <v>1310</v>
      </c>
      <c r="R3082" t="s">
        <v>201</v>
      </c>
      <c r="S3082">
        <v>2</v>
      </c>
      <c r="T3082">
        <v>1</v>
      </c>
      <c r="U3082">
        <v>63636</v>
      </c>
      <c r="V3082">
        <v>127272</v>
      </c>
    </row>
    <row r="3083" spans="1:22">
      <c r="A3083" t="s">
        <v>196</v>
      </c>
      <c r="B3083">
        <v>57</v>
      </c>
      <c r="C3083" t="s">
        <v>31</v>
      </c>
      <c r="D3083">
        <v>100</v>
      </c>
      <c r="E3083" t="s">
        <v>197</v>
      </c>
      <c r="F3083">
        <v>1005</v>
      </c>
      <c r="G3083" t="s">
        <v>31</v>
      </c>
      <c r="H3083">
        <v>2040</v>
      </c>
      <c r="I3083" t="s">
        <v>26</v>
      </c>
      <c r="J3083">
        <v>3358</v>
      </c>
      <c r="K3083" t="s">
        <v>1432</v>
      </c>
      <c r="L3083">
        <v>4364</v>
      </c>
      <c r="M3083" t="s">
        <v>1435</v>
      </c>
      <c r="N3083" t="s">
        <v>372</v>
      </c>
      <c r="O3083">
        <v>3</v>
      </c>
      <c r="P3083">
        <v>3897</v>
      </c>
      <c r="Q3083" t="s">
        <v>1152</v>
      </c>
      <c r="R3083" t="s">
        <v>201</v>
      </c>
      <c r="S3083">
        <v>1</v>
      </c>
      <c r="T3083">
        <v>1</v>
      </c>
      <c r="U3083">
        <v>113628</v>
      </c>
      <c r="V3083">
        <v>113628</v>
      </c>
    </row>
    <row r="3084" spans="1:22">
      <c r="A3084" t="s">
        <v>196</v>
      </c>
      <c r="B3084">
        <v>57</v>
      </c>
      <c r="C3084" t="s">
        <v>31</v>
      </c>
      <c r="D3084">
        <v>100</v>
      </c>
      <c r="E3084" t="s">
        <v>197</v>
      </c>
      <c r="F3084">
        <v>1005</v>
      </c>
      <c r="G3084" t="s">
        <v>31</v>
      </c>
      <c r="H3084">
        <v>2040</v>
      </c>
      <c r="I3084" t="s">
        <v>26</v>
      </c>
      <c r="J3084">
        <v>3358</v>
      </c>
      <c r="K3084" t="s">
        <v>1432</v>
      </c>
      <c r="L3084">
        <v>4364</v>
      </c>
      <c r="M3084" t="s">
        <v>1435</v>
      </c>
      <c r="N3084" t="s">
        <v>281</v>
      </c>
      <c r="O3084">
        <v>20</v>
      </c>
      <c r="P3084">
        <v>1141</v>
      </c>
      <c r="Q3084" t="s">
        <v>332</v>
      </c>
      <c r="R3084" t="s">
        <v>201</v>
      </c>
      <c r="S3084">
        <v>1</v>
      </c>
      <c r="T3084">
        <v>1</v>
      </c>
      <c r="U3084">
        <v>106272</v>
      </c>
      <c r="V3084">
        <v>106272</v>
      </c>
    </row>
    <row r="3085" spans="1:22">
      <c r="A3085" t="s">
        <v>196</v>
      </c>
      <c r="B3085">
        <v>57</v>
      </c>
      <c r="C3085" t="s">
        <v>31</v>
      </c>
      <c r="D3085">
        <v>100</v>
      </c>
      <c r="E3085" t="s">
        <v>197</v>
      </c>
      <c r="F3085">
        <v>1005</v>
      </c>
      <c r="G3085" t="s">
        <v>31</v>
      </c>
      <c r="H3085">
        <v>2040</v>
      </c>
      <c r="I3085" t="s">
        <v>26</v>
      </c>
      <c r="J3085">
        <v>3358</v>
      </c>
      <c r="K3085" t="s">
        <v>1432</v>
      </c>
      <c r="L3085">
        <v>4364</v>
      </c>
      <c r="M3085" t="s">
        <v>1435</v>
      </c>
      <c r="N3085" t="s">
        <v>199</v>
      </c>
      <c r="O3085">
        <v>0</v>
      </c>
      <c r="P3085">
        <v>15</v>
      </c>
      <c r="Q3085" t="s">
        <v>264</v>
      </c>
      <c r="R3085" t="s">
        <v>201</v>
      </c>
      <c r="S3085">
        <v>0</v>
      </c>
      <c r="T3085">
        <v>0</v>
      </c>
      <c r="U3085">
        <v>10194</v>
      </c>
      <c r="V3085">
        <v>10194</v>
      </c>
    </row>
    <row r="3086" spans="1:22">
      <c r="A3086" t="s">
        <v>196</v>
      </c>
      <c r="B3086">
        <v>57</v>
      </c>
      <c r="C3086" t="s">
        <v>31</v>
      </c>
      <c r="D3086">
        <v>100</v>
      </c>
      <c r="E3086" t="s">
        <v>197</v>
      </c>
      <c r="F3086">
        <v>1005</v>
      </c>
      <c r="G3086" t="s">
        <v>31</v>
      </c>
      <c r="H3086">
        <v>2040</v>
      </c>
      <c r="I3086" t="s">
        <v>26</v>
      </c>
      <c r="J3086">
        <v>3358</v>
      </c>
      <c r="K3086" t="s">
        <v>1432</v>
      </c>
      <c r="L3086">
        <v>4365</v>
      </c>
      <c r="M3086" t="s">
        <v>1436</v>
      </c>
      <c r="N3086" t="s">
        <v>1309</v>
      </c>
      <c r="O3086">
        <v>91</v>
      </c>
      <c r="P3086">
        <v>9161</v>
      </c>
      <c r="Q3086" t="s">
        <v>1310</v>
      </c>
      <c r="R3086" t="s">
        <v>201</v>
      </c>
      <c r="S3086">
        <v>1</v>
      </c>
      <c r="T3086">
        <v>1</v>
      </c>
      <c r="U3086">
        <v>127146</v>
      </c>
      <c r="V3086">
        <v>127146</v>
      </c>
    </row>
    <row r="3087" spans="1:22">
      <c r="A3087" t="s">
        <v>196</v>
      </c>
      <c r="B3087">
        <v>57</v>
      </c>
      <c r="C3087" t="s">
        <v>31</v>
      </c>
      <c r="D3087">
        <v>100</v>
      </c>
      <c r="E3087" t="s">
        <v>197</v>
      </c>
      <c r="F3087">
        <v>1005</v>
      </c>
      <c r="G3087" t="s">
        <v>31</v>
      </c>
      <c r="H3087">
        <v>2040</v>
      </c>
      <c r="I3087" t="s">
        <v>26</v>
      </c>
      <c r="J3087">
        <v>3361</v>
      </c>
      <c r="K3087" t="s">
        <v>1437</v>
      </c>
      <c r="L3087">
        <v>0</v>
      </c>
      <c r="N3087" t="s">
        <v>341</v>
      </c>
      <c r="O3087">
        <v>3</v>
      </c>
      <c r="P3087">
        <v>3529</v>
      </c>
      <c r="Q3087" t="s">
        <v>1334</v>
      </c>
      <c r="R3087" t="s">
        <v>201</v>
      </c>
      <c r="S3087">
        <v>1</v>
      </c>
      <c r="T3087">
        <v>1</v>
      </c>
      <c r="U3087">
        <v>108576</v>
      </c>
      <c r="V3087">
        <v>108576</v>
      </c>
    </row>
    <row r="3088" spans="1:22">
      <c r="A3088" t="s">
        <v>196</v>
      </c>
      <c r="B3088">
        <v>57</v>
      </c>
      <c r="C3088" t="s">
        <v>31</v>
      </c>
      <c r="D3088">
        <v>100</v>
      </c>
      <c r="E3088" t="s">
        <v>197</v>
      </c>
      <c r="F3088">
        <v>1005</v>
      </c>
      <c r="G3088" t="s">
        <v>31</v>
      </c>
      <c r="H3088">
        <v>2040</v>
      </c>
      <c r="I3088" t="s">
        <v>26</v>
      </c>
      <c r="J3088">
        <v>3361</v>
      </c>
      <c r="K3088" t="s">
        <v>1437</v>
      </c>
      <c r="L3088">
        <v>0</v>
      </c>
      <c r="N3088" t="s">
        <v>341</v>
      </c>
      <c r="O3088">
        <v>3</v>
      </c>
      <c r="P3088">
        <v>3529</v>
      </c>
      <c r="Q3088" t="s">
        <v>1334</v>
      </c>
      <c r="R3088" t="s">
        <v>201</v>
      </c>
      <c r="S3088">
        <v>1</v>
      </c>
      <c r="T3088">
        <v>1</v>
      </c>
      <c r="U3088">
        <v>74172</v>
      </c>
      <c r="V3088">
        <v>74172</v>
      </c>
    </row>
    <row r="3089" spans="1:22">
      <c r="A3089" t="s">
        <v>196</v>
      </c>
      <c r="B3089">
        <v>57</v>
      </c>
      <c r="C3089" t="s">
        <v>31</v>
      </c>
      <c r="D3089">
        <v>100</v>
      </c>
      <c r="E3089" t="s">
        <v>197</v>
      </c>
      <c r="F3089">
        <v>1005</v>
      </c>
      <c r="G3089" t="s">
        <v>31</v>
      </c>
      <c r="H3089">
        <v>2040</v>
      </c>
      <c r="I3089" t="s">
        <v>26</v>
      </c>
      <c r="J3089">
        <v>3361</v>
      </c>
      <c r="K3089" t="s">
        <v>1437</v>
      </c>
      <c r="L3089">
        <v>0</v>
      </c>
      <c r="N3089" t="s">
        <v>341</v>
      </c>
      <c r="O3089">
        <v>3</v>
      </c>
      <c r="P3089">
        <v>3529</v>
      </c>
      <c r="Q3089" t="s">
        <v>1334</v>
      </c>
      <c r="R3089" t="s">
        <v>201</v>
      </c>
      <c r="S3089">
        <v>3</v>
      </c>
      <c r="T3089">
        <v>1</v>
      </c>
      <c r="U3089">
        <v>70752</v>
      </c>
      <c r="V3089">
        <v>212256</v>
      </c>
    </row>
    <row r="3090" spans="1:22">
      <c r="A3090" t="s">
        <v>196</v>
      </c>
      <c r="B3090">
        <v>57</v>
      </c>
      <c r="C3090" t="s">
        <v>31</v>
      </c>
      <c r="D3090">
        <v>100</v>
      </c>
      <c r="E3090" t="s">
        <v>197</v>
      </c>
      <c r="F3090">
        <v>1005</v>
      </c>
      <c r="G3090" t="s">
        <v>31</v>
      </c>
      <c r="H3090">
        <v>2040</v>
      </c>
      <c r="I3090" t="s">
        <v>26</v>
      </c>
      <c r="J3090">
        <v>3361</v>
      </c>
      <c r="K3090" t="s">
        <v>1437</v>
      </c>
      <c r="L3090">
        <v>0</v>
      </c>
      <c r="N3090" t="s">
        <v>341</v>
      </c>
      <c r="O3090">
        <v>3</v>
      </c>
      <c r="P3090">
        <v>3529</v>
      </c>
      <c r="Q3090" t="s">
        <v>1334</v>
      </c>
      <c r="R3090" t="s">
        <v>201</v>
      </c>
      <c r="S3090">
        <v>47</v>
      </c>
      <c r="T3090">
        <v>1</v>
      </c>
      <c r="U3090">
        <v>68616</v>
      </c>
      <c r="V3090">
        <v>3224952</v>
      </c>
    </row>
    <row r="3091" spans="1:22">
      <c r="A3091" t="s">
        <v>196</v>
      </c>
      <c r="B3091">
        <v>57</v>
      </c>
      <c r="C3091" t="s">
        <v>31</v>
      </c>
      <c r="D3091">
        <v>100</v>
      </c>
      <c r="E3091" t="s">
        <v>197</v>
      </c>
      <c r="F3091">
        <v>1005</v>
      </c>
      <c r="G3091" t="s">
        <v>31</v>
      </c>
      <c r="H3091">
        <v>2040</v>
      </c>
      <c r="I3091" t="s">
        <v>26</v>
      </c>
      <c r="J3091">
        <v>3361</v>
      </c>
      <c r="K3091" t="s">
        <v>1437</v>
      </c>
      <c r="L3091">
        <v>0</v>
      </c>
      <c r="N3091" t="s">
        <v>249</v>
      </c>
      <c r="O3091">
        <v>10</v>
      </c>
      <c r="P3091">
        <v>3092</v>
      </c>
      <c r="Q3091" t="s">
        <v>750</v>
      </c>
      <c r="R3091" t="s">
        <v>201</v>
      </c>
      <c r="S3091">
        <v>2</v>
      </c>
      <c r="T3091">
        <v>1</v>
      </c>
      <c r="U3091">
        <v>93384</v>
      </c>
      <c r="V3091">
        <v>186768</v>
      </c>
    </row>
    <row r="3092" spans="1:22">
      <c r="A3092" t="s">
        <v>196</v>
      </c>
      <c r="B3092">
        <v>57</v>
      </c>
      <c r="C3092" t="s">
        <v>31</v>
      </c>
      <c r="D3092">
        <v>100</v>
      </c>
      <c r="E3092" t="s">
        <v>197</v>
      </c>
      <c r="F3092">
        <v>1005</v>
      </c>
      <c r="G3092" t="s">
        <v>31</v>
      </c>
      <c r="H3092">
        <v>2040</v>
      </c>
      <c r="I3092" t="s">
        <v>26</v>
      </c>
      <c r="J3092">
        <v>3361</v>
      </c>
      <c r="K3092" t="s">
        <v>1437</v>
      </c>
      <c r="L3092">
        <v>0</v>
      </c>
      <c r="N3092" t="s">
        <v>249</v>
      </c>
      <c r="O3092">
        <v>10</v>
      </c>
      <c r="P3092">
        <v>3092</v>
      </c>
      <c r="Q3092" t="s">
        <v>750</v>
      </c>
      <c r="R3092" t="s">
        <v>201</v>
      </c>
      <c r="S3092">
        <v>3</v>
      </c>
      <c r="T3092">
        <v>1</v>
      </c>
      <c r="U3092">
        <v>89112</v>
      </c>
      <c r="V3092">
        <v>267336</v>
      </c>
    </row>
    <row r="3093" spans="1:22">
      <c r="A3093" t="s">
        <v>196</v>
      </c>
      <c r="B3093">
        <v>57</v>
      </c>
      <c r="C3093" t="s">
        <v>31</v>
      </c>
      <c r="D3093">
        <v>100</v>
      </c>
      <c r="E3093" t="s">
        <v>197</v>
      </c>
      <c r="F3093">
        <v>1005</v>
      </c>
      <c r="G3093" t="s">
        <v>31</v>
      </c>
      <c r="H3093">
        <v>2040</v>
      </c>
      <c r="I3093" t="s">
        <v>26</v>
      </c>
      <c r="J3093">
        <v>3361</v>
      </c>
      <c r="K3093" t="s">
        <v>1437</v>
      </c>
      <c r="L3093">
        <v>0</v>
      </c>
      <c r="N3093" t="s">
        <v>341</v>
      </c>
      <c r="O3093">
        <v>1</v>
      </c>
      <c r="P3093">
        <v>308</v>
      </c>
      <c r="Q3093" t="s">
        <v>355</v>
      </c>
      <c r="R3093" t="s">
        <v>201</v>
      </c>
      <c r="S3093">
        <v>1</v>
      </c>
      <c r="T3093">
        <v>1</v>
      </c>
      <c r="U3093">
        <v>68616</v>
      </c>
      <c r="V3093">
        <v>68616</v>
      </c>
    </row>
    <row r="3094" spans="1:22">
      <c r="A3094" t="s">
        <v>196</v>
      </c>
      <c r="B3094">
        <v>57</v>
      </c>
      <c r="C3094" t="s">
        <v>31</v>
      </c>
      <c r="D3094">
        <v>100</v>
      </c>
      <c r="E3094" t="s">
        <v>197</v>
      </c>
      <c r="F3094">
        <v>1005</v>
      </c>
      <c r="G3094" t="s">
        <v>31</v>
      </c>
      <c r="H3094">
        <v>2040</v>
      </c>
      <c r="I3094" t="s">
        <v>26</v>
      </c>
      <c r="J3094">
        <v>3361</v>
      </c>
      <c r="K3094" t="s">
        <v>1437</v>
      </c>
      <c r="L3094">
        <v>0</v>
      </c>
      <c r="N3094" t="s">
        <v>199</v>
      </c>
      <c r="O3094">
        <v>0</v>
      </c>
      <c r="P3094">
        <v>15</v>
      </c>
      <c r="Q3094" t="s">
        <v>264</v>
      </c>
      <c r="R3094" t="s">
        <v>201</v>
      </c>
      <c r="S3094">
        <v>0</v>
      </c>
      <c r="T3094">
        <v>0</v>
      </c>
      <c r="U3094">
        <v>14868</v>
      </c>
      <c r="V3094">
        <v>14868</v>
      </c>
    </row>
    <row r="3095" spans="1:22">
      <c r="A3095" t="s">
        <v>196</v>
      </c>
      <c r="B3095">
        <v>57</v>
      </c>
      <c r="C3095" t="s">
        <v>31</v>
      </c>
      <c r="D3095">
        <v>100</v>
      </c>
      <c r="E3095" t="s">
        <v>197</v>
      </c>
      <c r="F3095">
        <v>1005</v>
      </c>
      <c r="G3095" t="s">
        <v>31</v>
      </c>
      <c r="H3095">
        <v>2040</v>
      </c>
      <c r="I3095" t="s">
        <v>26</v>
      </c>
      <c r="J3095">
        <v>3362</v>
      </c>
      <c r="K3095" t="s">
        <v>1438</v>
      </c>
      <c r="L3095">
        <v>0</v>
      </c>
      <c r="N3095" t="s">
        <v>372</v>
      </c>
      <c r="O3095">
        <v>3</v>
      </c>
      <c r="P3095">
        <v>3897</v>
      </c>
      <c r="Q3095" t="s">
        <v>1152</v>
      </c>
      <c r="R3095" t="s">
        <v>201</v>
      </c>
      <c r="S3095">
        <v>1</v>
      </c>
      <c r="T3095">
        <v>1</v>
      </c>
      <c r="U3095">
        <v>89244</v>
      </c>
      <c r="V3095">
        <v>89244</v>
      </c>
    </row>
    <row r="3096" spans="1:22">
      <c r="A3096" t="s">
        <v>196</v>
      </c>
      <c r="B3096">
        <v>57</v>
      </c>
      <c r="C3096" t="s">
        <v>31</v>
      </c>
      <c r="D3096">
        <v>100</v>
      </c>
      <c r="E3096" t="s">
        <v>197</v>
      </c>
      <c r="F3096">
        <v>1005</v>
      </c>
      <c r="G3096" t="s">
        <v>31</v>
      </c>
      <c r="H3096">
        <v>2040</v>
      </c>
      <c r="I3096" t="s">
        <v>26</v>
      </c>
      <c r="J3096">
        <v>3362</v>
      </c>
      <c r="K3096" t="s">
        <v>1438</v>
      </c>
      <c r="L3096">
        <v>0</v>
      </c>
      <c r="N3096" t="s">
        <v>372</v>
      </c>
      <c r="O3096">
        <v>3</v>
      </c>
      <c r="P3096">
        <v>3897</v>
      </c>
      <c r="Q3096" t="s">
        <v>1152</v>
      </c>
      <c r="R3096" t="s">
        <v>201</v>
      </c>
      <c r="S3096">
        <v>2</v>
      </c>
      <c r="T3096">
        <v>1</v>
      </c>
      <c r="U3096">
        <v>75336</v>
      </c>
      <c r="V3096">
        <v>150672</v>
      </c>
    </row>
    <row r="3097" spans="1:22">
      <c r="A3097" t="s">
        <v>196</v>
      </c>
      <c r="B3097">
        <v>57</v>
      </c>
      <c r="C3097" t="s">
        <v>31</v>
      </c>
      <c r="D3097">
        <v>100</v>
      </c>
      <c r="E3097" t="s">
        <v>197</v>
      </c>
      <c r="F3097">
        <v>1005</v>
      </c>
      <c r="G3097" t="s">
        <v>31</v>
      </c>
      <c r="H3097">
        <v>2040</v>
      </c>
      <c r="I3097" t="s">
        <v>26</v>
      </c>
      <c r="J3097">
        <v>3362</v>
      </c>
      <c r="K3097" t="s">
        <v>1438</v>
      </c>
      <c r="L3097">
        <v>0</v>
      </c>
      <c r="N3097" t="s">
        <v>356</v>
      </c>
      <c r="O3097">
        <v>3</v>
      </c>
      <c r="P3097">
        <v>3052</v>
      </c>
      <c r="Q3097" t="s">
        <v>1439</v>
      </c>
      <c r="R3097" t="s">
        <v>201</v>
      </c>
      <c r="S3097">
        <v>2</v>
      </c>
      <c r="T3097">
        <v>1</v>
      </c>
      <c r="U3097">
        <v>90144</v>
      </c>
      <c r="V3097">
        <v>180288</v>
      </c>
    </row>
    <row r="3098" spans="1:22">
      <c r="A3098" t="s">
        <v>196</v>
      </c>
      <c r="B3098">
        <v>57</v>
      </c>
      <c r="C3098" t="s">
        <v>31</v>
      </c>
      <c r="D3098">
        <v>100</v>
      </c>
      <c r="E3098" t="s">
        <v>197</v>
      </c>
      <c r="F3098">
        <v>1005</v>
      </c>
      <c r="G3098" t="s">
        <v>31</v>
      </c>
      <c r="H3098">
        <v>2040</v>
      </c>
      <c r="I3098" t="s">
        <v>26</v>
      </c>
      <c r="J3098">
        <v>3362</v>
      </c>
      <c r="K3098" t="s">
        <v>1438</v>
      </c>
      <c r="L3098">
        <v>0</v>
      </c>
      <c r="N3098" t="s">
        <v>245</v>
      </c>
      <c r="O3098">
        <v>20</v>
      </c>
      <c r="P3098">
        <v>3051</v>
      </c>
      <c r="Q3098" t="s">
        <v>246</v>
      </c>
      <c r="R3098" t="s">
        <v>201</v>
      </c>
      <c r="S3098">
        <v>1</v>
      </c>
      <c r="T3098">
        <v>1</v>
      </c>
      <c r="U3098">
        <v>106272</v>
      </c>
      <c r="V3098">
        <v>106272</v>
      </c>
    </row>
    <row r="3099" spans="1:22">
      <c r="A3099" t="s">
        <v>196</v>
      </c>
      <c r="B3099">
        <v>57</v>
      </c>
      <c r="C3099" t="s">
        <v>31</v>
      </c>
      <c r="D3099">
        <v>100</v>
      </c>
      <c r="E3099" t="s">
        <v>197</v>
      </c>
      <c r="F3099">
        <v>1005</v>
      </c>
      <c r="G3099" t="s">
        <v>31</v>
      </c>
      <c r="H3099">
        <v>2040</v>
      </c>
      <c r="I3099" t="s">
        <v>26</v>
      </c>
      <c r="J3099">
        <v>3362</v>
      </c>
      <c r="K3099" t="s">
        <v>1438</v>
      </c>
      <c r="L3099">
        <v>0</v>
      </c>
      <c r="N3099" t="s">
        <v>199</v>
      </c>
      <c r="O3099">
        <v>0</v>
      </c>
      <c r="P3099">
        <v>15</v>
      </c>
      <c r="Q3099" t="s">
        <v>264</v>
      </c>
      <c r="R3099" t="s">
        <v>201</v>
      </c>
      <c r="S3099">
        <v>0</v>
      </c>
      <c r="T3099">
        <v>0</v>
      </c>
      <c r="U3099">
        <v>3572</v>
      </c>
      <c r="V3099">
        <v>3572</v>
      </c>
    </row>
    <row r="3100" spans="1:22">
      <c r="A3100" t="s">
        <v>196</v>
      </c>
      <c r="B3100">
        <v>57</v>
      </c>
      <c r="C3100" t="s">
        <v>31</v>
      </c>
      <c r="D3100">
        <v>100</v>
      </c>
      <c r="E3100" t="s">
        <v>197</v>
      </c>
      <c r="F3100">
        <v>1005</v>
      </c>
      <c r="G3100" t="s">
        <v>31</v>
      </c>
      <c r="H3100">
        <v>2040</v>
      </c>
      <c r="I3100" t="s">
        <v>26</v>
      </c>
      <c r="J3100">
        <v>3624</v>
      </c>
      <c r="K3100" t="s">
        <v>1440</v>
      </c>
      <c r="L3100">
        <v>4153</v>
      </c>
      <c r="M3100" t="s">
        <v>1441</v>
      </c>
      <c r="N3100" t="s">
        <v>1297</v>
      </c>
      <c r="O3100">
        <v>9</v>
      </c>
      <c r="P3100">
        <v>9817</v>
      </c>
      <c r="Q3100" t="s">
        <v>692</v>
      </c>
      <c r="R3100" t="s">
        <v>201</v>
      </c>
      <c r="S3100">
        <v>1</v>
      </c>
      <c r="T3100">
        <v>1</v>
      </c>
      <c r="U3100">
        <v>184800</v>
      </c>
      <c r="V3100">
        <v>184800</v>
      </c>
    </row>
    <row r="3101" spans="1:22">
      <c r="A3101" t="s">
        <v>196</v>
      </c>
      <c r="B3101">
        <v>57</v>
      </c>
      <c r="C3101" t="s">
        <v>31</v>
      </c>
      <c r="D3101">
        <v>100</v>
      </c>
      <c r="E3101" t="s">
        <v>197</v>
      </c>
      <c r="F3101">
        <v>1005</v>
      </c>
      <c r="G3101" t="s">
        <v>31</v>
      </c>
      <c r="H3101">
        <v>2040</v>
      </c>
      <c r="I3101" t="s">
        <v>26</v>
      </c>
      <c r="J3101">
        <v>3624</v>
      </c>
      <c r="K3101" t="s">
        <v>1440</v>
      </c>
      <c r="L3101">
        <v>4153</v>
      </c>
      <c r="M3101" t="s">
        <v>1441</v>
      </c>
      <c r="N3101" t="s">
        <v>1302</v>
      </c>
      <c r="O3101">
        <v>71</v>
      </c>
      <c r="P3101">
        <v>9171</v>
      </c>
      <c r="Q3101" t="s">
        <v>1303</v>
      </c>
      <c r="R3101" t="s">
        <v>201</v>
      </c>
      <c r="S3101">
        <v>1</v>
      </c>
      <c r="T3101">
        <v>1</v>
      </c>
      <c r="U3101">
        <v>152010</v>
      </c>
      <c r="V3101">
        <v>152010</v>
      </c>
    </row>
    <row r="3102" spans="1:22">
      <c r="A3102" t="s">
        <v>196</v>
      </c>
      <c r="B3102">
        <v>57</v>
      </c>
      <c r="C3102" t="s">
        <v>31</v>
      </c>
      <c r="D3102">
        <v>100</v>
      </c>
      <c r="E3102" t="s">
        <v>197</v>
      </c>
      <c r="F3102">
        <v>1005</v>
      </c>
      <c r="G3102" t="s">
        <v>31</v>
      </c>
      <c r="H3102">
        <v>2040</v>
      </c>
      <c r="I3102" t="s">
        <v>26</v>
      </c>
      <c r="J3102">
        <v>3624</v>
      </c>
      <c r="K3102" t="s">
        <v>1440</v>
      </c>
      <c r="L3102">
        <v>4153</v>
      </c>
      <c r="M3102" t="s">
        <v>1441</v>
      </c>
      <c r="N3102" t="s">
        <v>1302</v>
      </c>
      <c r="O3102">
        <v>71</v>
      </c>
      <c r="P3102">
        <v>9171</v>
      </c>
      <c r="Q3102" t="s">
        <v>1303</v>
      </c>
      <c r="R3102" t="s">
        <v>201</v>
      </c>
      <c r="S3102">
        <v>1</v>
      </c>
      <c r="T3102">
        <v>1</v>
      </c>
      <c r="U3102">
        <v>138318</v>
      </c>
      <c r="V3102">
        <v>138318</v>
      </c>
    </row>
    <row r="3103" spans="1:22">
      <c r="A3103" t="s">
        <v>196</v>
      </c>
      <c r="B3103">
        <v>57</v>
      </c>
      <c r="C3103" t="s">
        <v>31</v>
      </c>
      <c r="D3103">
        <v>100</v>
      </c>
      <c r="E3103" t="s">
        <v>197</v>
      </c>
      <c r="F3103">
        <v>1005</v>
      </c>
      <c r="G3103" t="s">
        <v>31</v>
      </c>
      <c r="H3103">
        <v>2040</v>
      </c>
      <c r="I3103" t="s">
        <v>26</v>
      </c>
      <c r="J3103">
        <v>3624</v>
      </c>
      <c r="K3103" t="s">
        <v>1440</v>
      </c>
      <c r="L3103">
        <v>4153</v>
      </c>
      <c r="M3103" t="s">
        <v>1441</v>
      </c>
      <c r="N3103" t="s">
        <v>261</v>
      </c>
      <c r="O3103">
        <v>20</v>
      </c>
      <c r="P3103">
        <v>9024</v>
      </c>
      <c r="Q3103" t="s">
        <v>1427</v>
      </c>
      <c r="R3103" t="s">
        <v>201</v>
      </c>
      <c r="S3103">
        <v>1</v>
      </c>
      <c r="T3103">
        <v>1</v>
      </c>
      <c r="U3103">
        <v>115992</v>
      </c>
      <c r="V3103">
        <v>115992</v>
      </c>
    </row>
    <row r="3104" spans="1:22">
      <c r="A3104" t="s">
        <v>196</v>
      </c>
      <c r="B3104">
        <v>57</v>
      </c>
      <c r="C3104" t="s">
        <v>31</v>
      </c>
      <c r="D3104">
        <v>100</v>
      </c>
      <c r="E3104" t="s">
        <v>197</v>
      </c>
      <c r="F3104">
        <v>1005</v>
      </c>
      <c r="G3104" t="s">
        <v>31</v>
      </c>
      <c r="H3104">
        <v>2040</v>
      </c>
      <c r="I3104" t="s">
        <v>26</v>
      </c>
      <c r="J3104">
        <v>3624</v>
      </c>
      <c r="K3104" t="s">
        <v>1440</v>
      </c>
      <c r="L3104">
        <v>4153</v>
      </c>
      <c r="M3104" t="s">
        <v>1441</v>
      </c>
      <c r="N3104" t="s">
        <v>261</v>
      </c>
      <c r="O3104">
        <v>20</v>
      </c>
      <c r="P3104">
        <v>9024</v>
      </c>
      <c r="Q3104" t="s">
        <v>1427</v>
      </c>
      <c r="R3104" t="s">
        <v>201</v>
      </c>
      <c r="S3104">
        <v>1</v>
      </c>
      <c r="T3104">
        <v>1</v>
      </c>
      <c r="U3104">
        <v>106272</v>
      </c>
      <c r="V3104">
        <v>106272</v>
      </c>
    </row>
    <row r="3105" spans="1:22">
      <c r="A3105" t="s">
        <v>196</v>
      </c>
      <c r="B3105">
        <v>57</v>
      </c>
      <c r="C3105" t="s">
        <v>31</v>
      </c>
      <c r="D3105">
        <v>100</v>
      </c>
      <c r="E3105" t="s">
        <v>197</v>
      </c>
      <c r="F3105">
        <v>1005</v>
      </c>
      <c r="G3105" t="s">
        <v>31</v>
      </c>
      <c r="H3105">
        <v>2040</v>
      </c>
      <c r="I3105" t="s">
        <v>26</v>
      </c>
      <c r="J3105">
        <v>3624</v>
      </c>
      <c r="K3105" t="s">
        <v>1440</v>
      </c>
      <c r="L3105">
        <v>4153</v>
      </c>
      <c r="M3105" t="s">
        <v>1441</v>
      </c>
      <c r="N3105" t="s">
        <v>261</v>
      </c>
      <c r="O3105">
        <v>20</v>
      </c>
      <c r="P3105">
        <v>9024</v>
      </c>
      <c r="Q3105" t="s">
        <v>1427</v>
      </c>
      <c r="R3105" t="s">
        <v>201</v>
      </c>
      <c r="S3105">
        <v>4</v>
      </c>
      <c r="T3105">
        <v>1</v>
      </c>
      <c r="U3105">
        <v>101628</v>
      </c>
      <c r="V3105">
        <v>406512</v>
      </c>
    </row>
    <row r="3106" spans="1:22">
      <c r="A3106" t="s">
        <v>196</v>
      </c>
      <c r="B3106">
        <v>57</v>
      </c>
      <c r="C3106" t="s">
        <v>31</v>
      </c>
      <c r="D3106">
        <v>100</v>
      </c>
      <c r="E3106" t="s">
        <v>197</v>
      </c>
      <c r="F3106">
        <v>1005</v>
      </c>
      <c r="G3106" t="s">
        <v>31</v>
      </c>
      <c r="H3106">
        <v>2040</v>
      </c>
      <c r="I3106" t="s">
        <v>26</v>
      </c>
      <c r="J3106">
        <v>3624</v>
      </c>
      <c r="K3106" t="s">
        <v>1440</v>
      </c>
      <c r="L3106">
        <v>4153</v>
      </c>
      <c r="M3106" t="s">
        <v>1441</v>
      </c>
      <c r="N3106" t="s">
        <v>261</v>
      </c>
      <c r="O3106">
        <v>20</v>
      </c>
      <c r="P3106">
        <v>9024</v>
      </c>
      <c r="Q3106" t="s">
        <v>1427</v>
      </c>
      <c r="R3106" t="s">
        <v>201</v>
      </c>
      <c r="S3106">
        <v>4</v>
      </c>
      <c r="T3106">
        <v>1</v>
      </c>
      <c r="U3106">
        <v>97332</v>
      </c>
      <c r="V3106">
        <v>389328</v>
      </c>
    </row>
    <row r="3107" spans="1:22">
      <c r="A3107" t="s">
        <v>196</v>
      </c>
      <c r="B3107">
        <v>57</v>
      </c>
      <c r="C3107" t="s">
        <v>31</v>
      </c>
      <c r="D3107">
        <v>100</v>
      </c>
      <c r="E3107" t="s">
        <v>197</v>
      </c>
      <c r="F3107">
        <v>1005</v>
      </c>
      <c r="G3107" t="s">
        <v>31</v>
      </c>
      <c r="H3107">
        <v>2040</v>
      </c>
      <c r="I3107" t="s">
        <v>26</v>
      </c>
      <c r="J3107">
        <v>3624</v>
      </c>
      <c r="K3107" t="s">
        <v>1440</v>
      </c>
      <c r="L3107">
        <v>4153</v>
      </c>
      <c r="M3107" t="s">
        <v>1441</v>
      </c>
      <c r="N3107" t="s">
        <v>261</v>
      </c>
      <c r="O3107">
        <v>20</v>
      </c>
      <c r="P3107">
        <v>9024</v>
      </c>
      <c r="Q3107" t="s">
        <v>1427</v>
      </c>
      <c r="R3107" t="s">
        <v>201</v>
      </c>
      <c r="S3107">
        <v>2</v>
      </c>
      <c r="T3107">
        <v>1</v>
      </c>
      <c r="U3107">
        <v>89112</v>
      </c>
      <c r="V3107">
        <v>178224</v>
      </c>
    </row>
    <row r="3108" spans="1:22">
      <c r="A3108" t="s">
        <v>196</v>
      </c>
      <c r="B3108">
        <v>57</v>
      </c>
      <c r="C3108" t="s">
        <v>31</v>
      </c>
      <c r="D3108">
        <v>100</v>
      </c>
      <c r="E3108" t="s">
        <v>197</v>
      </c>
      <c r="F3108">
        <v>1005</v>
      </c>
      <c r="G3108" t="s">
        <v>31</v>
      </c>
      <c r="H3108">
        <v>2040</v>
      </c>
      <c r="I3108" t="s">
        <v>26</v>
      </c>
      <c r="J3108">
        <v>3624</v>
      </c>
      <c r="K3108" t="s">
        <v>1440</v>
      </c>
      <c r="L3108">
        <v>4153</v>
      </c>
      <c r="M3108" t="s">
        <v>1441</v>
      </c>
      <c r="N3108" t="s">
        <v>341</v>
      </c>
      <c r="O3108">
        <v>1</v>
      </c>
      <c r="P3108">
        <v>308</v>
      </c>
      <c r="Q3108" t="s">
        <v>355</v>
      </c>
      <c r="R3108" t="s">
        <v>201</v>
      </c>
      <c r="S3108">
        <v>1</v>
      </c>
      <c r="T3108">
        <v>1</v>
      </c>
      <c r="U3108">
        <v>119100</v>
      </c>
      <c r="V3108">
        <v>119100</v>
      </c>
    </row>
    <row r="3109" spans="1:22">
      <c r="A3109" t="s">
        <v>196</v>
      </c>
      <c r="B3109">
        <v>57</v>
      </c>
      <c r="C3109" t="s">
        <v>31</v>
      </c>
      <c r="D3109">
        <v>100</v>
      </c>
      <c r="E3109" t="s">
        <v>197</v>
      </c>
      <c r="F3109">
        <v>1005</v>
      </c>
      <c r="G3109" t="s">
        <v>31</v>
      </c>
      <c r="H3109">
        <v>2040</v>
      </c>
      <c r="I3109" t="s">
        <v>26</v>
      </c>
      <c r="J3109">
        <v>3624</v>
      </c>
      <c r="K3109" t="s">
        <v>1440</v>
      </c>
      <c r="L3109">
        <v>4153</v>
      </c>
      <c r="M3109" t="s">
        <v>1441</v>
      </c>
      <c r="N3109" t="s">
        <v>199</v>
      </c>
      <c r="O3109">
        <v>0</v>
      </c>
      <c r="P3109">
        <v>15</v>
      </c>
      <c r="Q3109" t="s">
        <v>264</v>
      </c>
      <c r="R3109" t="s">
        <v>201</v>
      </c>
      <c r="S3109">
        <v>0</v>
      </c>
      <c r="T3109">
        <v>0</v>
      </c>
      <c r="U3109">
        <v>20224</v>
      </c>
      <c r="V3109">
        <v>20224</v>
      </c>
    </row>
    <row r="3110" spans="1:22">
      <c r="A3110" t="s">
        <v>196</v>
      </c>
      <c r="B3110">
        <v>57</v>
      </c>
      <c r="C3110" t="s">
        <v>31</v>
      </c>
      <c r="D3110">
        <v>100</v>
      </c>
      <c r="E3110" t="s">
        <v>197</v>
      </c>
      <c r="F3110">
        <v>1005</v>
      </c>
      <c r="G3110" t="s">
        <v>31</v>
      </c>
      <c r="H3110">
        <v>2040</v>
      </c>
      <c r="I3110" t="s">
        <v>26</v>
      </c>
      <c r="J3110">
        <v>3624</v>
      </c>
      <c r="K3110" t="s">
        <v>1440</v>
      </c>
      <c r="L3110">
        <v>4154</v>
      </c>
      <c r="M3110" t="s">
        <v>1442</v>
      </c>
      <c r="N3110" t="s">
        <v>1330</v>
      </c>
      <c r="O3110">
        <v>75</v>
      </c>
      <c r="P3110">
        <v>9175</v>
      </c>
      <c r="Q3110" t="s">
        <v>1331</v>
      </c>
      <c r="R3110" t="s">
        <v>201</v>
      </c>
      <c r="S3110">
        <v>3</v>
      </c>
      <c r="T3110">
        <v>1</v>
      </c>
      <c r="U3110">
        <v>185676</v>
      </c>
      <c r="V3110">
        <v>557028</v>
      </c>
    </row>
    <row r="3111" spans="1:22">
      <c r="A3111" t="s">
        <v>196</v>
      </c>
      <c r="B3111">
        <v>57</v>
      </c>
      <c r="C3111" t="s">
        <v>31</v>
      </c>
      <c r="D3111">
        <v>100</v>
      </c>
      <c r="E3111" t="s">
        <v>197</v>
      </c>
      <c r="F3111">
        <v>1005</v>
      </c>
      <c r="G3111" t="s">
        <v>31</v>
      </c>
      <c r="H3111">
        <v>2040</v>
      </c>
      <c r="I3111" t="s">
        <v>26</v>
      </c>
      <c r="J3111">
        <v>3624</v>
      </c>
      <c r="K3111" t="s">
        <v>1440</v>
      </c>
      <c r="L3111">
        <v>4154</v>
      </c>
      <c r="M3111" t="s">
        <v>1442</v>
      </c>
      <c r="N3111" t="s">
        <v>1330</v>
      </c>
      <c r="O3111">
        <v>75</v>
      </c>
      <c r="P3111">
        <v>9175</v>
      </c>
      <c r="Q3111" t="s">
        <v>1331</v>
      </c>
      <c r="R3111" t="s">
        <v>201</v>
      </c>
      <c r="S3111">
        <v>1</v>
      </c>
      <c r="T3111">
        <v>1</v>
      </c>
      <c r="U3111">
        <v>181188</v>
      </c>
      <c r="V3111">
        <v>181188</v>
      </c>
    </row>
    <row r="3112" spans="1:22">
      <c r="A3112" t="s">
        <v>196</v>
      </c>
      <c r="B3112">
        <v>57</v>
      </c>
      <c r="C3112" t="s">
        <v>31</v>
      </c>
      <c r="D3112">
        <v>100</v>
      </c>
      <c r="E3112" t="s">
        <v>197</v>
      </c>
      <c r="F3112">
        <v>1005</v>
      </c>
      <c r="G3112" t="s">
        <v>31</v>
      </c>
      <c r="H3112">
        <v>2040</v>
      </c>
      <c r="I3112" t="s">
        <v>26</v>
      </c>
      <c r="J3112">
        <v>3624</v>
      </c>
      <c r="K3112" t="s">
        <v>1440</v>
      </c>
      <c r="L3112">
        <v>4154</v>
      </c>
      <c r="M3112" t="s">
        <v>1442</v>
      </c>
      <c r="N3112" t="s">
        <v>1302</v>
      </c>
      <c r="O3112">
        <v>71</v>
      </c>
      <c r="P3112">
        <v>9171</v>
      </c>
      <c r="Q3112" t="s">
        <v>1303</v>
      </c>
      <c r="R3112" t="s">
        <v>201</v>
      </c>
      <c r="S3112">
        <v>1</v>
      </c>
      <c r="T3112">
        <v>1</v>
      </c>
      <c r="U3112">
        <v>142668</v>
      </c>
      <c r="V3112">
        <v>142668</v>
      </c>
    </row>
    <row r="3113" spans="1:22">
      <c r="A3113" t="s">
        <v>196</v>
      </c>
      <c r="B3113">
        <v>57</v>
      </c>
      <c r="C3113" t="s">
        <v>31</v>
      </c>
      <c r="D3113">
        <v>100</v>
      </c>
      <c r="E3113" t="s">
        <v>197</v>
      </c>
      <c r="F3113">
        <v>1005</v>
      </c>
      <c r="G3113" t="s">
        <v>31</v>
      </c>
      <c r="H3113">
        <v>2040</v>
      </c>
      <c r="I3113" t="s">
        <v>26</v>
      </c>
      <c r="J3113">
        <v>3624</v>
      </c>
      <c r="K3113" t="s">
        <v>1440</v>
      </c>
      <c r="L3113">
        <v>4154</v>
      </c>
      <c r="M3113" t="s">
        <v>1442</v>
      </c>
      <c r="N3113" t="s">
        <v>1309</v>
      </c>
      <c r="O3113">
        <v>91</v>
      </c>
      <c r="P3113">
        <v>9161</v>
      </c>
      <c r="Q3113" t="s">
        <v>1310</v>
      </c>
      <c r="R3113" t="s">
        <v>201</v>
      </c>
      <c r="S3113">
        <v>1</v>
      </c>
      <c r="T3113">
        <v>1</v>
      </c>
      <c r="U3113">
        <v>123576</v>
      </c>
      <c r="V3113">
        <v>123576</v>
      </c>
    </row>
    <row r="3114" spans="1:22">
      <c r="A3114" t="s">
        <v>196</v>
      </c>
      <c r="B3114">
        <v>57</v>
      </c>
      <c r="C3114" t="s">
        <v>31</v>
      </c>
      <c r="D3114">
        <v>100</v>
      </c>
      <c r="E3114" t="s">
        <v>197</v>
      </c>
      <c r="F3114">
        <v>1005</v>
      </c>
      <c r="G3114" t="s">
        <v>31</v>
      </c>
      <c r="H3114">
        <v>2040</v>
      </c>
      <c r="I3114" t="s">
        <v>26</v>
      </c>
      <c r="J3114">
        <v>3624</v>
      </c>
      <c r="K3114" t="s">
        <v>1440</v>
      </c>
      <c r="L3114">
        <v>4154</v>
      </c>
      <c r="M3114" t="s">
        <v>1442</v>
      </c>
      <c r="N3114" t="s">
        <v>1309</v>
      </c>
      <c r="O3114">
        <v>91</v>
      </c>
      <c r="P3114">
        <v>9161</v>
      </c>
      <c r="Q3114" t="s">
        <v>1310</v>
      </c>
      <c r="R3114" t="s">
        <v>201</v>
      </c>
      <c r="S3114">
        <v>1</v>
      </c>
      <c r="T3114">
        <v>1</v>
      </c>
      <c r="U3114">
        <v>119154</v>
      </c>
      <c r="V3114">
        <v>119154</v>
      </c>
    </row>
    <row r="3115" spans="1:22">
      <c r="A3115" t="s">
        <v>196</v>
      </c>
      <c r="B3115">
        <v>57</v>
      </c>
      <c r="C3115" t="s">
        <v>31</v>
      </c>
      <c r="D3115">
        <v>100</v>
      </c>
      <c r="E3115" t="s">
        <v>197</v>
      </c>
      <c r="F3115">
        <v>1005</v>
      </c>
      <c r="G3115" t="s">
        <v>31</v>
      </c>
      <c r="H3115">
        <v>2040</v>
      </c>
      <c r="I3115" t="s">
        <v>26</v>
      </c>
      <c r="J3115">
        <v>3624</v>
      </c>
      <c r="K3115" t="s">
        <v>1440</v>
      </c>
      <c r="L3115">
        <v>4154</v>
      </c>
      <c r="M3115" t="s">
        <v>1442</v>
      </c>
      <c r="N3115" t="s">
        <v>1309</v>
      </c>
      <c r="O3115">
        <v>91</v>
      </c>
      <c r="P3115">
        <v>9161</v>
      </c>
      <c r="Q3115" t="s">
        <v>1310</v>
      </c>
      <c r="R3115" t="s">
        <v>201</v>
      </c>
      <c r="S3115">
        <v>2</v>
      </c>
      <c r="T3115">
        <v>1</v>
      </c>
      <c r="U3115">
        <v>115158</v>
      </c>
      <c r="V3115">
        <v>230316</v>
      </c>
    </row>
    <row r="3116" spans="1:22">
      <c r="A3116" t="s">
        <v>196</v>
      </c>
      <c r="B3116">
        <v>57</v>
      </c>
      <c r="C3116" t="s">
        <v>31</v>
      </c>
      <c r="D3116">
        <v>100</v>
      </c>
      <c r="E3116" t="s">
        <v>197</v>
      </c>
      <c r="F3116">
        <v>1005</v>
      </c>
      <c r="G3116" t="s">
        <v>31</v>
      </c>
      <c r="H3116">
        <v>2040</v>
      </c>
      <c r="I3116" t="s">
        <v>26</v>
      </c>
      <c r="J3116">
        <v>3624</v>
      </c>
      <c r="K3116" t="s">
        <v>1440</v>
      </c>
      <c r="L3116">
        <v>4154</v>
      </c>
      <c r="M3116" t="s">
        <v>1442</v>
      </c>
      <c r="N3116" t="s">
        <v>1309</v>
      </c>
      <c r="O3116">
        <v>91</v>
      </c>
      <c r="P3116">
        <v>9161</v>
      </c>
      <c r="Q3116" t="s">
        <v>1310</v>
      </c>
      <c r="R3116" t="s">
        <v>201</v>
      </c>
      <c r="S3116">
        <v>1</v>
      </c>
      <c r="T3116">
        <v>1</v>
      </c>
      <c r="U3116">
        <v>111252</v>
      </c>
      <c r="V3116">
        <v>111252</v>
      </c>
    </row>
    <row r="3117" spans="1:22">
      <c r="A3117" t="s">
        <v>196</v>
      </c>
      <c r="B3117">
        <v>57</v>
      </c>
      <c r="C3117" t="s">
        <v>31</v>
      </c>
      <c r="D3117">
        <v>100</v>
      </c>
      <c r="E3117" t="s">
        <v>197</v>
      </c>
      <c r="F3117">
        <v>1005</v>
      </c>
      <c r="G3117" t="s">
        <v>31</v>
      </c>
      <c r="H3117">
        <v>2040</v>
      </c>
      <c r="I3117" t="s">
        <v>26</v>
      </c>
      <c r="J3117">
        <v>3624</v>
      </c>
      <c r="K3117" t="s">
        <v>1440</v>
      </c>
      <c r="L3117">
        <v>4154</v>
      </c>
      <c r="M3117" t="s">
        <v>1442</v>
      </c>
      <c r="N3117" t="s">
        <v>245</v>
      </c>
      <c r="O3117">
        <v>20</v>
      </c>
      <c r="P3117">
        <v>1127</v>
      </c>
      <c r="Q3117" t="s">
        <v>292</v>
      </c>
      <c r="R3117" t="s">
        <v>201</v>
      </c>
      <c r="S3117">
        <v>2</v>
      </c>
      <c r="T3117">
        <v>1</v>
      </c>
      <c r="U3117">
        <v>115992</v>
      </c>
      <c r="V3117">
        <v>231984</v>
      </c>
    </row>
    <row r="3118" spans="1:22">
      <c r="A3118" t="s">
        <v>196</v>
      </c>
      <c r="B3118">
        <v>57</v>
      </c>
      <c r="C3118" t="s">
        <v>31</v>
      </c>
      <c r="D3118">
        <v>100</v>
      </c>
      <c r="E3118" t="s">
        <v>197</v>
      </c>
      <c r="F3118">
        <v>1005</v>
      </c>
      <c r="G3118" t="s">
        <v>31</v>
      </c>
      <c r="H3118">
        <v>2040</v>
      </c>
      <c r="I3118" t="s">
        <v>26</v>
      </c>
      <c r="J3118">
        <v>3624</v>
      </c>
      <c r="K3118" t="s">
        <v>1440</v>
      </c>
      <c r="L3118">
        <v>4154</v>
      </c>
      <c r="M3118" t="s">
        <v>1442</v>
      </c>
      <c r="N3118" t="s">
        <v>281</v>
      </c>
      <c r="O3118">
        <v>20</v>
      </c>
      <c r="P3118">
        <v>1126</v>
      </c>
      <c r="Q3118" t="s">
        <v>286</v>
      </c>
      <c r="R3118" t="s">
        <v>201</v>
      </c>
      <c r="S3118">
        <v>1</v>
      </c>
      <c r="T3118">
        <v>1</v>
      </c>
      <c r="U3118">
        <v>93156</v>
      </c>
      <c r="V3118">
        <v>93156</v>
      </c>
    </row>
    <row r="3119" spans="1:22">
      <c r="A3119" t="s">
        <v>196</v>
      </c>
      <c r="B3119">
        <v>57</v>
      </c>
      <c r="C3119" t="s">
        <v>31</v>
      </c>
      <c r="D3119">
        <v>100</v>
      </c>
      <c r="E3119" t="s">
        <v>197</v>
      </c>
      <c r="F3119">
        <v>1005</v>
      </c>
      <c r="G3119" t="s">
        <v>31</v>
      </c>
      <c r="H3119">
        <v>2040</v>
      </c>
      <c r="I3119" t="s">
        <v>26</v>
      </c>
      <c r="J3119">
        <v>3624</v>
      </c>
      <c r="K3119" t="s">
        <v>1440</v>
      </c>
      <c r="L3119">
        <v>4154</v>
      </c>
      <c r="M3119" t="s">
        <v>1442</v>
      </c>
      <c r="N3119" t="s">
        <v>281</v>
      </c>
      <c r="O3119">
        <v>20</v>
      </c>
      <c r="P3119">
        <v>1126</v>
      </c>
      <c r="Q3119" t="s">
        <v>286</v>
      </c>
      <c r="R3119" t="s">
        <v>201</v>
      </c>
      <c r="S3119">
        <v>2</v>
      </c>
      <c r="T3119">
        <v>1</v>
      </c>
      <c r="U3119">
        <v>85236</v>
      </c>
      <c r="V3119">
        <v>170472</v>
      </c>
    </row>
    <row r="3120" spans="1:22">
      <c r="A3120" t="s">
        <v>196</v>
      </c>
      <c r="B3120">
        <v>57</v>
      </c>
      <c r="C3120" t="s">
        <v>31</v>
      </c>
      <c r="D3120">
        <v>100</v>
      </c>
      <c r="E3120" t="s">
        <v>197</v>
      </c>
      <c r="F3120">
        <v>1005</v>
      </c>
      <c r="G3120" t="s">
        <v>31</v>
      </c>
      <c r="H3120">
        <v>2040</v>
      </c>
      <c r="I3120" t="s">
        <v>26</v>
      </c>
      <c r="J3120">
        <v>3624</v>
      </c>
      <c r="K3120" t="s">
        <v>1440</v>
      </c>
      <c r="L3120">
        <v>4154</v>
      </c>
      <c r="M3120" t="s">
        <v>1442</v>
      </c>
      <c r="N3120" t="s">
        <v>281</v>
      </c>
      <c r="O3120">
        <v>20</v>
      </c>
      <c r="P3120">
        <v>1126</v>
      </c>
      <c r="Q3120" t="s">
        <v>286</v>
      </c>
      <c r="R3120" t="s">
        <v>201</v>
      </c>
      <c r="S3120">
        <v>1</v>
      </c>
      <c r="T3120">
        <v>1</v>
      </c>
      <c r="U3120">
        <v>82884</v>
      </c>
      <c r="V3120">
        <v>82884</v>
      </c>
    </row>
    <row r="3121" spans="1:22">
      <c r="A3121" t="s">
        <v>196</v>
      </c>
      <c r="B3121">
        <v>57</v>
      </c>
      <c r="C3121" t="s">
        <v>31</v>
      </c>
      <c r="D3121">
        <v>100</v>
      </c>
      <c r="E3121" t="s">
        <v>197</v>
      </c>
      <c r="F3121">
        <v>1005</v>
      </c>
      <c r="G3121" t="s">
        <v>31</v>
      </c>
      <c r="H3121">
        <v>2040</v>
      </c>
      <c r="I3121" t="s">
        <v>26</v>
      </c>
      <c r="J3121">
        <v>3624</v>
      </c>
      <c r="K3121" t="s">
        <v>1440</v>
      </c>
      <c r="L3121">
        <v>4154</v>
      </c>
      <c r="M3121" t="s">
        <v>1442</v>
      </c>
      <c r="N3121" t="s">
        <v>1314</v>
      </c>
      <c r="O3121">
        <v>0</v>
      </c>
      <c r="P3121" t="s">
        <v>1315</v>
      </c>
      <c r="Q3121" t="s">
        <v>636</v>
      </c>
      <c r="R3121" t="s">
        <v>201</v>
      </c>
      <c r="S3121">
        <v>1</v>
      </c>
      <c r="T3121">
        <v>1</v>
      </c>
      <c r="U3121">
        <v>160680</v>
      </c>
      <c r="V3121">
        <v>160680</v>
      </c>
    </row>
    <row r="3122" spans="1:22">
      <c r="A3122" t="s">
        <v>196</v>
      </c>
      <c r="B3122">
        <v>57</v>
      </c>
      <c r="C3122" t="s">
        <v>31</v>
      </c>
      <c r="D3122">
        <v>100</v>
      </c>
      <c r="E3122" t="s">
        <v>197</v>
      </c>
      <c r="F3122">
        <v>1005</v>
      </c>
      <c r="G3122" t="s">
        <v>31</v>
      </c>
      <c r="H3122">
        <v>2040</v>
      </c>
      <c r="I3122" t="s">
        <v>26</v>
      </c>
      <c r="J3122">
        <v>3624</v>
      </c>
      <c r="K3122" t="s">
        <v>1440</v>
      </c>
      <c r="L3122">
        <v>4154</v>
      </c>
      <c r="M3122" t="s">
        <v>1442</v>
      </c>
      <c r="N3122" t="s">
        <v>356</v>
      </c>
      <c r="O3122">
        <v>4</v>
      </c>
      <c r="P3122">
        <v>193</v>
      </c>
      <c r="Q3122" t="s">
        <v>647</v>
      </c>
      <c r="R3122" t="s">
        <v>201</v>
      </c>
      <c r="S3122">
        <v>1</v>
      </c>
      <c r="T3122">
        <v>1</v>
      </c>
      <c r="U3122">
        <v>112536</v>
      </c>
      <c r="V3122">
        <v>112536</v>
      </c>
    </row>
    <row r="3123" spans="1:22">
      <c r="A3123" t="s">
        <v>196</v>
      </c>
      <c r="B3123">
        <v>57</v>
      </c>
      <c r="C3123" t="s">
        <v>31</v>
      </c>
      <c r="D3123">
        <v>100</v>
      </c>
      <c r="E3123" t="s">
        <v>197</v>
      </c>
      <c r="F3123">
        <v>1005</v>
      </c>
      <c r="G3123" t="s">
        <v>31</v>
      </c>
      <c r="H3123">
        <v>2040</v>
      </c>
      <c r="I3123" t="s">
        <v>26</v>
      </c>
      <c r="J3123">
        <v>3624</v>
      </c>
      <c r="K3123" t="s">
        <v>1440</v>
      </c>
      <c r="L3123">
        <v>4154</v>
      </c>
      <c r="M3123" t="s">
        <v>1442</v>
      </c>
      <c r="N3123" t="s">
        <v>356</v>
      </c>
      <c r="O3123">
        <v>4</v>
      </c>
      <c r="P3123">
        <v>193</v>
      </c>
      <c r="Q3123" t="s">
        <v>647</v>
      </c>
      <c r="R3123" t="s">
        <v>201</v>
      </c>
      <c r="S3123">
        <v>1</v>
      </c>
      <c r="T3123">
        <v>1</v>
      </c>
      <c r="U3123">
        <v>102516</v>
      </c>
      <c r="V3123">
        <v>102516</v>
      </c>
    </row>
    <row r="3124" spans="1:22">
      <c r="A3124" t="s">
        <v>196</v>
      </c>
      <c r="B3124">
        <v>57</v>
      </c>
      <c r="C3124" t="s">
        <v>31</v>
      </c>
      <c r="D3124">
        <v>100</v>
      </c>
      <c r="E3124" t="s">
        <v>197</v>
      </c>
      <c r="F3124">
        <v>1005</v>
      </c>
      <c r="G3124" t="s">
        <v>31</v>
      </c>
      <c r="H3124">
        <v>2040</v>
      </c>
      <c r="I3124" t="s">
        <v>26</v>
      </c>
      <c r="J3124">
        <v>3624</v>
      </c>
      <c r="K3124" t="s">
        <v>1440</v>
      </c>
      <c r="L3124">
        <v>4154</v>
      </c>
      <c r="M3124" t="s">
        <v>1442</v>
      </c>
      <c r="N3124" t="s">
        <v>199</v>
      </c>
      <c r="O3124">
        <v>0</v>
      </c>
      <c r="P3124">
        <v>15</v>
      </c>
      <c r="Q3124" t="s">
        <v>264</v>
      </c>
      <c r="R3124" t="s">
        <v>201</v>
      </c>
      <c r="S3124">
        <v>0</v>
      </c>
      <c r="T3124">
        <v>0</v>
      </c>
      <c r="U3124">
        <v>28241</v>
      </c>
      <c r="V3124">
        <v>28241</v>
      </c>
    </row>
    <row r="3125" spans="1:22">
      <c r="A3125" t="s">
        <v>196</v>
      </c>
      <c r="B3125">
        <v>57</v>
      </c>
      <c r="C3125" t="s">
        <v>31</v>
      </c>
      <c r="D3125">
        <v>100</v>
      </c>
      <c r="E3125" t="s">
        <v>197</v>
      </c>
      <c r="F3125">
        <v>1005</v>
      </c>
      <c r="G3125" t="s">
        <v>31</v>
      </c>
      <c r="H3125">
        <v>2040</v>
      </c>
      <c r="I3125" t="s">
        <v>26</v>
      </c>
      <c r="J3125">
        <v>3627</v>
      </c>
      <c r="K3125" t="s">
        <v>1443</v>
      </c>
      <c r="L3125">
        <v>4158</v>
      </c>
      <c r="M3125" t="s">
        <v>1444</v>
      </c>
      <c r="N3125" t="s">
        <v>1330</v>
      </c>
      <c r="O3125">
        <v>75</v>
      </c>
      <c r="P3125">
        <v>9175</v>
      </c>
      <c r="Q3125" t="s">
        <v>1331</v>
      </c>
      <c r="R3125" t="s">
        <v>201</v>
      </c>
      <c r="S3125">
        <v>1</v>
      </c>
      <c r="T3125">
        <v>1</v>
      </c>
      <c r="U3125">
        <v>188352</v>
      </c>
      <c r="V3125">
        <v>188352</v>
      </c>
    </row>
    <row r="3126" spans="1:22">
      <c r="A3126" t="s">
        <v>196</v>
      </c>
      <c r="B3126">
        <v>57</v>
      </c>
      <c r="C3126" t="s">
        <v>31</v>
      </c>
      <c r="D3126">
        <v>100</v>
      </c>
      <c r="E3126" t="s">
        <v>197</v>
      </c>
      <c r="F3126">
        <v>1005</v>
      </c>
      <c r="G3126" t="s">
        <v>31</v>
      </c>
      <c r="H3126">
        <v>2040</v>
      </c>
      <c r="I3126" t="s">
        <v>26</v>
      </c>
      <c r="J3126">
        <v>3627</v>
      </c>
      <c r="K3126" t="s">
        <v>1443</v>
      </c>
      <c r="L3126">
        <v>4158</v>
      </c>
      <c r="M3126" t="s">
        <v>1444</v>
      </c>
      <c r="N3126" t="s">
        <v>1330</v>
      </c>
      <c r="O3126">
        <v>75</v>
      </c>
      <c r="P3126">
        <v>9175</v>
      </c>
      <c r="Q3126" t="s">
        <v>1331</v>
      </c>
      <c r="R3126" t="s">
        <v>201</v>
      </c>
      <c r="S3126">
        <v>1</v>
      </c>
      <c r="T3126">
        <v>1</v>
      </c>
      <c r="U3126">
        <v>185676</v>
      </c>
      <c r="V3126">
        <v>185676</v>
      </c>
    </row>
    <row r="3127" spans="1:22">
      <c r="A3127" t="s">
        <v>196</v>
      </c>
      <c r="B3127">
        <v>57</v>
      </c>
      <c r="C3127" t="s">
        <v>31</v>
      </c>
      <c r="D3127">
        <v>100</v>
      </c>
      <c r="E3127" t="s">
        <v>197</v>
      </c>
      <c r="F3127">
        <v>1005</v>
      </c>
      <c r="G3127" t="s">
        <v>31</v>
      </c>
      <c r="H3127">
        <v>2040</v>
      </c>
      <c r="I3127" t="s">
        <v>26</v>
      </c>
      <c r="J3127">
        <v>3627</v>
      </c>
      <c r="K3127" t="s">
        <v>1443</v>
      </c>
      <c r="L3127">
        <v>4158</v>
      </c>
      <c r="M3127" t="s">
        <v>1444</v>
      </c>
      <c r="N3127" t="s">
        <v>1304</v>
      </c>
      <c r="O3127">
        <v>73</v>
      </c>
      <c r="P3127">
        <v>9173</v>
      </c>
      <c r="Q3127" t="s">
        <v>1323</v>
      </c>
      <c r="R3127" t="s">
        <v>201</v>
      </c>
      <c r="S3127">
        <v>1</v>
      </c>
      <c r="T3127">
        <v>1</v>
      </c>
      <c r="U3127">
        <v>165624</v>
      </c>
      <c r="V3127">
        <v>165624</v>
      </c>
    </row>
    <row r="3128" spans="1:22">
      <c r="A3128" t="s">
        <v>196</v>
      </c>
      <c r="B3128">
        <v>57</v>
      </c>
      <c r="C3128" t="s">
        <v>31</v>
      </c>
      <c r="D3128">
        <v>100</v>
      </c>
      <c r="E3128" t="s">
        <v>197</v>
      </c>
      <c r="F3128">
        <v>1005</v>
      </c>
      <c r="G3128" t="s">
        <v>31</v>
      </c>
      <c r="H3128">
        <v>2040</v>
      </c>
      <c r="I3128" t="s">
        <v>26</v>
      </c>
      <c r="J3128">
        <v>3627</v>
      </c>
      <c r="K3128" t="s">
        <v>1443</v>
      </c>
      <c r="L3128">
        <v>4158</v>
      </c>
      <c r="M3128" t="s">
        <v>1444</v>
      </c>
      <c r="N3128" t="s">
        <v>1302</v>
      </c>
      <c r="O3128">
        <v>71</v>
      </c>
      <c r="P3128">
        <v>9171</v>
      </c>
      <c r="Q3128" t="s">
        <v>1303</v>
      </c>
      <c r="R3128" t="s">
        <v>201</v>
      </c>
      <c r="S3128">
        <v>2</v>
      </c>
      <c r="T3128">
        <v>1</v>
      </c>
      <c r="U3128">
        <v>152010</v>
      </c>
      <c r="V3128">
        <v>304020</v>
      </c>
    </row>
    <row r="3129" spans="1:22">
      <c r="A3129" t="s">
        <v>196</v>
      </c>
      <c r="B3129">
        <v>57</v>
      </c>
      <c r="C3129" t="s">
        <v>31</v>
      </c>
      <c r="D3129">
        <v>100</v>
      </c>
      <c r="E3129" t="s">
        <v>197</v>
      </c>
      <c r="F3129">
        <v>1005</v>
      </c>
      <c r="G3129" t="s">
        <v>31</v>
      </c>
      <c r="H3129">
        <v>2040</v>
      </c>
      <c r="I3129" t="s">
        <v>26</v>
      </c>
      <c r="J3129">
        <v>3627</v>
      </c>
      <c r="K3129" t="s">
        <v>1443</v>
      </c>
      <c r="L3129">
        <v>4158</v>
      </c>
      <c r="M3129" t="s">
        <v>1444</v>
      </c>
      <c r="N3129" t="s">
        <v>1302</v>
      </c>
      <c r="O3129">
        <v>71</v>
      </c>
      <c r="P3129">
        <v>9171</v>
      </c>
      <c r="Q3129" t="s">
        <v>1303</v>
      </c>
      <c r="R3129" t="s">
        <v>201</v>
      </c>
      <c r="S3129">
        <v>1</v>
      </c>
      <c r="T3129">
        <v>1</v>
      </c>
      <c r="U3129">
        <v>147252</v>
      </c>
      <c r="V3129">
        <v>147252</v>
      </c>
    </row>
    <row r="3130" spans="1:22">
      <c r="A3130" t="s">
        <v>196</v>
      </c>
      <c r="B3130">
        <v>57</v>
      </c>
      <c r="C3130" t="s">
        <v>31</v>
      </c>
      <c r="D3130">
        <v>100</v>
      </c>
      <c r="E3130" t="s">
        <v>197</v>
      </c>
      <c r="F3130">
        <v>1005</v>
      </c>
      <c r="G3130" t="s">
        <v>31</v>
      </c>
      <c r="H3130">
        <v>2040</v>
      </c>
      <c r="I3130" t="s">
        <v>26</v>
      </c>
      <c r="J3130">
        <v>3627</v>
      </c>
      <c r="K3130" t="s">
        <v>1443</v>
      </c>
      <c r="L3130">
        <v>4158</v>
      </c>
      <c r="M3130" t="s">
        <v>1444</v>
      </c>
      <c r="N3130" t="s">
        <v>1302</v>
      </c>
      <c r="O3130">
        <v>71</v>
      </c>
      <c r="P3130">
        <v>9171</v>
      </c>
      <c r="Q3130" t="s">
        <v>1303</v>
      </c>
      <c r="R3130" t="s">
        <v>201</v>
      </c>
      <c r="S3130">
        <v>2</v>
      </c>
      <c r="T3130">
        <v>1</v>
      </c>
      <c r="U3130">
        <v>138318</v>
      </c>
      <c r="V3130">
        <v>276636</v>
      </c>
    </row>
    <row r="3131" spans="1:22">
      <c r="A3131" t="s">
        <v>196</v>
      </c>
      <c r="B3131">
        <v>57</v>
      </c>
      <c r="C3131" t="s">
        <v>31</v>
      </c>
      <c r="D3131">
        <v>100</v>
      </c>
      <c r="E3131" t="s">
        <v>197</v>
      </c>
      <c r="F3131">
        <v>1005</v>
      </c>
      <c r="G3131" t="s">
        <v>31</v>
      </c>
      <c r="H3131">
        <v>2040</v>
      </c>
      <c r="I3131" t="s">
        <v>26</v>
      </c>
      <c r="J3131">
        <v>3627</v>
      </c>
      <c r="K3131" t="s">
        <v>1443</v>
      </c>
      <c r="L3131">
        <v>4158</v>
      </c>
      <c r="M3131" t="s">
        <v>1444</v>
      </c>
      <c r="N3131" t="s">
        <v>1309</v>
      </c>
      <c r="O3131">
        <v>91</v>
      </c>
      <c r="P3131">
        <v>9161</v>
      </c>
      <c r="Q3131" t="s">
        <v>1310</v>
      </c>
      <c r="R3131" t="s">
        <v>201</v>
      </c>
      <c r="S3131">
        <v>1</v>
      </c>
      <c r="T3131">
        <v>1</v>
      </c>
      <c r="U3131">
        <v>127146</v>
      </c>
      <c r="V3131">
        <v>127146</v>
      </c>
    </row>
    <row r="3132" spans="1:22">
      <c r="A3132" t="s">
        <v>196</v>
      </c>
      <c r="B3132">
        <v>57</v>
      </c>
      <c r="C3132" t="s">
        <v>31</v>
      </c>
      <c r="D3132">
        <v>100</v>
      </c>
      <c r="E3132" t="s">
        <v>197</v>
      </c>
      <c r="F3132">
        <v>1005</v>
      </c>
      <c r="G3132" t="s">
        <v>31</v>
      </c>
      <c r="H3132">
        <v>2040</v>
      </c>
      <c r="I3132" t="s">
        <v>26</v>
      </c>
      <c r="J3132">
        <v>3627</v>
      </c>
      <c r="K3132" t="s">
        <v>1443</v>
      </c>
      <c r="L3132">
        <v>4158</v>
      </c>
      <c r="M3132" t="s">
        <v>1444</v>
      </c>
      <c r="N3132" t="s">
        <v>1309</v>
      </c>
      <c r="O3132">
        <v>91</v>
      </c>
      <c r="P3132">
        <v>9161</v>
      </c>
      <c r="Q3132" t="s">
        <v>1310</v>
      </c>
      <c r="R3132" t="s">
        <v>201</v>
      </c>
      <c r="S3132">
        <v>3</v>
      </c>
      <c r="T3132">
        <v>1</v>
      </c>
      <c r="U3132">
        <v>123576</v>
      </c>
      <c r="V3132">
        <v>370728</v>
      </c>
    </row>
    <row r="3133" spans="1:22">
      <c r="A3133" t="s">
        <v>196</v>
      </c>
      <c r="B3133">
        <v>57</v>
      </c>
      <c r="C3133" t="s">
        <v>31</v>
      </c>
      <c r="D3133">
        <v>100</v>
      </c>
      <c r="E3133" t="s">
        <v>197</v>
      </c>
      <c r="F3133">
        <v>1005</v>
      </c>
      <c r="G3133" t="s">
        <v>31</v>
      </c>
      <c r="H3133">
        <v>2040</v>
      </c>
      <c r="I3133" t="s">
        <v>26</v>
      </c>
      <c r="J3133">
        <v>3627</v>
      </c>
      <c r="K3133" t="s">
        <v>1443</v>
      </c>
      <c r="L3133">
        <v>4158</v>
      </c>
      <c r="M3133" t="s">
        <v>1444</v>
      </c>
      <c r="N3133" t="s">
        <v>1309</v>
      </c>
      <c r="O3133">
        <v>91</v>
      </c>
      <c r="P3133">
        <v>9161</v>
      </c>
      <c r="Q3133" t="s">
        <v>1310</v>
      </c>
      <c r="R3133" t="s">
        <v>201</v>
      </c>
      <c r="S3133">
        <v>1</v>
      </c>
      <c r="T3133">
        <v>1</v>
      </c>
      <c r="U3133">
        <v>119154</v>
      </c>
      <c r="V3133">
        <v>119154</v>
      </c>
    </row>
    <row r="3134" spans="1:22">
      <c r="A3134" t="s">
        <v>196</v>
      </c>
      <c r="B3134">
        <v>57</v>
      </c>
      <c r="C3134" t="s">
        <v>31</v>
      </c>
      <c r="D3134">
        <v>100</v>
      </c>
      <c r="E3134" t="s">
        <v>197</v>
      </c>
      <c r="F3134">
        <v>1005</v>
      </c>
      <c r="G3134" t="s">
        <v>31</v>
      </c>
      <c r="H3134">
        <v>2040</v>
      </c>
      <c r="I3134" t="s">
        <v>26</v>
      </c>
      <c r="J3134">
        <v>3627</v>
      </c>
      <c r="K3134" t="s">
        <v>1443</v>
      </c>
      <c r="L3134">
        <v>4158</v>
      </c>
      <c r="M3134" t="s">
        <v>1444</v>
      </c>
      <c r="N3134" t="s">
        <v>1309</v>
      </c>
      <c r="O3134">
        <v>91</v>
      </c>
      <c r="P3134">
        <v>9161</v>
      </c>
      <c r="Q3134" t="s">
        <v>1310</v>
      </c>
      <c r="R3134" t="s">
        <v>201</v>
      </c>
      <c r="S3134">
        <v>2</v>
      </c>
      <c r="T3134">
        <v>1</v>
      </c>
      <c r="U3134">
        <v>115158</v>
      </c>
      <c r="V3134">
        <v>230316</v>
      </c>
    </row>
    <row r="3135" spans="1:22">
      <c r="A3135" t="s">
        <v>196</v>
      </c>
      <c r="B3135">
        <v>57</v>
      </c>
      <c r="C3135" t="s">
        <v>31</v>
      </c>
      <c r="D3135">
        <v>100</v>
      </c>
      <c r="E3135" t="s">
        <v>197</v>
      </c>
      <c r="F3135">
        <v>1005</v>
      </c>
      <c r="G3135" t="s">
        <v>31</v>
      </c>
      <c r="H3135">
        <v>2040</v>
      </c>
      <c r="I3135" t="s">
        <v>26</v>
      </c>
      <c r="J3135">
        <v>3627</v>
      </c>
      <c r="K3135" t="s">
        <v>1443</v>
      </c>
      <c r="L3135">
        <v>4158</v>
      </c>
      <c r="M3135" t="s">
        <v>1444</v>
      </c>
      <c r="N3135" t="s">
        <v>1309</v>
      </c>
      <c r="O3135">
        <v>91</v>
      </c>
      <c r="P3135">
        <v>9161</v>
      </c>
      <c r="Q3135" t="s">
        <v>1310</v>
      </c>
      <c r="R3135" t="s">
        <v>201</v>
      </c>
      <c r="S3135">
        <v>28</v>
      </c>
      <c r="T3135">
        <v>1</v>
      </c>
      <c r="U3135">
        <v>111252</v>
      </c>
      <c r="V3135">
        <v>3115056</v>
      </c>
    </row>
    <row r="3136" spans="1:22">
      <c r="A3136" t="s">
        <v>196</v>
      </c>
      <c r="B3136">
        <v>57</v>
      </c>
      <c r="C3136" t="s">
        <v>31</v>
      </c>
      <c r="D3136">
        <v>100</v>
      </c>
      <c r="E3136" t="s">
        <v>197</v>
      </c>
      <c r="F3136">
        <v>1005</v>
      </c>
      <c r="G3136" t="s">
        <v>31</v>
      </c>
      <c r="H3136">
        <v>2040</v>
      </c>
      <c r="I3136" t="s">
        <v>26</v>
      </c>
      <c r="J3136">
        <v>3627</v>
      </c>
      <c r="K3136" t="s">
        <v>1443</v>
      </c>
      <c r="L3136">
        <v>4158</v>
      </c>
      <c r="M3136" t="s">
        <v>1444</v>
      </c>
      <c r="N3136" t="s">
        <v>1309</v>
      </c>
      <c r="O3136">
        <v>91</v>
      </c>
      <c r="P3136">
        <v>9161</v>
      </c>
      <c r="Q3136" t="s">
        <v>1310</v>
      </c>
      <c r="R3136" t="s">
        <v>201</v>
      </c>
      <c r="S3136">
        <v>4</v>
      </c>
      <c r="T3136">
        <v>1</v>
      </c>
      <c r="U3136">
        <v>63636</v>
      </c>
      <c r="V3136">
        <v>254544</v>
      </c>
    </row>
    <row r="3137" spans="1:22">
      <c r="A3137" t="s">
        <v>196</v>
      </c>
      <c r="B3137">
        <v>57</v>
      </c>
      <c r="C3137" t="s">
        <v>31</v>
      </c>
      <c r="D3137">
        <v>100</v>
      </c>
      <c r="E3137" t="s">
        <v>197</v>
      </c>
      <c r="F3137">
        <v>1005</v>
      </c>
      <c r="G3137" t="s">
        <v>31</v>
      </c>
      <c r="H3137">
        <v>2040</v>
      </c>
      <c r="I3137" t="s">
        <v>26</v>
      </c>
      <c r="J3137">
        <v>3627</v>
      </c>
      <c r="K3137" t="s">
        <v>1443</v>
      </c>
      <c r="L3137">
        <v>4158</v>
      </c>
      <c r="M3137" t="s">
        <v>1444</v>
      </c>
      <c r="N3137" t="s">
        <v>839</v>
      </c>
      <c r="O3137">
        <v>0</v>
      </c>
      <c r="P3137">
        <v>9006</v>
      </c>
      <c r="Q3137" t="s">
        <v>1400</v>
      </c>
      <c r="R3137" t="s">
        <v>713</v>
      </c>
      <c r="S3137">
        <v>24960</v>
      </c>
      <c r="T3137">
        <v>0</v>
      </c>
      <c r="U3137">
        <v>37</v>
      </c>
      <c r="V3137">
        <v>923520</v>
      </c>
    </row>
    <row r="3138" spans="1:22">
      <c r="A3138" t="s">
        <v>196</v>
      </c>
      <c r="B3138">
        <v>57</v>
      </c>
      <c r="C3138" t="s">
        <v>31</v>
      </c>
      <c r="D3138">
        <v>100</v>
      </c>
      <c r="E3138" t="s">
        <v>197</v>
      </c>
      <c r="F3138">
        <v>1005</v>
      </c>
      <c r="G3138" t="s">
        <v>31</v>
      </c>
      <c r="H3138">
        <v>2040</v>
      </c>
      <c r="I3138" t="s">
        <v>26</v>
      </c>
      <c r="J3138">
        <v>3629</v>
      </c>
      <c r="K3138" t="s">
        <v>1445</v>
      </c>
      <c r="L3138">
        <v>4159</v>
      </c>
      <c r="M3138" t="s">
        <v>1446</v>
      </c>
      <c r="N3138" t="s">
        <v>1294</v>
      </c>
      <c r="O3138">
        <v>9</v>
      </c>
      <c r="P3138">
        <v>9675</v>
      </c>
      <c r="Q3138" t="s">
        <v>327</v>
      </c>
      <c r="R3138" t="s">
        <v>201</v>
      </c>
      <c r="S3138">
        <v>1</v>
      </c>
      <c r="T3138">
        <v>1</v>
      </c>
      <c r="U3138">
        <v>153000</v>
      </c>
      <c r="V3138">
        <v>153000</v>
      </c>
    </row>
    <row r="3139" spans="1:22">
      <c r="A3139" t="s">
        <v>196</v>
      </c>
      <c r="B3139">
        <v>57</v>
      </c>
      <c r="C3139" t="s">
        <v>31</v>
      </c>
      <c r="D3139">
        <v>100</v>
      </c>
      <c r="E3139" t="s">
        <v>197</v>
      </c>
      <c r="F3139">
        <v>1005</v>
      </c>
      <c r="G3139" t="s">
        <v>31</v>
      </c>
      <c r="H3139">
        <v>2040</v>
      </c>
      <c r="I3139" t="s">
        <v>26</v>
      </c>
      <c r="J3139">
        <v>3629</v>
      </c>
      <c r="K3139" t="s">
        <v>1445</v>
      </c>
      <c r="L3139">
        <v>4159</v>
      </c>
      <c r="M3139" t="s">
        <v>1446</v>
      </c>
      <c r="N3139" t="s">
        <v>1304</v>
      </c>
      <c r="O3139">
        <v>73</v>
      </c>
      <c r="P3139">
        <v>9173</v>
      </c>
      <c r="Q3139" t="s">
        <v>1323</v>
      </c>
      <c r="R3139" t="s">
        <v>201</v>
      </c>
      <c r="S3139">
        <v>1</v>
      </c>
      <c r="T3139">
        <v>1</v>
      </c>
      <c r="U3139">
        <v>160746</v>
      </c>
      <c r="V3139">
        <v>160746</v>
      </c>
    </row>
    <row r="3140" spans="1:22">
      <c r="A3140" t="s">
        <v>196</v>
      </c>
      <c r="B3140">
        <v>57</v>
      </c>
      <c r="C3140" t="s">
        <v>31</v>
      </c>
      <c r="D3140">
        <v>100</v>
      </c>
      <c r="E3140" t="s">
        <v>197</v>
      </c>
      <c r="F3140">
        <v>1005</v>
      </c>
      <c r="G3140" t="s">
        <v>31</v>
      </c>
      <c r="H3140">
        <v>2040</v>
      </c>
      <c r="I3140" t="s">
        <v>26</v>
      </c>
      <c r="J3140">
        <v>3629</v>
      </c>
      <c r="K3140" t="s">
        <v>1445</v>
      </c>
      <c r="L3140">
        <v>4159</v>
      </c>
      <c r="M3140" t="s">
        <v>1446</v>
      </c>
      <c r="N3140" t="s">
        <v>1302</v>
      </c>
      <c r="O3140">
        <v>71</v>
      </c>
      <c r="P3140">
        <v>9171</v>
      </c>
      <c r="Q3140" t="s">
        <v>1303</v>
      </c>
      <c r="R3140" t="s">
        <v>201</v>
      </c>
      <c r="S3140">
        <v>1</v>
      </c>
      <c r="T3140">
        <v>1</v>
      </c>
      <c r="U3140">
        <v>152010</v>
      </c>
      <c r="V3140">
        <v>152010</v>
      </c>
    </row>
    <row r="3141" spans="1:22">
      <c r="A3141" t="s">
        <v>196</v>
      </c>
      <c r="B3141">
        <v>57</v>
      </c>
      <c r="C3141" t="s">
        <v>31</v>
      </c>
      <c r="D3141">
        <v>100</v>
      </c>
      <c r="E3141" t="s">
        <v>197</v>
      </c>
      <c r="F3141">
        <v>1005</v>
      </c>
      <c r="G3141" t="s">
        <v>31</v>
      </c>
      <c r="H3141">
        <v>2040</v>
      </c>
      <c r="I3141" t="s">
        <v>26</v>
      </c>
      <c r="J3141">
        <v>3629</v>
      </c>
      <c r="K3141" t="s">
        <v>1445</v>
      </c>
      <c r="L3141">
        <v>4159</v>
      </c>
      <c r="M3141" t="s">
        <v>1446</v>
      </c>
      <c r="N3141" t="s">
        <v>1302</v>
      </c>
      <c r="O3141">
        <v>71</v>
      </c>
      <c r="P3141">
        <v>9171</v>
      </c>
      <c r="Q3141" t="s">
        <v>1303</v>
      </c>
      <c r="R3141" t="s">
        <v>201</v>
      </c>
      <c r="S3141">
        <v>1</v>
      </c>
      <c r="T3141">
        <v>1</v>
      </c>
      <c r="U3141">
        <v>142668</v>
      </c>
      <c r="V3141">
        <v>142668</v>
      </c>
    </row>
    <row r="3142" spans="1:22">
      <c r="A3142" t="s">
        <v>196</v>
      </c>
      <c r="B3142">
        <v>57</v>
      </c>
      <c r="C3142" t="s">
        <v>31</v>
      </c>
      <c r="D3142">
        <v>100</v>
      </c>
      <c r="E3142" t="s">
        <v>197</v>
      </c>
      <c r="F3142">
        <v>1005</v>
      </c>
      <c r="G3142" t="s">
        <v>31</v>
      </c>
      <c r="H3142">
        <v>2040</v>
      </c>
      <c r="I3142" t="s">
        <v>26</v>
      </c>
      <c r="J3142">
        <v>3629</v>
      </c>
      <c r="K3142" t="s">
        <v>1445</v>
      </c>
      <c r="L3142">
        <v>4159</v>
      </c>
      <c r="M3142" t="s">
        <v>1446</v>
      </c>
      <c r="N3142" t="s">
        <v>1302</v>
      </c>
      <c r="O3142">
        <v>71</v>
      </c>
      <c r="P3142">
        <v>9171</v>
      </c>
      <c r="Q3142" t="s">
        <v>1303</v>
      </c>
      <c r="R3142" t="s">
        <v>201</v>
      </c>
      <c r="S3142">
        <v>1</v>
      </c>
      <c r="T3142">
        <v>1</v>
      </c>
      <c r="U3142">
        <v>138318</v>
      </c>
      <c r="V3142">
        <v>138318</v>
      </c>
    </row>
    <row r="3143" spans="1:22">
      <c r="A3143" t="s">
        <v>196</v>
      </c>
      <c r="B3143">
        <v>57</v>
      </c>
      <c r="C3143" t="s">
        <v>31</v>
      </c>
      <c r="D3143">
        <v>100</v>
      </c>
      <c r="E3143" t="s">
        <v>197</v>
      </c>
      <c r="F3143">
        <v>1005</v>
      </c>
      <c r="G3143" t="s">
        <v>31</v>
      </c>
      <c r="H3143">
        <v>2040</v>
      </c>
      <c r="I3143" t="s">
        <v>26</v>
      </c>
      <c r="J3143">
        <v>3629</v>
      </c>
      <c r="K3143" t="s">
        <v>1445</v>
      </c>
      <c r="L3143">
        <v>4159</v>
      </c>
      <c r="M3143" t="s">
        <v>1446</v>
      </c>
      <c r="N3143" t="s">
        <v>1309</v>
      </c>
      <c r="O3143">
        <v>91</v>
      </c>
      <c r="P3143">
        <v>9161</v>
      </c>
      <c r="Q3143" t="s">
        <v>1310</v>
      </c>
      <c r="R3143" t="s">
        <v>201</v>
      </c>
      <c r="S3143">
        <v>3</v>
      </c>
      <c r="T3143">
        <v>1</v>
      </c>
      <c r="U3143">
        <v>123576</v>
      </c>
      <c r="V3143">
        <v>370728</v>
      </c>
    </row>
    <row r="3144" spans="1:22">
      <c r="A3144" t="s">
        <v>196</v>
      </c>
      <c r="B3144">
        <v>57</v>
      </c>
      <c r="C3144" t="s">
        <v>31</v>
      </c>
      <c r="D3144">
        <v>100</v>
      </c>
      <c r="E3144" t="s">
        <v>197</v>
      </c>
      <c r="F3144">
        <v>1005</v>
      </c>
      <c r="G3144" t="s">
        <v>31</v>
      </c>
      <c r="H3144">
        <v>2040</v>
      </c>
      <c r="I3144" t="s">
        <v>26</v>
      </c>
      <c r="J3144">
        <v>3629</v>
      </c>
      <c r="K3144" t="s">
        <v>1445</v>
      </c>
      <c r="L3144">
        <v>4159</v>
      </c>
      <c r="M3144" t="s">
        <v>1446</v>
      </c>
      <c r="N3144" t="s">
        <v>1309</v>
      </c>
      <c r="O3144">
        <v>91</v>
      </c>
      <c r="P3144">
        <v>9161</v>
      </c>
      <c r="Q3144" t="s">
        <v>1310</v>
      </c>
      <c r="R3144" t="s">
        <v>201</v>
      </c>
      <c r="S3144">
        <v>2</v>
      </c>
      <c r="T3144">
        <v>1</v>
      </c>
      <c r="U3144">
        <v>119154</v>
      </c>
      <c r="V3144">
        <v>238308</v>
      </c>
    </row>
    <row r="3145" spans="1:22">
      <c r="A3145" t="s">
        <v>196</v>
      </c>
      <c r="B3145">
        <v>57</v>
      </c>
      <c r="C3145" t="s">
        <v>31</v>
      </c>
      <c r="D3145">
        <v>100</v>
      </c>
      <c r="E3145" t="s">
        <v>197</v>
      </c>
      <c r="F3145">
        <v>1005</v>
      </c>
      <c r="G3145" t="s">
        <v>31</v>
      </c>
      <c r="H3145">
        <v>2040</v>
      </c>
      <c r="I3145" t="s">
        <v>26</v>
      </c>
      <c r="J3145">
        <v>3629</v>
      </c>
      <c r="K3145" t="s">
        <v>1445</v>
      </c>
      <c r="L3145">
        <v>4159</v>
      </c>
      <c r="M3145" t="s">
        <v>1446</v>
      </c>
      <c r="N3145" t="s">
        <v>1309</v>
      </c>
      <c r="O3145">
        <v>91</v>
      </c>
      <c r="P3145">
        <v>9161</v>
      </c>
      <c r="Q3145" t="s">
        <v>1310</v>
      </c>
      <c r="R3145" t="s">
        <v>201</v>
      </c>
      <c r="S3145">
        <v>3</v>
      </c>
      <c r="T3145">
        <v>1</v>
      </c>
      <c r="U3145">
        <v>115158</v>
      </c>
      <c r="V3145">
        <v>345474</v>
      </c>
    </row>
    <row r="3146" spans="1:22">
      <c r="A3146" t="s">
        <v>196</v>
      </c>
      <c r="B3146">
        <v>57</v>
      </c>
      <c r="C3146" t="s">
        <v>31</v>
      </c>
      <c r="D3146">
        <v>100</v>
      </c>
      <c r="E3146" t="s">
        <v>197</v>
      </c>
      <c r="F3146">
        <v>1005</v>
      </c>
      <c r="G3146" t="s">
        <v>31</v>
      </c>
      <c r="H3146">
        <v>2040</v>
      </c>
      <c r="I3146" t="s">
        <v>26</v>
      </c>
      <c r="J3146">
        <v>3629</v>
      </c>
      <c r="K3146" t="s">
        <v>1445</v>
      </c>
      <c r="L3146">
        <v>4159</v>
      </c>
      <c r="M3146" t="s">
        <v>1446</v>
      </c>
      <c r="N3146" t="s">
        <v>1309</v>
      </c>
      <c r="O3146">
        <v>91</v>
      </c>
      <c r="P3146">
        <v>9161</v>
      </c>
      <c r="Q3146" t="s">
        <v>1310</v>
      </c>
      <c r="R3146" t="s">
        <v>201</v>
      </c>
      <c r="S3146">
        <v>7</v>
      </c>
      <c r="T3146">
        <v>1</v>
      </c>
      <c r="U3146">
        <v>111252</v>
      </c>
      <c r="V3146">
        <v>778764</v>
      </c>
    </row>
    <row r="3147" spans="1:22">
      <c r="A3147" t="s">
        <v>196</v>
      </c>
      <c r="B3147">
        <v>57</v>
      </c>
      <c r="C3147" t="s">
        <v>31</v>
      </c>
      <c r="D3147">
        <v>100</v>
      </c>
      <c r="E3147" t="s">
        <v>197</v>
      </c>
      <c r="F3147">
        <v>1005</v>
      </c>
      <c r="G3147" t="s">
        <v>31</v>
      </c>
      <c r="H3147">
        <v>2040</v>
      </c>
      <c r="I3147" t="s">
        <v>26</v>
      </c>
      <c r="J3147">
        <v>3629</v>
      </c>
      <c r="K3147" t="s">
        <v>1445</v>
      </c>
      <c r="L3147">
        <v>4159</v>
      </c>
      <c r="M3147" t="s">
        <v>1446</v>
      </c>
      <c r="N3147" t="s">
        <v>702</v>
      </c>
      <c r="O3147">
        <v>4</v>
      </c>
      <c r="P3147">
        <v>2921</v>
      </c>
      <c r="Q3147" t="s">
        <v>1378</v>
      </c>
      <c r="R3147" t="s">
        <v>201</v>
      </c>
      <c r="S3147">
        <v>2</v>
      </c>
      <c r="T3147">
        <v>1</v>
      </c>
      <c r="U3147">
        <v>108708</v>
      </c>
      <c r="V3147">
        <v>217416</v>
      </c>
    </row>
    <row r="3148" spans="1:22">
      <c r="A3148" t="s">
        <v>196</v>
      </c>
      <c r="B3148">
        <v>57</v>
      </c>
      <c r="C3148" t="s">
        <v>31</v>
      </c>
      <c r="D3148">
        <v>100</v>
      </c>
      <c r="E3148" t="s">
        <v>197</v>
      </c>
      <c r="F3148">
        <v>1005</v>
      </c>
      <c r="G3148" t="s">
        <v>31</v>
      </c>
      <c r="H3148">
        <v>2040</v>
      </c>
      <c r="I3148" t="s">
        <v>26</v>
      </c>
      <c r="J3148">
        <v>3629</v>
      </c>
      <c r="K3148" t="s">
        <v>1445</v>
      </c>
      <c r="L3148">
        <v>4159</v>
      </c>
      <c r="M3148" t="s">
        <v>1446</v>
      </c>
      <c r="N3148" t="s">
        <v>261</v>
      </c>
      <c r="O3148">
        <v>20</v>
      </c>
      <c r="P3148">
        <v>2903</v>
      </c>
      <c r="Q3148" t="s">
        <v>1428</v>
      </c>
      <c r="R3148" t="s">
        <v>201</v>
      </c>
      <c r="S3148">
        <v>1</v>
      </c>
      <c r="T3148">
        <v>1</v>
      </c>
      <c r="U3148">
        <v>122556</v>
      </c>
      <c r="V3148">
        <v>122556</v>
      </c>
    </row>
    <row r="3149" spans="1:22">
      <c r="A3149" t="s">
        <v>196</v>
      </c>
      <c r="B3149">
        <v>57</v>
      </c>
      <c r="C3149" t="s">
        <v>31</v>
      </c>
      <c r="D3149">
        <v>100</v>
      </c>
      <c r="E3149" t="s">
        <v>197</v>
      </c>
      <c r="F3149">
        <v>1005</v>
      </c>
      <c r="G3149" t="s">
        <v>31</v>
      </c>
      <c r="H3149">
        <v>2040</v>
      </c>
      <c r="I3149" t="s">
        <v>26</v>
      </c>
      <c r="J3149">
        <v>3629</v>
      </c>
      <c r="K3149" t="s">
        <v>1445</v>
      </c>
      <c r="L3149">
        <v>4159</v>
      </c>
      <c r="M3149" t="s">
        <v>1446</v>
      </c>
      <c r="N3149" t="s">
        <v>261</v>
      </c>
      <c r="O3149">
        <v>20</v>
      </c>
      <c r="P3149">
        <v>2903</v>
      </c>
      <c r="Q3149" t="s">
        <v>1428</v>
      </c>
      <c r="R3149" t="s">
        <v>201</v>
      </c>
      <c r="S3149">
        <v>3</v>
      </c>
      <c r="T3149">
        <v>1</v>
      </c>
      <c r="U3149">
        <v>111000</v>
      </c>
      <c r="V3149">
        <v>333000</v>
      </c>
    </row>
    <row r="3150" spans="1:22">
      <c r="A3150" t="s">
        <v>196</v>
      </c>
      <c r="B3150">
        <v>57</v>
      </c>
      <c r="C3150" t="s">
        <v>31</v>
      </c>
      <c r="D3150">
        <v>100</v>
      </c>
      <c r="E3150" t="s">
        <v>197</v>
      </c>
      <c r="F3150">
        <v>1005</v>
      </c>
      <c r="G3150" t="s">
        <v>31</v>
      </c>
      <c r="H3150">
        <v>2040</v>
      </c>
      <c r="I3150" t="s">
        <v>26</v>
      </c>
      <c r="J3150">
        <v>3629</v>
      </c>
      <c r="K3150" t="s">
        <v>1445</v>
      </c>
      <c r="L3150">
        <v>4159</v>
      </c>
      <c r="M3150" t="s">
        <v>1446</v>
      </c>
      <c r="N3150" t="s">
        <v>261</v>
      </c>
      <c r="O3150">
        <v>20</v>
      </c>
      <c r="P3150">
        <v>2903</v>
      </c>
      <c r="Q3150" t="s">
        <v>1428</v>
      </c>
      <c r="R3150" t="s">
        <v>201</v>
      </c>
      <c r="S3150">
        <v>6</v>
      </c>
      <c r="T3150">
        <v>1</v>
      </c>
      <c r="U3150">
        <v>93156</v>
      </c>
      <c r="V3150">
        <v>558936</v>
      </c>
    </row>
    <row r="3151" spans="1:22">
      <c r="A3151" t="s">
        <v>196</v>
      </c>
      <c r="B3151">
        <v>57</v>
      </c>
      <c r="C3151" t="s">
        <v>31</v>
      </c>
      <c r="D3151">
        <v>100</v>
      </c>
      <c r="E3151" t="s">
        <v>197</v>
      </c>
      <c r="F3151">
        <v>1005</v>
      </c>
      <c r="G3151" t="s">
        <v>31</v>
      </c>
      <c r="H3151">
        <v>2040</v>
      </c>
      <c r="I3151" t="s">
        <v>26</v>
      </c>
      <c r="J3151">
        <v>3629</v>
      </c>
      <c r="K3151" t="s">
        <v>1445</v>
      </c>
      <c r="L3151">
        <v>4159</v>
      </c>
      <c r="M3151" t="s">
        <v>1446</v>
      </c>
      <c r="N3151" t="s">
        <v>255</v>
      </c>
      <c r="O3151">
        <v>1</v>
      </c>
      <c r="P3151">
        <v>729</v>
      </c>
      <c r="Q3151" t="s">
        <v>256</v>
      </c>
      <c r="R3151" t="s">
        <v>201</v>
      </c>
      <c r="S3151">
        <v>4</v>
      </c>
      <c r="T3151">
        <v>1</v>
      </c>
      <c r="U3151">
        <v>82644</v>
      </c>
      <c r="V3151">
        <v>330576</v>
      </c>
    </row>
    <row r="3152" spans="1:22">
      <c r="A3152" t="s">
        <v>196</v>
      </c>
      <c r="B3152">
        <v>57</v>
      </c>
      <c r="C3152" t="s">
        <v>31</v>
      </c>
      <c r="D3152">
        <v>100</v>
      </c>
      <c r="E3152" t="s">
        <v>197</v>
      </c>
      <c r="F3152">
        <v>1005</v>
      </c>
      <c r="G3152" t="s">
        <v>31</v>
      </c>
      <c r="H3152">
        <v>2040</v>
      </c>
      <c r="I3152" t="s">
        <v>26</v>
      </c>
      <c r="J3152">
        <v>3629</v>
      </c>
      <c r="K3152" t="s">
        <v>1445</v>
      </c>
      <c r="L3152">
        <v>4159</v>
      </c>
      <c r="M3152" t="s">
        <v>1446</v>
      </c>
      <c r="N3152" t="s">
        <v>622</v>
      </c>
      <c r="O3152">
        <v>1</v>
      </c>
      <c r="P3152" t="s">
        <v>667</v>
      </c>
      <c r="Q3152" t="s">
        <v>205</v>
      </c>
      <c r="R3152" t="s">
        <v>201</v>
      </c>
      <c r="S3152">
        <v>1</v>
      </c>
      <c r="T3152">
        <v>1</v>
      </c>
      <c r="U3152">
        <v>90144</v>
      </c>
      <c r="V3152">
        <v>90144</v>
      </c>
    </row>
    <row r="3153" spans="1:22">
      <c r="A3153" t="s">
        <v>196</v>
      </c>
      <c r="B3153">
        <v>57</v>
      </c>
      <c r="C3153" t="s">
        <v>31</v>
      </c>
      <c r="D3153">
        <v>100</v>
      </c>
      <c r="E3153" t="s">
        <v>197</v>
      </c>
      <c r="F3153">
        <v>1005</v>
      </c>
      <c r="G3153" t="s">
        <v>31</v>
      </c>
      <c r="H3153">
        <v>2040</v>
      </c>
      <c r="I3153" t="s">
        <v>26</v>
      </c>
      <c r="J3153">
        <v>3629</v>
      </c>
      <c r="K3153" t="s">
        <v>1445</v>
      </c>
      <c r="L3153">
        <v>4159</v>
      </c>
      <c r="M3153" t="s">
        <v>1446</v>
      </c>
      <c r="N3153" t="s">
        <v>1314</v>
      </c>
      <c r="O3153">
        <v>0</v>
      </c>
      <c r="P3153" t="s">
        <v>1315</v>
      </c>
      <c r="Q3153" t="s">
        <v>636</v>
      </c>
      <c r="R3153" t="s">
        <v>201</v>
      </c>
      <c r="S3153">
        <v>1</v>
      </c>
      <c r="T3153">
        <v>1</v>
      </c>
      <c r="U3153">
        <v>160680</v>
      </c>
      <c r="V3153">
        <v>160680</v>
      </c>
    </row>
    <row r="3154" spans="1:22">
      <c r="A3154" t="s">
        <v>196</v>
      </c>
      <c r="B3154">
        <v>57</v>
      </c>
      <c r="C3154" t="s">
        <v>31</v>
      </c>
      <c r="D3154">
        <v>100</v>
      </c>
      <c r="E3154" t="s">
        <v>197</v>
      </c>
      <c r="F3154">
        <v>1005</v>
      </c>
      <c r="G3154" t="s">
        <v>31</v>
      </c>
      <c r="H3154">
        <v>2040</v>
      </c>
      <c r="I3154" t="s">
        <v>26</v>
      </c>
      <c r="J3154">
        <v>3629</v>
      </c>
      <c r="K3154" t="s">
        <v>1445</v>
      </c>
      <c r="L3154">
        <v>4159</v>
      </c>
      <c r="M3154" t="s">
        <v>1446</v>
      </c>
      <c r="N3154" t="s">
        <v>199</v>
      </c>
      <c r="O3154">
        <v>0</v>
      </c>
      <c r="P3154">
        <v>15</v>
      </c>
      <c r="Q3154" t="s">
        <v>264</v>
      </c>
      <c r="R3154" t="s">
        <v>201</v>
      </c>
      <c r="S3154">
        <v>0</v>
      </c>
      <c r="T3154">
        <v>0</v>
      </c>
      <c r="U3154">
        <v>32253</v>
      </c>
      <c r="V3154">
        <v>32253</v>
      </c>
    </row>
    <row r="3155" spans="1:22">
      <c r="A3155" t="s">
        <v>196</v>
      </c>
      <c r="B3155">
        <v>58</v>
      </c>
      <c r="C3155" t="s">
        <v>9</v>
      </c>
      <c r="D3155">
        <v>100</v>
      </c>
      <c r="E3155" t="s">
        <v>197</v>
      </c>
      <c r="F3155">
        <v>1010</v>
      </c>
      <c r="G3155" t="s">
        <v>9</v>
      </c>
      <c r="H3155">
        <v>2705</v>
      </c>
      <c r="I3155" t="s">
        <v>9</v>
      </c>
      <c r="J3155">
        <v>3005</v>
      </c>
      <c r="K3155" t="s">
        <v>1447</v>
      </c>
      <c r="L3155">
        <v>4005</v>
      </c>
      <c r="M3155" t="s">
        <v>1193</v>
      </c>
      <c r="N3155" t="s">
        <v>199</v>
      </c>
      <c r="O3155">
        <v>0</v>
      </c>
      <c r="P3155">
        <v>9958</v>
      </c>
      <c r="Q3155" t="s">
        <v>1448</v>
      </c>
      <c r="R3155" t="s">
        <v>201</v>
      </c>
      <c r="S3155">
        <v>1</v>
      </c>
      <c r="T3155">
        <v>1</v>
      </c>
      <c r="U3155">
        <v>211848</v>
      </c>
      <c r="V3155">
        <v>211848</v>
      </c>
    </row>
    <row r="3156" spans="1:22">
      <c r="A3156" t="s">
        <v>196</v>
      </c>
      <c r="B3156">
        <v>58</v>
      </c>
      <c r="C3156" t="s">
        <v>9</v>
      </c>
      <c r="D3156">
        <v>100</v>
      </c>
      <c r="E3156" t="s">
        <v>197</v>
      </c>
      <c r="F3156">
        <v>1010</v>
      </c>
      <c r="G3156" t="s">
        <v>9</v>
      </c>
      <c r="H3156">
        <v>2705</v>
      </c>
      <c r="I3156" t="s">
        <v>9</v>
      </c>
      <c r="J3156">
        <v>3005</v>
      </c>
      <c r="K3156" t="s">
        <v>1447</v>
      </c>
      <c r="L3156">
        <v>4005</v>
      </c>
      <c r="M3156" t="s">
        <v>1193</v>
      </c>
      <c r="N3156" t="s">
        <v>311</v>
      </c>
      <c r="O3156">
        <v>0</v>
      </c>
      <c r="P3156">
        <v>9812</v>
      </c>
      <c r="Q3156" t="s">
        <v>640</v>
      </c>
      <c r="R3156" t="s">
        <v>201</v>
      </c>
      <c r="S3156">
        <v>1</v>
      </c>
      <c r="T3156">
        <v>1</v>
      </c>
      <c r="U3156">
        <v>168924</v>
      </c>
      <c r="V3156">
        <v>168924</v>
      </c>
    </row>
    <row r="3157" spans="1:22">
      <c r="A3157" t="s">
        <v>196</v>
      </c>
      <c r="B3157">
        <v>58</v>
      </c>
      <c r="C3157" t="s">
        <v>9</v>
      </c>
      <c r="D3157">
        <v>100</v>
      </c>
      <c r="E3157" t="s">
        <v>197</v>
      </c>
      <c r="F3157">
        <v>1010</v>
      </c>
      <c r="G3157" t="s">
        <v>9</v>
      </c>
      <c r="H3157">
        <v>2705</v>
      </c>
      <c r="I3157" t="s">
        <v>9</v>
      </c>
      <c r="J3157">
        <v>3005</v>
      </c>
      <c r="K3157" t="s">
        <v>1447</v>
      </c>
      <c r="L3157">
        <v>4005</v>
      </c>
      <c r="M3157" t="s">
        <v>1193</v>
      </c>
      <c r="N3157" t="s">
        <v>266</v>
      </c>
      <c r="O3157">
        <v>9</v>
      </c>
      <c r="P3157">
        <v>9684</v>
      </c>
      <c r="Q3157" t="s">
        <v>327</v>
      </c>
      <c r="R3157" t="s">
        <v>201</v>
      </c>
      <c r="S3157">
        <v>1</v>
      </c>
      <c r="T3157">
        <v>1</v>
      </c>
      <c r="U3157">
        <v>175512</v>
      </c>
      <c r="V3157">
        <v>175512</v>
      </c>
    </row>
    <row r="3158" spans="1:22">
      <c r="A3158" t="s">
        <v>196</v>
      </c>
      <c r="B3158">
        <v>58</v>
      </c>
      <c r="C3158" t="s">
        <v>9</v>
      </c>
      <c r="D3158">
        <v>100</v>
      </c>
      <c r="E3158" t="s">
        <v>197</v>
      </c>
      <c r="F3158">
        <v>1010</v>
      </c>
      <c r="G3158" t="s">
        <v>9</v>
      </c>
      <c r="H3158">
        <v>2705</v>
      </c>
      <c r="I3158" t="s">
        <v>9</v>
      </c>
      <c r="J3158">
        <v>3005</v>
      </c>
      <c r="K3158" t="s">
        <v>1447</v>
      </c>
      <c r="L3158">
        <v>4005</v>
      </c>
      <c r="M3158" t="s">
        <v>1193</v>
      </c>
      <c r="N3158" t="s">
        <v>199</v>
      </c>
      <c r="O3158">
        <v>0</v>
      </c>
      <c r="P3158">
        <v>15</v>
      </c>
      <c r="Q3158" t="s">
        <v>264</v>
      </c>
      <c r="R3158" t="s">
        <v>201</v>
      </c>
      <c r="S3158">
        <v>0</v>
      </c>
      <c r="T3158">
        <v>0</v>
      </c>
      <c r="U3158">
        <v>3409</v>
      </c>
      <c r="V3158">
        <v>3409</v>
      </c>
    </row>
    <row r="3159" spans="1:22">
      <c r="A3159" t="s">
        <v>196</v>
      </c>
      <c r="B3159">
        <v>58</v>
      </c>
      <c r="C3159" t="s">
        <v>9</v>
      </c>
      <c r="D3159">
        <v>100</v>
      </c>
      <c r="E3159" t="s">
        <v>197</v>
      </c>
      <c r="F3159">
        <v>1010</v>
      </c>
      <c r="G3159" t="s">
        <v>9</v>
      </c>
      <c r="H3159">
        <v>2705</v>
      </c>
      <c r="I3159" t="s">
        <v>9</v>
      </c>
      <c r="J3159">
        <v>3020</v>
      </c>
      <c r="K3159" t="s">
        <v>783</v>
      </c>
      <c r="L3159">
        <v>4011</v>
      </c>
      <c r="M3159" t="s">
        <v>267</v>
      </c>
      <c r="N3159" t="s">
        <v>266</v>
      </c>
      <c r="O3159">
        <v>9</v>
      </c>
      <c r="P3159">
        <v>9684</v>
      </c>
      <c r="Q3159" t="s">
        <v>327</v>
      </c>
      <c r="R3159" t="s">
        <v>201</v>
      </c>
      <c r="S3159">
        <v>1</v>
      </c>
      <c r="T3159">
        <v>1</v>
      </c>
      <c r="U3159">
        <v>175512</v>
      </c>
      <c r="V3159">
        <v>175512</v>
      </c>
    </row>
    <row r="3160" spans="1:22">
      <c r="A3160" t="s">
        <v>196</v>
      </c>
      <c r="B3160">
        <v>58</v>
      </c>
      <c r="C3160" t="s">
        <v>9</v>
      </c>
      <c r="D3160">
        <v>100</v>
      </c>
      <c r="E3160" t="s">
        <v>197</v>
      </c>
      <c r="F3160">
        <v>1010</v>
      </c>
      <c r="G3160" t="s">
        <v>9</v>
      </c>
      <c r="H3160">
        <v>2705</v>
      </c>
      <c r="I3160" t="s">
        <v>9</v>
      </c>
      <c r="J3160">
        <v>3020</v>
      </c>
      <c r="K3160" t="s">
        <v>783</v>
      </c>
      <c r="L3160">
        <v>4011</v>
      </c>
      <c r="M3160" t="s">
        <v>267</v>
      </c>
      <c r="N3160" t="s">
        <v>253</v>
      </c>
      <c r="O3160">
        <v>20</v>
      </c>
      <c r="P3160">
        <v>1331</v>
      </c>
      <c r="Q3160" t="s">
        <v>653</v>
      </c>
      <c r="R3160" t="s">
        <v>201</v>
      </c>
      <c r="S3160">
        <v>1</v>
      </c>
      <c r="T3160">
        <v>1</v>
      </c>
      <c r="U3160">
        <v>103488</v>
      </c>
      <c r="V3160">
        <v>103488</v>
      </c>
    </row>
    <row r="3161" spans="1:22">
      <c r="A3161" t="s">
        <v>196</v>
      </c>
      <c r="B3161">
        <v>58</v>
      </c>
      <c r="C3161" t="s">
        <v>9</v>
      </c>
      <c r="D3161">
        <v>100</v>
      </c>
      <c r="E3161" t="s">
        <v>197</v>
      </c>
      <c r="F3161">
        <v>1010</v>
      </c>
      <c r="G3161" t="s">
        <v>9</v>
      </c>
      <c r="H3161">
        <v>2705</v>
      </c>
      <c r="I3161" t="s">
        <v>9</v>
      </c>
      <c r="J3161">
        <v>3020</v>
      </c>
      <c r="K3161" t="s">
        <v>783</v>
      </c>
      <c r="L3161">
        <v>4011</v>
      </c>
      <c r="M3161" t="s">
        <v>267</v>
      </c>
      <c r="N3161" t="s">
        <v>199</v>
      </c>
      <c r="O3161">
        <v>0</v>
      </c>
      <c r="P3161">
        <v>15</v>
      </c>
      <c r="Q3161" t="s">
        <v>264</v>
      </c>
      <c r="R3161" t="s">
        <v>201</v>
      </c>
      <c r="S3161">
        <v>0</v>
      </c>
      <c r="T3161">
        <v>0</v>
      </c>
      <c r="U3161">
        <v>3409</v>
      </c>
      <c r="V3161">
        <v>3409</v>
      </c>
    </row>
    <row r="3162" spans="1:22">
      <c r="A3162" t="s">
        <v>196</v>
      </c>
      <c r="B3162">
        <v>58</v>
      </c>
      <c r="C3162" t="s">
        <v>9</v>
      </c>
      <c r="D3162">
        <v>100</v>
      </c>
      <c r="E3162" t="s">
        <v>197</v>
      </c>
      <c r="F3162">
        <v>1010</v>
      </c>
      <c r="G3162" t="s">
        <v>9</v>
      </c>
      <c r="H3162">
        <v>2705</v>
      </c>
      <c r="I3162" t="s">
        <v>9</v>
      </c>
      <c r="J3162">
        <v>3020</v>
      </c>
      <c r="K3162" t="s">
        <v>783</v>
      </c>
      <c r="L3162">
        <v>4016</v>
      </c>
      <c r="M3162" t="s">
        <v>1449</v>
      </c>
      <c r="N3162" t="s">
        <v>777</v>
      </c>
      <c r="O3162">
        <v>9</v>
      </c>
      <c r="P3162">
        <v>9715</v>
      </c>
      <c r="Q3162" t="s">
        <v>778</v>
      </c>
      <c r="R3162" t="s">
        <v>201</v>
      </c>
      <c r="S3162">
        <v>1</v>
      </c>
      <c r="T3162">
        <v>1</v>
      </c>
      <c r="U3162">
        <v>147360</v>
      </c>
      <c r="V3162">
        <v>147360</v>
      </c>
    </row>
    <row r="3163" spans="1:22">
      <c r="A3163" t="s">
        <v>196</v>
      </c>
      <c r="B3163">
        <v>58</v>
      </c>
      <c r="C3163" t="s">
        <v>9</v>
      </c>
      <c r="D3163">
        <v>100</v>
      </c>
      <c r="E3163" t="s">
        <v>197</v>
      </c>
      <c r="F3163">
        <v>1010</v>
      </c>
      <c r="G3163" t="s">
        <v>9</v>
      </c>
      <c r="H3163">
        <v>2705</v>
      </c>
      <c r="I3163" t="s">
        <v>9</v>
      </c>
      <c r="J3163">
        <v>3020</v>
      </c>
      <c r="K3163" t="s">
        <v>783</v>
      </c>
      <c r="L3163">
        <v>4016</v>
      </c>
      <c r="M3163" t="s">
        <v>1449</v>
      </c>
      <c r="N3163" t="s">
        <v>1450</v>
      </c>
      <c r="O3163">
        <v>2</v>
      </c>
      <c r="P3163">
        <v>8602</v>
      </c>
      <c r="Q3163" t="s">
        <v>1451</v>
      </c>
      <c r="R3163" t="s">
        <v>201</v>
      </c>
      <c r="S3163">
        <v>1</v>
      </c>
      <c r="T3163">
        <v>1</v>
      </c>
      <c r="U3163">
        <v>120024</v>
      </c>
      <c r="V3163">
        <v>120024</v>
      </c>
    </row>
    <row r="3164" spans="1:22">
      <c r="A3164" t="s">
        <v>196</v>
      </c>
      <c r="B3164">
        <v>58</v>
      </c>
      <c r="C3164" t="s">
        <v>9</v>
      </c>
      <c r="D3164">
        <v>100</v>
      </c>
      <c r="E3164" t="s">
        <v>197</v>
      </c>
      <c r="F3164">
        <v>1010</v>
      </c>
      <c r="G3164" t="s">
        <v>9</v>
      </c>
      <c r="H3164">
        <v>2705</v>
      </c>
      <c r="I3164" t="s">
        <v>9</v>
      </c>
      <c r="J3164">
        <v>3020</v>
      </c>
      <c r="K3164" t="s">
        <v>783</v>
      </c>
      <c r="L3164">
        <v>4016</v>
      </c>
      <c r="M3164" t="s">
        <v>1449</v>
      </c>
      <c r="N3164" t="s">
        <v>341</v>
      </c>
      <c r="O3164">
        <v>1</v>
      </c>
      <c r="P3164">
        <v>708</v>
      </c>
      <c r="Q3164" t="s">
        <v>342</v>
      </c>
      <c r="R3164" t="s">
        <v>201</v>
      </c>
      <c r="S3164">
        <v>2</v>
      </c>
      <c r="T3164">
        <v>1</v>
      </c>
      <c r="U3164">
        <v>68616</v>
      </c>
      <c r="V3164">
        <v>137232</v>
      </c>
    </row>
    <row r="3165" spans="1:22">
      <c r="A3165" t="s">
        <v>196</v>
      </c>
      <c r="B3165">
        <v>58</v>
      </c>
      <c r="C3165" t="s">
        <v>9</v>
      </c>
      <c r="D3165">
        <v>100</v>
      </c>
      <c r="E3165" t="s">
        <v>197</v>
      </c>
      <c r="F3165">
        <v>1010</v>
      </c>
      <c r="G3165" t="s">
        <v>9</v>
      </c>
      <c r="H3165">
        <v>2705</v>
      </c>
      <c r="I3165" t="s">
        <v>9</v>
      </c>
      <c r="J3165">
        <v>3020</v>
      </c>
      <c r="K3165" t="s">
        <v>783</v>
      </c>
      <c r="L3165">
        <v>4016</v>
      </c>
      <c r="M3165" t="s">
        <v>1449</v>
      </c>
      <c r="N3165" t="s">
        <v>199</v>
      </c>
      <c r="O3165">
        <v>0</v>
      </c>
      <c r="P3165">
        <v>15</v>
      </c>
      <c r="Q3165" t="s">
        <v>264</v>
      </c>
      <c r="R3165" t="s">
        <v>201</v>
      </c>
      <c r="S3165">
        <v>0</v>
      </c>
      <c r="T3165">
        <v>0</v>
      </c>
      <c r="U3165">
        <v>1295</v>
      </c>
      <c r="V3165">
        <v>1295</v>
      </c>
    </row>
    <row r="3166" spans="1:22">
      <c r="A3166" t="s">
        <v>196</v>
      </c>
      <c r="B3166">
        <v>58</v>
      </c>
      <c r="C3166" t="s">
        <v>9</v>
      </c>
      <c r="D3166">
        <v>100</v>
      </c>
      <c r="E3166" t="s">
        <v>197</v>
      </c>
      <c r="F3166">
        <v>1010</v>
      </c>
      <c r="G3166" t="s">
        <v>9</v>
      </c>
      <c r="H3166">
        <v>2705</v>
      </c>
      <c r="I3166" t="s">
        <v>9</v>
      </c>
      <c r="J3166">
        <v>3045</v>
      </c>
      <c r="K3166" t="s">
        <v>1452</v>
      </c>
      <c r="L3166">
        <v>4135</v>
      </c>
      <c r="M3166" t="s">
        <v>1453</v>
      </c>
      <c r="N3166" t="s">
        <v>266</v>
      </c>
      <c r="O3166">
        <v>0</v>
      </c>
      <c r="P3166">
        <v>8617</v>
      </c>
      <c r="Q3166" t="s">
        <v>1454</v>
      </c>
      <c r="R3166" t="s">
        <v>201</v>
      </c>
      <c r="S3166">
        <v>1</v>
      </c>
      <c r="T3166">
        <v>1</v>
      </c>
      <c r="U3166">
        <v>175512</v>
      </c>
      <c r="V3166">
        <v>175512</v>
      </c>
    </row>
    <row r="3167" spans="1:22">
      <c r="A3167" t="s">
        <v>196</v>
      </c>
      <c r="B3167">
        <v>58</v>
      </c>
      <c r="C3167" t="s">
        <v>9</v>
      </c>
      <c r="D3167">
        <v>100</v>
      </c>
      <c r="E3167" t="s">
        <v>197</v>
      </c>
      <c r="F3167">
        <v>1010</v>
      </c>
      <c r="G3167" t="s">
        <v>9</v>
      </c>
      <c r="H3167">
        <v>2705</v>
      </c>
      <c r="I3167" t="s">
        <v>9</v>
      </c>
      <c r="J3167">
        <v>3045</v>
      </c>
      <c r="K3167" t="s">
        <v>1452</v>
      </c>
      <c r="L3167">
        <v>4135</v>
      </c>
      <c r="M3167" t="s">
        <v>1453</v>
      </c>
      <c r="N3167" t="s">
        <v>360</v>
      </c>
      <c r="O3167">
        <v>1</v>
      </c>
      <c r="P3167">
        <v>8616</v>
      </c>
      <c r="Q3167" t="s">
        <v>1455</v>
      </c>
      <c r="R3167" t="s">
        <v>201</v>
      </c>
      <c r="S3167">
        <v>1</v>
      </c>
      <c r="T3167">
        <v>1</v>
      </c>
      <c r="U3167">
        <v>98928</v>
      </c>
      <c r="V3167">
        <v>98928</v>
      </c>
    </row>
    <row r="3168" spans="1:22">
      <c r="A3168" t="s">
        <v>196</v>
      </c>
      <c r="B3168">
        <v>58</v>
      </c>
      <c r="C3168" t="s">
        <v>9</v>
      </c>
      <c r="D3168">
        <v>100</v>
      </c>
      <c r="E3168" t="s">
        <v>197</v>
      </c>
      <c r="F3168">
        <v>1010</v>
      </c>
      <c r="G3168" t="s">
        <v>9</v>
      </c>
      <c r="H3168">
        <v>2705</v>
      </c>
      <c r="I3168" t="s">
        <v>9</v>
      </c>
      <c r="J3168">
        <v>3045</v>
      </c>
      <c r="K3168" t="s">
        <v>1452</v>
      </c>
      <c r="L3168">
        <v>4135</v>
      </c>
      <c r="M3168" t="s">
        <v>1453</v>
      </c>
      <c r="N3168" t="s">
        <v>360</v>
      </c>
      <c r="O3168">
        <v>1</v>
      </c>
      <c r="P3168">
        <v>8616</v>
      </c>
      <c r="Q3168" t="s">
        <v>1455</v>
      </c>
      <c r="R3168" t="s">
        <v>201</v>
      </c>
      <c r="S3168">
        <v>1</v>
      </c>
      <c r="T3168">
        <v>1</v>
      </c>
      <c r="U3168">
        <v>90144</v>
      </c>
      <c r="V3168">
        <v>90144</v>
      </c>
    </row>
    <row r="3169" spans="1:22">
      <c r="A3169" t="s">
        <v>196</v>
      </c>
      <c r="B3169">
        <v>58</v>
      </c>
      <c r="C3169" t="s">
        <v>9</v>
      </c>
      <c r="D3169">
        <v>100</v>
      </c>
      <c r="E3169" t="s">
        <v>197</v>
      </c>
      <c r="F3169">
        <v>1010</v>
      </c>
      <c r="G3169" t="s">
        <v>9</v>
      </c>
      <c r="H3169">
        <v>2705</v>
      </c>
      <c r="I3169" t="s">
        <v>9</v>
      </c>
      <c r="J3169">
        <v>3045</v>
      </c>
      <c r="K3169" t="s">
        <v>1452</v>
      </c>
      <c r="L3169">
        <v>4135</v>
      </c>
      <c r="M3169" t="s">
        <v>1453</v>
      </c>
      <c r="N3169" t="s">
        <v>360</v>
      </c>
      <c r="O3169">
        <v>1</v>
      </c>
      <c r="P3169">
        <v>8616</v>
      </c>
      <c r="Q3169" t="s">
        <v>1455</v>
      </c>
      <c r="R3169" t="s">
        <v>201</v>
      </c>
      <c r="S3169">
        <v>1</v>
      </c>
      <c r="T3169">
        <v>1</v>
      </c>
      <c r="U3169">
        <v>70752</v>
      </c>
      <c r="V3169">
        <v>70752</v>
      </c>
    </row>
    <row r="3170" spans="1:22">
      <c r="A3170" t="s">
        <v>196</v>
      </c>
      <c r="B3170">
        <v>58</v>
      </c>
      <c r="C3170" t="s">
        <v>9</v>
      </c>
      <c r="D3170">
        <v>100</v>
      </c>
      <c r="E3170" t="s">
        <v>197</v>
      </c>
      <c r="F3170">
        <v>1010</v>
      </c>
      <c r="G3170" t="s">
        <v>9</v>
      </c>
      <c r="H3170">
        <v>2705</v>
      </c>
      <c r="I3170" t="s">
        <v>9</v>
      </c>
      <c r="J3170">
        <v>3045</v>
      </c>
      <c r="K3170" t="s">
        <v>1452</v>
      </c>
      <c r="L3170">
        <v>4135</v>
      </c>
      <c r="M3170" t="s">
        <v>1453</v>
      </c>
      <c r="N3170" t="s">
        <v>360</v>
      </c>
      <c r="O3170">
        <v>1</v>
      </c>
      <c r="P3170">
        <v>8616</v>
      </c>
      <c r="Q3170" t="s">
        <v>1455</v>
      </c>
      <c r="R3170" t="s">
        <v>201</v>
      </c>
      <c r="S3170">
        <v>1</v>
      </c>
      <c r="T3170">
        <v>1</v>
      </c>
      <c r="U3170">
        <v>67608</v>
      </c>
      <c r="V3170">
        <v>67608</v>
      </c>
    </row>
    <row r="3171" spans="1:22">
      <c r="A3171" t="s">
        <v>196</v>
      </c>
      <c r="B3171">
        <v>58</v>
      </c>
      <c r="C3171" t="s">
        <v>9</v>
      </c>
      <c r="D3171">
        <v>100</v>
      </c>
      <c r="E3171" t="s">
        <v>197</v>
      </c>
      <c r="F3171">
        <v>1010</v>
      </c>
      <c r="G3171" t="s">
        <v>9</v>
      </c>
      <c r="H3171">
        <v>2705</v>
      </c>
      <c r="I3171" t="s">
        <v>9</v>
      </c>
      <c r="J3171">
        <v>3045</v>
      </c>
      <c r="K3171" t="s">
        <v>1452</v>
      </c>
      <c r="L3171">
        <v>4135</v>
      </c>
      <c r="M3171" t="s">
        <v>1453</v>
      </c>
      <c r="N3171" t="s">
        <v>360</v>
      </c>
      <c r="O3171">
        <v>1</v>
      </c>
      <c r="P3171">
        <v>8616</v>
      </c>
      <c r="Q3171" t="s">
        <v>1455</v>
      </c>
      <c r="R3171" t="s">
        <v>201</v>
      </c>
      <c r="S3171">
        <v>1</v>
      </c>
      <c r="T3171">
        <v>1</v>
      </c>
      <c r="U3171">
        <v>58764</v>
      </c>
      <c r="V3171">
        <v>58764</v>
      </c>
    </row>
    <row r="3172" spans="1:22">
      <c r="A3172" t="s">
        <v>196</v>
      </c>
      <c r="B3172">
        <v>58</v>
      </c>
      <c r="C3172" t="s">
        <v>9</v>
      </c>
      <c r="D3172">
        <v>100</v>
      </c>
      <c r="E3172" t="s">
        <v>197</v>
      </c>
      <c r="F3172">
        <v>1010</v>
      </c>
      <c r="G3172" t="s">
        <v>9</v>
      </c>
      <c r="H3172">
        <v>2705</v>
      </c>
      <c r="I3172" t="s">
        <v>9</v>
      </c>
      <c r="J3172">
        <v>3045</v>
      </c>
      <c r="K3172" t="s">
        <v>1452</v>
      </c>
      <c r="L3172">
        <v>4135</v>
      </c>
      <c r="M3172" t="s">
        <v>1453</v>
      </c>
      <c r="N3172" t="s">
        <v>360</v>
      </c>
      <c r="O3172">
        <v>1</v>
      </c>
      <c r="P3172">
        <v>8616</v>
      </c>
      <c r="Q3172" t="s">
        <v>1455</v>
      </c>
      <c r="R3172" t="s">
        <v>201</v>
      </c>
      <c r="S3172">
        <v>2</v>
      </c>
      <c r="T3172">
        <v>1</v>
      </c>
      <c r="U3172">
        <v>57000</v>
      </c>
      <c r="V3172">
        <v>114000</v>
      </c>
    </row>
    <row r="3173" spans="1:22">
      <c r="A3173" t="s">
        <v>196</v>
      </c>
      <c r="B3173">
        <v>58</v>
      </c>
      <c r="C3173" t="s">
        <v>9</v>
      </c>
      <c r="D3173">
        <v>100</v>
      </c>
      <c r="E3173" t="s">
        <v>197</v>
      </c>
      <c r="F3173">
        <v>1010</v>
      </c>
      <c r="G3173" t="s">
        <v>9</v>
      </c>
      <c r="H3173">
        <v>2705</v>
      </c>
      <c r="I3173" t="s">
        <v>9</v>
      </c>
      <c r="J3173">
        <v>3045</v>
      </c>
      <c r="K3173" t="s">
        <v>1452</v>
      </c>
      <c r="L3173">
        <v>4135</v>
      </c>
      <c r="M3173" t="s">
        <v>1453</v>
      </c>
      <c r="N3173" t="s">
        <v>622</v>
      </c>
      <c r="O3173">
        <v>1</v>
      </c>
      <c r="P3173">
        <v>8615</v>
      </c>
      <c r="Q3173" t="s">
        <v>1456</v>
      </c>
      <c r="R3173" t="s">
        <v>201</v>
      </c>
      <c r="S3173">
        <v>2</v>
      </c>
      <c r="T3173">
        <v>1</v>
      </c>
      <c r="U3173">
        <v>90144</v>
      </c>
      <c r="V3173">
        <v>180288</v>
      </c>
    </row>
    <row r="3174" spans="1:22">
      <c r="A3174" t="s">
        <v>196</v>
      </c>
      <c r="B3174">
        <v>58</v>
      </c>
      <c r="C3174" t="s">
        <v>9</v>
      </c>
      <c r="D3174">
        <v>100</v>
      </c>
      <c r="E3174" t="s">
        <v>197</v>
      </c>
      <c r="F3174">
        <v>1010</v>
      </c>
      <c r="G3174" t="s">
        <v>9</v>
      </c>
      <c r="H3174">
        <v>2705</v>
      </c>
      <c r="I3174" t="s">
        <v>9</v>
      </c>
      <c r="J3174">
        <v>3045</v>
      </c>
      <c r="K3174" t="s">
        <v>1452</v>
      </c>
      <c r="L3174">
        <v>4135</v>
      </c>
      <c r="M3174" t="s">
        <v>1453</v>
      </c>
      <c r="N3174" t="s">
        <v>622</v>
      </c>
      <c r="O3174">
        <v>1</v>
      </c>
      <c r="P3174">
        <v>8615</v>
      </c>
      <c r="Q3174" t="s">
        <v>1456</v>
      </c>
      <c r="R3174" t="s">
        <v>201</v>
      </c>
      <c r="S3174">
        <v>1</v>
      </c>
      <c r="T3174">
        <v>1</v>
      </c>
      <c r="U3174">
        <v>86112</v>
      </c>
      <c r="V3174">
        <v>86112</v>
      </c>
    </row>
    <row r="3175" spans="1:22">
      <c r="A3175" t="s">
        <v>196</v>
      </c>
      <c r="B3175">
        <v>58</v>
      </c>
      <c r="C3175" t="s">
        <v>9</v>
      </c>
      <c r="D3175">
        <v>100</v>
      </c>
      <c r="E3175" t="s">
        <v>197</v>
      </c>
      <c r="F3175">
        <v>1010</v>
      </c>
      <c r="G3175" t="s">
        <v>9</v>
      </c>
      <c r="H3175">
        <v>2705</v>
      </c>
      <c r="I3175" t="s">
        <v>9</v>
      </c>
      <c r="J3175">
        <v>3045</v>
      </c>
      <c r="K3175" t="s">
        <v>1452</v>
      </c>
      <c r="L3175">
        <v>4135</v>
      </c>
      <c r="M3175" t="s">
        <v>1453</v>
      </c>
      <c r="N3175" t="s">
        <v>622</v>
      </c>
      <c r="O3175">
        <v>1</v>
      </c>
      <c r="P3175">
        <v>8615</v>
      </c>
      <c r="Q3175" t="s">
        <v>1456</v>
      </c>
      <c r="R3175" t="s">
        <v>201</v>
      </c>
      <c r="S3175">
        <v>2</v>
      </c>
      <c r="T3175">
        <v>1</v>
      </c>
      <c r="U3175">
        <v>82140</v>
      </c>
      <c r="V3175">
        <v>164280</v>
      </c>
    </row>
    <row r="3176" spans="1:22">
      <c r="A3176" t="s">
        <v>196</v>
      </c>
      <c r="B3176">
        <v>58</v>
      </c>
      <c r="C3176" t="s">
        <v>9</v>
      </c>
      <c r="D3176">
        <v>100</v>
      </c>
      <c r="E3176" t="s">
        <v>197</v>
      </c>
      <c r="F3176">
        <v>1010</v>
      </c>
      <c r="G3176" t="s">
        <v>9</v>
      </c>
      <c r="H3176">
        <v>2705</v>
      </c>
      <c r="I3176" t="s">
        <v>9</v>
      </c>
      <c r="J3176">
        <v>3045</v>
      </c>
      <c r="K3176" t="s">
        <v>1452</v>
      </c>
      <c r="L3176">
        <v>4135</v>
      </c>
      <c r="M3176" t="s">
        <v>1453</v>
      </c>
      <c r="N3176" t="s">
        <v>622</v>
      </c>
      <c r="O3176">
        <v>1</v>
      </c>
      <c r="P3176">
        <v>8615</v>
      </c>
      <c r="Q3176" t="s">
        <v>1456</v>
      </c>
      <c r="R3176" t="s">
        <v>201</v>
      </c>
      <c r="S3176">
        <v>1</v>
      </c>
      <c r="T3176">
        <v>1</v>
      </c>
      <c r="U3176">
        <v>78432</v>
      </c>
      <c r="V3176">
        <v>78432</v>
      </c>
    </row>
    <row r="3177" spans="1:22">
      <c r="A3177" t="s">
        <v>196</v>
      </c>
      <c r="B3177">
        <v>58</v>
      </c>
      <c r="C3177" t="s">
        <v>9</v>
      </c>
      <c r="D3177">
        <v>100</v>
      </c>
      <c r="E3177" t="s">
        <v>197</v>
      </c>
      <c r="F3177">
        <v>1010</v>
      </c>
      <c r="G3177" t="s">
        <v>9</v>
      </c>
      <c r="H3177">
        <v>2705</v>
      </c>
      <c r="I3177" t="s">
        <v>9</v>
      </c>
      <c r="J3177">
        <v>3045</v>
      </c>
      <c r="K3177" t="s">
        <v>1452</v>
      </c>
      <c r="L3177">
        <v>4135</v>
      </c>
      <c r="M3177" t="s">
        <v>1453</v>
      </c>
      <c r="N3177" t="s">
        <v>622</v>
      </c>
      <c r="O3177">
        <v>1</v>
      </c>
      <c r="P3177">
        <v>8615</v>
      </c>
      <c r="Q3177" t="s">
        <v>1456</v>
      </c>
      <c r="R3177" t="s">
        <v>201</v>
      </c>
      <c r="S3177">
        <v>1</v>
      </c>
      <c r="T3177">
        <v>1</v>
      </c>
      <c r="U3177">
        <v>68256</v>
      </c>
      <c r="V3177">
        <v>68256</v>
      </c>
    </row>
    <row r="3178" spans="1:22">
      <c r="A3178" t="s">
        <v>196</v>
      </c>
      <c r="B3178">
        <v>58</v>
      </c>
      <c r="C3178" t="s">
        <v>9</v>
      </c>
      <c r="D3178">
        <v>100</v>
      </c>
      <c r="E3178" t="s">
        <v>197</v>
      </c>
      <c r="F3178">
        <v>1010</v>
      </c>
      <c r="G3178" t="s">
        <v>9</v>
      </c>
      <c r="H3178">
        <v>2705</v>
      </c>
      <c r="I3178" t="s">
        <v>9</v>
      </c>
      <c r="J3178">
        <v>3045</v>
      </c>
      <c r="K3178" t="s">
        <v>1452</v>
      </c>
      <c r="L3178">
        <v>4135</v>
      </c>
      <c r="M3178" t="s">
        <v>1453</v>
      </c>
      <c r="N3178" t="s">
        <v>622</v>
      </c>
      <c r="O3178">
        <v>1</v>
      </c>
      <c r="P3178">
        <v>8615</v>
      </c>
      <c r="Q3178" t="s">
        <v>1456</v>
      </c>
      <c r="R3178" t="s">
        <v>201</v>
      </c>
      <c r="S3178">
        <v>2</v>
      </c>
      <c r="T3178">
        <v>1</v>
      </c>
      <c r="U3178">
        <v>61548</v>
      </c>
      <c r="V3178">
        <v>123096</v>
      </c>
    </row>
    <row r="3179" spans="1:22">
      <c r="A3179" t="s">
        <v>196</v>
      </c>
      <c r="B3179">
        <v>58</v>
      </c>
      <c r="C3179" t="s">
        <v>9</v>
      </c>
      <c r="D3179">
        <v>100</v>
      </c>
      <c r="E3179" t="s">
        <v>197</v>
      </c>
      <c r="F3179">
        <v>1010</v>
      </c>
      <c r="G3179" t="s">
        <v>9</v>
      </c>
      <c r="H3179">
        <v>2705</v>
      </c>
      <c r="I3179" t="s">
        <v>9</v>
      </c>
      <c r="J3179">
        <v>3045</v>
      </c>
      <c r="K3179" t="s">
        <v>1452</v>
      </c>
      <c r="L3179">
        <v>4135</v>
      </c>
      <c r="M3179" t="s">
        <v>1453</v>
      </c>
      <c r="N3179" t="s">
        <v>622</v>
      </c>
      <c r="O3179">
        <v>1</v>
      </c>
      <c r="P3179">
        <v>8615</v>
      </c>
      <c r="Q3179" t="s">
        <v>1456</v>
      </c>
      <c r="R3179" t="s">
        <v>201</v>
      </c>
      <c r="S3179">
        <v>4</v>
      </c>
      <c r="T3179">
        <v>1</v>
      </c>
      <c r="U3179">
        <v>58764</v>
      </c>
      <c r="V3179">
        <v>235056</v>
      </c>
    </row>
    <row r="3180" spans="1:22">
      <c r="A3180" t="s">
        <v>196</v>
      </c>
      <c r="B3180">
        <v>58</v>
      </c>
      <c r="C3180" t="s">
        <v>9</v>
      </c>
      <c r="D3180">
        <v>100</v>
      </c>
      <c r="E3180" t="s">
        <v>197</v>
      </c>
      <c r="F3180">
        <v>1010</v>
      </c>
      <c r="G3180" t="s">
        <v>9</v>
      </c>
      <c r="H3180">
        <v>2705</v>
      </c>
      <c r="I3180" t="s">
        <v>9</v>
      </c>
      <c r="J3180">
        <v>3045</v>
      </c>
      <c r="K3180" t="s">
        <v>1452</v>
      </c>
      <c r="L3180">
        <v>4135</v>
      </c>
      <c r="M3180" t="s">
        <v>1453</v>
      </c>
      <c r="N3180" t="s">
        <v>622</v>
      </c>
      <c r="O3180">
        <v>1</v>
      </c>
      <c r="P3180">
        <v>8615</v>
      </c>
      <c r="Q3180" t="s">
        <v>1456</v>
      </c>
      <c r="R3180" t="s">
        <v>201</v>
      </c>
      <c r="S3180">
        <v>4</v>
      </c>
      <c r="T3180">
        <v>1</v>
      </c>
      <c r="U3180">
        <v>56124</v>
      </c>
      <c r="V3180">
        <v>224496</v>
      </c>
    </row>
    <row r="3181" spans="1:22">
      <c r="A3181" t="s">
        <v>196</v>
      </c>
      <c r="B3181">
        <v>58</v>
      </c>
      <c r="C3181" t="s">
        <v>9</v>
      </c>
      <c r="D3181">
        <v>100</v>
      </c>
      <c r="E3181" t="s">
        <v>197</v>
      </c>
      <c r="F3181">
        <v>1010</v>
      </c>
      <c r="G3181" t="s">
        <v>9</v>
      </c>
      <c r="H3181">
        <v>2705</v>
      </c>
      <c r="I3181" t="s">
        <v>9</v>
      </c>
      <c r="J3181">
        <v>3045</v>
      </c>
      <c r="K3181" t="s">
        <v>1452</v>
      </c>
      <c r="L3181">
        <v>4135</v>
      </c>
      <c r="M3181" t="s">
        <v>1453</v>
      </c>
      <c r="N3181" t="s">
        <v>622</v>
      </c>
      <c r="O3181">
        <v>1</v>
      </c>
      <c r="P3181">
        <v>8615</v>
      </c>
      <c r="Q3181" t="s">
        <v>1456</v>
      </c>
      <c r="R3181" t="s">
        <v>201</v>
      </c>
      <c r="S3181">
        <v>4</v>
      </c>
      <c r="T3181">
        <v>1</v>
      </c>
      <c r="U3181">
        <v>53532</v>
      </c>
      <c r="V3181">
        <v>214128</v>
      </c>
    </row>
    <row r="3182" spans="1:22">
      <c r="A3182" t="s">
        <v>196</v>
      </c>
      <c r="B3182">
        <v>58</v>
      </c>
      <c r="C3182" t="s">
        <v>9</v>
      </c>
      <c r="D3182">
        <v>100</v>
      </c>
      <c r="E3182" t="s">
        <v>197</v>
      </c>
      <c r="F3182">
        <v>1010</v>
      </c>
      <c r="G3182" t="s">
        <v>9</v>
      </c>
      <c r="H3182">
        <v>2705</v>
      </c>
      <c r="I3182" t="s">
        <v>9</v>
      </c>
      <c r="J3182">
        <v>3045</v>
      </c>
      <c r="K3182" t="s">
        <v>1452</v>
      </c>
      <c r="L3182">
        <v>4135</v>
      </c>
      <c r="M3182" t="s">
        <v>1453</v>
      </c>
      <c r="N3182" t="s">
        <v>622</v>
      </c>
      <c r="O3182">
        <v>1</v>
      </c>
      <c r="P3182">
        <v>8615</v>
      </c>
      <c r="Q3182" t="s">
        <v>1456</v>
      </c>
      <c r="R3182" t="s">
        <v>712</v>
      </c>
      <c r="S3182">
        <v>12</v>
      </c>
      <c r="T3182">
        <v>0</v>
      </c>
      <c r="U3182">
        <v>4205</v>
      </c>
      <c r="V3182">
        <v>50460</v>
      </c>
    </row>
    <row r="3183" spans="1:22">
      <c r="A3183" t="s">
        <v>196</v>
      </c>
      <c r="B3183">
        <v>58</v>
      </c>
      <c r="C3183" t="s">
        <v>9</v>
      </c>
      <c r="D3183">
        <v>100</v>
      </c>
      <c r="E3183" t="s">
        <v>197</v>
      </c>
      <c r="F3183">
        <v>1010</v>
      </c>
      <c r="G3183" t="s">
        <v>9</v>
      </c>
      <c r="H3183">
        <v>2705</v>
      </c>
      <c r="I3183" t="s">
        <v>9</v>
      </c>
      <c r="J3183">
        <v>3045</v>
      </c>
      <c r="K3183" t="s">
        <v>1452</v>
      </c>
      <c r="L3183">
        <v>4135</v>
      </c>
      <c r="M3183" t="s">
        <v>1453</v>
      </c>
      <c r="N3183" t="s">
        <v>622</v>
      </c>
      <c r="O3183">
        <v>1</v>
      </c>
      <c r="P3183">
        <v>8615</v>
      </c>
      <c r="Q3183" t="s">
        <v>1456</v>
      </c>
      <c r="R3183" t="s">
        <v>201</v>
      </c>
      <c r="S3183">
        <v>10</v>
      </c>
      <c r="T3183">
        <v>1</v>
      </c>
      <c r="U3183">
        <v>51936</v>
      </c>
      <c r="V3183">
        <v>519360</v>
      </c>
    </row>
    <row r="3184" spans="1:22">
      <c r="A3184" t="s">
        <v>196</v>
      </c>
      <c r="B3184">
        <v>58</v>
      </c>
      <c r="C3184" t="s">
        <v>9</v>
      </c>
      <c r="D3184">
        <v>100</v>
      </c>
      <c r="E3184" t="s">
        <v>197</v>
      </c>
      <c r="F3184">
        <v>1010</v>
      </c>
      <c r="G3184" t="s">
        <v>9</v>
      </c>
      <c r="H3184">
        <v>2705</v>
      </c>
      <c r="I3184" t="s">
        <v>9</v>
      </c>
      <c r="J3184">
        <v>3045</v>
      </c>
      <c r="K3184" t="s">
        <v>1452</v>
      </c>
      <c r="L3184">
        <v>4135</v>
      </c>
      <c r="M3184" t="s">
        <v>1453</v>
      </c>
      <c r="N3184" t="s">
        <v>372</v>
      </c>
      <c r="O3184">
        <v>1</v>
      </c>
      <c r="P3184">
        <v>8614</v>
      </c>
      <c r="Q3184" t="s">
        <v>1457</v>
      </c>
      <c r="R3184" t="s">
        <v>201</v>
      </c>
      <c r="S3184">
        <v>1</v>
      </c>
      <c r="T3184">
        <v>1</v>
      </c>
      <c r="U3184">
        <v>130668</v>
      </c>
      <c r="V3184">
        <v>130668</v>
      </c>
    </row>
    <row r="3185" spans="1:22">
      <c r="A3185" t="s">
        <v>196</v>
      </c>
      <c r="B3185">
        <v>58</v>
      </c>
      <c r="C3185" t="s">
        <v>9</v>
      </c>
      <c r="D3185">
        <v>100</v>
      </c>
      <c r="E3185" t="s">
        <v>197</v>
      </c>
      <c r="F3185">
        <v>1010</v>
      </c>
      <c r="G3185" t="s">
        <v>9</v>
      </c>
      <c r="H3185">
        <v>2705</v>
      </c>
      <c r="I3185" t="s">
        <v>9</v>
      </c>
      <c r="J3185">
        <v>3045</v>
      </c>
      <c r="K3185" t="s">
        <v>1452</v>
      </c>
      <c r="L3185">
        <v>4135</v>
      </c>
      <c r="M3185" t="s">
        <v>1453</v>
      </c>
      <c r="N3185" t="s">
        <v>372</v>
      </c>
      <c r="O3185">
        <v>1</v>
      </c>
      <c r="P3185">
        <v>8614</v>
      </c>
      <c r="Q3185" t="s">
        <v>1457</v>
      </c>
      <c r="R3185" t="s">
        <v>201</v>
      </c>
      <c r="S3185">
        <v>1</v>
      </c>
      <c r="T3185">
        <v>1</v>
      </c>
      <c r="U3185">
        <v>119100</v>
      </c>
      <c r="V3185">
        <v>119100</v>
      </c>
    </row>
    <row r="3186" spans="1:22">
      <c r="A3186" t="s">
        <v>196</v>
      </c>
      <c r="B3186">
        <v>58</v>
      </c>
      <c r="C3186" t="s">
        <v>9</v>
      </c>
      <c r="D3186">
        <v>100</v>
      </c>
      <c r="E3186" t="s">
        <v>197</v>
      </c>
      <c r="F3186">
        <v>1010</v>
      </c>
      <c r="G3186" t="s">
        <v>9</v>
      </c>
      <c r="H3186">
        <v>2705</v>
      </c>
      <c r="I3186" t="s">
        <v>9</v>
      </c>
      <c r="J3186">
        <v>3045</v>
      </c>
      <c r="K3186" t="s">
        <v>1452</v>
      </c>
      <c r="L3186">
        <v>4135</v>
      </c>
      <c r="M3186" t="s">
        <v>1453</v>
      </c>
      <c r="N3186" t="s">
        <v>372</v>
      </c>
      <c r="O3186">
        <v>1</v>
      </c>
      <c r="P3186">
        <v>8614</v>
      </c>
      <c r="Q3186" t="s">
        <v>1457</v>
      </c>
      <c r="R3186" t="s">
        <v>201</v>
      </c>
      <c r="S3186">
        <v>1</v>
      </c>
      <c r="T3186">
        <v>1</v>
      </c>
      <c r="U3186">
        <v>108576</v>
      </c>
      <c r="V3186">
        <v>108576</v>
      </c>
    </row>
    <row r="3187" spans="1:22">
      <c r="A3187" t="s">
        <v>196</v>
      </c>
      <c r="B3187">
        <v>58</v>
      </c>
      <c r="C3187" t="s">
        <v>9</v>
      </c>
      <c r="D3187">
        <v>100</v>
      </c>
      <c r="E3187" t="s">
        <v>197</v>
      </c>
      <c r="F3187">
        <v>1010</v>
      </c>
      <c r="G3187" t="s">
        <v>9</v>
      </c>
      <c r="H3187">
        <v>2705</v>
      </c>
      <c r="I3187" t="s">
        <v>9</v>
      </c>
      <c r="J3187">
        <v>3045</v>
      </c>
      <c r="K3187" t="s">
        <v>1452</v>
      </c>
      <c r="L3187">
        <v>4135</v>
      </c>
      <c r="M3187" t="s">
        <v>1453</v>
      </c>
      <c r="N3187" t="s">
        <v>372</v>
      </c>
      <c r="O3187">
        <v>1</v>
      </c>
      <c r="P3187">
        <v>8614</v>
      </c>
      <c r="Q3187" t="s">
        <v>1457</v>
      </c>
      <c r="R3187" t="s">
        <v>201</v>
      </c>
      <c r="S3187">
        <v>1</v>
      </c>
      <c r="T3187">
        <v>1</v>
      </c>
      <c r="U3187">
        <v>85200</v>
      </c>
      <c r="V3187">
        <v>85200</v>
      </c>
    </row>
    <row r="3188" spans="1:22">
      <c r="A3188" t="s">
        <v>196</v>
      </c>
      <c r="B3188">
        <v>58</v>
      </c>
      <c r="C3188" t="s">
        <v>9</v>
      </c>
      <c r="D3188">
        <v>100</v>
      </c>
      <c r="E3188" t="s">
        <v>197</v>
      </c>
      <c r="F3188">
        <v>1010</v>
      </c>
      <c r="G3188" t="s">
        <v>9</v>
      </c>
      <c r="H3188">
        <v>2705</v>
      </c>
      <c r="I3188" t="s">
        <v>9</v>
      </c>
      <c r="J3188">
        <v>3045</v>
      </c>
      <c r="K3188" t="s">
        <v>1452</v>
      </c>
      <c r="L3188">
        <v>4135</v>
      </c>
      <c r="M3188" t="s">
        <v>1453</v>
      </c>
      <c r="N3188" t="s">
        <v>372</v>
      </c>
      <c r="O3188">
        <v>1</v>
      </c>
      <c r="P3188">
        <v>8614</v>
      </c>
      <c r="Q3188" t="s">
        <v>1457</v>
      </c>
      <c r="R3188" t="s">
        <v>201</v>
      </c>
      <c r="S3188">
        <v>2</v>
      </c>
      <c r="T3188">
        <v>1</v>
      </c>
      <c r="U3188">
        <v>81324</v>
      </c>
      <c r="V3188">
        <v>162648</v>
      </c>
    </row>
    <row r="3189" spans="1:22">
      <c r="A3189" t="s">
        <v>196</v>
      </c>
      <c r="B3189">
        <v>58</v>
      </c>
      <c r="C3189" t="s">
        <v>9</v>
      </c>
      <c r="D3189">
        <v>100</v>
      </c>
      <c r="E3189" t="s">
        <v>197</v>
      </c>
      <c r="F3189">
        <v>1010</v>
      </c>
      <c r="G3189" t="s">
        <v>9</v>
      </c>
      <c r="H3189">
        <v>2705</v>
      </c>
      <c r="I3189" t="s">
        <v>9</v>
      </c>
      <c r="J3189">
        <v>3045</v>
      </c>
      <c r="K3189" t="s">
        <v>1452</v>
      </c>
      <c r="L3189">
        <v>4135</v>
      </c>
      <c r="M3189" t="s">
        <v>1453</v>
      </c>
      <c r="N3189" t="s">
        <v>372</v>
      </c>
      <c r="O3189">
        <v>1</v>
      </c>
      <c r="P3189">
        <v>8614</v>
      </c>
      <c r="Q3189" t="s">
        <v>1457</v>
      </c>
      <c r="R3189" t="s">
        <v>201</v>
      </c>
      <c r="S3189">
        <v>1</v>
      </c>
      <c r="T3189">
        <v>1</v>
      </c>
      <c r="U3189">
        <v>75336</v>
      </c>
      <c r="V3189">
        <v>75336</v>
      </c>
    </row>
    <row r="3190" spans="1:22">
      <c r="A3190" t="s">
        <v>196</v>
      </c>
      <c r="B3190">
        <v>58</v>
      </c>
      <c r="C3190" t="s">
        <v>9</v>
      </c>
      <c r="D3190">
        <v>100</v>
      </c>
      <c r="E3190" t="s">
        <v>197</v>
      </c>
      <c r="F3190">
        <v>1010</v>
      </c>
      <c r="G3190" t="s">
        <v>9</v>
      </c>
      <c r="H3190">
        <v>2705</v>
      </c>
      <c r="I3190" t="s">
        <v>9</v>
      </c>
      <c r="J3190">
        <v>3045</v>
      </c>
      <c r="K3190" t="s">
        <v>1452</v>
      </c>
      <c r="L3190">
        <v>4135</v>
      </c>
      <c r="M3190" t="s">
        <v>1453</v>
      </c>
      <c r="N3190" t="s">
        <v>343</v>
      </c>
      <c r="O3190">
        <v>10</v>
      </c>
      <c r="P3190">
        <v>8612</v>
      </c>
      <c r="Q3190" t="s">
        <v>1458</v>
      </c>
      <c r="R3190" t="s">
        <v>201</v>
      </c>
      <c r="S3190">
        <v>1</v>
      </c>
      <c r="T3190">
        <v>1</v>
      </c>
      <c r="U3190">
        <v>157212</v>
      </c>
      <c r="V3190">
        <v>157212</v>
      </c>
    </row>
    <row r="3191" spans="1:22">
      <c r="A3191" t="s">
        <v>196</v>
      </c>
      <c r="B3191">
        <v>58</v>
      </c>
      <c r="C3191" t="s">
        <v>9</v>
      </c>
      <c r="D3191">
        <v>100</v>
      </c>
      <c r="E3191" t="s">
        <v>197</v>
      </c>
      <c r="F3191">
        <v>1010</v>
      </c>
      <c r="G3191" t="s">
        <v>9</v>
      </c>
      <c r="H3191">
        <v>2705</v>
      </c>
      <c r="I3191" t="s">
        <v>9</v>
      </c>
      <c r="J3191">
        <v>3045</v>
      </c>
      <c r="K3191" t="s">
        <v>1452</v>
      </c>
      <c r="L3191">
        <v>4135</v>
      </c>
      <c r="M3191" t="s">
        <v>1453</v>
      </c>
      <c r="N3191" t="s">
        <v>343</v>
      </c>
      <c r="O3191">
        <v>10</v>
      </c>
      <c r="P3191">
        <v>8612</v>
      </c>
      <c r="Q3191" t="s">
        <v>1458</v>
      </c>
      <c r="R3191" t="s">
        <v>201</v>
      </c>
      <c r="S3191">
        <v>1</v>
      </c>
      <c r="T3191">
        <v>1</v>
      </c>
      <c r="U3191">
        <v>124584</v>
      </c>
      <c r="V3191">
        <v>124584</v>
      </c>
    </row>
    <row r="3192" spans="1:22">
      <c r="A3192" t="s">
        <v>196</v>
      </c>
      <c r="B3192">
        <v>58</v>
      </c>
      <c r="C3192" t="s">
        <v>9</v>
      </c>
      <c r="D3192">
        <v>100</v>
      </c>
      <c r="E3192" t="s">
        <v>197</v>
      </c>
      <c r="F3192">
        <v>1010</v>
      </c>
      <c r="G3192" t="s">
        <v>9</v>
      </c>
      <c r="H3192">
        <v>2705</v>
      </c>
      <c r="I3192" t="s">
        <v>9</v>
      </c>
      <c r="J3192">
        <v>3045</v>
      </c>
      <c r="K3192" t="s">
        <v>1452</v>
      </c>
      <c r="L3192">
        <v>4135</v>
      </c>
      <c r="M3192" t="s">
        <v>1453</v>
      </c>
      <c r="N3192" t="s">
        <v>343</v>
      </c>
      <c r="O3192">
        <v>10</v>
      </c>
      <c r="P3192">
        <v>8612</v>
      </c>
      <c r="Q3192" t="s">
        <v>1458</v>
      </c>
      <c r="R3192" t="s">
        <v>201</v>
      </c>
      <c r="S3192">
        <v>1</v>
      </c>
      <c r="T3192">
        <v>1</v>
      </c>
      <c r="U3192">
        <v>97836</v>
      </c>
      <c r="V3192">
        <v>97836</v>
      </c>
    </row>
    <row r="3193" spans="1:22">
      <c r="A3193" t="s">
        <v>196</v>
      </c>
      <c r="B3193">
        <v>58</v>
      </c>
      <c r="C3193" t="s">
        <v>9</v>
      </c>
      <c r="D3193">
        <v>100</v>
      </c>
      <c r="E3193" t="s">
        <v>197</v>
      </c>
      <c r="F3193">
        <v>1010</v>
      </c>
      <c r="G3193" t="s">
        <v>9</v>
      </c>
      <c r="H3193">
        <v>2705</v>
      </c>
      <c r="I3193" t="s">
        <v>9</v>
      </c>
      <c r="J3193">
        <v>3045</v>
      </c>
      <c r="K3193" t="s">
        <v>1452</v>
      </c>
      <c r="L3193">
        <v>4135</v>
      </c>
      <c r="M3193" t="s">
        <v>1453</v>
      </c>
      <c r="N3193" t="s">
        <v>253</v>
      </c>
      <c r="O3193">
        <v>10</v>
      </c>
      <c r="P3193" t="s">
        <v>305</v>
      </c>
      <c r="Q3193" t="s">
        <v>306</v>
      </c>
      <c r="R3193" t="s">
        <v>201</v>
      </c>
      <c r="S3193">
        <v>1</v>
      </c>
      <c r="T3193">
        <v>1</v>
      </c>
      <c r="U3193">
        <v>124584</v>
      </c>
      <c r="V3193">
        <v>124584</v>
      </c>
    </row>
    <row r="3194" spans="1:22">
      <c r="A3194" t="s">
        <v>196</v>
      </c>
      <c r="B3194">
        <v>58</v>
      </c>
      <c r="C3194" t="s">
        <v>9</v>
      </c>
      <c r="D3194">
        <v>100</v>
      </c>
      <c r="E3194" t="s">
        <v>197</v>
      </c>
      <c r="F3194">
        <v>1010</v>
      </c>
      <c r="G3194" t="s">
        <v>9</v>
      </c>
      <c r="H3194">
        <v>2705</v>
      </c>
      <c r="I3194" t="s">
        <v>9</v>
      </c>
      <c r="J3194">
        <v>3045</v>
      </c>
      <c r="K3194" t="s">
        <v>1452</v>
      </c>
      <c r="L3194">
        <v>4135</v>
      </c>
      <c r="M3194" t="s">
        <v>1453</v>
      </c>
      <c r="N3194" t="s">
        <v>216</v>
      </c>
      <c r="O3194">
        <v>10</v>
      </c>
      <c r="P3194">
        <v>322</v>
      </c>
      <c r="Q3194" t="s">
        <v>1459</v>
      </c>
      <c r="R3194" t="s">
        <v>201</v>
      </c>
      <c r="S3194">
        <v>1</v>
      </c>
      <c r="T3194">
        <v>1</v>
      </c>
      <c r="U3194">
        <v>120108</v>
      </c>
      <c r="V3194">
        <v>120108</v>
      </c>
    </row>
    <row r="3195" spans="1:22">
      <c r="A3195" t="s">
        <v>196</v>
      </c>
      <c r="B3195">
        <v>58</v>
      </c>
      <c r="C3195" t="s">
        <v>9</v>
      </c>
      <c r="D3195">
        <v>100</v>
      </c>
      <c r="E3195" t="s">
        <v>197</v>
      </c>
      <c r="F3195">
        <v>1010</v>
      </c>
      <c r="G3195" t="s">
        <v>9</v>
      </c>
      <c r="H3195">
        <v>2705</v>
      </c>
      <c r="I3195" t="s">
        <v>9</v>
      </c>
      <c r="J3195">
        <v>3045</v>
      </c>
      <c r="K3195" t="s">
        <v>1452</v>
      </c>
      <c r="L3195">
        <v>4135</v>
      </c>
      <c r="M3195" t="s">
        <v>1453</v>
      </c>
      <c r="N3195" t="s">
        <v>251</v>
      </c>
      <c r="O3195">
        <v>20</v>
      </c>
      <c r="P3195">
        <v>309</v>
      </c>
      <c r="Q3195" t="s">
        <v>1211</v>
      </c>
      <c r="R3195" t="s">
        <v>201</v>
      </c>
      <c r="S3195">
        <v>1</v>
      </c>
      <c r="T3195">
        <v>1</v>
      </c>
      <c r="U3195">
        <v>118956</v>
      </c>
      <c r="V3195">
        <v>118956</v>
      </c>
    </row>
    <row r="3196" spans="1:22">
      <c r="A3196" t="s">
        <v>196</v>
      </c>
      <c r="B3196">
        <v>58</v>
      </c>
      <c r="C3196" t="s">
        <v>9</v>
      </c>
      <c r="D3196">
        <v>100</v>
      </c>
      <c r="E3196" t="s">
        <v>197</v>
      </c>
      <c r="F3196">
        <v>1010</v>
      </c>
      <c r="G3196" t="s">
        <v>9</v>
      </c>
      <c r="H3196">
        <v>2705</v>
      </c>
      <c r="I3196" t="s">
        <v>9</v>
      </c>
      <c r="J3196">
        <v>3045</v>
      </c>
      <c r="K3196" t="s">
        <v>1452</v>
      </c>
      <c r="L3196">
        <v>4135</v>
      </c>
      <c r="M3196" t="s">
        <v>1453</v>
      </c>
      <c r="N3196" t="s">
        <v>199</v>
      </c>
      <c r="O3196">
        <v>0</v>
      </c>
      <c r="P3196">
        <v>15</v>
      </c>
      <c r="Q3196" t="s">
        <v>264</v>
      </c>
      <c r="R3196" t="s">
        <v>201</v>
      </c>
      <c r="S3196">
        <v>0</v>
      </c>
      <c r="T3196">
        <v>0</v>
      </c>
      <c r="U3196">
        <v>51626</v>
      </c>
      <c r="V3196">
        <v>51626</v>
      </c>
    </row>
    <row r="3197" spans="1:22">
      <c r="A3197" t="s">
        <v>196</v>
      </c>
      <c r="B3197">
        <v>58</v>
      </c>
      <c r="C3197" t="s">
        <v>9</v>
      </c>
      <c r="D3197">
        <v>100</v>
      </c>
      <c r="E3197" t="s">
        <v>197</v>
      </c>
      <c r="F3197">
        <v>1010</v>
      </c>
      <c r="G3197" t="s">
        <v>9</v>
      </c>
      <c r="H3197">
        <v>2705</v>
      </c>
      <c r="I3197" t="s">
        <v>9</v>
      </c>
      <c r="J3197">
        <v>3050</v>
      </c>
      <c r="K3197" t="s">
        <v>1460</v>
      </c>
      <c r="L3197">
        <v>4145</v>
      </c>
      <c r="M3197" t="s">
        <v>1461</v>
      </c>
      <c r="N3197" t="s">
        <v>266</v>
      </c>
      <c r="O3197">
        <v>9</v>
      </c>
      <c r="P3197">
        <v>9684</v>
      </c>
      <c r="Q3197" t="s">
        <v>327</v>
      </c>
      <c r="R3197" t="s">
        <v>201</v>
      </c>
      <c r="S3197">
        <v>1</v>
      </c>
      <c r="T3197">
        <v>1</v>
      </c>
      <c r="U3197">
        <v>139140</v>
      </c>
      <c r="V3197">
        <v>139140</v>
      </c>
    </row>
    <row r="3198" spans="1:22">
      <c r="A3198" t="s">
        <v>196</v>
      </c>
      <c r="B3198">
        <v>58</v>
      </c>
      <c r="C3198" t="s">
        <v>9</v>
      </c>
      <c r="D3198">
        <v>100</v>
      </c>
      <c r="E3198" t="s">
        <v>197</v>
      </c>
      <c r="F3198">
        <v>1010</v>
      </c>
      <c r="G3198" t="s">
        <v>9</v>
      </c>
      <c r="H3198">
        <v>2705</v>
      </c>
      <c r="I3198" t="s">
        <v>9</v>
      </c>
      <c r="J3198">
        <v>3050</v>
      </c>
      <c r="K3198" t="s">
        <v>1460</v>
      </c>
      <c r="L3198">
        <v>4145</v>
      </c>
      <c r="M3198" t="s">
        <v>1461</v>
      </c>
      <c r="N3198" t="s">
        <v>1351</v>
      </c>
      <c r="O3198">
        <v>2</v>
      </c>
      <c r="P3198">
        <v>9105</v>
      </c>
      <c r="Q3198" t="s">
        <v>1462</v>
      </c>
      <c r="R3198" t="s">
        <v>201</v>
      </c>
      <c r="S3198">
        <v>1</v>
      </c>
      <c r="T3198">
        <v>1</v>
      </c>
      <c r="U3198">
        <v>86016</v>
      </c>
      <c r="V3198">
        <v>86016</v>
      </c>
    </row>
    <row r="3199" spans="1:22">
      <c r="A3199" t="s">
        <v>196</v>
      </c>
      <c r="B3199">
        <v>58</v>
      </c>
      <c r="C3199" t="s">
        <v>9</v>
      </c>
      <c r="D3199">
        <v>100</v>
      </c>
      <c r="E3199" t="s">
        <v>197</v>
      </c>
      <c r="F3199">
        <v>1010</v>
      </c>
      <c r="G3199" t="s">
        <v>9</v>
      </c>
      <c r="H3199">
        <v>2705</v>
      </c>
      <c r="I3199" t="s">
        <v>9</v>
      </c>
      <c r="J3199">
        <v>3050</v>
      </c>
      <c r="K3199" t="s">
        <v>1460</v>
      </c>
      <c r="L3199">
        <v>4145</v>
      </c>
      <c r="M3199" t="s">
        <v>1461</v>
      </c>
      <c r="N3199" t="s">
        <v>1351</v>
      </c>
      <c r="O3199">
        <v>2</v>
      </c>
      <c r="P3199">
        <v>9105</v>
      </c>
      <c r="Q3199" t="s">
        <v>1462</v>
      </c>
      <c r="R3199" t="s">
        <v>201</v>
      </c>
      <c r="S3199">
        <v>5</v>
      </c>
      <c r="T3199">
        <v>1</v>
      </c>
      <c r="U3199">
        <v>78384</v>
      </c>
      <c r="V3199">
        <v>391920</v>
      </c>
    </row>
    <row r="3200" spans="1:22">
      <c r="A3200" t="s">
        <v>196</v>
      </c>
      <c r="B3200">
        <v>58</v>
      </c>
      <c r="C3200" t="s">
        <v>9</v>
      </c>
      <c r="D3200">
        <v>100</v>
      </c>
      <c r="E3200" t="s">
        <v>197</v>
      </c>
      <c r="F3200">
        <v>1010</v>
      </c>
      <c r="G3200" t="s">
        <v>9</v>
      </c>
      <c r="H3200">
        <v>2705</v>
      </c>
      <c r="I3200" t="s">
        <v>9</v>
      </c>
      <c r="J3200">
        <v>3050</v>
      </c>
      <c r="K3200" t="s">
        <v>1460</v>
      </c>
      <c r="L3200">
        <v>4145</v>
      </c>
      <c r="M3200" t="s">
        <v>1461</v>
      </c>
      <c r="N3200" t="s">
        <v>1351</v>
      </c>
      <c r="O3200">
        <v>2</v>
      </c>
      <c r="P3200">
        <v>9105</v>
      </c>
      <c r="Q3200" t="s">
        <v>1462</v>
      </c>
      <c r="R3200" t="s">
        <v>201</v>
      </c>
      <c r="S3200">
        <v>4</v>
      </c>
      <c r="T3200">
        <v>1</v>
      </c>
      <c r="U3200">
        <v>74844</v>
      </c>
      <c r="V3200">
        <v>299376</v>
      </c>
    </row>
    <row r="3201" spans="1:22">
      <c r="A3201" t="s">
        <v>196</v>
      </c>
      <c r="B3201">
        <v>58</v>
      </c>
      <c r="C3201" t="s">
        <v>9</v>
      </c>
      <c r="D3201">
        <v>100</v>
      </c>
      <c r="E3201" t="s">
        <v>197</v>
      </c>
      <c r="F3201">
        <v>1010</v>
      </c>
      <c r="G3201" t="s">
        <v>9</v>
      </c>
      <c r="H3201">
        <v>2705</v>
      </c>
      <c r="I3201" t="s">
        <v>9</v>
      </c>
      <c r="J3201">
        <v>3050</v>
      </c>
      <c r="K3201" t="s">
        <v>1460</v>
      </c>
      <c r="L3201">
        <v>4145</v>
      </c>
      <c r="M3201" t="s">
        <v>1461</v>
      </c>
      <c r="N3201" t="s">
        <v>1351</v>
      </c>
      <c r="O3201">
        <v>2</v>
      </c>
      <c r="P3201">
        <v>9105</v>
      </c>
      <c r="Q3201" t="s">
        <v>1462</v>
      </c>
      <c r="R3201" t="s">
        <v>201</v>
      </c>
      <c r="S3201">
        <v>6</v>
      </c>
      <c r="T3201">
        <v>1</v>
      </c>
      <c r="U3201">
        <v>71436</v>
      </c>
      <c r="V3201">
        <v>428616</v>
      </c>
    </row>
    <row r="3202" spans="1:22">
      <c r="A3202" t="s">
        <v>196</v>
      </c>
      <c r="B3202">
        <v>58</v>
      </c>
      <c r="C3202" t="s">
        <v>9</v>
      </c>
      <c r="D3202">
        <v>100</v>
      </c>
      <c r="E3202" t="s">
        <v>197</v>
      </c>
      <c r="F3202">
        <v>1010</v>
      </c>
      <c r="G3202" t="s">
        <v>9</v>
      </c>
      <c r="H3202">
        <v>2705</v>
      </c>
      <c r="I3202" t="s">
        <v>9</v>
      </c>
      <c r="J3202">
        <v>3050</v>
      </c>
      <c r="K3202" t="s">
        <v>1460</v>
      </c>
      <c r="L3202">
        <v>4145</v>
      </c>
      <c r="M3202" t="s">
        <v>1461</v>
      </c>
      <c r="N3202" t="s">
        <v>1351</v>
      </c>
      <c r="O3202">
        <v>2</v>
      </c>
      <c r="P3202">
        <v>9105</v>
      </c>
      <c r="Q3202" t="s">
        <v>1462</v>
      </c>
      <c r="R3202" t="s">
        <v>201</v>
      </c>
      <c r="S3202">
        <v>1</v>
      </c>
      <c r="T3202">
        <v>1</v>
      </c>
      <c r="U3202">
        <v>62136</v>
      </c>
      <c r="V3202">
        <v>62136</v>
      </c>
    </row>
    <row r="3203" spans="1:22">
      <c r="A3203" t="s">
        <v>196</v>
      </c>
      <c r="B3203">
        <v>58</v>
      </c>
      <c r="C3203" t="s">
        <v>9</v>
      </c>
      <c r="D3203">
        <v>100</v>
      </c>
      <c r="E3203" t="s">
        <v>197</v>
      </c>
      <c r="F3203">
        <v>1010</v>
      </c>
      <c r="G3203" t="s">
        <v>9</v>
      </c>
      <c r="H3203">
        <v>2705</v>
      </c>
      <c r="I3203" t="s">
        <v>9</v>
      </c>
      <c r="J3203">
        <v>3050</v>
      </c>
      <c r="K3203" t="s">
        <v>1460</v>
      </c>
      <c r="L3203">
        <v>4145</v>
      </c>
      <c r="M3203" t="s">
        <v>1461</v>
      </c>
      <c r="N3203" t="s">
        <v>1351</v>
      </c>
      <c r="O3203">
        <v>2</v>
      </c>
      <c r="P3203">
        <v>9105</v>
      </c>
      <c r="Q3203" t="s">
        <v>1462</v>
      </c>
      <c r="R3203" t="s">
        <v>201</v>
      </c>
      <c r="S3203">
        <v>2</v>
      </c>
      <c r="T3203">
        <v>1</v>
      </c>
      <c r="U3203">
        <v>55932</v>
      </c>
      <c r="V3203">
        <v>111864</v>
      </c>
    </row>
    <row r="3204" spans="1:22">
      <c r="A3204" t="s">
        <v>196</v>
      </c>
      <c r="B3204">
        <v>58</v>
      </c>
      <c r="C3204" t="s">
        <v>9</v>
      </c>
      <c r="D3204">
        <v>100</v>
      </c>
      <c r="E3204" t="s">
        <v>197</v>
      </c>
      <c r="F3204">
        <v>1010</v>
      </c>
      <c r="G3204" t="s">
        <v>9</v>
      </c>
      <c r="H3204">
        <v>2705</v>
      </c>
      <c r="I3204" t="s">
        <v>9</v>
      </c>
      <c r="J3204">
        <v>3050</v>
      </c>
      <c r="K3204" t="s">
        <v>1460</v>
      </c>
      <c r="L3204">
        <v>4145</v>
      </c>
      <c r="M3204" t="s">
        <v>1461</v>
      </c>
      <c r="N3204" t="s">
        <v>1351</v>
      </c>
      <c r="O3204">
        <v>2</v>
      </c>
      <c r="P3204">
        <v>9105</v>
      </c>
      <c r="Q3204" t="s">
        <v>1462</v>
      </c>
      <c r="R3204" t="s">
        <v>201</v>
      </c>
      <c r="S3204">
        <v>1</v>
      </c>
      <c r="T3204">
        <v>1</v>
      </c>
      <c r="U3204">
        <v>50964</v>
      </c>
      <c r="V3204">
        <v>50964</v>
      </c>
    </row>
    <row r="3205" spans="1:22">
      <c r="A3205" t="s">
        <v>196</v>
      </c>
      <c r="B3205">
        <v>58</v>
      </c>
      <c r="C3205" t="s">
        <v>9</v>
      </c>
      <c r="D3205">
        <v>100</v>
      </c>
      <c r="E3205" t="s">
        <v>197</v>
      </c>
      <c r="F3205">
        <v>1010</v>
      </c>
      <c r="G3205" t="s">
        <v>9</v>
      </c>
      <c r="H3205">
        <v>2705</v>
      </c>
      <c r="I3205" t="s">
        <v>9</v>
      </c>
      <c r="J3205">
        <v>3050</v>
      </c>
      <c r="K3205" t="s">
        <v>1460</v>
      </c>
      <c r="L3205">
        <v>4145</v>
      </c>
      <c r="M3205" t="s">
        <v>1461</v>
      </c>
      <c r="N3205" t="s">
        <v>1351</v>
      </c>
      <c r="O3205">
        <v>2</v>
      </c>
      <c r="P3205">
        <v>9105</v>
      </c>
      <c r="Q3205" t="s">
        <v>1462</v>
      </c>
      <c r="R3205" t="s">
        <v>201</v>
      </c>
      <c r="S3205">
        <v>2</v>
      </c>
      <c r="T3205">
        <v>1</v>
      </c>
      <c r="U3205">
        <v>48588</v>
      </c>
      <c r="V3205">
        <v>97176</v>
      </c>
    </row>
    <row r="3206" spans="1:22">
      <c r="A3206" t="s">
        <v>196</v>
      </c>
      <c r="B3206">
        <v>58</v>
      </c>
      <c r="C3206" t="s">
        <v>9</v>
      </c>
      <c r="D3206">
        <v>100</v>
      </c>
      <c r="E3206" t="s">
        <v>197</v>
      </c>
      <c r="F3206">
        <v>1010</v>
      </c>
      <c r="G3206" t="s">
        <v>9</v>
      </c>
      <c r="H3206">
        <v>2705</v>
      </c>
      <c r="I3206" t="s">
        <v>9</v>
      </c>
      <c r="J3206">
        <v>3050</v>
      </c>
      <c r="K3206" t="s">
        <v>1460</v>
      </c>
      <c r="L3206">
        <v>4145</v>
      </c>
      <c r="M3206" t="s">
        <v>1461</v>
      </c>
      <c r="N3206" t="s">
        <v>710</v>
      </c>
      <c r="O3206">
        <v>2</v>
      </c>
      <c r="P3206">
        <v>9104</v>
      </c>
      <c r="Q3206" t="s">
        <v>1463</v>
      </c>
      <c r="R3206" t="s">
        <v>713</v>
      </c>
      <c r="S3206">
        <v>122000</v>
      </c>
      <c r="T3206">
        <v>0</v>
      </c>
      <c r="U3206">
        <v>25.54</v>
      </c>
      <c r="V3206">
        <v>3115880</v>
      </c>
    </row>
    <row r="3207" spans="1:22">
      <c r="A3207" t="s">
        <v>196</v>
      </c>
      <c r="B3207">
        <v>58</v>
      </c>
      <c r="C3207" t="s">
        <v>9</v>
      </c>
      <c r="D3207">
        <v>100</v>
      </c>
      <c r="E3207" t="s">
        <v>197</v>
      </c>
      <c r="F3207">
        <v>1010</v>
      </c>
      <c r="G3207" t="s">
        <v>9</v>
      </c>
      <c r="H3207">
        <v>2705</v>
      </c>
      <c r="I3207" t="s">
        <v>9</v>
      </c>
      <c r="J3207">
        <v>3050</v>
      </c>
      <c r="K3207" t="s">
        <v>1460</v>
      </c>
      <c r="L3207">
        <v>4145</v>
      </c>
      <c r="M3207" t="s">
        <v>1461</v>
      </c>
      <c r="N3207" t="s">
        <v>343</v>
      </c>
      <c r="O3207">
        <v>10</v>
      </c>
      <c r="P3207">
        <v>6291</v>
      </c>
      <c r="Q3207" t="s">
        <v>1464</v>
      </c>
      <c r="R3207" t="s">
        <v>201</v>
      </c>
      <c r="S3207">
        <v>1</v>
      </c>
      <c r="T3207">
        <v>1</v>
      </c>
      <c r="U3207">
        <v>124584</v>
      </c>
      <c r="V3207">
        <v>124584</v>
      </c>
    </row>
    <row r="3208" spans="1:22">
      <c r="A3208" t="s">
        <v>196</v>
      </c>
      <c r="B3208">
        <v>58</v>
      </c>
      <c r="C3208" t="s">
        <v>9</v>
      </c>
      <c r="D3208">
        <v>100</v>
      </c>
      <c r="E3208" t="s">
        <v>197</v>
      </c>
      <c r="F3208">
        <v>1010</v>
      </c>
      <c r="G3208" t="s">
        <v>9</v>
      </c>
      <c r="H3208">
        <v>2705</v>
      </c>
      <c r="I3208" t="s">
        <v>9</v>
      </c>
      <c r="J3208">
        <v>3050</v>
      </c>
      <c r="K3208" t="s">
        <v>1460</v>
      </c>
      <c r="L3208">
        <v>4145</v>
      </c>
      <c r="M3208" t="s">
        <v>1461</v>
      </c>
      <c r="N3208" t="s">
        <v>251</v>
      </c>
      <c r="O3208">
        <v>10</v>
      </c>
      <c r="P3208">
        <v>6290</v>
      </c>
      <c r="Q3208" t="s">
        <v>1465</v>
      </c>
      <c r="R3208" t="s">
        <v>201</v>
      </c>
      <c r="S3208">
        <v>2</v>
      </c>
      <c r="T3208">
        <v>1</v>
      </c>
      <c r="U3208">
        <v>113568</v>
      </c>
      <c r="V3208">
        <v>227136</v>
      </c>
    </row>
    <row r="3209" spans="1:22">
      <c r="A3209" t="s">
        <v>196</v>
      </c>
      <c r="B3209">
        <v>58</v>
      </c>
      <c r="C3209" t="s">
        <v>9</v>
      </c>
      <c r="D3209">
        <v>100</v>
      </c>
      <c r="E3209" t="s">
        <v>197</v>
      </c>
      <c r="F3209">
        <v>1010</v>
      </c>
      <c r="G3209" t="s">
        <v>9</v>
      </c>
      <c r="H3209">
        <v>2705</v>
      </c>
      <c r="I3209" t="s">
        <v>9</v>
      </c>
      <c r="J3209">
        <v>3050</v>
      </c>
      <c r="K3209" t="s">
        <v>1460</v>
      </c>
      <c r="L3209">
        <v>4145</v>
      </c>
      <c r="M3209" t="s">
        <v>1461</v>
      </c>
      <c r="N3209" t="s">
        <v>251</v>
      </c>
      <c r="O3209">
        <v>10</v>
      </c>
      <c r="P3209">
        <v>6290</v>
      </c>
      <c r="Q3209" t="s">
        <v>1465</v>
      </c>
      <c r="R3209" t="s">
        <v>201</v>
      </c>
      <c r="S3209">
        <v>1</v>
      </c>
      <c r="T3209">
        <v>1</v>
      </c>
      <c r="U3209">
        <v>76476</v>
      </c>
      <c r="V3209">
        <v>76476</v>
      </c>
    </row>
    <row r="3210" spans="1:22">
      <c r="A3210" t="s">
        <v>196</v>
      </c>
      <c r="B3210">
        <v>58</v>
      </c>
      <c r="C3210" t="s">
        <v>9</v>
      </c>
      <c r="D3210">
        <v>100</v>
      </c>
      <c r="E3210" t="s">
        <v>197</v>
      </c>
      <c r="F3210">
        <v>1010</v>
      </c>
      <c r="G3210" t="s">
        <v>9</v>
      </c>
      <c r="H3210">
        <v>2705</v>
      </c>
      <c r="I3210" t="s">
        <v>9</v>
      </c>
      <c r="J3210">
        <v>3050</v>
      </c>
      <c r="K3210" t="s">
        <v>1460</v>
      </c>
      <c r="L3210">
        <v>4145</v>
      </c>
      <c r="M3210" t="s">
        <v>1461</v>
      </c>
      <c r="N3210" t="s">
        <v>372</v>
      </c>
      <c r="O3210">
        <v>1</v>
      </c>
      <c r="P3210">
        <v>6144</v>
      </c>
      <c r="Q3210" t="s">
        <v>1466</v>
      </c>
      <c r="R3210" t="s">
        <v>201</v>
      </c>
      <c r="S3210">
        <v>1</v>
      </c>
      <c r="T3210">
        <v>1</v>
      </c>
      <c r="U3210">
        <v>85200</v>
      </c>
      <c r="V3210">
        <v>85200</v>
      </c>
    </row>
    <row r="3211" spans="1:22">
      <c r="A3211" t="s">
        <v>196</v>
      </c>
      <c r="B3211">
        <v>58</v>
      </c>
      <c r="C3211" t="s">
        <v>9</v>
      </c>
      <c r="D3211">
        <v>100</v>
      </c>
      <c r="E3211" t="s">
        <v>197</v>
      </c>
      <c r="F3211">
        <v>1010</v>
      </c>
      <c r="G3211" t="s">
        <v>9</v>
      </c>
      <c r="H3211">
        <v>2705</v>
      </c>
      <c r="I3211" t="s">
        <v>9</v>
      </c>
      <c r="J3211">
        <v>3050</v>
      </c>
      <c r="K3211" t="s">
        <v>1460</v>
      </c>
      <c r="L3211">
        <v>4145</v>
      </c>
      <c r="M3211" t="s">
        <v>1461</v>
      </c>
      <c r="N3211" t="s">
        <v>351</v>
      </c>
      <c r="O3211">
        <v>1</v>
      </c>
      <c r="P3211" t="s">
        <v>352</v>
      </c>
      <c r="Q3211" t="s">
        <v>353</v>
      </c>
      <c r="R3211" t="s">
        <v>201</v>
      </c>
      <c r="S3211">
        <v>1</v>
      </c>
      <c r="T3211">
        <v>1</v>
      </c>
      <c r="U3211">
        <v>108576</v>
      </c>
      <c r="V3211">
        <v>108576</v>
      </c>
    </row>
    <row r="3212" spans="1:22">
      <c r="A3212" t="s">
        <v>196</v>
      </c>
      <c r="B3212">
        <v>58</v>
      </c>
      <c r="C3212" t="s">
        <v>9</v>
      </c>
      <c r="D3212">
        <v>100</v>
      </c>
      <c r="E3212" t="s">
        <v>197</v>
      </c>
      <c r="F3212">
        <v>1010</v>
      </c>
      <c r="G3212" t="s">
        <v>9</v>
      </c>
      <c r="H3212">
        <v>2705</v>
      </c>
      <c r="I3212" t="s">
        <v>9</v>
      </c>
      <c r="J3212">
        <v>3050</v>
      </c>
      <c r="K3212" t="s">
        <v>1460</v>
      </c>
      <c r="L3212">
        <v>4145</v>
      </c>
      <c r="M3212" t="s">
        <v>1461</v>
      </c>
      <c r="N3212" t="s">
        <v>199</v>
      </c>
      <c r="O3212">
        <v>0</v>
      </c>
      <c r="P3212">
        <v>15</v>
      </c>
      <c r="Q3212" t="s">
        <v>264</v>
      </c>
      <c r="R3212" t="s">
        <v>201</v>
      </c>
      <c r="S3212">
        <v>0</v>
      </c>
      <c r="T3212">
        <v>0</v>
      </c>
      <c r="U3212">
        <v>12880</v>
      </c>
      <c r="V3212">
        <v>12880</v>
      </c>
    </row>
    <row r="3213" spans="1:22">
      <c r="A3213" t="s">
        <v>196</v>
      </c>
      <c r="B3213">
        <v>59</v>
      </c>
      <c r="C3213" t="s">
        <v>3</v>
      </c>
      <c r="D3213">
        <v>100</v>
      </c>
      <c r="E3213" t="s">
        <v>197</v>
      </c>
      <c r="F3213">
        <v>1005</v>
      </c>
      <c r="G3213" t="s">
        <v>3</v>
      </c>
      <c r="H3213">
        <v>2005</v>
      </c>
      <c r="I3213" t="s">
        <v>3</v>
      </c>
      <c r="J3213">
        <v>3100</v>
      </c>
      <c r="K3213" t="s">
        <v>891</v>
      </c>
      <c r="L3213">
        <v>4100</v>
      </c>
      <c r="M3213" t="s">
        <v>1467</v>
      </c>
      <c r="N3213" t="s">
        <v>199</v>
      </c>
      <c r="O3213">
        <v>9</v>
      </c>
      <c r="P3213">
        <v>9959</v>
      </c>
      <c r="Q3213" t="s">
        <v>1468</v>
      </c>
      <c r="R3213" t="s">
        <v>201</v>
      </c>
      <c r="S3213">
        <v>1</v>
      </c>
      <c r="T3213">
        <v>1</v>
      </c>
      <c r="U3213">
        <v>249780</v>
      </c>
      <c r="V3213">
        <v>249780</v>
      </c>
    </row>
    <row r="3214" spans="1:22">
      <c r="A3214" t="s">
        <v>196</v>
      </c>
      <c r="B3214">
        <v>59</v>
      </c>
      <c r="C3214" t="s">
        <v>3</v>
      </c>
      <c r="D3214">
        <v>100</v>
      </c>
      <c r="E3214" t="s">
        <v>197</v>
      </c>
      <c r="F3214">
        <v>1005</v>
      </c>
      <c r="G3214" t="s">
        <v>3</v>
      </c>
      <c r="H3214">
        <v>2005</v>
      </c>
      <c r="I3214" t="s">
        <v>3</v>
      </c>
      <c r="J3214">
        <v>3100</v>
      </c>
      <c r="K3214" t="s">
        <v>891</v>
      </c>
      <c r="L3214">
        <v>4100</v>
      </c>
      <c r="M3214" t="s">
        <v>1467</v>
      </c>
      <c r="N3214" t="s">
        <v>1294</v>
      </c>
      <c r="O3214">
        <v>0</v>
      </c>
      <c r="P3214">
        <v>9681</v>
      </c>
      <c r="Q3214" t="s">
        <v>338</v>
      </c>
      <c r="R3214" t="s">
        <v>201</v>
      </c>
      <c r="S3214">
        <v>1</v>
      </c>
      <c r="T3214">
        <v>1</v>
      </c>
      <c r="U3214">
        <v>172920</v>
      </c>
      <c r="V3214">
        <v>172920</v>
      </c>
    </row>
    <row r="3215" spans="1:22">
      <c r="A3215" t="s">
        <v>196</v>
      </c>
      <c r="B3215">
        <v>59</v>
      </c>
      <c r="C3215" t="s">
        <v>3</v>
      </c>
      <c r="D3215">
        <v>100</v>
      </c>
      <c r="E3215" t="s">
        <v>197</v>
      </c>
      <c r="F3215">
        <v>1005</v>
      </c>
      <c r="G3215" t="s">
        <v>3</v>
      </c>
      <c r="H3215">
        <v>2005</v>
      </c>
      <c r="I3215" t="s">
        <v>3</v>
      </c>
      <c r="J3215">
        <v>3100</v>
      </c>
      <c r="K3215" t="s">
        <v>891</v>
      </c>
      <c r="L3215">
        <v>4100</v>
      </c>
      <c r="M3215" t="s">
        <v>1467</v>
      </c>
      <c r="N3215" t="s">
        <v>216</v>
      </c>
      <c r="O3215">
        <v>89</v>
      </c>
      <c r="P3215">
        <v>8763</v>
      </c>
      <c r="Q3215" t="s">
        <v>1469</v>
      </c>
      <c r="R3215" t="s">
        <v>201</v>
      </c>
      <c r="S3215">
        <v>1</v>
      </c>
      <c r="T3215">
        <v>1</v>
      </c>
      <c r="U3215">
        <v>205560</v>
      </c>
      <c r="V3215">
        <v>205560</v>
      </c>
    </row>
    <row r="3216" spans="1:22">
      <c r="A3216" t="s">
        <v>196</v>
      </c>
      <c r="B3216">
        <v>59</v>
      </c>
      <c r="C3216" t="s">
        <v>3</v>
      </c>
      <c r="D3216">
        <v>100</v>
      </c>
      <c r="E3216" t="s">
        <v>197</v>
      </c>
      <c r="F3216">
        <v>1005</v>
      </c>
      <c r="G3216" t="s">
        <v>3</v>
      </c>
      <c r="H3216">
        <v>2005</v>
      </c>
      <c r="I3216" t="s">
        <v>3</v>
      </c>
      <c r="J3216">
        <v>3100</v>
      </c>
      <c r="K3216" t="s">
        <v>891</v>
      </c>
      <c r="L3216">
        <v>4100</v>
      </c>
      <c r="M3216" t="s">
        <v>1467</v>
      </c>
      <c r="N3216" t="s">
        <v>1470</v>
      </c>
      <c r="O3216">
        <v>87</v>
      </c>
      <c r="P3216">
        <v>8735</v>
      </c>
      <c r="Q3216" t="s">
        <v>1323</v>
      </c>
      <c r="R3216" t="s">
        <v>201</v>
      </c>
      <c r="S3216">
        <v>1</v>
      </c>
      <c r="T3216">
        <v>1</v>
      </c>
      <c r="U3216">
        <v>115938</v>
      </c>
      <c r="V3216">
        <v>115938</v>
      </c>
    </row>
    <row r="3217" spans="1:22">
      <c r="A3217" t="s">
        <v>196</v>
      </c>
      <c r="B3217">
        <v>59</v>
      </c>
      <c r="C3217" t="s">
        <v>3</v>
      </c>
      <c r="D3217">
        <v>100</v>
      </c>
      <c r="E3217" t="s">
        <v>197</v>
      </c>
      <c r="F3217">
        <v>1005</v>
      </c>
      <c r="G3217" t="s">
        <v>3</v>
      </c>
      <c r="H3217">
        <v>2005</v>
      </c>
      <c r="I3217" t="s">
        <v>3</v>
      </c>
      <c r="J3217">
        <v>3100</v>
      </c>
      <c r="K3217" t="s">
        <v>891</v>
      </c>
      <c r="L3217">
        <v>4100</v>
      </c>
      <c r="M3217" t="s">
        <v>1467</v>
      </c>
      <c r="N3217" t="s">
        <v>251</v>
      </c>
      <c r="O3217">
        <v>10</v>
      </c>
      <c r="P3217">
        <v>802</v>
      </c>
      <c r="Q3217" t="s">
        <v>252</v>
      </c>
      <c r="R3217" t="s">
        <v>201</v>
      </c>
      <c r="S3217">
        <v>1</v>
      </c>
      <c r="T3217">
        <v>1</v>
      </c>
      <c r="U3217">
        <v>94332</v>
      </c>
      <c r="V3217">
        <v>94332</v>
      </c>
    </row>
    <row r="3218" spans="1:22">
      <c r="A3218" t="s">
        <v>196</v>
      </c>
      <c r="B3218">
        <v>59</v>
      </c>
      <c r="C3218" t="s">
        <v>3</v>
      </c>
      <c r="D3218">
        <v>100</v>
      </c>
      <c r="E3218" t="s">
        <v>197</v>
      </c>
      <c r="F3218">
        <v>1005</v>
      </c>
      <c r="G3218" t="s">
        <v>3</v>
      </c>
      <c r="H3218">
        <v>2005</v>
      </c>
      <c r="I3218" t="s">
        <v>3</v>
      </c>
      <c r="J3218">
        <v>3100</v>
      </c>
      <c r="K3218" t="s">
        <v>891</v>
      </c>
      <c r="L3218">
        <v>4100</v>
      </c>
      <c r="M3218" t="s">
        <v>1467</v>
      </c>
      <c r="N3218" t="s">
        <v>1314</v>
      </c>
      <c r="O3218">
        <v>0</v>
      </c>
      <c r="P3218" t="s">
        <v>1471</v>
      </c>
      <c r="Q3218" t="s">
        <v>605</v>
      </c>
      <c r="R3218" t="s">
        <v>201</v>
      </c>
      <c r="S3218">
        <v>1</v>
      </c>
      <c r="T3218">
        <v>1</v>
      </c>
      <c r="U3218">
        <v>160680</v>
      </c>
      <c r="V3218">
        <v>160680</v>
      </c>
    </row>
    <row r="3219" spans="1:22">
      <c r="A3219" t="s">
        <v>196</v>
      </c>
      <c r="B3219">
        <v>59</v>
      </c>
      <c r="C3219" t="s">
        <v>3</v>
      </c>
      <c r="D3219">
        <v>100</v>
      </c>
      <c r="E3219" t="s">
        <v>197</v>
      </c>
      <c r="F3219">
        <v>1005</v>
      </c>
      <c r="G3219" t="s">
        <v>3</v>
      </c>
      <c r="H3219">
        <v>2005</v>
      </c>
      <c r="I3219" t="s">
        <v>3</v>
      </c>
      <c r="J3219">
        <v>3100</v>
      </c>
      <c r="K3219" t="s">
        <v>891</v>
      </c>
      <c r="L3219">
        <v>4100</v>
      </c>
      <c r="M3219" t="s">
        <v>1467</v>
      </c>
      <c r="N3219" t="s">
        <v>199</v>
      </c>
      <c r="O3219">
        <v>0</v>
      </c>
      <c r="P3219">
        <v>15</v>
      </c>
      <c r="Q3219" t="s">
        <v>264</v>
      </c>
      <c r="R3219" t="s">
        <v>201</v>
      </c>
      <c r="S3219">
        <v>0</v>
      </c>
      <c r="T3219">
        <v>0</v>
      </c>
      <c r="U3219">
        <v>13746</v>
      </c>
      <c r="V3219">
        <v>13746</v>
      </c>
    </row>
    <row r="3220" spans="1:22">
      <c r="A3220" t="s">
        <v>196</v>
      </c>
      <c r="B3220">
        <v>59</v>
      </c>
      <c r="C3220" t="s">
        <v>3</v>
      </c>
      <c r="D3220">
        <v>100</v>
      </c>
      <c r="E3220" t="s">
        <v>197</v>
      </c>
      <c r="F3220">
        <v>1005</v>
      </c>
      <c r="G3220" t="s">
        <v>3</v>
      </c>
      <c r="H3220">
        <v>2005</v>
      </c>
      <c r="I3220" t="s">
        <v>3</v>
      </c>
      <c r="J3220">
        <v>3100</v>
      </c>
      <c r="K3220" t="s">
        <v>891</v>
      </c>
      <c r="L3220">
        <v>4103</v>
      </c>
      <c r="M3220" t="s">
        <v>1472</v>
      </c>
      <c r="N3220" t="s">
        <v>257</v>
      </c>
      <c r="O3220">
        <v>9</v>
      </c>
      <c r="P3220">
        <v>9716</v>
      </c>
      <c r="Q3220" t="s">
        <v>1308</v>
      </c>
      <c r="R3220" t="s">
        <v>201</v>
      </c>
      <c r="S3220">
        <v>1</v>
      </c>
      <c r="T3220">
        <v>1</v>
      </c>
      <c r="U3220">
        <v>143880</v>
      </c>
      <c r="V3220">
        <v>143880</v>
      </c>
    </row>
    <row r="3221" spans="1:22">
      <c r="A3221" t="s">
        <v>196</v>
      </c>
      <c r="B3221">
        <v>59</v>
      </c>
      <c r="C3221" t="s">
        <v>3</v>
      </c>
      <c r="D3221">
        <v>100</v>
      </c>
      <c r="E3221" t="s">
        <v>197</v>
      </c>
      <c r="F3221">
        <v>1005</v>
      </c>
      <c r="G3221" t="s">
        <v>3</v>
      </c>
      <c r="H3221">
        <v>2005</v>
      </c>
      <c r="I3221" t="s">
        <v>3</v>
      </c>
      <c r="J3221">
        <v>3100</v>
      </c>
      <c r="K3221" t="s">
        <v>891</v>
      </c>
      <c r="L3221">
        <v>4103</v>
      </c>
      <c r="M3221" t="s">
        <v>1472</v>
      </c>
      <c r="N3221" t="s">
        <v>777</v>
      </c>
      <c r="O3221">
        <v>9</v>
      </c>
      <c r="P3221">
        <v>9715</v>
      </c>
      <c r="Q3221" t="s">
        <v>778</v>
      </c>
      <c r="R3221" t="s">
        <v>201</v>
      </c>
      <c r="S3221">
        <v>1</v>
      </c>
      <c r="T3221">
        <v>1</v>
      </c>
      <c r="U3221">
        <v>120324</v>
      </c>
      <c r="V3221">
        <v>120324</v>
      </c>
    </row>
    <row r="3222" spans="1:22">
      <c r="A3222" t="s">
        <v>196</v>
      </c>
      <c r="B3222">
        <v>59</v>
      </c>
      <c r="C3222" t="s">
        <v>3</v>
      </c>
      <c r="D3222">
        <v>100</v>
      </c>
      <c r="E3222" t="s">
        <v>197</v>
      </c>
      <c r="F3222">
        <v>1005</v>
      </c>
      <c r="G3222" t="s">
        <v>3</v>
      </c>
      <c r="H3222">
        <v>2005</v>
      </c>
      <c r="I3222" t="s">
        <v>3</v>
      </c>
      <c r="J3222">
        <v>3100</v>
      </c>
      <c r="K3222" t="s">
        <v>891</v>
      </c>
      <c r="L3222">
        <v>4103</v>
      </c>
      <c r="M3222" t="s">
        <v>1472</v>
      </c>
      <c r="N3222" t="s">
        <v>216</v>
      </c>
      <c r="O3222">
        <v>89</v>
      </c>
      <c r="P3222">
        <v>8721</v>
      </c>
      <c r="Q3222" t="s">
        <v>1473</v>
      </c>
      <c r="R3222" t="s">
        <v>201</v>
      </c>
      <c r="S3222">
        <v>1</v>
      </c>
      <c r="T3222">
        <v>1</v>
      </c>
      <c r="U3222">
        <v>193656</v>
      </c>
      <c r="V3222">
        <v>193656</v>
      </c>
    </row>
    <row r="3223" spans="1:22">
      <c r="A3223" t="s">
        <v>196</v>
      </c>
      <c r="B3223">
        <v>59</v>
      </c>
      <c r="C3223" t="s">
        <v>3</v>
      </c>
      <c r="D3223">
        <v>100</v>
      </c>
      <c r="E3223" t="s">
        <v>197</v>
      </c>
      <c r="F3223">
        <v>1005</v>
      </c>
      <c r="G3223" t="s">
        <v>3</v>
      </c>
      <c r="H3223">
        <v>2005</v>
      </c>
      <c r="I3223" t="s">
        <v>3</v>
      </c>
      <c r="J3223">
        <v>3100</v>
      </c>
      <c r="K3223" t="s">
        <v>891</v>
      </c>
      <c r="L3223">
        <v>4107</v>
      </c>
      <c r="M3223" t="s">
        <v>1474</v>
      </c>
      <c r="N3223" t="s">
        <v>216</v>
      </c>
      <c r="O3223">
        <v>89</v>
      </c>
      <c r="P3223">
        <v>8763</v>
      </c>
      <c r="Q3223" t="s">
        <v>1469</v>
      </c>
      <c r="R3223" t="s">
        <v>201</v>
      </c>
      <c r="S3223">
        <v>1</v>
      </c>
      <c r="T3223">
        <v>1</v>
      </c>
      <c r="U3223">
        <v>205560</v>
      </c>
      <c r="V3223">
        <v>205560</v>
      </c>
    </row>
    <row r="3224" spans="1:22">
      <c r="A3224" t="s">
        <v>196</v>
      </c>
      <c r="B3224">
        <v>59</v>
      </c>
      <c r="C3224" t="s">
        <v>3</v>
      </c>
      <c r="D3224">
        <v>100</v>
      </c>
      <c r="E3224" t="s">
        <v>197</v>
      </c>
      <c r="F3224">
        <v>1005</v>
      </c>
      <c r="G3224" t="s">
        <v>3</v>
      </c>
      <c r="H3224">
        <v>2005</v>
      </c>
      <c r="I3224" t="s">
        <v>3</v>
      </c>
      <c r="J3224">
        <v>3100</v>
      </c>
      <c r="K3224" t="s">
        <v>891</v>
      </c>
      <c r="L3224">
        <v>4107</v>
      </c>
      <c r="M3224" t="s">
        <v>1474</v>
      </c>
      <c r="N3224" t="s">
        <v>1475</v>
      </c>
      <c r="O3224">
        <v>80</v>
      </c>
      <c r="P3224">
        <v>8726</v>
      </c>
      <c r="Q3224" t="s">
        <v>1476</v>
      </c>
      <c r="R3224" t="s">
        <v>201</v>
      </c>
      <c r="S3224">
        <v>1</v>
      </c>
      <c r="T3224">
        <v>1</v>
      </c>
      <c r="U3224">
        <v>152412</v>
      </c>
      <c r="V3224">
        <v>152412</v>
      </c>
    </row>
    <row r="3225" spans="1:22">
      <c r="A3225" t="s">
        <v>196</v>
      </c>
      <c r="B3225">
        <v>59</v>
      </c>
      <c r="C3225" t="s">
        <v>3</v>
      </c>
      <c r="D3225">
        <v>100</v>
      </c>
      <c r="E3225" t="s">
        <v>197</v>
      </c>
      <c r="F3225">
        <v>1005</v>
      </c>
      <c r="G3225" t="s">
        <v>3</v>
      </c>
      <c r="H3225">
        <v>2005</v>
      </c>
      <c r="I3225" t="s">
        <v>3</v>
      </c>
      <c r="J3225">
        <v>3100</v>
      </c>
      <c r="K3225" t="s">
        <v>891</v>
      </c>
      <c r="L3225">
        <v>4107</v>
      </c>
      <c r="M3225" t="s">
        <v>1474</v>
      </c>
      <c r="N3225" t="s">
        <v>245</v>
      </c>
      <c r="O3225">
        <v>20</v>
      </c>
      <c r="P3225">
        <v>289</v>
      </c>
      <c r="Q3225" t="s">
        <v>1017</v>
      </c>
      <c r="R3225" t="s">
        <v>201</v>
      </c>
      <c r="S3225">
        <v>1</v>
      </c>
      <c r="T3225">
        <v>1</v>
      </c>
      <c r="U3225">
        <v>115992</v>
      </c>
      <c r="V3225">
        <v>115992</v>
      </c>
    </row>
    <row r="3226" spans="1:22">
      <c r="A3226" t="s">
        <v>196</v>
      </c>
      <c r="B3226">
        <v>59</v>
      </c>
      <c r="C3226" t="s">
        <v>3</v>
      </c>
      <c r="D3226">
        <v>100</v>
      </c>
      <c r="E3226" t="s">
        <v>197</v>
      </c>
      <c r="F3226">
        <v>1005</v>
      </c>
      <c r="G3226" t="s">
        <v>3</v>
      </c>
      <c r="H3226">
        <v>2005</v>
      </c>
      <c r="I3226" t="s">
        <v>3</v>
      </c>
      <c r="J3226">
        <v>3100</v>
      </c>
      <c r="K3226" t="s">
        <v>891</v>
      </c>
      <c r="L3226">
        <v>4143</v>
      </c>
      <c r="M3226" t="s">
        <v>1477</v>
      </c>
      <c r="N3226" t="s">
        <v>253</v>
      </c>
      <c r="O3226">
        <v>10</v>
      </c>
      <c r="P3226">
        <v>1256</v>
      </c>
      <c r="Q3226" t="s">
        <v>727</v>
      </c>
      <c r="R3226" t="s">
        <v>201</v>
      </c>
      <c r="S3226">
        <v>1</v>
      </c>
      <c r="T3226">
        <v>1</v>
      </c>
      <c r="U3226">
        <v>103488</v>
      </c>
      <c r="V3226">
        <v>103488</v>
      </c>
    </row>
    <row r="3227" spans="1:22">
      <c r="A3227" t="s">
        <v>196</v>
      </c>
      <c r="B3227">
        <v>59</v>
      </c>
      <c r="C3227" t="s">
        <v>3</v>
      </c>
      <c r="D3227">
        <v>100</v>
      </c>
      <c r="E3227" t="s">
        <v>197</v>
      </c>
      <c r="F3227">
        <v>1005</v>
      </c>
      <c r="G3227" t="s">
        <v>3</v>
      </c>
      <c r="H3227">
        <v>2005</v>
      </c>
      <c r="I3227" t="s">
        <v>3</v>
      </c>
      <c r="J3227">
        <v>3100</v>
      </c>
      <c r="K3227" t="s">
        <v>891</v>
      </c>
      <c r="L3227">
        <v>4143</v>
      </c>
      <c r="M3227" t="s">
        <v>1477</v>
      </c>
      <c r="N3227" t="s">
        <v>253</v>
      </c>
      <c r="O3227">
        <v>10</v>
      </c>
      <c r="P3227">
        <v>1256</v>
      </c>
      <c r="Q3227" t="s">
        <v>727</v>
      </c>
      <c r="R3227" t="s">
        <v>201</v>
      </c>
      <c r="S3227">
        <v>1</v>
      </c>
      <c r="T3227">
        <v>1</v>
      </c>
      <c r="U3227">
        <v>85128</v>
      </c>
      <c r="V3227">
        <v>85128</v>
      </c>
    </row>
    <row r="3228" spans="1:22">
      <c r="A3228" t="s">
        <v>196</v>
      </c>
      <c r="B3228">
        <v>59</v>
      </c>
      <c r="C3228" t="s">
        <v>3</v>
      </c>
      <c r="D3228">
        <v>100</v>
      </c>
      <c r="E3228" t="s">
        <v>197</v>
      </c>
      <c r="F3228">
        <v>1005</v>
      </c>
      <c r="G3228" t="s">
        <v>3</v>
      </c>
      <c r="H3228">
        <v>2005</v>
      </c>
      <c r="I3228" t="s">
        <v>3</v>
      </c>
      <c r="J3228">
        <v>3100</v>
      </c>
      <c r="K3228" t="s">
        <v>891</v>
      </c>
      <c r="L3228">
        <v>4143</v>
      </c>
      <c r="M3228" t="s">
        <v>1477</v>
      </c>
      <c r="N3228" t="s">
        <v>268</v>
      </c>
      <c r="O3228">
        <v>20</v>
      </c>
      <c r="P3228">
        <v>1254</v>
      </c>
      <c r="Q3228" t="s">
        <v>1478</v>
      </c>
      <c r="R3228" t="s">
        <v>201</v>
      </c>
      <c r="S3228">
        <v>1</v>
      </c>
      <c r="T3228">
        <v>1</v>
      </c>
      <c r="U3228">
        <v>113568</v>
      </c>
      <c r="V3228">
        <v>113568</v>
      </c>
    </row>
    <row r="3229" spans="1:22">
      <c r="A3229" t="s">
        <v>196</v>
      </c>
      <c r="B3229">
        <v>59</v>
      </c>
      <c r="C3229" t="s">
        <v>3</v>
      </c>
      <c r="D3229">
        <v>100</v>
      </c>
      <c r="E3229" t="s">
        <v>197</v>
      </c>
      <c r="F3229">
        <v>1005</v>
      </c>
      <c r="G3229" t="s">
        <v>3</v>
      </c>
      <c r="H3229">
        <v>2005</v>
      </c>
      <c r="I3229" t="s">
        <v>3</v>
      </c>
      <c r="J3229">
        <v>3100</v>
      </c>
      <c r="K3229" t="s">
        <v>891</v>
      </c>
      <c r="L3229">
        <v>4143</v>
      </c>
      <c r="M3229" t="s">
        <v>1477</v>
      </c>
      <c r="N3229" t="s">
        <v>268</v>
      </c>
      <c r="O3229">
        <v>20</v>
      </c>
      <c r="P3229">
        <v>1254</v>
      </c>
      <c r="Q3229" t="s">
        <v>1478</v>
      </c>
      <c r="R3229" t="s">
        <v>201</v>
      </c>
      <c r="S3229">
        <v>1</v>
      </c>
      <c r="T3229">
        <v>1</v>
      </c>
      <c r="U3229">
        <v>69684</v>
      </c>
      <c r="V3229">
        <v>69684</v>
      </c>
    </row>
    <row r="3230" spans="1:22">
      <c r="A3230" t="s">
        <v>196</v>
      </c>
      <c r="B3230">
        <v>59</v>
      </c>
      <c r="C3230" t="s">
        <v>3</v>
      </c>
      <c r="D3230">
        <v>100</v>
      </c>
      <c r="E3230" t="s">
        <v>197</v>
      </c>
      <c r="F3230">
        <v>1005</v>
      </c>
      <c r="G3230" t="s">
        <v>3</v>
      </c>
      <c r="H3230">
        <v>2005</v>
      </c>
      <c r="I3230" t="s">
        <v>3</v>
      </c>
      <c r="J3230">
        <v>3100</v>
      </c>
      <c r="K3230" t="s">
        <v>891</v>
      </c>
      <c r="L3230">
        <v>4143</v>
      </c>
      <c r="M3230" t="s">
        <v>1477</v>
      </c>
      <c r="N3230" t="s">
        <v>294</v>
      </c>
      <c r="O3230">
        <v>10</v>
      </c>
      <c r="P3230">
        <v>1235</v>
      </c>
      <c r="Q3230" t="s">
        <v>1326</v>
      </c>
      <c r="R3230" t="s">
        <v>201</v>
      </c>
      <c r="S3230">
        <v>1</v>
      </c>
      <c r="T3230">
        <v>1</v>
      </c>
      <c r="U3230">
        <v>103488</v>
      </c>
      <c r="V3230">
        <v>103488</v>
      </c>
    </row>
    <row r="3231" spans="1:22">
      <c r="A3231" t="s">
        <v>196</v>
      </c>
      <c r="B3231">
        <v>59</v>
      </c>
      <c r="C3231" t="s">
        <v>3</v>
      </c>
      <c r="D3231">
        <v>100</v>
      </c>
      <c r="E3231" t="s">
        <v>197</v>
      </c>
      <c r="F3231">
        <v>1005</v>
      </c>
      <c r="G3231" t="s">
        <v>3</v>
      </c>
      <c r="H3231">
        <v>2005</v>
      </c>
      <c r="I3231" t="s">
        <v>3</v>
      </c>
      <c r="J3231">
        <v>3100</v>
      </c>
      <c r="K3231" t="s">
        <v>891</v>
      </c>
      <c r="L3231">
        <v>4143</v>
      </c>
      <c r="M3231" t="s">
        <v>1477</v>
      </c>
      <c r="N3231" t="s">
        <v>294</v>
      </c>
      <c r="O3231">
        <v>10</v>
      </c>
      <c r="P3231">
        <v>1235</v>
      </c>
      <c r="Q3231" t="s">
        <v>1326</v>
      </c>
      <c r="R3231" t="s">
        <v>201</v>
      </c>
      <c r="S3231">
        <v>1</v>
      </c>
      <c r="T3231">
        <v>1</v>
      </c>
      <c r="U3231">
        <v>80916</v>
      </c>
      <c r="V3231">
        <v>80916</v>
      </c>
    </row>
    <row r="3232" spans="1:22">
      <c r="A3232" t="s">
        <v>196</v>
      </c>
      <c r="B3232">
        <v>59</v>
      </c>
      <c r="C3232" t="s">
        <v>3</v>
      </c>
      <c r="D3232">
        <v>100</v>
      </c>
      <c r="E3232" t="s">
        <v>197</v>
      </c>
      <c r="F3232">
        <v>1005</v>
      </c>
      <c r="G3232" t="s">
        <v>3</v>
      </c>
      <c r="H3232">
        <v>2005</v>
      </c>
      <c r="I3232" t="s">
        <v>3</v>
      </c>
      <c r="J3232">
        <v>3100</v>
      </c>
      <c r="K3232" t="s">
        <v>891</v>
      </c>
      <c r="L3232">
        <v>4143</v>
      </c>
      <c r="M3232" t="s">
        <v>1477</v>
      </c>
      <c r="N3232" t="s">
        <v>294</v>
      </c>
      <c r="O3232">
        <v>10</v>
      </c>
      <c r="P3232">
        <v>1235</v>
      </c>
      <c r="Q3232" t="s">
        <v>1326</v>
      </c>
      <c r="R3232" t="s">
        <v>201</v>
      </c>
      <c r="S3232">
        <v>1</v>
      </c>
      <c r="T3232">
        <v>1</v>
      </c>
      <c r="U3232">
        <v>72996</v>
      </c>
      <c r="V3232">
        <v>72996</v>
      </c>
    </row>
    <row r="3233" spans="1:22">
      <c r="A3233" t="s">
        <v>196</v>
      </c>
      <c r="B3233">
        <v>59</v>
      </c>
      <c r="C3233" t="s">
        <v>3</v>
      </c>
      <c r="D3233">
        <v>100</v>
      </c>
      <c r="E3233" t="s">
        <v>197</v>
      </c>
      <c r="F3233">
        <v>1005</v>
      </c>
      <c r="G3233" t="s">
        <v>3</v>
      </c>
      <c r="H3233">
        <v>2005</v>
      </c>
      <c r="I3233" t="s">
        <v>3</v>
      </c>
      <c r="J3233">
        <v>3100</v>
      </c>
      <c r="K3233" t="s">
        <v>891</v>
      </c>
      <c r="L3233">
        <v>4143</v>
      </c>
      <c r="M3233" t="s">
        <v>1477</v>
      </c>
      <c r="N3233" t="s">
        <v>294</v>
      </c>
      <c r="O3233">
        <v>10</v>
      </c>
      <c r="P3233">
        <v>1235</v>
      </c>
      <c r="Q3233" t="s">
        <v>1326</v>
      </c>
      <c r="R3233" t="s">
        <v>201</v>
      </c>
      <c r="S3233">
        <v>1</v>
      </c>
      <c r="T3233">
        <v>1</v>
      </c>
      <c r="U3233">
        <v>69684</v>
      </c>
      <c r="V3233">
        <v>69684</v>
      </c>
    </row>
    <row r="3234" spans="1:22">
      <c r="A3234" t="s">
        <v>196</v>
      </c>
      <c r="B3234">
        <v>59</v>
      </c>
      <c r="C3234" t="s">
        <v>3</v>
      </c>
      <c r="D3234">
        <v>100</v>
      </c>
      <c r="E3234" t="s">
        <v>197</v>
      </c>
      <c r="F3234">
        <v>1005</v>
      </c>
      <c r="G3234" t="s">
        <v>3</v>
      </c>
      <c r="H3234">
        <v>2005</v>
      </c>
      <c r="I3234" t="s">
        <v>3</v>
      </c>
      <c r="J3234">
        <v>3100</v>
      </c>
      <c r="K3234" t="s">
        <v>891</v>
      </c>
      <c r="L3234">
        <v>4143</v>
      </c>
      <c r="M3234" t="s">
        <v>1477</v>
      </c>
      <c r="N3234" t="s">
        <v>294</v>
      </c>
      <c r="O3234">
        <v>10</v>
      </c>
      <c r="P3234">
        <v>1235</v>
      </c>
      <c r="Q3234" t="s">
        <v>1326</v>
      </c>
      <c r="R3234" t="s">
        <v>201</v>
      </c>
      <c r="S3234">
        <v>1</v>
      </c>
      <c r="T3234">
        <v>1</v>
      </c>
      <c r="U3234">
        <v>63504</v>
      </c>
      <c r="V3234">
        <v>63504</v>
      </c>
    </row>
    <row r="3235" spans="1:22">
      <c r="A3235" t="s">
        <v>196</v>
      </c>
      <c r="B3235">
        <v>59</v>
      </c>
      <c r="C3235" t="s">
        <v>3</v>
      </c>
      <c r="D3235">
        <v>100</v>
      </c>
      <c r="E3235" t="s">
        <v>197</v>
      </c>
      <c r="F3235">
        <v>1005</v>
      </c>
      <c r="G3235" t="s">
        <v>3</v>
      </c>
      <c r="H3235">
        <v>2005</v>
      </c>
      <c r="I3235" t="s">
        <v>3</v>
      </c>
      <c r="J3235">
        <v>3100</v>
      </c>
      <c r="K3235" t="s">
        <v>891</v>
      </c>
      <c r="L3235">
        <v>4143</v>
      </c>
      <c r="M3235" t="s">
        <v>1477</v>
      </c>
      <c r="N3235" t="s">
        <v>1314</v>
      </c>
      <c r="O3235">
        <v>0</v>
      </c>
      <c r="P3235" t="s">
        <v>1471</v>
      </c>
      <c r="Q3235" t="s">
        <v>605</v>
      </c>
      <c r="R3235" t="s">
        <v>201</v>
      </c>
      <c r="S3235">
        <v>1</v>
      </c>
      <c r="T3235">
        <v>1</v>
      </c>
      <c r="U3235">
        <v>160680</v>
      </c>
      <c r="V3235">
        <v>160680</v>
      </c>
    </row>
    <row r="3236" spans="1:22">
      <c r="A3236" t="s">
        <v>196</v>
      </c>
      <c r="B3236">
        <v>59</v>
      </c>
      <c r="C3236" t="s">
        <v>3</v>
      </c>
      <c r="D3236">
        <v>100</v>
      </c>
      <c r="E3236" t="s">
        <v>197</v>
      </c>
      <c r="F3236">
        <v>1005</v>
      </c>
      <c r="G3236" t="s">
        <v>3</v>
      </c>
      <c r="H3236">
        <v>2005</v>
      </c>
      <c r="I3236" t="s">
        <v>3</v>
      </c>
      <c r="J3236">
        <v>3100</v>
      </c>
      <c r="K3236" t="s">
        <v>891</v>
      </c>
      <c r="L3236">
        <v>4143</v>
      </c>
      <c r="M3236" t="s">
        <v>1477</v>
      </c>
      <c r="N3236" t="s">
        <v>341</v>
      </c>
      <c r="O3236">
        <v>1</v>
      </c>
      <c r="P3236">
        <v>308</v>
      </c>
      <c r="Q3236" t="s">
        <v>355</v>
      </c>
      <c r="R3236" t="s">
        <v>201</v>
      </c>
      <c r="S3236">
        <v>1</v>
      </c>
      <c r="T3236">
        <v>1</v>
      </c>
      <c r="U3236">
        <v>103608</v>
      </c>
      <c r="V3236">
        <v>103608</v>
      </c>
    </row>
    <row r="3237" spans="1:22">
      <c r="A3237" t="s">
        <v>196</v>
      </c>
      <c r="B3237">
        <v>59</v>
      </c>
      <c r="C3237" t="s">
        <v>3</v>
      </c>
      <c r="D3237">
        <v>100</v>
      </c>
      <c r="E3237" t="s">
        <v>197</v>
      </c>
      <c r="F3237">
        <v>1005</v>
      </c>
      <c r="G3237" t="s">
        <v>3</v>
      </c>
      <c r="H3237">
        <v>2005</v>
      </c>
      <c r="I3237" t="s">
        <v>3</v>
      </c>
      <c r="J3237">
        <v>3100</v>
      </c>
      <c r="K3237" t="s">
        <v>891</v>
      </c>
      <c r="L3237">
        <v>4143</v>
      </c>
      <c r="M3237" t="s">
        <v>1477</v>
      </c>
      <c r="N3237" t="s">
        <v>199</v>
      </c>
      <c r="O3237">
        <v>0</v>
      </c>
      <c r="P3237">
        <v>15</v>
      </c>
      <c r="Q3237" t="s">
        <v>264</v>
      </c>
      <c r="R3237" t="s">
        <v>201</v>
      </c>
      <c r="S3237">
        <v>0</v>
      </c>
      <c r="T3237">
        <v>0</v>
      </c>
      <c r="U3237">
        <v>13218</v>
      </c>
      <c r="V3237">
        <v>13218</v>
      </c>
    </row>
    <row r="3238" spans="1:22">
      <c r="A3238" t="s">
        <v>196</v>
      </c>
      <c r="B3238">
        <v>59</v>
      </c>
      <c r="C3238" t="s">
        <v>3</v>
      </c>
      <c r="D3238">
        <v>100</v>
      </c>
      <c r="E3238" t="s">
        <v>197</v>
      </c>
      <c r="F3238">
        <v>1005</v>
      </c>
      <c r="G3238" t="s">
        <v>3</v>
      </c>
      <c r="H3238">
        <v>2005</v>
      </c>
      <c r="I3238" t="s">
        <v>3</v>
      </c>
      <c r="J3238">
        <v>3100</v>
      </c>
      <c r="K3238" t="s">
        <v>891</v>
      </c>
      <c r="L3238">
        <v>4150</v>
      </c>
      <c r="M3238" t="s">
        <v>1479</v>
      </c>
      <c r="N3238" t="s">
        <v>1294</v>
      </c>
      <c r="O3238">
        <v>0</v>
      </c>
      <c r="P3238">
        <v>9760</v>
      </c>
      <c r="Q3238" t="s">
        <v>267</v>
      </c>
      <c r="R3238" t="s">
        <v>201</v>
      </c>
      <c r="S3238">
        <v>1</v>
      </c>
      <c r="T3238">
        <v>1</v>
      </c>
      <c r="U3238">
        <v>192852</v>
      </c>
      <c r="V3238">
        <v>192852</v>
      </c>
    </row>
    <row r="3239" spans="1:22">
      <c r="A3239" t="s">
        <v>196</v>
      </c>
      <c r="B3239">
        <v>59</v>
      </c>
      <c r="C3239" t="s">
        <v>3</v>
      </c>
      <c r="D3239">
        <v>100</v>
      </c>
      <c r="E3239" t="s">
        <v>197</v>
      </c>
      <c r="F3239">
        <v>1005</v>
      </c>
      <c r="G3239" t="s">
        <v>3</v>
      </c>
      <c r="H3239">
        <v>2005</v>
      </c>
      <c r="I3239" t="s">
        <v>3</v>
      </c>
      <c r="J3239">
        <v>3100</v>
      </c>
      <c r="K3239" t="s">
        <v>891</v>
      </c>
      <c r="L3239">
        <v>4150</v>
      </c>
      <c r="M3239" t="s">
        <v>1479</v>
      </c>
      <c r="N3239" t="s">
        <v>372</v>
      </c>
      <c r="O3239">
        <v>1</v>
      </c>
      <c r="P3239">
        <v>9196</v>
      </c>
      <c r="Q3239" t="s">
        <v>1420</v>
      </c>
      <c r="R3239" t="s">
        <v>201</v>
      </c>
      <c r="S3239">
        <v>1</v>
      </c>
      <c r="T3239">
        <v>1</v>
      </c>
      <c r="U3239">
        <v>130668</v>
      </c>
      <c r="V3239">
        <v>130668</v>
      </c>
    </row>
    <row r="3240" spans="1:22">
      <c r="A3240" t="s">
        <v>196</v>
      </c>
      <c r="B3240">
        <v>59</v>
      </c>
      <c r="C3240" t="s">
        <v>3</v>
      </c>
      <c r="D3240">
        <v>100</v>
      </c>
      <c r="E3240" t="s">
        <v>197</v>
      </c>
      <c r="F3240">
        <v>1005</v>
      </c>
      <c r="G3240" t="s">
        <v>3</v>
      </c>
      <c r="H3240">
        <v>2005</v>
      </c>
      <c r="I3240" t="s">
        <v>3</v>
      </c>
      <c r="J3240">
        <v>3100</v>
      </c>
      <c r="K3240" t="s">
        <v>891</v>
      </c>
      <c r="L3240">
        <v>4150</v>
      </c>
      <c r="M3240" t="s">
        <v>1479</v>
      </c>
      <c r="N3240" t="s">
        <v>372</v>
      </c>
      <c r="O3240">
        <v>1</v>
      </c>
      <c r="P3240">
        <v>9196</v>
      </c>
      <c r="Q3240" t="s">
        <v>1420</v>
      </c>
      <c r="R3240" t="s">
        <v>201</v>
      </c>
      <c r="S3240">
        <v>1</v>
      </c>
      <c r="T3240">
        <v>1</v>
      </c>
      <c r="U3240">
        <v>119100</v>
      </c>
      <c r="V3240">
        <v>119100</v>
      </c>
    </row>
    <row r="3241" spans="1:22">
      <c r="A3241" t="s">
        <v>196</v>
      </c>
      <c r="B3241">
        <v>59</v>
      </c>
      <c r="C3241" t="s">
        <v>3</v>
      </c>
      <c r="D3241">
        <v>100</v>
      </c>
      <c r="E3241" t="s">
        <v>197</v>
      </c>
      <c r="F3241">
        <v>1005</v>
      </c>
      <c r="G3241" t="s">
        <v>3</v>
      </c>
      <c r="H3241">
        <v>2005</v>
      </c>
      <c r="I3241" t="s">
        <v>3</v>
      </c>
      <c r="J3241">
        <v>3100</v>
      </c>
      <c r="K3241" t="s">
        <v>891</v>
      </c>
      <c r="L3241">
        <v>4150</v>
      </c>
      <c r="M3241" t="s">
        <v>1479</v>
      </c>
      <c r="N3241" t="s">
        <v>251</v>
      </c>
      <c r="O3241">
        <v>10</v>
      </c>
      <c r="P3241">
        <v>3858</v>
      </c>
      <c r="Q3241" t="s">
        <v>1128</v>
      </c>
      <c r="R3241" t="s">
        <v>201</v>
      </c>
      <c r="S3241">
        <v>1</v>
      </c>
      <c r="T3241">
        <v>1</v>
      </c>
      <c r="U3241">
        <v>113568</v>
      </c>
      <c r="V3241">
        <v>113568</v>
      </c>
    </row>
    <row r="3242" spans="1:22">
      <c r="A3242" t="s">
        <v>196</v>
      </c>
      <c r="B3242">
        <v>59</v>
      </c>
      <c r="C3242" t="s">
        <v>3</v>
      </c>
      <c r="D3242">
        <v>100</v>
      </c>
      <c r="E3242" t="s">
        <v>197</v>
      </c>
      <c r="F3242">
        <v>1005</v>
      </c>
      <c r="G3242" t="s">
        <v>3</v>
      </c>
      <c r="H3242">
        <v>2005</v>
      </c>
      <c r="I3242" t="s">
        <v>3</v>
      </c>
      <c r="J3242">
        <v>3100</v>
      </c>
      <c r="K3242" t="s">
        <v>891</v>
      </c>
      <c r="L3242">
        <v>4150</v>
      </c>
      <c r="M3242" t="s">
        <v>1479</v>
      </c>
      <c r="N3242" t="s">
        <v>268</v>
      </c>
      <c r="O3242">
        <v>10</v>
      </c>
      <c r="P3242">
        <v>1911</v>
      </c>
      <c r="Q3242" t="s">
        <v>617</v>
      </c>
      <c r="R3242" t="s">
        <v>201</v>
      </c>
      <c r="S3242">
        <v>1</v>
      </c>
      <c r="T3242">
        <v>1</v>
      </c>
      <c r="U3242">
        <v>98832</v>
      </c>
      <c r="V3242">
        <v>98832</v>
      </c>
    </row>
    <row r="3243" spans="1:22">
      <c r="A3243" t="s">
        <v>196</v>
      </c>
      <c r="B3243">
        <v>59</v>
      </c>
      <c r="C3243" t="s">
        <v>3</v>
      </c>
      <c r="D3243">
        <v>100</v>
      </c>
      <c r="E3243" t="s">
        <v>197</v>
      </c>
      <c r="F3243">
        <v>1005</v>
      </c>
      <c r="G3243" t="s">
        <v>3</v>
      </c>
      <c r="H3243">
        <v>2005</v>
      </c>
      <c r="I3243" t="s">
        <v>3</v>
      </c>
      <c r="J3243">
        <v>3100</v>
      </c>
      <c r="K3243" t="s">
        <v>891</v>
      </c>
      <c r="L3243">
        <v>4150</v>
      </c>
      <c r="M3243" t="s">
        <v>1479</v>
      </c>
      <c r="N3243" t="s">
        <v>271</v>
      </c>
      <c r="O3243">
        <v>20</v>
      </c>
      <c r="P3243">
        <v>1633</v>
      </c>
      <c r="Q3243" t="s">
        <v>904</v>
      </c>
      <c r="R3243" t="s">
        <v>201</v>
      </c>
      <c r="S3243">
        <v>1</v>
      </c>
      <c r="T3243">
        <v>1</v>
      </c>
      <c r="U3243">
        <v>126756</v>
      </c>
      <c r="V3243">
        <v>126756</v>
      </c>
    </row>
    <row r="3244" spans="1:22">
      <c r="A3244" t="s">
        <v>196</v>
      </c>
      <c r="B3244">
        <v>59</v>
      </c>
      <c r="C3244" t="s">
        <v>3</v>
      </c>
      <c r="D3244">
        <v>100</v>
      </c>
      <c r="E3244" t="s">
        <v>197</v>
      </c>
      <c r="F3244">
        <v>1005</v>
      </c>
      <c r="G3244" t="s">
        <v>3</v>
      </c>
      <c r="H3244">
        <v>2005</v>
      </c>
      <c r="I3244" t="s">
        <v>3</v>
      </c>
      <c r="J3244">
        <v>3100</v>
      </c>
      <c r="K3244" t="s">
        <v>891</v>
      </c>
      <c r="L3244">
        <v>4150</v>
      </c>
      <c r="M3244" t="s">
        <v>1479</v>
      </c>
      <c r="N3244" t="s">
        <v>341</v>
      </c>
      <c r="O3244">
        <v>1</v>
      </c>
      <c r="P3244">
        <v>708</v>
      </c>
      <c r="Q3244" t="s">
        <v>342</v>
      </c>
      <c r="R3244" t="s">
        <v>201</v>
      </c>
      <c r="S3244">
        <v>1</v>
      </c>
      <c r="T3244">
        <v>1</v>
      </c>
      <c r="U3244">
        <v>74172</v>
      </c>
      <c r="V3244">
        <v>74172</v>
      </c>
    </row>
    <row r="3245" spans="1:22">
      <c r="A3245" t="s">
        <v>196</v>
      </c>
      <c r="B3245">
        <v>59</v>
      </c>
      <c r="C3245" t="s">
        <v>3</v>
      </c>
      <c r="D3245">
        <v>100</v>
      </c>
      <c r="E3245" t="s">
        <v>197</v>
      </c>
      <c r="F3245">
        <v>1005</v>
      </c>
      <c r="G3245" t="s">
        <v>3</v>
      </c>
      <c r="H3245">
        <v>2005</v>
      </c>
      <c r="I3245" t="s">
        <v>3</v>
      </c>
      <c r="J3245">
        <v>3100</v>
      </c>
      <c r="K3245" t="s">
        <v>891</v>
      </c>
      <c r="L3245">
        <v>4150</v>
      </c>
      <c r="M3245" t="s">
        <v>1479</v>
      </c>
      <c r="N3245" t="s">
        <v>809</v>
      </c>
      <c r="O3245">
        <v>1</v>
      </c>
      <c r="P3245">
        <v>460</v>
      </c>
      <c r="Q3245" t="s">
        <v>810</v>
      </c>
      <c r="R3245" t="s">
        <v>201</v>
      </c>
      <c r="S3245">
        <v>1</v>
      </c>
      <c r="T3245">
        <v>1</v>
      </c>
      <c r="U3245">
        <v>82140</v>
      </c>
      <c r="V3245">
        <v>82140</v>
      </c>
    </row>
    <row r="3246" spans="1:22">
      <c r="A3246" t="s">
        <v>196</v>
      </c>
      <c r="B3246">
        <v>59</v>
      </c>
      <c r="C3246" t="s">
        <v>3</v>
      </c>
      <c r="D3246">
        <v>100</v>
      </c>
      <c r="E3246" t="s">
        <v>197</v>
      </c>
      <c r="F3246">
        <v>1005</v>
      </c>
      <c r="G3246" t="s">
        <v>3</v>
      </c>
      <c r="H3246">
        <v>2005</v>
      </c>
      <c r="I3246" t="s">
        <v>3</v>
      </c>
      <c r="J3246">
        <v>3100</v>
      </c>
      <c r="K3246" t="s">
        <v>891</v>
      </c>
      <c r="L3246">
        <v>4150</v>
      </c>
      <c r="M3246" t="s">
        <v>1479</v>
      </c>
      <c r="N3246" t="s">
        <v>809</v>
      </c>
      <c r="O3246">
        <v>1</v>
      </c>
      <c r="P3246">
        <v>460</v>
      </c>
      <c r="Q3246" t="s">
        <v>810</v>
      </c>
      <c r="R3246" t="s">
        <v>201</v>
      </c>
      <c r="S3246">
        <v>1</v>
      </c>
      <c r="T3246">
        <v>1</v>
      </c>
      <c r="U3246">
        <v>65112</v>
      </c>
      <c r="V3246">
        <v>65112</v>
      </c>
    </row>
    <row r="3247" spans="1:22">
      <c r="A3247" t="s">
        <v>196</v>
      </c>
      <c r="B3247">
        <v>59</v>
      </c>
      <c r="C3247" t="s">
        <v>3</v>
      </c>
      <c r="D3247">
        <v>100</v>
      </c>
      <c r="E3247" t="s">
        <v>197</v>
      </c>
      <c r="F3247">
        <v>1005</v>
      </c>
      <c r="G3247" t="s">
        <v>3</v>
      </c>
      <c r="H3247">
        <v>2005</v>
      </c>
      <c r="I3247" t="s">
        <v>3</v>
      </c>
      <c r="J3247">
        <v>3100</v>
      </c>
      <c r="K3247" t="s">
        <v>891</v>
      </c>
      <c r="L3247">
        <v>4150</v>
      </c>
      <c r="M3247" t="s">
        <v>1479</v>
      </c>
      <c r="N3247" t="s">
        <v>622</v>
      </c>
      <c r="O3247">
        <v>1</v>
      </c>
      <c r="P3247" t="s">
        <v>667</v>
      </c>
      <c r="Q3247" t="s">
        <v>205</v>
      </c>
      <c r="R3247" t="s">
        <v>201</v>
      </c>
      <c r="S3247">
        <v>1</v>
      </c>
      <c r="T3247">
        <v>1</v>
      </c>
      <c r="U3247">
        <v>90144</v>
      </c>
      <c r="V3247">
        <v>90144</v>
      </c>
    </row>
    <row r="3248" spans="1:22">
      <c r="A3248" t="s">
        <v>196</v>
      </c>
      <c r="B3248">
        <v>59</v>
      </c>
      <c r="C3248" t="s">
        <v>3</v>
      </c>
      <c r="D3248">
        <v>100</v>
      </c>
      <c r="E3248" t="s">
        <v>197</v>
      </c>
      <c r="F3248">
        <v>1005</v>
      </c>
      <c r="G3248" t="s">
        <v>3</v>
      </c>
      <c r="H3248">
        <v>2005</v>
      </c>
      <c r="I3248" t="s">
        <v>3</v>
      </c>
      <c r="J3248">
        <v>3100</v>
      </c>
      <c r="K3248" t="s">
        <v>891</v>
      </c>
      <c r="L3248">
        <v>4150</v>
      </c>
      <c r="M3248" t="s">
        <v>1479</v>
      </c>
      <c r="N3248" t="s">
        <v>247</v>
      </c>
      <c r="O3248">
        <v>20</v>
      </c>
      <c r="P3248">
        <v>366</v>
      </c>
      <c r="Q3248" t="s">
        <v>604</v>
      </c>
      <c r="R3248" t="s">
        <v>201</v>
      </c>
      <c r="S3248">
        <v>1</v>
      </c>
      <c r="T3248">
        <v>1</v>
      </c>
      <c r="U3248">
        <v>66516</v>
      </c>
      <c r="V3248">
        <v>66516</v>
      </c>
    </row>
    <row r="3249" spans="1:22">
      <c r="A3249" t="s">
        <v>196</v>
      </c>
      <c r="B3249">
        <v>59</v>
      </c>
      <c r="C3249" t="s">
        <v>3</v>
      </c>
      <c r="D3249">
        <v>100</v>
      </c>
      <c r="E3249" t="s">
        <v>197</v>
      </c>
      <c r="F3249">
        <v>1005</v>
      </c>
      <c r="G3249" t="s">
        <v>3</v>
      </c>
      <c r="H3249">
        <v>2005</v>
      </c>
      <c r="I3249" t="s">
        <v>3</v>
      </c>
      <c r="J3249">
        <v>3100</v>
      </c>
      <c r="K3249" t="s">
        <v>891</v>
      </c>
      <c r="L3249">
        <v>4150</v>
      </c>
      <c r="M3249" t="s">
        <v>1479</v>
      </c>
      <c r="N3249" t="s">
        <v>199</v>
      </c>
      <c r="O3249">
        <v>0</v>
      </c>
      <c r="P3249">
        <v>15</v>
      </c>
      <c r="Q3249" t="s">
        <v>264</v>
      </c>
      <c r="R3249" t="s">
        <v>201</v>
      </c>
      <c r="S3249">
        <v>0</v>
      </c>
      <c r="T3249">
        <v>0</v>
      </c>
      <c r="U3249">
        <v>8554</v>
      </c>
      <c r="V3249">
        <v>8554</v>
      </c>
    </row>
    <row r="3250" spans="1:22">
      <c r="A3250" t="s">
        <v>196</v>
      </c>
      <c r="B3250">
        <v>59</v>
      </c>
      <c r="C3250" t="s">
        <v>3</v>
      </c>
      <c r="D3250">
        <v>100</v>
      </c>
      <c r="E3250" t="s">
        <v>197</v>
      </c>
      <c r="F3250">
        <v>1005</v>
      </c>
      <c r="G3250" t="s">
        <v>3</v>
      </c>
      <c r="H3250">
        <v>2005</v>
      </c>
      <c r="I3250" t="s">
        <v>3</v>
      </c>
      <c r="J3250">
        <v>3102</v>
      </c>
      <c r="K3250" t="s">
        <v>60</v>
      </c>
      <c r="L3250">
        <v>4108</v>
      </c>
      <c r="M3250" t="s">
        <v>309</v>
      </c>
      <c r="N3250" t="s">
        <v>199</v>
      </c>
      <c r="O3250">
        <v>9</v>
      </c>
      <c r="P3250">
        <v>9960</v>
      </c>
      <c r="Q3250" t="s">
        <v>1480</v>
      </c>
      <c r="R3250" t="s">
        <v>201</v>
      </c>
      <c r="S3250">
        <v>1</v>
      </c>
      <c r="T3250">
        <v>1</v>
      </c>
      <c r="U3250">
        <v>211848</v>
      </c>
      <c r="V3250">
        <v>211848</v>
      </c>
    </row>
    <row r="3251" spans="1:22">
      <c r="A3251" t="s">
        <v>196</v>
      </c>
      <c r="B3251">
        <v>59</v>
      </c>
      <c r="C3251" t="s">
        <v>3</v>
      </c>
      <c r="D3251">
        <v>100</v>
      </c>
      <c r="E3251" t="s">
        <v>197</v>
      </c>
      <c r="F3251">
        <v>1005</v>
      </c>
      <c r="G3251" t="s">
        <v>3</v>
      </c>
      <c r="H3251">
        <v>2005</v>
      </c>
      <c r="I3251" t="s">
        <v>3</v>
      </c>
      <c r="J3251">
        <v>3102</v>
      </c>
      <c r="K3251" t="s">
        <v>60</v>
      </c>
      <c r="L3251">
        <v>4108</v>
      </c>
      <c r="M3251" t="s">
        <v>309</v>
      </c>
      <c r="N3251" t="s">
        <v>199</v>
      </c>
      <c r="O3251">
        <v>89</v>
      </c>
      <c r="P3251">
        <v>9703</v>
      </c>
      <c r="Q3251" t="s">
        <v>1481</v>
      </c>
      <c r="R3251" t="s">
        <v>201</v>
      </c>
      <c r="S3251">
        <v>1</v>
      </c>
      <c r="T3251">
        <v>1</v>
      </c>
      <c r="U3251">
        <v>226872</v>
      </c>
      <c r="V3251">
        <v>226872</v>
      </c>
    </row>
    <row r="3252" spans="1:22">
      <c r="A3252" t="s">
        <v>196</v>
      </c>
      <c r="B3252">
        <v>59</v>
      </c>
      <c r="C3252" t="s">
        <v>3</v>
      </c>
      <c r="D3252">
        <v>100</v>
      </c>
      <c r="E3252" t="s">
        <v>197</v>
      </c>
      <c r="F3252">
        <v>1005</v>
      </c>
      <c r="G3252" t="s">
        <v>3</v>
      </c>
      <c r="H3252">
        <v>2005</v>
      </c>
      <c r="I3252" t="s">
        <v>3</v>
      </c>
      <c r="J3252">
        <v>3102</v>
      </c>
      <c r="K3252" t="s">
        <v>60</v>
      </c>
      <c r="L3252">
        <v>4108</v>
      </c>
      <c r="M3252" t="s">
        <v>309</v>
      </c>
      <c r="N3252" t="s">
        <v>251</v>
      </c>
      <c r="O3252">
        <v>10</v>
      </c>
      <c r="P3252">
        <v>802</v>
      </c>
      <c r="Q3252" t="s">
        <v>252</v>
      </c>
      <c r="R3252" t="s">
        <v>201</v>
      </c>
      <c r="S3252">
        <v>1</v>
      </c>
      <c r="T3252">
        <v>1</v>
      </c>
      <c r="U3252">
        <v>85128</v>
      </c>
      <c r="V3252">
        <v>85128</v>
      </c>
    </row>
    <row r="3253" spans="1:22">
      <c r="A3253" t="s">
        <v>196</v>
      </c>
      <c r="B3253">
        <v>59</v>
      </c>
      <c r="C3253" t="s">
        <v>3</v>
      </c>
      <c r="D3253">
        <v>100</v>
      </c>
      <c r="E3253" t="s">
        <v>197</v>
      </c>
      <c r="F3253">
        <v>1005</v>
      </c>
      <c r="G3253" t="s">
        <v>3</v>
      </c>
      <c r="H3253">
        <v>2005</v>
      </c>
      <c r="I3253" t="s">
        <v>3</v>
      </c>
      <c r="J3253">
        <v>3102</v>
      </c>
      <c r="K3253" t="s">
        <v>60</v>
      </c>
      <c r="L3253">
        <v>4108</v>
      </c>
      <c r="M3253" t="s">
        <v>309</v>
      </c>
      <c r="N3253" t="s">
        <v>1314</v>
      </c>
      <c r="O3253">
        <v>0</v>
      </c>
      <c r="P3253" t="s">
        <v>1471</v>
      </c>
      <c r="Q3253" t="s">
        <v>605</v>
      </c>
      <c r="R3253" t="s">
        <v>201</v>
      </c>
      <c r="S3253">
        <v>1</v>
      </c>
      <c r="T3253">
        <v>1</v>
      </c>
      <c r="U3253">
        <v>133836</v>
      </c>
      <c r="V3253">
        <v>133836</v>
      </c>
    </row>
    <row r="3254" spans="1:22">
      <c r="A3254" t="s">
        <v>196</v>
      </c>
      <c r="B3254">
        <v>59</v>
      </c>
      <c r="C3254" t="s">
        <v>3</v>
      </c>
      <c r="D3254">
        <v>100</v>
      </c>
      <c r="E3254" t="s">
        <v>197</v>
      </c>
      <c r="F3254">
        <v>1005</v>
      </c>
      <c r="G3254" t="s">
        <v>3</v>
      </c>
      <c r="H3254">
        <v>2005</v>
      </c>
      <c r="I3254" t="s">
        <v>3</v>
      </c>
      <c r="J3254">
        <v>3102</v>
      </c>
      <c r="K3254" t="s">
        <v>60</v>
      </c>
      <c r="L3254">
        <v>4108</v>
      </c>
      <c r="M3254" t="s">
        <v>309</v>
      </c>
      <c r="N3254" t="s">
        <v>199</v>
      </c>
      <c r="O3254">
        <v>0</v>
      </c>
      <c r="P3254">
        <v>15</v>
      </c>
      <c r="Q3254" t="s">
        <v>264</v>
      </c>
      <c r="R3254" t="s">
        <v>201</v>
      </c>
      <c r="S3254">
        <v>0</v>
      </c>
      <c r="T3254">
        <v>0</v>
      </c>
      <c r="U3254">
        <v>2822</v>
      </c>
      <c r="V3254">
        <v>2822</v>
      </c>
    </row>
    <row r="3255" spans="1:22">
      <c r="A3255" t="s">
        <v>196</v>
      </c>
      <c r="B3255">
        <v>59</v>
      </c>
      <c r="C3255" t="s">
        <v>3</v>
      </c>
      <c r="D3255">
        <v>100</v>
      </c>
      <c r="E3255" t="s">
        <v>197</v>
      </c>
      <c r="F3255">
        <v>1005</v>
      </c>
      <c r="G3255" t="s">
        <v>3</v>
      </c>
      <c r="H3255">
        <v>2005</v>
      </c>
      <c r="I3255" t="s">
        <v>3</v>
      </c>
      <c r="J3255">
        <v>3102</v>
      </c>
      <c r="K3255" t="s">
        <v>60</v>
      </c>
      <c r="L3255">
        <v>4111</v>
      </c>
      <c r="M3255" t="s">
        <v>1482</v>
      </c>
      <c r="N3255" t="s">
        <v>1470</v>
      </c>
      <c r="O3255">
        <v>87</v>
      </c>
      <c r="P3255">
        <v>8707</v>
      </c>
      <c r="Q3255" t="s">
        <v>1483</v>
      </c>
      <c r="R3255" t="s">
        <v>201</v>
      </c>
      <c r="S3255">
        <v>2</v>
      </c>
      <c r="T3255">
        <v>1</v>
      </c>
      <c r="U3255">
        <v>123420</v>
      </c>
      <c r="V3255">
        <v>246840</v>
      </c>
    </row>
    <row r="3256" spans="1:22">
      <c r="A3256" t="s">
        <v>196</v>
      </c>
      <c r="B3256">
        <v>59</v>
      </c>
      <c r="C3256" t="s">
        <v>3</v>
      </c>
      <c r="D3256">
        <v>100</v>
      </c>
      <c r="E3256" t="s">
        <v>197</v>
      </c>
      <c r="F3256">
        <v>1005</v>
      </c>
      <c r="G3256" t="s">
        <v>3</v>
      </c>
      <c r="H3256">
        <v>2005</v>
      </c>
      <c r="I3256" t="s">
        <v>3</v>
      </c>
      <c r="J3256">
        <v>3102</v>
      </c>
      <c r="K3256" t="s">
        <v>60</v>
      </c>
      <c r="L3256">
        <v>4111</v>
      </c>
      <c r="M3256" t="s">
        <v>1482</v>
      </c>
      <c r="N3256" t="s">
        <v>1470</v>
      </c>
      <c r="O3256">
        <v>87</v>
      </c>
      <c r="P3256">
        <v>8707</v>
      </c>
      <c r="Q3256" t="s">
        <v>1483</v>
      </c>
      <c r="R3256" t="s">
        <v>201</v>
      </c>
      <c r="S3256">
        <v>5</v>
      </c>
      <c r="T3256">
        <v>1</v>
      </c>
      <c r="U3256">
        <v>115938</v>
      </c>
      <c r="V3256">
        <v>579690</v>
      </c>
    </row>
    <row r="3257" spans="1:22">
      <c r="A3257" t="s">
        <v>196</v>
      </c>
      <c r="B3257">
        <v>59</v>
      </c>
      <c r="C3257" t="s">
        <v>3</v>
      </c>
      <c r="D3257">
        <v>100</v>
      </c>
      <c r="E3257" t="s">
        <v>197</v>
      </c>
      <c r="F3257">
        <v>1005</v>
      </c>
      <c r="G3257" t="s">
        <v>3</v>
      </c>
      <c r="H3257">
        <v>2005</v>
      </c>
      <c r="I3257" t="s">
        <v>3</v>
      </c>
      <c r="J3257">
        <v>3102</v>
      </c>
      <c r="K3257" t="s">
        <v>60</v>
      </c>
      <c r="L3257">
        <v>4111</v>
      </c>
      <c r="M3257" t="s">
        <v>1482</v>
      </c>
      <c r="N3257" t="s">
        <v>1470</v>
      </c>
      <c r="O3257">
        <v>87</v>
      </c>
      <c r="P3257">
        <v>8703</v>
      </c>
      <c r="Q3257" t="s">
        <v>1484</v>
      </c>
      <c r="R3257" t="s">
        <v>201</v>
      </c>
      <c r="S3257">
        <v>1</v>
      </c>
      <c r="T3257">
        <v>1</v>
      </c>
      <c r="U3257">
        <v>115938</v>
      </c>
      <c r="V3257">
        <v>115938</v>
      </c>
    </row>
    <row r="3258" spans="1:22">
      <c r="A3258" t="s">
        <v>196</v>
      </c>
      <c r="B3258">
        <v>59</v>
      </c>
      <c r="C3258" t="s">
        <v>3</v>
      </c>
      <c r="D3258">
        <v>100</v>
      </c>
      <c r="E3258" t="s">
        <v>197</v>
      </c>
      <c r="F3258">
        <v>1005</v>
      </c>
      <c r="G3258" t="s">
        <v>3</v>
      </c>
      <c r="H3258">
        <v>2005</v>
      </c>
      <c r="I3258" t="s">
        <v>3</v>
      </c>
      <c r="J3258">
        <v>3102</v>
      </c>
      <c r="K3258" t="s">
        <v>60</v>
      </c>
      <c r="L3258">
        <v>4111</v>
      </c>
      <c r="M3258" t="s">
        <v>1482</v>
      </c>
      <c r="N3258" t="s">
        <v>1470</v>
      </c>
      <c r="O3258">
        <v>87</v>
      </c>
      <c r="P3258">
        <v>8703</v>
      </c>
      <c r="Q3258" t="s">
        <v>1484</v>
      </c>
      <c r="R3258" t="s">
        <v>201</v>
      </c>
      <c r="S3258">
        <v>1</v>
      </c>
      <c r="T3258">
        <v>1</v>
      </c>
      <c r="U3258">
        <v>112218</v>
      </c>
      <c r="V3258">
        <v>112218</v>
      </c>
    </row>
    <row r="3259" spans="1:22">
      <c r="A3259" t="s">
        <v>196</v>
      </c>
      <c r="B3259">
        <v>59</v>
      </c>
      <c r="C3259" t="s">
        <v>3</v>
      </c>
      <c r="D3259">
        <v>100</v>
      </c>
      <c r="E3259" t="s">
        <v>197</v>
      </c>
      <c r="F3259">
        <v>1005</v>
      </c>
      <c r="G3259" t="s">
        <v>3</v>
      </c>
      <c r="H3259">
        <v>2005</v>
      </c>
      <c r="I3259" t="s">
        <v>3</v>
      </c>
      <c r="J3259">
        <v>3102</v>
      </c>
      <c r="K3259" t="s">
        <v>60</v>
      </c>
      <c r="L3259">
        <v>4111</v>
      </c>
      <c r="M3259" t="s">
        <v>1482</v>
      </c>
      <c r="N3259" t="s">
        <v>1314</v>
      </c>
      <c r="O3259">
        <v>0</v>
      </c>
      <c r="P3259">
        <v>393</v>
      </c>
      <c r="Q3259" t="s">
        <v>1485</v>
      </c>
      <c r="R3259" t="s">
        <v>201</v>
      </c>
      <c r="S3259">
        <v>1</v>
      </c>
      <c r="T3259">
        <v>1</v>
      </c>
      <c r="U3259">
        <v>160680</v>
      </c>
      <c r="V3259">
        <v>160680</v>
      </c>
    </row>
    <row r="3260" spans="1:22">
      <c r="A3260" t="s">
        <v>196</v>
      </c>
      <c r="B3260">
        <v>59</v>
      </c>
      <c r="C3260" t="s">
        <v>3</v>
      </c>
      <c r="D3260">
        <v>100</v>
      </c>
      <c r="E3260" t="s">
        <v>197</v>
      </c>
      <c r="F3260">
        <v>1005</v>
      </c>
      <c r="G3260" t="s">
        <v>3</v>
      </c>
      <c r="H3260">
        <v>2005</v>
      </c>
      <c r="I3260" t="s">
        <v>3</v>
      </c>
      <c r="J3260">
        <v>3102</v>
      </c>
      <c r="K3260" t="s">
        <v>60</v>
      </c>
      <c r="L3260">
        <v>4111</v>
      </c>
      <c r="M3260" t="s">
        <v>1482</v>
      </c>
      <c r="N3260" t="s">
        <v>199</v>
      </c>
      <c r="O3260">
        <v>0</v>
      </c>
      <c r="P3260">
        <v>15</v>
      </c>
      <c r="Q3260" t="s">
        <v>264</v>
      </c>
      <c r="R3260" t="s">
        <v>201</v>
      </c>
      <c r="S3260">
        <v>0</v>
      </c>
      <c r="T3260">
        <v>0</v>
      </c>
      <c r="U3260">
        <v>4095</v>
      </c>
      <c r="V3260">
        <v>4095</v>
      </c>
    </row>
    <row r="3261" spans="1:22">
      <c r="A3261" t="s">
        <v>196</v>
      </c>
      <c r="B3261">
        <v>59</v>
      </c>
      <c r="C3261" t="s">
        <v>3</v>
      </c>
      <c r="D3261">
        <v>100</v>
      </c>
      <c r="E3261" t="s">
        <v>197</v>
      </c>
      <c r="F3261">
        <v>1005</v>
      </c>
      <c r="G3261" t="s">
        <v>3</v>
      </c>
      <c r="H3261">
        <v>2005</v>
      </c>
      <c r="I3261" t="s">
        <v>3</v>
      </c>
      <c r="J3261">
        <v>3102</v>
      </c>
      <c r="K3261" t="s">
        <v>60</v>
      </c>
      <c r="L3261">
        <v>4137</v>
      </c>
      <c r="M3261" t="s">
        <v>1486</v>
      </c>
      <c r="N3261" t="s">
        <v>1487</v>
      </c>
      <c r="O3261">
        <v>87</v>
      </c>
      <c r="P3261">
        <v>8801</v>
      </c>
      <c r="Q3261" t="s">
        <v>1488</v>
      </c>
      <c r="R3261" t="s">
        <v>201</v>
      </c>
      <c r="S3261">
        <v>4</v>
      </c>
      <c r="T3261">
        <v>1</v>
      </c>
      <c r="U3261">
        <v>66264</v>
      </c>
      <c r="V3261">
        <v>265056</v>
      </c>
    </row>
    <row r="3262" spans="1:22">
      <c r="A3262" t="s">
        <v>196</v>
      </c>
      <c r="B3262">
        <v>59</v>
      </c>
      <c r="C3262" t="s">
        <v>3</v>
      </c>
      <c r="D3262">
        <v>100</v>
      </c>
      <c r="E3262" t="s">
        <v>197</v>
      </c>
      <c r="F3262">
        <v>1005</v>
      </c>
      <c r="G3262" t="s">
        <v>3</v>
      </c>
      <c r="H3262">
        <v>2005</v>
      </c>
      <c r="I3262" t="s">
        <v>3</v>
      </c>
      <c r="J3262">
        <v>3102</v>
      </c>
      <c r="K3262" t="s">
        <v>60</v>
      </c>
      <c r="L3262">
        <v>4137</v>
      </c>
      <c r="M3262" t="s">
        <v>1486</v>
      </c>
      <c r="N3262" t="s">
        <v>1489</v>
      </c>
      <c r="O3262">
        <v>87</v>
      </c>
      <c r="P3262">
        <v>8750</v>
      </c>
      <c r="Q3262" t="s">
        <v>1490</v>
      </c>
      <c r="R3262" t="s">
        <v>201</v>
      </c>
      <c r="S3262">
        <v>1</v>
      </c>
      <c r="T3262">
        <v>1</v>
      </c>
      <c r="U3262">
        <v>96528</v>
      </c>
      <c r="V3262">
        <v>96528</v>
      </c>
    </row>
    <row r="3263" spans="1:22">
      <c r="A3263" t="s">
        <v>196</v>
      </c>
      <c r="B3263">
        <v>59</v>
      </c>
      <c r="C3263" t="s">
        <v>3</v>
      </c>
      <c r="D3263">
        <v>100</v>
      </c>
      <c r="E3263" t="s">
        <v>197</v>
      </c>
      <c r="F3263">
        <v>1005</v>
      </c>
      <c r="G3263" t="s">
        <v>3</v>
      </c>
      <c r="H3263">
        <v>2005</v>
      </c>
      <c r="I3263" t="s">
        <v>3</v>
      </c>
      <c r="J3263">
        <v>3102</v>
      </c>
      <c r="K3263" t="s">
        <v>60</v>
      </c>
      <c r="L3263">
        <v>4137</v>
      </c>
      <c r="M3263" t="s">
        <v>1486</v>
      </c>
      <c r="N3263" t="s">
        <v>1491</v>
      </c>
      <c r="O3263">
        <v>87</v>
      </c>
      <c r="P3263">
        <v>8749</v>
      </c>
      <c r="Q3263" t="s">
        <v>1492</v>
      </c>
      <c r="R3263" t="s">
        <v>201</v>
      </c>
      <c r="S3263">
        <v>1</v>
      </c>
      <c r="T3263">
        <v>1</v>
      </c>
      <c r="U3263">
        <v>112020</v>
      </c>
      <c r="V3263">
        <v>112020</v>
      </c>
    </row>
    <row r="3264" spans="1:22">
      <c r="A3264" t="s">
        <v>196</v>
      </c>
      <c r="B3264">
        <v>59</v>
      </c>
      <c r="C3264" t="s">
        <v>3</v>
      </c>
      <c r="D3264">
        <v>100</v>
      </c>
      <c r="E3264" t="s">
        <v>197</v>
      </c>
      <c r="F3264">
        <v>1005</v>
      </c>
      <c r="G3264" t="s">
        <v>3</v>
      </c>
      <c r="H3264">
        <v>2005</v>
      </c>
      <c r="I3264" t="s">
        <v>3</v>
      </c>
      <c r="J3264">
        <v>3102</v>
      </c>
      <c r="K3264" t="s">
        <v>60</v>
      </c>
      <c r="L3264">
        <v>4137</v>
      </c>
      <c r="M3264" t="s">
        <v>1486</v>
      </c>
      <c r="N3264" t="s">
        <v>1491</v>
      </c>
      <c r="O3264">
        <v>87</v>
      </c>
      <c r="P3264">
        <v>8749</v>
      </c>
      <c r="Q3264" t="s">
        <v>1492</v>
      </c>
      <c r="R3264" t="s">
        <v>201</v>
      </c>
      <c r="S3264">
        <v>1</v>
      </c>
      <c r="T3264">
        <v>1</v>
      </c>
      <c r="U3264">
        <v>104430</v>
      </c>
      <c r="V3264">
        <v>104430</v>
      </c>
    </row>
    <row r="3265" spans="1:22">
      <c r="A3265" t="s">
        <v>196</v>
      </c>
      <c r="B3265">
        <v>59</v>
      </c>
      <c r="C3265" t="s">
        <v>3</v>
      </c>
      <c r="D3265">
        <v>100</v>
      </c>
      <c r="E3265" t="s">
        <v>197</v>
      </c>
      <c r="F3265">
        <v>1005</v>
      </c>
      <c r="G3265" t="s">
        <v>3</v>
      </c>
      <c r="H3265">
        <v>2005</v>
      </c>
      <c r="I3265" t="s">
        <v>3</v>
      </c>
      <c r="J3265">
        <v>3102</v>
      </c>
      <c r="K3265" t="s">
        <v>60</v>
      </c>
      <c r="L3265">
        <v>4137</v>
      </c>
      <c r="M3265" t="s">
        <v>1486</v>
      </c>
      <c r="N3265" t="s">
        <v>1491</v>
      </c>
      <c r="O3265">
        <v>87</v>
      </c>
      <c r="P3265">
        <v>8749</v>
      </c>
      <c r="Q3265" t="s">
        <v>1492</v>
      </c>
      <c r="R3265" t="s">
        <v>201</v>
      </c>
      <c r="S3265">
        <v>1</v>
      </c>
      <c r="T3265">
        <v>1</v>
      </c>
      <c r="U3265">
        <v>101052</v>
      </c>
      <c r="V3265">
        <v>101052</v>
      </c>
    </row>
    <row r="3266" spans="1:22">
      <c r="A3266" t="s">
        <v>196</v>
      </c>
      <c r="B3266">
        <v>59</v>
      </c>
      <c r="C3266" t="s">
        <v>3</v>
      </c>
      <c r="D3266">
        <v>100</v>
      </c>
      <c r="E3266" t="s">
        <v>197</v>
      </c>
      <c r="F3266">
        <v>1005</v>
      </c>
      <c r="G3266" t="s">
        <v>3</v>
      </c>
      <c r="H3266">
        <v>2005</v>
      </c>
      <c r="I3266" t="s">
        <v>3</v>
      </c>
      <c r="J3266">
        <v>3102</v>
      </c>
      <c r="K3266" t="s">
        <v>60</v>
      </c>
      <c r="L3266">
        <v>4137</v>
      </c>
      <c r="M3266" t="s">
        <v>1486</v>
      </c>
      <c r="N3266" t="s">
        <v>1475</v>
      </c>
      <c r="O3266">
        <v>89</v>
      </c>
      <c r="P3266">
        <v>8740</v>
      </c>
      <c r="Q3266" t="s">
        <v>1493</v>
      </c>
      <c r="R3266" t="s">
        <v>201</v>
      </c>
      <c r="S3266">
        <v>1</v>
      </c>
      <c r="T3266">
        <v>1</v>
      </c>
      <c r="U3266">
        <v>156726</v>
      </c>
      <c r="V3266">
        <v>156726</v>
      </c>
    </row>
    <row r="3267" spans="1:22">
      <c r="A3267" t="s">
        <v>196</v>
      </c>
      <c r="B3267">
        <v>59</v>
      </c>
      <c r="C3267" t="s">
        <v>3</v>
      </c>
      <c r="D3267">
        <v>100</v>
      </c>
      <c r="E3267" t="s">
        <v>197</v>
      </c>
      <c r="F3267">
        <v>1005</v>
      </c>
      <c r="G3267" t="s">
        <v>3</v>
      </c>
      <c r="H3267">
        <v>2005</v>
      </c>
      <c r="I3267" t="s">
        <v>3</v>
      </c>
      <c r="J3267">
        <v>3102</v>
      </c>
      <c r="K3267" t="s">
        <v>60</v>
      </c>
      <c r="L3267">
        <v>4139</v>
      </c>
      <c r="M3267" t="s">
        <v>1494</v>
      </c>
      <c r="N3267" t="s">
        <v>1314</v>
      </c>
      <c r="O3267">
        <v>0</v>
      </c>
      <c r="P3267">
        <v>8530</v>
      </c>
      <c r="Q3267" t="s">
        <v>1495</v>
      </c>
      <c r="R3267" t="s">
        <v>201</v>
      </c>
      <c r="S3267">
        <v>1</v>
      </c>
      <c r="T3267">
        <v>1</v>
      </c>
      <c r="U3267">
        <v>150768</v>
      </c>
      <c r="V3267">
        <v>150768</v>
      </c>
    </row>
    <row r="3268" spans="1:22">
      <c r="A3268" t="s">
        <v>196</v>
      </c>
      <c r="B3268">
        <v>59</v>
      </c>
      <c r="C3268" t="s">
        <v>3</v>
      </c>
      <c r="D3268">
        <v>100</v>
      </c>
      <c r="E3268" t="s">
        <v>197</v>
      </c>
      <c r="F3268">
        <v>1005</v>
      </c>
      <c r="G3268" t="s">
        <v>3</v>
      </c>
      <c r="H3268">
        <v>2005</v>
      </c>
      <c r="I3268" t="s">
        <v>3</v>
      </c>
      <c r="J3268">
        <v>3102</v>
      </c>
      <c r="K3268" t="s">
        <v>60</v>
      </c>
      <c r="L3268">
        <v>4139</v>
      </c>
      <c r="M3268" t="s">
        <v>1494</v>
      </c>
      <c r="N3268" t="s">
        <v>356</v>
      </c>
      <c r="O3268">
        <v>4</v>
      </c>
      <c r="P3268">
        <v>3534</v>
      </c>
      <c r="Q3268" t="s">
        <v>1158</v>
      </c>
      <c r="R3268" t="s">
        <v>201</v>
      </c>
      <c r="S3268">
        <v>1</v>
      </c>
      <c r="T3268">
        <v>1</v>
      </c>
      <c r="U3268">
        <v>107628</v>
      </c>
      <c r="V3268">
        <v>107628</v>
      </c>
    </row>
    <row r="3269" spans="1:22">
      <c r="A3269" t="s">
        <v>196</v>
      </c>
      <c r="B3269">
        <v>59</v>
      </c>
      <c r="C3269" t="s">
        <v>3</v>
      </c>
      <c r="D3269">
        <v>100</v>
      </c>
      <c r="E3269" t="s">
        <v>197</v>
      </c>
      <c r="F3269">
        <v>1005</v>
      </c>
      <c r="G3269" t="s">
        <v>3</v>
      </c>
      <c r="H3269">
        <v>2005</v>
      </c>
      <c r="I3269" t="s">
        <v>3</v>
      </c>
      <c r="J3269">
        <v>3102</v>
      </c>
      <c r="K3269" t="s">
        <v>60</v>
      </c>
      <c r="L3269">
        <v>4139</v>
      </c>
      <c r="M3269" t="s">
        <v>1494</v>
      </c>
      <c r="N3269" t="s">
        <v>356</v>
      </c>
      <c r="O3269">
        <v>4</v>
      </c>
      <c r="P3269">
        <v>3534</v>
      </c>
      <c r="Q3269" t="s">
        <v>1158</v>
      </c>
      <c r="R3269" t="s">
        <v>201</v>
      </c>
      <c r="S3269">
        <v>1</v>
      </c>
      <c r="T3269">
        <v>1</v>
      </c>
      <c r="U3269">
        <v>97488</v>
      </c>
      <c r="V3269">
        <v>97488</v>
      </c>
    </row>
    <row r="3270" spans="1:22">
      <c r="A3270" t="s">
        <v>196</v>
      </c>
      <c r="B3270">
        <v>59</v>
      </c>
      <c r="C3270" t="s">
        <v>3</v>
      </c>
      <c r="D3270">
        <v>100</v>
      </c>
      <c r="E3270" t="s">
        <v>197</v>
      </c>
      <c r="F3270">
        <v>1005</v>
      </c>
      <c r="G3270" t="s">
        <v>3</v>
      </c>
      <c r="H3270">
        <v>2005</v>
      </c>
      <c r="I3270" t="s">
        <v>3</v>
      </c>
      <c r="J3270">
        <v>3102</v>
      </c>
      <c r="K3270" t="s">
        <v>60</v>
      </c>
      <c r="L3270">
        <v>4139</v>
      </c>
      <c r="M3270" t="s">
        <v>1494</v>
      </c>
      <c r="N3270" t="s">
        <v>199</v>
      </c>
      <c r="O3270">
        <v>0</v>
      </c>
      <c r="P3270">
        <v>15</v>
      </c>
      <c r="Q3270" t="s">
        <v>264</v>
      </c>
      <c r="R3270" t="s">
        <v>201</v>
      </c>
      <c r="S3270">
        <v>0</v>
      </c>
      <c r="T3270">
        <v>0</v>
      </c>
      <c r="U3270">
        <v>11077</v>
      </c>
      <c r="V3270">
        <v>11077</v>
      </c>
    </row>
    <row r="3271" spans="1:22">
      <c r="A3271" t="s">
        <v>196</v>
      </c>
      <c r="B3271">
        <v>59</v>
      </c>
      <c r="C3271" t="s">
        <v>3</v>
      </c>
      <c r="D3271">
        <v>100</v>
      </c>
      <c r="E3271" t="s">
        <v>197</v>
      </c>
      <c r="F3271">
        <v>1005</v>
      </c>
      <c r="G3271" t="s">
        <v>3</v>
      </c>
      <c r="H3271">
        <v>2005</v>
      </c>
      <c r="I3271" t="s">
        <v>3</v>
      </c>
      <c r="J3271">
        <v>3102</v>
      </c>
      <c r="K3271" t="s">
        <v>60</v>
      </c>
      <c r="L3271">
        <v>4141</v>
      </c>
      <c r="M3271" t="s">
        <v>1496</v>
      </c>
      <c r="N3271" t="s">
        <v>1489</v>
      </c>
      <c r="O3271">
        <v>87</v>
      </c>
      <c r="P3271">
        <v>8750</v>
      </c>
      <c r="Q3271" t="s">
        <v>1490</v>
      </c>
      <c r="R3271" t="s">
        <v>201</v>
      </c>
      <c r="S3271">
        <v>1</v>
      </c>
      <c r="T3271">
        <v>1</v>
      </c>
      <c r="U3271">
        <v>96528</v>
      </c>
      <c r="V3271">
        <v>96528</v>
      </c>
    </row>
    <row r="3272" spans="1:22">
      <c r="A3272" t="s">
        <v>196</v>
      </c>
      <c r="B3272">
        <v>59</v>
      </c>
      <c r="C3272" t="s">
        <v>3</v>
      </c>
      <c r="D3272">
        <v>100</v>
      </c>
      <c r="E3272" t="s">
        <v>197</v>
      </c>
      <c r="F3272">
        <v>1005</v>
      </c>
      <c r="G3272" t="s">
        <v>3</v>
      </c>
      <c r="H3272">
        <v>2005</v>
      </c>
      <c r="I3272" t="s">
        <v>3</v>
      </c>
      <c r="J3272">
        <v>3102</v>
      </c>
      <c r="K3272" t="s">
        <v>60</v>
      </c>
      <c r="L3272">
        <v>4141</v>
      </c>
      <c r="M3272" t="s">
        <v>1496</v>
      </c>
      <c r="N3272" t="s">
        <v>1489</v>
      </c>
      <c r="O3272">
        <v>87</v>
      </c>
      <c r="P3272">
        <v>8750</v>
      </c>
      <c r="Q3272" t="s">
        <v>1490</v>
      </c>
      <c r="R3272" t="s">
        <v>201</v>
      </c>
      <c r="S3272">
        <v>1</v>
      </c>
      <c r="T3272">
        <v>1</v>
      </c>
      <c r="U3272">
        <v>93252</v>
      </c>
      <c r="V3272">
        <v>93252</v>
      </c>
    </row>
    <row r="3273" spans="1:22">
      <c r="A3273" t="s">
        <v>196</v>
      </c>
      <c r="B3273">
        <v>59</v>
      </c>
      <c r="C3273" t="s">
        <v>3</v>
      </c>
      <c r="D3273">
        <v>100</v>
      </c>
      <c r="E3273" t="s">
        <v>197</v>
      </c>
      <c r="F3273">
        <v>1005</v>
      </c>
      <c r="G3273" t="s">
        <v>3</v>
      </c>
      <c r="H3273">
        <v>2005</v>
      </c>
      <c r="I3273" t="s">
        <v>3</v>
      </c>
      <c r="J3273">
        <v>3102</v>
      </c>
      <c r="K3273" t="s">
        <v>60</v>
      </c>
      <c r="L3273">
        <v>4141</v>
      </c>
      <c r="M3273" t="s">
        <v>1496</v>
      </c>
      <c r="N3273" t="s">
        <v>1491</v>
      </c>
      <c r="O3273">
        <v>87</v>
      </c>
      <c r="P3273">
        <v>8749</v>
      </c>
      <c r="Q3273" t="s">
        <v>1492</v>
      </c>
      <c r="R3273" t="s">
        <v>201</v>
      </c>
      <c r="S3273">
        <v>1</v>
      </c>
      <c r="T3273">
        <v>1</v>
      </c>
      <c r="U3273">
        <v>115308</v>
      </c>
      <c r="V3273">
        <v>115308</v>
      </c>
    </row>
    <row r="3274" spans="1:22">
      <c r="A3274" t="s">
        <v>196</v>
      </c>
      <c r="B3274">
        <v>59</v>
      </c>
      <c r="C3274" t="s">
        <v>3</v>
      </c>
      <c r="D3274">
        <v>100</v>
      </c>
      <c r="E3274" t="s">
        <v>197</v>
      </c>
      <c r="F3274">
        <v>1005</v>
      </c>
      <c r="G3274" t="s">
        <v>3</v>
      </c>
      <c r="H3274">
        <v>2005</v>
      </c>
      <c r="I3274" t="s">
        <v>3</v>
      </c>
      <c r="J3274">
        <v>3102</v>
      </c>
      <c r="K3274" t="s">
        <v>60</v>
      </c>
      <c r="L3274">
        <v>4141</v>
      </c>
      <c r="M3274" t="s">
        <v>1496</v>
      </c>
      <c r="N3274" t="s">
        <v>1491</v>
      </c>
      <c r="O3274">
        <v>87</v>
      </c>
      <c r="P3274">
        <v>8749</v>
      </c>
      <c r="Q3274" t="s">
        <v>1492</v>
      </c>
      <c r="R3274" t="s">
        <v>201</v>
      </c>
      <c r="S3274">
        <v>3</v>
      </c>
      <c r="T3274">
        <v>1</v>
      </c>
      <c r="U3274">
        <v>108096</v>
      </c>
      <c r="V3274">
        <v>324288</v>
      </c>
    </row>
    <row r="3275" spans="1:22">
      <c r="A3275" t="s">
        <v>196</v>
      </c>
      <c r="B3275">
        <v>59</v>
      </c>
      <c r="C3275" t="s">
        <v>3</v>
      </c>
      <c r="D3275">
        <v>100</v>
      </c>
      <c r="E3275" t="s">
        <v>197</v>
      </c>
      <c r="F3275">
        <v>1005</v>
      </c>
      <c r="G3275" t="s">
        <v>3</v>
      </c>
      <c r="H3275">
        <v>2005</v>
      </c>
      <c r="I3275" t="s">
        <v>3</v>
      </c>
      <c r="J3275">
        <v>3102</v>
      </c>
      <c r="K3275" t="s">
        <v>60</v>
      </c>
      <c r="L3275">
        <v>4141</v>
      </c>
      <c r="M3275" t="s">
        <v>1496</v>
      </c>
      <c r="N3275" t="s">
        <v>1491</v>
      </c>
      <c r="O3275">
        <v>87</v>
      </c>
      <c r="P3275">
        <v>8749</v>
      </c>
      <c r="Q3275" t="s">
        <v>1492</v>
      </c>
      <c r="R3275" t="s">
        <v>201</v>
      </c>
      <c r="S3275">
        <v>1</v>
      </c>
      <c r="T3275">
        <v>1</v>
      </c>
      <c r="U3275">
        <v>104430</v>
      </c>
      <c r="V3275">
        <v>104430</v>
      </c>
    </row>
    <row r="3276" spans="1:22">
      <c r="A3276" t="s">
        <v>196</v>
      </c>
      <c r="B3276">
        <v>59</v>
      </c>
      <c r="C3276" t="s">
        <v>3</v>
      </c>
      <c r="D3276">
        <v>100</v>
      </c>
      <c r="E3276" t="s">
        <v>197</v>
      </c>
      <c r="F3276">
        <v>1005</v>
      </c>
      <c r="G3276" t="s">
        <v>3</v>
      </c>
      <c r="H3276">
        <v>2005</v>
      </c>
      <c r="I3276" t="s">
        <v>3</v>
      </c>
      <c r="J3276">
        <v>3102</v>
      </c>
      <c r="K3276" t="s">
        <v>60</v>
      </c>
      <c r="L3276">
        <v>4141</v>
      </c>
      <c r="M3276" t="s">
        <v>1496</v>
      </c>
      <c r="N3276" t="s">
        <v>1491</v>
      </c>
      <c r="O3276">
        <v>87</v>
      </c>
      <c r="P3276">
        <v>8749</v>
      </c>
      <c r="Q3276" t="s">
        <v>1492</v>
      </c>
      <c r="R3276" t="s">
        <v>201</v>
      </c>
      <c r="S3276">
        <v>3</v>
      </c>
      <c r="T3276">
        <v>1</v>
      </c>
      <c r="U3276">
        <v>101052</v>
      </c>
      <c r="V3276">
        <v>303156</v>
      </c>
    </row>
    <row r="3277" spans="1:22">
      <c r="A3277" t="s">
        <v>196</v>
      </c>
      <c r="B3277">
        <v>59</v>
      </c>
      <c r="C3277" t="s">
        <v>3</v>
      </c>
      <c r="D3277">
        <v>100</v>
      </c>
      <c r="E3277" t="s">
        <v>197</v>
      </c>
      <c r="F3277">
        <v>1005</v>
      </c>
      <c r="G3277" t="s">
        <v>3</v>
      </c>
      <c r="H3277">
        <v>2005</v>
      </c>
      <c r="I3277" t="s">
        <v>3</v>
      </c>
      <c r="J3277">
        <v>3102</v>
      </c>
      <c r="K3277" t="s">
        <v>60</v>
      </c>
      <c r="L3277">
        <v>4141</v>
      </c>
      <c r="M3277" t="s">
        <v>1496</v>
      </c>
      <c r="N3277" t="s">
        <v>1497</v>
      </c>
      <c r="O3277">
        <v>87</v>
      </c>
      <c r="P3277">
        <v>8745</v>
      </c>
      <c r="Q3277" t="s">
        <v>1498</v>
      </c>
      <c r="R3277" t="s">
        <v>201</v>
      </c>
      <c r="S3277">
        <v>1</v>
      </c>
      <c r="T3277">
        <v>1</v>
      </c>
      <c r="U3277">
        <v>143076</v>
      </c>
      <c r="V3277">
        <v>143076</v>
      </c>
    </row>
    <row r="3278" spans="1:22">
      <c r="A3278" t="s">
        <v>196</v>
      </c>
      <c r="B3278">
        <v>59</v>
      </c>
      <c r="C3278" t="s">
        <v>3</v>
      </c>
      <c r="D3278">
        <v>100</v>
      </c>
      <c r="E3278" t="s">
        <v>197</v>
      </c>
      <c r="F3278">
        <v>1005</v>
      </c>
      <c r="G3278" t="s">
        <v>3</v>
      </c>
      <c r="H3278">
        <v>2005</v>
      </c>
      <c r="I3278" t="s">
        <v>3</v>
      </c>
      <c r="J3278">
        <v>3102</v>
      </c>
      <c r="K3278" t="s">
        <v>60</v>
      </c>
      <c r="L3278">
        <v>4141</v>
      </c>
      <c r="M3278" t="s">
        <v>1496</v>
      </c>
      <c r="N3278" t="s">
        <v>1497</v>
      </c>
      <c r="O3278">
        <v>87</v>
      </c>
      <c r="P3278">
        <v>8745</v>
      </c>
      <c r="Q3278" t="s">
        <v>1498</v>
      </c>
      <c r="R3278" t="s">
        <v>201</v>
      </c>
      <c r="S3278">
        <v>1</v>
      </c>
      <c r="T3278">
        <v>1</v>
      </c>
      <c r="U3278">
        <v>138828</v>
      </c>
      <c r="V3278">
        <v>138828</v>
      </c>
    </row>
    <row r="3279" spans="1:22">
      <c r="A3279" t="s">
        <v>196</v>
      </c>
      <c r="B3279">
        <v>59</v>
      </c>
      <c r="C3279" t="s">
        <v>3</v>
      </c>
      <c r="D3279">
        <v>100</v>
      </c>
      <c r="E3279" t="s">
        <v>197</v>
      </c>
      <c r="F3279">
        <v>1005</v>
      </c>
      <c r="G3279" t="s">
        <v>3</v>
      </c>
      <c r="H3279">
        <v>2005</v>
      </c>
      <c r="I3279" t="s">
        <v>3</v>
      </c>
      <c r="J3279">
        <v>3102</v>
      </c>
      <c r="K3279" t="s">
        <v>60</v>
      </c>
      <c r="L3279">
        <v>4152</v>
      </c>
      <c r="M3279" t="s">
        <v>1499</v>
      </c>
      <c r="N3279" t="s">
        <v>216</v>
      </c>
      <c r="O3279">
        <v>89</v>
      </c>
      <c r="P3279">
        <v>8763</v>
      </c>
      <c r="Q3279" t="s">
        <v>1469</v>
      </c>
      <c r="R3279" t="s">
        <v>201</v>
      </c>
      <c r="S3279">
        <v>1</v>
      </c>
      <c r="T3279">
        <v>1</v>
      </c>
      <c r="U3279">
        <v>205560</v>
      </c>
      <c r="V3279">
        <v>205560</v>
      </c>
    </row>
    <row r="3280" spans="1:22">
      <c r="A3280" t="s">
        <v>196</v>
      </c>
      <c r="B3280">
        <v>59</v>
      </c>
      <c r="C3280" t="s">
        <v>3</v>
      </c>
      <c r="D3280">
        <v>100</v>
      </c>
      <c r="E3280" t="s">
        <v>197</v>
      </c>
      <c r="F3280">
        <v>1005</v>
      </c>
      <c r="G3280" t="s">
        <v>3</v>
      </c>
      <c r="H3280">
        <v>2005</v>
      </c>
      <c r="I3280" t="s">
        <v>3</v>
      </c>
      <c r="J3280">
        <v>3102</v>
      </c>
      <c r="K3280" t="s">
        <v>60</v>
      </c>
      <c r="L3280">
        <v>4152</v>
      </c>
      <c r="M3280" t="s">
        <v>1499</v>
      </c>
      <c r="N3280" t="s">
        <v>245</v>
      </c>
      <c r="O3280">
        <v>20</v>
      </c>
      <c r="P3280">
        <v>3051</v>
      </c>
      <c r="Q3280" t="s">
        <v>246</v>
      </c>
      <c r="R3280" t="s">
        <v>201</v>
      </c>
      <c r="S3280">
        <v>1</v>
      </c>
      <c r="T3280">
        <v>1</v>
      </c>
      <c r="U3280">
        <v>115992</v>
      </c>
      <c r="V3280">
        <v>115992</v>
      </c>
    </row>
    <row r="3281" spans="1:22">
      <c r="A3281" t="s">
        <v>196</v>
      </c>
      <c r="B3281">
        <v>59</v>
      </c>
      <c r="C3281" t="s">
        <v>3</v>
      </c>
      <c r="D3281">
        <v>100</v>
      </c>
      <c r="E3281" t="s">
        <v>197</v>
      </c>
      <c r="F3281">
        <v>1005</v>
      </c>
      <c r="G3281" t="s">
        <v>3</v>
      </c>
      <c r="H3281">
        <v>2005</v>
      </c>
      <c r="I3281" t="s">
        <v>3</v>
      </c>
      <c r="J3281">
        <v>3104</v>
      </c>
      <c r="K3281" t="s">
        <v>243</v>
      </c>
      <c r="L3281">
        <v>4116</v>
      </c>
      <c r="M3281" t="s">
        <v>309</v>
      </c>
      <c r="N3281" t="s">
        <v>199</v>
      </c>
      <c r="O3281">
        <v>89</v>
      </c>
      <c r="P3281">
        <v>9702</v>
      </c>
      <c r="Q3281" t="s">
        <v>1500</v>
      </c>
      <c r="R3281" t="s">
        <v>201</v>
      </c>
      <c r="S3281">
        <v>1</v>
      </c>
      <c r="T3281">
        <v>1</v>
      </c>
      <c r="U3281">
        <v>221796</v>
      </c>
      <c r="V3281">
        <v>221796</v>
      </c>
    </row>
    <row r="3282" spans="1:22">
      <c r="A3282" t="s">
        <v>196</v>
      </c>
      <c r="B3282">
        <v>59</v>
      </c>
      <c r="C3282" t="s">
        <v>3</v>
      </c>
      <c r="D3282">
        <v>100</v>
      </c>
      <c r="E3282" t="s">
        <v>197</v>
      </c>
      <c r="F3282">
        <v>1005</v>
      </c>
      <c r="G3282" t="s">
        <v>3</v>
      </c>
      <c r="H3282">
        <v>2005</v>
      </c>
      <c r="I3282" t="s">
        <v>3</v>
      </c>
      <c r="J3282">
        <v>3104</v>
      </c>
      <c r="K3282" t="s">
        <v>243</v>
      </c>
      <c r="L3282">
        <v>4116</v>
      </c>
      <c r="M3282" t="s">
        <v>309</v>
      </c>
      <c r="N3282" t="s">
        <v>216</v>
      </c>
      <c r="O3282">
        <v>89</v>
      </c>
      <c r="P3282">
        <v>8763</v>
      </c>
      <c r="Q3282" t="s">
        <v>1469</v>
      </c>
      <c r="R3282" t="s">
        <v>201</v>
      </c>
      <c r="S3282">
        <v>5</v>
      </c>
      <c r="T3282">
        <v>1</v>
      </c>
      <c r="U3282">
        <v>205560</v>
      </c>
      <c r="V3282">
        <v>1027800</v>
      </c>
    </row>
    <row r="3283" spans="1:22">
      <c r="A3283" t="s">
        <v>196</v>
      </c>
      <c r="B3283">
        <v>59</v>
      </c>
      <c r="C3283" t="s">
        <v>3</v>
      </c>
      <c r="D3283">
        <v>100</v>
      </c>
      <c r="E3283" t="s">
        <v>197</v>
      </c>
      <c r="F3283">
        <v>1005</v>
      </c>
      <c r="G3283" t="s">
        <v>3</v>
      </c>
      <c r="H3283">
        <v>2005</v>
      </c>
      <c r="I3283" t="s">
        <v>3</v>
      </c>
      <c r="J3283">
        <v>3104</v>
      </c>
      <c r="K3283" t="s">
        <v>243</v>
      </c>
      <c r="L3283">
        <v>4116</v>
      </c>
      <c r="M3283" t="s">
        <v>309</v>
      </c>
      <c r="N3283" t="s">
        <v>216</v>
      </c>
      <c r="O3283">
        <v>89</v>
      </c>
      <c r="P3283">
        <v>8755</v>
      </c>
      <c r="Q3283" t="s">
        <v>1501</v>
      </c>
      <c r="R3283" t="s">
        <v>201</v>
      </c>
      <c r="S3283">
        <v>2</v>
      </c>
      <c r="T3283">
        <v>1</v>
      </c>
      <c r="U3283">
        <v>219048</v>
      </c>
      <c r="V3283">
        <v>438096</v>
      </c>
    </row>
    <row r="3284" spans="1:22">
      <c r="A3284" t="s">
        <v>196</v>
      </c>
      <c r="B3284">
        <v>59</v>
      </c>
      <c r="C3284" t="s">
        <v>3</v>
      </c>
      <c r="D3284">
        <v>100</v>
      </c>
      <c r="E3284" t="s">
        <v>197</v>
      </c>
      <c r="F3284">
        <v>1005</v>
      </c>
      <c r="G3284" t="s">
        <v>3</v>
      </c>
      <c r="H3284">
        <v>2005</v>
      </c>
      <c r="I3284" t="s">
        <v>3</v>
      </c>
      <c r="J3284">
        <v>3104</v>
      </c>
      <c r="K3284" t="s">
        <v>243</v>
      </c>
      <c r="L3284">
        <v>4116</v>
      </c>
      <c r="M3284" t="s">
        <v>309</v>
      </c>
      <c r="N3284" t="s">
        <v>1502</v>
      </c>
      <c r="O3284">
        <v>80</v>
      </c>
      <c r="P3284">
        <v>8727</v>
      </c>
      <c r="Q3284" t="s">
        <v>1503</v>
      </c>
      <c r="R3284" t="s">
        <v>201</v>
      </c>
      <c r="S3284">
        <v>1</v>
      </c>
      <c r="T3284">
        <v>1</v>
      </c>
      <c r="U3284">
        <v>169830</v>
      </c>
      <c r="V3284">
        <v>169830</v>
      </c>
    </row>
    <row r="3285" spans="1:22">
      <c r="A3285" t="s">
        <v>196</v>
      </c>
      <c r="B3285">
        <v>59</v>
      </c>
      <c r="C3285" t="s">
        <v>3</v>
      </c>
      <c r="D3285">
        <v>100</v>
      </c>
      <c r="E3285" t="s">
        <v>197</v>
      </c>
      <c r="F3285">
        <v>1005</v>
      </c>
      <c r="G3285" t="s">
        <v>3</v>
      </c>
      <c r="H3285">
        <v>2005</v>
      </c>
      <c r="I3285" t="s">
        <v>3</v>
      </c>
      <c r="J3285">
        <v>3104</v>
      </c>
      <c r="K3285" t="s">
        <v>243</v>
      </c>
      <c r="L3285">
        <v>4116</v>
      </c>
      <c r="M3285" t="s">
        <v>309</v>
      </c>
      <c r="N3285" t="s">
        <v>1470</v>
      </c>
      <c r="O3285">
        <v>87</v>
      </c>
      <c r="P3285">
        <v>8707</v>
      </c>
      <c r="Q3285" t="s">
        <v>1483</v>
      </c>
      <c r="R3285" t="s">
        <v>201</v>
      </c>
      <c r="S3285">
        <v>1</v>
      </c>
      <c r="T3285">
        <v>1</v>
      </c>
      <c r="U3285">
        <v>123420</v>
      </c>
      <c r="V3285">
        <v>123420</v>
      </c>
    </row>
    <row r="3286" spans="1:22">
      <c r="A3286" t="s">
        <v>196</v>
      </c>
      <c r="B3286">
        <v>59</v>
      </c>
      <c r="C3286" t="s">
        <v>3</v>
      </c>
      <c r="D3286">
        <v>100</v>
      </c>
      <c r="E3286" t="s">
        <v>197</v>
      </c>
      <c r="F3286">
        <v>1005</v>
      </c>
      <c r="G3286" t="s">
        <v>3</v>
      </c>
      <c r="H3286">
        <v>2005</v>
      </c>
      <c r="I3286" t="s">
        <v>3</v>
      </c>
      <c r="J3286">
        <v>3104</v>
      </c>
      <c r="K3286" t="s">
        <v>243</v>
      </c>
      <c r="L3286">
        <v>4116</v>
      </c>
      <c r="M3286" t="s">
        <v>309</v>
      </c>
      <c r="N3286" t="s">
        <v>341</v>
      </c>
      <c r="O3286">
        <v>1</v>
      </c>
      <c r="P3286">
        <v>308</v>
      </c>
      <c r="Q3286" t="s">
        <v>355</v>
      </c>
      <c r="R3286" t="s">
        <v>201</v>
      </c>
      <c r="S3286">
        <v>1</v>
      </c>
      <c r="T3286">
        <v>1</v>
      </c>
      <c r="U3286">
        <v>119100</v>
      </c>
      <c r="V3286">
        <v>119100</v>
      </c>
    </row>
    <row r="3287" spans="1:22">
      <c r="A3287" t="s">
        <v>196</v>
      </c>
      <c r="B3287">
        <v>59</v>
      </c>
      <c r="C3287" t="s">
        <v>3</v>
      </c>
      <c r="D3287">
        <v>100</v>
      </c>
      <c r="E3287" t="s">
        <v>197</v>
      </c>
      <c r="F3287">
        <v>1005</v>
      </c>
      <c r="G3287" t="s">
        <v>3</v>
      </c>
      <c r="H3287">
        <v>2005</v>
      </c>
      <c r="I3287" t="s">
        <v>3</v>
      </c>
      <c r="J3287">
        <v>3104</v>
      </c>
      <c r="K3287" t="s">
        <v>243</v>
      </c>
      <c r="L3287">
        <v>4116</v>
      </c>
      <c r="M3287" t="s">
        <v>309</v>
      </c>
      <c r="N3287" t="s">
        <v>341</v>
      </c>
      <c r="O3287">
        <v>1</v>
      </c>
      <c r="P3287">
        <v>308</v>
      </c>
      <c r="Q3287" t="s">
        <v>355</v>
      </c>
      <c r="R3287" t="s">
        <v>201</v>
      </c>
      <c r="S3287">
        <v>1</v>
      </c>
      <c r="T3287">
        <v>1</v>
      </c>
      <c r="U3287">
        <v>74172</v>
      </c>
      <c r="V3287">
        <v>74172</v>
      </c>
    </row>
    <row r="3288" spans="1:22">
      <c r="A3288" t="s">
        <v>196</v>
      </c>
      <c r="B3288">
        <v>59</v>
      </c>
      <c r="C3288" t="s">
        <v>3</v>
      </c>
      <c r="D3288">
        <v>100</v>
      </c>
      <c r="E3288" t="s">
        <v>197</v>
      </c>
      <c r="F3288">
        <v>1005</v>
      </c>
      <c r="G3288" t="s">
        <v>3</v>
      </c>
      <c r="H3288">
        <v>2005</v>
      </c>
      <c r="I3288" t="s">
        <v>3</v>
      </c>
      <c r="J3288">
        <v>3104</v>
      </c>
      <c r="K3288" t="s">
        <v>243</v>
      </c>
      <c r="L3288">
        <v>4116</v>
      </c>
      <c r="M3288" t="s">
        <v>309</v>
      </c>
      <c r="N3288" t="s">
        <v>199</v>
      </c>
      <c r="O3288">
        <v>0</v>
      </c>
      <c r="P3288">
        <v>15</v>
      </c>
      <c r="Q3288" t="s">
        <v>264</v>
      </c>
      <c r="R3288" t="s">
        <v>201</v>
      </c>
      <c r="S3288">
        <v>0</v>
      </c>
      <c r="T3288">
        <v>0</v>
      </c>
      <c r="U3288">
        <v>2248</v>
      </c>
      <c r="V3288">
        <v>2248</v>
      </c>
    </row>
    <row r="3289" spans="1:22">
      <c r="A3289" t="s">
        <v>196</v>
      </c>
      <c r="B3289">
        <v>59</v>
      </c>
      <c r="C3289" t="s">
        <v>3</v>
      </c>
      <c r="D3289">
        <v>100</v>
      </c>
      <c r="E3289" t="s">
        <v>197</v>
      </c>
      <c r="F3289">
        <v>1005</v>
      </c>
      <c r="G3289" t="s">
        <v>3</v>
      </c>
      <c r="H3289">
        <v>2005</v>
      </c>
      <c r="I3289" t="s">
        <v>3</v>
      </c>
      <c r="J3289">
        <v>3104</v>
      </c>
      <c r="K3289" t="s">
        <v>243</v>
      </c>
      <c r="L3289">
        <v>4118</v>
      </c>
      <c r="M3289" t="s">
        <v>1504</v>
      </c>
      <c r="N3289" t="s">
        <v>1491</v>
      </c>
      <c r="O3289">
        <v>87</v>
      </c>
      <c r="P3289">
        <v>8820</v>
      </c>
      <c r="Q3289" t="s">
        <v>1505</v>
      </c>
      <c r="R3289" t="s">
        <v>201</v>
      </c>
      <c r="S3289">
        <v>7</v>
      </c>
      <c r="T3289">
        <v>1</v>
      </c>
      <c r="U3289">
        <v>122274</v>
      </c>
      <c r="V3289">
        <v>855918</v>
      </c>
    </row>
    <row r="3290" spans="1:22">
      <c r="A3290" t="s">
        <v>196</v>
      </c>
      <c r="B3290">
        <v>59</v>
      </c>
      <c r="C3290" t="s">
        <v>3</v>
      </c>
      <c r="D3290">
        <v>100</v>
      </c>
      <c r="E3290" t="s">
        <v>197</v>
      </c>
      <c r="F3290">
        <v>1005</v>
      </c>
      <c r="G3290" t="s">
        <v>3</v>
      </c>
      <c r="H3290">
        <v>2005</v>
      </c>
      <c r="I3290" t="s">
        <v>3</v>
      </c>
      <c r="J3290">
        <v>3104</v>
      </c>
      <c r="K3290" t="s">
        <v>243</v>
      </c>
      <c r="L3290">
        <v>4118</v>
      </c>
      <c r="M3290" t="s">
        <v>1504</v>
      </c>
      <c r="N3290" t="s">
        <v>1491</v>
      </c>
      <c r="O3290">
        <v>87</v>
      </c>
      <c r="P3290">
        <v>8820</v>
      </c>
      <c r="Q3290" t="s">
        <v>1505</v>
      </c>
      <c r="R3290" t="s">
        <v>201</v>
      </c>
      <c r="S3290">
        <v>7</v>
      </c>
      <c r="T3290">
        <v>1</v>
      </c>
      <c r="U3290">
        <v>118830</v>
      </c>
      <c r="V3290">
        <v>831810</v>
      </c>
    </row>
    <row r="3291" spans="1:22">
      <c r="A3291" t="s">
        <v>196</v>
      </c>
      <c r="B3291">
        <v>59</v>
      </c>
      <c r="C3291" t="s">
        <v>3</v>
      </c>
      <c r="D3291">
        <v>100</v>
      </c>
      <c r="E3291" t="s">
        <v>197</v>
      </c>
      <c r="F3291">
        <v>1005</v>
      </c>
      <c r="G3291" t="s">
        <v>3</v>
      </c>
      <c r="H3291">
        <v>2005</v>
      </c>
      <c r="I3291" t="s">
        <v>3</v>
      </c>
      <c r="J3291">
        <v>3104</v>
      </c>
      <c r="K3291" t="s">
        <v>243</v>
      </c>
      <c r="L3291">
        <v>4118</v>
      </c>
      <c r="M3291" t="s">
        <v>1504</v>
      </c>
      <c r="N3291" t="s">
        <v>1491</v>
      </c>
      <c r="O3291">
        <v>87</v>
      </c>
      <c r="P3291">
        <v>8819</v>
      </c>
      <c r="Q3291" t="s">
        <v>1506</v>
      </c>
      <c r="R3291" t="s">
        <v>201</v>
      </c>
      <c r="S3291">
        <v>3</v>
      </c>
      <c r="T3291">
        <v>1</v>
      </c>
      <c r="U3291">
        <v>125202</v>
      </c>
      <c r="V3291">
        <v>375606</v>
      </c>
    </row>
    <row r="3292" spans="1:22">
      <c r="A3292" t="s">
        <v>196</v>
      </c>
      <c r="B3292">
        <v>59</v>
      </c>
      <c r="C3292" t="s">
        <v>3</v>
      </c>
      <c r="D3292">
        <v>100</v>
      </c>
      <c r="E3292" t="s">
        <v>197</v>
      </c>
      <c r="F3292">
        <v>1005</v>
      </c>
      <c r="G3292" t="s">
        <v>3</v>
      </c>
      <c r="H3292">
        <v>2005</v>
      </c>
      <c r="I3292" t="s">
        <v>3</v>
      </c>
      <c r="J3292">
        <v>3104</v>
      </c>
      <c r="K3292" t="s">
        <v>243</v>
      </c>
      <c r="L3292">
        <v>4118</v>
      </c>
      <c r="M3292" t="s">
        <v>1504</v>
      </c>
      <c r="N3292" t="s">
        <v>1491</v>
      </c>
      <c r="O3292">
        <v>87</v>
      </c>
      <c r="P3292">
        <v>8819</v>
      </c>
      <c r="Q3292" t="s">
        <v>1506</v>
      </c>
      <c r="R3292" t="s">
        <v>201</v>
      </c>
      <c r="S3292">
        <v>6</v>
      </c>
      <c r="T3292">
        <v>1</v>
      </c>
      <c r="U3292">
        <v>121656</v>
      </c>
      <c r="V3292">
        <v>729936</v>
      </c>
    </row>
    <row r="3293" spans="1:22">
      <c r="A3293" t="s">
        <v>196</v>
      </c>
      <c r="B3293">
        <v>59</v>
      </c>
      <c r="C3293" t="s">
        <v>3</v>
      </c>
      <c r="D3293">
        <v>100</v>
      </c>
      <c r="E3293" t="s">
        <v>197</v>
      </c>
      <c r="F3293">
        <v>1005</v>
      </c>
      <c r="G3293" t="s">
        <v>3</v>
      </c>
      <c r="H3293">
        <v>2005</v>
      </c>
      <c r="I3293" t="s">
        <v>3</v>
      </c>
      <c r="J3293">
        <v>3104</v>
      </c>
      <c r="K3293" t="s">
        <v>243</v>
      </c>
      <c r="L3293">
        <v>4118</v>
      </c>
      <c r="M3293" t="s">
        <v>1504</v>
      </c>
      <c r="N3293" t="s">
        <v>1507</v>
      </c>
      <c r="O3293">
        <v>87</v>
      </c>
      <c r="P3293">
        <v>8818</v>
      </c>
      <c r="Q3293" t="s">
        <v>1508</v>
      </c>
      <c r="R3293" t="s">
        <v>201</v>
      </c>
      <c r="S3293">
        <v>5</v>
      </c>
      <c r="T3293">
        <v>1</v>
      </c>
      <c r="U3293">
        <v>155358</v>
      </c>
      <c r="V3293">
        <v>776790</v>
      </c>
    </row>
    <row r="3294" spans="1:22">
      <c r="A3294" t="s">
        <v>196</v>
      </c>
      <c r="B3294">
        <v>59</v>
      </c>
      <c r="C3294" t="s">
        <v>3</v>
      </c>
      <c r="D3294">
        <v>100</v>
      </c>
      <c r="E3294" t="s">
        <v>197</v>
      </c>
      <c r="F3294">
        <v>1005</v>
      </c>
      <c r="G3294" t="s">
        <v>3</v>
      </c>
      <c r="H3294">
        <v>2005</v>
      </c>
      <c r="I3294" t="s">
        <v>3</v>
      </c>
      <c r="J3294">
        <v>3104</v>
      </c>
      <c r="K3294" t="s">
        <v>243</v>
      </c>
      <c r="L3294">
        <v>4118</v>
      </c>
      <c r="M3294" t="s">
        <v>1504</v>
      </c>
      <c r="N3294" t="s">
        <v>1507</v>
      </c>
      <c r="O3294">
        <v>87</v>
      </c>
      <c r="P3294">
        <v>8818</v>
      </c>
      <c r="Q3294" t="s">
        <v>1508</v>
      </c>
      <c r="R3294" t="s">
        <v>201</v>
      </c>
      <c r="S3294">
        <v>1</v>
      </c>
      <c r="T3294">
        <v>1</v>
      </c>
      <c r="U3294">
        <v>150756</v>
      </c>
      <c r="V3294">
        <v>150756</v>
      </c>
    </row>
    <row r="3295" spans="1:22">
      <c r="A3295" t="s">
        <v>196</v>
      </c>
      <c r="B3295">
        <v>59</v>
      </c>
      <c r="C3295" t="s">
        <v>3</v>
      </c>
      <c r="D3295">
        <v>100</v>
      </c>
      <c r="E3295" t="s">
        <v>197</v>
      </c>
      <c r="F3295">
        <v>1005</v>
      </c>
      <c r="G3295" t="s">
        <v>3</v>
      </c>
      <c r="H3295">
        <v>2005</v>
      </c>
      <c r="I3295" t="s">
        <v>3</v>
      </c>
      <c r="J3295">
        <v>3104</v>
      </c>
      <c r="K3295" t="s">
        <v>243</v>
      </c>
      <c r="L3295">
        <v>4118</v>
      </c>
      <c r="M3295" t="s">
        <v>1504</v>
      </c>
      <c r="N3295" t="s">
        <v>1507</v>
      </c>
      <c r="O3295">
        <v>87</v>
      </c>
      <c r="P3295">
        <v>8818</v>
      </c>
      <c r="Q3295" t="s">
        <v>1508</v>
      </c>
      <c r="R3295" t="s">
        <v>201</v>
      </c>
      <c r="S3295">
        <v>1</v>
      </c>
      <c r="T3295">
        <v>1</v>
      </c>
      <c r="U3295">
        <v>141948</v>
      </c>
      <c r="V3295">
        <v>141948</v>
      </c>
    </row>
    <row r="3296" spans="1:22">
      <c r="A3296" t="s">
        <v>196</v>
      </c>
      <c r="B3296">
        <v>59</v>
      </c>
      <c r="C3296" t="s">
        <v>3</v>
      </c>
      <c r="D3296">
        <v>100</v>
      </c>
      <c r="E3296" t="s">
        <v>197</v>
      </c>
      <c r="F3296">
        <v>1005</v>
      </c>
      <c r="G3296" t="s">
        <v>3</v>
      </c>
      <c r="H3296">
        <v>2005</v>
      </c>
      <c r="I3296" t="s">
        <v>3</v>
      </c>
      <c r="J3296">
        <v>3104</v>
      </c>
      <c r="K3296" t="s">
        <v>243</v>
      </c>
      <c r="L3296">
        <v>4118</v>
      </c>
      <c r="M3296" t="s">
        <v>1504</v>
      </c>
      <c r="N3296" t="s">
        <v>1509</v>
      </c>
      <c r="O3296">
        <v>87</v>
      </c>
      <c r="P3296">
        <v>8817</v>
      </c>
      <c r="Q3296" t="s">
        <v>1510</v>
      </c>
      <c r="R3296" t="s">
        <v>201</v>
      </c>
      <c r="S3296">
        <v>106</v>
      </c>
      <c r="T3296">
        <v>1</v>
      </c>
      <c r="U3296">
        <v>151764</v>
      </c>
      <c r="V3296">
        <v>16086984</v>
      </c>
    </row>
    <row r="3297" spans="1:22">
      <c r="A3297" t="s">
        <v>196</v>
      </c>
      <c r="B3297">
        <v>59</v>
      </c>
      <c r="C3297" t="s">
        <v>3</v>
      </c>
      <c r="D3297">
        <v>100</v>
      </c>
      <c r="E3297" t="s">
        <v>197</v>
      </c>
      <c r="F3297">
        <v>1005</v>
      </c>
      <c r="G3297" t="s">
        <v>3</v>
      </c>
      <c r="H3297">
        <v>2005</v>
      </c>
      <c r="I3297" t="s">
        <v>3</v>
      </c>
      <c r="J3297">
        <v>3104</v>
      </c>
      <c r="K3297" t="s">
        <v>243</v>
      </c>
      <c r="L3297">
        <v>4118</v>
      </c>
      <c r="M3297" t="s">
        <v>1504</v>
      </c>
      <c r="N3297" t="s">
        <v>1509</v>
      </c>
      <c r="O3297">
        <v>87</v>
      </c>
      <c r="P3297">
        <v>8817</v>
      </c>
      <c r="Q3297" t="s">
        <v>1510</v>
      </c>
      <c r="R3297" t="s">
        <v>201</v>
      </c>
      <c r="S3297">
        <v>41</v>
      </c>
      <c r="T3297">
        <v>1</v>
      </c>
      <c r="U3297">
        <v>147258</v>
      </c>
      <c r="V3297">
        <v>6037578</v>
      </c>
    </row>
    <row r="3298" spans="1:22">
      <c r="A3298" t="s">
        <v>196</v>
      </c>
      <c r="B3298">
        <v>59</v>
      </c>
      <c r="C3298" t="s">
        <v>3</v>
      </c>
      <c r="D3298">
        <v>100</v>
      </c>
      <c r="E3298" t="s">
        <v>197</v>
      </c>
      <c r="F3298">
        <v>1005</v>
      </c>
      <c r="G3298" t="s">
        <v>3</v>
      </c>
      <c r="H3298">
        <v>2005</v>
      </c>
      <c r="I3298" t="s">
        <v>3</v>
      </c>
      <c r="J3298">
        <v>3104</v>
      </c>
      <c r="K3298" t="s">
        <v>243</v>
      </c>
      <c r="L3298">
        <v>4118</v>
      </c>
      <c r="M3298" t="s">
        <v>1504</v>
      </c>
      <c r="N3298" t="s">
        <v>1509</v>
      </c>
      <c r="O3298">
        <v>87</v>
      </c>
      <c r="P3298">
        <v>8817</v>
      </c>
      <c r="Q3298" t="s">
        <v>1510</v>
      </c>
      <c r="R3298" t="s">
        <v>201</v>
      </c>
      <c r="S3298">
        <v>2</v>
      </c>
      <c r="T3298">
        <v>1</v>
      </c>
      <c r="U3298">
        <v>142926</v>
      </c>
      <c r="V3298">
        <v>285852</v>
      </c>
    </row>
    <row r="3299" spans="1:22">
      <c r="A3299" t="s">
        <v>196</v>
      </c>
      <c r="B3299">
        <v>59</v>
      </c>
      <c r="C3299" t="s">
        <v>3</v>
      </c>
      <c r="D3299">
        <v>100</v>
      </c>
      <c r="E3299" t="s">
        <v>197</v>
      </c>
      <c r="F3299">
        <v>1005</v>
      </c>
      <c r="G3299" t="s">
        <v>3</v>
      </c>
      <c r="H3299">
        <v>2005</v>
      </c>
      <c r="I3299" t="s">
        <v>3</v>
      </c>
      <c r="J3299">
        <v>3104</v>
      </c>
      <c r="K3299" t="s">
        <v>243</v>
      </c>
      <c r="L3299">
        <v>4118</v>
      </c>
      <c r="M3299" t="s">
        <v>1504</v>
      </c>
      <c r="N3299" t="s">
        <v>1509</v>
      </c>
      <c r="O3299">
        <v>87</v>
      </c>
      <c r="P3299">
        <v>8817</v>
      </c>
      <c r="Q3299" t="s">
        <v>1510</v>
      </c>
      <c r="R3299" t="s">
        <v>201</v>
      </c>
      <c r="S3299">
        <v>1</v>
      </c>
      <c r="T3299">
        <v>1</v>
      </c>
      <c r="U3299">
        <v>122046</v>
      </c>
      <c r="V3299">
        <v>122046</v>
      </c>
    </row>
    <row r="3300" spans="1:22">
      <c r="A3300" t="s">
        <v>196</v>
      </c>
      <c r="B3300">
        <v>59</v>
      </c>
      <c r="C3300" t="s">
        <v>3</v>
      </c>
      <c r="D3300">
        <v>100</v>
      </c>
      <c r="E3300" t="s">
        <v>197</v>
      </c>
      <c r="F3300">
        <v>1005</v>
      </c>
      <c r="G3300" t="s">
        <v>3</v>
      </c>
      <c r="H3300">
        <v>2005</v>
      </c>
      <c r="I3300" t="s">
        <v>3</v>
      </c>
      <c r="J3300">
        <v>3104</v>
      </c>
      <c r="K3300" t="s">
        <v>243</v>
      </c>
      <c r="L3300">
        <v>4118</v>
      </c>
      <c r="M3300" t="s">
        <v>1504</v>
      </c>
      <c r="N3300" t="s">
        <v>1511</v>
      </c>
      <c r="O3300">
        <v>87</v>
      </c>
      <c r="P3300">
        <v>8812</v>
      </c>
      <c r="Q3300" t="s">
        <v>1512</v>
      </c>
      <c r="R3300" t="s">
        <v>201</v>
      </c>
      <c r="S3300">
        <v>11</v>
      </c>
      <c r="T3300">
        <v>1</v>
      </c>
      <c r="U3300">
        <v>138378</v>
      </c>
      <c r="V3300">
        <v>1522158</v>
      </c>
    </row>
    <row r="3301" spans="1:22">
      <c r="A3301" t="s">
        <v>196</v>
      </c>
      <c r="B3301">
        <v>59</v>
      </c>
      <c r="C3301" t="s">
        <v>3</v>
      </c>
      <c r="D3301">
        <v>100</v>
      </c>
      <c r="E3301" t="s">
        <v>197</v>
      </c>
      <c r="F3301">
        <v>1005</v>
      </c>
      <c r="G3301" t="s">
        <v>3</v>
      </c>
      <c r="H3301">
        <v>2005</v>
      </c>
      <c r="I3301" t="s">
        <v>3</v>
      </c>
      <c r="J3301">
        <v>3104</v>
      </c>
      <c r="K3301" t="s">
        <v>243</v>
      </c>
      <c r="L3301">
        <v>4118</v>
      </c>
      <c r="M3301" t="s">
        <v>1504</v>
      </c>
      <c r="N3301" t="s">
        <v>1511</v>
      </c>
      <c r="O3301">
        <v>87</v>
      </c>
      <c r="P3301">
        <v>8812</v>
      </c>
      <c r="Q3301" t="s">
        <v>1512</v>
      </c>
      <c r="R3301" t="s">
        <v>201</v>
      </c>
      <c r="S3301">
        <v>6</v>
      </c>
      <c r="T3301">
        <v>1</v>
      </c>
      <c r="U3301">
        <v>134028</v>
      </c>
      <c r="V3301">
        <v>804168</v>
      </c>
    </row>
    <row r="3302" spans="1:22">
      <c r="A3302" t="s">
        <v>196</v>
      </c>
      <c r="B3302">
        <v>59</v>
      </c>
      <c r="C3302" t="s">
        <v>3</v>
      </c>
      <c r="D3302">
        <v>100</v>
      </c>
      <c r="E3302" t="s">
        <v>197</v>
      </c>
      <c r="F3302">
        <v>1005</v>
      </c>
      <c r="G3302" t="s">
        <v>3</v>
      </c>
      <c r="H3302">
        <v>2005</v>
      </c>
      <c r="I3302" t="s">
        <v>3</v>
      </c>
      <c r="J3302">
        <v>3104</v>
      </c>
      <c r="K3302" t="s">
        <v>243</v>
      </c>
      <c r="L3302">
        <v>4118</v>
      </c>
      <c r="M3302" t="s">
        <v>1504</v>
      </c>
      <c r="N3302" t="s">
        <v>1511</v>
      </c>
      <c r="O3302">
        <v>87</v>
      </c>
      <c r="P3302">
        <v>8812</v>
      </c>
      <c r="Q3302" t="s">
        <v>1512</v>
      </c>
      <c r="R3302" t="s">
        <v>201</v>
      </c>
      <c r="S3302">
        <v>5</v>
      </c>
      <c r="T3302">
        <v>1</v>
      </c>
      <c r="U3302">
        <v>129834</v>
      </c>
      <c r="V3302">
        <v>649170</v>
      </c>
    </row>
    <row r="3303" spans="1:22">
      <c r="A3303" t="s">
        <v>196</v>
      </c>
      <c r="B3303">
        <v>59</v>
      </c>
      <c r="C3303" t="s">
        <v>3</v>
      </c>
      <c r="D3303">
        <v>100</v>
      </c>
      <c r="E3303" t="s">
        <v>197</v>
      </c>
      <c r="F3303">
        <v>1005</v>
      </c>
      <c r="G3303" t="s">
        <v>3</v>
      </c>
      <c r="H3303">
        <v>2005</v>
      </c>
      <c r="I3303" t="s">
        <v>3</v>
      </c>
      <c r="J3303">
        <v>3104</v>
      </c>
      <c r="K3303" t="s">
        <v>243</v>
      </c>
      <c r="L3303">
        <v>4118</v>
      </c>
      <c r="M3303" t="s">
        <v>1504</v>
      </c>
      <c r="N3303" t="s">
        <v>1511</v>
      </c>
      <c r="O3303">
        <v>87</v>
      </c>
      <c r="P3303">
        <v>8812</v>
      </c>
      <c r="Q3303" t="s">
        <v>1512</v>
      </c>
      <c r="R3303" t="s">
        <v>201</v>
      </c>
      <c r="S3303">
        <v>3</v>
      </c>
      <c r="T3303">
        <v>1</v>
      </c>
      <c r="U3303">
        <v>125904</v>
      </c>
      <c r="V3303">
        <v>377712</v>
      </c>
    </row>
    <row r="3304" spans="1:22">
      <c r="A3304" t="s">
        <v>196</v>
      </c>
      <c r="B3304">
        <v>59</v>
      </c>
      <c r="C3304" t="s">
        <v>3</v>
      </c>
      <c r="D3304">
        <v>100</v>
      </c>
      <c r="E3304" t="s">
        <v>197</v>
      </c>
      <c r="F3304">
        <v>1005</v>
      </c>
      <c r="G3304" t="s">
        <v>3</v>
      </c>
      <c r="H3304">
        <v>2005</v>
      </c>
      <c r="I3304" t="s">
        <v>3</v>
      </c>
      <c r="J3304">
        <v>3104</v>
      </c>
      <c r="K3304" t="s">
        <v>243</v>
      </c>
      <c r="L3304">
        <v>4118</v>
      </c>
      <c r="M3304" t="s">
        <v>1504</v>
      </c>
      <c r="N3304" t="s">
        <v>1513</v>
      </c>
      <c r="O3304">
        <v>87</v>
      </c>
      <c r="P3304">
        <v>8811</v>
      </c>
      <c r="Q3304" t="s">
        <v>1514</v>
      </c>
      <c r="R3304" t="s">
        <v>201</v>
      </c>
      <c r="S3304">
        <v>147</v>
      </c>
      <c r="T3304">
        <v>1</v>
      </c>
      <c r="U3304">
        <v>135144</v>
      </c>
      <c r="V3304">
        <v>19866168</v>
      </c>
    </row>
    <row r="3305" spans="1:22">
      <c r="A3305" t="s">
        <v>196</v>
      </c>
      <c r="B3305">
        <v>59</v>
      </c>
      <c r="C3305" t="s">
        <v>3</v>
      </c>
      <c r="D3305">
        <v>100</v>
      </c>
      <c r="E3305" t="s">
        <v>197</v>
      </c>
      <c r="F3305">
        <v>1005</v>
      </c>
      <c r="G3305" t="s">
        <v>3</v>
      </c>
      <c r="H3305">
        <v>2005</v>
      </c>
      <c r="I3305" t="s">
        <v>3</v>
      </c>
      <c r="J3305">
        <v>3104</v>
      </c>
      <c r="K3305" t="s">
        <v>243</v>
      </c>
      <c r="L3305">
        <v>4118</v>
      </c>
      <c r="M3305" t="s">
        <v>1504</v>
      </c>
      <c r="N3305" t="s">
        <v>1513</v>
      </c>
      <c r="O3305">
        <v>87</v>
      </c>
      <c r="P3305">
        <v>8811</v>
      </c>
      <c r="Q3305" t="s">
        <v>1514</v>
      </c>
      <c r="R3305" t="s">
        <v>201</v>
      </c>
      <c r="S3305">
        <v>103</v>
      </c>
      <c r="T3305">
        <v>1</v>
      </c>
      <c r="U3305">
        <v>130908</v>
      </c>
      <c r="V3305">
        <v>13483524</v>
      </c>
    </row>
    <row r="3306" spans="1:22">
      <c r="A3306" t="s">
        <v>196</v>
      </c>
      <c r="B3306">
        <v>59</v>
      </c>
      <c r="C3306" t="s">
        <v>3</v>
      </c>
      <c r="D3306">
        <v>100</v>
      </c>
      <c r="E3306" t="s">
        <v>197</v>
      </c>
      <c r="F3306">
        <v>1005</v>
      </c>
      <c r="G3306" t="s">
        <v>3</v>
      </c>
      <c r="H3306">
        <v>2005</v>
      </c>
      <c r="I3306" t="s">
        <v>3</v>
      </c>
      <c r="J3306">
        <v>3104</v>
      </c>
      <c r="K3306" t="s">
        <v>243</v>
      </c>
      <c r="L3306">
        <v>4118</v>
      </c>
      <c r="M3306" t="s">
        <v>1504</v>
      </c>
      <c r="N3306" t="s">
        <v>1513</v>
      </c>
      <c r="O3306">
        <v>87</v>
      </c>
      <c r="P3306">
        <v>8811</v>
      </c>
      <c r="Q3306" t="s">
        <v>1514</v>
      </c>
      <c r="R3306" t="s">
        <v>201</v>
      </c>
      <c r="S3306">
        <v>152</v>
      </c>
      <c r="T3306">
        <v>1</v>
      </c>
      <c r="U3306">
        <v>126840</v>
      </c>
      <c r="V3306">
        <v>19279680</v>
      </c>
    </row>
    <row r="3307" spans="1:22">
      <c r="A3307" t="s">
        <v>196</v>
      </c>
      <c r="B3307">
        <v>59</v>
      </c>
      <c r="C3307" t="s">
        <v>3</v>
      </c>
      <c r="D3307">
        <v>100</v>
      </c>
      <c r="E3307" t="s">
        <v>197</v>
      </c>
      <c r="F3307">
        <v>1005</v>
      </c>
      <c r="G3307" t="s">
        <v>3</v>
      </c>
      <c r="H3307">
        <v>2005</v>
      </c>
      <c r="I3307" t="s">
        <v>3</v>
      </c>
      <c r="J3307">
        <v>3104</v>
      </c>
      <c r="K3307" t="s">
        <v>243</v>
      </c>
      <c r="L3307">
        <v>4118</v>
      </c>
      <c r="M3307" t="s">
        <v>1504</v>
      </c>
      <c r="N3307" t="s">
        <v>1513</v>
      </c>
      <c r="O3307">
        <v>87</v>
      </c>
      <c r="P3307">
        <v>8811</v>
      </c>
      <c r="Q3307" t="s">
        <v>1514</v>
      </c>
      <c r="R3307" t="s">
        <v>201</v>
      </c>
      <c r="S3307">
        <v>19</v>
      </c>
      <c r="T3307">
        <v>1</v>
      </c>
      <c r="U3307">
        <v>122976</v>
      </c>
      <c r="V3307">
        <v>2336544</v>
      </c>
    </row>
    <row r="3308" spans="1:22">
      <c r="A3308" t="s">
        <v>196</v>
      </c>
      <c r="B3308">
        <v>59</v>
      </c>
      <c r="C3308" t="s">
        <v>3</v>
      </c>
      <c r="D3308">
        <v>100</v>
      </c>
      <c r="E3308" t="s">
        <v>197</v>
      </c>
      <c r="F3308">
        <v>1005</v>
      </c>
      <c r="G3308" t="s">
        <v>3</v>
      </c>
      <c r="H3308">
        <v>2005</v>
      </c>
      <c r="I3308" t="s">
        <v>3</v>
      </c>
      <c r="J3308">
        <v>3104</v>
      </c>
      <c r="K3308" t="s">
        <v>243</v>
      </c>
      <c r="L3308">
        <v>4118</v>
      </c>
      <c r="M3308" t="s">
        <v>1504</v>
      </c>
      <c r="N3308" t="s">
        <v>1491</v>
      </c>
      <c r="O3308">
        <v>87</v>
      </c>
      <c r="P3308">
        <v>8808</v>
      </c>
      <c r="Q3308" t="s">
        <v>1515</v>
      </c>
      <c r="R3308" t="s">
        <v>201</v>
      </c>
      <c r="S3308">
        <v>3</v>
      </c>
      <c r="T3308">
        <v>1</v>
      </c>
      <c r="U3308">
        <v>125202</v>
      </c>
      <c r="V3308">
        <v>375606</v>
      </c>
    </row>
    <row r="3309" spans="1:22">
      <c r="A3309" t="s">
        <v>196</v>
      </c>
      <c r="B3309">
        <v>59</v>
      </c>
      <c r="C3309" t="s">
        <v>3</v>
      </c>
      <c r="D3309">
        <v>100</v>
      </c>
      <c r="E3309" t="s">
        <v>197</v>
      </c>
      <c r="F3309">
        <v>1005</v>
      </c>
      <c r="G3309" t="s">
        <v>3</v>
      </c>
      <c r="H3309">
        <v>2005</v>
      </c>
      <c r="I3309" t="s">
        <v>3</v>
      </c>
      <c r="J3309">
        <v>3104</v>
      </c>
      <c r="K3309" t="s">
        <v>243</v>
      </c>
      <c r="L3309">
        <v>4118</v>
      </c>
      <c r="M3309" t="s">
        <v>1504</v>
      </c>
      <c r="N3309" t="s">
        <v>1491</v>
      </c>
      <c r="O3309">
        <v>87</v>
      </c>
      <c r="P3309">
        <v>8808</v>
      </c>
      <c r="Q3309" t="s">
        <v>1515</v>
      </c>
      <c r="R3309" t="s">
        <v>201</v>
      </c>
      <c r="S3309">
        <v>4</v>
      </c>
      <c r="T3309">
        <v>1</v>
      </c>
      <c r="U3309">
        <v>121656</v>
      </c>
      <c r="V3309">
        <v>486624</v>
      </c>
    </row>
    <row r="3310" spans="1:22">
      <c r="A3310" t="s">
        <v>196</v>
      </c>
      <c r="B3310">
        <v>59</v>
      </c>
      <c r="C3310" t="s">
        <v>3</v>
      </c>
      <c r="D3310">
        <v>100</v>
      </c>
      <c r="E3310" t="s">
        <v>197</v>
      </c>
      <c r="F3310">
        <v>1005</v>
      </c>
      <c r="G3310" t="s">
        <v>3</v>
      </c>
      <c r="H3310">
        <v>2005</v>
      </c>
      <c r="I3310" t="s">
        <v>3</v>
      </c>
      <c r="J3310">
        <v>3104</v>
      </c>
      <c r="K3310" t="s">
        <v>243</v>
      </c>
      <c r="L3310">
        <v>4118</v>
      </c>
      <c r="M3310" t="s">
        <v>1504</v>
      </c>
      <c r="N3310" t="s">
        <v>1491</v>
      </c>
      <c r="O3310">
        <v>87</v>
      </c>
      <c r="P3310">
        <v>8808</v>
      </c>
      <c r="Q3310" t="s">
        <v>1515</v>
      </c>
      <c r="R3310" t="s">
        <v>201</v>
      </c>
      <c r="S3310">
        <v>3</v>
      </c>
      <c r="T3310">
        <v>1</v>
      </c>
      <c r="U3310">
        <v>117384</v>
      </c>
      <c r="V3310">
        <v>352152</v>
      </c>
    </row>
    <row r="3311" spans="1:22">
      <c r="A3311" t="s">
        <v>196</v>
      </c>
      <c r="B3311">
        <v>59</v>
      </c>
      <c r="C3311" t="s">
        <v>3</v>
      </c>
      <c r="D3311">
        <v>100</v>
      </c>
      <c r="E3311" t="s">
        <v>197</v>
      </c>
      <c r="F3311">
        <v>1005</v>
      </c>
      <c r="G3311" t="s">
        <v>3</v>
      </c>
      <c r="H3311">
        <v>2005</v>
      </c>
      <c r="I3311" t="s">
        <v>3</v>
      </c>
      <c r="J3311">
        <v>3104</v>
      </c>
      <c r="K3311" t="s">
        <v>243</v>
      </c>
      <c r="L3311">
        <v>4118</v>
      </c>
      <c r="M3311" t="s">
        <v>1504</v>
      </c>
      <c r="N3311" t="s">
        <v>1491</v>
      </c>
      <c r="O3311">
        <v>87</v>
      </c>
      <c r="P3311">
        <v>8808</v>
      </c>
      <c r="Q3311" t="s">
        <v>1515</v>
      </c>
      <c r="R3311" t="s">
        <v>201</v>
      </c>
      <c r="S3311">
        <v>11</v>
      </c>
      <c r="T3311">
        <v>1</v>
      </c>
      <c r="U3311">
        <v>113412</v>
      </c>
      <c r="V3311">
        <v>1247532</v>
      </c>
    </row>
    <row r="3312" spans="1:22">
      <c r="A3312" t="s">
        <v>196</v>
      </c>
      <c r="B3312">
        <v>59</v>
      </c>
      <c r="C3312" t="s">
        <v>3</v>
      </c>
      <c r="D3312">
        <v>100</v>
      </c>
      <c r="E3312" t="s">
        <v>197</v>
      </c>
      <c r="F3312">
        <v>1005</v>
      </c>
      <c r="G3312" t="s">
        <v>3</v>
      </c>
      <c r="H3312">
        <v>2005</v>
      </c>
      <c r="I3312" t="s">
        <v>3</v>
      </c>
      <c r="J3312">
        <v>3104</v>
      </c>
      <c r="K3312" t="s">
        <v>243</v>
      </c>
      <c r="L3312">
        <v>4118</v>
      </c>
      <c r="M3312" t="s">
        <v>1504</v>
      </c>
      <c r="N3312" t="s">
        <v>1491</v>
      </c>
      <c r="O3312">
        <v>87</v>
      </c>
      <c r="P3312">
        <v>8807</v>
      </c>
      <c r="Q3312" t="s">
        <v>1516</v>
      </c>
      <c r="R3312" t="s">
        <v>201</v>
      </c>
      <c r="S3312">
        <v>68</v>
      </c>
      <c r="T3312">
        <v>1</v>
      </c>
      <c r="U3312">
        <v>122274</v>
      </c>
      <c r="V3312">
        <v>8314632</v>
      </c>
    </row>
    <row r="3313" spans="1:22">
      <c r="A3313" t="s">
        <v>196</v>
      </c>
      <c r="B3313">
        <v>59</v>
      </c>
      <c r="C3313" t="s">
        <v>3</v>
      </c>
      <c r="D3313">
        <v>100</v>
      </c>
      <c r="E3313" t="s">
        <v>197</v>
      </c>
      <c r="F3313">
        <v>1005</v>
      </c>
      <c r="G3313" t="s">
        <v>3</v>
      </c>
      <c r="H3313">
        <v>2005</v>
      </c>
      <c r="I3313" t="s">
        <v>3</v>
      </c>
      <c r="J3313">
        <v>3104</v>
      </c>
      <c r="K3313" t="s">
        <v>243</v>
      </c>
      <c r="L3313">
        <v>4118</v>
      </c>
      <c r="M3313" t="s">
        <v>1504</v>
      </c>
      <c r="N3313" t="s">
        <v>1491</v>
      </c>
      <c r="O3313">
        <v>87</v>
      </c>
      <c r="P3313">
        <v>8807</v>
      </c>
      <c r="Q3313" t="s">
        <v>1516</v>
      </c>
      <c r="R3313" t="s">
        <v>201</v>
      </c>
      <c r="S3313">
        <v>75</v>
      </c>
      <c r="T3313">
        <v>1</v>
      </c>
      <c r="U3313">
        <v>118830</v>
      </c>
      <c r="V3313">
        <v>8912250</v>
      </c>
    </row>
    <row r="3314" spans="1:22">
      <c r="A3314" t="s">
        <v>196</v>
      </c>
      <c r="B3314">
        <v>59</v>
      </c>
      <c r="C3314" t="s">
        <v>3</v>
      </c>
      <c r="D3314">
        <v>100</v>
      </c>
      <c r="E3314" t="s">
        <v>197</v>
      </c>
      <c r="F3314">
        <v>1005</v>
      </c>
      <c r="G3314" t="s">
        <v>3</v>
      </c>
      <c r="H3314">
        <v>2005</v>
      </c>
      <c r="I3314" t="s">
        <v>3</v>
      </c>
      <c r="J3314">
        <v>3104</v>
      </c>
      <c r="K3314" t="s">
        <v>243</v>
      </c>
      <c r="L3314">
        <v>4118</v>
      </c>
      <c r="M3314" t="s">
        <v>1504</v>
      </c>
      <c r="N3314" t="s">
        <v>1491</v>
      </c>
      <c r="O3314">
        <v>87</v>
      </c>
      <c r="P3314">
        <v>8807</v>
      </c>
      <c r="Q3314" t="s">
        <v>1516</v>
      </c>
      <c r="R3314" t="s">
        <v>201</v>
      </c>
      <c r="S3314">
        <v>127</v>
      </c>
      <c r="T3314">
        <v>1</v>
      </c>
      <c r="U3314">
        <v>114654</v>
      </c>
      <c r="V3314">
        <v>14561058</v>
      </c>
    </row>
    <row r="3315" spans="1:22">
      <c r="A3315" t="s">
        <v>196</v>
      </c>
      <c r="B3315">
        <v>59</v>
      </c>
      <c r="C3315" t="s">
        <v>3</v>
      </c>
      <c r="D3315">
        <v>100</v>
      </c>
      <c r="E3315" t="s">
        <v>197</v>
      </c>
      <c r="F3315">
        <v>1005</v>
      </c>
      <c r="G3315" t="s">
        <v>3</v>
      </c>
      <c r="H3315">
        <v>2005</v>
      </c>
      <c r="I3315" t="s">
        <v>3</v>
      </c>
      <c r="J3315">
        <v>3104</v>
      </c>
      <c r="K3315" t="s">
        <v>243</v>
      </c>
      <c r="L3315">
        <v>4118</v>
      </c>
      <c r="M3315" t="s">
        <v>1504</v>
      </c>
      <c r="N3315" t="s">
        <v>1491</v>
      </c>
      <c r="O3315">
        <v>87</v>
      </c>
      <c r="P3315">
        <v>8807</v>
      </c>
      <c r="Q3315" t="s">
        <v>1516</v>
      </c>
      <c r="R3315" t="s">
        <v>201</v>
      </c>
      <c r="S3315">
        <v>88</v>
      </c>
      <c r="T3315">
        <v>1</v>
      </c>
      <c r="U3315">
        <v>110766</v>
      </c>
      <c r="V3315">
        <v>9747408</v>
      </c>
    </row>
    <row r="3316" spans="1:22">
      <c r="A3316" t="s">
        <v>196</v>
      </c>
      <c r="B3316">
        <v>59</v>
      </c>
      <c r="C3316" t="s">
        <v>3</v>
      </c>
      <c r="D3316">
        <v>100</v>
      </c>
      <c r="E3316" t="s">
        <v>197</v>
      </c>
      <c r="F3316">
        <v>1005</v>
      </c>
      <c r="G3316" t="s">
        <v>3</v>
      </c>
      <c r="H3316">
        <v>2005</v>
      </c>
      <c r="I3316" t="s">
        <v>3</v>
      </c>
      <c r="J3316">
        <v>3104</v>
      </c>
      <c r="K3316" t="s">
        <v>243</v>
      </c>
      <c r="L3316">
        <v>4118</v>
      </c>
      <c r="M3316" t="s">
        <v>1504</v>
      </c>
      <c r="N3316" t="s">
        <v>1491</v>
      </c>
      <c r="O3316">
        <v>87</v>
      </c>
      <c r="P3316">
        <v>8807</v>
      </c>
      <c r="Q3316" t="s">
        <v>1516</v>
      </c>
      <c r="R3316" t="s">
        <v>201</v>
      </c>
      <c r="S3316">
        <v>12</v>
      </c>
      <c r="T3316">
        <v>1</v>
      </c>
      <c r="U3316">
        <v>107166</v>
      </c>
      <c r="V3316">
        <v>1285992</v>
      </c>
    </row>
    <row r="3317" spans="1:22">
      <c r="A3317" t="s">
        <v>196</v>
      </c>
      <c r="B3317">
        <v>59</v>
      </c>
      <c r="C3317" t="s">
        <v>3</v>
      </c>
      <c r="D3317">
        <v>100</v>
      </c>
      <c r="E3317" t="s">
        <v>197</v>
      </c>
      <c r="F3317">
        <v>1005</v>
      </c>
      <c r="G3317" t="s">
        <v>3</v>
      </c>
      <c r="H3317">
        <v>2005</v>
      </c>
      <c r="I3317" t="s">
        <v>3</v>
      </c>
      <c r="J3317">
        <v>3104</v>
      </c>
      <c r="K3317" t="s">
        <v>243</v>
      </c>
      <c r="L3317">
        <v>4118</v>
      </c>
      <c r="M3317" t="s">
        <v>1504</v>
      </c>
      <c r="N3317" t="s">
        <v>1489</v>
      </c>
      <c r="O3317">
        <v>87</v>
      </c>
      <c r="P3317">
        <v>8802</v>
      </c>
      <c r="Q3317" t="s">
        <v>1517</v>
      </c>
      <c r="R3317" t="s">
        <v>201</v>
      </c>
      <c r="S3317">
        <v>63</v>
      </c>
      <c r="T3317">
        <v>1</v>
      </c>
      <c r="U3317">
        <v>93252</v>
      </c>
      <c r="V3317">
        <v>5874876</v>
      </c>
    </row>
    <row r="3318" spans="1:22">
      <c r="A3318" t="s">
        <v>196</v>
      </c>
      <c r="B3318">
        <v>59</v>
      </c>
      <c r="C3318" t="s">
        <v>3</v>
      </c>
      <c r="D3318">
        <v>100</v>
      </c>
      <c r="E3318" t="s">
        <v>197</v>
      </c>
      <c r="F3318">
        <v>1005</v>
      </c>
      <c r="G3318" t="s">
        <v>3</v>
      </c>
      <c r="H3318">
        <v>2005</v>
      </c>
      <c r="I3318" t="s">
        <v>3</v>
      </c>
      <c r="J3318">
        <v>3104</v>
      </c>
      <c r="K3318" t="s">
        <v>243</v>
      </c>
      <c r="L3318">
        <v>4118</v>
      </c>
      <c r="M3318" t="s">
        <v>1504</v>
      </c>
      <c r="N3318" t="s">
        <v>1489</v>
      </c>
      <c r="O3318">
        <v>87</v>
      </c>
      <c r="P3318">
        <v>8802</v>
      </c>
      <c r="Q3318" t="s">
        <v>1517</v>
      </c>
      <c r="R3318" t="s">
        <v>201</v>
      </c>
      <c r="S3318">
        <v>139</v>
      </c>
      <c r="T3318">
        <v>1</v>
      </c>
      <c r="U3318">
        <v>88770</v>
      </c>
      <c r="V3318">
        <v>12339030</v>
      </c>
    </row>
    <row r="3319" spans="1:22">
      <c r="A3319" t="s">
        <v>196</v>
      </c>
      <c r="B3319">
        <v>59</v>
      </c>
      <c r="C3319" t="s">
        <v>3</v>
      </c>
      <c r="D3319">
        <v>100</v>
      </c>
      <c r="E3319" t="s">
        <v>197</v>
      </c>
      <c r="F3319">
        <v>1005</v>
      </c>
      <c r="G3319" t="s">
        <v>3</v>
      </c>
      <c r="H3319">
        <v>2005</v>
      </c>
      <c r="I3319" t="s">
        <v>3</v>
      </c>
      <c r="J3319">
        <v>3104</v>
      </c>
      <c r="K3319" t="s">
        <v>243</v>
      </c>
      <c r="L3319">
        <v>4118</v>
      </c>
      <c r="M3319" t="s">
        <v>1504</v>
      </c>
      <c r="N3319" t="s">
        <v>1489</v>
      </c>
      <c r="O3319">
        <v>87</v>
      </c>
      <c r="P3319">
        <v>8802</v>
      </c>
      <c r="Q3319" t="s">
        <v>1517</v>
      </c>
      <c r="R3319" t="s">
        <v>201</v>
      </c>
      <c r="S3319">
        <v>115</v>
      </c>
      <c r="T3319">
        <v>1</v>
      </c>
      <c r="U3319">
        <v>84612</v>
      </c>
      <c r="V3319">
        <v>9730380</v>
      </c>
    </row>
    <row r="3320" spans="1:22">
      <c r="A3320" t="s">
        <v>196</v>
      </c>
      <c r="B3320">
        <v>59</v>
      </c>
      <c r="C3320" t="s">
        <v>3</v>
      </c>
      <c r="D3320">
        <v>100</v>
      </c>
      <c r="E3320" t="s">
        <v>197</v>
      </c>
      <c r="F3320">
        <v>1005</v>
      </c>
      <c r="G3320" t="s">
        <v>3</v>
      </c>
      <c r="H3320">
        <v>2005</v>
      </c>
      <c r="I3320" t="s">
        <v>3</v>
      </c>
      <c r="J3320">
        <v>3104</v>
      </c>
      <c r="K3320" t="s">
        <v>243</v>
      </c>
      <c r="L3320">
        <v>4118</v>
      </c>
      <c r="M3320" t="s">
        <v>1504</v>
      </c>
      <c r="N3320" t="s">
        <v>1489</v>
      </c>
      <c r="O3320">
        <v>87</v>
      </c>
      <c r="P3320">
        <v>8802</v>
      </c>
      <c r="Q3320" t="s">
        <v>1517</v>
      </c>
      <c r="R3320" t="s">
        <v>201</v>
      </c>
      <c r="S3320">
        <v>190</v>
      </c>
      <c r="T3320">
        <v>1</v>
      </c>
      <c r="U3320">
        <v>80448</v>
      </c>
      <c r="V3320">
        <v>15285120</v>
      </c>
    </row>
    <row r="3321" spans="1:22">
      <c r="A3321" t="s">
        <v>196</v>
      </c>
      <c r="B3321">
        <v>59</v>
      </c>
      <c r="C3321" t="s">
        <v>3</v>
      </c>
      <c r="D3321">
        <v>100</v>
      </c>
      <c r="E3321" t="s">
        <v>197</v>
      </c>
      <c r="F3321">
        <v>1005</v>
      </c>
      <c r="G3321" t="s">
        <v>3</v>
      </c>
      <c r="H3321">
        <v>2005</v>
      </c>
      <c r="I3321" t="s">
        <v>3</v>
      </c>
      <c r="J3321">
        <v>3104</v>
      </c>
      <c r="K3321" t="s">
        <v>243</v>
      </c>
      <c r="L3321">
        <v>4118</v>
      </c>
      <c r="M3321" t="s">
        <v>1504</v>
      </c>
      <c r="N3321" t="s">
        <v>1489</v>
      </c>
      <c r="O3321">
        <v>87</v>
      </c>
      <c r="P3321">
        <v>8802</v>
      </c>
      <c r="Q3321" t="s">
        <v>1517</v>
      </c>
      <c r="R3321" t="s">
        <v>201</v>
      </c>
      <c r="S3321">
        <v>106</v>
      </c>
      <c r="T3321">
        <v>1</v>
      </c>
      <c r="U3321">
        <v>76122</v>
      </c>
      <c r="V3321">
        <v>8068932</v>
      </c>
    </row>
    <row r="3322" spans="1:22">
      <c r="A3322" t="s">
        <v>196</v>
      </c>
      <c r="B3322">
        <v>59</v>
      </c>
      <c r="C3322" t="s">
        <v>3</v>
      </c>
      <c r="D3322">
        <v>100</v>
      </c>
      <c r="E3322" t="s">
        <v>197</v>
      </c>
      <c r="F3322">
        <v>1005</v>
      </c>
      <c r="G3322" t="s">
        <v>3</v>
      </c>
      <c r="H3322">
        <v>2005</v>
      </c>
      <c r="I3322" t="s">
        <v>3</v>
      </c>
      <c r="J3322">
        <v>3104</v>
      </c>
      <c r="K3322" t="s">
        <v>243</v>
      </c>
      <c r="L3322">
        <v>4118</v>
      </c>
      <c r="M3322" t="s">
        <v>1504</v>
      </c>
      <c r="N3322" t="s">
        <v>1489</v>
      </c>
      <c r="O3322">
        <v>87</v>
      </c>
      <c r="P3322">
        <v>8802</v>
      </c>
      <c r="Q3322" t="s">
        <v>1517</v>
      </c>
      <c r="R3322" t="s">
        <v>201</v>
      </c>
      <c r="S3322">
        <v>54</v>
      </c>
      <c r="T3322">
        <v>1</v>
      </c>
      <c r="U3322">
        <v>62466</v>
      </c>
      <c r="V3322">
        <v>3373164</v>
      </c>
    </row>
    <row r="3323" spans="1:22">
      <c r="A3323" t="s">
        <v>196</v>
      </c>
      <c r="B3323">
        <v>59</v>
      </c>
      <c r="C3323" t="s">
        <v>3</v>
      </c>
      <c r="D3323">
        <v>100</v>
      </c>
      <c r="E3323" t="s">
        <v>197</v>
      </c>
      <c r="F3323">
        <v>1005</v>
      </c>
      <c r="G3323" t="s">
        <v>3</v>
      </c>
      <c r="H3323">
        <v>2005</v>
      </c>
      <c r="I3323" t="s">
        <v>3</v>
      </c>
      <c r="J3323">
        <v>3104</v>
      </c>
      <c r="K3323" t="s">
        <v>243</v>
      </c>
      <c r="L3323">
        <v>4118</v>
      </c>
      <c r="M3323" t="s">
        <v>1504</v>
      </c>
      <c r="N3323" t="s">
        <v>1487</v>
      </c>
      <c r="O3323">
        <v>87</v>
      </c>
      <c r="P3323">
        <v>8801</v>
      </c>
      <c r="Q3323" t="s">
        <v>1488</v>
      </c>
      <c r="R3323" t="s">
        <v>201</v>
      </c>
      <c r="S3323">
        <v>39</v>
      </c>
      <c r="T3323">
        <v>1</v>
      </c>
      <c r="U3323">
        <v>114570</v>
      </c>
      <c r="V3323">
        <v>4468230</v>
      </c>
    </row>
    <row r="3324" spans="1:22">
      <c r="A3324" t="s">
        <v>196</v>
      </c>
      <c r="B3324">
        <v>59</v>
      </c>
      <c r="C3324" t="s">
        <v>3</v>
      </c>
      <c r="D3324">
        <v>100</v>
      </c>
      <c r="E3324" t="s">
        <v>197</v>
      </c>
      <c r="F3324">
        <v>1005</v>
      </c>
      <c r="G3324" t="s">
        <v>3</v>
      </c>
      <c r="H3324">
        <v>2005</v>
      </c>
      <c r="I3324" t="s">
        <v>3</v>
      </c>
      <c r="J3324">
        <v>3104</v>
      </c>
      <c r="K3324" t="s">
        <v>243</v>
      </c>
      <c r="L3324">
        <v>4118</v>
      </c>
      <c r="M3324" t="s">
        <v>1504</v>
      </c>
      <c r="N3324" t="s">
        <v>1487</v>
      </c>
      <c r="O3324">
        <v>87</v>
      </c>
      <c r="P3324">
        <v>8801</v>
      </c>
      <c r="Q3324" t="s">
        <v>1488</v>
      </c>
      <c r="R3324" t="s">
        <v>201</v>
      </c>
      <c r="S3324">
        <v>96</v>
      </c>
      <c r="T3324">
        <v>1</v>
      </c>
      <c r="U3324">
        <v>110196</v>
      </c>
      <c r="V3324">
        <v>10578816</v>
      </c>
    </row>
    <row r="3325" spans="1:22">
      <c r="A3325" t="s">
        <v>196</v>
      </c>
      <c r="B3325">
        <v>59</v>
      </c>
      <c r="C3325" t="s">
        <v>3</v>
      </c>
      <c r="D3325">
        <v>100</v>
      </c>
      <c r="E3325" t="s">
        <v>197</v>
      </c>
      <c r="F3325">
        <v>1005</v>
      </c>
      <c r="G3325" t="s">
        <v>3</v>
      </c>
      <c r="H3325">
        <v>2005</v>
      </c>
      <c r="I3325" t="s">
        <v>3</v>
      </c>
      <c r="J3325">
        <v>3104</v>
      </c>
      <c r="K3325" t="s">
        <v>243</v>
      </c>
      <c r="L3325">
        <v>4118</v>
      </c>
      <c r="M3325" t="s">
        <v>1504</v>
      </c>
      <c r="N3325" t="s">
        <v>1487</v>
      </c>
      <c r="O3325">
        <v>87</v>
      </c>
      <c r="P3325">
        <v>8801</v>
      </c>
      <c r="Q3325" t="s">
        <v>1488</v>
      </c>
      <c r="R3325" t="s">
        <v>201</v>
      </c>
      <c r="S3325">
        <v>223</v>
      </c>
      <c r="T3325">
        <v>1</v>
      </c>
      <c r="U3325">
        <v>105936</v>
      </c>
      <c r="V3325">
        <v>23623728</v>
      </c>
    </row>
    <row r="3326" spans="1:22">
      <c r="A3326" t="s">
        <v>196</v>
      </c>
      <c r="B3326">
        <v>59</v>
      </c>
      <c r="C3326" t="s">
        <v>3</v>
      </c>
      <c r="D3326">
        <v>100</v>
      </c>
      <c r="E3326" t="s">
        <v>197</v>
      </c>
      <c r="F3326">
        <v>1005</v>
      </c>
      <c r="G3326" t="s">
        <v>3</v>
      </c>
      <c r="H3326">
        <v>2005</v>
      </c>
      <c r="I3326" t="s">
        <v>3</v>
      </c>
      <c r="J3326">
        <v>3104</v>
      </c>
      <c r="K3326" t="s">
        <v>243</v>
      </c>
      <c r="L3326">
        <v>4118</v>
      </c>
      <c r="M3326" t="s">
        <v>1504</v>
      </c>
      <c r="N3326" t="s">
        <v>1487</v>
      </c>
      <c r="O3326">
        <v>87</v>
      </c>
      <c r="P3326">
        <v>8801</v>
      </c>
      <c r="Q3326" t="s">
        <v>1488</v>
      </c>
      <c r="R3326" t="s">
        <v>201</v>
      </c>
      <c r="S3326">
        <v>226</v>
      </c>
      <c r="T3326">
        <v>1</v>
      </c>
      <c r="U3326">
        <v>102372</v>
      </c>
      <c r="V3326">
        <v>23136072</v>
      </c>
    </row>
    <row r="3327" spans="1:22">
      <c r="A3327" t="s">
        <v>196</v>
      </c>
      <c r="B3327">
        <v>59</v>
      </c>
      <c r="C3327" t="s">
        <v>3</v>
      </c>
      <c r="D3327">
        <v>100</v>
      </c>
      <c r="E3327" t="s">
        <v>197</v>
      </c>
      <c r="F3327">
        <v>1005</v>
      </c>
      <c r="G3327" t="s">
        <v>3</v>
      </c>
      <c r="H3327">
        <v>2005</v>
      </c>
      <c r="I3327" t="s">
        <v>3</v>
      </c>
      <c r="J3327">
        <v>3104</v>
      </c>
      <c r="K3327" t="s">
        <v>243</v>
      </c>
      <c r="L3327">
        <v>4118</v>
      </c>
      <c r="M3327" t="s">
        <v>1504</v>
      </c>
      <c r="N3327" t="s">
        <v>1487</v>
      </c>
      <c r="O3327">
        <v>87</v>
      </c>
      <c r="P3327">
        <v>8801</v>
      </c>
      <c r="Q3327" t="s">
        <v>1488</v>
      </c>
      <c r="R3327" t="s">
        <v>201</v>
      </c>
      <c r="S3327">
        <v>735</v>
      </c>
      <c r="T3327">
        <v>1</v>
      </c>
      <c r="U3327">
        <v>98904</v>
      </c>
      <c r="V3327">
        <v>72694440</v>
      </c>
    </row>
    <row r="3328" spans="1:22">
      <c r="A3328" t="s">
        <v>196</v>
      </c>
      <c r="B3328">
        <v>59</v>
      </c>
      <c r="C3328" t="s">
        <v>3</v>
      </c>
      <c r="D3328">
        <v>100</v>
      </c>
      <c r="E3328" t="s">
        <v>197</v>
      </c>
      <c r="F3328">
        <v>1005</v>
      </c>
      <c r="G3328" t="s">
        <v>3</v>
      </c>
      <c r="H3328">
        <v>2005</v>
      </c>
      <c r="I3328" t="s">
        <v>3</v>
      </c>
      <c r="J3328">
        <v>3104</v>
      </c>
      <c r="K3328" t="s">
        <v>243</v>
      </c>
      <c r="L3328">
        <v>4118</v>
      </c>
      <c r="M3328" t="s">
        <v>1504</v>
      </c>
      <c r="N3328" t="s">
        <v>1487</v>
      </c>
      <c r="O3328">
        <v>87</v>
      </c>
      <c r="P3328">
        <v>8801</v>
      </c>
      <c r="Q3328" t="s">
        <v>1488</v>
      </c>
      <c r="R3328" t="s">
        <v>201</v>
      </c>
      <c r="S3328">
        <v>58</v>
      </c>
      <c r="T3328">
        <v>1</v>
      </c>
      <c r="U3328">
        <v>66264</v>
      </c>
      <c r="V3328">
        <v>3843312</v>
      </c>
    </row>
    <row r="3329" spans="1:22">
      <c r="A3329" t="s">
        <v>196</v>
      </c>
      <c r="B3329">
        <v>59</v>
      </c>
      <c r="C3329" t="s">
        <v>3</v>
      </c>
      <c r="D3329">
        <v>100</v>
      </c>
      <c r="E3329" t="s">
        <v>197</v>
      </c>
      <c r="F3329">
        <v>1005</v>
      </c>
      <c r="G3329" t="s">
        <v>3</v>
      </c>
      <c r="H3329">
        <v>2005</v>
      </c>
      <c r="I3329" t="s">
        <v>3</v>
      </c>
      <c r="J3329">
        <v>3104</v>
      </c>
      <c r="K3329" t="s">
        <v>243</v>
      </c>
      <c r="L3329">
        <v>4118</v>
      </c>
      <c r="M3329" t="s">
        <v>1504</v>
      </c>
      <c r="N3329" t="s">
        <v>216</v>
      </c>
      <c r="O3329">
        <v>89</v>
      </c>
      <c r="P3329">
        <v>8764</v>
      </c>
      <c r="Q3329" t="s">
        <v>1518</v>
      </c>
      <c r="R3329" t="s">
        <v>201</v>
      </c>
      <c r="S3329">
        <v>14</v>
      </c>
      <c r="T3329">
        <v>1</v>
      </c>
      <c r="U3329">
        <v>191724</v>
      </c>
      <c r="V3329">
        <v>2684136</v>
      </c>
    </row>
    <row r="3330" spans="1:22">
      <c r="A3330" t="s">
        <v>196</v>
      </c>
      <c r="B3330">
        <v>59</v>
      </c>
      <c r="C3330" t="s">
        <v>3</v>
      </c>
      <c r="D3330">
        <v>100</v>
      </c>
      <c r="E3330" t="s">
        <v>197</v>
      </c>
      <c r="F3330">
        <v>1005</v>
      </c>
      <c r="G3330" t="s">
        <v>3</v>
      </c>
      <c r="H3330">
        <v>2005</v>
      </c>
      <c r="I3330" t="s">
        <v>3</v>
      </c>
      <c r="J3330">
        <v>3104</v>
      </c>
      <c r="K3330" t="s">
        <v>243</v>
      </c>
      <c r="L3330">
        <v>4118</v>
      </c>
      <c r="M3330" t="s">
        <v>1504</v>
      </c>
      <c r="N3330" t="s">
        <v>1519</v>
      </c>
      <c r="O3330">
        <v>87</v>
      </c>
      <c r="P3330">
        <v>8739</v>
      </c>
      <c r="Q3330" t="s">
        <v>1520</v>
      </c>
      <c r="R3330" t="s">
        <v>201</v>
      </c>
      <c r="S3330">
        <v>4</v>
      </c>
      <c r="T3330">
        <v>1</v>
      </c>
      <c r="U3330">
        <v>156396</v>
      </c>
      <c r="V3330">
        <v>625584</v>
      </c>
    </row>
    <row r="3331" spans="1:22">
      <c r="A3331" t="s">
        <v>196</v>
      </c>
      <c r="B3331">
        <v>59</v>
      </c>
      <c r="C3331" t="s">
        <v>3</v>
      </c>
      <c r="D3331">
        <v>100</v>
      </c>
      <c r="E3331" t="s">
        <v>197</v>
      </c>
      <c r="F3331">
        <v>1005</v>
      </c>
      <c r="G3331" t="s">
        <v>3</v>
      </c>
      <c r="H3331">
        <v>2005</v>
      </c>
      <c r="I3331" t="s">
        <v>3</v>
      </c>
      <c r="J3331">
        <v>3104</v>
      </c>
      <c r="K3331" t="s">
        <v>243</v>
      </c>
      <c r="L3331">
        <v>4118</v>
      </c>
      <c r="M3331" t="s">
        <v>1504</v>
      </c>
      <c r="N3331" t="s">
        <v>1519</v>
      </c>
      <c r="O3331">
        <v>87</v>
      </c>
      <c r="P3331">
        <v>8739</v>
      </c>
      <c r="Q3331" t="s">
        <v>1520</v>
      </c>
      <c r="R3331" t="s">
        <v>201</v>
      </c>
      <c r="S3331">
        <v>1</v>
      </c>
      <c r="T3331">
        <v>1</v>
      </c>
      <c r="U3331">
        <v>143712</v>
      </c>
      <c r="V3331">
        <v>143712</v>
      </c>
    </row>
    <row r="3332" spans="1:22">
      <c r="A3332" t="s">
        <v>196</v>
      </c>
      <c r="B3332">
        <v>59</v>
      </c>
      <c r="C3332" t="s">
        <v>3</v>
      </c>
      <c r="D3332">
        <v>100</v>
      </c>
      <c r="E3332" t="s">
        <v>197</v>
      </c>
      <c r="F3332">
        <v>1005</v>
      </c>
      <c r="G3332" t="s">
        <v>3</v>
      </c>
      <c r="H3332">
        <v>2005</v>
      </c>
      <c r="I3332" t="s">
        <v>3</v>
      </c>
      <c r="J3332">
        <v>3104</v>
      </c>
      <c r="K3332" t="s">
        <v>243</v>
      </c>
      <c r="L3332">
        <v>4118</v>
      </c>
      <c r="M3332" t="s">
        <v>1504</v>
      </c>
      <c r="N3332" t="s">
        <v>1497</v>
      </c>
      <c r="O3332">
        <v>87</v>
      </c>
      <c r="P3332">
        <v>8737</v>
      </c>
      <c r="Q3332" t="s">
        <v>1331</v>
      </c>
      <c r="R3332" t="s">
        <v>201</v>
      </c>
      <c r="S3332">
        <v>6</v>
      </c>
      <c r="T3332">
        <v>1</v>
      </c>
      <c r="U3332">
        <v>143076</v>
      </c>
      <c r="V3332">
        <v>858456</v>
      </c>
    </row>
    <row r="3333" spans="1:22">
      <c r="A3333" t="s">
        <v>196</v>
      </c>
      <c r="B3333">
        <v>59</v>
      </c>
      <c r="C3333" t="s">
        <v>3</v>
      </c>
      <c r="D3333">
        <v>100</v>
      </c>
      <c r="E3333" t="s">
        <v>197</v>
      </c>
      <c r="F3333">
        <v>1005</v>
      </c>
      <c r="G3333" t="s">
        <v>3</v>
      </c>
      <c r="H3333">
        <v>2005</v>
      </c>
      <c r="I3333" t="s">
        <v>3</v>
      </c>
      <c r="J3333">
        <v>3104</v>
      </c>
      <c r="K3333" t="s">
        <v>243</v>
      </c>
      <c r="L3333">
        <v>4118</v>
      </c>
      <c r="M3333" t="s">
        <v>1504</v>
      </c>
      <c r="N3333" t="s">
        <v>1497</v>
      </c>
      <c r="O3333">
        <v>87</v>
      </c>
      <c r="P3333">
        <v>8737</v>
      </c>
      <c r="Q3333" t="s">
        <v>1331</v>
      </c>
      <c r="R3333" t="s">
        <v>201</v>
      </c>
      <c r="S3333">
        <v>2</v>
      </c>
      <c r="T3333">
        <v>1</v>
      </c>
      <c r="U3333">
        <v>138828</v>
      </c>
      <c r="V3333">
        <v>277656</v>
      </c>
    </row>
    <row r="3334" spans="1:22">
      <c r="A3334" t="s">
        <v>196</v>
      </c>
      <c r="B3334">
        <v>59</v>
      </c>
      <c r="C3334" t="s">
        <v>3</v>
      </c>
      <c r="D3334">
        <v>100</v>
      </c>
      <c r="E3334" t="s">
        <v>197</v>
      </c>
      <c r="F3334">
        <v>1005</v>
      </c>
      <c r="G3334" t="s">
        <v>3</v>
      </c>
      <c r="H3334">
        <v>2005</v>
      </c>
      <c r="I3334" t="s">
        <v>3</v>
      </c>
      <c r="J3334">
        <v>3104</v>
      </c>
      <c r="K3334" t="s">
        <v>243</v>
      </c>
      <c r="L3334">
        <v>4118</v>
      </c>
      <c r="M3334" t="s">
        <v>1504</v>
      </c>
      <c r="N3334" t="s">
        <v>1470</v>
      </c>
      <c r="O3334">
        <v>87</v>
      </c>
      <c r="P3334">
        <v>8735</v>
      </c>
      <c r="Q3334" t="s">
        <v>1323</v>
      </c>
      <c r="R3334" t="s">
        <v>201</v>
      </c>
      <c r="S3334">
        <v>44</v>
      </c>
      <c r="T3334">
        <v>1</v>
      </c>
      <c r="U3334">
        <v>127410</v>
      </c>
      <c r="V3334">
        <v>5606040</v>
      </c>
    </row>
    <row r="3335" spans="1:22">
      <c r="A3335" t="s">
        <v>196</v>
      </c>
      <c r="B3335">
        <v>59</v>
      </c>
      <c r="C3335" t="s">
        <v>3</v>
      </c>
      <c r="D3335">
        <v>100</v>
      </c>
      <c r="E3335" t="s">
        <v>197</v>
      </c>
      <c r="F3335">
        <v>1005</v>
      </c>
      <c r="G3335" t="s">
        <v>3</v>
      </c>
      <c r="H3335">
        <v>2005</v>
      </c>
      <c r="I3335" t="s">
        <v>3</v>
      </c>
      <c r="J3335">
        <v>3104</v>
      </c>
      <c r="K3335" t="s">
        <v>243</v>
      </c>
      <c r="L3335">
        <v>4118</v>
      </c>
      <c r="M3335" t="s">
        <v>1504</v>
      </c>
      <c r="N3335" t="s">
        <v>1470</v>
      </c>
      <c r="O3335">
        <v>87</v>
      </c>
      <c r="P3335">
        <v>8735</v>
      </c>
      <c r="Q3335" t="s">
        <v>1323</v>
      </c>
      <c r="R3335" t="s">
        <v>201</v>
      </c>
      <c r="S3335">
        <v>16</v>
      </c>
      <c r="T3335">
        <v>1</v>
      </c>
      <c r="U3335">
        <v>123420</v>
      </c>
      <c r="V3335">
        <v>1974720</v>
      </c>
    </row>
    <row r="3336" spans="1:22">
      <c r="A3336" t="s">
        <v>196</v>
      </c>
      <c r="B3336">
        <v>59</v>
      </c>
      <c r="C3336" t="s">
        <v>3</v>
      </c>
      <c r="D3336">
        <v>100</v>
      </c>
      <c r="E3336" t="s">
        <v>197</v>
      </c>
      <c r="F3336">
        <v>1005</v>
      </c>
      <c r="G3336" t="s">
        <v>3</v>
      </c>
      <c r="H3336">
        <v>2005</v>
      </c>
      <c r="I3336" t="s">
        <v>3</v>
      </c>
      <c r="J3336">
        <v>3104</v>
      </c>
      <c r="K3336" t="s">
        <v>243</v>
      </c>
      <c r="L3336">
        <v>4118</v>
      </c>
      <c r="M3336" t="s">
        <v>1504</v>
      </c>
      <c r="N3336" t="s">
        <v>1470</v>
      </c>
      <c r="O3336">
        <v>87</v>
      </c>
      <c r="P3336">
        <v>8735</v>
      </c>
      <c r="Q3336" t="s">
        <v>1323</v>
      </c>
      <c r="R3336" t="s">
        <v>201</v>
      </c>
      <c r="S3336">
        <v>1</v>
      </c>
      <c r="T3336">
        <v>1</v>
      </c>
      <c r="U3336">
        <v>119580</v>
      </c>
      <c r="V3336">
        <v>119580</v>
      </c>
    </row>
    <row r="3337" spans="1:22">
      <c r="A3337" t="s">
        <v>196</v>
      </c>
      <c r="B3337">
        <v>59</v>
      </c>
      <c r="C3337" t="s">
        <v>3</v>
      </c>
      <c r="D3337">
        <v>100</v>
      </c>
      <c r="E3337" t="s">
        <v>197</v>
      </c>
      <c r="F3337">
        <v>1005</v>
      </c>
      <c r="G3337" t="s">
        <v>3</v>
      </c>
      <c r="H3337">
        <v>2005</v>
      </c>
      <c r="I3337" t="s">
        <v>3</v>
      </c>
      <c r="J3337">
        <v>3104</v>
      </c>
      <c r="K3337" t="s">
        <v>243</v>
      </c>
      <c r="L3337">
        <v>4118</v>
      </c>
      <c r="M3337" t="s">
        <v>1504</v>
      </c>
      <c r="N3337" t="s">
        <v>1470</v>
      </c>
      <c r="O3337">
        <v>87</v>
      </c>
      <c r="P3337">
        <v>8735</v>
      </c>
      <c r="Q3337" t="s">
        <v>1323</v>
      </c>
      <c r="R3337" t="s">
        <v>201</v>
      </c>
      <c r="S3337">
        <v>13</v>
      </c>
      <c r="T3337">
        <v>1</v>
      </c>
      <c r="U3337">
        <v>115938</v>
      </c>
      <c r="V3337">
        <v>1507194</v>
      </c>
    </row>
    <row r="3338" spans="1:22">
      <c r="A3338" t="s">
        <v>196</v>
      </c>
      <c r="B3338">
        <v>59</v>
      </c>
      <c r="C3338" t="s">
        <v>3</v>
      </c>
      <c r="D3338">
        <v>100</v>
      </c>
      <c r="E3338" t="s">
        <v>197</v>
      </c>
      <c r="F3338">
        <v>1005</v>
      </c>
      <c r="G3338" t="s">
        <v>3</v>
      </c>
      <c r="H3338">
        <v>2005</v>
      </c>
      <c r="I3338" t="s">
        <v>3</v>
      </c>
      <c r="J3338">
        <v>3104</v>
      </c>
      <c r="K3338" t="s">
        <v>243</v>
      </c>
      <c r="L3338">
        <v>4118</v>
      </c>
      <c r="M3338" t="s">
        <v>1504</v>
      </c>
      <c r="N3338" t="s">
        <v>1491</v>
      </c>
      <c r="O3338">
        <v>87</v>
      </c>
      <c r="P3338">
        <v>8733</v>
      </c>
      <c r="Q3338" t="s">
        <v>1521</v>
      </c>
      <c r="R3338" t="s">
        <v>201</v>
      </c>
      <c r="S3338">
        <v>15</v>
      </c>
      <c r="T3338">
        <v>1</v>
      </c>
      <c r="U3338">
        <v>115308</v>
      </c>
      <c r="V3338">
        <v>1729620</v>
      </c>
    </row>
    <row r="3339" spans="1:22">
      <c r="A3339" t="s">
        <v>196</v>
      </c>
      <c r="B3339">
        <v>59</v>
      </c>
      <c r="C3339" t="s">
        <v>3</v>
      </c>
      <c r="D3339">
        <v>100</v>
      </c>
      <c r="E3339" t="s">
        <v>197</v>
      </c>
      <c r="F3339">
        <v>1005</v>
      </c>
      <c r="G3339" t="s">
        <v>3</v>
      </c>
      <c r="H3339">
        <v>2005</v>
      </c>
      <c r="I3339" t="s">
        <v>3</v>
      </c>
      <c r="J3339">
        <v>3104</v>
      </c>
      <c r="K3339" t="s">
        <v>243</v>
      </c>
      <c r="L3339">
        <v>4118</v>
      </c>
      <c r="M3339" t="s">
        <v>1504</v>
      </c>
      <c r="N3339" t="s">
        <v>1491</v>
      </c>
      <c r="O3339">
        <v>87</v>
      </c>
      <c r="P3339">
        <v>8733</v>
      </c>
      <c r="Q3339" t="s">
        <v>1521</v>
      </c>
      <c r="R3339" t="s">
        <v>201</v>
      </c>
      <c r="S3339">
        <v>10</v>
      </c>
      <c r="T3339">
        <v>1</v>
      </c>
      <c r="U3339">
        <v>112020</v>
      </c>
      <c r="V3339">
        <v>1120200</v>
      </c>
    </row>
    <row r="3340" spans="1:22">
      <c r="A3340" t="s">
        <v>196</v>
      </c>
      <c r="B3340">
        <v>59</v>
      </c>
      <c r="C3340" t="s">
        <v>3</v>
      </c>
      <c r="D3340">
        <v>100</v>
      </c>
      <c r="E3340" t="s">
        <v>197</v>
      </c>
      <c r="F3340">
        <v>1005</v>
      </c>
      <c r="G3340" t="s">
        <v>3</v>
      </c>
      <c r="H3340">
        <v>2005</v>
      </c>
      <c r="I3340" t="s">
        <v>3</v>
      </c>
      <c r="J3340">
        <v>3104</v>
      </c>
      <c r="K3340" t="s">
        <v>243</v>
      </c>
      <c r="L3340">
        <v>4118</v>
      </c>
      <c r="M3340" t="s">
        <v>1504</v>
      </c>
      <c r="N3340" t="s">
        <v>1491</v>
      </c>
      <c r="O3340">
        <v>87</v>
      </c>
      <c r="P3340">
        <v>8733</v>
      </c>
      <c r="Q3340" t="s">
        <v>1521</v>
      </c>
      <c r="R3340" t="s">
        <v>201</v>
      </c>
      <c r="S3340">
        <v>2</v>
      </c>
      <c r="T3340">
        <v>1</v>
      </c>
      <c r="U3340">
        <v>108096</v>
      </c>
      <c r="V3340">
        <v>216192</v>
      </c>
    </row>
    <row r="3341" spans="1:22">
      <c r="A3341" t="s">
        <v>196</v>
      </c>
      <c r="B3341">
        <v>59</v>
      </c>
      <c r="C3341" t="s">
        <v>3</v>
      </c>
      <c r="D3341">
        <v>100</v>
      </c>
      <c r="E3341" t="s">
        <v>197</v>
      </c>
      <c r="F3341">
        <v>1005</v>
      </c>
      <c r="G3341" t="s">
        <v>3</v>
      </c>
      <c r="H3341">
        <v>2005</v>
      </c>
      <c r="I3341" t="s">
        <v>3</v>
      </c>
      <c r="J3341">
        <v>3104</v>
      </c>
      <c r="K3341" t="s">
        <v>243</v>
      </c>
      <c r="L3341">
        <v>4118</v>
      </c>
      <c r="M3341" t="s">
        <v>1504</v>
      </c>
      <c r="N3341" t="s">
        <v>1491</v>
      </c>
      <c r="O3341">
        <v>87</v>
      </c>
      <c r="P3341">
        <v>8733</v>
      </c>
      <c r="Q3341" t="s">
        <v>1521</v>
      </c>
      <c r="R3341" t="s">
        <v>201</v>
      </c>
      <c r="S3341">
        <v>6</v>
      </c>
      <c r="T3341">
        <v>1</v>
      </c>
      <c r="U3341">
        <v>104430</v>
      </c>
      <c r="V3341">
        <v>626580</v>
      </c>
    </row>
    <row r="3342" spans="1:22">
      <c r="A3342" t="s">
        <v>196</v>
      </c>
      <c r="B3342">
        <v>59</v>
      </c>
      <c r="C3342" t="s">
        <v>3</v>
      </c>
      <c r="D3342">
        <v>100</v>
      </c>
      <c r="E3342" t="s">
        <v>197</v>
      </c>
      <c r="F3342">
        <v>1005</v>
      </c>
      <c r="G3342" t="s">
        <v>3</v>
      </c>
      <c r="H3342">
        <v>2005</v>
      </c>
      <c r="I3342" t="s">
        <v>3</v>
      </c>
      <c r="J3342">
        <v>3104</v>
      </c>
      <c r="K3342" t="s">
        <v>243</v>
      </c>
      <c r="L3342">
        <v>4118</v>
      </c>
      <c r="M3342" t="s">
        <v>1504</v>
      </c>
      <c r="N3342" t="s">
        <v>1489</v>
      </c>
      <c r="O3342">
        <v>87</v>
      </c>
      <c r="P3342">
        <v>8731</v>
      </c>
      <c r="Q3342" t="s">
        <v>1522</v>
      </c>
      <c r="R3342" t="s">
        <v>201</v>
      </c>
      <c r="S3342">
        <v>22</v>
      </c>
      <c r="T3342">
        <v>1</v>
      </c>
      <c r="U3342">
        <v>108036</v>
      </c>
      <c r="V3342">
        <v>2376792</v>
      </c>
    </row>
    <row r="3343" spans="1:22">
      <c r="A3343" t="s">
        <v>196</v>
      </c>
      <c r="B3343">
        <v>59</v>
      </c>
      <c r="C3343" t="s">
        <v>3</v>
      </c>
      <c r="D3343">
        <v>100</v>
      </c>
      <c r="E3343" t="s">
        <v>197</v>
      </c>
      <c r="F3343">
        <v>1005</v>
      </c>
      <c r="G3343" t="s">
        <v>3</v>
      </c>
      <c r="H3343">
        <v>2005</v>
      </c>
      <c r="I3343" t="s">
        <v>3</v>
      </c>
      <c r="J3343">
        <v>3104</v>
      </c>
      <c r="K3343" t="s">
        <v>243</v>
      </c>
      <c r="L3343">
        <v>4118</v>
      </c>
      <c r="M3343" t="s">
        <v>1504</v>
      </c>
      <c r="N3343" t="s">
        <v>1489</v>
      </c>
      <c r="O3343">
        <v>87</v>
      </c>
      <c r="P3343">
        <v>8731</v>
      </c>
      <c r="Q3343" t="s">
        <v>1522</v>
      </c>
      <c r="R3343" t="s">
        <v>201</v>
      </c>
      <c r="S3343">
        <v>30</v>
      </c>
      <c r="T3343">
        <v>1</v>
      </c>
      <c r="U3343">
        <v>103914</v>
      </c>
      <c r="V3343">
        <v>3117420</v>
      </c>
    </row>
    <row r="3344" spans="1:22">
      <c r="A3344" t="s">
        <v>196</v>
      </c>
      <c r="B3344">
        <v>59</v>
      </c>
      <c r="C3344" t="s">
        <v>3</v>
      </c>
      <c r="D3344">
        <v>100</v>
      </c>
      <c r="E3344" t="s">
        <v>197</v>
      </c>
      <c r="F3344">
        <v>1005</v>
      </c>
      <c r="G3344" t="s">
        <v>3</v>
      </c>
      <c r="H3344">
        <v>2005</v>
      </c>
      <c r="I3344" t="s">
        <v>3</v>
      </c>
      <c r="J3344">
        <v>3104</v>
      </c>
      <c r="K3344" t="s">
        <v>243</v>
      </c>
      <c r="L3344">
        <v>4118</v>
      </c>
      <c r="M3344" t="s">
        <v>1504</v>
      </c>
      <c r="N3344" t="s">
        <v>1489</v>
      </c>
      <c r="O3344">
        <v>87</v>
      </c>
      <c r="P3344">
        <v>8731</v>
      </c>
      <c r="Q3344" t="s">
        <v>1522</v>
      </c>
      <c r="R3344" t="s">
        <v>201</v>
      </c>
      <c r="S3344">
        <v>11</v>
      </c>
      <c r="T3344">
        <v>1</v>
      </c>
      <c r="U3344">
        <v>99876</v>
      </c>
      <c r="V3344">
        <v>1098636</v>
      </c>
    </row>
    <row r="3345" spans="1:22">
      <c r="A3345" t="s">
        <v>196</v>
      </c>
      <c r="B3345">
        <v>59</v>
      </c>
      <c r="C3345" t="s">
        <v>3</v>
      </c>
      <c r="D3345">
        <v>100</v>
      </c>
      <c r="E3345" t="s">
        <v>197</v>
      </c>
      <c r="F3345">
        <v>1005</v>
      </c>
      <c r="G3345" t="s">
        <v>3</v>
      </c>
      <c r="H3345">
        <v>2005</v>
      </c>
      <c r="I3345" t="s">
        <v>3</v>
      </c>
      <c r="J3345">
        <v>3104</v>
      </c>
      <c r="K3345" t="s">
        <v>243</v>
      </c>
      <c r="L3345">
        <v>4118</v>
      </c>
      <c r="M3345" t="s">
        <v>1504</v>
      </c>
      <c r="N3345" t="s">
        <v>1489</v>
      </c>
      <c r="O3345">
        <v>87</v>
      </c>
      <c r="P3345">
        <v>8731</v>
      </c>
      <c r="Q3345" t="s">
        <v>1522</v>
      </c>
      <c r="R3345" t="s">
        <v>201</v>
      </c>
      <c r="S3345">
        <v>2</v>
      </c>
      <c r="T3345">
        <v>1</v>
      </c>
      <c r="U3345">
        <v>62466</v>
      </c>
      <c r="V3345">
        <v>124932</v>
      </c>
    </row>
    <row r="3346" spans="1:22">
      <c r="A3346" t="s">
        <v>196</v>
      </c>
      <c r="B3346">
        <v>59</v>
      </c>
      <c r="C3346" t="s">
        <v>3</v>
      </c>
      <c r="D3346">
        <v>100</v>
      </c>
      <c r="E3346" t="s">
        <v>197</v>
      </c>
      <c r="F3346">
        <v>1005</v>
      </c>
      <c r="G3346" t="s">
        <v>3</v>
      </c>
      <c r="H3346">
        <v>2005</v>
      </c>
      <c r="I3346" t="s">
        <v>3</v>
      </c>
      <c r="J3346">
        <v>3104</v>
      </c>
      <c r="K3346" t="s">
        <v>243</v>
      </c>
      <c r="L3346">
        <v>4118</v>
      </c>
      <c r="M3346" t="s">
        <v>1504</v>
      </c>
      <c r="N3346" t="s">
        <v>1523</v>
      </c>
      <c r="O3346">
        <v>87</v>
      </c>
      <c r="P3346">
        <v>8728</v>
      </c>
      <c r="Q3346" t="s">
        <v>1524</v>
      </c>
      <c r="R3346" t="s">
        <v>201</v>
      </c>
      <c r="S3346">
        <v>1</v>
      </c>
      <c r="T3346">
        <v>1</v>
      </c>
      <c r="U3346">
        <v>117324</v>
      </c>
      <c r="V3346">
        <v>117324</v>
      </c>
    </row>
    <row r="3347" spans="1:22">
      <c r="A3347" t="s">
        <v>196</v>
      </c>
      <c r="B3347">
        <v>59</v>
      </c>
      <c r="C3347" t="s">
        <v>3</v>
      </c>
      <c r="D3347">
        <v>100</v>
      </c>
      <c r="E3347" t="s">
        <v>197</v>
      </c>
      <c r="F3347">
        <v>1005</v>
      </c>
      <c r="G3347" t="s">
        <v>3</v>
      </c>
      <c r="H3347">
        <v>2005</v>
      </c>
      <c r="I3347" t="s">
        <v>3</v>
      </c>
      <c r="J3347">
        <v>3104</v>
      </c>
      <c r="K3347" t="s">
        <v>243</v>
      </c>
      <c r="L3347">
        <v>4118</v>
      </c>
      <c r="M3347" t="s">
        <v>1504</v>
      </c>
      <c r="N3347" t="s">
        <v>1523</v>
      </c>
      <c r="O3347">
        <v>87</v>
      </c>
      <c r="P3347">
        <v>8728</v>
      </c>
      <c r="Q3347" t="s">
        <v>1524</v>
      </c>
      <c r="R3347" t="s">
        <v>201</v>
      </c>
      <c r="S3347">
        <v>11</v>
      </c>
      <c r="T3347">
        <v>1</v>
      </c>
      <c r="U3347">
        <v>112812</v>
      </c>
      <c r="V3347">
        <v>1240932</v>
      </c>
    </row>
    <row r="3348" spans="1:22">
      <c r="A3348" t="s">
        <v>196</v>
      </c>
      <c r="B3348">
        <v>59</v>
      </c>
      <c r="C3348" t="s">
        <v>3</v>
      </c>
      <c r="D3348">
        <v>100</v>
      </c>
      <c r="E3348" t="s">
        <v>197</v>
      </c>
      <c r="F3348">
        <v>1005</v>
      </c>
      <c r="G3348" t="s">
        <v>3</v>
      </c>
      <c r="H3348">
        <v>2005</v>
      </c>
      <c r="I3348" t="s">
        <v>3</v>
      </c>
      <c r="J3348">
        <v>3104</v>
      </c>
      <c r="K3348" t="s">
        <v>243</v>
      </c>
      <c r="L3348">
        <v>4118</v>
      </c>
      <c r="M3348" t="s">
        <v>1504</v>
      </c>
      <c r="N3348" t="s">
        <v>1523</v>
      </c>
      <c r="O3348">
        <v>87</v>
      </c>
      <c r="P3348">
        <v>8728</v>
      </c>
      <c r="Q3348" t="s">
        <v>1524</v>
      </c>
      <c r="R3348" t="s">
        <v>201</v>
      </c>
      <c r="S3348">
        <v>11</v>
      </c>
      <c r="T3348">
        <v>1</v>
      </c>
      <c r="U3348">
        <v>108444</v>
      </c>
      <c r="V3348">
        <v>1192884</v>
      </c>
    </row>
    <row r="3349" spans="1:22">
      <c r="A3349" t="s">
        <v>196</v>
      </c>
      <c r="B3349">
        <v>59</v>
      </c>
      <c r="C3349" t="s">
        <v>3</v>
      </c>
      <c r="D3349">
        <v>100</v>
      </c>
      <c r="E3349" t="s">
        <v>197</v>
      </c>
      <c r="F3349">
        <v>1005</v>
      </c>
      <c r="G3349" t="s">
        <v>3</v>
      </c>
      <c r="H3349">
        <v>2005</v>
      </c>
      <c r="I3349" t="s">
        <v>3</v>
      </c>
      <c r="J3349">
        <v>3104</v>
      </c>
      <c r="K3349" t="s">
        <v>243</v>
      </c>
      <c r="L3349">
        <v>4118</v>
      </c>
      <c r="M3349" t="s">
        <v>1504</v>
      </c>
      <c r="N3349" t="s">
        <v>1523</v>
      </c>
      <c r="O3349">
        <v>87</v>
      </c>
      <c r="P3349">
        <v>8728</v>
      </c>
      <c r="Q3349" t="s">
        <v>1524</v>
      </c>
      <c r="R3349" t="s">
        <v>201</v>
      </c>
      <c r="S3349">
        <v>57</v>
      </c>
      <c r="T3349">
        <v>1</v>
      </c>
      <c r="U3349">
        <v>104814</v>
      </c>
      <c r="V3349">
        <v>5974398</v>
      </c>
    </row>
    <row r="3350" spans="1:22">
      <c r="A3350" t="s">
        <v>196</v>
      </c>
      <c r="B3350">
        <v>59</v>
      </c>
      <c r="C3350" t="s">
        <v>3</v>
      </c>
      <c r="D3350">
        <v>100</v>
      </c>
      <c r="E3350" t="s">
        <v>197</v>
      </c>
      <c r="F3350">
        <v>1005</v>
      </c>
      <c r="G3350" t="s">
        <v>3</v>
      </c>
      <c r="H3350">
        <v>2005</v>
      </c>
      <c r="I3350" t="s">
        <v>3</v>
      </c>
      <c r="J3350">
        <v>3104</v>
      </c>
      <c r="K3350" t="s">
        <v>243</v>
      </c>
      <c r="L3350">
        <v>4118</v>
      </c>
      <c r="M3350" t="s">
        <v>1504</v>
      </c>
      <c r="N3350" t="s">
        <v>1523</v>
      </c>
      <c r="O3350">
        <v>87</v>
      </c>
      <c r="P3350">
        <v>8728</v>
      </c>
      <c r="Q3350" t="s">
        <v>1524</v>
      </c>
      <c r="R3350" t="s">
        <v>201</v>
      </c>
      <c r="S3350">
        <v>109</v>
      </c>
      <c r="T3350">
        <v>1</v>
      </c>
      <c r="U3350">
        <v>101262</v>
      </c>
      <c r="V3350">
        <v>11037558</v>
      </c>
    </row>
    <row r="3351" spans="1:22">
      <c r="A3351" t="s">
        <v>196</v>
      </c>
      <c r="B3351">
        <v>59</v>
      </c>
      <c r="C3351" t="s">
        <v>3</v>
      </c>
      <c r="D3351">
        <v>100</v>
      </c>
      <c r="E3351" t="s">
        <v>197</v>
      </c>
      <c r="F3351">
        <v>1005</v>
      </c>
      <c r="G3351" t="s">
        <v>3</v>
      </c>
      <c r="H3351">
        <v>2005</v>
      </c>
      <c r="I3351" t="s">
        <v>3</v>
      </c>
      <c r="J3351">
        <v>3104</v>
      </c>
      <c r="K3351" t="s">
        <v>243</v>
      </c>
      <c r="L3351">
        <v>4118</v>
      </c>
      <c r="M3351" t="s">
        <v>1504</v>
      </c>
      <c r="N3351" t="s">
        <v>1523</v>
      </c>
      <c r="O3351">
        <v>87</v>
      </c>
      <c r="P3351">
        <v>8728</v>
      </c>
      <c r="Q3351" t="s">
        <v>1524</v>
      </c>
      <c r="R3351" t="s">
        <v>201</v>
      </c>
      <c r="S3351">
        <v>14</v>
      </c>
      <c r="T3351">
        <v>1</v>
      </c>
      <c r="U3351">
        <v>96402</v>
      </c>
      <c r="V3351">
        <v>1349628</v>
      </c>
    </row>
    <row r="3352" spans="1:22">
      <c r="A3352" t="s">
        <v>196</v>
      </c>
      <c r="B3352">
        <v>59</v>
      </c>
      <c r="C3352" t="s">
        <v>3</v>
      </c>
      <c r="D3352">
        <v>100</v>
      </c>
      <c r="E3352" t="s">
        <v>197</v>
      </c>
      <c r="F3352">
        <v>1005</v>
      </c>
      <c r="G3352" t="s">
        <v>3</v>
      </c>
      <c r="H3352">
        <v>2005</v>
      </c>
      <c r="I3352" t="s">
        <v>3</v>
      </c>
      <c r="J3352">
        <v>3104</v>
      </c>
      <c r="K3352" t="s">
        <v>243</v>
      </c>
      <c r="L3352">
        <v>4118</v>
      </c>
      <c r="M3352" t="s">
        <v>1504</v>
      </c>
      <c r="N3352" t="s">
        <v>1523</v>
      </c>
      <c r="O3352">
        <v>87</v>
      </c>
      <c r="P3352">
        <v>8728</v>
      </c>
      <c r="Q3352" t="s">
        <v>1524</v>
      </c>
      <c r="R3352" t="s">
        <v>201</v>
      </c>
      <c r="S3352">
        <v>14</v>
      </c>
      <c r="T3352">
        <v>1</v>
      </c>
      <c r="U3352">
        <v>91872</v>
      </c>
      <c r="V3352">
        <v>1286208</v>
      </c>
    </row>
    <row r="3353" spans="1:22">
      <c r="A3353" t="s">
        <v>196</v>
      </c>
      <c r="B3353">
        <v>59</v>
      </c>
      <c r="C3353" t="s">
        <v>3</v>
      </c>
      <c r="D3353">
        <v>100</v>
      </c>
      <c r="E3353" t="s">
        <v>197</v>
      </c>
      <c r="F3353">
        <v>1005</v>
      </c>
      <c r="G3353" t="s">
        <v>3</v>
      </c>
      <c r="H3353">
        <v>2005</v>
      </c>
      <c r="I3353" t="s">
        <v>3</v>
      </c>
      <c r="J3353">
        <v>3104</v>
      </c>
      <c r="K3353" t="s">
        <v>243</v>
      </c>
      <c r="L3353">
        <v>4118</v>
      </c>
      <c r="M3353" t="s">
        <v>1504</v>
      </c>
      <c r="N3353" t="s">
        <v>1523</v>
      </c>
      <c r="O3353">
        <v>87</v>
      </c>
      <c r="P3353">
        <v>8728</v>
      </c>
      <c r="Q3353" t="s">
        <v>1524</v>
      </c>
      <c r="R3353" t="s">
        <v>201</v>
      </c>
      <c r="S3353">
        <v>8</v>
      </c>
      <c r="T3353">
        <v>1</v>
      </c>
      <c r="U3353">
        <v>87348</v>
      </c>
      <c r="V3353">
        <v>698784</v>
      </c>
    </row>
    <row r="3354" spans="1:22">
      <c r="A3354" t="s">
        <v>196</v>
      </c>
      <c r="B3354">
        <v>59</v>
      </c>
      <c r="C3354" t="s">
        <v>3</v>
      </c>
      <c r="D3354">
        <v>100</v>
      </c>
      <c r="E3354" t="s">
        <v>197</v>
      </c>
      <c r="F3354">
        <v>1005</v>
      </c>
      <c r="G3354" t="s">
        <v>3</v>
      </c>
      <c r="H3354">
        <v>2005</v>
      </c>
      <c r="I3354" t="s">
        <v>3</v>
      </c>
      <c r="J3354">
        <v>3104</v>
      </c>
      <c r="K3354" t="s">
        <v>243</v>
      </c>
      <c r="L3354">
        <v>4118</v>
      </c>
      <c r="M3354" t="s">
        <v>1504</v>
      </c>
      <c r="N3354" t="s">
        <v>1523</v>
      </c>
      <c r="O3354">
        <v>87</v>
      </c>
      <c r="P3354">
        <v>8728</v>
      </c>
      <c r="Q3354" t="s">
        <v>1524</v>
      </c>
      <c r="R3354" t="s">
        <v>201</v>
      </c>
      <c r="S3354">
        <v>2</v>
      </c>
      <c r="T3354">
        <v>1</v>
      </c>
      <c r="U3354">
        <v>82656</v>
      </c>
      <c r="V3354">
        <v>165312</v>
      </c>
    </row>
    <row r="3355" spans="1:22">
      <c r="A3355" t="s">
        <v>196</v>
      </c>
      <c r="B3355">
        <v>59</v>
      </c>
      <c r="C3355" t="s">
        <v>3</v>
      </c>
      <c r="D3355">
        <v>100</v>
      </c>
      <c r="E3355" t="s">
        <v>197</v>
      </c>
      <c r="F3355">
        <v>1005</v>
      </c>
      <c r="G3355" t="s">
        <v>3</v>
      </c>
      <c r="H3355">
        <v>2005</v>
      </c>
      <c r="I3355" t="s">
        <v>3</v>
      </c>
      <c r="J3355">
        <v>3104</v>
      </c>
      <c r="K3355" t="s">
        <v>243</v>
      </c>
      <c r="L3355">
        <v>4118</v>
      </c>
      <c r="M3355" t="s">
        <v>1504</v>
      </c>
      <c r="N3355" t="s">
        <v>1523</v>
      </c>
      <c r="O3355">
        <v>87</v>
      </c>
      <c r="P3355">
        <v>8728</v>
      </c>
      <c r="Q3355" t="s">
        <v>1524</v>
      </c>
      <c r="R3355" t="s">
        <v>201</v>
      </c>
      <c r="S3355">
        <v>4</v>
      </c>
      <c r="T3355">
        <v>1</v>
      </c>
      <c r="U3355">
        <v>78624</v>
      </c>
      <c r="V3355">
        <v>314496</v>
      </c>
    </row>
    <row r="3356" spans="1:22">
      <c r="A3356" t="s">
        <v>196</v>
      </c>
      <c r="B3356">
        <v>59</v>
      </c>
      <c r="C3356" t="s">
        <v>3</v>
      </c>
      <c r="D3356">
        <v>100</v>
      </c>
      <c r="E3356" t="s">
        <v>197</v>
      </c>
      <c r="F3356">
        <v>1005</v>
      </c>
      <c r="G3356" t="s">
        <v>3</v>
      </c>
      <c r="H3356">
        <v>2005</v>
      </c>
      <c r="I3356" t="s">
        <v>3</v>
      </c>
      <c r="J3356">
        <v>3104</v>
      </c>
      <c r="K3356" t="s">
        <v>243</v>
      </c>
      <c r="L3356">
        <v>4118</v>
      </c>
      <c r="M3356" t="s">
        <v>1504</v>
      </c>
      <c r="N3356" t="s">
        <v>1502</v>
      </c>
      <c r="O3356">
        <v>87</v>
      </c>
      <c r="P3356">
        <v>8702</v>
      </c>
      <c r="Q3356" t="s">
        <v>1525</v>
      </c>
      <c r="R3356" t="s">
        <v>201</v>
      </c>
      <c r="S3356">
        <v>8</v>
      </c>
      <c r="T3356">
        <v>1</v>
      </c>
      <c r="U3356">
        <v>169830</v>
      </c>
      <c r="V3356">
        <v>1358640</v>
      </c>
    </row>
    <row r="3357" spans="1:22">
      <c r="A3357" t="s">
        <v>196</v>
      </c>
      <c r="B3357">
        <v>59</v>
      </c>
      <c r="C3357" t="s">
        <v>3</v>
      </c>
      <c r="D3357">
        <v>100</v>
      </c>
      <c r="E3357" t="s">
        <v>197</v>
      </c>
      <c r="F3357">
        <v>1005</v>
      </c>
      <c r="G3357" t="s">
        <v>3</v>
      </c>
      <c r="H3357">
        <v>2005</v>
      </c>
      <c r="I3357" t="s">
        <v>3</v>
      </c>
      <c r="J3357">
        <v>3104</v>
      </c>
      <c r="K3357" t="s">
        <v>243</v>
      </c>
      <c r="L3357">
        <v>4118</v>
      </c>
      <c r="M3357" t="s">
        <v>1504</v>
      </c>
      <c r="N3357" t="s">
        <v>1502</v>
      </c>
      <c r="O3357">
        <v>87</v>
      </c>
      <c r="P3357">
        <v>8702</v>
      </c>
      <c r="Q3357" t="s">
        <v>1525</v>
      </c>
      <c r="R3357" t="s">
        <v>201</v>
      </c>
      <c r="S3357">
        <v>1</v>
      </c>
      <c r="T3357">
        <v>1</v>
      </c>
      <c r="U3357">
        <v>156048</v>
      </c>
      <c r="V3357">
        <v>156048</v>
      </c>
    </row>
    <row r="3358" spans="1:22">
      <c r="A3358" t="s">
        <v>196</v>
      </c>
      <c r="B3358">
        <v>59</v>
      </c>
      <c r="C3358" t="s">
        <v>3</v>
      </c>
      <c r="D3358">
        <v>100</v>
      </c>
      <c r="E3358" t="s">
        <v>197</v>
      </c>
      <c r="F3358">
        <v>1005</v>
      </c>
      <c r="G3358" t="s">
        <v>3</v>
      </c>
      <c r="H3358">
        <v>2005</v>
      </c>
      <c r="I3358" t="s">
        <v>3</v>
      </c>
      <c r="J3358">
        <v>3104</v>
      </c>
      <c r="K3358" t="s">
        <v>243</v>
      </c>
      <c r="L3358">
        <v>4118</v>
      </c>
      <c r="M3358" t="s">
        <v>1504</v>
      </c>
      <c r="N3358" t="s">
        <v>1475</v>
      </c>
      <c r="O3358">
        <v>87</v>
      </c>
      <c r="P3358">
        <v>8701</v>
      </c>
      <c r="Q3358" t="s">
        <v>1526</v>
      </c>
      <c r="R3358" t="s">
        <v>201</v>
      </c>
      <c r="S3358">
        <v>79</v>
      </c>
      <c r="T3358">
        <v>1</v>
      </c>
      <c r="U3358">
        <v>165858</v>
      </c>
      <c r="V3358">
        <v>13102782</v>
      </c>
    </row>
    <row r="3359" spans="1:22">
      <c r="A3359" t="s">
        <v>196</v>
      </c>
      <c r="B3359">
        <v>59</v>
      </c>
      <c r="C3359" t="s">
        <v>3</v>
      </c>
      <c r="D3359">
        <v>100</v>
      </c>
      <c r="E3359" t="s">
        <v>197</v>
      </c>
      <c r="F3359">
        <v>1005</v>
      </c>
      <c r="G3359" t="s">
        <v>3</v>
      </c>
      <c r="H3359">
        <v>2005</v>
      </c>
      <c r="I3359" t="s">
        <v>3</v>
      </c>
      <c r="J3359">
        <v>3104</v>
      </c>
      <c r="K3359" t="s">
        <v>243</v>
      </c>
      <c r="L3359">
        <v>4118</v>
      </c>
      <c r="M3359" t="s">
        <v>1504</v>
      </c>
      <c r="N3359" t="s">
        <v>1475</v>
      </c>
      <c r="O3359">
        <v>87</v>
      </c>
      <c r="P3359">
        <v>8701</v>
      </c>
      <c r="Q3359" t="s">
        <v>1526</v>
      </c>
      <c r="R3359" t="s">
        <v>201</v>
      </c>
      <c r="S3359">
        <v>7</v>
      </c>
      <c r="T3359">
        <v>1</v>
      </c>
      <c r="U3359">
        <v>161082</v>
      </c>
      <c r="V3359">
        <v>1127574</v>
      </c>
    </row>
    <row r="3360" spans="1:22">
      <c r="A3360" t="s">
        <v>196</v>
      </c>
      <c r="B3360">
        <v>59</v>
      </c>
      <c r="C3360" t="s">
        <v>3</v>
      </c>
      <c r="D3360">
        <v>100</v>
      </c>
      <c r="E3360" t="s">
        <v>197</v>
      </c>
      <c r="F3360">
        <v>1005</v>
      </c>
      <c r="G3360" t="s">
        <v>3</v>
      </c>
      <c r="H3360">
        <v>2005</v>
      </c>
      <c r="I3360" t="s">
        <v>3</v>
      </c>
      <c r="J3360">
        <v>3104</v>
      </c>
      <c r="K3360" t="s">
        <v>243</v>
      </c>
      <c r="L3360">
        <v>4118</v>
      </c>
      <c r="M3360" t="s">
        <v>1504</v>
      </c>
      <c r="N3360" t="s">
        <v>1475</v>
      </c>
      <c r="O3360">
        <v>87</v>
      </c>
      <c r="P3360">
        <v>8701</v>
      </c>
      <c r="Q3360" t="s">
        <v>1526</v>
      </c>
      <c r="R3360" t="s">
        <v>201</v>
      </c>
      <c r="S3360">
        <v>3</v>
      </c>
      <c r="T3360">
        <v>1</v>
      </c>
      <c r="U3360">
        <v>152412</v>
      </c>
      <c r="V3360">
        <v>457236</v>
      </c>
    </row>
    <row r="3361" spans="1:22">
      <c r="A3361" t="s">
        <v>196</v>
      </c>
      <c r="B3361">
        <v>59</v>
      </c>
      <c r="C3361" t="s">
        <v>3</v>
      </c>
      <c r="D3361">
        <v>100</v>
      </c>
      <c r="E3361" t="s">
        <v>197</v>
      </c>
      <c r="F3361">
        <v>1005</v>
      </c>
      <c r="G3361" t="s">
        <v>3</v>
      </c>
      <c r="H3361">
        <v>2005</v>
      </c>
      <c r="I3361" t="s">
        <v>3</v>
      </c>
      <c r="J3361">
        <v>3104</v>
      </c>
      <c r="K3361" t="s">
        <v>243</v>
      </c>
      <c r="L3361">
        <v>4118</v>
      </c>
      <c r="M3361" t="s">
        <v>1504</v>
      </c>
      <c r="N3361" t="s">
        <v>622</v>
      </c>
      <c r="O3361">
        <v>1</v>
      </c>
      <c r="P3361" t="s">
        <v>667</v>
      </c>
      <c r="Q3361" t="s">
        <v>205</v>
      </c>
      <c r="R3361" t="s">
        <v>201</v>
      </c>
      <c r="S3361">
        <v>1</v>
      </c>
      <c r="T3361">
        <v>1</v>
      </c>
      <c r="U3361">
        <v>90144</v>
      </c>
      <c r="V3361">
        <v>90144</v>
      </c>
    </row>
    <row r="3362" spans="1:22">
      <c r="A3362" t="s">
        <v>196</v>
      </c>
      <c r="B3362">
        <v>59</v>
      </c>
      <c r="C3362" t="s">
        <v>3</v>
      </c>
      <c r="D3362">
        <v>100</v>
      </c>
      <c r="E3362" t="s">
        <v>197</v>
      </c>
      <c r="F3362">
        <v>1005</v>
      </c>
      <c r="G3362" t="s">
        <v>3</v>
      </c>
      <c r="H3362">
        <v>2005</v>
      </c>
      <c r="I3362" t="s">
        <v>3</v>
      </c>
      <c r="J3362">
        <v>3104</v>
      </c>
      <c r="K3362" t="s">
        <v>243</v>
      </c>
      <c r="L3362">
        <v>4118</v>
      </c>
      <c r="M3362" t="s">
        <v>1504</v>
      </c>
      <c r="N3362" t="s">
        <v>199</v>
      </c>
      <c r="O3362">
        <v>0</v>
      </c>
      <c r="P3362">
        <v>15</v>
      </c>
      <c r="Q3362" t="s">
        <v>264</v>
      </c>
      <c r="R3362" t="s">
        <v>201</v>
      </c>
      <c r="S3362">
        <v>0</v>
      </c>
      <c r="T3362">
        <v>0</v>
      </c>
      <c r="U3362">
        <v>2431719</v>
      </c>
      <c r="V3362">
        <v>2431719</v>
      </c>
    </row>
    <row r="3363" spans="1:22">
      <c r="A3363" t="s">
        <v>196</v>
      </c>
      <c r="B3363">
        <v>59</v>
      </c>
      <c r="C3363" t="s">
        <v>3</v>
      </c>
      <c r="D3363">
        <v>100</v>
      </c>
      <c r="E3363" t="s">
        <v>197</v>
      </c>
      <c r="F3363">
        <v>1005</v>
      </c>
      <c r="G3363" t="s">
        <v>3</v>
      </c>
      <c r="H3363">
        <v>2005</v>
      </c>
      <c r="I3363" t="s">
        <v>3</v>
      </c>
      <c r="J3363">
        <v>3104</v>
      </c>
      <c r="K3363" t="s">
        <v>243</v>
      </c>
      <c r="L3363">
        <v>4120</v>
      </c>
      <c r="M3363" t="s">
        <v>1527</v>
      </c>
      <c r="N3363" t="s">
        <v>216</v>
      </c>
      <c r="O3363">
        <v>89</v>
      </c>
      <c r="P3363">
        <v>8763</v>
      </c>
      <c r="Q3363" t="s">
        <v>1469</v>
      </c>
      <c r="R3363" t="s">
        <v>201</v>
      </c>
      <c r="S3363">
        <v>1</v>
      </c>
      <c r="T3363">
        <v>1</v>
      </c>
      <c r="U3363">
        <v>205560</v>
      </c>
      <c r="V3363">
        <v>205560</v>
      </c>
    </row>
    <row r="3364" spans="1:22">
      <c r="A3364" t="s">
        <v>196</v>
      </c>
      <c r="B3364">
        <v>59</v>
      </c>
      <c r="C3364" t="s">
        <v>3</v>
      </c>
      <c r="D3364">
        <v>100</v>
      </c>
      <c r="E3364" t="s">
        <v>197</v>
      </c>
      <c r="F3364">
        <v>1005</v>
      </c>
      <c r="G3364" t="s">
        <v>3</v>
      </c>
      <c r="H3364">
        <v>2005</v>
      </c>
      <c r="I3364" t="s">
        <v>3</v>
      </c>
      <c r="J3364">
        <v>3104</v>
      </c>
      <c r="K3364" t="s">
        <v>243</v>
      </c>
      <c r="L3364">
        <v>4120</v>
      </c>
      <c r="M3364" t="s">
        <v>1527</v>
      </c>
      <c r="N3364" t="s">
        <v>1489</v>
      </c>
      <c r="O3364">
        <v>87</v>
      </c>
      <c r="P3364">
        <v>8751</v>
      </c>
      <c r="Q3364" t="s">
        <v>1528</v>
      </c>
      <c r="R3364" t="s">
        <v>201</v>
      </c>
      <c r="S3364">
        <v>1</v>
      </c>
      <c r="T3364">
        <v>1</v>
      </c>
      <c r="U3364">
        <v>62466</v>
      </c>
      <c r="V3364">
        <v>62466</v>
      </c>
    </row>
    <row r="3365" spans="1:22">
      <c r="A3365" t="s">
        <v>196</v>
      </c>
      <c r="B3365">
        <v>59</v>
      </c>
      <c r="C3365" t="s">
        <v>3</v>
      </c>
      <c r="D3365">
        <v>100</v>
      </c>
      <c r="E3365" t="s">
        <v>197</v>
      </c>
      <c r="F3365">
        <v>1005</v>
      </c>
      <c r="G3365" t="s">
        <v>3</v>
      </c>
      <c r="H3365">
        <v>2005</v>
      </c>
      <c r="I3365" t="s">
        <v>3</v>
      </c>
      <c r="J3365">
        <v>3104</v>
      </c>
      <c r="K3365" t="s">
        <v>243</v>
      </c>
      <c r="L3365">
        <v>4120</v>
      </c>
      <c r="M3365" t="s">
        <v>1527</v>
      </c>
      <c r="N3365" t="s">
        <v>1489</v>
      </c>
      <c r="O3365">
        <v>87</v>
      </c>
      <c r="P3365">
        <v>8750</v>
      </c>
      <c r="Q3365" t="s">
        <v>1490</v>
      </c>
      <c r="R3365" t="s">
        <v>201</v>
      </c>
      <c r="S3365">
        <v>3</v>
      </c>
      <c r="T3365">
        <v>1</v>
      </c>
      <c r="U3365">
        <v>108036</v>
      </c>
      <c r="V3365">
        <v>324108</v>
      </c>
    </row>
    <row r="3366" spans="1:22">
      <c r="A3366" t="s">
        <v>196</v>
      </c>
      <c r="B3366">
        <v>59</v>
      </c>
      <c r="C3366" t="s">
        <v>3</v>
      </c>
      <c r="D3366">
        <v>100</v>
      </c>
      <c r="E3366" t="s">
        <v>197</v>
      </c>
      <c r="F3366">
        <v>1005</v>
      </c>
      <c r="G3366" t="s">
        <v>3</v>
      </c>
      <c r="H3366">
        <v>2005</v>
      </c>
      <c r="I3366" t="s">
        <v>3</v>
      </c>
      <c r="J3366">
        <v>3104</v>
      </c>
      <c r="K3366" t="s">
        <v>243</v>
      </c>
      <c r="L3366">
        <v>4120</v>
      </c>
      <c r="M3366" t="s">
        <v>1527</v>
      </c>
      <c r="N3366" t="s">
        <v>1489</v>
      </c>
      <c r="O3366">
        <v>87</v>
      </c>
      <c r="P3366">
        <v>8750</v>
      </c>
      <c r="Q3366" t="s">
        <v>1490</v>
      </c>
      <c r="R3366" t="s">
        <v>201</v>
      </c>
      <c r="S3366">
        <v>8</v>
      </c>
      <c r="T3366">
        <v>1</v>
      </c>
      <c r="U3366">
        <v>103914</v>
      </c>
      <c r="V3366">
        <v>831312</v>
      </c>
    </row>
    <row r="3367" spans="1:22">
      <c r="A3367" t="s">
        <v>196</v>
      </c>
      <c r="B3367">
        <v>59</v>
      </c>
      <c r="C3367" t="s">
        <v>3</v>
      </c>
      <c r="D3367">
        <v>100</v>
      </c>
      <c r="E3367" t="s">
        <v>197</v>
      </c>
      <c r="F3367">
        <v>1005</v>
      </c>
      <c r="G3367" t="s">
        <v>3</v>
      </c>
      <c r="H3367">
        <v>2005</v>
      </c>
      <c r="I3367" t="s">
        <v>3</v>
      </c>
      <c r="J3367">
        <v>3104</v>
      </c>
      <c r="K3367" t="s">
        <v>243</v>
      </c>
      <c r="L3367">
        <v>4120</v>
      </c>
      <c r="M3367" t="s">
        <v>1527</v>
      </c>
      <c r="N3367" t="s">
        <v>1489</v>
      </c>
      <c r="O3367">
        <v>87</v>
      </c>
      <c r="P3367">
        <v>8750</v>
      </c>
      <c r="Q3367" t="s">
        <v>1490</v>
      </c>
      <c r="R3367" t="s">
        <v>201</v>
      </c>
      <c r="S3367">
        <v>8</v>
      </c>
      <c r="T3367">
        <v>1</v>
      </c>
      <c r="U3367">
        <v>99876</v>
      </c>
      <c r="V3367">
        <v>799008</v>
      </c>
    </row>
    <row r="3368" spans="1:22">
      <c r="A3368" t="s">
        <v>196</v>
      </c>
      <c r="B3368">
        <v>59</v>
      </c>
      <c r="C3368" t="s">
        <v>3</v>
      </c>
      <c r="D3368">
        <v>100</v>
      </c>
      <c r="E3368" t="s">
        <v>197</v>
      </c>
      <c r="F3368">
        <v>1005</v>
      </c>
      <c r="G3368" t="s">
        <v>3</v>
      </c>
      <c r="H3368">
        <v>2005</v>
      </c>
      <c r="I3368" t="s">
        <v>3</v>
      </c>
      <c r="J3368">
        <v>3104</v>
      </c>
      <c r="K3368" t="s">
        <v>243</v>
      </c>
      <c r="L3368">
        <v>4120</v>
      </c>
      <c r="M3368" t="s">
        <v>1527</v>
      </c>
      <c r="N3368" t="s">
        <v>1489</v>
      </c>
      <c r="O3368">
        <v>87</v>
      </c>
      <c r="P3368">
        <v>8750</v>
      </c>
      <c r="Q3368" t="s">
        <v>1490</v>
      </c>
      <c r="R3368" t="s">
        <v>201</v>
      </c>
      <c r="S3368">
        <v>43</v>
      </c>
      <c r="T3368">
        <v>1</v>
      </c>
      <c r="U3368">
        <v>96528</v>
      </c>
      <c r="V3368">
        <v>4150704</v>
      </c>
    </row>
    <row r="3369" spans="1:22">
      <c r="A3369" t="s">
        <v>196</v>
      </c>
      <c r="B3369">
        <v>59</v>
      </c>
      <c r="C3369" t="s">
        <v>3</v>
      </c>
      <c r="D3369">
        <v>100</v>
      </c>
      <c r="E3369" t="s">
        <v>197</v>
      </c>
      <c r="F3369">
        <v>1005</v>
      </c>
      <c r="G3369" t="s">
        <v>3</v>
      </c>
      <c r="H3369">
        <v>2005</v>
      </c>
      <c r="I3369" t="s">
        <v>3</v>
      </c>
      <c r="J3369">
        <v>3104</v>
      </c>
      <c r="K3369" t="s">
        <v>243</v>
      </c>
      <c r="L3369">
        <v>4120</v>
      </c>
      <c r="M3369" t="s">
        <v>1527</v>
      </c>
      <c r="N3369" t="s">
        <v>1489</v>
      </c>
      <c r="O3369">
        <v>87</v>
      </c>
      <c r="P3369">
        <v>8750</v>
      </c>
      <c r="Q3369" t="s">
        <v>1490</v>
      </c>
      <c r="R3369" t="s">
        <v>201</v>
      </c>
      <c r="S3369">
        <v>107</v>
      </c>
      <c r="T3369">
        <v>1</v>
      </c>
      <c r="U3369">
        <v>93252</v>
      </c>
      <c r="V3369">
        <v>9977964</v>
      </c>
    </row>
    <row r="3370" spans="1:22">
      <c r="A3370" t="s">
        <v>196</v>
      </c>
      <c r="B3370">
        <v>59</v>
      </c>
      <c r="C3370" t="s">
        <v>3</v>
      </c>
      <c r="D3370">
        <v>100</v>
      </c>
      <c r="E3370" t="s">
        <v>197</v>
      </c>
      <c r="F3370">
        <v>1005</v>
      </c>
      <c r="G3370" t="s">
        <v>3</v>
      </c>
      <c r="H3370">
        <v>2005</v>
      </c>
      <c r="I3370" t="s">
        <v>3</v>
      </c>
      <c r="J3370">
        <v>3104</v>
      </c>
      <c r="K3370" t="s">
        <v>243</v>
      </c>
      <c r="L3370">
        <v>4120</v>
      </c>
      <c r="M3370" t="s">
        <v>1527</v>
      </c>
      <c r="N3370" t="s">
        <v>1489</v>
      </c>
      <c r="O3370">
        <v>87</v>
      </c>
      <c r="P3370">
        <v>8750</v>
      </c>
      <c r="Q3370" t="s">
        <v>1490</v>
      </c>
      <c r="R3370" t="s">
        <v>201</v>
      </c>
      <c r="S3370">
        <v>42</v>
      </c>
      <c r="T3370">
        <v>1</v>
      </c>
      <c r="U3370">
        <v>88770</v>
      </c>
      <c r="V3370">
        <v>3728340</v>
      </c>
    </row>
    <row r="3371" spans="1:22">
      <c r="A3371" t="s">
        <v>196</v>
      </c>
      <c r="B3371">
        <v>59</v>
      </c>
      <c r="C3371" t="s">
        <v>3</v>
      </c>
      <c r="D3371">
        <v>100</v>
      </c>
      <c r="E3371" t="s">
        <v>197</v>
      </c>
      <c r="F3371">
        <v>1005</v>
      </c>
      <c r="G3371" t="s">
        <v>3</v>
      </c>
      <c r="H3371">
        <v>2005</v>
      </c>
      <c r="I3371" t="s">
        <v>3</v>
      </c>
      <c r="J3371">
        <v>3104</v>
      </c>
      <c r="K3371" t="s">
        <v>243</v>
      </c>
      <c r="L3371">
        <v>4120</v>
      </c>
      <c r="M3371" t="s">
        <v>1527</v>
      </c>
      <c r="N3371" t="s">
        <v>1489</v>
      </c>
      <c r="O3371">
        <v>87</v>
      </c>
      <c r="P3371">
        <v>8750</v>
      </c>
      <c r="Q3371" t="s">
        <v>1490</v>
      </c>
      <c r="R3371" t="s">
        <v>201</v>
      </c>
      <c r="S3371">
        <v>33</v>
      </c>
      <c r="T3371">
        <v>1</v>
      </c>
      <c r="U3371">
        <v>84612</v>
      </c>
      <c r="V3371">
        <v>2792196</v>
      </c>
    </row>
    <row r="3372" spans="1:22">
      <c r="A3372" t="s">
        <v>196</v>
      </c>
      <c r="B3372">
        <v>59</v>
      </c>
      <c r="C3372" t="s">
        <v>3</v>
      </c>
      <c r="D3372">
        <v>100</v>
      </c>
      <c r="E3372" t="s">
        <v>197</v>
      </c>
      <c r="F3372">
        <v>1005</v>
      </c>
      <c r="G3372" t="s">
        <v>3</v>
      </c>
      <c r="H3372">
        <v>2005</v>
      </c>
      <c r="I3372" t="s">
        <v>3</v>
      </c>
      <c r="J3372">
        <v>3104</v>
      </c>
      <c r="K3372" t="s">
        <v>243</v>
      </c>
      <c r="L3372">
        <v>4120</v>
      </c>
      <c r="M3372" t="s">
        <v>1527</v>
      </c>
      <c r="N3372" t="s">
        <v>1489</v>
      </c>
      <c r="O3372">
        <v>87</v>
      </c>
      <c r="P3372">
        <v>8750</v>
      </c>
      <c r="Q3372" t="s">
        <v>1490</v>
      </c>
      <c r="R3372" t="s">
        <v>201</v>
      </c>
      <c r="S3372">
        <v>56</v>
      </c>
      <c r="T3372">
        <v>1</v>
      </c>
      <c r="U3372">
        <v>80448</v>
      </c>
      <c r="V3372">
        <v>4505088</v>
      </c>
    </row>
    <row r="3373" spans="1:22">
      <c r="A3373" t="s">
        <v>196</v>
      </c>
      <c r="B3373">
        <v>59</v>
      </c>
      <c r="C3373" t="s">
        <v>3</v>
      </c>
      <c r="D3373">
        <v>100</v>
      </c>
      <c r="E3373" t="s">
        <v>197</v>
      </c>
      <c r="F3373">
        <v>1005</v>
      </c>
      <c r="G3373" t="s">
        <v>3</v>
      </c>
      <c r="H3373">
        <v>2005</v>
      </c>
      <c r="I3373" t="s">
        <v>3</v>
      </c>
      <c r="J3373">
        <v>3104</v>
      </c>
      <c r="K3373" t="s">
        <v>243</v>
      </c>
      <c r="L3373">
        <v>4120</v>
      </c>
      <c r="M3373" t="s">
        <v>1527</v>
      </c>
      <c r="N3373" t="s">
        <v>1489</v>
      </c>
      <c r="O3373">
        <v>87</v>
      </c>
      <c r="P3373">
        <v>8750</v>
      </c>
      <c r="Q3373" t="s">
        <v>1490</v>
      </c>
      <c r="R3373" t="s">
        <v>201</v>
      </c>
      <c r="S3373">
        <v>9</v>
      </c>
      <c r="T3373">
        <v>1</v>
      </c>
      <c r="U3373">
        <v>76122</v>
      </c>
      <c r="V3373">
        <v>685098</v>
      </c>
    </row>
    <row r="3374" spans="1:22">
      <c r="A3374" t="s">
        <v>196</v>
      </c>
      <c r="B3374">
        <v>59</v>
      </c>
      <c r="C3374" t="s">
        <v>3</v>
      </c>
      <c r="D3374">
        <v>100</v>
      </c>
      <c r="E3374" t="s">
        <v>197</v>
      </c>
      <c r="F3374">
        <v>1005</v>
      </c>
      <c r="G3374" t="s">
        <v>3</v>
      </c>
      <c r="H3374">
        <v>2005</v>
      </c>
      <c r="I3374" t="s">
        <v>3</v>
      </c>
      <c r="J3374">
        <v>3104</v>
      </c>
      <c r="K3374" t="s">
        <v>243</v>
      </c>
      <c r="L3374">
        <v>4120</v>
      </c>
      <c r="M3374" t="s">
        <v>1527</v>
      </c>
      <c r="N3374" t="s">
        <v>1489</v>
      </c>
      <c r="O3374">
        <v>87</v>
      </c>
      <c r="P3374">
        <v>8750</v>
      </c>
      <c r="Q3374" t="s">
        <v>1490</v>
      </c>
      <c r="R3374" t="s">
        <v>201</v>
      </c>
      <c r="S3374">
        <v>79</v>
      </c>
      <c r="T3374">
        <v>1</v>
      </c>
      <c r="U3374">
        <v>62466</v>
      </c>
      <c r="V3374">
        <v>4934814</v>
      </c>
    </row>
    <row r="3375" spans="1:22">
      <c r="A3375" t="s">
        <v>196</v>
      </c>
      <c r="B3375">
        <v>59</v>
      </c>
      <c r="C3375" t="s">
        <v>3</v>
      </c>
      <c r="D3375">
        <v>100</v>
      </c>
      <c r="E3375" t="s">
        <v>197</v>
      </c>
      <c r="F3375">
        <v>1005</v>
      </c>
      <c r="G3375" t="s">
        <v>3</v>
      </c>
      <c r="H3375">
        <v>2005</v>
      </c>
      <c r="I3375" t="s">
        <v>3</v>
      </c>
      <c r="J3375">
        <v>3104</v>
      </c>
      <c r="K3375" t="s">
        <v>243</v>
      </c>
      <c r="L3375">
        <v>4120</v>
      </c>
      <c r="M3375" t="s">
        <v>1527</v>
      </c>
      <c r="N3375" t="s">
        <v>1491</v>
      </c>
      <c r="O3375">
        <v>87</v>
      </c>
      <c r="P3375">
        <v>8749</v>
      </c>
      <c r="Q3375" t="s">
        <v>1492</v>
      </c>
      <c r="R3375" t="s">
        <v>201</v>
      </c>
      <c r="S3375">
        <v>1</v>
      </c>
      <c r="T3375">
        <v>1</v>
      </c>
      <c r="U3375">
        <v>120084</v>
      </c>
      <c r="V3375">
        <v>120084</v>
      </c>
    </row>
    <row r="3376" spans="1:22">
      <c r="A3376" t="s">
        <v>196</v>
      </c>
      <c r="B3376">
        <v>59</v>
      </c>
      <c r="C3376" t="s">
        <v>3</v>
      </c>
      <c r="D3376">
        <v>100</v>
      </c>
      <c r="E3376" t="s">
        <v>197</v>
      </c>
      <c r="F3376">
        <v>1005</v>
      </c>
      <c r="G3376" t="s">
        <v>3</v>
      </c>
      <c r="H3376">
        <v>2005</v>
      </c>
      <c r="I3376" t="s">
        <v>3</v>
      </c>
      <c r="J3376">
        <v>3104</v>
      </c>
      <c r="K3376" t="s">
        <v>243</v>
      </c>
      <c r="L3376">
        <v>4120</v>
      </c>
      <c r="M3376" t="s">
        <v>1527</v>
      </c>
      <c r="N3376" t="s">
        <v>1491</v>
      </c>
      <c r="O3376">
        <v>87</v>
      </c>
      <c r="P3376">
        <v>8749</v>
      </c>
      <c r="Q3376" t="s">
        <v>1492</v>
      </c>
      <c r="R3376" t="s">
        <v>201</v>
      </c>
      <c r="S3376">
        <v>5</v>
      </c>
      <c r="T3376">
        <v>1</v>
      </c>
      <c r="U3376">
        <v>115308</v>
      </c>
      <c r="V3376">
        <v>576540</v>
      </c>
    </row>
    <row r="3377" spans="1:22">
      <c r="A3377" t="s">
        <v>196</v>
      </c>
      <c r="B3377">
        <v>59</v>
      </c>
      <c r="C3377" t="s">
        <v>3</v>
      </c>
      <c r="D3377">
        <v>100</v>
      </c>
      <c r="E3377" t="s">
        <v>197</v>
      </c>
      <c r="F3377">
        <v>1005</v>
      </c>
      <c r="G3377" t="s">
        <v>3</v>
      </c>
      <c r="H3377">
        <v>2005</v>
      </c>
      <c r="I3377" t="s">
        <v>3</v>
      </c>
      <c r="J3377">
        <v>3104</v>
      </c>
      <c r="K3377" t="s">
        <v>243</v>
      </c>
      <c r="L3377">
        <v>4120</v>
      </c>
      <c r="M3377" t="s">
        <v>1527</v>
      </c>
      <c r="N3377" t="s">
        <v>1491</v>
      </c>
      <c r="O3377">
        <v>87</v>
      </c>
      <c r="P3377">
        <v>8749</v>
      </c>
      <c r="Q3377" t="s">
        <v>1492</v>
      </c>
      <c r="R3377" t="s">
        <v>201</v>
      </c>
      <c r="S3377">
        <v>8</v>
      </c>
      <c r="T3377">
        <v>1</v>
      </c>
      <c r="U3377">
        <v>112020</v>
      </c>
      <c r="V3377">
        <v>896160</v>
      </c>
    </row>
    <row r="3378" spans="1:22">
      <c r="A3378" t="s">
        <v>196</v>
      </c>
      <c r="B3378">
        <v>59</v>
      </c>
      <c r="C3378" t="s">
        <v>3</v>
      </c>
      <c r="D3378">
        <v>100</v>
      </c>
      <c r="E3378" t="s">
        <v>197</v>
      </c>
      <c r="F3378">
        <v>1005</v>
      </c>
      <c r="G3378" t="s">
        <v>3</v>
      </c>
      <c r="H3378">
        <v>2005</v>
      </c>
      <c r="I3378" t="s">
        <v>3</v>
      </c>
      <c r="J3378">
        <v>3104</v>
      </c>
      <c r="K3378" t="s">
        <v>243</v>
      </c>
      <c r="L3378">
        <v>4120</v>
      </c>
      <c r="M3378" t="s">
        <v>1527</v>
      </c>
      <c r="N3378" t="s">
        <v>1491</v>
      </c>
      <c r="O3378">
        <v>87</v>
      </c>
      <c r="P3378">
        <v>8749</v>
      </c>
      <c r="Q3378" t="s">
        <v>1492</v>
      </c>
      <c r="R3378" t="s">
        <v>201</v>
      </c>
      <c r="S3378">
        <v>34</v>
      </c>
      <c r="T3378">
        <v>1</v>
      </c>
      <c r="U3378">
        <v>108096</v>
      </c>
      <c r="V3378">
        <v>3675264</v>
      </c>
    </row>
    <row r="3379" spans="1:22">
      <c r="A3379" t="s">
        <v>196</v>
      </c>
      <c r="B3379">
        <v>59</v>
      </c>
      <c r="C3379" t="s">
        <v>3</v>
      </c>
      <c r="D3379">
        <v>100</v>
      </c>
      <c r="E3379" t="s">
        <v>197</v>
      </c>
      <c r="F3379">
        <v>1005</v>
      </c>
      <c r="G3379" t="s">
        <v>3</v>
      </c>
      <c r="H3379">
        <v>2005</v>
      </c>
      <c r="I3379" t="s">
        <v>3</v>
      </c>
      <c r="J3379">
        <v>3104</v>
      </c>
      <c r="K3379" t="s">
        <v>243</v>
      </c>
      <c r="L3379">
        <v>4120</v>
      </c>
      <c r="M3379" t="s">
        <v>1527</v>
      </c>
      <c r="N3379" t="s">
        <v>1491</v>
      </c>
      <c r="O3379">
        <v>87</v>
      </c>
      <c r="P3379">
        <v>8749</v>
      </c>
      <c r="Q3379" t="s">
        <v>1492</v>
      </c>
      <c r="R3379" t="s">
        <v>201</v>
      </c>
      <c r="S3379">
        <v>96</v>
      </c>
      <c r="T3379">
        <v>1</v>
      </c>
      <c r="U3379">
        <v>104430</v>
      </c>
      <c r="V3379">
        <v>10025280</v>
      </c>
    </row>
    <row r="3380" spans="1:22">
      <c r="A3380" t="s">
        <v>196</v>
      </c>
      <c r="B3380">
        <v>59</v>
      </c>
      <c r="C3380" t="s">
        <v>3</v>
      </c>
      <c r="D3380">
        <v>100</v>
      </c>
      <c r="E3380" t="s">
        <v>197</v>
      </c>
      <c r="F3380">
        <v>1005</v>
      </c>
      <c r="G3380" t="s">
        <v>3</v>
      </c>
      <c r="H3380">
        <v>2005</v>
      </c>
      <c r="I3380" t="s">
        <v>3</v>
      </c>
      <c r="J3380">
        <v>3104</v>
      </c>
      <c r="K3380" t="s">
        <v>243</v>
      </c>
      <c r="L3380">
        <v>4120</v>
      </c>
      <c r="M3380" t="s">
        <v>1527</v>
      </c>
      <c r="N3380" t="s">
        <v>1491</v>
      </c>
      <c r="O3380">
        <v>87</v>
      </c>
      <c r="P3380">
        <v>8749</v>
      </c>
      <c r="Q3380" t="s">
        <v>1492</v>
      </c>
      <c r="R3380" t="s">
        <v>201</v>
      </c>
      <c r="S3380">
        <v>71</v>
      </c>
      <c r="T3380">
        <v>1</v>
      </c>
      <c r="U3380">
        <v>101052</v>
      </c>
      <c r="V3380">
        <v>7174692</v>
      </c>
    </row>
    <row r="3381" spans="1:22">
      <c r="A3381" t="s">
        <v>196</v>
      </c>
      <c r="B3381">
        <v>59</v>
      </c>
      <c r="C3381" t="s">
        <v>3</v>
      </c>
      <c r="D3381">
        <v>100</v>
      </c>
      <c r="E3381" t="s">
        <v>197</v>
      </c>
      <c r="F3381">
        <v>1005</v>
      </c>
      <c r="G3381" t="s">
        <v>3</v>
      </c>
      <c r="H3381">
        <v>2005</v>
      </c>
      <c r="I3381" t="s">
        <v>3</v>
      </c>
      <c r="J3381">
        <v>3104</v>
      </c>
      <c r="K3381" t="s">
        <v>243</v>
      </c>
      <c r="L3381">
        <v>4120</v>
      </c>
      <c r="M3381" t="s">
        <v>1527</v>
      </c>
      <c r="N3381" t="s">
        <v>1491</v>
      </c>
      <c r="O3381">
        <v>87</v>
      </c>
      <c r="P3381">
        <v>8749</v>
      </c>
      <c r="Q3381" t="s">
        <v>1492</v>
      </c>
      <c r="R3381" t="s">
        <v>201</v>
      </c>
      <c r="S3381">
        <v>22</v>
      </c>
      <c r="T3381">
        <v>1</v>
      </c>
      <c r="U3381">
        <v>96246</v>
      </c>
      <c r="V3381">
        <v>2117412</v>
      </c>
    </row>
    <row r="3382" spans="1:22">
      <c r="A3382" t="s">
        <v>196</v>
      </c>
      <c r="B3382">
        <v>59</v>
      </c>
      <c r="C3382" t="s">
        <v>3</v>
      </c>
      <c r="D3382">
        <v>100</v>
      </c>
      <c r="E3382" t="s">
        <v>197</v>
      </c>
      <c r="F3382">
        <v>1005</v>
      </c>
      <c r="G3382" t="s">
        <v>3</v>
      </c>
      <c r="H3382">
        <v>2005</v>
      </c>
      <c r="I3382" t="s">
        <v>3</v>
      </c>
      <c r="J3382">
        <v>3104</v>
      </c>
      <c r="K3382" t="s">
        <v>243</v>
      </c>
      <c r="L3382">
        <v>4120</v>
      </c>
      <c r="M3382" t="s">
        <v>1527</v>
      </c>
      <c r="N3382" t="s">
        <v>1491</v>
      </c>
      <c r="O3382">
        <v>87</v>
      </c>
      <c r="P3382">
        <v>8749</v>
      </c>
      <c r="Q3382" t="s">
        <v>1492</v>
      </c>
      <c r="R3382" t="s">
        <v>201</v>
      </c>
      <c r="S3382">
        <v>16</v>
      </c>
      <c r="T3382">
        <v>1</v>
      </c>
      <c r="U3382">
        <v>91662</v>
      </c>
      <c r="V3382">
        <v>1466592</v>
      </c>
    </row>
    <row r="3383" spans="1:22">
      <c r="A3383" t="s">
        <v>196</v>
      </c>
      <c r="B3383">
        <v>59</v>
      </c>
      <c r="C3383" t="s">
        <v>3</v>
      </c>
      <c r="D3383">
        <v>100</v>
      </c>
      <c r="E3383" t="s">
        <v>197</v>
      </c>
      <c r="F3383">
        <v>1005</v>
      </c>
      <c r="G3383" t="s">
        <v>3</v>
      </c>
      <c r="H3383">
        <v>2005</v>
      </c>
      <c r="I3383" t="s">
        <v>3</v>
      </c>
      <c r="J3383">
        <v>3104</v>
      </c>
      <c r="K3383" t="s">
        <v>243</v>
      </c>
      <c r="L3383">
        <v>4120</v>
      </c>
      <c r="M3383" t="s">
        <v>1527</v>
      </c>
      <c r="N3383" t="s">
        <v>1491</v>
      </c>
      <c r="O3383">
        <v>87</v>
      </c>
      <c r="P3383">
        <v>8749</v>
      </c>
      <c r="Q3383" t="s">
        <v>1492</v>
      </c>
      <c r="R3383" t="s">
        <v>201</v>
      </c>
      <c r="S3383">
        <v>15</v>
      </c>
      <c r="T3383">
        <v>1</v>
      </c>
      <c r="U3383">
        <v>87408</v>
      </c>
      <c r="V3383">
        <v>1311120</v>
      </c>
    </row>
    <row r="3384" spans="1:22">
      <c r="A3384" t="s">
        <v>196</v>
      </c>
      <c r="B3384">
        <v>59</v>
      </c>
      <c r="C3384" t="s">
        <v>3</v>
      </c>
      <c r="D3384">
        <v>100</v>
      </c>
      <c r="E3384" t="s">
        <v>197</v>
      </c>
      <c r="F3384">
        <v>1005</v>
      </c>
      <c r="G3384" t="s">
        <v>3</v>
      </c>
      <c r="H3384">
        <v>2005</v>
      </c>
      <c r="I3384" t="s">
        <v>3</v>
      </c>
      <c r="J3384">
        <v>3104</v>
      </c>
      <c r="K3384" t="s">
        <v>243</v>
      </c>
      <c r="L3384">
        <v>4120</v>
      </c>
      <c r="M3384" t="s">
        <v>1527</v>
      </c>
      <c r="N3384" t="s">
        <v>1519</v>
      </c>
      <c r="O3384">
        <v>87</v>
      </c>
      <c r="P3384">
        <v>8748</v>
      </c>
      <c r="Q3384" t="s">
        <v>1529</v>
      </c>
      <c r="R3384" t="s">
        <v>201</v>
      </c>
      <c r="S3384">
        <v>39</v>
      </c>
      <c r="T3384">
        <v>1</v>
      </c>
      <c r="U3384">
        <v>156396</v>
      </c>
      <c r="V3384">
        <v>6099444</v>
      </c>
    </row>
    <row r="3385" spans="1:22">
      <c r="A3385" t="s">
        <v>196</v>
      </c>
      <c r="B3385">
        <v>59</v>
      </c>
      <c r="C3385" t="s">
        <v>3</v>
      </c>
      <c r="D3385">
        <v>100</v>
      </c>
      <c r="E3385" t="s">
        <v>197</v>
      </c>
      <c r="F3385">
        <v>1005</v>
      </c>
      <c r="G3385" t="s">
        <v>3</v>
      </c>
      <c r="H3385">
        <v>2005</v>
      </c>
      <c r="I3385" t="s">
        <v>3</v>
      </c>
      <c r="J3385">
        <v>3104</v>
      </c>
      <c r="K3385" t="s">
        <v>243</v>
      </c>
      <c r="L3385">
        <v>4120</v>
      </c>
      <c r="M3385" t="s">
        <v>1527</v>
      </c>
      <c r="N3385" t="s">
        <v>1519</v>
      </c>
      <c r="O3385">
        <v>87</v>
      </c>
      <c r="P3385">
        <v>8748</v>
      </c>
      <c r="Q3385" t="s">
        <v>1529</v>
      </c>
      <c r="R3385" t="s">
        <v>201</v>
      </c>
      <c r="S3385">
        <v>3</v>
      </c>
      <c r="T3385">
        <v>1</v>
      </c>
      <c r="U3385">
        <v>151860</v>
      </c>
      <c r="V3385">
        <v>455580</v>
      </c>
    </row>
    <row r="3386" spans="1:22">
      <c r="A3386" t="s">
        <v>196</v>
      </c>
      <c r="B3386">
        <v>59</v>
      </c>
      <c r="C3386" t="s">
        <v>3</v>
      </c>
      <c r="D3386">
        <v>100</v>
      </c>
      <c r="E3386" t="s">
        <v>197</v>
      </c>
      <c r="F3386">
        <v>1005</v>
      </c>
      <c r="G3386" t="s">
        <v>3</v>
      </c>
      <c r="H3386">
        <v>2005</v>
      </c>
      <c r="I3386" t="s">
        <v>3</v>
      </c>
      <c r="J3386">
        <v>3104</v>
      </c>
      <c r="K3386" t="s">
        <v>243</v>
      </c>
      <c r="L3386">
        <v>4120</v>
      </c>
      <c r="M3386" t="s">
        <v>1527</v>
      </c>
      <c r="N3386" t="s">
        <v>1497</v>
      </c>
      <c r="O3386">
        <v>87</v>
      </c>
      <c r="P3386">
        <v>8745</v>
      </c>
      <c r="Q3386" t="s">
        <v>1498</v>
      </c>
      <c r="R3386" t="s">
        <v>201</v>
      </c>
      <c r="S3386">
        <v>12</v>
      </c>
      <c r="T3386">
        <v>1</v>
      </c>
      <c r="U3386">
        <v>143076</v>
      </c>
      <c r="V3386">
        <v>1716912</v>
      </c>
    </row>
    <row r="3387" spans="1:22">
      <c r="A3387" t="s">
        <v>196</v>
      </c>
      <c r="B3387">
        <v>59</v>
      </c>
      <c r="C3387" t="s">
        <v>3</v>
      </c>
      <c r="D3387">
        <v>100</v>
      </c>
      <c r="E3387" t="s">
        <v>197</v>
      </c>
      <c r="F3387">
        <v>1005</v>
      </c>
      <c r="G3387" t="s">
        <v>3</v>
      </c>
      <c r="H3387">
        <v>2005</v>
      </c>
      <c r="I3387" t="s">
        <v>3</v>
      </c>
      <c r="J3387">
        <v>3104</v>
      </c>
      <c r="K3387" t="s">
        <v>243</v>
      </c>
      <c r="L3387">
        <v>4120</v>
      </c>
      <c r="M3387" t="s">
        <v>1527</v>
      </c>
      <c r="N3387" t="s">
        <v>1497</v>
      </c>
      <c r="O3387">
        <v>87</v>
      </c>
      <c r="P3387">
        <v>8745</v>
      </c>
      <c r="Q3387" t="s">
        <v>1498</v>
      </c>
      <c r="R3387" t="s">
        <v>201</v>
      </c>
      <c r="S3387">
        <v>34</v>
      </c>
      <c r="T3387">
        <v>1</v>
      </c>
      <c r="U3387">
        <v>138828</v>
      </c>
      <c r="V3387">
        <v>4720152</v>
      </c>
    </row>
    <row r="3388" spans="1:22">
      <c r="A3388" t="s">
        <v>196</v>
      </c>
      <c r="B3388">
        <v>59</v>
      </c>
      <c r="C3388" t="s">
        <v>3</v>
      </c>
      <c r="D3388">
        <v>100</v>
      </c>
      <c r="E3388" t="s">
        <v>197</v>
      </c>
      <c r="F3388">
        <v>1005</v>
      </c>
      <c r="G3388" t="s">
        <v>3</v>
      </c>
      <c r="H3388">
        <v>2005</v>
      </c>
      <c r="I3388" t="s">
        <v>3</v>
      </c>
      <c r="J3388">
        <v>3104</v>
      </c>
      <c r="K3388" t="s">
        <v>243</v>
      </c>
      <c r="L3388">
        <v>4120</v>
      </c>
      <c r="M3388" t="s">
        <v>1527</v>
      </c>
      <c r="N3388" t="s">
        <v>1497</v>
      </c>
      <c r="O3388">
        <v>87</v>
      </c>
      <c r="P3388">
        <v>8745</v>
      </c>
      <c r="Q3388" t="s">
        <v>1498</v>
      </c>
      <c r="R3388" t="s">
        <v>201</v>
      </c>
      <c r="S3388">
        <v>38</v>
      </c>
      <c r="T3388">
        <v>1</v>
      </c>
      <c r="U3388">
        <v>134736</v>
      </c>
      <c r="V3388">
        <v>5119968</v>
      </c>
    </row>
    <row r="3389" spans="1:22">
      <c r="A3389" t="s">
        <v>196</v>
      </c>
      <c r="B3389">
        <v>59</v>
      </c>
      <c r="C3389" t="s">
        <v>3</v>
      </c>
      <c r="D3389">
        <v>100</v>
      </c>
      <c r="E3389" t="s">
        <v>197</v>
      </c>
      <c r="F3389">
        <v>1005</v>
      </c>
      <c r="G3389" t="s">
        <v>3</v>
      </c>
      <c r="H3389">
        <v>2005</v>
      </c>
      <c r="I3389" t="s">
        <v>3</v>
      </c>
      <c r="J3389">
        <v>3104</v>
      </c>
      <c r="K3389" t="s">
        <v>243</v>
      </c>
      <c r="L3389">
        <v>4120</v>
      </c>
      <c r="M3389" t="s">
        <v>1527</v>
      </c>
      <c r="N3389" t="s">
        <v>1497</v>
      </c>
      <c r="O3389">
        <v>87</v>
      </c>
      <c r="P3389">
        <v>8745</v>
      </c>
      <c r="Q3389" t="s">
        <v>1498</v>
      </c>
      <c r="R3389" t="s">
        <v>201</v>
      </c>
      <c r="S3389">
        <v>3</v>
      </c>
      <c r="T3389">
        <v>1</v>
      </c>
      <c r="U3389">
        <v>130698</v>
      </c>
      <c r="V3389">
        <v>392094</v>
      </c>
    </row>
    <row r="3390" spans="1:22">
      <c r="A3390" t="s">
        <v>196</v>
      </c>
      <c r="B3390">
        <v>59</v>
      </c>
      <c r="C3390" t="s">
        <v>3</v>
      </c>
      <c r="D3390">
        <v>100</v>
      </c>
      <c r="E3390" t="s">
        <v>197</v>
      </c>
      <c r="F3390">
        <v>1005</v>
      </c>
      <c r="G3390" t="s">
        <v>3</v>
      </c>
      <c r="H3390">
        <v>2005</v>
      </c>
      <c r="I3390" t="s">
        <v>3</v>
      </c>
      <c r="J3390">
        <v>3104</v>
      </c>
      <c r="K3390" t="s">
        <v>243</v>
      </c>
      <c r="L3390">
        <v>4120</v>
      </c>
      <c r="M3390" t="s">
        <v>1527</v>
      </c>
      <c r="N3390" t="s">
        <v>216</v>
      </c>
      <c r="O3390">
        <v>80</v>
      </c>
      <c r="P3390">
        <v>8734</v>
      </c>
      <c r="Q3390" t="s">
        <v>1530</v>
      </c>
      <c r="R3390" t="s">
        <v>201</v>
      </c>
      <c r="S3390">
        <v>8</v>
      </c>
      <c r="T3390">
        <v>1</v>
      </c>
      <c r="U3390">
        <v>191724</v>
      </c>
      <c r="V3390">
        <v>1533792</v>
      </c>
    </row>
    <row r="3391" spans="1:22">
      <c r="A3391" t="s">
        <v>196</v>
      </c>
      <c r="B3391">
        <v>59</v>
      </c>
      <c r="C3391" t="s">
        <v>3</v>
      </c>
      <c r="D3391">
        <v>100</v>
      </c>
      <c r="E3391" t="s">
        <v>197</v>
      </c>
      <c r="F3391">
        <v>1005</v>
      </c>
      <c r="G3391" t="s">
        <v>3</v>
      </c>
      <c r="H3391">
        <v>2005</v>
      </c>
      <c r="I3391" t="s">
        <v>3</v>
      </c>
      <c r="J3391">
        <v>3104</v>
      </c>
      <c r="K3391" t="s">
        <v>243</v>
      </c>
      <c r="L3391">
        <v>4120</v>
      </c>
      <c r="M3391" t="s">
        <v>1527</v>
      </c>
      <c r="N3391" t="s">
        <v>199</v>
      </c>
      <c r="O3391">
        <v>0</v>
      </c>
      <c r="P3391">
        <v>15</v>
      </c>
      <c r="Q3391" t="s">
        <v>264</v>
      </c>
      <c r="R3391" t="s">
        <v>201</v>
      </c>
      <c r="S3391">
        <v>0</v>
      </c>
      <c r="T3391">
        <v>0</v>
      </c>
      <c r="U3391">
        <v>1054349</v>
      </c>
      <c r="V3391">
        <v>1054349</v>
      </c>
    </row>
    <row r="3392" spans="1:22">
      <c r="A3392" t="s">
        <v>196</v>
      </c>
      <c r="B3392">
        <v>59</v>
      </c>
      <c r="C3392" t="s">
        <v>3</v>
      </c>
      <c r="D3392">
        <v>100</v>
      </c>
      <c r="E3392" t="s">
        <v>197</v>
      </c>
      <c r="F3392">
        <v>1005</v>
      </c>
      <c r="G3392" t="s">
        <v>3</v>
      </c>
      <c r="H3392">
        <v>2005</v>
      </c>
      <c r="I3392" t="s">
        <v>3</v>
      </c>
      <c r="J3392">
        <v>3104</v>
      </c>
      <c r="K3392" t="s">
        <v>243</v>
      </c>
      <c r="L3392">
        <v>4122</v>
      </c>
      <c r="M3392" t="s">
        <v>1531</v>
      </c>
      <c r="N3392" t="s">
        <v>1491</v>
      </c>
      <c r="O3392">
        <v>87</v>
      </c>
      <c r="P3392">
        <v>8820</v>
      </c>
      <c r="Q3392" t="s">
        <v>1505</v>
      </c>
      <c r="R3392" t="s">
        <v>201</v>
      </c>
      <c r="S3392">
        <v>1</v>
      </c>
      <c r="T3392">
        <v>1</v>
      </c>
      <c r="U3392">
        <v>122274</v>
      </c>
      <c r="V3392">
        <v>122274</v>
      </c>
    </row>
    <row r="3393" spans="1:22">
      <c r="A3393" t="s">
        <v>196</v>
      </c>
      <c r="B3393">
        <v>59</v>
      </c>
      <c r="C3393" t="s">
        <v>3</v>
      </c>
      <c r="D3393">
        <v>100</v>
      </c>
      <c r="E3393" t="s">
        <v>197</v>
      </c>
      <c r="F3393">
        <v>1005</v>
      </c>
      <c r="G3393" t="s">
        <v>3</v>
      </c>
      <c r="H3393">
        <v>2005</v>
      </c>
      <c r="I3393" t="s">
        <v>3</v>
      </c>
      <c r="J3393">
        <v>3104</v>
      </c>
      <c r="K3393" t="s">
        <v>243</v>
      </c>
      <c r="L3393">
        <v>4122</v>
      </c>
      <c r="M3393" t="s">
        <v>1531</v>
      </c>
      <c r="N3393" t="s">
        <v>1491</v>
      </c>
      <c r="O3393">
        <v>87</v>
      </c>
      <c r="P3393">
        <v>8820</v>
      </c>
      <c r="Q3393" t="s">
        <v>1505</v>
      </c>
      <c r="R3393" t="s">
        <v>201</v>
      </c>
      <c r="S3393">
        <v>1</v>
      </c>
      <c r="T3393">
        <v>1</v>
      </c>
      <c r="U3393">
        <v>118830</v>
      </c>
      <c r="V3393">
        <v>118830</v>
      </c>
    </row>
    <row r="3394" spans="1:22">
      <c r="A3394" t="s">
        <v>196</v>
      </c>
      <c r="B3394">
        <v>59</v>
      </c>
      <c r="C3394" t="s">
        <v>3</v>
      </c>
      <c r="D3394">
        <v>100</v>
      </c>
      <c r="E3394" t="s">
        <v>197</v>
      </c>
      <c r="F3394">
        <v>1005</v>
      </c>
      <c r="G3394" t="s">
        <v>3</v>
      </c>
      <c r="H3394">
        <v>2005</v>
      </c>
      <c r="I3394" t="s">
        <v>3</v>
      </c>
      <c r="J3394">
        <v>3104</v>
      </c>
      <c r="K3394" t="s">
        <v>243</v>
      </c>
      <c r="L3394">
        <v>4122</v>
      </c>
      <c r="M3394" t="s">
        <v>1531</v>
      </c>
      <c r="N3394" t="s">
        <v>1491</v>
      </c>
      <c r="O3394">
        <v>87</v>
      </c>
      <c r="P3394">
        <v>8820</v>
      </c>
      <c r="Q3394" t="s">
        <v>1505</v>
      </c>
      <c r="R3394" t="s">
        <v>201</v>
      </c>
      <c r="S3394">
        <v>1</v>
      </c>
      <c r="T3394">
        <v>1</v>
      </c>
      <c r="U3394">
        <v>110766</v>
      </c>
      <c r="V3394">
        <v>110766</v>
      </c>
    </row>
    <row r="3395" spans="1:22">
      <c r="A3395" t="s">
        <v>196</v>
      </c>
      <c r="B3395">
        <v>59</v>
      </c>
      <c r="C3395" t="s">
        <v>3</v>
      </c>
      <c r="D3395">
        <v>100</v>
      </c>
      <c r="E3395" t="s">
        <v>197</v>
      </c>
      <c r="F3395">
        <v>1005</v>
      </c>
      <c r="G3395" t="s">
        <v>3</v>
      </c>
      <c r="H3395">
        <v>2005</v>
      </c>
      <c r="I3395" t="s">
        <v>3</v>
      </c>
      <c r="J3395">
        <v>3104</v>
      </c>
      <c r="K3395" t="s">
        <v>243</v>
      </c>
      <c r="L3395">
        <v>4122</v>
      </c>
      <c r="M3395" t="s">
        <v>1531</v>
      </c>
      <c r="N3395" t="s">
        <v>1509</v>
      </c>
      <c r="O3395">
        <v>87</v>
      </c>
      <c r="P3395">
        <v>8817</v>
      </c>
      <c r="Q3395" t="s">
        <v>1510</v>
      </c>
      <c r="R3395" t="s">
        <v>201</v>
      </c>
      <c r="S3395">
        <v>5</v>
      </c>
      <c r="T3395">
        <v>1</v>
      </c>
      <c r="U3395">
        <v>151764</v>
      </c>
      <c r="V3395">
        <v>758820</v>
      </c>
    </row>
    <row r="3396" spans="1:22">
      <c r="A3396" t="s">
        <v>196</v>
      </c>
      <c r="B3396">
        <v>59</v>
      </c>
      <c r="C3396" t="s">
        <v>3</v>
      </c>
      <c r="D3396">
        <v>100</v>
      </c>
      <c r="E3396" t="s">
        <v>197</v>
      </c>
      <c r="F3396">
        <v>1005</v>
      </c>
      <c r="G3396" t="s">
        <v>3</v>
      </c>
      <c r="H3396">
        <v>2005</v>
      </c>
      <c r="I3396" t="s">
        <v>3</v>
      </c>
      <c r="J3396">
        <v>3104</v>
      </c>
      <c r="K3396" t="s">
        <v>243</v>
      </c>
      <c r="L3396">
        <v>4122</v>
      </c>
      <c r="M3396" t="s">
        <v>1531</v>
      </c>
      <c r="N3396" t="s">
        <v>1509</v>
      </c>
      <c r="O3396">
        <v>87</v>
      </c>
      <c r="P3396">
        <v>8813</v>
      </c>
      <c r="Q3396" t="s">
        <v>1532</v>
      </c>
      <c r="R3396" t="s">
        <v>201</v>
      </c>
      <c r="S3396">
        <v>1</v>
      </c>
      <c r="T3396">
        <v>1</v>
      </c>
      <c r="U3396">
        <v>138642</v>
      </c>
      <c r="V3396">
        <v>138642</v>
      </c>
    </row>
    <row r="3397" spans="1:22">
      <c r="A3397" t="s">
        <v>196</v>
      </c>
      <c r="B3397">
        <v>59</v>
      </c>
      <c r="C3397" t="s">
        <v>3</v>
      </c>
      <c r="D3397">
        <v>100</v>
      </c>
      <c r="E3397" t="s">
        <v>197</v>
      </c>
      <c r="F3397">
        <v>1005</v>
      </c>
      <c r="G3397" t="s">
        <v>3</v>
      </c>
      <c r="H3397">
        <v>2005</v>
      </c>
      <c r="I3397" t="s">
        <v>3</v>
      </c>
      <c r="J3397">
        <v>3104</v>
      </c>
      <c r="K3397" t="s">
        <v>243</v>
      </c>
      <c r="L3397">
        <v>4122</v>
      </c>
      <c r="M3397" t="s">
        <v>1531</v>
      </c>
      <c r="N3397" t="s">
        <v>1511</v>
      </c>
      <c r="O3397">
        <v>87</v>
      </c>
      <c r="P3397">
        <v>8812</v>
      </c>
      <c r="Q3397" t="s">
        <v>1512</v>
      </c>
      <c r="R3397" t="s">
        <v>201</v>
      </c>
      <c r="S3397">
        <v>1</v>
      </c>
      <c r="T3397">
        <v>1</v>
      </c>
      <c r="U3397">
        <v>138378</v>
      </c>
      <c r="V3397">
        <v>138378</v>
      </c>
    </row>
    <row r="3398" spans="1:22">
      <c r="A3398" t="s">
        <v>196</v>
      </c>
      <c r="B3398">
        <v>59</v>
      </c>
      <c r="C3398" t="s">
        <v>3</v>
      </c>
      <c r="D3398">
        <v>100</v>
      </c>
      <c r="E3398" t="s">
        <v>197</v>
      </c>
      <c r="F3398">
        <v>1005</v>
      </c>
      <c r="G3398" t="s">
        <v>3</v>
      </c>
      <c r="H3398">
        <v>2005</v>
      </c>
      <c r="I3398" t="s">
        <v>3</v>
      </c>
      <c r="J3398">
        <v>3104</v>
      </c>
      <c r="K3398" t="s">
        <v>243</v>
      </c>
      <c r="L3398">
        <v>4122</v>
      </c>
      <c r="M3398" t="s">
        <v>1531</v>
      </c>
      <c r="N3398" t="s">
        <v>1511</v>
      </c>
      <c r="O3398">
        <v>87</v>
      </c>
      <c r="P3398">
        <v>8812</v>
      </c>
      <c r="Q3398" t="s">
        <v>1512</v>
      </c>
      <c r="R3398" t="s">
        <v>201</v>
      </c>
      <c r="S3398">
        <v>1</v>
      </c>
      <c r="T3398">
        <v>1</v>
      </c>
      <c r="U3398">
        <v>129834</v>
      </c>
      <c r="V3398">
        <v>129834</v>
      </c>
    </row>
    <row r="3399" spans="1:22">
      <c r="A3399" t="s">
        <v>196</v>
      </c>
      <c r="B3399">
        <v>59</v>
      </c>
      <c r="C3399" t="s">
        <v>3</v>
      </c>
      <c r="D3399">
        <v>100</v>
      </c>
      <c r="E3399" t="s">
        <v>197</v>
      </c>
      <c r="F3399">
        <v>1005</v>
      </c>
      <c r="G3399" t="s">
        <v>3</v>
      </c>
      <c r="H3399">
        <v>2005</v>
      </c>
      <c r="I3399" t="s">
        <v>3</v>
      </c>
      <c r="J3399">
        <v>3104</v>
      </c>
      <c r="K3399" t="s">
        <v>243</v>
      </c>
      <c r="L3399">
        <v>4122</v>
      </c>
      <c r="M3399" t="s">
        <v>1531</v>
      </c>
      <c r="N3399" t="s">
        <v>1511</v>
      </c>
      <c r="O3399">
        <v>87</v>
      </c>
      <c r="P3399">
        <v>8812</v>
      </c>
      <c r="Q3399" t="s">
        <v>1512</v>
      </c>
      <c r="R3399" t="s">
        <v>201</v>
      </c>
      <c r="S3399">
        <v>1</v>
      </c>
      <c r="T3399">
        <v>1</v>
      </c>
      <c r="U3399">
        <v>125904</v>
      </c>
      <c r="V3399">
        <v>125904</v>
      </c>
    </row>
    <row r="3400" spans="1:22">
      <c r="A3400" t="s">
        <v>196</v>
      </c>
      <c r="B3400">
        <v>59</v>
      </c>
      <c r="C3400" t="s">
        <v>3</v>
      </c>
      <c r="D3400">
        <v>100</v>
      </c>
      <c r="E3400" t="s">
        <v>197</v>
      </c>
      <c r="F3400">
        <v>1005</v>
      </c>
      <c r="G3400" t="s">
        <v>3</v>
      </c>
      <c r="H3400">
        <v>2005</v>
      </c>
      <c r="I3400" t="s">
        <v>3</v>
      </c>
      <c r="J3400">
        <v>3104</v>
      </c>
      <c r="K3400" t="s">
        <v>243</v>
      </c>
      <c r="L3400">
        <v>4122</v>
      </c>
      <c r="M3400" t="s">
        <v>1531</v>
      </c>
      <c r="N3400" t="s">
        <v>1513</v>
      </c>
      <c r="O3400">
        <v>87</v>
      </c>
      <c r="P3400">
        <v>8811</v>
      </c>
      <c r="Q3400" t="s">
        <v>1514</v>
      </c>
      <c r="R3400" t="s">
        <v>201</v>
      </c>
      <c r="S3400">
        <v>2</v>
      </c>
      <c r="T3400">
        <v>1</v>
      </c>
      <c r="U3400">
        <v>135144</v>
      </c>
      <c r="V3400">
        <v>270288</v>
      </c>
    </row>
    <row r="3401" spans="1:22">
      <c r="A3401" t="s">
        <v>196</v>
      </c>
      <c r="B3401">
        <v>59</v>
      </c>
      <c r="C3401" t="s">
        <v>3</v>
      </c>
      <c r="D3401">
        <v>100</v>
      </c>
      <c r="E3401" t="s">
        <v>197</v>
      </c>
      <c r="F3401">
        <v>1005</v>
      </c>
      <c r="G3401" t="s">
        <v>3</v>
      </c>
      <c r="H3401">
        <v>2005</v>
      </c>
      <c r="I3401" t="s">
        <v>3</v>
      </c>
      <c r="J3401">
        <v>3104</v>
      </c>
      <c r="K3401" t="s">
        <v>243</v>
      </c>
      <c r="L3401">
        <v>4122</v>
      </c>
      <c r="M3401" t="s">
        <v>1531</v>
      </c>
      <c r="N3401" t="s">
        <v>1513</v>
      </c>
      <c r="O3401">
        <v>87</v>
      </c>
      <c r="P3401">
        <v>8811</v>
      </c>
      <c r="Q3401" t="s">
        <v>1514</v>
      </c>
      <c r="R3401" t="s">
        <v>201</v>
      </c>
      <c r="S3401">
        <v>1</v>
      </c>
      <c r="T3401">
        <v>1</v>
      </c>
      <c r="U3401">
        <v>130908</v>
      </c>
      <c r="V3401">
        <v>130908</v>
      </c>
    </row>
    <row r="3402" spans="1:22">
      <c r="A3402" t="s">
        <v>196</v>
      </c>
      <c r="B3402">
        <v>59</v>
      </c>
      <c r="C3402" t="s">
        <v>3</v>
      </c>
      <c r="D3402">
        <v>100</v>
      </c>
      <c r="E3402" t="s">
        <v>197</v>
      </c>
      <c r="F3402">
        <v>1005</v>
      </c>
      <c r="G3402" t="s">
        <v>3</v>
      </c>
      <c r="H3402">
        <v>2005</v>
      </c>
      <c r="I3402" t="s">
        <v>3</v>
      </c>
      <c r="J3402">
        <v>3104</v>
      </c>
      <c r="K3402" t="s">
        <v>243</v>
      </c>
      <c r="L3402">
        <v>4122</v>
      </c>
      <c r="M3402" t="s">
        <v>1531</v>
      </c>
      <c r="N3402" t="s">
        <v>1513</v>
      </c>
      <c r="O3402">
        <v>87</v>
      </c>
      <c r="P3402">
        <v>8811</v>
      </c>
      <c r="Q3402" t="s">
        <v>1514</v>
      </c>
      <c r="R3402" t="s">
        <v>201</v>
      </c>
      <c r="S3402">
        <v>6</v>
      </c>
      <c r="T3402">
        <v>1</v>
      </c>
      <c r="U3402">
        <v>126840</v>
      </c>
      <c r="V3402">
        <v>761040</v>
      </c>
    </row>
    <row r="3403" spans="1:22">
      <c r="A3403" t="s">
        <v>196</v>
      </c>
      <c r="B3403">
        <v>59</v>
      </c>
      <c r="C3403" t="s">
        <v>3</v>
      </c>
      <c r="D3403">
        <v>100</v>
      </c>
      <c r="E3403" t="s">
        <v>197</v>
      </c>
      <c r="F3403">
        <v>1005</v>
      </c>
      <c r="G3403" t="s">
        <v>3</v>
      </c>
      <c r="H3403">
        <v>2005</v>
      </c>
      <c r="I3403" t="s">
        <v>3</v>
      </c>
      <c r="J3403">
        <v>3104</v>
      </c>
      <c r="K3403" t="s">
        <v>243</v>
      </c>
      <c r="L3403">
        <v>4122</v>
      </c>
      <c r="M3403" t="s">
        <v>1531</v>
      </c>
      <c r="N3403" t="s">
        <v>1491</v>
      </c>
      <c r="O3403">
        <v>87</v>
      </c>
      <c r="P3403">
        <v>8807</v>
      </c>
      <c r="Q3403" t="s">
        <v>1516</v>
      </c>
      <c r="R3403" t="s">
        <v>201</v>
      </c>
      <c r="S3403">
        <v>1</v>
      </c>
      <c r="T3403">
        <v>1</v>
      </c>
      <c r="U3403">
        <v>118830</v>
      </c>
      <c r="V3403">
        <v>118830</v>
      </c>
    </row>
    <row r="3404" spans="1:22">
      <c r="A3404" t="s">
        <v>196</v>
      </c>
      <c r="B3404">
        <v>59</v>
      </c>
      <c r="C3404" t="s">
        <v>3</v>
      </c>
      <c r="D3404">
        <v>100</v>
      </c>
      <c r="E3404" t="s">
        <v>197</v>
      </c>
      <c r="F3404">
        <v>1005</v>
      </c>
      <c r="G3404" t="s">
        <v>3</v>
      </c>
      <c r="H3404">
        <v>2005</v>
      </c>
      <c r="I3404" t="s">
        <v>3</v>
      </c>
      <c r="J3404">
        <v>3104</v>
      </c>
      <c r="K3404" t="s">
        <v>243</v>
      </c>
      <c r="L3404">
        <v>4122</v>
      </c>
      <c r="M3404" t="s">
        <v>1531</v>
      </c>
      <c r="N3404" t="s">
        <v>1491</v>
      </c>
      <c r="O3404">
        <v>87</v>
      </c>
      <c r="P3404">
        <v>8807</v>
      </c>
      <c r="Q3404" t="s">
        <v>1516</v>
      </c>
      <c r="R3404" t="s">
        <v>201</v>
      </c>
      <c r="S3404">
        <v>7</v>
      </c>
      <c r="T3404">
        <v>1</v>
      </c>
      <c r="U3404">
        <v>114654</v>
      </c>
      <c r="V3404">
        <v>802578</v>
      </c>
    </row>
    <row r="3405" spans="1:22">
      <c r="A3405" t="s">
        <v>196</v>
      </c>
      <c r="B3405">
        <v>59</v>
      </c>
      <c r="C3405" t="s">
        <v>3</v>
      </c>
      <c r="D3405">
        <v>100</v>
      </c>
      <c r="E3405" t="s">
        <v>197</v>
      </c>
      <c r="F3405">
        <v>1005</v>
      </c>
      <c r="G3405" t="s">
        <v>3</v>
      </c>
      <c r="H3405">
        <v>2005</v>
      </c>
      <c r="I3405" t="s">
        <v>3</v>
      </c>
      <c r="J3405">
        <v>3104</v>
      </c>
      <c r="K3405" t="s">
        <v>243</v>
      </c>
      <c r="L3405">
        <v>4122</v>
      </c>
      <c r="M3405" t="s">
        <v>1531</v>
      </c>
      <c r="N3405" t="s">
        <v>1491</v>
      </c>
      <c r="O3405">
        <v>87</v>
      </c>
      <c r="P3405">
        <v>8807</v>
      </c>
      <c r="Q3405" t="s">
        <v>1516</v>
      </c>
      <c r="R3405" t="s">
        <v>201</v>
      </c>
      <c r="S3405">
        <v>1</v>
      </c>
      <c r="T3405">
        <v>1</v>
      </c>
      <c r="U3405">
        <v>110766</v>
      </c>
      <c r="V3405">
        <v>110766</v>
      </c>
    </row>
    <row r="3406" spans="1:22">
      <c r="A3406" t="s">
        <v>196</v>
      </c>
      <c r="B3406">
        <v>59</v>
      </c>
      <c r="C3406" t="s">
        <v>3</v>
      </c>
      <c r="D3406">
        <v>100</v>
      </c>
      <c r="E3406" t="s">
        <v>197</v>
      </c>
      <c r="F3406">
        <v>1005</v>
      </c>
      <c r="G3406" t="s">
        <v>3</v>
      </c>
      <c r="H3406">
        <v>2005</v>
      </c>
      <c r="I3406" t="s">
        <v>3</v>
      </c>
      <c r="J3406">
        <v>3104</v>
      </c>
      <c r="K3406" t="s">
        <v>243</v>
      </c>
      <c r="L3406">
        <v>4122</v>
      </c>
      <c r="M3406" t="s">
        <v>1531</v>
      </c>
      <c r="N3406" t="s">
        <v>1487</v>
      </c>
      <c r="O3406">
        <v>87</v>
      </c>
      <c r="P3406">
        <v>8801</v>
      </c>
      <c r="Q3406" t="s">
        <v>1488</v>
      </c>
      <c r="R3406" t="s">
        <v>201</v>
      </c>
      <c r="S3406">
        <v>1</v>
      </c>
      <c r="T3406">
        <v>1</v>
      </c>
      <c r="U3406">
        <v>114570</v>
      </c>
      <c r="V3406">
        <v>114570</v>
      </c>
    </row>
    <row r="3407" spans="1:22">
      <c r="A3407" t="s">
        <v>196</v>
      </c>
      <c r="B3407">
        <v>59</v>
      </c>
      <c r="C3407" t="s">
        <v>3</v>
      </c>
      <c r="D3407">
        <v>100</v>
      </c>
      <c r="E3407" t="s">
        <v>197</v>
      </c>
      <c r="F3407">
        <v>1005</v>
      </c>
      <c r="G3407" t="s">
        <v>3</v>
      </c>
      <c r="H3407">
        <v>2005</v>
      </c>
      <c r="I3407" t="s">
        <v>3</v>
      </c>
      <c r="J3407">
        <v>3104</v>
      </c>
      <c r="K3407" t="s">
        <v>243</v>
      </c>
      <c r="L3407">
        <v>4122</v>
      </c>
      <c r="M3407" t="s">
        <v>1531</v>
      </c>
      <c r="N3407" t="s">
        <v>1487</v>
      </c>
      <c r="O3407">
        <v>87</v>
      </c>
      <c r="P3407">
        <v>8801</v>
      </c>
      <c r="Q3407" t="s">
        <v>1488</v>
      </c>
      <c r="R3407" t="s">
        <v>201</v>
      </c>
      <c r="S3407">
        <v>3</v>
      </c>
      <c r="T3407">
        <v>1</v>
      </c>
      <c r="U3407">
        <v>110196</v>
      </c>
      <c r="V3407">
        <v>330588</v>
      </c>
    </row>
    <row r="3408" spans="1:22">
      <c r="A3408" t="s">
        <v>196</v>
      </c>
      <c r="B3408">
        <v>59</v>
      </c>
      <c r="C3408" t="s">
        <v>3</v>
      </c>
      <c r="D3408">
        <v>100</v>
      </c>
      <c r="E3408" t="s">
        <v>197</v>
      </c>
      <c r="F3408">
        <v>1005</v>
      </c>
      <c r="G3408" t="s">
        <v>3</v>
      </c>
      <c r="H3408">
        <v>2005</v>
      </c>
      <c r="I3408" t="s">
        <v>3</v>
      </c>
      <c r="J3408">
        <v>3104</v>
      </c>
      <c r="K3408" t="s">
        <v>243</v>
      </c>
      <c r="L3408">
        <v>4122</v>
      </c>
      <c r="M3408" t="s">
        <v>1531</v>
      </c>
      <c r="N3408" t="s">
        <v>1487</v>
      </c>
      <c r="O3408">
        <v>87</v>
      </c>
      <c r="P3408">
        <v>8801</v>
      </c>
      <c r="Q3408" t="s">
        <v>1488</v>
      </c>
      <c r="R3408" t="s">
        <v>201</v>
      </c>
      <c r="S3408">
        <v>11</v>
      </c>
      <c r="T3408">
        <v>1</v>
      </c>
      <c r="U3408">
        <v>105936</v>
      </c>
      <c r="V3408">
        <v>1165296</v>
      </c>
    </row>
    <row r="3409" spans="1:22">
      <c r="A3409" t="s">
        <v>196</v>
      </c>
      <c r="B3409">
        <v>59</v>
      </c>
      <c r="C3409" t="s">
        <v>3</v>
      </c>
      <c r="D3409">
        <v>100</v>
      </c>
      <c r="E3409" t="s">
        <v>197</v>
      </c>
      <c r="F3409">
        <v>1005</v>
      </c>
      <c r="G3409" t="s">
        <v>3</v>
      </c>
      <c r="H3409">
        <v>2005</v>
      </c>
      <c r="I3409" t="s">
        <v>3</v>
      </c>
      <c r="J3409">
        <v>3104</v>
      </c>
      <c r="K3409" t="s">
        <v>243</v>
      </c>
      <c r="L3409">
        <v>4122</v>
      </c>
      <c r="M3409" t="s">
        <v>1531</v>
      </c>
      <c r="N3409" t="s">
        <v>1487</v>
      </c>
      <c r="O3409">
        <v>87</v>
      </c>
      <c r="P3409">
        <v>8801</v>
      </c>
      <c r="Q3409" t="s">
        <v>1488</v>
      </c>
      <c r="R3409" t="s">
        <v>201</v>
      </c>
      <c r="S3409">
        <v>2</v>
      </c>
      <c r="T3409">
        <v>1</v>
      </c>
      <c r="U3409">
        <v>102372</v>
      </c>
      <c r="V3409">
        <v>204744</v>
      </c>
    </row>
    <row r="3410" spans="1:22">
      <c r="A3410" t="s">
        <v>196</v>
      </c>
      <c r="B3410">
        <v>59</v>
      </c>
      <c r="C3410" t="s">
        <v>3</v>
      </c>
      <c r="D3410">
        <v>100</v>
      </c>
      <c r="E3410" t="s">
        <v>197</v>
      </c>
      <c r="F3410">
        <v>1005</v>
      </c>
      <c r="G3410" t="s">
        <v>3</v>
      </c>
      <c r="H3410">
        <v>2005</v>
      </c>
      <c r="I3410" t="s">
        <v>3</v>
      </c>
      <c r="J3410">
        <v>3104</v>
      </c>
      <c r="K3410" t="s">
        <v>243</v>
      </c>
      <c r="L3410">
        <v>4122</v>
      </c>
      <c r="M3410" t="s">
        <v>1531</v>
      </c>
      <c r="N3410" t="s">
        <v>1487</v>
      </c>
      <c r="O3410">
        <v>87</v>
      </c>
      <c r="P3410">
        <v>8801</v>
      </c>
      <c r="Q3410" t="s">
        <v>1488</v>
      </c>
      <c r="R3410" t="s">
        <v>201</v>
      </c>
      <c r="S3410">
        <v>54</v>
      </c>
      <c r="T3410">
        <v>1</v>
      </c>
      <c r="U3410">
        <v>98904</v>
      </c>
      <c r="V3410">
        <v>5340816</v>
      </c>
    </row>
    <row r="3411" spans="1:22">
      <c r="A3411" t="s">
        <v>196</v>
      </c>
      <c r="B3411">
        <v>59</v>
      </c>
      <c r="C3411" t="s">
        <v>3</v>
      </c>
      <c r="D3411">
        <v>100</v>
      </c>
      <c r="E3411" t="s">
        <v>197</v>
      </c>
      <c r="F3411">
        <v>1005</v>
      </c>
      <c r="G3411" t="s">
        <v>3</v>
      </c>
      <c r="H3411">
        <v>2005</v>
      </c>
      <c r="I3411" t="s">
        <v>3</v>
      </c>
      <c r="J3411">
        <v>3104</v>
      </c>
      <c r="K3411" t="s">
        <v>243</v>
      </c>
      <c r="L3411">
        <v>4122</v>
      </c>
      <c r="M3411" t="s">
        <v>1531</v>
      </c>
      <c r="N3411" t="s">
        <v>1487</v>
      </c>
      <c r="O3411">
        <v>87</v>
      </c>
      <c r="P3411">
        <v>8801</v>
      </c>
      <c r="Q3411" t="s">
        <v>1488</v>
      </c>
      <c r="R3411" t="s">
        <v>201</v>
      </c>
      <c r="S3411">
        <v>12</v>
      </c>
      <c r="T3411">
        <v>1</v>
      </c>
      <c r="U3411">
        <v>66264</v>
      </c>
      <c r="V3411">
        <v>795168</v>
      </c>
    </row>
    <row r="3412" spans="1:22">
      <c r="A3412" t="s">
        <v>196</v>
      </c>
      <c r="B3412">
        <v>59</v>
      </c>
      <c r="C3412" t="s">
        <v>3</v>
      </c>
      <c r="D3412">
        <v>100</v>
      </c>
      <c r="E3412" t="s">
        <v>197</v>
      </c>
      <c r="F3412">
        <v>1005</v>
      </c>
      <c r="G3412" t="s">
        <v>3</v>
      </c>
      <c r="H3412">
        <v>2005</v>
      </c>
      <c r="I3412" t="s">
        <v>3</v>
      </c>
      <c r="J3412">
        <v>3104</v>
      </c>
      <c r="K3412" t="s">
        <v>243</v>
      </c>
      <c r="L3412">
        <v>4122</v>
      </c>
      <c r="M3412" t="s">
        <v>1531</v>
      </c>
      <c r="N3412" t="s">
        <v>216</v>
      </c>
      <c r="O3412">
        <v>89</v>
      </c>
      <c r="P3412">
        <v>8764</v>
      </c>
      <c r="Q3412" t="s">
        <v>1518</v>
      </c>
      <c r="R3412" t="s">
        <v>201</v>
      </c>
      <c r="S3412">
        <v>3</v>
      </c>
      <c r="T3412">
        <v>1</v>
      </c>
      <c r="U3412">
        <v>191724</v>
      </c>
      <c r="V3412">
        <v>575172</v>
      </c>
    </row>
    <row r="3413" spans="1:22">
      <c r="A3413" t="s">
        <v>196</v>
      </c>
      <c r="B3413">
        <v>59</v>
      </c>
      <c r="C3413" t="s">
        <v>3</v>
      </c>
      <c r="D3413">
        <v>100</v>
      </c>
      <c r="E3413" t="s">
        <v>197</v>
      </c>
      <c r="F3413">
        <v>1005</v>
      </c>
      <c r="G3413" t="s">
        <v>3</v>
      </c>
      <c r="H3413">
        <v>2005</v>
      </c>
      <c r="I3413" t="s">
        <v>3</v>
      </c>
      <c r="J3413">
        <v>3104</v>
      </c>
      <c r="K3413" t="s">
        <v>243</v>
      </c>
      <c r="L3413">
        <v>4122</v>
      </c>
      <c r="M3413" t="s">
        <v>1531</v>
      </c>
      <c r="N3413" t="s">
        <v>216</v>
      </c>
      <c r="O3413">
        <v>89</v>
      </c>
      <c r="P3413">
        <v>8763</v>
      </c>
      <c r="Q3413" t="s">
        <v>1469</v>
      </c>
      <c r="R3413" t="s">
        <v>201</v>
      </c>
      <c r="S3413">
        <v>1</v>
      </c>
      <c r="T3413">
        <v>1</v>
      </c>
      <c r="U3413">
        <v>205560</v>
      </c>
      <c r="V3413">
        <v>205560</v>
      </c>
    </row>
    <row r="3414" spans="1:22">
      <c r="A3414" t="s">
        <v>196</v>
      </c>
      <c r="B3414">
        <v>59</v>
      </c>
      <c r="C3414" t="s">
        <v>3</v>
      </c>
      <c r="D3414">
        <v>100</v>
      </c>
      <c r="E3414" t="s">
        <v>197</v>
      </c>
      <c r="F3414">
        <v>1005</v>
      </c>
      <c r="G3414" t="s">
        <v>3</v>
      </c>
      <c r="H3414">
        <v>2005</v>
      </c>
      <c r="I3414" t="s">
        <v>3</v>
      </c>
      <c r="J3414">
        <v>3104</v>
      </c>
      <c r="K3414" t="s">
        <v>243</v>
      </c>
      <c r="L3414">
        <v>4122</v>
      </c>
      <c r="M3414" t="s">
        <v>1531</v>
      </c>
      <c r="N3414" t="s">
        <v>1519</v>
      </c>
      <c r="O3414">
        <v>87</v>
      </c>
      <c r="P3414">
        <v>8739</v>
      </c>
      <c r="Q3414" t="s">
        <v>1520</v>
      </c>
      <c r="R3414" t="s">
        <v>201</v>
      </c>
      <c r="S3414">
        <v>1</v>
      </c>
      <c r="T3414">
        <v>1</v>
      </c>
      <c r="U3414">
        <v>156396</v>
      </c>
      <c r="V3414">
        <v>156396</v>
      </c>
    </row>
    <row r="3415" spans="1:22">
      <c r="A3415" t="s">
        <v>196</v>
      </c>
      <c r="B3415">
        <v>59</v>
      </c>
      <c r="C3415" t="s">
        <v>3</v>
      </c>
      <c r="D3415">
        <v>100</v>
      </c>
      <c r="E3415" t="s">
        <v>197</v>
      </c>
      <c r="F3415">
        <v>1005</v>
      </c>
      <c r="G3415" t="s">
        <v>3</v>
      </c>
      <c r="H3415">
        <v>2005</v>
      </c>
      <c r="I3415" t="s">
        <v>3</v>
      </c>
      <c r="J3415">
        <v>3104</v>
      </c>
      <c r="K3415" t="s">
        <v>243</v>
      </c>
      <c r="L3415">
        <v>4122</v>
      </c>
      <c r="M3415" t="s">
        <v>1531</v>
      </c>
      <c r="N3415" t="s">
        <v>1497</v>
      </c>
      <c r="O3415">
        <v>87</v>
      </c>
      <c r="P3415">
        <v>8737</v>
      </c>
      <c r="Q3415" t="s">
        <v>1331</v>
      </c>
      <c r="R3415" t="s">
        <v>201</v>
      </c>
      <c r="S3415">
        <v>1</v>
      </c>
      <c r="T3415">
        <v>1</v>
      </c>
      <c r="U3415">
        <v>143076</v>
      </c>
      <c r="V3415">
        <v>143076</v>
      </c>
    </row>
    <row r="3416" spans="1:22">
      <c r="A3416" t="s">
        <v>196</v>
      </c>
      <c r="B3416">
        <v>59</v>
      </c>
      <c r="C3416" t="s">
        <v>3</v>
      </c>
      <c r="D3416">
        <v>100</v>
      </c>
      <c r="E3416" t="s">
        <v>197</v>
      </c>
      <c r="F3416">
        <v>1005</v>
      </c>
      <c r="G3416" t="s">
        <v>3</v>
      </c>
      <c r="H3416">
        <v>2005</v>
      </c>
      <c r="I3416" t="s">
        <v>3</v>
      </c>
      <c r="J3416">
        <v>3104</v>
      </c>
      <c r="K3416" t="s">
        <v>243</v>
      </c>
      <c r="L3416">
        <v>4122</v>
      </c>
      <c r="M3416" t="s">
        <v>1531</v>
      </c>
      <c r="N3416" t="s">
        <v>1470</v>
      </c>
      <c r="O3416">
        <v>87</v>
      </c>
      <c r="P3416">
        <v>8735</v>
      </c>
      <c r="Q3416" t="s">
        <v>1323</v>
      </c>
      <c r="R3416" t="s">
        <v>201</v>
      </c>
      <c r="S3416">
        <v>2</v>
      </c>
      <c r="T3416">
        <v>1</v>
      </c>
      <c r="U3416">
        <v>127410</v>
      </c>
      <c r="V3416">
        <v>254820</v>
      </c>
    </row>
    <row r="3417" spans="1:22">
      <c r="A3417" t="s">
        <v>196</v>
      </c>
      <c r="B3417">
        <v>59</v>
      </c>
      <c r="C3417" t="s">
        <v>3</v>
      </c>
      <c r="D3417">
        <v>100</v>
      </c>
      <c r="E3417" t="s">
        <v>197</v>
      </c>
      <c r="F3417">
        <v>1005</v>
      </c>
      <c r="G3417" t="s">
        <v>3</v>
      </c>
      <c r="H3417">
        <v>2005</v>
      </c>
      <c r="I3417" t="s">
        <v>3</v>
      </c>
      <c r="J3417">
        <v>3104</v>
      </c>
      <c r="K3417" t="s">
        <v>243</v>
      </c>
      <c r="L3417">
        <v>4122</v>
      </c>
      <c r="M3417" t="s">
        <v>1531</v>
      </c>
      <c r="N3417" t="s">
        <v>1491</v>
      </c>
      <c r="O3417">
        <v>87</v>
      </c>
      <c r="P3417">
        <v>8733</v>
      </c>
      <c r="Q3417" t="s">
        <v>1521</v>
      </c>
      <c r="R3417" t="s">
        <v>201</v>
      </c>
      <c r="S3417">
        <v>1</v>
      </c>
      <c r="T3417">
        <v>1</v>
      </c>
      <c r="U3417">
        <v>112020</v>
      </c>
      <c r="V3417">
        <v>112020</v>
      </c>
    </row>
    <row r="3418" spans="1:22">
      <c r="A3418" t="s">
        <v>196</v>
      </c>
      <c r="B3418">
        <v>59</v>
      </c>
      <c r="C3418" t="s">
        <v>3</v>
      </c>
      <c r="D3418">
        <v>100</v>
      </c>
      <c r="E3418" t="s">
        <v>197</v>
      </c>
      <c r="F3418">
        <v>1005</v>
      </c>
      <c r="G3418" t="s">
        <v>3</v>
      </c>
      <c r="H3418">
        <v>2005</v>
      </c>
      <c r="I3418" t="s">
        <v>3</v>
      </c>
      <c r="J3418">
        <v>3104</v>
      </c>
      <c r="K3418" t="s">
        <v>243</v>
      </c>
      <c r="L3418">
        <v>4122</v>
      </c>
      <c r="M3418" t="s">
        <v>1531</v>
      </c>
      <c r="N3418" t="s">
        <v>1489</v>
      </c>
      <c r="O3418">
        <v>87</v>
      </c>
      <c r="P3418">
        <v>8731</v>
      </c>
      <c r="Q3418" t="s">
        <v>1522</v>
      </c>
      <c r="R3418" t="s">
        <v>201</v>
      </c>
      <c r="S3418">
        <v>3</v>
      </c>
      <c r="T3418">
        <v>1</v>
      </c>
      <c r="U3418">
        <v>108036</v>
      </c>
      <c r="V3418">
        <v>324108</v>
      </c>
    </row>
    <row r="3419" spans="1:22">
      <c r="A3419" t="s">
        <v>196</v>
      </c>
      <c r="B3419">
        <v>59</v>
      </c>
      <c r="C3419" t="s">
        <v>3</v>
      </c>
      <c r="D3419">
        <v>100</v>
      </c>
      <c r="E3419" t="s">
        <v>197</v>
      </c>
      <c r="F3419">
        <v>1005</v>
      </c>
      <c r="G3419" t="s">
        <v>3</v>
      </c>
      <c r="H3419">
        <v>2005</v>
      </c>
      <c r="I3419" t="s">
        <v>3</v>
      </c>
      <c r="J3419">
        <v>3104</v>
      </c>
      <c r="K3419" t="s">
        <v>243</v>
      </c>
      <c r="L3419">
        <v>4122</v>
      </c>
      <c r="M3419" t="s">
        <v>1531</v>
      </c>
      <c r="N3419" t="s">
        <v>1489</v>
      </c>
      <c r="O3419">
        <v>87</v>
      </c>
      <c r="P3419">
        <v>8731</v>
      </c>
      <c r="Q3419" t="s">
        <v>1522</v>
      </c>
      <c r="R3419" t="s">
        <v>201</v>
      </c>
      <c r="S3419">
        <v>1</v>
      </c>
      <c r="T3419">
        <v>1</v>
      </c>
      <c r="U3419">
        <v>103914</v>
      </c>
      <c r="V3419">
        <v>103914</v>
      </c>
    </row>
    <row r="3420" spans="1:22">
      <c r="A3420" t="s">
        <v>196</v>
      </c>
      <c r="B3420">
        <v>59</v>
      </c>
      <c r="C3420" t="s">
        <v>3</v>
      </c>
      <c r="D3420">
        <v>100</v>
      </c>
      <c r="E3420" t="s">
        <v>197</v>
      </c>
      <c r="F3420">
        <v>1005</v>
      </c>
      <c r="G3420" t="s">
        <v>3</v>
      </c>
      <c r="H3420">
        <v>2005</v>
      </c>
      <c r="I3420" t="s">
        <v>3</v>
      </c>
      <c r="J3420">
        <v>3104</v>
      </c>
      <c r="K3420" t="s">
        <v>243</v>
      </c>
      <c r="L3420">
        <v>4122</v>
      </c>
      <c r="M3420" t="s">
        <v>1531</v>
      </c>
      <c r="N3420" t="s">
        <v>1489</v>
      </c>
      <c r="O3420">
        <v>87</v>
      </c>
      <c r="P3420">
        <v>8731</v>
      </c>
      <c r="Q3420" t="s">
        <v>1522</v>
      </c>
      <c r="R3420" t="s">
        <v>201</v>
      </c>
      <c r="S3420">
        <v>1</v>
      </c>
      <c r="T3420">
        <v>1</v>
      </c>
      <c r="U3420">
        <v>99876</v>
      </c>
      <c r="V3420">
        <v>99876</v>
      </c>
    </row>
    <row r="3421" spans="1:22">
      <c r="A3421" t="s">
        <v>196</v>
      </c>
      <c r="B3421">
        <v>59</v>
      </c>
      <c r="C3421" t="s">
        <v>3</v>
      </c>
      <c r="D3421">
        <v>100</v>
      </c>
      <c r="E3421" t="s">
        <v>197</v>
      </c>
      <c r="F3421">
        <v>1005</v>
      </c>
      <c r="G3421" t="s">
        <v>3</v>
      </c>
      <c r="H3421">
        <v>2005</v>
      </c>
      <c r="I3421" t="s">
        <v>3</v>
      </c>
      <c r="J3421">
        <v>3104</v>
      </c>
      <c r="K3421" t="s">
        <v>243</v>
      </c>
      <c r="L3421">
        <v>4122</v>
      </c>
      <c r="M3421" t="s">
        <v>1531</v>
      </c>
      <c r="N3421" t="s">
        <v>1489</v>
      </c>
      <c r="O3421">
        <v>87</v>
      </c>
      <c r="P3421">
        <v>8731</v>
      </c>
      <c r="Q3421" t="s">
        <v>1522</v>
      </c>
      <c r="R3421" t="s">
        <v>201</v>
      </c>
      <c r="S3421">
        <v>2</v>
      </c>
      <c r="T3421">
        <v>1</v>
      </c>
      <c r="U3421">
        <v>62466</v>
      </c>
      <c r="V3421">
        <v>124932</v>
      </c>
    </row>
    <row r="3422" spans="1:22">
      <c r="A3422" t="s">
        <v>196</v>
      </c>
      <c r="B3422">
        <v>59</v>
      </c>
      <c r="C3422" t="s">
        <v>3</v>
      </c>
      <c r="D3422">
        <v>100</v>
      </c>
      <c r="E3422" t="s">
        <v>197</v>
      </c>
      <c r="F3422">
        <v>1005</v>
      </c>
      <c r="G3422" t="s">
        <v>3</v>
      </c>
      <c r="H3422">
        <v>2005</v>
      </c>
      <c r="I3422" t="s">
        <v>3</v>
      </c>
      <c r="J3422">
        <v>3104</v>
      </c>
      <c r="K3422" t="s">
        <v>243</v>
      </c>
      <c r="L3422">
        <v>4122</v>
      </c>
      <c r="M3422" t="s">
        <v>1531</v>
      </c>
      <c r="N3422" t="s">
        <v>1523</v>
      </c>
      <c r="O3422">
        <v>87</v>
      </c>
      <c r="P3422">
        <v>8728</v>
      </c>
      <c r="Q3422" t="s">
        <v>1524</v>
      </c>
      <c r="R3422" t="s">
        <v>201</v>
      </c>
      <c r="S3422">
        <v>4</v>
      </c>
      <c r="T3422">
        <v>1</v>
      </c>
      <c r="U3422">
        <v>104814</v>
      </c>
      <c r="V3422">
        <v>419256</v>
      </c>
    </row>
    <row r="3423" spans="1:22">
      <c r="A3423" t="s">
        <v>196</v>
      </c>
      <c r="B3423">
        <v>59</v>
      </c>
      <c r="C3423" t="s">
        <v>3</v>
      </c>
      <c r="D3423">
        <v>100</v>
      </c>
      <c r="E3423" t="s">
        <v>197</v>
      </c>
      <c r="F3423">
        <v>1005</v>
      </c>
      <c r="G3423" t="s">
        <v>3</v>
      </c>
      <c r="H3423">
        <v>2005</v>
      </c>
      <c r="I3423" t="s">
        <v>3</v>
      </c>
      <c r="J3423">
        <v>3104</v>
      </c>
      <c r="K3423" t="s">
        <v>243</v>
      </c>
      <c r="L3423">
        <v>4122</v>
      </c>
      <c r="M3423" t="s">
        <v>1531</v>
      </c>
      <c r="N3423" t="s">
        <v>1523</v>
      </c>
      <c r="O3423">
        <v>87</v>
      </c>
      <c r="P3423">
        <v>8728</v>
      </c>
      <c r="Q3423" t="s">
        <v>1524</v>
      </c>
      <c r="R3423" t="s">
        <v>201</v>
      </c>
      <c r="S3423">
        <v>11</v>
      </c>
      <c r="T3423">
        <v>1</v>
      </c>
      <c r="U3423">
        <v>101262</v>
      </c>
      <c r="V3423">
        <v>1113882</v>
      </c>
    </row>
    <row r="3424" spans="1:22">
      <c r="A3424" t="s">
        <v>196</v>
      </c>
      <c r="B3424">
        <v>59</v>
      </c>
      <c r="C3424" t="s">
        <v>3</v>
      </c>
      <c r="D3424">
        <v>100</v>
      </c>
      <c r="E3424" t="s">
        <v>197</v>
      </c>
      <c r="F3424">
        <v>1005</v>
      </c>
      <c r="G3424" t="s">
        <v>3</v>
      </c>
      <c r="H3424">
        <v>2005</v>
      </c>
      <c r="I3424" t="s">
        <v>3</v>
      </c>
      <c r="J3424">
        <v>3104</v>
      </c>
      <c r="K3424" t="s">
        <v>243</v>
      </c>
      <c r="L3424">
        <v>4122</v>
      </c>
      <c r="M3424" t="s">
        <v>1531</v>
      </c>
      <c r="N3424" t="s">
        <v>1523</v>
      </c>
      <c r="O3424">
        <v>87</v>
      </c>
      <c r="P3424">
        <v>8728</v>
      </c>
      <c r="Q3424" t="s">
        <v>1524</v>
      </c>
      <c r="R3424" t="s">
        <v>201</v>
      </c>
      <c r="S3424">
        <v>1</v>
      </c>
      <c r="T3424">
        <v>1</v>
      </c>
      <c r="U3424">
        <v>96402</v>
      </c>
      <c r="V3424">
        <v>96402</v>
      </c>
    </row>
    <row r="3425" spans="1:22">
      <c r="A3425" t="s">
        <v>196</v>
      </c>
      <c r="B3425">
        <v>59</v>
      </c>
      <c r="C3425" t="s">
        <v>3</v>
      </c>
      <c r="D3425">
        <v>100</v>
      </c>
      <c r="E3425" t="s">
        <v>197</v>
      </c>
      <c r="F3425">
        <v>1005</v>
      </c>
      <c r="G3425" t="s">
        <v>3</v>
      </c>
      <c r="H3425">
        <v>2005</v>
      </c>
      <c r="I3425" t="s">
        <v>3</v>
      </c>
      <c r="J3425">
        <v>3104</v>
      </c>
      <c r="K3425" t="s">
        <v>243</v>
      </c>
      <c r="L3425">
        <v>4122</v>
      </c>
      <c r="M3425" t="s">
        <v>1531</v>
      </c>
      <c r="N3425" t="s">
        <v>1475</v>
      </c>
      <c r="O3425">
        <v>80</v>
      </c>
      <c r="P3425">
        <v>8726</v>
      </c>
      <c r="Q3425" t="s">
        <v>1476</v>
      </c>
      <c r="R3425" t="s">
        <v>201</v>
      </c>
      <c r="S3425">
        <v>1</v>
      </c>
      <c r="T3425">
        <v>1</v>
      </c>
      <c r="U3425">
        <v>161082</v>
      </c>
      <c r="V3425">
        <v>161082</v>
      </c>
    </row>
    <row r="3426" spans="1:22">
      <c r="A3426" t="s">
        <v>196</v>
      </c>
      <c r="B3426">
        <v>59</v>
      </c>
      <c r="C3426" t="s">
        <v>3</v>
      </c>
      <c r="D3426">
        <v>100</v>
      </c>
      <c r="E3426" t="s">
        <v>197</v>
      </c>
      <c r="F3426">
        <v>1005</v>
      </c>
      <c r="G3426" t="s">
        <v>3</v>
      </c>
      <c r="H3426">
        <v>2005</v>
      </c>
      <c r="I3426" t="s">
        <v>3</v>
      </c>
      <c r="J3426">
        <v>3104</v>
      </c>
      <c r="K3426" t="s">
        <v>243</v>
      </c>
      <c r="L3426">
        <v>4122</v>
      </c>
      <c r="M3426" t="s">
        <v>1531</v>
      </c>
      <c r="N3426" t="s">
        <v>1475</v>
      </c>
      <c r="O3426">
        <v>87</v>
      </c>
      <c r="P3426">
        <v>8701</v>
      </c>
      <c r="Q3426" t="s">
        <v>1526</v>
      </c>
      <c r="R3426" t="s">
        <v>201</v>
      </c>
      <c r="S3426">
        <v>2</v>
      </c>
      <c r="T3426">
        <v>1</v>
      </c>
      <c r="U3426">
        <v>165858</v>
      </c>
      <c r="V3426">
        <v>331716</v>
      </c>
    </row>
    <row r="3427" spans="1:22">
      <c r="A3427" t="s">
        <v>196</v>
      </c>
      <c r="B3427">
        <v>59</v>
      </c>
      <c r="C3427" t="s">
        <v>3</v>
      </c>
      <c r="D3427">
        <v>100</v>
      </c>
      <c r="E3427" t="s">
        <v>197</v>
      </c>
      <c r="F3427">
        <v>1005</v>
      </c>
      <c r="G3427" t="s">
        <v>3</v>
      </c>
      <c r="H3427">
        <v>2005</v>
      </c>
      <c r="I3427" t="s">
        <v>3</v>
      </c>
      <c r="J3427">
        <v>3104</v>
      </c>
      <c r="K3427" t="s">
        <v>243</v>
      </c>
      <c r="L3427">
        <v>4122</v>
      </c>
      <c r="M3427" t="s">
        <v>1531</v>
      </c>
      <c r="N3427" t="s">
        <v>1502</v>
      </c>
      <c r="O3427">
        <v>87</v>
      </c>
      <c r="P3427">
        <v>8660</v>
      </c>
      <c r="Q3427" t="s">
        <v>1533</v>
      </c>
      <c r="R3427" t="s">
        <v>201</v>
      </c>
      <c r="S3427">
        <v>1</v>
      </c>
      <c r="T3427">
        <v>1</v>
      </c>
      <c r="U3427">
        <v>169830</v>
      </c>
      <c r="V3427">
        <v>169830</v>
      </c>
    </row>
    <row r="3428" spans="1:22">
      <c r="A3428" t="s">
        <v>196</v>
      </c>
      <c r="B3428">
        <v>59</v>
      </c>
      <c r="C3428" t="s">
        <v>3</v>
      </c>
      <c r="D3428">
        <v>100</v>
      </c>
      <c r="E3428" t="s">
        <v>197</v>
      </c>
      <c r="F3428">
        <v>1005</v>
      </c>
      <c r="G3428" t="s">
        <v>3</v>
      </c>
      <c r="H3428">
        <v>2005</v>
      </c>
      <c r="I3428" t="s">
        <v>3</v>
      </c>
      <c r="J3428">
        <v>3104</v>
      </c>
      <c r="K3428" t="s">
        <v>243</v>
      </c>
      <c r="L3428">
        <v>4122</v>
      </c>
      <c r="M3428" t="s">
        <v>1531</v>
      </c>
      <c r="N3428" t="s">
        <v>721</v>
      </c>
      <c r="O3428">
        <v>21</v>
      </c>
      <c r="P3428">
        <v>7355</v>
      </c>
      <c r="Q3428" t="s">
        <v>1534</v>
      </c>
      <c r="R3428" t="s">
        <v>712</v>
      </c>
      <c r="S3428">
        <v>4</v>
      </c>
      <c r="T3428">
        <v>1</v>
      </c>
      <c r="U3428">
        <v>10991.89</v>
      </c>
      <c r="V3428">
        <v>527611</v>
      </c>
    </row>
    <row r="3429" spans="1:22">
      <c r="A3429" t="s">
        <v>196</v>
      </c>
      <c r="B3429">
        <v>59</v>
      </c>
      <c r="C3429" t="s">
        <v>3</v>
      </c>
      <c r="D3429">
        <v>100</v>
      </c>
      <c r="E3429" t="s">
        <v>197</v>
      </c>
      <c r="F3429">
        <v>1005</v>
      </c>
      <c r="G3429" t="s">
        <v>3</v>
      </c>
      <c r="H3429">
        <v>2005</v>
      </c>
      <c r="I3429" t="s">
        <v>3</v>
      </c>
      <c r="J3429">
        <v>3104</v>
      </c>
      <c r="K3429" t="s">
        <v>243</v>
      </c>
      <c r="L3429">
        <v>4122</v>
      </c>
      <c r="M3429" t="s">
        <v>1531</v>
      </c>
      <c r="N3429" t="s">
        <v>199</v>
      </c>
      <c r="O3429">
        <v>0</v>
      </c>
      <c r="P3429">
        <v>15</v>
      </c>
      <c r="Q3429" t="s">
        <v>264</v>
      </c>
      <c r="R3429" t="s">
        <v>201</v>
      </c>
      <c r="S3429">
        <v>0</v>
      </c>
      <c r="T3429">
        <v>0</v>
      </c>
      <c r="U3429">
        <v>91396</v>
      </c>
      <c r="V3429">
        <v>91396</v>
      </c>
    </row>
    <row r="3430" spans="1:22">
      <c r="A3430" t="s">
        <v>196</v>
      </c>
      <c r="B3430">
        <v>59</v>
      </c>
      <c r="C3430" t="s">
        <v>3</v>
      </c>
      <c r="D3430">
        <v>100</v>
      </c>
      <c r="E3430" t="s">
        <v>197</v>
      </c>
      <c r="F3430">
        <v>1005</v>
      </c>
      <c r="G3430" t="s">
        <v>3</v>
      </c>
      <c r="H3430">
        <v>2005</v>
      </c>
      <c r="I3430" t="s">
        <v>3</v>
      </c>
      <c r="J3430">
        <v>3104</v>
      </c>
      <c r="K3430" t="s">
        <v>243</v>
      </c>
      <c r="L3430">
        <v>4122</v>
      </c>
      <c r="M3430" t="s">
        <v>1531</v>
      </c>
      <c r="N3430" t="s">
        <v>199</v>
      </c>
      <c r="O3430">
        <v>0</v>
      </c>
      <c r="P3430">
        <v>12</v>
      </c>
      <c r="Q3430" t="s">
        <v>724</v>
      </c>
      <c r="R3430" t="s">
        <v>201</v>
      </c>
      <c r="S3430">
        <v>0</v>
      </c>
      <c r="T3430">
        <v>0</v>
      </c>
      <c r="U3430">
        <v>7914</v>
      </c>
      <c r="V3430">
        <v>7914</v>
      </c>
    </row>
    <row r="3431" spans="1:22">
      <c r="A3431" t="s">
        <v>196</v>
      </c>
      <c r="B3431">
        <v>59</v>
      </c>
      <c r="C3431" t="s">
        <v>3</v>
      </c>
      <c r="D3431">
        <v>100</v>
      </c>
      <c r="E3431" t="s">
        <v>197</v>
      </c>
      <c r="F3431">
        <v>1005</v>
      </c>
      <c r="G3431" t="s">
        <v>3</v>
      </c>
      <c r="H3431">
        <v>2005</v>
      </c>
      <c r="I3431" t="s">
        <v>3</v>
      </c>
      <c r="J3431">
        <v>3104</v>
      </c>
      <c r="K3431" t="s">
        <v>243</v>
      </c>
      <c r="L3431">
        <v>4123</v>
      </c>
      <c r="M3431" t="s">
        <v>1535</v>
      </c>
      <c r="N3431" t="s">
        <v>1511</v>
      </c>
      <c r="O3431">
        <v>87</v>
      </c>
      <c r="P3431">
        <v>8796</v>
      </c>
      <c r="Q3431" t="s">
        <v>1536</v>
      </c>
      <c r="R3431" t="s">
        <v>201</v>
      </c>
      <c r="S3431">
        <v>1</v>
      </c>
      <c r="T3431">
        <v>1</v>
      </c>
      <c r="U3431">
        <v>138378</v>
      </c>
      <c r="V3431">
        <v>138378</v>
      </c>
    </row>
    <row r="3432" spans="1:22">
      <c r="A3432" t="s">
        <v>196</v>
      </c>
      <c r="B3432">
        <v>59</v>
      </c>
      <c r="C3432" t="s">
        <v>3</v>
      </c>
      <c r="D3432">
        <v>100</v>
      </c>
      <c r="E3432" t="s">
        <v>197</v>
      </c>
      <c r="F3432">
        <v>1005</v>
      </c>
      <c r="G3432" t="s">
        <v>3</v>
      </c>
      <c r="H3432">
        <v>2005</v>
      </c>
      <c r="I3432" t="s">
        <v>3</v>
      </c>
      <c r="J3432">
        <v>3104</v>
      </c>
      <c r="K3432" t="s">
        <v>243</v>
      </c>
      <c r="L3432">
        <v>4123</v>
      </c>
      <c r="M3432" t="s">
        <v>1535</v>
      </c>
      <c r="N3432" t="s">
        <v>1513</v>
      </c>
      <c r="O3432">
        <v>87</v>
      </c>
      <c r="P3432">
        <v>8795</v>
      </c>
      <c r="Q3432" t="s">
        <v>1537</v>
      </c>
      <c r="R3432" t="s">
        <v>201</v>
      </c>
      <c r="S3432">
        <v>2</v>
      </c>
      <c r="T3432">
        <v>1</v>
      </c>
      <c r="U3432">
        <v>135144</v>
      </c>
      <c r="V3432">
        <v>270288</v>
      </c>
    </row>
    <row r="3433" spans="1:22">
      <c r="A3433" t="s">
        <v>196</v>
      </c>
      <c r="B3433">
        <v>59</v>
      </c>
      <c r="C3433" t="s">
        <v>3</v>
      </c>
      <c r="D3433">
        <v>100</v>
      </c>
      <c r="E3433" t="s">
        <v>197</v>
      </c>
      <c r="F3433">
        <v>1005</v>
      </c>
      <c r="G3433" t="s">
        <v>3</v>
      </c>
      <c r="H3433">
        <v>2005</v>
      </c>
      <c r="I3433" t="s">
        <v>3</v>
      </c>
      <c r="J3433">
        <v>3104</v>
      </c>
      <c r="K3433" t="s">
        <v>243</v>
      </c>
      <c r="L3433">
        <v>4123</v>
      </c>
      <c r="M3433" t="s">
        <v>1535</v>
      </c>
      <c r="N3433" t="s">
        <v>1513</v>
      </c>
      <c r="O3433">
        <v>87</v>
      </c>
      <c r="P3433">
        <v>8795</v>
      </c>
      <c r="Q3433" t="s">
        <v>1537</v>
      </c>
      <c r="R3433" t="s">
        <v>201</v>
      </c>
      <c r="S3433">
        <v>1</v>
      </c>
      <c r="T3433">
        <v>1</v>
      </c>
      <c r="U3433">
        <v>122976</v>
      </c>
      <c r="V3433">
        <v>122976</v>
      </c>
    </row>
    <row r="3434" spans="1:22">
      <c r="A3434" t="s">
        <v>196</v>
      </c>
      <c r="B3434">
        <v>59</v>
      </c>
      <c r="C3434" t="s">
        <v>3</v>
      </c>
      <c r="D3434">
        <v>100</v>
      </c>
      <c r="E3434" t="s">
        <v>197</v>
      </c>
      <c r="F3434">
        <v>1005</v>
      </c>
      <c r="G3434" t="s">
        <v>3</v>
      </c>
      <c r="H3434">
        <v>2005</v>
      </c>
      <c r="I3434" t="s">
        <v>3</v>
      </c>
      <c r="J3434">
        <v>3104</v>
      </c>
      <c r="K3434" t="s">
        <v>243</v>
      </c>
      <c r="L3434">
        <v>4123</v>
      </c>
      <c r="M3434" t="s">
        <v>1535</v>
      </c>
      <c r="N3434" t="s">
        <v>1487</v>
      </c>
      <c r="O3434">
        <v>87</v>
      </c>
      <c r="P3434">
        <v>8794</v>
      </c>
      <c r="Q3434" t="s">
        <v>1538</v>
      </c>
      <c r="R3434" t="s">
        <v>201</v>
      </c>
      <c r="S3434">
        <v>8</v>
      </c>
      <c r="T3434">
        <v>1</v>
      </c>
      <c r="U3434">
        <v>114570</v>
      </c>
      <c r="V3434">
        <v>916560</v>
      </c>
    </row>
    <row r="3435" spans="1:22">
      <c r="A3435" t="s">
        <v>196</v>
      </c>
      <c r="B3435">
        <v>59</v>
      </c>
      <c r="C3435" t="s">
        <v>3</v>
      </c>
      <c r="D3435">
        <v>100</v>
      </c>
      <c r="E3435" t="s">
        <v>197</v>
      </c>
      <c r="F3435">
        <v>1005</v>
      </c>
      <c r="G3435" t="s">
        <v>3</v>
      </c>
      <c r="H3435">
        <v>2005</v>
      </c>
      <c r="I3435" t="s">
        <v>3</v>
      </c>
      <c r="J3435">
        <v>3104</v>
      </c>
      <c r="K3435" t="s">
        <v>243</v>
      </c>
      <c r="L3435">
        <v>4123</v>
      </c>
      <c r="M3435" t="s">
        <v>1535</v>
      </c>
      <c r="N3435" t="s">
        <v>1487</v>
      </c>
      <c r="O3435">
        <v>87</v>
      </c>
      <c r="P3435">
        <v>8794</v>
      </c>
      <c r="Q3435" t="s">
        <v>1538</v>
      </c>
      <c r="R3435" t="s">
        <v>201</v>
      </c>
      <c r="S3435">
        <v>2</v>
      </c>
      <c r="T3435">
        <v>1</v>
      </c>
      <c r="U3435">
        <v>102372</v>
      </c>
      <c r="V3435">
        <v>204744</v>
      </c>
    </row>
    <row r="3436" spans="1:22">
      <c r="A3436" t="s">
        <v>196</v>
      </c>
      <c r="B3436">
        <v>59</v>
      </c>
      <c r="C3436" t="s">
        <v>3</v>
      </c>
      <c r="D3436">
        <v>100</v>
      </c>
      <c r="E3436" t="s">
        <v>197</v>
      </c>
      <c r="F3436">
        <v>1005</v>
      </c>
      <c r="G3436" t="s">
        <v>3</v>
      </c>
      <c r="H3436">
        <v>2005</v>
      </c>
      <c r="I3436" t="s">
        <v>3</v>
      </c>
      <c r="J3436">
        <v>3104</v>
      </c>
      <c r="K3436" t="s">
        <v>243</v>
      </c>
      <c r="L3436">
        <v>4123</v>
      </c>
      <c r="M3436" t="s">
        <v>1535</v>
      </c>
      <c r="N3436" t="s">
        <v>1487</v>
      </c>
      <c r="O3436">
        <v>87</v>
      </c>
      <c r="P3436">
        <v>8794</v>
      </c>
      <c r="Q3436" t="s">
        <v>1538</v>
      </c>
      <c r="R3436" t="s">
        <v>201</v>
      </c>
      <c r="S3436">
        <v>8</v>
      </c>
      <c r="T3436">
        <v>1</v>
      </c>
      <c r="U3436">
        <v>98904</v>
      </c>
      <c r="V3436">
        <v>791232</v>
      </c>
    </row>
    <row r="3437" spans="1:22">
      <c r="A3437" t="s">
        <v>196</v>
      </c>
      <c r="B3437">
        <v>59</v>
      </c>
      <c r="C3437" t="s">
        <v>3</v>
      </c>
      <c r="D3437">
        <v>100</v>
      </c>
      <c r="E3437" t="s">
        <v>197</v>
      </c>
      <c r="F3437">
        <v>1005</v>
      </c>
      <c r="G3437" t="s">
        <v>3</v>
      </c>
      <c r="H3437">
        <v>2005</v>
      </c>
      <c r="I3437" t="s">
        <v>3</v>
      </c>
      <c r="J3437">
        <v>3104</v>
      </c>
      <c r="K3437" t="s">
        <v>243</v>
      </c>
      <c r="L3437">
        <v>4123</v>
      </c>
      <c r="M3437" t="s">
        <v>1535</v>
      </c>
      <c r="N3437" t="s">
        <v>1487</v>
      </c>
      <c r="O3437">
        <v>87</v>
      </c>
      <c r="P3437">
        <v>8794</v>
      </c>
      <c r="Q3437" t="s">
        <v>1538</v>
      </c>
      <c r="R3437" t="s">
        <v>201</v>
      </c>
      <c r="S3437">
        <v>4</v>
      </c>
      <c r="T3437">
        <v>1</v>
      </c>
      <c r="U3437">
        <v>66264</v>
      </c>
      <c r="V3437">
        <v>265056</v>
      </c>
    </row>
    <row r="3438" spans="1:22">
      <c r="A3438" t="s">
        <v>196</v>
      </c>
      <c r="B3438">
        <v>59</v>
      </c>
      <c r="C3438" t="s">
        <v>3</v>
      </c>
      <c r="D3438">
        <v>100</v>
      </c>
      <c r="E3438" t="s">
        <v>197</v>
      </c>
      <c r="F3438">
        <v>1005</v>
      </c>
      <c r="G3438" t="s">
        <v>3</v>
      </c>
      <c r="H3438">
        <v>2005</v>
      </c>
      <c r="I3438" t="s">
        <v>3</v>
      </c>
      <c r="J3438">
        <v>3104</v>
      </c>
      <c r="K3438" t="s">
        <v>243</v>
      </c>
      <c r="L3438">
        <v>4123</v>
      </c>
      <c r="M3438" t="s">
        <v>1535</v>
      </c>
      <c r="N3438" t="s">
        <v>1489</v>
      </c>
      <c r="O3438">
        <v>87</v>
      </c>
      <c r="P3438">
        <v>8793</v>
      </c>
      <c r="Q3438" t="s">
        <v>1539</v>
      </c>
      <c r="R3438" t="s">
        <v>201</v>
      </c>
      <c r="S3438">
        <v>1</v>
      </c>
      <c r="T3438">
        <v>1</v>
      </c>
      <c r="U3438">
        <v>108036</v>
      </c>
      <c r="V3438">
        <v>108036</v>
      </c>
    </row>
    <row r="3439" spans="1:22">
      <c r="A3439" t="s">
        <v>196</v>
      </c>
      <c r="B3439">
        <v>59</v>
      </c>
      <c r="C3439" t="s">
        <v>3</v>
      </c>
      <c r="D3439">
        <v>100</v>
      </c>
      <c r="E3439" t="s">
        <v>197</v>
      </c>
      <c r="F3439">
        <v>1005</v>
      </c>
      <c r="G3439" t="s">
        <v>3</v>
      </c>
      <c r="H3439">
        <v>2005</v>
      </c>
      <c r="I3439" t="s">
        <v>3</v>
      </c>
      <c r="J3439">
        <v>3104</v>
      </c>
      <c r="K3439" t="s">
        <v>243</v>
      </c>
      <c r="L3439">
        <v>4123</v>
      </c>
      <c r="M3439" t="s">
        <v>1535</v>
      </c>
      <c r="N3439" t="s">
        <v>1489</v>
      </c>
      <c r="O3439">
        <v>87</v>
      </c>
      <c r="P3439">
        <v>8793</v>
      </c>
      <c r="Q3439" t="s">
        <v>1539</v>
      </c>
      <c r="R3439" t="s">
        <v>201</v>
      </c>
      <c r="S3439">
        <v>4</v>
      </c>
      <c r="T3439">
        <v>1</v>
      </c>
      <c r="U3439">
        <v>62466</v>
      </c>
      <c r="V3439">
        <v>249864</v>
      </c>
    </row>
    <row r="3440" spans="1:22">
      <c r="A3440" t="s">
        <v>196</v>
      </c>
      <c r="B3440">
        <v>59</v>
      </c>
      <c r="C3440" t="s">
        <v>3</v>
      </c>
      <c r="D3440">
        <v>100</v>
      </c>
      <c r="E3440" t="s">
        <v>197</v>
      </c>
      <c r="F3440">
        <v>1005</v>
      </c>
      <c r="G3440" t="s">
        <v>3</v>
      </c>
      <c r="H3440">
        <v>2005</v>
      </c>
      <c r="I3440" t="s">
        <v>3</v>
      </c>
      <c r="J3440">
        <v>3104</v>
      </c>
      <c r="K3440" t="s">
        <v>243</v>
      </c>
      <c r="L3440">
        <v>4123</v>
      </c>
      <c r="M3440" t="s">
        <v>1535</v>
      </c>
      <c r="N3440" t="s">
        <v>216</v>
      </c>
      <c r="O3440">
        <v>80</v>
      </c>
      <c r="P3440">
        <v>8790</v>
      </c>
      <c r="Q3440" t="s">
        <v>1540</v>
      </c>
      <c r="R3440" t="s">
        <v>201</v>
      </c>
      <c r="S3440">
        <v>1</v>
      </c>
      <c r="T3440">
        <v>1</v>
      </c>
      <c r="U3440">
        <v>193656</v>
      </c>
      <c r="V3440">
        <v>193656</v>
      </c>
    </row>
    <row r="3441" spans="1:22">
      <c r="A3441" t="s">
        <v>196</v>
      </c>
      <c r="B3441">
        <v>59</v>
      </c>
      <c r="C3441" t="s">
        <v>3</v>
      </c>
      <c r="D3441">
        <v>100</v>
      </c>
      <c r="E3441" t="s">
        <v>197</v>
      </c>
      <c r="F3441">
        <v>1005</v>
      </c>
      <c r="G3441" t="s">
        <v>3</v>
      </c>
      <c r="H3441">
        <v>2005</v>
      </c>
      <c r="I3441" t="s">
        <v>3</v>
      </c>
      <c r="J3441">
        <v>3104</v>
      </c>
      <c r="K3441" t="s">
        <v>243</v>
      </c>
      <c r="L3441">
        <v>4123</v>
      </c>
      <c r="M3441" t="s">
        <v>1535</v>
      </c>
      <c r="N3441" t="s">
        <v>1475</v>
      </c>
      <c r="O3441">
        <v>87</v>
      </c>
      <c r="P3441">
        <v>8787</v>
      </c>
      <c r="Q3441" t="s">
        <v>1541</v>
      </c>
      <c r="R3441" t="s">
        <v>201</v>
      </c>
      <c r="S3441">
        <v>1</v>
      </c>
      <c r="T3441">
        <v>1</v>
      </c>
      <c r="U3441">
        <v>165858</v>
      </c>
      <c r="V3441">
        <v>165858</v>
      </c>
    </row>
    <row r="3442" spans="1:22">
      <c r="A3442" t="s">
        <v>196</v>
      </c>
      <c r="B3442">
        <v>59</v>
      </c>
      <c r="C3442" t="s">
        <v>3</v>
      </c>
      <c r="D3442">
        <v>100</v>
      </c>
      <c r="E3442" t="s">
        <v>197</v>
      </c>
      <c r="F3442">
        <v>1005</v>
      </c>
      <c r="G3442" t="s">
        <v>3</v>
      </c>
      <c r="H3442">
        <v>2005</v>
      </c>
      <c r="I3442" t="s">
        <v>3</v>
      </c>
      <c r="J3442">
        <v>3104</v>
      </c>
      <c r="K3442" t="s">
        <v>243</v>
      </c>
      <c r="L3442">
        <v>4123</v>
      </c>
      <c r="M3442" t="s">
        <v>1535</v>
      </c>
      <c r="N3442" t="s">
        <v>199</v>
      </c>
      <c r="O3442">
        <v>0</v>
      </c>
      <c r="P3442">
        <v>15</v>
      </c>
      <c r="Q3442" t="s">
        <v>264</v>
      </c>
      <c r="R3442" t="s">
        <v>201</v>
      </c>
      <c r="S3442">
        <v>0</v>
      </c>
      <c r="T3442">
        <v>0</v>
      </c>
      <c r="U3442">
        <v>2457</v>
      </c>
      <c r="V3442">
        <v>2457</v>
      </c>
    </row>
    <row r="3443" spans="1:22">
      <c r="A3443" t="s">
        <v>196</v>
      </c>
      <c r="B3443">
        <v>59</v>
      </c>
      <c r="C3443" t="s">
        <v>3</v>
      </c>
      <c r="D3443">
        <v>100</v>
      </c>
      <c r="E3443" t="s">
        <v>197</v>
      </c>
      <c r="F3443">
        <v>1005</v>
      </c>
      <c r="G3443" t="s">
        <v>3</v>
      </c>
      <c r="H3443">
        <v>2005</v>
      </c>
      <c r="I3443" t="s">
        <v>3</v>
      </c>
      <c r="J3443">
        <v>3106</v>
      </c>
      <c r="K3443" t="s">
        <v>783</v>
      </c>
      <c r="L3443">
        <v>4121</v>
      </c>
      <c r="M3443" t="s">
        <v>886</v>
      </c>
      <c r="N3443" t="s">
        <v>320</v>
      </c>
      <c r="O3443">
        <v>10</v>
      </c>
      <c r="P3443">
        <v>1388</v>
      </c>
      <c r="Q3443" t="s">
        <v>1542</v>
      </c>
      <c r="R3443" t="s">
        <v>201</v>
      </c>
      <c r="S3443">
        <v>1</v>
      </c>
      <c r="T3443">
        <v>1</v>
      </c>
      <c r="U3443">
        <v>86088</v>
      </c>
      <c r="V3443">
        <v>86088</v>
      </c>
    </row>
    <row r="3444" spans="1:22">
      <c r="A3444" t="s">
        <v>196</v>
      </c>
      <c r="B3444">
        <v>59</v>
      </c>
      <c r="C3444" t="s">
        <v>3</v>
      </c>
      <c r="D3444">
        <v>100</v>
      </c>
      <c r="E3444" t="s">
        <v>197</v>
      </c>
      <c r="F3444">
        <v>1005</v>
      </c>
      <c r="G3444" t="s">
        <v>3</v>
      </c>
      <c r="H3444">
        <v>2005</v>
      </c>
      <c r="I3444" t="s">
        <v>3</v>
      </c>
      <c r="J3444">
        <v>3106</v>
      </c>
      <c r="K3444" t="s">
        <v>783</v>
      </c>
      <c r="L3444">
        <v>4121</v>
      </c>
      <c r="M3444" t="s">
        <v>886</v>
      </c>
      <c r="N3444" t="s">
        <v>253</v>
      </c>
      <c r="O3444">
        <v>20</v>
      </c>
      <c r="P3444">
        <v>1331</v>
      </c>
      <c r="Q3444" t="s">
        <v>653</v>
      </c>
      <c r="R3444" t="s">
        <v>201</v>
      </c>
      <c r="S3444">
        <v>1</v>
      </c>
      <c r="T3444">
        <v>1</v>
      </c>
      <c r="U3444">
        <v>124584</v>
      </c>
      <c r="V3444">
        <v>124584</v>
      </c>
    </row>
    <row r="3445" spans="1:22">
      <c r="A3445" t="s">
        <v>196</v>
      </c>
      <c r="B3445">
        <v>59</v>
      </c>
      <c r="C3445" t="s">
        <v>3</v>
      </c>
      <c r="D3445">
        <v>100</v>
      </c>
      <c r="E3445" t="s">
        <v>197</v>
      </c>
      <c r="F3445">
        <v>1005</v>
      </c>
      <c r="G3445" t="s">
        <v>3</v>
      </c>
      <c r="H3445">
        <v>2005</v>
      </c>
      <c r="I3445" t="s">
        <v>3</v>
      </c>
      <c r="J3445">
        <v>3106</v>
      </c>
      <c r="K3445" t="s">
        <v>783</v>
      </c>
      <c r="L3445">
        <v>4121</v>
      </c>
      <c r="M3445" t="s">
        <v>886</v>
      </c>
      <c r="N3445" t="s">
        <v>351</v>
      </c>
      <c r="O3445">
        <v>1</v>
      </c>
      <c r="P3445" t="s">
        <v>352</v>
      </c>
      <c r="Q3445" t="s">
        <v>353</v>
      </c>
      <c r="R3445" t="s">
        <v>201</v>
      </c>
      <c r="S3445">
        <v>1</v>
      </c>
      <c r="T3445">
        <v>1</v>
      </c>
      <c r="U3445">
        <v>77640</v>
      </c>
      <c r="V3445">
        <v>77640</v>
      </c>
    </row>
    <row r="3446" spans="1:22">
      <c r="A3446" t="s">
        <v>196</v>
      </c>
      <c r="B3446">
        <v>59</v>
      </c>
      <c r="C3446" t="s">
        <v>3</v>
      </c>
      <c r="D3446">
        <v>100</v>
      </c>
      <c r="E3446" t="s">
        <v>197</v>
      </c>
      <c r="F3446">
        <v>1005</v>
      </c>
      <c r="G3446" t="s">
        <v>3</v>
      </c>
      <c r="H3446">
        <v>2005</v>
      </c>
      <c r="I3446" t="s">
        <v>3</v>
      </c>
      <c r="J3446">
        <v>3106</v>
      </c>
      <c r="K3446" t="s">
        <v>783</v>
      </c>
      <c r="L3446">
        <v>4121</v>
      </c>
      <c r="M3446" t="s">
        <v>886</v>
      </c>
      <c r="N3446" t="s">
        <v>1314</v>
      </c>
      <c r="O3446">
        <v>0</v>
      </c>
      <c r="P3446" t="s">
        <v>1471</v>
      </c>
      <c r="Q3446" t="s">
        <v>605</v>
      </c>
      <c r="R3446" t="s">
        <v>201</v>
      </c>
      <c r="S3446">
        <v>1</v>
      </c>
      <c r="T3446">
        <v>1</v>
      </c>
      <c r="U3446">
        <v>160680</v>
      </c>
      <c r="V3446">
        <v>160680</v>
      </c>
    </row>
    <row r="3447" spans="1:22">
      <c r="A3447" t="s">
        <v>196</v>
      </c>
      <c r="B3447">
        <v>59</v>
      </c>
      <c r="C3447" t="s">
        <v>3</v>
      </c>
      <c r="D3447">
        <v>100</v>
      </c>
      <c r="E3447" t="s">
        <v>197</v>
      </c>
      <c r="F3447">
        <v>1005</v>
      </c>
      <c r="G3447" t="s">
        <v>3</v>
      </c>
      <c r="H3447">
        <v>2005</v>
      </c>
      <c r="I3447" t="s">
        <v>3</v>
      </c>
      <c r="J3447">
        <v>3106</v>
      </c>
      <c r="K3447" t="s">
        <v>783</v>
      </c>
      <c r="L3447">
        <v>4121</v>
      </c>
      <c r="M3447" t="s">
        <v>886</v>
      </c>
      <c r="N3447" t="s">
        <v>199</v>
      </c>
      <c r="O3447">
        <v>0</v>
      </c>
      <c r="P3447">
        <v>15</v>
      </c>
      <c r="Q3447" t="s">
        <v>264</v>
      </c>
      <c r="R3447" t="s">
        <v>201</v>
      </c>
      <c r="S3447">
        <v>0</v>
      </c>
      <c r="T3447">
        <v>0</v>
      </c>
      <c r="U3447">
        <v>4095</v>
      </c>
      <c r="V3447">
        <v>4095</v>
      </c>
    </row>
    <row r="3448" spans="1:22">
      <c r="A3448" t="s">
        <v>196</v>
      </c>
      <c r="B3448">
        <v>59</v>
      </c>
      <c r="C3448" t="s">
        <v>3</v>
      </c>
      <c r="D3448">
        <v>100</v>
      </c>
      <c r="E3448" t="s">
        <v>197</v>
      </c>
      <c r="F3448">
        <v>1005</v>
      </c>
      <c r="G3448" t="s">
        <v>3</v>
      </c>
      <c r="H3448">
        <v>2005</v>
      </c>
      <c r="I3448" t="s">
        <v>3</v>
      </c>
      <c r="J3448">
        <v>3106</v>
      </c>
      <c r="K3448" t="s">
        <v>783</v>
      </c>
      <c r="L3448">
        <v>4124</v>
      </c>
      <c r="M3448" t="s">
        <v>309</v>
      </c>
      <c r="N3448" t="s">
        <v>199</v>
      </c>
      <c r="O3448">
        <v>89</v>
      </c>
      <c r="P3448">
        <v>9702</v>
      </c>
      <c r="Q3448" t="s">
        <v>1500</v>
      </c>
      <c r="R3448" t="s">
        <v>201</v>
      </c>
      <c r="S3448">
        <v>1</v>
      </c>
      <c r="T3448">
        <v>1</v>
      </c>
      <c r="U3448">
        <v>221796</v>
      </c>
      <c r="V3448">
        <v>221796</v>
      </c>
    </row>
    <row r="3449" spans="1:22">
      <c r="A3449" t="s">
        <v>196</v>
      </c>
      <c r="B3449">
        <v>59</v>
      </c>
      <c r="C3449" t="s">
        <v>3</v>
      </c>
      <c r="D3449">
        <v>100</v>
      </c>
      <c r="E3449" t="s">
        <v>197</v>
      </c>
      <c r="F3449">
        <v>1005</v>
      </c>
      <c r="G3449" t="s">
        <v>3</v>
      </c>
      <c r="H3449">
        <v>2005</v>
      </c>
      <c r="I3449" t="s">
        <v>3</v>
      </c>
      <c r="J3449">
        <v>3106</v>
      </c>
      <c r="K3449" t="s">
        <v>783</v>
      </c>
      <c r="L3449">
        <v>4124</v>
      </c>
      <c r="M3449" t="s">
        <v>309</v>
      </c>
      <c r="N3449" t="s">
        <v>216</v>
      </c>
      <c r="O3449">
        <v>80</v>
      </c>
      <c r="P3449">
        <v>8734</v>
      </c>
      <c r="Q3449" t="s">
        <v>1530</v>
      </c>
      <c r="R3449" t="s">
        <v>201</v>
      </c>
      <c r="S3449">
        <v>1</v>
      </c>
      <c r="T3449">
        <v>1</v>
      </c>
      <c r="U3449">
        <v>191724</v>
      </c>
      <c r="V3449">
        <v>191724</v>
      </c>
    </row>
    <row r="3450" spans="1:22">
      <c r="A3450" t="s">
        <v>196</v>
      </c>
      <c r="B3450">
        <v>59</v>
      </c>
      <c r="C3450" t="s">
        <v>3</v>
      </c>
      <c r="D3450">
        <v>100</v>
      </c>
      <c r="E3450" t="s">
        <v>197</v>
      </c>
      <c r="F3450">
        <v>1005</v>
      </c>
      <c r="G3450" t="s">
        <v>3</v>
      </c>
      <c r="H3450">
        <v>2005</v>
      </c>
      <c r="I3450" t="s">
        <v>3</v>
      </c>
      <c r="J3450">
        <v>3106</v>
      </c>
      <c r="K3450" t="s">
        <v>783</v>
      </c>
      <c r="L3450">
        <v>4124</v>
      </c>
      <c r="M3450" t="s">
        <v>309</v>
      </c>
      <c r="N3450" t="s">
        <v>249</v>
      </c>
      <c r="O3450">
        <v>10</v>
      </c>
      <c r="P3450">
        <v>310</v>
      </c>
      <c r="Q3450" t="s">
        <v>447</v>
      </c>
      <c r="R3450" t="s">
        <v>201</v>
      </c>
      <c r="S3450">
        <v>1</v>
      </c>
      <c r="T3450">
        <v>1</v>
      </c>
      <c r="U3450">
        <v>107340</v>
      </c>
      <c r="V3450">
        <v>107340</v>
      </c>
    </row>
    <row r="3451" spans="1:22">
      <c r="A3451" t="s">
        <v>196</v>
      </c>
      <c r="B3451">
        <v>59</v>
      </c>
      <c r="C3451" t="s">
        <v>3</v>
      </c>
      <c r="D3451">
        <v>100</v>
      </c>
      <c r="E3451" t="s">
        <v>197</v>
      </c>
      <c r="F3451">
        <v>1005</v>
      </c>
      <c r="G3451" t="s">
        <v>3</v>
      </c>
      <c r="H3451">
        <v>2005</v>
      </c>
      <c r="I3451" t="s">
        <v>3</v>
      </c>
      <c r="J3451">
        <v>3106</v>
      </c>
      <c r="K3451" t="s">
        <v>783</v>
      </c>
      <c r="L3451">
        <v>4124</v>
      </c>
      <c r="M3451" t="s">
        <v>309</v>
      </c>
      <c r="N3451" t="s">
        <v>341</v>
      </c>
      <c r="O3451">
        <v>1</v>
      </c>
      <c r="P3451">
        <v>308</v>
      </c>
      <c r="Q3451" t="s">
        <v>355</v>
      </c>
      <c r="R3451" t="s">
        <v>201</v>
      </c>
      <c r="S3451">
        <v>1</v>
      </c>
      <c r="T3451">
        <v>1</v>
      </c>
      <c r="U3451">
        <v>119100</v>
      </c>
      <c r="V3451">
        <v>119100</v>
      </c>
    </row>
    <row r="3452" spans="1:22">
      <c r="A3452" t="s">
        <v>196</v>
      </c>
      <c r="B3452">
        <v>59</v>
      </c>
      <c r="C3452" t="s">
        <v>3</v>
      </c>
      <c r="D3452">
        <v>100</v>
      </c>
      <c r="E3452" t="s">
        <v>197</v>
      </c>
      <c r="F3452">
        <v>1005</v>
      </c>
      <c r="G3452" t="s">
        <v>3</v>
      </c>
      <c r="H3452">
        <v>2005</v>
      </c>
      <c r="I3452" t="s">
        <v>3</v>
      </c>
      <c r="J3452">
        <v>3106</v>
      </c>
      <c r="K3452" t="s">
        <v>783</v>
      </c>
      <c r="L3452">
        <v>4124</v>
      </c>
      <c r="M3452" t="s">
        <v>309</v>
      </c>
      <c r="N3452" t="s">
        <v>199</v>
      </c>
      <c r="O3452">
        <v>0</v>
      </c>
      <c r="P3452">
        <v>15</v>
      </c>
      <c r="Q3452" t="s">
        <v>264</v>
      </c>
      <c r="R3452" t="s">
        <v>201</v>
      </c>
      <c r="S3452">
        <v>0</v>
      </c>
      <c r="T3452">
        <v>0</v>
      </c>
      <c r="U3452">
        <v>3114</v>
      </c>
      <c r="V3452">
        <v>3114</v>
      </c>
    </row>
    <row r="3453" spans="1:22">
      <c r="A3453" t="s">
        <v>196</v>
      </c>
      <c r="B3453">
        <v>59</v>
      </c>
      <c r="C3453" t="s">
        <v>3</v>
      </c>
      <c r="D3453">
        <v>100</v>
      </c>
      <c r="E3453" t="s">
        <v>197</v>
      </c>
      <c r="F3453">
        <v>1005</v>
      </c>
      <c r="G3453" t="s">
        <v>3</v>
      </c>
      <c r="H3453">
        <v>2005</v>
      </c>
      <c r="I3453" t="s">
        <v>3</v>
      </c>
      <c r="J3453">
        <v>3106</v>
      </c>
      <c r="K3453" t="s">
        <v>783</v>
      </c>
      <c r="L3453">
        <v>4128</v>
      </c>
      <c r="M3453" t="s">
        <v>932</v>
      </c>
      <c r="N3453" t="s">
        <v>1509</v>
      </c>
      <c r="O3453">
        <v>87</v>
      </c>
      <c r="P3453">
        <v>8813</v>
      </c>
      <c r="Q3453" t="s">
        <v>1532</v>
      </c>
      <c r="R3453" t="s">
        <v>201</v>
      </c>
      <c r="S3453">
        <v>2</v>
      </c>
      <c r="T3453">
        <v>1</v>
      </c>
      <c r="U3453">
        <v>151764</v>
      </c>
      <c r="V3453">
        <v>303528</v>
      </c>
    </row>
    <row r="3454" spans="1:22">
      <c r="A3454" t="s">
        <v>196</v>
      </c>
      <c r="B3454">
        <v>59</v>
      </c>
      <c r="C3454" t="s">
        <v>3</v>
      </c>
      <c r="D3454">
        <v>100</v>
      </c>
      <c r="E3454" t="s">
        <v>197</v>
      </c>
      <c r="F3454">
        <v>1005</v>
      </c>
      <c r="G3454" t="s">
        <v>3</v>
      </c>
      <c r="H3454">
        <v>2005</v>
      </c>
      <c r="I3454" t="s">
        <v>3</v>
      </c>
      <c r="J3454">
        <v>3106</v>
      </c>
      <c r="K3454" t="s">
        <v>783</v>
      </c>
      <c r="L3454">
        <v>4128</v>
      </c>
      <c r="M3454" t="s">
        <v>932</v>
      </c>
      <c r="N3454" t="s">
        <v>1509</v>
      </c>
      <c r="O3454">
        <v>87</v>
      </c>
      <c r="P3454">
        <v>8813</v>
      </c>
      <c r="Q3454" t="s">
        <v>1532</v>
      </c>
      <c r="R3454" t="s">
        <v>201</v>
      </c>
      <c r="S3454">
        <v>1</v>
      </c>
      <c r="T3454">
        <v>1</v>
      </c>
      <c r="U3454">
        <v>147258</v>
      </c>
      <c r="V3454">
        <v>147258</v>
      </c>
    </row>
    <row r="3455" spans="1:22">
      <c r="A3455" t="s">
        <v>196</v>
      </c>
      <c r="B3455">
        <v>59</v>
      </c>
      <c r="C3455" t="s">
        <v>3</v>
      </c>
      <c r="D3455">
        <v>100</v>
      </c>
      <c r="E3455" t="s">
        <v>197</v>
      </c>
      <c r="F3455">
        <v>1005</v>
      </c>
      <c r="G3455" t="s">
        <v>3</v>
      </c>
      <c r="H3455">
        <v>2005</v>
      </c>
      <c r="I3455" t="s">
        <v>3</v>
      </c>
      <c r="J3455">
        <v>3106</v>
      </c>
      <c r="K3455" t="s">
        <v>783</v>
      </c>
      <c r="L3455">
        <v>4128</v>
      </c>
      <c r="M3455" t="s">
        <v>932</v>
      </c>
      <c r="N3455" t="s">
        <v>1509</v>
      </c>
      <c r="O3455">
        <v>87</v>
      </c>
      <c r="P3455">
        <v>8813</v>
      </c>
      <c r="Q3455" t="s">
        <v>1532</v>
      </c>
      <c r="R3455" t="s">
        <v>201</v>
      </c>
      <c r="S3455">
        <v>1</v>
      </c>
      <c r="T3455">
        <v>1</v>
      </c>
      <c r="U3455">
        <v>142926</v>
      </c>
      <c r="V3455">
        <v>142926</v>
      </c>
    </row>
    <row r="3456" spans="1:22">
      <c r="A3456" t="s">
        <v>196</v>
      </c>
      <c r="B3456">
        <v>59</v>
      </c>
      <c r="C3456" t="s">
        <v>3</v>
      </c>
      <c r="D3456">
        <v>100</v>
      </c>
      <c r="E3456" t="s">
        <v>197</v>
      </c>
      <c r="F3456">
        <v>1005</v>
      </c>
      <c r="G3456" t="s">
        <v>3</v>
      </c>
      <c r="H3456">
        <v>2005</v>
      </c>
      <c r="I3456" t="s">
        <v>3</v>
      </c>
      <c r="J3456">
        <v>3106</v>
      </c>
      <c r="K3456" t="s">
        <v>783</v>
      </c>
      <c r="L3456">
        <v>4128</v>
      </c>
      <c r="M3456" t="s">
        <v>932</v>
      </c>
      <c r="N3456" t="s">
        <v>216</v>
      </c>
      <c r="O3456">
        <v>89</v>
      </c>
      <c r="P3456">
        <v>8763</v>
      </c>
      <c r="Q3456" t="s">
        <v>1469</v>
      </c>
      <c r="R3456" t="s">
        <v>201</v>
      </c>
      <c r="S3456">
        <v>1</v>
      </c>
      <c r="T3456">
        <v>1</v>
      </c>
      <c r="U3456">
        <v>205560</v>
      </c>
      <c r="V3456">
        <v>205560</v>
      </c>
    </row>
    <row r="3457" spans="1:22">
      <c r="A3457" t="s">
        <v>196</v>
      </c>
      <c r="B3457">
        <v>59</v>
      </c>
      <c r="C3457" t="s">
        <v>3</v>
      </c>
      <c r="D3457">
        <v>100</v>
      </c>
      <c r="E3457" t="s">
        <v>197</v>
      </c>
      <c r="F3457">
        <v>1005</v>
      </c>
      <c r="G3457" t="s">
        <v>3</v>
      </c>
      <c r="H3457">
        <v>2005</v>
      </c>
      <c r="I3457" t="s">
        <v>3</v>
      </c>
      <c r="J3457">
        <v>3106</v>
      </c>
      <c r="K3457" t="s">
        <v>783</v>
      </c>
      <c r="L3457">
        <v>4128</v>
      </c>
      <c r="M3457" t="s">
        <v>932</v>
      </c>
      <c r="N3457" t="s">
        <v>216</v>
      </c>
      <c r="O3457">
        <v>80</v>
      </c>
      <c r="P3457">
        <v>8734</v>
      </c>
      <c r="Q3457" t="s">
        <v>1530</v>
      </c>
      <c r="R3457" t="s">
        <v>201</v>
      </c>
      <c r="S3457">
        <v>1</v>
      </c>
      <c r="T3457">
        <v>1</v>
      </c>
      <c r="U3457">
        <v>191724</v>
      </c>
      <c r="V3457">
        <v>191724</v>
      </c>
    </row>
    <row r="3458" spans="1:22">
      <c r="A3458" t="s">
        <v>196</v>
      </c>
      <c r="B3458">
        <v>59</v>
      </c>
      <c r="C3458" t="s">
        <v>3</v>
      </c>
      <c r="D3458">
        <v>100</v>
      </c>
      <c r="E3458" t="s">
        <v>197</v>
      </c>
      <c r="F3458">
        <v>1005</v>
      </c>
      <c r="G3458" t="s">
        <v>3</v>
      </c>
      <c r="H3458">
        <v>2005</v>
      </c>
      <c r="I3458" t="s">
        <v>3</v>
      </c>
      <c r="J3458">
        <v>3106</v>
      </c>
      <c r="K3458" t="s">
        <v>783</v>
      </c>
      <c r="L3458">
        <v>4128</v>
      </c>
      <c r="M3458" t="s">
        <v>932</v>
      </c>
      <c r="N3458" t="s">
        <v>199</v>
      </c>
      <c r="O3458">
        <v>0</v>
      </c>
      <c r="P3458">
        <v>15</v>
      </c>
      <c r="Q3458" t="s">
        <v>264</v>
      </c>
      <c r="R3458" t="s">
        <v>201</v>
      </c>
      <c r="S3458">
        <v>0</v>
      </c>
      <c r="T3458">
        <v>0</v>
      </c>
      <c r="U3458">
        <v>3755</v>
      </c>
      <c r="V3458">
        <v>3755</v>
      </c>
    </row>
    <row r="3459" spans="1:22">
      <c r="A3459" t="s">
        <v>196</v>
      </c>
      <c r="B3459">
        <v>59</v>
      </c>
      <c r="C3459" t="s">
        <v>3</v>
      </c>
      <c r="D3459">
        <v>100</v>
      </c>
      <c r="E3459" t="s">
        <v>197</v>
      </c>
      <c r="F3459">
        <v>1005</v>
      </c>
      <c r="G3459" t="s">
        <v>3</v>
      </c>
      <c r="H3459">
        <v>2005</v>
      </c>
      <c r="I3459" t="s">
        <v>3</v>
      </c>
      <c r="J3459">
        <v>3106</v>
      </c>
      <c r="K3459" t="s">
        <v>783</v>
      </c>
      <c r="L3459">
        <v>4131</v>
      </c>
      <c r="M3459" t="s">
        <v>1543</v>
      </c>
      <c r="N3459" t="s">
        <v>216</v>
      </c>
      <c r="O3459">
        <v>89</v>
      </c>
      <c r="P3459">
        <v>8764</v>
      </c>
      <c r="Q3459" t="s">
        <v>1518</v>
      </c>
      <c r="R3459" t="s">
        <v>201</v>
      </c>
      <c r="S3459">
        <v>1</v>
      </c>
      <c r="T3459">
        <v>1</v>
      </c>
      <c r="U3459">
        <v>191724</v>
      </c>
      <c r="V3459">
        <v>191724</v>
      </c>
    </row>
    <row r="3460" spans="1:22">
      <c r="A3460" t="s">
        <v>196</v>
      </c>
      <c r="B3460">
        <v>59</v>
      </c>
      <c r="C3460" t="s">
        <v>3</v>
      </c>
      <c r="D3460">
        <v>100</v>
      </c>
      <c r="E3460" t="s">
        <v>197</v>
      </c>
      <c r="F3460">
        <v>1005</v>
      </c>
      <c r="G3460" t="s">
        <v>3</v>
      </c>
      <c r="H3460">
        <v>2005</v>
      </c>
      <c r="I3460" t="s">
        <v>3</v>
      </c>
      <c r="J3460">
        <v>3108</v>
      </c>
      <c r="K3460" t="s">
        <v>763</v>
      </c>
      <c r="L3460">
        <v>4130</v>
      </c>
      <c r="M3460" t="s">
        <v>309</v>
      </c>
      <c r="N3460" t="s">
        <v>199</v>
      </c>
      <c r="O3460">
        <v>89</v>
      </c>
      <c r="P3460">
        <v>9702</v>
      </c>
      <c r="Q3460" t="s">
        <v>1500</v>
      </c>
      <c r="R3460" t="s">
        <v>201</v>
      </c>
      <c r="S3460">
        <v>1</v>
      </c>
      <c r="T3460">
        <v>1</v>
      </c>
      <c r="U3460">
        <v>221796</v>
      </c>
      <c r="V3460">
        <v>221796</v>
      </c>
    </row>
    <row r="3461" spans="1:22">
      <c r="A3461" t="s">
        <v>196</v>
      </c>
      <c r="B3461">
        <v>59</v>
      </c>
      <c r="C3461" t="s">
        <v>3</v>
      </c>
      <c r="D3461">
        <v>100</v>
      </c>
      <c r="E3461" t="s">
        <v>197</v>
      </c>
      <c r="F3461">
        <v>1005</v>
      </c>
      <c r="G3461" t="s">
        <v>3</v>
      </c>
      <c r="H3461">
        <v>2005</v>
      </c>
      <c r="I3461" t="s">
        <v>3</v>
      </c>
      <c r="J3461">
        <v>3108</v>
      </c>
      <c r="K3461" t="s">
        <v>763</v>
      </c>
      <c r="L3461">
        <v>4130</v>
      </c>
      <c r="M3461" t="s">
        <v>309</v>
      </c>
      <c r="N3461" t="s">
        <v>216</v>
      </c>
      <c r="O3461">
        <v>89</v>
      </c>
      <c r="P3461">
        <v>8763</v>
      </c>
      <c r="Q3461" t="s">
        <v>1469</v>
      </c>
      <c r="R3461" t="s">
        <v>201</v>
      </c>
      <c r="S3461">
        <v>1</v>
      </c>
      <c r="T3461">
        <v>1</v>
      </c>
      <c r="U3461">
        <v>205560</v>
      </c>
      <c r="V3461">
        <v>205560</v>
      </c>
    </row>
    <row r="3462" spans="1:22">
      <c r="A3462" t="s">
        <v>196</v>
      </c>
      <c r="B3462">
        <v>59</v>
      </c>
      <c r="C3462" t="s">
        <v>3</v>
      </c>
      <c r="D3462">
        <v>100</v>
      </c>
      <c r="E3462" t="s">
        <v>197</v>
      </c>
      <c r="F3462">
        <v>1005</v>
      </c>
      <c r="G3462" t="s">
        <v>3</v>
      </c>
      <c r="H3462">
        <v>2005</v>
      </c>
      <c r="I3462" t="s">
        <v>3</v>
      </c>
      <c r="J3462">
        <v>3108</v>
      </c>
      <c r="K3462" t="s">
        <v>763</v>
      </c>
      <c r="L3462">
        <v>4130</v>
      </c>
      <c r="M3462" t="s">
        <v>309</v>
      </c>
      <c r="N3462" t="s">
        <v>1497</v>
      </c>
      <c r="O3462">
        <v>87</v>
      </c>
      <c r="P3462">
        <v>8745</v>
      </c>
      <c r="Q3462" t="s">
        <v>1498</v>
      </c>
      <c r="R3462" t="s">
        <v>201</v>
      </c>
      <c r="S3462">
        <v>1</v>
      </c>
      <c r="T3462">
        <v>1</v>
      </c>
      <c r="U3462">
        <v>143076</v>
      </c>
      <c r="V3462">
        <v>143076</v>
      </c>
    </row>
    <row r="3463" spans="1:22">
      <c r="A3463" t="s">
        <v>196</v>
      </c>
      <c r="B3463">
        <v>59</v>
      </c>
      <c r="C3463" t="s">
        <v>3</v>
      </c>
      <c r="D3463">
        <v>100</v>
      </c>
      <c r="E3463" t="s">
        <v>197</v>
      </c>
      <c r="F3463">
        <v>1005</v>
      </c>
      <c r="G3463" t="s">
        <v>3</v>
      </c>
      <c r="H3463">
        <v>2005</v>
      </c>
      <c r="I3463" t="s">
        <v>3</v>
      </c>
      <c r="J3463">
        <v>3108</v>
      </c>
      <c r="K3463" t="s">
        <v>763</v>
      </c>
      <c r="L3463">
        <v>4130</v>
      </c>
      <c r="M3463" t="s">
        <v>309</v>
      </c>
      <c r="N3463" t="s">
        <v>1475</v>
      </c>
      <c r="O3463">
        <v>87</v>
      </c>
      <c r="P3463">
        <v>8715</v>
      </c>
      <c r="Q3463" t="s">
        <v>1544</v>
      </c>
      <c r="R3463" t="s">
        <v>201</v>
      </c>
      <c r="S3463">
        <v>1</v>
      </c>
      <c r="T3463">
        <v>1</v>
      </c>
      <c r="U3463">
        <v>165858</v>
      </c>
      <c r="V3463">
        <v>165858</v>
      </c>
    </row>
    <row r="3464" spans="1:22">
      <c r="A3464" t="s">
        <v>196</v>
      </c>
      <c r="B3464">
        <v>59</v>
      </c>
      <c r="C3464" t="s">
        <v>3</v>
      </c>
      <c r="D3464">
        <v>100</v>
      </c>
      <c r="E3464" t="s">
        <v>197</v>
      </c>
      <c r="F3464">
        <v>1005</v>
      </c>
      <c r="G3464" t="s">
        <v>3</v>
      </c>
      <c r="H3464">
        <v>2005</v>
      </c>
      <c r="I3464" t="s">
        <v>3</v>
      </c>
      <c r="J3464">
        <v>3108</v>
      </c>
      <c r="K3464" t="s">
        <v>763</v>
      </c>
      <c r="L3464">
        <v>4130</v>
      </c>
      <c r="M3464" t="s">
        <v>309</v>
      </c>
      <c r="N3464" t="s">
        <v>341</v>
      </c>
      <c r="O3464">
        <v>1</v>
      </c>
      <c r="P3464">
        <v>308</v>
      </c>
      <c r="Q3464" t="s">
        <v>355</v>
      </c>
      <c r="R3464" t="s">
        <v>201</v>
      </c>
      <c r="S3464">
        <v>1</v>
      </c>
      <c r="T3464">
        <v>1</v>
      </c>
      <c r="U3464">
        <v>119100</v>
      </c>
      <c r="V3464">
        <v>119100</v>
      </c>
    </row>
    <row r="3465" spans="1:22">
      <c r="A3465" t="s">
        <v>196</v>
      </c>
      <c r="B3465">
        <v>59</v>
      </c>
      <c r="C3465" t="s">
        <v>3</v>
      </c>
      <c r="D3465">
        <v>100</v>
      </c>
      <c r="E3465" t="s">
        <v>197</v>
      </c>
      <c r="F3465">
        <v>1005</v>
      </c>
      <c r="G3465" t="s">
        <v>3</v>
      </c>
      <c r="H3465">
        <v>2005</v>
      </c>
      <c r="I3465" t="s">
        <v>3</v>
      </c>
      <c r="J3465">
        <v>3108</v>
      </c>
      <c r="K3465" t="s">
        <v>763</v>
      </c>
      <c r="L3465">
        <v>4133</v>
      </c>
      <c r="M3465" t="s">
        <v>1545</v>
      </c>
      <c r="N3465" t="s">
        <v>1489</v>
      </c>
      <c r="O3465">
        <v>87</v>
      </c>
      <c r="P3465">
        <v>8750</v>
      </c>
      <c r="Q3465" t="s">
        <v>1490</v>
      </c>
      <c r="R3465" t="s">
        <v>201</v>
      </c>
      <c r="S3465">
        <v>3</v>
      </c>
      <c r="T3465">
        <v>1</v>
      </c>
      <c r="U3465">
        <v>96528</v>
      </c>
      <c r="V3465">
        <v>289584</v>
      </c>
    </row>
    <row r="3466" spans="1:22">
      <c r="A3466" t="s">
        <v>196</v>
      </c>
      <c r="B3466">
        <v>59</v>
      </c>
      <c r="C3466" t="s">
        <v>3</v>
      </c>
      <c r="D3466">
        <v>100</v>
      </c>
      <c r="E3466" t="s">
        <v>197</v>
      </c>
      <c r="F3466">
        <v>1005</v>
      </c>
      <c r="G3466" t="s">
        <v>3</v>
      </c>
      <c r="H3466">
        <v>2005</v>
      </c>
      <c r="I3466" t="s">
        <v>3</v>
      </c>
      <c r="J3466">
        <v>3108</v>
      </c>
      <c r="K3466" t="s">
        <v>763</v>
      </c>
      <c r="L3466">
        <v>4133</v>
      </c>
      <c r="M3466" t="s">
        <v>1545</v>
      </c>
      <c r="N3466" t="s">
        <v>1491</v>
      </c>
      <c r="O3466">
        <v>87</v>
      </c>
      <c r="P3466">
        <v>8749</v>
      </c>
      <c r="Q3466" t="s">
        <v>1492</v>
      </c>
      <c r="R3466" t="s">
        <v>201</v>
      </c>
      <c r="S3466">
        <v>2</v>
      </c>
      <c r="T3466">
        <v>1</v>
      </c>
      <c r="U3466">
        <v>115308</v>
      </c>
      <c r="V3466">
        <v>230616</v>
      </c>
    </row>
    <row r="3467" spans="1:22">
      <c r="A3467" t="s">
        <v>196</v>
      </c>
      <c r="B3467">
        <v>59</v>
      </c>
      <c r="C3467" t="s">
        <v>3</v>
      </c>
      <c r="D3467">
        <v>100</v>
      </c>
      <c r="E3467" t="s">
        <v>197</v>
      </c>
      <c r="F3467">
        <v>1005</v>
      </c>
      <c r="G3467" t="s">
        <v>3</v>
      </c>
      <c r="H3467">
        <v>2005</v>
      </c>
      <c r="I3467" t="s">
        <v>3</v>
      </c>
      <c r="J3467">
        <v>3108</v>
      </c>
      <c r="K3467" t="s">
        <v>763</v>
      </c>
      <c r="L3467">
        <v>4133</v>
      </c>
      <c r="M3467" t="s">
        <v>1545</v>
      </c>
      <c r="N3467" t="s">
        <v>1491</v>
      </c>
      <c r="O3467">
        <v>87</v>
      </c>
      <c r="P3467">
        <v>8749</v>
      </c>
      <c r="Q3467" t="s">
        <v>1492</v>
      </c>
      <c r="R3467" t="s">
        <v>201</v>
      </c>
      <c r="S3467">
        <v>1</v>
      </c>
      <c r="T3467">
        <v>1</v>
      </c>
      <c r="U3467">
        <v>112020</v>
      </c>
      <c r="V3467">
        <v>112020</v>
      </c>
    </row>
    <row r="3468" spans="1:22">
      <c r="A3468" t="s">
        <v>196</v>
      </c>
      <c r="B3468">
        <v>59</v>
      </c>
      <c r="C3468" t="s">
        <v>3</v>
      </c>
      <c r="D3468">
        <v>100</v>
      </c>
      <c r="E3468" t="s">
        <v>197</v>
      </c>
      <c r="F3468">
        <v>1005</v>
      </c>
      <c r="G3468" t="s">
        <v>3</v>
      </c>
      <c r="H3468">
        <v>2005</v>
      </c>
      <c r="I3468" t="s">
        <v>3</v>
      </c>
      <c r="J3468">
        <v>3108</v>
      </c>
      <c r="K3468" t="s">
        <v>763</v>
      </c>
      <c r="L3468">
        <v>4133</v>
      </c>
      <c r="M3468" t="s">
        <v>1545</v>
      </c>
      <c r="N3468" t="s">
        <v>1491</v>
      </c>
      <c r="O3468">
        <v>87</v>
      </c>
      <c r="P3468">
        <v>8749</v>
      </c>
      <c r="Q3468" t="s">
        <v>1492</v>
      </c>
      <c r="R3468" t="s">
        <v>201</v>
      </c>
      <c r="S3468">
        <v>3</v>
      </c>
      <c r="T3468">
        <v>1</v>
      </c>
      <c r="U3468">
        <v>104430</v>
      </c>
      <c r="V3468">
        <v>313290</v>
      </c>
    </row>
    <row r="3469" spans="1:22">
      <c r="A3469" t="s">
        <v>196</v>
      </c>
      <c r="B3469">
        <v>59</v>
      </c>
      <c r="C3469" t="s">
        <v>3</v>
      </c>
      <c r="D3469">
        <v>100</v>
      </c>
      <c r="E3469" t="s">
        <v>197</v>
      </c>
      <c r="F3469">
        <v>1005</v>
      </c>
      <c r="G3469" t="s">
        <v>3</v>
      </c>
      <c r="H3469">
        <v>2005</v>
      </c>
      <c r="I3469" t="s">
        <v>3</v>
      </c>
      <c r="J3469">
        <v>3108</v>
      </c>
      <c r="K3469" t="s">
        <v>763</v>
      </c>
      <c r="L3469">
        <v>4133</v>
      </c>
      <c r="M3469" t="s">
        <v>1545</v>
      </c>
      <c r="N3469" t="s">
        <v>216</v>
      </c>
      <c r="O3469">
        <v>80</v>
      </c>
      <c r="P3469">
        <v>8734</v>
      </c>
      <c r="Q3469" t="s">
        <v>1530</v>
      </c>
      <c r="R3469" t="s">
        <v>201</v>
      </c>
      <c r="S3469">
        <v>1</v>
      </c>
      <c r="T3469">
        <v>1</v>
      </c>
      <c r="U3469">
        <v>191724</v>
      </c>
      <c r="V3469">
        <v>191724</v>
      </c>
    </row>
    <row r="3470" spans="1:22">
      <c r="A3470" t="s">
        <v>196</v>
      </c>
      <c r="B3470">
        <v>59</v>
      </c>
      <c r="C3470" t="s">
        <v>3</v>
      </c>
      <c r="D3470">
        <v>100</v>
      </c>
      <c r="E3470" t="s">
        <v>197</v>
      </c>
      <c r="F3470">
        <v>1005</v>
      </c>
      <c r="G3470" t="s">
        <v>3</v>
      </c>
      <c r="H3470">
        <v>2005</v>
      </c>
      <c r="I3470" t="s">
        <v>3</v>
      </c>
      <c r="J3470">
        <v>3108</v>
      </c>
      <c r="K3470" t="s">
        <v>763</v>
      </c>
      <c r="L3470">
        <v>4133</v>
      </c>
      <c r="M3470" t="s">
        <v>1545</v>
      </c>
      <c r="N3470" t="s">
        <v>1546</v>
      </c>
      <c r="O3470">
        <v>53</v>
      </c>
      <c r="P3470">
        <v>6331</v>
      </c>
      <c r="Q3470" t="s">
        <v>1547</v>
      </c>
      <c r="R3470" t="s">
        <v>201</v>
      </c>
      <c r="S3470">
        <v>1</v>
      </c>
      <c r="T3470">
        <v>1</v>
      </c>
      <c r="U3470">
        <v>82092</v>
      </c>
      <c r="V3470">
        <v>82092</v>
      </c>
    </row>
    <row r="3471" spans="1:22">
      <c r="A3471" t="s">
        <v>196</v>
      </c>
      <c r="B3471">
        <v>59</v>
      </c>
      <c r="C3471" t="s">
        <v>3</v>
      </c>
      <c r="D3471">
        <v>100</v>
      </c>
      <c r="E3471" t="s">
        <v>197</v>
      </c>
      <c r="F3471">
        <v>1005</v>
      </c>
      <c r="G3471" t="s">
        <v>3</v>
      </c>
      <c r="H3471">
        <v>2005</v>
      </c>
      <c r="I3471" t="s">
        <v>3</v>
      </c>
      <c r="J3471">
        <v>3108</v>
      </c>
      <c r="K3471" t="s">
        <v>763</v>
      </c>
      <c r="L3471">
        <v>4133</v>
      </c>
      <c r="M3471" t="s">
        <v>1545</v>
      </c>
      <c r="N3471" t="s">
        <v>199</v>
      </c>
      <c r="O3471">
        <v>0</v>
      </c>
      <c r="P3471">
        <v>15</v>
      </c>
      <c r="Q3471" t="s">
        <v>264</v>
      </c>
      <c r="R3471" t="s">
        <v>201</v>
      </c>
      <c r="S3471">
        <v>0</v>
      </c>
      <c r="T3471">
        <v>0</v>
      </c>
      <c r="U3471">
        <v>2329</v>
      </c>
      <c r="V3471">
        <v>2329</v>
      </c>
    </row>
    <row r="3472" spans="1:22">
      <c r="A3472" t="s">
        <v>196</v>
      </c>
      <c r="B3472">
        <v>59</v>
      </c>
      <c r="C3472" t="s">
        <v>3</v>
      </c>
      <c r="D3472">
        <v>100</v>
      </c>
      <c r="E3472" t="s">
        <v>197</v>
      </c>
      <c r="F3472">
        <v>1005</v>
      </c>
      <c r="G3472" t="s">
        <v>3</v>
      </c>
      <c r="H3472">
        <v>2005</v>
      </c>
      <c r="I3472" t="s">
        <v>3</v>
      </c>
      <c r="J3472">
        <v>3108</v>
      </c>
      <c r="K3472" t="s">
        <v>763</v>
      </c>
      <c r="L3472">
        <v>4134</v>
      </c>
      <c r="M3472" t="s">
        <v>1548</v>
      </c>
      <c r="N3472" t="s">
        <v>1491</v>
      </c>
      <c r="O3472">
        <v>87</v>
      </c>
      <c r="P3472">
        <v>8819</v>
      </c>
      <c r="Q3472" t="s">
        <v>1506</v>
      </c>
      <c r="R3472" t="s">
        <v>201</v>
      </c>
      <c r="S3472">
        <v>1</v>
      </c>
      <c r="T3472">
        <v>1</v>
      </c>
      <c r="U3472">
        <v>125202</v>
      </c>
      <c r="V3472">
        <v>125202</v>
      </c>
    </row>
    <row r="3473" spans="1:22">
      <c r="A3473" t="s">
        <v>196</v>
      </c>
      <c r="B3473">
        <v>59</v>
      </c>
      <c r="C3473" t="s">
        <v>3</v>
      </c>
      <c r="D3473">
        <v>100</v>
      </c>
      <c r="E3473" t="s">
        <v>197</v>
      </c>
      <c r="F3473">
        <v>1005</v>
      </c>
      <c r="G3473" t="s">
        <v>3</v>
      </c>
      <c r="H3473">
        <v>2005</v>
      </c>
      <c r="I3473" t="s">
        <v>3</v>
      </c>
      <c r="J3473">
        <v>3108</v>
      </c>
      <c r="K3473" t="s">
        <v>763</v>
      </c>
      <c r="L3473">
        <v>4134</v>
      </c>
      <c r="M3473" t="s">
        <v>1548</v>
      </c>
      <c r="N3473" t="s">
        <v>1509</v>
      </c>
      <c r="O3473">
        <v>87</v>
      </c>
      <c r="P3473">
        <v>8817</v>
      </c>
      <c r="Q3473" t="s">
        <v>1510</v>
      </c>
      <c r="R3473" t="s">
        <v>201</v>
      </c>
      <c r="S3473">
        <v>1</v>
      </c>
      <c r="T3473">
        <v>1</v>
      </c>
      <c r="U3473">
        <v>151764</v>
      </c>
      <c r="V3473">
        <v>151764</v>
      </c>
    </row>
    <row r="3474" spans="1:22">
      <c r="A3474" t="s">
        <v>196</v>
      </c>
      <c r="B3474">
        <v>59</v>
      </c>
      <c r="C3474" t="s">
        <v>3</v>
      </c>
      <c r="D3474">
        <v>100</v>
      </c>
      <c r="E3474" t="s">
        <v>197</v>
      </c>
      <c r="F3474">
        <v>1005</v>
      </c>
      <c r="G3474" t="s">
        <v>3</v>
      </c>
      <c r="H3474">
        <v>2005</v>
      </c>
      <c r="I3474" t="s">
        <v>3</v>
      </c>
      <c r="J3474">
        <v>3108</v>
      </c>
      <c r="K3474" t="s">
        <v>763</v>
      </c>
      <c r="L3474">
        <v>4134</v>
      </c>
      <c r="M3474" t="s">
        <v>1548</v>
      </c>
      <c r="N3474" t="s">
        <v>1511</v>
      </c>
      <c r="O3474">
        <v>87</v>
      </c>
      <c r="P3474">
        <v>8812</v>
      </c>
      <c r="Q3474" t="s">
        <v>1512</v>
      </c>
      <c r="R3474" t="s">
        <v>201</v>
      </c>
      <c r="S3474">
        <v>2</v>
      </c>
      <c r="T3474">
        <v>1</v>
      </c>
      <c r="U3474">
        <v>138378</v>
      </c>
      <c r="V3474">
        <v>276756</v>
      </c>
    </row>
    <row r="3475" spans="1:22">
      <c r="A3475" t="s">
        <v>196</v>
      </c>
      <c r="B3475">
        <v>59</v>
      </c>
      <c r="C3475" t="s">
        <v>3</v>
      </c>
      <c r="D3475">
        <v>100</v>
      </c>
      <c r="E3475" t="s">
        <v>197</v>
      </c>
      <c r="F3475">
        <v>1005</v>
      </c>
      <c r="G3475" t="s">
        <v>3</v>
      </c>
      <c r="H3475">
        <v>2005</v>
      </c>
      <c r="I3475" t="s">
        <v>3</v>
      </c>
      <c r="J3475">
        <v>3108</v>
      </c>
      <c r="K3475" t="s">
        <v>763</v>
      </c>
      <c r="L3475">
        <v>4134</v>
      </c>
      <c r="M3475" t="s">
        <v>1548</v>
      </c>
      <c r="N3475" t="s">
        <v>1511</v>
      </c>
      <c r="O3475">
        <v>87</v>
      </c>
      <c r="P3475">
        <v>8812</v>
      </c>
      <c r="Q3475" t="s">
        <v>1512</v>
      </c>
      <c r="R3475" t="s">
        <v>201</v>
      </c>
      <c r="S3475">
        <v>1</v>
      </c>
      <c r="T3475">
        <v>1</v>
      </c>
      <c r="U3475">
        <v>134028</v>
      </c>
      <c r="V3475">
        <v>134028</v>
      </c>
    </row>
    <row r="3476" spans="1:22">
      <c r="A3476" t="s">
        <v>196</v>
      </c>
      <c r="B3476">
        <v>59</v>
      </c>
      <c r="C3476" t="s">
        <v>3</v>
      </c>
      <c r="D3476">
        <v>100</v>
      </c>
      <c r="E3476" t="s">
        <v>197</v>
      </c>
      <c r="F3476">
        <v>1005</v>
      </c>
      <c r="G3476" t="s">
        <v>3</v>
      </c>
      <c r="H3476">
        <v>2005</v>
      </c>
      <c r="I3476" t="s">
        <v>3</v>
      </c>
      <c r="J3476">
        <v>3108</v>
      </c>
      <c r="K3476" t="s">
        <v>763</v>
      </c>
      <c r="L3476">
        <v>4134</v>
      </c>
      <c r="M3476" t="s">
        <v>1548</v>
      </c>
      <c r="N3476" t="s">
        <v>1491</v>
      </c>
      <c r="O3476">
        <v>87</v>
      </c>
      <c r="P3476">
        <v>8807</v>
      </c>
      <c r="Q3476" t="s">
        <v>1516</v>
      </c>
      <c r="R3476" t="s">
        <v>201</v>
      </c>
      <c r="S3476">
        <v>1</v>
      </c>
      <c r="T3476">
        <v>1</v>
      </c>
      <c r="U3476">
        <v>118830</v>
      </c>
      <c r="V3476">
        <v>118830</v>
      </c>
    </row>
    <row r="3477" spans="1:22">
      <c r="A3477" t="s">
        <v>196</v>
      </c>
      <c r="B3477">
        <v>59</v>
      </c>
      <c r="C3477" t="s">
        <v>3</v>
      </c>
      <c r="D3477">
        <v>100</v>
      </c>
      <c r="E3477" t="s">
        <v>197</v>
      </c>
      <c r="F3477">
        <v>1005</v>
      </c>
      <c r="G3477" t="s">
        <v>3</v>
      </c>
      <c r="H3477">
        <v>2005</v>
      </c>
      <c r="I3477" t="s">
        <v>3</v>
      </c>
      <c r="J3477">
        <v>3108</v>
      </c>
      <c r="K3477" t="s">
        <v>763</v>
      </c>
      <c r="L3477">
        <v>4134</v>
      </c>
      <c r="M3477" t="s">
        <v>1548</v>
      </c>
      <c r="N3477" t="s">
        <v>1491</v>
      </c>
      <c r="O3477">
        <v>87</v>
      </c>
      <c r="P3477">
        <v>8807</v>
      </c>
      <c r="Q3477" t="s">
        <v>1516</v>
      </c>
      <c r="R3477" t="s">
        <v>201</v>
      </c>
      <c r="S3477">
        <v>1</v>
      </c>
      <c r="T3477">
        <v>1</v>
      </c>
      <c r="U3477">
        <v>114654</v>
      </c>
      <c r="V3477">
        <v>114654</v>
      </c>
    </row>
    <row r="3478" spans="1:22">
      <c r="A3478" t="s">
        <v>196</v>
      </c>
      <c r="B3478">
        <v>59</v>
      </c>
      <c r="C3478" t="s">
        <v>3</v>
      </c>
      <c r="D3478">
        <v>100</v>
      </c>
      <c r="E3478" t="s">
        <v>197</v>
      </c>
      <c r="F3478">
        <v>1005</v>
      </c>
      <c r="G3478" t="s">
        <v>3</v>
      </c>
      <c r="H3478">
        <v>2005</v>
      </c>
      <c r="I3478" t="s">
        <v>3</v>
      </c>
      <c r="J3478">
        <v>3108</v>
      </c>
      <c r="K3478" t="s">
        <v>763</v>
      </c>
      <c r="L3478">
        <v>4134</v>
      </c>
      <c r="M3478" t="s">
        <v>1548</v>
      </c>
      <c r="N3478" t="s">
        <v>1487</v>
      </c>
      <c r="O3478">
        <v>87</v>
      </c>
      <c r="P3478">
        <v>8801</v>
      </c>
      <c r="Q3478" t="s">
        <v>1488</v>
      </c>
      <c r="R3478" t="s">
        <v>201</v>
      </c>
      <c r="S3478">
        <v>1</v>
      </c>
      <c r="T3478">
        <v>1</v>
      </c>
      <c r="U3478">
        <v>114570</v>
      </c>
      <c r="V3478">
        <v>114570</v>
      </c>
    </row>
    <row r="3479" spans="1:22">
      <c r="A3479" t="s">
        <v>196</v>
      </c>
      <c r="B3479">
        <v>59</v>
      </c>
      <c r="C3479" t="s">
        <v>3</v>
      </c>
      <c r="D3479">
        <v>100</v>
      </c>
      <c r="E3479" t="s">
        <v>197</v>
      </c>
      <c r="F3479">
        <v>1005</v>
      </c>
      <c r="G3479" t="s">
        <v>3</v>
      </c>
      <c r="H3479">
        <v>2005</v>
      </c>
      <c r="I3479" t="s">
        <v>3</v>
      </c>
      <c r="J3479">
        <v>3108</v>
      </c>
      <c r="K3479" t="s">
        <v>763</v>
      </c>
      <c r="L3479">
        <v>4134</v>
      </c>
      <c r="M3479" t="s">
        <v>1548</v>
      </c>
      <c r="N3479" t="s">
        <v>1487</v>
      </c>
      <c r="O3479">
        <v>87</v>
      </c>
      <c r="P3479">
        <v>8801</v>
      </c>
      <c r="Q3479" t="s">
        <v>1488</v>
      </c>
      <c r="R3479" t="s">
        <v>201</v>
      </c>
      <c r="S3479">
        <v>8</v>
      </c>
      <c r="T3479">
        <v>1</v>
      </c>
      <c r="U3479">
        <v>110196</v>
      </c>
      <c r="V3479">
        <v>881568</v>
      </c>
    </row>
    <row r="3480" spans="1:22">
      <c r="A3480" t="s">
        <v>196</v>
      </c>
      <c r="B3480">
        <v>59</v>
      </c>
      <c r="C3480" t="s">
        <v>3</v>
      </c>
      <c r="D3480">
        <v>100</v>
      </c>
      <c r="E3480" t="s">
        <v>197</v>
      </c>
      <c r="F3480">
        <v>1005</v>
      </c>
      <c r="G3480" t="s">
        <v>3</v>
      </c>
      <c r="H3480">
        <v>2005</v>
      </c>
      <c r="I3480" t="s">
        <v>3</v>
      </c>
      <c r="J3480">
        <v>3108</v>
      </c>
      <c r="K3480" t="s">
        <v>763</v>
      </c>
      <c r="L3480">
        <v>4134</v>
      </c>
      <c r="M3480" t="s">
        <v>1548</v>
      </c>
      <c r="N3480" t="s">
        <v>1487</v>
      </c>
      <c r="O3480">
        <v>87</v>
      </c>
      <c r="P3480">
        <v>8801</v>
      </c>
      <c r="Q3480" t="s">
        <v>1488</v>
      </c>
      <c r="R3480" t="s">
        <v>201</v>
      </c>
      <c r="S3480">
        <v>3</v>
      </c>
      <c r="T3480">
        <v>1</v>
      </c>
      <c r="U3480">
        <v>105936</v>
      </c>
      <c r="V3480">
        <v>317808</v>
      </c>
    </row>
    <row r="3481" spans="1:22">
      <c r="A3481" t="s">
        <v>196</v>
      </c>
      <c r="B3481">
        <v>59</v>
      </c>
      <c r="C3481" t="s">
        <v>3</v>
      </c>
      <c r="D3481">
        <v>100</v>
      </c>
      <c r="E3481" t="s">
        <v>197</v>
      </c>
      <c r="F3481">
        <v>1005</v>
      </c>
      <c r="G3481" t="s">
        <v>3</v>
      </c>
      <c r="H3481">
        <v>2005</v>
      </c>
      <c r="I3481" t="s">
        <v>3</v>
      </c>
      <c r="J3481">
        <v>3108</v>
      </c>
      <c r="K3481" t="s">
        <v>763</v>
      </c>
      <c r="L3481">
        <v>4134</v>
      </c>
      <c r="M3481" t="s">
        <v>1548</v>
      </c>
      <c r="N3481" t="s">
        <v>1487</v>
      </c>
      <c r="O3481">
        <v>87</v>
      </c>
      <c r="P3481">
        <v>8801</v>
      </c>
      <c r="Q3481" t="s">
        <v>1488</v>
      </c>
      <c r="R3481" t="s">
        <v>201</v>
      </c>
      <c r="S3481">
        <v>1</v>
      </c>
      <c r="T3481">
        <v>1</v>
      </c>
      <c r="U3481">
        <v>102372</v>
      </c>
      <c r="V3481">
        <v>102372</v>
      </c>
    </row>
    <row r="3482" spans="1:22">
      <c r="A3482" t="s">
        <v>196</v>
      </c>
      <c r="B3482">
        <v>59</v>
      </c>
      <c r="C3482" t="s">
        <v>3</v>
      </c>
      <c r="D3482">
        <v>100</v>
      </c>
      <c r="E3482" t="s">
        <v>197</v>
      </c>
      <c r="F3482">
        <v>1005</v>
      </c>
      <c r="G3482" t="s">
        <v>3</v>
      </c>
      <c r="H3482">
        <v>2005</v>
      </c>
      <c r="I3482" t="s">
        <v>3</v>
      </c>
      <c r="J3482">
        <v>3108</v>
      </c>
      <c r="K3482" t="s">
        <v>763</v>
      </c>
      <c r="L3482">
        <v>4134</v>
      </c>
      <c r="M3482" t="s">
        <v>1548</v>
      </c>
      <c r="N3482" t="s">
        <v>1487</v>
      </c>
      <c r="O3482">
        <v>87</v>
      </c>
      <c r="P3482">
        <v>8801</v>
      </c>
      <c r="Q3482" t="s">
        <v>1488</v>
      </c>
      <c r="R3482" t="s">
        <v>201</v>
      </c>
      <c r="S3482">
        <v>4</v>
      </c>
      <c r="T3482">
        <v>1</v>
      </c>
      <c r="U3482">
        <v>66264</v>
      </c>
      <c r="V3482">
        <v>265056</v>
      </c>
    </row>
    <row r="3483" spans="1:22">
      <c r="A3483" t="s">
        <v>196</v>
      </c>
      <c r="B3483">
        <v>59</v>
      </c>
      <c r="C3483" t="s">
        <v>3</v>
      </c>
      <c r="D3483">
        <v>100</v>
      </c>
      <c r="E3483" t="s">
        <v>197</v>
      </c>
      <c r="F3483">
        <v>1005</v>
      </c>
      <c r="G3483" t="s">
        <v>3</v>
      </c>
      <c r="H3483">
        <v>2005</v>
      </c>
      <c r="I3483" t="s">
        <v>3</v>
      </c>
      <c r="J3483">
        <v>3108</v>
      </c>
      <c r="K3483" t="s">
        <v>763</v>
      </c>
      <c r="L3483">
        <v>4134</v>
      </c>
      <c r="M3483" t="s">
        <v>1548</v>
      </c>
      <c r="N3483" t="s">
        <v>216</v>
      </c>
      <c r="O3483">
        <v>80</v>
      </c>
      <c r="P3483">
        <v>8784</v>
      </c>
      <c r="Q3483" t="s">
        <v>1549</v>
      </c>
      <c r="R3483" t="s">
        <v>201</v>
      </c>
      <c r="S3483">
        <v>1</v>
      </c>
      <c r="T3483">
        <v>1</v>
      </c>
      <c r="U3483">
        <v>193656</v>
      </c>
      <c r="V3483">
        <v>193656</v>
      </c>
    </row>
    <row r="3484" spans="1:22">
      <c r="A3484" t="s">
        <v>196</v>
      </c>
      <c r="B3484">
        <v>59</v>
      </c>
      <c r="C3484" t="s">
        <v>3</v>
      </c>
      <c r="D3484">
        <v>100</v>
      </c>
      <c r="E3484" t="s">
        <v>197</v>
      </c>
      <c r="F3484">
        <v>1005</v>
      </c>
      <c r="G3484" t="s">
        <v>3</v>
      </c>
      <c r="H3484">
        <v>2005</v>
      </c>
      <c r="I3484" t="s">
        <v>3</v>
      </c>
      <c r="J3484">
        <v>3108</v>
      </c>
      <c r="K3484" t="s">
        <v>763</v>
      </c>
      <c r="L3484">
        <v>4134</v>
      </c>
      <c r="M3484" t="s">
        <v>1548</v>
      </c>
      <c r="N3484" t="s">
        <v>1491</v>
      </c>
      <c r="O3484">
        <v>87</v>
      </c>
      <c r="P3484">
        <v>8733</v>
      </c>
      <c r="Q3484" t="s">
        <v>1521</v>
      </c>
      <c r="R3484" t="s">
        <v>201</v>
      </c>
      <c r="S3484">
        <v>1</v>
      </c>
      <c r="T3484">
        <v>1</v>
      </c>
      <c r="U3484">
        <v>112020</v>
      </c>
      <c r="V3484">
        <v>112020</v>
      </c>
    </row>
    <row r="3485" spans="1:22">
      <c r="A3485" t="s">
        <v>196</v>
      </c>
      <c r="B3485">
        <v>59</v>
      </c>
      <c r="C3485" t="s">
        <v>3</v>
      </c>
      <c r="D3485">
        <v>100</v>
      </c>
      <c r="E3485" t="s">
        <v>197</v>
      </c>
      <c r="F3485">
        <v>1005</v>
      </c>
      <c r="G3485" t="s">
        <v>3</v>
      </c>
      <c r="H3485">
        <v>2005</v>
      </c>
      <c r="I3485" t="s">
        <v>3</v>
      </c>
      <c r="J3485">
        <v>3108</v>
      </c>
      <c r="K3485" t="s">
        <v>763</v>
      </c>
      <c r="L3485">
        <v>4134</v>
      </c>
      <c r="M3485" t="s">
        <v>1548</v>
      </c>
      <c r="N3485" t="s">
        <v>1489</v>
      </c>
      <c r="O3485">
        <v>87</v>
      </c>
      <c r="P3485">
        <v>8731</v>
      </c>
      <c r="Q3485" t="s">
        <v>1522</v>
      </c>
      <c r="R3485" t="s">
        <v>201</v>
      </c>
      <c r="S3485">
        <v>2</v>
      </c>
      <c r="T3485">
        <v>1</v>
      </c>
      <c r="U3485">
        <v>108036</v>
      </c>
      <c r="V3485">
        <v>216072</v>
      </c>
    </row>
    <row r="3486" spans="1:22">
      <c r="A3486" t="s">
        <v>196</v>
      </c>
      <c r="B3486">
        <v>59</v>
      </c>
      <c r="C3486" t="s">
        <v>3</v>
      </c>
      <c r="D3486">
        <v>100</v>
      </c>
      <c r="E3486" t="s">
        <v>197</v>
      </c>
      <c r="F3486">
        <v>1005</v>
      </c>
      <c r="G3486" t="s">
        <v>3</v>
      </c>
      <c r="H3486">
        <v>2005</v>
      </c>
      <c r="I3486" t="s">
        <v>3</v>
      </c>
      <c r="J3486">
        <v>3108</v>
      </c>
      <c r="K3486" t="s">
        <v>763</v>
      </c>
      <c r="L3486">
        <v>4134</v>
      </c>
      <c r="M3486" t="s">
        <v>1548</v>
      </c>
      <c r="N3486" t="s">
        <v>1489</v>
      </c>
      <c r="O3486">
        <v>87</v>
      </c>
      <c r="P3486">
        <v>8731</v>
      </c>
      <c r="Q3486" t="s">
        <v>1522</v>
      </c>
      <c r="R3486" t="s">
        <v>201</v>
      </c>
      <c r="S3486">
        <v>5</v>
      </c>
      <c r="T3486">
        <v>1</v>
      </c>
      <c r="U3486">
        <v>103914</v>
      </c>
      <c r="V3486">
        <v>519570</v>
      </c>
    </row>
    <row r="3487" spans="1:22">
      <c r="A3487" t="s">
        <v>196</v>
      </c>
      <c r="B3487">
        <v>59</v>
      </c>
      <c r="C3487" t="s">
        <v>3</v>
      </c>
      <c r="D3487">
        <v>100</v>
      </c>
      <c r="E3487" t="s">
        <v>197</v>
      </c>
      <c r="F3487">
        <v>1005</v>
      </c>
      <c r="G3487" t="s">
        <v>3</v>
      </c>
      <c r="H3487">
        <v>2005</v>
      </c>
      <c r="I3487" t="s">
        <v>3</v>
      </c>
      <c r="J3487">
        <v>3108</v>
      </c>
      <c r="K3487" t="s">
        <v>763</v>
      </c>
      <c r="L3487">
        <v>4134</v>
      </c>
      <c r="M3487" t="s">
        <v>1548</v>
      </c>
      <c r="N3487" t="s">
        <v>1489</v>
      </c>
      <c r="O3487">
        <v>87</v>
      </c>
      <c r="P3487">
        <v>8731</v>
      </c>
      <c r="Q3487" t="s">
        <v>1522</v>
      </c>
      <c r="R3487" t="s">
        <v>201</v>
      </c>
      <c r="S3487">
        <v>1</v>
      </c>
      <c r="T3487">
        <v>1</v>
      </c>
      <c r="U3487">
        <v>99876</v>
      </c>
      <c r="V3487">
        <v>99876</v>
      </c>
    </row>
    <row r="3488" spans="1:22">
      <c r="A3488" t="s">
        <v>196</v>
      </c>
      <c r="B3488">
        <v>59</v>
      </c>
      <c r="C3488" t="s">
        <v>3</v>
      </c>
      <c r="D3488">
        <v>100</v>
      </c>
      <c r="E3488" t="s">
        <v>197</v>
      </c>
      <c r="F3488">
        <v>1005</v>
      </c>
      <c r="G3488" t="s">
        <v>3</v>
      </c>
      <c r="H3488">
        <v>2005</v>
      </c>
      <c r="I3488" t="s">
        <v>3</v>
      </c>
      <c r="J3488">
        <v>3108</v>
      </c>
      <c r="K3488" t="s">
        <v>763</v>
      </c>
      <c r="L3488">
        <v>4134</v>
      </c>
      <c r="M3488" t="s">
        <v>1548</v>
      </c>
      <c r="N3488" t="s">
        <v>1550</v>
      </c>
      <c r="O3488">
        <v>36</v>
      </c>
      <c r="P3488">
        <v>6733</v>
      </c>
      <c r="Q3488" t="s">
        <v>1551</v>
      </c>
      <c r="R3488" t="s">
        <v>201</v>
      </c>
      <c r="S3488">
        <v>1</v>
      </c>
      <c r="T3488">
        <v>1</v>
      </c>
      <c r="U3488">
        <v>143352</v>
      </c>
      <c r="V3488">
        <v>143352</v>
      </c>
    </row>
    <row r="3489" spans="1:22">
      <c r="A3489" t="s">
        <v>196</v>
      </c>
      <c r="B3489">
        <v>59</v>
      </c>
      <c r="C3489" t="s">
        <v>3</v>
      </c>
      <c r="D3489">
        <v>100</v>
      </c>
      <c r="E3489" t="s">
        <v>197</v>
      </c>
      <c r="F3489">
        <v>1005</v>
      </c>
      <c r="G3489" t="s">
        <v>3</v>
      </c>
      <c r="H3489">
        <v>2005</v>
      </c>
      <c r="I3489" t="s">
        <v>3</v>
      </c>
      <c r="J3489">
        <v>3108</v>
      </c>
      <c r="K3489" t="s">
        <v>763</v>
      </c>
      <c r="L3489">
        <v>4134</v>
      </c>
      <c r="M3489" t="s">
        <v>1548</v>
      </c>
      <c r="N3489" t="s">
        <v>1552</v>
      </c>
      <c r="O3489">
        <v>36</v>
      </c>
      <c r="P3489">
        <v>6732</v>
      </c>
      <c r="Q3489" t="s">
        <v>1553</v>
      </c>
      <c r="R3489" t="s">
        <v>201</v>
      </c>
      <c r="S3489">
        <v>3</v>
      </c>
      <c r="T3489">
        <v>1</v>
      </c>
      <c r="U3489">
        <v>130620</v>
      </c>
      <c r="V3489">
        <v>391860</v>
      </c>
    </row>
    <row r="3490" spans="1:22">
      <c r="A3490" t="s">
        <v>196</v>
      </c>
      <c r="B3490">
        <v>59</v>
      </c>
      <c r="C3490" t="s">
        <v>3</v>
      </c>
      <c r="D3490">
        <v>100</v>
      </c>
      <c r="E3490" t="s">
        <v>197</v>
      </c>
      <c r="F3490">
        <v>1005</v>
      </c>
      <c r="G3490" t="s">
        <v>3</v>
      </c>
      <c r="H3490">
        <v>2005</v>
      </c>
      <c r="I3490" t="s">
        <v>3</v>
      </c>
      <c r="J3490">
        <v>3108</v>
      </c>
      <c r="K3490" t="s">
        <v>763</v>
      </c>
      <c r="L3490">
        <v>4134</v>
      </c>
      <c r="M3490" t="s">
        <v>1548</v>
      </c>
      <c r="N3490" t="s">
        <v>1552</v>
      </c>
      <c r="O3490">
        <v>36</v>
      </c>
      <c r="P3490">
        <v>6732</v>
      </c>
      <c r="Q3490" t="s">
        <v>1553</v>
      </c>
      <c r="R3490" t="s">
        <v>201</v>
      </c>
      <c r="S3490">
        <v>1</v>
      </c>
      <c r="T3490">
        <v>1</v>
      </c>
      <c r="U3490">
        <v>89232</v>
      </c>
      <c r="V3490">
        <v>89232</v>
      </c>
    </row>
    <row r="3491" spans="1:22">
      <c r="A3491" t="s">
        <v>196</v>
      </c>
      <c r="B3491">
        <v>59</v>
      </c>
      <c r="C3491" t="s">
        <v>3</v>
      </c>
      <c r="D3491">
        <v>100</v>
      </c>
      <c r="E3491" t="s">
        <v>197</v>
      </c>
      <c r="F3491">
        <v>1005</v>
      </c>
      <c r="G3491" t="s">
        <v>3</v>
      </c>
      <c r="H3491">
        <v>2005</v>
      </c>
      <c r="I3491" t="s">
        <v>3</v>
      </c>
      <c r="J3491">
        <v>3108</v>
      </c>
      <c r="K3491" t="s">
        <v>763</v>
      </c>
      <c r="L3491">
        <v>4134</v>
      </c>
      <c r="M3491" t="s">
        <v>1548</v>
      </c>
      <c r="N3491" t="s">
        <v>1552</v>
      </c>
      <c r="O3491">
        <v>36</v>
      </c>
      <c r="P3491">
        <v>6732</v>
      </c>
      <c r="Q3491" t="s">
        <v>1553</v>
      </c>
      <c r="R3491" t="s">
        <v>201</v>
      </c>
      <c r="S3491">
        <v>1</v>
      </c>
      <c r="T3491">
        <v>1</v>
      </c>
      <c r="U3491">
        <v>81276</v>
      </c>
      <c r="V3491">
        <v>81276</v>
      </c>
    </row>
    <row r="3492" spans="1:22">
      <c r="A3492" t="s">
        <v>196</v>
      </c>
      <c r="B3492">
        <v>59</v>
      </c>
      <c r="C3492" t="s">
        <v>3</v>
      </c>
      <c r="D3492">
        <v>100</v>
      </c>
      <c r="E3492" t="s">
        <v>197</v>
      </c>
      <c r="F3492">
        <v>1005</v>
      </c>
      <c r="G3492" t="s">
        <v>3</v>
      </c>
      <c r="H3492">
        <v>2005</v>
      </c>
      <c r="I3492" t="s">
        <v>3</v>
      </c>
      <c r="J3492">
        <v>3108</v>
      </c>
      <c r="K3492" t="s">
        <v>763</v>
      </c>
      <c r="L3492">
        <v>4134</v>
      </c>
      <c r="M3492" t="s">
        <v>1548</v>
      </c>
      <c r="N3492" t="s">
        <v>199</v>
      </c>
      <c r="O3492">
        <v>0</v>
      </c>
      <c r="P3492">
        <v>15</v>
      </c>
      <c r="Q3492" t="s">
        <v>264</v>
      </c>
      <c r="R3492" t="s">
        <v>201</v>
      </c>
      <c r="S3492">
        <v>0</v>
      </c>
      <c r="T3492">
        <v>0</v>
      </c>
      <c r="U3492">
        <v>14861</v>
      </c>
      <c r="V3492">
        <v>14861</v>
      </c>
    </row>
    <row r="3493" spans="1:22">
      <c r="A3493" t="s">
        <v>196</v>
      </c>
      <c r="B3493">
        <v>59</v>
      </c>
      <c r="C3493" t="s">
        <v>3</v>
      </c>
      <c r="D3493">
        <v>100</v>
      </c>
      <c r="E3493" t="s">
        <v>197</v>
      </c>
      <c r="F3493">
        <v>1005</v>
      </c>
      <c r="G3493" t="s">
        <v>3</v>
      </c>
      <c r="H3493">
        <v>2005</v>
      </c>
      <c r="I3493" t="s">
        <v>3</v>
      </c>
      <c r="J3493">
        <v>3112</v>
      </c>
      <c r="K3493" t="s">
        <v>1554</v>
      </c>
      <c r="L3493">
        <v>4144</v>
      </c>
      <c r="M3493" t="s">
        <v>309</v>
      </c>
      <c r="N3493" t="s">
        <v>199</v>
      </c>
      <c r="O3493">
        <v>89</v>
      </c>
      <c r="P3493">
        <v>9702</v>
      </c>
      <c r="Q3493" t="s">
        <v>1500</v>
      </c>
      <c r="R3493" t="s">
        <v>201</v>
      </c>
      <c r="S3493">
        <v>1</v>
      </c>
      <c r="T3493">
        <v>1</v>
      </c>
      <c r="U3493">
        <v>221796</v>
      </c>
      <c r="V3493">
        <v>221796</v>
      </c>
    </row>
    <row r="3494" spans="1:22">
      <c r="A3494" t="s">
        <v>196</v>
      </c>
      <c r="B3494">
        <v>59</v>
      </c>
      <c r="C3494" t="s">
        <v>3</v>
      </c>
      <c r="D3494">
        <v>100</v>
      </c>
      <c r="E3494" t="s">
        <v>197</v>
      </c>
      <c r="F3494">
        <v>1005</v>
      </c>
      <c r="G3494" t="s">
        <v>3</v>
      </c>
      <c r="H3494">
        <v>2005</v>
      </c>
      <c r="I3494" t="s">
        <v>3</v>
      </c>
      <c r="J3494">
        <v>3112</v>
      </c>
      <c r="K3494" t="s">
        <v>1554</v>
      </c>
      <c r="L3494">
        <v>4144</v>
      </c>
      <c r="M3494" t="s">
        <v>309</v>
      </c>
      <c r="N3494" t="s">
        <v>1294</v>
      </c>
      <c r="O3494">
        <v>0</v>
      </c>
      <c r="P3494">
        <v>9681</v>
      </c>
      <c r="Q3494" t="s">
        <v>338</v>
      </c>
      <c r="R3494" t="s">
        <v>201</v>
      </c>
      <c r="S3494">
        <v>1</v>
      </c>
      <c r="T3494">
        <v>1</v>
      </c>
      <c r="U3494">
        <v>192852</v>
      </c>
      <c r="V3494">
        <v>192852</v>
      </c>
    </row>
    <row r="3495" spans="1:22">
      <c r="A3495" t="s">
        <v>196</v>
      </c>
      <c r="B3495">
        <v>59</v>
      </c>
      <c r="C3495" t="s">
        <v>3</v>
      </c>
      <c r="D3495">
        <v>100</v>
      </c>
      <c r="E3495" t="s">
        <v>197</v>
      </c>
      <c r="F3495">
        <v>1005</v>
      </c>
      <c r="G3495" t="s">
        <v>3</v>
      </c>
      <c r="H3495">
        <v>2005</v>
      </c>
      <c r="I3495" t="s">
        <v>3</v>
      </c>
      <c r="J3495">
        <v>3112</v>
      </c>
      <c r="K3495" t="s">
        <v>1554</v>
      </c>
      <c r="L3495">
        <v>4144</v>
      </c>
      <c r="M3495" t="s">
        <v>309</v>
      </c>
      <c r="N3495" t="s">
        <v>602</v>
      </c>
      <c r="O3495">
        <v>4</v>
      </c>
      <c r="P3495">
        <v>8877</v>
      </c>
      <c r="Q3495" t="s">
        <v>1555</v>
      </c>
      <c r="R3495" t="s">
        <v>201</v>
      </c>
      <c r="S3495">
        <v>1</v>
      </c>
      <c r="T3495">
        <v>1</v>
      </c>
      <c r="U3495">
        <v>141564</v>
      </c>
      <c r="V3495">
        <v>141564</v>
      </c>
    </row>
    <row r="3496" spans="1:22">
      <c r="A3496" t="s">
        <v>196</v>
      </c>
      <c r="B3496">
        <v>59</v>
      </c>
      <c r="C3496" t="s">
        <v>3</v>
      </c>
      <c r="D3496">
        <v>100</v>
      </c>
      <c r="E3496" t="s">
        <v>197</v>
      </c>
      <c r="F3496">
        <v>1005</v>
      </c>
      <c r="G3496" t="s">
        <v>3</v>
      </c>
      <c r="H3496">
        <v>2005</v>
      </c>
      <c r="I3496" t="s">
        <v>3</v>
      </c>
      <c r="J3496">
        <v>3112</v>
      </c>
      <c r="K3496" t="s">
        <v>1554</v>
      </c>
      <c r="L3496">
        <v>4144</v>
      </c>
      <c r="M3496" t="s">
        <v>309</v>
      </c>
      <c r="N3496" t="s">
        <v>688</v>
      </c>
      <c r="O3496">
        <v>4</v>
      </c>
      <c r="P3496">
        <v>8875</v>
      </c>
      <c r="Q3496" t="s">
        <v>1556</v>
      </c>
      <c r="R3496" t="s">
        <v>201</v>
      </c>
      <c r="S3496">
        <v>3</v>
      </c>
      <c r="T3496">
        <v>1</v>
      </c>
      <c r="U3496">
        <v>92940</v>
      </c>
      <c r="V3496">
        <v>278820</v>
      </c>
    </row>
    <row r="3497" spans="1:22">
      <c r="A3497" t="s">
        <v>196</v>
      </c>
      <c r="B3497">
        <v>59</v>
      </c>
      <c r="C3497" t="s">
        <v>3</v>
      </c>
      <c r="D3497">
        <v>100</v>
      </c>
      <c r="E3497" t="s">
        <v>197</v>
      </c>
      <c r="F3497">
        <v>1005</v>
      </c>
      <c r="G3497" t="s">
        <v>3</v>
      </c>
      <c r="H3497">
        <v>2005</v>
      </c>
      <c r="I3497" t="s">
        <v>3</v>
      </c>
      <c r="J3497">
        <v>3112</v>
      </c>
      <c r="K3497" t="s">
        <v>1554</v>
      </c>
      <c r="L3497">
        <v>4144</v>
      </c>
      <c r="M3497" t="s">
        <v>309</v>
      </c>
      <c r="N3497" t="s">
        <v>1519</v>
      </c>
      <c r="O3497">
        <v>80</v>
      </c>
      <c r="P3497">
        <v>8725</v>
      </c>
      <c r="Q3497" t="s">
        <v>1296</v>
      </c>
      <c r="R3497" t="s">
        <v>201</v>
      </c>
      <c r="S3497">
        <v>1</v>
      </c>
      <c r="T3497">
        <v>1</v>
      </c>
      <c r="U3497">
        <v>156396</v>
      </c>
      <c r="V3497">
        <v>156396</v>
      </c>
    </row>
    <row r="3498" spans="1:22">
      <c r="A3498" t="s">
        <v>196</v>
      </c>
      <c r="B3498">
        <v>59</v>
      </c>
      <c r="C3498" t="s">
        <v>3</v>
      </c>
      <c r="D3498">
        <v>100</v>
      </c>
      <c r="E3498" t="s">
        <v>197</v>
      </c>
      <c r="F3498">
        <v>1005</v>
      </c>
      <c r="G3498" t="s">
        <v>3</v>
      </c>
      <c r="H3498">
        <v>2005</v>
      </c>
      <c r="I3498" t="s">
        <v>3</v>
      </c>
      <c r="J3498">
        <v>3112</v>
      </c>
      <c r="K3498" t="s">
        <v>1554</v>
      </c>
      <c r="L3498">
        <v>4144</v>
      </c>
      <c r="M3498" t="s">
        <v>309</v>
      </c>
      <c r="N3498" t="s">
        <v>351</v>
      </c>
      <c r="O3498">
        <v>1</v>
      </c>
      <c r="P3498" t="s">
        <v>352</v>
      </c>
      <c r="Q3498" t="s">
        <v>353</v>
      </c>
      <c r="R3498" t="s">
        <v>201</v>
      </c>
      <c r="S3498">
        <v>2</v>
      </c>
      <c r="T3498">
        <v>1</v>
      </c>
      <c r="U3498">
        <v>108576</v>
      </c>
      <c r="V3498">
        <v>217152</v>
      </c>
    </row>
    <row r="3499" spans="1:22">
      <c r="A3499" t="s">
        <v>196</v>
      </c>
      <c r="B3499">
        <v>59</v>
      </c>
      <c r="C3499" t="s">
        <v>3</v>
      </c>
      <c r="D3499">
        <v>100</v>
      </c>
      <c r="E3499" t="s">
        <v>197</v>
      </c>
      <c r="F3499">
        <v>1005</v>
      </c>
      <c r="G3499" t="s">
        <v>3</v>
      </c>
      <c r="H3499">
        <v>2005</v>
      </c>
      <c r="I3499" t="s">
        <v>3</v>
      </c>
      <c r="J3499">
        <v>3112</v>
      </c>
      <c r="K3499" t="s">
        <v>1554</v>
      </c>
      <c r="L3499">
        <v>4144</v>
      </c>
      <c r="M3499" t="s">
        <v>309</v>
      </c>
      <c r="N3499" t="s">
        <v>341</v>
      </c>
      <c r="O3499">
        <v>1</v>
      </c>
      <c r="P3499">
        <v>308</v>
      </c>
      <c r="Q3499" t="s">
        <v>355</v>
      </c>
      <c r="R3499" t="s">
        <v>201</v>
      </c>
      <c r="S3499">
        <v>1</v>
      </c>
      <c r="T3499">
        <v>1</v>
      </c>
      <c r="U3499">
        <v>113628</v>
      </c>
      <c r="V3499">
        <v>113628</v>
      </c>
    </row>
    <row r="3500" spans="1:22">
      <c r="A3500" t="s">
        <v>196</v>
      </c>
      <c r="B3500">
        <v>59</v>
      </c>
      <c r="C3500" t="s">
        <v>3</v>
      </c>
      <c r="D3500">
        <v>100</v>
      </c>
      <c r="E3500" t="s">
        <v>197</v>
      </c>
      <c r="F3500">
        <v>1005</v>
      </c>
      <c r="G3500" t="s">
        <v>3</v>
      </c>
      <c r="H3500">
        <v>2005</v>
      </c>
      <c r="I3500" t="s">
        <v>3</v>
      </c>
      <c r="J3500">
        <v>3112</v>
      </c>
      <c r="K3500" t="s">
        <v>1554</v>
      </c>
      <c r="L3500">
        <v>4144</v>
      </c>
      <c r="M3500" t="s">
        <v>309</v>
      </c>
      <c r="N3500" t="s">
        <v>199</v>
      </c>
      <c r="O3500">
        <v>0</v>
      </c>
      <c r="P3500">
        <v>15</v>
      </c>
      <c r="Q3500" t="s">
        <v>264</v>
      </c>
      <c r="R3500" t="s">
        <v>201</v>
      </c>
      <c r="S3500">
        <v>0</v>
      </c>
      <c r="T3500">
        <v>0</v>
      </c>
      <c r="U3500">
        <v>12036</v>
      </c>
      <c r="V3500">
        <v>12036</v>
      </c>
    </row>
    <row r="3501" spans="1:22">
      <c r="A3501" t="s">
        <v>196</v>
      </c>
      <c r="B3501">
        <v>59</v>
      </c>
      <c r="C3501" t="s">
        <v>3</v>
      </c>
      <c r="D3501">
        <v>100</v>
      </c>
      <c r="E3501" t="s">
        <v>197</v>
      </c>
      <c r="F3501">
        <v>1005</v>
      </c>
      <c r="G3501" t="s">
        <v>3</v>
      </c>
      <c r="H3501">
        <v>2005</v>
      </c>
      <c r="I3501" t="s">
        <v>3</v>
      </c>
      <c r="J3501">
        <v>3112</v>
      </c>
      <c r="K3501" t="s">
        <v>1554</v>
      </c>
      <c r="L3501">
        <v>4146</v>
      </c>
      <c r="M3501" t="s">
        <v>1557</v>
      </c>
      <c r="N3501" t="s">
        <v>1491</v>
      </c>
      <c r="O3501">
        <v>87</v>
      </c>
      <c r="P3501">
        <v>8819</v>
      </c>
      <c r="Q3501" t="s">
        <v>1506</v>
      </c>
      <c r="R3501" t="s">
        <v>201</v>
      </c>
      <c r="S3501">
        <v>1</v>
      </c>
      <c r="T3501">
        <v>1</v>
      </c>
      <c r="U3501">
        <v>125202</v>
      </c>
      <c r="V3501">
        <v>125202</v>
      </c>
    </row>
    <row r="3502" spans="1:22">
      <c r="A3502" t="s">
        <v>196</v>
      </c>
      <c r="B3502">
        <v>59</v>
      </c>
      <c r="C3502" t="s">
        <v>3</v>
      </c>
      <c r="D3502">
        <v>100</v>
      </c>
      <c r="E3502" t="s">
        <v>197</v>
      </c>
      <c r="F3502">
        <v>1005</v>
      </c>
      <c r="G3502" t="s">
        <v>3</v>
      </c>
      <c r="H3502">
        <v>2005</v>
      </c>
      <c r="I3502" t="s">
        <v>3</v>
      </c>
      <c r="J3502">
        <v>3112</v>
      </c>
      <c r="K3502" t="s">
        <v>1554</v>
      </c>
      <c r="L3502">
        <v>4146</v>
      </c>
      <c r="M3502" t="s">
        <v>1557</v>
      </c>
      <c r="N3502" t="s">
        <v>1509</v>
      </c>
      <c r="O3502">
        <v>87</v>
      </c>
      <c r="P3502">
        <v>8817</v>
      </c>
      <c r="Q3502" t="s">
        <v>1510</v>
      </c>
      <c r="R3502" t="s">
        <v>201</v>
      </c>
      <c r="S3502">
        <v>5</v>
      </c>
      <c r="T3502">
        <v>1</v>
      </c>
      <c r="U3502">
        <v>151764</v>
      </c>
      <c r="V3502">
        <v>758820</v>
      </c>
    </row>
    <row r="3503" spans="1:22">
      <c r="A3503" t="s">
        <v>196</v>
      </c>
      <c r="B3503">
        <v>59</v>
      </c>
      <c r="C3503" t="s">
        <v>3</v>
      </c>
      <c r="D3503">
        <v>100</v>
      </c>
      <c r="E3503" t="s">
        <v>197</v>
      </c>
      <c r="F3503">
        <v>1005</v>
      </c>
      <c r="G3503" t="s">
        <v>3</v>
      </c>
      <c r="H3503">
        <v>2005</v>
      </c>
      <c r="I3503" t="s">
        <v>3</v>
      </c>
      <c r="J3503">
        <v>3112</v>
      </c>
      <c r="K3503" t="s">
        <v>1554</v>
      </c>
      <c r="L3503">
        <v>4146</v>
      </c>
      <c r="M3503" t="s">
        <v>1557</v>
      </c>
      <c r="N3503" t="s">
        <v>1509</v>
      </c>
      <c r="O3503">
        <v>87</v>
      </c>
      <c r="P3503">
        <v>8817</v>
      </c>
      <c r="Q3503" t="s">
        <v>1510</v>
      </c>
      <c r="R3503" t="s">
        <v>201</v>
      </c>
      <c r="S3503">
        <v>1</v>
      </c>
      <c r="T3503">
        <v>1</v>
      </c>
      <c r="U3503">
        <v>147258</v>
      </c>
      <c r="V3503">
        <v>147258</v>
      </c>
    </row>
    <row r="3504" spans="1:22">
      <c r="A3504" t="s">
        <v>196</v>
      </c>
      <c r="B3504">
        <v>59</v>
      </c>
      <c r="C3504" t="s">
        <v>3</v>
      </c>
      <c r="D3504">
        <v>100</v>
      </c>
      <c r="E3504" t="s">
        <v>197</v>
      </c>
      <c r="F3504">
        <v>1005</v>
      </c>
      <c r="G3504" t="s">
        <v>3</v>
      </c>
      <c r="H3504">
        <v>2005</v>
      </c>
      <c r="I3504" t="s">
        <v>3</v>
      </c>
      <c r="J3504">
        <v>3112</v>
      </c>
      <c r="K3504" t="s">
        <v>1554</v>
      </c>
      <c r="L3504">
        <v>4146</v>
      </c>
      <c r="M3504" t="s">
        <v>1557</v>
      </c>
      <c r="N3504" t="s">
        <v>1511</v>
      </c>
      <c r="O3504">
        <v>87</v>
      </c>
      <c r="P3504">
        <v>8812</v>
      </c>
      <c r="Q3504" t="s">
        <v>1512</v>
      </c>
      <c r="R3504" t="s">
        <v>201</v>
      </c>
      <c r="S3504">
        <v>2</v>
      </c>
      <c r="T3504">
        <v>1</v>
      </c>
      <c r="U3504">
        <v>138378</v>
      </c>
      <c r="V3504">
        <v>276756</v>
      </c>
    </row>
    <row r="3505" spans="1:22">
      <c r="A3505" t="s">
        <v>196</v>
      </c>
      <c r="B3505">
        <v>59</v>
      </c>
      <c r="C3505" t="s">
        <v>3</v>
      </c>
      <c r="D3505">
        <v>100</v>
      </c>
      <c r="E3505" t="s">
        <v>197</v>
      </c>
      <c r="F3505">
        <v>1005</v>
      </c>
      <c r="G3505" t="s">
        <v>3</v>
      </c>
      <c r="H3505">
        <v>2005</v>
      </c>
      <c r="I3505" t="s">
        <v>3</v>
      </c>
      <c r="J3505">
        <v>3112</v>
      </c>
      <c r="K3505" t="s">
        <v>1554</v>
      </c>
      <c r="L3505">
        <v>4146</v>
      </c>
      <c r="M3505" t="s">
        <v>1557</v>
      </c>
      <c r="N3505" t="s">
        <v>1511</v>
      </c>
      <c r="O3505">
        <v>87</v>
      </c>
      <c r="P3505">
        <v>8812</v>
      </c>
      <c r="Q3505" t="s">
        <v>1512</v>
      </c>
      <c r="R3505" t="s">
        <v>201</v>
      </c>
      <c r="S3505">
        <v>2</v>
      </c>
      <c r="T3505">
        <v>1</v>
      </c>
      <c r="U3505">
        <v>134028</v>
      </c>
      <c r="V3505">
        <v>268056</v>
      </c>
    </row>
    <row r="3506" spans="1:22">
      <c r="A3506" t="s">
        <v>196</v>
      </c>
      <c r="B3506">
        <v>59</v>
      </c>
      <c r="C3506" t="s">
        <v>3</v>
      </c>
      <c r="D3506">
        <v>100</v>
      </c>
      <c r="E3506" t="s">
        <v>197</v>
      </c>
      <c r="F3506">
        <v>1005</v>
      </c>
      <c r="G3506" t="s">
        <v>3</v>
      </c>
      <c r="H3506">
        <v>2005</v>
      </c>
      <c r="I3506" t="s">
        <v>3</v>
      </c>
      <c r="J3506">
        <v>3112</v>
      </c>
      <c r="K3506" t="s">
        <v>1554</v>
      </c>
      <c r="L3506">
        <v>4146</v>
      </c>
      <c r="M3506" t="s">
        <v>1557</v>
      </c>
      <c r="N3506" t="s">
        <v>1511</v>
      </c>
      <c r="O3506">
        <v>87</v>
      </c>
      <c r="P3506">
        <v>8812</v>
      </c>
      <c r="Q3506" t="s">
        <v>1512</v>
      </c>
      <c r="R3506" t="s">
        <v>201</v>
      </c>
      <c r="S3506">
        <v>1</v>
      </c>
      <c r="T3506">
        <v>1</v>
      </c>
      <c r="U3506">
        <v>125904</v>
      </c>
      <c r="V3506">
        <v>125904</v>
      </c>
    </row>
    <row r="3507" spans="1:22">
      <c r="A3507" t="s">
        <v>196</v>
      </c>
      <c r="B3507">
        <v>59</v>
      </c>
      <c r="C3507" t="s">
        <v>3</v>
      </c>
      <c r="D3507">
        <v>100</v>
      </c>
      <c r="E3507" t="s">
        <v>197</v>
      </c>
      <c r="F3507">
        <v>1005</v>
      </c>
      <c r="G3507" t="s">
        <v>3</v>
      </c>
      <c r="H3507">
        <v>2005</v>
      </c>
      <c r="I3507" t="s">
        <v>3</v>
      </c>
      <c r="J3507">
        <v>3112</v>
      </c>
      <c r="K3507" t="s">
        <v>1554</v>
      </c>
      <c r="L3507">
        <v>4146</v>
      </c>
      <c r="M3507" t="s">
        <v>1557</v>
      </c>
      <c r="N3507" t="s">
        <v>1513</v>
      </c>
      <c r="O3507">
        <v>87</v>
      </c>
      <c r="P3507">
        <v>8811</v>
      </c>
      <c r="Q3507" t="s">
        <v>1514</v>
      </c>
      <c r="R3507" t="s">
        <v>201</v>
      </c>
      <c r="S3507">
        <v>12</v>
      </c>
      <c r="T3507">
        <v>1</v>
      </c>
      <c r="U3507">
        <v>135144</v>
      </c>
      <c r="V3507">
        <v>1621728</v>
      </c>
    </row>
    <row r="3508" spans="1:22">
      <c r="A3508" t="s">
        <v>196</v>
      </c>
      <c r="B3508">
        <v>59</v>
      </c>
      <c r="C3508" t="s">
        <v>3</v>
      </c>
      <c r="D3508">
        <v>100</v>
      </c>
      <c r="E3508" t="s">
        <v>197</v>
      </c>
      <c r="F3508">
        <v>1005</v>
      </c>
      <c r="G3508" t="s">
        <v>3</v>
      </c>
      <c r="H3508">
        <v>2005</v>
      </c>
      <c r="I3508" t="s">
        <v>3</v>
      </c>
      <c r="J3508">
        <v>3112</v>
      </c>
      <c r="K3508" t="s">
        <v>1554</v>
      </c>
      <c r="L3508">
        <v>4146</v>
      </c>
      <c r="M3508" t="s">
        <v>1557</v>
      </c>
      <c r="N3508" t="s">
        <v>1513</v>
      </c>
      <c r="O3508">
        <v>87</v>
      </c>
      <c r="P3508">
        <v>8811</v>
      </c>
      <c r="Q3508" t="s">
        <v>1514</v>
      </c>
      <c r="R3508" t="s">
        <v>201</v>
      </c>
      <c r="S3508">
        <v>5</v>
      </c>
      <c r="T3508">
        <v>1</v>
      </c>
      <c r="U3508">
        <v>130908</v>
      </c>
      <c r="V3508">
        <v>654540</v>
      </c>
    </row>
    <row r="3509" spans="1:22">
      <c r="A3509" t="s">
        <v>196</v>
      </c>
      <c r="B3509">
        <v>59</v>
      </c>
      <c r="C3509" t="s">
        <v>3</v>
      </c>
      <c r="D3509">
        <v>100</v>
      </c>
      <c r="E3509" t="s">
        <v>197</v>
      </c>
      <c r="F3509">
        <v>1005</v>
      </c>
      <c r="G3509" t="s">
        <v>3</v>
      </c>
      <c r="H3509">
        <v>2005</v>
      </c>
      <c r="I3509" t="s">
        <v>3</v>
      </c>
      <c r="J3509">
        <v>3112</v>
      </c>
      <c r="K3509" t="s">
        <v>1554</v>
      </c>
      <c r="L3509">
        <v>4146</v>
      </c>
      <c r="M3509" t="s">
        <v>1557</v>
      </c>
      <c r="N3509" t="s">
        <v>1513</v>
      </c>
      <c r="O3509">
        <v>87</v>
      </c>
      <c r="P3509">
        <v>8811</v>
      </c>
      <c r="Q3509" t="s">
        <v>1514</v>
      </c>
      <c r="R3509" t="s">
        <v>201</v>
      </c>
      <c r="S3509">
        <v>7</v>
      </c>
      <c r="T3509">
        <v>1</v>
      </c>
      <c r="U3509">
        <v>126840</v>
      </c>
      <c r="V3509">
        <v>887880</v>
      </c>
    </row>
    <row r="3510" spans="1:22">
      <c r="A3510" t="s">
        <v>196</v>
      </c>
      <c r="B3510">
        <v>59</v>
      </c>
      <c r="C3510" t="s">
        <v>3</v>
      </c>
      <c r="D3510">
        <v>100</v>
      </c>
      <c r="E3510" t="s">
        <v>197</v>
      </c>
      <c r="F3510">
        <v>1005</v>
      </c>
      <c r="G3510" t="s">
        <v>3</v>
      </c>
      <c r="H3510">
        <v>2005</v>
      </c>
      <c r="I3510" t="s">
        <v>3</v>
      </c>
      <c r="J3510">
        <v>3112</v>
      </c>
      <c r="K3510" t="s">
        <v>1554</v>
      </c>
      <c r="L3510">
        <v>4146</v>
      </c>
      <c r="M3510" t="s">
        <v>1557</v>
      </c>
      <c r="N3510" t="s">
        <v>1513</v>
      </c>
      <c r="O3510">
        <v>87</v>
      </c>
      <c r="P3510">
        <v>8811</v>
      </c>
      <c r="Q3510" t="s">
        <v>1514</v>
      </c>
      <c r="R3510" t="s">
        <v>201</v>
      </c>
      <c r="S3510">
        <v>7</v>
      </c>
      <c r="T3510">
        <v>1</v>
      </c>
      <c r="U3510">
        <v>122976</v>
      </c>
      <c r="V3510">
        <v>860832</v>
      </c>
    </row>
    <row r="3511" spans="1:22">
      <c r="A3511" t="s">
        <v>196</v>
      </c>
      <c r="B3511">
        <v>59</v>
      </c>
      <c r="C3511" t="s">
        <v>3</v>
      </c>
      <c r="D3511">
        <v>100</v>
      </c>
      <c r="E3511" t="s">
        <v>197</v>
      </c>
      <c r="F3511">
        <v>1005</v>
      </c>
      <c r="G3511" t="s">
        <v>3</v>
      </c>
      <c r="H3511">
        <v>2005</v>
      </c>
      <c r="I3511" t="s">
        <v>3</v>
      </c>
      <c r="J3511">
        <v>3112</v>
      </c>
      <c r="K3511" t="s">
        <v>1554</v>
      </c>
      <c r="L3511">
        <v>4146</v>
      </c>
      <c r="M3511" t="s">
        <v>1557</v>
      </c>
      <c r="N3511" t="s">
        <v>1491</v>
      </c>
      <c r="O3511">
        <v>87</v>
      </c>
      <c r="P3511">
        <v>8807</v>
      </c>
      <c r="Q3511" t="s">
        <v>1516</v>
      </c>
      <c r="R3511" t="s">
        <v>201</v>
      </c>
      <c r="S3511">
        <v>1</v>
      </c>
      <c r="T3511">
        <v>1</v>
      </c>
      <c r="U3511">
        <v>118830</v>
      </c>
      <c r="V3511">
        <v>118830</v>
      </c>
    </row>
    <row r="3512" spans="1:22">
      <c r="A3512" t="s">
        <v>196</v>
      </c>
      <c r="B3512">
        <v>59</v>
      </c>
      <c r="C3512" t="s">
        <v>3</v>
      </c>
      <c r="D3512">
        <v>100</v>
      </c>
      <c r="E3512" t="s">
        <v>197</v>
      </c>
      <c r="F3512">
        <v>1005</v>
      </c>
      <c r="G3512" t="s">
        <v>3</v>
      </c>
      <c r="H3512">
        <v>2005</v>
      </c>
      <c r="I3512" t="s">
        <v>3</v>
      </c>
      <c r="J3512">
        <v>3112</v>
      </c>
      <c r="K3512" t="s">
        <v>1554</v>
      </c>
      <c r="L3512">
        <v>4146</v>
      </c>
      <c r="M3512" t="s">
        <v>1557</v>
      </c>
      <c r="N3512" t="s">
        <v>1491</v>
      </c>
      <c r="O3512">
        <v>87</v>
      </c>
      <c r="P3512">
        <v>8807</v>
      </c>
      <c r="Q3512" t="s">
        <v>1516</v>
      </c>
      <c r="R3512" t="s">
        <v>201</v>
      </c>
      <c r="S3512">
        <v>1</v>
      </c>
      <c r="T3512">
        <v>1</v>
      </c>
      <c r="U3512">
        <v>114654</v>
      </c>
      <c r="V3512">
        <v>114654</v>
      </c>
    </row>
    <row r="3513" spans="1:22">
      <c r="A3513" t="s">
        <v>196</v>
      </c>
      <c r="B3513">
        <v>59</v>
      </c>
      <c r="C3513" t="s">
        <v>3</v>
      </c>
      <c r="D3513">
        <v>100</v>
      </c>
      <c r="E3513" t="s">
        <v>197</v>
      </c>
      <c r="F3513">
        <v>1005</v>
      </c>
      <c r="G3513" t="s">
        <v>3</v>
      </c>
      <c r="H3513">
        <v>2005</v>
      </c>
      <c r="I3513" t="s">
        <v>3</v>
      </c>
      <c r="J3513">
        <v>3112</v>
      </c>
      <c r="K3513" t="s">
        <v>1554</v>
      </c>
      <c r="L3513">
        <v>4146</v>
      </c>
      <c r="M3513" t="s">
        <v>1557</v>
      </c>
      <c r="N3513" t="s">
        <v>1489</v>
      </c>
      <c r="O3513">
        <v>87</v>
      </c>
      <c r="P3513">
        <v>8802</v>
      </c>
      <c r="Q3513" t="s">
        <v>1517</v>
      </c>
      <c r="R3513" t="s">
        <v>201</v>
      </c>
      <c r="S3513">
        <v>1</v>
      </c>
      <c r="T3513">
        <v>1</v>
      </c>
      <c r="U3513">
        <v>88770</v>
      </c>
      <c r="V3513">
        <v>88770</v>
      </c>
    </row>
    <row r="3514" spans="1:22">
      <c r="A3514" t="s">
        <v>196</v>
      </c>
      <c r="B3514">
        <v>59</v>
      </c>
      <c r="C3514" t="s">
        <v>3</v>
      </c>
      <c r="D3514">
        <v>100</v>
      </c>
      <c r="E3514" t="s">
        <v>197</v>
      </c>
      <c r="F3514">
        <v>1005</v>
      </c>
      <c r="G3514" t="s">
        <v>3</v>
      </c>
      <c r="H3514">
        <v>2005</v>
      </c>
      <c r="I3514" t="s">
        <v>3</v>
      </c>
      <c r="J3514">
        <v>3112</v>
      </c>
      <c r="K3514" t="s">
        <v>1554</v>
      </c>
      <c r="L3514">
        <v>4146</v>
      </c>
      <c r="M3514" t="s">
        <v>1557</v>
      </c>
      <c r="N3514" t="s">
        <v>1489</v>
      </c>
      <c r="O3514">
        <v>87</v>
      </c>
      <c r="P3514">
        <v>8802</v>
      </c>
      <c r="Q3514" t="s">
        <v>1517</v>
      </c>
      <c r="R3514" t="s">
        <v>201</v>
      </c>
      <c r="S3514">
        <v>1</v>
      </c>
      <c r="T3514">
        <v>1</v>
      </c>
      <c r="U3514">
        <v>84612</v>
      </c>
      <c r="V3514">
        <v>84612</v>
      </c>
    </row>
    <row r="3515" spans="1:22">
      <c r="A3515" t="s">
        <v>196</v>
      </c>
      <c r="B3515">
        <v>59</v>
      </c>
      <c r="C3515" t="s">
        <v>3</v>
      </c>
      <c r="D3515">
        <v>100</v>
      </c>
      <c r="E3515" t="s">
        <v>197</v>
      </c>
      <c r="F3515">
        <v>1005</v>
      </c>
      <c r="G3515" t="s">
        <v>3</v>
      </c>
      <c r="H3515">
        <v>2005</v>
      </c>
      <c r="I3515" t="s">
        <v>3</v>
      </c>
      <c r="J3515">
        <v>3112</v>
      </c>
      <c r="K3515" t="s">
        <v>1554</v>
      </c>
      <c r="L3515">
        <v>4146</v>
      </c>
      <c r="M3515" t="s">
        <v>1557</v>
      </c>
      <c r="N3515" t="s">
        <v>1487</v>
      </c>
      <c r="O3515">
        <v>87</v>
      </c>
      <c r="P3515">
        <v>8801</v>
      </c>
      <c r="Q3515" t="s">
        <v>1488</v>
      </c>
      <c r="R3515" t="s">
        <v>201</v>
      </c>
      <c r="S3515">
        <v>2</v>
      </c>
      <c r="T3515">
        <v>1</v>
      </c>
      <c r="U3515">
        <v>114570</v>
      </c>
      <c r="V3515">
        <v>229140</v>
      </c>
    </row>
    <row r="3516" spans="1:22">
      <c r="A3516" t="s">
        <v>196</v>
      </c>
      <c r="B3516">
        <v>59</v>
      </c>
      <c r="C3516" t="s">
        <v>3</v>
      </c>
      <c r="D3516">
        <v>100</v>
      </c>
      <c r="E3516" t="s">
        <v>197</v>
      </c>
      <c r="F3516">
        <v>1005</v>
      </c>
      <c r="G3516" t="s">
        <v>3</v>
      </c>
      <c r="H3516">
        <v>2005</v>
      </c>
      <c r="I3516" t="s">
        <v>3</v>
      </c>
      <c r="J3516">
        <v>3112</v>
      </c>
      <c r="K3516" t="s">
        <v>1554</v>
      </c>
      <c r="L3516">
        <v>4146</v>
      </c>
      <c r="M3516" t="s">
        <v>1557</v>
      </c>
      <c r="N3516" t="s">
        <v>1487</v>
      </c>
      <c r="O3516">
        <v>87</v>
      </c>
      <c r="P3516">
        <v>8801</v>
      </c>
      <c r="Q3516" t="s">
        <v>1488</v>
      </c>
      <c r="R3516" t="s">
        <v>201</v>
      </c>
      <c r="S3516">
        <v>6</v>
      </c>
      <c r="T3516">
        <v>1</v>
      </c>
      <c r="U3516">
        <v>110196</v>
      </c>
      <c r="V3516">
        <v>661176</v>
      </c>
    </row>
    <row r="3517" spans="1:22">
      <c r="A3517" t="s">
        <v>196</v>
      </c>
      <c r="B3517">
        <v>59</v>
      </c>
      <c r="C3517" t="s">
        <v>3</v>
      </c>
      <c r="D3517">
        <v>100</v>
      </c>
      <c r="E3517" t="s">
        <v>197</v>
      </c>
      <c r="F3517">
        <v>1005</v>
      </c>
      <c r="G3517" t="s">
        <v>3</v>
      </c>
      <c r="H3517">
        <v>2005</v>
      </c>
      <c r="I3517" t="s">
        <v>3</v>
      </c>
      <c r="J3517">
        <v>3112</v>
      </c>
      <c r="K3517" t="s">
        <v>1554</v>
      </c>
      <c r="L3517">
        <v>4146</v>
      </c>
      <c r="M3517" t="s">
        <v>1557</v>
      </c>
      <c r="N3517" t="s">
        <v>1487</v>
      </c>
      <c r="O3517">
        <v>87</v>
      </c>
      <c r="P3517">
        <v>8801</v>
      </c>
      <c r="Q3517" t="s">
        <v>1488</v>
      </c>
      <c r="R3517" t="s">
        <v>201</v>
      </c>
      <c r="S3517">
        <v>5</v>
      </c>
      <c r="T3517">
        <v>1</v>
      </c>
      <c r="U3517">
        <v>105936</v>
      </c>
      <c r="V3517">
        <v>529680</v>
      </c>
    </row>
    <row r="3518" spans="1:22">
      <c r="A3518" t="s">
        <v>196</v>
      </c>
      <c r="B3518">
        <v>59</v>
      </c>
      <c r="C3518" t="s">
        <v>3</v>
      </c>
      <c r="D3518">
        <v>100</v>
      </c>
      <c r="E3518" t="s">
        <v>197</v>
      </c>
      <c r="F3518">
        <v>1005</v>
      </c>
      <c r="G3518" t="s">
        <v>3</v>
      </c>
      <c r="H3518">
        <v>2005</v>
      </c>
      <c r="I3518" t="s">
        <v>3</v>
      </c>
      <c r="J3518">
        <v>3112</v>
      </c>
      <c r="K3518" t="s">
        <v>1554</v>
      </c>
      <c r="L3518">
        <v>4146</v>
      </c>
      <c r="M3518" t="s">
        <v>1557</v>
      </c>
      <c r="N3518" t="s">
        <v>1487</v>
      </c>
      <c r="O3518">
        <v>87</v>
      </c>
      <c r="P3518">
        <v>8801</v>
      </c>
      <c r="Q3518" t="s">
        <v>1488</v>
      </c>
      <c r="R3518" t="s">
        <v>201</v>
      </c>
      <c r="S3518">
        <v>1</v>
      </c>
      <c r="T3518">
        <v>1</v>
      </c>
      <c r="U3518">
        <v>102372</v>
      </c>
      <c r="V3518">
        <v>102372</v>
      </c>
    </row>
    <row r="3519" spans="1:22">
      <c r="A3519" t="s">
        <v>196</v>
      </c>
      <c r="B3519">
        <v>59</v>
      </c>
      <c r="C3519" t="s">
        <v>3</v>
      </c>
      <c r="D3519">
        <v>100</v>
      </c>
      <c r="E3519" t="s">
        <v>197</v>
      </c>
      <c r="F3519">
        <v>1005</v>
      </c>
      <c r="G3519" t="s">
        <v>3</v>
      </c>
      <c r="H3519">
        <v>2005</v>
      </c>
      <c r="I3519" t="s">
        <v>3</v>
      </c>
      <c r="J3519">
        <v>3112</v>
      </c>
      <c r="K3519" t="s">
        <v>1554</v>
      </c>
      <c r="L3519">
        <v>4146</v>
      </c>
      <c r="M3519" t="s">
        <v>1557</v>
      </c>
      <c r="N3519" t="s">
        <v>1487</v>
      </c>
      <c r="O3519">
        <v>87</v>
      </c>
      <c r="P3519">
        <v>8801</v>
      </c>
      <c r="Q3519" t="s">
        <v>1488</v>
      </c>
      <c r="R3519" t="s">
        <v>201</v>
      </c>
      <c r="S3519">
        <v>3</v>
      </c>
      <c r="T3519">
        <v>1</v>
      </c>
      <c r="U3519">
        <v>98904</v>
      </c>
      <c r="V3519">
        <v>296712</v>
      </c>
    </row>
    <row r="3520" spans="1:22">
      <c r="A3520" t="s">
        <v>196</v>
      </c>
      <c r="B3520">
        <v>59</v>
      </c>
      <c r="C3520" t="s">
        <v>3</v>
      </c>
      <c r="D3520">
        <v>100</v>
      </c>
      <c r="E3520" t="s">
        <v>197</v>
      </c>
      <c r="F3520">
        <v>1005</v>
      </c>
      <c r="G3520" t="s">
        <v>3</v>
      </c>
      <c r="H3520">
        <v>2005</v>
      </c>
      <c r="I3520" t="s">
        <v>3</v>
      </c>
      <c r="J3520">
        <v>3112</v>
      </c>
      <c r="K3520" t="s">
        <v>1554</v>
      </c>
      <c r="L3520">
        <v>4146</v>
      </c>
      <c r="M3520" t="s">
        <v>1557</v>
      </c>
      <c r="N3520" t="s">
        <v>1470</v>
      </c>
      <c r="O3520">
        <v>87</v>
      </c>
      <c r="P3520">
        <v>8735</v>
      </c>
      <c r="Q3520" t="s">
        <v>1323</v>
      </c>
      <c r="R3520" t="s">
        <v>201</v>
      </c>
      <c r="S3520">
        <v>3</v>
      </c>
      <c r="T3520">
        <v>1</v>
      </c>
      <c r="U3520">
        <v>127410</v>
      </c>
      <c r="V3520">
        <v>382230</v>
      </c>
    </row>
    <row r="3521" spans="1:22">
      <c r="A3521" t="s">
        <v>196</v>
      </c>
      <c r="B3521">
        <v>59</v>
      </c>
      <c r="C3521" t="s">
        <v>3</v>
      </c>
      <c r="D3521">
        <v>100</v>
      </c>
      <c r="E3521" t="s">
        <v>197</v>
      </c>
      <c r="F3521">
        <v>1005</v>
      </c>
      <c r="G3521" t="s">
        <v>3</v>
      </c>
      <c r="H3521">
        <v>2005</v>
      </c>
      <c r="I3521" t="s">
        <v>3</v>
      </c>
      <c r="J3521">
        <v>3112</v>
      </c>
      <c r="K3521" t="s">
        <v>1554</v>
      </c>
      <c r="L3521">
        <v>4146</v>
      </c>
      <c r="M3521" t="s">
        <v>1557</v>
      </c>
      <c r="N3521" t="s">
        <v>1470</v>
      </c>
      <c r="O3521">
        <v>87</v>
      </c>
      <c r="P3521">
        <v>8735</v>
      </c>
      <c r="Q3521" t="s">
        <v>1323</v>
      </c>
      <c r="R3521" t="s">
        <v>201</v>
      </c>
      <c r="S3521">
        <v>1</v>
      </c>
      <c r="T3521">
        <v>1</v>
      </c>
      <c r="U3521">
        <v>115938</v>
      </c>
      <c r="V3521">
        <v>115938</v>
      </c>
    </row>
    <row r="3522" spans="1:22">
      <c r="A3522" t="s">
        <v>196</v>
      </c>
      <c r="B3522">
        <v>59</v>
      </c>
      <c r="C3522" t="s">
        <v>3</v>
      </c>
      <c r="D3522">
        <v>100</v>
      </c>
      <c r="E3522" t="s">
        <v>197</v>
      </c>
      <c r="F3522">
        <v>1005</v>
      </c>
      <c r="G3522" t="s">
        <v>3</v>
      </c>
      <c r="H3522">
        <v>2005</v>
      </c>
      <c r="I3522" t="s">
        <v>3</v>
      </c>
      <c r="J3522">
        <v>3112</v>
      </c>
      <c r="K3522" t="s">
        <v>1554</v>
      </c>
      <c r="L3522">
        <v>4146</v>
      </c>
      <c r="M3522" t="s">
        <v>1557</v>
      </c>
      <c r="N3522" t="s">
        <v>1489</v>
      </c>
      <c r="O3522">
        <v>87</v>
      </c>
      <c r="P3522">
        <v>8731</v>
      </c>
      <c r="Q3522" t="s">
        <v>1522</v>
      </c>
      <c r="R3522" t="s">
        <v>201</v>
      </c>
      <c r="S3522">
        <v>2</v>
      </c>
      <c r="T3522">
        <v>1</v>
      </c>
      <c r="U3522">
        <v>103914</v>
      </c>
      <c r="V3522">
        <v>207828</v>
      </c>
    </row>
    <row r="3523" spans="1:22">
      <c r="A3523" t="s">
        <v>196</v>
      </c>
      <c r="B3523">
        <v>59</v>
      </c>
      <c r="C3523" t="s">
        <v>3</v>
      </c>
      <c r="D3523">
        <v>100</v>
      </c>
      <c r="E3523" t="s">
        <v>197</v>
      </c>
      <c r="F3523">
        <v>1005</v>
      </c>
      <c r="G3523" t="s">
        <v>3</v>
      </c>
      <c r="H3523">
        <v>2005</v>
      </c>
      <c r="I3523" t="s">
        <v>3</v>
      </c>
      <c r="J3523">
        <v>3112</v>
      </c>
      <c r="K3523" t="s">
        <v>1554</v>
      </c>
      <c r="L3523">
        <v>4146</v>
      </c>
      <c r="M3523" t="s">
        <v>1557</v>
      </c>
      <c r="N3523" t="s">
        <v>1489</v>
      </c>
      <c r="O3523">
        <v>87</v>
      </c>
      <c r="P3523">
        <v>8731</v>
      </c>
      <c r="Q3523" t="s">
        <v>1522</v>
      </c>
      <c r="R3523" t="s">
        <v>201</v>
      </c>
      <c r="S3523">
        <v>1</v>
      </c>
      <c r="T3523">
        <v>1</v>
      </c>
      <c r="U3523">
        <v>99876</v>
      </c>
      <c r="V3523">
        <v>99876</v>
      </c>
    </row>
    <row r="3524" spans="1:22">
      <c r="A3524" t="s">
        <v>196</v>
      </c>
      <c r="B3524">
        <v>59</v>
      </c>
      <c r="C3524" t="s">
        <v>3</v>
      </c>
      <c r="D3524">
        <v>100</v>
      </c>
      <c r="E3524" t="s">
        <v>197</v>
      </c>
      <c r="F3524">
        <v>1005</v>
      </c>
      <c r="G3524" t="s">
        <v>3</v>
      </c>
      <c r="H3524">
        <v>2005</v>
      </c>
      <c r="I3524" t="s">
        <v>3</v>
      </c>
      <c r="J3524">
        <v>3112</v>
      </c>
      <c r="K3524" t="s">
        <v>1554</v>
      </c>
      <c r="L3524">
        <v>4146</v>
      </c>
      <c r="M3524" t="s">
        <v>1557</v>
      </c>
      <c r="N3524" t="s">
        <v>1489</v>
      </c>
      <c r="O3524">
        <v>87</v>
      </c>
      <c r="P3524">
        <v>8731</v>
      </c>
      <c r="Q3524" t="s">
        <v>1522</v>
      </c>
      <c r="R3524" t="s">
        <v>201</v>
      </c>
      <c r="S3524">
        <v>1</v>
      </c>
      <c r="T3524">
        <v>1</v>
      </c>
      <c r="U3524">
        <v>96528</v>
      </c>
      <c r="V3524">
        <v>96528</v>
      </c>
    </row>
    <row r="3525" spans="1:22">
      <c r="A3525" t="s">
        <v>196</v>
      </c>
      <c r="B3525">
        <v>59</v>
      </c>
      <c r="C3525" t="s">
        <v>3</v>
      </c>
      <c r="D3525">
        <v>100</v>
      </c>
      <c r="E3525" t="s">
        <v>197</v>
      </c>
      <c r="F3525">
        <v>1005</v>
      </c>
      <c r="G3525" t="s">
        <v>3</v>
      </c>
      <c r="H3525">
        <v>2005</v>
      </c>
      <c r="I3525" t="s">
        <v>3</v>
      </c>
      <c r="J3525">
        <v>3112</v>
      </c>
      <c r="K3525" t="s">
        <v>1554</v>
      </c>
      <c r="L3525">
        <v>4146</v>
      </c>
      <c r="M3525" t="s">
        <v>1557</v>
      </c>
      <c r="N3525" t="s">
        <v>1523</v>
      </c>
      <c r="O3525">
        <v>87</v>
      </c>
      <c r="P3525">
        <v>8728</v>
      </c>
      <c r="Q3525" t="s">
        <v>1524</v>
      </c>
      <c r="R3525" t="s">
        <v>201</v>
      </c>
      <c r="S3525">
        <v>2</v>
      </c>
      <c r="T3525">
        <v>1</v>
      </c>
      <c r="U3525">
        <v>101262</v>
      </c>
      <c r="V3525">
        <v>202524</v>
      </c>
    </row>
    <row r="3526" spans="1:22">
      <c r="A3526" t="s">
        <v>196</v>
      </c>
      <c r="B3526">
        <v>59</v>
      </c>
      <c r="C3526" t="s">
        <v>3</v>
      </c>
      <c r="D3526">
        <v>100</v>
      </c>
      <c r="E3526" t="s">
        <v>197</v>
      </c>
      <c r="F3526">
        <v>1005</v>
      </c>
      <c r="G3526" t="s">
        <v>3</v>
      </c>
      <c r="H3526">
        <v>2005</v>
      </c>
      <c r="I3526" t="s">
        <v>3</v>
      </c>
      <c r="J3526">
        <v>3112</v>
      </c>
      <c r="K3526" t="s">
        <v>1554</v>
      </c>
      <c r="L3526">
        <v>4146</v>
      </c>
      <c r="M3526" t="s">
        <v>1557</v>
      </c>
      <c r="N3526" t="s">
        <v>1475</v>
      </c>
      <c r="O3526">
        <v>87</v>
      </c>
      <c r="P3526">
        <v>8701</v>
      </c>
      <c r="Q3526" t="s">
        <v>1526</v>
      </c>
      <c r="R3526" t="s">
        <v>201</v>
      </c>
      <c r="S3526">
        <v>1</v>
      </c>
      <c r="T3526">
        <v>1</v>
      </c>
      <c r="U3526">
        <v>165858</v>
      </c>
      <c r="V3526">
        <v>165858</v>
      </c>
    </row>
    <row r="3527" spans="1:22">
      <c r="A3527" t="s">
        <v>196</v>
      </c>
      <c r="B3527">
        <v>59</v>
      </c>
      <c r="C3527" t="s">
        <v>3</v>
      </c>
      <c r="D3527">
        <v>100</v>
      </c>
      <c r="E3527" t="s">
        <v>197</v>
      </c>
      <c r="F3527">
        <v>1005</v>
      </c>
      <c r="G3527" t="s">
        <v>3</v>
      </c>
      <c r="H3527">
        <v>2005</v>
      </c>
      <c r="I3527" t="s">
        <v>3</v>
      </c>
      <c r="J3527">
        <v>3112</v>
      </c>
      <c r="K3527" t="s">
        <v>1554</v>
      </c>
      <c r="L3527">
        <v>4146</v>
      </c>
      <c r="M3527" t="s">
        <v>1557</v>
      </c>
      <c r="N3527" t="s">
        <v>199</v>
      </c>
      <c r="O3527">
        <v>0</v>
      </c>
      <c r="P3527">
        <v>15</v>
      </c>
      <c r="Q3527" t="s">
        <v>264</v>
      </c>
      <c r="R3527" t="s">
        <v>201</v>
      </c>
      <c r="S3527">
        <v>0</v>
      </c>
      <c r="T3527">
        <v>0</v>
      </c>
      <c r="U3527">
        <v>38235</v>
      </c>
      <c r="V3527">
        <v>38235</v>
      </c>
    </row>
    <row r="3528" spans="1:22">
      <c r="A3528" t="s">
        <v>196</v>
      </c>
      <c r="B3528">
        <v>60</v>
      </c>
      <c r="C3528" t="s">
        <v>45</v>
      </c>
      <c r="D3528">
        <v>100</v>
      </c>
      <c r="E3528" t="s">
        <v>197</v>
      </c>
      <c r="F3528">
        <v>1005</v>
      </c>
      <c r="G3528" t="s">
        <v>45</v>
      </c>
      <c r="H3528">
        <v>2005</v>
      </c>
      <c r="I3528" t="s">
        <v>45</v>
      </c>
      <c r="J3528">
        <v>3005</v>
      </c>
      <c r="K3528" t="s">
        <v>309</v>
      </c>
      <c r="L3528">
        <v>0</v>
      </c>
      <c r="N3528" t="s">
        <v>199</v>
      </c>
      <c r="O3528">
        <v>9</v>
      </c>
      <c r="P3528" t="s">
        <v>1558</v>
      </c>
      <c r="Q3528" t="s">
        <v>1559</v>
      </c>
      <c r="R3528" t="s">
        <v>201</v>
      </c>
      <c r="S3528">
        <v>1</v>
      </c>
      <c r="T3528">
        <v>1</v>
      </c>
      <c r="U3528">
        <v>203532</v>
      </c>
      <c r="V3528">
        <v>203532</v>
      </c>
    </row>
    <row r="3529" spans="1:22">
      <c r="A3529" t="s">
        <v>196</v>
      </c>
      <c r="B3529">
        <v>60</v>
      </c>
      <c r="C3529" t="s">
        <v>45</v>
      </c>
      <c r="D3529">
        <v>100</v>
      </c>
      <c r="E3529" t="s">
        <v>197</v>
      </c>
      <c r="F3529">
        <v>1005</v>
      </c>
      <c r="G3529" t="s">
        <v>45</v>
      </c>
      <c r="H3529">
        <v>2005</v>
      </c>
      <c r="I3529" t="s">
        <v>45</v>
      </c>
      <c r="J3529">
        <v>3005</v>
      </c>
      <c r="K3529" t="s">
        <v>309</v>
      </c>
      <c r="L3529">
        <v>0</v>
      </c>
      <c r="N3529" t="s">
        <v>266</v>
      </c>
      <c r="O3529">
        <v>9</v>
      </c>
      <c r="P3529">
        <v>9680</v>
      </c>
      <c r="Q3529" t="s">
        <v>1560</v>
      </c>
      <c r="R3529" t="s">
        <v>201</v>
      </c>
      <c r="S3529">
        <v>1</v>
      </c>
      <c r="T3529">
        <v>1</v>
      </c>
      <c r="U3529">
        <v>139140</v>
      </c>
      <c r="V3529">
        <v>139140</v>
      </c>
    </row>
    <row r="3530" spans="1:22">
      <c r="A3530" t="s">
        <v>196</v>
      </c>
      <c r="B3530">
        <v>60</v>
      </c>
      <c r="C3530" t="s">
        <v>45</v>
      </c>
      <c r="D3530">
        <v>100</v>
      </c>
      <c r="E3530" t="s">
        <v>197</v>
      </c>
      <c r="F3530">
        <v>1005</v>
      </c>
      <c r="G3530" t="s">
        <v>45</v>
      </c>
      <c r="H3530">
        <v>2005</v>
      </c>
      <c r="I3530" t="s">
        <v>45</v>
      </c>
      <c r="J3530">
        <v>3005</v>
      </c>
      <c r="K3530" t="s">
        <v>309</v>
      </c>
      <c r="L3530">
        <v>0</v>
      </c>
      <c r="N3530" t="s">
        <v>311</v>
      </c>
      <c r="O3530">
        <v>0</v>
      </c>
      <c r="P3530">
        <v>9661</v>
      </c>
      <c r="Q3530" t="s">
        <v>1561</v>
      </c>
      <c r="R3530" t="s">
        <v>201</v>
      </c>
      <c r="S3530">
        <v>1</v>
      </c>
      <c r="T3530">
        <v>1</v>
      </c>
      <c r="U3530">
        <v>149448</v>
      </c>
      <c r="V3530">
        <v>149448</v>
      </c>
    </row>
    <row r="3531" spans="1:22">
      <c r="A3531" t="s">
        <v>196</v>
      </c>
      <c r="B3531">
        <v>60</v>
      </c>
      <c r="C3531" t="s">
        <v>45</v>
      </c>
      <c r="D3531">
        <v>100</v>
      </c>
      <c r="E3531" t="s">
        <v>197</v>
      </c>
      <c r="F3531">
        <v>1005</v>
      </c>
      <c r="G3531" t="s">
        <v>45</v>
      </c>
      <c r="H3531">
        <v>2005</v>
      </c>
      <c r="I3531" t="s">
        <v>45</v>
      </c>
      <c r="J3531">
        <v>3005</v>
      </c>
      <c r="K3531" t="s">
        <v>309</v>
      </c>
      <c r="L3531">
        <v>0</v>
      </c>
      <c r="N3531" t="s">
        <v>372</v>
      </c>
      <c r="O3531">
        <v>4</v>
      </c>
      <c r="P3531">
        <v>1728</v>
      </c>
      <c r="Q3531" t="s">
        <v>1562</v>
      </c>
      <c r="R3531" t="s">
        <v>201</v>
      </c>
      <c r="S3531">
        <v>1</v>
      </c>
      <c r="T3531">
        <v>1</v>
      </c>
      <c r="U3531">
        <v>75336</v>
      </c>
      <c r="V3531">
        <v>75336</v>
      </c>
    </row>
    <row r="3532" spans="1:22">
      <c r="A3532" t="s">
        <v>196</v>
      </c>
      <c r="B3532">
        <v>60</v>
      </c>
      <c r="C3532" t="s">
        <v>45</v>
      </c>
      <c r="D3532">
        <v>100</v>
      </c>
      <c r="E3532" t="s">
        <v>197</v>
      </c>
      <c r="F3532">
        <v>1005</v>
      </c>
      <c r="G3532" t="s">
        <v>45</v>
      </c>
      <c r="H3532">
        <v>2005</v>
      </c>
      <c r="I3532" t="s">
        <v>45</v>
      </c>
      <c r="J3532">
        <v>3005</v>
      </c>
      <c r="K3532" t="s">
        <v>309</v>
      </c>
      <c r="L3532">
        <v>0</v>
      </c>
      <c r="N3532" t="s">
        <v>372</v>
      </c>
      <c r="O3532">
        <v>1</v>
      </c>
      <c r="P3532">
        <v>1359</v>
      </c>
      <c r="Q3532" t="s">
        <v>933</v>
      </c>
      <c r="R3532" t="s">
        <v>201</v>
      </c>
      <c r="S3532">
        <v>1</v>
      </c>
      <c r="T3532">
        <v>1</v>
      </c>
      <c r="U3532">
        <v>85200</v>
      </c>
      <c r="V3532">
        <v>85200</v>
      </c>
    </row>
    <row r="3533" spans="1:22">
      <c r="A3533" t="s">
        <v>196</v>
      </c>
      <c r="B3533">
        <v>60</v>
      </c>
      <c r="C3533" t="s">
        <v>45</v>
      </c>
      <c r="D3533">
        <v>100</v>
      </c>
      <c r="E3533" t="s">
        <v>197</v>
      </c>
      <c r="F3533">
        <v>1005</v>
      </c>
      <c r="G3533" t="s">
        <v>45</v>
      </c>
      <c r="H3533">
        <v>2005</v>
      </c>
      <c r="I3533" t="s">
        <v>45</v>
      </c>
      <c r="J3533">
        <v>3005</v>
      </c>
      <c r="K3533" t="s">
        <v>309</v>
      </c>
      <c r="L3533">
        <v>0</v>
      </c>
      <c r="N3533" t="s">
        <v>372</v>
      </c>
      <c r="O3533">
        <v>1</v>
      </c>
      <c r="P3533">
        <v>1359</v>
      </c>
      <c r="Q3533" t="s">
        <v>933</v>
      </c>
      <c r="R3533" t="s">
        <v>201</v>
      </c>
      <c r="S3533">
        <v>1</v>
      </c>
      <c r="T3533">
        <v>1</v>
      </c>
      <c r="U3533">
        <v>77640</v>
      </c>
      <c r="V3533">
        <v>77640</v>
      </c>
    </row>
    <row r="3534" spans="1:22">
      <c r="A3534" t="s">
        <v>196</v>
      </c>
      <c r="B3534">
        <v>60</v>
      </c>
      <c r="C3534" t="s">
        <v>45</v>
      </c>
      <c r="D3534">
        <v>100</v>
      </c>
      <c r="E3534" t="s">
        <v>197</v>
      </c>
      <c r="F3534">
        <v>1005</v>
      </c>
      <c r="G3534" t="s">
        <v>45</v>
      </c>
      <c r="H3534">
        <v>2005</v>
      </c>
      <c r="I3534" t="s">
        <v>45</v>
      </c>
      <c r="J3534">
        <v>3005</v>
      </c>
      <c r="K3534" t="s">
        <v>309</v>
      </c>
      <c r="L3534">
        <v>0</v>
      </c>
      <c r="N3534" t="s">
        <v>245</v>
      </c>
      <c r="O3534">
        <v>20</v>
      </c>
      <c r="P3534">
        <v>1324</v>
      </c>
      <c r="Q3534" t="s">
        <v>1563</v>
      </c>
      <c r="R3534" t="s">
        <v>201</v>
      </c>
      <c r="S3534">
        <v>1</v>
      </c>
      <c r="T3534">
        <v>1</v>
      </c>
      <c r="U3534">
        <v>121320</v>
      </c>
      <c r="V3534">
        <v>121320</v>
      </c>
    </row>
    <row r="3535" spans="1:22">
      <c r="A3535" t="s">
        <v>196</v>
      </c>
      <c r="B3535">
        <v>60</v>
      </c>
      <c r="C3535" t="s">
        <v>45</v>
      </c>
      <c r="D3535">
        <v>100</v>
      </c>
      <c r="E3535" t="s">
        <v>197</v>
      </c>
      <c r="F3535">
        <v>1005</v>
      </c>
      <c r="G3535" t="s">
        <v>45</v>
      </c>
      <c r="H3535">
        <v>2005</v>
      </c>
      <c r="I3535" t="s">
        <v>45</v>
      </c>
      <c r="J3535">
        <v>3005</v>
      </c>
      <c r="K3535" t="s">
        <v>309</v>
      </c>
      <c r="L3535">
        <v>0</v>
      </c>
      <c r="N3535" t="s">
        <v>255</v>
      </c>
      <c r="O3535">
        <v>1</v>
      </c>
      <c r="P3535">
        <v>1302</v>
      </c>
      <c r="Q3535" t="s">
        <v>340</v>
      </c>
      <c r="R3535" t="s">
        <v>201</v>
      </c>
      <c r="S3535">
        <v>1</v>
      </c>
      <c r="T3535">
        <v>1</v>
      </c>
      <c r="U3535">
        <v>108576</v>
      </c>
      <c r="V3535">
        <v>108576</v>
      </c>
    </row>
    <row r="3536" spans="1:22">
      <c r="A3536" t="s">
        <v>196</v>
      </c>
      <c r="B3536">
        <v>60</v>
      </c>
      <c r="C3536" t="s">
        <v>45</v>
      </c>
      <c r="D3536">
        <v>100</v>
      </c>
      <c r="E3536" t="s">
        <v>197</v>
      </c>
      <c r="F3536">
        <v>1005</v>
      </c>
      <c r="G3536" t="s">
        <v>45</v>
      </c>
      <c r="H3536">
        <v>2005</v>
      </c>
      <c r="I3536" t="s">
        <v>45</v>
      </c>
      <c r="J3536">
        <v>3005</v>
      </c>
      <c r="K3536" t="s">
        <v>309</v>
      </c>
      <c r="L3536">
        <v>0</v>
      </c>
      <c r="N3536" t="s">
        <v>341</v>
      </c>
      <c r="O3536">
        <v>1</v>
      </c>
      <c r="P3536">
        <v>1301</v>
      </c>
      <c r="Q3536" t="s">
        <v>618</v>
      </c>
      <c r="R3536" t="s">
        <v>201</v>
      </c>
      <c r="S3536">
        <v>1</v>
      </c>
      <c r="T3536">
        <v>1</v>
      </c>
      <c r="U3536">
        <v>85200</v>
      </c>
      <c r="V3536">
        <v>85200</v>
      </c>
    </row>
    <row r="3537" spans="1:22">
      <c r="A3537" t="s">
        <v>196</v>
      </c>
      <c r="B3537">
        <v>60</v>
      </c>
      <c r="C3537" t="s">
        <v>45</v>
      </c>
      <c r="D3537">
        <v>100</v>
      </c>
      <c r="E3537" t="s">
        <v>197</v>
      </c>
      <c r="F3537">
        <v>1005</v>
      </c>
      <c r="G3537" t="s">
        <v>45</v>
      </c>
      <c r="H3537">
        <v>2005</v>
      </c>
      <c r="I3537" t="s">
        <v>45</v>
      </c>
      <c r="J3537">
        <v>3005</v>
      </c>
      <c r="K3537" t="s">
        <v>309</v>
      </c>
      <c r="L3537">
        <v>0</v>
      </c>
      <c r="N3537" t="s">
        <v>255</v>
      </c>
      <c r="O3537">
        <v>3</v>
      </c>
      <c r="P3537">
        <v>1250</v>
      </c>
      <c r="Q3537" t="s">
        <v>1564</v>
      </c>
      <c r="R3537" t="s">
        <v>201</v>
      </c>
      <c r="S3537">
        <v>1</v>
      </c>
      <c r="T3537">
        <v>1</v>
      </c>
      <c r="U3537">
        <v>82644</v>
      </c>
      <c r="V3537">
        <v>82644</v>
      </c>
    </row>
    <row r="3538" spans="1:22">
      <c r="A3538" t="s">
        <v>196</v>
      </c>
      <c r="B3538">
        <v>60</v>
      </c>
      <c r="C3538" t="s">
        <v>45</v>
      </c>
      <c r="D3538">
        <v>100</v>
      </c>
      <c r="E3538" t="s">
        <v>197</v>
      </c>
      <c r="F3538">
        <v>1005</v>
      </c>
      <c r="G3538" t="s">
        <v>45</v>
      </c>
      <c r="H3538">
        <v>2005</v>
      </c>
      <c r="I3538" t="s">
        <v>45</v>
      </c>
      <c r="J3538">
        <v>3005</v>
      </c>
      <c r="K3538" t="s">
        <v>309</v>
      </c>
      <c r="L3538">
        <v>0</v>
      </c>
      <c r="N3538" t="s">
        <v>251</v>
      </c>
      <c r="O3538">
        <v>10</v>
      </c>
      <c r="P3538">
        <v>802</v>
      </c>
      <c r="Q3538" t="s">
        <v>252</v>
      </c>
      <c r="R3538" t="s">
        <v>201</v>
      </c>
      <c r="S3538">
        <v>1</v>
      </c>
      <c r="T3538">
        <v>1</v>
      </c>
      <c r="U3538">
        <v>83472</v>
      </c>
      <c r="V3538">
        <v>83472</v>
      </c>
    </row>
    <row r="3539" spans="1:22">
      <c r="A3539" t="s">
        <v>196</v>
      </c>
      <c r="B3539">
        <v>60</v>
      </c>
      <c r="C3539" t="s">
        <v>45</v>
      </c>
      <c r="D3539">
        <v>100</v>
      </c>
      <c r="E3539" t="s">
        <v>197</v>
      </c>
      <c r="F3539">
        <v>1005</v>
      </c>
      <c r="G3539" t="s">
        <v>45</v>
      </c>
      <c r="H3539">
        <v>2005</v>
      </c>
      <c r="I3539" t="s">
        <v>45</v>
      </c>
      <c r="J3539">
        <v>3005</v>
      </c>
      <c r="K3539" t="s">
        <v>309</v>
      </c>
      <c r="L3539">
        <v>0</v>
      </c>
      <c r="N3539" t="s">
        <v>372</v>
      </c>
      <c r="O3539">
        <v>1</v>
      </c>
      <c r="P3539">
        <v>689</v>
      </c>
      <c r="Q3539" t="s">
        <v>685</v>
      </c>
      <c r="R3539" t="s">
        <v>201</v>
      </c>
      <c r="S3539">
        <v>1</v>
      </c>
      <c r="T3539">
        <v>1</v>
      </c>
      <c r="U3539">
        <v>75336</v>
      </c>
      <c r="V3539">
        <v>75336</v>
      </c>
    </row>
    <row r="3540" spans="1:22">
      <c r="A3540" t="s">
        <v>196</v>
      </c>
      <c r="B3540">
        <v>60</v>
      </c>
      <c r="C3540" t="s">
        <v>45</v>
      </c>
      <c r="D3540">
        <v>100</v>
      </c>
      <c r="E3540" t="s">
        <v>197</v>
      </c>
      <c r="F3540">
        <v>1005</v>
      </c>
      <c r="G3540" t="s">
        <v>45</v>
      </c>
      <c r="H3540">
        <v>2005</v>
      </c>
      <c r="I3540" t="s">
        <v>45</v>
      </c>
      <c r="J3540">
        <v>3005</v>
      </c>
      <c r="K3540" t="s">
        <v>309</v>
      </c>
      <c r="L3540">
        <v>0</v>
      </c>
      <c r="N3540" t="s">
        <v>274</v>
      </c>
      <c r="O3540">
        <v>0</v>
      </c>
      <c r="P3540">
        <v>601</v>
      </c>
      <c r="Q3540" t="s">
        <v>790</v>
      </c>
      <c r="R3540" t="s">
        <v>201</v>
      </c>
      <c r="S3540">
        <v>1</v>
      </c>
      <c r="T3540">
        <v>1</v>
      </c>
      <c r="U3540">
        <v>121668</v>
      </c>
      <c r="V3540">
        <v>121668</v>
      </c>
    </row>
    <row r="3541" spans="1:22">
      <c r="A3541" t="s">
        <v>196</v>
      </c>
      <c r="B3541">
        <v>60</v>
      </c>
      <c r="C3541" t="s">
        <v>45</v>
      </c>
      <c r="D3541">
        <v>100</v>
      </c>
      <c r="E3541" t="s">
        <v>197</v>
      </c>
      <c r="F3541">
        <v>1005</v>
      </c>
      <c r="G3541" t="s">
        <v>45</v>
      </c>
      <c r="H3541">
        <v>2005</v>
      </c>
      <c r="I3541" t="s">
        <v>45</v>
      </c>
      <c r="J3541">
        <v>3005</v>
      </c>
      <c r="K3541" t="s">
        <v>309</v>
      </c>
      <c r="L3541">
        <v>0</v>
      </c>
      <c r="N3541" t="s">
        <v>274</v>
      </c>
      <c r="O3541">
        <v>20</v>
      </c>
      <c r="P3541">
        <v>383</v>
      </c>
      <c r="Q3541" t="s">
        <v>354</v>
      </c>
      <c r="R3541" t="s">
        <v>201</v>
      </c>
      <c r="S3541">
        <v>1</v>
      </c>
      <c r="T3541">
        <v>1</v>
      </c>
      <c r="U3541">
        <v>146808</v>
      </c>
      <c r="V3541">
        <v>146808</v>
      </c>
    </row>
    <row r="3542" spans="1:22">
      <c r="A3542" t="s">
        <v>196</v>
      </c>
      <c r="B3542">
        <v>60</v>
      </c>
      <c r="C3542" t="s">
        <v>45</v>
      </c>
      <c r="D3542">
        <v>100</v>
      </c>
      <c r="E3542" t="s">
        <v>197</v>
      </c>
      <c r="F3542">
        <v>1005</v>
      </c>
      <c r="G3542" t="s">
        <v>45</v>
      </c>
      <c r="H3542">
        <v>2005</v>
      </c>
      <c r="I3542" t="s">
        <v>45</v>
      </c>
      <c r="J3542">
        <v>3005</v>
      </c>
      <c r="K3542" t="s">
        <v>309</v>
      </c>
      <c r="L3542">
        <v>0</v>
      </c>
      <c r="N3542" t="s">
        <v>199</v>
      </c>
      <c r="O3542">
        <v>0</v>
      </c>
      <c r="P3542">
        <v>15</v>
      </c>
      <c r="Q3542" t="s">
        <v>264</v>
      </c>
      <c r="R3542" t="s">
        <v>201</v>
      </c>
      <c r="S3542">
        <v>0</v>
      </c>
      <c r="T3542">
        <v>0</v>
      </c>
      <c r="U3542">
        <v>26153</v>
      </c>
      <c r="V3542">
        <v>26153</v>
      </c>
    </row>
    <row r="3543" spans="1:22">
      <c r="A3543" t="s">
        <v>196</v>
      </c>
      <c r="B3543">
        <v>60</v>
      </c>
      <c r="C3543" t="s">
        <v>45</v>
      </c>
      <c r="D3543">
        <v>100</v>
      </c>
      <c r="E3543" t="s">
        <v>197</v>
      </c>
      <c r="F3543">
        <v>1005</v>
      </c>
      <c r="G3543" t="s">
        <v>45</v>
      </c>
      <c r="H3543">
        <v>2005</v>
      </c>
      <c r="I3543" t="s">
        <v>45</v>
      </c>
      <c r="J3543">
        <v>3010</v>
      </c>
      <c r="K3543" t="s">
        <v>277</v>
      </c>
      <c r="L3543">
        <v>0</v>
      </c>
      <c r="N3543" t="s">
        <v>266</v>
      </c>
      <c r="O3543">
        <v>9</v>
      </c>
      <c r="P3543">
        <v>9680</v>
      </c>
      <c r="Q3543" t="s">
        <v>1560</v>
      </c>
      <c r="R3543" t="s">
        <v>201</v>
      </c>
      <c r="S3543">
        <v>1</v>
      </c>
      <c r="T3543">
        <v>1</v>
      </c>
      <c r="U3543">
        <v>175512</v>
      </c>
      <c r="V3543">
        <v>175512</v>
      </c>
    </row>
    <row r="3544" spans="1:22">
      <c r="A3544" t="s">
        <v>196</v>
      </c>
      <c r="B3544">
        <v>60</v>
      </c>
      <c r="C3544" t="s">
        <v>45</v>
      </c>
      <c r="D3544">
        <v>100</v>
      </c>
      <c r="E3544" t="s">
        <v>197</v>
      </c>
      <c r="F3544">
        <v>1005</v>
      </c>
      <c r="G3544" t="s">
        <v>45</v>
      </c>
      <c r="H3544">
        <v>2005</v>
      </c>
      <c r="I3544" t="s">
        <v>45</v>
      </c>
      <c r="J3544">
        <v>3010</v>
      </c>
      <c r="K3544" t="s">
        <v>277</v>
      </c>
      <c r="L3544">
        <v>0</v>
      </c>
      <c r="N3544" t="s">
        <v>266</v>
      </c>
      <c r="O3544">
        <v>9</v>
      </c>
      <c r="P3544">
        <v>9680</v>
      </c>
      <c r="Q3544" t="s">
        <v>1560</v>
      </c>
      <c r="R3544" t="s">
        <v>201</v>
      </c>
      <c r="S3544">
        <v>2</v>
      </c>
      <c r="T3544">
        <v>1</v>
      </c>
      <c r="U3544">
        <v>139140</v>
      </c>
      <c r="V3544">
        <v>278280</v>
      </c>
    </row>
    <row r="3545" spans="1:22">
      <c r="A3545" t="s">
        <v>196</v>
      </c>
      <c r="B3545">
        <v>60</v>
      </c>
      <c r="C3545" t="s">
        <v>45</v>
      </c>
      <c r="D3545">
        <v>100</v>
      </c>
      <c r="E3545" t="s">
        <v>197</v>
      </c>
      <c r="F3545">
        <v>1005</v>
      </c>
      <c r="G3545" t="s">
        <v>45</v>
      </c>
      <c r="H3545">
        <v>2005</v>
      </c>
      <c r="I3545" t="s">
        <v>45</v>
      </c>
      <c r="J3545">
        <v>3010</v>
      </c>
      <c r="K3545" t="s">
        <v>277</v>
      </c>
      <c r="L3545">
        <v>0</v>
      </c>
      <c r="N3545" t="s">
        <v>356</v>
      </c>
      <c r="O3545">
        <v>3</v>
      </c>
      <c r="P3545">
        <v>1259</v>
      </c>
      <c r="Q3545" t="s">
        <v>1565</v>
      </c>
      <c r="R3545" t="s">
        <v>201</v>
      </c>
      <c r="S3545">
        <v>2</v>
      </c>
      <c r="T3545">
        <v>1</v>
      </c>
      <c r="U3545">
        <v>129636</v>
      </c>
      <c r="V3545">
        <v>259272</v>
      </c>
    </row>
    <row r="3546" spans="1:22">
      <c r="A3546" t="s">
        <v>196</v>
      </c>
      <c r="B3546">
        <v>60</v>
      </c>
      <c r="C3546" t="s">
        <v>45</v>
      </c>
      <c r="D3546">
        <v>100</v>
      </c>
      <c r="E3546" t="s">
        <v>197</v>
      </c>
      <c r="F3546">
        <v>1005</v>
      </c>
      <c r="G3546" t="s">
        <v>45</v>
      </c>
      <c r="H3546">
        <v>2005</v>
      </c>
      <c r="I3546" t="s">
        <v>45</v>
      </c>
      <c r="J3546">
        <v>3010</v>
      </c>
      <c r="K3546" t="s">
        <v>277</v>
      </c>
      <c r="L3546">
        <v>0</v>
      </c>
      <c r="N3546" t="s">
        <v>356</v>
      </c>
      <c r="O3546">
        <v>3</v>
      </c>
      <c r="P3546">
        <v>1259</v>
      </c>
      <c r="Q3546" t="s">
        <v>1565</v>
      </c>
      <c r="R3546" t="s">
        <v>201</v>
      </c>
      <c r="S3546">
        <v>4</v>
      </c>
      <c r="T3546">
        <v>1</v>
      </c>
      <c r="U3546">
        <v>97488</v>
      </c>
      <c r="V3546">
        <v>389952</v>
      </c>
    </row>
    <row r="3547" spans="1:22">
      <c r="A3547" t="s">
        <v>196</v>
      </c>
      <c r="B3547">
        <v>60</v>
      </c>
      <c r="C3547" t="s">
        <v>45</v>
      </c>
      <c r="D3547">
        <v>100</v>
      </c>
      <c r="E3547" t="s">
        <v>197</v>
      </c>
      <c r="F3547">
        <v>1005</v>
      </c>
      <c r="G3547" t="s">
        <v>45</v>
      </c>
      <c r="H3547">
        <v>2005</v>
      </c>
      <c r="I3547" t="s">
        <v>45</v>
      </c>
      <c r="J3547">
        <v>3010</v>
      </c>
      <c r="K3547" t="s">
        <v>277</v>
      </c>
      <c r="L3547">
        <v>0</v>
      </c>
      <c r="N3547" t="s">
        <v>356</v>
      </c>
      <c r="O3547">
        <v>3</v>
      </c>
      <c r="P3547">
        <v>1259</v>
      </c>
      <c r="Q3547" t="s">
        <v>1565</v>
      </c>
      <c r="R3547" t="s">
        <v>201</v>
      </c>
      <c r="S3547">
        <v>3</v>
      </c>
      <c r="T3547">
        <v>1</v>
      </c>
      <c r="U3547">
        <v>90144</v>
      </c>
      <c r="V3547">
        <v>270432</v>
      </c>
    </row>
    <row r="3548" spans="1:22">
      <c r="A3548" t="s">
        <v>196</v>
      </c>
      <c r="B3548">
        <v>60</v>
      </c>
      <c r="C3548" t="s">
        <v>45</v>
      </c>
      <c r="D3548">
        <v>100</v>
      </c>
      <c r="E3548" t="s">
        <v>197</v>
      </c>
      <c r="F3548">
        <v>1005</v>
      </c>
      <c r="G3548" t="s">
        <v>45</v>
      </c>
      <c r="H3548">
        <v>2005</v>
      </c>
      <c r="I3548" t="s">
        <v>45</v>
      </c>
      <c r="J3548">
        <v>3010</v>
      </c>
      <c r="K3548" t="s">
        <v>277</v>
      </c>
      <c r="L3548">
        <v>0</v>
      </c>
      <c r="N3548" t="s">
        <v>271</v>
      </c>
      <c r="O3548">
        <v>20</v>
      </c>
      <c r="P3548">
        <v>1257</v>
      </c>
      <c r="Q3548" t="s">
        <v>1566</v>
      </c>
      <c r="R3548" t="s">
        <v>201</v>
      </c>
      <c r="S3548">
        <v>1</v>
      </c>
      <c r="T3548">
        <v>1</v>
      </c>
      <c r="U3548">
        <v>150624</v>
      </c>
      <c r="V3548">
        <v>150624</v>
      </c>
    </row>
    <row r="3549" spans="1:22">
      <c r="A3549" t="s">
        <v>196</v>
      </c>
      <c r="B3549">
        <v>60</v>
      </c>
      <c r="C3549" t="s">
        <v>45</v>
      </c>
      <c r="D3549">
        <v>100</v>
      </c>
      <c r="E3549" t="s">
        <v>197</v>
      </c>
      <c r="F3549">
        <v>1005</v>
      </c>
      <c r="G3549" t="s">
        <v>45</v>
      </c>
      <c r="H3549">
        <v>2005</v>
      </c>
      <c r="I3549" t="s">
        <v>45</v>
      </c>
      <c r="J3549">
        <v>3010</v>
      </c>
      <c r="K3549" t="s">
        <v>277</v>
      </c>
      <c r="L3549">
        <v>0</v>
      </c>
      <c r="N3549" t="s">
        <v>271</v>
      </c>
      <c r="O3549">
        <v>20</v>
      </c>
      <c r="P3549">
        <v>1257</v>
      </c>
      <c r="Q3549" t="s">
        <v>1566</v>
      </c>
      <c r="R3549" t="s">
        <v>201</v>
      </c>
      <c r="S3549">
        <v>1</v>
      </c>
      <c r="T3549">
        <v>1</v>
      </c>
      <c r="U3549">
        <v>135744</v>
      </c>
      <c r="V3549">
        <v>135744</v>
      </c>
    </row>
    <row r="3550" spans="1:22">
      <c r="A3550" t="s">
        <v>196</v>
      </c>
      <c r="B3550">
        <v>60</v>
      </c>
      <c r="C3550" t="s">
        <v>45</v>
      </c>
      <c r="D3550">
        <v>100</v>
      </c>
      <c r="E3550" t="s">
        <v>197</v>
      </c>
      <c r="F3550">
        <v>1005</v>
      </c>
      <c r="G3550" t="s">
        <v>45</v>
      </c>
      <c r="H3550">
        <v>2005</v>
      </c>
      <c r="I3550" t="s">
        <v>45</v>
      </c>
      <c r="J3550">
        <v>3010</v>
      </c>
      <c r="K3550" t="s">
        <v>277</v>
      </c>
      <c r="L3550">
        <v>0</v>
      </c>
      <c r="N3550" t="s">
        <v>271</v>
      </c>
      <c r="O3550">
        <v>20</v>
      </c>
      <c r="P3550">
        <v>1257</v>
      </c>
      <c r="Q3550" t="s">
        <v>1566</v>
      </c>
      <c r="R3550" t="s">
        <v>201</v>
      </c>
      <c r="S3550">
        <v>1</v>
      </c>
      <c r="T3550">
        <v>1</v>
      </c>
      <c r="U3550">
        <v>121320</v>
      </c>
      <c r="V3550">
        <v>121320</v>
      </c>
    </row>
    <row r="3551" spans="1:22">
      <c r="A3551" t="s">
        <v>196</v>
      </c>
      <c r="B3551">
        <v>60</v>
      </c>
      <c r="C3551" t="s">
        <v>45</v>
      </c>
      <c r="D3551">
        <v>100</v>
      </c>
      <c r="E3551" t="s">
        <v>197</v>
      </c>
      <c r="F3551">
        <v>1005</v>
      </c>
      <c r="G3551" t="s">
        <v>45</v>
      </c>
      <c r="H3551">
        <v>2005</v>
      </c>
      <c r="I3551" t="s">
        <v>45</v>
      </c>
      <c r="J3551">
        <v>3010</v>
      </c>
      <c r="K3551" t="s">
        <v>277</v>
      </c>
      <c r="L3551">
        <v>0</v>
      </c>
      <c r="N3551" t="s">
        <v>255</v>
      </c>
      <c r="O3551">
        <v>3</v>
      </c>
      <c r="P3551">
        <v>1250</v>
      </c>
      <c r="Q3551" t="s">
        <v>1564</v>
      </c>
      <c r="R3551" t="s">
        <v>201</v>
      </c>
      <c r="S3551">
        <v>1</v>
      </c>
      <c r="T3551">
        <v>1</v>
      </c>
      <c r="U3551">
        <v>89244</v>
      </c>
      <c r="V3551">
        <v>89244</v>
      </c>
    </row>
    <row r="3552" spans="1:22">
      <c r="A3552" t="s">
        <v>196</v>
      </c>
      <c r="B3552">
        <v>60</v>
      </c>
      <c r="C3552" t="s">
        <v>45</v>
      </c>
      <c r="D3552">
        <v>100</v>
      </c>
      <c r="E3552" t="s">
        <v>197</v>
      </c>
      <c r="F3552">
        <v>1005</v>
      </c>
      <c r="G3552" t="s">
        <v>45</v>
      </c>
      <c r="H3552">
        <v>2005</v>
      </c>
      <c r="I3552" t="s">
        <v>45</v>
      </c>
      <c r="J3552">
        <v>3010</v>
      </c>
      <c r="K3552" t="s">
        <v>277</v>
      </c>
      <c r="L3552">
        <v>0</v>
      </c>
      <c r="N3552" t="s">
        <v>245</v>
      </c>
      <c r="O3552">
        <v>0</v>
      </c>
      <c r="P3552">
        <v>1249</v>
      </c>
      <c r="Q3552" t="s">
        <v>1567</v>
      </c>
      <c r="R3552" t="s">
        <v>201</v>
      </c>
      <c r="S3552">
        <v>3</v>
      </c>
      <c r="T3552">
        <v>1</v>
      </c>
      <c r="U3552">
        <v>141132</v>
      </c>
      <c r="V3552">
        <v>423396</v>
      </c>
    </row>
    <row r="3553" spans="1:22">
      <c r="A3553" t="s">
        <v>196</v>
      </c>
      <c r="B3553">
        <v>60</v>
      </c>
      <c r="C3553" t="s">
        <v>45</v>
      </c>
      <c r="D3553">
        <v>100</v>
      </c>
      <c r="E3553" t="s">
        <v>197</v>
      </c>
      <c r="F3553">
        <v>1005</v>
      </c>
      <c r="G3553" t="s">
        <v>45</v>
      </c>
      <c r="H3553">
        <v>2005</v>
      </c>
      <c r="I3553" t="s">
        <v>45</v>
      </c>
      <c r="J3553">
        <v>3010</v>
      </c>
      <c r="K3553" t="s">
        <v>277</v>
      </c>
      <c r="L3553">
        <v>0</v>
      </c>
      <c r="N3553" t="s">
        <v>245</v>
      </c>
      <c r="O3553">
        <v>0</v>
      </c>
      <c r="P3553">
        <v>1249</v>
      </c>
      <c r="Q3553" t="s">
        <v>1567</v>
      </c>
      <c r="R3553" t="s">
        <v>201</v>
      </c>
      <c r="S3553">
        <v>1</v>
      </c>
      <c r="T3553">
        <v>1</v>
      </c>
      <c r="U3553">
        <v>135000</v>
      </c>
      <c r="V3553">
        <v>135000</v>
      </c>
    </row>
    <row r="3554" spans="1:22">
      <c r="A3554" t="s">
        <v>196</v>
      </c>
      <c r="B3554">
        <v>60</v>
      </c>
      <c r="C3554" t="s">
        <v>45</v>
      </c>
      <c r="D3554">
        <v>100</v>
      </c>
      <c r="E3554" t="s">
        <v>197</v>
      </c>
      <c r="F3554">
        <v>1005</v>
      </c>
      <c r="G3554" t="s">
        <v>45</v>
      </c>
      <c r="H3554">
        <v>2005</v>
      </c>
      <c r="I3554" t="s">
        <v>45</v>
      </c>
      <c r="J3554">
        <v>3010</v>
      </c>
      <c r="K3554" t="s">
        <v>277</v>
      </c>
      <c r="L3554">
        <v>0</v>
      </c>
      <c r="N3554" t="s">
        <v>245</v>
      </c>
      <c r="O3554">
        <v>0</v>
      </c>
      <c r="P3554">
        <v>1249</v>
      </c>
      <c r="Q3554" t="s">
        <v>1567</v>
      </c>
      <c r="R3554" t="s">
        <v>201</v>
      </c>
      <c r="S3554">
        <v>3</v>
      </c>
      <c r="T3554">
        <v>1</v>
      </c>
      <c r="U3554">
        <v>129168</v>
      </c>
      <c r="V3554">
        <v>387504</v>
      </c>
    </row>
    <row r="3555" spans="1:22">
      <c r="A3555" t="s">
        <v>196</v>
      </c>
      <c r="B3555">
        <v>60</v>
      </c>
      <c r="C3555" t="s">
        <v>45</v>
      </c>
      <c r="D3555">
        <v>100</v>
      </c>
      <c r="E3555" t="s">
        <v>197</v>
      </c>
      <c r="F3555">
        <v>1005</v>
      </c>
      <c r="G3555" t="s">
        <v>45</v>
      </c>
      <c r="H3555">
        <v>2005</v>
      </c>
      <c r="I3555" t="s">
        <v>45</v>
      </c>
      <c r="J3555">
        <v>3010</v>
      </c>
      <c r="K3555" t="s">
        <v>277</v>
      </c>
      <c r="L3555">
        <v>0</v>
      </c>
      <c r="N3555" t="s">
        <v>245</v>
      </c>
      <c r="O3555">
        <v>0</v>
      </c>
      <c r="P3555">
        <v>1249</v>
      </c>
      <c r="Q3555" t="s">
        <v>1567</v>
      </c>
      <c r="R3555" t="s">
        <v>201</v>
      </c>
      <c r="S3555">
        <v>1</v>
      </c>
      <c r="T3555">
        <v>1</v>
      </c>
      <c r="U3555">
        <v>126756</v>
      </c>
      <c r="V3555">
        <v>126756</v>
      </c>
    </row>
    <row r="3556" spans="1:22">
      <c r="A3556" t="s">
        <v>196</v>
      </c>
      <c r="B3556">
        <v>60</v>
      </c>
      <c r="C3556" t="s">
        <v>45</v>
      </c>
      <c r="D3556">
        <v>100</v>
      </c>
      <c r="E3556" t="s">
        <v>197</v>
      </c>
      <c r="F3556">
        <v>1005</v>
      </c>
      <c r="G3556" t="s">
        <v>45</v>
      </c>
      <c r="H3556">
        <v>2005</v>
      </c>
      <c r="I3556" t="s">
        <v>45</v>
      </c>
      <c r="J3556">
        <v>3010</v>
      </c>
      <c r="K3556" t="s">
        <v>277</v>
      </c>
      <c r="L3556">
        <v>0</v>
      </c>
      <c r="N3556" t="s">
        <v>245</v>
      </c>
      <c r="O3556">
        <v>0</v>
      </c>
      <c r="P3556">
        <v>1249</v>
      </c>
      <c r="Q3556" t="s">
        <v>1567</v>
      </c>
      <c r="R3556" t="s">
        <v>201</v>
      </c>
      <c r="S3556">
        <v>1</v>
      </c>
      <c r="T3556">
        <v>1</v>
      </c>
      <c r="U3556">
        <v>121320</v>
      </c>
      <c r="V3556">
        <v>121320</v>
      </c>
    </row>
    <row r="3557" spans="1:22">
      <c r="A3557" t="s">
        <v>196</v>
      </c>
      <c r="B3557">
        <v>60</v>
      </c>
      <c r="C3557" t="s">
        <v>45</v>
      </c>
      <c r="D3557">
        <v>100</v>
      </c>
      <c r="E3557" t="s">
        <v>197</v>
      </c>
      <c r="F3557">
        <v>1005</v>
      </c>
      <c r="G3557" t="s">
        <v>45</v>
      </c>
      <c r="H3557">
        <v>2005</v>
      </c>
      <c r="I3557" t="s">
        <v>45</v>
      </c>
      <c r="J3557">
        <v>3010</v>
      </c>
      <c r="K3557" t="s">
        <v>277</v>
      </c>
      <c r="L3557">
        <v>0</v>
      </c>
      <c r="N3557" t="s">
        <v>245</v>
      </c>
      <c r="O3557">
        <v>0</v>
      </c>
      <c r="P3557">
        <v>1249</v>
      </c>
      <c r="Q3557" t="s">
        <v>1567</v>
      </c>
      <c r="R3557" t="s">
        <v>201</v>
      </c>
      <c r="S3557">
        <v>1</v>
      </c>
      <c r="T3557">
        <v>1</v>
      </c>
      <c r="U3557">
        <v>115992</v>
      </c>
      <c r="V3557">
        <v>115992</v>
      </c>
    </row>
    <row r="3558" spans="1:22">
      <c r="A3558" t="s">
        <v>196</v>
      </c>
      <c r="B3558">
        <v>60</v>
      </c>
      <c r="C3558" t="s">
        <v>45</v>
      </c>
      <c r="D3558">
        <v>100</v>
      </c>
      <c r="E3558" t="s">
        <v>197</v>
      </c>
      <c r="F3558">
        <v>1005</v>
      </c>
      <c r="G3558" t="s">
        <v>45</v>
      </c>
      <c r="H3558">
        <v>2005</v>
      </c>
      <c r="I3558" t="s">
        <v>45</v>
      </c>
      <c r="J3558">
        <v>3010</v>
      </c>
      <c r="K3558" t="s">
        <v>277</v>
      </c>
      <c r="L3558">
        <v>0</v>
      </c>
      <c r="N3558" t="s">
        <v>245</v>
      </c>
      <c r="O3558">
        <v>0</v>
      </c>
      <c r="P3558">
        <v>1249</v>
      </c>
      <c r="Q3558" t="s">
        <v>1567</v>
      </c>
      <c r="R3558" t="s">
        <v>201</v>
      </c>
      <c r="S3558">
        <v>1</v>
      </c>
      <c r="T3558">
        <v>1</v>
      </c>
      <c r="U3558">
        <v>111000</v>
      </c>
      <c r="V3558">
        <v>111000</v>
      </c>
    </row>
    <row r="3559" spans="1:22">
      <c r="A3559" t="s">
        <v>196</v>
      </c>
      <c r="B3559">
        <v>60</v>
      </c>
      <c r="C3559" t="s">
        <v>45</v>
      </c>
      <c r="D3559">
        <v>100</v>
      </c>
      <c r="E3559" t="s">
        <v>197</v>
      </c>
      <c r="F3559">
        <v>1005</v>
      </c>
      <c r="G3559" t="s">
        <v>45</v>
      </c>
      <c r="H3559">
        <v>2005</v>
      </c>
      <c r="I3559" t="s">
        <v>45</v>
      </c>
      <c r="J3559">
        <v>3010</v>
      </c>
      <c r="K3559" t="s">
        <v>277</v>
      </c>
      <c r="L3559">
        <v>0</v>
      </c>
      <c r="N3559" t="s">
        <v>245</v>
      </c>
      <c r="O3559">
        <v>0</v>
      </c>
      <c r="P3559">
        <v>1249</v>
      </c>
      <c r="Q3559" t="s">
        <v>1567</v>
      </c>
      <c r="R3559" t="s">
        <v>201</v>
      </c>
      <c r="S3559">
        <v>3</v>
      </c>
      <c r="T3559">
        <v>1</v>
      </c>
      <c r="U3559">
        <v>106272</v>
      </c>
      <c r="V3559">
        <v>318816</v>
      </c>
    </row>
    <row r="3560" spans="1:22">
      <c r="A3560" t="s">
        <v>196</v>
      </c>
      <c r="B3560">
        <v>60</v>
      </c>
      <c r="C3560" t="s">
        <v>45</v>
      </c>
      <c r="D3560">
        <v>100</v>
      </c>
      <c r="E3560" t="s">
        <v>197</v>
      </c>
      <c r="F3560">
        <v>1005</v>
      </c>
      <c r="G3560" t="s">
        <v>45</v>
      </c>
      <c r="H3560">
        <v>2005</v>
      </c>
      <c r="I3560" t="s">
        <v>45</v>
      </c>
      <c r="J3560">
        <v>3010</v>
      </c>
      <c r="K3560" t="s">
        <v>277</v>
      </c>
      <c r="L3560">
        <v>0</v>
      </c>
      <c r="N3560" t="s">
        <v>602</v>
      </c>
      <c r="O3560">
        <v>4</v>
      </c>
      <c r="P3560">
        <v>1248</v>
      </c>
      <c r="Q3560" t="s">
        <v>1568</v>
      </c>
      <c r="R3560" t="s">
        <v>201</v>
      </c>
      <c r="S3560">
        <v>7</v>
      </c>
      <c r="T3560">
        <v>1</v>
      </c>
      <c r="U3560">
        <v>141564</v>
      </c>
      <c r="V3560">
        <v>990948</v>
      </c>
    </row>
    <row r="3561" spans="1:22">
      <c r="A3561" t="s">
        <v>196</v>
      </c>
      <c r="B3561">
        <v>60</v>
      </c>
      <c r="C3561" t="s">
        <v>45</v>
      </c>
      <c r="D3561">
        <v>100</v>
      </c>
      <c r="E3561" t="s">
        <v>197</v>
      </c>
      <c r="F3561">
        <v>1005</v>
      </c>
      <c r="G3561" t="s">
        <v>45</v>
      </c>
      <c r="H3561">
        <v>2005</v>
      </c>
      <c r="I3561" t="s">
        <v>45</v>
      </c>
      <c r="J3561">
        <v>3010</v>
      </c>
      <c r="K3561" t="s">
        <v>277</v>
      </c>
      <c r="L3561">
        <v>0</v>
      </c>
      <c r="N3561" t="s">
        <v>602</v>
      </c>
      <c r="O3561">
        <v>4</v>
      </c>
      <c r="P3561">
        <v>1248</v>
      </c>
      <c r="Q3561" t="s">
        <v>1568</v>
      </c>
      <c r="R3561" t="s">
        <v>201</v>
      </c>
      <c r="S3561">
        <v>1</v>
      </c>
      <c r="T3561">
        <v>1</v>
      </c>
      <c r="U3561">
        <v>122928</v>
      </c>
      <c r="V3561">
        <v>122928</v>
      </c>
    </row>
    <row r="3562" spans="1:22">
      <c r="A3562" t="s">
        <v>196</v>
      </c>
      <c r="B3562">
        <v>60</v>
      </c>
      <c r="C3562" t="s">
        <v>45</v>
      </c>
      <c r="D3562">
        <v>100</v>
      </c>
      <c r="E3562" t="s">
        <v>197</v>
      </c>
      <c r="F3562">
        <v>1005</v>
      </c>
      <c r="G3562" t="s">
        <v>45</v>
      </c>
      <c r="H3562">
        <v>2005</v>
      </c>
      <c r="I3562" t="s">
        <v>45</v>
      </c>
      <c r="J3562">
        <v>3010</v>
      </c>
      <c r="K3562" t="s">
        <v>277</v>
      </c>
      <c r="L3562">
        <v>0</v>
      </c>
      <c r="N3562" t="s">
        <v>602</v>
      </c>
      <c r="O3562">
        <v>4</v>
      </c>
      <c r="P3562">
        <v>1248</v>
      </c>
      <c r="Q3562" t="s">
        <v>1568</v>
      </c>
      <c r="R3562" t="s">
        <v>201</v>
      </c>
      <c r="S3562">
        <v>2</v>
      </c>
      <c r="T3562">
        <v>1</v>
      </c>
      <c r="U3562">
        <v>117636</v>
      </c>
      <c r="V3562">
        <v>235272</v>
      </c>
    </row>
    <row r="3563" spans="1:22">
      <c r="A3563" t="s">
        <v>196</v>
      </c>
      <c r="B3563">
        <v>60</v>
      </c>
      <c r="C3563" t="s">
        <v>45</v>
      </c>
      <c r="D3563">
        <v>100</v>
      </c>
      <c r="E3563" t="s">
        <v>197</v>
      </c>
      <c r="F3563">
        <v>1005</v>
      </c>
      <c r="G3563" t="s">
        <v>45</v>
      </c>
      <c r="H3563">
        <v>2005</v>
      </c>
      <c r="I3563" t="s">
        <v>45</v>
      </c>
      <c r="J3563">
        <v>3010</v>
      </c>
      <c r="K3563" t="s">
        <v>277</v>
      </c>
      <c r="L3563">
        <v>0</v>
      </c>
      <c r="N3563" t="s">
        <v>602</v>
      </c>
      <c r="O3563">
        <v>4</v>
      </c>
      <c r="P3563">
        <v>1248</v>
      </c>
      <c r="Q3563" t="s">
        <v>1568</v>
      </c>
      <c r="R3563" t="s">
        <v>201</v>
      </c>
      <c r="S3563">
        <v>5</v>
      </c>
      <c r="T3563">
        <v>1</v>
      </c>
      <c r="U3563">
        <v>112536</v>
      </c>
      <c r="V3563">
        <v>562680</v>
      </c>
    </row>
    <row r="3564" spans="1:22">
      <c r="A3564" t="s">
        <v>196</v>
      </c>
      <c r="B3564">
        <v>60</v>
      </c>
      <c r="C3564" t="s">
        <v>45</v>
      </c>
      <c r="D3564">
        <v>100</v>
      </c>
      <c r="E3564" t="s">
        <v>197</v>
      </c>
      <c r="F3564">
        <v>1005</v>
      </c>
      <c r="G3564" t="s">
        <v>45</v>
      </c>
      <c r="H3564">
        <v>2005</v>
      </c>
      <c r="I3564" t="s">
        <v>45</v>
      </c>
      <c r="J3564">
        <v>3010</v>
      </c>
      <c r="K3564" t="s">
        <v>277</v>
      </c>
      <c r="L3564">
        <v>0</v>
      </c>
      <c r="N3564" t="s">
        <v>602</v>
      </c>
      <c r="O3564">
        <v>4</v>
      </c>
      <c r="P3564">
        <v>1248</v>
      </c>
      <c r="Q3564" t="s">
        <v>1568</v>
      </c>
      <c r="R3564" t="s">
        <v>201</v>
      </c>
      <c r="S3564">
        <v>1</v>
      </c>
      <c r="T3564">
        <v>1</v>
      </c>
      <c r="U3564">
        <v>107628</v>
      </c>
      <c r="V3564">
        <v>107628</v>
      </c>
    </row>
    <row r="3565" spans="1:22">
      <c r="A3565" t="s">
        <v>196</v>
      </c>
      <c r="B3565">
        <v>60</v>
      </c>
      <c r="C3565" t="s">
        <v>45</v>
      </c>
      <c r="D3565">
        <v>100</v>
      </c>
      <c r="E3565" t="s">
        <v>197</v>
      </c>
      <c r="F3565">
        <v>1005</v>
      </c>
      <c r="G3565" t="s">
        <v>45</v>
      </c>
      <c r="H3565">
        <v>2005</v>
      </c>
      <c r="I3565" t="s">
        <v>45</v>
      </c>
      <c r="J3565">
        <v>3010</v>
      </c>
      <c r="K3565" t="s">
        <v>277</v>
      </c>
      <c r="L3565">
        <v>0</v>
      </c>
      <c r="N3565" t="s">
        <v>688</v>
      </c>
      <c r="O3565">
        <v>3</v>
      </c>
      <c r="P3565">
        <v>1247</v>
      </c>
      <c r="Q3565" t="s">
        <v>1569</v>
      </c>
      <c r="R3565" t="s">
        <v>201</v>
      </c>
      <c r="S3565">
        <v>1</v>
      </c>
      <c r="T3565">
        <v>1</v>
      </c>
      <c r="U3565">
        <v>143976</v>
      </c>
      <c r="V3565">
        <v>143976</v>
      </c>
    </row>
    <row r="3566" spans="1:22">
      <c r="A3566" t="s">
        <v>196</v>
      </c>
      <c r="B3566">
        <v>60</v>
      </c>
      <c r="C3566" t="s">
        <v>45</v>
      </c>
      <c r="D3566">
        <v>100</v>
      </c>
      <c r="E3566" t="s">
        <v>197</v>
      </c>
      <c r="F3566">
        <v>1005</v>
      </c>
      <c r="G3566" t="s">
        <v>45</v>
      </c>
      <c r="H3566">
        <v>2005</v>
      </c>
      <c r="I3566" t="s">
        <v>45</v>
      </c>
      <c r="J3566">
        <v>3010</v>
      </c>
      <c r="K3566" t="s">
        <v>277</v>
      </c>
      <c r="L3566">
        <v>0</v>
      </c>
      <c r="N3566" t="s">
        <v>688</v>
      </c>
      <c r="O3566">
        <v>3</v>
      </c>
      <c r="P3566">
        <v>1247</v>
      </c>
      <c r="Q3566" t="s">
        <v>1569</v>
      </c>
      <c r="R3566" t="s">
        <v>201</v>
      </c>
      <c r="S3566">
        <v>5</v>
      </c>
      <c r="T3566">
        <v>1</v>
      </c>
      <c r="U3566">
        <v>118836</v>
      </c>
      <c r="V3566">
        <v>594180</v>
      </c>
    </row>
    <row r="3567" spans="1:22">
      <c r="A3567" t="s">
        <v>196</v>
      </c>
      <c r="B3567">
        <v>60</v>
      </c>
      <c r="C3567" t="s">
        <v>45</v>
      </c>
      <c r="D3567">
        <v>100</v>
      </c>
      <c r="E3567" t="s">
        <v>197</v>
      </c>
      <c r="F3567">
        <v>1005</v>
      </c>
      <c r="G3567" t="s">
        <v>45</v>
      </c>
      <c r="H3567">
        <v>2005</v>
      </c>
      <c r="I3567" t="s">
        <v>45</v>
      </c>
      <c r="J3567">
        <v>3010</v>
      </c>
      <c r="K3567" t="s">
        <v>277</v>
      </c>
      <c r="L3567">
        <v>0</v>
      </c>
      <c r="N3567" t="s">
        <v>688</v>
      </c>
      <c r="O3567">
        <v>3</v>
      </c>
      <c r="P3567">
        <v>1247</v>
      </c>
      <c r="Q3567" t="s">
        <v>1569</v>
      </c>
      <c r="R3567" t="s">
        <v>201</v>
      </c>
      <c r="S3567">
        <v>6</v>
      </c>
      <c r="T3567">
        <v>1</v>
      </c>
      <c r="U3567">
        <v>112536</v>
      </c>
      <c r="V3567">
        <v>675216</v>
      </c>
    </row>
    <row r="3568" spans="1:22">
      <c r="A3568" t="s">
        <v>196</v>
      </c>
      <c r="B3568">
        <v>60</v>
      </c>
      <c r="C3568" t="s">
        <v>45</v>
      </c>
      <c r="D3568">
        <v>100</v>
      </c>
      <c r="E3568" t="s">
        <v>197</v>
      </c>
      <c r="F3568">
        <v>1005</v>
      </c>
      <c r="G3568" t="s">
        <v>45</v>
      </c>
      <c r="H3568">
        <v>2005</v>
      </c>
      <c r="I3568" t="s">
        <v>45</v>
      </c>
      <c r="J3568">
        <v>3010</v>
      </c>
      <c r="K3568" t="s">
        <v>277</v>
      </c>
      <c r="L3568">
        <v>0</v>
      </c>
      <c r="N3568" t="s">
        <v>688</v>
      </c>
      <c r="O3568">
        <v>3</v>
      </c>
      <c r="P3568">
        <v>1247</v>
      </c>
      <c r="Q3568" t="s">
        <v>1569</v>
      </c>
      <c r="R3568" t="s">
        <v>201</v>
      </c>
      <c r="S3568">
        <v>6</v>
      </c>
      <c r="T3568">
        <v>1</v>
      </c>
      <c r="U3568">
        <v>107628</v>
      </c>
      <c r="V3568">
        <v>645768</v>
      </c>
    </row>
    <row r="3569" spans="1:22">
      <c r="A3569" t="s">
        <v>196</v>
      </c>
      <c r="B3569">
        <v>60</v>
      </c>
      <c r="C3569" t="s">
        <v>45</v>
      </c>
      <c r="D3569">
        <v>100</v>
      </c>
      <c r="E3569" t="s">
        <v>197</v>
      </c>
      <c r="F3569">
        <v>1005</v>
      </c>
      <c r="G3569" t="s">
        <v>45</v>
      </c>
      <c r="H3569">
        <v>2005</v>
      </c>
      <c r="I3569" t="s">
        <v>45</v>
      </c>
      <c r="J3569">
        <v>3010</v>
      </c>
      <c r="K3569" t="s">
        <v>277</v>
      </c>
      <c r="L3569">
        <v>0</v>
      </c>
      <c r="N3569" t="s">
        <v>688</v>
      </c>
      <c r="O3569">
        <v>3</v>
      </c>
      <c r="P3569">
        <v>1247</v>
      </c>
      <c r="Q3569" t="s">
        <v>1569</v>
      </c>
      <c r="R3569" t="s">
        <v>201</v>
      </c>
      <c r="S3569">
        <v>1</v>
      </c>
      <c r="T3569">
        <v>1</v>
      </c>
      <c r="U3569">
        <v>102516</v>
      </c>
      <c r="V3569">
        <v>102516</v>
      </c>
    </row>
    <row r="3570" spans="1:22">
      <c r="A3570" t="s">
        <v>196</v>
      </c>
      <c r="B3570">
        <v>60</v>
      </c>
      <c r="C3570" t="s">
        <v>45</v>
      </c>
      <c r="D3570">
        <v>100</v>
      </c>
      <c r="E3570" t="s">
        <v>197</v>
      </c>
      <c r="F3570">
        <v>1005</v>
      </c>
      <c r="G3570" t="s">
        <v>45</v>
      </c>
      <c r="H3570">
        <v>2005</v>
      </c>
      <c r="I3570" t="s">
        <v>45</v>
      </c>
      <c r="J3570">
        <v>3010</v>
      </c>
      <c r="K3570" t="s">
        <v>277</v>
      </c>
      <c r="L3570">
        <v>0</v>
      </c>
      <c r="N3570" t="s">
        <v>688</v>
      </c>
      <c r="O3570">
        <v>3</v>
      </c>
      <c r="P3570">
        <v>1247</v>
      </c>
      <c r="Q3570" t="s">
        <v>1569</v>
      </c>
      <c r="R3570" t="s">
        <v>201</v>
      </c>
      <c r="S3570">
        <v>4</v>
      </c>
      <c r="T3570">
        <v>1</v>
      </c>
      <c r="U3570">
        <v>97488</v>
      </c>
      <c r="V3570">
        <v>389952</v>
      </c>
    </row>
    <row r="3571" spans="1:22">
      <c r="A3571" t="s">
        <v>196</v>
      </c>
      <c r="B3571">
        <v>60</v>
      </c>
      <c r="C3571" t="s">
        <v>45</v>
      </c>
      <c r="D3571">
        <v>100</v>
      </c>
      <c r="E3571" t="s">
        <v>197</v>
      </c>
      <c r="F3571">
        <v>1005</v>
      </c>
      <c r="G3571" t="s">
        <v>45</v>
      </c>
      <c r="H3571">
        <v>2005</v>
      </c>
      <c r="I3571" t="s">
        <v>45</v>
      </c>
      <c r="J3571">
        <v>3010</v>
      </c>
      <c r="K3571" t="s">
        <v>277</v>
      </c>
      <c r="L3571">
        <v>0</v>
      </c>
      <c r="N3571" t="s">
        <v>688</v>
      </c>
      <c r="O3571">
        <v>3</v>
      </c>
      <c r="P3571">
        <v>1247</v>
      </c>
      <c r="Q3571" t="s">
        <v>1569</v>
      </c>
      <c r="R3571" t="s">
        <v>201</v>
      </c>
      <c r="S3571">
        <v>9</v>
      </c>
      <c r="T3571">
        <v>1</v>
      </c>
      <c r="U3571">
        <v>92940</v>
      </c>
      <c r="V3571">
        <v>836460</v>
      </c>
    </row>
    <row r="3572" spans="1:22">
      <c r="A3572" t="s">
        <v>196</v>
      </c>
      <c r="B3572">
        <v>60</v>
      </c>
      <c r="C3572" t="s">
        <v>45</v>
      </c>
      <c r="D3572">
        <v>100</v>
      </c>
      <c r="E3572" t="s">
        <v>197</v>
      </c>
      <c r="F3572">
        <v>1005</v>
      </c>
      <c r="G3572" t="s">
        <v>45</v>
      </c>
      <c r="H3572">
        <v>2005</v>
      </c>
      <c r="I3572" t="s">
        <v>45</v>
      </c>
      <c r="J3572">
        <v>3010</v>
      </c>
      <c r="K3572" t="s">
        <v>277</v>
      </c>
      <c r="L3572">
        <v>0</v>
      </c>
      <c r="N3572" t="s">
        <v>688</v>
      </c>
      <c r="O3572">
        <v>3</v>
      </c>
      <c r="P3572">
        <v>1247</v>
      </c>
      <c r="Q3572" t="s">
        <v>1569</v>
      </c>
      <c r="R3572" t="s">
        <v>201</v>
      </c>
      <c r="S3572">
        <v>7</v>
      </c>
      <c r="T3572">
        <v>1</v>
      </c>
      <c r="U3572">
        <v>88524</v>
      </c>
      <c r="V3572">
        <v>619668</v>
      </c>
    </row>
    <row r="3573" spans="1:22">
      <c r="A3573" t="s">
        <v>196</v>
      </c>
      <c r="B3573">
        <v>60</v>
      </c>
      <c r="C3573" t="s">
        <v>45</v>
      </c>
      <c r="D3573">
        <v>100</v>
      </c>
      <c r="E3573" t="s">
        <v>197</v>
      </c>
      <c r="F3573">
        <v>1005</v>
      </c>
      <c r="G3573" t="s">
        <v>45</v>
      </c>
      <c r="H3573">
        <v>2005</v>
      </c>
      <c r="I3573" t="s">
        <v>45</v>
      </c>
      <c r="J3573">
        <v>3010</v>
      </c>
      <c r="K3573" t="s">
        <v>277</v>
      </c>
      <c r="L3573">
        <v>0</v>
      </c>
      <c r="N3573" t="s">
        <v>688</v>
      </c>
      <c r="O3573">
        <v>3</v>
      </c>
      <c r="P3573">
        <v>1247</v>
      </c>
      <c r="Q3573" t="s">
        <v>1569</v>
      </c>
      <c r="R3573" t="s">
        <v>201</v>
      </c>
      <c r="S3573">
        <v>6</v>
      </c>
      <c r="T3573">
        <v>1</v>
      </c>
      <c r="U3573">
        <v>81636</v>
      </c>
      <c r="V3573">
        <v>489816</v>
      </c>
    </row>
    <row r="3574" spans="1:22">
      <c r="A3574" t="s">
        <v>196</v>
      </c>
      <c r="B3574">
        <v>60</v>
      </c>
      <c r="C3574" t="s">
        <v>45</v>
      </c>
      <c r="D3574">
        <v>100</v>
      </c>
      <c r="E3574" t="s">
        <v>197</v>
      </c>
      <c r="F3574">
        <v>1005</v>
      </c>
      <c r="G3574" t="s">
        <v>45</v>
      </c>
      <c r="H3574">
        <v>2005</v>
      </c>
      <c r="I3574" t="s">
        <v>45</v>
      </c>
      <c r="J3574">
        <v>3010</v>
      </c>
      <c r="K3574" t="s">
        <v>277</v>
      </c>
      <c r="L3574">
        <v>0</v>
      </c>
      <c r="N3574" t="s">
        <v>702</v>
      </c>
      <c r="O3574">
        <v>1</v>
      </c>
      <c r="P3574">
        <v>1171</v>
      </c>
      <c r="Q3574" t="s">
        <v>1570</v>
      </c>
      <c r="R3574" t="s">
        <v>201</v>
      </c>
      <c r="S3574">
        <v>1</v>
      </c>
      <c r="T3574">
        <v>1</v>
      </c>
      <c r="U3574">
        <v>108708</v>
      </c>
      <c r="V3574">
        <v>108708</v>
      </c>
    </row>
    <row r="3575" spans="1:22">
      <c r="A3575" t="s">
        <v>196</v>
      </c>
      <c r="B3575">
        <v>60</v>
      </c>
      <c r="C3575" t="s">
        <v>45</v>
      </c>
      <c r="D3575">
        <v>100</v>
      </c>
      <c r="E3575" t="s">
        <v>197</v>
      </c>
      <c r="F3575">
        <v>1005</v>
      </c>
      <c r="G3575" t="s">
        <v>45</v>
      </c>
      <c r="H3575">
        <v>2005</v>
      </c>
      <c r="I3575" t="s">
        <v>45</v>
      </c>
      <c r="J3575">
        <v>3010</v>
      </c>
      <c r="K3575" t="s">
        <v>277</v>
      </c>
      <c r="L3575">
        <v>0</v>
      </c>
      <c r="N3575" t="s">
        <v>702</v>
      </c>
      <c r="O3575">
        <v>1</v>
      </c>
      <c r="P3575">
        <v>1171</v>
      </c>
      <c r="Q3575" t="s">
        <v>1570</v>
      </c>
      <c r="R3575" t="s">
        <v>201</v>
      </c>
      <c r="S3575">
        <v>1</v>
      </c>
      <c r="T3575">
        <v>1</v>
      </c>
      <c r="U3575">
        <v>84192</v>
      </c>
      <c r="V3575">
        <v>84192</v>
      </c>
    </row>
    <row r="3576" spans="1:22">
      <c r="A3576" t="s">
        <v>196</v>
      </c>
      <c r="B3576">
        <v>60</v>
      </c>
      <c r="C3576" t="s">
        <v>45</v>
      </c>
      <c r="D3576">
        <v>100</v>
      </c>
      <c r="E3576" t="s">
        <v>197</v>
      </c>
      <c r="F3576">
        <v>1005</v>
      </c>
      <c r="G3576" t="s">
        <v>45</v>
      </c>
      <c r="H3576">
        <v>2005</v>
      </c>
      <c r="I3576" t="s">
        <v>45</v>
      </c>
      <c r="J3576">
        <v>3010</v>
      </c>
      <c r="K3576" t="s">
        <v>277</v>
      </c>
      <c r="L3576">
        <v>0</v>
      </c>
      <c r="N3576" t="s">
        <v>702</v>
      </c>
      <c r="O3576">
        <v>1</v>
      </c>
      <c r="P3576">
        <v>1171</v>
      </c>
      <c r="Q3576" t="s">
        <v>1570</v>
      </c>
      <c r="R3576" t="s">
        <v>201</v>
      </c>
      <c r="S3576">
        <v>1</v>
      </c>
      <c r="T3576">
        <v>1</v>
      </c>
      <c r="U3576">
        <v>80196</v>
      </c>
      <c r="V3576">
        <v>80196</v>
      </c>
    </row>
    <row r="3577" spans="1:22">
      <c r="A3577" t="s">
        <v>196</v>
      </c>
      <c r="B3577">
        <v>60</v>
      </c>
      <c r="C3577" t="s">
        <v>45</v>
      </c>
      <c r="D3577">
        <v>100</v>
      </c>
      <c r="E3577" t="s">
        <v>197</v>
      </c>
      <c r="F3577">
        <v>1005</v>
      </c>
      <c r="G3577" t="s">
        <v>45</v>
      </c>
      <c r="H3577">
        <v>2005</v>
      </c>
      <c r="I3577" t="s">
        <v>45</v>
      </c>
      <c r="J3577">
        <v>3010</v>
      </c>
      <c r="K3577" t="s">
        <v>277</v>
      </c>
      <c r="L3577">
        <v>0</v>
      </c>
      <c r="N3577" t="s">
        <v>622</v>
      </c>
      <c r="O3577">
        <v>1</v>
      </c>
      <c r="P3577">
        <v>422</v>
      </c>
      <c r="Q3577" t="s">
        <v>1571</v>
      </c>
      <c r="R3577" t="s">
        <v>201</v>
      </c>
      <c r="S3577">
        <v>1</v>
      </c>
      <c r="T3577">
        <v>1</v>
      </c>
      <c r="U3577">
        <v>53532</v>
      </c>
      <c r="V3577">
        <v>53532</v>
      </c>
    </row>
    <row r="3578" spans="1:22">
      <c r="A3578" t="s">
        <v>196</v>
      </c>
      <c r="B3578">
        <v>60</v>
      </c>
      <c r="C3578" t="s">
        <v>45</v>
      </c>
      <c r="D3578">
        <v>100</v>
      </c>
      <c r="E3578" t="s">
        <v>197</v>
      </c>
      <c r="F3578">
        <v>1005</v>
      </c>
      <c r="G3578" t="s">
        <v>45</v>
      </c>
      <c r="H3578">
        <v>2005</v>
      </c>
      <c r="I3578" t="s">
        <v>45</v>
      </c>
      <c r="J3578">
        <v>3010</v>
      </c>
      <c r="K3578" t="s">
        <v>277</v>
      </c>
      <c r="L3578">
        <v>0</v>
      </c>
      <c r="N3578" t="s">
        <v>622</v>
      </c>
      <c r="O3578">
        <v>1</v>
      </c>
      <c r="P3578">
        <v>422</v>
      </c>
      <c r="Q3578" t="s">
        <v>1571</v>
      </c>
      <c r="R3578" t="s">
        <v>201</v>
      </c>
      <c r="S3578">
        <v>1</v>
      </c>
      <c r="T3578">
        <v>1</v>
      </c>
      <c r="U3578">
        <v>51936</v>
      </c>
      <c r="V3578">
        <v>51936</v>
      </c>
    </row>
    <row r="3579" spans="1:22">
      <c r="A3579" t="s">
        <v>196</v>
      </c>
      <c r="B3579">
        <v>60</v>
      </c>
      <c r="C3579" t="s">
        <v>45</v>
      </c>
      <c r="D3579">
        <v>100</v>
      </c>
      <c r="E3579" t="s">
        <v>197</v>
      </c>
      <c r="F3579">
        <v>1005</v>
      </c>
      <c r="G3579" t="s">
        <v>45</v>
      </c>
      <c r="H3579">
        <v>2005</v>
      </c>
      <c r="I3579" t="s">
        <v>45</v>
      </c>
      <c r="J3579">
        <v>3010</v>
      </c>
      <c r="K3579" t="s">
        <v>277</v>
      </c>
      <c r="L3579">
        <v>0</v>
      </c>
      <c r="N3579" t="s">
        <v>622</v>
      </c>
      <c r="O3579">
        <v>1</v>
      </c>
      <c r="P3579" t="s">
        <v>667</v>
      </c>
      <c r="Q3579" t="s">
        <v>205</v>
      </c>
      <c r="R3579" t="s">
        <v>201</v>
      </c>
      <c r="S3579">
        <v>1</v>
      </c>
      <c r="T3579">
        <v>1</v>
      </c>
      <c r="U3579">
        <v>51936</v>
      </c>
      <c r="V3579">
        <v>51936</v>
      </c>
    </row>
    <row r="3580" spans="1:22">
      <c r="A3580" t="s">
        <v>196</v>
      </c>
      <c r="B3580">
        <v>60</v>
      </c>
      <c r="C3580" t="s">
        <v>45</v>
      </c>
      <c r="D3580">
        <v>100</v>
      </c>
      <c r="E3580" t="s">
        <v>197</v>
      </c>
      <c r="F3580">
        <v>1005</v>
      </c>
      <c r="G3580" t="s">
        <v>45</v>
      </c>
      <c r="H3580">
        <v>2005</v>
      </c>
      <c r="I3580" t="s">
        <v>45</v>
      </c>
      <c r="J3580">
        <v>3010</v>
      </c>
      <c r="K3580" t="s">
        <v>277</v>
      </c>
      <c r="L3580">
        <v>0</v>
      </c>
      <c r="N3580" t="s">
        <v>199</v>
      </c>
      <c r="O3580">
        <v>0</v>
      </c>
      <c r="P3580">
        <v>15</v>
      </c>
      <c r="Q3580" t="s">
        <v>264</v>
      </c>
      <c r="R3580" t="s">
        <v>201</v>
      </c>
      <c r="S3580">
        <v>0</v>
      </c>
      <c r="T3580">
        <v>0</v>
      </c>
      <c r="U3580">
        <v>138817</v>
      </c>
      <c r="V3580">
        <v>138817</v>
      </c>
    </row>
    <row r="3581" spans="1:22">
      <c r="A3581" t="s">
        <v>196</v>
      </c>
      <c r="B3581">
        <v>60</v>
      </c>
      <c r="C3581" t="s">
        <v>45</v>
      </c>
      <c r="D3581">
        <v>100</v>
      </c>
      <c r="E3581" t="s">
        <v>197</v>
      </c>
      <c r="F3581">
        <v>1005</v>
      </c>
      <c r="G3581" t="s">
        <v>45</v>
      </c>
      <c r="H3581">
        <v>2005</v>
      </c>
      <c r="I3581" t="s">
        <v>45</v>
      </c>
      <c r="J3581">
        <v>3015</v>
      </c>
      <c r="K3581" t="s">
        <v>265</v>
      </c>
      <c r="L3581">
        <v>0</v>
      </c>
      <c r="N3581" t="s">
        <v>274</v>
      </c>
      <c r="O3581">
        <v>9</v>
      </c>
      <c r="P3581">
        <v>9758</v>
      </c>
      <c r="Q3581" t="s">
        <v>1301</v>
      </c>
      <c r="R3581" t="s">
        <v>201</v>
      </c>
      <c r="S3581">
        <v>1</v>
      </c>
      <c r="T3581">
        <v>1</v>
      </c>
      <c r="U3581">
        <v>146808</v>
      </c>
      <c r="V3581">
        <v>146808</v>
      </c>
    </row>
    <row r="3582" spans="1:22">
      <c r="A3582" t="s">
        <v>196</v>
      </c>
      <c r="B3582">
        <v>60</v>
      </c>
      <c r="C3582" t="s">
        <v>45</v>
      </c>
      <c r="D3582">
        <v>100</v>
      </c>
      <c r="E3582" t="s">
        <v>197</v>
      </c>
      <c r="F3582">
        <v>1005</v>
      </c>
      <c r="G3582" t="s">
        <v>45</v>
      </c>
      <c r="H3582">
        <v>2005</v>
      </c>
      <c r="I3582" t="s">
        <v>45</v>
      </c>
      <c r="J3582">
        <v>3015</v>
      </c>
      <c r="K3582" t="s">
        <v>265</v>
      </c>
      <c r="L3582">
        <v>0</v>
      </c>
      <c r="N3582" t="s">
        <v>266</v>
      </c>
      <c r="O3582">
        <v>9</v>
      </c>
      <c r="P3582">
        <v>9680</v>
      </c>
      <c r="Q3582" t="s">
        <v>1560</v>
      </c>
      <c r="R3582" t="s">
        <v>201</v>
      </c>
      <c r="S3582">
        <v>1</v>
      </c>
      <c r="T3582">
        <v>1</v>
      </c>
      <c r="U3582">
        <v>139140</v>
      </c>
      <c r="V3582">
        <v>139140</v>
      </c>
    </row>
    <row r="3583" spans="1:22">
      <c r="A3583" t="s">
        <v>196</v>
      </c>
      <c r="B3583">
        <v>60</v>
      </c>
      <c r="C3583" t="s">
        <v>45</v>
      </c>
      <c r="D3583">
        <v>100</v>
      </c>
      <c r="E3583" t="s">
        <v>197</v>
      </c>
      <c r="F3583">
        <v>1005</v>
      </c>
      <c r="G3583" t="s">
        <v>45</v>
      </c>
      <c r="H3583">
        <v>2005</v>
      </c>
      <c r="I3583" t="s">
        <v>45</v>
      </c>
      <c r="J3583">
        <v>3015</v>
      </c>
      <c r="K3583" t="s">
        <v>265</v>
      </c>
      <c r="L3583">
        <v>0</v>
      </c>
      <c r="N3583" t="s">
        <v>341</v>
      </c>
      <c r="O3583">
        <v>1</v>
      </c>
      <c r="P3583">
        <v>3575</v>
      </c>
      <c r="Q3583" t="s">
        <v>1572</v>
      </c>
      <c r="R3583" t="s">
        <v>201</v>
      </c>
      <c r="S3583">
        <v>1</v>
      </c>
      <c r="T3583">
        <v>1</v>
      </c>
      <c r="U3583">
        <v>68616</v>
      </c>
      <c r="V3583">
        <v>68616</v>
      </c>
    </row>
    <row r="3584" spans="1:22">
      <c r="A3584" t="s">
        <v>196</v>
      </c>
      <c r="B3584">
        <v>60</v>
      </c>
      <c r="C3584" t="s">
        <v>45</v>
      </c>
      <c r="D3584">
        <v>100</v>
      </c>
      <c r="E3584" t="s">
        <v>197</v>
      </c>
      <c r="F3584">
        <v>1005</v>
      </c>
      <c r="G3584" t="s">
        <v>45</v>
      </c>
      <c r="H3584">
        <v>2005</v>
      </c>
      <c r="I3584" t="s">
        <v>45</v>
      </c>
      <c r="J3584">
        <v>3015</v>
      </c>
      <c r="K3584" t="s">
        <v>265</v>
      </c>
      <c r="L3584">
        <v>0</v>
      </c>
      <c r="N3584" t="s">
        <v>245</v>
      </c>
      <c r="O3584">
        <v>20</v>
      </c>
      <c r="P3584">
        <v>1668</v>
      </c>
      <c r="Q3584" t="s">
        <v>1573</v>
      </c>
      <c r="R3584" t="s">
        <v>201</v>
      </c>
      <c r="S3584">
        <v>1</v>
      </c>
      <c r="T3584">
        <v>1</v>
      </c>
      <c r="U3584">
        <v>111000</v>
      </c>
      <c r="V3584">
        <v>111000</v>
      </c>
    </row>
    <row r="3585" spans="1:22">
      <c r="A3585" t="s">
        <v>196</v>
      </c>
      <c r="B3585">
        <v>60</v>
      </c>
      <c r="C3585" t="s">
        <v>45</v>
      </c>
      <c r="D3585">
        <v>100</v>
      </c>
      <c r="E3585" t="s">
        <v>197</v>
      </c>
      <c r="F3585">
        <v>1005</v>
      </c>
      <c r="G3585" t="s">
        <v>45</v>
      </c>
      <c r="H3585">
        <v>2005</v>
      </c>
      <c r="I3585" t="s">
        <v>45</v>
      </c>
      <c r="J3585">
        <v>3015</v>
      </c>
      <c r="K3585" t="s">
        <v>265</v>
      </c>
      <c r="L3585">
        <v>0</v>
      </c>
      <c r="N3585" t="s">
        <v>271</v>
      </c>
      <c r="O3585">
        <v>20</v>
      </c>
      <c r="P3585">
        <v>1666</v>
      </c>
      <c r="Q3585" t="s">
        <v>1574</v>
      </c>
      <c r="R3585" t="s">
        <v>201</v>
      </c>
      <c r="S3585">
        <v>1</v>
      </c>
      <c r="T3585">
        <v>1</v>
      </c>
      <c r="U3585">
        <v>115992</v>
      </c>
      <c r="V3585">
        <v>115992</v>
      </c>
    </row>
    <row r="3586" spans="1:22">
      <c r="A3586" t="s">
        <v>196</v>
      </c>
      <c r="B3586">
        <v>60</v>
      </c>
      <c r="C3586" t="s">
        <v>45</v>
      </c>
      <c r="D3586">
        <v>100</v>
      </c>
      <c r="E3586" t="s">
        <v>197</v>
      </c>
      <c r="F3586">
        <v>1005</v>
      </c>
      <c r="G3586" t="s">
        <v>45</v>
      </c>
      <c r="H3586">
        <v>2005</v>
      </c>
      <c r="I3586" t="s">
        <v>45</v>
      </c>
      <c r="J3586">
        <v>3015</v>
      </c>
      <c r="K3586" t="s">
        <v>265</v>
      </c>
      <c r="L3586">
        <v>0</v>
      </c>
      <c r="N3586" t="s">
        <v>271</v>
      </c>
      <c r="O3586">
        <v>20</v>
      </c>
      <c r="P3586">
        <v>1664</v>
      </c>
      <c r="Q3586" t="s">
        <v>1575</v>
      </c>
      <c r="R3586" t="s">
        <v>201</v>
      </c>
      <c r="S3586">
        <v>1</v>
      </c>
      <c r="T3586">
        <v>1</v>
      </c>
      <c r="U3586">
        <v>126756</v>
      </c>
      <c r="V3586">
        <v>126756</v>
      </c>
    </row>
    <row r="3587" spans="1:22">
      <c r="A3587" t="s">
        <v>196</v>
      </c>
      <c r="B3587">
        <v>60</v>
      </c>
      <c r="C3587" t="s">
        <v>45</v>
      </c>
      <c r="D3587">
        <v>100</v>
      </c>
      <c r="E3587" t="s">
        <v>197</v>
      </c>
      <c r="F3587">
        <v>1005</v>
      </c>
      <c r="G3587" t="s">
        <v>45</v>
      </c>
      <c r="H3587">
        <v>2005</v>
      </c>
      <c r="I3587" t="s">
        <v>45</v>
      </c>
      <c r="J3587">
        <v>3015</v>
      </c>
      <c r="K3587" t="s">
        <v>265</v>
      </c>
      <c r="L3587">
        <v>0</v>
      </c>
      <c r="N3587" t="s">
        <v>356</v>
      </c>
      <c r="O3587">
        <v>4</v>
      </c>
      <c r="P3587">
        <v>1646</v>
      </c>
      <c r="Q3587" t="s">
        <v>1102</v>
      </c>
      <c r="R3587" t="s">
        <v>201</v>
      </c>
      <c r="S3587">
        <v>1</v>
      </c>
      <c r="T3587">
        <v>1</v>
      </c>
      <c r="U3587">
        <v>102516</v>
      </c>
      <c r="V3587">
        <v>102516</v>
      </c>
    </row>
    <row r="3588" spans="1:22">
      <c r="A3588" t="s">
        <v>196</v>
      </c>
      <c r="B3588">
        <v>60</v>
      </c>
      <c r="C3588" t="s">
        <v>45</v>
      </c>
      <c r="D3588">
        <v>100</v>
      </c>
      <c r="E3588" t="s">
        <v>197</v>
      </c>
      <c r="F3588">
        <v>1005</v>
      </c>
      <c r="G3588" t="s">
        <v>45</v>
      </c>
      <c r="H3588">
        <v>2005</v>
      </c>
      <c r="I3588" t="s">
        <v>45</v>
      </c>
      <c r="J3588">
        <v>3015</v>
      </c>
      <c r="K3588" t="s">
        <v>265</v>
      </c>
      <c r="L3588">
        <v>0</v>
      </c>
      <c r="N3588" t="s">
        <v>356</v>
      </c>
      <c r="O3588">
        <v>4</v>
      </c>
      <c r="P3588">
        <v>1646</v>
      </c>
      <c r="Q3588" t="s">
        <v>1102</v>
      </c>
      <c r="R3588" t="s">
        <v>201</v>
      </c>
      <c r="S3588">
        <v>1</v>
      </c>
      <c r="T3588">
        <v>1</v>
      </c>
      <c r="U3588">
        <v>97488</v>
      </c>
      <c r="V3588">
        <v>97488</v>
      </c>
    </row>
    <row r="3589" spans="1:22">
      <c r="A3589" t="s">
        <v>196</v>
      </c>
      <c r="B3589">
        <v>60</v>
      </c>
      <c r="C3589" t="s">
        <v>45</v>
      </c>
      <c r="D3589">
        <v>100</v>
      </c>
      <c r="E3589" t="s">
        <v>197</v>
      </c>
      <c r="F3589">
        <v>1005</v>
      </c>
      <c r="G3589" t="s">
        <v>45</v>
      </c>
      <c r="H3589">
        <v>2005</v>
      </c>
      <c r="I3589" t="s">
        <v>45</v>
      </c>
      <c r="J3589">
        <v>3015</v>
      </c>
      <c r="K3589" t="s">
        <v>265</v>
      </c>
      <c r="L3589">
        <v>0</v>
      </c>
      <c r="N3589" t="s">
        <v>356</v>
      </c>
      <c r="O3589">
        <v>4</v>
      </c>
      <c r="P3589">
        <v>1646</v>
      </c>
      <c r="Q3589" t="s">
        <v>1102</v>
      </c>
      <c r="R3589" t="s">
        <v>201</v>
      </c>
      <c r="S3589">
        <v>1</v>
      </c>
      <c r="T3589">
        <v>1</v>
      </c>
      <c r="U3589">
        <v>92940</v>
      </c>
      <c r="V3589">
        <v>92940</v>
      </c>
    </row>
    <row r="3590" spans="1:22">
      <c r="A3590" t="s">
        <v>196</v>
      </c>
      <c r="B3590">
        <v>60</v>
      </c>
      <c r="C3590" t="s">
        <v>45</v>
      </c>
      <c r="D3590">
        <v>100</v>
      </c>
      <c r="E3590" t="s">
        <v>197</v>
      </c>
      <c r="F3590">
        <v>1005</v>
      </c>
      <c r="G3590" t="s">
        <v>45</v>
      </c>
      <c r="H3590">
        <v>2005</v>
      </c>
      <c r="I3590" t="s">
        <v>45</v>
      </c>
      <c r="J3590">
        <v>3015</v>
      </c>
      <c r="K3590" t="s">
        <v>265</v>
      </c>
      <c r="L3590">
        <v>0</v>
      </c>
      <c r="N3590" t="s">
        <v>356</v>
      </c>
      <c r="O3590">
        <v>4</v>
      </c>
      <c r="P3590">
        <v>1646</v>
      </c>
      <c r="Q3590" t="s">
        <v>1102</v>
      </c>
      <c r="R3590" t="s">
        <v>201</v>
      </c>
      <c r="S3590">
        <v>1</v>
      </c>
      <c r="T3590">
        <v>1</v>
      </c>
      <c r="U3590">
        <v>90144</v>
      </c>
      <c r="V3590">
        <v>90144</v>
      </c>
    </row>
    <row r="3591" spans="1:22">
      <c r="A3591" t="s">
        <v>196</v>
      </c>
      <c r="B3591">
        <v>60</v>
      </c>
      <c r="C3591" t="s">
        <v>45</v>
      </c>
      <c r="D3591">
        <v>100</v>
      </c>
      <c r="E3591" t="s">
        <v>197</v>
      </c>
      <c r="F3591">
        <v>1005</v>
      </c>
      <c r="G3591" t="s">
        <v>45</v>
      </c>
      <c r="H3591">
        <v>2005</v>
      </c>
      <c r="I3591" t="s">
        <v>45</v>
      </c>
      <c r="J3591">
        <v>3015</v>
      </c>
      <c r="K3591" t="s">
        <v>265</v>
      </c>
      <c r="L3591">
        <v>0</v>
      </c>
      <c r="N3591" t="s">
        <v>287</v>
      </c>
      <c r="O3591">
        <v>0</v>
      </c>
      <c r="P3591">
        <v>1645</v>
      </c>
      <c r="Q3591" t="s">
        <v>1576</v>
      </c>
      <c r="R3591" t="s">
        <v>201</v>
      </c>
      <c r="S3591">
        <v>1</v>
      </c>
      <c r="T3591">
        <v>1</v>
      </c>
      <c r="U3591">
        <v>79728</v>
      </c>
      <c r="V3591">
        <v>79728</v>
      </c>
    </row>
    <row r="3592" spans="1:22">
      <c r="A3592" t="s">
        <v>196</v>
      </c>
      <c r="B3592">
        <v>60</v>
      </c>
      <c r="C3592" t="s">
        <v>45</v>
      </c>
      <c r="D3592">
        <v>100</v>
      </c>
      <c r="E3592" t="s">
        <v>197</v>
      </c>
      <c r="F3592">
        <v>1005</v>
      </c>
      <c r="G3592" t="s">
        <v>45</v>
      </c>
      <c r="H3592">
        <v>2005</v>
      </c>
      <c r="I3592" t="s">
        <v>45</v>
      </c>
      <c r="J3592">
        <v>3015</v>
      </c>
      <c r="K3592" t="s">
        <v>265</v>
      </c>
      <c r="L3592">
        <v>0</v>
      </c>
      <c r="N3592" t="s">
        <v>287</v>
      </c>
      <c r="O3592">
        <v>0</v>
      </c>
      <c r="P3592">
        <v>1645</v>
      </c>
      <c r="Q3592" t="s">
        <v>1576</v>
      </c>
      <c r="R3592" t="s">
        <v>201</v>
      </c>
      <c r="S3592">
        <v>1</v>
      </c>
      <c r="T3592">
        <v>1</v>
      </c>
      <c r="U3592">
        <v>76020</v>
      </c>
      <c r="V3592">
        <v>76020</v>
      </c>
    </row>
    <row r="3593" spans="1:22">
      <c r="A3593" t="s">
        <v>196</v>
      </c>
      <c r="B3593">
        <v>60</v>
      </c>
      <c r="C3593" t="s">
        <v>45</v>
      </c>
      <c r="D3593">
        <v>100</v>
      </c>
      <c r="E3593" t="s">
        <v>197</v>
      </c>
      <c r="F3593">
        <v>1005</v>
      </c>
      <c r="G3593" t="s">
        <v>45</v>
      </c>
      <c r="H3593">
        <v>2005</v>
      </c>
      <c r="I3593" t="s">
        <v>45</v>
      </c>
      <c r="J3593">
        <v>3015</v>
      </c>
      <c r="K3593" t="s">
        <v>265</v>
      </c>
      <c r="L3593">
        <v>0</v>
      </c>
      <c r="N3593" t="s">
        <v>341</v>
      </c>
      <c r="O3593">
        <v>1</v>
      </c>
      <c r="P3593">
        <v>1617</v>
      </c>
      <c r="Q3593" t="s">
        <v>800</v>
      </c>
      <c r="R3593" t="s">
        <v>201</v>
      </c>
      <c r="S3593">
        <v>1</v>
      </c>
      <c r="T3593">
        <v>1</v>
      </c>
      <c r="U3593">
        <v>85200</v>
      </c>
      <c r="V3593">
        <v>85200</v>
      </c>
    </row>
    <row r="3594" spans="1:22">
      <c r="A3594" t="s">
        <v>196</v>
      </c>
      <c r="B3594">
        <v>60</v>
      </c>
      <c r="C3594" t="s">
        <v>45</v>
      </c>
      <c r="D3594">
        <v>100</v>
      </c>
      <c r="E3594" t="s">
        <v>197</v>
      </c>
      <c r="F3594">
        <v>1005</v>
      </c>
      <c r="G3594" t="s">
        <v>45</v>
      </c>
      <c r="H3594">
        <v>2005</v>
      </c>
      <c r="I3594" t="s">
        <v>45</v>
      </c>
      <c r="J3594">
        <v>3015</v>
      </c>
      <c r="K3594" t="s">
        <v>265</v>
      </c>
      <c r="L3594">
        <v>0</v>
      </c>
      <c r="N3594" t="s">
        <v>341</v>
      </c>
      <c r="O3594">
        <v>1</v>
      </c>
      <c r="P3594">
        <v>1617</v>
      </c>
      <c r="Q3594" t="s">
        <v>800</v>
      </c>
      <c r="R3594" t="s">
        <v>201</v>
      </c>
      <c r="S3594">
        <v>2</v>
      </c>
      <c r="T3594">
        <v>1</v>
      </c>
      <c r="U3594">
        <v>77640</v>
      </c>
      <c r="V3594">
        <v>155280</v>
      </c>
    </row>
    <row r="3595" spans="1:22">
      <c r="A3595" t="s">
        <v>196</v>
      </c>
      <c r="B3595">
        <v>60</v>
      </c>
      <c r="C3595" t="s">
        <v>45</v>
      </c>
      <c r="D3595">
        <v>100</v>
      </c>
      <c r="E3595" t="s">
        <v>197</v>
      </c>
      <c r="F3595">
        <v>1005</v>
      </c>
      <c r="G3595" t="s">
        <v>45</v>
      </c>
      <c r="H3595">
        <v>2005</v>
      </c>
      <c r="I3595" t="s">
        <v>45</v>
      </c>
      <c r="J3595">
        <v>3015</v>
      </c>
      <c r="K3595" t="s">
        <v>265</v>
      </c>
      <c r="L3595">
        <v>0</v>
      </c>
      <c r="N3595" t="s">
        <v>247</v>
      </c>
      <c r="O3595">
        <v>20</v>
      </c>
      <c r="P3595">
        <v>366</v>
      </c>
      <c r="Q3595" t="s">
        <v>604</v>
      </c>
      <c r="R3595" t="s">
        <v>201</v>
      </c>
      <c r="S3595">
        <v>1</v>
      </c>
      <c r="T3595">
        <v>1</v>
      </c>
      <c r="U3595">
        <v>57852</v>
      </c>
      <c r="V3595">
        <v>57852</v>
      </c>
    </row>
    <row r="3596" spans="1:22">
      <c r="A3596" t="s">
        <v>196</v>
      </c>
      <c r="B3596">
        <v>60</v>
      </c>
      <c r="C3596" t="s">
        <v>45</v>
      </c>
      <c r="D3596">
        <v>100</v>
      </c>
      <c r="E3596" t="s">
        <v>197</v>
      </c>
      <c r="F3596">
        <v>1005</v>
      </c>
      <c r="G3596" t="s">
        <v>45</v>
      </c>
      <c r="H3596">
        <v>2005</v>
      </c>
      <c r="I3596" t="s">
        <v>45</v>
      </c>
      <c r="J3596">
        <v>3015</v>
      </c>
      <c r="K3596" t="s">
        <v>265</v>
      </c>
      <c r="L3596">
        <v>0</v>
      </c>
      <c r="N3596" t="s">
        <v>199</v>
      </c>
      <c r="O3596">
        <v>0</v>
      </c>
      <c r="P3596">
        <v>15</v>
      </c>
      <c r="Q3596" t="s">
        <v>264</v>
      </c>
      <c r="R3596" t="s">
        <v>201</v>
      </c>
      <c r="S3596">
        <v>0</v>
      </c>
      <c r="T3596">
        <v>0</v>
      </c>
      <c r="U3596">
        <v>28328</v>
      </c>
      <c r="V3596">
        <v>28328</v>
      </c>
    </row>
    <row r="3597" spans="1:22">
      <c r="A3597" t="s">
        <v>196</v>
      </c>
      <c r="B3597">
        <v>60</v>
      </c>
      <c r="C3597" t="s">
        <v>45</v>
      </c>
      <c r="D3597">
        <v>100</v>
      </c>
      <c r="E3597" t="s">
        <v>197</v>
      </c>
      <c r="F3597">
        <v>1005</v>
      </c>
      <c r="G3597" t="s">
        <v>45</v>
      </c>
      <c r="H3597">
        <v>2005</v>
      </c>
      <c r="I3597" t="s">
        <v>45</v>
      </c>
      <c r="J3597">
        <v>3020</v>
      </c>
      <c r="K3597" t="s">
        <v>1577</v>
      </c>
      <c r="L3597">
        <v>0</v>
      </c>
      <c r="N3597" t="s">
        <v>372</v>
      </c>
      <c r="O3597">
        <v>3</v>
      </c>
      <c r="P3597">
        <v>3897</v>
      </c>
      <c r="Q3597" t="s">
        <v>1152</v>
      </c>
      <c r="R3597" t="s">
        <v>201</v>
      </c>
      <c r="S3597">
        <v>1</v>
      </c>
      <c r="T3597">
        <v>1</v>
      </c>
      <c r="U3597">
        <v>81324</v>
      </c>
      <c r="V3597">
        <v>81324</v>
      </c>
    </row>
    <row r="3598" spans="1:22">
      <c r="A3598" t="s">
        <v>196</v>
      </c>
      <c r="B3598">
        <v>60</v>
      </c>
      <c r="C3598" t="s">
        <v>45</v>
      </c>
      <c r="D3598">
        <v>100</v>
      </c>
      <c r="E3598" t="s">
        <v>197</v>
      </c>
      <c r="F3598">
        <v>1005</v>
      </c>
      <c r="G3598" t="s">
        <v>45</v>
      </c>
      <c r="H3598">
        <v>2005</v>
      </c>
      <c r="I3598" t="s">
        <v>45</v>
      </c>
      <c r="J3598">
        <v>3020</v>
      </c>
      <c r="K3598" t="s">
        <v>1577</v>
      </c>
      <c r="L3598">
        <v>0</v>
      </c>
      <c r="N3598" t="s">
        <v>372</v>
      </c>
      <c r="O3598">
        <v>3</v>
      </c>
      <c r="P3598">
        <v>3897</v>
      </c>
      <c r="Q3598" t="s">
        <v>1152</v>
      </c>
      <c r="R3598" t="s">
        <v>201</v>
      </c>
      <c r="S3598">
        <v>1</v>
      </c>
      <c r="T3598">
        <v>1</v>
      </c>
      <c r="U3598">
        <v>75336</v>
      </c>
      <c r="V3598">
        <v>75336</v>
      </c>
    </row>
    <row r="3599" spans="1:22">
      <c r="A3599" t="s">
        <v>196</v>
      </c>
      <c r="B3599">
        <v>60</v>
      </c>
      <c r="C3599" t="s">
        <v>45</v>
      </c>
      <c r="D3599">
        <v>100</v>
      </c>
      <c r="E3599" t="s">
        <v>197</v>
      </c>
      <c r="F3599">
        <v>1005</v>
      </c>
      <c r="G3599" t="s">
        <v>45</v>
      </c>
      <c r="H3599">
        <v>2005</v>
      </c>
      <c r="I3599" t="s">
        <v>45</v>
      </c>
      <c r="J3599">
        <v>3020</v>
      </c>
      <c r="K3599" t="s">
        <v>1577</v>
      </c>
      <c r="L3599">
        <v>0</v>
      </c>
      <c r="N3599" t="s">
        <v>341</v>
      </c>
      <c r="O3599">
        <v>1</v>
      </c>
      <c r="P3599">
        <v>3575</v>
      </c>
      <c r="Q3599" t="s">
        <v>1572</v>
      </c>
      <c r="R3599" t="s">
        <v>201</v>
      </c>
      <c r="S3599">
        <v>1</v>
      </c>
      <c r="T3599">
        <v>1</v>
      </c>
      <c r="U3599">
        <v>94452</v>
      </c>
      <c r="V3599">
        <v>94452</v>
      </c>
    </row>
    <row r="3600" spans="1:22">
      <c r="A3600" t="s">
        <v>196</v>
      </c>
      <c r="B3600">
        <v>60</v>
      </c>
      <c r="C3600" t="s">
        <v>45</v>
      </c>
      <c r="D3600">
        <v>100</v>
      </c>
      <c r="E3600" t="s">
        <v>197</v>
      </c>
      <c r="F3600">
        <v>1005</v>
      </c>
      <c r="G3600" t="s">
        <v>45</v>
      </c>
      <c r="H3600">
        <v>2005</v>
      </c>
      <c r="I3600" t="s">
        <v>45</v>
      </c>
      <c r="J3600">
        <v>3020</v>
      </c>
      <c r="K3600" t="s">
        <v>1577</v>
      </c>
      <c r="L3600">
        <v>0</v>
      </c>
      <c r="N3600" t="s">
        <v>341</v>
      </c>
      <c r="O3600">
        <v>1</v>
      </c>
      <c r="P3600">
        <v>3575</v>
      </c>
      <c r="Q3600" t="s">
        <v>1572</v>
      </c>
      <c r="R3600" t="s">
        <v>201</v>
      </c>
      <c r="S3600">
        <v>1</v>
      </c>
      <c r="T3600">
        <v>1</v>
      </c>
      <c r="U3600">
        <v>81324</v>
      </c>
      <c r="V3600">
        <v>81324</v>
      </c>
    </row>
    <row r="3601" spans="1:22">
      <c r="A3601" t="s">
        <v>196</v>
      </c>
      <c r="B3601">
        <v>60</v>
      </c>
      <c r="C3601" t="s">
        <v>45</v>
      </c>
      <c r="D3601">
        <v>100</v>
      </c>
      <c r="E3601" t="s">
        <v>197</v>
      </c>
      <c r="F3601">
        <v>1005</v>
      </c>
      <c r="G3601" t="s">
        <v>45</v>
      </c>
      <c r="H3601">
        <v>2005</v>
      </c>
      <c r="I3601" t="s">
        <v>45</v>
      </c>
      <c r="J3601">
        <v>3020</v>
      </c>
      <c r="K3601" t="s">
        <v>1577</v>
      </c>
      <c r="L3601">
        <v>0</v>
      </c>
      <c r="N3601" t="s">
        <v>253</v>
      </c>
      <c r="O3601">
        <v>10</v>
      </c>
      <c r="P3601">
        <v>1431</v>
      </c>
      <c r="Q3601" t="s">
        <v>339</v>
      </c>
      <c r="R3601" t="s">
        <v>201</v>
      </c>
      <c r="S3601">
        <v>1</v>
      </c>
      <c r="T3601">
        <v>1</v>
      </c>
      <c r="U3601">
        <v>93384</v>
      </c>
      <c r="V3601">
        <v>93384</v>
      </c>
    </row>
    <row r="3602" spans="1:22">
      <c r="A3602" t="s">
        <v>196</v>
      </c>
      <c r="B3602">
        <v>60</v>
      </c>
      <c r="C3602" t="s">
        <v>45</v>
      </c>
      <c r="D3602">
        <v>100</v>
      </c>
      <c r="E3602" t="s">
        <v>197</v>
      </c>
      <c r="F3602">
        <v>1005</v>
      </c>
      <c r="G3602" t="s">
        <v>45</v>
      </c>
      <c r="H3602">
        <v>2005</v>
      </c>
      <c r="I3602" t="s">
        <v>45</v>
      </c>
      <c r="J3602">
        <v>3020</v>
      </c>
      <c r="K3602" t="s">
        <v>1577</v>
      </c>
      <c r="L3602">
        <v>0</v>
      </c>
      <c r="N3602" t="s">
        <v>372</v>
      </c>
      <c r="O3602">
        <v>1</v>
      </c>
      <c r="P3602">
        <v>712</v>
      </c>
      <c r="Q3602" t="s">
        <v>737</v>
      </c>
      <c r="R3602" t="s">
        <v>201</v>
      </c>
      <c r="S3602">
        <v>1</v>
      </c>
      <c r="T3602">
        <v>1</v>
      </c>
      <c r="U3602">
        <v>75336</v>
      </c>
      <c r="V3602">
        <v>75336</v>
      </c>
    </row>
    <row r="3603" spans="1:22">
      <c r="A3603" t="s">
        <v>196</v>
      </c>
      <c r="B3603">
        <v>60</v>
      </c>
      <c r="C3603" t="s">
        <v>45</v>
      </c>
      <c r="D3603">
        <v>100</v>
      </c>
      <c r="E3603" t="s">
        <v>197</v>
      </c>
      <c r="F3603">
        <v>1005</v>
      </c>
      <c r="G3603" t="s">
        <v>45</v>
      </c>
      <c r="H3603">
        <v>2005</v>
      </c>
      <c r="I3603" t="s">
        <v>45</v>
      </c>
      <c r="J3603">
        <v>3020</v>
      </c>
      <c r="K3603" t="s">
        <v>1577</v>
      </c>
      <c r="L3603">
        <v>0</v>
      </c>
      <c r="N3603" t="s">
        <v>257</v>
      </c>
      <c r="O3603">
        <v>9</v>
      </c>
      <c r="P3603">
        <v>705</v>
      </c>
      <c r="Q3603" t="s">
        <v>258</v>
      </c>
      <c r="R3603" t="s">
        <v>201</v>
      </c>
      <c r="S3603">
        <v>2</v>
      </c>
      <c r="T3603">
        <v>1</v>
      </c>
      <c r="U3603">
        <v>128736</v>
      </c>
      <c r="V3603">
        <v>257472</v>
      </c>
    </row>
    <row r="3604" spans="1:22">
      <c r="A3604" t="s">
        <v>196</v>
      </c>
      <c r="B3604">
        <v>60</v>
      </c>
      <c r="C3604" t="s">
        <v>45</v>
      </c>
      <c r="D3604">
        <v>100</v>
      </c>
      <c r="E3604" t="s">
        <v>197</v>
      </c>
      <c r="F3604">
        <v>1005</v>
      </c>
      <c r="G3604" t="s">
        <v>45</v>
      </c>
      <c r="H3604">
        <v>2005</v>
      </c>
      <c r="I3604" t="s">
        <v>45</v>
      </c>
      <c r="J3604">
        <v>3020</v>
      </c>
      <c r="K3604" t="s">
        <v>1577</v>
      </c>
      <c r="L3604">
        <v>0</v>
      </c>
      <c r="N3604" t="s">
        <v>199</v>
      </c>
      <c r="O3604">
        <v>0</v>
      </c>
      <c r="P3604">
        <v>15</v>
      </c>
      <c r="Q3604" t="s">
        <v>264</v>
      </c>
      <c r="R3604" t="s">
        <v>201</v>
      </c>
      <c r="S3604">
        <v>0</v>
      </c>
      <c r="T3604">
        <v>0</v>
      </c>
      <c r="U3604">
        <v>10302</v>
      </c>
      <c r="V3604">
        <v>10302</v>
      </c>
    </row>
    <row r="3605" spans="1:22">
      <c r="A3605" t="s">
        <v>196</v>
      </c>
      <c r="B3605">
        <v>60</v>
      </c>
      <c r="C3605" t="s">
        <v>45</v>
      </c>
      <c r="D3605">
        <v>100</v>
      </c>
      <c r="E3605" t="s">
        <v>197</v>
      </c>
      <c r="F3605">
        <v>1005</v>
      </c>
      <c r="G3605" t="s">
        <v>45</v>
      </c>
      <c r="H3605">
        <v>2005</v>
      </c>
      <c r="I3605" t="s">
        <v>45</v>
      </c>
      <c r="J3605">
        <v>3025</v>
      </c>
      <c r="K3605" t="s">
        <v>1578</v>
      </c>
      <c r="L3605">
        <v>0</v>
      </c>
      <c r="N3605" t="s">
        <v>341</v>
      </c>
      <c r="O3605">
        <v>1</v>
      </c>
      <c r="P3605">
        <v>3575</v>
      </c>
      <c r="Q3605" t="s">
        <v>1572</v>
      </c>
      <c r="R3605" t="s">
        <v>201</v>
      </c>
      <c r="S3605">
        <v>1</v>
      </c>
      <c r="T3605">
        <v>1</v>
      </c>
      <c r="U3605">
        <v>74172</v>
      </c>
      <c r="V3605">
        <v>74172</v>
      </c>
    </row>
    <row r="3606" spans="1:22">
      <c r="A3606" t="s">
        <v>196</v>
      </c>
      <c r="B3606">
        <v>60</v>
      </c>
      <c r="C3606" t="s">
        <v>45</v>
      </c>
      <c r="D3606">
        <v>100</v>
      </c>
      <c r="E3606" t="s">
        <v>197</v>
      </c>
      <c r="F3606">
        <v>1005</v>
      </c>
      <c r="G3606" t="s">
        <v>45</v>
      </c>
      <c r="H3606">
        <v>2005</v>
      </c>
      <c r="I3606" t="s">
        <v>45</v>
      </c>
      <c r="J3606">
        <v>3025</v>
      </c>
      <c r="K3606" t="s">
        <v>1578</v>
      </c>
      <c r="L3606">
        <v>0</v>
      </c>
      <c r="N3606" t="s">
        <v>271</v>
      </c>
      <c r="O3606">
        <v>20</v>
      </c>
      <c r="P3606">
        <v>1257</v>
      </c>
      <c r="Q3606" t="s">
        <v>1566</v>
      </c>
      <c r="R3606" t="s">
        <v>201</v>
      </c>
      <c r="S3606">
        <v>1</v>
      </c>
      <c r="T3606">
        <v>1</v>
      </c>
      <c r="U3606">
        <v>150624</v>
      </c>
      <c r="V3606">
        <v>150624</v>
      </c>
    </row>
    <row r="3607" spans="1:22">
      <c r="A3607" t="s">
        <v>196</v>
      </c>
      <c r="B3607">
        <v>60</v>
      </c>
      <c r="C3607" t="s">
        <v>45</v>
      </c>
      <c r="D3607">
        <v>100</v>
      </c>
      <c r="E3607" t="s">
        <v>197</v>
      </c>
      <c r="F3607">
        <v>1005</v>
      </c>
      <c r="G3607" t="s">
        <v>45</v>
      </c>
      <c r="H3607">
        <v>2005</v>
      </c>
      <c r="I3607" t="s">
        <v>45</v>
      </c>
      <c r="J3607">
        <v>3025</v>
      </c>
      <c r="K3607" t="s">
        <v>1578</v>
      </c>
      <c r="L3607">
        <v>0</v>
      </c>
      <c r="N3607" t="s">
        <v>255</v>
      </c>
      <c r="O3607">
        <v>3</v>
      </c>
      <c r="P3607">
        <v>1250</v>
      </c>
      <c r="Q3607" t="s">
        <v>1564</v>
      </c>
      <c r="R3607" t="s">
        <v>201</v>
      </c>
      <c r="S3607">
        <v>2</v>
      </c>
      <c r="T3607">
        <v>1</v>
      </c>
      <c r="U3607">
        <v>82644</v>
      </c>
      <c r="V3607">
        <v>165288</v>
      </c>
    </row>
    <row r="3608" spans="1:22">
      <c r="A3608" t="s">
        <v>196</v>
      </c>
      <c r="B3608">
        <v>60</v>
      </c>
      <c r="C3608" t="s">
        <v>45</v>
      </c>
      <c r="D3608">
        <v>100</v>
      </c>
      <c r="E3608" t="s">
        <v>197</v>
      </c>
      <c r="F3608">
        <v>1005</v>
      </c>
      <c r="G3608" t="s">
        <v>45</v>
      </c>
      <c r="H3608">
        <v>2005</v>
      </c>
      <c r="I3608" t="s">
        <v>45</v>
      </c>
      <c r="J3608">
        <v>3025</v>
      </c>
      <c r="K3608" t="s">
        <v>1578</v>
      </c>
      <c r="L3608">
        <v>0</v>
      </c>
      <c r="N3608" t="s">
        <v>245</v>
      </c>
      <c r="O3608">
        <v>0</v>
      </c>
      <c r="P3608">
        <v>1249</v>
      </c>
      <c r="Q3608" t="s">
        <v>1567</v>
      </c>
      <c r="R3608" t="s">
        <v>201</v>
      </c>
      <c r="S3608">
        <v>1</v>
      </c>
      <c r="T3608">
        <v>1</v>
      </c>
      <c r="U3608">
        <v>126756</v>
      </c>
      <c r="V3608">
        <v>126756</v>
      </c>
    </row>
    <row r="3609" spans="1:22">
      <c r="A3609" t="s">
        <v>196</v>
      </c>
      <c r="B3609">
        <v>60</v>
      </c>
      <c r="C3609" t="s">
        <v>45</v>
      </c>
      <c r="D3609">
        <v>100</v>
      </c>
      <c r="E3609" t="s">
        <v>197</v>
      </c>
      <c r="F3609">
        <v>1005</v>
      </c>
      <c r="G3609" t="s">
        <v>45</v>
      </c>
      <c r="H3609">
        <v>2005</v>
      </c>
      <c r="I3609" t="s">
        <v>45</v>
      </c>
      <c r="J3609">
        <v>3025</v>
      </c>
      <c r="K3609" t="s">
        <v>1578</v>
      </c>
      <c r="L3609">
        <v>0</v>
      </c>
      <c r="N3609" t="s">
        <v>341</v>
      </c>
      <c r="O3609">
        <v>1</v>
      </c>
      <c r="P3609">
        <v>708</v>
      </c>
      <c r="Q3609" t="s">
        <v>342</v>
      </c>
      <c r="R3609" t="s">
        <v>201</v>
      </c>
      <c r="S3609">
        <v>4</v>
      </c>
      <c r="T3609">
        <v>1</v>
      </c>
      <c r="U3609">
        <v>68616</v>
      </c>
      <c r="V3609">
        <v>274464</v>
      </c>
    </row>
    <row r="3610" spans="1:22">
      <c r="A3610" t="s">
        <v>196</v>
      </c>
      <c r="B3610">
        <v>60</v>
      </c>
      <c r="C3610" t="s">
        <v>45</v>
      </c>
      <c r="D3610">
        <v>100</v>
      </c>
      <c r="E3610" t="s">
        <v>197</v>
      </c>
      <c r="F3610">
        <v>1005</v>
      </c>
      <c r="G3610" t="s">
        <v>45</v>
      </c>
      <c r="H3610">
        <v>2005</v>
      </c>
      <c r="I3610" t="s">
        <v>45</v>
      </c>
      <c r="J3610">
        <v>3025</v>
      </c>
      <c r="K3610" t="s">
        <v>1578</v>
      </c>
      <c r="L3610">
        <v>0</v>
      </c>
      <c r="N3610" t="s">
        <v>199</v>
      </c>
      <c r="O3610">
        <v>0</v>
      </c>
      <c r="P3610">
        <v>15</v>
      </c>
      <c r="Q3610" t="s">
        <v>264</v>
      </c>
      <c r="R3610" t="s">
        <v>201</v>
      </c>
      <c r="S3610">
        <v>0</v>
      </c>
      <c r="T3610">
        <v>0</v>
      </c>
      <c r="U3610">
        <v>2912</v>
      </c>
      <c r="V3610">
        <v>2912</v>
      </c>
    </row>
    <row r="3611" spans="1:22">
      <c r="A3611" t="s">
        <v>196</v>
      </c>
      <c r="B3611">
        <v>60</v>
      </c>
      <c r="C3611" t="s">
        <v>45</v>
      </c>
      <c r="D3611">
        <v>100</v>
      </c>
      <c r="E3611" t="s">
        <v>197</v>
      </c>
      <c r="F3611">
        <v>1005</v>
      </c>
      <c r="G3611" t="s">
        <v>45</v>
      </c>
      <c r="H3611">
        <v>2005</v>
      </c>
      <c r="I3611" t="s">
        <v>45</v>
      </c>
      <c r="J3611">
        <v>3030</v>
      </c>
      <c r="K3611" t="s">
        <v>1579</v>
      </c>
      <c r="L3611">
        <v>0</v>
      </c>
      <c r="N3611" t="s">
        <v>266</v>
      </c>
      <c r="O3611">
        <v>9</v>
      </c>
      <c r="P3611">
        <v>9680</v>
      </c>
      <c r="Q3611" t="s">
        <v>1560</v>
      </c>
      <c r="R3611" t="s">
        <v>201</v>
      </c>
      <c r="S3611">
        <v>1</v>
      </c>
      <c r="T3611">
        <v>1</v>
      </c>
      <c r="U3611">
        <v>175512</v>
      </c>
      <c r="V3611">
        <v>175512</v>
      </c>
    </row>
    <row r="3612" spans="1:22">
      <c r="A3612" t="s">
        <v>196</v>
      </c>
      <c r="B3612">
        <v>60</v>
      </c>
      <c r="C3612" t="s">
        <v>45</v>
      </c>
      <c r="D3612">
        <v>100</v>
      </c>
      <c r="E3612" t="s">
        <v>197</v>
      </c>
      <c r="F3612">
        <v>1005</v>
      </c>
      <c r="G3612" t="s">
        <v>45</v>
      </c>
      <c r="H3612">
        <v>2005</v>
      </c>
      <c r="I3612" t="s">
        <v>45</v>
      </c>
      <c r="J3612">
        <v>3030</v>
      </c>
      <c r="K3612" t="s">
        <v>1579</v>
      </c>
      <c r="L3612">
        <v>0</v>
      </c>
      <c r="N3612" t="s">
        <v>602</v>
      </c>
      <c r="O3612">
        <v>4</v>
      </c>
      <c r="P3612">
        <v>2056</v>
      </c>
      <c r="Q3612" t="s">
        <v>1580</v>
      </c>
      <c r="R3612" t="s">
        <v>201</v>
      </c>
      <c r="S3612">
        <v>1</v>
      </c>
      <c r="T3612">
        <v>1</v>
      </c>
      <c r="U3612">
        <v>112536</v>
      </c>
      <c r="V3612">
        <v>112536</v>
      </c>
    </row>
    <row r="3613" spans="1:22">
      <c r="A3613" t="s">
        <v>196</v>
      </c>
      <c r="B3613">
        <v>60</v>
      </c>
      <c r="C3613" t="s">
        <v>45</v>
      </c>
      <c r="D3613">
        <v>100</v>
      </c>
      <c r="E3613" t="s">
        <v>197</v>
      </c>
      <c r="F3613">
        <v>1005</v>
      </c>
      <c r="G3613" t="s">
        <v>45</v>
      </c>
      <c r="H3613">
        <v>2005</v>
      </c>
      <c r="I3613" t="s">
        <v>45</v>
      </c>
      <c r="J3613">
        <v>3030</v>
      </c>
      <c r="K3613" t="s">
        <v>1579</v>
      </c>
      <c r="L3613">
        <v>0</v>
      </c>
      <c r="N3613" t="s">
        <v>281</v>
      </c>
      <c r="O3613">
        <v>20</v>
      </c>
      <c r="P3613">
        <v>1126</v>
      </c>
      <c r="Q3613" t="s">
        <v>286</v>
      </c>
      <c r="R3613" t="s">
        <v>201</v>
      </c>
      <c r="S3613">
        <v>1</v>
      </c>
      <c r="T3613">
        <v>1</v>
      </c>
      <c r="U3613">
        <v>82884</v>
      </c>
      <c r="V3613">
        <v>82884</v>
      </c>
    </row>
    <row r="3614" spans="1:22">
      <c r="A3614" t="s">
        <v>196</v>
      </c>
      <c r="B3614">
        <v>60</v>
      </c>
      <c r="C3614" t="s">
        <v>45</v>
      </c>
      <c r="D3614">
        <v>100</v>
      </c>
      <c r="E3614" t="s">
        <v>197</v>
      </c>
      <c r="F3614">
        <v>1005</v>
      </c>
      <c r="G3614" t="s">
        <v>45</v>
      </c>
      <c r="H3614">
        <v>2005</v>
      </c>
      <c r="I3614" t="s">
        <v>45</v>
      </c>
      <c r="J3614">
        <v>3030</v>
      </c>
      <c r="K3614" t="s">
        <v>1579</v>
      </c>
      <c r="L3614">
        <v>0</v>
      </c>
      <c r="N3614" t="s">
        <v>386</v>
      </c>
      <c r="O3614">
        <v>3</v>
      </c>
      <c r="P3614" t="s">
        <v>1251</v>
      </c>
      <c r="Q3614" t="s">
        <v>1252</v>
      </c>
      <c r="R3614" t="s">
        <v>201</v>
      </c>
      <c r="S3614">
        <v>2</v>
      </c>
      <c r="T3614">
        <v>1</v>
      </c>
      <c r="U3614">
        <v>122928</v>
      </c>
      <c r="V3614">
        <v>245856</v>
      </c>
    </row>
    <row r="3615" spans="1:22">
      <c r="A3615" t="s">
        <v>196</v>
      </c>
      <c r="B3615">
        <v>60</v>
      </c>
      <c r="C3615" t="s">
        <v>45</v>
      </c>
      <c r="D3615">
        <v>100</v>
      </c>
      <c r="E3615" t="s">
        <v>197</v>
      </c>
      <c r="F3615">
        <v>1005</v>
      </c>
      <c r="G3615" t="s">
        <v>45</v>
      </c>
      <c r="H3615">
        <v>2005</v>
      </c>
      <c r="I3615" t="s">
        <v>45</v>
      </c>
      <c r="J3615">
        <v>3030</v>
      </c>
      <c r="K3615" t="s">
        <v>1579</v>
      </c>
      <c r="L3615">
        <v>0</v>
      </c>
      <c r="N3615" t="s">
        <v>249</v>
      </c>
      <c r="O3615">
        <v>10</v>
      </c>
      <c r="P3615">
        <v>310</v>
      </c>
      <c r="Q3615" t="s">
        <v>447</v>
      </c>
      <c r="R3615" t="s">
        <v>201</v>
      </c>
      <c r="S3615">
        <v>1</v>
      </c>
      <c r="T3615">
        <v>1</v>
      </c>
      <c r="U3615">
        <v>102444</v>
      </c>
      <c r="V3615">
        <v>102444</v>
      </c>
    </row>
    <row r="3616" spans="1:22">
      <c r="A3616" t="s">
        <v>196</v>
      </c>
      <c r="B3616">
        <v>60</v>
      </c>
      <c r="C3616" t="s">
        <v>45</v>
      </c>
      <c r="D3616">
        <v>100</v>
      </c>
      <c r="E3616" t="s">
        <v>197</v>
      </c>
      <c r="F3616">
        <v>1005</v>
      </c>
      <c r="G3616" t="s">
        <v>45</v>
      </c>
      <c r="H3616">
        <v>2005</v>
      </c>
      <c r="I3616" t="s">
        <v>45</v>
      </c>
      <c r="J3616">
        <v>3030</v>
      </c>
      <c r="K3616" t="s">
        <v>1579</v>
      </c>
      <c r="L3616">
        <v>0</v>
      </c>
      <c r="N3616" t="s">
        <v>199</v>
      </c>
      <c r="O3616">
        <v>0</v>
      </c>
      <c r="P3616">
        <v>15</v>
      </c>
      <c r="Q3616" t="s">
        <v>264</v>
      </c>
      <c r="R3616" t="s">
        <v>201</v>
      </c>
      <c r="S3616">
        <v>0</v>
      </c>
      <c r="T3616">
        <v>0</v>
      </c>
      <c r="U3616">
        <v>12433</v>
      </c>
      <c r="V3616">
        <v>12433</v>
      </c>
    </row>
    <row r="3617" spans="1:22">
      <c r="A3617" t="s">
        <v>196</v>
      </c>
      <c r="B3617">
        <v>62</v>
      </c>
      <c r="C3617" t="s">
        <v>96</v>
      </c>
      <c r="D3617">
        <v>100</v>
      </c>
      <c r="E3617" t="s">
        <v>197</v>
      </c>
      <c r="F3617">
        <v>1005</v>
      </c>
      <c r="G3617" t="s">
        <v>96</v>
      </c>
      <c r="H3617">
        <v>2005</v>
      </c>
      <c r="I3617" t="s">
        <v>96</v>
      </c>
      <c r="J3617">
        <v>3005</v>
      </c>
      <c r="K3617" t="s">
        <v>309</v>
      </c>
      <c r="L3617">
        <v>0</v>
      </c>
      <c r="N3617" t="s">
        <v>216</v>
      </c>
      <c r="O3617">
        <v>9</v>
      </c>
      <c r="P3617">
        <v>9962</v>
      </c>
      <c r="Q3617" t="s">
        <v>1581</v>
      </c>
      <c r="R3617" t="s">
        <v>201</v>
      </c>
      <c r="S3617">
        <v>1</v>
      </c>
      <c r="T3617">
        <v>1</v>
      </c>
      <c r="U3617">
        <v>190428</v>
      </c>
      <c r="V3617">
        <v>190428</v>
      </c>
    </row>
    <row r="3618" spans="1:22">
      <c r="A3618" t="s">
        <v>196</v>
      </c>
      <c r="B3618">
        <v>62</v>
      </c>
      <c r="C3618" t="s">
        <v>96</v>
      </c>
      <c r="D3618">
        <v>100</v>
      </c>
      <c r="E3618" t="s">
        <v>197</v>
      </c>
      <c r="F3618">
        <v>1005</v>
      </c>
      <c r="G3618" t="s">
        <v>96</v>
      </c>
      <c r="H3618">
        <v>2005</v>
      </c>
      <c r="I3618" t="s">
        <v>96</v>
      </c>
      <c r="J3618">
        <v>3005</v>
      </c>
      <c r="K3618" t="s">
        <v>309</v>
      </c>
      <c r="L3618">
        <v>0</v>
      </c>
      <c r="N3618" t="s">
        <v>311</v>
      </c>
      <c r="O3618">
        <v>0</v>
      </c>
      <c r="P3618">
        <v>9812</v>
      </c>
      <c r="Q3618" t="s">
        <v>640</v>
      </c>
      <c r="R3618" t="s">
        <v>201</v>
      </c>
      <c r="S3618">
        <v>1</v>
      </c>
      <c r="T3618">
        <v>1</v>
      </c>
      <c r="U3618">
        <v>168924</v>
      </c>
      <c r="V3618">
        <v>168924</v>
      </c>
    </row>
    <row r="3619" spans="1:22">
      <c r="A3619" t="s">
        <v>196</v>
      </c>
      <c r="B3619">
        <v>62</v>
      </c>
      <c r="C3619" t="s">
        <v>96</v>
      </c>
      <c r="D3619">
        <v>100</v>
      </c>
      <c r="E3619" t="s">
        <v>197</v>
      </c>
      <c r="F3619">
        <v>1005</v>
      </c>
      <c r="G3619" t="s">
        <v>96</v>
      </c>
      <c r="H3619">
        <v>2005</v>
      </c>
      <c r="I3619" t="s">
        <v>96</v>
      </c>
      <c r="J3619">
        <v>3005</v>
      </c>
      <c r="K3619" t="s">
        <v>309</v>
      </c>
      <c r="L3619">
        <v>0</v>
      </c>
      <c r="N3619" t="s">
        <v>251</v>
      </c>
      <c r="O3619">
        <v>10</v>
      </c>
      <c r="P3619">
        <v>802</v>
      </c>
      <c r="Q3619" t="s">
        <v>252</v>
      </c>
      <c r="R3619" t="s">
        <v>201</v>
      </c>
      <c r="S3619">
        <v>1</v>
      </c>
      <c r="T3619">
        <v>1</v>
      </c>
      <c r="U3619">
        <v>108432</v>
      </c>
      <c r="V3619">
        <v>108432</v>
      </c>
    </row>
    <row r="3620" spans="1:22">
      <c r="A3620" t="s">
        <v>196</v>
      </c>
      <c r="B3620">
        <v>62</v>
      </c>
      <c r="C3620" t="s">
        <v>96</v>
      </c>
      <c r="D3620">
        <v>100</v>
      </c>
      <c r="E3620" t="s">
        <v>197</v>
      </c>
      <c r="F3620">
        <v>1005</v>
      </c>
      <c r="G3620" t="s">
        <v>96</v>
      </c>
      <c r="H3620">
        <v>2005</v>
      </c>
      <c r="I3620" t="s">
        <v>96</v>
      </c>
      <c r="J3620">
        <v>3005</v>
      </c>
      <c r="K3620" t="s">
        <v>309</v>
      </c>
      <c r="L3620">
        <v>0</v>
      </c>
      <c r="N3620" t="s">
        <v>274</v>
      </c>
      <c r="O3620">
        <v>20</v>
      </c>
      <c r="P3620">
        <v>383</v>
      </c>
      <c r="Q3620" t="s">
        <v>354</v>
      </c>
      <c r="R3620" t="s">
        <v>201</v>
      </c>
      <c r="S3620">
        <v>1</v>
      </c>
      <c r="T3620">
        <v>1</v>
      </c>
      <c r="U3620">
        <v>146808</v>
      </c>
      <c r="V3620">
        <v>146808</v>
      </c>
    </row>
    <row r="3621" spans="1:22">
      <c r="A3621" t="s">
        <v>196</v>
      </c>
      <c r="B3621">
        <v>62</v>
      </c>
      <c r="C3621" t="s">
        <v>96</v>
      </c>
      <c r="D3621">
        <v>100</v>
      </c>
      <c r="E3621" t="s">
        <v>197</v>
      </c>
      <c r="F3621">
        <v>1005</v>
      </c>
      <c r="G3621" t="s">
        <v>96</v>
      </c>
      <c r="H3621">
        <v>2005</v>
      </c>
      <c r="I3621" t="s">
        <v>96</v>
      </c>
      <c r="J3621">
        <v>3005</v>
      </c>
      <c r="K3621" t="s">
        <v>309</v>
      </c>
      <c r="L3621">
        <v>0</v>
      </c>
      <c r="N3621" t="s">
        <v>274</v>
      </c>
      <c r="O3621">
        <v>0</v>
      </c>
      <c r="P3621">
        <v>306</v>
      </c>
      <c r="Q3621" t="s">
        <v>636</v>
      </c>
      <c r="R3621" t="s">
        <v>201</v>
      </c>
      <c r="S3621">
        <v>1</v>
      </c>
      <c r="T3621">
        <v>1</v>
      </c>
      <c r="U3621">
        <v>121668</v>
      </c>
      <c r="V3621">
        <v>121668</v>
      </c>
    </row>
    <row r="3622" spans="1:22">
      <c r="A3622" t="s">
        <v>196</v>
      </c>
      <c r="B3622">
        <v>62</v>
      </c>
      <c r="C3622" t="s">
        <v>96</v>
      </c>
      <c r="D3622">
        <v>100</v>
      </c>
      <c r="E3622" t="s">
        <v>197</v>
      </c>
      <c r="F3622">
        <v>1005</v>
      </c>
      <c r="G3622" t="s">
        <v>96</v>
      </c>
      <c r="H3622">
        <v>2005</v>
      </c>
      <c r="I3622" t="s">
        <v>96</v>
      </c>
      <c r="J3622">
        <v>3005</v>
      </c>
      <c r="K3622" t="s">
        <v>309</v>
      </c>
      <c r="L3622">
        <v>0</v>
      </c>
      <c r="N3622" t="s">
        <v>199</v>
      </c>
      <c r="O3622">
        <v>0</v>
      </c>
      <c r="P3622">
        <v>15</v>
      </c>
      <c r="Q3622" t="s">
        <v>264</v>
      </c>
      <c r="R3622" t="s">
        <v>201</v>
      </c>
      <c r="S3622">
        <v>0</v>
      </c>
      <c r="T3622">
        <v>0</v>
      </c>
      <c r="U3622">
        <v>7602</v>
      </c>
      <c r="V3622">
        <v>7602</v>
      </c>
    </row>
    <row r="3623" spans="1:22">
      <c r="A3623" t="s">
        <v>196</v>
      </c>
      <c r="B3623">
        <v>62</v>
      </c>
      <c r="C3623" t="s">
        <v>96</v>
      </c>
      <c r="D3623">
        <v>100</v>
      </c>
      <c r="E3623" t="s">
        <v>197</v>
      </c>
      <c r="F3623">
        <v>1005</v>
      </c>
      <c r="G3623" t="s">
        <v>96</v>
      </c>
      <c r="H3623">
        <v>2005</v>
      </c>
      <c r="I3623" t="s">
        <v>96</v>
      </c>
      <c r="J3623">
        <v>3010</v>
      </c>
      <c r="K3623" t="s">
        <v>1582</v>
      </c>
      <c r="L3623">
        <v>0</v>
      </c>
      <c r="N3623" t="s">
        <v>266</v>
      </c>
      <c r="O3623">
        <v>9</v>
      </c>
      <c r="P3623">
        <v>9684</v>
      </c>
      <c r="Q3623" t="s">
        <v>327</v>
      </c>
      <c r="R3623" t="s">
        <v>201</v>
      </c>
      <c r="S3623">
        <v>1</v>
      </c>
      <c r="T3623">
        <v>1</v>
      </c>
      <c r="U3623">
        <v>157332</v>
      </c>
      <c r="V3623">
        <v>157332</v>
      </c>
    </row>
    <row r="3624" spans="1:22">
      <c r="A3624" t="s">
        <v>196</v>
      </c>
      <c r="B3624">
        <v>62</v>
      </c>
      <c r="C3624" t="s">
        <v>96</v>
      </c>
      <c r="D3624">
        <v>100</v>
      </c>
      <c r="E3624" t="s">
        <v>197</v>
      </c>
      <c r="F3624">
        <v>1005</v>
      </c>
      <c r="G3624" t="s">
        <v>96</v>
      </c>
      <c r="H3624">
        <v>2005</v>
      </c>
      <c r="I3624" t="s">
        <v>96</v>
      </c>
      <c r="J3624">
        <v>3010</v>
      </c>
      <c r="K3624" t="s">
        <v>1582</v>
      </c>
      <c r="L3624">
        <v>0</v>
      </c>
      <c r="N3624" t="s">
        <v>372</v>
      </c>
      <c r="O3624">
        <v>3</v>
      </c>
      <c r="P3624">
        <v>3897</v>
      </c>
      <c r="Q3624" t="s">
        <v>1152</v>
      </c>
      <c r="R3624" t="s">
        <v>201</v>
      </c>
      <c r="S3624">
        <v>5</v>
      </c>
      <c r="T3624">
        <v>1</v>
      </c>
      <c r="U3624">
        <v>81324</v>
      </c>
      <c r="V3624">
        <v>406620</v>
      </c>
    </row>
    <row r="3625" spans="1:22">
      <c r="A3625" t="s">
        <v>196</v>
      </c>
      <c r="B3625">
        <v>62</v>
      </c>
      <c r="C3625" t="s">
        <v>96</v>
      </c>
      <c r="D3625">
        <v>100</v>
      </c>
      <c r="E3625" t="s">
        <v>197</v>
      </c>
      <c r="F3625">
        <v>1005</v>
      </c>
      <c r="G3625" t="s">
        <v>96</v>
      </c>
      <c r="H3625">
        <v>2005</v>
      </c>
      <c r="I3625" t="s">
        <v>96</v>
      </c>
      <c r="J3625">
        <v>3010</v>
      </c>
      <c r="K3625" t="s">
        <v>1582</v>
      </c>
      <c r="L3625">
        <v>0</v>
      </c>
      <c r="N3625" t="s">
        <v>372</v>
      </c>
      <c r="O3625">
        <v>3</v>
      </c>
      <c r="P3625">
        <v>3897</v>
      </c>
      <c r="Q3625" t="s">
        <v>1152</v>
      </c>
      <c r="R3625" t="s">
        <v>201</v>
      </c>
      <c r="S3625">
        <v>1</v>
      </c>
      <c r="T3625">
        <v>1</v>
      </c>
      <c r="U3625">
        <v>75336</v>
      </c>
      <c r="V3625">
        <v>75336</v>
      </c>
    </row>
    <row r="3626" spans="1:22">
      <c r="A3626" t="s">
        <v>196</v>
      </c>
      <c r="B3626">
        <v>62</v>
      </c>
      <c r="C3626" t="s">
        <v>96</v>
      </c>
      <c r="D3626">
        <v>100</v>
      </c>
      <c r="E3626" t="s">
        <v>197</v>
      </c>
      <c r="F3626">
        <v>1005</v>
      </c>
      <c r="G3626" t="s">
        <v>96</v>
      </c>
      <c r="H3626">
        <v>2005</v>
      </c>
      <c r="I3626" t="s">
        <v>96</v>
      </c>
      <c r="J3626">
        <v>3010</v>
      </c>
      <c r="K3626" t="s">
        <v>1582</v>
      </c>
      <c r="L3626">
        <v>0</v>
      </c>
      <c r="N3626" t="s">
        <v>351</v>
      </c>
      <c r="O3626">
        <v>1</v>
      </c>
      <c r="P3626" t="s">
        <v>352</v>
      </c>
      <c r="Q3626" t="s">
        <v>353</v>
      </c>
      <c r="R3626" t="s">
        <v>201</v>
      </c>
      <c r="S3626">
        <v>1</v>
      </c>
      <c r="T3626">
        <v>1</v>
      </c>
      <c r="U3626">
        <v>74172</v>
      </c>
      <c r="V3626">
        <v>74172</v>
      </c>
    </row>
    <row r="3627" spans="1:22">
      <c r="A3627" t="s">
        <v>196</v>
      </c>
      <c r="B3627">
        <v>62</v>
      </c>
      <c r="C3627" t="s">
        <v>96</v>
      </c>
      <c r="D3627">
        <v>100</v>
      </c>
      <c r="E3627" t="s">
        <v>197</v>
      </c>
      <c r="F3627">
        <v>1005</v>
      </c>
      <c r="G3627" t="s">
        <v>96</v>
      </c>
      <c r="H3627">
        <v>2005</v>
      </c>
      <c r="I3627" t="s">
        <v>96</v>
      </c>
      <c r="J3627">
        <v>3010</v>
      </c>
      <c r="K3627" t="s">
        <v>1582</v>
      </c>
      <c r="L3627">
        <v>0</v>
      </c>
      <c r="N3627" t="s">
        <v>249</v>
      </c>
      <c r="O3627">
        <v>10</v>
      </c>
      <c r="P3627">
        <v>310</v>
      </c>
      <c r="Q3627" t="s">
        <v>447</v>
      </c>
      <c r="R3627" t="s">
        <v>201</v>
      </c>
      <c r="S3627">
        <v>2</v>
      </c>
      <c r="T3627">
        <v>1</v>
      </c>
      <c r="U3627">
        <v>118956</v>
      </c>
      <c r="V3627">
        <v>237912</v>
      </c>
    </row>
    <row r="3628" spans="1:22">
      <c r="A3628" t="s">
        <v>196</v>
      </c>
      <c r="B3628">
        <v>62</v>
      </c>
      <c r="C3628" t="s">
        <v>96</v>
      </c>
      <c r="D3628">
        <v>100</v>
      </c>
      <c r="E3628" t="s">
        <v>197</v>
      </c>
      <c r="F3628">
        <v>1005</v>
      </c>
      <c r="G3628" t="s">
        <v>96</v>
      </c>
      <c r="H3628">
        <v>2005</v>
      </c>
      <c r="I3628" t="s">
        <v>96</v>
      </c>
      <c r="J3628">
        <v>3010</v>
      </c>
      <c r="K3628" t="s">
        <v>1582</v>
      </c>
      <c r="L3628">
        <v>0</v>
      </c>
      <c r="N3628" t="s">
        <v>249</v>
      </c>
      <c r="O3628">
        <v>10</v>
      </c>
      <c r="P3628">
        <v>310</v>
      </c>
      <c r="Q3628" t="s">
        <v>447</v>
      </c>
      <c r="R3628" t="s">
        <v>201</v>
      </c>
      <c r="S3628">
        <v>1</v>
      </c>
      <c r="T3628">
        <v>1</v>
      </c>
      <c r="U3628">
        <v>89112</v>
      </c>
      <c r="V3628">
        <v>89112</v>
      </c>
    </row>
    <row r="3629" spans="1:22">
      <c r="A3629" t="s">
        <v>196</v>
      </c>
      <c r="B3629">
        <v>62</v>
      </c>
      <c r="C3629" t="s">
        <v>96</v>
      </c>
      <c r="D3629">
        <v>100</v>
      </c>
      <c r="E3629" t="s">
        <v>197</v>
      </c>
      <c r="F3629">
        <v>1005</v>
      </c>
      <c r="G3629" t="s">
        <v>96</v>
      </c>
      <c r="H3629">
        <v>2005</v>
      </c>
      <c r="I3629" t="s">
        <v>96</v>
      </c>
      <c r="J3629">
        <v>3010</v>
      </c>
      <c r="K3629" t="s">
        <v>1582</v>
      </c>
      <c r="L3629">
        <v>0</v>
      </c>
      <c r="N3629" t="s">
        <v>199</v>
      </c>
      <c r="O3629">
        <v>0</v>
      </c>
      <c r="P3629">
        <v>15</v>
      </c>
      <c r="Q3629" t="s">
        <v>264</v>
      </c>
      <c r="R3629" t="s">
        <v>201</v>
      </c>
      <c r="S3629">
        <v>0</v>
      </c>
      <c r="T3629">
        <v>0</v>
      </c>
      <c r="U3629">
        <v>21032</v>
      </c>
      <c r="V3629">
        <v>21032</v>
      </c>
    </row>
    <row r="3630" spans="1:22">
      <c r="A3630" t="s">
        <v>196</v>
      </c>
      <c r="B3630">
        <v>62</v>
      </c>
      <c r="C3630" t="s">
        <v>96</v>
      </c>
      <c r="D3630">
        <v>100</v>
      </c>
      <c r="E3630" t="s">
        <v>197</v>
      </c>
      <c r="F3630">
        <v>1005</v>
      </c>
      <c r="G3630" t="s">
        <v>96</v>
      </c>
      <c r="H3630">
        <v>2005</v>
      </c>
      <c r="I3630" t="s">
        <v>96</v>
      </c>
      <c r="J3630">
        <v>3015</v>
      </c>
      <c r="K3630" t="s">
        <v>1583</v>
      </c>
      <c r="L3630">
        <v>0</v>
      </c>
      <c r="N3630" t="s">
        <v>266</v>
      </c>
      <c r="O3630">
        <v>0</v>
      </c>
      <c r="P3630">
        <v>8780</v>
      </c>
      <c r="Q3630" t="s">
        <v>1584</v>
      </c>
      <c r="R3630" t="s">
        <v>201</v>
      </c>
      <c r="S3630">
        <v>1</v>
      </c>
      <c r="T3630">
        <v>1</v>
      </c>
      <c r="U3630">
        <v>175512</v>
      </c>
      <c r="V3630">
        <v>175512</v>
      </c>
    </row>
    <row r="3631" spans="1:22">
      <c r="A3631" t="s">
        <v>196</v>
      </c>
      <c r="B3631">
        <v>62</v>
      </c>
      <c r="C3631" t="s">
        <v>96</v>
      </c>
      <c r="D3631">
        <v>100</v>
      </c>
      <c r="E3631" t="s">
        <v>197</v>
      </c>
      <c r="F3631">
        <v>1005</v>
      </c>
      <c r="G3631" t="s">
        <v>96</v>
      </c>
      <c r="H3631">
        <v>2005</v>
      </c>
      <c r="I3631" t="s">
        <v>96</v>
      </c>
      <c r="J3631">
        <v>3015</v>
      </c>
      <c r="K3631" t="s">
        <v>1583</v>
      </c>
      <c r="L3631">
        <v>0</v>
      </c>
      <c r="N3631" t="s">
        <v>253</v>
      </c>
      <c r="O3631">
        <v>10</v>
      </c>
      <c r="P3631">
        <v>1431</v>
      </c>
      <c r="Q3631" t="s">
        <v>339</v>
      </c>
      <c r="R3631" t="s">
        <v>201</v>
      </c>
      <c r="S3631">
        <v>1</v>
      </c>
      <c r="T3631">
        <v>1</v>
      </c>
      <c r="U3631">
        <v>97836</v>
      </c>
      <c r="V3631">
        <v>97836</v>
      </c>
    </row>
    <row r="3632" spans="1:22">
      <c r="A3632" t="s">
        <v>196</v>
      </c>
      <c r="B3632">
        <v>62</v>
      </c>
      <c r="C3632" t="s">
        <v>96</v>
      </c>
      <c r="D3632">
        <v>100</v>
      </c>
      <c r="E3632" t="s">
        <v>197</v>
      </c>
      <c r="F3632">
        <v>1005</v>
      </c>
      <c r="G3632" t="s">
        <v>96</v>
      </c>
      <c r="H3632">
        <v>2005</v>
      </c>
      <c r="I3632" t="s">
        <v>96</v>
      </c>
      <c r="J3632">
        <v>3015</v>
      </c>
      <c r="K3632" t="s">
        <v>1583</v>
      </c>
      <c r="L3632">
        <v>0</v>
      </c>
      <c r="N3632" t="s">
        <v>251</v>
      </c>
      <c r="O3632">
        <v>10</v>
      </c>
      <c r="P3632">
        <v>1430</v>
      </c>
      <c r="Q3632" t="s">
        <v>850</v>
      </c>
      <c r="R3632" t="s">
        <v>201</v>
      </c>
      <c r="S3632">
        <v>1</v>
      </c>
      <c r="T3632">
        <v>1</v>
      </c>
      <c r="U3632">
        <v>89112</v>
      </c>
      <c r="V3632">
        <v>89112</v>
      </c>
    </row>
    <row r="3633" spans="1:22">
      <c r="A3633" t="s">
        <v>196</v>
      </c>
      <c r="B3633">
        <v>62</v>
      </c>
      <c r="C3633" t="s">
        <v>96</v>
      </c>
      <c r="D3633">
        <v>100</v>
      </c>
      <c r="E3633" t="s">
        <v>197</v>
      </c>
      <c r="F3633">
        <v>1005</v>
      </c>
      <c r="G3633" t="s">
        <v>96</v>
      </c>
      <c r="H3633">
        <v>2005</v>
      </c>
      <c r="I3633" t="s">
        <v>96</v>
      </c>
      <c r="J3633">
        <v>3015</v>
      </c>
      <c r="K3633" t="s">
        <v>1583</v>
      </c>
      <c r="L3633">
        <v>0</v>
      </c>
      <c r="N3633" t="s">
        <v>199</v>
      </c>
      <c r="O3633">
        <v>0</v>
      </c>
      <c r="P3633">
        <v>15</v>
      </c>
      <c r="Q3633" t="s">
        <v>264</v>
      </c>
      <c r="R3633" t="s">
        <v>201</v>
      </c>
      <c r="S3633">
        <v>0</v>
      </c>
      <c r="T3633">
        <v>0</v>
      </c>
      <c r="U3633">
        <v>3409</v>
      </c>
      <c r="V3633">
        <v>3409</v>
      </c>
    </row>
    <row r="3634" spans="1:22">
      <c r="A3634" t="s">
        <v>196</v>
      </c>
      <c r="B3634">
        <v>62</v>
      </c>
      <c r="C3634" t="s">
        <v>96</v>
      </c>
      <c r="D3634">
        <v>100</v>
      </c>
      <c r="E3634" t="s">
        <v>197</v>
      </c>
      <c r="F3634">
        <v>1005</v>
      </c>
      <c r="G3634" t="s">
        <v>96</v>
      </c>
      <c r="H3634">
        <v>2005</v>
      </c>
      <c r="I3634" t="s">
        <v>96</v>
      </c>
      <c r="J3634">
        <v>3020</v>
      </c>
      <c r="K3634" t="s">
        <v>1127</v>
      </c>
      <c r="L3634">
        <v>0</v>
      </c>
      <c r="N3634" t="s">
        <v>266</v>
      </c>
      <c r="O3634">
        <v>9</v>
      </c>
      <c r="P3634">
        <v>9684</v>
      </c>
      <c r="Q3634" t="s">
        <v>327</v>
      </c>
      <c r="R3634" t="s">
        <v>201</v>
      </c>
      <c r="S3634">
        <v>1</v>
      </c>
      <c r="T3634">
        <v>1</v>
      </c>
      <c r="U3634">
        <v>139140</v>
      </c>
      <c r="V3634">
        <v>139140</v>
      </c>
    </row>
    <row r="3635" spans="1:22">
      <c r="A3635" t="s">
        <v>196</v>
      </c>
      <c r="B3635">
        <v>62</v>
      </c>
      <c r="C3635" t="s">
        <v>96</v>
      </c>
      <c r="D3635">
        <v>100</v>
      </c>
      <c r="E3635" t="s">
        <v>197</v>
      </c>
      <c r="F3635">
        <v>1005</v>
      </c>
      <c r="G3635" t="s">
        <v>96</v>
      </c>
      <c r="H3635">
        <v>2005</v>
      </c>
      <c r="I3635" t="s">
        <v>96</v>
      </c>
      <c r="J3635">
        <v>3020</v>
      </c>
      <c r="K3635" t="s">
        <v>1127</v>
      </c>
      <c r="L3635">
        <v>0</v>
      </c>
      <c r="N3635" t="s">
        <v>251</v>
      </c>
      <c r="O3635">
        <v>10</v>
      </c>
      <c r="P3635">
        <v>3858</v>
      </c>
      <c r="Q3635" t="s">
        <v>1128</v>
      </c>
      <c r="R3635" t="s">
        <v>201</v>
      </c>
      <c r="S3635">
        <v>1</v>
      </c>
      <c r="T3635">
        <v>1</v>
      </c>
      <c r="U3635">
        <v>83052</v>
      </c>
      <c r="V3635">
        <v>83052</v>
      </c>
    </row>
    <row r="3636" spans="1:22">
      <c r="A3636" t="s">
        <v>196</v>
      </c>
      <c r="B3636">
        <v>62</v>
      </c>
      <c r="C3636" t="s">
        <v>96</v>
      </c>
      <c r="D3636">
        <v>100</v>
      </c>
      <c r="E3636" t="s">
        <v>197</v>
      </c>
      <c r="F3636">
        <v>1005</v>
      </c>
      <c r="G3636" t="s">
        <v>96</v>
      </c>
      <c r="H3636">
        <v>2005</v>
      </c>
      <c r="I3636" t="s">
        <v>96</v>
      </c>
      <c r="J3636">
        <v>3020</v>
      </c>
      <c r="K3636" t="s">
        <v>1127</v>
      </c>
      <c r="L3636">
        <v>0</v>
      </c>
      <c r="N3636" t="s">
        <v>257</v>
      </c>
      <c r="O3636">
        <v>9</v>
      </c>
      <c r="P3636">
        <v>705</v>
      </c>
      <c r="Q3636" t="s">
        <v>258</v>
      </c>
      <c r="R3636" t="s">
        <v>201</v>
      </c>
      <c r="S3636">
        <v>1</v>
      </c>
      <c r="T3636">
        <v>1</v>
      </c>
      <c r="U3636">
        <v>123372</v>
      </c>
      <c r="V3636">
        <v>123372</v>
      </c>
    </row>
    <row r="3637" spans="1:22">
      <c r="A3637" t="s">
        <v>196</v>
      </c>
      <c r="B3637">
        <v>62</v>
      </c>
      <c r="C3637" t="s">
        <v>96</v>
      </c>
      <c r="D3637">
        <v>100</v>
      </c>
      <c r="E3637" t="s">
        <v>197</v>
      </c>
      <c r="F3637">
        <v>1005</v>
      </c>
      <c r="G3637" t="s">
        <v>96</v>
      </c>
      <c r="H3637">
        <v>2005</v>
      </c>
      <c r="I3637" t="s">
        <v>96</v>
      </c>
      <c r="J3637">
        <v>3020</v>
      </c>
      <c r="K3637" t="s">
        <v>1127</v>
      </c>
      <c r="L3637">
        <v>0</v>
      </c>
      <c r="N3637" t="s">
        <v>372</v>
      </c>
      <c r="O3637">
        <v>1</v>
      </c>
      <c r="P3637">
        <v>703</v>
      </c>
      <c r="Q3637" t="s">
        <v>1207</v>
      </c>
      <c r="R3637" t="s">
        <v>201</v>
      </c>
      <c r="S3637">
        <v>1</v>
      </c>
      <c r="T3637">
        <v>1</v>
      </c>
      <c r="U3637">
        <v>75336</v>
      </c>
      <c r="V3637">
        <v>75336</v>
      </c>
    </row>
    <row r="3638" spans="1:22">
      <c r="A3638" t="s">
        <v>196</v>
      </c>
      <c r="B3638">
        <v>62</v>
      </c>
      <c r="C3638" t="s">
        <v>96</v>
      </c>
      <c r="D3638">
        <v>100</v>
      </c>
      <c r="E3638" t="s">
        <v>197</v>
      </c>
      <c r="F3638">
        <v>1005</v>
      </c>
      <c r="G3638" t="s">
        <v>96</v>
      </c>
      <c r="H3638">
        <v>2005</v>
      </c>
      <c r="I3638" t="s">
        <v>96</v>
      </c>
      <c r="J3638">
        <v>3020</v>
      </c>
      <c r="K3638" t="s">
        <v>1127</v>
      </c>
      <c r="L3638">
        <v>0</v>
      </c>
      <c r="N3638" t="s">
        <v>199</v>
      </c>
      <c r="O3638">
        <v>0</v>
      </c>
      <c r="P3638">
        <v>15</v>
      </c>
      <c r="Q3638" t="s">
        <v>264</v>
      </c>
      <c r="R3638" t="s">
        <v>201</v>
      </c>
      <c r="S3638">
        <v>0</v>
      </c>
      <c r="T3638">
        <v>0</v>
      </c>
      <c r="U3638">
        <v>3619</v>
      </c>
      <c r="V3638">
        <v>3619</v>
      </c>
    </row>
    <row r="3639" spans="1:22">
      <c r="A3639" t="s">
        <v>196</v>
      </c>
      <c r="B3639">
        <v>62</v>
      </c>
      <c r="C3639" t="s">
        <v>96</v>
      </c>
      <c r="D3639">
        <v>100</v>
      </c>
      <c r="E3639" t="s">
        <v>197</v>
      </c>
      <c r="F3639">
        <v>1005</v>
      </c>
      <c r="G3639" t="s">
        <v>96</v>
      </c>
      <c r="H3639">
        <v>2005</v>
      </c>
      <c r="I3639" t="s">
        <v>96</v>
      </c>
      <c r="J3639">
        <v>3025</v>
      </c>
      <c r="K3639" t="s">
        <v>265</v>
      </c>
      <c r="L3639">
        <v>0</v>
      </c>
      <c r="N3639" t="s">
        <v>266</v>
      </c>
      <c r="O3639">
        <v>9</v>
      </c>
      <c r="P3639">
        <v>9756</v>
      </c>
      <c r="Q3639" t="s">
        <v>267</v>
      </c>
      <c r="R3639" t="s">
        <v>201</v>
      </c>
      <c r="S3639">
        <v>1</v>
      </c>
      <c r="T3639">
        <v>1</v>
      </c>
      <c r="U3639">
        <v>175512</v>
      </c>
      <c r="V3639">
        <v>175512</v>
      </c>
    </row>
    <row r="3640" spans="1:22">
      <c r="A3640" t="s">
        <v>196</v>
      </c>
      <c r="B3640">
        <v>62</v>
      </c>
      <c r="C3640" t="s">
        <v>96</v>
      </c>
      <c r="D3640">
        <v>100</v>
      </c>
      <c r="E3640" t="s">
        <v>197</v>
      </c>
      <c r="F3640">
        <v>1005</v>
      </c>
      <c r="G3640" t="s">
        <v>96</v>
      </c>
      <c r="H3640">
        <v>2005</v>
      </c>
      <c r="I3640" t="s">
        <v>96</v>
      </c>
      <c r="J3640">
        <v>3025</v>
      </c>
      <c r="K3640" t="s">
        <v>265</v>
      </c>
      <c r="L3640">
        <v>0</v>
      </c>
      <c r="N3640" t="s">
        <v>271</v>
      </c>
      <c r="O3640">
        <v>20</v>
      </c>
      <c r="P3640">
        <v>1609</v>
      </c>
      <c r="Q3640" t="s">
        <v>1585</v>
      </c>
      <c r="R3640" t="s">
        <v>201</v>
      </c>
      <c r="S3640">
        <v>1</v>
      </c>
      <c r="T3640">
        <v>1</v>
      </c>
      <c r="U3640">
        <v>115992</v>
      </c>
      <c r="V3640">
        <v>115992</v>
      </c>
    </row>
    <row r="3641" spans="1:22">
      <c r="A3641" t="s">
        <v>196</v>
      </c>
      <c r="B3641">
        <v>62</v>
      </c>
      <c r="C3641" t="s">
        <v>96</v>
      </c>
      <c r="D3641">
        <v>100</v>
      </c>
      <c r="E3641" t="s">
        <v>197</v>
      </c>
      <c r="F3641">
        <v>1005</v>
      </c>
      <c r="G3641" t="s">
        <v>96</v>
      </c>
      <c r="H3641">
        <v>2005</v>
      </c>
      <c r="I3641" t="s">
        <v>96</v>
      </c>
      <c r="J3641">
        <v>3025</v>
      </c>
      <c r="K3641" t="s">
        <v>265</v>
      </c>
      <c r="L3641">
        <v>0</v>
      </c>
      <c r="N3641" t="s">
        <v>199</v>
      </c>
      <c r="O3641">
        <v>0</v>
      </c>
      <c r="P3641">
        <v>15</v>
      </c>
      <c r="Q3641" t="s">
        <v>264</v>
      </c>
      <c r="R3641" t="s">
        <v>201</v>
      </c>
      <c r="S3641">
        <v>0</v>
      </c>
      <c r="T3641">
        <v>0</v>
      </c>
      <c r="U3641">
        <v>2922</v>
      </c>
      <c r="V3641">
        <v>2922</v>
      </c>
    </row>
    <row r="3642" spans="1:22">
      <c r="A3642" t="s">
        <v>196</v>
      </c>
      <c r="B3642">
        <v>62</v>
      </c>
      <c r="C3642" t="s">
        <v>96</v>
      </c>
      <c r="D3642">
        <v>100</v>
      </c>
      <c r="E3642" t="s">
        <v>197</v>
      </c>
      <c r="F3642">
        <v>1005</v>
      </c>
      <c r="G3642" t="s">
        <v>96</v>
      </c>
      <c r="H3642">
        <v>2005</v>
      </c>
      <c r="I3642" t="s">
        <v>96</v>
      </c>
      <c r="J3642">
        <v>3030</v>
      </c>
      <c r="K3642" t="s">
        <v>1586</v>
      </c>
      <c r="L3642">
        <v>0</v>
      </c>
      <c r="N3642" t="s">
        <v>266</v>
      </c>
      <c r="O3642">
        <v>9</v>
      </c>
      <c r="P3642">
        <v>9684</v>
      </c>
      <c r="Q3642" t="s">
        <v>327</v>
      </c>
      <c r="R3642" t="s">
        <v>201</v>
      </c>
      <c r="S3642">
        <v>1</v>
      </c>
      <c r="T3642">
        <v>1</v>
      </c>
      <c r="U3642">
        <v>175512</v>
      </c>
      <c r="V3642">
        <v>175512</v>
      </c>
    </row>
    <row r="3643" spans="1:22">
      <c r="A3643" t="s">
        <v>196</v>
      </c>
      <c r="B3643">
        <v>62</v>
      </c>
      <c r="C3643" t="s">
        <v>96</v>
      </c>
      <c r="D3643">
        <v>100</v>
      </c>
      <c r="E3643" t="s">
        <v>197</v>
      </c>
      <c r="F3643">
        <v>1005</v>
      </c>
      <c r="G3643" t="s">
        <v>96</v>
      </c>
      <c r="H3643">
        <v>2005</v>
      </c>
      <c r="I3643" t="s">
        <v>96</v>
      </c>
      <c r="J3643">
        <v>3030</v>
      </c>
      <c r="K3643" t="s">
        <v>1586</v>
      </c>
      <c r="L3643">
        <v>0</v>
      </c>
      <c r="N3643" t="s">
        <v>351</v>
      </c>
      <c r="O3643">
        <v>1</v>
      </c>
      <c r="P3643" t="s">
        <v>352</v>
      </c>
      <c r="Q3643" t="s">
        <v>353</v>
      </c>
      <c r="R3643" t="s">
        <v>201</v>
      </c>
      <c r="S3643">
        <v>1</v>
      </c>
      <c r="T3643">
        <v>1</v>
      </c>
      <c r="U3643">
        <v>62544</v>
      </c>
      <c r="V3643">
        <v>62544</v>
      </c>
    </row>
    <row r="3644" spans="1:22">
      <c r="A3644" t="s">
        <v>196</v>
      </c>
      <c r="B3644">
        <v>62</v>
      </c>
      <c r="C3644" t="s">
        <v>96</v>
      </c>
      <c r="D3644">
        <v>100</v>
      </c>
      <c r="E3644" t="s">
        <v>197</v>
      </c>
      <c r="F3644">
        <v>1005</v>
      </c>
      <c r="G3644" t="s">
        <v>96</v>
      </c>
      <c r="H3644">
        <v>2005</v>
      </c>
      <c r="I3644" t="s">
        <v>96</v>
      </c>
      <c r="J3644">
        <v>3030</v>
      </c>
      <c r="K3644" t="s">
        <v>1586</v>
      </c>
      <c r="L3644">
        <v>0</v>
      </c>
      <c r="N3644" t="s">
        <v>249</v>
      </c>
      <c r="O3644">
        <v>10</v>
      </c>
      <c r="P3644">
        <v>310</v>
      </c>
      <c r="Q3644" t="s">
        <v>447</v>
      </c>
      <c r="R3644" t="s">
        <v>201</v>
      </c>
      <c r="S3644">
        <v>2</v>
      </c>
      <c r="T3644">
        <v>1</v>
      </c>
      <c r="U3644">
        <v>118956</v>
      </c>
      <c r="V3644">
        <v>237912</v>
      </c>
    </row>
    <row r="3645" spans="1:22">
      <c r="A3645" t="s">
        <v>196</v>
      </c>
      <c r="B3645">
        <v>62</v>
      </c>
      <c r="C3645" t="s">
        <v>96</v>
      </c>
      <c r="D3645">
        <v>100</v>
      </c>
      <c r="E3645" t="s">
        <v>197</v>
      </c>
      <c r="F3645">
        <v>1005</v>
      </c>
      <c r="G3645" t="s">
        <v>96</v>
      </c>
      <c r="H3645">
        <v>2005</v>
      </c>
      <c r="I3645" t="s">
        <v>96</v>
      </c>
      <c r="J3645">
        <v>3030</v>
      </c>
      <c r="K3645" t="s">
        <v>1586</v>
      </c>
      <c r="L3645">
        <v>0</v>
      </c>
      <c r="N3645" t="s">
        <v>199</v>
      </c>
      <c r="O3645">
        <v>0</v>
      </c>
      <c r="P3645">
        <v>15</v>
      </c>
      <c r="Q3645" t="s">
        <v>264</v>
      </c>
      <c r="R3645" t="s">
        <v>201</v>
      </c>
      <c r="S3645">
        <v>0</v>
      </c>
      <c r="T3645">
        <v>0</v>
      </c>
      <c r="U3645">
        <v>5646</v>
      </c>
      <c r="V3645">
        <v>5646</v>
      </c>
    </row>
    <row r="3646" spans="1:22">
      <c r="A3646" t="s">
        <v>196</v>
      </c>
      <c r="B3646">
        <v>67</v>
      </c>
      <c r="C3646" t="s">
        <v>33</v>
      </c>
      <c r="D3646">
        <v>100</v>
      </c>
      <c r="E3646" t="s">
        <v>197</v>
      </c>
      <c r="F3646">
        <v>1005</v>
      </c>
      <c r="G3646" t="s">
        <v>33</v>
      </c>
      <c r="H3646">
        <v>2005</v>
      </c>
      <c r="I3646" t="s">
        <v>33</v>
      </c>
      <c r="J3646">
        <v>3006</v>
      </c>
      <c r="K3646" t="s">
        <v>309</v>
      </c>
      <c r="L3646">
        <v>4001</v>
      </c>
      <c r="M3646" t="s">
        <v>924</v>
      </c>
      <c r="N3646" t="s">
        <v>199</v>
      </c>
      <c r="O3646">
        <v>9</v>
      </c>
      <c r="P3646">
        <v>9967</v>
      </c>
      <c r="Q3646" t="s">
        <v>1587</v>
      </c>
      <c r="R3646" t="s">
        <v>201</v>
      </c>
      <c r="S3646">
        <v>1</v>
      </c>
      <c r="T3646">
        <v>1</v>
      </c>
      <c r="U3646">
        <v>204420</v>
      </c>
      <c r="V3646">
        <v>204420</v>
      </c>
    </row>
    <row r="3647" spans="1:22">
      <c r="A3647" t="s">
        <v>196</v>
      </c>
      <c r="B3647">
        <v>67</v>
      </c>
      <c r="C3647" t="s">
        <v>33</v>
      </c>
      <c r="D3647">
        <v>100</v>
      </c>
      <c r="E3647" t="s">
        <v>197</v>
      </c>
      <c r="F3647">
        <v>1005</v>
      </c>
      <c r="G3647" t="s">
        <v>33</v>
      </c>
      <c r="H3647">
        <v>2005</v>
      </c>
      <c r="I3647" t="s">
        <v>33</v>
      </c>
      <c r="J3647">
        <v>3006</v>
      </c>
      <c r="K3647" t="s">
        <v>309</v>
      </c>
      <c r="L3647">
        <v>4001</v>
      </c>
      <c r="M3647" t="s">
        <v>924</v>
      </c>
      <c r="N3647" t="s">
        <v>311</v>
      </c>
      <c r="O3647">
        <v>9</v>
      </c>
      <c r="P3647">
        <v>9813</v>
      </c>
      <c r="Q3647" t="s">
        <v>600</v>
      </c>
      <c r="R3647" t="s">
        <v>201</v>
      </c>
      <c r="S3647">
        <v>1</v>
      </c>
      <c r="T3647">
        <v>1</v>
      </c>
      <c r="U3647">
        <v>188400</v>
      </c>
      <c r="V3647">
        <v>188400</v>
      </c>
    </row>
    <row r="3648" spans="1:22">
      <c r="A3648" t="s">
        <v>196</v>
      </c>
      <c r="B3648">
        <v>67</v>
      </c>
      <c r="C3648" t="s">
        <v>33</v>
      </c>
      <c r="D3648">
        <v>100</v>
      </c>
      <c r="E3648" t="s">
        <v>197</v>
      </c>
      <c r="F3648">
        <v>1005</v>
      </c>
      <c r="G3648" t="s">
        <v>33</v>
      </c>
      <c r="H3648">
        <v>2005</v>
      </c>
      <c r="I3648" t="s">
        <v>33</v>
      </c>
      <c r="J3648">
        <v>3006</v>
      </c>
      <c r="K3648" t="s">
        <v>309</v>
      </c>
      <c r="L3648">
        <v>4001</v>
      </c>
      <c r="M3648" t="s">
        <v>924</v>
      </c>
      <c r="N3648" t="s">
        <v>266</v>
      </c>
      <c r="O3648">
        <v>9</v>
      </c>
      <c r="P3648">
        <v>9679</v>
      </c>
      <c r="Q3648" t="s">
        <v>338</v>
      </c>
      <c r="R3648" t="s">
        <v>201</v>
      </c>
      <c r="S3648">
        <v>1</v>
      </c>
      <c r="T3648">
        <v>1</v>
      </c>
      <c r="U3648">
        <v>175512</v>
      </c>
      <c r="V3648">
        <v>175512</v>
      </c>
    </row>
    <row r="3649" spans="1:22">
      <c r="A3649" t="s">
        <v>196</v>
      </c>
      <c r="B3649">
        <v>67</v>
      </c>
      <c r="C3649" t="s">
        <v>33</v>
      </c>
      <c r="D3649">
        <v>100</v>
      </c>
      <c r="E3649" t="s">
        <v>197</v>
      </c>
      <c r="F3649">
        <v>1005</v>
      </c>
      <c r="G3649" t="s">
        <v>33</v>
      </c>
      <c r="H3649">
        <v>2005</v>
      </c>
      <c r="I3649" t="s">
        <v>33</v>
      </c>
      <c r="J3649">
        <v>3006</v>
      </c>
      <c r="K3649" t="s">
        <v>309</v>
      </c>
      <c r="L3649">
        <v>4001</v>
      </c>
      <c r="M3649" t="s">
        <v>924</v>
      </c>
      <c r="N3649" t="s">
        <v>311</v>
      </c>
      <c r="O3649">
        <v>9</v>
      </c>
      <c r="P3649">
        <v>9660</v>
      </c>
      <c r="Q3649" t="s">
        <v>846</v>
      </c>
      <c r="R3649" t="s">
        <v>201</v>
      </c>
      <c r="S3649">
        <v>1</v>
      </c>
      <c r="T3649">
        <v>1</v>
      </c>
      <c r="U3649">
        <v>180324</v>
      </c>
      <c r="V3649">
        <v>180324</v>
      </c>
    </row>
    <row r="3650" spans="1:22">
      <c r="A3650" t="s">
        <v>196</v>
      </c>
      <c r="B3650">
        <v>67</v>
      </c>
      <c r="C3650" t="s">
        <v>33</v>
      </c>
      <c r="D3650">
        <v>100</v>
      </c>
      <c r="E3650" t="s">
        <v>197</v>
      </c>
      <c r="F3650">
        <v>1005</v>
      </c>
      <c r="G3650" t="s">
        <v>33</v>
      </c>
      <c r="H3650">
        <v>2005</v>
      </c>
      <c r="I3650" t="s">
        <v>33</v>
      </c>
      <c r="J3650">
        <v>3006</v>
      </c>
      <c r="K3650" t="s">
        <v>309</v>
      </c>
      <c r="L3650">
        <v>4001</v>
      </c>
      <c r="M3650" t="s">
        <v>924</v>
      </c>
      <c r="N3650" t="s">
        <v>392</v>
      </c>
      <c r="O3650">
        <v>3</v>
      </c>
      <c r="P3650">
        <v>2131</v>
      </c>
      <c r="Q3650" t="s">
        <v>1588</v>
      </c>
      <c r="R3650" t="s">
        <v>201</v>
      </c>
      <c r="S3650">
        <v>1</v>
      </c>
      <c r="T3650">
        <v>1</v>
      </c>
      <c r="U3650">
        <v>143400</v>
      </c>
      <c r="V3650">
        <v>143400</v>
      </c>
    </row>
    <row r="3651" spans="1:22">
      <c r="A3651" t="s">
        <v>196</v>
      </c>
      <c r="B3651">
        <v>67</v>
      </c>
      <c r="C3651" t="s">
        <v>33</v>
      </c>
      <c r="D3651">
        <v>100</v>
      </c>
      <c r="E3651" t="s">
        <v>197</v>
      </c>
      <c r="F3651">
        <v>1005</v>
      </c>
      <c r="G3651" t="s">
        <v>33</v>
      </c>
      <c r="H3651">
        <v>2005</v>
      </c>
      <c r="I3651" t="s">
        <v>33</v>
      </c>
      <c r="J3651">
        <v>3006</v>
      </c>
      <c r="K3651" t="s">
        <v>309</v>
      </c>
      <c r="L3651">
        <v>4001</v>
      </c>
      <c r="M3651" t="s">
        <v>924</v>
      </c>
      <c r="N3651" t="s">
        <v>372</v>
      </c>
      <c r="O3651">
        <v>4</v>
      </c>
      <c r="P3651">
        <v>1912</v>
      </c>
      <c r="Q3651" t="s">
        <v>608</v>
      </c>
      <c r="R3651" t="s">
        <v>201</v>
      </c>
      <c r="S3651">
        <v>1</v>
      </c>
      <c r="T3651">
        <v>1</v>
      </c>
      <c r="U3651">
        <v>75336</v>
      </c>
      <c r="V3651">
        <v>75336</v>
      </c>
    </row>
    <row r="3652" spans="1:22">
      <c r="A3652" t="s">
        <v>196</v>
      </c>
      <c r="B3652">
        <v>67</v>
      </c>
      <c r="C3652" t="s">
        <v>33</v>
      </c>
      <c r="D3652">
        <v>100</v>
      </c>
      <c r="E3652" t="s">
        <v>197</v>
      </c>
      <c r="F3652">
        <v>1005</v>
      </c>
      <c r="G3652" t="s">
        <v>33</v>
      </c>
      <c r="H3652">
        <v>2005</v>
      </c>
      <c r="I3652" t="s">
        <v>33</v>
      </c>
      <c r="J3652">
        <v>3006</v>
      </c>
      <c r="K3652" t="s">
        <v>309</v>
      </c>
      <c r="L3652">
        <v>4001</v>
      </c>
      <c r="M3652" t="s">
        <v>924</v>
      </c>
      <c r="N3652" t="s">
        <v>251</v>
      </c>
      <c r="O3652">
        <v>10</v>
      </c>
      <c r="P3652">
        <v>1430</v>
      </c>
      <c r="Q3652" t="s">
        <v>850</v>
      </c>
      <c r="R3652" t="s">
        <v>201</v>
      </c>
      <c r="S3652">
        <v>1</v>
      </c>
      <c r="T3652">
        <v>1</v>
      </c>
      <c r="U3652">
        <v>108432</v>
      </c>
      <c r="V3652">
        <v>108432</v>
      </c>
    </row>
    <row r="3653" spans="1:22">
      <c r="A3653" t="s">
        <v>196</v>
      </c>
      <c r="B3653">
        <v>67</v>
      </c>
      <c r="C3653" t="s">
        <v>33</v>
      </c>
      <c r="D3653">
        <v>100</v>
      </c>
      <c r="E3653" t="s">
        <v>197</v>
      </c>
      <c r="F3653">
        <v>1005</v>
      </c>
      <c r="G3653" t="s">
        <v>33</v>
      </c>
      <c r="H3653">
        <v>2005</v>
      </c>
      <c r="I3653" t="s">
        <v>33</v>
      </c>
      <c r="J3653">
        <v>3006</v>
      </c>
      <c r="K3653" t="s">
        <v>309</v>
      </c>
      <c r="L3653">
        <v>4001</v>
      </c>
      <c r="M3653" t="s">
        <v>924</v>
      </c>
      <c r="N3653" t="s">
        <v>251</v>
      </c>
      <c r="O3653">
        <v>10</v>
      </c>
      <c r="P3653">
        <v>1430</v>
      </c>
      <c r="Q3653" t="s">
        <v>850</v>
      </c>
      <c r="R3653" t="s">
        <v>201</v>
      </c>
      <c r="S3653">
        <v>1</v>
      </c>
      <c r="T3653">
        <v>1</v>
      </c>
      <c r="U3653">
        <v>83052</v>
      </c>
      <c r="V3653">
        <v>83052</v>
      </c>
    </row>
    <row r="3654" spans="1:22">
      <c r="A3654" t="s">
        <v>196</v>
      </c>
      <c r="B3654">
        <v>67</v>
      </c>
      <c r="C3654" t="s">
        <v>33</v>
      </c>
      <c r="D3654">
        <v>100</v>
      </c>
      <c r="E3654" t="s">
        <v>197</v>
      </c>
      <c r="F3654">
        <v>1005</v>
      </c>
      <c r="G3654" t="s">
        <v>33</v>
      </c>
      <c r="H3654">
        <v>2005</v>
      </c>
      <c r="I3654" t="s">
        <v>33</v>
      </c>
      <c r="J3654">
        <v>3006</v>
      </c>
      <c r="K3654" t="s">
        <v>309</v>
      </c>
      <c r="L3654">
        <v>4001</v>
      </c>
      <c r="M3654" t="s">
        <v>924</v>
      </c>
      <c r="N3654" t="s">
        <v>257</v>
      </c>
      <c r="O3654">
        <v>9</v>
      </c>
      <c r="P3654">
        <v>705</v>
      </c>
      <c r="Q3654" t="s">
        <v>258</v>
      </c>
      <c r="R3654" t="s">
        <v>201</v>
      </c>
      <c r="S3654">
        <v>1</v>
      </c>
      <c r="T3654">
        <v>1</v>
      </c>
      <c r="U3654">
        <v>111300</v>
      </c>
      <c r="V3654">
        <v>111300</v>
      </c>
    </row>
    <row r="3655" spans="1:22">
      <c r="A3655" t="s">
        <v>196</v>
      </c>
      <c r="B3655">
        <v>67</v>
      </c>
      <c r="C3655" t="s">
        <v>33</v>
      </c>
      <c r="D3655">
        <v>100</v>
      </c>
      <c r="E3655" t="s">
        <v>197</v>
      </c>
      <c r="F3655">
        <v>1005</v>
      </c>
      <c r="G3655" t="s">
        <v>33</v>
      </c>
      <c r="H3655">
        <v>2005</v>
      </c>
      <c r="I3655" t="s">
        <v>33</v>
      </c>
      <c r="J3655">
        <v>3006</v>
      </c>
      <c r="K3655" t="s">
        <v>309</v>
      </c>
      <c r="L3655">
        <v>4001</v>
      </c>
      <c r="M3655" t="s">
        <v>924</v>
      </c>
      <c r="N3655" t="s">
        <v>341</v>
      </c>
      <c r="O3655">
        <v>1</v>
      </c>
      <c r="P3655">
        <v>308</v>
      </c>
      <c r="Q3655" t="s">
        <v>355</v>
      </c>
      <c r="R3655" t="s">
        <v>201</v>
      </c>
      <c r="S3655">
        <v>1</v>
      </c>
      <c r="T3655">
        <v>1</v>
      </c>
      <c r="U3655">
        <v>119100</v>
      </c>
      <c r="V3655">
        <v>119100</v>
      </c>
    </row>
    <row r="3656" spans="1:22">
      <c r="A3656" t="s">
        <v>196</v>
      </c>
      <c r="B3656">
        <v>67</v>
      </c>
      <c r="C3656" t="s">
        <v>33</v>
      </c>
      <c r="D3656">
        <v>100</v>
      </c>
      <c r="E3656" t="s">
        <v>197</v>
      </c>
      <c r="F3656">
        <v>1005</v>
      </c>
      <c r="G3656" t="s">
        <v>33</v>
      </c>
      <c r="H3656">
        <v>2005</v>
      </c>
      <c r="I3656" t="s">
        <v>33</v>
      </c>
      <c r="J3656">
        <v>3006</v>
      </c>
      <c r="K3656" t="s">
        <v>309</v>
      </c>
      <c r="L3656">
        <v>4001</v>
      </c>
      <c r="M3656" t="s">
        <v>924</v>
      </c>
      <c r="N3656" t="s">
        <v>341</v>
      </c>
      <c r="O3656">
        <v>1</v>
      </c>
      <c r="P3656">
        <v>308</v>
      </c>
      <c r="Q3656" t="s">
        <v>355</v>
      </c>
      <c r="R3656" t="s">
        <v>201</v>
      </c>
      <c r="S3656">
        <v>1</v>
      </c>
      <c r="T3656">
        <v>1</v>
      </c>
      <c r="U3656">
        <v>108576</v>
      </c>
      <c r="V3656">
        <v>108576</v>
      </c>
    </row>
    <row r="3657" spans="1:22">
      <c r="A3657" t="s">
        <v>196</v>
      </c>
      <c r="B3657">
        <v>67</v>
      </c>
      <c r="C3657" t="s">
        <v>33</v>
      </c>
      <c r="D3657">
        <v>100</v>
      </c>
      <c r="E3657" t="s">
        <v>197</v>
      </c>
      <c r="F3657">
        <v>1005</v>
      </c>
      <c r="G3657" t="s">
        <v>33</v>
      </c>
      <c r="H3657">
        <v>2005</v>
      </c>
      <c r="I3657" t="s">
        <v>33</v>
      </c>
      <c r="J3657">
        <v>3006</v>
      </c>
      <c r="K3657" t="s">
        <v>309</v>
      </c>
      <c r="L3657">
        <v>4001</v>
      </c>
      <c r="M3657" t="s">
        <v>924</v>
      </c>
      <c r="N3657" t="s">
        <v>199</v>
      </c>
      <c r="O3657">
        <v>0</v>
      </c>
      <c r="P3657">
        <v>15</v>
      </c>
      <c r="Q3657" t="s">
        <v>264</v>
      </c>
      <c r="R3657" t="s">
        <v>201</v>
      </c>
      <c r="S3657">
        <v>0</v>
      </c>
      <c r="T3657">
        <v>0</v>
      </c>
      <c r="U3657">
        <v>13008</v>
      </c>
      <c r="V3657">
        <v>13008</v>
      </c>
    </row>
    <row r="3658" spans="1:22">
      <c r="A3658" t="s">
        <v>196</v>
      </c>
      <c r="B3658">
        <v>67</v>
      </c>
      <c r="C3658" t="s">
        <v>33</v>
      </c>
      <c r="D3658">
        <v>100</v>
      </c>
      <c r="E3658" t="s">
        <v>197</v>
      </c>
      <c r="F3658">
        <v>1005</v>
      </c>
      <c r="G3658" t="s">
        <v>33</v>
      </c>
      <c r="H3658">
        <v>2005</v>
      </c>
      <c r="I3658" t="s">
        <v>33</v>
      </c>
      <c r="J3658">
        <v>3006</v>
      </c>
      <c r="K3658" t="s">
        <v>309</v>
      </c>
      <c r="L3658">
        <v>4002</v>
      </c>
      <c r="M3658" t="s">
        <v>1589</v>
      </c>
      <c r="N3658" t="s">
        <v>253</v>
      </c>
      <c r="O3658">
        <v>20</v>
      </c>
      <c r="P3658">
        <v>1327</v>
      </c>
      <c r="Q3658" t="s">
        <v>1208</v>
      </c>
      <c r="R3658" t="s">
        <v>201</v>
      </c>
      <c r="S3658">
        <v>1</v>
      </c>
      <c r="T3658">
        <v>1</v>
      </c>
      <c r="U3658">
        <v>136692</v>
      </c>
      <c r="V3658">
        <v>136692</v>
      </c>
    </row>
    <row r="3659" spans="1:22">
      <c r="A3659" t="s">
        <v>196</v>
      </c>
      <c r="B3659">
        <v>67</v>
      </c>
      <c r="C3659" t="s">
        <v>33</v>
      </c>
      <c r="D3659">
        <v>100</v>
      </c>
      <c r="E3659" t="s">
        <v>197</v>
      </c>
      <c r="F3659">
        <v>1005</v>
      </c>
      <c r="G3659" t="s">
        <v>33</v>
      </c>
      <c r="H3659">
        <v>2005</v>
      </c>
      <c r="I3659" t="s">
        <v>33</v>
      </c>
      <c r="J3659">
        <v>3006</v>
      </c>
      <c r="K3659" t="s">
        <v>309</v>
      </c>
      <c r="L3659">
        <v>4002</v>
      </c>
      <c r="M3659" t="s">
        <v>1589</v>
      </c>
      <c r="N3659" t="s">
        <v>341</v>
      </c>
      <c r="O3659">
        <v>1</v>
      </c>
      <c r="P3659">
        <v>1301</v>
      </c>
      <c r="Q3659" t="s">
        <v>618</v>
      </c>
      <c r="R3659" t="s">
        <v>201</v>
      </c>
      <c r="S3659">
        <v>1</v>
      </c>
      <c r="T3659">
        <v>1</v>
      </c>
      <c r="U3659">
        <v>119100</v>
      </c>
      <c r="V3659">
        <v>119100</v>
      </c>
    </row>
    <row r="3660" spans="1:22">
      <c r="A3660" t="s">
        <v>196</v>
      </c>
      <c r="B3660">
        <v>67</v>
      </c>
      <c r="C3660" t="s">
        <v>33</v>
      </c>
      <c r="D3660">
        <v>100</v>
      </c>
      <c r="E3660" t="s">
        <v>197</v>
      </c>
      <c r="F3660">
        <v>1005</v>
      </c>
      <c r="G3660" t="s">
        <v>33</v>
      </c>
      <c r="H3660">
        <v>2005</v>
      </c>
      <c r="I3660" t="s">
        <v>33</v>
      </c>
      <c r="J3660">
        <v>3006</v>
      </c>
      <c r="K3660" t="s">
        <v>309</v>
      </c>
      <c r="L3660">
        <v>4002</v>
      </c>
      <c r="M3660" t="s">
        <v>1589</v>
      </c>
      <c r="N3660" t="s">
        <v>341</v>
      </c>
      <c r="O3660">
        <v>1</v>
      </c>
      <c r="P3660">
        <v>308</v>
      </c>
      <c r="Q3660" t="s">
        <v>355</v>
      </c>
      <c r="R3660" t="s">
        <v>201</v>
      </c>
      <c r="S3660">
        <v>1</v>
      </c>
      <c r="T3660">
        <v>1</v>
      </c>
      <c r="U3660">
        <v>119100</v>
      </c>
      <c r="V3660">
        <v>119100</v>
      </c>
    </row>
    <row r="3661" spans="1:22">
      <c r="A3661" t="s">
        <v>196</v>
      </c>
      <c r="B3661">
        <v>67</v>
      </c>
      <c r="C3661" t="s">
        <v>33</v>
      </c>
      <c r="D3661">
        <v>100</v>
      </c>
      <c r="E3661" t="s">
        <v>197</v>
      </c>
      <c r="F3661">
        <v>1005</v>
      </c>
      <c r="G3661" t="s">
        <v>33</v>
      </c>
      <c r="H3661">
        <v>2005</v>
      </c>
      <c r="I3661" t="s">
        <v>33</v>
      </c>
      <c r="J3661">
        <v>3006</v>
      </c>
      <c r="K3661" t="s">
        <v>309</v>
      </c>
      <c r="L3661">
        <v>4004</v>
      </c>
      <c r="M3661" t="s">
        <v>1590</v>
      </c>
      <c r="N3661" t="s">
        <v>343</v>
      </c>
      <c r="O3661">
        <v>10</v>
      </c>
      <c r="P3661">
        <v>216</v>
      </c>
      <c r="Q3661" t="s">
        <v>1591</v>
      </c>
      <c r="R3661" t="s">
        <v>201</v>
      </c>
      <c r="S3661">
        <v>1</v>
      </c>
      <c r="T3661">
        <v>1</v>
      </c>
      <c r="U3661">
        <v>124584</v>
      </c>
      <c r="V3661">
        <v>124584</v>
      </c>
    </row>
    <row r="3662" spans="1:22">
      <c r="A3662" t="s">
        <v>196</v>
      </c>
      <c r="B3662">
        <v>67</v>
      </c>
      <c r="C3662" t="s">
        <v>33</v>
      </c>
      <c r="D3662">
        <v>100</v>
      </c>
      <c r="E3662" t="s">
        <v>197</v>
      </c>
      <c r="F3662">
        <v>1005</v>
      </c>
      <c r="G3662" t="s">
        <v>33</v>
      </c>
      <c r="H3662">
        <v>2005</v>
      </c>
      <c r="I3662" t="s">
        <v>33</v>
      </c>
      <c r="J3662">
        <v>3006</v>
      </c>
      <c r="K3662" t="s">
        <v>309</v>
      </c>
      <c r="L3662">
        <v>4004</v>
      </c>
      <c r="M3662" t="s">
        <v>1590</v>
      </c>
      <c r="N3662" t="s">
        <v>199</v>
      </c>
      <c r="O3662">
        <v>0</v>
      </c>
      <c r="P3662">
        <v>15</v>
      </c>
      <c r="Q3662" t="s">
        <v>264</v>
      </c>
      <c r="R3662" t="s">
        <v>201</v>
      </c>
      <c r="S3662">
        <v>0</v>
      </c>
      <c r="T3662">
        <v>0</v>
      </c>
      <c r="U3662">
        <v>2970</v>
      </c>
      <c r="V3662">
        <v>2970</v>
      </c>
    </row>
    <row r="3663" spans="1:22">
      <c r="A3663" t="s">
        <v>196</v>
      </c>
      <c r="B3663">
        <v>67</v>
      </c>
      <c r="C3663" t="s">
        <v>33</v>
      </c>
      <c r="D3663">
        <v>100</v>
      </c>
      <c r="E3663" t="s">
        <v>197</v>
      </c>
      <c r="F3663">
        <v>1005</v>
      </c>
      <c r="G3663" t="s">
        <v>33</v>
      </c>
      <c r="H3663">
        <v>2005</v>
      </c>
      <c r="I3663" t="s">
        <v>33</v>
      </c>
      <c r="J3663">
        <v>3012</v>
      </c>
      <c r="K3663" t="s">
        <v>899</v>
      </c>
      <c r="L3663">
        <v>4057</v>
      </c>
      <c r="M3663" t="s">
        <v>1113</v>
      </c>
      <c r="N3663" t="s">
        <v>266</v>
      </c>
      <c r="O3663">
        <v>9</v>
      </c>
      <c r="P3663">
        <v>9679</v>
      </c>
      <c r="Q3663" t="s">
        <v>338</v>
      </c>
      <c r="R3663" t="s">
        <v>201</v>
      </c>
      <c r="S3663">
        <v>1</v>
      </c>
      <c r="T3663">
        <v>1</v>
      </c>
      <c r="U3663">
        <v>157332</v>
      </c>
      <c r="V3663">
        <v>157332</v>
      </c>
    </row>
    <row r="3664" spans="1:22">
      <c r="A3664" t="s">
        <v>196</v>
      </c>
      <c r="B3664">
        <v>67</v>
      </c>
      <c r="C3664" t="s">
        <v>33</v>
      </c>
      <c r="D3664">
        <v>100</v>
      </c>
      <c r="E3664" t="s">
        <v>197</v>
      </c>
      <c r="F3664">
        <v>1005</v>
      </c>
      <c r="G3664" t="s">
        <v>33</v>
      </c>
      <c r="H3664">
        <v>2005</v>
      </c>
      <c r="I3664" t="s">
        <v>33</v>
      </c>
      <c r="J3664">
        <v>3012</v>
      </c>
      <c r="K3664" t="s">
        <v>899</v>
      </c>
      <c r="L3664">
        <v>4057</v>
      </c>
      <c r="M3664" t="s">
        <v>1113</v>
      </c>
      <c r="N3664" t="s">
        <v>602</v>
      </c>
      <c r="O3664">
        <v>4</v>
      </c>
      <c r="P3664">
        <v>673</v>
      </c>
      <c r="Q3664" t="s">
        <v>603</v>
      </c>
      <c r="R3664" t="s">
        <v>201</v>
      </c>
      <c r="S3664">
        <v>1</v>
      </c>
      <c r="T3664">
        <v>1</v>
      </c>
      <c r="U3664">
        <v>141564</v>
      </c>
      <c r="V3664">
        <v>141564</v>
      </c>
    </row>
    <row r="3665" spans="1:22">
      <c r="A3665" t="s">
        <v>196</v>
      </c>
      <c r="B3665">
        <v>67</v>
      </c>
      <c r="C3665" t="s">
        <v>33</v>
      </c>
      <c r="D3665">
        <v>100</v>
      </c>
      <c r="E3665" t="s">
        <v>197</v>
      </c>
      <c r="F3665">
        <v>1005</v>
      </c>
      <c r="G3665" t="s">
        <v>33</v>
      </c>
      <c r="H3665">
        <v>2005</v>
      </c>
      <c r="I3665" t="s">
        <v>33</v>
      </c>
      <c r="J3665">
        <v>3012</v>
      </c>
      <c r="K3665" t="s">
        <v>899</v>
      </c>
      <c r="L3665">
        <v>4057</v>
      </c>
      <c r="M3665" t="s">
        <v>1113</v>
      </c>
      <c r="N3665" t="s">
        <v>274</v>
      </c>
      <c r="O3665">
        <v>0</v>
      </c>
      <c r="P3665">
        <v>601</v>
      </c>
      <c r="Q3665" t="s">
        <v>790</v>
      </c>
      <c r="R3665" t="s">
        <v>201</v>
      </c>
      <c r="S3665">
        <v>1</v>
      </c>
      <c r="T3665">
        <v>1</v>
      </c>
      <c r="U3665">
        <v>153384</v>
      </c>
      <c r="V3665">
        <v>153384</v>
      </c>
    </row>
    <row r="3666" spans="1:22">
      <c r="A3666" t="s">
        <v>196</v>
      </c>
      <c r="B3666">
        <v>67</v>
      </c>
      <c r="C3666" t="s">
        <v>33</v>
      </c>
      <c r="D3666">
        <v>100</v>
      </c>
      <c r="E3666" t="s">
        <v>197</v>
      </c>
      <c r="F3666">
        <v>1005</v>
      </c>
      <c r="G3666" t="s">
        <v>33</v>
      </c>
      <c r="H3666">
        <v>2005</v>
      </c>
      <c r="I3666" t="s">
        <v>33</v>
      </c>
      <c r="J3666">
        <v>3012</v>
      </c>
      <c r="K3666" t="s">
        <v>899</v>
      </c>
      <c r="L3666">
        <v>4057</v>
      </c>
      <c r="M3666" t="s">
        <v>1113</v>
      </c>
      <c r="N3666" t="s">
        <v>199</v>
      </c>
      <c r="O3666">
        <v>0</v>
      </c>
      <c r="P3666">
        <v>15</v>
      </c>
      <c r="Q3666" t="s">
        <v>264</v>
      </c>
      <c r="R3666" t="s">
        <v>201</v>
      </c>
      <c r="S3666">
        <v>0</v>
      </c>
      <c r="T3666">
        <v>0</v>
      </c>
      <c r="U3666">
        <v>6976</v>
      </c>
      <c r="V3666">
        <v>6976</v>
      </c>
    </row>
    <row r="3667" spans="1:22">
      <c r="A3667" t="s">
        <v>196</v>
      </c>
      <c r="B3667">
        <v>67</v>
      </c>
      <c r="C3667" t="s">
        <v>33</v>
      </c>
      <c r="D3667">
        <v>100</v>
      </c>
      <c r="E3667" t="s">
        <v>197</v>
      </c>
      <c r="F3667">
        <v>1005</v>
      </c>
      <c r="G3667" t="s">
        <v>33</v>
      </c>
      <c r="H3667">
        <v>2005</v>
      </c>
      <c r="I3667" t="s">
        <v>33</v>
      </c>
      <c r="J3667">
        <v>3012</v>
      </c>
      <c r="K3667" t="s">
        <v>899</v>
      </c>
      <c r="L3667">
        <v>4059</v>
      </c>
      <c r="M3667" t="s">
        <v>1592</v>
      </c>
      <c r="N3667" t="s">
        <v>351</v>
      </c>
      <c r="O3667">
        <v>1</v>
      </c>
      <c r="P3667" t="s">
        <v>352</v>
      </c>
      <c r="Q3667" t="s">
        <v>353</v>
      </c>
      <c r="R3667" t="s">
        <v>201</v>
      </c>
      <c r="S3667">
        <v>1</v>
      </c>
      <c r="T3667">
        <v>1</v>
      </c>
      <c r="U3667">
        <v>108576</v>
      </c>
      <c r="V3667">
        <v>108576</v>
      </c>
    </row>
    <row r="3668" spans="1:22">
      <c r="A3668" t="s">
        <v>196</v>
      </c>
      <c r="B3668">
        <v>67</v>
      </c>
      <c r="C3668" t="s">
        <v>33</v>
      </c>
      <c r="D3668">
        <v>100</v>
      </c>
      <c r="E3668" t="s">
        <v>197</v>
      </c>
      <c r="F3668">
        <v>1005</v>
      </c>
      <c r="G3668" t="s">
        <v>33</v>
      </c>
      <c r="H3668">
        <v>2005</v>
      </c>
      <c r="I3668" t="s">
        <v>33</v>
      </c>
      <c r="J3668">
        <v>3012</v>
      </c>
      <c r="K3668" t="s">
        <v>899</v>
      </c>
      <c r="L3668">
        <v>4059</v>
      </c>
      <c r="M3668" t="s">
        <v>1592</v>
      </c>
      <c r="N3668" t="s">
        <v>351</v>
      </c>
      <c r="O3668">
        <v>1</v>
      </c>
      <c r="P3668" t="s">
        <v>352</v>
      </c>
      <c r="Q3668" t="s">
        <v>353</v>
      </c>
      <c r="R3668" t="s">
        <v>201</v>
      </c>
      <c r="S3668">
        <v>1</v>
      </c>
      <c r="T3668">
        <v>1</v>
      </c>
      <c r="U3668">
        <v>74172</v>
      </c>
      <c r="V3668">
        <v>74172</v>
      </c>
    </row>
    <row r="3669" spans="1:22">
      <c r="A3669" t="s">
        <v>196</v>
      </c>
      <c r="B3669">
        <v>67</v>
      </c>
      <c r="C3669" t="s">
        <v>33</v>
      </c>
      <c r="D3669">
        <v>100</v>
      </c>
      <c r="E3669" t="s">
        <v>197</v>
      </c>
      <c r="F3669">
        <v>1005</v>
      </c>
      <c r="G3669" t="s">
        <v>33</v>
      </c>
      <c r="H3669">
        <v>2005</v>
      </c>
      <c r="I3669" t="s">
        <v>33</v>
      </c>
      <c r="J3669">
        <v>3012</v>
      </c>
      <c r="K3669" t="s">
        <v>899</v>
      </c>
      <c r="L3669">
        <v>4059</v>
      </c>
      <c r="M3669" t="s">
        <v>1592</v>
      </c>
      <c r="N3669" t="s">
        <v>622</v>
      </c>
      <c r="O3669">
        <v>1</v>
      </c>
      <c r="P3669" t="s">
        <v>667</v>
      </c>
      <c r="Q3669" t="s">
        <v>205</v>
      </c>
      <c r="R3669" t="s">
        <v>201</v>
      </c>
      <c r="S3669">
        <v>6</v>
      </c>
      <c r="T3669">
        <v>1</v>
      </c>
      <c r="U3669">
        <v>90144</v>
      </c>
      <c r="V3669">
        <v>540864</v>
      </c>
    </row>
    <row r="3670" spans="1:22">
      <c r="A3670" t="s">
        <v>196</v>
      </c>
      <c r="B3670">
        <v>67</v>
      </c>
      <c r="C3670" t="s">
        <v>33</v>
      </c>
      <c r="D3670">
        <v>100</v>
      </c>
      <c r="E3670" t="s">
        <v>197</v>
      </c>
      <c r="F3670">
        <v>1005</v>
      </c>
      <c r="G3670" t="s">
        <v>33</v>
      </c>
      <c r="H3670">
        <v>2005</v>
      </c>
      <c r="I3670" t="s">
        <v>33</v>
      </c>
      <c r="J3670">
        <v>3012</v>
      </c>
      <c r="K3670" t="s">
        <v>899</v>
      </c>
      <c r="L3670">
        <v>4059</v>
      </c>
      <c r="M3670" t="s">
        <v>1592</v>
      </c>
      <c r="N3670" t="s">
        <v>622</v>
      </c>
      <c r="O3670">
        <v>1</v>
      </c>
      <c r="P3670" t="s">
        <v>667</v>
      </c>
      <c r="Q3670" t="s">
        <v>205</v>
      </c>
      <c r="R3670" t="s">
        <v>201</v>
      </c>
      <c r="S3670">
        <v>1</v>
      </c>
      <c r="T3670">
        <v>1</v>
      </c>
      <c r="U3670">
        <v>78432</v>
      </c>
      <c r="V3670">
        <v>78432</v>
      </c>
    </row>
    <row r="3671" spans="1:22">
      <c r="A3671" t="s">
        <v>196</v>
      </c>
      <c r="B3671">
        <v>67</v>
      </c>
      <c r="C3671" t="s">
        <v>33</v>
      </c>
      <c r="D3671">
        <v>100</v>
      </c>
      <c r="E3671" t="s">
        <v>197</v>
      </c>
      <c r="F3671">
        <v>1005</v>
      </c>
      <c r="G3671" t="s">
        <v>33</v>
      </c>
      <c r="H3671">
        <v>2005</v>
      </c>
      <c r="I3671" t="s">
        <v>33</v>
      </c>
      <c r="J3671">
        <v>3012</v>
      </c>
      <c r="K3671" t="s">
        <v>899</v>
      </c>
      <c r="L3671">
        <v>4059</v>
      </c>
      <c r="M3671" t="s">
        <v>1592</v>
      </c>
      <c r="N3671" t="s">
        <v>341</v>
      </c>
      <c r="O3671">
        <v>1</v>
      </c>
      <c r="P3671">
        <v>308</v>
      </c>
      <c r="Q3671" t="s">
        <v>355</v>
      </c>
      <c r="R3671" t="s">
        <v>201</v>
      </c>
      <c r="S3671">
        <v>2</v>
      </c>
      <c r="T3671">
        <v>1</v>
      </c>
      <c r="U3671">
        <v>119100</v>
      </c>
      <c r="V3671">
        <v>238200</v>
      </c>
    </row>
    <row r="3672" spans="1:22">
      <c r="A3672" t="s">
        <v>196</v>
      </c>
      <c r="B3672">
        <v>67</v>
      </c>
      <c r="C3672" t="s">
        <v>33</v>
      </c>
      <c r="D3672">
        <v>100</v>
      </c>
      <c r="E3672" t="s">
        <v>197</v>
      </c>
      <c r="F3672">
        <v>1005</v>
      </c>
      <c r="G3672" t="s">
        <v>33</v>
      </c>
      <c r="H3672">
        <v>2005</v>
      </c>
      <c r="I3672" t="s">
        <v>33</v>
      </c>
      <c r="J3672">
        <v>3012</v>
      </c>
      <c r="K3672" t="s">
        <v>899</v>
      </c>
      <c r="L3672">
        <v>4059</v>
      </c>
      <c r="M3672" t="s">
        <v>1592</v>
      </c>
      <c r="N3672" t="s">
        <v>341</v>
      </c>
      <c r="O3672">
        <v>1</v>
      </c>
      <c r="P3672">
        <v>308</v>
      </c>
      <c r="Q3672" t="s">
        <v>355</v>
      </c>
      <c r="R3672" t="s">
        <v>201</v>
      </c>
      <c r="S3672">
        <v>1</v>
      </c>
      <c r="T3672">
        <v>1</v>
      </c>
      <c r="U3672">
        <v>77640</v>
      </c>
      <c r="V3672">
        <v>77640</v>
      </c>
    </row>
    <row r="3673" spans="1:22">
      <c r="A3673" t="s">
        <v>196</v>
      </c>
      <c r="B3673">
        <v>67</v>
      </c>
      <c r="C3673" t="s">
        <v>33</v>
      </c>
      <c r="D3673">
        <v>100</v>
      </c>
      <c r="E3673" t="s">
        <v>197</v>
      </c>
      <c r="F3673">
        <v>1005</v>
      </c>
      <c r="G3673" t="s">
        <v>33</v>
      </c>
      <c r="H3673">
        <v>2005</v>
      </c>
      <c r="I3673" t="s">
        <v>33</v>
      </c>
      <c r="J3673">
        <v>3012</v>
      </c>
      <c r="K3673" t="s">
        <v>899</v>
      </c>
      <c r="L3673">
        <v>4059</v>
      </c>
      <c r="M3673" t="s">
        <v>1592</v>
      </c>
      <c r="N3673" t="s">
        <v>199</v>
      </c>
      <c r="O3673">
        <v>0</v>
      </c>
      <c r="P3673">
        <v>15</v>
      </c>
      <c r="Q3673" t="s">
        <v>264</v>
      </c>
      <c r="R3673" t="s">
        <v>201</v>
      </c>
      <c r="S3673">
        <v>0</v>
      </c>
      <c r="T3673">
        <v>0</v>
      </c>
      <c r="U3673">
        <v>4204</v>
      </c>
      <c r="V3673">
        <v>4204</v>
      </c>
    </row>
    <row r="3674" spans="1:22">
      <c r="A3674" t="s">
        <v>196</v>
      </c>
      <c r="B3674">
        <v>67</v>
      </c>
      <c r="C3674" t="s">
        <v>33</v>
      </c>
      <c r="D3674">
        <v>100</v>
      </c>
      <c r="E3674" t="s">
        <v>197</v>
      </c>
      <c r="F3674">
        <v>1005</v>
      </c>
      <c r="G3674" t="s">
        <v>33</v>
      </c>
      <c r="H3674">
        <v>2005</v>
      </c>
      <c r="I3674" t="s">
        <v>33</v>
      </c>
      <c r="J3674">
        <v>3015</v>
      </c>
      <c r="K3674" t="s">
        <v>1593</v>
      </c>
      <c r="L3674">
        <v>0</v>
      </c>
      <c r="N3674" t="s">
        <v>602</v>
      </c>
      <c r="O3674">
        <v>4</v>
      </c>
      <c r="P3674">
        <v>5620</v>
      </c>
      <c r="Q3674" t="s">
        <v>1594</v>
      </c>
      <c r="R3674" t="s">
        <v>201</v>
      </c>
      <c r="S3674">
        <v>1</v>
      </c>
      <c r="T3674">
        <v>1</v>
      </c>
      <c r="U3674">
        <v>141564</v>
      </c>
      <c r="V3674">
        <v>141564</v>
      </c>
    </row>
    <row r="3675" spans="1:22">
      <c r="A3675" t="s">
        <v>196</v>
      </c>
      <c r="B3675">
        <v>67</v>
      </c>
      <c r="C3675" t="s">
        <v>33</v>
      </c>
      <c r="D3675">
        <v>100</v>
      </c>
      <c r="E3675" t="s">
        <v>197</v>
      </c>
      <c r="F3675">
        <v>1005</v>
      </c>
      <c r="G3675" t="s">
        <v>33</v>
      </c>
      <c r="H3675">
        <v>2005</v>
      </c>
      <c r="I3675" t="s">
        <v>33</v>
      </c>
      <c r="J3675">
        <v>3015</v>
      </c>
      <c r="K3675" t="s">
        <v>1593</v>
      </c>
      <c r="L3675">
        <v>0</v>
      </c>
      <c r="N3675" t="s">
        <v>602</v>
      </c>
      <c r="O3675">
        <v>4</v>
      </c>
      <c r="P3675">
        <v>5425</v>
      </c>
      <c r="Q3675" t="s">
        <v>1595</v>
      </c>
      <c r="R3675" t="s">
        <v>201</v>
      </c>
      <c r="S3675">
        <v>1</v>
      </c>
      <c r="T3675">
        <v>1</v>
      </c>
      <c r="U3675">
        <v>146460</v>
      </c>
      <c r="V3675">
        <v>146460</v>
      </c>
    </row>
    <row r="3676" spans="1:22">
      <c r="A3676" t="s">
        <v>196</v>
      </c>
      <c r="B3676">
        <v>67</v>
      </c>
      <c r="C3676" t="s">
        <v>33</v>
      </c>
      <c r="D3676">
        <v>100</v>
      </c>
      <c r="E3676" t="s">
        <v>197</v>
      </c>
      <c r="F3676">
        <v>1005</v>
      </c>
      <c r="G3676" t="s">
        <v>33</v>
      </c>
      <c r="H3676">
        <v>2005</v>
      </c>
      <c r="I3676" t="s">
        <v>33</v>
      </c>
      <c r="J3676">
        <v>3015</v>
      </c>
      <c r="K3676" t="s">
        <v>1593</v>
      </c>
      <c r="L3676">
        <v>0</v>
      </c>
      <c r="N3676" t="s">
        <v>602</v>
      </c>
      <c r="O3676">
        <v>4</v>
      </c>
      <c r="P3676">
        <v>5425</v>
      </c>
      <c r="Q3676" t="s">
        <v>1595</v>
      </c>
      <c r="R3676" t="s">
        <v>201</v>
      </c>
      <c r="S3676">
        <v>5</v>
      </c>
      <c r="T3676">
        <v>1</v>
      </c>
      <c r="U3676">
        <v>141564</v>
      </c>
      <c r="V3676">
        <v>707820</v>
      </c>
    </row>
    <row r="3677" spans="1:22">
      <c r="A3677" t="s">
        <v>196</v>
      </c>
      <c r="B3677">
        <v>67</v>
      </c>
      <c r="C3677" t="s">
        <v>33</v>
      </c>
      <c r="D3677">
        <v>100</v>
      </c>
      <c r="E3677" t="s">
        <v>197</v>
      </c>
      <c r="F3677">
        <v>1005</v>
      </c>
      <c r="G3677" t="s">
        <v>33</v>
      </c>
      <c r="H3677">
        <v>2005</v>
      </c>
      <c r="I3677" t="s">
        <v>33</v>
      </c>
      <c r="J3677">
        <v>3015</v>
      </c>
      <c r="K3677" t="s">
        <v>1593</v>
      </c>
      <c r="L3677">
        <v>0</v>
      </c>
      <c r="N3677" t="s">
        <v>602</v>
      </c>
      <c r="O3677">
        <v>4</v>
      </c>
      <c r="P3677">
        <v>5425</v>
      </c>
      <c r="Q3677" t="s">
        <v>1595</v>
      </c>
      <c r="R3677" t="s">
        <v>201</v>
      </c>
      <c r="S3677">
        <v>1</v>
      </c>
      <c r="T3677">
        <v>1</v>
      </c>
      <c r="U3677">
        <v>134184</v>
      </c>
      <c r="V3677">
        <v>134184</v>
      </c>
    </row>
    <row r="3678" spans="1:22">
      <c r="A3678" t="s">
        <v>196</v>
      </c>
      <c r="B3678">
        <v>67</v>
      </c>
      <c r="C3678" t="s">
        <v>33</v>
      </c>
      <c r="D3678">
        <v>100</v>
      </c>
      <c r="E3678" t="s">
        <v>197</v>
      </c>
      <c r="F3678">
        <v>1005</v>
      </c>
      <c r="G3678" t="s">
        <v>33</v>
      </c>
      <c r="H3678">
        <v>2005</v>
      </c>
      <c r="I3678" t="s">
        <v>33</v>
      </c>
      <c r="J3678">
        <v>3015</v>
      </c>
      <c r="K3678" t="s">
        <v>1593</v>
      </c>
      <c r="L3678">
        <v>0</v>
      </c>
      <c r="N3678" t="s">
        <v>602</v>
      </c>
      <c r="O3678">
        <v>4</v>
      </c>
      <c r="P3678">
        <v>5425</v>
      </c>
      <c r="Q3678" t="s">
        <v>1595</v>
      </c>
      <c r="R3678" t="s">
        <v>201</v>
      </c>
      <c r="S3678">
        <v>1</v>
      </c>
      <c r="T3678">
        <v>1</v>
      </c>
      <c r="U3678">
        <v>112536</v>
      </c>
      <c r="V3678">
        <v>112536</v>
      </c>
    </row>
    <row r="3679" spans="1:22">
      <c r="A3679" t="s">
        <v>196</v>
      </c>
      <c r="B3679">
        <v>67</v>
      </c>
      <c r="C3679" t="s">
        <v>33</v>
      </c>
      <c r="D3679">
        <v>100</v>
      </c>
      <c r="E3679" t="s">
        <v>197</v>
      </c>
      <c r="F3679">
        <v>1005</v>
      </c>
      <c r="G3679" t="s">
        <v>33</v>
      </c>
      <c r="H3679">
        <v>2005</v>
      </c>
      <c r="I3679" t="s">
        <v>33</v>
      </c>
      <c r="J3679">
        <v>3015</v>
      </c>
      <c r="K3679" t="s">
        <v>1593</v>
      </c>
      <c r="L3679">
        <v>0</v>
      </c>
      <c r="N3679" t="s">
        <v>602</v>
      </c>
      <c r="O3679">
        <v>4</v>
      </c>
      <c r="P3679">
        <v>5425</v>
      </c>
      <c r="Q3679" t="s">
        <v>1595</v>
      </c>
      <c r="R3679" t="s">
        <v>201</v>
      </c>
      <c r="S3679">
        <v>2</v>
      </c>
      <c r="T3679">
        <v>1</v>
      </c>
      <c r="U3679">
        <v>99408</v>
      </c>
      <c r="V3679">
        <v>198816</v>
      </c>
    </row>
    <row r="3680" spans="1:22">
      <c r="A3680" t="s">
        <v>196</v>
      </c>
      <c r="B3680">
        <v>67</v>
      </c>
      <c r="C3680" t="s">
        <v>33</v>
      </c>
      <c r="D3680">
        <v>100</v>
      </c>
      <c r="E3680" t="s">
        <v>197</v>
      </c>
      <c r="F3680">
        <v>1005</v>
      </c>
      <c r="G3680" t="s">
        <v>33</v>
      </c>
      <c r="H3680">
        <v>2005</v>
      </c>
      <c r="I3680" t="s">
        <v>33</v>
      </c>
      <c r="J3680">
        <v>3015</v>
      </c>
      <c r="K3680" t="s">
        <v>1593</v>
      </c>
      <c r="L3680">
        <v>0</v>
      </c>
      <c r="N3680" t="s">
        <v>602</v>
      </c>
      <c r="O3680">
        <v>4</v>
      </c>
      <c r="P3680">
        <v>5404</v>
      </c>
      <c r="Q3680" t="s">
        <v>1202</v>
      </c>
      <c r="R3680" t="s">
        <v>201</v>
      </c>
      <c r="S3680">
        <v>7</v>
      </c>
      <c r="T3680">
        <v>1</v>
      </c>
      <c r="U3680">
        <v>141564</v>
      </c>
      <c r="V3680">
        <v>990948</v>
      </c>
    </row>
    <row r="3681" spans="1:22">
      <c r="A3681" t="s">
        <v>196</v>
      </c>
      <c r="B3681">
        <v>67</v>
      </c>
      <c r="C3681" t="s">
        <v>33</v>
      </c>
      <c r="D3681">
        <v>100</v>
      </c>
      <c r="E3681" t="s">
        <v>197</v>
      </c>
      <c r="F3681">
        <v>1005</v>
      </c>
      <c r="G3681" t="s">
        <v>33</v>
      </c>
      <c r="H3681">
        <v>2005</v>
      </c>
      <c r="I3681" t="s">
        <v>33</v>
      </c>
      <c r="J3681">
        <v>3015</v>
      </c>
      <c r="K3681" t="s">
        <v>1593</v>
      </c>
      <c r="L3681">
        <v>0</v>
      </c>
      <c r="N3681" t="s">
        <v>602</v>
      </c>
      <c r="O3681">
        <v>4</v>
      </c>
      <c r="P3681">
        <v>5404</v>
      </c>
      <c r="Q3681" t="s">
        <v>1202</v>
      </c>
      <c r="R3681" t="s">
        <v>201</v>
      </c>
      <c r="S3681">
        <v>2</v>
      </c>
      <c r="T3681">
        <v>1</v>
      </c>
      <c r="U3681">
        <v>99408</v>
      </c>
      <c r="V3681">
        <v>198816</v>
      </c>
    </row>
    <row r="3682" spans="1:22">
      <c r="A3682" t="s">
        <v>196</v>
      </c>
      <c r="B3682">
        <v>67</v>
      </c>
      <c r="C3682" t="s">
        <v>33</v>
      </c>
      <c r="D3682">
        <v>100</v>
      </c>
      <c r="E3682" t="s">
        <v>197</v>
      </c>
      <c r="F3682">
        <v>1005</v>
      </c>
      <c r="G3682" t="s">
        <v>33</v>
      </c>
      <c r="H3682">
        <v>2005</v>
      </c>
      <c r="I3682" t="s">
        <v>33</v>
      </c>
      <c r="J3682">
        <v>3015</v>
      </c>
      <c r="K3682" t="s">
        <v>1593</v>
      </c>
      <c r="L3682">
        <v>0</v>
      </c>
      <c r="N3682" t="s">
        <v>721</v>
      </c>
      <c r="O3682">
        <v>32</v>
      </c>
      <c r="P3682">
        <v>5151</v>
      </c>
      <c r="Q3682" t="s">
        <v>1596</v>
      </c>
      <c r="R3682" t="s">
        <v>712</v>
      </c>
      <c r="S3682">
        <v>1</v>
      </c>
      <c r="T3682">
        <v>1</v>
      </c>
      <c r="U3682">
        <v>11011</v>
      </c>
      <c r="V3682">
        <v>132132</v>
      </c>
    </row>
    <row r="3683" spans="1:22">
      <c r="A3683" t="s">
        <v>196</v>
      </c>
      <c r="B3683">
        <v>67</v>
      </c>
      <c r="C3683" t="s">
        <v>33</v>
      </c>
      <c r="D3683">
        <v>100</v>
      </c>
      <c r="E3683" t="s">
        <v>197</v>
      </c>
      <c r="F3683">
        <v>1005</v>
      </c>
      <c r="G3683" t="s">
        <v>33</v>
      </c>
      <c r="H3683">
        <v>2005</v>
      </c>
      <c r="I3683" t="s">
        <v>33</v>
      </c>
      <c r="J3683">
        <v>3015</v>
      </c>
      <c r="K3683" t="s">
        <v>1593</v>
      </c>
      <c r="L3683">
        <v>0</v>
      </c>
      <c r="N3683" t="s">
        <v>721</v>
      </c>
      <c r="O3683">
        <v>41</v>
      </c>
      <c r="P3683">
        <v>2184</v>
      </c>
      <c r="Q3683" t="s">
        <v>1597</v>
      </c>
      <c r="R3683" t="s">
        <v>712</v>
      </c>
      <c r="S3683">
        <v>3</v>
      </c>
      <c r="T3683">
        <v>1</v>
      </c>
      <c r="U3683">
        <v>10218</v>
      </c>
      <c r="V3683">
        <v>367848</v>
      </c>
    </row>
    <row r="3684" spans="1:22">
      <c r="A3684" t="s">
        <v>196</v>
      </c>
      <c r="B3684">
        <v>67</v>
      </c>
      <c r="C3684" t="s">
        <v>33</v>
      </c>
      <c r="D3684">
        <v>100</v>
      </c>
      <c r="E3684" t="s">
        <v>197</v>
      </c>
      <c r="F3684">
        <v>1005</v>
      </c>
      <c r="G3684" t="s">
        <v>33</v>
      </c>
      <c r="H3684">
        <v>2005</v>
      </c>
      <c r="I3684" t="s">
        <v>33</v>
      </c>
      <c r="J3684">
        <v>3015</v>
      </c>
      <c r="K3684" t="s">
        <v>1593</v>
      </c>
      <c r="L3684">
        <v>0</v>
      </c>
      <c r="N3684" t="s">
        <v>721</v>
      </c>
      <c r="O3684">
        <v>14</v>
      </c>
      <c r="P3684">
        <v>2135</v>
      </c>
      <c r="Q3684" t="s">
        <v>1598</v>
      </c>
      <c r="R3684" t="s">
        <v>712</v>
      </c>
      <c r="S3684">
        <v>1</v>
      </c>
      <c r="T3684">
        <v>1</v>
      </c>
      <c r="U3684">
        <v>10573.33</v>
      </c>
      <c r="V3684">
        <v>126880</v>
      </c>
    </row>
    <row r="3685" spans="1:22">
      <c r="A3685" t="s">
        <v>196</v>
      </c>
      <c r="B3685">
        <v>67</v>
      </c>
      <c r="C3685" t="s">
        <v>33</v>
      </c>
      <c r="D3685">
        <v>100</v>
      </c>
      <c r="E3685" t="s">
        <v>197</v>
      </c>
      <c r="F3685">
        <v>1005</v>
      </c>
      <c r="G3685" t="s">
        <v>33</v>
      </c>
      <c r="H3685">
        <v>2005</v>
      </c>
      <c r="I3685" t="s">
        <v>33</v>
      </c>
      <c r="J3685">
        <v>3015</v>
      </c>
      <c r="K3685" t="s">
        <v>1593</v>
      </c>
      <c r="L3685">
        <v>0</v>
      </c>
      <c r="N3685" t="s">
        <v>721</v>
      </c>
      <c r="O3685">
        <v>14</v>
      </c>
      <c r="P3685">
        <v>2135</v>
      </c>
      <c r="Q3685" t="s">
        <v>1598</v>
      </c>
      <c r="R3685" t="s">
        <v>712</v>
      </c>
      <c r="S3685">
        <v>1</v>
      </c>
      <c r="T3685">
        <v>1</v>
      </c>
      <c r="U3685">
        <v>9550.67</v>
      </c>
      <c r="V3685">
        <v>114608</v>
      </c>
    </row>
    <row r="3686" spans="1:22">
      <c r="A3686" t="s">
        <v>196</v>
      </c>
      <c r="B3686">
        <v>67</v>
      </c>
      <c r="C3686" t="s">
        <v>33</v>
      </c>
      <c r="D3686">
        <v>100</v>
      </c>
      <c r="E3686" t="s">
        <v>197</v>
      </c>
      <c r="F3686">
        <v>1005</v>
      </c>
      <c r="G3686" t="s">
        <v>33</v>
      </c>
      <c r="H3686">
        <v>2005</v>
      </c>
      <c r="I3686" t="s">
        <v>33</v>
      </c>
      <c r="J3686">
        <v>3015</v>
      </c>
      <c r="K3686" t="s">
        <v>1593</v>
      </c>
      <c r="L3686">
        <v>0</v>
      </c>
      <c r="N3686" t="s">
        <v>249</v>
      </c>
      <c r="O3686">
        <v>10</v>
      </c>
      <c r="P3686">
        <v>311</v>
      </c>
      <c r="Q3686" t="s">
        <v>661</v>
      </c>
      <c r="R3686" t="s">
        <v>201</v>
      </c>
      <c r="S3686">
        <v>1</v>
      </c>
      <c r="T3686">
        <v>1</v>
      </c>
      <c r="U3686">
        <v>124584</v>
      </c>
      <c r="V3686">
        <v>124584</v>
      </c>
    </row>
    <row r="3687" spans="1:22">
      <c r="A3687" t="s">
        <v>196</v>
      </c>
      <c r="B3687">
        <v>67</v>
      </c>
      <c r="C3687" t="s">
        <v>33</v>
      </c>
      <c r="D3687">
        <v>100</v>
      </c>
      <c r="E3687" t="s">
        <v>197</v>
      </c>
      <c r="F3687">
        <v>1005</v>
      </c>
      <c r="G3687" t="s">
        <v>33</v>
      </c>
      <c r="H3687">
        <v>2005</v>
      </c>
      <c r="I3687" t="s">
        <v>33</v>
      </c>
      <c r="J3687">
        <v>3015</v>
      </c>
      <c r="K3687" t="s">
        <v>1593</v>
      </c>
      <c r="L3687">
        <v>0</v>
      </c>
      <c r="N3687" t="s">
        <v>199</v>
      </c>
      <c r="O3687">
        <v>0</v>
      </c>
      <c r="P3687">
        <v>15</v>
      </c>
      <c r="Q3687" t="s">
        <v>264</v>
      </c>
      <c r="R3687" t="s">
        <v>201</v>
      </c>
      <c r="S3687">
        <v>0</v>
      </c>
      <c r="T3687">
        <v>0</v>
      </c>
      <c r="U3687">
        <v>5657</v>
      </c>
      <c r="V3687">
        <v>5657</v>
      </c>
    </row>
    <row r="3688" spans="1:22">
      <c r="A3688" t="s">
        <v>196</v>
      </c>
      <c r="B3688">
        <v>67</v>
      </c>
      <c r="C3688" t="s">
        <v>33</v>
      </c>
      <c r="D3688">
        <v>100</v>
      </c>
      <c r="E3688" t="s">
        <v>197</v>
      </c>
      <c r="F3688">
        <v>1005</v>
      </c>
      <c r="G3688" t="s">
        <v>33</v>
      </c>
      <c r="H3688">
        <v>2005</v>
      </c>
      <c r="I3688" t="s">
        <v>33</v>
      </c>
      <c r="J3688">
        <v>3015</v>
      </c>
      <c r="K3688" t="s">
        <v>1593</v>
      </c>
      <c r="L3688">
        <v>0</v>
      </c>
      <c r="N3688" t="s">
        <v>199</v>
      </c>
      <c r="O3688">
        <v>0</v>
      </c>
      <c r="P3688">
        <v>12</v>
      </c>
      <c r="Q3688" t="s">
        <v>724</v>
      </c>
      <c r="R3688" t="s">
        <v>201</v>
      </c>
      <c r="S3688">
        <v>0</v>
      </c>
      <c r="T3688">
        <v>0</v>
      </c>
      <c r="U3688">
        <v>11122</v>
      </c>
      <c r="V3688">
        <v>11122</v>
      </c>
    </row>
    <row r="3689" spans="1:22">
      <c r="A3689" t="s">
        <v>196</v>
      </c>
      <c r="B3689">
        <v>67</v>
      </c>
      <c r="C3689" t="s">
        <v>33</v>
      </c>
      <c r="D3689">
        <v>100</v>
      </c>
      <c r="E3689" t="s">
        <v>197</v>
      </c>
      <c r="F3689">
        <v>1005</v>
      </c>
      <c r="G3689" t="s">
        <v>33</v>
      </c>
      <c r="H3689">
        <v>2005</v>
      </c>
      <c r="I3689" t="s">
        <v>33</v>
      </c>
      <c r="J3689">
        <v>3016</v>
      </c>
      <c r="K3689" t="s">
        <v>1599</v>
      </c>
      <c r="L3689">
        <v>4073</v>
      </c>
      <c r="M3689" t="s">
        <v>1600</v>
      </c>
      <c r="N3689" t="s">
        <v>1601</v>
      </c>
      <c r="O3689">
        <v>44</v>
      </c>
      <c r="P3689">
        <v>2152</v>
      </c>
      <c r="Q3689" t="s">
        <v>1602</v>
      </c>
      <c r="R3689" t="s">
        <v>201</v>
      </c>
      <c r="S3689">
        <v>1</v>
      </c>
      <c r="T3689">
        <v>1</v>
      </c>
      <c r="U3689">
        <v>107136</v>
      </c>
      <c r="V3689">
        <v>107136</v>
      </c>
    </row>
    <row r="3690" spans="1:22">
      <c r="A3690" t="s">
        <v>196</v>
      </c>
      <c r="B3690">
        <v>67</v>
      </c>
      <c r="C3690" t="s">
        <v>33</v>
      </c>
      <c r="D3690">
        <v>100</v>
      </c>
      <c r="E3690" t="s">
        <v>197</v>
      </c>
      <c r="F3690">
        <v>1005</v>
      </c>
      <c r="G3690" t="s">
        <v>33</v>
      </c>
      <c r="H3690">
        <v>2005</v>
      </c>
      <c r="I3690" t="s">
        <v>33</v>
      </c>
      <c r="J3690">
        <v>3016</v>
      </c>
      <c r="K3690" t="s">
        <v>1599</v>
      </c>
      <c r="L3690">
        <v>4073</v>
      </c>
      <c r="M3690" t="s">
        <v>1600</v>
      </c>
      <c r="N3690" t="s">
        <v>1170</v>
      </c>
      <c r="O3690">
        <v>44</v>
      </c>
      <c r="P3690">
        <v>2151</v>
      </c>
      <c r="Q3690" t="s">
        <v>1171</v>
      </c>
      <c r="R3690" t="s">
        <v>201</v>
      </c>
      <c r="S3690">
        <v>1</v>
      </c>
      <c r="T3690">
        <v>1</v>
      </c>
      <c r="U3690">
        <v>172572</v>
      </c>
      <c r="V3690">
        <v>172572</v>
      </c>
    </row>
    <row r="3691" spans="1:22">
      <c r="A3691" t="s">
        <v>196</v>
      </c>
      <c r="B3691">
        <v>67</v>
      </c>
      <c r="C3691" t="s">
        <v>33</v>
      </c>
      <c r="D3691">
        <v>100</v>
      </c>
      <c r="E3691" t="s">
        <v>197</v>
      </c>
      <c r="F3691">
        <v>1005</v>
      </c>
      <c r="G3691" t="s">
        <v>33</v>
      </c>
      <c r="H3691">
        <v>2005</v>
      </c>
      <c r="I3691" t="s">
        <v>33</v>
      </c>
      <c r="J3691">
        <v>3016</v>
      </c>
      <c r="K3691" t="s">
        <v>1599</v>
      </c>
      <c r="L3691">
        <v>4073</v>
      </c>
      <c r="M3691" t="s">
        <v>1600</v>
      </c>
      <c r="N3691" t="s">
        <v>1170</v>
      </c>
      <c r="O3691">
        <v>44</v>
      </c>
      <c r="P3691">
        <v>2151</v>
      </c>
      <c r="Q3691" t="s">
        <v>1171</v>
      </c>
      <c r="R3691" t="s">
        <v>201</v>
      </c>
      <c r="S3691">
        <v>1</v>
      </c>
      <c r="T3691">
        <v>1</v>
      </c>
      <c r="U3691">
        <v>157296</v>
      </c>
      <c r="V3691">
        <v>157296</v>
      </c>
    </row>
    <row r="3692" spans="1:22">
      <c r="A3692" t="s">
        <v>196</v>
      </c>
      <c r="B3692">
        <v>67</v>
      </c>
      <c r="C3692" t="s">
        <v>33</v>
      </c>
      <c r="D3692">
        <v>100</v>
      </c>
      <c r="E3692" t="s">
        <v>197</v>
      </c>
      <c r="F3692">
        <v>1005</v>
      </c>
      <c r="G3692" t="s">
        <v>33</v>
      </c>
      <c r="H3692">
        <v>2005</v>
      </c>
      <c r="I3692" t="s">
        <v>33</v>
      </c>
      <c r="J3692">
        <v>3016</v>
      </c>
      <c r="K3692" t="s">
        <v>1599</v>
      </c>
      <c r="L3692">
        <v>4073</v>
      </c>
      <c r="M3692" t="s">
        <v>1600</v>
      </c>
      <c r="N3692" t="s">
        <v>1172</v>
      </c>
      <c r="O3692">
        <v>44</v>
      </c>
      <c r="P3692">
        <v>2150</v>
      </c>
      <c r="Q3692" t="s">
        <v>1173</v>
      </c>
      <c r="R3692" t="s">
        <v>201</v>
      </c>
      <c r="S3692">
        <v>4</v>
      </c>
      <c r="T3692">
        <v>1</v>
      </c>
      <c r="U3692">
        <v>157296</v>
      </c>
      <c r="V3692">
        <v>629184</v>
      </c>
    </row>
    <row r="3693" spans="1:22">
      <c r="A3693" t="s">
        <v>196</v>
      </c>
      <c r="B3693">
        <v>67</v>
      </c>
      <c r="C3693" t="s">
        <v>33</v>
      </c>
      <c r="D3693">
        <v>100</v>
      </c>
      <c r="E3693" t="s">
        <v>197</v>
      </c>
      <c r="F3693">
        <v>1005</v>
      </c>
      <c r="G3693" t="s">
        <v>33</v>
      </c>
      <c r="H3693">
        <v>2005</v>
      </c>
      <c r="I3693" t="s">
        <v>33</v>
      </c>
      <c r="J3693">
        <v>3016</v>
      </c>
      <c r="K3693" t="s">
        <v>1599</v>
      </c>
      <c r="L3693">
        <v>4073</v>
      </c>
      <c r="M3693" t="s">
        <v>1600</v>
      </c>
      <c r="N3693" t="s">
        <v>1172</v>
      </c>
      <c r="O3693">
        <v>44</v>
      </c>
      <c r="P3693">
        <v>2150</v>
      </c>
      <c r="Q3693" t="s">
        <v>1173</v>
      </c>
      <c r="R3693" t="s">
        <v>201</v>
      </c>
      <c r="S3693">
        <v>2</v>
      </c>
      <c r="T3693">
        <v>1</v>
      </c>
      <c r="U3693">
        <v>143352</v>
      </c>
      <c r="V3693">
        <v>286704</v>
      </c>
    </row>
    <row r="3694" spans="1:22">
      <c r="A3694" t="s">
        <v>196</v>
      </c>
      <c r="B3694">
        <v>67</v>
      </c>
      <c r="C3694" t="s">
        <v>33</v>
      </c>
      <c r="D3694">
        <v>100</v>
      </c>
      <c r="E3694" t="s">
        <v>197</v>
      </c>
      <c r="F3694">
        <v>1005</v>
      </c>
      <c r="G3694" t="s">
        <v>33</v>
      </c>
      <c r="H3694">
        <v>2005</v>
      </c>
      <c r="I3694" t="s">
        <v>33</v>
      </c>
      <c r="J3694">
        <v>3016</v>
      </c>
      <c r="K3694" t="s">
        <v>1599</v>
      </c>
      <c r="L3694">
        <v>4073</v>
      </c>
      <c r="M3694" t="s">
        <v>1600</v>
      </c>
      <c r="N3694" t="s">
        <v>1172</v>
      </c>
      <c r="O3694">
        <v>44</v>
      </c>
      <c r="P3694">
        <v>2150</v>
      </c>
      <c r="Q3694" t="s">
        <v>1173</v>
      </c>
      <c r="R3694" t="s">
        <v>201</v>
      </c>
      <c r="S3694">
        <v>1</v>
      </c>
      <c r="T3694">
        <v>1</v>
      </c>
      <c r="U3694">
        <v>136872</v>
      </c>
      <c r="V3694">
        <v>136872</v>
      </c>
    </row>
    <row r="3695" spans="1:22">
      <c r="A3695" t="s">
        <v>196</v>
      </c>
      <c r="B3695">
        <v>67</v>
      </c>
      <c r="C3695" t="s">
        <v>33</v>
      </c>
      <c r="D3695">
        <v>100</v>
      </c>
      <c r="E3695" t="s">
        <v>197</v>
      </c>
      <c r="F3695">
        <v>1005</v>
      </c>
      <c r="G3695" t="s">
        <v>33</v>
      </c>
      <c r="H3695">
        <v>2005</v>
      </c>
      <c r="I3695" t="s">
        <v>33</v>
      </c>
      <c r="J3695">
        <v>3016</v>
      </c>
      <c r="K3695" t="s">
        <v>1599</v>
      </c>
      <c r="L3695">
        <v>4073</v>
      </c>
      <c r="M3695" t="s">
        <v>1600</v>
      </c>
      <c r="N3695" t="s">
        <v>1172</v>
      </c>
      <c r="O3695">
        <v>44</v>
      </c>
      <c r="P3695">
        <v>2150</v>
      </c>
      <c r="Q3695" t="s">
        <v>1173</v>
      </c>
      <c r="R3695" t="s">
        <v>201</v>
      </c>
      <c r="S3695">
        <v>2</v>
      </c>
      <c r="T3695">
        <v>1</v>
      </c>
      <c r="U3695">
        <v>124740</v>
      </c>
      <c r="V3695">
        <v>249480</v>
      </c>
    </row>
    <row r="3696" spans="1:22">
      <c r="A3696" t="s">
        <v>196</v>
      </c>
      <c r="B3696">
        <v>67</v>
      </c>
      <c r="C3696" t="s">
        <v>33</v>
      </c>
      <c r="D3696">
        <v>100</v>
      </c>
      <c r="E3696" t="s">
        <v>197</v>
      </c>
      <c r="F3696">
        <v>1005</v>
      </c>
      <c r="G3696" t="s">
        <v>33</v>
      </c>
      <c r="H3696">
        <v>2005</v>
      </c>
      <c r="I3696" t="s">
        <v>33</v>
      </c>
      <c r="J3696">
        <v>3016</v>
      </c>
      <c r="K3696" t="s">
        <v>1599</v>
      </c>
      <c r="L3696">
        <v>4073</v>
      </c>
      <c r="M3696" t="s">
        <v>1600</v>
      </c>
      <c r="N3696" t="s">
        <v>1172</v>
      </c>
      <c r="O3696">
        <v>44</v>
      </c>
      <c r="P3696">
        <v>2150</v>
      </c>
      <c r="Q3696" t="s">
        <v>1173</v>
      </c>
      <c r="R3696" t="s">
        <v>201</v>
      </c>
      <c r="S3696">
        <v>2</v>
      </c>
      <c r="T3696">
        <v>1</v>
      </c>
      <c r="U3696">
        <v>119052</v>
      </c>
      <c r="V3696">
        <v>238104</v>
      </c>
    </row>
    <row r="3697" spans="1:22">
      <c r="A3697" t="s">
        <v>196</v>
      </c>
      <c r="B3697">
        <v>67</v>
      </c>
      <c r="C3697" t="s">
        <v>33</v>
      </c>
      <c r="D3697">
        <v>100</v>
      </c>
      <c r="E3697" t="s">
        <v>197</v>
      </c>
      <c r="F3697">
        <v>1005</v>
      </c>
      <c r="G3697" t="s">
        <v>33</v>
      </c>
      <c r="H3697">
        <v>2005</v>
      </c>
      <c r="I3697" t="s">
        <v>33</v>
      </c>
      <c r="J3697">
        <v>3016</v>
      </c>
      <c r="K3697" t="s">
        <v>1599</v>
      </c>
      <c r="L3697">
        <v>4073</v>
      </c>
      <c r="M3697" t="s">
        <v>1600</v>
      </c>
      <c r="N3697" t="s">
        <v>1172</v>
      </c>
      <c r="O3697">
        <v>44</v>
      </c>
      <c r="P3697">
        <v>2150</v>
      </c>
      <c r="Q3697" t="s">
        <v>1173</v>
      </c>
      <c r="R3697" t="s">
        <v>201</v>
      </c>
      <c r="S3697">
        <v>1</v>
      </c>
      <c r="T3697">
        <v>1</v>
      </c>
      <c r="U3697">
        <v>102540</v>
      </c>
      <c r="V3697">
        <v>102540</v>
      </c>
    </row>
    <row r="3698" spans="1:22">
      <c r="A3698" t="s">
        <v>196</v>
      </c>
      <c r="B3698">
        <v>67</v>
      </c>
      <c r="C3698" t="s">
        <v>33</v>
      </c>
      <c r="D3698">
        <v>100</v>
      </c>
      <c r="E3698" t="s">
        <v>197</v>
      </c>
      <c r="F3698">
        <v>1005</v>
      </c>
      <c r="G3698" t="s">
        <v>33</v>
      </c>
      <c r="H3698">
        <v>2005</v>
      </c>
      <c r="I3698" t="s">
        <v>33</v>
      </c>
      <c r="J3698">
        <v>3016</v>
      </c>
      <c r="K3698" t="s">
        <v>1599</v>
      </c>
      <c r="L3698">
        <v>4073</v>
      </c>
      <c r="M3698" t="s">
        <v>1600</v>
      </c>
      <c r="N3698" t="s">
        <v>372</v>
      </c>
      <c r="O3698">
        <v>4</v>
      </c>
      <c r="P3698">
        <v>1912</v>
      </c>
      <c r="Q3698" t="s">
        <v>608</v>
      </c>
      <c r="R3698" t="s">
        <v>201</v>
      </c>
      <c r="S3698">
        <v>1</v>
      </c>
      <c r="T3698">
        <v>1</v>
      </c>
      <c r="U3698">
        <v>113628</v>
      </c>
      <c r="V3698">
        <v>113628</v>
      </c>
    </row>
    <row r="3699" spans="1:22">
      <c r="A3699" t="s">
        <v>196</v>
      </c>
      <c r="B3699">
        <v>67</v>
      </c>
      <c r="C3699" t="s">
        <v>33</v>
      </c>
      <c r="D3699">
        <v>100</v>
      </c>
      <c r="E3699" t="s">
        <v>197</v>
      </c>
      <c r="F3699">
        <v>1005</v>
      </c>
      <c r="G3699" t="s">
        <v>33</v>
      </c>
      <c r="H3699">
        <v>2005</v>
      </c>
      <c r="I3699" t="s">
        <v>33</v>
      </c>
      <c r="J3699">
        <v>3016</v>
      </c>
      <c r="K3699" t="s">
        <v>1599</v>
      </c>
      <c r="L3699">
        <v>4073</v>
      </c>
      <c r="M3699" t="s">
        <v>1600</v>
      </c>
      <c r="N3699" t="s">
        <v>199</v>
      </c>
      <c r="O3699">
        <v>0</v>
      </c>
      <c r="P3699">
        <v>15</v>
      </c>
      <c r="Q3699" t="s">
        <v>264</v>
      </c>
      <c r="R3699" t="s">
        <v>201</v>
      </c>
      <c r="S3699">
        <v>0</v>
      </c>
      <c r="T3699">
        <v>0</v>
      </c>
      <c r="U3699">
        <v>7234</v>
      </c>
      <c r="V3699">
        <v>7234</v>
      </c>
    </row>
    <row r="3700" spans="1:22">
      <c r="A3700" t="s">
        <v>196</v>
      </c>
      <c r="B3700">
        <v>67</v>
      </c>
      <c r="C3700" t="s">
        <v>33</v>
      </c>
      <c r="D3700">
        <v>100</v>
      </c>
      <c r="E3700" t="s">
        <v>197</v>
      </c>
      <c r="F3700">
        <v>1005</v>
      </c>
      <c r="G3700" t="s">
        <v>33</v>
      </c>
      <c r="H3700">
        <v>2005</v>
      </c>
      <c r="I3700" t="s">
        <v>33</v>
      </c>
      <c r="J3700">
        <v>3016</v>
      </c>
      <c r="K3700" t="s">
        <v>1599</v>
      </c>
      <c r="L3700">
        <v>4270</v>
      </c>
      <c r="M3700" t="s">
        <v>1603</v>
      </c>
      <c r="N3700" t="s">
        <v>721</v>
      </c>
      <c r="O3700">
        <v>49</v>
      </c>
      <c r="P3700">
        <v>8315</v>
      </c>
      <c r="Q3700" t="s">
        <v>1604</v>
      </c>
      <c r="R3700" t="s">
        <v>712</v>
      </c>
      <c r="S3700">
        <v>1</v>
      </c>
      <c r="T3700">
        <v>1</v>
      </c>
      <c r="U3700">
        <v>10117.469999999999</v>
      </c>
      <c r="V3700">
        <v>121410</v>
      </c>
    </row>
    <row r="3701" spans="1:22">
      <c r="A3701" t="s">
        <v>196</v>
      </c>
      <c r="B3701">
        <v>67</v>
      </c>
      <c r="C3701" t="s">
        <v>33</v>
      </c>
      <c r="D3701">
        <v>100</v>
      </c>
      <c r="E3701" t="s">
        <v>197</v>
      </c>
      <c r="F3701">
        <v>1005</v>
      </c>
      <c r="G3701" t="s">
        <v>33</v>
      </c>
      <c r="H3701">
        <v>2005</v>
      </c>
      <c r="I3701" t="s">
        <v>33</v>
      </c>
      <c r="J3701">
        <v>3016</v>
      </c>
      <c r="K3701" t="s">
        <v>1599</v>
      </c>
      <c r="L3701">
        <v>4270</v>
      </c>
      <c r="M3701" t="s">
        <v>1603</v>
      </c>
      <c r="N3701" t="s">
        <v>1601</v>
      </c>
      <c r="O3701">
        <v>44</v>
      </c>
      <c r="P3701">
        <v>2152</v>
      </c>
      <c r="Q3701" t="s">
        <v>1602</v>
      </c>
      <c r="R3701" t="s">
        <v>201</v>
      </c>
      <c r="S3701">
        <v>1</v>
      </c>
      <c r="T3701">
        <v>1</v>
      </c>
      <c r="U3701">
        <v>156924</v>
      </c>
      <c r="V3701">
        <v>156924</v>
      </c>
    </row>
    <row r="3702" spans="1:22">
      <c r="A3702" t="s">
        <v>196</v>
      </c>
      <c r="B3702">
        <v>67</v>
      </c>
      <c r="C3702" t="s">
        <v>33</v>
      </c>
      <c r="D3702">
        <v>100</v>
      </c>
      <c r="E3702" t="s">
        <v>197</v>
      </c>
      <c r="F3702">
        <v>1005</v>
      </c>
      <c r="G3702" t="s">
        <v>33</v>
      </c>
      <c r="H3702">
        <v>2005</v>
      </c>
      <c r="I3702" t="s">
        <v>33</v>
      </c>
      <c r="J3702">
        <v>3016</v>
      </c>
      <c r="K3702" t="s">
        <v>1599</v>
      </c>
      <c r="L3702">
        <v>4270</v>
      </c>
      <c r="M3702" t="s">
        <v>1603</v>
      </c>
      <c r="N3702" t="s">
        <v>1170</v>
      </c>
      <c r="O3702">
        <v>44</v>
      </c>
      <c r="P3702">
        <v>2151</v>
      </c>
      <c r="Q3702" t="s">
        <v>1171</v>
      </c>
      <c r="R3702" t="s">
        <v>201</v>
      </c>
      <c r="S3702">
        <v>1</v>
      </c>
      <c r="T3702">
        <v>1</v>
      </c>
      <c r="U3702">
        <v>172572</v>
      </c>
      <c r="V3702">
        <v>172572</v>
      </c>
    </row>
    <row r="3703" spans="1:22">
      <c r="A3703" t="s">
        <v>196</v>
      </c>
      <c r="B3703">
        <v>67</v>
      </c>
      <c r="C3703" t="s">
        <v>33</v>
      </c>
      <c r="D3703">
        <v>100</v>
      </c>
      <c r="E3703" t="s">
        <v>197</v>
      </c>
      <c r="F3703">
        <v>1005</v>
      </c>
      <c r="G3703" t="s">
        <v>33</v>
      </c>
      <c r="H3703">
        <v>2005</v>
      </c>
      <c r="I3703" t="s">
        <v>33</v>
      </c>
      <c r="J3703">
        <v>3016</v>
      </c>
      <c r="K3703" t="s">
        <v>1599</v>
      </c>
      <c r="L3703">
        <v>4270</v>
      </c>
      <c r="M3703" t="s">
        <v>1603</v>
      </c>
      <c r="N3703" t="s">
        <v>1170</v>
      </c>
      <c r="O3703">
        <v>44</v>
      </c>
      <c r="P3703">
        <v>2151</v>
      </c>
      <c r="Q3703" t="s">
        <v>1171</v>
      </c>
      <c r="R3703" t="s">
        <v>201</v>
      </c>
      <c r="S3703">
        <v>1</v>
      </c>
      <c r="T3703">
        <v>1</v>
      </c>
      <c r="U3703">
        <v>157296</v>
      </c>
      <c r="V3703">
        <v>157296</v>
      </c>
    </row>
    <row r="3704" spans="1:22">
      <c r="A3704" t="s">
        <v>196</v>
      </c>
      <c r="B3704">
        <v>67</v>
      </c>
      <c r="C3704" t="s">
        <v>33</v>
      </c>
      <c r="D3704">
        <v>100</v>
      </c>
      <c r="E3704" t="s">
        <v>197</v>
      </c>
      <c r="F3704">
        <v>1005</v>
      </c>
      <c r="G3704" t="s">
        <v>33</v>
      </c>
      <c r="H3704">
        <v>2005</v>
      </c>
      <c r="I3704" t="s">
        <v>33</v>
      </c>
      <c r="J3704">
        <v>3016</v>
      </c>
      <c r="K3704" t="s">
        <v>1599</v>
      </c>
      <c r="L3704">
        <v>4270</v>
      </c>
      <c r="M3704" t="s">
        <v>1603</v>
      </c>
      <c r="N3704" t="s">
        <v>1170</v>
      </c>
      <c r="O3704">
        <v>44</v>
      </c>
      <c r="P3704">
        <v>2151</v>
      </c>
      <c r="Q3704" t="s">
        <v>1171</v>
      </c>
      <c r="R3704" t="s">
        <v>201</v>
      </c>
      <c r="S3704">
        <v>1</v>
      </c>
      <c r="T3704">
        <v>1</v>
      </c>
      <c r="U3704">
        <v>150180</v>
      </c>
      <c r="V3704">
        <v>150180</v>
      </c>
    </row>
    <row r="3705" spans="1:22">
      <c r="A3705" t="s">
        <v>196</v>
      </c>
      <c r="B3705">
        <v>67</v>
      </c>
      <c r="C3705" t="s">
        <v>33</v>
      </c>
      <c r="D3705">
        <v>100</v>
      </c>
      <c r="E3705" t="s">
        <v>197</v>
      </c>
      <c r="F3705">
        <v>1005</v>
      </c>
      <c r="G3705" t="s">
        <v>33</v>
      </c>
      <c r="H3705">
        <v>2005</v>
      </c>
      <c r="I3705" t="s">
        <v>33</v>
      </c>
      <c r="J3705">
        <v>3016</v>
      </c>
      <c r="K3705" t="s">
        <v>1599</v>
      </c>
      <c r="L3705">
        <v>4270</v>
      </c>
      <c r="M3705" t="s">
        <v>1603</v>
      </c>
      <c r="N3705" t="s">
        <v>1172</v>
      </c>
      <c r="O3705">
        <v>44</v>
      </c>
      <c r="P3705">
        <v>2150</v>
      </c>
      <c r="Q3705" t="s">
        <v>1173</v>
      </c>
      <c r="R3705" t="s">
        <v>201</v>
      </c>
      <c r="S3705">
        <v>1</v>
      </c>
      <c r="T3705">
        <v>1</v>
      </c>
      <c r="U3705">
        <v>157296</v>
      </c>
      <c r="V3705">
        <v>157296</v>
      </c>
    </row>
    <row r="3706" spans="1:22">
      <c r="A3706" t="s">
        <v>196</v>
      </c>
      <c r="B3706">
        <v>67</v>
      </c>
      <c r="C3706" t="s">
        <v>33</v>
      </c>
      <c r="D3706">
        <v>100</v>
      </c>
      <c r="E3706" t="s">
        <v>197</v>
      </c>
      <c r="F3706">
        <v>1005</v>
      </c>
      <c r="G3706" t="s">
        <v>33</v>
      </c>
      <c r="H3706">
        <v>2005</v>
      </c>
      <c r="I3706" t="s">
        <v>33</v>
      </c>
      <c r="J3706">
        <v>3016</v>
      </c>
      <c r="K3706" t="s">
        <v>1599</v>
      </c>
      <c r="L3706">
        <v>4270</v>
      </c>
      <c r="M3706" t="s">
        <v>1603</v>
      </c>
      <c r="N3706" t="s">
        <v>1172</v>
      </c>
      <c r="O3706">
        <v>44</v>
      </c>
      <c r="P3706">
        <v>2150</v>
      </c>
      <c r="Q3706" t="s">
        <v>1173</v>
      </c>
      <c r="R3706" t="s">
        <v>201</v>
      </c>
      <c r="S3706">
        <v>4</v>
      </c>
      <c r="T3706">
        <v>1</v>
      </c>
      <c r="U3706">
        <v>143352</v>
      </c>
      <c r="V3706">
        <v>573408</v>
      </c>
    </row>
    <row r="3707" spans="1:22">
      <c r="A3707" t="s">
        <v>196</v>
      </c>
      <c r="B3707">
        <v>67</v>
      </c>
      <c r="C3707" t="s">
        <v>33</v>
      </c>
      <c r="D3707">
        <v>100</v>
      </c>
      <c r="E3707" t="s">
        <v>197</v>
      </c>
      <c r="F3707">
        <v>1005</v>
      </c>
      <c r="G3707" t="s">
        <v>33</v>
      </c>
      <c r="H3707">
        <v>2005</v>
      </c>
      <c r="I3707" t="s">
        <v>33</v>
      </c>
      <c r="J3707">
        <v>3016</v>
      </c>
      <c r="K3707" t="s">
        <v>1599</v>
      </c>
      <c r="L3707">
        <v>4270</v>
      </c>
      <c r="M3707" t="s">
        <v>1603</v>
      </c>
      <c r="N3707" t="s">
        <v>1172</v>
      </c>
      <c r="O3707">
        <v>44</v>
      </c>
      <c r="P3707">
        <v>2150</v>
      </c>
      <c r="Q3707" t="s">
        <v>1173</v>
      </c>
      <c r="R3707" t="s">
        <v>201</v>
      </c>
      <c r="S3707">
        <v>2</v>
      </c>
      <c r="T3707">
        <v>1</v>
      </c>
      <c r="U3707">
        <v>136872</v>
      </c>
      <c r="V3707">
        <v>273744</v>
      </c>
    </row>
    <row r="3708" spans="1:22">
      <c r="A3708" t="s">
        <v>196</v>
      </c>
      <c r="B3708">
        <v>67</v>
      </c>
      <c r="C3708" t="s">
        <v>33</v>
      </c>
      <c r="D3708">
        <v>100</v>
      </c>
      <c r="E3708" t="s">
        <v>197</v>
      </c>
      <c r="F3708">
        <v>1005</v>
      </c>
      <c r="G3708" t="s">
        <v>33</v>
      </c>
      <c r="H3708">
        <v>2005</v>
      </c>
      <c r="I3708" t="s">
        <v>33</v>
      </c>
      <c r="J3708">
        <v>3016</v>
      </c>
      <c r="K3708" t="s">
        <v>1599</v>
      </c>
      <c r="L3708">
        <v>4270</v>
      </c>
      <c r="M3708" t="s">
        <v>1603</v>
      </c>
      <c r="N3708" t="s">
        <v>1172</v>
      </c>
      <c r="O3708">
        <v>44</v>
      </c>
      <c r="P3708">
        <v>2150</v>
      </c>
      <c r="Q3708" t="s">
        <v>1173</v>
      </c>
      <c r="R3708" t="s">
        <v>201</v>
      </c>
      <c r="S3708">
        <v>2</v>
      </c>
      <c r="T3708">
        <v>1</v>
      </c>
      <c r="U3708">
        <v>124740</v>
      </c>
      <c r="V3708">
        <v>249480</v>
      </c>
    </row>
    <row r="3709" spans="1:22">
      <c r="A3709" t="s">
        <v>196</v>
      </c>
      <c r="B3709">
        <v>67</v>
      </c>
      <c r="C3709" t="s">
        <v>33</v>
      </c>
      <c r="D3709">
        <v>100</v>
      </c>
      <c r="E3709" t="s">
        <v>197</v>
      </c>
      <c r="F3709">
        <v>1005</v>
      </c>
      <c r="G3709" t="s">
        <v>33</v>
      </c>
      <c r="H3709">
        <v>2005</v>
      </c>
      <c r="I3709" t="s">
        <v>33</v>
      </c>
      <c r="J3709">
        <v>3016</v>
      </c>
      <c r="K3709" t="s">
        <v>1599</v>
      </c>
      <c r="L3709">
        <v>4270</v>
      </c>
      <c r="M3709" t="s">
        <v>1603</v>
      </c>
      <c r="N3709" t="s">
        <v>1172</v>
      </c>
      <c r="O3709">
        <v>44</v>
      </c>
      <c r="P3709">
        <v>2150</v>
      </c>
      <c r="Q3709" t="s">
        <v>1173</v>
      </c>
      <c r="R3709" t="s">
        <v>201</v>
      </c>
      <c r="S3709">
        <v>4</v>
      </c>
      <c r="T3709">
        <v>1</v>
      </c>
      <c r="U3709">
        <v>119052</v>
      </c>
      <c r="V3709">
        <v>476208</v>
      </c>
    </row>
    <row r="3710" spans="1:22">
      <c r="A3710" t="s">
        <v>196</v>
      </c>
      <c r="B3710">
        <v>67</v>
      </c>
      <c r="C3710" t="s">
        <v>33</v>
      </c>
      <c r="D3710">
        <v>100</v>
      </c>
      <c r="E3710" t="s">
        <v>197</v>
      </c>
      <c r="F3710">
        <v>1005</v>
      </c>
      <c r="G3710" t="s">
        <v>33</v>
      </c>
      <c r="H3710">
        <v>2005</v>
      </c>
      <c r="I3710" t="s">
        <v>33</v>
      </c>
      <c r="J3710">
        <v>3016</v>
      </c>
      <c r="K3710" t="s">
        <v>1599</v>
      </c>
      <c r="L3710">
        <v>4270</v>
      </c>
      <c r="M3710" t="s">
        <v>1603</v>
      </c>
      <c r="N3710" t="s">
        <v>1172</v>
      </c>
      <c r="O3710">
        <v>44</v>
      </c>
      <c r="P3710">
        <v>2150</v>
      </c>
      <c r="Q3710" t="s">
        <v>1173</v>
      </c>
      <c r="R3710" t="s">
        <v>201</v>
      </c>
      <c r="S3710">
        <v>1</v>
      </c>
      <c r="T3710">
        <v>1</v>
      </c>
      <c r="U3710">
        <v>112488</v>
      </c>
      <c r="V3710">
        <v>112488</v>
      </c>
    </row>
    <row r="3711" spans="1:22">
      <c r="A3711" t="s">
        <v>196</v>
      </c>
      <c r="B3711">
        <v>67</v>
      </c>
      <c r="C3711" t="s">
        <v>33</v>
      </c>
      <c r="D3711">
        <v>100</v>
      </c>
      <c r="E3711" t="s">
        <v>197</v>
      </c>
      <c r="F3711">
        <v>1005</v>
      </c>
      <c r="G3711" t="s">
        <v>33</v>
      </c>
      <c r="H3711">
        <v>2005</v>
      </c>
      <c r="I3711" t="s">
        <v>33</v>
      </c>
      <c r="J3711">
        <v>3016</v>
      </c>
      <c r="K3711" t="s">
        <v>1599</v>
      </c>
      <c r="L3711">
        <v>4270</v>
      </c>
      <c r="M3711" t="s">
        <v>1603</v>
      </c>
      <c r="N3711" t="s">
        <v>1172</v>
      </c>
      <c r="O3711">
        <v>44</v>
      </c>
      <c r="P3711">
        <v>2150</v>
      </c>
      <c r="Q3711" t="s">
        <v>1173</v>
      </c>
      <c r="R3711" t="s">
        <v>201</v>
      </c>
      <c r="S3711">
        <v>4</v>
      </c>
      <c r="T3711">
        <v>1</v>
      </c>
      <c r="U3711">
        <v>107460</v>
      </c>
      <c r="V3711">
        <v>429840</v>
      </c>
    </row>
    <row r="3712" spans="1:22">
      <c r="A3712" t="s">
        <v>196</v>
      </c>
      <c r="B3712">
        <v>67</v>
      </c>
      <c r="C3712" t="s">
        <v>33</v>
      </c>
      <c r="D3712">
        <v>100</v>
      </c>
      <c r="E3712" t="s">
        <v>197</v>
      </c>
      <c r="F3712">
        <v>1005</v>
      </c>
      <c r="G3712" t="s">
        <v>33</v>
      </c>
      <c r="H3712">
        <v>2005</v>
      </c>
      <c r="I3712" t="s">
        <v>33</v>
      </c>
      <c r="J3712">
        <v>3016</v>
      </c>
      <c r="K3712" t="s">
        <v>1599</v>
      </c>
      <c r="L3712">
        <v>4270</v>
      </c>
      <c r="M3712" t="s">
        <v>1603</v>
      </c>
      <c r="N3712" t="s">
        <v>1172</v>
      </c>
      <c r="O3712">
        <v>44</v>
      </c>
      <c r="P3712">
        <v>2150</v>
      </c>
      <c r="Q3712" t="s">
        <v>1173</v>
      </c>
      <c r="R3712" t="s">
        <v>201</v>
      </c>
      <c r="S3712">
        <v>2</v>
      </c>
      <c r="T3712">
        <v>1</v>
      </c>
      <c r="U3712">
        <v>102540</v>
      </c>
      <c r="V3712">
        <v>205080</v>
      </c>
    </row>
    <row r="3713" spans="1:22">
      <c r="A3713" t="s">
        <v>196</v>
      </c>
      <c r="B3713">
        <v>67</v>
      </c>
      <c r="C3713" t="s">
        <v>33</v>
      </c>
      <c r="D3713">
        <v>100</v>
      </c>
      <c r="E3713" t="s">
        <v>197</v>
      </c>
      <c r="F3713">
        <v>1005</v>
      </c>
      <c r="G3713" t="s">
        <v>33</v>
      </c>
      <c r="H3713">
        <v>2005</v>
      </c>
      <c r="I3713" t="s">
        <v>33</v>
      </c>
      <c r="J3713">
        <v>3016</v>
      </c>
      <c r="K3713" t="s">
        <v>1599</v>
      </c>
      <c r="L3713">
        <v>4270</v>
      </c>
      <c r="M3713" t="s">
        <v>1603</v>
      </c>
      <c r="N3713" t="s">
        <v>1172</v>
      </c>
      <c r="O3713">
        <v>44</v>
      </c>
      <c r="P3713">
        <v>2150</v>
      </c>
      <c r="Q3713" t="s">
        <v>1173</v>
      </c>
      <c r="R3713" t="s">
        <v>201</v>
      </c>
      <c r="S3713">
        <v>2</v>
      </c>
      <c r="T3713">
        <v>1</v>
      </c>
      <c r="U3713">
        <v>97932</v>
      </c>
      <c r="V3713">
        <v>195864</v>
      </c>
    </row>
    <row r="3714" spans="1:22">
      <c r="A3714" t="s">
        <v>196</v>
      </c>
      <c r="B3714">
        <v>67</v>
      </c>
      <c r="C3714" t="s">
        <v>33</v>
      </c>
      <c r="D3714">
        <v>100</v>
      </c>
      <c r="E3714" t="s">
        <v>197</v>
      </c>
      <c r="F3714">
        <v>1005</v>
      </c>
      <c r="G3714" t="s">
        <v>33</v>
      </c>
      <c r="H3714">
        <v>2005</v>
      </c>
      <c r="I3714" t="s">
        <v>33</v>
      </c>
      <c r="J3714">
        <v>3016</v>
      </c>
      <c r="K3714" t="s">
        <v>1599</v>
      </c>
      <c r="L3714">
        <v>4270</v>
      </c>
      <c r="M3714" t="s">
        <v>1603</v>
      </c>
      <c r="N3714" t="s">
        <v>1172</v>
      </c>
      <c r="O3714">
        <v>44</v>
      </c>
      <c r="P3714">
        <v>2150</v>
      </c>
      <c r="Q3714" t="s">
        <v>1173</v>
      </c>
      <c r="R3714" t="s">
        <v>201</v>
      </c>
      <c r="S3714">
        <v>6</v>
      </c>
      <c r="T3714">
        <v>1</v>
      </c>
      <c r="U3714">
        <v>93468</v>
      </c>
      <c r="V3714">
        <v>560808</v>
      </c>
    </row>
    <row r="3715" spans="1:22">
      <c r="A3715" t="s">
        <v>196</v>
      </c>
      <c r="B3715">
        <v>67</v>
      </c>
      <c r="C3715" t="s">
        <v>33</v>
      </c>
      <c r="D3715">
        <v>100</v>
      </c>
      <c r="E3715" t="s">
        <v>197</v>
      </c>
      <c r="F3715">
        <v>1005</v>
      </c>
      <c r="G3715" t="s">
        <v>33</v>
      </c>
      <c r="H3715">
        <v>2005</v>
      </c>
      <c r="I3715" t="s">
        <v>33</v>
      </c>
      <c r="J3715">
        <v>3016</v>
      </c>
      <c r="K3715" t="s">
        <v>1599</v>
      </c>
      <c r="L3715">
        <v>4270</v>
      </c>
      <c r="M3715" t="s">
        <v>1603</v>
      </c>
      <c r="N3715" t="s">
        <v>372</v>
      </c>
      <c r="O3715">
        <v>4</v>
      </c>
      <c r="P3715">
        <v>1912</v>
      </c>
      <c r="Q3715" t="s">
        <v>608</v>
      </c>
      <c r="R3715" t="s">
        <v>201</v>
      </c>
      <c r="S3715">
        <v>1</v>
      </c>
      <c r="T3715">
        <v>1</v>
      </c>
      <c r="U3715">
        <v>124848</v>
      </c>
      <c r="V3715">
        <v>124848</v>
      </c>
    </row>
    <row r="3716" spans="1:22">
      <c r="A3716" t="s">
        <v>196</v>
      </c>
      <c r="B3716">
        <v>67</v>
      </c>
      <c r="C3716" t="s">
        <v>33</v>
      </c>
      <c r="D3716">
        <v>100</v>
      </c>
      <c r="E3716" t="s">
        <v>197</v>
      </c>
      <c r="F3716">
        <v>1005</v>
      </c>
      <c r="G3716" t="s">
        <v>33</v>
      </c>
      <c r="H3716">
        <v>2005</v>
      </c>
      <c r="I3716" t="s">
        <v>33</v>
      </c>
      <c r="J3716">
        <v>3016</v>
      </c>
      <c r="K3716" t="s">
        <v>1599</v>
      </c>
      <c r="L3716">
        <v>4270</v>
      </c>
      <c r="M3716" t="s">
        <v>1603</v>
      </c>
      <c r="N3716" t="s">
        <v>622</v>
      </c>
      <c r="O3716">
        <v>1</v>
      </c>
      <c r="P3716" t="s">
        <v>667</v>
      </c>
      <c r="Q3716" t="s">
        <v>205</v>
      </c>
      <c r="R3716" t="s">
        <v>201</v>
      </c>
      <c r="S3716">
        <v>1</v>
      </c>
      <c r="T3716">
        <v>1</v>
      </c>
      <c r="U3716">
        <v>90144</v>
      </c>
      <c r="V3716">
        <v>90144</v>
      </c>
    </row>
    <row r="3717" spans="1:22">
      <c r="A3717" t="s">
        <v>196</v>
      </c>
      <c r="B3717">
        <v>67</v>
      </c>
      <c r="C3717" t="s">
        <v>33</v>
      </c>
      <c r="D3717">
        <v>100</v>
      </c>
      <c r="E3717" t="s">
        <v>197</v>
      </c>
      <c r="F3717">
        <v>1005</v>
      </c>
      <c r="G3717" t="s">
        <v>33</v>
      </c>
      <c r="H3717">
        <v>2005</v>
      </c>
      <c r="I3717" t="s">
        <v>33</v>
      </c>
      <c r="J3717">
        <v>3016</v>
      </c>
      <c r="K3717" t="s">
        <v>1599</v>
      </c>
      <c r="L3717">
        <v>4270</v>
      </c>
      <c r="M3717" t="s">
        <v>1603</v>
      </c>
      <c r="N3717" t="s">
        <v>199</v>
      </c>
      <c r="O3717">
        <v>0</v>
      </c>
      <c r="P3717">
        <v>15</v>
      </c>
      <c r="Q3717" t="s">
        <v>264</v>
      </c>
      <c r="R3717" t="s">
        <v>201</v>
      </c>
      <c r="S3717">
        <v>0</v>
      </c>
      <c r="T3717">
        <v>0</v>
      </c>
      <c r="U3717">
        <v>31126</v>
      </c>
      <c r="V3717">
        <v>31126</v>
      </c>
    </row>
    <row r="3718" spans="1:22">
      <c r="A3718" t="s">
        <v>196</v>
      </c>
      <c r="B3718">
        <v>67</v>
      </c>
      <c r="C3718" t="s">
        <v>33</v>
      </c>
      <c r="D3718">
        <v>100</v>
      </c>
      <c r="E3718" t="s">
        <v>197</v>
      </c>
      <c r="F3718">
        <v>1005</v>
      </c>
      <c r="G3718" t="s">
        <v>33</v>
      </c>
      <c r="H3718">
        <v>2005</v>
      </c>
      <c r="I3718" t="s">
        <v>33</v>
      </c>
      <c r="J3718">
        <v>3016</v>
      </c>
      <c r="K3718" t="s">
        <v>1599</v>
      </c>
      <c r="L3718">
        <v>4270</v>
      </c>
      <c r="M3718" t="s">
        <v>1603</v>
      </c>
      <c r="N3718" t="s">
        <v>199</v>
      </c>
      <c r="O3718">
        <v>0</v>
      </c>
      <c r="P3718">
        <v>12</v>
      </c>
      <c r="Q3718" t="s">
        <v>724</v>
      </c>
      <c r="R3718" t="s">
        <v>201</v>
      </c>
      <c r="S3718">
        <v>0</v>
      </c>
      <c r="T3718">
        <v>0</v>
      </c>
      <c r="U3718">
        <v>1821</v>
      </c>
      <c r="V3718">
        <v>1821</v>
      </c>
    </row>
    <row r="3719" spans="1:22">
      <c r="A3719" t="s">
        <v>196</v>
      </c>
      <c r="B3719">
        <v>67</v>
      </c>
      <c r="C3719" t="s">
        <v>33</v>
      </c>
      <c r="D3719">
        <v>100</v>
      </c>
      <c r="E3719" t="s">
        <v>197</v>
      </c>
      <c r="F3719">
        <v>1005</v>
      </c>
      <c r="G3719" t="s">
        <v>33</v>
      </c>
      <c r="H3719">
        <v>2005</v>
      </c>
      <c r="I3719" t="s">
        <v>33</v>
      </c>
      <c r="J3719">
        <v>3016</v>
      </c>
      <c r="K3719" t="s">
        <v>1599</v>
      </c>
      <c r="L3719">
        <v>4272</v>
      </c>
      <c r="M3719" t="s">
        <v>1605</v>
      </c>
      <c r="N3719" t="s">
        <v>1170</v>
      </c>
      <c r="O3719">
        <v>44</v>
      </c>
      <c r="P3719">
        <v>2151</v>
      </c>
      <c r="Q3719" t="s">
        <v>1171</v>
      </c>
      <c r="R3719" t="s">
        <v>201</v>
      </c>
      <c r="S3719">
        <v>1</v>
      </c>
      <c r="T3719">
        <v>1</v>
      </c>
      <c r="U3719">
        <v>157296</v>
      </c>
      <c r="V3719">
        <v>157296</v>
      </c>
    </row>
    <row r="3720" spans="1:22">
      <c r="A3720" t="s">
        <v>196</v>
      </c>
      <c r="B3720">
        <v>67</v>
      </c>
      <c r="C3720" t="s">
        <v>33</v>
      </c>
      <c r="D3720">
        <v>100</v>
      </c>
      <c r="E3720" t="s">
        <v>197</v>
      </c>
      <c r="F3720">
        <v>1005</v>
      </c>
      <c r="G3720" t="s">
        <v>33</v>
      </c>
      <c r="H3720">
        <v>2005</v>
      </c>
      <c r="I3720" t="s">
        <v>33</v>
      </c>
      <c r="J3720">
        <v>3016</v>
      </c>
      <c r="K3720" t="s">
        <v>1599</v>
      </c>
      <c r="L3720">
        <v>4272</v>
      </c>
      <c r="M3720" t="s">
        <v>1605</v>
      </c>
      <c r="N3720" t="s">
        <v>1170</v>
      </c>
      <c r="O3720">
        <v>44</v>
      </c>
      <c r="P3720">
        <v>2151</v>
      </c>
      <c r="Q3720" t="s">
        <v>1171</v>
      </c>
      <c r="R3720" t="s">
        <v>201</v>
      </c>
      <c r="S3720">
        <v>1</v>
      </c>
      <c r="T3720">
        <v>1</v>
      </c>
      <c r="U3720">
        <v>136872</v>
      </c>
      <c r="V3720">
        <v>136872</v>
      </c>
    </row>
    <row r="3721" spans="1:22">
      <c r="A3721" t="s">
        <v>196</v>
      </c>
      <c r="B3721">
        <v>67</v>
      </c>
      <c r="C3721" t="s">
        <v>33</v>
      </c>
      <c r="D3721">
        <v>100</v>
      </c>
      <c r="E3721" t="s">
        <v>197</v>
      </c>
      <c r="F3721">
        <v>1005</v>
      </c>
      <c r="G3721" t="s">
        <v>33</v>
      </c>
      <c r="H3721">
        <v>2005</v>
      </c>
      <c r="I3721" t="s">
        <v>33</v>
      </c>
      <c r="J3721">
        <v>3016</v>
      </c>
      <c r="K3721" t="s">
        <v>1599</v>
      </c>
      <c r="L3721">
        <v>4272</v>
      </c>
      <c r="M3721" t="s">
        <v>1605</v>
      </c>
      <c r="N3721" t="s">
        <v>1172</v>
      </c>
      <c r="O3721">
        <v>44</v>
      </c>
      <c r="P3721">
        <v>2150</v>
      </c>
      <c r="Q3721" t="s">
        <v>1173</v>
      </c>
      <c r="R3721" t="s">
        <v>201</v>
      </c>
      <c r="S3721">
        <v>1</v>
      </c>
      <c r="T3721">
        <v>1</v>
      </c>
      <c r="U3721">
        <v>157296</v>
      </c>
      <c r="V3721">
        <v>157296</v>
      </c>
    </row>
    <row r="3722" spans="1:22">
      <c r="A3722" t="s">
        <v>196</v>
      </c>
      <c r="B3722">
        <v>67</v>
      </c>
      <c r="C3722" t="s">
        <v>33</v>
      </c>
      <c r="D3722">
        <v>100</v>
      </c>
      <c r="E3722" t="s">
        <v>197</v>
      </c>
      <c r="F3722">
        <v>1005</v>
      </c>
      <c r="G3722" t="s">
        <v>33</v>
      </c>
      <c r="H3722">
        <v>2005</v>
      </c>
      <c r="I3722" t="s">
        <v>33</v>
      </c>
      <c r="J3722">
        <v>3016</v>
      </c>
      <c r="K3722" t="s">
        <v>1599</v>
      </c>
      <c r="L3722">
        <v>4272</v>
      </c>
      <c r="M3722" t="s">
        <v>1605</v>
      </c>
      <c r="N3722" t="s">
        <v>1172</v>
      </c>
      <c r="O3722">
        <v>44</v>
      </c>
      <c r="P3722">
        <v>2150</v>
      </c>
      <c r="Q3722" t="s">
        <v>1173</v>
      </c>
      <c r="R3722" t="s">
        <v>201</v>
      </c>
      <c r="S3722">
        <v>1</v>
      </c>
      <c r="T3722">
        <v>1</v>
      </c>
      <c r="U3722">
        <v>150180</v>
      </c>
      <c r="V3722">
        <v>150180</v>
      </c>
    </row>
    <row r="3723" spans="1:22">
      <c r="A3723" t="s">
        <v>196</v>
      </c>
      <c r="B3723">
        <v>67</v>
      </c>
      <c r="C3723" t="s">
        <v>33</v>
      </c>
      <c r="D3723">
        <v>100</v>
      </c>
      <c r="E3723" t="s">
        <v>197</v>
      </c>
      <c r="F3723">
        <v>1005</v>
      </c>
      <c r="G3723" t="s">
        <v>33</v>
      </c>
      <c r="H3723">
        <v>2005</v>
      </c>
      <c r="I3723" t="s">
        <v>33</v>
      </c>
      <c r="J3723">
        <v>3016</v>
      </c>
      <c r="K3723" t="s">
        <v>1599</v>
      </c>
      <c r="L3723">
        <v>4272</v>
      </c>
      <c r="M3723" t="s">
        <v>1605</v>
      </c>
      <c r="N3723" t="s">
        <v>1172</v>
      </c>
      <c r="O3723">
        <v>44</v>
      </c>
      <c r="P3723">
        <v>2150</v>
      </c>
      <c r="Q3723" t="s">
        <v>1173</v>
      </c>
      <c r="R3723" t="s">
        <v>201</v>
      </c>
      <c r="S3723">
        <v>1</v>
      </c>
      <c r="T3723">
        <v>1</v>
      </c>
      <c r="U3723">
        <v>136872</v>
      </c>
      <c r="V3723">
        <v>136872</v>
      </c>
    </row>
    <row r="3724" spans="1:22">
      <c r="A3724" t="s">
        <v>196</v>
      </c>
      <c r="B3724">
        <v>67</v>
      </c>
      <c r="C3724" t="s">
        <v>33</v>
      </c>
      <c r="D3724">
        <v>100</v>
      </c>
      <c r="E3724" t="s">
        <v>197</v>
      </c>
      <c r="F3724">
        <v>1005</v>
      </c>
      <c r="G3724" t="s">
        <v>33</v>
      </c>
      <c r="H3724">
        <v>2005</v>
      </c>
      <c r="I3724" t="s">
        <v>33</v>
      </c>
      <c r="J3724">
        <v>3016</v>
      </c>
      <c r="K3724" t="s">
        <v>1599</v>
      </c>
      <c r="L3724">
        <v>4272</v>
      </c>
      <c r="M3724" t="s">
        <v>1605</v>
      </c>
      <c r="N3724" t="s">
        <v>1172</v>
      </c>
      <c r="O3724">
        <v>44</v>
      </c>
      <c r="P3724">
        <v>2150</v>
      </c>
      <c r="Q3724" t="s">
        <v>1173</v>
      </c>
      <c r="R3724" t="s">
        <v>201</v>
      </c>
      <c r="S3724">
        <v>2</v>
      </c>
      <c r="T3724">
        <v>1</v>
      </c>
      <c r="U3724">
        <v>119052</v>
      </c>
      <c r="V3724">
        <v>238104</v>
      </c>
    </row>
    <row r="3725" spans="1:22">
      <c r="A3725" t="s">
        <v>196</v>
      </c>
      <c r="B3725">
        <v>67</v>
      </c>
      <c r="C3725" t="s">
        <v>33</v>
      </c>
      <c r="D3725">
        <v>100</v>
      </c>
      <c r="E3725" t="s">
        <v>197</v>
      </c>
      <c r="F3725">
        <v>1005</v>
      </c>
      <c r="G3725" t="s">
        <v>33</v>
      </c>
      <c r="H3725">
        <v>2005</v>
      </c>
      <c r="I3725" t="s">
        <v>33</v>
      </c>
      <c r="J3725">
        <v>3016</v>
      </c>
      <c r="K3725" t="s">
        <v>1599</v>
      </c>
      <c r="L3725">
        <v>4272</v>
      </c>
      <c r="M3725" t="s">
        <v>1605</v>
      </c>
      <c r="N3725" t="s">
        <v>199</v>
      </c>
      <c r="O3725">
        <v>0</v>
      </c>
      <c r="P3725">
        <v>15</v>
      </c>
      <c r="Q3725" t="s">
        <v>264</v>
      </c>
      <c r="R3725" t="s">
        <v>201</v>
      </c>
      <c r="S3725">
        <v>0</v>
      </c>
      <c r="T3725">
        <v>0</v>
      </c>
      <c r="U3725">
        <v>2882</v>
      </c>
      <c r="V3725">
        <v>2882</v>
      </c>
    </row>
    <row r="3726" spans="1:22">
      <c r="A3726" t="s">
        <v>196</v>
      </c>
      <c r="B3726">
        <v>67</v>
      </c>
      <c r="C3726" t="s">
        <v>33</v>
      </c>
      <c r="D3726">
        <v>100</v>
      </c>
      <c r="E3726" t="s">
        <v>197</v>
      </c>
      <c r="F3726">
        <v>1005</v>
      </c>
      <c r="G3726" t="s">
        <v>33</v>
      </c>
      <c r="H3726">
        <v>2005</v>
      </c>
      <c r="I3726" t="s">
        <v>33</v>
      </c>
      <c r="J3726">
        <v>3017</v>
      </c>
      <c r="K3726" t="s">
        <v>1606</v>
      </c>
      <c r="L3726">
        <v>0</v>
      </c>
      <c r="N3726" t="s">
        <v>274</v>
      </c>
      <c r="O3726">
        <v>0</v>
      </c>
      <c r="P3726">
        <v>2120</v>
      </c>
      <c r="Q3726" t="s">
        <v>1607</v>
      </c>
      <c r="R3726" t="s">
        <v>201</v>
      </c>
      <c r="S3726">
        <v>1</v>
      </c>
      <c r="T3726">
        <v>1</v>
      </c>
      <c r="U3726">
        <v>158508</v>
      </c>
      <c r="V3726">
        <v>158508</v>
      </c>
    </row>
    <row r="3727" spans="1:22">
      <c r="A3727" t="s">
        <v>196</v>
      </c>
      <c r="B3727">
        <v>67</v>
      </c>
      <c r="C3727" t="s">
        <v>33</v>
      </c>
      <c r="D3727">
        <v>100</v>
      </c>
      <c r="E3727" t="s">
        <v>197</v>
      </c>
      <c r="F3727">
        <v>1005</v>
      </c>
      <c r="G3727" t="s">
        <v>33</v>
      </c>
      <c r="H3727">
        <v>2005</v>
      </c>
      <c r="I3727" t="s">
        <v>33</v>
      </c>
      <c r="J3727">
        <v>3017</v>
      </c>
      <c r="K3727" t="s">
        <v>1606</v>
      </c>
      <c r="L3727">
        <v>0</v>
      </c>
      <c r="N3727" t="s">
        <v>341</v>
      </c>
      <c r="O3727">
        <v>1</v>
      </c>
      <c r="P3727">
        <v>308</v>
      </c>
      <c r="Q3727" t="s">
        <v>355</v>
      </c>
      <c r="R3727" t="s">
        <v>201</v>
      </c>
      <c r="S3727">
        <v>1</v>
      </c>
      <c r="T3727">
        <v>1</v>
      </c>
      <c r="U3727">
        <v>108576</v>
      </c>
      <c r="V3727">
        <v>108576</v>
      </c>
    </row>
    <row r="3728" spans="1:22">
      <c r="A3728" t="s">
        <v>196</v>
      </c>
      <c r="B3728">
        <v>67</v>
      </c>
      <c r="C3728" t="s">
        <v>33</v>
      </c>
      <c r="D3728">
        <v>100</v>
      </c>
      <c r="E3728" t="s">
        <v>197</v>
      </c>
      <c r="F3728">
        <v>1005</v>
      </c>
      <c r="G3728" t="s">
        <v>33</v>
      </c>
      <c r="H3728">
        <v>2005</v>
      </c>
      <c r="I3728" t="s">
        <v>33</v>
      </c>
      <c r="J3728">
        <v>3017</v>
      </c>
      <c r="K3728" t="s">
        <v>1606</v>
      </c>
      <c r="L3728">
        <v>0</v>
      </c>
      <c r="N3728" t="s">
        <v>199</v>
      </c>
      <c r="O3728">
        <v>0</v>
      </c>
      <c r="P3728">
        <v>15</v>
      </c>
      <c r="Q3728" t="s">
        <v>264</v>
      </c>
      <c r="R3728" t="s">
        <v>201</v>
      </c>
      <c r="S3728">
        <v>0</v>
      </c>
      <c r="T3728">
        <v>0</v>
      </c>
      <c r="U3728">
        <v>2429</v>
      </c>
      <c r="V3728">
        <v>2429</v>
      </c>
    </row>
    <row r="3729" spans="1:22">
      <c r="A3729" t="s">
        <v>196</v>
      </c>
      <c r="B3729">
        <v>67</v>
      </c>
      <c r="C3729" t="s">
        <v>33</v>
      </c>
      <c r="D3729">
        <v>100</v>
      </c>
      <c r="E3729" t="s">
        <v>197</v>
      </c>
      <c r="F3729">
        <v>1005</v>
      </c>
      <c r="G3729" t="s">
        <v>33</v>
      </c>
      <c r="H3729">
        <v>2005</v>
      </c>
      <c r="I3729" t="s">
        <v>33</v>
      </c>
      <c r="J3729">
        <v>3025</v>
      </c>
      <c r="K3729" t="s">
        <v>1608</v>
      </c>
      <c r="L3729">
        <v>4076</v>
      </c>
      <c r="M3729" t="s">
        <v>1609</v>
      </c>
      <c r="N3729" t="s">
        <v>1601</v>
      </c>
      <c r="O3729">
        <v>44</v>
      </c>
      <c r="P3729">
        <v>2152</v>
      </c>
      <c r="Q3729" t="s">
        <v>1602</v>
      </c>
      <c r="R3729" t="s">
        <v>201</v>
      </c>
      <c r="S3729">
        <v>1</v>
      </c>
      <c r="T3729">
        <v>1</v>
      </c>
      <c r="U3729">
        <v>107136</v>
      </c>
      <c r="V3729">
        <v>107136</v>
      </c>
    </row>
    <row r="3730" spans="1:22">
      <c r="A3730" t="s">
        <v>196</v>
      </c>
      <c r="B3730">
        <v>67</v>
      </c>
      <c r="C3730" t="s">
        <v>33</v>
      </c>
      <c r="D3730">
        <v>100</v>
      </c>
      <c r="E3730" t="s">
        <v>197</v>
      </c>
      <c r="F3730">
        <v>1005</v>
      </c>
      <c r="G3730" t="s">
        <v>33</v>
      </c>
      <c r="H3730">
        <v>2005</v>
      </c>
      <c r="I3730" t="s">
        <v>33</v>
      </c>
      <c r="J3730">
        <v>3025</v>
      </c>
      <c r="K3730" t="s">
        <v>1608</v>
      </c>
      <c r="L3730">
        <v>4076</v>
      </c>
      <c r="M3730" t="s">
        <v>1609</v>
      </c>
      <c r="N3730" t="s">
        <v>1170</v>
      </c>
      <c r="O3730">
        <v>44</v>
      </c>
      <c r="P3730">
        <v>2151</v>
      </c>
      <c r="Q3730" t="s">
        <v>1171</v>
      </c>
      <c r="R3730" t="s">
        <v>201</v>
      </c>
      <c r="S3730">
        <v>2</v>
      </c>
      <c r="T3730">
        <v>1</v>
      </c>
      <c r="U3730">
        <v>172572</v>
      </c>
      <c r="V3730">
        <v>345144</v>
      </c>
    </row>
    <row r="3731" spans="1:22">
      <c r="A3731" t="s">
        <v>196</v>
      </c>
      <c r="B3731">
        <v>67</v>
      </c>
      <c r="C3731" t="s">
        <v>33</v>
      </c>
      <c r="D3731">
        <v>100</v>
      </c>
      <c r="E3731" t="s">
        <v>197</v>
      </c>
      <c r="F3731">
        <v>1005</v>
      </c>
      <c r="G3731" t="s">
        <v>33</v>
      </c>
      <c r="H3731">
        <v>2005</v>
      </c>
      <c r="I3731" t="s">
        <v>33</v>
      </c>
      <c r="J3731">
        <v>3025</v>
      </c>
      <c r="K3731" t="s">
        <v>1608</v>
      </c>
      <c r="L3731">
        <v>4076</v>
      </c>
      <c r="M3731" t="s">
        <v>1609</v>
      </c>
      <c r="N3731" t="s">
        <v>1172</v>
      </c>
      <c r="O3731">
        <v>44</v>
      </c>
      <c r="P3731">
        <v>2150</v>
      </c>
      <c r="Q3731" t="s">
        <v>1173</v>
      </c>
      <c r="R3731" t="s">
        <v>201</v>
      </c>
      <c r="S3731">
        <v>6</v>
      </c>
      <c r="T3731">
        <v>1</v>
      </c>
      <c r="U3731">
        <v>157296</v>
      </c>
      <c r="V3731">
        <v>943776</v>
      </c>
    </row>
    <row r="3732" spans="1:22">
      <c r="A3732" t="s">
        <v>196</v>
      </c>
      <c r="B3732">
        <v>67</v>
      </c>
      <c r="C3732" t="s">
        <v>33</v>
      </c>
      <c r="D3732">
        <v>100</v>
      </c>
      <c r="E3732" t="s">
        <v>197</v>
      </c>
      <c r="F3732">
        <v>1005</v>
      </c>
      <c r="G3732" t="s">
        <v>33</v>
      </c>
      <c r="H3732">
        <v>2005</v>
      </c>
      <c r="I3732" t="s">
        <v>33</v>
      </c>
      <c r="J3732">
        <v>3025</v>
      </c>
      <c r="K3732" t="s">
        <v>1608</v>
      </c>
      <c r="L3732">
        <v>4076</v>
      </c>
      <c r="M3732" t="s">
        <v>1609</v>
      </c>
      <c r="N3732" t="s">
        <v>1172</v>
      </c>
      <c r="O3732">
        <v>44</v>
      </c>
      <c r="P3732">
        <v>2150</v>
      </c>
      <c r="Q3732" t="s">
        <v>1173</v>
      </c>
      <c r="R3732" t="s">
        <v>201</v>
      </c>
      <c r="S3732">
        <v>1</v>
      </c>
      <c r="T3732">
        <v>1</v>
      </c>
      <c r="U3732">
        <v>150180</v>
      </c>
      <c r="V3732">
        <v>150180</v>
      </c>
    </row>
    <row r="3733" spans="1:22">
      <c r="A3733" t="s">
        <v>196</v>
      </c>
      <c r="B3733">
        <v>67</v>
      </c>
      <c r="C3733" t="s">
        <v>33</v>
      </c>
      <c r="D3733">
        <v>100</v>
      </c>
      <c r="E3733" t="s">
        <v>197</v>
      </c>
      <c r="F3733">
        <v>1005</v>
      </c>
      <c r="G3733" t="s">
        <v>33</v>
      </c>
      <c r="H3733">
        <v>2005</v>
      </c>
      <c r="I3733" t="s">
        <v>33</v>
      </c>
      <c r="J3733">
        <v>3025</v>
      </c>
      <c r="K3733" t="s">
        <v>1608</v>
      </c>
      <c r="L3733">
        <v>4076</v>
      </c>
      <c r="M3733" t="s">
        <v>1609</v>
      </c>
      <c r="N3733" t="s">
        <v>1172</v>
      </c>
      <c r="O3733">
        <v>44</v>
      </c>
      <c r="P3733">
        <v>2150</v>
      </c>
      <c r="Q3733" t="s">
        <v>1173</v>
      </c>
      <c r="R3733" t="s">
        <v>201</v>
      </c>
      <c r="S3733">
        <v>1</v>
      </c>
      <c r="T3733">
        <v>1</v>
      </c>
      <c r="U3733">
        <v>143352</v>
      </c>
      <c r="V3733">
        <v>143352</v>
      </c>
    </row>
    <row r="3734" spans="1:22">
      <c r="A3734" t="s">
        <v>196</v>
      </c>
      <c r="B3734">
        <v>67</v>
      </c>
      <c r="C3734" t="s">
        <v>33</v>
      </c>
      <c r="D3734">
        <v>100</v>
      </c>
      <c r="E3734" t="s">
        <v>197</v>
      </c>
      <c r="F3734">
        <v>1005</v>
      </c>
      <c r="G3734" t="s">
        <v>33</v>
      </c>
      <c r="H3734">
        <v>2005</v>
      </c>
      <c r="I3734" t="s">
        <v>33</v>
      </c>
      <c r="J3734">
        <v>3025</v>
      </c>
      <c r="K3734" t="s">
        <v>1608</v>
      </c>
      <c r="L3734">
        <v>4076</v>
      </c>
      <c r="M3734" t="s">
        <v>1609</v>
      </c>
      <c r="N3734" t="s">
        <v>1172</v>
      </c>
      <c r="O3734">
        <v>44</v>
      </c>
      <c r="P3734">
        <v>2150</v>
      </c>
      <c r="Q3734" t="s">
        <v>1173</v>
      </c>
      <c r="R3734" t="s">
        <v>201</v>
      </c>
      <c r="S3734">
        <v>2</v>
      </c>
      <c r="T3734">
        <v>1</v>
      </c>
      <c r="U3734">
        <v>124740</v>
      </c>
      <c r="V3734">
        <v>249480</v>
      </c>
    </row>
    <row r="3735" spans="1:22">
      <c r="A3735" t="s">
        <v>196</v>
      </c>
      <c r="B3735">
        <v>67</v>
      </c>
      <c r="C3735" t="s">
        <v>33</v>
      </c>
      <c r="D3735">
        <v>100</v>
      </c>
      <c r="E3735" t="s">
        <v>197</v>
      </c>
      <c r="F3735">
        <v>1005</v>
      </c>
      <c r="G3735" t="s">
        <v>33</v>
      </c>
      <c r="H3735">
        <v>2005</v>
      </c>
      <c r="I3735" t="s">
        <v>33</v>
      </c>
      <c r="J3735">
        <v>3025</v>
      </c>
      <c r="K3735" t="s">
        <v>1608</v>
      </c>
      <c r="L3735">
        <v>4076</v>
      </c>
      <c r="M3735" t="s">
        <v>1609</v>
      </c>
      <c r="N3735" t="s">
        <v>1172</v>
      </c>
      <c r="O3735">
        <v>44</v>
      </c>
      <c r="P3735">
        <v>2150</v>
      </c>
      <c r="Q3735" t="s">
        <v>1173</v>
      </c>
      <c r="R3735" t="s">
        <v>201</v>
      </c>
      <c r="S3735">
        <v>3</v>
      </c>
      <c r="T3735">
        <v>1</v>
      </c>
      <c r="U3735">
        <v>119052</v>
      </c>
      <c r="V3735">
        <v>357156</v>
      </c>
    </row>
    <row r="3736" spans="1:22">
      <c r="A3736" t="s">
        <v>196</v>
      </c>
      <c r="B3736">
        <v>67</v>
      </c>
      <c r="C3736" t="s">
        <v>33</v>
      </c>
      <c r="D3736">
        <v>100</v>
      </c>
      <c r="E3736" t="s">
        <v>197</v>
      </c>
      <c r="F3736">
        <v>1005</v>
      </c>
      <c r="G3736" t="s">
        <v>33</v>
      </c>
      <c r="H3736">
        <v>2005</v>
      </c>
      <c r="I3736" t="s">
        <v>33</v>
      </c>
      <c r="J3736">
        <v>3025</v>
      </c>
      <c r="K3736" t="s">
        <v>1608</v>
      </c>
      <c r="L3736">
        <v>4076</v>
      </c>
      <c r="M3736" t="s">
        <v>1609</v>
      </c>
      <c r="N3736" t="s">
        <v>1172</v>
      </c>
      <c r="O3736">
        <v>44</v>
      </c>
      <c r="P3736">
        <v>2150</v>
      </c>
      <c r="Q3736" t="s">
        <v>1173</v>
      </c>
      <c r="R3736" t="s">
        <v>201</v>
      </c>
      <c r="S3736">
        <v>1</v>
      </c>
      <c r="T3736">
        <v>1</v>
      </c>
      <c r="U3736">
        <v>102540</v>
      </c>
      <c r="V3736">
        <v>102540</v>
      </c>
    </row>
    <row r="3737" spans="1:22">
      <c r="A3737" t="s">
        <v>196</v>
      </c>
      <c r="B3737">
        <v>67</v>
      </c>
      <c r="C3737" t="s">
        <v>33</v>
      </c>
      <c r="D3737">
        <v>100</v>
      </c>
      <c r="E3737" t="s">
        <v>197</v>
      </c>
      <c r="F3737">
        <v>1005</v>
      </c>
      <c r="G3737" t="s">
        <v>33</v>
      </c>
      <c r="H3737">
        <v>2005</v>
      </c>
      <c r="I3737" t="s">
        <v>33</v>
      </c>
      <c r="J3737">
        <v>3025</v>
      </c>
      <c r="K3737" t="s">
        <v>1608</v>
      </c>
      <c r="L3737">
        <v>4076</v>
      </c>
      <c r="M3737" t="s">
        <v>1609</v>
      </c>
      <c r="N3737" t="s">
        <v>1172</v>
      </c>
      <c r="O3737">
        <v>44</v>
      </c>
      <c r="P3737">
        <v>2150</v>
      </c>
      <c r="Q3737" t="s">
        <v>1173</v>
      </c>
      <c r="R3737" t="s">
        <v>201</v>
      </c>
      <c r="S3737">
        <v>1</v>
      </c>
      <c r="T3737">
        <v>1</v>
      </c>
      <c r="U3737">
        <v>97932</v>
      </c>
      <c r="V3737">
        <v>97932</v>
      </c>
    </row>
    <row r="3738" spans="1:22">
      <c r="A3738" t="s">
        <v>196</v>
      </c>
      <c r="B3738">
        <v>67</v>
      </c>
      <c r="C3738" t="s">
        <v>33</v>
      </c>
      <c r="D3738">
        <v>100</v>
      </c>
      <c r="E3738" t="s">
        <v>197</v>
      </c>
      <c r="F3738">
        <v>1005</v>
      </c>
      <c r="G3738" t="s">
        <v>33</v>
      </c>
      <c r="H3738">
        <v>2005</v>
      </c>
      <c r="I3738" t="s">
        <v>33</v>
      </c>
      <c r="J3738">
        <v>3025</v>
      </c>
      <c r="K3738" t="s">
        <v>1608</v>
      </c>
      <c r="L3738">
        <v>4076</v>
      </c>
      <c r="M3738" t="s">
        <v>1609</v>
      </c>
      <c r="N3738" t="s">
        <v>255</v>
      </c>
      <c r="O3738">
        <v>1</v>
      </c>
      <c r="P3738">
        <v>1302</v>
      </c>
      <c r="Q3738" t="s">
        <v>340</v>
      </c>
      <c r="R3738" t="s">
        <v>201</v>
      </c>
      <c r="S3738">
        <v>1</v>
      </c>
      <c r="T3738">
        <v>1</v>
      </c>
      <c r="U3738">
        <v>143400</v>
      </c>
      <c r="V3738">
        <v>143400</v>
      </c>
    </row>
    <row r="3739" spans="1:22">
      <c r="A3739" t="s">
        <v>196</v>
      </c>
      <c r="B3739">
        <v>67</v>
      </c>
      <c r="C3739" t="s">
        <v>33</v>
      </c>
      <c r="D3739">
        <v>100</v>
      </c>
      <c r="E3739" t="s">
        <v>197</v>
      </c>
      <c r="F3739">
        <v>1005</v>
      </c>
      <c r="G3739" t="s">
        <v>33</v>
      </c>
      <c r="H3739">
        <v>2005</v>
      </c>
      <c r="I3739" t="s">
        <v>33</v>
      </c>
      <c r="J3739">
        <v>3025</v>
      </c>
      <c r="K3739" t="s">
        <v>1608</v>
      </c>
      <c r="L3739">
        <v>4076</v>
      </c>
      <c r="M3739" t="s">
        <v>1609</v>
      </c>
      <c r="N3739" t="s">
        <v>199</v>
      </c>
      <c r="O3739">
        <v>0</v>
      </c>
      <c r="P3739">
        <v>15</v>
      </c>
      <c r="Q3739" t="s">
        <v>264</v>
      </c>
      <c r="R3739" t="s">
        <v>201</v>
      </c>
      <c r="S3739">
        <v>0</v>
      </c>
      <c r="T3739">
        <v>0</v>
      </c>
      <c r="U3739">
        <v>7455</v>
      </c>
      <c r="V3739">
        <v>7455</v>
      </c>
    </row>
    <row r="3740" spans="1:22">
      <c r="A3740" t="s">
        <v>196</v>
      </c>
      <c r="B3740">
        <v>67</v>
      </c>
      <c r="C3740" t="s">
        <v>33</v>
      </c>
      <c r="D3740">
        <v>100</v>
      </c>
      <c r="E3740" t="s">
        <v>197</v>
      </c>
      <c r="F3740">
        <v>1005</v>
      </c>
      <c r="G3740" t="s">
        <v>33</v>
      </c>
      <c r="H3740">
        <v>2005</v>
      </c>
      <c r="I3740" t="s">
        <v>33</v>
      </c>
      <c r="J3740">
        <v>3025</v>
      </c>
      <c r="K3740" t="s">
        <v>1608</v>
      </c>
      <c r="L3740">
        <v>4077</v>
      </c>
      <c r="M3740" t="s">
        <v>1610</v>
      </c>
      <c r="N3740" t="s">
        <v>1601</v>
      </c>
      <c r="O3740">
        <v>44</v>
      </c>
      <c r="P3740">
        <v>2152</v>
      </c>
      <c r="Q3740" t="s">
        <v>1602</v>
      </c>
      <c r="R3740" t="s">
        <v>201</v>
      </c>
      <c r="S3740">
        <v>1</v>
      </c>
      <c r="T3740">
        <v>1</v>
      </c>
      <c r="U3740">
        <v>107136</v>
      </c>
      <c r="V3740">
        <v>107136</v>
      </c>
    </row>
    <row r="3741" spans="1:22">
      <c r="A3741" t="s">
        <v>196</v>
      </c>
      <c r="B3741">
        <v>67</v>
      </c>
      <c r="C3741" t="s">
        <v>33</v>
      </c>
      <c r="D3741">
        <v>100</v>
      </c>
      <c r="E3741" t="s">
        <v>197</v>
      </c>
      <c r="F3741">
        <v>1005</v>
      </c>
      <c r="G3741" t="s">
        <v>33</v>
      </c>
      <c r="H3741">
        <v>2005</v>
      </c>
      <c r="I3741" t="s">
        <v>33</v>
      </c>
      <c r="J3741">
        <v>3025</v>
      </c>
      <c r="K3741" t="s">
        <v>1608</v>
      </c>
      <c r="L3741">
        <v>4077</v>
      </c>
      <c r="M3741" t="s">
        <v>1610</v>
      </c>
      <c r="N3741" t="s">
        <v>1170</v>
      </c>
      <c r="O3741">
        <v>44</v>
      </c>
      <c r="P3741">
        <v>2151</v>
      </c>
      <c r="Q3741" t="s">
        <v>1171</v>
      </c>
      <c r="R3741" t="s">
        <v>201</v>
      </c>
      <c r="S3741">
        <v>1</v>
      </c>
      <c r="T3741">
        <v>1</v>
      </c>
      <c r="U3741">
        <v>157296</v>
      </c>
      <c r="V3741">
        <v>157296</v>
      </c>
    </row>
    <row r="3742" spans="1:22">
      <c r="A3742" t="s">
        <v>196</v>
      </c>
      <c r="B3742">
        <v>67</v>
      </c>
      <c r="C3742" t="s">
        <v>33</v>
      </c>
      <c r="D3742">
        <v>100</v>
      </c>
      <c r="E3742" t="s">
        <v>197</v>
      </c>
      <c r="F3742">
        <v>1005</v>
      </c>
      <c r="G3742" t="s">
        <v>33</v>
      </c>
      <c r="H3742">
        <v>2005</v>
      </c>
      <c r="I3742" t="s">
        <v>33</v>
      </c>
      <c r="J3742">
        <v>3025</v>
      </c>
      <c r="K3742" t="s">
        <v>1608</v>
      </c>
      <c r="L3742">
        <v>4077</v>
      </c>
      <c r="M3742" t="s">
        <v>1610</v>
      </c>
      <c r="N3742" t="s">
        <v>1172</v>
      </c>
      <c r="O3742">
        <v>44</v>
      </c>
      <c r="P3742">
        <v>2150</v>
      </c>
      <c r="Q3742" t="s">
        <v>1173</v>
      </c>
      <c r="R3742" t="s">
        <v>201</v>
      </c>
      <c r="S3742">
        <v>1</v>
      </c>
      <c r="T3742">
        <v>1</v>
      </c>
      <c r="U3742">
        <v>143352</v>
      </c>
      <c r="V3742">
        <v>143352</v>
      </c>
    </row>
    <row r="3743" spans="1:22">
      <c r="A3743" t="s">
        <v>196</v>
      </c>
      <c r="B3743">
        <v>67</v>
      </c>
      <c r="C3743" t="s">
        <v>33</v>
      </c>
      <c r="D3743">
        <v>100</v>
      </c>
      <c r="E3743" t="s">
        <v>197</v>
      </c>
      <c r="F3743">
        <v>1005</v>
      </c>
      <c r="G3743" t="s">
        <v>33</v>
      </c>
      <c r="H3743">
        <v>2005</v>
      </c>
      <c r="I3743" t="s">
        <v>33</v>
      </c>
      <c r="J3743">
        <v>3025</v>
      </c>
      <c r="K3743" t="s">
        <v>1608</v>
      </c>
      <c r="L3743">
        <v>4077</v>
      </c>
      <c r="M3743" t="s">
        <v>1610</v>
      </c>
      <c r="N3743" t="s">
        <v>1172</v>
      </c>
      <c r="O3743">
        <v>44</v>
      </c>
      <c r="P3743">
        <v>2150</v>
      </c>
      <c r="Q3743" t="s">
        <v>1173</v>
      </c>
      <c r="R3743" t="s">
        <v>201</v>
      </c>
      <c r="S3743">
        <v>1</v>
      </c>
      <c r="T3743">
        <v>1</v>
      </c>
      <c r="U3743">
        <v>124740</v>
      </c>
      <c r="V3743">
        <v>124740</v>
      </c>
    </row>
    <row r="3744" spans="1:22">
      <c r="A3744" t="s">
        <v>196</v>
      </c>
      <c r="B3744">
        <v>67</v>
      </c>
      <c r="C3744" t="s">
        <v>33</v>
      </c>
      <c r="D3744">
        <v>100</v>
      </c>
      <c r="E3744" t="s">
        <v>197</v>
      </c>
      <c r="F3744">
        <v>1005</v>
      </c>
      <c r="G3744" t="s">
        <v>33</v>
      </c>
      <c r="H3744">
        <v>2005</v>
      </c>
      <c r="I3744" t="s">
        <v>33</v>
      </c>
      <c r="J3744">
        <v>3025</v>
      </c>
      <c r="K3744" t="s">
        <v>1608</v>
      </c>
      <c r="L3744">
        <v>4077</v>
      </c>
      <c r="M3744" t="s">
        <v>1610</v>
      </c>
      <c r="N3744" t="s">
        <v>1172</v>
      </c>
      <c r="O3744">
        <v>44</v>
      </c>
      <c r="P3744">
        <v>2150</v>
      </c>
      <c r="Q3744" t="s">
        <v>1173</v>
      </c>
      <c r="R3744" t="s">
        <v>201</v>
      </c>
      <c r="S3744">
        <v>1</v>
      </c>
      <c r="T3744">
        <v>1</v>
      </c>
      <c r="U3744">
        <v>107460</v>
      </c>
      <c r="V3744">
        <v>107460</v>
      </c>
    </row>
    <row r="3745" spans="1:22">
      <c r="A3745" t="s">
        <v>196</v>
      </c>
      <c r="B3745">
        <v>67</v>
      </c>
      <c r="C3745" t="s">
        <v>33</v>
      </c>
      <c r="D3745">
        <v>100</v>
      </c>
      <c r="E3745" t="s">
        <v>197</v>
      </c>
      <c r="F3745">
        <v>1005</v>
      </c>
      <c r="G3745" t="s">
        <v>33</v>
      </c>
      <c r="H3745">
        <v>2005</v>
      </c>
      <c r="I3745" t="s">
        <v>33</v>
      </c>
      <c r="J3745">
        <v>3025</v>
      </c>
      <c r="K3745" t="s">
        <v>1608</v>
      </c>
      <c r="L3745">
        <v>4077</v>
      </c>
      <c r="M3745" t="s">
        <v>1610</v>
      </c>
      <c r="N3745" t="s">
        <v>1172</v>
      </c>
      <c r="O3745">
        <v>44</v>
      </c>
      <c r="P3745">
        <v>2150</v>
      </c>
      <c r="Q3745" t="s">
        <v>1173</v>
      </c>
      <c r="R3745" t="s">
        <v>201</v>
      </c>
      <c r="S3745">
        <v>2</v>
      </c>
      <c r="T3745">
        <v>1</v>
      </c>
      <c r="U3745">
        <v>93468</v>
      </c>
      <c r="V3745">
        <v>186936</v>
      </c>
    </row>
    <row r="3746" spans="1:22">
      <c r="A3746" t="s">
        <v>196</v>
      </c>
      <c r="B3746">
        <v>67</v>
      </c>
      <c r="C3746" t="s">
        <v>33</v>
      </c>
      <c r="D3746">
        <v>100</v>
      </c>
      <c r="E3746" t="s">
        <v>197</v>
      </c>
      <c r="F3746">
        <v>1005</v>
      </c>
      <c r="G3746" t="s">
        <v>33</v>
      </c>
      <c r="H3746">
        <v>2005</v>
      </c>
      <c r="I3746" t="s">
        <v>33</v>
      </c>
      <c r="J3746">
        <v>3025</v>
      </c>
      <c r="K3746" t="s">
        <v>1608</v>
      </c>
      <c r="L3746">
        <v>4077</v>
      </c>
      <c r="M3746" t="s">
        <v>1610</v>
      </c>
      <c r="N3746" t="s">
        <v>199</v>
      </c>
      <c r="O3746">
        <v>0</v>
      </c>
      <c r="P3746">
        <v>15</v>
      </c>
      <c r="Q3746" t="s">
        <v>264</v>
      </c>
      <c r="R3746" t="s">
        <v>201</v>
      </c>
      <c r="S3746">
        <v>0</v>
      </c>
      <c r="T3746">
        <v>0</v>
      </c>
      <c r="U3746">
        <v>6918</v>
      </c>
      <c r="V3746">
        <v>6918</v>
      </c>
    </row>
    <row r="3747" spans="1:22">
      <c r="A3747" t="s">
        <v>196</v>
      </c>
      <c r="B3747">
        <v>67</v>
      </c>
      <c r="C3747" t="s">
        <v>33</v>
      </c>
      <c r="D3747">
        <v>100</v>
      </c>
      <c r="E3747" t="s">
        <v>197</v>
      </c>
      <c r="F3747">
        <v>1005</v>
      </c>
      <c r="G3747" t="s">
        <v>33</v>
      </c>
      <c r="H3747">
        <v>2005</v>
      </c>
      <c r="I3747" t="s">
        <v>33</v>
      </c>
      <c r="J3747">
        <v>3025</v>
      </c>
      <c r="K3747" t="s">
        <v>1608</v>
      </c>
      <c r="L3747">
        <v>4085</v>
      </c>
      <c r="M3747" t="s">
        <v>1611</v>
      </c>
      <c r="N3747" t="s">
        <v>216</v>
      </c>
      <c r="O3747">
        <v>20</v>
      </c>
      <c r="P3747">
        <v>5156</v>
      </c>
      <c r="Q3747" t="s">
        <v>1612</v>
      </c>
      <c r="R3747" t="s">
        <v>201</v>
      </c>
      <c r="S3747">
        <v>1</v>
      </c>
      <c r="T3747">
        <v>1</v>
      </c>
      <c r="U3747">
        <v>142116</v>
      </c>
      <c r="V3747">
        <v>142116</v>
      </c>
    </row>
    <row r="3748" spans="1:22">
      <c r="A3748" t="s">
        <v>196</v>
      </c>
      <c r="B3748">
        <v>67</v>
      </c>
      <c r="C3748" t="s">
        <v>33</v>
      </c>
      <c r="D3748">
        <v>100</v>
      </c>
      <c r="E3748" t="s">
        <v>197</v>
      </c>
      <c r="F3748">
        <v>1005</v>
      </c>
      <c r="G3748" t="s">
        <v>33</v>
      </c>
      <c r="H3748">
        <v>2005</v>
      </c>
      <c r="I3748" t="s">
        <v>33</v>
      </c>
      <c r="J3748">
        <v>3025</v>
      </c>
      <c r="K3748" t="s">
        <v>1608</v>
      </c>
      <c r="L3748">
        <v>4085</v>
      </c>
      <c r="M3748" t="s">
        <v>1611</v>
      </c>
      <c r="N3748" t="s">
        <v>721</v>
      </c>
      <c r="O3748">
        <v>32</v>
      </c>
      <c r="P3748">
        <v>5153</v>
      </c>
      <c r="Q3748" t="s">
        <v>1613</v>
      </c>
      <c r="R3748" t="s">
        <v>712</v>
      </c>
      <c r="S3748">
        <v>2</v>
      </c>
      <c r="T3748">
        <v>1</v>
      </c>
      <c r="U3748">
        <v>11392.33</v>
      </c>
      <c r="V3748">
        <v>273416</v>
      </c>
    </row>
    <row r="3749" spans="1:22">
      <c r="A3749" t="s">
        <v>196</v>
      </c>
      <c r="B3749">
        <v>67</v>
      </c>
      <c r="C3749" t="s">
        <v>33</v>
      </c>
      <c r="D3749">
        <v>100</v>
      </c>
      <c r="E3749" t="s">
        <v>197</v>
      </c>
      <c r="F3749">
        <v>1005</v>
      </c>
      <c r="G3749" t="s">
        <v>33</v>
      </c>
      <c r="H3749">
        <v>2005</v>
      </c>
      <c r="I3749" t="s">
        <v>33</v>
      </c>
      <c r="J3749">
        <v>3025</v>
      </c>
      <c r="K3749" t="s">
        <v>1608</v>
      </c>
      <c r="L3749">
        <v>4085</v>
      </c>
      <c r="M3749" t="s">
        <v>1611</v>
      </c>
      <c r="N3749" t="s">
        <v>721</v>
      </c>
      <c r="O3749">
        <v>32</v>
      </c>
      <c r="P3749">
        <v>5151</v>
      </c>
      <c r="Q3749" t="s">
        <v>1596</v>
      </c>
      <c r="R3749" t="s">
        <v>712</v>
      </c>
      <c r="S3749">
        <v>26</v>
      </c>
      <c r="T3749">
        <v>1</v>
      </c>
      <c r="U3749">
        <v>11011</v>
      </c>
      <c r="V3749">
        <v>3435432</v>
      </c>
    </row>
    <row r="3750" spans="1:22">
      <c r="A3750" t="s">
        <v>196</v>
      </c>
      <c r="B3750">
        <v>67</v>
      </c>
      <c r="C3750" t="s">
        <v>33</v>
      </c>
      <c r="D3750">
        <v>100</v>
      </c>
      <c r="E3750" t="s">
        <v>197</v>
      </c>
      <c r="F3750">
        <v>1005</v>
      </c>
      <c r="G3750" t="s">
        <v>33</v>
      </c>
      <c r="H3750">
        <v>2005</v>
      </c>
      <c r="I3750" t="s">
        <v>33</v>
      </c>
      <c r="J3750">
        <v>3025</v>
      </c>
      <c r="K3750" t="s">
        <v>1608</v>
      </c>
      <c r="L3750">
        <v>4085</v>
      </c>
      <c r="M3750" t="s">
        <v>1611</v>
      </c>
      <c r="N3750" t="s">
        <v>199</v>
      </c>
      <c r="O3750">
        <v>0</v>
      </c>
      <c r="P3750">
        <v>12</v>
      </c>
      <c r="Q3750" t="s">
        <v>724</v>
      </c>
      <c r="R3750" t="s">
        <v>201</v>
      </c>
      <c r="S3750">
        <v>0</v>
      </c>
      <c r="T3750">
        <v>0</v>
      </c>
      <c r="U3750">
        <v>55632</v>
      </c>
      <c r="V3750">
        <v>55632</v>
      </c>
    </row>
    <row r="3751" spans="1:22">
      <c r="A3751" t="s">
        <v>196</v>
      </c>
      <c r="B3751">
        <v>67</v>
      </c>
      <c r="C3751" t="s">
        <v>33</v>
      </c>
      <c r="D3751">
        <v>100</v>
      </c>
      <c r="E3751" t="s">
        <v>197</v>
      </c>
      <c r="F3751">
        <v>1005</v>
      </c>
      <c r="G3751" t="s">
        <v>33</v>
      </c>
      <c r="H3751">
        <v>2005</v>
      </c>
      <c r="I3751" t="s">
        <v>33</v>
      </c>
      <c r="J3751">
        <v>3025</v>
      </c>
      <c r="K3751" t="s">
        <v>1608</v>
      </c>
      <c r="L3751">
        <v>4090</v>
      </c>
      <c r="M3751" t="s">
        <v>1614</v>
      </c>
      <c r="N3751" t="s">
        <v>721</v>
      </c>
      <c r="O3751">
        <v>43</v>
      </c>
      <c r="P3751">
        <v>2138</v>
      </c>
      <c r="Q3751" t="s">
        <v>1615</v>
      </c>
      <c r="R3751" t="s">
        <v>712</v>
      </c>
      <c r="S3751">
        <v>1</v>
      </c>
      <c r="T3751">
        <v>1</v>
      </c>
      <c r="U3751">
        <v>14644.93</v>
      </c>
      <c r="V3751">
        <v>175739</v>
      </c>
    </row>
    <row r="3752" spans="1:22">
      <c r="A3752" t="s">
        <v>196</v>
      </c>
      <c r="B3752">
        <v>67</v>
      </c>
      <c r="C3752" t="s">
        <v>33</v>
      </c>
      <c r="D3752">
        <v>100</v>
      </c>
      <c r="E3752" t="s">
        <v>197</v>
      </c>
      <c r="F3752">
        <v>1005</v>
      </c>
      <c r="G3752" t="s">
        <v>33</v>
      </c>
      <c r="H3752">
        <v>2005</v>
      </c>
      <c r="I3752" t="s">
        <v>33</v>
      </c>
      <c r="J3752">
        <v>3025</v>
      </c>
      <c r="K3752" t="s">
        <v>1608</v>
      </c>
      <c r="L3752">
        <v>4090</v>
      </c>
      <c r="M3752" t="s">
        <v>1614</v>
      </c>
      <c r="N3752" t="s">
        <v>721</v>
      </c>
      <c r="O3752">
        <v>43</v>
      </c>
      <c r="P3752">
        <v>2137</v>
      </c>
      <c r="Q3752" t="s">
        <v>1616</v>
      </c>
      <c r="R3752" t="s">
        <v>712</v>
      </c>
      <c r="S3752">
        <v>12</v>
      </c>
      <c r="T3752">
        <v>1</v>
      </c>
      <c r="U3752">
        <v>13783.47</v>
      </c>
      <c r="V3752">
        <v>1984820</v>
      </c>
    </row>
    <row r="3753" spans="1:22">
      <c r="A3753" t="s">
        <v>196</v>
      </c>
      <c r="B3753">
        <v>67</v>
      </c>
      <c r="C3753" t="s">
        <v>33</v>
      </c>
      <c r="D3753">
        <v>100</v>
      </c>
      <c r="E3753" t="s">
        <v>197</v>
      </c>
      <c r="F3753">
        <v>1005</v>
      </c>
      <c r="G3753" t="s">
        <v>33</v>
      </c>
      <c r="H3753">
        <v>2005</v>
      </c>
      <c r="I3753" t="s">
        <v>33</v>
      </c>
      <c r="J3753">
        <v>3025</v>
      </c>
      <c r="K3753" t="s">
        <v>1608</v>
      </c>
      <c r="L3753">
        <v>4090</v>
      </c>
      <c r="M3753" t="s">
        <v>1614</v>
      </c>
      <c r="N3753" t="s">
        <v>199</v>
      </c>
      <c r="O3753">
        <v>0</v>
      </c>
      <c r="P3753">
        <v>12</v>
      </c>
      <c r="Q3753" t="s">
        <v>724</v>
      </c>
      <c r="R3753" t="s">
        <v>201</v>
      </c>
      <c r="S3753">
        <v>0</v>
      </c>
      <c r="T3753">
        <v>0</v>
      </c>
      <c r="U3753">
        <v>32408</v>
      </c>
      <c r="V3753">
        <v>32408</v>
      </c>
    </row>
    <row r="3754" spans="1:22">
      <c r="A3754" t="s">
        <v>196</v>
      </c>
      <c r="B3754">
        <v>67</v>
      </c>
      <c r="C3754" t="s">
        <v>33</v>
      </c>
      <c r="D3754">
        <v>100</v>
      </c>
      <c r="E3754" t="s">
        <v>197</v>
      </c>
      <c r="F3754">
        <v>1005</v>
      </c>
      <c r="G3754" t="s">
        <v>33</v>
      </c>
      <c r="H3754">
        <v>2005</v>
      </c>
      <c r="I3754" t="s">
        <v>33</v>
      </c>
      <c r="J3754">
        <v>3025</v>
      </c>
      <c r="K3754" t="s">
        <v>1608</v>
      </c>
      <c r="L3754">
        <v>4095</v>
      </c>
      <c r="M3754" t="s">
        <v>1617</v>
      </c>
      <c r="N3754" t="s">
        <v>721</v>
      </c>
      <c r="O3754">
        <v>41</v>
      </c>
      <c r="P3754">
        <v>2188</v>
      </c>
      <c r="Q3754" t="s">
        <v>1618</v>
      </c>
      <c r="R3754" t="s">
        <v>201</v>
      </c>
      <c r="S3754">
        <v>1</v>
      </c>
      <c r="T3754">
        <v>1</v>
      </c>
      <c r="U3754">
        <v>143537</v>
      </c>
      <c r="V3754">
        <v>143537</v>
      </c>
    </row>
    <row r="3755" spans="1:22">
      <c r="A3755" t="s">
        <v>196</v>
      </c>
      <c r="B3755">
        <v>67</v>
      </c>
      <c r="C3755" t="s">
        <v>33</v>
      </c>
      <c r="D3755">
        <v>100</v>
      </c>
      <c r="E3755" t="s">
        <v>197</v>
      </c>
      <c r="F3755">
        <v>1005</v>
      </c>
      <c r="G3755" t="s">
        <v>33</v>
      </c>
      <c r="H3755">
        <v>2005</v>
      </c>
      <c r="I3755" t="s">
        <v>33</v>
      </c>
      <c r="J3755">
        <v>3025</v>
      </c>
      <c r="K3755" t="s">
        <v>1608</v>
      </c>
      <c r="L3755">
        <v>4095</v>
      </c>
      <c r="M3755" t="s">
        <v>1617</v>
      </c>
      <c r="N3755" t="s">
        <v>721</v>
      </c>
      <c r="O3755">
        <v>41</v>
      </c>
      <c r="P3755">
        <v>2184</v>
      </c>
      <c r="Q3755" t="s">
        <v>1597</v>
      </c>
      <c r="R3755" t="s">
        <v>712</v>
      </c>
      <c r="S3755">
        <v>11</v>
      </c>
      <c r="T3755">
        <v>1</v>
      </c>
      <c r="U3755">
        <v>10218</v>
      </c>
      <c r="V3755">
        <v>1348776</v>
      </c>
    </row>
    <row r="3756" spans="1:22">
      <c r="A3756" t="s">
        <v>196</v>
      </c>
      <c r="B3756">
        <v>67</v>
      </c>
      <c r="C3756" t="s">
        <v>33</v>
      </c>
      <c r="D3756">
        <v>100</v>
      </c>
      <c r="E3756" t="s">
        <v>197</v>
      </c>
      <c r="F3756">
        <v>1005</v>
      </c>
      <c r="G3756" t="s">
        <v>33</v>
      </c>
      <c r="H3756">
        <v>2005</v>
      </c>
      <c r="I3756" t="s">
        <v>33</v>
      </c>
      <c r="J3756">
        <v>3025</v>
      </c>
      <c r="K3756" t="s">
        <v>1608</v>
      </c>
      <c r="L3756">
        <v>4095</v>
      </c>
      <c r="M3756" t="s">
        <v>1617</v>
      </c>
      <c r="N3756" t="s">
        <v>199</v>
      </c>
      <c r="O3756">
        <v>0</v>
      </c>
      <c r="P3756">
        <v>12</v>
      </c>
      <c r="Q3756" t="s">
        <v>724</v>
      </c>
      <c r="R3756" t="s">
        <v>201</v>
      </c>
      <c r="S3756">
        <v>0</v>
      </c>
      <c r="T3756">
        <v>0</v>
      </c>
      <c r="U3756">
        <v>22385</v>
      </c>
      <c r="V3756">
        <v>22385</v>
      </c>
    </row>
    <row r="3757" spans="1:22">
      <c r="A3757" t="s">
        <v>196</v>
      </c>
      <c r="B3757">
        <v>67</v>
      </c>
      <c r="C3757" t="s">
        <v>33</v>
      </c>
      <c r="D3757">
        <v>100</v>
      </c>
      <c r="E3757" t="s">
        <v>197</v>
      </c>
      <c r="F3757">
        <v>1005</v>
      </c>
      <c r="G3757" t="s">
        <v>33</v>
      </c>
      <c r="H3757">
        <v>2005</v>
      </c>
      <c r="I3757" t="s">
        <v>33</v>
      </c>
      <c r="J3757">
        <v>3025</v>
      </c>
      <c r="K3757" t="s">
        <v>1608</v>
      </c>
      <c r="L3757">
        <v>4096</v>
      </c>
      <c r="M3757" t="s">
        <v>1619</v>
      </c>
      <c r="N3757" t="s">
        <v>721</v>
      </c>
      <c r="O3757">
        <v>14</v>
      </c>
      <c r="P3757">
        <v>2136</v>
      </c>
      <c r="Q3757" t="s">
        <v>1620</v>
      </c>
      <c r="R3757" t="s">
        <v>712</v>
      </c>
      <c r="S3757">
        <v>1</v>
      </c>
      <c r="T3757">
        <v>1</v>
      </c>
      <c r="U3757">
        <v>10920</v>
      </c>
      <c r="V3757">
        <v>131040</v>
      </c>
    </row>
    <row r="3758" spans="1:22">
      <c r="A3758" t="s">
        <v>196</v>
      </c>
      <c r="B3758">
        <v>67</v>
      </c>
      <c r="C3758" t="s">
        <v>33</v>
      </c>
      <c r="D3758">
        <v>100</v>
      </c>
      <c r="E3758" t="s">
        <v>197</v>
      </c>
      <c r="F3758">
        <v>1005</v>
      </c>
      <c r="G3758" t="s">
        <v>33</v>
      </c>
      <c r="H3758">
        <v>2005</v>
      </c>
      <c r="I3758" t="s">
        <v>33</v>
      </c>
      <c r="J3758">
        <v>3025</v>
      </c>
      <c r="K3758" t="s">
        <v>1608</v>
      </c>
      <c r="L3758">
        <v>4096</v>
      </c>
      <c r="M3758" t="s">
        <v>1619</v>
      </c>
      <c r="N3758" t="s">
        <v>721</v>
      </c>
      <c r="O3758">
        <v>14</v>
      </c>
      <c r="P3758">
        <v>2135</v>
      </c>
      <c r="Q3758" t="s">
        <v>1598</v>
      </c>
      <c r="R3758" t="s">
        <v>712</v>
      </c>
      <c r="S3758">
        <v>7</v>
      </c>
      <c r="T3758">
        <v>1</v>
      </c>
      <c r="U3758">
        <v>10573.33</v>
      </c>
      <c r="V3758">
        <v>888160</v>
      </c>
    </row>
    <row r="3759" spans="1:22">
      <c r="A3759" t="s">
        <v>196</v>
      </c>
      <c r="B3759">
        <v>67</v>
      </c>
      <c r="C3759" t="s">
        <v>33</v>
      </c>
      <c r="D3759">
        <v>100</v>
      </c>
      <c r="E3759" t="s">
        <v>197</v>
      </c>
      <c r="F3759">
        <v>1005</v>
      </c>
      <c r="G3759" t="s">
        <v>33</v>
      </c>
      <c r="H3759">
        <v>2005</v>
      </c>
      <c r="I3759" t="s">
        <v>33</v>
      </c>
      <c r="J3759">
        <v>3025</v>
      </c>
      <c r="K3759" t="s">
        <v>1608</v>
      </c>
      <c r="L3759">
        <v>4096</v>
      </c>
      <c r="M3759" t="s">
        <v>1619</v>
      </c>
      <c r="N3759" t="s">
        <v>721</v>
      </c>
      <c r="O3759">
        <v>14</v>
      </c>
      <c r="P3759">
        <v>2135</v>
      </c>
      <c r="Q3759" t="s">
        <v>1598</v>
      </c>
      <c r="R3759" t="s">
        <v>712</v>
      </c>
      <c r="S3759">
        <v>2</v>
      </c>
      <c r="T3759">
        <v>1</v>
      </c>
      <c r="U3759">
        <v>9550.67</v>
      </c>
      <c r="V3759">
        <v>229216</v>
      </c>
    </row>
    <row r="3760" spans="1:22">
      <c r="A3760" t="s">
        <v>196</v>
      </c>
      <c r="B3760">
        <v>67</v>
      </c>
      <c r="C3760" t="s">
        <v>33</v>
      </c>
      <c r="D3760">
        <v>100</v>
      </c>
      <c r="E3760" t="s">
        <v>197</v>
      </c>
      <c r="F3760">
        <v>1005</v>
      </c>
      <c r="G3760" t="s">
        <v>33</v>
      </c>
      <c r="H3760">
        <v>2005</v>
      </c>
      <c r="I3760" t="s">
        <v>33</v>
      </c>
      <c r="J3760">
        <v>3025</v>
      </c>
      <c r="K3760" t="s">
        <v>1608</v>
      </c>
      <c r="L3760">
        <v>4096</v>
      </c>
      <c r="M3760" t="s">
        <v>1619</v>
      </c>
      <c r="N3760" t="s">
        <v>199</v>
      </c>
      <c r="O3760">
        <v>0</v>
      </c>
      <c r="P3760">
        <v>12</v>
      </c>
      <c r="Q3760" t="s">
        <v>724</v>
      </c>
      <c r="R3760" t="s">
        <v>201</v>
      </c>
      <c r="S3760">
        <v>0</v>
      </c>
      <c r="T3760">
        <v>0</v>
      </c>
      <c r="U3760">
        <v>18726</v>
      </c>
      <c r="V3760">
        <v>18726</v>
      </c>
    </row>
    <row r="3761" spans="1:22">
      <c r="A3761" t="s">
        <v>196</v>
      </c>
      <c r="B3761">
        <v>67</v>
      </c>
      <c r="C3761" t="s">
        <v>33</v>
      </c>
      <c r="D3761">
        <v>100</v>
      </c>
      <c r="E3761" t="s">
        <v>197</v>
      </c>
      <c r="F3761">
        <v>1005</v>
      </c>
      <c r="G3761" t="s">
        <v>33</v>
      </c>
      <c r="H3761">
        <v>2005</v>
      </c>
      <c r="I3761" t="s">
        <v>33</v>
      </c>
      <c r="J3761">
        <v>3025</v>
      </c>
      <c r="K3761" t="s">
        <v>1608</v>
      </c>
      <c r="L3761">
        <v>4100</v>
      </c>
      <c r="M3761" t="s">
        <v>1621</v>
      </c>
      <c r="N3761" t="s">
        <v>721</v>
      </c>
      <c r="O3761">
        <v>24</v>
      </c>
      <c r="P3761">
        <v>2105</v>
      </c>
      <c r="Q3761" t="s">
        <v>1622</v>
      </c>
      <c r="R3761" t="s">
        <v>712</v>
      </c>
      <c r="S3761">
        <v>6</v>
      </c>
      <c r="T3761">
        <v>1</v>
      </c>
      <c r="U3761">
        <v>10599.33</v>
      </c>
      <c r="V3761">
        <v>763152</v>
      </c>
    </row>
    <row r="3762" spans="1:22">
      <c r="A3762" t="s">
        <v>196</v>
      </c>
      <c r="B3762">
        <v>67</v>
      </c>
      <c r="C3762" t="s">
        <v>33</v>
      </c>
      <c r="D3762">
        <v>100</v>
      </c>
      <c r="E3762" t="s">
        <v>197</v>
      </c>
      <c r="F3762">
        <v>1005</v>
      </c>
      <c r="G3762" t="s">
        <v>33</v>
      </c>
      <c r="H3762">
        <v>2005</v>
      </c>
      <c r="I3762" t="s">
        <v>33</v>
      </c>
      <c r="J3762">
        <v>3025</v>
      </c>
      <c r="K3762" t="s">
        <v>1608</v>
      </c>
      <c r="L3762">
        <v>4100</v>
      </c>
      <c r="M3762" t="s">
        <v>1621</v>
      </c>
      <c r="N3762" t="s">
        <v>721</v>
      </c>
      <c r="O3762">
        <v>24</v>
      </c>
      <c r="P3762">
        <v>2101</v>
      </c>
      <c r="Q3762" t="s">
        <v>1623</v>
      </c>
      <c r="R3762" t="s">
        <v>712</v>
      </c>
      <c r="S3762">
        <v>1</v>
      </c>
      <c r="T3762">
        <v>1</v>
      </c>
      <c r="U3762">
        <v>11627.2</v>
      </c>
      <c r="V3762">
        <v>139526</v>
      </c>
    </row>
    <row r="3763" spans="1:22">
      <c r="A3763" t="s">
        <v>196</v>
      </c>
      <c r="B3763">
        <v>67</v>
      </c>
      <c r="C3763" t="s">
        <v>33</v>
      </c>
      <c r="D3763">
        <v>100</v>
      </c>
      <c r="E3763" t="s">
        <v>197</v>
      </c>
      <c r="F3763">
        <v>1005</v>
      </c>
      <c r="G3763" t="s">
        <v>33</v>
      </c>
      <c r="H3763">
        <v>2005</v>
      </c>
      <c r="I3763" t="s">
        <v>33</v>
      </c>
      <c r="J3763">
        <v>3025</v>
      </c>
      <c r="K3763" t="s">
        <v>1608</v>
      </c>
      <c r="L3763">
        <v>4100</v>
      </c>
      <c r="M3763" t="s">
        <v>1621</v>
      </c>
      <c r="N3763" t="s">
        <v>199</v>
      </c>
      <c r="O3763">
        <v>0</v>
      </c>
      <c r="P3763">
        <v>12</v>
      </c>
      <c r="Q3763" t="s">
        <v>724</v>
      </c>
      <c r="R3763" t="s">
        <v>201</v>
      </c>
      <c r="S3763">
        <v>0</v>
      </c>
      <c r="T3763">
        <v>0</v>
      </c>
      <c r="U3763">
        <v>13540</v>
      </c>
      <c r="V3763">
        <v>13540</v>
      </c>
    </row>
    <row r="3764" spans="1:22">
      <c r="A3764" t="s">
        <v>196</v>
      </c>
      <c r="B3764">
        <v>67</v>
      </c>
      <c r="C3764" t="s">
        <v>33</v>
      </c>
      <c r="D3764">
        <v>100</v>
      </c>
      <c r="E3764" t="s">
        <v>197</v>
      </c>
      <c r="F3764">
        <v>1005</v>
      </c>
      <c r="G3764" t="s">
        <v>33</v>
      </c>
      <c r="H3764">
        <v>2005</v>
      </c>
      <c r="I3764" t="s">
        <v>33</v>
      </c>
      <c r="J3764">
        <v>3025</v>
      </c>
      <c r="K3764" t="s">
        <v>1608</v>
      </c>
      <c r="L3764">
        <v>4105</v>
      </c>
      <c r="M3764" t="s">
        <v>1624</v>
      </c>
      <c r="N3764" t="s">
        <v>721</v>
      </c>
      <c r="O3764">
        <v>46</v>
      </c>
      <c r="P3764">
        <v>2164</v>
      </c>
      <c r="Q3764" t="s">
        <v>1625</v>
      </c>
      <c r="R3764" t="s">
        <v>712</v>
      </c>
      <c r="S3764">
        <v>3</v>
      </c>
      <c r="T3764">
        <v>1</v>
      </c>
      <c r="U3764">
        <v>11433.07</v>
      </c>
      <c r="V3764">
        <v>411591</v>
      </c>
    </row>
    <row r="3765" spans="1:22">
      <c r="A3765" t="s">
        <v>196</v>
      </c>
      <c r="B3765">
        <v>67</v>
      </c>
      <c r="C3765" t="s">
        <v>33</v>
      </c>
      <c r="D3765">
        <v>100</v>
      </c>
      <c r="E3765" t="s">
        <v>197</v>
      </c>
      <c r="F3765">
        <v>1005</v>
      </c>
      <c r="G3765" t="s">
        <v>33</v>
      </c>
      <c r="H3765">
        <v>2005</v>
      </c>
      <c r="I3765" t="s">
        <v>33</v>
      </c>
      <c r="J3765">
        <v>3025</v>
      </c>
      <c r="K3765" t="s">
        <v>1608</v>
      </c>
      <c r="L3765">
        <v>4105</v>
      </c>
      <c r="M3765" t="s">
        <v>1624</v>
      </c>
      <c r="N3765" t="s">
        <v>199</v>
      </c>
      <c r="O3765">
        <v>0</v>
      </c>
      <c r="P3765">
        <v>12</v>
      </c>
      <c r="Q3765" t="s">
        <v>724</v>
      </c>
      <c r="R3765" t="s">
        <v>201</v>
      </c>
      <c r="S3765">
        <v>0</v>
      </c>
      <c r="T3765">
        <v>0</v>
      </c>
      <c r="U3765">
        <v>6174</v>
      </c>
      <c r="V3765">
        <v>6174</v>
      </c>
    </row>
    <row r="3766" spans="1:22">
      <c r="A3766" t="s">
        <v>196</v>
      </c>
      <c r="B3766">
        <v>67</v>
      </c>
      <c r="C3766" t="s">
        <v>33</v>
      </c>
      <c r="D3766">
        <v>100</v>
      </c>
      <c r="E3766" t="s">
        <v>197</v>
      </c>
      <c r="F3766">
        <v>1005</v>
      </c>
      <c r="G3766" t="s">
        <v>33</v>
      </c>
      <c r="H3766">
        <v>2005</v>
      </c>
      <c r="I3766" t="s">
        <v>33</v>
      </c>
      <c r="J3766">
        <v>3025</v>
      </c>
      <c r="K3766" t="s">
        <v>1608</v>
      </c>
      <c r="L3766">
        <v>4115</v>
      </c>
      <c r="M3766" t="s">
        <v>1626</v>
      </c>
      <c r="N3766" t="s">
        <v>721</v>
      </c>
      <c r="O3766">
        <v>42</v>
      </c>
      <c r="P3766">
        <v>7610</v>
      </c>
      <c r="Q3766" t="s">
        <v>1627</v>
      </c>
      <c r="R3766" t="s">
        <v>712</v>
      </c>
      <c r="S3766">
        <v>5</v>
      </c>
      <c r="T3766">
        <v>1</v>
      </c>
      <c r="U3766">
        <v>11925.33</v>
      </c>
      <c r="V3766">
        <v>715520</v>
      </c>
    </row>
    <row r="3767" spans="1:22">
      <c r="A3767" t="s">
        <v>196</v>
      </c>
      <c r="B3767">
        <v>67</v>
      </c>
      <c r="C3767" t="s">
        <v>33</v>
      </c>
      <c r="D3767">
        <v>100</v>
      </c>
      <c r="E3767" t="s">
        <v>197</v>
      </c>
      <c r="F3767">
        <v>1005</v>
      </c>
      <c r="G3767" t="s">
        <v>33</v>
      </c>
      <c r="H3767">
        <v>2005</v>
      </c>
      <c r="I3767" t="s">
        <v>33</v>
      </c>
      <c r="J3767">
        <v>3025</v>
      </c>
      <c r="K3767" t="s">
        <v>1608</v>
      </c>
      <c r="L3767">
        <v>4115</v>
      </c>
      <c r="M3767" t="s">
        <v>1626</v>
      </c>
      <c r="N3767" t="s">
        <v>199</v>
      </c>
      <c r="O3767">
        <v>0</v>
      </c>
      <c r="P3767">
        <v>12</v>
      </c>
      <c r="Q3767" t="s">
        <v>724</v>
      </c>
      <c r="R3767" t="s">
        <v>201</v>
      </c>
      <c r="S3767">
        <v>0</v>
      </c>
      <c r="T3767">
        <v>0</v>
      </c>
      <c r="U3767">
        <v>10733</v>
      </c>
      <c r="V3767">
        <v>10733</v>
      </c>
    </row>
    <row r="3768" spans="1:22">
      <c r="A3768" t="s">
        <v>196</v>
      </c>
      <c r="B3768">
        <v>67</v>
      </c>
      <c r="C3768" t="s">
        <v>33</v>
      </c>
      <c r="D3768">
        <v>100</v>
      </c>
      <c r="E3768" t="s">
        <v>197</v>
      </c>
      <c r="F3768">
        <v>1005</v>
      </c>
      <c r="G3768" t="s">
        <v>33</v>
      </c>
      <c r="H3768">
        <v>2005</v>
      </c>
      <c r="I3768" t="s">
        <v>33</v>
      </c>
      <c r="J3768">
        <v>3040</v>
      </c>
      <c r="K3768" t="s">
        <v>1628</v>
      </c>
      <c r="L3768">
        <v>4037</v>
      </c>
      <c r="M3768" t="s">
        <v>1629</v>
      </c>
      <c r="N3768" t="s">
        <v>266</v>
      </c>
      <c r="O3768">
        <v>9</v>
      </c>
      <c r="P3768">
        <v>9679</v>
      </c>
      <c r="Q3768" t="s">
        <v>338</v>
      </c>
      <c r="R3768" t="s">
        <v>201</v>
      </c>
      <c r="S3768">
        <v>1</v>
      </c>
      <c r="T3768">
        <v>1</v>
      </c>
      <c r="U3768">
        <v>167964</v>
      </c>
      <c r="V3768">
        <v>167964</v>
      </c>
    </row>
    <row r="3769" spans="1:22">
      <c r="A3769" t="s">
        <v>196</v>
      </c>
      <c r="B3769">
        <v>67</v>
      </c>
      <c r="C3769" t="s">
        <v>33</v>
      </c>
      <c r="D3769">
        <v>100</v>
      </c>
      <c r="E3769" t="s">
        <v>197</v>
      </c>
      <c r="F3769">
        <v>1005</v>
      </c>
      <c r="G3769" t="s">
        <v>33</v>
      </c>
      <c r="H3769">
        <v>2005</v>
      </c>
      <c r="I3769" t="s">
        <v>33</v>
      </c>
      <c r="J3769">
        <v>3040</v>
      </c>
      <c r="K3769" t="s">
        <v>1628</v>
      </c>
      <c r="L3769">
        <v>4037</v>
      </c>
      <c r="M3769" t="s">
        <v>1629</v>
      </c>
      <c r="N3769" t="s">
        <v>392</v>
      </c>
      <c r="O3769">
        <v>3</v>
      </c>
      <c r="P3769">
        <v>2131</v>
      </c>
      <c r="Q3769" t="s">
        <v>1588</v>
      </c>
      <c r="R3769" t="s">
        <v>201</v>
      </c>
      <c r="S3769">
        <v>1</v>
      </c>
      <c r="T3769">
        <v>1</v>
      </c>
      <c r="U3769">
        <v>150240</v>
      </c>
      <c r="V3769">
        <v>150240</v>
      </c>
    </row>
    <row r="3770" spans="1:22">
      <c r="A3770" t="s">
        <v>196</v>
      </c>
      <c r="B3770">
        <v>67</v>
      </c>
      <c r="C3770" t="s">
        <v>33</v>
      </c>
      <c r="D3770">
        <v>100</v>
      </c>
      <c r="E3770" t="s">
        <v>197</v>
      </c>
      <c r="F3770">
        <v>1005</v>
      </c>
      <c r="G3770" t="s">
        <v>33</v>
      </c>
      <c r="H3770">
        <v>2005</v>
      </c>
      <c r="I3770" t="s">
        <v>33</v>
      </c>
      <c r="J3770">
        <v>3040</v>
      </c>
      <c r="K3770" t="s">
        <v>1628</v>
      </c>
      <c r="L3770">
        <v>4037</v>
      </c>
      <c r="M3770" t="s">
        <v>1629</v>
      </c>
      <c r="N3770" t="s">
        <v>622</v>
      </c>
      <c r="O3770">
        <v>1</v>
      </c>
      <c r="P3770" t="s">
        <v>667</v>
      </c>
      <c r="Q3770" t="s">
        <v>205</v>
      </c>
      <c r="R3770" t="s">
        <v>201</v>
      </c>
      <c r="S3770">
        <v>2</v>
      </c>
      <c r="T3770">
        <v>1</v>
      </c>
      <c r="U3770">
        <v>90144</v>
      </c>
      <c r="V3770">
        <v>180288</v>
      </c>
    </row>
    <row r="3771" spans="1:22">
      <c r="A3771" t="s">
        <v>196</v>
      </c>
      <c r="B3771">
        <v>67</v>
      </c>
      <c r="C3771" t="s">
        <v>33</v>
      </c>
      <c r="D3771">
        <v>100</v>
      </c>
      <c r="E3771" t="s">
        <v>197</v>
      </c>
      <c r="F3771">
        <v>1005</v>
      </c>
      <c r="G3771" t="s">
        <v>33</v>
      </c>
      <c r="H3771">
        <v>2005</v>
      </c>
      <c r="I3771" t="s">
        <v>33</v>
      </c>
      <c r="J3771">
        <v>3040</v>
      </c>
      <c r="K3771" t="s">
        <v>1628</v>
      </c>
      <c r="L3771">
        <v>4037</v>
      </c>
      <c r="M3771" t="s">
        <v>1629</v>
      </c>
      <c r="N3771" t="s">
        <v>199</v>
      </c>
      <c r="O3771">
        <v>0</v>
      </c>
      <c r="P3771">
        <v>15</v>
      </c>
      <c r="Q3771" t="s">
        <v>264</v>
      </c>
      <c r="R3771" t="s">
        <v>201</v>
      </c>
      <c r="S3771">
        <v>0</v>
      </c>
      <c r="T3771">
        <v>0</v>
      </c>
      <c r="U3771">
        <v>4403</v>
      </c>
      <c r="V3771">
        <v>4403</v>
      </c>
    </row>
    <row r="3772" spans="1:22">
      <c r="A3772" t="s">
        <v>196</v>
      </c>
      <c r="B3772">
        <v>70</v>
      </c>
      <c r="C3772" t="s">
        <v>40</v>
      </c>
      <c r="D3772">
        <v>100</v>
      </c>
      <c r="E3772" t="s">
        <v>197</v>
      </c>
      <c r="F3772">
        <v>1005</v>
      </c>
      <c r="G3772" t="s">
        <v>40</v>
      </c>
      <c r="H3772">
        <v>2005</v>
      </c>
      <c r="I3772" t="s">
        <v>40</v>
      </c>
      <c r="J3772">
        <v>3005</v>
      </c>
      <c r="K3772" t="s">
        <v>309</v>
      </c>
      <c r="L3772">
        <v>4005</v>
      </c>
      <c r="M3772" t="s">
        <v>1630</v>
      </c>
      <c r="N3772" t="s">
        <v>199</v>
      </c>
      <c r="O3772">
        <v>9</v>
      </c>
      <c r="P3772">
        <v>9970</v>
      </c>
      <c r="Q3772" t="s">
        <v>1631</v>
      </c>
      <c r="R3772" t="s">
        <v>201</v>
      </c>
      <c r="S3772">
        <v>1</v>
      </c>
      <c r="T3772">
        <v>1</v>
      </c>
      <c r="U3772">
        <v>197820</v>
      </c>
      <c r="V3772">
        <v>197820</v>
      </c>
    </row>
    <row r="3773" spans="1:22">
      <c r="A3773" t="s">
        <v>196</v>
      </c>
      <c r="B3773">
        <v>70</v>
      </c>
      <c r="C3773" t="s">
        <v>40</v>
      </c>
      <c r="D3773">
        <v>100</v>
      </c>
      <c r="E3773" t="s">
        <v>197</v>
      </c>
      <c r="F3773">
        <v>1005</v>
      </c>
      <c r="G3773" t="s">
        <v>40</v>
      </c>
      <c r="H3773">
        <v>2005</v>
      </c>
      <c r="I3773" t="s">
        <v>40</v>
      </c>
      <c r="J3773">
        <v>3005</v>
      </c>
      <c r="K3773" t="s">
        <v>309</v>
      </c>
      <c r="L3773">
        <v>4005</v>
      </c>
      <c r="M3773" t="s">
        <v>1630</v>
      </c>
      <c r="N3773" t="s">
        <v>311</v>
      </c>
      <c r="O3773">
        <v>9</v>
      </c>
      <c r="P3773">
        <v>9813</v>
      </c>
      <c r="Q3773" t="s">
        <v>600</v>
      </c>
      <c r="R3773" t="s">
        <v>201</v>
      </c>
      <c r="S3773">
        <v>1</v>
      </c>
      <c r="T3773">
        <v>1</v>
      </c>
      <c r="U3773">
        <v>168924</v>
      </c>
      <c r="V3773">
        <v>168924</v>
      </c>
    </row>
    <row r="3774" spans="1:22">
      <c r="A3774" t="s">
        <v>196</v>
      </c>
      <c r="B3774">
        <v>70</v>
      </c>
      <c r="C3774" t="s">
        <v>40</v>
      </c>
      <c r="D3774">
        <v>100</v>
      </c>
      <c r="E3774" t="s">
        <v>197</v>
      </c>
      <c r="F3774">
        <v>1005</v>
      </c>
      <c r="G3774" t="s">
        <v>40</v>
      </c>
      <c r="H3774">
        <v>2005</v>
      </c>
      <c r="I3774" t="s">
        <v>40</v>
      </c>
      <c r="J3774">
        <v>3005</v>
      </c>
      <c r="K3774" t="s">
        <v>309</v>
      </c>
      <c r="L3774">
        <v>4005</v>
      </c>
      <c r="M3774" t="s">
        <v>1630</v>
      </c>
      <c r="N3774" t="s">
        <v>311</v>
      </c>
      <c r="O3774">
        <v>9</v>
      </c>
      <c r="P3774">
        <v>9660</v>
      </c>
      <c r="Q3774" t="s">
        <v>846</v>
      </c>
      <c r="R3774" t="s">
        <v>201</v>
      </c>
      <c r="S3774">
        <v>1</v>
      </c>
      <c r="T3774">
        <v>1</v>
      </c>
      <c r="U3774">
        <v>180324</v>
      </c>
      <c r="V3774">
        <v>180324</v>
      </c>
    </row>
    <row r="3775" spans="1:22">
      <c r="A3775" t="s">
        <v>196</v>
      </c>
      <c r="B3775">
        <v>70</v>
      </c>
      <c r="C3775" t="s">
        <v>40</v>
      </c>
      <c r="D3775">
        <v>100</v>
      </c>
      <c r="E3775" t="s">
        <v>197</v>
      </c>
      <c r="F3775">
        <v>1005</v>
      </c>
      <c r="G3775" t="s">
        <v>40</v>
      </c>
      <c r="H3775">
        <v>2005</v>
      </c>
      <c r="I3775" t="s">
        <v>40</v>
      </c>
      <c r="J3775">
        <v>3005</v>
      </c>
      <c r="K3775" t="s">
        <v>309</v>
      </c>
      <c r="L3775">
        <v>4005</v>
      </c>
      <c r="M3775" t="s">
        <v>1630</v>
      </c>
      <c r="N3775" t="s">
        <v>251</v>
      </c>
      <c r="O3775">
        <v>10</v>
      </c>
      <c r="P3775">
        <v>1430</v>
      </c>
      <c r="Q3775" t="s">
        <v>850</v>
      </c>
      <c r="R3775" t="s">
        <v>201</v>
      </c>
      <c r="S3775">
        <v>1</v>
      </c>
      <c r="T3775">
        <v>1</v>
      </c>
      <c r="U3775">
        <v>85128</v>
      </c>
      <c r="V3775">
        <v>85128</v>
      </c>
    </row>
    <row r="3776" spans="1:22">
      <c r="A3776" t="s">
        <v>196</v>
      </c>
      <c r="B3776">
        <v>70</v>
      </c>
      <c r="C3776" t="s">
        <v>40</v>
      </c>
      <c r="D3776">
        <v>100</v>
      </c>
      <c r="E3776" t="s">
        <v>197</v>
      </c>
      <c r="F3776">
        <v>1005</v>
      </c>
      <c r="G3776" t="s">
        <v>40</v>
      </c>
      <c r="H3776">
        <v>2005</v>
      </c>
      <c r="I3776" t="s">
        <v>40</v>
      </c>
      <c r="J3776">
        <v>3005</v>
      </c>
      <c r="K3776" t="s">
        <v>309</v>
      </c>
      <c r="L3776">
        <v>4005</v>
      </c>
      <c r="M3776" t="s">
        <v>1630</v>
      </c>
      <c r="N3776" t="s">
        <v>251</v>
      </c>
      <c r="O3776">
        <v>10</v>
      </c>
      <c r="P3776">
        <v>802</v>
      </c>
      <c r="Q3776" t="s">
        <v>252</v>
      </c>
      <c r="R3776" t="s">
        <v>201</v>
      </c>
      <c r="S3776">
        <v>1</v>
      </c>
      <c r="T3776">
        <v>1</v>
      </c>
      <c r="U3776">
        <v>124584</v>
      </c>
      <c r="V3776">
        <v>124584</v>
      </c>
    </row>
    <row r="3777" spans="1:22">
      <c r="A3777" t="s">
        <v>196</v>
      </c>
      <c r="B3777">
        <v>70</v>
      </c>
      <c r="C3777" t="s">
        <v>40</v>
      </c>
      <c r="D3777">
        <v>100</v>
      </c>
      <c r="E3777" t="s">
        <v>197</v>
      </c>
      <c r="F3777">
        <v>1005</v>
      </c>
      <c r="G3777" t="s">
        <v>40</v>
      </c>
      <c r="H3777">
        <v>2005</v>
      </c>
      <c r="I3777" t="s">
        <v>40</v>
      </c>
      <c r="J3777">
        <v>3005</v>
      </c>
      <c r="K3777" t="s">
        <v>309</v>
      </c>
      <c r="L3777">
        <v>4005</v>
      </c>
      <c r="M3777" t="s">
        <v>1630</v>
      </c>
      <c r="N3777" t="s">
        <v>274</v>
      </c>
      <c r="O3777">
        <v>9</v>
      </c>
      <c r="P3777">
        <v>313</v>
      </c>
      <c r="Q3777" t="s">
        <v>605</v>
      </c>
      <c r="R3777" t="s">
        <v>201</v>
      </c>
      <c r="S3777">
        <v>1</v>
      </c>
      <c r="T3777">
        <v>1</v>
      </c>
      <c r="U3777">
        <v>146808</v>
      </c>
      <c r="V3777">
        <v>146808</v>
      </c>
    </row>
    <row r="3778" spans="1:22">
      <c r="A3778" t="s">
        <v>196</v>
      </c>
      <c r="B3778">
        <v>70</v>
      </c>
      <c r="C3778" t="s">
        <v>40</v>
      </c>
      <c r="D3778">
        <v>100</v>
      </c>
      <c r="E3778" t="s">
        <v>197</v>
      </c>
      <c r="F3778">
        <v>1005</v>
      </c>
      <c r="G3778" t="s">
        <v>40</v>
      </c>
      <c r="H3778">
        <v>2005</v>
      </c>
      <c r="I3778" t="s">
        <v>40</v>
      </c>
      <c r="J3778">
        <v>3005</v>
      </c>
      <c r="K3778" t="s">
        <v>309</v>
      </c>
      <c r="L3778">
        <v>4005</v>
      </c>
      <c r="M3778" t="s">
        <v>1630</v>
      </c>
      <c r="N3778" t="s">
        <v>199</v>
      </c>
      <c r="O3778">
        <v>0</v>
      </c>
      <c r="P3778">
        <v>15</v>
      </c>
      <c r="Q3778" t="s">
        <v>264</v>
      </c>
      <c r="R3778" t="s">
        <v>201</v>
      </c>
      <c r="S3778">
        <v>0</v>
      </c>
      <c r="T3778">
        <v>0</v>
      </c>
      <c r="U3778">
        <v>18720</v>
      </c>
      <c r="V3778">
        <v>18720</v>
      </c>
    </row>
    <row r="3779" spans="1:22">
      <c r="A3779" t="s">
        <v>196</v>
      </c>
      <c r="B3779">
        <v>70</v>
      </c>
      <c r="C3779" t="s">
        <v>40</v>
      </c>
      <c r="D3779">
        <v>100</v>
      </c>
      <c r="E3779" t="s">
        <v>197</v>
      </c>
      <c r="F3779">
        <v>1005</v>
      </c>
      <c r="G3779" t="s">
        <v>40</v>
      </c>
      <c r="H3779">
        <v>2005</v>
      </c>
      <c r="I3779" t="s">
        <v>40</v>
      </c>
      <c r="J3779">
        <v>3005</v>
      </c>
      <c r="K3779" t="s">
        <v>309</v>
      </c>
      <c r="L3779">
        <v>4009</v>
      </c>
      <c r="M3779" t="s">
        <v>97</v>
      </c>
      <c r="N3779" t="s">
        <v>253</v>
      </c>
      <c r="O3779">
        <v>10</v>
      </c>
      <c r="P3779">
        <v>1651</v>
      </c>
      <c r="Q3779" t="s">
        <v>1632</v>
      </c>
      <c r="R3779" t="s">
        <v>201</v>
      </c>
      <c r="S3779">
        <v>1</v>
      </c>
      <c r="T3779">
        <v>1</v>
      </c>
      <c r="U3779">
        <v>89112</v>
      </c>
      <c r="V3779">
        <v>89112</v>
      </c>
    </row>
    <row r="3780" spans="1:22">
      <c r="A3780" t="s">
        <v>196</v>
      </c>
      <c r="B3780">
        <v>70</v>
      </c>
      <c r="C3780" t="s">
        <v>40</v>
      </c>
      <c r="D3780">
        <v>100</v>
      </c>
      <c r="E3780" t="s">
        <v>197</v>
      </c>
      <c r="F3780">
        <v>1005</v>
      </c>
      <c r="G3780" t="s">
        <v>40</v>
      </c>
      <c r="H3780">
        <v>2005</v>
      </c>
      <c r="I3780" t="s">
        <v>40</v>
      </c>
      <c r="J3780">
        <v>3005</v>
      </c>
      <c r="K3780" t="s">
        <v>309</v>
      </c>
      <c r="L3780">
        <v>4009</v>
      </c>
      <c r="M3780" t="s">
        <v>97</v>
      </c>
      <c r="N3780" t="s">
        <v>251</v>
      </c>
      <c r="O3780">
        <v>20</v>
      </c>
      <c r="P3780">
        <v>1304</v>
      </c>
      <c r="Q3780" t="s">
        <v>1633</v>
      </c>
      <c r="R3780" t="s">
        <v>201</v>
      </c>
      <c r="S3780">
        <v>1</v>
      </c>
      <c r="T3780">
        <v>1</v>
      </c>
      <c r="U3780">
        <v>124584</v>
      </c>
      <c r="V3780">
        <v>124584</v>
      </c>
    </row>
    <row r="3781" spans="1:22">
      <c r="A3781" t="s">
        <v>196</v>
      </c>
      <c r="B3781">
        <v>70</v>
      </c>
      <c r="C3781" t="s">
        <v>40</v>
      </c>
      <c r="D3781">
        <v>100</v>
      </c>
      <c r="E3781" t="s">
        <v>197</v>
      </c>
      <c r="F3781">
        <v>1005</v>
      </c>
      <c r="G3781" t="s">
        <v>40</v>
      </c>
      <c r="H3781">
        <v>2005</v>
      </c>
      <c r="I3781" t="s">
        <v>40</v>
      </c>
      <c r="J3781">
        <v>3005</v>
      </c>
      <c r="K3781" t="s">
        <v>309</v>
      </c>
      <c r="L3781">
        <v>4009</v>
      </c>
      <c r="M3781" t="s">
        <v>97</v>
      </c>
      <c r="N3781" t="s">
        <v>341</v>
      </c>
      <c r="O3781">
        <v>1</v>
      </c>
      <c r="P3781">
        <v>1301</v>
      </c>
      <c r="Q3781" t="s">
        <v>618</v>
      </c>
      <c r="R3781" t="s">
        <v>201</v>
      </c>
      <c r="S3781">
        <v>1</v>
      </c>
      <c r="T3781">
        <v>1</v>
      </c>
      <c r="U3781">
        <v>119100</v>
      </c>
      <c r="V3781">
        <v>119100</v>
      </c>
    </row>
    <row r="3782" spans="1:22">
      <c r="A3782" t="s">
        <v>196</v>
      </c>
      <c r="B3782">
        <v>70</v>
      </c>
      <c r="C3782" t="s">
        <v>40</v>
      </c>
      <c r="D3782">
        <v>100</v>
      </c>
      <c r="E3782" t="s">
        <v>197</v>
      </c>
      <c r="F3782">
        <v>1005</v>
      </c>
      <c r="G3782" t="s">
        <v>40</v>
      </c>
      <c r="H3782">
        <v>2005</v>
      </c>
      <c r="I3782" t="s">
        <v>40</v>
      </c>
      <c r="J3782">
        <v>3005</v>
      </c>
      <c r="K3782" t="s">
        <v>309</v>
      </c>
      <c r="L3782">
        <v>4009</v>
      </c>
      <c r="M3782" t="s">
        <v>97</v>
      </c>
      <c r="N3782" t="s">
        <v>602</v>
      </c>
      <c r="O3782">
        <v>4</v>
      </c>
      <c r="P3782">
        <v>604</v>
      </c>
      <c r="Q3782" t="s">
        <v>1634</v>
      </c>
      <c r="R3782" t="s">
        <v>201</v>
      </c>
      <c r="S3782">
        <v>1</v>
      </c>
      <c r="T3782">
        <v>1</v>
      </c>
      <c r="U3782">
        <v>141564</v>
      </c>
      <c r="V3782">
        <v>141564</v>
      </c>
    </row>
    <row r="3783" spans="1:22">
      <c r="A3783" t="s">
        <v>196</v>
      </c>
      <c r="B3783">
        <v>70</v>
      </c>
      <c r="C3783" t="s">
        <v>40</v>
      </c>
      <c r="D3783">
        <v>100</v>
      </c>
      <c r="E3783" t="s">
        <v>197</v>
      </c>
      <c r="F3783">
        <v>1005</v>
      </c>
      <c r="G3783" t="s">
        <v>40</v>
      </c>
      <c r="H3783">
        <v>2005</v>
      </c>
      <c r="I3783" t="s">
        <v>40</v>
      </c>
      <c r="J3783">
        <v>3005</v>
      </c>
      <c r="K3783" t="s">
        <v>309</v>
      </c>
      <c r="L3783">
        <v>4009</v>
      </c>
      <c r="M3783" t="s">
        <v>97</v>
      </c>
      <c r="N3783" t="s">
        <v>351</v>
      </c>
      <c r="O3783">
        <v>1</v>
      </c>
      <c r="P3783" t="s">
        <v>352</v>
      </c>
      <c r="Q3783" t="s">
        <v>353</v>
      </c>
      <c r="R3783" t="s">
        <v>201</v>
      </c>
      <c r="S3783">
        <v>1</v>
      </c>
      <c r="T3783">
        <v>1</v>
      </c>
      <c r="U3783">
        <v>70752</v>
      </c>
      <c r="V3783">
        <v>70752</v>
      </c>
    </row>
    <row r="3784" spans="1:22">
      <c r="A3784" t="s">
        <v>196</v>
      </c>
      <c r="B3784">
        <v>70</v>
      </c>
      <c r="C3784" t="s">
        <v>40</v>
      </c>
      <c r="D3784">
        <v>100</v>
      </c>
      <c r="E3784" t="s">
        <v>197</v>
      </c>
      <c r="F3784">
        <v>1005</v>
      </c>
      <c r="G3784" t="s">
        <v>40</v>
      </c>
      <c r="H3784">
        <v>2005</v>
      </c>
      <c r="I3784" t="s">
        <v>40</v>
      </c>
      <c r="J3784">
        <v>3005</v>
      </c>
      <c r="K3784" t="s">
        <v>309</v>
      </c>
      <c r="L3784">
        <v>4009</v>
      </c>
      <c r="M3784" t="s">
        <v>97</v>
      </c>
      <c r="N3784" t="s">
        <v>249</v>
      </c>
      <c r="O3784">
        <v>20</v>
      </c>
      <c r="P3784">
        <v>394</v>
      </c>
      <c r="Q3784" t="s">
        <v>314</v>
      </c>
      <c r="R3784" t="s">
        <v>201</v>
      </c>
      <c r="S3784">
        <v>1</v>
      </c>
      <c r="T3784">
        <v>1</v>
      </c>
      <c r="U3784">
        <v>89112</v>
      </c>
      <c r="V3784">
        <v>89112</v>
      </c>
    </row>
    <row r="3785" spans="1:22">
      <c r="A3785" t="s">
        <v>196</v>
      </c>
      <c r="B3785">
        <v>70</v>
      </c>
      <c r="C3785" t="s">
        <v>40</v>
      </c>
      <c r="D3785">
        <v>100</v>
      </c>
      <c r="E3785" t="s">
        <v>197</v>
      </c>
      <c r="F3785">
        <v>1005</v>
      </c>
      <c r="G3785" t="s">
        <v>40</v>
      </c>
      <c r="H3785">
        <v>2005</v>
      </c>
      <c r="I3785" t="s">
        <v>40</v>
      </c>
      <c r="J3785">
        <v>3005</v>
      </c>
      <c r="K3785" t="s">
        <v>309</v>
      </c>
      <c r="L3785">
        <v>4009</v>
      </c>
      <c r="M3785" t="s">
        <v>97</v>
      </c>
      <c r="N3785" t="s">
        <v>274</v>
      </c>
      <c r="O3785">
        <v>9</v>
      </c>
      <c r="P3785">
        <v>313</v>
      </c>
      <c r="Q3785" t="s">
        <v>605</v>
      </c>
      <c r="R3785" t="s">
        <v>201</v>
      </c>
      <c r="S3785">
        <v>1</v>
      </c>
      <c r="T3785">
        <v>1</v>
      </c>
      <c r="U3785">
        <v>121668</v>
      </c>
      <c r="V3785">
        <v>121668</v>
      </c>
    </row>
    <row r="3786" spans="1:22">
      <c r="A3786" t="s">
        <v>196</v>
      </c>
      <c r="B3786">
        <v>70</v>
      </c>
      <c r="C3786" t="s">
        <v>40</v>
      </c>
      <c r="D3786">
        <v>100</v>
      </c>
      <c r="E3786" t="s">
        <v>197</v>
      </c>
      <c r="F3786">
        <v>1005</v>
      </c>
      <c r="G3786" t="s">
        <v>40</v>
      </c>
      <c r="H3786">
        <v>2005</v>
      </c>
      <c r="I3786" t="s">
        <v>40</v>
      </c>
      <c r="J3786">
        <v>3005</v>
      </c>
      <c r="K3786" t="s">
        <v>309</v>
      </c>
      <c r="L3786">
        <v>4009</v>
      </c>
      <c r="M3786" t="s">
        <v>97</v>
      </c>
      <c r="N3786" t="s">
        <v>341</v>
      </c>
      <c r="O3786">
        <v>4</v>
      </c>
      <c r="P3786">
        <v>110</v>
      </c>
      <c r="Q3786" t="s">
        <v>359</v>
      </c>
      <c r="R3786" t="s">
        <v>201</v>
      </c>
      <c r="S3786">
        <v>1</v>
      </c>
      <c r="T3786">
        <v>1</v>
      </c>
      <c r="U3786">
        <v>119100</v>
      </c>
      <c r="V3786">
        <v>119100</v>
      </c>
    </row>
    <row r="3787" spans="1:22">
      <c r="A3787" t="s">
        <v>196</v>
      </c>
      <c r="B3787">
        <v>70</v>
      </c>
      <c r="C3787" t="s">
        <v>40</v>
      </c>
      <c r="D3787">
        <v>100</v>
      </c>
      <c r="E3787" t="s">
        <v>197</v>
      </c>
      <c r="F3787">
        <v>1005</v>
      </c>
      <c r="G3787" t="s">
        <v>40</v>
      </c>
      <c r="H3787">
        <v>2005</v>
      </c>
      <c r="I3787" t="s">
        <v>40</v>
      </c>
      <c r="J3787">
        <v>3005</v>
      </c>
      <c r="K3787" t="s">
        <v>309</v>
      </c>
      <c r="L3787">
        <v>4009</v>
      </c>
      <c r="M3787" t="s">
        <v>97</v>
      </c>
      <c r="N3787" t="s">
        <v>199</v>
      </c>
      <c r="O3787">
        <v>0</v>
      </c>
      <c r="P3787">
        <v>15</v>
      </c>
      <c r="Q3787" t="s">
        <v>264</v>
      </c>
      <c r="R3787" t="s">
        <v>201</v>
      </c>
      <c r="S3787">
        <v>0</v>
      </c>
      <c r="T3787">
        <v>0</v>
      </c>
      <c r="U3787">
        <v>1385</v>
      </c>
      <c r="V3787">
        <v>1385</v>
      </c>
    </row>
    <row r="3788" spans="1:22">
      <c r="A3788" t="s">
        <v>196</v>
      </c>
      <c r="B3788">
        <v>70</v>
      </c>
      <c r="C3788" t="s">
        <v>40</v>
      </c>
      <c r="D3788">
        <v>100</v>
      </c>
      <c r="E3788" t="s">
        <v>197</v>
      </c>
      <c r="F3788">
        <v>1005</v>
      </c>
      <c r="G3788" t="s">
        <v>40</v>
      </c>
      <c r="H3788">
        <v>2005</v>
      </c>
      <c r="I3788" t="s">
        <v>40</v>
      </c>
      <c r="J3788">
        <v>3011</v>
      </c>
      <c r="K3788" t="s">
        <v>1635</v>
      </c>
      <c r="L3788">
        <v>0</v>
      </c>
      <c r="N3788" t="s">
        <v>372</v>
      </c>
      <c r="O3788">
        <v>1</v>
      </c>
      <c r="P3788">
        <v>712</v>
      </c>
      <c r="Q3788" t="s">
        <v>737</v>
      </c>
      <c r="R3788" t="s">
        <v>201</v>
      </c>
      <c r="S3788">
        <v>1</v>
      </c>
      <c r="T3788">
        <v>1</v>
      </c>
      <c r="U3788">
        <v>124848</v>
      </c>
      <c r="V3788">
        <v>124848</v>
      </c>
    </row>
    <row r="3789" spans="1:22">
      <c r="A3789" t="s">
        <v>196</v>
      </c>
      <c r="B3789">
        <v>70</v>
      </c>
      <c r="C3789" t="s">
        <v>40</v>
      </c>
      <c r="D3789">
        <v>100</v>
      </c>
      <c r="E3789" t="s">
        <v>197</v>
      </c>
      <c r="F3789">
        <v>1005</v>
      </c>
      <c r="G3789" t="s">
        <v>40</v>
      </c>
      <c r="H3789">
        <v>2005</v>
      </c>
      <c r="I3789" t="s">
        <v>40</v>
      </c>
      <c r="J3789">
        <v>3011</v>
      </c>
      <c r="K3789" t="s">
        <v>1635</v>
      </c>
      <c r="L3789">
        <v>0</v>
      </c>
      <c r="N3789" t="s">
        <v>351</v>
      </c>
      <c r="O3789">
        <v>1</v>
      </c>
      <c r="P3789" t="s">
        <v>352</v>
      </c>
      <c r="Q3789" t="s">
        <v>353</v>
      </c>
      <c r="R3789" t="s">
        <v>201</v>
      </c>
      <c r="S3789">
        <v>1</v>
      </c>
      <c r="T3789">
        <v>1</v>
      </c>
      <c r="U3789">
        <v>98928</v>
      </c>
      <c r="V3789">
        <v>98928</v>
      </c>
    </row>
    <row r="3790" spans="1:22">
      <c r="A3790" t="s">
        <v>196</v>
      </c>
      <c r="B3790">
        <v>70</v>
      </c>
      <c r="C3790" t="s">
        <v>40</v>
      </c>
      <c r="D3790">
        <v>100</v>
      </c>
      <c r="E3790" t="s">
        <v>197</v>
      </c>
      <c r="F3790">
        <v>1005</v>
      </c>
      <c r="G3790" t="s">
        <v>40</v>
      </c>
      <c r="H3790">
        <v>2005</v>
      </c>
      <c r="I3790" t="s">
        <v>40</v>
      </c>
      <c r="J3790">
        <v>3011</v>
      </c>
      <c r="K3790" t="s">
        <v>1635</v>
      </c>
      <c r="L3790">
        <v>0</v>
      </c>
      <c r="N3790" t="s">
        <v>274</v>
      </c>
      <c r="O3790">
        <v>9</v>
      </c>
      <c r="P3790">
        <v>313</v>
      </c>
      <c r="Q3790" t="s">
        <v>605</v>
      </c>
      <c r="R3790" t="s">
        <v>201</v>
      </c>
      <c r="S3790">
        <v>1</v>
      </c>
      <c r="T3790">
        <v>1</v>
      </c>
      <c r="U3790">
        <v>146808</v>
      </c>
      <c r="V3790">
        <v>146808</v>
      </c>
    </row>
    <row r="3791" spans="1:22">
      <c r="A3791" t="s">
        <v>196</v>
      </c>
      <c r="B3791">
        <v>70</v>
      </c>
      <c r="C3791" t="s">
        <v>40</v>
      </c>
      <c r="D3791">
        <v>100</v>
      </c>
      <c r="E3791" t="s">
        <v>197</v>
      </c>
      <c r="F3791">
        <v>1005</v>
      </c>
      <c r="G3791" t="s">
        <v>40</v>
      </c>
      <c r="H3791">
        <v>2005</v>
      </c>
      <c r="I3791" t="s">
        <v>40</v>
      </c>
      <c r="J3791">
        <v>3011</v>
      </c>
      <c r="K3791" t="s">
        <v>1635</v>
      </c>
      <c r="L3791">
        <v>0</v>
      </c>
      <c r="N3791" t="s">
        <v>199</v>
      </c>
      <c r="O3791">
        <v>0</v>
      </c>
      <c r="P3791">
        <v>15</v>
      </c>
      <c r="Q3791" t="s">
        <v>264</v>
      </c>
      <c r="R3791" t="s">
        <v>201</v>
      </c>
      <c r="S3791">
        <v>0</v>
      </c>
      <c r="T3791">
        <v>0</v>
      </c>
      <c r="U3791">
        <v>7369</v>
      </c>
      <c r="V3791">
        <v>7369</v>
      </c>
    </row>
    <row r="3792" spans="1:22">
      <c r="A3792" t="s">
        <v>196</v>
      </c>
      <c r="B3792">
        <v>70</v>
      </c>
      <c r="C3792" t="s">
        <v>40</v>
      </c>
      <c r="D3792">
        <v>100</v>
      </c>
      <c r="E3792" t="s">
        <v>197</v>
      </c>
      <c r="F3792">
        <v>1005</v>
      </c>
      <c r="G3792" t="s">
        <v>40</v>
      </c>
      <c r="H3792">
        <v>2005</v>
      </c>
      <c r="I3792" t="s">
        <v>40</v>
      </c>
      <c r="J3792">
        <v>3012</v>
      </c>
      <c r="K3792" t="s">
        <v>1636</v>
      </c>
      <c r="L3792">
        <v>0</v>
      </c>
      <c r="N3792" t="s">
        <v>249</v>
      </c>
      <c r="O3792">
        <v>10</v>
      </c>
      <c r="P3792">
        <v>3092</v>
      </c>
      <c r="Q3792" t="s">
        <v>750</v>
      </c>
      <c r="R3792" t="s">
        <v>201</v>
      </c>
      <c r="S3792">
        <v>1</v>
      </c>
      <c r="T3792">
        <v>1</v>
      </c>
      <c r="U3792">
        <v>102444</v>
      </c>
      <c r="V3792">
        <v>102444</v>
      </c>
    </row>
    <row r="3793" spans="1:22">
      <c r="A3793" t="s">
        <v>196</v>
      </c>
      <c r="B3793">
        <v>70</v>
      </c>
      <c r="C3793" t="s">
        <v>40</v>
      </c>
      <c r="D3793">
        <v>100</v>
      </c>
      <c r="E3793" t="s">
        <v>197</v>
      </c>
      <c r="F3793">
        <v>1005</v>
      </c>
      <c r="G3793" t="s">
        <v>40</v>
      </c>
      <c r="H3793">
        <v>2005</v>
      </c>
      <c r="I3793" t="s">
        <v>40</v>
      </c>
      <c r="J3793">
        <v>3012</v>
      </c>
      <c r="K3793" t="s">
        <v>1636</v>
      </c>
      <c r="L3793">
        <v>0</v>
      </c>
      <c r="N3793" t="s">
        <v>372</v>
      </c>
      <c r="O3793">
        <v>4</v>
      </c>
      <c r="P3793">
        <v>1912</v>
      </c>
      <c r="Q3793" t="s">
        <v>608</v>
      </c>
      <c r="R3793" t="s">
        <v>201</v>
      </c>
      <c r="S3793">
        <v>1</v>
      </c>
      <c r="T3793">
        <v>1</v>
      </c>
      <c r="U3793">
        <v>113628</v>
      </c>
      <c r="V3793">
        <v>113628</v>
      </c>
    </row>
    <row r="3794" spans="1:22">
      <c r="A3794" t="s">
        <v>196</v>
      </c>
      <c r="B3794">
        <v>70</v>
      </c>
      <c r="C3794" t="s">
        <v>40</v>
      </c>
      <c r="D3794">
        <v>100</v>
      </c>
      <c r="E3794" t="s">
        <v>197</v>
      </c>
      <c r="F3794">
        <v>1005</v>
      </c>
      <c r="G3794" t="s">
        <v>40</v>
      </c>
      <c r="H3794">
        <v>2005</v>
      </c>
      <c r="I3794" t="s">
        <v>40</v>
      </c>
      <c r="J3794">
        <v>3012</v>
      </c>
      <c r="K3794" t="s">
        <v>1636</v>
      </c>
      <c r="L3794">
        <v>0</v>
      </c>
      <c r="N3794" t="s">
        <v>372</v>
      </c>
      <c r="O3794">
        <v>4</v>
      </c>
      <c r="P3794">
        <v>1912</v>
      </c>
      <c r="Q3794" t="s">
        <v>608</v>
      </c>
      <c r="R3794" t="s">
        <v>201</v>
      </c>
      <c r="S3794">
        <v>1</v>
      </c>
      <c r="T3794">
        <v>1</v>
      </c>
      <c r="U3794">
        <v>81324</v>
      </c>
      <c r="V3794">
        <v>81324</v>
      </c>
    </row>
    <row r="3795" spans="1:22">
      <c r="A3795" t="s">
        <v>196</v>
      </c>
      <c r="B3795">
        <v>70</v>
      </c>
      <c r="C3795" t="s">
        <v>40</v>
      </c>
      <c r="D3795">
        <v>100</v>
      </c>
      <c r="E3795" t="s">
        <v>197</v>
      </c>
      <c r="F3795">
        <v>1005</v>
      </c>
      <c r="G3795" t="s">
        <v>40</v>
      </c>
      <c r="H3795">
        <v>2005</v>
      </c>
      <c r="I3795" t="s">
        <v>40</v>
      </c>
      <c r="J3795">
        <v>3012</v>
      </c>
      <c r="K3795" t="s">
        <v>1636</v>
      </c>
      <c r="L3795">
        <v>0</v>
      </c>
      <c r="N3795" t="s">
        <v>372</v>
      </c>
      <c r="O3795">
        <v>4</v>
      </c>
      <c r="P3795">
        <v>1912</v>
      </c>
      <c r="Q3795" t="s">
        <v>608</v>
      </c>
      <c r="R3795" t="s">
        <v>201</v>
      </c>
      <c r="S3795">
        <v>2</v>
      </c>
      <c r="T3795">
        <v>1</v>
      </c>
      <c r="U3795">
        <v>77640</v>
      </c>
      <c r="V3795">
        <v>155280</v>
      </c>
    </row>
    <row r="3796" spans="1:22">
      <c r="A3796" t="s">
        <v>196</v>
      </c>
      <c r="B3796">
        <v>70</v>
      </c>
      <c r="C3796" t="s">
        <v>40</v>
      </c>
      <c r="D3796">
        <v>100</v>
      </c>
      <c r="E3796" t="s">
        <v>197</v>
      </c>
      <c r="F3796">
        <v>1005</v>
      </c>
      <c r="G3796" t="s">
        <v>40</v>
      </c>
      <c r="H3796">
        <v>2005</v>
      </c>
      <c r="I3796" t="s">
        <v>40</v>
      </c>
      <c r="J3796">
        <v>3012</v>
      </c>
      <c r="K3796" t="s">
        <v>1636</v>
      </c>
      <c r="L3796">
        <v>0</v>
      </c>
      <c r="N3796" t="s">
        <v>274</v>
      </c>
      <c r="O3796">
        <v>9</v>
      </c>
      <c r="P3796">
        <v>313</v>
      </c>
      <c r="Q3796" t="s">
        <v>605</v>
      </c>
      <c r="R3796" t="s">
        <v>201</v>
      </c>
      <c r="S3796">
        <v>1</v>
      </c>
      <c r="T3796">
        <v>1</v>
      </c>
      <c r="U3796">
        <v>137532</v>
      </c>
      <c r="V3796">
        <v>137532</v>
      </c>
    </row>
    <row r="3797" spans="1:22">
      <c r="A3797" t="s">
        <v>196</v>
      </c>
      <c r="B3797">
        <v>70</v>
      </c>
      <c r="C3797" t="s">
        <v>40</v>
      </c>
      <c r="D3797">
        <v>100</v>
      </c>
      <c r="E3797" t="s">
        <v>197</v>
      </c>
      <c r="F3797">
        <v>1005</v>
      </c>
      <c r="G3797" t="s">
        <v>40</v>
      </c>
      <c r="H3797">
        <v>2005</v>
      </c>
      <c r="I3797" t="s">
        <v>40</v>
      </c>
      <c r="J3797">
        <v>3012</v>
      </c>
      <c r="K3797" t="s">
        <v>1636</v>
      </c>
      <c r="L3797">
        <v>0</v>
      </c>
      <c r="N3797" t="s">
        <v>199</v>
      </c>
      <c r="O3797">
        <v>0</v>
      </c>
      <c r="P3797">
        <v>15</v>
      </c>
      <c r="Q3797" t="s">
        <v>264</v>
      </c>
      <c r="R3797" t="s">
        <v>201</v>
      </c>
      <c r="S3797">
        <v>0</v>
      </c>
      <c r="T3797">
        <v>0</v>
      </c>
      <c r="U3797">
        <v>13084</v>
      </c>
      <c r="V3797">
        <v>13084</v>
      </c>
    </row>
    <row r="3798" spans="1:22">
      <c r="A3798" t="s">
        <v>196</v>
      </c>
      <c r="B3798">
        <v>70</v>
      </c>
      <c r="C3798" t="s">
        <v>40</v>
      </c>
      <c r="D3798">
        <v>100</v>
      </c>
      <c r="E3798" t="s">
        <v>197</v>
      </c>
      <c r="F3798">
        <v>1005</v>
      </c>
      <c r="G3798" t="s">
        <v>40</v>
      </c>
      <c r="H3798">
        <v>2005</v>
      </c>
      <c r="I3798" t="s">
        <v>40</v>
      </c>
      <c r="J3798">
        <v>3013</v>
      </c>
      <c r="K3798" t="s">
        <v>1637</v>
      </c>
      <c r="L3798">
        <v>4041</v>
      </c>
      <c r="M3798" t="s">
        <v>1638</v>
      </c>
      <c r="N3798" t="s">
        <v>266</v>
      </c>
      <c r="O3798">
        <v>9</v>
      </c>
      <c r="P3798">
        <v>9679</v>
      </c>
      <c r="Q3798" t="s">
        <v>338</v>
      </c>
      <c r="R3798" t="s">
        <v>201</v>
      </c>
      <c r="S3798">
        <v>1</v>
      </c>
      <c r="T3798">
        <v>1</v>
      </c>
      <c r="U3798">
        <v>157332</v>
      </c>
      <c r="V3798">
        <v>157332</v>
      </c>
    </row>
    <row r="3799" spans="1:22">
      <c r="A3799" t="s">
        <v>196</v>
      </c>
      <c r="B3799">
        <v>70</v>
      </c>
      <c r="C3799" t="s">
        <v>40</v>
      </c>
      <c r="D3799">
        <v>100</v>
      </c>
      <c r="E3799" t="s">
        <v>197</v>
      </c>
      <c r="F3799">
        <v>1005</v>
      </c>
      <c r="G3799" t="s">
        <v>40</v>
      </c>
      <c r="H3799">
        <v>2005</v>
      </c>
      <c r="I3799" t="s">
        <v>40</v>
      </c>
      <c r="J3799">
        <v>3013</v>
      </c>
      <c r="K3799" t="s">
        <v>1637</v>
      </c>
      <c r="L3799">
        <v>4041</v>
      </c>
      <c r="M3799" t="s">
        <v>1638</v>
      </c>
      <c r="N3799" t="s">
        <v>372</v>
      </c>
      <c r="O3799">
        <v>1</v>
      </c>
      <c r="P3799">
        <v>9003</v>
      </c>
      <c r="Q3799" t="s">
        <v>1417</v>
      </c>
      <c r="R3799" t="s">
        <v>201</v>
      </c>
      <c r="S3799">
        <v>1</v>
      </c>
      <c r="T3799">
        <v>1</v>
      </c>
      <c r="U3799">
        <v>130668</v>
      </c>
      <c r="V3799">
        <v>130668</v>
      </c>
    </row>
    <row r="3800" spans="1:22">
      <c r="A3800" t="s">
        <v>196</v>
      </c>
      <c r="B3800">
        <v>70</v>
      </c>
      <c r="C3800" t="s">
        <v>40</v>
      </c>
      <c r="D3800">
        <v>100</v>
      </c>
      <c r="E3800" t="s">
        <v>197</v>
      </c>
      <c r="F3800">
        <v>1005</v>
      </c>
      <c r="G3800" t="s">
        <v>40</v>
      </c>
      <c r="H3800">
        <v>2005</v>
      </c>
      <c r="I3800" t="s">
        <v>40</v>
      </c>
      <c r="J3800">
        <v>3013</v>
      </c>
      <c r="K3800" t="s">
        <v>1637</v>
      </c>
      <c r="L3800">
        <v>4041</v>
      </c>
      <c r="M3800" t="s">
        <v>1638</v>
      </c>
      <c r="N3800" t="s">
        <v>372</v>
      </c>
      <c r="O3800">
        <v>1</v>
      </c>
      <c r="P3800">
        <v>9003</v>
      </c>
      <c r="Q3800" t="s">
        <v>1417</v>
      </c>
      <c r="R3800" t="s">
        <v>201</v>
      </c>
      <c r="S3800">
        <v>1</v>
      </c>
      <c r="T3800">
        <v>1</v>
      </c>
      <c r="U3800">
        <v>113628</v>
      </c>
      <c r="V3800">
        <v>113628</v>
      </c>
    </row>
    <row r="3801" spans="1:22">
      <c r="A3801" t="s">
        <v>196</v>
      </c>
      <c r="B3801">
        <v>70</v>
      </c>
      <c r="C3801" t="s">
        <v>40</v>
      </c>
      <c r="D3801">
        <v>100</v>
      </c>
      <c r="E3801" t="s">
        <v>197</v>
      </c>
      <c r="F3801">
        <v>1005</v>
      </c>
      <c r="G3801" t="s">
        <v>40</v>
      </c>
      <c r="H3801">
        <v>2005</v>
      </c>
      <c r="I3801" t="s">
        <v>40</v>
      </c>
      <c r="J3801">
        <v>3013</v>
      </c>
      <c r="K3801" t="s">
        <v>1637</v>
      </c>
      <c r="L3801">
        <v>4041</v>
      </c>
      <c r="M3801" t="s">
        <v>1638</v>
      </c>
      <c r="N3801" t="s">
        <v>372</v>
      </c>
      <c r="O3801">
        <v>4</v>
      </c>
      <c r="P3801">
        <v>1912</v>
      </c>
      <c r="Q3801" t="s">
        <v>608</v>
      </c>
      <c r="R3801" t="s">
        <v>201</v>
      </c>
      <c r="S3801">
        <v>2</v>
      </c>
      <c r="T3801">
        <v>1</v>
      </c>
      <c r="U3801">
        <v>81324</v>
      </c>
      <c r="V3801">
        <v>162648</v>
      </c>
    </row>
    <row r="3802" spans="1:22">
      <c r="A3802" t="s">
        <v>196</v>
      </c>
      <c r="B3802">
        <v>70</v>
      </c>
      <c r="C3802" t="s">
        <v>40</v>
      </c>
      <c r="D3802">
        <v>100</v>
      </c>
      <c r="E3802" t="s">
        <v>197</v>
      </c>
      <c r="F3802">
        <v>1005</v>
      </c>
      <c r="G3802" t="s">
        <v>40</v>
      </c>
      <c r="H3802">
        <v>2005</v>
      </c>
      <c r="I3802" t="s">
        <v>40</v>
      </c>
      <c r="J3802">
        <v>3013</v>
      </c>
      <c r="K3802" t="s">
        <v>1637</v>
      </c>
      <c r="L3802">
        <v>4041</v>
      </c>
      <c r="M3802" t="s">
        <v>1638</v>
      </c>
      <c r="N3802" t="s">
        <v>351</v>
      </c>
      <c r="O3802">
        <v>1</v>
      </c>
      <c r="P3802" t="s">
        <v>352</v>
      </c>
      <c r="Q3802" t="s">
        <v>353</v>
      </c>
      <c r="R3802" t="s">
        <v>201</v>
      </c>
      <c r="S3802">
        <v>2</v>
      </c>
      <c r="T3802">
        <v>1</v>
      </c>
      <c r="U3802">
        <v>108576</v>
      </c>
      <c r="V3802">
        <v>217152</v>
      </c>
    </row>
    <row r="3803" spans="1:22">
      <c r="A3803" t="s">
        <v>196</v>
      </c>
      <c r="B3803">
        <v>70</v>
      </c>
      <c r="C3803" t="s">
        <v>40</v>
      </c>
      <c r="D3803">
        <v>100</v>
      </c>
      <c r="E3803" t="s">
        <v>197</v>
      </c>
      <c r="F3803">
        <v>1005</v>
      </c>
      <c r="G3803" t="s">
        <v>40</v>
      </c>
      <c r="H3803">
        <v>2005</v>
      </c>
      <c r="I3803" t="s">
        <v>40</v>
      </c>
      <c r="J3803">
        <v>3013</v>
      </c>
      <c r="K3803" t="s">
        <v>1637</v>
      </c>
      <c r="L3803">
        <v>4041</v>
      </c>
      <c r="M3803" t="s">
        <v>1638</v>
      </c>
      <c r="N3803" t="s">
        <v>351</v>
      </c>
      <c r="O3803">
        <v>1</v>
      </c>
      <c r="P3803" t="s">
        <v>352</v>
      </c>
      <c r="Q3803" t="s">
        <v>353</v>
      </c>
      <c r="R3803" t="s">
        <v>201</v>
      </c>
      <c r="S3803">
        <v>1</v>
      </c>
      <c r="T3803">
        <v>1</v>
      </c>
      <c r="U3803">
        <v>62544</v>
      </c>
      <c r="V3803">
        <v>62544</v>
      </c>
    </row>
    <row r="3804" spans="1:22">
      <c r="A3804" t="s">
        <v>196</v>
      </c>
      <c r="B3804">
        <v>70</v>
      </c>
      <c r="C3804" t="s">
        <v>40</v>
      </c>
      <c r="D3804">
        <v>100</v>
      </c>
      <c r="E3804" t="s">
        <v>197</v>
      </c>
      <c r="F3804">
        <v>1005</v>
      </c>
      <c r="G3804" t="s">
        <v>40</v>
      </c>
      <c r="H3804">
        <v>2005</v>
      </c>
      <c r="I3804" t="s">
        <v>40</v>
      </c>
      <c r="J3804">
        <v>3013</v>
      </c>
      <c r="K3804" t="s">
        <v>1637</v>
      </c>
      <c r="L3804">
        <v>4041</v>
      </c>
      <c r="M3804" t="s">
        <v>1638</v>
      </c>
      <c r="N3804" t="s">
        <v>253</v>
      </c>
      <c r="O3804">
        <v>10</v>
      </c>
      <c r="P3804">
        <v>352</v>
      </c>
      <c r="Q3804" t="s">
        <v>1639</v>
      </c>
      <c r="R3804" t="s">
        <v>201</v>
      </c>
      <c r="S3804">
        <v>1</v>
      </c>
      <c r="T3804">
        <v>1</v>
      </c>
      <c r="U3804">
        <v>93384</v>
      </c>
      <c r="V3804">
        <v>93384</v>
      </c>
    </row>
    <row r="3805" spans="1:22">
      <c r="A3805" t="s">
        <v>196</v>
      </c>
      <c r="B3805">
        <v>70</v>
      </c>
      <c r="C3805" t="s">
        <v>40</v>
      </c>
      <c r="D3805">
        <v>100</v>
      </c>
      <c r="E3805" t="s">
        <v>197</v>
      </c>
      <c r="F3805">
        <v>1005</v>
      </c>
      <c r="G3805" t="s">
        <v>40</v>
      </c>
      <c r="H3805">
        <v>2005</v>
      </c>
      <c r="I3805" t="s">
        <v>40</v>
      </c>
      <c r="J3805">
        <v>3013</v>
      </c>
      <c r="K3805" t="s">
        <v>1637</v>
      </c>
      <c r="L3805">
        <v>4041</v>
      </c>
      <c r="M3805" t="s">
        <v>1638</v>
      </c>
      <c r="N3805" t="s">
        <v>274</v>
      </c>
      <c r="O3805">
        <v>9</v>
      </c>
      <c r="P3805">
        <v>313</v>
      </c>
      <c r="Q3805" t="s">
        <v>605</v>
      </c>
      <c r="R3805" t="s">
        <v>201</v>
      </c>
      <c r="S3805">
        <v>2</v>
      </c>
      <c r="T3805">
        <v>1</v>
      </c>
      <c r="U3805">
        <v>146808</v>
      </c>
      <c r="V3805">
        <v>293616</v>
      </c>
    </row>
    <row r="3806" spans="1:22">
      <c r="A3806" t="s">
        <v>196</v>
      </c>
      <c r="B3806">
        <v>70</v>
      </c>
      <c r="C3806" t="s">
        <v>40</v>
      </c>
      <c r="D3806">
        <v>100</v>
      </c>
      <c r="E3806" t="s">
        <v>197</v>
      </c>
      <c r="F3806">
        <v>1005</v>
      </c>
      <c r="G3806" t="s">
        <v>40</v>
      </c>
      <c r="H3806">
        <v>2005</v>
      </c>
      <c r="I3806" t="s">
        <v>40</v>
      </c>
      <c r="J3806">
        <v>3013</v>
      </c>
      <c r="K3806" t="s">
        <v>1637</v>
      </c>
      <c r="L3806">
        <v>4041</v>
      </c>
      <c r="M3806" t="s">
        <v>1638</v>
      </c>
      <c r="N3806" t="s">
        <v>199</v>
      </c>
      <c r="O3806">
        <v>0</v>
      </c>
      <c r="P3806">
        <v>15</v>
      </c>
      <c r="Q3806" t="s">
        <v>264</v>
      </c>
      <c r="R3806" t="s">
        <v>201</v>
      </c>
      <c r="S3806">
        <v>0</v>
      </c>
      <c r="T3806">
        <v>0</v>
      </c>
      <c r="U3806">
        <v>16758</v>
      </c>
      <c r="V3806">
        <v>16758</v>
      </c>
    </row>
    <row r="3807" spans="1:22">
      <c r="A3807" t="s">
        <v>196</v>
      </c>
      <c r="B3807">
        <v>70</v>
      </c>
      <c r="C3807" t="s">
        <v>40</v>
      </c>
      <c r="D3807">
        <v>100</v>
      </c>
      <c r="E3807" t="s">
        <v>197</v>
      </c>
      <c r="F3807">
        <v>1005</v>
      </c>
      <c r="G3807" t="s">
        <v>40</v>
      </c>
      <c r="H3807">
        <v>2005</v>
      </c>
      <c r="I3807" t="s">
        <v>40</v>
      </c>
      <c r="J3807">
        <v>3013</v>
      </c>
      <c r="K3807" t="s">
        <v>1637</v>
      </c>
      <c r="L3807">
        <v>4042</v>
      </c>
      <c r="M3807" t="s">
        <v>1640</v>
      </c>
      <c r="N3807" t="s">
        <v>253</v>
      </c>
      <c r="O3807">
        <v>10</v>
      </c>
      <c r="P3807">
        <v>352</v>
      </c>
      <c r="Q3807" t="s">
        <v>1639</v>
      </c>
      <c r="R3807" t="s">
        <v>201</v>
      </c>
      <c r="S3807">
        <v>1</v>
      </c>
      <c r="T3807">
        <v>1</v>
      </c>
      <c r="U3807">
        <v>103488</v>
      </c>
      <c r="V3807">
        <v>103488</v>
      </c>
    </row>
    <row r="3808" spans="1:22">
      <c r="A3808" t="s">
        <v>196</v>
      </c>
      <c r="B3808">
        <v>70</v>
      </c>
      <c r="C3808" t="s">
        <v>40</v>
      </c>
      <c r="D3808">
        <v>100</v>
      </c>
      <c r="E3808" t="s">
        <v>197</v>
      </c>
      <c r="F3808">
        <v>1005</v>
      </c>
      <c r="G3808" t="s">
        <v>40</v>
      </c>
      <c r="H3808">
        <v>2005</v>
      </c>
      <c r="I3808" t="s">
        <v>40</v>
      </c>
      <c r="J3808">
        <v>3013</v>
      </c>
      <c r="K3808" t="s">
        <v>1637</v>
      </c>
      <c r="L3808">
        <v>4042</v>
      </c>
      <c r="M3808" t="s">
        <v>1640</v>
      </c>
      <c r="N3808" t="s">
        <v>253</v>
      </c>
      <c r="O3808">
        <v>10</v>
      </c>
      <c r="P3808">
        <v>352</v>
      </c>
      <c r="Q3808" t="s">
        <v>1639</v>
      </c>
      <c r="R3808" t="s">
        <v>201</v>
      </c>
      <c r="S3808">
        <v>1</v>
      </c>
      <c r="T3808">
        <v>1</v>
      </c>
      <c r="U3808">
        <v>93384</v>
      </c>
      <c r="V3808">
        <v>93384</v>
      </c>
    </row>
    <row r="3809" spans="1:22">
      <c r="A3809" t="s">
        <v>196</v>
      </c>
      <c r="B3809">
        <v>70</v>
      </c>
      <c r="C3809" t="s">
        <v>40</v>
      </c>
      <c r="D3809">
        <v>100</v>
      </c>
      <c r="E3809" t="s">
        <v>197</v>
      </c>
      <c r="F3809">
        <v>1005</v>
      </c>
      <c r="G3809" t="s">
        <v>40</v>
      </c>
      <c r="H3809">
        <v>2005</v>
      </c>
      <c r="I3809" t="s">
        <v>40</v>
      </c>
      <c r="J3809">
        <v>3013</v>
      </c>
      <c r="K3809" t="s">
        <v>1637</v>
      </c>
      <c r="L3809">
        <v>4042</v>
      </c>
      <c r="M3809" t="s">
        <v>1640</v>
      </c>
      <c r="N3809" t="s">
        <v>253</v>
      </c>
      <c r="O3809">
        <v>10</v>
      </c>
      <c r="P3809">
        <v>352</v>
      </c>
      <c r="Q3809" t="s">
        <v>1639</v>
      </c>
      <c r="R3809" t="s">
        <v>201</v>
      </c>
      <c r="S3809">
        <v>1</v>
      </c>
      <c r="T3809">
        <v>1</v>
      </c>
      <c r="U3809">
        <v>83052</v>
      </c>
      <c r="V3809">
        <v>83052</v>
      </c>
    </row>
    <row r="3810" spans="1:22">
      <c r="A3810" t="s">
        <v>196</v>
      </c>
      <c r="B3810">
        <v>70</v>
      </c>
      <c r="C3810" t="s">
        <v>40</v>
      </c>
      <c r="D3810">
        <v>100</v>
      </c>
      <c r="E3810" t="s">
        <v>197</v>
      </c>
      <c r="F3810">
        <v>1005</v>
      </c>
      <c r="G3810" t="s">
        <v>40</v>
      </c>
      <c r="H3810">
        <v>2005</v>
      </c>
      <c r="I3810" t="s">
        <v>40</v>
      </c>
      <c r="J3810">
        <v>3013</v>
      </c>
      <c r="K3810" t="s">
        <v>1637</v>
      </c>
      <c r="L3810">
        <v>4042</v>
      </c>
      <c r="M3810" t="s">
        <v>1640</v>
      </c>
      <c r="N3810" t="s">
        <v>372</v>
      </c>
      <c r="O3810">
        <v>1</v>
      </c>
      <c r="P3810">
        <v>351</v>
      </c>
      <c r="Q3810" t="s">
        <v>1641</v>
      </c>
      <c r="R3810" t="s">
        <v>201</v>
      </c>
      <c r="S3810">
        <v>2</v>
      </c>
      <c r="T3810">
        <v>1</v>
      </c>
      <c r="U3810">
        <v>119100</v>
      </c>
      <c r="V3810">
        <v>238200</v>
      </c>
    </row>
    <row r="3811" spans="1:22">
      <c r="A3811" t="s">
        <v>196</v>
      </c>
      <c r="B3811">
        <v>70</v>
      </c>
      <c r="C3811" t="s">
        <v>40</v>
      </c>
      <c r="D3811">
        <v>100</v>
      </c>
      <c r="E3811" t="s">
        <v>197</v>
      </c>
      <c r="F3811">
        <v>1005</v>
      </c>
      <c r="G3811" t="s">
        <v>40</v>
      </c>
      <c r="H3811">
        <v>2005</v>
      </c>
      <c r="I3811" t="s">
        <v>40</v>
      </c>
      <c r="J3811">
        <v>3013</v>
      </c>
      <c r="K3811" t="s">
        <v>1637</v>
      </c>
      <c r="L3811">
        <v>4042</v>
      </c>
      <c r="M3811" t="s">
        <v>1640</v>
      </c>
      <c r="N3811" t="s">
        <v>372</v>
      </c>
      <c r="O3811">
        <v>1</v>
      </c>
      <c r="P3811">
        <v>351</v>
      </c>
      <c r="Q3811" t="s">
        <v>1641</v>
      </c>
      <c r="R3811" t="s">
        <v>201</v>
      </c>
      <c r="S3811">
        <v>2</v>
      </c>
      <c r="T3811">
        <v>1</v>
      </c>
      <c r="U3811">
        <v>113628</v>
      </c>
      <c r="V3811">
        <v>227256</v>
      </c>
    </row>
    <row r="3812" spans="1:22">
      <c r="A3812" t="s">
        <v>196</v>
      </c>
      <c r="B3812">
        <v>70</v>
      </c>
      <c r="C3812" t="s">
        <v>40</v>
      </c>
      <c r="D3812">
        <v>100</v>
      </c>
      <c r="E3812" t="s">
        <v>197</v>
      </c>
      <c r="F3812">
        <v>1005</v>
      </c>
      <c r="G3812" t="s">
        <v>40</v>
      </c>
      <c r="H3812">
        <v>2005</v>
      </c>
      <c r="I3812" t="s">
        <v>40</v>
      </c>
      <c r="J3812">
        <v>3013</v>
      </c>
      <c r="K3812" t="s">
        <v>1637</v>
      </c>
      <c r="L3812">
        <v>4042</v>
      </c>
      <c r="M3812" t="s">
        <v>1640</v>
      </c>
      <c r="N3812" t="s">
        <v>372</v>
      </c>
      <c r="O3812">
        <v>1</v>
      </c>
      <c r="P3812">
        <v>351</v>
      </c>
      <c r="Q3812" t="s">
        <v>1641</v>
      </c>
      <c r="R3812" t="s">
        <v>201</v>
      </c>
      <c r="S3812">
        <v>1</v>
      </c>
      <c r="T3812">
        <v>1</v>
      </c>
      <c r="U3812">
        <v>89244</v>
      </c>
      <c r="V3812">
        <v>89244</v>
      </c>
    </row>
    <row r="3813" spans="1:22">
      <c r="A3813" t="s">
        <v>196</v>
      </c>
      <c r="B3813">
        <v>70</v>
      </c>
      <c r="C3813" t="s">
        <v>40</v>
      </c>
      <c r="D3813">
        <v>100</v>
      </c>
      <c r="E3813" t="s">
        <v>197</v>
      </c>
      <c r="F3813">
        <v>1005</v>
      </c>
      <c r="G3813" t="s">
        <v>40</v>
      </c>
      <c r="H3813">
        <v>2005</v>
      </c>
      <c r="I3813" t="s">
        <v>40</v>
      </c>
      <c r="J3813">
        <v>3013</v>
      </c>
      <c r="K3813" t="s">
        <v>1637</v>
      </c>
      <c r="L3813">
        <v>4042</v>
      </c>
      <c r="M3813" t="s">
        <v>1640</v>
      </c>
      <c r="N3813" t="s">
        <v>341</v>
      </c>
      <c r="O3813">
        <v>1</v>
      </c>
      <c r="P3813">
        <v>350</v>
      </c>
      <c r="Q3813" t="s">
        <v>1642</v>
      </c>
      <c r="R3813" t="s">
        <v>201</v>
      </c>
      <c r="S3813">
        <v>1</v>
      </c>
      <c r="T3813">
        <v>1</v>
      </c>
      <c r="U3813">
        <v>81324</v>
      </c>
      <c r="V3813">
        <v>81324</v>
      </c>
    </row>
    <row r="3814" spans="1:22">
      <c r="A3814" t="s">
        <v>196</v>
      </c>
      <c r="B3814">
        <v>70</v>
      </c>
      <c r="C3814" t="s">
        <v>40</v>
      </c>
      <c r="D3814">
        <v>100</v>
      </c>
      <c r="E3814" t="s">
        <v>197</v>
      </c>
      <c r="F3814">
        <v>1005</v>
      </c>
      <c r="G3814" t="s">
        <v>40</v>
      </c>
      <c r="H3814">
        <v>2005</v>
      </c>
      <c r="I3814" t="s">
        <v>40</v>
      </c>
      <c r="J3814">
        <v>3013</v>
      </c>
      <c r="K3814" t="s">
        <v>1637</v>
      </c>
      <c r="L3814">
        <v>4042</v>
      </c>
      <c r="M3814" t="s">
        <v>1640</v>
      </c>
      <c r="N3814" t="s">
        <v>341</v>
      </c>
      <c r="O3814">
        <v>1</v>
      </c>
      <c r="P3814">
        <v>350</v>
      </c>
      <c r="Q3814" t="s">
        <v>1642</v>
      </c>
      <c r="R3814" t="s">
        <v>201</v>
      </c>
      <c r="S3814">
        <v>5</v>
      </c>
      <c r="T3814">
        <v>1</v>
      </c>
      <c r="U3814">
        <v>77640</v>
      </c>
      <c r="V3814">
        <v>388200</v>
      </c>
    </row>
    <row r="3815" spans="1:22">
      <c r="A3815" t="s">
        <v>196</v>
      </c>
      <c r="B3815">
        <v>70</v>
      </c>
      <c r="C3815" t="s">
        <v>40</v>
      </c>
      <c r="D3815">
        <v>100</v>
      </c>
      <c r="E3815" t="s">
        <v>197</v>
      </c>
      <c r="F3815">
        <v>1005</v>
      </c>
      <c r="G3815" t="s">
        <v>40</v>
      </c>
      <c r="H3815">
        <v>2005</v>
      </c>
      <c r="I3815" t="s">
        <v>40</v>
      </c>
      <c r="J3815">
        <v>3013</v>
      </c>
      <c r="K3815" t="s">
        <v>1637</v>
      </c>
      <c r="L3815">
        <v>4042</v>
      </c>
      <c r="M3815" t="s">
        <v>1640</v>
      </c>
      <c r="N3815" t="s">
        <v>199</v>
      </c>
      <c r="O3815">
        <v>0</v>
      </c>
      <c r="P3815">
        <v>15</v>
      </c>
      <c r="Q3815" t="s">
        <v>264</v>
      </c>
      <c r="R3815" t="s">
        <v>201</v>
      </c>
      <c r="S3815">
        <v>0</v>
      </c>
      <c r="T3815">
        <v>0</v>
      </c>
      <c r="U3815">
        <v>7828</v>
      </c>
      <c r="V3815">
        <v>7828</v>
      </c>
    </row>
    <row r="3816" spans="1:22">
      <c r="A3816" t="s">
        <v>196</v>
      </c>
      <c r="B3816">
        <v>70</v>
      </c>
      <c r="C3816" t="s">
        <v>40</v>
      </c>
      <c r="D3816">
        <v>100</v>
      </c>
      <c r="E3816" t="s">
        <v>197</v>
      </c>
      <c r="F3816">
        <v>1005</v>
      </c>
      <c r="G3816" t="s">
        <v>40</v>
      </c>
      <c r="H3816">
        <v>2005</v>
      </c>
      <c r="I3816" t="s">
        <v>40</v>
      </c>
      <c r="J3816">
        <v>3013</v>
      </c>
      <c r="K3816" t="s">
        <v>1637</v>
      </c>
      <c r="L3816">
        <v>4043</v>
      </c>
      <c r="M3816" t="s">
        <v>1643</v>
      </c>
      <c r="N3816" t="s">
        <v>351</v>
      </c>
      <c r="O3816">
        <v>1</v>
      </c>
      <c r="P3816" t="s">
        <v>352</v>
      </c>
      <c r="Q3816" t="s">
        <v>353</v>
      </c>
      <c r="R3816" t="s">
        <v>201</v>
      </c>
      <c r="S3816">
        <v>1</v>
      </c>
      <c r="T3816">
        <v>1</v>
      </c>
      <c r="U3816">
        <v>98928</v>
      </c>
      <c r="V3816">
        <v>98928</v>
      </c>
    </row>
    <row r="3817" spans="1:22">
      <c r="A3817" t="s">
        <v>196</v>
      </c>
      <c r="B3817">
        <v>70</v>
      </c>
      <c r="C3817" t="s">
        <v>40</v>
      </c>
      <c r="D3817">
        <v>100</v>
      </c>
      <c r="E3817" t="s">
        <v>197</v>
      </c>
      <c r="F3817">
        <v>1005</v>
      </c>
      <c r="G3817" t="s">
        <v>40</v>
      </c>
      <c r="H3817">
        <v>2005</v>
      </c>
      <c r="I3817" t="s">
        <v>40</v>
      </c>
      <c r="J3817">
        <v>3013</v>
      </c>
      <c r="K3817" t="s">
        <v>1637</v>
      </c>
      <c r="L3817">
        <v>4043</v>
      </c>
      <c r="M3817" t="s">
        <v>1643</v>
      </c>
      <c r="N3817" t="s">
        <v>351</v>
      </c>
      <c r="O3817">
        <v>1</v>
      </c>
      <c r="P3817" t="s">
        <v>352</v>
      </c>
      <c r="Q3817" t="s">
        <v>353</v>
      </c>
      <c r="R3817" t="s">
        <v>201</v>
      </c>
      <c r="S3817">
        <v>1</v>
      </c>
      <c r="T3817">
        <v>1</v>
      </c>
      <c r="U3817">
        <v>67608</v>
      </c>
      <c r="V3817">
        <v>67608</v>
      </c>
    </row>
    <row r="3818" spans="1:22">
      <c r="A3818" t="s">
        <v>196</v>
      </c>
      <c r="B3818">
        <v>70</v>
      </c>
      <c r="C3818" t="s">
        <v>40</v>
      </c>
      <c r="D3818">
        <v>100</v>
      </c>
      <c r="E3818" t="s">
        <v>197</v>
      </c>
      <c r="F3818">
        <v>1005</v>
      </c>
      <c r="G3818" t="s">
        <v>40</v>
      </c>
      <c r="H3818">
        <v>2005</v>
      </c>
      <c r="I3818" t="s">
        <v>40</v>
      </c>
      <c r="J3818">
        <v>3013</v>
      </c>
      <c r="K3818" t="s">
        <v>1637</v>
      </c>
      <c r="L3818">
        <v>4043</v>
      </c>
      <c r="M3818" t="s">
        <v>1643</v>
      </c>
      <c r="N3818" t="s">
        <v>253</v>
      </c>
      <c r="O3818">
        <v>10</v>
      </c>
      <c r="P3818">
        <v>352</v>
      </c>
      <c r="Q3818" t="s">
        <v>1639</v>
      </c>
      <c r="R3818" t="s">
        <v>201</v>
      </c>
      <c r="S3818">
        <v>1</v>
      </c>
      <c r="T3818">
        <v>1</v>
      </c>
      <c r="U3818">
        <v>93384</v>
      </c>
      <c r="V3818">
        <v>93384</v>
      </c>
    </row>
    <row r="3819" spans="1:22">
      <c r="A3819" t="s">
        <v>196</v>
      </c>
      <c r="B3819">
        <v>70</v>
      </c>
      <c r="C3819" t="s">
        <v>40</v>
      </c>
      <c r="D3819">
        <v>100</v>
      </c>
      <c r="E3819" t="s">
        <v>197</v>
      </c>
      <c r="F3819">
        <v>1005</v>
      </c>
      <c r="G3819" t="s">
        <v>40</v>
      </c>
      <c r="H3819">
        <v>2005</v>
      </c>
      <c r="I3819" t="s">
        <v>40</v>
      </c>
      <c r="J3819">
        <v>3013</v>
      </c>
      <c r="K3819" t="s">
        <v>1637</v>
      </c>
      <c r="L3819">
        <v>4043</v>
      </c>
      <c r="M3819" t="s">
        <v>1643</v>
      </c>
      <c r="N3819" t="s">
        <v>341</v>
      </c>
      <c r="O3819">
        <v>1</v>
      </c>
      <c r="P3819">
        <v>350</v>
      </c>
      <c r="Q3819" t="s">
        <v>1642</v>
      </c>
      <c r="R3819" t="s">
        <v>201</v>
      </c>
      <c r="S3819">
        <v>1</v>
      </c>
      <c r="T3819">
        <v>1</v>
      </c>
      <c r="U3819">
        <v>77640</v>
      </c>
      <c r="V3819">
        <v>77640</v>
      </c>
    </row>
    <row r="3820" spans="1:22">
      <c r="A3820" t="s">
        <v>196</v>
      </c>
      <c r="B3820">
        <v>70</v>
      </c>
      <c r="C3820" t="s">
        <v>40</v>
      </c>
      <c r="D3820">
        <v>100</v>
      </c>
      <c r="E3820" t="s">
        <v>197</v>
      </c>
      <c r="F3820">
        <v>1005</v>
      </c>
      <c r="G3820" t="s">
        <v>40</v>
      </c>
      <c r="H3820">
        <v>2005</v>
      </c>
      <c r="I3820" t="s">
        <v>40</v>
      </c>
      <c r="J3820">
        <v>3013</v>
      </c>
      <c r="K3820" t="s">
        <v>1637</v>
      </c>
      <c r="L3820">
        <v>4043</v>
      </c>
      <c r="M3820" t="s">
        <v>1643</v>
      </c>
      <c r="N3820" t="s">
        <v>199</v>
      </c>
      <c r="O3820">
        <v>0</v>
      </c>
      <c r="P3820">
        <v>15</v>
      </c>
      <c r="Q3820" t="s">
        <v>264</v>
      </c>
      <c r="R3820" t="s">
        <v>201</v>
      </c>
      <c r="S3820">
        <v>0</v>
      </c>
      <c r="T3820">
        <v>0</v>
      </c>
      <c r="U3820">
        <v>7659</v>
      </c>
      <c r="V3820">
        <v>7659</v>
      </c>
    </row>
    <row r="3821" spans="1:22">
      <c r="A3821" t="s">
        <v>196</v>
      </c>
      <c r="B3821">
        <v>70</v>
      </c>
      <c r="C3821" t="s">
        <v>40</v>
      </c>
      <c r="D3821">
        <v>100</v>
      </c>
      <c r="E3821" t="s">
        <v>197</v>
      </c>
      <c r="F3821">
        <v>1005</v>
      </c>
      <c r="G3821" t="s">
        <v>40</v>
      </c>
      <c r="H3821">
        <v>2005</v>
      </c>
      <c r="I3821" t="s">
        <v>40</v>
      </c>
      <c r="J3821">
        <v>3018</v>
      </c>
      <c r="K3821" t="s">
        <v>1644</v>
      </c>
      <c r="L3821">
        <v>4024</v>
      </c>
      <c r="M3821" t="s">
        <v>1645</v>
      </c>
      <c r="N3821" t="s">
        <v>266</v>
      </c>
      <c r="O3821">
        <v>9</v>
      </c>
      <c r="P3821">
        <v>9679</v>
      </c>
      <c r="Q3821" t="s">
        <v>338</v>
      </c>
      <c r="R3821" t="s">
        <v>201</v>
      </c>
      <c r="S3821">
        <v>1</v>
      </c>
      <c r="T3821">
        <v>1</v>
      </c>
      <c r="U3821">
        <v>167964</v>
      </c>
      <c r="V3821">
        <v>167964</v>
      </c>
    </row>
    <row r="3822" spans="1:22">
      <c r="A3822" t="s">
        <v>196</v>
      </c>
      <c r="B3822">
        <v>70</v>
      </c>
      <c r="C3822" t="s">
        <v>40</v>
      </c>
      <c r="D3822">
        <v>100</v>
      </c>
      <c r="E3822" t="s">
        <v>197</v>
      </c>
      <c r="F3822">
        <v>1005</v>
      </c>
      <c r="G3822" t="s">
        <v>40</v>
      </c>
      <c r="H3822">
        <v>2005</v>
      </c>
      <c r="I3822" t="s">
        <v>40</v>
      </c>
      <c r="J3822">
        <v>3018</v>
      </c>
      <c r="K3822" t="s">
        <v>1644</v>
      </c>
      <c r="L3822">
        <v>4024</v>
      </c>
      <c r="M3822" t="s">
        <v>1645</v>
      </c>
      <c r="N3822" t="s">
        <v>372</v>
      </c>
      <c r="O3822">
        <v>1</v>
      </c>
      <c r="P3822">
        <v>9003</v>
      </c>
      <c r="Q3822" t="s">
        <v>1417</v>
      </c>
      <c r="R3822" t="s">
        <v>201</v>
      </c>
      <c r="S3822">
        <v>1</v>
      </c>
      <c r="T3822">
        <v>1</v>
      </c>
      <c r="U3822">
        <v>77640</v>
      </c>
      <c r="V3822">
        <v>77640</v>
      </c>
    </row>
    <row r="3823" spans="1:22">
      <c r="A3823" t="s">
        <v>196</v>
      </c>
      <c r="B3823">
        <v>70</v>
      </c>
      <c r="C3823" t="s">
        <v>40</v>
      </c>
      <c r="D3823">
        <v>100</v>
      </c>
      <c r="E3823" t="s">
        <v>197</v>
      </c>
      <c r="F3823">
        <v>1005</v>
      </c>
      <c r="G3823" t="s">
        <v>40</v>
      </c>
      <c r="H3823">
        <v>2005</v>
      </c>
      <c r="I3823" t="s">
        <v>40</v>
      </c>
      <c r="J3823">
        <v>3018</v>
      </c>
      <c r="K3823" t="s">
        <v>1644</v>
      </c>
      <c r="L3823">
        <v>4024</v>
      </c>
      <c r="M3823" t="s">
        <v>1645</v>
      </c>
      <c r="N3823" t="s">
        <v>249</v>
      </c>
      <c r="O3823">
        <v>10</v>
      </c>
      <c r="P3823">
        <v>3092</v>
      </c>
      <c r="Q3823" t="s">
        <v>750</v>
      </c>
      <c r="R3823" t="s">
        <v>201</v>
      </c>
      <c r="S3823">
        <v>1</v>
      </c>
      <c r="T3823">
        <v>1</v>
      </c>
      <c r="U3823">
        <v>150072</v>
      </c>
      <c r="V3823">
        <v>150072</v>
      </c>
    </row>
    <row r="3824" spans="1:22">
      <c r="A3824" t="s">
        <v>196</v>
      </c>
      <c r="B3824">
        <v>70</v>
      </c>
      <c r="C3824" t="s">
        <v>40</v>
      </c>
      <c r="D3824">
        <v>100</v>
      </c>
      <c r="E3824" t="s">
        <v>197</v>
      </c>
      <c r="F3824">
        <v>1005</v>
      </c>
      <c r="G3824" t="s">
        <v>40</v>
      </c>
      <c r="H3824">
        <v>2005</v>
      </c>
      <c r="I3824" t="s">
        <v>40</v>
      </c>
      <c r="J3824">
        <v>3018</v>
      </c>
      <c r="K3824" t="s">
        <v>1644</v>
      </c>
      <c r="L3824">
        <v>4024</v>
      </c>
      <c r="M3824" t="s">
        <v>1645</v>
      </c>
      <c r="N3824" t="s">
        <v>268</v>
      </c>
      <c r="O3824">
        <v>10</v>
      </c>
      <c r="P3824">
        <v>1911</v>
      </c>
      <c r="Q3824" t="s">
        <v>617</v>
      </c>
      <c r="R3824" t="s">
        <v>201</v>
      </c>
      <c r="S3824">
        <v>1</v>
      </c>
      <c r="T3824">
        <v>1</v>
      </c>
      <c r="U3824">
        <v>80124</v>
      </c>
      <c r="V3824">
        <v>80124</v>
      </c>
    </row>
    <row r="3825" spans="1:22">
      <c r="A3825" t="s">
        <v>196</v>
      </c>
      <c r="B3825">
        <v>70</v>
      </c>
      <c r="C3825" t="s">
        <v>40</v>
      </c>
      <c r="D3825">
        <v>100</v>
      </c>
      <c r="E3825" t="s">
        <v>197</v>
      </c>
      <c r="F3825">
        <v>1005</v>
      </c>
      <c r="G3825" t="s">
        <v>40</v>
      </c>
      <c r="H3825">
        <v>2005</v>
      </c>
      <c r="I3825" t="s">
        <v>40</v>
      </c>
      <c r="J3825">
        <v>3018</v>
      </c>
      <c r="K3825" t="s">
        <v>1644</v>
      </c>
      <c r="L3825">
        <v>4024</v>
      </c>
      <c r="M3825" t="s">
        <v>1645</v>
      </c>
      <c r="N3825" t="s">
        <v>268</v>
      </c>
      <c r="O3825">
        <v>10</v>
      </c>
      <c r="P3825">
        <v>1911</v>
      </c>
      <c r="Q3825" t="s">
        <v>617</v>
      </c>
      <c r="R3825" t="s">
        <v>201</v>
      </c>
      <c r="S3825">
        <v>1</v>
      </c>
      <c r="T3825">
        <v>1</v>
      </c>
      <c r="U3825">
        <v>69684</v>
      </c>
      <c r="V3825">
        <v>69684</v>
      </c>
    </row>
    <row r="3826" spans="1:22">
      <c r="A3826" t="s">
        <v>196</v>
      </c>
      <c r="B3826">
        <v>70</v>
      </c>
      <c r="C3826" t="s">
        <v>40</v>
      </c>
      <c r="D3826">
        <v>100</v>
      </c>
      <c r="E3826" t="s">
        <v>197</v>
      </c>
      <c r="F3826">
        <v>1005</v>
      </c>
      <c r="G3826" t="s">
        <v>40</v>
      </c>
      <c r="H3826">
        <v>2005</v>
      </c>
      <c r="I3826" t="s">
        <v>40</v>
      </c>
      <c r="J3826">
        <v>3018</v>
      </c>
      <c r="K3826" t="s">
        <v>1644</v>
      </c>
      <c r="L3826">
        <v>4024</v>
      </c>
      <c r="M3826" t="s">
        <v>1645</v>
      </c>
      <c r="N3826" t="s">
        <v>274</v>
      </c>
      <c r="O3826">
        <v>9</v>
      </c>
      <c r="P3826">
        <v>313</v>
      </c>
      <c r="Q3826" t="s">
        <v>605</v>
      </c>
      <c r="R3826" t="s">
        <v>201</v>
      </c>
      <c r="S3826">
        <v>1</v>
      </c>
      <c r="T3826">
        <v>1</v>
      </c>
      <c r="U3826">
        <v>146808</v>
      </c>
      <c r="V3826">
        <v>146808</v>
      </c>
    </row>
    <row r="3827" spans="1:22">
      <c r="A3827" t="s">
        <v>196</v>
      </c>
      <c r="B3827">
        <v>70</v>
      </c>
      <c r="C3827" t="s">
        <v>40</v>
      </c>
      <c r="D3827">
        <v>100</v>
      </c>
      <c r="E3827" t="s">
        <v>197</v>
      </c>
      <c r="F3827">
        <v>1005</v>
      </c>
      <c r="G3827" t="s">
        <v>40</v>
      </c>
      <c r="H3827">
        <v>2005</v>
      </c>
      <c r="I3827" t="s">
        <v>40</v>
      </c>
      <c r="J3827">
        <v>3018</v>
      </c>
      <c r="K3827" t="s">
        <v>1644</v>
      </c>
      <c r="L3827">
        <v>4024</v>
      </c>
      <c r="M3827" t="s">
        <v>1645</v>
      </c>
      <c r="N3827" t="s">
        <v>341</v>
      </c>
      <c r="O3827">
        <v>1</v>
      </c>
      <c r="P3827">
        <v>308</v>
      </c>
      <c r="Q3827" t="s">
        <v>355</v>
      </c>
      <c r="R3827" t="s">
        <v>201</v>
      </c>
      <c r="S3827">
        <v>1</v>
      </c>
      <c r="T3827">
        <v>1</v>
      </c>
      <c r="U3827">
        <v>108576</v>
      </c>
      <c r="V3827">
        <v>108576</v>
      </c>
    </row>
    <row r="3828" spans="1:22">
      <c r="A3828" t="s">
        <v>196</v>
      </c>
      <c r="B3828">
        <v>70</v>
      </c>
      <c r="C3828" t="s">
        <v>40</v>
      </c>
      <c r="D3828">
        <v>100</v>
      </c>
      <c r="E3828" t="s">
        <v>197</v>
      </c>
      <c r="F3828">
        <v>1005</v>
      </c>
      <c r="G3828" t="s">
        <v>40</v>
      </c>
      <c r="H3828">
        <v>2005</v>
      </c>
      <c r="I3828" t="s">
        <v>40</v>
      </c>
      <c r="J3828">
        <v>3018</v>
      </c>
      <c r="K3828" t="s">
        <v>1644</v>
      </c>
      <c r="L3828">
        <v>4024</v>
      </c>
      <c r="M3828" t="s">
        <v>1645</v>
      </c>
      <c r="N3828" t="s">
        <v>341</v>
      </c>
      <c r="O3828">
        <v>1</v>
      </c>
      <c r="P3828">
        <v>308</v>
      </c>
      <c r="Q3828" t="s">
        <v>355</v>
      </c>
      <c r="R3828" t="s">
        <v>201</v>
      </c>
      <c r="S3828">
        <v>2</v>
      </c>
      <c r="T3828">
        <v>1</v>
      </c>
      <c r="U3828">
        <v>68616</v>
      </c>
      <c r="V3828">
        <v>137232</v>
      </c>
    </row>
    <row r="3829" spans="1:22">
      <c r="A3829" t="s">
        <v>196</v>
      </c>
      <c r="B3829">
        <v>70</v>
      </c>
      <c r="C3829" t="s">
        <v>40</v>
      </c>
      <c r="D3829">
        <v>100</v>
      </c>
      <c r="E3829" t="s">
        <v>197</v>
      </c>
      <c r="F3829">
        <v>1005</v>
      </c>
      <c r="G3829" t="s">
        <v>40</v>
      </c>
      <c r="H3829">
        <v>2005</v>
      </c>
      <c r="I3829" t="s">
        <v>40</v>
      </c>
      <c r="J3829">
        <v>3018</v>
      </c>
      <c r="K3829" t="s">
        <v>1644</v>
      </c>
      <c r="L3829">
        <v>4024</v>
      </c>
      <c r="M3829" t="s">
        <v>1645</v>
      </c>
      <c r="N3829" t="s">
        <v>199</v>
      </c>
      <c r="O3829">
        <v>0</v>
      </c>
      <c r="P3829">
        <v>15</v>
      </c>
      <c r="Q3829" t="s">
        <v>264</v>
      </c>
      <c r="R3829" t="s">
        <v>201</v>
      </c>
      <c r="S3829">
        <v>0</v>
      </c>
      <c r="T3829">
        <v>0</v>
      </c>
      <c r="U3829">
        <v>12726</v>
      </c>
      <c r="V3829">
        <v>12726</v>
      </c>
    </row>
    <row r="3830" spans="1:22">
      <c r="A3830" t="s">
        <v>196</v>
      </c>
      <c r="B3830">
        <v>70</v>
      </c>
      <c r="C3830" t="s">
        <v>40</v>
      </c>
      <c r="D3830">
        <v>100</v>
      </c>
      <c r="E3830" t="s">
        <v>197</v>
      </c>
      <c r="F3830">
        <v>1005</v>
      </c>
      <c r="G3830" t="s">
        <v>40</v>
      </c>
      <c r="H3830">
        <v>2005</v>
      </c>
      <c r="I3830" t="s">
        <v>40</v>
      </c>
      <c r="J3830">
        <v>3018</v>
      </c>
      <c r="K3830" t="s">
        <v>1644</v>
      </c>
      <c r="L3830">
        <v>4025</v>
      </c>
      <c r="M3830" t="s">
        <v>1646</v>
      </c>
      <c r="N3830" t="s">
        <v>351</v>
      </c>
      <c r="O3830">
        <v>1</v>
      </c>
      <c r="P3830" t="s">
        <v>352</v>
      </c>
      <c r="Q3830" t="s">
        <v>353</v>
      </c>
      <c r="R3830" t="s">
        <v>201</v>
      </c>
      <c r="S3830">
        <v>1</v>
      </c>
      <c r="T3830">
        <v>1</v>
      </c>
      <c r="U3830">
        <v>98928</v>
      </c>
      <c r="V3830">
        <v>98928</v>
      </c>
    </row>
    <row r="3831" spans="1:22">
      <c r="A3831" t="s">
        <v>196</v>
      </c>
      <c r="B3831">
        <v>70</v>
      </c>
      <c r="C3831" t="s">
        <v>40</v>
      </c>
      <c r="D3831">
        <v>100</v>
      </c>
      <c r="E3831" t="s">
        <v>197</v>
      </c>
      <c r="F3831">
        <v>1005</v>
      </c>
      <c r="G3831" t="s">
        <v>40</v>
      </c>
      <c r="H3831">
        <v>2005</v>
      </c>
      <c r="I3831" t="s">
        <v>40</v>
      </c>
      <c r="J3831">
        <v>3018</v>
      </c>
      <c r="K3831" t="s">
        <v>1644</v>
      </c>
      <c r="L3831">
        <v>4025</v>
      </c>
      <c r="M3831" t="s">
        <v>1646</v>
      </c>
      <c r="N3831" t="s">
        <v>351</v>
      </c>
      <c r="O3831">
        <v>1</v>
      </c>
      <c r="P3831" t="s">
        <v>352</v>
      </c>
      <c r="Q3831" t="s">
        <v>353</v>
      </c>
      <c r="R3831" t="s">
        <v>201</v>
      </c>
      <c r="S3831">
        <v>2</v>
      </c>
      <c r="T3831">
        <v>1</v>
      </c>
      <c r="U3831">
        <v>70752</v>
      </c>
      <c r="V3831">
        <v>141504</v>
      </c>
    </row>
    <row r="3832" spans="1:22">
      <c r="A3832" t="s">
        <v>196</v>
      </c>
      <c r="B3832">
        <v>70</v>
      </c>
      <c r="C3832" t="s">
        <v>40</v>
      </c>
      <c r="D3832">
        <v>100</v>
      </c>
      <c r="E3832" t="s">
        <v>197</v>
      </c>
      <c r="F3832">
        <v>1005</v>
      </c>
      <c r="G3832" t="s">
        <v>40</v>
      </c>
      <c r="H3832">
        <v>2005</v>
      </c>
      <c r="I3832" t="s">
        <v>40</v>
      </c>
      <c r="J3832">
        <v>3018</v>
      </c>
      <c r="K3832" t="s">
        <v>1644</v>
      </c>
      <c r="L3832">
        <v>4025</v>
      </c>
      <c r="M3832" t="s">
        <v>1646</v>
      </c>
      <c r="N3832" t="s">
        <v>351</v>
      </c>
      <c r="O3832">
        <v>1</v>
      </c>
      <c r="P3832" t="s">
        <v>352</v>
      </c>
      <c r="Q3832" t="s">
        <v>353</v>
      </c>
      <c r="R3832" t="s">
        <v>201</v>
      </c>
      <c r="S3832">
        <v>1</v>
      </c>
      <c r="T3832">
        <v>1</v>
      </c>
      <c r="U3832">
        <v>64488</v>
      </c>
      <c r="V3832">
        <v>64488</v>
      </c>
    </row>
    <row r="3833" spans="1:22">
      <c r="A3833" t="s">
        <v>196</v>
      </c>
      <c r="B3833">
        <v>70</v>
      </c>
      <c r="C3833" t="s">
        <v>40</v>
      </c>
      <c r="D3833">
        <v>100</v>
      </c>
      <c r="E3833" t="s">
        <v>197</v>
      </c>
      <c r="F3833">
        <v>1005</v>
      </c>
      <c r="G3833" t="s">
        <v>40</v>
      </c>
      <c r="H3833">
        <v>2005</v>
      </c>
      <c r="I3833" t="s">
        <v>40</v>
      </c>
      <c r="J3833">
        <v>3018</v>
      </c>
      <c r="K3833" t="s">
        <v>1644</v>
      </c>
      <c r="L3833">
        <v>4025</v>
      </c>
      <c r="M3833" t="s">
        <v>1646</v>
      </c>
      <c r="N3833" t="s">
        <v>199</v>
      </c>
      <c r="O3833">
        <v>0</v>
      </c>
      <c r="P3833">
        <v>15</v>
      </c>
      <c r="Q3833" t="s">
        <v>264</v>
      </c>
      <c r="R3833" t="s">
        <v>201</v>
      </c>
      <c r="S3833">
        <v>0</v>
      </c>
      <c r="T3833">
        <v>0</v>
      </c>
      <c r="U3833">
        <v>3099</v>
      </c>
      <c r="V3833">
        <v>3099</v>
      </c>
    </row>
    <row r="3834" spans="1:22">
      <c r="A3834" t="s">
        <v>196</v>
      </c>
      <c r="B3834">
        <v>70</v>
      </c>
      <c r="C3834" t="s">
        <v>40</v>
      </c>
      <c r="D3834">
        <v>100</v>
      </c>
      <c r="E3834" t="s">
        <v>197</v>
      </c>
      <c r="F3834">
        <v>1005</v>
      </c>
      <c r="G3834" t="s">
        <v>40</v>
      </c>
      <c r="H3834">
        <v>2005</v>
      </c>
      <c r="I3834" t="s">
        <v>40</v>
      </c>
      <c r="J3834">
        <v>3018</v>
      </c>
      <c r="K3834" t="s">
        <v>1644</v>
      </c>
      <c r="L3834">
        <v>4026</v>
      </c>
      <c r="M3834" t="s">
        <v>1647</v>
      </c>
      <c r="N3834" t="s">
        <v>1552</v>
      </c>
      <c r="O3834">
        <v>36</v>
      </c>
      <c r="P3834">
        <v>1276</v>
      </c>
      <c r="Q3834" t="s">
        <v>1648</v>
      </c>
      <c r="R3834" t="s">
        <v>201</v>
      </c>
      <c r="S3834">
        <v>1</v>
      </c>
      <c r="T3834">
        <v>1</v>
      </c>
      <c r="U3834">
        <v>130620</v>
      </c>
      <c r="V3834">
        <v>130620</v>
      </c>
    </row>
    <row r="3835" spans="1:22">
      <c r="A3835" t="s">
        <v>196</v>
      </c>
      <c r="B3835">
        <v>70</v>
      </c>
      <c r="C3835" t="s">
        <v>40</v>
      </c>
      <c r="D3835">
        <v>100</v>
      </c>
      <c r="E3835" t="s">
        <v>197</v>
      </c>
      <c r="F3835">
        <v>1005</v>
      </c>
      <c r="G3835" t="s">
        <v>40</v>
      </c>
      <c r="H3835">
        <v>2005</v>
      </c>
      <c r="I3835" t="s">
        <v>40</v>
      </c>
      <c r="J3835">
        <v>3018</v>
      </c>
      <c r="K3835" t="s">
        <v>1644</v>
      </c>
      <c r="L3835">
        <v>4026</v>
      </c>
      <c r="M3835" t="s">
        <v>1647</v>
      </c>
      <c r="N3835" t="s">
        <v>1552</v>
      </c>
      <c r="O3835">
        <v>36</v>
      </c>
      <c r="P3835">
        <v>1276</v>
      </c>
      <c r="Q3835" t="s">
        <v>1648</v>
      </c>
      <c r="R3835" t="s">
        <v>201</v>
      </c>
      <c r="S3835">
        <v>1</v>
      </c>
      <c r="T3835">
        <v>1</v>
      </c>
      <c r="U3835">
        <v>89232</v>
      </c>
      <c r="V3835">
        <v>89232</v>
      </c>
    </row>
    <row r="3836" spans="1:22">
      <c r="A3836" t="s">
        <v>196</v>
      </c>
      <c r="B3836">
        <v>70</v>
      </c>
      <c r="C3836" t="s">
        <v>40</v>
      </c>
      <c r="D3836">
        <v>100</v>
      </c>
      <c r="E3836" t="s">
        <v>197</v>
      </c>
      <c r="F3836">
        <v>1005</v>
      </c>
      <c r="G3836" t="s">
        <v>40</v>
      </c>
      <c r="H3836">
        <v>2005</v>
      </c>
      <c r="I3836" t="s">
        <v>40</v>
      </c>
      <c r="J3836">
        <v>3018</v>
      </c>
      <c r="K3836" t="s">
        <v>1644</v>
      </c>
      <c r="L3836">
        <v>4026</v>
      </c>
      <c r="M3836" t="s">
        <v>1647</v>
      </c>
      <c r="N3836" t="s">
        <v>341</v>
      </c>
      <c r="O3836">
        <v>3</v>
      </c>
      <c r="P3836">
        <v>1275</v>
      </c>
      <c r="Q3836" t="s">
        <v>1649</v>
      </c>
      <c r="R3836" t="s">
        <v>201</v>
      </c>
      <c r="S3836">
        <v>2</v>
      </c>
      <c r="T3836">
        <v>1</v>
      </c>
      <c r="U3836">
        <v>119100</v>
      </c>
      <c r="V3836">
        <v>238200</v>
      </c>
    </row>
    <row r="3837" spans="1:22">
      <c r="A3837" t="s">
        <v>196</v>
      </c>
      <c r="B3837">
        <v>70</v>
      </c>
      <c r="C3837" t="s">
        <v>40</v>
      </c>
      <c r="D3837">
        <v>100</v>
      </c>
      <c r="E3837" t="s">
        <v>197</v>
      </c>
      <c r="F3837">
        <v>1005</v>
      </c>
      <c r="G3837" t="s">
        <v>40</v>
      </c>
      <c r="H3837">
        <v>2005</v>
      </c>
      <c r="I3837" t="s">
        <v>40</v>
      </c>
      <c r="J3837">
        <v>3018</v>
      </c>
      <c r="K3837" t="s">
        <v>1644</v>
      </c>
      <c r="L3837">
        <v>4026</v>
      </c>
      <c r="M3837" t="s">
        <v>1647</v>
      </c>
      <c r="N3837" t="s">
        <v>351</v>
      </c>
      <c r="O3837">
        <v>3</v>
      </c>
      <c r="P3837">
        <v>1274</v>
      </c>
      <c r="Q3837" t="s">
        <v>1650</v>
      </c>
      <c r="R3837" t="s">
        <v>201</v>
      </c>
      <c r="S3837">
        <v>1</v>
      </c>
      <c r="T3837">
        <v>1</v>
      </c>
      <c r="U3837">
        <v>108576</v>
      </c>
      <c r="V3837">
        <v>108576</v>
      </c>
    </row>
    <row r="3838" spans="1:22">
      <c r="A3838" t="s">
        <v>196</v>
      </c>
      <c r="B3838">
        <v>70</v>
      </c>
      <c r="C3838" t="s">
        <v>40</v>
      </c>
      <c r="D3838">
        <v>100</v>
      </c>
      <c r="E3838" t="s">
        <v>197</v>
      </c>
      <c r="F3838">
        <v>1005</v>
      </c>
      <c r="G3838" t="s">
        <v>40</v>
      </c>
      <c r="H3838">
        <v>2005</v>
      </c>
      <c r="I3838" t="s">
        <v>40</v>
      </c>
      <c r="J3838">
        <v>3018</v>
      </c>
      <c r="K3838" t="s">
        <v>1644</v>
      </c>
      <c r="L3838">
        <v>4026</v>
      </c>
      <c r="M3838" t="s">
        <v>1647</v>
      </c>
      <c r="N3838" t="s">
        <v>351</v>
      </c>
      <c r="O3838">
        <v>3</v>
      </c>
      <c r="P3838">
        <v>1274</v>
      </c>
      <c r="Q3838" t="s">
        <v>1650</v>
      </c>
      <c r="R3838" t="s">
        <v>201</v>
      </c>
      <c r="S3838">
        <v>1</v>
      </c>
      <c r="T3838">
        <v>1</v>
      </c>
      <c r="U3838">
        <v>62544</v>
      </c>
      <c r="V3838">
        <v>62544</v>
      </c>
    </row>
    <row r="3839" spans="1:22">
      <c r="A3839" t="s">
        <v>196</v>
      </c>
      <c r="B3839">
        <v>70</v>
      </c>
      <c r="C3839" t="s">
        <v>40</v>
      </c>
      <c r="D3839">
        <v>100</v>
      </c>
      <c r="E3839" t="s">
        <v>197</v>
      </c>
      <c r="F3839">
        <v>1005</v>
      </c>
      <c r="G3839" t="s">
        <v>40</v>
      </c>
      <c r="H3839">
        <v>2005</v>
      </c>
      <c r="I3839" t="s">
        <v>40</v>
      </c>
      <c r="J3839">
        <v>3018</v>
      </c>
      <c r="K3839" t="s">
        <v>1644</v>
      </c>
      <c r="L3839">
        <v>4026</v>
      </c>
      <c r="M3839" t="s">
        <v>1647</v>
      </c>
      <c r="N3839" t="s">
        <v>216</v>
      </c>
      <c r="O3839">
        <v>10</v>
      </c>
      <c r="P3839">
        <v>322</v>
      </c>
      <c r="Q3839" t="s">
        <v>1459</v>
      </c>
      <c r="R3839" t="s">
        <v>201</v>
      </c>
      <c r="S3839">
        <v>1</v>
      </c>
      <c r="T3839">
        <v>1</v>
      </c>
      <c r="U3839">
        <v>118908</v>
      </c>
      <c r="V3839">
        <v>118908</v>
      </c>
    </row>
    <row r="3840" spans="1:22">
      <c r="A3840" t="s">
        <v>196</v>
      </c>
      <c r="B3840">
        <v>70</v>
      </c>
      <c r="C3840" t="s">
        <v>40</v>
      </c>
      <c r="D3840">
        <v>100</v>
      </c>
      <c r="E3840" t="s">
        <v>197</v>
      </c>
      <c r="F3840">
        <v>1005</v>
      </c>
      <c r="G3840" t="s">
        <v>40</v>
      </c>
      <c r="H3840">
        <v>2005</v>
      </c>
      <c r="I3840" t="s">
        <v>40</v>
      </c>
      <c r="J3840">
        <v>3018</v>
      </c>
      <c r="K3840" t="s">
        <v>1644</v>
      </c>
      <c r="L3840">
        <v>4026</v>
      </c>
      <c r="M3840" t="s">
        <v>1647</v>
      </c>
      <c r="N3840" t="s">
        <v>199</v>
      </c>
      <c r="O3840">
        <v>0</v>
      </c>
      <c r="P3840">
        <v>15</v>
      </c>
      <c r="Q3840" t="s">
        <v>264</v>
      </c>
      <c r="R3840" t="s">
        <v>201</v>
      </c>
      <c r="S3840">
        <v>0</v>
      </c>
      <c r="T3840">
        <v>0</v>
      </c>
      <c r="U3840">
        <v>3773</v>
      </c>
      <c r="V3840">
        <v>3773</v>
      </c>
    </row>
    <row r="3841" spans="1:22">
      <c r="A3841" t="s">
        <v>196</v>
      </c>
      <c r="B3841">
        <v>70</v>
      </c>
      <c r="C3841" t="s">
        <v>40</v>
      </c>
      <c r="D3841">
        <v>100</v>
      </c>
      <c r="E3841" t="s">
        <v>197</v>
      </c>
      <c r="F3841">
        <v>1005</v>
      </c>
      <c r="G3841" t="s">
        <v>40</v>
      </c>
      <c r="H3841">
        <v>2005</v>
      </c>
      <c r="I3841" t="s">
        <v>40</v>
      </c>
      <c r="J3841">
        <v>3018</v>
      </c>
      <c r="K3841" t="s">
        <v>1644</v>
      </c>
      <c r="L3841">
        <v>4027</v>
      </c>
      <c r="M3841" t="s">
        <v>1651</v>
      </c>
      <c r="N3841" t="s">
        <v>809</v>
      </c>
      <c r="O3841">
        <v>1</v>
      </c>
      <c r="P3841">
        <v>460</v>
      </c>
      <c r="Q3841" t="s">
        <v>810</v>
      </c>
      <c r="R3841" t="s">
        <v>201</v>
      </c>
      <c r="S3841">
        <v>1</v>
      </c>
      <c r="T3841">
        <v>1</v>
      </c>
      <c r="U3841">
        <v>82140</v>
      </c>
      <c r="V3841">
        <v>82140</v>
      </c>
    </row>
    <row r="3842" spans="1:22">
      <c r="A3842" t="s">
        <v>196</v>
      </c>
      <c r="B3842">
        <v>70</v>
      </c>
      <c r="C3842" t="s">
        <v>40</v>
      </c>
      <c r="D3842">
        <v>100</v>
      </c>
      <c r="E3842" t="s">
        <v>197</v>
      </c>
      <c r="F3842">
        <v>1005</v>
      </c>
      <c r="G3842" t="s">
        <v>40</v>
      </c>
      <c r="H3842">
        <v>2005</v>
      </c>
      <c r="I3842" t="s">
        <v>40</v>
      </c>
      <c r="J3842">
        <v>3018</v>
      </c>
      <c r="K3842" t="s">
        <v>1644</v>
      </c>
      <c r="L3842">
        <v>4027</v>
      </c>
      <c r="M3842" t="s">
        <v>1651</v>
      </c>
      <c r="N3842" t="s">
        <v>351</v>
      </c>
      <c r="O3842">
        <v>1</v>
      </c>
      <c r="P3842" t="s">
        <v>352</v>
      </c>
      <c r="Q3842" t="s">
        <v>353</v>
      </c>
      <c r="R3842" t="s">
        <v>201</v>
      </c>
      <c r="S3842">
        <v>1</v>
      </c>
      <c r="T3842">
        <v>1</v>
      </c>
      <c r="U3842">
        <v>94452</v>
      </c>
      <c r="V3842">
        <v>94452</v>
      </c>
    </row>
    <row r="3843" spans="1:22">
      <c r="A3843" t="s">
        <v>196</v>
      </c>
      <c r="B3843">
        <v>70</v>
      </c>
      <c r="C3843" t="s">
        <v>40</v>
      </c>
      <c r="D3843">
        <v>100</v>
      </c>
      <c r="E3843" t="s">
        <v>197</v>
      </c>
      <c r="F3843">
        <v>1005</v>
      </c>
      <c r="G3843" t="s">
        <v>40</v>
      </c>
      <c r="H3843">
        <v>2005</v>
      </c>
      <c r="I3843" t="s">
        <v>40</v>
      </c>
      <c r="J3843">
        <v>3018</v>
      </c>
      <c r="K3843" t="s">
        <v>1644</v>
      </c>
      <c r="L3843">
        <v>4027</v>
      </c>
      <c r="M3843" t="s">
        <v>1651</v>
      </c>
      <c r="N3843" t="s">
        <v>351</v>
      </c>
      <c r="O3843">
        <v>1</v>
      </c>
      <c r="P3843" t="s">
        <v>352</v>
      </c>
      <c r="Q3843" t="s">
        <v>353</v>
      </c>
      <c r="R3843" t="s">
        <v>201</v>
      </c>
      <c r="S3843">
        <v>2</v>
      </c>
      <c r="T3843">
        <v>1</v>
      </c>
      <c r="U3843">
        <v>90144</v>
      </c>
      <c r="V3843">
        <v>180288</v>
      </c>
    </row>
    <row r="3844" spans="1:22">
      <c r="A3844" t="s">
        <v>196</v>
      </c>
      <c r="B3844">
        <v>70</v>
      </c>
      <c r="C3844" t="s">
        <v>40</v>
      </c>
      <c r="D3844">
        <v>100</v>
      </c>
      <c r="E3844" t="s">
        <v>197</v>
      </c>
      <c r="F3844">
        <v>1005</v>
      </c>
      <c r="G3844" t="s">
        <v>40</v>
      </c>
      <c r="H3844">
        <v>2005</v>
      </c>
      <c r="I3844" t="s">
        <v>40</v>
      </c>
      <c r="J3844">
        <v>3018</v>
      </c>
      <c r="K3844" t="s">
        <v>1644</v>
      </c>
      <c r="L3844">
        <v>4027</v>
      </c>
      <c r="M3844" t="s">
        <v>1651</v>
      </c>
      <c r="N3844" t="s">
        <v>351</v>
      </c>
      <c r="O3844">
        <v>1</v>
      </c>
      <c r="P3844" t="s">
        <v>352</v>
      </c>
      <c r="Q3844" t="s">
        <v>353</v>
      </c>
      <c r="R3844" t="s">
        <v>201</v>
      </c>
      <c r="S3844">
        <v>1</v>
      </c>
      <c r="T3844">
        <v>1</v>
      </c>
      <c r="U3844">
        <v>62544</v>
      </c>
      <c r="V3844">
        <v>62544</v>
      </c>
    </row>
    <row r="3845" spans="1:22">
      <c r="A3845" t="s">
        <v>196</v>
      </c>
      <c r="B3845">
        <v>70</v>
      </c>
      <c r="C3845" t="s">
        <v>40</v>
      </c>
      <c r="D3845">
        <v>100</v>
      </c>
      <c r="E3845" t="s">
        <v>197</v>
      </c>
      <c r="F3845">
        <v>1005</v>
      </c>
      <c r="G3845" t="s">
        <v>40</v>
      </c>
      <c r="H3845">
        <v>2005</v>
      </c>
      <c r="I3845" t="s">
        <v>40</v>
      </c>
      <c r="J3845">
        <v>3018</v>
      </c>
      <c r="K3845" t="s">
        <v>1644</v>
      </c>
      <c r="L3845">
        <v>4027</v>
      </c>
      <c r="M3845" t="s">
        <v>1651</v>
      </c>
      <c r="N3845" t="s">
        <v>199</v>
      </c>
      <c r="O3845">
        <v>0</v>
      </c>
      <c r="P3845">
        <v>15</v>
      </c>
      <c r="Q3845" t="s">
        <v>264</v>
      </c>
      <c r="R3845" t="s">
        <v>201</v>
      </c>
      <c r="S3845">
        <v>0</v>
      </c>
      <c r="T3845">
        <v>0</v>
      </c>
      <c r="U3845">
        <v>3226</v>
      </c>
      <c r="V3845">
        <v>3226</v>
      </c>
    </row>
    <row r="3846" spans="1:22">
      <c r="A3846" t="s">
        <v>196</v>
      </c>
      <c r="B3846">
        <v>70</v>
      </c>
      <c r="C3846" t="s">
        <v>40</v>
      </c>
      <c r="D3846">
        <v>100</v>
      </c>
      <c r="E3846" t="s">
        <v>197</v>
      </c>
      <c r="F3846">
        <v>1005</v>
      </c>
      <c r="G3846" t="s">
        <v>40</v>
      </c>
      <c r="H3846">
        <v>2005</v>
      </c>
      <c r="I3846" t="s">
        <v>40</v>
      </c>
      <c r="J3846">
        <v>3019</v>
      </c>
      <c r="K3846" t="s">
        <v>1652</v>
      </c>
      <c r="L3846">
        <v>0</v>
      </c>
      <c r="N3846" t="s">
        <v>266</v>
      </c>
      <c r="O3846">
        <v>9</v>
      </c>
      <c r="P3846">
        <v>9658</v>
      </c>
      <c r="Q3846" t="s">
        <v>1653</v>
      </c>
      <c r="R3846" t="s">
        <v>201</v>
      </c>
      <c r="S3846">
        <v>1</v>
      </c>
      <c r="T3846">
        <v>1</v>
      </c>
      <c r="U3846">
        <v>175512</v>
      </c>
      <c r="V3846">
        <v>175512</v>
      </c>
    </row>
    <row r="3847" spans="1:22">
      <c r="A3847" t="s">
        <v>196</v>
      </c>
      <c r="B3847">
        <v>70</v>
      </c>
      <c r="C3847" t="s">
        <v>40</v>
      </c>
      <c r="D3847">
        <v>100</v>
      </c>
      <c r="E3847" t="s">
        <v>197</v>
      </c>
      <c r="F3847">
        <v>1005</v>
      </c>
      <c r="G3847" t="s">
        <v>40</v>
      </c>
      <c r="H3847">
        <v>2005</v>
      </c>
      <c r="I3847" t="s">
        <v>40</v>
      </c>
      <c r="J3847">
        <v>3019</v>
      </c>
      <c r="K3847" t="s">
        <v>1652</v>
      </c>
      <c r="L3847">
        <v>0</v>
      </c>
      <c r="N3847" t="s">
        <v>253</v>
      </c>
      <c r="O3847">
        <v>10</v>
      </c>
      <c r="P3847">
        <v>352</v>
      </c>
      <c r="Q3847" t="s">
        <v>1639</v>
      </c>
      <c r="R3847" t="s">
        <v>201</v>
      </c>
      <c r="S3847">
        <v>1</v>
      </c>
      <c r="T3847">
        <v>1</v>
      </c>
      <c r="U3847">
        <v>124584</v>
      </c>
      <c r="V3847">
        <v>124584</v>
      </c>
    </row>
    <row r="3848" spans="1:22">
      <c r="A3848" t="s">
        <v>196</v>
      </c>
      <c r="B3848">
        <v>70</v>
      </c>
      <c r="C3848" t="s">
        <v>40</v>
      </c>
      <c r="D3848">
        <v>100</v>
      </c>
      <c r="E3848" t="s">
        <v>197</v>
      </c>
      <c r="F3848">
        <v>1005</v>
      </c>
      <c r="G3848" t="s">
        <v>40</v>
      </c>
      <c r="H3848">
        <v>2005</v>
      </c>
      <c r="I3848" t="s">
        <v>40</v>
      </c>
      <c r="J3848">
        <v>3019</v>
      </c>
      <c r="K3848" t="s">
        <v>1652</v>
      </c>
      <c r="L3848">
        <v>0</v>
      </c>
      <c r="N3848" t="s">
        <v>253</v>
      </c>
      <c r="O3848">
        <v>10</v>
      </c>
      <c r="P3848">
        <v>352</v>
      </c>
      <c r="Q3848" t="s">
        <v>1639</v>
      </c>
      <c r="R3848" t="s">
        <v>201</v>
      </c>
      <c r="S3848">
        <v>1</v>
      </c>
      <c r="T3848">
        <v>1</v>
      </c>
      <c r="U3848">
        <v>83052</v>
      </c>
      <c r="V3848">
        <v>83052</v>
      </c>
    </row>
    <row r="3849" spans="1:22">
      <c r="A3849" t="s">
        <v>196</v>
      </c>
      <c r="B3849">
        <v>70</v>
      </c>
      <c r="C3849" t="s">
        <v>40</v>
      </c>
      <c r="D3849">
        <v>100</v>
      </c>
      <c r="E3849" t="s">
        <v>197</v>
      </c>
      <c r="F3849">
        <v>1005</v>
      </c>
      <c r="G3849" t="s">
        <v>40</v>
      </c>
      <c r="H3849">
        <v>2005</v>
      </c>
      <c r="I3849" t="s">
        <v>40</v>
      </c>
      <c r="J3849">
        <v>3019</v>
      </c>
      <c r="K3849" t="s">
        <v>1652</v>
      </c>
      <c r="L3849">
        <v>0</v>
      </c>
      <c r="N3849" t="s">
        <v>372</v>
      </c>
      <c r="O3849">
        <v>1</v>
      </c>
      <c r="P3849">
        <v>351</v>
      </c>
      <c r="Q3849" t="s">
        <v>1641</v>
      </c>
      <c r="R3849" t="s">
        <v>201</v>
      </c>
      <c r="S3849">
        <v>1</v>
      </c>
      <c r="T3849">
        <v>1</v>
      </c>
      <c r="U3849">
        <v>103608</v>
      </c>
      <c r="V3849">
        <v>103608</v>
      </c>
    </row>
    <row r="3850" spans="1:22">
      <c r="A3850" t="s">
        <v>196</v>
      </c>
      <c r="B3850">
        <v>70</v>
      </c>
      <c r="C3850" t="s">
        <v>40</v>
      </c>
      <c r="D3850">
        <v>100</v>
      </c>
      <c r="E3850" t="s">
        <v>197</v>
      </c>
      <c r="F3850">
        <v>1005</v>
      </c>
      <c r="G3850" t="s">
        <v>40</v>
      </c>
      <c r="H3850">
        <v>2005</v>
      </c>
      <c r="I3850" t="s">
        <v>40</v>
      </c>
      <c r="J3850">
        <v>3019</v>
      </c>
      <c r="K3850" t="s">
        <v>1652</v>
      </c>
      <c r="L3850">
        <v>0</v>
      </c>
      <c r="N3850" t="s">
        <v>372</v>
      </c>
      <c r="O3850">
        <v>1</v>
      </c>
      <c r="P3850">
        <v>351</v>
      </c>
      <c r="Q3850" t="s">
        <v>1641</v>
      </c>
      <c r="R3850" t="s">
        <v>201</v>
      </c>
      <c r="S3850">
        <v>1</v>
      </c>
      <c r="T3850">
        <v>1</v>
      </c>
      <c r="U3850">
        <v>89244</v>
      </c>
      <c r="V3850">
        <v>89244</v>
      </c>
    </row>
    <row r="3851" spans="1:22">
      <c r="A3851" t="s">
        <v>196</v>
      </c>
      <c r="B3851">
        <v>70</v>
      </c>
      <c r="C3851" t="s">
        <v>40</v>
      </c>
      <c r="D3851">
        <v>100</v>
      </c>
      <c r="E3851" t="s">
        <v>197</v>
      </c>
      <c r="F3851">
        <v>1005</v>
      </c>
      <c r="G3851" t="s">
        <v>40</v>
      </c>
      <c r="H3851">
        <v>2005</v>
      </c>
      <c r="I3851" t="s">
        <v>40</v>
      </c>
      <c r="J3851">
        <v>3019</v>
      </c>
      <c r="K3851" t="s">
        <v>1652</v>
      </c>
      <c r="L3851">
        <v>0</v>
      </c>
      <c r="N3851" t="s">
        <v>341</v>
      </c>
      <c r="O3851">
        <v>1</v>
      </c>
      <c r="P3851">
        <v>350</v>
      </c>
      <c r="Q3851" t="s">
        <v>1642</v>
      </c>
      <c r="R3851" t="s">
        <v>201</v>
      </c>
      <c r="S3851">
        <v>1</v>
      </c>
      <c r="T3851">
        <v>1</v>
      </c>
      <c r="U3851">
        <v>77640</v>
      </c>
      <c r="V3851">
        <v>77640</v>
      </c>
    </row>
    <row r="3852" spans="1:22">
      <c r="A3852" t="s">
        <v>196</v>
      </c>
      <c r="B3852">
        <v>70</v>
      </c>
      <c r="C3852" t="s">
        <v>40</v>
      </c>
      <c r="D3852">
        <v>100</v>
      </c>
      <c r="E3852" t="s">
        <v>197</v>
      </c>
      <c r="F3852">
        <v>1005</v>
      </c>
      <c r="G3852" t="s">
        <v>40</v>
      </c>
      <c r="H3852">
        <v>2005</v>
      </c>
      <c r="I3852" t="s">
        <v>40</v>
      </c>
      <c r="J3852">
        <v>3019</v>
      </c>
      <c r="K3852" t="s">
        <v>1652</v>
      </c>
      <c r="L3852">
        <v>0</v>
      </c>
      <c r="N3852" t="s">
        <v>341</v>
      </c>
      <c r="O3852">
        <v>1</v>
      </c>
      <c r="P3852">
        <v>350</v>
      </c>
      <c r="Q3852" t="s">
        <v>1642</v>
      </c>
      <c r="R3852" t="s">
        <v>201</v>
      </c>
      <c r="S3852">
        <v>1</v>
      </c>
      <c r="T3852">
        <v>1</v>
      </c>
      <c r="U3852">
        <v>74172</v>
      </c>
      <c r="V3852">
        <v>74172</v>
      </c>
    </row>
    <row r="3853" spans="1:22">
      <c r="A3853" t="s">
        <v>196</v>
      </c>
      <c r="B3853">
        <v>70</v>
      </c>
      <c r="C3853" t="s">
        <v>40</v>
      </c>
      <c r="D3853">
        <v>100</v>
      </c>
      <c r="E3853" t="s">
        <v>197</v>
      </c>
      <c r="F3853">
        <v>1005</v>
      </c>
      <c r="G3853" t="s">
        <v>40</v>
      </c>
      <c r="H3853">
        <v>2005</v>
      </c>
      <c r="I3853" t="s">
        <v>40</v>
      </c>
      <c r="J3853">
        <v>3019</v>
      </c>
      <c r="K3853" t="s">
        <v>1652</v>
      </c>
      <c r="L3853">
        <v>0</v>
      </c>
      <c r="N3853" t="s">
        <v>341</v>
      </c>
      <c r="O3853">
        <v>1</v>
      </c>
      <c r="P3853">
        <v>350</v>
      </c>
      <c r="Q3853" t="s">
        <v>1642</v>
      </c>
      <c r="R3853" t="s">
        <v>201</v>
      </c>
      <c r="S3853">
        <v>3</v>
      </c>
      <c r="T3853">
        <v>1</v>
      </c>
      <c r="U3853">
        <v>68616</v>
      </c>
      <c r="V3853">
        <v>205848</v>
      </c>
    </row>
    <row r="3854" spans="1:22">
      <c r="A3854" t="s">
        <v>196</v>
      </c>
      <c r="B3854">
        <v>70</v>
      </c>
      <c r="C3854" t="s">
        <v>40</v>
      </c>
      <c r="D3854">
        <v>100</v>
      </c>
      <c r="E3854" t="s">
        <v>197</v>
      </c>
      <c r="F3854">
        <v>1005</v>
      </c>
      <c r="G3854" t="s">
        <v>40</v>
      </c>
      <c r="H3854">
        <v>2005</v>
      </c>
      <c r="I3854" t="s">
        <v>40</v>
      </c>
      <c r="J3854">
        <v>3019</v>
      </c>
      <c r="K3854" t="s">
        <v>1652</v>
      </c>
      <c r="L3854">
        <v>0</v>
      </c>
      <c r="N3854" t="s">
        <v>274</v>
      </c>
      <c r="O3854">
        <v>9</v>
      </c>
      <c r="P3854">
        <v>313</v>
      </c>
      <c r="Q3854" t="s">
        <v>605</v>
      </c>
      <c r="R3854" t="s">
        <v>201</v>
      </c>
      <c r="S3854">
        <v>1</v>
      </c>
      <c r="T3854">
        <v>1</v>
      </c>
      <c r="U3854">
        <v>146808</v>
      </c>
      <c r="V3854">
        <v>146808</v>
      </c>
    </row>
    <row r="3855" spans="1:22">
      <c r="A3855" t="s">
        <v>196</v>
      </c>
      <c r="B3855">
        <v>70</v>
      </c>
      <c r="C3855" t="s">
        <v>40</v>
      </c>
      <c r="D3855">
        <v>100</v>
      </c>
      <c r="E3855" t="s">
        <v>197</v>
      </c>
      <c r="F3855">
        <v>1005</v>
      </c>
      <c r="G3855" t="s">
        <v>40</v>
      </c>
      <c r="H3855">
        <v>2005</v>
      </c>
      <c r="I3855" t="s">
        <v>40</v>
      </c>
      <c r="J3855">
        <v>3019</v>
      </c>
      <c r="K3855" t="s">
        <v>1652</v>
      </c>
      <c r="L3855">
        <v>0</v>
      </c>
      <c r="N3855" t="s">
        <v>249</v>
      </c>
      <c r="O3855">
        <v>10</v>
      </c>
      <c r="P3855">
        <v>310</v>
      </c>
      <c r="Q3855" t="s">
        <v>447</v>
      </c>
      <c r="R3855" t="s">
        <v>201</v>
      </c>
      <c r="S3855">
        <v>1</v>
      </c>
      <c r="T3855">
        <v>1</v>
      </c>
      <c r="U3855">
        <v>97836</v>
      </c>
      <c r="V3855">
        <v>97836</v>
      </c>
    </row>
    <row r="3856" spans="1:22">
      <c r="A3856" t="s">
        <v>196</v>
      </c>
      <c r="B3856">
        <v>70</v>
      </c>
      <c r="C3856" t="s">
        <v>40</v>
      </c>
      <c r="D3856">
        <v>100</v>
      </c>
      <c r="E3856" t="s">
        <v>197</v>
      </c>
      <c r="F3856">
        <v>1005</v>
      </c>
      <c r="G3856" t="s">
        <v>40</v>
      </c>
      <c r="H3856">
        <v>2005</v>
      </c>
      <c r="I3856" t="s">
        <v>40</v>
      </c>
      <c r="J3856">
        <v>3019</v>
      </c>
      <c r="K3856" t="s">
        <v>1652</v>
      </c>
      <c r="L3856">
        <v>0</v>
      </c>
      <c r="N3856" t="s">
        <v>199</v>
      </c>
      <c r="O3856">
        <v>0</v>
      </c>
      <c r="P3856">
        <v>15</v>
      </c>
      <c r="Q3856" t="s">
        <v>264</v>
      </c>
      <c r="R3856" t="s">
        <v>201</v>
      </c>
      <c r="S3856">
        <v>0</v>
      </c>
      <c r="T3856">
        <v>0</v>
      </c>
      <c r="U3856">
        <v>13914</v>
      </c>
      <c r="V3856">
        <v>13914</v>
      </c>
    </row>
    <row r="3857" spans="1:22">
      <c r="A3857" t="s">
        <v>196</v>
      </c>
      <c r="B3857">
        <v>70</v>
      </c>
      <c r="C3857" t="s">
        <v>40</v>
      </c>
      <c r="D3857">
        <v>100</v>
      </c>
      <c r="E3857" t="s">
        <v>197</v>
      </c>
      <c r="F3857">
        <v>1005</v>
      </c>
      <c r="G3857" t="s">
        <v>40</v>
      </c>
      <c r="H3857">
        <v>2005</v>
      </c>
      <c r="I3857" t="s">
        <v>40</v>
      </c>
      <c r="J3857">
        <v>3031</v>
      </c>
      <c r="K3857" t="s">
        <v>1654</v>
      </c>
      <c r="L3857">
        <v>0</v>
      </c>
      <c r="N3857" t="s">
        <v>266</v>
      </c>
      <c r="O3857">
        <v>9</v>
      </c>
      <c r="P3857">
        <v>9679</v>
      </c>
      <c r="Q3857" t="s">
        <v>338</v>
      </c>
      <c r="R3857" t="s">
        <v>201</v>
      </c>
      <c r="S3857">
        <v>1</v>
      </c>
      <c r="T3857">
        <v>1</v>
      </c>
      <c r="U3857">
        <v>167964</v>
      </c>
      <c r="V3857">
        <v>167964</v>
      </c>
    </row>
    <row r="3858" spans="1:22">
      <c r="A3858" t="s">
        <v>196</v>
      </c>
      <c r="B3858">
        <v>70</v>
      </c>
      <c r="C3858" t="s">
        <v>40</v>
      </c>
      <c r="D3858">
        <v>100</v>
      </c>
      <c r="E3858" t="s">
        <v>197</v>
      </c>
      <c r="F3858">
        <v>1005</v>
      </c>
      <c r="G3858" t="s">
        <v>40</v>
      </c>
      <c r="H3858">
        <v>2005</v>
      </c>
      <c r="I3858" t="s">
        <v>40</v>
      </c>
      <c r="J3858">
        <v>3031</v>
      </c>
      <c r="K3858" t="s">
        <v>1654</v>
      </c>
      <c r="L3858">
        <v>0</v>
      </c>
      <c r="N3858" t="s">
        <v>253</v>
      </c>
      <c r="O3858">
        <v>10</v>
      </c>
      <c r="P3858">
        <v>1212</v>
      </c>
      <c r="Q3858" t="s">
        <v>1655</v>
      </c>
      <c r="R3858" t="s">
        <v>201</v>
      </c>
      <c r="S3858">
        <v>1</v>
      </c>
      <c r="T3858">
        <v>1</v>
      </c>
      <c r="U3858">
        <v>136692</v>
      </c>
      <c r="V3858">
        <v>136692</v>
      </c>
    </row>
    <row r="3859" spans="1:22">
      <c r="A3859" t="s">
        <v>196</v>
      </c>
      <c r="B3859">
        <v>70</v>
      </c>
      <c r="C3859" t="s">
        <v>40</v>
      </c>
      <c r="D3859">
        <v>100</v>
      </c>
      <c r="E3859" t="s">
        <v>197</v>
      </c>
      <c r="F3859">
        <v>1005</v>
      </c>
      <c r="G3859" t="s">
        <v>40</v>
      </c>
      <c r="H3859">
        <v>2005</v>
      </c>
      <c r="I3859" t="s">
        <v>40</v>
      </c>
      <c r="J3859">
        <v>3031</v>
      </c>
      <c r="K3859" t="s">
        <v>1654</v>
      </c>
      <c r="L3859">
        <v>0</v>
      </c>
      <c r="N3859" t="s">
        <v>253</v>
      </c>
      <c r="O3859">
        <v>10</v>
      </c>
      <c r="P3859">
        <v>1212</v>
      </c>
      <c r="Q3859" t="s">
        <v>1655</v>
      </c>
      <c r="R3859" t="s">
        <v>201</v>
      </c>
      <c r="S3859">
        <v>1</v>
      </c>
      <c r="T3859">
        <v>1</v>
      </c>
      <c r="U3859">
        <v>124584</v>
      </c>
      <c r="V3859">
        <v>124584</v>
      </c>
    </row>
    <row r="3860" spans="1:22">
      <c r="A3860" t="s">
        <v>196</v>
      </c>
      <c r="B3860">
        <v>70</v>
      </c>
      <c r="C3860" t="s">
        <v>40</v>
      </c>
      <c r="D3860">
        <v>100</v>
      </c>
      <c r="E3860" t="s">
        <v>197</v>
      </c>
      <c r="F3860">
        <v>1005</v>
      </c>
      <c r="G3860" t="s">
        <v>40</v>
      </c>
      <c r="H3860">
        <v>2005</v>
      </c>
      <c r="I3860" t="s">
        <v>40</v>
      </c>
      <c r="J3860">
        <v>3031</v>
      </c>
      <c r="K3860" t="s">
        <v>1654</v>
      </c>
      <c r="L3860">
        <v>0</v>
      </c>
      <c r="N3860" t="s">
        <v>251</v>
      </c>
      <c r="O3860">
        <v>10</v>
      </c>
      <c r="P3860">
        <v>1211</v>
      </c>
      <c r="Q3860" t="s">
        <v>1656</v>
      </c>
      <c r="R3860" t="s">
        <v>201</v>
      </c>
      <c r="S3860">
        <v>2</v>
      </c>
      <c r="T3860">
        <v>1</v>
      </c>
      <c r="U3860">
        <v>124584</v>
      </c>
      <c r="V3860">
        <v>249168</v>
      </c>
    </row>
    <row r="3861" spans="1:22">
      <c r="A3861" t="s">
        <v>196</v>
      </c>
      <c r="B3861">
        <v>70</v>
      </c>
      <c r="C3861" t="s">
        <v>40</v>
      </c>
      <c r="D3861">
        <v>100</v>
      </c>
      <c r="E3861" t="s">
        <v>197</v>
      </c>
      <c r="F3861">
        <v>1005</v>
      </c>
      <c r="G3861" t="s">
        <v>40</v>
      </c>
      <c r="H3861">
        <v>2005</v>
      </c>
      <c r="I3861" t="s">
        <v>40</v>
      </c>
      <c r="J3861">
        <v>3031</v>
      </c>
      <c r="K3861" t="s">
        <v>1654</v>
      </c>
      <c r="L3861">
        <v>0</v>
      </c>
      <c r="N3861" t="s">
        <v>251</v>
      </c>
      <c r="O3861">
        <v>10</v>
      </c>
      <c r="P3861">
        <v>1211</v>
      </c>
      <c r="Q3861" t="s">
        <v>1656</v>
      </c>
      <c r="R3861" t="s">
        <v>201</v>
      </c>
      <c r="S3861">
        <v>2</v>
      </c>
      <c r="T3861">
        <v>1</v>
      </c>
      <c r="U3861">
        <v>108432</v>
      </c>
      <c r="V3861">
        <v>216864</v>
      </c>
    </row>
    <row r="3862" spans="1:22">
      <c r="A3862" t="s">
        <v>196</v>
      </c>
      <c r="B3862">
        <v>70</v>
      </c>
      <c r="C3862" t="s">
        <v>40</v>
      </c>
      <c r="D3862">
        <v>100</v>
      </c>
      <c r="E3862" t="s">
        <v>197</v>
      </c>
      <c r="F3862">
        <v>1005</v>
      </c>
      <c r="G3862" t="s">
        <v>40</v>
      </c>
      <c r="H3862">
        <v>2005</v>
      </c>
      <c r="I3862" t="s">
        <v>40</v>
      </c>
      <c r="J3862">
        <v>3031</v>
      </c>
      <c r="K3862" t="s">
        <v>1654</v>
      </c>
      <c r="L3862">
        <v>0</v>
      </c>
      <c r="N3862" t="s">
        <v>251</v>
      </c>
      <c r="O3862">
        <v>10</v>
      </c>
      <c r="P3862">
        <v>1211</v>
      </c>
      <c r="Q3862" t="s">
        <v>1656</v>
      </c>
      <c r="R3862" t="s">
        <v>201</v>
      </c>
      <c r="S3862">
        <v>2</v>
      </c>
      <c r="T3862">
        <v>1</v>
      </c>
      <c r="U3862">
        <v>89112</v>
      </c>
      <c r="V3862">
        <v>178224</v>
      </c>
    </row>
    <row r="3863" spans="1:22">
      <c r="A3863" t="s">
        <v>196</v>
      </c>
      <c r="B3863">
        <v>70</v>
      </c>
      <c r="C3863" t="s">
        <v>40</v>
      </c>
      <c r="D3863">
        <v>100</v>
      </c>
      <c r="E3863" t="s">
        <v>197</v>
      </c>
      <c r="F3863">
        <v>1005</v>
      </c>
      <c r="G3863" t="s">
        <v>40</v>
      </c>
      <c r="H3863">
        <v>2005</v>
      </c>
      <c r="I3863" t="s">
        <v>40</v>
      </c>
      <c r="J3863">
        <v>3031</v>
      </c>
      <c r="K3863" t="s">
        <v>1654</v>
      </c>
      <c r="L3863">
        <v>0</v>
      </c>
      <c r="N3863" t="s">
        <v>251</v>
      </c>
      <c r="O3863">
        <v>10</v>
      </c>
      <c r="P3863">
        <v>1211</v>
      </c>
      <c r="Q3863" t="s">
        <v>1656</v>
      </c>
      <c r="R3863" t="s">
        <v>201</v>
      </c>
      <c r="S3863">
        <v>1</v>
      </c>
      <c r="T3863">
        <v>1</v>
      </c>
      <c r="U3863">
        <v>85128</v>
      </c>
      <c r="V3863">
        <v>85128</v>
      </c>
    </row>
    <row r="3864" spans="1:22">
      <c r="A3864" t="s">
        <v>196</v>
      </c>
      <c r="B3864">
        <v>70</v>
      </c>
      <c r="C3864" t="s">
        <v>40</v>
      </c>
      <c r="D3864">
        <v>100</v>
      </c>
      <c r="E3864" t="s">
        <v>197</v>
      </c>
      <c r="F3864">
        <v>1005</v>
      </c>
      <c r="G3864" t="s">
        <v>40</v>
      </c>
      <c r="H3864">
        <v>2005</v>
      </c>
      <c r="I3864" t="s">
        <v>40</v>
      </c>
      <c r="J3864">
        <v>3031</v>
      </c>
      <c r="K3864" t="s">
        <v>1654</v>
      </c>
      <c r="L3864">
        <v>0</v>
      </c>
      <c r="N3864" t="s">
        <v>251</v>
      </c>
      <c r="O3864">
        <v>10</v>
      </c>
      <c r="P3864">
        <v>1211</v>
      </c>
      <c r="Q3864" t="s">
        <v>1656</v>
      </c>
      <c r="R3864" t="s">
        <v>201</v>
      </c>
      <c r="S3864">
        <v>1</v>
      </c>
      <c r="T3864">
        <v>1</v>
      </c>
      <c r="U3864">
        <v>83052</v>
      </c>
      <c r="V3864">
        <v>83052</v>
      </c>
    </row>
    <row r="3865" spans="1:22">
      <c r="A3865" t="s">
        <v>196</v>
      </c>
      <c r="B3865">
        <v>70</v>
      </c>
      <c r="C3865" t="s">
        <v>40</v>
      </c>
      <c r="D3865">
        <v>100</v>
      </c>
      <c r="E3865" t="s">
        <v>197</v>
      </c>
      <c r="F3865">
        <v>1005</v>
      </c>
      <c r="G3865" t="s">
        <v>40</v>
      </c>
      <c r="H3865">
        <v>2005</v>
      </c>
      <c r="I3865" t="s">
        <v>40</v>
      </c>
      <c r="J3865">
        <v>3031</v>
      </c>
      <c r="K3865" t="s">
        <v>1654</v>
      </c>
      <c r="L3865">
        <v>0</v>
      </c>
      <c r="N3865" t="s">
        <v>251</v>
      </c>
      <c r="O3865">
        <v>10</v>
      </c>
      <c r="P3865">
        <v>1211</v>
      </c>
      <c r="Q3865" t="s">
        <v>1656</v>
      </c>
      <c r="R3865" t="s">
        <v>201</v>
      </c>
      <c r="S3865">
        <v>1</v>
      </c>
      <c r="T3865">
        <v>1</v>
      </c>
      <c r="U3865">
        <v>80124</v>
      </c>
      <c r="V3865">
        <v>80124</v>
      </c>
    </row>
    <row r="3866" spans="1:22">
      <c r="A3866" t="s">
        <v>196</v>
      </c>
      <c r="B3866">
        <v>70</v>
      </c>
      <c r="C3866" t="s">
        <v>40</v>
      </c>
      <c r="D3866">
        <v>100</v>
      </c>
      <c r="E3866" t="s">
        <v>197</v>
      </c>
      <c r="F3866">
        <v>1005</v>
      </c>
      <c r="G3866" t="s">
        <v>40</v>
      </c>
      <c r="H3866">
        <v>2005</v>
      </c>
      <c r="I3866" t="s">
        <v>40</v>
      </c>
      <c r="J3866">
        <v>3031</v>
      </c>
      <c r="K3866" t="s">
        <v>1654</v>
      </c>
      <c r="L3866">
        <v>0</v>
      </c>
      <c r="N3866" t="s">
        <v>251</v>
      </c>
      <c r="O3866">
        <v>10</v>
      </c>
      <c r="P3866">
        <v>1211</v>
      </c>
      <c r="Q3866" t="s">
        <v>1656</v>
      </c>
      <c r="R3866" t="s">
        <v>201</v>
      </c>
      <c r="S3866">
        <v>1</v>
      </c>
      <c r="T3866">
        <v>1</v>
      </c>
      <c r="U3866">
        <v>76476</v>
      </c>
      <c r="V3866">
        <v>76476</v>
      </c>
    </row>
    <row r="3867" spans="1:22">
      <c r="A3867" t="s">
        <v>196</v>
      </c>
      <c r="B3867">
        <v>70</v>
      </c>
      <c r="C3867" t="s">
        <v>40</v>
      </c>
      <c r="D3867">
        <v>100</v>
      </c>
      <c r="E3867" t="s">
        <v>197</v>
      </c>
      <c r="F3867">
        <v>1005</v>
      </c>
      <c r="G3867" t="s">
        <v>40</v>
      </c>
      <c r="H3867">
        <v>2005</v>
      </c>
      <c r="I3867" t="s">
        <v>40</v>
      </c>
      <c r="J3867">
        <v>3031</v>
      </c>
      <c r="K3867" t="s">
        <v>1654</v>
      </c>
      <c r="L3867">
        <v>0</v>
      </c>
      <c r="N3867" t="s">
        <v>372</v>
      </c>
      <c r="O3867">
        <v>1</v>
      </c>
      <c r="P3867">
        <v>1210</v>
      </c>
      <c r="Q3867" t="s">
        <v>1657</v>
      </c>
      <c r="R3867" t="s">
        <v>201</v>
      </c>
      <c r="S3867">
        <v>8</v>
      </c>
      <c r="T3867">
        <v>1</v>
      </c>
      <c r="U3867">
        <v>130668</v>
      </c>
      <c r="V3867">
        <v>1045344</v>
      </c>
    </row>
    <row r="3868" spans="1:22">
      <c r="A3868" t="s">
        <v>196</v>
      </c>
      <c r="B3868">
        <v>70</v>
      </c>
      <c r="C3868" t="s">
        <v>40</v>
      </c>
      <c r="D3868">
        <v>100</v>
      </c>
      <c r="E3868" t="s">
        <v>197</v>
      </c>
      <c r="F3868">
        <v>1005</v>
      </c>
      <c r="G3868" t="s">
        <v>40</v>
      </c>
      <c r="H3868">
        <v>2005</v>
      </c>
      <c r="I3868" t="s">
        <v>40</v>
      </c>
      <c r="J3868">
        <v>3031</v>
      </c>
      <c r="K3868" t="s">
        <v>1654</v>
      </c>
      <c r="L3868">
        <v>0</v>
      </c>
      <c r="N3868" t="s">
        <v>372</v>
      </c>
      <c r="O3868">
        <v>1</v>
      </c>
      <c r="P3868">
        <v>1210</v>
      </c>
      <c r="Q3868" t="s">
        <v>1657</v>
      </c>
      <c r="R3868" t="s">
        <v>201</v>
      </c>
      <c r="S3868">
        <v>3</v>
      </c>
      <c r="T3868">
        <v>1</v>
      </c>
      <c r="U3868">
        <v>124848</v>
      </c>
      <c r="V3868">
        <v>374544</v>
      </c>
    </row>
    <row r="3869" spans="1:22">
      <c r="A3869" t="s">
        <v>196</v>
      </c>
      <c r="B3869">
        <v>70</v>
      </c>
      <c r="C3869" t="s">
        <v>40</v>
      </c>
      <c r="D3869">
        <v>100</v>
      </c>
      <c r="E3869" t="s">
        <v>197</v>
      </c>
      <c r="F3869">
        <v>1005</v>
      </c>
      <c r="G3869" t="s">
        <v>40</v>
      </c>
      <c r="H3869">
        <v>2005</v>
      </c>
      <c r="I3869" t="s">
        <v>40</v>
      </c>
      <c r="J3869">
        <v>3031</v>
      </c>
      <c r="K3869" t="s">
        <v>1654</v>
      </c>
      <c r="L3869">
        <v>0</v>
      </c>
      <c r="N3869" t="s">
        <v>372</v>
      </c>
      <c r="O3869">
        <v>1</v>
      </c>
      <c r="P3869">
        <v>1210</v>
      </c>
      <c r="Q3869" t="s">
        <v>1657</v>
      </c>
      <c r="R3869" t="s">
        <v>201</v>
      </c>
      <c r="S3869">
        <v>2</v>
      </c>
      <c r="T3869">
        <v>1</v>
      </c>
      <c r="U3869">
        <v>119100</v>
      </c>
      <c r="V3869">
        <v>238200</v>
      </c>
    </row>
    <row r="3870" spans="1:22">
      <c r="A3870" t="s">
        <v>196</v>
      </c>
      <c r="B3870">
        <v>70</v>
      </c>
      <c r="C3870" t="s">
        <v>40</v>
      </c>
      <c r="D3870">
        <v>100</v>
      </c>
      <c r="E3870" t="s">
        <v>197</v>
      </c>
      <c r="F3870">
        <v>1005</v>
      </c>
      <c r="G3870" t="s">
        <v>40</v>
      </c>
      <c r="H3870">
        <v>2005</v>
      </c>
      <c r="I3870" t="s">
        <v>40</v>
      </c>
      <c r="J3870">
        <v>3031</v>
      </c>
      <c r="K3870" t="s">
        <v>1654</v>
      </c>
      <c r="L3870">
        <v>0</v>
      </c>
      <c r="N3870" t="s">
        <v>372</v>
      </c>
      <c r="O3870">
        <v>1</v>
      </c>
      <c r="P3870">
        <v>1210</v>
      </c>
      <c r="Q3870" t="s">
        <v>1657</v>
      </c>
      <c r="R3870" t="s">
        <v>201</v>
      </c>
      <c r="S3870">
        <v>2</v>
      </c>
      <c r="T3870">
        <v>1</v>
      </c>
      <c r="U3870">
        <v>113628</v>
      </c>
      <c r="V3870">
        <v>227256</v>
      </c>
    </row>
    <row r="3871" spans="1:22">
      <c r="A3871" t="s">
        <v>196</v>
      </c>
      <c r="B3871">
        <v>70</v>
      </c>
      <c r="C3871" t="s">
        <v>40</v>
      </c>
      <c r="D3871">
        <v>100</v>
      </c>
      <c r="E3871" t="s">
        <v>197</v>
      </c>
      <c r="F3871">
        <v>1005</v>
      </c>
      <c r="G3871" t="s">
        <v>40</v>
      </c>
      <c r="H3871">
        <v>2005</v>
      </c>
      <c r="I3871" t="s">
        <v>40</v>
      </c>
      <c r="J3871">
        <v>3031</v>
      </c>
      <c r="K3871" t="s">
        <v>1654</v>
      </c>
      <c r="L3871">
        <v>0</v>
      </c>
      <c r="N3871" t="s">
        <v>372</v>
      </c>
      <c r="O3871">
        <v>1</v>
      </c>
      <c r="P3871">
        <v>1210</v>
      </c>
      <c r="Q3871" t="s">
        <v>1657</v>
      </c>
      <c r="R3871" t="s">
        <v>201</v>
      </c>
      <c r="S3871">
        <v>1</v>
      </c>
      <c r="T3871">
        <v>1</v>
      </c>
      <c r="U3871">
        <v>103608</v>
      </c>
      <c r="V3871">
        <v>103608</v>
      </c>
    </row>
    <row r="3872" spans="1:22">
      <c r="A3872" t="s">
        <v>196</v>
      </c>
      <c r="B3872">
        <v>70</v>
      </c>
      <c r="C3872" t="s">
        <v>40</v>
      </c>
      <c r="D3872">
        <v>100</v>
      </c>
      <c r="E3872" t="s">
        <v>197</v>
      </c>
      <c r="F3872">
        <v>1005</v>
      </c>
      <c r="G3872" t="s">
        <v>40</v>
      </c>
      <c r="H3872">
        <v>2005</v>
      </c>
      <c r="I3872" t="s">
        <v>40</v>
      </c>
      <c r="J3872">
        <v>3031</v>
      </c>
      <c r="K3872" t="s">
        <v>1654</v>
      </c>
      <c r="L3872">
        <v>0</v>
      </c>
      <c r="N3872" t="s">
        <v>372</v>
      </c>
      <c r="O3872">
        <v>1</v>
      </c>
      <c r="P3872">
        <v>1210</v>
      </c>
      <c r="Q3872" t="s">
        <v>1657</v>
      </c>
      <c r="R3872" t="s">
        <v>201</v>
      </c>
      <c r="S3872">
        <v>1</v>
      </c>
      <c r="T3872">
        <v>1</v>
      </c>
      <c r="U3872">
        <v>98928</v>
      </c>
      <c r="V3872">
        <v>98928</v>
      </c>
    </row>
    <row r="3873" spans="1:22">
      <c r="A3873" t="s">
        <v>196</v>
      </c>
      <c r="B3873">
        <v>70</v>
      </c>
      <c r="C3873" t="s">
        <v>40</v>
      </c>
      <c r="D3873">
        <v>100</v>
      </c>
      <c r="E3873" t="s">
        <v>197</v>
      </c>
      <c r="F3873">
        <v>1005</v>
      </c>
      <c r="G3873" t="s">
        <v>40</v>
      </c>
      <c r="H3873">
        <v>2005</v>
      </c>
      <c r="I3873" t="s">
        <v>40</v>
      </c>
      <c r="J3873">
        <v>3031</v>
      </c>
      <c r="K3873" t="s">
        <v>1654</v>
      </c>
      <c r="L3873">
        <v>0</v>
      </c>
      <c r="N3873" t="s">
        <v>372</v>
      </c>
      <c r="O3873">
        <v>1</v>
      </c>
      <c r="P3873">
        <v>1210</v>
      </c>
      <c r="Q3873" t="s">
        <v>1657</v>
      </c>
      <c r="R3873" t="s">
        <v>201</v>
      </c>
      <c r="S3873">
        <v>3</v>
      </c>
      <c r="T3873">
        <v>1</v>
      </c>
      <c r="U3873">
        <v>93504</v>
      </c>
      <c r="V3873">
        <v>280512</v>
      </c>
    </row>
    <row r="3874" spans="1:22">
      <c r="A3874" t="s">
        <v>196</v>
      </c>
      <c r="B3874">
        <v>70</v>
      </c>
      <c r="C3874" t="s">
        <v>40</v>
      </c>
      <c r="D3874">
        <v>100</v>
      </c>
      <c r="E3874" t="s">
        <v>197</v>
      </c>
      <c r="F3874">
        <v>1005</v>
      </c>
      <c r="G3874" t="s">
        <v>40</v>
      </c>
      <c r="H3874">
        <v>2005</v>
      </c>
      <c r="I3874" t="s">
        <v>40</v>
      </c>
      <c r="J3874">
        <v>3031</v>
      </c>
      <c r="K3874" t="s">
        <v>1654</v>
      </c>
      <c r="L3874">
        <v>0</v>
      </c>
      <c r="N3874" t="s">
        <v>372</v>
      </c>
      <c r="O3874">
        <v>1</v>
      </c>
      <c r="P3874">
        <v>1210</v>
      </c>
      <c r="Q3874" t="s">
        <v>1657</v>
      </c>
      <c r="R3874" t="s">
        <v>201</v>
      </c>
      <c r="S3874">
        <v>2</v>
      </c>
      <c r="T3874">
        <v>1</v>
      </c>
      <c r="U3874">
        <v>89244</v>
      </c>
      <c r="V3874">
        <v>178488</v>
      </c>
    </row>
    <row r="3875" spans="1:22">
      <c r="A3875" t="s">
        <v>196</v>
      </c>
      <c r="B3875">
        <v>70</v>
      </c>
      <c r="C3875" t="s">
        <v>40</v>
      </c>
      <c r="D3875">
        <v>100</v>
      </c>
      <c r="E3875" t="s">
        <v>197</v>
      </c>
      <c r="F3875">
        <v>1005</v>
      </c>
      <c r="G3875" t="s">
        <v>40</v>
      </c>
      <c r="H3875">
        <v>2005</v>
      </c>
      <c r="I3875" t="s">
        <v>40</v>
      </c>
      <c r="J3875">
        <v>3031</v>
      </c>
      <c r="K3875" t="s">
        <v>1654</v>
      </c>
      <c r="L3875">
        <v>0</v>
      </c>
      <c r="N3875" t="s">
        <v>372</v>
      </c>
      <c r="O3875">
        <v>1</v>
      </c>
      <c r="P3875">
        <v>1210</v>
      </c>
      <c r="Q3875" t="s">
        <v>1657</v>
      </c>
      <c r="R3875" t="s">
        <v>201</v>
      </c>
      <c r="S3875">
        <v>2</v>
      </c>
      <c r="T3875">
        <v>1</v>
      </c>
      <c r="U3875">
        <v>85200</v>
      </c>
      <c r="V3875">
        <v>170400</v>
      </c>
    </row>
    <row r="3876" spans="1:22">
      <c r="A3876" t="s">
        <v>196</v>
      </c>
      <c r="B3876">
        <v>70</v>
      </c>
      <c r="C3876" t="s">
        <v>40</v>
      </c>
      <c r="D3876">
        <v>100</v>
      </c>
      <c r="E3876" t="s">
        <v>197</v>
      </c>
      <c r="F3876">
        <v>1005</v>
      </c>
      <c r="G3876" t="s">
        <v>40</v>
      </c>
      <c r="H3876">
        <v>2005</v>
      </c>
      <c r="I3876" t="s">
        <v>40</v>
      </c>
      <c r="J3876">
        <v>3031</v>
      </c>
      <c r="K3876" t="s">
        <v>1654</v>
      </c>
      <c r="L3876">
        <v>0</v>
      </c>
      <c r="N3876" t="s">
        <v>372</v>
      </c>
      <c r="O3876">
        <v>1</v>
      </c>
      <c r="P3876">
        <v>1210</v>
      </c>
      <c r="Q3876" t="s">
        <v>1657</v>
      </c>
      <c r="R3876" t="s">
        <v>201</v>
      </c>
      <c r="S3876">
        <v>5</v>
      </c>
      <c r="T3876">
        <v>1</v>
      </c>
      <c r="U3876">
        <v>81324</v>
      </c>
      <c r="V3876">
        <v>406620</v>
      </c>
    </row>
    <row r="3877" spans="1:22">
      <c r="A3877" t="s">
        <v>196</v>
      </c>
      <c r="B3877">
        <v>70</v>
      </c>
      <c r="C3877" t="s">
        <v>40</v>
      </c>
      <c r="D3877">
        <v>100</v>
      </c>
      <c r="E3877" t="s">
        <v>197</v>
      </c>
      <c r="F3877">
        <v>1005</v>
      </c>
      <c r="G3877" t="s">
        <v>40</v>
      </c>
      <c r="H3877">
        <v>2005</v>
      </c>
      <c r="I3877" t="s">
        <v>40</v>
      </c>
      <c r="J3877">
        <v>3031</v>
      </c>
      <c r="K3877" t="s">
        <v>1654</v>
      </c>
      <c r="L3877">
        <v>0</v>
      </c>
      <c r="N3877" t="s">
        <v>372</v>
      </c>
      <c r="O3877">
        <v>1</v>
      </c>
      <c r="P3877">
        <v>1210</v>
      </c>
      <c r="Q3877" t="s">
        <v>1657</v>
      </c>
      <c r="R3877" t="s">
        <v>201</v>
      </c>
      <c r="S3877">
        <v>5</v>
      </c>
      <c r="T3877">
        <v>1</v>
      </c>
      <c r="U3877">
        <v>77640</v>
      </c>
      <c r="V3877">
        <v>388200</v>
      </c>
    </row>
    <row r="3878" spans="1:22">
      <c r="A3878" t="s">
        <v>196</v>
      </c>
      <c r="B3878">
        <v>70</v>
      </c>
      <c r="C3878" t="s">
        <v>40</v>
      </c>
      <c r="D3878">
        <v>100</v>
      </c>
      <c r="E3878" t="s">
        <v>197</v>
      </c>
      <c r="F3878">
        <v>1005</v>
      </c>
      <c r="G3878" t="s">
        <v>40</v>
      </c>
      <c r="H3878">
        <v>2005</v>
      </c>
      <c r="I3878" t="s">
        <v>40</v>
      </c>
      <c r="J3878">
        <v>3031</v>
      </c>
      <c r="K3878" t="s">
        <v>1654</v>
      </c>
      <c r="L3878">
        <v>0</v>
      </c>
      <c r="N3878" t="s">
        <v>372</v>
      </c>
      <c r="O3878">
        <v>1</v>
      </c>
      <c r="P3878">
        <v>1210</v>
      </c>
      <c r="Q3878" t="s">
        <v>1657</v>
      </c>
      <c r="R3878" t="s">
        <v>201</v>
      </c>
      <c r="S3878">
        <v>5</v>
      </c>
      <c r="T3878">
        <v>1</v>
      </c>
      <c r="U3878">
        <v>75336</v>
      </c>
      <c r="V3878">
        <v>376680</v>
      </c>
    </row>
    <row r="3879" spans="1:22">
      <c r="A3879" t="s">
        <v>196</v>
      </c>
      <c r="B3879">
        <v>70</v>
      </c>
      <c r="C3879" t="s">
        <v>40</v>
      </c>
      <c r="D3879">
        <v>100</v>
      </c>
      <c r="E3879" t="s">
        <v>197</v>
      </c>
      <c r="F3879">
        <v>1005</v>
      </c>
      <c r="G3879" t="s">
        <v>40</v>
      </c>
      <c r="H3879">
        <v>2005</v>
      </c>
      <c r="I3879" t="s">
        <v>40</v>
      </c>
      <c r="J3879">
        <v>3031</v>
      </c>
      <c r="K3879" t="s">
        <v>1654</v>
      </c>
      <c r="L3879">
        <v>0</v>
      </c>
      <c r="N3879" t="s">
        <v>351</v>
      </c>
      <c r="O3879">
        <v>1</v>
      </c>
      <c r="P3879" t="s">
        <v>352</v>
      </c>
      <c r="Q3879" t="s">
        <v>353</v>
      </c>
      <c r="R3879" t="s">
        <v>201</v>
      </c>
      <c r="S3879">
        <v>1</v>
      </c>
      <c r="T3879">
        <v>1</v>
      </c>
      <c r="U3879">
        <v>108576</v>
      </c>
      <c r="V3879">
        <v>108576</v>
      </c>
    </row>
    <row r="3880" spans="1:22">
      <c r="A3880" t="s">
        <v>196</v>
      </c>
      <c r="B3880">
        <v>70</v>
      </c>
      <c r="C3880" t="s">
        <v>40</v>
      </c>
      <c r="D3880">
        <v>100</v>
      </c>
      <c r="E3880" t="s">
        <v>197</v>
      </c>
      <c r="F3880">
        <v>1005</v>
      </c>
      <c r="G3880" t="s">
        <v>40</v>
      </c>
      <c r="H3880">
        <v>2005</v>
      </c>
      <c r="I3880" t="s">
        <v>40</v>
      </c>
      <c r="J3880">
        <v>3031</v>
      </c>
      <c r="K3880" t="s">
        <v>1654</v>
      </c>
      <c r="L3880">
        <v>0</v>
      </c>
      <c r="N3880" t="s">
        <v>351</v>
      </c>
      <c r="O3880">
        <v>1</v>
      </c>
      <c r="P3880" t="s">
        <v>352</v>
      </c>
      <c r="Q3880" t="s">
        <v>353</v>
      </c>
      <c r="R3880" t="s">
        <v>201</v>
      </c>
      <c r="S3880">
        <v>1</v>
      </c>
      <c r="T3880">
        <v>1</v>
      </c>
      <c r="U3880">
        <v>94452</v>
      </c>
      <c r="V3880">
        <v>94452</v>
      </c>
    </row>
    <row r="3881" spans="1:22">
      <c r="A3881" t="s">
        <v>196</v>
      </c>
      <c r="B3881">
        <v>70</v>
      </c>
      <c r="C3881" t="s">
        <v>40</v>
      </c>
      <c r="D3881">
        <v>100</v>
      </c>
      <c r="E3881" t="s">
        <v>197</v>
      </c>
      <c r="F3881">
        <v>1005</v>
      </c>
      <c r="G3881" t="s">
        <v>40</v>
      </c>
      <c r="H3881">
        <v>2005</v>
      </c>
      <c r="I3881" t="s">
        <v>40</v>
      </c>
      <c r="J3881">
        <v>3031</v>
      </c>
      <c r="K3881" t="s">
        <v>1654</v>
      </c>
      <c r="L3881">
        <v>0</v>
      </c>
      <c r="N3881" t="s">
        <v>351</v>
      </c>
      <c r="O3881">
        <v>1</v>
      </c>
      <c r="P3881" t="s">
        <v>352</v>
      </c>
      <c r="Q3881" t="s">
        <v>353</v>
      </c>
      <c r="R3881" t="s">
        <v>201</v>
      </c>
      <c r="S3881">
        <v>1</v>
      </c>
      <c r="T3881">
        <v>1</v>
      </c>
      <c r="U3881">
        <v>67608</v>
      </c>
      <c r="V3881">
        <v>67608</v>
      </c>
    </row>
    <row r="3882" spans="1:22">
      <c r="A3882" t="s">
        <v>196</v>
      </c>
      <c r="B3882">
        <v>70</v>
      </c>
      <c r="C3882" t="s">
        <v>40</v>
      </c>
      <c r="D3882">
        <v>100</v>
      </c>
      <c r="E3882" t="s">
        <v>197</v>
      </c>
      <c r="F3882">
        <v>1005</v>
      </c>
      <c r="G3882" t="s">
        <v>40</v>
      </c>
      <c r="H3882">
        <v>2005</v>
      </c>
      <c r="I3882" t="s">
        <v>40</v>
      </c>
      <c r="J3882">
        <v>3031</v>
      </c>
      <c r="K3882" t="s">
        <v>1654</v>
      </c>
      <c r="L3882">
        <v>0</v>
      </c>
      <c r="N3882" t="s">
        <v>622</v>
      </c>
      <c r="O3882">
        <v>1</v>
      </c>
      <c r="P3882" t="s">
        <v>667</v>
      </c>
      <c r="Q3882" t="s">
        <v>205</v>
      </c>
      <c r="R3882" t="s">
        <v>201</v>
      </c>
      <c r="S3882">
        <v>1</v>
      </c>
      <c r="T3882">
        <v>1</v>
      </c>
      <c r="U3882">
        <v>58764</v>
      </c>
      <c r="V3882">
        <v>58764</v>
      </c>
    </row>
    <row r="3883" spans="1:22">
      <c r="A3883" t="s">
        <v>196</v>
      </c>
      <c r="B3883">
        <v>70</v>
      </c>
      <c r="C3883" t="s">
        <v>40</v>
      </c>
      <c r="D3883">
        <v>100</v>
      </c>
      <c r="E3883" t="s">
        <v>197</v>
      </c>
      <c r="F3883">
        <v>1005</v>
      </c>
      <c r="G3883" t="s">
        <v>40</v>
      </c>
      <c r="H3883">
        <v>2005</v>
      </c>
      <c r="I3883" t="s">
        <v>40</v>
      </c>
      <c r="J3883">
        <v>3031</v>
      </c>
      <c r="K3883" t="s">
        <v>1654</v>
      </c>
      <c r="L3883">
        <v>0</v>
      </c>
      <c r="N3883" t="s">
        <v>622</v>
      </c>
      <c r="O3883">
        <v>1</v>
      </c>
      <c r="P3883" t="s">
        <v>667</v>
      </c>
      <c r="Q3883" t="s">
        <v>205</v>
      </c>
      <c r="R3883" t="s">
        <v>201</v>
      </c>
      <c r="S3883">
        <v>1</v>
      </c>
      <c r="T3883">
        <v>1</v>
      </c>
      <c r="U3883">
        <v>51936</v>
      </c>
      <c r="V3883">
        <v>51936</v>
      </c>
    </row>
    <row r="3884" spans="1:22">
      <c r="A3884" t="s">
        <v>196</v>
      </c>
      <c r="B3884">
        <v>70</v>
      </c>
      <c r="C3884" t="s">
        <v>40</v>
      </c>
      <c r="D3884">
        <v>100</v>
      </c>
      <c r="E3884" t="s">
        <v>197</v>
      </c>
      <c r="F3884">
        <v>1005</v>
      </c>
      <c r="G3884" t="s">
        <v>40</v>
      </c>
      <c r="H3884">
        <v>2005</v>
      </c>
      <c r="I3884" t="s">
        <v>40</v>
      </c>
      <c r="J3884">
        <v>3031</v>
      </c>
      <c r="K3884" t="s">
        <v>1654</v>
      </c>
      <c r="L3884">
        <v>0</v>
      </c>
      <c r="N3884" t="s">
        <v>199</v>
      </c>
      <c r="O3884">
        <v>0</v>
      </c>
      <c r="P3884">
        <v>15</v>
      </c>
      <c r="Q3884" t="s">
        <v>264</v>
      </c>
      <c r="R3884" t="s">
        <v>201</v>
      </c>
      <c r="S3884">
        <v>0</v>
      </c>
      <c r="T3884">
        <v>0</v>
      </c>
      <c r="U3884">
        <v>54586</v>
      </c>
      <c r="V3884">
        <v>54586</v>
      </c>
    </row>
    <row r="3885" spans="1:22">
      <c r="A3885" t="s">
        <v>196</v>
      </c>
      <c r="B3885">
        <v>70</v>
      </c>
      <c r="C3885" t="s">
        <v>40</v>
      </c>
      <c r="D3885">
        <v>100</v>
      </c>
      <c r="E3885" t="s">
        <v>197</v>
      </c>
      <c r="F3885">
        <v>1005</v>
      </c>
      <c r="G3885" t="s">
        <v>40</v>
      </c>
      <c r="H3885">
        <v>2005</v>
      </c>
      <c r="I3885" t="s">
        <v>40</v>
      </c>
      <c r="J3885">
        <v>3032</v>
      </c>
      <c r="K3885" t="s">
        <v>1658</v>
      </c>
      <c r="L3885">
        <v>0</v>
      </c>
      <c r="N3885" t="s">
        <v>266</v>
      </c>
      <c r="O3885">
        <v>9</v>
      </c>
      <c r="P3885">
        <v>9689</v>
      </c>
      <c r="Q3885" t="s">
        <v>1659</v>
      </c>
      <c r="R3885" t="s">
        <v>201</v>
      </c>
      <c r="S3885">
        <v>1</v>
      </c>
      <c r="T3885">
        <v>1</v>
      </c>
      <c r="U3885">
        <v>167964</v>
      </c>
      <c r="V3885">
        <v>167964</v>
      </c>
    </row>
    <row r="3886" spans="1:22">
      <c r="A3886" t="s">
        <v>196</v>
      </c>
      <c r="B3886">
        <v>70</v>
      </c>
      <c r="C3886" t="s">
        <v>40</v>
      </c>
      <c r="D3886">
        <v>100</v>
      </c>
      <c r="E3886" t="s">
        <v>197</v>
      </c>
      <c r="F3886">
        <v>1005</v>
      </c>
      <c r="G3886" t="s">
        <v>40</v>
      </c>
      <c r="H3886">
        <v>2005</v>
      </c>
      <c r="I3886" t="s">
        <v>40</v>
      </c>
      <c r="J3886">
        <v>3032</v>
      </c>
      <c r="K3886" t="s">
        <v>1658</v>
      </c>
      <c r="L3886">
        <v>0</v>
      </c>
      <c r="N3886" t="s">
        <v>372</v>
      </c>
      <c r="O3886">
        <v>1</v>
      </c>
      <c r="P3886">
        <v>1730</v>
      </c>
      <c r="Q3886" t="s">
        <v>1105</v>
      </c>
      <c r="R3886" t="s">
        <v>201</v>
      </c>
      <c r="S3886">
        <v>2</v>
      </c>
      <c r="T3886">
        <v>1</v>
      </c>
      <c r="U3886">
        <v>77640</v>
      </c>
      <c r="V3886">
        <v>155280</v>
      </c>
    </row>
    <row r="3887" spans="1:22">
      <c r="A3887" t="s">
        <v>196</v>
      </c>
      <c r="B3887">
        <v>70</v>
      </c>
      <c r="C3887" t="s">
        <v>40</v>
      </c>
      <c r="D3887">
        <v>100</v>
      </c>
      <c r="E3887" t="s">
        <v>197</v>
      </c>
      <c r="F3887">
        <v>1005</v>
      </c>
      <c r="G3887" t="s">
        <v>40</v>
      </c>
      <c r="H3887">
        <v>2005</v>
      </c>
      <c r="I3887" t="s">
        <v>40</v>
      </c>
      <c r="J3887">
        <v>3032</v>
      </c>
      <c r="K3887" t="s">
        <v>1658</v>
      </c>
      <c r="L3887">
        <v>0</v>
      </c>
      <c r="N3887" t="s">
        <v>261</v>
      </c>
      <c r="O3887">
        <v>20</v>
      </c>
      <c r="P3887">
        <v>1209</v>
      </c>
      <c r="Q3887" t="s">
        <v>1660</v>
      </c>
      <c r="R3887" t="s">
        <v>201</v>
      </c>
      <c r="S3887">
        <v>1</v>
      </c>
      <c r="T3887">
        <v>1</v>
      </c>
      <c r="U3887">
        <v>115992</v>
      </c>
      <c r="V3887">
        <v>115992</v>
      </c>
    </row>
    <row r="3888" spans="1:22">
      <c r="A3888" t="s">
        <v>196</v>
      </c>
      <c r="B3888">
        <v>70</v>
      </c>
      <c r="C3888" t="s">
        <v>40</v>
      </c>
      <c r="D3888">
        <v>100</v>
      </c>
      <c r="E3888" t="s">
        <v>197</v>
      </c>
      <c r="F3888">
        <v>1005</v>
      </c>
      <c r="G3888" t="s">
        <v>40</v>
      </c>
      <c r="H3888">
        <v>2005</v>
      </c>
      <c r="I3888" t="s">
        <v>40</v>
      </c>
      <c r="J3888">
        <v>3032</v>
      </c>
      <c r="K3888" t="s">
        <v>1658</v>
      </c>
      <c r="L3888">
        <v>0</v>
      </c>
      <c r="N3888" t="s">
        <v>261</v>
      </c>
      <c r="O3888">
        <v>20</v>
      </c>
      <c r="P3888">
        <v>1209</v>
      </c>
      <c r="Q3888" t="s">
        <v>1660</v>
      </c>
      <c r="R3888" t="s">
        <v>201</v>
      </c>
      <c r="S3888">
        <v>1</v>
      </c>
      <c r="T3888">
        <v>1</v>
      </c>
      <c r="U3888">
        <v>97332</v>
      </c>
      <c r="V3888">
        <v>97332</v>
      </c>
    </row>
    <row r="3889" spans="1:22">
      <c r="A3889" t="s">
        <v>196</v>
      </c>
      <c r="B3889">
        <v>70</v>
      </c>
      <c r="C3889" t="s">
        <v>40</v>
      </c>
      <c r="D3889">
        <v>100</v>
      </c>
      <c r="E3889" t="s">
        <v>197</v>
      </c>
      <c r="F3889">
        <v>1005</v>
      </c>
      <c r="G3889" t="s">
        <v>40</v>
      </c>
      <c r="H3889">
        <v>2005</v>
      </c>
      <c r="I3889" t="s">
        <v>40</v>
      </c>
      <c r="J3889">
        <v>3032</v>
      </c>
      <c r="K3889" t="s">
        <v>1658</v>
      </c>
      <c r="L3889">
        <v>0</v>
      </c>
      <c r="N3889" t="s">
        <v>688</v>
      </c>
      <c r="O3889">
        <v>4</v>
      </c>
      <c r="P3889">
        <v>1208</v>
      </c>
      <c r="Q3889" t="s">
        <v>1661</v>
      </c>
      <c r="R3889" t="s">
        <v>201</v>
      </c>
      <c r="S3889">
        <v>1</v>
      </c>
      <c r="T3889">
        <v>1</v>
      </c>
      <c r="U3889">
        <v>97488</v>
      </c>
      <c r="V3889">
        <v>97488</v>
      </c>
    </row>
    <row r="3890" spans="1:22">
      <c r="A3890" t="s">
        <v>196</v>
      </c>
      <c r="B3890">
        <v>70</v>
      </c>
      <c r="C3890" t="s">
        <v>40</v>
      </c>
      <c r="D3890">
        <v>100</v>
      </c>
      <c r="E3890" t="s">
        <v>197</v>
      </c>
      <c r="F3890">
        <v>1005</v>
      </c>
      <c r="G3890" t="s">
        <v>40</v>
      </c>
      <c r="H3890">
        <v>2005</v>
      </c>
      <c r="I3890" t="s">
        <v>40</v>
      </c>
      <c r="J3890">
        <v>3032</v>
      </c>
      <c r="K3890" t="s">
        <v>1658</v>
      </c>
      <c r="L3890">
        <v>0</v>
      </c>
      <c r="N3890" t="s">
        <v>688</v>
      </c>
      <c r="O3890">
        <v>4</v>
      </c>
      <c r="P3890">
        <v>1208</v>
      </c>
      <c r="Q3890" t="s">
        <v>1661</v>
      </c>
      <c r="R3890" t="s">
        <v>201</v>
      </c>
      <c r="S3890">
        <v>1</v>
      </c>
      <c r="T3890">
        <v>1</v>
      </c>
      <c r="U3890">
        <v>92940</v>
      </c>
      <c r="V3890">
        <v>92940</v>
      </c>
    </row>
    <row r="3891" spans="1:22">
      <c r="A3891" t="s">
        <v>196</v>
      </c>
      <c r="B3891">
        <v>70</v>
      </c>
      <c r="C3891" t="s">
        <v>40</v>
      </c>
      <c r="D3891">
        <v>100</v>
      </c>
      <c r="E3891" t="s">
        <v>197</v>
      </c>
      <c r="F3891">
        <v>1005</v>
      </c>
      <c r="G3891" t="s">
        <v>40</v>
      </c>
      <c r="H3891">
        <v>2005</v>
      </c>
      <c r="I3891" t="s">
        <v>40</v>
      </c>
      <c r="J3891">
        <v>3032</v>
      </c>
      <c r="K3891" t="s">
        <v>1658</v>
      </c>
      <c r="L3891">
        <v>0</v>
      </c>
      <c r="N3891" t="s">
        <v>688</v>
      </c>
      <c r="O3891">
        <v>4</v>
      </c>
      <c r="P3891">
        <v>1208</v>
      </c>
      <c r="Q3891" t="s">
        <v>1661</v>
      </c>
      <c r="R3891" t="s">
        <v>201</v>
      </c>
      <c r="S3891">
        <v>2</v>
      </c>
      <c r="T3891">
        <v>1</v>
      </c>
      <c r="U3891">
        <v>88524</v>
      </c>
      <c r="V3891">
        <v>177048</v>
      </c>
    </row>
    <row r="3892" spans="1:22">
      <c r="A3892" t="s">
        <v>196</v>
      </c>
      <c r="B3892">
        <v>70</v>
      </c>
      <c r="C3892" t="s">
        <v>40</v>
      </c>
      <c r="D3892">
        <v>100</v>
      </c>
      <c r="E3892" t="s">
        <v>197</v>
      </c>
      <c r="F3892">
        <v>1005</v>
      </c>
      <c r="G3892" t="s">
        <v>40</v>
      </c>
      <c r="H3892">
        <v>2005</v>
      </c>
      <c r="I3892" t="s">
        <v>40</v>
      </c>
      <c r="J3892">
        <v>3032</v>
      </c>
      <c r="K3892" t="s">
        <v>1658</v>
      </c>
      <c r="L3892">
        <v>0</v>
      </c>
      <c r="N3892" t="s">
        <v>688</v>
      </c>
      <c r="O3892">
        <v>4</v>
      </c>
      <c r="P3892">
        <v>1208</v>
      </c>
      <c r="Q3892" t="s">
        <v>1661</v>
      </c>
      <c r="R3892" t="s">
        <v>201</v>
      </c>
      <c r="S3892">
        <v>1</v>
      </c>
      <c r="T3892">
        <v>1</v>
      </c>
      <c r="U3892">
        <v>84192</v>
      </c>
      <c r="V3892">
        <v>84192</v>
      </c>
    </row>
    <row r="3893" spans="1:22">
      <c r="A3893" t="s">
        <v>196</v>
      </c>
      <c r="B3893">
        <v>70</v>
      </c>
      <c r="C3893" t="s">
        <v>40</v>
      </c>
      <c r="D3893">
        <v>100</v>
      </c>
      <c r="E3893" t="s">
        <v>197</v>
      </c>
      <c r="F3893">
        <v>1005</v>
      </c>
      <c r="G3893" t="s">
        <v>40</v>
      </c>
      <c r="H3893">
        <v>2005</v>
      </c>
      <c r="I3893" t="s">
        <v>40</v>
      </c>
      <c r="J3893">
        <v>3032</v>
      </c>
      <c r="K3893" t="s">
        <v>1658</v>
      </c>
      <c r="L3893">
        <v>0</v>
      </c>
      <c r="N3893" t="s">
        <v>688</v>
      </c>
      <c r="O3893">
        <v>4</v>
      </c>
      <c r="P3893">
        <v>1208</v>
      </c>
      <c r="Q3893" t="s">
        <v>1661</v>
      </c>
      <c r="R3893" t="s">
        <v>201</v>
      </c>
      <c r="S3893">
        <v>2</v>
      </c>
      <c r="T3893">
        <v>1</v>
      </c>
      <c r="U3893">
        <v>81636</v>
      </c>
      <c r="V3893">
        <v>163272</v>
      </c>
    </row>
    <row r="3894" spans="1:22">
      <c r="A3894" t="s">
        <v>196</v>
      </c>
      <c r="B3894">
        <v>70</v>
      </c>
      <c r="C3894" t="s">
        <v>40</v>
      </c>
      <c r="D3894">
        <v>100</v>
      </c>
      <c r="E3894" t="s">
        <v>197</v>
      </c>
      <c r="F3894">
        <v>1005</v>
      </c>
      <c r="G3894" t="s">
        <v>40</v>
      </c>
      <c r="H3894">
        <v>2005</v>
      </c>
      <c r="I3894" t="s">
        <v>40</v>
      </c>
      <c r="J3894">
        <v>3032</v>
      </c>
      <c r="K3894" t="s">
        <v>1658</v>
      </c>
      <c r="L3894">
        <v>0</v>
      </c>
      <c r="N3894" t="s">
        <v>351</v>
      </c>
      <c r="O3894">
        <v>1</v>
      </c>
      <c r="P3894" t="s">
        <v>352</v>
      </c>
      <c r="Q3894" t="s">
        <v>353</v>
      </c>
      <c r="R3894" t="s">
        <v>201</v>
      </c>
      <c r="S3894">
        <v>1</v>
      </c>
      <c r="T3894">
        <v>1</v>
      </c>
      <c r="U3894">
        <v>98928</v>
      </c>
      <c r="V3894">
        <v>98928</v>
      </c>
    </row>
    <row r="3895" spans="1:22">
      <c r="A3895" t="s">
        <v>196</v>
      </c>
      <c r="B3895">
        <v>70</v>
      </c>
      <c r="C3895" t="s">
        <v>40</v>
      </c>
      <c r="D3895">
        <v>100</v>
      </c>
      <c r="E3895" t="s">
        <v>197</v>
      </c>
      <c r="F3895">
        <v>1005</v>
      </c>
      <c r="G3895" t="s">
        <v>40</v>
      </c>
      <c r="H3895">
        <v>2005</v>
      </c>
      <c r="I3895" t="s">
        <v>40</v>
      </c>
      <c r="J3895">
        <v>3032</v>
      </c>
      <c r="K3895" t="s">
        <v>1658</v>
      </c>
      <c r="L3895">
        <v>0</v>
      </c>
      <c r="N3895" t="s">
        <v>274</v>
      </c>
      <c r="O3895">
        <v>9</v>
      </c>
      <c r="P3895">
        <v>313</v>
      </c>
      <c r="Q3895" t="s">
        <v>605</v>
      </c>
      <c r="R3895" t="s">
        <v>201</v>
      </c>
      <c r="S3895">
        <v>1</v>
      </c>
      <c r="T3895">
        <v>1</v>
      </c>
      <c r="U3895">
        <v>137532</v>
      </c>
      <c r="V3895">
        <v>137532</v>
      </c>
    </row>
    <row r="3896" spans="1:22">
      <c r="A3896" t="s">
        <v>196</v>
      </c>
      <c r="B3896">
        <v>70</v>
      </c>
      <c r="C3896" t="s">
        <v>40</v>
      </c>
      <c r="D3896">
        <v>100</v>
      </c>
      <c r="E3896" t="s">
        <v>197</v>
      </c>
      <c r="F3896">
        <v>1005</v>
      </c>
      <c r="G3896" t="s">
        <v>40</v>
      </c>
      <c r="H3896">
        <v>2005</v>
      </c>
      <c r="I3896" t="s">
        <v>40</v>
      </c>
      <c r="J3896">
        <v>3032</v>
      </c>
      <c r="K3896" t="s">
        <v>1658</v>
      </c>
      <c r="L3896">
        <v>0</v>
      </c>
      <c r="N3896" t="s">
        <v>199</v>
      </c>
      <c r="O3896">
        <v>0</v>
      </c>
      <c r="P3896">
        <v>15</v>
      </c>
      <c r="Q3896" t="s">
        <v>264</v>
      </c>
      <c r="R3896" t="s">
        <v>201</v>
      </c>
      <c r="S3896">
        <v>0</v>
      </c>
      <c r="T3896">
        <v>0</v>
      </c>
      <c r="U3896">
        <v>34937</v>
      </c>
      <c r="V3896">
        <v>34937</v>
      </c>
    </row>
    <row r="3897" spans="1:22">
      <c r="A3897" t="s">
        <v>196</v>
      </c>
      <c r="B3897">
        <v>70</v>
      </c>
      <c r="C3897" t="s">
        <v>40</v>
      </c>
      <c r="D3897">
        <v>100</v>
      </c>
      <c r="E3897" t="s">
        <v>197</v>
      </c>
      <c r="F3897">
        <v>1005</v>
      </c>
      <c r="G3897" t="s">
        <v>40</v>
      </c>
      <c r="H3897">
        <v>2005</v>
      </c>
      <c r="I3897" t="s">
        <v>40</v>
      </c>
      <c r="J3897">
        <v>3046</v>
      </c>
      <c r="K3897" t="s">
        <v>1662</v>
      </c>
      <c r="L3897">
        <v>4046</v>
      </c>
      <c r="M3897" t="s">
        <v>832</v>
      </c>
      <c r="N3897" t="s">
        <v>266</v>
      </c>
      <c r="O3897">
        <v>9</v>
      </c>
      <c r="P3897">
        <v>9679</v>
      </c>
      <c r="Q3897" t="s">
        <v>338</v>
      </c>
      <c r="R3897" t="s">
        <v>201</v>
      </c>
      <c r="S3897">
        <v>1</v>
      </c>
      <c r="T3897">
        <v>1</v>
      </c>
      <c r="U3897">
        <v>167964</v>
      </c>
      <c r="V3897">
        <v>167964</v>
      </c>
    </row>
    <row r="3898" spans="1:22">
      <c r="A3898" t="s">
        <v>196</v>
      </c>
      <c r="B3898">
        <v>70</v>
      </c>
      <c r="C3898" t="s">
        <v>40</v>
      </c>
      <c r="D3898">
        <v>100</v>
      </c>
      <c r="E3898" t="s">
        <v>197</v>
      </c>
      <c r="F3898">
        <v>1005</v>
      </c>
      <c r="G3898" t="s">
        <v>40</v>
      </c>
      <c r="H3898">
        <v>2005</v>
      </c>
      <c r="I3898" t="s">
        <v>40</v>
      </c>
      <c r="J3898">
        <v>3046</v>
      </c>
      <c r="K3898" t="s">
        <v>1662</v>
      </c>
      <c r="L3898">
        <v>4046</v>
      </c>
      <c r="M3898" t="s">
        <v>832</v>
      </c>
      <c r="N3898" t="s">
        <v>287</v>
      </c>
      <c r="O3898">
        <v>0</v>
      </c>
      <c r="P3898">
        <v>1645</v>
      </c>
      <c r="Q3898" t="s">
        <v>1576</v>
      </c>
      <c r="R3898" t="s">
        <v>201</v>
      </c>
      <c r="S3898">
        <v>6</v>
      </c>
      <c r="T3898">
        <v>1</v>
      </c>
      <c r="U3898">
        <v>82884</v>
      </c>
      <c r="V3898">
        <v>497304</v>
      </c>
    </row>
    <row r="3899" spans="1:22">
      <c r="A3899" t="s">
        <v>196</v>
      </c>
      <c r="B3899">
        <v>70</v>
      </c>
      <c r="C3899" t="s">
        <v>40</v>
      </c>
      <c r="D3899">
        <v>100</v>
      </c>
      <c r="E3899" t="s">
        <v>197</v>
      </c>
      <c r="F3899">
        <v>1005</v>
      </c>
      <c r="G3899" t="s">
        <v>40</v>
      </c>
      <c r="H3899">
        <v>2005</v>
      </c>
      <c r="I3899" t="s">
        <v>40</v>
      </c>
      <c r="J3899">
        <v>3046</v>
      </c>
      <c r="K3899" t="s">
        <v>1662</v>
      </c>
      <c r="L3899">
        <v>4046</v>
      </c>
      <c r="M3899" t="s">
        <v>832</v>
      </c>
      <c r="N3899" t="s">
        <v>287</v>
      </c>
      <c r="O3899">
        <v>0</v>
      </c>
      <c r="P3899">
        <v>1645</v>
      </c>
      <c r="Q3899" t="s">
        <v>1576</v>
      </c>
      <c r="R3899" t="s">
        <v>201</v>
      </c>
      <c r="S3899">
        <v>1</v>
      </c>
      <c r="T3899">
        <v>1</v>
      </c>
      <c r="U3899">
        <v>76020</v>
      </c>
      <c r="V3899">
        <v>76020</v>
      </c>
    </row>
    <row r="3900" spans="1:22">
      <c r="A3900" t="s">
        <v>196</v>
      </c>
      <c r="B3900">
        <v>70</v>
      </c>
      <c r="C3900" t="s">
        <v>40</v>
      </c>
      <c r="D3900">
        <v>100</v>
      </c>
      <c r="E3900" t="s">
        <v>197</v>
      </c>
      <c r="F3900">
        <v>1005</v>
      </c>
      <c r="G3900" t="s">
        <v>40</v>
      </c>
      <c r="H3900">
        <v>2005</v>
      </c>
      <c r="I3900" t="s">
        <v>40</v>
      </c>
      <c r="J3900">
        <v>3046</v>
      </c>
      <c r="K3900" t="s">
        <v>1662</v>
      </c>
      <c r="L3900">
        <v>4046</v>
      </c>
      <c r="M3900" t="s">
        <v>832</v>
      </c>
      <c r="N3900" t="s">
        <v>297</v>
      </c>
      <c r="O3900">
        <v>10</v>
      </c>
      <c r="P3900">
        <v>1640</v>
      </c>
      <c r="Q3900" t="s">
        <v>1663</v>
      </c>
      <c r="R3900" t="s">
        <v>201</v>
      </c>
      <c r="S3900">
        <v>1</v>
      </c>
      <c r="T3900">
        <v>1</v>
      </c>
      <c r="U3900">
        <v>106272</v>
      </c>
      <c r="V3900">
        <v>106272</v>
      </c>
    </row>
    <row r="3901" spans="1:22">
      <c r="A3901" t="s">
        <v>196</v>
      </c>
      <c r="B3901">
        <v>70</v>
      </c>
      <c r="C3901" t="s">
        <v>40</v>
      </c>
      <c r="D3901">
        <v>100</v>
      </c>
      <c r="E3901" t="s">
        <v>197</v>
      </c>
      <c r="F3901">
        <v>1005</v>
      </c>
      <c r="G3901" t="s">
        <v>40</v>
      </c>
      <c r="H3901">
        <v>2005</v>
      </c>
      <c r="I3901" t="s">
        <v>40</v>
      </c>
      <c r="J3901">
        <v>3046</v>
      </c>
      <c r="K3901" t="s">
        <v>1662</v>
      </c>
      <c r="L3901">
        <v>4046</v>
      </c>
      <c r="M3901" t="s">
        <v>832</v>
      </c>
      <c r="N3901" t="s">
        <v>839</v>
      </c>
      <c r="O3901">
        <v>9</v>
      </c>
      <c r="P3901">
        <v>1631</v>
      </c>
      <c r="Q3901" t="s">
        <v>840</v>
      </c>
      <c r="R3901" t="s">
        <v>713</v>
      </c>
      <c r="S3901">
        <v>11488</v>
      </c>
      <c r="T3901">
        <v>0</v>
      </c>
      <c r="U3901">
        <v>17</v>
      </c>
      <c r="V3901">
        <v>195296</v>
      </c>
    </row>
    <row r="3902" spans="1:22">
      <c r="A3902" t="s">
        <v>196</v>
      </c>
      <c r="B3902">
        <v>70</v>
      </c>
      <c r="C3902" t="s">
        <v>40</v>
      </c>
      <c r="D3902">
        <v>100</v>
      </c>
      <c r="E3902" t="s">
        <v>197</v>
      </c>
      <c r="F3902">
        <v>1005</v>
      </c>
      <c r="G3902" t="s">
        <v>40</v>
      </c>
      <c r="H3902">
        <v>2005</v>
      </c>
      <c r="I3902" t="s">
        <v>40</v>
      </c>
      <c r="J3902">
        <v>3046</v>
      </c>
      <c r="K3902" t="s">
        <v>1662</v>
      </c>
      <c r="L3902">
        <v>4046</v>
      </c>
      <c r="M3902" t="s">
        <v>832</v>
      </c>
      <c r="N3902" t="s">
        <v>622</v>
      </c>
      <c r="O3902">
        <v>1</v>
      </c>
      <c r="P3902" t="s">
        <v>667</v>
      </c>
      <c r="Q3902" t="s">
        <v>205</v>
      </c>
      <c r="R3902" t="s">
        <v>201</v>
      </c>
      <c r="S3902">
        <v>1</v>
      </c>
      <c r="T3902">
        <v>1</v>
      </c>
      <c r="U3902">
        <v>90144</v>
      </c>
      <c r="V3902">
        <v>90144</v>
      </c>
    </row>
    <row r="3903" spans="1:22">
      <c r="A3903" t="s">
        <v>196</v>
      </c>
      <c r="B3903">
        <v>70</v>
      </c>
      <c r="C3903" t="s">
        <v>40</v>
      </c>
      <c r="D3903">
        <v>100</v>
      </c>
      <c r="E3903" t="s">
        <v>197</v>
      </c>
      <c r="F3903">
        <v>1005</v>
      </c>
      <c r="G3903" t="s">
        <v>40</v>
      </c>
      <c r="H3903">
        <v>2005</v>
      </c>
      <c r="I3903" t="s">
        <v>40</v>
      </c>
      <c r="J3903">
        <v>3046</v>
      </c>
      <c r="K3903" t="s">
        <v>1662</v>
      </c>
      <c r="L3903">
        <v>4046</v>
      </c>
      <c r="M3903" t="s">
        <v>832</v>
      </c>
      <c r="N3903" t="s">
        <v>274</v>
      </c>
      <c r="O3903">
        <v>9</v>
      </c>
      <c r="P3903">
        <v>313</v>
      </c>
      <c r="Q3903" t="s">
        <v>605</v>
      </c>
      <c r="R3903" t="s">
        <v>201</v>
      </c>
      <c r="S3903">
        <v>1</v>
      </c>
      <c r="T3903">
        <v>1</v>
      </c>
      <c r="U3903">
        <v>146808</v>
      </c>
      <c r="V3903">
        <v>146808</v>
      </c>
    </row>
    <row r="3904" spans="1:22">
      <c r="A3904" t="s">
        <v>196</v>
      </c>
      <c r="B3904">
        <v>70</v>
      </c>
      <c r="C3904" t="s">
        <v>40</v>
      </c>
      <c r="D3904">
        <v>100</v>
      </c>
      <c r="E3904" t="s">
        <v>197</v>
      </c>
      <c r="F3904">
        <v>1005</v>
      </c>
      <c r="G3904" t="s">
        <v>40</v>
      </c>
      <c r="H3904">
        <v>2005</v>
      </c>
      <c r="I3904" t="s">
        <v>40</v>
      </c>
      <c r="J3904">
        <v>3046</v>
      </c>
      <c r="K3904" t="s">
        <v>1662</v>
      </c>
      <c r="L3904">
        <v>4046</v>
      </c>
      <c r="M3904" t="s">
        <v>832</v>
      </c>
      <c r="N3904" t="s">
        <v>341</v>
      </c>
      <c r="O3904">
        <v>1</v>
      </c>
      <c r="P3904">
        <v>308</v>
      </c>
      <c r="Q3904" t="s">
        <v>355</v>
      </c>
      <c r="R3904" t="s">
        <v>201</v>
      </c>
      <c r="S3904">
        <v>1</v>
      </c>
      <c r="T3904">
        <v>1</v>
      </c>
      <c r="U3904">
        <v>119100</v>
      </c>
      <c r="V3904">
        <v>119100</v>
      </c>
    </row>
    <row r="3905" spans="1:22">
      <c r="A3905" t="s">
        <v>196</v>
      </c>
      <c r="B3905">
        <v>70</v>
      </c>
      <c r="C3905" t="s">
        <v>40</v>
      </c>
      <c r="D3905">
        <v>100</v>
      </c>
      <c r="E3905" t="s">
        <v>197</v>
      </c>
      <c r="F3905">
        <v>1005</v>
      </c>
      <c r="G3905" t="s">
        <v>40</v>
      </c>
      <c r="H3905">
        <v>2005</v>
      </c>
      <c r="I3905" t="s">
        <v>40</v>
      </c>
      <c r="J3905">
        <v>3046</v>
      </c>
      <c r="K3905" t="s">
        <v>1662</v>
      </c>
      <c r="L3905">
        <v>4046</v>
      </c>
      <c r="M3905" t="s">
        <v>832</v>
      </c>
      <c r="N3905" t="s">
        <v>199</v>
      </c>
      <c r="O3905">
        <v>0</v>
      </c>
      <c r="P3905">
        <v>15</v>
      </c>
      <c r="Q3905" t="s">
        <v>264</v>
      </c>
      <c r="R3905" t="s">
        <v>201</v>
      </c>
      <c r="S3905">
        <v>0</v>
      </c>
      <c r="T3905">
        <v>0</v>
      </c>
      <c r="U3905">
        <v>18850</v>
      </c>
      <c r="V3905">
        <v>18850</v>
      </c>
    </row>
    <row r="3906" spans="1:22">
      <c r="A3906" t="s">
        <v>196</v>
      </c>
      <c r="B3906">
        <v>70</v>
      </c>
      <c r="C3906" t="s">
        <v>40</v>
      </c>
      <c r="D3906">
        <v>100</v>
      </c>
      <c r="E3906" t="s">
        <v>197</v>
      </c>
      <c r="F3906">
        <v>1005</v>
      </c>
      <c r="G3906" t="s">
        <v>40</v>
      </c>
      <c r="H3906">
        <v>2005</v>
      </c>
      <c r="I3906" t="s">
        <v>40</v>
      </c>
      <c r="J3906">
        <v>3046</v>
      </c>
      <c r="K3906" t="s">
        <v>1662</v>
      </c>
      <c r="L3906">
        <v>4047</v>
      </c>
      <c r="M3906" t="s">
        <v>1664</v>
      </c>
      <c r="N3906" t="s">
        <v>602</v>
      </c>
      <c r="O3906">
        <v>4</v>
      </c>
      <c r="P3906">
        <v>635</v>
      </c>
      <c r="Q3906" t="s">
        <v>645</v>
      </c>
      <c r="R3906" t="s">
        <v>201</v>
      </c>
      <c r="S3906">
        <v>1</v>
      </c>
      <c r="T3906">
        <v>1</v>
      </c>
      <c r="U3906">
        <v>141564</v>
      </c>
      <c r="V3906">
        <v>141564</v>
      </c>
    </row>
    <row r="3907" spans="1:22">
      <c r="A3907" t="s">
        <v>196</v>
      </c>
      <c r="B3907">
        <v>70</v>
      </c>
      <c r="C3907" t="s">
        <v>40</v>
      </c>
      <c r="D3907">
        <v>100</v>
      </c>
      <c r="E3907" t="s">
        <v>197</v>
      </c>
      <c r="F3907">
        <v>1005</v>
      </c>
      <c r="G3907" t="s">
        <v>40</v>
      </c>
      <c r="H3907">
        <v>2005</v>
      </c>
      <c r="I3907" t="s">
        <v>40</v>
      </c>
      <c r="J3907">
        <v>3046</v>
      </c>
      <c r="K3907" t="s">
        <v>1662</v>
      </c>
      <c r="L3907">
        <v>4047</v>
      </c>
      <c r="M3907" t="s">
        <v>1664</v>
      </c>
      <c r="N3907" t="s">
        <v>351</v>
      </c>
      <c r="O3907">
        <v>1</v>
      </c>
      <c r="P3907" t="s">
        <v>352</v>
      </c>
      <c r="Q3907" t="s">
        <v>353</v>
      </c>
      <c r="R3907" t="s">
        <v>201</v>
      </c>
      <c r="S3907">
        <v>1</v>
      </c>
      <c r="T3907">
        <v>1</v>
      </c>
      <c r="U3907">
        <v>77640</v>
      </c>
      <c r="V3907">
        <v>77640</v>
      </c>
    </row>
    <row r="3908" spans="1:22">
      <c r="A3908" t="s">
        <v>196</v>
      </c>
      <c r="B3908">
        <v>70</v>
      </c>
      <c r="C3908" t="s">
        <v>40</v>
      </c>
      <c r="D3908">
        <v>100</v>
      </c>
      <c r="E3908" t="s">
        <v>197</v>
      </c>
      <c r="F3908">
        <v>1005</v>
      </c>
      <c r="G3908" t="s">
        <v>40</v>
      </c>
      <c r="H3908">
        <v>2005</v>
      </c>
      <c r="I3908" t="s">
        <v>40</v>
      </c>
      <c r="J3908">
        <v>3046</v>
      </c>
      <c r="K3908" t="s">
        <v>1662</v>
      </c>
      <c r="L3908">
        <v>4047</v>
      </c>
      <c r="M3908" t="s">
        <v>1664</v>
      </c>
      <c r="N3908" t="s">
        <v>199</v>
      </c>
      <c r="O3908">
        <v>0</v>
      </c>
      <c r="P3908">
        <v>15</v>
      </c>
      <c r="Q3908" t="s">
        <v>264</v>
      </c>
      <c r="R3908" t="s">
        <v>201</v>
      </c>
      <c r="S3908">
        <v>0</v>
      </c>
      <c r="T3908">
        <v>0</v>
      </c>
      <c r="U3908">
        <v>546</v>
      </c>
      <c r="V3908">
        <v>546</v>
      </c>
    </row>
    <row r="3909" spans="1:22">
      <c r="A3909" t="s">
        <v>196</v>
      </c>
      <c r="B3909">
        <v>70</v>
      </c>
      <c r="C3909" t="s">
        <v>40</v>
      </c>
      <c r="D3909">
        <v>100</v>
      </c>
      <c r="E3909" t="s">
        <v>197</v>
      </c>
      <c r="F3909">
        <v>1005</v>
      </c>
      <c r="G3909" t="s">
        <v>40</v>
      </c>
      <c r="H3909">
        <v>2005</v>
      </c>
      <c r="I3909" t="s">
        <v>40</v>
      </c>
      <c r="J3909">
        <v>3047</v>
      </c>
      <c r="K3909" t="s">
        <v>1665</v>
      </c>
      <c r="L3909">
        <v>0</v>
      </c>
      <c r="N3909" t="s">
        <v>266</v>
      </c>
      <c r="O3909">
        <v>9</v>
      </c>
      <c r="P3909">
        <v>9679</v>
      </c>
      <c r="Q3909" t="s">
        <v>338</v>
      </c>
      <c r="R3909" t="s">
        <v>201</v>
      </c>
      <c r="S3909">
        <v>1</v>
      </c>
      <c r="T3909">
        <v>1</v>
      </c>
      <c r="U3909">
        <v>157332</v>
      </c>
      <c r="V3909">
        <v>157332</v>
      </c>
    </row>
    <row r="3910" spans="1:22">
      <c r="A3910" t="s">
        <v>196</v>
      </c>
      <c r="B3910">
        <v>70</v>
      </c>
      <c r="C3910" t="s">
        <v>40</v>
      </c>
      <c r="D3910">
        <v>100</v>
      </c>
      <c r="E3910" t="s">
        <v>197</v>
      </c>
      <c r="F3910">
        <v>1005</v>
      </c>
      <c r="G3910" t="s">
        <v>40</v>
      </c>
      <c r="H3910">
        <v>2005</v>
      </c>
      <c r="I3910" t="s">
        <v>40</v>
      </c>
      <c r="J3910">
        <v>3047</v>
      </c>
      <c r="K3910" t="s">
        <v>1665</v>
      </c>
      <c r="L3910">
        <v>0</v>
      </c>
      <c r="N3910" t="s">
        <v>268</v>
      </c>
      <c r="O3910">
        <v>10</v>
      </c>
      <c r="P3910">
        <v>1911</v>
      </c>
      <c r="Q3910" t="s">
        <v>617</v>
      </c>
      <c r="R3910" t="s">
        <v>201</v>
      </c>
      <c r="S3910">
        <v>1</v>
      </c>
      <c r="T3910">
        <v>1</v>
      </c>
      <c r="U3910">
        <v>103488</v>
      </c>
      <c r="V3910">
        <v>103488</v>
      </c>
    </row>
    <row r="3911" spans="1:22">
      <c r="A3911" t="s">
        <v>196</v>
      </c>
      <c r="B3911">
        <v>70</v>
      </c>
      <c r="C3911" t="s">
        <v>40</v>
      </c>
      <c r="D3911">
        <v>100</v>
      </c>
      <c r="E3911" t="s">
        <v>197</v>
      </c>
      <c r="F3911">
        <v>1005</v>
      </c>
      <c r="G3911" t="s">
        <v>40</v>
      </c>
      <c r="H3911">
        <v>2005</v>
      </c>
      <c r="I3911" t="s">
        <v>40</v>
      </c>
      <c r="J3911">
        <v>3047</v>
      </c>
      <c r="K3911" t="s">
        <v>1665</v>
      </c>
      <c r="L3911">
        <v>0</v>
      </c>
      <c r="N3911" t="s">
        <v>268</v>
      </c>
      <c r="O3911">
        <v>10</v>
      </c>
      <c r="P3911">
        <v>1911</v>
      </c>
      <c r="Q3911" t="s">
        <v>617</v>
      </c>
      <c r="R3911" t="s">
        <v>201</v>
      </c>
      <c r="S3911">
        <v>1</v>
      </c>
      <c r="T3911">
        <v>1</v>
      </c>
      <c r="U3911">
        <v>80124</v>
      </c>
      <c r="V3911">
        <v>80124</v>
      </c>
    </row>
    <row r="3912" spans="1:22">
      <c r="A3912" t="s">
        <v>196</v>
      </c>
      <c r="B3912">
        <v>70</v>
      </c>
      <c r="C3912" t="s">
        <v>40</v>
      </c>
      <c r="D3912">
        <v>100</v>
      </c>
      <c r="E3912" t="s">
        <v>197</v>
      </c>
      <c r="F3912">
        <v>1005</v>
      </c>
      <c r="G3912" t="s">
        <v>40</v>
      </c>
      <c r="H3912">
        <v>2005</v>
      </c>
      <c r="I3912" t="s">
        <v>40</v>
      </c>
      <c r="J3912">
        <v>3047</v>
      </c>
      <c r="K3912" t="s">
        <v>1665</v>
      </c>
      <c r="L3912">
        <v>0</v>
      </c>
      <c r="N3912" t="s">
        <v>255</v>
      </c>
      <c r="O3912">
        <v>1</v>
      </c>
      <c r="P3912">
        <v>729</v>
      </c>
      <c r="Q3912" t="s">
        <v>256</v>
      </c>
      <c r="R3912" t="s">
        <v>201</v>
      </c>
      <c r="S3912">
        <v>1</v>
      </c>
      <c r="T3912">
        <v>1</v>
      </c>
      <c r="U3912">
        <v>93504</v>
      </c>
      <c r="V3912">
        <v>93504</v>
      </c>
    </row>
    <row r="3913" spans="1:22">
      <c r="A3913" t="s">
        <v>196</v>
      </c>
      <c r="B3913">
        <v>70</v>
      </c>
      <c r="C3913" t="s">
        <v>40</v>
      </c>
      <c r="D3913">
        <v>100</v>
      </c>
      <c r="E3913" t="s">
        <v>197</v>
      </c>
      <c r="F3913">
        <v>1005</v>
      </c>
      <c r="G3913" t="s">
        <v>40</v>
      </c>
      <c r="H3913">
        <v>2005</v>
      </c>
      <c r="I3913" t="s">
        <v>40</v>
      </c>
      <c r="J3913">
        <v>3047</v>
      </c>
      <c r="K3913" t="s">
        <v>1665</v>
      </c>
      <c r="L3913">
        <v>0</v>
      </c>
      <c r="N3913" t="s">
        <v>372</v>
      </c>
      <c r="O3913">
        <v>1</v>
      </c>
      <c r="P3913">
        <v>703</v>
      </c>
      <c r="Q3913" t="s">
        <v>1207</v>
      </c>
      <c r="R3913" t="s">
        <v>201</v>
      </c>
      <c r="S3913">
        <v>1</v>
      </c>
      <c r="T3913">
        <v>1</v>
      </c>
      <c r="U3913">
        <v>103608</v>
      </c>
      <c r="V3913">
        <v>103608</v>
      </c>
    </row>
    <row r="3914" spans="1:22">
      <c r="A3914" t="s">
        <v>196</v>
      </c>
      <c r="B3914">
        <v>70</v>
      </c>
      <c r="C3914" t="s">
        <v>40</v>
      </c>
      <c r="D3914">
        <v>100</v>
      </c>
      <c r="E3914" t="s">
        <v>197</v>
      </c>
      <c r="F3914">
        <v>1005</v>
      </c>
      <c r="G3914" t="s">
        <v>40</v>
      </c>
      <c r="H3914">
        <v>2005</v>
      </c>
      <c r="I3914" t="s">
        <v>40</v>
      </c>
      <c r="J3914">
        <v>3047</v>
      </c>
      <c r="K3914" t="s">
        <v>1665</v>
      </c>
      <c r="L3914">
        <v>0</v>
      </c>
      <c r="N3914" t="s">
        <v>249</v>
      </c>
      <c r="O3914">
        <v>10</v>
      </c>
      <c r="P3914">
        <v>310</v>
      </c>
      <c r="Q3914" t="s">
        <v>447</v>
      </c>
      <c r="R3914" t="s">
        <v>201</v>
      </c>
      <c r="S3914">
        <v>1</v>
      </c>
      <c r="T3914">
        <v>1</v>
      </c>
      <c r="U3914">
        <v>97836</v>
      </c>
      <c r="V3914">
        <v>97836</v>
      </c>
    </row>
    <row r="3915" spans="1:22">
      <c r="A3915" t="s">
        <v>196</v>
      </c>
      <c r="B3915">
        <v>70</v>
      </c>
      <c r="C3915" t="s">
        <v>40</v>
      </c>
      <c r="D3915">
        <v>100</v>
      </c>
      <c r="E3915" t="s">
        <v>197</v>
      </c>
      <c r="F3915">
        <v>1005</v>
      </c>
      <c r="G3915" t="s">
        <v>40</v>
      </c>
      <c r="H3915">
        <v>2005</v>
      </c>
      <c r="I3915" t="s">
        <v>40</v>
      </c>
      <c r="J3915">
        <v>3047</v>
      </c>
      <c r="K3915" t="s">
        <v>1665</v>
      </c>
      <c r="L3915">
        <v>0</v>
      </c>
      <c r="N3915" t="s">
        <v>199</v>
      </c>
      <c r="O3915">
        <v>0</v>
      </c>
      <c r="P3915">
        <v>15</v>
      </c>
      <c r="Q3915" t="s">
        <v>264</v>
      </c>
      <c r="R3915" t="s">
        <v>201</v>
      </c>
      <c r="S3915">
        <v>0</v>
      </c>
      <c r="T3915">
        <v>0</v>
      </c>
      <c r="U3915">
        <v>8925</v>
      </c>
      <c r="V3915">
        <v>8925</v>
      </c>
    </row>
    <row r="3916" spans="1:22">
      <c r="A3916" t="s">
        <v>196</v>
      </c>
      <c r="B3916">
        <v>70</v>
      </c>
      <c r="C3916" t="s">
        <v>40</v>
      </c>
      <c r="D3916">
        <v>100</v>
      </c>
      <c r="E3916" t="s">
        <v>197</v>
      </c>
      <c r="F3916">
        <v>1005</v>
      </c>
      <c r="G3916" t="s">
        <v>40</v>
      </c>
      <c r="H3916">
        <v>2005</v>
      </c>
      <c r="I3916" t="s">
        <v>40</v>
      </c>
      <c r="J3916">
        <v>3090</v>
      </c>
      <c r="K3916" t="s">
        <v>1666</v>
      </c>
      <c r="L3916">
        <v>0</v>
      </c>
      <c r="N3916" t="s">
        <v>688</v>
      </c>
      <c r="O3916">
        <v>4</v>
      </c>
      <c r="P3916">
        <v>638</v>
      </c>
      <c r="Q3916" t="s">
        <v>1246</v>
      </c>
      <c r="R3916" t="s">
        <v>201</v>
      </c>
      <c r="S3916">
        <v>1</v>
      </c>
      <c r="T3916">
        <v>1</v>
      </c>
      <c r="U3916">
        <v>107628</v>
      </c>
      <c r="V3916">
        <v>107628</v>
      </c>
    </row>
    <row r="3917" spans="1:22">
      <c r="A3917" t="s">
        <v>196</v>
      </c>
      <c r="B3917">
        <v>70</v>
      </c>
      <c r="C3917" t="s">
        <v>40</v>
      </c>
      <c r="D3917">
        <v>100</v>
      </c>
      <c r="E3917" t="s">
        <v>197</v>
      </c>
      <c r="F3917">
        <v>1005</v>
      </c>
      <c r="G3917" t="s">
        <v>40</v>
      </c>
      <c r="H3917">
        <v>2005</v>
      </c>
      <c r="I3917" t="s">
        <v>40</v>
      </c>
      <c r="J3917">
        <v>3090</v>
      </c>
      <c r="K3917" t="s">
        <v>1666</v>
      </c>
      <c r="L3917">
        <v>0</v>
      </c>
      <c r="N3917" t="s">
        <v>351</v>
      </c>
      <c r="O3917">
        <v>1</v>
      </c>
      <c r="P3917" t="s">
        <v>352</v>
      </c>
      <c r="Q3917" t="s">
        <v>353</v>
      </c>
      <c r="R3917" t="s">
        <v>201</v>
      </c>
      <c r="S3917">
        <v>1</v>
      </c>
      <c r="T3917">
        <v>1</v>
      </c>
      <c r="U3917">
        <v>98928</v>
      </c>
      <c r="V3917">
        <v>98928</v>
      </c>
    </row>
    <row r="3918" spans="1:22">
      <c r="A3918" t="s">
        <v>196</v>
      </c>
      <c r="B3918">
        <v>70</v>
      </c>
      <c r="C3918" t="s">
        <v>40</v>
      </c>
      <c r="D3918">
        <v>100</v>
      </c>
      <c r="E3918" t="s">
        <v>197</v>
      </c>
      <c r="F3918">
        <v>1005</v>
      </c>
      <c r="G3918" t="s">
        <v>40</v>
      </c>
      <c r="H3918">
        <v>2005</v>
      </c>
      <c r="I3918" t="s">
        <v>40</v>
      </c>
      <c r="J3918">
        <v>3090</v>
      </c>
      <c r="K3918" t="s">
        <v>1666</v>
      </c>
      <c r="L3918">
        <v>0</v>
      </c>
      <c r="N3918" t="s">
        <v>199</v>
      </c>
      <c r="O3918">
        <v>0</v>
      </c>
      <c r="P3918">
        <v>15</v>
      </c>
      <c r="Q3918" t="s">
        <v>264</v>
      </c>
      <c r="R3918" t="s">
        <v>201</v>
      </c>
      <c r="S3918">
        <v>0</v>
      </c>
      <c r="T3918">
        <v>0</v>
      </c>
      <c r="U3918">
        <v>948</v>
      </c>
      <c r="V3918">
        <v>948</v>
      </c>
    </row>
    <row r="3919" spans="1:22">
      <c r="A3919" t="s">
        <v>196</v>
      </c>
      <c r="B3919">
        <v>72</v>
      </c>
      <c r="C3919" t="s">
        <v>113</v>
      </c>
      <c r="D3919">
        <v>100</v>
      </c>
      <c r="E3919" t="s">
        <v>197</v>
      </c>
      <c r="F3919">
        <v>1010</v>
      </c>
      <c r="G3919" t="s">
        <v>113</v>
      </c>
      <c r="H3919">
        <v>2010</v>
      </c>
      <c r="I3919" t="s">
        <v>113</v>
      </c>
      <c r="J3919">
        <v>3005</v>
      </c>
      <c r="K3919" t="s">
        <v>1667</v>
      </c>
      <c r="L3919">
        <v>0</v>
      </c>
      <c r="N3919" t="s">
        <v>199</v>
      </c>
      <c r="O3919">
        <v>9</v>
      </c>
      <c r="P3919" t="s">
        <v>1668</v>
      </c>
      <c r="Q3919" t="s">
        <v>1669</v>
      </c>
      <c r="R3919" t="s">
        <v>201</v>
      </c>
      <c r="S3919">
        <v>1</v>
      </c>
      <c r="T3919">
        <v>1</v>
      </c>
      <c r="U3919">
        <v>190428</v>
      </c>
      <c r="V3919">
        <v>190428</v>
      </c>
    </row>
    <row r="3920" spans="1:22">
      <c r="A3920" t="s">
        <v>196</v>
      </c>
      <c r="B3920">
        <v>72</v>
      </c>
      <c r="C3920" t="s">
        <v>113</v>
      </c>
      <c r="D3920">
        <v>100</v>
      </c>
      <c r="E3920" t="s">
        <v>197</v>
      </c>
      <c r="F3920">
        <v>1010</v>
      </c>
      <c r="G3920" t="s">
        <v>113</v>
      </c>
      <c r="H3920">
        <v>2010</v>
      </c>
      <c r="I3920" t="s">
        <v>113</v>
      </c>
      <c r="J3920">
        <v>3005</v>
      </c>
      <c r="K3920" t="s">
        <v>1667</v>
      </c>
      <c r="L3920">
        <v>0</v>
      </c>
      <c r="N3920" t="s">
        <v>616</v>
      </c>
      <c r="O3920">
        <v>0</v>
      </c>
      <c r="P3920">
        <v>9677</v>
      </c>
      <c r="Q3920" t="s">
        <v>338</v>
      </c>
      <c r="R3920" t="s">
        <v>201</v>
      </c>
      <c r="S3920">
        <v>1</v>
      </c>
      <c r="T3920">
        <v>1</v>
      </c>
      <c r="U3920">
        <v>158568</v>
      </c>
      <c r="V3920">
        <v>158568</v>
      </c>
    </row>
    <row r="3921" spans="1:22">
      <c r="A3921" t="s">
        <v>196</v>
      </c>
      <c r="B3921">
        <v>72</v>
      </c>
      <c r="C3921" t="s">
        <v>113</v>
      </c>
      <c r="D3921">
        <v>100</v>
      </c>
      <c r="E3921" t="s">
        <v>197</v>
      </c>
      <c r="F3921">
        <v>1010</v>
      </c>
      <c r="G3921" t="s">
        <v>113</v>
      </c>
      <c r="H3921">
        <v>2010</v>
      </c>
      <c r="I3921" t="s">
        <v>113</v>
      </c>
      <c r="J3921">
        <v>3005</v>
      </c>
      <c r="K3921" t="s">
        <v>1667</v>
      </c>
      <c r="L3921">
        <v>0</v>
      </c>
      <c r="N3921" t="s">
        <v>249</v>
      </c>
      <c r="O3921">
        <v>10</v>
      </c>
      <c r="P3921">
        <v>3092</v>
      </c>
      <c r="Q3921" t="s">
        <v>750</v>
      </c>
      <c r="R3921" t="s">
        <v>201</v>
      </c>
      <c r="S3921">
        <v>1</v>
      </c>
      <c r="T3921">
        <v>1</v>
      </c>
      <c r="U3921">
        <v>107340</v>
      </c>
      <c r="V3921">
        <v>107340</v>
      </c>
    </row>
    <row r="3922" spans="1:22">
      <c r="A3922" t="s">
        <v>196</v>
      </c>
      <c r="B3922">
        <v>72</v>
      </c>
      <c r="C3922" t="s">
        <v>113</v>
      </c>
      <c r="D3922">
        <v>100</v>
      </c>
      <c r="E3922" t="s">
        <v>197</v>
      </c>
      <c r="F3922">
        <v>1010</v>
      </c>
      <c r="G3922" t="s">
        <v>113</v>
      </c>
      <c r="H3922">
        <v>2010</v>
      </c>
      <c r="I3922" t="s">
        <v>113</v>
      </c>
      <c r="J3922">
        <v>3005</v>
      </c>
      <c r="K3922" t="s">
        <v>1667</v>
      </c>
      <c r="L3922">
        <v>0</v>
      </c>
      <c r="N3922" t="s">
        <v>251</v>
      </c>
      <c r="O3922">
        <v>10</v>
      </c>
      <c r="P3922">
        <v>1430</v>
      </c>
      <c r="Q3922" t="s">
        <v>850</v>
      </c>
      <c r="R3922" t="s">
        <v>201</v>
      </c>
      <c r="S3922">
        <v>1</v>
      </c>
      <c r="T3922">
        <v>1</v>
      </c>
      <c r="U3922">
        <v>80124</v>
      </c>
      <c r="V3922">
        <v>80124</v>
      </c>
    </row>
    <row r="3923" spans="1:22">
      <c r="A3923" t="s">
        <v>196</v>
      </c>
      <c r="B3923">
        <v>72</v>
      </c>
      <c r="C3923" t="s">
        <v>113</v>
      </c>
      <c r="D3923">
        <v>100</v>
      </c>
      <c r="E3923" t="s">
        <v>197</v>
      </c>
      <c r="F3923">
        <v>1010</v>
      </c>
      <c r="G3923" t="s">
        <v>113</v>
      </c>
      <c r="H3923">
        <v>2010</v>
      </c>
      <c r="I3923" t="s">
        <v>113</v>
      </c>
      <c r="J3923">
        <v>3005</v>
      </c>
      <c r="K3923" t="s">
        <v>1667</v>
      </c>
      <c r="L3923">
        <v>0</v>
      </c>
      <c r="N3923" t="s">
        <v>341</v>
      </c>
      <c r="O3923">
        <v>1</v>
      </c>
      <c r="P3923">
        <v>1301</v>
      </c>
      <c r="Q3923" t="s">
        <v>618</v>
      </c>
      <c r="R3923" t="s">
        <v>201</v>
      </c>
      <c r="S3923">
        <v>1</v>
      </c>
      <c r="T3923">
        <v>1</v>
      </c>
      <c r="U3923">
        <v>68616</v>
      </c>
      <c r="V3923">
        <v>68616</v>
      </c>
    </row>
    <row r="3924" spans="1:22">
      <c r="A3924" t="s">
        <v>196</v>
      </c>
      <c r="B3924">
        <v>72</v>
      </c>
      <c r="C3924" t="s">
        <v>113</v>
      </c>
      <c r="D3924">
        <v>100</v>
      </c>
      <c r="E3924" t="s">
        <v>197</v>
      </c>
      <c r="F3924">
        <v>1010</v>
      </c>
      <c r="G3924" t="s">
        <v>113</v>
      </c>
      <c r="H3924">
        <v>2010</v>
      </c>
      <c r="I3924" t="s">
        <v>113</v>
      </c>
      <c r="J3924">
        <v>3005</v>
      </c>
      <c r="K3924" t="s">
        <v>1667</v>
      </c>
      <c r="L3924">
        <v>0</v>
      </c>
      <c r="N3924" t="s">
        <v>281</v>
      </c>
      <c r="O3924">
        <v>20</v>
      </c>
      <c r="P3924">
        <v>1141</v>
      </c>
      <c r="Q3924" t="s">
        <v>332</v>
      </c>
      <c r="R3924" t="s">
        <v>201</v>
      </c>
      <c r="S3924">
        <v>1</v>
      </c>
      <c r="T3924">
        <v>1</v>
      </c>
      <c r="U3924">
        <v>82884</v>
      </c>
      <c r="V3924">
        <v>82884</v>
      </c>
    </row>
    <row r="3925" spans="1:22">
      <c r="A3925" t="s">
        <v>196</v>
      </c>
      <c r="B3925">
        <v>72</v>
      </c>
      <c r="C3925" t="s">
        <v>113</v>
      </c>
      <c r="D3925">
        <v>100</v>
      </c>
      <c r="E3925" t="s">
        <v>197</v>
      </c>
      <c r="F3925">
        <v>1010</v>
      </c>
      <c r="G3925" t="s">
        <v>113</v>
      </c>
      <c r="H3925">
        <v>2010</v>
      </c>
      <c r="I3925" t="s">
        <v>113</v>
      </c>
      <c r="J3925">
        <v>3005</v>
      </c>
      <c r="K3925" t="s">
        <v>1667</v>
      </c>
      <c r="L3925">
        <v>0</v>
      </c>
      <c r="N3925" t="s">
        <v>251</v>
      </c>
      <c r="O3925">
        <v>10</v>
      </c>
      <c r="P3925">
        <v>802</v>
      </c>
      <c r="Q3925" t="s">
        <v>252</v>
      </c>
      <c r="R3925" t="s">
        <v>201</v>
      </c>
      <c r="S3925">
        <v>1</v>
      </c>
      <c r="T3925">
        <v>1</v>
      </c>
      <c r="U3925">
        <v>76476</v>
      </c>
      <c r="V3925">
        <v>76476</v>
      </c>
    </row>
    <row r="3926" spans="1:22">
      <c r="A3926" t="s">
        <v>196</v>
      </c>
      <c r="B3926">
        <v>72</v>
      </c>
      <c r="C3926" t="s">
        <v>113</v>
      </c>
      <c r="D3926">
        <v>100</v>
      </c>
      <c r="E3926" t="s">
        <v>197</v>
      </c>
      <c r="F3926">
        <v>1010</v>
      </c>
      <c r="G3926" t="s">
        <v>113</v>
      </c>
      <c r="H3926">
        <v>2010</v>
      </c>
      <c r="I3926" t="s">
        <v>113</v>
      </c>
      <c r="J3926">
        <v>3005</v>
      </c>
      <c r="K3926" t="s">
        <v>1667</v>
      </c>
      <c r="L3926">
        <v>0</v>
      </c>
      <c r="N3926" t="s">
        <v>257</v>
      </c>
      <c r="O3926">
        <v>9</v>
      </c>
      <c r="P3926">
        <v>705</v>
      </c>
      <c r="Q3926" t="s">
        <v>258</v>
      </c>
      <c r="R3926" t="s">
        <v>201</v>
      </c>
      <c r="S3926">
        <v>1</v>
      </c>
      <c r="T3926">
        <v>1</v>
      </c>
      <c r="U3926">
        <v>117672</v>
      </c>
      <c r="V3926">
        <v>117672</v>
      </c>
    </row>
    <row r="3927" spans="1:22">
      <c r="A3927" t="s">
        <v>196</v>
      </c>
      <c r="B3927">
        <v>72</v>
      </c>
      <c r="C3927" t="s">
        <v>113</v>
      </c>
      <c r="D3927">
        <v>100</v>
      </c>
      <c r="E3927" t="s">
        <v>197</v>
      </c>
      <c r="F3927">
        <v>1010</v>
      </c>
      <c r="G3927" t="s">
        <v>113</v>
      </c>
      <c r="H3927">
        <v>2010</v>
      </c>
      <c r="I3927" t="s">
        <v>113</v>
      </c>
      <c r="J3927">
        <v>3005</v>
      </c>
      <c r="K3927" t="s">
        <v>1667</v>
      </c>
      <c r="L3927">
        <v>0</v>
      </c>
      <c r="N3927" t="s">
        <v>341</v>
      </c>
      <c r="O3927">
        <v>1</v>
      </c>
      <c r="P3927">
        <v>702</v>
      </c>
      <c r="Q3927" t="s">
        <v>1670</v>
      </c>
      <c r="R3927" t="s">
        <v>201</v>
      </c>
      <c r="S3927">
        <v>1</v>
      </c>
      <c r="T3927">
        <v>1</v>
      </c>
      <c r="U3927">
        <v>68616</v>
      </c>
      <c r="V3927">
        <v>68616</v>
      </c>
    </row>
    <row r="3928" spans="1:22">
      <c r="A3928" t="s">
        <v>196</v>
      </c>
      <c r="B3928">
        <v>72</v>
      </c>
      <c r="C3928" t="s">
        <v>113</v>
      </c>
      <c r="D3928">
        <v>100</v>
      </c>
      <c r="E3928" t="s">
        <v>197</v>
      </c>
      <c r="F3928">
        <v>1010</v>
      </c>
      <c r="G3928" t="s">
        <v>113</v>
      </c>
      <c r="H3928">
        <v>2010</v>
      </c>
      <c r="I3928" t="s">
        <v>113</v>
      </c>
      <c r="J3928">
        <v>3005</v>
      </c>
      <c r="K3928" t="s">
        <v>1667</v>
      </c>
      <c r="L3928">
        <v>0</v>
      </c>
      <c r="N3928" t="s">
        <v>351</v>
      </c>
      <c r="O3928">
        <v>1</v>
      </c>
      <c r="P3928" t="s">
        <v>352</v>
      </c>
      <c r="Q3928" t="s">
        <v>353</v>
      </c>
      <c r="R3928" t="s">
        <v>201</v>
      </c>
      <c r="S3928">
        <v>1</v>
      </c>
      <c r="T3928">
        <v>1</v>
      </c>
      <c r="U3928">
        <v>64488</v>
      </c>
      <c r="V3928">
        <v>64488</v>
      </c>
    </row>
    <row r="3929" spans="1:22">
      <c r="A3929" t="s">
        <v>196</v>
      </c>
      <c r="B3929">
        <v>72</v>
      </c>
      <c r="C3929" t="s">
        <v>113</v>
      </c>
      <c r="D3929">
        <v>100</v>
      </c>
      <c r="E3929" t="s">
        <v>197</v>
      </c>
      <c r="F3929">
        <v>1010</v>
      </c>
      <c r="G3929" t="s">
        <v>113</v>
      </c>
      <c r="H3929">
        <v>2010</v>
      </c>
      <c r="I3929" t="s">
        <v>113</v>
      </c>
      <c r="J3929">
        <v>3005</v>
      </c>
      <c r="K3929" t="s">
        <v>1667</v>
      </c>
      <c r="L3929">
        <v>0</v>
      </c>
      <c r="N3929" t="s">
        <v>249</v>
      </c>
      <c r="O3929">
        <v>20</v>
      </c>
      <c r="P3929">
        <v>394</v>
      </c>
      <c r="Q3929" t="s">
        <v>314</v>
      </c>
      <c r="R3929" t="s">
        <v>201</v>
      </c>
      <c r="S3929">
        <v>1</v>
      </c>
      <c r="T3929">
        <v>1</v>
      </c>
      <c r="U3929">
        <v>89112</v>
      </c>
      <c r="V3929">
        <v>89112</v>
      </c>
    </row>
    <row r="3930" spans="1:22">
      <c r="A3930" t="s">
        <v>196</v>
      </c>
      <c r="B3930">
        <v>72</v>
      </c>
      <c r="C3930" t="s">
        <v>113</v>
      </c>
      <c r="D3930">
        <v>100</v>
      </c>
      <c r="E3930" t="s">
        <v>197</v>
      </c>
      <c r="F3930">
        <v>1010</v>
      </c>
      <c r="G3930" t="s">
        <v>113</v>
      </c>
      <c r="H3930">
        <v>2010</v>
      </c>
      <c r="I3930" t="s">
        <v>113</v>
      </c>
      <c r="J3930">
        <v>3005</v>
      </c>
      <c r="K3930" t="s">
        <v>1667</v>
      </c>
      <c r="L3930">
        <v>0</v>
      </c>
      <c r="N3930" t="s">
        <v>274</v>
      </c>
      <c r="O3930">
        <v>9</v>
      </c>
      <c r="P3930">
        <v>313</v>
      </c>
      <c r="Q3930" t="s">
        <v>605</v>
      </c>
      <c r="R3930" t="s">
        <v>201</v>
      </c>
      <c r="S3930">
        <v>2</v>
      </c>
      <c r="T3930">
        <v>1</v>
      </c>
      <c r="U3930">
        <v>121668</v>
      </c>
      <c r="V3930">
        <v>243336</v>
      </c>
    </row>
    <row r="3931" spans="1:22">
      <c r="A3931" t="s">
        <v>196</v>
      </c>
      <c r="B3931">
        <v>72</v>
      </c>
      <c r="C3931" t="s">
        <v>113</v>
      </c>
      <c r="D3931">
        <v>100</v>
      </c>
      <c r="E3931" t="s">
        <v>197</v>
      </c>
      <c r="F3931">
        <v>1010</v>
      </c>
      <c r="G3931" t="s">
        <v>113</v>
      </c>
      <c r="H3931">
        <v>2010</v>
      </c>
      <c r="I3931" t="s">
        <v>113</v>
      </c>
      <c r="J3931">
        <v>3005</v>
      </c>
      <c r="K3931" t="s">
        <v>1667</v>
      </c>
      <c r="L3931">
        <v>0</v>
      </c>
      <c r="N3931" t="s">
        <v>249</v>
      </c>
      <c r="O3931">
        <v>10</v>
      </c>
      <c r="P3931">
        <v>310</v>
      </c>
      <c r="Q3931" t="s">
        <v>447</v>
      </c>
      <c r="R3931" t="s">
        <v>201</v>
      </c>
      <c r="S3931">
        <v>4</v>
      </c>
      <c r="T3931">
        <v>1</v>
      </c>
      <c r="U3931">
        <v>102444</v>
      </c>
      <c r="V3931">
        <v>409776</v>
      </c>
    </row>
    <row r="3932" spans="1:22">
      <c r="A3932" t="s">
        <v>196</v>
      </c>
      <c r="B3932">
        <v>72</v>
      </c>
      <c r="C3932" t="s">
        <v>113</v>
      </c>
      <c r="D3932">
        <v>100</v>
      </c>
      <c r="E3932" t="s">
        <v>197</v>
      </c>
      <c r="F3932">
        <v>1010</v>
      </c>
      <c r="G3932" t="s">
        <v>113</v>
      </c>
      <c r="H3932">
        <v>2010</v>
      </c>
      <c r="I3932" t="s">
        <v>113</v>
      </c>
      <c r="J3932">
        <v>3005</v>
      </c>
      <c r="K3932" t="s">
        <v>1667</v>
      </c>
      <c r="L3932">
        <v>0</v>
      </c>
      <c r="N3932" t="s">
        <v>249</v>
      </c>
      <c r="O3932">
        <v>10</v>
      </c>
      <c r="P3932">
        <v>310</v>
      </c>
      <c r="Q3932" t="s">
        <v>447</v>
      </c>
      <c r="R3932" t="s">
        <v>201</v>
      </c>
      <c r="S3932">
        <v>1</v>
      </c>
      <c r="T3932">
        <v>1</v>
      </c>
      <c r="U3932">
        <v>89112</v>
      </c>
      <c r="V3932">
        <v>89112</v>
      </c>
    </row>
    <row r="3933" spans="1:22">
      <c r="A3933" t="s">
        <v>196</v>
      </c>
      <c r="B3933">
        <v>72</v>
      </c>
      <c r="C3933" t="s">
        <v>113</v>
      </c>
      <c r="D3933">
        <v>100</v>
      </c>
      <c r="E3933" t="s">
        <v>197</v>
      </c>
      <c r="F3933">
        <v>1010</v>
      </c>
      <c r="G3933" t="s">
        <v>113</v>
      </c>
      <c r="H3933">
        <v>2010</v>
      </c>
      <c r="I3933" t="s">
        <v>113</v>
      </c>
      <c r="J3933">
        <v>3005</v>
      </c>
      <c r="K3933" t="s">
        <v>1667</v>
      </c>
      <c r="L3933">
        <v>0</v>
      </c>
      <c r="N3933" t="s">
        <v>199</v>
      </c>
      <c r="O3933">
        <v>0</v>
      </c>
      <c r="P3933">
        <v>15</v>
      </c>
      <c r="Q3933" t="s">
        <v>264</v>
      </c>
      <c r="R3933" t="s">
        <v>201</v>
      </c>
      <c r="S3933">
        <v>0</v>
      </c>
      <c r="T3933">
        <v>0</v>
      </c>
      <c r="U3933">
        <v>12474</v>
      </c>
      <c r="V3933">
        <v>12474</v>
      </c>
    </row>
    <row r="3934" spans="1:22">
      <c r="A3934" t="s">
        <v>196</v>
      </c>
      <c r="B3934">
        <v>72</v>
      </c>
      <c r="C3934" t="s">
        <v>113</v>
      </c>
      <c r="D3934">
        <v>100</v>
      </c>
      <c r="E3934" t="s">
        <v>197</v>
      </c>
      <c r="F3934">
        <v>1010</v>
      </c>
      <c r="G3934" t="s">
        <v>113</v>
      </c>
      <c r="H3934">
        <v>2015</v>
      </c>
      <c r="I3934" t="s">
        <v>121</v>
      </c>
      <c r="J3934">
        <v>3015</v>
      </c>
      <c r="K3934" t="s">
        <v>1014</v>
      </c>
      <c r="L3934">
        <v>0</v>
      </c>
      <c r="N3934" t="s">
        <v>616</v>
      </c>
      <c r="O3934">
        <v>0</v>
      </c>
      <c r="P3934">
        <v>9677</v>
      </c>
      <c r="Q3934" t="s">
        <v>338</v>
      </c>
      <c r="R3934" t="s">
        <v>201</v>
      </c>
      <c r="S3934">
        <v>1</v>
      </c>
      <c r="T3934">
        <v>1</v>
      </c>
      <c r="U3934">
        <v>126396</v>
      </c>
      <c r="V3934">
        <v>126396</v>
      </c>
    </row>
    <row r="3935" spans="1:22">
      <c r="A3935" t="s">
        <v>196</v>
      </c>
      <c r="B3935">
        <v>72</v>
      </c>
      <c r="C3935" t="s">
        <v>113</v>
      </c>
      <c r="D3935">
        <v>100</v>
      </c>
      <c r="E3935" t="s">
        <v>197</v>
      </c>
      <c r="F3935">
        <v>1010</v>
      </c>
      <c r="G3935" t="s">
        <v>113</v>
      </c>
      <c r="H3935">
        <v>2015</v>
      </c>
      <c r="I3935" t="s">
        <v>121</v>
      </c>
      <c r="J3935">
        <v>3015</v>
      </c>
      <c r="K3935" t="s">
        <v>1014</v>
      </c>
      <c r="L3935">
        <v>0</v>
      </c>
      <c r="N3935" t="s">
        <v>356</v>
      </c>
      <c r="O3935">
        <v>4</v>
      </c>
      <c r="P3935">
        <v>2081</v>
      </c>
      <c r="Q3935" t="s">
        <v>1015</v>
      </c>
      <c r="R3935" t="s">
        <v>201</v>
      </c>
      <c r="S3935">
        <v>1</v>
      </c>
      <c r="T3935">
        <v>1</v>
      </c>
      <c r="U3935">
        <v>90144</v>
      </c>
      <c r="V3935">
        <v>90144</v>
      </c>
    </row>
    <row r="3936" spans="1:22">
      <c r="A3936" t="s">
        <v>196</v>
      </c>
      <c r="B3936">
        <v>72</v>
      </c>
      <c r="C3936" t="s">
        <v>113</v>
      </c>
      <c r="D3936">
        <v>100</v>
      </c>
      <c r="E3936" t="s">
        <v>197</v>
      </c>
      <c r="F3936">
        <v>1010</v>
      </c>
      <c r="G3936" t="s">
        <v>113</v>
      </c>
      <c r="H3936">
        <v>2015</v>
      </c>
      <c r="I3936" t="s">
        <v>121</v>
      </c>
      <c r="J3936">
        <v>3015</v>
      </c>
      <c r="K3936" t="s">
        <v>1014</v>
      </c>
      <c r="L3936">
        <v>0</v>
      </c>
      <c r="N3936" t="s">
        <v>602</v>
      </c>
      <c r="O3936">
        <v>4</v>
      </c>
      <c r="P3936">
        <v>2073</v>
      </c>
      <c r="Q3936" t="s">
        <v>1016</v>
      </c>
      <c r="R3936" t="s">
        <v>201</v>
      </c>
      <c r="S3936">
        <v>8</v>
      </c>
      <c r="T3936">
        <v>1</v>
      </c>
      <c r="U3936">
        <v>99408</v>
      </c>
      <c r="V3936">
        <v>795264</v>
      </c>
    </row>
    <row r="3937" spans="1:22">
      <c r="A3937" t="s">
        <v>196</v>
      </c>
      <c r="B3937">
        <v>72</v>
      </c>
      <c r="C3937" t="s">
        <v>113</v>
      </c>
      <c r="D3937">
        <v>100</v>
      </c>
      <c r="E3937" t="s">
        <v>197</v>
      </c>
      <c r="F3937">
        <v>1010</v>
      </c>
      <c r="G3937" t="s">
        <v>113</v>
      </c>
      <c r="H3937">
        <v>2015</v>
      </c>
      <c r="I3937" t="s">
        <v>121</v>
      </c>
      <c r="J3937">
        <v>3015</v>
      </c>
      <c r="K3937" t="s">
        <v>1014</v>
      </c>
      <c r="L3937">
        <v>0</v>
      </c>
      <c r="N3937" t="s">
        <v>274</v>
      </c>
      <c r="O3937">
        <v>9</v>
      </c>
      <c r="P3937">
        <v>313</v>
      </c>
      <c r="Q3937" t="s">
        <v>605</v>
      </c>
      <c r="R3937" t="s">
        <v>201</v>
      </c>
      <c r="S3937">
        <v>1</v>
      </c>
      <c r="T3937">
        <v>1</v>
      </c>
      <c r="U3937">
        <v>121668</v>
      </c>
      <c r="V3937">
        <v>121668</v>
      </c>
    </row>
    <row r="3938" spans="1:22">
      <c r="A3938" t="s">
        <v>196</v>
      </c>
      <c r="B3938">
        <v>72</v>
      </c>
      <c r="C3938" t="s">
        <v>113</v>
      </c>
      <c r="D3938">
        <v>100</v>
      </c>
      <c r="E3938" t="s">
        <v>197</v>
      </c>
      <c r="F3938">
        <v>1010</v>
      </c>
      <c r="G3938" t="s">
        <v>113</v>
      </c>
      <c r="H3938">
        <v>2015</v>
      </c>
      <c r="I3938" t="s">
        <v>121</v>
      </c>
      <c r="J3938">
        <v>3015</v>
      </c>
      <c r="K3938" t="s">
        <v>1014</v>
      </c>
      <c r="L3938">
        <v>0</v>
      </c>
      <c r="N3938" t="s">
        <v>249</v>
      </c>
      <c r="O3938">
        <v>10</v>
      </c>
      <c r="P3938">
        <v>310</v>
      </c>
      <c r="Q3938" t="s">
        <v>447</v>
      </c>
      <c r="R3938" t="s">
        <v>201</v>
      </c>
      <c r="S3938">
        <v>1</v>
      </c>
      <c r="T3938">
        <v>1</v>
      </c>
      <c r="U3938">
        <v>89112</v>
      </c>
      <c r="V3938">
        <v>89112</v>
      </c>
    </row>
    <row r="3939" spans="1:22">
      <c r="A3939" t="s">
        <v>196</v>
      </c>
      <c r="B3939">
        <v>72</v>
      </c>
      <c r="C3939" t="s">
        <v>113</v>
      </c>
      <c r="D3939">
        <v>100</v>
      </c>
      <c r="E3939" t="s">
        <v>197</v>
      </c>
      <c r="F3939">
        <v>1010</v>
      </c>
      <c r="G3939" t="s">
        <v>113</v>
      </c>
      <c r="H3939">
        <v>2015</v>
      </c>
      <c r="I3939" t="s">
        <v>121</v>
      </c>
      <c r="J3939">
        <v>3015</v>
      </c>
      <c r="K3939" t="s">
        <v>1014</v>
      </c>
      <c r="L3939">
        <v>0</v>
      </c>
      <c r="N3939" t="s">
        <v>199</v>
      </c>
      <c r="O3939">
        <v>0</v>
      </c>
      <c r="P3939">
        <v>15</v>
      </c>
      <c r="Q3939" t="s">
        <v>264</v>
      </c>
      <c r="R3939" t="s">
        <v>201</v>
      </c>
      <c r="S3939">
        <v>0</v>
      </c>
      <c r="T3939">
        <v>0</v>
      </c>
      <c r="U3939">
        <v>2136</v>
      </c>
      <c r="V3939">
        <v>2136</v>
      </c>
    </row>
    <row r="3940" spans="1:22">
      <c r="A3940" t="s">
        <v>196</v>
      </c>
      <c r="B3940">
        <v>72</v>
      </c>
      <c r="C3940" t="s">
        <v>113</v>
      </c>
      <c r="D3940">
        <v>100</v>
      </c>
      <c r="E3940" t="s">
        <v>197</v>
      </c>
      <c r="F3940">
        <v>1010</v>
      </c>
      <c r="G3940" t="s">
        <v>113</v>
      </c>
      <c r="H3940">
        <v>2020</v>
      </c>
      <c r="I3940" t="s">
        <v>100</v>
      </c>
      <c r="J3940">
        <v>3020</v>
      </c>
      <c r="K3940" t="s">
        <v>1671</v>
      </c>
      <c r="L3940">
        <v>0</v>
      </c>
      <c r="N3940" t="s">
        <v>266</v>
      </c>
      <c r="O3940">
        <v>0</v>
      </c>
      <c r="P3940">
        <v>2085</v>
      </c>
      <c r="Q3940" t="s">
        <v>665</v>
      </c>
      <c r="R3940" t="s">
        <v>201</v>
      </c>
      <c r="S3940">
        <v>1</v>
      </c>
      <c r="T3940">
        <v>1</v>
      </c>
      <c r="U3940">
        <v>139140</v>
      </c>
      <c r="V3940">
        <v>139140</v>
      </c>
    </row>
    <row r="3941" spans="1:22">
      <c r="A3941" t="s">
        <v>196</v>
      </c>
      <c r="B3941">
        <v>72</v>
      </c>
      <c r="C3941" t="s">
        <v>113</v>
      </c>
      <c r="D3941">
        <v>100</v>
      </c>
      <c r="E3941" t="s">
        <v>197</v>
      </c>
      <c r="F3941">
        <v>1010</v>
      </c>
      <c r="G3941" t="s">
        <v>113</v>
      </c>
      <c r="H3941">
        <v>2020</v>
      </c>
      <c r="I3941" t="s">
        <v>100</v>
      </c>
      <c r="J3941">
        <v>3020</v>
      </c>
      <c r="K3941" t="s">
        <v>1671</v>
      </c>
      <c r="L3941">
        <v>0</v>
      </c>
      <c r="N3941" t="s">
        <v>372</v>
      </c>
      <c r="O3941">
        <v>3</v>
      </c>
      <c r="P3941">
        <v>2083</v>
      </c>
      <c r="Q3941" t="s">
        <v>1175</v>
      </c>
      <c r="R3941" t="s">
        <v>201</v>
      </c>
      <c r="S3941">
        <v>1</v>
      </c>
      <c r="T3941">
        <v>1</v>
      </c>
      <c r="U3941">
        <v>75336</v>
      </c>
      <c r="V3941">
        <v>75336</v>
      </c>
    </row>
    <row r="3942" spans="1:22">
      <c r="A3942" t="s">
        <v>196</v>
      </c>
      <c r="B3942">
        <v>72</v>
      </c>
      <c r="C3942" t="s">
        <v>113</v>
      </c>
      <c r="D3942">
        <v>100</v>
      </c>
      <c r="E3942" t="s">
        <v>197</v>
      </c>
      <c r="F3942">
        <v>1010</v>
      </c>
      <c r="G3942" t="s">
        <v>113</v>
      </c>
      <c r="H3942">
        <v>2020</v>
      </c>
      <c r="I3942" t="s">
        <v>100</v>
      </c>
      <c r="J3942">
        <v>3020</v>
      </c>
      <c r="K3942" t="s">
        <v>1671</v>
      </c>
      <c r="L3942">
        <v>0</v>
      </c>
      <c r="N3942" t="s">
        <v>253</v>
      </c>
      <c r="O3942">
        <v>10</v>
      </c>
      <c r="P3942">
        <v>2082</v>
      </c>
      <c r="Q3942" t="s">
        <v>1176</v>
      </c>
      <c r="R3942" t="s">
        <v>201</v>
      </c>
      <c r="S3942">
        <v>1</v>
      </c>
      <c r="T3942">
        <v>1</v>
      </c>
      <c r="U3942">
        <v>83052</v>
      </c>
      <c r="V3942">
        <v>83052</v>
      </c>
    </row>
    <row r="3943" spans="1:22">
      <c r="A3943" t="s">
        <v>196</v>
      </c>
      <c r="B3943">
        <v>72</v>
      </c>
      <c r="C3943" t="s">
        <v>113</v>
      </c>
      <c r="D3943">
        <v>100</v>
      </c>
      <c r="E3943" t="s">
        <v>197</v>
      </c>
      <c r="F3943">
        <v>1010</v>
      </c>
      <c r="G3943" t="s">
        <v>113</v>
      </c>
      <c r="H3943">
        <v>2020</v>
      </c>
      <c r="I3943" t="s">
        <v>100</v>
      </c>
      <c r="J3943">
        <v>3020</v>
      </c>
      <c r="K3943" t="s">
        <v>1671</v>
      </c>
      <c r="L3943">
        <v>0</v>
      </c>
      <c r="N3943" t="s">
        <v>356</v>
      </c>
      <c r="O3943">
        <v>4</v>
      </c>
      <c r="P3943">
        <v>2081</v>
      </c>
      <c r="Q3943" t="s">
        <v>1015</v>
      </c>
      <c r="R3943" t="s">
        <v>201</v>
      </c>
      <c r="S3943">
        <v>3</v>
      </c>
      <c r="T3943">
        <v>1</v>
      </c>
      <c r="U3943">
        <v>90144</v>
      </c>
      <c r="V3943">
        <v>270432</v>
      </c>
    </row>
    <row r="3944" spans="1:22">
      <c r="A3944" t="s">
        <v>196</v>
      </c>
      <c r="B3944">
        <v>72</v>
      </c>
      <c r="C3944" t="s">
        <v>113</v>
      </c>
      <c r="D3944">
        <v>100</v>
      </c>
      <c r="E3944" t="s">
        <v>197</v>
      </c>
      <c r="F3944">
        <v>1010</v>
      </c>
      <c r="G3944" t="s">
        <v>113</v>
      </c>
      <c r="H3944">
        <v>2020</v>
      </c>
      <c r="I3944" t="s">
        <v>100</v>
      </c>
      <c r="J3944">
        <v>3020</v>
      </c>
      <c r="K3944" t="s">
        <v>1671</v>
      </c>
      <c r="L3944">
        <v>0</v>
      </c>
      <c r="N3944" t="s">
        <v>268</v>
      </c>
      <c r="O3944">
        <v>10</v>
      </c>
      <c r="P3944">
        <v>2080</v>
      </c>
      <c r="Q3944" t="s">
        <v>1672</v>
      </c>
      <c r="R3944" t="s">
        <v>201</v>
      </c>
      <c r="S3944">
        <v>1</v>
      </c>
      <c r="T3944">
        <v>1</v>
      </c>
      <c r="U3944">
        <v>69684</v>
      </c>
      <c r="V3944">
        <v>69684</v>
      </c>
    </row>
    <row r="3945" spans="1:22">
      <c r="A3945" t="s">
        <v>196</v>
      </c>
      <c r="B3945">
        <v>72</v>
      </c>
      <c r="C3945" t="s">
        <v>113</v>
      </c>
      <c r="D3945">
        <v>100</v>
      </c>
      <c r="E3945" t="s">
        <v>197</v>
      </c>
      <c r="F3945">
        <v>1010</v>
      </c>
      <c r="G3945" t="s">
        <v>113</v>
      </c>
      <c r="H3945">
        <v>2020</v>
      </c>
      <c r="I3945" t="s">
        <v>100</v>
      </c>
      <c r="J3945">
        <v>3020</v>
      </c>
      <c r="K3945" t="s">
        <v>1671</v>
      </c>
      <c r="L3945">
        <v>0</v>
      </c>
      <c r="N3945" t="s">
        <v>372</v>
      </c>
      <c r="O3945">
        <v>3</v>
      </c>
      <c r="P3945">
        <v>2077</v>
      </c>
      <c r="Q3945" t="s">
        <v>1177</v>
      </c>
      <c r="R3945" t="s">
        <v>201</v>
      </c>
      <c r="S3945">
        <v>11</v>
      </c>
      <c r="T3945">
        <v>1</v>
      </c>
      <c r="U3945">
        <v>75336</v>
      </c>
      <c r="V3945">
        <v>828696</v>
      </c>
    </row>
    <row r="3946" spans="1:22">
      <c r="A3946" t="s">
        <v>196</v>
      </c>
      <c r="B3946">
        <v>72</v>
      </c>
      <c r="C3946" t="s">
        <v>113</v>
      </c>
      <c r="D3946">
        <v>100</v>
      </c>
      <c r="E3946" t="s">
        <v>197</v>
      </c>
      <c r="F3946">
        <v>1010</v>
      </c>
      <c r="G3946" t="s">
        <v>113</v>
      </c>
      <c r="H3946">
        <v>2020</v>
      </c>
      <c r="I3946" t="s">
        <v>100</v>
      </c>
      <c r="J3946">
        <v>3020</v>
      </c>
      <c r="K3946" t="s">
        <v>1671</v>
      </c>
      <c r="L3946">
        <v>0</v>
      </c>
      <c r="N3946" t="s">
        <v>688</v>
      </c>
      <c r="O3946">
        <v>4</v>
      </c>
      <c r="P3946">
        <v>2074</v>
      </c>
      <c r="Q3946" t="s">
        <v>1178</v>
      </c>
      <c r="R3946" t="s">
        <v>201</v>
      </c>
      <c r="S3946">
        <v>4</v>
      </c>
      <c r="T3946">
        <v>1</v>
      </c>
      <c r="U3946">
        <v>81636</v>
      </c>
      <c r="V3946">
        <v>326544</v>
      </c>
    </row>
    <row r="3947" spans="1:22">
      <c r="A3947" t="s">
        <v>196</v>
      </c>
      <c r="B3947">
        <v>72</v>
      </c>
      <c r="C3947" t="s">
        <v>113</v>
      </c>
      <c r="D3947">
        <v>100</v>
      </c>
      <c r="E3947" t="s">
        <v>197</v>
      </c>
      <c r="F3947">
        <v>1010</v>
      </c>
      <c r="G3947" t="s">
        <v>113</v>
      </c>
      <c r="H3947">
        <v>2020</v>
      </c>
      <c r="I3947" t="s">
        <v>100</v>
      </c>
      <c r="J3947">
        <v>3020</v>
      </c>
      <c r="K3947" t="s">
        <v>1671</v>
      </c>
      <c r="L3947">
        <v>0</v>
      </c>
      <c r="N3947" t="s">
        <v>602</v>
      </c>
      <c r="O3947">
        <v>4</v>
      </c>
      <c r="P3947">
        <v>2073</v>
      </c>
      <c r="Q3947" t="s">
        <v>1016</v>
      </c>
      <c r="R3947" t="s">
        <v>201</v>
      </c>
      <c r="S3947">
        <v>6</v>
      </c>
      <c r="T3947">
        <v>1</v>
      </c>
      <c r="U3947">
        <v>99408</v>
      </c>
      <c r="V3947">
        <v>596448</v>
      </c>
    </row>
    <row r="3948" spans="1:22">
      <c r="A3948" t="s">
        <v>196</v>
      </c>
      <c r="B3948">
        <v>72</v>
      </c>
      <c r="C3948" t="s">
        <v>113</v>
      </c>
      <c r="D3948">
        <v>100</v>
      </c>
      <c r="E3948" t="s">
        <v>197</v>
      </c>
      <c r="F3948">
        <v>1010</v>
      </c>
      <c r="G3948" t="s">
        <v>113</v>
      </c>
      <c r="H3948">
        <v>2020</v>
      </c>
      <c r="I3948" t="s">
        <v>100</v>
      </c>
      <c r="J3948">
        <v>3020</v>
      </c>
      <c r="K3948" t="s">
        <v>1671</v>
      </c>
      <c r="L3948">
        <v>0</v>
      </c>
      <c r="N3948" t="s">
        <v>297</v>
      </c>
      <c r="O3948">
        <v>20</v>
      </c>
      <c r="P3948">
        <v>2072</v>
      </c>
      <c r="Q3948" t="s">
        <v>1179</v>
      </c>
      <c r="R3948" t="s">
        <v>201</v>
      </c>
      <c r="S3948">
        <v>1</v>
      </c>
      <c r="T3948">
        <v>1</v>
      </c>
      <c r="U3948">
        <v>97332</v>
      </c>
      <c r="V3948">
        <v>97332</v>
      </c>
    </row>
    <row r="3949" spans="1:22">
      <c r="A3949" t="s">
        <v>196</v>
      </c>
      <c r="B3949">
        <v>72</v>
      </c>
      <c r="C3949" t="s">
        <v>113</v>
      </c>
      <c r="D3949">
        <v>100</v>
      </c>
      <c r="E3949" t="s">
        <v>197</v>
      </c>
      <c r="F3949">
        <v>1010</v>
      </c>
      <c r="G3949" t="s">
        <v>113</v>
      </c>
      <c r="H3949">
        <v>2020</v>
      </c>
      <c r="I3949" t="s">
        <v>100</v>
      </c>
      <c r="J3949">
        <v>3020</v>
      </c>
      <c r="K3949" t="s">
        <v>1671</v>
      </c>
      <c r="L3949">
        <v>0</v>
      </c>
      <c r="N3949" t="s">
        <v>372</v>
      </c>
      <c r="O3949">
        <v>4</v>
      </c>
      <c r="P3949">
        <v>1912</v>
      </c>
      <c r="Q3949" t="s">
        <v>608</v>
      </c>
      <c r="R3949" t="s">
        <v>201</v>
      </c>
      <c r="S3949">
        <v>1</v>
      </c>
      <c r="T3949">
        <v>1</v>
      </c>
      <c r="U3949">
        <v>75336</v>
      </c>
      <c r="V3949">
        <v>75336</v>
      </c>
    </row>
    <row r="3950" spans="1:22">
      <c r="A3950" t="s">
        <v>196</v>
      </c>
      <c r="B3950">
        <v>72</v>
      </c>
      <c r="C3950" t="s">
        <v>113</v>
      </c>
      <c r="D3950">
        <v>100</v>
      </c>
      <c r="E3950" t="s">
        <v>197</v>
      </c>
      <c r="F3950">
        <v>1010</v>
      </c>
      <c r="G3950" t="s">
        <v>113</v>
      </c>
      <c r="H3950">
        <v>2020</v>
      </c>
      <c r="I3950" t="s">
        <v>100</v>
      </c>
      <c r="J3950">
        <v>3020</v>
      </c>
      <c r="K3950" t="s">
        <v>1671</v>
      </c>
      <c r="L3950">
        <v>0</v>
      </c>
      <c r="N3950" t="s">
        <v>356</v>
      </c>
      <c r="O3950">
        <v>4</v>
      </c>
      <c r="P3950">
        <v>1646</v>
      </c>
      <c r="Q3950" t="s">
        <v>1102</v>
      </c>
      <c r="R3950" t="s">
        <v>201</v>
      </c>
      <c r="S3950">
        <v>1</v>
      </c>
      <c r="T3950">
        <v>1</v>
      </c>
      <c r="U3950">
        <v>90144</v>
      </c>
      <c r="V3950">
        <v>90144</v>
      </c>
    </row>
    <row r="3951" spans="1:22">
      <c r="A3951" t="s">
        <v>196</v>
      </c>
      <c r="B3951">
        <v>72</v>
      </c>
      <c r="C3951" t="s">
        <v>113</v>
      </c>
      <c r="D3951">
        <v>100</v>
      </c>
      <c r="E3951" t="s">
        <v>197</v>
      </c>
      <c r="F3951">
        <v>1010</v>
      </c>
      <c r="G3951" t="s">
        <v>113</v>
      </c>
      <c r="H3951">
        <v>2020</v>
      </c>
      <c r="I3951" t="s">
        <v>100</v>
      </c>
      <c r="J3951">
        <v>3020</v>
      </c>
      <c r="K3951" t="s">
        <v>1671</v>
      </c>
      <c r="L3951">
        <v>0</v>
      </c>
      <c r="N3951" t="s">
        <v>351</v>
      </c>
      <c r="O3951">
        <v>1</v>
      </c>
      <c r="P3951" t="s">
        <v>352</v>
      </c>
      <c r="Q3951" t="s">
        <v>353</v>
      </c>
      <c r="R3951" t="s">
        <v>201</v>
      </c>
      <c r="S3951">
        <v>1</v>
      </c>
      <c r="T3951">
        <v>1</v>
      </c>
      <c r="U3951">
        <v>62544</v>
      </c>
      <c r="V3951">
        <v>62544</v>
      </c>
    </row>
    <row r="3952" spans="1:22">
      <c r="A3952" t="s">
        <v>196</v>
      </c>
      <c r="B3952">
        <v>72</v>
      </c>
      <c r="C3952" t="s">
        <v>113</v>
      </c>
      <c r="D3952">
        <v>100</v>
      </c>
      <c r="E3952" t="s">
        <v>197</v>
      </c>
      <c r="F3952">
        <v>1010</v>
      </c>
      <c r="G3952" t="s">
        <v>113</v>
      </c>
      <c r="H3952">
        <v>2020</v>
      </c>
      <c r="I3952" t="s">
        <v>100</v>
      </c>
      <c r="J3952">
        <v>3020</v>
      </c>
      <c r="K3952" t="s">
        <v>1671</v>
      </c>
      <c r="L3952">
        <v>0</v>
      </c>
      <c r="N3952" t="s">
        <v>199</v>
      </c>
      <c r="O3952">
        <v>0</v>
      </c>
      <c r="P3952">
        <v>15</v>
      </c>
      <c r="Q3952" t="s">
        <v>264</v>
      </c>
      <c r="R3952" t="s">
        <v>201</v>
      </c>
      <c r="S3952">
        <v>0</v>
      </c>
      <c r="T3952">
        <v>0</v>
      </c>
      <c r="U3952">
        <v>4842</v>
      </c>
      <c r="V3952">
        <v>4842</v>
      </c>
    </row>
    <row r="3953" spans="1:22">
      <c r="A3953" t="s">
        <v>196</v>
      </c>
      <c r="B3953">
        <v>73</v>
      </c>
      <c r="C3953" t="s">
        <v>74</v>
      </c>
      <c r="D3953">
        <v>100</v>
      </c>
      <c r="E3953" t="s">
        <v>197</v>
      </c>
      <c r="F3953">
        <v>1005</v>
      </c>
      <c r="G3953" t="s">
        <v>74</v>
      </c>
      <c r="H3953">
        <v>2005</v>
      </c>
      <c r="I3953" t="s">
        <v>74</v>
      </c>
      <c r="J3953">
        <v>3003</v>
      </c>
      <c r="K3953" t="s">
        <v>309</v>
      </c>
      <c r="L3953">
        <v>0</v>
      </c>
      <c r="N3953" t="s">
        <v>199</v>
      </c>
      <c r="O3953">
        <v>9</v>
      </c>
      <c r="P3953">
        <v>9973</v>
      </c>
      <c r="Q3953" t="s">
        <v>1673</v>
      </c>
      <c r="R3953" t="s">
        <v>201</v>
      </c>
      <c r="S3953">
        <v>1</v>
      </c>
      <c r="T3953">
        <v>1</v>
      </c>
      <c r="U3953">
        <v>171924</v>
      </c>
      <c r="V3953">
        <v>171924</v>
      </c>
    </row>
    <row r="3954" spans="1:22">
      <c r="A3954" t="s">
        <v>196</v>
      </c>
      <c r="B3954">
        <v>73</v>
      </c>
      <c r="C3954" t="s">
        <v>74</v>
      </c>
      <c r="D3954">
        <v>100</v>
      </c>
      <c r="E3954" t="s">
        <v>197</v>
      </c>
      <c r="F3954">
        <v>1005</v>
      </c>
      <c r="G3954" t="s">
        <v>74</v>
      </c>
      <c r="H3954">
        <v>2005</v>
      </c>
      <c r="I3954" t="s">
        <v>74</v>
      </c>
      <c r="J3954">
        <v>3003</v>
      </c>
      <c r="K3954" t="s">
        <v>309</v>
      </c>
      <c r="L3954">
        <v>0</v>
      </c>
      <c r="N3954" t="s">
        <v>616</v>
      </c>
      <c r="O3954">
        <v>9</v>
      </c>
      <c r="P3954">
        <v>9674</v>
      </c>
      <c r="Q3954" t="s">
        <v>327</v>
      </c>
      <c r="R3954" t="s">
        <v>201</v>
      </c>
      <c r="S3954">
        <v>1</v>
      </c>
      <c r="T3954">
        <v>1</v>
      </c>
      <c r="U3954">
        <v>158568</v>
      </c>
      <c r="V3954">
        <v>158568</v>
      </c>
    </row>
    <row r="3955" spans="1:22">
      <c r="A3955" t="s">
        <v>196</v>
      </c>
      <c r="B3955">
        <v>73</v>
      </c>
      <c r="C3955" t="s">
        <v>74</v>
      </c>
      <c r="D3955">
        <v>100</v>
      </c>
      <c r="E3955" t="s">
        <v>197</v>
      </c>
      <c r="F3955">
        <v>1005</v>
      </c>
      <c r="G3955" t="s">
        <v>74</v>
      </c>
      <c r="H3955">
        <v>2005</v>
      </c>
      <c r="I3955" t="s">
        <v>74</v>
      </c>
      <c r="J3955">
        <v>3003</v>
      </c>
      <c r="K3955" t="s">
        <v>309</v>
      </c>
      <c r="L3955">
        <v>0</v>
      </c>
      <c r="N3955" t="s">
        <v>341</v>
      </c>
      <c r="O3955">
        <v>1</v>
      </c>
      <c r="P3955">
        <v>3898</v>
      </c>
      <c r="Q3955" t="s">
        <v>1674</v>
      </c>
      <c r="R3955" t="s">
        <v>201</v>
      </c>
      <c r="S3955">
        <v>1</v>
      </c>
      <c r="T3955">
        <v>1</v>
      </c>
      <c r="U3955">
        <v>74172</v>
      </c>
      <c r="V3955">
        <v>74172</v>
      </c>
    </row>
    <row r="3956" spans="1:22">
      <c r="A3956" t="s">
        <v>196</v>
      </c>
      <c r="B3956">
        <v>73</v>
      </c>
      <c r="C3956" t="s">
        <v>74</v>
      </c>
      <c r="D3956">
        <v>100</v>
      </c>
      <c r="E3956" t="s">
        <v>197</v>
      </c>
      <c r="F3956">
        <v>1005</v>
      </c>
      <c r="G3956" t="s">
        <v>74</v>
      </c>
      <c r="H3956">
        <v>2005</v>
      </c>
      <c r="I3956" t="s">
        <v>74</v>
      </c>
      <c r="J3956">
        <v>3003</v>
      </c>
      <c r="K3956" t="s">
        <v>309</v>
      </c>
      <c r="L3956">
        <v>0</v>
      </c>
      <c r="N3956" t="s">
        <v>251</v>
      </c>
      <c r="O3956">
        <v>10</v>
      </c>
      <c r="P3956">
        <v>1315</v>
      </c>
      <c r="Q3956" t="s">
        <v>765</v>
      </c>
      <c r="R3956" t="s">
        <v>201</v>
      </c>
      <c r="S3956">
        <v>1</v>
      </c>
      <c r="T3956">
        <v>1</v>
      </c>
      <c r="U3956">
        <v>124584</v>
      </c>
      <c r="V3956">
        <v>124584</v>
      </c>
    </row>
    <row r="3957" spans="1:22">
      <c r="A3957" t="s">
        <v>196</v>
      </c>
      <c r="B3957">
        <v>73</v>
      </c>
      <c r="C3957" t="s">
        <v>74</v>
      </c>
      <c r="D3957">
        <v>100</v>
      </c>
      <c r="E3957" t="s">
        <v>197</v>
      </c>
      <c r="F3957">
        <v>1005</v>
      </c>
      <c r="G3957" t="s">
        <v>74</v>
      </c>
      <c r="H3957">
        <v>2005</v>
      </c>
      <c r="I3957" t="s">
        <v>74</v>
      </c>
      <c r="J3957">
        <v>3003</v>
      </c>
      <c r="K3957" t="s">
        <v>309</v>
      </c>
      <c r="L3957">
        <v>0</v>
      </c>
      <c r="N3957" t="s">
        <v>251</v>
      </c>
      <c r="O3957">
        <v>10</v>
      </c>
      <c r="P3957">
        <v>802</v>
      </c>
      <c r="Q3957" t="s">
        <v>252</v>
      </c>
      <c r="R3957" t="s">
        <v>201</v>
      </c>
      <c r="S3957">
        <v>1</v>
      </c>
      <c r="T3957">
        <v>1</v>
      </c>
      <c r="U3957">
        <v>83052</v>
      </c>
      <c r="V3957">
        <v>83052</v>
      </c>
    </row>
    <row r="3958" spans="1:22">
      <c r="A3958" t="s">
        <v>196</v>
      </c>
      <c r="B3958">
        <v>73</v>
      </c>
      <c r="C3958" t="s">
        <v>74</v>
      </c>
      <c r="D3958">
        <v>100</v>
      </c>
      <c r="E3958" t="s">
        <v>197</v>
      </c>
      <c r="F3958">
        <v>1005</v>
      </c>
      <c r="G3958" t="s">
        <v>74</v>
      </c>
      <c r="H3958">
        <v>2005</v>
      </c>
      <c r="I3958" t="s">
        <v>74</v>
      </c>
      <c r="J3958">
        <v>3003</v>
      </c>
      <c r="K3958" t="s">
        <v>309</v>
      </c>
      <c r="L3958">
        <v>0</v>
      </c>
      <c r="N3958" t="s">
        <v>341</v>
      </c>
      <c r="O3958">
        <v>1</v>
      </c>
      <c r="P3958">
        <v>308</v>
      </c>
      <c r="Q3958" t="s">
        <v>355</v>
      </c>
      <c r="R3958" t="s">
        <v>201</v>
      </c>
      <c r="S3958">
        <v>1</v>
      </c>
      <c r="T3958">
        <v>1</v>
      </c>
      <c r="U3958">
        <v>119100</v>
      </c>
      <c r="V3958">
        <v>119100</v>
      </c>
    </row>
    <row r="3959" spans="1:22">
      <c r="A3959" t="s">
        <v>196</v>
      </c>
      <c r="B3959">
        <v>73</v>
      </c>
      <c r="C3959" t="s">
        <v>74</v>
      </c>
      <c r="D3959">
        <v>100</v>
      </c>
      <c r="E3959" t="s">
        <v>197</v>
      </c>
      <c r="F3959">
        <v>1005</v>
      </c>
      <c r="G3959" t="s">
        <v>74</v>
      </c>
      <c r="H3959">
        <v>2005</v>
      </c>
      <c r="I3959" t="s">
        <v>74</v>
      </c>
      <c r="J3959">
        <v>3003</v>
      </c>
      <c r="K3959" t="s">
        <v>309</v>
      </c>
      <c r="L3959">
        <v>0</v>
      </c>
      <c r="N3959" t="s">
        <v>341</v>
      </c>
      <c r="O3959">
        <v>1</v>
      </c>
      <c r="P3959">
        <v>308</v>
      </c>
      <c r="Q3959" t="s">
        <v>355</v>
      </c>
      <c r="R3959" t="s">
        <v>201</v>
      </c>
      <c r="S3959">
        <v>1</v>
      </c>
      <c r="T3959">
        <v>1</v>
      </c>
      <c r="U3959">
        <v>90144</v>
      </c>
      <c r="V3959">
        <v>90144</v>
      </c>
    </row>
    <row r="3960" spans="1:22">
      <c r="A3960" t="s">
        <v>196</v>
      </c>
      <c r="B3960">
        <v>73</v>
      </c>
      <c r="C3960" t="s">
        <v>74</v>
      </c>
      <c r="D3960">
        <v>100</v>
      </c>
      <c r="E3960" t="s">
        <v>197</v>
      </c>
      <c r="F3960">
        <v>1005</v>
      </c>
      <c r="G3960" t="s">
        <v>74</v>
      </c>
      <c r="H3960">
        <v>2005</v>
      </c>
      <c r="I3960" t="s">
        <v>74</v>
      </c>
      <c r="J3960">
        <v>3003</v>
      </c>
      <c r="K3960" t="s">
        <v>309</v>
      </c>
      <c r="L3960">
        <v>0</v>
      </c>
      <c r="N3960" t="s">
        <v>199</v>
      </c>
      <c r="O3960">
        <v>0</v>
      </c>
      <c r="P3960">
        <v>15</v>
      </c>
      <c r="Q3960" t="s">
        <v>264</v>
      </c>
      <c r="R3960" t="s">
        <v>201</v>
      </c>
      <c r="S3960">
        <v>0</v>
      </c>
      <c r="T3960">
        <v>0</v>
      </c>
      <c r="U3960">
        <v>7362</v>
      </c>
      <c r="V3960">
        <v>7362</v>
      </c>
    </row>
    <row r="3961" spans="1:22">
      <c r="A3961" t="s">
        <v>196</v>
      </c>
      <c r="B3961">
        <v>73</v>
      </c>
      <c r="C3961" t="s">
        <v>74</v>
      </c>
      <c r="D3961">
        <v>100</v>
      </c>
      <c r="E3961" t="s">
        <v>197</v>
      </c>
      <c r="F3961">
        <v>1005</v>
      </c>
      <c r="G3961" t="s">
        <v>74</v>
      </c>
      <c r="H3961">
        <v>2005</v>
      </c>
      <c r="I3961" t="s">
        <v>74</v>
      </c>
      <c r="J3961">
        <v>3005</v>
      </c>
      <c r="K3961" t="s">
        <v>1675</v>
      </c>
      <c r="L3961">
        <v>0</v>
      </c>
      <c r="N3961" t="s">
        <v>199</v>
      </c>
      <c r="O3961">
        <v>9</v>
      </c>
      <c r="P3961">
        <v>9633</v>
      </c>
      <c r="Q3961" t="s">
        <v>1676</v>
      </c>
      <c r="R3961" t="s">
        <v>201</v>
      </c>
      <c r="S3961">
        <v>8</v>
      </c>
      <c r="T3961">
        <v>0</v>
      </c>
      <c r="U3961">
        <v>0</v>
      </c>
      <c r="V3961">
        <v>0</v>
      </c>
    </row>
    <row r="3962" spans="1:22">
      <c r="A3962" t="s">
        <v>196</v>
      </c>
      <c r="B3962">
        <v>73</v>
      </c>
      <c r="C3962" t="s">
        <v>74</v>
      </c>
      <c r="D3962">
        <v>100</v>
      </c>
      <c r="E3962" t="s">
        <v>197</v>
      </c>
      <c r="F3962">
        <v>1005</v>
      </c>
      <c r="G3962" t="s">
        <v>74</v>
      </c>
      <c r="H3962">
        <v>2005</v>
      </c>
      <c r="I3962" t="s">
        <v>74</v>
      </c>
      <c r="J3962">
        <v>3005</v>
      </c>
      <c r="K3962" t="s">
        <v>1675</v>
      </c>
      <c r="L3962">
        <v>0</v>
      </c>
      <c r="N3962" t="s">
        <v>199</v>
      </c>
      <c r="O3962">
        <v>9</v>
      </c>
      <c r="P3962">
        <v>9621</v>
      </c>
      <c r="Q3962" t="s">
        <v>1677</v>
      </c>
      <c r="R3962" t="s">
        <v>201</v>
      </c>
      <c r="S3962">
        <v>1</v>
      </c>
      <c r="T3962">
        <v>0</v>
      </c>
      <c r="U3962">
        <v>0</v>
      </c>
      <c r="V3962">
        <v>0</v>
      </c>
    </row>
    <row r="3963" spans="1:22">
      <c r="A3963" t="s">
        <v>196</v>
      </c>
      <c r="B3963">
        <v>73</v>
      </c>
      <c r="C3963" t="s">
        <v>74</v>
      </c>
      <c r="D3963">
        <v>100</v>
      </c>
      <c r="E3963" t="s">
        <v>197</v>
      </c>
      <c r="F3963">
        <v>1005</v>
      </c>
      <c r="G3963" t="s">
        <v>74</v>
      </c>
      <c r="H3963">
        <v>2005</v>
      </c>
      <c r="I3963" t="s">
        <v>74</v>
      </c>
      <c r="J3963">
        <v>3005</v>
      </c>
      <c r="K3963" t="s">
        <v>1675</v>
      </c>
      <c r="L3963">
        <v>0</v>
      </c>
      <c r="N3963" t="s">
        <v>360</v>
      </c>
      <c r="O3963">
        <v>1</v>
      </c>
      <c r="P3963">
        <v>7102</v>
      </c>
      <c r="Q3963" t="s">
        <v>719</v>
      </c>
      <c r="R3963" t="s">
        <v>201</v>
      </c>
      <c r="S3963">
        <v>2</v>
      </c>
      <c r="T3963">
        <v>1</v>
      </c>
      <c r="U3963">
        <v>98928</v>
      </c>
      <c r="V3963">
        <v>197856</v>
      </c>
    </row>
    <row r="3964" spans="1:22">
      <c r="A3964" t="s">
        <v>196</v>
      </c>
      <c r="B3964">
        <v>73</v>
      </c>
      <c r="C3964" t="s">
        <v>74</v>
      </c>
      <c r="D3964">
        <v>100</v>
      </c>
      <c r="E3964" t="s">
        <v>197</v>
      </c>
      <c r="F3964">
        <v>1005</v>
      </c>
      <c r="G3964" t="s">
        <v>74</v>
      </c>
      <c r="H3964">
        <v>2005</v>
      </c>
      <c r="I3964" t="s">
        <v>74</v>
      </c>
      <c r="J3964">
        <v>3005</v>
      </c>
      <c r="K3964" t="s">
        <v>1675</v>
      </c>
      <c r="L3964">
        <v>0</v>
      </c>
      <c r="N3964" t="s">
        <v>714</v>
      </c>
      <c r="O3964">
        <v>2</v>
      </c>
      <c r="P3964">
        <v>3496</v>
      </c>
      <c r="Q3964" t="s">
        <v>1678</v>
      </c>
      <c r="R3964" t="s">
        <v>201</v>
      </c>
      <c r="S3964">
        <v>5</v>
      </c>
      <c r="T3964">
        <v>1</v>
      </c>
      <c r="U3964">
        <v>78384</v>
      </c>
      <c r="V3964">
        <v>391920</v>
      </c>
    </row>
    <row r="3965" spans="1:22">
      <c r="A3965" t="s">
        <v>196</v>
      </c>
      <c r="B3965">
        <v>73</v>
      </c>
      <c r="C3965" t="s">
        <v>74</v>
      </c>
      <c r="D3965">
        <v>100</v>
      </c>
      <c r="E3965" t="s">
        <v>197</v>
      </c>
      <c r="F3965">
        <v>1005</v>
      </c>
      <c r="G3965" t="s">
        <v>74</v>
      </c>
      <c r="H3965">
        <v>2005</v>
      </c>
      <c r="I3965" t="s">
        <v>74</v>
      </c>
      <c r="J3965">
        <v>3005</v>
      </c>
      <c r="K3965" t="s">
        <v>1675</v>
      </c>
      <c r="L3965">
        <v>0</v>
      </c>
      <c r="N3965" t="s">
        <v>714</v>
      </c>
      <c r="O3965">
        <v>2</v>
      </c>
      <c r="P3965">
        <v>3496</v>
      </c>
      <c r="Q3965" t="s">
        <v>1678</v>
      </c>
      <c r="R3965" t="s">
        <v>201</v>
      </c>
      <c r="S3965">
        <v>1</v>
      </c>
      <c r="T3965">
        <v>1</v>
      </c>
      <c r="U3965">
        <v>74844</v>
      </c>
      <c r="V3965">
        <v>74844</v>
      </c>
    </row>
    <row r="3966" spans="1:22">
      <c r="A3966" t="s">
        <v>196</v>
      </c>
      <c r="B3966">
        <v>73</v>
      </c>
      <c r="C3966" t="s">
        <v>74</v>
      </c>
      <c r="D3966">
        <v>100</v>
      </c>
      <c r="E3966" t="s">
        <v>197</v>
      </c>
      <c r="F3966">
        <v>1005</v>
      </c>
      <c r="G3966" t="s">
        <v>74</v>
      </c>
      <c r="H3966">
        <v>2005</v>
      </c>
      <c r="I3966" t="s">
        <v>74</v>
      </c>
      <c r="J3966">
        <v>3005</v>
      </c>
      <c r="K3966" t="s">
        <v>1675</v>
      </c>
      <c r="L3966">
        <v>0</v>
      </c>
      <c r="N3966" t="s">
        <v>714</v>
      </c>
      <c r="O3966">
        <v>2</v>
      </c>
      <c r="P3966">
        <v>3496</v>
      </c>
      <c r="Q3966" t="s">
        <v>1678</v>
      </c>
      <c r="R3966" t="s">
        <v>201</v>
      </c>
      <c r="S3966">
        <v>1</v>
      </c>
      <c r="T3966">
        <v>1</v>
      </c>
      <c r="U3966">
        <v>71436</v>
      </c>
      <c r="V3966">
        <v>71436</v>
      </c>
    </row>
    <row r="3967" spans="1:22">
      <c r="A3967" t="s">
        <v>196</v>
      </c>
      <c r="B3967">
        <v>73</v>
      </c>
      <c r="C3967" t="s">
        <v>74</v>
      </c>
      <c r="D3967">
        <v>100</v>
      </c>
      <c r="E3967" t="s">
        <v>197</v>
      </c>
      <c r="F3967">
        <v>1005</v>
      </c>
      <c r="G3967" t="s">
        <v>74</v>
      </c>
      <c r="H3967">
        <v>2005</v>
      </c>
      <c r="I3967" t="s">
        <v>74</v>
      </c>
      <c r="J3967">
        <v>3005</v>
      </c>
      <c r="K3967" t="s">
        <v>1675</v>
      </c>
      <c r="L3967">
        <v>0</v>
      </c>
      <c r="N3967" t="s">
        <v>714</v>
      </c>
      <c r="O3967">
        <v>2</v>
      </c>
      <c r="P3967">
        <v>3496</v>
      </c>
      <c r="Q3967" t="s">
        <v>1678</v>
      </c>
      <c r="R3967" t="s">
        <v>201</v>
      </c>
      <c r="S3967">
        <v>2</v>
      </c>
      <c r="T3967">
        <v>1</v>
      </c>
      <c r="U3967">
        <v>56616</v>
      </c>
      <c r="V3967">
        <v>113232</v>
      </c>
    </row>
    <row r="3968" spans="1:22">
      <c r="A3968" t="s">
        <v>196</v>
      </c>
      <c r="B3968">
        <v>73</v>
      </c>
      <c r="C3968" t="s">
        <v>74</v>
      </c>
      <c r="D3968">
        <v>100</v>
      </c>
      <c r="E3968" t="s">
        <v>197</v>
      </c>
      <c r="F3968">
        <v>1005</v>
      </c>
      <c r="G3968" t="s">
        <v>74</v>
      </c>
      <c r="H3968">
        <v>2005</v>
      </c>
      <c r="I3968" t="s">
        <v>74</v>
      </c>
      <c r="J3968">
        <v>3005</v>
      </c>
      <c r="K3968" t="s">
        <v>1675</v>
      </c>
      <c r="L3968">
        <v>0</v>
      </c>
      <c r="N3968" t="s">
        <v>714</v>
      </c>
      <c r="O3968">
        <v>2</v>
      </c>
      <c r="P3968">
        <v>3496</v>
      </c>
      <c r="Q3968" t="s">
        <v>1678</v>
      </c>
      <c r="R3968" t="s">
        <v>201</v>
      </c>
      <c r="S3968">
        <v>4</v>
      </c>
      <c r="T3968">
        <v>1</v>
      </c>
      <c r="U3968">
        <v>50964</v>
      </c>
      <c r="V3968">
        <v>203856</v>
      </c>
    </row>
    <row r="3969" spans="1:22">
      <c r="A3969" t="s">
        <v>196</v>
      </c>
      <c r="B3969">
        <v>73</v>
      </c>
      <c r="C3969" t="s">
        <v>74</v>
      </c>
      <c r="D3969">
        <v>100</v>
      </c>
      <c r="E3969" t="s">
        <v>197</v>
      </c>
      <c r="F3969">
        <v>1005</v>
      </c>
      <c r="G3969" t="s">
        <v>74</v>
      </c>
      <c r="H3969">
        <v>2005</v>
      </c>
      <c r="I3969" t="s">
        <v>74</v>
      </c>
      <c r="J3969">
        <v>3005</v>
      </c>
      <c r="K3969" t="s">
        <v>1675</v>
      </c>
      <c r="L3969">
        <v>0</v>
      </c>
      <c r="N3969" t="s">
        <v>714</v>
      </c>
      <c r="O3969">
        <v>2</v>
      </c>
      <c r="P3969">
        <v>3496</v>
      </c>
      <c r="Q3969" t="s">
        <v>1678</v>
      </c>
      <c r="R3969" t="s">
        <v>201</v>
      </c>
      <c r="S3969">
        <v>1</v>
      </c>
      <c r="T3969">
        <v>1</v>
      </c>
      <c r="U3969">
        <v>48588</v>
      </c>
      <c r="V3969">
        <v>48588</v>
      </c>
    </row>
    <row r="3970" spans="1:22">
      <c r="A3970" t="s">
        <v>196</v>
      </c>
      <c r="B3970">
        <v>73</v>
      </c>
      <c r="C3970" t="s">
        <v>74</v>
      </c>
      <c r="D3970">
        <v>100</v>
      </c>
      <c r="E3970" t="s">
        <v>197</v>
      </c>
      <c r="F3970">
        <v>1005</v>
      </c>
      <c r="G3970" t="s">
        <v>74</v>
      </c>
      <c r="H3970">
        <v>2005</v>
      </c>
      <c r="I3970" t="s">
        <v>74</v>
      </c>
      <c r="J3970">
        <v>3005</v>
      </c>
      <c r="K3970" t="s">
        <v>1675</v>
      </c>
      <c r="L3970">
        <v>0</v>
      </c>
      <c r="N3970" t="s">
        <v>714</v>
      </c>
      <c r="O3970">
        <v>2</v>
      </c>
      <c r="P3970">
        <v>3496</v>
      </c>
      <c r="Q3970" t="s">
        <v>1678</v>
      </c>
      <c r="R3970" t="s">
        <v>201</v>
      </c>
      <c r="S3970">
        <v>2</v>
      </c>
      <c r="T3970">
        <v>1</v>
      </c>
      <c r="U3970">
        <v>46416</v>
      </c>
      <c r="V3970">
        <v>92832</v>
      </c>
    </row>
    <row r="3971" spans="1:22">
      <c r="A3971" t="s">
        <v>196</v>
      </c>
      <c r="B3971">
        <v>73</v>
      </c>
      <c r="C3971" t="s">
        <v>74</v>
      </c>
      <c r="D3971">
        <v>100</v>
      </c>
      <c r="E3971" t="s">
        <v>197</v>
      </c>
      <c r="F3971">
        <v>1005</v>
      </c>
      <c r="G3971" t="s">
        <v>74</v>
      </c>
      <c r="H3971">
        <v>2005</v>
      </c>
      <c r="I3971" t="s">
        <v>74</v>
      </c>
      <c r="J3971">
        <v>3005</v>
      </c>
      <c r="K3971" t="s">
        <v>1675</v>
      </c>
      <c r="L3971">
        <v>0</v>
      </c>
      <c r="N3971" t="s">
        <v>714</v>
      </c>
      <c r="O3971">
        <v>2</v>
      </c>
      <c r="P3971">
        <v>3496</v>
      </c>
      <c r="Q3971" t="s">
        <v>1678</v>
      </c>
      <c r="R3971" t="s">
        <v>201</v>
      </c>
      <c r="S3971">
        <v>3</v>
      </c>
      <c r="T3971">
        <v>1</v>
      </c>
      <c r="U3971">
        <v>44292</v>
      </c>
      <c r="V3971">
        <v>132876</v>
      </c>
    </row>
    <row r="3972" spans="1:22">
      <c r="A3972" t="s">
        <v>196</v>
      </c>
      <c r="B3972">
        <v>73</v>
      </c>
      <c r="C3972" t="s">
        <v>74</v>
      </c>
      <c r="D3972">
        <v>100</v>
      </c>
      <c r="E3972" t="s">
        <v>197</v>
      </c>
      <c r="F3972">
        <v>1005</v>
      </c>
      <c r="G3972" t="s">
        <v>74</v>
      </c>
      <c r="H3972">
        <v>2005</v>
      </c>
      <c r="I3972" t="s">
        <v>74</v>
      </c>
      <c r="J3972">
        <v>3005</v>
      </c>
      <c r="K3972" t="s">
        <v>1675</v>
      </c>
      <c r="L3972">
        <v>0</v>
      </c>
      <c r="N3972" t="s">
        <v>1450</v>
      </c>
      <c r="O3972">
        <v>2</v>
      </c>
      <c r="P3972">
        <v>3495</v>
      </c>
      <c r="Q3972" t="s">
        <v>1679</v>
      </c>
      <c r="R3972" t="s">
        <v>201</v>
      </c>
      <c r="S3972">
        <v>1</v>
      </c>
      <c r="T3972">
        <v>1</v>
      </c>
      <c r="U3972">
        <v>120024</v>
      </c>
      <c r="V3972">
        <v>120024</v>
      </c>
    </row>
    <row r="3973" spans="1:22">
      <c r="A3973" t="s">
        <v>196</v>
      </c>
      <c r="B3973">
        <v>73</v>
      </c>
      <c r="C3973" t="s">
        <v>74</v>
      </c>
      <c r="D3973">
        <v>100</v>
      </c>
      <c r="E3973" t="s">
        <v>197</v>
      </c>
      <c r="F3973">
        <v>1005</v>
      </c>
      <c r="G3973" t="s">
        <v>74</v>
      </c>
      <c r="H3973">
        <v>2005</v>
      </c>
      <c r="I3973" t="s">
        <v>74</v>
      </c>
      <c r="J3973">
        <v>3005</v>
      </c>
      <c r="K3973" t="s">
        <v>1675</v>
      </c>
      <c r="L3973">
        <v>0</v>
      </c>
      <c r="N3973" t="s">
        <v>1450</v>
      </c>
      <c r="O3973">
        <v>2</v>
      </c>
      <c r="P3973">
        <v>3495</v>
      </c>
      <c r="Q3973" t="s">
        <v>1679</v>
      </c>
      <c r="R3973" t="s">
        <v>201</v>
      </c>
      <c r="S3973">
        <v>1</v>
      </c>
      <c r="T3973">
        <v>1</v>
      </c>
      <c r="U3973">
        <v>109404</v>
      </c>
      <c r="V3973">
        <v>109404</v>
      </c>
    </row>
    <row r="3974" spans="1:22">
      <c r="A3974" t="s">
        <v>196</v>
      </c>
      <c r="B3974">
        <v>73</v>
      </c>
      <c r="C3974" t="s">
        <v>74</v>
      </c>
      <c r="D3974">
        <v>100</v>
      </c>
      <c r="E3974" t="s">
        <v>197</v>
      </c>
      <c r="F3974">
        <v>1005</v>
      </c>
      <c r="G3974" t="s">
        <v>74</v>
      </c>
      <c r="H3974">
        <v>2005</v>
      </c>
      <c r="I3974" t="s">
        <v>74</v>
      </c>
      <c r="J3974">
        <v>3005</v>
      </c>
      <c r="K3974" t="s">
        <v>1675</v>
      </c>
      <c r="L3974">
        <v>0</v>
      </c>
      <c r="N3974" t="s">
        <v>1450</v>
      </c>
      <c r="O3974">
        <v>2</v>
      </c>
      <c r="P3974">
        <v>3495</v>
      </c>
      <c r="Q3974" t="s">
        <v>1679</v>
      </c>
      <c r="R3974" t="s">
        <v>201</v>
      </c>
      <c r="S3974">
        <v>1</v>
      </c>
      <c r="T3974">
        <v>1</v>
      </c>
      <c r="U3974">
        <v>104376</v>
      </c>
      <c r="V3974">
        <v>104376</v>
      </c>
    </row>
    <row r="3975" spans="1:22">
      <c r="A3975" t="s">
        <v>196</v>
      </c>
      <c r="B3975">
        <v>73</v>
      </c>
      <c r="C3975" t="s">
        <v>74</v>
      </c>
      <c r="D3975">
        <v>100</v>
      </c>
      <c r="E3975" t="s">
        <v>197</v>
      </c>
      <c r="F3975">
        <v>1005</v>
      </c>
      <c r="G3975" t="s">
        <v>74</v>
      </c>
      <c r="H3975">
        <v>2005</v>
      </c>
      <c r="I3975" t="s">
        <v>74</v>
      </c>
      <c r="J3975">
        <v>3005</v>
      </c>
      <c r="K3975" t="s">
        <v>1675</v>
      </c>
      <c r="L3975">
        <v>0</v>
      </c>
      <c r="N3975" t="s">
        <v>253</v>
      </c>
      <c r="O3975">
        <v>20</v>
      </c>
      <c r="P3975">
        <v>3493</v>
      </c>
      <c r="Q3975" t="s">
        <v>1680</v>
      </c>
      <c r="R3975" t="s">
        <v>201</v>
      </c>
      <c r="S3975">
        <v>1</v>
      </c>
      <c r="T3975">
        <v>1</v>
      </c>
      <c r="U3975">
        <v>103488</v>
      </c>
      <c r="V3975">
        <v>103488</v>
      </c>
    </row>
    <row r="3976" spans="1:22">
      <c r="A3976" t="s">
        <v>196</v>
      </c>
      <c r="B3976">
        <v>73</v>
      </c>
      <c r="C3976" t="s">
        <v>74</v>
      </c>
      <c r="D3976">
        <v>100</v>
      </c>
      <c r="E3976" t="s">
        <v>197</v>
      </c>
      <c r="F3976">
        <v>1005</v>
      </c>
      <c r="G3976" t="s">
        <v>74</v>
      </c>
      <c r="H3976">
        <v>2005</v>
      </c>
      <c r="I3976" t="s">
        <v>74</v>
      </c>
      <c r="J3976">
        <v>3005</v>
      </c>
      <c r="K3976" t="s">
        <v>1675</v>
      </c>
      <c r="L3976">
        <v>0</v>
      </c>
      <c r="N3976" t="s">
        <v>199</v>
      </c>
      <c r="O3976">
        <v>0</v>
      </c>
      <c r="P3976">
        <v>15</v>
      </c>
      <c r="Q3976" t="s">
        <v>264</v>
      </c>
      <c r="R3976" t="s">
        <v>201</v>
      </c>
      <c r="S3976">
        <v>0</v>
      </c>
      <c r="T3976">
        <v>0</v>
      </c>
      <c r="U3976">
        <v>11989</v>
      </c>
      <c r="V3976">
        <v>11989</v>
      </c>
    </row>
    <row r="3977" spans="1:22">
      <c r="A3977" t="s">
        <v>196</v>
      </c>
      <c r="B3977">
        <v>73</v>
      </c>
      <c r="C3977" t="s">
        <v>74</v>
      </c>
      <c r="D3977">
        <v>100</v>
      </c>
      <c r="E3977" t="s">
        <v>197</v>
      </c>
      <c r="F3977">
        <v>1005</v>
      </c>
      <c r="G3977" t="s">
        <v>74</v>
      </c>
      <c r="H3977">
        <v>2005</v>
      </c>
      <c r="I3977" t="s">
        <v>74</v>
      </c>
      <c r="J3977">
        <v>3010</v>
      </c>
      <c r="K3977" t="s">
        <v>1681</v>
      </c>
      <c r="L3977">
        <v>0</v>
      </c>
      <c r="N3977" t="s">
        <v>622</v>
      </c>
      <c r="O3977">
        <v>3</v>
      </c>
      <c r="P3977">
        <v>3499</v>
      </c>
      <c r="Q3977" t="s">
        <v>1682</v>
      </c>
      <c r="R3977" t="s">
        <v>201</v>
      </c>
      <c r="S3977">
        <v>1</v>
      </c>
      <c r="T3977">
        <v>1</v>
      </c>
      <c r="U3977">
        <v>90144</v>
      </c>
      <c r="V3977">
        <v>90144</v>
      </c>
    </row>
    <row r="3978" spans="1:22">
      <c r="A3978" t="s">
        <v>196</v>
      </c>
      <c r="B3978">
        <v>73</v>
      </c>
      <c r="C3978" t="s">
        <v>74</v>
      </c>
      <c r="D3978">
        <v>100</v>
      </c>
      <c r="E3978" t="s">
        <v>197</v>
      </c>
      <c r="F3978">
        <v>1005</v>
      </c>
      <c r="G3978" t="s">
        <v>74</v>
      </c>
      <c r="H3978">
        <v>2005</v>
      </c>
      <c r="I3978" t="s">
        <v>74</v>
      </c>
      <c r="J3978">
        <v>3010</v>
      </c>
      <c r="K3978" t="s">
        <v>1681</v>
      </c>
      <c r="L3978">
        <v>0</v>
      </c>
      <c r="N3978" t="s">
        <v>622</v>
      </c>
      <c r="O3978">
        <v>3</v>
      </c>
      <c r="P3978">
        <v>3499</v>
      </c>
      <c r="Q3978" t="s">
        <v>1682</v>
      </c>
      <c r="R3978" t="s">
        <v>201</v>
      </c>
      <c r="S3978">
        <v>1</v>
      </c>
      <c r="T3978">
        <v>1</v>
      </c>
      <c r="U3978">
        <v>68256</v>
      </c>
      <c r="V3978">
        <v>68256</v>
      </c>
    </row>
    <row r="3979" spans="1:22">
      <c r="A3979" t="s">
        <v>196</v>
      </c>
      <c r="B3979">
        <v>73</v>
      </c>
      <c r="C3979" t="s">
        <v>74</v>
      </c>
      <c r="D3979">
        <v>100</v>
      </c>
      <c r="E3979" t="s">
        <v>197</v>
      </c>
      <c r="F3979">
        <v>1005</v>
      </c>
      <c r="G3979" t="s">
        <v>74</v>
      </c>
      <c r="H3979">
        <v>2005</v>
      </c>
      <c r="I3979" t="s">
        <v>74</v>
      </c>
      <c r="J3979">
        <v>3010</v>
      </c>
      <c r="K3979" t="s">
        <v>1681</v>
      </c>
      <c r="L3979">
        <v>0</v>
      </c>
      <c r="N3979" t="s">
        <v>622</v>
      </c>
      <c r="O3979">
        <v>3</v>
      </c>
      <c r="P3979">
        <v>3499</v>
      </c>
      <c r="Q3979" t="s">
        <v>1682</v>
      </c>
      <c r="R3979" t="s">
        <v>201</v>
      </c>
      <c r="S3979">
        <v>4</v>
      </c>
      <c r="T3979">
        <v>1</v>
      </c>
      <c r="U3979">
        <v>58764</v>
      </c>
      <c r="V3979">
        <v>235056</v>
      </c>
    </row>
    <row r="3980" spans="1:22">
      <c r="A3980" t="s">
        <v>196</v>
      </c>
      <c r="B3980">
        <v>73</v>
      </c>
      <c r="C3980" t="s">
        <v>74</v>
      </c>
      <c r="D3980">
        <v>100</v>
      </c>
      <c r="E3980" t="s">
        <v>197</v>
      </c>
      <c r="F3980">
        <v>1005</v>
      </c>
      <c r="G3980" t="s">
        <v>74</v>
      </c>
      <c r="H3980">
        <v>2005</v>
      </c>
      <c r="I3980" t="s">
        <v>74</v>
      </c>
      <c r="J3980">
        <v>3010</v>
      </c>
      <c r="K3980" t="s">
        <v>1681</v>
      </c>
      <c r="L3980">
        <v>0</v>
      </c>
      <c r="N3980" t="s">
        <v>622</v>
      </c>
      <c r="O3980">
        <v>3</v>
      </c>
      <c r="P3980">
        <v>3499</v>
      </c>
      <c r="Q3980" t="s">
        <v>1682</v>
      </c>
      <c r="R3980" t="s">
        <v>201</v>
      </c>
      <c r="S3980">
        <v>4</v>
      </c>
      <c r="T3980">
        <v>1</v>
      </c>
      <c r="U3980">
        <v>56124</v>
      </c>
      <c r="V3980">
        <v>224496</v>
      </c>
    </row>
    <row r="3981" spans="1:22">
      <c r="A3981" t="s">
        <v>196</v>
      </c>
      <c r="B3981">
        <v>73</v>
      </c>
      <c r="C3981" t="s">
        <v>74</v>
      </c>
      <c r="D3981">
        <v>100</v>
      </c>
      <c r="E3981" t="s">
        <v>197</v>
      </c>
      <c r="F3981">
        <v>1005</v>
      </c>
      <c r="G3981" t="s">
        <v>74</v>
      </c>
      <c r="H3981">
        <v>2005</v>
      </c>
      <c r="I3981" t="s">
        <v>74</v>
      </c>
      <c r="J3981">
        <v>3010</v>
      </c>
      <c r="K3981" t="s">
        <v>1681</v>
      </c>
      <c r="L3981">
        <v>0</v>
      </c>
      <c r="N3981" t="s">
        <v>622</v>
      </c>
      <c r="O3981">
        <v>3</v>
      </c>
      <c r="P3981">
        <v>3499</v>
      </c>
      <c r="Q3981" t="s">
        <v>1682</v>
      </c>
      <c r="R3981" t="s">
        <v>201</v>
      </c>
      <c r="S3981">
        <v>1</v>
      </c>
      <c r="T3981">
        <v>1</v>
      </c>
      <c r="U3981">
        <v>53532</v>
      </c>
      <c r="V3981">
        <v>53532</v>
      </c>
    </row>
    <row r="3982" spans="1:22">
      <c r="A3982" t="s">
        <v>196</v>
      </c>
      <c r="B3982">
        <v>73</v>
      </c>
      <c r="C3982" t="s">
        <v>74</v>
      </c>
      <c r="D3982">
        <v>100</v>
      </c>
      <c r="E3982" t="s">
        <v>197</v>
      </c>
      <c r="F3982">
        <v>1005</v>
      </c>
      <c r="G3982" t="s">
        <v>74</v>
      </c>
      <c r="H3982">
        <v>2005</v>
      </c>
      <c r="I3982" t="s">
        <v>74</v>
      </c>
      <c r="J3982">
        <v>3010</v>
      </c>
      <c r="K3982" t="s">
        <v>1681</v>
      </c>
      <c r="L3982">
        <v>0</v>
      </c>
      <c r="N3982" t="s">
        <v>622</v>
      </c>
      <c r="O3982">
        <v>3</v>
      </c>
      <c r="P3982">
        <v>3499</v>
      </c>
      <c r="Q3982" t="s">
        <v>1682</v>
      </c>
      <c r="R3982" t="s">
        <v>201</v>
      </c>
      <c r="S3982">
        <v>1</v>
      </c>
      <c r="T3982">
        <v>1</v>
      </c>
      <c r="U3982">
        <v>51936</v>
      </c>
      <c r="V3982">
        <v>51936</v>
      </c>
    </row>
    <row r="3983" spans="1:22">
      <c r="A3983" t="s">
        <v>196</v>
      </c>
      <c r="B3983">
        <v>73</v>
      </c>
      <c r="C3983" t="s">
        <v>74</v>
      </c>
      <c r="D3983">
        <v>100</v>
      </c>
      <c r="E3983" t="s">
        <v>197</v>
      </c>
      <c r="F3983">
        <v>1005</v>
      </c>
      <c r="G3983" t="s">
        <v>74</v>
      </c>
      <c r="H3983">
        <v>2005</v>
      </c>
      <c r="I3983" t="s">
        <v>74</v>
      </c>
      <c r="J3983">
        <v>3010</v>
      </c>
      <c r="K3983" t="s">
        <v>1681</v>
      </c>
      <c r="L3983">
        <v>0</v>
      </c>
      <c r="N3983" t="s">
        <v>622</v>
      </c>
      <c r="O3983">
        <v>1</v>
      </c>
      <c r="P3983">
        <v>3498</v>
      </c>
      <c r="Q3983" t="s">
        <v>1683</v>
      </c>
      <c r="R3983" t="s">
        <v>201</v>
      </c>
      <c r="S3983">
        <v>1</v>
      </c>
      <c r="T3983">
        <v>1</v>
      </c>
      <c r="U3983">
        <v>71436</v>
      </c>
      <c r="V3983">
        <v>71436</v>
      </c>
    </row>
    <row r="3984" spans="1:22">
      <c r="A3984" t="s">
        <v>196</v>
      </c>
      <c r="B3984">
        <v>73</v>
      </c>
      <c r="C3984" t="s">
        <v>74</v>
      </c>
      <c r="D3984">
        <v>100</v>
      </c>
      <c r="E3984" t="s">
        <v>197</v>
      </c>
      <c r="F3984">
        <v>1005</v>
      </c>
      <c r="G3984" t="s">
        <v>74</v>
      </c>
      <c r="H3984">
        <v>2005</v>
      </c>
      <c r="I3984" t="s">
        <v>74</v>
      </c>
      <c r="J3984">
        <v>3010</v>
      </c>
      <c r="K3984" t="s">
        <v>1681</v>
      </c>
      <c r="L3984">
        <v>0</v>
      </c>
      <c r="N3984" t="s">
        <v>622</v>
      </c>
      <c r="O3984">
        <v>1</v>
      </c>
      <c r="P3984">
        <v>3498</v>
      </c>
      <c r="Q3984" t="s">
        <v>1683</v>
      </c>
      <c r="R3984" t="s">
        <v>201</v>
      </c>
      <c r="S3984">
        <v>1</v>
      </c>
      <c r="T3984">
        <v>1</v>
      </c>
      <c r="U3984">
        <v>61548</v>
      </c>
      <c r="V3984">
        <v>61548</v>
      </c>
    </row>
    <row r="3985" spans="1:22">
      <c r="A3985" t="s">
        <v>196</v>
      </c>
      <c r="B3985">
        <v>73</v>
      </c>
      <c r="C3985" t="s">
        <v>74</v>
      </c>
      <c r="D3985">
        <v>100</v>
      </c>
      <c r="E3985" t="s">
        <v>197</v>
      </c>
      <c r="F3985">
        <v>1005</v>
      </c>
      <c r="G3985" t="s">
        <v>74</v>
      </c>
      <c r="H3985">
        <v>2005</v>
      </c>
      <c r="I3985" t="s">
        <v>74</v>
      </c>
      <c r="J3985">
        <v>3010</v>
      </c>
      <c r="K3985" t="s">
        <v>1681</v>
      </c>
      <c r="L3985">
        <v>0</v>
      </c>
      <c r="N3985" t="s">
        <v>622</v>
      </c>
      <c r="O3985">
        <v>1</v>
      </c>
      <c r="P3985">
        <v>3498</v>
      </c>
      <c r="Q3985" t="s">
        <v>1683</v>
      </c>
      <c r="R3985" t="s">
        <v>201</v>
      </c>
      <c r="S3985">
        <v>2</v>
      </c>
      <c r="T3985">
        <v>1</v>
      </c>
      <c r="U3985">
        <v>51936</v>
      </c>
      <c r="V3985">
        <v>103872</v>
      </c>
    </row>
    <row r="3986" spans="1:22">
      <c r="A3986" t="s">
        <v>196</v>
      </c>
      <c r="B3986">
        <v>73</v>
      </c>
      <c r="C3986" t="s">
        <v>74</v>
      </c>
      <c r="D3986">
        <v>100</v>
      </c>
      <c r="E3986" t="s">
        <v>197</v>
      </c>
      <c r="F3986">
        <v>1005</v>
      </c>
      <c r="G3986" t="s">
        <v>74</v>
      </c>
      <c r="H3986">
        <v>2005</v>
      </c>
      <c r="I3986" t="s">
        <v>74</v>
      </c>
      <c r="J3986">
        <v>3010</v>
      </c>
      <c r="K3986" t="s">
        <v>1681</v>
      </c>
      <c r="L3986">
        <v>0</v>
      </c>
      <c r="N3986" t="s">
        <v>360</v>
      </c>
      <c r="O3986">
        <v>3</v>
      </c>
      <c r="P3986">
        <v>3497</v>
      </c>
      <c r="Q3986" t="s">
        <v>1684</v>
      </c>
      <c r="R3986" t="s">
        <v>201</v>
      </c>
      <c r="S3986">
        <v>1</v>
      </c>
      <c r="T3986">
        <v>1</v>
      </c>
      <c r="U3986">
        <v>98928</v>
      </c>
      <c r="V3986">
        <v>98928</v>
      </c>
    </row>
    <row r="3987" spans="1:22">
      <c r="A3987" t="s">
        <v>196</v>
      </c>
      <c r="B3987">
        <v>73</v>
      </c>
      <c r="C3987" t="s">
        <v>74</v>
      </c>
      <c r="D3987">
        <v>100</v>
      </c>
      <c r="E3987" t="s">
        <v>197</v>
      </c>
      <c r="F3987">
        <v>1005</v>
      </c>
      <c r="G3987" t="s">
        <v>74</v>
      </c>
      <c r="H3987">
        <v>2005</v>
      </c>
      <c r="I3987" t="s">
        <v>74</v>
      </c>
      <c r="J3987">
        <v>3010</v>
      </c>
      <c r="K3987" t="s">
        <v>1681</v>
      </c>
      <c r="L3987">
        <v>0</v>
      </c>
      <c r="N3987" t="s">
        <v>360</v>
      </c>
      <c r="O3987">
        <v>3</v>
      </c>
      <c r="P3987">
        <v>3497</v>
      </c>
      <c r="Q3987" t="s">
        <v>1684</v>
      </c>
      <c r="R3987" t="s">
        <v>201</v>
      </c>
      <c r="S3987">
        <v>1</v>
      </c>
      <c r="T3987">
        <v>1</v>
      </c>
      <c r="U3987">
        <v>78432</v>
      </c>
      <c r="V3987">
        <v>78432</v>
      </c>
    </row>
    <row r="3988" spans="1:22">
      <c r="A3988" t="s">
        <v>196</v>
      </c>
      <c r="B3988">
        <v>73</v>
      </c>
      <c r="C3988" t="s">
        <v>74</v>
      </c>
      <c r="D3988">
        <v>100</v>
      </c>
      <c r="E3988" t="s">
        <v>197</v>
      </c>
      <c r="F3988">
        <v>1005</v>
      </c>
      <c r="G3988" t="s">
        <v>74</v>
      </c>
      <c r="H3988">
        <v>2005</v>
      </c>
      <c r="I3988" t="s">
        <v>74</v>
      </c>
      <c r="J3988">
        <v>3010</v>
      </c>
      <c r="K3988" t="s">
        <v>1681</v>
      </c>
      <c r="L3988">
        <v>0</v>
      </c>
      <c r="N3988" t="s">
        <v>351</v>
      </c>
      <c r="O3988">
        <v>3</v>
      </c>
      <c r="P3988">
        <v>3492</v>
      </c>
      <c r="Q3988" t="s">
        <v>1685</v>
      </c>
      <c r="R3988" t="s">
        <v>201</v>
      </c>
      <c r="S3988">
        <v>1</v>
      </c>
      <c r="T3988">
        <v>1</v>
      </c>
      <c r="U3988">
        <v>103608</v>
      </c>
      <c r="V3988">
        <v>103608</v>
      </c>
    </row>
    <row r="3989" spans="1:22">
      <c r="A3989" t="s">
        <v>196</v>
      </c>
      <c r="B3989">
        <v>73</v>
      </c>
      <c r="C3989" t="s">
        <v>74</v>
      </c>
      <c r="D3989">
        <v>100</v>
      </c>
      <c r="E3989" t="s">
        <v>197</v>
      </c>
      <c r="F3989">
        <v>1005</v>
      </c>
      <c r="G3989" t="s">
        <v>74</v>
      </c>
      <c r="H3989">
        <v>2005</v>
      </c>
      <c r="I3989" t="s">
        <v>74</v>
      </c>
      <c r="J3989">
        <v>3010</v>
      </c>
      <c r="K3989" t="s">
        <v>1681</v>
      </c>
      <c r="L3989">
        <v>0</v>
      </c>
      <c r="N3989" t="s">
        <v>351</v>
      </c>
      <c r="O3989">
        <v>3</v>
      </c>
      <c r="P3989">
        <v>3492</v>
      </c>
      <c r="Q3989" t="s">
        <v>1685</v>
      </c>
      <c r="R3989" t="s">
        <v>201</v>
      </c>
      <c r="S3989">
        <v>1</v>
      </c>
      <c r="T3989">
        <v>1</v>
      </c>
      <c r="U3989">
        <v>98928</v>
      </c>
      <c r="V3989">
        <v>98928</v>
      </c>
    </row>
    <row r="3990" spans="1:22">
      <c r="A3990" t="s">
        <v>196</v>
      </c>
      <c r="B3990">
        <v>73</v>
      </c>
      <c r="C3990" t="s">
        <v>74</v>
      </c>
      <c r="D3990">
        <v>100</v>
      </c>
      <c r="E3990" t="s">
        <v>197</v>
      </c>
      <c r="F3990">
        <v>1005</v>
      </c>
      <c r="G3990" t="s">
        <v>74</v>
      </c>
      <c r="H3990">
        <v>2005</v>
      </c>
      <c r="I3990" t="s">
        <v>74</v>
      </c>
      <c r="J3990">
        <v>3010</v>
      </c>
      <c r="K3990" t="s">
        <v>1681</v>
      </c>
      <c r="L3990">
        <v>0</v>
      </c>
      <c r="N3990" t="s">
        <v>351</v>
      </c>
      <c r="O3990">
        <v>3</v>
      </c>
      <c r="P3990">
        <v>3492</v>
      </c>
      <c r="Q3990" t="s">
        <v>1685</v>
      </c>
      <c r="R3990" t="s">
        <v>201</v>
      </c>
      <c r="S3990">
        <v>1</v>
      </c>
      <c r="T3990">
        <v>1</v>
      </c>
      <c r="U3990">
        <v>90144</v>
      </c>
      <c r="V3990">
        <v>90144</v>
      </c>
    </row>
    <row r="3991" spans="1:22">
      <c r="A3991" t="s">
        <v>196</v>
      </c>
      <c r="B3991">
        <v>73</v>
      </c>
      <c r="C3991" t="s">
        <v>74</v>
      </c>
      <c r="D3991">
        <v>100</v>
      </c>
      <c r="E3991" t="s">
        <v>197</v>
      </c>
      <c r="F3991">
        <v>1005</v>
      </c>
      <c r="G3991" t="s">
        <v>74</v>
      </c>
      <c r="H3991">
        <v>2005</v>
      </c>
      <c r="I3991" t="s">
        <v>74</v>
      </c>
      <c r="J3991">
        <v>3010</v>
      </c>
      <c r="K3991" t="s">
        <v>1681</v>
      </c>
      <c r="L3991">
        <v>0</v>
      </c>
      <c r="N3991" t="s">
        <v>351</v>
      </c>
      <c r="O3991">
        <v>3</v>
      </c>
      <c r="P3991">
        <v>3492</v>
      </c>
      <c r="Q3991" t="s">
        <v>1685</v>
      </c>
      <c r="R3991" t="s">
        <v>201</v>
      </c>
      <c r="S3991">
        <v>3</v>
      </c>
      <c r="T3991">
        <v>1</v>
      </c>
      <c r="U3991">
        <v>62544</v>
      </c>
      <c r="V3991">
        <v>187632</v>
      </c>
    </row>
    <row r="3992" spans="1:22">
      <c r="A3992" t="s">
        <v>196</v>
      </c>
      <c r="B3992">
        <v>73</v>
      </c>
      <c r="C3992" t="s">
        <v>74</v>
      </c>
      <c r="D3992">
        <v>100</v>
      </c>
      <c r="E3992" t="s">
        <v>197</v>
      </c>
      <c r="F3992">
        <v>1005</v>
      </c>
      <c r="G3992" t="s">
        <v>74</v>
      </c>
      <c r="H3992">
        <v>2005</v>
      </c>
      <c r="I3992" t="s">
        <v>74</v>
      </c>
      <c r="J3992">
        <v>3010</v>
      </c>
      <c r="K3992" t="s">
        <v>1681</v>
      </c>
      <c r="L3992">
        <v>0</v>
      </c>
      <c r="N3992" t="s">
        <v>372</v>
      </c>
      <c r="O3992">
        <v>1</v>
      </c>
      <c r="P3992">
        <v>3489</v>
      </c>
      <c r="Q3992" t="s">
        <v>1686</v>
      </c>
      <c r="R3992" t="s">
        <v>201</v>
      </c>
      <c r="S3992">
        <v>1</v>
      </c>
      <c r="T3992">
        <v>1</v>
      </c>
      <c r="U3992">
        <v>98928</v>
      </c>
      <c r="V3992">
        <v>98928</v>
      </c>
    </row>
    <row r="3993" spans="1:22">
      <c r="A3993" t="s">
        <v>196</v>
      </c>
      <c r="B3993">
        <v>73</v>
      </c>
      <c r="C3993" t="s">
        <v>74</v>
      </c>
      <c r="D3993">
        <v>100</v>
      </c>
      <c r="E3993" t="s">
        <v>197</v>
      </c>
      <c r="F3993">
        <v>1005</v>
      </c>
      <c r="G3993" t="s">
        <v>74</v>
      </c>
      <c r="H3993">
        <v>2005</v>
      </c>
      <c r="I3993" t="s">
        <v>74</v>
      </c>
      <c r="J3993">
        <v>3010</v>
      </c>
      <c r="K3993" t="s">
        <v>1681</v>
      </c>
      <c r="L3993">
        <v>0</v>
      </c>
      <c r="N3993" t="s">
        <v>360</v>
      </c>
      <c r="O3993">
        <v>3</v>
      </c>
      <c r="P3993">
        <v>3488</v>
      </c>
      <c r="Q3993" t="s">
        <v>1687</v>
      </c>
      <c r="R3993" t="s">
        <v>201</v>
      </c>
      <c r="S3993">
        <v>1</v>
      </c>
      <c r="T3993">
        <v>1</v>
      </c>
      <c r="U3993">
        <v>61548</v>
      </c>
      <c r="V3993">
        <v>61548</v>
      </c>
    </row>
    <row r="3994" spans="1:22">
      <c r="A3994" t="s">
        <v>196</v>
      </c>
      <c r="B3994">
        <v>73</v>
      </c>
      <c r="C3994" t="s">
        <v>74</v>
      </c>
      <c r="D3994">
        <v>100</v>
      </c>
      <c r="E3994" t="s">
        <v>197</v>
      </c>
      <c r="F3994">
        <v>1005</v>
      </c>
      <c r="G3994" t="s">
        <v>74</v>
      </c>
      <c r="H3994">
        <v>2005</v>
      </c>
      <c r="I3994" t="s">
        <v>74</v>
      </c>
      <c r="J3994">
        <v>3010</v>
      </c>
      <c r="K3994" t="s">
        <v>1681</v>
      </c>
      <c r="L3994">
        <v>0</v>
      </c>
      <c r="N3994" t="s">
        <v>360</v>
      </c>
      <c r="O3994">
        <v>3</v>
      </c>
      <c r="P3994">
        <v>3488</v>
      </c>
      <c r="Q3994" t="s">
        <v>1687</v>
      </c>
      <c r="R3994" t="s">
        <v>201</v>
      </c>
      <c r="S3994">
        <v>1</v>
      </c>
      <c r="T3994">
        <v>1</v>
      </c>
      <c r="U3994">
        <v>57000</v>
      </c>
      <c r="V3994">
        <v>57000</v>
      </c>
    </row>
    <row r="3995" spans="1:22">
      <c r="A3995" t="s">
        <v>196</v>
      </c>
      <c r="B3995">
        <v>73</v>
      </c>
      <c r="C3995" t="s">
        <v>74</v>
      </c>
      <c r="D3995">
        <v>100</v>
      </c>
      <c r="E3995" t="s">
        <v>197</v>
      </c>
      <c r="F3995">
        <v>1005</v>
      </c>
      <c r="G3995" t="s">
        <v>74</v>
      </c>
      <c r="H3995">
        <v>2005</v>
      </c>
      <c r="I3995" t="s">
        <v>74</v>
      </c>
      <c r="J3995">
        <v>3010</v>
      </c>
      <c r="K3995" t="s">
        <v>1681</v>
      </c>
      <c r="L3995">
        <v>0</v>
      </c>
      <c r="N3995" t="s">
        <v>372</v>
      </c>
      <c r="O3995">
        <v>3</v>
      </c>
      <c r="P3995">
        <v>3487</v>
      </c>
      <c r="Q3995" t="s">
        <v>1688</v>
      </c>
      <c r="R3995" t="s">
        <v>201</v>
      </c>
      <c r="S3995">
        <v>1</v>
      </c>
      <c r="T3995">
        <v>1</v>
      </c>
      <c r="U3995">
        <v>130668</v>
      </c>
      <c r="V3995">
        <v>130668</v>
      </c>
    </row>
    <row r="3996" spans="1:22">
      <c r="A3996" t="s">
        <v>196</v>
      </c>
      <c r="B3996">
        <v>73</v>
      </c>
      <c r="C3996" t="s">
        <v>74</v>
      </c>
      <c r="D3996">
        <v>100</v>
      </c>
      <c r="E3996" t="s">
        <v>197</v>
      </c>
      <c r="F3996">
        <v>1005</v>
      </c>
      <c r="G3996" t="s">
        <v>74</v>
      </c>
      <c r="H3996">
        <v>2005</v>
      </c>
      <c r="I3996" t="s">
        <v>74</v>
      </c>
      <c r="J3996">
        <v>3010</v>
      </c>
      <c r="K3996" t="s">
        <v>1681</v>
      </c>
      <c r="L3996">
        <v>0</v>
      </c>
      <c r="N3996" t="s">
        <v>372</v>
      </c>
      <c r="O3996">
        <v>3</v>
      </c>
      <c r="P3996">
        <v>3487</v>
      </c>
      <c r="Q3996" t="s">
        <v>1688</v>
      </c>
      <c r="R3996" t="s">
        <v>201</v>
      </c>
      <c r="S3996">
        <v>1</v>
      </c>
      <c r="T3996">
        <v>1</v>
      </c>
      <c r="U3996">
        <v>124848</v>
      </c>
      <c r="V3996">
        <v>124848</v>
      </c>
    </row>
    <row r="3997" spans="1:22">
      <c r="A3997" t="s">
        <v>196</v>
      </c>
      <c r="B3997">
        <v>73</v>
      </c>
      <c r="C3997" t="s">
        <v>74</v>
      </c>
      <c r="D3997">
        <v>100</v>
      </c>
      <c r="E3997" t="s">
        <v>197</v>
      </c>
      <c r="F3997">
        <v>1005</v>
      </c>
      <c r="G3997" t="s">
        <v>74</v>
      </c>
      <c r="H3997">
        <v>2005</v>
      </c>
      <c r="I3997" t="s">
        <v>74</v>
      </c>
      <c r="J3997">
        <v>3010</v>
      </c>
      <c r="K3997" t="s">
        <v>1681</v>
      </c>
      <c r="L3997">
        <v>0</v>
      </c>
      <c r="N3997" t="s">
        <v>372</v>
      </c>
      <c r="O3997">
        <v>3</v>
      </c>
      <c r="P3997">
        <v>3487</v>
      </c>
      <c r="Q3997" t="s">
        <v>1688</v>
      </c>
      <c r="R3997" t="s">
        <v>201</v>
      </c>
      <c r="S3997">
        <v>1</v>
      </c>
      <c r="T3997">
        <v>1</v>
      </c>
      <c r="U3997">
        <v>108576</v>
      </c>
      <c r="V3997">
        <v>108576</v>
      </c>
    </row>
    <row r="3998" spans="1:22">
      <c r="A3998" t="s">
        <v>196</v>
      </c>
      <c r="B3998">
        <v>73</v>
      </c>
      <c r="C3998" t="s">
        <v>74</v>
      </c>
      <c r="D3998">
        <v>100</v>
      </c>
      <c r="E3998" t="s">
        <v>197</v>
      </c>
      <c r="F3998">
        <v>1005</v>
      </c>
      <c r="G3998" t="s">
        <v>74</v>
      </c>
      <c r="H3998">
        <v>2005</v>
      </c>
      <c r="I3998" t="s">
        <v>74</v>
      </c>
      <c r="J3998">
        <v>3010</v>
      </c>
      <c r="K3998" t="s">
        <v>1681</v>
      </c>
      <c r="L3998">
        <v>0</v>
      </c>
      <c r="N3998" t="s">
        <v>253</v>
      </c>
      <c r="O3998">
        <v>10</v>
      </c>
      <c r="P3998">
        <v>3485</v>
      </c>
      <c r="Q3998" t="s">
        <v>1689</v>
      </c>
      <c r="R3998" t="s">
        <v>201</v>
      </c>
      <c r="S3998">
        <v>1</v>
      </c>
      <c r="T3998">
        <v>1</v>
      </c>
      <c r="U3998">
        <v>113568</v>
      </c>
      <c r="V3998">
        <v>113568</v>
      </c>
    </row>
    <row r="3999" spans="1:22">
      <c r="A3999" t="s">
        <v>196</v>
      </c>
      <c r="B3999">
        <v>73</v>
      </c>
      <c r="C3999" t="s">
        <v>74</v>
      </c>
      <c r="D3999">
        <v>100</v>
      </c>
      <c r="E3999" t="s">
        <v>197</v>
      </c>
      <c r="F3999">
        <v>1005</v>
      </c>
      <c r="G3999" t="s">
        <v>74</v>
      </c>
      <c r="H3999">
        <v>2005</v>
      </c>
      <c r="I3999" t="s">
        <v>74</v>
      </c>
      <c r="J3999">
        <v>3010</v>
      </c>
      <c r="K3999" t="s">
        <v>1681</v>
      </c>
      <c r="L3999">
        <v>0</v>
      </c>
      <c r="N3999" t="s">
        <v>247</v>
      </c>
      <c r="O3999">
        <v>10</v>
      </c>
      <c r="P3999">
        <v>3484</v>
      </c>
      <c r="Q3999" t="s">
        <v>1690</v>
      </c>
      <c r="R3999" t="s">
        <v>201</v>
      </c>
      <c r="S3999">
        <v>1</v>
      </c>
      <c r="T3999">
        <v>1</v>
      </c>
      <c r="U3999">
        <v>73728</v>
      </c>
      <c r="V3999">
        <v>73728</v>
      </c>
    </row>
    <row r="4000" spans="1:22">
      <c r="A4000" t="s">
        <v>196</v>
      </c>
      <c r="B4000">
        <v>73</v>
      </c>
      <c r="C4000" t="s">
        <v>74</v>
      </c>
      <c r="D4000">
        <v>100</v>
      </c>
      <c r="E4000" t="s">
        <v>197</v>
      </c>
      <c r="F4000">
        <v>1005</v>
      </c>
      <c r="G4000" t="s">
        <v>74</v>
      </c>
      <c r="H4000">
        <v>2005</v>
      </c>
      <c r="I4000" t="s">
        <v>74</v>
      </c>
      <c r="J4000">
        <v>3010</v>
      </c>
      <c r="K4000" t="s">
        <v>1681</v>
      </c>
      <c r="L4000">
        <v>0</v>
      </c>
      <c r="N4000" t="s">
        <v>247</v>
      </c>
      <c r="O4000">
        <v>10</v>
      </c>
      <c r="P4000">
        <v>3484</v>
      </c>
      <c r="Q4000" t="s">
        <v>1690</v>
      </c>
      <c r="R4000" t="s">
        <v>201</v>
      </c>
      <c r="S4000">
        <v>1</v>
      </c>
      <c r="T4000">
        <v>1</v>
      </c>
      <c r="U4000">
        <v>63504</v>
      </c>
      <c r="V4000">
        <v>63504</v>
      </c>
    </row>
    <row r="4001" spans="1:22">
      <c r="A4001" t="s">
        <v>196</v>
      </c>
      <c r="B4001">
        <v>73</v>
      </c>
      <c r="C4001" t="s">
        <v>74</v>
      </c>
      <c r="D4001">
        <v>100</v>
      </c>
      <c r="E4001" t="s">
        <v>197</v>
      </c>
      <c r="F4001">
        <v>1005</v>
      </c>
      <c r="G4001" t="s">
        <v>74</v>
      </c>
      <c r="H4001">
        <v>2005</v>
      </c>
      <c r="I4001" t="s">
        <v>74</v>
      </c>
      <c r="J4001">
        <v>3010</v>
      </c>
      <c r="K4001" t="s">
        <v>1681</v>
      </c>
      <c r="L4001">
        <v>0</v>
      </c>
      <c r="N4001" t="s">
        <v>247</v>
      </c>
      <c r="O4001">
        <v>10</v>
      </c>
      <c r="P4001">
        <v>3484</v>
      </c>
      <c r="Q4001" t="s">
        <v>1690</v>
      </c>
      <c r="R4001" t="s">
        <v>201</v>
      </c>
      <c r="S4001">
        <v>1</v>
      </c>
      <c r="T4001">
        <v>1</v>
      </c>
      <c r="U4001">
        <v>60660</v>
      </c>
      <c r="V4001">
        <v>60660</v>
      </c>
    </row>
    <row r="4002" spans="1:22">
      <c r="A4002" t="s">
        <v>196</v>
      </c>
      <c r="B4002">
        <v>73</v>
      </c>
      <c r="C4002" t="s">
        <v>74</v>
      </c>
      <c r="D4002">
        <v>100</v>
      </c>
      <c r="E4002" t="s">
        <v>197</v>
      </c>
      <c r="F4002">
        <v>1005</v>
      </c>
      <c r="G4002" t="s">
        <v>74</v>
      </c>
      <c r="H4002">
        <v>2005</v>
      </c>
      <c r="I4002" t="s">
        <v>74</v>
      </c>
      <c r="J4002">
        <v>3010</v>
      </c>
      <c r="K4002" t="s">
        <v>1681</v>
      </c>
      <c r="L4002">
        <v>0</v>
      </c>
      <c r="N4002" t="s">
        <v>622</v>
      </c>
      <c r="O4002">
        <v>1</v>
      </c>
      <c r="P4002">
        <v>3483</v>
      </c>
      <c r="Q4002" t="s">
        <v>1691</v>
      </c>
      <c r="R4002" t="s">
        <v>713</v>
      </c>
      <c r="S4002">
        <v>11440</v>
      </c>
      <c r="T4002">
        <v>0</v>
      </c>
      <c r="U4002">
        <v>27.72</v>
      </c>
      <c r="V4002">
        <v>317117</v>
      </c>
    </row>
    <row r="4003" spans="1:22">
      <c r="A4003" t="s">
        <v>196</v>
      </c>
      <c r="B4003">
        <v>73</v>
      </c>
      <c r="C4003" t="s">
        <v>74</v>
      </c>
      <c r="D4003">
        <v>100</v>
      </c>
      <c r="E4003" t="s">
        <v>197</v>
      </c>
      <c r="F4003">
        <v>1005</v>
      </c>
      <c r="G4003" t="s">
        <v>74</v>
      </c>
      <c r="H4003">
        <v>2005</v>
      </c>
      <c r="I4003" t="s">
        <v>74</v>
      </c>
      <c r="J4003">
        <v>3010</v>
      </c>
      <c r="K4003" t="s">
        <v>1681</v>
      </c>
      <c r="L4003">
        <v>0</v>
      </c>
      <c r="N4003" t="s">
        <v>386</v>
      </c>
      <c r="O4003">
        <v>4</v>
      </c>
      <c r="P4003">
        <v>3310</v>
      </c>
      <c r="Q4003" t="s">
        <v>1692</v>
      </c>
      <c r="R4003" t="s">
        <v>201</v>
      </c>
      <c r="S4003">
        <v>2</v>
      </c>
      <c r="T4003">
        <v>1</v>
      </c>
      <c r="U4003">
        <v>164808</v>
      </c>
      <c r="V4003">
        <v>329616</v>
      </c>
    </row>
    <row r="4004" spans="1:22">
      <c r="A4004" t="s">
        <v>196</v>
      </c>
      <c r="B4004">
        <v>73</v>
      </c>
      <c r="C4004" t="s">
        <v>74</v>
      </c>
      <c r="D4004">
        <v>100</v>
      </c>
      <c r="E4004" t="s">
        <v>197</v>
      </c>
      <c r="F4004">
        <v>1005</v>
      </c>
      <c r="G4004" t="s">
        <v>74</v>
      </c>
      <c r="H4004">
        <v>2005</v>
      </c>
      <c r="I4004" t="s">
        <v>74</v>
      </c>
      <c r="J4004">
        <v>3010</v>
      </c>
      <c r="K4004" t="s">
        <v>1681</v>
      </c>
      <c r="L4004">
        <v>0</v>
      </c>
      <c r="N4004" t="s">
        <v>386</v>
      </c>
      <c r="O4004">
        <v>4</v>
      </c>
      <c r="P4004">
        <v>3310</v>
      </c>
      <c r="Q4004" t="s">
        <v>1692</v>
      </c>
      <c r="R4004" t="s">
        <v>201</v>
      </c>
      <c r="S4004">
        <v>1</v>
      </c>
      <c r="T4004">
        <v>1</v>
      </c>
      <c r="U4004">
        <v>140148</v>
      </c>
      <c r="V4004">
        <v>140148</v>
      </c>
    </row>
    <row r="4005" spans="1:22">
      <c r="A4005" t="s">
        <v>196</v>
      </c>
      <c r="B4005">
        <v>73</v>
      </c>
      <c r="C4005" t="s">
        <v>74</v>
      </c>
      <c r="D4005">
        <v>100</v>
      </c>
      <c r="E4005" t="s">
        <v>197</v>
      </c>
      <c r="F4005">
        <v>1005</v>
      </c>
      <c r="G4005" t="s">
        <v>74</v>
      </c>
      <c r="H4005">
        <v>2005</v>
      </c>
      <c r="I4005" t="s">
        <v>74</v>
      </c>
      <c r="J4005">
        <v>3010</v>
      </c>
      <c r="K4005" t="s">
        <v>1681</v>
      </c>
      <c r="L4005">
        <v>0</v>
      </c>
      <c r="N4005" t="s">
        <v>199</v>
      </c>
      <c r="O4005">
        <v>0</v>
      </c>
      <c r="P4005">
        <v>15</v>
      </c>
      <c r="Q4005" t="s">
        <v>264</v>
      </c>
      <c r="R4005" t="s">
        <v>201</v>
      </c>
      <c r="S4005">
        <v>0</v>
      </c>
      <c r="T4005">
        <v>0</v>
      </c>
      <c r="U4005">
        <v>21327</v>
      </c>
      <c r="V4005">
        <v>21327</v>
      </c>
    </row>
    <row r="4006" spans="1:22">
      <c r="A4006" t="s">
        <v>196</v>
      </c>
      <c r="B4006">
        <v>73</v>
      </c>
      <c r="C4006" t="s">
        <v>74</v>
      </c>
      <c r="D4006">
        <v>100</v>
      </c>
      <c r="E4006" t="s">
        <v>197</v>
      </c>
      <c r="F4006">
        <v>1005</v>
      </c>
      <c r="G4006" t="s">
        <v>74</v>
      </c>
      <c r="H4006">
        <v>2005</v>
      </c>
      <c r="I4006" t="s">
        <v>74</v>
      </c>
      <c r="J4006">
        <v>3015</v>
      </c>
      <c r="K4006" t="s">
        <v>1693</v>
      </c>
      <c r="L4006">
        <v>0</v>
      </c>
      <c r="N4006" t="s">
        <v>1351</v>
      </c>
      <c r="O4006">
        <v>2</v>
      </c>
      <c r="P4006">
        <v>3491</v>
      </c>
      <c r="Q4006" t="s">
        <v>1694</v>
      </c>
      <c r="R4006" t="s">
        <v>201</v>
      </c>
      <c r="S4006">
        <v>1</v>
      </c>
      <c r="T4006">
        <v>1</v>
      </c>
      <c r="U4006">
        <v>86016</v>
      </c>
      <c r="V4006">
        <v>86016</v>
      </c>
    </row>
    <row r="4007" spans="1:22">
      <c r="A4007" t="s">
        <v>196</v>
      </c>
      <c r="B4007">
        <v>73</v>
      </c>
      <c r="C4007" t="s">
        <v>74</v>
      </c>
      <c r="D4007">
        <v>100</v>
      </c>
      <c r="E4007" t="s">
        <v>197</v>
      </c>
      <c r="F4007">
        <v>1005</v>
      </c>
      <c r="G4007" t="s">
        <v>74</v>
      </c>
      <c r="H4007">
        <v>2005</v>
      </c>
      <c r="I4007" t="s">
        <v>74</v>
      </c>
      <c r="J4007">
        <v>3015</v>
      </c>
      <c r="K4007" t="s">
        <v>1693</v>
      </c>
      <c r="L4007">
        <v>0</v>
      </c>
      <c r="N4007" t="s">
        <v>1351</v>
      </c>
      <c r="O4007">
        <v>2</v>
      </c>
      <c r="P4007">
        <v>3491</v>
      </c>
      <c r="Q4007" t="s">
        <v>1694</v>
      </c>
      <c r="R4007" t="s">
        <v>201</v>
      </c>
      <c r="S4007">
        <v>1</v>
      </c>
      <c r="T4007">
        <v>1</v>
      </c>
      <c r="U4007">
        <v>78384</v>
      </c>
      <c r="V4007">
        <v>78384</v>
      </c>
    </row>
    <row r="4008" spans="1:22">
      <c r="A4008" t="s">
        <v>196</v>
      </c>
      <c r="B4008">
        <v>73</v>
      </c>
      <c r="C4008" t="s">
        <v>74</v>
      </c>
      <c r="D4008">
        <v>100</v>
      </c>
      <c r="E4008" t="s">
        <v>197</v>
      </c>
      <c r="F4008">
        <v>1005</v>
      </c>
      <c r="G4008" t="s">
        <v>74</v>
      </c>
      <c r="H4008">
        <v>2005</v>
      </c>
      <c r="I4008" t="s">
        <v>74</v>
      </c>
      <c r="J4008">
        <v>3015</v>
      </c>
      <c r="K4008" t="s">
        <v>1693</v>
      </c>
      <c r="L4008">
        <v>0</v>
      </c>
      <c r="N4008" t="s">
        <v>1351</v>
      </c>
      <c r="O4008">
        <v>2</v>
      </c>
      <c r="P4008">
        <v>3491</v>
      </c>
      <c r="Q4008" t="s">
        <v>1694</v>
      </c>
      <c r="R4008" t="s">
        <v>201</v>
      </c>
      <c r="S4008">
        <v>1</v>
      </c>
      <c r="T4008">
        <v>1</v>
      </c>
      <c r="U4008">
        <v>65064</v>
      </c>
      <c r="V4008">
        <v>65064</v>
      </c>
    </row>
    <row r="4009" spans="1:22">
      <c r="A4009" t="s">
        <v>196</v>
      </c>
      <c r="B4009">
        <v>73</v>
      </c>
      <c r="C4009" t="s">
        <v>74</v>
      </c>
      <c r="D4009">
        <v>100</v>
      </c>
      <c r="E4009" t="s">
        <v>197</v>
      </c>
      <c r="F4009">
        <v>1005</v>
      </c>
      <c r="G4009" t="s">
        <v>74</v>
      </c>
      <c r="H4009">
        <v>2005</v>
      </c>
      <c r="I4009" t="s">
        <v>74</v>
      </c>
      <c r="J4009">
        <v>3015</v>
      </c>
      <c r="K4009" t="s">
        <v>1693</v>
      </c>
      <c r="L4009">
        <v>0</v>
      </c>
      <c r="N4009" t="s">
        <v>1351</v>
      </c>
      <c r="O4009">
        <v>2</v>
      </c>
      <c r="P4009">
        <v>3491</v>
      </c>
      <c r="Q4009" t="s">
        <v>1694</v>
      </c>
      <c r="R4009" t="s">
        <v>201</v>
      </c>
      <c r="S4009">
        <v>1</v>
      </c>
      <c r="T4009">
        <v>1</v>
      </c>
      <c r="U4009">
        <v>48588</v>
      </c>
      <c r="V4009">
        <v>48588</v>
      </c>
    </row>
    <row r="4010" spans="1:22">
      <c r="A4010" t="s">
        <v>196</v>
      </c>
      <c r="B4010">
        <v>73</v>
      </c>
      <c r="C4010" t="s">
        <v>74</v>
      </c>
      <c r="D4010">
        <v>100</v>
      </c>
      <c r="E4010" t="s">
        <v>197</v>
      </c>
      <c r="F4010">
        <v>1005</v>
      </c>
      <c r="G4010" t="s">
        <v>74</v>
      </c>
      <c r="H4010">
        <v>2005</v>
      </c>
      <c r="I4010" t="s">
        <v>74</v>
      </c>
      <c r="J4010">
        <v>3015</v>
      </c>
      <c r="K4010" t="s">
        <v>1693</v>
      </c>
      <c r="L4010">
        <v>0</v>
      </c>
      <c r="N4010" t="s">
        <v>199</v>
      </c>
      <c r="O4010">
        <v>0</v>
      </c>
      <c r="P4010">
        <v>15</v>
      </c>
      <c r="Q4010" t="s">
        <v>264</v>
      </c>
      <c r="R4010" t="s">
        <v>201</v>
      </c>
      <c r="S4010">
        <v>0</v>
      </c>
      <c r="T4010">
        <v>0</v>
      </c>
      <c r="U4010">
        <v>1188</v>
      </c>
      <c r="V4010">
        <v>1188</v>
      </c>
    </row>
    <row r="4011" spans="1:22">
      <c r="A4011" t="s">
        <v>196</v>
      </c>
      <c r="B4011">
        <v>77</v>
      </c>
      <c r="C4011" t="s">
        <v>171</v>
      </c>
      <c r="D4011">
        <v>100</v>
      </c>
      <c r="E4011" t="s">
        <v>197</v>
      </c>
      <c r="F4011">
        <v>1005</v>
      </c>
      <c r="G4011" t="s">
        <v>171</v>
      </c>
      <c r="H4011">
        <v>2005</v>
      </c>
      <c r="I4011" t="s">
        <v>171</v>
      </c>
      <c r="J4011">
        <v>3005</v>
      </c>
      <c r="K4011" t="s">
        <v>1695</v>
      </c>
      <c r="L4011">
        <v>0</v>
      </c>
      <c r="N4011" t="s">
        <v>341</v>
      </c>
      <c r="O4011">
        <v>1</v>
      </c>
      <c r="P4011">
        <v>308</v>
      </c>
      <c r="Q4011" t="s">
        <v>355</v>
      </c>
      <c r="R4011" t="s">
        <v>201</v>
      </c>
      <c r="S4011">
        <v>1</v>
      </c>
      <c r="T4011">
        <v>1</v>
      </c>
      <c r="U4011">
        <v>119100</v>
      </c>
      <c r="V4011">
        <v>119100</v>
      </c>
    </row>
    <row r="4012" spans="1:22">
      <c r="A4012" t="s">
        <v>196</v>
      </c>
      <c r="B4012">
        <v>78</v>
      </c>
      <c r="C4012" t="s">
        <v>129</v>
      </c>
      <c r="D4012">
        <v>100</v>
      </c>
      <c r="E4012" t="s">
        <v>197</v>
      </c>
      <c r="F4012">
        <v>1005</v>
      </c>
      <c r="G4012" t="s">
        <v>129</v>
      </c>
      <c r="H4012">
        <v>2005</v>
      </c>
      <c r="I4012" t="s">
        <v>129</v>
      </c>
      <c r="J4012">
        <v>3005</v>
      </c>
      <c r="K4012" t="s">
        <v>309</v>
      </c>
      <c r="L4012">
        <v>0</v>
      </c>
      <c r="N4012" t="s">
        <v>199</v>
      </c>
      <c r="O4012">
        <v>9</v>
      </c>
      <c r="P4012">
        <v>9978</v>
      </c>
      <c r="Q4012" t="s">
        <v>1696</v>
      </c>
      <c r="R4012" t="s">
        <v>201</v>
      </c>
      <c r="S4012">
        <v>1</v>
      </c>
      <c r="T4012">
        <v>1</v>
      </c>
      <c r="U4012">
        <v>165144</v>
      </c>
      <c r="V4012">
        <v>165144</v>
      </c>
    </row>
    <row r="4013" spans="1:22">
      <c r="A4013" t="s">
        <v>196</v>
      </c>
      <c r="B4013">
        <v>78</v>
      </c>
      <c r="C4013" t="s">
        <v>129</v>
      </c>
      <c r="D4013">
        <v>100</v>
      </c>
      <c r="E4013" t="s">
        <v>197</v>
      </c>
      <c r="F4013">
        <v>1005</v>
      </c>
      <c r="G4013" t="s">
        <v>129</v>
      </c>
      <c r="H4013">
        <v>2005</v>
      </c>
      <c r="I4013" t="s">
        <v>129</v>
      </c>
      <c r="J4013">
        <v>3005</v>
      </c>
      <c r="K4013" t="s">
        <v>309</v>
      </c>
      <c r="L4013">
        <v>0</v>
      </c>
      <c r="N4013" t="s">
        <v>297</v>
      </c>
      <c r="O4013">
        <v>20</v>
      </c>
      <c r="P4013">
        <v>9718</v>
      </c>
      <c r="Q4013" t="s">
        <v>1697</v>
      </c>
      <c r="R4013" t="s">
        <v>201</v>
      </c>
      <c r="S4013">
        <v>1</v>
      </c>
      <c r="T4013">
        <v>1</v>
      </c>
      <c r="U4013">
        <v>97332</v>
      </c>
      <c r="V4013">
        <v>97332</v>
      </c>
    </row>
    <row r="4014" spans="1:22">
      <c r="A4014" t="s">
        <v>196</v>
      </c>
      <c r="B4014">
        <v>78</v>
      </c>
      <c r="C4014" t="s">
        <v>129</v>
      </c>
      <c r="D4014">
        <v>100</v>
      </c>
      <c r="E4014" t="s">
        <v>197</v>
      </c>
      <c r="F4014">
        <v>1005</v>
      </c>
      <c r="G4014" t="s">
        <v>129</v>
      </c>
      <c r="H4014">
        <v>2005</v>
      </c>
      <c r="I4014" t="s">
        <v>129</v>
      </c>
      <c r="J4014">
        <v>3005</v>
      </c>
      <c r="K4014" t="s">
        <v>309</v>
      </c>
      <c r="L4014">
        <v>0</v>
      </c>
      <c r="N4014" t="s">
        <v>616</v>
      </c>
      <c r="O4014">
        <v>9</v>
      </c>
      <c r="P4014">
        <v>9674</v>
      </c>
      <c r="Q4014" t="s">
        <v>327</v>
      </c>
      <c r="R4014" t="s">
        <v>201</v>
      </c>
      <c r="S4014">
        <v>1</v>
      </c>
      <c r="T4014">
        <v>1</v>
      </c>
      <c r="U4014">
        <v>126396</v>
      </c>
      <c r="V4014">
        <v>126396</v>
      </c>
    </row>
    <row r="4015" spans="1:22">
      <c r="A4015" t="s">
        <v>196</v>
      </c>
      <c r="B4015">
        <v>78</v>
      </c>
      <c r="C4015" t="s">
        <v>129</v>
      </c>
      <c r="D4015">
        <v>100</v>
      </c>
      <c r="E4015" t="s">
        <v>197</v>
      </c>
      <c r="F4015">
        <v>1005</v>
      </c>
      <c r="G4015" t="s">
        <v>129</v>
      </c>
      <c r="H4015">
        <v>2005</v>
      </c>
      <c r="I4015" t="s">
        <v>129</v>
      </c>
      <c r="J4015">
        <v>3005</v>
      </c>
      <c r="K4015" t="s">
        <v>309</v>
      </c>
      <c r="L4015">
        <v>0</v>
      </c>
      <c r="N4015" t="s">
        <v>249</v>
      </c>
      <c r="O4015">
        <v>10</v>
      </c>
      <c r="P4015">
        <v>3092</v>
      </c>
      <c r="Q4015" t="s">
        <v>750</v>
      </c>
      <c r="R4015" t="s">
        <v>201</v>
      </c>
      <c r="S4015">
        <v>1</v>
      </c>
      <c r="T4015">
        <v>1</v>
      </c>
      <c r="U4015">
        <v>143232</v>
      </c>
      <c r="V4015">
        <v>143232</v>
      </c>
    </row>
    <row r="4016" spans="1:22">
      <c r="A4016" t="s">
        <v>196</v>
      </c>
      <c r="B4016">
        <v>78</v>
      </c>
      <c r="C4016" t="s">
        <v>129</v>
      </c>
      <c r="D4016">
        <v>100</v>
      </c>
      <c r="E4016" t="s">
        <v>197</v>
      </c>
      <c r="F4016">
        <v>1005</v>
      </c>
      <c r="G4016" t="s">
        <v>129</v>
      </c>
      <c r="H4016">
        <v>2005</v>
      </c>
      <c r="I4016" t="s">
        <v>129</v>
      </c>
      <c r="J4016">
        <v>3005</v>
      </c>
      <c r="K4016" t="s">
        <v>309</v>
      </c>
      <c r="L4016">
        <v>0</v>
      </c>
      <c r="N4016" t="s">
        <v>253</v>
      </c>
      <c r="O4016">
        <v>10</v>
      </c>
      <c r="P4016">
        <v>1659</v>
      </c>
      <c r="Q4016" t="s">
        <v>1698</v>
      </c>
      <c r="R4016" t="s">
        <v>201</v>
      </c>
      <c r="S4016">
        <v>1</v>
      </c>
      <c r="T4016">
        <v>1</v>
      </c>
      <c r="U4016">
        <v>83052</v>
      </c>
      <c r="V4016">
        <v>83052</v>
      </c>
    </row>
    <row r="4017" spans="1:22">
      <c r="A4017" t="s">
        <v>196</v>
      </c>
      <c r="B4017">
        <v>78</v>
      </c>
      <c r="C4017" t="s">
        <v>129</v>
      </c>
      <c r="D4017">
        <v>100</v>
      </c>
      <c r="E4017" t="s">
        <v>197</v>
      </c>
      <c r="F4017">
        <v>1005</v>
      </c>
      <c r="G4017" t="s">
        <v>129</v>
      </c>
      <c r="H4017">
        <v>2005</v>
      </c>
      <c r="I4017" t="s">
        <v>129</v>
      </c>
      <c r="J4017">
        <v>3005</v>
      </c>
      <c r="K4017" t="s">
        <v>309</v>
      </c>
      <c r="L4017">
        <v>0</v>
      </c>
      <c r="N4017" t="s">
        <v>251</v>
      </c>
      <c r="O4017">
        <v>10</v>
      </c>
      <c r="P4017">
        <v>802</v>
      </c>
      <c r="Q4017" t="s">
        <v>252</v>
      </c>
      <c r="R4017" t="s">
        <v>201</v>
      </c>
      <c r="S4017">
        <v>1</v>
      </c>
      <c r="T4017">
        <v>1</v>
      </c>
      <c r="U4017">
        <v>108432</v>
      </c>
      <c r="V4017">
        <v>108432</v>
      </c>
    </row>
    <row r="4018" spans="1:22">
      <c r="A4018" t="s">
        <v>196</v>
      </c>
      <c r="B4018">
        <v>78</v>
      </c>
      <c r="C4018" t="s">
        <v>129</v>
      </c>
      <c r="D4018">
        <v>100</v>
      </c>
      <c r="E4018" t="s">
        <v>197</v>
      </c>
      <c r="F4018">
        <v>1005</v>
      </c>
      <c r="G4018" t="s">
        <v>129</v>
      </c>
      <c r="H4018">
        <v>2005</v>
      </c>
      <c r="I4018" t="s">
        <v>129</v>
      </c>
      <c r="J4018">
        <v>3005</v>
      </c>
      <c r="K4018" t="s">
        <v>309</v>
      </c>
      <c r="L4018">
        <v>0</v>
      </c>
      <c r="N4018" t="s">
        <v>251</v>
      </c>
      <c r="O4018">
        <v>20</v>
      </c>
      <c r="P4018">
        <v>309</v>
      </c>
      <c r="Q4018" t="s">
        <v>1211</v>
      </c>
      <c r="R4018" t="s">
        <v>201</v>
      </c>
      <c r="S4018">
        <v>1</v>
      </c>
      <c r="T4018">
        <v>1</v>
      </c>
      <c r="U4018">
        <v>76476</v>
      </c>
      <c r="V4018">
        <v>76476</v>
      </c>
    </row>
    <row r="4019" spans="1:22">
      <c r="A4019" t="s">
        <v>196</v>
      </c>
      <c r="B4019">
        <v>78</v>
      </c>
      <c r="C4019" t="s">
        <v>129</v>
      </c>
      <c r="D4019">
        <v>100</v>
      </c>
      <c r="E4019" t="s">
        <v>197</v>
      </c>
      <c r="F4019">
        <v>1005</v>
      </c>
      <c r="G4019" t="s">
        <v>129</v>
      </c>
      <c r="H4019">
        <v>2005</v>
      </c>
      <c r="I4019" t="s">
        <v>129</v>
      </c>
      <c r="J4019">
        <v>3005</v>
      </c>
      <c r="K4019" t="s">
        <v>309</v>
      </c>
      <c r="L4019">
        <v>0</v>
      </c>
      <c r="N4019" t="s">
        <v>341</v>
      </c>
      <c r="O4019">
        <v>1</v>
      </c>
      <c r="P4019">
        <v>308</v>
      </c>
      <c r="Q4019" t="s">
        <v>355</v>
      </c>
      <c r="R4019" t="s">
        <v>201</v>
      </c>
      <c r="S4019">
        <v>1</v>
      </c>
      <c r="T4019">
        <v>1</v>
      </c>
      <c r="U4019">
        <v>119100</v>
      </c>
      <c r="V4019">
        <v>119100</v>
      </c>
    </row>
    <row r="4020" spans="1:22">
      <c r="A4020" t="s">
        <v>196</v>
      </c>
      <c r="B4020">
        <v>78</v>
      </c>
      <c r="C4020" t="s">
        <v>129</v>
      </c>
      <c r="D4020">
        <v>100</v>
      </c>
      <c r="E4020" t="s">
        <v>197</v>
      </c>
      <c r="F4020">
        <v>1005</v>
      </c>
      <c r="G4020" t="s">
        <v>129</v>
      </c>
      <c r="H4020">
        <v>2005</v>
      </c>
      <c r="I4020" t="s">
        <v>129</v>
      </c>
      <c r="J4020">
        <v>3005</v>
      </c>
      <c r="K4020" t="s">
        <v>309</v>
      </c>
      <c r="L4020">
        <v>0</v>
      </c>
      <c r="N4020" t="s">
        <v>199</v>
      </c>
      <c r="O4020">
        <v>0</v>
      </c>
      <c r="P4020">
        <v>15</v>
      </c>
      <c r="Q4020" t="s">
        <v>264</v>
      </c>
      <c r="R4020" t="s">
        <v>201</v>
      </c>
      <c r="S4020">
        <v>0</v>
      </c>
      <c r="T4020">
        <v>0</v>
      </c>
      <c r="U4020">
        <v>20308</v>
      </c>
      <c r="V4020">
        <v>20308</v>
      </c>
    </row>
    <row r="4021" spans="1:22">
      <c r="A4021" t="s">
        <v>196</v>
      </c>
      <c r="B4021">
        <v>81</v>
      </c>
      <c r="C4021" t="s">
        <v>1699</v>
      </c>
      <c r="D4021">
        <v>100</v>
      </c>
      <c r="E4021" t="s">
        <v>197</v>
      </c>
      <c r="F4021">
        <v>1005</v>
      </c>
      <c r="G4021" t="s">
        <v>46</v>
      </c>
      <c r="H4021">
        <v>2005</v>
      </c>
      <c r="I4021" t="s">
        <v>46</v>
      </c>
      <c r="J4021">
        <v>3004</v>
      </c>
      <c r="K4021" t="s">
        <v>891</v>
      </c>
      <c r="L4021">
        <v>4000</v>
      </c>
      <c r="M4021" t="s">
        <v>924</v>
      </c>
      <c r="N4021" t="s">
        <v>199</v>
      </c>
      <c r="O4021">
        <v>9</v>
      </c>
      <c r="P4021">
        <v>9981</v>
      </c>
      <c r="Q4021" t="s">
        <v>1700</v>
      </c>
      <c r="R4021" t="s">
        <v>201</v>
      </c>
      <c r="S4021">
        <v>1</v>
      </c>
      <c r="T4021">
        <v>1</v>
      </c>
      <c r="U4021">
        <v>227988</v>
      </c>
      <c r="V4021">
        <v>227988</v>
      </c>
    </row>
    <row r="4022" spans="1:22">
      <c r="A4022" t="s">
        <v>196</v>
      </c>
      <c r="B4022">
        <v>81</v>
      </c>
      <c r="C4022" t="s">
        <v>1699</v>
      </c>
      <c r="D4022">
        <v>100</v>
      </c>
      <c r="E4022" t="s">
        <v>197</v>
      </c>
      <c r="F4022">
        <v>1005</v>
      </c>
      <c r="G4022" t="s">
        <v>46</v>
      </c>
      <c r="H4022">
        <v>2005</v>
      </c>
      <c r="I4022" t="s">
        <v>46</v>
      </c>
      <c r="J4022">
        <v>3004</v>
      </c>
      <c r="K4022" t="s">
        <v>891</v>
      </c>
      <c r="L4022">
        <v>4000</v>
      </c>
      <c r="M4022" t="s">
        <v>924</v>
      </c>
      <c r="N4022" t="s">
        <v>1297</v>
      </c>
      <c r="O4022">
        <v>0</v>
      </c>
      <c r="P4022">
        <v>9823</v>
      </c>
      <c r="Q4022" t="s">
        <v>600</v>
      </c>
      <c r="R4022" t="s">
        <v>201</v>
      </c>
      <c r="S4022">
        <v>1</v>
      </c>
      <c r="T4022">
        <v>1</v>
      </c>
      <c r="U4022">
        <v>164412</v>
      </c>
      <c r="V4022">
        <v>164412</v>
      </c>
    </row>
    <row r="4023" spans="1:22">
      <c r="A4023" t="s">
        <v>196</v>
      </c>
      <c r="B4023">
        <v>81</v>
      </c>
      <c r="C4023" t="s">
        <v>1699</v>
      </c>
      <c r="D4023">
        <v>100</v>
      </c>
      <c r="E4023" t="s">
        <v>197</v>
      </c>
      <c r="F4023">
        <v>1005</v>
      </c>
      <c r="G4023" t="s">
        <v>46</v>
      </c>
      <c r="H4023">
        <v>2005</v>
      </c>
      <c r="I4023" t="s">
        <v>46</v>
      </c>
      <c r="J4023">
        <v>3004</v>
      </c>
      <c r="K4023" t="s">
        <v>891</v>
      </c>
      <c r="L4023">
        <v>4000</v>
      </c>
      <c r="M4023" t="s">
        <v>924</v>
      </c>
      <c r="N4023" t="s">
        <v>1294</v>
      </c>
      <c r="O4023">
        <v>0</v>
      </c>
      <c r="P4023">
        <v>9681</v>
      </c>
      <c r="Q4023" t="s">
        <v>338</v>
      </c>
      <c r="R4023" t="s">
        <v>201</v>
      </c>
      <c r="S4023">
        <v>1</v>
      </c>
      <c r="T4023">
        <v>1</v>
      </c>
      <c r="U4023">
        <v>184584</v>
      </c>
      <c r="V4023">
        <v>184584</v>
      </c>
    </row>
    <row r="4024" spans="1:22">
      <c r="A4024" t="s">
        <v>196</v>
      </c>
      <c r="B4024">
        <v>81</v>
      </c>
      <c r="C4024" t="s">
        <v>1699</v>
      </c>
      <c r="D4024">
        <v>100</v>
      </c>
      <c r="E4024" t="s">
        <v>197</v>
      </c>
      <c r="F4024">
        <v>1005</v>
      </c>
      <c r="G4024" t="s">
        <v>46</v>
      </c>
      <c r="H4024">
        <v>2005</v>
      </c>
      <c r="I4024" t="s">
        <v>46</v>
      </c>
      <c r="J4024">
        <v>3004</v>
      </c>
      <c r="K4024" t="s">
        <v>891</v>
      </c>
      <c r="L4024">
        <v>4000</v>
      </c>
      <c r="M4024" t="s">
        <v>924</v>
      </c>
      <c r="N4024" t="s">
        <v>1297</v>
      </c>
      <c r="O4024">
        <v>9</v>
      </c>
      <c r="P4024">
        <v>9663</v>
      </c>
      <c r="Q4024" t="s">
        <v>846</v>
      </c>
      <c r="R4024" t="s">
        <v>201</v>
      </c>
      <c r="S4024">
        <v>1</v>
      </c>
      <c r="T4024">
        <v>1</v>
      </c>
      <c r="U4024">
        <v>211752</v>
      </c>
      <c r="V4024">
        <v>211752</v>
      </c>
    </row>
    <row r="4025" spans="1:22">
      <c r="A4025" t="s">
        <v>196</v>
      </c>
      <c r="B4025">
        <v>81</v>
      </c>
      <c r="C4025" t="s">
        <v>1699</v>
      </c>
      <c r="D4025">
        <v>100</v>
      </c>
      <c r="E4025" t="s">
        <v>197</v>
      </c>
      <c r="F4025">
        <v>1005</v>
      </c>
      <c r="G4025" t="s">
        <v>46</v>
      </c>
      <c r="H4025">
        <v>2005</v>
      </c>
      <c r="I4025" t="s">
        <v>46</v>
      </c>
      <c r="J4025">
        <v>3004</v>
      </c>
      <c r="K4025" t="s">
        <v>891</v>
      </c>
      <c r="L4025">
        <v>4000</v>
      </c>
      <c r="M4025" t="s">
        <v>924</v>
      </c>
      <c r="N4025" t="s">
        <v>731</v>
      </c>
      <c r="O4025">
        <v>10</v>
      </c>
      <c r="P4025">
        <v>8185</v>
      </c>
      <c r="Q4025" t="s">
        <v>1701</v>
      </c>
      <c r="R4025" t="s">
        <v>201</v>
      </c>
      <c r="S4025">
        <v>1</v>
      </c>
      <c r="T4025">
        <v>1</v>
      </c>
      <c r="U4025">
        <v>157212</v>
      </c>
      <c r="V4025">
        <v>157212</v>
      </c>
    </row>
    <row r="4026" spans="1:22">
      <c r="A4026" t="s">
        <v>196</v>
      </c>
      <c r="B4026">
        <v>81</v>
      </c>
      <c r="C4026" t="s">
        <v>1699</v>
      </c>
      <c r="D4026">
        <v>100</v>
      </c>
      <c r="E4026" t="s">
        <v>197</v>
      </c>
      <c r="F4026">
        <v>1005</v>
      </c>
      <c r="G4026" t="s">
        <v>46</v>
      </c>
      <c r="H4026">
        <v>2005</v>
      </c>
      <c r="I4026" t="s">
        <v>46</v>
      </c>
      <c r="J4026">
        <v>3004</v>
      </c>
      <c r="K4026" t="s">
        <v>891</v>
      </c>
      <c r="L4026">
        <v>4000</v>
      </c>
      <c r="M4026" t="s">
        <v>924</v>
      </c>
      <c r="N4026" t="s">
        <v>731</v>
      </c>
      <c r="O4026">
        <v>10</v>
      </c>
      <c r="P4026">
        <v>8185</v>
      </c>
      <c r="Q4026" t="s">
        <v>1701</v>
      </c>
      <c r="R4026" t="s">
        <v>201</v>
      </c>
      <c r="S4026">
        <v>1</v>
      </c>
      <c r="T4026">
        <v>1</v>
      </c>
      <c r="U4026">
        <v>136692</v>
      </c>
      <c r="V4026">
        <v>136692</v>
      </c>
    </row>
    <row r="4027" spans="1:22">
      <c r="A4027" t="s">
        <v>196</v>
      </c>
      <c r="B4027">
        <v>81</v>
      </c>
      <c r="C4027" t="s">
        <v>1699</v>
      </c>
      <c r="D4027">
        <v>100</v>
      </c>
      <c r="E4027" t="s">
        <v>197</v>
      </c>
      <c r="F4027">
        <v>1005</v>
      </c>
      <c r="G4027" t="s">
        <v>46</v>
      </c>
      <c r="H4027">
        <v>2005</v>
      </c>
      <c r="I4027" t="s">
        <v>46</v>
      </c>
      <c r="J4027">
        <v>3004</v>
      </c>
      <c r="K4027" t="s">
        <v>891</v>
      </c>
      <c r="L4027">
        <v>4000</v>
      </c>
      <c r="M4027" t="s">
        <v>924</v>
      </c>
      <c r="N4027" t="s">
        <v>731</v>
      </c>
      <c r="O4027">
        <v>10</v>
      </c>
      <c r="P4027">
        <v>8185</v>
      </c>
      <c r="Q4027" t="s">
        <v>1701</v>
      </c>
      <c r="R4027" t="s">
        <v>201</v>
      </c>
      <c r="S4027">
        <v>1</v>
      </c>
      <c r="T4027">
        <v>1</v>
      </c>
      <c r="U4027">
        <v>117780</v>
      </c>
      <c r="V4027">
        <v>117780</v>
      </c>
    </row>
    <row r="4028" spans="1:22">
      <c r="A4028" t="s">
        <v>196</v>
      </c>
      <c r="B4028">
        <v>81</v>
      </c>
      <c r="C4028" t="s">
        <v>1699</v>
      </c>
      <c r="D4028">
        <v>100</v>
      </c>
      <c r="E4028" t="s">
        <v>197</v>
      </c>
      <c r="F4028">
        <v>1005</v>
      </c>
      <c r="G4028" t="s">
        <v>46</v>
      </c>
      <c r="H4028">
        <v>2005</v>
      </c>
      <c r="I4028" t="s">
        <v>46</v>
      </c>
      <c r="J4028">
        <v>3004</v>
      </c>
      <c r="K4028" t="s">
        <v>891</v>
      </c>
      <c r="L4028">
        <v>4000</v>
      </c>
      <c r="M4028" t="s">
        <v>924</v>
      </c>
      <c r="N4028" t="s">
        <v>268</v>
      </c>
      <c r="O4028">
        <v>10</v>
      </c>
      <c r="P4028">
        <v>1310</v>
      </c>
      <c r="Q4028" t="s">
        <v>787</v>
      </c>
      <c r="R4028" t="s">
        <v>201</v>
      </c>
      <c r="S4028">
        <v>1</v>
      </c>
      <c r="T4028">
        <v>1</v>
      </c>
      <c r="U4028">
        <v>113568</v>
      </c>
      <c r="V4028">
        <v>113568</v>
      </c>
    </row>
    <row r="4029" spans="1:22">
      <c r="A4029" t="s">
        <v>196</v>
      </c>
      <c r="B4029">
        <v>81</v>
      </c>
      <c r="C4029" t="s">
        <v>1699</v>
      </c>
      <c r="D4029">
        <v>100</v>
      </c>
      <c r="E4029" t="s">
        <v>197</v>
      </c>
      <c r="F4029">
        <v>1005</v>
      </c>
      <c r="G4029" t="s">
        <v>46</v>
      </c>
      <c r="H4029">
        <v>2005</v>
      </c>
      <c r="I4029" t="s">
        <v>46</v>
      </c>
      <c r="J4029">
        <v>3004</v>
      </c>
      <c r="K4029" t="s">
        <v>891</v>
      </c>
      <c r="L4029">
        <v>4000</v>
      </c>
      <c r="M4029" t="s">
        <v>924</v>
      </c>
      <c r="N4029" t="s">
        <v>251</v>
      </c>
      <c r="O4029">
        <v>10</v>
      </c>
      <c r="P4029">
        <v>802</v>
      </c>
      <c r="Q4029" t="s">
        <v>252</v>
      </c>
      <c r="R4029" t="s">
        <v>201</v>
      </c>
      <c r="S4029">
        <v>1</v>
      </c>
      <c r="T4029">
        <v>1</v>
      </c>
      <c r="U4029">
        <v>124584</v>
      </c>
      <c r="V4029">
        <v>124584</v>
      </c>
    </row>
    <row r="4030" spans="1:22">
      <c r="A4030" t="s">
        <v>196</v>
      </c>
      <c r="B4030">
        <v>81</v>
      </c>
      <c r="C4030" t="s">
        <v>1699</v>
      </c>
      <c r="D4030">
        <v>100</v>
      </c>
      <c r="E4030" t="s">
        <v>197</v>
      </c>
      <c r="F4030">
        <v>1005</v>
      </c>
      <c r="G4030" t="s">
        <v>46</v>
      </c>
      <c r="H4030">
        <v>2005</v>
      </c>
      <c r="I4030" t="s">
        <v>46</v>
      </c>
      <c r="J4030">
        <v>3004</v>
      </c>
      <c r="K4030" t="s">
        <v>891</v>
      </c>
      <c r="L4030">
        <v>4000</v>
      </c>
      <c r="M4030" t="s">
        <v>924</v>
      </c>
      <c r="N4030" t="s">
        <v>251</v>
      </c>
      <c r="O4030">
        <v>10</v>
      </c>
      <c r="P4030">
        <v>802</v>
      </c>
      <c r="Q4030" t="s">
        <v>252</v>
      </c>
      <c r="R4030" t="s">
        <v>201</v>
      </c>
      <c r="S4030">
        <v>1</v>
      </c>
      <c r="T4030">
        <v>1</v>
      </c>
      <c r="U4030">
        <v>83052</v>
      </c>
      <c r="V4030">
        <v>83052</v>
      </c>
    </row>
    <row r="4031" spans="1:22">
      <c r="A4031" t="s">
        <v>196</v>
      </c>
      <c r="B4031">
        <v>81</v>
      </c>
      <c r="C4031" t="s">
        <v>1699</v>
      </c>
      <c r="D4031">
        <v>100</v>
      </c>
      <c r="E4031" t="s">
        <v>197</v>
      </c>
      <c r="F4031">
        <v>1005</v>
      </c>
      <c r="G4031" t="s">
        <v>46</v>
      </c>
      <c r="H4031">
        <v>2005</v>
      </c>
      <c r="I4031" t="s">
        <v>46</v>
      </c>
      <c r="J4031">
        <v>3004</v>
      </c>
      <c r="K4031" t="s">
        <v>891</v>
      </c>
      <c r="L4031">
        <v>4000</v>
      </c>
      <c r="M4031" t="s">
        <v>924</v>
      </c>
      <c r="N4031" t="s">
        <v>199</v>
      </c>
      <c r="O4031">
        <v>0</v>
      </c>
      <c r="P4031">
        <v>15</v>
      </c>
      <c r="Q4031" t="s">
        <v>264</v>
      </c>
      <c r="R4031" t="s">
        <v>201</v>
      </c>
      <c r="S4031">
        <v>0</v>
      </c>
      <c r="T4031">
        <v>0</v>
      </c>
      <c r="U4031">
        <v>17588</v>
      </c>
      <c r="V4031">
        <v>17588</v>
      </c>
    </row>
    <row r="4032" spans="1:22">
      <c r="A4032" t="s">
        <v>196</v>
      </c>
      <c r="B4032">
        <v>81</v>
      </c>
      <c r="C4032" t="s">
        <v>1699</v>
      </c>
      <c r="D4032">
        <v>100</v>
      </c>
      <c r="E4032" t="s">
        <v>197</v>
      </c>
      <c r="F4032">
        <v>1005</v>
      </c>
      <c r="G4032" t="s">
        <v>46</v>
      </c>
      <c r="H4032">
        <v>2005</v>
      </c>
      <c r="I4032" t="s">
        <v>46</v>
      </c>
      <c r="J4032">
        <v>3004</v>
      </c>
      <c r="K4032" t="s">
        <v>891</v>
      </c>
      <c r="L4032">
        <v>4002</v>
      </c>
      <c r="M4032" t="s">
        <v>1702</v>
      </c>
      <c r="N4032" t="s">
        <v>721</v>
      </c>
      <c r="O4032">
        <v>8</v>
      </c>
      <c r="P4032">
        <v>7123</v>
      </c>
      <c r="Q4032" t="s">
        <v>1703</v>
      </c>
      <c r="R4032" t="s">
        <v>712</v>
      </c>
      <c r="S4032">
        <v>1</v>
      </c>
      <c r="T4032">
        <v>1</v>
      </c>
      <c r="U4032">
        <v>8932</v>
      </c>
      <c r="V4032">
        <v>107184</v>
      </c>
    </row>
    <row r="4033" spans="1:22">
      <c r="A4033" t="s">
        <v>196</v>
      </c>
      <c r="B4033">
        <v>81</v>
      </c>
      <c r="C4033" t="s">
        <v>1699</v>
      </c>
      <c r="D4033">
        <v>100</v>
      </c>
      <c r="E4033" t="s">
        <v>197</v>
      </c>
      <c r="F4033">
        <v>1005</v>
      </c>
      <c r="G4033" t="s">
        <v>46</v>
      </c>
      <c r="H4033">
        <v>2005</v>
      </c>
      <c r="I4033" t="s">
        <v>46</v>
      </c>
      <c r="J4033">
        <v>3004</v>
      </c>
      <c r="K4033" t="s">
        <v>891</v>
      </c>
      <c r="L4033">
        <v>4002</v>
      </c>
      <c r="M4033" t="s">
        <v>1702</v>
      </c>
      <c r="N4033" t="s">
        <v>1704</v>
      </c>
      <c r="O4033">
        <v>54</v>
      </c>
      <c r="P4033">
        <v>6305</v>
      </c>
      <c r="Q4033" t="s">
        <v>1705</v>
      </c>
      <c r="R4033" t="s">
        <v>201</v>
      </c>
      <c r="S4033">
        <v>1</v>
      </c>
      <c r="T4033">
        <v>1</v>
      </c>
      <c r="U4033">
        <v>74136</v>
      </c>
      <c r="V4033">
        <v>74136</v>
      </c>
    </row>
    <row r="4034" spans="1:22">
      <c r="A4034" t="s">
        <v>196</v>
      </c>
      <c r="B4034">
        <v>81</v>
      </c>
      <c r="C4034" t="s">
        <v>1699</v>
      </c>
      <c r="D4034">
        <v>100</v>
      </c>
      <c r="E4034" t="s">
        <v>197</v>
      </c>
      <c r="F4034">
        <v>1005</v>
      </c>
      <c r="G4034" t="s">
        <v>46</v>
      </c>
      <c r="H4034">
        <v>2005</v>
      </c>
      <c r="I4034" t="s">
        <v>46</v>
      </c>
      <c r="J4034">
        <v>3004</v>
      </c>
      <c r="K4034" t="s">
        <v>891</v>
      </c>
      <c r="L4034">
        <v>4002</v>
      </c>
      <c r="M4034" t="s">
        <v>1702</v>
      </c>
      <c r="N4034" t="s">
        <v>257</v>
      </c>
      <c r="O4034">
        <v>9</v>
      </c>
      <c r="P4034">
        <v>705</v>
      </c>
      <c r="Q4034" t="s">
        <v>258</v>
      </c>
      <c r="R4034" t="s">
        <v>201</v>
      </c>
      <c r="S4034">
        <v>1</v>
      </c>
      <c r="T4034">
        <v>1</v>
      </c>
      <c r="U4034">
        <v>123372</v>
      </c>
      <c r="V4034">
        <v>123372</v>
      </c>
    </row>
    <row r="4035" spans="1:22">
      <c r="A4035" t="s">
        <v>196</v>
      </c>
      <c r="B4035">
        <v>81</v>
      </c>
      <c r="C4035" t="s">
        <v>1699</v>
      </c>
      <c r="D4035">
        <v>100</v>
      </c>
      <c r="E4035" t="s">
        <v>197</v>
      </c>
      <c r="F4035">
        <v>1005</v>
      </c>
      <c r="G4035" t="s">
        <v>46</v>
      </c>
      <c r="H4035">
        <v>2005</v>
      </c>
      <c r="I4035" t="s">
        <v>46</v>
      </c>
      <c r="J4035">
        <v>3004</v>
      </c>
      <c r="K4035" t="s">
        <v>891</v>
      </c>
      <c r="L4035">
        <v>4002</v>
      </c>
      <c r="M4035" t="s">
        <v>1702</v>
      </c>
      <c r="N4035" t="s">
        <v>259</v>
      </c>
      <c r="O4035">
        <v>20</v>
      </c>
      <c r="P4035">
        <v>323</v>
      </c>
      <c r="Q4035" t="s">
        <v>260</v>
      </c>
      <c r="R4035" t="s">
        <v>201</v>
      </c>
      <c r="S4035">
        <v>1</v>
      </c>
      <c r="T4035">
        <v>1</v>
      </c>
      <c r="U4035">
        <v>85980</v>
      </c>
      <c r="V4035">
        <v>85980</v>
      </c>
    </row>
    <row r="4036" spans="1:22">
      <c r="A4036" t="s">
        <v>196</v>
      </c>
      <c r="B4036">
        <v>81</v>
      </c>
      <c r="C4036" t="s">
        <v>1699</v>
      </c>
      <c r="D4036">
        <v>100</v>
      </c>
      <c r="E4036" t="s">
        <v>197</v>
      </c>
      <c r="F4036">
        <v>1005</v>
      </c>
      <c r="G4036" t="s">
        <v>46</v>
      </c>
      <c r="H4036">
        <v>2005</v>
      </c>
      <c r="I4036" t="s">
        <v>46</v>
      </c>
      <c r="J4036">
        <v>3004</v>
      </c>
      <c r="K4036" t="s">
        <v>891</v>
      </c>
      <c r="L4036">
        <v>4002</v>
      </c>
      <c r="M4036" t="s">
        <v>1702</v>
      </c>
      <c r="N4036" t="s">
        <v>245</v>
      </c>
      <c r="O4036">
        <v>20</v>
      </c>
      <c r="P4036">
        <v>289</v>
      </c>
      <c r="Q4036" t="s">
        <v>1017</v>
      </c>
      <c r="R4036" t="s">
        <v>201</v>
      </c>
      <c r="S4036">
        <v>1</v>
      </c>
      <c r="T4036">
        <v>1</v>
      </c>
      <c r="U4036">
        <v>111000</v>
      </c>
      <c r="V4036">
        <v>111000</v>
      </c>
    </row>
    <row r="4037" spans="1:22">
      <c r="A4037" t="s">
        <v>196</v>
      </c>
      <c r="B4037">
        <v>81</v>
      </c>
      <c r="C4037" t="s">
        <v>1699</v>
      </c>
      <c r="D4037">
        <v>100</v>
      </c>
      <c r="E4037" t="s">
        <v>197</v>
      </c>
      <c r="F4037">
        <v>1005</v>
      </c>
      <c r="G4037" t="s">
        <v>46</v>
      </c>
      <c r="H4037">
        <v>2005</v>
      </c>
      <c r="I4037" t="s">
        <v>46</v>
      </c>
      <c r="J4037">
        <v>3004</v>
      </c>
      <c r="K4037" t="s">
        <v>891</v>
      </c>
      <c r="L4037">
        <v>4002</v>
      </c>
      <c r="M4037" t="s">
        <v>1702</v>
      </c>
      <c r="N4037" t="s">
        <v>199</v>
      </c>
      <c r="O4037">
        <v>0</v>
      </c>
      <c r="P4037">
        <v>15</v>
      </c>
      <c r="Q4037" t="s">
        <v>264</v>
      </c>
      <c r="R4037" t="s">
        <v>201</v>
      </c>
      <c r="S4037">
        <v>0</v>
      </c>
      <c r="T4037">
        <v>0</v>
      </c>
      <c r="U4037">
        <v>7406</v>
      </c>
      <c r="V4037">
        <v>7406</v>
      </c>
    </row>
    <row r="4038" spans="1:22">
      <c r="A4038" t="s">
        <v>196</v>
      </c>
      <c r="B4038">
        <v>81</v>
      </c>
      <c r="C4038" t="s">
        <v>1699</v>
      </c>
      <c r="D4038">
        <v>100</v>
      </c>
      <c r="E4038" t="s">
        <v>197</v>
      </c>
      <c r="F4038">
        <v>1005</v>
      </c>
      <c r="G4038" t="s">
        <v>46</v>
      </c>
      <c r="H4038">
        <v>2005</v>
      </c>
      <c r="I4038" t="s">
        <v>46</v>
      </c>
      <c r="J4038">
        <v>3004</v>
      </c>
      <c r="K4038" t="s">
        <v>891</v>
      </c>
      <c r="L4038">
        <v>4002</v>
      </c>
      <c r="M4038" t="s">
        <v>1702</v>
      </c>
      <c r="N4038" t="s">
        <v>199</v>
      </c>
      <c r="O4038">
        <v>0</v>
      </c>
      <c r="P4038">
        <v>12</v>
      </c>
      <c r="Q4038" t="s">
        <v>724</v>
      </c>
      <c r="R4038" t="s">
        <v>201</v>
      </c>
      <c r="S4038">
        <v>0</v>
      </c>
      <c r="T4038">
        <v>0</v>
      </c>
      <c r="U4038">
        <v>1608</v>
      </c>
      <c r="V4038">
        <v>1608</v>
      </c>
    </row>
    <row r="4039" spans="1:22">
      <c r="A4039" t="s">
        <v>196</v>
      </c>
      <c r="B4039">
        <v>81</v>
      </c>
      <c r="C4039" t="s">
        <v>1699</v>
      </c>
      <c r="D4039">
        <v>100</v>
      </c>
      <c r="E4039" t="s">
        <v>197</v>
      </c>
      <c r="F4039">
        <v>1005</v>
      </c>
      <c r="G4039" t="s">
        <v>46</v>
      </c>
      <c r="H4039">
        <v>2005</v>
      </c>
      <c r="I4039" t="s">
        <v>46</v>
      </c>
      <c r="J4039">
        <v>3004</v>
      </c>
      <c r="K4039" t="s">
        <v>891</v>
      </c>
      <c r="L4039">
        <v>4003</v>
      </c>
      <c r="M4039" t="s">
        <v>1706</v>
      </c>
      <c r="N4039" t="s">
        <v>1704</v>
      </c>
      <c r="O4039">
        <v>54</v>
      </c>
      <c r="P4039">
        <v>8105</v>
      </c>
      <c r="Q4039" t="s">
        <v>1707</v>
      </c>
      <c r="R4039" t="s">
        <v>201</v>
      </c>
      <c r="S4039">
        <v>3</v>
      </c>
      <c r="T4039">
        <v>1</v>
      </c>
      <c r="U4039">
        <v>119052</v>
      </c>
      <c r="V4039">
        <v>357156</v>
      </c>
    </row>
    <row r="4040" spans="1:22">
      <c r="A4040" t="s">
        <v>196</v>
      </c>
      <c r="B4040">
        <v>81</v>
      </c>
      <c r="C4040" t="s">
        <v>1699</v>
      </c>
      <c r="D4040">
        <v>100</v>
      </c>
      <c r="E4040" t="s">
        <v>197</v>
      </c>
      <c r="F4040">
        <v>1005</v>
      </c>
      <c r="G4040" t="s">
        <v>46</v>
      </c>
      <c r="H4040">
        <v>2005</v>
      </c>
      <c r="I4040" t="s">
        <v>46</v>
      </c>
      <c r="J4040">
        <v>3004</v>
      </c>
      <c r="K4040" t="s">
        <v>891</v>
      </c>
      <c r="L4040">
        <v>4003</v>
      </c>
      <c r="M4040" t="s">
        <v>1706</v>
      </c>
      <c r="N4040" t="s">
        <v>1704</v>
      </c>
      <c r="O4040">
        <v>54</v>
      </c>
      <c r="P4040">
        <v>8105</v>
      </c>
      <c r="Q4040" t="s">
        <v>1707</v>
      </c>
      <c r="R4040" t="s">
        <v>201</v>
      </c>
      <c r="S4040">
        <v>1</v>
      </c>
      <c r="T4040">
        <v>1</v>
      </c>
      <c r="U4040">
        <v>113592</v>
      </c>
      <c r="V4040">
        <v>113592</v>
      </c>
    </row>
    <row r="4041" spans="1:22">
      <c r="A4041" t="s">
        <v>196</v>
      </c>
      <c r="B4041">
        <v>81</v>
      </c>
      <c r="C4041" t="s">
        <v>1699</v>
      </c>
      <c r="D4041">
        <v>100</v>
      </c>
      <c r="E4041" t="s">
        <v>197</v>
      </c>
      <c r="F4041">
        <v>1005</v>
      </c>
      <c r="G4041" t="s">
        <v>46</v>
      </c>
      <c r="H4041">
        <v>2005</v>
      </c>
      <c r="I4041" t="s">
        <v>46</v>
      </c>
      <c r="J4041">
        <v>3004</v>
      </c>
      <c r="K4041" t="s">
        <v>891</v>
      </c>
      <c r="L4041">
        <v>4003</v>
      </c>
      <c r="M4041" t="s">
        <v>1706</v>
      </c>
      <c r="N4041" t="s">
        <v>1314</v>
      </c>
      <c r="O4041">
        <v>0</v>
      </c>
      <c r="P4041" t="s">
        <v>1471</v>
      </c>
      <c r="Q4041" t="s">
        <v>605</v>
      </c>
      <c r="R4041" t="s">
        <v>201</v>
      </c>
      <c r="S4041">
        <v>1</v>
      </c>
      <c r="T4041">
        <v>1</v>
      </c>
      <c r="U4041">
        <v>160680</v>
      </c>
      <c r="V4041">
        <v>160680</v>
      </c>
    </row>
    <row r="4042" spans="1:22">
      <c r="A4042" t="s">
        <v>196</v>
      </c>
      <c r="B4042">
        <v>81</v>
      </c>
      <c r="C4042" t="s">
        <v>1699</v>
      </c>
      <c r="D4042">
        <v>100</v>
      </c>
      <c r="E4042" t="s">
        <v>197</v>
      </c>
      <c r="F4042">
        <v>1005</v>
      </c>
      <c r="G4042" t="s">
        <v>46</v>
      </c>
      <c r="H4042">
        <v>2005</v>
      </c>
      <c r="I4042" t="s">
        <v>46</v>
      </c>
      <c r="J4042">
        <v>3004</v>
      </c>
      <c r="K4042" t="s">
        <v>891</v>
      </c>
      <c r="L4042">
        <v>4003</v>
      </c>
      <c r="M4042" t="s">
        <v>1706</v>
      </c>
      <c r="N4042" t="s">
        <v>199</v>
      </c>
      <c r="O4042">
        <v>0</v>
      </c>
      <c r="P4042">
        <v>15</v>
      </c>
      <c r="Q4042" t="s">
        <v>264</v>
      </c>
      <c r="R4042" t="s">
        <v>201</v>
      </c>
      <c r="S4042">
        <v>0</v>
      </c>
      <c r="T4042">
        <v>0</v>
      </c>
      <c r="U4042">
        <v>6084</v>
      </c>
      <c r="V4042">
        <v>6084</v>
      </c>
    </row>
    <row r="4043" spans="1:22">
      <c r="A4043" t="s">
        <v>196</v>
      </c>
      <c r="B4043">
        <v>81</v>
      </c>
      <c r="C4043" t="s">
        <v>1699</v>
      </c>
      <c r="D4043">
        <v>100</v>
      </c>
      <c r="E4043" t="s">
        <v>197</v>
      </c>
      <c r="F4043">
        <v>1005</v>
      </c>
      <c r="G4043" t="s">
        <v>46</v>
      </c>
      <c r="H4043">
        <v>2006</v>
      </c>
      <c r="I4043" t="s">
        <v>109</v>
      </c>
      <c r="J4043">
        <v>3009</v>
      </c>
      <c r="K4043" t="s">
        <v>1708</v>
      </c>
      <c r="L4043">
        <v>4013</v>
      </c>
      <c r="M4043" t="s">
        <v>1709</v>
      </c>
      <c r="N4043" t="s">
        <v>253</v>
      </c>
      <c r="O4043">
        <v>20</v>
      </c>
      <c r="P4043">
        <v>1331</v>
      </c>
      <c r="Q4043" t="s">
        <v>653</v>
      </c>
      <c r="R4043" t="s">
        <v>201</v>
      </c>
      <c r="S4043">
        <v>1</v>
      </c>
      <c r="T4043">
        <v>1</v>
      </c>
      <c r="U4043">
        <v>108432</v>
      </c>
      <c r="V4043">
        <v>108432</v>
      </c>
    </row>
    <row r="4044" spans="1:22">
      <c r="A4044" t="s">
        <v>196</v>
      </c>
      <c r="B4044">
        <v>81</v>
      </c>
      <c r="C4044" t="s">
        <v>1699</v>
      </c>
      <c r="D4044">
        <v>100</v>
      </c>
      <c r="E4044" t="s">
        <v>197</v>
      </c>
      <c r="F4044">
        <v>1005</v>
      </c>
      <c r="G4044" t="s">
        <v>46</v>
      </c>
      <c r="H4044">
        <v>2006</v>
      </c>
      <c r="I4044" t="s">
        <v>109</v>
      </c>
      <c r="J4044">
        <v>3009</v>
      </c>
      <c r="K4044" t="s">
        <v>1708</v>
      </c>
      <c r="L4044">
        <v>4013</v>
      </c>
      <c r="M4044" t="s">
        <v>1709</v>
      </c>
      <c r="N4044" t="s">
        <v>253</v>
      </c>
      <c r="O4044">
        <v>20</v>
      </c>
      <c r="P4044">
        <v>1327</v>
      </c>
      <c r="Q4044" t="s">
        <v>1208</v>
      </c>
      <c r="R4044" t="s">
        <v>201</v>
      </c>
      <c r="S4044">
        <v>1</v>
      </c>
      <c r="T4044">
        <v>1</v>
      </c>
      <c r="U4044">
        <v>130524</v>
      </c>
      <c r="V4044">
        <v>130524</v>
      </c>
    </row>
    <row r="4045" spans="1:22">
      <c r="A4045" t="s">
        <v>196</v>
      </c>
      <c r="B4045">
        <v>81</v>
      </c>
      <c r="C4045" t="s">
        <v>1699</v>
      </c>
      <c r="D4045">
        <v>100</v>
      </c>
      <c r="E4045" t="s">
        <v>197</v>
      </c>
      <c r="F4045">
        <v>1005</v>
      </c>
      <c r="G4045" t="s">
        <v>46</v>
      </c>
      <c r="H4045">
        <v>2006</v>
      </c>
      <c r="I4045" t="s">
        <v>109</v>
      </c>
      <c r="J4045">
        <v>3009</v>
      </c>
      <c r="K4045" t="s">
        <v>1708</v>
      </c>
      <c r="L4045">
        <v>4013</v>
      </c>
      <c r="M4045" t="s">
        <v>1709</v>
      </c>
      <c r="N4045" t="s">
        <v>255</v>
      </c>
      <c r="O4045">
        <v>1</v>
      </c>
      <c r="P4045">
        <v>1302</v>
      </c>
      <c r="Q4045" t="s">
        <v>340</v>
      </c>
      <c r="R4045" t="s">
        <v>201</v>
      </c>
      <c r="S4045">
        <v>1</v>
      </c>
      <c r="T4045">
        <v>1</v>
      </c>
      <c r="U4045">
        <v>113628</v>
      </c>
      <c r="V4045">
        <v>113628</v>
      </c>
    </row>
    <row r="4046" spans="1:22">
      <c r="A4046" t="s">
        <v>196</v>
      </c>
      <c r="B4046">
        <v>81</v>
      </c>
      <c r="C4046" t="s">
        <v>1699</v>
      </c>
      <c r="D4046">
        <v>100</v>
      </c>
      <c r="E4046" t="s">
        <v>197</v>
      </c>
      <c r="F4046">
        <v>1005</v>
      </c>
      <c r="G4046" t="s">
        <v>46</v>
      </c>
      <c r="H4046">
        <v>2006</v>
      </c>
      <c r="I4046" t="s">
        <v>109</v>
      </c>
      <c r="J4046">
        <v>3009</v>
      </c>
      <c r="K4046" t="s">
        <v>1708</v>
      </c>
      <c r="L4046">
        <v>4013</v>
      </c>
      <c r="M4046" t="s">
        <v>1709</v>
      </c>
      <c r="N4046" t="s">
        <v>255</v>
      </c>
      <c r="O4046">
        <v>1</v>
      </c>
      <c r="P4046">
        <v>1302</v>
      </c>
      <c r="Q4046" t="s">
        <v>340</v>
      </c>
      <c r="R4046" t="s">
        <v>201</v>
      </c>
      <c r="S4046">
        <v>1</v>
      </c>
      <c r="T4046">
        <v>1</v>
      </c>
      <c r="U4046">
        <v>93504</v>
      </c>
      <c r="V4046">
        <v>93504</v>
      </c>
    </row>
    <row r="4047" spans="1:22">
      <c r="A4047" t="s">
        <v>196</v>
      </c>
      <c r="B4047">
        <v>81</v>
      </c>
      <c r="C4047" t="s">
        <v>1699</v>
      </c>
      <c r="D4047">
        <v>100</v>
      </c>
      <c r="E4047" t="s">
        <v>197</v>
      </c>
      <c r="F4047">
        <v>1005</v>
      </c>
      <c r="G4047" t="s">
        <v>46</v>
      </c>
      <c r="H4047">
        <v>2006</v>
      </c>
      <c r="I4047" t="s">
        <v>109</v>
      </c>
      <c r="J4047">
        <v>3009</v>
      </c>
      <c r="K4047" t="s">
        <v>1708</v>
      </c>
      <c r="L4047">
        <v>4013</v>
      </c>
      <c r="M4047" t="s">
        <v>1709</v>
      </c>
      <c r="N4047" t="s">
        <v>247</v>
      </c>
      <c r="O4047">
        <v>20</v>
      </c>
      <c r="P4047">
        <v>366</v>
      </c>
      <c r="Q4047" t="s">
        <v>604</v>
      </c>
      <c r="R4047" t="s">
        <v>201</v>
      </c>
      <c r="S4047">
        <v>1</v>
      </c>
      <c r="T4047">
        <v>1</v>
      </c>
      <c r="U4047">
        <v>94332</v>
      </c>
      <c r="V4047">
        <v>94332</v>
      </c>
    </row>
    <row r="4048" spans="1:22">
      <c r="A4048" t="s">
        <v>196</v>
      </c>
      <c r="B4048">
        <v>81</v>
      </c>
      <c r="C4048" t="s">
        <v>1699</v>
      </c>
      <c r="D4048">
        <v>100</v>
      </c>
      <c r="E4048" t="s">
        <v>197</v>
      </c>
      <c r="F4048">
        <v>1005</v>
      </c>
      <c r="G4048" t="s">
        <v>46</v>
      </c>
      <c r="H4048">
        <v>2006</v>
      </c>
      <c r="I4048" t="s">
        <v>109</v>
      </c>
      <c r="J4048">
        <v>3009</v>
      </c>
      <c r="K4048" t="s">
        <v>1708</v>
      </c>
      <c r="L4048">
        <v>4013</v>
      </c>
      <c r="M4048" t="s">
        <v>1709</v>
      </c>
      <c r="N4048" t="s">
        <v>341</v>
      </c>
      <c r="O4048">
        <v>1</v>
      </c>
      <c r="P4048">
        <v>308</v>
      </c>
      <c r="Q4048" t="s">
        <v>355</v>
      </c>
      <c r="R4048" t="s">
        <v>201</v>
      </c>
      <c r="S4048">
        <v>1</v>
      </c>
      <c r="T4048">
        <v>1</v>
      </c>
      <c r="U4048">
        <v>119100</v>
      </c>
      <c r="V4048">
        <v>119100</v>
      </c>
    </row>
    <row r="4049" spans="1:22">
      <c r="A4049" t="s">
        <v>196</v>
      </c>
      <c r="B4049">
        <v>81</v>
      </c>
      <c r="C4049" t="s">
        <v>1699</v>
      </c>
      <c r="D4049">
        <v>100</v>
      </c>
      <c r="E4049" t="s">
        <v>197</v>
      </c>
      <c r="F4049">
        <v>1005</v>
      </c>
      <c r="G4049" t="s">
        <v>46</v>
      </c>
      <c r="H4049">
        <v>2006</v>
      </c>
      <c r="I4049" t="s">
        <v>109</v>
      </c>
      <c r="J4049">
        <v>3009</v>
      </c>
      <c r="K4049" t="s">
        <v>1708</v>
      </c>
      <c r="L4049">
        <v>4013</v>
      </c>
      <c r="M4049" t="s">
        <v>1709</v>
      </c>
      <c r="N4049" t="s">
        <v>199</v>
      </c>
      <c r="O4049">
        <v>0</v>
      </c>
      <c r="P4049">
        <v>15</v>
      </c>
      <c r="Q4049" t="s">
        <v>264</v>
      </c>
      <c r="R4049" t="s">
        <v>201</v>
      </c>
      <c r="S4049">
        <v>0</v>
      </c>
      <c r="T4049">
        <v>0</v>
      </c>
      <c r="U4049">
        <v>4339</v>
      </c>
      <c r="V4049">
        <v>4339</v>
      </c>
    </row>
    <row r="4050" spans="1:22">
      <c r="A4050" t="s">
        <v>196</v>
      </c>
      <c r="B4050">
        <v>81</v>
      </c>
      <c r="C4050" t="s">
        <v>1699</v>
      </c>
      <c r="D4050">
        <v>100</v>
      </c>
      <c r="E4050" t="s">
        <v>197</v>
      </c>
      <c r="F4050">
        <v>1005</v>
      </c>
      <c r="G4050" t="s">
        <v>46</v>
      </c>
      <c r="H4050">
        <v>2006</v>
      </c>
      <c r="I4050" t="s">
        <v>109</v>
      </c>
      <c r="J4050">
        <v>3009</v>
      </c>
      <c r="K4050" t="s">
        <v>1708</v>
      </c>
      <c r="L4050">
        <v>4014</v>
      </c>
      <c r="M4050" t="s">
        <v>1710</v>
      </c>
      <c r="N4050" t="s">
        <v>1227</v>
      </c>
      <c r="O4050">
        <v>54</v>
      </c>
      <c r="P4050">
        <v>175</v>
      </c>
      <c r="Q4050" t="s">
        <v>1228</v>
      </c>
      <c r="R4050" t="s">
        <v>201</v>
      </c>
      <c r="S4050">
        <v>1</v>
      </c>
      <c r="T4050">
        <v>1</v>
      </c>
      <c r="U4050">
        <v>98892</v>
      </c>
      <c r="V4050">
        <v>98892</v>
      </c>
    </row>
    <row r="4051" spans="1:22">
      <c r="A4051" t="s">
        <v>196</v>
      </c>
      <c r="B4051">
        <v>81</v>
      </c>
      <c r="C4051" t="s">
        <v>1699</v>
      </c>
      <c r="D4051">
        <v>100</v>
      </c>
      <c r="E4051" t="s">
        <v>197</v>
      </c>
      <c r="F4051">
        <v>1005</v>
      </c>
      <c r="G4051" t="s">
        <v>46</v>
      </c>
      <c r="H4051">
        <v>2006</v>
      </c>
      <c r="I4051" t="s">
        <v>109</v>
      </c>
      <c r="J4051">
        <v>3009</v>
      </c>
      <c r="K4051" t="s">
        <v>1708</v>
      </c>
      <c r="L4051">
        <v>4014</v>
      </c>
      <c r="M4051" t="s">
        <v>1710</v>
      </c>
      <c r="N4051" t="s">
        <v>1227</v>
      </c>
      <c r="O4051">
        <v>54</v>
      </c>
      <c r="P4051">
        <v>175</v>
      </c>
      <c r="Q4051" t="s">
        <v>1228</v>
      </c>
      <c r="R4051" t="s">
        <v>201</v>
      </c>
      <c r="S4051">
        <v>2</v>
      </c>
      <c r="T4051">
        <v>1</v>
      </c>
      <c r="U4051">
        <v>86052</v>
      </c>
      <c r="V4051">
        <v>172104</v>
      </c>
    </row>
    <row r="4052" spans="1:22">
      <c r="A4052" t="s">
        <v>196</v>
      </c>
      <c r="B4052">
        <v>81</v>
      </c>
      <c r="C4052" t="s">
        <v>1699</v>
      </c>
      <c r="D4052">
        <v>100</v>
      </c>
      <c r="E4052" t="s">
        <v>197</v>
      </c>
      <c r="F4052">
        <v>1005</v>
      </c>
      <c r="G4052" t="s">
        <v>46</v>
      </c>
      <c r="H4052">
        <v>2006</v>
      </c>
      <c r="I4052" t="s">
        <v>109</v>
      </c>
      <c r="J4052">
        <v>3009</v>
      </c>
      <c r="K4052" t="s">
        <v>1708</v>
      </c>
      <c r="L4052">
        <v>4014</v>
      </c>
      <c r="M4052" t="s">
        <v>1710</v>
      </c>
      <c r="N4052" t="s">
        <v>253</v>
      </c>
      <c r="O4052">
        <v>10</v>
      </c>
      <c r="P4052">
        <v>122</v>
      </c>
      <c r="Q4052" t="s">
        <v>1711</v>
      </c>
      <c r="R4052" t="s">
        <v>201</v>
      </c>
      <c r="S4052">
        <v>1</v>
      </c>
      <c r="T4052">
        <v>1</v>
      </c>
      <c r="U4052">
        <v>97836</v>
      </c>
      <c r="V4052">
        <v>97836</v>
      </c>
    </row>
    <row r="4053" spans="1:22">
      <c r="A4053" t="s">
        <v>196</v>
      </c>
      <c r="B4053">
        <v>81</v>
      </c>
      <c r="C4053" t="s">
        <v>1699</v>
      </c>
      <c r="D4053">
        <v>100</v>
      </c>
      <c r="E4053" t="s">
        <v>197</v>
      </c>
      <c r="F4053">
        <v>1005</v>
      </c>
      <c r="G4053" t="s">
        <v>46</v>
      </c>
      <c r="H4053">
        <v>2006</v>
      </c>
      <c r="I4053" t="s">
        <v>109</v>
      </c>
      <c r="J4053">
        <v>3009</v>
      </c>
      <c r="K4053" t="s">
        <v>1708</v>
      </c>
      <c r="L4053">
        <v>4014</v>
      </c>
      <c r="M4053" t="s">
        <v>1710</v>
      </c>
      <c r="N4053" t="s">
        <v>199</v>
      </c>
      <c r="O4053">
        <v>0</v>
      </c>
      <c r="P4053">
        <v>15</v>
      </c>
      <c r="Q4053" t="s">
        <v>264</v>
      </c>
      <c r="R4053" t="s">
        <v>201</v>
      </c>
      <c r="S4053">
        <v>0</v>
      </c>
      <c r="T4053">
        <v>0</v>
      </c>
      <c r="U4053">
        <v>7501</v>
      </c>
      <c r="V4053">
        <v>7501</v>
      </c>
    </row>
    <row r="4054" spans="1:22">
      <c r="A4054" t="s">
        <v>196</v>
      </c>
      <c r="B4054">
        <v>81</v>
      </c>
      <c r="C4054" t="s">
        <v>1699</v>
      </c>
      <c r="D4054">
        <v>100</v>
      </c>
      <c r="E4054" t="s">
        <v>197</v>
      </c>
      <c r="F4054">
        <v>1005</v>
      </c>
      <c r="G4054" t="s">
        <v>46</v>
      </c>
      <c r="H4054">
        <v>2006</v>
      </c>
      <c r="I4054" t="s">
        <v>109</v>
      </c>
      <c r="J4054">
        <v>3010</v>
      </c>
      <c r="K4054" t="s">
        <v>1712</v>
      </c>
      <c r="L4054">
        <v>4015</v>
      </c>
      <c r="M4054" t="s">
        <v>1713</v>
      </c>
      <c r="N4054" t="s">
        <v>1294</v>
      </c>
      <c r="O4054">
        <v>0</v>
      </c>
      <c r="P4054">
        <v>9681</v>
      </c>
      <c r="Q4054" t="s">
        <v>338</v>
      </c>
      <c r="R4054" t="s">
        <v>201</v>
      </c>
      <c r="S4054">
        <v>1</v>
      </c>
      <c r="T4054">
        <v>1</v>
      </c>
      <c r="U4054">
        <v>184584</v>
      </c>
      <c r="V4054">
        <v>184584</v>
      </c>
    </row>
    <row r="4055" spans="1:22">
      <c r="A4055" t="s">
        <v>196</v>
      </c>
      <c r="B4055">
        <v>81</v>
      </c>
      <c r="C4055" t="s">
        <v>1699</v>
      </c>
      <c r="D4055">
        <v>100</v>
      </c>
      <c r="E4055" t="s">
        <v>197</v>
      </c>
      <c r="F4055">
        <v>1005</v>
      </c>
      <c r="G4055" t="s">
        <v>46</v>
      </c>
      <c r="H4055">
        <v>2006</v>
      </c>
      <c r="I4055" t="s">
        <v>109</v>
      </c>
      <c r="J4055">
        <v>3010</v>
      </c>
      <c r="K4055" t="s">
        <v>1712</v>
      </c>
      <c r="L4055">
        <v>4015</v>
      </c>
      <c r="M4055" t="s">
        <v>1713</v>
      </c>
      <c r="N4055" t="s">
        <v>253</v>
      </c>
      <c r="O4055">
        <v>20</v>
      </c>
      <c r="P4055">
        <v>381</v>
      </c>
      <c r="Q4055" t="s">
        <v>730</v>
      </c>
      <c r="R4055" t="s">
        <v>201</v>
      </c>
      <c r="S4055">
        <v>1</v>
      </c>
      <c r="T4055">
        <v>1</v>
      </c>
      <c r="U4055">
        <v>103488</v>
      </c>
      <c r="V4055">
        <v>103488</v>
      </c>
    </row>
    <row r="4056" spans="1:22">
      <c r="A4056" t="s">
        <v>196</v>
      </c>
      <c r="B4056">
        <v>81</v>
      </c>
      <c r="C4056" t="s">
        <v>1699</v>
      </c>
      <c r="D4056">
        <v>100</v>
      </c>
      <c r="E4056" t="s">
        <v>197</v>
      </c>
      <c r="F4056">
        <v>1005</v>
      </c>
      <c r="G4056" t="s">
        <v>46</v>
      </c>
      <c r="H4056">
        <v>2006</v>
      </c>
      <c r="I4056" t="s">
        <v>109</v>
      </c>
      <c r="J4056">
        <v>3010</v>
      </c>
      <c r="K4056" t="s">
        <v>1712</v>
      </c>
      <c r="L4056">
        <v>4015</v>
      </c>
      <c r="M4056" t="s">
        <v>1713</v>
      </c>
      <c r="N4056" t="s">
        <v>253</v>
      </c>
      <c r="O4056">
        <v>20</v>
      </c>
      <c r="P4056">
        <v>381</v>
      </c>
      <c r="Q4056" t="s">
        <v>730</v>
      </c>
      <c r="R4056" t="s">
        <v>201</v>
      </c>
      <c r="S4056">
        <v>1</v>
      </c>
      <c r="T4056">
        <v>1</v>
      </c>
      <c r="U4056">
        <v>93384</v>
      </c>
      <c r="V4056">
        <v>93384</v>
      </c>
    </row>
    <row r="4057" spans="1:22">
      <c r="A4057" t="s">
        <v>196</v>
      </c>
      <c r="B4057">
        <v>81</v>
      </c>
      <c r="C4057" t="s">
        <v>1699</v>
      </c>
      <c r="D4057">
        <v>100</v>
      </c>
      <c r="E4057" t="s">
        <v>197</v>
      </c>
      <c r="F4057">
        <v>1005</v>
      </c>
      <c r="G4057" t="s">
        <v>46</v>
      </c>
      <c r="H4057">
        <v>2006</v>
      </c>
      <c r="I4057" t="s">
        <v>109</v>
      </c>
      <c r="J4057">
        <v>3010</v>
      </c>
      <c r="K4057" t="s">
        <v>1712</v>
      </c>
      <c r="L4057">
        <v>4015</v>
      </c>
      <c r="M4057" t="s">
        <v>1713</v>
      </c>
      <c r="N4057" t="s">
        <v>253</v>
      </c>
      <c r="O4057">
        <v>20</v>
      </c>
      <c r="P4057">
        <v>381</v>
      </c>
      <c r="Q4057" t="s">
        <v>730</v>
      </c>
      <c r="R4057" t="s">
        <v>201</v>
      </c>
      <c r="S4057">
        <v>1</v>
      </c>
      <c r="T4057">
        <v>1</v>
      </c>
      <c r="U4057">
        <v>83052</v>
      </c>
      <c r="V4057">
        <v>83052</v>
      </c>
    </row>
    <row r="4058" spans="1:22">
      <c r="A4058" t="s">
        <v>196</v>
      </c>
      <c r="B4058">
        <v>81</v>
      </c>
      <c r="C4058" t="s">
        <v>1699</v>
      </c>
      <c r="D4058">
        <v>100</v>
      </c>
      <c r="E4058" t="s">
        <v>197</v>
      </c>
      <c r="F4058">
        <v>1005</v>
      </c>
      <c r="G4058" t="s">
        <v>46</v>
      </c>
      <c r="H4058">
        <v>2006</v>
      </c>
      <c r="I4058" t="s">
        <v>109</v>
      </c>
      <c r="J4058">
        <v>3010</v>
      </c>
      <c r="K4058" t="s">
        <v>1712</v>
      </c>
      <c r="L4058">
        <v>4015</v>
      </c>
      <c r="M4058" t="s">
        <v>1713</v>
      </c>
      <c r="N4058" t="s">
        <v>199</v>
      </c>
      <c r="O4058">
        <v>0</v>
      </c>
      <c r="P4058">
        <v>15</v>
      </c>
      <c r="Q4058" t="s">
        <v>264</v>
      </c>
      <c r="R4058" t="s">
        <v>201</v>
      </c>
      <c r="S4058">
        <v>0</v>
      </c>
      <c r="T4058">
        <v>0</v>
      </c>
      <c r="U4058">
        <v>6830</v>
      </c>
      <c r="V4058">
        <v>6830</v>
      </c>
    </row>
    <row r="4059" spans="1:22">
      <c r="A4059" t="s">
        <v>196</v>
      </c>
      <c r="B4059">
        <v>81</v>
      </c>
      <c r="C4059" t="s">
        <v>1699</v>
      </c>
      <c r="D4059">
        <v>100</v>
      </c>
      <c r="E4059" t="s">
        <v>197</v>
      </c>
      <c r="F4059">
        <v>1005</v>
      </c>
      <c r="G4059" t="s">
        <v>46</v>
      </c>
      <c r="H4059">
        <v>2006</v>
      </c>
      <c r="I4059" t="s">
        <v>109</v>
      </c>
      <c r="J4059">
        <v>3010</v>
      </c>
      <c r="K4059" t="s">
        <v>1712</v>
      </c>
      <c r="L4059">
        <v>4016</v>
      </c>
      <c r="M4059" t="s">
        <v>1714</v>
      </c>
      <c r="N4059" t="s">
        <v>392</v>
      </c>
      <c r="O4059">
        <v>4</v>
      </c>
      <c r="P4059">
        <v>345</v>
      </c>
      <c r="Q4059" t="s">
        <v>393</v>
      </c>
      <c r="R4059" t="s">
        <v>201</v>
      </c>
      <c r="S4059">
        <v>1</v>
      </c>
      <c r="T4059">
        <v>1</v>
      </c>
      <c r="U4059">
        <v>136908</v>
      </c>
      <c r="V4059">
        <v>136908</v>
      </c>
    </row>
    <row r="4060" spans="1:22">
      <c r="A4060" t="s">
        <v>196</v>
      </c>
      <c r="B4060">
        <v>81</v>
      </c>
      <c r="C4060" t="s">
        <v>1699</v>
      </c>
      <c r="D4060">
        <v>100</v>
      </c>
      <c r="E4060" t="s">
        <v>197</v>
      </c>
      <c r="F4060">
        <v>1005</v>
      </c>
      <c r="G4060" t="s">
        <v>46</v>
      </c>
      <c r="H4060">
        <v>2006</v>
      </c>
      <c r="I4060" t="s">
        <v>109</v>
      </c>
      <c r="J4060">
        <v>3010</v>
      </c>
      <c r="K4060" t="s">
        <v>1712</v>
      </c>
      <c r="L4060">
        <v>4016</v>
      </c>
      <c r="M4060" t="s">
        <v>1714</v>
      </c>
      <c r="N4060" t="s">
        <v>199</v>
      </c>
      <c r="O4060">
        <v>0</v>
      </c>
      <c r="P4060">
        <v>15</v>
      </c>
      <c r="Q4060" t="s">
        <v>264</v>
      </c>
      <c r="R4060" t="s">
        <v>201</v>
      </c>
      <c r="S4060">
        <v>0</v>
      </c>
      <c r="T4060">
        <v>0</v>
      </c>
      <c r="U4060">
        <v>1313</v>
      </c>
      <c r="V4060">
        <v>1313</v>
      </c>
    </row>
    <row r="4061" spans="1:22">
      <c r="A4061" t="s">
        <v>196</v>
      </c>
      <c r="B4061">
        <v>81</v>
      </c>
      <c r="C4061" t="s">
        <v>1699</v>
      </c>
      <c r="D4061">
        <v>100</v>
      </c>
      <c r="E4061" t="s">
        <v>197</v>
      </c>
      <c r="F4061">
        <v>1005</v>
      </c>
      <c r="G4061" t="s">
        <v>46</v>
      </c>
      <c r="H4061">
        <v>2006</v>
      </c>
      <c r="I4061" t="s">
        <v>109</v>
      </c>
      <c r="J4061">
        <v>3010</v>
      </c>
      <c r="K4061" t="s">
        <v>1712</v>
      </c>
      <c r="L4061">
        <v>4017</v>
      </c>
      <c r="M4061" t="s">
        <v>1715</v>
      </c>
      <c r="N4061" t="s">
        <v>1314</v>
      </c>
      <c r="O4061">
        <v>0</v>
      </c>
      <c r="P4061" t="s">
        <v>1716</v>
      </c>
      <c r="Q4061" t="s">
        <v>790</v>
      </c>
      <c r="R4061" t="s">
        <v>201</v>
      </c>
      <c r="S4061">
        <v>1</v>
      </c>
      <c r="T4061">
        <v>1</v>
      </c>
      <c r="U4061">
        <v>167700</v>
      </c>
      <c r="V4061">
        <v>167700</v>
      </c>
    </row>
    <row r="4062" spans="1:22">
      <c r="A4062" t="s">
        <v>196</v>
      </c>
      <c r="B4062">
        <v>81</v>
      </c>
      <c r="C4062" t="s">
        <v>1699</v>
      </c>
      <c r="D4062">
        <v>100</v>
      </c>
      <c r="E4062" t="s">
        <v>197</v>
      </c>
      <c r="F4062">
        <v>1005</v>
      </c>
      <c r="G4062" t="s">
        <v>46</v>
      </c>
      <c r="H4062">
        <v>2006</v>
      </c>
      <c r="I4062" t="s">
        <v>109</v>
      </c>
      <c r="J4062">
        <v>3010</v>
      </c>
      <c r="K4062" t="s">
        <v>1712</v>
      </c>
      <c r="L4062">
        <v>4017</v>
      </c>
      <c r="M4062" t="s">
        <v>1715</v>
      </c>
      <c r="N4062" t="s">
        <v>392</v>
      </c>
      <c r="O4062">
        <v>1</v>
      </c>
      <c r="P4062">
        <v>634</v>
      </c>
      <c r="Q4062" t="s">
        <v>729</v>
      </c>
      <c r="R4062" t="s">
        <v>201</v>
      </c>
      <c r="S4062">
        <v>1</v>
      </c>
      <c r="T4062">
        <v>1</v>
      </c>
      <c r="U4062">
        <v>157332</v>
      </c>
      <c r="V4062">
        <v>157332</v>
      </c>
    </row>
    <row r="4063" spans="1:22">
      <c r="A4063" t="s">
        <v>196</v>
      </c>
      <c r="B4063">
        <v>81</v>
      </c>
      <c r="C4063" t="s">
        <v>1699</v>
      </c>
      <c r="D4063">
        <v>100</v>
      </c>
      <c r="E4063" t="s">
        <v>197</v>
      </c>
      <c r="F4063">
        <v>1005</v>
      </c>
      <c r="G4063" t="s">
        <v>46</v>
      </c>
      <c r="H4063">
        <v>2006</v>
      </c>
      <c r="I4063" t="s">
        <v>109</v>
      </c>
      <c r="J4063">
        <v>3010</v>
      </c>
      <c r="K4063" t="s">
        <v>1712</v>
      </c>
      <c r="L4063">
        <v>4017</v>
      </c>
      <c r="M4063" t="s">
        <v>1715</v>
      </c>
      <c r="N4063" t="s">
        <v>392</v>
      </c>
      <c r="O4063">
        <v>1</v>
      </c>
      <c r="P4063">
        <v>634</v>
      </c>
      <c r="Q4063" t="s">
        <v>729</v>
      </c>
      <c r="R4063" t="s">
        <v>201</v>
      </c>
      <c r="S4063">
        <v>1</v>
      </c>
      <c r="T4063">
        <v>1</v>
      </c>
      <c r="U4063">
        <v>112536</v>
      </c>
      <c r="V4063">
        <v>112536</v>
      </c>
    </row>
    <row r="4064" spans="1:22">
      <c r="A4064" t="s">
        <v>196</v>
      </c>
      <c r="B4064">
        <v>81</v>
      </c>
      <c r="C4064" t="s">
        <v>1699</v>
      </c>
      <c r="D4064">
        <v>100</v>
      </c>
      <c r="E4064" t="s">
        <v>197</v>
      </c>
      <c r="F4064">
        <v>1005</v>
      </c>
      <c r="G4064" t="s">
        <v>46</v>
      </c>
      <c r="H4064">
        <v>2006</v>
      </c>
      <c r="I4064" t="s">
        <v>109</v>
      </c>
      <c r="J4064">
        <v>3010</v>
      </c>
      <c r="K4064" t="s">
        <v>1712</v>
      </c>
      <c r="L4064">
        <v>4017</v>
      </c>
      <c r="M4064" t="s">
        <v>1715</v>
      </c>
      <c r="N4064" t="s">
        <v>199</v>
      </c>
      <c r="O4064">
        <v>0</v>
      </c>
      <c r="P4064">
        <v>15</v>
      </c>
      <c r="Q4064" t="s">
        <v>264</v>
      </c>
      <c r="R4064" t="s">
        <v>201</v>
      </c>
      <c r="S4064">
        <v>0</v>
      </c>
      <c r="T4064">
        <v>0</v>
      </c>
      <c r="U4064">
        <v>7964</v>
      </c>
      <c r="V4064">
        <v>7964</v>
      </c>
    </row>
    <row r="4065" spans="1:22">
      <c r="A4065" t="s">
        <v>196</v>
      </c>
      <c r="B4065">
        <v>81</v>
      </c>
      <c r="C4065" t="s">
        <v>1699</v>
      </c>
      <c r="D4065">
        <v>100</v>
      </c>
      <c r="E4065" t="s">
        <v>197</v>
      </c>
      <c r="F4065">
        <v>1015</v>
      </c>
      <c r="G4065" t="s">
        <v>7</v>
      </c>
      <c r="H4065">
        <v>2020</v>
      </c>
      <c r="I4065" t="s">
        <v>7</v>
      </c>
      <c r="J4065">
        <v>3050</v>
      </c>
      <c r="K4065" t="s">
        <v>1717</v>
      </c>
      <c r="L4065">
        <v>4021</v>
      </c>
      <c r="M4065" t="s">
        <v>1718</v>
      </c>
      <c r="N4065" t="s">
        <v>1294</v>
      </c>
      <c r="O4065">
        <v>0</v>
      </c>
      <c r="P4065">
        <v>9681</v>
      </c>
      <c r="Q4065" t="s">
        <v>338</v>
      </c>
      <c r="R4065" t="s">
        <v>201</v>
      </c>
      <c r="S4065">
        <v>1</v>
      </c>
      <c r="T4065">
        <v>1</v>
      </c>
      <c r="U4065">
        <v>184584</v>
      </c>
      <c r="V4065">
        <v>184584</v>
      </c>
    </row>
    <row r="4066" spans="1:22">
      <c r="A4066" t="s">
        <v>196</v>
      </c>
      <c r="B4066">
        <v>81</v>
      </c>
      <c r="C4066" t="s">
        <v>1699</v>
      </c>
      <c r="D4066">
        <v>100</v>
      </c>
      <c r="E4066" t="s">
        <v>197</v>
      </c>
      <c r="F4066">
        <v>1015</v>
      </c>
      <c r="G4066" t="s">
        <v>7</v>
      </c>
      <c r="H4066">
        <v>2020</v>
      </c>
      <c r="I4066" t="s">
        <v>7</v>
      </c>
      <c r="J4066">
        <v>3050</v>
      </c>
      <c r="K4066" t="s">
        <v>1717</v>
      </c>
      <c r="L4066">
        <v>4021</v>
      </c>
      <c r="M4066" t="s">
        <v>1718</v>
      </c>
      <c r="N4066" t="s">
        <v>731</v>
      </c>
      <c r="O4066">
        <v>10</v>
      </c>
      <c r="P4066">
        <v>8185</v>
      </c>
      <c r="Q4066" t="s">
        <v>1701</v>
      </c>
      <c r="R4066" t="s">
        <v>201</v>
      </c>
      <c r="S4066">
        <v>1</v>
      </c>
      <c r="T4066">
        <v>1</v>
      </c>
      <c r="U4066">
        <v>157212</v>
      </c>
      <c r="V4066">
        <v>157212</v>
      </c>
    </row>
    <row r="4067" spans="1:22">
      <c r="A4067" t="s">
        <v>196</v>
      </c>
      <c r="B4067">
        <v>81</v>
      </c>
      <c r="C4067" t="s">
        <v>1699</v>
      </c>
      <c r="D4067">
        <v>100</v>
      </c>
      <c r="E4067" t="s">
        <v>197</v>
      </c>
      <c r="F4067">
        <v>1015</v>
      </c>
      <c r="G4067" t="s">
        <v>7</v>
      </c>
      <c r="H4067">
        <v>2020</v>
      </c>
      <c r="I4067" t="s">
        <v>7</v>
      </c>
      <c r="J4067">
        <v>3050</v>
      </c>
      <c r="K4067" t="s">
        <v>1717</v>
      </c>
      <c r="L4067">
        <v>4021</v>
      </c>
      <c r="M4067" t="s">
        <v>1718</v>
      </c>
      <c r="N4067" t="s">
        <v>731</v>
      </c>
      <c r="O4067">
        <v>10</v>
      </c>
      <c r="P4067">
        <v>8185</v>
      </c>
      <c r="Q4067" t="s">
        <v>1701</v>
      </c>
      <c r="R4067" t="s">
        <v>201</v>
      </c>
      <c r="S4067">
        <v>1</v>
      </c>
      <c r="T4067">
        <v>1</v>
      </c>
      <c r="U4067">
        <v>150072</v>
      </c>
      <c r="V4067">
        <v>150072</v>
      </c>
    </row>
    <row r="4068" spans="1:22">
      <c r="A4068" t="s">
        <v>196</v>
      </c>
      <c r="B4068">
        <v>81</v>
      </c>
      <c r="C4068" t="s">
        <v>1699</v>
      </c>
      <c r="D4068">
        <v>100</v>
      </c>
      <c r="E4068" t="s">
        <v>197</v>
      </c>
      <c r="F4068">
        <v>1015</v>
      </c>
      <c r="G4068" t="s">
        <v>7</v>
      </c>
      <c r="H4068">
        <v>2020</v>
      </c>
      <c r="I4068" t="s">
        <v>7</v>
      </c>
      <c r="J4068">
        <v>3050</v>
      </c>
      <c r="K4068" t="s">
        <v>1717</v>
      </c>
      <c r="L4068">
        <v>4021</v>
      </c>
      <c r="M4068" t="s">
        <v>1718</v>
      </c>
      <c r="N4068" t="s">
        <v>731</v>
      </c>
      <c r="O4068">
        <v>10</v>
      </c>
      <c r="P4068">
        <v>8185</v>
      </c>
      <c r="Q4068" t="s">
        <v>1701</v>
      </c>
      <c r="R4068" t="s">
        <v>201</v>
      </c>
      <c r="S4068">
        <v>1</v>
      </c>
      <c r="T4068">
        <v>1</v>
      </c>
      <c r="U4068">
        <v>130524</v>
      </c>
      <c r="V4068">
        <v>130524</v>
      </c>
    </row>
    <row r="4069" spans="1:22">
      <c r="A4069" t="s">
        <v>196</v>
      </c>
      <c r="B4069">
        <v>81</v>
      </c>
      <c r="C4069" t="s">
        <v>1699</v>
      </c>
      <c r="D4069">
        <v>100</v>
      </c>
      <c r="E4069" t="s">
        <v>197</v>
      </c>
      <c r="F4069">
        <v>1015</v>
      </c>
      <c r="G4069" t="s">
        <v>7</v>
      </c>
      <c r="H4069">
        <v>2020</v>
      </c>
      <c r="I4069" t="s">
        <v>7</v>
      </c>
      <c r="J4069">
        <v>3050</v>
      </c>
      <c r="K4069" t="s">
        <v>1717</v>
      </c>
      <c r="L4069">
        <v>4021</v>
      </c>
      <c r="M4069" t="s">
        <v>1718</v>
      </c>
      <c r="N4069" t="s">
        <v>731</v>
      </c>
      <c r="O4069">
        <v>10</v>
      </c>
      <c r="P4069">
        <v>8185</v>
      </c>
      <c r="Q4069" t="s">
        <v>1701</v>
      </c>
      <c r="R4069" t="s">
        <v>201</v>
      </c>
      <c r="S4069">
        <v>2</v>
      </c>
      <c r="T4069">
        <v>1</v>
      </c>
      <c r="U4069">
        <v>124584</v>
      </c>
      <c r="V4069">
        <v>249168</v>
      </c>
    </row>
    <row r="4070" spans="1:22">
      <c r="A4070" t="s">
        <v>196</v>
      </c>
      <c r="B4070">
        <v>81</v>
      </c>
      <c r="C4070" t="s">
        <v>1699</v>
      </c>
      <c r="D4070">
        <v>100</v>
      </c>
      <c r="E4070" t="s">
        <v>197</v>
      </c>
      <c r="F4070">
        <v>1015</v>
      </c>
      <c r="G4070" t="s">
        <v>7</v>
      </c>
      <c r="H4070">
        <v>2020</v>
      </c>
      <c r="I4070" t="s">
        <v>7</v>
      </c>
      <c r="J4070">
        <v>3050</v>
      </c>
      <c r="K4070" t="s">
        <v>1717</v>
      </c>
      <c r="L4070">
        <v>4021</v>
      </c>
      <c r="M4070" t="s">
        <v>1718</v>
      </c>
      <c r="N4070" t="s">
        <v>731</v>
      </c>
      <c r="O4070">
        <v>10</v>
      </c>
      <c r="P4070">
        <v>8185</v>
      </c>
      <c r="Q4070" t="s">
        <v>1701</v>
      </c>
      <c r="R4070" t="s">
        <v>201</v>
      </c>
      <c r="S4070">
        <v>1</v>
      </c>
      <c r="T4070">
        <v>1</v>
      </c>
      <c r="U4070">
        <v>117780</v>
      </c>
      <c r="V4070">
        <v>117780</v>
      </c>
    </row>
    <row r="4071" spans="1:22">
      <c r="A4071" t="s">
        <v>196</v>
      </c>
      <c r="B4071">
        <v>81</v>
      </c>
      <c r="C4071" t="s">
        <v>1699</v>
      </c>
      <c r="D4071">
        <v>100</v>
      </c>
      <c r="E4071" t="s">
        <v>197</v>
      </c>
      <c r="F4071">
        <v>1015</v>
      </c>
      <c r="G4071" t="s">
        <v>7</v>
      </c>
      <c r="H4071">
        <v>2020</v>
      </c>
      <c r="I4071" t="s">
        <v>7</v>
      </c>
      <c r="J4071">
        <v>3050</v>
      </c>
      <c r="K4071" t="s">
        <v>1717</v>
      </c>
      <c r="L4071">
        <v>4021</v>
      </c>
      <c r="M4071" t="s">
        <v>1718</v>
      </c>
      <c r="N4071" t="s">
        <v>731</v>
      </c>
      <c r="O4071">
        <v>10</v>
      </c>
      <c r="P4071">
        <v>8185</v>
      </c>
      <c r="Q4071" t="s">
        <v>1701</v>
      </c>
      <c r="R4071" t="s">
        <v>201</v>
      </c>
      <c r="S4071">
        <v>2</v>
      </c>
      <c r="T4071">
        <v>1</v>
      </c>
      <c r="U4071">
        <v>112440</v>
      </c>
      <c r="V4071">
        <v>224880</v>
      </c>
    </row>
    <row r="4072" spans="1:22">
      <c r="A4072" t="s">
        <v>196</v>
      </c>
      <c r="B4072">
        <v>81</v>
      </c>
      <c r="C4072" t="s">
        <v>1699</v>
      </c>
      <c r="D4072">
        <v>100</v>
      </c>
      <c r="E4072" t="s">
        <v>197</v>
      </c>
      <c r="F4072">
        <v>1015</v>
      </c>
      <c r="G4072" t="s">
        <v>7</v>
      </c>
      <c r="H4072">
        <v>2020</v>
      </c>
      <c r="I4072" t="s">
        <v>7</v>
      </c>
      <c r="J4072">
        <v>3050</v>
      </c>
      <c r="K4072" t="s">
        <v>1717</v>
      </c>
      <c r="L4072">
        <v>4021</v>
      </c>
      <c r="M4072" t="s">
        <v>1718</v>
      </c>
      <c r="N4072" t="s">
        <v>731</v>
      </c>
      <c r="O4072">
        <v>10</v>
      </c>
      <c r="P4072">
        <v>8185</v>
      </c>
      <c r="Q4072" t="s">
        <v>1701</v>
      </c>
      <c r="R4072" t="s">
        <v>201</v>
      </c>
      <c r="S4072">
        <v>1</v>
      </c>
      <c r="T4072">
        <v>1</v>
      </c>
      <c r="U4072">
        <v>107340</v>
      </c>
      <c r="V4072">
        <v>107340</v>
      </c>
    </row>
    <row r="4073" spans="1:22">
      <c r="A4073" t="s">
        <v>196</v>
      </c>
      <c r="B4073">
        <v>81</v>
      </c>
      <c r="C4073" t="s">
        <v>1699</v>
      </c>
      <c r="D4073">
        <v>100</v>
      </c>
      <c r="E4073" t="s">
        <v>197</v>
      </c>
      <c r="F4073">
        <v>1015</v>
      </c>
      <c r="G4073" t="s">
        <v>7</v>
      </c>
      <c r="H4073">
        <v>2020</v>
      </c>
      <c r="I4073" t="s">
        <v>7</v>
      </c>
      <c r="J4073">
        <v>3050</v>
      </c>
      <c r="K4073" t="s">
        <v>1717</v>
      </c>
      <c r="L4073">
        <v>4021</v>
      </c>
      <c r="M4073" t="s">
        <v>1718</v>
      </c>
      <c r="N4073" t="s">
        <v>1719</v>
      </c>
      <c r="O4073">
        <v>10</v>
      </c>
      <c r="P4073">
        <v>8184</v>
      </c>
      <c r="Q4073" t="s">
        <v>1720</v>
      </c>
      <c r="R4073" t="s">
        <v>201</v>
      </c>
      <c r="S4073">
        <v>1</v>
      </c>
      <c r="T4073">
        <v>1</v>
      </c>
      <c r="U4073">
        <v>150072</v>
      </c>
      <c r="V4073">
        <v>150072</v>
      </c>
    </row>
    <row r="4074" spans="1:22">
      <c r="A4074" t="s">
        <v>196</v>
      </c>
      <c r="B4074">
        <v>81</v>
      </c>
      <c r="C4074" t="s">
        <v>1699</v>
      </c>
      <c r="D4074">
        <v>100</v>
      </c>
      <c r="E4074" t="s">
        <v>197</v>
      </c>
      <c r="F4074">
        <v>1015</v>
      </c>
      <c r="G4074" t="s">
        <v>7</v>
      </c>
      <c r="H4074">
        <v>2020</v>
      </c>
      <c r="I4074" t="s">
        <v>7</v>
      </c>
      <c r="J4074">
        <v>3050</v>
      </c>
      <c r="K4074" t="s">
        <v>1717</v>
      </c>
      <c r="L4074">
        <v>4021</v>
      </c>
      <c r="M4074" t="s">
        <v>1718</v>
      </c>
      <c r="N4074" t="s">
        <v>731</v>
      </c>
      <c r="O4074">
        <v>10</v>
      </c>
      <c r="P4074">
        <v>8175</v>
      </c>
      <c r="Q4074" t="s">
        <v>1721</v>
      </c>
      <c r="R4074" t="s">
        <v>201</v>
      </c>
      <c r="S4074">
        <v>3</v>
      </c>
      <c r="T4074">
        <v>1</v>
      </c>
      <c r="U4074">
        <v>157212</v>
      </c>
      <c r="V4074">
        <v>471636</v>
      </c>
    </row>
    <row r="4075" spans="1:22">
      <c r="A4075" t="s">
        <v>196</v>
      </c>
      <c r="B4075">
        <v>81</v>
      </c>
      <c r="C4075" t="s">
        <v>1699</v>
      </c>
      <c r="D4075">
        <v>100</v>
      </c>
      <c r="E4075" t="s">
        <v>197</v>
      </c>
      <c r="F4075">
        <v>1015</v>
      </c>
      <c r="G4075" t="s">
        <v>7</v>
      </c>
      <c r="H4075">
        <v>2020</v>
      </c>
      <c r="I4075" t="s">
        <v>7</v>
      </c>
      <c r="J4075">
        <v>3050</v>
      </c>
      <c r="K4075" t="s">
        <v>1717</v>
      </c>
      <c r="L4075">
        <v>4021</v>
      </c>
      <c r="M4075" t="s">
        <v>1718</v>
      </c>
      <c r="N4075" t="s">
        <v>731</v>
      </c>
      <c r="O4075">
        <v>10</v>
      </c>
      <c r="P4075">
        <v>8175</v>
      </c>
      <c r="Q4075" t="s">
        <v>1721</v>
      </c>
      <c r="R4075" t="s">
        <v>201</v>
      </c>
      <c r="S4075">
        <v>1</v>
      </c>
      <c r="T4075">
        <v>1</v>
      </c>
      <c r="U4075">
        <v>150072</v>
      </c>
      <c r="V4075">
        <v>150072</v>
      </c>
    </row>
    <row r="4076" spans="1:22">
      <c r="A4076" t="s">
        <v>196</v>
      </c>
      <c r="B4076">
        <v>81</v>
      </c>
      <c r="C4076" t="s">
        <v>1699</v>
      </c>
      <c r="D4076">
        <v>100</v>
      </c>
      <c r="E4076" t="s">
        <v>197</v>
      </c>
      <c r="F4076">
        <v>1015</v>
      </c>
      <c r="G4076" t="s">
        <v>7</v>
      </c>
      <c r="H4076">
        <v>2020</v>
      </c>
      <c r="I4076" t="s">
        <v>7</v>
      </c>
      <c r="J4076">
        <v>3050</v>
      </c>
      <c r="K4076" t="s">
        <v>1717</v>
      </c>
      <c r="L4076">
        <v>4021</v>
      </c>
      <c r="M4076" t="s">
        <v>1718</v>
      </c>
      <c r="N4076" t="s">
        <v>731</v>
      </c>
      <c r="O4076">
        <v>10</v>
      </c>
      <c r="P4076">
        <v>8175</v>
      </c>
      <c r="Q4076" t="s">
        <v>1721</v>
      </c>
      <c r="R4076" t="s">
        <v>201</v>
      </c>
      <c r="S4076">
        <v>1</v>
      </c>
      <c r="T4076">
        <v>1</v>
      </c>
      <c r="U4076">
        <v>143232</v>
      </c>
      <c r="V4076">
        <v>143232</v>
      </c>
    </row>
    <row r="4077" spans="1:22">
      <c r="A4077" t="s">
        <v>196</v>
      </c>
      <c r="B4077">
        <v>81</v>
      </c>
      <c r="C4077" t="s">
        <v>1699</v>
      </c>
      <c r="D4077">
        <v>100</v>
      </c>
      <c r="E4077" t="s">
        <v>197</v>
      </c>
      <c r="F4077">
        <v>1015</v>
      </c>
      <c r="G4077" t="s">
        <v>7</v>
      </c>
      <c r="H4077">
        <v>2020</v>
      </c>
      <c r="I4077" t="s">
        <v>7</v>
      </c>
      <c r="J4077">
        <v>3050</v>
      </c>
      <c r="K4077" t="s">
        <v>1717</v>
      </c>
      <c r="L4077">
        <v>4021</v>
      </c>
      <c r="M4077" t="s">
        <v>1718</v>
      </c>
      <c r="N4077" t="s">
        <v>731</v>
      </c>
      <c r="O4077">
        <v>10</v>
      </c>
      <c r="P4077">
        <v>8175</v>
      </c>
      <c r="Q4077" t="s">
        <v>1721</v>
      </c>
      <c r="R4077" t="s">
        <v>201</v>
      </c>
      <c r="S4077">
        <v>1</v>
      </c>
      <c r="T4077">
        <v>1</v>
      </c>
      <c r="U4077">
        <v>136692</v>
      </c>
      <c r="V4077">
        <v>136692</v>
      </c>
    </row>
    <row r="4078" spans="1:22">
      <c r="A4078" t="s">
        <v>196</v>
      </c>
      <c r="B4078">
        <v>81</v>
      </c>
      <c r="C4078" t="s">
        <v>1699</v>
      </c>
      <c r="D4078">
        <v>100</v>
      </c>
      <c r="E4078" t="s">
        <v>197</v>
      </c>
      <c r="F4078">
        <v>1015</v>
      </c>
      <c r="G4078" t="s">
        <v>7</v>
      </c>
      <c r="H4078">
        <v>2020</v>
      </c>
      <c r="I4078" t="s">
        <v>7</v>
      </c>
      <c r="J4078">
        <v>3050</v>
      </c>
      <c r="K4078" t="s">
        <v>1717</v>
      </c>
      <c r="L4078">
        <v>4021</v>
      </c>
      <c r="M4078" t="s">
        <v>1718</v>
      </c>
      <c r="N4078" t="s">
        <v>731</v>
      </c>
      <c r="O4078">
        <v>10</v>
      </c>
      <c r="P4078">
        <v>8175</v>
      </c>
      <c r="Q4078" t="s">
        <v>1721</v>
      </c>
      <c r="R4078" t="s">
        <v>201</v>
      </c>
      <c r="S4078">
        <v>1</v>
      </c>
      <c r="T4078">
        <v>1</v>
      </c>
      <c r="U4078">
        <v>130524</v>
      </c>
      <c r="V4078">
        <v>130524</v>
      </c>
    </row>
    <row r="4079" spans="1:22">
      <c r="A4079" t="s">
        <v>196</v>
      </c>
      <c r="B4079">
        <v>81</v>
      </c>
      <c r="C4079" t="s">
        <v>1699</v>
      </c>
      <c r="D4079">
        <v>100</v>
      </c>
      <c r="E4079" t="s">
        <v>197</v>
      </c>
      <c r="F4079">
        <v>1015</v>
      </c>
      <c r="G4079" t="s">
        <v>7</v>
      </c>
      <c r="H4079">
        <v>2020</v>
      </c>
      <c r="I4079" t="s">
        <v>7</v>
      </c>
      <c r="J4079">
        <v>3050</v>
      </c>
      <c r="K4079" t="s">
        <v>1717</v>
      </c>
      <c r="L4079">
        <v>4021</v>
      </c>
      <c r="M4079" t="s">
        <v>1718</v>
      </c>
      <c r="N4079" t="s">
        <v>731</v>
      </c>
      <c r="O4079">
        <v>10</v>
      </c>
      <c r="P4079">
        <v>8175</v>
      </c>
      <c r="Q4079" t="s">
        <v>1721</v>
      </c>
      <c r="R4079" t="s">
        <v>201</v>
      </c>
      <c r="S4079">
        <v>1</v>
      </c>
      <c r="T4079">
        <v>1</v>
      </c>
      <c r="U4079">
        <v>112440</v>
      </c>
      <c r="V4079">
        <v>112440</v>
      </c>
    </row>
    <row r="4080" spans="1:22">
      <c r="A4080" t="s">
        <v>196</v>
      </c>
      <c r="B4080">
        <v>81</v>
      </c>
      <c r="C4080" t="s">
        <v>1699</v>
      </c>
      <c r="D4080">
        <v>100</v>
      </c>
      <c r="E4080" t="s">
        <v>197</v>
      </c>
      <c r="F4080">
        <v>1015</v>
      </c>
      <c r="G4080" t="s">
        <v>7</v>
      </c>
      <c r="H4080">
        <v>2020</v>
      </c>
      <c r="I4080" t="s">
        <v>7</v>
      </c>
      <c r="J4080">
        <v>3050</v>
      </c>
      <c r="K4080" t="s">
        <v>1717</v>
      </c>
      <c r="L4080">
        <v>4021</v>
      </c>
      <c r="M4080" t="s">
        <v>1718</v>
      </c>
      <c r="N4080" t="s">
        <v>731</v>
      </c>
      <c r="O4080">
        <v>10</v>
      </c>
      <c r="P4080">
        <v>8175</v>
      </c>
      <c r="Q4080" t="s">
        <v>1721</v>
      </c>
      <c r="R4080" t="s">
        <v>201</v>
      </c>
      <c r="S4080">
        <v>1</v>
      </c>
      <c r="T4080">
        <v>1</v>
      </c>
      <c r="U4080">
        <v>102444</v>
      </c>
      <c r="V4080">
        <v>102444</v>
      </c>
    </row>
    <row r="4081" spans="1:22">
      <c r="A4081" t="s">
        <v>196</v>
      </c>
      <c r="B4081">
        <v>81</v>
      </c>
      <c r="C4081" t="s">
        <v>1699</v>
      </c>
      <c r="D4081">
        <v>100</v>
      </c>
      <c r="E4081" t="s">
        <v>197</v>
      </c>
      <c r="F4081">
        <v>1015</v>
      </c>
      <c r="G4081" t="s">
        <v>7</v>
      </c>
      <c r="H4081">
        <v>2020</v>
      </c>
      <c r="I4081" t="s">
        <v>7</v>
      </c>
      <c r="J4081">
        <v>3050</v>
      </c>
      <c r="K4081" t="s">
        <v>1717</v>
      </c>
      <c r="L4081">
        <v>4021</v>
      </c>
      <c r="M4081" t="s">
        <v>1718</v>
      </c>
      <c r="N4081" t="s">
        <v>1704</v>
      </c>
      <c r="O4081">
        <v>54</v>
      </c>
      <c r="P4081">
        <v>8105</v>
      </c>
      <c r="Q4081" t="s">
        <v>1707</v>
      </c>
      <c r="R4081" t="s">
        <v>201</v>
      </c>
      <c r="S4081">
        <v>6</v>
      </c>
      <c r="T4081">
        <v>1</v>
      </c>
      <c r="U4081">
        <v>119052</v>
      </c>
      <c r="V4081">
        <v>714312</v>
      </c>
    </row>
    <row r="4082" spans="1:22">
      <c r="A4082" t="s">
        <v>196</v>
      </c>
      <c r="B4082">
        <v>81</v>
      </c>
      <c r="C4082" t="s">
        <v>1699</v>
      </c>
      <c r="D4082">
        <v>100</v>
      </c>
      <c r="E4082" t="s">
        <v>197</v>
      </c>
      <c r="F4082">
        <v>1015</v>
      </c>
      <c r="G4082" t="s">
        <v>7</v>
      </c>
      <c r="H4082">
        <v>2020</v>
      </c>
      <c r="I4082" t="s">
        <v>7</v>
      </c>
      <c r="J4082">
        <v>3050</v>
      </c>
      <c r="K4082" t="s">
        <v>1717</v>
      </c>
      <c r="L4082">
        <v>4021</v>
      </c>
      <c r="M4082" t="s">
        <v>1718</v>
      </c>
      <c r="N4082" t="s">
        <v>1704</v>
      </c>
      <c r="O4082">
        <v>54</v>
      </c>
      <c r="P4082">
        <v>8105</v>
      </c>
      <c r="Q4082" t="s">
        <v>1707</v>
      </c>
      <c r="R4082" t="s">
        <v>201</v>
      </c>
      <c r="S4082">
        <v>1</v>
      </c>
      <c r="T4082">
        <v>1</v>
      </c>
      <c r="U4082">
        <v>113592</v>
      </c>
      <c r="V4082">
        <v>113592</v>
      </c>
    </row>
    <row r="4083" spans="1:22">
      <c r="A4083" t="s">
        <v>196</v>
      </c>
      <c r="B4083">
        <v>81</v>
      </c>
      <c r="C4083" t="s">
        <v>1699</v>
      </c>
      <c r="D4083">
        <v>100</v>
      </c>
      <c r="E4083" t="s">
        <v>197</v>
      </c>
      <c r="F4083">
        <v>1015</v>
      </c>
      <c r="G4083" t="s">
        <v>7</v>
      </c>
      <c r="H4083">
        <v>2020</v>
      </c>
      <c r="I4083" t="s">
        <v>7</v>
      </c>
      <c r="J4083">
        <v>3050</v>
      </c>
      <c r="K4083" t="s">
        <v>1717</v>
      </c>
      <c r="L4083">
        <v>4021</v>
      </c>
      <c r="M4083" t="s">
        <v>1718</v>
      </c>
      <c r="N4083" t="s">
        <v>1704</v>
      </c>
      <c r="O4083">
        <v>54</v>
      </c>
      <c r="P4083">
        <v>8105</v>
      </c>
      <c r="Q4083" t="s">
        <v>1707</v>
      </c>
      <c r="R4083" t="s">
        <v>201</v>
      </c>
      <c r="S4083">
        <v>3</v>
      </c>
      <c r="T4083">
        <v>1</v>
      </c>
      <c r="U4083">
        <v>108528</v>
      </c>
      <c r="V4083">
        <v>325584</v>
      </c>
    </row>
    <row r="4084" spans="1:22">
      <c r="A4084" t="s">
        <v>196</v>
      </c>
      <c r="B4084">
        <v>81</v>
      </c>
      <c r="C4084" t="s">
        <v>1699</v>
      </c>
      <c r="D4084">
        <v>100</v>
      </c>
      <c r="E4084" t="s">
        <v>197</v>
      </c>
      <c r="F4084">
        <v>1015</v>
      </c>
      <c r="G4084" t="s">
        <v>7</v>
      </c>
      <c r="H4084">
        <v>2020</v>
      </c>
      <c r="I4084" t="s">
        <v>7</v>
      </c>
      <c r="J4084">
        <v>3050</v>
      </c>
      <c r="K4084" t="s">
        <v>1717</v>
      </c>
      <c r="L4084">
        <v>4021</v>
      </c>
      <c r="M4084" t="s">
        <v>1718</v>
      </c>
      <c r="N4084" t="s">
        <v>1704</v>
      </c>
      <c r="O4084">
        <v>54</v>
      </c>
      <c r="P4084">
        <v>8105</v>
      </c>
      <c r="Q4084" t="s">
        <v>1707</v>
      </c>
      <c r="R4084" t="s">
        <v>201</v>
      </c>
      <c r="S4084">
        <v>1</v>
      </c>
      <c r="T4084">
        <v>1</v>
      </c>
      <c r="U4084">
        <v>94428</v>
      </c>
      <c r="V4084">
        <v>94428</v>
      </c>
    </row>
    <row r="4085" spans="1:22">
      <c r="A4085" t="s">
        <v>196</v>
      </c>
      <c r="B4085">
        <v>81</v>
      </c>
      <c r="C4085" t="s">
        <v>1699</v>
      </c>
      <c r="D4085">
        <v>100</v>
      </c>
      <c r="E4085" t="s">
        <v>197</v>
      </c>
      <c r="F4085">
        <v>1015</v>
      </c>
      <c r="G4085" t="s">
        <v>7</v>
      </c>
      <c r="H4085">
        <v>2020</v>
      </c>
      <c r="I4085" t="s">
        <v>7</v>
      </c>
      <c r="J4085">
        <v>3050</v>
      </c>
      <c r="K4085" t="s">
        <v>1717</v>
      </c>
      <c r="L4085">
        <v>4021</v>
      </c>
      <c r="M4085" t="s">
        <v>1718</v>
      </c>
      <c r="N4085" t="s">
        <v>1704</v>
      </c>
      <c r="O4085">
        <v>54</v>
      </c>
      <c r="P4085">
        <v>8105</v>
      </c>
      <c r="Q4085" t="s">
        <v>1707</v>
      </c>
      <c r="R4085" t="s">
        <v>201</v>
      </c>
      <c r="S4085">
        <v>1</v>
      </c>
      <c r="T4085">
        <v>1</v>
      </c>
      <c r="U4085">
        <v>90108</v>
      </c>
      <c r="V4085">
        <v>90108</v>
      </c>
    </row>
    <row r="4086" spans="1:22">
      <c r="A4086" t="s">
        <v>196</v>
      </c>
      <c r="B4086">
        <v>81</v>
      </c>
      <c r="C4086" t="s">
        <v>1699</v>
      </c>
      <c r="D4086">
        <v>100</v>
      </c>
      <c r="E4086" t="s">
        <v>197</v>
      </c>
      <c r="F4086">
        <v>1015</v>
      </c>
      <c r="G4086" t="s">
        <v>7</v>
      </c>
      <c r="H4086">
        <v>2020</v>
      </c>
      <c r="I4086" t="s">
        <v>7</v>
      </c>
      <c r="J4086">
        <v>3050</v>
      </c>
      <c r="K4086" t="s">
        <v>1717</v>
      </c>
      <c r="L4086">
        <v>4021</v>
      </c>
      <c r="M4086" t="s">
        <v>1718</v>
      </c>
      <c r="N4086" t="s">
        <v>1704</v>
      </c>
      <c r="O4086">
        <v>54</v>
      </c>
      <c r="P4086">
        <v>8105</v>
      </c>
      <c r="Q4086" t="s">
        <v>1707</v>
      </c>
      <c r="R4086" t="s">
        <v>201</v>
      </c>
      <c r="S4086">
        <v>2</v>
      </c>
      <c r="T4086">
        <v>1</v>
      </c>
      <c r="U4086">
        <v>70740</v>
      </c>
      <c r="V4086">
        <v>141480</v>
      </c>
    </row>
    <row r="4087" spans="1:22">
      <c r="A4087" t="s">
        <v>196</v>
      </c>
      <c r="B4087">
        <v>81</v>
      </c>
      <c r="C4087" t="s">
        <v>1699</v>
      </c>
      <c r="D4087">
        <v>100</v>
      </c>
      <c r="E4087" t="s">
        <v>197</v>
      </c>
      <c r="F4087">
        <v>1015</v>
      </c>
      <c r="G4087" t="s">
        <v>7</v>
      </c>
      <c r="H4087">
        <v>2020</v>
      </c>
      <c r="I4087" t="s">
        <v>7</v>
      </c>
      <c r="J4087">
        <v>3050</v>
      </c>
      <c r="K4087" t="s">
        <v>1717</v>
      </c>
      <c r="L4087">
        <v>4021</v>
      </c>
      <c r="M4087" t="s">
        <v>1718</v>
      </c>
      <c r="N4087" t="s">
        <v>721</v>
      </c>
      <c r="O4087">
        <v>8</v>
      </c>
      <c r="P4087">
        <v>7183</v>
      </c>
      <c r="Q4087" t="s">
        <v>986</v>
      </c>
      <c r="R4087" t="s">
        <v>713</v>
      </c>
      <c r="S4087">
        <v>1</v>
      </c>
      <c r="T4087">
        <v>1</v>
      </c>
      <c r="U4087">
        <v>48.73</v>
      </c>
      <c r="V4087">
        <v>101358</v>
      </c>
    </row>
    <row r="4088" spans="1:22">
      <c r="A4088" t="s">
        <v>196</v>
      </c>
      <c r="B4088">
        <v>81</v>
      </c>
      <c r="C4088" t="s">
        <v>1699</v>
      </c>
      <c r="D4088">
        <v>100</v>
      </c>
      <c r="E4088" t="s">
        <v>197</v>
      </c>
      <c r="F4088">
        <v>1015</v>
      </c>
      <c r="G4088" t="s">
        <v>7</v>
      </c>
      <c r="H4088">
        <v>2020</v>
      </c>
      <c r="I4088" t="s">
        <v>7</v>
      </c>
      <c r="J4088">
        <v>3050</v>
      </c>
      <c r="K4088" t="s">
        <v>1717</v>
      </c>
      <c r="L4088">
        <v>4021</v>
      </c>
      <c r="M4088" t="s">
        <v>1718</v>
      </c>
      <c r="N4088" t="s">
        <v>1722</v>
      </c>
      <c r="O4088">
        <v>54</v>
      </c>
      <c r="P4088">
        <v>7152</v>
      </c>
      <c r="Q4088" t="s">
        <v>1723</v>
      </c>
      <c r="R4088" t="s">
        <v>201</v>
      </c>
      <c r="S4088">
        <v>23</v>
      </c>
      <c r="T4088">
        <v>1</v>
      </c>
      <c r="U4088">
        <v>130620</v>
      </c>
      <c r="V4088">
        <v>3004260</v>
      </c>
    </row>
    <row r="4089" spans="1:22">
      <c r="A4089" t="s">
        <v>196</v>
      </c>
      <c r="B4089">
        <v>81</v>
      </c>
      <c r="C4089" t="s">
        <v>1699</v>
      </c>
      <c r="D4089">
        <v>100</v>
      </c>
      <c r="E4089" t="s">
        <v>197</v>
      </c>
      <c r="F4089">
        <v>1015</v>
      </c>
      <c r="G4089" t="s">
        <v>7</v>
      </c>
      <c r="H4089">
        <v>2020</v>
      </c>
      <c r="I4089" t="s">
        <v>7</v>
      </c>
      <c r="J4089">
        <v>3050</v>
      </c>
      <c r="K4089" t="s">
        <v>1717</v>
      </c>
      <c r="L4089">
        <v>4021</v>
      </c>
      <c r="M4089" t="s">
        <v>1718</v>
      </c>
      <c r="N4089" t="s">
        <v>1722</v>
      </c>
      <c r="O4089">
        <v>54</v>
      </c>
      <c r="P4089">
        <v>7152</v>
      </c>
      <c r="Q4089" t="s">
        <v>1723</v>
      </c>
      <c r="R4089" t="s">
        <v>201</v>
      </c>
      <c r="S4089">
        <v>5</v>
      </c>
      <c r="T4089">
        <v>1</v>
      </c>
      <c r="U4089">
        <v>124740</v>
      </c>
      <c r="V4089">
        <v>623700</v>
      </c>
    </row>
    <row r="4090" spans="1:22">
      <c r="A4090" t="s">
        <v>196</v>
      </c>
      <c r="B4090">
        <v>81</v>
      </c>
      <c r="C4090" t="s">
        <v>1699</v>
      </c>
      <c r="D4090">
        <v>100</v>
      </c>
      <c r="E4090" t="s">
        <v>197</v>
      </c>
      <c r="F4090">
        <v>1015</v>
      </c>
      <c r="G4090" t="s">
        <v>7</v>
      </c>
      <c r="H4090">
        <v>2020</v>
      </c>
      <c r="I4090" t="s">
        <v>7</v>
      </c>
      <c r="J4090">
        <v>3050</v>
      </c>
      <c r="K4090" t="s">
        <v>1717</v>
      </c>
      <c r="L4090">
        <v>4021</v>
      </c>
      <c r="M4090" t="s">
        <v>1718</v>
      </c>
      <c r="N4090" t="s">
        <v>1722</v>
      </c>
      <c r="O4090">
        <v>54</v>
      </c>
      <c r="P4090">
        <v>7152</v>
      </c>
      <c r="Q4090" t="s">
        <v>1723</v>
      </c>
      <c r="R4090" t="s">
        <v>201</v>
      </c>
      <c r="S4090">
        <v>6</v>
      </c>
      <c r="T4090">
        <v>1</v>
      </c>
      <c r="U4090">
        <v>113592</v>
      </c>
      <c r="V4090">
        <v>681552</v>
      </c>
    </row>
    <row r="4091" spans="1:22">
      <c r="A4091" t="s">
        <v>196</v>
      </c>
      <c r="B4091">
        <v>81</v>
      </c>
      <c r="C4091" t="s">
        <v>1699</v>
      </c>
      <c r="D4091">
        <v>100</v>
      </c>
      <c r="E4091" t="s">
        <v>197</v>
      </c>
      <c r="F4091">
        <v>1015</v>
      </c>
      <c r="G4091" t="s">
        <v>7</v>
      </c>
      <c r="H4091">
        <v>2020</v>
      </c>
      <c r="I4091" t="s">
        <v>7</v>
      </c>
      <c r="J4091">
        <v>3050</v>
      </c>
      <c r="K4091" t="s">
        <v>1717</v>
      </c>
      <c r="L4091">
        <v>4021</v>
      </c>
      <c r="M4091" t="s">
        <v>1718</v>
      </c>
      <c r="N4091" t="s">
        <v>1722</v>
      </c>
      <c r="O4091">
        <v>54</v>
      </c>
      <c r="P4091">
        <v>7152</v>
      </c>
      <c r="Q4091" t="s">
        <v>1723</v>
      </c>
      <c r="R4091" t="s">
        <v>201</v>
      </c>
      <c r="S4091">
        <v>7</v>
      </c>
      <c r="T4091">
        <v>1</v>
      </c>
      <c r="U4091">
        <v>108528</v>
      </c>
      <c r="V4091">
        <v>759696</v>
      </c>
    </row>
    <row r="4092" spans="1:22">
      <c r="A4092" t="s">
        <v>196</v>
      </c>
      <c r="B4092">
        <v>81</v>
      </c>
      <c r="C4092" t="s">
        <v>1699</v>
      </c>
      <c r="D4092">
        <v>100</v>
      </c>
      <c r="E4092" t="s">
        <v>197</v>
      </c>
      <c r="F4092">
        <v>1015</v>
      </c>
      <c r="G4092" t="s">
        <v>7</v>
      </c>
      <c r="H4092">
        <v>2020</v>
      </c>
      <c r="I4092" t="s">
        <v>7</v>
      </c>
      <c r="J4092">
        <v>3050</v>
      </c>
      <c r="K4092" t="s">
        <v>1717</v>
      </c>
      <c r="L4092">
        <v>4021</v>
      </c>
      <c r="M4092" t="s">
        <v>1718</v>
      </c>
      <c r="N4092" t="s">
        <v>1722</v>
      </c>
      <c r="O4092">
        <v>54</v>
      </c>
      <c r="P4092">
        <v>7152</v>
      </c>
      <c r="Q4092" t="s">
        <v>1723</v>
      </c>
      <c r="R4092" t="s">
        <v>201</v>
      </c>
      <c r="S4092">
        <v>2</v>
      </c>
      <c r="T4092">
        <v>1</v>
      </c>
      <c r="U4092">
        <v>103572</v>
      </c>
      <c r="V4092">
        <v>207144</v>
      </c>
    </row>
    <row r="4093" spans="1:22">
      <c r="A4093" t="s">
        <v>196</v>
      </c>
      <c r="B4093">
        <v>81</v>
      </c>
      <c r="C4093" t="s">
        <v>1699</v>
      </c>
      <c r="D4093">
        <v>100</v>
      </c>
      <c r="E4093" t="s">
        <v>197</v>
      </c>
      <c r="F4093">
        <v>1015</v>
      </c>
      <c r="G4093" t="s">
        <v>7</v>
      </c>
      <c r="H4093">
        <v>2020</v>
      </c>
      <c r="I4093" t="s">
        <v>7</v>
      </c>
      <c r="J4093">
        <v>3050</v>
      </c>
      <c r="K4093" t="s">
        <v>1717</v>
      </c>
      <c r="L4093">
        <v>4021</v>
      </c>
      <c r="M4093" t="s">
        <v>1718</v>
      </c>
      <c r="N4093" t="s">
        <v>1722</v>
      </c>
      <c r="O4093">
        <v>54</v>
      </c>
      <c r="P4093">
        <v>7152</v>
      </c>
      <c r="Q4093" t="s">
        <v>1723</v>
      </c>
      <c r="R4093" t="s">
        <v>201</v>
      </c>
      <c r="S4093">
        <v>2</v>
      </c>
      <c r="T4093">
        <v>1</v>
      </c>
      <c r="U4093">
        <v>98892</v>
      </c>
      <c r="V4093">
        <v>197784</v>
      </c>
    </row>
    <row r="4094" spans="1:22">
      <c r="A4094" t="s">
        <v>196</v>
      </c>
      <c r="B4094">
        <v>81</v>
      </c>
      <c r="C4094" t="s">
        <v>1699</v>
      </c>
      <c r="D4094">
        <v>100</v>
      </c>
      <c r="E4094" t="s">
        <v>197</v>
      </c>
      <c r="F4094">
        <v>1015</v>
      </c>
      <c r="G4094" t="s">
        <v>7</v>
      </c>
      <c r="H4094">
        <v>2020</v>
      </c>
      <c r="I4094" t="s">
        <v>7</v>
      </c>
      <c r="J4094">
        <v>3050</v>
      </c>
      <c r="K4094" t="s">
        <v>1717</v>
      </c>
      <c r="L4094">
        <v>4021</v>
      </c>
      <c r="M4094" t="s">
        <v>1718</v>
      </c>
      <c r="N4094" t="s">
        <v>1722</v>
      </c>
      <c r="O4094">
        <v>54</v>
      </c>
      <c r="P4094">
        <v>7152</v>
      </c>
      <c r="Q4094" t="s">
        <v>1723</v>
      </c>
      <c r="R4094" t="s">
        <v>201</v>
      </c>
      <c r="S4094">
        <v>1</v>
      </c>
      <c r="T4094">
        <v>1</v>
      </c>
      <c r="U4094">
        <v>93468</v>
      </c>
      <c r="V4094">
        <v>93468</v>
      </c>
    </row>
    <row r="4095" spans="1:22">
      <c r="A4095" t="s">
        <v>196</v>
      </c>
      <c r="B4095">
        <v>81</v>
      </c>
      <c r="C4095" t="s">
        <v>1699</v>
      </c>
      <c r="D4095">
        <v>100</v>
      </c>
      <c r="E4095" t="s">
        <v>197</v>
      </c>
      <c r="F4095">
        <v>1015</v>
      </c>
      <c r="G4095" t="s">
        <v>7</v>
      </c>
      <c r="H4095">
        <v>2020</v>
      </c>
      <c r="I4095" t="s">
        <v>7</v>
      </c>
      <c r="J4095">
        <v>3050</v>
      </c>
      <c r="K4095" t="s">
        <v>1717</v>
      </c>
      <c r="L4095">
        <v>4021</v>
      </c>
      <c r="M4095" t="s">
        <v>1718</v>
      </c>
      <c r="N4095" t="s">
        <v>1724</v>
      </c>
      <c r="O4095">
        <v>54</v>
      </c>
      <c r="P4095">
        <v>441</v>
      </c>
      <c r="Q4095" t="s">
        <v>1725</v>
      </c>
      <c r="R4095" t="s">
        <v>201</v>
      </c>
      <c r="S4095">
        <v>8</v>
      </c>
      <c r="T4095">
        <v>1</v>
      </c>
      <c r="U4095">
        <v>90108</v>
      </c>
      <c r="V4095">
        <v>720864</v>
      </c>
    </row>
    <row r="4096" spans="1:22">
      <c r="A4096" t="s">
        <v>196</v>
      </c>
      <c r="B4096">
        <v>81</v>
      </c>
      <c r="C4096" t="s">
        <v>1699</v>
      </c>
      <c r="D4096">
        <v>100</v>
      </c>
      <c r="E4096" t="s">
        <v>197</v>
      </c>
      <c r="F4096">
        <v>1015</v>
      </c>
      <c r="G4096" t="s">
        <v>7</v>
      </c>
      <c r="H4096">
        <v>2020</v>
      </c>
      <c r="I4096" t="s">
        <v>7</v>
      </c>
      <c r="J4096">
        <v>3050</v>
      </c>
      <c r="K4096" t="s">
        <v>1717</v>
      </c>
      <c r="L4096">
        <v>4021</v>
      </c>
      <c r="M4096" t="s">
        <v>1718</v>
      </c>
      <c r="N4096" t="s">
        <v>1724</v>
      </c>
      <c r="O4096">
        <v>54</v>
      </c>
      <c r="P4096">
        <v>441</v>
      </c>
      <c r="Q4096" t="s">
        <v>1725</v>
      </c>
      <c r="R4096" t="s">
        <v>201</v>
      </c>
      <c r="S4096">
        <v>1</v>
      </c>
      <c r="T4096">
        <v>1</v>
      </c>
      <c r="U4096">
        <v>82080</v>
      </c>
      <c r="V4096">
        <v>82080</v>
      </c>
    </row>
    <row r="4097" spans="1:22">
      <c r="A4097" t="s">
        <v>196</v>
      </c>
      <c r="B4097">
        <v>81</v>
      </c>
      <c r="C4097" t="s">
        <v>1699</v>
      </c>
      <c r="D4097">
        <v>100</v>
      </c>
      <c r="E4097" t="s">
        <v>197</v>
      </c>
      <c r="F4097">
        <v>1015</v>
      </c>
      <c r="G4097" t="s">
        <v>7</v>
      </c>
      <c r="H4097">
        <v>2020</v>
      </c>
      <c r="I4097" t="s">
        <v>7</v>
      </c>
      <c r="J4097">
        <v>3050</v>
      </c>
      <c r="K4097" t="s">
        <v>1717</v>
      </c>
      <c r="L4097">
        <v>4021</v>
      </c>
      <c r="M4097" t="s">
        <v>1718</v>
      </c>
      <c r="N4097" t="s">
        <v>1724</v>
      </c>
      <c r="O4097">
        <v>54</v>
      </c>
      <c r="P4097">
        <v>441</v>
      </c>
      <c r="Q4097" t="s">
        <v>1725</v>
      </c>
      <c r="R4097" t="s">
        <v>201</v>
      </c>
      <c r="S4097">
        <v>2</v>
      </c>
      <c r="T4097">
        <v>1</v>
      </c>
      <c r="U4097">
        <v>78432</v>
      </c>
      <c r="V4097">
        <v>156864</v>
      </c>
    </row>
    <row r="4098" spans="1:22">
      <c r="A4098" t="s">
        <v>196</v>
      </c>
      <c r="B4098">
        <v>81</v>
      </c>
      <c r="C4098" t="s">
        <v>1699</v>
      </c>
      <c r="D4098">
        <v>100</v>
      </c>
      <c r="E4098" t="s">
        <v>197</v>
      </c>
      <c r="F4098">
        <v>1015</v>
      </c>
      <c r="G4098" t="s">
        <v>7</v>
      </c>
      <c r="H4098">
        <v>2020</v>
      </c>
      <c r="I4098" t="s">
        <v>7</v>
      </c>
      <c r="J4098">
        <v>3050</v>
      </c>
      <c r="K4098" t="s">
        <v>1717</v>
      </c>
      <c r="L4098">
        <v>4021</v>
      </c>
      <c r="M4098" t="s">
        <v>1718</v>
      </c>
      <c r="N4098" t="s">
        <v>1724</v>
      </c>
      <c r="O4098">
        <v>54</v>
      </c>
      <c r="P4098">
        <v>441</v>
      </c>
      <c r="Q4098" t="s">
        <v>1725</v>
      </c>
      <c r="R4098" t="s">
        <v>201</v>
      </c>
      <c r="S4098">
        <v>1</v>
      </c>
      <c r="T4098">
        <v>1</v>
      </c>
      <c r="U4098">
        <v>71412</v>
      </c>
      <c r="V4098">
        <v>71412</v>
      </c>
    </row>
    <row r="4099" spans="1:22">
      <c r="A4099" t="s">
        <v>196</v>
      </c>
      <c r="B4099">
        <v>81</v>
      </c>
      <c r="C4099" t="s">
        <v>1699</v>
      </c>
      <c r="D4099">
        <v>100</v>
      </c>
      <c r="E4099" t="s">
        <v>197</v>
      </c>
      <c r="F4099">
        <v>1015</v>
      </c>
      <c r="G4099" t="s">
        <v>7</v>
      </c>
      <c r="H4099">
        <v>2020</v>
      </c>
      <c r="I4099" t="s">
        <v>7</v>
      </c>
      <c r="J4099">
        <v>3050</v>
      </c>
      <c r="K4099" t="s">
        <v>1717</v>
      </c>
      <c r="L4099">
        <v>4021</v>
      </c>
      <c r="M4099" t="s">
        <v>1718</v>
      </c>
      <c r="N4099" t="s">
        <v>1724</v>
      </c>
      <c r="O4099">
        <v>54</v>
      </c>
      <c r="P4099">
        <v>441</v>
      </c>
      <c r="Q4099" t="s">
        <v>1725</v>
      </c>
      <c r="R4099" t="s">
        <v>201</v>
      </c>
      <c r="S4099">
        <v>1</v>
      </c>
      <c r="T4099">
        <v>1</v>
      </c>
      <c r="U4099">
        <v>64440</v>
      </c>
      <c r="V4099">
        <v>64440</v>
      </c>
    </row>
    <row r="4100" spans="1:22">
      <c r="A4100" t="s">
        <v>196</v>
      </c>
      <c r="B4100">
        <v>81</v>
      </c>
      <c r="C4100" t="s">
        <v>1699</v>
      </c>
      <c r="D4100">
        <v>100</v>
      </c>
      <c r="E4100" t="s">
        <v>197</v>
      </c>
      <c r="F4100">
        <v>1015</v>
      </c>
      <c r="G4100" t="s">
        <v>7</v>
      </c>
      <c r="H4100">
        <v>2020</v>
      </c>
      <c r="I4100" t="s">
        <v>7</v>
      </c>
      <c r="J4100">
        <v>3050</v>
      </c>
      <c r="K4100" t="s">
        <v>1717</v>
      </c>
      <c r="L4100">
        <v>4021</v>
      </c>
      <c r="M4100" t="s">
        <v>1718</v>
      </c>
      <c r="N4100" t="s">
        <v>1724</v>
      </c>
      <c r="O4100">
        <v>54</v>
      </c>
      <c r="P4100">
        <v>441</v>
      </c>
      <c r="Q4100" t="s">
        <v>1725</v>
      </c>
      <c r="R4100" t="s">
        <v>201</v>
      </c>
      <c r="S4100">
        <v>5</v>
      </c>
      <c r="T4100">
        <v>1</v>
      </c>
      <c r="U4100">
        <v>61524</v>
      </c>
      <c r="V4100">
        <v>307620</v>
      </c>
    </row>
    <row r="4101" spans="1:22">
      <c r="A4101" t="s">
        <v>196</v>
      </c>
      <c r="B4101">
        <v>81</v>
      </c>
      <c r="C4101" t="s">
        <v>1699</v>
      </c>
      <c r="D4101">
        <v>100</v>
      </c>
      <c r="E4101" t="s">
        <v>197</v>
      </c>
      <c r="F4101">
        <v>1015</v>
      </c>
      <c r="G4101" t="s">
        <v>7</v>
      </c>
      <c r="H4101">
        <v>2020</v>
      </c>
      <c r="I4101" t="s">
        <v>7</v>
      </c>
      <c r="J4101">
        <v>3050</v>
      </c>
      <c r="K4101" t="s">
        <v>1717</v>
      </c>
      <c r="L4101">
        <v>4021</v>
      </c>
      <c r="M4101" t="s">
        <v>1718</v>
      </c>
      <c r="N4101" t="s">
        <v>1724</v>
      </c>
      <c r="O4101">
        <v>54</v>
      </c>
      <c r="P4101">
        <v>441</v>
      </c>
      <c r="Q4101" t="s">
        <v>1725</v>
      </c>
      <c r="R4101" t="s">
        <v>201</v>
      </c>
      <c r="S4101">
        <v>10</v>
      </c>
      <c r="T4101">
        <v>1</v>
      </c>
      <c r="U4101">
        <v>58728</v>
      </c>
      <c r="V4101">
        <v>587280</v>
      </c>
    </row>
    <row r="4102" spans="1:22">
      <c r="A4102" t="s">
        <v>196</v>
      </c>
      <c r="B4102">
        <v>81</v>
      </c>
      <c r="C4102" t="s">
        <v>1699</v>
      </c>
      <c r="D4102">
        <v>100</v>
      </c>
      <c r="E4102" t="s">
        <v>197</v>
      </c>
      <c r="F4102">
        <v>1015</v>
      </c>
      <c r="G4102" t="s">
        <v>7</v>
      </c>
      <c r="H4102">
        <v>2020</v>
      </c>
      <c r="I4102" t="s">
        <v>7</v>
      </c>
      <c r="J4102">
        <v>3050</v>
      </c>
      <c r="K4102" t="s">
        <v>1717</v>
      </c>
      <c r="L4102">
        <v>4021</v>
      </c>
      <c r="M4102" t="s">
        <v>1718</v>
      </c>
      <c r="N4102" t="s">
        <v>1724</v>
      </c>
      <c r="O4102">
        <v>54</v>
      </c>
      <c r="P4102">
        <v>441</v>
      </c>
      <c r="Q4102" t="s">
        <v>1725</v>
      </c>
      <c r="R4102" t="s">
        <v>201</v>
      </c>
      <c r="S4102">
        <v>3</v>
      </c>
      <c r="T4102">
        <v>1</v>
      </c>
      <c r="U4102">
        <v>53520</v>
      </c>
      <c r="V4102">
        <v>160560</v>
      </c>
    </row>
    <row r="4103" spans="1:22">
      <c r="A4103" t="s">
        <v>196</v>
      </c>
      <c r="B4103">
        <v>81</v>
      </c>
      <c r="C4103" t="s">
        <v>1699</v>
      </c>
      <c r="D4103">
        <v>100</v>
      </c>
      <c r="E4103" t="s">
        <v>197</v>
      </c>
      <c r="F4103">
        <v>1015</v>
      </c>
      <c r="G4103" t="s">
        <v>7</v>
      </c>
      <c r="H4103">
        <v>2020</v>
      </c>
      <c r="I4103" t="s">
        <v>7</v>
      </c>
      <c r="J4103">
        <v>3050</v>
      </c>
      <c r="K4103" t="s">
        <v>1717</v>
      </c>
      <c r="L4103">
        <v>4021</v>
      </c>
      <c r="M4103" t="s">
        <v>1718</v>
      </c>
      <c r="N4103" t="s">
        <v>351</v>
      </c>
      <c r="O4103">
        <v>1</v>
      </c>
      <c r="P4103" t="s">
        <v>352</v>
      </c>
      <c r="Q4103" t="s">
        <v>353</v>
      </c>
      <c r="R4103" t="s">
        <v>201</v>
      </c>
      <c r="S4103">
        <v>1</v>
      </c>
      <c r="T4103">
        <v>1</v>
      </c>
      <c r="U4103">
        <v>108576</v>
      </c>
      <c r="V4103">
        <v>108576</v>
      </c>
    </row>
    <row r="4104" spans="1:22">
      <c r="A4104" t="s">
        <v>196</v>
      </c>
      <c r="B4104">
        <v>81</v>
      </c>
      <c r="C4104" t="s">
        <v>1699</v>
      </c>
      <c r="D4104">
        <v>100</v>
      </c>
      <c r="E4104" t="s">
        <v>197</v>
      </c>
      <c r="F4104">
        <v>1015</v>
      </c>
      <c r="G4104" t="s">
        <v>7</v>
      </c>
      <c r="H4104">
        <v>2020</v>
      </c>
      <c r="I4104" t="s">
        <v>7</v>
      </c>
      <c r="J4104">
        <v>3050</v>
      </c>
      <c r="K4104" t="s">
        <v>1717</v>
      </c>
      <c r="L4104">
        <v>4021</v>
      </c>
      <c r="M4104" t="s">
        <v>1718</v>
      </c>
      <c r="N4104" t="s">
        <v>253</v>
      </c>
      <c r="O4104">
        <v>10</v>
      </c>
      <c r="P4104">
        <v>304</v>
      </c>
      <c r="Q4104" t="s">
        <v>1726</v>
      </c>
      <c r="R4104" t="s">
        <v>201</v>
      </c>
      <c r="S4104">
        <v>1</v>
      </c>
      <c r="T4104">
        <v>1</v>
      </c>
      <c r="U4104">
        <v>136692</v>
      </c>
      <c r="V4104">
        <v>136692</v>
      </c>
    </row>
    <row r="4105" spans="1:22">
      <c r="A4105" t="s">
        <v>196</v>
      </c>
      <c r="B4105">
        <v>81</v>
      </c>
      <c r="C4105" t="s">
        <v>1699</v>
      </c>
      <c r="D4105">
        <v>100</v>
      </c>
      <c r="E4105" t="s">
        <v>197</v>
      </c>
      <c r="F4105">
        <v>1015</v>
      </c>
      <c r="G4105" t="s">
        <v>7</v>
      </c>
      <c r="H4105">
        <v>2020</v>
      </c>
      <c r="I4105" t="s">
        <v>7</v>
      </c>
      <c r="J4105">
        <v>3050</v>
      </c>
      <c r="K4105" t="s">
        <v>1717</v>
      </c>
      <c r="L4105">
        <v>4021</v>
      </c>
      <c r="M4105" t="s">
        <v>1718</v>
      </c>
      <c r="N4105" t="s">
        <v>199</v>
      </c>
      <c r="O4105">
        <v>0</v>
      </c>
      <c r="P4105">
        <v>15</v>
      </c>
      <c r="Q4105" t="s">
        <v>264</v>
      </c>
      <c r="R4105" t="s">
        <v>201</v>
      </c>
      <c r="S4105">
        <v>0</v>
      </c>
      <c r="T4105">
        <v>0</v>
      </c>
      <c r="U4105">
        <v>150168</v>
      </c>
      <c r="V4105">
        <v>150168</v>
      </c>
    </row>
    <row r="4106" spans="1:22">
      <c r="A4106" t="s">
        <v>196</v>
      </c>
      <c r="B4106">
        <v>81</v>
      </c>
      <c r="C4106" t="s">
        <v>1699</v>
      </c>
      <c r="D4106">
        <v>100</v>
      </c>
      <c r="E4106" t="s">
        <v>197</v>
      </c>
      <c r="F4106">
        <v>1015</v>
      </c>
      <c r="G4106" t="s">
        <v>7</v>
      </c>
      <c r="H4106">
        <v>2020</v>
      </c>
      <c r="I4106" t="s">
        <v>7</v>
      </c>
      <c r="J4106">
        <v>3050</v>
      </c>
      <c r="K4106" t="s">
        <v>1717</v>
      </c>
      <c r="L4106">
        <v>4021</v>
      </c>
      <c r="M4106" t="s">
        <v>1718</v>
      </c>
      <c r="N4106" t="s">
        <v>199</v>
      </c>
      <c r="O4106">
        <v>0</v>
      </c>
      <c r="P4106">
        <v>12</v>
      </c>
      <c r="Q4106" t="s">
        <v>724</v>
      </c>
      <c r="R4106" t="s">
        <v>201</v>
      </c>
      <c r="S4106">
        <v>0</v>
      </c>
      <c r="T4106">
        <v>0</v>
      </c>
      <c r="U4106">
        <v>1520</v>
      </c>
      <c r="V4106">
        <v>1520</v>
      </c>
    </row>
    <row r="4107" spans="1:22">
      <c r="A4107" t="s">
        <v>196</v>
      </c>
      <c r="B4107">
        <v>81</v>
      </c>
      <c r="C4107" t="s">
        <v>1699</v>
      </c>
      <c r="D4107">
        <v>100</v>
      </c>
      <c r="E4107" t="s">
        <v>197</v>
      </c>
      <c r="F4107">
        <v>1015</v>
      </c>
      <c r="G4107" t="s">
        <v>7</v>
      </c>
      <c r="H4107">
        <v>2020</v>
      </c>
      <c r="I4107" t="s">
        <v>7</v>
      </c>
      <c r="J4107">
        <v>3050</v>
      </c>
      <c r="K4107" t="s">
        <v>1717</v>
      </c>
      <c r="L4107">
        <v>4022</v>
      </c>
      <c r="M4107" t="s">
        <v>783</v>
      </c>
      <c r="N4107" t="s">
        <v>1294</v>
      </c>
      <c r="O4107">
        <v>0</v>
      </c>
      <c r="P4107">
        <v>9681</v>
      </c>
      <c r="Q4107" t="s">
        <v>338</v>
      </c>
      <c r="R4107" t="s">
        <v>201</v>
      </c>
      <c r="S4107">
        <v>1</v>
      </c>
      <c r="T4107">
        <v>1</v>
      </c>
      <c r="U4107">
        <v>184584</v>
      </c>
      <c r="V4107">
        <v>184584</v>
      </c>
    </row>
    <row r="4108" spans="1:22">
      <c r="A4108" t="s">
        <v>196</v>
      </c>
      <c r="B4108">
        <v>81</v>
      </c>
      <c r="C4108" t="s">
        <v>1699</v>
      </c>
      <c r="D4108">
        <v>100</v>
      </c>
      <c r="E4108" t="s">
        <v>197</v>
      </c>
      <c r="F4108">
        <v>1015</v>
      </c>
      <c r="G4108" t="s">
        <v>7</v>
      </c>
      <c r="H4108">
        <v>2020</v>
      </c>
      <c r="I4108" t="s">
        <v>7</v>
      </c>
      <c r="J4108">
        <v>3050</v>
      </c>
      <c r="K4108" t="s">
        <v>1717</v>
      </c>
      <c r="L4108">
        <v>4022</v>
      </c>
      <c r="M4108" t="s">
        <v>783</v>
      </c>
      <c r="N4108" t="s">
        <v>249</v>
      </c>
      <c r="O4108">
        <v>10</v>
      </c>
      <c r="P4108">
        <v>3092</v>
      </c>
      <c r="Q4108" t="s">
        <v>750</v>
      </c>
      <c r="R4108" t="s">
        <v>201</v>
      </c>
      <c r="S4108">
        <v>1</v>
      </c>
      <c r="T4108">
        <v>1</v>
      </c>
      <c r="U4108">
        <v>102444</v>
      </c>
      <c r="V4108">
        <v>102444</v>
      </c>
    </row>
    <row r="4109" spans="1:22">
      <c r="A4109" t="s">
        <v>196</v>
      </c>
      <c r="B4109">
        <v>81</v>
      </c>
      <c r="C4109" t="s">
        <v>1699</v>
      </c>
      <c r="D4109">
        <v>100</v>
      </c>
      <c r="E4109" t="s">
        <v>197</v>
      </c>
      <c r="F4109">
        <v>1015</v>
      </c>
      <c r="G4109" t="s">
        <v>7</v>
      </c>
      <c r="H4109">
        <v>2020</v>
      </c>
      <c r="I4109" t="s">
        <v>7</v>
      </c>
      <c r="J4109">
        <v>3050</v>
      </c>
      <c r="K4109" t="s">
        <v>1717</v>
      </c>
      <c r="L4109">
        <v>4022</v>
      </c>
      <c r="M4109" t="s">
        <v>783</v>
      </c>
      <c r="N4109" t="s">
        <v>251</v>
      </c>
      <c r="O4109">
        <v>10</v>
      </c>
      <c r="P4109">
        <v>1430</v>
      </c>
      <c r="Q4109" t="s">
        <v>850</v>
      </c>
      <c r="R4109" t="s">
        <v>201</v>
      </c>
      <c r="S4109">
        <v>1</v>
      </c>
      <c r="T4109">
        <v>1</v>
      </c>
      <c r="U4109">
        <v>98832</v>
      </c>
      <c r="V4109">
        <v>98832</v>
      </c>
    </row>
    <row r="4110" spans="1:22">
      <c r="A4110" t="s">
        <v>196</v>
      </c>
      <c r="B4110">
        <v>81</v>
      </c>
      <c r="C4110" t="s">
        <v>1699</v>
      </c>
      <c r="D4110">
        <v>100</v>
      </c>
      <c r="E4110" t="s">
        <v>197</v>
      </c>
      <c r="F4110">
        <v>1015</v>
      </c>
      <c r="G4110" t="s">
        <v>7</v>
      </c>
      <c r="H4110">
        <v>2020</v>
      </c>
      <c r="I4110" t="s">
        <v>7</v>
      </c>
      <c r="J4110">
        <v>3050</v>
      </c>
      <c r="K4110" t="s">
        <v>1717</v>
      </c>
      <c r="L4110">
        <v>4022</v>
      </c>
      <c r="M4110" t="s">
        <v>783</v>
      </c>
      <c r="N4110" t="s">
        <v>809</v>
      </c>
      <c r="O4110">
        <v>1</v>
      </c>
      <c r="P4110">
        <v>460</v>
      </c>
      <c r="Q4110" t="s">
        <v>810</v>
      </c>
      <c r="R4110" t="s">
        <v>201</v>
      </c>
      <c r="S4110">
        <v>1</v>
      </c>
      <c r="T4110">
        <v>1</v>
      </c>
      <c r="U4110">
        <v>47364</v>
      </c>
      <c r="V4110">
        <v>47364</v>
      </c>
    </row>
    <row r="4111" spans="1:22">
      <c r="A4111" t="s">
        <v>196</v>
      </c>
      <c r="B4111">
        <v>81</v>
      </c>
      <c r="C4111" t="s">
        <v>1699</v>
      </c>
      <c r="D4111">
        <v>100</v>
      </c>
      <c r="E4111" t="s">
        <v>197</v>
      </c>
      <c r="F4111">
        <v>1015</v>
      </c>
      <c r="G4111" t="s">
        <v>7</v>
      </c>
      <c r="H4111">
        <v>2020</v>
      </c>
      <c r="I4111" t="s">
        <v>7</v>
      </c>
      <c r="J4111">
        <v>3050</v>
      </c>
      <c r="K4111" t="s">
        <v>1717</v>
      </c>
      <c r="L4111">
        <v>4022</v>
      </c>
      <c r="M4111" t="s">
        <v>783</v>
      </c>
      <c r="N4111" t="s">
        <v>199</v>
      </c>
      <c r="O4111">
        <v>0</v>
      </c>
      <c r="P4111">
        <v>15</v>
      </c>
      <c r="Q4111" t="s">
        <v>264</v>
      </c>
      <c r="R4111" t="s">
        <v>201</v>
      </c>
      <c r="S4111">
        <v>0</v>
      </c>
      <c r="T4111">
        <v>0</v>
      </c>
      <c r="U4111">
        <v>9515</v>
      </c>
      <c r="V4111">
        <v>9515</v>
      </c>
    </row>
    <row r="4112" spans="1:22">
      <c r="A4112" t="s">
        <v>196</v>
      </c>
      <c r="B4112">
        <v>81</v>
      </c>
      <c r="C4112" t="s">
        <v>1699</v>
      </c>
      <c r="D4112">
        <v>100</v>
      </c>
      <c r="E4112" t="s">
        <v>197</v>
      </c>
      <c r="F4112">
        <v>1015</v>
      </c>
      <c r="G4112" t="s">
        <v>7</v>
      </c>
      <c r="H4112">
        <v>2020</v>
      </c>
      <c r="I4112" t="s">
        <v>7</v>
      </c>
      <c r="J4112">
        <v>3050</v>
      </c>
      <c r="K4112" t="s">
        <v>1717</v>
      </c>
      <c r="L4112">
        <v>4025</v>
      </c>
      <c r="M4112" t="s">
        <v>1727</v>
      </c>
      <c r="N4112" t="s">
        <v>721</v>
      </c>
      <c r="O4112">
        <v>8</v>
      </c>
      <c r="P4112">
        <v>7184</v>
      </c>
      <c r="Q4112" t="s">
        <v>1728</v>
      </c>
      <c r="R4112" t="s">
        <v>713</v>
      </c>
      <c r="S4112">
        <v>160</v>
      </c>
      <c r="T4112">
        <v>1</v>
      </c>
      <c r="U4112">
        <v>48.73</v>
      </c>
      <c r="V4112">
        <v>16217344</v>
      </c>
    </row>
    <row r="4113" spans="1:22">
      <c r="A4113" t="s">
        <v>196</v>
      </c>
      <c r="B4113">
        <v>81</v>
      </c>
      <c r="C4113" t="s">
        <v>1699</v>
      </c>
      <c r="D4113">
        <v>100</v>
      </c>
      <c r="E4113" t="s">
        <v>197</v>
      </c>
      <c r="F4113">
        <v>1015</v>
      </c>
      <c r="G4113" t="s">
        <v>7</v>
      </c>
      <c r="H4113">
        <v>2020</v>
      </c>
      <c r="I4113" t="s">
        <v>7</v>
      </c>
      <c r="J4113">
        <v>3050</v>
      </c>
      <c r="K4113" t="s">
        <v>1717</v>
      </c>
      <c r="L4113">
        <v>4025</v>
      </c>
      <c r="M4113" t="s">
        <v>1727</v>
      </c>
      <c r="N4113" t="s">
        <v>721</v>
      </c>
      <c r="O4113">
        <v>8</v>
      </c>
      <c r="P4113">
        <v>7183</v>
      </c>
      <c r="Q4113" t="s">
        <v>986</v>
      </c>
      <c r="R4113" t="s">
        <v>713</v>
      </c>
      <c r="S4113">
        <v>182</v>
      </c>
      <c r="T4113">
        <v>1</v>
      </c>
      <c r="U4113">
        <v>48.73</v>
      </c>
      <c r="V4113">
        <v>18447229</v>
      </c>
    </row>
    <row r="4114" spans="1:22">
      <c r="A4114" t="s">
        <v>196</v>
      </c>
      <c r="B4114">
        <v>81</v>
      </c>
      <c r="C4114" t="s">
        <v>1699</v>
      </c>
      <c r="D4114">
        <v>100</v>
      </c>
      <c r="E4114" t="s">
        <v>197</v>
      </c>
      <c r="F4114">
        <v>1015</v>
      </c>
      <c r="G4114" t="s">
        <v>7</v>
      </c>
      <c r="H4114">
        <v>2020</v>
      </c>
      <c r="I4114" t="s">
        <v>7</v>
      </c>
      <c r="J4114">
        <v>3050</v>
      </c>
      <c r="K4114" t="s">
        <v>1717</v>
      </c>
      <c r="L4114">
        <v>4025</v>
      </c>
      <c r="M4114" t="s">
        <v>1727</v>
      </c>
      <c r="N4114" t="s">
        <v>721</v>
      </c>
      <c r="O4114">
        <v>54</v>
      </c>
      <c r="P4114">
        <v>6329</v>
      </c>
      <c r="Q4114" t="s">
        <v>1729</v>
      </c>
      <c r="R4114" t="s">
        <v>713</v>
      </c>
      <c r="S4114">
        <v>14000</v>
      </c>
      <c r="T4114">
        <v>0</v>
      </c>
      <c r="U4114">
        <v>25.19</v>
      </c>
      <c r="V4114">
        <v>352660</v>
      </c>
    </row>
    <row r="4115" spans="1:22">
      <c r="A4115" t="s">
        <v>196</v>
      </c>
      <c r="B4115">
        <v>81</v>
      </c>
      <c r="C4115" t="s">
        <v>1699</v>
      </c>
      <c r="D4115">
        <v>100</v>
      </c>
      <c r="E4115" t="s">
        <v>197</v>
      </c>
      <c r="F4115">
        <v>1015</v>
      </c>
      <c r="G4115" t="s">
        <v>7</v>
      </c>
      <c r="H4115">
        <v>2020</v>
      </c>
      <c r="I4115" t="s">
        <v>7</v>
      </c>
      <c r="J4115">
        <v>3050</v>
      </c>
      <c r="K4115" t="s">
        <v>1717</v>
      </c>
      <c r="L4115">
        <v>4025</v>
      </c>
      <c r="M4115" t="s">
        <v>1727</v>
      </c>
      <c r="N4115" t="s">
        <v>721</v>
      </c>
      <c r="O4115">
        <v>54</v>
      </c>
      <c r="P4115">
        <v>6324</v>
      </c>
      <c r="Q4115" t="s">
        <v>1730</v>
      </c>
      <c r="R4115" t="s">
        <v>713</v>
      </c>
      <c r="S4115">
        <v>53</v>
      </c>
      <c r="T4115">
        <v>1</v>
      </c>
      <c r="U4115">
        <v>47.79</v>
      </c>
      <c r="V4115">
        <v>5268370</v>
      </c>
    </row>
    <row r="4116" spans="1:22">
      <c r="A4116" t="s">
        <v>196</v>
      </c>
      <c r="B4116">
        <v>81</v>
      </c>
      <c r="C4116" t="s">
        <v>1699</v>
      </c>
      <c r="D4116">
        <v>100</v>
      </c>
      <c r="E4116" t="s">
        <v>197</v>
      </c>
      <c r="F4116">
        <v>1015</v>
      </c>
      <c r="G4116" t="s">
        <v>7</v>
      </c>
      <c r="H4116">
        <v>2020</v>
      </c>
      <c r="I4116" t="s">
        <v>7</v>
      </c>
      <c r="J4116">
        <v>3050</v>
      </c>
      <c r="K4116" t="s">
        <v>1717</v>
      </c>
      <c r="L4116">
        <v>4025</v>
      </c>
      <c r="M4116" t="s">
        <v>1727</v>
      </c>
      <c r="N4116" t="s">
        <v>721</v>
      </c>
      <c r="O4116">
        <v>54</v>
      </c>
      <c r="P4116">
        <v>6324</v>
      </c>
      <c r="Q4116" t="s">
        <v>1730</v>
      </c>
      <c r="R4116" t="s">
        <v>713</v>
      </c>
      <c r="S4116">
        <v>33</v>
      </c>
      <c r="T4116">
        <v>1</v>
      </c>
      <c r="U4116">
        <v>35.840000000000003</v>
      </c>
      <c r="V4116">
        <v>2460058</v>
      </c>
    </row>
    <row r="4117" spans="1:22">
      <c r="A4117" t="s">
        <v>196</v>
      </c>
      <c r="B4117">
        <v>81</v>
      </c>
      <c r="C4117" t="s">
        <v>1699</v>
      </c>
      <c r="D4117">
        <v>100</v>
      </c>
      <c r="E4117" t="s">
        <v>197</v>
      </c>
      <c r="F4117">
        <v>1015</v>
      </c>
      <c r="G4117" t="s">
        <v>7</v>
      </c>
      <c r="H4117">
        <v>2020</v>
      </c>
      <c r="I4117" t="s">
        <v>7</v>
      </c>
      <c r="J4117">
        <v>3050</v>
      </c>
      <c r="K4117" t="s">
        <v>1717</v>
      </c>
      <c r="L4117">
        <v>4025</v>
      </c>
      <c r="M4117" t="s">
        <v>1727</v>
      </c>
      <c r="N4117" t="s">
        <v>721</v>
      </c>
      <c r="O4117">
        <v>54</v>
      </c>
      <c r="P4117">
        <v>6324</v>
      </c>
      <c r="Q4117" t="s">
        <v>1730</v>
      </c>
      <c r="R4117" t="s">
        <v>713</v>
      </c>
      <c r="S4117">
        <v>9</v>
      </c>
      <c r="T4117">
        <v>1</v>
      </c>
      <c r="U4117">
        <v>31.7</v>
      </c>
      <c r="V4117">
        <v>593424</v>
      </c>
    </row>
    <row r="4118" spans="1:22">
      <c r="A4118" t="s">
        <v>196</v>
      </c>
      <c r="B4118">
        <v>81</v>
      </c>
      <c r="C4118" t="s">
        <v>1699</v>
      </c>
      <c r="D4118">
        <v>100</v>
      </c>
      <c r="E4118" t="s">
        <v>197</v>
      </c>
      <c r="F4118">
        <v>1015</v>
      </c>
      <c r="G4118" t="s">
        <v>7</v>
      </c>
      <c r="H4118">
        <v>2020</v>
      </c>
      <c r="I4118" t="s">
        <v>7</v>
      </c>
      <c r="J4118">
        <v>3050</v>
      </c>
      <c r="K4118" t="s">
        <v>1717</v>
      </c>
      <c r="L4118">
        <v>4025</v>
      </c>
      <c r="M4118" t="s">
        <v>1727</v>
      </c>
      <c r="N4118" t="s">
        <v>721</v>
      </c>
      <c r="O4118">
        <v>54</v>
      </c>
      <c r="P4118">
        <v>6324</v>
      </c>
      <c r="Q4118" t="s">
        <v>1730</v>
      </c>
      <c r="R4118" t="s">
        <v>713</v>
      </c>
      <c r="S4118">
        <v>5</v>
      </c>
      <c r="T4118">
        <v>1</v>
      </c>
      <c r="U4118">
        <v>31.06</v>
      </c>
      <c r="V4118">
        <v>323024</v>
      </c>
    </row>
    <row r="4119" spans="1:22">
      <c r="A4119" t="s">
        <v>196</v>
      </c>
      <c r="B4119">
        <v>81</v>
      </c>
      <c r="C4119" t="s">
        <v>1699</v>
      </c>
      <c r="D4119">
        <v>100</v>
      </c>
      <c r="E4119" t="s">
        <v>197</v>
      </c>
      <c r="F4119">
        <v>1015</v>
      </c>
      <c r="G4119" t="s">
        <v>7</v>
      </c>
      <c r="H4119">
        <v>2020</v>
      </c>
      <c r="I4119" t="s">
        <v>7</v>
      </c>
      <c r="J4119">
        <v>3050</v>
      </c>
      <c r="K4119" t="s">
        <v>1717</v>
      </c>
      <c r="L4119">
        <v>4025</v>
      </c>
      <c r="M4119" t="s">
        <v>1727</v>
      </c>
      <c r="N4119" t="s">
        <v>721</v>
      </c>
      <c r="O4119">
        <v>54</v>
      </c>
      <c r="P4119">
        <v>6324</v>
      </c>
      <c r="Q4119" t="s">
        <v>1730</v>
      </c>
      <c r="R4119" t="s">
        <v>713</v>
      </c>
      <c r="S4119">
        <v>1</v>
      </c>
      <c r="T4119">
        <v>1</v>
      </c>
      <c r="U4119">
        <v>30.25</v>
      </c>
      <c r="V4119">
        <v>62920</v>
      </c>
    </row>
    <row r="4120" spans="1:22">
      <c r="A4120" t="s">
        <v>196</v>
      </c>
      <c r="B4120">
        <v>81</v>
      </c>
      <c r="C4120" t="s">
        <v>1699</v>
      </c>
      <c r="D4120">
        <v>100</v>
      </c>
      <c r="E4120" t="s">
        <v>197</v>
      </c>
      <c r="F4120">
        <v>1015</v>
      </c>
      <c r="G4120" t="s">
        <v>7</v>
      </c>
      <c r="H4120">
        <v>2020</v>
      </c>
      <c r="I4120" t="s">
        <v>7</v>
      </c>
      <c r="J4120">
        <v>3050</v>
      </c>
      <c r="K4120" t="s">
        <v>1717</v>
      </c>
      <c r="L4120">
        <v>4025</v>
      </c>
      <c r="M4120" t="s">
        <v>1727</v>
      </c>
      <c r="N4120" t="s">
        <v>199</v>
      </c>
      <c r="O4120">
        <v>0</v>
      </c>
      <c r="P4120">
        <v>12</v>
      </c>
      <c r="Q4120" t="s">
        <v>724</v>
      </c>
      <c r="R4120" t="s">
        <v>201</v>
      </c>
      <c r="S4120">
        <v>0</v>
      </c>
      <c r="T4120">
        <v>0</v>
      </c>
      <c r="U4120">
        <v>655875</v>
      </c>
      <c r="V4120">
        <v>655875</v>
      </c>
    </row>
    <row r="4121" spans="1:22">
      <c r="A4121" t="s">
        <v>196</v>
      </c>
      <c r="B4121">
        <v>81</v>
      </c>
      <c r="C4121" t="s">
        <v>1699</v>
      </c>
      <c r="D4121">
        <v>100</v>
      </c>
      <c r="E4121" t="s">
        <v>197</v>
      </c>
      <c r="F4121">
        <v>1015</v>
      </c>
      <c r="G4121" t="s">
        <v>7</v>
      </c>
      <c r="H4121">
        <v>2020</v>
      </c>
      <c r="I4121" t="s">
        <v>7</v>
      </c>
      <c r="J4121">
        <v>3050</v>
      </c>
      <c r="K4121" t="s">
        <v>1717</v>
      </c>
      <c r="L4121">
        <v>4026</v>
      </c>
      <c r="M4121" t="s">
        <v>1731</v>
      </c>
      <c r="N4121" t="s">
        <v>731</v>
      </c>
      <c r="O4121">
        <v>10</v>
      </c>
      <c r="P4121">
        <v>8185</v>
      </c>
      <c r="Q4121" t="s">
        <v>1701</v>
      </c>
      <c r="R4121" t="s">
        <v>201</v>
      </c>
      <c r="S4121">
        <v>1</v>
      </c>
      <c r="T4121">
        <v>1</v>
      </c>
      <c r="U4121">
        <v>124584</v>
      </c>
      <c r="V4121">
        <v>124584</v>
      </c>
    </row>
    <row r="4122" spans="1:22">
      <c r="A4122" t="s">
        <v>196</v>
      </c>
      <c r="B4122">
        <v>81</v>
      </c>
      <c r="C4122" t="s">
        <v>1699</v>
      </c>
      <c r="D4122">
        <v>100</v>
      </c>
      <c r="E4122" t="s">
        <v>197</v>
      </c>
      <c r="F4122">
        <v>1015</v>
      </c>
      <c r="G4122" t="s">
        <v>7</v>
      </c>
      <c r="H4122">
        <v>2020</v>
      </c>
      <c r="I4122" t="s">
        <v>7</v>
      </c>
      <c r="J4122">
        <v>3050</v>
      </c>
      <c r="K4122" t="s">
        <v>1717</v>
      </c>
      <c r="L4122">
        <v>4026</v>
      </c>
      <c r="M4122" t="s">
        <v>1731</v>
      </c>
      <c r="N4122" t="s">
        <v>731</v>
      </c>
      <c r="O4122">
        <v>10</v>
      </c>
      <c r="P4122">
        <v>8185</v>
      </c>
      <c r="Q4122" t="s">
        <v>1701</v>
      </c>
      <c r="R4122" t="s">
        <v>201</v>
      </c>
      <c r="S4122">
        <v>1</v>
      </c>
      <c r="T4122">
        <v>1</v>
      </c>
      <c r="U4122">
        <v>112440</v>
      </c>
      <c r="V4122">
        <v>112440</v>
      </c>
    </row>
    <row r="4123" spans="1:22">
      <c r="A4123" t="s">
        <v>196</v>
      </c>
      <c r="B4123">
        <v>81</v>
      </c>
      <c r="C4123" t="s">
        <v>1699</v>
      </c>
      <c r="D4123">
        <v>100</v>
      </c>
      <c r="E4123" t="s">
        <v>197</v>
      </c>
      <c r="F4123">
        <v>1015</v>
      </c>
      <c r="G4123" t="s">
        <v>7</v>
      </c>
      <c r="H4123">
        <v>2020</v>
      </c>
      <c r="I4123" t="s">
        <v>7</v>
      </c>
      <c r="J4123">
        <v>3050</v>
      </c>
      <c r="K4123" t="s">
        <v>1717</v>
      </c>
      <c r="L4123">
        <v>4026</v>
      </c>
      <c r="M4123" t="s">
        <v>1731</v>
      </c>
      <c r="N4123" t="s">
        <v>721</v>
      </c>
      <c r="O4123">
        <v>8</v>
      </c>
      <c r="P4123">
        <v>7183</v>
      </c>
      <c r="Q4123" t="s">
        <v>986</v>
      </c>
      <c r="R4123" t="s">
        <v>713</v>
      </c>
      <c r="S4123">
        <v>26</v>
      </c>
      <c r="T4123">
        <v>1</v>
      </c>
      <c r="U4123">
        <v>48.73</v>
      </c>
      <c r="V4123">
        <v>2635318</v>
      </c>
    </row>
    <row r="4124" spans="1:22">
      <c r="A4124" t="s">
        <v>196</v>
      </c>
      <c r="B4124">
        <v>81</v>
      </c>
      <c r="C4124" t="s">
        <v>1699</v>
      </c>
      <c r="D4124">
        <v>100</v>
      </c>
      <c r="E4124" t="s">
        <v>197</v>
      </c>
      <c r="F4124">
        <v>1015</v>
      </c>
      <c r="G4124" t="s">
        <v>7</v>
      </c>
      <c r="H4124">
        <v>2020</v>
      </c>
      <c r="I4124" t="s">
        <v>7</v>
      </c>
      <c r="J4124">
        <v>3050</v>
      </c>
      <c r="K4124" t="s">
        <v>1717</v>
      </c>
      <c r="L4124">
        <v>4026</v>
      </c>
      <c r="M4124" t="s">
        <v>1731</v>
      </c>
      <c r="N4124" t="s">
        <v>721</v>
      </c>
      <c r="O4124">
        <v>8</v>
      </c>
      <c r="P4124">
        <v>7183</v>
      </c>
      <c r="Q4124" t="s">
        <v>986</v>
      </c>
      <c r="R4124" t="s">
        <v>713</v>
      </c>
      <c r="S4124">
        <v>1</v>
      </c>
      <c r="T4124">
        <v>1</v>
      </c>
      <c r="U4124">
        <v>43.86</v>
      </c>
      <c r="V4124">
        <v>91229</v>
      </c>
    </row>
    <row r="4125" spans="1:22">
      <c r="A4125" t="s">
        <v>196</v>
      </c>
      <c r="B4125">
        <v>81</v>
      </c>
      <c r="C4125" t="s">
        <v>1699</v>
      </c>
      <c r="D4125">
        <v>100</v>
      </c>
      <c r="E4125" t="s">
        <v>197</v>
      </c>
      <c r="F4125">
        <v>1015</v>
      </c>
      <c r="G4125" t="s">
        <v>7</v>
      </c>
      <c r="H4125">
        <v>2020</v>
      </c>
      <c r="I4125" t="s">
        <v>7</v>
      </c>
      <c r="J4125">
        <v>3050</v>
      </c>
      <c r="K4125" t="s">
        <v>1717</v>
      </c>
      <c r="L4125">
        <v>4026</v>
      </c>
      <c r="M4125" t="s">
        <v>1731</v>
      </c>
      <c r="N4125" t="s">
        <v>1722</v>
      </c>
      <c r="O4125">
        <v>54</v>
      </c>
      <c r="P4125">
        <v>7152</v>
      </c>
      <c r="Q4125" t="s">
        <v>1723</v>
      </c>
      <c r="R4125" t="s">
        <v>201</v>
      </c>
      <c r="S4125">
        <v>2</v>
      </c>
      <c r="T4125">
        <v>1</v>
      </c>
      <c r="U4125">
        <v>113592</v>
      </c>
      <c r="V4125">
        <v>227184</v>
      </c>
    </row>
    <row r="4126" spans="1:22">
      <c r="A4126" t="s">
        <v>196</v>
      </c>
      <c r="B4126">
        <v>81</v>
      </c>
      <c r="C4126" t="s">
        <v>1699</v>
      </c>
      <c r="D4126">
        <v>100</v>
      </c>
      <c r="E4126" t="s">
        <v>197</v>
      </c>
      <c r="F4126">
        <v>1015</v>
      </c>
      <c r="G4126" t="s">
        <v>7</v>
      </c>
      <c r="H4126">
        <v>2020</v>
      </c>
      <c r="I4126" t="s">
        <v>7</v>
      </c>
      <c r="J4126">
        <v>3050</v>
      </c>
      <c r="K4126" t="s">
        <v>1717</v>
      </c>
      <c r="L4126">
        <v>4026</v>
      </c>
      <c r="M4126" t="s">
        <v>1731</v>
      </c>
      <c r="N4126" t="s">
        <v>1722</v>
      </c>
      <c r="O4126">
        <v>54</v>
      </c>
      <c r="P4126">
        <v>7152</v>
      </c>
      <c r="Q4126" t="s">
        <v>1723</v>
      </c>
      <c r="R4126" t="s">
        <v>201</v>
      </c>
      <c r="S4126">
        <v>1</v>
      </c>
      <c r="T4126">
        <v>1</v>
      </c>
      <c r="U4126">
        <v>81276</v>
      </c>
      <c r="V4126">
        <v>81276</v>
      </c>
    </row>
    <row r="4127" spans="1:22">
      <c r="A4127" t="s">
        <v>196</v>
      </c>
      <c r="B4127">
        <v>81</v>
      </c>
      <c r="C4127" t="s">
        <v>1699</v>
      </c>
      <c r="D4127">
        <v>100</v>
      </c>
      <c r="E4127" t="s">
        <v>197</v>
      </c>
      <c r="F4127">
        <v>1015</v>
      </c>
      <c r="G4127" t="s">
        <v>7</v>
      </c>
      <c r="H4127">
        <v>2020</v>
      </c>
      <c r="I4127" t="s">
        <v>7</v>
      </c>
      <c r="J4127">
        <v>3050</v>
      </c>
      <c r="K4127" t="s">
        <v>1717</v>
      </c>
      <c r="L4127">
        <v>4026</v>
      </c>
      <c r="M4127" t="s">
        <v>1731</v>
      </c>
      <c r="N4127" t="s">
        <v>1722</v>
      </c>
      <c r="O4127">
        <v>54</v>
      </c>
      <c r="P4127">
        <v>7152</v>
      </c>
      <c r="Q4127" t="s">
        <v>1723</v>
      </c>
      <c r="R4127" t="s">
        <v>201</v>
      </c>
      <c r="S4127">
        <v>1</v>
      </c>
      <c r="T4127">
        <v>1</v>
      </c>
      <c r="U4127">
        <v>77628</v>
      </c>
      <c r="V4127">
        <v>77628</v>
      </c>
    </row>
    <row r="4128" spans="1:22">
      <c r="A4128" t="s">
        <v>196</v>
      </c>
      <c r="B4128">
        <v>81</v>
      </c>
      <c r="C4128" t="s">
        <v>1699</v>
      </c>
      <c r="D4128">
        <v>100</v>
      </c>
      <c r="E4128" t="s">
        <v>197</v>
      </c>
      <c r="F4128">
        <v>1015</v>
      </c>
      <c r="G4128" t="s">
        <v>7</v>
      </c>
      <c r="H4128">
        <v>2020</v>
      </c>
      <c r="I4128" t="s">
        <v>7</v>
      </c>
      <c r="J4128">
        <v>3050</v>
      </c>
      <c r="K4128" t="s">
        <v>1717</v>
      </c>
      <c r="L4128">
        <v>4026</v>
      </c>
      <c r="M4128" t="s">
        <v>1731</v>
      </c>
      <c r="N4128" t="s">
        <v>721</v>
      </c>
      <c r="O4128">
        <v>54</v>
      </c>
      <c r="P4128">
        <v>6324</v>
      </c>
      <c r="Q4128" t="s">
        <v>1730</v>
      </c>
      <c r="R4128" t="s">
        <v>713</v>
      </c>
      <c r="S4128">
        <v>2</v>
      </c>
      <c r="T4128">
        <v>1</v>
      </c>
      <c r="U4128">
        <v>49.79</v>
      </c>
      <c r="V4128">
        <v>207126</v>
      </c>
    </row>
    <row r="4129" spans="1:22">
      <c r="A4129" t="s">
        <v>196</v>
      </c>
      <c r="B4129">
        <v>81</v>
      </c>
      <c r="C4129" t="s">
        <v>1699</v>
      </c>
      <c r="D4129">
        <v>100</v>
      </c>
      <c r="E4129" t="s">
        <v>197</v>
      </c>
      <c r="F4129">
        <v>1015</v>
      </c>
      <c r="G4129" t="s">
        <v>7</v>
      </c>
      <c r="H4129">
        <v>2020</v>
      </c>
      <c r="I4129" t="s">
        <v>7</v>
      </c>
      <c r="J4129">
        <v>3050</v>
      </c>
      <c r="K4129" t="s">
        <v>1717</v>
      </c>
      <c r="L4129">
        <v>4026</v>
      </c>
      <c r="M4129" t="s">
        <v>1731</v>
      </c>
      <c r="N4129" t="s">
        <v>721</v>
      </c>
      <c r="O4129">
        <v>54</v>
      </c>
      <c r="P4129">
        <v>6324</v>
      </c>
      <c r="Q4129" t="s">
        <v>1730</v>
      </c>
      <c r="R4129" t="s">
        <v>713</v>
      </c>
      <c r="S4129">
        <v>13</v>
      </c>
      <c r="T4129">
        <v>1</v>
      </c>
      <c r="U4129">
        <v>47.79</v>
      </c>
      <c r="V4129">
        <v>1292242</v>
      </c>
    </row>
    <row r="4130" spans="1:22">
      <c r="A4130" t="s">
        <v>196</v>
      </c>
      <c r="B4130">
        <v>81</v>
      </c>
      <c r="C4130" t="s">
        <v>1699</v>
      </c>
      <c r="D4130">
        <v>100</v>
      </c>
      <c r="E4130" t="s">
        <v>197</v>
      </c>
      <c r="F4130">
        <v>1015</v>
      </c>
      <c r="G4130" t="s">
        <v>7</v>
      </c>
      <c r="H4130">
        <v>2020</v>
      </c>
      <c r="I4130" t="s">
        <v>7</v>
      </c>
      <c r="J4130">
        <v>3050</v>
      </c>
      <c r="K4130" t="s">
        <v>1717</v>
      </c>
      <c r="L4130">
        <v>4026</v>
      </c>
      <c r="M4130" t="s">
        <v>1731</v>
      </c>
      <c r="N4130" t="s">
        <v>721</v>
      </c>
      <c r="O4130">
        <v>54</v>
      </c>
      <c r="P4130">
        <v>6324</v>
      </c>
      <c r="Q4130" t="s">
        <v>1730</v>
      </c>
      <c r="R4130" t="s">
        <v>713</v>
      </c>
      <c r="S4130">
        <v>2</v>
      </c>
      <c r="T4130">
        <v>1</v>
      </c>
      <c r="U4130">
        <v>43.01</v>
      </c>
      <c r="V4130">
        <v>178922</v>
      </c>
    </row>
    <row r="4131" spans="1:22">
      <c r="A4131" t="s">
        <v>196</v>
      </c>
      <c r="B4131">
        <v>81</v>
      </c>
      <c r="C4131" t="s">
        <v>1699</v>
      </c>
      <c r="D4131">
        <v>100</v>
      </c>
      <c r="E4131" t="s">
        <v>197</v>
      </c>
      <c r="F4131">
        <v>1015</v>
      </c>
      <c r="G4131" t="s">
        <v>7</v>
      </c>
      <c r="H4131">
        <v>2020</v>
      </c>
      <c r="I4131" t="s">
        <v>7</v>
      </c>
      <c r="J4131">
        <v>3050</v>
      </c>
      <c r="K4131" t="s">
        <v>1717</v>
      </c>
      <c r="L4131">
        <v>4026</v>
      </c>
      <c r="M4131" t="s">
        <v>1731</v>
      </c>
      <c r="N4131" t="s">
        <v>721</v>
      </c>
      <c r="O4131">
        <v>54</v>
      </c>
      <c r="P4131">
        <v>6324</v>
      </c>
      <c r="Q4131" t="s">
        <v>1730</v>
      </c>
      <c r="R4131" t="s">
        <v>713</v>
      </c>
      <c r="S4131">
        <v>2</v>
      </c>
      <c r="T4131">
        <v>1</v>
      </c>
      <c r="U4131">
        <v>35.840000000000003</v>
      </c>
      <c r="V4131">
        <v>149094</v>
      </c>
    </row>
    <row r="4132" spans="1:22">
      <c r="A4132" t="s">
        <v>196</v>
      </c>
      <c r="B4132">
        <v>81</v>
      </c>
      <c r="C4132" t="s">
        <v>1699</v>
      </c>
      <c r="D4132">
        <v>100</v>
      </c>
      <c r="E4132" t="s">
        <v>197</v>
      </c>
      <c r="F4132">
        <v>1015</v>
      </c>
      <c r="G4132" t="s">
        <v>7</v>
      </c>
      <c r="H4132">
        <v>2020</v>
      </c>
      <c r="I4132" t="s">
        <v>7</v>
      </c>
      <c r="J4132">
        <v>3050</v>
      </c>
      <c r="K4132" t="s">
        <v>1717</v>
      </c>
      <c r="L4132">
        <v>4026</v>
      </c>
      <c r="M4132" t="s">
        <v>1731</v>
      </c>
      <c r="N4132" t="s">
        <v>721</v>
      </c>
      <c r="O4132">
        <v>54</v>
      </c>
      <c r="P4132">
        <v>6324</v>
      </c>
      <c r="Q4132" t="s">
        <v>1730</v>
      </c>
      <c r="R4132" t="s">
        <v>713</v>
      </c>
      <c r="S4132">
        <v>3</v>
      </c>
      <c r="T4132">
        <v>1</v>
      </c>
      <c r="U4132">
        <v>31.7</v>
      </c>
      <c r="V4132">
        <v>197808</v>
      </c>
    </row>
    <row r="4133" spans="1:22">
      <c r="A4133" t="s">
        <v>196</v>
      </c>
      <c r="B4133">
        <v>81</v>
      </c>
      <c r="C4133" t="s">
        <v>1699</v>
      </c>
      <c r="D4133">
        <v>100</v>
      </c>
      <c r="E4133" t="s">
        <v>197</v>
      </c>
      <c r="F4133">
        <v>1015</v>
      </c>
      <c r="G4133" t="s">
        <v>7</v>
      </c>
      <c r="H4133">
        <v>2020</v>
      </c>
      <c r="I4133" t="s">
        <v>7</v>
      </c>
      <c r="J4133">
        <v>3050</v>
      </c>
      <c r="K4133" t="s">
        <v>1717</v>
      </c>
      <c r="L4133">
        <v>4026</v>
      </c>
      <c r="M4133" t="s">
        <v>1731</v>
      </c>
      <c r="N4133" t="s">
        <v>372</v>
      </c>
      <c r="O4133">
        <v>4</v>
      </c>
      <c r="P4133">
        <v>1912</v>
      </c>
      <c r="Q4133" t="s">
        <v>608</v>
      </c>
      <c r="R4133" t="s">
        <v>201</v>
      </c>
      <c r="S4133">
        <v>1</v>
      </c>
      <c r="T4133">
        <v>1</v>
      </c>
      <c r="U4133">
        <v>77640</v>
      </c>
      <c r="V4133">
        <v>77640</v>
      </c>
    </row>
    <row r="4134" spans="1:22">
      <c r="A4134" t="s">
        <v>196</v>
      </c>
      <c r="B4134">
        <v>81</v>
      </c>
      <c r="C4134" t="s">
        <v>1699</v>
      </c>
      <c r="D4134">
        <v>100</v>
      </c>
      <c r="E4134" t="s">
        <v>197</v>
      </c>
      <c r="F4134">
        <v>1015</v>
      </c>
      <c r="G4134" t="s">
        <v>7</v>
      </c>
      <c r="H4134">
        <v>2020</v>
      </c>
      <c r="I4134" t="s">
        <v>7</v>
      </c>
      <c r="J4134">
        <v>3050</v>
      </c>
      <c r="K4134" t="s">
        <v>1717</v>
      </c>
      <c r="L4134">
        <v>4026</v>
      </c>
      <c r="M4134" t="s">
        <v>1731</v>
      </c>
      <c r="N4134" t="s">
        <v>268</v>
      </c>
      <c r="O4134">
        <v>10</v>
      </c>
      <c r="P4134">
        <v>1911</v>
      </c>
      <c r="Q4134" t="s">
        <v>617</v>
      </c>
      <c r="R4134" t="s">
        <v>201</v>
      </c>
      <c r="S4134">
        <v>1</v>
      </c>
      <c r="T4134">
        <v>1</v>
      </c>
      <c r="U4134">
        <v>80124</v>
      </c>
      <c r="V4134">
        <v>80124</v>
      </c>
    </row>
    <row r="4135" spans="1:22">
      <c r="A4135" t="s">
        <v>196</v>
      </c>
      <c r="B4135">
        <v>81</v>
      </c>
      <c r="C4135" t="s">
        <v>1699</v>
      </c>
      <c r="D4135">
        <v>100</v>
      </c>
      <c r="E4135" t="s">
        <v>197</v>
      </c>
      <c r="F4135">
        <v>1015</v>
      </c>
      <c r="G4135" t="s">
        <v>7</v>
      </c>
      <c r="H4135">
        <v>2020</v>
      </c>
      <c r="I4135" t="s">
        <v>7</v>
      </c>
      <c r="J4135">
        <v>3050</v>
      </c>
      <c r="K4135" t="s">
        <v>1717</v>
      </c>
      <c r="L4135">
        <v>4026</v>
      </c>
      <c r="M4135" t="s">
        <v>1731</v>
      </c>
      <c r="N4135" t="s">
        <v>1314</v>
      </c>
      <c r="O4135">
        <v>0</v>
      </c>
      <c r="P4135" t="s">
        <v>1471</v>
      </c>
      <c r="Q4135" t="s">
        <v>605</v>
      </c>
      <c r="R4135" t="s">
        <v>201</v>
      </c>
      <c r="S4135">
        <v>1</v>
      </c>
      <c r="T4135">
        <v>1</v>
      </c>
      <c r="U4135">
        <v>160680</v>
      </c>
      <c r="V4135">
        <v>160680</v>
      </c>
    </row>
    <row r="4136" spans="1:22">
      <c r="A4136" t="s">
        <v>196</v>
      </c>
      <c r="B4136">
        <v>81</v>
      </c>
      <c r="C4136" t="s">
        <v>1699</v>
      </c>
      <c r="D4136">
        <v>100</v>
      </c>
      <c r="E4136" t="s">
        <v>197</v>
      </c>
      <c r="F4136">
        <v>1015</v>
      </c>
      <c r="G4136" t="s">
        <v>7</v>
      </c>
      <c r="H4136">
        <v>2020</v>
      </c>
      <c r="I4136" t="s">
        <v>7</v>
      </c>
      <c r="J4136">
        <v>3050</v>
      </c>
      <c r="K4136" t="s">
        <v>1717</v>
      </c>
      <c r="L4136">
        <v>4026</v>
      </c>
      <c r="M4136" t="s">
        <v>1731</v>
      </c>
      <c r="N4136" t="s">
        <v>199</v>
      </c>
      <c r="O4136">
        <v>0</v>
      </c>
      <c r="P4136">
        <v>15</v>
      </c>
      <c r="Q4136" t="s">
        <v>264</v>
      </c>
      <c r="R4136" t="s">
        <v>201</v>
      </c>
      <c r="S4136">
        <v>0</v>
      </c>
      <c r="T4136">
        <v>0</v>
      </c>
      <c r="U4136">
        <v>18953</v>
      </c>
      <c r="V4136">
        <v>18953</v>
      </c>
    </row>
    <row r="4137" spans="1:22">
      <c r="A4137" t="s">
        <v>196</v>
      </c>
      <c r="B4137">
        <v>81</v>
      </c>
      <c r="C4137" t="s">
        <v>1699</v>
      </c>
      <c r="D4137">
        <v>100</v>
      </c>
      <c r="E4137" t="s">
        <v>197</v>
      </c>
      <c r="F4137">
        <v>1015</v>
      </c>
      <c r="G4137" t="s">
        <v>7</v>
      </c>
      <c r="H4137">
        <v>2020</v>
      </c>
      <c r="I4137" t="s">
        <v>7</v>
      </c>
      <c r="J4137">
        <v>3050</v>
      </c>
      <c r="K4137" t="s">
        <v>1717</v>
      </c>
      <c r="L4137">
        <v>4026</v>
      </c>
      <c r="M4137" t="s">
        <v>1731</v>
      </c>
      <c r="N4137" t="s">
        <v>199</v>
      </c>
      <c r="O4137">
        <v>0</v>
      </c>
      <c r="P4137">
        <v>12</v>
      </c>
      <c r="Q4137" t="s">
        <v>724</v>
      </c>
      <c r="R4137" t="s">
        <v>201</v>
      </c>
      <c r="S4137">
        <v>0</v>
      </c>
      <c r="T4137">
        <v>0</v>
      </c>
      <c r="U4137">
        <v>71276</v>
      </c>
      <c r="V4137">
        <v>71276</v>
      </c>
    </row>
    <row r="4138" spans="1:22">
      <c r="A4138" t="s">
        <v>196</v>
      </c>
      <c r="B4138">
        <v>81</v>
      </c>
      <c r="C4138" t="s">
        <v>1699</v>
      </c>
      <c r="D4138">
        <v>100</v>
      </c>
      <c r="E4138" t="s">
        <v>197</v>
      </c>
      <c r="F4138">
        <v>1015</v>
      </c>
      <c r="G4138" t="s">
        <v>7</v>
      </c>
      <c r="H4138">
        <v>2020</v>
      </c>
      <c r="I4138" t="s">
        <v>7</v>
      </c>
      <c r="J4138">
        <v>3050</v>
      </c>
      <c r="K4138" t="s">
        <v>1717</v>
      </c>
      <c r="L4138">
        <v>4027</v>
      </c>
      <c r="M4138" t="s">
        <v>1732</v>
      </c>
      <c r="N4138" t="s">
        <v>721</v>
      </c>
      <c r="O4138">
        <v>8</v>
      </c>
      <c r="P4138">
        <v>7184</v>
      </c>
      <c r="Q4138" t="s">
        <v>1728</v>
      </c>
      <c r="R4138" t="s">
        <v>713</v>
      </c>
      <c r="S4138">
        <v>42000</v>
      </c>
      <c r="T4138">
        <v>0</v>
      </c>
      <c r="U4138">
        <v>38.979999999999997</v>
      </c>
      <c r="V4138">
        <v>1637160</v>
      </c>
    </row>
    <row r="4139" spans="1:22">
      <c r="A4139" t="s">
        <v>196</v>
      </c>
      <c r="B4139">
        <v>81</v>
      </c>
      <c r="C4139" t="s">
        <v>1699</v>
      </c>
      <c r="D4139">
        <v>100</v>
      </c>
      <c r="E4139" t="s">
        <v>197</v>
      </c>
      <c r="F4139">
        <v>1015</v>
      </c>
      <c r="G4139" t="s">
        <v>7</v>
      </c>
      <c r="H4139">
        <v>2020</v>
      </c>
      <c r="I4139" t="s">
        <v>7</v>
      </c>
      <c r="J4139">
        <v>3050</v>
      </c>
      <c r="K4139" t="s">
        <v>1717</v>
      </c>
      <c r="L4139">
        <v>4027</v>
      </c>
      <c r="M4139" t="s">
        <v>1732</v>
      </c>
      <c r="N4139" t="s">
        <v>721</v>
      </c>
      <c r="O4139">
        <v>8</v>
      </c>
      <c r="P4139">
        <v>7184</v>
      </c>
      <c r="Q4139" t="s">
        <v>1728</v>
      </c>
      <c r="R4139" t="s">
        <v>713</v>
      </c>
      <c r="S4139">
        <v>5</v>
      </c>
      <c r="T4139">
        <v>1</v>
      </c>
      <c r="U4139">
        <v>43.86</v>
      </c>
      <c r="V4139">
        <v>456144</v>
      </c>
    </row>
    <row r="4140" spans="1:22">
      <c r="A4140" t="s">
        <v>196</v>
      </c>
      <c r="B4140">
        <v>81</v>
      </c>
      <c r="C4140" t="s">
        <v>1699</v>
      </c>
      <c r="D4140">
        <v>100</v>
      </c>
      <c r="E4140" t="s">
        <v>197</v>
      </c>
      <c r="F4140">
        <v>1015</v>
      </c>
      <c r="G4140" t="s">
        <v>7</v>
      </c>
      <c r="H4140">
        <v>2020</v>
      </c>
      <c r="I4140" t="s">
        <v>7</v>
      </c>
      <c r="J4140">
        <v>3050</v>
      </c>
      <c r="K4140" t="s">
        <v>1717</v>
      </c>
      <c r="L4140">
        <v>4027</v>
      </c>
      <c r="M4140" t="s">
        <v>1732</v>
      </c>
      <c r="N4140" t="s">
        <v>199</v>
      </c>
      <c r="O4140">
        <v>0</v>
      </c>
      <c r="P4140">
        <v>12</v>
      </c>
      <c r="Q4140" t="s">
        <v>724</v>
      </c>
      <c r="R4140" t="s">
        <v>201</v>
      </c>
      <c r="S4140">
        <v>0</v>
      </c>
      <c r="T4140">
        <v>0</v>
      </c>
      <c r="U4140">
        <v>31399</v>
      </c>
      <c r="V4140">
        <v>31399</v>
      </c>
    </row>
    <row r="4141" spans="1:22">
      <c r="A4141" t="s">
        <v>196</v>
      </c>
      <c r="B4141">
        <v>81</v>
      </c>
      <c r="C4141" t="s">
        <v>1699</v>
      </c>
      <c r="D4141">
        <v>100</v>
      </c>
      <c r="E4141" t="s">
        <v>197</v>
      </c>
      <c r="F4141">
        <v>1020</v>
      </c>
      <c r="G4141" t="s">
        <v>55</v>
      </c>
      <c r="H4141">
        <v>2025</v>
      </c>
      <c r="I4141" t="s">
        <v>55</v>
      </c>
      <c r="J4141">
        <v>3076</v>
      </c>
      <c r="K4141" t="s">
        <v>1733</v>
      </c>
      <c r="L4141">
        <v>0</v>
      </c>
      <c r="N4141" t="s">
        <v>1294</v>
      </c>
      <c r="O4141">
        <v>0</v>
      </c>
      <c r="P4141">
        <v>9681</v>
      </c>
      <c r="Q4141" t="s">
        <v>338</v>
      </c>
      <c r="R4141" t="s">
        <v>201</v>
      </c>
      <c r="S4141">
        <v>1</v>
      </c>
      <c r="T4141">
        <v>1</v>
      </c>
      <c r="U4141">
        <v>172920</v>
      </c>
      <c r="V4141">
        <v>172920</v>
      </c>
    </row>
    <row r="4142" spans="1:22">
      <c r="A4142" t="s">
        <v>196</v>
      </c>
      <c r="B4142">
        <v>81</v>
      </c>
      <c r="C4142" t="s">
        <v>1699</v>
      </c>
      <c r="D4142">
        <v>100</v>
      </c>
      <c r="E4142" t="s">
        <v>197</v>
      </c>
      <c r="F4142">
        <v>1020</v>
      </c>
      <c r="G4142" t="s">
        <v>55</v>
      </c>
      <c r="H4142">
        <v>2025</v>
      </c>
      <c r="I4142" t="s">
        <v>55</v>
      </c>
      <c r="J4142">
        <v>3076</v>
      </c>
      <c r="K4142" t="s">
        <v>1733</v>
      </c>
      <c r="L4142">
        <v>0</v>
      </c>
      <c r="N4142" t="s">
        <v>1724</v>
      </c>
      <c r="O4142">
        <v>54</v>
      </c>
      <c r="P4142">
        <v>441</v>
      </c>
      <c r="Q4142" t="s">
        <v>1725</v>
      </c>
      <c r="R4142" t="s">
        <v>201</v>
      </c>
      <c r="S4142">
        <v>1</v>
      </c>
      <c r="T4142">
        <v>1</v>
      </c>
      <c r="U4142">
        <v>90108</v>
      </c>
      <c r="V4142">
        <v>90108</v>
      </c>
    </row>
    <row r="4143" spans="1:22">
      <c r="A4143" t="s">
        <v>196</v>
      </c>
      <c r="B4143">
        <v>81</v>
      </c>
      <c r="C4143" t="s">
        <v>1699</v>
      </c>
      <c r="D4143">
        <v>100</v>
      </c>
      <c r="E4143" t="s">
        <v>197</v>
      </c>
      <c r="F4143">
        <v>1020</v>
      </c>
      <c r="G4143" t="s">
        <v>55</v>
      </c>
      <c r="H4143">
        <v>2025</v>
      </c>
      <c r="I4143" t="s">
        <v>55</v>
      </c>
      <c r="J4143">
        <v>3076</v>
      </c>
      <c r="K4143" t="s">
        <v>1733</v>
      </c>
      <c r="L4143">
        <v>0</v>
      </c>
      <c r="N4143" t="s">
        <v>1724</v>
      </c>
      <c r="O4143">
        <v>54</v>
      </c>
      <c r="P4143">
        <v>441</v>
      </c>
      <c r="Q4143" t="s">
        <v>1725</v>
      </c>
      <c r="R4143" t="s">
        <v>201</v>
      </c>
      <c r="S4143">
        <v>1</v>
      </c>
      <c r="T4143">
        <v>1</v>
      </c>
      <c r="U4143">
        <v>53520</v>
      </c>
      <c r="V4143">
        <v>53520</v>
      </c>
    </row>
    <row r="4144" spans="1:22">
      <c r="A4144" t="s">
        <v>196</v>
      </c>
      <c r="B4144">
        <v>81</v>
      </c>
      <c r="C4144" t="s">
        <v>1699</v>
      </c>
      <c r="D4144">
        <v>100</v>
      </c>
      <c r="E4144" t="s">
        <v>197</v>
      </c>
      <c r="F4144">
        <v>1020</v>
      </c>
      <c r="G4144" t="s">
        <v>55</v>
      </c>
      <c r="H4144">
        <v>2025</v>
      </c>
      <c r="I4144" t="s">
        <v>55</v>
      </c>
      <c r="J4144">
        <v>3076</v>
      </c>
      <c r="K4144" t="s">
        <v>1733</v>
      </c>
      <c r="L4144">
        <v>0</v>
      </c>
      <c r="N4144" t="s">
        <v>199</v>
      </c>
      <c r="O4144">
        <v>0</v>
      </c>
      <c r="P4144">
        <v>15</v>
      </c>
      <c r="Q4144" t="s">
        <v>264</v>
      </c>
      <c r="R4144" t="s">
        <v>201</v>
      </c>
      <c r="S4144">
        <v>0</v>
      </c>
      <c r="T4144">
        <v>0</v>
      </c>
      <c r="U4144">
        <v>2232</v>
      </c>
      <c r="V4144">
        <v>2232</v>
      </c>
    </row>
    <row r="4145" spans="1:22">
      <c r="A4145" t="s">
        <v>196</v>
      </c>
      <c r="B4145">
        <v>81</v>
      </c>
      <c r="C4145" t="s">
        <v>1699</v>
      </c>
      <c r="D4145">
        <v>100</v>
      </c>
      <c r="E4145" t="s">
        <v>197</v>
      </c>
      <c r="F4145">
        <v>1020</v>
      </c>
      <c r="G4145" t="s">
        <v>55</v>
      </c>
      <c r="H4145">
        <v>2025</v>
      </c>
      <c r="I4145" t="s">
        <v>55</v>
      </c>
      <c r="J4145">
        <v>3077</v>
      </c>
      <c r="K4145" t="s">
        <v>1734</v>
      </c>
      <c r="L4145">
        <v>0</v>
      </c>
      <c r="N4145" t="s">
        <v>731</v>
      </c>
      <c r="O4145">
        <v>10</v>
      </c>
      <c r="P4145">
        <v>8185</v>
      </c>
      <c r="Q4145" t="s">
        <v>1701</v>
      </c>
      <c r="R4145" t="s">
        <v>201</v>
      </c>
      <c r="S4145">
        <v>1</v>
      </c>
      <c r="T4145">
        <v>1</v>
      </c>
      <c r="U4145">
        <v>157212</v>
      </c>
      <c r="V4145">
        <v>157212</v>
      </c>
    </row>
    <row r="4146" spans="1:22">
      <c r="A4146" t="s">
        <v>196</v>
      </c>
      <c r="B4146">
        <v>81</v>
      </c>
      <c r="C4146" t="s">
        <v>1699</v>
      </c>
      <c r="D4146">
        <v>100</v>
      </c>
      <c r="E4146" t="s">
        <v>197</v>
      </c>
      <c r="F4146">
        <v>1020</v>
      </c>
      <c r="G4146" t="s">
        <v>55</v>
      </c>
      <c r="H4146">
        <v>2025</v>
      </c>
      <c r="I4146" t="s">
        <v>55</v>
      </c>
      <c r="J4146">
        <v>3077</v>
      </c>
      <c r="K4146" t="s">
        <v>1734</v>
      </c>
      <c r="L4146">
        <v>0</v>
      </c>
      <c r="N4146" t="s">
        <v>721</v>
      </c>
      <c r="O4146">
        <v>8</v>
      </c>
      <c r="P4146">
        <v>7185</v>
      </c>
      <c r="Q4146" t="s">
        <v>1039</v>
      </c>
      <c r="R4146" t="s">
        <v>713</v>
      </c>
      <c r="S4146">
        <v>1</v>
      </c>
      <c r="T4146">
        <v>1</v>
      </c>
      <c r="U4146">
        <v>52.38</v>
      </c>
      <c r="V4146">
        <v>108950</v>
      </c>
    </row>
    <row r="4147" spans="1:22">
      <c r="A4147" t="s">
        <v>196</v>
      </c>
      <c r="B4147">
        <v>81</v>
      </c>
      <c r="C4147" t="s">
        <v>1699</v>
      </c>
      <c r="D4147">
        <v>100</v>
      </c>
      <c r="E4147" t="s">
        <v>197</v>
      </c>
      <c r="F4147">
        <v>1020</v>
      </c>
      <c r="G4147" t="s">
        <v>55</v>
      </c>
      <c r="H4147">
        <v>2025</v>
      </c>
      <c r="I4147" t="s">
        <v>55</v>
      </c>
      <c r="J4147">
        <v>3077</v>
      </c>
      <c r="K4147" t="s">
        <v>1734</v>
      </c>
      <c r="L4147">
        <v>0</v>
      </c>
      <c r="N4147" t="s">
        <v>721</v>
      </c>
      <c r="O4147">
        <v>8</v>
      </c>
      <c r="P4147">
        <v>7184</v>
      </c>
      <c r="Q4147" t="s">
        <v>1728</v>
      </c>
      <c r="R4147" t="s">
        <v>713</v>
      </c>
      <c r="S4147">
        <v>2</v>
      </c>
      <c r="T4147">
        <v>1</v>
      </c>
      <c r="U4147">
        <v>48.73</v>
      </c>
      <c r="V4147">
        <v>202717</v>
      </c>
    </row>
    <row r="4148" spans="1:22">
      <c r="A4148" t="s">
        <v>196</v>
      </c>
      <c r="B4148">
        <v>81</v>
      </c>
      <c r="C4148" t="s">
        <v>1699</v>
      </c>
      <c r="D4148">
        <v>100</v>
      </c>
      <c r="E4148" t="s">
        <v>197</v>
      </c>
      <c r="F4148">
        <v>1020</v>
      </c>
      <c r="G4148" t="s">
        <v>55</v>
      </c>
      <c r="H4148">
        <v>2025</v>
      </c>
      <c r="I4148" t="s">
        <v>55</v>
      </c>
      <c r="J4148">
        <v>3077</v>
      </c>
      <c r="K4148" t="s">
        <v>1734</v>
      </c>
      <c r="L4148">
        <v>0</v>
      </c>
      <c r="N4148" t="s">
        <v>721</v>
      </c>
      <c r="O4148">
        <v>8</v>
      </c>
      <c r="P4148">
        <v>7184</v>
      </c>
      <c r="Q4148" t="s">
        <v>1728</v>
      </c>
      <c r="R4148" t="s">
        <v>713</v>
      </c>
      <c r="S4148">
        <v>1</v>
      </c>
      <c r="T4148">
        <v>1</v>
      </c>
      <c r="U4148">
        <v>43.86</v>
      </c>
      <c r="V4148">
        <v>91229</v>
      </c>
    </row>
    <row r="4149" spans="1:22">
      <c r="A4149" t="s">
        <v>196</v>
      </c>
      <c r="B4149">
        <v>81</v>
      </c>
      <c r="C4149" t="s">
        <v>1699</v>
      </c>
      <c r="D4149">
        <v>100</v>
      </c>
      <c r="E4149" t="s">
        <v>197</v>
      </c>
      <c r="F4149">
        <v>1020</v>
      </c>
      <c r="G4149" t="s">
        <v>55</v>
      </c>
      <c r="H4149">
        <v>2025</v>
      </c>
      <c r="I4149" t="s">
        <v>55</v>
      </c>
      <c r="J4149">
        <v>3077</v>
      </c>
      <c r="K4149" t="s">
        <v>1734</v>
      </c>
      <c r="L4149">
        <v>0</v>
      </c>
      <c r="N4149" t="s">
        <v>721</v>
      </c>
      <c r="O4149">
        <v>8</v>
      </c>
      <c r="P4149">
        <v>7183</v>
      </c>
      <c r="Q4149" t="s">
        <v>986</v>
      </c>
      <c r="R4149" t="s">
        <v>713</v>
      </c>
      <c r="S4149">
        <v>1</v>
      </c>
      <c r="T4149">
        <v>1</v>
      </c>
      <c r="U4149">
        <v>49.46</v>
      </c>
      <c r="V4149">
        <v>102877</v>
      </c>
    </row>
    <row r="4150" spans="1:22">
      <c r="A4150" t="s">
        <v>196</v>
      </c>
      <c r="B4150">
        <v>81</v>
      </c>
      <c r="C4150" t="s">
        <v>1699</v>
      </c>
      <c r="D4150">
        <v>100</v>
      </c>
      <c r="E4150" t="s">
        <v>197</v>
      </c>
      <c r="F4150">
        <v>1020</v>
      </c>
      <c r="G4150" t="s">
        <v>55</v>
      </c>
      <c r="H4150">
        <v>2025</v>
      </c>
      <c r="I4150" t="s">
        <v>55</v>
      </c>
      <c r="J4150">
        <v>3077</v>
      </c>
      <c r="K4150" t="s">
        <v>1734</v>
      </c>
      <c r="L4150">
        <v>0</v>
      </c>
      <c r="N4150" t="s">
        <v>721</v>
      </c>
      <c r="O4150">
        <v>8</v>
      </c>
      <c r="P4150">
        <v>7183</v>
      </c>
      <c r="Q4150" t="s">
        <v>986</v>
      </c>
      <c r="R4150" t="s">
        <v>713</v>
      </c>
      <c r="S4150">
        <v>20</v>
      </c>
      <c r="T4150">
        <v>1</v>
      </c>
      <c r="U4150">
        <v>48.73</v>
      </c>
      <c r="V4150">
        <v>2027168</v>
      </c>
    </row>
    <row r="4151" spans="1:22">
      <c r="A4151" t="s">
        <v>196</v>
      </c>
      <c r="B4151">
        <v>81</v>
      </c>
      <c r="C4151" t="s">
        <v>1699</v>
      </c>
      <c r="D4151">
        <v>100</v>
      </c>
      <c r="E4151" t="s">
        <v>197</v>
      </c>
      <c r="F4151">
        <v>1020</v>
      </c>
      <c r="G4151" t="s">
        <v>55</v>
      </c>
      <c r="H4151">
        <v>2025</v>
      </c>
      <c r="I4151" t="s">
        <v>55</v>
      </c>
      <c r="J4151">
        <v>3077</v>
      </c>
      <c r="K4151" t="s">
        <v>1734</v>
      </c>
      <c r="L4151">
        <v>0</v>
      </c>
      <c r="N4151" t="s">
        <v>1722</v>
      </c>
      <c r="O4151">
        <v>54</v>
      </c>
      <c r="P4151">
        <v>7152</v>
      </c>
      <c r="Q4151" t="s">
        <v>1723</v>
      </c>
      <c r="R4151" t="s">
        <v>201</v>
      </c>
      <c r="S4151">
        <v>2</v>
      </c>
      <c r="T4151">
        <v>1</v>
      </c>
      <c r="U4151">
        <v>130620</v>
      </c>
      <c r="V4151">
        <v>261240</v>
      </c>
    </row>
    <row r="4152" spans="1:22">
      <c r="A4152" t="s">
        <v>196</v>
      </c>
      <c r="B4152">
        <v>81</v>
      </c>
      <c r="C4152" t="s">
        <v>1699</v>
      </c>
      <c r="D4152">
        <v>100</v>
      </c>
      <c r="E4152" t="s">
        <v>197</v>
      </c>
      <c r="F4152">
        <v>1020</v>
      </c>
      <c r="G4152" t="s">
        <v>55</v>
      </c>
      <c r="H4152">
        <v>2025</v>
      </c>
      <c r="I4152" t="s">
        <v>55</v>
      </c>
      <c r="J4152">
        <v>3077</v>
      </c>
      <c r="K4152" t="s">
        <v>1734</v>
      </c>
      <c r="L4152">
        <v>0</v>
      </c>
      <c r="N4152" t="s">
        <v>721</v>
      </c>
      <c r="O4152">
        <v>8</v>
      </c>
      <c r="P4152">
        <v>7140</v>
      </c>
      <c r="Q4152" t="s">
        <v>1735</v>
      </c>
      <c r="R4152" t="s">
        <v>713</v>
      </c>
      <c r="S4152">
        <v>6</v>
      </c>
      <c r="T4152">
        <v>1</v>
      </c>
      <c r="U4152">
        <v>35.57</v>
      </c>
      <c r="V4152">
        <v>443914</v>
      </c>
    </row>
    <row r="4153" spans="1:22">
      <c r="A4153" t="s">
        <v>196</v>
      </c>
      <c r="B4153">
        <v>81</v>
      </c>
      <c r="C4153" t="s">
        <v>1699</v>
      </c>
      <c r="D4153">
        <v>100</v>
      </c>
      <c r="E4153" t="s">
        <v>197</v>
      </c>
      <c r="F4153">
        <v>1020</v>
      </c>
      <c r="G4153" t="s">
        <v>55</v>
      </c>
      <c r="H4153">
        <v>2025</v>
      </c>
      <c r="I4153" t="s">
        <v>55</v>
      </c>
      <c r="J4153">
        <v>3077</v>
      </c>
      <c r="K4153" t="s">
        <v>1734</v>
      </c>
      <c r="L4153">
        <v>0</v>
      </c>
      <c r="N4153" t="s">
        <v>721</v>
      </c>
      <c r="O4153">
        <v>54</v>
      </c>
      <c r="P4153">
        <v>6329</v>
      </c>
      <c r="Q4153" t="s">
        <v>1729</v>
      </c>
      <c r="R4153" t="s">
        <v>713</v>
      </c>
      <c r="S4153">
        <v>2</v>
      </c>
      <c r="T4153">
        <v>1</v>
      </c>
      <c r="U4153">
        <v>26.28</v>
      </c>
      <c r="V4153">
        <v>109325</v>
      </c>
    </row>
    <row r="4154" spans="1:22">
      <c r="A4154" t="s">
        <v>196</v>
      </c>
      <c r="B4154">
        <v>81</v>
      </c>
      <c r="C4154" t="s">
        <v>1699</v>
      </c>
      <c r="D4154">
        <v>100</v>
      </c>
      <c r="E4154" t="s">
        <v>197</v>
      </c>
      <c r="F4154">
        <v>1020</v>
      </c>
      <c r="G4154" t="s">
        <v>55</v>
      </c>
      <c r="H4154">
        <v>2025</v>
      </c>
      <c r="I4154" t="s">
        <v>55</v>
      </c>
      <c r="J4154">
        <v>3077</v>
      </c>
      <c r="K4154" t="s">
        <v>1734</v>
      </c>
      <c r="L4154">
        <v>0</v>
      </c>
      <c r="N4154" t="s">
        <v>721</v>
      </c>
      <c r="O4154">
        <v>54</v>
      </c>
      <c r="P4154">
        <v>6324</v>
      </c>
      <c r="Q4154" t="s">
        <v>1730</v>
      </c>
      <c r="R4154" t="s">
        <v>713</v>
      </c>
      <c r="S4154">
        <v>3</v>
      </c>
      <c r="T4154">
        <v>1</v>
      </c>
      <c r="U4154">
        <v>49.79</v>
      </c>
      <c r="V4154">
        <v>310690</v>
      </c>
    </row>
    <row r="4155" spans="1:22">
      <c r="A4155" t="s">
        <v>196</v>
      </c>
      <c r="B4155">
        <v>81</v>
      </c>
      <c r="C4155" t="s">
        <v>1699</v>
      </c>
      <c r="D4155">
        <v>100</v>
      </c>
      <c r="E4155" t="s">
        <v>197</v>
      </c>
      <c r="F4155">
        <v>1020</v>
      </c>
      <c r="G4155" t="s">
        <v>55</v>
      </c>
      <c r="H4155">
        <v>2025</v>
      </c>
      <c r="I4155" t="s">
        <v>55</v>
      </c>
      <c r="J4155">
        <v>3077</v>
      </c>
      <c r="K4155" t="s">
        <v>1734</v>
      </c>
      <c r="L4155">
        <v>0</v>
      </c>
      <c r="N4155" t="s">
        <v>721</v>
      </c>
      <c r="O4155">
        <v>54</v>
      </c>
      <c r="P4155">
        <v>6324</v>
      </c>
      <c r="Q4155" t="s">
        <v>1730</v>
      </c>
      <c r="R4155" t="s">
        <v>713</v>
      </c>
      <c r="S4155">
        <v>23</v>
      </c>
      <c r="T4155">
        <v>1</v>
      </c>
      <c r="U4155">
        <v>47.79</v>
      </c>
      <c r="V4155">
        <v>2286274</v>
      </c>
    </row>
    <row r="4156" spans="1:22">
      <c r="A4156" t="s">
        <v>196</v>
      </c>
      <c r="B4156">
        <v>81</v>
      </c>
      <c r="C4156" t="s">
        <v>1699</v>
      </c>
      <c r="D4156">
        <v>100</v>
      </c>
      <c r="E4156" t="s">
        <v>197</v>
      </c>
      <c r="F4156">
        <v>1020</v>
      </c>
      <c r="G4156" t="s">
        <v>55</v>
      </c>
      <c r="H4156">
        <v>2025</v>
      </c>
      <c r="I4156" t="s">
        <v>55</v>
      </c>
      <c r="J4156">
        <v>3077</v>
      </c>
      <c r="K4156" t="s">
        <v>1734</v>
      </c>
      <c r="L4156">
        <v>0</v>
      </c>
      <c r="N4156" t="s">
        <v>721</v>
      </c>
      <c r="O4156">
        <v>54</v>
      </c>
      <c r="P4156">
        <v>6324</v>
      </c>
      <c r="Q4156" t="s">
        <v>1730</v>
      </c>
      <c r="R4156" t="s">
        <v>713</v>
      </c>
      <c r="S4156">
        <v>4</v>
      </c>
      <c r="T4156">
        <v>1</v>
      </c>
      <c r="U4156">
        <v>43.01</v>
      </c>
      <c r="V4156">
        <v>357843</v>
      </c>
    </row>
    <row r="4157" spans="1:22">
      <c r="A4157" t="s">
        <v>196</v>
      </c>
      <c r="B4157">
        <v>81</v>
      </c>
      <c r="C4157" t="s">
        <v>1699</v>
      </c>
      <c r="D4157">
        <v>100</v>
      </c>
      <c r="E4157" t="s">
        <v>197</v>
      </c>
      <c r="F4157">
        <v>1020</v>
      </c>
      <c r="G4157" t="s">
        <v>55</v>
      </c>
      <c r="H4157">
        <v>2025</v>
      </c>
      <c r="I4157" t="s">
        <v>55</v>
      </c>
      <c r="J4157">
        <v>3077</v>
      </c>
      <c r="K4157" t="s">
        <v>1734</v>
      </c>
      <c r="L4157">
        <v>0</v>
      </c>
      <c r="N4157" t="s">
        <v>721</v>
      </c>
      <c r="O4157">
        <v>54</v>
      </c>
      <c r="P4157">
        <v>6324</v>
      </c>
      <c r="Q4157" t="s">
        <v>1730</v>
      </c>
      <c r="R4157" t="s">
        <v>713</v>
      </c>
      <c r="S4157">
        <v>1</v>
      </c>
      <c r="T4157">
        <v>1</v>
      </c>
      <c r="U4157">
        <v>35.840000000000003</v>
      </c>
      <c r="V4157">
        <v>74547</v>
      </c>
    </row>
    <row r="4158" spans="1:22">
      <c r="A4158" t="s">
        <v>196</v>
      </c>
      <c r="B4158">
        <v>81</v>
      </c>
      <c r="C4158" t="s">
        <v>1699</v>
      </c>
      <c r="D4158">
        <v>100</v>
      </c>
      <c r="E4158" t="s">
        <v>197</v>
      </c>
      <c r="F4158">
        <v>1020</v>
      </c>
      <c r="G4158" t="s">
        <v>55</v>
      </c>
      <c r="H4158">
        <v>2025</v>
      </c>
      <c r="I4158" t="s">
        <v>55</v>
      </c>
      <c r="J4158">
        <v>3077</v>
      </c>
      <c r="K4158" t="s">
        <v>1734</v>
      </c>
      <c r="L4158">
        <v>0</v>
      </c>
      <c r="N4158" t="s">
        <v>721</v>
      </c>
      <c r="O4158">
        <v>54</v>
      </c>
      <c r="P4158">
        <v>6324</v>
      </c>
      <c r="Q4158" t="s">
        <v>1730</v>
      </c>
      <c r="R4158" t="s">
        <v>713</v>
      </c>
      <c r="S4158">
        <v>1</v>
      </c>
      <c r="T4158">
        <v>1</v>
      </c>
      <c r="U4158">
        <v>31.7</v>
      </c>
      <c r="V4158">
        <v>65936</v>
      </c>
    </row>
    <row r="4159" spans="1:22">
      <c r="A4159" t="s">
        <v>196</v>
      </c>
      <c r="B4159">
        <v>81</v>
      </c>
      <c r="C4159" t="s">
        <v>1699</v>
      </c>
      <c r="D4159">
        <v>100</v>
      </c>
      <c r="E4159" t="s">
        <v>197</v>
      </c>
      <c r="F4159">
        <v>1020</v>
      </c>
      <c r="G4159" t="s">
        <v>55</v>
      </c>
      <c r="H4159">
        <v>2025</v>
      </c>
      <c r="I4159" t="s">
        <v>55</v>
      </c>
      <c r="J4159">
        <v>3077</v>
      </c>
      <c r="K4159" t="s">
        <v>1734</v>
      </c>
      <c r="L4159">
        <v>0</v>
      </c>
      <c r="N4159" t="s">
        <v>199</v>
      </c>
      <c r="O4159">
        <v>0</v>
      </c>
      <c r="P4159">
        <v>15</v>
      </c>
      <c r="Q4159" t="s">
        <v>264</v>
      </c>
      <c r="R4159" t="s">
        <v>201</v>
      </c>
      <c r="S4159">
        <v>0</v>
      </c>
      <c r="T4159">
        <v>0</v>
      </c>
      <c r="U4159">
        <v>3732</v>
      </c>
      <c r="V4159">
        <v>3732</v>
      </c>
    </row>
    <row r="4160" spans="1:22">
      <c r="A4160" t="s">
        <v>196</v>
      </c>
      <c r="B4160">
        <v>81</v>
      </c>
      <c r="C4160" t="s">
        <v>1699</v>
      </c>
      <c r="D4160">
        <v>100</v>
      </c>
      <c r="E4160" t="s">
        <v>197</v>
      </c>
      <c r="F4160">
        <v>1020</v>
      </c>
      <c r="G4160" t="s">
        <v>55</v>
      </c>
      <c r="H4160">
        <v>2025</v>
      </c>
      <c r="I4160" t="s">
        <v>55</v>
      </c>
      <c r="J4160">
        <v>3077</v>
      </c>
      <c r="K4160" t="s">
        <v>1734</v>
      </c>
      <c r="L4160">
        <v>0</v>
      </c>
      <c r="N4160" t="s">
        <v>199</v>
      </c>
      <c r="O4160">
        <v>0</v>
      </c>
      <c r="P4160">
        <v>12</v>
      </c>
      <c r="Q4160" t="s">
        <v>724</v>
      </c>
      <c r="R4160" t="s">
        <v>201</v>
      </c>
      <c r="S4160">
        <v>0</v>
      </c>
      <c r="T4160">
        <v>0</v>
      </c>
      <c r="U4160">
        <v>92722</v>
      </c>
      <c r="V4160">
        <v>92722</v>
      </c>
    </row>
    <row r="4161" spans="1:22">
      <c r="A4161" t="s">
        <v>196</v>
      </c>
      <c r="B4161">
        <v>81</v>
      </c>
      <c r="C4161" t="s">
        <v>1699</v>
      </c>
      <c r="D4161">
        <v>100</v>
      </c>
      <c r="E4161" t="s">
        <v>197</v>
      </c>
      <c r="F4161">
        <v>1020</v>
      </c>
      <c r="G4161" t="s">
        <v>55</v>
      </c>
      <c r="H4161">
        <v>2025</v>
      </c>
      <c r="I4161" t="s">
        <v>55</v>
      </c>
      <c r="J4161">
        <v>3078</v>
      </c>
      <c r="K4161" t="s">
        <v>1736</v>
      </c>
      <c r="L4161">
        <v>0</v>
      </c>
      <c r="N4161" t="s">
        <v>721</v>
      </c>
      <c r="O4161">
        <v>54</v>
      </c>
      <c r="P4161">
        <v>8244</v>
      </c>
      <c r="Q4161" t="s">
        <v>961</v>
      </c>
      <c r="R4161" t="s">
        <v>713</v>
      </c>
      <c r="S4161">
        <v>1</v>
      </c>
      <c r="T4161">
        <v>1</v>
      </c>
      <c r="U4161">
        <v>52.3</v>
      </c>
      <c r="V4161">
        <v>108784</v>
      </c>
    </row>
    <row r="4162" spans="1:22">
      <c r="A4162" t="s">
        <v>196</v>
      </c>
      <c r="B4162">
        <v>81</v>
      </c>
      <c r="C4162" t="s">
        <v>1699</v>
      </c>
      <c r="D4162">
        <v>100</v>
      </c>
      <c r="E4162" t="s">
        <v>197</v>
      </c>
      <c r="F4162">
        <v>1020</v>
      </c>
      <c r="G4162" t="s">
        <v>55</v>
      </c>
      <c r="H4162">
        <v>2025</v>
      </c>
      <c r="I4162" t="s">
        <v>55</v>
      </c>
      <c r="J4162">
        <v>3078</v>
      </c>
      <c r="K4162" t="s">
        <v>1736</v>
      </c>
      <c r="L4162">
        <v>0</v>
      </c>
      <c r="N4162" t="s">
        <v>1719</v>
      </c>
      <c r="O4162">
        <v>10</v>
      </c>
      <c r="P4162">
        <v>8184</v>
      </c>
      <c r="Q4162" t="s">
        <v>1720</v>
      </c>
      <c r="R4162" t="s">
        <v>201</v>
      </c>
      <c r="S4162">
        <v>1</v>
      </c>
      <c r="T4162">
        <v>1</v>
      </c>
      <c r="U4162">
        <v>150072</v>
      </c>
      <c r="V4162">
        <v>150072</v>
      </c>
    </row>
    <row r="4163" spans="1:22">
      <c r="A4163" t="s">
        <v>196</v>
      </c>
      <c r="B4163">
        <v>81</v>
      </c>
      <c r="C4163" t="s">
        <v>1699</v>
      </c>
      <c r="D4163">
        <v>100</v>
      </c>
      <c r="E4163" t="s">
        <v>197</v>
      </c>
      <c r="F4163">
        <v>1020</v>
      </c>
      <c r="G4163" t="s">
        <v>55</v>
      </c>
      <c r="H4163">
        <v>2025</v>
      </c>
      <c r="I4163" t="s">
        <v>55</v>
      </c>
      <c r="J4163">
        <v>3078</v>
      </c>
      <c r="K4163" t="s">
        <v>1736</v>
      </c>
      <c r="L4163">
        <v>0</v>
      </c>
      <c r="N4163" t="s">
        <v>1704</v>
      </c>
      <c r="O4163">
        <v>54</v>
      </c>
      <c r="P4163">
        <v>8105</v>
      </c>
      <c r="Q4163" t="s">
        <v>1707</v>
      </c>
      <c r="R4163" t="s">
        <v>201</v>
      </c>
      <c r="S4163">
        <v>1</v>
      </c>
      <c r="T4163">
        <v>1</v>
      </c>
      <c r="U4163">
        <v>74136</v>
      </c>
      <c r="V4163">
        <v>74136</v>
      </c>
    </row>
    <row r="4164" spans="1:22">
      <c r="A4164" t="s">
        <v>196</v>
      </c>
      <c r="B4164">
        <v>81</v>
      </c>
      <c r="C4164" t="s">
        <v>1699</v>
      </c>
      <c r="D4164">
        <v>100</v>
      </c>
      <c r="E4164" t="s">
        <v>197</v>
      </c>
      <c r="F4164">
        <v>1020</v>
      </c>
      <c r="G4164" t="s">
        <v>55</v>
      </c>
      <c r="H4164">
        <v>2025</v>
      </c>
      <c r="I4164" t="s">
        <v>55</v>
      </c>
      <c r="J4164">
        <v>3078</v>
      </c>
      <c r="K4164" t="s">
        <v>1736</v>
      </c>
      <c r="L4164">
        <v>0</v>
      </c>
      <c r="N4164" t="s">
        <v>721</v>
      </c>
      <c r="O4164">
        <v>8</v>
      </c>
      <c r="P4164">
        <v>7184</v>
      </c>
      <c r="Q4164" t="s">
        <v>1728</v>
      </c>
      <c r="R4164" t="s">
        <v>713</v>
      </c>
      <c r="S4164">
        <v>3</v>
      </c>
      <c r="T4164">
        <v>1</v>
      </c>
      <c r="U4164">
        <v>48.73</v>
      </c>
      <c r="V4164">
        <v>304075</v>
      </c>
    </row>
    <row r="4165" spans="1:22">
      <c r="A4165" t="s">
        <v>196</v>
      </c>
      <c r="B4165">
        <v>81</v>
      </c>
      <c r="C4165" t="s">
        <v>1699</v>
      </c>
      <c r="D4165">
        <v>100</v>
      </c>
      <c r="E4165" t="s">
        <v>197</v>
      </c>
      <c r="F4165">
        <v>1020</v>
      </c>
      <c r="G4165" t="s">
        <v>55</v>
      </c>
      <c r="H4165">
        <v>2025</v>
      </c>
      <c r="I4165" t="s">
        <v>55</v>
      </c>
      <c r="J4165">
        <v>3078</v>
      </c>
      <c r="K4165" t="s">
        <v>1736</v>
      </c>
      <c r="L4165">
        <v>0</v>
      </c>
      <c r="N4165" t="s">
        <v>721</v>
      </c>
      <c r="O4165">
        <v>8</v>
      </c>
      <c r="P4165">
        <v>7184</v>
      </c>
      <c r="Q4165" t="s">
        <v>1728</v>
      </c>
      <c r="R4165" t="s">
        <v>713</v>
      </c>
      <c r="S4165">
        <v>3</v>
      </c>
      <c r="T4165">
        <v>1</v>
      </c>
      <c r="U4165">
        <v>43.86</v>
      </c>
      <c r="V4165">
        <v>273686</v>
      </c>
    </row>
    <row r="4166" spans="1:22">
      <c r="A4166" t="s">
        <v>196</v>
      </c>
      <c r="B4166">
        <v>81</v>
      </c>
      <c r="C4166" t="s">
        <v>1699</v>
      </c>
      <c r="D4166">
        <v>100</v>
      </c>
      <c r="E4166" t="s">
        <v>197</v>
      </c>
      <c r="F4166">
        <v>1020</v>
      </c>
      <c r="G4166" t="s">
        <v>55</v>
      </c>
      <c r="H4166">
        <v>2025</v>
      </c>
      <c r="I4166" t="s">
        <v>55</v>
      </c>
      <c r="J4166">
        <v>3078</v>
      </c>
      <c r="K4166" t="s">
        <v>1736</v>
      </c>
      <c r="L4166">
        <v>0</v>
      </c>
      <c r="N4166" t="s">
        <v>721</v>
      </c>
      <c r="O4166">
        <v>8</v>
      </c>
      <c r="P4166">
        <v>7183</v>
      </c>
      <c r="Q4166" t="s">
        <v>986</v>
      </c>
      <c r="R4166" t="s">
        <v>713</v>
      </c>
      <c r="S4166">
        <v>4</v>
      </c>
      <c r="T4166">
        <v>1</v>
      </c>
      <c r="U4166">
        <v>48.73</v>
      </c>
      <c r="V4166">
        <v>405434</v>
      </c>
    </row>
    <row r="4167" spans="1:22">
      <c r="A4167" t="s">
        <v>196</v>
      </c>
      <c r="B4167">
        <v>81</v>
      </c>
      <c r="C4167" t="s">
        <v>1699</v>
      </c>
      <c r="D4167">
        <v>100</v>
      </c>
      <c r="E4167" t="s">
        <v>197</v>
      </c>
      <c r="F4167">
        <v>1020</v>
      </c>
      <c r="G4167" t="s">
        <v>55</v>
      </c>
      <c r="H4167">
        <v>2025</v>
      </c>
      <c r="I4167" t="s">
        <v>55</v>
      </c>
      <c r="J4167">
        <v>3078</v>
      </c>
      <c r="K4167" t="s">
        <v>1736</v>
      </c>
      <c r="L4167">
        <v>0</v>
      </c>
      <c r="N4167" t="s">
        <v>1722</v>
      </c>
      <c r="O4167">
        <v>54</v>
      </c>
      <c r="P4167">
        <v>7152</v>
      </c>
      <c r="Q4167" t="s">
        <v>1723</v>
      </c>
      <c r="R4167" t="s">
        <v>201</v>
      </c>
      <c r="S4167">
        <v>2</v>
      </c>
      <c r="T4167">
        <v>1</v>
      </c>
      <c r="U4167">
        <v>113592</v>
      </c>
      <c r="V4167">
        <v>227184</v>
      </c>
    </row>
    <row r="4168" spans="1:22">
      <c r="A4168" t="s">
        <v>196</v>
      </c>
      <c r="B4168">
        <v>81</v>
      </c>
      <c r="C4168" t="s">
        <v>1699</v>
      </c>
      <c r="D4168">
        <v>100</v>
      </c>
      <c r="E4168" t="s">
        <v>197</v>
      </c>
      <c r="F4168">
        <v>1020</v>
      </c>
      <c r="G4168" t="s">
        <v>55</v>
      </c>
      <c r="H4168">
        <v>2025</v>
      </c>
      <c r="I4168" t="s">
        <v>55</v>
      </c>
      <c r="J4168">
        <v>3078</v>
      </c>
      <c r="K4168" t="s">
        <v>1736</v>
      </c>
      <c r="L4168">
        <v>0</v>
      </c>
      <c r="N4168" t="s">
        <v>721</v>
      </c>
      <c r="O4168">
        <v>54</v>
      </c>
      <c r="P4168">
        <v>6324</v>
      </c>
      <c r="Q4168" t="s">
        <v>1730</v>
      </c>
      <c r="R4168" t="s">
        <v>713</v>
      </c>
      <c r="S4168">
        <v>4</v>
      </c>
      <c r="T4168">
        <v>1</v>
      </c>
      <c r="U4168">
        <v>49.79</v>
      </c>
      <c r="V4168">
        <v>414253</v>
      </c>
    </row>
    <row r="4169" spans="1:22">
      <c r="A4169" t="s">
        <v>196</v>
      </c>
      <c r="B4169">
        <v>81</v>
      </c>
      <c r="C4169" t="s">
        <v>1699</v>
      </c>
      <c r="D4169">
        <v>100</v>
      </c>
      <c r="E4169" t="s">
        <v>197</v>
      </c>
      <c r="F4169">
        <v>1020</v>
      </c>
      <c r="G4169" t="s">
        <v>55</v>
      </c>
      <c r="H4169">
        <v>2025</v>
      </c>
      <c r="I4169" t="s">
        <v>55</v>
      </c>
      <c r="J4169">
        <v>3078</v>
      </c>
      <c r="K4169" t="s">
        <v>1736</v>
      </c>
      <c r="L4169">
        <v>0</v>
      </c>
      <c r="N4169" t="s">
        <v>721</v>
      </c>
      <c r="O4169">
        <v>54</v>
      </c>
      <c r="P4169">
        <v>6324</v>
      </c>
      <c r="Q4169" t="s">
        <v>1730</v>
      </c>
      <c r="R4169" t="s">
        <v>713</v>
      </c>
      <c r="S4169">
        <v>9</v>
      </c>
      <c r="T4169">
        <v>1</v>
      </c>
      <c r="U4169">
        <v>47.79</v>
      </c>
      <c r="V4169">
        <v>894629</v>
      </c>
    </row>
    <row r="4170" spans="1:22">
      <c r="A4170" t="s">
        <v>196</v>
      </c>
      <c r="B4170">
        <v>81</v>
      </c>
      <c r="C4170" t="s">
        <v>1699</v>
      </c>
      <c r="D4170">
        <v>100</v>
      </c>
      <c r="E4170" t="s">
        <v>197</v>
      </c>
      <c r="F4170">
        <v>1020</v>
      </c>
      <c r="G4170" t="s">
        <v>55</v>
      </c>
      <c r="H4170">
        <v>2025</v>
      </c>
      <c r="I4170" t="s">
        <v>55</v>
      </c>
      <c r="J4170">
        <v>3078</v>
      </c>
      <c r="K4170" t="s">
        <v>1736</v>
      </c>
      <c r="L4170">
        <v>0</v>
      </c>
      <c r="N4170" t="s">
        <v>721</v>
      </c>
      <c r="O4170">
        <v>54</v>
      </c>
      <c r="P4170">
        <v>6324</v>
      </c>
      <c r="Q4170" t="s">
        <v>1730</v>
      </c>
      <c r="R4170" t="s">
        <v>713</v>
      </c>
      <c r="S4170">
        <v>2</v>
      </c>
      <c r="T4170">
        <v>1</v>
      </c>
      <c r="U4170">
        <v>31.7</v>
      </c>
      <c r="V4170">
        <v>131872</v>
      </c>
    </row>
    <row r="4171" spans="1:22">
      <c r="A4171" t="s">
        <v>196</v>
      </c>
      <c r="B4171">
        <v>81</v>
      </c>
      <c r="C4171" t="s">
        <v>1699</v>
      </c>
      <c r="D4171">
        <v>100</v>
      </c>
      <c r="E4171" t="s">
        <v>197</v>
      </c>
      <c r="F4171">
        <v>1020</v>
      </c>
      <c r="G4171" t="s">
        <v>55</v>
      </c>
      <c r="H4171">
        <v>2025</v>
      </c>
      <c r="I4171" t="s">
        <v>55</v>
      </c>
      <c r="J4171">
        <v>3078</v>
      </c>
      <c r="K4171" t="s">
        <v>1736</v>
      </c>
      <c r="L4171">
        <v>0</v>
      </c>
      <c r="N4171" t="s">
        <v>199</v>
      </c>
      <c r="O4171">
        <v>0</v>
      </c>
      <c r="P4171">
        <v>15</v>
      </c>
      <c r="Q4171" t="s">
        <v>264</v>
      </c>
      <c r="R4171" t="s">
        <v>201</v>
      </c>
      <c r="S4171">
        <v>0</v>
      </c>
      <c r="T4171">
        <v>0</v>
      </c>
      <c r="U4171">
        <v>9122</v>
      </c>
      <c r="V4171">
        <v>9122</v>
      </c>
    </row>
    <row r="4172" spans="1:22">
      <c r="A4172" t="s">
        <v>196</v>
      </c>
      <c r="B4172">
        <v>81</v>
      </c>
      <c r="C4172" t="s">
        <v>1699</v>
      </c>
      <c r="D4172">
        <v>100</v>
      </c>
      <c r="E4172" t="s">
        <v>197</v>
      </c>
      <c r="F4172">
        <v>1020</v>
      </c>
      <c r="G4172" t="s">
        <v>55</v>
      </c>
      <c r="H4172">
        <v>2025</v>
      </c>
      <c r="I4172" t="s">
        <v>55</v>
      </c>
      <c r="J4172">
        <v>3078</v>
      </c>
      <c r="K4172" t="s">
        <v>1736</v>
      </c>
      <c r="L4172">
        <v>0</v>
      </c>
      <c r="N4172" t="s">
        <v>199</v>
      </c>
      <c r="O4172">
        <v>0</v>
      </c>
      <c r="P4172">
        <v>12</v>
      </c>
      <c r="Q4172" t="s">
        <v>724</v>
      </c>
      <c r="R4172" t="s">
        <v>201</v>
      </c>
      <c r="S4172">
        <v>0</v>
      </c>
      <c r="T4172">
        <v>0</v>
      </c>
      <c r="U4172">
        <v>37991</v>
      </c>
      <c r="V4172">
        <v>37991</v>
      </c>
    </row>
    <row r="4173" spans="1:22">
      <c r="A4173" t="s">
        <v>196</v>
      </c>
      <c r="B4173">
        <v>81</v>
      </c>
      <c r="C4173" t="s">
        <v>1699</v>
      </c>
      <c r="D4173">
        <v>100</v>
      </c>
      <c r="E4173" t="s">
        <v>197</v>
      </c>
      <c r="F4173">
        <v>1020</v>
      </c>
      <c r="G4173" t="s">
        <v>55</v>
      </c>
      <c r="H4173">
        <v>2025</v>
      </c>
      <c r="I4173" t="s">
        <v>55</v>
      </c>
      <c r="J4173">
        <v>3079</v>
      </c>
      <c r="K4173" t="s">
        <v>1737</v>
      </c>
      <c r="L4173">
        <v>0</v>
      </c>
      <c r="N4173" t="s">
        <v>721</v>
      </c>
      <c r="O4173">
        <v>8</v>
      </c>
      <c r="P4173">
        <v>7183</v>
      </c>
      <c r="Q4173" t="s">
        <v>986</v>
      </c>
      <c r="R4173" t="s">
        <v>713</v>
      </c>
      <c r="S4173">
        <v>2</v>
      </c>
      <c r="T4173">
        <v>1</v>
      </c>
      <c r="U4173">
        <v>48.73</v>
      </c>
      <c r="V4173">
        <v>202717</v>
      </c>
    </row>
    <row r="4174" spans="1:22">
      <c r="A4174" t="s">
        <v>196</v>
      </c>
      <c r="B4174">
        <v>81</v>
      </c>
      <c r="C4174" t="s">
        <v>1699</v>
      </c>
      <c r="D4174">
        <v>100</v>
      </c>
      <c r="E4174" t="s">
        <v>197</v>
      </c>
      <c r="F4174">
        <v>1020</v>
      </c>
      <c r="G4174" t="s">
        <v>55</v>
      </c>
      <c r="H4174">
        <v>2025</v>
      </c>
      <c r="I4174" t="s">
        <v>55</v>
      </c>
      <c r="J4174">
        <v>3079</v>
      </c>
      <c r="K4174" t="s">
        <v>1737</v>
      </c>
      <c r="L4174">
        <v>0</v>
      </c>
      <c r="N4174" t="s">
        <v>199</v>
      </c>
      <c r="O4174">
        <v>0</v>
      </c>
      <c r="P4174">
        <v>12</v>
      </c>
      <c r="Q4174" t="s">
        <v>724</v>
      </c>
      <c r="R4174" t="s">
        <v>201</v>
      </c>
      <c r="S4174">
        <v>0</v>
      </c>
      <c r="T4174">
        <v>0</v>
      </c>
      <c r="U4174">
        <v>3041</v>
      </c>
      <c r="V4174">
        <v>3041</v>
      </c>
    </row>
    <row r="4175" spans="1:22">
      <c r="A4175" t="s">
        <v>196</v>
      </c>
      <c r="B4175">
        <v>81</v>
      </c>
      <c r="C4175" t="s">
        <v>1699</v>
      </c>
      <c r="D4175">
        <v>100</v>
      </c>
      <c r="E4175" t="s">
        <v>197</v>
      </c>
      <c r="F4175">
        <v>1030</v>
      </c>
      <c r="G4175" t="s">
        <v>35</v>
      </c>
      <c r="H4175">
        <v>2045</v>
      </c>
      <c r="I4175" t="s">
        <v>35</v>
      </c>
      <c r="J4175">
        <v>3320</v>
      </c>
      <c r="K4175" t="s">
        <v>1738</v>
      </c>
      <c r="L4175">
        <v>0</v>
      </c>
      <c r="N4175" t="s">
        <v>721</v>
      </c>
      <c r="O4175">
        <v>42</v>
      </c>
      <c r="P4175">
        <v>7635</v>
      </c>
      <c r="Q4175" t="s">
        <v>1739</v>
      </c>
      <c r="R4175" t="s">
        <v>713</v>
      </c>
      <c r="S4175">
        <v>3</v>
      </c>
      <c r="T4175">
        <v>1</v>
      </c>
      <c r="U4175">
        <v>68.8</v>
      </c>
      <c r="V4175">
        <v>429312</v>
      </c>
    </row>
    <row r="4176" spans="1:22">
      <c r="A4176" t="s">
        <v>196</v>
      </c>
      <c r="B4176">
        <v>81</v>
      </c>
      <c r="C4176" t="s">
        <v>1699</v>
      </c>
      <c r="D4176">
        <v>100</v>
      </c>
      <c r="E4176" t="s">
        <v>197</v>
      </c>
      <c r="F4176">
        <v>1030</v>
      </c>
      <c r="G4176" t="s">
        <v>35</v>
      </c>
      <c r="H4176">
        <v>2045</v>
      </c>
      <c r="I4176" t="s">
        <v>35</v>
      </c>
      <c r="J4176">
        <v>3320</v>
      </c>
      <c r="K4176" t="s">
        <v>1738</v>
      </c>
      <c r="L4176">
        <v>0</v>
      </c>
      <c r="N4176" t="s">
        <v>721</v>
      </c>
      <c r="O4176">
        <v>42</v>
      </c>
      <c r="P4176">
        <v>7633</v>
      </c>
      <c r="Q4176" t="s">
        <v>1740</v>
      </c>
      <c r="R4176" t="s">
        <v>713</v>
      </c>
      <c r="S4176">
        <v>26</v>
      </c>
      <c r="T4176">
        <v>1</v>
      </c>
      <c r="U4176">
        <v>64.8</v>
      </c>
      <c r="V4176">
        <v>3504384</v>
      </c>
    </row>
    <row r="4177" spans="1:22">
      <c r="A4177" t="s">
        <v>196</v>
      </c>
      <c r="B4177">
        <v>81</v>
      </c>
      <c r="C4177" t="s">
        <v>1699</v>
      </c>
      <c r="D4177">
        <v>100</v>
      </c>
      <c r="E4177" t="s">
        <v>197</v>
      </c>
      <c r="F4177">
        <v>1030</v>
      </c>
      <c r="G4177" t="s">
        <v>35</v>
      </c>
      <c r="H4177">
        <v>2045</v>
      </c>
      <c r="I4177" t="s">
        <v>35</v>
      </c>
      <c r="J4177">
        <v>3320</v>
      </c>
      <c r="K4177" t="s">
        <v>1738</v>
      </c>
      <c r="L4177">
        <v>0</v>
      </c>
      <c r="N4177" t="s">
        <v>199</v>
      </c>
      <c r="O4177">
        <v>0</v>
      </c>
      <c r="P4177">
        <v>12</v>
      </c>
      <c r="Q4177" t="s">
        <v>724</v>
      </c>
      <c r="R4177" t="s">
        <v>201</v>
      </c>
      <c r="S4177">
        <v>0</v>
      </c>
      <c r="T4177">
        <v>0</v>
      </c>
      <c r="U4177">
        <v>59006</v>
      </c>
      <c r="V4177">
        <v>59006</v>
      </c>
    </row>
    <row r="4178" spans="1:22">
      <c r="A4178" t="s">
        <v>196</v>
      </c>
      <c r="B4178">
        <v>81</v>
      </c>
      <c r="C4178" t="s">
        <v>1699</v>
      </c>
      <c r="D4178">
        <v>100</v>
      </c>
      <c r="E4178" t="s">
        <v>197</v>
      </c>
      <c r="F4178">
        <v>1030</v>
      </c>
      <c r="G4178" t="s">
        <v>35</v>
      </c>
      <c r="H4178">
        <v>2045</v>
      </c>
      <c r="I4178" t="s">
        <v>35</v>
      </c>
      <c r="J4178">
        <v>3335</v>
      </c>
      <c r="K4178" t="s">
        <v>1741</v>
      </c>
      <c r="L4178">
        <v>4340</v>
      </c>
      <c r="M4178" t="s">
        <v>1742</v>
      </c>
      <c r="N4178" t="s">
        <v>1743</v>
      </c>
      <c r="O4178">
        <v>54</v>
      </c>
      <c r="P4178">
        <v>8164</v>
      </c>
      <c r="Q4178" t="s">
        <v>1744</v>
      </c>
      <c r="R4178" t="s">
        <v>201</v>
      </c>
      <c r="S4178">
        <v>1</v>
      </c>
      <c r="T4178">
        <v>1</v>
      </c>
      <c r="U4178">
        <v>172572</v>
      </c>
      <c r="V4178">
        <v>172572</v>
      </c>
    </row>
    <row r="4179" spans="1:22">
      <c r="A4179" t="s">
        <v>196</v>
      </c>
      <c r="B4179">
        <v>81</v>
      </c>
      <c r="C4179" t="s">
        <v>1699</v>
      </c>
      <c r="D4179">
        <v>100</v>
      </c>
      <c r="E4179" t="s">
        <v>197</v>
      </c>
      <c r="F4179">
        <v>1030</v>
      </c>
      <c r="G4179" t="s">
        <v>35</v>
      </c>
      <c r="H4179">
        <v>2045</v>
      </c>
      <c r="I4179" t="s">
        <v>35</v>
      </c>
      <c r="J4179">
        <v>3335</v>
      </c>
      <c r="K4179" t="s">
        <v>1741</v>
      </c>
      <c r="L4179">
        <v>4340</v>
      </c>
      <c r="M4179" t="s">
        <v>1742</v>
      </c>
      <c r="N4179" t="s">
        <v>1743</v>
      </c>
      <c r="O4179">
        <v>54</v>
      </c>
      <c r="P4179">
        <v>8164</v>
      </c>
      <c r="Q4179" t="s">
        <v>1744</v>
      </c>
      <c r="R4179" t="s">
        <v>201</v>
      </c>
      <c r="S4179">
        <v>1</v>
      </c>
      <c r="T4179">
        <v>1</v>
      </c>
      <c r="U4179">
        <v>150180</v>
      </c>
      <c r="V4179">
        <v>150180</v>
      </c>
    </row>
    <row r="4180" spans="1:22">
      <c r="A4180" t="s">
        <v>196</v>
      </c>
      <c r="B4180">
        <v>81</v>
      </c>
      <c r="C4180" t="s">
        <v>1699</v>
      </c>
      <c r="D4180">
        <v>100</v>
      </c>
      <c r="E4180" t="s">
        <v>197</v>
      </c>
      <c r="F4180">
        <v>1030</v>
      </c>
      <c r="G4180" t="s">
        <v>35</v>
      </c>
      <c r="H4180">
        <v>2045</v>
      </c>
      <c r="I4180" t="s">
        <v>35</v>
      </c>
      <c r="J4180">
        <v>3335</v>
      </c>
      <c r="K4180" t="s">
        <v>1741</v>
      </c>
      <c r="L4180">
        <v>4340</v>
      </c>
      <c r="M4180" t="s">
        <v>1742</v>
      </c>
      <c r="N4180" t="s">
        <v>1743</v>
      </c>
      <c r="O4180">
        <v>54</v>
      </c>
      <c r="P4180">
        <v>8164</v>
      </c>
      <c r="Q4180" t="s">
        <v>1744</v>
      </c>
      <c r="R4180" t="s">
        <v>201</v>
      </c>
      <c r="S4180">
        <v>1</v>
      </c>
      <c r="T4180">
        <v>1</v>
      </c>
      <c r="U4180">
        <v>136872</v>
      </c>
      <c r="V4180">
        <v>136872</v>
      </c>
    </row>
    <row r="4181" spans="1:22">
      <c r="A4181" t="s">
        <v>196</v>
      </c>
      <c r="B4181">
        <v>81</v>
      </c>
      <c r="C4181" t="s">
        <v>1699</v>
      </c>
      <c r="D4181">
        <v>100</v>
      </c>
      <c r="E4181" t="s">
        <v>197</v>
      </c>
      <c r="F4181">
        <v>1030</v>
      </c>
      <c r="G4181" t="s">
        <v>35</v>
      </c>
      <c r="H4181">
        <v>2045</v>
      </c>
      <c r="I4181" t="s">
        <v>35</v>
      </c>
      <c r="J4181">
        <v>3335</v>
      </c>
      <c r="K4181" t="s">
        <v>1741</v>
      </c>
      <c r="L4181">
        <v>4340</v>
      </c>
      <c r="M4181" t="s">
        <v>1742</v>
      </c>
      <c r="N4181" t="s">
        <v>1743</v>
      </c>
      <c r="O4181">
        <v>54</v>
      </c>
      <c r="P4181">
        <v>8164</v>
      </c>
      <c r="Q4181" t="s">
        <v>1744</v>
      </c>
      <c r="R4181" t="s">
        <v>201</v>
      </c>
      <c r="S4181">
        <v>1</v>
      </c>
      <c r="T4181">
        <v>1</v>
      </c>
      <c r="U4181">
        <v>107460</v>
      </c>
      <c r="V4181">
        <v>107460</v>
      </c>
    </row>
    <row r="4182" spans="1:22">
      <c r="A4182" t="s">
        <v>196</v>
      </c>
      <c r="B4182">
        <v>81</v>
      </c>
      <c r="C4182" t="s">
        <v>1699</v>
      </c>
      <c r="D4182">
        <v>100</v>
      </c>
      <c r="E4182" t="s">
        <v>197</v>
      </c>
      <c r="F4182">
        <v>1030</v>
      </c>
      <c r="G4182" t="s">
        <v>35</v>
      </c>
      <c r="H4182">
        <v>2045</v>
      </c>
      <c r="I4182" t="s">
        <v>35</v>
      </c>
      <c r="J4182">
        <v>3335</v>
      </c>
      <c r="K4182" t="s">
        <v>1741</v>
      </c>
      <c r="L4182">
        <v>4340</v>
      </c>
      <c r="M4182" t="s">
        <v>1742</v>
      </c>
      <c r="N4182" t="s">
        <v>721</v>
      </c>
      <c r="O4182">
        <v>42</v>
      </c>
      <c r="P4182">
        <v>7633</v>
      </c>
      <c r="Q4182" t="s">
        <v>1740</v>
      </c>
      <c r="R4182" t="s">
        <v>713</v>
      </c>
      <c r="S4182">
        <v>9</v>
      </c>
      <c r="T4182">
        <v>1</v>
      </c>
      <c r="U4182">
        <v>64.8</v>
      </c>
      <c r="V4182">
        <v>1213056</v>
      </c>
    </row>
    <row r="4183" spans="1:22">
      <c r="A4183" t="s">
        <v>196</v>
      </c>
      <c r="B4183">
        <v>81</v>
      </c>
      <c r="C4183" t="s">
        <v>1699</v>
      </c>
      <c r="D4183">
        <v>100</v>
      </c>
      <c r="E4183" t="s">
        <v>197</v>
      </c>
      <c r="F4183">
        <v>1030</v>
      </c>
      <c r="G4183" t="s">
        <v>35</v>
      </c>
      <c r="H4183">
        <v>2045</v>
      </c>
      <c r="I4183" t="s">
        <v>35</v>
      </c>
      <c r="J4183">
        <v>3335</v>
      </c>
      <c r="K4183" t="s">
        <v>1741</v>
      </c>
      <c r="L4183">
        <v>4340</v>
      </c>
      <c r="M4183" t="s">
        <v>1742</v>
      </c>
      <c r="N4183" t="s">
        <v>721</v>
      </c>
      <c r="O4183">
        <v>54</v>
      </c>
      <c r="P4183">
        <v>6324</v>
      </c>
      <c r="Q4183" t="s">
        <v>1730</v>
      </c>
      <c r="R4183" t="s">
        <v>713</v>
      </c>
      <c r="S4183">
        <v>3</v>
      </c>
      <c r="T4183">
        <v>1</v>
      </c>
      <c r="U4183">
        <v>47.79</v>
      </c>
      <c r="V4183">
        <v>298210</v>
      </c>
    </row>
    <row r="4184" spans="1:22">
      <c r="A4184" t="s">
        <v>196</v>
      </c>
      <c r="B4184">
        <v>81</v>
      </c>
      <c r="C4184" t="s">
        <v>1699</v>
      </c>
      <c r="D4184">
        <v>100</v>
      </c>
      <c r="E4184" t="s">
        <v>197</v>
      </c>
      <c r="F4184">
        <v>1030</v>
      </c>
      <c r="G4184" t="s">
        <v>35</v>
      </c>
      <c r="H4184">
        <v>2045</v>
      </c>
      <c r="I4184" t="s">
        <v>35</v>
      </c>
      <c r="J4184">
        <v>3335</v>
      </c>
      <c r="K4184" t="s">
        <v>1741</v>
      </c>
      <c r="L4184">
        <v>4340</v>
      </c>
      <c r="M4184" t="s">
        <v>1742</v>
      </c>
      <c r="N4184" t="s">
        <v>199</v>
      </c>
      <c r="O4184">
        <v>0</v>
      </c>
      <c r="P4184">
        <v>15</v>
      </c>
      <c r="Q4184" t="s">
        <v>264</v>
      </c>
      <c r="R4184" t="s">
        <v>201</v>
      </c>
      <c r="S4184">
        <v>0</v>
      </c>
      <c r="T4184">
        <v>0</v>
      </c>
      <c r="U4184">
        <v>10285</v>
      </c>
      <c r="V4184">
        <v>10285</v>
      </c>
    </row>
    <row r="4185" spans="1:22">
      <c r="A4185" t="s">
        <v>196</v>
      </c>
      <c r="B4185">
        <v>81</v>
      </c>
      <c r="C4185" t="s">
        <v>1699</v>
      </c>
      <c r="D4185">
        <v>100</v>
      </c>
      <c r="E4185" t="s">
        <v>197</v>
      </c>
      <c r="F4185">
        <v>1030</v>
      </c>
      <c r="G4185" t="s">
        <v>35</v>
      </c>
      <c r="H4185">
        <v>2045</v>
      </c>
      <c r="I4185" t="s">
        <v>35</v>
      </c>
      <c r="J4185">
        <v>3335</v>
      </c>
      <c r="K4185" t="s">
        <v>1741</v>
      </c>
      <c r="L4185">
        <v>4340</v>
      </c>
      <c r="M4185" t="s">
        <v>1742</v>
      </c>
      <c r="N4185" t="s">
        <v>199</v>
      </c>
      <c r="O4185">
        <v>0</v>
      </c>
      <c r="P4185">
        <v>12</v>
      </c>
      <c r="Q4185" t="s">
        <v>724</v>
      </c>
      <c r="R4185" t="s">
        <v>201</v>
      </c>
      <c r="S4185">
        <v>0</v>
      </c>
      <c r="T4185">
        <v>0</v>
      </c>
      <c r="U4185">
        <v>22669</v>
      </c>
      <c r="V4185">
        <v>22669</v>
      </c>
    </row>
    <row r="4186" spans="1:22">
      <c r="A4186" t="s">
        <v>196</v>
      </c>
      <c r="B4186">
        <v>81</v>
      </c>
      <c r="C4186" t="s">
        <v>1699</v>
      </c>
      <c r="D4186">
        <v>100</v>
      </c>
      <c r="E4186" t="s">
        <v>197</v>
      </c>
      <c r="F4186">
        <v>1030</v>
      </c>
      <c r="G4186" t="s">
        <v>35</v>
      </c>
      <c r="H4186">
        <v>2045</v>
      </c>
      <c r="I4186" t="s">
        <v>35</v>
      </c>
      <c r="J4186">
        <v>3335</v>
      </c>
      <c r="K4186" t="s">
        <v>1741</v>
      </c>
      <c r="L4186">
        <v>4341</v>
      </c>
      <c r="M4186" t="s">
        <v>1745</v>
      </c>
      <c r="N4186" t="s">
        <v>721</v>
      </c>
      <c r="O4186">
        <v>54</v>
      </c>
      <c r="P4186">
        <v>6324</v>
      </c>
      <c r="Q4186" t="s">
        <v>1730</v>
      </c>
      <c r="R4186" t="s">
        <v>713</v>
      </c>
      <c r="S4186">
        <v>3</v>
      </c>
      <c r="T4186">
        <v>1</v>
      </c>
      <c r="U4186">
        <v>47.79</v>
      </c>
      <c r="V4186">
        <v>298210</v>
      </c>
    </row>
    <row r="4187" spans="1:22">
      <c r="A4187" t="s">
        <v>196</v>
      </c>
      <c r="B4187">
        <v>81</v>
      </c>
      <c r="C4187" t="s">
        <v>1699</v>
      </c>
      <c r="D4187">
        <v>100</v>
      </c>
      <c r="E4187" t="s">
        <v>197</v>
      </c>
      <c r="F4187">
        <v>1030</v>
      </c>
      <c r="G4187" t="s">
        <v>35</v>
      </c>
      <c r="H4187">
        <v>2045</v>
      </c>
      <c r="I4187" t="s">
        <v>35</v>
      </c>
      <c r="J4187">
        <v>3335</v>
      </c>
      <c r="K4187" t="s">
        <v>1741</v>
      </c>
      <c r="L4187">
        <v>4341</v>
      </c>
      <c r="M4187" t="s">
        <v>1745</v>
      </c>
      <c r="N4187" t="s">
        <v>721</v>
      </c>
      <c r="O4187">
        <v>39</v>
      </c>
      <c r="P4187">
        <v>4634</v>
      </c>
      <c r="Q4187" t="s">
        <v>977</v>
      </c>
      <c r="R4187" t="s">
        <v>713</v>
      </c>
      <c r="S4187">
        <v>12</v>
      </c>
      <c r="T4187">
        <v>1</v>
      </c>
      <c r="U4187">
        <v>54.3</v>
      </c>
      <c r="V4187">
        <v>1355328</v>
      </c>
    </row>
    <row r="4188" spans="1:22">
      <c r="A4188" t="s">
        <v>196</v>
      </c>
      <c r="B4188">
        <v>81</v>
      </c>
      <c r="C4188" t="s">
        <v>1699</v>
      </c>
      <c r="D4188">
        <v>100</v>
      </c>
      <c r="E4188" t="s">
        <v>197</v>
      </c>
      <c r="F4188">
        <v>1030</v>
      </c>
      <c r="G4188" t="s">
        <v>35</v>
      </c>
      <c r="H4188">
        <v>2045</v>
      </c>
      <c r="I4188" t="s">
        <v>35</v>
      </c>
      <c r="J4188">
        <v>3335</v>
      </c>
      <c r="K4188" t="s">
        <v>1741</v>
      </c>
      <c r="L4188">
        <v>4341</v>
      </c>
      <c r="M4188" t="s">
        <v>1745</v>
      </c>
      <c r="N4188" t="s">
        <v>199</v>
      </c>
      <c r="O4188">
        <v>0</v>
      </c>
      <c r="P4188">
        <v>12</v>
      </c>
      <c r="Q4188" t="s">
        <v>724</v>
      </c>
      <c r="R4188" t="s">
        <v>201</v>
      </c>
      <c r="S4188">
        <v>0</v>
      </c>
      <c r="T4188">
        <v>0</v>
      </c>
      <c r="U4188">
        <v>24803</v>
      </c>
      <c r="V4188">
        <v>24803</v>
      </c>
    </row>
    <row r="4189" spans="1:22">
      <c r="A4189" t="s">
        <v>196</v>
      </c>
      <c r="B4189">
        <v>81</v>
      </c>
      <c r="C4189" t="s">
        <v>1699</v>
      </c>
      <c r="D4189">
        <v>100</v>
      </c>
      <c r="E4189" t="s">
        <v>197</v>
      </c>
      <c r="F4189">
        <v>1030</v>
      </c>
      <c r="G4189" t="s">
        <v>35</v>
      </c>
      <c r="H4189">
        <v>2045</v>
      </c>
      <c r="I4189" t="s">
        <v>35</v>
      </c>
      <c r="J4189">
        <v>3390</v>
      </c>
      <c r="K4189" t="s">
        <v>1746</v>
      </c>
      <c r="L4189">
        <v>0</v>
      </c>
      <c r="N4189" t="s">
        <v>1297</v>
      </c>
      <c r="O4189">
        <v>0</v>
      </c>
      <c r="P4189">
        <v>9823</v>
      </c>
      <c r="Q4189" t="s">
        <v>600</v>
      </c>
      <c r="R4189" t="s">
        <v>201</v>
      </c>
      <c r="S4189">
        <v>1</v>
      </c>
      <c r="T4189">
        <v>1</v>
      </c>
      <c r="U4189">
        <v>205200</v>
      </c>
      <c r="V4189">
        <v>205200</v>
      </c>
    </row>
    <row r="4190" spans="1:22">
      <c r="A4190" t="s">
        <v>196</v>
      </c>
      <c r="B4190">
        <v>81</v>
      </c>
      <c r="C4190" t="s">
        <v>1699</v>
      </c>
      <c r="D4190">
        <v>100</v>
      </c>
      <c r="E4190" t="s">
        <v>197</v>
      </c>
      <c r="F4190">
        <v>1030</v>
      </c>
      <c r="G4190" t="s">
        <v>35</v>
      </c>
      <c r="H4190">
        <v>2045</v>
      </c>
      <c r="I4190" t="s">
        <v>35</v>
      </c>
      <c r="J4190">
        <v>3390</v>
      </c>
      <c r="K4190" t="s">
        <v>1746</v>
      </c>
      <c r="L4190">
        <v>0</v>
      </c>
      <c r="N4190" t="s">
        <v>721</v>
      </c>
      <c r="O4190">
        <v>54</v>
      </c>
      <c r="P4190">
        <v>8244</v>
      </c>
      <c r="Q4190" t="s">
        <v>961</v>
      </c>
      <c r="R4190" t="s">
        <v>713</v>
      </c>
      <c r="S4190">
        <v>5</v>
      </c>
      <c r="T4190">
        <v>1</v>
      </c>
      <c r="U4190">
        <v>52.3</v>
      </c>
      <c r="V4190">
        <v>543920</v>
      </c>
    </row>
    <row r="4191" spans="1:22">
      <c r="A4191" t="s">
        <v>196</v>
      </c>
      <c r="B4191">
        <v>81</v>
      </c>
      <c r="C4191" t="s">
        <v>1699</v>
      </c>
      <c r="D4191">
        <v>100</v>
      </c>
      <c r="E4191" t="s">
        <v>197</v>
      </c>
      <c r="F4191">
        <v>1030</v>
      </c>
      <c r="G4191" t="s">
        <v>35</v>
      </c>
      <c r="H4191">
        <v>2045</v>
      </c>
      <c r="I4191" t="s">
        <v>35</v>
      </c>
      <c r="J4191">
        <v>3390</v>
      </c>
      <c r="K4191" t="s">
        <v>1746</v>
      </c>
      <c r="L4191">
        <v>0</v>
      </c>
      <c r="N4191" t="s">
        <v>731</v>
      </c>
      <c r="O4191">
        <v>10</v>
      </c>
      <c r="P4191">
        <v>8185</v>
      </c>
      <c r="Q4191" t="s">
        <v>1701</v>
      </c>
      <c r="R4191" t="s">
        <v>201</v>
      </c>
      <c r="S4191">
        <v>1</v>
      </c>
      <c r="T4191">
        <v>1</v>
      </c>
      <c r="U4191">
        <v>124584</v>
      </c>
      <c r="V4191">
        <v>124584</v>
      </c>
    </row>
    <row r="4192" spans="1:22">
      <c r="A4192" t="s">
        <v>196</v>
      </c>
      <c r="B4192">
        <v>81</v>
      </c>
      <c r="C4192" t="s">
        <v>1699</v>
      </c>
      <c r="D4192">
        <v>100</v>
      </c>
      <c r="E4192" t="s">
        <v>197</v>
      </c>
      <c r="F4192">
        <v>1030</v>
      </c>
      <c r="G4192" t="s">
        <v>35</v>
      </c>
      <c r="H4192">
        <v>2045</v>
      </c>
      <c r="I4192" t="s">
        <v>35</v>
      </c>
      <c r="J4192">
        <v>3390</v>
      </c>
      <c r="K4192" t="s">
        <v>1746</v>
      </c>
      <c r="L4192">
        <v>0</v>
      </c>
      <c r="N4192" t="s">
        <v>249</v>
      </c>
      <c r="O4192">
        <v>20</v>
      </c>
      <c r="P4192">
        <v>8173</v>
      </c>
      <c r="Q4192" t="s">
        <v>1747</v>
      </c>
      <c r="R4192" t="s">
        <v>201</v>
      </c>
      <c r="S4192">
        <v>4</v>
      </c>
      <c r="T4192">
        <v>1</v>
      </c>
      <c r="U4192">
        <v>150072</v>
      </c>
      <c r="V4192">
        <v>600288</v>
      </c>
    </row>
    <row r="4193" spans="1:22">
      <c r="A4193" t="s">
        <v>196</v>
      </c>
      <c r="B4193">
        <v>81</v>
      </c>
      <c r="C4193" t="s">
        <v>1699</v>
      </c>
      <c r="D4193">
        <v>100</v>
      </c>
      <c r="E4193" t="s">
        <v>197</v>
      </c>
      <c r="F4193">
        <v>1030</v>
      </c>
      <c r="G4193" t="s">
        <v>35</v>
      </c>
      <c r="H4193">
        <v>2045</v>
      </c>
      <c r="I4193" t="s">
        <v>35</v>
      </c>
      <c r="J4193">
        <v>3390</v>
      </c>
      <c r="K4193" t="s">
        <v>1746</v>
      </c>
      <c r="L4193">
        <v>0</v>
      </c>
      <c r="N4193" t="s">
        <v>249</v>
      </c>
      <c r="O4193">
        <v>20</v>
      </c>
      <c r="P4193">
        <v>8173</v>
      </c>
      <c r="Q4193" t="s">
        <v>1747</v>
      </c>
      <c r="R4193" t="s">
        <v>201</v>
      </c>
      <c r="S4193">
        <v>2</v>
      </c>
      <c r="T4193">
        <v>1</v>
      </c>
      <c r="U4193">
        <v>143232</v>
      </c>
      <c r="V4193">
        <v>286464</v>
      </c>
    </row>
    <row r="4194" spans="1:22">
      <c r="A4194" t="s">
        <v>196</v>
      </c>
      <c r="B4194">
        <v>81</v>
      </c>
      <c r="C4194" t="s">
        <v>1699</v>
      </c>
      <c r="D4194">
        <v>100</v>
      </c>
      <c r="E4194" t="s">
        <v>197</v>
      </c>
      <c r="F4194">
        <v>1030</v>
      </c>
      <c r="G4194" t="s">
        <v>35</v>
      </c>
      <c r="H4194">
        <v>2045</v>
      </c>
      <c r="I4194" t="s">
        <v>35</v>
      </c>
      <c r="J4194">
        <v>3390</v>
      </c>
      <c r="K4194" t="s">
        <v>1746</v>
      </c>
      <c r="L4194">
        <v>0</v>
      </c>
      <c r="N4194" t="s">
        <v>249</v>
      </c>
      <c r="O4194">
        <v>20</v>
      </c>
      <c r="P4194">
        <v>8173</v>
      </c>
      <c r="Q4194" t="s">
        <v>1747</v>
      </c>
      <c r="R4194" t="s">
        <v>201</v>
      </c>
      <c r="S4194">
        <v>2</v>
      </c>
      <c r="T4194">
        <v>1</v>
      </c>
      <c r="U4194">
        <v>136692</v>
      </c>
      <c r="V4194">
        <v>273384</v>
      </c>
    </row>
    <row r="4195" spans="1:22">
      <c r="A4195" t="s">
        <v>196</v>
      </c>
      <c r="B4195">
        <v>81</v>
      </c>
      <c r="C4195" t="s">
        <v>1699</v>
      </c>
      <c r="D4195">
        <v>100</v>
      </c>
      <c r="E4195" t="s">
        <v>197</v>
      </c>
      <c r="F4195">
        <v>1030</v>
      </c>
      <c r="G4195" t="s">
        <v>35</v>
      </c>
      <c r="H4195">
        <v>2045</v>
      </c>
      <c r="I4195" t="s">
        <v>35</v>
      </c>
      <c r="J4195">
        <v>3390</v>
      </c>
      <c r="K4195" t="s">
        <v>1746</v>
      </c>
      <c r="L4195">
        <v>0</v>
      </c>
      <c r="N4195" t="s">
        <v>249</v>
      </c>
      <c r="O4195">
        <v>20</v>
      </c>
      <c r="P4195">
        <v>8173</v>
      </c>
      <c r="Q4195" t="s">
        <v>1747</v>
      </c>
      <c r="R4195" t="s">
        <v>201</v>
      </c>
      <c r="S4195">
        <v>3</v>
      </c>
      <c r="T4195">
        <v>1</v>
      </c>
      <c r="U4195">
        <v>130524</v>
      </c>
      <c r="V4195">
        <v>391572</v>
      </c>
    </row>
    <row r="4196" spans="1:22">
      <c r="A4196" t="s">
        <v>196</v>
      </c>
      <c r="B4196">
        <v>81</v>
      </c>
      <c r="C4196" t="s">
        <v>1699</v>
      </c>
      <c r="D4196">
        <v>100</v>
      </c>
      <c r="E4196" t="s">
        <v>197</v>
      </c>
      <c r="F4196">
        <v>1030</v>
      </c>
      <c r="G4196" t="s">
        <v>35</v>
      </c>
      <c r="H4196">
        <v>2045</v>
      </c>
      <c r="I4196" t="s">
        <v>35</v>
      </c>
      <c r="J4196">
        <v>3390</v>
      </c>
      <c r="K4196" t="s">
        <v>1746</v>
      </c>
      <c r="L4196">
        <v>0</v>
      </c>
      <c r="N4196" t="s">
        <v>249</v>
      </c>
      <c r="O4196">
        <v>20</v>
      </c>
      <c r="P4196">
        <v>8173</v>
      </c>
      <c r="Q4196" t="s">
        <v>1747</v>
      </c>
      <c r="R4196" t="s">
        <v>201</v>
      </c>
      <c r="S4196">
        <v>5</v>
      </c>
      <c r="T4196">
        <v>1</v>
      </c>
      <c r="U4196">
        <v>124584</v>
      </c>
      <c r="V4196">
        <v>622920</v>
      </c>
    </row>
    <row r="4197" spans="1:22">
      <c r="A4197" t="s">
        <v>196</v>
      </c>
      <c r="B4197">
        <v>81</v>
      </c>
      <c r="C4197" t="s">
        <v>1699</v>
      </c>
      <c r="D4197">
        <v>100</v>
      </c>
      <c r="E4197" t="s">
        <v>197</v>
      </c>
      <c r="F4197">
        <v>1030</v>
      </c>
      <c r="G4197" t="s">
        <v>35</v>
      </c>
      <c r="H4197">
        <v>2045</v>
      </c>
      <c r="I4197" t="s">
        <v>35</v>
      </c>
      <c r="J4197">
        <v>3390</v>
      </c>
      <c r="K4197" t="s">
        <v>1746</v>
      </c>
      <c r="L4197">
        <v>0</v>
      </c>
      <c r="N4197" t="s">
        <v>249</v>
      </c>
      <c r="O4197">
        <v>20</v>
      </c>
      <c r="P4197">
        <v>8173</v>
      </c>
      <c r="Q4197" t="s">
        <v>1747</v>
      </c>
      <c r="R4197" t="s">
        <v>201</v>
      </c>
      <c r="S4197">
        <v>4</v>
      </c>
      <c r="T4197">
        <v>1</v>
      </c>
      <c r="U4197">
        <v>118956</v>
      </c>
      <c r="V4197">
        <v>475824</v>
      </c>
    </row>
    <row r="4198" spans="1:22">
      <c r="A4198" t="s">
        <v>196</v>
      </c>
      <c r="B4198">
        <v>81</v>
      </c>
      <c r="C4198" t="s">
        <v>1699</v>
      </c>
      <c r="D4198">
        <v>100</v>
      </c>
      <c r="E4198" t="s">
        <v>197</v>
      </c>
      <c r="F4198">
        <v>1030</v>
      </c>
      <c r="G4198" t="s">
        <v>35</v>
      </c>
      <c r="H4198">
        <v>2045</v>
      </c>
      <c r="I4198" t="s">
        <v>35</v>
      </c>
      <c r="J4198">
        <v>3390</v>
      </c>
      <c r="K4198" t="s">
        <v>1746</v>
      </c>
      <c r="L4198">
        <v>0</v>
      </c>
      <c r="N4198" t="s">
        <v>249</v>
      </c>
      <c r="O4198">
        <v>20</v>
      </c>
      <c r="P4198">
        <v>8173</v>
      </c>
      <c r="Q4198" t="s">
        <v>1747</v>
      </c>
      <c r="R4198" t="s">
        <v>201</v>
      </c>
      <c r="S4198">
        <v>6</v>
      </c>
      <c r="T4198">
        <v>1</v>
      </c>
      <c r="U4198">
        <v>113568</v>
      </c>
      <c r="V4198">
        <v>681408</v>
      </c>
    </row>
    <row r="4199" spans="1:22">
      <c r="A4199" t="s">
        <v>196</v>
      </c>
      <c r="B4199">
        <v>81</v>
      </c>
      <c r="C4199" t="s">
        <v>1699</v>
      </c>
      <c r="D4199">
        <v>100</v>
      </c>
      <c r="E4199" t="s">
        <v>197</v>
      </c>
      <c r="F4199">
        <v>1030</v>
      </c>
      <c r="G4199" t="s">
        <v>35</v>
      </c>
      <c r="H4199">
        <v>2045</v>
      </c>
      <c r="I4199" t="s">
        <v>35</v>
      </c>
      <c r="J4199">
        <v>3390</v>
      </c>
      <c r="K4199" t="s">
        <v>1746</v>
      </c>
      <c r="L4199">
        <v>0</v>
      </c>
      <c r="N4199" t="s">
        <v>249</v>
      </c>
      <c r="O4199">
        <v>20</v>
      </c>
      <c r="P4199">
        <v>8173</v>
      </c>
      <c r="Q4199" t="s">
        <v>1747</v>
      </c>
      <c r="R4199" t="s">
        <v>201</v>
      </c>
      <c r="S4199">
        <v>5</v>
      </c>
      <c r="T4199">
        <v>1</v>
      </c>
      <c r="U4199">
        <v>107340</v>
      </c>
      <c r="V4199">
        <v>536700</v>
      </c>
    </row>
    <row r="4200" spans="1:22">
      <c r="A4200" t="s">
        <v>196</v>
      </c>
      <c r="B4200">
        <v>81</v>
      </c>
      <c r="C4200" t="s">
        <v>1699</v>
      </c>
      <c r="D4200">
        <v>100</v>
      </c>
      <c r="E4200" t="s">
        <v>197</v>
      </c>
      <c r="F4200">
        <v>1030</v>
      </c>
      <c r="G4200" t="s">
        <v>35</v>
      </c>
      <c r="H4200">
        <v>2045</v>
      </c>
      <c r="I4200" t="s">
        <v>35</v>
      </c>
      <c r="J4200">
        <v>3390</v>
      </c>
      <c r="K4200" t="s">
        <v>1746</v>
      </c>
      <c r="L4200">
        <v>0</v>
      </c>
      <c r="N4200" t="s">
        <v>249</v>
      </c>
      <c r="O4200">
        <v>20</v>
      </c>
      <c r="P4200">
        <v>8173</v>
      </c>
      <c r="Q4200" t="s">
        <v>1747</v>
      </c>
      <c r="R4200" t="s">
        <v>201</v>
      </c>
      <c r="S4200">
        <v>8</v>
      </c>
      <c r="T4200">
        <v>1</v>
      </c>
      <c r="U4200">
        <v>102444</v>
      </c>
      <c r="V4200">
        <v>819552</v>
      </c>
    </row>
    <row r="4201" spans="1:22">
      <c r="A4201" t="s">
        <v>196</v>
      </c>
      <c r="B4201">
        <v>81</v>
      </c>
      <c r="C4201" t="s">
        <v>1699</v>
      </c>
      <c r="D4201">
        <v>100</v>
      </c>
      <c r="E4201" t="s">
        <v>197</v>
      </c>
      <c r="F4201">
        <v>1030</v>
      </c>
      <c r="G4201" t="s">
        <v>35</v>
      </c>
      <c r="H4201">
        <v>2045</v>
      </c>
      <c r="I4201" t="s">
        <v>35</v>
      </c>
      <c r="J4201">
        <v>3390</v>
      </c>
      <c r="K4201" t="s">
        <v>1746</v>
      </c>
      <c r="L4201">
        <v>0</v>
      </c>
      <c r="N4201" t="s">
        <v>249</v>
      </c>
      <c r="O4201">
        <v>20</v>
      </c>
      <c r="P4201">
        <v>8173</v>
      </c>
      <c r="Q4201" t="s">
        <v>1747</v>
      </c>
      <c r="R4201" t="s">
        <v>201</v>
      </c>
      <c r="S4201">
        <v>6</v>
      </c>
      <c r="T4201">
        <v>1</v>
      </c>
      <c r="U4201">
        <v>97836</v>
      </c>
      <c r="V4201">
        <v>587016</v>
      </c>
    </row>
    <row r="4202" spans="1:22">
      <c r="A4202" t="s">
        <v>196</v>
      </c>
      <c r="B4202">
        <v>81</v>
      </c>
      <c r="C4202" t="s">
        <v>1699</v>
      </c>
      <c r="D4202">
        <v>100</v>
      </c>
      <c r="E4202" t="s">
        <v>197</v>
      </c>
      <c r="F4202">
        <v>1030</v>
      </c>
      <c r="G4202" t="s">
        <v>35</v>
      </c>
      <c r="H4202">
        <v>2045</v>
      </c>
      <c r="I4202" t="s">
        <v>35</v>
      </c>
      <c r="J4202">
        <v>3390</v>
      </c>
      <c r="K4202" t="s">
        <v>1746</v>
      </c>
      <c r="L4202">
        <v>0</v>
      </c>
      <c r="N4202" t="s">
        <v>249</v>
      </c>
      <c r="O4202">
        <v>20</v>
      </c>
      <c r="P4202">
        <v>8173</v>
      </c>
      <c r="Q4202" t="s">
        <v>1747</v>
      </c>
      <c r="R4202" t="s">
        <v>201</v>
      </c>
      <c r="S4202">
        <v>1</v>
      </c>
      <c r="T4202">
        <v>1</v>
      </c>
      <c r="U4202">
        <v>93384</v>
      </c>
      <c r="V4202">
        <v>93384</v>
      </c>
    </row>
    <row r="4203" spans="1:22">
      <c r="A4203" t="s">
        <v>196</v>
      </c>
      <c r="B4203">
        <v>81</v>
      </c>
      <c r="C4203" t="s">
        <v>1699</v>
      </c>
      <c r="D4203">
        <v>100</v>
      </c>
      <c r="E4203" t="s">
        <v>197</v>
      </c>
      <c r="F4203">
        <v>1030</v>
      </c>
      <c r="G4203" t="s">
        <v>35</v>
      </c>
      <c r="H4203">
        <v>2045</v>
      </c>
      <c r="I4203" t="s">
        <v>35</v>
      </c>
      <c r="J4203">
        <v>3390</v>
      </c>
      <c r="K4203" t="s">
        <v>1746</v>
      </c>
      <c r="L4203">
        <v>0</v>
      </c>
      <c r="N4203" t="s">
        <v>249</v>
      </c>
      <c r="O4203">
        <v>20</v>
      </c>
      <c r="P4203">
        <v>8173</v>
      </c>
      <c r="Q4203" t="s">
        <v>1747</v>
      </c>
      <c r="R4203" t="s">
        <v>201</v>
      </c>
      <c r="S4203">
        <v>4</v>
      </c>
      <c r="T4203">
        <v>1</v>
      </c>
      <c r="U4203">
        <v>89112</v>
      </c>
      <c r="V4203">
        <v>356448</v>
      </c>
    </row>
    <row r="4204" spans="1:22">
      <c r="A4204" t="s">
        <v>196</v>
      </c>
      <c r="B4204">
        <v>81</v>
      </c>
      <c r="C4204" t="s">
        <v>1699</v>
      </c>
      <c r="D4204">
        <v>100</v>
      </c>
      <c r="E4204" t="s">
        <v>197</v>
      </c>
      <c r="F4204">
        <v>1030</v>
      </c>
      <c r="G4204" t="s">
        <v>35</v>
      </c>
      <c r="H4204">
        <v>2045</v>
      </c>
      <c r="I4204" t="s">
        <v>35</v>
      </c>
      <c r="J4204">
        <v>3390</v>
      </c>
      <c r="K4204" t="s">
        <v>1746</v>
      </c>
      <c r="L4204">
        <v>0</v>
      </c>
      <c r="N4204" t="s">
        <v>721</v>
      </c>
      <c r="O4204">
        <v>54</v>
      </c>
      <c r="P4204">
        <v>6329</v>
      </c>
      <c r="Q4204" t="s">
        <v>1729</v>
      </c>
      <c r="R4204" t="s">
        <v>713</v>
      </c>
      <c r="S4204">
        <v>2</v>
      </c>
      <c r="T4204">
        <v>1</v>
      </c>
      <c r="U4204">
        <v>26.28</v>
      </c>
      <c r="V4204">
        <v>109325</v>
      </c>
    </row>
    <row r="4205" spans="1:22">
      <c r="A4205" t="s">
        <v>196</v>
      </c>
      <c r="B4205">
        <v>81</v>
      </c>
      <c r="C4205" t="s">
        <v>1699</v>
      </c>
      <c r="D4205">
        <v>100</v>
      </c>
      <c r="E4205" t="s">
        <v>197</v>
      </c>
      <c r="F4205">
        <v>1030</v>
      </c>
      <c r="G4205" t="s">
        <v>35</v>
      </c>
      <c r="H4205">
        <v>2045</v>
      </c>
      <c r="I4205" t="s">
        <v>35</v>
      </c>
      <c r="J4205">
        <v>3390</v>
      </c>
      <c r="K4205" t="s">
        <v>1746</v>
      </c>
      <c r="L4205">
        <v>0</v>
      </c>
      <c r="N4205" t="s">
        <v>721</v>
      </c>
      <c r="O4205">
        <v>54</v>
      </c>
      <c r="P4205">
        <v>6324</v>
      </c>
      <c r="Q4205" t="s">
        <v>1730</v>
      </c>
      <c r="R4205" t="s">
        <v>713</v>
      </c>
      <c r="S4205">
        <v>16</v>
      </c>
      <c r="T4205">
        <v>1</v>
      </c>
      <c r="U4205">
        <v>47.79</v>
      </c>
      <c r="V4205">
        <v>1590451</v>
      </c>
    </row>
    <row r="4206" spans="1:22">
      <c r="A4206" t="s">
        <v>196</v>
      </c>
      <c r="B4206">
        <v>81</v>
      </c>
      <c r="C4206" t="s">
        <v>1699</v>
      </c>
      <c r="D4206">
        <v>100</v>
      </c>
      <c r="E4206" t="s">
        <v>197</v>
      </c>
      <c r="F4206">
        <v>1030</v>
      </c>
      <c r="G4206" t="s">
        <v>35</v>
      </c>
      <c r="H4206">
        <v>2045</v>
      </c>
      <c r="I4206" t="s">
        <v>35</v>
      </c>
      <c r="J4206">
        <v>3390</v>
      </c>
      <c r="K4206" t="s">
        <v>1746</v>
      </c>
      <c r="L4206">
        <v>0</v>
      </c>
      <c r="N4206" t="s">
        <v>721</v>
      </c>
      <c r="O4206">
        <v>54</v>
      </c>
      <c r="P4206">
        <v>6324</v>
      </c>
      <c r="Q4206" t="s">
        <v>1730</v>
      </c>
      <c r="R4206" t="s">
        <v>713</v>
      </c>
      <c r="S4206">
        <v>1</v>
      </c>
      <c r="T4206">
        <v>1</v>
      </c>
      <c r="U4206">
        <v>31.7</v>
      </c>
      <c r="V4206">
        <v>65936</v>
      </c>
    </row>
    <row r="4207" spans="1:22">
      <c r="A4207" t="s">
        <v>196</v>
      </c>
      <c r="B4207">
        <v>81</v>
      </c>
      <c r="C4207" t="s">
        <v>1699</v>
      </c>
      <c r="D4207">
        <v>100</v>
      </c>
      <c r="E4207" t="s">
        <v>197</v>
      </c>
      <c r="F4207">
        <v>1030</v>
      </c>
      <c r="G4207" t="s">
        <v>35</v>
      </c>
      <c r="H4207">
        <v>2045</v>
      </c>
      <c r="I4207" t="s">
        <v>35</v>
      </c>
      <c r="J4207">
        <v>3390</v>
      </c>
      <c r="K4207" t="s">
        <v>1746</v>
      </c>
      <c r="L4207">
        <v>0</v>
      </c>
      <c r="N4207" t="s">
        <v>199</v>
      </c>
      <c r="O4207">
        <v>0</v>
      </c>
      <c r="P4207">
        <v>15</v>
      </c>
      <c r="Q4207" t="s">
        <v>264</v>
      </c>
      <c r="R4207" t="s">
        <v>201</v>
      </c>
      <c r="S4207">
        <v>0</v>
      </c>
      <c r="T4207">
        <v>0</v>
      </c>
      <c r="U4207">
        <v>89417</v>
      </c>
      <c r="V4207">
        <v>89417</v>
      </c>
    </row>
    <row r="4208" spans="1:22">
      <c r="A4208" t="s">
        <v>196</v>
      </c>
      <c r="B4208">
        <v>81</v>
      </c>
      <c r="C4208" t="s">
        <v>1699</v>
      </c>
      <c r="D4208">
        <v>100</v>
      </c>
      <c r="E4208" t="s">
        <v>197</v>
      </c>
      <c r="F4208">
        <v>1030</v>
      </c>
      <c r="G4208" t="s">
        <v>35</v>
      </c>
      <c r="H4208">
        <v>2045</v>
      </c>
      <c r="I4208" t="s">
        <v>35</v>
      </c>
      <c r="J4208">
        <v>3390</v>
      </c>
      <c r="K4208" t="s">
        <v>1746</v>
      </c>
      <c r="L4208">
        <v>0</v>
      </c>
      <c r="N4208" t="s">
        <v>199</v>
      </c>
      <c r="O4208">
        <v>0</v>
      </c>
      <c r="P4208">
        <v>12</v>
      </c>
      <c r="Q4208" t="s">
        <v>724</v>
      </c>
      <c r="R4208" t="s">
        <v>201</v>
      </c>
      <c r="S4208">
        <v>0</v>
      </c>
      <c r="T4208">
        <v>0</v>
      </c>
      <c r="U4208">
        <v>34645</v>
      </c>
      <c r="V4208">
        <v>34645</v>
      </c>
    </row>
    <row r="4209" spans="1:22">
      <c r="A4209" t="s">
        <v>196</v>
      </c>
      <c r="B4209">
        <v>81</v>
      </c>
      <c r="C4209" t="s">
        <v>1699</v>
      </c>
      <c r="D4209">
        <v>100</v>
      </c>
      <c r="E4209" t="s">
        <v>197</v>
      </c>
      <c r="F4209">
        <v>1045</v>
      </c>
      <c r="G4209" t="s">
        <v>39</v>
      </c>
      <c r="H4209">
        <v>2060</v>
      </c>
      <c r="I4209" t="s">
        <v>39</v>
      </c>
      <c r="J4209">
        <v>3127</v>
      </c>
      <c r="K4209" t="s">
        <v>309</v>
      </c>
      <c r="L4209">
        <v>4064</v>
      </c>
      <c r="M4209" t="s">
        <v>1702</v>
      </c>
      <c r="N4209" t="s">
        <v>1294</v>
      </c>
      <c r="O4209">
        <v>0</v>
      </c>
      <c r="P4209">
        <v>9681</v>
      </c>
      <c r="Q4209" t="s">
        <v>338</v>
      </c>
      <c r="R4209" t="s">
        <v>201</v>
      </c>
      <c r="S4209">
        <v>1</v>
      </c>
      <c r="T4209">
        <v>1</v>
      </c>
      <c r="U4209">
        <v>153000</v>
      </c>
      <c r="V4209">
        <v>153000</v>
      </c>
    </row>
    <row r="4210" spans="1:22">
      <c r="A4210" t="s">
        <v>196</v>
      </c>
      <c r="B4210">
        <v>81</v>
      </c>
      <c r="C4210" t="s">
        <v>1699</v>
      </c>
      <c r="D4210">
        <v>100</v>
      </c>
      <c r="E4210" t="s">
        <v>197</v>
      </c>
      <c r="F4210">
        <v>1045</v>
      </c>
      <c r="G4210" t="s">
        <v>39</v>
      </c>
      <c r="H4210">
        <v>2060</v>
      </c>
      <c r="I4210" t="s">
        <v>39</v>
      </c>
      <c r="J4210">
        <v>3127</v>
      </c>
      <c r="K4210" t="s">
        <v>309</v>
      </c>
      <c r="L4210">
        <v>4064</v>
      </c>
      <c r="M4210" t="s">
        <v>1702</v>
      </c>
      <c r="N4210" t="s">
        <v>268</v>
      </c>
      <c r="O4210">
        <v>10</v>
      </c>
      <c r="P4210">
        <v>1911</v>
      </c>
      <c r="Q4210" t="s">
        <v>617</v>
      </c>
      <c r="R4210" t="s">
        <v>201</v>
      </c>
      <c r="S4210">
        <v>1</v>
      </c>
      <c r="T4210">
        <v>1</v>
      </c>
      <c r="U4210">
        <v>69684</v>
      </c>
      <c r="V4210">
        <v>69684</v>
      </c>
    </row>
    <row r="4211" spans="1:22">
      <c r="A4211" t="s">
        <v>196</v>
      </c>
      <c r="B4211">
        <v>81</v>
      </c>
      <c r="C4211" t="s">
        <v>1699</v>
      </c>
      <c r="D4211">
        <v>100</v>
      </c>
      <c r="E4211" t="s">
        <v>197</v>
      </c>
      <c r="F4211">
        <v>1045</v>
      </c>
      <c r="G4211" t="s">
        <v>39</v>
      </c>
      <c r="H4211">
        <v>2060</v>
      </c>
      <c r="I4211" t="s">
        <v>39</v>
      </c>
      <c r="J4211">
        <v>3127</v>
      </c>
      <c r="K4211" t="s">
        <v>309</v>
      </c>
      <c r="L4211">
        <v>4064</v>
      </c>
      <c r="M4211" t="s">
        <v>1702</v>
      </c>
      <c r="N4211" t="s">
        <v>809</v>
      </c>
      <c r="O4211">
        <v>1</v>
      </c>
      <c r="P4211">
        <v>460</v>
      </c>
      <c r="Q4211" t="s">
        <v>810</v>
      </c>
      <c r="R4211" t="s">
        <v>201</v>
      </c>
      <c r="S4211">
        <v>1</v>
      </c>
      <c r="T4211">
        <v>1</v>
      </c>
      <c r="U4211">
        <v>48864</v>
      </c>
      <c r="V4211">
        <v>48864</v>
      </c>
    </row>
    <row r="4212" spans="1:22">
      <c r="A4212" t="s">
        <v>196</v>
      </c>
      <c r="B4212">
        <v>81</v>
      </c>
      <c r="C4212" t="s">
        <v>1699</v>
      </c>
      <c r="D4212">
        <v>100</v>
      </c>
      <c r="E4212" t="s">
        <v>197</v>
      </c>
      <c r="F4212">
        <v>1045</v>
      </c>
      <c r="G4212" t="s">
        <v>39</v>
      </c>
      <c r="H4212">
        <v>2060</v>
      </c>
      <c r="I4212" t="s">
        <v>39</v>
      </c>
      <c r="J4212">
        <v>3127</v>
      </c>
      <c r="K4212" t="s">
        <v>309</v>
      </c>
      <c r="L4212">
        <v>4064</v>
      </c>
      <c r="M4212" t="s">
        <v>1702</v>
      </c>
      <c r="N4212" t="s">
        <v>199</v>
      </c>
      <c r="O4212">
        <v>0</v>
      </c>
      <c r="P4212">
        <v>15</v>
      </c>
      <c r="Q4212" t="s">
        <v>264</v>
      </c>
      <c r="R4212" t="s">
        <v>201</v>
      </c>
      <c r="S4212">
        <v>0</v>
      </c>
      <c r="T4212">
        <v>0</v>
      </c>
      <c r="U4212">
        <v>21838</v>
      </c>
      <c r="V4212">
        <v>21838</v>
      </c>
    </row>
    <row r="4213" spans="1:22">
      <c r="A4213" t="s">
        <v>196</v>
      </c>
      <c r="B4213">
        <v>81</v>
      </c>
      <c r="C4213" t="s">
        <v>1699</v>
      </c>
      <c r="D4213">
        <v>100</v>
      </c>
      <c r="E4213" t="s">
        <v>197</v>
      </c>
      <c r="F4213">
        <v>1045</v>
      </c>
      <c r="G4213" t="s">
        <v>39</v>
      </c>
      <c r="H4213">
        <v>2060</v>
      </c>
      <c r="I4213" t="s">
        <v>39</v>
      </c>
      <c r="J4213">
        <v>3128</v>
      </c>
      <c r="K4213" t="s">
        <v>1748</v>
      </c>
      <c r="L4213">
        <v>4047</v>
      </c>
      <c r="M4213" t="s">
        <v>1749</v>
      </c>
      <c r="N4213" t="s">
        <v>731</v>
      </c>
      <c r="O4213">
        <v>10</v>
      </c>
      <c r="P4213">
        <v>8185</v>
      </c>
      <c r="Q4213" t="s">
        <v>1701</v>
      </c>
      <c r="R4213" t="s">
        <v>201</v>
      </c>
      <c r="S4213">
        <v>1</v>
      </c>
      <c r="T4213">
        <v>1</v>
      </c>
      <c r="U4213">
        <v>102444</v>
      </c>
      <c r="V4213">
        <v>102444</v>
      </c>
    </row>
    <row r="4214" spans="1:22">
      <c r="A4214" t="s">
        <v>196</v>
      </c>
      <c r="B4214">
        <v>81</v>
      </c>
      <c r="C4214" t="s">
        <v>1699</v>
      </c>
      <c r="D4214">
        <v>100</v>
      </c>
      <c r="E4214" t="s">
        <v>197</v>
      </c>
      <c r="F4214">
        <v>1045</v>
      </c>
      <c r="G4214" t="s">
        <v>39</v>
      </c>
      <c r="H4214">
        <v>2060</v>
      </c>
      <c r="I4214" t="s">
        <v>39</v>
      </c>
      <c r="J4214">
        <v>3128</v>
      </c>
      <c r="K4214" t="s">
        <v>1748</v>
      </c>
      <c r="L4214">
        <v>4047</v>
      </c>
      <c r="M4214" t="s">
        <v>1749</v>
      </c>
      <c r="N4214" t="s">
        <v>1719</v>
      </c>
      <c r="O4214">
        <v>10</v>
      </c>
      <c r="P4214">
        <v>8184</v>
      </c>
      <c r="Q4214" t="s">
        <v>1720</v>
      </c>
      <c r="R4214" t="s">
        <v>201</v>
      </c>
      <c r="S4214">
        <v>1</v>
      </c>
      <c r="T4214">
        <v>1</v>
      </c>
      <c r="U4214">
        <v>157212</v>
      </c>
      <c r="V4214">
        <v>157212</v>
      </c>
    </row>
    <row r="4215" spans="1:22">
      <c r="A4215" t="s">
        <v>196</v>
      </c>
      <c r="B4215">
        <v>81</v>
      </c>
      <c r="C4215" t="s">
        <v>1699</v>
      </c>
      <c r="D4215">
        <v>100</v>
      </c>
      <c r="E4215" t="s">
        <v>197</v>
      </c>
      <c r="F4215">
        <v>1045</v>
      </c>
      <c r="G4215" t="s">
        <v>39</v>
      </c>
      <c r="H4215">
        <v>2060</v>
      </c>
      <c r="I4215" t="s">
        <v>39</v>
      </c>
      <c r="J4215">
        <v>3128</v>
      </c>
      <c r="K4215" t="s">
        <v>1748</v>
      </c>
      <c r="L4215">
        <v>4047</v>
      </c>
      <c r="M4215" t="s">
        <v>1749</v>
      </c>
      <c r="N4215" t="s">
        <v>688</v>
      </c>
      <c r="O4215">
        <v>1</v>
      </c>
      <c r="P4215">
        <v>7946</v>
      </c>
      <c r="Q4215" t="s">
        <v>1750</v>
      </c>
      <c r="R4215" t="s">
        <v>201</v>
      </c>
      <c r="S4215">
        <v>3</v>
      </c>
      <c r="T4215">
        <v>1</v>
      </c>
      <c r="U4215">
        <v>118836</v>
      </c>
      <c r="V4215">
        <v>356508</v>
      </c>
    </row>
    <row r="4216" spans="1:22">
      <c r="A4216" t="s">
        <v>196</v>
      </c>
      <c r="B4216">
        <v>81</v>
      </c>
      <c r="C4216" t="s">
        <v>1699</v>
      </c>
      <c r="D4216">
        <v>100</v>
      </c>
      <c r="E4216" t="s">
        <v>197</v>
      </c>
      <c r="F4216">
        <v>1045</v>
      </c>
      <c r="G4216" t="s">
        <v>39</v>
      </c>
      <c r="H4216">
        <v>2060</v>
      </c>
      <c r="I4216" t="s">
        <v>39</v>
      </c>
      <c r="J4216">
        <v>3128</v>
      </c>
      <c r="K4216" t="s">
        <v>1748</v>
      </c>
      <c r="L4216">
        <v>4047</v>
      </c>
      <c r="M4216" t="s">
        <v>1749</v>
      </c>
      <c r="N4216" t="s">
        <v>702</v>
      </c>
      <c r="O4216">
        <v>1</v>
      </c>
      <c r="P4216">
        <v>7945</v>
      </c>
      <c r="Q4216" t="s">
        <v>1751</v>
      </c>
      <c r="R4216" t="s">
        <v>201</v>
      </c>
      <c r="S4216">
        <v>2</v>
      </c>
      <c r="T4216">
        <v>1</v>
      </c>
      <c r="U4216">
        <v>84192</v>
      </c>
      <c r="V4216">
        <v>168384</v>
      </c>
    </row>
    <row r="4217" spans="1:22">
      <c r="A4217" t="s">
        <v>196</v>
      </c>
      <c r="B4217">
        <v>81</v>
      </c>
      <c r="C4217" t="s">
        <v>1699</v>
      </c>
      <c r="D4217">
        <v>100</v>
      </c>
      <c r="E4217" t="s">
        <v>197</v>
      </c>
      <c r="F4217">
        <v>1045</v>
      </c>
      <c r="G4217" t="s">
        <v>39</v>
      </c>
      <c r="H4217">
        <v>2060</v>
      </c>
      <c r="I4217" t="s">
        <v>39</v>
      </c>
      <c r="J4217">
        <v>3128</v>
      </c>
      <c r="K4217" t="s">
        <v>1748</v>
      </c>
      <c r="L4217">
        <v>4047</v>
      </c>
      <c r="M4217" t="s">
        <v>1749</v>
      </c>
      <c r="N4217" t="s">
        <v>721</v>
      </c>
      <c r="O4217">
        <v>54</v>
      </c>
      <c r="P4217">
        <v>7928</v>
      </c>
      <c r="Q4217" t="s">
        <v>1752</v>
      </c>
      <c r="R4217" t="s">
        <v>713</v>
      </c>
      <c r="S4217">
        <v>5</v>
      </c>
      <c r="T4217">
        <v>1</v>
      </c>
      <c r="U4217">
        <v>51.4</v>
      </c>
      <c r="V4217">
        <v>534560</v>
      </c>
    </row>
    <row r="4218" spans="1:22">
      <c r="A4218" t="s">
        <v>196</v>
      </c>
      <c r="B4218">
        <v>81</v>
      </c>
      <c r="C4218" t="s">
        <v>1699</v>
      </c>
      <c r="D4218">
        <v>100</v>
      </c>
      <c r="E4218" t="s">
        <v>197</v>
      </c>
      <c r="F4218">
        <v>1045</v>
      </c>
      <c r="G4218" t="s">
        <v>39</v>
      </c>
      <c r="H4218">
        <v>2060</v>
      </c>
      <c r="I4218" t="s">
        <v>39</v>
      </c>
      <c r="J4218">
        <v>3128</v>
      </c>
      <c r="K4218" t="s">
        <v>1748</v>
      </c>
      <c r="L4218">
        <v>4047</v>
      </c>
      <c r="M4218" t="s">
        <v>1749</v>
      </c>
      <c r="N4218" t="s">
        <v>1722</v>
      </c>
      <c r="O4218">
        <v>54</v>
      </c>
      <c r="P4218">
        <v>7916</v>
      </c>
      <c r="Q4218" t="s">
        <v>1753</v>
      </c>
      <c r="R4218" t="s">
        <v>201</v>
      </c>
      <c r="S4218">
        <v>5</v>
      </c>
      <c r="T4218">
        <v>1</v>
      </c>
      <c r="U4218">
        <v>130620</v>
      </c>
      <c r="V4218">
        <v>653100</v>
      </c>
    </row>
    <row r="4219" spans="1:22">
      <c r="A4219" t="s">
        <v>196</v>
      </c>
      <c r="B4219">
        <v>81</v>
      </c>
      <c r="C4219" t="s">
        <v>1699</v>
      </c>
      <c r="D4219">
        <v>100</v>
      </c>
      <c r="E4219" t="s">
        <v>197</v>
      </c>
      <c r="F4219">
        <v>1045</v>
      </c>
      <c r="G4219" t="s">
        <v>39</v>
      </c>
      <c r="H4219">
        <v>2060</v>
      </c>
      <c r="I4219" t="s">
        <v>39</v>
      </c>
      <c r="J4219">
        <v>3128</v>
      </c>
      <c r="K4219" t="s">
        <v>1748</v>
      </c>
      <c r="L4219">
        <v>4047</v>
      </c>
      <c r="M4219" t="s">
        <v>1749</v>
      </c>
      <c r="N4219" t="s">
        <v>1722</v>
      </c>
      <c r="O4219">
        <v>54</v>
      </c>
      <c r="P4219">
        <v>7916</v>
      </c>
      <c r="Q4219" t="s">
        <v>1753</v>
      </c>
      <c r="R4219" t="s">
        <v>201</v>
      </c>
      <c r="S4219">
        <v>1</v>
      </c>
      <c r="T4219">
        <v>1</v>
      </c>
      <c r="U4219">
        <v>108528</v>
      </c>
      <c r="V4219">
        <v>108528</v>
      </c>
    </row>
    <row r="4220" spans="1:22">
      <c r="A4220" t="s">
        <v>196</v>
      </c>
      <c r="B4220">
        <v>81</v>
      </c>
      <c r="C4220" t="s">
        <v>1699</v>
      </c>
      <c r="D4220">
        <v>100</v>
      </c>
      <c r="E4220" t="s">
        <v>197</v>
      </c>
      <c r="F4220">
        <v>1045</v>
      </c>
      <c r="G4220" t="s">
        <v>39</v>
      </c>
      <c r="H4220">
        <v>2060</v>
      </c>
      <c r="I4220" t="s">
        <v>39</v>
      </c>
      <c r="J4220">
        <v>3128</v>
      </c>
      <c r="K4220" t="s">
        <v>1748</v>
      </c>
      <c r="L4220">
        <v>4047</v>
      </c>
      <c r="M4220" t="s">
        <v>1749</v>
      </c>
      <c r="N4220" t="s">
        <v>721</v>
      </c>
      <c r="O4220">
        <v>8</v>
      </c>
      <c r="P4220">
        <v>7184</v>
      </c>
      <c r="Q4220" t="s">
        <v>1728</v>
      </c>
      <c r="R4220" t="s">
        <v>713</v>
      </c>
      <c r="S4220">
        <v>4</v>
      </c>
      <c r="T4220">
        <v>1</v>
      </c>
      <c r="U4220">
        <v>48.73</v>
      </c>
      <c r="V4220">
        <v>405434</v>
      </c>
    </row>
    <row r="4221" spans="1:22">
      <c r="A4221" t="s">
        <v>196</v>
      </c>
      <c r="B4221">
        <v>81</v>
      </c>
      <c r="C4221" t="s">
        <v>1699</v>
      </c>
      <c r="D4221">
        <v>100</v>
      </c>
      <c r="E4221" t="s">
        <v>197</v>
      </c>
      <c r="F4221">
        <v>1045</v>
      </c>
      <c r="G4221" t="s">
        <v>39</v>
      </c>
      <c r="H4221">
        <v>2060</v>
      </c>
      <c r="I4221" t="s">
        <v>39</v>
      </c>
      <c r="J4221">
        <v>3128</v>
      </c>
      <c r="K4221" t="s">
        <v>1748</v>
      </c>
      <c r="L4221">
        <v>4047</v>
      </c>
      <c r="M4221" t="s">
        <v>1749</v>
      </c>
      <c r="N4221" t="s">
        <v>721</v>
      </c>
      <c r="O4221">
        <v>8</v>
      </c>
      <c r="P4221">
        <v>7183</v>
      </c>
      <c r="Q4221" t="s">
        <v>986</v>
      </c>
      <c r="R4221" t="s">
        <v>713</v>
      </c>
      <c r="S4221">
        <v>4</v>
      </c>
      <c r="T4221">
        <v>1</v>
      </c>
      <c r="U4221">
        <v>48.73</v>
      </c>
      <c r="V4221">
        <v>405434</v>
      </c>
    </row>
    <row r="4222" spans="1:22">
      <c r="A4222" t="s">
        <v>196</v>
      </c>
      <c r="B4222">
        <v>81</v>
      </c>
      <c r="C4222" t="s">
        <v>1699</v>
      </c>
      <c r="D4222">
        <v>100</v>
      </c>
      <c r="E4222" t="s">
        <v>197</v>
      </c>
      <c r="F4222">
        <v>1045</v>
      </c>
      <c r="G4222" t="s">
        <v>39</v>
      </c>
      <c r="H4222">
        <v>2060</v>
      </c>
      <c r="I4222" t="s">
        <v>39</v>
      </c>
      <c r="J4222">
        <v>3128</v>
      </c>
      <c r="K4222" t="s">
        <v>1748</v>
      </c>
      <c r="L4222">
        <v>4047</v>
      </c>
      <c r="M4222" t="s">
        <v>1749</v>
      </c>
      <c r="N4222" t="s">
        <v>199</v>
      </c>
      <c r="O4222">
        <v>0</v>
      </c>
      <c r="P4222">
        <v>15</v>
      </c>
      <c r="Q4222" t="s">
        <v>264</v>
      </c>
      <c r="R4222" t="s">
        <v>201</v>
      </c>
      <c r="S4222">
        <v>0</v>
      </c>
      <c r="T4222">
        <v>0</v>
      </c>
      <c r="U4222">
        <v>8668</v>
      </c>
      <c r="V4222">
        <v>8668</v>
      </c>
    </row>
    <row r="4223" spans="1:22">
      <c r="A4223" t="s">
        <v>196</v>
      </c>
      <c r="B4223">
        <v>81</v>
      </c>
      <c r="C4223" t="s">
        <v>1699</v>
      </c>
      <c r="D4223">
        <v>100</v>
      </c>
      <c r="E4223" t="s">
        <v>197</v>
      </c>
      <c r="F4223">
        <v>1045</v>
      </c>
      <c r="G4223" t="s">
        <v>39</v>
      </c>
      <c r="H4223">
        <v>2060</v>
      </c>
      <c r="I4223" t="s">
        <v>39</v>
      </c>
      <c r="J4223">
        <v>3128</v>
      </c>
      <c r="K4223" t="s">
        <v>1748</v>
      </c>
      <c r="L4223">
        <v>4047</v>
      </c>
      <c r="M4223" t="s">
        <v>1749</v>
      </c>
      <c r="N4223" t="s">
        <v>199</v>
      </c>
      <c r="O4223">
        <v>0</v>
      </c>
      <c r="P4223">
        <v>12</v>
      </c>
      <c r="Q4223" t="s">
        <v>724</v>
      </c>
      <c r="R4223" t="s">
        <v>201</v>
      </c>
      <c r="S4223">
        <v>0</v>
      </c>
      <c r="T4223">
        <v>0</v>
      </c>
      <c r="U4223">
        <v>20182</v>
      </c>
      <c r="V4223">
        <v>20182</v>
      </c>
    </row>
    <row r="4224" spans="1:22">
      <c r="A4224" t="s">
        <v>196</v>
      </c>
      <c r="B4224">
        <v>81</v>
      </c>
      <c r="C4224" t="s">
        <v>1699</v>
      </c>
      <c r="D4224">
        <v>100</v>
      </c>
      <c r="E4224" t="s">
        <v>197</v>
      </c>
      <c r="F4224">
        <v>1045</v>
      </c>
      <c r="G4224" t="s">
        <v>39</v>
      </c>
      <c r="H4224">
        <v>2060</v>
      </c>
      <c r="I4224" t="s">
        <v>39</v>
      </c>
      <c r="J4224">
        <v>3128</v>
      </c>
      <c r="K4224" t="s">
        <v>1748</v>
      </c>
      <c r="L4224">
        <v>4056</v>
      </c>
      <c r="M4224" t="s">
        <v>1754</v>
      </c>
      <c r="N4224" t="s">
        <v>1755</v>
      </c>
      <c r="O4224">
        <v>54</v>
      </c>
      <c r="P4224">
        <v>3063</v>
      </c>
      <c r="Q4224" t="s">
        <v>1756</v>
      </c>
      <c r="R4224" t="s">
        <v>201</v>
      </c>
      <c r="S4224">
        <v>4</v>
      </c>
      <c r="T4224">
        <v>1</v>
      </c>
      <c r="U4224">
        <v>113604</v>
      </c>
      <c r="V4224">
        <v>454416</v>
      </c>
    </row>
    <row r="4225" spans="1:22">
      <c r="A4225" t="s">
        <v>196</v>
      </c>
      <c r="B4225">
        <v>81</v>
      </c>
      <c r="C4225" t="s">
        <v>1699</v>
      </c>
      <c r="D4225">
        <v>100</v>
      </c>
      <c r="E4225" t="s">
        <v>197</v>
      </c>
      <c r="F4225">
        <v>1045</v>
      </c>
      <c r="G4225" t="s">
        <v>39</v>
      </c>
      <c r="H4225">
        <v>2060</v>
      </c>
      <c r="I4225" t="s">
        <v>39</v>
      </c>
      <c r="J4225">
        <v>3128</v>
      </c>
      <c r="K4225" t="s">
        <v>1748</v>
      </c>
      <c r="L4225">
        <v>4056</v>
      </c>
      <c r="M4225" t="s">
        <v>1754</v>
      </c>
      <c r="N4225" t="s">
        <v>1755</v>
      </c>
      <c r="O4225">
        <v>54</v>
      </c>
      <c r="P4225">
        <v>3063</v>
      </c>
      <c r="Q4225" t="s">
        <v>1756</v>
      </c>
      <c r="R4225" t="s">
        <v>201</v>
      </c>
      <c r="S4225">
        <v>1</v>
      </c>
      <c r="T4225">
        <v>1</v>
      </c>
      <c r="U4225">
        <v>108528</v>
      </c>
      <c r="V4225">
        <v>108528</v>
      </c>
    </row>
    <row r="4226" spans="1:22">
      <c r="A4226" t="s">
        <v>196</v>
      </c>
      <c r="B4226">
        <v>81</v>
      </c>
      <c r="C4226" t="s">
        <v>1699</v>
      </c>
      <c r="D4226">
        <v>100</v>
      </c>
      <c r="E4226" t="s">
        <v>197</v>
      </c>
      <c r="F4226">
        <v>1045</v>
      </c>
      <c r="G4226" t="s">
        <v>39</v>
      </c>
      <c r="H4226">
        <v>2060</v>
      </c>
      <c r="I4226" t="s">
        <v>39</v>
      </c>
      <c r="J4226">
        <v>3128</v>
      </c>
      <c r="K4226" t="s">
        <v>1748</v>
      </c>
      <c r="L4226">
        <v>4056</v>
      </c>
      <c r="M4226" t="s">
        <v>1754</v>
      </c>
      <c r="N4226" t="s">
        <v>199</v>
      </c>
      <c r="O4226">
        <v>0</v>
      </c>
      <c r="P4226">
        <v>15</v>
      </c>
      <c r="Q4226" t="s">
        <v>264</v>
      </c>
      <c r="R4226" t="s">
        <v>201</v>
      </c>
      <c r="S4226">
        <v>0</v>
      </c>
      <c r="T4226">
        <v>0</v>
      </c>
      <c r="U4226">
        <v>10608</v>
      </c>
      <c r="V4226">
        <v>10608</v>
      </c>
    </row>
    <row r="4227" spans="1:22">
      <c r="A4227" t="s">
        <v>196</v>
      </c>
      <c r="B4227">
        <v>81</v>
      </c>
      <c r="C4227" t="s">
        <v>1699</v>
      </c>
      <c r="D4227">
        <v>100</v>
      </c>
      <c r="E4227" t="s">
        <v>197</v>
      </c>
      <c r="F4227">
        <v>1045</v>
      </c>
      <c r="G4227" t="s">
        <v>39</v>
      </c>
      <c r="H4227">
        <v>2060</v>
      </c>
      <c r="I4227" t="s">
        <v>39</v>
      </c>
      <c r="J4227">
        <v>3136</v>
      </c>
      <c r="K4227" t="s">
        <v>1757</v>
      </c>
      <c r="L4227">
        <v>4063</v>
      </c>
      <c r="M4227" t="s">
        <v>1758</v>
      </c>
      <c r="N4227" t="s">
        <v>721</v>
      </c>
      <c r="O4227">
        <v>54</v>
      </c>
      <c r="P4227">
        <v>7975</v>
      </c>
      <c r="Q4227" t="s">
        <v>1759</v>
      </c>
      <c r="R4227" t="s">
        <v>713</v>
      </c>
      <c r="S4227">
        <v>45</v>
      </c>
      <c r="T4227">
        <v>1</v>
      </c>
      <c r="U4227">
        <v>48.37</v>
      </c>
      <c r="V4227">
        <v>4527432</v>
      </c>
    </row>
    <row r="4228" spans="1:22">
      <c r="A4228" t="s">
        <v>196</v>
      </c>
      <c r="B4228">
        <v>81</v>
      </c>
      <c r="C4228" t="s">
        <v>1699</v>
      </c>
      <c r="D4228">
        <v>100</v>
      </c>
      <c r="E4228" t="s">
        <v>197</v>
      </c>
      <c r="F4228">
        <v>1045</v>
      </c>
      <c r="G4228" t="s">
        <v>39</v>
      </c>
      <c r="H4228">
        <v>2060</v>
      </c>
      <c r="I4228" t="s">
        <v>39</v>
      </c>
      <c r="J4228">
        <v>3136</v>
      </c>
      <c r="K4228" t="s">
        <v>1757</v>
      </c>
      <c r="L4228">
        <v>4063</v>
      </c>
      <c r="M4228" t="s">
        <v>1758</v>
      </c>
      <c r="N4228" t="s">
        <v>721</v>
      </c>
      <c r="O4228">
        <v>54</v>
      </c>
      <c r="P4228">
        <v>7975</v>
      </c>
      <c r="Q4228" t="s">
        <v>1759</v>
      </c>
      <c r="R4228" t="s">
        <v>713</v>
      </c>
      <c r="S4228">
        <v>7</v>
      </c>
      <c r="T4228">
        <v>1</v>
      </c>
      <c r="U4228">
        <v>43.53</v>
      </c>
      <c r="V4228">
        <v>633797</v>
      </c>
    </row>
    <row r="4229" spans="1:22">
      <c r="A4229" t="s">
        <v>196</v>
      </c>
      <c r="B4229">
        <v>81</v>
      </c>
      <c r="C4229" t="s">
        <v>1699</v>
      </c>
      <c r="D4229">
        <v>100</v>
      </c>
      <c r="E4229" t="s">
        <v>197</v>
      </c>
      <c r="F4229">
        <v>1045</v>
      </c>
      <c r="G4229" t="s">
        <v>39</v>
      </c>
      <c r="H4229">
        <v>2060</v>
      </c>
      <c r="I4229" t="s">
        <v>39</v>
      </c>
      <c r="J4229">
        <v>3136</v>
      </c>
      <c r="K4229" t="s">
        <v>1757</v>
      </c>
      <c r="L4229">
        <v>4063</v>
      </c>
      <c r="M4229" t="s">
        <v>1758</v>
      </c>
      <c r="N4229" t="s">
        <v>721</v>
      </c>
      <c r="O4229">
        <v>54</v>
      </c>
      <c r="P4229">
        <v>7975</v>
      </c>
      <c r="Q4229" t="s">
        <v>1759</v>
      </c>
      <c r="R4229" t="s">
        <v>713</v>
      </c>
      <c r="S4229">
        <v>12</v>
      </c>
      <c r="T4229">
        <v>1</v>
      </c>
      <c r="U4229">
        <v>38.700000000000003</v>
      </c>
      <c r="V4229">
        <v>965952</v>
      </c>
    </row>
    <row r="4230" spans="1:22">
      <c r="A4230" t="s">
        <v>196</v>
      </c>
      <c r="B4230">
        <v>81</v>
      </c>
      <c r="C4230" t="s">
        <v>1699</v>
      </c>
      <c r="D4230">
        <v>100</v>
      </c>
      <c r="E4230" t="s">
        <v>197</v>
      </c>
      <c r="F4230">
        <v>1045</v>
      </c>
      <c r="G4230" t="s">
        <v>39</v>
      </c>
      <c r="H4230">
        <v>2060</v>
      </c>
      <c r="I4230" t="s">
        <v>39</v>
      </c>
      <c r="J4230">
        <v>3136</v>
      </c>
      <c r="K4230" t="s">
        <v>1757</v>
      </c>
      <c r="L4230">
        <v>4063</v>
      </c>
      <c r="M4230" t="s">
        <v>1758</v>
      </c>
      <c r="N4230" t="s">
        <v>721</v>
      </c>
      <c r="O4230">
        <v>54</v>
      </c>
      <c r="P4230">
        <v>7975</v>
      </c>
      <c r="Q4230" t="s">
        <v>1759</v>
      </c>
      <c r="R4230" t="s">
        <v>713</v>
      </c>
      <c r="S4230">
        <v>13</v>
      </c>
      <c r="T4230">
        <v>1</v>
      </c>
      <c r="U4230">
        <v>33.86</v>
      </c>
      <c r="V4230">
        <v>915574</v>
      </c>
    </row>
    <row r="4231" spans="1:22">
      <c r="A4231" t="s">
        <v>196</v>
      </c>
      <c r="B4231">
        <v>81</v>
      </c>
      <c r="C4231" t="s">
        <v>1699</v>
      </c>
      <c r="D4231">
        <v>100</v>
      </c>
      <c r="E4231" t="s">
        <v>197</v>
      </c>
      <c r="F4231">
        <v>1045</v>
      </c>
      <c r="G4231" t="s">
        <v>39</v>
      </c>
      <c r="H4231">
        <v>2060</v>
      </c>
      <c r="I4231" t="s">
        <v>39</v>
      </c>
      <c r="J4231">
        <v>3136</v>
      </c>
      <c r="K4231" t="s">
        <v>1757</v>
      </c>
      <c r="L4231">
        <v>4063</v>
      </c>
      <c r="M4231" t="s">
        <v>1758</v>
      </c>
      <c r="N4231" t="s">
        <v>1722</v>
      </c>
      <c r="O4231">
        <v>54</v>
      </c>
      <c r="P4231">
        <v>7916</v>
      </c>
      <c r="Q4231" t="s">
        <v>1753</v>
      </c>
      <c r="R4231" t="s">
        <v>201</v>
      </c>
      <c r="S4231">
        <v>1</v>
      </c>
      <c r="T4231">
        <v>1</v>
      </c>
      <c r="U4231">
        <v>113592</v>
      </c>
      <c r="V4231">
        <v>113592</v>
      </c>
    </row>
    <row r="4232" spans="1:22">
      <c r="A4232" t="s">
        <v>196</v>
      </c>
      <c r="B4232">
        <v>81</v>
      </c>
      <c r="C4232" t="s">
        <v>1699</v>
      </c>
      <c r="D4232">
        <v>100</v>
      </c>
      <c r="E4232" t="s">
        <v>197</v>
      </c>
      <c r="F4232">
        <v>1045</v>
      </c>
      <c r="G4232" t="s">
        <v>39</v>
      </c>
      <c r="H4232">
        <v>2060</v>
      </c>
      <c r="I4232" t="s">
        <v>39</v>
      </c>
      <c r="J4232">
        <v>3136</v>
      </c>
      <c r="K4232" t="s">
        <v>1757</v>
      </c>
      <c r="L4232">
        <v>4063</v>
      </c>
      <c r="M4232" t="s">
        <v>1758</v>
      </c>
      <c r="N4232" t="s">
        <v>721</v>
      </c>
      <c r="O4232">
        <v>8</v>
      </c>
      <c r="P4232">
        <v>7185</v>
      </c>
      <c r="Q4232" t="s">
        <v>1039</v>
      </c>
      <c r="R4232" t="s">
        <v>713</v>
      </c>
      <c r="S4232">
        <v>5</v>
      </c>
      <c r="T4232">
        <v>1</v>
      </c>
      <c r="U4232">
        <v>52.38</v>
      </c>
      <c r="V4232">
        <v>544752</v>
      </c>
    </row>
    <row r="4233" spans="1:22">
      <c r="A4233" t="s">
        <v>196</v>
      </c>
      <c r="B4233">
        <v>81</v>
      </c>
      <c r="C4233" t="s">
        <v>1699</v>
      </c>
      <c r="D4233">
        <v>100</v>
      </c>
      <c r="E4233" t="s">
        <v>197</v>
      </c>
      <c r="F4233">
        <v>1045</v>
      </c>
      <c r="G4233" t="s">
        <v>39</v>
      </c>
      <c r="H4233">
        <v>2060</v>
      </c>
      <c r="I4233" t="s">
        <v>39</v>
      </c>
      <c r="J4233">
        <v>3136</v>
      </c>
      <c r="K4233" t="s">
        <v>1757</v>
      </c>
      <c r="L4233">
        <v>4063</v>
      </c>
      <c r="M4233" t="s">
        <v>1758</v>
      </c>
      <c r="N4233" t="s">
        <v>721</v>
      </c>
      <c r="O4233">
        <v>8</v>
      </c>
      <c r="P4233">
        <v>7184</v>
      </c>
      <c r="Q4233" t="s">
        <v>1728</v>
      </c>
      <c r="R4233" t="s">
        <v>713</v>
      </c>
      <c r="S4233">
        <v>31</v>
      </c>
      <c r="T4233">
        <v>1</v>
      </c>
      <c r="U4233">
        <v>48.73</v>
      </c>
      <c r="V4233">
        <v>3142110</v>
      </c>
    </row>
    <row r="4234" spans="1:22">
      <c r="A4234" t="s">
        <v>196</v>
      </c>
      <c r="B4234">
        <v>81</v>
      </c>
      <c r="C4234" t="s">
        <v>1699</v>
      </c>
      <c r="D4234">
        <v>100</v>
      </c>
      <c r="E4234" t="s">
        <v>197</v>
      </c>
      <c r="F4234">
        <v>1045</v>
      </c>
      <c r="G4234" t="s">
        <v>39</v>
      </c>
      <c r="H4234">
        <v>2060</v>
      </c>
      <c r="I4234" t="s">
        <v>39</v>
      </c>
      <c r="J4234">
        <v>3136</v>
      </c>
      <c r="K4234" t="s">
        <v>1757</v>
      </c>
      <c r="L4234">
        <v>4063</v>
      </c>
      <c r="M4234" t="s">
        <v>1758</v>
      </c>
      <c r="N4234" t="s">
        <v>721</v>
      </c>
      <c r="O4234">
        <v>8</v>
      </c>
      <c r="P4234">
        <v>7184</v>
      </c>
      <c r="Q4234" t="s">
        <v>1728</v>
      </c>
      <c r="R4234" t="s">
        <v>713</v>
      </c>
      <c r="S4234">
        <v>4</v>
      </c>
      <c r="T4234">
        <v>1</v>
      </c>
      <c r="U4234">
        <v>43.86</v>
      </c>
      <c r="V4234">
        <v>364915</v>
      </c>
    </row>
    <row r="4235" spans="1:22">
      <c r="A4235" t="s">
        <v>196</v>
      </c>
      <c r="B4235">
        <v>81</v>
      </c>
      <c r="C4235" t="s">
        <v>1699</v>
      </c>
      <c r="D4235">
        <v>100</v>
      </c>
      <c r="E4235" t="s">
        <v>197</v>
      </c>
      <c r="F4235">
        <v>1045</v>
      </c>
      <c r="G4235" t="s">
        <v>39</v>
      </c>
      <c r="H4235">
        <v>2060</v>
      </c>
      <c r="I4235" t="s">
        <v>39</v>
      </c>
      <c r="J4235">
        <v>3136</v>
      </c>
      <c r="K4235" t="s">
        <v>1757</v>
      </c>
      <c r="L4235">
        <v>4063</v>
      </c>
      <c r="M4235" t="s">
        <v>1758</v>
      </c>
      <c r="N4235" t="s">
        <v>721</v>
      </c>
      <c r="O4235">
        <v>8</v>
      </c>
      <c r="P4235">
        <v>7183</v>
      </c>
      <c r="Q4235" t="s">
        <v>986</v>
      </c>
      <c r="R4235" t="s">
        <v>713</v>
      </c>
      <c r="S4235">
        <v>5</v>
      </c>
      <c r="T4235">
        <v>1</v>
      </c>
      <c r="U4235">
        <v>49.46</v>
      </c>
      <c r="V4235">
        <v>514384</v>
      </c>
    </row>
    <row r="4236" spans="1:22">
      <c r="A4236" t="s">
        <v>196</v>
      </c>
      <c r="B4236">
        <v>81</v>
      </c>
      <c r="C4236" t="s">
        <v>1699</v>
      </c>
      <c r="D4236">
        <v>100</v>
      </c>
      <c r="E4236" t="s">
        <v>197</v>
      </c>
      <c r="F4236">
        <v>1045</v>
      </c>
      <c r="G4236" t="s">
        <v>39</v>
      </c>
      <c r="H4236">
        <v>2060</v>
      </c>
      <c r="I4236" t="s">
        <v>39</v>
      </c>
      <c r="J4236">
        <v>3136</v>
      </c>
      <c r="K4236" t="s">
        <v>1757</v>
      </c>
      <c r="L4236">
        <v>4063</v>
      </c>
      <c r="M4236" t="s">
        <v>1758</v>
      </c>
      <c r="N4236" t="s">
        <v>721</v>
      </c>
      <c r="O4236">
        <v>8</v>
      </c>
      <c r="P4236">
        <v>7183</v>
      </c>
      <c r="Q4236" t="s">
        <v>986</v>
      </c>
      <c r="R4236" t="s">
        <v>713</v>
      </c>
      <c r="S4236">
        <v>26</v>
      </c>
      <c r="T4236">
        <v>1</v>
      </c>
      <c r="U4236">
        <v>48.73</v>
      </c>
      <c r="V4236">
        <v>2635318</v>
      </c>
    </row>
    <row r="4237" spans="1:22">
      <c r="A4237" t="s">
        <v>196</v>
      </c>
      <c r="B4237">
        <v>81</v>
      </c>
      <c r="C4237" t="s">
        <v>1699</v>
      </c>
      <c r="D4237">
        <v>100</v>
      </c>
      <c r="E4237" t="s">
        <v>197</v>
      </c>
      <c r="F4237">
        <v>1045</v>
      </c>
      <c r="G4237" t="s">
        <v>39</v>
      </c>
      <c r="H4237">
        <v>2060</v>
      </c>
      <c r="I4237" t="s">
        <v>39</v>
      </c>
      <c r="J4237">
        <v>3136</v>
      </c>
      <c r="K4237" t="s">
        <v>1757</v>
      </c>
      <c r="L4237">
        <v>4063</v>
      </c>
      <c r="M4237" t="s">
        <v>1758</v>
      </c>
      <c r="N4237" t="s">
        <v>199</v>
      </c>
      <c r="O4237">
        <v>0</v>
      </c>
      <c r="P4237">
        <v>15</v>
      </c>
      <c r="Q4237" t="s">
        <v>264</v>
      </c>
      <c r="R4237" t="s">
        <v>201</v>
      </c>
      <c r="S4237">
        <v>0</v>
      </c>
      <c r="T4237">
        <v>0</v>
      </c>
      <c r="U4237">
        <v>2652</v>
      </c>
      <c r="V4237">
        <v>2652</v>
      </c>
    </row>
    <row r="4238" spans="1:22">
      <c r="A4238" t="s">
        <v>196</v>
      </c>
      <c r="B4238">
        <v>81</v>
      </c>
      <c r="C4238" t="s">
        <v>1699</v>
      </c>
      <c r="D4238">
        <v>100</v>
      </c>
      <c r="E4238" t="s">
        <v>197</v>
      </c>
      <c r="F4238">
        <v>1045</v>
      </c>
      <c r="G4238" t="s">
        <v>39</v>
      </c>
      <c r="H4238">
        <v>2060</v>
      </c>
      <c r="I4238" t="s">
        <v>39</v>
      </c>
      <c r="J4238">
        <v>3136</v>
      </c>
      <c r="K4238" t="s">
        <v>1757</v>
      </c>
      <c r="L4238">
        <v>4063</v>
      </c>
      <c r="M4238" t="s">
        <v>1758</v>
      </c>
      <c r="N4238" t="s">
        <v>199</v>
      </c>
      <c r="O4238">
        <v>0</v>
      </c>
      <c r="P4238">
        <v>12</v>
      </c>
      <c r="Q4238" t="s">
        <v>724</v>
      </c>
      <c r="R4238" t="s">
        <v>201</v>
      </c>
      <c r="S4238">
        <v>0</v>
      </c>
      <c r="T4238">
        <v>0</v>
      </c>
      <c r="U4238">
        <v>213664</v>
      </c>
      <c r="V4238">
        <v>213664</v>
      </c>
    </row>
    <row r="4239" spans="1:22">
      <c r="A4239" t="s">
        <v>196</v>
      </c>
      <c r="B4239">
        <v>81</v>
      </c>
      <c r="C4239" t="s">
        <v>1699</v>
      </c>
      <c r="D4239">
        <v>100</v>
      </c>
      <c r="E4239" t="s">
        <v>197</v>
      </c>
      <c r="F4239">
        <v>1045</v>
      </c>
      <c r="G4239" t="s">
        <v>39</v>
      </c>
      <c r="H4239">
        <v>2060</v>
      </c>
      <c r="I4239" t="s">
        <v>39</v>
      </c>
      <c r="J4239">
        <v>3136</v>
      </c>
      <c r="K4239" t="s">
        <v>1757</v>
      </c>
      <c r="L4239">
        <v>4067</v>
      </c>
      <c r="M4239" t="s">
        <v>1760</v>
      </c>
      <c r="N4239" t="s">
        <v>721</v>
      </c>
      <c r="O4239">
        <v>54</v>
      </c>
      <c r="P4239">
        <v>7975</v>
      </c>
      <c r="Q4239" t="s">
        <v>1759</v>
      </c>
      <c r="R4239" t="s">
        <v>713</v>
      </c>
      <c r="S4239">
        <v>4</v>
      </c>
      <c r="T4239">
        <v>1</v>
      </c>
      <c r="U4239">
        <v>48.37</v>
      </c>
      <c r="V4239">
        <v>402438</v>
      </c>
    </row>
    <row r="4240" spans="1:22">
      <c r="A4240" t="s">
        <v>196</v>
      </c>
      <c r="B4240">
        <v>81</v>
      </c>
      <c r="C4240" t="s">
        <v>1699</v>
      </c>
      <c r="D4240">
        <v>100</v>
      </c>
      <c r="E4240" t="s">
        <v>197</v>
      </c>
      <c r="F4240">
        <v>1045</v>
      </c>
      <c r="G4240" t="s">
        <v>39</v>
      </c>
      <c r="H4240">
        <v>2060</v>
      </c>
      <c r="I4240" t="s">
        <v>39</v>
      </c>
      <c r="J4240">
        <v>3136</v>
      </c>
      <c r="K4240" t="s">
        <v>1757</v>
      </c>
      <c r="L4240">
        <v>4067</v>
      </c>
      <c r="M4240" t="s">
        <v>1760</v>
      </c>
      <c r="N4240" t="s">
        <v>721</v>
      </c>
      <c r="O4240">
        <v>54</v>
      </c>
      <c r="P4240">
        <v>7975</v>
      </c>
      <c r="Q4240" t="s">
        <v>1759</v>
      </c>
      <c r="R4240" t="s">
        <v>713</v>
      </c>
      <c r="S4240">
        <v>1</v>
      </c>
      <c r="T4240">
        <v>1</v>
      </c>
      <c r="U4240">
        <v>43.53</v>
      </c>
      <c r="V4240">
        <v>90542</v>
      </c>
    </row>
    <row r="4241" spans="1:22">
      <c r="A4241" t="s">
        <v>196</v>
      </c>
      <c r="B4241">
        <v>81</v>
      </c>
      <c r="C4241" t="s">
        <v>1699</v>
      </c>
      <c r="D4241">
        <v>100</v>
      </c>
      <c r="E4241" t="s">
        <v>197</v>
      </c>
      <c r="F4241">
        <v>1045</v>
      </c>
      <c r="G4241" t="s">
        <v>39</v>
      </c>
      <c r="H4241">
        <v>2060</v>
      </c>
      <c r="I4241" t="s">
        <v>39</v>
      </c>
      <c r="J4241">
        <v>3136</v>
      </c>
      <c r="K4241" t="s">
        <v>1757</v>
      </c>
      <c r="L4241">
        <v>4067</v>
      </c>
      <c r="M4241" t="s">
        <v>1760</v>
      </c>
      <c r="N4241" t="s">
        <v>721</v>
      </c>
      <c r="O4241">
        <v>54</v>
      </c>
      <c r="P4241">
        <v>7975</v>
      </c>
      <c r="Q4241" t="s">
        <v>1759</v>
      </c>
      <c r="R4241" t="s">
        <v>713</v>
      </c>
      <c r="S4241">
        <v>1</v>
      </c>
      <c r="T4241">
        <v>1</v>
      </c>
      <c r="U4241">
        <v>38.700000000000003</v>
      </c>
      <c r="V4241">
        <v>80496</v>
      </c>
    </row>
    <row r="4242" spans="1:22">
      <c r="A4242" t="s">
        <v>196</v>
      </c>
      <c r="B4242">
        <v>81</v>
      </c>
      <c r="C4242" t="s">
        <v>1699</v>
      </c>
      <c r="D4242">
        <v>100</v>
      </c>
      <c r="E4242" t="s">
        <v>197</v>
      </c>
      <c r="F4242">
        <v>1045</v>
      </c>
      <c r="G4242" t="s">
        <v>39</v>
      </c>
      <c r="H4242">
        <v>2060</v>
      </c>
      <c r="I4242" t="s">
        <v>39</v>
      </c>
      <c r="J4242">
        <v>3136</v>
      </c>
      <c r="K4242" t="s">
        <v>1757</v>
      </c>
      <c r="L4242">
        <v>4067</v>
      </c>
      <c r="M4242" t="s">
        <v>1760</v>
      </c>
      <c r="N4242" t="s">
        <v>721</v>
      </c>
      <c r="O4242">
        <v>54</v>
      </c>
      <c r="P4242">
        <v>7975</v>
      </c>
      <c r="Q4242" t="s">
        <v>1759</v>
      </c>
      <c r="R4242" t="s">
        <v>713</v>
      </c>
      <c r="S4242">
        <v>2</v>
      </c>
      <c r="T4242">
        <v>1</v>
      </c>
      <c r="U4242">
        <v>33.86</v>
      </c>
      <c r="V4242">
        <v>140858</v>
      </c>
    </row>
    <row r="4243" spans="1:22">
      <c r="A4243" t="s">
        <v>196</v>
      </c>
      <c r="B4243">
        <v>81</v>
      </c>
      <c r="C4243" t="s">
        <v>1699</v>
      </c>
      <c r="D4243">
        <v>100</v>
      </c>
      <c r="E4243" t="s">
        <v>197</v>
      </c>
      <c r="F4243">
        <v>1045</v>
      </c>
      <c r="G4243" t="s">
        <v>39</v>
      </c>
      <c r="H4243">
        <v>2060</v>
      </c>
      <c r="I4243" t="s">
        <v>39</v>
      </c>
      <c r="J4243">
        <v>3136</v>
      </c>
      <c r="K4243" t="s">
        <v>1757</v>
      </c>
      <c r="L4243">
        <v>4067</v>
      </c>
      <c r="M4243" t="s">
        <v>1760</v>
      </c>
      <c r="N4243" t="s">
        <v>721</v>
      </c>
      <c r="O4243">
        <v>8</v>
      </c>
      <c r="P4243">
        <v>7183</v>
      </c>
      <c r="Q4243" t="s">
        <v>986</v>
      </c>
      <c r="R4243" t="s">
        <v>713</v>
      </c>
      <c r="S4243">
        <v>2</v>
      </c>
      <c r="T4243">
        <v>1</v>
      </c>
      <c r="U4243">
        <v>48.73</v>
      </c>
      <c r="V4243">
        <v>202717</v>
      </c>
    </row>
    <row r="4244" spans="1:22">
      <c r="A4244" t="s">
        <v>196</v>
      </c>
      <c r="B4244">
        <v>81</v>
      </c>
      <c r="C4244" t="s">
        <v>1699</v>
      </c>
      <c r="D4244">
        <v>100</v>
      </c>
      <c r="E4244" t="s">
        <v>197</v>
      </c>
      <c r="F4244">
        <v>1045</v>
      </c>
      <c r="G4244" t="s">
        <v>39</v>
      </c>
      <c r="H4244">
        <v>2060</v>
      </c>
      <c r="I4244" t="s">
        <v>39</v>
      </c>
      <c r="J4244">
        <v>3136</v>
      </c>
      <c r="K4244" t="s">
        <v>1757</v>
      </c>
      <c r="L4244">
        <v>4067</v>
      </c>
      <c r="M4244" t="s">
        <v>1760</v>
      </c>
      <c r="N4244" t="s">
        <v>199</v>
      </c>
      <c r="O4244">
        <v>0</v>
      </c>
      <c r="P4244">
        <v>12</v>
      </c>
      <c r="Q4244" t="s">
        <v>724</v>
      </c>
      <c r="R4244" t="s">
        <v>201</v>
      </c>
      <c r="S4244">
        <v>0</v>
      </c>
      <c r="T4244">
        <v>0</v>
      </c>
      <c r="U4244">
        <v>13756</v>
      </c>
      <c r="V4244">
        <v>13756</v>
      </c>
    </row>
    <row r="4245" spans="1:22">
      <c r="A4245" t="s">
        <v>196</v>
      </c>
      <c r="B4245">
        <v>81</v>
      </c>
      <c r="C4245" t="s">
        <v>1699</v>
      </c>
      <c r="D4245">
        <v>100</v>
      </c>
      <c r="E4245" t="s">
        <v>197</v>
      </c>
      <c r="F4245">
        <v>1045</v>
      </c>
      <c r="G4245" t="s">
        <v>39</v>
      </c>
      <c r="H4245">
        <v>2060</v>
      </c>
      <c r="I4245" t="s">
        <v>39</v>
      </c>
      <c r="J4245">
        <v>3137</v>
      </c>
      <c r="K4245" t="s">
        <v>1761</v>
      </c>
      <c r="L4245">
        <v>0</v>
      </c>
      <c r="N4245" t="s">
        <v>721</v>
      </c>
      <c r="O4245">
        <v>54</v>
      </c>
      <c r="P4245">
        <v>7975</v>
      </c>
      <c r="Q4245" t="s">
        <v>1759</v>
      </c>
      <c r="R4245" t="s">
        <v>713</v>
      </c>
      <c r="S4245">
        <v>13</v>
      </c>
      <c r="T4245">
        <v>1</v>
      </c>
      <c r="U4245">
        <v>48.37</v>
      </c>
      <c r="V4245">
        <v>1307925</v>
      </c>
    </row>
    <row r="4246" spans="1:22">
      <c r="A4246" t="s">
        <v>196</v>
      </c>
      <c r="B4246">
        <v>81</v>
      </c>
      <c r="C4246" t="s">
        <v>1699</v>
      </c>
      <c r="D4246">
        <v>100</v>
      </c>
      <c r="E4246" t="s">
        <v>197</v>
      </c>
      <c r="F4246">
        <v>1045</v>
      </c>
      <c r="G4246" t="s">
        <v>39</v>
      </c>
      <c r="H4246">
        <v>2060</v>
      </c>
      <c r="I4246" t="s">
        <v>39</v>
      </c>
      <c r="J4246">
        <v>3137</v>
      </c>
      <c r="K4246" t="s">
        <v>1761</v>
      </c>
      <c r="L4246">
        <v>0</v>
      </c>
      <c r="N4246" t="s">
        <v>721</v>
      </c>
      <c r="O4246">
        <v>54</v>
      </c>
      <c r="P4246">
        <v>7975</v>
      </c>
      <c r="Q4246" t="s">
        <v>1759</v>
      </c>
      <c r="R4246" t="s">
        <v>713</v>
      </c>
      <c r="S4246">
        <v>4</v>
      </c>
      <c r="T4246">
        <v>1</v>
      </c>
      <c r="U4246">
        <v>43.53</v>
      </c>
      <c r="V4246">
        <v>362170</v>
      </c>
    </row>
    <row r="4247" spans="1:22">
      <c r="A4247" t="s">
        <v>196</v>
      </c>
      <c r="B4247">
        <v>81</v>
      </c>
      <c r="C4247" t="s">
        <v>1699</v>
      </c>
      <c r="D4247">
        <v>100</v>
      </c>
      <c r="E4247" t="s">
        <v>197</v>
      </c>
      <c r="F4247">
        <v>1045</v>
      </c>
      <c r="G4247" t="s">
        <v>39</v>
      </c>
      <c r="H4247">
        <v>2060</v>
      </c>
      <c r="I4247" t="s">
        <v>39</v>
      </c>
      <c r="J4247">
        <v>3137</v>
      </c>
      <c r="K4247" t="s">
        <v>1761</v>
      </c>
      <c r="L4247">
        <v>0</v>
      </c>
      <c r="N4247" t="s">
        <v>721</v>
      </c>
      <c r="O4247">
        <v>54</v>
      </c>
      <c r="P4247">
        <v>7975</v>
      </c>
      <c r="Q4247" t="s">
        <v>1759</v>
      </c>
      <c r="R4247" t="s">
        <v>713</v>
      </c>
      <c r="S4247">
        <v>8</v>
      </c>
      <c r="T4247">
        <v>1</v>
      </c>
      <c r="U4247">
        <v>38.700000000000003</v>
      </c>
      <c r="V4247">
        <v>643968</v>
      </c>
    </row>
    <row r="4248" spans="1:22">
      <c r="A4248" t="s">
        <v>196</v>
      </c>
      <c r="B4248">
        <v>81</v>
      </c>
      <c r="C4248" t="s">
        <v>1699</v>
      </c>
      <c r="D4248">
        <v>100</v>
      </c>
      <c r="E4248" t="s">
        <v>197</v>
      </c>
      <c r="F4248">
        <v>1045</v>
      </c>
      <c r="G4248" t="s">
        <v>39</v>
      </c>
      <c r="H4248">
        <v>2060</v>
      </c>
      <c r="I4248" t="s">
        <v>39</v>
      </c>
      <c r="J4248">
        <v>3137</v>
      </c>
      <c r="K4248" t="s">
        <v>1761</v>
      </c>
      <c r="L4248">
        <v>0</v>
      </c>
      <c r="N4248" t="s">
        <v>721</v>
      </c>
      <c r="O4248">
        <v>54</v>
      </c>
      <c r="P4248">
        <v>7975</v>
      </c>
      <c r="Q4248" t="s">
        <v>1759</v>
      </c>
      <c r="R4248" t="s">
        <v>713</v>
      </c>
      <c r="S4248">
        <v>4</v>
      </c>
      <c r="T4248">
        <v>1</v>
      </c>
      <c r="U4248">
        <v>33.86</v>
      </c>
      <c r="V4248">
        <v>281715</v>
      </c>
    </row>
    <row r="4249" spans="1:22">
      <c r="A4249" t="s">
        <v>196</v>
      </c>
      <c r="B4249">
        <v>81</v>
      </c>
      <c r="C4249" t="s">
        <v>1699</v>
      </c>
      <c r="D4249">
        <v>100</v>
      </c>
      <c r="E4249" t="s">
        <v>197</v>
      </c>
      <c r="F4249">
        <v>1045</v>
      </c>
      <c r="G4249" t="s">
        <v>39</v>
      </c>
      <c r="H4249">
        <v>2060</v>
      </c>
      <c r="I4249" t="s">
        <v>39</v>
      </c>
      <c r="J4249">
        <v>3137</v>
      </c>
      <c r="K4249" t="s">
        <v>1761</v>
      </c>
      <c r="L4249">
        <v>0</v>
      </c>
      <c r="N4249" t="s">
        <v>721</v>
      </c>
      <c r="O4249">
        <v>8</v>
      </c>
      <c r="P4249">
        <v>7184</v>
      </c>
      <c r="Q4249" t="s">
        <v>1728</v>
      </c>
      <c r="R4249" t="s">
        <v>713</v>
      </c>
      <c r="S4249">
        <v>2</v>
      </c>
      <c r="T4249">
        <v>1</v>
      </c>
      <c r="U4249">
        <v>48.73</v>
      </c>
      <c r="V4249">
        <v>202717</v>
      </c>
    </row>
    <row r="4250" spans="1:22">
      <c r="A4250" t="s">
        <v>196</v>
      </c>
      <c r="B4250">
        <v>81</v>
      </c>
      <c r="C4250" t="s">
        <v>1699</v>
      </c>
      <c r="D4250">
        <v>100</v>
      </c>
      <c r="E4250" t="s">
        <v>197</v>
      </c>
      <c r="F4250">
        <v>1045</v>
      </c>
      <c r="G4250" t="s">
        <v>39</v>
      </c>
      <c r="H4250">
        <v>2060</v>
      </c>
      <c r="I4250" t="s">
        <v>39</v>
      </c>
      <c r="J4250">
        <v>3137</v>
      </c>
      <c r="K4250" t="s">
        <v>1761</v>
      </c>
      <c r="L4250">
        <v>0</v>
      </c>
      <c r="N4250" t="s">
        <v>721</v>
      </c>
      <c r="O4250">
        <v>8</v>
      </c>
      <c r="P4250">
        <v>7184</v>
      </c>
      <c r="Q4250" t="s">
        <v>1728</v>
      </c>
      <c r="R4250" t="s">
        <v>713</v>
      </c>
      <c r="S4250">
        <v>1</v>
      </c>
      <c r="T4250">
        <v>1</v>
      </c>
      <c r="U4250">
        <v>43.86</v>
      </c>
      <c r="V4250">
        <v>91229</v>
      </c>
    </row>
    <row r="4251" spans="1:22">
      <c r="A4251" t="s">
        <v>196</v>
      </c>
      <c r="B4251">
        <v>81</v>
      </c>
      <c r="C4251" t="s">
        <v>1699</v>
      </c>
      <c r="D4251">
        <v>100</v>
      </c>
      <c r="E4251" t="s">
        <v>197</v>
      </c>
      <c r="F4251">
        <v>1045</v>
      </c>
      <c r="G4251" t="s">
        <v>39</v>
      </c>
      <c r="H4251">
        <v>2060</v>
      </c>
      <c r="I4251" t="s">
        <v>39</v>
      </c>
      <c r="J4251">
        <v>3137</v>
      </c>
      <c r="K4251" t="s">
        <v>1761</v>
      </c>
      <c r="L4251">
        <v>0</v>
      </c>
      <c r="N4251" t="s">
        <v>721</v>
      </c>
      <c r="O4251">
        <v>8</v>
      </c>
      <c r="P4251">
        <v>7183</v>
      </c>
      <c r="Q4251" t="s">
        <v>986</v>
      </c>
      <c r="R4251" t="s">
        <v>713</v>
      </c>
      <c r="S4251">
        <v>7</v>
      </c>
      <c r="T4251">
        <v>1</v>
      </c>
      <c r="U4251">
        <v>48.73</v>
      </c>
      <c r="V4251">
        <v>709509</v>
      </c>
    </row>
    <row r="4252" spans="1:22">
      <c r="A4252" t="s">
        <v>196</v>
      </c>
      <c r="B4252">
        <v>81</v>
      </c>
      <c r="C4252" t="s">
        <v>1699</v>
      </c>
      <c r="D4252">
        <v>100</v>
      </c>
      <c r="E4252" t="s">
        <v>197</v>
      </c>
      <c r="F4252">
        <v>1045</v>
      </c>
      <c r="G4252" t="s">
        <v>39</v>
      </c>
      <c r="H4252">
        <v>2060</v>
      </c>
      <c r="I4252" t="s">
        <v>39</v>
      </c>
      <c r="J4252">
        <v>3137</v>
      </c>
      <c r="K4252" t="s">
        <v>1761</v>
      </c>
      <c r="L4252">
        <v>0</v>
      </c>
      <c r="N4252" t="s">
        <v>721</v>
      </c>
      <c r="O4252">
        <v>8</v>
      </c>
      <c r="P4252">
        <v>7183</v>
      </c>
      <c r="Q4252" t="s">
        <v>986</v>
      </c>
      <c r="R4252" t="s">
        <v>713</v>
      </c>
      <c r="S4252">
        <v>1</v>
      </c>
      <c r="T4252">
        <v>1</v>
      </c>
      <c r="U4252">
        <v>38.979999999999997</v>
      </c>
      <c r="V4252">
        <v>81078</v>
      </c>
    </row>
    <row r="4253" spans="1:22">
      <c r="A4253" t="s">
        <v>196</v>
      </c>
      <c r="B4253">
        <v>81</v>
      </c>
      <c r="C4253" t="s">
        <v>1699</v>
      </c>
      <c r="D4253">
        <v>100</v>
      </c>
      <c r="E4253" t="s">
        <v>197</v>
      </c>
      <c r="F4253">
        <v>1045</v>
      </c>
      <c r="G4253" t="s">
        <v>39</v>
      </c>
      <c r="H4253">
        <v>2060</v>
      </c>
      <c r="I4253" t="s">
        <v>39</v>
      </c>
      <c r="J4253">
        <v>3137</v>
      </c>
      <c r="K4253" t="s">
        <v>1761</v>
      </c>
      <c r="L4253">
        <v>0</v>
      </c>
      <c r="N4253" t="s">
        <v>199</v>
      </c>
      <c r="O4253">
        <v>0</v>
      </c>
      <c r="P4253">
        <v>12</v>
      </c>
      <c r="Q4253" t="s">
        <v>724</v>
      </c>
      <c r="R4253" t="s">
        <v>201</v>
      </c>
      <c r="S4253">
        <v>0</v>
      </c>
      <c r="T4253">
        <v>0</v>
      </c>
      <c r="U4253">
        <v>55206</v>
      </c>
      <c r="V4253">
        <v>55206</v>
      </c>
    </row>
    <row r="4254" spans="1:22">
      <c r="A4254" t="s">
        <v>196</v>
      </c>
      <c r="B4254">
        <v>84</v>
      </c>
      <c r="C4254" t="s">
        <v>1762</v>
      </c>
      <c r="D4254">
        <v>100</v>
      </c>
      <c r="E4254" t="s">
        <v>197</v>
      </c>
      <c r="F4254">
        <v>1105</v>
      </c>
      <c r="G4254" t="s">
        <v>924</v>
      </c>
      <c r="H4254">
        <v>2105</v>
      </c>
      <c r="I4254" t="s">
        <v>46</v>
      </c>
      <c r="J4254">
        <v>3201</v>
      </c>
      <c r="K4254" t="s">
        <v>1763</v>
      </c>
      <c r="L4254">
        <v>0</v>
      </c>
      <c r="N4254" t="s">
        <v>199</v>
      </c>
      <c r="O4254">
        <v>9</v>
      </c>
      <c r="P4254">
        <v>9984</v>
      </c>
      <c r="Q4254" t="s">
        <v>1764</v>
      </c>
      <c r="R4254" t="s">
        <v>201</v>
      </c>
      <c r="S4254">
        <v>1</v>
      </c>
      <c r="T4254">
        <v>1</v>
      </c>
      <c r="U4254">
        <v>215460</v>
      </c>
      <c r="V4254">
        <v>215460</v>
      </c>
    </row>
    <row r="4255" spans="1:22">
      <c r="A4255" t="s">
        <v>196</v>
      </c>
      <c r="B4255">
        <v>84</v>
      </c>
      <c r="C4255" t="s">
        <v>1762</v>
      </c>
      <c r="D4255">
        <v>100</v>
      </c>
      <c r="E4255" t="s">
        <v>197</v>
      </c>
      <c r="F4255">
        <v>1105</v>
      </c>
      <c r="G4255" t="s">
        <v>924</v>
      </c>
      <c r="H4255">
        <v>2105</v>
      </c>
      <c r="I4255" t="s">
        <v>46</v>
      </c>
      <c r="J4255">
        <v>3201</v>
      </c>
      <c r="K4255" t="s">
        <v>1763</v>
      </c>
      <c r="L4255">
        <v>0</v>
      </c>
      <c r="N4255" t="s">
        <v>1297</v>
      </c>
      <c r="O4255">
        <v>0</v>
      </c>
      <c r="P4255">
        <v>9823</v>
      </c>
      <c r="Q4255" t="s">
        <v>600</v>
      </c>
      <c r="R4255" t="s">
        <v>201</v>
      </c>
      <c r="S4255">
        <v>1</v>
      </c>
      <c r="T4255">
        <v>1</v>
      </c>
      <c r="U4255">
        <v>196740</v>
      </c>
      <c r="V4255">
        <v>196740</v>
      </c>
    </row>
    <row r="4256" spans="1:22">
      <c r="A4256" t="s">
        <v>196</v>
      </c>
      <c r="B4256">
        <v>84</v>
      </c>
      <c r="C4256" t="s">
        <v>1762</v>
      </c>
      <c r="D4256">
        <v>100</v>
      </c>
      <c r="E4256" t="s">
        <v>197</v>
      </c>
      <c r="F4256">
        <v>1105</v>
      </c>
      <c r="G4256" t="s">
        <v>924</v>
      </c>
      <c r="H4256">
        <v>2105</v>
      </c>
      <c r="I4256" t="s">
        <v>46</v>
      </c>
      <c r="J4256">
        <v>3201</v>
      </c>
      <c r="K4256" t="s">
        <v>1763</v>
      </c>
      <c r="L4256">
        <v>0</v>
      </c>
      <c r="N4256" t="s">
        <v>1297</v>
      </c>
      <c r="O4256">
        <v>0</v>
      </c>
      <c r="P4256">
        <v>9823</v>
      </c>
      <c r="Q4256" t="s">
        <v>600</v>
      </c>
      <c r="R4256" t="s">
        <v>201</v>
      </c>
      <c r="S4256">
        <v>1</v>
      </c>
      <c r="T4256">
        <v>1</v>
      </c>
      <c r="U4256">
        <v>184800</v>
      </c>
      <c r="V4256">
        <v>184800</v>
      </c>
    </row>
    <row r="4257" spans="1:22">
      <c r="A4257" t="s">
        <v>196</v>
      </c>
      <c r="B4257">
        <v>84</v>
      </c>
      <c r="C4257" t="s">
        <v>1762</v>
      </c>
      <c r="D4257">
        <v>100</v>
      </c>
      <c r="E4257" t="s">
        <v>197</v>
      </c>
      <c r="F4257">
        <v>1105</v>
      </c>
      <c r="G4257" t="s">
        <v>924</v>
      </c>
      <c r="H4257">
        <v>2105</v>
      </c>
      <c r="I4257" t="s">
        <v>46</v>
      </c>
      <c r="J4257">
        <v>3201</v>
      </c>
      <c r="K4257" t="s">
        <v>1763</v>
      </c>
      <c r="L4257">
        <v>0</v>
      </c>
      <c r="N4257" t="s">
        <v>1297</v>
      </c>
      <c r="O4257">
        <v>0</v>
      </c>
      <c r="P4257">
        <v>9823</v>
      </c>
      <c r="Q4257" t="s">
        <v>600</v>
      </c>
      <c r="R4257" t="s">
        <v>201</v>
      </c>
      <c r="S4257">
        <v>1</v>
      </c>
      <c r="T4257">
        <v>1</v>
      </c>
      <c r="U4257">
        <v>164412</v>
      </c>
      <c r="V4257">
        <v>164412</v>
      </c>
    </row>
    <row r="4258" spans="1:22">
      <c r="A4258" t="s">
        <v>196</v>
      </c>
      <c r="B4258">
        <v>84</v>
      </c>
      <c r="C4258" t="s">
        <v>1762</v>
      </c>
      <c r="D4258">
        <v>100</v>
      </c>
      <c r="E4258" t="s">
        <v>197</v>
      </c>
      <c r="F4258">
        <v>1105</v>
      </c>
      <c r="G4258" t="s">
        <v>924</v>
      </c>
      <c r="H4258">
        <v>2105</v>
      </c>
      <c r="I4258" t="s">
        <v>46</v>
      </c>
      <c r="J4258">
        <v>3201</v>
      </c>
      <c r="K4258" t="s">
        <v>1763</v>
      </c>
      <c r="L4258">
        <v>0</v>
      </c>
      <c r="N4258" t="s">
        <v>1297</v>
      </c>
      <c r="O4258">
        <v>9</v>
      </c>
      <c r="P4258">
        <v>9663</v>
      </c>
      <c r="Q4258" t="s">
        <v>846</v>
      </c>
      <c r="R4258" t="s">
        <v>201</v>
      </c>
      <c r="S4258">
        <v>1</v>
      </c>
      <c r="T4258">
        <v>1</v>
      </c>
      <c r="U4258">
        <v>196740</v>
      </c>
      <c r="V4258">
        <v>196740</v>
      </c>
    </row>
    <row r="4259" spans="1:22">
      <c r="A4259" t="s">
        <v>196</v>
      </c>
      <c r="B4259">
        <v>84</v>
      </c>
      <c r="C4259" t="s">
        <v>1762</v>
      </c>
      <c r="D4259">
        <v>100</v>
      </c>
      <c r="E4259" t="s">
        <v>197</v>
      </c>
      <c r="F4259">
        <v>1105</v>
      </c>
      <c r="G4259" t="s">
        <v>924</v>
      </c>
      <c r="H4259">
        <v>2105</v>
      </c>
      <c r="I4259" t="s">
        <v>46</v>
      </c>
      <c r="J4259">
        <v>3201</v>
      </c>
      <c r="K4259" t="s">
        <v>1763</v>
      </c>
      <c r="L4259">
        <v>0</v>
      </c>
      <c r="N4259" t="s">
        <v>251</v>
      </c>
      <c r="O4259">
        <v>10</v>
      </c>
      <c r="P4259">
        <v>802</v>
      </c>
      <c r="Q4259" t="s">
        <v>252</v>
      </c>
      <c r="R4259" t="s">
        <v>201</v>
      </c>
      <c r="S4259">
        <v>1</v>
      </c>
      <c r="T4259">
        <v>1</v>
      </c>
      <c r="U4259">
        <v>89112</v>
      </c>
      <c r="V4259">
        <v>89112</v>
      </c>
    </row>
    <row r="4260" spans="1:22">
      <c r="A4260" t="s">
        <v>196</v>
      </c>
      <c r="B4260">
        <v>84</v>
      </c>
      <c r="C4260" t="s">
        <v>1762</v>
      </c>
      <c r="D4260">
        <v>100</v>
      </c>
      <c r="E4260" t="s">
        <v>197</v>
      </c>
      <c r="F4260">
        <v>1105</v>
      </c>
      <c r="G4260" t="s">
        <v>924</v>
      </c>
      <c r="H4260">
        <v>2105</v>
      </c>
      <c r="I4260" t="s">
        <v>46</v>
      </c>
      <c r="J4260">
        <v>3201</v>
      </c>
      <c r="K4260" t="s">
        <v>1763</v>
      </c>
      <c r="L4260">
        <v>0</v>
      </c>
      <c r="N4260" t="s">
        <v>199</v>
      </c>
      <c r="O4260">
        <v>0</v>
      </c>
      <c r="P4260">
        <v>15</v>
      </c>
      <c r="Q4260" t="s">
        <v>264</v>
      </c>
      <c r="R4260" t="s">
        <v>201</v>
      </c>
      <c r="S4260">
        <v>0</v>
      </c>
      <c r="T4260">
        <v>0</v>
      </c>
      <c r="U4260">
        <v>15594</v>
      </c>
      <c r="V4260">
        <v>15594</v>
      </c>
    </row>
    <row r="4261" spans="1:22">
      <c r="A4261" t="s">
        <v>196</v>
      </c>
      <c r="B4261">
        <v>84</v>
      </c>
      <c r="C4261" t="s">
        <v>1762</v>
      </c>
      <c r="D4261">
        <v>100</v>
      </c>
      <c r="E4261" t="s">
        <v>197</v>
      </c>
      <c r="F4261">
        <v>1105</v>
      </c>
      <c r="G4261" t="s">
        <v>924</v>
      </c>
      <c r="H4261">
        <v>2105</v>
      </c>
      <c r="I4261" t="s">
        <v>46</v>
      </c>
      <c r="J4261">
        <v>3204</v>
      </c>
      <c r="K4261" t="s">
        <v>1100</v>
      </c>
      <c r="L4261">
        <v>0</v>
      </c>
      <c r="N4261" t="s">
        <v>257</v>
      </c>
      <c r="O4261">
        <v>9</v>
      </c>
      <c r="P4261">
        <v>705</v>
      </c>
      <c r="Q4261" t="s">
        <v>258</v>
      </c>
      <c r="R4261" t="s">
        <v>201</v>
      </c>
      <c r="S4261">
        <v>1</v>
      </c>
      <c r="T4261">
        <v>1</v>
      </c>
      <c r="U4261">
        <v>136308</v>
      </c>
      <c r="V4261">
        <v>136308</v>
      </c>
    </row>
    <row r="4262" spans="1:22">
      <c r="A4262" t="s">
        <v>196</v>
      </c>
      <c r="B4262">
        <v>84</v>
      </c>
      <c r="C4262" t="s">
        <v>1762</v>
      </c>
      <c r="D4262">
        <v>100</v>
      </c>
      <c r="E4262" t="s">
        <v>197</v>
      </c>
      <c r="F4262">
        <v>1105</v>
      </c>
      <c r="G4262" t="s">
        <v>924</v>
      </c>
      <c r="H4262">
        <v>2105</v>
      </c>
      <c r="I4262" t="s">
        <v>46</v>
      </c>
      <c r="J4262">
        <v>3205</v>
      </c>
      <c r="K4262" t="s">
        <v>1765</v>
      </c>
      <c r="L4262">
        <v>0</v>
      </c>
      <c r="N4262" t="s">
        <v>255</v>
      </c>
      <c r="O4262">
        <v>1</v>
      </c>
      <c r="P4262">
        <v>6145</v>
      </c>
      <c r="Q4262" t="s">
        <v>1766</v>
      </c>
      <c r="R4262" t="s">
        <v>201</v>
      </c>
      <c r="S4262">
        <v>1</v>
      </c>
      <c r="T4262">
        <v>1</v>
      </c>
      <c r="U4262">
        <v>143400</v>
      </c>
      <c r="V4262">
        <v>143400</v>
      </c>
    </row>
    <row r="4263" spans="1:22">
      <c r="A4263" t="s">
        <v>196</v>
      </c>
      <c r="B4263">
        <v>84</v>
      </c>
      <c r="C4263" t="s">
        <v>1762</v>
      </c>
      <c r="D4263">
        <v>100</v>
      </c>
      <c r="E4263" t="s">
        <v>197</v>
      </c>
      <c r="F4263">
        <v>1105</v>
      </c>
      <c r="G4263" t="s">
        <v>924</v>
      </c>
      <c r="H4263">
        <v>2105</v>
      </c>
      <c r="I4263" t="s">
        <v>46</v>
      </c>
      <c r="J4263">
        <v>3205</v>
      </c>
      <c r="K4263" t="s">
        <v>1765</v>
      </c>
      <c r="L4263">
        <v>0</v>
      </c>
      <c r="N4263" t="s">
        <v>356</v>
      </c>
      <c r="O4263">
        <v>4</v>
      </c>
      <c r="P4263">
        <v>5613</v>
      </c>
      <c r="Q4263" t="s">
        <v>1767</v>
      </c>
      <c r="R4263" t="s">
        <v>201</v>
      </c>
      <c r="S4263">
        <v>1</v>
      </c>
      <c r="T4263">
        <v>1</v>
      </c>
      <c r="U4263">
        <v>129636</v>
      </c>
      <c r="V4263">
        <v>129636</v>
      </c>
    </row>
    <row r="4264" spans="1:22">
      <c r="A4264" t="s">
        <v>196</v>
      </c>
      <c r="B4264">
        <v>84</v>
      </c>
      <c r="C4264" t="s">
        <v>1762</v>
      </c>
      <c r="D4264">
        <v>100</v>
      </c>
      <c r="E4264" t="s">
        <v>197</v>
      </c>
      <c r="F4264">
        <v>1105</v>
      </c>
      <c r="G4264" t="s">
        <v>924</v>
      </c>
      <c r="H4264">
        <v>2105</v>
      </c>
      <c r="I4264" t="s">
        <v>46</v>
      </c>
      <c r="J4264">
        <v>3205</v>
      </c>
      <c r="K4264" t="s">
        <v>1765</v>
      </c>
      <c r="L4264">
        <v>0</v>
      </c>
      <c r="N4264" t="s">
        <v>341</v>
      </c>
      <c r="O4264">
        <v>1</v>
      </c>
      <c r="P4264">
        <v>708</v>
      </c>
      <c r="Q4264" t="s">
        <v>342</v>
      </c>
      <c r="R4264" t="s">
        <v>201</v>
      </c>
      <c r="S4264">
        <v>1</v>
      </c>
      <c r="T4264">
        <v>1</v>
      </c>
      <c r="U4264">
        <v>85200</v>
      </c>
      <c r="V4264">
        <v>85200</v>
      </c>
    </row>
    <row r="4265" spans="1:22">
      <c r="A4265" t="s">
        <v>196</v>
      </c>
      <c r="B4265">
        <v>84</v>
      </c>
      <c r="C4265" t="s">
        <v>1762</v>
      </c>
      <c r="D4265">
        <v>100</v>
      </c>
      <c r="E4265" t="s">
        <v>197</v>
      </c>
      <c r="F4265">
        <v>1105</v>
      </c>
      <c r="G4265" t="s">
        <v>924</v>
      </c>
      <c r="H4265">
        <v>2105</v>
      </c>
      <c r="I4265" t="s">
        <v>46</v>
      </c>
      <c r="J4265">
        <v>3205</v>
      </c>
      <c r="K4265" t="s">
        <v>1765</v>
      </c>
      <c r="L4265">
        <v>0</v>
      </c>
      <c r="N4265" t="s">
        <v>249</v>
      </c>
      <c r="O4265">
        <v>10</v>
      </c>
      <c r="P4265" t="s">
        <v>1768</v>
      </c>
      <c r="Q4265" t="s">
        <v>1769</v>
      </c>
      <c r="R4265" t="s">
        <v>201</v>
      </c>
      <c r="S4265">
        <v>1</v>
      </c>
      <c r="T4265">
        <v>1</v>
      </c>
      <c r="U4265">
        <v>89112</v>
      </c>
      <c r="V4265">
        <v>89112</v>
      </c>
    </row>
    <row r="4266" spans="1:22">
      <c r="A4266" t="s">
        <v>196</v>
      </c>
      <c r="B4266">
        <v>84</v>
      </c>
      <c r="C4266" t="s">
        <v>1762</v>
      </c>
      <c r="D4266">
        <v>100</v>
      </c>
      <c r="E4266" t="s">
        <v>197</v>
      </c>
      <c r="F4266">
        <v>1105</v>
      </c>
      <c r="G4266" t="s">
        <v>924</v>
      </c>
      <c r="H4266">
        <v>2105</v>
      </c>
      <c r="I4266" t="s">
        <v>46</v>
      </c>
      <c r="J4266">
        <v>3205</v>
      </c>
      <c r="K4266" t="s">
        <v>1765</v>
      </c>
      <c r="L4266">
        <v>0</v>
      </c>
      <c r="N4266" t="s">
        <v>1314</v>
      </c>
      <c r="O4266">
        <v>0</v>
      </c>
      <c r="P4266" t="s">
        <v>1471</v>
      </c>
      <c r="Q4266" t="s">
        <v>605</v>
      </c>
      <c r="R4266" t="s">
        <v>201</v>
      </c>
      <c r="S4266">
        <v>1</v>
      </c>
      <c r="T4266">
        <v>1</v>
      </c>
      <c r="U4266">
        <v>160680</v>
      </c>
      <c r="V4266">
        <v>160680</v>
      </c>
    </row>
    <row r="4267" spans="1:22">
      <c r="A4267" t="s">
        <v>196</v>
      </c>
      <c r="B4267">
        <v>84</v>
      </c>
      <c r="C4267" t="s">
        <v>1762</v>
      </c>
      <c r="D4267">
        <v>100</v>
      </c>
      <c r="E4267" t="s">
        <v>197</v>
      </c>
      <c r="F4267">
        <v>1105</v>
      </c>
      <c r="G4267" t="s">
        <v>924</v>
      </c>
      <c r="H4267">
        <v>2105</v>
      </c>
      <c r="I4267" t="s">
        <v>46</v>
      </c>
      <c r="J4267">
        <v>3205</v>
      </c>
      <c r="K4267" t="s">
        <v>1765</v>
      </c>
      <c r="L4267">
        <v>0</v>
      </c>
      <c r="N4267" t="s">
        <v>216</v>
      </c>
      <c r="O4267">
        <v>10</v>
      </c>
      <c r="P4267">
        <v>322</v>
      </c>
      <c r="Q4267" t="s">
        <v>1459</v>
      </c>
      <c r="R4267" t="s">
        <v>201</v>
      </c>
      <c r="S4267">
        <v>1</v>
      </c>
      <c r="T4267">
        <v>1</v>
      </c>
      <c r="U4267">
        <v>101424</v>
      </c>
      <c r="V4267">
        <v>101424</v>
      </c>
    </row>
    <row r="4268" spans="1:22">
      <c r="A4268" t="s">
        <v>196</v>
      </c>
      <c r="B4268">
        <v>84</v>
      </c>
      <c r="C4268" t="s">
        <v>1762</v>
      </c>
      <c r="D4268">
        <v>100</v>
      </c>
      <c r="E4268" t="s">
        <v>197</v>
      </c>
      <c r="F4268">
        <v>1105</v>
      </c>
      <c r="G4268" t="s">
        <v>924</v>
      </c>
      <c r="H4268">
        <v>2105</v>
      </c>
      <c r="I4268" t="s">
        <v>46</v>
      </c>
      <c r="J4268">
        <v>3205</v>
      </c>
      <c r="K4268" t="s">
        <v>1765</v>
      </c>
      <c r="L4268">
        <v>0</v>
      </c>
      <c r="N4268" t="s">
        <v>199</v>
      </c>
      <c r="O4268">
        <v>0</v>
      </c>
      <c r="P4268">
        <v>15</v>
      </c>
      <c r="Q4268" t="s">
        <v>264</v>
      </c>
      <c r="R4268" t="s">
        <v>201</v>
      </c>
      <c r="S4268">
        <v>0</v>
      </c>
      <c r="T4268">
        <v>0</v>
      </c>
      <c r="U4268">
        <v>5939</v>
      </c>
      <c r="V4268">
        <v>5939</v>
      </c>
    </row>
    <row r="4269" spans="1:22">
      <c r="A4269" t="s">
        <v>196</v>
      </c>
      <c r="B4269">
        <v>84</v>
      </c>
      <c r="C4269" t="s">
        <v>1762</v>
      </c>
      <c r="D4269">
        <v>100</v>
      </c>
      <c r="E4269" t="s">
        <v>197</v>
      </c>
      <c r="F4269">
        <v>1105</v>
      </c>
      <c r="G4269" t="s">
        <v>924</v>
      </c>
      <c r="H4269">
        <v>2105</v>
      </c>
      <c r="I4269" t="s">
        <v>46</v>
      </c>
      <c r="J4269">
        <v>3207</v>
      </c>
      <c r="K4269" t="s">
        <v>335</v>
      </c>
      <c r="L4269">
        <v>0</v>
      </c>
      <c r="N4269" t="s">
        <v>333</v>
      </c>
      <c r="O4269">
        <v>3</v>
      </c>
      <c r="P4269">
        <v>1140</v>
      </c>
      <c r="Q4269" t="s">
        <v>334</v>
      </c>
      <c r="R4269" t="s">
        <v>201</v>
      </c>
      <c r="S4269">
        <v>1</v>
      </c>
      <c r="T4269">
        <v>1</v>
      </c>
      <c r="U4269">
        <v>134184</v>
      </c>
      <c r="V4269">
        <v>134184</v>
      </c>
    </row>
    <row r="4270" spans="1:22">
      <c r="A4270" t="s">
        <v>196</v>
      </c>
      <c r="B4270">
        <v>84</v>
      </c>
      <c r="C4270" t="s">
        <v>1762</v>
      </c>
      <c r="D4270">
        <v>100</v>
      </c>
      <c r="E4270" t="s">
        <v>197</v>
      </c>
      <c r="F4270">
        <v>1105</v>
      </c>
      <c r="G4270" t="s">
        <v>924</v>
      </c>
      <c r="H4270">
        <v>2105</v>
      </c>
      <c r="I4270" t="s">
        <v>46</v>
      </c>
      <c r="J4270">
        <v>3207</v>
      </c>
      <c r="K4270" t="s">
        <v>335</v>
      </c>
      <c r="L4270">
        <v>0</v>
      </c>
      <c r="N4270" t="s">
        <v>372</v>
      </c>
      <c r="O4270">
        <v>1</v>
      </c>
      <c r="P4270">
        <v>689</v>
      </c>
      <c r="Q4270" t="s">
        <v>685</v>
      </c>
      <c r="R4270" t="s">
        <v>201</v>
      </c>
      <c r="S4270">
        <v>1</v>
      </c>
      <c r="T4270">
        <v>1</v>
      </c>
      <c r="U4270">
        <v>130668</v>
      </c>
      <c r="V4270">
        <v>130668</v>
      </c>
    </row>
    <row r="4271" spans="1:22">
      <c r="A4271" t="s">
        <v>196</v>
      </c>
      <c r="B4271">
        <v>84</v>
      </c>
      <c r="C4271" t="s">
        <v>1762</v>
      </c>
      <c r="D4271">
        <v>100</v>
      </c>
      <c r="E4271" t="s">
        <v>197</v>
      </c>
      <c r="F4271">
        <v>1105</v>
      </c>
      <c r="G4271" t="s">
        <v>924</v>
      </c>
      <c r="H4271">
        <v>2105</v>
      </c>
      <c r="I4271" t="s">
        <v>46</v>
      </c>
      <c r="J4271">
        <v>3207</v>
      </c>
      <c r="K4271" t="s">
        <v>335</v>
      </c>
      <c r="L4271">
        <v>0</v>
      </c>
      <c r="N4271" t="s">
        <v>386</v>
      </c>
      <c r="O4271">
        <v>4</v>
      </c>
      <c r="P4271">
        <v>613</v>
      </c>
      <c r="Q4271" t="s">
        <v>1770</v>
      </c>
      <c r="R4271" t="s">
        <v>201</v>
      </c>
      <c r="S4271">
        <v>1</v>
      </c>
      <c r="T4271">
        <v>1</v>
      </c>
      <c r="U4271">
        <v>153228</v>
      </c>
      <c r="V4271">
        <v>153228</v>
      </c>
    </row>
    <row r="4272" spans="1:22">
      <c r="A4272" t="s">
        <v>196</v>
      </c>
      <c r="B4272">
        <v>84</v>
      </c>
      <c r="C4272" t="s">
        <v>1762</v>
      </c>
      <c r="D4272">
        <v>100</v>
      </c>
      <c r="E4272" t="s">
        <v>197</v>
      </c>
      <c r="F4272">
        <v>1105</v>
      </c>
      <c r="G4272" t="s">
        <v>924</v>
      </c>
      <c r="H4272">
        <v>2105</v>
      </c>
      <c r="I4272" t="s">
        <v>46</v>
      </c>
      <c r="J4272">
        <v>3207</v>
      </c>
      <c r="K4272" t="s">
        <v>335</v>
      </c>
      <c r="L4272">
        <v>0</v>
      </c>
      <c r="N4272" t="s">
        <v>351</v>
      </c>
      <c r="O4272">
        <v>1</v>
      </c>
      <c r="P4272" t="s">
        <v>352</v>
      </c>
      <c r="Q4272" t="s">
        <v>353</v>
      </c>
      <c r="R4272" t="s">
        <v>201</v>
      </c>
      <c r="S4272">
        <v>1</v>
      </c>
      <c r="T4272">
        <v>1</v>
      </c>
      <c r="U4272">
        <v>108576</v>
      </c>
      <c r="V4272">
        <v>108576</v>
      </c>
    </row>
    <row r="4273" spans="1:22">
      <c r="A4273" t="s">
        <v>196</v>
      </c>
      <c r="B4273">
        <v>84</v>
      </c>
      <c r="C4273" t="s">
        <v>1762</v>
      </c>
      <c r="D4273">
        <v>100</v>
      </c>
      <c r="E4273" t="s">
        <v>197</v>
      </c>
      <c r="F4273">
        <v>1105</v>
      </c>
      <c r="G4273" t="s">
        <v>924</v>
      </c>
      <c r="H4273">
        <v>2105</v>
      </c>
      <c r="I4273" t="s">
        <v>46</v>
      </c>
      <c r="J4273">
        <v>3207</v>
      </c>
      <c r="K4273" t="s">
        <v>335</v>
      </c>
      <c r="L4273">
        <v>0</v>
      </c>
      <c r="N4273" t="s">
        <v>341</v>
      </c>
      <c r="O4273">
        <v>1</v>
      </c>
      <c r="P4273">
        <v>308</v>
      </c>
      <c r="Q4273" t="s">
        <v>355</v>
      </c>
      <c r="R4273" t="s">
        <v>201</v>
      </c>
      <c r="S4273">
        <v>1</v>
      </c>
      <c r="T4273">
        <v>1</v>
      </c>
      <c r="U4273">
        <v>119100</v>
      </c>
      <c r="V4273">
        <v>119100</v>
      </c>
    </row>
    <row r="4274" spans="1:22">
      <c r="A4274" t="s">
        <v>196</v>
      </c>
      <c r="B4274">
        <v>84</v>
      </c>
      <c r="C4274" t="s">
        <v>1762</v>
      </c>
      <c r="D4274">
        <v>100</v>
      </c>
      <c r="E4274" t="s">
        <v>197</v>
      </c>
      <c r="F4274">
        <v>1105</v>
      </c>
      <c r="G4274" t="s">
        <v>924</v>
      </c>
      <c r="H4274">
        <v>2105</v>
      </c>
      <c r="I4274" t="s">
        <v>46</v>
      </c>
      <c r="J4274">
        <v>3207</v>
      </c>
      <c r="K4274" t="s">
        <v>335</v>
      </c>
      <c r="L4274">
        <v>0</v>
      </c>
      <c r="N4274" t="s">
        <v>199</v>
      </c>
      <c r="O4274">
        <v>0</v>
      </c>
      <c r="P4274">
        <v>15</v>
      </c>
      <c r="Q4274" t="s">
        <v>264</v>
      </c>
      <c r="R4274" t="s">
        <v>201</v>
      </c>
      <c r="S4274">
        <v>0</v>
      </c>
      <c r="T4274">
        <v>0</v>
      </c>
      <c r="U4274">
        <v>4400</v>
      </c>
      <c r="V4274">
        <v>4400</v>
      </c>
    </row>
    <row r="4275" spans="1:22">
      <c r="A4275" t="s">
        <v>196</v>
      </c>
      <c r="B4275">
        <v>84</v>
      </c>
      <c r="C4275" t="s">
        <v>1762</v>
      </c>
      <c r="D4275">
        <v>100</v>
      </c>
      <c r="E4275" t="s">
        <v>197</v>
      </c>
      <c r="F4275">
        <v>1110</v>
      </c>
      <c r="G4275" t="s">
        <v>1771</v>
      </c>
      <c r="H4275">
        <v>2110</v>
      </c>
      <c r="I4275" t="s">
        <v>122</v>
      </c>
      <c r="J4275">
        <v>3110</v>
      </c>
      <c r="K4275" t="s">
        <v>122</v>
      </c>
      <c r="L4275">
        <v>4110</v>
      </c>
      <c r="M4275" t="s">
        <v>1772</v>
      </c>
      <c r="N4275" t="s">
        <v>297</v>
      </c>
      <c r="O4275">
        <v>20</v>
      </c>
      <c r="P4275">
        <v>1441</v>
      </c>
      <c r="Q4275" t="s">
        <v>1122</v>
      </c>
      <c r="R4275" t="s">
        <v>201</v>
      </c>
      <c r="S4275">
        <v>1</v>
      </c>
      <c r="T4275">
        <v>1</v>
      </c>
      <c r="U4275">
        <v>121320</v>
      </c>
      <c r="V4275">
        <v>121320</v>
      </c>
    </row>
    <row r="4276" spans="1:22">
      <c r="A4276" t="s">
        <v>196</v>
      </c>
      <c r="B4276">
        <v>84</v>
      </c>
      <c r="C4276" t="s">
        <v>1762</v>
      </c>
      <c r="D4276">
        <v>100</v>
      </c>
      <c r="E4276" t="s">
        <v>197</v>
      </c>
      <c r="F4276">
        <v>1110</v>
      </c>
      <c r="G4276" t="s">
        <v>1771</v>
      </c>
      <c r="H4276">
        <v>2110</v>
      </c>
      <c r="I4276" t="s">
        <v>122</v>
      </c>
      <c r="J4276">
        <v>3110</v>
      </c>
      <c r="K4276" t="s">
        <v>122</v>
      </c>
      <c r="L4276">
        <v>4110</v>
      </c>
      <c r="M4276" t="s">
        <v>1772</v>
      </c>
      <c r="N4276" t="s">
        <v>297</v>
      </c>
      <c r="O4276">
        <v>20</v>
      </c>
      <c r="P4276">
        <v>1441</v>
      </c>
      <c r="Q4276" t="s">
        <v>1122</v>
      </c>
      <c r="R4276" t="s">
        <v>201</v>
      </c>
      <c r="S4276">
        <v>2</v>
      </c>
      <c r="T4276">
        <v>1</v>
      </c>
      <c r="U4276">
        <v>106272</v>
      </c>
      <c r="V4276">
        <v>212544</v>
      </c>
    </row>
    <row r="4277" spans="1:22">
      <c r="A4277" t="s">
        <v>196</v>
      </c>
      <c r="B4277">
        <v>84</v>
      </c>
      <c r="C4277" t="s">
        <v>1762</v>
      </c>
      <c r="D4277">
        <v>100</v>
      </c>
      <c r="E4277" t="s">
        <v>197</v>
      </c>
      <c r="F4277">
        <v>1110</v>
      </c>
      <c r="G4277" t="s">
        <v>1771</v>
      </c>
      <c r="H4277">
        <v>2110</v>
      </c>
      <c r="I4277" t="s">
        <v>122</v>
      </c>
      <c r="J4277">
        <v>3110</v>
      </c>
      <c r="K4277" t="s">
        <v>122</v>
      </c>
      <c r="L4277">
        <v>4110</v>
      </c>
      <c r="M4277" t="s">
        <v>1772</v>
      </c>
      <c r="N4277" t="s">
        <v>688</v>
      </c>
      <c r="O4277">
        <v>4</v>
      </c>
      <c r="P4277">
        <v>1404</v>
      </c>
      <c r="Q4277" t="s">
        <v>1773</v>
      </c>
      <c r="R4277" t="s">
        <v>201</v>
      </c>
      <c r="S4277">
        <v>1</v>
      </c>
      <c r="T4277">
        <v>1</v>
      </c>
      <c r="U4277">
        <v>118836</v>
      </c>
      <c r="V4277">
        <v>118836</v>
      </c>
    </row>
    <row r="4278" spans="1:22">
      <c r="A4278" t="s">
        <v>196</v>
      </c>
      <c r="B4278">
        <v>84</v>
      </c>
      <c r="C4278" t="s">
        <v>1762</v>
      </c>
      <c r="D4278">
        <v>100</v>
      </c>
      <c r="E4278" t="s">
        <v>197</v>
      </c>
      <c r="F4278">
        <v>1110</v>
      </c>
      <c r="G4278" t="s">
        <v>1771</v>
      </c>
      <c r="H4278">
        <v>2110</v>
      </c>
      <c r="I4278" t="s">
        <v>122</v>
      </c>
      <c r="J4278">
        <v>3110</v>
      </c>
      <c r="K4278" t="s">
        <v>122</v>
      </c>
      <c r="L4278">
        <v>4110</v>
      </c>
      <c r="M4278" t="s">
        <v>1772</v>
      </c>
      <c r="N4278" t="s">
        <v>249</v>
      </c>
      <c r="O4278">
        <v>10</v>
      </c>
      <c r="P4278">
        <v>311</v>
      </c>
      <c r="Q4278" t="s">
        <v>661</v>
      </c>
      <c r="R4278" t="s">
        <v>201</v>
      </c>
      <c r="S4278">
        <v>1</v>
      </c>
      <c r="T4278">
        <v>1</v>
      </c>
      <c r="U4278">
        <v>150072</v>
      </c>
      <c r="V4278">
        <v>150072</v>
      </c>
    </row>
    <row r="4279" spans="1:22">
      <c r="A4279" t="s">
        <v>196</v>
      </c>
      <c r="B4279">
        <v>84</v>
      </c>
      <c r="C4279" t="s">
        <v>1762</v>
      </c>
      <c r="D4279">
        <v>100</v>
      </c>
      <c r="E4279" t="s">
        <v>197</v>
      </c>
      <c r="F4279">
        <v>1110</v>
      </c>
      <c r="G4279" t="s">
        <v>1771</v>
      </c>
      <c r="H4279">
        <v>2110</v>
      </c>
      <c r="I4279" t="s">
        <v>122</v>
      </c>
      <c r="J4279">
        <v>3110</v>
      </c>
      <c r="K4279" t="s">
        <v>122</v>
      </c>
      <c r="L4279">
        <v>4110</v>
      </c>
      <c r="M4279" t="s">
        <v>1772</v>
      </c>
      <c r="N4279" t="s">
        <v>199</v>
      </c>
      <c r="O4279">
        <v>0</v>
      </c>
      <c r="P4279">
        <v>15</v>
      </c>
      <c r="Q4279" t="s">
        <v>264</v>
      </c>
      <c r="R4279" t="s">
        <v>201</v>
      </c>
      <c r="S4279">
        <v>0</v>
      </c>
      <c r="T4279">
        <v>0</v>
      </c>
      <c r="U4279">
        <v>7446</v>
      </c>
      <c r="V4279">
        <v>7446</v>
      </c>
    </row>
    <row r="4280" spans="1:22">
      <c r="A4280" t="s">
        <v>196</v>
      </c>
      <c r="B4280">
        <v>84</v>
      </c>
      <c r="C4280" t="s">
        <v>1762</v>
      </c>
      <c r="D4280">
        <v>100</v>
      </c>
      <c r="E4280" t="s">
        <v>197</v>
      </c>
      <c r="F4280">
        <v>1110</v>
      </c>
      <c r="G4280" t="s">
        <v>1771</v>
      </c>
      <c r="H4280">
        <v>2110</v>
      </c>
      <c r="I4280" t="s">
        <v>122</v>
      </c>
      <c r="J4280">
        <v>3110</v>
      </c>
      <c r="K4280" t="s">
        <v>122</v>
      </c>
      <c r="L4280">
        <v>4111</v>
      </c>
      <c r="M4280" t="s">
        <v>1774</v>
      </c>
      <c r="N4280" t="s">
        <v>1294</v>
      </c>
      <c r="O4280">
        <v>0</v>
      </c>
      <c r="P4280">
        <v>9681</v>
      </c>
      <c r="Q4280" t="s">
        <v>338</v>
      </c>
      <c r="R4280" t="s">
        <v>201</v>
      </c>
      <c r="S4280">
        <v>1</v>
      </c>
      <c r="T4280">
        <v>1</v>
      </c>
      <c r="U4280">
        <v>172920</v>
      </c>
      <c r="V4280">
        <v>172920</v>
      </c>
    </row>
    <row r="4281" spans="1:22">
      <c r="A4281" t="s">
        <v>196</v>
      </c>
      <c r="B4281">
        <v>84</v>
      </c>
      <c r="C4281" t="s">
        <v>1762</v>
      </c>
      <c r="D4281">
        <v>100</v>
      </c>
      <c r="E4281" t="s">
        <v>197</v>
      </c>
      <c r="F4281">
        <v>1110</v>
      </c>
      <c r="G4281" t="s">
        <v>1771</v>
      </c>
      <c r="H4281">
        <v>2110</v>
      </c>
      <c r="I4281" t="s">
        <v>122</v>
      </c>
      <c r="J4281">
        <v>3110</v>
      </c>
      <c r="K4281" t="s">
        <v>122</v>
      </c>
      <c r="L4281">
        <v>4111</v>
      </c>
      <c r="M4281" t="s">
        <v>1774</v>
      </c>
      <c r="N4281" t="s">
        <v>199</v>
      </c>
      <c r="O4281">
        <v>0</v>
      </c>
      <c r="P4281">
        <v>15</v>
      </c>
      <c r="Q4281" t="s">
        <v>264</v>
      </c>
      <c r="R4281" t="s">
        <v>201</v>
      </c>
      <c r="S4281">
        <v>0</v>
      </c>
      <c r="T4281">
        <v>0</v>
      </c>
      <c r="U4281">
        <v>4860</v>
      </c>
      <c r="V4281">
        <v>4860</v>
      </c>
    </row>
    <row r="4282" spans="1:22">
      <c r="A4282" t="s">
        <v>196</v>
      </c>
      <c r="B4282">
        <v>84</v>
      </c>
      <c r="C4282" t="s">
        <v>1762</v>
      </c>
      <c r="D4282">
        <v>100</v>
      </c>
      <c r="E4282" t="s">
        <v>197</v>
      </c>
      <c r="F4282">
        <v>1110</v>
      </c>
      <c r="G4282" t="s">
        <v>1771</v>
      </c>
      <c r="H4282">
        <v>2110</v>
      </c>
      <c r="I4282" t="s">
        <v>122</v>
      </c>
      <c r="J4282">
        <v>3110</v>
      </c>
      <c r="K4282" t="s">
        <v>122</v>
      </c>
      <c r="L4282">
        <v>4112</v>
      </c>
      <c r="M4282" t="s">
        <v>1775</v>
      </c>
      <c r="N4282" t="s">
        <v>1776</v>
      </c>
      <c r="O4282">
        <v>9</v>
      </c>
      <c r="P4282">
        <v>1434</v>
      </c>
      <c r="Q4282" t="s">
        <v>1777</v>
      </c>
      <c r="R4282" t="s">
        <v>201</v>
      </c>
      <c r="S4282">
        <v>1</v>
      </c>
      <c r="T4282">
        <v>1</v>
      </c>
      <c r="U4282">
        <v>122940</v>
      </c>
      <c r="V4282">
        <v>122940</v>
      </c>
    </row>
    <row r="4283" spans="1:22">
      <c r="A4283" t="s">
        <v>196</v>
      </c>
      <c r="B4283">
        <v>84</v>
      </c>
      <c r="C4283" t="s">
        <v>1762</v>
      </c>
      <c r="D4283">
        <v>100</v>
      </c>
      <c r="E4283" t="s">
        <v>197</v>
      </c>
      <c r="F4283">
        <v>1110</v>
      </c>
      <c r="G4283" t="s">
        <v>1771</v>
      </c>
      <c r="H4283">
        <v>2110</v>
      </c>
      <c r="I4283" t="s">
        <v>122</v>
      </c>
      <c r="J4283">
        <v>3110</v>
      </c>
      <c r="K4283" t="s">
        <v>122</v>
      </c>
      <c r="L4283">
        <v>4113</v>
      </c>
      <c r="M4283" t="s">
        <v>1778</v>
      </c>
      <c r="N4283" t="s">
        <v>249</v>
      </c>
      <c r="O4283">
        <v>10</v>
      </c>
      <c r="P4283">
        <v>3092</v>
      </c>
      <c r="Q4283" t="s">
        <v>750</v>
      </c>
      <c r="R4283" t="s">
        <v>201</v>
      </c>
      <c r="S4283">
        <v>1</v>
      </c>
      <c r="T4283">
        <v>1</v>
      </c>
      <c r="U4283">
        <v>130524</v>
      </c>
      <c r="V4283">
        <v>130524</v>
      </c>
    </row>
    <row r="4284" spans="1:22">
      <c r="A4284" t="s">
        <v>196</v>
      </c>
      <c r="B4284">
        <v>84</v>
      </c>
      <c r="C4284" t="s">
        <v>1762</v>
      </c>
      <c r="D4284">
        <v>100</v>
      </c>
      <c r="E4284" t="s">
        <v>197</v>
      </c>
      <c r="F4284">
        <v>1110</v>
      </c>
      <c r="G4284" t="s">
        <v>1771</v>
      </c>
      <c r="H4284">
        <v>2110</v>
      </c>
      <c r="I4284" t="s">
        <v>122</v>
      </c>
      <c r="J4284">
        <v>3110</v>
      </c>
      <c r="K4284" t="s">
        <v>122</v>
      </c>
      <c r="L4284">
        <v>4113</v>
      </c>
      <c r="M4284" t="s">
        <v>1778</v>
      </c>
      <c r="N4284" t="s">
        <v>372</v>
      </c>
      <c r="O4284">
        <v>4</v>
      </c>
      <c r="P4284">
        <v>1912</v>
      </c>
      <c r="Q4284" t="s">
        <v>608</v>
      </c>
      <c r="R4284" t="s">
        <v>201</v>
      </c>
      <c r="S4284">
        <v>1</v>
      </c>
      <c r="T4284">
        <v>1</v>
      </c>
      <c r="U4284">
        <v>75336</v>
      </c>
      <c r="V4284">
        <v>75336</v>
      </c>
    </row>
    <row r="4285" spans="1:22">
      <c r="A4285" t="s">
        <v>196</v>
      </c>
      <c r="B4285">
        <v>84</v>
      </c>
      <c r="C4285" t="s">
        <v>1762</v>
      </c>
      <c r="D4285">
        <v>100</v>
      </c>
      <c r="E4285" t="s">
        <v>197</v>
      </c>
      <c r="F4285">
        <v>1110</v>
      </c>
      <c r="G4285" t="s">
        <v>1771</v>
      </c>
      <c r="H4285">
        <v>2110</v>
      </c>
      <c r="I4285" t="s">
        <v>122</v>
      </c>
      <c r="J4285">
        <v>3110</v>
      </c>
      <c r="K4285" t="s">
        <v>122</v>
      </c>
      <c r="L4285">
        <v>4113</v>
      </c>
      <c r="M4285" t="s">
        <v>1778</v>
      </c>
      <c r="N4285" t="s">
        <v>199</v>
      </c>
      <c r="O4285">
        <v>0</v>
      </c>
      <c r="P4285">
        <v>15</v>
      </c>
      <c r="Q4285" t="s">
        <v>264</v>
      </c>
      <c r="R4285" t="s">
        <v>201</v>
      </c>
      <c r="S4285">
        <v>0</v>
      </c>
      <c r="T4285">
        <v>0</v>
      </c>
      <c r="U4285">
        <v>257</v>
      </c>
      <c r="V4285">
        <v>257</v>
      </c>
    </row>
    <row r="4286" spans="1:22">
      <c r="A4286" t="s">
        <v>196</v>
      </c>
      <c r="B4286">
        <v>84</v>
      </c>
      <c r="C4286" t="s">
        <v>1762</v>
      </c>
      <c r="D4286">
        <v>100</v>
      </c>
      <c r="E4286" t="s">
        <v>197</v>
      </c>
      <c r="F4286">
        <v>1115</v>
      </c>
      <c r="G4286" t="s">
        <v>77</v>
      </c>
      <c r="H4286">
        <v>2115</v>
      </c>
      <c r="I4286" t="s">
        <v>77</v>
      </c>
      <c r="J4286">
        <v>3209</v>
      </c>
      <c r="K4286" t="s">
        <v>1779</v>
      </c>
      <c r="L4286">
        <v>4209</v>
      </c>
      <c r="M4286" t="s">
        <v>1780</v>
      </c>
      <c r="N4286" t="s">
        <v>356</v>
      </c>
      <c r="O4286">
        <v>4</v>
      </c>
      <c r="P4286">
        <v>5613</v>
      </c>
      <c r="Q4286" t="s">
        <v>1767</v>
      </c>
      <c r="R4286" t="s">
        <v>201</v>
      </c>
      <c r="S4286">
        <v>1</v>
      </c>
      <c r="T4286">
        <v>1</v>
      </c>
      <c r="U4286">
        <v>97488</v>
      </c>
      <c r="V4286">
        <v>97488</v>
      </c>
    </row>
    <row r="4287" spans="1:22">
      <c r="A4287" t="s">
        <v>196</v>
      </c>
      <c r="B4287">
        <v>84</v>
      </c>
      <c r="C4287" t="s">
        <v>1762</v>
      </c>
      <c r="D4287">
        <v>100</v>
      </c>
      <c r="E4287" t="s">
        <v>197</v>
      </c>
      <c r="F4287">
        <v>1115</v>
      </c>
      <c r="G4287" t="s">
        <v>77</v>
      </c>
      <c r="H4287">
        <v>2115</v>
      </c>
      <c r="I4287" t="s">
        <v>77</v>
      </c>
      <c r="J4287">
        <v>3209</v>
      </c>
      <c r="K4287" t="s">
        <v>1779</v>
      </c>
      <c r="L4287">
        <v>4209</v>
      </c>
      <c r="M4287" t="s">
        <v>1780</v>
      </c>
      <c r="N4287" t="s">
        <v>372</v>
      </c>
      <c r="O4287">
        <v>4</v>
      </c>
      <c r="P4287">
        <v>1912</v>
      </c>
      <c r="Q4287" t="s">
        <v>608</v>
      </c>
      <c r="R4287" t="s">
        <v>201</v>
      </c>
      <c r="S4287">
        <v>1</v>
      </c>
      <c r="T4287">
        <v>1</v>
      </c>
      <c r="U4287">
        <v>124848</v>
      </c>
      <c r="V4287">
        <v>124848</v>
      </c>
    </row>
    <row r="4288" spans="1:22">
      <c r="A4288" t="s">
        <v>196</v>
      </c>
      <c r="B4288">
        <v>84</v>
      </c>
      <c r="C4288" t="s">
        <v>1762</v>
      </c>
      <c r="D4288">
        <v>100</v>
      </c>
      <c r="E4288" t="s">
        <v>197</v>
      </c>
      <c r="F4288">
        <v>1115</v>
      </c>
      <c r="G4288" t="s">
        <v>77</v>
      </c>
      <c r="H4288">
        <v>2115</v>
      </c>
      <c r="I4288" t="s">
        <v>77</v>
      </c>
      <c r="J4288">
        <v>3209</v>
      </c>
      <c r="K4288" t="s">
        <v>1779</v>
      </c>
      <c r="L4288">
        <v>4209</v>
      </c>
      <c r="M4288" t="s">
        <v>1780</v>
      </c>
      <c r="N4288" t="s">
        <v>360</v>
      </c>
      <c r="O4288">
        <v>1</v>
      </c>
      <c r="P4288">
        <v>109</v>
      </c>
      <c r="Q4288" t="s">
        <v>361</v>
      </c>
      <c r="R4288" t="s">
        <v>201</v>
      </c>
      <c r="S4288">
        <v>1</v>
      </c>
      <c r="T4288">
        <v>1</v>
      </c>
      <c r="U4288">
        <v>98928</v>
      </c>
      <c r="V4288">
        <v>98928</v>
      </c>
    </row>
    <row r="4289" spans="1:22">
      <c r="A4289" t="s">
        <v>196</v>
      </c>
      <c r="B4289">
        <v>84</v>
      </c>
      <c r="C4289" t="s">
        <v>1762</v>
      </c>
      <c r="D4289">
        <v>100</v>
      </c>
      <c r="E4289" t="s">
        <v>197</v>
      </c>
      <c r="F4289">
        <v>1115</v>
      </c>
      <c r="G4289" t="s">
        <v>77</v>
      </c>
      <c r="H4289">
        <v>2115</v>
      </c>
      <c r="I4289" t="s">
        <v>77</v>
      </c>
      <c r="J4289">
        <v>3209</v>
      </c>
      <c r="K4289" t="s">
        <v>1779</v>
      </c>
      <c r="L4289">
        <v>4209</v>
      </c>
      <c r="M4289" t="s">
        <v>1780</v>
      </c>
      <c r="N4289" t="s">
        <v>360</v>
      </c>
      <c r="O4289">
        <v>1</v>
      </c>
      <c r="P4289">
        <v>109</v>
      </c>
      <c r="Q4289" t="s">
        <v>361</v>
      </c>
      <c r="R4289" t="s">
        <v>201</v>
      </c>
      <c r="S4289">
        <v>1</v>
      </c>
      <c r="T4289">
        <v>1</v>
      </c>
      <c r="U4289">
        <v>64488</v>
      </c>
      <c r="V4289">
        <v>64488</v>
      </c>
    </row>
    <row r="4290" spans="1:22">
      <c r="A4290" t="s">
        <v>196</v>
      </c>
      <c r="B4290">
        <v>84</v>
      </c>
      <c r="C4290" t="s">
        <v>1762</v>
      </c>
      <c r="D4290">
        <v>100</v>
      </c>
      <c r="E4290" t="s">
        <v>197</v>
      </c>
      <c r="F4290">
        <v>1115</v>
      </c>
      <c r="G4290" t="s">
        <v>77</v>
      </c>
      <c r="H4290">
        <v>2115</v>
      </c>
      <c r="I4290" t="s">
        <v>77</v>
      </c>
      <c r="J4290">
        <v>3209</v>
      </c>
      <c r="K4290" t="s">
        <v>1779</v>
      </c>
      <c r="L4290">
        <v>4209</v>
      </c>
      <c r="M4290" t="s">
        <v>1780</v>
      </c>
      <c r="N4290" t="s">
        <v>199</v>
      </c>
      <c r="O4290">
        <v>0</v>
      </c>
      <c r="P4290">
        <v>15</v>
      </c>
      <c r="Q4290" t="s">
        <v>264</v>
      </c>
      <c r="R4290" t="s">
        <v>201</v>
      </c>
      <c r="S4290">
        <v>0</v>
      </c>
      <c r="T4290">
        <v>0</v>
      </c>
      <c r="U4290">
        <v>4144</v>
      </c>
      <c r="V4290">
        <v>4144</v>
      </c>
    </row>
    <row r="4291" spans="1:22">
      <c r="A4291" t="s">
        <v>196</v>
      </c>
      <c r="B4291">
        <v>84</v>
      </c>
      <c r="C4291" t="s">
        <v>1762</v>
      </c>
      <c r="D4291">
        <v>100</v>
      </c>
      <c r="E4291" t="s">
        <v>197</v>
      </c>
      <c r="F4291">
        <v>1115</v>
      </c>
      <c r="G4291" t="s">
        <v>77</v>
      </c>
      <c r="H4291">
        <v>2115</v>
      </c>
      <c r="I4291" t="s">
        <v>77</v>
      </c>
      <c r="J4291">
        <v>3209</v>
      </c>
      <c r="K4291" t="s">
        <v>1779</v>
      </c>
      <c r="L4291">
        <v>4210</v>
      </c>
      <c r="M4291" t="s">
        <v>1781</v>
      </c>
      <c r="N4291" t="s">
        <v>333</v>
      </c>
      <c r="O4291">
        <v>4</v>
      </c>
      <c r="P4291">
        <v>5615</v>
      </c>
      <c r="Q4291" t="s">
        <v>1782</v>
      </c>
      <c r="R4291" t="s">
        <v>201</v>
      </c>
      <c r="S4291">
        <v>1</v>
      </c>
      <c r="T4291">
        <v>1</v>
      </c>
      <c r="U4291">
        <v>146448</v>
      </c>
      <c r="V4291">
        <v>146448</v>
      </c>
    </row>
    <row r="4292" spans="1:22">
      <c r="A4292" t="s">
        <v>196</v>
      </c>
      <c r="B4292">
        <v>84</v>
      </c>
      <c r="C4292" t="s">
        <v>1762</v>
      </c>
      <c r="D4292">
        <v>100</v>
      </c>
      <c r="E4292" t="s">
        <v>197</v>
      </c>
      <c r="F4292">
        <v>1115</v>
      </c>
      <c r="G4292" t="s">
        <v>77</v>
      </c>
      <c r="H4292">
        <v>2115</v>
      </c>
      <c r="I4292" t="s">
        <v>77</v>
      </c>
      <c r="J4292">
        <v>3209</v>
      </c>
      <c r="K4292" t="s">
        <v>1779</v>
      </c>
      <c r="L4292">
        <v>4210</v>
      </c>
      <c r="M4292" t="s">
        <v>1781</v>
      </c>
      <c r="N4292" t="s">
        <v>602</v>
      </c>
      <c r="O4292">
        <v>4</v>
      </c>
      <c r="P4292">
        <v>5614</v>
      </c>
      <c r="Q4292" t="s">
        <v>1783</v>
      </c>
      <c r="R4292" t="s">
        <v>201</v>
      </c>
      <c r="S4292">
        <v>2</v>
      </c>
      <c r="T4292">
        <v>1</v>
      </c>
      <c r="U4292">
        <v>141564</v>
      </c>
      <c r="V4292">
        <v>283128</v>
      </c>
    </row>
    <row r="4293" spans="1:22">
      <c r="A4293" t="s">
        <v>196</v>
      </c>
      <c r="B4293">
        <v>84</v>
      </c>
      <c r="C4293" t="s">
        <v>1762</v>
      </c>
      <c r="D4293">
        <v>100</v>
      </c>
      <c r="E4293" t="s">
        <v>197</v>
      </c>
      <c r="F4293">
        <v>1115</v>
      </c>
      <c r="G4293" t="s">
        <v>77</v>
      </c>
      <c r="H4293">
        <v>2115</v>
      </c>
      <c r="I4293" t="s">
        <v>77</v>
      </c>
      <c r="J4293">
        <v>3209</v>
      </c>
      <c r="K4293" t="s">
        <v>1779</v>
      </c>
      <c r="L4293">
        <v>4210</v>
      </c>
      <c r="M4293" t="s">
        <v>1781</v>
      </c>
      <c r="N4293" t="s">
        <v>602</v>
      </c>
      <c r="O4293">
        <v>4</v>
      </c>
      <c r="P4293">
        <v>5614</v>
      </c>
      <c r="Q4293" t="s">
        <v>1783</v>
      </c>
      <c r="R4293" t="s">
        <v>201</v>
      </c>
      <c r="S4293">
        <v>1</v>
      </c>
      <c r="T4293">
        <v>1</v>
      </c>
      <c r="U4293">
        <v>134184</v>
      </c>
      <c r="V4293">
        <v>134184</v>
      </c>
    </row>
    <row r="4294" spans="1:22">
      <c r="A4294" t="s">
        <v>196</v>
      </c>
      <c r="B4294">
        <v>84</v>
      </c>
      <c r="C4294" t="s">
        <v>1762</v>
      </c>
      <c r="D4294">
        <v>100</v>
      </c>
      <c r="E4294" t="s">
        <v>197</v>
      </c>
      <c r="F4294">
        <v>1115</v>
      </c>
      <c r="G4294" t="s">
        <v>77</v>
      </c>
      <c r="H4294">
        <v>2115</v>
      </c>
      <c r="I4294" t="s">
        <v>77</v>
      </c>
      <c r="J4294">
        <v>3209</v>
      </c>
      <c r="K4294" t="s">
        <v>1779</v>
      </c>
      <c r="L4294">
        <v>4210</v>
      </c>
      <c r="M4294" t="s">
        <v>1781</v>
      </c>
      <c r="N4294" t="s">
        <v>356</v>
      </c>
      <c r="O4294">
        <v>4</v>
      </c>
      <c r="P4294">
        <v>5613</v>
      </c>
      <c r="Q4294" t="s">
        <v>1767</v>
      </c>
      <c r="R4294" t="s">
        <v>201</v>
      </c>
      <c r="S4294">
        <v>1</v>
      </c>
      <c r="T4294">
        <v>1</v>
      </c>
      <c r="U4294">
        <v>97488</v>
      </c>
      <c r="V4294">
        <v>97488</v>
      </c>
    </row>
    <row r="4295" spans="1:22">
      <c r="A4295" t="s">
        <v>196</v>
      </c>
      <c r="B4295">
        <v>84</v>
      </c>
      <c r="C4295" t="s">
        <v>1762</v>
      </c>
      <c r="D4295">
        <v>100</v>
      </c>
      <c r="E4295" t="s">
        <v>197</v>
      </c>
      <c r="F4295">
        <v>1115</v>
      </c>
      <c r="G4295" t="s">
        <v>77</v>
      </c>
      <c r="H4295">
        <v>2115</v>
      </c>
      <c r="I4295" t="s">
        <v>77</v>
      </c>
      <c r="J4295">
        <v>3209</v>
      </c>
      <c r="K4295" t="s">
        <v>1779</v>
      </c>
      <c r="L4295">
        <v>4210</v>
      </c>
      <c r="M4295" t="s">
        <v>1781</v>
      </c>
      <c r="N4295" t="s">
        <v>199</v>
      </c>
      <c r="O4295">
        <v>0</v>
      </c>
      <c r="P4295">
        <v>15</v>
      </c>
      <c r="Q4295" t="s">
        <v>264</v>
      </c>
      <c r="R4295" t="s">
        <v>201</v>
      </c>
      <c r="S4295">
        <v>0</v>
      </c>
      <c r="T4295">
        <v>0</v>
      </c>
      <c r="U4295">
        <v>13636</v>
      </c>
      <c r="V4295">
        <v>13636</v>
      </c>
    </row>
    <row r="4296" spans="1:22">
      <c r="A4296" t="s">
        <v>196</v>
      </c>
      <c r="B4296">
        <v>84</v>
      </c>
      <c r="C4296" t="s">
        <v>1762</v>
      </c>
      <c r="D4296">
        <v>100</v>
      </c>
      <c r="E4296" t="s">
        <v>197</v>
      </c>
      <c r="F4296">
        <v>1115</v>
      </c>
      <c r="G4296" t="s">
        <v>77</v>
      </c>
      <c r="H4296">
        <v>2115</v>
      </c>
      <c r="I4296" t="s">
        <v>77</v>
      </c>
      <c r="J4296">
        <v>3215</v>
      </c>
      <c r="K4296" t="s">
        <v>1763</v>
      </c>
      <c r="L4296">
        <v>0</v>
      </c>
      <c r="N4296" t="s">
        <v>1294</v>
      </c>
      <c r="O4296">
        <v>0</v>
      </c>
      <c r="P4296">
        <v>9681</v>
      </c>
      <c r="Q4296" t="s">
        <v>338</v>
      </c>
      <c r="R4296" t="s">
        <v>201</v>
      </c>
      <c r="S4296">
        <v>1</v>
      </c>
      <c r="T4296">
        <v>1</v>
      </c>
      <c r="U4296">
        <v>184584</v>
      </c>
      <c r="V4296">
        <v>184584</v>
      </c>
    </row>
    <row r="4297" spans="1:22">
      <c r="A4297" t="s">
        <v>196</v>
      </c>
      <c r="B4297">
        <v>84</v>
      </c>
      <c r="C4297" t="s">
        <v>1762</v>
      </c>
      <c r="D4297">
        <v>100</v>
      </c>
      <c r="E4297" t="s">
        <v>197</v>
      </c>
      <c r="F4297">
        <v>1115</v>
      </c>
      <c r="G4297" t="s">
        <v>77</v>
      </c>
      <c r="H4297">
        <v>2115</v>
      </c>
      <c r="I4297" t="s">
        <v>77</v>
      </c>
      <c r="J4297">
        <v>3215</v>
      </c>
      <c r="K4297" t="s">
        <v>1763</v>
      </c>
      <c r="L4297">
        <v>0</v>
      </c>
      <c r="N4297" t="s">
        <v>199</v>
      </c>
      <c r="O4297">
        <v>0</v>
      </c>
      <c r="P4297">
        <v>15</v>
      </c>
      <c r="Q4297" t="s">
        <v>264</v>
      </c>
      <c r="R4297" t="s">
        <v>201</v>
      </c>
      <c r="S4297">
        <v>0</v>
      </c>
      <c r="T4297">
        <v>0</v>
      </c>
      <c r="U4297">
        <v>4823</v>
      </c>
      <c r="V4297">
        <v>4823</v>
      </c>
    </row>
    <row r="4298" spans="1:22">
      <c r="A4298" t="s">
        <v>196</v>
      </c>
      <c r="B4298">
        <v>84</v>
      </c>
      <c r="C4298" t="s">
        <v>1762</v>
      </c>
      <c r="D4298">
        <v>100</v>
      </c>
      <c r="E4298" t="s">
        <v>197</v>
      </c>
      <c r="F4298">
        <v>1115</v>
      </c>
      <c r="G4298" t="s">
        <v>77</v>
      </c>
      <c r="H4298">
        <v>2115</v>
      </c>
      <c r="I4298" t="s">
        <v>77</v>
      </c>
      <c r="J4298">
        <v>3216</v>
      </c>
      <c r="K4298" t="s">
        <v>638</v>
      </c>
      <c r="L4298">
        <v>4212</v>
      </c>
      <c r="M4298" t="s">
        <v>1784</v>
      </c>
      <c r="N4298" t="s">
        <v>809</v>
      </c>
      <c r="O4298">
        <v>1</v>
      </c>
      <c r="P4298">
        <v>460</v>
      </c>
      <c r="Q4298" t="s">
        <v>810</v>
      </c>
      <c r="R4298" t="s">
        <v>201</v>
      </c>
      <c r="S4298">
        <v>1</v>
      </c>
      <c r="T4298">
        <v>1</v>
      </c>
      <c r="U4298">
        <v>82140</v>
      </c>
      <c r="V4298">
        <v>82140</v>
      </c>
    </row>
    <row r="4299" spans="1:22">
      <c r="A4299" t="s">
        <v>196</v>
      </c>
      <c r="B4299">
        <v>84</v>
      </c>
      <c r="C4299" t="s">
        <v>1762</v>
      </c>
      <c r="D4299">
        <v>100</v>
      </c>
      <c r="E4299" t="s">
        <v>197</v>
      </c>
      <c r="F4299">
        <v>1115</v>
      </c>
      <c r="G4299" t="s">
        <v>77</v>
      </c>
      <c r="H4299">
        <v>2115</v>
      </c>
      <c r="I4299" t="s">
        <v>77</v>
      </c>
      <c r="J4299">
        <v>3216</v>
      </c>
      <c r="K4299" t="s">
        <v>638</v>
      </c>
      <c r="L4299">
        <v>4212</v>
      </c>
      <c r="M4299" t="s">
        <v>1784</v>
      </c>
      <c r="N4299" t="s">
        <v>351</v>
      </c>
      <c r="O4299">
        <v>1</v>
      </c>
      <c r="P4299" t="s">
        <v>352</v>
      </c>
      <c r="Q4299" t="s">
        <v>353</v>
      </c>
      <c r="R4299" t="s">
        <v>201</v>
      </c>
      <c r="S4299">
        <v>1</v>
      </c>
      <c r="T4299">
        <v>1</v>
      </c>
      <c r="U4299">
        <v>64488</v>
      </c>
      <c r="V4299">
        <v>64488</v>
      </c>
    </row>
    <row r="4300" spans="1:22">
      <c r="A4300" t="s">
        <v>196</v>
      </c>
      <c r="B4300">
        <v>84</v>
      </c>
      <c r="C4300" t="s">
        <v>1762</v>
      </c>
      <c r="D4300">
        <v>100</v>
      </c>
      <c r="E4300" t="s">
        <v>197</v>
      </c>
      <c r="F4300">
        <v>1115</v>
      </c>
      <c r="G4300" t="s">
        <v>77</v>
      </c>
      <c r="H4300">
        <v>2115</v>
      </c>
      <c r="I4300" t="s">
        <v>77</v>
      </c>
      <c r="J4300">
        <v>3216</v>
      </c>
      <c r="K4300" t="s">
        <v>638</v>
      </c>
      <c r="L4300">
        <v>4212</v>
      </c>
      <c r="M4300" t="s">
        <v>1784</v>
      </c>
      <c r="N4300" t="s">
        <v>253</v>
      </c>
      <c r="O4300">
        <v>20</v>
      </c>
      <c r="P4300">
        <v>381</v>
      </c>
      <c r="Q4300" t="s">
        <v>730</v>
      </c>
      <c r="R4300" t="s">
        <v>201</v>
      </c>
      <c r="S4300">
        <v>1</v>
      </c>
      <c r="T4300">
        <v>1</v>
      </c>
      <c r="U4300">
        <v>136692</v>
      </c>
      <c r="V4300">
        <v>136692</v>
      </c>
    </row>
    <row r="4301" spans="1:22">
      <c r="A4301" t="s">
        <v>196</v>
      </c>
      <c r="B4301">
        <v>84</v>
      </c>
      <c r="C4301" t="s">
        <v>1762</v>
      </c>
      <c r="D4301">
        <v>100</v>
      </c>
      <c r="E4301" t="s">
        <v>197</v>
      </c>
      <c r="F4301">
        <v>1115</v>
      </c>
      <c r="G4301" t="s">
        <v>77</v>
      </c>
      <c r="H4301">
        <v>2115</v>
      </c>
      <c r="I4301" t="s">
        <v>77</v>
      </c>
      <c r="J4301">
        <v>3216</v>
      </c>
      <c r="K4301" t="s">
        <v>638</v>
      </c>
      <c r="L4301">
        <v>4212</v>
      </c>
      <c r="M4301" t="s">
        <v>1784</v>
      </c>
      <c r="N4301" t="s">
        <v>360</v>
      </c>
      <c r="O4301">
        <v>1</v>
      </c>
      <c r="P4301">
        <v>109</v>
      </c>
      <c r="Q4301" t="s">
        <v>361</v>
      </c>
      <c r="R4301" t="s">
        <v>201</v>
      </c>
      <c r="S4301">
        <v>1</v>
      </c>
      <c r="T4301">
        <v>1</v>
      </c>
      <c r="U4301">
        <v>74916</v>
      </c>
      <c r="V4301">
        <v>74916</v>
      </c>
    </row>
    <row r="4302" spans="1:22">
      <c r="A4302" t="s">
        <v>196</v>
      </c>
      <c r="B4302">
        <v>84</v>
      </c>
      <c r="C4302" t="s">
        <v>1762</v>
      </c>
      <c r="D4302">
        <v>100</v>
      </c>
      <c r="E4302" t="s">
        <v>197</v>
      </c>
      <c r="F4302">
        <v>1115</v>
      </c>
      <c r="G4302" t="s">
        <v>77</v>
      </c>
      <c r="H4302">
        <v>2115</v>
      </c>
      <c r="I4302" t="s">
        <v>77</v>
      </c>
      <c r="J4302">
        <v>3216</v>
      </c>
      <c r="K4302" t="s">
        <v>638</v>
      </c>
      <c r="L4302">
        <v>4212</v>
      </c>
      <c r="M4302" t="s">
        <v>1784</v>
      </c>
      <c r="N4302" t="s">
        <v>360</v>
      </c>
      <c r="O4302">
        <v>1</v>
      </c>
      <c r="P4302">
        <v>109</v>
      </c>
      <c r="Q4302" t="s">
        <v>361</v>
      </c>
      <c r="R4302" t="s">
        <v>201</v>
      </c>
      <c r="S4302">
        <v>1</v>
      </c>
      <c r="T4302">
        <v>1</v>
      </c>
      <c r="U4302">
        <v>57000</v>
      </c>
      <c r="V4302">
        <v>57000</v>
      </c>
    </row>
    <row r="4303" spans="1:22">
      <c r="A4303" t="s">
        <v>196</v>
      </c>
      <c r="B4303">
        <v>84</v>
      </c>
      <c r="C4303" t="s">
        <v>1762</v>
      </c>
      <c r="D4303">
        <v>100</v>
      </c>
      <c r="E4303" t="s">
        <v>197</v>
      </c>
      <c r="F4303">
        <v>1115</v>
      </c>
      <c r="G4303" t="s">
        <v>77</v>
      </c>
      <c r="H4303">
        <v>2115</v>
      </c>
      <c r="I4303" t="s">
        <v>77</v>
      </c>
      <c r="J4303">
        <v>3216</v>
      </c>
      <c r="K4303" t="s">
        <v>638</v>
      </c>
      <c r="L4303">
        <v>4212</v>
      </c>
      <c r="M4303" t="s">
        <v>1784</v>
      </c>
      <c r="N4303" t="s">
        <v>199</v>
      </c>
      <c r="O4303">
        <v>0</v>
      </c>
      <c r="P4303">
        <v>15</v>
      </c>
      <c r="Q4303" t="s">
        <v>264</v>
      </c>
      <c r="R4303" t="s">
        <v>201</v>
      </c>
      <c r="S4303">
        <v>0</v>
      </c>
      <c r="T4303">
        <v>0</v>
      </c>
      <c r="U4303">
        <v>3623</v>
      </c>
      <c r="V4303">
        <v>3623</v>
      </c>
    </row>
    <row r="4304" spans="1:22">
      <c r="A4304" t="s">
        <v>196</v>
      </c>
      <c r="B4304">
        <v>84</v>
      </c>
      <c r="C4304" t="s">
        <v>1762</v>
      </c>
      <c r="D4304">
        <v>100</v>
      </c>
      <c r="E4304" t="s">
        <v>197</v>
      </c>
      <c r="F4304">
        <v>1115</v>
      </c>
      <c r="G4304" t="s">
        <v>77</v>
      </c>
      <c r="H4304">
        <v>2115</v>
      </c>
      <c r="I4304" t="s">
        <v>77</v>
      </c>
      <c r="J4304">
        <v>3216</v>
      </c>
      <c r="K4304" t="s">
        <v>638</v>
      </c>
      <c r="L4304">
        <v>4213</v>
      </c>
      <c r="M4304" t="s">
        <v>1785</v>
      </c>
      <c r="N4304" t="s">
        <v>255</v>
      </c>
      <c r="O4304">
        <v>3</v>
      </c>
      <c r="P4304">
        <v>1814</v>
      </c>
      <c r="Q4304" t="s">
        <v>1786</v>
      </c>
      <c r="R4304" t="s">
        <v>201</v>
      </c>
      <c r="S4304">
        <v>1</v>
      </c>
      <c r="T4304">
        <v>1</v>
      </c>
      <c r="U4304">
        <v>124848</v>
      </c>
      <c r="V4304">
        <v>124848</v>
      </c>
    </row>
    <row r="4305" spans="1:22">
      <c r="A4305" t="s">
        <v>196</v>
      </c>
      <c r="B4305">
        <v>84</v>
      </c>
      <c r="C4305" t="s">
        <v>1762</v>
      </c>
      <c r="D4305">
        <v>100</v>
      </c>
      <c r="E4305" t="s">
        <v>197</v>
      </c>
      <c r="F4305">
        <v>1115</v>
      </c>
      <c r="G4305" t="s">
        <v>77</v>
      </c>
      <c r="H4305">
        <v>2115</v>
      </c>
      <c r="I4305" t="s">
        <v>77</v>
      </c>
      <c r="J4305">
        <v>3216</v>
      </c>
      <c r="K4305" t="s">
        <v>638</v>
      </c>
      <c r="L4305">
        <v>4213</v>
      </c>
      <c r="M4305" t="s">
        <v>1785</v>
      </c>
      <c r="N4305" t="s">
        <v>372</v>
      </c>
      <c r="O4305">
        <v>1</v>
      </c>
      <c r="P4305">
        <v>1576</v>
      </c>
      <c r="Q4305" t="s">
        <v>650</v>
      </c>
      <c r="R4305" t="s">
        <v>201</v>
      </c>
      <c r="S4305">
        <v>1</v>
      </c>
      <c r="T4305">
        <v>1</v>
      </c>
      <c r="U4305">
        <v>98928</v>
      </c>
      <c r="V4305">
        <v>98928</v>
      </c>
    </row>
    <row r="4306" spans="1:22">
      <c r="A4306" t="s">
        <v>196</v>
      </c>
      <c r="B4306">
        <v>84</v>
      </c>
      <c r="C4306" t="s">
        <v>1762</v>
      </c>
      <c r="D4306">
        <v>100</v>
      </c>
      <c r="E4306" t="s">
        <v>197</v>
      </c>
      <c r="F4306">
        <v>1115</v>
      </c>
      <c r="G4306" t="s">
        <v>77</v>
      </c>
      <c r="H4306">
        <v>2115</v>
      </c>
      <c r="I4306" t="s">
        <v>77</v>
      </c>
      <c r="J4306">
        <v>3216</v>
      </c>
      <c r="K4306" t="s">
        <v>638</v>
      </c>
      <c r="L4306">
        <v>4213</v>
      </c>
      <c r="M4306" t="s">
        <v>1785</v>
      </c>
      <c r="N4306" t="s">
        <v>360</v>
      </c>
      <c r="O4306">
        <v>1</v>
      </c>
      <c r="P4306">
        <v>109</v>
      </c>
      <c r="Q4306" t="s">
        <v>361</v>
      </c>
      <c r="R4306" t="s">
        <v>201</v>
      </c>
      <c r="S4306">
        <v>1</v>
      </c>
      <c r="T4306">
        <v>1</v>
      </c>
      <c r="U4306">
        <v>57000</v>
      </c>
      <c r="V4306">
        <v>57000</v>
      </c>
    </row>
    <row r="4307" spans="1:22">
      <c r="A4307" t="s">
        <v>196</v>
      </c>
      <c r="B4307">
        <v>84</v>
      </c>
      <c r="C4307" t="s">
        <v>1762</v>
      </c>
      <c r="D4307">
        <v>100</v>
      </c>
      <c r="E4307" t="s">
        <v>197</v>
      </c>
      <c r="F4307">
        <v>1115</v>
      </c>
      <c r="G4307" t="s">
        <v>77</v>
      </c>
      <c r="H4307">
        <v>2115</v>
      </c>
      <c r="I4307" t="s">
        <v>77</v>
      </c>
      <c r="J4307">
        <v>3216</v>
      </c>
      <c r="K4307" t="s">
        <v>638</v>
      </c>
      <c r="L4307">
        <v>4214</v>
      </c>
      <c r="M4307" t="s">
        <v>1787</v>
      </c>
      <c r="N4307" t="s">
        <v>341</v>
      </c>
      <c r="O4307">
        <v>1</v>
      </c>
      <c r="P4307">
        <v>308</v>
      </c>
      <c r="Q4307" t="s">
        <v>355</v>
      </c>
      <c r="R4307" t="s">
        <v>201</v>
      </c>
      <c r="S4307">
        <v>1</v>
      </c>
      <c r="T4307">
        <v>1</v>
      </c>
      <c r="U4307">
        <v>74172</v>
      </c>
      <c r="V4307">
        <v>74172</v>
      </c>
    </row>
    <row r="4308" spans="1:22">
      <c r="A4308" t="s">
        <v>196</v>
      </c>
      <c r="B4308">
        <v>84</v>
      </c>
      <c r="C4308" t="s">
        <v>1762</v>
      </c>
      <c r="D4308">
        <v>100</v>
      </c>
      <c r="E4308" t="s">
        <v>197</v>
      </c>
      <c r="F4308">
        <v>1115</v>
      </c>
      <c r="G4308" t="s">
        <v>77</v>
      </c>
      <c r="H4308">
        <v>2115</v>
      </c>
      <c r="I4308" t="s">
        <v>77</v>
      </c>
      <c r="J4308">
        <v>3216</v>
      </c>
      <c r="K4308" t="s">
        <v>638</v>
      </c>
      <c r="L4308">
        <v>4214</v>
      </c>
      <c r="M4308" t="s">
        <v>1787</v>
      </c>
      <c r="N4308" t="s">
        <v>628</v>
      </c>
      <c r="O4308">
        <v>10</v>
      </c>
      <c r="P4308">
        <v>128</v>
      </c>
      <c r="Q4308" t="s">
        <v>1788</v>
      </c>
      <c r="R4308" t="s">
        <v>201</v>
      </c>
      <c r="S4308">
        <v>1</v>
      </c>
      <c r="T4308">
        <v>1</v>
      </c>
      <c r="U4308">
        <v>123348</v>
      </c>
      <c r="V4308">
        <v>123348</v>
      </c>
    </row>
    <row r="4309" spans="1:22">
      <c r="A4309" t="s">
        <v>196</v>
      </c>
      <c r="B4309">
        <v>84</v>
      </c>
      <c r="C4309" t="s">
        <v>1762</v>
      </c>
      <c r="D4309">
        <v>100</v>
      </c>
      <c r="E4309" t="s">
        <v>197</v>
      </c>
      <c r="F4309">
        <v>1115</v>
      </c>
      <c r="G4309" t="s">
        <v>77</v>
      </c>
      <c r="H4309">
        <v>2115</v>
      </c>
      <c r="I4309" t="s">
        <v>77</v>
      </c>
      <c r="J4309">
        <v>3216</v>
      </c>
      <c r="K4309" t="s">
        <v>638</v>
      </c>
      <c r="L4309">
        <v>4214</v>
      </c>
      <c r="M4309" t="s">
        <v>1787</v>
      </c>
      <c r="N4309" t="s">
        <v>271</v>
      </c>
      <c r="O4309">
        <v>20</v>
      </c>
      <c r="P4309">
        <v>117</v>
      </c>
      <c r="Q4309" t="s">
        <v>1224</v>
      </c>
      <c r="R4309" t="s">
        <v>201</v>
      </c>
      <c r="S4309">
        <v>1</v>
      </c>
      <c r="T4309">
        <v>1</v>
      </c>
      <c r="U4309">
        <v>140496</v>
      </c>
      <c r="V4309">
        <v>140496</v>
      </c>
    </row>
    <row r="4310" spans="1:22">
      <c r="A4310" t="s">
        <v>196</v>
      </c>
      <c r="B4310">
        <v>84</v>
      </c>
      <c r="C4310" t="s">
        <v>1762</v>
      </c>
      <c r="D4310">
        <v>100</v>
      </c>
      <c r="E4310" t="s">
        <v>197</v>
      </c>
      <c r="F4310">
        <v>1115</v>
      </c>
      <c r="G4310" t="s">
        <v>77</v>
      </c>
      <c r="H4310">
        <v>2115</v>
      </c>
      <c r="I4310" t="s">
        <v>77</v>
      </c>
      <c r="J4310">
        <v>3216</v>
      </c>
      <c r="K4310" t="s">
        <v>638</v>
      </c>
      <c r="L4310">
        <v>4214</v>
      </c>
      <c r="M4310" t="s">
        <v>1787</v>
      </c>
      <c r="N4310" t="s">
        <v>356</v>
      </c>
      <c r="O4310">
        <v>4</v>
      </c>
      <c r="P4310">
        <v>111</v>
      </c>
      <c r="Q4310" t="s">
        <v>648</v>
      </c>
      <c r="R4310" t="s">
        <v>201</v>
      </c>
      <c r="S4310">
        <v>1</v>
      </c>
      <c r="T4310">
        <v>1</v>
      </c>
      <c r="U4310">
        <v>129636</v>
      </c>
      <c r="V4310">
        <v>129636</v>
      </c>
    </row>
    <row r="4311" spans="1:22">
      <c r="A4311" t="s">
        <v>196</v>
      </c>
      <c r="B4311">
        <v>84</v>
      </c>
      <c r="C4311" t="s">
        <v>1762</v>
      </c>
      <c r="D4311">
        <v>100</v>
      </c>
      <c r="E4311" t="s">
        <v>197</v>
      </c>
      <c r="F4311">
        <v>1115</v>
      </c>
      <c r="G4311" t="s">
        <v>77</v>
      </c>
      <c r="H4311">
        <v>2115</v>
      </c>
      <c r="I4311" t="s">
        <v>77</v>
      </c>
      <c r="J4311">
        <v>3216</v>
      </c>
      <c r="K4311" t="s">
        <v>638</v>
      </c>
      <c r="L4311">
        <v>4214</v>
      </c>
      <c r="M4311" t="s">
        <v>1787</v>
      </c>
      <c r="N4311" t="s">
        <v>356</v>
      </c>
      <c r="O4311">
        <v>4</v>
      </c>
      <c r="P4311">
        <v>111</v>
      </c>
      <c r="Q4311" t="s">
        <v>648</v>
      </c>
      <c r="R4311" t="s">
        <v>201</v>
      </c>
      <c r="S4311">
        <v>1</v>
      </c>
      <c r="T4311">
        <v>1</v>
      </c>
      <c r="U4311">
        <v>97488</v>
      </c>
      <c r="V4311">
        <v>97488</v>
      </c>
    </row>
    <row r="4312" spans="1:22">
      <c r="A4312" t="s">
        <v>196</v>
      </c>
      <c r="B4312">
        <v>84</v>
      </c>
      <c r="C4312" t="s">
        <v>1762</v>
      </c>
      <c r="D4312">
        <v>100</v>
      </c>
      <c r="E4312" t="s">
        <v>197</v>
      </c>
      <c r="F4312">
        <v>1115</v>
      </c>
      <c r="G4312" t="s">
        <v>77</v>
      </c>
      <c r="H4312">
        <v>2115</v>
      </c>
      <c r="I4312" t="s">
        <v>77</v>
      </c>
      <c r="J4312">
        <v>3216</v>
      </c>
      <c r="K4312" t="s">
        <v>638</v>
      </c>
      <c r="L4312">
        <v>4214</v>
      </c>
      <c r="M4312" t="s">
        <v>1787</v>
      </c>
      <c r="N4312" t="s">
        <v>341</v>
      </c>
      <c r="O4312">
        <v>4</v>
      </c>
      <c r="P4312">
        <v>110</v>
      </c>
      <c r="Q4312" t="s">
        <v>359</v>
      </c>
      <c r="R4312" t="s">
        <v>201</v>
      </c>
      <c r="S4312">
        <v>2</v>
      </c>
      <c r="T4312">
        <v>1</v>
      </c>
      <c r="U4312">
        <v>68616</v>
      </c>
      <c r="V4312">
        <v>137232</v>
      </c>
    </row>
    <row r="4313" spans="1:22">
      <c r="A4313" t="s">
        <v>196</v>
      </c>
      <c r="B4313">
        <v>84</v>
      </c>
      <c r="C4313" t="s">
        <v>1762</v>
      </c>
      <c r="D4313">
        <v>100</v>
      </c>
      <c r="E4313" t="s">
        <v>197</v>
      </c>
      <c r="F4313">
        <v>1115</v>
      </c>
      <c r="G4313" t="s">
        <v>77</v>
      </c>
      <c r="H4313">
        <v>2115</v>
      </c>
      <c r="I4313" t="s">
        <v>77</v>
      </c>
      <c r="J4313">
        <v>3216</v>
      </c>
      <c r="K4313" t="s">
        <v>638</v>
      </c>
      <c r="L4313">
        <v>4214</v>
      </c>
      <c r="M4313" t="s">
        <v>1787</v>
      </c>
      <c r="N4313" t="s">
        <v>360</v>
      </c>
      <c r="O4313">
        <v>1</v>
      </c>
      <c r="P4313">
        <v>109</v>
      </c>
      <c r="Q4313" t="s">
        <v>361</v>
      </c>
      <c r="R4313" t="s">
        <v>201</v>
      </c>
      <c r="S4313">
        <v>1</v>
      </c>
      <c r="T4313">
        <v>1</v>
      </c>
      <c r="U4313">
        <v>57000</v>
      </c>
      <c r="V4313">
        <v>57000</v>
      </c>
    </row>
    <row r="4314" spans="1:22">
      <c r="A4314" t="s">
        <v>196</v>
      </c>
      <c r="B4314">
        <v>84</v>
      </c>
      <c r="C4314" t="s">
        <v>1762</v>
      </c>
      <c r="D4314">
        <v>100</v>
      </c>
      <c r="E4314" t="s">
        <v>197</v>
      </c>
      <c r="F4314">
        <v>1115</v>
      </c>
      <c r="G4314" t="s">
        <v>77</v>
      </c>
      <c r="H4314">
        <v>2115</v>
      </c>
      <c r="I4314" t="s">
        <v>77</v>
      </c>
      <c r="J4314">
        <v>3216</v>
      </c>
      <c r="K4314" t="s">
        <v>638</v>
      </c>
      <c r="L4314">
        <v>4214</v>
      </c>
      <c r="M4314" t="s">
        <v>1787</v>
      </c>
      <c r="N4314" t="s">
        <v>199</v>
      </c>
      <c r="O4314">
        <v>0</v>
      </c>
      <c r="P4314">
        <v>15</v>
      </c>
      <c r="Q4314" t="s">
        <v>264</v>
      </c>
      <c r="R4314" t="s">
        <v>201</v>
      </c>
      <c r="S4314">
        <v>0</v>
      </c>
      <c r="T4314">
        <v>0</v>
      </c>
      <c r="U4314">
        <v>6506</v>
      </c>
      <c r="V4314">
        <v>6506</v>
      </c>
    </row>
    <row r="4315" spans="1:22">
      <c r="A4315" t="s">
        <v>196</v>
      </c>
      <c r="B4315">
        <v>84</v>
      </c>
      <c r="C4315" t="s">
        <v>1762</v>
      </c>
      <c r="D4315">
        <v>100</v>
      </c>
      <c r="E4315" t="s">
        <v>197</v>
      </c>
      <c r="F4315">
        <v>1115</v>
      </c>
      <c r="G4315" t="s">
        <v>77</v>
      </c>
      <c r="H4315">
        <v>2115</v>
      </c>
      <c r="I4315" t="s">
        <v>77</v>
      </c>
      <c r="J4315">
        <v>3216</v>
      </c>
      <c r="K4315" t="s">
        <v>638</v>
      </c>
      <c r="L4315">
        <v>4215</v>
      </c>
      <c r="M4315" t="s">
        <v>1789</v>
      </c>
      <c r="N4315" t="s">
        <v>351</v>
      </c>
      <c r="O4315">
        <v>1</v>
      </c>
      <c r="P4315" t="s">
        <v>352</v>
      </c>
      <c r="Q4315" t="s">
        <v>353</v>
      </c>
      <c r="R4315" t="s">
        <v>201</v>
      </c>
      <c r="S4315">
        <v>1</v>
      </c>
      <c r="T4315">
        <v>1</v>
      </c>
      <c r="U4315">
        <v>67608</v>
      </c>
      <c r="V4315">
        <v>67608</v>
      </c>
    </row>
    <row r="4316" spans="1:22">
      <c r="A4316" t="s">
        <v>196</v>
      </c>
      <c r="B4316">
        <v>84</v>
      </c>
      <c r="C4316" t="s">
        <v>1762</v>
      </c>
      <c r="D4316">
        <v>100</v>
      </c>
      <c r="E4316" t="s">
        <v>197</v>
      </c>
      <c r="F4316">
        <v>1115</v>
      </c>
      <c r="G4316" t="s">
        <v>77</v>
      </c>
      <c r="H4316">
        <v>2115</v>
      </c>
      <c r="I4316" t="s">
        <v>77</v>
      </c>
      <c r="J4316">
        <v>3216</v>
      </c>
      <c r="K4316" t="s">
        <v>638</v>
      </c>
      <c r="L4316">
        <v>4215</v>
      </c>
      <c r="M4316" t="s">
        <v>1789</v>
      </c>
      <c r="N4316" t="s">
        <v>253</v>
      </c>
      <c r="O4316">
        <v>20</v>
      </c>
      <c r="P4316">
        <v>381</v>
      </c>
      <c r="Q4316" t="s">
        <v>730</v>
      </c>
      <c r="R4316" t="s">
        <v>201</v>
      </c>
      <c r="S4316">
        <v>1</v>
      </c>
      <c r="T4316">
        <v>1</v>
      </c>
      <c r="U4316">
        <v>124584</v>
      </c>
      <c r="V4316">
        <v>124584</v>
      </c>
    </row>
    <row r="4317" spans="1:22">
      <c r="A4317" t="s">
        <v>196</v>
      </c>
      <c r="B4317">
        <v>84</v>
      </c>
      <c r="C4317" t="s">
        <v>1762</v>
      </c>
      <c r="D4317">
        <v>100</v>
      </c>
      <c r="E4317" t="s">
        <v>197</v>
      </c>
      <c r="F4317">
        <v>1115</v>
      </c>
      <c r="G4317" t="s">
        <v>77</v>
      </c>
      <c r="H4317">
        <v>2115</v>
      </c>
      <c r="I4317" t="s">
        <v>77</v>
      </c>
      <c r="J4317">
        <v>3216</v>
      </c>
      <c r="K4317" t="s">
        <v>638</v>
      </c>
      <c r="L4317">
        <v>4215</v>
      </c>
      <c r="M4317" t="s">
        <v>1789</v>
      </c>
      <c r="N4317" t="s">
        <v>360</v>
      </c>
      <c r="O4317">
        <v>1</v>
      </c>
      <c r="P4317">
        <v>109</v>
      </c>
      <c r="Q4317" t="s">
        <v>361</v>
      </c>
      <c r="R4317" t="s">
        <v>201</v>
      </c>
      <c r="S4317">
        <v>1</v>
      </c>
      <c r="T4317">
        <v>1</v>
      </c>
      <c r="U4317">
        <v>78432</v>
      </c>
      <c r="V4317">
        <v>78432</v>
      </c>
    </row>
    <row r="4318" spans="1:22">
      <c r="A4318" t="s">
        <v>196</v>
      </c>
      <c r="B4318">
        <v>84</v>
      </c>
      <c r="C4318" t="s">
        <v>1762</v>
      </c>
      <c r="D4318">
        <v>100</v>
      </c>
      <c r="E4318" t="s">
        <v>197</v>
      </c>
      <c r="F4318">
        <v>1115</v>
      </c>
      <c r="G4318" t="s">
        <v>77</v>
      </c>
      <c r="H4318">
        <v>2115</v>
      </c>
      <c r="I4318" t="s">
        <v>77</v>
      </c>
      <c r="J4318">
        <v>3216</v>
      </c>
      <c r="K4318" t="s">
        <v>638</v>
      </c>
      <c r="L4318">
        <v>4215</v>
      </c>
      <c r="M4318" t="s">
        <v>1789</v>
      </c>
      <c r="N4318" t="s">
        <v>360</v>
      </c>
      <c r="O4318">
        <v>1</v>
      </c>
      <c r="P4318">
        <v>109</v>
      </c>
      <c r="Q4318" t="s">
        <v>361</v>
      </c>
      <c r="R4318" t="s">
        <v>201</v>
      </c>
      <c r="S4318">
        <v>1</v>
      </c>
      <c r="T4318">
        <v>1</v>
      </c>
      <c r="U4318">
        <v>70752</v>
      </c>
      <c r="V4318">
        <v>70752</v>
      </c>
    </row>
    <row r="4319" spans="1:22">
      <c r="A4319" t="s">
        <v>196</v>
      </c>
      <c r="B4319">
        <v>84</v>
      </c>
      <c r="C4319" t="s">
        <v>1762</v>
      </c>
      <c r="D4319">
        <v>100</v>
      </c>
      <c r="E4319" t="s">
        <v>197</v>
      </c>
      <c r="F4319">
        <v>1115</v>
      </c>
      <c r="G4319" t="s">
        <v>77</v>
      </c>
      <c r="H4319">
        <v>2115</v>
      </c>
      <c r="I4319" t="s">
        <v>77</v>
      </c>
      <c r="J4319">
        <v>3216</v>
      </c>
      <c r="K4319" t="s">
        <v>638</v>
      </c>
      <c r="L4319">
        <v>4215</v>
      </c>
      <c r="M4319" t="s">
        <v>1789</v>
      </c>
      <c r="N4319" t="s">
        <v>360</v>
      </c>
      <c r="O4319">
        <v>1</v>
      </c>
      <c r="P4319">
        <v>109</v>
      </c>
      <c r="Q4319" t="s">
        <v>361</v>
      </c>
      <c r="R4319" t="s">
        <v>201</v>
      </c>
      <c r="S4319">
        <v>1</v>
      </c>
      <c r="T4319">
        <v>1</v>
      </c>
      <c r="U4319">
        <v>61548</v>
      </c>
      <c r="V4319">
        <v>61548</v>
      </c>
    </row>
    <row r="4320" spans="1:22">
      <c r="A4320" t="s">
        <v>196</v>
      </c>
      <c r="B4320">
        <v>84</v>
      </c>
      <c r="C4320" t="s">
        <v>1762</v>
      </c>
      <c r="D4320">
        <v>100</v>
      </c>
      <c r="E4320" t="s">
        <v>197</v>
      </c>
      <c r="F4320">
        <v>1115</v>
      </c>
      <c r="G4320" t="s">
        <v>77</v>
      </c>
      <c r="H4320">
        <v>2115</v>
      </c>
      <c r="I4320" t="s">
        <v>77</v>
      </c>
      <c r="J4320">
        <v>3216</v>
      </c>
      <c r="K4320" t="s">
        <v>638</v>
      </c>
      <c r="L4320">
        <v>4215</v>
      </c>
      <c r="M4320" t="s">
        <v>1789</v>
      </c>
      <c r="N4320" t="s">
        <v>360</v>
      </c>
      <c r="O4320">
        <v>1</v>
      </c>
      <c r="P4320">
        <v>109</v>
      </c>
      <c r="Q4320" t="s">
        <v>361</v>
      </c>
      <c r="R4320" t="s">
        <v>201</v>
      </c>
      <c r="S4320">
        <v>1</v>
      </c>
      <c r="T4320">
        <v>1</v>
      </c>
      <c r="U4320">
        <v>58764</v>
      </c>
      <c r="V4320">
        <v>58764</v>
      </c>
    </row>
    <row r="4321" spans="1:22">
      <c r="A4321" t="s">
        <v>196</v>
      </c>
      <c r="B4321">
        <v>84</v>
      </c>
      <c r="C4321" t="s">
        <v>1762</v>
      </c>
      <c r="D4321">
        <v>100</v>
      </c>
      <c r="E4321" t="s">
        <v>197</v>
      </c>
      <c r="F4321">
        <v>1115</v>
      </c>
      <c r="G4321" t="s">
        <v>77</v>
      </c>
      <c r="H4321">
        <v>2115</v>
      </c>
      <c r="I4321" t="s">
        <v>77</v>
      </c>
      <c r="J4321">
        <v>3216</v>
      </c>
      <c r="K4321" t="s">
        <v>638</v>
      </c>
      <c r="L4321">
        <v>4215</v>
      </c>
      <c r="M4321" t="s">
        <v>1789</v>
      </c>
      <c r="N4321" t="s">
        <v>360</v>
      </c>
      <c r="O4321">
        <v>1</v>
      </c>
      <c r="P4321">
        <v>109</v>
      </c>
      <c r="Q4321" t="s">
        <v>361</v>
      </c>
      <c r="R4321" t="s">
        <v>201</v>
      </c>
      <c r="S4321">
        <v>1</v>
      </c>
      <c r="T4321">
        <v>1</v>
      </c>
      <c r="U4321">
        <v>57000</v>
      </c>
      <c r="V4321">
        <v>57000</v>
      </c>
    </row>
    <row r="4322" spans="1:22">
      <c r="A4322" t="s">
        <v>196</v>
      </c>
      <c r="B4322">
        <v>84</v>
      </c>
      <c r="C4322" t="s">
        <v>1762</v>
      </c>
      <c r="D4322">
        <v>100</v>
      </c>
      <c r="E4322" t="s">
        <v>197</v>
      </c>
      <c r="F4322">
        <v>1115</v>
      </c>
      <c r="G4322" t="s">
        <v>77</v>
      </c>
      <c r="H4322">
        <v>2115</v>
      </c>
      <c r="I4322" t="s">
        <v>77</v>
      </c>
      <c r="J4322">
        <v>3216</v>
      </c>
      <c r="K4322" t="s">
        <v>638</v>
      </c>
      <c r="L4322">
        <v>4215</v>
      </c>
      <c r="M4322" t="s">
        <v>1789</v>
      </c>
      <c r="N4322" t="s">
        <v>199</v>
      </c>
      <c r="O4322">
        <v>0</v>
      </c>
      <c r="P4322">
        <v>15</v>
      </c>
      <c r="Q4322" t="s">
        <v>264</v>
      </c>
      <c r="R4322" t="s">
        <v>201</v>
      </c>
      <c r="S4322">
        <v>0</v>
      </c>
      <c r="T4322">
        <v>0</v>
      </c>
      <c r="U4322">
        <v>6293</v>
      </c>
      <c r="V4322">
        <v>6293</v>
      </c>
    </row>
    <row r="4323" spans="1:22">
      <c r="A4323" t="s">
        <v>196</v>
      </c>
      <c r="B4323">
        <v>84</v>
      </c>
      <c r="C4323" t="s">
        <v>1762</v>
      </c>
      <c r="D4323">
        <v>100</v>
      </c>
      <c r="E4323" t="s">
        <v>197</v>
      </c>
      <c r="F4323">
        <v>1115</v>
      </c>
      <c r="G4323" t="s">
        <v>77</v>
      </c>
      <c r="H4323">
        <v>2115</v>
      </c>
      <c r="I4323" t="s">
        <v>77</v>
      </c>
      <c r="J4323">
        <v>3216</v>
      </c>
      <c r="K4323" t="s">
        <v>638</v>
      </c>
      <c r="L4323">
        <v>4216</v>
      </c>
      <c r="M4323" t="s">
        <v>1790</v>
      </c>
      <c r="N4323" t="s">
        <v>253</v>
      </c>
      <c r="O4323">
        <v>20</v>
      </c>
      <c r="P4323">
        <v>381</v>
      </c>
      <c r="Q4323" t="s">
        <v>730</v>
      </c>
      <c r="R4323" t="s">
        <v>201</v>
      </c>
      <c r="S4323">
        <v>1</v>
      </c>
      <c r="T4323">
        <v>1</v>
      </c>
      <c r="U4323">
        <v>136692</v>
      </c>
      <c r="V4323">
        <v>136692</v>
      </c>
    </row>
    <row r="4324" spans="1:22">
      <c r="A4324" t="s">
        <v>196</v>
      </c>
      <c r="B4324">
        <v>84</v>
      </c>
      <c r="C4324" t="s">
        <v>1762</v>
      </c>
      <c r="D4324">
        <v>100</v>
      </c>
      <c r="E4324" t="s">
        <v>197</v>
      </c>
      <c r="F4324">
        <v>1115</v>
      </c>
      <c r="G4324" t="s">
        <v>77</v>
      </c>
      <c r="H4324">
        <v>2115</v>
      </c>
      <c r="I4324" t="s">
        <v>77</v>
      </c>
      <c r="J4324">
        <v>3216</v>
      </c>
      <c r="K4324" t="s">
        <v>638</v>
      </c>
      <c r="L4324">
        <v>4216</v>
      </c>
      <c r="M4324" t="s">
        <v>1790</v>
      </c>
      <c r="N4324" t="s">
        <v>1314</v>
      </c>
      <c r="O4324">
        <v>0</v>
      </c>
      <c r="P4324">
        <v>112</v>
      </c>
      <c r="Q4324" t="s">
        <v>358</v>
      </c>
      <c r="R4324" t="s">
        <v>201</v>
      </c>
      <c r="S4324">
        <v>2</v>
      </c>
      <c r="T4324">
        <v>1</v>
      </c>
      <c r="U4324">
        <v>167700</v>
      </c>
      <c r="V4324">
        <v>335400</v>
      </c>
    </row>
    <row r="4325" spans="1:22">
      <c r="A4325" t="s">
        <v>196</v>
      </c>
      <c r="B4325">
        <v>84</v>
      </c>
      <c r="C4325" t="s">
        <v>1762</v>
      </c>
      <c r="D4325">
        <v>100</v>
      </c>
      <c r="E4325" t="s">
        <v>197</v>
      </c>
      <c r="F4325">
        <v>1115</v>
      </c>
      <c r="G4325" t="s">
        <v>77</v>
      </c>
      <c r="H4325">
        <v>2115</v>
      </c>
      <c r="I4325" t="s">
        <v>77</v>
      </c>
      <c r="J4325">
        <v>3216</v>
      </c>
      <c r="K4325" t="s">
        <v>638</v>
      </c>
      <c r="L4325">
        <v>4216</v>
      </c>
      <c r="M4325" t="s">
        <v>1790</v>
      </c>
      <c r="N4325" t="s">
        <v>199</v>
      </c>
      <c r="O4325">
        <v>0</v>
      </c>
      <c r="P4325">
        <v>15</v>
      </c>
      <c r="Q4325" t="s">
        <v>264</v>
      </c>
      <c r="R4325" t="s">
        <v>201</v>
      </c>
      <c r="S4325">
        <v>0</v>
      </c>
      <c r="T4325">
        <v>0</v>
      </c>
      <c r="U4325">
        <v>6370</v>
      </c>
      <c r="V4325">
        <v>6370</v>
      </c>
    </row>
    <row r="4326" spans="1:22">
      <c r="A4326" t="s">
        <v>196</v>
      </c>
      <c r="B4326">
        <v>84</v>
      </c>
      <c r="C4326" t="s">
        <v>1762</v>
      </c>
      <c r="D4326">
        <v>100</v>
      </c>
      <c r="E4326" t="s">
        <v>197</v>
      </c>
      <c r="F4326">
        <v>1115</v>
      </c>
      <c r="G4326" t="s">
        <v>77</v>
      </c>
      <c r="H4326">
        <v>2115</v>
      </c>
      <c r="I4326" t="s">
        <v>77</v>
      </c>
      <c r="J4326">
        <v>3217</v>
      </c>
      <c r="K4326" t="s">
        <v>1791</v>
      </c>
      <c r="L4326">
        <v>0</v>
      </c>
      <c r="N4326" t="s">
        <v>341</v>
      </c>
      <c r="O4326">
        <v>1</v>
      </c>
      <c r="P4326">
        <v>1482</v>
      </c>
      <c r="Q4326" t="s">
        <v>364</v>
      </c>
      <c r="R4326" t="s">
        <v>201</v>
      </c>
      <c r="S4326">
        <v>1</v>
      </c>
      <c r="T4326">
        <v>1</v>
      </c>
      <c r="U4326">
        <v>74172</v>
      </c>
      <c r="V4326">
        <v>74172</v>
      </c>
    </row>
    <row r="4327" spans="1:22">
      <c r="A4327" t="s">
        <v>196</v>
      </c>
      <c r="B4327">
        <v>84</v>
      </c>
      <c r="C4327" t="s">
        <v>1762</v>
      </c>
      <c r="D4327">
        <v>100</v>
      </c>
      <c r="E4327" t="s">
        <v>197</v>
      </c>
      <c r="F4327">
        <v>1115</v>
      </c>
      <c r="G4327" t="s">
        <v>77</v>
      </c>
      <c r="H4327">
        <v>2115</v>
      </c>
      <c r="I4327" t="s">
        <v>77</v>
      </c>
      <c r="J4327">
        <v>3217</v>
      </c>
      <c r="K4327" t="s">
        <v>1791</v>
      </c>
      <c r="L4327">
        <v>0</v>
      </c>
      <c r="N4327" t="s">
        <v>1314</v>
      </c>
      <c r="O4327">
        <v>0</v>
      </c>
      <c r="P4327">
        <v>1195</v>
      </c>
      <c r="Q4327" t="s">
        <v>927</v>
      </c>
      <c r="R4327" t="s">
        <v>201</v>
      </c>
      <c r="S4327">
        <v>1</v>
      </c>
      <c r="T4327">
        <v>1</v>
      </c>
      <c r="U4327">
        <v>160680</v>
      </c>
      <c r="V4327">
        <v>160680</v>
      </c>
    </row>
    <row r="4328" spans="1:22">
      <c r="A4328" t="s">
        <v>196</v>
      </c>
      <c r="B4328">
        <v>84</v>
      </c>
      <c r="C4328" t="s">
        <v>1762</v>
      </c>
      <c r="D4328">
        <v>100</v>
      </c>
      <c r="E4328" t="s">
        <v>197</v>
      </c>
      <c r="F4328">
        <v>1115</v>
      </c>
      <c r="G4328" t="s">
        <v>77</v>
      </c>
      <c r="H4328">
        <v>2115</v>
      </c>
      <c r="I4328" t="s">
        <v>77</v>
      </c>
      <c r="J4328">
        <v>3217</v>
      </c>
      <c r="K4328" t="s">
        <v>1791</v>
      </c>
      <c r="L4328">
        <v>0</v>
      </c>
      <c r="N4328" t="s">
        <v>392</v>
      </c>
      <c r="O4328">
        <v>4</v>
      </c>
      <c r="P4328">
        <v>345</v>
      </c>
      <c r="Q4328" t="s">
        <v>393</v>
      </c>
      <c r="R4328" t="s">
        <v>201</v>
      </c>
      <c r="S4328">
        <v>1</v>
      </c>
      <c r="T4328">
        <v>1</v>
      </c>
      <c r="U4328">
        <v>130668</v>
      </c>
      <c r="V4328">
        <v>130668</v>
      </c>
    </row>
    <row r="4329" spans="1:22">
      <c r="A4329" t="s">
        <v>196</v>
      </c>
      <c r="B4329">
        <v>84</v>
      </c>
      <c r="C4329" t="s">
        <v>1762</v>
      </c>
      <c r="D4329">
        <v>100</v>
      </c>
      <c r="E4329" t="s">
        <v>197</v>
      </c>
      <c r="F4329">
        <v>1115</v>
      </c>
      <c r="G4329" t="s">
        <v>77</v>
      </c>
      <c r="H4329">
        <v>2115</v>
      </c>
      <c r="I4329" t="s">
        <v>77</v>
      </c>
      <c r="J4329">
        <v>3217</v>
      </c>
      <c r="K4329" t="s">
        <v>1791</v>
      </c>
      <c r="L4329">
        <v>0</v>
      </c>
      <c r="N4329" t="s">
        <v>392</v>
      </c>
      <c r="O4329">
        <v>4</v>
      </c>
      <c r="P4329">
        <v>345</v>
      </c>
      <c r="Q4329" t="s">
        <v>393</v>
      </c>
      <c r="R4329" t="s">
        <v>201</v>
      </c>
      <c r="S4329">
        <v>1</v>
      </c>
      <c r="T4329">
        <v>1</v>
      </c>
      <c r="U4329">
        <v>90732</v>
      </c>
      <c r="V4329">
        <v>90732</v>
      </c>
    </row>
    <row r="4330" spans="1:22">
      <c r="A4330" t="s">
        <v>196</v>
      </c>
      <c r="B4330">
        <v>84</v>
      </c>
      <c r="C4330" t="s">
        <v>1762</v>
      </c>
      <c r="D4330">
        <v>100</v>
      </c>
      <c r="E4330" t="s">
        <v>197</v>
      </c>
      <c r="F4330">
        <v>1115</v>
      </c>
      <c r="G4330" t="s">
        <v>77</v>
      </c>
      <c r="H4330">
        <v>2115</v>
      </c>
      <c r="I4330" t="s">
        <v>77</v>
      </c>
      <c r="J4330">
        <v>3217</v>
      </c>
      <c r="K4330" t="s">
        <v>1791</v>
      </c>
      <c r="L4330">
        <v>0</v>
      </c>
      <c r="N4330" t="s">
        <v>199</v>
      </c>
      <c r="O4330">
        <v>0</v>
      </c>
      <c r="P4330">
        <v>15</v>
      </c>
      <c r="Q4330" t="s">
        <v>264</v>
      </c>
      <c r="R4330" t="s">
        <v>201</v>
      </c>
      <c r="S4330">
        <v>0</v>
      </c>
      <c r="T4330">
        <v>0</v>
      </c>
      <c r="U4330">
        <v>3970</v>
      </c>
      <c r="V4330">
        <v>3970</v>
      </c>
    </row>
    <row r="4331" spans="1:22">
      <c r="A4331" t="s">
        <v>196</v>
      </c>
      <c r="B4331">
        <v>84</v>
      </c>
      <c r="C4331" t="s">
        <v>1762</v>
      </c>
      <c r="D4331">
        <v>100</v>
      </c>
      <c r="E4331" t="s">
        <v>197</v>
      </c>
      <c r="F4331">
        <v>1115</v>
      </c>
      <c r="G4331" t="s">
        <v>77</v>
      </c>
      <c r="H4331">
        <v>2115</v>
      </c>
      <c r="I4331" t="s">
        <v>77</v>
      </c>
      <c r="J4331">
        <v>3218</v>
      </c>
      <c r="K4331" t="s">
        <v>928</v>
      </c>
      <c r="L4331">
        <v>4218</v>
      </c>
      <c r="M4331" t="s">
        <v>652</v>
      </c>
      <c r="N4331" t="s">
        <v>1314</v>
      </c>
      <c r="O4331">
        <v>0</v>
      </c>
      <c r="P4331">
        <v>1336</v>
      </c>
      <c r="Q4331" t="s">
        <v>896</v>
      </c>
      <c r="R4331" t="s">
        <v>201</v>
      </c>
      <c r="S4331">
        <v>1</v>
      </c>
      <c r="T4331">
        <v>1</v>
      </c>
      <c r="U4331">
        <v>160680</v>
      </c>
      <c r="V4331">
        <v>160680</v>
      </c>
    </row>
    <row r="4332" spans="1:22">
      <c r="A4332" t="s">
        <v>196</v>
      </c>
      <c r="B4332">
        <v>84</v>
      </c>
      <c r="C4332" t="s">
        <v>1762</v>
      </c>
      <c r="D4332">
        <v>100</v>
      </c>
      <c r="E4332" t="s">
        <v>197</v>
      </c>
      <c r="F4332">
        <v>1115</v>
      </c>
      <c r="G4332" t="s">
        <v>77</v>
      </c>
      <c r="H4332">
        <v>2115</v>
      </c>
      <c r="I4332" t="s">
        <v>77</v>
      </c>
      <c r="J4332">
        <v>3218</v>
      </c>
      <c r="K4332" t="s">
        <v>928</v>
      </c>
      <c r="L4332">
        <v>4218</v>
      </c>
      <c r="M4332" t="s">
        <v>652</v>
      </c>
      <c r="N4332" t="s">
        <v>253</v>
      </c>
      <c r="O4332">
        <v>20</v>
      </c>
      <c r="P4332">
        <v>1331</v>
      </c>
      <c r="Q4332" t="s">
        <v>653</v>
      </c>
      <c r="R4332" t="s">
        <v>201</v>
      </c>
      <c r="S4332">
        <v>1</v>
      </c>
      <c r="T4332">
        <v>1</v>
      </c>
      <c r="U4332">
        <v>97836</v>
      </c>
      <c r="V4332">
        <v>97836</v>
      </c>
    </row>
    <row r="4333" spans="1:22">
      <c r="A4333" t="s">
        <v>196</v>
      </c>
      <c r="B4333">
        <v>84</v>
      </c>
      <c r="C4333" t="s">
        <v>1762</v>
      </c>
      <c r="D4333">
        <v>100</v>
      </c>
      <c r="E4333" t="s">
        <v>197</v>
      </c>
      <c r="F4333">
        <v>1115</v>
      </c>
      <c r="G4333" t="s">
        <v>77</v>
      </c>
      <c r="H4333">
        <v>2115</v>
      </c>
      <c r="I4333" t="s">
        <v>77</v>
      </c>
      <c r="J4333">
        <v>3218</v>
      </c>
      <c r="K4333" t="s">
        <v>928</v>
      </c>
      <c r="L4333">
        <v>4218</v>
      </c>
      <c r="M4333" t="s">
        <v>652</v>
      </c>
      <c r="N4333" t="s">
        <v>341</v>
      </c>
      <c r="O4333">
        <v>1</v>
      </c>
      <c r="P4333">
        <v>1301</v>
      </c>
      <c r="Q4333" t="s">
        <v>618</v>
      </c>
      <c r="R4333" t="s">
        <v>201</v>
      </c>
      <c r="S4333">
        <v>1</v>
      </c>
      <c r="T4333">
        <v>1</v>
      </c>
      <c r="U4333">
        <v>119100</v>
      </c>
      <c r="V4333">
        <v>119100</v>
      </c>
    </row>
    <row r="4334" spans="1:22">
      <c r="A4334" t="s">
        <v>196</v>
      </c>
      <c r="B4334">
        <v>84</v>
      </c>
      <c r="C4334" t="s">
        <v>1762</v>
      </c>
      <c r="D4334">
        <v>100</v>
      </c>
      <c r="E4334" t="s">
        <v>197</v>
      </c>
      <c r="F4334">
        <v>1115</v>
      </c>
      <c r="G4334" t="s">
        <v>77</v>
      </c>
      <c r="H4334">
        <v>2115</v>
      </c>
      <c r="I4334" t="s">
        <v>77</v>
      </c>
      <c r="J4334">
        <v>3218</v>
      </c>
      <c r="K4334" t="s">
        <v>928</v>
      </c>
      <c r="L4334">
        <v>4218</v>
      </c>
      <c r="M4334" t="s">
        <v>652</v>
      </c>
      <c r="N4334" t="s">
        <v>341</v>
      </c>
      <c r="O4334">
        <v>1</v>
      </c>
      <c r="P4334">
        <v>1301</v>
      </c>
      <c r="Q4334" t="s">
        <v>618</v>
      </c>
      <c r="R4334" t="s">
        <v>201</v>
      </c>
      <c r="S4334">
        <v>1</v>
      </c>
      <c r="T4334">
        <v>1</v>
      </c>
      <c r="U4334">
        <v>77640</v>
      </c>
      <c r="V4334">
        <v>77640</v>
      </c>
    </row>
    <row r="4335" spans="1:22">
      <c r="A4335" t="s">
        <v>196</v>
      </c>
      <c r="B4335">
        <v>84</v>
      </c>
      <c r="C4335" t="s">
        <v>1762</v>
      </c>
      <c r="D4335">
        <v>100</v>
      </c>
      <c r="E4335" t="s">
        <v>197</v>
      </c>
      <c r="F4335">
        <v>1115</v>
      </c>
      <c r="G4335" t="s">
        <v>77</v>
      </c>
      <c r="H4335">
        <v>2115</v>
      </c>
      <c r="I4335" t="s">
        <v>77</v>
      </c>
      <c r="J4335">
        <v>3218</v>
      </c>
      <c r="K4335" t="s">
        <v>928</v>
      </c>
      <c r="L4335">
        <v>4218</v>
      </c>
      <c r="M4335" t="s">
        <v>652</v>
      </c>
      <c r="N4335" t="s">
        <v>341</v>
      </c>
      <c r="O4335">
        <v>1</v>
      </c>
      <c r="P4335">
        <v>308</v>
      </c>
      <c r="Q4335" t="s">
        <v>355</v>
      </c>
      <c r="R4335" t="s">
        <v>201</v>
      </c>
      <c r="S4335">
        <v>1</v>
      </c>
      <c r="T4335">
        <v>1</v>
      </c>
      <c r="U4335">
        <v>85200</v>
      </c>
      <c r="V4335">
        <v>85200</v>
      </c>
    </row>
    <row r="4336" spans="1:22">
      <c r="A4336" t="s">
        <v>196</v>
      </c>
      <c r="B4336">
        <v>84</v>
      </c>
      <c r="C4336" t="s">
        <v>1762</v>
      </c>
      <c r="D4336">
        <v>100</v>
      </c>
      <c r="E4336" t="s">
        <v>197</v>
      </c>
      <c r="F4336">
        <v>1115</v>
      </c>
      <c r="G4336" t="s">
        <v>77</v>
      </c>
      <c r="H4336">
        <v>2115</v>
      </c>
      <c r="I4336" t="s">
        <v>77</v>
      </c>
      <c r="J4336">
        <v>3218</v>
      </c>
      <c r="K4336" t="s">
        <v>928</v>
      </c>
      <c r="L4336">
        <v>4218</v>
      </c>
      <c r="M4336" t="s">
        <v>652</v>
      </c>
      <c r="N4336" t="s">
        <v>341</v>
      </c>
      <c r="O4336">
        <v>1</v>
      </c>
      <c r="P4336">
        <v>308</v>
      </c>
      <c r="Q4336" t="s">
        <v>355</v>
      </c>
      <c r="R4336" t="s">
        <v>201</v>
      </c>
      <c r="S4336">
        <v>1</v>
      </c>
      <c r="T4336">
        <v>1</v>
      </c>
      <c r="U4336">
        <v>70752</v>
      </c>
      <c r="V4336">
        <v>70752</v>
      </c>
    </row>
    <row r="4337" spans="1:22">
      <c r="A4337" t="s">
        <v>196</v>
      </c>
      <c r="B4337">
        <v>84</v>
      </c>
      <c r="C4337" t="s">
        <v>1762</v>
      </c>
      <c r="D4337">
        <v>100</v>
      </c>
      <c r="E4337" t="s">
        <v>197</v>
      </c>
      <c r="F4337">
        <v>1115</v>
      </c>
      <c r="G4337" t="s">
        <v>77</v>
      </c>
      <c r="H4337">
        <v>2115</v>
      </c>
      <c r="I4337" t="s">
        <v>77</v>
      </c>
      <c r="J4337">
        <v>3218</v>
      </c>
      <c r="K4337" t="s">
        <v>928</v>
      </c>
      <c r="L4337">
        <v>4218</v>
      </c>
      <c r="M4337" t="s">
        <v>652</v>
      </c>
      <c r="N4337" t="s">
        <v>199</v>
      </c>
      <c r="O4337">
        <v>0</v>
      </c>
      <c r="P4337">
        <v>15</v>
      </c>
      <c r="Q4337" t="s">
        <v>264</v>
      </c>
      <c r="R4337" t="s">
        <v>201</v>
      </c>
      <c r="S4337">
        <v>0</v>
      </c>
      <c r="T4337">
        <v>0</v>
      </c>
      <c r="U4337">
        <v>8727</v>
      </c>
      <c r="V4337">
        <v>8727</v>
      </c>
    </row>
    <row r="4338" spans="1:22">
      <c r="A4338" t="s">
        <v>196</v>
      </c>
      <c r="B4338">
        <v>84</v>
      </c>
      <c r="C4338" t="s">
        <v>1762</v>
      </c>
      <c r="D4338">
        <v>100</v>
      </c>
      <c r="E4338" t="s">
        <v>197</v>
      </c>
      <c r="F4338">
        <v>1115</v>
      </c>
      <c r="G4338" t="s">
        <v>77</v>
      </c>
      <c r="H4338">
        <v>2115</v>
      </c>
      <c r="I4338" t="s">
        <v>77</v>
      </c>
      <c r="J4338">
        <v>3218</v>
      </c>
      <c r="K4338" t="s">
        <v>928</v>
      </c>
      <c r="L4338">
        <v>4219</v>
      </c>
      <c r="M4338" t="s">
        <v>930</v>
      </c>
      <c r="N4338" t="s">
        <v>341</v>
      </c>
      <c r="O4338">
        <v>1</v>
      </c>
      <c r="P4338">
        <v>1301</v>
      </c>
      <c r="Q4338" t="s">
        <v>618</v>
      </c>
      <c r="R4338" t="s">
        <v>201</v>
      </c>
      <c r="S4338">
        <v>1</v>
      </c>
      <c r="T4338">
        <v>1</v>
      </c>
      <c r="U4338">
        <v>70752</v>
      </c>
      <c r="V4338">
        <v>70752</v>
      </c>
    </row>
    <row r="4339" spans="1:22">
      <c r="A4339" t="s">
        <v>196</v>
      </c>
      <c r="B4339">
        <v>84</v>
      </c>
      <c r="C4339" t="s">
        <v>1762</v>
      </c>
      <c r="D4339">
        <v>100</v>
      </c>
      <c r="E4339" t="s">
        <v>197</v>
      </c>
      <c r="F4339">
        <v>1115</v>
      </c>
      <c r="G4339" t="s">
        <v>77</v>
      </c>
      <c r="H4339">
        <v>2115</v>
      </c>
      <c r="I4339" t="s">
        <v>77</v>
      </c>
      <c r="J4339">
        <v>3218</v>
      </c>
      <c r="K4339" t="s">
        <v>928</v>
      </c>
      <c r="L4339">
        <v>4219</v>
      </c>
      <c r="M4339" t="s">
        <v>930</v>
      </c>
      <c r="N4339" t="s">
        <v>268</v>
      </c>
      <c r="O4339">
        <v>10</v>
      </c>
      <c r="P4339">
        <v>396</v>
      </c>
      <c r="Q4339" t="s">
        <v>1792</v>
      </c>
      <c r="R4339" t="s">
        <v>201</v>
      </c>
      <c r="S4339">
        <v>1</v>
      </c>
      <c r="T4339">
        <v>1</v>
      </c>
      <c r="U4339">
        <v>113568</v>
      </c>
      <c r="V4339">
        <v>113568</v>
      </c>
    </row>
    <row r="4340" spans="1:22">
      <c r="A4340" t="s">
        <v>196</v>
      </c>
      <c r="B4340">
        <v>84</v>
      </c>
      <c r="C4340" t="s">
        <v>1762</v>
      </c>
      <c r="D4340">
        <v>100</v>
      </c>
      <c r="E4340" t="s">
        <v>197</v>
      </c>
      <c r="F4340">
        <v>1115</v>
      </c>
      <c r="G4340" t="s">
        <v>77</v>
      </c>
      <c r="H4340">
        <v>2115</v>
      </c>
      <c r="I4340" t="s">
        <v>77</v>
      </c>
      <c r="J4340">
        <v>3218</v>
      </c>
      <c r="K4340" t="s">
        <v>928</v>
      </c>
      <c r="L4340">
        <v>4219</v>
      </c>
      <c r="M4340" t="s">
        <v>930</v>
      </c>
      <c r="N4340" t="s">
        <v>341</v>
      </c>
      <c r="O4340">
        <v>1</v>
      </c>
      <c r="P4340">
        <v>308</v>
      </c>
      <c r="Q4340" t="s">
        <v>355</v>
      </c>
      <c r="R4340" t="s">
        <v>201</v>
      </c>
      <c r="S4340">
        <v>1</v>
      </c>
      <c r="T4340">
        <v>1</v>
      </c>
      <c r="U4340">
        <v>70752</v>
      </c>
      <c r="V4340">
        <v>70752</v>
      </c>
    </row>
    <row r="4341" spans="1:22">
      <c r="A4341" t="s">
        <v>196</v>
      </c>
      <c r="B4341">
        <v>84</v>
      </c>
      <c r="C4341" t="s">
        <v>1762</v>
      </c>
      <c r="D4341">
        <v>100</v>
      </c>
      <c r="E4341" t="s">
        <v>197</v>
      </c>
      <c r="F4341">
        <v>1115</v>
      </c>
      <c r="G4341" t="s">
        <v>77</v>
      </c>
      <c r="H4341">
        <v>2115</v>
      </c>
      <c r="I4341" t="s">
        <v>77</v>
      </c>
      <c r="J4341">
        <v>3218</v>
      </c>
      <c r="K4341" t="s">
        <v>928</v>
      </c>
      <c r="L4341">
        <v>4219</v>
      </c>
      <c r="M4341" t="s">
        <v>930</v>
      </c>
      <c r="N4341" t="s">
        <v>1227</v>
      </c>
      <c r="O4341">
        <v>54</v>
      </c>
      <c r="P4341">
        <v>165</v>
      </c>
      <c r="Q4341" t="s">
        <v>1793</v>
      </c>
      <c r="R4341" t="s">
        <v>201</v>
      </c>
      <c r="S4341">
        <v>1</v>
      </c>
      <c r="T4341">
        <v>1</v>
      </c>
      <c r="U4341">
        <v>108528</v>
      </c>
      <c r="V4341">
        <v>108528</v>
      </c>
    </row>
    <row r="4342" spans="1:22">
      <c r="A4342" t="s">
        <v>196</v>
      </c>
      <c r="B4342">
        <v>84</v>
      </c>
      <c r="C4342" t="s">
        <v>1762</v>
      </c>
      <c r="D4342">
        <v>100</v>
      </c>
      <c r="E4342" t="s">
        <v>197</v>
      </c>
      <c r="F4342">
        <v>1115</v>
      </c>
      <c r="G4342" t="s">
        <v>77</v>
      </c>
      <c r="H4342">
        <v>2115</v>
      </c>
      <c r="I4342" t="s">
        <v>77</v>
      </c>
      <c r="J4342">
        <v>3218</v>
      </c>
      <c r="K4342" t="s">
        <v>928</v>
      </c>
      <c r="L4342">
        <v>4219</v>
      </c>
      <c r="M4342" t="s">
        <v>930</v>
      </c>
      <c r="N4342" t="s">
        <v>1227</v>
      </c>
      <c r="O4342">
        <v>54</v>
      </c>
      <c r="P4342">
        <v>165</v>
      </c>
      <c r="Q4342" t="s">
        <v>1793</v>
      </c>
      <c r="R4342" t="s">
        <v>201</v>
      </c>
      <c r="S4342">
        <v>2</v>
      </c>
      <c r="T4342">
        <v>1</v>
      </c>
      <c r="U4342">
        <v>64440</v>
      </c>
      <c r="V4342">
        <v>128880</v>
      </c>
    </row>
    <row r="4343" spans="1:22">
      <c r="A4343" t="s">
        <v>196</v>
      </c>
      <c r="B4343">
        <v>84</v>
      </c>
      <c r="C4343" t="s">
        <v>1762</v>
      </c>
      <c r="D4343">
        <v>100</v>
      </c>
      <c r="E4343" t="s">
        <v>197</v>
      </c>
      <c r="F4343">
        <v>1115</v>
      </c>
      <c r="G4343" t="s">
        <v>77</v>
      </c>
      <c r="H4343">
        <v>2115</v>
      </c>
      <c r="I4343" t="s">
        <v>77</v>
      </c>
      <c r="J4343">
        <v>3218</v>
      </c>
      <c r="K4343" t="s">
        <v>928</v>
      </c>
      <c r="L4343">
        <v>4219</v>
      </c>
      <c r="M4343" t="s">
        <v>930</v>
      </c>
      <c r="N4343" t="s">
        <v>199</v>
      </c>
      <c r="O4343">
        <v>0</v>
      </c>
      <c r="P4343">
        <v>15</v>
      </c>
      <c r="Q4343" t="s">
        <v>264</v>
      </c>
      <c r="R4343" t="s">
        <v>201</v>
      </c>
      <c r="S4343">
        <v>0</v>
      </c>
      <c r="T4343">
        <v>0</v>
      </c>
      <c r="U4343">
        <v>4794</v>
      </c>
      <c r="V4343">
        <v>4794</v>
      </c>
    </row>
    <row r="4344" spans="1:22">
      <c r="A4344" t="s">
        <v>196</v>
      </c>
      <c r="B4344">
        <v>84</v>
      </c>
      <c r="C4344" t="s">
        <v>1762</v>
      </c>
      <c r="D4344">
        <v>100</v>
      </c>
      <c r="E4344" t="s">
        <v>197</v>
      </c>
      <c r="F4344">
        <v>1130</v>
      </c>
      <c r="G4344" t="s">
        <v>120</v>
      </c>
      <c r="H4344">
        <v>2130</v>
      </c>
      <c r="I4344" t="s">
        <v>120</v>
      </c>
      <c r="J4344">
        <v>3130</v>
      </c>
      <c r="K4344" t="s">
        <v>1794</v>
      </c>
      <c r="L4344">
        <v>0</v>
      </c>
      <c r="N4344" t="s">
        <v>1294</v>
      </c>
      <c r="O4344">
        <v>0</v>
      </c>
      <c r="P4344">
        <v>9681</v>
      </c>
      <c r="Q4344" t="s">
        <v>338</v>
      </c>
      <c r="R4344" t="s">
        <v>201</v>
      </c>
      <c r="S4344">
        <v>1</v>
      </c>
      <c r="T4344">
        <v>1</v>
      </c>
      <c r="U4344">
        <v>184584</v>
      </c>
      <c r="V4344">
        <v>184584</v>
      </c>
    </row>
    <row r="4345" spans="1:22">
      <c r="A4345" t="s">
        <v>196</v>
      </c>
      <c r="B4345">
        <v>84</v>
      </c>
      <c r="C4345" t="s">
        <v>1762</v>
      </c>
      <c r="D4345">
        <v>100</v>
      </c>
      <c r="E4345" t="s">
        <v>197</v>
      </c>
      <c r="F4345">
        <v>1130</v>
      </c>
      <c r="G4345" t="s">
        <v>120</v>
      </c>
      <c r="H4345">
        <v>2130</v>
      </c>
      <c r="I4345" t="s">
        <v>120</v>
      </c>
      <c r="J4345">
        <v>3130</v>
      </c>
      <c r="K4345" t="s">
        <v>1794</v>
      </c>
      <c r="L4345">
        <v>0</v>
      </c>
      <c r="N4345" t="s">
        <v>271</v>
      </c>
      <c r="O4345">
        <v>20</v>
      </c>
      <c r="P4345">
        <v>6255</v>
      </c>
      <c r="Q4345" t="s">
        <v>1795</v>
      </c>
      <c r="R4345" t="s">
        <v>201</v>
      </c>
      <c r="S4345">
        <v>1</v>
      </c>
      <c r="T4345">
        <v>1</v>
      </c>
      <c r="U4345">
        <v>131124</v>
      </c>
      <c r="V4345">
        <v>131124</v>
      </c>
    </row>
    <row r="4346" spans="1:22">
      <c r="A4346" t="s">
        <v>196</v>
      </c>
      <c r="B4346">
        <v>84</v>
      </c>
      <c r="C4346" t="s">
        <v>1762</v>
      </c>
      <c r="D4346">
        <v>100</v>
      </c>
      <c r="E4346" t="s">
        <v>197</v>
      </c>
      <c r="F4346">
        <v>1130</v>
      </c>
      <c r="G4346" t="s">
        <v>120</v>
      </c>
      <c r="H4346">
        <v>2130</v>
      </c>
      <c r="I4346" t="s">
        <v>120</v>
      </c>
      <c r="J4346">
        <v>3130</v>
      </c>
      <c r="K4346" t="s">
        <v>1794</v>
      </c>
      <c r="L4346">
        <v>0</v>
      </c>
      <c r="N4346" t="s">
        <v>271</v>
      </c>
      <c r="O4346">
        <v>20</v>
      </c>
      <c r="P4346">
        <v>6255</v>
      </c>
      <c r="Q4346" t="s">
        <v>1795</v>
      </c>
      <c r="R4346" t="s">
        <v>201</v>
      </c>
      <c r="S4346">
        <v>1</v>
      </c>
      <c r="T4346">
        <v>1</v>
      </c>
      <c r="U4346">
        <v>115992</v>
      </c>
      <c r="V4346">
        <v>115992</v>
      </c>
    </row>
    <row r="4347" spans="1:22">
      <c r="A4347" t="s">
        <v>196</v>
      </c>
      <c r="B4347">
        <v>84</v>
      </c>
      <c r="C4347" t="s">
        <v>1762</v>
      </c>
      <c r="D4347">
        <v>100</v>
      </c>
      <c r="E4347" t="s">
        <v>197</v>
      </c>
      <c r="F4347">
        <v>1130</v>
      </c>
      <c r="G4347" t="s">
        <v>120</v>
      </c>
      <c r="H4347">
        <v>2130</v>
      </c>
      <c r="I4347" t="s">
        <v>120</v>
      </c>
      <c r="J4347">
        <v>3130</v>
      </c>
      <c r="K4347" t="s">
        <v>1794</v>
      </c>
      <c r="L4347">
        <v>0</v>
      </c>
      <c r="N4347" t="s">
        <v>602</v>
      </c>
      <c r="O4347">
        <v>4</v>
      </c>
      <c r="P4347">
        <v>6254</v>
      </c>
      <c r="Q4347" t="s">
        <v>1796</v>
      </c>
      <c r="R4347" t="s">
        <v>201</v>
      </c>
      <c r="S4347">
        <v>1</v>
      </c>
      <c r="T4347">
        <v>1</v>
      </c>
      <c r="U4347">
        <v>107628</v>
      </c>
      <c r="V4347">
        <v>107628</v>
      </c>
    </row>
    <row r="4348" spans="1:22">
      <c r="A4348" t="s">
        <v>196</v>
      </c>
      <c r="B4348">
        <v>84</v>
      </c>
      <c r="C4348" t="s">
        <v>1762</v>
      </c>
      <c r="D4348">
        <v>100</v>
      </c>
      <c r="E4348" t="s">
        <v>197</v>
      </c>
      <c r="F4348">
        <v>1130</v>
      </c>
      <c r="G4348" t="s">
        <v>120</v>
      </c>
      <c r="H4348">
        <v>2130</v>
      </c>
      <c r="I4348" t="s">
        <v>120</v>
      </c>
      <c r="J4348">
        <v>3130</v>
      </c>
      <c r="K4348" t="s">
        <v>1794</v>
      </c>
      <c r="L4348">
        <v>0</v>
      </c>
      <c r="N4348" t="s">
        <v>360</v>
      </c>
      <c r="O4348">
        <v>1</v>
      </c>
      <c r="P4348">
        <v>6142</v>
      </c>
      <c r="Q4348" t="s">
        <v>1797</v>
      </c>
      <c r="R4348" t="s">
        <v>201</v>
      </c>
      <c r="S4348">
        <v>1</v>
      </c>
      <c r="T4348">
        <v>1</v>
      </c>
      <c r="U4348">
        <v>57000</v>
      </c>
      <c r="V4348">
        <v>57000</v>
      </c>
    </row>
    <row r="4349" spans="1:22">
      <c r="A4349" t="s">
        <v>196</v>
      </c>
      <c r="B4349">
        <v>84</v>
      </c>
      <c r="C4349" t="s">
        <v>1762</v>
      </c>
      <c r="D4349">
        <v>100</v>
      </c>
      <c r="E4349" t="s">
        <v>197</v>
      </c>
      <c r="F4349">
        <v>1130</v>
      </c>
      <c r="G4349" t="s">
        <v>120</v>
      </c>
      <c r="H4349">
        <v>2130</v>
      </c>
      <c r="I4349" t="s">
        <v>120</v>
      </c>
      <c r="J4349">
        <v>3130</v>
      </c>
      <c r="K4349" t="s">
        <v>1794</v>
      </c>
      <c r="L4349">
        <v>0</v>
      </c>
      <c r="N4349" t="s">
        <v>1370</v>
      </c>
      <c r="O4349">
        <v>20</v>
      </c>
      <c r="P4349">
        <v>5632</v>
      </c>
      <c r="Q4349" t="s">
        <v>1798</v>
      </c>
      <c r="R4349" t="s">
        <v>201</v>
      </c>
      <c r="S4349">
        <v>1</v>
      </c>
      <c r="T4349">
        <v>1</v>
      </c>
      <c r="U4349">
        <v>121320</v>
      </c>
      <c r="V4349">
        <v>121320</v>
      </c>
    </row>
    <row r="4350" spans="1:22">
      <c r="A4350" t="s">
        <v>196</v>
      </c>
      <c r="B4350">
        <v>84</v>
      </c>
      <c r="C4350" t="s">
        <v>1762</v>
      </c>
      <c r="D4350">
        <v>100</v>
      </c>
      <c r="E4350" t="s">
        <v>197</v>
      </c>
      <c r="F4350">
        <v>1130</v>
      </c>
      <c r="G4350" t="s">
        <v>120</v>
      </c>
      <c r="H4350">
        <v>2130</v>
      </c>
      <c r="I4350" t="s">
        <v>120</v>
      </c>
      <c r="J4350">
        <v>3130</v>
      </c>
      <c r="K4350" t="s">
        <v>1794</v>
      </c>
      <c r="L4350">
        <v>0</v>
      </c>
      <c r="N4350" t="s">
        <v>271</v>
      </c>
      <c r="O4350">
        <v>20</v>
      </c>
      <c r="P4350">
        <v>5630</v>
      </c>
      <c r="Q4350" t="s">
        <v>955</v>
      </c>
      <c r="R4350" t="s">
        <v>201</v>
      </c>
      <c r="S4350">
        <v>1</v>
      </c>
      <c r="T4350">
        <v>1</v>
      </c>
      <c r="U4350">
        <v>115992</v>
      </c>
      <c r="V4350">
        <v>115992</v>
      </c>
    </row>
    <row r="4351" spans="1:22">
      <c r="A4351" t="s">
        <v>196</v>
      </c>
      <c r="B4351">
        <v>84</v>
      </c>
      <c r="C4351" t="s">
        <v>1762</v>
      </c>
      <c r="D4351">
        <v>100</v>
      </c>
      <c r="E4351" t="s">
        <v>197</v>
      </c>
      <c r="F4351">
        <v>1130</v>
      </c>
      <c r="G4351" t="s">
        <v>120</v>
      </c>
      <c r="H4351">
        <v>2130</v>
      </c>
      <c r="I4351" t="s">
        <v>120</v>
      </c>
      <c r="J4351">
        <v>3130</v>
      </c>
      <c r="K4351" t="s">
        <v>1794</v>
      </c>
      <c r="L4351">
        <v>0</v>
      </c>
      <c r="N4351" t="s">
        <v>245</v>
      </c>
      <c r="O4351">
        <v>20</v>
      </c>
      <c r="P4351">
        <v>1440</v>
      </c>
      <c r="Q4351" t="s">
        <v>1799</v>
      </c>
      <c r="R4351" t="s">
        <v>201</v>
      </c>
      <c r="S4351">
        <v>1</v>
      </c>
      <c r="T4351">
        <v>1</v>
      </c>
      <c r="U4351">
        <v>126756</v>
      </c>
      <c r="V4351">
        <v>126756</v>
      </c>
    </row>
    <row r="4352" spans="1:22">
      <c r="A4352" t="s">
        <v>196</v>
      </c>
      <c r="B4352">
        <v>84</v>
      </c>
      <c r="C4352" t="s">
        <v>1762</v>
      </c>
      <c r="D4352">
        <v>100</v>
      </c>
      <c r="E4352" t="s">
        <v>197</v>
      </c>
      <c r="F4352">
        <v>1130</v>
      </c>
      <c r="G4352" t="s">
        <v>120</v>
      </c>
      <c r="H4352">
        <v>2130</v>
      </c>
      <c r="I4352" t="s">
        <v>120</v>
      </c>
      <c r="J4352">
        <v>3130</v>
      </c>
      <c r="K4352" t="s">
        <v>1794</v>
      </c>
      <c r="L4352">
        <v>0</v>
      </c>
      <c r="N4352" t="s">
        <v>386</v>
      </c>
      <c r="O4352">
        <v>4</v>
      </c>
      <c r="P4352">
        <v>659</v>
      </c>
      <c r="Q4352" t="s">
        <v>686</v>
      </c>
      <c r="R4352" t="s">
        <v>201</v>
      </c>
      <c r="S4352">
        <v>1</v>
      </c>
      <c r="T4352">
        <v>1</v>
      </c>
      <c r="U4352">
        <v>153228</v>
      </c>
      <c r="V4352">
        <v>153228</v>
      </c>
    </row>
    <row r="4353" spans="1:22">
      <c r="A4353" t="s">
        <v>196</v>
      </c>
      <c r="B4353">
        <v>84</v>
      </c>
      <c r="C4353" t="s">
        <v>1762</v>
      </c>
      <c r="D4353">
        <v>100</v>
      </c>
      <c r="E4353" t="s">
        <v>197</v>
      </c>
      <c r="F4353">
        <v>1130</v>
      </c>
      <c r="G4353" t="s">
        <v>120</v>
      </c>
      <c r="H4353">
        <v>2130</v>
      </c>
      <c r="I4353" t="s">
        <v>120</v>
      </c>
      <c r="J4353">
        <v>3130</v>
      </c>
      <c r="K4353" t="s">
        <v>1794</v>
      </c>
      <c r="L4353">
        <v>0</v>
      </c>
      <c r="N4353" t="s">
        <v>1314</v>
      </c>
      <c r="O4353">
        <v>0</v>
      </c>
      <c r="P4353" t="s">
        <v>1315</v>
      </c>
      <c r="Q4353" t="s">
        <v>636</v>
      </c>
      <c r="R4353" t="s">
        <v>201</v>
      </c>
      <c r="S4353">
        <v>1</v>
      </c>
      <c r="T4353">
        <v>1</v>
      </c>
      <c r="U4353">
        <v>167700</v>
      </c>
      <c r="V4353">
        <v>167700</v>
      </c>
    </row>
    <row r="4354" spans="1:22">
      <c r="A4354" t="s">
        <v>196</v>
      </c>
      <c r="B4354">
        <v>84</v>
      </c>
      <c r="C4354" t="s">
        <v>1762</v>
      </c>
      <c r="D4354">
        <v>100</v>
      </c>
      <c r="E4354" t="s">
        <v>197</v>
      </c>
      <c r="F4354">
        <v>1130</v>
      </c>
      <c r="G4354" t="s">
        <v>120</v>
      </c>
      <c r="H4354">
        <v>2130</v>
      </c>
      <c r="I4354" t="s">
        <v>120</v>
      </c>
      <c r="J4354">
        <v>3130</v>
      </c>
      <c r="K4354" t="s">
        <v>1794</v>
      </c>
      <c r="L4354">
        <v>0</v>
      </c>
      <c r="N4354" t="s">
        <v>199</v>
      </c>
      <c r="O4354">
        <v>0</v>
      </c>
      <c r="P4354">
        <v>15</v>
      </c>
      <c r="Q4354" t="s">
        <v>264</v>
      </c>
      <c r="R4354" t="s">
        <v>201</v>
      </c>
      <c r="S4354">
        <v>0</v>
      </c>
      <c r="T4354">
        <v>0</v>
      </c>
      <c r="U4354">
        <v>23267</v>
      </c>
      <c r="V4354">
        <v>23267</v>
      </c>
    </row>
    <row r="4355" spans="1:22">
      <c r="A4355" t="s">
        <v>196</v>
      </c>
      <c r="B4355">
        <v>84</v>
      </c>
      <c r="C4355" t="s">
        <v>1762</v>
      </c>
      <c r="D4355">
        <v>100</v>
      </c>
      <c r="E4355" t="s">
        <v>197</v>
      </c>
      <c r="F4355">
        <v>1140</v>
      </c>
      <c r="G4355" t="s">
        <v>76</v>
      </c>
      <c r="H4355">
        <v>2140</v>
      </c>
      <c r="I4355" t="s">
        <v>76</v>
      </c>
      <c r="J4355">
        <v>3139</v>
      </c>
      <c r="K4355" t="s">
        <v>1800</v>
      </c>
      <c r="L4355">
        <v>4139</v>
      </c>
      <c r="M4355" t="s">
        <v>1801</v>
      </c>
      <c r="N4355" t="s">
        <v>1294</v>
      </c>
      <c r="O4355">
        <v>0</v>
      </c>
      <c r="P4355">
        <v>9681</v>
      </c>
      <c r="Q4355" t="s">
        <v>338</v>
      </c>
      <c r="R4355" t="s">
        <v>201</v>
      </c>
      <c r="S4355">
        <v>1</v>
      </c>
      <c r="T4355">
        <v>1</v>
      </c>
      <c r="U4355">
        <v>153000</v>
      </c>
      <c r="V4355">
        <v>153000</v>
      </c>
    </row>
    <row r="4356" spans="1:22">
      <c r="A4356" t="s">
        <v>196</v>
      </c>
      <c r="B4356">
        <v>84</v>
      </c>
      <c r="C4356" t="s">
        <v>1762</v>
      </c>
      <c r="D4356">
        <v>100</v>
      </c>
      <c r="E4356" t="s">
        <v>197</v>
      </c>
      <c r="F4356">
        <v>1140</v>
      </c>
      <c r="G4356" t="s">
        <v>76</v>
      </c>
      <c r="H4356">
        <v>2140</v>
      </c>
      <c r="I4356" t="s">
        <v>76</v>
      </c>
      <c r="J4356">
        <v>3139</v>
      </c>
      <c r="K4356" t="s">
        <v>1800</v>
      </c>
      <c r="L4356">
        <v>4139</v>
      </c>
      <c r="M4356" t="s">
        <v>1801</v>
      </c>
      <c r="N4356" t="s">
        <v>622</v>
      </c>
      <c r="O4356">
        <v>1</v>
      </c>
      <c r="P4356" t="s">
        <v>667</v>
      </c>
      <c r="Q4356" t="s">
        <v>205</v>
      </c>
      <c r="R4356" t="s">
        <v>201</v>
      </c>
      <c r="S4356">
        <v>1</v>
      </c>
      <c r="T4356">
        <v>1</v>
      </c>
      <c r="U4356">
        <v>90144</v>
      </c>
      <c r="V4356">
        <v>90144</v>
      </c>
    </row>
    <row r="4357" spans="1:22">
      <c r="A4357" t="s">
        <v>196</v>
      </c>
      <c r="B4357">
        <v>84</v>
      </c>
      <c r="C4357" t="s">
        <v>1762</v>
      </c>
      <c r="D4357">
        <v>100</v>
      </c>
      <c r="E4357" t="s">
        <v>197</v>
      </c>
      <c r="F4357">
        <v>1140</v>
      </c>
      <c r="G4357" t="s">
        <v>76</v>
      </c>
      <c r="H4357">
        <v>2140</v>
      </c>
      <c r="I4357" t="s">
        <v>76</v>
      </c>
      <c r="J4357">
        <v>3139</v>
      </c>
      <c r="K4357" t="s">
        <v>1800</v>
      </c>
      <c r="L4357">
        <v>4139</v>
      </c>
      <c r="M4357" t="s">
        <v>1801</v>
      </c>
      <c r="N4357" t="s">
        <v>622</v>
      </c>
      <c r="O4357">
        <v>1</v>
      </c>
      <c r="P4357" t="s">
        <v>667</v>
      </c>
      <c r="Q4357" t="s">
        <v>205</v>
      </c>
      <c r="R4357" t="s">
        <v>201</v>
      </c>
      <c r="S4357">
        <v>1</v>
      </c>
      <c r="T4357">
        <v>1</v>
      </c>
      <c r="U4357">
        <v>74916</v>
      </c>
      <c r="V4357">
        <v>74916</v>
      </c>
    </row>
    <row r="4358" spans="1:22">
      <c r="A4358" t="s">
        <v>196</v>
      </c>
      <c r="B4358">
        <v>84</v>
      </c>
      <c r="C4358" t="s">
        <v>1762</v>
      </c>
      <c r="D4358">
        <v>100</v>
      </c>
      <c r="E4358" t="s">
        <v>197</v>
      </c>
      <c r="F4358">
        <v>1140</v>
      </c>
      <c r="G4358" t="s">
        <v>76</v>
      </c>
      <c r="H4358">
        <v>2140</v>
      </c>
      <c r="I4358" t="s">
        <v>76</v>
      </c>
      <c r="J4358">
        <v>3139</v>
      </c>
      <c r="K4358" t="s">
        <v>1800</v>
      </c>
      <c r="L4358">
        <v>4139</v>
      </c>
      <c r="M4358" t="s">
        <v>1801</v>
      </c>
      <c r="N4358" t="s">
        <v>372</v>
      </c>
      <c r="O4358">
        <v>1</v>
      </c>
      <c r="P4358">
        <v>380</v>
      </c>
      <c r="Q4358" t="s">
        <v>1802</v>
      </c>
      <c r="R4358" t="s">
        <v>201</v>
      </c>
      <c r="S4358">
        <v>1</v>
      </c>
      <c r="T4358">
        <v>1</v>
      </c>
      <c r="U4358">
        <v>113628</v>
      </c>
      <c r="V4358">
        <v>113628</v>
      </c>
    </row>
    <row r="4359" spans="1:22">
      <c r="A4359" t="s">
        <v>196</v>
      </c>
      <c r="B4359">
        <v>84</v>
      </c>
      <c r="C4359" t="s">
        <v>1762</v>
      </c>
      <c r="D4359">
        <v>100</v>
      </c>
      <c r="E4359" t="s">
        <v>197</v>
      </c>
      <c r="F4359">
        <v>1140</v>
      </c>
      <c r="G4359" t="s">
        <v>76</v>
      </c>
      <c r="H4359">
        <v>2140</v>
      </c>
      <c r="I4359" t="s">
        <v>76</v>
      </c>
      <c r="J4359">
        <v>3139</v>
      </c>
      <c r="K4359" t="s">
        <v>1800</v>
      </c>
      <c r="L4359">
        <v>4139</v>
      </c>
      <c r="M4359" t="s">
        <v>1801</v>
      </c>
      <c r="N4359" t="s">
        <v>341</v>
      </c>
      <c r="O4359">
        <v>1</v>
      </c>
      <c r="P4359">
        <v>308</v>
      </c>
      <c r="Q4359" t="s">
        <v>355</v>
      </c>
      <c r="R4359" t="s">
        <v>201</v>
      </c>
      <c r="S4359">
        <v>1</v>
      </c>
      <c r="T4359">
        <v>1</v>
      </c>
      <c r="U4359">
        <v>119100</v>
      </c>
      <c r="V4359">
        <v>119100</v>
      </c>
    </row>
    <row r="4360" spans="1:22">
      <c r="A4360" t="s">
        <v>196</v>
      </c>
      <c r="B4360">
        <v>84</v>
      </c>
      <c r="C4360" t="s">
        <v>1762</v>
      </c>
      <c r="D4360">
        <v>100</v>
      </c>
      <c r="E4360" t="s">
        <v>197</v>
      </c>
      <c r="F4360">
        <v>1140</v>
      </c>
      <c r="G4360" t="s">
        <v>76</v>
      </c>
      <c r="H4360">
        <v>2140</v>
      </c>
      <c r="I4360" t="s">
        <v>76</v>
      </c>
      <c r="J4360">
        <v>3139</v>
      </c>
      <c r="K4360" t="s">
        <v>1800</v>
      </c>
      <c r="L4360">
        <v>4139</v>
      </c>
      <c r="M4360" t="s">
        <v>1801</v>
      </c>
      <c r="N4360" t="s">
        <v>199</v>
      </c>
      <c r="O4360">
        <v>0</v>
      </c>
      <c r="P4360">
        <v>15</v>
      </c>
      <c r="Q4360" t="s">
        <v>264</v>
      </c>
      <c r="R4360" t="s">
        <v>201</v>
      </c>
      <c r="S4360">
        <v>0</v>
      </c>
      <c r="T4360">
        <v>0</v>
      </c>
      <c r="U4360">
        <v>6901</v>
      </c>
      <c r="V4360">
        <v>6901</v>
      </c>
    </row>
    <row r="4361" spans="1:22">
      <c r="A4361" t="s">
        <v>196</v>
      </c>
      <c r="B4361">
        <v>84</v>
      </c>
      <c r="C4361" t="s">
        <v>1762</v>
      </c>
      <c r="D4361">
        <v>100</v>
      </c>
      <c r="E4361" t="s">
        <v>197</v>
      </c>
      <c r="F4361">
        <v>1145</v>
      </c>
      <c r="G4361" t="s">
        <v>104</v>
      </c>
      <c r="H4361">
        <v>2145</v>
      </c>
      <c r="I4361" t="s">
        <v>104</v>
      </c>
      <c r="J4361">
        <v>3245</v>
      </c>
      <c r="K4361" t="s">
        <v>1763</v>
      </c>
      <c r="L4361">
        <v>0</v>
      </c>
      <c r="N4361" t="s">
        <v>1294</v>
      </c>
      <c r="O4361">
        <v>0</v>
      </c>
      <c r="P4361">
        <v>9681</v>
      </c>
      <c r="Q4361" t="s">
        <v>338</v>
      </c>
      <c r="R4361" t="s">
        <v>201</v>
      </c>
      <c r="S4361">
        <v>1</v>
      </c>
      <c r="T4361">
        <v>1</v>
      </c>
      <c r="U4361">
        <v>172920</v>
      </c>
      <c r="V4361">
        <v>172920</v>
      </c>
    </row>
    <row r="4362" spans="1:22">
      <c r="A4362" t="s">
        <v>196</v>
      </c>
      <c r="B4362">
        <v>84</v>
      </c>
      <c r="C4362" t="s">
        <v>1762</v>
      </c>
      <c r="D4362">
        <v>100</v>
      </c>
      <c r="E4362" t="s">
        <v>197</v>
      </c>
      <c r="F4362">
        <v>1145</v>
      </c>
      <c r="G4362" t="s">
        <v>104</v>
      </c>
      <c r="H4362">
        <v>2145</v>
      </c>
      <c r="I4362" t="s">
        <v>104</v>
      </c>
      <c r="J4362">
        <v>3245</v>
      </c>
      <c r="K4362" t="s">
        <v>1763</v>
      </c>
      <c r="L4362">
        <v>0</v>
      </c>
      <c r="N4362" t="s">
        <v>351</v>
      </c>
      <c r="O4362">
        <v>1</v>
      </c>
      <c r="P4362">
        <v>810</v>
      </c>
      <c r="Q4362" t="s">
        <v>1803</v>
      </c>
      <c r="R4362" t="s">
        <v>201</v>
      </c>
      <c r="S4362">
        <v>1</v>
      </c>
      <c r="T4362">
        <v>1</v>
      </c>
      <c r="U4362">
        <v>108576</v>
      </c>
      <c r="V4362">
        <v>108576</v>
      </c>
    </row>
    <row r="4363" spans="1:22">
      <c r="A4363" t="s">
        <v>196</v>
      </c>
      <c r="B4363">
        <v>84</v>
      </c>
      <c r="C4363" t="s">
        <v>1762</v>
      </c>
      <c r="D4363">
        <v>100</v>
      </c>
      <c r="E4363" t="s">
        <v>197</v>
      </c>
      <c r="F4363">
        <v>1145</v>
      </c>
      <c r="G4363" t="s">
        <v>104</v>
      </c>
      <c r="H4363">
        <v>2145</v>
      </c>
      <c r="I4363" t="s">
        <v>104</v>
      </c>
      <c r="J4363">
        <v>3245</v>
      </c>
      <c r="K4363" t="s">
        <v>1763</v>
      </c>
      <c r="L4363">
        <v>0</v>
      </c>
      <c r="N4363" t="s">
        <v>622</v>
      </c>
      <c r="O4363">
        <v>1</v>
      </c>
      <c r="P4363" t="s">
        <v>667</v>
      </c>
      <c r="Q4363" t="s">
        <v>205</v>
      </c>
      <c r="R4363" t="s">
        <v>201</v>
      </c>
      <c r="S4363">
        <v>1</v>
      </c>
      <c r="T4363">
        <v>1</v>
      </c>
      <c r="U4363">
        <v>90144</v>
      </c>
      <c r="V4363">
        <v>90144</v>
      </c>
    </row>
    <row r="4364" spans="1:22">
      <c r="A4364" t="s">
        <v>196</v>
      </c>
      <c r="B4364">
        <v>84</v>
      </c>
      <c r="C4364" t="s">
        <v>1762</v>
      </c>
      <c r="D4364">
        <v>100</v>
      </c>
      <c r="E4364" t="s">
        <v>197</v>
      </c>
      <c r="F4364">
        <v>1145</v>
      </c>
      <c r="G4364" t="s">
        <v>104</v>
      </c>
      <c r="H4364">
        <v>2145</v>
      </c>
      <c r="I4364" t="s">
        <v>104</v>
      </c>
      <c r="J4364">
        <v>3245</v>
      </c>
      <c r="K4364" t="s">
        <v>1763</v>
      </c>
      <c r="L4364">
        <v>0</v>
      </c>
      <c r="N4364" t="s">
        <v>1314</v>
      </c>
      <c r="O4364">
        <v>0</v>
      </c>
      <c r="P4364" t="s">
        <v>1471</v>
      </c>
      <c r="Q4364" t="s">
        <v>605</v>
      </c>
      <c r="R4364" t="s">
        <v>201</v>
      </c>
      <c r="S4364">
        <v>1</v>
      </c>
      <c r="T4364">
        <v>1</v>
      </c>
      <c r="U4364">
        <v>150768</v>
      </c>
      <c r="V4364">
        <v>150768</v>
      </c>
    </row>
    <row r="4365" spans="1:22">
      <c r="A4365" t="s">
        <v>196</v>
      </c>
      <c r="B4365">
        <v>84</v>
      </c>
      <c r="C4365" t="s">
        <v>1762</v>
      </c>
      <c r="D4365">
        <v>100</v>
      </c>
      <c r="E4365" t="s">
        <v>197</v>
      </c>
      <c r="F4365">
        <v>1145</v>
      </c>
      <c r="G4365" t="s">
        <v>104</v>
      </c>
      <c r="H4365">
        <v>2145</v>
      </c>
      <c r="I4365" t="s">
        <v>104</v>
      </c>
      <c r="J4365">
        <v>3245</v>
      </c>
      <c r="K4365" t="s">
        <v>1763</v>
      </c>
      <c r="L4365">
        <v>0</v>
      </c>
      <c r="N4365" t="s">
        <v>199</v>
      </c>
      <c r="O4365">
        <v>0</v>
      </c>
      <c r="P4365">
        <v>15</v>
      </c>
      <c r="Q4365" t="s">
        <v>264</v>
      </c>
      <c r="R4365" t="s">
        <v>201</v>
      </c>
      <c r="S4365">
        <v>0</v>
      </c>
      <c r="T4365">
        <v>0</v>
      </c>
      <c r="U4365">
        <v>11274</v>
      </c>
      <c r="V4365">
        <v>11274</v>
      </c>
    </row>
    <row r="4366" spans="1:22">
      <c r="A4366" t="s">
        <v>196</v>
      </c>
      <c r="B4366">
        <v>84</v>
      </c>
      <c r="C4366" t="s">
        <v>1762</v>
      </c>
      <c r="D4366">
        <v>100</v>
      </c>
      <c r="E4366" t="s">
        <v>197</v>
      </c>
      <c r="F4366">
        <v>1145</v>
      </c>
      <c r="G4366" t="s">
        <v>104</v>
      </c>
      <c r="H4366">
        <v>2145</v>
      </c>
      <c r="I4366" t="s">
        <v>104</v>
      </c>
      <c r="J4366">
        <v>3247</v>
      </c>
      <c r="K4366" t="s">
        <v>1804</v>
      </c>
      <c r="L4366">
        <v>0</v>
      </c>
      <c r="N4366" t="s">
        <v>253</v>
      </c>
      <c r="O4366">
        <v>20</v>
      </c>
      <c r="P4366">
        <v>1606</v>
      </c>
      <c r="Q4366" t="s">
        <v>1805</v>
      </c>
      <c r="R4366" t="s">
        <v>201</v>
      </c>
      <c r="S4366">
        <v>1</v>
      </c>
      <c r="T4366">
        <v>1</v>
      </c>
      <c r="U4366">
        <v>97836</v>
      </c>
      <c r="V4366">
        <v>97836</v>
      </c>
    </row>
    <row r="4367" spans="1:22">
      <c r="A4367" t="s">
        <v>196</v>
      </c>
      <c r="B4367">
        <v>84</v>
      </c>
      <c r="C4367" t="s">
        <v>1762</v>
      </c>
      <c r="D4367">
        <v>100</v>
      </c>
      <c r="E4367" t="s">
        <v>197</v>
      </c>
      <c r="F4367">
        <v>1145</v>
      </c>
      <c r="G4367" t="s">
        <v>104</v>
      </c>
      <c r="H4367">
        <v>2145</v>
      </c>
      <c r="I4367" t="s">
        <v>104</v>
      </c>
      <c r="J4367">
        <v>3247</v>
      </c>
      <c r="K4367" t="s">
        <v>1804</v>
      </c>
      <c r="L4367">
        <v>0</v>
      </c>
      <c r="N4367" t="s">
        <v>245</v>
      </c>
      <c r="O4367">
        <v>20</v>
      </c>
      <c r="P4367">
        <v>1440</v>
      </c>
      <c r="Q4367" t="s">
        <v>1799</v>
      </c>
      <c r="R4367" t="s">
        <v>201</v>
      </c>
      <c r="S4367">
        <v>1</v>
      </c>
      <c r="T4367">
        <v>1</v>
      </c>
      <c r="U4367">
        <v>106272</v>
      </c>
      <c r="V4367">
        <v>106272</v>
      </c>
    </row>
    <row r="4368" spans="1:22">
      <c r="A4368" t="s">
        <v>196</v>
      </c>
      <c r="B4368">
        <v>84</v>
      </c>
      <c r="C4368" t="s">
        <v>1762</v>
      </c>
      <c r="D4368">
        <v>100</v>
      </c>
      <c r="E4368" t="s">
        <v>197</v>
      </c>
      <c r="F4368">
        <v>1145</v>
      </c>
      <c r="G4368" t="s">
        <v>104</v>
      </c>
      <c r="H4368">
        <v>2145</v>
      </c>
      <c r="I4368" t="s">
        <v>104</v>
      </c>
      <c r="J4368">
        <v>3247</v>
      </c>
      <c r="K4368" t="s">
        <v>1804</v>
      </c>
      <c r="L4368">
        <v>0</v>
      </c>
      <c r="N4368" t="s">
        <v>688</v>
      </c>
      <c r="O4368">
        <v>4</v>
      </c>
      <c r="P4368">
        <v>1404</v>
      </c>
      <c r="Q4368" t="s">
        <v>1773</v>
      </c>
      <c r="R4368" t="s">
        <v>201</v>
      </c>
      <c r="S4368">
        <v>1</v>
      </c>
      <c r="T4368">
        <v>1</v>
      </c>
      <c r="U4368">
        <v>118836</v>
      </c>
      <c r="V4368">
        <v>118836</v>
      </c>
    </row>
    <row r="4369" spans="1:22">
      <c r="A4369" t="s">
        <v>196</v>
      </c>
      <c r="B4369">
        <v>84</v>
      </c>
      <c r="C4369" t="s">
        <v>1762</v>
      </c>
      <c r="D4369">
        <v>100</v>
      </c>
      <c r="E4369" t="s">
        <v>197</v>
      </c>
      <c r="F4369">
        <v>1145</v>
      </c>
      <c r="G4369" t="s">
        <v>104</v>
      </c>
      <c r="H4369">
        <v>2145</v>
      </c>
      <c r="I4369" t="s">
        <v>104</v>
      </c>
      <c r="J4369">
        <v>3247</v>
      </c>
      <c r="K4369" t="s">
        <v>1804</v>
      </c>
      <c r="L4369">
        <v>0</v>
      </c>
      <c r="N4369" t="s">
        <v>199</v>
      </c>
      <c r="O4369">
        <v>0</v>
      </c>
      <c r="P4369">
        <v>15</v>
      </c>
      <c r="Q4369" t="s">
        <v>264</v>
      </c>
      <c r="R4369" t="s">
        <v>201</v>
      </c>
      <c r="S4369">
        <v>0</v>
      </c>
      <c r="T4369">
        <v>0</v>
      </c>
      <c r="U4369">
        <v>2364</v>
      </c>
      <c r="V4369">
        <v>2364</v>
      </c>
    </row>
    <row r="4370" spans="1:22">
      <c r="A4370" t="s">
        <v>196</v>
      </c>
      <c r="B4370">
        <v>84</v>
      </c>
      <c r="C4370" t="s">
        <v>1762</v>
      </c>
      <c r="D4370">
        <v>100</v>
      </c>
      <c r="E4370" t="s">
        <v>197</v>
      </c>
      <c r="F4370">
        <v>1145</v>
      </c>
      <c r="G4370" t="s">
        <v>104</v>
      </c>
      <c r="H4370">
        <v>2145</v>
      </c>
      <c r="I4370" t="s">
        <v>104</v>
      </c>
      <c r="J4370">
        <v>3248</v>
      </c>
      <c r="K4370" t="s">
        <v>1806</v>
      </c>
      <c r="L4370">
        <v>4248</v>
      </c>
      <c r="M4370" t="s">
        <v>1807</v>
      </c>
      <c r="N4370" t="s">
        <v>271</v>
      </c>
      <c r="O4370">
        <v>20</v>
      </c>
      <c r="P4370">
        <v>6255</v>
      </c>
      <c r="Q4370" t="s">
        <v>1795</v>
      </c>
      <c r="R4370" t="s">
        <v>201</v>
      </c>
      <c r="S4370">
        <v>1</v>
      </c>
      <c r="T4370">
        <v>1</v>
      </c>
      <c r="U4370">
        <v>115992</v>
      </c>
      <c r="V4370">
        <v>115992</v>
      </c>
    </row>
    <row r="4371" spans="1:22">
      <c r="A4371" t="s">
        <v>196</v>
      </c>
      <c r="B4371">
        <v>84</v>
      </c>
      <c r="C4371" t="s">
        <v>1762</v>
      </c>
      <c r="D4371">
        <v>100</v>
      </c>
      <c r="E4371" t="s">
        <v>197</v>
      </c>
      <c r="F4371">
        <v>1145</v>
      </c>
      <c r="G4371" t="s">
        <v>104</v>
      </c>
      <c r="H4371">
        <v>2145</v>
      </c>
      <c r="I4371" t="s">
        <v>104</v>
      </c>
      <c r="J4371">
        <v>3248</v>
      </c>
      <c r="K4371" t="s">
        <v>1806</v>
      </c>
      <c r="L4371">
        <v>4248</v>
      </c>
      <c r="M4371" t="s">
        <v>1807</v>
      </c>
      <c r="N4371" t="s">
        <v>1314</v>
      </c>
      <c r="O4371">
        <v>0</v>
      </c>
      <c r="P4371">
        <v>5635</v>
      </c>
      <c r="Q4371" t="s">
        <v>958</v>
      </c>
      <c r="R4371" t="s">
        <v>201</v>
      </c>
      <c r="S4371">
        <v>1</v>
      </c>
      <c r="T4371">
        <v>1</v>
      </c>
      <c r="U4371">
        <v>167700</v>
      </c>
      <c r="V4371">
        <v>167700</v>
      </c>
    </row>
    <row r="4372" spans="1:22">
      <c r="A4372" t="s">
        <v>196</v>
      </c>
      <c r="B4372">
        <v>84</v>
      </c>
      <c r="C4372" t="s">
        <v>1762</v>
      </c>
      <c r="D4372">
        <v>100</v>
      </c>
      <c r="E4372" t="s">
        <v>197</v>
      </c>
      <c r="F4372">
        <v>1145</v>
      </c>
      <c r="G4372" t="s">
        <v>104</v>
      </c>
      <c r="H4372">
        <v>2145</v>
      </c>
      <c r="I4372" t="s">
        <v>104</v>
      </c>
      <c r="J4372">
        <v>3248</v>
      </c>
      <c r="K4372" t="s">
        <v>1806</v>
      </c>
      <c r="L4372">
        <v>4248</v>
      </c>
      <c r="M4372" t="s">
        <v>1807</v>
      </c>
      <c r="N4372" t="s">
        <v>199</v>
      </c>
      <c r="O4372">
        <v>0</v>
      </c>
      <c r="P4372">
        <v>15</v>
      </c>
      <c r="Q4372" t="s">
        <v>264</v>
      </c>
      <c r="R4372" t="s">
        <v>201</v>
      </c>
      <c r="S4372">
        <v>0</v>
      </c>
      <c r="T4372">
        <v>0</v>
      </c>
      <c r="U4372">
        <v>5849</v>
      </c>
      <c r="V4372">
        <v>5849</v>
      </c>
    </row>
    <row r="4373" spans="1:22">
      <c r="A4373" t="s">
        <v>196</v>
      </c>
      <c r="B4373">
        <v>84</v>
      </c>
      <c r="C4373" t="s">
        <v>1762</v>
      </c>
      <c r="D4373">
        <v>100</v>
      </c>
      <c r="E4373" t="s">
        <v>197</v>
      </c>
      <c r="F4373">
        <v>1145</v>
      </c>
      <c r="G4373" t="s">
        <v>104</v>
      </c>
      <c r="H4373">
        <v>2145</v>
      </c>
      <c r="I4373" t="s">
        <v>104</v>
      </c>
      <c r="J4373">
        <v>3248</v>
      </c>
      <c r="K4373" t="s">
        <v>1806</v>
      </c>
      <c r="L4373">
        <v>4252</v>
      </c>
      <c r="M4373" t="s">
        <v>1808</v>
      </c>
      <c r="N4373" t="s">
        <v>271</v>
      </c>
      <c r="O4373">
        <v>20</v>
      </c>
      <c r="P4373">
        <v>6255</v>
      </c>
      <c r="Q4373" t="s">
        <v>1795</v>
      </c>
      <c r="R4373" t="s">
        <v>201</v>
      </c>
      <c r="S4373">
        <v>1</v>
      </c>
      <c r="T4373">
        <v>1</v>
      </c>
      <c r="U4373">
        <v>126756</v>
      </c>
      <c r="V4373">
        <v>126756</v>
      </c>
    </row>
    <row r="4374" spans="1:22">
      <c r="A4374" t="s">
        <v>196</v>
      </c>
      <c r="B4374">
        <v>84</v>
      </c>
      <c r="C4374" t="s">
        <v>1762</v>
      </c>
      <c r="D4374">
        <v>100</v>
      </c>
      <c r="E4374" t="s">
        <v>197</v>
      </c>
      <c r="F4374">
        <v>1145</v>
      </c>
      <c r="G4374" t="s">
        <v>104</v>
      </c>
      <c r="H4374">
        <v>2145</v>
      </c>
      <c r="I4374" t="s">
        <v>104</v>
      </c>
      <c r="J4374">
        <v>3248</v>
      </c>
      <c r="K4374" t="s">
        <v>1806</v>
      </c>
      <c r="L4374">
        <v>4252</v>
      </c>
      <c r="M4374" t="s">
        <v>1808</v>
      </c>
      <c r="N4374" t="s">
        <v>602</v>
      </c>
      <c r="O4374">
        <v>4</v>
      </c>
      <c r="P4374">
        <v>6254</v>
      </c>
      <c r="Q4374" t="s">
        <v>1796</v>
      </c>
      <c r="R4374" t="s">
        <v>201</v>
      </c>
      <c r="S4374">
        <v>1</v>
      </c>
      <c r="T4374">
        <v>1</v>
      </c>
      <c r="U4374">
        <v>128316</v>
      </c>
      <c r="V4374">
        <v>128316</v>
      </c>
    </row>
    <row r="4375" spans="1:22">
      <c r="A4375" t="s">
        <v>196</v>
      </c>
      <c r="B4375">
        <v>84</v>
      </c>
      <c r="C4375" t="s">
        <v>1762</v>
      </c>
      <c r="D4375">
        <v>100</v>
      </c>
      <c r="E4375" t="s">
        <v>197</v>
      </c>
      <c r="F4375">
        <v>1145</v>
      </c>
      <c r="G4375" t="s">
        <v>104</v>
      </c>
      <c r="H4375">
        <v>2145</v>
      </c>
      <c r="I4375" t="s">
        <v>104</v>
      </c>
      <c r="J4375">
        <v>3248</v>
      </c>
      <c r="K4375" t="s">
        <v>1806</v>
      </c>
      <c r="L4375">
        <v>4252</v>
      </c>
      <c r="M4375" t="s">
        <v>1808</v>
      </c>
      <c r="N4375" t="s">
        <v>1314</v>
      </c>
      <c r="O4375">
        <v>10</v>
      </c>
      <c r="P4375">
        <v>5905</v>
      </c>
      <c r="Q4375" t="s">
        <v>1809</v>
      </c>
      <c r="R4375" t="s">
        <v>201</v>
      </c>
      <c r="S4375">
        <v>1</v>
      </c>
      <c r="T4375">
        <v>1</v>
      </c>
      <c r="U4375">
        <v>133836</v>
      </c>
      <c r="V4375">
        <v>133836</v>
      </c>
    </row>
    <row r="4376" spans="1:22">
      <c r="A4376" t="s">
        <v>196</v>
      </c>
      <c r="B4376">
        <v>84</v>
      </c>
      <c r="C4376" t="s">
        <v>1762</v>
      </c>
      <c r="D4376">
        <v>100</v>
      </c>
      <c r="E4376" t="s">
        <v>197</v>
      </c>
      <c r="F4376">
        <v>1145</v>
      </c>
      <c r="G4376" t="s">
        <v>104</v>
      </c>
      <c r="H4376">
        <v>2145</v>
      </c>
      <c r="I4376" t="s">
        <v>104</v>
      </c>
      <c r="J4376">
        <v>3248</v>
      </c>
      <c r="K4376" t="s">
        <v>1806</v>
      </c>
      <c r="L4376">
        <v>4252</v>
      </c>
      <c r="M4376" t="s">
        <v>1808</v>
      </c>
      <c r="N4376" t="s">
        <v>199</v>
      </c>
      <c r="O4376">
        <v>0</v>
      </c>
      <c r="P4376">
        <v>15</v>
      </c>
      <c r="Q4376" t="s">
        <v>264</v>
      </c>
      <c r="R4376" t="s">
        <v>201</v>
      </c>
      <c r="S4376">
        <v>0</v>
      </c>
      <c r="T4376">
        <v>0</v>
      </c>
      <c r="U4376">
        <v>2184</v>
      </c>
      <c r="V4376">
        <v>2184</v>
      </c>
    </row>
    <row r="4377" spans="1:22">
      <c r="A4377" t="s">
        <v>196</v>
      </c>
      <c r="B4377">
        <v>84</v>
      </c>
      <c r="C4377" t="s">
        <v>1762</v>
      </c>
      <c r="D4377">
        <v>100</v>
      </c>
      <c r="E4377" t="s">
        <v>197</v>
      </c>
      <c r="F4377">
        <v>1145</v>
      </c>
      <c r="G4377" t="s">
        <v>104</v>
      </c>
      <c r="H4377">
        <v>2145</v>
      </c>
      <c r="I4377" t="s">
        <v>104</v>
      </c>
      <c r="J4377">
        <v>3248</v>
      </c>
      <c r="K4377" t="s">
        <v>1806</v>
      </c>
      <c r="L4377">
        <v>4256</v>
      </c>
      <c r="M4377" t="s">
        <v>1810</v>
      </c>
      <c r="N4377" t="s">
        <v>249</v>
      </c>
      <c r="O4377">
        <v>10</v>
      </c>
      <c r="P4377">
        <v>3092</v>
      </c>
      <c r="Q4377" t="s">
        <v>750</v>
      </c>
      <c r="R4377" t="s">
        <v>201</v>
      </c>
      <c r="S4377">
        <v>1</v>
      </c>
      <c r="T4377">
        <v>1</v>
      </c>
      <c r="U4377">
        <v>118956</v>
      </c>
      <c r="V4377">
        <v>118956</v>
      </c>
    </row>
    <row r="4378" spans="1:22">
      <c r="A4378" t="s">
        <v>196</v>
      </c>
      <c r="B4378">
        <v>84</v>
      </c>
      <c r="C4378" t="s">
        <v>1762</v>
      </c>
      <c r="D4378">
        <v>100</v>
      </c>
      <c r="E4378" t="s">
        <v>197</v>
      </c>
      <c r="F4378">
        <v>1145</v>
      </c>
      <c r="G4378" t="s">
        <v>104</v>
      </c>
      <c r="H4378">
        <v>2145</v>
      </c>
      <c r="I4378" t="s">
        <v>104</v>
      </c>
      <c r="J4378">
        <v>3248</v>
      </c>
      <c r="K4378" t="s">
        <v>1806</v>
      </c>
      <c r="L4378">
        <v>4256</v>
      </c>
      <c r="M4378" t="s">
        <v>1810</v>
      </c>
      <c r="N4378" t="s">
        <v>245</v>
      </c>
      <c r="O4378">
        <v>20</v>
      </c>
      <c r="P4378">
        <v>1440</v>
      </c>
      <c r="Q4378" t="s">
        <v>1799</v>
      </c>
      <c r="R4378" t="s">
        <v>201</v>
      </c>
      <c r="S4378">
        <v>1</v>
      </c>
      <c r="T4378">
        <v>1</v>
      </c>
      <c r="U4378">
        <v>106272</v>
      </c>
      <c r="V4378">
        <v>106272</v>
      </c>
    </row>
    <row r="4379" spans="1:22">
      <c r="A4379" t="s">
        <v>196</v>
      </c>
      <c r="B4379">
        <v>84</v>
      </c>
      <c r="C4379" t="s">
        <v>1762</v>
      </c>
      <c r="D4379">
        <v>100</v>
      </c>
      <c r="E4379" t="s">
        <v>197</v>
      </c>
      <c r="F4379">
        <v>1145</v>
      </c>
      <c r="G4379" t="s">
        <v>104</v>
      </c>
      <c r="H4379">
        <v>2145</v>
      </c>
      <c r="I4379" t="s">
        <v>104</v>
      </c>
      <c r="J4379">
        <v>3248</v>
      </c>
      <c r="K4379" t="s">
        <v>1806</v>
      </c>
      <c r="L4379">
        <v>4256</v>
      </c>
      <c r="M4379" t="s">
        <v>1810</v>
      </c>
      <c r="N4379" t="s">
        <v>249</v>
      </c>
      <c r="O4379">
        <v>10</v>
      </c>
      <c r="P4379">
        <v>311</v>
      </c>
      <c r="Q4379" t="s">
        <v>661</v>
      </c>
      <c r="R4379" t="s">
        <v>201</v>
      </c>
      <c r="S4379">
        <v>1</v>
      </c>
      <c r="T4379">
        <v>1</v>
      </c>
      <c r="U4379">
        <v>118956</v>
      </c>
      <c r="V4379">
        <v>118956</v>
      </c>
    </row>
    <row r="4380" spans="1:22">
      <c r="A4380" t="s">
        <v>196</v>
      </c>
      <c r="B4380">
        <v>84</v>
      </c>
      <c r="C4380" t="s">
        <v>1762</v>
      </c>
      <c r="D4380">
        <v>100</v>
      </c>
      <c r="E4380" t="s">
        <v>197</v>
      </c>
      <c r="F4380">
        <v>1145</v>
      </c>
      <c r="G4380" t="s">
        <v>104</v>
      </c>
      <c r="H4380">
        <v>2145</v>
      </c>
      <c r="I4380" t="s">
        <v>104</v>
      </c>
      <c r="J4380">
        <v>3248</v>
      </c>
      <c r="K4380" t="s">
        <v>1806</v>
      </c>
      <c r="L4380">
        <v>4256</v>
      </c>
      <c r="M4380" t="s">
        <v>1810</v>
      </c>
      <c r="N4380" t="s">
        <v>199</v>
      </c>
      <c r="O4380">
        <v>0</v>
      </c>
      <c r="P4380">
        <v>15</v>
      </c>
      <c r="Q4380" t="s">
        <v>264</v>
      </c>
      <c r="R4380" t="s">
        <v>201</v>
      </c>
      <c r="S4380">
        <v>0</v>
      </c>
      <c r="T4380">
        <v>0</v>
      </c>
      <c r="U4380">
        <v>2364</v>
      </c>
      <c r="V4380">
        <v>2364</v>
      </c>
    </row>
    <row r="4381" spans="1:22">
      <c r="A4381" t="s">
        <v>196</v>
      </c>
      <c r="B4381">
        <v>84</v>
      </c>
      <c r="C4381" t="s">
        <v>1762</v>
      </c>
      <c r="D4381">
        <v>100</v>
      </c>
      <c r="E4381" t="s">
        <v>197</v>
      </c>
      <c r="F4381">
        <v>1145</v>
      </c>
      <c r="G4381" t="s">
        <v>104</v>
      </c>
      <c r="H4381">
        <v>2145</v>
      </c>
      <c r="I4381" t="s">
        <v>104</v>
      </c>
      <c r="J4381">
        <v>3251</v>
      </c>
      <c r="K4381" t="s">
        <v>1811</v>
      </c>
      <c r="L4381">
        <v>0</v>
      </c>
      <c r="N4381" t="s">
        <v>271</v>
      </c>
      <c r="O4381">
        <v>20</v>
      </c>
      <c r="P4381">
        <v>5630</v>
      </c>
      <c r="Q4381" t="s">
        <v>955</v>
      </c>
      <c r="R4381" t="s">
        <v>201</v>
      </c>
      <c r="S4381">
        <v>1</v>
      </c>
      <c r="T4381">
        <v>1</v>
      </c>
      <c r="U4381">
        <v>135744</v>
      </c>
      <c r="V4381">
        <v>135744</v>
      </c>
    </row>
    <row r="4382" spans="1:22">
      <c r="A4382" t="s">
        <v>196</v>
      </c>
      <c r="B4382">
        <v>84</v>
      </c>
      <c r="C4382" t="s">
        <v>1762</v>
      </c>
      <c r="D4382">
        <v>100</v>
      </c>
      <c r="E4382" t="s">
        <v>197</v>
      </c>
      <c r="F4382">
        <v>1145</v>
      </c>
      <c r="G4382" t="s">
        <v>104</v>
      </c>
      <c r="H4382">
        <v>2145</v>
      </c>
      <c r="I4382" t="s">
        <v>104</v>
      </c>
      <c r="J4382">
        <v>3251</v>
      </c>
      <c r="K4382" t="s">
        <v>1811</v>
      </c>
      <c r="L4382">
        <v>0</v>
      </c>
      <c r="N4382" t="s">
        <v>271</v>
      </c>
      <c r="O4382">
        <v>20</v>
      </c>
      <c r="P4382">
        <v>5630</v>
      </c>
      <c r="Q4382" t="s">
        <v>955</v>
      </c>
      <c r="R4382" t="s">
        <v>201</v>
      </c>
      <c r="S4382">
        <v>1</v>
      </c>
      <c r="T4382">
        <v>1</v>
      </c>
      <c r="U4382">
        <v>131124</v>
      </c>
      <c r="V4382">
        <v>131124</v>
      </c>
    </row>
    <row r="4383" spans="1:22">
      <c r="A4383" t="s">
        <v>196</v>
      </c>
      <c r="B4383">
        <v>84</v>
      </c>
      <c r="C4383" t="s">
        <v>1762</v>
      </c>
      <c r="D4383">
        <v>100</v>
      </c>
      <c r="E4383" t="s">
        <v>197</v>
      </c>
      <c r="F4383">
        <v>1145</v>
      </c>
      <c r="G4383" t="s">
        <v>104</v>
      </c>
      <c r="H4383">
        <v>2145</v>
      </c>
      <c r="I4383" t="s">
        <v>104</v>
      </c>
      <c r="J4383">
        <v>3251</v>
      </c>
      <c r="K4383" t="s">
        <v>1811</v>
      </c>
      <c r="L4383">
        <v>0</v>
      </c>
      <c r="N4383" t="s">
        <v>333</v>
      </c>
      <c r="O4383">
        <v>4</v>
      </c>
      <c r="P4383">
        <v>5615</v>
      </c>
      <c r="Q4383" t="s">
        <v>1782</v>
      </c>
      <c r="R4383" t="s">
        <v>201</v>
      </c>
      <c r="S4383">
        <v>1</v>
      </c>
      <c r="T4383">
        <v>1</v>
      </c>
      <c r="U4383">
        <v>154764</v>
      </c>
      <c r="V4383">
        <v>154764</v>
      </c>
    </row>
    <row r="4384" spans="1:22">
      <c r="A4384" t="s">
        <v>196</v>
      </c>
      <c r="B4384">
        <v>84</v>
      </c>
      <c r="C4384" t="s">
        <v>1762</v>
      </c>
      <c r="D4384">
        <v>100</v>
      </c>
      <c r="E4384" t="s">
        <v>197</v>
      </c>
      <c r="F4384">
        <v>1145</v>
      </c>
      <c r="G4384" t="s">
        <v>104</v>
      </c>
      <c r="H4384">
        <v>2145</v>
      </c>
      <c r="I4384" t="s">
        <v>104</v>
      </c>
      <c r="J4384">
        <v>3251</v>
      </c>
      <c r="K4384" t="s">
        <v>1811</v>
      </c>
      <c r="L4384">
        <v>0</v>
      </c>
      <c r="N4384" t="s">
        <v>249</v>
      </c>
      <c r="O4384">
        <v>10</v>
      </c>
      <c r="P4384">
        <v>310</v>
      </c>
      <c r="Q4384" t="s">
        <v>447</v>
      </c>
      <c r="R4384" t="s">
        <v>201</v>
      </c>
      <c r="S4384">
        <v>1</v>
      </c>
      <c r="T4384">
        <v>1</v>
      </c>
      <c r="U4384">
        <v>107340</v>
      </c>
      <c r="V4384">
        <v>107340</v>
      </c>
    </row>
    <row r="4385" spans="1:22">
      <c r="A4385" t="s">
        <v>196</v>
      </c>
      <c r="B4385">
        <v>84</v>
      </c>
      <c r="C4385" t="s">
        <v>1762</v>
      </c>
      <c r="D4385">
        <v>100</v>
      </c>
      <c r="E4385" t="s">
        <v>197</v>
      </c>
      <c r="F4385">
        <v>1145</v>
      </c>
      <c r="G4385" t="s">
        <v>104</v>
      </c>
      <c r="H4385">
        <v>2145</v>
      </c>
      <c r="I4385" t="s">
        <v>104</v>
      </c>
      <c r="J4385">
        <v>3251</v>
      </c>
      <c r="K4385" t="s">
        <v>1811</v>
      </c>
      <c r="L4385">
        <v>0</v>
      </c>
      <c r="N4385" t="s">
        <v>249</v>
      </c>
      <c r="O4385">
        <v>10</v>
      </c>
      <c r="P4385">
        <v>310</v>
      </c>
      <c r="Q4385" t="s">
        <v>447</v>
      </c>
      <c r="R4385" t="s">
        <v>201</v>
      </c>
      <c r="S4385">
        <v>2</v>
      </c>
      <c r="T4385">
        <v>1</v>
      </c>
      <c r="U4385">
        <v>102444</v>
      </c>
      <c r="V4385">
        <v>204888</v>
      </c>
    </row>
    <row r="4386" spans="1:22">
      <c r="A4386" t="s">
        <v>196</v>
      </c>
      <c r="B4386">
        <v>84</v>
      </c>
      <c r="C4386" t="s">
        <v>1762</v>
      </c>
      <c r="D4386">
        <v>100</v>
      </c>
      <c r="E4386" t="s">
        <v>197</v>
      </c>
      <c r="F4386">
        <v>1145</v>
      </c>
      <c r="G4386" t="s">
        <v>104</v>
      </c>
      <c r="H4386">
        <v>2145</v>
      </c>
      <c r="I4386" t="s">
        <v>104</v>
      </c>
      <c r="J4386">
        <v>3251</v>
      </c>
      <c r="K4386" t="s">
        <v>1811</v>
      </c>
      <c r="L4386">
        <v>0</v>
      </c>
      <c r="N4386" t="s">
        <v>199</v>
      </c>
      <c r="O4386">
        <v>0</v>
      </c>
      <c r="P4386">
        <v>15</v>
      </c>
      <c r="Q4386" t="s">
        <v>264</v>
      </c>
      <c r="R4386" t="s">
        <v>201</v>
      </c>
      <c r="S4386">
        <v>0</v>
      </c>
      <c r="T4386">
        <v>0</v>
      </c>
      <c r="U4386">
        <v>4686</v>
      </c>
      <c r="V4386">
        <v>4686</v>
      </c>
    </row>
    <row r="4387" spans="1:22">
      <c r="A4387" t="s">
        <v>196</v>
      </c>
      <c r="B4387">
        <v>84</v>
      </c>
      <c r="C4387" t="s">
        <v>1762</v>
      </c>
      <c r="D4387">
        <v>100</v>
      </c>
      <c r="E4387" t="s">
        <v>197</v>
      </c>
      <c r="F4387">
        <v>1150</v>
      </c>
      <c r="G4387" t="s">
        <v>34</v>
      </c>
      <c r="H4387">
        <v>2150</v>
      </c>
      <c r="I4387" t="s">
        <v>34</v>
      </c>
      <c r="J4387">
        <v>3270</v>
      </c>
      <c r="K4387" t="s">
        <v>1812</v>
      </c>
      <c r="L4387">
        <v>4270</v>
      </c>
      <c r="M4387" t="s">
        <v>1813</v>
      </c>
      <c r="N4387" t="s">
        <v>1294</v>
      </c>
      <c r="O4387">
        <v>0</v>
      </c>
      <c r="P4387">
        <v>9681</v>
      </c>
      <c r="Q4387" t="s">
        <v>338</v>
      </c>
      <c r="R4387" t="s">
        <v>201</v>
      </c>
      <c r="S4387">
        <v>1</v>
      </c>
      <c r="T4387">
        <v>1</v>
      </c>
      <c r="U4387">
        <v>172920</v>
      </c>
      <c r="V4387">
        <v>172920</v>
      </c>
    </row>
    <row r="4388" spans="1:22">
      <c r="A4388" t="s">
        <v>196</v>
      </c>
      <c r="B4388">
        <v>84</v>
      </c>
      <c r="C4388" t="s">
        <v>1762</v>
      </c>
      <c r="D4388">
        <v>100</v>
      </c>
      <c r="E4388" t="s">
        <v>197</v>
      </c>
      <c r="F4388">
        <v>1150</v>
      </c>
      <c r="G4388" t="s">
        <v>34</v>
      </c>
      <c r="H4388">
        <v>2150</v>
      </c>
      <c r="I4388" t="s">
        <v>34</v>
      </c>
      <c r="J4388">
        <v>3270</v>
      </c>
      <c r="K4388" t="s">
        <v>1812</v>
      </c>
      <c r="L4388">
        <v>4270</v>
      </c>
      <c r="M4388" t="s">
        <v>1813</v>
      </c>
      <c r="N4388" t="s">
        <v>341</v>
      </c>
      <c r="O4388">
        <v>1</v>
      </c>
      <c r="P4388">
        <v>308</v>
      </c>
      <c r="Q4388" t="s">
        <v>355</v>
      </c>
      <c r="R4388" t="s">
        <v>201</v>
      </c>
      <c r="S4388">
        <v>1</v>
      </c>
      <c r="T4388">
        <v>1</v>
      </c>
      <c r="U4388">
        <v>77640</v>
      </c>
      <c r="V4388">
        <v>77640</v>
      </c>
    </row>
    <row r="4389" spans="1:22">
      <c r="A4389" t="s">
        <v>196</v>
      </c>
      <c r="B4389">
        <v>84</v>
      </c>
      <c r="C4389" t="s">
        <v>1762</v>
      </c>
      <c r="D4389">
        <v>100</v>
      </c>
      <c r="E4389" t="s">
        <v>197</v>
      </c>
      <c r="F4389">
        <v>1150</v>
      </c>
      <c r="G4389" t="s">
        <v>34</v>
      </c>
      <c r="H4389">
        <v>2150</v>
      </c>
      <c r="I4389" t="s">
        <v>34</v>
      </c>
      <c r="J4389">
        <v>3270</v>
      </c>
      <c r="K4389" t="s">
        <v>1812</v>
      </c>
      <c r="L4389">
        <v>4270</v>
      </c>
      <c r="M4389" t="s">
        <v>1813</v>
      </c>
      <c r="N4389" t="s">
        <v>199</v>
      </c>
      <c r="O4389">
        <v>0</v>
      </c>
      <c r="P4389">
        <v>15</v>
      </c>
      <c r="Q4389" t="s">
        <v>264</v>
      </c>
      <c r="R4389" t="s">
        <v>201</v>
      </c>
      <c r="S4389">
        <v>0</v>
      </c>
      <c r="T4389">
        <v>0</v>
      </c>
      <c r="U4389">
        <v>7659</v>
      </c>
      <c r="V4389">
        <v>7659</v>
      </c>
    </row>
    <row r="4390" spans="1:22">
      <c r="A4390" t="s">
        <v>196</v>
      </c>
      <c r="B4390">
        <v>84</v>
      </c>
      <c r="C4390" t="s">
        <v>1762</v>
      </c>
      <c r="D4390">
        <v>100</v>
      </c>
      <c r="E4390" t="s">
        <v>197</v>
      </c>
      <c r="F4390">
        <v>1150</v>
      </c>
      <c r="G4390" t="s">
        <v>34</v>
      </c>
      <c r="H4390">
        <v>2150</v>
      </c>
      <c r="I4390" t="s">
        <v>34</v>
      </c>
      <c r="J4390">
        <v>3270</v>
      </c>
      <c r="K4390" t="s">
        <v>1812</v>
      </c>
      <c r="L4390">
        <v>4273</v>
      </c>
      <c r="M4390" t="s">
        <v>1814</v>
      </c>
      <c r="N4390" t="s">
        <v>628</v>
      </c>
      <c r="O4390">
        <v>10</v>
      </c>
      <c r="P4390">
        <v>5049</v>
      </c>
      <c r="Q4390" t="s">
        <v>1815</v>
      </c>
      <c r="R4390" t="s">
        <v>201</v>
      </c>
      <c r="S4390">
        <v>1</v>
      </c>
      <c r="T4390">
        <v>1</v>
      </c>
      <c r="U4390">
        <v>129228</v>
      </c>
      <c r="V4390">
        <v>129228</v>
      </c>
    </row>
    <row r="4391" spans="1:22">
      <c r="A4391" t="s">
        <v>196</v>
      </c>
      <c r="B4391">
        <v>84</v>
      </c>
      <c r="C4391" t="s">
        <v>1762</v>
      </c>
      <c r="D4391">
        <v>100</v>
      </c>
      <c r="E4391" t="s">
        <v>197</v>
      </c>
      <c r="F4391">
        <v>1150</v>
      </c>
      <c r="G4391" t="s">
        <v>34</v>
      </c>
      <c r="H4391">
        <v>2150</v>
      </c>
      <c r="I4391" t="s">
        <v>34</v>
      </c>
      <c r="J4391">
        <v>3270</v>
      </c>
      <c r="K4391" t="s">
        <v>1812</v>
      </c>
      <c r="L4391">
        <v>4273</v>
      </c>
      <c r="M4391" t="s">
        <v>1814</v>
      </c>
      <c r="N4391" t="s">
        <v>199</v>
      </c>
      <c r="O4391">
        <v>0</v>
      </c>
      <c r="P4391">
        <v>15</v>
      </c>
      <c r="Q4391" t="s">
        <v>264</v>
      </c>
      <c r="R4391" t="s">
        <v>201</v>
      </c>
      <c r="S4391">
        <v>0</v>
      </c>
      <c r="T4391">
        <v>0</v>
      </c>
      <c r="U4391">
        <v>5909</v>
      </c>
      <c r="V4391">
        <v>5909</v>
      </c>
    </row>
    <row r="4392" spans="1:22">
      <c r="A4392" t="s">
        <v>196</v>
      </c>
      <c r="B4392">
        <v>84</v>
      </c>
      <c r="C4392" t="s">
        <v>1762</v>
      </c>
      <c r="D4392">
        <v>100</v>
      </c>
      <c r="E4392" t="s">
        <v>197</v>
      </c>
      <c r="F4392">
        <v>1150</v>
      </c>
      <c r="G4392" t="s">
        <v>34</v>
      </c>
      <c r="H4392">
        <v>2150</v>
      </c>
      <c r="I4392" t="s">
        <v>34</v>
      </c>
      <c r="J4392">
        <v>3275</v>
      </c>
      <c r="K4392" t="s">
        <v>1816</v>
      </c>
      <c r="L4392">
        <v>4280</v>
      </c>
      <c r="M4392" t="s">
        <v>1817</v>
      </c>
      <c r="N4392" t="s">
        <v>1719</v>
      </c>
      <c r="O4392">
        <v>10</v>
      </c>
      <c r="P4392">
        <v>8184</v>
      </c>
      <c r="Q4392" t="s">
        <v>1720</v>
      </c>
      <c r="R4392" t="s">
        <v>201</v>
      </c>
      <c r="S4392">
        <v>1</v>
      </c>
      <c r="T4392">
        <v>1</v>
      </c>
      <c r="U4392">
        <v>112440</v>
      </c>
      <c r="V4392">
        <v>112440</v>
      </c>
    </row>
    <row r="4393" spans="1:22">
      <c r="A4393" t="s">
        <v>196</v>
      </c>
      <c r="B4393">
        <v>84</v>
      </c>
      <c r="C4393" t="s">
        <v>1762</v>
      </c>
      <c r="D4393">
        <v>100</v>
      </c>
      <c r="E4393" t="s">
        <v>197</v>
      </c>
      <c r="F4393">
        <v>1150</v>
      </c>
      <c r="G4393" t="s">
        <v>34</v>
      </c>
      <c r="H4393">
        <v>2150</v>
      </c>
      <c r="I4393" t="s">
        <v>34</v>
      </c>
      <c r="J4393">
        <v>3275</v>
      </c>
      <c r="K4393" t="s">
        <v>1816</v>
      </c>
      <c r="L4393">
        <v>4280</v>
      </c>
      <c r="M4393" t="s">
        <v>1817</v>
      </c>
      <c r="N4393" t="s">
        <v>721</v>
      </c>
      <c r="O4393">
        <v>36</v>
      </c>
      <c r="P4393">
        <v>6674</v>
      </c>
      <c r="Q4393" t="s">
        <v>963</v>
      </c>
      <c r="R4393" t="s">
        <v>713</v>
      </c>
      <c r="S4393">
        <v>1</v>
      </c>
      <c r="T4393">
        <v>1</v>
      </c>
      <c r="U4393">
        <v>60.39</v>
      </c>
      <c r="V4393">
        <v>125611</v>
      </c>
    </row>
    <row r="4394" spans="1:22">
      <c r="A4394" t="s">
        <v>196</v>
      </c>
      <c r="B4394">
        <v>84</v>
      </c>
      <c r="C4394" t="s">
        <v>1762</v>
      </c>
      <c r="D4394">
        <v>100</v>
      </c>
      <c r="E4394" t="s">
        <v>197</v>
      </c>
      <c r="F4394">
        <v>1150</v>
      </c>
      <c r="G4394" t="s">
        <v>34</v>
      </c>
      <c r="H4394">
        <v>2150</v>
      </c>
      <c r="I4394" t="s">
        <v>34</v>
      </c>
      <c r="J4394">
        <v>3275</v>
      </c>
      <c r="K4394" t="s">
        <v>1816</v>
      </c>
      <c r="L4394">
        <v>4280</v>
      </c>
      <c r="M4394" t="s">
        <v>1817</v>
      </c>
      <c r="N4394" t="s">
        <v>721</v>
      </c>
      <c r="O4394">
        <v>24</v>
      </c>
      <c r="P4394">
        <v>6605</v>
      </c>
      <c r="Q4394" t="s">
        <v>1047</v>
      </c>
      <c r="R4394" t="s">
        <v>713</v>
      </c>
      <c r="S4394">
        <v>1</v>
      </c>
      <c r="T4394">
        <v>1</v>
      </c>
      <c r="U4394">
        <v>56.1</v>
      </c>
      <c r="V4394">
        <v>116688</v>
      </c>
    </row>
    <row r="4395" spans="1:22">
      <c r="A4395" t="s">
        <v>196</v>
      </c>
      <c r="B4395">
        <v>84</v>
      </c>
      <c r="C4395" t="s">
        <v>1762</v>
      </c>
      <c r="D4395">
        <v>100</v>
      </c>
      <c r="E4395" t="s">
        <v>197</v>
      </c>
      <c r="F4395">
        <v>1150</v>
      </c>
      <c r="G4395" t="s">
        <v>34</v>
      </c>
      <c r="H4395">
        <v>2150</v>
      </c>
      <c r="I4395" t="s">
        <v>34</v>
      </c>
      <c r="J4395">
        <v>3275</v>
      </c>
      <c r="K4395" t="s">
        <v>1816</v>
      </c>
      <c r="L4395">
        <v>4280</v>
      </c>
      <c r="M4395" t="s">
        <v>1817</v>
      </c>
      <c r="N4395" t="s">
        <v>721</v>
      </c>
      <c r="O4395">
        <v>29</v>
      </c>
      <c r="P4395">
        <v>5083</v>
      </c>
      <c r="Q4395" t="s">
        <v>1818</v>
      </c>
      <c r="R4395" t="s">
        <v>713</v>
      </c>
      <c r="S4395">
        <v>1</v>
      </c>
      <c r="T4395">
        <v>1</v>
      </c>
      <c r="U4395">
        <v>70.87</v>
      </c>
      <c r="V4395">
        <v>147410</v>
      </c>
    </row>
    <row r="4396" spans="1:22">
      <c r="A4396" t="s">
        <v>196</v>
      </c>
      <c r="B4396">
        <v>84</v>
      </c>
      <c r="C4396" t="s">
        <v>1762</v>
      </c>
      <c r="D4396">
        <v>100</v>
      </c>
      <c r="E4396" t="s">
        <v>197</v>
      </c>
      <c r="F4396">
        <v>1150</v>
      </c>
      <c r="G4396" t="s">
        <v>34</v>
      </c>
      <c r="H4396">
        <v>2150</v>
      </c>
      <c r="I4396" t="s">
        <v>34</v>
      </c>
      <c r="J4396">
        <v>3275</v>
      </c>
      <c r="K4396" t="s">
        <v>1816</v>
      </c>
      <c r="L4396">
        <v>4280</v>
      </c>
      <c r="M4396" t="s">
        <v>1817</v>
      </c>
      <c r="N4396" t="s">
        <v>255</v>
      </c>
      <c r="O4396">
        <v>3</v>
      </c>
      <c r="P4396">
        <v>1814</v>
      </c>
      <c r="Q4396" t="s">
        <v>1786</v>
      </c>
      <c r="R4396" t="s">
        <v>201</v>
      </c>
      <c r="S4396">
        <v>1</v>
      </c>
      <c r="T4396">
        <v>1</v>
      </c>
      <c r="U4396">
        <v>143400</v>
      </c>
      <c r="V4396">
        <v>143400</v>
      </c>
    </row>
    <row r="4397" spans="1:22">
      <c r="A4397" t="s">
        <v>196</v>
      </c>
      <c r="B4397">
        <v>84</v>
      </c>
      <c r="C4397" t="s">
        <v>1762</v>
      </c>
      <c r="D4397">
        <v>100</v>
      </c>
      <c r="E4397" t="s">
        <v>197</v>
      </c>
      <c r="F4397">
        <v>1150</v>
      </c>
      <c r="G4397" t="s">
        <v>34</v>
      </c>
      <c r="H4397">
        <v>2150</v>
      </c>
      <c r="I4397" t="s">
        <v>34</v>
      </c>
      <c r="J4397">
        <v>3275</v>
      </c>
      <c r="K4397" t="s">
        <v>1816</v>
      </c>
      <c r="L4397">
        <v>4280</v>
      </c>
      <c r="M4397" t="s">
        <v>1817</v>
      </c>
      <c r="N4397" t="s">
        <v>199</v>
      </c>
      <c r="O4397">
        <v>0</v>
      </c>
      <c r="P4397">
        <v>12</v>
      </c>
      <c r="Q4397" t="s">
        <v>724</v>
      </c>
      <c r="R4397" t="s">
        <v>201</v>
      </c>
      <c r="S4397">
        <v>0</v>
      </c>
      <c r="T4397">
        <v>0</v>
      </c>
      <c r="U4397">
        <v>5845</v>
      </c>
      <c r="V4397">
        <v>5845</v>
      </c>
    </row>
    <row r="4398" spans="1:22">
      <c r="A4398" t="s">
        <v>196</v>
      </c>
      <c r="B4398">
        <v>84</v>
      </c>
      <c r="C4398" t="s">
        <v>1762</v>
      </c>
      <c r="D4398">
        <v>100</v>
      </c>
      <c r="E4398" t="s">
        <v>197</v>
      </c>
      <c r="F4398">
        <v>1150</v>
      </c>
      <c r="G4398" t="s">
        <v>34</v>
      </c>
      <c r="H4398">
        <v>2150</v>
      </c>
      <c r="I4398" t="s">
        <v>34</v>
      </c>
      <c r="J4398">
        <v>3275</v>
      </c>
      <c r="K4398" t="s">
        <v>1816</v>
      </c>
      <c r="L4398">
        <v>4285</v>
      </c>
      <c r="M4398" t="s">
        <v>1819</v>
      </c>
      <c r="N4398" t="s">
        <v>721</v>
      </c>
      <c r="O4398">
        <v>54</v>
      </c>
      <c r="P4398">
        <v>9534</v>
      </c>
      <c r="Q4398" t="s">
        <v>960</v>
      </c>
      <c r="R4398" t="s">
        <v>713</v>
      </c>
      <c r="S4398">
        <v>2</v>
      </c>
      <c r="T4398">
        <v>1</v>
      </c>
      <c r="U4398">
        <v>51.4</v>
      </c>
      <c r="V4398">
        <v>213824</v>
      </c>
    </row>
    <row r="4399" spans="1:22">
      <c r="A4399" t="s">
        <v>196</v>
      </c>
      <c r="B4399">
        <v>84</v>
      </c>
      <c r="C4399" t="s">
        <v>1762</v>
      </c>
      <c r="D4399">
        <v>100</v>
      </c>
      <c r="E4399" t="s">
        <v>197</v>
      </c>
      <c r="F4399">
        <v>1150</v>
      </c>
      <c r="G4399" t="s">
        <v>34</v>
      </c>
      <c r="H4399">
        <v>2150</v>
      </c>
      <c r="I4399" t="s">
        <v>34</v>
      </c>
      <c r="J4399">
        <v>3275</v>
      </c>
      <c r="K4399" t="s">
        <v>1816</v>
      </c>
      <c r="L4399">
        <v>4285</v>
      </c>
      <c r="M4399" t="s">
        <v>1819</v>
      </c>
      <c r="N4399" t="s">
        <v>386</v>
      </c>
      <c r="O4399">
        <v>4</v>
      </c>
      <c r="P4399">
        <v>625</v>
      </c>
      <c r="Q4399" t="s">
        <v>1820</v>
      </c>
      <c r="R4399" t="s">
        <v>201</v>
      </c>
      <c r="S4399">
        <v>1</v>
      </c>
      <c r="T4399">
        <v>1</v>
      </c>
      <c r="U4399">
        <v>164808</v>
      </c>
      <c r="V4399">
        <v>164808</v>
      </c>
    </row>
    <row r="4400" spans="1:22">
      <c r="A4400" t="s">
        <v>196</v>
      </c>
      <c r="B4400">
        <v>84</v>
      </c>
      <c r="C4400" t="s">
        <v>1762</v>
      </c>
      <c r="D4400">
        <v>100</v>
      </c>
      <c r="E4400" t="s">
        <v>197</v>
      </c>
      <c r="F4400">
        <v>1150</v>
      </c>
      <c r="G4400" t="s">
        <v>34</v>
      </c>
      <c r="H4400">
        <v>2150</v>
      </c>
      <c r="I4400" t="s">
        <v>34</v>
      </c>
      <c r="J4400">
        <v>3275</v>
      </c>
      <c r="K4400" t="s">
        <v>1816</v>
      </c>
      <c r="L4400">
        <v>4285</v>
      </c>
      <c r="M4400" t="s">
        <v>1819</v>
      </c>
      <c r="N4400" t="s">
        <v>199</v>
      </c>
      <c r="O4400">
        <v>0</v>
      </c>
      <c r="P4400">
        <v>12</v>
      </c>
      <c r="Q4400" t="s">
        <v>724</v>
      </c>
      <c r="R4400" t="s">
        <v>201</v>
      </c>
      <c r="S4400">
        <v>0</v>
      </c>
      <c r="T4400">
        <v>0</v>
      </c>
      <c r="U4400">
        <v>3207</v>
      </c>
      <c r="V4400">
        <v>3207</v>
      </c>
    </row>
    <row r="4401" spans="1:22">
      <c r="A4401" t="s">
        <v>196</v>
      </c>
      <c r="B4401">
        <v>84</v>
      </c>
      <c r="C4401" t="s">
        <v>1762</v>
      </c>
      <c r="D4401">
        <v>100</v>
      </c>
      <c r="E4401" t="s">
        <v>197</v>
      </c>
      <c r="F4401">
        <v>1150</v>
      </c>
      <c r="G4401" t="s">
        <v>34</v>
      </c>
      <c r="H4401">
        <v>2150</v>
      </c>
      <c r="I4401" t="s">
        <v>34</v>
      </c>
      <c r="J4401">
        <v>3275</v>
      </c>
      <c r="K4401" t="s">
        <v>1816</v>
      </c>
      <c r="L4401">
        <v>4286</v>
      </c>
      <c r="M4401" t="s">
        <v>1821</v>
      </c>
      <c r="N4401" t="s">
        <v>721</v>
      </c>
      <c r="O4401">
        <v>54</v>
      </c>
      <c r="P4401">
        <v>9534</v>
      </c>
      <c r="Q4401" t="s">
        <v>960</v>
      </c>
      <c r="R4401" t="s">
        <v>713</v>
      </c>
      <c r="S4401">
        <v>3</v>
      </c>
      <c r="T4401">
        <v>1</v>
      </c>
      <c r="U4401">
        <v>51.4</v>
      </c>
      <c r="V4401">
        <v>320736</v>
      </c>
    </row>
    <row r="4402" spans="1:22">
      <c r="A4402" t="s">
        <v>196</v>
      </c>
      <c r="B4402">
        <v>84</v>
      </c>
      <c r="C4402" t="s">
        <v>1762</v>
      </c>
      <c r="D4402">
        <v>100</v>
      </c>
      <c r="E4402" t="s">
        <v>197</v>
      </c>
      <c r="F4402">
        <v>1150</v>
      </c>
      <c r="G4402" t="s">
        <v>34</v>
      </c>
      <c r="H4402">
        <v>2150</v>
      </c>
      <c r="I4402" t="s">
        <v>34</v>
      </c>
      <c r="J4402">
        <v>3275</v>
      </c>
      <c r="K4402" t="s">
        <v>1816</v>
      </c>
      <c r="L4402">
        <v>4286</v>
      </c>
      <c r="M4402" t="s">
        <v>1821</v>
      </c>
      <c r="N4402" t="s">
        <v>721</v>
      </c>
      <c r="O4402">
        <v>8</v>
      </c>
      <c r="P4402">
        <v>7184</v>
      </c>
      <c r="Q4402" t="s">
        <v>1728</v>
      </c>
      <c r="R4402" t="s">
        <v>713</v>
      </c>
      <c r="S4402">
        <v>4</v>
      </c>
      <c r="T4402">
        <v>1</v>
      </c>
      <c r="U4402">
        <v>48.73</v>
      </c>
      <c r="V4402">
        <v>405434</v>
      </c>
    </row>
    <row r="4403" spans="1:22">
      <c r="A4403" t="s">
        <v>196</v>
      </c>
      <c r="B4403">
        <v>84</v>
      </c>
      <c r="C4403" t="s">
        <v>1762</v>
      </c>
      <c r="D4403">
        <v>100</v>
      </c>
      <c r="E4403" t="s">
        <v>197</v>
      </c>
      <c r="F4403">
        <v>1150</v>
      </c>
      <c r="G4403" t="s">
        <v>34</v>
      </c>
      <c r="H4403">
        <v>2150</v>
      </c>
      <c r="I4403" t="s">
        <v>34</v>
      </c>
      <c r="J4403">
        <v>3275</v>
      </c>
      <c r="K4403" t="s">
        <v>1816</v>
      </c>
      <c r="L4403">
        <v>4286</v>
      </c>
      <c r="M4403" t="s">
        <v>1821</v>
      </c>
      <c r="N4403" t="s">
        <v>721</v>
      </c>
      <c r="O4403">
        <v>29</v>
      </c>
      <c r="P4403">
        <v>5089</v>
      </c>
      <c r="Q4403" t="s">
        <v>1822</v>
      </c>
      <c r="R4403" t="s">
        <v>712</v>
      </c>
      <c r="S4403">
        <v>1</v>
      </c>
      <c r="T4403">
        <v>1</v>
      </c>
      <c r="U4403">
        <v>12284.13</v>
      </c>
      <c r="V4403">
        <v>147410</v>
      </c>
    </row>
    <row r="4404" spans="1:22">
      <c r="A4404" t="s">
        <v>196</v>
      </c>
      <c r="B4404">
        <v>84</v>
      </c>
      <c r="C4404" t="s">
        <v>1762</v>
      </c>
      <c r="D4404">
        <v>100</v>
      </c>
      <c r="E4404" t="s">
        <v>197</v>
      </c>
      <c r="F4404">
        <v>1150</v>
      </c>
      <c r="G4404" t="s">
        <v>34</v>
      </c>
      <c r="H4404">
        <v>2150</v>
      </c>
      <c r="I4404" t="s">
        <v>34</v>
      </c>
      <c r="J4404">
        <v>3275</v>
      </c>
      <c r="K4404" t="s">
        <v>1816</v>
      </c>
      <c r="L4404">
        <v>4286</v>
      </c>
      <c r="M4404" t="s">
        <v>1821</v>
      </c>
      <c r="N4404" t="s">
        <v>721</v>
      </c>
      <c r="O4404">
        <v>29</v>
      </c>
      <c r="P4404">
        <v>5087</v>
      </c>
      <c r="Q4404" t="s">
        <v>1823</v>
      </c>
      <c r="R4404" t="s">
        <v>712</v>
      </c>
      <c r="S4404">
        <v>4</v>
      </c>
      <c r="T4404">
        <v>1</v>
      </c>
      <c r="U4404">
        <v>11193.87</v>
      </c>
      <c r="V4404">
        <v>537306</v>
      </c>
    </row>
    <row r="4405" spans="1:22">
      <c r="A4405" t="s">
        <v>196</v>
      </c>
      <c r="B4405">
        <v>84</v>
      </c>
      <c r="C4405" t="s">
        <v>1762</v>
      </c>
      <c r="D4405">
        <v>100</v>
      </c>
      <c r="E4405" t="s">
        <v>197</v>
      </c>
      <c r="F4405">
        <v>1150</v>
      </c>
      <c r="G4405" t="s">
        <v>34</v>
      </c>
      <c r="H4405">
        <v>2150</v>
      </c>
      <c r="I4405" t="s">
        <v>34</v>
      </c>
      <c r="J4405">
        <v>3275</v>
      </c>
      <c r="K4405" t="s">
        <v>1816</v>
      </c>
      <c r="L4405">
        <v>4286</v>
      </c>
      <c r="M4405" t="s">
        <v>1821</v>
      </c>
      <c r="N4405" t="s">
        <v>721</v>
      </c>
      <c r="O4405">
        <v>29</v>
      </c>
      <c r="P4405">
        <v>5083</v>
      </c>
      <c r="Q4405" t="s">
        <v>1818</v>
      </c>
      <c r="R4405" t="s">
        <v>713</v>
      </c>
      <c r="S4405">
        <v>4</v>
      </c>
      <c r="T4405">
        <v>1</v>
      </c>
      <c r="U4405">
        <v>70.87</v>
      </c>
      <c r="V4405">
        <v>589638</v>
      </c>
    </row>
    <row r="4406" spans="1:22">
      <c r="A4406" t="s">
        <v>196</v>
      </c>
      <c r="B4406">
        <v>84</v>
      </c>
      <c r="C4406" t="s">
        <v>1762</v>
      </c>
      <c r="D4406">
        <v>100</v>
      </c>
      <c r="E4406" t="s">
        <v>197</v>
      </c>
      <c r="F4406">
        <v>1150</v>
      </c>
      <c r="G4406" t="s">
        <v>34</v>
      </c>
      <c r="H4406">
        <v>2150</v>
      </c>
      <c r="I4406" t="s">
        <v>34</v>
      </c>
      <c r="J4406">
        <v>3275</v>
      </c>
      <c r="K4406" t="s">
        <v>1816</v>
      </c>
      <c r="L4406">
        <v>4286</v>
      </c>
      <c r="M4406" t="s">
        <v>1821</v>
      </c>
      <c r="N4406" t="s">
        <v>721</v>
      </c>
      <c r="O4406">
        <v>29</v>
      </c>
      <c r="P4406">
        <v>5081</v>
      </c>
      <c r="Q4406" t="s">
        <v>1824</v>
      </c>
      <c r="R4406" t="s">
        <v>713</v>
      </c>
      <c r="S4406">
        <v>6</v>
      </c>
      <c r="T4406">
        <v>1</v>
      </c>
      <c r="U4406">
        <v>64.58</v>
      </c>
      <c r="V4406">
        <v>805958</v>
      </c>
    </row>
    <row r="4407" spans="1:22">
      <c r="A4407" t="s">
        <v>196</v>
      </c>
      <c r="B4407">
        <v>84</v>
      </c>
      <c r="C4407" t="s">
        <v>1762</v>
      </c>
      <c r="D4407">
        <v>100</v>
      </c>
      <c r="E4407" t="s">
        <v>197</v>
      </c>
      <c r="F4407">
        <v>1150</v>
      </c>
      <c r="G4407" t="s">
        <v>34</v>
      </c>
      <c r="H4407">
        <v>2150</v>
      </c>
      <c r="I4407" t="s">
        <v>34</v>
      </c>
      <c r="J4407">
        <v>3275</v>
      </c>
      <c r="K4407" t="s">
        <v>1816</v>
      </c>
      <c r="L4407">
        <v>4286</v>
      </c>
      <c r="M4407" t="s">
        <v>1821</v>
      </c>
      <c r="N4407" t="s">
        <v>199</v>
      </c>
      <c r="O4407">
        <v>0</v>
      </c>
      <c r="P4407">
        <v>12</v>
      </c>
      <c r="Q4407" t="s">
        <v>724</v>
      </c>
      <c r="R4407" t="s">
        <v>201</v>
      </c>
      <c r="S4407">
        <v>0</v>
      </c>
      <c r="T4407">
        <v>0</v>
      </c>
      <c r="U4407">
        <v>42098</v>
      </c>
      <c r="V4407">
        <v>42098</v>
      </c>
    </row>
    <row r="4408" spans="1:22">
      <c r="A4408" t="s">
        <v>196</v>
      </c>
      <c r="B4408">
        <v>84</v>
      </c>
      <c r="C4408" t="s">
        <v>1762</v>
      </c>
      <c r="D4408">
        <v>100</v>
      </c>
      <c r="E4408" t="s">
        <v>197</v>
      </c>
      <c r="F4408">
        <v>1155</v>
      </c>
      <c r="G4408" t="s">
        <v>8</v>
      </c>
      <c r="H4408">
        <v>2155</v>
      </c>
      <c r="I4408" t="s">
        <v>8</v>
      </c>
      <c r="J4408">
        <v>3255</v>
      </c>
      <c r="K4408" t="s">
        <v>1825</v>
      </c>
      <c r="L4408">
        <v>0</v>
      </c>
      <c r="N4408" t="s">
        <v>628</v>
      </c>
      <c r="O4408">
        <v>10</v>
      </c>
      <c r="P4408">
        <v>8256</v>
      </c>
      <c r="Q4408" t="s">
        <v>1826</v>
      </c>
      <c r="R4408" t="s">
        <v>201</v>
      </c>
      <c r="S4408">
        <v>1</v>
      </c>
      <c r="T4408">
        <v>1</v>
      </c>
      <c r="U4408">
        <v>143232</v>
      </c>
      <c r="V4408">
        <v>143232</v>
      </c>
    </row>
    <row r="4409" spans="1:22">
      <c r="A4409" t="s">
        <v>196</v>
      </c>
      <c r="B4409">
        <v>84</v>
      </c>
      <c r="C4409" t="s">
        <v>1762</v>
      </c>
      <c r="D4409">
        <v>100</v>
      </c>
      <c r="E4409" t="s">
        <v>197</v>
      </c>
      <c r="F4409">
        <v>1155</v>
      </c>
      <c r="G4409" t="s">
        <v>8</v>
      </c>
      <c r="H4409">
        <v>2155</v>
      </c>
      <c r="I4409" t="s">
        <v>8</v>
      </c>
      <c r="J4409">
        <v>3255</v>
      </c>
      <c r="K4409" t="s">
        <v>1825</v>
      </c>
      <c r="L4409">
        <v>0</v>
      </c>
      <c r="N4409" t="s">
        <v>249</v>
      </c>
      <c r="O4409">
        <v>10</v>
      </c>
      <c r="P4409">
        <v>311</v>
      </c>
      <c r="Q4409" t="s">
        <v>661</v>
      </c>
      <c r="R4409" t="s">
        <v>201</v>
      </c>
      <c r="S4409">
        <v>1</v>
      </c>
      <c r="T4409">
        <v>1</v>
      </c>
      <c r="U4409">
        <v>150072</v>
      </c>
      <c r="V4409">
        <v>150072</v>
      </c>
    </row>
    <row r="4410" spans="1:22">
      <c r="A4410" t="s">
        <v>196</v>
      </c>
      <c r="B4410">
        <v>84</v>
      </c>
      <c r="C4410" t="s">
        <v>1762</v>
      </c>
      <c r="D4410">
        <v>100</v>
      </c>
      <c r="E4410" t="s">
        <v>197</v>
      </c>
      <c r="F4410">
        <v>1155</v>
      </c>
      <c r="G4410" t="s">
        <v>8</v>
      </c>
      <c r="H4410">
        <v>2155</v>
      </c>
      <c r="I4410" t="s">
        <v>8</v>
      </c>
      <c r="J4410">
        <v>3255</v>
      </c>
      <c r="K4410" t="s">
        <v>1825</v>
      </c>
      <c r="L4410">
        <v>0</v>
      </c>
      <c r="N4410" t="s">
        <v>249</v>
      </c>
      <c r="O4410">
        <v>10</v>
      </c>
      <c r="P4410">
        <v>310</v>
      </c>
      <c r="Q4410" t="s">
        <v>447</v>
      </c>
      <c r="R4410" t="s">
        <v>201</v>
      </c>
      <c r="S4410">
        <v>1</v>
      </c>
      <c r="T4410">
        <v>1</v>
      </c>
      <c r="U4410">
        <v>113568</v>
      </c>
      <c r="V4410">
        <v>113568</v>
      </c>
    </row>
    <row r="4411" spans="1:22">
      <c r="A4411" t="s">
        <v>196</v>
      </c>
      <c r="B4411">
        <v>84</v>
      </c>
      <c r="C4411" t="s">
        <v>1762</v>
      </c>
      <c r="D4411">
        <v>100</v>
      </c>
      <c r="E4411" t="s">
        <v>197</v>
      </c>
      <c r="F4411">
        <v>1155</v>
      </c>
      <c r="G4411" t="s">
        <v>8</v>
      </c>
      <c r="H4411">
        <v>2155</v>
      </c>
      <c r="I4411" t="s">
        <v>8</v>
      </c>
      <c r="J4411">
        <v>3255</v>
      </c>
      <c r="K4411" t="s">
        <v>1825</v>
      </c>
      <c r="L4411">
        <v>0</v>
      </c>
      <c r="N4411" t="s">
        <v>199</v>
      </c>
      <c r="O4411">
        <v>0</v>
      </c>
      <c r="P4411">
        <v>15</v>
      </c>
      <c r="Q4411" t="s">
        <v>264</v>
      </c>
      <c r="R4411" t="s">
        <v>201</v>
      </c>
      <c r="S4411">
        <v>0</v>
      </c>
      <c r="T4411">
        <v>0</v>
      </c>
      <c r="U4411">
        <v>3420</v>
      </c>
      <c r="V4411">
        <v>3420</v>
      </c>
    </row>
    <row r="4412" spans="1:22">
      <c r="A4412" t="s">
        <v>196</v>
      </c>
      <c r="B4412">
        <v>84</v>
      </c>
      <c r="C4412" t="s">
        <v>1762</v>
      </c>
      <c r="D4412">
        <v>100</v>
      </c>
      <c r="E4412" t="s">
        <v>197</v>
      </c>
      <c r="F4412">
        <v>1155</v>
      </c>
      <c r="G4412" t="s">
        <v>8</v>
      </c>
      <c r="H4412">
        <v>2155</v>
      </c>
      <c r="I4412" t="s">
        <v>8</v>
      </c>
      <c r="J4412">
        <v>3256</v>
      </c>
      <c r="K4412" t="s">
        <v>819</v>
      </c>
      <c r="L4412">
        <v>4262</v>
      </c>
      <c r="M4412" t="s">
        <v>1827</v>
      </c>
      <c r="N4412" t="s">
        <v>721</v>
      </c>
      <c r="O4412">
        <v>53</v>
      </c>
      <c r="P4412">
        <v>9532</v>
      </c>
      <c r="Q4412" t="s">
        <v>901</v>
      </c>
      <c r="R4412" t="s">
        <v>713</v>
      </c>
      <c r="S4412">
        <v>1</v>
      </c>
      <c r="T4412">
        <v>1</v>
      </c>
      <c r="U4412">
        <v>51.4</v>
      </c>
      <c r="V4412">
        <v>106912</v>
      </c>
    </row>
    <row r="4413" spans="1:22">
      <c r="A4413" t="s">
        <v>196</v>
      </c>
      <c r="B4413">
        <v>84</v>
      </c>
      <c r="C4413" t="s">
        <v>1762</v>
      </c>
      <c r="D4413">
        <v>100</v>
      </c>
      <c r="E4413" t="s">
        <v>197</v>
      </c>
      <c r="F4413">
        <v>1155</v>
      </c>
      <c r="G4413" t="s">
        <v>8</v>
      </c>
      <c r="H4413">
        <v>2155</v>
      </c>
      <c r="I4413" t="s">
        <v>8</v>
      </c>
      <c r="J4413">
        <v>3256</v>
      </c>
      <c r="K4413" t="s">
        <v>819</v>
      </c>
      <c r="L4413">
        <v>4262</v>
      </c>
      <c r="M4413" t="s">
        <v>1827</v>
      </c>
      <c r="N4413" t="s">
        <v>1828</v>
      </c>
      <c r="O4413">
        <v>31</v>
      </c>
      <c r="P4413">
        <v>7235</v>
      </c>
      <c r="Q4413" t="s">
        <v>1829</v>
      </c>
      <c r="R4413" t="s">
        <v>201</v>
      </c>
      <c r="S4413">
        <v>1</v>
      </c>
      <c r="T4413">
        <v>1</v>
      </c>
      <c r="U4413">
        <v>108528</v>
      </c>
      <c r="V4413">
        <v>108528</v>
      </c>
    </row>
    <row r="4414" spans="1:22">
      <c r="A4414" t="s">
        <v>196</v>
      </c>
      <c r="B4414">
        <v>84</v>
      </c>
      <c r="C4414" t="s">
        <v>1762</v>
      </c>
      <c r="D4414">
        <v>100</v>
      </c>
      <c r="E4414" t="s">
        <v>197</v>
      </c>
      <c r="F4414">
        <v>1155</v>
      </c>
      <c r="G4414" t="s">
        <v>8</v>
      </c>
      <c r="H4414">
        <v>2155</v>
      </c>
      <c r="I4414" t="s">
        <v>8</v>
      </c>
      <c r="J4414">
        <v>3256</v>
      </c>
      <c r="K4414" t="s">
        <v>819</v>
      </c>
      <c r="L4414">
        <v>4262</v>
      </c>
      <c r="M4414" t="s">
        <v>1827</v>
      </c>
      <c r="N4414" t="s">
        <v>1828</v>
      </c>
      <c r="O4414">
        <v>31</v>
      </c>
      <c r="P4414">
        <v>7235</v>
      </c>
      <c r="Q4414" t="s">
        <v>1829</v>
      </c>
      <c r="R4414" t="s">
        <v>201</v>
      </c>
      <c r="S4414">
        <v>2</v>
      </c>
      <c r="T4414">
        <v>1</v>
      </c>
      <c r="U4414">
        <v>98892</v>
      </c>
      <c r="V4414">
        <v>197784</v>
      </c>
    </row>
    <row r="4415" spans="1:22">
      <c r="A4415" t="s">
        <v>196</v>
      </c>
      <c r="B4415">
        <v>84</v>
      </c>
      <c r="C4415" t="s">
        <v>1762</v>
      </c>
      <c r="D4415">
        <v>100</v>
      </c>
      <c r="E4415" t="s">
        <v>197</v>
      </c>
      <c r="F4415">
        <v>1155</v>
      </c>
      <c r="G4415" t="s">
        <v>8</v>
      </c>
      <c r="H4415">
        <v>2155</v>
      </c>
      <c r="I4415" t="s">
        <v>8</v>
      </c>
      <c r="J4415">
        <v>3256</v>
      </c>
      <c r="K4415" t="s">
        <v>819</v>
      </c>
      <c r="L4415">
        <v>4262</v>
      </c>
      <c r="M4415" t="s">
        <v>1827</v>
      </c>
      <c r="N4415" t="s">
        <v>1830</v>
      </c>
      <c r="O4415">
        <v>31</v>
      </c>
      <c r="P4415">
        <v>7230</v>
      </c>
      <c r="Q4415" t="s">
        <v>1831</v>
      </c>
      <c r="R4415" t="s">
        <v>201</v>
      </c>
      <c r="S4415">
        <v>14</v>
      </c>
      <c r="T4415">
        <v>1</v>
      </c>
      <c r="U4415">
        <v>98892</v>
      </c>
      <c r="V4415">
        <v>1384488</v>
      </c>
    </row>
    <row r="4416" spans="1:22">
      <c r="A4416" t="s">
        <v>196</v>
      </c>
      <c r="B4416">
        <v>84</v>
      </c>
      <c r="C4416" t="s">
        <v>1762</v>
      </c>
      <c r="D4416">
        <v>100</v>
      </c>
      <c r="E4416" t="s">
        <v>197</v>
      </c>
      <c r="F4416">
        <v>1155</v>
      </c>
      <c r="G4416" t="s">
        <v>8</v>
      </c>
      <c r="H4416">
        <v>2155</v>
      </c>
      <c r="I4416" t="s">
        <v>8</v>
      </c>
      <c r="J4416">
        <v>3256</v>
      </c>
      <c r="K4416" t="s">
        <v>819</v>
      </c>
      <c r="L4416">
        <v>4262</v>
      </c>
      <c r="M4416" t="s">
        <v>1827</v>
      </c>
      <c r="N4416" t="s">
        <v>1830</v>
      </c>
      <c r="O4416">
        <v>31</v>
      </c>
      <c r="P4416">
        <v>7230</v>
      </c>
      <c r="Q4416" t="s">
        <v>1831</v>
      </c>
      <c r="R4416" t="s">
        <v>201</v>
      </c>
      <c r="S4416">
        <v>4</v>
      </c>
      <c r="T4416">
        <v>1</v>
      </c>
      <c r="U4416">
        <v>90108</v>
      </c>
      <c r="V4416">
        <v>360432</v>
      </c>
    </row>
    <row r="4417" spans="1:22">
      <c r="A4417" t="s">
        <v>196</v>
      </c>
      <c r="B4417">
        <v>84</v>
      </c>
      <c r="C4417" t="s">
        <v>1762</v>
      </c>
      <c r="D4417">
        <v>100</v>
      </c>
      <c r="E4417" t="s">
        <v>197</v>
      </c>
      <c r="F4417">
        <v>1155</v>
      </c>
      <c r="G4417" t="s">
        <v>8</v>
      </c>
      <c r="H4417">
        <v>2155</v>
      </c>
      <c r="I4417" t="s">
        <v>8</v>
      </c>
      <c r="J4417">
        <v>3256</v>
      </c>
      <c r="K4417" t="s">
        <v>819</v>
      </c>
      <c r="L4417">
        <v>4262</v>
      </c>
      <c r="M4417" t="s">
        <v>1827</v>
      </c>
      <c r="N4417" t="s">
        <v>1830</v>
      </c>
      <c r="O4417">
        <v>31</v>
      </c>
      <c r="P4417">
        <v>7230</v>
      </c>
      <c r="Q4417" t="s">
        <v>1831</v>
      </c>
      <c r="R4417" t="s">
        <v>201</v>
      </c>
      <c r="S4417">
        <v>1</v>
      </c>
      <c r="T4417">
        <v>1</v>
      </c>
      <c r="U4417">
        <v>86052</v>
      </c>
      <c r="V4417">
        <v>86052</v>
      </c>
    </row>
    <row r="4418" spans="1:22">
      <c r="A4418" t="s">
        <v>196</v>
      </c>
      <c r="B4418">
        <v>84</v>
      </c>
      <c r="C4418" t="s">
        <v>1762</v>
      </c>
      <c r="D4418">
        <v>100</v>
      </c>
      <c r="E4418" t="s">
        <v>197</v>
      </c>
      <c r="F4418">
        <v>1155</v>
      </c>
      <c r="G4418" t="s">
        <v>8</v>
      </c>
      <c r="H4418">
        <v>2155</v>
      </c>
      <c r="I4418" t="s">
        <v>8</v>
      </c>
      <c r="J4418">
        <v>3256</v>
      </c>
      <c r="K4418" t="s">
        <v>819</v>
      </c>
      <c r="L4418">
        <v>4262</v>
      </c>
      <c r="M4418" t="s">
        <v>1827</v>
      </c>
      <c r="N4418" t="s">
        <v>1830</v>
      </c>
      <c r="O4418">
        <v>31</v>
      </c>
      <c r="P4418">
        <v>7230</v>
      </c>
      <c r="Q4418" t="s">
        <v>1831</v>
      </c>
      <c r="R4418" t="s">
        <v>201</v>
      </c>
      <c r="S4418">
        <v>3</v>
      </c>
      <c r="T4418">
        <v>1</v>
      </c>
      <c r="U4418">
        <v>82080</v>
      </c>
      <c r="V4418">
        <v>246240</v>
      </c>
    </row>
    <row r="4419" spans="1:22">
      <c r="A4419" t="s">
        <v>196</v>
      </c>
      <c r="B4419">
        <v>84</v>
      </c>
      <c r="C4419" t="s">
        <v>1762</v>
      </c>
      <c r="D4419">
        <v>100</v>
      </c>
      <c r="E4419" t="s">
        <v>197</v>
      </c>
      <c r="F4419">
        <v>1155</v>
      </c>
      <c r="G4419" t="s">
        <v>8</v>
      </c>
      <c r="H4419">
        <v>2155</v>
      </c>
      <c r="I4419" t="s">
        <v>8</v>
      </c>
      <c r="J4419">
        <v>3256</v>
      </c>
      <c r="K4419" t="s">
        <v>819</v>
      </c>
      <c r="L4419">
        <v>4262</v>
      </c>
      <c r="M4419" t="s">
        <v>1827</v>
      </c>
      <c r="N4419" t="s">
        <v>1830</v>
      </c>
      <c r="O4419">
        <v>31</v>
      </c>
      <c r="P4419">
        <v>7230</v>
      </c>
      <c r="Q4419" t="s">
        <v>1831</v>
      </c>
      <c r="R4419" t="s">
        <v>201</v>
      </c>
      <c r="S4419">
        <v>7</v>
      </c>
      <c r="T4419">
        <v>1</v>
      </c>
      <c r="U4419">
        <v>78432</v>
      </c>
      <c r="V4419">
        <v>549024</v>
      </c>
    </row>
    <row r="4420" spans="1:22">
      <c r="A4420" t="s">
        <v>196</v>
      </c>
      <c r="B4420">
        <v>84</v>
      </c>
      <c r="C4420" t="s">
        <v>1762</v>
      </c>
      <c r="D4420">
        <v>100</v>
      </c>
      <c r="E4420" t="s">
        <v>197</v>
      </c>
      <c r="F4420">
        <v>1155</v>
      </c>
      <c r="G4420" t="s">
        <v>8</v>
      </c>
      <c r="H4420">
        <v>2155</v>
      </c>
      <c r="I4420" t="s">
        <v>8</v>
      </c>
      <c r="J4420">
        <v>3256</v>
      </c>
      <c r="K4420" t="s">
        <v>819</v>
      </c>
      <c r="L4420">
        <v>4262</v>
      </c>
      <c r="M4420" t="s">
        <v>1827</v>
      </c>
      <c r="N4420" t="s">
        <v>1830</v>
      </c>
      <c r="O4420">
        <v>31</v>
      </c>
      <c r="P4420">
        <v>7230</v>
      </c>
      <c r="Q4420" t="s">
        <v>1831</v>
      </c>
      <c r="R4420" t="s">
        <v>201</v>
      </c>
      <c r="S4420">
        <v>2</v>
      </c>
      <c r="T4420">
        <v>1</v>
      </c>
      <c r="U4420">
        <v>74868</v>
      </c>
      <c r="V4420">
        <v>149736</v>
      </c>
    </row>
    <row r="4421" spans="1:22">
      <c r="A4421" t="s">
        <v>196</v>
      </c>
      <c r="B4421">
        <v>84</v>
      </c>
      <c r="C4421" t="s">
        <v>1762</v>
      </c>
      <c r="D4421">
        <v>100</v>
      </c>
      <c r="E4421" t="s">
        <v>197</v>
      </c>
      <c r="F4421">
        <v>1155</v>
      </c>
      <c r="G4421" t="s">
        <v>8</v>
      </c>
      <c r="H4421">
        <v>2155</v>
      </c>
      <c r="I4421" t="s">
        <v>8</v>
      </c>
      <c r="J4421">
        <v>3256</v>
      </c>
      <c r="K4421" t="s">
        <v>819</v>
      </c>
      <c r="L4421">
        <v>4262</v>
      </c>
      <c r="M4421" t="s">
        <v>1827</v>
      </c>
      <c r="N4421" t="s">
        <v>1830</v>
      </c>
      <c r="O4421">
        <v>31</v>
      </c>
      <c r="P4421">
        <v>7230</v>
      </c>
      <c r="Q4421" t="s">
        <v>1831</v>
      </c>
      <c r="R4421" t="s">
        <v>201</v>
      </c>
      <c r="S4421">
        <v>2</v>
      </c>
      <c r="T4421">
        <v>1</v>
      </c>
      <c r="U4421">
        <v>70740</v>
      </c>
      <c r="V4421">
        <v>141480</v>
      </c>
    </row>
    <row r="4422" spans="1:22">
      <c r="A4422" t="s">
        <v>196</v>
      </c>
      <c r="B4422">
        <v>84</v>
      </c>
      <c r="C4422" t="s">
        <v>1762</v>
      </c>
      <c r="D4422">
        <v>100</v>
      </c>
      <c r="E4422" t="s">
        <v>197</v>
      </c>
      <c r="F4422">
        <v>1155</v>
      </c>
      <c r="G4422" t="s">
        <v>8</v>
      </c>
      <c r="H4422">
        <v>2155</v>
      </c>
      <c r="I4422" t="s">
        <v>8</v>
      </c>
      <c r="J4422">
        <v>3256</v>
      </c>
      <c r="K4422" t="s">
        <v>819</v>
      </c>
      <c r="L4422">
        <v>4262</v>
      </c>
      <c r="M4422" t="s">
        <v>1827</v>
      </c>
      <c r="N4422" t="s">
        <v>1830</v>
      </c>
      <c r="O4422">
        <v>31</v>
      </c>
      <c r="P4422">
        <v>7230</v>
      </c>
      <c r="Q4422" t="s">
        <v>1831</v>
      </c>
      <c r="R4422" t="s">
        <v>201</v>
      </c>
      <c r="S4422">
        <v>6</v>
      </c>
      <c r="T4422">
        <v>1</v>
      </c>
      <c r="U4422">
        <v>67572</v>
      </c>
      <c r="V4422">
        <v>405432</v>
      </c>
    </row>
    <row r="4423" spans="1:22">
      <c r="A4423" t="s">
        <v>196</v>
      </c>
      <c r="B4423">
        <v>84</v>
      </c>
      <c r="C4423" t="s">
        <v>1762</v>
      </c>
      <c r="D4423">
        <v>100</v>
      </c>
      <c r="E4423" t="s">
        <v>197</v>
      </c>
      <c r="F4423">
        <v>1155</v>
      </c>
      <c r="G4423" t="s">
        <v>8</v>
      </c>
      <c r="H4423">
        <v>2155</v>
      </c>
      <c r="I4423" t="s">
        <v>8</v>
      </c>
      <c r="J4423">
        <v>3256</v>
      </c>
      <c r="K4423" t="s">
        <v>819</v>
      </c>
      <c r="L4423">
        <v>4262</v>
      </c>
      <c r="M4423" t="s">
        <v>1827</v>
      </c>
      <c r="N4423" t="s">
        <v>1830</v>
      </c>
      <c r="O4423">
        <v>31</v>
      </c>
      <c r="P4423">
        <v>7230</v>
      </c>
      <c r="Q4423" t="s">
        <v>1831</v>
      </c>
      <c r="R4423" t="s">
        <v>201</v>
      </c>
      <c r="S4423">
        <v>2</v>
      </c>
      <c r="T4423">
        <v>1</v>
      </c>
      <c r="U4423">
        <v>64440</v>
      </c>
      <c r="V4423">
        <v>128880</v>
      </c>
    </row>
    <row r="4424" spans="1:22">
      <c r="A4424" t="s">
        <v>196</v>
      </c>
      <c r="B4424">
        <v>84</v>
      </c>
      <c r="C4424" t="s">
        <v>1762</v>
      </c>
      <c r="D4424">
        <v>100</v>
      </c>
      <c r="E4424" t="s">
        <v>197</v>
      </c>
      <c r="F4424">
        <v>1155</v>
      </c>
      <c r="G4424" t="s">
        <v>8</v>
      </c>
      <c r="H4424">
        <v>2155</v>
      </c>
      <c r="I4424" t="s">
        <v>8</v>
      </c>
      <c r="J4424">
        <v>3256</v>
      </c>
      <c r="K4424" t="s">
        <v>819</v>
      </c>
      <c r="L4424">
        <v>4262</v>
      </c>
      <c r="M4424" t="s">
        <v>1827</v>
      </c>
      <c r="N4424" t="s">
        <v>1830</v>
      </c>
      <c r="O4424">
        <v>31</v>
      </c>
      <c r="P4424">
        <v>7230</v>
      </c>
      <c r="Q4424" t="s">
        <v>1831</v>
      </c>
      <c r="R4424" t="s">
        <v>201</v>
      </c>
      <c r="S4424">
        <v>2</v>
      </c>
      <c r="T4424">
        <v>1</v>
      </c>
      <c r="U4424">
        <v>61524</v>
      </c>
      <c r="V4424">
        <v>123048</v>
      </c>
    </row>
    <row r="4425" spans="1:22">
      <c r="A4425" t="s">
        <v>196</v>
      </c>
      <c r="B4425">
        <v>84</v>
      </c>
      <c r="C4425" t="s">
        <v>1762</v>
      </c>
      <c r="D4425">
        <v>100</v>
      </c>
      <c r="E4425" t="s">
        <v>197</v>
      </c>
      <c r="F4425">
        <v>1155</v>
      </c>
      <c r="G4425" t="s">
        <v>8</v>
      </c>
      <c r="H4425">
        <v>2155</v>
      </c>
      <c r="I4425" t="s">
        <v>8</v>
      </c>
      <c r="J4425">
        <v>3256</v>
      </c>
      <c r="K4425" t="s">
        <v>819</v>
      </c>
      <c r="L4425">
        <v>4262</v>
      </c>
      <c r="M4425" t="s">
        <v>1827</v>
      </c>
      <c r="N4425" t="s">
        <v>1830</v>
      </c>
      <c r="O4425">
        <v>31</v>
      </c>
      <c r="P4425">
        <v>7230</v>
      </c>
      <c r="Q4425" t="s">
        <v>1831</v>
      </c>
      <c r="R4425" t="s">
        <v>201</v>
      </c>
      <c r="S4425">
        <v>4</v>
      </c>
      <c r="T4425">
        <v>1</v>
      </c>
      <c r="U4425">
        <v>58728</v>
      </c>
      <c r="V4425">
        <v>234912</v>
      </c>
    </row>
    <row r="4426" spans="1:22">
      <c r="A4426" t="s">
        <v>196</v>
      </c>
      <c r="B4426">
        <v>84</v>
      </c>
      <c r="C4426" t="s">
        <v>1762</v>
      </c>
      <c r="D4426">
        <v>100</v>
      </c>
      <c r="E4426" t="s">
        <v>197</v>
      </c>
      <c r="F4426">
        <v>1155</v>
      </c>
      <c r="G4426" t="s">
        <v>8</v>
      </c>
      <c r="H4426">
        <v>2155</v>
      </c>
      <c r="I4426" t="s">
        <v>8</v>
      </c>
      <c r="J4426">
        <v>3256</v>
      </c>
      <c r="K4426" t="s">
        <v>819</v>
      </c>
      <c r="L4426">
        <v>4262</v>
      </c>
      <c r="M4426" t="s">
        <v>1827</v>
      </c>
      <c r="N4426" t="s">
        <v>199</v>
      </c>
      <c r="O4426">
        <v>0</v>
      </c>
      <c r="P4426">
        <v>15</v>
      </c>
      <c r="Q4426" t="s">
        <v>264</v>
      </c>
      <c r="R4426" t="s">
        <v>201</v>
      </c>
      <c r="S4426">
        <v>0</v>
      </c>
      <c r="T4426">
        <v>0</v>
      </c>
      <c r="U4426">
        <v>13955</v>
      </c>
      <c r="V4426">
        <v>13955</v>
      </c>
    </row>
    <row r="4427" spans="1:22">
      <c r="A4427" t="s">
        <v>196</v>
      </c>
      <c r="B4427">
        <v>84</v>
      </c>
      <c r="C4427" t="s">
        <v>1762</v>
      </c>
      <c r="D4427">
        <v>100</v>
      </c>
      <c r="E4427" t="s">
        <v>197</v>
      </c>
      <c r="F4427">
        <v>1155</v>
      </c>
      <c r="G4427" t="s">
        <v>8</v>
      </c>
      <c r="H4427">
        <v>2155</v>
      </c>
      <c r="I4427" t="s">
        <v>8</v>
      </c>
      <c r="J4427">
        <v>3256</v>
      </c>
      <c r="K4427" t="s">
        <v>819</v>
      </c>
      <c r="L4427">
        <v>4262</v>
      </c>
      <c r="M4427" t="s">
        <v>1827</v>
      </c>
      <c r="N4427" t="s">
        <v>199</v>
      </c>
      <c r="O4427">
        <v>0</v>
      </c>
      <c r="P4427">
        <v>12</v>
      </c>
      <c r="Q4427" t="s">
        <v>724</v>
      </c>
      <c r="R4427" t="s">
        <v>201</v>
      </c>
      <c r="S4427">
        <v>0</v>
      </c>
      <c r="T4427">
        <v>0</v>
      </c>
      <c r="U4427">
        <v>1604</v>
      </c>
      <c r="V4427">
        <v>1604</v>
      </c>
    </row>
    <row r="4428" spans="1:22">
      <c r="A4428" t="s">
        <v>196</v>
      </c>
      <c r="B4428">
        <v>84</v>
      </c>
      <c r="C4428" t="s">
        <v>1762</v>
      </c>
      <c r="D4428">
        <v>100</v>
      </c>
      <c r="E4428" t="s">
        <v>197</v>
      </c>
      <c r="F4428">
        <v>1160</v>
      </c>
      <c r="G4428" t="s">
        <v>117</v>
      </c>
      <c r="H4428">
        <v>2160</v>
      </c>
      <c r="I4428" t="s">
        <v>117</v>
      </c>
      <c r="J4428">
        <v>3160</v>
      </c>
      <c r="K4428" t="s">
        <v>117</v>
      </c>
      <c r="L4428">
        <v>0</v>
      </c>
      <c r="N4428" t="s">
        <v>1294</v>
      </c>
      <c r="O4428">
        <v>0</v>
      </c>
      <c r="P4428">
        <v>9681</v>
      </c>
      <c r="Q4428" t="s">
        <v>338</v>
      </c>
      <c r="R4428" t="s">
        <v>201</v>
      </c>
      <c r="S4428">
        <v>1</v>
      </c>
      <c r="T4428">
        <v>1</v>
      </c>
      <c r="U4428">
        <v>184584</v>
      </c>
      <c r="V4428">
        <v>184584</v>
      </c>
    </row>
    <row r="4429" spans="1:22">
      <c r="A4429" t="s">
        <v>196</v>
      </c>
      <c r="B4429">
        <v>84</v>
      </c>
      <c r="C4429" t="s">
        <v>1762</v>
      </c>
      <c r="D4429">
        <v>100</v>
      </c>
      <c r="E4429" t="s">
        <v>197</v>
      </c>
      <c r="F4429">
        <v>1160</v>
      </c>
      <c r="G4429" t="s">
        <v>117</v>
      </c>
      <c r="H4429">
        <v>2160</v>
      </c>
      <c r="I4429" t="s">
        <v>117</v>
      </c>
      <c r="J4429">
        <v>3160</v>
      </c>
      <c r="K4429" t="s">
        <v>117</v>
      </c>
      <c r="L4429">
        <v>0</v>
      </c>
      <c r="N4429" t="s">
        <v>688</v>
      </c>
      <c r="O4429">
        <v>1</v>
      </c>
      <c r="P4429">
        <v>7946</v>
      </c>
      <c r="Q4429" t="s">
        <v>1750</v>
      </c>
      <c r="R4429" t="s">
        <v>201</v>
      </c>
      <c r="S4429">
        <v>1</v>
      </c>
      <c r="T4429">
        <v>1</v>
      </c>
      <c r="U4429">
        <v>118836</v>
      </c>
      <c r="V4429">
        <v>118836</v>
      </c>
    </row>
    <row r="4430" spans="1:22">
      <c r="A4430" t="s">
        <v>196</v>
      </c>
      <c r="B4430">
        <v>84</v>
      </c>
      <c r="C4430" t="s">
        <v>1762</v>
      </c>
      <c r="D4430">
        <v>100</v>
      </c>
      <c r="E4430" t="s">
        <v>197</v>
      </c>
      <c r="F4430">
        <v>1160</v>
      </c>
      <c r="G4430" t="s">
        <v>117</v>
      </c>
      <c r="H4430">
        <v>2160</v>
      </c>
      <c r="I4430" t="s">
        <v>117</v>
      </c>
      <c r="J4430">
        <v>3160</v>
      </c>
      <c r="K4430" t="s">
        <v>117</v>
      </c>
      <c r="L4430">
        <v>0</v>
      </c>
      <c r="N4430" t="s">
        <v>297</v>
      </c>
      <c r="O4430">
        <v>20</v>
      </c>
      <c r="P4430">
        <v>5636</v>
      </c>
      <c r="Q4430" t="s">
        <v>1832</v>
      </c>
      <c r="R4430" t="s">
        <v>201</v>
      </c>
      <c r="S4430">
        <v>1</v>
      </c>
      <c r="T4430">
        <v>1</v>
      </c>
      <c r="U4430">
        <v>106272</v>
      </c>
      <c r="V4430">
        <v>106272</v>
      </c>
    </row>
    <row r="4431" spans="1:22">
      <c r="A4431" t="s">
        <v>196</v>
      </c>
      <c r="B4431">
        <v>84</v>
      </c>
      <c r="C4431" t="s">
        <v>1762</v>
      </c>
      <c r="D4431">
        <v>100</v>
      </c>
      <c r="E4431" t="s">
        <v>197</v>
      </c>
      <c r="F4431">
        <v>1160</v>
      </c>
      <c r="G4431" t="s">
        <v>117</v>
      </c>
      <c r="H4431">
        <v>2160</v>
      </c>
      <c r="I4431" t="s">
        <v>117</v>
      </c>
      <c r="J4431">
        <v>3160</v>
      </c>
      <c r="K4431" t="s">
        <v>117</v>
      </c>
      <c r="L4431">
        <v>0</v>
      </c>
      <c r="N4431" t="s">
        <v>249</v>
      </c>
      <c r="O4431">
        <v>10</v>
      </c>
      <c r="P4431">
        <v>3092</v>
      </c>
      <c r="Q4431" t="s">
        <v>750</v>
      </c>
      <c r="R4431" t="s">
        <v>201</v>
      </c>
      <c r="S4431">
        <v>1</v>
      </c>
      <c r="T4431">
        <v>1</v>
      </c>
      <c r="U4431">
        <v>97836</v>
      </c>
      <c r="V4431">
        <v>97836</v>
      </c>
    </row>
    <row r="4432" spans="1:22">
      <c r="A4432" t="s">
        <v>196</v>
      </c>
      <c r="B4432">
        <v>84</v>
      </c>
      <c r="C4432" t="s">
        <v>1762</v>
      </c>
      <c r="D4432">
        <v>100</v>
      </c>
      <c r="E4432" t="s">
        <v>197</v>
      </c>
      <c r="F4432">
        <v>1160</v>
      </c>
      <c r="G4432" t="s">
        <v>117</v>
      </c>
      <c r="H4432">
        <v>2160</v>
      </c>
      <c r="I4432" t="s">
        <v>117</v>
      </c>
      <c r="J4432">
        <v>3160</v>
      </c>
      <c r="K4432" t="s">
        <v>117</v>
      </c>
      <c r="L4432">
        <v>0</v>
      </c>
      <c r="N4432" t="s">
        <v>249</v>
      </c>
      <c r="O4432">
        <v>10</v>
      </c>
      <c r="P4432">
        <v>3092</v>
      </c>
      <c r="Q4432" t="s">
        <v>750</v>
      </c>
      <c r="R4432" t="s">
        <v>201</v>
      </c>
      <c r="S4432">
        <v>1</v>
      </c>
      <c r="T4432">
        <v>1</v>
      </c>
      <c r="U4432">
        <v>93384</v>
      </c>
      <c r="V4432">
        <v>93384</v>
      </c>
    </row>
    <row r="4433" spans="1:22">
      <c r="A4433" t="s">
        <v>196</v>
      </c>
      <c r="B4433">
        <v>84</v>
      </c>
      <c r="C4433" t="s">
        <v>1762</v>
      </c>
      <c r="D4433">
        <v>100</v>
      </c>
      <c r="E4433" t="s">
        <v>197</v>
      </c>
      <c r="F4433">
        <v>1160</v>
      </c>
      <c r="G4433" t="s">
        <v>117</v>
      </c>
      <c r="H4433">
        <v>2160</v>
      </c>
      <c r="I4433" t="s">
        <v>117</v>
      </c>
      <c r="J4433">
        <v>3160</v>
      </c>
      <c r="K4433" t="s">
        <v>117</v>
      </c>
      <c r="L4433">
        <v>0</v>
      </c>
      <c r="N4433" t="s">
        <v>268</v>
      </c>
      <c r="O4433">
        <v>10</v>
      </c>
      <c r="P4433">
        <v>1911</v>
      </c>
      <c r="Q4433" t="s">
        <v>617</v>
      </c>
      <c r="R4433" t="s">
        <v>201</v>
      </c>
      <c r="S4433">
        <v>1</v>
      </c>
      <c r="T4433">
        <v>1</v>
      </c>
      <c r="U4433">
        <v>113568</v>
      </c>
      <c r="V4433">
        <v>113568</v>
      </c>
    </row>
    <row r="4434" spans="1:22">
      <c r="A4434" t="s">
        <v>196</v>
      </c>
      <c r="B4434">
        <v>84</v>
      </c>
      <c r="C4434" t="s">
        <v>1762</v>
      </c>
      <c r="D4434">
        <v>100</v>
      </c>
      <c r="E4434" t="s">
        <v>197</v>
      </c>
      <c r="F4434">
        <v>1160</v>
      </c>
      <c r="G4434" t="s">
        <v>117</v>
      </c>
      <c r="H4434">
        <v>2160</v>
      </c>
      <c r="I4434" t="s">
        <v>117</v>
      </c>
      <c r="J4434">
        <v>3160</v>
      </c>
      <c r="K4434" t="s">
        <v>117</v>
      </c>
      <c r="L4434">
        <v>0</v>
      </c>
      <c r="N4434" t="s">
        <v>297</v>
      </c>
      <c r="O4434">
        <v>20</v>
      </c>
      <c r="P4434">
        <v>1441</v>
      </c>
      <c r="Q4434" t="s">
        <v>1122</v>
      </c>
      <c r="R4434" t="s">
        <v>201</v>
      </c>
      <c r="S4434">
        <v>1</v>
      </c>
      <c r="T4434">
        <v>1</v>
      </c>
      <c r="U4434">
        <v>106272</v>
      </c>
      <c r="V4434">
        <v>106272</v>
      </c>
    </row>
    <row r="4435" spans="1:22">
      <c r="A4435" t="s">
        <v>196</v>
      </c>
      <c r="B4435">
        <v>84</v>
      </c>
      <c r="C4435" t="s">
        <v>1762</v>
      </c>
      <c r="D4435">
        <v>100</v>
      </c>
      <c r="E4435" t="s">
        <v>197</v>
      </c>
      <c r="F4435">
        <v>1160</v>
      </c>
      <c r="G4435" t="s">
        <v>117</v>
      </c>
      <c r="H4435">
        <v>2160</v>
      </c>
      <c r="I4435" t="s">
        <v>117</v>
      </c>
      <c r="J4435">
        <v>3160</v>
      </c>
      <c r="K4435" t="s">
        <v>117</v>
      </c>
      <c r="L4435">
        <v>0</v>
      </c>
      <c r="N4435" t="s">
        <v>1314</v>
      </c>
      <c r="O4435">
        <v>0</v>
      </c>
      <c r="P4435" t="s">
        <v>1471</v>
      </c>
      <c r="Q4435" t="s">
        <v>605</v>
      </c>
      <c r="R4435" t="s">
        <v>201</v>
      </c>
      <c r="S4435">
        <v>1</v>
      </c>
      <c r="T4435">
        <v>1</v>
      </c>
      <c r="U4435">
        <v>150768</v>
      </c>
      <c r="V4435">
        <v>150768</v>
      </c>
    </row>
    <row r="4436" spans="1:22">
      <c r="A4436" t="s">
        <v>196</v>
      </c>
      <c r="B4436">
        <v>84</v>
      </c>
      <c r="C4436" t="s">
        <v>1762</v>
      </c>
      <c r="D4436">
        <v>100</v>
      </c>
      <c r="E4436" t="s">
        <v>197</v>
      </c>
      <c r="F4436">
        <v>1160</v>
      </c>
      <c r="G4436" t="s">
        <v>117</v>
      </c>
      <c r="H4436">
        <v>2160</v>
      </c>
      <c r="I4436" t="s">
        <v>117</v>
      </c>
      <c r="J4436">
        <v>3160</v>
      </c>
      <c r="K4436" t="s">
        <v>117</v>
      </c>
      <c r="L4436">
        <v>0</v>
      </c>
      <c r="N4436" t="s">
        <v>341</v>
      </c>
      <c r="O4436">
        <v>1</v>
      </c>
      <c r="P4436">
        <v>308</v>
      </c>
      <c r="Q4436" t="s">
        <v>355</v>
      </c>
      <c r="R4436" t="s">
        <v>201</v>
      </c>
      <c r="S4436">
        <v>1</v>
      </c>
      <c r="T4436">
        <v>1</v>
      </c>
      <c r="U4436">
        <v>108576</v>
      </c>
      <c r="V4436">
        <v>108576</v>
      </c>
    </row>
    <row r="4437" spans="1:22">
      <c r="A4437" t="s">
        <v>196</v>
      </c>
      <c r="B4437">
        <v>84</v>
      </c>
      <c r="C4437" t="s">
        <v>1762</v>
      </c>
      <c r="D4437">
        <v>100</v>
      </c>
      <c r="E4437" t="s">
        <v>197</v>
      </c>
      <c r="F4437">
        <v>1160</v>
      </c>
      <c r="G4437" t="s">
        <v>117</v>
      </c>
      <c r="H4437">
        <v>2160</v>
      </c>
      <c r="I4437" t="s">
        <v>117</v>
      </c>
      <c r="J4437">
        <v>3160</v>
      </c>
      <c r="K4437" t="s">
        <v>117</v>
      </c>
      <c r="L4437">
        <v>0</v>
      </c>
      <c r="N4437" t="s">
        <v>199</v>
      </c>
      <c r="O4437">
        <v>0</v>
      </c>
      <c r="P4437">
        <v>15</v>
      </c>
      <c r="Q4437" t="s">
        <v>264</v>
      </c>
      <c r="R4437" t="s">
        <v>201</v>
      </c>
      <c r="S4437">
        <v>0</v>
      </c>
      <c r="T4437">
        <v>0</v>
      </c>
      <c r="U4437">
        <v>21618</v>
      </c>
      <c r="V4437">
        <v>21618</v>
      </c>
    </row>
    <row r="4438" spans="1:22">
      <c r="A4438" t="s">
        <v>196</v>
      </c>
      <c r="B4438">
        <v>84</v>
      </c>
      <c r="C4438" t="s">
        <v>1762</v>
      </c>
      <c r="D4438">
        <v>100</v>
      </c>
      <c r="E4438" t="s">
        <v>197</v>
      </c>
      <c r="F4438">
        <v>1160</v>
      </c>
      <c r="G4438" t="s">
        <v>117</v>
      </c>
      <c r="H4438">
        <v>2160</v>
      </c>
      <c r="I4438" t="s">
        <v>117</v>
      </c>
      <c r="J4438">
        <v>3161</v>
      </c>
      <c r="K4438" t="s">
        <v>1811</v>
      </c>
      <c r="L4438">
        <v>0</v>
      </c>
      <c r="N4438" t="s">
        <v>702</v>
      </c>
      <c r="O4438">
        <v>1</v>
      </c>
      <c r="P4438">
        <v>7945</v>
      </c>
      <c r="Q4438" t="s">
        <v>1751</v>
      </c>
      <c r="R4438" t="s">
        <v>201</v>
      </c>
      <c r="S4438">
        <v>1</v>
      </c>
      <c r="T4438">
        <v>1</v>
      </c>
      <c r="U4438">
        <v>84192</v>
      </c>
      <c r="V4438">
        <v>84192</v>
      </c>
    </row>
    <row r="4439" spans="1:22">
      <c r="A4439" t="s">
        <v>196</v>
      </c>
      <c r="B4439">
        <v>84</v>
      </c>
      <c r="C4439" t="s">
        <v>1762</v>
      </c>
      <c r="D4439">
        <v>100</v>
      </c>
      <c r="E4439" t="s">
        <v>197</v>
      </c>
      <c r="F4439">
        <v>1160</v>
      </c>
      <c r="G4439" t="s">
        <v>117</v>
      </c>
      <c r="H4439">
        <v>2160</v>
      </c>
      <c r="I4439" t="s">
        <v>117</v>
      </c>
      <c r="J4439">
        <v>3161</v>
      </c>
      <c r="K4439" t="s">
        <v>1811</v>
      </c>
      <c r="L4439">
        <v>0</v>
      </c>
      <c r="N4439" t="s">
        <v>341</v>
      </c>
      <c r="O4439">
        <v>1</v>
      </c>
      <c r="P4439">
        <v>6143</v>
      </c>
      <c r="Q4439" t="s">
        <v>1833</v>
      </c>
      <c r="R4439" t="s">
        <v>201</v>
      </c>
      <c r="S4439">
        <v>1</v>
      </c>
      <c r="T4439">
        <v>1</v>
      </c>
      <c r="U4439">
        <v>77640</v>
      </c>
      <c r="V4439">
        <v>77640</v>
      </c>
    </row>
    <row r="4440" spans="1:22">
      <c r="A4440" t="s">
        <v>196</v>
      </c>
      <c r="B4440">
        <v>84</v>
      </c>
      <c r="C4440" t="s">
        <v>1762</v>
      </c>
      <c r="D4440">
        <v>100</v>
      </c>
      <c r="E4440" t="s">
        <v>197</v>
      </c>
      <c r="F4440">
        <v>1160</v>
      </c>
      <c r="G4440" t="s">
        <v>117</v>
      </c>
      <c r="H4440">
        <v>2160</v>
      </c>
      <c r="I4440" t="s">
        <v>117</v>
      </c>
      <c r="J4440">
        <v>3161</v>
      </c>
      <c r="K4440" t="s">
        <v>1811</v>
      </c>
      <c r="L4440">
        <v>0</v>
      </c>
      <c r="N4440" t="s">
        <v>249</v>
      </c>
      <c r="O4440">
        <v>10</v>
      </c>
      <c r="P4440">
        <v>3092</v>
      </c>
      <c r="Q4440" t="s">
        <v>750</v>
      </c>
      <c r="R4440" t="s">
        <v>201</v>
      </c>
      <c r="S4440">
        <v>1</v>
      </c>
      <c r="T4440">
        <v>1</v>
      </c>
      <c r="U4440">
        <v>93384</v>
      </c>
      <c r="V4440">
        <v>93384</v>
      </c>
    </row>
    <row r="4441" spans="1:22">
      <c r="A4441" t="s">
        <v>196</v>
      </c>
      <c r="B4441">
        <v>84</v>
      </c>
      <c r="C4441" t="s">
        <v>1762</v>
      </c>
      <c r="D4441">
        <v>100</v>
      </c>
      <c r="E4441" t="s">
        <v>197</v>
      </c>
      <c r="F4441">
        <v>1160</v>
      </c>
      <c r="G4441" t="s">
        <v>117</v>
      </c>
      <c r="H4441">
        <v>2160</v>
      </c>
      <c r="I4441" t="s">
        <v>117</v>
      </c>
      <c r="J4441">
        <v>3161</v>
      </c>
      <c r="K4441" t="s">
        <v>1811</v>
      </c>
      <c r="L4441">
        <v>0</v>
      </c>
      <c r="N4441" t="s">
        <v>249</v>
      </c>
      <c r="O4441">
        <v>10</v>
      </c>
      <c r="P4441">
        <v>311</v>
      </c>
      <c r="Q4441" t="s">
        <v>661</v>
      </c>
      <c r="R4441" t="s">
        <v>201</v>
      </c>
      <c r="S4441">
        <v>1</v>
      </c>
      <c r="T4441">
        <v>1</v>
      </c>
      <c r="U4441">
        <v>124584</v>
      </c>
      <c r="V4441">
        <v>124584</v>
      </c>
    </row>
    <row r="4442" spans="1:22">
      <c r="A4442" t="s">
        <v>196</v>
      </c>
      <c r="B4442">
        <v>84</v>
      </c>
      <c r="C4442" t="s">
        <v>1762</v>
      </c>
      <c r="D4442">
        <v>100</v>
      </c>
      <c r="E4442" t="s">
        <v>197</v>
      </c>
      <c r="F4442">
        <v>1160</v>
      </c>
      <c r="G4442" t="s">
        <v>117</v>
      </c>
      <c r="H4442">
        <v>2160</v>
      </c>
      <c r="I4442" t="s">
        <v>117</v>
      </c>
      <c r="J4442">
        <v>3161</v>
      </c>
      <c r="K4442" t="s">
        <v>1811</v>
      </c>
      <c r="L4442">
        <v>0</v>
      </c>
      <c r="N4442" t="s">
        <v>199</v>
      </c>
      <c r="O4442">
        <v>0</v>
      </c>
      <c r="P4442">
        <v>15</v>
      </c>
      <c r="Q4442" t="s">
        <v>264</v>
      </c>
      <c r="R4442" t="s">
        <v>201</v>
      </c>
      <c r="S4442">
        <v>0</v>
      </c>
      <c r="T4442">
        <v>0</v>
      </c>
      <c r="U4442">
        <v>7077</v>
      </c>
      <c r="V4442">
        <v>7077</v>
      </c>
    </row>
    <row r="4443" spans="1:22">
      <c r="A4443" t="s">
        <v>196</v>
      </c>
      <c r="B4443">
        <v>3</v>
      </c>
      <c r="C4443" t="s">
        <v>49</v>
      </c>
      <c r="D4443">
        <v>200</v>
      </c>
      <c r="E4443" t="s">
        <v>1834</v>
      </c>
      <c r="F4443">
        <v>1005</v>
      </c>
      <c r="G4443" t="s">
        <v>49</v>
      </c>
      <c r="H4443">
        <v>2005</v>
      </c>
      <c r="I4443" t="s">
        <v>49</v>
      </c>
      <c r="J4443">
        <v>3015</v>
      </c>
      <c r="K4443" t="s">
        <v>265</v>
      </c>
      <c r="L4443">
        <v>0</v>
      </c>
      <c r="N4443" t="s">
        <v>281</v>
      </c>
      <c r="O4443">
        <v>20</v>
      </c>
      <c r="P4443">
        <v>1368</v>
      </c>
      <c r="Q4443" t="s">
        <v>853</v>
      </c>
      <c r="R4443" t="s">
        <v>201</v>
      </c>
      <c r="S4443">
        <v>1</v>
      </c>
      <c r="T4443">
        <v>1</v>
      </c>
      <c r="U4443">
        <v>85236</v>
      </c>
      <c r="V4443">
        <v>85236</v>
      </c>
    </row>
    <row r="4444" spans="1:22">
      <c r="A4444" t="s">
        <v>196</v>
      </c>
      <c r="B4444">
        <v>3</v>
      </c>
      <c r="C4444" t="s">
        <v>49</v>
      </c>
      <c r="D4444">
        <v>200</v>
      </c>
      <c r="E4444" t="s">
        <v>1834</v>
      </c>
      <c r="F4444">
        <v>1005</v>
      </c>
      <c r="G4444" t="s">
        <v>49</v>
      </c>
      <c r="H4444">
        <v>2005</v>
      </c>
      <c r="I4444" t="s">
        <v>49</v>
      </c>
      <c r="J4444">
        <v>3015</v>
      </c>
      <c r="K4444" t="s">
        <v>265</v>
      </c>
      <c r="L4444">
        <v>0</v>
      </c>
      <c r="N4444" t="s">
        <v>271</v>
      </c>
      <c r="O4444">
        <v>0</v>
      </c>
      <c r="P4444">
        <v>1262</v>
      </c>
      <c r="Q4444" t="s">
        <v>272</v>
      </c>
      <c r="R4444" t="s">
        <v>201</v>
      </c>
      <c r="S4444">
        <v>1</v>
      </c>
      <c r="T4444">
        <v>1</v>
      </c>
      <c r="U4444">
        <v>131124</v>
      </c>
      <c r="V4444">
        <v>131124</v>
      </c>
    </row>
    <row r="4445" spans="1:22">
      <c r="A4445" t="s">
        <v>196</v>
      </c>
      <c r="B4445">
        <v>3</v>
      </c>
      <c r="C4445" t="s">
        <v>49</v>
      </c>
      <c r="D4445">
        <v>200</v>
      </c>
      <c r="E4445" t="s">
        <v>1834</v>
      </c>
      <c r="F4445">
        <v>1005</v>
      </c>
      <c r="G4445" t="s">
        <v>49</v>
      </c>
      <c r="H4445">
        <v>2005</v>
      </c>
      <c r="I4445" t="s">
        <v>49</v>
      </c>
      <c r="J4445">
        <v>3015</v>
      </c>
      <c r="K4445" t="s">
        <v>265</v>
      </c>
      <c r="L4445">
        <v>0</v>
      </c>
      <c r="N4445" t="s">
        <v>274</v>
      </c>
      <c r="O4445">
        <v>0</v>
      </c>
      <c r="P4445">
        <v>1260</v>
      </c>
      <c r="Q4445" t="s">
        <v>279</v>
      </c>
      <c r="R4445" t="s">
        <v>201</v>
      </c>
      <c r="S4445">
        <v>1</v>
      </c>
      <c r="T4445">
        <v>1</v>
      </c>
      <c r="U4445">
        <v>153384</v>
      </c>
      <c r="V4445">
        <v>153384</v>
      </c>
    </row>
    <row r="4446" spans="1:22">
      <c r="A4446" t="s">
        <v>196</v>
      </c>
      <c r="B4446">
        <v>3</v>
      </c>
      <c r="C4446" t="s">
        <v>49</v>
      </c>
      <c r="D4446">
        <v>200</v>
      </c>
      <c r="E4446" t="s">
        <v>1834</v>
      </c>
      <c r="F4446">
        <v>1005</v>
      </c>
      <c r="G4446" t="s">
        <v>49</v>
      </c>
      <c r="H4446">
        <v>2005</v>
      </c>
      <c r="I4446" t="s">
        <v>49</v>
      </c>
      <c r="J4446">
        <v>3015</v>
      </c>
      <c r="K4446" t="s">
        <v>265</v>
      </c>
      <c r="L4446">
        <v>0</v>
      </c>
      <c r="N4446" t="s">
        <v>274</v>
      </c>
      <c r="O4446">
        <v>0</v>
      </c>
      <c r="P4446">
        <v>1215</v>
      </c>
      <c r="Q4446" t="s">
        <v>275</v>
      </c>
      <c r="R4446" t="s">
        <v>201</v>
      </c>
      <c r="S4446">
        <v>1</v>
      </c>
      <c r="T4446">
        <v>1</v>
      </c>
      <c r="U4446">
        <v>146808</v>
      </c>
      <c r="V4446">
        <v>146808</v>
      </c>
    </row>
    <row r="4447" spans="1:22">
      <c r="A4447" t="s">
        <v>196</v>
      </c>
      <c r="B4447">
        <v>3</v>
      </c>
      <c r="C4447" t="s">
        <v>49</v>
      </c>
      <c r="D4447">
        <v>200</v>
      </c>
      <c r="E4447" t="s">
        <v>1834</v>
      </c>
      <c r="F4447">
        <v>1005</v>
      </c>
      <c r="G4447" t="s">
        <v>49</v>
      </c>
      <c r="H4447">
        <v>2005</v>
      </c>
      <c r="I4447" t="s">
        <v>49</v>
      </c>
      <c r="J4447">
        <v>3015</v>
      </c>
      <c r="K4447" t="s">
        <v>265</v>
      </c>
      <c r="L4447">
        <v>0</v>
      </c>
      <c r="N4447" t="s">
        <v>199</v>
      </c>
      <c r="O4447">
        <v>0</v>
      </c>
      <c r="P4447">
        <v>15</v>
      </c>
      <c r="Q4447" t="s">
        <v>264</v>
      </c>
      <c r="R4447" t="s">
        <v>201</v>
      </c>
      <c r="S4447">
        <v>0</v>
      </c>
      <c r="T4447">
        <v>0</v>
      </c>
      <c r="U4447">
        <v>7047</v>
      </c>
      <c r="V4447">
        <v>7047</v>
      </c>
    </row>
    <row r="4448" spans="1:22">
      <c r="A4448" t="s">
        <v>196</v>
      </c>
      <c r="B4448">
        <v>3</v>
      </c>
      <c r="C4448" t="s">
        <v>49</v>
      </c>
      <c r="D4448">
        <v>200</v>
      </c>
      <c r="E4448" t="s">
        <v>1834</v>
      </c>
      <c r="F4448">
        <v>1005</v>
      </c>
      <c r="G4448" t="s">
        <v>49</v>
      </c>
      <c r="H4448">
        <v>2005</v>
      </c>
      <c r="I4448" t="s">
        <v>49</v>
      </c>
      <c r="J4448">
        <v>3020</v>
      </c>
      <c r="K4448" t="s">
        <v>277</v>
      </c>
      <c r="L4448">
        <v>0</v>
      </c>
      <c r="N4448" t="s">
        <v>281</v>
      </c>
      <c r="O4448">
        <v>0</v>
      </c>
      <c r="P4448">
        <v>1221</v>
      </c>
      <c r="Q4448" t="s">
        <v>282</v>
      </c>
      <c r="R4448" t="s">
        <v>201</v>
      </c>
      <c r="S4448">
        <v>1</v>
      </c>
      <c r="T4448">
        <v>1</v>
      </c>
      <c r="U4448">
        <v>85236</v>
      </c>
      <c r="V4448">
        <v>85236</v>
      </c>
    </row>
    <row r="4449" spans="1:22">
      <c r="A4449" t="s">
        <v>196</v>
      </c>
      <c r="B4449">
        <v>3</v>
      </c>
      <c r="C4449" t="s">
        <v>49</v>
      </c>
      <c r="D4449">
        <v>200</v>
      </c>
      <c r="E4449" t="s">
        <v>1834</v>
      </c>
      <c r="F4449">
        <v>1005</v>
      </c>
      <c r="G4449" t="s">
        <v>49</v>
      </c>
      <c r="H4449">
        <v>2005</v>
      </c>
      <c r="I4449" t="s">
        <v>49</v>
      </c>
      <c r="J4449">
        <v>3020</v>
      </c>
      <c r="K4449" t="s">
        <v>277</v>
      </c>
      <c r="L4449">
        <v>0</v>
      </c>
      <c r="N4449" t="s">
        <v>283</v>
      </c>
      <c r="O4449">
        <v>0</v>
      </c>
      <c r="P4449">
        <v>1219</v>
      </c>
      <c r="Q4449" t="s">
        <v>284</v>
      </c>
      <c r="R4449" t="s">
        <v>201</v>
      </c>
      <c r="S4449">
        <v>1</v>
      </c>
      <c r="T4449">
        <v>1</v>
      </c>
      <c r="U4449">
        <v>76020</v>
      </c>
      <c r="V4449">
        <v>76020</v>
      </c>
    </row>
    <row r="4450" spans="1:22">
      <c r="A4450" t="s">
        <v>196</v>
      </c>
      <c r="B4450">
        <v>3</v>
      </c>
      <c r="C4450" t="s">
        <v>49</v>
      </c>
      <c r="D4450">
        <v>200</v>
      </c>
      <c r="E4450" t="s">
        <v>1834</v>
      </c>
      <c r="F4450">
        <v>1005</v>
      </c>
      <c r="G4450" t="s">
        <v>49</v>
      </c>
      <c r="H4450">
        <v>2005</v>
      </c>
      <c r="I4450" t="s">
        <v>49</v>
      </c>
      <c r="J4450">
        <v>3020</v>
      </c>
      <c r="K4450" t="s">
        <v>277</v>
      </c>
      <c r="L4450">
        <v>0</v>
      </c>
      <c r="N4450" t="s">
        <v>199</v>
      </c>
      <c r="O4450">
        <v>0</v>
      </c>
      <c r="P4450">
        <v>15</v>
      </c>
      <c r="Q4450" t="s">
        <v>264</v>
      </c>
      <c r="R4450" t="s">
        <v>201</v>
      </c>
      <c r="S4450">
        <v>0</v>
      </c>
      <c r="T4450">
        <v>0</v>
      </c>
      <c r="U4450">
        <v>5373</v>
      </c>
      <c r="V4450">
        <v>5373</v>
      </c>
    </row>
    <row r="4451" spans="1:22">
      <c r="A4451" t="s">
        <v>196</v>
      </c>
      <c r="B4451">
        <v>3</v>
      </c>
      <c r="C4451" t="s">
        <v>49</v>
      </c>
      <c r="D4451">
        <v>200</v>
      </c>
      <c r="E4451" t="s">
        <v>1834</v>
      </c>
      <c r="F4451">
        <v>1005</v>
      </c>
      <c r="G4451" t="s">
        <v>49</v>
      </c>
      <c r="H4451">
        <v>2005</v>
      </c>
      <c r="I4451" t="s">
        <v>49</v>
      </c>
      <c r="J4451">
        <v>3027</v>
      </c>
      <c r="K4451" t="s">
        <v>285</v>
      </c>
      <c r="L4451">
        <v>0</v>
      </c>
      <c r="N4451" t="s">
        <v>266</v>
      </c>
      <c r="O4451">
        <v>9</v>
      </c>
      <c r="P4451">
        <v>9659</v>
      </c>
      <c r="Q4451" t="s">
        <v>278</v>
      </c>
      <c r="R4451" t="s">
        <v>201</v>
      </c>
      <c r="S4451">
        <v>1</v>
      </c>
      <c r="T4451">
        <v>1</v>
      </c>
      <c r="U4451">
        <v>175512</v>
      </c>
      <c r="V4451">
        <v>175512</v>
      </c>
    </row>
    <row r="4452" spans="1:22">
      <c r="A4452" t="s">
        <v>196</v>
      </c>
      <c r="B4452">
        <v>3</v>
      </c>
      <c r="C4452" t="s">
        <v>49</v>
      </c>
      <c r="D4452">
        <v>200</v>
      </c>
      <c r="E4452" t="s">
        <v>1834</v>
      </c>
      <c r="F4452">
        <v>1005</v>
      </c>
      <c r="G4452" t="s">
        <v>49</v>
      </c>
      <c r="H4452">
        <v>2005</v>
      </c>
      <c r="I4452" t="s">
        <v>49</v>
      </c>
      <c r="J4452">
        <v>3027</v>
      </c>
      <c r="K4452" t="s">
        <v>285</v>
      </c>
      <c r="L4452">
        <v>0</v>
      </c>
      <c r="N4452" t="s">
        <v>287</v>
      </c>
      <c r="O4452">
        <v>20</v>
      </c>
      <c r="P4452">
        <v>1125</v>
      </c>
      <c r="Q4452" t="s">
        <v>288</v>
      </c>
      <c r="R4452" t="s">
        <v>201</v>
      </c>
      <c r="S4452">
        <v>1</v>
      </c>
      <c r="T4452">
        <v>1</v>
      </c>
      <c r="U4452">
        <v>85236</v>
      </c>
      <c r="V4452">
        <v>85236</v>
      </c>
    </row>
    <row r="4453" spans="1:22">
      <c r="A4453" t="s">
        <v>196</v>
      </c>
      <c r="B4453">
        <v>3</v>
      </c>
      <c r="C4453" t="s">
        <v>49</v>
      </c>
      <c r="D4453">
        <v>200</v>
      </c>
      <c r="E4453" t="s">
        <v>1834</v>
      </c>
      <c r="F4453">
        <v>1005</v>
      </c>
      <c r="G4453" t="s">
        <v>49</v>
      </c>
      <c r="H4453">
        <v>2005</v>
      </c>
      <c r="I4453" t="s">
        <v>49</v>
      </c>
      <c r="J4453">
        <v>3027</v>
      </c>
      <c r="K4453" t="s">
        <v>285</v>
      </c>
      <c r="L4453">
        <v>0</v>
      </c>
      <c r="N4453" t="s">
        <v>287</v>
      </c>
      <c r="O4453">
        <v>20</v>
      </c>
      <c r="P4453">
        <v>1125</v>
      </c>
      <c r="Q4453" t="s">
        <v>288</v>
      </c>
      <c r="R4453" t="s">
        <v>201</v>
      </c>
      <c r="S4453">
        <v>1</v>
      </c>
      <c r="T4453">
        <v>1</v>
      </c>
      <c r="U4453">
        <v>79728</v>
      </c>
      <c r="V4453">
        <v>79728</v>
      </c>
    </row>
    <row r="4454" spans="1:22">
      <c r="A4454" t="s">
        <v>196</v>
      </c>
      <c r="B4454">
        <v>3</v>
      </c>
      <c r="C4454" t="s">
        <v>49</v>
      </c>
      <c r="D4454">
        <v>200</v>
      </c>
      <c r="E4454" t="s">
        <v>1834</v>
      </c>
      <c r="F4454">
        <v>1005</v>
      </c>
      <c r="G4454" t="s">
        <v>49</v>
      </c>
      <c r="H4454">
        <v>2005</v>
      </c>
      <c r="I4454" t="s">
        <v>49</v>
      </c>
      <c r="J4454">
        <v>3027</v>
      </c>
      <c r="K4454" t="s">
        <v>285</v>
      </c>
      <c r="L4454">
        <v>0</v>
      </c>
      <c r="N4454" t="s">
        <v>199</v>
      </c>
      <c r="O4454">
        <v>0</v>
      </c>
      <c r="P4454">
        <v>15</v>
      </c>
      <c r="Q4454" t="s">
        <v>264</v>
      </c>
      <c r="R4454" t="s">
        <v>201</v>
      </c>
      <c r="S4454">
        <v>0</v>
      </c>
      <c r="T4454">
        <v>0</v>
      </c>
      <c r="U4454">
        <v>5521</v>
      </c>
      <c r="V4454">
        <v>5521</v>
      </c>
    </row>
    <row r="4455" spans="1:22">
      <c r="A4455" t="s">
        <v>196</v>
      </c>
      <c r="B4455">
        <v>3</v>
      </c>
      <c r="C4455" t="s">
        <v>49</v>
      </c>
      <c r="D4455">
        <v>200</v>
      </c>
      <c r="E4455" t="s">
        <v>1834</v>
      </c>
      <c r="F4455">
        <v>1005</v>
      </c>
      <c r="G4455" t="s">
        <v>49</v>
      </c>
      <c r="H4455">
        <v>2005</v>
      </c>
      <c r="I4455" t="s">
        <v>49</v>
      </c>
      <c r="J4455">
        <v>3045</v>
      </c>
      <c r="K4455" t="s">
        <v>293</v>
      </c>
      <c r="L4455">
        <v>0</v>
      </c>
      <c r="N4455" t="s">
        <v>274</v>
      </c>
      <c r="O4455">
        <v>0</v>
      </c>
      <c r="P4455">
        <v>1718</v>
      </c>
      <c r="Q4455" t="s">
        <v>299</v>
      </c>
      <c r="R4455" t="s">
        <v>201</v>
      </c>
      <c r="S4455">
        <v>1</v>
      </c>
      <c r="T4455">
        <v>1</v>
      </c>
      <c r="U4455">
        <v>153384</v>
      </c>
      <c r="V4455">
        <v>153384</v>
      </c>
    </row>
    <row r="4456" spans="1:22">
      <c r="A4456" t="s">
        <v>196</v>
      </c>
      <c r="B4456">
        <v>3</v>
      </c>
      <c r="C4456" t="s">
        <v>49</v>
      </c>
      <c r="D4456">
        <v>200</v>
      </c>
      <c r="E4456" t="s">
        <v>1834</v>
      </c>
      <c r="F4456">
        <v>1005</v>
      </c>
      <c r="G4456" t="s">
        <v>49</v>
      </c>
      <c r="H4456">
        <v>2005</v>
      </c>
      <c r="I4456" t="s">
        <v>49</v>
      </c>
      <c r="J4456">
        <v>3045</v>
      </c>
      <c r="K4456" t="s">
        <v>293</v>
      </c>
      <c r="L4456">
        <v>0</v>
      </c>
      <c r="N4456" t="s">
        <v>253</v>
      </c>
      <c r="O4456">
        <v>10</v>
      </c>
      <c r="P4456" t="s">
        <v>305</v>
      </c>
      <c r="Q4456" t="s">
        <v>306</v>
      </c>
      <c r="R4456" t="s">
        <v>201</v>
      </c>
      <c r="S4456">
        <v>1</v>
      </c>
      <c r="T4456">
        <v>1</v>
      </c>
      <c r="U4456">
        <v>93384</v>
      </c>
      <c r="V4456">
        <v>93384</v>
      </c>
    </row>
    <row r="4457" spans="1:22">
      <c r="A4457" t="s">
        <v>196</v>
      </c>
      <c r="B4457">
        <v>3</v>
      </c>
      <c r="C4457" t="s">
        <v>49</v>
      </c>
      <c r="D4457">
        <v>200</v>
      </c>
      <c r="E4457" t="s">
        <v>1834</v>
      </c>
      <c r="F4457">
        <v>1005</v>
      </c>
      <c r="G4457" t="s">
        <v>49</v>
      </c>
      <c r="H4457">
        <v>2005</v>
      </c>
      <c r="I4457" t="s">
        <v>49</v>
      </c>
      <c r="J4457">
        <v>3045</v>
      </c>
      <c r="K4457" t="s">
        <v>293</v>
      </c>
      <c r="L4457">
        <v>0</v>
      </c>
      <c r="N4457" t="s">
        <v>261</v>
      </c>
      <c r="O4457">
        <v>10</v>
      </c>
      <c r="P4457">
        <v>641</v>
      </c>
      <c r="Q4457" t="s">
        <v>308</v>
      </c>
      <c r="R4457" t="s">
        <v>201</v>
      </c>
      <c r="S4457">
        <v>1</v>
      </c>
      <c r="T4457">
        <v>1</v>
      </c>
      <c r="U4457">
        <v>122556</v>
      </c>
      <c r="V4457">
        <v>122556</v>
      </c>
    </row>
    <row r="4458" spans="1:22">
      <c r="A4458" t="s">
        <v>196</v>
      </c>
      <c r="B4458">
        <v>3</v>
      </c>
      <c r="C4458" t="s">
        <v>49</v>
      </c>
      <c r="D4458">
        <v>200</v>
      </c>
      <c r="E4458" t="s">
        <v>1834</v>
      </c>
      <c r="F4458">
        <v>1005</v>
      </c>
      <c r="G4458" t="s">
        <v>49</v>
      </c>
      <c r="H4458">
        <v>2005</v>
      </c>
      <c r="I4458" t="s">
        <v>49</v>
      </c>
      <c r="J4458">
        <v>3045</v>
      </c>
      <c r="K4458" t="s">
        <v>293</v>
      </c>
      <c r="L4458">
        <v>0</v>
      </c>
      <c r="N4458" t="s">
        <v>199</v>
      </c>
      <c r="O4458">
        <v>0</v>
      </c>
      <c r="P4458">
        <v>15</v>
      </c>
      <c r="Q4458" t="s">
        <v>264</v>
      </c>
      <c r="R4458" t="s">
        <v>201</v>
      </c>
      <c r="S4458">
        <v>0</v>
      </c>
      <c r="T4458">
        <v>0</v>
      </c>
      <c r="U4458">
        <v>2989</v>
      </c>
      <c r="V4458">
        <v>2989</v>
      </c>
    </row>
    <row r="4459" spans="1:22">
      <c r="A4459" t="s">
        <v>196</v>
      </c>
      <c r="B4459">
        <v>5</v>
      </c>
      <c r="C4459" t="s">
        <v>83</v>
      </c>
      <c r="D4459">
        <v>200</v>
      </c>
      <c r="E4459" t="s">
        <v>1834</v>
      </c>
      <c r="F4459">
        <v>1005</v>
      </c>
      <c r="G4459" t="s">
        <v>83</v>
      </c>
      <c r="H4459">
        <v>2005</v>
      </c>
      <c r="I4459" t="s">
        <v>83</v>
      </c>
      <c r="J4459">
        <v>3010</v>
      </c>
      <c r="K4459" t="s">
        <v>315</v>
      </c>
      <c r="L4459">
        <v>0</v>
      </c>
      <c r="N4459" t="s">
        <v>266</v>
      </c>
      <c r="O4459">
        <v>9</v>
      </c>
      <c r="P4459">
        <v>9656</v>
      </c>
      <c r="Q4459" t="s">
        <v>316</v>
      </c>
      <c r="R4459" t="s">
        <v>201</v>
      </c>
      <c r="S4459">
        <v>1</v>
      </c>
      <c r="T4459">
        <v>1</v>
      </c>
      <c r="U4459">
        <v>175512</v>
      </c>
      <c r="V4459">
        <v>175512</v>
      </c>
    </row>
    <row r="4460" spans="1:22">
      <c r="A4460" t="s">
        <v>196</v>
      </c>
      <c r="B4460">
        <v>5</v>
      </c>
      <c r="C4460" t="s">
        <v>83</v>
      </c>
      <c r="D4460">
        <v>200</v>
      </c>
      <c r="E4460" t="s">
        <v>1834</v>
      </c>
      <c r="F4460">
        <v>1005</v>
      </c>
      <c r="G4460" t="s">
        <v>83</v>
      </c>
      <c r="H4460">
        <v>2005</v>
      </c>
      <c r="I4460" t="s">
        <v>83</v>
      </c>
      <c r="J4460">
        <v>3010</v>
      </c>
      <c r="K4460" t="s">
        <v>315</v>
      </c>
      <c r="L4460">
        <v>0</v>
      </c>
      <c r="N4460" t="s">
        <v>274</v>
      </c>
      <c r="O4460">
        <v>9</v>
      </c>
      <c r="P4460">
        <v>1124</v>
      </c>
      <c r="Q4460" t="s">
        <v>317</v>
      </c>
      <c r="R4460" t="s">
        <v>201</v>
      </c>
      <c r="S4460">
        <v>1</v>
      </c>
      <c r="T4460">
        <v>1</v>
      </c>
      <c r="U4460">
        <v>146808</v>
      </c>
      <c r="V4460">
        <v>146808</v>
      </c>
    </row>
    <row r="4461" spans="1:22">
      <c r="A4461" t="s">
        <v>196</v>
      </c>
      <c r="B4461">
        <v>5</v>
      </c>
      <c r="C4461" t="s">
        <v>83</v>
      </c>
      <c r="D4461">
        <v>200</v>
      </c>
      <c r="E4461" t="s">
        <v>1834</v>
      </c>
      <c r="F4461">
        <v>1005</v>
      </c>
      <c r="G4461" t="s">
        <v>83</v>
      </c>
      <c r="H4461">
        <v>2005</v>
      </c>
      <c r="I4461" t="s">
        <v>83</v>
      </c>
      <c r="J4461">
        <v>3010</v>
      </c>
      <c r="K4461" t="s">
        <v>315</v>
      </c>
      <c r="L4461">
        <v>0</v>
      </c>
      <c r="N4461" t="s">
        <v>199</v>
      </c>
      <c r="O4461">
        <v>0</v>
      </c>
      <c r="P4461">
        <v>15</v>
      </c>
      <c r="Q4461" t="s">
        <v>264</v>
      </c>
      <c r="R4461" t="s">
        <v>201</v>
      </c>
      <c r="S4461">
        <v>0</v>
      </c>
      <c r="T4461">
        <v>0</v>
      </c>
      <c r="U4461">
        <v>7245</v>
      </c>
      <c r="V4461">
        <v>7245</v>
      </c>
    </row>
    <row r="4462" spans="1:22">
      <c r="A4462" t="s">
        <v>196</v>
      </c>
      <c r="B4462">
        <v>27</v>
      </c>
      <c r="C4462" t="s">
        <v>637</v>
      </c>
      <c r="D4462">
        <v>200</v>
      </c>
      <c r="E4462" t="s">
        <v>1834</v>
      </c>
      <c r="F4462">
        <v>1005</v>
      </c>
      <c r="G4462" t="s">
        <v>638</v>
      </c>
      <c r="H4462">
        <v>2012</v>
      </c>
      <c r="I4462" t="s">
        <v>82</v>
      </c>
      <c r="J4462">
        <v>3019</v>
      </c>
      <c r="K4462" t="s">
        <v>82</v>
      </c>
      <c r="L4462">
        <v>4054</v>
      </c>
      <c r="M4462" t="s">
        <v>1835</v>
      </c>
      <c r="N4462" t="s">
        <v>297</v>
      </c>
      <c r="O4462">
        <v>20</v>
      </c>
      <c r="P4462">
        <v>120</v>
      </c>
      <c r="Q4462" t="s">
        <v>657</v>
      </c>
      <c r="R4462" t="s">
        <v>201</v>
      </c>
      <c r="S4462">
        <v>1</v>
      </c>
      <c r="T4462">
        <v>1</v>
      </c>
      <c r="U4462">
        <v>130476</v>
      </c>
      <c r="V4462">
        <v>130476</v>
      </c>
    </row>
    <row r="4463" spans="1:22">
      <c r="A4463" t="s">
        <v>196</v>
      </c>
      <c r="B4463">
        <v>27</v>
      </c>
      <c r="C4463" t="s">
        <v>637</v>
      </c>
      <c r="D4463">
        <v>200</v>
      </c>
      <c r="E4463" t="s">
        <v>1834</v>
      </c>
      <c r="F4463">
        <v>1005</v>
      </c>
      <c r="G4463" t="s">
        <v>638</v>
      </c>
      <c r="H4463">
        <v>2012</v>
      </c>
      <c r="I4463" t="s">
        <v>82</v>
      </c>
      <c r="J4463">
        <v>3019</v>
      </c>
      <c r="K4463" t="s">
        <v>82</v>
      </c>
      <c r="L4463">
        <v>4054</v>
      </c>
      <c r="M4463" t="s">
        <v>1835</v>
      </c>
      <c r="N4463" t="s">
        <v>297</v>
      </c>
      <c r="O4463">
        <v>20</v>
      </c>
      <c r="P4463">
        <v>120</v>
      </c>
      <c r="Q4463" t="s">
        <v>657</v>
      </c>
      <c r="R4463" t="s">
        <v>201</v>
      </c>
      <c r="S4463">
        <v>1</v>
      </c>
      <c r="T4463">
        <v>1</v>
      </c>
      <c r="U4463">
        <v>101628</v>
      </c>
      <c r="V4463">
        <v>101628</v>
      </c>
    </row>
    <row r="4464" spans="1:22">
      <c r="A4464" t="s">
        <v>196</v>
      </c>
      <c r="B4464">
        <v>27</v>
      </c>
      <c r="C4464" t="s">
        <v>637</v>
      </c>
      <c r="D4464">
        <v>200</v>
      </c>
      <c r="E4464" t="s">
        <v>1834</v>
      </c>
      <c r="F4464">
        <v>1005</v>
      </c>
      <c r="G4464" t="s">
        <v>638</v>
      </c>
      <c r="H4464">
        <v>2012</v>
      </c>
      <c r="I4464" t="s">
        <v>82</v>
      </c>
      <c r="J4464">
        <v>3019</v>
      </c>
      <c r="K4464" t="s">
        <v>82</v>
      </c>
      <c r="L4464">
        <v>4054</v>
      </c>
      <c r="M4464" t="s">
        <v>1835</v>
      </c>
      <c r="N4464" t="s">
        <v>356</v>
      </c>
      <c r="O4464">
        <v>4</v>
      </c>
      <c r="P4464">
        <v>111</v>
      </c>
      <c r="Q4464" t="s">
        <v>648</v>
      </c>
      <c r="R4464" t="s">
        <v>201</v>
      </c>
      <c r="S4464">
        <v>1</v>
      </c>
      <c r="T4464">
        <v>1</v>
      </c>
      <c r="U4464">
        <v>129636</v>
      </c>
      <c r="V4464">
        <v>129636</v>
      </c>
    </row>
    <row r="4465" spans="1:22">
      <c r="A4465" t="s">
        <v>196</v>
      </c>
      <c r="B4465">
        <v>27</v>
      </c>
      <c r="C4465" t="s">
        <v>637</v>
      </c>
      <c r="D4465">
        <v>200</v>
      </c>
      <c r="E4465" t="s">
        <v>1834</v>
      </c>
      <c r="F4465">
        <v>1005</v>
      </c>
      <c r="G4465" t="s">
        <v>638</v>
      </c>
      <c r="H4465">
        <v>2012</v>
      </c>
      <c r="I4465" t="s">
        <v>82</v>
      </c>
      <c r="J4465">
        <v>3019</v>
      </c>
      <c r="K4465" t="s">
        <v>82</v>
      </c>
      <c r="L4465">
        <v>4054</v>
      </c>
      <c r="M4465" t="s">
        <v>1835</v>
      </c>
      <c r="N4465" t="s">
        <v>356</v>
      </c>
      <c r="O4465">
        <v>4</v>
      </c>
      <c r="P4465">
        <v>111</v>
      </c>
      <c r="Q4465" t="s">
        <v>648</v>
      </c>
      <c r="R4465" t="s">
        <v>201</v>
      </c>
      <c r="S4465">
        <v>1</v>
      </c>
      <c r="T4465">
        <v>1</v>
      </c>
      <c r="U4465">
        <v>90144</v>
      </c>
      <c r="V4465">
        <v>90144</v>
      </c>
    </row>
    <row r="4466" spans="1:22">
      <c r="A4466" t="s">
        <v>196</v>
      </c>
      <c r="B4466">
        <v>27</v>
      </c>
      <c r="C4466" t="s">
        <v>637</v>
      </c>
      <c r="D4466">
        <v>200</v>
      </c>
      <c r="E4466" t="s">
        <v>1834</v>
      </c>
      <c r="F4466">
        <v>1005</v>
      </c>
      <c r="G4466" t="s">
        <v>638</v>
      </c>
      <c r="H4466">
        <v>2012</v>
      </c>
      <c r="I4466" t="s">
        <v>82</v>
      </c>
      <c r="J4466">
        <v>3019</v>
      </c>
      <c r="K4466" t="s">
        <v>82</v>
      </c>
      <c r="L4466">
        <v>4054</v>
      </c>
      <c r="M4466" t="s">
        <v>1835</v>
      </c>
      <c r="N4466" t="s">
        <v>199</v>
      </c>
      <c r="O4466">
        <v>0</v>
      </c>
      <c r="P4466">
        <v>15</v>
      </c>
      <c r="Q4466" t="s">
        <v>264</v>
      </c>
      <c r="R4466" t="s">
        <v>201</v>
      </c>
      <c r="S4466">
        <v>0</v>
      </c>
      <c r="T4466">
        <v>0</v>
      </c>
      <c r="U4466">
        <v>2903</v>
      </c>
      <c r="V4466">
        <v>2903</v>
      </c>
    </row>
    <row r="4467" spans="1:22">
      <c r="A4467" t="s">
        <v>196</v>
      </c>
      <c r="B4467">
        <v>27</v>
      </c>
      <c r="C4467" t="s">
        <v>637</v>
      </c>
      <c r="D4467">
        <v>200</v>
      </c>
      <c r="E4467" t="s">
        <v>1834</v>
      </c>
      <c r="F4467">
        <v>1005</v>
      </c>
      <c r="G4467" t="s">
        <v>638</v>
      </c>
      <c r="H4467">
        <v>2015</v>
      </c>
      <c r="I4467" t="s">
        <v>56</v>
      </c>
      <c r="J4467">
        <v>3016</v>
      </c>
      <c r="K4467" t="s">
        <v>659</v>
      </c>
      <c r="L4467">
        <v>4006</v>
      </c>
      <c r="M4467" t="s">
        <v>660</v>
      </c>
      <c r="N4467" t="s">
        <v>287</v>
      </c>
      <c r="O4467">
        <v>10</v>
      </c>
      <c r="P4467">
        <v>144</v>
      </c>
      <c r="Q4467" t="s">
        <v>1836</v>
      </c>
      <c r="R4467" t="s">
        <v>201</v>
      </c>
      <c r="S4467">
        <v>1</v>
      </c>
      <c r="T4467">
        <v>1</v>
      </c>
      <c r="U4467">
        <v>102648</v>
      </c>
      <c r="V4467">
        <v>102648</v>
      </c>
    </row>
    <row r="4468" spans="1:22">
      <c r="A4468" t="s">
        <v>196</v>
      </c>
      <c r="B4468">
        <v>27</v>
      </c>
      <c r="C4468" t="s">
        <v>637</v>
      </c>
      <c r="D4468">
        <v>200</v>
      </c>
      <c r="E4468" t="s">
        <v>1834</v>
      </c>
      <c r="F4468">
        <v>1005</v>
      </c>
      <c r="G4468" t="s">
        <v>638</v>
      </c>
      <c r="H4468">
        <v>2015</v>
      </c>
      <c r="I4468" t="s">
        <v>56</v>
      </c>
      <c r="J4468">
        <v>3016</v>
      </c>
      <c r="K4468" t="s">
        <v>659</v>
      </c>
      <c r="L4468">
        <v>4006</v>
      </c>
      <c r="M4468" t="s">
        <v>660</v>
      </c>
      <c r="N4468" t="s">
        <v>281</v>
      </c>
      <c r="O4468">
        <v>20</v>
      </c>
      <c r="P4468">
        <v>139</v>
      </c>
      <c r="Q4468" t="s">
        <v>662</v>
      </c>
      <c r="R4468" t="s">
        <v>201</v>
      </c>
      <c r="S4468">
        <v>1</v>
      </c>
      <c r="T4468">
        <v>1</v>
      </c>
      <c r="U4468">
        <v>112080</v>
      </c>
      <c r="V4468">
        <v>112080</v>
      </c>
    </row>
    <row r="4469" spans="1:22">
      <c r="A4469" t="s">
        <v>196</v>
      </c>
      <c r="B4469">
        <v>27</v>
      </c>
      <c r="C4469" t="s">
        <v>637</v>
      </c>
      <c r="D4469">
        <v>200</v>
      </c>
      <c r="E4469" t="s">
        <v>1834</v>
      </c>
      <c r="F4469">
        <v>1005</v>
      </c>
      <c r="G4469" t="s">
        <v>638</v>
      </c>
      <c r="H4469">
        <v>2015</v>
      </c>
      <c r="I4469" t="s">
        <v>56</v>
      </c>
      <c r="J4469">
        <v>3017</v>
      </c>
      <c r="K4469" t="s">
        <v>681</v>
      </c>
      <c r="L4469">
        <v>4026</v>
      </c>
      <c r="M4469" t="s">
        <v>682</v>
      </c>
      <c r="N4469" t="s">
        <v>688</v>
      </c>
      <c r="O4469">
        <v>4</v>
      </c>
      <c r="P4469">
        <v>192</v>
      </c>
      <c r="Q4469" t="s">
        <v>689</v>
      </c>
      <c r="R4469" t="s">
        <v>201</v>
      </c>
      <c r="S4469">
        <v>1</v>
      </c>
      <c r="T4469">
        <v>1</v>
      </c>
      <c r="U4469">
        <v>92940</v>
      </c>
      <c r="V4469">
        <v>92940</v>
      </c>
    </row>
    <row r="4470" spans="1:22">
      <c r="A4470" t="s">
        <v>196</v>
      </c>
      <c r="B4470">
        <v>27</v>
      </c>
      <c r="C4470" t="s">
        <v>637</v>
      </c>
      <c r="D4470">
        <v>200</v>
      </c>
      <c r="E4470" t="s">
        <v>1834</v>
      </c>
      <c r="F4470">
        <v>1005</v>
      </c>
      <c r="G4470" t="s">
        <v>638</v>
      </c>
      <c r="H4470">
        <v>2015</v>
      </c>
      <c r="I4470" t="s">
        <v>56</v>
      </c>
      <c r="J4470">
        <v>3017</v>
      </c>
      <c r="K4470" t="s">
        <v>681</v>
      </c>
      <c r="L4470">
        <v>4026</v>
      </c>
      <c r="M4470" t="s">
        <v>682</v>
      </c>
      <c r="N4470" t="s">
        <v>360</v>
      </c>
      <c r="O4470">
        <v>1</v>
      </c>
      <c r="P4470">
        <v>109</v>
      </c>
      <c r="Q4470" t="s">
        <v>361</v>
      </c>
      <c r="R4470" t="s">
        <v>201</v>
      </c>
      <c r="S4470">
        <v>1</v>
      </c>
      <c r="T4470">
        <v>1</v>
      </c>
      <c r="U4470">
        <v>98928</v>
      </c>
      <c r="V4470">
        <v>98928</v>
      </c>
    </row>
    <row r="4471" spans="1:22">
      <c r="A4471" t="s">
        <v>196</v>
      </c>
      <c r="B4471">
        <v>27</v>
      </c>
      <c r="C4471" t="s">
        <v>637</v>
      </c>
      <c r="D4471">
        <v>200</v>
      </c>
      <c r="E4471" t="s">
        <v>1834</v>
      </c>
      <c r="F4471">
        <v>1005</v>
      </c>
      <c r="G4471" t="s">
        <v>638</v>
      </c>
      <c r="H4471">
        <v>2015</v>
      </c>
      <c r="I4471" t="s">
        <v>56</v>
      </c>
      <c r="J4471">
        <v>3017</v>
      </c>
      <c r="K4471" t="s">
        <v>681</v>
      </c>
      <c r="L4471">
        <v>4026</v>
      </c>
      <c r="M4471" t="s">
        <v>682</v>
      </c>
      <c r="N4471" t="s">
        <v>360</v>
      </c>
      <c r="O4471">
        <v>1</v>
      </c>
      <c r="P4471">
        <v>109</v>
      </c>
      <c r="Q4471" t="s">
        <v>361</v>
      </c>
      <c r="R4471" t="s">
        <v>201</v>
      </c>
      <c r="S4471">
        <v>1</v>
      </c>
      <c r="T4471">
        <v>1</v>
      </c>
      <c r="U4471">
        <v>70752</v>
      </c>
      <c r="V4471">
        <v>70752</v>
      </c>
    </row>
    <row r="4472" spans="1:22">
      <c r="A4472" t="s">
        <v>196</v>
      </c>
      <c r="B4472">
        <v>27</v>
      </c>
      <c r="C4472" t="s">
        <v>637</v>
      </c>
      <c r="D4472">
        <v>200</v>
      </c>
      <c r="E4472" t="s">
        <v>1834</v>
      </c>
      <c r="F4472">
        <v>1005</v>
      </c>
      <c r="G4472" t="s">
        <v>638</v>
      </c>
      <c r="H4472">
        <v>2015</v>
      </c>
      <c r="I4472" t="s">
        <v>56</v>
      </c>
      <c r="J4472">
        <v>3017</v>
      </c>
      <c r="K4472" t="s">
        <v>681</v>
      </c>
      <c r="L4472">
        <v>4026</v>
      </c>
      <c r="M4472" t="s">
        <v>682</v>
      </c>
      <c r="N4472" t="s">
        <v>360</v>
      </c>
      <c r="O4472">
        <v>1</v>
      </c>
      <c r="P4472">
        <v>109</v>
      </c>
      <c r="Q4472" t="s">
        <v>361</v>
      </c>
      <c r="R4472" t="s">
        <v>201</v>
      </c>
      <c r="S4472">
        <v>2</v>
      </c>
      <c r="T4472">
        <v>1</v>
      </c>
      <c r="U4472">
        <v>64488</v>
      </c>
      <c r="V4472">
        <v>128976</v>
      </c>
    </row>
    <row r="4473" spans="1:22">
      <c r="A4473" t="s">
        <v>196</v>
      </c>
      <c r="B4473">
        <v>27</v>
      </c>
      <c r="C4473" t="s">
        <v>637</v>
      </c>
      <c r="D4473">
        <v>200</v>
      </c>
      <c r="E4473" t="s">
        <v>1834</v>
      </c>
      <c r="F4473">
        <v>1005</v>
      </c>
      <c r="G4473" t="s">
        <v>638</v>
      </c>
      <c r="H4473">
        <v>2015</v>
      </c>
      <c r="I4473" t="s">
        <v>56</v>
      </c>
      <c r="J4473">
        <v>3017</v>
      </c>
      <c r="K4473" t="s">
        <v>681</v>
      </c>
      <c r="L4473">
        <v>4026</v>
      </c>
      <c r="M4473" t="s">
        <v>682</v>
      </c>
      <c r="N4473" t="s">
        <v>199</v>
      </c>
      <c r="O4473">
        <v>0</v>
      </c>
      <c r="P4473">
        <v>15</v>
      </c>
      <c r="Q4473" t="s">
        <v>264</v>
      </c>
      <c r="R4473" t="s">
        <v>201</v>
      </c>
      <c r="S4473">
        <v>0</v>
      </c>
      <c r="T4473">
        <v>0</v>
      </c>
      <c r="U4473">
        <v>380</v>
      </c>
      <c r="V4473">
        <v>380</v>
      </c>
    </row>
    <row r="4474" spans="1:22">
      <c r="A4474" t="s">
        <v>196</v>
      </c>
      <c r="B4474">
        <v>27</v>
      </c>
      <c r="C4474" t="s">
        <v>637</v>
      </c>
      <c r="D4474">
        <v>200</v>
      </c>
      <c r="E4474" t="s">
        <v>1834</v>
      </c>
      <c r="F4474">
        <v>1005</v>
      </c>
      <c r="G4474" t="s">
        <v>638</v>
      </c>
      <c r="H4474">
        <v>2020</v>
      </c>
      <c r="I4474" t="s">
        <v>36</v>
      </c>
      <c r="J4474">
        <v>3154</v>
      </c>
      <c r="K4474" t="s">
        <v>694</v>
      </c>
      <c r="L4474">
        <v>4641</v>
      </c>
      <c r="M4474" t="s">
        <v>695</v>
      </c>
      <c r="N4474" t="s">
        <v>351</v>
      </c>
      <c r="O4474">
        <v>1</v>
      </c>
      <c r="P4474" t="s">
        <v>352</v>
      </c>
      <c r="Q4474" t="s">
        <v>353</v>
      </c>
      <c r="R4474" t="s">
        <v>201</v>
      </c>
      <c r="S4474">
        <v>1</v>
      </c>
      <c r="T4474">
        <v>1</v>
      </c>
      <c r="U4474">
        <v>74172</v>
      </c>
      <c r="V4474">
        <v>74172</v>
      </c>
    </row>
    <row r="4475" spans="1:22">
      <c r="A4475" t="s">
        <v>196</v>
      </c>
      <c r="B4475">
        <v>27</v>
      </c>
      <c r="C4475" t="s">
        <v>637</v>
      </c>
      <c r="D4475">
        <v>200</v>
      </c>
      <c r="E4475" t="s">
        <v>1834</v>
      </c>
      <c r="F4475">
        <v>1005</v>
      </c>
      <c r="G4475" t="s">
        <v>638</v>
      </c>
      <c r="H4475">
        <v>2020</v>
      </c>
      <c r="I4475" t="s">
        <v>36</v>
      </c>
      <c r="J4475">
        <v>3154</v>
      </c>
      <c r="K4475" t="s">
        <v>694</v>
      </c>
      <c r="L4475">
        <v>4641</v>
      </c>
      <c r="M4475" t="s">
        <v>695</v>
      </c>
      <c r="N4475" t="s">
        <v>351</v>
      </c>
      <c r="O4475">
        <v>1</v>
      </c>
      <c r="P4475" t="s">
        <v>352</v>
      </c>
      <c r="Q4475" t="s">
        <v>353</v>
      </c>
      <c r="R4475" t="s">
        <v>201</v>
      </c>
      <c r="S4475">
        <v>1</v>
      </c>
      <c r="T4475">
        <v>1</v>
      </c>
      <c r="U4475">
        <v>70752</v>
      </c>
      <c r="V4475">
        <v>70752</v>
      </c>
    </row>
    <row r="4476" spans="1:22">
      <c r="A4476" t="s">
        <v>196</v>
      </c>
      <c r="B4476">
        <v>27</v>
      </c>
      <c r="C4476" t="s">
        <v>637</v>
      </c>
      <c r="D4476">
        <v>200</v>
      </c>
      <c r="E4476" t="s">
        <v>1834</v>
      </c>
      <c r="F4476">
        <v>1005</v>
      </c>
      <c r="G4476" t="s">
        <v>638</v>
      </c>
      <c r="H4476">
        <v>2020</v>
      </c>
      <c r="I4476" t="s">
        <v>36</v>
      </c>
      <c r="J4476">
        <v>3154</v>
      </c>
      <c r="K4476" t="s">
        <v>694</v>
      </c>
      <c r="L4476">
        <v>4641</v>
      </c>
      <c r="M4476" t="s">
        <v>695</v>
      </c>
      <c r="N4476" t="s">
        <v>622</v>
      </c>
      <c r="O4476">
        <v>1</v>
      </c>
      <c r="P4476">
        <v>235</v>
      </c>
      <c r="Q4476" t="s">
        <v>698</v>
      </c>
      <c r="R4476" t="s">
        <v>201</v>
      </c>
      <c r="S4476">
        <v>1</v>
      </c>
      <c r="T4476">
        <v>1</v>
      </c>
      <c r="U4476">
        <v>90144</v>
      </c>
      <c r="V4476">
        <v>90144</v>
      </c>
    </row>
    <row r="4477" spans="1:22">
      <c r="A4477" t="s">
        <v>196</v>
      </c>
      <c r="B4477">
        <v>27</v>
      </c>
      <c r="C4477" t="s">
        <v>637</v>
      </c>
      <c r="D4477">
        <v>200</v>
      </c>
      <c r="E4477" t="s">
        <v>1834</v>
      </c>
      <c r="F4477">
        <v>1005</v>
      </c>
      <c r="G4477" t="s">
        <v>638</v>
      </c>
      <c r="H4477">
        <v>2020</v>
      </c>
      <c r="I4477" t="s">
        <v>36</v>
      </c>
      <c r="J4477">
        <v>3154</v>
      </c>
      <c r="K4477" t="s">
        <v>694</v>
      </c>
      <c r="L4477">
        <v>4641</v>
      </c>
      <c r="M4477" t="s">
        <v>695</v>
      </c>
      <c r="N4477" t="s">
        <v>622</v>
      </c>
      <c r="O4477">
        <v>1</v>
      </c>
      <c r="P4477">
        <v>235</v>
      </c>
      <c r="Q4477" t="s">
        <v>698</v>
      </c>
      <c r="R4477" t="s">
        <v>201</v>
      </c>
      <c r="S4477">
        <v>1</v>
      </c>
      <c r="T4477">
        <v>1</v>
      </c>
      <c r="U4477">
        <v>64488</v>
      </c>
      <c r="V4477">
        <v>64488</v>
      </c>
    </row>
    <row r="4478" spans="1:22">
      <c r="A4478" t="s">
        <v>196</v>
      </c>
      <c r="B4478">
        <v>27</v>
      </c>
      <c r="C4478" t="s">
        <v>637</v>
      </c>
      <c r="D4478">
        <v>200</v>
      </c>
      <c r="E4478" t="s">
        <v>1834</v>
      </c>
      <c r="F4478">
        <v>1005</v>
      </c>
      <c r="G4478" t="s">
        <v>638</v>
      </c>
      <c r="H4478">
        <v>2020</v>
      </c>
      <c r="I4478" t="s">
        <v>36</v>
      </c>
      <c r="J4478">
        <v>3154</v>
      </c>
      <c r="K4478" t="s">
        <v>694</v>
      </c>
      <c r="L4478">
        <v>4641</v>
      </c>
      <c r="M4478" t="s">
        <v>695</v>
      </c>
      <c r="N4478" t="s">
        <v>622</v>
      </c>
      <c r="O4478">
        <v>1</v>
      </c>
      <c r="P4478">
        <v>235</v>
      </c>
      <c r="Q4478" t="s">
        <v>698</v>
      </c>
      <c r="R4478" t="s">
        <v>201</v>
      </c>
      <c r="S4478">
        <v>1</v>
      </c>
      <c r="T4478">
        <v>1</v>
      </c>
      <c r="U4478">
        <v>61548</v>
      </c>
      <c r="V4478">
        <v>61548</v>
      </c>
    </row>
    <row r="4479" spans="1:22">
      <c r="A4479" t="s">
        <v>196</v>
      </c>
      <c r="B4479">
        <v>27</v>
      </c>
      <c r="C4479" t="s">
        <v>637</v>
      </c>
      <c r="D4479">
        <v>200</v>
      </c>
      <c r="E4479" t="s">
        <v>1834</v>
      </c>
      <c r="F4479">
        <v>1005</v>
      </c>
      <c r="G4479" t="s">
        <v>638</v>
      </c>
      <c r="H4479">
        <v>2020</v>
      </c>
      <c r="I4479" t="s">
        <v>36</v>
      </c>
      <c r="J4479">
        <v>3154</v>
      </c>
      <c r="K4479" t="s">
        <v>694</v>
      </c>
      <c r="L4479">
        <v>4641</v>
      </c>
      <c r="M4479" t="s">
        <v>695</v>
      </c>
      <c r="N4479" t="s">
        <v>622</v>
      </c>
      <c r="O4479">
        <v>1</v>
      </c>
      <c r="P4479">
        <v>235</v>
      </c>
      <c r="Q4479" t="s">
        <v>698</v>
      </c>
      <c r="R4479" t="s">
        <v>201</v>
      </c>
      <c r="S4479">
        <v>2</v>
      </c>
      <c r="T4479">
        <v>1</v>
      </c>
      <c r="U4479">
        <v>56124</v>
      </c>
      <c r="V4479">
        <v>112248</v>
      </c>
    </row>
    <row r="4480" spans="1:22">
      <c r="A4480" t="s">
        <v>196</v>
      </c>
      <c r="B4480">
        <v>27</v>
      </c>
      <c r="C4480" t="s">
        <v>637</v>
      </c>
      <c r="D4480">
        <v>200</v>
      </c>
      <c r="E4480" t="s">
        <v>1834</v>
      </c>
      <c r="F4480">
        <v>1005</v>
      </c>
      <c r="G4480" t="s">
        <v>638</v>
      </c>
      <c r="H4480">
        <v>2020</v>
      </c>
      <c r="I4480" t="s">
        <v>36</v>
      </c>
      <c r="J4480">
        <v>3154</v>
      </c>
      <c r="K4480" t="s">
        <v>694</v>
      </c>
      <c r="L4480">
        <v>4641</v>
      </c>
      <c r="M4480" t="s">
        <v>695</v>
      </c>
      <c r="N4480" t="s">
        <v>622</v>
      </c>
      <c r="O4480">
        <v>1</v>
      </c>
      <c r="P4480">
        <v>235</v>
      </c>
      <c r="Q4480" t="s">
        <v>698</v>
      </c>
      <c r="R4480" t="s">
        <v>201</v>
      </c>
      <c r="S4480">
        <v>2</v>
      </c>
      <c r="T4480">
        <v>1</v>
      </c>
      <c r="U4480">
        <v>51936</v>
      </c>
      <c r="V4480">
        <v>103872</v>
      </c>
    </row>
    <row r="4481" spans="1:22">
      <c r="A4481" t="s">
        <v>196</v>
      </c>
      <c r="B4481">
        <v>27</v>
      </c>
      <c r="C4481" t="s">
        <v>637</v>
      </c>
      <c r="D4481">
        <v>200</v>
      </c>
      <c r="E4481" t="s">
        <v>1834</v>
      </c>
      <c r="F4481">
        <v>1005</v>
      </c>
      <c r="G4481" t="s">
        <v>638</v>
      </c>
      <c r="H4481">
        <v>2020</v>
      </c>
      <c r="I4481" t="s">
        <v>36</v>
      </c>
      <c r="J4481">
        <v>3154</v>
      </c>
      <c r="K4481" t="s">
        <v>694</v>
      </c>
      <c r="L4481">
        <v>4641</v>
      </c>
      <c r="M4481" t="s">
        <v>695</v>
      </c>
      <c r="N4481" t="s">
        <v>199</v>
      </c>
      <c r="O4481">
        <v>0</v>
      </c>
      <c r="P4481">
        <v>15</v>
      </c>
      <c r="Q4481" t="s">
        <v>264</v>
      </c>
      <c r="R4481" t="s">
        <v>201</v>
      </c>
      <c r="S4481">
        <v>0</v>
      </c>
      <c r="T4481">
        <v>0</v>
      </c>
      <c r="U4481">
        <v>5477</v>
      </c>
      <c r="V4481">
        <v>5477</v>
      </c>
    </row>
    <row r="4482" spans="1:22">
      <c r="A4482" t="s">
        <v>196</v>
      </c>
      <c r="B4482">
        <v>27</v>
      </c>
      <c r="C4482" t="s">
        <v>637</v>
      </c>
      <c r="D4482">
        <v>200</v>
      </c>
      <c r="E4482" t="s">
        <v>1834</v>
      </c>
      <c r="F4482">
        <v>1005</v>
      </c>
      <c r="G4482" t="s">
        <v>638</v>
      </c>
      <c r="H4482">
        <v>2020</v>
      </c>
      <c r="I4482" t="s">
        <v>36</v>
      </c>
      <c r="J4482">
        <v>3154</v>
      </c>
      <c r="K4482" t="s">
        <v>694</v>
      </c>
      <c r="L4482">
        <v>4642</v>
      </c>
      <c r="M4482" t="s">
        <v>699</v>
      </c>
      <c r="N4482" t="s">
        <v>356</v>
      </c>
      <c r="O4482">
        <v>4</v>
      </c>
      <c r="P4482">
        <v>111</v>
      </c>
      <c r="Q4482" t="s">
        <v>648</v>
      </c>
      <c r="R4482" t="s">
        <v>201</v>
      </c>
      <c r="S4482">
        <v>1</v>
      </c>
      <c r="T4482">
        <v>1</v>
      </c>
      <c r="U4482">
        <v>129636</v>
      </c>
      <c r="V4482">
        <v>129636</v>
      </c>
    </row>
    <row r="4483" spans="1:22">
      <c r="A4483" t="s">
        <v>196</v>
      </c>
      <c r="B4483">
        <v>27</v>
      </c>
      <c r="C4483" t="s">
        <v>637</v>
      </c>
      <c r="D4483">
        <v>200</v>
      </c>
      <c r="E4483" t="s">
        <v>1834</v>
      </c>
      <c r="F4483">
        <v>1005</v>
      </c>
      <c r="G4483" t="s">
        <v>638</v>
      </c>
      <c r="H4483">
        <v>2020</v>
      </c>
      <c r="I4483" t="s">
        <v>36</v>
      </c>
      <c r="J4483">
        <v>3154</v>
      </c>
      <c r="K4483" t="s">
        <v>694</v>
      </c>
      <c r="L4483">
        <v>4642</v>
      </c>
      <c r="M4483" t="s">
        <v>699</v>
      </c>
      <c r="N4483" t="s">
        <v>341</v>
      </c>
      <c r="O4483">
        <v>4</v>
      </c>
      <c r="P4483">
        <v>110</v>
      </c>
      <c r="Q4483" t="s">
        <v>359</v>
      </c>
      <c r="R4483" t="s">
        <v>201</v>
      </c>
      <c r="S4483">
        <v>1</v>
      </c>
      <c r="T4483">
        <v>1</v>
      </c>
      <c r="U4483">
        <v>108576</v>
      </c>
      <c r="V4483">
        <v>108576</v>
      </c>
    </row>
    <row r="4484" spans="1:22">
      <c r="A4484" t="s">
        <v>196</v>
      </c>
      <c r="B4484">
        <v>27</v>
      </c>
      <c r="C4484" t="s">
        <v>637</v>
      </c>
      <c r="D4484">
        <v>200</v>
      </c>
      <c r="E4484" t="s">
        <v>1834</v>
      </c>
      <c r="F4484">
        <v>1005</v>
      </c>
      <c r="G4484" t="s">
        <v>638</v>
      </c>
      <c r="H4484">
        <v>2020</v>
      </c>
      <c r="I4484" t="s">
        <v>36</v>
      </c>
      <c r="J4484">
        <v>3154</v>
      </c>
      <c r="K4484" t="s">
        <v>694</v>
      </c>
      <c r="L4484">
        <v>4642</v>
      </c>
      <c r="M4484" t="s">
        <v>699</v>
      </c>
      <c r="N4484" t="s">
        <v>199</v>
      </c>
      <c r="O4484">
        <v>0</v>
      </c>
      <c r="P4484">
        <v>15</v>
      </c>
      <c r="Q4484" t="s">
        <v>264</v>
      </c>
      <c r="R4484" t="s">
        <v>201</v>
      </c>
      <c r="S4484">
        <v>0</v>
      </c>
      <c r="T4484">
        <v>0</v>
      </c>
      <c r="U4484">
        <v>3272</v>
      </c>
      <c r="V4484">
        <v>3272</v>
      </c>
    </row>
    <row r="4485" spans="1:22">
      <c r="A4485" t="s">
        <v>196</v>
      </c>
      <c r="B4485">
        <v>27</v>
      </c>
      <c r="C4485" t="s">
        <v>637</v>
      </c>
      <c r="D4485">
        <v>200</v>
      </c>
      <c r="E4485" t="s">
        <v>1834</v>
      </c>
      <c r="F4485">
        <v>1005</v>
      </c>
      <c r="G4485" t="s">
        <v>638</v>
      </c>
      <c r="H4485">
        <v>2020</v>
      </c>
      <c r="I4485" t="s">
        <v>36</v>
      </c>
      <c r="J4485">
        <v>3220</v>
      </c>
      <c r="K4485" t="s">
        <v>735</v>
      </c>
      <c r="L4485">
        <v>4202</v>
      </c>
      <c r="M4485" t="s">
        <v>736</v>
      </c>
      <c r="N4485" t="s">
        <v>622</v>
      </c>
      <c r="O4485">
        <v>1</v>
      </c>
      <c r="P4485">
        <v>420</v>
      </c>
      <c r="Q4485" t="s">
        <v>738</v>
      </c>
      <c r="R4485" t="s">
        <v>201</v>
      </c>
      <c r="S4485">
        <v>1</v>
      </c>
      <c r="T4485">
        <v>1</v>
      </c>
      <c r="U4485">
        <v>51936</v>
      </c>
      <c r="V4485">
        <v>51936</v>
      </c>
    </row>
    <row r="4486" spans="1:22">
      <c r="A4486" t="s">
        <v>196</v>
      </c>
      <c r="B4486">
        <v>27</v>
      </c>
      <c r="C4486" t="s">
        <v>637</v>
      </c>
      <c r="D4486">
        <v>200</v>
      </c>
      <c r="E4486" t="s">
        <v>1834</v>
      </c>
      <c r="F4486">
        <v>1005</v>
      </c>
      <c r="G4486" t="s">
        <v>638</v>
      </c>
      <c r="H4486">
        <v>2020</v>
      </c>
      <c r="I4486" t="s">
        <v>36</v>
      </c>
      <c r="J4486">
        <v>3220</v>
      </c>
      <c r="K4486" t="s">
        <v>735</v>
      </c>
      <c r="L4486">
        <v>4205</v>
      </c>
      <c r="M4486" t="s">
        <v>1837</v>
      </c>
      <c r="N4486" t="s">
        <v>266</v>
      </c>
      <c r="O4486">
        <v>9</v>
      </c>
      <c r="P4486">
        <v>9684</v>
      </c>
      <c r="Q4486" t="s">
        <v>327</v>
      </c>
      <c r="R4486" t="s">
        <v>201</v>
      </c>
      <c r="S4486">
        <v>1</v>
      </c>
      <c r="T4486">
        <v>1</v>
      </c>
      <c r="U4486">
        <v>175512</v>
      </c>
      <c r="V4486">
        <v>175512</v>
      </c>
    </row>
    <row r="4487" spans="1:22">
      <c r="A4487" t="s">
        <v>196</v>
      </c>
      <c r="B4487">
        <v>27</v>
      </c>
      <c r="C4487" t="s">
        <v>637</v>
      </c>
      <c r="D4487">
        <v>200</v>
      </c>
      <c r="E4487" t="s">
        <v>1834</v>
      </c>
      <c r="F4487">
        <v>1005</v>
      </c>
      <c r="G4487" t="s">
        <v>638</v>
      </c>
      <c r="H4487">
        <v>2020</v>
      </c>
      <c r="I4487" t="s">
        <v>36</v>
      </c>
      <c r="J4487">
        <v>3220</v>
      </c>
      <c r="K4487" t="s">
        <v>735</v>
      </c>
      <c r="L4487">
        <v>4205</v>
      </c>
      <c r="M4487" t="s">
        <v>1837</v>
      </c>
      <c r="N4487" t="s">
        <v>341</v>
      </c>
      <c r="O4487">
        <v>1</v>
      </c>
      <c r="P4487">
        <v>1617</v>
      </c>
      <c r="Q4487" t="s">
        <v>800</v>
      </c>
      <c r="R4487" t="s">
        <v>201</v>
      </c>
      <c r="S4487">
        <v>1</v>
      </c>
      <c r="T4487">
        <v>1</v>
      </c>
      <c r="U4487">
        <v>68616</v>
      </c>
      <c r="V4487">
        <v>68616</v>
      </c>
    </row>
    <row r="4488" spans="1:22">
      <c r="A4488" t="s">
        <v>196</v>
      </c>
      <c r="B4488">
        <v>27</v>
      </c>
      <c r="C4488" t="s">
        <v>637</v>
      </c>
      <c r="D4488">
        <v>200</v>
      </c>
      <c r="E4488" t="s">
        <v>1834</v>
      </c>
      <c r="F4488">
        <v>1005</v>
      </c>
      <c r="G4488" t="s">
        <v>638</v>
      </c>
      <c r="H4488">
        <v>2020</v>
      </c>
      <c r="I4488" t="s">
        <v>36</v>
      </c>
      <c r="J4488">
        <v>3220</v>
      </c>
      <c r="K4488" t="s">
        <v>735</v>
      </c>
      <c r="L4488">
        <v>4205</v>
      </c>
      <c r="M4488" t="s">
        <v>1837</v>
      </c>
      <c r="N4488" t="s">
        <v>622</v>
      </c>
      <c r="O4488">
        <v>1</v>
      </c>
      <c r="P4488" t="s">
        <v>667</v>
      </c>
      <c r="Q4488" t="s">
        <v>205</v>
      </c>
      <c r="R4488" t="s">
        <v>201</v>
      </c>
      <c r="S4488">
        <v>1</v>
      </c>
      <c r="T4488">
        <v>1</v>
      </c>
      <c r="U4488">
        <v>56124</v>
      </c>
      <c r="V4488">
        <v>56124</v>
      </c>
    </row>
    <row r="4489" spans="1:22">
      <c r="A4489" t="s">
        <v>196</v>
      </c>
      <c r="B4489">
        <v>27</v>
      </c>
      <c r="C4489" t="s">
        <v>637</v>
      </c>
      <c r="D4489">
        <v>200</v>
      </c>
      <c r="E4489" t="s">
        <v>1834</v>
      </c>
      <c r="F4489">
        <v>1005</v>
      </c>
      <c r="G4489" t="s">
        <v>638</v>
      </c>
      <c r="H4489">
        <v>2020</v>
      </c>
      <c r="I4489" t="s">
        <v>36</v>
      </c>
      <c r="J4489">
        <v>3220</v>
      </c>
      <c r="K4489" t="s">
        <v>735</v>
      </c>
      <c r="L4489">
        <v>4205</v>
      </c>
      <c r="M4489" t="s">
        <v>1837</v>
      </c>
      <c r="N4489" t="s">
        <v>622</v>
      </c>
      <c r="O4489">
        <v>1</v>
      </c>
      <c r="P4489" t="s">
        <v>667</v>
      </c>
      <c r="Q4489" t="s">
        <v>205</v>
      </c>
      <c r="R4489" t="s">
        <v>201</v>
      </c>
      <c r="S4489">
        <v>1</v>
      </c>
      <c r="T4489">
        <v>1</v>
      </c>
      <c r="U4489">
        <v>51936</v>
      </c>
      <c r="V4489">
        <v>51936</v>
      </c>
    </row>
    <row r="4490" spans="1:22">
      <c r="A4490" t="s">
        <v>196</v>
      </c>
      <c r="B4490">
        <v>27</v>
      </c>
      <c r="C4490" t="s">
        <v>637</v>
      </c>
      <c r="D4490">
        <v>200</v>
      </c>
      <c r="E4490" t="s">
        <v>1834</v>
      </c>
      <c r="F4490">
        <v>1005</v>
      </c>
      <c r="G4490" t="s">
        <v>638</v>
      </c>
      <c r="H4490">
        <v>2020</v>
      </c>
      <c r="I4490" t="s">
        <v>36</v>
      </c>
      <c r="J4490">
        <v>3220</v>
      </c>
      <c r="K4490" t="s">
        <v>735</v>
      </c>
      <c r="L4490">
        <v>4205</v>
      </c>
      <c r="M4490" t="s">
        <v>1837</v>
      </c>
      <c r="N4490" t="s">
        <v>372</v>
      </c>
      <c r="O4490">
        <v>4</v>
      </c>
      <c r="P4490">
        <v>325</v>
      </c>
      <c r="Q4490" t="s">
        <v>1838</v>
      </c>
      <c r="R4490" t="s">
        <v>201</v>
      </c>
      <c r="S4490">
        <v>1</v>
      </c>
      <c r="T4490">
        <v>1</v>
      </c>
      <c r="U4490">
        <v>130668</v>
      </c>
      <c r="V4490">
        <v>130668</v>
      </c>
    </row>
    <row r="4491" spans="1:22">
      <c r="A4491" t="s">
        <v>196</v>
      </c>
      <c r="B4491">
        <v>27</v>
      </c>
      <c r="C4491" t="s">
        <v>637</v>
      </c>
      <c r="D4491">
        <v>200</v>
      </c>
      <c r="E4491" t="s">
        <v>1834</v>
      </c>
      <c r="F4491">
        <v>1005</v>
      </c>
      <c r="G4491" t="s">
        <v>638</v>
      </c>
      <c r="H4491">
        <v>2020</v>
      </c>
      <c r="I4491" t="s">
        <v>36</v>
      </c>
      <c r="J4491">
        <v>3220</v>
      </c>
      <c r="K4491" t="s">
        <v>735</v>
      </c>
      <c r="L4491">
        <v>4205</v>
      </c>
      <c r="M4491" t="s">
        <v>1837</v>
      </c>
      <c r="N4491" t="s">
        <v>372</v>
      </c>
      <c r="O4491">
        <v>4</v>
      </c>
      <c r="P4491">
        <v>325</v>
      </c>
      <c r="Q4491" t="s">
        <v>1838</v>
      </c>
      <c r="R4491" t="s">
        <v>201</v>
      </c>
      <c r="S4491">
        <v>1</v>
      </c>
      <c r="T4491">
        <v>1</v>
      </c>
      <c r="U4491">
        <v>77640</v>
      </c>
      <c r="V4491">
        <v>77640</v>
      </c>
    </row>
    <row r="4492" spans="1:22">
      <c r="A4492" t="s">
        <v>196</v>
      </c>
      <c r="B4492">
        <v>27</v>
      </c>
      <c r="C4492" t="s">
        <v>637</v>
      </c>
      <c r="D4492">
        <v>200</v>
      </c>
      <c r="E4492" t="s">
        <v>1834</v>
      </c>
      <c r="F4492">
        <v>1005</v>
      </c>
      <c r="G4492" t="s">
        <v>638</v>
      </c>
      <c r="H4492">
        <v>2020</v>
      </c>
      <c r="I4492" t="s">
        <v>36</v>
      </c>
      <c r="J4492">
        <v>3220</v>
      </c>
      <c r="K4492" t="s">
        <v>735</v>
      </c>
      <c r="L4492">
        <v>4205</v>
      </c>
      <c r="M4492" t="s">
        <v>1837</v>
      </c>
      <c r="N4492" t="s">
        <v>341</v>
      </c>
      <c r="O4492">
        <v>1</v>
      </c>
      <c r="P4492">
        <v>308</v>
      </c>
      <c r="Q4492" t="s">
        <v>355</v>
      </c>
      <c r="R4492" t="s">
        <v>201</v>
      </c>
      <c r="S4492">
        <v>1</v>
      </c>
      <c r="T4492">
        <v>1</v>
      </c>
      <c r="U4492">
        <v>119100</v>
      </c>
      <c r="V4492">
        <v>119100</v>
      </c>
    </row>
    <row r="4493" spans="1:22">
      <c r="A4493" t="s">
        <v>196</v>
      </c>
      <c r="B4493">
        <v>27</v>
      </c>
      <c r="C4493" t="s">
        <v>637</v>
      </c>
      <c r="D4493">
        <v>200</v>
      </c>
      <c r="E4493" t="s">
        <v>1834</v>
      </c>
      <c r="F4493">
        <v>1005</v>
      </c>
      <c r="G4493" t="s">
        <v>638</v>
      </c>
      <c r="H4493">
        <v>2020</v>
      </c>
      <c r="I4493" t="s">
        <v>36</v>
      </c>
      <c r="J4493">
        <v>3220</v>
      </c>
      <c r="K4493" t="s">
        <v>735</v>
      </c>
      <c r="L4493">
        <v>4205</v>
      </c>
      <c r="M4493" t="s">
        <v>1837</v>
      </c>
      <c r="N4493" t="s">
        <v>341</v>
      </c>
      <c r="O4493">
        <v>1</v>
      </c>
      <c r="P4493">
        <v>308</v>
      </c>
      <c r="Q4493" t="s">
        <v>355</v>
      </c>
      <c r="R4493" t="s">
        <v>201</v>
      </c>
      <c r="S4493">
        <v>1</v>
      </c>
      <c r="T4493">
        <v>1</v>
      </c>
      <c r="U4493">
        <v>108576</v>
      </c>
      <c r="V4493">
        <v>108576</v>
      </c>
    </row>
    <row r="4494" spans="1:22">
      <c r="A4494" t="s">
        <v>196</v>
      </c>
      <c r="B4494">
        <v>27</v>
      </c>
      <c r="C4494" t="s">
        <v>637</v>
      </c>
      <c r="D4494">
        <v>200</v>
      </c>
      <c r="E4494" t="s">
        <v>1834</v>
      </c>
      <c r="F4494">
        <v>1005</v>
      </c>
      <c r="G4494" t="s">
        <v>638</v>
      </c>
      <c r="H4494">
        <v>2020</v>
      </c>
      <c r="I4494" t="s">
        <v>36</v>
      </c>
      <c r="J4494">
        <v>3220</v>
      </c>
      <c r="K4494" t="s">
        <v>735</v>
      </c>
      <c r="L4494">
        <v>4205</v>
      </c>
      <c r="M4494" t="s">
        <v>1837</v>
      </c>
      <c r="N4494" t="s">
        <v>274</v>
      </c>
      <c r="O4494">
        <v>0</v>
      </c>
      <c r="P4494">
        <v>306</v>
      </c>
      <c r="Q4494" t="s">
        <v>636</v>
      </c>
      <c r="R4494" t="s">
        <v>201</v>
      </c>
      <c r="S4494">
        <v>1</v>
      </c>
      <c r="T4494">
        <v>1</v>
      </c>
      <c r="U4494">
        <v>146808</v>
      </c>
      <c r="V4494">
        <v>146808</v>
      </c>
    </row>
    <row r="4495" spans="1:22">
      <c r="A4495" t="s">
        <v>196</v>
      </c>
      <c r="B4495">
        <v>27</v>
      </c>
      <c r="C4495" t="s">
        <v>637</v>
      </c>
      <c r="D4495">
        <v>200</v>
      </c>
      <c r="E4495" t="s">
        <v>1834</v>
      </c>
      <c r="F4495">
        <v>1005</v>
      </c>
      <c r="G4495" t="s">
        <v>638</v>
      </c>
      <c r="H4495">
        <v>2020</v>
      </c>
      <c r="I4495" t="s">
        <v>36</v>
      </c>
      <c r="J4495">
        <v>3220</v>
      </c>
      <c r="K4495" t="s">
        <v>735</v>
      </c>
      <c r="L4495">
        <v>4205</v>
      </c>
      <c r="M4495" t="s">
        <v>1837</v>
      </c>
      <c r="N4495" t="s">
        <v>297</v>
      </c>
      <c r="O4495">
        <v>10</v>
      </c>
      <c r="P4495">
        <v>167</v>
      </c>
      <c r="Q4495" t="s">
        <v>742</v>
      </c>
      <c r="R4495" t="s">
        <v>201</v>
      </c>
      <c r="S4495">
        <v>3</v>
      </c>
      <c r="T4495">
        <v>1</v>
      </c>
      <c r="U4495">
        <v>111000</v>
      </c>
      <c r="V4495">
        <v>333000</v>
      </c>
    </row>
    <row r="4496" spans="1:22">
      <c r="A4496" t="s">
        <v>196</v>
      </c>
      <c r="B4496">
        <v>27</v>
      </c>
      <c r="C4496" t="s">
        <v>637</v>
      </c>
      <c r="D4496">
        <v>200</v>
      </c>
      <c r="E4496" t="s">
        <v>1834</v>
      </c>
      <c r="F4496">
        <v>1005</v>
      </c>
      <c r="G4496" t="s">
        <v>638</v>
      </c>
      <c r="H4496">
        <v>2020</v>
      </c>
      <c r="I4496" t="s">
        <v>36</v>
      </c>
      <c r="J4496">
        <v>3220</v>
      </c>
      <c r="K4496" t="s">
        <v>735</v>
      </c>
      <c r="L4496">
        <v>4205</v>
      </c>
      <c r="M4496" t="s">
        <v>1837</v>
      </c>
      <c r="N4496" t="s">
        <v>341</v>
      </c>
      <c r="O4496">
        <v>4</v>
      </c>
      <c r="P4496">
        <v>110</v>
      </c>
      <c r="Q4496" t="s">
        <v>359</v>
      </c>
      <c r="R4496" t="s">
        <v>201</v>
      </c>
      <c r="S4496">
        <v>1</v>
      </c>
      <c r="T4496">
        <v>1</v>
      </c>
      <c r="U4496">
        <v>85200</v>
      </c>
      <c r="V4496">
        <v>85200</v>
      </c>
    </row>
    <row r="4497" spans="1:22">
      <c r="A4497" t="s">
        <v>196</v>
      </c>
      <c r="B4497">
        <v>27</v>
      </c>
      <c r="C4497" t="s">
        <v>637</v>
      </c>
      <c r="D4497">
        <v>200</v>
      </c>
      <c r="E4497" t="s">
        <v>1834</v>
      </c>
      <c r="F4497">
        <v>1005</v>
      </c>
      <c r="G4497" t="s">
        <v>638</v>
      </c>
      <c r="H4497">
        <v>2020</v>
      </c>
      <c r="I4497" t="s">
        <v>36</v>
      </c>
      <c r="J4497">
        <v>3220</v>
      </c>
      <c r="K4497" t="s">
        <v>735</v>
      </c>
      <c r="L4497">
        <v>4205</v>
      </c>
      <c r="M4497" t="s">
        <v>1837</v>
      </c>
      <c r="N4497" t="s">
        <v>341</v>
      </c>
      <c r="O4497">
        <v>4</v>
      </c>
      <c r="P4497">
        <v>110</v>
      </c>
      <c r="Q4497" t="s">
        <v>359</v>
      </c>
      <c r="R4497" t="s">
        <v>201</v>
      </c>
      <c r="S4497">
        <v>3</v>
      </c>
      <c r="T4497">
        <v>1</v>
      </c>
      <c r="U4497">
        <v>68616</v>
      </c>
      <c r="V4497">
        <v>205848</v>
      </c>
    </row>
    <row r="4498" spans="1:22">
      <c r="A4498" t="s">
        <v>196</v>
      </c>
      <c r="B4498">
        <v>27</v>
      </c>
      <c r="C4498" t="s">
        <v>637</v>
      </c>
      <c r="D4498">
        <v>200</v>
      </c>
      <c r="E4498" t="s">
        <v>1834</v>
      </c>
      <c r="F4498">
        <v>1005</v>
      </c>
      <c r="G4498" t="s">
        <v>638</v>
      </c>
      <c r="H4498">
        <v>2020</v>
      </c>
      <c r="I4498" t="s">
        <v>36</v>
      </c>
      <c r="J4498">
        <v>3220</v>
      </c>
      <c r="K4498" t="s">
        <v>735</v>
      </c>
      <c r="L4498">
        <v>4205</v>
      </c>
      <c r="M4498" t="s">
        <v>1837</v>
      </c>
      <c r="N4498" t="s">
        <v>360</v>
      </c>
      <c r="O4498">
        <v>1</v>
      </c>
      <c r="P4498">
        <v>109</v>
      </c>
      <c r="Q4498" t="s">
        <v>361</v>
      </c>
      <c r="R4498" t="s">
        <v>201</v>
      </c>
      <c r="S4498">
        <v>3</v>
      </c>
      <c r="T4498">
        <v>1</v>
      </c>
      <c r="U4498">
        <v>98928</v>
      </c>
      <c r="V4498">
        <v>296784</v>
      </c>
    </row>
    <row r="4499" spans="1:22">
      <c r="A4499" t="s">
        <v>196</v>
      </c>
      <c r="B4499">
        <v>27</v>
      </c>
      <c r="C4499" t="s">
        <v>637</v>
      </c>
      <c r="D4499">
        <v>200</v>
      </c>
      <c r="E4499" t="s">
        <v>1834</v>
      </c>
      <c r="F4499">
        <v>1005</v>
      </c>
      <c r="G4499" t="s">
        <v>638</v>
      </c>
      <c r="H4499">
        <v>2020</v>
      </c>
      <c r="I4499" t="s">
        <v>36</v>
      </c>
      <c r="J4499">
        <v>3220</v>
      </c>
      <c r="K4499" t="s">
        <v>735</v>
      </c>
      <c r="L4499">
        <v>4205</v>
      </c>
      <c r="M4499" t="s">
        <v>1837</v>
      </c>
      <c r="N4499" t="s">
        <v>360</v>
      </c>
      <c r="O4499">
        <v>1</v>
      </c>
      <c r="P4499">
        <v>109</v>
      </c>
      <c r="Q4499" t="s">
        <v>361</v>
      </c>
      <c r="R4499" t="s">
        <v>201</v>
      </c>
      <c r="S4499">
        <v>1</v>
      </c>
      <c r="T4499">
        <v>1</v>
      </c>
      <c r="U4499">
        <v>67608</v>
      </c>
      <c r="V4499">
        <v>67608</v>
      </c>
    </row>
    <row r="4500" spans="1:22">
      <c r="A4500" t="s">
        <v>196</v>
      </c>
      <c r="B4500">
        <v>27</v>
      </c>
      <c r="C4500" t="s">
        <v>637</v>
      </c>
      <c r="D4500">
        <v>200</v>
      </c>
      <c r="E4500" t="s">
        <v>1834</v>
      </c>
      <c r="F4500">
        <v>1005</v>
      </c>
      <c r="G4500" t="s">
        <v>638</v>
      </c>
      <c r="H4500">
        <v>2020</v>
      </c>
      <c r="I4500" t="s">
        <v>36</v>
      </c>
      <c r="J4500">
        <v>3220</v>
      </c>
      <c r="K4500" t="s">
        <v>735</v>
      </c>
      <c r="L4500">
        <v>4205</v>
      </c>
      <c r="M4500" t="s">
        <v>1837</v>
      </c>
      <c r="N4500" t="s">
        <v>360</v>
      </c>
      <c r="O4500">
        <v>1</v>
      </c>
      <c r="P4500">
        <v>109</v>
      </c>
      <c r="Q4500" t="s">
        <v>361</v>
      </c>
      <c r="R4500" t="s">
        <v>201</v>
      </c>
      <c r="S4500">
        <v>1</v>
      </c>
      <c r="T4500">
        <v>1</v>
      </c>
      <c r="U4500">
        <v>64488</v>
      </c>
      <c r="V4500">
        <v>64488</v>
      </c>
    </row>
    <row r="4501" spans="1:22">
      <c r="A4501" t="s">
        <v>196</v>
      </c>
      <c r="B4501">
        <v>27</v>
      </c>
      <c r="C4501" t="s">
        <v>637</v>
      </c>
      <c r="D4501">
        <v>200</v>
      </c>
      <c r="E4501" t="s">
        <v>1834</v>
      </c>
      <c r="F4501">
        <v>1005</v>
      </c>
      <c r="G4501" t="s">
        <v>638</v>
      </c>
      <c r="H4501">
        <v>2020</v>
      </c>
      <c r="I4501" t="s">
        <v>36</v>
      </c>
      <c r="J4501">
        <v>3220</v>
      </c>
      <c r="K4501" t="s">
        <v>735</v>
      </c>
      <c r="L4501">
        <v>4205</v>
      </c>
      <c r="M4501" t="s">
        <v>1837</v>
      </c>
      <c r="N4501" t="s">
        <v>360</v>
      </c>
      <c r="O4501">
        <v>1</v>
      </c>
      <c r="P4501">
        <v>109</v>
      </c>
      <c r="Q4501" t="s">
        <v>361</v>
      </c>
      <c r="R4501" t="s">
        <v>201</v>
      </c>
      <c r="S4501">
        <v>1</v>
      </c>
      <c r="T4501">
        <v>1</v>
      </c>
      <c r="U4501">
        <v>61548</v>
      </c>
      <c r="V4501">
        <v>61548</v>
      </c>
    </row>
    <row r="4502" spans="1:22">
      <c r="A4502" t="s">
        <v>196</v>
      </c>
      <c r="B4502">
        <v>27</v>
      </c>
      <c r="C4502" t="s">
        <v>637</v>
      </c>
      <c r="D4502">
        <v>200</v>
      </c>
      <c r="E4502" t="s">
        <v>1834</v>
      </c>
      <c r="F4502">
        <v>1005</v>
      </c>
      <c r="G4502" t="s">
        <v>638</v>
      </c>
      <c r="H4502">
        <v>2020</v>
      </c>
      <c r="I4502" t="s">
        <v>36</v>
      </c>
      <c r="J4502">
        <v>3220</v>
      </c>
      <c r="K4502" t="s">
        <v>735</v>
      </c>
      <c r="L4502">
        <v>4205</v>
      </c>
      <c r="M4502" t="s">
        <v>1837</v>
      </c>
      <c r="N4502" t="s">
        <v>360</v>
      </c>
      <c r="O4502">
        <v>1</v>
      </c>
      <c r="P4502">
        <v>109</v>
      </c>
      <c r="Q4502" t="s">
        <v>361</v>
      </c>
      <c r="R4502" t="s">
        <v>201</v>
      </c>
      <c r="S4502">
        <v>3</v>
      </c>
      <c r="T4502">
        <v>1</v>
      </c>
      <c r="U4502">
        <v>57000</v>
      </c>
      <c r="V4502">
        <v>171000</v>
      </c>
    </row>
    <row r="4503" spans="1:22">
      <c r="A4503" t="s">
        <v>196</v>
      </c>
      <c r="B4503">
        <v>27</v>
      </c>
      <c r="C4503" t="s">
        <v>637</v>
      </c>
      <c r="D4503">
        <v>200</v>
      </c>
      <c r="E4503" t="s">
        <v>1834</v>
      </c>
      <c r="F4503">
        <v>1005</v>
      </c>
      <c r="G4503" t="s">
        <v>638</v>
      </c>
      <c r="H4503">
        <v>2020</v>
      </c>
      <c r="I4503" t="s">
        <v>36</v>
      </c>
      <c r="J4503">
        <v>3220</v>
      </c>
      <c r="K4503" t="s">
        <v>735</v>
      </c>
      <c r="L4503">
        <v>4205</v>
      </c>
      <c r="M4503" t="s">
        <v>1837</v>
      </c>
      <c r="N4503" t="s">
        <v>351</v>
      </c>
      <c r="O4503">
        <v>4</v>
      </c>
      <c r="P4503">
        <v>101</v>
      </c>
      <c r="Q4503" t="s">
        <v>1839</v>
      </c>
      <c r="R4503" t="s">
        <v>201</v>
      </c>
      <c r="S4503">
        <v>1</v>
      </c>
      <c r="T4503">
        <v>1</v>
      </c>
      <c r="U4503">
        <v>77640</v>
      </c>
      <c r="V4503">
        <v>77640</v>
      </c>
    </row>
    <row r="4504" spans="1:22">
      <c r="A4504" t="s">
        <v>196</v>
      </c>
      <c r="B4504">
        <v>27</v>
      </c>
      <c r="C4504" t="s">
        <v>637</v>
      </c>
      <c r="D4504">
        <v>200</v>
      </c>
      <c r="E4504" t="s">
        <v>1834</v>
      </c>
      <c r="F4504">
        <v>1005</v>
      </c>
      <c r="G4504" t="s">
        <v>638</v>
      </c>
      <c r="H4504">
        <v>2020</v>
      </c>
      <c r="I4504" t="s">
        <v>36</v>
      </c>
      <c r="J4504">
        <v>3220</v>
      </c>
      <c r="K4504" t="s">
        <v>735</v>
      </c>
      <c r="L4504">
        <v>4205</v>
      </c>
      <c r="M4504" t="s">
        <v>1837</v>
      </c>
      <c r="N4504" t="s">
        <v>199</v>
      </c>
      <c r="O4504">
        <v>0</v>
      </c>
      <c r="P4504">
        <v>15</v>
      </c>
      <c r="Q4504" t="s">
        <v>264</v>
      </c>
      <c r="R4504" t="s">
        <v>201</v>
      </c>
      <c r="S4504">
        <v>0</v>
      </c>
      <c r="T4504">
        <v>0</v>
      </c>
      <c r="U4504">
        <v>12724</v>
      </c>
      <c r="V4504">
        <v>12724</v>
      </c>
    </row>
    <row r="4505" spans="1:22">
      <c r="A4505" t="s">
        <v>196</v>
      </c>
      <c r="B4505">
        <v>28</v>
      </c>
      <c r="C4505" t="s">
        <v>85</v>
      </c>
      <c r="D4505">
        <v>200</v>
      </c>
      <c r="E4505" t="s">
        <v>1834</v>
      </c>
      <c r="F4505">
        <v>1005</v>
      </c>
      <c r="G4505" t="s">
        <v>85</v>
      </c>
      <c r="H4505">
        <v>2005</v>
      </c>
      <c r="I4505" t="s">
        <v>85</v>
      </c>
      <c r="J4505">
        <v>3010</v>
      </c>
      <c r="K4505" t="s">
        <v>754</v>
      </c>
      <c r="L4505">
        <v>0</v>
      </c>
      <c r="N4505" t="s">
        <v>631</v>
      </c>
      <c r="O4505">
        <v>9</v>
      </c>
      <c r="P4505">
        <v>9676</v>
      </c>
      <c r="Q4505" t="s">
        <v>755</v>
      </c>
      <c r="R4505" t="s">
        <v>201</v>
      </c>
      <c r="S4505">
        <v>1</v>
      </c>
      <c r="T4505">
        <v>1</v>
      </c>
      <c r="U4505">
        <v>124848</v>
      </c>
      <c r="V4505">
        <v>124848</v>
      </c>
    </row>
    <row r="4506" spans="1:22">
      <c r="A4506" t="s">
        <v>196</v>
      </c>
      <c r="B4506">
        <v>28</v>
      </c>
      <c r="C4506" t="s">
        <v>85</v>
      </c>
      <c r="D4506">
        <v>200</v>
      </c>
      <c r="E4506" t="s">
        <v>1834</v>
      </c>
      <c r="F4506">
        <v>1005</v>
      </c>
      <c r="G4506" t="s">
        <v>85</v>
      </c>
      <c r="H4506">
        <v>2005</v>
      </c>
      <c r="I4506" t="s">
        <v>85</v>
      </c>
      <c r="J4506">
        <v>3010</v>
      </c>
      <c r="K4506" t="s">
        <v>754</v>
      </c>
      <c r="L4506">
        <v>0</v>
      </c>
      <c r="N4506" t="s">
        <v>251</v>
      </c>
      <c r="O4506">
        <v>10</v>
      </c>
      <c r="P4506">
        <v>802</v>
      </c>
      <c r="Q4506" t="s">
        <v>252</v>
      </c>
      <c r="R4506" t="s">
        <v>201</v>
      </c>
      <c r="S4506">
        <v>1</v>
      </c>
      <c r="T4506">
        <v>1</v>
      </c>
      <c r="U4506">
        <v>94332</v>
      </c>
      <c r="V4506">
        <v>94332</v>
      </c>
    </row>
    <row r="4507" spans="1:22">
      <c r="A4507" t="s">
        <v>196</v>
      </c>
      <c r="B4507">
        <v>28</v>
      </c>
      <c r="C4507" t="s">
        <v>85</v>
      </c>
      <c r="D4507">
        <v>200</v>
      </c>
      <c r="E4507" t="s">
        <v>1834</v>
      </c>
      <c r="F4507">
        <v>1005</v>
      </c>
      <c r="G4507" t="s">
        <v>85</v>
      </c>
      <c r="H4507">
        <v>2005</v>
      </c>
      <c r="I4507" t="s">
        <v>85</v>
      </c>
      <c r="J4507">
        <v>3010</v>
      </c>
      <c r="K4507" t="s">
        <v>754</v>
      </c>
      <c r="L4507">
        <v>0</v>
      </c>
      <c r="N4507" t="s">
        <v>199</v>
      </c>
      <c r="O4507">
        <v>0</v>
      </c>
      <c r="P4507">
        <v>15</v>
      </c>
      <c r="Q4507" t="s">
        <v>264</v>
      </c>
      <c r="R4507" t="s">
        <v>201</v>
      </c>
      <c r="S4507">
        <v>0</v>
      </c>
      <c r="T4507">
        <v>0</v>
      </c>
      <c r="U4507">
        <v>2049</v>
      </c>
      <c r="V4507">
        <v>2049</v>
      </c>
    </row>
    <row r="4508" spans="1:22">
      <c r="A4508" t="s">
        <v>196</v>
      </c>
      <c r="B4508">
        <v>28</v>
      </c>
      <c r="C4508" t="s">
        <v>85</v>
      </c>
      <c r="D4508">
        <v>200</v>
      </c>
      <c r="E4508" t="s">
        <v>1834</v>
      </c>
      <c r="F4508">
        <v>1005</v>
      </c>
      <c r="G4508" t="s">
        <v>85</v>
      </c>
      <c r="H4508">
        <v>2005</v>
      </c>
      <c r="I4508" t="s">
        <v>85</v>
      </c>
      <c r="J4508">
        <v>3020</v>
      </c>
      <c r="K4508" t="s">
        <v>309</v>
      </c>
      <c r="L4508">
        <v>0</v>
      </c>
      <c r="N4508" t="s">
        <v>216</v>
      </c>
      <c r="O4508">
        <v>10</v>
      </c>
      <c r="P4508">
        <v>340</v>
      </c>
      <c r="Q4508" t="s">
        <v>753</v>
      </c>
      <c r="R4508" t="s">
        <v>201</v>
      </c>
      <c r="S4508">
        <v>1</v>
      </c>
      <c r="T4508">
        <v>1</v>
      </c>
      <c r="U4508">
        <v>68004</v>
      </c>
      <c r="V4508">
        <v>68004</v>
      </c>
    </row>
    <row r="4509" spans="1:22">
      <c r="A4509" t="s">
        <v>196</v>
      </c>
      <c r="B4509">
        <v>28</v>
      </c>
      <c r="C4509" t="s">
        <v>85</v>
      </c>
      <c r="D4509">
        <v>200</v>
      </c>
      <c r="E4509" t="s">
        <v>1834</v>
      </c>
      <c r="F4509">
        <v>1005</v>
      </c>
      <c r="G4509" t="s">
        <v>85</v>
      </c>
      <c r="H4509">
        <v>2005</v>
      </c>
      <c r="I4509" t="s">
        <v>85</v>
      </c>
      <c r="J4509">
        <v>3025</v>
      </c>
      <c r="K4509" t="s">
        <v>1840</v>
      </c>
      <c r="L4509">
        <v>0</v>
      </c>
      <c r="N4509" t="s">
        <v>216</v>
      </c>
      <c r="O4509">
        <v>10</v>
      </c>
      <c r="P4509">
        <v>340</v>
      </c>
      <c r="Q4509" t="s">
        <v>753</v>
      </c>
      <c r="R4509" t="s">
        <v>201</v>
      </c>
      <c r="S4509">
        <v>1</v>
      </c>
      <c r="T4509">
        <v>1</v>
      </c>
      <c r="U4509">
        <v>68232</v>
      </c>
      <c r="V4509">
        <v>68232</v>
      </c>
    </row>
    <row r="4510" spans="1:22">
      <c r="A4510" t="s">
        <v>196</v>
      </c>
      <c r="B4510">
        <v>31</v>
      </c>
      <c r="C4510" t="s">
        <v>27</v>
      </c>
      <c r="D4510">
        <v>200</v>
      </c>
      <c r="E4510" t="s">
        <v>1834</v>
      </c>
      <c r="F4510">
        <v>1005</v>
      </c>
      <c r="G4510" t="s">
        <v>27</v>
      </c>
      <c r="H4510">
        <v>2005</v>
      </c>
      <c r="I4510" t="s">
        <v>27</v>
      </c>
      <c r="J4510">
        <v>3019</v>
      </c>
      <c r="K4510" t="s">
        <v>812</v>
      </c>
      <c r="L4510">
        <v>4002</v>
      </c>
      <c r="M4510" t="s">
        <v>1841</v>
      </c>
      <c r="N4510" t="s">
        <v>794</v>
      </c>
      <c r="O4510">
        <v>9</v>
      </c>
      <c r="P4510">
        <v>1673</v>
      </c>
      <c r="Q4510" t="s">
        <v>795</v>
      </c>
      <c r="R4510" t="s">
        <v>201</v>
      </c>
      <c r="S4510">
        <v>1</v>
      </c>
      <c r="T4510">
        <v>1</v>
      </c>
      <c r="U4510">
        <v>85704</v>
      </c>
      <c r="V4510">
        <v>85704</v>
      </c>
    </row>
    <row r="4511" spans="1:22">
      <c r="A4511" t="s">
        <v>196</v>
      </c>
      <c r="B4511">
        <v>31</v>
      </c>
      <c r="C4511" t="s">
        <v>27</v>
      </c>
      <c r="D4511">
        <v>200</v>
      </c>
      <c r="E4511" t="s">
        <v>1834</v>
      </c>
      <c r="F4511">
        <v>1005</v>
      </c>
      <c r="G4511" t="s">
        <v>27</v>
      </c>
      <c r="H4511">
        <v>2005</v>
      </c>
      <c r="I4511" t="s">
        <v>27</v>
      </c>
      <c r="J4511">
        <v>3019</v>
      </c>
      <c r="K4511" t="s">
        <v>812</v>
      </c>
      <c r="L4511">
        <v>4002</v>
      </c>
      <c r="M4511" t="s">
        <v>1841</v>
      </c>
      <c r="N4511" t="s">
        <v>796</v>
      </c>
      <c r="O4511">
        <v>9</v>
      </c>
      <c r="P4511">
        <v>1652</v>
      </c>
      <c r="Q4511" t="s">
        <v>797</v>
      </c>
      <c r="R4511" t="s">
        <v>201</v>
      </c>
      <c r="S4511">
        <v>1</v>
      </c>
      <c r="T4511">
        <v>1</v>
      </c>
      <c r="U4511">
        <v>173160</v>
      </c>
      <c r="V4511">
        <v>173160</v>
      </c>
    </row>
    <row r="4512" spans="1:22">
      <c r="A4512" t="s">
        <v>196</v>
      </c>
      <c r="B4512">
        <v>31</v>
      </c>
      <c r="C4512" t="s">
        <v>27</v>
      </c>
      <c r="D4512">
        <v>200</v>
      </c>
      <c r="E4512" t="s">
        <v>1834</v>
      </c>
      <c r="F4512">
        <v>1005</v>
      </c>
      <c r="G4512" t="s">
        <v>27</v>
      </c>
      <c r="H4512">
        <v>2005</v>
      </c>
      <c r="I4512" t="s">
        <v>27</v>
      </c>
      <c r="J4512">
        <v>3019</v>
      </c>
      <c r="K4512" t="s">
        <v>812</v>
      </c>
      <c r="L4512">
        <v>4002</v>
      </c>
      <c r="M4512" t="s">
        <v>1841</v>
      </c>
      <c r="N4512" t="s">
        <v>798</v>
      </c>
      <c r="O4512">
        <v>9</v>
      </c>
      <c r="P4512">
        <v>1641</v>
      </c>
      <c r="Q4512" t="s">
        <v>799</v>
      </c>
      <c r="R4512" t="s">
        <v>201</v>
      </c>
      <c r="S4512">
        <v>2</v>
      </c>
      <c r="T4512">
        <v>1</v>
      </c>
      <c r="U4512">
        <v>164100</v>
      </c>
      <c r="V4512">
        <v>328200</v>
      </c>
    </row>
    <row r="4513" spans="1:22">
      <c r="A4513" t="s">
        <v>196</v>
      </c>
      <c r="B4513">
        <v>31</v>
      </c>
      <c r="C4513" t="s">
        <v>27</v>
      </c>
      <c r="D4513">
        <v>200</v>
      </c>
      <c r="E4513" t="s">
        <v>1834</v>
      </c>
      <c r="F4513">
        <v>1005</v>
      </c>
      <c r="G4513" t="s">
        <v>27</v>
      </c>
      <c r="H4513">
        <v>2005</v>
      </c>
      <c r="I4513" t="s">
        <v>27</v>
      </c>
      <c r="J4513">
        <v>3019</v>
      </c>
      <c r="K4513" t="s">
        <v>812</v>
      </c>
      <c r="L4513">
        <v>4002</v>
      </c>
      <c r="M4513" t="s">
        <v>1841</v>
      </c>
      <c r="N4513" t="s">
        <v>199</v>
      </c>
      <c r="O4513">
        <v>0</v>
      </c>
      <c r="P4513">
        <v>15</v>
      </c>
      <c r="Q4513" t="s">
        <v>264</v>
      </c>
      <c r="R4513" t="s">
        <v>201</v>
      </c>
      <c r="S4513">
        <v>0</v>
      </c>
      <c r="T4513">
        <v>0</v>
      </c>
      <c r="U4513">
        <v>1113</v>
      </c>
      <c r="V4513">
        <v>1113</v>
      </c>
    </row>
    <row r="4514" spans="1:22">
      <c r="A4514" t="s">
        <v>196</v>
      </c>
      <c r="B4514">
        <v>31</v>
      </c>
      <c r="C4514" t="s">
        <v>27</v>
      </c>
      <c r="D4514">
        <v>200</v>
      </c>
      <c r="E4514" t="s">
        <v>1834</v>
      </c>
      <c r="F4514">
        <v>1005</v>
      </c>
      <c r="G4514" t="s">
        <v>27</v>
      </c>
      <c r="H4514">
        <v>2005</v>
      </c>
      <c r="I4514" t="s">
        <v>27</v>
      </c>
      <c r="J4514">
        <v>3022</v>
      </c>
      <c r="K4514" t="s">
        <v>815</v>
      </c>
      <c r="L4514">
        <v>4007</v>
      </c>
      <c r="M4514" t="s">
        <v>1842</v>
      </c>
      <c r="N4514" t="s">
        <v>794</v>
      </c>
      <c r="O4514">
        <v>9</v>
      </c>
      <c r="P4514">
        <v>1673</v>
      </c>
      <c r="Q4514" t="s">
        <v>795</v>
      </c>
      <c r="R4514" t="s">
        <v>201</v>
      </c>
      <c r="S4514">
        <v>1</v>
      </c>
      <c r="T4514">
        <v>1</v>
      </c>
      <c r="U4514">
        <v>108084</v>
      </c>
      <c r="V4514">
        <v>108084</v>
      </c>
    </row>
    <row r="4515" spans="1:22">
      <c r="A4515" t="s">
        <v>196</v>
      </c>
      <c r="B4515">
        <v>31</v>
      </c>
      <c r="C4515" t="s">
        <v>27</v>
      </c>
      <c r="D4515">
        <v>200</v>
      </c>
      <c r="E4515" t="s">
        <v>1834</v>
      </c>
      <c r="F4515">
        <v>1005</v>
      </c>
      <c r="G4515" t="s">
        <v>27</v>
      </c>
      <c r="H4515">
        <v>2005</v>
      </c>
      <c r="I4515" t="s">
        <v>27</v>
      </c>
      <c r="J4515">
        <v>3028</v>
      </c>
      <c r="K4515" t="s">
        <v>819</v>
      </c>
      <c r="L4515">
        <v>4012</v>
      </c>
      <c r="M4515" t="s">
        <v>1843</v>
      </c>
      <c r="N4515" t="s">
        <v>821</v>
      </c>
      <c r="O4515">
        <v>9</v>
      </c>
      <c r="P4515">
        <v>1672</v>
      </c>
      <c r="Q4515" t="s">
        <v>822</v>
      </c>
      <c r="R4515" t="s">
        <v>201</v>
      </c>
      <c r="S4515">
        <v>1</v>
      </c>
      <c r="T4515">
        <v>1</v>
      </c>
      <c r="U4515">
        <v>94044</v>
      </c>
      <c r="V4515">
        <v>94044</v>
      </c>
    </row>
    <row r="4516" spans="1:22">
      <c r="A4516" t="s">
        <v>196</v>
      </c>
      <c r="B4516">
        <v>31</v>
      </c>
      <c r="C4516" t="s">
        <v>27</v>
      </c>
      <c r="D4516">
        <v>200</v>
      </c>
      <c r="E4516" t="s">
        <v>1834</v>
      </c>
      <c r="F4516">
        <v>1005</v>
      </c>
      <c r="G4516" t="s">
        <v>27</v>
      </c>
      <c r="H4516">
        <v>2005</v>
      </c>
      <c r="I4516" t="s">
        <v>27</v>
      </c>
      <c r="J4516">
        <v>3028</v>
      </c>
      <c r="K4516" t="s">
        <v>819</v>
      </c>
      <c r="L4516">
        <v>4012</v>
      </c>
      <c r="M4516" t="s">
        <v>1843</v>
      </c>
      <c r="N4516" t="s">
        <v>798</v>
      </c>
      <c r="O4516">
        <v>9</v>
      </c>
      <c r="P4516">
        <v>1641</v>
      </c>
      <c r="Q4516" t="s">
        <v>799</v>
      </c>
      <c r="R4516" t="s">
        <v>201</v>
      </c>
      <c r="S4516">
        <v>1</v>
      </c>
      <c r="T4516">
        <v>1</v>
      </c>
      <c r="U4516">
        <v>118596</v>
      </c>
      <c r="V4516">
        <v>118596</v>
      </c>
    </row>
    <row r="4517" spans="1:22">
      <c r="A4517" t="s">
        <v>196</v>
      </c>
      <c r="B4517">
        <v>31</v>
      </c>
      <c r="C4517" t="s">
        <v>27</v>
      </c>
      <c r="D4517">
        <v>200</v>
      </c>
      <c r="E4517" t="s">
        <v>1834</v>
      </c>
      <c r="F4517">
        <v>1005</v>
      </c>
      <c r="G4517" t="s">
        <v>27</v>
      </c>
      <c r="H4517">
        <v>2005</v>
      </c>
      <c r="I4517" t="s">
        <v>27</v>
      </c>
      <c r="J4517">
        <v>3028</v>
      </c>
      <c r="K4517" t="s">
        <v>819</v>
      </c>
      <c r="L4517">
        <v>4012</v>
      </c>
      <c r="M4517" t="s">
        <v>1843</v>
      </c>
      <c r="N4517" t="s">
        <v>268</v>
      </c>
      <c r="O4517">
        <v>10</v>
      </c>
      <c r="P4517">
        <v>1611</v>
      </c>
      <c r="Q4517" t="s">
        <v>269</v>
      </c>
      <c r="R4517" t="s">
        <v>201</v>
      </c>
      <c r="S4517">
        <v>1</v>
      </c>
      <c r="T4517">
        <v>1</v>
      </c>
      <c r="U4517">
        <v>69684</v>
      </c>
      <c r="V4517">
        <v>69684</v>
      </c>
    </row>
    <row r="4518" spans="1:22">
      <c r="A4518" t="s">
        <v>196</v>
      </c>
      <c r="B4518">
        <v>31</v>
      </c>
      <c r="C4518" t="s">
        <v>27</v>
      </c>
      <c r="D4518">
        <v>200</v>
      </c>
      <c r="E4518" t="s">
        <v>1834</v>
      </c>
      <c r="F4518">
        <v>1005</v>
      </c>
      <c r="G4518" t="s">
        <v>27</v>
      </c>
      <c r="H4518">
        <v>2005</v>
      </c>
      <c r="I4518" t="s">
        <v>27</v>
      </c>
      <c r="J4518">
        <v>3028</v>
      </c>
      <c r="K4518" t="s">
        <v>819</v>
      </c>
      <c r="L4518">
        <v>4012</v>
      </c>
      <c r="M4518" t="s">
        <v>1843</v>
      </c>
      <c r="N4518" t="s">
        <v>199</v>
      </c>
      <c r="O4518">
        <v>0</v>
      </c>
      <c r="P4518">
        <v>15</v>
      </c>
      <c r="Q4518" t="s">
        <v>264</v>
      </c>
      <c r="R4518" t="s">
        <v>201</v>
      </c>
      <c r="S4518">
        <v>0</v>
      </c>
      <c r="T4518">
        <v>0</v>
      </c>
      <c r="U4518">
        <v>1656</v>
      </c>
      <c r="V4518">
        <v>1656</v>
      </c>
    </row>
    <row r="4519" spans="1:22">
      <c r="A4519" t="s">
        <v>196</v>
      </c>
      <c r="B4519">
        <v>31</v>
      </c>
      <c r="C4519" t="s">
        <v>27</v>
      </c>
      <c r="D4519">
        <v>200</v>
      </c>
      <c r="E4519" t="s">
        <v>1834</v>
      </c>
      <c r="F4519">
        <v>1005</v>
      </c>
      <c r="G4519" t="s">
        <v>27</v>
      </c>
      <c r="H4519">
        <v>2005</v>
      </c>
      <c r="I4519" t="s">
        <v>27</v>
      </c>
      <c r="J4519">
        <v>3039</v>
      </c>
      <c r="K4519" t="s">
        <v>830</v>
      </c>
      <c r="L4519">
        <v>4039</v>
      </c>
      <c r="M4519" t="s">
        <v>831</v>
      </c>
      <c r="N4519" t="s">
        <v>802</v>
      </c>
      <c r="O4519">
        <v>9</v>
      </c>
      <c r="P4519">
        <v>1674</v>
      </c>
      <c r="Q4519" t="s">
        <v>803</v>
      </c>
      <c r="R4519" t="s">
        <v>201</v>
      </c>
      <c r="S4519">
        <v>1</v>
      </c>
      <c r="T4519">
        <v>1</v>
      </c>
      <c r="U4519">
        <v>156648</v>
      </c>
      <c r="V4519">
        <v>156648</v>
      </c>
    </row>
    <row r="4520" spans="1:22">
      <c r="A4520" t="s">
        <v>196</v>
      </c>
      <c r="B4520">
        <v>31</v>
      </c>
      <c r="C4520" t="s">
        <v>27</v>
      </c>
      <c r="D4520">
        <v>200</v>
      </c>
      <c r="E4520" t="s">
        <v>1834</v>
      </c>
      <c r="F4520">
        <v>1005</v>
      </c>
      <c r="G4520" t="s">
        <v>27</v>
      </c>
      <c r="H4520">
        <v>2005</v>
      </c>
      <c r="I4520" t="s">
        <v>27</v>
      </c>
      <c r="J4520">
        <v>3039</v>
      </c>
      <c r="K4520" t="s">
        <v>830</v>
      </c>
      <c r="L4520">
        <v>4039</v>
      </c>
      <c r="M4520" t="s">
        <v>831</v>
      </c>
      <c r="N4520" t="s">
        <v>796</v>
      </c>
      <c r="O4520">
        <v>9</v>
      </c>
      <c r="P4520">
        <v>1652</v>
      </c>
      <c r="Q4520" t="s">
        <v>797</v>
      </c>
      <c r="R4520" t="s">
        <v>201</v>
      </c>
      <c r="S4520">
        <v>1</v>
      </c>
      <c r="T4520">
        <v>1</v>
      </c>
      <c r="U4520">
        <v>173160</v>
      </c>
      <c r="V4520">
        <v>173160</v>
      </c>
    </row>
    <row r="4521" spans="1:22">
      <c r="A4521" t="s">
        <v>196</v>
      </c>
      <c r="B4521">
        <v>31</v>
      </c>
      <c r="C4521" t="s">
        <v>27</v>
      </c>
      <c r="D4521">
        <v>200</v>
      </c>
      <c r="E4521" t="s">
        <v>1834</v>
      </c>
      <c r="F4521">
        <v>1005</v>
      </c>
      <c r="G4521" t="s">
        <v>27</v>
      </c>
      <c r="H4521">
        <v>2005</v>
      </c>
      <c r="I4521" t="s">
        <v>27</v>
      </c>
      <c r="J4521">
        <v>3039</v>
      </c>
      <c r="K4521" t="s">
        <v>830</v>
      </c>
      <c r="L4521">
        <v>4039</v>
      </c>
      <c r="M4521" t="s">
        <v>831</v>
      </c>
      <c r="N4521" t="s">
        <v>804</v>
      </c>
      <c r="O4521">
        <v>9</v>
      </c>
      <c r="P4521">
        <v>1643</v>
      </c>
      <c r="Q4521" t="s">
        <v>805</v>
      </c>
      <c r="R4521" t="s">
        <v>201</v>
      </c>
      <c r="S4521">
        <v>1</v>
      </c>
      <c r="T4521">
        <v>1</v>
      </c>
      <c r="U4521">
        <v>98484</v>
      </c>
      <c r="V4521">
        <v>98484</v>
      </c>
    </row>
    <row r="4522" spans="1:22">
      <c r="A4522" t="s">
        <v>196</v>
      </c>
      <c r="B4522">
        <v>31</v>
      </c>
      <c r="C4522" t="s">
        <v>27</v>
      </c>
      <c r="D4522">
        <v>200</v>
      </c>
      <c r="E4522" t="s">
        <v>1834</v>
      </c>
      <c r="F4522">
        <v>1005</v>
      </c>
      <c r="G4522" t="s">
        <v>27</v>
      </c>
      <c r="H4522">
        <v>2005</v>
      </c>
      <c r="I4522" t="s">
        <v>27</v>
      </c>
      <c r="J4522">
        <v>3039</v>
      </c>
      <c r="K4522" t="s">
        <v>830</v>
      </c>
      <c r="L4522">
        <v>4039</v>
      </c>
      <c r="M4522" t="s">
        <v>831</v>
      </c>
      <c r="N4522" t="s">
        <v>199</v>
      </c>
      <c r="O4522">
        <v>0</v>
      </c>
      <c r="P4522">
        <v>15</v>
      </c>
      <c r="Q4522" t="s">
        <v>264</v>
      </c>
      <c r="R4522" t="s">
        <v>201</v>
      </c>
      <c r="S4522">
        <v>0</v>
      </c>
      <c r="T4522">
        <v>0</v>
      </c>
      <c r="U4522">
        <v>1855</v>
      </c>
      <c r="V4522">
        <v>1855</v>
      </c>
    </row>
    <row r="4523" spans="1:22">
      <c r="A4523" t="s">
        <v>196</v>
      </c>
      <c r="B4523">
        <v>31</v>
      </c>
      <c r="C4523" t="s">
        <v>27</v>
      </c>
      <c r="D4523">
        <v>200</v>
      </c>
      <c r="E4523" t="s">
        <v>1834</v>
      </c>
      <c r="F4523">
        <v>1005</v>
      </c>
      <c r="G4523" t="s">
        <v>27</v>
      </c>
      <c r="H4523">
        <v>2005</v>
      </c>
      <c r="I4523" t="s">
        <v>27</v>
      </c>
      <c r="J4523">
        <v>3249</v>
      </c>
      <c r="K4523" t="s">
        <v>838</v>
      </c>
      <c r="L4523">
        <v>0</v>
      </c>
      <c r="N4523" t="s">
        <v>785</v>
      </c>
      <c r="O4523">
        <v>9</v>
      </c>
      <c r="P4523">
        <v>1650</v>
      </c>
      <c r="Q4523" t="s">
        <v>786</v>
      </c>
      <c r="R4523" t="s">
        <v>201</v>
      </c>
      <c r="S4523">
        <v>1</v>
      </c>
      <c r="T4523">
        <v>1</v>
      </c>
      <c r="U4523">
        <v>192852</v>
      </c>
      <c r="V4523">
        <v>192852</v>
      </c>
    </row>
    <row r="4524" spans="1:22">
      <c r="A4524" t="s">
        <v>196</v>
      </c>
      <c r="B4524">
        <v>31</v>
      </c>
      <c r="C4524" t="s">
        <v>27</v>
      </c>
      <c r="D4524">
        <v>200</v>
      </c>
      <c r="E4524" t="s">
        <v>1834</v>
      </c>
      <c r="F4524">
        <v>1005</v>
      </c>
      <c r="G4524" t="s">
        <v>27</v>
      </c>
      <c r="H4524">
        <v>2005</v>
      </c>
      <c r="I4524" t="s">
        <v>27</v>
      </c>
      <c r="J4524">
        <v>3249</v>
      </c>
      <c r="K4524" t="s">
        <v>838</v>
      </c>
      <c r="L4524">
        <v>0</v>
      </c>
      <c r="N4524" t="s">
        <v>804</v>
      </c>
      <c r="O4524">
        <v>9</v>
      </c>
      <c r="P4524">
        <v>1643</v>
      </c>
      <c r="Q4524" t="s">
        <v>805</v>
      </c>
      <c r="R4524" t="s">
        <v>201</v>
      </c>
      <c r="S4524">
        <v>1</v>
      </c>
      <c r="T4524">
        <v>1</v>
      </c>
      <c r="U4524">
        <v>85704</v>
      </c>
      <c r="V4524">
        <v>85704</v>
      </c>
    </row>
    <row r="4525" spans="1:22">
      <c r="A4525" t="s">
        <v>196</v>
      </c>
      <c r="B4525">
        <v>31</v>
      </c>
      <c r="C4525" t="s">
        <v>27</v>
      </c>
      <c r="D4525">
        <v>200</v>
      </c>
      <c r="E4525" t="s">
        <v>1834</v>
      </c>
      <c r="F4525">
        <v>1005</v>
      </c>
      <c r="G4525" t="s">
        <v>27</v>
      </c>
      <c r="H4525">
        <v>2005</v>
      </c>
      <c r="I4525" t="s">
        <v>27</v>
      </c>
      <c r="J4525">
        <v>3249</v>
      </c>
      <c r="K4525" t="s">
        <v>838</v>
      </c>
      <c r="L4525">
        <v>0</v>
      </c>
      <c r="N4525" t="s">
        <v>199</v>
      </c>
      <c r="O4525">
        <v>0</v>
      </c>
      <c r="P4525">
        <v>15</v>
      </c>
      <c r="Q4525" t="s">
        <v>264</v>
      </c>
      <c r="R4525" t="s">
        <v>201</v>
      </c>
      <c r="S4525">
        <v>0</v>
      </c>
      <c r="T4525">
        <v>0</v>
      </c>
      <c r="U4525">
        <v>6590</v>
      </c>
      <c r="V4525">
        <v>6590</v>
      </c>
    </row>
    <row r="4526" spans="1:22">
      <c r="A4526" t="s">
        <v>196</v>
      </c>
      <c r="B4526">
        <v>31</v>
      </c>
      <c r="C4526" t="s">
        <v>27</v>
      </c>
      <c r="D4526">
        <v>200</v>
      </c>
      <c r="E4526" t="s">
        <v>1834</v>
      </c>
      <c r="F4526">
        <v>1005</v>
      </c>
      <c r="G4526" t="s">
        <v>27</v>
      </c>
      <c r="H4526">
        <v>2005</v>
      </c>
      <c r="I4526" t="s">
        <v>27</v>
      </c>
      <c r="J4526">
        <v>3644</v>
      </c>
      <c r="K4526" t="s">
        <v>835</v>
      </c>
      <c r="L4526">
        <v>0</v>
      </c>
      <c r="N4526" t="s">
        <v>798</v>
      </c>
      <c r="O4526">
        <v>9</v>
      </c>
      <c r="P4526">
        <v>1641</v>
      </c>
      <c r="Q4526" t="s">
        <v>799</v>
      </c>
      <c r="R4526" t="s">
        <v>201</v>
      </c>
      <c r="S4526">
        <v>1</v>
      </c>
      <c r="T4526">
        <v>1</v>
      </c>
      <c r="U4526">
        <v>164100</v>
      </c>
      <c r="V4526">
        <v>164100</v>
      </c>
    </row>
    <row r="4527" spans="1:22">
      <c r="A4527" t="s">
        <v>196</v>
      </c>
      <c r="B4527">
        <v>33</v>
      </c>
      <c r="C4527" t="s">
        <v>51</v>
      </c>
      <c r="D4527">
        <v>200</v>
      </c>
      <c r="E4527" t="s">
        <v>1834</v>
      </c>
      <c r="F4527">
        <v>1005</v>
      </c>
      <c r="G4527" t="s">
        <v>51</v>
      </c>
      <c r="H4527">
        <v>2005</v>
      </c>
      <c r="I4527" t="s">
        <v>51</v>
      </c>
      <c r="J4527">
        <v>3040</v>
      </c>
      <c r="K4527" t="s">
        <v>872</v>
      </c>
      <c r="L4527">
        <v>4045</v>
      </c>
      <c r="M4527" t="s">
        <v>873</v>
      </c>
      <c r="N4527" t="s">
        <v>633</v>
      </c>
      <c r="O4527">
        <v>1</v>
      </c>
      <c r="P4527">
        <v>1370</v>
      </c>
      <c r="Q4527" t="s">
        <v>870</v>
      </c>
      <c r="R4527" t="s">
        <v>201</v>
      </c>
      <c r="S4527">
        <v>1</v>
      </c>
      <c r="T4527">
        <v>1</v>
      </c>
      <c r="U4527">
        <v>98460</v>
      </c>
      <c r="V4527">
        <v>98460</v>
      </c>
    </row>
    <row r="4528" spans="1:22">
      <c r="A4528" t="s">
        <v>196</v>
      </c>
      <c r="B4528">
        <v>33</v>
      </c>
      <c r="C4528" t="s">
        <v>51</v>
      </c>
      <c r="D4528">
        <v>200</v>
      </c>
      <c r="E4528" t="s">
        <v>1834</v>
      </c>
      <c r="F4528">
        <v>1005</v>
      </c>
      <c r="G4528" t="s">
        <v>51</v>
      </c>
      <c r="H4528">
        <v>2005</v>
      </c>
      <c r="I4528" t="s">
        <v>51</v>
      </c>
      <c r="J4528">
        <v>3040</v>
      </c>
      <c r="K4528" t="s">
        <v>872</v>
      </c>
      <c r="L4528">
        <v>4046</v>
      </c>
      <c r="M4528" t="s">
        <v>878</v>
      </c>
      <c r="N4528" t="s">
        <v>297</v>
      </c>
      <c r="O4528">
        <v>20</v>
      </c>
      <c r="P4528">
        <v>1352</v>
      </c>
      <c r="Q4528" t="s">
        <v>1844</v>
      </c>
      <c r="R4528" t="s">
        <v>201</v>
      </c>
      <c r="S4528">
        <v>1</v>
      </c>
      <c r="T4528">
        <v>1</v>
      </c>
      <c r="U4528">
        <v>115992</v>
      </c>
      <c r="V4528">
        <v>115992</v>
      </c>
    </row>
    <row r="4529" spans="1:22">
      <c r="A4529" t="s">
        <v>196</v>
      </c>
      <c r="B4529">
        <v>33</v>
      </c>
      <c r="C4529" t="s">
        <v>51</v>
      </c>
      <c r="D4529">
        <v>200</v>
      </c>
      <c r="E4529" t="s">
        <v>1834</v>
      </c>
      <c r="F4529">
        <v>1005</v>
      </c>
      <c r="G4529" t="s">
        <v>51</v>
      </c>
      <c r="H4529">
        <v>2005</v>
      </c>
      <c r="I4529" t="s">
        <v>51</v>
      </c>
      <c r="J4529">
        <v>3720</v>
      </c>
      <c r="K4529" t="s">
        <v>872</v>
      </c>
      <c r="L4529">
        <v>0</v>
      </c>
      <c r="N4529" t="s">
        <v>702</v>
      </c>
      <c r="O4529">
        <v>1</v>
      </c>
      <c r="P4529">
        <v>1357</v>
      </c>
      <c r="Q4529" t="s">
        <v>882</v>
      </c>
      <c r="R4529" t="s">
        <v>201</v>
      </c>
      <c r="S4529">
        <v>1</v>
      </c>
      <c r="T4529">
        <v>1</v>
      </c>
      <c r="U4529">
        <v>84192</v>
      </c>
      <c r="V4529">
        <v>84192</v>
      </c>
    </row>
    <row r="4530" spans="1:22">
      <c r="A4530" t="s">
        <v>196</v>
      </c>
      <c r="B4530">
        <v>33</v>
      </c>
      <c r="C4530" t="s">
        <v>51</v>
      </c>
      <c r="D4530">
        <v>200</v>
      </c>
      <c r="E4530" t="s">
        <v>1834</v>
      </c>
      <c r="F4530">
        <v>1005</v>
      </c>
      <c r="G4530" t="s">
        <v>51</v>
      </c>
      <c r="H4530">
        <v>2005</v>
      </c>
      <c r="I4530" t="s">
        <v>51</v>
      </c>
      <c r="J4530">
        <v>3720</v>
      </c>
      <c r="K4530" t="s">
        <v>872</v>
      </c>
      <c r="L4530">
        <v>0</v>
      </c>
      <c r="N4530" t="s">
        <v>351</v>
      </c>
      <c r="O4530">
        <v>1</v>
      </c>
      <c r="P4530" t="s">
        <v>352</v>
      </c>
      <c r="Q4530" t="s">
        <v>353</v>
      </c>
      <c r="R4530" t="s">
        <v>201</v>
      </c>
      <c r="S4530">
        <v>1</v>
      </c>
      <c r="T4530">
        <v>1</v>
      </c>
      <c r="U4530">
        <v>86112</v>
      </c>
      <c r="V4530">
        <v>86112</v>
      </c>
    </row>
    <row r="4531" spans="1:22">
      <c r="A4531" t="s">
        <v>196</v>
      </c>
      <c r="B4531">
        <v>35</v>
      </c>
      <c r="C4531" t="s">
        <v>47</v>
      </c>
      <c r="D4531">
        <v>200</v>
      </c>
      <c r="E4531" t="s">
        <v>1834</v>
      </c>
      <c r="F4531">
        <v>1005</v>
      </c>
      <c r="G4531" t="s">
        <v>47</v>
      </c>
      <c r="H4531">
        <v>2005</v>
      </c>
      <c r="I4531" t="s">
        <v>47</v>
      </c>
      <c r="J4531">
        <v>3012</v>
      </c>
      <c r="K4531" t="s">
        <v>905</v>
      </c>
      <c r="L4531">
        <v>4008</v>
      </c>
      <c r="M4531" t="s">
        <v>906</v>
      </c>
      <c r="N4531" t="s">
        <v>249</v>
      </c>
      <c r="O4531">
        <v>0</v>
      </c>
      <c r="P4531">
        <v>1508</v>
      </c>
      <c r="Q4531" t="s">
        <v>907</v>
      </c>
      <c r="R4531" t="s">
        <v>201</v>
      </c>
      <c r="S4531">
        <v>1</v>
      </c>
      <c r="T4531">
        <v>1</v>
      </c>
      <c r="U4531">
        <v>93384</v>
      </c>
      <c r="V4531">
        <v>93384</v>
      </c>
    </row>
    <row r="4532" spans="1:22">
      <c r="A4532" t="s">
        <v>196</v>
      </c>
      <c r="B4532">
        <v>35</v>
      </c>
      <c r="C4532" t="s">
        <v>47</v>
      </c>
      <c r="D4532">
        <v>200</v>
      </c>
      <c r="E4532" t="s">
        <v>1834</v>
      </c>
      <c r="F4532">
        <v>1005</v>
      </c>
      <c r="G4532" t="s">
        <v>47</v>
      </c>
      <c r="H4532">
        <v>2005</v>
      </c>
      <c r="I4532" t="s">
        <v>47</v>
      </c>
      <c r="J4532">
        <v>3012</v>
      </c>
      <c r="K4532" t="s">
        <v>905</v>
      </c>
      <c r="L4532">
        <v>4008</v>
      </c>
      <c r="M4532" t="s">
        <v>906</v>
      </c>
      <c r="N4532" t="s">
        <v>255</v>
      </c>
      <c r="O4532">
        <v>1</v>
      </c>
      <c r="P4532">
        <v>1507</v>
      </c>
      <c r="Q4532" t="s">
        <v>910</v>
      </c>
      <c r="R4532" t="s">
        <v>201</v>
      </c>
      <c r="S4532">
        <v>1</v>
      </c>
      <c r="T4532">
        <v>1</v>
      </c>
      <c r="U4532">
        <v>97956</v>
      </c>
      <c r="V4532">
        <v>97956</v>
      </c>
    </row>
    <row r="4533" spans="1:22">
      <c r="A4533" t="s">
        <v>196</v>
      </c>
      <c r="B4533">
        <v>35</v>
      </c>
      <c r="C4533" t="s">
        <v>47</v>
      </c>
      <c r="D4533">
        <v>200</v>
      </c>
      <c r="E4533" t="s">
        <v>1834</v>
      </c>
      <c r="F4533">
        <v>1005</v>
      </c>
      <c r="G4533" t="s">
        <v>47</v>
      </c>
      <c r="H4533">
        <v>2005</v>
      </c>
      <c r="I4533" t="s">
        <v>47</v>
      </c>
      <c r="J4533">
        <v>3012</v>
      </c>
      <c r="K4533" t="s">
        <v>905</v>
      </c>
      <c r="L4533">
        <v>4008</v>
      </c>
      <c r="M4533" t="s">
        <v>906</v>
      </c>
      <c r="N4533" t="s">
        <v>199</v>
      </c>
      <c r="O4533">
        <v>0</v>
      </c>
      <c r="P4533">
        <v>15</v>
      </c>
      <c r="Q4533" t="s">
        <v>264</v>
      </c>
      <c r="R4533" t="s">
        <v>201</v>
      </c>
      <c r="S4533">
        <v>0</v>
      </c>
      <c r="T4533">
        <v>0</v>
      </c>
      <c r="U4533">
        <v>5049</v>
      </c>
      <c r="V4533">
        <v>5049</v>
      </c>
    </row>
    <row r="4534" spans="1:22">
      <c r="A4534" t="s">
        <v>196</v>
      </c>
      <c r="B4534">
        <v>35</v>
      </c>
      <c r="C4534" t="s">
        <v>47</v>
      </c>
      <c r="D4534">
        <v>200</v>
      </c>
      <c r="E4534" t="s">
        <v>1834</v>
      </c>
      <c r="F4534">
        <v>1005</v>
      </c>
      <c r="G4534" t="s">
        <v>47</v>
      </c>
      <c r="H4534">
        <v>2005</v>
      </c>
      <c r="I4534" t="s">
        <v>47</v>
      </c>
      <c r="J4534">
        <v>3012</v>
      </c>
      <c r="K4534" t="s">
        <v>905</v>
      </c>
      <c r="L4534">
        <v>4106</v>
      </c>
      <c r="M4534" t="s">
        <v>909</v>
      </c>
      <c r="N4534" t="s">
        <v>255</v>
      </c>
      <c r="O4534">
        <v>1</v>
      </c>
      <c r="P4534">
        <v>1507</v>
      </c>
      <c r="Q4534" t="s">
        <v>910</v>
      </c>
      <c r="R4534" t="s">
        <v>201</v>
      </c>
      <c r="S4534">
        <v>1</v>
      </c>
      <c r="T4534">
        <v>1</v>
      </c>
      <c r="U4534">
        <v>124848</v>
      </c>
      <c r="V4534">
        <v>124848</v>
      </c>
    </row>
    <row r="4535" spans="1:22">
      <c r="A4535" t="s">
        <v>196</v>
      </c>
      <c r="B4535">
        <v>35</v>
      </c>
      <c r="C4535" t="s">
        <v>47</v>
      </c>
      <c r="D4535">
        <v>200</v>
      </c>
      <c r="E4535" t="s">
        <v>1834</v>
      </c>
      <c r="F4535">
        <v>1005</v>
      </c>
      <c r="G4535" t="s">
        <v>47</v>
      </c>
      <c r="H4535">
        <v>2005</v>
      </c>
      <c r="I4535" t="s">
        <v>47</v>
      </c>
      <c r="J4535">
        <v>3012</v>
      </c>
      <c r="K4535" t="s">
        <v>905</v>
      </c>
      <c r="L4535">
        <v>4106</v>
      </c>
      <c r="M4535" t="s">
        <v>909</v>
      </c>
      <c r="N4535" t="s">
        <v>255</v>
      </c>
      <c r="O4535">
        <v>1</v>
      </c>
      <c r="P4535">
        <v>1507</v>
      </c>
      <c r="Q4535" t="s">
        <v>910</v>
      </c>
      <c r="R4535" t="s">
        <v>201</v>
      </c>
      <c r="S4535">
        <v>1</v>
      </c>
      <c r="T4535">
        <v>1</v>
      </c>
      <c r="U4535">
        <v>108576</v>
      </c>
      <c r="V4535">
        <v>108576</v>
      </c>
    </row>
    <row r="4536" spans="1:22">
      <c r="A4536" t="s">
        <v>196</v>
      </c>
      <c r="B4536">
        <v>35</v>
      </c>
      <c r="C4536" t="s">
        <v>47</v>
      </c>
      <c r="D4536">
        <v>200</v>
      </c>
      <c r="E4536" t="s">
        <v>1834</v>
      </c>
      <c r="F4536">
        <v>1005</v>
      </c>
      <c r="G4536" t="s">
        <v>47</v>
      </c>
      <c r="H4536">
        <v>2005</v>
      </c>
      <c r="I4536" t="s">
        <v>47</v>
      </c>
      <c r="J4536">
        <v>3012</v>
      </c>
      <c r="K4536" t="s">
        <v>905</v>
      </c>
      <c r="L4536">
        <v>4106</v>
      </c>
      <c r="M4536" t="s">
        <v>909</v>
      </c>
      <c r="N4536" t="s">
        <v>199</v>
      </c>
      <c r="O4536">
        <v>0</v>
      </c>
      <c r="P4536">
        <v>15</v>
      </c>
      <c r="Q4536" t="s">
        <v>264</v>
      </c>
      <c r="R4536" t="s">
        <v>201</v>
      </c>
      <c r="S4536">
        <v>0</v>
      </c>
      <c r="T4536">
        <v>0</v>
      </c>
      <c r="U4536">
        <v>1178</v>
      </c>
      <c r="V4536">
        <v>1178</v>
      </c>
    </row>
    <row r="4537" spans="1:22">
      <c r="A4537" t="s">
        <v>196</v>
      </c>
      <c r="B4537">
        <v>35</v>
      </c>
      <c r="C4537" t="s">
        <v>47</v>
      </c>
      <c r="D4537">
        <v>200</v>
      </c>
      <c r="E4537" t="s">
        <v>1834</v>
      </c>
      <c r="F4537">
        <v>1005</v>
      </c>
      <c r="G4537" t="s">
        <v>47</v>
      </c>
      <c r="H4537">
        <v>2005</v>
      </c>
      <c r="I4537" t="s">
        <v>47</v>
      </c>
      <c r="J4537">
        <v>3024</v>
      </c>
      <c r="K4537" t="s">
        <v>917</v>
      </c>
      <c r="L4537">
        <v>4031</v>
      </c>
      <c r="M4537" t="s">
        <v>918</v>
      </c>
      <c r="N4537" t="s">
        <v>688</v>
      </c>
      <c r="O4537">
        <v>1</v>
      </c>
      <c r="P4537">
        <v>1504</v>
      </c>
      <c r="Q4537" t="s">
        <v>921</v>
      </c>
      <c r="R4537" t="s">
        <v>201</v>
      </c>
      <c r="S4537">
        <v>1</v>
      </c>
      <c r="T4537">
        <v>1</v>
      </c>
      <c r="U4537">
        <v>97488</v>
      </c>
      <c r="V4537">
        <v>97488</v>
      </c>
    </row>
    <row r="4538" spans="1:22">
      <c r="A4538" t="s">
        <v>196</v>
      </c>
      <c r="B4538">
        <v>35</v>
      </c>
      <c r="C4538" t="s">
        <v>47</v>
      </c>
      <c r="D4538">
        <v>200</v>
      </c>
      <c r="E4538" t="s">
        <v>1834</v>
      </c>
      <c r="F4538">
        <v>1005</v>
      </c>
      <c r="G4538" t="s">
        <v>47</v>
      </c>
      <c r="H4538">
        <v>2005</v>
      </c>
      <c r="I4538" t="s">
        <v>47</v>
      </c>
      <c r="J4538">
        <v>3024</v>
      </c>
      <c r="K4538" t="s">
        <v>917</v>
      </c>
      <c r="L4538">
        <v>4031</v>
      </c>
      <c r="M4538" t="s">
        <v>918</v>
      </c>
      <c r="N4538" t="s">
        <v>199</v>
      </c>
      <c r="O4538">
        <v>0</v>
      </c>
      <c r="P4538">
        <v>15</v>
      </c>
      <c r="Q4538" t="s">
        <v>264</v>
      </c>
      <c r="R4538" t="s">
        <v>201</v>
      </c>
      <c r="S4538">
        <v>0</v>
      </c>
      <c r="T4538">
        <v>0</v>
      </c>
      <c r="U4538">
        <v>3663</v>
      </c>
      <c r="V4538">
        <v>3663</v>
      </c>
    </row>
    <row r="4539" spans="1:22">
      <c r="A4539" t="s">
        <v>196</v>
      </c>
      <c r="B4539">
        <v>38</v>
      </c>
      <c r="C4539" t="s">
        <v>922</v>
      </c>
      <c r="D4539">
        <v>200</v>
      </c>
      <c r="E4539" t="s">
        <v>1834</v>
      </c>
      <c r="F4539">
        <v>1005</v>
      </c>
      <c r="G4539" t="s">
        <v>923</v>
      </c>
      <c r="H4539">
        <v>2140</v>
      </c>
      <c r="I4539" t="s">
        <v>25</v>
      </c>
      <c r="J4539">
        <v>3214</v>
      </c>
      <c r="K4539" t="s">
        <v>1026</v>
      </c>
      <c r="L4539">
        <v>0</v>
      </c>
      <c r="N4539" t="s">
        <v>351</v>
      </c>
      <c r="O4539">
        <v>1</v>
      </c>
      <c r="P4539" t="s">
        <v>352</v>
      </c>
      <c r="Q4539" t="s">
        <v>353</v>
      </c>
      <c r="R4539" t="s">
        <v>201</v>
      </c>
      <c r="S4539">
        <v>1</v>
      </c>
      <c r="T4539">
        <v>1</v>
      </c>
      <c r="U4539">
        <v>103608</v>
      </c>
      <c r="V4539">
        <v>103608</v>
      </c>
    </row>
    <row r="4540" spans="1:22">
      <c r="A4540" t="s">
        <v>196</v>
      </c>
      <c r="B4540">
        <v>38</v>
      </c>
      <c r="C4540" t="s">
        <v>922</v>
      </c>
      <c r="D4540">
        <v>200</v>
      </c>
      <c r="E4540" t="s">
        <v>1834</v>
      </c>
      <c r="F4540">
        <v>1005</v>
      </c>
      <c r="G4540" t="s">
        <v>923</v>
      </c>
      <c r="H4540">
        <v>2140</v>
      </c>
      <c r="I4540" t="s">
        <v>25</v>
      </c>
      <c r="J4540">
        <v>3214</v>
      </c>
      <c r="K4540" t="s">
        <v>1026</v>
      </c>
      <c r="L4540">
        <v>0</v>
      </c>
      <c r="N4540" t="s">
        <v>622</v>
      </c>
      <c r="O4540">
        <v>1</v>
      </c>
      <c r="P4540" t="s">
        <v>667</v>
      </c>
      <c r="Q4540" t="s">
        <v>205</v>
      </c>
      <c r="R4540" t="s">
        <v>201</v>
      </c>
      <c r="S4540">
        <v>1</v>
      </c>
      <c r="T4540">
        <v>1</v>
      </c>
      <c r="U4540">
        <v>53532</v>
      </c>
      <c r="V4540">
        <v>53532</v>
      </c>
    </row>
    <row r="4541" spans="1:22">
      <c r="A4541" t="s">
        <v>196</v>
      </c>
      <c r="B4541">
        <v>38</v>
      </c>
      <c r="C4541" t="s">
        <v>922</v>
      </c>
      <c r="D4541">
        <v>200</v>
      </c>
      <c r="E4541" t="s">
        <v>1834</v>
      </c>
      <c r="F4541">
        <v>1005</v>
      </c>
      <c r="G4541" t="s">
        <v>923</v>
      </c>
      <c r="H4541">
        <v>2140</v>
      </c>
      <c r="I4541" t="s">
        <v>25</v>
      </c>
      <c r="J4541">
        <v>3214</v>
      </c>
      <c r="K4541" t="s">
        <v>1026</v>
      </c>
      <c r="L4541">
        <v>0</v>
      </c>
      <c r="N4541" t="s">
        <v>199</v>
      </c>
      <c r="O4541">
        <v>0</v>
      </c>
      <c r="P4541">
        <v>15</v>
      </c>
      <c r="Q4541" t="s">
        <v>264</v>
      </c>
      <c r="R4541" t="s">
        <v>201</v>
      </c>
      <c r="S4541">
        <v>0</v>
      </c>
      <c r="T4541">
        <v>0</v>
      </c>
      <c r="U4541">
        <v>5098</v>
      </c>
      <c r="V4541">
        <v>5098</v>
      </c>
    </row>
    <row r="4542" spans="1:22">
      <c r="A4542" t="s">
        <v>196</v>
      </c>
      <c r="B4542">
        <v>38</v>
      </c>
      <c r="C4542" t="s">
        <v>922</v>
      </c>
      <c r="D4542">
        <v>200</v>
      </c>
      <c r="E4542" t="s">
        <v>1834</v>
      </c>
      <c r="F4542">
        <v>1005</v>
      </c>
      <c r="G4542" t="s">
        <v>923</v>
      </c>
      <c r="H4542">
        <v>2140</v>
      </c>
      <c r="I4542" t="s">
        <v>25</v>
      </c>
      <c r="J4542">
        <v>3222</v>
      </c>
      <c r="K4542" t="s">
        <v>1845</v>
      </c>
      <c r="L4542">
        <v>0</v>
      </c>
      <c r="N4542" t="s">
        <v>721</v>
      </c>
      <c r="O4542">
        <v>42</v>
      </c>
      <c r="P4542">
        <v>7638</v>
      </c>
      <c r="Q4542" t="s">
        <v>1036</v>
      </c>
      <c r="R4542" t="s">
        <v>713</v>
      </c>
      <c r="S4542">
        <v>11</v>
      </c>
      <c r="T4542">
        <v>1</v>
      </c>
      <c r="U4542">
        <v>67.8</v>
      </c>
      <c r="V4542">
        <v>1551264</v>
      </c>
    </row>
    <row r="4543" spans="1:22">
      <c r="A4543" t="s">
        <v>196</v>
      </c>
      <c r="B4543">
        <v>38</v>
      </c>
      <c r="C4543" t="s">
        <v>922</v>
      </c>
      <c r="D4543">
        <v>200</v>
      </c>
      <c r="E4543" t="s">
        <v>1834</v>
      </c>
      <c r="F4543">
        <v>1005</v>
      </c>
      <c r="G4543" t="s">
        <v>923</v>
      </c>
      <c r="H4543">
        <v>2140</v>
      </c>
      <c r="I4543" t="s">
        <v>25</v>
      </c>
      <c r="J4543">
        <v>3222</v>
      </c>
      <c r="K4543" t="s">
        <v>1845</v>
      </c>
      <c r="L4543">
        <v>0</v>
      </c>
      <c r="N4543" t="s">
        <v>721</v>
      </c>
      <c r="O4543">
        <v>42</v>
      </c>
      <c r="P4543">
        <v>7634</v>
      </c>
      <c r="Q4543" t="s">
        <v>1037</v>
      </c>
      <c r="R4543" t="s">
        <v>713</v>
      </c>
      <c r="S4543">
        <v>1</v>
      </c>
      <c r="T4543">
        <v>1</v>
      </c>
      <c r="U4543">
        <v>68.8</v>
      </c>
      <c r="V4543">
        <v>143104</v>
      </c>
    </row>
    <row r="4544" spans="1:22">
      <c r="A4544" t="s">
        <v>196</v>
      </c>
      <c r="B4544">
        <v>38</v>
      </c>
      <c r="C4544" t="s">
        <v>922</v>
      </c>
      <c r="D4544">
        <v>200</v>
      </c>
      <c r="E4544" t="s">
        <v>1834</v>
      </c>
      <c r="F4544">
        <v>1005</v>
      </c>
      <c r="G4544" t="s">
        <v>923</v>
      </c>
      <c r="H4544">
        <v>2140</v>
      </c>
      <c r="I4544" t="s">
        <v>25</v>
      </c>
      <c r="J4544">
        <v>3222</v>
      </c>
      <c r="K4544" t="s">
        <v>1845</v>
      </c>
      <c r="L4544">
        <v>0</v>
      </c>
      <c r="N4544" t="s">
        <v>721</v>
      </c>
      <c r="O4544">
        <v>8</v>
      </c>
      <c r="P4544">
        <v>7186</v>
      </c>
      <c r="Q4544" t="s">
        <v>1038</v>
      </c>
      <c r="R4544" t="s">
        <v>713</v>
      </c>
      <c r="S4544">
        <v>4</v>
      </c>
      <c r="T4544">
        <v>1</v>
      </c>
      <c r="U4544">
        <v>49.46</v>
      </c>
      <c r="V4544">
        <v>411507</v>
      </c>
    </row>
    <row r="4545" spans="1:22">
      <c r="A4545" t="s">
        <v>196</v>
      </c>
      <c r="B4545">
        <v>38</v>
      </c>
      <c r="C4545" t="s">
        <v>922</v>
      </c>
      <c r="D4545">
        <v>200</v>
      </c>
      <c r="E4545" t="s">
        <v>1834</v>
      </c>
      <c r="F4545">
        <v>1005</v>
      </c>
      <c r="G4545" t="s">
        <v>923</v>
      </c>
      <c r="H4545">
        <v>2140</v>
      </c>
      <c r="I4545" t="s">
        <v>25</v>
      </c>
      <c r="J4545">
        <v>3222</v>
      </c>
      <c r="K4545" t="s">
        <v>1845</v>
      </c>
      <c r="L4545">
        <v>0</v>
      </c>
      <c r="N4545" t="s">
        <v>721</v>
      </c>
      <c r="O4545">
        <v>8</v>
      </c>
      <c r="P4545">
        <v>7183</v>
      </c>
      <c r="Q4545" t="s">
        <v>986</v>
      </c>
      <c r="R4545" t="s">
        <v>713</v>
      </c>
      <c r="S4545">
        <v>2</v>
      </c>
      <c r="T4545">
        <v>1</v>
      </c>
      <c r="U4545">
        <v>48.73</v>
      </c>
      <c r="V4545">
        <v>202717</v>
      </c>
    </row>
    <row r="4546" spans="1:22">
      <c r="A4546" t="s">
        <v>196</v>
      </c>
      <c r="B4546">
        <v>38</v>
      </c>
      <c r="C4546" t="s">
        <v>922</v>
      </c>
      <c r="D4546">
        <v>200</v>
      </c>
      <c r="E4546" t="s">
        <v>1834</v>
      </c>
      <c r="F4546">
        <v>1005</v>
      </c>
      <c r="G4546" t="s">
        <v>923</v>
      </c>
      <c r="H4546">
        <v>2140</v>
      </c>
      <c r="I4546" t="s">
        <v>25</v>
      </c>
      <c r="J4546">
        <v>3222</v>
      </c>
      <c r="K4546" t="s">
        <v>1845</v>
      </c>
      <c r="L4546">
        <v>0</v>
      </c>
      <c r="N4546" t="s">
        <v>721</v>
      </c>
      <c r="O4546">
        <v>8</v>
      </c>
      <c r="P4546">
        <v>7160</v>
      </c>
      <c r="Q4546" t="s">
        <v>1030</v>
      </c>
      <c r="R4546" t="s">
        <v>713</v>
      </c>
      <c r="S4546">
        <v>5</v>
      </c>
      <c r="T4546">
        <v>1</v>
      </c>
      <c r="U4546">
        <v>33.619999999999997</v>
      </c>
      <c r="V4546">
        <v>349648</v>
      </c>
    </row>
    <row r="4547" spans="1:22">
      <c r="A4547" t="s">
        <v>196</v>
      </c>
      <c r="B4547">
        <v>38</v>
      </c>
      <c r="C4547" t="s">
        <v>922</v>
      </c>
      <c r="D4547">
        <v>200</v>
      </c>
      <c r="E4547" t="s">
        <v>1834</v>
      </c>
      <c r="F4547">
        <v>1005</v>
      </c>
      <c r="G4547" t="s">
        <v>923</v>
      </c>
      <c r="H4547">
        <v>2140</v>
      </c>
      <c r="I4547" t="s">
        <v>25</v>
      </c>
      <c r="J4547">
        <v>3222</v>
      </c>
      <c r="K4547" t="s">
        <v>1845</v>
      </c>
      <c r="L4547">
        <v>0</v>
      </c>
      <c r="N4547" t="s">
        <v>1040</v>
      </c>
      <c r="O4547">
        <v>8</v>
      </c>
      <c r="P4547">
        <v>7136</v>
      </c>
      <c r="Q4547" t="s">
        <v>1041</v>
      </c>
      <c r="R4547" t="s">
        <v>201</v>
      </c>
      <c r="S4547">
        <v>1</v>
      </c>
      <c r="T4547">
        <v>1</v>
      </c>
      <c r="U4547">
        <v>108528</v>
      </c>
      <c r="V4547">
        <v>108528</v>
      </c>
    </row>
    <row r="4548" spans="1:22">
      <c r="A4548" t="s">
        <v>196</v>
      </c>
      <c r="B4548">
        <v>38</v>
      </c>
      <c r="C4548" t="s">
        <v>922</v>
      </c>
      <c r="D4548">
        <v>200</v>
      </c>
      <c r="E4548" t="s">
        <v>1834</v>
      </c>
      <c r="F4548">
        <v>1005</v>
      </c>
      <c r="G4548" t="s">
        <v>923</v>
      </c>
      <c r="H4548">
        <v>2140</v>
      </c>
      <c r="I4548" t="s">
        <v>25</v>
      </c>
      <c r="J4548">
        <v>3222</v>
      </c>
      <c r="K4548" t="s">
        <v>1845</v>
      </c>
      <c r="L4548">
        <v>0</v>
      </c>
      <c r="N4548" t="s">
        <v>1040</v>
      </c>
      <c r="O4548">
        <v>8</v>
      </c>
      <c r="P4548">
        <v>7136</v>
      </c>
      <c r="Q4548" t="s">
        <v>1041</v>
      </c>
      <c r="R4548" t="s">
        <v>201</v>
      </c>
      <c r="S4548">
        <v>1</v>
      </c>
      <c r="T4548">
        <v>1</v>
      </c>
      <c r="U4548">
        <v>64440</v>
      </c>
      <c r="V4548">
        <v>64440</v>
      </c>
    </row>
    <row r="4549" spans="1:22">
      <c r="A4549" t="s">
        <v>196</v>
      </c>
      <c r="B4549">
        <v>38</v>
      </c>
      <c r="C4549" t="s">
        <v>922</v>
      </c>
      <c r="D4549">
        <v>200</v>
      </c>
      <c r="E4549" t="s">
        <v>1834</v>
      </c>
      <c r="F4549">
        <v>1005</v>
      </c>
      <c r="G4549" t="s">
        <v>923</v>
      </c>
      <c r="H4549">
        <v>2140</v>
      </c>
      <c r="I4549" t="s">
        <v>25</v>
      </c>
      <c r="J4549">
        <v>3222</v>
      </c>
      <c r="K4549" t="s">
        <v>1845</v>
      </c>
      <c r="L4549">
        <v>0</v>
      </c>
      <c r="N4549" t="s">
        <v>249</v>
      </c>
      <c r="O4549">
        <v>10</v>
      </c>
      <c r="P4549">
        <v>7047</v>
      </c>
      <c r="Q4549" t="s">
        <v>1043</v>
      </c>
      <c r="R4549" t="s">
        <v>201</v>
      </c>
      <c r="S4549">
        <v>1</v>
      </c>
      <c r="T4549">
        <v>1</v>
      </c>
      <c r="U4549">
        <v>150072</v>
      </c>
      <c r="V4549">
        <v>150072</v>
      </c>
    </row>
    <row r="4550" spans="1:22">
      <c r="A4550" t="s">
        <v>196</v>
      </c>
      <c r="B4550">
        <v>38</v>
      </c>
      <c r="C4550" t="s">
        <v>922</v>
      </c>
      <c r="D4550">
        <v>200</v>
      </c>
      <c r="E4550" t="s">
        <v>1834</v>
      </c>
      <c r="F4550">
        <v>1005</v>
      </c>
      <c r="G4550" t="s">
        <v>923</v>
      </c>
      <c r="H4550">
        <v>2140</v>
      </c>
      <c r="I4550" t="s">
        <v>25</v>
      </c>
      <c r="J4550">
        <v>3222</v>
      </c>
      <c r="K4550" t="s">
        <v>1845</v>
      </c>
      <c r="L4550">
        <v>0</v>
      </c>
      <c r="N4550" t="s">
        <v>721</v>
      </c>
      <c r="O4550">
        <v>36</v>
      </c>
      <c r="P4550">
        <v>6679</v>
      </c>
      <c r="Q4550" t="s">
        <v>1044</v>
      </c>
      <c r="R4550" t="s">
        <v>713</v>
      </c>
      <c r="S4550">
        <v>3</v>
      </c>
      <c r="T4550">
        <v>1</v>
      </c>
      <c r="U4550">
        <v>64.39</v>
      </c>
      <c r="V4550">
        <v>401794</v>
      </c>
    </row>
    <row r="4551" spans="1:22">
      <c r="A4551" t="s">
        <v>196</v>
      </c>
      <c r="B4551">
        <v>38</v>
      </c>
      <c r="C4551" t="s">
        <v>922</v>
      </c>
      <c r="D4551">
        <v>200</v>
      </c>
      <c r="E4551" t="s">
        <v>1834</v>
      </c>
      <c r="F4551">
        <v>1005</v>
      </c>
      <c r="G4551" t="s">
        <v>923</v>
      </c>
      <c r="H4551">
        <v>2140</v>
      </c>
      <c r="I4551" t="s">
        <v>25</v>
      </c>
      <c r="J4551">
        <v>3222</v>
      </c>
      <c r="K4551" t="s">
        <v>1845</v>
      </c>
      <c r="L4551">
        <v>0</v>
      </c>
      <c r="N4551" t="s">
        <v>721</v>
      </c>
      <c r="O4551">
        <v>36</v>
      </c>
      <c r="P4551">
        <v>6673</v>
      </c>
      <c r="Q4551" t="s">
        <v>1045</v>
      </c>
      <c r="R4551" t="s">
        <v>713</v>
      </c>
      <c r="S4551">
        <v>14</v>
      </c>
      <c r="T4551">
        <v>1</v>
      </c>
      <c r="U4551">
        <v>60.39</v>
      </c>
      <c r="V4551">
        <v>1758557</v>
      </c>
    </row>
    <row r="4552" spans="1:22">
      <c r="A4552" t="s">
        <v>196</v>
      </c>
      <c r="B4552">
        <v>38</v>
      </c>
      <c r="C4552" t="s">
        <v>922</v>
      </c>
      <c r="D4552">
        <v>200</v>
      </c>
      <c r="E4552" t="s">
        <v>1834</v>
      </c>
      <c r="F4552">
        <v>1005</v>
      </c>
      <c r="G4552" t="s">
        <v>923</v>
      </c>
      <c r="H4552">
        <v>2140</v>
      </c>
      <c r="I4552" t="s">
        <v>25</v>
      </c>
      <c r="J4552">
        <v>3222</v>
      </c>
      <c r="K4552" t="s">
        <v>1845</v>
      </c>
      <c r="L4552">
        <v>0</v>
      </c>
      <c r="N4552" t="s">
        <v>721</v>
      </c>
      <c r="O4552">
        <v>24</v>
      </c>
      <c r="P4552">
        <v>6605</v>
      </c>
      <c r="Q4552" t="s">
        <v>1047</v>
      </c>
      <c r="R4552" t="s">
        <v>713</v>
      </c>
      <c r="S4552">
        <v>2</v>
      </c>
      <c r="T4552">
        <v>1</v>
      </c>
      <c r="U4552">
        <v>56.1</v>
      </c>
      <c r="V4552">
        <v>233376</v>
      </c>
    </row>
    <row r="4553" spans="1:22">
      <c r="A4553" t="s">
        <v>196</v>
      </c>
      <c r="B4553">
        <v>38</v>
      </c>
      <c r="C4553" t="s">
        <v>922</v>
      </c>
      <c r="D4553">
        <v>200</v>
      </c>
      <c r="E4553" t="s">
        <v>1834</v>
      </c>
      <c r="F4553">
        <v>1005</v>
      </c>
      <c r="G4553" t="s">
        <v>923</v>
      </c>
      <c r="H4553">
        <v>2140</v>
      </c>
      <c r="I4553" t="s">
        <v>25</v>
      </c>
      <c r="J4553">
        <v>3222</v>
      </c>
      <c r="K4553" t="s">
        <v>1845</v>
      </c>
      <c r="L4553">
        <v>0</v>
      </c>
      <c r="N4553" t="s">
        <v>721</v>
      </c>
      <c r="O4553">
        <v>32</v>
      </c>
      <c r="P4553">
        <v>5034</v>
      </c>
      <c r="Q4553" t="s">
        <v>1049</v>
      </c>
      <c r="R4553" t="s">
        <v>713</v>
      </c>
      <c r="S4553">
        <v>3</v>
      </c>
      <c r="T4553">
        <v>1</v>
      </c>
      <c r="U4553">
        <v>57.75</v>
      </c>
      <c r="V4553">
        <v>360360</v>
      </c>
    </row>
    <row r="4554" spans="1:22">
      <c r="A4554" t="s">
        <v>196</v>
      </c>
      <c r="B4554">
        <v>38</v>
      </c>
      <c r="C4554" t="s">
        <v>922</v>
      </c>
      <c r="D4554">
        <v>200</v>
      </c>
      <c r="E4554" t="s">
        <v>1834</v>
      </c>
      <c r="F4554">
        <v>1005</v>
      </c>
      <c r="G4554" t="s">
        <v>923</v>
      </c>
      <c r="H4554">
        <v>2140</v>
      </c>
      <c r="I4554" t="s">
        <v>25</v>
      </c>
      <c r="J4554">
        <v>3222</v>
      </c>
      <c r="K4554" t="s">
        <v>1845</v>
      </c>
      <c r="L4554">
        <v>0</v>
      </c>
      <c r="N4554" t="s">
        <v>622</v>
      </c>
      <c r="O4554">
        <v>1</v>
      </c>
      <c r="P4554" t="s">
        <v>667</v>
      </c>
      <c r="Q4554" t="s">
        <v>205</v>
      </c>
      <c r="R4554" t="s">
        <v>201</v>
      </c>
      <c r="S4554">
        <v>1</v>
      </c>
      <c r="T4554">
        <v>1</v>
      </c>
      <c r="U4554">
        <v>90144</v>
      </c>
      <c r="V4554">
        <v>90144</v>
      </c>
    </row>
    <row r="4555" spans="1:22">
      <c r="A4555" t="s">
        <v>196</v>
      </c>
      <c r="B4555">
        <v>38</v>
      </c>
      <c r="C4555" t="s">
        <v>922</v>
      </c>
      <c r="D4555">
        <v>200</v>
      </c>
      <c r="E4555" t="s">
        <v>1834</v>
      </c>
      <c r="F4555">
        <v>1005</v>
      </c>
      <c r="G4555" t="s">
        <v>923</v>
      </c>
      <c r="H4555">
        <v>2140</v>
      </c>
      <c r="I4555" t="s">
        <v>25</v>
      </c>
      <c r="J4555">
        <v>3222</v>
      </c>
      <c r="K4555" t="s">
        <v>1845</v>
      </c>
      <c r="L4555">
        <v>0</v>
      </c>
      <c r="N4555" t="s">
        <v>199</v>
      </c>
      <c r="O4555">
        <v>0</v>
      </c>
      <c r="P4555">
        <v>15</v>
      </c>
      <c r="Q4555" t="s">
        <v>264</v>
      </c>
      <c r="R4555" t="s">
        <v>201</v>
      </c>
      <c r="S4555">
        <v>0</v>
      </c>
      <c r="T4555">
        <v>0</v>
      </c>
      <c r="U4555">
        <v>1518</v>
      </c>
      <c r="V4555">
        <v>1518</v>
      </c>
    </row>
    <row r="4556" spans="1:22">
      <c r="A4556" t="s">
        <v>196</v>
      </c>
      <c r="B4556">
        <v>38</v>
      </c>
      <c r="C4556" t="s">
        <v>922</v>
      </c>
      <c r="D4556">
        <v>200</v>
      </c>
      <c r="E4556" t="s">
        <v>1834</v>
      </c>
      <c r="F4556">
        <v>1005</v>
      </c>
      <c r="G4556" t="s">
        <v>923</v>
      </c>
      <c r="H4556">
        <v>2140</v>
      </c>
      <c r="I4556" t="s">
        <v>25</v>
      </c>
      <c r="J4556">
        <v>3222</v>
      </c>
      <c r="K4556" t="s">
        <v>1845</v>
      </c>
      <c r="L4556">
        <v>0</v>
      </c>
      <c r="N4556" t="s">
        <v>199</v>
      </c>
      <c r="O4556">
        <v>0</v>
      </c>
      <c r="P4556">
        <v>12</v>
      </c>
      <c r="Q4556" t="s">
        <v>724</v>
      </c>
      <c r="R4556" t="s">
        <v>201</v>
      </c>
      <c r="S4556">
        <v>0</v>
      </c>
      <c r="T4556">
        <v>0</v>
      </c>
      <c r="U4556">
        <v>81186</v>
      </c>
      <c r="V4556">
        <v>81186</v>
      </c>
    </row>
    <row r="4557" spans="1:22">
      <c r="A4557" t="s">
        <v>196</v>
      </c>
      <c r="B4557">
        <v>67</v>
      </c>
      <c r="C4557" t="s">
        <v>33</v>
      </c>
      <c r="D4557">
        <v>200</v>
      </c>
      <c r="E4557" t="s">
        <v>1834</v>
      </c>
      <c r="F4557">
        <v>1005</v>
      </c>
      <c r="G4557" t="s">
        <v>33</v>
      </c>
      <c r="H4557">
        <v>2005</v>
      </c>
      <c r="I4557" t="s">
        <v>33</v>
      </c>
      <c r="J4557">
        <v>3016</v>
      </c>
      <c r="K4557" t="s">
        <v>1599</v>
      </c>
      <c r="L4557">
        <v>4272</v>
      </c>
      <c r="M4557" t="s">
        <v>1605</v>
      </c>
      <c r="N4557" t="s">
        <v>721</v>
      </c>
      <c r="O4557">
        <v>16</v>
      </c>
      <c r="P4557">
        <v>2231</v>
      </c>
      <c r="Q4557" t="s">
        <v>1846</v>
      </c>
      <c r="R4557" t="s">
        <v>712</v>
      </c>
      <c r="S4557">
        <v>3</v>
      </c>
      <c r="T4557">
        <v>1</v>
      </c>
      <c r="U4557">
        <v>11119.33</v>
      </c>
      <c r="V4557">
        <v>400296</v>
      </c>
    </row>
    <row r="4558" spans="1:22">
      <c r="A4558" t="s">
        <v>196</v>
      </c>
      <c r="B4558">
        <v>67</v>
      </c>
      <c r="C4558" t="s">
        <v>33</v>
      </c>
      <c r="D4558">
        <v>200</v>
      </c>
      <c r="E4558" t="s">
        <v>1834</v>
      </c>
      <c r="F4558">
        <v>1005</v>
      </c>
      <c r="G4558" t="s">
        <v>33</v>
      </c>
      <c r="H4558">
        <v>2005</v>
      </c>
      <c r="I4558" t="s">
        <v>33</v>
      </c>
      <c r="J4558">
        <v>3016</v>
      </c>
      <c r="K4558" t="s">
        <v>1599</v>
      </c>
      <c r="L4558">
        <v>4272</v>
      </c>
      <c r="M4558" t="s">
        <v>1605</v>
      </c>
      <c r="N4558" t="s">
        <v>199</v>
      </c>
      <c r="O4558">
        <v>0</v>
      </c>
      <c r="P4558">
        <v>12</v>
      </c>
      <c r="Q4558" t="s">
        <v>724</v>
      </c>
      <c r="R4558" t="s">
        <v>201</v>
      </c>
      <c r="S4558">
        <v>0</v>
      </c>
      <c r="T4558">
        <v>0</v>
      </c>
      <c r="U4558">
        <v>6004</v>
      </c>
      <c r="V4558">
        <v>6004</v>
      </c>
    </row>
    <row r="4559" spans="1:22">
      <c r="A4559" t="s">
        <v>196</v>
      </c>
      <c r="B4559">
        <v>67</v>
      </c>
      <c r="C4559" t="s">
        <v>33</v>
      </c>
      <c r="D4559">
        <v>200</v>
      </c>
      <c r="E4559" t="s">
        <v>1834</v>
      </c>
      <c r="F4559">
        <v>1005</v>
      </c>
      <c r="G4559" t="s">
        <v>33</v>
      </c>
      <c r="H4559">
        <v>2005</v>
      </c>
      <c r="I4559" t="s">
        <v>33</v>
      </c>
      <c r="J4559">
        <v>3025</v>
      </c>
      <c r="K4559" t="s">
        <v>1608</v>
      </c>
      <c r="L4559">
        <v>4110</v>
      </c>
      <c r="M4559" t="s">
        <v>1847</v>
      </c>
      <c r="N4559" t="s">
        <v>721</v>
      </c>
      <c r="O4559">
        <v>16</v>
      </c>
      <c r="P4559">
        <v>2235</v>
      </c>
      <c r="Q4559" t="s">
        <v>1848</v>
      </c>
      <c r="R4559" t="s">
        <v>712</v>
      </c>
      <c r="S4559">
        <v>1</v>
      </c>
      <c r="T4559">
        <v>1</v>
      </c>
      <c r="U4559">
        <v>12006.97</v>
      </c>
      <c r="V4559">
        <v>144084</v>
      </c>
    </row>
    <row r="4560" spans="1:22">
      <c r="A4560" t="s">
        <v>196</v>
      </c>
      <c r="B4560">
        <v>67</v>
      </c>
      <c r="C4560" t="s">
        <v>33</v>
      </c>
      <c r="D4560">
        <v>200</v>
      </c>
      <c r="E4560" t="s">
        <v>1834</v>
      </c>
      <c r="F4560">
        <v>1005</v>
      </c>
      <c r="G4560" t="s">
        <v>33</v>
      </c>
      <c r="H4560">
        <v>2005</v>
      </c>
      <c r="I4560" t="s">
        <v>33</v>
      </c>
      <c r="J4560">
        <v>3025</v>
      </c>
      <c r="K4560" t="s">
        <v>1608</v>
      </c>
      <c r="L4560">
        <v>4110</v>
      </c>
      <c r="M4560" t="s">
        <v>1847</v>
      </c>
      <c r="N4560" t="s">
        <v>721</v>
      </c>
      <c r="O4560">
        <v>16</v>
      </c>
      <c r="P4560">
        <v>2233</v>
      </c>
      <c r="Q4560" t="s">
        <v>1849</v>
      </c>
      <c r="R4560" t="s">
        <v>712</v>
      </c>
      <c r="S4560">
        <v>1</v>
      </c>
      <c r="T4560">
        <v>1</v>
      </c>
      <c r="U4560">
        <v>11327.33</v>
      </c>
      <c r="V4560">
        <v>135928</v>
      </c>
    </row>
    <row r="4561" spans="1:22">
      <c r="A4561" t="s">
        <v>196</v>
      </c>
      <c r="B4561">
        <v>67</v>
      </c>
      <c r="C4561" t="s">
        <v>33</v>
      </c>
      <c r="D4561">
        <v>200</v>
      </c>
      <c r="E4561" t="s">
        <v>1834</v>
      </c>
      <c r="F4561">
        <v>1005</v>
      </c>
      <c r="G4561" t="s">
        <v>33</v>
      </c>
      <c r="H4561">
        <v>2005</v>
      </c>
      <c r="I4561" t="s">
        <v>33</v>
      </c>
      <c r="J4561">
        <v>3025</v>
      </c>
      <c r="K4561" t="s">
        <v>1608</v>
      </c>
      <c r="L4561">
        <v>4110</v>
      </c>
      <c r="M4561" t="s">
        <v>1847</v>
      </c>
      <c r="N4561" t="s">
        <v>721</v>
      </c>
      <c r="O4561">
        <v>16</v>
      </c>
      <c r="P4561">
        <v>2231</v>
      </c>
      <c r="Q4561" t="s">
        <v>1846</v>
      </c>
      <c r="R4561" t="s">
        <v>712</v>
      </c>
      <c r="S4561">
        <v>17</v>
      </c>
      <c r="T4561">
        <v>1</v>
      </c>
      <c r="U4561">
        <v>11119.33</v>
      </c>
      <c r="V4561">
        <v>2268343</v>
      </c>
    </row>
    <row r="4562" spans="1:22">
      <c r="A4562" t="s">
        <v>196</v>
      </c>
      <c r="B4562">
        <v>67</v>
      </c>
      <c r="C4562" t="s">
        <v>33</v>
      </c>
      <c r="D4562">
        <v>200</v>
      </c>
      <c r="E4562" t="s">
        <v>1834</v>
      </c>
      <c r="F4562">
        <v>1005</v>
      </c>
      <c r="G4562" t="s">
        <v>33</v>
      </c>
      <c r="H4562">
        <v>2005</v>
      </c>
      <c r="I4562" t="s">
        <v>33</v>
      </c>
      <c r="J4562">
        <v>3025</v>
      </c>
      <c r="K4562" t="s">
        <v>1608</v>
      </c>
      <c r="L4562">
        <v>4110</v>
      </c>
      <c r="M4562" t="s">
        <v>1847</v>
      </c>
      <c r="N4562" t="s">
        <v>622</v>
      </c>
      <c r="O4562">
        <v>1</v>
      </c>
      <c r="P4562" t="s">
        <v>667</v>
      </c>
      <c r="Q4562" t="s">
        <v>205</v>
      </c>
      <c r="R4562" t="s">
        <v>201</v>
      </c>
      <c r="S4562">
        <v>1</v>
      </c>
      <c r="T4562">
        <v>1</v>
      </c>
      <c r="U4562">
        <v>90144</v>
      </c>
      <c r="V4562">
        <v>90144</v>
      </c>
    </row>
    <row r="4563" spans="1:22">
      <c r="A4563" t="s">
        <v>196</v>
      </c>
      <c r="B4563">
        <v>67</v>
      </c>
      <c r="C4563" t="s">
        <v>33</v>
      </c>
      <c r="D4563">
        <v>200</v>
      </c>
      <c r="E4563" t="s">
        <v>1834</v>
      </c>
      <c r="F4563">
        <v>1005</v>
      </c>
      <c r="G4563" t="s">
        <v>33</v>
      </c>
      <c r="H4563">
        <v>2005</v>
      </c>
      <c r="I4563" t="s">
        <v>33</v>
      </c>
      <c r="J4563">
        <v>3025</v>
      </c>
      <c r="K4563" t="s">
        <v>1608</v>
      </c>
      <c r="L4563">
        <v>4110</v>
      </c>
      <c r="M4563" t="s">
        <v>1847</v>
      </c>
      <c r="N4563" t="s">
        <v>199</v>
      </c>
      <c r="O4563">
        <v>0</v>
      </c>
      <c r="P4563">
        <v>12</v>
      </c>
      <c r="Q4563" t="s">
        <v>724</v>
      </c>
      <c r="R4563" t="s">
        <v>201</v>
      </c>
      <c r="S4563">
        <v>0</v>
      </c>
      <c r="T4563">
        <v>0</v>
      </c>
      <c r="U4563">
        <v>38225</v>
      </c>
      <c r="V4563">
        <v>38225</v>
      </c>
    </row>
    <row r="4564" spans="1:22">
      <c r="A4564" t="s">
        <v>196</v>
      </c>
      <c r="B4564">
        <v>67</v>
      </c>
      <c r="C4564" t="s">
        <v>33</v>
      </c>
      <c r="D4564">
        <v>200</v>
      </c>
      <c r="E4564" t="s">
        <v>1834</v>
      </c>
      <c r="F4564">
        <v>1005</v>
      </c>
      <c r="G4564" t="s">
        <v>33</v>
      </c>
      <c r="H4564">
        <v>2005</v>
      </c>
      <c r="I4564" t="s">
        <v>33</v>
      </c>
      <c r="J4564">
        <v>3035</v>
      </c>
      <c r="K4564" t="s">
        <v>1850</v>
      </c>
      <c r="L4564">
        <v>0</v>
      </c>
      <c r="N4564" t="s">
        <v>721</v>
      </c>
      <c r="O4564">
        <v>16</v>
      </c>
      <c r="P4564">
        <v>2237</v>
      </c>
      <c r="Q4564" t="s">
        <v>1851</v>
      </c>
      <c r="R4564" t="s">
        <v>712</v>
      </c>
      <c r="S4564">
        <v>1</v>
      </c>
      <c r="T4564">
        <v>1</v>
      </c>
      <c r="U4564">
        <v>13592.8</v>
      </c>
      <c r="V4564">
        <v>163114</v>
      </c>
    </row>
    <row r="4565" spans="1:22">
      <c r="A4565" t="s">
        <v>196</v>
      </c>
      <c r="B4565">
        <v>67</v>
      </c>
      <c r="C4565" t="s">
        <v>33</v>
      </c>
      <c r="D4565">
        <v>200</v>
      </c>
      <c r="E4565" t="s">
        <v>1834</v>
      </c>
      <c r="F4565">
        <v>1005</v>
      </c>
      <c r="G4565" t="s">
        <v>33</v>
      </c>
      <c r="H4565">
        <v>2005</v>
      </c>
      <c r="I4565" t="s">
        <v>33</v>
      </c>
      <c r="J4565">
        <v>3035</v>
      </c>
      <c r="K4565" t="s">
        <v>1850</v>
      </c>
      <c r="L4565">
        <v>0</v>
      </c>
      <c r="N4565" t="s">
        <v>199</v>
      </c>
      <c r="O4565">
        <v>0</v>
      </c>
      <c r="P4565">
        <v>12</v>
      </c>
      <c r="Q4565" t="s">
        <v>724</v>
      </c>
      <c r="R4565" t="s">
        <v>201</v>
      </c>
      <c r="S4565">
        <v>0</v>
      </c>
      <c r="T4565">
        <v>0</v>
      </c>
      <c r="U4565">
        <v>2447</v>
      </c>
      <c r="V4565">
        <v>2447</v>
      </c>
    </row>
    <row r="4566" spans="1:22">
      <c r="A4566" t="s">
        <v>196</v>
      </c>
      <c r="B4566">
        <v>67</v>
      </c>
      <c r="C4566" t="s">
        <v>33</v>
      </c>
      <c r="D4566">
        <v>200</v>
      </c>
      <c r="E4566" t="s">
        <v>1834</v>
      </c>
      <c r="F4566">
        <v>1005</v>
      </c>
      <c r="G4566" t="s">
        <v>33</v>
      </c>
      <c r="H4566">
        <v>2005</v>
      </c>
      <c r="I4566" t="s">
        <v>33</v>
      </c>
      <c r="J4566">
        <v>3215</v>
      </c>
      <c r="K4566" t="s">
        <v>1593</v>
      </c>
      <c r="L4566">
        <v>0</v>
      </c>
      <c r="N4566" t="s">
        <v>721</v>
      </c>
      <c r="O4566">
        <v>16</v>
      </c>
      <c r="P4566">
        <v>2231</v>
      </c>
      <c r="Q4566" t="s">
        <v>1846</v>
      </c>
      <c r="R4566" t="s">
        <v>712</v>
      </c>
      <c r="S4566">
        <v>8</v>
      </c>
      <c r="T4566">
        <v>1</v>
      </c>
      <c r="U4566">
        <v>11119.33</v>
      </c>
      <c r="V4566">
        <v>1067456</v>
      </c>
    </row>
    <row r="4567" spans="1:22">
      <c r="A4567" t="s">
        <v>196</v>
      </c>
      <c r="B4567">
        <v>67</v>
      </c>
      <c r="C4567" t="s">
        <v>33</v>
      </c>
      <c r="D4567">
        <v>200</v>
      </c>
      <c r="E4567" t="s">
        <v>1834</v>
      </c>
      <c r="F4567">
        <v>1005</v>
      </c>
      <c r="G4567" t="s">
        <v>33</v>
      </c>
      <c r="H4567">
        <v>2005</v>
      </c>
      <c r="I4567" t="s">
        <v>33</v>
      </c>
      <c r="J4567">
        <v>3215</v>
      </c>
      <c r="K4567" t="s">
        <v>1593</v>
      </c>
      <c r="L4567">
        <v>0</v>
      </c>
      <c r="N4567" t="s">
        <v>199</v>
      </c>
      <c r="O4567">
        <v>0</v>
      </c>
      <c r="P4567">
        <v>12</v>
      </c>
      <c r="Q4567" t="s">
        <v>724</v>
      </c>
      <c r="R4567" t="s">
        <v>201</v>
      </c>
      <c r="S4567">
        <v>0</v>
      </c>
      <c r="T4567">
        <v>0</v>
      </c>
      <c r="U4567">
        <v>16012</v>
      </c>
      <c r="V4567">
        <v>16012</v>
      </c>
    </row>
    <row r="4568" spans="1:22">
      <c r="A4568" t="s">
        <v>196</v>
      </c>
      <c r="B4568">
        <v>88</v>
      </c>
      <c r="C4568" t="s">
        <v>1852</v>
      </c>
      <c r="D4568">
        <v>200</v>
      </c>
      <c r="E4568" t="s">
        <v>1834</v>
      </c>
      <c r="F4568">
        <v>1005</v>
      </c>
      <c r="G4568" t="s">
        <v>46</v>
      </c>
      <c r="H4568">
        <v>2005</v>
      </c>
      <c r="I4568" t="s">
        <v>46</v>
      </c>
      <c r="J4568">
        <v>3003</v>
      </c>
      <c r="K4568" t="s">
        <v>1853</v>
      </c>
      <c r="L4568">
        <v>0</v>
      </c>
      <c r="N4568" t="s">
        <v>199</v>
      </c>
      <c r="O4568">
        <v>9</v>
      </c>
      <c r="P4568">
        <v>9988</v>
      </c>
      <c r="Q4568" t="s">
        <v>1854</v>
      </c>
      <c r="R4568" t="s">
        <v>201</v>
      </c>
      <c r="S4568">
        <v>1</v>
      </c>
      <c r="T4568">
        <v>1</v>
      </c>
      <c r="U4568">
        <v>227988</v>
      </c>
      <c r="V4568">
        <v>227988</v>
      </c>
    </row>
    <row r="4569" spans="1:22">
      <c r="A4569" t="s">
        <v>196</v>
      </c>
      <c r="B4569">
        <v>88</v>
      </c>
      <c r="C4569" t="s">
        <v>1852</v>
      </c>
      <c r="D4569">
        <v>200</v>
      </c>
      <c r="E4569" t="s">
        <v>1834</v>
      </c>
      <c r="F4569">
        <v>1005</v>
      </c>
      <c r="G4569" t="s">
        <v>46</v>
      </c>
      <c r="H4569">
        <v>2005</v>
      </c>
      <c r="I4569" t="s">
        <v>46</v>
      </c>
      <c r="J4569">
        <v>3003</v>
      </c>
      <c r="K4569" t="s">
        <v>1853</v>
      </c>
      <c r="L4569">
        <v>0</v>
      </c>
      <c r="N4569" t="s">
        <v>1297</v>
      </c>
      <c r="O4569">
        <v>0</v>
      </c>
      <c r="P4569">
        <v>9823</v>
      </c>
      <c r="Q4569" t="s">
        <v>600</v>
      </c>
      <c r="R4569" t="s">
        <v>201</v>
      </c>
      <c r="S4569">
        <v>2</v>
      </c>
      <c r="T4569">
        <v>1</v>
      </c>
      <c r="U4569">
        <v>205200</v>
      </c>
      <c r="V4569">
        <v>410400</v>
      </c>
    </row>
    <row r="4570" spans="1:22">
      <c r="A4570" t="s">
        <v>196</v>
      </c>
      <c r="B4570">
        <v>88</v>
      </c>
      <c r="C4570" t="s">
        <v>1852</v>
      </c>
      <c r="D4570">
        <v>200</v>
      </c>
      <c r="E4570" t="s">
        <v>1834</v>
      </c>
      <c r="F4570">
        <v>1005</v>
      </c>
      <c r="G4570" t="s">
        <v>46</v>
      </c>
      <c r="H4570">
        <v>2005</v>
      </c>
      <c r="I4570" t="s">
        <v>46</v>
      </c>
      <c r="J4570">
        <v>3003</v>
      </c>
      <c r="K4570" t="s">
        <v>1853</v>
      </c>
      <c r="L4570">
        <v>0</v>
      </c>
      <c r="N4570" t="s">
        <v>1297</v>
      </c>
      <c r="O4570">
        <v>0</v>
      </c>
      <c r="P4570">
        <v>9823</v>
      </c>
      <c r="Q4570" t="s">
        <v>600</v>
      </c>
      <c r="R4570" t="s">
        <v>201</v>
      </c>
      <c r="S4570">
        <v>2</v>
      </c>
      <c r="T4570">
        <v>1</v>
      </c>
      <c r="U4570">
        <v>184800</v>
      </c>
      <c r="V4570">
        <v>369600</v>
      </c>
    </row>
    <row r="4571" spans="1:22">
      <c r="A4571" t="s">
        <v>196</v>
      </c>
      <c r="B4571">
        <v>88</v>
      </c>
      <c r="C4571" t="s">
        <v>1852</v>
      </c>
      <c r="D4571">
        <v>200</v>
      </c>
      <c r="E4571" t="s">
        <v>1834</v>
      </c>
      <c r="F4571">
        <v>1005</v>
      </c>
      <c r="G4571" t="s">
        <v>46</v>
      </c>
      <c r="H4571">
        <v>2005</v>
      </c>
      <c r="I4571" t="s">
        <v>46</v>
      </c>
      <c r="J4571">
        <v>3003</v>
      </c>
      <c r="K4571" t="s">
        <v>1853</v>
      </c>
      <c r="L4571">
        <v>0</v>
      </c>
      <c r="N4571" t="s">
        <v>1297</v>
      </c>
      <c r="O4571">
        <v>9</v>
      </c>
      <c r="P4571">
        <v>9663</v>
      </c>
      <c r="Q4571" t="s">
        <v>846</v>
      </c>
      <c r="R4571" t="s">
        <v>201</v>
      </c>
      <c r="S4571">
        <v>1</v>
      </c>
      <c r="T4571">
        <v>1</v>
      </c>
      <c r="U4571">
        <v>211752</v>
      </c>
      <c r="V4571">
        <v>211752</v>
      </c>
    </row>
    <row r="4572" spans="1:22">
      <c r="A4572" t="s">
        <v>196</v>
      </c>
      <c r="B4572">
        <v>88</v>
      </c>
      <c r="C4572" t="s">
        <v>1852</v>
      </c>
      <c r="D4572">
        <v>200</v>
      </c>
      <c r="E4572" t="s">
        <v>1834</v>
      </c>
      <c r="F4572">
        <v>1005</v>
      </c>
      <c r="G4572" t="s">
        <v>46</v>
      </c>
      <c r="H4572">
        <v>2005</v>
      </c>
      <c r="I4572" t="s">
        <v>46</v>
      </c>
      <c r="J4572">
        <v>3003</v>
      </c>
      <c r="K4572" t="s">
        <v>1853</v>
      </c>
      <c r="L4572">
        <v>0</v>
      </c>
      <c r="N4572" t="s">
        <v>1314</v>
      </c>
      <c r="O4572">
        <v>0</v>
      </c>
      <c r="P4572" t="s">
        <v>1471</v>
      </c>
      <c r="Q4572" t="s">
        <v>605</v>
      </c>
      <c r="R4572" t="s">
        <v>201</v>
      </c>
      <c r="S4572">
        <v>1</v>
      </c>
      <c r="T4572">
        <v>1</v>
      </c>
      <c r="U4572">
        <v>133836</v>
      </c>
      <c r="V4572">
        <v>133836</v>
      </c>
    </row>
    <row r="4573" spans="1:22">
      <c r="A4573" t="s">
        <v>196</v>
      </c>
      <c r="B4573">
        <v>88</v>
      </c>
      <c r="C4573" t="s">
        <v>1852</v>
      </c>
      <c r="D4573">
        <v>200</v>
      </c>
      <c r="E4573" t="s">
        <v>1834</v>
      </c>
      <c r="F4573">
        <v>1005</v>
      </c>
      <c r="G4573" t="s">
        <v>46</v>
      </c>
      <c r="H4573">
        <v>2005</v>
      </c>
      <c r="I4573" t="s">
        <v>46</v>
      </c>
      <c r="J4573">
        <v>3003</v>
      </c>
      <c r="K4573" t="s">
        <v>1853</v>
      </c>
      <c r="L4573">
        <v>0</v>
      </c>
      <c r="N4573" t="s">
        <v>199</v>
      </c>
      <c r="O4573">
        <v>0</v>
      </c>
      <c r="P4573">
        <v>15</v>
      </c>
      <c r="Q4573" t="s">
        <v>264</v>
      </c>
      <c r="R4573" t="s">
        <v>201</v>
      </c>
      <c r="S4573">
        <v>0</v>
      </c>
      <c r="T4573">
        <v>0</v>
      </c>
      <c r="U4573">
        <v>27488</v>
      </c>
      <c r="V4573">
        <v>27488</v>
      </c>
    </row>
    <row r="4574" spans="1:22">
      <c r="A4574" t="s">
        <v>196</v>
      </c>
      <c r="B4574">
        <v>88</v>
      </c>
      <c r="C4574" t="s">
        <v>1852</v>
      </c>
      <c r="D4574">
        <v>200</v>
      </c>
      <c r="E4574" t="s">
        <v>1834</v>
      </c>
      <c r="F4574">
        <v>1005</v>
      </c>
      <c r="G4574" t="s">
        <v>46</v>
      </c>
      <c r="H4574">
        <v>2005</v>
      </c>
      <c r="I4574" t="s">
        <v>46</v>
      </c>
      <c r="J4574">
        <v>3005</v>
      </c>
      <c r="K4574" t="s">
        <v>1855</v>
      </c>
      <c r="L4574">
        <v>0</v>
      </c>
      <c r="N4574" t="s">
        <v>1294</v>
      </c>
      <c r="O4574">
        <v>0</v>
      </c>
      <c r="P4574">
        <v>9681</v>
      </c>
      <c r="Q4574" t="s">
        <v>338</v>
      </c>
      <c r="R4574" t="s">
        <v>201</v>
      </c>
      <c r="S4574">
        <v>1</v>
      </c>
      <c r="T4574">
        <v>1</v>
      </c>
      <c r="U4574">
        <v>184584</v>
      </c>
      <c r="V4574">
        <v>184584</v>
      </c>
    </row>
    <row r="4575" spans="1:22">
      <c r="A4575" t="s">
        <v>196</v>
      </c>
      <c r="B4575">
        <v>88</v>
      </c>
      <c r="C4575" t="s">
        <v>1852</v>
      </c>
      <c r="D4575">
        <v>200</v>
      </c>
      <c r="E4575" t="s">
        <v>1834</v>
      </c>
      <c r="F4575">
        <v>1005</v>
      </c>
      <c r="G4575" t="s">
        <v>46</v>
      </c>
      <c r="H4575">
        <v>2005</v>
      </c>
      <c r="I4575" t="s">
        <v>46</v>
      </c>
      <c r="J4575">
        <v>3005</v>
      </c>
      <c r="K4575" t="s">
        <v>1855</v>
      </c>
      <c r="L4575">
        <v>0</v>
      </c>
      <c r="N4575" t="s">
        <v>251</v>
      </c>
      <c r="O4575">
        <v>10</v>
      </c>
      <c r="P4575">
        <v>802</v>
      </c>
      <c r="Q4575" t="s">
        <v>252</v>
      </c>
      <c r="R4575" t="s">
        <v>201</v>
      </c>
      <c r="S4575">
        <v>1</v>
      </c>
      <c r="T4575">
        <v>1</v>
      </c>
      <c r="U4575">
        <v>108432</v>
      </c>
      <c r="V4575">
        <v>108432</v>
      </c>
    </row>
    <row r="4576" spans="1:22">
      <c r="A4576" t="s">
        <v>196</v>
      </c>
      <c r="B4576">
        <v>88</v>
      </c>
      <c r="C4576" t="s">
        <v>1852</v>
      </c>
      <c r="D4576">
        <v>200</v>
      </c>
      <c r="E4576" t="s">
        <v>1834</v>
      </c>
      <c r="F4576">
        <v>1005</v>
      </c>
      <c r="G4576" t="s">
        <v>46</v>
      </c>
      <c r="H4576">
        <v>2005</v>
      </c>
      <c r="I4576" t="s">
        <v>46</v>
      </c>
      <c r="J4576">
        <v>3005</v>
      </c>
      <c r="K4576" t="s">
        <v>1855</v>
      </c>
      <c r="L4576">
        <v>0</v>
      </c>
      <c r="N4576" t="s">
        <v>251</v>
      </c>
      <c r="O4576">
        <v>10</v>
      </c>
      <c r="P4576">
        <v>802</v>
      </c>
      <c r="Q4576" t="s">
        <v>252</v>
      </c>
      <c r="R4576" t="s">
        <v>201</v>
      </c>
      <c r="S4576">
        <v>1</v>
      </c>
      <c r="T4576">
        <v>1</v>
      </c>
      <c r="U4576">
        <v>80124</v>
      </c>
      <c r="V4576">
        <v>80124</v>
      </c>
    </row>
    <row r="4577" spans="1:22">
      <c r="A4577" t="s">
        <v>196</v>
      </c>
      <c r="B4577">
        <v>88</v>
      </c>
      <c r="C4577" t="s">
        <v>1852</v>
      </c>
      <c r="D4577">
        <v>200</v>
      </c>
      <c r="E4577" t="s">
        <v>1834</v>
      </c>
      <c r="F4577">
        <v>1005</v>
      </c>
      <c r="G4577" t="s">
        <v>46</v>
      </c>
      <c r="H4577">
        <v>2005</v>
      </c>
      <c r="I4577" t="s">
        <v>46</v>
      </c>
      <c r="J4577">
        <v>3005</v>
      </c>
      <c r="K4577" t="s">
        <v>1855</v>
      </c>
      <c r="L4577">
        <v>0</v>
      </c>
      <c r="N4577" t="s">
        <v>1314</v>
      </c>
      <c r="O4577">
        <v>0</v>
      </c>
      <c r="P4577" t="s">
        <v>1471</v>
      </c>
      <c r="Q4577" t="s">
        <v>605</v>
      </c>
      <c r="R4577" t="s">
        <v>201</v>
      </c>
      <c r="S4577">
        <v>1</v>
      </c>
      <c r="T4577">
        <v>1</v>
      </c>
      <c r="U4577">
        <v>133836</v>
      </c>
      <c r="V4577">
        <v>133836</v>
      </c>
    </row>
    <row r="4578" spans="1:22">
      <c r="A4578" t="s">
        <v>196</v>
      </c>
      <c r="B4578">
        <v>88</v>
      </c>
      <c r="C4578" t="s">
        <v>1852</v>
      </c>
      <c r="D4578">
        <v>200</v>
      </c>
      <c r="E4578" t="s">
        <v>1834</v>
      </c>
      <c r="F4578">
        <v>1005</v>
      </c>
      <c r="G4578" t="s">
        <v>46</v>
      </c>
      <c r="H4578">
        <v>2005</v>
      </c>
      <c r="I4578" t="s">
        <v>46</v>
      </c>
      <c r="J4578">
        <v>3005</v>
      </c>
      <c r="K4578" t="s">
        <v>1855</v>
      </c>
      <c r="L4578">
        <v>0</v>
      </c>
      <c r="N4578" t="s">
        <v>199</v>
      </c>
      <c r="O4578">
        <v>0</v>
      </c>
      <c r="P4578">
        <v>15</v>
      </c>
      <c r="Q4578" t="s">
        <v>264</v>
      </c>
      <c r="R4578" t="s">
        <v>201</v>
      </c>
      <c r="S4578">
        <v>0</v>
      </c>
      <c r="T4578">
        <v>0</v>
      </c>
      <c r="U4578">
        <v>8827</v>
      </c>
      <c r="V4578">
        <v>8827</v>
      </c>
    </row>
    <row r="4579" spans="1:22">
      <c r="A4579" t="s">
        <v>196</v>
      </c>
      <c r="B4579">
        <v>88</v>
      </c>
      <c r="C4579" t="s">
        <v>1852</v>
      </c>
      <c r="D4579">
        <v>200</v>
      </c>
      <c r="E4579" t="s">
        <v>1834</v>
      </c>
      <c r="F4579">
        <v>1005</v>
      </c>
      <c r="G4579" t="s">
        <v>46</v>
      </c>
      <c r="H4579">
        <v>2005</v>
      </c>
      <c r="I4579" t="s">
        <v>46</v>
      </c>
      <c r="J4579">
        <v>3010</v>
      </c>
      <c r="K4579" t="s">
        <v>1856</v>
      </c>
      <c r="L4579">
        <v>0</v>
      </c>
      <c r="N4579" t="s">
        <v>251</v>
      </c>
      <c r="O4579">
        <v>10</v>
      </c>
      <c r="P4579">
        <v>3076</v>
      </c>
      <c r="Q4579" t="s">
        <v>1857</v>
      </c>
      <c r="R4579" t="s">
        <v>201</v>
      </c>
      <c r="S4579">
        <v>2</v>
      </c>
      <c r="T4579">
        <v>1</v>
      </c>
      <c r="U4579">
        <v>76476</v>
      </c>
      <c r="V4579">
        <v>152952</v>
      </c>
    </row>
    <row r="4580" spans="1:22">
      <c r="A4580" t="s">
        <v>196</v>
      </c>
      <c r="B4580">
        <v>88</v>
      </c>
      <c r="C4580" t="s">
        <v>1852</v>
      </c>
      <c r="D4580">
        <v>200</v>
      </c>
      <c r="E4580" t="s">
        <v>1834</v>
      </c>
      <c r="F4580">
        <v>1005</v>
      </c>
      <c r="G4580" t="s">
        <v>46</v>
      </c>
      <c r="H4580">
        <v>2005</v>
      </c>
      <c r="I4580" t="s">
        <v>46</v>
      </c>
      <c r="J4580">
        <v>3010</v>
      </c>
      <c r="K4580" t="s">
        <v>1856</v>
      </c>
      <c r="L4580">
        <v>0</v>
      </c>
      <c r="N4580" t="s">
        <v>255</v>
      </c>
      <c r="O4580">
        <v>1</v>
      </c>
      <c r="P4580">
        <v>729</v>
      </c>
      <c r="Q4580" t="s">
        <v>256</v>
      </c>
      <c r="R4580" t="s">
        <v>201</v>
      </c>
      <c r="S4580">
        <v>1</v>
      </c>
      <c r="T4580">
        <v>1</v>
      </c>
      <c r="U4580">
        <v>97956</v>
      </c>
      <c r="V4580">
        <v>97956</v>
      </c>
    </row>
    <row r="4581" spans="1:22">
      <c r="A4581" t="s">
        <v>196</v>
      </c>
      <c r="B4581">
        <v>88</v>
      </c>
      <c r="C4581" t="s">
        <v>1852</v>
      </c>
      <c r="D4581">
        <v>200</v>
      </c>
      <c r="E4581" t="s">
        <v>1834</v>
      </c>
      <c r="F4581">
        <v>1005</v>
      </c>
      <c r="G4581" t="s">
        <v>46</v>
      </c>
      <c r="H4581">
        <v>2005</v>
      </c>
      <c r="I4581" t="s">
        <v>46</v>
      </c>
      <c r="J4581">
        <v>3010</v>
      </c>
      <c r="K4581" t="s">
        <v>1856</v>
      </c>
      <c r="L4581">
        <v>0</v>
      </c>
      <c r="N4581" t="s">
        <v>257</v>
      </c>
      <c r="O4581">
        <v>9</v>
      </c>
      <c r="P4581">
        <v>705</v>
      </c>
      <c r="Q4581" t="s">
        <v>258</v>
      </c>
      <c r="R4581" t="s">
        <v>201</v>
      </c>
      <c r="S4581">
        <v>1</v>
      </c>
      <c r="T4581">
        <v>1</v>
      </c>
      <c r="U4581">
        <v>143880</v>
      </c>
      <c r="V4581">
        <v>143880</v>
      </c>
    </row>
    <row r="4582" spans="1:22">
      <c r="A4582" t="s">
        <v>196</v>
      </c>
      <c r="B4582">
        <v>88</v>
      </c>
      <c r="C4582" t="s">
        <v>1852</v>
      </c>
      <c r="D4582">
        <v>200</v>
      </c>
      <c r="E4582" t="s">
        <v>1834</v>
      </c>
      <c r="F4582">
        <v>1005</v>
      </c>
      <c r="G4582" t="s">
        <v>46</v>
      </c>
      <c r="H4582">
        <v>2005</v>
      </c>
      <c r="I4582" t="s">
        <v>46</v>
      </c>
      <c r="J4582">
        <v>3010</v>
      </c>
      <c r="K4582" t="s">
        <v>1856</v>
      </c>
      <c r="L4582">
        <v>0</v>
      </c>
      <c r="N4582" t="s">
        <v>257</v>
      </c>
      <c r="O4582">
        <v>9</v>
      </c>
      <c r="P4582">
        <v>705</v>
      </c>
      <c r="Q4582" t="s">
        <v>258</v>
      </c>
      <c r="R4582" t="s">
        <v>201</v>
      </c>
      <c r="S4582">
        <v>1</v>
      </c>
      <c r="T4582">
        <v>1</v>
      </c>
      <c r="U4582">
        <v>139188</v>
      </c>
      <c r="V4582">
        <v>139188</v>
      </c>
    </row>
    <row r="4583" spans="1:22">
      <c r="A4583" t="s">
        <v>196</v>
      </c>
      <c r="B4583">
        <v>88</v>
      </c>
      <c r="C4583" t="s">
        <v>1852</v>
      </c>
      <c r="D4583">
        <v>200</v>
      </c>
      <c r="E4583" t="s">
        <v>1834</v>
      </c>
      <c r="F4583">
        <v>1005</v>
      </c>
      <c r="G4583" t="s">
        <v>46</v>
      </c>
      <c r="H4583">
        <v>2005</v>
      </c>
      <c r="I4583" t="s">
        <v>46</v>
      </c>
      <c r="J4583">
        <v>3010</v>
      </c>
      <c r="K4583" t="s">
        <v>1856</v>
      </c>
      <c r="L4583">
        <v>0</v>
      </c>
      <c r="N4583" t="s">
        <v>199</v>
      </c>
      <c r="O4583">
        <v>0</v>
      </c>
      <c r="P4583">
        <v>15</v>
      </c>
      <c r="Q4583" t="s">
        <v>264</v>
      </c>
      <c r="R4583" t="s">
        <v>201</v>
      </c>
      <c r="S4583">
        <v>0</v>
      </c>
      <c r="T4583">
        <v>0</v>
      </c>
      <c r="U4583">
        <v>5063</v>
      </c>
      <c r="V4583">
        <v>5063</v>
      </c>
    </row>
    <row r="4584" spans="1:22">
      <c r="A4584" t="s">
        <v>196</v>
      </c>
      <c r="B4584">
        <v>88</v>
      </c>
      <c r="C4584" t="s">
        <v>1852</v>
      </c>
      <c r="D4584">
        <v>200</v>
      </c>
      <c r="E4584" t="s">
        <v>1834</v>
      </c>
      <c r="F4584">
        <v>1005</v>
      </c>
      <c r="G4584" t="s">
        <v>46</v>
      </c>
      <c r="H4584">
        <v>2005</v>
      </c>
      <c r="I4584" t="s">
        <v>46</v>
      </c>
      <c r="J4584">
        <v>3015</v>
      </c>
      <c r="K4584" t="s">
        <v>1858</v>
      </c>
      <c r="L4584">
        <v>0</v>
      </c>
      <c r="N4584" t="s">
        <v>287</v>
      </c>
      <c r="O4584">
        <v>0</v>
      </c>
      <c r="P4584">
        <v>1645</v>
      </c>
      <c r="Q4584" t="s">
        <v>1576</v>
      </c>
      <c r="R4584" t="s">
        <v>201</v>
      </c>
      <c r="S4584">
        <v>2</v>
      </c>
      <c r="T4584">
        <v>1</v>
      </c>
      <c r="U4584">
        <v>76020</v>
      </c>
      <c r="V4584">
        <v>152040</v>
      </c>
    </row>
    <row r="4585" spans="1:22">
      <c r="A4585" t="s">
        <v>196</v>
      </c>
      <c r="B4585">
        <v>88</v>
      </c>
      <c r="C4585" t="s">
        <v>1852</v>
      </c>
      <c r="D4585">
        <v>200</v>
      </c>
      <c r="E4585" t="s">
        <v>1834</v>
      </c>
      <c r="F4585">
        <v>1005</v>
      </c>
      <c r="G4585" t="s">
        <v>46</v>
      </c>
      <c r="H4585">
        <v>2005</v>
      </c>
      <c r="I4585" t="s">
        <v>46</v>
      </c>
      <c r="J4585">
        <v>3015</v>
      </c>
      <c r="K4585" t="s">
        <v>1858</v>
      </c>
      <c r="L4585">
        <v>0</v>
      </c>
      <c r="N4585" t="s">
        <v>271</v>
      </c>
      <c r="O4585">
        <v>20</v>
      </c>
      <c r="P4585">
        <v>1633</v>
      </c>
      <c r="Q4585" t="s">
        <v>904</v>
      </c>
      <c r="R4585" t="s">
        <v>201</v>
      </c>
      <c r="S4585">
        <v>1</v>
      </c>
      <c r="T4585">
        <v>1</v>
      </c>
      <c r="U4585">
        <v>121320</v>
      </c>
      <c r="V4585">
        <v>121320</v>
      </c>
    </row>
    <row r="4586" spans="1:22">
      <c r="A4586" t="s">
        <v>196</v>
      </c>
      <c r="B4586">
        <v>88</v>
      </c>
      <c r="C4586" t="s">
        <v>1852</v>
      </c>
      <c r="D4586">
        <v>200</v>
      </c>
      <c r="E4586" t="s">
        <v>1834</v>
      </c>
      <c r="F4586">
        <v>1005</v>
      </c>
      <c r="G4586" t="s">
        <v>46</v>
      </c>
      <c r="H4586">
        <v>2005</v>
      </c>
      <c r="I4586" t="s">
        <v>46</v>
      </c>
      <c r="J4586">
        <v>3015</v>
      </c>
      <c r="K4586" t="s">
        <v>1858</v>
      </c>
      <c r="L4586">
        <v>0</v>
      </c>
      <c r="N4586" t="s">
        <v>271</v>
      </c>
      <c r="O4586">
        <v>20</v>
      </c>
      <c r="P4586">
        <v>1633</v>
      </c>
      <c r="Q4586" t="s">
        <v>904</v>
      </c>
      <c r="R4586" t="s">
        <v>201</v>
      </c>
      <c r="S4586">
        <v>1</v>
      </c>
      <c r="T4586">
        <v>1</v>
      </c>
      <c r="U4586">
        <v>115992</v>
      </c>
      <c r="V4586">
        <v>115992</v>
      </c>
    </row>
    <row r="4587" spans="1:22">
      <c r="A4587" t="s">
        <v>196</v>
      </c>
      <c r="B4587">
        <v>88</v>
      </c>
      <c r="C4587" t="s">
        <v>1852</v>
      </c>
      <c r="D4587">
        <v>200</v>
      </c>
      <c r="E4587" t="s">
        <v>1834</v>
      </c>
      <c r="F4587">
        <v>1005</v>
      </c>
      <c r="G4587" t="s">
        <v>46</v>
      </c>
      <c r="H4587">
        <v>2005</v>
      </c>
      <c r="I4587" t="s">
        <v>46</v>
      </c>
      <c r="J4587">
        <v>3015</v>
      </c>
      <c r="K4587" t="s">
        <v>1858</v>
      </c>
      <c r="L4587">
        <v>0</v>
      </c>
      <c r="N4587" t="s">
        <v>199</v>
      </c>
      <c r="O4587">
        <v>0</v>
      </c>
      <c r="P4587">
        <v>15</v>
      </c>
      <c r="Q4587" t="s">
        <v>264</v>
      </c>
      <c r="R4587" t="s">
        <v>201</v>
      </c>
      <c r="S4587">
        <v>0</v>
      </c>
      <c r="T4587">
        <v>0</v>
      </c>
      <c r="U4587">
        <v>8411</v>
      </c>
      <c r="V4587">
        <v>8411</v>
      </c>
    </row>
    <row r="4588" spans="1:22">
      <c r="A4588" t="s">
        <v>196</v>
      </c>
      <c r="B4588">
        <v>88</v>
      </c>
      <c r="C4588" t="s">
        <v>1852</v>
      </c>
      <c r="D4588">
        <v>200</v>
      </c>
      <c r="E4588" t="s">
        <v>1834</v>
      </c>
      <c r="F4588">
        <v>1005</v>
      </c>
      <c r="G4588" t="s">
        <v>46</v>
      </c>
      <c r="H4588">
        <v>2005</v>
      </c>
      <c r="I4588" t="s">
        <v>46</v>
      </c>
      <c r="J4588">
        <v>3075</v>
      </c>
      <c r="K4588" t="s">
        <v>1859</v>
      </c>
      <c r="L4588">
        <v>0</v>
      </c>
      <c r="N4588" t="s">
        <v>721</v>
      </c>
      <c r="O4588">
        <v>53</v>
      </c>
      <c r="P4588">
        <v>6328</v>
      </c>
      <c r="Q4588" t="s">
        <v>949</v>
      </c>
      <c r="R4588" t="s">
        <v>713</v>
      </c>
      <c r="S4588">
        <v>12480</v>
      </c>
      <c r="T4588">
        <v>0</v>
      </c>
      <c r="U4588">
        <v>27.45</v>
      </c>
      <c r="V4588">
        <v>342576</v>
      </c>
    </row>
    <row r="4589" spans="1:22">
      <c r="A4589" t="s">
        <v>196</v>
      </c>
      <c r="B4589">
        <v>88</v>
      </c>
      <c r="C4589" t="s">
        <v>1852</v>
      </c>
      <c r="D4589">
        <v>200</v>
      </c>
      <c r="E4589" t="s">
        <v>1834</v>
      </c>
      <c r="F4589">
        <v>1005</v>
      </c>
      <c r="G4589" t="s">
        <v>46</v>
      </c>
      <c r="H4589">
        <v>2005</v>
      </c>
      <c r="I4589" t="s">
        <v>46</v>
      </c>
      <c r="J4589">
        <v>3075</v>
      </c>
      <c r="K4589" t="s">
        <v>1859</v>
      </c>
      <c r="L4589">
        <v>0</v>
      </c>
      <c r="N4589" t="s">
        <v>721</v>
      </c>
      <c r="O4589">
        <v>53</v>
      </c>
      <c r="P4589">
        <v>6328</v>
      </c>
      <c r="Q4589" t="s">
        <v>949</v>
      </c>
      <c r="R4589" t="s">
        <v>713</v>
      </c>
      <c r="S4589">
        <v>38</v>
      </c>
      <c r="T4589">
        <v>1</v>
      </c>
      <c r="U4589">
        <v>27.45</v>
      </c>
      <c r="V4589">
        <v>2169648</v>
      </c>
    </row>
    <row r="4590" spans="1:22">
      <c r="A4590" t="s">
        <v>196</v>
      </c>
      <c r="B4590">
        <v>88</v>
      </c>
      <c r="C4590" t="s">
        <v>1852</v>
      </c>
      <c r="D4590">
        <v>200</v>
      </c>
      <c r="E4590" t="s">
        <v>1834</v>
      </c>
      <c r="F4590">
        <v>1005</v>
      </c>
      <c r="G4590" t="s">
        <v>46</v>
      </c>
      <c r="H4590">
        <v>2005</v>
      </c>
      <c r="I4590" t="s">
        <v>46</v>
      </c>
      <c r="J4590">
        <v>3075</v>
      </c>
      <c r="K4590" t="s">
        <v>1859</v>
      </c>
      <c r="L4590">
        <v>0</v>
      </c>
      <c r="N4590" t="s">
        <v>721</v>
      </c>
      <c r="O4590">
        <v>53</v>
      </c>
      <c r="P4590">
        <v>6328</v>
      </c>
      <c r="Q4590" t="s">
        <v>949</v>
      </c>
      <c r="R4590" t="s">
        <v>713</v>
      </c>
      <c r="S4590">
        <v>2</v>
      </c>
      <c r="T4590">
        <v>1</v>
      </c>
      <c r="U4590">
        <v>24.39</v>
      </c>
      <c r="V4590">
        <v>101462</v>
      </c>
    </row>
    <row r="4591" spans="1:22">
      <c r="A4591" t="s">
        <v>196</v>
      </c>
      <c r="B4591">
        <v>88</v>
      </c>
      <c r="C4591" t="s">
        <v>1852</v>
      </c>
      <c r="D4591">
        <v>200</v>
      </c>
      <c r="E4591" t="s">
        <v>1834</v>
      </c>
      <c r="F4591">
        <v>1005</v>
      </c>
      <c r="G4591" t="s">
        <v>46</v>
      </c>
      <c r="H4591">
        <v>2005</v>
      </c>
      <c r="I4591" t="s">
        <v>46</v>
      </c>
      <c r="J4591">
        <v>3075</v>
      </c>
      <c r="K4591" t="s">
        <v>1859</v>
      </c>
      <c r="L4591">
        <v>0</v>
      </c>
      <c r="N4591" t="s">
        <v>721</v>
      </c>
      <c r="O4591">
        <v>53</v>
      </c>
      <c r="P4591">
        <v>6310</v>
      </c>
      <c r="Q4591" t="s">
        <v>1860</v>
      </c>
      <c r="R4591" t="s">
        <v>713</v>
      </c>
      <c r="S4591">
        <v>2</v>
      </c>
      <c r="T4591">
        <v>1</v>
      </c>
      <c r="U4591">
        <v>32.869999999999997</v>
      </c>
      <c r="V4591">
        <v>136739</v>
      </c>
    </row>
    <row r="4592" spans="1:22">
      <c r="A4592" t="s">
        <v>196</v>
      </c>
      <c r="B4592">
        <v>88</v>
      </c>
      <c r="C4592" t="s">
        <v>1852</v>
      </c>
      <c r="D4592">
        <v>200</v>
      </c>
      <c r="E4592" t="s">
        <v>1834</v>
      </c>
      <c r="F4592">
        <v>1005</v>
      </c>
      <c r="G4592" t="s">
        <v>46</v>
      </c>
      <c r="H4592">
        <v>2005</v>
      </c>
      <c r="I4592" t="s">
        <v>46</v>
      </c>
      <c r="J4592">
        <v>3075</v>
      </c>
      <c r="K4592" t="s">
        <v>1859</v>
      </c>
      <c r="L4592">
        <v>0</v>
      </c>
      <c r="N4592" t="s">
        <v>1755</v>
      </c>
      <c r="O4592">
        <v>53</v>
      </c>
      <c r="P4592">
        <v>6304</v>
      </c>
      <c r="Q4592" t="s">
        <v>1861</v>
      </c>
      <c r="R4592" t="s">
        <v>201</v>
      </c>
      <c r="S4592">
        <v>1</v>
      </c>
      <c r="T4592">
        <v>1</v>
      </c>
      <c r="U4592">
        <v>130620</v>
      </c>
      <c r="V4592">
        <v>130620</v>
      </c>
    </row>
    <row r="4593" spans="1:22">
      <c r="A4593" t="s">
        <v>196</v>
      </c>
      <c r="B4593">
        <v>88</v>
      </c>
      <c r="C4593" t="s">
        <v>1852</v>
      </c>
      <c r="D4593">
        <v>200</v>
      </c>
      <c r="E4593" t="s">
        <v>1834</v>
      </c>
      <c r="F4593">
        <v>1005</v>
      </c>
      <c r="G4593" t="s">
        <v>46</v>
      </c>
      <c r="H4593">
        <v>2005</v>
      </c>
      <c r="I4593" t="s">
        <v>46</v>
      </c>
      <c r="J4593">
        <v>3075</v>
      </c>
      <c r="K4593" t="s">
        <v>1859</v>
      </c>
      <c r="L4593">
        <v>0</v>
      </c>
      <c r="N4593" t="s">
        <v>1755</v>
      </c>
      <c r="O4593">
        <v>53</v>
      </c>
      <c r="P4593">
        <v>6304</v>
      </c>
      <c r="Q4593" t="s">
        <v>1861</v>
      </c>
      <c r="R4593" t="s">
        <v>201</v>
      </c>
      <c r="S4593">
        <v>1</v>
      </c>
      <c r="T4593">
        <v>1</v>
      </c>
      <c r="U4593">
        <v>124776</v>
      </c>
      <c r="V4593">
        <v>124776</v>
      </c>
    </row>
    <row r="4594" spans="1:22">
      <c r="A4594" t="s">
        <v>196</v>
      </c>
      <c r="B4594">
        <v>88</v>
      </c>
      <c r="C4594" t="s">
        <v>1852</v>
      </c>
      <c r="D4594">
        <v>200</v>
      </c>
      <c r="E4594" t="s">
        <v>1834</v>
      </c>
      <c r="F4594">
        <v>1005</v>
      </c>
      <c r="G4594" t="s">
        <v>46</v>
      </c>
      <c r="H4594">
        <v>2005</v>
      </c>
      <c r="I4594" t="s">
        <v>46</v>
      </c>
      <c r="J4594">
        <v>3075</v>
      </c>
      <c r="K4594" t="s">
        <v>1859</v>
      </c>
      <c r="L4594">
        <v>0</v>
      </c>
      <c r="N4594" t="s">
        <v>1755</v>
      </c>
      <c r="O4594">
        <v>53</v>
      </c>
      <c r="P4594">
        <v>6304</v>
      </c>
      <c r="Q4594" t="s">
        <v>1861</v>
      </c>
      <c r="R4594" t="s">
        <v>201</v>
      </c>
      <c r="S4594">
        <v>2</v>
      </c>
      <c r="T4594">
        <v>1</v>
      </c>
      <c r="U4594">
        <v>113604</v>
      </c>
      <c r="V4594">
        <v>227208</v>
      </c>
    </row>
    <row r="4595" spans="1:22">
      <c r="A4595" t="s">
        <v>196</v>
      </c>
      <c r="B4595">
        <v>88</v>
      </c>
      <c r="C4595" t="s">
        <v>1852</v>
      </c>
      <c r="D4595">
        <v>200</v>
      </c>
      <c r="E4595" t="s">
        <v>1834</v>
      </c>
      <c r="F4595">
        <v>1005</v>
      </c>
      <c r="G4595" t="s">
        <v>46</v>
      </c>
      <c r="H4595">
        <v>2005</v>
      </c>
      <c r="I4595" t="s">
        <v>46</v>
      </c>
      <c r="J4595">
        <v>3075</v>
      </c>
      <c r="K4595" t="s">
        <v>1859</v>
      </c>
      <c r="L4595">
        <v>0</v>
      </c>
      <c r="N4595" t="s">
        <v>1755</v>
      </c>
      <c r="O4595">
        <v>53</v>
      </c>
      <c r="P4595">
        <v>6304</v>
      </c>
      <c r="Q4595" t="s">
        <v>1861</v>
      </c>
      <c r="R4595" t="s">
        <v>201</v>
      </c>
      <c r="S4595">
        <v>1</v>
      </c>
      <c r="T4595">
        <v>1</v>
      </c>
      <c r="U4595">
        <v>89244</v>
      </c>
      <c r="V4595">
        <v>89244</v>
      </c>
    </row>
    <row r="4596" spans="1:22">
      <c r="A4596" t="s">
        <v>196</v>
      </c>
      <c r="B4596">
        <v>88</v>
      </c>
      <c r="C4596" t="s">
        <v>1852</v>
      </c>
      <c r="D4596">
        <v>200</v>
      </c>
      <c r="E4596" t="s">
        <v>1834</v>
      </c>
      <c r="F4596">
        <v>1005</v>
      </c>
      <c r="G4596" t="s">
        <v>46</v>
      </c>
      <c r="H4596">
        <v>2005</v>
      </c>
      <c r="I4596" t="s">
        <v>46</v>
      </c>
      <c r="J4596">
        <v>3075</v>
      </c>
      <c r="K4596" t="s">
        <v>1859</v>
      </c>
      <c r="L4596">
        <v>0</v>
      </c>
      <c r="N4596" t="s">
        <v>1755</v>
      </c>
      <c r="O4596">
        <v>53</v>
      </c>
      <c r="P4596">
        <v>6304</v>
      </c>
      <c r="Q4596" t="s">
        <v>1861</v>
      </c>
      <c r="R4596" t="s">
        <v>201</v>
      </c>
      <c r="S4596">
        <v>1</v>
      </c>
      <c r="T4596">
        <v>1</v>
      </c>
      <c r="U4596">
        <v>85176</v>
      </c>
      <c r="V4596">
        <v>85176</v>
      </c>
    </row>
    <row r="4597" spans="1:22">
      <c r="A4597" t="s">
        <v>196</v>
      </c>
      <c r="B4597">
        <v>88</v>
      </c>
      <c r="C4597" t="s">
        <v>1852</v>
      </c>
      <c r="D4597">
        <v>200</v>
      </c>
      <c r="E4597" t="s">
        <v>1834</v>
      </c>
      <c r="F4597">
        <v>1005</v>
      </c>
      <c r="G4597" t="s">
        <v>46</v>
      </c>
      <c r="H4597">
        <v>2005</v>
      </c>
      <c r="I4597" t="s">
        <v>46</v>
      </c>
      <c r="J4597">
        <v>3075</v>
      </c>
      <c r="K4597" t="s">
        <v>1859</v>
      </c>
      <c r="L4597">
        <v>0</v>
      </c>
      <c r="N4597" t="s">
        <v>1755</v>
      </c>
      <c r="O4597">
        <v>53</v>
      </c>
      <c r="P4597">
        <v>6304</v>
      </c>
      <c r="Q4597" t="s">
        <v>1861</v>
      </c>
      <c r="R4597" t="s">
        <v>201</v>
      </c>
      <c r="S4597">
        <v>1</v>
      </c>
      <c r="T4597">
        <v>1</v>
      </c>
      <c r="U4597">
        <v>77628</v>
      </c>
      <c r="V4597">
        <v>77628</v>
      </c>
    </row>
    <row r="4598" spans="1:22">
      <c r="A4598" t="s">
        <v>196</v>
      </c>
      <c r="B4598">
        <v>88</v>
      </c>
      <c r="C4598" t="s">
        <v>1852</v>
      </c>
      <c r="D4598">
        <v>200</v>
      </c>
      <c r="E4598" t="s">
        <v>1834</v>
      </c>
      <c r="F4598">
        <v>1005</v>
      </c>
      <c r="G4598" t="s">
        <v>46</v>
      </c>
      <c r="H4598">
        <v>2005</v>
      </c>
      <c r="I4598" t="s">
        <v>46</v>
      </c>
      <c r="J4598">
        <v>3075</v>
      </c>
      <c r="K4598" t="s">
        <v>1859</v>
      </c>
      <c r="L4598">
        <v>0</v>
      </c>
      <c r="N4598" t="s">
        <v>294</v>
      </c>
      <c r="O4598">
        <v>10</v>
      </c>
      <c r="P4598">
        <v>4218</v>
      </c>
      <c r="Q4598" t="s">
        <v>1862</v>
      </c>
      <c r="R4598" t="s">
        <v>201</v>
      </c>
      <c r="S4598">
        <v>1</v>
      </c>
      <c r="T4598">
        <v>1</v>
      </c>
      <c r="U4598">
        <v>80916</v>
      </c>
      <c r="V4598">
        <v>80916</v>
      </c>
    </row>
    <row r="4599" spans="1:22">
      <c r="A4599" t="s">
        <v>196</v>
      </c>
      <c r="B4599">
        <v>88</v>
      </c>
      <c r="C4599" t="s">
        <v>1852</v>
      </c>
      <c r="D4599">
        <v>200</v>
      </c>
      <c r="E4599" t="s">
        <v>1834</v>
      </c>
      <c r="F4599">
        <v>1005</v>
      </c>
      <c r="G4599" t="s">
        <v>46</v>
      </c>
      <c r="H4599">
        <v>2005</v>
      </c>
      <c r="I4599" t="s">
        <v>46</v>
      </c>
      <c r="J4599">
        <v>3075</v>
      </c>
      <c r="K4599" t="s">
        <v>1859</v>
      </c>
      <c r="L4599">
        <v>0</v>
      </c>
      <c r="N4599" t="s">
        <v>351</v>
      </c>
      <c r="O4599">
        <v>1</v>
      </c>
      <c r="P4599" t="s">
        <v>352</v>
      </c>
      <c r="Q4599" t="s">
        <v>353</v>
      </c>
      <c r="R4599" t="s">
        <v>201</v>
      </c>
      <c r="S4599">
        <v>1</v>
      </c>
      <c r="T4599">
        <v>1</v>
      </c>
      <c r="U4599">
        <v>108576</v>
      </c>
      <c r="V4599">
        <v>108576</v>
      </c>
    </row>
    <row r="4600" spans="1:22">
      <c r="A4600" t="s">
        <v>196</v>
      </c>
      <c r="B4600">
        <v>88</v>
      </c>
      <c r="C4600" t="s">
        <v>1852</v>
      </c>
      <c r="D4600">
        <v>200</v>
      </c>
      <c r="E4600" t="s">
        <v>1834</v>
      </c>
      <c r="F4600">
        <v>1005</v>
      </c>
      <c r="G4600" t="s">
        <v>46</v>
      </c>
      <c r="H4600">
        <v>2005</v>
      </c>
      <c r="I4600" t="s">
        <v>46</v>
      </c>
      <c r="J4600">
        <v>3075</v>
      </c>
      <c r="K4600" t="s">
        <v>1859</v>
      </c>
      <c r="L4600">
        <v>0</v>
      </c>
      <c r="N4600" t="s">
        <v>351</v>
      </c>
      <c r="O4600">
        <v>1</v>
      </c>
      <c r="P4600" t="s">
        <v>352</v>
      </c>
      <c r="Q4600" t="s">
        <v>353</v>
      </c>
      <c r="R4600" t="s">
        <v>201</v>
      </c>
      <c r="S4600">
        <v>2</v>
      </c>
      <c r="T4600">
        <v>1</v>
      </c>
      <c r="U4600">
        <v>62544</v>
      </c>
      <c r="V4600">
        <v>125088</v>
      </c>
    </row>
    <row r="4601" spans="1:22">
      <c r="A4601" t="s">
        <v>196</v>
      </c>
      <c r="B4601">
        <v>88</v>
      </c>
      <c r="C4601" t="s">
        <v>1852</v>
      </c>
      <c r="D4601">
        <v>200</v>
      </c>
      <c r="E4601" t="s">
        <v>1834</v>
      </c>
      <c r="F4601">
        <v>1005</v>
      </c>
      <c r="G4601" t="s">
        <v>46</v>
      </c>
      <c r="H4601">
        <v>2005</v>
      </c>
      <c r="I4601" t="s">
        <v>46</v>
      </c>
      <c r="J4601">
        <v>3075</v>
      </c>
      <c r="K4601" t="s">
        <v>1859</v>
      </c>
      <c r="L4601">
        <v>0</v>
      </c>
      <c r="N4601" t="s">
        <v>1314</v>
      </c>
      <c r="O4601">
        <v>0</v>
      </c>
      <c r="P4601" t="s">
        <v>1471</v>
      </c>
      <c r="Q4601" t="s">
        <v>605</v>
      </c>
      <c r="R4601" t="s">
        <v>201</v>
      </c>
      <c r="S4601">
        <v>1</v>
      </c>
      <c r="T4601">
        <v>1</v>
      </c>
      <c r="U4601">
        <v>160680</v>
      </c>
      <c r="V4601">
        <v>160680</v>
      </c>
    </row>
    <row r="4602" spans="1:22">
      <c r="A4602" t="s">
        <v>196</v>
      </c>
      <c r="B4602">
        <v>88</v>
      </c>
      <c r="C4602" t="s">
        <v>1852</v>
      </c>
      <c r="D4602">
        <v>200</v>
      </c>
      <c r="E4602" t="s">
        <v>1834</v>
      </c>
      <c r="F4602">
        <v>1005</v>
      </c>
      <c r="G4602" t="s">
        <v>46</v>
      </c>
      <c r="H4602">
        <v>2005</v>
      </c>
      <c r="I4602" t="s">
        <v>46</v>
      </c>
      <c r="J4602">
        <v>3075</v>
      </c>
      <c r="K4602" t="s">
        <v>1859</v>
      </c>
      <c r="L4602">
        <v>0</v>
      </c>
      <c r="N4602" t="s">
        <v>1314</v>
      </c>
      <c r="O4602">
        <v>0</v>
      </c>
      <c r="P4602" t="s">
        <v>1471</v>
      </c>
      <c r="Q4602" t="s">
        <v>605</v>
      </c>
      <c r="R4602" t="s">
        <v>201</v>
      </c>
      <c r="S4602">
        <v>1</v>
      </c>
      <c r="T4602">
        <v>1</v>
      </c>
      <c r="U4602">
        <v>133836</v>
      </c>
      <c r="V4602">
        <v>133836</v>
      </c>
    </row>
    <row r="4603" spans="1:22">
      <c r="A4603" t="s">
        <v>196</v>
      </c>
      <c r="B4603">
        <v>88</v>
      </c>
      <c r="C4603" t="s">
        <v>1852</v>
      </c>
      <c r="D4603">
        <v>200</v>
      </c>
      <c r="E4603" t="s">
        <v>1834</v>
      </c>
      <c r="F4603">
        <v>1005</v>
      </c>
      <c r="G4603" t="s">
        <v>46</v>
      </c>
      <c r="H4603">
        <v>2005</v>
      </c>
      <c r="I4603" t="s">
        <v>46</v>
      </c>
      <c r="J4603">
        <v>3075</v>
      </c>
      <c r="K4603" t="s">
        <v>1859</v>
      </c>
      <c r="L4603">
        <v>0</v>
      </c>
      <c r="N4603" t="s">
        <v>253</v>
      </c>
      <c r="O4603">
        <v>10</v>
      </c>
      <c r="P4603">
        <v>304</v>
      </c>
      <c r="Q4603" t="s">
        <v>1726</v>
      </c>
      <c r="R4603" t="s">
        <v>201</v>
      </c>
      <c r="S4603">
        <v>1</v>
      </c>
      <c r="T4603">
        <v>1</v>
      </c>
      <c r="U4603">
        <v>130524</v>
      </c>
      <c r="V4603">
        <v>130524</v>
      </c>
    </row>
    <row r="4604" spans="1:22">
      <c r="A4604" t="s">
        <v>196</v>
      </c>
      <c r="B4604">
        <v>88</v>
      </c>
      <c r="C4604" t="s">
        <v>1852</v>
      </c>
      <c r="D4604">
        <v>200</v>
      </c>
      <c r="E4604" t="s">
        <v>1834</v>
      </c>
      <c r="F4604">
        <v>1005</v>
      </c>
      <c r="G4604" t="s">
        <v>46</v>
      </c>
      <c r="H4604">
        <v>2005</v>
      </c>
      <c r="I4604" t="s">
        <v>46</v>
      </c>
      <c r="J4604">
        <v>3075</v>
      </c>
      <c r="K4604" t="s">
        <v>1859</v>
      </c>
      <c r="L4604">
        <v>0</v>
      </c>
      <c r="N4604" t="s">
        <v>245</v>
      </c>
      <c r="O4604">
        <v>20</v>
      </c>
      <c r="P4604">
        <v>289</v>
      </c>
      <c r="Q4604" t="s">
        <v>1017</v>
      </c>
      <c r="R4604" t="s">
        <v>201</v>
      </c>
      <c r="S4604">
        <v>1</v>
      </c>
      <c r="T4604">
        <v>1</v>
      </c>
      <c r="U4604">
        <v>121320</v>
      </c>
      <c r="V4604">
        <v>121320</v>
      </c>
    </row>
    <row r="4605" spans="1:22">
      <c r="A4605" t="s">
        <v>196</v>
      </c>
      <c r="B4605">
        <v>88</v>
      </c>
      <c r="C4605" t="s">
        <v>1852</v>
      </c>
      <c r="D4605">
        <v>200</v>
      </c>
      <c r="E4605" t="s">
        <v>1834</v>
      </c>
      <c r="F4605">
        <v>1005</v>
      </c>
      <c r="G4605" t="s">
        <v>46</v>
      </c>
      <c r="H4605">
        <v>2005</v>
      </c>
      <c r="I4605" t="s">
        <v>46</v>
      </c>
      <c r="J4605">
        <v>3075</v>
      </c>
      <c r="K4605" t="s">
        <v>1859</v>
      </c>
      <c r="L4605">
        <v>0</v>
      </c>
      <c r="N4605" t="s">
        <v>199</v>
      </c>
      <c r="O4605">
        <v>0</v>
      </c>
      <c r="P4605">
        <v>15</v>
      </c>
      <c r="Q4605" t="s">
        <v>264</v>
      </c>
      <c r="R4605" t="s">
        <v>201</v>
      </c>
      <c r="S4605">
        <v>0</v>
      </c>
      <c r="T4605">
        <v>0</v>
      </c>
      <c r="U4605">
        <v>15710</v>
      </c>
      <c r="V4605">
        <v>15710</v>
      </c>
    </row>
    <row r="4606" spans="1:22">
      <c r="A4606" t="s">
        <v>196</v>
      </c>
      <c r="B4606">
        <v>88</v>
      </c>
      <c r="C4606" t="s">
        <v>1852</v>
      </c>
      <c r="D4606">
        <v>200</v>
      </c>
      <c r="E4606" t="s">
        <v>1834</v>
      </c>
      <c r="F4606">
        <v>1005</v>
      </c>
      <c r="G4606" t="s">
        <v>46</v>
      </c>
      <c r="H4606">
        <v>2005</v>
      </c>
      <c r="I4606" t="s">
        <v>46</v>
      </c>
      <c r="J4606">
        <v>3075</v>
      </c>
      <c r="K4606" t="s">
        <v>1859</v>
      </c>
      <c r="L4606">
        <v>0</v>
      </c>
      <c r="N4606" t="s">
        <v>199</v>
      </c>
      <c r="O4606">
        <v>0</v>
      </c>
      <c r="P4606">
        <v>12</v>
      </c>
      <c r="Q4606" t="s">
        <v>724</v>
      </c>
      <c r="R4606" t="s">
        <v>201</v>
      </c>
      <c r="S4606">
        <v>0</v>
      </c>
      <c r="T4606">
        <v>0</v>
      </c>
      <c r="U4606">
        <v>41257</v>
      </c>
      <c r="V4606">
        <v>41257</v>
      </c>
    </row>
    <row r="4607" spans="1:22">
      <c r="A4607" t="s">
        <v>196</v>
      </c>
      <c r="B4607">
        <v>88</v>
      </c>
      <c r="C4607" t="s">
        <v>1852</v>
      </c>
      <c r="D4607">
        <v>200</v>
      </c>
      <c r="E4607" t="s">
        <v>1834</v>
      </c>
      <c r="F4607">
        <v>1010</v>
      </c>
      <c r="G4607" t="s">
        <v>81</v>
      </c>
      <c r="H4607">
        <v>2010</v>
      </c>
      <c r="I4607" t="s">
        <v>81</v>
      </c>
      <c r="J4607">
        <v>3048</v>
      </c>
      <c r="K4607" t="s">
        <v>1853</v>
      </c>
      <c r="L4607">
        <v>0</v>
      </c>
      <c r="N4607" t="s">
        <v>1294</v>
      </c>
      <c r="O4607">
        <v>0</v>
      </c>
      <c r="P4607">
        <v>9681</v>
      </c>
      <c r="Q4607" t="s">
        <v>338</v>
      </c>
      <c r="R4607" t="s">
        <v>201</v>
      </c>
      <c r="S4607">
        <v>1</v>
      </c>
      <c r="T4607">
        <v>1</v>
      </c>
      <c r="U4607">
        <v>184584</v>
      </c>
      <c r="V4607">
        <v>184584</v>
      </c>
    </row>
    <row r="4608" spans="1:22">
      <c r="A4608" t="s">
        <v>196</v>
      </c>
      <c r="B4608">
        <v>88</v>
      </c>
      <c r="C4608" t="s">
        <v>1852</v>
      </c>
      <c r="D4608">
        <v>200</v>
      </c>
      <c r="E4608" t="s">
        <v>1834</v>
      </c>
      <c r="F4608">
        <v>1010</v>
      </c>
      <c r="G4608" t="s">
        <v>81</v>
      </c>
      <c r="H4608">
        <v>2010</v>
      </c>
      <c r="I4608" t="s">
        <v>81</v>
      </c>
      <c r="J4608">
        <v>3048</v>
      </c>
      <c r="K4608" t="s">
        <v>1853</v>
      </c>
      <c r="L4608">
        <v>0</v>
      </c>
      <c r="N4608" t="s">
        <v>356</v>
      </c>
      <c r="O4608">
        <v>3</v>
      </c>
      <c r="P4608">
        <v>3052</v>
      </c>
      <c r="Q4608" t="s">
        <v>1439</v>
      </c>
      <c r="R4608" t="s">
        <v>201</v>
      </c>
      <c r="S4608">
        <v>1</v>
      </c>
      <c r="T4608">
        <v>1</v>
      </c>
      <c r="U4608">
        <v>97488</v>
      </c>
      <c r="V4608">
        <v>97488</v>
      </c>
    </row>
    <row r="4609" spans="1:22">
      <c r="A4609" t="s">
        <v>196</v>
      </c>
      <c r="B4609">
        <v>88</v>
      </c>
      <c r="C4609" t="s">
        <v>1852</v>
      </c>
      <c r="D4609">
        <v>200</v>
      </c>
      <c r="E4609" t="s">
        <v>1834</v>
      </c>
      <c r="F4609">
        <v>1010</v>
      </c>
      <c r="G4609" t="s">
        <v>81</v>
      </c>
      <c r="H4609">
        <v>2010</v>
      </c>
      <c r="I4609" t="s">
        <v>81</v>
      </c>
      <c r="J4609">
        <v>3048</v>
      </c>
      <c r="K4609" t="s">
        <v>1853</v>
      </c>
      <c r="L4609">
        <v>0</v>
      </c>
      <c r="N4609" t="s">
        <v>199</v>
      </c>
      <c r="O4609">
        <v>0</v>
      </c>
      <c r="P4609">
        <v>15</v>
      </c>
      <c r="Q4609" t="s">
        <v>264</v>
      </c>
      <c r="R4609" t="s">
        <v>201</v>
      </c>
      <c r="S4609">
        <v>0</v>
      </c>
      <c r="T4609">
        <v>0</v>
      </c>
      <c r="U4609">
        <v>5637</v>
      </c>
      <c r="V4609">
        <v>5637</v>
      </c>
    </row>
    <row r="4610" spans="1:22">
      <c r="A4610" t="s">
        <v>196</v>
      </c>
      <c r="B4610">
        <v>88</v>
      </c>
      <c r="C4610" t="s">
        <v>1852</v>
      </c>
      <c r="D4610">
        <v>200</v>
      </c>
      <c r="E4610" t="s">
        <v>1834</v>
      </c>
      <c r="F4610">
        <v>1010</v>
      </c>
      <c r="G4610" t="s">
        <v>81</v>
      </c>
      <c r="H4610">
        <v>2010</v>
      </c>
      <c r="I4610" t="s">
        <v>81</v>
      </c>
      <c r="J4610">
        <v>3060</v>
      </c>
      <c r="K4610" t="s">
        <v>1863</v>
      </c>
      <c r="L4610">
        <v>0</v>
      </c>
      <c r="N4610" t="s">
        <v>1294</v>
      </c>
      <c r="O4610">
        <v>0</v>
      </c>
      <c r="P4610">
        <v>9681</v>
      </c>
      <c r="Q4610" t="s">
        <v>338</v>
      </c>
      <c r="R4610" t="s">
        <v>201</v>
      </c>
      <c r="S4610">
        <v>1</v>
      </c>
      <c r="T4610">
        <v>1</v>
      </c>
      <c r="U4610">
        <v>153000</v>
      </c>
      <c r="V4610">
        <v>153000</v>
      </c>
    </row>
    <row r="4611" spans="1:22">
      <c r="A4611" t="s">
        <v>196</v>
      </c>
      <c r="B4611">
        <v>88</v>
      </c>
      <c r="C4611" t="s">
        <v>1852</v>
      </c>
      <c r="D4611">
        <v>200</v>
      </c>
      <c r="E4611" t="s">
        <v>1834</v>
      </c>
      <c r="F4611">
        <v>1010</v>
      </c>
      <c r="G4611" t="s">
        <v>81</v>
      </c>
      <c r="H4611">
        <v>2010</v>
      </c>
      <c r="I4611" t="s">
        <v>81</v>
      </c>
      <c r="J4611">
        <v>3060</v>
      </c>
      <c r="K4611" t="s">
        <v>1863</v>
      </c>
      <c r="L4611">
        <v>0</v>
      </c>
      <c r="N4611" t="s">
        <v>255</v>
      </c>
      <c r="O4611">
        <v>1</v>
      </c>
      <c r="P4611">
        <v>1572</v>
      </c>
      <c r="Q4611" t="s">
        <v>363</v>
      </c>
      <c r="R4611" t="s">
        <v>201</v>
      </c>
      <c r="S4611">
        <v>1</v>
      </c>
      <c r="T4611">
        <v>1</v>
      </c>
      <c r="U4611">
        <v>113628</v>
      </c>
      <c r="V4611">
        <v>113628</v>
      </c>
    </row>
    <row r="4612" spans="1:22">
      <c r="A4612" t="s">
        <v>196</v>
      </c>
      <c r="B4612">
        <v>88</v>
      </c>
      <c r="C4612" t="s">
        <v>1852</v>
      </c>
      <c r="D4612">
        <v>200</v>
      </c>
      <c r="E4612" t="s">
        <v>1834</v>
      </c>
      <c r="F4612">
        <v>1010</v>
      </c>
      <c r="G4612" t="s">
        <v>81</v>
      </c>
      <c r="H4612">
        <v>2010</v>
      </c>
      <c r="I4612" t="s">
        <v>81</v>
      </c>
      <c r="J4612">
        <v>3060</v>
      </c>
      <c r="K4612" t="s">
        <v>1863</v>
      </c>
      <c r="L4612">
        <v>0</v>
      </c>
      <c r="N4612" t="s">
        <v>255</v>
      </c>
      <c r="O4612">
        <v>1</v>
      </c>
      <c r="P4612">
        <v>1572</v>
      </c>
      <c r="Q4612" t="s">
        <v>363</v>
      </c>
      <c r="R4612" t="s">
        <v>201</v>
      </c>
      <c r="S4612">
        <v>1</v>
      </c>
      <c r="T4612">
        <v>1</v>
      </c>
      <c r="U4612">
        <v>93504</v>
      </c>
      <c r="V4612">
        <v>93504</v>
      </c>
    </row>
    <row r="4613" spans="1:22">
      <c r="A4613" t="s">
        <v>196</v>
      </c>
      <c r="B4613">
        <v>88</v>
      </c>
      <c r="C4613" t="s">
        <v>1852</v>
      </c>
      <c r="D4613">
        <v>200</v>
      </c>
      <c r="E4613" t="s">
        <v>1834</v>
      </c>
      <c r="F4613">
        <v>1010</v>
      </c>
      <c r="G4613" t="s">
        <v>81</v>
      </c>
      <c r="H4613">
        <v>2010</v>
      </c>
      <c r="I4613" t="s">
        <v>81</v>
      </c>
      <c r="J4613">
        <v>3060</v>
      </c>
      <c r="K4613" t="s">
        <v>1863</v>
      </c>
      <c r="L4613">
        <v>0</v>
      </c>
      <c r="N4613" t="s">
        <v>1314</v>
      </c>
      <c r="O4613">
        <v>9</v>
      </c>
      <c r="P4613">
        <v>1197</v>
      </c>
      <c r="Q4613" t="s">
        <v>927</v>
      </c>
      <c r="R4613" t="s">
        <v>201</v>
      </c>
      <c r="S4613">
        <v>1</v>
      </c>
      <c r="T4613">
        <v>1</v>
      </c>
      <c r="U4613">
        <v>160680</v>
      </c>
      <c r="V4613">
        <v>160680</v>
      </c>
    </row>
    <row r="4614" spans="1:22">
      <c r="A4614" t="s">
        <v>196</v>
      </c>
      <c r="B4614">
        <v>88</v>
      </c>
      <c r="C4614" t="s">
        <v>1852</v>
      </c>
      <c r="D4614">
        <v>200</v>
      </c>
      <c r="E4614" t="s">
        <v>1834</v>
      </c>
      <c r="F4614">
        <v>1010</v>
      </c>
      <c r="G4614" t="s">
        <v>81</v>
      </c>
      <c r="H4614">
        <v>2010</v>
      </c>
      <c r="I4614" t="s">
        <v>81</v>
      </c>
      <c r="J4614">
        <v>3060</v>
      </c>
      <c r="K4614" t="s">
        <v>1863</v>
      </c>
      <c r="L4614">
        <v>0</v>
      </c>
      <c r="N4614" t="s">
        <v>392</v>
      </c>
      <c r="O4614">
        <v>4</v>
      </c>
      <c r="P4614">
        <v>345</v>
      </c>
      <c r="Q4614" t="s">
        <v>393</v>
      </c>
      <c r="R4614" t="s">
        <v>201</v>
      </c>
      <c r="S4614">
        <v>1</v>
      </c>
      <c r="T4614">
        <v>1</v>
      </c>
      <c r="U4614">
        <v>112536</v>
      </c>
      <c r="V4614">
        <v>112536</v>
      </c>
    </row>
    <row r="4615" spans="1:22">
      <c r="A4615" t="s">
        <v>196</v>
      </c>
      <c r="B4615">
        <v>88</v>
      </c>
      <c r="C4615" t="s">
        <v>1852</v>
      </c>
      <c r="D4615">
        <v>200</v>
      </c>
      <c r="E4615" t="s">
        <v>1834</v>
      </c>
      <c r="F4615">
        <v>1010</v>
      </c>
      <c r="G4615" t="s">
        <v>81</v>
      </c>
      <c r="H4615">
        <v>2010</v>
      </c>
      <c r="I4615" t="s">
        <v>81</v>
      </c>
      <c r="J4615">
        <v>3060</v>
      </c>
      <c r="K4615" t="s">
        <v>1863</v>
      </c>
      <c r="L4615">
        <v>0</v>
      </c>
      <c r="N4615" t="s">
        <v>199</v>
      </c>
      <c r="O4615">
        <v>0</v>
      </c>
      <c r="P4615">
        <v>15</v>
      </c>
      <c r="Q4615" t="s">
        <v>264</v>
      </c>
      <c r="R4615" t="s">
        <v>201</v>
      </c>
      <c r="S4615">
        <v>0</v>
      </c>
      <c r="T4615">
        <v>0</v>
      </c>
      <c r="U4615">
        <v>27981</v>
      </c>
      <c r="V4615">
        <v>27981</v>
      </c>
    </row>
    <row r="4616" spans="1:22">
      <c r="A4616" t="s">
        <v>196</v>
      </c>
      <c r="B4616">
        <v>88</v>
      </c>
      <c r="C4616" t="s">
        <v>1852</v>
      </c>
      <c r="D4616">
        <v>200</v>
      </c>
      <c r="E4616" t="s">
        <v>1834</v>
      </c>
      <c r="F4616">
        <v>1010</v>
      </c>
      <c r="G4616" t="s">
        <v>81</v>
      </c>
      <c r="H4616">
        <v>2010</v>
      </c>
      <c r="I4616" t="s">
        <v>81</v>
      </c>
      <c r="J4616">
        <v>3065</v>
      </c>
      <c r="K4616" t="s">
        <v>1864</v>
      </c>
      <c r="L4616">
        <v>0</v>
      </c>
      <c r="N4616" t="s">
        <v>1294</v>
      </c>
      <c r="O4616">
        <v>0</v>
      </c>
      <c r="P4616">
        <v>9681</v>
      </c>
      <c r="Q4616" t="s">
        <v>338</v>
      </c>
      <c r="R4616" t="s">
        <v>201</v>
      </c>
      <c r="S4616">
        <v>1</v>
      </c>
      <c r="T4616">
        <v>1</v>
      </c>
      <c r="U4616">
        <v>184584</v>
      </c>
      <c r="V4616">
        <v>184584</v>
      </c>
    </row>
    <row r="4617" spans="1:22">
      <c r="A4617" t="s">
        <v>196</v>
      </c>
      <c r="B4617">
        <v>88</v>
      </c>
      <c r="C4617" t="s">
        <v>1852</v>
      </c>
      <c r="D4617">
        <v>200</v>
      </c>
      <c r="E4617" t="s">
        <v>1834</v>
      </c>
      <c r="F4617">
        <v>1010</v>
      </c>
      <c r="G4617" t="s">
        <v>81</v>
      </c>
      <c r="H4617">
        <v>2010</v>
      </c>
      <c r="I4617" t="s">
        <v>81</v>
      </c>
      <c r="J4617">
        <v>3065</v>
      </c>
      <c r="K4617" t="s">
        <v>1864</v>
      </c>
      <c r="L4617">
        <v>0</v>
      </c>
      <c r="N4617" t="s">
        <v>320</v>
      </c>
      <c r="O4617">
        <v>10</v>
      </c>
      <c r="P4617">
        <v>1388</v>
      </c>
      <c r="Q4617" t="s">
        <v>1542</v>
      </c>
      <c r="R4617" t="s">
        <v>201</v>
      </c>
      <c r="S4617">
        <v>1</v>
      </c>
      <c r="T4617">
        <v>1</v>
      </c>
      <c r="U4617">
        <v>62508</v>
      </c>
      <c r="V4617">
        <v>62508</v>
      </c>
    </row>
    <row r="4618" spans="1:22">
      <c r="A4618" t="s">
        <v>196</v>
      </c>
      <c r="B4618">
        <v>88</v>
      </c>
      <c r="C4618" t="s">
        <v>1852</v>
      </c>
      <c r="D4618">
        <v>200</v>
      </c>
      <c r="E4618" t="s">
        <v>1834</v>
      </c>
      <c r="F4618">
        <v>1010</v>
      </c>
      <c r="G4618" t="s">
        <v>81</v>
      </c>
      <c r="H4618">
        <v>2010</v>
      </c>
      <c r="I4618" t="s">
        <v>81</v>
      </c>
      <c r="J4618">
        <v>3065</v>
      </c>
      <c r="K4618" t="s">
        <v>1864</v>
      </c>
      <c r="L4618">
        <v>0</v>
      </c>
      <c r="N4618" t="s">
        <v>249</v>
      </c>
      <c r="O4618">
        <v>10</v>
      </c>
      <c r="P4618">
        <v>1346</v>
      </c>
      <c r="Q4618" t="s">
        <v>250</v>
      </c>
      <c r="R4618" t="s">
        <v>201</v>
      </c>
      <c r="S4618">
        <v>1</v>
      </c>
      <c r="T4618">
        <v>1</v>
      </c>
      <c r="U4618">
        <v>89112</v>
      </c>
      <c r="V4618">
        <v>89112</v>
      </c>
    </row>
    <row r="4619" spans="1:22">
      <c r="A4619" t="s">
        <v>196</v>
      </c>
      <c r="B4619">
        <v>88</v>
      </c>
      <c r="C4619" t="s">
        <v>1852</v>
      </c>
      <c r="D4619">
        <v>200</v>
      </c>
      <c r="E4619" t="s">
        <v>1834</v>
      </c>
      <c r="F4619">
        <v>1010</v>
      </c>
      <c r="G4619" t="s">
        <v>81</v>
      </c>
      <c r="H4619">
        <v>2010</v>
      </c>
      <c r="I4619" t="s">
        <v>81</v>
      </c>
      <c r="J4619">
        <v>3065</v>
      </c>
      <c r="K4619" t="s">
        <v>1864</v>
      </c>
      <c r="L4619">
        <v>0</v>
      </c>
      <c r="N4619" t="s">
        <v>253</v>
      </c>
      <c r="O4619">
        <v>20</v>
      </c>
      <c r="P4619">
        <v>1318</v>
      </c>
      <c r="Q4619" t="s">
        <v>934</v>
      </c>
      <c r="R4619" t="s">
        <v>201</v>
      </c>
      <c r="S4619">
        <v>1</v>
      </c>
      <c r="T4619">
        <v>1</v>
      </c>
      <c r="U4619">
        <v>89112</v>
      </c>
      <c r="V4619">
        <v>89112</v>
      </c>
    </row>
    <row r="4620" spans="1:22">
      <c r="A4620" t="s">
        <v>196</v>
      </c>
      <c r="B4620">
        <v>88</v>
      </c>
      <c r="C4620" t="s">
        <v>1852</v>
      </c>
      <c r="D4620">
        <v>200</v>
      </c>
      <c r="E4620" t="s">
        <v>1834</v>
      </c>
      <c r="F4620">
        <v>1010</v>
      </c>
      <c r="G4620" t="s">
        <v>81</v>
      </c>
      <c r="H4620">
        <v>2010</v>
      </c>
      <c r="I4620" t="s">
        <v>81</v>
      </c>
      <c r="J4620">
        <v>3065</v>
      </c>
      <c r="K4620" t="s">
        <v>1864</v>
      </c>
      <c r="L4620">
        <v>0</v>
      </c>
      <c r="N4620" t="s">
        <v>341</v>
      </c>
      <c r="O4620">
        <v>1</v>
      </c>
      <c r="P4620">
        <v>1301</v>
      </c>
      <c r="Q4620" t="s">
        <v>618</v>
      </c>
      <c r="R4620" t="s">
        <v>201</v>
      </c>
      <c r="S4620">
        <v>5</v>
      </c>
      <c r="T4620">
        <v>1</v>
      </c>
      <c r="U4620">
        <v>68616</v>
      </c>
      <c r="V4620">
        <v>343080</v>
      </c>
    </row>
    <row r="4621" spans="1:22">
      <c r="A4621" t="s">
        <v>196</v>
      </c>
      <c r="B4621">
        <v>88</v>
      </c>
      <c r="C4621" t="s">
        <v>1852</v>
      </c>
      <c r="D4621">
        <v>200</v>
      </c>
      <c r="E4621" t="s">
        <v>1834</v>
      </c>
      <c r="F4621">
        <v>1010</v>
      </c>
      <c r="G4621" t="s">
        <v>81</v>
      </c>
      <c r="H4621">
        <v>2010</v>
      </c>
      <c r="I4621" t="s">
        <v>81</v>
      </c>
      <c r="J4621">
        <v>3065</v>
      </c>
      <c r="K4621" t="s">
        <v>1864</v>
      </c>
      <c r="L4621">
        <v>0</v>
      </c>
      <c r="N4621" t="s">
        <v>360</v>
      </c>
      <c r="O4621">
        <v>1</v>
      </c>
      <c r="P4621">
        <v>450</v>
      </c>
      <c r="Q4621" t="s">
        <v>931</v>
      </c>
      <c r="R4621" t="s">
        <v>201</v>
      </c>
      <c r="S4621">
        <v>1</v>
      </c>
      <c r="T4621">
        <v>1</v>
      </c>
      <c r="U4621">
        <v>98928</v>
      </c>
      <c r="V4621">
        <v>98928</v>
      </c>
    </row>
    <row r="4622" spans="1:22">
      <c r="A4622" t="s">
        <v>196</v>
      </c>
      <c r="B4622">
        <v>88</v>
      </c>
      <c r="C4622" t="s">
        <v>1852</v>
      </c>
      <c r="D4622">
        <v>200</v>
      </c>
      <c r="E4622" t="s">
        <v>1834</v>
      </c>
      <c r="F4622">
        <v>1010</v>
      </c>
      <c r="G4622" t="s">
        <v>81</v>
      </c>
      <c r="H4622">
        <v>2010</v>
      </c>
      <c r="I4622" t="s">
        <v>81</v>
      </c>
      <c r="J4622">
        <v>3065</v>
      </c>
      <c r="K4622" t="s">
        <v>1864</v>
      </c>
      <c r="L4622">
        <v>0</v>
      </c>
      <c r="N4622" t="s">
        <v>360</v>
      </c>
      <c r="O4622">
        <v>1</v>
      </c>
      <c r="P4622">
        <v>450</v>
      </c>
      <c r="Q4622" t="s">
        <v>931</v>
      </c>
      <c r="R4622" t="s">
        <v>201</v>
      </c>
      <c r="S4622">
        <v>1</v>
      </c>
      <c r="T4622">
        <v>1</v>
      </c>
      <c r="U4622">
        <v>64488</v>
      </c>
      <c r="V4622">
        <v>64488</v>
      </c>
    </row>
    <row r="4623" spans="1:22">
      <c r="A4623" t="s">
        <v>196</v>
      </c>
      <c r="B4623">
        <v>88</v>
      </c>
      <c r="C4623" t="s">
        <v>1852</v>
      </c>
      <c r="D4623">
        <v>200</v>
      </c>
      <c r="E4623" t="s">
        <v>1834</v>
      </c>
      <c r="F4623">
        <v>1010</v>
      </c>
      <c r="G4623" t="s">
        <v>81</v>
      </c>
      <c r="H4623">
        <v>2010</v>
      </c>
      <c r="I4623" t="s">
        <v>81</v>
      </c>
      <c r="J4623">
        <v>3065</v>
      </c>
      <c r="K4623" t="s">
        <v>1864</v>
      </c>
      <c r="L4623">
        <v>0</v>
      </c>
      <c r="N4623" t="s">
        <v>360</v>
      </c>
      <c r="O4623">
        <v>1</v>
      </c>
      <c r="P4623">
        <v>450</v>
      </c>
      <c r="Q4623" t="s">
        <v>931</v>
      </c>
      <c r="R4623" t="s">
        <v>201</v>
      </c>
      <c r="S4623">
        <v>3</v>
      </c>
      <c r="T4623">
        <v>1</v>
      </c>
      <c r="U4623">
        <v>61548</v>
      </c>
      <c r="V4623">
        <v>184644</v>
      </c>
    </row>
    <row r="4624" spans="1:22">
      <c r="A4624" t="s">
        <v>196</v>
      </c>
      <c r="B4624">
        <v>88</v>
      </c>
      <c r="C4624" t="s">
        <v>1852</v>
      </c>
      <c r="D4624">
        <v>200</v>
      </c>
      <c r="E4624" t="s">
        <v>1834</v>
      </c>
      <c r="F4624">
        <v>1010</v>
      </c>
      <c r="G4624" t="s">
        <v>81</v>
      </c>
      <c r="H4624">
        <v>2010</v>
      </c>
      <c r="I4624" t="s">
        <v>81</v>
      </c>
      <c r="J4624">
        <v>3065</v>
      </c>
      <c r="K4624" t="s">
        <v>1864</v>
      </c>
      <c r="L4624">
        <v>0</v>
      </c>
      <c r="N4624" t="s">
        <v>360</v>
      </c>
      <c r="O4624">
        <v>1</v>
      </c>
      <c r="P4624">
        <v>450</v>
      </c>
      <c r="Q4624" t="s">
        <v>931</v>
      </c>
      <c r="R4624" t="s">
        <v>201</v>
      </c>
      <c r="S4624">
        <v>1</v>
      </c>
      <c r="T4624">
        <v>1</v>
      </c>
      <c r="U4624">
        <v>58764</v>
      </c>
      <c r="V4624">
        <v>58764</v>
      </c>
    </row>
    <row r="4625" spans="1:22">
      <c r="A4625" t="s">
        <v>196</v>
      </c>
      <c r="B4625">
        <v>88</v>
      </c>
      <c r="C4625" t="s">
        <v>1852</v>
      </c>
      <c r="D4625">
        <v>200</v>
      </c>
      <c r="E4625" t="s">
        <v>1834</v>
      </c>
      <c r="F4625">
        <v>1010</v>
      </c>
      <c r="G4625" t="s">
        <v>81</v>
      </c>
      <c r="H4625">
        <v>2010</v>
      </c>
      <c r="I4625" t="s">
        <v>81</v>
      </c>
      <c r="J4625">
        <v>3065</v>
      </c>
      <c r="K4625" t="s">
        <v>1864</v>
      </c>
      <c r="L4625">
        <v>0</v>
      </c>
      <c r="N4625" t="s">
        <v>360</v>
      </c>
      <c r="O4625">
        <v>1</v>
      </c>
      <c r="P4625">
        <v>450</v>
      </c>
      <c r="Q4625" t="s">
        <v>931</v>
      </c>
      <c r="R4625" t="s">
        <v>201</v>
      </c>
      <c r="S4625">
        <v>6</v>
      </c>
      <c r="T4625">
        <v>1</v>
      </c>
      <c r="U4625">
        <v>57000</v>
      </c>
      <c r="V4625">
        <v>342000</v>
      </c>
    </row>
    <row r="4626" spans="1:22">
      <c r="A4626" t="s">
        <v>196</v>
      </c>
      <c r="B4626">
        <v>88</v>
      </c>
      <c r="C4626" t="s">
        <v>1852</v>
      </c>
      <c r="D4626">
        <v>200</v>
      </c>
      <c r="E4626" t="s">
        <v>1834</v>
      </c>
      <c r="F4626">
        <v>1010</v>
      </c>
      <c r="G4626" t="s">
        <v>81</v>
      </c>
      <c r="H4626">
        <v>2010</v>
      </c>
      <c r="I4626" t="s">
        <v>81</v>
      </c>
      <c r="J4626">
        <v>3065</v>
      </c>
      <c r="K4626" t="s">
        <v>1864</v>
      </c>
      <c r="L4626">
        <v>0</v>
      </c>
      <c r="N4626" t="s">
        <v>247</v>
      </c>
      <c r="O4626">
        <v>20</v>
      </c>
      <c r="P4626">
        <v>366</v>
      </c>
      <c r="Q4626" t="s">
        <v>604</v>
      </c>
      <c r="R4626" t="s">
        <v>201</v>
      </c>
      <c r="S4626">
        <v>2</v>
      </c>
      <c r="T4626">
        <v>1</v>
      </c>
      <c r="U4626">
        <v>66516</v>
      </c>
      <c r="V4626">
        <v>133032</v>
      </c>
    </row>
    <row r="4627" spans="1:22">
      <c r="A4627" t="s">
        <v>196</v>
      </c>
      <c r="B4627">
        <v>88</v>
      </c>
      <c r="C4627" t="s">
        <v>1852</v>
      </c>
      <c r="D4627">
        <v>200</v>
      </c>
      <c r="E4627" t="s">
        <v>1834</v>
      </c>
      <c r="F4627">
        <v>1010</v>
      </c>
      <c r="G4627" t="s">
        <v>81</v>
      </c>
      <c r="H4627">
        <v>2010</v>
      </c>
      <c r="I4627" t="s">
        <v>81</v>
      </c>
      <c r="J4627">
        <v>3065</v>
      </c>
      <c r="K4627" t="s">
        <v>1864</v>
      </c>
      <c r="L4627">
        <v>0</v>
      </c>
      <c r="N4627" t="s">
        <v>397</v>
      </c>
      <c r="O4627">
        <v>1</v>
      </c>
      <c r="P4627">
        <v>121</v>
      </c>
      <c r="Q4627" t="s">
        <v>690</v>
      </c>
      <c r="R4627" t="s">
        <v>201</v>
      </c>
      <c r="S4627">
        <v>1</v>
      </c>
      <c r="T4627">
        <v>1</v>
      </c>
      <c r="U4627">
        <v>99480</v>
      </c>
      <c r="V4627">
        <v>99480</v>
      </c>
    </row>
    <row r="4628" spans="1:22">
      <c r="A4628" t="s">
        <v>196</v>
      </c>
      <c r="B4628">
        <v>88</v>
      </c>
      <c r="C4628" t="s">
        <v>1852</v>
      </c>
      <c r="D4628">
        <v>200</v>
      </c>
      <c r="E4628" t="s">
        <v>1834</v>
      </c>
      <c r="F4628">
        <v>1010</v>
      </c>
      <c r="G4628" t="s">
        <v>81</v>
      </c>
      <c r="H4628">
        <v>2010</v>
      </c>
      <c r="I4628" t="s">
        <v>81</v>
      </c>
      <c r="J4628">
        <v>3065</v>
      </c>
      <c r="K4628" t="s">
        <v>1864</v>
      </c>
      <c r="L4628">
        <v>0</v>
      </c>
      <c r="N4628" t="s">
        <v>372</v>
      </c>
      <c r="O4628">
        <v>1</v>
      </c>
      <c r="P4628">
        <v>114</v>
      </c>
      <c r="Q4628" t="s">
        <v>691</v>
      </c>
      <c r="R4628" t="s">
        <v>201</v>
      </c>
      <c r="S4628">
        <v>1</v>
      </c>
      <c r="T4628">
        <v>1</v>
      </c>
      <c r="U4628">
        <v>119100</v>
      </c>
      <c r="V4628">
        <v>119100</v>
      </c>
    </row>
    <row r="4629" spans="1:22">
      <c r="A4629" t="s">
        <v>196</v>
      </c>
      <c r="B4629">
        <v>88</v>
      </c>
      <c r="C4629" t="s">
        <v>1852</v>
      </c>
      <c r="D4629">
        <v>200</v>
      </c>
      <c r="E4629" t="s">
        <v>1834</v>
      </c>
      <c r="F4629">
        <v>1010</v>
      </c>
      <c r="G4629" t="s">
        <v>81</v>
      </c>
      <c r="H4629">
        <v>2010</v>
      </c>
      <c r="I4629" t="s">
        <v>81</v>
      </c>
      <c r="J4629">
        <v>3065</v>
      </c>
      <c r="K4629" t="s">
        <v>1864</v>
      </c>
      <c r="L4629">
        <v>0</v>
      </c>
      <c r="N4629" t="s">
        <v>372</v>
      </c>
      <c r="O4629">
        <v>1</v>
      </c>
      <c r="P4629">
        <v>114</v>
      </c>
      <c r="Q4629" t="s">
        <v>691</v>
      </c>
      <c r="R4629" t="s">
        <v>201</v>
      </c>
      <c r="S4629">
        <v>1</v>
      </c>
      <c r="T4629">
        <v>1</v>
      </c>
      <c r="U4629">
        <v>103608</v>
      </c>
      <c r="V4629">
        <v>103608</v>
      </c>
    </row>
    <row r="4630" spans="1:22">
      <c r="A4630" t="s">
        <v>196</v>
      </c>
      <c r="B4630">
        <v>88</v>
      </c>
      <c r="C4630" t="s">
        <v>1852</v>
      </c>
      <c r="D4630">
        <v>200</v>
      </c>
      <c r="E4630" t="s">
        <v>1834</v>
      </c>
      <c r="F4630">
        <v>1010</v>
      </c>
      <c r="G4630" t="s">
        <v>81</v>
      </c>
      <c r="H4630">
        <v>2010</v>
      </c>
      <c r="I4630" t="s">
        <v>81</v>
      </c>
      <c r="J4630">
        <v>3065</v>
      </c>
      <c r="K4630" t="s">
        <v>1864</v>
      </c>
      <c r="L4630">
        <v>0</v>
      </c>
      <c r="N4630" t="s">
        <v>199</v>
      </c>
      <c r="O4630">
        <v>0</v>
      </c>
      <c r="P4630">
        <v>15</v>
      </c>
      <c r="Q4630" t="s">
        <v>264</v>
      </c>
      <c r="R4630" t="s">
        <v>201</v>
      </c>
      <c r="S4630">
        <v>0</v>
      </c>
      <c r="T4630">
        <v>0</v>
      </c>
      <c r="U4630">
        <v>20388</v>
      </c>
      <c r="V4630">
        <v>20388</v>
      </c>
    </row>
    <row r="4631" spans="1:22">
      <c r="A4631" t="s">
        <v>196</v>
      </c>
      <c r="B4631">
        <v>88</v>
      </c>
      <c r="C4631" t="s">
        <v>1852</v>
      </c>
      <c r="D4631">
        <v>200</v>
      </c>
      <c r="E4631" t="s">
        <v>1834</v>
      </c>
      <c r="F4631">
        <v>1010</v>
      </c>
      <c r="G4631" t="s">
        <v>81</v>
      </c>
      <c r="H4631">
        <v>2010</v>
      </c>
      <c r="I4631" t="s">
        <v>81</v>
      </c>
      <c r="J4631">
        <v>3071</v>
      </c>
      <c r="K4631" t="s">
        <v>899</v>
      </c>
      <c r="L4631">
        <v>0</v>
      </c>
      <c r="N4631" t="s">
        <v>688</v>
      </c>
      <c r="O4631">
        <v>4</v>
      </c>
      <c r="P4631">
        <v>638</v>
      </c>
      <c r="Q4631" t="s">
        <v>1246</v>
      </c>
      <c r="R4631" t="s">
        <v>201</v>
      </c>
      <c r="S4631">
        <v>1</v>
      </c>
      <c r="T4631">
        <v>1</v>
      </c>
      <c r="U4631">
        <v>81636</v>
      </c>
      <c r="V4631">
        <v>81636</v>
      </c>
    </row>
    <row r="4632" spans="1:22">
      <c r="A4632" t="s">
        <v>196</v>
      </c>
      <c r="B4632">
        <v>88</v>
      </c>
      <c r="C4632" t="s">
        <v>1852</v>
      </c>
      <c r="D4632">
        <v>200</v>
      </c>
      <c r="E4632" t="s">
        <v>1834</v>
      </c>
      <c r="F4632">
        <v>1010</v>
      </c>
      <c r="G4632" t="s">
        <v>81</v>
      </c>
      <c r="H4632">
        <v>2010</v>
      </c>
      <c r="I4632" t="s">
        <v>81</v>
      </c>
      <c r="J4632">
        <v>3071</v>
      </c>
      <c r="K4632" t="s">
        <v>899</v>
      </c>
      <c r="L4632">
        <v>0</v>
      </c>
      <c r="N4632" t="s">
        <v>386</v>
      </c>
      <c r="O4632">
        <v>4</v>
      </c>
      <c r="P4632">
        <v>625</v>
      </c>
      <c r="Q4632" t="s">
        <v>1820</v>
      </c>
      <c r="R4632" t="s">
        <v>201</v>
      </c>
      <c r="S4632">
        <v>1</v>
      </c>
      <c r="T4632">
        <v>1</v>
      </c>
      <c r="U4632">
        <v>122928</v>
      </c>
      <c r="V4632">
        <v>122928</v>
      </c>
    </row>
    <row r="4633" spans="1:22">
      <c r="A4633" t="s">
        <v>196</v>
      </c>
      <c r="B4633">
        <v>88</v>
      </c>
      <c r="C4633" t="s">
        <v>1852</v>
      </c>
      <c r="D4633">
        <v>200</v>
      </c>
      <c r="E4633" t="s">
        <v>1834</v>
      </c>
      <c r="F4633">
        <v>1010</v>
      </c>
      <c r="G4633" t="s">
        <v>81</v>
      </c>
      <c r="H4633">
        <v>2010</v>
      </c>
      <c r="I4633" t="s">
        <v>81</v>
      </c>
      <c r="J4633">
        <v>3071</v>
      </c>
      <c r="K4633" t="s">
        <v>899</v>
      </c>
      <c r="L4633">
        <v>0</v>
      </c>
      <c r="N4633" t="s">
        <v>199</v>
      </c>
      <c r="O4633">
        <v>0</v>
      </c>
      <c r="P4633">
        <v>15</v>
      </c>
      <c r="Q4633" t="s">
        <v>264</v>
      </c>
      <c r="R4633" t="s">
        <v>201</v>
      </c>
      <c r="S4633">
        <v>0</v>
      </c>
      <c r="T4633">
        <v>0</v>
      </c>
      <c r="U4633">
        <v>5014</v>
      </c>
      <c r="V4633">
        <v>5014</v>
      </c>
    </row>
    <row r="4634" spans="1:22">
      <c r="A4634" t="s">
        <v>196</v>
      </c>
      <c r="B4634">
        <v>88</v>
      </c>
      <c r="C4634" t="s">
        <v>1852</v>
      </c>
      <c r="D4634">
        <v>200</v>
      </c>
      <c r="E4634" t="s">
        <v>1834</v>
      </c>
      <c r="F4634">
        <v>1010</v>
      </c>
      <c r="G4634" t="s">
        <v>81</v>
      </c>
      <c r="H4634">
        <v>2010</v>
      </c>
      <c r="I4634" t="s">
        <v>81</v>
      </c>
      <c r="J4634">
        <v>3072</v>
      </c>
      <c r="K4634" t="s">
        <v>638</v>
      </c>
      <c r="L4634">
        <v>0</v>
      </c>
      <c r="N4634" t="s">
        <v>1294</v>
      </c>
      <c r="O4634">
        <v>0</v>
      </c>
      <c r="P4634">
        <v>9681</v>
      </c>
      <c r="Q4634" t="s">
        <v>338</v>
      </c>
      <c r="R4634" t="s">
        <v>201</v>
      </c>
      <c r="S4634">
        <v>1</v>
      </c>
      <c r="T4634">
        <v>1</v>
      </c>
      <c r="U4634">
        <v>153000</v>
      </c>
      <c r="V4634">
        <v>153000</v>
      </c>
    </row>
    <row r="4635" spans="1:22">
      <c r="A4635" t="s">
        <v>196</v>
      </c>
      <c r="B4635">
        <v>88</v>
      </c>
      <c r="C4635" t="s">
        <v>1852</v>
      </c>
      <c r="D4635">
        <v>200</v>
      </c>
      <c r="E4635" t="s">
        <v>1834</v>
      </c>
      <c r="F4635">
        <v>1010</v>
      </c>
      <c r="G4635" t="s">
        <v>81</v>
      </c>
      <c r="H4635">
        <v>2010</v>
      </c>
      <c r="I4635" t="s">
        <v>81</v>
      </c>
      <c r="J4635">
        <v>3072</v>
      </c>
      <c r="K4635" t="s">
        <v>638</v>
      </c>
      <c r="L4635">
        <v>0</v>
      </c>
      <c r="N4635" t="s">
        <v>688</v>
      </c>
      <c r="O4635">
        <v>4</v>
      </c>
      <c r="P4635">
        <v>1142</v>
      </c>
      <c r="Q4635" t="s">
        <v>1250</v>
      </c>
      <c r="R4635" t="s">
        <v>201</v>
      </c>
      <c r="S4635">
        <v>1</v>
      </c>
      <c r="T4635">
        <v>1</v>
      </c>
      <c r="U4635">
        <v>81636</v>
      </c>
      <c r="V4635">
        <v>81636</v>
      </c>
    </row>
    <row r="4636" spans="1:22">
      <c r="A4636" t="s">
        <v>196</v>
      </c>
      <c r="B4636">
        <v>88</v>
      </c>
      <c r="C4636" t="s">
        <v>1852</v>
      </c>
      <c r="D4636">
        <v>200</v>
      </c>
      <c r="E4636" t="s">
        <v>1834</v>
      </c>
      <c r="F4636">
        <v>1010</v>
      </c>
      <c r="G4636" t="s">
        <v>81</v>
      </c>
      <c r="H4636">
        <v>2010</v>
      </c>
      <c r="I4636" t="s">
        <v>81</v>
      </c>
      <c r="J4636">
        <v>3072</v>
      </c>
      <c r="K4636" t="s">
        <v>638</v>
      </c>
      <c r="L4636">
        <v>0</v>
      </c>
      <c r="N4636" t="s">
        <v>351</v>
      </c>
      <c r="O4636">
        <v>1</v>
      </c>
      <c r="P4636" t="s">
        <v>352</v>
      </c>
      <c r="Q4636" t="s">
        <v>353</v>
      </c>
      <c r="R4636" t="s">
        <v>201</v>
      </c>
      <c r="S4636">
        <v>1</v>
      </c>
      <c r="T4636">
        <v>1</v>
      </c>
      <c r="U4636">
        <v>108576</v>
      </c>
      <c r="V4636">
        <v>108576</v>
      </c>
    </row>
    <row r="4637" spans="1:22">
      <c r="A4637" t="s">
        <v>196</v>
      </c>
      <c r="B4637">
        <v>88</v>
      </c>
      <c r="C4637" t="s">
        <v>1852</v>
      </c>
      <c r="D4637">
        <v>200</v>
      </c>
      <c r="E4637" t="s">
        <v>1834</v>
      </c>
      <c r="F4637">
        <v>1010</v>
      </c>
      <c r="G4637" t="s">
        <v>81</v>
      </c>
      <c r="H4637">
        <v>2010</v>
      </c>
      <c r="I4637" t="s">
        <v>81</v>
      </c>
      <c r="J4637">
        <v>3072</v>
      </c>
      <c r="K4637" t="s">
        <v>638</v>
      </c>
      <c r="L4637">
        <v>0</v>
      </c>
      <c r="N4637" t="s">
        <v>622</v>
      </c>
      <c r="O4637">
        <v>1</v>
      </c>
      <c r="P4637" t="s">
        <v>667</v>
      </c>
      <c r="Q4637" t="s">
        <v>205</v>
      </c>
      <c r="R4637" t="s">
        <v>201</v>
      </c>
      <c r="S4637">
        <v>2</v>
      </c>
      <c r="T4637">
        <v>1</v>
      </c>
      <c r="U4637">
        <v>90144</v>
      </c>
      <c r="V4637">
        <v>180288</v>
      </c>
    </row>
    <row r="4638" spans="1:22">
      <c r="A4638" t="s">
        <v>196</v>
      </c>
      <c r="B4638">
        <v>88</v>
      </c>
      <c r="C4638" t="s">
        <v>1852</v>
      </c>
      <c r="D4638">
        <v>200</v>
      </c>
      <c r="E4638" t="s">
        <v>1834</v>
      </c>
      <c r="F4638">
        <v>1010</v>
      </c>
      <c r="G4638" t="s">
        <v>81</v>
      </c>
      <c r="H4638">
        <v>2010</v>
      </c>
      <c r="I4638" t="s">
        <v>81</v>
      </c>
      <c r="J4638">
        <v>3072</v>
      </c>
      <c r="K4638" t="s">
        <v>638</v>
      </c>
      <c r="L4638">
        <v>0</v>
      </c>
      <c r="N4638" t="s">
        <v>622</v>
      </c>
      <c r="O4638">
        <v>1</v>
      </c>
      <c r="P4638" t="s">
        <v>667</v>
      </c>
      <c r="Q4638" t="s">
        <v>205</v>
      </c>
      <c r="R4638" t="s">
        <v>201</v>
      </c>
      <c r="S4638">
        <v>1</v>
      </c>
      <c r="T4638">
        <v>1</v>
      </c>
      <c r="U4638">
        <v>51936</v>
      </c>
      <c r="V4638">
        <v>51936</v>
      </c>
    </row>
    <row r="4639" spans="1:22">
      <c r="A4639" t="s">
        <v>196</v>
      </c>
      <c r="B4639">
        <v>88</v>
      </c>
      <c r="C4639" t="s">
        <v>1852</v>
      </c>
      <c r="D4639">
        <v>200</v>
      </c>
      <c r="E4639" t="s">
        <v>1834</v>
      </c>
      <c r="F4639">
        <v>1010</v>
      </c>
      <c r="G4639" t="s">
        <v>81</v>
      </c>
      <c r="H4639">
        <v>2010</v>
      </c>
      <c r="I4639" t="s">
        <v>81</v>
      </c>
      <c r="J4639">
        <v>3072</v>
      </c>
      <c r="K4639" t="s">
        <v>638</v>
      </c>
      <c r="L4639">
        <v>0</v>
      </c>
      <c r="N4639" t="s">
        <v>245</v>
      </c>
      <c r="O4639">
        <v>20</v>
      </c>
      <c r="P4639">
        <v>187</v>
      </c>
      <c r="Q4639" t="s">
        <v>656</v>
      </c>
      <c r="R4639" t="s">
        <v>201</v>
      </c>
      <c r="S4639">
        <v>1</v>
      </c>
      <c r="T4639">
        <v>1</v>
      </c>
      <c r="U4639">
        <v>135000</v>
      </c>
      <c r="V4639">
        <v>135000</v>
      </c>
    </row>
    <row r="4640" spans="1:22">
      <c r="A4640" t="s">
        <v>196</v>
      </c>
      <c r="B4640">
        <v>88</v>
      </c>
      <c r="C4640" t="s">
        <v>1852</v>
      </c>
      <c r="D4640">
        <v>200</v>
      </c>
      <c r="E4640" t="s">
        <v>1834</v>
      </c>
      <c r="F4640">
        <v>1010</v>
      </c>
      <c r="G4640" t="s">
        <v>81</v>
      </c>
      <c r="H4640">
        <v>2010</v>
      </c>
      <c r="I4640" t="s">
        <v>81</v>
      </c>
      <c r="J4640">
        <v>3072</v>
      </c>
      <c r="K4640" t="s">
        <v>638</v>
      </c>
      <c r="L4640">
        <v>0</v>
      </c>
      <c r="N4640" t="s">
        <v>281</v>
      </c>
      <c r="O4640">
        <v>10</v>
      </c>
      <c r="P4640">
        <v>135</v>
      </c>
      <c r="Q4640" t="s">
        <v>672</v>
      </c>
      <c r="R4640" t="s">
        <v>201</v>
      </c>
      <c r="S4640">
        <v>1</v>
      </c>
      <c r="T4640">
        <v>1</v>
      </c>
      <c r="U4640">
        <v>82884</v>
      </c>
      <c r="V4640">
        <v>82884</v>
      </c>
    </row>
    <row r="4641" spans="1:22">
      <c r="A4641" t="s">
        <v>196</v>
      </c>
      <c r="B4641">
        <v>88</v>
      </c>
      <c r="C4641" t="s">
        <v>1852</v>
      </c>
      <c r="D4641">
        <v>200</v>
      </c>
      <c r="E4641" t="s">
        <v>1834</v>
      </c>
      <c r="F4641">
        <v>1010</v>
      </c>
      <c r="G4641" t="s">
        <v>81</v>
      </c>
      <c r="H4641">
        <v>2010</v>
      </c>
      <c r="I4641" t="s">
        <v>81</v>
      </c>
      <c r="J4641">
        <v>3072</v>
      </c>
      <c r="K4641" t="s">
        <v>638</v>
      </c>
      <c r="L4641">
        <v>0</v>
      </c>
      <c r="N4641" t="s">
        <v>268</v>
      </c>
      <c r="O4641">
        <v>10</v>
      </c>
      <c r="P4641">
        <v>134</v>
      </c>
      <c r="Q4641" t="s">
        <v>322</v>
      </c>
      <c r="R4641" t="s">
        <v>201</v>
      </c>
      <c r="S4641">
        <v>1</v>
      </c>
      <c r="T4641">
        <v>1</v>
      </c>
      <c r="U4641">
        <v>113568</v>
      </c>
      <c r="V4641">
        <v>113568</v>
      </c>
    </row>
    <row r="4642" spans="1:22">
      <c r="A4642" t="s">
        <v>196</v>
      </c>
      <c r="B4642">
        <v>88</v>
      </c>
      <c r="C4642" t="s">
        <v>1852</v>
      </c>
      <c r="D4642">
        <v>200</v>
      </c>
      <c r="E4642" t="s">
        <v>1834</v>
      </c>
      <c r="F4642">
        <v>1010</v>
      </c>
      <c r="G4642" t="s">
        <v>81</v>
      </c>
      <c r="H4642">
        <v>2010</v>
      </c>
      <c r="I4642" t="s">
        <v>81</v>
      </c>
      <c r="J4642">
        <v>3072</v>
      </c>
      <c r="K4642" t="s">
        <v>638</v>
      </c>
      <c r="L4642">
        <v>0</v>
      </c>
      <c r="N4642" t="s">
        <v>253</v>
      </c>
      <c r="O4642">
        <v>20</v>
      </c>
      <c r="P4642">
        <v>126</v>
      </c>
      <c r="Q4642" t="s">
        <v>651</v>
      </c>
      <c r="R4642" t="s">
        <v>201</v>
      </c>
      <c r="S4642">
        <v>1</v>
      </c>
      <c r="T4642">
        <v>1</v>
      </c>
      <c r="U4642">
        <v>89112</v>
      </c>
      <c r="V4642">
        <v>89112</v>
      </c>
    </row>
    <row r="4643" spans="1:22">
      <c r="A4643" t="s">
        <v>196</v>
      </c>
      <c r="B4643">
        <v>88</v>
      </c>
      <c r="C4643" t="s">
        <v>1852</v>
      </c>
      <c r="D4643">
        <v>200</v>
      </c>
      <c r="E4643" t="s">
        <v>1834</v>
      </c>
      <c r="F4643">
        <v>1010</v>
      </c>
      <c r="G4643" t="s">
        <v>81</v>
      </c>
      <c r="H4643">
        <v>2010</v>
      </c>
      <c r="I4643" t="s">
        <v>81</v>
      </c>
      <c r="J4643">
        <v>3072</v>
      </c>
      <c r="K4643" t="s">
        <v>638</v>
      </c>
      <c r="L4643">
        <v>0</v>
      </c>
      <c r="N4643" t="s">
        <v>297</v>
      </c>
      <c r="O4643">
        <v>20</v>
      </c>
      <c r="P4643">
        <v>120</v>
      </c>
      <c r="Q4643" t="s">
        <v>657</v>
      </c>
      <c r="R4643" t="s">
        <v>201</v>
      </c>
      <c r="S4643">
        <v>1</v>
      </c>
      <c r="T4643">
        <v>1</v>
      </c>
      <c r="U4643">
        <v>130476</v>
      </c>
      <c r="V4643">
        <v>130476</v>
      </c>
    </row>
    <row r="4644" spans="1:22">
      <c r="A4644" t="s">
        <v>196</v>
      </c>
      <c r="B4644">
        <v>88</v>
      </c>
      <c r="C4644" t="s">
        <v>1852</v>
      </c>
      <c r="D4644">
        <v>200</v>
      </c>
      <c r="E4644" t="s">
        <v>1834</v>
      </c>
      <c r="F4644">
        <v>1010</v>
      </c>
      <c r="G4644" t="s">
        <v>81</v>
      </c>
      <c r="H4644">
        <v>2010</v>
      </c>
      <c r="I4644" t="s">
        <v>81</v>
      </c>
      <c r="J4644">
        <v>3072</v>
      </c>
      <c r="K4644" t="s">
        <v>638</v>
      </c>
      <c r="L4644">
        <v>0</v>
      </c>
      <c r="N4644" t="s">
        <v>271</v>
      </c>
      <c r="O4644">
        <v>20</v>
      </c>
      <c r="P4644">
        <v>117</v>
      </c>
      <c r="Q4644" t="s">
        <v>1224</v>
      </c>
      <c r="R4644" t="s">
        <v>201</v>
      </c>
      <c r="S4644">
        <v>1</v>
      </c>
      <c r="T4644">
        <v>1</v>
      </c>
      <c r="U4644">
        <v>131124</v>
      </c>
      <c r="V4644">
        <v>131124</v>
      </c>
    </row>
    <row r="4645" spans="1:22">
      <c r="A4645" t="s">
        <v>196</v>
      </c>
      <c r="B4645">
        <v>88</v>
      </c>
      <c r="C4645" t="s">
        <v>1852</v>
      </c>
      <c r="D4645">
        <v>200</v>
      </c>
      <c r="E4645" t="s">
        <v>1834</v>
      </c>
      <c r="F4645">
        <v>1010</v>
      </c>
      <c r="G4645" t="s">
        <v>81</v>
      </c>
      <c r="H4645">
        <v>2010</v>
      </c>
      <c r="I4645" t="s">
        <v>81</v>
      </c>
      <c r="J4645">
        <v>3072</v>
      </c>
      <c r="K4645" t="s">
        <v>638</v>
      </c>
      <c r="L4645">
        <v>0</v>
      </c>
      <c r="N4645" t="s">
        <v>1314</v>
      </c>
      <c r="O4645">
        <v>0</v>
      </c>
      <c r="P4645">
        <v>112</v>
      </c>
      <c r="Q4645" t="s">
        <v>358</v>
      </c>
      <c r="R4645" t="s">
        <v>201</v>
      </c>
      <c r="S4645">
        <v>1</v>
      </c>
      <c r="T4645">
        <v>1</v>
      </c>
      <c r="U4645">
        <v>160680</v>
      </c>
      <c r="V4645">
        <v>160680</v>
      </c>
    </row>
    <row r="4646" spans="1:22">
      <c r="A4646" t="s">
        <v>196</v>
      </c>
      <c r="B4646">
        <v>88</v>
      </c>
      <c r="C4646" t="s">
        <v>1852</v>
      </c>
      <c r="D4646">
        <v>200</v>
      </c>
      <c r="E4646" t="s">
        <v>1834</v>
      </c>
      <c r="F4646">
        <v>1010</v>
      </c>
      <c r="G4646" t="s">
        <v>81</v>
      </c>
      <c r="H4646">
        <v>2010</v>
      </c>
      <c r="I4646" t="s">
        <v>81</v>
      </c>
      <c r="J4646">
        <v>3072</v>
      </c>
      <c r="K4646" t="s">
        <v>638</v>
      </c>
      <c r="L4646">
        <v>0</v>
      </c>
      <c r="N4646" t="s">
        <v>1314</v>
      </c>
      <c r="O4646">
        <v>0</v>
      </c>
      <c r="P4646">
        <v>112</v>
      </c>
      <c r="Q4646" t="s">
        <v>358</v>
      </c>
      <c r="R4646" t="s">
        <v>201</v>
      </c>
      <c r="S4646">
        <v>1</v>
      </c>
      <c r="T4646">
        <v>1</v>
      </c>
      <c r="U4646">
        <v>133836</v>
      </c>
      <c r="V4646">
        <v>133836</v>
      </c>
    </row>
    <row r="4647" spans="1:22">
      <c r="A4647" t="s">
        <v>196</v>
      </c>
      <c r="B4647">
        <v>88</v>
      </c>
      <c r="C4647" t="s">
        <v>1852</v>
      </c>
      <c r="D4647">
        <v>200</v>
      </c>
      <c r="E4647" t="s">
        <v>1834</v>
      </c>
      <c r="F4647">
        <v>1010</v>
      </c>
      <c r="G4647" t="s">
        <v>81</v>
      </c>
      <c r="H4647">
        <v>2010</v>
      </c>
      <c r="I4647" t="s">
        <v>81</v>
      </c>
      <c r="J4647">
        <v>3072</v>
      </c>
      <c r="K4647" t="s">
        <v>638</v>
      </c>
      <c r="L4647">
        <v>0</v>
      </c>
      <c r="N4647" t="s">
        <v>356</v>
      </c>
      <c r="O4647">
        <v>4</v>
      </c>
      <c r="P4647">
        <v>111</v>
      </c>
      <c r="Q4647" t="s">
        <v>648</v>
      </c>
      <c r="R4647" t="s">
        <v>201</v>
      </c>
      <c r="S4647">
        <v>1</v>
      </c>
      <c r="T4647">
        <v>1</v>
      </c>
      <c r="U4647">
        <v>129636</v>
      </c>
      <c r="V4647">
        <v>129636</v>
      </c>
    </row>
    <row r="4648" spans="1:22">
      <c r="A4648" t="s">
        <v>196</v>
      </c>
      <c r="B4648">
        <v>88</v>
      </c>
      <c r="C4648" t="s">
        <v>1852</v>
      </c>
      <c r="D4648">
        <v>200</v>
      </c>
      <c r="E4648" t="s">
        <v>1834</v>
      </c>
      <c r="F4648">
        <v>1010</v>
      </c>
      <c r="G4648" t="s">
        <v>81</v>
      </c>
      <c r="H4648">
        <v>2010</v>
      </c>
      <c r="I4648" t="s">
        <v>81</v>
      </c>
      <c r="J4648">
        <v>3072</v>
      </c>
      <c r="K4648" t="s">
        <v>638</v>
      </c>
      <c r="L4648">
        <v>0</v>
      </c>
      <c r="N4648" t="s">
        <v>341</v>
      </c>
      <c r="O4648">
        <v>4</v>
      </c>
      <c r="P4648">
        <v>110</v>
      </c>
      <c r="Q4648" t="s">
        <v>359</v>
      </c>
      <c r="R4648" t="s">
        <v>201</v>
      </c>
      <c r="S4648">
        <v>1</v>
      </c>
      <c r="T4648">
        <v>1</v>
      </c>
      <c r="U4648">
        <v>77640</v>
      </c>
      <c r="V4648">
        <v>77640</v>
      </c>
    </row>
    <row r="4649" spans="1:22">
      <c r="A4649" t="s">
        <v>196</v>
      </c>
      <c r="B4649">
        <v>88</v>
      </c>
      <c r="C4649" t="s">
        <v>1852</v>
      </c>
      <c r="D4649">
        <v>200</v>
      </c>
      <c r="E4649" t="s">
        <v>1834</v>
      </c>
      <c r="F4649">
        <v>1010</v>
      </c>
      <c r="G4649" t="s">
        <v>81</v>
      </c>
      <c r="H4649">
        <v>2010</v>
      </c>
      <c r="I4649" t="s">
        <v>81</v>
      </c>
      <c r="J4649">
        <v>3072</v>
      </c>
      <c r="K4649" t="s">
        <v>638</v>
      </c>
      <c r="L4649">
        <v>0</v>
      </c>
      <c r="N4649" t="s">
        <v>360</v>
      </c>
      <c r="O4649">
        <v>1</v>
      </c>
      <c r="P4649">
        <v>109</v>
      </c>
      <c r="Q4649" t="s">
        <v>361</v>
      </c>
      <c r="R4649" t="s">
        <v>201</v>
      </c>
      <c r="S4649">
        <v>4</v>
      </c>
      <c r="T4649">
        <v>1</v>
      </c>
      <c r="U4649">
        <v>61548</v>
      </c>
      <c r="V4649">
        <v>246192</v>
      </c>
    </row>
    <row r="4650" spans="1:22">
      <c r="A4650" t="s">
        <v>196</v>
      </c>
      <c r="B4650">
        <v>88</v>
      </c>
      <c r="C4650" t="s">
        <v>1852</v>
      </c>
      <c r="D4650">
        <v>200</v>
      </c>
      <c r="E4650" t="s">
        <v>1834</v>
      </c>
      <c r="F4650">
        <v>1010</v>
      </c>
      <c r="G4650" t="s">
        <v>81</v>
      </c>
      <c r="H4650">
        <v>2010</v>
      </c>
      <c r="I4650" t="s">
        <v>81</v>
      </c>
      <c r="J4650">
        <v>3072</v>
      </c>
      <c r="K4650" t="s">
        <v>638</v>
      </c>
      <c r="L4650">
        <v>0</v>
      </c>
      <c r="N4650" t="s">
        <v>199</v>
      </c>
      <c r="O4650">
        <v>0</v>
      </c>
      <c r="P4650">
        <v>15</v>
      </c>
      <c r="Q4650" t="s">
        <v>264</v>
      </c>
      <c r="R4650" t="s">
        <v>201</v>
      </c>
      <c r="S4650">
        <v>0</v>
      </c>
      <c r="T4650">
        <v>0</v>
      </c>
      <c r="U4650">
        <v>12305</v>
      </c>
      <c r="V4650">
        <v>12305</v>
      </c>
    </row>
    <row r="4651" spans="1:22">
      <c r="A4651" t="s">
        <v>196</v>
      </c>
      <c r="B4651">
        <v>88</v>
      </c>
      <c r="C4651" t="s">
        <v>1852</v>
      </c>
      <c r="D4651">
        <v>200</v>
      </c>
      <c r="E4651" t="s">
        <v>1834</v>
      </c>
      <c r="F4651">
        <v>1015</v>
      </c>
      <c r="G4651" t="s">
        <v>69</v>
      </c>
      <c r="H4651">
        <v>2015</v>
      </c>
      <c r="I4651" t="s">
        <v>69</v>
      </c>
      <c r="J4651">
        <v>3103</v>
      </c>
      <c r="K4651" t="s">
        <v>1853</v>
      </c>
      <c r="L4651">
        <v>0</v>
      </c>
      <c r="N4651" t="s">
        <v>1294</v>
      </c>
      <c r="O4651">
        <v>0</v>
      </c>
      <c r="P4651">
        <v>9681</v>
      </c>
      <c r="Q4651" t="s">
        <v>338</v>
      </c>
      <c r="R4651" t="s">
        <v>201</v>
      </c>
      <c r="S4651">
        <v>1</v>
      </c>
      <c r="T4651">
        <v>1</v>
      </c>
      <c r="U4651">
        <v>172920</v>
      </c>
      <c r="V4651">
        <v>172920</v>
      </c>
    </row>
    <row r="4652" spans="1:22">
      <c r="A4652" t="s">
        <v>196</v>
      </c>
      <c r="B4652">
        <v>88</v>
      </c>
      <c r="C4652" t="s">
        <v>1852</v>
      </c>
      <c r="D4652">
        <v>200</v>
      </c>
      <c r="E4652" t="s">
        <v>1834</v>
      </c>
      <c r="F4652">
        <v>1015</v>
      </c>
      <c r="G4652" t="s">
        <v>69</v>
      </c>
      <c r="H4652">
        <v>2015</v>
      </c>
      <c r="I4652" t="s">
        <v>69</v>
      </c>
      <c r="J4652">
        <v>3103</v>
      </c>
      <c r="K4652" t="s">
        <v>1853</v>
      </c>
      <c r="L4652">
        <v>0</v>
      </c>
      <c r="N4652" t="s">
        <v>341</v>
      </c>
      <c r="O4652">
        <v>1</v>
      </c>
      <c r="P4652">
        <v>308</v>
      </c>
      <c r="Q4652" t="s">
        <v>355</v>
      </c>
      <c r="R4652" t="s">
        <v>201</v>
      </c>
      <c r="S4652">
        <v>1</v>
      </c>
      <c r="T4652">
        <v>1</v>
      </c>
      <c r="U4652">
        <v>108576</v>
      </c>
      <c r="V4652">
        <v>108576</v>
      </c>
    </row>
    <row r="4653" spans="1:22">
      <c r="A4653" t="s">
        <v>196</v>
      </c>
      <c r="B4653">
        <v>88</v>
      </c>
      <c r="C4653" t="s">
        <v>1852</v>
      </c>
      <c r="D4653">
        <v>200</v>
      </c>
      <c r="E4653" t="s">
        <v>1834</v>
      </c>
      <c r="F4653">
        <v>1015</v>
      </c>
      <c r="G4653" t="s">
        <v>69</v>
      </c>
      <c r="H4653">
        <v>2015</v>
      </c>
      <c r="I4653" t="s">
        <v>69</v>
      </c>
      <c r="J4653">
        <v>3103</v>
      </c>
      <c r="K4653" t="s">
        <v>1853</v>
      </c>
      <c r="L4653">
        <v>0</v>
      </c>
      <c r="N4653" t="s">
        <v>199</v>
      </c>
      <c r="O4653">
        <v>0</v>
      </c>
      <c r="P4653">
        <v>15</v>
      </c>
      <c r="Q4653" t="s">
        <v>264</v>
      </c>
      <c r="R4653" t="s">
        <v>201</v>
      </c>
      <c r="S4653">
        <v>0</v>
      </c>
      <c r="T4653">
        <v>0</v>
      </c>
      <c r="U4653">
        <v>8262</v>
      </c>
      <c r="V4653">
        <v>8262</v>
      </c>
    </row>
    <row r="4654" spans="1:22">
      <c r="A4654" t="s">
        <v>196</v>
      </c>
      <c r="B4654">
        <v>88</v>
      </c>
      <c r="C4654" t="s">
        <v>1852</v>
      </c>
      <c r="D4654">
        <v>200</v>
      </c>
      <c r="E4654" t="s">
        <v>1834</v>
      </c>
      <c r="F4654">
        <v>1015</v>
      </c>
      <c r="G4654" t="s">
        <v>69</v>
      </c>
      <c r="H4654">
        <v>2015</v>
      </c>
      <c r="I4654" t="s">
        <v>69</v>
      </c>
      <c r="J4654">
        <v>3105</v>
      </c>
      <c r="K4654" t="s">
        <v>1865</v>
      </c>
      <c r="L4654">
        <v>0</v>
      </c>
      <c r="N4654" t="s">
        <v>602</v>
      </c>
      <c r="O4654">
        <v>4</v>
      </c>
      <c r="P4654">
        <v>6054</v>
      </c>
      <c r="Q4654" t="s">
        <v>1866</v>
      </c>
      <c r="R4654" t="s">
        <v>201</v>
      </c>
      <c r="S4654">
        <v>1</v>
      </c>
      <c r="T4654">
        <v>1</v>
      </c>
      <c r="U4654">
        <v>141564</v>
      </c>
      <c r="V4654">
        <v>141564</v>
      </c>
    </row>
    <row r="4655" spans="1:22">
      <c r="A4655" t="s">
        <v>196</v>
      </c>
      <c r="B4655">
        <v>88</v>
      </c>
      <c r="C4655" t="s">
        <v>1852</v>
      </c>
      <c r="D4655">
        <v>200</v>
      </c>
      <c r="E4655" t="s">
        <v>1834</v>
      </c>
      <c r="F4655">
        <v>1015</v>
      </c>
      <c r="G4655" t="s">
        <v>69</v>
      </c>
      <c r="H4655">
        <v>2015</v>
      </c>
      <c r="I4655" t="s">
        <v>69</v>
      </c>
      <c r="J4655">
        <v>3105</v>
      </c>
      <c r="K4655" t="s">
        <v>1865</v>
      </c>
      <c r="L4655">
        <v>0</v>
      </c>
      <c r="N4655" t="s">
        <v>1314</v>
      </c>
      <c r="O4655">
        <v>9</v>
      </c>
      <c r="P4655">
        <v>5693</v>
      </c>
      <c r="Q4655" t="s">
        <v>1867</v>
      </c>
      <c r="R4655" t="s">
        <v>201</v>
      </c>
      <c r="S4655">
        <v>2</v>
      </c>
      <c r="T4655">
        <v>1</v>
      </c>
      <c r="U4655">
        <v>167700</v>
      </c>
      <c r="V4655">
        <v>335400</v>
      </c>
    </row>
    <row r="4656" spans="1:22">
      <c r="A4656" t="s">
        <v>196</v>
      </c>
      <c r="B4656">
        <v>88</v>
      </c>
      <c r="C4656" t="s">
        <v>1852</v>
      </c>
      <c r="D4656">
        <v>200</v>
      </c>
      <c r="E4656" t="s">
        <v>1834</v>
      </c>
      <c r="F4656">
        <v>1015</v>
      </c>
      <c r="G4656" t="s">
        <v>69</v>
      </c>
      <c r="H4656">
        <v>2015</v>
      </c>
      <c r="I4656" t="s">
        <v>69</v>
      </c>
      <c r="J4656">
        <v>3105</v>
      </c>
      <c r="K4656" t="s">
        <v>1865</v>
      </c>
      <c r="L4656">
        <v>0</v>
      </c>
      <c r="N4656" t="s">
        <v>1314</v>
      </c>
      <c r="O4656">
        <v>9</v>
      </c>
      <c r="P4656">
        <v>5693</v>
      </c>
      <c r="Q4656" t="s">
        <v>1867</v>
      </c>
      <c r="R4656" t="s">
        <v>201</v>
      </c>
      <c r="S4656">
        <v>1</v>
      </c>
      <c r="T4656">
        <v>1</v>
      </c>
      <c r="U4656">
        <v>150768</v>
      </c>
      <c r="V4656">
        <v>150768</v>
      </c>
    </row>
    <row r="4657" spans="1:22">
      <c r="A4657" t="s">
        <v>196</v>
      </c>
      <c r="B4657">
        <v>88</v>
      </c>
      <c r="C4657" t="s">
        <v>1852</v>
      </c>
      <c r="D4657">
        <v>200</v>
      </c>
      <c r="E4657" t="s">
        <v>1834</v>
      </c>
      <c r="F4657">
        <v>1015</v>
      </c>
      <c r="G4657" t="s">
        <v>69</v>
      </c>
      <c r="H4657">
        <v>2015</v>
      </c>
      <c r="I4657" t="s">
        <v>69</v>
      </c>
      <c r="J4657">
        <v>3105</v>
      </c>
      <c r="K4657" t="s">
        <v>1865</v>
      </c>
      <c r="L4657">
        <v>0</v>
      </c>
      <c r="N4657" t="s">
        <v>1370</v>
      </c>
      <c r="O4657">
        <v>20</v>
      </c>
      <c r="P4657">
        <v>5632</v>
      </c>
      <c r="Q4657" t="s">
        <v>1798</v>
      </c>
      <c r="R4657" t="s">
        <v>201</v>
      </c>
      <c r="S4657">
        <v>1</v>
      </c>
      <c r="T4657">
        <v>1</v>
      </c>
      <c r="U4657">
        <v>140496</v>
      </c>
      <c r="V4657">
        <v>140496</v>
      </c>
    </row>
    <row r="4658" spans="1:22">
      <c r="A4658" t="s">
        <v>196</v>
      </c>
      <c r="B4658">
        <v>88</v>
      </c>
      <c r="C4658" t="s">
        <v>1852</v>
      </c>
      <c r="D4658">
        <v>200</v>
      </c>
      <c r="E4658" t="s">
        <v>1834</v>
      </c>
      <c r="F4658">
        <v>1015</v>
      </c>
      <c r="G4658" t="s">
        <v>69</v>
      </c>
      <c r="H4658">
        <v>2015</v>
      </c>
      <c r="I4658" t="s">
        <v>69</v>
      </c>
      <c r="J4658">
        <v>3105</v>
      </c>
      <c r="K4658" t="s">
        <v>1865</v>
      </c>
      <c r="L4658">
        <v>0</v>
      </c>
      <c r="N4658" t="s">
        <v>271</v>
      </c>
      <c r="O4658">
        <v>20</v>
      </c>
      <c r="P4658">
        <v>5630</v>
      </c>
      <c r="Q4658" t="s">
        <v>955</v>
      </c>
      <c r="R4658" t="s">
        <v>201</v>
      </c>
      <c r="S4658">
        <v>1</v>
      </c>
      <c r="T4658">
        <v>1</v>
      </c>
      <c r="U4658">
        <v>115992</v>
      </c>
      <c r="V4658">
        <v>115992</v>
      </c>
    </row>
    <row r="4659" spans="1:22">
      <c r="A4659" t="s">
        <v>196</v>
      </c>
      <c r="B4659">
        <v>88</v>
      </c>
      <c r="C4659" t="s">
        <v>1852</v>
      </c>
      <c r="D4659">
        <v>200</v>
      </c>
      <c r="E4659" t="s">
        <v>1834</v>
      </c>
      <c r="F4659">
        <v>1015</v>
      </c>
      <c r="G4659" t="s">
        <v>69</v>
      </c>
      <c r="H4659">
        <v>2015</v>
      </c>
      <c r="I4659" t="s">
        <v>69</v>
      </c>
      <c r="J4659">
        <v>3105</v>
      </c>
      <c r="K4659" t="s">
        <v>1865</v>
      </c>
      <c r="L4659">
        <v>0</v>
      </c>
      <c r="N4659" t="s">
        <v>199</v>
      </c>
      <c r="O4659">
        <v>0</v>
      </c>
      <c r="P4659">
        <v>15</v>
      </c>
      <c r="Q4659" t="s">
        <v>264</v>
      </c>
      <c r="R4659" t="s">
        <v>201</v>
      </c>
      <c r="S4659">
        <v>0</v>
      </c>
      <c r="T4659">
        <v>0</v>
      </c>
      <c r="U4659">
        <v>11164</v>
      </c>
      <c r="V4659">
        <v>11164</v>
      </c>
    </row>
    <row r="4660" spans="1:22">
      <c r="A4660" t="s">
        <v>196</v>
      </c>
      <c r="B4660">
        <v>88</v>
      </c>
      <c r="C4660" t="s">
        <v>1852</v>
      </c>
      <c r="D4660">
        <v>200</v>
      </c>
      <c r="E4660" t="s">
        <v>1834</v>
      </c>
      <c r="F4660">
        <v>1015</v>
      </c>
      <c r="G4660" t="s">
        <v>69</v>
      </c>
      <c r="H4660">
        <v>2015</v>
      </c>
      <c r="I4660" t="s">
        <v>69</v>
      </c>
      <c r="J4660">
        <v>3110</v>
      </c>
      <c r="K4660" t="s">
        <v>1868</v>
      </c>
      <c r="L4660">
        <v>0</v>
      </c>
      <c r="N4660" t="s">
        <v>1314</v>
      </c>
      <c r="O4660">
        <v>9</v>
      </c>
      <c r="P4660">
        <v>5693</v>
      </c>
      <c r="Q4660" t="s">
        <v>1867</v>
      </c>
      <c r="R4660" t="s">
        <v>201</v>
      </c>
      <c r="S4660">
        <v>2</v>
      </c>
      <c r="T4660">
        <v>1</v>
      </c>
      <c r="U4660">
        <v>133836</v>
      </c>
      <c r="V4660">
        <v>267672</v>
      </c>
    </row>
    <row r="4661" spans="1:22">
      <c r="A4661" t="s">
        <v>196</v>
      </c>
      <c r="B4661">
        <v>88</v>
      </c>
      <c r="C4661" t="s">
        <v>1852</v>
      </c>
      <c r="D4661">
        <v>200</v>
      </c>
      <c r="E4661" t="s">
        <v>1834</v>
      </c>
      <c r="F4661">
        <v>1015</v>
      </c>
      <c r="G4661" t="s">
        <v>69</v>
      </c>
      <c r="H4661">
        <v>2015</v>
      </c>
      <c r="I4661" t="s">
        <v>69</v>
      </c>
      <c r="J4661">
        <v>3110</v>
      </c>
      <c r="K4661" t="s">
        <v>1868</v>
      </c>
      <c r="L4661">
        <v>0</v>
      </c>
      <c r="N4661" t="s">
        <v>271</v>
      </c>
      <c r="O4661">
        <v>20</v>
      </c>
      <c r="P4661">
        <v>5630</v>
      </c>
      <c r="Q4661" t="s">
        <v>955</v>
      </c>
      <c r="R4661" t="s">
        <v>201</v>
      </c>
      <c r="S4661">
        <v>1</v>
      </c>
      <c r="T4661">
        <v>1</v>
      </c>
      <c r="U4661">
        <v>115992</v>
      </c>
      <c r="V4661">
        <v>115992</v>
      </c>
    </row>
    <row r="4662" spans="1:22">
      <c r="A4662" t="s">
        <v>196</v>
      </c>
      <c r="B4662">
        <v>88</v>
      </c>
      <c r="C4662" t="s">
        <v>1852</v>
      </c>
      <c r="D4662">
        <v>200</v>
      </c>
      <c r="E4662" t="s">
        <v>1834</v>
      </c>
      <c r="F4662">
        <v>1015</v>
      </c>
      <c r="G4662" t="s">
        <v>69</v>
      </c>
      <c r="H4662">
        <v>2015</v>
      </c>
      <c r="I4662" t="s">
        <v>69</v>
      </c>
      <c r="J4662">
        <v>3110</v>
      </c>
      <c r="K4662" t="s">
        <v>1868</v>
      </c>
      <c r="L4662">
        <v>0</v>
      </c>
      <c r="N4662" t="s">
        <v>245</v>
      </c>
      <c r="O4662">
        <v>20</v>
      </c>
      <c r="P4662">
        <v>5615</v>
      </c>
      <c r="Q4662" t="s">
        <v>1782</v>
      </c>
      <c r="R4662" t="s">
        <v>201</v>
      </c>
      <c r="S4662">
        <v>1</v>
      </c>
      <c r="T4662">
        <v>1</v>
      </c>
      <c r="U4662">
        <v>126756</v>
      </c>
      <c r="V4662">
        <v>126756</v>
      </c>
    </row>
    <row r="4663" spans="1:22">
      <c r="A4663" t="s">
        <v>196</v>
      </c>
      <c r="B4663">
        <v>88</v>
      </c>
      <c r="C4663" t="s">
        <v>1852</v>
      </c>
      <c r="D4663">
        <v>200</v>
      </c>
      <c r="E4663" t="s">
        <v>1834</v>
      </c>
      <c r="F4663">
        <v>1015</v>
      </c>
      <c r="G4663" t="s">
        <v>69</v>
      </c>
      <c r="H4663">
        <v>2015</v>
      </c>
      <c r="I4663" t="s">
        <v>69</v>
      </c>
      <c r="J4663">
        <v>3110</v>
      </c>
      <c r="K4663" t="s">
        <v>1868</v>
      </c>
      <c r="L4663">
        <v>0</v>
      </c>
      <c r="N4663" t="s">
        <v>245</v>
      </c>
      <c r="O4663">
        <v>20</v>
      </c>
      <c r="P4663">
        <v>5615</v>
      </c>
      <c r="Q4663" t="s">
        <v>1782</v>
      </c>
      <c r="R4663" t="s">
        <v>201</v>
      </c>
      <c r="S4663">
        <v>1</v>
      </c>
      <c r="T4663">
        <v>1</v>
      </c>
      <c r="U4663">
        <v>111000</v>
      </c>
      <c r="V4663">
        <v>111000</v>
      </c>
    </row>
    <row r="4664" spans="1:22">
      <c r="A4664" t="s">
        <v>196</v>
      </c>
      <c r="B4664">
        <v>88</v>
      </c>
      <c r="C4664" t="s">
        <v>1852</v>
      </c>
      <c r="D4664">
        <v>200</v>
      </c>
      <c r="E4664" t="s">
        <v>1834</v>
      </c>
      <c r="F4664">
        <v>1015</v>
      </c>
      <c r="G4664" t="s">
        <v>69</v>
      </c>
      <c r="H4664">
        <v>2015</v>
      </c>
      <c r="I4664" t="s">
        <v>69</v>
      </c>
      <c r="J4664">
        <v>3110</v>
      </c>
      <c r="K4664" t="s">
        <v>1868</v>
      </c>
      <c r="L4664">
        <v>0</v>
      </c>
      <c r="N4664" t="s">
        <v>1370</v>
      </c>
      <c r="O4664">
        <v>20</v>
      </c>
      <c r="P4664">
        <v>5611</v>
      </c>
      <c r="Q4664" t="s">
        <v>1869</v>
      </c>
      <c r="R4664" t="s">
        <v>201</v>
      </c>
      <c r="S4664">
        <v>1</v>
      </c>
      <c r="T4664">
        <v>1</v>
      </c>
      <c r="U4664">
        <v>144756</v>
      </c>
      <c r="V4664">
        <v>144756</v>
      </c>
    </row>
    <row r="4665" spans="1:22">
      <c r="A4665" t="s">
        <v>196</v>
      </c>
      <c r="B4665">
        <v>88</v>
      </c>
      <c r="C4665" t="s">
        <v>1852</v>
      </c>
      <c r="D4665">
        <v>200</v>
      </c>
      <c r="E4665" t="s">
        <v>1834</v>
      </c>
      <c r="F4665">
        <v>1015</v>
      </c>
      <c r="G4665" t="s">
        <v>69</v>
      </c>
      <c r="H4665">
        <v>2015</v>
      </c>
      <c r="I4665" t="s">
        <v>69</v>
      </c>
      <c r="J4665">
        <v>3110</v>
      </c>
      <c r="K4665" t="s">
        <v>1868</v>
      </c>
      <c r="L4665">
        <v>0</v>
      </c>
      <c r="N4665" t="s">
        <v>199</v>
      </c>
      <c r="O4665">
        <v>0</v>
      </c>
      <c r="P4665">
        <v>15</v>
      </c>
      <c r="Q4665" t="s">
        <v>264</v>
      </c>
      <c r="R4665" t="s">
        <v>201</v>
      </c>
      <c r="S4665">
        <v>0</v>
      </c>
      <c r="T4665">
        <v>0</v>
      </c>
      <c r="U4665">
        <v>8676</v>
      </c>
      <c r="V4665">
        <v>8676</v>
      </c>
    </row>
    <row r="4666" spans="1:22">
      <c r="A4666" t="s">
        <v>196</v>
      </c>
      <c r="B4666">
        <v>88</v>
      </c>
      <c r="C4666" t="s">
        <v>1852</v>
      </c>
      <c r="D4666">
        <v>200</v>
      </c>
      <c r="E4666" t="s">
        <v>1834</v>
      </c>
      <c r="F4666">
        <v>1015</v>
      </c>
      <c r="G4666" t="s">
        <v>69</v>
      </c>
      <c r="H4666">
        <v>2015</v>
      </c>
      <c r="I4666" t="s">
        <v>69</v>
      </c>
      <c r="J4666">
        <v>3121</v>
      </c>
      <c r="K4666" t="s">
        <v>1870</v>
      </c>
      <c r="L4666">
        <v>4003</v>
      </c>
      <c r="M4666" t="s">
        <v>1871</v>
      </c>
      <c r="N4666" t="s">
        <v>372</v>
      </c>
      <c r="O4666">
        <v>1</v>
      </c>
      <c r="P4666">
        <v>6144</v>
      </c>
      <c r="Q4666" t="s">
        <v>1466</v>
      </c>
      <c r="R4666" t="s">
        <v>201</v>
      </c>
      <c r="S4666">
        <v>1</v>
      </c>
      <c r="T4666">
        <v>1</v>
      </c>
      <c r="U4666">
        <v>130668</v>
      </c>
      <c r="V4666">
        <v>130668</v>
      </c>
    </row>
    <row r="4667" spans="1:22">
      <c r="A4667" t="s">
        <v>196</v>
      </c>
      <c r="B4667">
        <v>88</v>
      </c>
      <c r="C4667" t="s">
        <v>1852</v>
      </c>
      <c r="D4667">
        <v>200</v>
      </c>
      <c r="E4667" t="s">
        <v>1834</v>
      </c>
      <c r="F4667">
        <v>1015</v>
      </c>
      <c r="G4667" t="s">
        <v>69</v>
      </c>
      <c r="H4667">
        <v>2015</v>
      </c>
      <c r="I4667" t="s">
        <v>69</v>
      </c>
      <c r="J4667">
        <v>3121</v>
      </c>
      <c r="K4667" t="s">
        <v>1870</v>
      </c>
      <c r="L4667">
        <v>4003</v>
      </c>
      <c r="M4667" t="s">
        <v>1871</v>
      </c>
      <c r="N4667" t="s">
        <v>1370</v>
      </c>
      <c r="O4667">
        <v>20</v>
      </c>
      <c r="P4667">
        <v>5632</v>
      </c>
      <c r="Q4667" t="s">
        <v>1798</v>
      </c>
      <c r="R4667" t="s">
        <v>201</v>
      </c>
      <c r="S4667">
        <v>1</v>
      </c>
      <c r="T4667">
        <v>1</v>
      </c>
      <c r="U4667">
        <v>121320</v>
      </c>
      <c r="V4667">
        <v>121320</v>
      </c>
    </row>
    <row r="4668" spans="1:22">
      <c r="A4668" t="s">
        <v>196</v>
      </c>
      <c r="B4668">
        <v>88</v>
      </c>
      <c r="C4668" t="s">
        <v>1852</v>
      </c>
      <c r="D4668">
        <v>200</v>
      </c>
      <c r="E4668" t="s">
        <v>1834</v>
      </c>
      <c r="F4668">
        <v>1015</v>
      </c>
      <c r="G4668" t="s">
        <v>69</v>
      </c>
      <c r="H4668">
        <v>2015</v>
      </c>
      <c r="I4668" t="s">
        <v>69</v>
      </c>
      <c r="J4668">
        <v>3121</v>
      </c>
      <c r="K4668" t="s">
        <v>1870</v>
      </c>
      <c r="L4668">
        <v>4003</v>
      </c>
      <c r="M4668" t="s">
        <v>1871</v>
      </c>
      <c r="N4668" t="s">
        <v>271</v>
      </c>
      <c r="O4668">
        <v>20</v>
      </c>
      <c r="P4668">
        <v>5630</v>
      </c>
      <c r="Q4668" t="s">
        <v>955</v>
      </c>
      <c r="R4668" t="s">
        <v>201</v>
      </c>
      <c r="S4668">
        <v>4</v>
      </c>
      <c r="T4668">
        <v>1</v>
      </c>
      <c r="U4668">
        <v>115992</v>
      </c>
      <c r="V4668">
        <v>463968</v>
      </c>
    </row>
    <row r="4669" spans="1:22">
      <c r="A4669" t="s">
        <v>196</v>
      </c>
      <c r="B4669">
        <v>88</v>
      </c>
      <c r="C4669" t="s">
        <v>1852</v>
      </c>
      <c r="D4669">
        <v>200</v>
      </c>
      <c r="E4669" t="s">
        <v>1834</v>
      </c>
      <c r="F4669">
        <v>1015</v>
      </c>
      <c r="G4669" t="s">
        <v>69</v>
      </c>
      <c r="H4669">
        <v>2015</v>
      </c>
      <c r="I4669" t="s">
        <v>69</v>
      </c>
      <c r="J4669">
        <v>3121</v>
      </c>
      <c r="K4669" t="s">
        <v>1870</v>
      </c>
      <c r="L4669">
        <v>4003</v>
      </c>
      <c r="M4669" t="s">
        <v>1871</v>
      </c>
      <c r="N4669" t="s">
        <v>245</v>
      </c>
      <c r="O4669">
        <v>20</v>
      </c>
      <c r="P4669">
        <v>5615</v>
      </c>
      <c r="Q4669" t="s">
        <v>1782</v>
      </c>
      <c r="R4669" t="s">
        <v>201</v>
      </c>
      <c r="S4669">
        <v>7</v>
      </c>
      <c r="T4669">
        <v>1</v>
      </c>
      <c r="U4669">
        <v>106272</v>
      </c>
      <c r="V4669">
        <v>743904</v>
      </c>
    </row>
    <row r="4670" spans="1:22">
      <c r="A4670" t="s">
        <v>196</v>
      </c>
      <c r="B4670">
        <v>88</v>
      </c>
      <c r="C4670" t="s">
        <v>1852</v>
      </c>
      <c r="D4670">
        <v>200</v>
      </c>
      <c r="E4670" t="s">
        <v>1834</v>
      </c>
      <c r="F4670">
        <v>1015</v>
      </c>
      <c r="G4670" t="s">
        <v>69</v>
      </c>
      <c r="H4670">
        <v>2015</v>
      </c>
      <c r="I4670" t="s">
        <v>69</v>
      </c>
      <c r="J4670">
        <v>3121</v>
      </c>
      <c r="K4670" t="s">
        <v>1870</v>
      </c>
      <c r="L4670">
        <v>4003</v>
      </c>
      <c r="M4670" t="s">
        <v>1871</v>
      </c>
      <c r="N4670" t="s">
        <v>602</v>
      </c>
      <c r="O4670">
        <v>4</v>
      </c>
      <c r="P4670">
        <v>5614</v>
      </c>
      <c r="Q4670" t="s">
        <v>1783</v>
      </c>
      <c r="R4670" t="s">
        <v>201</v>
      </c>
      <c r="S4670">
        <v>1</v>
      </c>
      <c r="T4670">
        <v>1</v>
      </c>
      <c r="U4670">
        <v>107628</v>
      </c>
      <c r="V4670">
        <v>107628</v>
      </c>
    </row>
    <row r="4671" spans="1:22">
      <c r="A4671" t="s">
        <v>196</v>
      </c>
      <c r="B4671">
        <v>88</v>
      </c>
      <c r="C4671" t="s">
        <v>1852</v>
      </c>
      <c r="D4671">
        <v>200</v>
      </c>
      <c r="E4671" t="s">
        <v>1834</v>
      </c>
      <c r="F4671">
        <v>1015</v>
      </c>
      <c r="G4671" t="s">
        <v>69</v>
      </c>
      <c r="H4671">
        <v>2015</v>
      </c>
      <c r="I4671" t="s">
        <v>69</v>
      </c>
      <c r="J4671">
        <v>3121</v>
      </c>
      <c r="K4671" t="s">
        <v>1870</v>
      </c>
      <c r="L4671">
        <v>4003</v>
      </c>
      <c r="M4671" t="s">
        <v>1871</v>
      </c>
      <c r="N4671" t="s">
        <v>602</v>
      </c>
      <c r="O4671">
        <v>4</v>
      </c>
      <c r="P4671">
        <v>5614</v>
      </c>
      <c r="Q4671" t="s">
        <v>1783</v>
      </c>
      <c r="R4671" t="s">
        <v>201</v>
      </c>
      <c r="S4671">
        <v>1</v>
      </c>
      <c r="T4671">
        <v>1</v>
      </c>
      <c r="U4671">
        <v>99408</v>
      </c>
      <c r="V4671">
        <v>99408</v>
      </c>
    </row>
    <row r="4672" spans="1:22">
      <c r="A4672" t="s">
        <v>196</v>
      </c>
      <c r="B4672">
        <v>88</v>
      </c>
      <c r="C4672" t="s">
        <v>1852</v>
      </c>
      <c r="D4672">
        <v>200</v>
      </c>
      <c r="E4672" t="s">
        <v>1834</v>
      </c>
      <c r="F4672">
        <v>1015</v>
      </c>
      <c r="G4672" t="s">
        <v>69</v>
      </c>
      <c r="H4672">
        <v>2015</v>
      </c>
      <c r="I4672" t="s">
        <v>69</v>
      </c>
      <c r="J4672">
        <v>3121</v>
      </c>
      <c r="K4672" t="s">
        <v>1870</v>
      </c>
      <c r="L4672">
        <v>4003</v>
      </c>
      <c r="M4672" t="s">
        <v>1871</v>
      </c>
      <c r="N4672" t="s">
        <v>356</v>
      </c>
      <c r="O4672">
        <v>4</v>
      </c>
      <c r="P4672">
        <v>5613</v>
      </c>
      <c r="Q4672" t="s">
        <v>1767</v>
      </c>
      <c r="R4672" t="s">
        <v>201</v>
      </c>
      <c r="S4672">
        <v>1</v>
      </c>
      <c r="T4672">
        <v>1</v>
      </c>
      <c r="U4672">
        <v>129636</v>
      </c>
      <c r="V4672">
        <v>129636</v>
      </c>
    </row>
    <row r="4673" spans="1:22">
      <c r="A4673" t="s">
        <v>196</v>
      </c>
      <c r="B4673">
        <v>88</v>
      </c>
      <c r="C4673" t="s">
        <v>1852</v>
      </c>
      <c r="D4673">
        <v>200</v>
      </c>
      <c r="E4673" t="s">
        <v>1834</v>
      </c>
      <c r="F4673">
        <v>1015</v>
      </c>
      <c r="G4673" t="s">
        <v>69</v>
      </c>
      <c r="H4673">
        <v>2015</v>
      </c>
      <c r="I4673" t="s">
        <v>69</v>
      </c>
      <c r="J4673">
        <v>3121</v>
      </c>
      <c r="K4673" t="s">
        <v>1870</v>
      </c>
      <c r="L4673">
        <v>4003</v>
      </c>
      <c r="M4673" t="s">
        <v>1871</v>
      </c>
      <c r="N4673" t="s">
        <v>356</v>
      </c>
      <c r="O4673">
        <v>4</v>
      </c>
      <c r="P4673">
        <v>5613</v>
      </c>
      <c r="Q4673" t="s">
        <v>1767</v>
      </c>
      <c r="R4673" t="s">
        <v>201</v>
      </c>
      <c r="S4673">
        <v>2</v>
      </c>
      <c r="T4673">
        <v>1</v>
      </c>
      <c r="U4673">
        <v>90144</v>
      </c>
      <c r="V4673">
        <v>180288</v>
      </c>
    </row>
    <row r="4674" spans="1:22">
      <c r="A4674" t="s">
        <v>196</v>
      </c>
      <c r="B4674">
        <v>88</v>
      </c>
      <c r="C4674" t="s">
        <v>1852</v>
      </c>
      <c r="D4674">
        <v>200</v>
      </c>
      <c r="E4674" t="s">
        <v>1834</v>
      </c>
      <c r="F4674">
        <v>1015</v>
      </c>
      <c r="G4674" t="s">
        <v>69</v>
      </c>
      <c r="H4674">
        <v>2015</v>
      </c>
      <c r="I4674" t="s">
        <v>69</v>
      </c>
      <c r="J4674">
        <v>3121</v>
      </c>
      <c r="K4674" t="s">
        <v>1870</v>
      </c>
      <c r="L4674">
        <v>4003</v>
      </c>
      <c r="M4674" t="s">
        <v>1871</v>
      </c>
      <c r="N4674" t="s">
        <v>688</v>
      </c>
      <c r="O4674">
        <v>4</v>
      </c>
      <c r="P4674">
        <v>5612</v>
      </c>
      <c r="Q4674" t="s">
        <v>1872</v>
      </c>
      <c r="R4674" t="s">
        <v>201</v>
      </c>
      <c r="S4674">
        <v>1</v>
      </c>
      <c r="T4674">
        <v>1</v>
      </c>
      <c r="U4674">
        <v>88524</v>
      </c>
      <c r="V4674">
        <v>88524</v>
      </c>
    </row>
    <row r="4675" spans="1:22">
      <c r="A4675" t="s">
        <v>196</v>
      </c>
      <c r="B4675">
        <v>88</v>
      </c>
      <c r="C4675" t="s">
        <v>1852</v>
      </c>
      <c r="D4675">
        <v>200</v>
      </c>
      <c r="E4675" t="s">
        <v>1834</v>
      </c>
      <c r="F4675">
        <v>1015</v>
      </c>
      <c r="G4675" t="s">
        <v>69</v>
      </c>
      <c r="H4675">
        <v>2015</v>
      </c>
      <c r="I4675" t="s">
        <v>69</v>
      </c>
      <c r="J4675">
        <v>3121</v>
      </c>
      <c r="K4675" t="s">
        <v>1870</v>
      </c>
      <c r="L4675">
        <v>4003</v>
      </c>
      <c r="M4675" t="s">
        <v>1871</v>
      </c>
      <c r="N4675" t="s">
        <v>688</v>
      </c>
      <c r="O4675">
        <v>4</v>
      </c>
      <c r="P4675">
        <v>5612</v>
      </c>
      <c r="Q4675" t="s">
        <v>1872</v>
      </c>
      <c r="R4675" t="s">
        <v>201</v>
      </c>
      <c r="S4675">
        <v>3</v>
      </c>
      <c r="T4675">
        <v>1</v>
      </c>
      <c r="U4675">
        <v>81636</v>
      </c>
      <c r="V4675">
        <v>244908</v>
      </c>
    </row>
    <row r="4676" spans="1:22">
      <c r="A4676" t="s">
        <v>196</v>
      </c>
      <c r="B4676">
        <v>88</v>
      </c>
      <c r="C4676" t="s">
        <v>1852</v>
      </c>
      <c r="D4676">
        <v>200</v>
      </c>
      <c r="E4676" t="s">
        <v>1834</v>
      </c>
      <c r="F4676">
        <v>1015</v>
      </c>
      <c r="G4676" t="s">
        <v>69</v>
      </c>
      <c r="H4676">
        <v>2015</v>
      </c>
      <c r="I4676" t="s">
        <v>69</v>
      </c>
      <c r="J4676">
        <v>3121</v>
      </c>
      <c r="K4676" t="s">
        <v>1870</v>
      </c>
      <c r="L4676">
        <v>4003</v>
      </c>
      <c r="M4676" t="s">
        <v>1871</v>
      </c>
      <c r="N4676" t="s">
        <v>199</v>
      </c>
      <c r="O4676">
        <v>0</v>
      </c>
      <c r="P4676">
        <v>15</v>
      </c>
      <c r="Q4676" t="s">
        <v>264</v>
      </c>
      <c r="R4676" t="s">
        <v>201</v>
      </c>
      <c r="S4676">
        <v>0</v>
      </c>
      <c r="T4676">
        <v>0</v>
      </c>
      <c r="U4676">
        <v>33175</v>
      </c>
      <c r="V4676">
        <v>33175</v>
      </c>
    </row>
    <row r="4677" spans="1:22">
      <c r="A4677" t="s">
        <v>196</v>
      </c>
      <c r="B4677">
        <v>88</v>
      </c>
      <c r="C4677" t="s">
        <v>1852</v>
      </c>
      <c r="D4677">
        <v>200</v>
      </c>
      <c r="E4677" t="s">
        <v>1834</v>
      </c>
      <c r="F4677">
        <v>1020</v>
      </c>
      <c r="G4677" t="s">
        <v>28</v>
      </c>
      <c r="H4677">
        <v>2020</v>
      </c>
      <c r="I4677" t="s">
        <v>28</v>
      </c>
      <c r="J4677">
        <v>3203</v>
      </c>
      <c r="K4677" t="s">
        <v>1853</v>
      </c>
      <c r="L4677">
        <v>0</v>
      </c>
      <c r="N4677" t="s">
        <v>1294</v>
      </c>
      <c r="O4677">
        <v>0</v>
      </c>
      <c r="P4677">
        <v>9681</v>
      </c>
      <c r="Q4677" t="s">
        <v>338</v>
      </c>
      <c r="R4677" t="s">
        <v>201</v>
      </c>
      <c r="S4677">
        <v>1</v>
      </c>
      <c r="T4677">
        <v>1</v>
      </c>
      <c r="U4677">
        <v>153000</v>
      </c>
      <c r="V4677">
        <v>153000</v>
      </c>
    </row>
    <row r="4678" spans="1:22">
      <c r="A4678" t="s">
        <v>196</v>
      </c>
      <c r="B4678">
        <v>88</v>
      </c>
      <c r="C4678" t="s">
        <v>1852</v>
      </c>
      <c r="D4678">
        <v>200</v>
      </c>
      <c r="E4678" t="s">
        <v>1834</v>
      </c>
      <c r="F4678">
        <v>1020</v>
      </c>
      <c r="G4678" t="s">
        <v>28</v>
      </c>
      <c r="H4678">
        <v>2020</v>
      </c>
      <c r="I4678" t="s">
        <v>28</v>
      </c>
      <c r="J4678">
        <v>3203</v>
      </c>
      <c r="K4678" t="s">
        <v>1853</v>
      </c>
      <c r="L4678">
        <v>0</v>
      </c>
      <c r="N4678" t="s">
        <v>688</v>
      </c>
      <c r="O4678">
        <v>4</v>
      </c>
      <c r="P4678">
        <v>638</v>
      </c>
      <c r="Q4678" t="s">
        <v>1246</v>
      </c>
      <c r="R4678" t="s">
        <v>201</v>
      </c>
      <c r="S4678">
        <v>1</v>
      </c>
      <c r="T4678">
        <v>1</v>
      </c>
      <c r="U4678">
        <v>81636</v>
      </c>
      <c r="V4678">
        <v>81636</v>
      </c>
    </row>
    <row r="4679" spans="1:22">
      <c r="A4679" t="s">
        <v>196</v>
      </c>
      <c r="B4679">
        <v>88</v>
      </c>
      <c r="C4679" t="s">
        <v>1852</v>
      </c>
      <c r="D4679">
        <v>200</v>
      </c>
      <c r="E4679" t="s">
        <v>1834</v>
      </c>
      <c r="F4679">
        <v>1020</v>
      </c>
      <c r="G4679" t="s">
        <v>28</v>
      </c>
      <c r="H4679">
        <v>2020</v>
      </c>
      <c r="I4679" t="s">
        <v>28</v>
      </c>
      <c r="J4679">
        <v>3203</v>
      </c>
      <c r="K4679" t="s">
        <v>1853</v>
      </c>
      <c r="L4679">
        <v>0</v>
      </c>
      <c r="N4679" t="s">
        <v>809</v>
      </c>
      <c r="O4679">
        <v>1</v>
      </c>
      <c r="P4679">
        <v>460</v>
      </c>
      <c r="Q4679" t="s">
        <v>810</v>
      </c>
      <c r="R4679" t="s">
        <v>201</v>
      </c>
      <c r="S4679">
        <v>1</v>
      </c>
      <c r="T4679">
        <v>1</v>
      </c>
      <c r="U4679">
        <v>82140</v>
      </c>
      <c r="V4679">
        <v>82140</v>
      </c>
    </row>
    <row r="4680" spans="1:22">
      <c r="A4680" t="s">
        <v>196</v>
      </c>
      <c r="B4680">
        <v>88</v>
      </c>
      <c r="C4680" t="s">
        <v>1852</v>
      </c>
      <c r="D4680">
        <v>200</v>
      </c>
      <c r="E4680" t="s">
        <v>1834</v>
      </c>
      <c r="F4680">
        <v>1020</v>
      </c>
      <c r="G4680" t="s">
        <v>28</v>
      </c>
      <c r="H4680">
        <v>2020</v>
      </c>
      <c r="I4680" t="s">
        <v>28</v>
      </c>
      <c r="J4680">
        <v>3203</v>
      </c>
      <c r="K4680" t="s">
        <v>1853</v>
      </c>
      <c r="L4680">
        <v>0</v>
      </c>
      <c r="N4680" t="s">
        <v>622</v>
      </c>
      <c r="O4680">
        <v>1</v>
      </c>
      <c r="P4680" t="s">
        <v>667</v>
      </c>
      <c r="Q4680" t="s">
        <v>205</v>
      </c>
      <c r="R4680" t="s">
        <v>201</v>
      </c>
      <c r="S4680">
        <v>1</v>
      </c>
      <c r="T4680">
        <v>1</v>
      </c>
      <c r="U4680">
        <v>90144</v>
      </c>
      <c r="V4680">
        <v>90144</v>
      </c>
    </row>
    <row r="4681" spans="1:22">
      <c r="A4681" t="s">
        <v>196</v>
      </c>
      <c r="B4681">
        <v>88</v>
      </c>
      <c r="C4681" t="s">
        <v>1852</v>
      </c>
      <c r="D4681">
        <v>200</v>
      </c>
      <c r="E4681" t="s">
        <v>1834</v>
      </c>
      <c r="F4681">
        <v>1020</v>
      </c>
      <c r="G4681" t="s">
        <v>28</v>
      </c>
      <c r="H4681">
        <v>2020</v>
      </c>
      <c r="I4681" t="s">
        <v>28</v>
      </c>
      <c r="J4681">
        <v>3203</v>
      </c>
      <c r="K4681" t="s">
        <v>1853</v>
      </c>
      <c r="L4681">
        <v>0</v>
      </c>
      <c r="N4681" t="s">
        <v>1314</v>
      </c>
      <c r="O4681">
        <v>0</v>
      </c>
      <c r="P4681" t="s">
        <v>1471</v>
      </c>
      <c r="Q4681" t="s">
        <v>605</v>
      </c>
      <c r="R4681" t="s">
        <v>201</v>
      </c>
      <c r="S4681">
        <v>1</v>
      </c>
      <c r="T4681">
        <v>1</v>
      </c>
      <c r="U4681">
        <v>160680</v>
      </c>
      <c r="V4681">
        <v>160680</v>
      </c>
    </row>
    <row r="4682" spans="1:22">
      <c r="A4682" t="s">
        <v>196</v>
      </c>
      <c r="B4682">
        <v>88</v>
      </c>
      <c r="C4682" t="s">
        <v>1852</v>
      </c>
      <c r="D4682">
        <v>200</v>
      </c>
      <c r="E4682" t="s">
        <v>1834</v>
      </c>
      <c r="F4682">
        <v>1020</v>
      </c>
      <c r="G4682" t="s">
        <v>28</v>
      </c>
      <c r="H4682">
        <v>2020</v>
      </c>
      <c r="I4682" t="s">
        <v>28</v>
      </c>
      <c r="J4682">
        <v>3203</v>
      </c>
      <c r="K4682" t="s">
        <v>1853</v>
      </c>
      <c r="L4682">
        <v>0</v>
      </c>
      <c r="N4682" t="s">
        <v>247</v>
      </c>
      <c r="O4682">
        <v>20</v>
      </c>
      <c r="P4682">
        <v>366</v>
      </c>
      <c r="Q4682" t="s">
        <v>604</v>
      </c>
      <c r="R4682" t="s">
        <v>201</v>
      </c>
      <c r="S4682">
        <v>1</v>
      </c>
      <c r="T4682">
        <v>1</v>
      </c>
      <c r="U4682">
        <v>57852</v>
      </c>
      <c r="V4682">
        <v>57852</v>
      </c>
    </row>
    <row r="4683" spans="1:22">
      <c r="A4683" t="s">
        <v>196</v>
      </c>
      <c r="B4683">
        <v>88</v>
      </c>
      <c r="C4683" t="s">
        <v>1852</v>
      </c>
      <c r="D4683">
        <v>200</v>
      </c>
      <c r="E4683" t="s">
        <v>1834</v>
      </c>
      <c r="F4683">
        <v>1020</v>
      </c>
      <c r="G4683" t="s">
        <v>28</v>
      </c>
      <c r="H4683">
        <v>2020</v>
      </c>
      <c r="I4683" t="s">
        <v>28</v>
      </c>
      <c r="J4683">
        <v>3203</v>
      </c>
      <c r="K4683" t="s">
        <v>1853</v>
      </c>
      <c r="L4683">
        <v>0</v>
      </c>
      <c r="N4683" t="s">
        <v>249</v>
      </c>
      <c r="O4683">
        <v>10</v>
      </c>
      <c r="P4683">
        <v>310</v>
      </c>
      <c r="Q4683" t="s">
        <v>447</v>
      </c>
      <c r="R4683" t="s">
        <v>201</v>
      </c>
      <c r="S4683">
        <v>1</v>
      </c>
      <c r="T4683">
        <v>1</v>
      </c>
      <c r="U4683">
        <v>89112</v>
      </c>
      <c r="V4683">
        <v>89112</v>
      </c>
    </row>
    <row r="4684" spans="1:22">
      <c r="A4684" t="s">
        <v>196</v>
      </c>
      <c r="B4684">
        <v>88</v>
      </c>
      <c r="C4684" t="s">
        <v>1852</v>
      </c>
      <c r="D4684">
        <v>200</v>
      </c>
      <c r="E4684" t="s">
        <v>1834</v>
      </c>
      <c r="F4684">
        <v>1020</v>
      </c>
      <c r="G4684" t="s">
        <v>28</v>
      </c>
      <c r="H4684">
        <v>2020</v>
      </c>
      <c r="I4684" t="s">
        <v>28</v>
      </c>
      <c r="J4684">
        <v>3203</v>
      </c>
      <c r="K4684" t="s">
        <v>1853</v>
      </c>
      <c r="L4684">
        <v>0</v>
      </c>
      <c r="N4684" t="s">
        <v>341</v>
      </c>
      <c r="O4684">
        <v>1</v>
      </c>
      <c r="P4684">
        <v>308</v>
      </c>
      <c r="Q4684" t="s">
        <v>355</v>
      </c>
      <c r="R4684" t="s">
        <v>201</v>
      </c>
      <c r="S4684">
        <v>1</v>
      </c>
      <c r="T4684">
        <v>1</v>
      </c>
      <c r="U4684">
        <v>119100</v>
      </c>
      <c r="V4684">
        <v>119100</v>
      </c>
    </row>
    <row r="4685" spans="1:22">
      <c r="A4685" t="s">
        <v>196</v>
      </c>
      <c r="B4685">
        <v>88</v>
      </c>
      <c r="C4685" t="s">
        <v>1852</v>
      </c>
      <c r="D4685">
        <v>200</v>
      </c>
      <c r="E4685" t="s">
        <v>1834</v>
      </c>
      <c r="F4685">
        <v>1020</v>
      </c>
      <c r="G4685" t="s">
        <v>28</v>
      </c>
      <c r="H4685">
        <v>2020</v>
      </c>
      <c r="I4685" t="s">
        <v>28</v>
      </c>
      <c r="J4685">
        <v>3203</v>
      </c>
      <c r="K4685" t="s">
        <v>1853</v>
      </c>
      <c r="L4685">
        <v>0</v>
      </c>
      <c r="N4685" t="s">
        <v>341</v>
      </c>
      <c r="O4685">
        <v>1</v>
      </c>
      <c r="P4685">
        <v>308</v>
      </c>
      <c r="Q4685" t="s">
        <v>355</v>
      </c>
      <c r="R4685" t="s">
        <v>201</v>
      </c>
      <c r="S4685">
        <v>1</v>
      </c>
      <c r="T4685">
        <v>1</v>
      </c>
      <c r="U4685">
        <v>94452</v>
      </c>
      <c r="V4685">
        <v>94452</v>
      </c>
    </row>
    <row r="4686" spans="1:22">
      <c r="A4686" t="s">
        <v>196</v>
      </c>
      <c r="B4686">
        <v>88</v>
      </c>
      <c r="C4686" t="s">
        <v>1852</v>
      </c>
      <c r="D4686">
        <v>200</v>
      </c>
      <c r="E4686" t="s">
        <v>1834</v>
      </c>
      <c r="F4686">
        <v>1020</v>
      </c>
      <c r="G4686" t="s">
        <v>28</v>
      </c>
      <c r="H4686">
        <v>2020</v>
      </c>
      <c r="I4686" t="s">
        <v>28</v>
      </c>
      <c r="J4686">
        <v>3203</v>
      </c>
      <c r="K4686" t="s">
        <v>1853</v>
      </c>
      <c r="L4686">
        <v>0</v>
      </c>
      <c r="N4686" t="s">
        <v>199</v>
      </c>
      <c r="O4686">
        <v>0</v>
      </c>
      <c r="P4686">
        <v>15</v>
      </c>
      <c r="Q4686" t="s">
        <v>264</v>
      </c>
      <c r="R4686" t="s">
        <v>201</v>
      </c>
      <c r="S4686">
        <v>0</v>
      </c>
      <c r="T4686">
        <v>0</v>
      </c>
      <c r="U4686">
        <v>23736</v>
      </c>
      <c r="V4686">
        <v>23736</v>
      </c>
    </row>
    <row r="4687" spans="1:22">
      <c r="A4687" t="s">
        <v>196</v>
      </c>
      <c r="B4687">
        <v>88</v>
      </c>
      <c r="C4687" t="s">
        <v>1852</v>
      </c>
      <c r="D4687">
        <v>200</v>
      </c>
      <c r="E4687" t="s">
        <v>1834</v>
      </c>
      <c r="F4687">
        <v>1020</v>
      </c>
      <c r="G4687" t="s">
        <v>28</v>
      </c>
      <c r="H4687">
        <v>2020</v>
      </c>
      <c r="I4687" t="s">
        <v>28</v>
      </c>
      <c r="J4687">
        <v>3205</v>
      </c>
      <c r="K4687" t="s">
        <v>1873</v>
      </c>
      <c r="L4687">
        <v>0</v>
      </c>
      <c r="N4687" t="s">
        <v>216</v>
      </c>
      <c r="O4687">
        <v>0</v>
      </c>
      <c r="P4687">
        <v>5648</v>
      </c>
      <c r="Q4687" t="s">
        <v>1874</v>
      </c>
      <c r="R4687" t="s">
        <v>201</v>
      </c>
      <c r="S4687">
        <v>1</v>
      </c>
      <c r="T4687">
        <v>1</v>
      </c>
      <c r="U4687">
        <v>142212</v>
      </c>
      <c r="V4687">
        <v>142212</v>
      </c>
    </row>
    <row r="4688" spans="1:22">
      <c r="A4688" t="s">
        <v>196</v>
      </c>
      <c r="B4688">
        <v>88</v>
      </c>
      <c r="C4688" t="s">
        <v>1852</v>
      </c>
      <c r="D4688">
        <v>200</v>
      </c>
      <c r="E4688" t="s">
        <v>1834</v>
      </c>
      <c r="F4688">
        <v>1020</v>
      </c>
      <c r="G4688" t="s">
        <v>28</v>
      </c>
      <c r="H4688">
        <v>2020</v>
      </c>
      <c r="I4688" t="s">
        <v>28</v>
      </c>
      <c r="J4688">
        <v>3205</v>
      </c>
      <c r="K4688" t="s">
        <v>1873</v>
      </c>
      <c r="L4688">
        <v>0</v>
      </c>
      <c r="N4688" t="s">
        <v>1314</v>
      </c>
      <c r="O4688">
        <v>20</v>
      </c>
      <c r="P4688">
        <v>5647</v>
      </c>
      <c r="Q4688" t="s">
        <v>1875</v>
      </c>
      <c r="R4688" t="s">
        <v>201</v>
      </c>
      <c r="S4688">
        <v>1</v>
      </c>
      <c r="T4688">
        <v>1</v>
      </c>
      <c r="U4688">
        <v>167700</v>
      </c>
      <c r="V4688">
        <v>167700</v>
      </c>
    </row>
    <row r="4689" spans="1:22">
      <c r="A4689" t="s">
        <v>196</v>
      </c>
      <c r="B4689">
        <v>88</v>
      </c>
      <c r="C4689" t="s">
        <v>1852</v>
      </c>
      <c r="D4689">
        <v>200</v>
      </c>
      <c r="E4689" t="s">
        <v>1834</v>
      </c>
      <c r="F4689">
        <v>1020</v>
      </c>
      <c r="G4689" t="s">
        <v>28</v>
      </c>
      <c r="H4689">
        <v>2020</v>
      </c>
      <c r="I4689" t="s">
        <v>28</v>
      </c>
      <c r="J4689">
        <v>3205</v>
      </c>
      <c r="K4689" t="s">
        <v>1873</v>
      </c>
      <c r="L4689">
        <v>0</v>
      </c>
      <c r="N4689" t="s">
        <v>602</v>
      </c>
      <c r="O4689">
        <v>4</v>
      </c>
      <c r="P4689">
        <v>5644</v>
      </c>
      <c r="Q4689" t="s">
        <v>1876</v>
      </c>
      <c r="R4689" t="s">
        <v>201</v>
      </c>
      <c r="S4689">
        <v>2</v>
      </c>
      <c r="T4689">
        <v>1</v>
      </c>
      <c r="U4689">
        <v>112536</v>
      </c>
      <c r="V4689">
        <v>225072</v>
      </c>
    </row>
    <row r="4690" spans="1:22">
      <c r="A4690" t="s">
        <v>196</v>
      </c>
      <c r="B4690">
        <v>88</v>
      </c>
      <c r="C4690" t="s">
        <v>1852</v>
      </c>
      <c r="D4690">
        <v>200</v>
      </c>
      <c r="E4690" t="s">
        <v>1834</v>
      </c>
      <c r="F4690">
        <v>1020</v>
      </c>
      <c r="G4690" t="s">
        <v>28</v>
      </c>
      <c r="H4690">
        <v>2020</v>
      </c>
      <c r="I4690" t="s">
        <v>28</v>
      </c>
      <c r="J4690">
        <v>3205</v>
      </c>
      <c r="K4690" t="s">
        <v>1873</v>
      </c>
      <c r="L4690">
        <v>0</v>
      </c>
      <c r="N4690" t="s">
        <v>356</v>
      </c>
      <c r="O4690">
        <v>4</v>
      </c>
      <c r="P4690">
        <v>5643</v>
      </c>
      <c r="Q4690" t="s">
        <v>1877</v>
      </c>
      <c r="R4690" t="s">
        <v>201</v>
      </c>
      <c r="S4690">
        <v>1</v>
      </c>
      <c r="T4690">
        <v>1</v>
      </c>
      <c r="U4690">
        <v>129636</v>
      </c>
      <c r="V4690">
        <v>129636</v>
      </c>
    </row>
    <row r="4691" spans="1:22">
      <c r="A4691" t="s">
        <v>196</v>
      </c>
      <c r="B4691">
        <v>88</v>
      </c>
      <c r="C4691" t="s">
        <v>1852</v>
      </c>
      <c r="D4691">
        <v>200</v>
      </c>
      <c r="E4691" t="s">
        <v>1834</v>
      </c>
      <c r="F4691">
        <v>1020</v>
      </c>
      <c r="G4691" t="s">
        <v>28</v>
      </c>
      <c r="H4691">
        <v>2020</v>
      </c>
      <c r="I4691" t="s">
        <v>28</v>
      </c>
      <c r="J4691">
        <v>3205</v>
      </c>
      <c r="K4691" t="s">
        <v>1873</v>
      </c>
      <c r="L4691">
        <v>0</v>
      </c>
      <c r="N4691" t="s">
        <v>356</v>
      </c>
      <c r="O4691">
        <v>4</v>
      </c>
      <c r="P4691">
        <v>5643</v>
      </c>
      <c r="Q4691" t="s">
        <v>1877</v>
      </c>
      <c r="R4691" t="s">
        <v>201</v>
      </c>
      <c r="S4691">
        <v>1</v>
      </c>
      <c r="T4691">
        <v>1</v>
      </c>
      <c r="U4691">
        <v>117636</v>
      </c>
      <c r="V4691">
        <v>117636</v>
      </c>
    </row>
    <row r="4692" spans="1:22">
      <c r="A4692" t="s">
        <v>196</v>
      </c>
      <c r="B4692">
        <v>88</v>
      </c>
      <c r="C4692" t="s">
        <v>1852</v>
      </c>
      <c r="D4692">
        <v>200</v>
      </c>
      <c r="E4692" t="s">
        <v>1834</v>
      </c>
      <c r="F4692">
        <v>1020</v>
      </c>
      <c r="G4692" t="s">
        <v>28</v>
      </c>
      <c r="H4692">
        <v>2020</v>
      </c>
      <c r="I4692" t="s">
        <v>28</v>
      </c>
      <c r="J4692">
        <v>3205</v>
      </c>
      <c r="K4692" t="s">
        <v>1873</v>
      </c>
      <c r="L4692">
        <v>0</v>
      </c>
      <c r="N4692" t="s">
        <v>356</v>
      </c>
      <c r="O4692">
        <v>4</v>
      </c>
      <c r="P4692">
        <v>5643</v>
      </c>
      <c r="Q4692" t="s">
        <v>1877</v>
      </c>
      <c r="R4692" t="s">
        <v>201</v>
      </c>
      <c r="S4692">
        <v>2</v>
      </c>
      <c r="T4692">
        <v>1</v>
      </c>
      <c r="U4692">
        <v>112536</v>
      </c>
      <c r="V4692">
        <v>225072</v>
      </c>
    </row>
    <row r="4693" spans="1:22">
      <c r="A4693" t="s">
        <v>196</v>
      </c>
      <c r="B4693">
        <v>88</v>
      </c>
      <c r="C4693" t="s">
        <v>1852</v>
      </c>
      <c r="D4693">
        <v>200</v>
      </c>
      <c r="E4693" t="s">
        <v>1834</v>
      </c>
      <c r="F4693">
        <v>1020</v>
      </c>
      <c r="G4693" t="s">
        <v>28</v>
      </c>
      <c r="H4693">
        <v>2020</v>
      </c>
      <c r="I4693" t="s">
        <v>28</v>
      </c>
      <c r="J4693">
        <v>3205</v>
      </c>
      <c r="K4693" t="s">
        <v>1873</v>
      </c>
      <c r="L4693">
        <v>0</v>
      </c>
      <c r="N4693" t="s">
        <v>356</v>
      </c>
      <c r="O4693">
        <v>4</v>
      </c>
      <c r="P4693">
        <v>5643</v>
      </c>
      <c r="Q4693" t="s">
        <v>1877</v>
      </c>
      <c r="R4693" t="s">
        <v>201</v>
      </c>
      <c r="S4693">
        <v>1</v>
      </c>
      <c r="T4693">
        <v>1</v>
      </c>
      <c r="U4693">
        <v>90144</v>
      </c>
      <c r="V4693">
        <v>90144</v>
      </c>
    </row>
    <row r="4694" spans="1:22">
      <c r="A4694" t="s">
        <v>196</v>
      </c>
      <c r="B4694">
        <v>88</v>
      </c>
      <c r="C4694" t="s">
        <v>1852</v>
      </c>
      <c r="D4694">
        <v>200</v>
      </c>
      <c r="E4694" t="s">
        <v>1834</v>
      </c>
      <c r="F4694">
        <v>1020</v>
      </c>
      <c r="G4694" t="s">
        <v>28</v>
      </c>
      <c r="H4694">
        <v>2020</v>
      </c>
      <c r="I4694" t="s">
        <v>28</v>
      </c>
      <c r="J4694">
        <v>3205</v>
      </c>
      <c r="K4694" t="s">
        <v>1873</v>
      </c>
      <c r="L4694">
        <v>0</v>
      </c>
      <c r="N4694" t="s">
        <v>688</v>
      </c>
      <c r="O4694">
        <v>4</v>
      </c>
      <c r="P4694">
        <v>5642</v>
      </c>
      <c r="Q4694" t="s">
        <v>1878</v>
      </c>
      <c r="R4694" t="s">
        <v>201</v>
      </c>
      <c r="S4694">
        <v>3</v>
      </c>
      <c r="T4694">
        <v>1</v>
      </c>
      <c r="U4694">
        <v>102516</v>
      </c>
      <c r="V4694">
        <v>307548</v>
      </c>
    </row>
    <row r="4695" spans="1:22">
      <c r="A4695" t="s">
        <v>196</v>
      </c>
      <c r="B4695">
        <v>88</v>
      </c>
      <c r="C4695" t="s">
        <v>1852</v>
      </c>
      <c r="D4695">
        <v>200</v>
      </c>
      <c r="E4695" t="s">
        <v>1834</v>
      </c>
      <c r="F4695">
        <v>1020</v>
      </c>
      <c r="G4695" t="s">
        <v>28</v>
      </c>
      <c r="H4695">
        <v>2020</v>
      </c>
      <c r="I4695" t="s">
        <v>28</v>
      </c>
      <c r="J4695">
        <v>3205</v>
      </c>
      <c r="K4695" t="s">
        <v>1873</v>
      </c>
      <c r="L4695">
        <v>0</v>
      </c>
      <c r="N4695" t="s">
        <v>688</v>
      </c>
      <c r="O4695">
        <v>4</v>
      </c>
      <c r="P4695">
        <v>5642</v>
      </c>
      <c r="Q4695" t="s">
        <v>1878</v>
      </c>
      <c r="R4695" t="s">
        <v>201</v>
      </c>
      <c r="S4695">
        <v>1</v>
      </c>
      <c r="T4695">
        <v>1</v>
      </c>
      <c r="U4695">
        <v>97488</v>
      </c>
      <c r="V4695">
        <v>97488</v>
      </c>
    </row>
    <row r="4696" spans="1:22">
      <c r="A4696" t="s">
        <v>196</v>
      </c>
      <c r="B4696">
        <v>88</v>
      </c>
      <c r="C4696" t="s">
        <v>1852</v>
      </c>
      <c r="D4696">
        <v>200</v>
      </c>
      <c r="E4696" t="s">
        <v>1834</v>
      </c>
      <c r="F4696">
        <v>1020</v>
      </c>
      <c r="G4696" t="s">
        <v>28</v>
      </c>
      <c r="H4696">
        <v>2020</v>
      </c>
      <c r="I4696" t="s">
        <v>28</v>
      </c>
      <c r="J4696">
        <v>3205</v>
      </c>
      <c r="K4696" t="s">
        <v>1873</v>
      </c>
      <c r="L4696">
        <v>0</v>
      </c>
      <c r="N4696" t="s">
        <v>688</v>
      </c>
      <c r="O4696">
        <v>4</v>
      </c>
      <c r="P4696">
        <v>5642</v>
      </c>
      <c r="Q4696" t="s">
        <v>1878</v>
      </c>
      <c r="R4696" t="s">
        <v>201</v>
      </c>
      <c r="S4696">
        <v>2</v>
      </c>
      <c r="T4696">
        <v>1</v>
      </c>
      <c r="U4696">
        <v>88524</v>
      </c>
      <c r="V4696">
        <v>177048</v>
      </c>
    </row>
    <row r="4697" spans="1:22">
      <c r="A4697" t="s">
        <v>196</v>
      </c>
      <c r="B4697">
        <v>88</v>
      </c>
      <c r="C4697" t="s">
        <v>1852</v>
      </c>
      <c r="D4697">
        <v>200</v>
      </c>
      <c r="E4697" t="s">
        <v>1834</v>
      </c>
      <c r="F4697">
        <v>1020</v>
      </c>
      <c r="G4697" t="s">
        <v>28</v>
      </c>
      <c r="H4697">
        <v>2020</v>
      </c>
      <c r="I4697" t="s">
        <v>28</v>
      </c>
      <c r="J4697">
        <v>3205</v>
      </c>
      <c r="K4697" t="s">
        <v>1873</v>
      </c>
      <c r="L4697">
        <v>0</v>
      </c>
      <c r="N4697" t="s">
        <v>688</v>
      </c>
      <c r="O4697">
        <v>4</v>
      </c>
      <c r="P4697">
        <v>5642</v>
      </c>
      <c r="Q4697" t="s">
        <v>1878</v>
      </c>
      <c r="R4697" t="s">
        <v>201</v>
      </c>
      <c r="S4697">
        <v>1</v>
      </c>
      <c r="T4697">
        <v>1</v>
      </c>
      <c r="U4697">
        <v>84192</v>
      </c>
      <c r="V4697">
        <v>84192</v>
      </c>
    </row>
    <row r="4698" spans="1:22">
      <c r="A4698" t="s">
        <v>196</v>
      </c>
      <c r="B4698">
        <v>88</v>
      </c>
      <c r="C4698" t="s">
        <v>1852</v>
      </c>
      <c r="D4698">
        <v>200</v>
      </c>
      <c r="E4698" t="s">
        <v>1834</v>
      </c>
      <c r="F4698">
        <v>1020</v>
      </c>
      <c r="G4698" t="s">
        <v>28</v>
      </c>
      <c r="H4698">
        <v>2020</v>
      </c>
      <c r="I4698" t="s">
        <v>28</v>
      </c>
      <c r="J4698">
        <v>3205</v>
      </c>
      <c r="K4698" t="s">
        <v>1873</v>
      </c>
      <c r="L4698">
        <v>0</v>
      </c>
      <c r="N4698" t="s">
        <v>688</v>
      </c>
      <c r="O4698">
        <v>4</v>
      </c>
      <c r="P4698">
        <v>5642</v>
      </c>
      <c r="Q4698" t="s">
        <v>1878</v>
      </c>
      <c r="R4698" t="s">
        <v>201</v>
      </c>
      <c r="S4698">
        <v>3</v>
      </c>
      <c r="T4698">
        <v>1</v>
      </c>
      <c r="U4698">
        <v>81636</v>
      </c>
      <c r="V4698">
        <v>244908</v>
      </c>
    </row>
    <row r="4699" spans="1:22">
      <c r="A4699" t="s">
        <v>196</v>
      </c>
      <c r="B4699">
        <v>88</v>
      </c>
      <c r="C4699" t="s">
        <v>1852</v>
      </c>
      <c r="D4699">
        <v>200</v>
      </c>
      <c r="E4699" t="s">
        <v>1834</v>
      </c>
      <c r="F4699">
        <v>1020</v>
      </c>
      <c r="G4699" t="s">
        <v>28</v>
      </c>
      <c r="H4699">
        <v>2020</v>
      </c>
      <c r="I4699" t="s">
        <v>28</v>
      </c>
      <c r="J4699">
        <v>3205</v>
      </c>
      <c r="K4699" t="s">
        <v>1873</v>
      </c>
      <c r="L4699">
        <v>0</v>
      </c>
      <c r="N4699" t="s">
        <v>356</v>
      </c>
      <c r="O4699">
        <v>4</v>
      </c>
      <c r="P4699">
        <v>5534</v>
      </c>
      <c r="Q4699" t="s">
        <v>1879</v>
      </c>
      <c r="R4699" t="s">
        <v>201</v>
      </c>
      <c r="S4699">
        <v>1</v>
      </c>
      <c r="T4699">
        <v>1</v>
      </c>
      <c r="U4699">
        <v>129636</v>
      </c>
      <c r="V4699">
        <v>129636</v>
      </c>
    </row>
    <row r="4700" spans="1:22">
      <c r="A4700" t="s">
        <v>196</v>
      </c>
      <c r="B4700">
        <v>88</v>
      </c>
      <c r="C4700" t="s">
        <v>1852</v>
      </c>
      <c r="D4700">
        <v>200</v>
      </c>
      <c r="E4700" t="s">
        <v>1834</v>
      </c>
      <c r="F4700">
        <v>1020</v>
      </c>
      <c r="G4700" t="s">
        <v>28</v>
      </c>
      <c r="H4700">
        <v>2020</v>
      </c>
      <c r="I4700" t="s">
        <v>28</v>
      </c>
      <c r="J4700">
        <v>3205</v>
      </c>
      <c r="K4700" t="s">
        <v>1873</v>
      </c>
      <c r="L4700">
        <v>0</v>
      </c>
      <c r="N4700" t="s">
        <v>688</v>
      </c>
      <c r="O4700">
        <v>4</v>
      </c>
      <c r="P4700">
        <v>5533</v>
      </c>
      <c r="Q4700" t="s">
        <v>1880</v>
      </c>
      <c r="R4700" t="s">
        <v>201</v>
      </c>
      <c r="S4700">
        <v>2</v>
      </c>
      <c r="T4700">
        <v>1</v>
      </c>
      <c r="U4700">
        <v>118836</v>
      </c>
      <c r="V4700">
        <v>237672</v>
      </c>
    </row>
    <row r="4701" spans="1:22">
      <c r="A4701" t="s">
        <v>196</v>
      </c>
      <c r="B4701">
        <v>88</v>
      </c>
      <c r="C4701" t="s">
        <v>1852</v>
      </c>
      <c r="D4701">
        <v>200</v>
      </c>
      <c r="E4701" t="s">
        <v>1834</v>
      </c>
      <c r="F4701">
        <v>1020</v>
      </c>
      <c r="G4701" t="s">
        <v>28</v>
      </c>
      <c r="H4701">
        <v>2020</v>
      </c>
      <c r="I4701" t="s">
        <v>28</v>
      </c>
      <c r="J4701">
        <v>3205</v>
      </c>
      <c r="K4701" t="s">
        <v>1873</v>
      </c>
      <c r="L4701">
        <v>0</v>
      </c>
      <c r="N4701" t="s">
        <v>688</v>
      </c>
      <c r="O4701">
        <v>4</v>
      </c>
      <c r="P4701">
        <v>5533</v>
      </c>
      <c r="Q4701" t="s">
        <v>1880</v>
      </c>
      <c r="R4701" t="s">
        <v>201</v>
      </c>
      <c r="S4701">
        <v>1</v>
      </c>
      <c r="T4701">
        <v>1</v>
      </c>
      <c r="U4701">
        <v>81636</v>
      </c>
      <c r="V4701">
        <v>81636</v>
      </c>
    </row>
    <row r="4702" spans="1:22">
      <c r="A4702" t="s">
        <v>196</v>
      </c>
      <c r="B4702">
        <v>88</v>
      </c>
      <c r="C4702" t="s">
        <v>1852</v>
      </c>
      <c r="D4702">
        <v>200</v>
      </c>
      <c r="E4702" t="s">
        <v>1834</v>
      </c>
      <c r="F4702">
        <v>1020</v>
      </c>
      <c r="G4702" t="s">
        <v>28</v>
      </c>
      <c r="H4702">
        <v>2020</v>
      </c>
      <c r="I4702" t="s">
        <v>28</v>
      </c>
      <c r="J4702">
        <v>3205</v>
      </c>
      <c r="K4702" t="s">
        <v>1873</v>
      </c>
      <c r="L4702">
        <v>0</v>
      </c>
      <c r="N4702" t="s">
        <v>702</v>
      </c>
      <c r="O4702">
        <v>4</v>
      </c>
      <c r="P4702">
        <v>5532</v>
      </c>
      <c r="Q4702" t="s">
        <v>1881</v>
      </c>
      <c r="R4702" t="s">
        <v>201</v>
      </c>
      <c r="S4702">
        <v>4</v>
      </c>
      <c r="T4702">
        <v>1</v>
      </c>
      <c r="U4702">
        <v>108708</v>
      </c>
      <c r="V4702">
        <v>434832</v>
      </c>
    </row>
    <row r="4703" spans="1:22">
      <c r="A4703" t="s">
        <v>196</v>
      </c>
      <c r="B4703">
        <v>88</v>
      </c>
      <c r="C4703" t="s">
        <v>1852</v>
      </c>
      <c r="D4703">
        <v>200</v>
      </c>
      <c r="E4703" t="s">
        <v>1834</v>
      </c>
      <c r="F4703">
        <v>1020</v>
      </c>
      <c r="G4703" t="s">
        <v>28</v>
      </c>
      <c r="H4703">
        <v>2020</v>
      </c>
      <c r="I4703" t="s">
        <v>28</v>
      </c>
      <c r="J4703">
        <v>3205</v>
      </c>
      <c r="K4703" t="s">
        <v>1873</v>
      </c>
      <c r="L4703">
        <v>0</v>
      </c>
      <c r="N4703" t="s">
        <v>702</v>
      </c>
      <c r="O4703">
        <v>4</v>
      </c>
      <c r="P4703">
        <v>5532</v>
      </c>
      <c r="Q4703" t="s">
        <v>1881</v>
      </c>
      <c r="R4703" t="s">
        <v>201</v>
      </c>
      <c r="S4703">
        <v>3</v>
      </c>
      <c r="T4703">
        <v>1</v>
      </c>
      <c r="U4703">
        <v>102516</v>
      </c>
      <c r="V4703">
        <v>307548</v>
      </c>
    </row>
    <row r="4704" spans="1:22">
      <c r="A4704" t="s">
        <v>196</v>
      </c>
      <c r="B4704">
        <v>88</v>
      </c>
      <c r="C4704" t="s">
        <v>1852</v>
      </c>
      <c r="D4704">
        <v>200</v>
      </c>
      <c r="E4704" t="s">
        <v>1834</v>
      </c>
      <c r="F4704">
        <v>1020</v>
      </c>
      <c r="G4704" t="s">
        <v>28</v>
      </c>
      <c r="H4704">
        <v>2020</v>
      </c>
      <c r="I4704" t="s">
        <v>28</v>
      </c>
      <c r="J4704">
        <v>3205</v>
      </c>
      <c r="K4704" t="s">
        <v>1873</v>
      </c>
      <c r="L4704">
        <v>0</v>
      </c>
      <c r="N4704" t="s">
        <v>333</v>
      </c>
      <c r="O4704">
        <v>3</v>
      </c>
      <c r="P4704">
        <v>5529</v>
      </c>
      <c r="Q4704" t="s">
        <v>1882</v>
      </c>
      <c r="R4704" t="s">
        <v>201</v>
      </c>
      <c r="S4704">
        <v>1</v>
      </c>
      <c r="T4704">
        <v>1</v>
      </c>
      <c r="U4704">
        <v>154764</v>
      </c>
      <c r="V4704">
        <v>154764</v>
      </c>
    </row>
    <row r="4705" spans="1:22">
      <c r="A4705" t="s">
        <v>196</v>
      </c>
      <c r="B4705">
        <v>88</v>
      </c>
      <c r="C4705" t="s">
        <v>1852</v>
      </c>
      <c r="D4705">
        <v>200</v>
      </c>
      <c r="E4705" t="s">
        <v>1834</v>
      </c>
      <c r="F4705">
        <v>1020</v>
      </c>
      <c r="G4705" t="s">
        <v>28</v>
      </c>
      <c r="H4705">
        <v>2020</v>
      </c>
      <c r="I4705" t="s">
        <v>28</v>
      </c>
      <c r="J4705">
        <v>3205</v>
      </c>
      <c r="K4705" t="s">
        <v>1873</v>
      </c>
      <c r="L4705">
        <v>0</v>
      </c>
      <c r="N4705" t="s">
        <v>1883</v>
      </c>
      <c r="O4705">
        <v>20</v>
      </c>
      <c r="P4705">
        <v>5517</v>
      </c>
      <c r="Q4705" t="s">
        <v>1884</v>
      </c>
      <c r="R4705" t="s">
        <v>201</v>
      </c>
      <c r="S4705">
        <v>1</v>
      </c>
      <c r="T4705">
        <v>1</v>
      </c>
      <c r="U4705">
        <v>156708</v>
      </c>
      <c r="V4705">
        <v>156708</v>
      </c>
    </row>
    <row r="4706" spans="1:22">
      <c r="A4706" t="s">
        <v>196</v>
      </c>
      <c r="B4706">
        <v>88</v>
      </c>
      <c r="C4706" t="s">
        <v>1852</v>
      </c>
      <c r="D4706">
        <v>200</v>
      </c>
      <c r="E4706" t="s">
        <v>1834</v>
      </c>
      <c r="F4706">
        <v>1020</v>
      </c>
      <c r="G4706" t="s">
        <v>28</v>
      </c>
      <c r="H4706">
        <v>2020</v>
      </c>
      <c r="I4706" t="s">
        <v>28</v>
      </c>
      <c r="J4706">
        <v>3205</v>
      </c>
      <c r="K4706" t="s">
        <v>1873</v>
      </c>
      <c r="L4706">
        <v>0</v>
      </c>
      <c r="N4706" t="s">
        <v>1883</v>
      </c>
      <c r="O4706">
        <v>20</v>
      </c>
      <c r="P4706">
        <v>5517</v>
      </c>
      <c r="Q4706" t="s">
        <v>1884</v>
      </c>
      <c r="R4706" t="s">
        <v>201</v>
      </c>
      <c r="S4706">
        <v>1</v>
      </c>
      <c r="T4706">
        <v>1</v>
      </c>
      <c r="U4706">
        <v>131124</v>
      </c>
      <c r="V4706">
        <v>131124</v>
      </c>
    </row>
    <row r="4707" spans="1:22">
      <c r="A4707" t="s">
        <v>196</v>
      </c>
      <c r="B4707">
        <v>88</v>
      </c>
      <c r="C4707" t="s">
        <v>1852</v>
      </c>
      <c r="D4707">
        <v>200</v>
      </c>
      <c r="E4707" t="s">
        <v>1834</v>
      </c>
      <c r="F4707">
        <v>1020</v>
      </c>
      <c r="G4707" t="s">
        <v>28</v>
      </c>
      <c r="H4707">
        <v>2020</v>
      </c>
      <c r="I4707" t="s">
        <v>28</v>
      </c>
      <c r="J4707">
        <v>3205</v>
      </c>
      <c r="K4707" t="s">
        <v>1873</v>
      </c>
      <c r="L4707">
        <v>0</v>
      </c>
      <c r="N4707" t="s">
        <v>356</v>
      </c>
      <c r="O4707">
        <v>3</v>
      </c>
      <c r="P4707">
        <v>3179</v>
      </c>
      <c r="Q4707" t="s">
        <v>1885</v>
      </c>
      <c r="R4707" t="s">
        <v>201</v>
      </c>
      <c r="S4707">
        <v>1</v>
      </c>
      <c r="T4707">
        <v>1</v>
      </c>
      <c r="U4707">
        <v>92940</v>
      </c>
      <c r="V4707">
        <v>92940</v>
      </c>
    </row>
    <row r="4708" spans="1:22">
      <c r="A4708" t="s">
        <v>196</v>
      </c>
      <c r="B4708">
        <v>88</v>
      </c>
      <c r="C4708" t="s">
        <v>1852</v>
      </c>
      <c r="D4708">
        <v>200</v>
      </c>
      <c r="E4708" t="s">
        <v>1834</v>
      </c>
      <c r="F4708">
        <v>1020</v>
      </c>
      <c r="G4708" t="s">
        <v>28</v>
      </c>
      <c r="H4708">
        <v>2020</v>
      </c>
      <c r="I4708" t="s">
        <v>28</v>
      </c>
      <c r="J4708">
        <v>3205</v>
      </c>
      <c r="K4708" t="s">
        <v>1873</v>
      </c>
      <c r="L4708">
        <v>0</v>
      </c>
      <c r="N4708" t="s">
        <v>688</v>
      </c>
      <c r="O4708">
        <v>3</v>
      </c>
      <c r="P4708">
        <v>3178</v>
      </c>
      <c r="Q4708" t="s">
        <v>1886</v>
      </c>
      <c r="R4708" t="s">
        <v>201</v>
      </c>
      <c r="S4708">
        <v>1</v>
      </c>
      <c r="T4708">
        <v>1</v>
      </c>
      <c r="U4708">
        <v>118836</v>
      </c>
      <c r="V4708">
        <v>118836</v>
      </c>
    </row>
    <row r="4709" spans="1:22">
      <c r="A4709" t="s">
        <v>196</v>
      </c>
      <c r="B4709">
        <v>88</v>
      </c>
      <c r="C4709" t="s">
        <v>1852</v>
      </c>
      <c r="D4709">
        <v>200</v>
      </c>
      <c r="E4709" t="s">
        <v>1834</v>
      </c>
      <c r="F4709">
        <v>1020</v>
      </c>
      <c r="G4709" t="s">
        <v>28</v>
      </c>
      <c r="H4709">
        <v>2020</v>
      </c>
      <c r="I4709" t="s">
        <v>28</v>
      </c>
      <c r="J4709">
        <v>3205</v>
      </c>
      <c r="K4709" t="s">
        <v>1873</v>
      </c>
      <c r="L4709">
        <v>0</v>
      </c>
      <c r="N4709" t="s">
        <v>688</v>
      </c>
      <c r="O4709">
        <v>3</v>
      </c>
      <c r="P4709">
        <v>3178</v>
      </c>
      <c r="Q4709" t="s">
        <v>1886</v>
      </c>
      <c r="R4709" t="s">
        <v>201</v>
      </c>
      <c r="S4709">
        <v>1</v>
      </c>
      <c r="T4709">
        <v>1</v>
      </c>
      <c r="U4709">
        <v>92940</v>
      </c>
      <c r="V4709">
        <v>92940</v>
      </c>
    </row>
    <row r="4710" spans="1:22">
      <c r="A4710" t="s">
        <v>196</v>
      </c>
      <c r="B4710">
        <v>88</v>
      </c>
      <c r="C4710" t="s">
        <v>1852</v>
      </c>
      <c r="D4710">
        <v>200</v>
      </c>
      <c r="E4710" t="s">
        <v>1834</v>
      </c>
      <c r="F4710">
        <v>1020</v>
      </c>
      <c r="G4710" t="s">
        <v>28</v>
      </c>
      <c r="H4710">
        <v>2020</v>
      </c>
      <c r="I4710" t="s">
        <v>28</v>
      </c>
      <c r="J4710">
        <v>3205</v>
      </c>
      <c r="K4710" t="s">
        <v>1873</v>
      </c>
      <c r="L4710">
        <v>0</v>
      </c>
      <c r="N4710" t="s">
        <v>688</v>
      </c>
      <c r="O4710">
        <v>3</v>
      </c>
      <c r="P4710">
        <v>3178</v>
      </c>
      <c r="Q4710" t="s">
        <v>1886</v>
      </c>
      <c r="R4710" t="s">
        <v>201</v>
      </c>
      <c r="S4710">
        <v>1</v>
      </c>
      <c r="T4710">
        <v>1</v>
      </c>
      <c r="U4710">
        <v>88524</v>
      </c>
      <c r="V4710">
        <v>88524</v>
      </c>
    </row>
    <row r="4711" spans="1:22">
      <c r="A4711" t="s">
        <v>196</v>
      </c>
      <c r="B4711">
        <v>88</v>
      </c>
      <c r="C4711" t="s">
        <v>1852</v>
      </c>
      <c r="D4711">
        <v>200</v>
      </c>
      <c r="E4711" t="s">
        <v>1834</v>
      </c>
      <c r="F4711">
        <v>1020</v>
      </c>
      <c r="G4711" t="s">
        <v>28</v>
      </c>
      <c r="H4711">
        <v>2020</v>
      </c>
      <c r="I4711" t="s">
        <v>28</v>
      </c>
      <c r="J4711">
        <v>3205</v>
      </c>
      <c r="K4711" t="s">
        <v>1873</v>
      </c>
      <c r="L4711">
        <v>0</v>
      </c>
      <c r="N4711" t="s">
        <v>702</v>
      </c>
      <c r="O4711">
        <v>3</v>
      </c>
      <c r="P4711">
        <v>3177</v>
      </c>
      <c r="Q4711" t="s">
        <v>1887</v>
      </c>
      <c r="R4711" t="s">
        <v>201</v>
      </c>
      <c r="S4711">
        <v>2</v>
      </c>
      <c r="T4711">
        <v>1</v>
      </c>
      <c r="U4711">
        <v>80196</v>
      </c>
      <c r="V4711">
        <v>160392</v>
      </c>
    </row>
    <row r="4712" spans="1:22">
      <c r="A4712" t="s">
        <v>196</v>
      </c>
      <c r="B4712">
        <v>88</v>
      </c>
      <c r="C4712" t="s">
        <v>1852</v>
      </c>
      <c r="D4712">
        <v>200</v>
      </c>
      <c r="E4712" t="s">
        <v>1834</v>
      </c>
      <c r="F4712">
        <v>1020</v>
      </c>
      <c r="G4712" t="s">
        <v>28</v>
      </c>
      <c r="H4712">
        <v>2020</v>
      </c>
      <c r="I4712" t="s">
        <v>28</v>
      </c>
      <c r="J4712">
        <v>3205</v>
      </c>
      <c r="K4712" t="s">
        <v>1873</v>
      </c>
      <c r="L4712">
        <v>0</v>
      </c>
      <c r="N4712" t="s">
        <v>702</v>
      </c>
      <c r="O4712">
        <v>3</v>
      </c>
      <c r="P4712">
        <v>3177</v>
      </c>
      <c r="Q4712" t="s">
        <v>1887</v>
      </c>
      <c r="R4712" t="s">
        <v>201</v>
      </c>
      <c r="S4712">
        <v>2</v>
      </c>
      <c r="T4712">
        <v>1</v>
      </c>
      <c r="U4712">
        <v>74160</v>
      </c>
      <c r="V4712">
        <v>148320</v>
      </c>
    </row>
    <row r="4713" spans="1:22">
      <c r="A4713" t="s">
        <v>196</v>
      </c>
      <c r="B4713">
        <v>88</v>
      </c>
      <c r="C4713" t="s">
        <v>1852</v>
      </c>
      <c r="D4713">
        <v>200</v>
      </c>
      <c r="E4713" t="s">
        <v>1834</v>
      </c>
      <c r="F4713">
        <v>1020</v>
      </c>
      <c r="G4713" t="s">
        <v>28</v>
      </c>
      <c r="H4713">
        <v>2020</v>
      </c>
      <c r="I4713" t="s">
        <v>28</v>
      </c>
      <c r="J4713">
        <v>3205</v>
      </c>
      <c r="K4713" t="s">
        <v>1873</v>
      </c>
      <c r="L4713">
        <v>0</v>
      </c>
      <c r="N4713" t="s">
        <v>1314</v>
      </c>
      <c r="O4713">
        <v>0</v>
      </c>
      <c r="P4713">
        <v>3154</v>
      </c>
      <c r="Q4713" t="s">
        <v>1888</v>
      </c>
      <c r="R4713" t="s">
        <v>201</v>
      </c>
      <c r="S4713">
        <v>1</v>
      </c>
      <c r="T4713">
        <v>1</v>
      </c>
      <c r="U4713">
        <v>167700</v>
      </c>
      <c r="V4713">
        <v>167700</v>
      </c>
    </row>
    <row r="4714" spans="1:22">
      <c r="A4714" t="s">
        <v>196</v>
      </c>
      <c r="B4714">
        <v>88</v>
      </c>
      <c r="C4714" t="s">
        <v>1852</v>
      </c>
      <c r="D4714">
        <v>200</v>
      </c>
      <c r="E4714" t="s">
        <v>1834</v>
      </c>
      <c r="F4714">
        <v>1020</v>
      </c>
      <c r="G4714" t="s">
        <v>28</v>
      </c>
      <c r="H4714">
        <v>2020</v>
      </c>
      <c r="I4714" t="s">
        <v>28</v>
      </c>
      <c r="J4714">
        <v>3205</v>
      </c>
      <c r="K4714" t="s">
        <v>1873</v>
      </c>
      <c r="L4714">
        <v>0</v>
      </c>
      <c r="N4714" t="s">
        <v>360</v>
      </c>
      <c r="O4714">
        <v>1</v>
      </c>
      <c r="P4714">
        <v>3130</v>
      </c>
      <c r="Q4714" t="s">
        <v>1185</v>
      </c>
      <c r="R4714" t="s">
        <v>201</v>
      </c>
      <c r="S4714">
        <v>2</v>
      </c>
      <c r="T4714">
        <v>1</v>
      </c>
      <c r="U4714">
        <v>57000</v>
      </c>
      <c r="V4714">
        <v>114000</v>
      </c>
    </row>
    <row r="4715" spans="1:22">
      <c r="A4715" t="s">
        <v>196</v>
      </c>
      <c r="B4715">
        <v>88</v>
      </c>
      <c r="C4715" t="s">
        <v>1852</v>
      </c>
      <c r="D4715">
        <v>200</v>
      </c>
      <c r="E4715" t="s">
        <v>1834</v>
      </c>
      <c r="F4715">
        <v>1020</v>
      </c>
      <c r="G4715" t="s">
        <v>28</v>
      </c>
      <c r="H4715">
        <v>2020</v>
      </c>
      <c r="I4715" t="s">
        <v>28</v>
      </c>
      <c r="J4715">
        <v>3205</v>
      </c>
      <c r="K4715" t="s">
        <v>1873</v>
      </c>
      <c r="L4715">
        <v>0</v>
      </c>
      <c r="N4715" t="s">
        <v>333</v>
      </c>
      <c r="O4715">
        <v>4</v>
      </c>
      <c r="P4715">
        <v>3108</v>
      </c>
      <c r="Q4715" t="s">
        <v>1889</v>
      </c>
      <c r="R4715" t="s">
        <v>201</v>
      </c>
      <c r="S4715">
        <v>1</v>
      </c>
      <c r="T4715">
        <v>1</v>
      </c>
      <c r="U4715">
        <v>128316</v>
      </c>
      <c r="V4715">
        <v>128316</v>
      </c>
    </row>
    <row r="4716" spans="1:22">
      <c r="A4716" t="s">
        <v>196</v>
      </c>
      <c r="B4716">
        <v>88</v>
      </c>
      <c r="C4716" t="s">
        <v>1852</v>
      </c>
      <c r="D4716">
        <v>200</v>
      </c>
      <c r="E4716" t="s">
        <v>1834</v>
      </c>
      <c r="F4716">
        <v>1020</v>
      </c>
      <c r="G4716" t="s">
        <v>28</v>
      </c>
      <c r="H4716">
        <v>2020</v>
      </c>
      <c r="I4716" t="s">
        <v>28</v>
      </c>
      <c r="J4716">
        <v>3205</v>
      </c>
      <c r="K4716" t="s">
        <v>1873</v>
      </c>
      <c r="L4716">
        <v>0</v>
      </c>
      <c r="N4716" t="s">
        <v>809</v>
      </c>
      <c r="O4716">
        <v>1</v>
      </c>
      <c r="P4716">
        <v>2317</v>
      </c>
      <c r="Q4716" t="s">
        <v>1890</v>
      </c>
      <c r="R4716" t="s">
        <v>201</v>
      </c>
      <c r="S4716">
        <v>3</v>
      </c>
      <c r="T4716">
        <v>1</v>
      </c>
      <c r="U4716">
        <v>47364</v>
      </c>
      <c r="V4716">
        <v>142092</v>
      </c>
    </row>
    <row r="4717" spans="1:22">
      <c r="A4717" t="s">
        <v>196</v>
      </c>
      <c r="B4717">
        <v>88</v>
      </c>
      <c r="C4717" t="s">
        <v>1852</v>
      </c>
      <c r="D4717">
        <v>200</v>
      </c>
      <c r="E4717" t="s">
        <v>1834</v>
      </c>
      <c r="F4717">
        <v>1020</v>
      </c>
      <c r="G4717" t="s">
        <v>28</v>
      </c>
      <c r="H4717">
        <v>2020</v>
      </c>
      <c r="I4717" t="s">
        <v>28</v>
      </c>
      <c r="J4717">
        <v>3205</v>
      </c>
      <c r="K4717" t="s">
        <v>1873</v>
      </c>
      <c r="L4717">
        <v>0</v>
      </c>
      <c r="N4717" t="s">
        <v>622</v>
      </c>
      <c r="O4717">
        <v>1</v>
      </c>
      <c r="P4717">
        <v>1817</v>
      </c>
      <c r="Q4717" t="s">
        <v>988</v>
      </c>
      <c r="R4717" t="s">
        <v>201</v>
      </c>
      <c r="S4717">
        <v>1</v>
      </c>
      <c r="T4717">
        <v>1</v>
      </c>
      <c r="U4717">
        <v>51936</v>
      </c>
      <c r="V4717">
        <v>51936</v>
      </c>
    </row>
    <row r="4718" spans="1:22">
      <c r="A4718" t="s">
        <v>196</v>
      </c>
      <c r="B4718">
        <v>88</v>
      </c>
      <c r="C4718" t="s">
        <v>1852</v>
      </c>
      <c r="D4718">
        <v>200</v>
      </c>
      <c r="E4718" t="s">
        <v>1834</v>
      </c>
      <c r="F4718">
        <v>1020</v>
      </c>
      <c r="G4718" t="s">
        <v>28</v>
      </c>
      <c r="H4718">
        <v>2020</v>
      </c>
      <c r="I4718" t="s">
        <v>28</v>
      </c>
      <c r="J4718">
        <v>3205</v>
      </c>
      <c r="K4718" t="s">
        <v>1873</v>
      </c>
      <c r="L4718">
        <v>0</v>
      </c>
      <c r="N4718" t="s">
        <v>1314</v>
      </c>
      <c r="O4718">
        <v>0</v>
      </c>
      <c r="P4718" t="s">
        <v>1471</v>
      </c>
      <c r="Q4718" t="s">
        <v>605</v>
      </c>
      <c r="R4718" t="s">
        <v>201</v>
      </c>
      <c r="S4718">
        <v>1</v>
      </c>
      <c r="T4718">
        <v>1</v>
      </c>
      <c r="U4718">
        <v>133836</v>
      </c>
      <c r="V4718">
        <v>133836</v>
      </c>
    </row>
    <row r="4719" spans="1:22">
      <c r="A4719" t="s">
        <v>196</v>
      </c>
      <c r="B4719">
        <v>88</v>
      </c>
      <c r="C4719" t="s">
        <v>1852</v>
      </c>
      <c r="D4719">
        <v>200</v>
      </c>
      <c r="E4719" t="s">
        <v>1834</v>
      </c>
      <c r="F4719">
        <v>1020</v>
      </c>
      <c r="G4719" t="s">
        <v>28</v>
      </c>
      <c r="H4719">
        <v>2020</v>
      </c>
      <c r="I4719" t="s">
        <v>28</v>
      </c>
      <c r="J4719">
        <v>3205</v>
      </c>
      <c r="K4719" t="s">
        <v>1873</v>
      </c>
      <c r="L4719">
        <v>0</v>
      </c>
      <c r="N4719" t="s">
        <v>199</v>
      </c>
      <c r="O4719">
        <v>0</v>
      </c>
      <c r="P4719">
        <v>15</v>
      </c>
      <c r="Q4719" t="s">
        <v>264</v>
      </c>
      <c r="R4719" t="s">
        <v>201</v>
      </c>
      <c r="S4719">
        <v>0</v>
      </c>
      <c r="T4719">
        <v>0</v>
      </c>
      <c r="U4719">
        <v>52086</v>
      </c>
      <c r="V4719">
        <v>52086</v>
      </c>
    </row>
    <row r="4720" spans="1:22">
      <c r="A4720" t="s">
        <v>196</v>
      </c>
      <c r="B4720">
        <v>88</v>
      </c>
      <c r="C4720" t="s">
        <v>1852</v>
      </c>
      <c r="D4720">
        <v>200</v>
      </c>
      <c r="E4720" t="s">
        <v>1834</v>
      </c>
      <c r="F4720">
        <v>1020</v>
      </c>
      <c r="G4720" t="s">
        <v>28</v>
      </c>
      <c r="H4720">
        <v>2020</v>
      </c>
      <c r="I4720" t="s">
        <v>28</v>
      </c>
      <c r="J4720">
        <v>3210</v>
      </c>
      <c r="K4720" t="s">
        <v>1891</v>
      </c>
      <c r="L4720">
        <v>0</v>
      </c>
      <c r="N4720" t="s">
        <v>721</v>
      </c>
      <c r="O4720">
        <v>23</v>
      </c>
      <c r="P4720">
        <v>7775</v>
      </c>
      <c r="Q4720" t="s">
        <v>1892</v>
      </c>
      <c r="R4720" t="s">
        <v>713</v>
      </c>
      <c r="S4720">
        <v>1</v>
      </c>
      <c r="T4720">
        <v>1</v>
      </c>
      <c r="U4720">
        <v>43.04</v>
      </c>
      <c r="V4720">
        <v>89523</v>
      </c>
    </row>
    <row r="4721" spans="1:22">
      <c r="A4721" t="s">
        <v>196</v>
      </c>
      <c r="B4721">
        <v>88</v>
      </c>
      <c r="C4721" t="s">
        <v>1852</v>
      </c>
      <c r="D4721">
        <v>200</v>
      </c>
      <c r="E4721" t="s">
        <v>1834</v>
      </c>
      <c r="F4721">
        <v>1020</v>
      </c>
      <c r="G4721" t="s">
        <v>28</v>
      </c>
      <c r="H4721">
        <v>2020</v>
      </c>
      <c r="I4721" t="s">
        <v>28</v>
      </c>
      <c r="J4721">
        <v>3210</v>
      </c>
      <c r="K4721" t="s">
        <v>1891</v>
      </c>
      <c r="L4721">
        <v>0</v>
      </c>
      <c r="N4721" t="s">
        <v>721</v>
      </c>
      <c r="O4721">
        <v>12</v>
      </c>
      <c r="P4721">
        <v>7745</v>
      </c>
      <c r="Q4721" t="s">
        <v>945</v>
      </c>
      <c r="R4721" t="s">
        <v>713</v>
      </c>
      <c r="S4721">
        <v>4</v>
      </c>
      <c r="T4721">
        <v>1</v>
      </c>
      <c r="U4721">
        <v>68.260000000000005</v>
      </c>
      <c r="V4721">
        <v>567923</v>
      </c>
    </row>
    <row r="4722" spans="1:22">
      <c r="A4722" t="s">
        <v>196</v>
      </c>
      <c r="B4722">
        <v>88</v>
      </c>
      <c r="C4722" t="s">
        <v>1852</v>
      </c>
      <c r="D4722">
        <v>200</v>
      </c>
      <c r="E4722" t="s">
        <v>1834</v>
      </c>
      <c r="F4722">
        <v>1020</v>
      </c>
      <c r="G4722" t="s">
        <v>28</v>
      </c>
      <c r="H4722">
        <v>2020</v>
      </c>
      <c r="I4722" t="s">
        <v>28</v>
      </c>
      <c r="J4722">
        <v>3210</v>
      </c>
      <c r="K4722" t="s">
        <v>1891</v>
      </c>
      <c r="L4722">
        <v>0</v>
      </c>
      <c r="N4722" t="s">
        <v>721</v>
      </c>
      <c r="O4722">
        <v>12</v>
      </c>
      <c r="P4722">
        <v>7743</v>
      </c>
      <c r="Q4722" t="s">
        <v>946</v>
      </c>
      <c r="R4722" t="s">
        <v>713</v>
      </c>
      <c r="S4722">
        <v>1</v>
      </c>
      <c r="T4722">
        <v>1</v>
      </c>
      <c r="U4722">
        <v>62.05</v>
      </c>
      <c r="V4722">
        <v>129064</v>
      </c>
    </row>
    <row r="4723" spans="1:22">
      <c r="A4723" t="s">
        <v>196</v>
      </c>
      <c r="B4723">
        <v>88</v>
      </c>
      <c r="C4723" t="s">
        <v>1852</v>
      </c>
      <c r="D4723">
        <v>200</v>
      </c>
      <c r="E4723" t="s">
        <v>1834</v>
      </c>
      <c r="F4723">
        <v>1020</v>
      </c>
      <c r="G4723" t="s">
        <v>28</v>
      </c>
      <c r="H4723">
        <v>2020</v>
      </c>
      <c r="I4723" t="s">
        <v>28</v>
      </c>
      <c r="J4723">
        <v>3210</v>
      </c>
      <c r="K4723" t="s">
        <v>1891</v>
      </c>
      <c r="L4723">
        <v>0</v>
      </c>
      <c r="N4723" t="s">
        <v>688</v>
      </c>
      <c r="O4723">
        <v>4</v>
      </c>
      <c r="P4723">
        <v>6052</v>
      </c>
      <c r="Q4723" t="s">
        <v>1893</v>
      </c>
      <c r="R4723" t="s">
        <v>201</v>
      </c>
      <c r="S4723">
        <v>2</v>
      </c>
      <c r="T4723">
        <v>1</v>
      </c>
      <c r="U4723">
        <v>81636</v>
      </c>
      <c r="V4723">
        <v>163272</v>
      </c>
    </row>
    <row r="4724" spans="1:22">
      <c r="A4724" t="s">
        <v>196</v>
      </c>
      <c r="B4724">
        <v>88</v>
      </c>
      <c r="C4724" t="s">
        <v>1852</v>
      </c>
      <c r="D4724">
        <v>200</v>
      </c>
      <c r="E4724" t="s">
        <v>1834</v>
      </c>
      <c r="F4724">
        <v>1020</v>
      </c>
      <c r="G4724" t="s">
        <v>28</v>
      </c>
      <c r="H4724">
        <v>2020</v>
      </c>
      <c r="I4724" t="s">
        <v>28</v>
      </c>
      <c r="J4724">
        <v>3210</v>
      </c>
      <c r="K4724" t="s">
        <v>1891</v>
      </c>
      <c r="L4724">
        <v>0</v>
      </c>
      <c r="N4724" t="s">
        <v>721</v>
      </c>
      <c r="O4724">
        <v>14</v>
      </c>
      <c r="P4724">
        <v>4774</v>
      </c>
      <c r="Q4724" t="s">
        <v>972</v>
      </c>
      <c r="R4724" t="s">
        <v>713</v>
      </c>
      <c r="S4724">
        <v>4</v>
      </c>
      <c r="T4724">
        <v>1</v>
      </c>
      <c r="U4724">
        <v>54.1</v>
      </c>
      <c r="V4724">
        <v>450112</v>
      </c>
    </row>
    <row r="4725" spans="1:22">
      <c r="A4725" t="s">
        <v>196</v>
      </c>
      <c r="B4725">
        <v>88</v>
      </c>
      <c r="C4725" t="s">
        <v>1852</v>
      </c>
      <c r="D4725">
        <v>200</v>
      </c>
      <c r="E4725" t="s">
        <v>1834</v>
      </c>
      <c r="F4725">
        <v>1020</v>
      </c>
      <c r="G4725" t="s">
        <v>28</v>
      </c>
      <c r="H4725">
        <v>2020</v>
      </c>
      <c r="I4725" t="s">
        <v>28</v>
      </c>
      <c r="J4725">
        <v>3210</v>
      </c>
      <c r="K4725" t="s">
        <v>1891</v>
      </c>
      <c r="L4725">
        <v>0</v>
      </c>
      <c r="N4725" t="s">
        <v>721</v>
      </c>
      <c r="O4725">
        <v>39</v>
      </c>
      <c r="P4725">
        <v>4634</v>
      </c>
      <c r="Q4725" t="s">
        <v>977</v>
      </c>
      <c r="R4725" t="s">
        <v>713</v>
      </c>
      <c r="S4725">
        <v>10400</v>
      </c>
      <c r="T4725">
        <v>0</v>
      </c>
      <c r="U4725">
        <v>54.3</v>
      </c>
      <c r="V4725">
        <v>564720</v>
      </c>
    </row>
    <row r="4726" spans="1:22">
      <c r="A4726" t="s">
        <v>196</v>
      </c>
      <c r="B4726">
        <v>88</v>
      </c>
      <c r="C4726" t="s">
        <v>1852</v>
      </c>
      <c r="D4726">
        <v>200</v>
      </c>
      <c r="E4726" t="s">
        <v>1834</v>
      </c>
      <c r="F4726">
        <v>1020</v>
      </c>
      <c r="G4726" t="s">
        <v>28</v>
      </c>
      <c r="H4726">
        <v>2020</v>
      </c>
      <c r="I4726" t="s">
        <v>28</v>
      </c>
      <c r="J4726">
        <v>3210</v>
      </c>
      <c r="K4726" t="s">
        <v>1891</v>
      </c>
      <c r="L4726">
        <v>0</v>
      </c>
      <c r="N4726" t="s">
        <v>372</v>
      </c>
      <c r="O4726">
        <v>4</v>
      </c>
      <c r="P4726">
        <v>1912</v>
      </c>
      <c r="Q4726" t="s">
        <v>608</v>
      </c>
      <c r="R4726" t="s">
        <v>201</v>
      </c>
      <c r="S4726">
        <v>1</v>
      </c>
      <c r="T4726">
        <v>1</v>
      </c>
      <c r="U4726">
        <v>75336</v>
      </c>
      <c r="V4726">
        <v>75336</v>
      </c>
    </row>
    <row r="4727" spans="1:22">
      <c r="A4727" t="s">
        <v>196</v>
      </c>
      <c r="B4727">
        <v>88</v>
      </c>
      <c r="C4727" t="s">
        <v>1852</v>
      </c>
      <c r="D4727">
        <v>200</v>
      </c>
      <c r="E4727" t="s">
        <v>1834</v>
      </c>
      <c r="F4727">
        <v>1020</v>
      </c>
      <c r="G4727" t="s">
        <v>28</v>
      </c>
      <c r="H4727">
        <v>2020</v>
      </c>
      <c r="I4727" t="s">
        <v>28</v>
      </c>
      <c r="J4727">
        <v>3210</v>
      </c>
      <c r="K4727" t="s">
        <v>1891</v>
      </c>
      <c r="L4727">
        <v>0</v>
      </c>
      <c r="N4727" t="s">
        <v>199</v>
      </c>
      <c r="O4727">
        <v>0</v>
      </c>
      <c r="P4727">
        <v>12</v>
      </c>
      <c r="Q4727" t="s">
        <v>724</v>
      </c>
      <c r="R4727" t="s">
        <v>201</v>
      </c>
      <c r="S4727">
        <v>0</v>
      </c>
      <c r="T4727">
        <v>0</v>
      </c>
      <c r="U4727">
        <v>27021</v>
      </c>
      <c r="V4727">
        <v>27021</v>
      </c>
    </row>
    <row r="4728" spans="1:22">
      <c r="A4728" t="s">
        <v>196</v>
      </c>
      <c r="B4728">
        <v>88</v>
      </c>
      <c r="C4728" t="s">
        <v>1852</v>
      </c>
      <c r="D4728">
        <v>200</v>
      </c>
      <c r="E4728" t="s">
        <v>1834</v>
      </c>
      <c r="F4728">
        <v>1020</v>
      </c>
      <c r="G4728" t="s">
        <v>28</v>
      </c>
      <c r="H4728">
        <v>2020</v>
      </c>
      <c r="I4728" t="s">
        <v>28</v>
      </c>
      <c r="J4728">
        <v>3215</v>
      </c>
      <c r="K4728" t="s">
        <v>1894</v>
      </c>
      <c r="L4728">
        <v>0</v>
      </c>
      <c r="N4728" t="s">
        <v>721</v>
      </c>
      <c r="O4728">
        <v>45</v>
      </c>
      <c r="P4728">
        <v>9593</v>
      </c>
      <c r="Q4728" t="s">
        <v>1895</v>
      </c>
      <c r="R4728" t="s">
        <v>712</v>
      </c>
      <c r="S4728">
        <v>21</v>
      </c>
      <c r="T4728">
        <v>1</v>
      </c>
      <c r="U4728">
        <v>4650.4399999999996</v>
      </c>
      <c r="V4728">
        <v>1171911</v>
      </c>
    </row>
    <row r="4729" spans="1:22">
      <c r="A4729" t="s">
        <v>196</v>
      </c>
      <c r="B4729">
        <v>88</v>
      </c>
      <c r="C4729" t="s">
        <v>1852</v>
      </c>
      <c r="D4729">
        <v>200</v>
      </c>
      <c r="E4729" t="s">
        <v>1834</v>
      </c>
      <c r="F4729">
        <v>1020</v>
      </c>
      <c r="G4729" t="s">
        <v>28</v>
      </c>
      <c r="H4729">
        <v>2020</v>
      </c>
      <c r="I4729" t="s">
        <v>28</v>
      </c>
      <c r="J4729">
        <v>3215</v>
      </c>
      <c r="K4729" t="s">
        <v>1894</v>
      </c>
      <c r="L4729">
        <v>0</v>
      </c>
      <c r="N4729" t="s">
        <v>721</v>
      </c>
      <c r="O4729">
        <v>45</v>
      </c>
      <c r="P4729">
        <v>9593</v>
      </c>
      <c r="Q4729" t="s">
        <v>1895</v>
      </c>
      <c r="R4729" t="s">
        <v>712</v>
      </c>
      <c r="S4729">
        <v>1</v>
      </c>
      <c r="T4729">
        <v>1</v>
      </c>
      <c r="U4729">
        <v>4131.8599999999997</v>
      </c>
      <c r="V4729">
        <v>49582</v>
      </c>
    </row>
    <row r="4730" spans="1:22">
      <c r="A4730" t="s">
        <v>196</v>
      </c>
      <c r="B4730">
        <v>88</v>
      </c>
      <c r="C4730" t="s">
        <v>1852</v>
      </c>
      <c r="D4730">
        <v>200</v>
      </c>
      <c r="E4730" t="s">
        <v>1834</v>
      </c>
      <c r="F4730">
        <v>1020</v>
      </c>
      <c r="G4730" t="s">
        <v>28</v>
      </c>
      <c r="H4730">
        <v>2020</v>
      </c>
      <c r="I4730" t="s">
        <v>28</v>
      </c>
      <c r="J4730">
        <v>3215</v>
      </c>
      <c r="K4730" t="s">
        <v>1894</v>
      </c>
      <c r="L4730">
        <v>0</v>
      </c>
      <c r="N4730" t="s">
        <v>721</v>
      </c>
      <c r="O4730">
        <v>45</v>
      </c>
      <c r="P4730">
        <v>9593</v>
      </c>
      <c r="Q4730" t="s">
        <v>1895</v>
      </c>
      <c r="R4730" t="s">
        <v>713</v>
      </c>
      <c r="S4730">
        <v>1</v>
      </c>
      <c r="T4730">
        <v>1</v>
      </c>
      <c r="U4730">
        <v>28.16</v>
      </c>
      <c r="V4730">
        <v>58573</v>
      </c>
    </row>
    <row r="4731" spans="1:22">
      <c r="A4731" t="s">
        <v>196</v>
      </c>
      <c r="B4731">
        <v>88</v>
      </c>
      <c r="C4731" t="s">
        <v>1852</v>
      </c>
      <c r="D4731">
        <v>200</v>
      </c>
      <c r="E4731" t="s">
        <v>1834</v>
      </c>
      <c r="F4731">
        <v>1020</v>
      </c>
      <c r="G4731" t="s">
        <v>28</v>
      </c>
      <c r="H4731">
        <v>2020</v>
      </c>
      <c r="I4731" t="s">
        <v>28</v>
      </c>
      <c r="J4731">
        <v>3215</v>
      </c>
      <c r="K4731" t="s">
        <v>1894</v>
      </c>
      <c r="L4731">
        <v>0</v>
      </c>
      <c r="N4731" t="s">
        <v>721</v>
      </c>
      <c r="O4731">
        <v>45</v>
      </c>
      <c r="P4731">
        <v>9592</v>
      </c>
      <c r="Q4731" t="s">
        <v>1896</v>
      </c>
      <c r="R4731" t="s">
        <v>712</v>
      </c>
      <c r="S4731">
        <v>2</v>
      </c>
      <c r="T4731">
        <v>1</v>
      </c>
      <c r="U4731">
        <v>5528.68</v>
      </c>
      <c r="V4731">
        <v>132688</v>
      </c>
    </row>
    <row r="4732" spans="1:22">
      <c r="A4732" t="s">
        <v>196</v>
      </c>
      <c r="B4732">
        <v>88</v>
      </c>
      <c r="C4732" t="s">
        <v>1852</v>
      </c>
      <c r="D4732">
        <v>200</v>
      </c>
      <c r="E4732" t="s">
        <v>1834</v>
      </c>
      <c r="F4732">
        <v>1020</v>
      </c>
      <c r="G4732" t="s">
        <v>28</v>
      </c>
      <c r="H4732">
        <v>2020</v>
      </c>
      <c r="I4732" t="s">
        <v>28</v>
      </c>
      <c r="J4732">
        <v>3215</v>
      </c>
      <c r="K4732" t="s">
        <v>1894</v>
      </c>
      <c r="L4732">
        <v>0</v>
      </c>
      <c r="N4732" t="s">
        <v>721</v>
      </c>
      <c r="O4732">
        <v>23</v>
      </c>
      <c r="P4732">
        <v>7775</v>
      </c>
      <c r="Q4732" t="s">
        <v>1892</v>
      </c>
      <c r="R4732" t="s">
        <v>713</v>
      </c>
      <c r="S4732">
        <v>2080</v>
      </c>
      <c r="T4732">
        <v>0</v>
      </c>
      <c r="U4732">
        <v>43.04</v>
      </c>
      <c r="V4732">
        <v>89523</v>
      </c>
    </row>
    <row r="4733" spans="1:22">
      <c r="A4733" t="s">
        <v>196</v>
      </c>
      <c r="B4733">
        <v>88</v>
      </c>
      <c r="C4733" t="s">
        <v>1852</v>
      </c>
      <c r="D4733">
        <v>200</v>
      </c>
      <c r="E4733" t="s">
        <v>1834</v>
      </c>
      <c r="F4733">
        <v>1020</v>
      </c>
      <c r="G4733" t="s">
        <v>28</v>
      </c>
      <c r="H4733">
        <v>2020</v>
      </c>
      <c r="I4733" t="s">
        <v>28</v>
      </c>
      <c r="J4733">
        <v>3215</v>
      </c>
      <c r="K4733" t="s">
        <v>1894</v>
      </c>
      <c r="L4733">
        <v>0</v>
      </c>
      <c r="N4733" t="s">
        <v>721</v>
      </c>
      <c r="O4733">
        <v>23</v>
      </c>
      <c r="P4733">
        <v>7775</v>
      </c>
      <c r="Q4733" t="s">
        <v>1892</v>
      </c>
      <c r="R4733" t="s">
        <v>713</v>
      </c>
      <c r="S4733">
        <v>8</v>
      </c>
      <c r="T4733">
        <v>1</v>
      </c>
      <c r="U4733">
        <v>43.04</v>
      </c>
      <c r="V4733">
        <v>716186</v>
      </c>
    </row>
    <row r="4734" spans="1:22">
      <c r="A4734" t="s">
        <v>196</v>
      </c>
      <c r="B4734">
        <v>88</v>
      </c>
      <c r="C4734" t="s">
        <v>1852</v>
      </c>
      <c r="D4734">
        <v>200</v>
      </c>
      <c r="E4734" t="s">
        <v>1834</v>
      </c>
      <c r="F4734">
        <v>1020</v>
      </c>
      <c r="G4734" t="s">
        <v>28</v>
      </c>
      <c r="H4734">
        <v>2020</v>
      </c>
      <c r="I4734" t="s">
        <v>28</v>
      </c>
      <c r="J4734">
        <v>3215</v>
      </c>
      <c r="K4734" t="s">
        <v>1894</v>
      </c>
      <c r="L4734">
        <v>0</v>
      </c>
      <c r="N4734" t="s">
        <v>721</v>
      </c>
      <c r="O4734">
        <v>12</v>
      </c>
      <c r="P4734">
        <v>7747</v>
      </c>
      <c r="Q4734" t="s">
        <v>944</v>
      </c>
      <c r="R4734" t="s">
        <v>712</v>
      </c>
      <c r="S4734">
        <v>2</v>
      </c>
      <c r="T4734">
        <v>1</v>
      </c>
      <c r="U4734">
        <v>12906.4</v>
      </c>
      <c r="V4734">
        <v>309754</v>
      </c>
    </row>
    <row r="4735" spans="1:22">
      <c r="A4735" t="s">
        <v>196</v>
      </c>
      <c r="B4735">
        <v>88</v>
      </c>
      <c r="C4735" t="s">
        <v>1852</v>
      </c>
      <c r="D4735">
        <v>200</v>
      </c>
      <c r="E4735" t="s">
        <v>1834</v>
      </c>
      <c r="F4735">
        <v>1020</v>
      </c>
      <c r="G4735" t="s">
        <v>28</v>
      </c>
      <c r="H4735">
        <v>2020</v>
      </c>
      <c r="I4735" t="s">
        <v>28</v>
      </c>
      <c r="J4735">
        <v>3215</v>
      </c>
      <c r="K4735" t="s">
        <v>1894</v>
      </c>
      <c r="L4735">
        <v>0</v>
      </c>
      <c r="N4735" t="s">
        <v>721</v>
      </c>
      <c r="O4735">
        <v>12</v>
      </c>
      <c r="P4735">
        <v>7745</v>
      </c>
      <c r="Q4735" t="s">
        <v>945</v>
      </c>
      <c r="R4735" t="s">
        <v>713</v>
      </c>
      <c r="S4735">
        <v>15</v>
      </c>
      <c r="T4735">
        <v>1</v>
      </c>
      <c r="U4735">
        <v>68.260000000000005</v>
      </c>
      <c r="V4735">
        <v>2129712</v>
      </c>
    </row>
    <row r="4736" spans="1:22">
      <c r="A4736" t="s">
        <v>196</v>
      </c>
      <c r="B4736">
        <v>88</v>
      </c>
      <c r="C4736" t="s">
        <v>1852</v>
      </c>
      <c r="D4736">
        <v>200</v>
      </c>
      <c r="E4736" t="s">
        <v>1834</v>
      </c>
      <c r="F4736">
        <v>1020</v>
      </c>
      <c r="G4736" t="s">
        <v>28</v>
      </c>
      <c r="H4736">
        <v>2020</v>
      </c>
      <c r="I4736" t="s">
        <v>28</v>
      </c>
      <c r="J4736">
        <v>3215</v>
      </c>
      <c r="K4736" t="s">
        <v>1894</v>
      </c>
      <c r="L4736">
        <v>0</v>
      </c>
      <c r="N4736" t="s">
        <v>721</v>
      </c>
      <c r="O4736">
        <v>12</v>
      </c>
      <c r="P4736">
        <v>7743</v>
      </c>
      <c r="Q4736" t="s">
        <v>946</v>
      </c>
      <c r="R4736" t="s">
        <v>713</v>
      </c>
      <c r="S4736">
        <v>59</v>
      </c>
      <c r="T4736">
        <v>1</v>
      </c>
      <c r="U4736">
        <v>62.05</v>
      </c>
      <c r="V4736">
        <v>7614776</v>
      </c>
    </row>
    <row r="4737" spans="1:22">
      <c r="A4737" t="s">
        <v>196</v>
      </c>
      <c r="B4737">
        <v>88</v>
      </c>
      <c r="C4737" t="s">
        <v>1852</v>
      </c>
      <c r="D4737">
        <v>200</v>
      </c>
      <c r="E4737" t="s">
        <v>1834</v>
      </c>
      <c r="F4737">
        <v>1020</v>
      </c>
      <c r="G4737" t="s">
        <v>28</v>
      </c>
      <c r="H4737">
        <v>2020</v>
      </c>
      <c r="I4737" t="s">
        <v>28</v>
      </c>
      <c r="J4737">
        <v>3215</v>
      </c>
      <c r="K4737" t="s">
        <v>1894</v>
      </c>
      <c r="L4737">
        <v>0</v>
      </c>
      <c r="N4737" t="s">
        <v>721</v>
      </c>
      <c r="O4737">
        <v>12</v>
      </c>
      <c r="P4737">
        <v>7741</v>
      </c>
      <c r="Q4737" t="s">
        <v>1897</v>
      </c>
      <c r="R4737" t="s">
        <v>713</v>
      </c>
      <c r="S4737">
        <v>72</v>
      </c>
      <c r="T4737">
        <v>1</v>
      </c>
      <c r="U4737">
        <v>58.95</v>
      </c>
      <c r="V4737">
        <v>8828352</v>
      </c>
    </row>
    <row r="4738" spans="1:22">
      <c r="A4738" t="s">
        <v>196</v>
      </c>
      <c r="B4738">
        <v>88</v>
      </c>
      <c r="C4738" t="s">
        <v>1852</v>
      </c>
      <c r="D4738">
        <v>200</v>
      </c>
      <c r="E4738" t="s">
        <v>1834</v>
      </c>
      <c r="F4738">
        <v>1020</v>
      </c>
      <c r="G4738" t="s">
        <v>28</v>
      </c>
      <c r="H4738">
        <v>2020</v>
      </c>
      <c r="I4738" t="s">
        <v>28</v>
      </c>
      <c r="J4738">
        <v>3215</v>
      </c>
      <c r="K4738" t="s">
        <v>1894</v>
      </c>
      <c r="L4738">
        <v>0</v>
      </c>
      <c r="N4738" t="s">
        <v>721</v>
      </c>
      <c r="O4738">
        <v>36</v>
      </c>
      <c r="P4738">
        <v>6676</v>
      </c>
      <c r="Q4738" t="s">
        <v>962</v>
      </c>
      <c r="R4738" t="s">
        <v>713</v>
      </c>
      <c r="S4738">
        <v>1</v>
      </c>
      <c r="T4738">
        <v>1</v>
      </c>
      <c r="U4738">
        <v>64.39</v>
      </c>
      <c r="V4738">
        <v>133931</v>
      </c>
    </row>
    <row r="4739" spans="1:22">
      <c r="A4739" t="s">
        <v>196</v>
      </c>
      <c r="B4739">
        <v>88</v>
      </c>
      <c r="C4739" t="s">
        <v>1852</v>
      </c>
      <c r="D4739">
        <v>200</v>
      </c>
      <c r="E4739" t="s">
        <v>1834</v>
      </c>
      <c r="F4739">
        <v>1020</v>
      </c>
      <c r="G4739" t="s">
        <v>28</v>
      </c>
      <c r="H4739">
        <v>2020</v>
      </c>
      <c r="I4739" t="s">
        <v>28</v>
      </c>
      <c r="J4739">
        <v>3215</v>
      </c>
      <c r="K4739" t="s">
        <v>1894</v>
      </c>
      <c r="L4739">
        <v>0</v>
      </c>
      <c r="N4739" t="s">
        <v>721</v>
      </c>
      <c r="O4739">
        <v>36</v>
      </c>
      <c r="P4739">
        <v>6676</v>
      </c>
      <c r="Q4739" t="s">
        <v>962</v>
      </c>
      <c r="R4739" t="s">
        <v>713</v>
      </c>
      <c r="S4739">
        <v>1</v>
      </c>
      <c r="T4739">
        <v>1</v>
      </c>
      <c r="U4739">
        <v>58.24</v>
      </c>
      <c r="V4739">
        <v>121139</v>
      </c>
    </row>
    <row r="4740" spans="1:22">
      <c r="A4740" t="s">
        <v>196</v>
      </c>
      <c r="B4740">
        <v>88</v>
      </c>
      <c r="C4740" t="s">
        <v>1852</v>
      </c>
      <c r="D4740">
        <v>200</v>
      </c>
      <c r="E4740" t="s">
        <v>1834</v>
      </c>
      <c r="F4740">
        <v>1020</v>
      </c>
      <c r="G4740" t="s">
        <v>28</v>
      </c>
      <c r="H4740">
        <v>2020</v>
      </c>
      <c r="I4740" t="s">
        <v>28</v>
      </c>
      <c r="J4740">
        <v>3215</v>
      </c>
      <c r="K4740" t="s">
        <v>1894</v>
      </c>
      <c r="L4740">
        <v>0</v>
      </c>
      <c r="N4740" t="s">
        <v>721</v>
      </c>
      <c r="O4740">
        <v>36</v>
      </c>
      <c r="P4740">
        <v>6674</v>
      </c>
      <c r="Q4740" t="s">
        <v>963</v>
      </c>
      <c r="R4740" t="s">
        <v>713</v>
      </c>
      <c r="S4740">
        <v>11</v>
      </c>
      <c r="T4740">
        <v>1</v>
      </c>
      <c r="U4740">
        <v>60.39</v>
      </c>
      <c r="V4740">
        <v>1381723</v>
      </c>
    </row>
    <row r="4741" spans="1:22">
      <c r="A4741" t="s">
        <v>196</v>
      </c>
      <c r="B4741">
        <v>88</v>
      </c>
      <c r="C4741" t="s">
        <v>1852</v>
      </c>
      <c r="D4741">
        <v>200</v>
      </c>
      <c r="E4741" t="s">
        <v>1834</v>
      </c>
      <c r="F4741">
        <v>1020</v>
      </c>
      <c r="G4741" t="s">
        <v>28</v>
      </c>
      <c r="H4741">
        <v>2020</v>
      </c>
      <c r="I4741" t="s">
        <v>28</v>
      </c>
      <c r="J4741">
        <v>3215</v>
      </c>
      <c r="K4741" t="s">
        <v>1894</v>
      </c>
      <c r="L4741">
        <v>0</v>
      </c>
      <c r="N4741" t="s">
        <v>602</v>
      </c>
      <c r="O4741">
        <v>4</v>
      </c>
      <c r="P4741">
        <v>5814</v>
      </c>
      <c r="Q4741" t="s">
        <v>1898</v>
      </c>
      <c r="R4741" t="s">
        <v>201</v>
      </c>
      <c r="S4741">
        <v>2</v>
      </c>
      <c r="T4741">
        <v>1</v>
      </c>
      <c r="U4741">
        <v>99408</v>
      </c>
      <c r="V4741">
        <v>198816</v>
      </c>
    </row>
    <row r="4742" spans="1:22">
      <c r="A4742" t="s">
        <v>196</v>
      </c>
      <c r="B4742">
        <v>88</v>
      </c>
      <c r="C4742" t="s">
        <v>1852</v>
      </c>
      <c r="D4742">
        <v>200</v>
      </c>
      <c r="E4742" t="s">
        <v>1834</v>
      </c>
      <c r="F4742">
        <v>1020</v>
      </c>
      <c r="G4742" t="s">
        <v>28</v>
      </c>
      <c r="H4742">
        <v>2020</v>
      </c>
      <c r="I4742" t="s">
        <v>28</v>
      </c>
      <c r="J4742">
        <v>3215</v>
      </c>
      <c r="K4742" t="s">
        <v>1894</v>
      </c>
      <c r="L4742">
        <v>0</v>
      </c>
      <c r="N4742" t="s">
        <v>1314</v>
      </c>
      <c r="O4742">
        <v>9</v>
      </c>
      <c r="P4742">
        <v>5566</v>
      </c>
      <c r="Q4742" t="s">
        <v>1899</v>
      </c>
      <c r="R4742" t="s">
        <v>201</v>
      </c>
      <c r="S4742">
        <v>1</v>
      </c>
      <c r="T4742">
        <v>1</v>
      </c>
      <c r="U4742">
        <v>167700</v>
      </c>
      <c r="V4742">
        <v>167700</v>
      </c>
    </row>
    <row r="4743" spans="1:22">
      <c r="A4743" t="s">
        <v>196</v>
      </c>
      <c r="B4743">
        <v>88</v>
      </c>
      <c r="C4743" t="s">
        <v>1852</v>
      </c>
      <c r="D4743">
        <v>200</v>
      </c>
      <c r="E4743" t="s">
        <v>1834</v>
      </c>
      <c r="F4743">
        <v>1020</v>
      </c>
      <c r="G4743" t="s">
        <v>28</v>
      </c>
      <c r="H4743">
        <v>2020</v>
      </c>
      <c r="I4743" t="s">
        <v>28</v>
      </c>
      <c r="J4743">
        <v>3215</v>
      </c>
      <c r="K4743" t="s">
        <v>1894</v>
      </c>
      <c r="L4743">
        <v>0</v>
      </c>
      <c r="N4743" t="s">
        <v>1314</v>
      </c>
      <c r="O4743">
        <v>9</v>
      </c>
      <c r="P4743">
        <v>5566</v>
      </c>
      <c r="Q4743" t="s">
        <v>1899</v>
      </c>
      <c r="R4743" t="s">
        <v>201</v>
      </c>
      <c r="S4743">
        <v>1</v>
      </c>
      <c r="T4743">
        <v>1</v>
      </c>
      <c r="U4743">
        <v>150768</v>
      </c>
      <c r="V4743">
        <v>150768</v>
      </c>
    </row>
    <row r="4744" spans="1:22">
      <c r="A4744" t="s">
        <v>196</v>
      </c>
      <c r="B4744">
        <v>88</v>
      </c>
      <c r="C4744" t="s">
        <v>1852</v>
      </c>
      <c r="D4744">
        <v>200</v>
      </c>
      <c r="E4744" t="s">
        <v>1834</v>
      </c>
      <c r="F4744">
        <v>1020</v>
      </c>
      <c r="G4744" t="s">
        <v>28</v>
      </c>
      <c r="H4744">
        <v>2020</v>
      </c>
      <c r="I4744" t="s">
        <v>28</v>
      </c>
      <c r="J4744">
        <v>3215</v>
      </c>
      <c r="K4744" t="s">
        <v>1894</v>
      </c>
      <c r="L4744">
        <v>0</v>
      </c>
      <c r="N4744" t="s">
        <v>356</v>
      </c>
      <c r="O4744">
        <v>4</v>
      </c>
      <c r="P4744">
        <v>5534</v>
      </c>
      <c r="Q4744" t="s">
        <v>1879</v>
      </c>
      <c r="R4744" t="s">
        <v>201</v>
      </c>
      <c r="S4744">
        <v>2</v>
      </c>
      <c r="T4744">
        <v>1</v>
      </c>
      <c r="U4744">
        <v>129636</v>
      </c>
      <c r="V4744">
        <v>259272</v>
      </c>
    </row>
    <row r="4745" spans="1:22">
      <c r="A4745" t="s">
        <v>196</v>
      </c>
      <c r="B4745">
        <v>88</v>
      </c>
      <c r="C4745" t="s">
        <v>1852</v>
      </c>
      <c r="D4745">
        <v>200</v>
      </c>
      <c r="E4745" t="s">
        <v>1834</v>
      </c>
      <c r="F4745">
        <v>1020</v>
      </c>
      <c r="G4745" t="s">
        <v>28</v>
      </c>
      <c r="H4745">
        <v>2020</v>
      </c>
      <c r="I4745" t="s">
        <v>28</v>
      </c>
      <c r="J4745">
        <v>3215</v>
      </c>
      <c r="K4745" t="s">
        <v>1894</v>
      </c>
      <c r="L4745">
        <v>0</v>
      </c>
      <c r="N4745" t="s">
        <v>688</v>
      </c>
      <c r="O4745">
        <v>4</v>
      </c>
      <c r="P4745">
        <v>5533</v>
      </c>
      <c r="Q4745" t="s">
        <v>1880</v>
      </c>
      <c r="R4745" t="s">
        <v>201</v>
      </c>
      <c r="S4745">
        <v>2</v>
      </c>
      <c r="T4745">
        <v>1</v>
      </c>
      <c r="U4745">
        <v>118836</v>
      </c>
      <c r="V4745">
        <v>237672</v>
      </c>
    </row>
    <row r="4746" spans="1:22">
      <c r="A4746" t="s">
        <v>196</v>
      </c>
      <c r="B4746">
        <v>88</v>
      </c>
      <c r="C4746" t="s">
        <v>1852</v>
      </c>
      <c r="D4746">
        <v>200</v>
      </c>
      <c r="E4746" t="s">
        <v>1834</v>
      </c>
      <c r="F4746">
        <v>1020</v>
      </c>
      <c r="G4746" t="s">
        <v>28</v>
      </c>
      <c r="H4746">
        <v>2020</v>
      </c>
      <c r="I4746" t="s">
        <v>28</v>
      </c>
      <c r="J4746">
        <v>3215</v>
      </c>
      <c r="K4746" t="s">
        <v>1894</v>
      </c>
      <c r="L4746">
        <v>0</v>
      </c>
      <c r="N4746" t="s">
        <v>702</v>
      </c>
      <c r="O4746">
        <v>4</v>
      </c>
      <c r="P4746">
        <v>5532</v>
      </c>
      <c r="Q4746" t="s">
        <v>1881</v>
      </c>
      <c r="R4746" t="s">
        <v>201</v>
      </c>
      <c r="S4746">
        <v>3</v>
      </c>
      <c r="T4746">
        <v>1</v>
      </c>
      <c r="U4746">
        <v>108708</v>
      </c>
      <c r="V4746">
        <v>326124</v>
      </c>
    </row>
    <row r="4747" spans="1:22">
      <c r="A4747" t="s">
        <v>196</v>
      </c>
      <c r="B4747">
        <v>88</v>
      </c>
      <c r="C4747" t="s">
        <v>1852</v>
      </c>
      <c r="D4747">
        <v>200</v>
      </c>
      <c r="E4747" t="s">
        <v>1834</v>
      </c>
      <c r="F4747">
        <v>1020</v>
      </c>
      <c r="G4747" t="s">
        <v>28</v>
      </c>
      <c r="H4747">
        <v>2020</v>
      </c>
      <c r="I4747" t="s">
        <v>28</v>
      </c>
      <c r="J4747">
        <v>3215</v>
      </c>
      <c r="K4747" t="s">
        <v>1894</v>
      </c>
      <c r="L4747">
        <v>0</v>
      </c>
      <c r="N4747" t="s">
        <v>702</v>
      </c>
      <c r="O4747">
        <v>4</v>
      </c>
      <c r="P4747">
        <v>5532</v>
      </c>
      <c r="Q4747" t="s">
        <v>1881</v>
      </c>
      <c r="R4747" t="s">
        <v>201</v>
      </c>
      <c r="S4747">
        <v>2</v>
      </c>
      <c r="T4747">
        <v>1</v>
      </c>
      <c r="U4747">
        <v>88524</v>
      </c>
      <c r="V4747">
        <v>177048</v>
      </c>
    </row>
    <row r="4748" spans="1:22">
      <c r="A4748" t="s">
        <v>196</v>
      </c>
      <c r="B4748">
        <v>88</v>
      </c>
      <c r="C4748" t="s">
        <v>1852</v>
      </c>
      <c r="D4748">
        <v>200</v>
      </c>
      <c r="E4748" t="s">
        <v>1834</v>
      </c>
      <c r="F4748">
        <v>1020</v>
      </c>
      <c r="G4748" t="s">
        <v>28</v>
      </c>
      <c r="H4748">
        <v>2020</v>
      </c>
      <c r="I4748" t="s">
        <v>28</v>
      </c>
      <c r="J4748">
        <v>3215</v>
      </c>
      <c r="K4748" t="s">
        <v>1894</v>
      </c>
      <c r="L4748">
        <v>0</v>
      </c>
      <c r="N4748" t="s">
        <v>702</v>
      </c>
      <c r="O4748">
        <v>4</v>
      </c>
      <c r="P4748">
        <v>5532</v>
      </c>
      <c r="Q4748" t="s">
        <v>1881</v>
      </c>
      <c r="R4748" t="s">
        <v>201</v>
      </c>
      <c r="S4748">
        <v>3</v>
      </c>
      <c r="T4748">
        <v>1</v>
      </c>
      <c r="U4748">
        <v>80196</v>
      </c>
      <c r="V4748">
        <v>240588</v>
      </c>
    </row>
    <row r="4749" spans="1:22">
      <c r="A4749" t="s">
        <v>196</v>
      </c>
      <c r="B4749">
        <v>88</v>
      </c>
      <c r="C4749" t="s">
        <v>1852</v>
      </c>
      <c r="D4749">
        <v>200</v>
      </c>
      <c r="E4749" t="s">
        <v>1834</v>
      </c>
      <c r="F4749">
        <v>1020</v>
      </c>
      <c r="G4749" t="s">
        <v>28</v>
      </c>
      <c r="H4749">
        <v>2020</v>
      </c>
      <c r="I4749" t="s">
        <v>28</v>
      </c>
      <c r="J4749">
        <v>3215</v>
      </c>
      <c r="K4749" t="s">
        <v>1894</v>
      </c>
      <c r="L4749">
        <v>0</v>
      </c>
      <c r="N4749" t="s">
        <v>702</v>
      </c>
      <c r="O4749">
        <v>4</v>
      </c>
      <c r="P4749">
        <v>5532</v>
      </c>
      <c r="Q4749" t="s">
        <v>1881</v>
      </c>
      <c r="R4749" t="s">
        <v>201</v>
      </c>
      <c r="S4749">
        <v>3</v>
      </c>
      <c r="T4749">
        <v>1</v>
      </c>
      <c r="U4749">
        <v>76464</v>
      </c>
      <c r="V4749">
        <v>229392</v>
      </c>
    </row>
    <row r="4750" spans="1:22">
      <c r="A4750" t="s">
        <v>196</v>
      </c>
      <c r="B4750">
        <v>88</v>
      </c>
      <c r="C4750" t="s">
        <v>1852</v>
      </c>
      <c r="D4750">
        <v>200</v>
      </c>
      <c r="E4750" t="s">
        <v>1834</v>
      </c>
      <c r="F4750">
        <v>1020</v>
      </c>
      <c r="G4750" t="s">
        <v>28</v>
      </c>
      <c r="H4750">
        <v>2020</v>
      </c>
      <c r="I4750" t="s">
        <v>28</v>
      </c>
      <c r="J4750">
        <v>3215</v>
      </c>
      <c r="K4750" t="s">
        <v>1894</v>
      </c>
      <c r="L4750">
        <v>0</v>
      </c>
      <c r="N4750" t="s">
        <v>702</v>
      </c>
      <c r="O4750">
        <v>4</v>
      </c>
      <c r="P4750">
        <v>5532</v>
      </c>
      <c r="Q4750" t="s">
        <v>1881</v>
      </c>
      <c r="R4750" t="s">
        <v>201</v>
      </c>
      <c r="S4750">
        <v>6</v>
      </c>
      <c r="T4750">
        <v>1</v>
      </c>
      <c r="U4750">
        <v>74160</v>
      </c>
      <c r="V4750">
        <v>444960</v>
      </c>
    </row>
    <row r="4751" spans="1:22">
      <c r="A4751" t="s">
        <v>196</v>
      </c>
      <c r="B4751">
        <v>88</v>
      </c>
      <c r="C4751" t="s">
        <v>1852</v>
      </c>
      <c r="D4751">
        <v>200</v>
      </c>
      <c r="E4751" t="s">
        <v>1834</v>
      </c>
      <c r="F4751">
        <v>1020</v>
      </c>
      <c r="G4751" t="s">
        <v>28</v>
      </c>
      <c r="H4751">
        <v>2020</v>
      </c>
      <c r="I4751" t="s">
        <v>28</v>
      </c>
      <c r="J4751">
        <v>3215</v>
      </c>
      <c r="K4751" t="s">
        <v>1894</v>
      </c>
      <c r="L4751">
        <v>0</v>
      </c>
      <c r="N4751" t="s">
        <v>688</v>
      </c>
      <c r="O4751">
        <v>4</v>
      </c>
      <c r="P4751">
        <v>5528</v>
      </c>
      <c r="Q4751" t="s">
        <v>1900</v>
      </c>
      <c r="R4751" t="s">
        <v>201</v>
      </c>
      <c r="S4751">
        <v>2</v>
      </c>
      <c r="T4751">
        <v>1</v>
      </c>
      <c r="U4751">
        <v>97488</v>
      </c>
      <c r="V4751">
        <v>194976</v>
      </c>
    </row>
    <row r="4752" spans="1:22">
      <c r="A4752" t="s">
        <v>196</v>
      </c>
      <c r="B4752">
        <v>88</v>
      </c>
      <c r="C4752" t="s">
        <v>1852</v>
      </c>
      <c r="D4752">
        <v>200</v>
      </c>
      <c r="E4752" t="s">
        <v>1834</v>
      </c>
      <c r="F4752">
        <v>1020</v>
      </c>
      <c r="G4752" t="s">
        <v>28</v>
      </c>
      <c r="H4752">
        <v>2020</v>
      </c>
      <c r="I4752" t="s">
        <v>28</v>
      </c>
      <c r="J4752">
        <v>3215</v>
      </c>
      <c r="K4752" t="s">
        <v>1894</v>
      </c>
      <c r="L4752">
        <v>0</v>
      </c>
      <c r="N4752" t="s">
        <v>688</v>
      </c>
      <c r="O4752">
        <v>4</v>
      </c>
      <c r="P4752">
        <v>5528</v>
      </c>
      <c r="Q4752" t="s">
        <v>1900</v>
      </c>
      <c r="R4752" t="s">
        <v>201</v>
      </c>
      <c r="S4752">
        <v>1</v>
      </c>
      <c r="T4752">
        <v>1</v>
      </c>
      <c r="U4752">
        <v>92940</v>
      </c>
      <c r="V4752">
        <v>92940</v>
      </c>
    </row>
    <row r="4753" spans="1:22">
      <c r="A4753" t="s">
        <v>196</v>
      </c>
      <c r="B4753">
        <v>88</v>
      </c>
      <c r="C4753" t="s">
        <v>1852</v>
      </c>
      <c r="D4753">
        <v>200</v>
      </c>
      <c r="E4753" t="s">
        <v>1834</v>
      </c>
      <c r="F4753">
        <v>1020</v>
      </c>
      <c r="G4753" t="s">
        <v>28</v>
      </c>
      <c r="H4753">
        <v>2020</v>
      </c>
      <c r="I4753" t="s">
        <v>28</v>
      </c>
      <c r="J4753">
        <v>3215</v>
      </c>
      <c r="K4753" t="s">
        <v>1894</v>
      </c>
      <c r="L4753">
        <v>0</v>
      </c>
      <c r="N4753" t="s">
        <v>688</v>
      </c>
      <c r="O4753">
        <v>4</v>
      </c>
      <c r="P4753">
        <v>5528</v>
      </c>
      <c r="Q4753" t="s">
        <v>1900</v>
      </c>
      <c r="R4753" t="s">
        <v>201</v>
      </c>
      <c r="S4753">
        <v>2</v>
      </c>
      <c r="T4753">
        <v>1</v>
      </c>
      <c r="U4753">
        <v>84192</v>
      </c>
      <c r="V4753">
        <v>168384</v>
      </c>
    </row>
    <row r="4754" spans="1:22">
      <c r="A4754" t="s">
        <v>196</v>
      </c>
      <c r="B4754">
        <v>88</v>
      </c>
      <c r="C4754" t="s">
        <v>1852</v>
      </c>
      <c r="D4754">
        <v>200</v>
      </c>
      <c r="E4754" t="s">
        <v>1834</v>
      </c>
      <c r="F4754">
        <v>1020</v>
      </c>
      <c r="G4754" t="s">
        <v>28</v>
      </c>
      <c r="H4754">
        <v>2020</v>
      </c>
      <c r="I4754" t="s">
        <v>28</v>
      </c>
      <c r="J4754">
        <v>3215</v>
      </c>
      <c r="K4754" t="s">
        <v>1894</v>
      </c>
      <c r="L4754">
        <v>0</v>
      </c>
      <c r="N4754" t="s">
        <v>688</v>
      </c>
      <c r="O4754">
        <v>4</v>
      </c>
      <c r="P4754">
        <v>5528</v>
      </c>
      <c r="Q4754" t="s">
        <v>1900</v>
      </c>
      <c r="R4754" t="s">
        <v>201</v>
      </c>
      <c r="S4754">
        <v>11</v>
      </c>
      <c r="T4754">
        <v>1</v>
      </c>
      <c r="U4754">
        <v>81636</v>
      </c>
      <c r="V4754">
        <v>897996</v>
      </c>
    </row>
    <row r="4755" spans="1:22">
      <c r="A4755" t="s">
        <v>196</v>
      </c>
      <c r="B4755">
        <v>88</v>
      </c>
      <c r="C4755" t="s">
        <v>1852</v>
      </c>
      <c r="D4755">
        <v>200</v>
      </c>
      <c r="E4755" t="s">
        <v>1834</v>
      </c>
      <c r="F4755">
        <v>1020</v>
      </c>
      <c r="G4755" t="s">
        <v>28</v>
      </c>
      <c r="H4755">
        <v>2020</v>
      </c>
      <c r="I4755" t="s">
        <v>28</v>
      </c>
      <c r="J4755">
        <v>3215</v>
      </c>
      <c r="K4755" t="s">
        <v>1894</v>
      </c>
      <c r="L4755">
        <v>0</v>
      </c>
      <c r="N4755" t="s">
        <v>333</v>
      </c>
      <c r="O4755">
        <v>4</v>
      </c>
      <c r="P4755">
        <v>5520</v>
      </c>
      <c r="Q4755" t="s">
        <v>1901</v>
      </c>
      <c r="R4755" t="s">
        <v>201</v>
      </c>
      <c r="S4755">
        <v>4</v>
      </c>
      <c r="T4755">
        <v>1</v>
      </c>
      <c r="U4755">
        <v>154764</v>
      </c>
      <c r="V4755">
        <v>619056</v>
      </c>
    </row>
    <row r="4756" spans="1:22">
      <c r="A4756" t="s">
        <v>196</v>
      </c>
      <c r="B4756">
        <v>88</v>
      </c>
      <c r="C4756" t="s">
        <v>1852</v>
      </c>
      <c r="D4756">
        <v>200</v>
      </c>
      <c r="E4756" t="s">
        <v>1834</v>
      </c>
      <c r="F4756">
        <v>1020</v>
      </c>
      <c r="G4756" t="s">
        <v>28</v>
      </c>
      <c r="H4756">
        <v>2020</v>
      </c>
      <c r="I4756" t="s">
        <v>28</v>
      </c>
      <c r="J4756">
        <v>3215</v>
      </c>
      <c r="K4756" t="s">
        <v>1894</v>
      </c>
      <c r="L4756">
        <v>0</v>
      </c>
      <c r="N4756" t="s">
        <v>333</v>
      </c>
      <c r="O4756">
        <v>4</v>
      </c>
      <c r="P4756">
        <v>5520</v>
      </c>
      <c r="Q4756" t="s">
        <v>1901</v>
      </c>
      <c r="R4756" t="s">
        <v>201</v>
      </c>
      <c r="S4756">
        <v>1</v>
      </c>
      <c r="T4756">
        <v>1</v>
      </c>
      <c r="U4756">
        <v>146448</v>
      </c>
      <c r="V4756">
        <v>146448</v>
      </c>
    </row>
    <row r="4757" spans="1:22">
      <c r="A4757" t="s">
        <v>196</v>
      </c>
      <c r="B4757">
        <v>88</v>
      </c>
      <c r="C4757" t="s">
        <v>1852</v>
      </c>
      <c r="D4757">
        <v>200</v>
      </c>
      <c r="E4757" t="s">
        <v>1834</v>
      </c>
      <c r="F4757">
        <v>1020</v>
      </c>
      <c r="G4757" t="s">
        <v>28</v>
      </c>
      <c r="H4757">
        <v>2020</v>
      </c>
      <c r="I4757" t="s">
        <v>28</v>
      </c>
      <c r="J4757">
        <v>3215</v>
      </c>
      <c r="K4757" t="s">
        <v>1894</v>
      </c>
      <c r="L4757">
        <v>0</v>
      </c>
      <c r="N4757" t="s">
        <v>333</v>
      </c>
      <c r="O4757">
        <v>4</v>
      </c>
      <c r="P4757">
        <v>5520</v>
      </c>
      <c r="Q4757" t="s">
        <v>1901</v>
      </c>
      <c r="R4757" t="s">
        <v>201</v>
      </c>
      <c r="S4757">
        <v>1</v>
      </c>
      <c r="T4757">
        <v>1</v>
      </c>
      <c r="U4757">
        <v>109140</v>
      </c>
      <c r="V4757">
        <v>109140</v>
      </c>
    </row>
    <row r="4758" spans="1:22">
      <c r="A4758" t="s">
        <v>196</v>
      </c>
      <c r="B4758">
        <v>88</v>
      </c>
      <c r="C4758" t="s">
        <v>1852</v>
      </c>
      <c r="D4758">
        <v>200</v>
      </c>
      <c r="E4758" t="s">
        <v>1834</v>
      </c>
      <c r="F4758">
        <v>1020</v>
      </c>
      <c r="G4758" t="s">
        <v>28</v>
      </c>
      <c r="H4758">
        <v>2020</v>
      </c>
      <c r="I4758" t="s">
        <v>28</v>
      </c>
      <c r="J4758">
        <v>3215</v>
      </c>
      <c r="K4758" t="s">
        <v>1894</v>
      </c>
      <c r="L4758">
        <v>0</v>
      </c>
      <c r="N4758" t="s">
        <v>602</v>
      </c>
      <c r="O4758">
        <v>4</v>
      </c>
      <c r="P4758">
        <v>5519</v>
      </c>
      <c r="Q4758" t="s">
        <v>1902</v>
      </c>
      <c r="R4758" t="s">
        <v>201</v>
      </c>
      <c r="S4758">
        <v>3</v>
      </c>
      <c r="T4758">
        <v>1</v>
      </c>
      <c r="U4758">
        <v>141564</v>
      </c>
      <c r="V4758">
        <v>424692</v>
      </c>
    </row>
    <row r="4759" spans="1:22">
      <c r="A4759" t="s">
        <v>196</v>
      </c>
      <c r="B4759">
        <v>88</v>
      </c>
      <c r="C4759" t="s">
        <v>1852</v>
      </c>
      <c r="D4759">
        <v>200</v>
      </c>
      <c r="E4759" t="s">
        <v>1834</v>
      </c>
      <c r="F4759">
        <v>1020</v>
      </c>
      <c r="G4759" t="s">
        <v>28</v>
      </c>
      <c r="H4759">
        <v>2020</v>
      </c>
      <c r="I4759" t="s">
        <v>28</v>
      </c>
      <c r="J4759">
        <v>3215</v>
      </c>
      <c r="K4759" t="s">
        <v>1894</v>
      </c>
      <c r="L4759">
        <v>0</v>
      </c>
      <c r="N4759" t="s">
        <v>602</v>
      </c>
      <c r="O4759">
        <v>4</v>
      </c>
      <c r="P4759">
        <v>5519</v>
      </c>
      <c r="Q4759" t="s">
        <v>1902</v>
      </c>
      <c r="R4759" t="s">
        <v>201</v>
      </c>
      <c r="S4759">
        <v>1</v>
      </c>
      <c r="T4759">
        <v>1</v>
      </c>
      <c r="U4759">
        <v>128316</v>
      </c>
      <c r="V4759">
        <v>128316</v>
      </c>
    </row>
    <row r="4760" spans="1:22">
      <c r="A4760" t="s">
        <v>196</v>
      </c>
      <c r="B4760">
        <v>88</v>
      </c>
      <c r="C4760" t="s">
        <v>1852</v>
      </c>
      <c r="D4760">
        <v>200</v>
      </c>
      <c r="E4760" t="s">
        <v>1834</v>
      </c>
      <c r="F4760">
        <v>1020</v>
      </c>
      <c r="G4760" t="s">
        <v>28</v>
      </c>
      <c r="H4760">
        <v>2020</v>
      </c>
      <c r="I4760" t="s">
        <v>28</v>
      </c>
      <c r="J4760">
        <v>3215</v>
      </c>
      <c r="K4760" t="s">
        <v>1894</v>
      </c>
      <c r="L4760">
        <v>0</v>
      </c>
      <c r="N4760" t="s">
        <v>602</v>
      </c>
      <c r="O4760">
        <v>4</v>
      </c>
      <c r="P4760">
        <v>5519</v>
      </c>
      <c r="Q4760" t="s">
        <v>1902</v>
      </c>
      <c r="R4760" t="s">
        <v>201</v>
      </c>
      <c r="S4760">
        <v>1</v>
      </c>
      <c r="T4760">
        <v>1</v>
      </c>
      <c r="U4760">
        <v>117636</v>
      </c>
      <c r="V4760">
        <v>117636</v>
      </c>
    </row>
    <row r="4761" spans="1:22">
      <c r="A4761" t="s">
        <v>196</v>
      </c>
      <c r="B4761">
        <v>88</v>
      </c>
      <c r="C4761" t="s">
        <v>1852</v>
      </c>
      <c r="D4761">
        <v>200</v>
      </c>
      <c r="E4761" t="s">
        <v>1834</v>
      </c>
      <c r="F4761">
        <v>1020</v>
      </c>
      <c r="G4761" t="s">
        <v>28</v>
      </c>
      <c r="H4761">
        <v>2020</v>
      </c>
      <c r="I4761" t="s">
        <v>28</v>
      </c>
      <c r="J4761">
        <v>3215</v>
      </c>
      <c r="K4761" t="s">
        <v>1894</v>
      </c>
      <c r="L4761">
        <v>0</v>
      </c>
      <c r="N4761" t="s">
        <v>602</v>
      </c>
      <c r="O4761">
        <v>4</v>
      </c>
      <c r="P4761">
        <v>5519</v>
      </c>
      <c r="Q4761" t="s">
        <v>1902</v>
      </c>
      <c r="R4761" t="s">
        <v>201</v>
      </c>
      <c r="S4761">
        <v>1</v>
      </c>
      <c r="T4761">
        <v>1</v>
      </c>
      <c r="U4761">
        <v>112536</v>
      </c>
      <c r="V4761">
        <v>112536</v>
      </c>
    </row>
    <row r="4762" spans="1:22">
      <c r="A4762" t="s">
        <v>196</v>
      </c>
      <c r="B4762">
        <v>88</v>
      </c>
      <c r="C4762" t="s">
        <v>1852</v>
      </c>
      <c r="D4762">
        <v>200</v>
      </c>
      <c r="E4762" t="s">
        <v>1834</v>
      </c>
      <c r="F4762">
        <v>1020</v>
      </c>
      <c r="G4762" t="s">
        <v>28</v>
      </c>
      <c r="H4762">
        <v>2020</v>
      </c>
      <c r="I4762" t="s">
        <v>28</v>
      </c>
      <c r="J4762">
        <v>3215</v>
      </c>
      <c r="K4762" t="s">
        <v>1894</v>
      </c>
      <c r="L4762">
        <v>0</v>
      </c>
      <c r="N4762" t="s">
        <v>602</v>
      </c>
      <c r="O4762">
        <v>4</v>
      </c>
      <c r="P4762">
        <v>5519</v>
      </c>
      <c r="Q4762" t="s">
        <v>1902</v>
      </c>
      <c r="R4762" t="s">
        <v>201</v>
      </c>
      <c r="S4762">
        <v>2</v>
      </c>
      <c r="T4762">
        <v>1</v>
      </c>
      <c r="U4762">
        <v>99408</v>
      </c>
      <c r="V4762">
        <v>198816</v>
      </c>
    </row>
    <row r="4763" spans="1:22">
      <c r="A4763" t="s">
        <v>196</v>
      </c>
      <c r="B4763">
        <v>88</v>
      </c>
      <c r="C4763" t="s">
        <v>1852</v>
      </c>
      <c r="D4763">
        <v>200</v>
      </c>
      <c r="E4763" t="s">
        <v>1834</v>
      </c>
      <c r="F4763">
        <v>1020</v>
      </c>
      <c r="G4763" t="s">
        <v>28</v>
      </c>
      <c r="H4763">
        <v>2020</v>
      </c>
      <c r="I4763" t="s">
        <v>28</v>
      </c>
      <c r="J4763">
        <v>3215</v>
      </c>
      <c r="K4763" t="s">
        <v>1894</v>
      </c>
      <c r="L4763">
        <v>0</v>
      </c>
      <c r="N4763" t="s">
        <v>356</v>
      </c>
      <c r="O4763">
        <v>4</v>
      </c>
      <c r="P4763">
        <v>5518</v>
      </c>
      <c r="Q4763" t="s">
        <v>1903</v>
      </c>
      <c r="R4763" t="s">
        <v>201</v>
      </c>
      <c r="S4763">
        <v>1</v>
      </c>
      <c r="T4763">
        <v>1</v>
      </c>
      <c r="U4763">
        <v>129636</v>
      </c>
      <c r="V4763">
        <v>129636</v>
      </c>
    </row>
    <row r="4764" spans="1:22">
      <c r="A4764" t="s">
        <v>196</v>
      </c>
      <c r="B4764">
        <v>88</v>
      </c>
      <c r="C4764" t="s">
        <v>1852</v>
      </c>
      <c r="D4764">
        <v>200</v>
      </c>
      <c r="E4764" t="s">
        <v>1834</v>
      </c>
      <c r="F4764">
        <v>1020</v>
      </c>
      <c r="G4764" t="s">
        <v>28</v>
      </c>
      <c r="H4764">
        <v>2020</v>
      </c>
      <c r="I4764" t="s">
        <v>28</v>
      </c>
      <c r="J4764">
        <v>3215</v>
      </c>
      <c r="K4764" t="s">
        <v>1894</v>
      </c>
      <c r="L4764">
        <v>0</v>
      </c>
      <c r="N4764" t="s">
        <v>356</v>
      </c>
      <c r="O4764">
        <v>4</v>
      </c>
      <c r="P4764">
        <v>5518</v>
      </c>
      <c r="Q4764" t="s">
        <v>1903</v>
      </c>
      <c r="R4764" t="s">
        <v>201</v>
      </c>
      <c r="S4764">
        <v>1</v>
      </c>
      <c r="T4764">
        <v>1</v>
      </c>
      <c r="U4764">
        <v>117636</v>
      </c>
      <c r="V4764">
        <v>117636</v>
      </c>
    </row>
    <row r="4765" spans="1:22">
      <c r="A4765" t="s">
        <v>196</v>
      </c>
      <c r="B4765">
        <v>88</v>
      </c>
      <c r="C4765" t="s">
        <v>1852</v>
      </c>
      <c r="D4765">
        <v>200</v>
      </c>
      <c r="E4765" t="s">
        <v>1834</v>
      </c>
      <c r="F4765">
        <v>1020</v>
      </c>
      <c r="G4765" t="s">
        <v>28</v>
      </c>
      <c r="H4765">
        <v>2020</v>
      </c>
      <c r="I4765" t="s">
        <v>28</v>
      </c>
      <c r="J4765">
        <v>3215</v>
      </c>
      <c r="K4765" t="s">
        <v>1894</v>
      </c>
      <c r="L4765">
        <v>0</v>
      </c>
      <c r="N4765" t="s">
        <v>356</v>
      </c>
      <c r="O4765">
        <v>4</v>
      </c>
      <c r="P4765">
        <v>5518</v>
      </c>
      <c r="Q4765" t="s">
        <v>1903</v>
      </c>
      <c r="R4765" t="s">
        <v>201</v>
      </c>
      <c r="S4765">
        <v>2</v>
      </c>
      <c r="T4765">
        <v>1</v>
      </c>
      <c r="U4765">
        <v>107628</v>
      </c>
      <c r="V4765">
        <v>215256</v>
      </c>
    </row>
    <row r="4766" spans="1:22">
      <c r="A4766" t="s">
        <v>196</v>
      </c>
      <c r="B4766">
        <v>88</v>
      </c>
      <c r="C4766" t="s">
        <v>1852</v>
      </c>
      <c r="D4766">
        <v>200</v>
      </c>
      <c r="E4766" t="s">
        <v>1834</v>
      </c>
      <c r="F4766">
        <v>1020</v>
      </c>
      <c r="G4766" t="s">
        <v>28</v>
      </c>
      <c r="H4766">
        <v>2020</v>
      </c>
      <c r="I4766" t="s">
        <v>28</v>
      </c>
      <c r="J4766">
        <v>3215</v>
      </c>
      <c r="K4766" t="s">
        <v>1894</v>
      </c>
      <c r="L4766">
        <v>0</v>
      </c>
      <c r="N4766" t="s">
        <v>356</v>
      </c>
      <c r="O4766">
        <v>4</v>
      </c>
      <c r="P4766">
        <v>5518</v>
      </c>
      <c r="Q4766" t="s">
        <v>1903</v>
      </c>
      <c r="R4766" t="s">
        <v>201</v>
      </c>
      <c r="S4766">
        <v>4</v>
      </c>
      <c r="T4766">
        <v>1</v>
      </c>
      <c r="U4766">
        <v>97488</v>
      </c>
      <c r="V4766">
        <v>389952</v>
      </c>
    </row>
    <row r="4767" spans="1:22">
      <c r="A4767" t="s">
        <v>196</v>
      </c>
      <c r="B4767">
        <v>88</v>
      </c>
      <c r="C4767" t="s">
        <v>1852</v>
      </c>
      <c r="D4767">
        <v>200</v>
      </c>
      <c r="E4767" t="s">
        <v>1834</v>
      </c>
      <c r="F4767">
        <v>1020</v>
      </c>
      <c r="G4767" t="s">
        <v>28</v>
      </c>
      <c r="H4767">
        <v>2020</v>
      </c>
      <c r="I4767" t="s">
        <v>28</v>
      </c>
      <c r="J4767">
        <v>3215</v>
      </c>
      <c r="K4767" t="s">
        <v>1894</v>
      </c>
      <c r="L4767">
        <v>0</v>
      </c>
      <c r="N4767" t="s">
        <v>721</v>
      </c>
      <c r="O4767">
        <v>32</v>
      </c>
      <c r="P4767">
        <v>5042</v>
      </c>
      <c r="Q4767" t="s">
        <v>965</v>
      </c>
      <c r="R4767" t="s">
        <v>712</v>
      </c>
      <c r="S4767">
        <v>2</v>
      </c>
      <c r="T4767">
        <v>1</v>
      </c>
      <c r="U4767">
        <v>11511.5</v>
      </c>
      <c r="V4767">
        <v>276276</v>
      </c>
    </row>
    <row r="4768" spans="1:22">
      <c r="A4768" t="s">
        <v>196</v>
      </c>
      <c r="B4768">
        <v>88</v>
      </c>
      <c r="C4768" t="s">
        <v>1852</v>
      </c>
      <c r="D4768">
        <v>200</v>
      </c>
      <c r="E4768" t="s">
        <v>1834</v>
      </c>
      <c r="F4768">
        <v>1020</v>
      </c>
      <c r="G4768" t="s">
        <v>28</v>
      </c>
      <c r="H4768">
        <v>2020</v>
      </c>
      <c r="I4768" t="s">
        <v>28</v>
      </c>
      <c r="J4768">
        <v>3215</v>
      </c>
      <c r="K4768" t="s">
        <v>1894</v>
      </c>
      <c r="L4768">
        <v>0</v>
      </c>
      <c r="N4768" t="s">
        <v>721</v>
      </c>
      <c r="O4768">
        <v>32</v>
      </c>
      <c r="P4768">
        <v>5040</v>
      </c>
      <c r="Q4768" t="s">
        <v>966</v>
      </c>
      <c r="R4768" t="s">
        <v>713</v>
      </c>
      <c r="S4768">
        <v>2</v>
      </c>
      <c r="T4768">
        <v>1</v>
      </c>
      <c r="U4768">
        <v>63.53</v>
      </c>
      <c r="V4768">
        <v>264285</v>
      </c>
    </row>
    <row r="4769" spans="1:22">
      <c r="A4769" t="s">
        <v>196</v>
      </c>
      <c r="B4769">
        <v>88</v>
      </c>
      <c r="C4769" t="s">
        <v>1852</v>
      </c>
      <c r="D4769">
        <v>200</v>
      </c>
      <c r="E4769" t="s">
        <v>1834</v>
      </c>
      <c r="F4769">
        <v>1020</v>
      </c>
      <c r="G4769" t="s">
        <v>28</v>
      </c>
      <c r="H4769">
        <v>2020</v>
      </c>
      <c r="I4769" t="s">
        <v>28</v>
      </c>
      <c r="J4769">
        <v>3215</v>
      </c>
      <c r="K4769" t="s">
        <v>1894</v>
      </c>
      <c r="L4769">
        <v>0</v>
      </c>
      <c r="N4769" t="s">
        <v>721</v>
      </c>
      <c r="O4769">
        <v>32</v>
      </c>
      <c r="P4769">
        <v>5035</v>
      </c>
      <c r="Q4769" t="s">
        <v>967</v>
      </c>
      <c r="R4769" t="s">
        <v>713</v>
      </c>
      <c r="S4769">
        <v>40</v>
      </c>
      <c r="T4769">
        <v>1</v>
      </c>
      <c r="U4769">
        <v>57.75</v>
      </c>
      <c r="V4769">
        <v>4804800</v>
      </c>
    </row>
    <row r="4770" spans="1:22">
      <c r="A4770" t="s">
        <v>196</v>
      </c>
      <c r="B4770">
        <v>88</v>
      </c>
      <c r="C4770" t="s">
        <v>1852</v>
      </c>
      <c r="D4770">
        <v>200</v>
      </c>
      <c r="E4770" t="s">
        <v>1834</v>
      </c>
      <c r="F4770">
        <v>1020</v>
      </c>
      <c r="G4770" t="s">
        <v>28</v>
      </c>
      <c r="H4770">
        <v>2020</v>
      </c>
      <c r="I4770" t="s">
        <v>28</v>
      </c>
      <c r="J4770">
        <v>3215</v>
      </c>
      <c r="K4770" t="s">
        <v>1894</v>
      </c>
      <c r="L4770">
        <v>0</v>
      </c>
      <c r="N4770" t="s">
        <v>721</v>
      </c>
      <c r="O4770">
        <v>14</v>
      </c>
      <c r="P4770">
        <v>4776</v>
      </c>
      <c r="Q4770" t="s">
        <v>971</v>
      </c>
      <c r="R4770" t="s">
        <v>713</v>
      </c>
      <c r="S4770">
        <v>2</v>
      </c>
      <c r="T4770">
        <v>1</v>
      </c>
      <c r="U4770">
        <v>63</v>
      </c>
      <c r="V4770">
        <v>262080</v>
      </c>
    </row>
    <row r="4771" spans="1:22">
      <c r="A4771" t="s">
        <v>196</v>
      </c>
      <c r="B4771">
        <v>88</v>
      </c>
      <c r="C4771" t="s">
        <v>1852</v>
      </c>
      <c r="D4771">
        <v>200</v>
      </c>
      <c r="E4771" t="s">
        <v>1834</v>
      </c>
      <c r="F4771">
        <v>1020</v>
      </c>
      <c r="G4771" t="s">
        <v>28</v>
      </c>
      <c r="H4771">
        <v>2020</v>
      </c>
      <c r="I4771" t="s">
        <v>28</v>
      </c>
      <c r="J4771">
        <v>3215</v>
      </c>
      <c r="K4771" t="s">
        <v>1894</v>
      </c>
      <c r="L4771">
        <v>0</v>
      </c>
      <c r="N4771" t="s">
        <v>721</v>
      </c>
      <c r="O4771">
        <v>14</v>
      </c>
      <c r="P4771">
        <v>4774</v>
      </c>
      <c r="Q4771" t="s">
        <v>972</v>
      </c>
      <c r="R4771" t="s">
        <v>713</v>
      </c>
      <c r="S4771">
        <v>12</v>
      </c>
      <c r="T4771">
        <v>1</v>
      </c>
      <c r="U4771">
        <v>60</v>
      </c>
      <c r="V4771">
        <v>1497600</v>
      </c>
    </row>
    <row r="4772" spans="1:22">
      <c r="A4772" t="s">
        <v>196</v>
      </c>
      <c r="B4772">
        <v>88</v>
      </c>
      <c r="C4772" t="s">
        <v>1852</v>
      </c>
      <c r="D4772">
        <v>200</v>
      </c>
      <c r="E4772" t="s">
        <v>1834</v>
      </c>
      <c r="F4772">
        <v>1020</v>
      </c>
      <c r="G4772" t="s">
        <v>28</v>
      </c>
      <c r="H4772">
        <v>2020</v>
      </c>
      <c r="I4772" t="s">
        <v>28</v>
      </c>
      <c r="J4772">
        <v>3215</v>
      </c>
      <c r="K4772" t="s">
        <v>1894</v>
      </c>
      <c r="L4772">
        <v>0</v>
      </c>
      <c r="N4772" t="s">
        <v>721</v>
      </c>
      <c r="O4772">
        <v>39</v>
      </c>
      <c r="P4772">
        <v>4636</v>
      </c>
      <c r="Q4772" t="s">
        <v>976</v>
      </c>
      <c r="R4772" t="s">
        <v>713</v>
      </c>
      <c r="S4772">
        <v>1</v>
      </c>
      <c r="T4772">
        <v>1</v>
      </c>
      <c r="U4772">
        <v>61.09</v>
      </c>
      <c r="V4772">
        <v>127067</v>
      </c>
    </row>
    <row r="4773" spans="1:22">
      <c r="A4773" t="s">
        <v>196</v>
      </c>
      <c r="B4773">
        <v>88</v>
      </c>
      <c r="C4773" t="s">
        <v>1852</v>
      </c>
      <c r="D4773">
        <v>200</v>
      </c>
      <c r="E4773" t="s">
        <v>1834</v>
      </c>
      <c r="F4773">
        <v>1020</v>
      </c>
      <c r="G4773" t="s">
        <v>28</v>
      </c>
      <c r="H4773">
        <v>2020</v>
      </c>
      <c r="I4773" t="s">
        <v>28</v>
      </c>
      <c r="J4773">
        <v>3215</v>
      </c>
      <c r="K4773" t="s">
        <v>1894</v>
      </c>
      <c r="L4773">
        <v>0</v>
      </c>
      <c r="N4773" t="s">
        <v>721</v>
      </c>
      <c r="O4773">
        <v>39</v>
      </c>
      <c r="P4773">
        <v>4634</v>
      </c>
      <c r="Q4773" t="s">
        <v>977</v>
      </c>
      <c r="R4773" t="s">
        <v>713</v>
      </c>
      <c r="S4773">
        <v>5</v>
      </c>
      <c r="T4773">
        <v>1</v>
      </c>
      <c r="U4773">
        <v>54.3</v>
      </c>
      <c r="V4773">
        <v>564720</v>
      </c>
    </row>
    <row r="4774" spans="1:22">
      <c r="A4774" t="s">
        <v>196</v>
      </c>
      <c r="B4774">
        <v>88</v>
      </c>
      <c r="C4774" t="s">
        <v>1852</v>
      </c>
      <c r="D4774">
        <v>200</v>
      </c>
      <c r="E4774" t="s">
        <v>1834</v>
      </c>
      <c r="F4774">
        <v>1020</v>
      </c>
      <c r="G4774" t="s">
        <v>28</v>
      </c>
      <c r="H4774">
        <v>2020</v>
      </c>
      <c r="I4774" t="s">
        <v>28</v>
      </c>
      <c r="J4774">
        <v>3215</v>
      </c>
      <c r="K4774" t="s">
        <v>1894</v>
      </c>
      <c r="L4774">
        <v>0</v>
      </c>
      <c r="N4774" t="s">
        <v>721</v>
      </c>
      <c r="O4774">
        <v>50</v>
      </c>
      <c r="P4774">
        <v>4301</v>
      </c>
      <c r="Q4774" t="s">
        <v>983</v>
      </c>
      <c r="R4774" t="s">
        <v>713</v>
      </c>
      <c r="S4774">
        <v>3</v>
      </c>
      <c r="T4774">
        <v>1</v>
      </c>
      <c r="U4774">
        <v>56.71</v>
      </c>
      <c r="V4774">
        <v>353870</v>
      </c>
    </row>
    <row r="4775" spans="1:22">
      <c r="A4775" t="s">
        <v>196</v>
      </c>
      <c r="B4775">
        <v>88</v>
      </c>
      <c r="C4775" t="s">
        <v>1852</v>
      </c>
      <c r="D4775">
        <v>200</v>
      </c>
      <c r="E4775" t="s">
        <v>1834</v>
      </c>
      <c r="F4775">
        <v>1020</v>
      </c>
      <c r="G4775" t="s">
        <v>28</v>
      </c>
      <c r="H4775">
        <v>2020</v>
      </c>
      <c r="I4775" t="s">
        <v>28</v>
      </c>
      <c r="J4775">
        <v>3215</v>
      </c>
      <c r="K4775" t="s">
        <v>1894</v>
      </c>
      <c r="L4775">
        <v>0</v>
      </c>
      <c r="N4775" t="s">
        <v>721</v>
      </c>
      <c r="O4775">
        <v>45</v>
      </c>
      <c r="P4775">
        <v>4225</v>
      </c>
      <c r="Q4775" t="s">
        <v>1904</v>
      </c>
      <c r="R4775" t="s">
        <v>713</v>
      </c>
      <c r="S4775">
        <v>2</v>
      </c>
      <c r="T4775">
        <v>1</v>
      </c>
      <c r="U4775">
        <v>22.8</v>
      </c>
      <c r="V4775">
        <v>94848</v>
      </c>
    </row>
    <row r="4776" spans="1:22">
      <c r="A4776" t="s">
        <v>196</v>
      </c>
      <c r="B4776">
        <v>88</v>
      </c>
      <c r="C4776" t="s">
        <v>1852</v>
      </c>
      <c r="D4776">
        <v>200</v>
      </c>
      <c r="E4776" t="s">
        <v>1834</v>
      </c>
      <c r="F4776">
        <v>1020</v>
      </c>
      <c r="G4776" t="s">
        <v>28</v>
      </c>
      <c r="H4776">
        <v>2020</v>
      </c>
      <c r="I4776" t="s">
        <v>28</v>
      </c>
      <c r="J4776">
        <v>3215</v>
      </c>
      <c r="K4776" t="s">
        <v>1894</v>
      </c>
      <c r="L4776">
        <v>0</v>
      </c>
      <c r="N4776" t="s">
        <v>721</v>
      </c>
      <c r="O4776">
        <v>45</v>
      </c>
      <c r="P4776">
        <v>4223</v>
      </c>
      <c r="Q4776" t="s">
        <v>942</v>
      </c>
      <c r="R4776" t="s">
        <v>713</v>
      </c>
      <c r="S4776">
        <v>2</v>
      </c>
      <c r="T4776">
        <v>1</v>
      </c>
      <c r="U4776">
        <v>26.05</v>
      </c>
      <c r="V4776">
        <v>108368</v>
      </c>
    </row>
    <row r="4777" spans="1:22">
      <c r="A4777" t="s">
        <v>196</v>
      </c>
      <c r="B4777">
        <v>88</v>
      </c>
      <c r="C4777" t="s">
        <v>1852</v>
      </c>
      <c r="D4777">
        <v>200</v>
      </c>
      <c r="E4777" t="s">
        <v>1834</v>
      </c>
      <c r="F4777">
        <v>1020</v>
      </c>
      <c r="G4777" t="s">
        <v>28</v>
      </c>
      <c r="H4777">
        <v>2020</v>
      </c>
      <c r="I4777" t="s">
        <v>28</v>
      </c>
      <c r="J4777">
        <v>3215</v>
      </c>
      <c r="K4777" t="s">
        <v>1894</v>
      </c>
      <c r="L4777">
        <v>0</v>
      </c>
      <c r="N4777" t="s">
        <v>721</v>
      </c>
      <c r="O4777">
        <v>45</v>
      </c>
      <c r="P4777">
        <v>4223</v>
      </c>
      <c r="Q4777" t="s">
        <v>942</v>
      </c>
      <c r="R4777" t="s">
        <v>713</v>
      </c>
      <c r="S4777">
        <v>6</v>
      </c>
      <c r="T4777">
        <v>1</v>
      </c>
      <c r="U4777">
        <v>19</v>
      </c>
      <c r="V4777">
        <v>237120</v>
      </c>
    </row>
    <row r="4778" spans="1:22">
      <c r="A4778" t="s">
        <v>196</v>
      </c>
      <c r="B4778">
        <v>88</v>
      </c>
      <c r="C4778" t="s">
        <v>1852</v>
      </c>
      <c r="D4778">
        <v>200</v>
      </c>
      <c r="E4778" t="s">
        <v>1834</v>
      </c>
      <c r="F4778">
        <v>1020</v>
      </c>
      <c r="G4778" t="s">
        <v>28</v>
      </c>
      <c r="H4778">
        <v>2020</v>
      </c>
      <c r="I4778" t="s">
        <v>28</v>
      </c>
      <c r="J4778">
        <v>3215</v>
      </c>
      <c r="K4778" t="s">
        <v>1894</v>
      </c>
      <c r="L4778">
        <v>0</v>
      </c>
      <c r="N4778" t="s">
        <v>721</v>
      </c>
      <c r="O4778">
        <v>45</v>
      </c>
      <c r="P4778">
        <v>4223</v>
      </c>
      <c r="Q4778" t="s">
        <v>942</v>
      </c>
      <c r="R4778" t="s">
        <v>713</v>
      </c>
      <c r="S4778">
        <v>2</v>
      </c>
      <c r="T4778">
        <v>1</v>
      </c>
      <c r="U4778">
        <v>15.8</v>
      </c>
      <c r="V4778">
        <v>65728</v>
      </c>
    </row>
    <row r="4779" spans="1:22">
      <c r="A4779" t="s">
        <v>196</v>
      </c>
      <c r="B4779">
        <v>88</v>
      </c>
      <c r="C4779" t="s">
        <v>1852</v>
      </c>
      <c r="D4779">
        <v>200</v>
      </c>
      <c r="E4779" t="s">
        <v>1834</v>
      </c>
      <c r="F4779">
        <v>1020</v>
      </c>
      <c r="G4779" t="s">
        <v>28</v>
      </c>
      <c r="H4779">
        <v>2020</v>
      </c>
      <c r="I4779" t="s">
        <v>28</v>
      </c>
      <c r="J4779">
        <v>3215</v>
      </c>
      <c r="K4779" t="s">
        <v>1894</v>
      </c>
      <c r="L4779">
        <v>0</v>
      </c>
      <c r="N4779" t="s">
        <v>622</v>
      </c>
      <c r="O4779">
        <v>1</v>
      </c>
      <c r="P4779">
        <v>1817</v>
      </c>
      <c r="Q4779" t="s">
        <v>988</v>
      </c>
      <c r="R4779" t="s">
        <v>201</v>
      </c>
      <c r="S4779">
        <v>1</v>
      </c>
      <c r="T4779">
        <v>1</v>
      </c>
      <c r="U4779">
        <v>90144</v>
      </c>
      <c r="V4779">
        <v>90144</v>
      </c>
    </row>
    <row r="4780" spans="1:22">
      <c r="A4780" t="s">
        <v>196</v>
      </c>
      <c r="B4780">
        <v>88</v>
      </c>
      <c r="C4780" t="s">
        <v>1852</v>
      </c>
      <c r="D4780">
        <v>200</v>
      </c>
      <c r="E4780" t="s">
        <v>1834</v>
      </c>
      <c r="F4780">
        <v>1020</v>
      </c>
      <c r="G4780" t="s">
        <v>28</v>
      </c>
      <c r="H4780">
        <v>2020</v>
      </c>
      <c r="I4780" t="s">
        <v>28</v>
      </c>
      <c r="J4780">
        <v>3215</v>
      </c>
      <c r="K4780" t="s">
        <v>1894</v>
      </c>
      <c r="L4780">
        <v>0</v>
      </c>
      <c r="N4780" t="s">
        <v>199</v>
      </c>
      <c r="O4780">
        <v>0</v>
      </c>
      <c r="P4780">
        <v>15</v>
      </c>
      <c r="Q4780" t="s">
        <v>264</v>
      </c>
      <c r="R4780" t="s">
        <v>201</v>
      </c>
      <c r="S4780">
        <v>0</v>
      </c>
      <c r="T4780">
        <v>0</v>
      </c>
      <c r="U4780">
        <v>55337</v>
      </c>
      <c r="V4780">
        <v>55337</v>
      </c>
    </row>
    <row r="4781" spans="1:22">
      <c r="A4781" t="s">
        <v>196</v>
      </c>
      <c r="B4781">
        <v>88</v>
      </c>
      <c r="C4781" t="s">
        <v>1852</v>
      </c>
      <c r="D4781">
        <v>200</v>
      </c>
      <c r="E4781" t="s">
        <v>1834</v>
      </c>
      <c r="F4781">
        <v>1020</v>
      </c>
      <c r="G4781" t="s">
        <v>28</v>
      </c>
      <c r="H4781">
        <v>2020</v>
      </c>
      <c r="I4781" t="s">
        <v>28</v>
      </c>
      <c r="J4781">
        <v>3215</v>
      </c>
      <c r="K4781" t="s">
        <v>1894</v>
      </c>
      <c r="L4781">
        <v>0</v>
      </c>
      <c r="N4781" t="s">
        <v>199</v>
      </c>
      <c r="O4781">
        <v>0</v>
      </c>
      <c r="P4781">
        <v>12</v>
      </c>
      <c r="Q4781" t="s">
        <v>724</v>
      </c>
      <c r="R4781" t="s">
        <v>201</v>
      </c>
      <c r="S4781">
        <v>0</v>
      </c>
      <c r="T4781">
        <v>0</v>
      </c>
      <c r="U4781">
        <v>470921</v>
      </c>
      <c r="V4781">
        <v>470921</v>
      </c>
    </row>
    <row r="4782" spans="1:22">
      <c r="A4782" t="s">
        <v>196</v>
      </c>
      <c r="B4782">
        <v>88</v>
      </c>
      <c r="C4782" t="s">
        <v>1852</v>
      </c>
      <c r="D4782">
        <v>200</v>
      </c>
      <c r="E4782" t="s">
        <v>1834</v>
      </c>
      <c r="F4782">
        <v>1020</v>
      </c>
      <c r="G4782" t="s">
        <v>28</v>
      </c>
      <c r="H4782">
        <v>2040</v>
      </c>
      <c r="I4782" t="s">
        <v>38</v>
      </c>
      <c r="J4782">
        <v>3040</v>
      </c>
      <c r="K4782" t="s">
        <v>1891</v>
      </c>
      <c r="L4782">
        <v>4148</v>
      </c>
      <c r="M4782" t="s">
        <v>1905</v>
      </c>
      <c r="N4782" t="s">
        <v>721</v>
      </c>
      <c r="O4782">
        <v>23</v>
      </c>
      <c r="P4782">
        <v>7775</v>
      </c>
      <c r="Q4782" t="s">
        <v>1892</v>
      </c>
      <c r="R4782" t="s">
        <v>713</v>
      </c>
      <c r="S4782">
        <v>5</v>
      </c>
      <c r="T4782">
        <v>1</v>
      </c>
      <c r="U4782">
        <v>43.04</v>
      </c>
      <c r="V4782">
        <v>447616</v>
      </c>
    </row>
    <row r="4783" spans="1:22">
      <c r="A4783" t="s">
        <v>196</v>
      </c>
      <c r="B4783">
        <v>88</v>
      </c>
      <c r="C4783" t="s">
        <v>1852</v>
      </c>
      <c r="D4783">
        <v>200</v>
      </c>
      <c r="E4783" t="s">
        <v>1834</v>
      </c>
      <c r="F4783">
        <v>1020</v>
      </c>
      <c r="G4783" t="s">
        <v>28</v>
      </c>
      <c r="H4783">
        <v>2040</v>
      </c>
      <c r="I4783" t="s">
        <v>38</v>
      </c>
      <c r="J4783">
        <v>3040</v>
      </c>
      <c r="K4783" t="s">
        <v>1891</v>
      </c>
      <c r="L4783">
        <v>4148</v>
      </c>
      <c r="M4783" t="s">
        <v>1905</v>
      </c>
      <c r="N4783" t="s">
        <v>721</v>
      </c>
      <c r="O4783">
        <v>12</v>
      </c>
      <c r="P4783">
        <v>7747</v>
      </c>
      <c r="Q4783" t="s">
        <v>944</v>
      </c>
      <c r="R4783" t="s">
        <v>712</v>
      </c>
      <c r="S4783">
        <v>1</v>
      </c>
      <c r="T4783">
        <v>1</v>
      </c>
      <c r="U4783">
        <v>12906.4</v>
      </c>
      <c r="V4783">
        <v>154877</v>
      </c>
    </row>
    <row r="4784" spans="1:22">
      <c r="A4784" t="s">
        <v>196</v>
      </c>
      <c r="B4784">
        <v>88</v>
      </c>
      <c r="C4784" t="s">
        <v>1852</v>
      </c>
      <c r="D4784">
        <v>200</v>
      </c>
      <c r="E4784" t="s">
        <v>1834</v>
      </c>
      <c r="F4784">
        <v>1020</v>
      </c>
      <c r="G4784" t="s">
        <v>28</v>
      </c>
      <c r="H4784">
        <v>2040</v>
      </c>
      <c r="I4784" t="s">
        <v>38</v>
      </c>
      <c r="J4784">
        <v>3040</v>
      </c>
      <c r="K4784" t="s">
        <v>1891</v>
      </c>
      <c r="L4784">
        <v>4148</v>
      </c>
      <c r="M4784" t="s">
        <v>1905</v>
      </c>
      <c r="N4784" t="s">
        <v>721</v>
      </c>
      <c r="O4784">
        <v>12</v>
      </c>
      <c r="P4784">
        <v>7745</v>
      </c>
      <c r="Q4784" t="s">
        <v>945</v>
      </c>
      <c r="R4784" t="s">
        <v>713</v>
      </c>
      <c r="S4784">
        <v>3</v>
      </c>
      <c r="T4784">
        <v>1</v>
      </c>
      <c r="U4784">
        <v>68.260000000000005</v>
      </c>
      <c r="V4784">
        <v>425942</v>
      </c>
    </row>
    <row r="4785" spans="1:22">
      <c r="A4785" t="s">
        <v>196</v>
      </c>
      <c r="B4785">
        <v>88</v>
      </c>
      <c r="C4785" t="s">
        <v>1852</v>
      </c>
      <c r="D4785">
        <v>200</v>
      </c>
      <c r="E4785" t="s">
        <v>1834</v>
      </c>
      <c r="F4785">
        <v>1020</v>
      </c>
      <c r="G4785" t="s">
        <v>28</v>
      </c>
      <c r="H4785">
        <v>2040</v>
      </c>
      <c r="I4785" t="s">
        <v>38</v>
      </c>
      <c r="J4785">
        <v>3040</v>
      </c>
      <c r="K4785" t="s">
        <v>1891</v>
      </c>
      <c r="L4785">
        <v>4148</v>
      </c>
      <c r="M4785" t="s">
        <v>1905</v>
      </c>
      <c r="N4785" t="s">
        <v>721</v>
      </c>
      <c r="O4785">
        <v>12</v>
      </c>
      <c r="P4785">
        <v>7743</v>
      </c>
      <c r="Q4785" t="s">
        <v>946</v>
      </c>
      <c r="R4785" t="s">
        <v>713</v>
      </c>
      <c r="S4785">
        <v>5</v>
      </c>
      <c r="T4785">
        <v>1</v>
      </c>
      <c r="U4785">
        <v>62.05</v>
      </c>
      <c r="V4785">
        <v>645320</v>
      </c>
    </row>
    <row r="4786" spans="1:22">
      <c r="A4786" t="s">
        <v>196</v>
      </c>
      <c r="B4786">
        <v>88</v>
      </c>
      <c r="C4786" t="s">
        <v>1852</v>
      </c>
      <c r="D4786">
        <v>200</v>
      </c>
      <c r="E4786" t="s">
        <v>1834</v>
      </c>
      <c r="F4786">
        <v>1020</v>
      </c>
      <c r="G4786" t="s">
        <v>28</v>
      </c>
      <c r="H4786">
        <v>2040</v>
      </c>
      <c r="I4786" t="s">
        <v>38</v>
      </c>
      <c r="J4786">
        <v>3040</v>
      </c>
      <c r="K4786" t="s">
        <v>1891</v>
      </c>
      <c r="L4786">
        <v>4148</v>
      </c>
      <c r="M4786" t="s">
        <v>1905</v>
      </c>
      <c r="N4786" t="s">
        <v>721</v>
      </c>
      <c r="O4786">
        <v>12</v>
      </c>
      <c r="P4786">
        <v>7741</v>
      </c>
      <c r="Q4786" t="s">
        <v>1897</v>
      </c>
      <c r="R4786" t="s">
        <v>713</v>
      </c>
      <c r="S4786">
        <v>11</v>
      </c>
      <c r="T4786">
        <v>1</v>
      </c>
      <c r="U4786">
        <v>58.95</v>
      </c>
      <c r="V4786">
        <v>1348776</v>
      </c>
    </row>
    <row r="4787" spans="1:22">
      <c r="A4787" t="s">
        <v>196</v>
      </c>
      <c r="B4787">
        <v>88</v>
      </c>
      <c r="C4787" t="s">
        <v>1852</v>
      </c>
      <c r="D4787">
        <v>200</v>
      </c>
      <c r="E4787" t="s">
        <v>1834</v>
      </c>
      <c r="F4787">
        <v>1020</v>
      </c>
      <c r="G4787" t="s">
        <v>28</v>
      </c>
      <c r="H4787">
        <v>2040</v>
      </c>
      <c r="I4787" t="s">
        <v>38</v>
      </c>
      <c r="J4787">
        <v>3040</v>
      </c>
      <c r="K4787" t="s">
        <v>1891</v>
      </c>
      <c r="L4787">
        <v>4148</v>
      </c>
      <c r="M4787" t="s">
        <v>1905</v>
      </c>
      <c r="N4787" t="s">
        <v>721</v>
      </c>
      <c r="O4787">
        <v>14</v>
      </c>
      <c r="P4787">
        <v>4774</v>
      </c>
      <c r="Q4787" t="s">
        <v>972</v>
      </c>
      <c r="R4787" t="s">
        <v>713</v>
      </c>
      <c r="S4787">
        <v>5</v>
      </c>
      <c r="T4787">
        <v>1</v>
      </c>
      <c r="U4787">
        <v>60</v>
      </c>
      <c r="V4787">
        <v>624000</v>
      </c>
    </row>
    <row r="4788" spans="1:22">
      <c r="A4788" t="s">
        <v>196</v>
      </c>
      <c r="B4788">
        <v>88</v>
      </c>
      <c r="C4788" t="s">
        <v>1852</v>
      </c>
      <c r="D4788">
        <v>200</v>
      </c>
      <c r="E4788" t="s">
        <v>1834</v>
      </c>
      <c r="F4788">
        <v>1020</v>
      </c>
      <c r="G4788" t="s">
        <v>28</v>
      </c>
      <c r="H4788">
        <v>2040</v>
      </c>
      <c r="I4788" t="s">
        <v>38</v>
      </c>
      <c r="J4788">
        <v>3040</v>
      </c>
      <c r="K4788" t="s">
        <v>1891</v>
      </c>
      <c r="L4788">
        <v>4148</v>
      </c>
      <c r="M4788" t="s">
        <v>1905</v>
      </c>
      <c r="N4788" t="s">
        <v>721</v>
      </c>
      <c r="O4788">
        <v>50</v>
      </c>
      <c r="P4788">
        <v>4303</v>
      </c>
      <c r="Q4788" t="s">
        <v>982</v>
      </c>
      <c r="R4788" t="s">
        <v>713</v>
      </c>
      <c r="S4788">
        <v>1</v>
      </c>
      <c r="T4788">
        <v>1</v>
      </c>
      <c r="U4788">
        <v>59.21</v>
      </c>
      <c r="V4788">
        <v>123157</v>
      </c>
    </row>
    <row r="4789" spans="1:22">
      <c r="A4789" t="s">
        <v>196</v>
      </c>
      <c r="B4789">
        <v>88</v>
      </c>
      <c r="C4789" t="s">
        <v>1852</v>
      </c>
      <c r="D4789">
        <v>200</v>
      </c>
      <c r="E4789" t="s">
        <v>1834</v>
      </c>
      <c r="F4789">
        <v>1020</v>
      </c>
      <c r="G4789" t="s">
        <v>28</v>
      </c>
      <c r="H4789">
        <v>2040</v>
      </c>
      <c r="I4789" t="s">
        <v>38</v>
      </c>
      <c r="J4789">
        <v>3040</v>
      </c>
      <c r="K4789" t="s">
        <v>1891</v>
      </c>
      <c r="L4789">
        <v>4148</v>
      </c>
      <c r="M4789" t="s">
        <v>1905</v>
      </c>
      <c r="N4789" t="s">
        <v>721</v>
      </c>
      <c r="O4789">
        <v>50</v>
      </c>
      <c r="P4789">
        <v>4301</v>
      </c>
      <c r="Q4789" t="s">
        <v>983</v>
      </c>
      <c r="R4789" t="s">
        <v>713</v>
      </c>
      <c r="S4789">
        <v>1</v>
      </c>
      <c r="T4789">
        <v>1</v>
      </c>
      <c r="U4789">
        <v>56.71</v>
      </c>
      <c r="V4789">
        <v>117957</v>
      </c>
    </row>
    <row r="4790" spans="1:22">
      <c r="A4790" t="s">
        <v>196</v>
      </c>
      <c r="B4790">
        <v>88</v>
      </c>
      <c r="C4790" t="s">
        <v>1852</v>
      </c>
      <c r="D4790">
        <v>200</v>
      </c>
      <c r="E4790" t="s">
        <v>1834</v>
      </c>
      <c r="F4790">
        <v>1020</v>
      </c>
      <c r="G4790" t="s">
        <v>28</v>
      </c>
      <c r="H4790">
        <v>2040</v>
      </c>
      <c r="I4790" t="s">
        <v>38</v>
      </c>
      <c r="J4790">
        <v>3040</v>
      </c>
      <c r="K4790" t="s">
        <v>1891</v>
      </c>
      <c r="L4790">
        <v>4148</v>
      </c>
      <c r="M4790" t="s">
        <v>1905</v>
      </c>
      <c r="N4790" t="s">
        <v>199</v>
      </c>
      <c r="O4790">
        <v>0</v>
      </c>
      <c r="P4790">
        <v>12</v>
      </c>
      <c r="Q4790" t="s">
        <v>724</v>
      </c>
      <c r="R4790" t="s">
        <v>201</v>
      </c>
      <c r="S4790">
        <v>0</v>
      </c>
      <c r="T4790">
        <v>0</v>
      </c>
      <c r="U4790">
        <v>58314</v>
      </c>
      <c r="V4790">
        <v>58314</v>
      </c>
    </row>
    <row r="4791" spans="1:22">
      <c r="A4791" t="s">
        <v>196</v>
      </c>
      <c r="B4791">
        <v>88</v>
      </c>
      <c r="C4791" t="s">
        <v>1852</v>
      </c>
      <c r="D4791">
        <v>200</v>
      </c>
      <c r="E4791" t="s">
        <v>1834</v>
      </c>
      <c r="F4791">
        <v>1020</v>
      </c>
      <c r="G4791" t="s">
        <v>28</v>
      </c>
      <c r="H4791">
        <v>2040</v>
      </c>
      <c r="I4791" t="s">
        <v>38</v>
      </c>
      <c r="J4791">
        <v>3040</v>
      </c>
      <c r="K4791" t="s">
        <v>1891</v>
      </c>
      <c r="L4791">
        <v>4168</v>
      </c>
      <c r="M4791" t="s">
        <v>1853</v>
      </c>
      <c r="N4791" t="s">
        <v>1294</v>
      </c>
      <c r="O4791">
        <v>0</v>
      </c>
      <c r="P4791">
        <v>9681</v>
      </c>
      <c r="Q4791" t="s">
        <v>338</v>
      </c>
      <c r="R4791" t="s">
        <v>201</v>
      </c>
      <c r="S4791">
        <v>1</v>
      </c>
      <c r="T4791">
        <v>1</v>
      </c>
      <c r="U4791">
        <v>172920</v>
      </c>
      <c r="V4791">
        <v>172920</v>
      </c>
    </row>
    <row r="4792" spans="1:22">
      <c r="A4792" t="s">
        <v>196</v>
      </c>
      <c r="B4792">
        <v>88</v>
      </c>
      <c r="C4792" t="s">
        <v>1852</v>
      </c>
      <c r="D4792">
        <v>200</v>
      </c>
      <c r="E4792" t="s">
        <v>1834</v>
      </c>
      <c r="F4792">
        <v>1020</v>
      </c>
      <c r="G4792" t="s">
        <v>28</v>
      </c>
      <c r="H4792">
        <v>2040</v>
      </c>
      <c r="I4792" t="s">
        <v>38</v>
      </c>
      <c r="J4792">
        <v>3040</v>
      </c>
      <c r="K4792" t="s">
        <v>1891</v>
      </c>
      <c r="L4792">
        <v>4168</v>
      </c>
      <c r="M4792" t="s">
        <v>1853</v>
      </c>
      <c r="N4792" t="s">
        <v>271</v>
      </c>
      <c r="O4792">
        <v>20</v>
      </c>
      <c r="P4792">
        <v>6088</v>
      </c>
      <c r="Q4792" t="s">
        <v>1906</v>
      </c>
      <c r="R4792" t="s">
        <v>201</v>
      </c>
      <c r="S4792">
        <v>1</v>
      </c>
      <c r="T4792">
        <v>1</v>
      </c>
      <c r="U4792">
        <v>150624</v>
      </c>
      <c r="V4792">
        <v>150624</v>
      </c>
    </row>
    <row r="4793" spans="1:22">
      <c r="A4793" t="s">
        <v>196</v>
      </c>
      <c r="B4793">
        <v>88</v>
      </c>
      <c r="C4793" t="s">
        <v>1852</v>
      </c>
      <c r="D4793">
        <v>200</v>
      </c>
      <c r="E4793" t="s">
        <v>1834</v>
      </c>
      <c r="F4793">
        <v>1020</v>
      </c>
      <c r="G4793" t="s">
        <v>28</v>
      </c>
      <c r="H4793">
        <v>2040</v>
      </c>
      <c r="I4793" t="s">
        <v>38</v>
      </c>
      <c r="J4793">
        <v>3040</v>
      </c>
      <c r="K4793" t="s">
        <v>1891</v>
      </c>
      <c r="L4793">
        <v>4168</v>
      </c>
      <c r="M4793" t="s">
        <v>1853</v>
      </c>
      <c r="N4793" t="s">
        <v>1314</v>
      </c>
      <c r="O4793">
        <v>9</v>
      </c>
      <c r="P4793">
        <v>6087</v>
      </c>
      <c r="Q4793" t="s">
        <v>1907</v>
      </c>
      <c r="R4793" t="s">
        <v>201</v>
      </c>
      <c r="S4793">
        <v>1</v>
      </c>
      <c r="T4793">
        <v>1</v>
      </c>
      <c r="U4793">
        <v>133836</v>
      </c>
      <c r="V4793">
        <v>133836</v>
      </c>
    </row>
    <row r="4794" spans="1:22">
      <c r="A4794" t="s">
        <v>196</v>
      </c>
      <c r="B4794">
        <v>88</v>
      </c>
      <c r="C4794" t="s">
        <v>1852</v>
      </c>
      <c r="D4794">
        <v>200</v>
      </c>
      <c r="E4794" t="s">
        <v>1834</v>
      </c>
      <c r="F4794">
        <v>1020</v>
      </c>
      <c r="G4794" t="s">
        <v>28</v>
      </c>
      <c r="H4794">
        <v>2040</v>
      </c>
      <c r="I4794" t="s">
        <v>38</v>
      </c>
      <c r="J4794">
        <v>3040</v>
      </c>
      <c r="K4794" t="s">
        <v>1891</v>
      </c>
      <c r="L4794">
        <v>4168</v>
      </c>
      <c r="M4794" t="s">
        <v>1853</v>
      </c>
      <c r="N4794" t="s">
        <v>1908</v>
      </c>
      <c r="O4794">
        <v>20</v>
      </c>
      <c r="P4794">
        <v>6086</v>
      </c>
      <c r="Q4794" t="s">
        <v>1909</v>
      </c>
      <c r="R4794" t="s">
        <v>201</v>
      </c>
      <c r="S4794">
        <v>1</v>
      </c>
      <c r="T4794">
        <v>1</v>
      </c>
      <c r="U4794">
        <v>150624</v>
      </c>
      <c r="V4794">
        <v>150624</v>
      </c>
    </row>
    <row r="4795" spans="1:22">
      <c r="A4795" t="s">
        <v>196</v>
      </c>
      <c r="B4795">
        <v>88</v>
      </c>
      <c r="C4795" t="s">
        <v>1852</v>
      </c>
      <c r="D4795">
        <v>200</v>
      </c>
      <c r="E4795" t="s">
        <v>1834</v>
      </c>
      <c r="F4795">
        <v>1020</v>
      </c>
      <c r="G4795" t="s">
        <v>28</v>
      </c>
      <c r="H4795">
        <v>2040</v>
      </c>
      <c r="I4795" t="s">
        <v>38</v>
      </c>
      <c r="J4795">
        <v>3040</v>
      </c>
      <c r="K4795" t="s">
        <v>1891</v>
      </c>
      <c r="L4795">
        <v>4168</v>
      </c>
      <c r="M4795" t="s">
        <v>1853</v>
      </c>
      <c r="N4795" t="s">
        <v>602</v>
      </c>
      <c r="O4795">
        <v>4</v>
      </c>
      <c r="P4795">
        <v>6054</v>
      </c>
      <c r="Q4795" t="s">
        <v>1866</v>
      </c>
      <c r="R4795" t="s">
        <v>201</v>
      </c>
      <c r="S4795">
        <v>1</v>
      </c>
      <c r="T4795">
        <v>1</v>
      </c>
      <c r="U4795">
        <v>141564</v>
      </c>
      <c r="V4795">
        <v>141564</v>
      </c>
    </row>
    <row r="4796" spans="1:22">
      <c r="A4796" t="s">
        <v>196</v>
      </c>
      <c r="B4796">
        <v>88</v>
      </c>
      <c r="C4796" t="s">
        <v>1852</v>
      </c>
      <c r="D4796">
        <v>200</v>
      </c>
      <c r="E4796" t="s">
        <v>1834</v>
      </c>
      <c r="F4796">
        <v>1020</v>
      </c>
      <c r="G4796" t="s">
        <v>28</v>
      </c>
      <c r="H4796">
        <v>2040</v>
      </c>
      <c r="I4796" t="s">
        <v>38</v>
      </c>
      <c r="J4796">
        <v>3040</v>
      </c>
      <c r="K4796" t="s">
        <v>1891</v>
      </c>
      <c r="L4796">
        <v>4168</v>
      </c>
      <c r="M4796" t="s">
        <v>1853</v>
      </c>
      <c r="N4796" t="s">
        <v>356</v>
      </c>
      <c r="O4796">
        <v>4</v>
      </c>
      <c r="P4796">
        <v>6053</v>
      </c>
      <c r="Q4796" t="s">
        <v>1910</v>
      </c>
      <c r="R4796" t="s">
        <v>201</v>
      </c>
      <c r="S4796">
        <v>1</v>
      </c>
      <c r="T4796">
        <v>1</v>
      </c>
      <c r="U4796">
        <v>90144</v>
      </c>
      <c r="V4796">
        <v>90144</v>
      </c>
    </row>
    <row r="4797" spans="1:22">
      <c r="A4797" t="s">
        <v>196</v>
      </c>
      <c r="B4797">
        <v>88</v>
      </c>
      <c r="C4797" t="s">
        <v>1852</v>
      </c>
      <c r="D4797">
        <v>200</v>
      </c>
      <c r="E4797" t="s">
        <v>1834</v>
      </c>
      <c r="F4797">
        <v>1020</v>
      </c>
      <c r="G4797" t="s">
        <v>28</v>
      </c>
      <c r="H4797">
        <v>2040</v>
      </c>
      <c r="I4797" t="s">
        <v>38</v>
      </c>
      <c r="J4797">
        <v>3040</v>
      </c>
      <c r="K4797" t="s">
        <v>1891</v>
      </c>
      <c r="L4797">
        <v>4168</v>
      </c>
      <c r="M4797" t="s">
        <v>1853</v>
      </c>
      <c r="N4797" t="s">
        <v>688</v>
      </c>
      <c r="O4797">
        <v>4</v>
      </c>
      <c r="P4797">
        <v>6052</v>
      </c>
      <c r="Q4797" t="s">
        <v>1893</v>
      </c>
      <c r="R4797" t="s">
        <v>201</v>
      </c>
      <c r="S4797">
        <v>1</v>
      </c>
      <c r="T4797">
        <v>1</v>
      </c>
      <c r="U4797">
        <v>92940</v>
      </c>
      <c r="V4797">
        <v>92940</v>
      </c>
    </row>
    <row r="4798" spans="1:22">
      <c r="A4798" t="s">
        <v>196</v>
      </c>
      <c r="B4798">
        <v>88</v>
      </c>
      <c r="C4798" t="s">
        <v>1852</v>
      </c>
      <c r="D4798">
        <v>200</v>
      </c>
      <c r="E4798" t="s">
        <v>1834</v>
      </c>
      <c r="F4798">
        <v>1020</v>
      </c>
      <c r="G4798" t="s">
        <v>28</v>
      </c>
      <c r="H4798">
        <v>2040</v>
      </c>
      <c r="I4798" t="s">
        <v>38</v>
      </c>
      <c r="J4798">
        <v>3040</v>
      </c>
      <c r="K4798" t="s">
        <v>1891</v>
      </c>
      <c r="L4798">
        <v>4168</v>
      </c>
      <c r="M4798" t="s">
        <v>1853</v>
      </c>
      <c r="N4798" t="s">
        <v>602</v>
      </c>
      <c r="O4798">
        <v>4</v>
      </c>
      <c r="P4798">
        <v>5814</v>
      </c>
      <c r="Q4798" t="s">
        <v>1898</v>
      </c>
      <c r="R4798" t="s">
        <v>201</v>
      </c>
      <c r="S4798">
        <v>1</v>
      </c>
      <c r="T4798">
        <v>1</v>
      </c>
      <c r="U4798">
        <v>134184</v>
      </c>
      <c r="V4798">
        <v>134184</v>
      </c>
    </row>
    <row r="4799" spans="1:22">
      <c r="A4799" t="s">
        <v>196</v>
      </c>
      <c r="B4799">
        <v>88</v>
      </c>
      <c r="C4799" t="s">
        <v>1852</v>
      </c>
      <c r="D4799">
        <v>200</v>
      </c>
      <c r="E4799" t="s">
        <v>1834</v>
      </c>
      <c r="F4799">
        <v>1020</v>
      </c>
      <c r="G4799" t="s">
        <v>28</v>
      </c>
      <c r="H4799">
        <v>2040</v>
      </c>
      <c r="I4799" t="s">
        <v>38</v>
      </c>
      <c r="J4799">
        <v>3040</v>
      </c>
      <c r="K4799" t="s">
        <v>1891</v>
      </c>
      <c r="L4799">
        <v>4168</v>
      </c>
      <c r="M4799" t="s">
        <v>1853</v>
      </c>
      <c r="N4799" t="s">
        <v>602</v>
      </c>
      <c r="O4799">
        <v>4</v>
      </c>
      <c r="P4799">
        <v>5814</v>
      </c>
      <c r="Q4799" t="s">
        <v>1898</v>
      </c>
      <c r="R4799" t="s">
        <v>201</v>
      </c>
      <c r="S4799">
        <v>1</v>
      </c>
      <c r="T4799">
        <v>1</v>
      </c>
      <c r="U4799">
        <v>99408</v>
      </c>
      <c r="V4799">
        <v>99408</v>
      </c>
    </row>
    <row r="4800" spans="1:22">
      <c r="A4800" t="s">
        <v>196</v>
      </c>
      <c r="B4800">
        <v>88</v>
      </c>
      <c r="C4800" t="s">
        <v>1852</v>
      </c>
      <c r="D4800">
        <v>200</v>
      </c>
      <c r="E4800" t="s">
        <v>1834</v>
      </c>
      <c r="F4800">
        <v>1020</v>
      </c>
      <c r="G4800" t="s">
        <v>28</v>
      </c>
      <c r="H4800">
        <v>2040</v>
      </c>
      <c r="I4800" t="s">
        <v>38</v>
      </c>
      <c r="J4800">
        <v>3040</v>
      </c>
      <c r="K4800" t="s">
        <v>1891</v>
      </c>
      <c r="L4800">
        <v>4168</v>
      </c>
      <c r="M4800" t="s">
        <v>1853</v>
      </c>
      <c r="N4800" t="s">
        <v>245</v>
      </c>
      <c r="O4800">
        <v>20</v>
      </c>
      <c r="P4800">
        <v>5615</v>
      </c>
      <c r="Q4800" t="s">
        <v>1782</v>
      </c>
      <c r="R4800" t="s">
        <v>201</v>
      </c>
      <c r="S4800">
        <v>2</v>
      </c>
      <c r="T4800">
        <v>1</v>
      </c>
      <c r="U4800">
        <v>106272</v>
      </c>
      <c r="V4800">
        <v>212544</v>
      </c>
    </row>
    <row r="4801" spans="1:22">
      <c r="A4801" t="s">
        <v>196</v>
      </c>
      <c r="B4801">
        <v>88</v>
      </c>
      <c r="C4801" t="s">
        <v>1852</v>
      </c>
      <c r="D4801">
        <v>200</v>
      </c>
      <c r="E4801" t="s">
        <v>1834</v>
      </c>
      <c r="F4801">
        <v>1020</v>
      </c>
      <c r="G4801" t="s">
        <v>28</v>
      </c>
      <c r="H4801">
        <v>2040</v>
      </c>
      <c r="I4801" t="s">
        <v>38</v>
      </c>
      <c r="J4801">
        <v>3040</v>
      </c>
      <c r="K4801" t="s">
        <v>1891</v>
      </c>
      <c r="L4801">
        <v>4168</v>
      </c>
      <c r="M4801" t="s">
        <v>1853</v>
      </c>
      <c r="N4801" t="s">
        <v>372</v>
      </c>
      <c r="O4801">
        <v>4</v>
      </c>
      <c r="P4801">
        <v>1912</v>
      </c>
      <c r="Q4801" t="s">
        <v>608</v>
      </c>
      <c r="R4801" t="s">
        <v>201</v>
      </c>
      <c r="S4801">
        <v>1</v>
      </c>
      <c r="T4801">
        <v>1</v>
      </c>
      <c r="U4801">
        <v>81324</v>
      </c>
      <c r="V4801">
        <v>81324</v>
      </c>
    </row>
    <row r="4802" spans="1:22">
      <c r="A4802" t="s">
        <v>196</v>
      </c>
      <c r="B4802">
        <v>88</v>
      </c>
      <c r="C4802" t="s">
        <v>1852</v>
      </c>
      <c r="D4802">
        <v>200</v>
      </c>
      <c r="E4802" t="s">
        <v>1834</v>
      </c>
      <c r="F4802">
        <v>1020</v>
      </c>
      <c r="G4802" t="s">
        <v>28</v>
      </c>
      <c r="H4802">
        <v>2040</v>
      </c>
      <c r="I4802" t="s">
        <v>38</v>
      </c>
      <c r="J4802">
        <v>3040</v>
      </c>
      <c r="K4802" t="s">
        <v>1891</v>
      </c>
      <c r="L4802">
        <v>4168</v>
      </c>
      <c r="M4802" t="s">
        <v>1853</v>
      </c>
      <c r="N4802" t="s">
        <v>351</v>
      </c>
      <c r="O4802">
        <v>1</v>
      </c>
      <c r="P4802" t="s">
        <v>352</v>
      </c>
      <c r="Q4802" t="s">
        <v>353</v>
      </c>
      <c r="R4802" t="s">
        <v>201</v>
      </c>
      <c r="S4802">
        <v>1</v>
      </c>
      <c r="T4802">
        <v>1</v>
      </c>
      <c r="U4802">
        <v>64488</v>
      </c>
      <c r="V4802">
        <v>64488</v>
      </c>
    </row>
    <row r="4803" spans="1:22">
      <c r="A4803" t="s">
        <v>196</v>
      </c>
      <c r="B4803">
        <v>88</v>
      </c>
      <c r="C4803" t="s">
        <v>1852</v>
      </c>
      <c r="D4803">
        <v>200</v>
      </c>
      <c r="E4803" t="s">
        <v>1834</v>
      </c>
      <c r="F4803">
        <v>1020</v>
      </c>
      <c r="G4803" t="s">
        <v>28</v>
      </c>
      <c r="H4803">
        <v>2040</v>
      </c>
      <c r="I4803" t="s">
        <v>38</v>
      </c>
      <c r="J4803">
        <v>3040</v>
      </c>
      <c r="K4803" t="s">
        <v>1891</v>
      </c>
      <c r="L4803">
        <v>4168</v>
      </c>
      <c r="M4803" t="s">
        <v>1853</v>
      </c>
      <c r="N4803" t="s">
        <v>622</v>
      </c>
      <c r="O4803">
        <v>1</v>
      </c>
      <c r="P4803" t="s">
        <v>667</v>
      </c>
      <c r="Q4803" t="s">
        <v>205</v>
      </c>
      <c r="R4803" t="s">
        <v>201</v>
      </c>
      <c r="S4803">
        <v>2</v>
      </c>
      <c r="T4803">
        <v>1</v>
      </c>
      <c r="U4803">
        <v>51936</v>
      </c>
      <c r="V4803">
        <v>103872</v>
      </c>
    </row>
    <row r="4804" spans="1:22">
      <c r="A4804" t="s">
        <v>196</v>
      </c>
      <c r="B4804">
        <v>88</v>
      </c>
      <c r="C4804" t="s">
        <v>1852</v>
      </c>
      <c r="D4804">
        <v>200</v>
      </c>
      <c r="E4804" t="s">
        <v>1834</v>
      </c>
      <c r="F4804">
        <v>1020</v>
      </c>
      <c r="G4804" t="s">
        <v>28</v>
      </c>
      <c r="H4804">
        <v>2040</v>
      </c>
      <c r="I4804" t="s">
        <v>38</v>
      </c>
      <c r="J4804">
        <v>3040</v>
      </c>
      <c r="K4804" t="s">
        <v>1891</v>
      </c>
      <c r="L4804">
        <v>4168</v>
      </c>
      <c r="M4804" t="s">
        <v>1853</v>
      </c>
      <c r="N4804" t="s">
        <v>199</v>
      </c>
      <c r="O4804">
        <v>0</v>
      </c>
      <c r="P4804">
        <v>15</v>
      </c>
      <c r="Q4804" t="s">
        <v>264</v>
      </c>
      <c r="R4804" t="s">
        <v>201</v>
      </c>
      <c r="S4804">
        <v>0</v>
      </c>
      <c r="T4804">
        <v>0</v>
      </c>
      <c r="U4804">
        <v>26969</v>
      </c>
      <c r="V4804">
        <v>26969</v>
      </c>
    </row>
    <row r="4805" spans="1:22">
      <c r="A4805" t="s">
        <v>196</v>
      </c>
      <c r="B4805">
        <v>88</v>
      </c>
      <c r="C4805" t="s">
        <v>1852</v>
      </c>
      <c r="D4805">
        <v>200</v>
      </c>
      <c r="E4805" t="s">
        <v>1834</v>
      </c>
      <c r="F4805">
        <v>1020</v>
      </c>
      <c r="G4805" t="s">
        <v>28</v>
      </c>
      <c r="H4805">
        <v>2040</v>
      </c>
      <c r="I4805" t="s">
        <v>38</v>
      </c>
      <c r="J4805">
        <v>3040</v>
      </c>
      <c r="K4805" t="s">
        <v>1891</v>
      </c>
      <c r="L4805">
        <v>4178</v>
      </c>
      <c r="M4805" t="s">
        <v>1911</v>
      </c>
      <c r="N4805" t="s">
        <v>721</v>
      </c>
      <c r="O4805">
        <v>19</v>
      </c>
      <c r="P4805">
        <v>7398</v>
      </c>
      <c r="Q4805" t="s">
        <v>1912</v>
      </c>
      <c r="R4805" t="s">
        <v>713</v>
      </c>
      <c r="S4805">
        <v>3</v>
      </c>
      <c r="T4805">
        <v>1</v>
      </c>
      <c r="U4805">
        <v>44.24</v>
      </c>
      <c r="V4805">
        <v>276058</v>
      </c>
    </row>
    <row r="4806" spans="1:22">
      <c r="A4806" t="s">
        <v>196</v>
      </c>
      <c r="B4806">
        <v>88</v>
      </c>
      <c r="C4806" t="s">
        <v>1852</v>
      </c>
      <c r="D4806">
        <v>200</v>
      </c>
      <c r="E4806" t="s">
        <v>1834</v>
      </c>
      <c r="F4806">
        <v>1020</v>
      </c>
      <c r="G4806" t="s">
        <v>28</v>
      </c>
      <c r="H4806">
        <v>2040</v>
      </c>
      <c r="I4806" t="s">
        <v>38</v>
      </c>
      <c r="J4806">
        <v>3040</v>
      </c>
      <c r="K4806" t="s">
        <v>1891</v>
      </c>
      <c r="L4806">
        <v>4178</v>
      </c>
      <c r="M4806" t="s">
        <v>1911</v>
      </c>
      <c r="N4806" t="s">
        <v>721</v>
      </c>
      <c r="O4806">
        <v>21</v>
      </c>
      <c r="P4806">
        <v>7357</v>
      </c>
      <c r="Q4806" t="s">
        <v>1913</v>
      </c>
      <c r="R4806" t="s">
        <v>713</v>
      </c>
      <c r="S4806">
        <v>1</v>
      </c>
      <c r="T4806">
        <v>1</v>
      </c>
      <c r="U4806">
        <v>63.45</v>
      </c>
      <c r="V4806">
        <v>131976</v>
      </c>
    </row>
    <row r="4807" spans="1:22">
      <c r="A4807" t="s">
        <v>196</v>
      </c>
      <c r="B4807">
        <v>88</v>
      </c>
      <c r="C4807" t="s">
        <v>1852</v>
      </c>
      <c r="D4807">
        <v>200</v>
      </c>
      <c r="E4807" t="s">
        <v>1834</v>
      </c>
      <c r="F4807">
        <v>1020</v>
      </c>
      <c r="G4807" t="s">
        <v>28</v>
      </c>
      <c r="H4807">
        <v>2040</v>
      </c>
      <c r="I4807" t="s">
        <v>38</v>
      </c>
      <c r="J4807">
        <v>3040</v>
      </c>
      <c r="K4807" t="s">
        <v>1891</v>
      </c>
      <c r="L4807">
        <v>4178</v>
      </c>
      <c r="M4807" t="s">
        <v>1911</v>
      </c>
      <c r="N4807" t="s">
        <v>721</v>
      </c>
      <c r="O4807">
        <v>21</v>
      </c>
      <c r="P4807">
        <v>7353</v>
      </c>
      <c r="Q4807" t="s">
        <v>1914</v>
      </c>
      <c r="R4807" t="s">
        <v>713</v>
      </c>
      <c r="S4807">
        <v>2</v>
      </c>
      <c r="T4807">
        <v>1</v>
      </c>
      <c r="U4807">
        <v>63.45</v>
      </c>
      <c r="V4807">
        <v>263952</v>
      </c>
    </row>
    <row r="4808" spans="1:22">
      <c r="A4808" t="s">
        <v>196</v>
      </c>
      <c r="B4808">
        <v>88</v>
      </c>
      <c r="C4808" t="s">
        <v>1852</v>
      </c>
      <c r="D4808">
        <v>200</v>
      </c>
      <c r="E4808" t="s">
        <v>1834</v>
      </c>
      <c r="F4808">
        <v>1020</v>
      </c>
      <c r="G4808" t="s">
        <v>28</v>
      </c>
      <c r="H4808">
        <v>2040</v>
      </c>
      <c r="I4808" t="s">
        <v>38</v>
      </c>
      <c r="J4808">
        <v>3040</v>
      </c>
      <c r="K4808" t="s">
        <v>1891</v>
      </c>
      <c r="L4808">
        <v>4178</v>
      </c>
      <c r="M4808" t="s">
        <v>1911</v>
      </c>
      <c r="N4808" t="s">
        <v>249</v>
      </c>
      <c r="O4808">
        <v>10</v>
      </c>
      <c r="P4808">
        <v>310</v>
      </c>
      <c r="Q4808" t="s">
        <v>447</v>
      </c>
      <c r="R4808" t="s">
        <v>201</v>
      </c>
      <c r="S4808">
        <v>1</v>
      </c>
      <c r="T4808">
        <v>1</v>
      </c>
      <c r="U4808">
        <v>89112</v>
      </c>
      <c r="V4808">
        <v>89112</v>
      </c>
    </row>
    <row r="4809" spans="1:22">
      <c r="A4809" t="s">
        <v>196</v>
      </c>
      <c r="B4809">
        <v>88</v>
      </c>
      <c r="C4809" t="s">
        <v>1852</v>
      </c>
      <c r="D4809">
        <v>200</v>
      </c>
      <c r="E4809" t="s">
        <v>1834</v>
      </c>
      <c r="F4809">
        <v>1020</v>
      </c>
      <c r="G4809" t="s">
        <v>28</v>
      </c>
      <c r="H4809">
        <v>2040</v>
      </c>
      <c r="I4809" t="s">
        <v>38</v>
      </c>
      <c r="J4809">
        <v>3040</v>
      </c>
      <c r="K4809" t="s">
        <v>1891</v>
      </c>
      <c r="L4809">
        <v>4178</v>
      </c>
      <c r="M4809" t="s">
        <v>1911</v>
      </c>
      <c r="N4809" t="s">
        <v>199</v>
      </c>
      <c r="O4809">
        <v>0</v>
      </c>
      <c r="P4809">
        <v>15</v>
      </c>
      <c r="Q4809" t="s">
        <v>264</v>
      </c>
      <c r="R4809" t="s">
        <v>201</v>
      </c>
      <c r="S4809">
        <v>0</v>
      </c>
      <c r="T4809">
        <v>0</v>
      </c>
      <c r="U4809">
        <v>2136</v>
      </c>
      <c r="V4809">
        <v>2136</v>
      </c>
    </row>
    <row r="4810" spans="1:22">
      <c r="A4810" t="s">
        <v>196</v>
      </c>
      <c r="B4810">
        <v>88</v>
      </c>
      <c r="C4810" t="s">
        <v>1852</v>
      </c>
      <c r="D4810">
        <v>200</v>
      </c>
      <c r="E4810" t="s">
        <v>1834</v>
      </c>
      <c r="F4810">
        <v>1020</v>
      </c>
      <c r="G4810" t="s">
        <v>28</v>
      </c>
      <c r="H4810">
        <v>2040</v>
      </c>
      <c r="I4810" t="s">
        <v>38</v>
      </c>
      <c r="J4810">
        <v>3040</v>
      </c>
      <c r="K4810" t="s">
        <v>1891</v>
      </c>
      <c r="L4810">
        <v>4178</v>
      </c>
      <c r="M4810" t="s">
        <v>1911</v>
      </c>
      <c r="N4810" t="s">
        <v>199</v>
      </c>
      <c r="O4810">
        <v>0</v>
      </c>
      <c r="P4810">
        <v>12</v>
      </c>
      <c r="Q4810" t="s">
        <v>724</v>
      </c>
      <c r="R4810" t="s">
        <v>201</v>
      </c>
      <c r="S4810">
        <v>0</v>
      </c>
      <c r="T4810">
        <v>0</v>
      </c>
      <c r="U4810">
        <v>10080</v>
      </c>
      <c r="V4810">
        <v>10080</v>
      </c>
    </row>
    <row r="4811" spans="1:22">
      <c r="A4811" t="s">
        <v>196</v>
      </c>
      <c r="B4811">
        <v>88</v>
      </c>
      <c r="C4811" t="s">
        <v>1852</v>
      </c>
      <c r="D4811">
        <v>200</v>
      </c>
      <c r="E4811" t="s">
        <v>1834</v>
      </c>
      <c r="F4811">
        <v>1020</v>
      </c>
      <c r="G4811" t="s">
        <v>28</v>
      </c>
      <c r="H4811">
        <v>2040</v>
      </c>
      <c r="I4811" t="s">
        <v>38</v>
      </c>
      <c r="J4811">
        <v>3040</v>
      </c>
      <c r="K4811" t="s">
        <v>1891</v>
      </c>
      <c r="L4811">
        <v>4179</v>
      </c>
      <c r="M4811" t="s">
        <v>1915</v>
      </c>
      <c r="N4811" t="s">
        <v>721</v>
      </c>
      <c r="O4811">
        <v>23</v>
      </c>
      <c r="P4811">
        <v>7775</v>
      </c>
      <c r="Q4811" t="s">
        <v>1892</v>
      </c>
      <c r="R4811" t="s">
        <v>713</v>
      </c>
      <c r="S4811">
        <v>3</v>
      </c>
      <c r="T4811">
        <v>1</v>
      </c>
      <c r="U4811">
        <v>43.04</v>
      </c>
      <c r="V4811">
        <v>268570</v>
      </c>
    </row>
    <row r="4812" spans="1:22">
      <c r="A4812" t="s">
        <v>196</v>
      </c>
      <c r="B4812">
        <v>88</v>
      </c>
      <c r="C4812" t="s">
        <v>1852</v>
      </c>
      <c r="D4812">
        <v>200</v>
      </c>
      <c r="E4812" t="s">
        <v>1834</v>
      </c>
      <c r="F4812">
        <v>1020</v>
      </c>
      <c r="G4812" t="s">
        <v>28</v>
      </c>
      <c r="H4812">
        <v>2040</v>
      </c>
      <c r="I4812" t="s">
        <v>38</v>
      </c>
      <c r="J4812">
        <v>3040</v>
      </c>
      <c r="K4812" t="s">
        <v>1891</v>
      </c>
      <c r="L4812">
        <v>4179</v>
      </c>
      <c r="M4812" t="s">
        <v>1915</v>
      </c>
      <c r="N4812" t="s">
        <v>721</v>
      </c>
      <c r="O4812">
        <v>12</v>
      </c>
      <c r="P4812">
        <v>7747</v>
      </c>
      <c r="Q4812" t="s">
        <v>944</v>
      </c>
      <c r="R4812" t="s">
        <v>712</v>
      </c>
      <c r="S4812">
        <v>1</v>
      </c>
      <c r="T4812">
        <v>1</v>
      </c>
      <c r="U4812">
        <v>12906.4</v>
      </c>
      <c r="V4812">
        <v>154877</v>
      </c>
    </row>
    <row r="4813" spans="1:22">
      <c r="A4813" t="s">
        <v>196</v>
      </c>
      <c r="B4813">
        <v>88</v>
      </c>
      <c r="C4813" t="s">
        <v>1852</v>
      </c>
      <c r="D4813">
        <v>200</v>
      </c>
      <c r="E4813" t="s">
        <v>1834</v>
      </c>
      <c r="F4813">
        <v>1020</v>
      </c>
      <c r="G4813" t="s">
        <v>28</v>
      </c>
      <c r="H4813">
        <v>2040</v>
      </c>
      <c r="I4813" t="s">
        <v>38</v>
      </c>
      <c r="J4813">
        <v>3040</v>
      </c>
      <c r="K4813" t="s">
        <v>1891</v>
      </c>
      <c r="L4813">
        <v>4179</v>
      </c>
      <c r="M4813" t="s">
        <v>1915</v>
      </c>
      <c r="N4813" t="s">
        <v>721</v>
      </c>
      <c r="O4813">
        <v>12</v>
      </c>
      <c r="P4813">
        <v>7745</v>
      </c>
      <c r="Q4813" t="s">
        <v>945</v>
      </c>
      <c r="R4813" t="s">
        <v>713</v>
      </c>
      <c r="S4813">
        <v>3</v>
      </c>
      <c r="T4813">
        <v>1</v>
      </c>
      <c r="U4813">
        <v>68.260000000000005</v>
      </c>
      <c r="V4813">
        <v>425942</v>
      </c>
    </row>
    <row r="4814" spans="1:22">
      <c r="A4814" t="s">
        <v>196</v>
      </c>
      <c r="B4814">
        <v>88</v>
      </c>
      <c r="C4814" t="s">
        <v>1852</v>
      </c>
      <c r="D4814">
        <v>200</v>
      </c>
      <c r="E4814" t="s">
        <v>1834</v>
      </c>
      <c r="F4814">
        <v>1020</v>
      </c>
      <c r="G4814" t="s">
        <v>28</v>
      </c>
      <c r="H4814">
        <v>2040</v>
      </c>
      <c r="I4814" t="s">
        <v>38</v>
      </c>
      <c r="J4814">
        <v>3040</v>
      </c>
      <c r="K4814" t="s">
        <v>1891</v>
      </c>
      <c r="L4814">
        <v>4179</v>
      </c>
      <c r="M4814" t="s">
        <v>1915</v>
      </c>
      <c r="N4814" t="s">
        <v>721</v>
      </c>
      <c r="O4814">
        <v>12</v>
      </c>
      <c r="P4814">
        <v>7743</v>
      </c>
      <c r="Q4814" t="s">
        <v>946</v>
      </c>
      <c r="R4814" t="s">
        <v>713</v>
      </c>
      <c r="S4814">
        <v>4</v>
      </c>
      <c r="T4814">
        <v>1</v>
      </c>
      <c r="U4814">
        <v>62.05</v>
      </c>
      <c r="V4814">
        <v>516256</v>
      </c>
    </row>
    <row r="4815" spans="1:22">
      <c r="A4815" t="s">
        <v>196</v>
      </c>
      <c r="B4815">
        <v>88</v>
      </c>
      <c r="C4815" t="s">
        <v>1852</v>
      </c>
      <c r="D4815">
        <v>200</v>
      </c>
      <c r="E4815" t="s">
        <v>1834</v>
      </c>
      <c r="F4815">
        <v>1020</v>
      </c>
      <c r="G4815" t="s">
        <v>28</v>
      </c>
      <c r="H4815">
        <v>2040</v>
      </c>
      <c r="I4815" t="s">
        <v>38</v>
      </c>
      <c r="J4815">
        <v>3040</v>
      </c>
      <c r="K4815" t="s">
        <v>1891</v>
      </c>
      <c r="L4815">
        <v>4179</v>
      </c>
      <c r="M4815" t="s">
        <v>1915</v>
      </c>
      <c r="N4815" t="s">
        <v>721</v>
      </c>
      <c r="O4815">
        <v>12</v>
      </c>
      <c r="P4815">
        <v>7741</v>
      </c>
      <c r="Q4815" t="s">
        <v>1897</v>
      </c>
      <c r="R4815" t="s">
        <v>713</v>
      </c>
      <c r="S4815">
        <v>10</v>
      </c>
      <c r="T4815">
        <v>1</v>
      </c>
      <c r="U4815">
        <v>58.95</v>
      </c>
      <c r="V4815">
        <v>1226160</v>
      </c>
    </row>
    <row r="4816" spans="1:22">
      <c r="A4816" t="s">
        <v>196</v>
      </c>
      <c r="B4816">
        <v>88</v>
      </c>
      <c r="C4816" t="s">
        <v>1852</v>
      </c>
      <c r="D4816">
        <v>200</v>
      </c>
      <c r="E4816" t="s">
        <v>1834</v>
      </c>
      <c r="F4816">
        <v>1020</v>
      </c>
      <c r="G4816" t="s">
        <v>28</v>
      </c>
      <c r="H4816">
        <v>2040</v>
      </c>
      <c r="I4816" t="s">
        <v>38</v>
      </c>
      <c r="J4816">
        <v>3040</v>
      </c>
      <c r="K4816" t="s">
        <v>1891</v>
      </c>
      <c r="L4816">
        <v>4179</v>
      </c>
      <c r="M4816" t="s">
        <v>1915</v>
      </c>
      <c r="N4816" t="s">
        <v>721</v>
      </c>
      <c r="O4816">
        <v>14</v>
      </c>
      <c r="P4816">
        <v>4776</v>
      </c>
      <c r="Q4816" t="s">
        <v>971</v>
      </c>
      <c r="R4816" t="s">
        <v>713</v>
      </c>
      <c r="S4816">
        <v>1</v>
      </c>
      <c r="T4816">
        <v>1</v>
      </c>
      <c r="U4816">
        <v>63</v>
      </c>
      <c r="V4816">
        <v>131040</v>
      </c>
    </row>
    <row r="4817" spans="1:22">
      <c r="A4817" t="s">
        <v>196</v>
      </c>
      <c r="B4817">
        <v>88</v>
      </c>
      <c r="C4817" t="s">
        <v>1852</v>
      </c>
      <c r="D4817">
        <v>200</v>
      </c>
      <c r="E4817" t="s">
        <v>1834</v>
      </c>
      <c r="F4817">
        <v>1020</v>
      </c>
      <c r="G4817" t="s">
        <v>28</v>
      </c>
      <c r="H4817">
        <v>2040</v>
      </c>
      <c r="I4817" t="s">
        <v>38</v>
      </c>
      <c r="J4817">
        <v>3040</v>
      </c>
      <c r="K4817" t="s">
        <v>1891</v>
      </c>
      <c r="L4817">
        <v>4179</v>
      </c>
      <c r="M4817" t="s">
        <v>1915</v>
      </c>
      <c r="N4817" t="s">
        <v>721</v>
      </c>
      <c r="O4817">
        <v>14</v>
      </c>
      <c r="P4817">
        <v>4774</v>
      </c>
      <c r="Q4817" t="s">
        <v>972</v>
      </c>
      <c r="R4817" t="s">
        <v>713</v>
      </c>
      <c r="S4817">
        <v>4</v>
      </c>
      <c r="T4817">
        <v>1</v>
      </c>
      <c r="U4817">
        <v>60</v>
      </c>
      <c r="V4817">
        <v>499200</v>
      </c>
    </row>
    <row r="4818" spans="1:22">
      <c r="A4818" t="s">
        <v>196</v>
      </c>
      <c r="B4818">
        <v>88</v>
      </c>
      <c r="C4818" t="s">
        <v>1852</v>
      </c>
      <c r="D4818">
        <v>200</v>
      </c>
      <c r="E4818" t="s">
        <v>1834</v>
      </c>
      <c r="F4818">
        <v>1020</v>
      </c>
      <c r="G4818" t="s">
        <v>28</v>
      </c>
      <c r="H4818">
        <v>2040</v>
      </c>
      <c r="I4818" t="s">
        <v>38</v>
      </c>
      <c r="J4818">
        <v>3040</v>
      </c>
      <c r="K4818" t="s">
        <v>1891</v>
      </c>
      <c r="L4818">
        <v>4179</v>
      </c>
      <c r="M4818" t="s">
        <v>1915</v>
      </c>
      <c r="N4818" t="s">
        <v>721</v>
      </c>
      <c r="O4818">
        <v>14</v>
      </c>
      <c r="P4818">
        <v>4774</v>
      </c>
      <c r="Q4818" t="s">
        <v>972</v>
      </c>
      <c r="R4818" t="s">
        <v>713</v>
      </c>
      <c r="S4818">
        <v>1</v>
      </c>
      <c r="T4818">
        <v>1</v>
      </c>
      <c r="U4818">
        <v>54.1</v>
      </c>
      <c r="V4818">
        <v>112528</v>
      </c>
    </row>
    <row r="4819" spans="1:22">
      <c r="A4819" t="s">
        <v>196</v>
      </c>
      <c r="B4819">
        <v>88</v>
      </c>
      <c r="C4819" t="s">
        <v>1852</v>
      </c>
      <c r="D4819">
        <v>200</v>
      </c>
      <c r="E4819" t="s">
        <v>1834</v>
      </c>
      <c r="F4819">
        <v>1020</v>
      </c>
      <c r="G4819" t="s">
        <v>28</v>
      </c>
      <c r="H4819">
        <v>2040</v>
      </c>
      <c r="I4819" t="s">
        <v>38</v>
      </c>
      <c r="J4819">
        <v>3040</v>
      </c>
      <c r="K4819" t="s">
        <v>1891</v>
      </c>
      <c r="L4819">
        <v>4179</v>
      </c>
      <c r="M4819" t="s">
        <v>1915</v>
      </c>
      <c r="N4819" t="s">
        <v>199</v>
      </c>
      <c r="O4819">
        <v>0</v>
      </c>
      <c r="P4819">
        <v>12</v>
      </c>
      <c r="Q4819" t="s">
        <v>724</v>
      </c>
      <c r="R4819" t="s">
        <v>201</v>
      </c>
      <c r="S4819">
        <v>0</v>
      </c>
      <c r="T4819">
        <v>0</v>
      </c>
      <c r="U4819">
        <v>50019</v>
      </c>
      <c r="V4819">
        <v>50019</v>
      </c>
    </row>
    <row r="4820" spans="1:22">
      <c r="A4820" t="s">
        <v>196</v>
      </c>
      <c r="B4820">
        <v>88</v>
      </c>
      <c r="C4820" t="s">
        <v>1852</v>
      </c>
      <c r="D4820">
        <v>200</v>
      </c>
      <c r="E4820" t="s">
        <v>1834</v>
      </c>
      <c r="F4820">
        <v>1020</v>
      </c>
      <c r="G4820" t="s">
        <v>28</v>
      </c>
      <c r="H4820">
        <v>2040</v>
      </c>
      <c r="I4820" t="s">
        <v>38</v>
      </c>
      <c r="J4820">
        <v>3040</v>
      </c>
      <c r="K4820" t="s">
        <v>1891</v>
      </c>
      <c r="L4820">
        <v>4188</v>
      </c>
      <c r="M4820" t="s">
        <v>1916</v>
      </c>
      <c r="N4820" t="s">
        <v>721</v>
      </c>
      <c r="O4820">
        <v>53</v>
      </c>
      <c r="P4820">
        <v>9532</v>
      </c>
      <c r="Q4820" t="s">
        <v>901</v>
      </c>
      <c r="R4820" t="s">
        <v>713</v>
      </c>
      <c r="S4820">
        <v>1</v>
      </c>
      <c r="T4820">
        <v>1</v>
      </c>
      <c r="U4820">
        <v>51.4</v>
      </c>
      <c r="V4820">
        <v>106912</v>
      </c>
    </row>
    <row r="4821" spans="1:22">
      <c r="A4821" t="s">
        <v>196</v>
      </c>
      <c r="B4821">
        <v>88</v>
      </c>
      <c r="C4821" t="s">
        <v>1852</v>
      </c>
      <c r="D4821">
        <v>200</v>
      </c>
      <c r="E4821" t="s">
        <v>1834</v>
      </c>
      <c r="F4821">
        <v>1020</v>
      </c>
      <c r="G4821" t="s">
        <v>28</v>
      </c>
      <c r="H4821">
        <v>2040</v>
      </c>
      <c r="I4821" t="s">
        <v>38</v>
      </c>
      <c r="J4821">
        <v>3040</v>
      </c>
      <c r="K4821" t="s">
        <v>1891</v>
      </c>
      <c r="L4821">
        <v>4188</v>
      </c>
      <c r="M4821" t="s">
        <v>1916</v>
      </c>
      <c r="N4821" t="s">
        <v>721</v>
      </c>
      <c r="O4821">
        <v>12</v>
      </c>
      <c r="P4821">
        <v>7747</v>
      </c>
      <c r="Q4821" t="s">
        <v>944</v>
      </c>
      <c r="R4821" t="s">
        <v>712</v>
      </c>
      <c r="S4821">
        <v>1</v>
      </c>
      <c r="T4821">
        <v>1</v>
      </c>
      <c r="U4821">
        <v>12906.4</v>
      </c>
      <c r="V4821">
        <v>154877</v>
      </c>
    </row>
    <row r="4822" spans="1:22">
      <c r="A4822" t="s">
        <v>196</v>
      </c>
      <c r="B4822">
        <v>88</v>
      </c>
      <c r="C4822" t="s">
        <v>1852</v>
      </c>
      <c r="D4822">
        <v>200</v>
      </c>
      <c r="E4822" t="s">
        <v>1834</v>
      </c>
      <c r="F4822">
        <v>1020</v>
      </c>
      <c r="G4822" t="s">
        <v>28</v>
      </c>
      <c r="H4822">
        <v>2040</v>
      </c>
      <c r="I4822" t="s">
        <v>38</v>
      </c>
      <c r="J4822">
        <v>3040</v>
      </c>
      <c r="K4822" t="s">
        <v>1891</v>
      </c>
      <c r="L4822">
        <v>4188</v>
      </c>
      <c r="M4822" t="s">
        <v>1916</v>
      </c>
      <c r="N4822" t="s">
        <v>721</v>
      </c>
      <c r="O4822">
        <v>12</v>
      </c>
      <c r="P4822">
        <v>7745</v>
      </c>
      <c r="Q4822" t="s">
        <v>945</v>
      </c>
      <c r="R4822" t="s">
        <v>713</v>
      </c>
      <c r="S4822">
        <v>3</v>
      </c>
      <c r="T4822">
        <v>1</v>
      </c>
      <c r="U4822">
        <v>68.260000000000005</v>
      </c>
      <c r="V4822">
        <v>425942</v>
      </c>
    </row>
    <row r="4823" spans="1:22">
      <c r="A4823" t="s">
        <v>196</v>
      </c>
      <c r="B4823">
        <v>88</v>
      </c>
      <c r="C4823" t="s">
        <v>1852</v>
      </c>
      <c r="D4823">
        <v>200</v>
      </c>
      <c r="E4823" t="s">
        <v>1834</v>
      </c>
      <c r="F4823">
        <v>1020</v>
      </c>
      <c r="G4823" t="s">
        <v>28</v>
      </c>
      <c r="H4823">
        <v>2040</v>
      </c>
      <c r="I4823" t="s">
        <v>38</v>
      </c>
      <c r="J4823">
        <v>3040</v>
      </c>
      <c r="K4823" t="s">
        <v>1891</v>
      </c>
      <c r="L4823">
        <v>4188</v>
      </c>
      <c r="M4823" t="s">
        <v>1916</v>
      </c>
      <c r="N4823" t="s">
        <v>721</v>
      </c>
      <c r="O4823">
        <v>12</v>
      </c>
      <c r="P4823">
        <v>7743</v>
      </c>
      <c r="Q4823" t="s">
        <v>946</v>
      </c>
      <c r="R4823" t="s">
        <v>713</v>
      </c>
      <c r="S4823">
        <v>5</v>
      </c>
      <c r="T4823">
        <v>1</v>
      </c>
      <c r="U4823">
        <v>62.05</v>
      </c>
      <c r="V4823">
        <v>645320</v>
      </c>
    </row>
    <row r="4824" spans="1:22">
      <c r="A4824" t="s">
        <v>196</v>
      </c>
      <c r="B4824">
        <v>88</v>
      </c>
      <c r="C4824" t="s">
        <v>1852</v>
      </c>
      <c r="D4824">
        <v>200</v>
      </c>
      <c r="E4824" t="s">
        <v>1834</v>
      </c>
      <c r="F4824">
        <v>1020</v>
      </c>
      <c r="G4824" t="s">
        <v>28</v>
      </c>
      <c r="H4824">
        <v>2040</v>
      </c>
      <c r="I4824" t="s">
        <v>38</v>
      </c>
      <c r="J4824">
        <v>3040</v>
      </c>
      <c r="K4824" t="s">
        <v>1891</v>
      </c>
      <c r="L4824">
        <v>4188</v>
      </c>
      <c r="M4824" t="s">
        <v>1916</v>
      </c>
      <c r="N4824" t="s">
        <v>721</v>
      </c>
      <c r="O4824">
        <v>36</v>
      </c>
      <c r="P4824">
        <v>6676</v>
      </c>
      <c r="Q4824" t="s">
        <v>962</v>
      </c>
      <c r="R4824" t="s">
        <v>713</v>
      </c>
      <c r="S4824">
        <v>1</v>
      </c>
      <c r="T4824">
        <v>1</v>
      </c>
      <c r="U4824">
        <v>64.39</v>
      </c>
      <c r="V4824">
        <v>133931</v>
      </c>
    </row>
    <row r="4825" spans="1:22">
      <c r="A4825" t="s">
        <v>196</v>
      </c>
      <c r="B4825">
        <v>88</v>
      </c>
      <c r="C4825" t="s">
        <v>1852</v>
      </c>
      <c r="D4825">
        <v>200</v>
      </c>
      <c r="E4825" t="s">
        <v>1834</v>
      </c>
      <c r="F4825">
        <v>1020</v>
      </c>
      <c r="G4825" t="s">
        <v>28</v>
      </c>
      <c r="H4825">
        <v>2040</v>
      </c>
      <c r="I4825" t="s">
        <v>38</v>
      </c>
      <c r="J4825">
        <v>3040</v>
      </c>
      <c r="K4825" t="s">
        <v>1891</v>
      </c>
      <c r="L4825">
        <v>4188</v>
      </c>
      <c r="M4825" t="s">
        <v>1916</v>
      </c>
      <c r="N4825" t="s">
        <v>721</v>
      </c>
      <c r="O4825">
        <v>36</v>
      </c>
      <c r="P4825">
        <v>6674</v>
      </c>
      <c r="Q4825" t="s">
        <v>963</v>
      </c>
      <c r="R4825" t="s">
        <v>713</v>
      </c>
      <c r="S4825">
        <v>8</v>
      </c>
      <c r="T4825">
        <v>1</v>
      </c>
      <c r="U4825">
        <v>60.39</v>
      </c>
      <c r="V4825">
        <v>1004890</v>
      </c>
    </row>
    <row r="4826" spans="1:22">
      <c r="A4826" t="s">
        <v>196</v>
      </c>
      <c r="B4826">
        <v>88</v>
      </c>
      <c r="C4826" t="s">
        <v>1852</v>
      </c>
      <c r="D4826">
        <v>200</v>
      </c>
      <c r="E4826" t="s">
        <v>1834</v>
      </c>
      <c r="F4826">
        <v>1020</v>
      </c>
      <c r="G4826" t="s">
        <v>28</v>
      </c>
      <c r="H4826">
        <v>2040</v>
      </c>
      <c r="I4826" t="s">
        <v>38</v>
      </c>
      <c r="J4826">
        <v>3040</v>
      </c>
      <c r="K4826" t="s">
        <v>1891</v>
      </c>
      <c r="L4826">
        <v>4188</v>
      </c>
      <c r="M4826" t="s">
        <v>1916</v>
      </c>
      <c r="N4826" t="s">
        <v>721</v>
      </c>
      <c r="O4826">
        <v>53</v>
      </c>
      <c r="P4826">
        <v>1860</v>
      </c>
      <c r="Q4826" t="s">
        <v>902</v>
      </c>
      <c r="R4826" t="s">
        <v>713</v>
      </c>
      <c r="S4826">
        <v>1</v>
      </c>
      <c r="T4826">
        <v>1</v>
      </c>
      <c r="U4826">
        <v>52.5</v>
      </c>
      <c r="V4826">
        <v>109200</v>
      </c>
    </row>
    <row r="4827" spans="1:22">
      <c r="A4827" t="s">
        <v>196</v>
      </c>
      <c r="B4827">
        <v>88</v>
      </c>
      <c r="C4827" t="s">
        <v>1852</v>
      </c>
      <c r="D4827">
        <v>200</v>
      </c>
      <c r="E4827" t="s">
        <v>1834</v>
      </c>
      <c r="F4827">
        <v>1020</v>
      </c>
      <c r="G4827" t="s">
        <v>28</v>
      </c>
      <c r="H4827">
        <v>2040</v>
      </c>
      <c r="I4827" t="s">
        <v>38</v>
      </c>
      <c r="J4827">
        <v>3040</v>
      </c>
      <c r="K4827" t="s">
        <v>1891</v>
      </c>
      <c r="L4827">
        <v>4188</v>
      </c>
      <c r="M4827" t="s">
        <v>1916</v>
      </c>
      <c r="N4827" t="s">
        <v>199</v>
      </c>
      <c r="O4827">
        <v>0</v>
      </c>
      <c r="P4827">
        <v>12</v>
      </c>
      <c r="Q4827" t="s">
        <v>724</v>
      </c>
      <c r="R4827" t="s">
        <v>201</v>
      </c>
      <c r="S4827">
        <v>0</v>
      </c>
      <c r="T4827">
        <v>0</v>
      </c>
      <c r="U4827">
        <v>38716</v>
      </c>
      <c r="V4827">
        <v>38716</v>
      </c>
    </row>
    <row r="4828" spans="1:22">
      <c r="A4828" t="s">
        <v>196</v>
      </c>
      <c r="B4828">
        <v>88</v>
      </c>
      <c r="C4828" t="s">
        <v>1852</v>
      </c>
      <c r="D4828">
        <v>200</v>
      </c>
      <c r="E4828" t="s">
        <v>1834</v>
      </c>
      <c r="F4828">
        <v>1020</v>
      </c>
      <c r="G4828" t="s">
        <v>28</v>
      </c>
      <c r="H4828">
        <v>2040</v>
      </c>
      <c r="I4828" t="s">
        <v>38</v>
      </c>
      <c r="J4828">
        <v>3040</v>
      </c>
      <c r="K4828" t="s">
        <v>1891</v>
      </c>
      <c r="L4828">
        <v>4198</v>
      </c>
      <c r="M4828" t="s">
        <v>1917</v>
      </c>
      <c r="N4828" t="s">
        <v>721</v>
      </c>
      <c r="O4828">
        <v>23</v>
      </c>
      <c r="P4828">
        <v>7775</v>
      </c>
      <c r="Q4828" t="s">
        <v>1892</v>
      </c>
      <c r="R4828" t="s">
        <v>713</v>
      </c>
      <c r="S4828">
        <v>3</v>
      </c>
      <c r="T4828">
        <v>1</v>
      </c>
      <c r="U4828">
        <v>43.04</v>
      </c>
      <c r="V4828">
        <v>268570</v>
      </c>
    </row>
    <row r="4829" spans="1:22">
      <c r="A4829" t="s">
        <v>196</v>
      </c>
      <c r="B4829">
        <v>88</v>
      </c>
      <c r="C4829" t="s">
        <v>1852</v>
      </c>
      <c r="D4829">
        <v>200</v>
      </c>
      <c r="E4829" t="s">
        <v>1834</v>
      </c>
      <c r="F4829">
        <v>1020</v>
      </c>
      <c r="G4829" t="s">
        <v>28</v>
      </c>
      <c r="H4829">
        <v>2040</v>
      </c>
      <c r="I4829" t="s">
        <v>38</v>
      </c>
      <c r="J4829">
        <v>3040</v>
      </c>
      <c r="K4829" t="s">
        <v>1891</v>
      </c>
      <c r="L4829">
        <v>4198</v>
      </c>
      <c r="M4829" t="s">
        <v>1917</v>
      </c>
      <c r="N4829" t="s">
        <v>721</v>
      </c>
      <c r="O4829">
        <v>12</v>
      </c>
      <c r="P4829">
        <v>7747</v>
      </c>
      <c r="Q4829" t="s">
        <v>944</v>
      </c>
      <c r="R4829" t="s">
        <v>712</v>
      </c>
      <c r="S4829">
        <v>1</v>
      </c>
      <c r="T4829">
        <v>1</v>
      </c>
      <c r="U4829">
        <v>12906.4</v>
      </c>
      <c r="V4829">
        <v>154877</v>
      </c>
    </row>
    <row r="4830" spans="1:22">
      <c r="A4830" t="s">
        <v>196</v>
      </c>
      <c r="B4830">
        <v>88</v>
      </c>
      <c r="C4830" t="s">
        <v>1852</v>
      </c>
      <c r="D4830">
        <v>200</v>
      </c>
      <c r="E4830" t="s">
        <v>1834</v>
      </c>
      <c r="F4830">
        <v>1020</v>
      </c>
      <c r="G4830" t="s">
        <v>28</v>
      </c>
      <c r="H4830">
        <v>2040</v>
      </c>
      <c r="I4830" t="s">
        <v>38</v>
      </c>
      <c r="J4830">
        <v>3040</v>
      </c>
      <c r="K4830" t="s">
        <v>1891</v>
      </c>
      <c r="L4830">
        <v>4198</v>
      </c>
      <c r="M4830" t="s">
        <v>1917</v>
      </c>
      <c r="N4830" t="s">
        <v>721</v>
      </c>
      <c r="O4830">
        <v>12</v>
      </c>
      <c r="P4830">
        <v>7745</v>
      </c>
      <c r="Q4830" t="s">
        <v>945</v>
      </c>
      <c r="R4830" t="s">
        <v>713</v>
      </c>
      <c r="S4830">
        <v>3</v>
      </c>
      <c r="T4830">
        <v>1</v>
      </c>
      <c r="U4830">
        <v>68.260000000000005</v>
      </c>
      <c r="V4830">
        <v>425942</v>
      </c>
    </row>
    <row r="4831" spans="1:22">
      <c r="A4831" t="s">
        <v>196</v>
      </c>
      <c r="B4831">
        <v>88</v>
      </c>
      <c r="C4831" t="s">
        <v>1852</v>
      </c>
      <c r="D4831">
        <v>200</v>
      </c>
      <c r="E4831" t="s">
        <v>1834</v>
      </c>
      <c r="F4831">
        <v>1020</v>
      </c>
      <c r="G4831" t="s">
        <v>28</v>
      </c>
      <c r="H4831">
        <v>2040</v>
      </c>
      <c r="I4831" t="s">
        <v>38</v>
      </c>
      <c r="J4831">
        <v>3040</v>
      </c>
      <c r="K4831" t="s">
        <v>1891</v>
      </c>
      <c r="L4831">
        <v>4198</v>
      </c>
      <c r="M4831" t="s">
        <v>1917</v>
      </c>
      <c r="N4831" t="s">
        <v>721</v>
      </c>
      <c r="O4831">
        <v>12</v>
      </c>
      <c r="P4831">
        <v>7743</v>
      </c>
      <c r="Q4831" t="s">
        <v>946</v>
      </c>
      <c r="R4831" t="s">
        <v>713</v>
      </c>
      <c r="S4831">
        <v>4</v>
      </c>
      <c r="T4831">
        <v>1</v>
      </c>
      <c r="U4831">
        <v>62.05</v>
      </c>
      <c r="V4831">
        <v>516256</v>
      </c>
    </row>
    <row r="4832" spans="1:22">
      <c r="A4832" t="s">
        <v>196</v>
      </c>
      <c r="B4832">
        <v>88</v>
      </c>
      <c r="C4832" t="s">
        <v>1852</v>
      </c>
      <c r="D4832">
        <v>200</v>
      </c>
      <c r="E4832" t="s">
        <v>1834</v>
      </c>
      <c r="F4832">
        <v>1020</v>
      </c>
      <c r="G4832" t="s">
        <v>28</v>
      </c>
      <c r="H4832">
        <v>2040</v>
      </c>
      <c r="I4832" t="s">
        <v>38</v>
      </c>
      <c r="J4832">
        <v>3040</v>
      </c>
      <c r="K4832" t="s">
        <v>1891</v>
      </c>
      <c r="L4832">
        <v>4198</v>
      </c>
      <c r="M4832" t="s">
        <v>1917</v>
      </c>
      <c r="N4832" t="s">
        <v>721</v>
      </c>
      <c r="O4832">
        <v>12</v>
      </c>
      <c r="P4832">
        <v>7741</v>
      </c>
      <c r="Q4832" t="s">
        <v>1897</v>
      </c>
      <c r="R4832" t="s">
        <v>713</v>
      </c>
      <c r="S4832">
        <v>11</v>
      </c>
      <c r="T4832">
        <v>1</v>
      </c>
      <c r="U4832">
        <v>58.95</v>
      </c>
      <c r="V4832">
        <v>1348776</v>
      </c>
    </row>
    <row r="4833" spans="1:22">
      <c r="A4833" t="s">
        <v>196</v>
      </c>
      <c r="B4833">
        <v>88</v>
      </c>
      <c r="C4833" t="s">
        <v>1852</v>
      </c>
      <c r="D4833">
        <v>200</v>
      </c>
      <c r="E4833" t="s">
        <v>1834</v>
      </c>
      <c r="F4833">
        <v>1020</v>
      </c>
      <c r="G4833" t="s">
        <v>28</v>
      </c>
      <c r="H4833">
        <v>2040</v>
      </c>
      <c r="I4833" t="s">
        <v>38</v>
      </c>
      <c r="J4833">
        <v>3040</v>
      </c>
      <c r="K4833" t="s">
        <v>1891</v>
      </c>
      <c r="L4833">
        <v>4198</v>
      </c>
      <c r="M4833" t="s">
        <v>1917</v>
      </c>
      <c r="N4833" t="s">
        <v>199</v>
      </c>
      <c r="O4833">
        <v>0</v>
      </c>
      <c r="P4833">
        <v>12</v>
      </c>
      <c r="Q4833" t="s">
        <v>724</v>
      </c>
      <c r="R4833" t="s">
        <v>201</v>
      </c>
      <c r="S4833">
        <v>0</v>
      </c>
      <c r="T4833">
        <v>0</v>
      </c>
      <c r="U4833">
        <v>40717</v>
      </c>
      <c r="V4833">
        <v>40717</v>
      </c>
    </row>
    <row r="4834" spans="1:22">
      <c r="A4834" t="s">
        <v>196</v>
      </c>
      <c r="B4834">
        <v>88</v>
      </c>
      <c r="C4834" t="s">
        <v>1852</v>
      </c>
      <c r="D4834">
        <v>200</v>
      </c>
      <c r="E4834" t="s">
        <v>1834</v>
      </c>
      <c r="F4834">
        <v>1020</v>
      </c>
      <c r="G4834" t="s">
        <v>28</v>
      </c>
      <c r="H4834">
        <v>2040</v>
      </c>
      <c r="I4834" t="s">
        <v>38</v>
      </c>
      <c r="J4834">
        <v>3040</v>
      </c>
      <c r="K4834" t="s">
        <v>1891</v>
      </c>
      <c r="L4834">
        <v>4208</v>
      </c>
      <c r="M4834" t="s">
        <v>1918</v>
      </c>
      <c r="N4834" t="s">
        <v>721</v>
      </c>
      <c r="O4834">
        <v>12</v>
      </c>
      <c r="P4834">
        <v>7745</v>
      </c>
      <c r="Q4834" t="s">
        <v>945</v>
      </c>
      <c r="R4834" t="s">
        <v>713</v>
      </c>
      <c r="S4834">
        <v>2</v>
      </c>
      <c r="T4834">
        <v>1</v>
      </c>
      <c r="U4834">
        <v>68.260000000000005</v>
      </c>
      <c r="V4834">
        <v>283962</v>
      </c>
    </row>
    <row r="4835" spans="1:22">
      <c r="A4835" t="s">
        <v>196</v>
      </c>
      <c r="B4835">
        <v>88</v>
      </c>
      <c r="C4835" t="s">
        <v>1852</v>
      </c>
      <c r="D4835">
        <v>200</v>
      </c>
      <c r="E4835" t="s">
        <v>1834</v>
      </c>
      <c r="F4835">
        <v>1020</v>
      </c>
      <c r="G4835" t="s">
        <v>28</v>
      </c>
      <c r="H4835">
        <v>2040</v>
      </c>
      <c r="I4835" t="s">
        <v>38</v>
      </c>
      <c r="J4835">
        <v>3040</v>
      </c>
      <c r="K4835" t="s">
        <v>1891</v>
      </c>
      <c r="L4835">
        <v>4208</v>
      </c>
      <c r="M4835" t="s">
        <v>1918</v>
      </c>
      <c r="N4835" t="s">
        <v>721</v>
      </c>
      <c r="O4835">
        <v>12</v>
      </c>
      <c r="P4835">
        <v>7743</v>
      </c>
      <c r="Q4835" t="s">
        <v>946</v>
      </c>
      <c r="R4835" t="s">
        <v>713</v>
      </c>
      <c r="S4835">
        <v>4</v>
      </c>
      <c r="T4835">
        <v>1</v>
      </c>
      <c r="U4835">
        <v>62.05</v>
      </c>
      <c r="V4835">
        <v>516256</v>
      </c>
    </row>
    <row r="4836" spans="1:22">
      <c r="A4836" t="s">
        <v>196</v>
      </c>
      <c r="B4836">
        <v>88</v>
      </c>
      <c r="C4836" t="s">
        <v>1852</v>
      </c>
      <c r="D4836">
        <v>200</v>
      </c>
      <c r="E4836" t="s">
        <v>1834</v>
      </c>
      <c r="F4836">
        <v>1020</v>
      </c>
      <c r="G4836" t="s">
        <v>28</v>
      </c>
      <c r="H4836">
        <v>2040</v>
      </c>
      <c r="I4836" t="s">
        <v>38</v>
      </c>
      <c r="J4836">
        <v>3040</v>
      </c>
      <c r="K4836" t="s">
        <v>1891</v>
      </c>
      <c r="L4836">
        <v>4208</v>
      </c>
      <c r="M4836" t="s">
        <v>1918</v>
      </c>
      <c r="N4836" t="s">
        <v>199</v>
      </c>
      <c r="O4836">
        <v>0</v>
      </c>
      <c r="P4836">
        <v>12</v>
      </c>
      <c r="Q4836" t="s">
        <v>724</v>
      </c>
      <c r="R4836" t="s">
        <v>201</v>
      </c>
      <c r="S4836">
        <v>0</v>
      </c>
      <c r="T4836">
        <v>0</v>
      </c>
      <c r="U4836">
        <v>12003</v>
      </c>
      <c r="V4836">
        <v>12003</v>
      </c>
    </row>
    <row r="4837" spans="1:22">
      <c r="A4837" t="s">
        <v>196</v>
      </c>
      <c r="B4837">
        <v>88</v>
      </c>
      <c r="C4837" t="s">
        <v>1852</v>
      </c>
      <c r="D4837">
        <v>200</v>
      </c>
      <c r="E4837" t="s">
        <v>1834</v>
      </c>
      <c r="F4837">
        <v>1020</v>
      </c>
      <c r="G4837" t="s">
        <v>28</v>
      </c>
      <c r="H4837">
        <v>2040</v>
      </c>
      <c r="I4837" t="s">
        <v>38</v>
      </c>
      <c r="J4837">
        <v>3040</v>
      </c>
      <c r="K4837" t="s">
        <v>1891</v>
      </c>
      <c r="L4837">
        <v>4228</v>
      </c>
      <c r="M4837" t="s">
        <v>1919</v>
      </c>
      <c r="N4837" t="s">
        <v>721</v>
      </c>
      <c r="O4837">
        <v>12</v>
      </c>
      <c r="P4837">
        <v>7747</v>
      </c>
      <c r="Q4837" t="s">
        <v>944</v>
      </c>
      <c r="R4837" t="s">
        <v>712</v>
      </c>
      <c r="S4837">
        <v>1</v>
      </c>
      <c r="T4837">
        <v>1</v>
      </c>
      <c r="U4837">
        <v>12906.4</v>
      </c>
      <c r="V4837">
        <v>154877</v>
      </c>
    </row>
    <row r="4838" spans="1:22">
      <c r="A4838" t="s">
        <v>196</v>
      </c>
      <c r="B4838">
        <v>88</v>
      </c>
      <c r="C4838" t="s">
        <v>1852</v>
      </c>
      <c r="D4838">
        <v>200</v>
      </c>
      <c r="E4838" t="s">
        <v>1834</v>
      </c>
      <c r="F4838">
        <v>1020</v>
      </c>
      <c r="G4838" t="s">
        <v>28</v>
      </c>
      <c r="H4838">
        <v>2040</v>
      </c>
      <c r="I4838" t="s">
        <v>38</v>
      </c>
      <c r="J4838">
        <v>3040</v>
      </c>
      <c r="K4838" t="s">
        <v>1891</v>
      </c>
      <c r="L4838">
        <v>4228</v>
      </c>
      <c r="M4838" t="s">
        <v>1919</v>
      </c>
      <c r="N4838" t="s">
        <v>721</v>
      </c>
      <c r="O4838">
        <v>12</v>
      </c>
      <c r="P4838">
        <v>7745</v>
      </c>
      <c r="Q4838" t="s">
        <v>945</v>
      </c>
      <c r="R4838" t="s">
        <v>713</v>
      </c>
      <c r="S4838">
        <v>4</v>
      </c>
      <c r="T4838">
        <v>1</v>
      </c>
      <c r="U4838">
        <v>68.260000000000005</v>
      </c>
      <c r="V4838">
        <v>567923</v>
      </c>
    </row>
    <row r="4839" spans="1:22">
      <c r="A4839" t="s">
        <v>196</v>
      </c>
      <c r="B4839">
        <v>88</v>
      </c>
      <c r="C4839" t="s">
        <v>1852</v>
      </c>
      <c r="D4839">
        <v>200</v>
      </c>
      <c r="E4839" t="s">
        <v>1834</v>
      </c>
      <c r="F4839">
        <v>1020</v>
      </c>
      <c r="G4839" t="s">
        <v>28</v>
      </c>
      <c r="H4839">
        <v>2040</v>
      </c>
      <c r="I4839" t="s">
        <v>38</v>
      </c>
      <c r="J4839">
        <v>3040</v>
      </c>
      <c r="K4839" t="s">
        <v>1891</v>
      </c>
      <c r="L4839">
        <v>4228</v>
      </c>
      <c r="M4839" t="s">
        <v>1919</v>
      </c>
      <c r="N4839" t="s">
        <v>721</v>
      </c>
      <c r="O4839">
        <v>12</v>
      </c>
      <c r="P4839">
        <v>7743</v>
      </c>
      <c r="Q4839" t="s">
        <v>946</v>
      </c>
      <c r="R4839" t="s">
        <v>713</v>
      </c>
      <c r="S4839">
        <v>5</v>
      </c>
      <c r="T4839">
        <v>1</v>
      </c>
      <c r="U4839">
        <v>62.05</v>
      </c>
      <c r="V4839">
        <v>645320</v>
      </c>
    </row>
    <row r="4840" spans="1:22">
      <c r="A4840" t="s">
        <v>196</v>
      </c>
      <c r="B4840">
        <v>88</v>
      </c>
      <c r="C4840" t="s">
        <v>1852</v>
      </c>
      <c r="D4840">
        <v>200</v>
      </c>
      <c r="E4840" t="s">
        <v>1834</v>
      </c>
      <c r="F4840">
        <v>1020</v>
      </c>
      <c r="G4840" t="s">
        <v>28</v>
      </c>
      <c r="H4840">
        <v>2040</v>
      </c>
      <c r="I4840" t="s">
        <v>38</v>
      </c>
      <c r="J4840">
        <v>3040</v>
      </c>
      <c r="K4840" t="s">
        <v>1891</v>
      </c>
      <c r="L4840">
        <v>4228</v>
      </c>
      <c r="M4840" t="s">
        <v>1919</v>
      </c>
      <c r="N4840" t="s">
        <v>721</v>
      </c>
      <c r="O4840">
        <v>12</v>
      </c>
      <c r="P4840">
        <v>7741</v>
      </c>
      <c r="Q4840" t="s">
        <v>1897</v>
      </c>
      <c r="R4840" t="s">
        <v>713</v>
      </c>
      <c r="S4840">
        <v>3</v>
      </c>
      <c r="T4840">
        <v>1</v>
      </c>
      <c r="U4840">
        <v>58.95</v>
      </c>
      <c r="V4840">
        <v>367848</v>
      </c>
    </row>
    <row r="4841" spans="1:22">
      <c r="A4841" t="s">
        <v>196</v>
      </c>
      <c r="B4841">
        <v>88</v>
      </c>
      <c r="C4841" t="s">
        <v>1852</v>
      </c>
      <c r="D4841">
        <v>200</v>
      </c>
      <c r="E4841" t="s">
        <v>1834</v>
      </c>
      <c r="F4841">
        <v>1020</v>
      </c>
      <c r="G4841" t="s">
        <v>28</v>
      </c>
      <c r="H4841">
        <v>2040</v>
      </c>
      <c r="I4841" t="s">
        <v>38</v>
      </c>
      <c r="J4841">
        <v>3040</v>
      </c>
      <c r="K4841" t="s">
        <v>1891</v>
      </c>
      <c r="L4841">
        <v>4228</v>
      </c>
      <c r="M4841" t="s">
        <v>1919</v>
      </c>
      <c r="N4841" t="s">
        <v>721</v>
      </c>
      <c r="O4841">
        <v>45</v>
      </c>
      <c r="P4841">
        <v>4223</v>
      </c>
      <c r="Q4841" t="s">
        <v>942</v>
      </c>
      <c r="R4841" t="s">
        <v>713</v>
      </c>
      <c r="S4841">
        <v>1</v>
      </c>
      <c r="T4841">
        <v>1</v>
      </c>
      <c r="U4841">
        <v>26.05</v>
      </c>
      <c r="V4841">
        <v>54184</v>
      </c>
    </row>
    <row r="4842" spans="1:22">
      <c r="A4842" t="s">
        <v>196</v>
      </c>
      <c r="B4842">
        <v>88</v>
      </c>
      <c r="C4842" t="s">
        <v>1852</v>
      </c>
      <c r="D4842">
        <v>200</v>
      </c>
      <c r="E4842" t="s">
        <v>1834</v>
      </c>
      <c r="F4842">
        <v>1020</v>
      </c>
      <c r="G4842" t="s">
        <v>28</v>
      </c>
      <c r="H4842">
        <v>2040</v>
      </c>
      <c r="I4842" t="s">
        <v>38</v>
      </c>
      <c r="J4842">
        <v>3040</v>
      </c>
      <c r="K4842" t="s">
        <v>1891</v>
      </c>
      <c r="L4842">
        <v>4228</v>
      </c>
      <c r="M4842" t="s">
        <v>1919</v>
      </c>
      <c r="N4842" t="s">
        <v>199</v>
      </c>
      <c r="O4842">
        <v>0</v>
      </c>
      <c r="P4842">
        <v>12</v>
      </c>
      <c r="Q4842" t="s">
        <v>724</v>
      </c>
      <c r="R4842" t="s">
        <v>201</v>
      </c>
      <c r="S4842">
        <v>0</v>
      </c>
      <c r="T4842">
        <v>0</v>
      </c>
      <c r="U4842">
        <v>26853</v>
      </c>
      <c r="V4842">
        <v>26853</v>
      </c>
    </row>
    <row r="4843" spans="1:22">
      <c r="A4843" t="s">
        <v>196</v>
      </c>
      <c r="B4843">
        <v>88</v>
      </c>
      <c r="C4843" t="s">
        <v>1852</v>
      </c>
      <c r="D4843">
        <v>200</v>
      </c>
      <c r="E4843" t="s">
        <v>1834</v>
      </c>
      <c r="F4843">
        <v>1020</v>
      </c>
      <c r="G4843" t="s">
        <v>28</v>
      </c>
      <c r="H4843">
        <v>2040</v>
      </c>
      <c r="I4843" t="s">
        <v>38</v>
      </c>
      <c r="J4843">
        <v>3040</v>
      </c>
      <c r="K4843" t="s">
        <v>1891</v>
      </c>
      <c r="L4843">
        <v>4238</v>
      </c>
      <c r="M4843" t="s">
        <v>1920</v>
      </c>
      <c r="N4843" t="s">
        <v>721</v>
      </c>
      <c r="O4843">
        <v>12</v>
      </c>
      <c r="P4843">
        <v>7747</v>
      </c>
      <c r="Q4843" t="s">
        <v>944</v>
      </c>
      <c r="R4843" t="s">
        <v>712</v>
      </c>
      <c r="S4843">
        <v>1</v>
      </c>
      <c r="T4843">
        <v>1</v>
      </c>
      <c r="U4843">
        <v>12906.4</v>
      </c>
      <c r="V4843">
        <v>154877</v>
      </c>
    </row>
    <row r="4844" spans="1:22">
      <c r="A4844" t="s">
        <v>196</v>
      </c>
      <c r="B4844">
        <v>88</v>
      </c>
      <c r="C4844" t="s">
        <v>1852</v>
      </c>
      <c r="D4844">
        <v>200</v>
      </c>
      <c r="E4844" t="s">
        <v>1834</v>
      </c>
      <c r="F4844">
        <v>1020</v>
      </c>
      <c r="G4844" t="s">
        <v>28</v>
      </c>
      <c r="H4844">
        <v>2040</v>
      </c>
      <c r="I4844" t="s">
        <v>38</v>
      </c>
      <c r="J4844">
        <v>3040</v>
      </c>
      <c r="K4844" t="s">
        <v>1891</v>
      </c>
      <c r="L4844">
        <v>4238</v>
      </c>
      <c r="M4844" t="s">
        <v>1920</v>
      </c>
      <c r="N4844" t="s">
        <v>721</v>
      </c>
      <c r="O4844">
        <v>12</v>
      </c>
      <c r="P4844">
        <v>7745</v>
      </c>
      <c r="Q4844" t="s">
        <v>945</v>
      </c>
      <c r="R4844" t="s">
        <v>713</v>
      </c>
      <c r="S4844">
        <v>4</v>
      </c>
      <c r="T4844">
        <v>1</v>
      </c>
      <c r="U4844">
        <v>68.260000000000005</v>
      </c>
      <c r="V4844">
        <v>567923</v>
      </c>
    </row>
    <row r="4845" spans="1:22">
      <c r="A4845" t="s">
        <v>196</v>
      </c>
      <c r="B4845">
        <v>88</v>
      </c>
      <c r="C4845" t="s">
        <v>1852</v>
      </c>
      <c r="D4845">
        <v>200</v>
      </c>
      <c r="E4845" t="s">
        <v>1834</v>
      </c>
      <c r="F4845">
        <v>1020</v>
      </c>
      <c r="G4845" t="s">
        <v>28</v>
      </c>
      <c r="H4845">
        <v>2040</v>
      </c>
      <c r="I4845" t="s">
        <v>38</v>
      </c>
      <c r="J4845">
        <v>3040</v>
      </c>
      <c r="K4845" t="s">
        <v>1891</v>
      </c>
      <c r="L4845">
        <v>4238</v>
      </c>
      <c r="M4845" t="s">
        <v>1920</v>
      </c>
      <c r="N4845" t="s">
        <v>721</v>
      </c>
      <c r="O4845">
        <v>12</v>
      </c>
      <c r="P4845">
        <v>7741</v>
      </c>
      <c r="Q4845" t="s">
        <v>1897</v>
      </c>
      <c r="R4845" t="s">
        <v>713</v>
      </c>
      <c r="S4845">
        <v>1</v>
      </c>
      <c r="T4845">
        <v>1</v>
      </c>
      <c r="U4845">
        <v>58.95</v>
      </c>
      <c r="V4845">
        <v>122616</v>
      </c>
    </row>
    <row r="4846" spans="1:22">
      <c r="A4846" t="s">
        <v>196</v>
      </c>
      <c r="B4846">
        <v>88</v>
      </c>
      <c r="C4846" t="s">
        <v>1852</v>
      </c>
      <c r="D4846">
        <v>200</v>
      </c>
      <c r="E4846" t="s">
        <v>1834</v>
      </c>
      <c r="F4846">
        <v>1020</v>
      </c>
      <c r="G4846" t="s">
        <v>28</v>
      </c>
      <c r="H4846">
        <v>2040</v>
      </c>
      <c r="I4846" t="s">
        <v>38</v>
      </c>
      <c r="J4846">
        <v>3040</v>
      </c>
      <c r="K4846" t="s">
        <v>1891</v>
      </c>
      <c r="L4846">
        <v>4238</v>
      </c>
      <c r="M4846" t="s">
        <v>1920</v>
      </c>
      <c r="N4846" t="s">
        <v>199</v>
      </c>
      <c r="O4846">
        <v>0</v>
      </c>
      <c r="P4846">
        <v>12</v>
      </c>
      <c r="Q4846" t="s">
        <v>724</v>
      </c>
      <c r="R4846" t="s">
        <v>201</v>
      </c>
      <c r="S4846">
        <v>0</v>
      </c>
      <c r="T4846">
        <v>0</v>
      </c>
      <c r="U4846">
        <v>12681</v>
      </c>
      <c r="V4846">
        <v>12681</v>
      </c>
    </row>
    <row r="4847" spans="1:22">
      <c r="A4847" t="s">
        <v>196</v>
      </c>
      <c r="B4847">
        <v>88</v>
      </c>
      <c r="C4847" t="s">
        <v>1852</v>
      </c>
      <c r="D4847">
        <v>200</v>
      </c>
      <c r="E4847" t="s">
        <v>1834</v>
      </c>
      <c r="F4847">
        <v>1020</v>
      </c>
      <c r="G4847" t="s">
        <v>28</v>
      </c>
      <c r="H4847">
        <v>2040</v>
      </c>
      <c r="I4847" t="s">
        <v>38</v>
      </c>
      <c r="J4847">
        <v>3040</v>
      </c>
      <c r="K4847" t="s">
        <v>1891</v>
      </c>
      <c r="L4847">
        <v>4300</v>
      </c>
      <c r="M4847" t="s">
        <v>1921</v>
      </c>
      <c r="N4847" t="s">
        <v>721</v>
      </c>
      <c r="O4847">
        <v>12</v>
      </c>
      <c r="P4847">
        <v>7747</v>
      </c>
      <c r="Q4847" t="s">
        <v>944</v>
      </c>
      <c r="R4847" t="s">
        <v>712</v>
      </c>
      <c r="S4847">
        <v>1</v>
      </c>
      <c r="T4847">
        <v>1</v>
      </c>
      <c r="U4847">
        <v>12906.4</v>
      </c>
      <c r="V4847">
        <v>154877</v>
      </c>
    </row>
    <row r="4848" spans="1:22">
      <c r="A4848" t="s">
        <v>196</v>
      </c>
      <c r="B4848">
        <v>88</v>
      </c>
      <c r="C4848" t="s">
        <v>1852</v>
      </c>
      <c r="D4848">
        <v>200</v>
      </c>
      <c r="E4848" t="s">
        <v>1834</v>
      </c>
      <c r="F4848">
        <v>1020</v>
      </c>
      <c r="G4848" t="s">
        <v>28</v>
      </c>
      <c r="H4848">
        <v>2040</v>
      </c>
      <c r="I4848" t="s">
        <v>38</v>
      </c>
      <c r="J4848">
        <v>3040</v>
      </c>
      <c r="K4848" t="s">
        <v>1891</v>
      </c>
      <c r="L4848">
        <v>4300</v>
      </c>
      <c r="M4848" t="s">
        <v>1921</v>
      </c>
      <c r="N4848" t="s">
        <v>721</v>
      </c>
      <c r="O4848">
        <v>12</v>
      </c>
      <c r="P4848">
        <v>7745</v>
      </c>
      <c r="Q4848" t="s">
        <v>945</v>
      </c>
      <c r="R4848" t="s">
        <v>713</v>
      </c>
      <c r="S4848">
        <v>5</v>
      </c>
      <c r="T4848">
        <v>1</v>
      </c>
      <c r="U4848">
        <v>68.260000000000005</v>
      </c>
      <c r="V4848">
        <v>709904</v>
      </c>
    </row>
    <row r="4849" spans="1:22">
      <c r="A4849" t="s">
        <v>196</v>
      </c>
      <c r="B4849">
        <v>88</v>
      </c>
      <c r="C4849" t="s">
        <v>1852</v>
      </c>
      <c r="D4849">
        <v>200</v>
      </c>
      <c r="E4849" t="s">
        <v>1834</v>
      </c>
      <c r="F4849">
        <v>1020</v>
      </c>
      <c r="G4849" t="s">
        <v>28</v>
      </c>
      <c r="H4849">
        <v>2040</v>
      </c>
      <c r="I4849" t="s">
        <v>38</v>
      </c>
      <c r="J4849">
        <v>3040</v>
      </c>
      <c r="K4849" t="s">
        <v>1891</v>
      </c>
      <c r="L4849">
        <v>4300</v>
      </c>
      <c r="M4849" t="s">
        <v>1921</v>
      </c>
      <c r="N4849" t="s">
        <v>721</v>
      </c>
      <c r="O4849">
        <v>12</v>
      </c>
      <c r="P4849">
        <v>7743</v>
      </c>
      <c r="Q4849" t="s">
        <v>946</v>
      </c>
      <c r="R4849" t="s">
        <v>713</v>
      </c>
      <c r="S4849">
        <v>4</v>
      </c>
      <c r="T4849">
        <v>1</v>
      </c>
      <c r="U4849">
        <v>62.05</v>
      </c>
      <c r="V4849">
        <v>516256</v>
      </c>
    </row>
    <row r="4850" spans="1:22">
      <c r="A4850" t="s">
        <v>196</v>
      </c>
      <c r="B4850">
        <v>88</v>
      </c>
      <c r="C4850" t="s">
        <v>1852</v>
      </c>
      <c r="D4850">
        <v>200</v>
      </c>
      <c r="E4850" t="s">
        <v>1834</v>
      </c>
      <c r="F4850">
        <v>1020</v>
      </c>
      <c r="G4850" t="s">
        <v>28</v>
      </c>
      <c r="H4850">
        <v>2040</v>
      </c>
      <c r="I4850" t="s">
        <v>38</v>
      </c>
      <c r="J4850">
        <v>3040</v>
      </c>
      <c r="K4850" t="s">
        <v>1891</v>
      </c>
      <c r="L4850">
        <v>4300</v>
      </c>
      <c r="M4850" t="s">
        <v>1921</v>
      </c>
      <c r="N4850" t="s">
        <v>721</v>
      </c>
      <c r="O4850">
        <v>12</v>
      </c>
      <c r="P4850">
        <v>7741</v>
      </c>
      <c r="Q4850" t="s">
        <v>1897</v>
      </c>
      <c r="R4850" t="s">
        <v>713</v>
      </c>
      <c r="S4850">
        <v>13</v>
      </c>
      <c r="T4850">
        <v>1</v>
      </c>
      <c r="U4850">
        <v>58.95</v>
      </c>
      <c r="V4850">
        <v>1594008</v>
      </c>
    </row>
    <row r="4851" spans="1:22">
      <c r="A4851" t="s">
        <v>196</v>
      </c>
      <c r="B4851">
        <v>88</v>
      </c>
      <c r="C4851" t="s">
        <v>1852</v>
      </c>
      <c r="D4851">
        <v>200</v>
      </c>
      <c r="E4851" t="s">
        <v>1834</v>
      </c>
      <c r="F4851">
        <v>1020</v>
      </c>
      <c r="G4851" t="s">
        <v>28</v>
      </c>
      <c r="H4851">
        <v>2040</v>
      </c>
      <c r="I4851" t="s">
        <v>38</v>
      </c>
      <c r="J4851">
        <v>3040</v>
      </c>
      <c r="K4851" t="s">
        <v>1891</v>
      </c>
      <c r="L4851">
        <v>4300</v>
      </c>
      <c r="M4851" t="s">
        <v>1921</v>
      </c>
      <c r="N4851" t="s">
        <v>721</v>
      </c>
      <c r="O4851">
        <v>32</v>
      </c>
      <c r="P4851">
        <v>5042</v>
      </c>
      <c r="Q4851" t="s">
        <v>965</v>
      </c>
      <c r="R4851" t="s">
        <v>712</v>
      </c>
      <c r="S4851">
        <v>1</v>
      </c>
      <c r="T4851">
        <v>1</v>
      </c>
      <c r="U4851">
        <v>11511.5</v>
      </c>
      <c r="V4851">
        <v>138138</v>
      </c>
    </row>
    <row r="4852" spans="1:22">
      <c r="A4852" t="s">
        <v>196</v>
      </c>
      <c r="B4852">
        <v>88</v>
      </c>
      <c r="C4852" t="s">
        <v>1852</v>
      </c>
      <c r="D4852">
        <v>200</v>
      </c>
      <c r="E4852" t="s">
        <v>1834</v>
      </c>
      <c r="F4852">
        <v>1020</v>
      </c>
      <c r="G4852" t="s">
        <v>28</v>
      </c>
      <c r="H4852">
        <v>2040</v>
      </c>
      <c r="I4852" t="s">
        <v>38</v>
      </c>
      <c r="J4852">
        <v>3040</v>
      </c>
      <c r="K4852" t="s">
        <v>1891</v>
      </c>
      <c r="L4852">
        <v>4300</v>
      </c>
      <c r="M4852" t="s">
        <v>1921</v>
      </c>
      <c r="N4852" t="s">
        <v>721</v>
      </c>
      <c r="O4852">
        <v>32</v>
      </c>
      <c r="P4852">
        <v>5040</v>
      </c>
      <c r="Q4852" t="s">
        <v>966</v>
      </c>
      <c r="R4852" t="s">
        <v>713</v>
      </c>
      <c r="S4852">
        <v>2</v>
      </c>
      <c r="T4852">
        <v>1</v>
      </c>
      <c r="U4852">
        <v>63.53</v>
      </c>
      <c r="V4852">
        <v>264285</v>
      </c>
    </row>
    <row r="4853" spans="1:22">
      <c r="A4853" t="s">
        <v>196</v>
      </c>
      <c r="B4853">
        <v>88</v>
      </c>
      <c r="C4853" t="s">
        <v>1852</v>
      </c>
      <c r="D4853">
        <v>200</v>
      </c>
      <c r="E4853" t="s">
        <v>1834</v>
      </c>
      <c r="F4853">
        <v>1020</v>
      </c>
      <c r="G4853" t="s">
        <v>28</v>
      </c>
      <c r="H4853">
        <v>2040</v>
      </c>
      <c r="I4853" t="s">
        <v>38</v>
      </c>
      <c r="J4853">
        <v>3040</v>
      </c>
      <c r="K4853" t="s">
        <v>1891</v>
      </c>
      <c r="L4853">
        <v>4300</v>
      </c>
      <c r="M4853" t="s">
        <v>1921</v>
      </c>
      <c r="N4853" t="s">
        <v>721</v>
      </c>
      <c r="O4853">
        <v>32</v>
      </c>
      <c r="P4853">
        <v>5035</v>
      </c>
      <c r="Q4853" t="s">
        <v>967</v>
      </c>
      <c r="R4853" t="s">
        <v>713</v>
      </c>
      <c r="S4853">
        <v>19</v>
      </c>
      <c r="T4853">
        <v>1</v>
      </c>
      <c r="U4853">
        <v>57.75</v>
      </c>
      <c r="V4853">
        <v>2282280</v>
      </c>
    </row>
    <row r="4854" spans="1:22">
      <c r="A4854" t="s">
        <v>196</v>
      </c>
      <c r="B4854">
        <v>88</v>
      </c>
      <c r="C4854" t="s">
        <v>1852</v>
      </c>
      <c r="D4854">
        <v>200</v>
      </c>
      <c r="E4854" t="s">
        <v>1834</v>
      </c>
      <c r="F4854">
        <v>1020</v>
      </c>
      <c r="G4854" t="s">
        <v>28</v>
      </c>
      <c r="H4854">
        <v>2040</v>
      </c>
      <c r="I4854" t="s">
        <v>38</v>
      </c>
      <c r="J4854">
        <v>3040</v>
      </c>
      <c r="K4854" t="s">
        <v>1891</v>
      </c>
      <c r="L4854">
        <v>4300</v>
      </c>
      <c r="M4854" t="s">
        <v>1921</v>
      </c>
      <c r="N4854" t="s">
        <v>721</v>
      </c>
      <c r="O4854">
        <v>39</v>
      </c>
      <c r="P4854">
        <v>4634</v>
      </c>
      <c r="Q4854" t="s">
        <v>977</v>
      </c>
      <c r="R4854" t="s">
        <v>713</v>
      </c>
      <c r="S4854">
        <v>1</v>
      </c>
      <c r="T4854">
        <v>1</v>
      </c>
      <c r="U4854">
        <v>54.3</v>
      </c>
      <c r="V4854">
        <v>112944</v>
      </c>
    </row>
    <row r="4855" spans="1:22">
      <c r="A4855" t="s">
        <v>196</v>
      </c>
      <c r="B4855">
        <v>88</v>
      </c>
      <c r="C4855" t="s">
        <v>1852</v>
      </c>
      <c r="D4855">
        <v>200</v>
      </c>
      <c r="E4855" t="s">
        <v>1834</v>
      </c>
      <c r="F4855">
        <v>1020</v>
      </c>
      <c r="G4855" t="s">
        <v>28</v>
      </c>
      <c r="H4855">
        <v>2040</v>
      </c>
      <c r="I4855" t="s">
        <v>38</v>
      </c>
      <c r="J4855">
        <v>3040</v>
      </c>
      <c r="K4855" t="s">
        <v>1891</v>
      </c>
      <c r="L4855">
        <v>4300</v>
      </c>
      <c r="M4855" t="s">
        <v>1921</v>
      </c>
      <c r="N4855" t="s">
        <v>199</v>
      </c>
      <c r="O4855">
        <v>0</v>
      </c>
      <c r="P4855">
        <v>12</v>
      </c>
      <c r="Q4855" t="s">
        <v>724</v>
      </c>
      <c r="R4855" t="s">
        <v>201</v>
      </c>
      <c r="S4855">
        <v>0</v>
      </c>
      <c r="T4855">
        <v>0</v>
      </c>
      <c r="U4855">
        <v>86590</v>
      </c>
      <c r="V4855">
        <v>86590</v>
      </c>
    </row>
    <row r="4856" spans="1:22">
      <c r="A4856" t="s">
        <v>196</v>
      </c>
      <c r="B4856">
        <v>88</v>
      </c>
      <c r="C4856" t="s">
        <v>1852</v>
      </c>
      <c r="D4856">
        <v>200</v>
      </c>
      <c r="E4856" t="s">
        <v>1834</v>
      </c>
      <c r="F4856">
        <v>1025</v>
      </c>
      <c r="G4856" t="s">
        <v>5</v>
      </c>
      <c r="H4856">
        <v>2025</v>
      </c>
      <c r="I4856" t="s">
        <v>5</v>
      </c>
      <c r="J4856">
        <v>3249</v>
      </c>
      <c r="K4856" t="s">
        <v>1853</v>
      </c>
      <c r="L4856">
        <v>4005</v>
      </c>
      <c r="M4856" t="s">
        <v>1922</v>
      </c>
      <c r="N4856" t="s">
        <v>1294</v>
      </c>
      <c r="O4856">
        <v>0</v>
      </c>
      <c r="P4856">
        <v>9681</v>
      </c>
      <c r="Q4856" t="s">
        <v>338</v>
      </c>
      <c r="R4856" t="s">
        <v>201</v>
      </c>
      <c r="S4856">
        <v>1</v>
      </c>
      <c r="T4856">
        <v>1</v>
      </c>
      <c r="U4856">
        <v>172920</v>
      </c>
      <c r="V4856">
        <v>172920</v>
      </c>
    </row>
    <row r="4857" spans="1:22">
      <c r="A4857" t="s">
        <v>196</v>
      </c>
      <c r="B4857">
        <v>88</v>
      </c>
      <c r="C4857" t="s">
        <v>1852</v>
      </c>
      <c r="D4857">
        <v>200</v>
      </c>
      <c r="E4857" t="s">
        <v>1834</v>
      </c>
      <c r="F4857">
        <v>1025</v>
      </c>
      <c r="G4857" t="s">
        <v>5</v>
      </c>
      <c r="H4857">
        <v>2025</v>
      </c>
      <c r="I4857" t="s">
        <v>5</v>
      </c>
      <c r="J4857">
        <v>3249</v>
      </c>
      <c r="K4857" t="s">
        <v>1853</v>
      </c>
      <c r="L4857">
        <v>4005</v>
      </c>
      <c r="M4857" t="s">
        <v>1922</v>
      </c>
      <c r="N4857" t="s">
        <v>1719</v>
      </c>
      <c r="O4857">
        <v>10</v>
      </c>
      <c r="P4857">
        <v>5985</v>
      </c>
      <c r="Q4857" t="s">
        <v>1923</v>
      </c>
      <c r="R4857" t="s">
        <v>201</v>
      </c>
      <c r="S4857">
        <v>1</v>
      </c>
      <c r="T4857">
        <v>1</v>
      </c>
      <c r="U4857">
        <v>112440</v>
      </c>
      <c r="V4857">
        <v>112440</v>
      </c>
    </row>
    <row r="4858" spans="1:22">
      <c r="A4858" t="s">
        <v>196</v>
      </c>
      <c r="B4858">
        <v>88</v>
      </c>
      <c r="C4858" t="s">
        <v>1852</v>
      </c>
      <c r="D4858">
        <v>200</v>
      </c>
      <c r="E4858" t="s">
        <v>1834</v>
      </c>
      <c r="F4858">
        <v>1025</v>
      </c>
      <c r="G4858" t="s">
        <v>5</v>
      </c>
      <c r="H4858">
        <v>2025</v>
      </c>
      <c r="I4858" t="s">
        <v>5</v>
      </c>
      <c r="J4858">
        <v>3249</v>
      </c>
      <c r="K4858" t="s">
        <v>1853</v>
      </c>
      <c r="L4858">
        <v>4005</v>
      </c>
      <c r="M4858" t="s">
        <v>1922</v>
      </c>
      <c r="N4858" t="s">
        <v>247</v>
      </c>
      <c r="O4858">
        <v>10</v>
      </c>
      <c r="P4858">
        <v>803</v>
      </c>
      <c r="Q4858" t="s">
        <v>1924</v>
      </c>
      <c r="R4858" t="s">
        <v>201</v>
      </c>
      <c r="S4858">
        <v>1</v>
      </c>
      <c r="T4858">
        <v>1</v>
      </c>
      <c r="U4858">
        <v>83448</v>
      </c>
      <c r="V4858">
        <v>83448</v>
      </c>
    </row>
    <row r="4859" spans="1:22">
      <c r="A4859" t="s">
        <v>196</v>
      </c>
      <c r="B4859">
        <v>88</v>
      </c>
      <c r="C4859" t="s">
        <v>1852</v>
      </c>
      <c r="D4859">
        <v>200</v>
      </c>
      <c r="E4859" t="s">
        <v>1834</v>
      </c>
      <c r="F4859">
        <v>1025</v>
      </c>
      <c r="G4859" t="s">
        <v>5</v>
      </c>
      <c r="H4859">
        <v>2025</v>
      </c>
      <c r="I4859" t="s">
        <v>5</v>
      </c>
      <c r="J4859">
        <v>3249</v>
      </c>
      <c r="K4859" t="s">
        <v>1853</v>
      </c>
      <c r="L4859">
        <v>4005</v>
      </c>
      <c r="M4859" t="s">
        <v>1922</v>
      </c>
      <c r="N4859" t="s">
        <v>247</v>
      </c>
      <c r="O4859">
        <v>20</v>
      </c>
      <c r="P4859">
        <v>366</v>
      </c>
      <c r="Q4859" t="s">
        <v>604</v>
      </c>
      <c r="R4859" t="s">
        <v>201</v>
      </c>
      <c r="S4859">
        <v>1</v>
      </c>
      <c r="T4859">
        <v>1</v>
      </c>
      <c r="U4859">
        <v>57852</v>
      </c>
      <c r="V4859">
        <v>57852</v>
      </c>
    </row>
    <row r="4860" spans="1:22">
      <c r="A4860" t="s">
        <v>196</v>
      </c>
      <c r="B4860">
        <v>88</v>
      </c>
      <c r="C4860" t="s">
        <v>1852</v>
      </c>
      <c r="D4860">
        <v>200</v>
      </c>
      <c r="E4860" t="s">
        <v>1834</v>
      </c>
      <c r="F4860">
        <v>1025</v>
      </c>
      <c r="G4860" t="s">
        <v>5</v>
      </c>
      <c r="H4860">
        <v>2025</v>
      </c>
      <c r="I4860" t="s">
        <v>5</v>
      </c>
      <c r="J4860">
        <v>3249</v>
      </c>
      <c r="K4860" t="s">
        <v>1853</v>
      </c>
      <c r="L4860">
        <v>4005</v>
      </c>
      <c r="M4860" t="s">
        <v>1922</v>
      </c>
      <c r="N4860" t="s">
        <v>268</v>
      </c>
      <c r="O4860">
        <v>10</v>
      </c>
      <c r="P4860">
        <v>321</v>
      </c>
      <c r="Q4860" t="s">
        <v>897</v>
      </c>
      <c r="R4860" t="s">
        <v>201</v>
      </c>
      <c r="S4860">
        <v>1</v>
      </c>
      <c r="T4860">
        <v>1</v>
      </c>
      <c r="U4860">
        <v>98832</v>
      </c>
      <c r="V4860">
        <v>98832</v>
      </c>
    </row>
    <row r="4861" spans="1:22">
      <c r="A4861" t="s">
        <v>196</v>
      </c>
      <c r="B4861">
        <v>88</v>
      </c>
      <c r="C4861" t="s">
        <v>1852</v>
      </c>
      <c r="D4861">
        <v>200</v>
      </c>
      <c r="E4861" t="s">
        <v>1834</v>
      </c>
      <c r="F4861">
        <v>1025</v>
      </c>
      <c r="G4861" t="s">
        <v>5</v>
      </c>
      <c r="H4861">
        <v>2025</v>
      </c>
      <c r="I4861" t="s">
        <v>5</v>
      </c>
      <c r="J4861">
        <v>3249</v>
      </c>
      <c r="K4861" t="s">
        <v>1853</v>
      </c>
      <c r="L4861">
        <v>4005</v>
      </c>
      <c r="M4861" t="s">
        <v>1922</v>
      </c>
      <c r="N4861" t="s">
        <v>360</v>
      </c>
      <c r="O4861">
        <v>1</v>
      </c>
      <c r="P4861">
        <v>109</v>
      </c>
      <c r="Q4861" t="s">
        <v>361</v>
      </c>
      <c r="R4861" t="s">
        <v>201</v>
      </c>
      <c r="S4861">
        <v>1</v>
      </c>
      <c r="T4861">
        <v>1</v>
      </c>
      <c r="U4861">
        <v>57000</v>
      </c>
      <c r="V4861">
        <v>57000</v>
      </c>
    </row>
    <row r="4862" spans="1:22">
      <c r="A4862" t="s">
        <v>196</v>
      </c>
      <c r="B4862">
        <v>88</v>
      </c>
      <c r="C4862" t="s">
        <v>1852</v>
      </c>
      <c r="D4862">
        <v>200</v>
      </c>
      <c r="E4862" t="s">
        <v>1834</v>
      </c>
      <c r="F4862">
        <v>1025</v>
      </c>
      <c r="G4862" t="s">
        <v>5</v>
      </c>
      <c r="H4862">
        <v>2025</v>
      </c>
      <c r="I4862" t="s">
        <v>5</v>
      </c>
      <c r="J4862">
        <v>3249</v>
      </c>
      <c r="K4862" t="s">
        <v>1853</v>
      </c>
      <c r="L4862">
        <v>4005</v>
      </c>
      <c r="M4862" t="s">
        <v>1922</v>
      </c>
      <c r="N4862" t="s">
        <v>199</v>
      </c>
      <c r="O4862">
        <v>0</v>
      </c>
      <c r="P4862">
        <v>15</v>
      </c>
      <c r="Q4862" t="s">
        <v>264</v>
      </c>
      <c r="R4862" t="s">
        <v>201</v>
      </c>
      <c r="S4862">
        <v>0</v>
      </c>
      <c r="T4862">
        <v>0</v>
      </c>
      <c r="U4862">
        <v>12480</v>
      </c>
      <c r="V4862">
        <v>12480</v>
      </c>
    </row>
    <row r="4863" spans="1:22">
      <c r="A4863" t="s">
        <v>196</v>
      </c>
      <c r="B4863">
        <v>88</v>
      </c>
      <c r="C4863" t="s">
        <v>1852</v>
      </c>
      <c r="D4863">
        <v>200</v>
      </c>
      <c r="E4863" t="s">
        <v>1834</v>
      </c>
      <c r="F4863">
        <v>1025</v>
      </c>
      <c r="G4863" t="s">
        <v>5</v>
      </c>
      <c r="H4863">
        <v>2025</v>
      </c>
      <c r="I4863" t="s">
        <v>5</v>
      </c>
      <c r="J4863">
        <v>3256</v>
      </c>
      <c r="K4863" t="s">
        <v>1925</v>
      </c>
      <c r="L4863">
        <v>4007</v>
      </c>
      <c r="M4863" t="s">
        <v>1926</v>
      </c>
      <c r="N4863" t="s">
        <v>249</v>
      </c>
      <c r="O4863">
        <v>10</v>
      </c>
      <c r="P4863">
        <v>7180</v>
      </c>
      <c r="Q4863" t="s">
        <v>1927</v>
      </c>
      <c r="R4863" t="s">
        <v>201</v>
      </c>
      <c r="S4863">
        <v>1</v>
      </c>
      <c r="T4863">
        <v>1</v>
      </c>
      <c r="U4863">
        <v>113568</v>
      </c>
      <c r="V4863">
        <v>113568</v>
      </c>
    </row>
    <row r="4864" spans="1:22">
      <c r="A4864" t="s">
        <v>196</v>
      </c>
      <c r="B4864">
        <v>88</v>
      </c>
      <c r="C4864" t="s">
        <v>1852</v>
      </c>
      <c r="D4864">
        <v>200</v>
      </c>
      <c r="E4864" t="s">
        <v>1834</v>
      </c>
      <c r="F4864">
        <v>1025</v>
      </c>
      <c r="G4864" t="s">
        <v>5</v>
      </c>
      <c r="H4864">
        <v>2025</v>
      </c>
      <c r="I4864" t="s">
        <v>5</v>
      </c>
      <c r="J4864">
        <v>3256</v>
      </c>
      <c r="K4864" t="s">
        <v>1925</v>
      </c>
      <c r="L4864">
        <v>4007</v>
      </c>
      <c r="M4864" t="s">
        <v>1926</v>
      </c>
      <c r="N4864" t="s">
        <v>721</v>
      </c>
      <c r="O4864">
        <v>36</v>
      </c>
      <c r="P4864">
        <v>6674</v>
      </c>
      <c r="Q4864" t="s">
        <v>963</v>
      </c>
      <c r="R4864" t="s">
        <v>713</v>
      </c>
      <c r="S4864">
        <v>2</v>
      </c>
      <c r="T4864">
        <v>1</v>
      </c>
      <c r="U4864">
        <v>60.39</v>
      </c>
      <c r="V4864">
        <v>251222</v>
      </c>
    </row>
    <row r="4865" spans="1:22">
      <c r="A4865" t="s">
        <v>196</v>
      </c>
      <c r="B4865">
        <v>88</v>
      </c>
      <c r="C4865" t="s">
        <v>1852</v>
      </c>
      <c r="D4865">
        <v>200</v>
      </c>
      <c r="E4865" t="s">
        <v>1834</v>
      </c>
      <c r="F4865">
        <v>1025</v>
      </c>
      <c r="G4865" t="s">
        <v>5</v>
      </c>
      <c r="H4865">
        <v>2025</v>
      </c>
      <c r="I4865" t="s">
        <v>5</v>
      </c>
      <c r="J4865">
        <v>3256</v>
      </c>
      <c r="K4865" t="s">
        <v>1925</v>
      </c>
      <c r="L4865">
        <v>4007</v>
      </c>
      <c r="M4865" t="s">
        <v>1926</v>
      </c>
      <c r="N4865" t="s">
        <v>721</v>
      </c>
      <c r="O4865">
        <v>53</v>
      </c>
      <c r="P4865">
        <v>1860</v>
      </c>
      <c r="Q4865" t="s">
        <v>902</v>
      </c>
      <c r="R4865" t="s">
        <v>713</v>
      </c>
      <c r="S4865">
        <v>6</v>
      </c>
      <c r="T4865">
        <v>1</v>
      </c>
      <c r="U4865">
        <v>52.5</v>
      </c>
      <c r="V4865">
        <v>655200</v>
      </c>
    </row>
    <row r="4866" spans="1:22">
      <c r="A4866" t="s">
        <v>196</v>
      </c>
      <c r="B4866">
        <v>88</v>
      </c>
      <c r="C4866" t="s">
        <v>1852</v>
      </c>
      <c r="D4866">
        <v>200</v>
      </c>
      <c r="E4866" t="s">
        <v>1834</v>
      </c>
      <c r="F4866">
        <v>1025</v>
      </c>
      <c r="G4866" t="s">
        <v>5</v>
      </c>
      <c r="H4866">
        <v>2025</v>
      </c>
      <c r="I4866" t="s">
        <v>5</v>
      </c>
      <c r="J4866">
        <v>3256</v>
      </c>
      <c r="K4866" t="s">
        <v>1925</v>
      </c>
      <c r="L4866">
        <v>4007</v>
      </c>
      <c r="M4866" t="s">
        <v>1926</v>
      </c>
      <c r="N4866" t="s">
        <v>809</v>
      </c>
      <c r="O4866">
        <v>1</v>
      </c>
      <c r="P4866">
        <v>460</v>
      </c>
      <c r="Q4866" t="s">
        <v>810</v>
      </c>
      <c r="R4866" t="s">
        <v>201</v>
      </c>
      <c r="S4866">
        <v>1</v>
      </c>
      <c r="T4866">
        <v>1</v>
      </c>
      <c r="U4866">
        <v>82140</v>
      </c>
      <c r="V4866">
        <v>82140</v>
      </c>
    </row>
    <row r="4867" spans="1:22">
      <c r="A4867" t="s">
        <v>196</v>
      </c>
      <c r="B4867">
        <v>88</v>
      </c>
      <c r="C4867" t="s">
        <v>1852</v>
      </c>
      <c r="D4867">
        <v>200</v>
      </c>
      <c r="E4867" t="s">
        <v>1834</v>
      </c>
      <c r="F4867">
        <v>1025</v>
      </c>
      <c r="G4867" t="s">
        <v>5</v>
      </c>
      <c r="H4867">
        <v>2025</v>
      </c>
      <c r="I4867" t="s">
        <v>5</v>
      </c>
      <c r="J4867">
        <v>3256</v>
      </c>
      <c r="K4867" t="s">
        <v>1925</v>
      </c>
      <c r="L4867">
        <v>4007</v>
      </c>
      <c r="M4867" t="s">
        <v>1926</v>
      </c>
      <c r="N4867" t="s">
        <v>1928</v>
      </c>
      <c r="O4867">
        <v>53</v>
      </c>
      <c r="P4867">
        <v>417</v>
      </c>
      <c r="Q4867" t="s">
        <v>1929</v>
      </c>
      <c r="R4867" t="s">
        <v>201</v>
      </c>
      <c r="S4867">
        <v>1</v>
      </c>
      <c r="T4867">
        <v>1</v>
      </c>
      <c r="U4867">
        <v>58728</v>
      </c>
      <c r="V4867">
        <v>58728</v>
      </c>
    </row>
    <row r="4868" spans="1:22">
      <c r="A4868" t="s">
        <v>196</v>
      </c>
      <c r="B4868">
        <v>88</v>
      </c>
      <c r="C4868" t="s">
        <v>1852</v>
      </c>
      <c r="D4868">
        <v>200</v>
      </c>
      <c r="E4868" t="s">
        <v>1834</v>
      </c>
      <c r="F4868">
        <v>1025</v>
      </c>
      <c r="G4868" t="s">
        <v>5</v>
      </c>
      <c r="H4868">
        <v>2025</v>
      </c>
      <c r="I4868" t="s">
        <v>5</v>
      </c>
      <c r="J4868">
        <v>3256</v>
      </c>
      <c r="K4868" t="s">
        <v>1925</v>
      </c>
      <c r="L4868">
        <v>4007</v>
      </c>
      <c r="M4868" t="s">
        <v>1926</v>
      </c>
      <c r="N4868" t="s">
        <v>622</v>
      </c>
      <c r="O4868">
        <v>1</v>
      </c>
      <c r="P4868" t="s">
        <v>667</v>
      </c>
      <c r="Q4868" t="s">
        <v>205</v>
      </c>
      <c r="R4868" t="s">
        <v>201</v>
      </c>
      <c r="S4868">
        <v>1</v>
      </c>
      <c r="T4868">
        <v>1</v>
      </c>
      <c r="U4868">
        <v>64488</v>
      </c>
      <c r="V4868">
        <v>64488</v>
      </c>
    </row>
    <row r="4869" spans="1:22">
      <c r="A4869" t="s">
        <v>196</v>
      </c>
      <c r="B4869">
        <v>88</v>
      </c>
      <c r="C4869" t="s">
        <v>1852</v>
      </c>
      <c r="D4869">
        <v>200</v>
      </c>
      <c r="E4869" t="s">
        <v>1834</v>
      </c>
      <c r="F4869">
        <v>1025</v>
      </c>
      <c r="G4869" t="s">
        <v>5</v>
      </c>
      <c r="H4869">
        <v>2025</v>
      </c>
      <c r="I4869" t="s">
        <v>5</v>
      </c>
      <c r="J4869">
        <v>3256</v>
      </c>
      <c r="K4869" t="s">
        <v>1925</v>
      </c>
      <c r="L4869">
        <v>4007</v>
      </c>
      <c r="M4869" t="s">
        <v>1926</v>
      </c>
      <c r="N4869" t="s">
        <v>1314</v>
      </c>
      <c r="O4869">
        <v>0</v>
      </c>
      <c r="P4869" t="s">
        <v>1471</v>
      </c>
      <c r="Q4869" t="s">
        <v>605</v>
      </c>
      <c r="R4869" t="s">
        <v>201</v>
      </c>
      <c r="S4869">
        <v>1</v>
      </c>
      <c r="T4869">
        <v>1</v>
      </c>
      <c r="U4869">
        <v>160680</v>
      </c>
      <c r="V4869">
        <v>160680</v>
      </c>
    </row>
    <row r="4870" spans="1:22">
      <c r="A4870" t="s">
        <v>196</v>
      </c>
      <c r="B4870">
        <v>88</v>
      </c>
      <c r="C4870" t="s">
        <v>1852</v>
      </c>
      <c r="D4870">
        <v>200</v>
      </c>
      <c r="E4870" t="s">
        <v>1834</v>
      </c>
      <c r="F4870">
        <v>1025</v>
      </c>
      <c r="G4870" t="s">
        <v>5</v>
      </c>
      <c r="H4870">
        <v>2025</v>
      </c>
      <c r="I4870" t="s">
        <v>5</v>
      </c>
      <c r="J4870">
        <v>3256</v>
      </c>
      <c r="K4870" t="s">
        <v>1925</v>
      </c>
      <c r="L4870">
        <v>4007</v>
      </c>
      <c r="M4870" t="s">
        <v>1926</v>
      </c>
      <c r="N4870" t="s">
        <v>199</v>
      </c>
      <c r="O4870">
        <v>0</v>
      </c>
      <c r="P4870">
        <v>15</v>
      </c>
      <c r="Q4870" t="s">
        <v>264</v>
      </c>
      <c r="R4870" t="s">
        <v>201</v>
      </c>
      <c r="S4870">
        <v>0</v>
      </c>
      <c r="T4870">
        <v>0</v>
      </c>
      <c r="U4870">
        <v>5951</v>
      </c>
      <c r="V4870">
        <v>5951</v>
      </c>
    </row>
    <row r="4871" spans="1:22">
      <c r="A4871" t="s">
        <v>196</v>
      </c>
      <c r="B4871">
        <v>88</v>
      </c>
      <c r="C4871" t="s">
        <v>1852</v>
      </c>
      <c r="D4871">
        <v>200</v>
      </c>
      <c r="E4871" t="s">
        <v>1834</v>
      </c>
      <c r="F4871">
        <v>1025</v>
      </c>
      <c r="G4871" t="s">
        <v>5</v>
      </c>
      <c r="H4871">
        <v>2025</v>
      </c>
      <c r="I4871" t="s">
        <v>5</v>
      </c>
      <c r="J4871">
        <v>3256</v>
      </c>
      <c r="K4871" t="s">
        <v>1925</v>
      </c>
      <c r="L4871">
        <v>4007</v>
      </c>
      <c r="M4871" t="s">
        <v>1926</v>
      </c>
      <c r="N4871" t="s">
        <v>199</v>
      </c>
      <c r="O4871">
        <v>0</v>
      </c>
      <c r="P4871">
        <v>12</v>
      </c>
      <c r="Q4871" t="s">
        <v>724</v>
      </c>
      <c r="R4871" t="s">
        <v>201</v>
      </c>
      <c r="S4871">
        <v>0</v>
      </c>
      <c r="T4871">
        <v>0</v>
      </c>
      <c r="U4871">
        <v>13596</v>
      </c>
      <c r="V4871">
        <v>13596</v>
      </c>
    </row>
    <row r="4872" spans="1:22">
      <c r="A4872" t="s">
        <v>196</v>
      </c>
      <c r="B4872">
        <v>88</v>
      </c>
      <c r="C4872" t="s">
        <v>1852</v>
      </c>
      <c r="D4872">
        <v>200</v>
      </c>
      <c r="E4872" t="s">
        <v>1834</v>
      </c>
      <c r="F4872">
        <v>1025</v>
      </c>
      <c r="G4872" t="s">
        <v>5</v>
      </c>
      <c r="H4872">
        <v>2025</v>
      </c>
      <c r="I4872" t="s">
        <v>5</v>
      </c>
      <c r="J4872">
        <v>3257</v>
      </c>
      <c r="K4872" t="s">
        <v>1930</v>
      </c>
      <c r="L4872">
        <v>4009</v>
      </c>
      <c r="M4872" t="s">
        <v>1931</v>
      </c>
      <c r="N4872" t="s">
        <v>721</v>
      </c>
      <c r="O4872">
        <v>53</v>
      </c>
      <c r="P4872">
        <v>9532</v>
      </c>
      <c r="Q4872" t="s">
        <v>901</v>
      </c>
      <c r="R4872" t="s">
        <v>713</v>
      </c>
      <c r="S4872">
        <v>2</v>
      </c>
      <c r="T4872">
        <v>1</v>
      </c>
      <c r="U4872">
        <v>51.4</v>
      </c>
      <c r="V4872">
        <v>213824</v>
      </c>
    </row>
    <row r="4873" spans="1:22">
      <c r="A4873" t="s">
        <v>196</v>
      </c>
      <c r="B4873">
        <v>88</v>
      </c>
      <c r="C4873" t="s">
        <v>1852</v>
      </c>
      <c r="D4873">
        <v>200</v>
      </c>
      <c r="E4873" t="s">
        <v>1834</v>
      </c>
      <c r="F4873">
        <v>1025</v>
      </c>
      <c r="G4873" t="s">
        <v>5</v>
      </c>
      <c r="H4873">
        <v>2025</v>
      </c>
      <c r="I4873" t="s">
        <v>5</v>
      </c>
      <c r="J4873">
        <v>3257</v>
      </c>
      <c r="K4873" t="s">
        <v>1930</v>
      </c>
      <c r="L4873">
        <v>4009</v>
      </c>
      <c r="M4873" t="s">
        <v>1931</v>
      </c>
      <c r="N4873" t="s">
        <v>721</v>
      </c>
      <c r="O4873">
        <v>53</v>
      </c>
      <c r="P4873">
        <v>9408</v>
      </c>
      <c r="Q4873" t="s">
        <v>1932</v>
      </c>
      <c r="R4873" t="s">
        <v>713</v>
      </c>
      <c r="S4873">
        <v>2</v>
      </c>
      <c r="T4873">
        <v>1</v>
      </c>
      <c r="U4873">
        <v>51.4</v>
      </c>
      <c r="V4873">
        <v>213824</v>
      </c>
    </row>
    <row r="4874" spans="1:22">
      <c r="A4874" t="s">
        <v>196</v>
      </c>
      <c r="B4874">
        <v>88</v>
      </c>
      <c r="C4874" t="s">
        <v>1852</v>
      </c>
      <c r="D4874">
        <v>200</v>
      </c>
      <c r="E4874" t="s">
        <v>1834</v>
      </c>
      <c r="F4874">
        <v>1025</v>
      </c>
      <c r="G4874" t="s">
        <v>5</v>
      </c>
      <c r="H4874">
        <v>2025</v>
      </c>
      <c r="I4874" t="s">
        <v>5</v>
      </c>
      <c r="J4874">
        <v>3257</v>
      </c>
      <c r="K4874" t="s">
        <v>1930</v>
      </c>
      <c r="L4874">
        <v>4009</v>
      </c>
      <c r="M4874" t="s">
        <v>1931</v>
      </c>
      <c r="N4874" t="s">
        <v>721</v>
      </c>
      <c r="O4874">
        <v>53</v>
      </c>
      <c r="P4874">
        <v>8246</v>
      </c>
      <c r="Q4874" t="s">
        <v>1933</v>
      </c>
      <c r="R4874" t="s">
        <v>713</v>
      </c>
      <c r="S4874">
        <v>1</v>
      </c>
      <c r="T4874">
        <v>1</v>
      </c>
      <c r="U4874">
        <v>52.5</v>
      </c>
      <c r="V4874">
        <v>109200</v>
      </c>
    </row>
    <row r="4875" spans="1:22">
      <c r="A4875" t="s">
        <v>196</v>
      </c>
      <c r="B4875">
        <v>88</v>
      </c>
      <c r="C4875" t="s">
        <v>1852</v>
      </c>
      <c r="D4875">
        <v>200</v>
      </c>
      <c r="E4875" t="s">
        <v>1834</v>
      </c>
      <c r="F4875">
        <v>1025</v>
      </c>
      <c r="G4875" t="s">
        <v>5</v>
      </c>
      <c r="H4875">
        <v>2025</v>
      </c>
      <c r="I4875" t="s">
        <v>5</v>
      </c>
      <c r="J4875">
        <v>3257</v>
      </c>
      <c r="K4875" t="s">
        <v>1930</v>
      </c>
      <c r="L4875">
        <v>4009</v>
      </c>
      <c r="M4875" t="s">
        <v>1931</v>
      </c>
      <c r="N4875" t="s">
        <v>1934</v>
      </c>
      <c r="O4875">
        <v>53</v>
      </c>
      <c r="P4875">
        <v>7125</v>
      </c>
      <c r="Q4875" t="s">
        <v>1935</v>
      </c>
      <c r="R4875" t="s">
        <v>201</v>
      </c>
      <c r="S4875">
        <v>2</v>
      </c>
      <c r="T4875">
        <v>1</v>
      </c>
      <c r="U4875">
        <v>119052</v>
      </c>
      <c r="V4875">
        <v>238104</v>
      </c>
    </row>
    <row r="4876" spans="1:22">
      <c r="A4876" t="s">
        <v>196</v>
      </c>
      <c r="B4876">
        <v>88</v>
      </c>
      <c r="C4876" t="s">
        <v>1852</v>
      </c>
      <c r="D4876">
        <v>200</v>
      </c>
      <c r="E4876" t="s">
        <v>1834</v>
      </c>
      <c r="F4876">
        <v>1025</v>
      </c>
      <c r="G4876" t="s">
        <v>5</v>
      </c>
      <c r="H4876">
        <v>2025</v>
      </c>
      <c r="I4876" t="s">
        <v>5</v>
      </c>
      <c r="J4876">
        <v>3257</v>
      </c>
      <c r="K4876" t="s">
        <v>1930</v>
      </c>
      <c r="L4876">
        <v>4009</v>
      </c>
      <c r="M4876" t="s">
        <v>1931</v>
      </c>
      <c r="N4876" t="s">
        <v>721</v>
      </c>
      <c r="O4876">
        <v>53</v>
      </c>
      <c r="P4876">
        <v>7101</v>
      </c>
      <c r="Q4876" t="s">
        <v>1936</v>
      </c>
      <c r="R4876" t="s">
        <v>713</v>
      </c>
      <c r="S4876">
        <v>6</v>
      </c>
      <c r="T4876">
        <v>1</v>
      </c>
      <c r="U4876">
        <v>51.4</v>
      </c>
      <c r="V4876">
        <v>641472</v>
      </c>
    </row>
    <row r="4877" spans="1:22">
      <c r="A4877" t="s">
        <v>196</v>
      </c>
      <c r="B4877">
        <v>88</v>
      </c>
      <c r="C4877" t="s">
        <v>1852</v>
      </c>
      <c r="D4877">
        <v>200</v>
      </c>
      <c r="E4877" t="s">
        <v>1834</v>
      </c>
      <c r="F4877">
        <v>1025</v>
      </c>
      <c r="G4877" t="s">
        <v>5</v>
      </c>
      <c r="H4877">
        <v>2025</v>
      </c>
      <c r="I4877" t="s">
        <v>5</v>
      </c>
      <c r="J4877">
        <v>3257</v>
      </c>
      <c r="K4877" t="s">
        <v>1930</v>
      </c>
      <c r="L4877">
        <v>4009</v>
      </c>
      <c r="M4877" t="s">
        <v>1931</v>
      </c>
      <c r="N4877" t="s">
        <v>1719</v>
      </c>
      <c r="O4877">
        <v>10</v>
      </c>
      <c r="P4877">
        <v>5985</v>
      </c>
      <c r="Q4877" t="s">
        <v>1923</v>
      </c>
      <c r="R4877" t="s">
        <v>201</v>
      </c>
      <c r="S4877">
        <v>1</v>
      </c>
      <c r="T4877">
        <v>1</v>
      </c>
      <c r="U4877">
        <v>112440</v>
      </c>
      <c r="V4877">
        <v>112440</v>
      </c>
    </row>
    <row r="4878" spans="1:22">
      <c r="A4878" t="s">
        <v>196</v>
      </c>
      <c r="B4878">
        <v>88</v>
      </c>
      <c r="C4878" t="s">
        <v>1852</v>
      </c>
      <c r="D4878">
        <v>200</v>
      </c>
      <c r="E4878" t="s">
        <v>1834</v>
      </c>
      <c r="F4878">
        <v>1025</v>
      </c>
      <c r="G4878" t="s">
        <v>5</v>
      </c>
      <c r="H4878">
        <v>2025</v>
      </c>
      <c r="I4878" t="s">
        <v>5</v>
      </c>
      <c r="J4878">
        <v>3257</v>
      </c>
      <c r="K4878" t="s">
        <v>1930</v>
      </c>
      <c r="L4878">
        <v>4009</v>
      </c>
      <c r="M4878" t="s">
        <v>1931</v>
      </c>
      <c r="N4878" t="s">
        <v>372</v>
      </c>
      <c r="O4878">
        <v>4</v>
      </c>
      <c r="P4878">
        <v>1912</v>
      </c>
      <c r="Q4878" t="s">
        <v>608</v>
      </c>
      <c r="R4878" t="s">
        <v>201</v>
      </c>
      <c r="S4878">
        <v>1</v>
      </c>
      <c r="T4878">
        <v>1</v>
      </c>
      <c r="U4878">
        <v>93504</v>
      </c>
      <c r="V4878">
        <v>93504</v>
      </c>
    </row>
    <row r="4879" spans="1:22">
      <c r="A4879" t="s">
        <v>196</v>
      </c>
      <c r="B4879">
        <v>88</v>
      </c>
      <c r="C4879" t="s">
        <v>1852</v>
      </c>
      <c r="D4879">
        <v>200</v>
      </c>
      <c r="E4879" t="s">
        <v>1834</v>
      </c>
      <c r="F4879">
        <v>1025</v>
      </c>
      <c r="G4879" t="s">
        <v>5</v>
      </c>
      <c r="H4879">
        <v>2025</v>
      </c>
      <c r="I4879" t="s">
        <v>5</v>
      </c>
      <c r="J4879">
        <v>3257</v>
      </c>
      <c r="K4879" t="s">
        <v>1930</v>
      </c>
      <c r="L4879">
        <v>4009</v>
      </c>
      <c r="M4879" t="s">
        <v>1931</v>
      </c>
      <c r="N4879" t="s">
        <v>199</v>
      </c>
      <c r="O4879">
        <v>0</v>
      </c>
      <c r="P4879">
        <v>15</v>
      </c>
      <c r="Q4879" t="s">
        <v>264</v>
      </c>
      <c r="R4879" t="s">
        <v>201</v>
      </c>
      <c r="S4879">
        <v>0</v>
      </c>
      <c r="T4879">
        <v>0</v>
      </c>
      <c r="U4879">
        <v>9262</v>
      </c>
      <c r="V4879">
        <v>9262</v>
      </c>
    </row>
    <row r="4880" spans="1:22">
      <c r="A4880" t="s">
        <v>196</v>
      </c>
      <c r="B4880">
        <v>88</v>
      </c>
      <c r="C4880" t="s">
        <v>1852</v>
      </c>
      <c r="D4880">
        <v>200</v>
      </c>
      <c r="E4880" t="s">
        <v>1834</v>
      </c>
      <c r="F4880">
        <v>1025</v>
      </c>
      <c r="G4880" t="s">
        <v>5</v>
      </c>
      <c r="H4880">
        <v>2025</v>
      </c>
      <c r="I4880" t="s">
        <v>5</v>
      </c>
      <c r="J4880">
        <v>3257</v>
      </c>
      <c r="K4880" t="s">
        <v>1930</v>
      </c>
      <c r="L4880">
        <v>4009</v>
      </c>
      <c r="M4880" t="s">
        <v>1931</v>
      </c>
      <c r="N4880" t="s">
        <v>199</v>
      </c>
      <c r="O4880">
        <v>0</v>
      </c>
      <c r="P4880">
        <v>12</v>
      </c>
      <c r="Q4880" t="s">
        <v>724</v>
      </c>
      <c r="R4880" t="s">
        <v>201</v>
      </c>
      <c r="S4880">
        <v>0</v>
      </c>
      <c r="T4880">
        <v>0</v>
      </c>
      <c r="U4880">
        <v>17674</v>
      </c>
      <c r="V4880">
        <v>17674</v>
      </c>
    </row>
    <row r="4881" spans="1:22">
      <c r="A4881" t="s">
        <v>196</v>
      </c>
      <c r="B4881">
        <v>88</v>
      </c>
      <c r="C4881" t="s">
        <v>1852</v>
      </c>
      <c r="D4881">
        <v>200</v>
      </c>
      <c r="E4881" t="s">
        <v>1834</v>
      </c>
      <c r="F4881">
        <v>1025</v>
      </c>
      <c r="G4881" t="s">
        <v>5</v>
      </c>
      <c r="H4881">
        <v>2025</v>
      </c>
      <c r="I4881" t="s">
        <v>5</v>
      </c>
      <c r="J4881">
        <v>3259</v>
      </c>
      <c r="K4881" t="s">
        <v>1937</v>
      </c>
      <c r="L4881">
        <v>0</v>
      </c>
      <c r="N4881" t="s">
        <v>255</v>
      </c>
      <c r="O4881">
        <v>1</v>
      </c>
      <c r="P4881">
        <v>6145</v>
      </c>
      <c r="Q4881" t="s">
        <v>1766</v>
      </c>
      <c r="R4881" t="s">
        <v>201</v>
      </c>
      <c r="S4881">
        <v>1</v>
      </c>
      <c r="T4881">
        <v>1</v>
      </c>
      <c r="U4881">
        <v>143400</v>
      </c>
      <c r="V4881">
        <v>143400</v>
      </c>
    </row>
    <row r="4882" spans="1:22">
      <c r="A4882" t="s">
        <v>196</v>
      </c>
      <c r="B4882">
        <v>88</v>
      </c>
      <c r="C4882" t="s">
        <v>1852</v>
      </c>
      <c r="D4882">
        <v>200</v>
      </c>
      <c r="E4882" t="s">
        <v>1834</v>
      </c>
      <c r="F4882">
        <v>1025</v>
      </c>
      <c r="G4882" t="s">
        <v>5</v>
      </c>
      <c r="H4882">
        <v>2025</v>
      </c>
      <c r="I4882" t="s">
        <v>5</v>
      </c>
      <c r="J4882">
        <v>3259</v>
      </c>
      <c r="K4882" t="s">
        <v>1937</v>
      </c>
      <c r="L4882">
        <v>0</v>
      </c>
      <c r="N4882" t="s">
        <v>372</v>
      </c>
      <c r="O4882">
        <v>1</v>
      </c>
      <c r="P4882">
        <v>6144</v>
      </c>
      <c r="Q4882" t="s">
        <v>1466</v>
      </c>
      <c r="R4882" t="s">
        <v>201</v>
      </c>
      <c r="S4882">
        <v>2</v>
      </c>
      <c r="T4882">
        <v>1</v>
      </c>
      <c r="U4882">
        <v>130668</v>
      </c>
      <c r="V4882">
        <v>261336</v>
      </c>
    </row>
    <row r="4883" spans="1:22">
      <c r="A4883" t="s">
        <v>196</v>
      </c>
      <c r="B4883">
        <v>88</v>
      </c>
      <c r="C4883" t="s">
        <v>1852</v>
      </c>
      <c r="D4883">
        <v>200</v>
      </c>
      <c r="E4883" t="s">
        <v>1834</v>
      </c>
      <c r="F4883">
        <v>1025</v>
      </c>
      <c r="G4883" t="s">
        <v>5</v>
      </c>
      <c r="H4883">
        <v>2025</v>
      </c>
      <c r="I4883" t="s">
        <v>5</v>
      </c>
      <c r="J4883">
        <v>3261</v>
      </c>
      <c r="K4883" t="s">
        <v>1938</v>
      </c>
      <c r="L4883">
        <v>4011</v>
      </c>
      <c r="M4883" t="s">
        <v>1939</v>
      </c>
      <c r="N4883" t="s">
        <v>1294</v>
      </c>
      <c r="O4883">
        <v>0</v>
      </c>
      <c r="P4883">
        <v>9681</v>
      </c>
      <c r="Q4883" t="s">
        <v>338</v>
      </c>
      <c r="R4883" t="s">
        <v>201</v>
      </c>
      <c r="S4883">
        <v>1</v>
      </c>
      <c r="T4883">
        <v>1</v>
      </c>
      <c r="U4883">
        <v>153000</v>
      </c>
      <c r="V4883">
        <v>153000</v>
      </c>
    </row>
    <row r="4884" spans="1:22">
      <c r="A4884" t="s">
        <v>196</v>
      </c>
      <c r="B4884">
        <v>88</v>
      </c>
      <c r="C4884" t="s">
        <v>1852</v>
      </c>
      <c r="D4884">
        <v>200</v>
      </c>
      <c r="E4884" t="s">
        <v>1834</v>
      </c>
      <c r="F4884">
        <v>1025</v>
      </c>
      <c r="G4884" t="s">
        <v>5</v>
      </c>
      <c r="H4884">
        <v>2025</v>
      </c>
      <c r="I4884" t="s">
        <v>5</v>
      </c>
      <c r="J4884">
        <v>3261</v>
      </c>
      <c r="K4884" t="s">
        <v>1938</v>
      </c>
      <c r="L4884">
        <v>4011</v>
      </c>
      <c r="M4884" t="s">
        <v>1939</v>
      </c>
      <c r="N4884" t="s">
        <v>721</v>
      </c>
      <c r="O4884">
        <v>53</v>
      </c>
      <c r="P4884">
        <v>9532</v>
      </c>
      <c r="Q4884" t="s">
        <v>901</v>
      </c>
      <c r="R4884" t="s">
        <v>713</v>
      </c>
      <c r="S4884">
        <v>11</v>
      </c>
      <c r="T4884">
        <v>1</v>
      </c>
      <c r="U4884">
        <v>51.4</v>
      </c>
      <c r="V4884">
        <v>1176032</v>
      </c>
    </row>
    <row r="4885" spans="1:22">
      <c r="A4885" t="s">
        <v>196</v>
      </c>
      <c r="B4885">
        <v>88</v>
      </c>
      <c r="C4885" t="s">
        <v>1852</v>
      </c>
      <c r="D4885">
        <v>200</v>
      </c>
      <c r="E4885" t="s">
        <v>1834</v>
      </c>
      <c r="F4885">
        <v>1025</v>
      </c>
      <c r="G4885" t="s">
        <v>5</v>
      </c>
      <c r="H4885">
        <v>2025</v>
      </c>
      <c r="I4885" t="s">
        <v>5</v>
      </c>
      <c r="J4885">
        <v>3261</v>
      </c>
      <c r="K4885" t="s">
        <v>1938</v>
      </c>
      <c r="L4885">
        <v>4011</v>
      </c>
      <c r="M4885" t="s">
        <v>1939</v>
      </c>
      <c r="N4885" t="s">
        <v>721</v>
      </c>
      <c r="O4885">
        <v>53</v>
      </c>
      <c r="P4885">
        <v>9411</v>
      </c>
      <c r="Q4885" t="s">
        <v>1940</v>
      </c>
      <c r="R4885" t="s">
        <v>713</v>
      </c>
      <c r="S4885">
        <v>72800</v>
      </c>
      <c r="T4885">
        <v>0</v>
      </c>
      <c r="U4885">
        <v>51.4</v>
      </c>
      <c r="V4885">
        <v>3741920</v>
      </c>
    </row>
    <row r="4886" spans="1:22">
      <c r="A4886" t="s">
        <v>196</v>
      </c>
      <c r="B4886">
        <v>88</v>
      </c>
      <c r="C4886" t="s">
        <v>1852</v>
      </c>
      <c r="D4886">
        <v>200</v>
      </c>
      <c r="E4886" t="s">
        <v>1834</v>
      </c>
      <c r="F4886">
        <v>1025</v>
      </c>
      <c r="G4886" t="s">
        <v>5</v>
      </c>
      <c r="H4886">
        <v>2025</v>
      </c>
      <c r="I4886" t="s">
        <v>5</v>
      </c>
      <c r="J4886">
        <v>3261</v>
      </c>
      <c r="K4886" t="s">
        <v>1938</v>
      </c>
      <c r="L4886">
        <v>4011</v>
      </c>
      <c r="M4886" t="s">
        <v>1939</v>
      </c>
      <c r="N4886" t="s">
        <v>721</v>
      </c>
      <c r="O4886">
        <v>53</v>
      </c>
      <c r="P4886">
        <v>9411</v>
      </c>
      <c r="Q4886" t="s">
        <v>1940</v>
      </c>
      <c r="R4886" t="s">
        <v>713</v>
      </c>
      <c r="S4886">
        <v>145</v>
      </c>
      <c r="T4886">
        <v>1</v>
      </c>
      <c r="U4886">
        <v>51.4</v>
      </c>
      <c r="V4886">
        <v>15502240</v>
      </c>
    </row>
    <row r="4887" spans="1:22">
      <c r="A4887" t="s">
        <v>196</v>
      </c>
      <c r="B4887">
        <v>88</v>
      </c>
      <c r="C4887" t="s">
        <v>1852</v>
      </c>
      <c r="D4887">
        <v>200</v>
      </c>
      <c r="E4887" t="s">
        <v>1834</v>
      </c>
      <c r="F4887">
        <v>1025</v>
      </c>
      <c r="G4887" t="s">
        <v>5</v>
      </c>
      <c r="H4887">
        <v>2025</v>
      </c>
      <c r="I4887" t="s">
        <v>5</v>
      </c>
      <c r="J4887">
        <v>3261</v>
      </c>
      <c r="K4887" t="s">
        <v>1938</v>
      </c>
      <c r="L4887">
        <v>4011</v>
      </c>
      <c r="M4887" t="s">
        <v>1939</v>
      </c>
      <c r="N4887" t="s">
        <v>721</v>
      </c>
      <c r="O4887">
        <v>53</v>
      </c>
      <c r="P4887">
        <v>9410</v>
      </c>
      <c r="Q4887" t="s">
        <v>1941</v>
      </c>
      <c r="R4887" t="s">
        <v>713</v>
      </c>
      <c r="S4887">
        <v>120600</v>
      </c>
      <c r="T4887">
        <v>0</v>
      </c>
      <c r="U4887">
        <v>30.84</v>
      </c>
      <c r="V4887">
        <v>3719304</v>
      </c>
    </row>
    <row r="4888" spans="1:22">
      <c r="A4888" t="s">
        <v>196</v>
      </c>
      <c r="B4888">
        <v>88</v>
      </c>
      <c r="C4888" t="s">
        <v>1852</v>
      </c>
      <c r="D4888">
        <v>200</v>
      </c>
      <c r="E4888" t="s">
        <v>1834</v>
      </c>
      <c r="F4888">
        <v>1025</v>
      </c>
      <c r="G4888" t="s">
        <v>5</v>
      </c>
      <c r="H4888">
        <v>2025</v>
      </c>
      <c r="I4888" t="s">
        <v>5</v>
      </c>
      <c r="J4888">
        <v>3261</v>
      </c>
      <c r="K4888" t="s">
        <v>1938</v>
      </c>
      <c r="L4888">
        <v>4011</v>
      </c>
      <c r="M4888" t="s">
        <v>1939</v>
      </c>
      <c r="N4888" t="s">
        <v>721</v>
      </c>
      <c r="O4888">
        <v>16</v>
      </c>
      <c r="P4888">
        <v>8394</v>
      </c>
      <c r="Q4888" t="s">
        <v>1942</v>
      </c>
      <c r="R4888" t="s">
        <v>713</v>
      </c>
      <c r="S4888">
        <v>18</v>
      </c>
      <c r="T4888">
        <v>1</v>
      </c>
      <c r="U4888">
        <v>64.150000000000006</v>
      </c>
      <c r="V4888">
        <v>2401776</v>
      </c>
    </row>
    <row r="4889" spans="1:22">
      <c r="A4889" t="s">
        <v>196</v>
      </c>
      <c r="B4889">
        <v>88</v>
      </c>
      <c r="C4889" t="s">
        <v>1852</v>
      </c>
      <c r="D4889">
        <v>200</v>
      </c>
      <c r="E4889" t="s">
        <v>1834</v>
      </c>
      <c r="F4889">
        <v>1025</v>
      </c>
      <c r="G4889" t="s">
        <v>5</v>
      </c>
      <c r="H4889">
        <v>2025</v>
      </c>
      <c r="I4889" t="s">
        <v>5</v>
      </c>
      <c r="J4889">
        <v>3261</v>
      </c>
      <c r="K4889" t="s">
        <v>1938</v>
      </c>
      <c r="L4889">
        <v>4011</v>
      </c>
      <c r="M4889" t="s">
        <v>1939</v>
      </c>
      <c r="N4889" t="s">
        <v>1943</v>
      </c>
      <c r="O4889">
        <v>16</v>
      </c>
      <c r="P4889">
        <v>8373</v>
      </c>
      <c r="Q4889" t="s">
        <v>1944</v>
      </c>
      <c r="R4889" t="s">
        <v>201</v>
      </c>
      <c r="S4889">
        <v>1</v>
      </c>
      <c r="T4889">
        <v>1</v>
      </c>
      <c r="U4889">
        <v>136872</v>
      </c>
      <c r="V4889">
        <v>136872</v>
      </c>
    </row>
    <row r="4890" spans="1:22">
      <c r="A4890" t="s">
        <v>196</v>
      </c>
      <c r="B4890">
        <v>88</v>
      </c>
      <c r="C4890" t="s">
        <v>1852</v>
      </c>
      <c r="D4890">
        <v>200</v>
      </c>
      <c r="E4890" t="s">
        <v>1834</v>
      </c>
      <c r="F4890">
        <v>1025</v>
      </c>
      <c r="G4890" t="s">
        <v>5</v>
      </c>
      <c r="H4890">
        <v>2025</v>
      </c>
      <c r="I4890" t="s">
        <v>5</v>
      </c>
      <c r="J4890">
        <v>3261</v>
      </c>
      <c r="K4890" t="s">
        <v>1938</v>
      </c>
      <c r="L4890">
        <v>4011</v>
      </c>
      <c r="M4890" t="s">
        <v>1939</v>
      </c>
      <c r="N4890" t="s">
        <v>721</v>
      </c>
      <c r="O4890">
        <v>16</v>
      </c>
      <c r="P4890">
        <v>8352</v>
      </c>
      <c r="Q4890" t="s">
        <v>1945</v>
      </c>
      <c r="R4890" t="s">
        <v>712</v>
      </c>
      <c r="S4890">
        <v>12</v>
      </c>
      <c r="T4890">
        <v>1</v>
      </c>
      <c r="U4890">
        <v>11466</v>
      </c>
      <c r="V4890">
        <v>1651104</v>
      </c>
    </row>
    <row r="4891" spans="1:22">
      <c r="A4891" t="s">
        <v>196</v>
      </c>
      <c r="B4891">
        <v>88</v>
      </c>
      <c r="C4891" t="s">
        <v>1852</v>
      </c>
      <c r="D4891">
        <v>200</v>
      </c>
      <c r="E4891" t="s">
        <v>1834</v>
      </c>
      <c r="F4891">
        <v>1025</v>
      </c>
      <c r="G4891" t="s">
        <v>5</v>
      </c>
      <c r="H4891">
        <v>2025</v>
      </c>
      <c r="I4891" t="s">
        <v>5</v>
      </c>
      <c r="J4891">
        <v>3261</v>
      </c>
      <c r="K4891" t="s">
        <v>1938</v>
      </c>
      <c r="L4891">
        <v>4011</v>
      </c>
      <c r="M4891" t="s">
        <v>1939</v>
      </c>
      <c r="N4891" t="s">
        <v>721</v>
      </c>
      <c r="O4891">
        <v>16</v>
      </c>
      <c r="P4891">
        <v>8301</v>
      </c>
      <c r="Q4891" t="s">
        <v>1946</v>
      </c>
      <c r="R4891" t="s">
        <v>713</v>
      </c>
      <c r="S4891">
        <v>2</v>
      </c>
      <c r="T4891">
        <v>1</v>
      </c>
      <c r="U4891">
        <v>60.5</v>
      </c>
      <c r="V4891">
        <v>251680</v>
      </c>
    </row>
    <row r="4892" spans="1:22">
      <c r="A4892" t="s">
        <v>196</v>
      </c>
      <c r="B4892">
        <v>88</v>
      </c>
      <c r="C4892" t="s">
        <v>1852</v>
      </c>
      <c r="D4892">
        <v>200</v>
      </c>
      <c r="E4892" t="s">
        <v>1834</v>
      </c>
      <c r="F4892">
        <v>1025</v>
      </c>
      <c r="G4892" t="s">
        <v>5</v>
      </c>
      <c r="H4892">
        <v>2025</v>
      </c>
      <c r="I4892" t="s">
        <v>5</v>
      </c>
      <c r="J4892">
        <v>3261</v>
      </c>
      <c r="K4892" t="s">
        <v>1938</v>
      </c>
      <c r="L4892">
        <v>4011</v>
      </c>
      <c r="M4892" t="s">
        <v>1939</v>
      </c>
      <c r="N4892" t="s">
        <v>721</v>
      </c>
      <c r="O4892">
        <v>16</v>
      </c>
      <c r="P4892">
        <v>8301</v>
      </c>
      <c r="Q4892" t="s">
        <v>1946</v>
      </c>
      <c r="R4892" t="s">
        <v>713</v>
      </c>
      <c r="S4892">
        <v>2</v>
      </c>
      <c r="T4892">
        <v>1</v>
      </c>
      <c r="U4892">
        <v>54.45</v>
      </c>
      <c r="V4892">
        <v>226512</v>
      </c>
    </row>
    <row r="4893" spans="1:22">
      <c r="A4893" t="s">
        <v>196</v>
      </c>
      <c r="B4893">
        <v>88</v>
      </c>
      <c r="C4893" t="s">
        <v>1852</v>
      </c>
      <c r="D4893">
        <v>200</v>
      </c>
      <c r="E4893" t="s">
        <v>1834</v>
      </c>
      <c r="F4893">
        <v>1025</v>
      </c>
      <c r="G4893" t="s">
        <v>5</v>
      </c>
      <c r="H4893">
        <v>2025</v>
      </c>
      <c r="I4893" t="s">
        <v>5</v>
      </c>
      <c r="J4893">
        <v>3261</v>
      </c>
      <c r="K4893" t="s">
        <v>1938</v>
      </c>
      <c r="L4893">
        <v>4011</v>
      </c>
      <c r="M4893" t="s">
        <v>1939</v>
      </c>
      <c r="N4893" t="s">
        <v>721</v>
      </c>
      <c r="O4893">
        <v>16</v>
      </c>
      <c r="P4893">
        <v>8301</v>
      </c>
      <c r="Q4893" t="s">
        <v>1946</v>
      </c>
      <c r="R4893" t="s">
        <v>713</v>
      </c>
      <c r="S4893">
        <v>4</v>
      </c>
      <c r="T4893">
        <v>1</v>
      </c>
      <c r="U4893">
        <v>51.43</v>
      </c>
      <c r="V4893">
        <v>427898</v>
      </c>
    </row>
    <row r="4894" spans="1:22">
      <c r="A4894" t="s">
        <v>196</v>
      </c>
      <c r="B4894">
        <v>88</v>
      </c>
      <c r="C4894" t="s">
        <v>1852</v>
      </c>
      <c r="D4894">
        <v>200</v>
      </c>
      <c r="E4894" t="s">
        <v>1834</v>
      </c>
      <c r="F4894">
        <v>1025</v>
      </c>
      <c r="G4894" t="s">
        <v>5</v>
      </c>
      <c r="H4894">
        <v>2025</v>
      </c>
      <c r="I4894" t="s">
        <v>5</v>
      </c>
      <c r="J4894">
        <v>3261</v>
      </c>
      <c r="K4894" t="s">
        <v>1938</v>
      </c>
      <c r="L4894">
        <v>4011</v>
      </c>
      <c r="M4894" t="s">
        <v>1939</v>
      </c>
      <c r="N4894" t="s">
        <v>721</v>
      </c>
      <c r="O4894">
        <v>53</v>
      </c>
      <c r="P4894">
        <v>8246</v>
      </c>
      <c r="Q4894" t="s">
        <v>1933</v>
      </c>
      <c r="R4894" t="s">
        <v>713</v>
      </c>
      <c r="S4894">
        <v>3</v>
      </c>
      <c r="T4894">
        <v>1</v>
      </c>
      <c r="U4894">
        <v>52.5</v>
      </c>
      <c r="V4894">
        <v>327600</v>
      </c>
    </row>
    <row r="4895" spans="1:22">
      <c r="A4895" t="s">
        <v>196</v>
      </c>
      <c r="B4895">
        <v>88</v>
      </c>
      <c r="C4895" t="s">
        <v>1852</v>
      </c>
      <c r="D4895">
        <v>200</v>
      </c>
      <c r="E4895" t="s">
        <v>1834</v>
      </c>
      <c r="F4895">
        <v>1025</v>
      </c>
      <c r="G4895" t="s">
        <v>5</v>
      </c>
      <c r="H4895">
        <v>2025</v>
      </c>
      <c r="I4895" t="s">
        <v>5</v>
      </c>
      <c r="J4895">
        <v>3261</v>
      </c>
      <c r="K4895" t="s">
        <v>1938</v>
      </c>
      <c r="L4895">
        <v>4011</v>
      </c>
      <c r="M4895" t="s">
        <v>1939</v>
      </c>
      <c r="N4895" t="s">
        <v>721</v>
      </c>
      <c r="O4895">
        <v>42</v>
      </c>
      <c r="P4895">
        <v>7633</v>
      </c>
      <c r="Q4895" t="s">
        <v>1740</v>
      </c>
      <c r="R4895" t="s">
        <v>713</v>
      </c>
      <c r="S4895">
        <v>73730</v>
      </c>
      <c r="T4895">
        <v>0</v>
      </c>
      <c r="U4895">
        <v>66.8</v>
      </c>
      <c r="V4895">
        <v>4925164</v>
      </c>
    </row>
    <row r="4896" spans="1:22">
      <c r="A4896" t="s">
        <v>196</v>
      </c>
      <c r="B4896">
        <v>88</v>
      </c>
      <c r="C4896" t="s">
        <v>1852</v>
      </c>
      <c r="D4896">
        <v>200</v>
      </c>
      <c r="E4896" t="s">
        <v>1834</v>
      </c>
      <c r="F4896">
        <v>1025</v>
      </c>
      <c r="G4896" t="s">
        <v>5</v>
      </c>
      <c r="H4896">
        <v>2025</v>
      </c>
      <c r="I4896" t="s">
        <v>5</v>
      </c>
      <c r="J4896">
        <v>3261</v>
      </c>
      <c r="K4896" t="s">
        <v>1938</v>
      </c>
      <c r="L4896">
        <v>4011</v>
      </c>
      <c r="M4896" t="s">
        <v>1939</v>
      </c>
      <c r="N4896" t="s">
        <v>721</v>
      </c>
      <c r="O4896">
        <v>42</v>
      </c>
      <c r="P4896">
        <v>7636</v>
      </c>
      <c r="Q4896" t="s">
        <v>1947</v>
      </c>
      <c r="R4896" t="s">
        <v>712</v>
      </c>
      <c r="S4896">
        <v>1</v>
      </c>
      <c r="T4896">
        <v>1</v>
      </c>
      <c r="U4896">
        <v>12055.33</v>
      </c>
      <c r="V4896">
        <v>144664</v>
      </c>
    </row>
    <row r="4897" spans="1:22">
      <c r="A4897" t="s">
        <v>196</v>
      </c>
      <c r="B4897">
        <v>88</v>
      </c>
      <c r="C4897" t="s">
        <v>1852</v>
      </c>
      <c r="D4897">
        <v>200</v>
      </c>
      <c r="E4897" t="s">
        <v>1834</v>
      </c>
      <c r="F4897">
        <v>1025</v>
      </c>
      <c r="G4897" t="s">
        <v>5</v>
      </c>
      <c r="H4897">
        <v>2025</v>
      </c>
      <c r="I4897" t="s">
        <v>5</v>
      </c>
      <c r="J4897">
        <v>3261</v>
      </c>
      <c r="K4897" t="s">
        <v>1938</v>
      </c>
      <c r="L4897">
        <v>4011</v>
      </c>
      <c r="M4897" t="s">
        <v>1939</v>
      </c>
      <c r="N4897" t="s">
        <v>721</v>
      </c>
      <c r="O4897">
        <v>42</v>
      </c>
      <c r="P4897">
        <v>7635</v>
      </c>
      <c r="Q4897" t="s">
        <v>1739</v>
      </c>
      <c r="R4897" t="s">
        <v>713</v>
      </c>
      <c r="S4897">
        <v>2</v>
      </c>
      <c r="T4897">
        <v>1</v>
      </c>
      <c r="U4897">
        <v>68.8</v>
      </c>
      <c r="V4897">
        <v>286208</v>
      </c>
    </row>
    <row r="4898" spans="1:22">
      <c r="A4898" t="s">
        <v>196</v>
      </c>
      <c r="B4898">
        <v>88</v>
      </c>
      <c r="C4898" t="s">
        <v>1852</v>
      </c>
      <c r="D4898">
        <v>200</v>
      </c>
      <c r="E4898" t="s">
        <v>1834</v>
      </c>
      <c r="F4898">
        <v>1025</v>
      </c>
      <c r="G4898" t="s">
        <v>5</v>
      </c>
      <c r="H4898">
        <v>2025</v>
      </c>
      <c r="I4898" t="s">
        <v>5</v>
      </c>
      <c r="J4898">
        <v>3261</v>
      </c>
      <c r="K4898" t="s">
        <v>1938</v>
      </c>
      <c r="L4898">
        <v>4011</v>
      </c>
      <c r="M4898" t="s">
        <v>1939</v>
      </c>
      <c r="N4898" t="s">
        <v>721</v>
      </c>
      <c r="O4898">
        <v>42</v>
      </c>
      <c r="P4898">
        <v>7633</v>
      </c>
      <c r="Q4898" t="s">
        <v>1740</v>
      </c>
      <c r="R4898" t="s">
        <v>713</v>
      </c>
      <c r="S4898">
        <v>34</v>
      </c>
      <c r="T4898">
        <v>1</v>
      </c>
      <c r="U4898">
        <v>64.8</v>
      </c>
      <c r="V4898">
        <v>4582656</v>
      </c>
    </row>
    <row r="4899" spans="1:22">
      <c r="A4899" t="s">
        <v>196</v>
      </c>
      <c r="B4899">
        <v>88</v>
      </c>
      <c r="C4899" t="s">
        <v>1852</v>
      </c>
      <c r="D4899">
        <v>200</v>
      </c>
      <c r="E4899" t="s">
        <v>1834</v>
      </c>
      <c r="F4899">
        <v>1025</v>
      </c>
      <c r="G4899" t="s">
        <v>5</v>
      </c>
      <c r="H4899">
        <v>2025</v>
      </c>
      <c r="I4899" t="s">
        <v>5</v>
      </c>
      <c r="J4899">
        <v>3261</v>
      </c>
      <c r="K4899" t="s">
        <v>1938</v>
      </c>
      <c r="L4899">
        <v>4011</v>
      </c>
      <c r="M4899" t="s">
        <v>1939</v>
      </c>
      <c r="N4899" t="s">
        <v>721</v>
      </c>
      <c r="O4899">
        <v>8</v>
      </c>
      <c r="P4899">
        <v>7185</v>
      </c>
      <c r="Q4899" t="s">
        <v>1039</v>
      </c>
      <c r="R4899" t="s">
        <v>713</v>
      </c>
      <c r="S4899">
        <v>2080</v>
      </c>
      <c r="T4899">
        <v>0</v>
      </c>
      <c r="U4899">
        <v>52.38</v>
      </c>
      <c r="V4899">
        <v>108950</v>
      </c>
    </row>
    <row r="4900" spans="1:22">
      <c r="A4900" t="s">
        <v>196</v>
      </c>
      <c r="B4900">
        <v>88</v>
      </c>
      <c r="C4900" t="s">
        <v>1852</v>
      </c>
      <c r="D4900">
        <v>200</v>
      </c>
      <c r="E4900" t="s">
        <v>1834</v>
      </c>
      <c r="F4900">
        <v>1025</v>
      </c>
      <c r="G4900" t="s">
        <v>5</v>
      </c>
      <c r="H4900">
        <v>2025</v>
      </c>
      <c r="I4900" t="s">
        <v>5</v>
      </c>
      <c r="J4900">
        <v>3261</v>
      </c>
      <c r="K4900" t="s">
        <v>1938</v>
      </c>
      <c r="L4900">
        <v>4011</v>
      </c>
      <c r="M4900" t="s">
        <v>1939</v>
      </c>
      <c r="N4900" t="s">
        <v>721</v>
      </c>
      <c r="O4900">
        <v>8</v>
      </c>
      <c r="P4900">
        <v>7185</v>
      </c>
      <c r="Q4900" t="s">
        <v>1039</v>
      </c>
      <c r="R4900" t="s">
        <v>713</v>
      </c>
      <c r="S4900">
        <v>3</v>
      </c>
      <c r="T4900">
        <v>1</v>
      </c>
      <c r="U4900">
        <v>52.38</v>
      </c>
      <c r="V4900">
        <v>326851</v>
      </c>
    </row>
    <row r="4901" spans="1:22">
      <c r="A4901" t="s">
        <v>196</v>
      </c>
      <c r="B4901">
        <v>88</v>
      </c>
      <c r="C4901" t="s">
        <v>1852</v>
      </c>
      <c r="D4901">
        <v>200</v>
      </c>
      <c r="E4901" t="s">
        <v>1834</v>
      </c>
      <c r="F4901">
        <v>1025</v>
      </c>
      <c r="G4901" t="s">
        <v>5</v>
      </c>
      <c r="H4901">
        <v>2025</v>
      </c>
      <c r="I4901" t="s">
        <v>5</v>
      </c>
      <c r="J4901">
        <v>3261</v>
      </c>
      <c r="K4901" t="s">
        <v>1938</v>
      </c>
      <c r="L4901">
        <v>4011</v>
      </c>
      <c r="M4901" t="s">
        <v>1939</v>
      </c>
      <c r="N4901" t="s">
        <v>721</v>
      </c>
      <c r="O4901">
        <v>8</v>
      </c>
      <c r="P4901">
        <v>7184</v>
      </c>
      <c r="Q4901" t="s">
        <v>1728</v>
      </c>
      <c r="R4901" t="s">
        <v>713</v>
      </c>
      <c r="S4901">
        <v>5</v>
      </c>
      <c r="T4901">
        <v>1</v>
      </c>
      <c r="U4901">
        <v>48.73</v>
      </c>
      <c r="V4901">
        <v>506792</v>
      </c>
    </row>
    <row r="4902" spans="1:22">
      <c r="A4902" t="s">
        <v>196</v>
      </c>
      <c r="B4902">
        <v>88</v>
      </c>
      <c r="C4902" t="s">
        <v>1852</v>
      </c>
      <c r="D4902">
        <v>200</v>
      </c>
      <c r="E4902" t="s">
        <v>1834</v>
      </c>
      <c r="F4902">
        <v>1025</v>
      </c>
      <c r="G4902" t="s">
        <v>5</v>
      </c>
      <c r="H4902">
        <v>2025</v>
      </c>
      <c r="I4902" t="s">
        <v>5</v>
      </c>
      <c r="J4902">
        <v>3261</v>
      </c>
      <c r="K4902" t="s">
        <v>1938</v>
      </c>
      <c r="L4902">
        <v>4011</v>
      </c>
      <c r="M4902" t="s">
        <v>1939</v>
      </c>
      <c r="N4902" t="s">
        <v>721</v>
      </c>
      <c r="O4902">
        <v>8</v>
      </c>
      <c r="P4902">
        <v>7184</v>
      </c>
      <c r="Q4902" t="s">
        <v>1728</v>
      </c>
      <c r="R4902" t="s">
        <v>713</v>
      </c>
      <c r="S4902">
        <v>68640</v>
      </c>
      <c r="T4902">
        <v>0</v>
      </c>
      <c r="U4902">
        <v>38.979999999999997</v>
      </c>
      <c r="V4902">
        <v>2675587</v>
      </c>
    </row>
    <row r="4903" spans="1:22">
      <c r="A4903" t="s">
        <v>196</v>
      </c>
      <c r="B4903">
        <v>88</v>
      </c>
      <c r="C4903" t="s">
        <v>1852</v>
      </c>
      <c r="D4903">
        <v>200</v>
      </c>
      <c r="E4903" t="s">
        <v>1834</v>
      </c>
      <c r="F4903">
        <v>1025</v>
      </c>
      <c r="G4903" t="s">
        <v>5</v>
      </c>
      <c r="H4903">
        <v>2025</v>
      </c>
      <c r="I4903" t="s">
        <v>5</v>
      </c>
      <c r="J4903">
        <v>3261</v>
      </c>
      <c r="K4903" t="s">
        <v>1938</v>
      </c>
      <c r="L4903">
        <v>4011</v>
      </c>
      <c r="M4903" t="s">
        <v>1939</v>
      </c>
      <c r="N4903" t="s">
        <v>721</v>
      </c>
      <c r="O4903">
        <v>8</v>
      </c>
      <c r="P4903">
        <v>7183</v>
      </c>
      <c r="Q4903" t="s">
        <v>986</v>
      </c>
      <c r="R4903" t="s">
        <v>713</v>
      </c>
      <c r="S4903">
        <v>105</v>
      </c>
      <c r="T4903">
        <v>1</v>
      </c>
      <c r="U4903">
        <v>48.73</v>
      </c>
      <c r="V4903">
        <v>10642632</v>
      </c>
    </row>
    <row r="4904" spans="1:22">
      <c r="A4904" t="s">
        <v>196</v>
      </c>
      <c r="B4904">
        <v>88</v>
      </c>
      <c r="C4904" t="s">
        <v>1852</v>
      </c>
      <c r="D4904">
        <v>200</v>
      </c>
      <c r="E4904" t="s">
        <v>1834</v>
      </c>
      <c r="F4904">
        <v>1025</v>
      </c>
      <c r="G4904" t="s">
        <v>5</v>
      </c>
      <c r="H4904">
        <v>2025</v>
      </c>
      <c r="I4904" t="s">
        <v>5</v>
      </c>
      <c r="J4904">
        <v>3261</v>
      </c>
      <c r="K4904" t="s">
        <v>1938</v>
      </c>
      <c r="L4904">
        <v>4011</v>
      </c>
      <c r="M4904" t="s">
        <v>1939</v>
      </c>
      <c r="N4904" t="s">
        <v>1948</v>
      </c>
      <c r="O4904">
        <v>53</v>
      </c>
      <c r="P4904">
        <v>7126</v>
      </c>
      <c r="Q4904" t="s">
        <v>1949</v>
      </c>
      <c r="R4904" t="s">
        <v>201</v>
      </c>
      <c r="S4904">
        <v>1</v>
      </c>
      <c r="T4904">
        <v>1</v>
      </c>
      <c r="U4904">
        <v>119052</v>
      </c>
      <c r="V4904">
        <v>119052</v>
      </c>
    </row>
    <row r="4905" spans="1:22">
      <c r="A4905" t="s">
        <v>196</v>
      </c>
      <c r="B4905">
        <v>88</v>
      </c>
      <c r="C4905" t="s">
        <v>1852</v>
      </c>
      <c r="D4905">
        <v>200</v>
      </c>
      <c r="E4905" t="s">
        <v>1834</v>
      </c>
      <c r="F4905">
        <v>1025</v>
      </c>
      <c r="G4905" t="s">
        <v>5</v>
      </c>
      <c r="H4905">
        <v>2025</v>
      </c>
      <c r="I4905" t="s">
        <v>5</v>
      </c>
      <c r="J4905">
        <v>3261</v>
      </c>
      <c r="K4905" t="s">
        <v>1938</v>
      </c>
      <c r="L4905">
        <v>4011</v>
      </c>
      <c r="M4905" t="s">
        <v>1939</v>
      </c>
      <c r="N4905" t="s">
        <v>721</v>
      </c>
      <c r="O4905">
        <v>53</v>
      </c>
      <c r="P4905">
        <v>7101</v>
      </c>
      <c r="Q4905" t="s">
        <v>1936</v>
      </c>
      <c r="R4905" t="s">
        <v>713</v>
      </c>
      <c r="S4905">
        <v>10</v>
      </c>
      <c r="T4905">
        <v>1</v>
      </c>
      <c r="U4905">
        <v>51.4</v>
      </c>
      <c r="V4905">
        <v>1069120</v>
      </c>
    </row>
    <row r="4906" spans="1:22">
      <c r="A4906" t="s">
        <v>196</v>
      </c>
      <c r="B4906">
        <v>88</v>
      </c>
      <c r="C4906" t="s">
        <v>1852</v>
      </c>
      <c r="D4906">
        <v>200</v>
      </c>
      <c r="E4906" t="s">
        <v>1834</v>
      </c>
      <c r="F4906">
        <v>1025</v>
      </c>
      <c r="G4906" t="s">
        <v>5</v>
      </c>
      <c r="H4906">
        <v>2025</v>
      </c>
      <c r="I4906" t="s">
        <v>5</v>
      </c>
      <c r="J4906">
        <v>3261</v>
      </c>
      <c r="K4906" t="s">
        <v>1938</v>
      </c>
      <c r="L4906">
        <v>4011</v>
      </c>
      <c r="M4906" t="s">
        <v>1939</v>
      </c>
      <c r="N4906" t="s">
        <v>721</v>
      </c>
      <c r="O4906">
        <v>16</v>
      </c>
      <c r="P4906">
        <v>4754</v>
      </c>
      <c r="Q4906" t="s">
        <v>975</v>
      </c>
      <c r="R4906" t="s">
        <v>713</v>
      </c>
      <c r="S4906">
        <v>145600</v>
      </c>
      <c r="T4906">
        <v>0</v>
      </c>
      <c r="U4906">
        <v>60.5</v>
      </c>
      <c r="V4906">
        <v>8808800</v>
      </c>
    </row>
    <row r="4907" spans="1:22">
      <c r="A4907" t="s">
        <v>196</v>
      </c>
      <c r="B4907">
        <v>88</v>
      </c>
      <c r="C4907" t="s">
        <v>1852</v>
      </c>
      <c r="D4907">
        <v>200</v>
      </c>
      <c r="E4907" t="s">
        <v>1834</v>
      </c>
      <c r="F4907">
        <v>1025</v>
      </c>
      <c r="G4907" t="s">
        <v>5</v>
      </c>
      <c r="H4907">
        <v>2025</v>
      </c>
      <c r="I4907" t="s">
        <v>5</v>
      </c>
      <c r="J4907">
        <v>3261</v>
      </c>
      <c r="K4907" t="s">
        <v>1938</v>
      </c>
      <c r="L4907">
        <v>4011</v>
      </c>
      <c r="M4907" t="s">
        <v>1939</v>
      </c>
      <c r="N4907" t="s">
        <v>721</v>
      </c>
      <c r="O4907">
        <v>16</v>
      </c>
      <c r="P4907">
        <v>4754</v>
      </c>
      <c r="Q4907" t="s">
        <v>975</v>
      </c>
      <c r="R4907" t="s">
        <v>713</v>
      </c>
      <c r="S4907">
        <v>25</v>
      </c>
      <c r="T4907">
        <v>1</v>
      </c>
      <c r="U4907">
        <v>60.5</v>
      </c>
      <c r="V4907">
        <v>3146000</v>
      </c>
    </row>
    <row r="4908" spans="1:22">
      <c r="A4908" t="s">
        <v>196</v>
      </c>
      <c r="B4908">
        <v>88</v>
      </c>
      <c r="C4908" t="s">
        <v>1852</v>
      </c>
      <c r="D4908">
        <v>200</v>
      </c>
      <c r="E4908" t="s">
        <v>1834</v>
      </c>
      <c r="F4908">
        <v>1025</v>
      </c>
      <c r="G4908" t="s">
        <v>5</v>
      </c>
      <c r="H4908">
        <v>2025</v>
      </c>
      <c r="I4908" t="s">
        <v>5</v>
      </c>
      <c r="J4908">
        <v>3261</v>
      </c>
      <c r="K4908" t="s">
        <v>1938</v>
      </c>
      <c r="L4908">
        <v>4011</v>
      </c>
      <c r="M4908" t="s">
        <v>1939</v>
      </c>
      <c r="N4908" t="s">
        <v>721</v>
      </c>
      <c r="O4908">
        <v>53</v>
      </c>
      <c r="P4908">
        <v>4566</v>
      </c>
      <c r="Q4908" t="s">
        <v>1950</v>
      </c>
      <c r="R4908" t="s">
        <v>713</v>
      </c>
      <c r="S4908">
        <v>1</v>
      </c>
      <c r="T4908">
        <v>1</v>
      </c>
      <c r="U4908">
        <v>55.79</v>
      </c>
      <c r="V4908">
        <v>116043</v>
      </c>
    </row>
    <row r="4909" spans="1:22">
      <c r="A4909" t="s">
        <v>196</v>
      </c>
      <c r="B4909">
        <v>88</v>
      </c>
      <c r="C4909" t="s">
        <v>1852</v>
      </c>
      <c r="D4909">
        <v>200</v>
      </c>
      <c r="E4909" t="s">
        <v>1834</v>
      </c>
      <c r="F4909">
        <v>1025</v>
      </c>
      <c r="G4909" t="s">
        <v>5</v>
      </c>
      <c r="H4909">
        <v>2025</v>
      </c>
      <c r="I4909" t="s">
        <v>5</v>
      </c>
      <c r="J4909">
        <v>3261</v>
      </c>
      <c r="K4909" t="s">
        <v>1938</v>
      </c>
      <c r="L4909">
        <v>4011</v>
      </c>
      <c r="M4909" t="s">
        <v>1939</v>
      </c>
      <c r="N4909" t="s">
        <v>721</v>
      </c>
      <c r="O4909">
        <v>49</v>
      </c>
      <c r="P4909">
        <v>4405</v>
      </c>
      <c r="Q4909" t="s">
        <v>1951</v>
      </c>
      <c r="R4909" t="s">
        <v>713</v>
      </c>
      <c r="S4909">
        <v>1</v>
      </c>
      <c r="T4909">
        <v>1</v>
      </c>
      <c r="U4909">
        <v>58.37</v>
      </c>
      <c r="V4909">
        <v>121410</v>
      </c>
    </row>
    <row r="4910" spans="1:22">
      <c r="A4910" t="s">
        <v>196</v>
      </c>
      <c r="B4910">
        <v>88</v>
      </c>
      <c r="C4910" t="s">
        <v>1852</v>
      </c>
      <c r="D4910">
        <v>200</v>
      </c>
      <c r="E4910" t="s">
        <v>1834</v>
      </c>
      <c r="F4910">
        <v>1025</v>
      </c>
      <c r="G4910" t="s">
        <v>5</v>
      </c>
      <c r="H4910">
        <v>2025</v>
      </c>
      <c r="I4910" t="s">
        <v>5</v>
      </c>
      <c r="J4910">
        <v>3261</v>
      </c>
      <c r="K4910" t="s">
        <v>1938</v>
      </c>
      <c r="L4910">
        <v>4011</v>
      </c>
      <c r="M4910" t="s">
        <v>1939</v>
      </c>
      <c r="N4910" t="s">
        <v>721</v>
      </c>
      <c r="O4910">
        <v>49</v>
      </c>
      <c r="P4910">
        <v>4403</v>
      </c>
      <c r="Q4910" t="s">
        <v>980</v>
      </c>
      <c r="R4910" t="s">
        <v>713</v>
      </c>
      <c r="S4910">
        <v>6240</v>
      </c>
      <c r="T4910">
        <v>0</v>
      </c>
      <c r="U4910">
        <v>53.06</v>
      </c>
      <c r="V4910">
        <v>331094</v>
      </c>
    </row>
    <row r="4911" spans="1:22">
      <c r="A4911" t="s">
        <v>196</v>
      </c>
      <c r="B4911">
        <v>88</v>
      </c>
      <c r="C4911" t="s">
        <v>1852</v>
      </c>
      <c r="D4911">
        <v>200</v>
      </c>
      <c r="E4911" t="s">
        <v>1834</v>
      </c>
      <c r="F4911">
        <v>1025</v>
      </c>
      <c r="G4911" t="s">
        <v>5</v>
      </c>
      <c r="H4911">
        <v>2025</v>
      </c>
      <c r="I4911" t="s">
        <v>5</v>
      </c>
      <c r="J4911">
        <v>3261</v>
      </c>
      <c r="K4911" t="s">
        <v>1938</v>
      </c>
      <c r="L4911">
        <v>4011</v>
      </c>
      <c r="M4911" t="s">
        <v>1939</v>
      </c>
      <c r="N4911" t="s">
        <v>351</v>
      </c>
      <c r="O4911">
        <v>1</v>
      </c>
      <c r="P4911" t="s">
        <v>352</v>
      </c>
      <c r="Q4911" t="s">
        <v>353</v>
      </c>
      <c r="R4911" t="s">
        <v>201</v>
      </c>
      <c r="S4911">
        <v>1</v>
      </c>
      <c r="T4911">
        <v>1</v>
      </c>
      <c r="U4911">
        <v>77640</v>
      </c>
      <c r="V4911">
        <v>77640</v>
      </c>
    </row>
    <row r="4912" spans="1:22">
      <c r="A4912" t="s">
        <v>196</v>
      </c>
      <c r="B4912">
        <v>88</v>
      </c>
      <c r="C4912" t="s">
        <v>1852</v>
      </c>
      <c r="D4912">
        <v>200</v>
      </c>
      <c r="E4912" t="s">
        <v>1834</v>
      </c>
      <c r="F4912">
        <v>1025</v>
      </c>
      <c r="G4912" t="s">
        <v>5</v>
      </c>
      <c r="H4912">
        <v>2025</v>
      </c>
      <c r="I4912" t="s">
        <v>5</v>
      </c>
      <c r="J4912">
        <v>3261</v>
      </c>
      <c r="K4912" t="s">
        <v>1938</v>
      </c>
      <c r="L4912">
        <v>4011</v>
      </c>
      <c r="M4912" t="s">
        <v>1939</v>
      </c>
      <c r="N4912" t="s">
        <v>199</v>
      </c>
      <c r="O4912">
        <v>0</v>
      </c>
      <c r="P4912">
        <v>15</v>
      </c>
      <c r="Q4912" t="s">
        <v>264</v>
      </c>
      <c r="R4912" t="s">
        <v>201</v>
      </c>
      <c r="S4912">
        <v>0</v>
      </c>
      <c r="T4912">
        <v>0</v>
      </c>
      <c r="U4912">
        <v>5364</v>
      </c>
      <c r="V4912">
        <v>5364</v>
      </c>
    </row>
    <row r="4913" spans="1:22">
      <c r="A4913" t="s">
        <v>196</v>
      </c>
      <c r="B4913">
        <v>88</v>
      </c>
      <c r="C4913" t="s">
        <v>1852</v>
      </c>
      <c r="D4913">
        <v>200</v>
      </c>
      <c r="E4913" t="s">
        <v>1834</v>
      </c>
      <c r="F4913">
        <v>1025</v>
      </c>
      <c r="G4913" t="s">
        <v>5</v>
      </c>
      <c r="H4913">
        <v>2025</v>
      </c>
      <c r="I4913" t="s">
        <v>5</v>
      </c>
      <c r="J4913">
        <v>3261</v>
      </c>
      <c r="K4913" t="s">
        <v>1938</v>
      </c>
      <c r="L4913">
        <v>4011</v>
      </c>
      <c r="M4913" t="s">
        <v>1939</v>
      </c>
      <c r="N4913" t="s">
        <v>199</v>
      </c>
      <c r="O4913">
        <v>0</v>
      </c>
      <c r="P4913">
        <v>12</v>
      </c>
      <c r="Q4913" t="s">
        <v>724</v>
      </c>
      <c r="R4913" t="s">
        <v>201</v>
      </c>
      <c r="S4913">
        <v>0</v>
      </c>
      <c r="T4913">
        <v>0</v>
      </c>
      <c r="U4913">
        <v>1008271</v>
      </c>
      <c r="V4913">
        <v>1008271</v>
      </c>
    </row>
    <row r="4914" spans="1:22">
      <c r="A4914" t="s">
        <v>196</v>
      </c>
      <c r="B4914">
        <v>88</v>
      </c>
      <c r="C4914" t="s">
        <v>1852</v>
      </c>
      <c r="D4914">
        <v>200</v>
      </c>
      <c r="E4914" t="s">
        <v>1834</v>
      </c>
      <c r="F4914">
        <v>1025</v>
      </c>
      <c r="G4914" t="s">
        <v>5</v>
      </c>
      <c r="H4914">
        <v>2025</v>
      </c>
      <c r="I4914" t="s">
        <v>5</v>
      </c>
      <c r="J4914">
        <v>3263</v>
      </c>
      <c r="K4914" t="s">
        <v>1952</v>
      </c>
      <c r="L4914">
        <v>0</v>
      </c>
      <c r="N4914" t="s">
        <v>721</v>
      </c>
      <c r="O4914">
        <v>53</v>
      </c>
      <c r="P4914">
        <v>9411</v>
      </c>
      <c r="Q4914" t="s">
        <v>1940</v>
      </c>
      <c r="R4914" t="s">
        <v>713</v>
      </c>
      <c r="S4914">
        <v>14</v>
      </c>
      <c r="T4914">
        <v>1</v>
      </c>
      <c r="U4914">
        <v>51.4</v>
      </c>
      <c r="V4914">
        <v>1496768</v>
      </c>
    </row>
    <row r="4915" spans="1:22">
      <c r="A4915" t="s">
        <v>196</v>
      </c>
      <c r="B4915">
        <v>88</v>
      </c>
      <c r="C4915" t="s">
        <v>1852</v>
      </c>
      <c r="D4915">
        <v>200</v>
      </c>
      <c r="E4915" t="s">
        <v>1834</v>
      </c>
      <c r="F4915">
        <v>1025</v>
      </c>
      <c r="G4915" t="s">
        <v>5</v>
      </c>
      <c r="H4915">
        <v>2025</v>
      </c>
      <c r="I4915" t="s">
        <v>5</v>
      </c>
      <c r="J4915">
        <v>3263</v>
      </c>
      <c r="K4915" t="s">
        <v>1952</v>
      </c>
      <c r="L4915">
        <v>0</v>
      </c>
      <c r="N4915" t="s">
        <v>721</v>
      </c>
      <c r="O4915">
        <v>16</v>
      </c>
      <c r="P4915">
        <v>8394</v>
      </c>
      <c r="Q4915" t="s">
        <v>1942</v>
      </c>
      <c r="R4915" t="s">
        <v>713</v>
      </c>
      <c r="S4915">
        <v>5</v>
      </c>
      <c r="T4915">
        <v>1</v>
      </c>
      <c r="U4915">
        <v>64.150000000000006</v>
      </c>
      <c r="V4915">
        <v>667160</v>
      </c>
    </row>
    <row r="4916" spans="1:22">
      <c r="A4916" t="s">
        <v>196</v>
      </c>
      <c r="B4916">
        <v>88</v>
      </c>
      <c r="C4916" t="s">
        <v>1852</v>
      </c>
      <c r="D4916">
        <v>200</v>
      </c>
      <c r="E4916" t="s">
        <v>1834</v>
      </c>
      <c r="F4916">
        <v>1025</v>
      </c>
      <c r="G4916" t="s">
        <v>5</v>
      </c>
      <c r="H4916">
        <v>2025</v>
      </c>
      <c r="I4916" t="s">
        <v>5</v>
      </c>
      <c r="J4916">
        <v>3263</v>
      </c>
      <c r="K4916" t="s">
        <v>1952</v>
      </c>
      <c r="L4916">
        <v>0</v>
      </c>
      <c r="N4916" t="s">
        <v>721</v>
      </c>
      <c r="O4916">
        <v>16</v>
      </c>
      <c r="P4916">
        <v>8352</v>
      </c>
      <c r="Q4916" t="s">
        <v>1945</v>
      </c>
      <c r="R4916" t="s">
        <v>712</v>
      </c>
      <c r="S4916">
        <v>4</v>
      </c>
      <c r="T4916">
        <v>1</v>
      </c>
      <c r="U4916">
        <v>11466</v>
      </c>
      <c r="V4916">
        <v>550368</v>
      </c>
    </row>
    <row r="4917" spans="1:22">
      <c r="A4917" t="s">
        <v>196</v>
      </c>
      <c r="B4917">
        <v>88</v>
      </c>
      <c r="C4917" t="s">
        <v>1852</v>
      </c>
      <c r="D4917">
        <v>200</v>
      </c>
      <c r="E4917" t="s">
        <v>1834</v>
      </c>
      <c r="F4917">
        <v>1025</v>
      </c>
      <c r="G4917" t="s">
        <v>5</v>
      </c>
      <c r="H4917">
        <v>2025</v>
      </c>
      <c r="I4917" t="s">
        <v>5</v>
      </c>
      <c r="J4917">
        <v>3263</v>
      </c>
      <c r="K4917" t="s">
        <v>1952</v>
      </c>
      <c r="L4917">
        <v>0</v>
      </c>
      <c r="N4917" t="s">
        <v>721</v>
      </c>
      <c r="O4917">
        <v>16</v>
      </c>
      <c r="P4917">
        <v>8301</v>
      </c>
      <c r="Q4917" t="s">
        <v>1946</v>
      </c>
      <c r="R4917" t="s">
        <v>713</v>
      </c>
      <c r="S4917">
        <v>1</v>
      </c>
      <c r="T4917">
        <v>1</v>
      </c>
      <c r="U4917">
        <v>60.5</v>
      </c>
      <c r="V4917">
        <v>125840</v>
      </c>
    </row>
    <row r="4918" spans="1:22">
      <c r="A4918" t="s">
        <v>196</v>
      </c>
      <c r="B4918">
        <v>88</v>
      </c>
      <c r="C4918" t="s">
        <v>1852</v>
      </c>
      <c r="D4918">
        <v>200</v>
      </c>
      <c r="E4918" t="s">
        <v>1834</v>
      </c>
      <c r="F4918">
        <v>1025</v>
      </c>
      <c r="G4918" t="s">
        <v>5</v>
      </c>
      <c r="H4918">
        <v>2025</v>
      </c>
      <c r="I4918" t="s">
        <v>5</v>
      </c>
      <c r="J4918">
        <v>3263</v>
      </c>
      <c r="K4918" t="s">
        <v>1952</v>
      </c>
      <c r="L4918">
        <v>0</v>
      </c>
      <c r="N4918" t="s">
        <v>721</v>
      </c>
      <c r="O4918">
        <v>16</v>
      </c>
      <c r="P4918">
        <v>8301</v>
      </c>
      <c r="Q4918" t="s">
        <v>1946</v>
      </c>
      <c r="R4918" t="s">
        <v>713</v>
      </c>
      <c r="S4918">
        <v>1</v>
      </c>
      <c r="T4918">
        <v>1</v>
      </c>
      <c r="U4918">
        <v>51.43</v>
      </c>
      <c r="V4918">
        <v>106974</v>
      </c>
    </row>
    <row r="4919" spans="1:22">
      <c r="A4919" t="s">
        <v>196</v>
      </c>
      <c r="B4919">
        <v>88</v>
      </c>
      <c r="C4919" t="s">
        <v>1852</v>
      </c>
      <c r="D4919">
        <v>200</v>
      </c>
      <c r="E4919" t="s">
        <v>1834</v>
      </c>
      <c r="F4919">
        <v>1025</v>
      </c>
      <c r="G4919" t="s">
        <v>5</v>
      </c>
      <c r="H4919">
        <v>2025</v>
      </c>
      <c r="I4919" t="s">
        <v>5</v>
      </c>
      <c r="J4919">
        <v>3263</v>
      </c>
      <c r="K4919" t="s">
        <v>1952</v>
      </c>
      <c r="L4919">
        <v>0</v>
      </c>
      <c r="N4919" t="s">
        <v>721</v>
      </c>
      <c r="O4919">
        <v>16</v>
      </c>
      <c r="P4919">
        <v>4754</v>
      </c>
      <c r="Q4919" t="s">
        <v>975</v>
      </c>
      <c r="R4919" t="s">
        <v>713</v>
      </c>
      <c r="S4919">
        <v>4</v>
      </c>
      <c r="T4919">
        <v>1</v>
      </c>
      <c r="U4919">
        <v>60.5</v>
      </c>
      <c r="V4919">
        <v>503360</v>
      </c>
    </row>
    <row r="4920" spans="1:22">
      <c r="A4920" t="s">
        <v>196</v>
      </c>
      <c r="B4920">
        <v>88</v>
      </c>
      <c r="C4920" t="s">
        <v>1852</v>
      </c>
      <c r="D4920">
        <v>200</v>
      </c>
      <c r="E4920" t="s">
        <v>1834</v>
      </c>
      <c r="F4920">
        <v>1025</v>
      </c>
      <c r="G4920" t="s">
        <v>5</v>
      </c>
      <c r="H4920">
        <v>2025</v>
      </c>
      <c r="I4920" t="s">
        <v>5</v>
      </c>
      <c r="J4920">
        <v>3263</v>
      </c>
      <c r="K4920" t="s">
        <v>1952</v>
      </c>
      <c r="L4920">
        <v>0</v>
      </c>
      <c r="N4920" t="s">
        <v>1928</v>
      </c>
      <c r="O4920">
        <v>53</v>
      </c>
      <c r="P4920">
        <v>417</v>
      </c>
      <c r="Q4920" t="s">
        <v>1929</v>
      </c>
      <c r="R4920" t="s">
        <v>201</v>
      </c>
      <c r="S4920">
        <v>1</v>
      </c>
      <c r="T4920">
        <v>1</v>
      </c>
      <c r="U4920">
        <v>56112</v>
      </c>
      <c r="V4920">
        <v>56112</v>
      </c>
    </row>
    <row r="4921" spans="1:22">
      <c r="A4921" t="s">
        <v>196</v>
      </c>
      <c r="B4921">
        <v>88</v>
      </c>
      <c r="C4921" t="s">
        <v>1852</v>
      </c>
      <c r="D4921">
        <v>200</v>
      </c>
      <c r="E4921" t="s">
        <v>1834</v>
      </c>
      <c r="F4921">
        <v>1025</v>
      </c>
      <c r="G4921" t="s">
        <v>5</v>
      </c>
      <c r="H4921">
        <v>2025</v>
      </c>
      <c r="I4921" t="s">
        <v>5</v>
      </c>
      <c r="J4921">
        <v>3263</v>
      </c>
      <c r="K4921" t="s">
        <v>1952</v>
      </c>
      <c r="L4921">
        <v>0</v>
      </c>
      <c r="N4921" t="s">
        <v>199</v>
      </c>
      <c r="O4921">
        <v>0</v>
      </c>
      <c r="P4921">
        <v>15</v>
      </c>
      <c r="Q4921" t="s">
        <v>264</v>
      </c>
      <c r="R4921" t="s">
        <v>201</v>
      </c>
      <c r="S4921">
        <v>0</v>
      </c>
      <c r="T4921">
        <v>0</v>
      </c>
      <c r="U4921">
        <v>317</v>
      </c>
      <c r="V4921">
        <v>317</v>
      </c>
    </row>
    <row r="4922" spans="1:22">
      <c r="A4922" t="s">
        <v>196</v>
      </c>
      <c r="B4922">
        <v>88</v>
      </c>
      <c r="C4922" t="s">
        <v>1852</v>
      </c>
      <c r="D4922">
        <v>200</v>
      </c>
      <c r="E4922" t="s">
        <v>1834</v>
      </c>
      <c r="F4922">
        <v>1025</v>
      </c>
      <c r="G4922" t="s">
        <v>5</v>
      </c>
      <c r="H4922">
        <v>2025</v>
      </c>
      <c r="I4922" t="s">
        <v>5</v>
      </c>
      <c r="J4922">
        <v>3263</v>
      </c>
      <c r="K4922" t="s">
        <v>1952</v>
      </c>
      <c r="L4922">
        <v>0</v>
      </c>
      <c r="N4922" t="s">
        <v>199</v>
      </c>
      <c r="O4922">
        <v>0</v>
      </c>
      <c r="P4922">
        <v>12</v>
      </c>
      <c r="Q4922" t="s">
        <v>724</v>
      </c>
      <c r="R4922" t="s">
        <v>201</v>
      </c>
      <c r="S4922">
        <v>0</v>
      </c>
      <c r="T4922">
        <v>0</v>
      </c>
      <c r="U4922">
        <v>51758</v>
      </c>
      <c r="V4922">
        <v>51758</v>
      </c>
    </row>
    <row r="4923" spans="1:22">
      <c r="A4923" t="s">
        <v>196</v>
      </c>
      <c r="B4923">
        <v>88</v>
      </c>
      <c r="C4923" t="s">
        <v>1852</v>
      </c>
      <c r="D4923">
        <v>200</v>
      </c>
      <c r="E4923" t="s">
        <v>1834</v>
      </c>
      <c r="F4923">
        <v>1025</v>
      </c>
      <c r="G4923" t="s">
        <v>5</v>
      </c>
      <c r="H4923">
        <v>2025</v>
      </c>
      <c r="I4923" t="s">
        <v>5</v>
      </c>
      <c r="J4923">
        <v>3265</v>
      </c>
      <c r="K4923" t="s">
        <v>1811</v>
      </c>
      <c r="L4923">
        <v>0</v>
      </c>
      <c r="N4923" t="s">
        <v>721</v>
      </c>
      <c r="O4923">
        <v>36</v>
      </c>
      <c r="P4923">
        <v>6681</v>
      </c>
      <c r="Q4923" t="s">
        <v>1953</v>
      </c>
      <c r="R4923" t="s">
        <v>713</v>
      </c>
      <c r="S4923">
        <v>12480</v>
      </c>
      <c r="T4923">
        <v>0</v>
      </c>
      <c r="U4923">
        <v>30.2</v>
      </c>
      <c r="V4923">
        <v>376896</v>
      </c>
    </row>
    <row r="4924" spans="1:22">
      <c r="A4924" t="s">
        <v>196</v>
      </c>
      <c r="B4924">
        <v>88</v>
      </c>
      <c r="C4924" t="s">
        <v>1852</v>
      </c>
      <c r="D4924">
        <v>200</v>
      </c>
      <c r="E4924" t="s">
        <v>1834</v>
      </c>
      <c r="F4924">
        <v>1025</v>
      </c>
      <c r="G4924" t="s">
        <v>5</v>
      </c>
      <c r="H4924">
        <v>2025</v>
      </c>
      <c r="I4924" t="s">
        <v>5</v>
      </c>
      <c r="J4924">
        <v>3265</v>
      </c>
      <c r="K4924" t="s">
        <v>1811</v>
      </c>
      <c r="L4924">
        <v>0</v>
      </c>
      <c r="N4924" t="s">
        <v>199</v>
      </c>
      <c r="O4924">
        <v>0</v>
      </c>
      <c r="P4924">
        <v>12</v>
      </c>
      <c r="Q4924" t="s">
        <v>724</v>
      </c>
      <c r="R4924" t="s">
        <v>201</v>
      </c>
      <c r="S4924">
        <v>0</v>
      </c>
      <c r="T4924">
        <v>0</v>
      </c>
      <c r="U4924">
        <v>5653</v>
      </c>
      <c r="V4924">
        <v>5653</v>
      </c>
    </row>
    <row r="4925" spans="1:22">
      <c r="A4925" t="s">
        <v>196</v>
      </c>
      <c r="B4925">
        <v>88</v>
      </c>
      <c r="C4925" t="s">
        <v>1852</v>
      </c>
      <c r="D4925">
        <v>200</v>
      </c>
      <c r="E4925" t="s">
        <v>1834</v>
      </c>
      <c r="F4925">
        <v>1025</v>
      </c>
      <c r="G4925" t="s">
        <v>5</v>
      </c>
      <c r="H4925">
        <v>2025</v>
      </c>
      <c r="I4925" t="s">
        <v>5</v>
      </c>
      <c r="J4925">
        <v>3270</v>
      </c>
      <c r="K4925" t="s">
        <v>1954</v>
      </c>
      <c r="L4925">
        <v>0</v>
      </c>
      <c r="N4925" t="s">
        <v>1294</v>
      </c>
      <c r="O4925">
        <v>0</v>
      </c>
      <c r="P4925">
        <v>9681</v>
      </c>
      <c r="Q4925" t="s">
        <v>338</v>
      </c>
      <c r="R4925" t="s">
        <v>201</v>
      </c>
      <c r="S4925">
        <v>1</v>
      </c>
      <c r="T4925">
        <v>1</v>
      </c>
      <c r="U4925">
        <v>184584</v>
      </c>
      <c r="V4925">
        <v>184584</v>
      </c>
    </row>
    <row r="4926" spans="1:22">
      <c r="A4926" t="s">
        <v>196</v>
      </c>
      <c r="B4926">
        <v>88</v>
      </c>
      <c r="C4926" t="s">
        <v>1852</v>
      </c>
      <c r="D4926">
        <v>200</v>
      </c>
      <c r="E4926" t="s">
        <v>1834</v>
      </c>
      <c r="F4926">
        <v>1025</v>
      </c>
      <c r="G4926" t="s">
        <v>5</v>
      </c>
      <c r="H4926">
        <v>2025</v>
      </c>
      <c r="I4926" t="s">
        <v>5</v>
      </c>
      <c r="J4926">
        <v>3270</v>
      </c>
      <c r="K4926" t="s">
        <v>1954</v>
      </c>
      <c r="L4926">
        <v>0</v>
      </c>
      <c r="N4926" t="s">
        <v>721</v>
      </c>
      <c r="O4926">
        <v>53</v>
      </c>
      <c r="P4926">
        <v>9410</v>
      </c>
      <c r="Q4926" t="s">
        <v>1941</v>
      </c>
      <c r="R4926" t="s">
        <v>713</v>
      </c>
      <c r="S4926">
        <v>214240</v>
      </c>
      <c r="T4926">
        <v>0</v>
      </c>
      <c r="U4926">
        <v>30.84</v>
      </c>
      <c r="V4926">
        <v>6607162</v>
      </c>
    </row>
    <row r="4927" spans="1:22">
      <c r="A4927" t="s">
        <v>196</v>
      </c>
      <c r="B4927">
        <v>88</v>
      </c>
      <c r="C4927" t="s">
        <v>1852</v>
      </c>
      <c r="D4927">
        <v>200</v>
      </c>
      <c r="E4927" t="s">
        <v>1834</v>
      </c>
      <c r="F4927">
        <v>1025</v>
      </c>
      <c r="G4927" t="s">
        <v>5</v>
      </c>
      <c r="H4927">
        <v>2025</v>
      </c>
      <c r="I4927" t="s">
        <v>5</v>
      </c>
      <c r="J4927">
        <v>3270</v>
      </c>
      <c r="K4927" t="s">
        <v>1954</v>
      </c>
      <c r="L4927">
        <v>0</v>
      </c>
      <c r="N4927" t="s">
        <v>721</v>
      </c>
      <c r="O4927">
        <v>16</v>
      </c>
      <c r="P4927">
        <v>8394</v>
      </c>
      <c r="Q4927" t="s">
        <v>1942</v>
      </c>
      <c r="R4927" t="s">
        <v>713</v>
      </c>
      <c r="S4927">
        <v>24960</v>
      </c>
      <c r="T4927">
        <v>0</v>
      </c>
      <c r="U4927">
        <v>64.150000000000006</v>
      </c>
      <c r="V4927">
        <v>1601184</v>
      </c>
    </row>
    <row r="4928" spans="1:22">
      <c r="A4928" t="s">
        <v>196</v>
      </c>
      <c r="B4928">
        <v>88</v>
      </c>
      <c r="C4928" t="s">
        <v>1852</v>
      </c>
      <c r="D4928">
        <v>200</v>
      </c>
      <c r="E4928" t="s">
        <v>1834</v>
      </c>
      <c r="F4928">
        <v>1025</v>
      </c>
      <c r="G4928" t="s">
        <v>5</v>
      </c>
      <c r="H4928">
        <v>2025</v>
      </c>
      <c r="I4928" t="s">
        <v>5</v>
      </c>
      <c r="J4928">
        <v>3270</v>
      </c>
      <c r="K4928" t="s">
        <v>1954</v>
      </c>
      <c r="L4928">
        <v>0</v>
      </c>
      <c r="N4928" t="s">
        <v>721</v>
      </c>
      <c r="O4928">
        <v>42</v>
      </c>
      <c r="P4928">
        <v>7633</v>
      </c>
      <c r="Q4928" t="s">
        <v>1740</v>
      </c>
      <c r="R4928" t="s">
        <v>713</v>
      </c>
      <c r="S4928">
        <v>49920</v>
      </c>
      <c r="T4928">
        <v>0</v>
      </c>
      <c r="U4928">
        <v>66.8</v>
      </c>
      <c r="V4928">
        <v>3334656</v>
      </c>
    </row>
    <row r="4929" spans="1:22">
      <c r="A4929" t="s">
        <v>196</v>
      </c>
      <c r="B4929">
        <v>88</v>
      </c>
      <c r="C4929" t="s">
        <v>1852</v>
      </c>
      <c r="D4929">
        <v>200</v>
      </c>
      <c r="E4929" t="s">
        <v>1834</v>
      </c>
      <c r="F4929">
        <v>1025</v>
      </c>
      <c r="G4929" t="s">
        <v>5</v>
      </c>
      <c r="H4929">
        <v>2025</v>
      </c>
      <c r="I4929" t="s">
        <v>5</v>
      </c>
      <c r="J4929">
        <v>3270</v>
      </c>
      <c r="K4929" t="s">
        <v>1954</v>
      </c>
      <c r="L4929">
        <v>0</v>
      </c>
      <c r="N4929" t="s">
        <v>721</v>
      </c>
      <c r="O4929">
        <v>8</v>
      </c>
      <c r="P4929">
        <v>7183</v>
      </c>
      <c r="Q4929" t="s">
        <v>986</v>
      </c>
      <c r="R4929" t="s">
        <v>713</v>
      </c>
      <c r="S4929">
        <v>135200</v>
      </c>
      <c r="T4929">
        <v>0</v>
      </c>
      <c r="U4929">
        <v>48.73</v>
      </c>
      <c r="V4929">
        <v>6588296</v>
      </c>
    </row>
    <row r="4930" spans="1:22">
      <c r="A4930" t="s">
        <v>196</v>
      </c>
      <c r="B4930">
        <v>88</v>
      </c>
      <c r="C4930" t="s">
        <v>1852</v>
      </c>
      <c r="D4930">
        <v>200</v>
      </c>
      <c r="E4930" t="s">
        <v>1834</v>
      </c>
      <c r="F4930">
        <v>1025</v>
      </c>
      <c r="G4930" t="s">
        <v>5</v>
      </c>
      <c r="H4930">
        <v>2025</v>
      </c>
      <c r="I4930" t="s">
        <v>5</v>
      </c>
      <c r="J4930">
        <v>3270</v>
      </c>
      <c r="K4930" t="s">
        <v>1954</v>
      </c>
      <c r="L4930">
        <v>0</v>
      </c>
      <c r="N4930" t="s">
        <v>721</v>
      </c>
      <c r="O4930">
        <v>36</v>
      </c>
      <c r="P4930">
        <v>6672</v>
      </c>
      <c r="Q4930" t="s">
        <v>1955</v>
      </c>
      <c r="R4930" t="s">
        <v>713</v>
      </c>
      <c r="S4930">
        <v>4160</v>
      </c>
      <c r="T4930">
        <v>0</v>
      </c>
      <c r="U4930">
        <v>51.9</v>
      </c>
      <c r="V4930">
        <v>215904</v>
      </c>
    </row>
    <row r="4931" spans="1:22">
      <c r="A4931" t="s">
        <v>196</v>
      </c>
      <c r="B4931">
        <v>88</v>
      </c>
      <c r="C4931" t="s">
        <v>1852</v>
      </c>
      <c r="D4931">
        <v>200</v>
      </c>
      <c r="E4931" t="s">
        <v>1834</v>
      </c>
      <c r="F4931">
        <v>1025</v>
      </c>
      <c r="G4931" t="s">
        <v>5</v>
      </c>
      <c r="H4931">
        <v>2025</v>
      </c>
      <c r="I4931" t="s">
        <v>5</v>
      </c>
      <c r="J4931">
        <v>3270</v>
      </c>
      <c r="K4931" t="s">
        <v>1954</v>
      </c>
      <c r="L4931">
        <v>0</v>
      </c>
      <c r="N4931" t="s">
        <v>1755</v>
      </c>
      <c r="O4931">
        <v>53</v>
      </c>
      <c r="P4931">
        <v>6304</v>
      </c>
      <c r="Q4931" t="s">
        <v>1861</v>
      </c>
      <c r="R4931" t="s">
        <v>201</v>
      </c>
      <c r="S4931">
        <v>1</v>
      </c>
      <c r="T4931">
        <v>1</v>
      </c>
      <c r="U4931">
        <v>113604</v>
      </c>
      <c r="V4931">
        <v>113604</v>
      </c>
    </row>
    <row r="4932" spans="1:22">
      <c r="A4932" t="s">
        <v>196</v>
      </c>
      <c r="B4932">
        <v>88</v>
      </c>
      <c r="C4932" t="s">
        <v>1852</v>
      </c>
      <c r="D4932">
        <v>200</v>
      </c>
      <c r="E4932" t="s">
        <v>1834</v>
      </c>
      <c r="F4932">
        <v>1025</v>
      </c>
      <c r="G4932" t="s">
        <v>5</v>
      </c>
      <c r="H4932">
        <v>2025</v>
      </c>
      <c r="I4932" t="s">
        <v>5</v>
      </c>
      <c r="J4932">
        <v>3270</v>
      </c>
      <c r="K4932" t="s">
        <v>1954</v>
      </c>
      <c r="L4932">
        <v>0</v>
      </c>
      <c r="N4932" t="s">
        <v>602</v>
      </c>
      <c r="O4932">
        <v>4</v>
      </c>
      <c r="P4932">
        <v>5644</v>
      </c>
      <c r="Q4932" t="s">
        <v>1876</v>
      </c>
      <c r="R4932" t="s">
        <v>201</v>
      </c>
      <c r="S4932">
        <v>1</v>
      </c>
      <c r="T4932">
        <v>1</v>
      </c>
      <c r="U4932">
        <v>99408</v>
      </c>
      <c r="V4932">
        <v>99408</v>
      </c>
    </row>
    <row r="4933" spans="1:22">
      <c r="A4933" t="s">
        <v>196</v>
      </c>
      <c r="B4933">
        <v>88</v>
      </c>
      <c r="C4933" t="s">
        <v>1852</v>
      </c>
      <c r="D4933">
        <v>200</v>
      </c>
      <c r="E4933" t="s">
        <v>1834</v>
      </c>
      <c r="F4933">
        <v>1025</v>
      </c>
      <c r="G4933" t="s">
        <v>5</v>
      </c>
      <c r="H4933">
        <v>2025</v>
      </c>
      <c r="I4933" t="s">
        <v>5</v>
      </c>
      <c r="J4933">
        <v>3270</v>
      </c>
      <c r="K4933" t="s">
        <v>1954</v>
      </c>
      <c r="L4933">
        <v>0</v>
      </c>
      <c r="N4933" t="s">
        <v>271</v>
      </c>
      <c r="O4933">
        <v>20</v>
      </c>
      <c r="P4933">
        <v>5630</v>
      </c>
      <c r="Q4933" t="s">
        <v>955</v>
      </c>
      <c r="R4933" t="s">
        <v>201</v>
      </c>
      <c r="S4933">
        <v>2</v>
      </c>
      <c r="T4933">
        <v>1</v>
      </c>
      <c r="U4933">
        <v>115992</v>
      </c>
      <c r="V4933">
        <v>231984</v>
      </c>
    </row>
    <row r="4934" spans="1:22">
      <c r="A4934" t="s">
        <v>196</v>
      </c>
      <c r="B4934">
        <v>88</v>
      </c>
      <c r="C4934" t="s">
        <v>1852</v>
      </c>
      <c r="D4934">
        <v>200</v>
      </c>
      <c r="E4934" t="s">
        <v>1834</v>
      </c>
      <c r="F4934">
        <v>1025</v>
      </c>
      <c r="G4934" t="s">
        <v>5</v>
      </c>
      <c r="H4934">
        <v>2025</v>
      </c>
      <c r="I4934" t="s">
        <v>5</v>
      </c>
      <c r="J4934">
        <v>3270</v>
      </c>
      <c r="K4934" t="s">
        <v>1954</v>
      </c>
      <c r="L4934">
        <v>0</v>
      </c>
      <c r="N4934" t="s">
        <v>721</v>
      </c>
      <c r="O4934">
        <v>16</v>
      </c>
      <c r="P4934">
        <v>4754</v>
      </c>
      <c r="Q4934" t="s">
        <v>975</v>
      </c>
      <c r="R4934" t="s">
        <v>713</v>
      </c>
      <c r="S4934">
        <v>62400</v>
      </c>
      <c r="T4934">
        <v>0</v>
      </c>
      <c r="U4934">
        <v>60.5</v>
      </c>
      <c r="V4934">
        <v>3775200</v>
      </c>
    </row>
    <row r="4935" spans="1:22">
      <c r="A4935" t="s">
        <v>196</v>
      </c>
      <c r="B4935">
        <v>88</v>
      </c>
      <c r="C4935" t="s">
        <v>1852</v>
      </c>
      <c r="D4935">
        <v>200</v>
      </c>
      <c r="E4935" t="s">
        <v>1834</v>
      </c>
      <c r="F4935">
        <v>1025</v>
      </c>
      <c r="G4935" t="s">
        <v>5</v>
      </c>
      <c r="H4935">
        <v>2025</v>
      </c>
      <c r="I4935" t="s">
        <v>5</v>
      </c>
      <c r="J4935">
        <v>3270</v>
      </c>
      <c r="K4935" t="s">
        <v>1954</v>
      </c>
      <c r="L4935">
        <v>0</v>
      </c>
      <c r="N4935" t="s">
        <v>1956</v>
      </c>
      <c r="O4935">
        <v>16</v>
      </c>
      <c r="P4935">
        <v>1062</v>
      </c>
      <c r="Q4935" t="s">
        <v>1957</v>
      </c>
      <c r="R4935" t="s">
        <v>201</v>
      </c>
      <c r="S4935">
        <v>2</v>
      </c>
      <c r="T4935">
        <v>1</v>
      </c>
      <c r="U4935">
        <v>70740</v>
      </c>
      <c r="V4935">
        <v>141480</v>
      </c>
    </row>
    <row r="4936" spans="1:22">
      <c r="A4936" t="s">
        <v>196</v>
      </c>
      <c r="B4936">
        <v>88</v>
      </c>
      <c r="C4936" t="s">
        <v>1852</v>
      </c>
      <c r="D4936">
        <v>200</v>
      </c>
      <c r="E4936" t="s">
        <v>1834</v>
      </c>
      <c r="F4936">
        <v>1025</v>
      </c>
      <c r="G4936" t="s">
        <v>5</v>
      </c>
      <c r="H4936">
        <v>2025</v>
      </c>
      <c r="I4936" t="s">
        <v>5</v>
      </c>
      <c r="J4936">
        <v>3270</v>
      </c>
      <c r="K4936" t="s">
        <v>1954</v>
      </c>
      <c r="L4936">
        <v>0</v>
      </c>
      <c r="N4936" t="s">
        <v>1314</v>
      </c>
      <c r="O4936">
        <v>0</v>
      </c>
      <c r="P4936" t="s">
        <v>1471</v>
      </c>
      <c r="Q4936" t="s">
        <v>605</v>
      </c>
      <c r="R4936" t="s">
        <v>201</v>
      </c>
      <c r="S4936">
        <v>2</v>
      </c>
      <c r="T4936">
        <v>1</v>
      </c>
      <c r="U4936">
        <v>160680</v>
      </c>
      <c r="V4936">
        <v>321360</v>
      </c>
    </row>
    <row r="4937" spans="1:22">
      <c r="A4937" t="s">
        <v>196</v>
      </c>
      <c r="B4937">
        <v>88</v>
      </c>
      <c r="C4937" t="s">
        <v>1852</v>
      </c>
      <c r="D4937">
        <v>200</v>
      </c>
      <c r="E4937" t="s">
        <v>1834</v>
      </c>
      <c r="F4937">
        <v>1025</v>
      </c>
      <c r="G4937" t="s">
        <v>5</v>
      </c>
      <c r="H4937">
        <v>2025</v>
      </c>
      <c r="I4937" t="s">
        <v>5</v>
      </c>
      <c r="J4937">
        <v>3270</v>
      </c>
      <c r="K4937" t="s">
        <v>1954</v>
      </c>
      <c r="L4937">
        <v>0</v>
      </c>
      <c r="N4937" t="s">
        <v>249</v>
      </c>
      <c r="O4937">
        <v>10</v>
      </c>
      <c r="P4937">
        <v>311</v>
      </c>
      <c r="Q4937" t="s">
        <v>661</v>
      </c>
      <c r="R4937" t="s">
        <v>201</v>
      </c>
      <c r="S4937">
        <v>1</v>
      </c>
      <c r="T4937">
        <v>1</v>
      </c>
      <c r="U4937">
        <v>118956</v>
      </c>
      <c r="V4937">
        <v>118956</v>
      </c>
    </row>
    <row r="4938" spans="1:22">
      <c r="A4938" t="s">
        <v>196</v>
      </c>
      <c r="B4938">
        <v>88</v>
      </c>
      <c r="C4938" t="s">
        <v>1852</v>
      </c>
      <c r="D4938">
        <v>200</v>
      </c>
      <c r="E4938" t="s">
        <v>1834</v>
      </c>
      <c r="F4938">
        <v>1025</v>
      </c>
      <c r="G4938" t="s">
        <v>5</v>
      </c>
      <c r="H4938">
        <v>2025</v>
      </c>
      <c r="I4938" t="s">
        <v>5</v>
      </c>
      <c r="J4938">
        <v>3270</v>
      </c>
      <c r="K4938" t="s">
        <v>1954</v>
      </c>
      <c r="L4938">
        <v>0</v>
      </c>
      <c r="N4938" t="s">
        <v>249</v>
      </c>
      <c r="O4938">
        <v>10</v>
      </c>
      <c r="P4938">
        <v>310</v>
      </c>
      <c r="Q4938" t="s">
        <v>447</v>
      </c>
      <c r="R4938" t="s">
        <v>201</v>
      </c>
      <c r="S4938">
        <v>1</v>
      </c>
      <c r="T4938">
        <v>1</v>
      </c>
      <c r="U4938">
        <v>89112</v>
      </c>
      <c r="V4938">
        <v>89112</v>
      </c>
    </row>
    <row r="4939" spans="1:22">
      <c r="A4939" t="s">
        <v>196</v>
      </c>
      <c r="B4939">
        <v>88</v>
      </c>
      <c r="C4939" t="s">
        <v>1852</v>
      </c>
      <c r="D4939">
        <v>200</v>
      </c>
      <c r="E4939" t="s">
        <v>1834</v>
      </c>
      <c r="F4939">
        <v>1025</v>
      </c>
      <c r="G4939" t="s">
        <v>5</v>
      </c>
      <c r="H4939">
        <v>2025</v>
      </c>
      <c r="I4939" t="s">
        <v>5</v>
      </c>
      <c r="J4939">
        <v>3270</v>
      </c>
      <c r="K4939" t="s">
        <v>1954</v>
      </c>
      <c r="L4939">
        <v>0</v>
      </c>
      <c r="N4939" t="s">
        <v>199</v>
      </c>
      <c r="O4939">
        <v>0</v>
      </c>
      <c r="P4939">
        <v>15</v>
      </c>
      <c r="Q4939" t="s">
        <v>264</v>
      </c>
      <c r="R4939" t="s">
        <v>201</v>
      </c>
      <c r="S4939">
        <v>0</v>
      </c>
      <c r="T4939">
        <v>0</v>
      </c>
      <c r="U4939">
        <v>23485</v>
      </c>
      <c r="V4939">
        <v>23485</v>
      </c>
    </row>
    <row r="4940" spans="1:22">
      <c r="A4940" t="s">
        <v>196</v>
      </c>
      <c r="B4940">
        <v>88</v>
      </c>
      <c r="C4940" t="s">
        <v>1852</v>
      </c>
      <c r="D4940">
        <v>200</v>
      </c>
      <c r="E4940" t="s">
        <v>1834</v>
      </c>
      <c r="F4940">
        <v>1025</v>
      </c>
      <c r="G4940" t="s">
        <v>5</v>
      </c>
      <c r="H4940">
        <v>2025</v>
      </c>
      <c r="I4940" t="s">
        <v>5</v>
      </c>
      <c r="J4940">
        <v>3270</v>
      </c>
      <c r="K4940" t="s">
        <v>1954</v>
      </c>
      <c r="L4940">
        <v>0</v>
      </c>
      <c r="N4940" t="s">
        <v>199</v>
      </c>
      <c r="O4940">
        <v>0</v>
      </c>
      <c r="P4940">
        <v>12</v>
      </c>
      <c r="Q4940" t="s">
        <v>724</v>
      </c>
      <c r="R4940" t="s">
        <v>201</v>
      </c>
      <c r="S4940">
        <v>0</v>
      </c>
      <c r="T4940">
        <v>0</v>
      </c>
      <c r="U4940">
        <v>331836</v>
      </c>
      <c r="V4940">
        <v>331836</v>
      </c>
    </row>
    <row r="4941" spans="1:22">
      <c r="A4941" t="s">
        <v>196</v>
      </c>
      <c r="B4941">
        <v>88</v>
      </c>
      <c r="C4941" t="s">
        <v>1852</v>
      </c>
      <c r="D4941">
        <v>200</v>
      </c>
      <c r="E4941" t="s">
        <v>1834</v>
      </c>
      <c r="F4941">
        <v>1025</v>
      </c>
      <c r="G4941" t="s">
        <v>5</v>
      </c>
      <c r="H4941">
        <v>2025</v>
      </c>
      <c r="I4941" t="s">
        <v>5</v>
      </c>
      <c r="J4941">
        <v>3364</v>
      </c>
      <c r="K4941" t="s">
        <v>1958</v>
      </c>
      <c r="L4941">
        <v>4365</v>
      </c>
      <c r="M4941" t="s">
        <v>1959</v>
      </c>
      <c r="N4941" t="s">
        <v>721</v>
      </c>
      <c r="O4941">
        <v>16</v>
      </c>
      <c r="P4941">
        <v>2237</v>
      </c>
      <c r="Q4941" t="s">
        <v>1851</v>
      </c>
      <c r="R4941" t="s">
        <v>712</v>
      </c>
      <c r="S4941">
        <v>1</v>
      </c>
      <c r="T4941">
        <v>1</v>
      </c>
      <c r="U4941">
        <v>13592.8</v>
      </c>
      <c r="V4941">
        <v>163114</v>
      </c>
    </row>
    <row r="4942" spans="1:22">
      <c r="A4942" t="s">
        <v>196</v>
      </c>
      <c r="B4942">
        <v>88</v>
      </c>
      <c r="C4942" t="s">
        <v>1852</v>
      </c>
      <c r="D4942">
        <v>200</v>
      </c>
      <c r="E4942" t="s">
        <v>1834</v>
      </c>
      <c r="F4942">
        <v>1025</v>
      </c>
      <c r="G4942" t="s">
        <v>5</v>
      </c>
      <c r="H4942">
        <v>2025</v>
      </c>
      <c r="I4942" t="s">
        <v>5</v>
      </c>
      <c r="J4942">
        <v>3364</v>
      </c>
      <c r="K4942" t="s">
        <v>1958</v>
      </c>
      <c r="L4942">
        <v>4365</v>
      </c>
      <c r="M4942" t="s">
        <v>1959</v>
      </c>
      <c r="N4942" t="s">
        <v>721</v>
      </c>
      <c r="O4942">
        <v>16</v>
      </c>
      <c r="P4942">
        <v>2235</v>
      </c>
      <c r="Q4942" t="s">
        <v>1848</v>
      </c>
      <c r="R4942" t="s">
        <v>712</v>
      </c>
      <c r="S4942">
        <v>1</v>
      </c>
      <c r="T4942">
        <v>1</v>
      </c>
      <c r="U4942">
        <v>12006.97</v>
      </c>
      <c r="V4942">
        <v>144084</v>
      </c>
    </row>
    <row r="4943" spans="1:22">
      <c r="A4943" t="s">
        <v>196</v>
      </c>
      <c r="B4943">
        <v>88</v>
      </c>
      <c r="C4943" t="s">
        <v>1852</v>
      </c>
      <c r="D4943">
        <v>200</v>
      </c>
      <c r="E4943" t="s">
        <v>1834</v>
      </c>
      <c r="F4943">
        <v>1025</v>
      </c>
      <c r="G4943" t="s">
        <v>5</v>
      </c>
      <c r="H4943">
        <v>2025</v>
      </c>
      <c r="I4943" t="s">
        <v>5</v>
      </c>
      <c r="J4943">
        <v>3364</v>
      </c>
      <c r="K4943" t="s">
        <v>1958</v>
      </c>
      <c r="L4943">
        <v>4365</v>
      </c>
      <c r="M4943" t="s">
        <v>1959</v>
      </c>
      <c r="N4943" t="s">
        <v>721</v>
      </c>
      <c r="O4943">
        <v>16</v>
      </c>
      <c r="P4943">
        <v>2233</v>
      </c>
      <c r="Q4943" t="s">
        <v>1849</v>
      </c>
      <c r="R4943" t="s">
        <v>712</v>
      </c>
      <c r="S4943">
        <v>4</v>
      </c>
      <c r="T4943">
        <v>1</v>
      </c>
      <c r="U4943">
        <v>11327.33</v>
      </c>
      <c r="V4943">
        <v>543712</v>
      </c>
    </row>
    <row r="4944" spans="1:22">
      <c r="A4944" t="s">
        <v>196</v>
      </c>
      <c r="B4944">
        <v>88</v>
      </c>
      <c r="C4944" t="s">
        <v>1852</v>
      </c>
      <c r="D4944">
        <v>200</v>
      </c>
      <c r="E4944" t="s">
        <v>1834</v>
      </c>
      <c r="F4944">
        <v>1025</v>
      </c>
      <c r="G4944" t="s">
        <v>5</v>
      </c>
      <c r="H4944">
        <v>2025</v>
      </c>
      <c r="I4944" t="s">
        <v>5</v>
      </c>
      <c r="J4944">
        <v>3364</v>
      </c>
      <c r="K4944" t="s">
        <v>1958</v>
      </c>
      <c r="L4944">
        <v>4365</v>
      </c>
      <c r="M4944" t="s">
        <v>1959</v>
      </c>
      <c r="N4944" t="s">
        <v>721</v>
      </c>
      <c r="O4944">
        <v>16</v>
      </c>
      <c r="P4944">
        <v>2231</v>
      </c>
      <c r="Q4944" t="s">
        <v>1846</v>
      </c>
      <c r="R4944" t="s">
        <v>712</v>
      </c>
      <c r="S4944">
        <v>25</v>
      </c>
      <c r="T4944">
        <v>1</v>
      </c>
      <c r="U4944">
        <v>11119.33</v>
      </c>
      <c r="V4944">
        <v>3335799</v>
      </c>
    </row>
    <row r="4945" spans="1:22">
      <c r="A4945" t="s">
        <v>196</v>
      </c>
      <c r="B4945">
        <v>88</v>
      </c>
      <c r="C4945" t="s">
        <v>1852</v>
      </c>
      <c r="D4945">
        <v>200</v>
      </c>
      <c r="E4945" t="s">
        <v>1834</v>
      </c>
      <c r="F4945">
        <v>1025</v>
      </c>
      <c r="G4945" t="s">
        <v>5</v>
      </c>
      <c r="H4945">
        <v>2025</v>
      </c>
      <c r="I4945" t="s">
        <v>5</v>
      </c>
      <c r="J4945">
        <v>3364</v>
      </c>
      <c r="K4945" t="s">
        <v>1958</v>
      </c>
      <c r="L4945">
        <v>4365</v>
      </c>
      <c r="M4945" t="s">
        <v>1959</v>
      </c>
      <c r="N4945" t="s">
        <v>1007</v>
      </c>
      <c r="O4945">
        <v>1</v>
      </c>
      <c r="P4945">
        <v>430</v>
      </c>
      <c r="Q4945" t="s">
        <v>1960</v>
      </c>
      <c r="R4945" t="s">
        <v>201</v>
      </c>
      <c r="S4945">
        <v>1</v>
      </c>
      <c r="T4945">
        <v>1</v>
      </c>
      <c r="U4945">
        <v>74916</v>
      </c>
      <c r="V4945">
        <v>74916</v>
      </c>
    </row>
    <row r="4946" spans="1:22">
      <c r="A4946" t="s">
        <v>196</v>
      </c>
      <c r="B4946">
        <v>88</v>
      </c>
      <c r="C4946" t="s">
        <v>1852</v>
      </c>
      <c r="D4946">
        <v>200</v>
      </c>
      <c r="E4946" t="s">
        <v>1834</v>
      </c>
      <c r="F4946">
        <v>1025</v>
      </c>
      <c r="G4946" t="s">
        <v>5</v>
      </c>
      <c r="H4946">
        <v>2025</v>
      </c>
      <c r="I4946" t="s">
        <v>5</v>
      </c>
      <c r="J4946">
        <v>3364</v>
      </c>
      <c r="K4946" t="s">
        <v>1958</v>
      </c>
      <c r="L4946">
        <v>4365</v>
      </c>
      <c r="M4946" t="s">
        <v>1959</v>
      </c>
      <c r="N4946" t="s">
        <v>351</v>
      </c>
      <c r="O4946">
        <v>1</v>
      </c>
      <c r="P4946" t="s">
        <v>352</v>
      </c>
      <c r="Q4946" t="s">
        <v>353</v>
      </c>
      <c r="R4946" t="s">
        <v>201</v>
      </c>
      <c r="S4946">
        <v>1</v>
      </c>
      <c r="T4946">
        <v>1</v>
      </c>
      <c r="U4946">
        <v>108576</v>
      </c>
      <c r="V4946">
        <v>108576</v>
      </c>
    </row>
    <row r="4947" spans="1:22">
      <c r="A4947" t="s">
        <v>196</v>
      </c>
      <c r="B4947">
        <v>88</v>
      </c>
      <c r="C4947" t="s">
        <v>1852</v>
      </c>
      <c r="D4947">
        <v>200</v>
      </c>
      <c r="E4947" t="s">
        <v>1834</v>
      </c>
      <c r="F4947">
        <v>1025</v>
      </c>
      <c r="G4947" t="s">
        <v>5</v>
      </c>
      <c r="H4947">
        <v>2025</v>
      </c>
      <c r="I4947" t="s">
        <v>5</v>
      </c>
      <c r="J4947">
        <v>3364</v>
      </c>
      <c r="K4947" t="s">
        <v>1958</v>
      </c>
      <c r="L4947">
        <v>4365</v>
      </c>
      <c r="M4947" t="s">
        <v>1959</v>
      </c>
      <c r="N4947" t="s">
        <v>199</v>
      </c>
      <c r="O4947">
        <v>0</v>
      </c>
      <c r="P4947">
        <v>12</v>
      </c>
      <c r="Q4947" t="s">
        <v>724</v>
      </c>
      <c r="R4947" t="s">
        <v>201</v>
      </c>
      <c r="S4947">
        <v>0</v>
      </c>
      <c r="T4947">
        <v>0</v>
      </c>
      <c r="U4947">
        <v>62801</v>
      </c>
      <c r="V4947">
        <v>62801</v>
      </c>
    </row>
    <row r="4948" spans="1:22">
      <c r="A4948" t="s">
        <v>196</v>
      </c>
      <c r="B4948">
        <v>88</v>
      </c>
      <c r="C4948" t="s">
        <v>1852</v>
      </c>
      <c r="D4948">
        <v>200</v>
      </c>
      <c r="E4948" t="s">
        <v>1834</v>
      </c>
      <c r="F4948">
        <v>1035</v>
      </c>
      <c r="G4948" t="s">
        <v>52</v>
      </c>
      <c r="H4948">
        <v>2035</v>
      </c>
      <c r="I4948" t="s">
        <v>52</v>
      </c>
      <c r="J4948">
        <v>3340</v>
      </c>
      <c r="K4948" t="s">
        <v>1853</v>
      </c>
      <c r="L4948">
        <v>0</v>
      </c>
      <c r="N4948" t="s">
        <v>1314</v>
      </c>
      <c r="O4948">
        <v>0</v>
      </c>
      <c r="P4948" t="s">
        <v>1471</v>
      </c>
      <c r="Q4948" t="s">
        <v>605</v>
      </c>
      <c r="R4948" t="s">
        <v>201</v>
      </c>
      <c r="S4948">
        <v>1</v>
      </c>
      <c r="T4948">
        <v>1</v>
      </c>
      <c r="U4948">
        <v>133836</v>
      </c>
      <c r="V4948">
        <v>133836</v>
      </c>
    </row>
    <row r="4949" spans="1:22">
      <c r="A4949" t="s">
        <v>196</v>
      </c>
      <c r="B4949">
        <v>88</v>
      </c>
      <c r="C4949" t="s">
        <v>1852</v>
      </c>
      <c r="D4949">
        <v>200</v>
      </c>
      <c r="E4949" t="s">
        <v>1834</v>
      </c>
      <c r="F4949">
        <v>1035</v>
      </c>
      <c r="G4949" t="s">
        <v>52</v>
      </c>
      <c r="H4949">
        <v>2035</v>
      </c>
      <c r="I4949" t="s">
        <v>52</v>
      </c>
      <c r="J4949">
        <v>3340</v>
      </c>
      <c r="K4949" t="s">
        <v>1853</v>
      </c>
      <c r="L4949">
        <v>0</v>
      </c>
      <c r="N4949" t="s">
        <v>253</v>
      </c>
      <c r="O4949">
        <v>10</v>
      </c>
      <c r="P4949">
        <v>304</v>
      </c>
      <c r="Q4949" t="s">
        <v>1726</v>
      </c>
      <c r="R4949" t="s">
        <v>201</v>
      </c>
      <c r="S4949">
        <v>1</v>
      </c>
      <c r="T4949">
        <v>1</v>
      </c>
      <c r="U4949">
        <v>136692</v>
      </c>
      <c r="V4949">
        <v>136692</v>
      </c>
    </row>
    <row r="4950" spans="1:22">
      <c r="A4950" t="s">
        <v>196</v>
      </c>
      <c r="B4950">
        <v>88</v>
      </c>
      <c r="C4950" t="s">
        <v>1852</v>
      </c>
      <c r="D4950">
        <v>200</v>
      </c>
      <c r="E4950" t="s">
        <v>1834</v>
      </c>
      <c r="F4950">
        <v>1035</v>
      </c>
      <c r="G4950" t="s">
        <v>52</v>
      </c>
      <c r="H4950">
        <v>2035</v>
      </c>
      <c r="I4950" t="s">
        <v>52</v>
      </c>
      <c r="J4950">
        <v>3345</v>
      </c>
      <c r="K4950" t="s">
        <v>1961</v>
      </c>
      <c r="L4950">
        <v>0</v>
      </c>
      <c r="N4950" t="s">
        <v>1719</v>
      </c>
      <c r="O4950">
        <v>10</v>
      </c>
      <c r="P4950">
        <v>6556</v>
      </c>
      <c r="Q4950" t="s">
        <v>1962</v>
      </c>
      <c r="R4950" t="s">
        <v>201</v>
      </c>
      <c r="S4950">
        <v>1</v>
      </c>
      <c r="T4950">
        <v>1</v>
      </c>
      <c r="U4950">
        <v>136692</v>
      </c>
      <c r="V4950">
        <v>136692</v>
      </c>
    </row>
    <row r="4951" spans="1:22">
      <c r="A4951" t="s">
        <v>196</v>
      </c>
      <c r="B4951">
        <v>88</v>
      </c>
      <c r="C4951" t="s">
        <v>1852</v>
      </c>
      <c r="D4951">
        <v>200</v>
      </c>
      <c r="E4951" t="s">
        <v>1834</v>
      </c>
      <c r="F4951">
        <v>1035</v>
      </c>
      <c r="G4951" t="s">
        <v>52</v>
      </c>
      <c r="H4951">
        <v>2035</v>
      </c>
      <c r="I4951" t="s">
        <v>52</v>
      </c>
      <c r="J4951">
        <v>3345</v>
      </c>
      <c r="K4951" t="s">
        <v>1961</v>
      </c>
      <c r="L4951">
        <v>0</v>
      </c>
      <c r="N4951" t="s">
        <v>721</v>
      </c>
      <c r="O4951">
        <v>16</v>
      </c>
      <c r="P4951">
        <v>4756</v>
      </c>
      <c r="Q4951" t="s">
        <v>974</v>
      </c>
      <c r="R4951" t="s">
        <v>713</v>
      </c>
      <c r="S4951">
        <v>1</v>
      </c>
      <c r="T4951">
        <v>1</v>
      </c>
      <c r="U4951">
        <v>64.150000000000006</v>
      </c>
      <c r="V4951">
        <v>133432</v>
      </c>
    </row>
    <row r="4952" spans="1:22">
      <c r="A4952" t="s">
        <v>196</v>
      </c>
      <c r="B4952">
        <v>88</v>
      </c>
      <c r="C4952" t="s">
        <v>1852</v>
      </c>
      <c r="D4952">
        <v>200</v>
      </c>
      <c r="E4952" t="s">
        <v>1834</v>
      </c>
      <c r="F4952">
        <v>1035</v>
      </c>
      <c r="G4952" t="s">
        <v>52</v>
      </c>
      <c r="H4952">
        <v>2035</v>
      </c>
      <c r="I4952" t="s">
        <v>52</v>
      </c>
      <c r="J4952">
        <v>3345</v>
      </c>
      <c r="K4952" t="s">
        <v>1961</v>
      </c>
      <c r="L4952">
        <v>0</v>
      </c>
      <c r="N4952" t="s">
        <v>721</v>
      </c>
      <c r="O4952">
        <v>16</v>
      </c>
      <c r="P4952">
        <v>2231</v>
      </c>
      <c r="Q4952" t="s">
        <v>1846</v>
      </c>
      <c r="R4952" t="s">
        <v>712</v>
      </c>
      <c r="S4952">
        <v>1</v>
      </c>
      <c r="T4952">
        <v>1</v>
      </c>
      <c r="U4952">
        <v>11119.33</v>
      </c>
      <c r="V4952">
        <v>133432</v>
      </c>
    </row>
    <row r="4953" spans="1:22">
      <c r="A4953" t="s">
        <v>196</v>
      </c>
      <c r="B4953">
        <v>88</v>
      </c>
      <c r="C4953" t="s">
        <v>1852</v>
      </c>
      <c r="D4953">
        <v>200</v>
      </c>
      <c r="E4953" t="s">
        <v>1834</v>
      </c>
      <c r="F4953">
        <v>1035</v>
      </c>
      <c r="G4953" t="s">
        <v>52</v>
      </c>
      <c r="H4953">
        <v>2035</v>
      </c>
      <c r="I4953" t="s">
        <v>52</v>
      </c>
      <c r="J4953">
        <v>3345</v>
      </c>
      <c r="K4953" t="s">
        <v>1961</v>
      </c>
      <c r="L4953">
        <v>0</v>
      </c>
      <c r="N4953" t="s">
        <v>1963</v>
      </c>
      <c r="O4953">
        <v>16</v>
      </c>
      <c r="P4953">
        <v>1063</v>
      </c>
      <c r="Q4953" t="s">
        <v>1964</v>
      </c>
      <c r="R4953" t="s">
        <v>201</v>
      </c>
      <c r="S4953">
        <v>1</v>
      </c>
      <c r="T4953">
        <v>1</v>
      </c>
      <c r="U4953">
        <v>143352</v>
      </c>
      <c r="V4953">
        <v>143352</v>
      </c>
    </row>
    <row r="4954" spans="1:22">
      <c r="A4954" t="s">
        <v>196</v>
      </c>
      <c r="B4954">
        <v>88</v>
      </c>
      <c r="C4954" t="s">
        <v>1852</v>
      </c>
      <c r="D4954">
        <v>200</v>
      </c>
      <c r="E4954" t="s">
        <v>1834</v>
      </c>
      <c r="F4954">
        <v>1035</v>
      </c>
      <c r="G4954" t="s">
        <v>52</v>
      </c>
      <c r="H4954">
        <v>2035</v>
      </c>
      <c r="I4954" t="s">
        <v>52</v>
      </c>
      <c r="J4954">
        <v>3345</v>
      </c>
      <c r="K4954" t="s">
        <v>1961</v>
      </c>
      <c r="L4954">
        <v>0</v>
      </c>
      <c r="N4954" t="s">
        <v>1963</v>
      </c>
      <c r="O4954">
        <v>16</v>
      </c>
      <c r="P4954">
        <v>1063</v>
      </c>
      <c r="Q4954" t="s">
        <v>1964</v>
      </c>
      <c r="R4954" t="s">
        <v>201</v>
      </c>
      <c r="S4954">
        <v>1</v>
      </c>
      <c r="T4954">
        <v>1</v>
      </c>
      <c r="U4954">
        <v>85176</v>
      </c>
      <c r="V4954">
        <v>85176</v>
      </c>
    </row>
    <row r="4955" spans="1:22">
      <c r="A4955" t="s">
        <v>196</v>
      </c>
      <c r="B4955">
        <v>88</v>
      </c>
      <c r="C4955" t="s">
        <v>1852</v>
      </c>
      <c r="D4955">
        <v>200</v>
      </c>
      <c r="E4955" t="s">
        <v>1834</v>
      </c>
      <c r="F4955">
        <v>1035</v>
      </c>
      <c r="G4955" t="s">
        <v>52</v>
      </c>
      <c r="H4955">
        <v>2035</v>
      </c>
      <c r="I4955" t="s">
        <v>52</v>
      </c>
      <c r="J4955">
        <v>3345</v>
      </c>
      <c r="K4955" t="s">
        <v>1961</v>
      </c>
      <c r="L4955">
        <v>0</v>
      </c>
      <c r="N4955" t="s">
        <v>1956</v>
      </c>
      <c r="O4955">
        <v>16</v>
      </c>
      <c r="P4955">
        <v>1062</v>
      </c>
      <c r="Q4955" t="s">
        <v>1957</v>
      </c>
      <c r="R4955" t="s">
        <v>201</v>
      </c>
      <c r="S4955">
        <v>4</v>
      </c>
      <c r="T4955">
        <v>1</v>
      </c>
      <c r="U4955">
        <v>85176</v>
      </c>
      <c r="V4955">
        <v>340704</v>
      </c>
    </row>
    <row r="4956" spans="1:22">
      <c r="A4956" t="s">
        <v>196</v>
      </c>
      <c r="B4956">
        <v>88</v>
      </c>
      <c r="C4956" t="s">
        <v>1852</v>
      </c>
      <c r="D4956">
        <v>200</v>
      </c>
      <c r="E4956" t="s">
        <v>1834</v>
      </c>
      <c r="F4956">
        <v>1035</v>
      </c>
      <c r="G4956" t="s">
        <v>52</v>
      </c>
      <c r="H4956">
        <v>2035</v>
      </c>
      <c r="I4956" t="s">
        <v>52</v>
      </c>
      <c r="J4956">
        <v>3345</v>
      </c>
      <c r="K4956" t="s">
        <v>1961</v>
      </c>
      <c r="L4956">
        <v>0</v>
      </c>
      <c r="N4956" t="s">
        <v>1956</v>
      </c>
      <c r="O4956">
        <v>16</v>
      </c>
      <c r="P4956">
        <v>1062</v>
      </c>
      <c r="Q4956" t="s">
        <v>1957</v>
      </c>
      <c r="R4956" t="s">
        <v>201</v>
      </c>
      <c r="S4956">
        <v>3</v>
      </c>
      <c r="T4956">
        <v>1</v>
      </c>
      <c r="U4956">
        <v>70740</v>
      </c>
      <c r="V4956">
        <v>212220</v>
      </c>
    </row>
    <row r="4957" spans="1:22">
      <c r="A4957" t="s">
        <v>196</v>
      </c>
      <c r="B4957">
        <v>88</v>
      </c>
      <c r="C4957" t="s">
        <v>1852</v>
      </c>
      <c r="D4957">
        <v>200</v>
      </c>
      <c r="E4957" t="s">
        <v>1834</v>
      </c>
      <c r="F4957">
        <v>1035</v>
      </c>
      <c r="G4957" t="s">
        <v>52</v>
      </c>
      <c r="H4957">
        <v>2035</v>
      </c>
      <c r="I4957" t="s">
        <v>52</v>
      </c>
      <c r="J4957">
        <v>3345</v>
      </c>
      <c r="K4957" t="s">
        <v>1961</v>
      </c>
      <c r="L4957">
        <v>0</v>
      </c>
      <c r="N4957" t="s">
        <v>1956</v>
      </c>
      <c r="O4957">
        <v>16</v>
      </c>
      <c r="P4957">
        <v>1061</v>
      </c>
      <c r="Q4957" t="s">
        <v>1965</v>
      </c>
      <c r="R4957" t="s">
        <v>201</v>
      </c>
      <c r="S4957">
        <v>5</v>
      </c>
      <c r="T4957">
        <v>1</v>
      </c>
      <c r="U4957">
        <v>119052</v>
      </c>
      <c r="V4957">
        <v>595260</v>
      </c>
    </row>
    <row r="4958" spans="1:22">
      <c r="A4958" t="s">
        <v>196</v>
      </c>
      <c r="B4958">
        <v>88</v>
      </c>
      <c r="C4958" t="s">
        <v>1852</v>
      </c>
      <c r="D4958">
        <v>200</v>
      </c>
      <c r="E4958" t="s">
        <v>1834</v>
      </c>
      <c r="F4958">
        <v>1035</v>
      </c>
      <c r="G4958" t="s">
        <v>52</v>
      </c>
      <c r="H4958">
        <v>2035</v>
      </c>
      <c r="I4958" t="s">
        <v>52</v>
      </c>
      <c r="J4958">
        <v>3345</v>
      </c>
      <c r="K4958" t="s">
        <v>1961</v>
      </c>
      <c r="L4958">
        <v>0</v>
      </c>
      <c r="N4958" t="s">
        <v>1956</v>
      </c>
      <c r="O4958">
        <v>16</v>
      </c>
      <c r="P4958">
        <v>1061</v>
      </c>
      <c r="Q4958" t="s">
        <v>1965</v>
      </c>
      <c r="R4958" t="s">
        <v>201</v>
      </c>
      <c r="S4958">
        <v>1</v>
      </c>
      <c r="T4958">
        <v>1</v>
      </c>
      <c r="U4958">
        <v>94428</v>
      </c>
      <c r="V4958">
        <v>94428</v>
      </c>
    </row>
    <row r="4959" spans="1:22">
      <c r="A4959" t="s">
        <v>196</v>
      </c>
      <c r="B4959">
        <v>88</v>
      </c>
      <c r="C4959" t="s">
        <v>1852</v>
      </c>
      <c r="D4959">
        <v>200</v>
      </c>
      <c r="E4959" t="s">
        <v>1834</v>
      </c>
      <c r="F4959">
        <v>1035</v>
      </c>
      <c r="G4959" t="s">
        <v>52</v>
      </c>
      <c r="H4959">
        <v>2035</v>
      </c>
      <c r="I4959" t="s">
        <v>52</v>
      </c>
      <c r="J4959">
        <v>3345</v>
      </c>
      <c r="K4959" t="s">
        <v>1961</v>
      </c>
      <c r="L4959">
        <v>0</v>
      </c>
      <c r="N4959" t="s">
        <v>1956</v>
      </c>
      <c r="O4959">
        <v>16</v>
      </c>
      <c r="P4959">
        <v>1061</v>
      </c>
      <c r="Q4959" t="s">
        <v>1965</v>
      </c>
      <c r="R4959" t="s">
        <v>201</v>
      </c>
      <c r="S4959">
        <v>2</v>
      </c>
      <c r="T4959">
        <v>1</v>
      </c>
      <c r="U4959">
        <v>85176</v>
      </c>
      <c r="V4959">
        <v>170352</v>
      </c>
    </row>
    <row r="4960" spans="1:22">
      <c r="A4960" t="s">
        <v>196</v>
      </c>
      <c r="B4960">
        <v>88</v>
      </c>
      <c r="C4960" t="s">
        <v>1852</v>
      </c>
      <c r="D4960">
        <v>200</v>
      </c>
      <c r="E4960" t="s">
        <v>1834</v>
      </c>
      <c r="F4960">
        <v>1035</v>
      </c>
      <c r="G4960" t="s">
        <v>52</v>
      </c>
      <c r="H4960">
        <v>2035</v>
      </c>
      <c r="I4960" t="s">
        <v>52</v>
      </c>
      <c r="J4960">
        <v>3345</v>
      </c>
      <c r="K4960" t="s">
        <v>1961</v>
      </c>
      <c r="L4960">
        <v>0</v>
      </c>
      <c r="N4960" t="s">
        <v>1956</v>
      </c>
      <c r="O4960">
        <v>16</v>
      </c>
      <c r="P4960">
        <v>1061</v>
      </c>
      <c r="Q4960" t="s">
        <v>1965</v>
      </c>
      <c r="R4960" t="s">
        <v>201</v>
      </c>
      <c r="S4960">
        <v>4</v>
      </c>
      <c r="T4960">
        <v>1</v>
      </c>
      <c r="U4960">
        <v>81276</v>
      </c>
      <c r="V4960">
        <v>325104</v>
      </c>
    </row>
    <row r="4961" spans="1:22">
      <c r="A4961" t="s">
        <v>196</v>
      </c>
      <c r="B4961">
        <v>88</v>
      </c>
      <c r="C4961" t="s">
        <v>1852</v>
      </c>
      <c r="D4961">
        <v>200</v>
      </c>
      <c r="E4961" t="s">
        <v>1834</v>
      </c>
      <c r="F4961">
        <v>1035</v>
      </c>
      <c r="G4961" t="s">
        <v>52</v>
      </c>
      <c r="H4961">
        <v>2035</v>
      </c>
      <c r="I4961" t="s">
        <v>52</v>
      </c>
      <c r="J4961">
        <v>3345</v>
      </c>
      <c r="K4961" t="s">
        <v>1961</v>
      </c>
      <c r="L4961">
        <v>0</v>
      </c>
      <c r="N4961" t="s">
        <v>1956</v>
      </c>
      <c r="O4961">
        <v>16</v>
      </c>
      <c r="P4961">
        <v>1061</v>
      </c>
      <c r="Q4961" t="s">
        <v>1965</v>
      </c>
      <c r="R4961" t="s">
        <v>201</v>
      </c>
      <c r="S4961">
        <v>3</v>
      </c>
      <c r="T4961">
        <v>1</v>
      </c>
      <c r="U4961">
        <v>77628</v>
      </c>
      <c r="V4961">
        <v>232884</v>
      </c>
    </row>
    <row r="4962" spans="1:22">
      <c r="A4962" t="s">
        <v>196</v>
      </c>
      <c r="B4962">
        <v>88</v>
      </c>
      <c r="C4962" t="s">
        <v>1852</v>
      </c>
      <c r="D4962">
        <v>200</v>
      </c>
      <c r="E4962" t="s">
        <v>1834</v>
      </c>
      <c r="F4962">
        <v>1035</v>
      </c>
      <c r="G4962" t="s">
        <v>52</v>
      </c>
      <c r="H4962">
        <v>2035</v>
      </c>
      <c r="I4962" t="s">
        <v>52</v>
      </c>
      <c r="J4962">
        <v>3345</v>
      </c>
      <c r="K4962" t="s">
        <v>1961</v>
      </c>
      <c r="L4962">
        <v>0</v>
      </c>
      <c r="N4962" t="s">
        <v>1956</v>
      </c>
      <c r="O4962">
        <v>16</v>
      </c>
      <c r="P4962">
        <v>1061</v>
      </c>
      <c r="Q4962" t="s">
        <v>1965</v>
      </c>
      <c r="R4962" t="s">
        <v>201</v>
      </c>
      <c r="S4962">
        <v>3</v>
      </c>
      <c r="T4962">
        <v>1</v>
      </c>
      <c r="U4962">
        <v>74136</v>
      </c>
      <c r="V4962">
        <v>222408</v>
      </c>
    </row>
    <row r="4963" spans="1:22">
      <c r="A4963" t="s">
        <v>196</v>
      </c>
      <c r="B4963">
        <v>88</v>
      </c>
      <c r="C4963" t="s">
        <v>1852</v>
      </c>
      <c r="D4963">
        <v>200</v>
      </c>
      <c r="E4963" t="s">
        <v>1834</v>
      </c>
      <c r="F4963">
        <v>1035</v>
      </c>
      <c r="G4963" t="s">
        <v>52</v>
      </c>
      <c r="H4963">
        <v>2035</v>
      </c>
      <c r="I4963" t="s">
        <v>52</v>
      </c>
      <c r="J4963">
        <v>3345</v>
      </c>
      <c r="K4963" t="s">
        <v>1961</v>
      </c>
      <c r="L4963">
        <v>0</v>
      </c>
      <c r="N4963" t="s">
        <v>1956</v>
      </c>
      <c r="O4963">
        <v>16</v>
      </c>
      <c r="P4963">
        <v>1061</v>
      </c>
      <c r="Q4963" t="s">
        <v>1965</v>
      </c>
      <c r="R4963" t="s">
        <v>201</v>
      </c>
      <c r="S4963">
        <v>2</v>
      </c>
      <c r="T4963">
        <v>1</v>
      </c>
      <c r="U4963">
        <v>70740</v>
      </c>
      <c r="V4963">
        <v>141480</v>
      </c>
    </row>
    <row r="4964" spans="1:22">
      <c r="A4964" t="s">
        <v>196</v>
      </c>
      <c r="B4964">
        <v>88</v>
      </c>
      <c r="C4964" t="s">
        <v>1852</v>
      </c>
      <c r="D4964">
        <v>200</v>
      </c>
      <c r="E4964" t="s">
        <v>1834</v>
      </c>
      <c r="F4964">
        <v>1035</v>
      </c>
      <c r="G4964" t="s">
        <v>52</v>
      </c>
      <c r="H4964">
        <v>2035</v>
      </c>
      <c r="I4964" t="s">
        <v>52</v>
      </c>
      <c r="J4964">
        <v>3345</v>
      </c>
      <c r="K4964" t="s">
        <v>1961</v>
      </c>
      <c r="L4964">
        <v>0</v>
      </c>
      <c r="N4964" t="s">
        <v>809</v>
      </c>
      <c r="O4964">
        <v>1</v>
      </c>
      <c r="P4964">
        <v>460</v>
      </c>
      <c r="Q4964" t="s">
        <v>810</v>
      </c>
      <c r="R4964" t="s">
        <v>201</v>
      </c>
      <c r="S4964">
        <v>1</v>
      </c>
      <c r="T4964">
        <v>1</v>
      </c>
      <c r="U4964">
        <v>82140</v>
      </c>
      <c r="V4964">
        <v>82140</v>
      </c>
    </row>
    <row r="4965" spans="1:22">
      <c r="A4965" t="s">
        <v>196</v>
      </c>
      <c r="B4965">
        <v>88</v>
      </c>
      <c r="C4965" t="s">
        <v>1852</v>
      </c>
      <c r="D4965">
        <v>200</v>
      </c>
      <c r="E4965" t="s">
        <v>1834</v>
      </c>
      <c r="F4965">
        <v>1035</v>
      </c>
      <c r="G4965" t="s">
        <v>52</v>
      </c>
      <c r="H4965">
        <v>2035</v>
      </c>
      <c r="I4965" t="s">
        <v>52</v>
      </c>
      <c r="J4965">
        <v>3345</v>
      </c>
      <c r="K4965" t="s">
        <v>1961</v>
      </c>
      <c r="L4965">
        <v>0</v>
      </c>
      <c r="N4965" t="s">
        <v>809</v>
      </c>
      <c r="O4965">
        <v>1</v>
      </c>
      <c r="P4965">
        <v>460</v>
      </c>
      <c r="Q4965" t="s">
        <v>810</v>
      </c>
      <c r="R4965" t="s">
        <v>201</v>
      </c>
      <c r="S4965">
        <v>1</v>
      </c>
      <c r="T4965">
        <v>1</v>
      </c>
      <c r="U4965">
        <v>47364</v>
      </c>
      <c r="V4965">
        <v>47364</v>
      </c>
    </row>
    <row r="4966" spans="1:22">
      <c r="A4966" t="s">
        <v>196</v>
      </c>
      <c r="B4966">
        <v>88</v>
      </c>
      <c r="C4966" t="s">
        <v>1852</v>
      </c>
      <c r="D4966">
        <v>200</v>
      </c>
      <c r="E4966" t="s">
        <v>1834</v>
      </c>
      <c r="F4966">
        <v>1035</v>
      </c>
      <c r="G4966" t="s">
        <v>52</v>
      </c>
      <c r="H4966">
        <v>2035</v>
      </c>
      <c r="I4966" t="s">
        <v>52</v>
      </c>
      <c r="J4966">
        <v>3345</v>
      </c>
      <c r="K4966" t="s">
        <v>1961</v>
      </c>
      <c r="L4966">
        <v>0</v>
      </c>
      <c r="N4966" t="s">
        <v>1928</v>
      </c>
      <c r="O4966">
        <v>53</v>
      </c>
      <c r="P4966">
        <v>417</v>
      </c>
      <c r="Q4966" t="s">
        <v>1929</v>
      </c>
      <c r="R4966" t="s">
        <v>201</v>
      </c>
      <c r="S4966">
        <v>1</v>
      </c>
      <c r="T4966">
        <v>1</v>
      </c>
      <c r="U4966">
        <v>61524</v>
      </c>
      <c r="V4966">
        <v>61524</v>
      </c>
    </row>
    <row r="4967" spans="1:22">
      <c r="A4967" t="s">
        <v>196</v>
      </c>
      <c r="B4967">
        <v>88</v>
      </c>
      <c r="C4967" t="s">
        <v>1852</v>
      </c>
      <c r="D4967">
        <v>200</v>
      </c>
      <c r="E4967" t="s">
        <v>1834</v>
      </c>
      <c r="F4967">
        <v>1035</v>
      </c>
      <c r="G4967" t="s">
        <v>52</v>
      </c>
      <c r="H4967">
        <v>2035</v>
      </c>
      <c r="I4967" t="s">
        <v>52</v>
      </c>
      <c r="J4967">
        <v>3345</v>
      </c>
      <c r="K4967" t="s">
        <v>1961</v>
      </c>
      <c r="L4967">
        <v>0</v>
      </c>
      <c r="N4967" t="s">
        <v>1928</v>
      </c>
      <c r="O4967">
        <v>53</v>
      </c>
      <c r="P4967">
        <v>417</v>
      </c>
      <c r="Q4967" t="s">
        <v>1929</v>
      </c>
      <c r="R4967" t="s">
        <v>201</v>
      </c>
      <c r="S4967">
        <v>2</v>
      </c>
      <c r="T4967">
        <v>1</v>
      </c>
      <c r="U4967">
        <v>58728</v>
      </c>
      <c r="V4967">
        <v>117456</v>
      </c>
    </row>
    <row r="4968" spans="1:22">
      <c r="A4968" t="s">
        <v>196</v>
      </c>
      <c r="B4968">
        <v>88</v>
      </c>
      <c r="C4968" t="s">
        <v>1852</v>
      </c>
      <c r="D4968">
        <v>200</v>
      </c>
      <c r="E4968" t="s">
        <v>1834</v>
      </c>
      <c r="F4968">
        <v>1035</v>
      </c>
      <c r="G4968" t="s">
        <v>52</v>
      </c>
      <c r="H4968">
        <v>2035</v>
      </c>
      <c r="I4968" t="s">
        <v>52</v>
      </c>
      <c r="J4968">
        <v>3345</v>
      </c>
      <c r="K4968" t="s">
        <v>1961</v>
      </c>
      <c r="L4968">
        <v>0</v>
      </c>
      <c r="N4968" t="s">
        <v>1928</v>
      </c>
      <c r="O4968">
        <v>53</v>
      </c>
      <c r="P4968">
        <v>417</v>
      </c>
      <c r="Q4968" t="s">
        <v>1929</v>
      </c>
      <c r="R4968" t="s">
        <v>201</v>
      </c>
      <c r="S4968">
        <v>1</v>
      </c>
      <c r="T4968">
        <v>1</v>
      </c>
      <c r="U4968">
        <v>56112</v>
      </c>
      <c r="V4968">
        <v>56112</v>
      </c>
    </row>
    <row r="4969" spans="1:22">
      <c r="A4969" t="s">
        <v>196</v>
      </c>
      <c r="B4969">
        <v>88</v>
      </c>
      <c r="C4969" t="s">
        <v>1852</v>
      </c>
      <c r="D4969">
        <v>200</v>
      </c>
      <c r="E4969" t="s">
        <v>1834</v>
      </c>
      <c r="F4969">
        <v>1035</v>
      </c>
      <c r="G4969" t="s">
        <v>52</v>
      </c>
      <c r="H4969">
        <v>2035</v>
      </c>
      <c r="I4969" t="s">
        <v>52</v>
      </c>
      <c r="J4969">
        <v>3345</v>
      </c>
      <c r="K4969" t="s">
        <v>1961</v>
      </c>
      <c r="L4969">
        <v>0</v>
      </c>
      <c r="N4969" t="s">
        <v>199</v>
      </c>
      <c r="O4969">
        <v>0</v>
      </c>
      <c r="P4969">
        <v>15</v>
      </c>
      <c r="Q4969" t="s">
        <v>264</v>
      </c>
      <c r="R4969" t="s">
        <v>201</v>
      </c>
      <c r="S4969">
        <v>0</v>
      </c>
      <c r="T4969">
        <v>0</v>
      </c>
      <c r="U4969">
        <v>30974</v>
      </c>
      <c r="V4969">
        <v>30974</v>
      </c>
    </row>
    <row r="4970" spans="1:22">
      <c r="A4970" t="s">
        <v>196</v>
      </c>
      <c r="B4970">
        <v>88</v>
      </c>
      <c r="C4970" t="s">
        <v>1852</v>
      </c>
      <c r="D4970">
        <v>200</v>
      </c>
      <c r="E4970" t="s">
        <v>1834</v>
      </c>
      <c r="F4970">
        <v>1035</v>
      </c>
      <c r="G4970" t="s">
        <v>52</v>
      </c>
      <c r="H4970">
        <v>2035</v>
      </c>
      <c r="I4970" t="s">
        <v>52</v>
      </c>
      <c r="J4970">
        <v>3345</v>
      </c>
      <c r="K4970" t="s">
        <v>1961</v>
      </c>
      <c r="L4970">
        <v>0</v>
      </c>
      <c r="N4970" t="s">
        <v>199</v>
      </c>
      <c r="O4970">
        <v>0</v>
      </c>
      <c r="P4970">
        <v>12</v>
      </c>
      <c r="Q4970" t="s">
        <v>724</v>
      </c>
      <c r="R4970" t="s">
        <v>201</v>
      </c>
      <c r="S4970">
        <v>0</v>
      </c>
      <c r="T4970">
        <v>0</v>
      </c>
      <c r="U4970">
        <v>4002</v>
      </c>
      <c r="V4970">
        <v>4002</v>
      </c>
    </row>
    <row r="4971" spans="1:22">
      <c r="A4971" t="s">
        <v>196</v>
      </c>
      <c r="B4971">
        <v>88</v>
      </c>
      <c r="C4971" t="s">
        <v>1852</v>
      </c>
      <c r="D4971">
        <v>200</v>
      </c>
      <c r="E4971" t="s">
        <v>1834</v>
      </c>
      <c r="F4971">
        <v>1035</v>
      </c>
      <c r="G4971" t="s">
        <v>52</v>
      </c>
      <c r="H4971">
        <v>2035</v>
      </c>
      <c r="I4971" t="s">
        <v>52</v>
      </c>
      <c r="J4971">
        <v>3350</v>
      </c>
      <c r="K4971" t="s">
        <v>1966</v>
      </c>
      <c r="L4971">
        <v>0</v>
      </c>
      <c r="N4971" t="s">
        <v>721</v>
      </c>
      <c r="O4971">
        <v>53</v>
      </c>
      <c r="P4971">
        <v>9411</v>
      </c>
      <c r="Q4971" t="s">
        <v>1940</v>
      </c>
      <c r="R4971" t="s">
        <v>713</v>
      </c>
      <c r="S4971">
        <v>6240</v>
      </c>
      <c r="T4971">
        <v>0</v>
      </c>
      <c r="U4971">
        <v>51.4</v>
      </c>
      <c r="V4971">
        <v>320736</v>
      </c>
    </row>
    <row r="4972" spans="1:22">
      <c r="A4972" t="s">
        <v>196</v>
      </c>
      <c r="B4972">
        <v>88</v>
      </c>
      <c r="C4972" t="s">
        <v>1852</v>
      </c>
      <c r="D4972">
        <v>200</v>
      </c>
      <c r="E4972" t="s">
        <v>1834</v>
      </c>
      <c r="F4972">
        <v>1035</v>
      </c>
      <c r="G4972" t="s">
        <v>52</v>
      </c>
      <c r="H4972">
        <v>2035</v>
      </c>
      <c r="I4972" t="s">
        <v>52</v>
      </c>
      <c r="J4972">
        <v>3350</v>
      </c>
      <c r="K4972" t="s">
        <v>1966</v>
      </c>
      <c r="L4972">
        <v>0</v>
      </c>
      <c r="N4972" t="s">
        <v>721</v>
      </c>
      <c r="O4972">
        <v>53</v>
      </c>
      <c r="P4972">
        <v>9411</v>
      </c>
      <c r="Q4972" t="s">
        <v>1940</v>
      </c>
      <c r="R4972" t="s">
        <v>713</v>
      </c>
      <c r="S4972">
        <v>17</v>
      </c>
      <c r="T4972">
        <v>1</v>
      </c>
      <c r="U4972">
        <v>51.4</v>
      </c>
      <c r="V4972">
        <v>1817504</v>
      </c>
    </row>
    <row r="4973" spans="1:22">
      <c r="A4973" t="s">
        <v>196</v>
      </c>
      <c r="B4973">
        <v>88</v>
      </c>
      <c r="C4973" t="s">
        <v>1852</v>
      </c>
      <c r="D4973">
        <v>200</v>
      </c>
      <c r="E4973" t="s">
        <v>1834</v>
      </c>
      <c r="F4973">
        <v>1035</v>
      </c>
      <c r="G4973" t="s">
        <v>52</v>
      </c>
      <c r="H4973">
        <v>2035</v>
      </c>
      <c r="I4973" t="s">
        <v>52</v>
      </c>
      <c r="J4973">
        <v>3350</v>
      </c>
      <c r="K4973" t="s">
        <v>1966</v>
      </c>
      <c r="L4973">
        <v>0</v>
      </c>
      <c r="N4973" t="s">
        <v>721</v>
      </c>
      <c r="O4973">
        <v>16</v>
      </c>
      <c r="P4973">
        <v>8352</v>
      </c>
      <c r="Q4973" t="s">
        <v>1945</v>
      </c>
      <c r="R4973" t="s">
        <v>712</v>
      </c>
      <c r="S4973">
        <v>1</v>
      </c>
      <c r="T4973">
        <v>1</v>
      </c>
      <c r="U4973">
        <v>11466</v>
      </c>
      <c r="V4973">
        <v>137592</v>
      </c>
    </row>
    <row r="4974" spans="1:22">
      <c r="A4974" t="s">
        <v>196</v>
      </c>
      <c r="B4974">
        <v>88</v>
      </c>
      <c r="C4974" t="s">
        <v>1852</v>
      </c>
      <c r="D4974">
        <v>200</v>
      </c>
      <c r="E4974" t="s">
        <v>1834</v>
      </c>
      <c r="F4974">
        <v>1035</v>
      </c>
      <c r="G4974" t="s">
        <v>52</v>
      </c>
      <c r="H4974">
        <v>2035</v>
      </c>
      <c r="I4974" t="s">
        <v>52</v>
      </c>
      <c r="J4974">
        <v>3350</v>
      </c>
      <c r="K4974" t="s">
        <v>1966</v>
      </c>
      <c r="L4974">
        <v>0</v>
      </c>
      <c r="N4974" t="s">
        <v>721</v>
      </c>
      <c r="O4974">
        <v>16</v>
      </c>
      <c r="P4974">
        <v>8325</v>
      </c>
      <c r="Q4974" t="s">
        <v>1967</v>
      </c>
      <c r="R4974" t="s">
        <v>713</v>
      </c>
      <c r="S4974">
        <v>2</v>
      </c>
      <c r="T4974">
        <v>1</v>
      </c>
      <c r="U4974">
        <v>64.150000000000006</v>
      </c>
      <c r="V4974">
        <v>266864</v>
      </c>
    </row>
    <row r="4975" spans="1:22">
      <c r="A4975" t="s">
        <v>196</v>
      </c>
      <c r="B4975">
        <v>88</v>
      </c>
      <c r="C4975" t="s">
        <v>1852</v>
      </c>
      <c r="D4975">
        <v>200</v>
      </c>
      <c r="E4975" t="s">
        <v>1834</v>
      </c>
      <c r="F4975">
        <v>1035</v>
      </c>
      <c r="G4975" t="s">
        <v>52</v>
      </c>
      <c r="H4975">
        <v>2035</v>
      </c>
      <c r="I4975" t="s">
        <v>52</v>
      </c>
      <c r="J4975">
        <v>3350</v>
      </c>
      <c r="K4975" t="s">
        <v>1966</v>
      </c>
      <c r="L4975">
        <v>0</v>
      </c>
      <c r="N4975" t="s">
        <v>721</v>
      </c>
      <c r="O4975">
        <v>53</v>
      </c>
      <c r="P4975">
        <v>8246</v>
      </c>
      <c r="Q4975" t="s">
        <v>1933</v>
      </c>
      <c r="R4975" t="s">
        <v>713</v>
      </c>
      <c r="S4975">
        <v>1</v>
      </c>
      <c r="T4975">
        <v>1</v>
      </c>
      <c r="U4975">
        <v>52.5</v>
      </c>
      <c r="V4975">
        <v>109200</v>
      </c>
    </row>
    <row r="4976" spans="1:22">
      <c r="A4976" t="s">
        <v>196</v>
      </c>
      <c r="B4976">
        <v>88</v>
      </c>
      <c r="C4976" t="s">
        <v>1852</v>
      </c>
      <c r="D4976">
        <v>200</v>
      </c>
      <c r="E4976" t="s">
        <v>1834</v>
      </c>
      <c r="F4976">
        <v>1035</v>
      </c>
      <c r="G4976" t="s">
        <v>52</v>
      </c>
      <c r="H4976">
        <v>2035</v>
      </c>
      <c r="I4976" t="s">
        <v>52</v>
      </c>
      <c r="J4976">
        <v>3350</v>
      </c>
      <c r="K4976" t="s">
        <v>1966</v>
      </c>
      <c r="L4976">
        <v>0</v>
      </c>
      <c r="N4976" t="s">
        <v>721</v>
      </c>
      <c r="O4976">
        <v>8</v>
      </c>
      <c r="P4976">
        <v>7183</v>
      </c>
      <c r="Q4976" t="s">
        <v>986</v>
      </c>
      <c r="R4976" t="s">
        <v>713</v>
      </c>
      <c r="S4976">
        <v>6240</v>
      </c>
      <c r="T4976">
        <v>0</v>
      </c>
      <c r="U4976">
        <v>48.73</v>
      </c>
      <c r="V4976">
        <v>304075</v>
      </c>
    </row>
    <row r="4977" spans="1:22">
      <c r="A4977" t="s">
        <v>196</v>
      </c>
      <c r="B4977">
        <v>88</v>
      </c>
      <c r="C4977" t="s">
        <v>1852</v>
      </c>
      <c r="D4977">
        <v>200</v>
      </c>
      <c r="E4977" t="s">
        <v>1834</v>
      </c>
      <c r="F4977">
        <v>1035</v>
      </c>
      <c r="G4977" t="s">
        <v>52</v>
      </c>
      <c r="H4977">
        <v>2035</v>
      </c>
      <c r="I4977" t="s">
        <v>52</v>
      </c>
      <c r="J4977">
        <v>3350</v>
      </c>
      <c r="K4977" t="s">
        <v>1966</v>
      </c>
      <c r="L4977">
        <v>0</v>
      </c>
      <c r="N4977" t="s">
        <v>721</v>
      </c>
      <c r="O4977">
        <v>8</v>
      </c>
      <c r="P4977">
        <v>7183</v>
      </c>
      <c r="Q4977" t="s">
        <v>986</v>
      </c>
      <c r="R4977" t="s">
        <v>713</v>
      </c>
      <c r="S4977">
        <v>4</v>
      </c>
      <c r="T4977">
        <v>1</v>
      </c>
      <c r="U4977">
        <v>48.73</v>
      </c>
      <c r="V4977">
        <v>405434</v>
      </c>
    </row>
    <row r="4978" spans="1:22">
      <c r="A4978" t="s">
        <v>196</v>
      </c>
      <c r="B4978">
        <v>88</v>
      </c>
      <c r="C4978" t="s">
        <v>1852</v>
      </c>
      <c r="D4978">
        <v>200</v>
      </c>
      <c r="E4978" t="s">
        <v>1834</v>
      </c>
      <c r="F4978">
        <v>1035</v>
      </c>
      <c r="G4978" t="s">
        <v>52</v>
      </c>
      <c r="H4978">
        <v>2035</v>
      </c>
      <c r="I4978" t="s">
        <v>52</v>
      </c>
      <c r="J4978">
        <v>3350</v>
      </c>
      <c r="K4978" t="s">
        <v>1966</v>
      </c>
      <c r="L4978">
        <v>0</v>
      </c>
      <c r="N4978" t="s">
        <v>721</v>
      </c>
      <c r="O4978">
        <v>36</v>
      </c>
      <c r="P4978">
        <v>6676</v>
      </c>
      <c r="Q4978" t="s">
        <v>962</v>
      </c>
      <c r="R4978" t="s">
        <v>713</v>
      </c>
      <c r="S4978">
        <v>4</v>
      </c>
      <c r="T4978">
        <v>1</v>
      </c>
      <c r="U4978">
        <v>64.39</v>
      </c>
      <c r="V4978">
        <v>535725</v>
      </c>
    </row>
    <row r="4979" spans="1:22">
      <c r="A4979" t="s">
        <v>196</v>
      </c>
      <c r="B4979">
        <v>88</v>
      </c>
      <c r="C4979" t="s">
        <v>1852</v>
      </c>
      <c r="D4979">
        <v>200</v>
      </c>
      <c r="E4979" t="s">
        <v>1834</v>
      </c>
      <c r="F4979">
        <v>1035</v>
      </c>
      <c r="G4979" t="s">
        <v>52</v>
      </c>
      <c r="H4979">
        <v>2035</v>
      </c>
      <c r="I4979" t="s">
        <v>52</v>
      </c>
      <c r="J4979">
        <v>3350</v>
      </c>
      <c r="K4979" t="s">
        <v>1966</v>
      </c>
      <c r="L4979">
        <v>0</v>
      </c>
      <c r="N4979" t="s">
        <v>721</v>
      </c>
      <c r="O4979">
        <v>36</v>
      </c>
      <c r="P4979">
        <v>6674</v>
      </c>
      <c r="Q4979" t="s">
        <v>963</v>
      </c>
      <c r="R4979" t="s">
        <v>713</v>
      </c>
      <c r="S4979">
        <v>1</v>
      </c>
      <c r="T4979">
        <v>1</v>
      </c>
      <c r="U4979">
        <v>60.39</v>
      </c>
      <c r="V4979">
        <v>125611</v>
      </c>
    </row>
    <row r="4980" spans="1:22">
      <c r="A4980" t="s">
        <v>196</v>
      </c>
      <c r="B4980">
        <v>88</v>
      </c>
      <c r="C4980" t="s">
        <v>1852</v>
      </c>
      <c r="D4980">
        <v>200</v>
      </c>
      <c r="E4980" t="s">
        <v>1834</v>
      </c>
      <c r="F4980">
        <v>1035</v>
      </c>
      <c r="G4980" t="s">
        <v>52</v>
      </c>
      <c r="H4980">
        <v>2035</v>
      </c>
      <c r="I4980" t="s">
        <v>52</v>
      </c>
      <c r="J4980">
        <v>3350</v>
      </c>
      <c r="K4980" t="s">
        <v>1966</v>
      </c>
      <c r="L4980">
        <v>0</v>
      </c>
      <c r="N4980" t="s">
        <v>721</v>
      </c>
      <c r="O4980">
        <v>36</v>
      </c>
      <c r="P4980">
        <v>6672</v>
      </c>
      <c r="Q4980" t="s">
        <v>1955</v>
      </c>
      <c r="R4980" t="s">
        <v>713</v>
      </c>
      <c r="S4980">
        <v>16</v>
      </c>
      <c r="T4980">
        <v>1</v>
      </c>
      <c r="U4980">
        <v>51.9</v>
      </c>
      <c r="V4980">
        <v>1727232</v>
      </c>
    </row>
    <row r="4981" spans="1:22">
      <c r="A4981" t="s">
        <v>196</v>
      </c>
      <c r="B4981">
        <v>88</v>
      </c>
      <c r="C4981" t="s">
        <v>1852</v>
      </c>
      <c r="D4981">
        <v>200</v>
      </c>
      <c r="E4981" t="s">
        <v>1834</v>
      </c>
      <c r="F4981">
        <v>1035</v>
      </c>
      <c r="G4981" t="s">
        <v>52</v>
      </c>
      <c r="H4981">
        <v>2035</v>
      </c>
      <c r="I4981" t="s">
        <v>52</v>
      </c>
      <c r="J4981">
        <v>3350</v>
      </c>
      <c r="K4981" t="s">
        <v>1966</v>
      </c>
      <c r="L4981">
        <v>0</v>
      </c>
      <c r="N4981" t="s">
        <v>343</v>
      </c>
      <c r="O4981">
        <v>10</v>
      </c>
      <c r="P4981">
        <v>6555</v>
      </c>
      <c r="Q4981" t="s">
        <v>1968</v>
      </c>
      <c r="R4981" t="s">
        <v>201</v>
      </c>
      <c r="S4981">
        <v>1</v>
      </c>
      <c r="T4981">
        <v>1</v>
      </c>
      <c r="U4981">
        <v>124584</v>
      </c>
      <c r="V4981">
        <v>124584</v>
      </c>
    </row>
    <row r="4982" spans="1:22">
      <c r="A4982" t="s">
        <v>196</v>
      </c>
      <c r="B4982">
        <v>88</v>
      </c>
      <c r="C4982" t="s">
        <v>1852</v>
      </c>
      <c r="D4982">
        <v>200</v>
      </c>
      <c r="E4982" t="s">
        <v>1834</v>
      </c>
      <c r="F4982">
        <v>1035</v>
      </c>
      <c r="G4982" t="s">
        <v>52</v>
      </c>
      <c r="H4982">
        <v>2035</v>
      </c>
      <c r="I4982" t="s">
        <v>52</v>
      </c>
      <c r="J4982">
        <v>3350</v>
      </c>
      <c r="K4982" t="s">
        <v>1966</v>
      </c>
      <c r="L4982">
        <v>0</v>
      </c>
      <c r="N4982" t="s">
        <v>721</v>
      </c>
      <c r="O4982">
        <v>16</v>
      </c>
      <c r="P4982">
        <v>4756</v>
      </c>
      <c r="Q4982" t="s">
        <v>974</v>
      </c>
      <c r="R4982" t="s">
        <v>713</v>
      </c>
      <c r="S4982">
        <v>2</v>
      </c>
      <c r="T4982">
        <v>1</v>
      </c>
      <c r="U4982">
        <v>64.150000000000006</v>
      </c>
      <c r="V4982">
        <v>266864</v>
      </c>
    </row>
    <row r="4983" spans="1:22">
      <c r="A4983" t="s">
        <v>196</v>
      </c>
      <c r="B4983">
        <v>88</v>
      </c>
      <c r="C4983" t="s">
        <v>1852</v>
      </c>
      <c r="D4983">
        <v>200</v>
      </c>
      <c r="E4983" t="s">
        <v>1834</v>
      </c>
      <c r="F4983">
        <v>1035</v>
      </c>
      <c r="G4983" t="s">
        <v>52</v>
      </c>
      <c r="H4983">
        <v>2035</v>
      </c>
      <c r="I4983" t="s">
        <v>52</v>
      </c>
      <c r="J4983">
        <v>3350</v>
      </c>
      <c r="K4983" t="s">
        <v>1966</v>
      </c>
      <c r="L4983">
        <v>0</v>
      </c>
      <c r="N4983" t="s">
        <v>721</v>
      </c>
      <c r="O4983">
        <v>16</v>
      </c>
      <c r="P4983">
        <v>4754</v>
      </c>
      <c r="Q4983" t="s">
        <v>975</v>
      </c>
      <c r="R4983" t="s">
        <v>713</v>
      </c>
      <c r="S4983">
        <v>7</v>
      </c>
      <c r="T4983">
        <v>1</v>
      </c>
      <c r="U4983">
        <v>60.5</v>
      </c>
      <c r="V4983">
        <v>880880</v>
      </c>
    </row>
    <row r="4984" spans="1:22">
      <c r="A4984" t="s">
        <v>196</v>
      </c>
      <c r="B4984">
        <v>88</v>
      </c>
      <c r="C4984" t="s">
        <v>1852</v>
      </c>
      <c r="D4984">
        <v>200</v>
      </c>
      <c r="E4984" t="s">
        <v>1834</v>
      </c>
      <c r="F4984">
        <v>1035</v>
      </c>
      <c r="G4984" t="s">
        <v>52</v>
      </c>
      <c r="H4984">
        <v>2035</v>
      </c>
      <c r="I4984" t="s">
        <v>52</v>
      </c>
      <c r="J4984">
        <v>3350</v>
      </c>
      <c r="K4984" t="s">
        <v>1966</v>
      </c>
      <c r="L4984">
        <v>0</v>
      </c>
      <c r="N4984" t="s">
        <v>721</v>
      </c>
      <c r="O4984">
        <v>16</v>
      </c>
      <c r="P4984">
        <v>2233</v>
      </c>
      <c r="Q4984" t="s">
        <v>1849</v>
      </c>
      <c r="R4984" t="s">
        <v>712</v>
      </c>
      <c r="S4984">
        <v>1</v>
      </c>
      <c r="T4984">
        <v>1</v>
      </c>
      <c r="U4984">
        <v>11327.33</v>
      </c>
      <c r="V4984">
        <v>135928</v>
      </c>
    </row>
    <row r="4985" spans="1:22">
      <c r="A4985" t="s">
        <v>196</v>
      </c>
      <c r="B4985">
        <v>88</v>
      </c>
      <c r="C4985" t="s">
        <v>1852</v>
      </c>
      <c r="D4985">
        <v>200</v>
      </c>
      <c r="E4985" t="s">
        <v>1834</v>
      </c>
      <c r="F4985">
        <v>1035</v>
      </c>
      <c r="G4985" t="s">
        <v>52</v>
      </c>
      <c r="H4985">
        <v>2035</v>
      </c>
      <c r="I4985" t="s">
        <v>52</v>
      </c>
      <c r="J4985">
        <v>3350</v>
      </c>
      <c r="K4985" t="s">
        <v>1966</v>
      </c>
      <c r="L4985">
        <v>0</v>
      </c>
      <c r="N4985" t="s">
        <v>721</v>
      </c>
      <c r="O4985">
        <v>16</v>
      </c>
      <c r="P4985">
        <v>2231</v>
      </c>
      <c r="Q4985" t="s">
        <v>1846</v>
      </c>
      <c r="R4985" t="s">
        <v>712</v>
      </c>
      <c r="S4985">
        <v>7</v>
      </c>
      <c r="T4985">
        <v>1</v>
      </c>
      <c r="U4985">
        <v>11119.33</v>
      </c>
      <c r="V4985">
        <v>934024</v>
      </c>
    </row>
    <row r="4986" spans="1:22">
      <c r="A4986" t="s">
        <v>196</v>
      </c>
      <c r="B4986">
        <v>88</v>
      </c>
      <c r="C4986" t="s">
        <v>1852</v>
      </c>
      <c r="D4986">
        <v>200</v>
      </c>
      <c r="E4986" t="s">
        <v>1834</v>
      </c>
      <c r="F4986">
        <v>1035</v>
      </c>
      <c r="G4986" t="s">
        <v>52</v>
      </c>
      <c r="H4986">
        <v>2035</v>
      </c>
      <c r="I4986" t="s">
        <v>52</v>
      </c>
      <c r="J4986">
        <v>3350</v>
      </c>
      <c r="K4986" t="s">
        <v>1966</v>
      </c>
      <c r="L4986">
        <v>0</v>
      </c>
      <c r="N4986" t="s">
        <v>721</v>
      </c>
      <c r="O4986">
        <v>53</v>
      </c>
      <c r="P4986">
        <v>1860</v>
      </c>
      <c r="Q4986" t="s">
        <v>902</v>
      </c>
      <c r="R4986" t="s">
        <v>713</v>
      </c>
      <c r="S4986">
        <v>1</v>
      </c>
      <c r="T4986">
        <v>1</v>
      </c>
      <c r="U4986">
        <v>52.5</v>
      </c>
      <c r="V4986">
        <v>109200</v>
      </c>
    </row>
    <row r="4987" spans="1:22">
      <c r="A4987" t="s">
        <v>196</v>
      </c>
      <c r="B4987">
        <v>88</v>
      </c>
      <c r="C4987" t="s">
        <v>1852</v>
      </c>
      <c r="D4987">
        <v>200</v>
      </c>
      <c r="E4987" t="s">
        <v>1834</v>
      </c>
      <c r="F4987">
        <v>1035</v>
      </c>
      <c r="G4987" t="s">
        <v>52</v>
      </c>
      <c r="H4987">
        <v>2035</v>
      </c>
      <c r="I4987" t="s">
        <v>52</v>
      </c>
      <c r="J4987">
        <v>3350</v>
      </c>
      <c r="K4987" t="s">
        <v>1966</v>
      </c>
      <c r="L4987">
        <v>0</v>
      </c>
      <c r="N4987" t="s">
        <v>1928</v>
      </c>
      <c r="O4987">
        <v>53</v>
      </c>
      <c r="P4987">
        <v>417</v>
      </c>
      <c r="Q4987" t="s">
        <v>1929</v>
      </c>
      <c r="R4987" t="s">
        <v>201</v>
      </c>
      <c r="S4987">
        <v>1</v>
      </c>
      <c r="T4987">
        <v>1</v>
      </c>
      <c r="U4987">
        <v>56112</v>
      </c>
      <c r="V4987">
        <v>56112</v>
      </c>
    </row>
    <row r="4988" spans="1:22">
      <c r="A4988" t="s">
        <v>196</v>
      </c>
      <c r="B4988">
        <v>88</v>
      </c>
      <c r="C4988" t="s">
        <v>1852</v>
      </c>
      <c r="D4988">
        <v>200</v>
      </c>
      <c r="E4988" t="s">
        <v>1834</v>
      </c>
      <c r="F4988">
        <v>1035</v>
      </c>
      <c r="G4988" t="s">
        <v>52</v>
      </c>
      <c r="H4988">
        <v>2035</v>
      </c>
      <c r="I4988" t="s">
        <v>52</v>
      </c>
      <c r="J4988">
        <v>3350</v>
      </c>
      <c r="K4988" t="s">
        <v>1966</v>
      </c>
      <c r="L4988">
        <v>0</v>
      </c>
      <c r="N4988" t="s">
        <v>1928</v>
      </c>
      <c r="O4988">
        <v>53</v>
      </c>
      <c r="P4988">
        <v>417</v>
      </c>
      <c r="Q4988" t="s">
        <v>1929</v>
      </c>
      <c r="R4988" t="s">
        <v>201</v>
      </c>
      <c r="S4988">
        <v>3</v>
      </c>
      <c r="T4988">
        <v>1</v>
      </c>
      <c r="U4988">
        <v>53520</v>
      </c>
      <c r="V4988">
        <v>160560</v>
      </c>
    </row>
    <row r="4989" spans="1:22">
      <c r="A4989" t="s">
        <v>196</v>
      </c>
      <c r="B4989">
        <v>88</v>
      </c>
      <c r="C4989" t="s">
        <v>1852</v>
      </c>
      <c r="D4989">
        <v>200</v>
      </c>
      <c r="E4989" t="s">
        <v>1834</v>
      </c>
      <c r="F4989">
        <v>1035</v>
      </c>
      <c r="G4989" t="s">
        <v>52</v>
      </c>
      <c r="H4989">
        <v>2035</v>
      </c>
      <c r="I4989" t="s">
        <v>52</v>
      </c>
      <c r="J4989">
        <v>3350</v>
      </c>
      <c r="K4989" t="s">
        <v>1966</v>
      </c>
      <c r="L4989">
        <v>0</v>
      </c>
      <c r="N4989" t="s">
        <v>249</v>
      </c>
      <c r="O4989">
        <v>10</v>
      </c>
      <c r="P4989">
        <v>311</v>
      </c>
      <c r="Q4989" t="s">
        <v>661</v>
      </c>
      <c r="R4989" t="s">
        <v>201</v>
      </c>
      <c r="S4989">
        <v>1</v>
      </c>
      <c r="T4989">
        <v>1</v>
      </c>
      <c r="U4989">
        <v>89112</v>
      </c>
      <c r="V4989">
        <v>89112</v>
      </c>
    </row>
    <row r="4990" spans="1:22">
      <c r="A4990" t="s">
        <v>196</v>
      </c>
      <c r="B4990">
        <v>88</v>
      </c>
      <c r="C4990" t="s">
        <v>1852</v>
      </c>
      <c r="D4990">
        <v>200</v>
      </c>
      <c r="E4990" t="s">
        <v>1834</v>
      </c>
      <c r="F4990">
        <v>1035</v>
      </c>
      <c r="G4990" t="s">
        <v>52</v>
      </c>
      <c r="H4990">
        <v>2035</v>
      </c>
      <c r="I4990" t="s">
        <v>52</v>
      </c>
      <c r="J4990">
        <v>3350</v>
      </c>
      <c r="K4990" t="s">
        <v>1966</v>
      </c>
      <c r="L4990">
        <v>0</v>
      </c>
      <c r="N4990" t="s">
        <v>199</v>
      </c>
      <c r="O4990">
        <v>0</v>
      </c>
      <c r="P4990">
        <v>15</v>
      </c>
      <c r="Q4990" t="s">
        <v>264</v>
      </c>
      <c r="R4990" t="s">
        <v>201</v>
      </c>
      <c r="S4990">
        <v>0</v>
      </c>
      <c r="T4990">
        <v>0</v>
      </c>
      <c r="U4990">
        <v>9311</v>
      </c>
      <c r="V4990">
        <v>9311</v>
      </c>
    </row>
    <row r="4991" spans="1:22">
      <c r="A4991" t="s">
        <v>196</v>
      </c>
      <c r="B4991">
        <v>88</v>
      </c>
      <c r="C4991" t="s">
        <v>1852</v>
      </c>
      <c r="D4991">
        <v>200</v>
      </c>
      <c r="E4991" t="s">
        <v>1834</v>
      </c>
      <c r="F4991">
        <v>1035</v>
      </c>
      <c r="G4991" t="s">
        <v>52</v>
      </c>
      <c r="H4991">
        <v>2035</v>
      </c>
      <c r="I4991" t="s">
        <v>52</v>
      </c>
      <c r="J4991">
        <v>3350</v>
      </c>
      <c r="K4991" t="s">
        <v>1966</v>
      </c>
      <c r="L4991">
        <v>0</v>
      </c>
      <c r="N4991" t="s">
        <v>199</v>
      </c>
      <c r="O4991">
        <v>0</v>
      </c>
      <c r="P4991">
        <v>12</v>
      </c>
      <c r="Q4991" t="s">
        <v>724</v>
      </c>
      <c r="R4991" t="s">
        <v>201</v>
      </c>
      <c r="S4991">
        <v>0</v>
      </c>
      <c r="T4991">
        <v>0</v>
      </c>
      <c r="U4991">
        <v>121153</v>
      </c>
      <c r="V4991">
        <v>121153</v>
      </c>
    </row>
    <row r="4992" spans="1:22">
      <c r="A4992" t="s">
        <v>196</v>
      </c>
      <c r="B4992">
        <v>25</v>
      </c>
      <c r="C4992" t="s">
        <v>61</v>
      </c>
      <c r="D4992">
        <v>300</v>
      </c>
      <c r="E4992" t="s">
        <v>1969</v>
      </c>
      <c r="F4992">
        <v>1005</v>
      </c>
      <c r="G4992" t="s">
        <v>61</v>
      </c>
      <c r="H4992">
        <v>2005</v>
      </c>
      <c r="I4992" t="s">
        <v>61</v>
      </c>
      <c r="J4992">
        <v>3025</v>
      </c>
      <c r="K4992" t="s">
        <v>1970</v>
      </c>
      <c r="L4992">
        <v>0</v>
      </c>
      <c r="N4992" t="s">
        <v>616</v>
      </c>
      <c r="O4992">
        <v>9</v>
      </c>
      <c r="P4992">
        <v>9674</v>
      </c>
      <c r="Q4992" t="s">
        <v>327</v>
      </c>
      <c r="R4992" t="s">
        <v>201</v>
      </c>
      <c r="S4992">
        <v>2</v>
      </c>
      <c r="T4992">
        <v>1</v>
      </c>
      <c r="U4992">
        <v>158568</v>
      </c>
      <c r="V4992">
        <v>317136</v>
      </c>
    </row>
    <row r="4993" spans="1:22">
      <c r="A4993" t="s">
        <v>196</v>
      </c>
      <c r="B4993">
        <v>25</v>
      </c>
      <c r="C4993" t="s">
        <v>61</v>
      </c>
      <c r="D4993">
        <v>300</v>
      </c>
      <c r="E4993" t="s">
        <v>1969</v>
      </c>
      <c r="F4993">
        <v>1005</v>
      </c>
      <c r="G4993" t="s">
        <v>61</v>
      </c>
      <c r="H4993">
        <v>2005</v>
      </c>
      <c r="I4993" t="s">
        <v>61</v>
      </c>
      <c r="J4993">
        <v>3025</v>
      </c>
      <c r="K4993" t="s">
        <v>1970</v>
      </c>
      <c r="L4993">
        <v>0</v>
      </c>
      <c r="N4993" t="s">
        <v>616</v>
      </c>
      <c r="O4993">
        <v>9</v>
      </c>
      <c r="P4993">
        <v>9674</v>
      </c>
      <c r="Q4993" t="s">
        <v>327</v>
      </c>
      <c r="R4993" t="s">
        <v>201</v>
      </c>
      <c r="S4993">
        <v>1</v>
      </c>
      <c r="T4993">
        <v>1</v>
      </c>
      <c r="U4993">
        <v>151884</v>
      </c>
      <c r="V4993">
        <v>151884</v>
      </c>
    </row>
    <row r="4994" spans="1:22">
      <c r="A4994" t="s">
        <v>196</v>
      </c>
      <c r="B4994">
        <v>25</v>
      </c>
      <c r="C4994" t="s">
        <v>61</v>
      </c>
      <c r="D4994">
        <v>300</v>
      </c>
      <c r="E4994" t="s">
        <v>1969</v>
      </c>
      <c r="F4994">
        <v>1005</v>
      </c>
      <c r="G4994" t="s">
        <v>61</v>
      </c>
      <c r="H4994">
        <v>2005</v>
      </c>
      <c r="I4994" t="s">
        <v>61</v>
      </c>
      <c r="J4994">
        <v>3025</v>
      </c>
      <c r="K4994" t="s">
        <v>1970</v>
      </c>
      <c r="L4994">
        <v>0</v>
      </c>
      <c r="N4994" t="s">
        <v>249</v>
      </c>
      <c r="O4994">
        <v>10</v>
      </c>
      <c r="P4994">
        <v>3092</v>
      </c>
      <c r="Q4994" t="s">
        <v>750</v>
      </c>
      <c r="R4994" t="s">
        <v>201</v>
      </c>
      <c r="S4994">
        <v>1</v>
      </c>
      <c r="T4994">
        <v>1</v>
      </c>
      <c r="U4994">
        <v>102444</v>
      </c>
      <c r="V4994">
        <v>102444</v>
      </c>
    </row>
    <row r="4995" spans="1:22">
      <c r="A4995" t="s">
        <v>196</v>
      </c>
      <c r="B4995">
        <v>25</v>
      </c>
      <c r="C4995" t="s">
        <v>61</v>
      </c>
      <c r="D4995">
        <v>300</v>
      </c>
      <c r="E4995" t="s">
        <v>1969</v>
      </c>
      <c r="F4995">
        <v>1005</v>
      </c>
      <c r="G4995" t="s">
        <v>61</v>
      </c>
      <c r="H4995">
        <v>2005</v>
      </c>
      <c r="I4995" t="s">
        <v>61</v>
      </c>
      <c r="J4995">
        <v>3025</v>
      </c>
      <c r="K4995" t="s">
        <v>1970</v>
      </c>
      <c r="L4995">
        <v>0</v>
      </c>
      <c r="N4995" t="s">
        <v>631</v>
      </c>
      <c r="O4995">
        <v>0</v>
      </c>
      <c r="P4995">
        <v>3059</v>
      </c>
      <c r="Q4995" t="s">
        <v>1121</v>
      </c>
      <c r="R4995" t="s">
        <v>201</v>
      </c>
      <c r="S4995">
        <v>1</v>
      </c>
      <c r="T4995">
        <v>1</v>
      </c>
      <c r="U4995">
        <v>133044</v>
      </c>
      <c r="V4995">
        <v>133044</v>
      </c>
    </row>
    <row r="4996" spans="1:22">
      <c r="A4996" t="s">
        <v>196</v>
      </c>
      <c r="B4996">
        <v>25</v>
      </c>
      <c r="C4996" t="s">
        <v>61</v>
      </c>
      <c r="D4996">
        <v>300</v>
      </c>
      <c r="E4996" t="s">
        <v>1969</v>
      </c>
      <c r="F4996">
        <v>1005</v>
      </c>
      <c r="G4996" t="s">
        <v>61</v>
      </c>
      <c r="H4996">
        <v>2005</v>
      </c>
      <c r="I4996" t="s">
        <v>61</v>
      </c>
      <c r="J4996">
        <v>3025</v>
      </c>
      <c r="K4996" t="s">
        <v>1970</v>
      </c>
      <c r="L4996">
        <v>0</v>
      </c>
      <c r="N4996" t="s">
        <v>287</v>
      </c>
      <c r="O4996">
        <v>10</v>
      </c>
      <c r="P4996">
        <v>1386</v>
      </c>
      <c r="Q4996" t="s">
        <v>888</v>
      </c>
      <c r="R4996" t="s">
        <v>201</v>
      </c>
      <c r="S4996">
        <v>1</v>
      </c>
      <c r="T4996">
        <v>1</v>
      </c>
      <c r="U4996">
        <v>76020</v>
      </c>
      <c r="V4996">
        <v>76020</v>
      </c>
    </row>
    <row r="4997" spans="1:22">
      <c r="A4997" t="s">
        <v>196</v>
      </c>
      <c r="B4997">
        <v>25</v>
      </c>
      <c r="C4997" t="s">
        <v>61</v>
      </c>
      <c r="D4997">
        <v>300</v>
      </c>
      <c r="E4997" t="s">
        <v>1969</v>
      </c>
      <c r="F4997">
        <v>1005</v>
      </c>
      <c r="G4997" t="s">
        <v>61</v>
      </c>
      <c r="H4997">
        <v>2005</v>
      </c>
      <c r="I4997" t="s">
        <v>61</v>
      </c>
      <c r="J4997">
        <v>3025</v>
      </c>
      <c r="K4997" t="s">
        <v>1970</v>
      </c>
      <c r="L4997">
        <v>0</v>
      </c>
      <c r="N4997" t="s">
        <v>255</v>
      </c>
      <c r="O4997">
        <v>1</v>
      </c>
      <c r="P4997">
        <v>1302</v>
      </c>
      <c r="Q4997" t="s">
        <v>340</v>
      </c>
      <c r="R4997" t="s">
        <v>201</v>
      </c>
      <c r="S4997">
        <v>1</v>
      </c>
      <c r="T4997">
        <v>1</v>
      </c>
      <c r="U4997">
        <v>108576</v>
      </c>
      <c r="V4997">
        <v>108576</v>
      </c>
    </row>
    <row r="4998" spans="1:22">
      <c r="A4998" t="s">
        <v>196</v>
      </c>
      <c r="B4998">
        <v>25</v>
      </c>
      <c r="C4998" t="s">
        <v>61</v>
      </c>
      <c r="D4998">
        <v>300</v>
      </c>
      <c r="E4998" t="s">
        <v>1969</v>
      </c>
      <c r="F4998">
        <v>1005</v>
      </c>
      <c r="G4998" t="s">
        <v>61</v>
      </c>
      <c r="H4998">
        <v>2005</v>
      </c>
      <c r="I4998" t="s">
        <v>61</v>
      </c>
      <c r="J4998">
        <v>3025</v>
      </c>
      <c r="K4998" t="s">
        <v>1970</v>
      </c>
      <c r="L4998">
        <v>0</v>
      </c>
      <c r="N4998" t="s">
        <v>631</v>
      </c>
      <c r="O4998">
        <v>0</v>
      </c>
      <c r="P4998">
        <v>1246</v>
      </c>
      <c r="Q4998" t="s">
        <v>1971</v>
      </c>
      <c r="R4998" t="s">
        <v>201</v>
      </c>
      <c r="S4998">
        <v>1</v>
      </c>
      <c r="T4998">
        <v>1</v>
      </c>
      <c r="U4998">
        <v>124848</v>
      </c>
      <c r="V4998">
        <v>124848</v>
      </c>
    </row>
    <row r="4999" spans="1:22">
      <c r="A4999" t="s">
        <v>196</v>
      </c>
      <c r="B4999">
        <v>25</v>
      </c>
      <c r="C4999" t="s">
        <v>61</v>
      </c>
      <c r="D4999">
        <v>300</v>
      </c>
      <c r="E4999" t="s">
        <v>1969</v>
      </c>
      <c r="F4999">
        <v>1005</v>
      </c>
      <c r="G4999" t="s">
        <v>61</v>
      </c>
      <c r="H4999">
        <v>2005</v>
      </c>
      <c r="I4999" t="s">
        <v>61</v>
      </c>
      <c r="J4999">
        <v>3025</v>
      </c>
      <c r="K4999" t="s">
        <v>1970</v>
      </c>
      <c r="L4999">
        <v>0</v>
      </c>
      <c r="N4999" t="s">
        <v>255</v>
      </c>
      <c r="O4999">
        <v>1</v>
      </c>
      <c r="P4999">
        <v>729</v>
      </c>
      <c r="Q4999" t="s">
        <v>256</v>
      </c>
      <c r="R4999" t="s">
        <v>201</v>
      </c>
      <c r="S4999">
        <v>1</v>
      </c>
      <c r="T4999">
        <v>1</v>
      </c>
      <c r="U4999">
        <v>89244</v>
      </c>
      <c r="V4999">
        <v>89244</v>
      </c>
    </row>
    <row r="5000" spans="1:22">
      <c r="A5000" t="s">
        <v>196</v>
      </c>
      <c r="B5000">
        <v>25</v>
      </c>
      <c r="C5000" t="s">
        <v>61</v>
      </c>
      <c r="D5000">
        <v>300</v>
      </c>
      <c r="E5000" t="s">
        <v>1969</v>
      </c>
      <c r="F5000">
        <v>1005</v>
      </c>
      <c r="G5000" t="s">
        <v>61</v>
      </c>
      <c r="H5000">
        <v>2005</v>
      </c>
      <c r="I5000" t="s">
        <v>61</v>
      </c>
      <c r="J5000">
        <v>3025</v>
      </c>
      <c r="K5000" t="s">
        <v>1970</v>
      </c>
      <c r="L5000">
        <v>0</v>
      </c>
      <c r="N5000" t="s">
        <v>631</v>
      </c>
      <c r="O5000">
        <v>0</v>
      </c>
      <c r="P5000">
        <v>442</v>
      </c>
      <c r="Q5000" t="s">
        <v>1972</v>
      </c>
      <c r="R5000" t="s">
        <v>201</v>
      </c>
      <c r="S5000">
        <v>1</v>
      </c>
      <c r="T5000">
        <v>1</v>
      </c>
      <c r="U5000">
        <v>138840</v>
      </c>
      <c r="V5000">
        <v>138840</v>
      </c>
    </row>
    <row r="5001" spans="1:22">
      <c r="A5001" t="s">
        <v>196</v>
      </c>
      <c r="B5001">
        <v>25</v>
      </c>
      <c r="C5001" t="s">
        <v>61</v>
      </c>
      <c r="D5001">
        <v>300</v>
      </c>
      <c r="E5001" t="s">
        <v>1969</v>
      </c>
      <c r="F5001">
        <v>1005</v>
      </c>
      <c r="G5001" t="s">
        <v>61</v>
      </c>
      <c r="H5001">
        <v>2005</v>
      </c>
      <c r="I5001" t="s">
        <v>61</v>
      </c>
      <c r="J5001">
        <v>3025</v>
      </c>
      <c r="K5001" t="s">
        <v>1970</v>
      </c>
      <c r="L5001">
        <v>0</v>
      </c>
      <c r="N5001" t="s">
        <v>341</v>
      </c>
      <c r="O5001">
        <v>1</v>
      </c>
      <c r="P5001">
        <v>433</v>
      </c>
      <c r="Q5001" t="s">
        <v>1973</v>
      </c>
      <c r="R5001" t="s">
        <v>201</v>
      </c>
      <c r="S5001">
        <v>1</v>
      </c>
      <c r="T5001">
        <v>1</v>
      </c>
      <c r="U5001">
        <v>119100</v>
      </c>
      <c r="V5001">
        <v>119100</v>
      </c>
    </row>
    <row r="5002" spans="1:22">
      <c r="A5002" t="s">
        <v>196</v>
      </c>
      <c r="B5002">
        <v>25</v>
      </c>
      <c r="C5002" t="s">
        <v>61</v>
      </c>
      <c r="D5002">
        <v>300</v>
      </c>
      <c r="E5002" t="s">
        <v>1969</v>
      </c>
      <c r="F5002">
        <v>1005</v>
      </c>
      <c r="G5002" t="s">
        <v>61</v>
      </c>
      <c r="H5002">
        <v>2005</v>
      </c>
      <c r="I5002" t="s">
        <v>61</v>
      </c>
      <c r="J5002">
        <v>3025</v>
      </c>
      <c r="K5002" t="s">
        <v>1970</v>
      </c>
      <c r="L5002">
        <v>0</v>
      </c>
      <c r="N5002" t="s">
        <v>622</v>
      </c>
      <c r="O5002">
        <v>1</v>
      </c>
      <c r="P5002">
        <v>419</v>
      </c>
      <c r="Q5002" t="s">
        <v>1974</v>
      </c>
      <c r="R5002" t="s">
        <v>201</v>
      </c>
      <c r="S5002">
        <v>1</v>
      </c>
      <c r="T5002">
        <v>1</v>
      </c>
      <c r="U5002">
        <v>58764</v>
      </c>
      <c r="V5002">
        <v>58764</v>
      </c>
    </row>
    <row r="5003" spans="1:22">
      <c r="A5003" t="s">
        <v>196</v>
      </c>
      <c r="B5003">
        <v>25</v>
      </c>
      <c r="C5003" t="s">
        <v>61</v>
      </c>
      <c r="D5003">
        <v>300</v>
      </c>
      <c r="E5003" t="s">
        <v>1969</v>
      </c>
      <c r="F5003">
        <v>1005</v>
      </c>
      <c r="G5003" t="s">
        <v>61</v>
      </c>
      <c r="H5003">
        <v>2005</v>
      </c>
      <c r="I5003" t="s">
        <v>61</v>
      </c>
      <c r="J5003">
        <v>3025</v>
      </c>
      <c r="K5003" t="s">
        <v>1970</v>
      </c>
      <c r="L5003">
        <v>0</v>
      </c>
      <c r="N5003" t="s">
        <v>351</v>
      </c>
      <c r="O5003">
        <v>1</v>
      </c>
      <c r="P5003" t="s">
        <v>352</v>
      </c>
      <c r="Q5003" t="s">
        <v>353</v>
      </c>
      <c r="R5003" t="s">
        <v>201</v>
      </c>
      <c r="S5003">
        <v>1</v>
      </c>
      <c r="T5003">
        <v>1</v>
      </c>
      <c r="U5003">
        <v>98928</v>
      </c>
      <c r="V5003">
        <v>98928</v>
      </c>
    </row>
    <row r="5004" spans="1:22">
      <c r="A5004" t="s">
        <v>196</v>
      </c>
      <c r="B5004">
        <v>25</v>
      </c>
      <c r="C5004" t="s">
        <v>61</v>
      </c>
      <c r="D5004">
        <v>300</v>
      </c>
      <c r="E5004" t="s">
        <v>1969</v>
      </c>
      <c r="F5004">
        <v>1005</v>
      </c>
      <c r="G5004" t="s">
        <v>61</v>
      </c>
      <c r="H5004">
        <v>2005</v>
      </c>
      <c r="I5004" t="s">
        <v>61</v>
      </c>
      <c r="J5004">
        <v>3025</v>
      </c>
      <c r="K5004" t="s">
        <v>1970</v>
      </c>
      <c r="L5004">
        <v>0</v>
      </c>
      <c r="N5004" t="s">
        <v>631</v>
      </c>
      <c r="O5004">
        <v>0</v>
      </c>
      <c r="P5004" t="s">
        <v>635</v>
      </c>
      <c r="Q5004" t="s">
        <v>636</v>
      </c>
      <c r="R5004" t="s">
        <v>201</v>
      </c>
      <c r="S5004">
        <v>1</v>
      </c>
      <c r="T5004">
        <v>1</v>
      </c>
      <c r="U5004">
        <v>133044</v>
      </c>
      <c r="V5004">
        <v>133044</v>
      </c>
    </row>
    <row r="5005" spans="1:22">
      <c r="A5005" t="s">
        <v>196</v>
      </c>
      <c r="B5005">
        <v>25</v>
      </c>
      <c r="C5005" t="s">
        <v>61</v>
      </c>
      <c r="D5005">
        <v>300</v>
      </c>
      <c r="E5005" t="s">
        <v>1969</v>
      </c>
      <c r="F5005">
        <v>1005</v>
      </c>
      <c r="G5005" t="s">
        <v>61</v>
      </c>
      <c r="H5005">
        <v>2005</v>
      </c>
      <c r="I5005" t="s">
        <v>61</v>
      </c>
      <c r="J5005">
        <v>3025</v>
      </c>
      <c r="K5005" t="s">
        <v>1970</v>
      </c>
      <c r="L5005">
        <v>0</v>
      </c>
      <c r="N5005" t="s">
        <v>631</v>
      </c>
      <c r="O5005">
        <v>0</v>
      </c>
      <c r="P5005" t="s">
        <v>635</v>
      </c>
      <c r="Q5005" t="s">
        <v>636</v>
      </c>
      <c r="R5005" t="s">
        <v>201</v>
      </c>
      <c r="S5005">
        <v>1</v>
      </c>
      <c r="T5005">
        <v>1</v>
      </c>
      <c r="U5005">
        <v>110856</v>
      </c>
      <c r="V5005">
        <v>110856</v>
      </c>
    </row>
    <row r="5006" spans="1:22">
      <c r="A5006" t="s">
        <v>196</v>
      </c>
      <c r="B5006">
        <v>25</v>
      </c>
      <c r="C5006" t="s">
        <v>61</v>
      </c>
      <c r="D5006">
        <v>300</v>
      </c>
      <c r="E5006" t="s">
        <v>1969</v>
      </c>
      <c r="F5006">
        <v>1005</v>
      </c>
      <c r="G5006" t="s">
        <v>61</v>
      </c>
      <c r="H5006">
        <v>2005</v>
      </c>
      <c r="I5006" t="s">
        <v>61</v>
      </c>
      <c r="J5006">
        <v>3025</v>
      </c>
      <c r="K5006" t="s">
        <v>1970</v>
      </c>
      <c r="L5006">
        <v>0</v>
      </c>
      <c r="N5006" t="s">
        <v>616</v>
      </c>
      <c r="O5006">
        <v>9</v>
      </c>
      <c r="P5006">
        <v>315</v>
      </c>
      <c r="Q5006" t="s">
        <v>1975</v>
      </c>
      <c r="R5006" t="s">
        <v>201</v>
      </c>
      <c r="S5006">
        <v>1</v>
      </c>
      <c r="T5006">
        <v>1</v>
      </c>
      <c r="U5006">
        <v>126396</v>
      </c>
      <c r="V5006">
        <v>126396</v>
      </c>
    </row>
    <row r="5007" spans="1:22">
      <c r="A5007" t="s">
        <v>196</v>
      </c>
      <c r="B5007">
        <v>25</v>
      </c>
      <c r="C5007" t="s">
        <v>61</v>
      </c>
      <c r="D5007">
        <v>300</v>
      </c>
      <c r="E5007" t="s">
        <v>1969</v>
      </c>
      <c r="F5007">
        <v>1005</v>
      </c>
      <c r="G5007" t="s">
        <v>61</v>
      </c>
      <c r="H5007">
        <v>2005</v>
      </c>
      <c r="I5007" t="s">
        <v>61</v>
      </c>
      <c r="J5007">
        <v>3025</v>
      </c>
      <c r="K5007" t="s">
        <v>1970</v>
      </c>
      <c r="L5007">
        <v>0</v>
      </c>
      <c r="N5007" t="s">
        <v>249</v>
      </c>
      <c r="O5007">
        <v>10</v>
      </c>
      <c r="P5007">
        <v>310</v>
      </c>
      <c r="Q5007" t="s">
        <v>447</v>
      </c>
      <c r="R5007" t="s">
        <v>201</v>
      </c>
      <c r="S5007">
        <v>1</v>
      </c>
      <c r="T5007">
        <v>1</v>
      </c>
      <c r="U5007">
        <v>89112</v>
      </c>
      <c r="V5007">
        <v>89112</v>
      </c>
    </row>
    <row r="5008" spans="1:22">
      <c r="A5008" t="s">
        <v>196</v>
      </c>
      <c r="B5008">
        <v>25</v>
      </c>
      <c r="C5008" t="s">
        <v>61</v>
      </c>
      <c r="D5008">
        <v>300</v>
      </c>
      <c r="E5008" t="s">
        <v>1969</v>
      </c>
      <c r="F5008">
        <v>1005</v>
      </c>
      <c r="G5008" t="s">
        <v>61</v>
      </c>
      <c r="H5008">
        <v>2005</v>
      </c>
      <c r="I5008" t="s">
        <v>61</v>
      </c>
      <c r="J5008">
        <v>3025</v>
      </c>
      <c r="K5008" t="s">
        <v>1970</v>
      </c>
      <c r="L5008">
        <v>0</v>
      </c>
      <c r="N5008" t="s">
        <v>341</v>
      </c>
      <c r="O5008">
        <v>1</v>
      </c>
      <c r="P5008">
        <v>308</v>
      </c>
      <c r="Q5008" t="s">
        <v>355</v>
      </c>
      <c r="R5008" t="s">
        <v>201</v>
      </c>
      <c r="S5008">
        <v>1</v>
      </c>
      <c r="T5008">
        <v>1</v>
      </c>
      <c r="U5008">
        <v>68616</v>
      </c>
      <c r="V5008">
        <v>68616</v>
      </c>
    </row>
    <row r="5009" spans="1:22">
      <c r="A5009" t="s">
        <v>196</v>
      </c>
      <c r="B5009">
        <v>25</v>
      </c>
      <c r="C5009" t="s">
        <v>61</v>
      </c>
      <c r="D5009">
        <v>300</v>
      </c>
      <c r="E5009" t="s">
        <v>1969</v>
      </c>
      <c r="F5009">
        <v>1005</v>
      </c>
      <c r="G5009" t="s">
        <v>61</v>
      </c>
      <c r="H5009">
        <v>2005</v>
      </c>
      <c r="I5009" t="s">
        <v>61</v>
      </c>
      <c r="J5009">
        <v>3025</v>
      </c>
      <c r="K5009" t="s">
        <v>1970</v>
      </c>
      <c r="L5009">
        <v>0</v>
      </c>
      <c r="N5009" t="s">
        <v>268</v>
      </c>
      <c r="O5009">
        <v>10</v>
      </c>
      <c r="P5009">
        <v>248</v>
      </c>
      <c r="Q5009" t="s">
        <v>696</v>
      </c>
      <c r="R5009" t="s">
        <v>201</v>
      </c>
      <c r="S5009">
        <v>2</v>
      </c>
      <c r="T5009">
        <v>1</v>
      </c>
      <c r="U5009">
        <v>113568</v>
      </c>
      <c r="V5009">
        <v>227136</v>
      </c>
    </row>
    <row r="5010" spans="1:22">
      <c r="A5010" t="s">
        <v>196</v>
      </c>
      <c r="B5010">
        <v>25</v>
      </c>
      <c r="C5010" t="s">
        <v>61</v>
      </c>
      <c r="D5010">
        <v>300</v>
      </c>
      <c r="E5010" t="s">
        <v>1969</v>
      </c>
      <c r="F5010">
        <v>1005</v>
      </c>
      <c r="G5010" t="s">
        <v>61</v>
      </c>
      <c r="H5010">
        <v>2005</v>
      </c>
      <c r="I5010" t="s">
        <v>61</v>
      </c>
      <c r="J5010">
        <v>3025</v>
      </c>
      <c r="K5010" t="s">
        <v>1970</v>
      </c>
      <c r="L5010">
        <v>0</v>
      </c>
      <c r="N5010" t="s">
        <v>622</v>
      </c>
      <c r="O5010">
        <v>1</v>
      </c>
      <c r="P5010">
        <v>236</v>
      </c>
      <c r="Q5010" t="s">
        <v>1976</v>
      </c>
      <c r="R5010" t="s">
        <v>201</v>
      </c>
      <c r="S5010">
        <v>2</v>
      </c>
      <c r="T5010">
        <v>1</v>
      </c>
      <c r="U5010">
        <v>90144</v>
      </c>
      <c r="V5010">
        <v>180288</v>
      </c>
    </row>
    <row r="5011" spans="1:22">
      <c r="A5011" t="s">
        <v>196</v>
      </c>
      <c r="B5011">
        <v>25</v>
      </c>
      <c r="C5011" t="s">
        <v>61</v>
      </c>
      <c r="D5011">
        <v>300</v>
      </c>
      <c r="E5011" t="s">
        <v>1969</v>
      </c>
      <c r="F5011">
        <v>1005</v>
      </c>
      <c r="G5011" t="s">
        <v>61</v>
      </c>
      <c r="H5011">
        <v>2005</v>
      </c>
      <c r="I5011" t="s">
        <v>61</v>
      </c>
      <c r="J5011">
        <v>3025</v>
      </c>
      <c r="K5011" t="s">
        <v>1970</v>
      </c>
      <c r="L5011">
        <v>0</v>
      </c>
      <c r="N5011" t="s">
        <v>622</v>
      </c>
      <c r="O5011">
        <v>1</v>
      </c>
      <c r="P5011">
        <v>236</v>
      </c>
      <c r="Q5011" t="s">
        <v>1976</v>
      </c>
      <c r="R5011" t="s">
        <v>201</v>
      </c>
      <c r="S5011">
        <v>1</v>
      </c>
      <c r="T5011">
        <v>1</v>
      </c>
      <c r="U5011">
        <v>68256</v>
      </c>
      <c r="V5011">
        <v>68256</v>
      </c>
    </row>
    <row r="5012" spans="1:22">
      <c r="A5012" t="s">
        <v>196</v>
      </c>
      <c r="B5012">
        <v>25</v>
      </c>
      <c r="C5012" t="s">
        <v>61</v>
      </c>
      <c r="D5012">
        <v>300</v>
      </c>
      <c r="E5012" t="s">
        <v>1969</v>
      </c>
      <c r="F5012">
        <v>1005</v>
      </c>
      <c r="G5012" t="s">
        <v>61</v>
      </c>
      <c r="H5012">
        <v>2005</v>
      </c>
      <c r="I5012" t="s">
        <v>61</v>
      </c>
      <c r="J5012">
        <v>3025</v>
      </c>
      <c r="K5012" t="s">
        <v>1970</v>
      </c>
      <c r="L5012">
        <v>0</v>
      </c>
      <c r="N5012" t="s">
        <v>622</v>
      </c>
      <c r="O5012">
        <v>1</v>
      </c>
      <c r="P5012">
        <v>236</v>
      </c>
      <c r="Q5012" t="s">
        <v>1976</v>
      </c>
      <c r="R5012" t="s">
        <v>201</v>
      </c>
      <c r="S5012">
        <v>1</v>
      </c>
      <c r="T5012">
        <v>1</v>
      </c>
      <c r="U5012">
        <v>51936</v>
      </c>
      <c r="V5012">
        <v>51936</v>
      </c>
    </row>
    <row r="5013" spans="1:22">
      <c r="A5013" t="s">
        <v>196</v>
      </c>
      <c r="B5013">
        <v>25</v>
      </c>
      <c r="C5013" t="s">
        <v>61</v>
      </c>
      <c r="D5013">
        <v>300</v>
      </c>
      <c r="E5013" t="s">
        <v>1969</v>
      </c>
      <c r="F5013">
        <v>1005</v>
      </c>
      <c r="G5013" t="s">
        <v>61</v>
      </c>
      <c r="H5013">
        <v>2005</v>
      </c>
      <c r="I5013" t="s">
        <v>61</v>
      </c>
      <c r="J5013">
        <v>3025</v>
      </c>
      <c r="K5013" t="s">
        <v>1970</v>
      </c>
      <c r="L5013">
        <v>0</v>
      </c>
      <c r="N5013" t="s">
        <v>622</v>
      </c>
      <c r="O5013">
        <v>1</v>
      </c>
      <c r="P5013">
        <v>235</v>
      </c>
      <c r="Q5013" t="s">
        <v>698</v>
      </c>
      <c r="R5013" t="s">
        <v>201</v>
      </c>
      <c r="S5013">
        <v>4</v>
      </c>
      <c r="T5013">
        <v>1</v>
      </c>
      <c r="U5013">
        <v>90144</v>
      </c>
      <c r="V5013">
        <v>360576</v>
      </c>
    </row>
    <row r="5014" spans="1:22">
      <c r="A5014" t="s">
        <v>196</v>
      </c>
      <c r="B5014">
        <v>25</v>
      </c>
      <c r="C5014" t="s">
        <v>61</v>
      </c>
      <c r="D5014">
        <v>300</v>
      </c>
      <c r="E5014" t="s">
        <v>1969</v>
      </c>
      <c r="F5014">
        <v>1005</v>
      </c>
      <c r="G5014" t="s">
        <v>61</v>
      </c>
      <c r="H5014">
        <v>2005</v>
      </c>
      <c r="I5014" t="s">
        <v>61</v>
      </c>
      <c r="J5014">
        <v>3025</v>
      </c>
      <c r="K5014" t="s">
        <v>1970</v>
      </c>
      <c r="L5014">
        <v>0</v>
      </c>
      <c r="N5014" t="s">
        <v>622</v>
      </c>
      <c r="O5014">
        <v>1</v>
      </c>
      <c r="P5014">
        <v>235</v>
      </c>
      <c r="Q5014" t="s">
        <v>698</v>
      </c>
      <c r="R5014" t="s">
        <v>201</v>
      </c>
      <c r="S5014">
        <v>1</v>
      </c>
      <c r="T5014">
        <v>1</v>
      </c>
      <c r="U5014">
        <v>74916</v>
      </c>
      <c r="V5014">
        <v>74916</v>
      </c>
    </row>
    <row r="5015" spans="1:22">
      <c r="A5015" t="s">
        <v>196</v>
      </c>
      <c r="B5015">
        <v>25</v>
      </c>
      <c r="C5015" t="s">
        <v>61</v>
      </c>
      <c r="D5015">
        <v>300</v>
      </c>
      <c r="E5015" t="s">
        <v>1969</v>
      </c>
      <c r="F5015">
        <v>1005</v>
      </c>
      <c r="G5015" t="s">
        <v>61</v>
      </c>
      <c r="H5015">
        <v>2005</v>
      </c>
      <c r="I5015" t="s">
        <v>61</v>
      </c>
      <c r="J5015">
        <v>3025</v>
      </c>
      <c r="K5015" t="s">
        <v>1970</v>
      </c>
      <c r="L5015">
        <v>0</v>
      </c>
      <c r="N5015" t="s">
        <v>622</v>
      </c>
      <c r="O5015">
        <v>1</v>
      </c>
      <c r="P5015">
        <v>235</v>
      </c>
      <c r="Q5015" t="s">
        <v>698</v>
      </c>
      <c r="R5015" t="s">
        <v>201</v>
      </c>
      <c r="S5015">
        <v>1</v>
      </c>
      <c r="T5015">
        <v>1</v>
      </c>
      <c r="U5015">
        <v>68256</v>
      </c>
      <c r="V5015">
        <v>68256</v>
      </c>
    </row>
    <row r="5016" spans="1:22">
      <c r="A5016" t="s">
        <v>196</v>
      </c>
      <c r="B5016">
        <v>25</v>
      </c>
      <c r="C5016" t="s">
        <v>61</v>
      </c>
      <c r="D5016">
        <v>300</v>
      </c>
      <c r="E5016" t="s">
        <v>1969</v>
      </c>
      <c r="F5016">
        <v>1005</v>
      </c>
      <c r="G5016" t="s">
        <v>61</v>
      </c>
      <c r="H5016">
        <v>2005</v>
      </c>
      <c r="I5016" t="s">
        <v>61</v>
      </c>
      <c r="J5016">
        <v>3025</v>
      </c>
      <c r="K5016" t="s">
        <v>1970</v>
      </c>
      <c r="L5016">
        <v>0</v>
      </c>
      <c r="N5016" t="s">
        <v>622</v>
      </c>
      <c r="O5016">
        <v>1</v>
      </c>
      <c r="P5016">
        <v>235</v>
      </c>
      <c r="Q5016" t="s">
        <v>698</v>
      </c>
      <c r="R5016" t="s">
        <v>201</v>
      </c>
      <c r="S5016">
        <v>3</v>
      </c>
      <c r="T5016">
        <v>1</v>
      </c>
      <c r="U5016">
        <v>64488</v>
      </c>
      <c r="V5016">
        <v>193464</v>
      </c>
    </row>
    <row r="5017" spans="1:22">
      <c r="A5017" t="s">
        <v>196</v>
      </c>
      <c r="B5017">
        <v>25</v>
      </c>
      <c r="C5017" t="s">
        <v>61</v>
      </c>
      <c r="D5017">
        <v>300</v>
      </c>
      <c r="E5017" t="s">
        <v>1969</v>
      </c>
      <c r="F5017">
        <v>1005</v>
      </c>
      <c r="G5017" t="s">
        <v>61</v>
      </c>
      <c r="H5017">
        <v>2005</v>
      </c>
      <c r="I5017" t="s">
        <v>61</v>
      </c>
      <c r="J5017">
        <v>3025</v>
      </c>
      <c r="K5017" t="s">
        <v>1970</v>
      </c>
      <c r="L5017">
        <v>0</v>
      </c>
      <c r="N5017" t="s">
        <v>622</v>
      </c>
      <c r="O5017">
        <v>1</v>
      </c>
      <c r="P5017">
        <v>235</v>
      </c>
      <c r="Q5017" t="s">
        <v>698</v>
      </c>
      <c r="R5017" t="s">
        <v>201</v>
      </c>
      <c r="S5017">
        <v>3</v>
      </c>
      <c r="T5017">
        <v>1</v>
      </c>
      <c r="U5017">
        <v>56124</v>
      </c>
      <c r="V5017">
        <v>168372</v>
      </c>
    </row>
    <row r="5018" spans="1:22">
      <c r="A5018" t="s">
        <v>196</v>
      </c>
      <c r="B5018">
        <v>25</v>
      </c>
      <c r="C5018" t="s">
        <v>61</v>
      </c>
      <c r="D5018">
        <v>300</v>
      </c>
      <c r="E5018" t="s">
        <v>1969</v>
      </c>
      <c r="F5018">
        <v>1005</v>
      </c>
      <c r="G5018" t="s">
        <v>61</v>
      </c>
      <c r="H5018">
        <v>2005</v>
      </c>
      <c r="I5018" t="s">
        <v>61</v>
      </c>
      <c r="J5018">
        <v>3025</v>
      </c>
      <c r="K5018" t="s">
        <v>1970</v>
      </c>
      <c r="L5018">
        <v>0</v>
      </c>
      <c r="N5018" t="s">
        <v>622</v>
      </c>
      <c r="O5018">
        <v>1</v>
      </c>
      <c r="P5018">
        <v>235</v>
      </c>
      <c r="Q5018" t="s">
        <v>698</v>
      </c>
      <c r="R5018" t="s">
        <v>201</v>
      </c>
      <c r="S5018">
        <v>5</v>
      </c>
      <c r="T5018">
        <v>1</v>
      </c>
      <c r="U5018">
        <v>51936</v>
      </c>
      <c r="V5018">
        <v>259680</v>
      </c>
    </row>
    <row r="5019" spans="1:22">
      <c r="A5019" t="s">
        <v>196</v>
      </c>
      <c r="B5019">
        <v>25</v>
      </c>
      <c r="C5019" t="s">
        <v>61</v>
      </c>
      <c r="D5019">
        <v>300</v>
      </c>
      <c r="E5019" t="s">
        <v>1969</v>
      </c>
      <c r="F5019">
        <v>1005</v>
      </c>
      <c r="G5019" t="s">
        <v>61</v>
      </c>
      <c r="H5019">
        <v>2005</v>
      </c>
      <c r="I5019" t="s">
        <v>61</v>
      </c>
      <c r="J5019">
        <v>3025</v>
      </c>
      <c r="K5019" t="s">
        <v>1970</v>
      </c>
      <c r="L5019">
        <v>0</v>
      </c>
      <c r="N5019" t="s">
        <v>199</v>
      </c>
      <c r="O5019">
        <v>0</v>
      </c>
      <c r="P5019">
        <v>15</v>
      </c>
      <c r="Q5019" t="s">
        <v>264</v>
      </c>
      <c r="R5019" t="s">
        <v>201</v>
      </c>
      <c r="S5019">
        <v>0</v>
      </c>
      <c r="T5019">
        <v>0</v>
      </c>
      <c r="U5019">
        <v>30402</v>
      </c>
      <c r="V5019">
        <v>30402</v>
      </c>
    </row>
    <row r="5020" spans="1:22">
      <c r="A5020" t="s">
        <v>196</v>
      </c>
      <c r="B5020">
        <v>25</v>
      </c>
      <c r="C5020" t="s">
        <v>61</v>
      </c>
      <c r="D5020">
        <v>300</v>
      </c>
      <c r="E5020" t="s">
        <v>1969</v>
      </c>
      <c r="F5020">
        <v>1005</v>
      </c>
      <c r="G5020" t="s">
        <v>61</v>
      </c>
      <c r="H5020">
        <v>2005</v>
      </c>
      <c r="I5020" t="s">
        <v>61</v>
      </c>
      <c r="J5020">
        <v>3030</v>
      </c>
      <c r="K5020" t="s">
        <v>1977</v>
      </c>
      <c r="L5020">
        <v>0</v>
      </c>
      <c r="N5020" t="s">
        <v>616</v>
      </c>
      <c r="O5020">
        <v>9</v>
      </c>
      <c r="P5020">
        <v>9674</v>
      </c>
      <c r="Q5020" t="s">
        <v>327</v>
      </c>
      <c r="R5020" t="s">
        <v>201</v>
      </c>
      <c r="S5020">
        <v>1</v>
      </c>
      <c r="T5020">
        <v>1</v>
      </c>
      <c r="U5020">
        <v>151884</v>
      </c>
      <c r="V5020">
        <v>151884</v>
      </c>
    </row>
    <row r="5021" spans="1:22">
      <c r="A5021" t="s">
        <v>196</v>
      </c>
      <c r="B5021">
        <v>25</v>
      </c>
      <c r="C5021" t="s">
        <v>61</v>
      </c>
      <c r="D5021">
        <v>300</v>
      </c>
      <c r="E5021" t="s">
        <v>1969</v>
      </c>
      <c r="F5021">
        <v>1005</v>
      </c>
      <c r="G5021" t="s">
        <v>61</v>
      </c>
      <c r="H5021">
        <v>2005</v>
      </c>
      <c r="I5021" t="s">
        <v>61</v>
      </c>
      <c r="J5021">
        <v>3030</v>
      </c>
      <c r="K5021" t="s">
        <v>1977</v>
      </c>
      <c r="L5021">
        <v>0</v>
      </c>
      <c r="N5021" t="s">
        <v>341</v>
      </c>
      <c r="O5021">
        <v>1</v>
      </c>
      <c r="P5021">
        <v>6409</v>
      </c>
      <c r="Q5021" t="s">
        <v>1010</v>
      </c>
      <c r="R5021" t="s">
        <v>201</v>
      </c>
      <c r="S5021">
        <v>1</v>
      </c>
      <c r="T5021">
        <v>1</v>
      </c>
      <c r="U5021">
        <v>74172</v>
      </c>
      <c r="V5021">
        <v>74172</v>
      </c>
    </row>
    <row r="5022" spans="1:22">
      <c r="A5022" t="s">
        <v>196</v>
      </c>
      <c r="B5022">
        <v>25</v>
      </c>
      <c r="C5022" t="s">
        <v>61</v>
      </c>
      <c r="D5022">
        <v>300</v>
      </c>
      <c r="E5022" t="s">
        <v>1969</v>
      </c>
      <c r="F5022">
        <v>1005</v>
      </c>
      <c r="G5022" t="s">
        <v>61</v>
      </c>
      <c r="H5022">
        <v>2005</v>
      </c>
      <c r="I5022" t="s">
        <v>61</v>
      </c>
      <c r="J5022">
        <v>3030</v>
      </c>
      <c r="K5022" t="s">
        <v>1977</v>
      </c>
      <c r="L5022">
        <v>0</v>
      </c>
      <c r="N5022" t="s">
        <v>631</v>
      </c>
      <c r="O5022">
        <v>0</v>
      </c>
      <c r="P5022">
        <v>1246</v>
      </c>
      <c r="Q5022" t="s">
        <v>1971</v>
      </c>
      <c r="R5022" t="s">
        <v>201</v>
      </c>
      <c r="S5022">
        <v>1</v>
      </c>
      <c r="T5022">
        <v>1</v>
      </c>
      <c r="U5022">
        <v>133044</v>
      </c>
      <c r="V5022">
        <v>133044</v>
      </c>
    </row>
    <row r="5023" spans="1:22">
      <c r="A5023" t="s">
        <v>196</v>
      </c>
      <c r="B5023">
        <v>25</v>
      </c>
      <c r="C5023" t="s">
        <v>61</v>
      </c>
      <c r="D5023">
        <v>300</v>
      </c>
      <c r="E5023" t="s">
        <v>1969</v>
      </c>
      <c r="F5023">
        <v>1005</v>
      </c>
      <c r="G5023" t="s">
        <v>61</v>
      </c>
      <c r="H5023">
        <v>2005</v>
      </c>
      <c r="I5023" t="s">
        <v>61</v>
      </c>
      <c r="J5023">
        <v>3030</v>
      </c>
      <c r="K5023" t="s">
        <v>1977</v>
      </c>
      <c r="L5023">
        <v>0</v>
      </c>
      <c r="N5023" t="s">
        <v>622</v>
      </c>
      <c r="O5023">
        <v>1</v>
      </c>
      <c r="P5023">
        <v>419</v>
      </c>
      <c r="Q5023" t="s">
        <v>1974</v>
      </c>
      <c r="R5023" t="s">
        <v>201</v>
      </c>
      <c r="S5023">
        <v>1</v>
      </c>
      <c r="T5023">
        <v>1</v>
      </c>
      <c r="U5023">
        <v>71436</v>
      </c>
      <c r="V5023">
        <v>71436</v>
      </c>
    </row>
    <row r="5024" spans="1:22">
      <c r="A5024" t="s">
        <v>196</v>
      </c>
      <c r="B5024">
        <v>25</v>
      </c>
      <c r="C5024" t="s">
        <v>61</v>
      </c>
      <c r="D5024">
        <v>300</v>
      </c>
      <c r="E5024" t="s">
        <v>1969</v>
      </c>
      <c r="F5024">
        <v>1005</v>
      </c>
      <c r="G5024" t="s">
        <v>61</v>
      </c>
      <c r="H5024">
        <v>2005</v>
      </c>
      <c r="I5024" t="s">
        <v>61</v>
      </c>
      <c r="J5024">
        <v>3030</v>
      </c>
      <c r="K5024" t="s">
        <v>1977</v>
      </c>
      <c r="L5024">
        <v>0</v>
      </c>
      <c r="N5024" t="s">
        <v>622</v>
      </c>
      <c r="O5024">
        <v>1</v>
      </c>
      <c r="P5024">
        <v>419</v>
      </c>
      <c r="Q5024" t="s">
        <v>1974</v>
      </c>
      <c r="R5024" t="s">
        <v>201</v>
      </c>
      <c r="S5024">
        <v>1</v>
      </c>
      <c r="T5024">
        <v>1</v>
      </c>
      <c r="U5024">
        <v>68256</v>
      </c>
      <c r="V5024">
        <v>68256</v>
      </c>
    </row>
    <row r="5025" spans="1:22">
      <c r="A5025" t="s">
        <v>196</v>
      </c>
      <c r="B5025">
        <v>25</v>
      </c>
      <c r="C5025" t="s">
        <v>61</v>
      </c>
      <c r="D5025">
        <v>300</v>
      </c>
      <c r="E5025" t="s">
        <v>1969</v>
      </c>
      <c r="F5025">
        <v>1005</v>
      </c>
      <c r="G5025" t="s">
        <v>61</v>
      </c>
      <c r="H5025">
        <v>2005</v>
      </c>
      <c r="I5025" t="s">
        <v>61</v>
      </c>
      <c r="J5025">
        <v>3030</v>
      </c>
      <c r="K5025" t="s">
        <v>1977</v>
      </c>
      <c r="L5025">
        <v>0</v>
      </c>
      <c r="N5025" t="s">
        <v>622</v>
      </c>
      <c r="O5025">
        <v>1</v>
      </c>
      <c r="P5025">
        <v>419</v>
      </c>
      <c r="Q5025" t="s">
        <v>1974</v>
      </c>
      <c r="R5025" t="s">
        <v>201</v>
      </c>
      <c r="S5025">
        <v>1</v>
      </c>
      <c r="T5025">
        <v>1</v>
      </c>
      <c r="U5025">
        <v>58764</v>
      </c>
      <c r="V5025">
        <v>58764</v>
      </c>
    </row>
    <row r="5026" spans="1:22">
      <c r="A5026" t="s">
        <v>196</v>
      </c>
      <c r="B5026">
        <v>25</v>
      </c>
      <c r="C5026" t="s">
        <v>61</v>
      </c>
      <c r="D5026">
        <v>300</v>
      </c>
      <c r="E5026" t="s">
        <v>1969</v>
      </c>
      <c r="F5026">
        <v>1005</v>
      </c>
      <c r="G5026" t="s">
        <v>61</v>
      </c>
      <c r="H5026">
        <v>2005</v>
      </c>
      <c r="I5026" t="s">
        <v>61</v>
      </c>
      <c r="J5026">
        <v>3030</v>
      </c>
      <c r="K5026" t="s">
        <v>1977</v>
      </c>
      <c r="L5026">
        <v>0</v>
      </c>
      <c r="N5026" t="s">
        <v>622</v>
      </c>
      <c r="O5026">
        <v>1</v>
      </c>
      <c r="P5026">
        <v>419</v>
      </c>
      <c r="Q5026" t="s">
        <v>1974</v>
      </c>
      <c r="R5026" t="s">
        <v>201</v>
      </c>
      <c r="S5026">
        <v>1</v>
      </c>
      <c r="T5026">
        <v>1</v>
      </c>
      <c r="U5026">
        <v>51936</v>
      </c>
      <c r="V5026">
        <v>51936</v>
      </c>
    </row>
    <row r="5027" spans="1:22">
      <c r="A5027" t="s">
        <v>196</v>
      </c>
      <c r="B5027">
        <v>25</v>
      </c>
      <c r="C5027" t="s">
        <v>61</v>
      </c>
      <c r="D5027">
        <v>300</v>
      </c>
      <c r="E5027" t="s">
        <v>1969</v>
      </c>
      <c r="F5027">
        <v>1005</v>
      </c>
      <c r="G5027" t="s">
        <v>61</v>
      </c>
      <c r="H5027">
        <v>2005</v>
      </c>
      <c r="I5027" t="s">
        <v>61</v>
      </c>
      <c r="J5027">
        <v>3030</v>
      </c>
      <c r="K5027" t="s">
        <v>1977</v>
      </c>
      <c r="L5027">
        <v>0</v>
      </c>
      <c r="N5027" t="s">
        <v>351</v>
      </c>
      <c r="O5027">
        <v>1</v>
      </c>
      <c r="P5027" t="s">
        <v>352</v>
      </c>
      <c r="Q5027" t="s">
        <v>353</v>
      </c>
      <c r="R5027" t="s">
        <v>201</v>
      </c>
      <c r="S5027">
        <v>1</v>
      </c>
      <c r="T5027">
        <v>1</v>
      </c>
      <c r="U5027">
        <v>64488</v>
      </c>
      <c r="V5027">
        <v>64488</v>
      </c>
    </row>
    <row r="5028" spans="1:22">
      <c r="A5028" t="s">
        <v>196</v>
      </c>
      <c r="B5028">
        <v>25</v>
      </c>
      <c r="C5028" t="s">
        <v>61</v>
      </c>
      <c r="D5028">
        <v>300</v>
      </c>
      <c r="E5028" t="s">
        <v>1969</v>
      </c>
      <c r="F5028">
        <v>1005</v>
      </c>
      <c r="G5028" t="s">
        <v>61</v>
      </c>
      <c r="H5028">
        <v>2005</v>
      </c>
      <c r="I5028" t="s">
        <v>61</v>
      </c>
      <c r="J5028">
        <v>3030</v>
      </c>
      <c r="K5028" t="s">
        <v>1977</v>
      </c>
      <c r="L5028">
        <v>0</v>
      </c>
      <c r="N5028" t="s">
        <v>622</v>
      </c>
      <c r="O5028">
        <v>1</v>
      </c>
      <c r="P5028" t="s">
        <v>667</v>
      </c>
      <c r="Q5028" t="s">
        <v>205</v>
      </c>
      <c r="R5028" t="s">
        <v>201</v>
      </c>
      <c r="S5028">
        <v>1</v>
      </c>
      <c r="T5028">
        <v>1</v>
      </c>
      <c r="U5028">
        <v>58764</v>
      </c>
      <c r="V5028">
        <v>58764</v>
      </c>
    </row>
    <row r="5029" spans="1:22">
      <c r="A5029" t="s">
        <v>196</v>
      </c>
      <c r="B5029">
        <v>25</v>
      </c>
      <c r="C5029" t="s">
        <v>61</v>
      </c>
      <c r="D5029">
        <v>300</v>
      </c>
      <c r="E5029" t="s">
        <v>1969</v>
      </c>
      <c r="F5029">
        <v>1005</v>
      </c>
      <c r="G5029" t="s">
        <v>61</v>
      </c>
      <c r="H5029">
        <v>2005</v>
      </c>
      <c r="I5029" t="s">
        <v>61</v>
      </c>
      <c r="J5029">
        <v>3030</v>
      </c>
      <c r="K5029" t="s">
        <v>1977</v>
      </c>
      <c r="L5029">
        <v>0</v>
      </c>
      <c r="N5029" t="s">
        <v>631</v>
      </c>
      <c r="O5029">
        <v>0</v>
      </c>
      <c r="P5029" t="s">
        <v>635</v>
      </c>
      <c r="Q5029" t="s">
        <v>636</v>
      </c>
      <c r="R5029" t="s">
        <v>201</v>
      </c>
      <c r="S5029">
        <v>1</v>
      </c>
      <c r="T5029">
        <v>1</v>
      </c>
      <c r="U5029">
        <v>133044</v>
      </c>
      <c r="V5029">
        <v>133044</v>
      </c>
    </row>
    <row r="5030" spans="1:22">
      <c r="A5030" t="s">
        <v>196</v>
      </c>
      <c r="B5030">
        <v>25</v>
      </c>
      <c r="C5030" t="s">
        <v>61</v>
      </c>
      <c r="D5030">
        <v>300</v>
      </c>
      <c r="E5030" t="s">
        <v>1969</v>
      </c>
      <c r="F5030">
        <v>1005</v>
      </c>
      <c r="G5030" t="s">
        <v>61</v>
      </c>
      <c r="H5030">
        <v>2005</v>
      </c>
      <c r="I5030" t="s">
        <v>61</v>
      </c>
      <c r="J5030">
        <v>3030</v>
      </c>
      <c r="K5030" t="s">
        <v>1977</v>
      </c>
      <c r="L5030">
        <v>0</v>
      </c>
      <c r="N5030" t="s">
        <v>631</v>
      </c>
      <c r="O5030">
        <v>0</v>
      </c>
      <c r="P5030" t="s">
        <v>635</v>
      </c>
      <c r="Q5030" t="s">
        <v>636</v>
      </c>
      <c r="R5030" t="s">
        <v>201</v>
      </c>
      <c r="S5030">
        <v>1</v>
      </c>
      <c r="T5030">
        <v>1</v>
      </c>
      <c r="U5030">
        <v>110856</v>
      </c>
      <c r="V5030">
        <v>110856</v>
      </c>
    </row>
    <row r="5031" spans="1:22">
      <c r="A5031" t="s">
        <v>196</v>
      </c>
      <c r="B5031">
        <v>25</v>
      </c>
      <c r="C5031" t="s">
        <v>61</v>
      </c>
      <c r="D5031">
        <v>300</v>
      </c>
      <c r="E5031" t="s">
        <v>1969</v>
      </c>
      <c r="F5031">
        <v>1005</v>
      </c>
      <c r="G5031" t="s">
        <v>61</v>
      </c>
      <c r="H5031">
        <v>2005</v>
      </c>
      <c r="I5031" t="s">
        <v>61</v>
      </c>
      <c r="J5031">
        <v>3030</v>
      </c>
      <c r="K5031" t="s">
        <v>1977</v>
      </c>
      <c r="L5031">
        <v>0</v>
      </c>
      <c r="N5031" t="s">
        <v>249</v>
      </c>
      <c r="O5031">
        <v>10</v>
      </c>
      <c r="P5031">
        <v>310</v>
      </c>
      <c r="Q5031" t="s">
        <v>447</v>
      </c>
      <c r="R5031" t="s">
        <v>201</v>
      </c>
      <c r="S5031">
        <v>1</v>
      </c>
      <c r="T5031">
        <v>1</v>
      </c>
      <c r="U5031">
        <v>102444</v>
      </c>
      <c r="V5031">
        <v>102444</v>
      </c>
    </row>
    <row r="5032" spans="1:22">
      <c r="A5032" t="s">
        <v>196</v>
      </c>
      <c r="B5032">
        <v>25</v>
      </c>
      <c r="C5032" t="s">
        <v>61</v>
      </c>
      <c r="D5032">
        <v>300</v>
      </c>
      <c r="E5032" t="s">
        <v>1969</v>
      </c>
      <c r="F5032">
        <v>1005</v>
      </c>
      <c r="G5032" t="s">
        <v>61</v>
      </c>
      <c r="H5032">
        <v>2005</v>
      </c>
      <c r="I5032" t="s">
        <v>61</v>
      </c>
      <c r="J5032">
        <v>3030</v>
      </c>
      <c r="K5032" t="s">
        <v>1977</v>
      </c>
      <c r="L5032">
        <v>0</v>
      </c>
      <c r="N5032" t="s">
        <v>249</v>
      </c>
      <c r="O5032">
        <v>10</v>
      </c>
      <c r="P5032">
        <v>310</v>
      </c>
      <c r="Q5032" t="s">
        <v>447</v>
      </c>
      <c r="R5032" t="s">
        <v>201</v>
      </c>
      <c r="S5032">
        <v>1</v>
      </c>
      <c r="T5032">
        <v>1</v>
      </c>
      <c r="U5032">
        <v>97836</v>
      </c>
      <c r="V5032">
        <v>97836</v>
      </c>
    </row>
    <row r="5033" spans="1:22">
      <c r="A5033" t="s">
        <v>196</v>
      </c>
      <c r="B5033">
        <v>25</v>
      </c>
      <c r="C5033" t="s">
        <v>61</v>
      </c>
      <c r="D5033">
        <v>300</v>
      </c>
      <c r="E5033" t="s">
        <v>1969</v>
      </c>
      <c r="F5033">
        <v>1005</v>
      </c>
      <c r="G5033" t="s">
        <v>61</v>
      </c>
      <c r="H5033">
        <v>2005</v>
      </c>
      <c r="I5033" t="s">
        <v>61</v>
      </c>
      <c r="J5033">
        <v>3030</v>
      </c>
      <c r="K5033" t="s">
        <v>1977</v>
      </c>
      <c r="L5033">
        <v>0</v>
      </c>
      <c r="N5033" t="s">
        <v>199</v>
      </c>
      <c r="O5033">
        <v>0</v>
      </c>
      <c r="P5033">
        <v>15</v>
      </c>
      <c r="Q5033" t="s">
        <v>264</v>
      </c>
      <c r="R5033" t="s">
        <v>201</v>
      </c>
      <c r="S5033">
        <v>0</v>
      </c>
      <c r="T5033">
        <v>0</v>
      </c>
      <c r="U5033">
        <v>14559</v>
      </c>
      <c r="V5033">
        <v>14559</v>
      </c>
    </row>
    <row r="5034" spans="1:22">
      <c r="A5034" t="s">
        <v>196</v>
      </c>
      <c r="B5034">
        <v>25</v>
      </c>
      <c r="C5034" t="s">
        <v>61</v>
      </c>
      <c r="D5034">
        <v>300</v>
      </c>
      <c r="E5034" t="s">
        <v>1969</v>
      </c>
      <c r="F5034">
        <v>1005</v>
      </c>
      <c r="G5034" t="s">
        <v>61</v>
      </c>
      <c r="H5034">
        <v>2005</v>
      </c>
      <c r="I5034" t="s">
        <v>61</v>
      </c>
      <c r="J5034">
        <v>3035</v>
      </c>
      <c r="K5034" t="s">
        <v>1978</v>
      </c>
      <c r="L5034">
        <v>0</v>
      </c>
      <c r="N5034" t="s">
        <v>253</v>
      </c>
      <c r="O5034">
        <v>10</v>
      </c>
      <c r="P5034">
        <v>1256</v>
      </c>
      <c r="Q5034" t="s">
        <v>727</v>
      </c>
      <c r="R5034" t="s">
        <v>201</v>
      </c>
      <c r="S5034">
        <v>1</v>
      </c>
      <c r="T5034">
        <v>1</v>
      </c>
      <c r="U5034">
        <v>93384</v>
      </c>
      <c r="V5034">
        <v>93384</v>
      </c>
    </row>
    <row r="5035" spans="1:22">
      <c r="A5035" t="s">
        <v>196</v>
      </c>
      <c r="B5035">
        <v>25</v>
      </c>
      <c r="C5035" t="s">
        <v>61</v>
      </c>
      <c r="D5035">
        <v>300</v>
      </c>
      <c r="E5035" t="s">
        <v>1969</v>
      </c>
      <c r="F5035">
        <v>1005</v>
      </c>
      <c r="G5035" t="s">
        <v>61</v>
      </c>
      <c r="H5035">
        <v>2005</v>
      </c>
      <c r="I5035" t="s">
        <v>61</v>
      </c>
      <c r="J5035">
        <v>3035</v>
      </c>
      <c r="K5035" t="s">
        <v>1978</v>
      </c>
      <c r="L5035">
        <v>0</v>
      </c>
      <c r="N5035" t="s">
        <v>622</v>
      </c>
      <c r="O5035">
        <v>1</v>
      </c>
      <c r="P5035">
        <v>1232</v>
      </c>
      <c r="Q5035" t="s">
        <v>1979</v>
      </c>
      <c r="R5035" t="s">
        <v>201</v>
      </c>
      <c r="S5035">
        <v>2</v>
      </c>
      <c r="T5035">
        <v>1</v>
      </c>
      <c r="U5035">
        <v>90144</v>
      </c>
      <c r="V5035">
        <v>180288</v>
      </c>
    </row>
    <row r="5036" spans="1:22">
      <c r="A5036" t="s">
        <v>196</v>
      </c>
      <c r="B5036">
        <v>25</v>
      </c>
      <c r="C5036" t="s">
        <v>61</v>
      </c>
      <c r="D5036">
        <v>300</v>
      </c>
      <c r="E5036" t="s">
        <v>1969</v>
      </c>
      <c r="F5036">
        <v>1005</v>
      </c>
      <c r="G5036" t="s">
        <v>61</v>
      </c>
      <c r="H5036">
        <v>2005</v>
      </c>
      <c r="I5036" t="s">
        <v>61</v>
      </c>
      <c r="J5036">
        <v>3035</v>
      </c>
      <c r="K5036" t="s">
        <v>1978</v>
      </c>
      <c r="L5036">
        <v>0</v>
      </c>
      <c r="N5036" t="s">
        <v>622</v>
      </c>
      <c r="O5036">
        <v>1</v>
      </c>
      <c r="P5036">
        <v>1232</v>
      </c>
      <c r="Q5036" t="s">
        <v>1979</v>
      </c>
      <c r="R5036" t="s">
        <v>201</v>
      </c>
      <c r="S5036">
        <v>1</v>
      </c>
      <c r="T5036">
        <v>1</v>
      </c>
      <c r="U5036">
        <v>78432</v>
      </c>
      <c r="V5036">
        <v>78432</v>
      </c>
    </row>
    <row r="5037" spans="1:22">
      <c r="A5037" t="s">
        <v>196</v>
      </c>
      <c r="B5037">
        <v>25</v>
      </c>
      <c r="C5037" t="s">
        <v>61</v>
      </c>
      <c r="D5037">
        <v>300</v>
      </c>
      <c r="E5037" t="s">
        <v>1969</v>
      </c>
      <c r="F5037">
        <v>1005</v>
      </c>
      <c r="G5037" t="s">
        <v>61</v>
      </c>
      <c r="H5037">
        <v>2005</v>
      </c>
      <c r="I5037" t="s">
        <v>61</v>
      </c>
      <c r="J5037">
        <v>3035</v>
      </c>
      <c r="K5037" t="s">
        <v>1978</v>
      </c>
      <c r="L5037">
        <v>0</v>
      </c>
      <c r="N5037" t="s">
        <v>199</v>
      </c>
      <c r="O5037">
        <v>0</v>
      </c>
      <c r="P5037">
        <v>15</v>
      </c>
      <c r="Q5037" t="s">
        <v>264</v>
      </c>
      <c r="R5037" t="s">
        <v>201</v>
      </c>
      <c r="S5037">
        <v>0</v>
      </c>
      <c r="T5037">
        <v>0</v>
      </c>
      <c r="U5037">
        <v>3154</v>
      </c>
      <c r="V5037">
        <v>3154</v>
      </c>
    </row>
    <row r="5038" spans="1:22">
      <c r="A5038" t="s">
        <v>196</v>
      </c>
      <c r="B5038">
        <v>25</v>
      </c>
      <c r="C5038" t="s">
        <v>61</v>
      </c>
      <c r="D5038">
        <v>300</v>
      </c>
      <c r="E5038" t="s">
        <v>1969</v>
      </c>
      <c r="F5038">
        <v>1005</v>
      </c>
      <c r="G5038" t="s">
        <v>61</v>
      </c>
      <c r="H5038">
        <v>2005</v>
      </c>
      <c r="I5038" t="s">
        <v>61</v>
      </c>
      <c r="J5038">
        <v>3040</v>
      </c>
      <c r="K5038" t="s">
        <v>1980</v>
      </c>
      <c r="L5038">
        <v>0</v>
      </c>
      <c r="N5038" t="s">
        <v>351</v>
      </c>
      <c r="O5038">
        <v>1</v>
      </c>
      <c r="P5038">
        <v>691</v>
      </c>
      <c r="Q5038" t="s">
        <v>1981</v>
      </c>
      <c r="R5038" t="s">
        <v>201</v>
      </c>
      <c r="S5038">
        <v>1</v>
      </c>
      <c r="T5038">
        <v>1</v>
      </c>
      <c r="U5038">
        <v>108576</v>
      </c>
      <c r="V5038">
        <v>108576</v>
      </c>
    </row>
    <row r="5039" spans="1:22">
      <c r="A5039" t="s">
        <v>196</v>
      </c>
      <c r="B5039">
        <v>25</v>
      </c>
      <c r="C5039" t="s">
        <v>61</v>
      </c>
      <c r="D5039">
        <v>300</v>
      </c>
      <c r="E5039" t="s">
        <v>1969</v>
      </c>
      <c r="F5039">
        <v>1005</v>
      </c>
      <c r="G5039" t="s">
        <v>61</v>
      </c>
      <c r="H5039">
        <v>2005</v>
      </c>
      <c r="I5039" t="s">
        <v>61</v>
      </c>
      <c r="J5039">
        <v>3040</v>
      </c>
      <c r="K5039" t="s">
        <v>1980</v>
      </c>
      <c r="L5039">
        <v>0</v>
      </c>
      <c r="N5039" t="s">
        <v>809</v>
      </c>
      <c r="O5039">
        <v>1</v>
      </c>
      <c r="P5039">
        <v>460</v>
      </c>
      <c r="Q5039" t="s">
        <v>810</v>
      </c>
      <c r="R5039" t="s">
        <v>201</v>
      </c>
      <c r="S5039">
        <v>1</v>
      </c>
      <c r="T5039">
        <v>1</v>
      </c>
      <c r="U5039">
        <v>82140</v>
      </c>
      <c r="V5039">
        <v>82140</v>
      </c>
    </row>
    <row r="5040" spans="1:22">
      <c r="A5040" t="s">
        <v>196</v>
      </c>
      <c r="B5040">
        <v>27</v>
      </c>
      <c r="C5040" t="s">
        <v>637</v>
      </c>
      <c r="D5040">
        <v>300</v>
      </c>
      <c r="E5040" t="s">
        <v>1969</v>
      </c>
      <c r="F5040">
        <v>1005</v>
      </c>
      <c r="G5040" t="s">
        <v>638</v>
      </c>
      <c r="H5040">
        <v>2015</v>
      </c>
      <c r="I5040" t="s">
        <v>56</v>
      </c>
      <c r="J5040">
        <v>3016</v>
      </c>
      <c r="K5040" t="s">
        <v>659</v>
      </c>
      <c r="L5040">
        <v>4006</v>
      </c>
      <c r="M5040" t="s">
        <v>660</v>
      </c>
      <c r="N5040" t="s">
        <v>266</v>
      </c>
      <c r="O5040">
        <v>9</v>
      </c>
      <c r="P5040">
        <v>9684</v>
      </c>
      <c r="Q5040" t="s">
        <v>327</v>
      </c>
      <c r="R5040" t="s">
        <v>201</v>
      </c>
      <c r="S5040">
        <v>1</v>
      </c>
      <c r="T5040">
        <v>1</v>
      </c>
      <c r="U5040">
        <v>175512</v>
      </c>
      <c r="V5040">
        <v>175512</v>
      </c>
    </row>
    <row r="5041" spans="1:22">
      <c r="A5041" t="s">
        <v>196</v>
      </c>
      <c r="B5041">
        <v>27</v>
      </c>
      <c r="C5041" t="s">
        <v>637</v>
      </c>
      <c r="D5041">
        <v>300</v>
      </c>
      <c r="E5041" t="s">
        <v>1969</v>
      </c>
      <c r="F5041">
        <v>1005</v>
      </c>
      <c r="G5041" t="s">
        <v>638</v>
      </c>
      <c r="H5041">
        <v>2015</v>
      </c>
      <c r="I5041" t="s">
        <v>56</v>
      </c>
      <c r="J5041">
        <v>3016</v>
      </c>
      <c r="K5041" t="s">
        <v>659</v>
      </c>
      <c r="L5041">
        <v>4006</v>
      </c>
      <c r="M5041" t="s">
        <v>660</v>
      </c>
      <c r="N5041" t="s">
        <v>266</v>
      </c>
      <c r="O5041">
        <v>9</v>
      </c>
      <c r="P5041">
        <v>9651</v>
      </c>
      <c r="Q5041" t="s">
        <v>644</v>
      </c>
      <c r="R5041" t="s">
        <v>201</v>
      </c>
      <c r="S5041">
        <v>1</v>
      </c>
      <c r="T5041">
        <v>1</v>
      </c>
      <c r="U5041">
        <v>139140</v>
      </c>
      <c r="V5041">
        <v>139140</v>
      </c>
    </row>
    <row r="5042" spans="1:22">
      <c r="A5042" t="s">
        <v>196</v>
      </c>
      <c r="B5042">
        <v>27</v>
      </c>
      <c r="C5042" t="s">
        <v>637</v>
      </c>
      <c r="D5042">
        <v>300</v>
      </c>
      <c r="E5042" t="s">
        <v>1969</v>
      </c>
      <c r="F5042">
        <v>1005</v>
      </c>
      <c r="G5042" t="s">
        <v>638</v>
      </c>
      <c r="H5042">
        <v>2015</v>
      </c>
      <c r="I5042" t="s">
        <v>56</v>
      </c>
      <c r="J5042">
        <v>3016</v>
      </c>
      <c r="K5042" t="s">
        <v>659</v>
      </c>
      <c r="L5042">
        <v>4006</v>
      </c>
      <c r="M5042" t="s">
        <v>660</v>
      </c>
      <c r="N5042" t="s">
        <v>274</v>
      </c>
      <c r="O5042">
        <v>9</v>
      </c>
      <c r="P5042">
        <v>313</v>
      </c>
      <c r="Q5042" t="s">
        <v>605</v>
      </c>
      <c r="R5042" t="s">
        <v>201</v>
      </c>
      <c r="S5042">
        <v>1</v>
      </c>
      <c r="T5042">
        <v>1</v>
      </c>
      <c r="U5042">
        <v>146808</v>
      </c>
      <c r="V5042">
        <v>146808</v>
      </c>
    </row>
    <row r="5043" spans="1:22">
      <c r="A5043" t="s">
        <v>196</v>
      </c>
      <c r="B5043">
        <v>27</v>
      </c>
      <c r="C5043" t="s">
        <v>637</v>
      </c>
      <c r="D5043">
        <v>300</v>
      </c>
      <c r="E5043" t="s">
        <v>1969</v>
      </c>
      <c r="F5043">
        <v>1005</v>
      </c>
      <c r="G5043" t="s">
        <v>638</v>
      </c>
      <c r="H5043">
        <v>2015</v>
      </c>
      <c r="I5043" t="s">
        <v>56</v>
      </c>
      <c r="J5043">
        <v>3016</v>
      </c>
      <c r="K5043" t="s">
        <v>659</v>
      </c>
      <c r="L5043">
        <v>4006</v>
      </c>
      <c r="M5043" t="s">
        <v>660</v>
      </c>
      <c r="N5043" t="s">
        <v>249</v>
      </c>
      <c r="O5043">
        <v>10</v>
      </c>
      <c r="P5043">
        <v>311</v>
      </c>
      <c r="Q5043" t="s">
        <v>661</v>
      </c>
      <c r="R5043" t="s">
        <v>201</v>
      </c>
      <c r="S5043">
        <v>2</v>
      </c>
      <c r="T5043">
        <v>1</v>
      </c>
      <c r="U5043">
        <v>113568</v>
      </c>
      <c r="V5043">
        <v>227136</v>
      </c>
    </row>
    <row r="5044" spans="1:22">
      <c r="A5044" t="s">
        <v>196</v>
      </c>
      <c r="B5044">
        <v>27</v>
      </c>
      <c r="C5044" t="s">
        <v>637</v>
      </c>
      <c r="D5044">
        <v>300</v>
      </c>
      <c r="E5044" t="s">
        <v>1969</v>
      </c>
      <c r="F5044">
        <v>1005</v>
      </c>
      <c r="G5044" t="s">
        <v>638</v>
      </c>
      <c r="H5044">
        <v>2015</v>
      </c>
      <c r="I5044" t="s">
        <v>56</v>
      </c>
      <c r="J5044">
        <v>3016</v>
      </c>
      <c r="K5044" t="s">
        <v>659</v>
      </c>
      <c r="L5044">
        <v>4006</v>
      </c>
      <c r="M5044" t="s">
        <v>660</v>
      </c>
      <c r="N5044" t="s">
        <v>199</v>
      </c>
      <c r="O5044">
        <v>0</v>
      </c>
      <c r="P5044">
        <v>15</v>
      </c>
      <c r="Q5044" t="s">
        <v>264</v>
      </c>
      <c r="R5044" t="s">
        <v>201</v>
      </c>
      <c r="S5044">
        <v>0</v>
      </c>
      <c r="T5044">
        <v>0</v>
      </c>
      <c r="U5044">
        <v>8615</v>
      </c>
      <c r="V5044">
        <v>8615</v>
      </c>
    </row>
    <row r="5045" spans="1:22">
      <c r="A5045" t="s">
        <v>196</v>
      </c>
      <c r="B5045">
        <v>27</v>
      </c>
      <c r="C5045" t="s">
        <v>637</v>
      </c>
      <c r="D5045">
        <v>300</v>
      </c>
      <c r="E5045" t="s">
        <v>1969</v>
      </c>
      <c r="F5045">
        <v>1005</v>
      </c>
      <c r="G5045" t="s">
        <v>638</v>
      </c>
      <c r="H5045">
        <v>2020</v>
      </c>
      <c r="I5045" t="s">
        <v>36</v>
      </c>
      <c r="J5045">
        <v>3154</v>
      </c>
      <c r="K5045" t="s">
        <v>694</v>
      </c>
      <c r="L5045">
        <v>4641</v>
      </c>
      <c r="M5045" t="s">
        <v>695</v>
      </c>
      <c r="N5045" t="s">
        <v>351</v>
      </c>
      <c r="O5045">
        <v>1</v>
      </c>
      <c r="P5045" t="s">
        <v>352</v>
      </c>
      <c r="Q5045" t="s">
        <v>353</v>
      </c>
      <c r="R5045" t="s">
        <v>201</v>
      </c>
      <c r="S5045">
        <v>1</v>
      </c>
      <c r="T5045">
        <v>1</v>
      </c>
      <c r="U5045">
        <v>108576</v>
      </c>
      <c r="V5045">
        <v>108576</v>
      </c>
    </row>
    <row r="5046" spans="1:22">
      <c r="A5046" t="s">
        <v>196</v>
      </c>
      <c r="B5046">
        <v>27</v>
      </c>
      <c r="C5046" t="s">
        <v>637</v>
      </c>
      <c r="D5046">
        <v>300</v>
      </c>
      <c r="E5046" t="s">
        <v>1969</v>
      </c>
      <c r="F5046">
        <v>1005</v>
      </c>
      <c r="G5046" t="s">
        <v>638</v>
      </c>
      <c r="H5046">
        <v>2020</v>
      </c>
      <c r="I5046" t="s">
        <v>36</v>
      </c>
      <c r="J5046">
        <v>3154</v>
      </c>
      <c r="K5046" t="s">
        <v>694</v>
      </c>
      <c r="L5046">
        <v>4641</v>
      </c>
      <c r="M5046" t="s">
        <v>695</v>
      </c>
      <c r="N5046" t="s">
        <v>351</v>
      </c>
      <c r="O5046">
        <v>1</v>
      </c>
      <c r="P5046" t="s">
        <v>352</v>
      </c>
      <c r="Q5046" t="s">
        <v>353</v>
      </c>
      <c r="R5046" t="s">
        <v>201</v>
      </c>
      <c r="S5046">
        <v>1</v>
      </c>
      <c r="T5046">
        <v>1</v>
      </c>
      <c r="U5046">
        <v>70752</v>
      </c>
      <c r="V5046">
        <v>70752</v>
      </c>
    </row>
    <row r="5047" spans="1:22">
      <c r="A5047" t="s">
        <v>196</v>
      </c>
      <c r="B5047">
        <v>27</v>
      </c>
      <c r="C5047" t="s">
        <v>637</v>
      </c>
      <c r="D5047">
        <v>300</v>
      </c>
      <c r="E5047" t="s">
        <v>1969</v>
      </c>
      <c r="F5047">
        <v>1005</v>
      </c>
      <c r="G5047" t="s">
        <v>638</v>
      </c>
      <c r="H5047">
        <v>2020</v>
      </c>
      <c r="I5047" t="s">
        <v>36</v>
      </c>
      <c r="J5047">
        <v>3154</v>
      </c>
      <c r="K5047" t="s">
        <v>694</v>
      </c>
      <c r="L5047">
        <v>4641</v>
      </c>
      <c r="M5047" t="s">
        <v>695</v>
      </c>
      <c r="N5047" t="s">
        <v>622</v>
      </c>
      <c r="O5047">
        <v>1</v>
      </c>
      <c r="P5047">
        <v>235</v>
      </c>
      <c r="Q5047" t="s">
        <v>698</v>
      </c>
      <c r="R5047" t="s">
        <v>201</v>
      </c>
      <c r="S5047">
        <v>1</v>
      </c>
      <c r="T5047">
        <v>1</v>
      </c>
      <c r="U5047">
        <v>51936</v>
      </c>
      <c r="V5047">
        <v>51936</v>
      </c>
    </row>
    <row r="5048" spans="1:22">
      <c r="A5048" t="s">
        <v>196</v>
      </c>
      <c r="B5048">
        <v>27</v>
      </c>
      <c r="C5048" t="s">
        <v>637</v>
      </c>
      <c r="D5048">
        <v>300</v>
      </c>
      <c r="E5048" t="s">
        <v>1969</v>
      </c>
      <c r="F5048">
        <v>1005</v>
      </c>
      <c r="G5048" t="s">
        <v>638</v>
      </c>
      <c r="H5048">
        <v>2020</v>
      </c>
      <c r="I5048" t="s">
        <v>36</v>
      </c>
      <c r="J5048">
        <v>3154</v>
      </c>
      <c r="K5048" t="s">
        <v>694</v>
      </c>
      <c r="L5048">
        <v>4642</v>
      </c>
      <c r="M5048" t="s">
        <v>699</v>
      </c>
      <c r="N5048" t="s">
        <v>622</v>
      </c>
      <c r="O5048">
        <v>1</v>
      </c>
      <c r="P5048">
        <v>236</v>
      </c>
      <c r="Q5048" t="s">
        <v>1976</v>
      </c>
      <c r="R5048" t="s">
        <v>201</v>
      </c>
      <c r="S5048">
        <v>1</v>
      </c>
      <c r="T5048">
        <v>1</v>
      </c>
      <c r="U5048">
        <v>90144</v>
      </c>
      <c r="V5048">
        <v>90144</v>
      </c>
    </row>
    <row r="5049" spans="1:22">
      <c r="A5049" t="s">
        <v>196</v>
      </c>
      <c r="B5049">
        <v>27</v>
      </c>
      <c r="C5049" t="s">
        <v>637</v>
      </c>
      <c r="D5049">
        <v>300</v>
      </c>
      <c r="E5049" t="s">
        <v>1969</v>
      </c>
      <c r="F5049">
        <v>1005</v>
      </c>
      <c r="G5049" t="s">
        <v>638</v>
      </c>
      <c r="H5049">
        <v>2020</v>
      </c>
      <c r="I5049" t="s">
        <v>36</v>
      </c>
      <c r="J5049">
        <v>3154</v>
      </c>
      <c r="K5049" t="s">
        <v>694</v>
      </c>
      <c r="L5049">
        <v>4642</v>
      </c>
      <c r="M5049" t="s">
        <v>699</v>
      </c>
      <c r="N5049" t="s">
        <v>622</v>
      </c>
      <c r="O5049">
        <v>1</v>
      </c>
      <c r="P5049">
        <v>236</v>
      </c>
      <c r="Q5049" t="s">
        <v>1976</v>
      </c>
      <c r="R5049" t="s">
        <v>201</v>
      </c>
      <c r="S5049">
        <v>2</v>
      </c>
      <c r="T5049">
        <v>1</v>
      </c>
      <c r="U5049">
        <v>56124</v>
      </c>
      <c r="V5049">
        <v>112248</v>
      </c>
    </row>
    <row r="5050" spans="1:22">
      <c r="A5050" t="s">
        <v>196</v>
      </c>
      <c r="B5050">
        <v>27</v>
      </c>
      <c r="C5050" t="s">
        <v>637</v>
      </c>
      <c r="D5050">
        <v>300</v>
      </c>
      <c r="E5050" t="s">
        <v>1969</v>
      </c>
      <c r="F5050">
        <v>1005</v>
      </c>
      <c r="G5050" t="s">
        <v>638</v>
      </c>
      <c r="H5050">
        <v>2020</v>
      </c>
      <c r="I5050" t="s">
        <v>36</v>
      </c>
      <c r="J5050">
        <v>3154</v>
      </c>
      <c r="K5050" t="s">
        <v>694</v>
      </c>
      <c r="L5050">
        <v>4642</v>
      </c>
      <c r="M5050" t="s">
        <v>699</v>
      </c>
      <c r="N5050" t="s">
        <v>199</v>
      </c>
      <c r="O5050">
        <v>0</v>
      </c>
      <c r="P5050">
        <v>15</v>
      </c>
      <c r="Q5050" t="s">
        <v>264</v>
      </c>
      <c r="R5050" t="s">
        <v>201</v>
      </c>
      <c r="S5050">
        <v>0</v>
      </c>
      <c r="T5050">
        <v>0</v>
      </c>
      <c r="U5050">
        <v>3089</v>
      </c>
      <c r="V5050">
        <v>3089</v>
      </c>
    </row>
    <row r="5051" spans="1:22">
      <c r="A5051" t="s">
        <v>196</v>
      </c>
      <c r="B5051">
        <v>27</v>
      </c>
      <c r="C5051" t="s">
        <v>637</v>
      </c>
      <c r="D5051">
        <v>300</v>
      </c>
      <c r="E5051" t="s">
        <v>1969</v>
      </c>
      <c r="F5051">
        <v>1005</v>
      </c>
      <c r="G5051" t="s">
        <v>638</v>
      </c>
      <c r="H5051">
        <v>2020</v>
      </c>
      <c r="I5051" t="s">
        <v>36</v>
      </c>
      <c r="J5051">
        <v>3220</v>
      </c>
      <c r="K5051" t="s">
        <v>735</v>
      </c>
      <c r="L5051">
        <v>4202</v>
      </c>
      <c r="M5051" t="s">
        <v>736</v>
      </c>
      <c r="N5051" t="s">
        <v>622</v>
      </c>
      <c r="O5051">
        <v>1</v>
      </c>
      <c r="P5051" t="s">
        <v>667</v>
      </c>
      <c r="Q5051" t="s">
        <v>205</v>
      </c>
      <c r="R5051" t="s">
        <v>201</v>
      </c>
      <c r="S5051">
        <v>1</v>
      </c>
      <c r="T5051">
        <v>1</v>
      </c>
      <c r="U5051">
        <v>51936</v>
      </c>
      <c r="V5051">
        <v>51936</v>
      </c>
    </row>
    <row r="5052" spans="1:22">
      <c r="A5052" t="s">
        <v>196</v>
      </c>
      <c r="B5052">
        <v>31</v>
      </c>
      <c r="C5052" t="s">
        <v>27</v>
      </c>
      <c r="D5052">
        <v>300</v>
      </c>
      <c r="E5052" t="s">
        <v>1969</v>
      </c>
      <c r="F5052">
        <v>1005</v>
      </c>
      <c r="G5052" t="s">
        <v>27</v>
      </c>
      <c r="H5052">
        <v>2005</v>
      </c>
      <c r="I5052" t="s">
        <v>27</v>
      </c>
      <c r="J5052">
        <v>3019</v>
      </c>
      <c r="K5052" t="s">
        <v>812</v>
      </c>
      <c r="L5052">
        <v>4326</v>
      </c>
      <c r="M5052" t="s">
        <v>812</v>
      </c>
      <c r="N5052" t="s">
        <v>798</v>
      </c>
      <c r="O5052">
        <v>9</v>
      </c>
      <c r="P5052">
        <v>1641</v>
      </c>
      <c r="Q5052" t="s">
        <v>799</v>
      </c>
      <c r="R5052" t="s">
        <v>201</v>
      </c>
      <c r="S5052">
        <v>1</v>
      </c>
      <c r="T5052">
        <v>1</v>
      </c>
      <c r="U5052">
        <v>164100</v>
      </c>
      <c r="V5052">
        <v>164100</v>
      </c>
    </row>
    <row r="5053" spans="1:22">
      <c r="A5053" t="s">
        <v>196</v>
      </c>
      <c r="B5053">
        <v>31</v>
      </c>
      <c r="C5053" t="s">
        <v>27</v>
      </c>
      <c r="D5053">
        <v>300</v>
      </c>
      <c r="E5053" t="s">
        <v>1969</v>
      </c>
      <c r="F5053">
        <v>1005</v>
      </c>
      <c r="G5053" t="s">
        <v>27</v>
      </c>
      <c r="H5053">
        <v>2005</v>
      </c>
      <c r="I5053" t="s">
        <v>27</v>
      </c>
      <c r="J5053">
        <v>3039</v>
      </c>
      <c r="K5053" t="s">
        <v>830</v>
      </c>
      <c r="L5053">
        <v>4341</v>
      </c>
      <c r="M5053" t="s">
        <v>832</v>
      </c>
      <c r="N5053" t="s">
        <v>796</v>
      </c>
      <c r="O5053">
        <v>9</v>
      </c>
      <c r="P5053">
        <v>1652</v>
      </c>
      <c r="Q5053" t="s">
        <v>797</v>
      </c>
      <c r="R5053" t="s">
        <v>201</v>
      </c>
      <c r="S5053">
        <v>1</v>
      </c>
      <c r="T5053">
        <v>1</v>
      </c>
      <c r="U5053">
        <v>133836</v>
      </c>
      <c r="V5053">
        <v>133836</v>
      </c>
    </row>
    <row r="5054" spans="1:22">
      <c r="A5054" t="s">
        <v>196</v>
      </c>
      <c r="B5054">
        <v>31</v>
      </c>
      <c r="C5054" t="s">
        <v>27</v>
      </c>
      <c r="D5054">
        <v>300</v>
      </c>
      <c r="E5054" t="s">
        <v>1969</v>
      </c>
      <c r="F5054">
        <v>1005</v>
      </c>
      <c r="G5054" t="s">
        <v>27</v>
      </c>
      <c r="H5054">
        <v>2005</v>
      </c>
      <c r="I5054" t="s">
        <v>27</v>
      </c>
      <c r="J5054">
        <v>3039</v>
      </c>
      <c r="K5054" t="s">
        <v>830</v>
      </c>
      <c r="L5054">
        <v>4341</v>
      </c>
      <c r="M5054" t="s">
        <v>832</v>
      </c>
      <c r="N5054" t="s">
        <v>804</v>
      </c>
      <c r="O5054">
        <v>9</v>
      </c>
      <c r="P5054">
        <v>1643</v>
      </c>
      <c r="Q5054" t="s">
        <v>805</v>
      </c>
      <c r="R5054" t="s">
        <v>201</v>
      </c>
      <c r="S5054">
        <v>2</v>
      </c>
      <c r="T5054">
        <v>1</v>
      </c>
      <c r="U5054">
        <v>130128</v>
      </c>
      <c r="V5054">
        <v>260256</v>
      </c>
    </row>
    <row r="5055" spans="1:22">
      <c r="A5055" t="s">
        <v>196</v>
      </c>
      <c r="B5055">
        <v>31</v>
      </c>
      <c r="C5055" t="s">
        <v>27</v>
      </c>
      <c r="D5055">
        <v>300</v>
      </c>
      <c r="E5055" t="s">
        <v>1969</v>
      </c>
      <c r="F5055">
        <v>1005</v>
      </c>
      <c r="G5055" t="s">
        <v>27</v>
      </c>
      <c r="H5055">
        <v>2005</v>
      </c>
      <c r="I5055" t="s">
        <v>27</v>
      </c>
      <c r="J5055">
        <v>3039</v>
      </c>
      <c r="K5055" t="s">
        <v>830</v>
      </c>
      <c r="L5055">
        <v>4341</v>
      </c>
      <c r="M5055" t="s">
        <v>832</v>
      </c>
      <c r="N5055" t="s">
        <v>804</v>
      </c>
      <c r="O5055">
        <v>9</v>
      </c>
      <c r="P5055">
        <v>1643</v>
      </c>
      <c r="Q5055" t="s">
        <v>805</v>
      </c>
      <c r="R5055" t="s">
        <v>201</v>
      </c>
      <c r="S5055">
        <v>1</v>
      </c>
      <c r="T5055">
        <v>1</v>
      </c>
      <c r="U5055">
        <v>108084</v>
      </c>
      <c r="V5055">
        <v>108084</v>
      </c>
    </row>
    <row r="5056" spans="1:22">
      <c r="A5056" t="s">
        <v>196</v>
      </c>
      <c r="B5056">
        <v>31</v>
      </c>
      <c r="C5056" t="s">
        <v>27</v>
      </c>
      <c r="D5056">
        <v>300</v>
      </c>
      <c r="E5056" t="s">
        <v>1969</v>
      </c>
      <c r="F5056">
        <v>1005</v>
      </c>
      <c r="G5056" t="s">
        <v>27</v>
      </c>
      <c r="H5056">
        <v>2005</v>
      </c>
      <c r="I5056" t="s">
        <v>27</v>
      </c>
      <c r="J5056">
        <v>3039</v>
      </c>
      <c r="K5056" t="s">
        <v>830</v>
      </c>
      <c r="L5056">
        <v>4341</v>
      </c>
      <c r="M5056" t="s">
        <v>832</v>
      </c>
      <c r="N5056" t="s">
        <v>804</v>
      </c>
      <c r="O5056">
        <v>9</v>
      </c>
      <c r="P5056">
        <v>1643</v>
      </c>
      <c r="Q5056" t="s">
        <v>805</v>
      </c>
      <c r="R5056" t="s">
        <v>201</v>
      </c>
      <c r="S5056">
        <v>3</v>
      </c>
      <c r="T5056">
        <v>1</v>
      </c>
      <c r="U5056">
        <v>98484</v>
      </c>
      <c r="V5056">
        <v>295452</v>
      </c>
    </row>
    <row r="5057" spans="1:22">
      <c r="A5057" t="s">
        <v>196</v>
      </c>
      <c r="B5057">
        <v>31</v>
      </c>
      <c r="C5057" t="s">
        <v>27</v>
      </c>
      <c r="D5057">
        <v>300</v>
      </c>
      <c r="E5057" t="s">
        <v>1969</v>
      </c>
      <c r="F5057">
        <v>1005</v>
      </c>
      <c r="G5057" t="s">
        <v>27</v>
      </c>
      <c r="H5057">
        <v>2005</v>
      </c>
      <c r="I5057" t="s">
        <v>27</v>
      </c>
      <c r="J5057">
        <v>3039</v>
      </c>
      <c r="K5057" t="s">
        <v>830</v>
      </c>
      <c r="L5057">
        <v>4341</v>
      </c>
      <c r="M5057" t="s">
        <v>832</v>
      </c>
      <c r="N5057" t="s">
        <v>804</v>
      </c>
      <c r="O5057">
        <v>9</v>
      </c>
      <c r="P5057">
        <v>1643</v>
      </c>
      <c r="Q5057" t="s">
        <v>805</v>
      </c>
      <c r="R5057" t="s">
        <v>201</v>
      </c>
      <c r="S5057">
        <v>1</v>
      </c>
      <c r="T5057">
        <v>1</v>
      </c>
      <c r="U5057">
        <v>81816</v>
      </c>
      <c r="V5057">
        <v>81816</v>
      </c>
    </row>
    <row r="5058" spans="1:22">
      <c r="A5058" t="s">
        <v>196</v>
      </c>
      <c r="B5058">
        <v>31</v>
      </c>
      <c r="C5058" t="s">
        <v>27</v>
      </c>
      <c r="D5058">
        <v>300</v>
      </c>
      <c r="E5058" t="s">
        <v>1969</v>
      </c>
      <c r="F5058">
        <v>1005</v>
      </c>
      <c r="G5058" t="s">
        <v>27</v>
      </c>
      <c r="H5058">
        <v>2005</v>
      </c>
      <c r="I5058" t="s">
        <v>27</v>
      </c>
      <c r="J5058">
        <v>3039</v>
      </c>
      <c r="K5058" t="s">
        <v>830</v>
      </c>
      <c r="L5058">
        <v>4341</v>
      </c>
      <c r="M5058" t="s">
        <v>832</v>
      </c>
      <c r="N5058" t="s">
        <v>798</v>
      </c>
      <c r="O5058">
        <v>9</v>
      </c>
      <c r="P5058">
        <v>1641</v>
      </c>
      <c r="Q5058" t="s">
        <v>799</v>
      </c>
      <c r="R5058" t="s">
        <v>201</v>
      </c>
      <c r="S5058">
        <v>1</v>
      </c>
      <c r="T5058">
        <v>1</v>
      </c>
      <c r="U5058">
        <v>156648</v>
      </c>
      <c r="V5058">
        <v>156648</v>
      </c>
    </row>
    <row r="5059" spans="1:22">
      <c r="A5059" t="s">
        <v>196</v>
      </c>
      <c r="B5059">
        <v>31</v>
      </c>
      <c r="C5059" t="s">
        <v>27</v>
      </c>
      <c r="D5059">
        <v>300</v>
      </c>
      <c r="E5059" t="s">
        <v>1969</v>
      </c>
      <c r="F5059">
        <v>1005</v>
      </c>
      <c r="G5059" t="s">
        <v>27</v>
      </c>
      <c r="H5059">
        <v>2005</v>
      </c>
      <c r="I5059" t="s">
        <v>27</v>
      </c>
      <c r="J5059">
        <v>3039</v>
      </c>
      <c r="K5059" t="s">
        <v>830</v>
      </c>
      <c r="L5059">
        <v>4341</v>
      </c>
      <c r="M5059" t="s">
        <v>832</v>
      </c>
      <c r="N5059" t="s">
        <v>798</v>
      </c>
      <c r="O5059">
        <v>9</v>
      </c>
      <c r="P5059">
        <v>1641</v>
      </c>
      <c r="Q5059" t="s">
        <v>799</v>
      </c>
      <c r="R5059" t="s">
        <v>201</v>
      </c>
      <c r="S5059">
        <v>1</v>
      </c>
      <c r="T5059">
        <v>1</v>
      </c>
      <c r="U5059">
        <v>118596</v>
      </c>
      <c r="V5059">
        <v>118596</v>
      </c>
    </row>
    <row r="5060" spans="1:22">
      <c r="A5060" t="s">
        <v>196</v>
      </c>
      <c r="B5060">
        <v>31</v>
      </c>
      <c r="C5060" t="s">
        <v>27</v>
      </c>
      <c r="D5060">
        <v>300</v>
      </c>
      <c r="E5060" t="s">
        <v>1969</v>
      </c>
      <c r="F5060">
        <v>1005</v>
      </c>
      <c r="G5060" t="s">
        <v>27</v>
      </c>
      <c r="H5060">
        <v>2005</v>
      </c>
      <c r="I5060" t="s">
        <v>27</v>
      </c>
      <c r="J5060">
        <v>3039</v>
      </c>
      <c r="K5060" t="s">
        <v>830</v>
      </c>
      <c r="L5060">
        <v>4341</v>
      </c>
      <c r="M5060" t="s">
        <v>832</v>
      </c>
      <c r="N5060" t="s">
        <v>839</v>
      </c>
      <c r="O5060">
        <v>9</v>
      </c>
      <c r="P5060">
        <v>1631</v>
      </c>
      <c r="Q5060" t="s">
        <v>840</v>
      </c>
      <c r="R5060" t="s">
        <v>713</v>
      </c>
      <c r="S5060">
        <v>23510</v>
      </c>
      <c r="T5060">
        <v>0</v>
      </c>
      <c r="U5060">
        <v>15.8</v>
      </c>
      <c r="V5060">
        <v>371458</v>
      </c>
    </row>
    <row r="5061" spans="1:22">
      <c r="A5061" t="s">
        <v>196</v>
      </c>
      <c r="B5061">
        <v>31</v>
      </c>
      <c r="C5061" t="s">
        <v>27</v>
      </c>
      <c r="D5061">
        <v>300</v>
      </c>
      <c r="E5061" t="s">
        <v>1969</v>
      </c>
      <c r="F5061">
        <v>1005</v>
      </c>
      <c r="G5061" t="s">
        <v>27</v>
      </c>
      <c r="H5061">
        <v>2005</v>
      </c>
      <c r="I5061" t="s">
        <v>27</v>
      </c>
      <c r="J5061">
        <v>3039</v>
      </c>
      <c r="K5061" t="s">
        <v>830</v>
      </c>
      <c r="L5061">
        <v>4341</v>
      </c>
      <c r="M5061" t="s">
        <v>832</v>
      </c>
      <c r="N5061" t="s">
        <v>251</v>
      </c>
      <c r="O5061">
        <v>10</v>
      </c>
      <c r="P5061">
        <v>1619</v>
      </c>
      <c r="Q5061" t="s">
        <v>806</v>
      </c>
      <c r="R5061" t="s">
        <v>201</v>
      </c>
      <c r="S5061">
        <v>1</v>
      </c>
      <c r="T5061">
        <v>1</v>
      </c>
      <c r="U5061">
        <v>83052</v>
      </c>
      <c r="V5061">
        <v>83052</v>
      </c>
    </row>
    <row r="5062" spans="1:22">
      <c r="A5062" t="s">
        <v>196</v>
      </c>
      <c r="B5062">
        <v>31</v>
      </c>
      <c r="C5062" t="s">
        <v>27</v>
      </c>
      <c r="D5062">
        <v>300</v>
      </c>
      <c r="E5062" t="s">
        <v>1969</v>
      </c>
      <c r="F5062">
        <v>1005</v>
      </c>
      <c r="G5062" t="s">
        <v>27</v>
      </c>
      <c r="H5062">
        <v>2005</v>
      </c>
      <c r="I5062" t="s">
        <v>27</v>
      </c>
      <c r="J5062">
        <v>3039</v>
      </c>
      <c r="K5062" t="s">
        <v>830</v>
      </c>
      <c r="L5062">
        <v>4341</v>
      </c>
      <c r="M5062" t="s">
        <v>832</v>
      </c>
      <c r="N5062" t="s">
        <v>341</v>
      </c>
      <c r="O5062">
        <v>1</v>
      </c>
      <c r="P5062">
        <v>308</v>
      </c>
      <c r="Q5062" t="s">
        <v>355</v>
      </c>
      <c r="R5062" t="s">
        <v>201</v>
      </c>
      <c r="S5062">
        <v>1</v>
      </c>
      <c r="T5062">
        <v>1</v>
      </c>
      <c r="U5062">
        <v>119100</v>
      </c>
      <c r="V5062">
        <v>119100</v>
      </c>
    </row>
    <row r="5063" spans="1:22">
      <c r="A5063" t="s">
        <v>196</v>
      </c>
      <c r="B5063">
        <v>31</v>
      </c>
      <c r="C5063" t="s">
        <v>27</v>
      </c>
      <c r="D5063">
        <v>300</v>
      </c>
      <c r="E5063" t="s">
        <v>1969</v>
      </c>
      <c r="F5063">
        <v>1005</v>
      </c>
      <c r="G5063" t="s">
        <v>27</v>
      </c>
      <c r="H5063">
        <v>2005</v>
      </c>
      <c r="I5063" t="s">
        <v>27</v>
      </c>
      <c r="J5063">
        <v>3039</v>
      </c>
      <c r="K5063" t="s">
        <v>830</v>
      </c>
      <c r="L5063">
        <v>4341</v>
      </c>
      <c r="M5063" t="s">
        <v>832</v>
      </c>
      <c r="N5063" t="s">
        <v>199</v>
      </c>
      <c r="O5063">
        <v>0</v>
      </c>
      <c r="P5063">
        <v>15</v>
      </c>
      <c r="Q5063" t="s">
        <v>264</v>
      </c>
      <c r="R5063" t="s">
        <v>201</v>
      </c>
      <c r="S5063">
        <v>0</v>
      </c>
      <c r="T5063">
        <v>0</v>
      </c>
      <c r="U5063">
        <v>2279</v>
      </c>
      <c r="V5063">
        <v>2279</v>
      </c>
    </row>
    <row r="5064" spans="1:22">
      <c r="A5064" t="s">
        <v>196</v>
      </c>
      <c r="B5064">
        <v>31</v>
      </c>
      <c r="C5064" t="s">
        <v>27</v>
      </c>
      <c r="D5064">
        <v>300</v>
      </c>
      <c r="E5064" t="s">
        <v>1969</v>
      </c>
      <c r="F5064">
        <v>1005</v>
      </c>
      <c r="G5064" t="s">
        <v>27</v>
      </c>
      <c r="H5064">
        <v>2005</v>
      </c>
      <c r="I5064" t="s">
        <v>27</v>
      </c>
      <c r="J5064">
        <v>3049</v>
      </c>
      <c r="K5064" t="s">
        <v>838</v>
      </c>
      <c r="L5064">
        <v>0</v>
      </c>
      <c r="N5064" t="s">
        <v>804</v>
      </c>
      <c r="O5064">
        <v>9</v>
      </c>
      <c r="P5064">
        <v>1643</v>
      </c>
      <c r="Q5064" t="s">
        <v>805</v>
      </c>
      <c r="R5064" t="s">
        <v>201</v>
      </c>
      <c r="S5064">
        <v>1</v>
      </c>
      <c r="T5064">
        <v>1</v>
      </c>
      <c r="U5064">
        <v>103176</v>
      </c>
      <c r="V5064">
        <v>103176</v>
      </c>
    </row>
    <row r="5065" spans="1:22">
      <c r="A5065" t="s">
        <v>196</v>
      </c>
      <c r="B5065">
        <v>31</v>
      </c>
      <c r="C5065" t="s">
        <v>27</v>
      </c>
      <c r="D5065">
        <v>300</v>
      </c>
      <c r="E5065" t="s">
        <v>1969</v>
      </c>
      <c r="F5065">
        <v>1005</v>
      </c>
      <c r="G5065" t="s">
        <v>27</v>
      </c>
      <c r="H5065">
        <v>2005</v>
      </c>
      <c r="I5065" t="s">
        <v>27</v>
      </c>
      <c r="J5065">
        <v>3349</v>
      </c>
      <c r="K5065" t="s">
        <v>838</v>
      </c>
      <c r="L5065">
        <v>0</v>
      </c>
      <c r="N5065" t="s">
        <v>804</v>
      </c>
      <c r="O5065">
        <v>9</v>
      </c>
      <c r="P5065">
        <v>1643</v>
      </c>
      <c r="Q5065" t="s">
        <v>805</v>
      </c>
      <c r="R5065" t="s">
        <v>201</v>
      </c>
      <c r="S5065">
        <v>1</v>
      </c>
      <c r="T5065">
        <v>1</v>
      </c>
      <c r="U5065">
        <v>103176</v>
      </c>
      <c r="V5065">
        <v>103176</v>
      </c>
    </row>
    <row r="5066" spans="1:22">
      <c r="A5066" t="s">
        <v>196</v>
      </c>
      <c r="B5066">
        <v>31</v>
      </c>
      <c r="C5066" t="s">
        <v>27</v>
      </c>
      <c r="D5066">
        <v>300</v>
      </c>
      <c r="E5066" t="s">
        <v>1969</v>
      </c>
      <c r="F5066">
        <v>1005</v>
      </c>
      <c r="G5066" t="s">
        <v>27</v>
      </c>
      <c r="H5066">
        <v>2005</v>
      </c>
      <c r="I5066" t="s">
        <v>27</v>
      </c>
      <c r="J5066">
        <v>3349</v>
      </c>
      <c r="K5066" t="s">
        <v>838</v>
      </c>
      <c r="L5066">
        <v>0</v>
      </c>
      <c r="N5066" t="s">
        <v>804</v>
      </c>
      <c r="O5066">
        <v>9</v>
      </c>
      <c r="P5066">
        <v>1643</v>
      </c>
      <c r="Q5066" t="s">
        <v>805</v>
      </c>
      <c r="R5066" t="s">
        <v>201</v>
      </c>
      <c r="S5066">
        <v>1</v>
      </c>
      <c r="T5066">
        <v>1</v>
      </c>
      <c r="U5066">
        <v>89784</v>
      </c>
      <c r="V5066">
        <v>89784</v>
      </c>
    </row>
    <row r="5067" spans="1:22">
      <c r="A5067" t="s">
        <v>196</v>
      </c>
      <c r="B5067">
        <v>31</v>
      </c>
      <c r="C5067" t="s">
        <v>27</v>
      </c>
      <c r="D5067">
        <v>300</v>
      </c>
      <c r="E5067" t="s">
        <v>1969</v>
      </c>
      <c r="F5067">
        <v>1005</v>
      </c>
      <c r="G5067" t="s">
        <v>27</v>
      </c>
      <c r="H5067">
        <v>2005</v>
      </c>
      <c r="I5067" t="s">
        <v>27</v>
      </c>
      <c r="J5067">
        <v>3349</v>
      </c>
      <c r="K5067" t="s">
        <v>838</v>
      </c>
      <c r="L5067">
        <v>0</v>
      </c>
      <c r="N5067" t="s">
        <v>199</v>
      </c>
      <c r="O5067">
        <v>0</v>
      </c>
      <c r="P5067">
        <v>15</v>
      </c>
      <c r="Q5067" t="s">
        <v>264</v>
      </c>
      <c r="R5067" t="s">
        <v>201</v>
      </c>
      <c r="S5067">
        <v>0</v>
      </c>
      <c r="T5067">
        <v>0</v>
      </c>
      <c r="U5067">
        <v>2250</v>
      </c>
      <c r="V5067">
        <v>2250</v>
      </c>
    </row>
    <row r="5068" spans="1:22">
      <c r="A5068" t="s">
        <v>196</v>
      </c>
      <c r="B5068">
        <v>33</v>
      </c>
      <c r="C5068" t="s">
        <v>51</v>
      </c>
      <c r="D5068">
        <v>300</v>
      </c>
      <c r="E5068" t="s">
        <v>1969</v>
      </c>
      <c r="F5068">
        <v>1005</v>
      </c>
      <c r="G5068" t="s">
        <v>51</v>
      </c>
      <c r="H5068">
        <v>2005</v>
      </c>
      <c r="I5068" t="s">
        <v>51</v>
      </c>
      <c r="J5068">
        <v>3040</v>
      </c>
      <c r="K5068" t="s">
        <v>872</v>
      </c>
      <c r="L5068">
        <v>4046</v>
      </c>
      <c r="M5068" t="s">
        <v>878</v>
      </c>
      <c r="N5068" t="s">
        <v>702</v>
      </c>
      <c r="O5068">
        <v>1</v>
      </c>
      <c r="P5068">
        <v>1357</v>
      </c>
      <c r="Q5068" t="s">
        <v>882</v>
      </c>
      <c r="R5068" t="s">
        <v>201</v>
      </c>
      <c r="S5068">
        <v>1</v>
      </c>
      <c r="T5068">
        <v>1</v>
      </c>
      <c r="U5068">
        <v>74160</v>
      </c>
      <c r="V5068">
        <v>74160</v>
      </c>
    </row>
    <row r="5069" spans="1:22">
      <c r="A5069" t="s">
        <v>196</v>
      </c>
      <c r="B5069">
        <v>35</v>
      </c>
      <c r="C5069" t="s">
        <v>47</v>
      </c>
      <c r="D5069">
        <v>300</v>
      </c>
      <c r="E5069" t="s">
        <v>1969</v>
      </c>
      <c r="F5069">
        <v>1005</v>
      </c>
      <c r="G5069" t="s">
        <v>47</v>
      </c>
      <c r="H5069">
        <v>2005</v>
      </c>
      <c r="I5069" t="s">
        <v>47</v>
      </c>
      <c r="J5069">
        <v>3012</v>
      </c>
      <c r="K5069" t="s">
        <v>905</v>
      </c>
      <c r="L5069">
        <v>4110</v>
      </c>
      <c r="M5069" t="s">
        <v>1982</v>
      </c>
      <c r="N5069" t="s">
        <v>249</v>
      </c>
      <c r="O5069">
        <v>0</v>
      </c>
      <c r="P5069">
        <v>1508</v>
      </c>
      <c r="Q5069" t="s">
        <v>907</v>
      </c>
      <c r="R5069" t="s">
        <v>201</v>
      </c>
      <c r="S5069">
        <v>1</v>
      </c>
      <c r="T5069">
        <v>1</v>
      </c>
      <c r="U5069">
        <v>93384</v>
      </c>
      <c r="V5069">
        <v>93384</v>
      </c>
    </row>
    <row r="5070" spans="1:22">
      <c r="A5070" t="s">
        <v>196</v>
      </c>
      <c r="B5070">
        <v>35</v>
      </c>
      <c r="C5070" t="s">
        <v>47</v>
      </c>
      <c r="D5070">
        <v>300</v>
      </c>
      <c r="E5070" t="s">
        <v>1969</v>
      </c>
      <c r="F5070">
        <v>1005</v>
      </c>
      <c r="G5070" t="s">
        <v>47</v>
      </c>
      <c r="H5070">
        <v>2005</v>
      </c>
      <c r="I5070" t="s">
        <v>47</v>
      </c>
      <c r="J5070">
        <v>3012</v>
      </c>
      <c r="K5070" t="s">
        <v>905</v>
      </c>
      <c r="L5070">
        <v>4110</v>
      </c>
      <c r="M5070" t="s">
        <v>1982</v>
      </c>
      <c r="N5070" t="s">
        <v>249</v>
      </c>
      <c r="O5070">
        <v>0</v>
      </c>
      <c r="P5070">
        <v>1508</v>
      </c>
      <c r="Q5070" t="s">
        <v>907</v>
      </c>
      <c r="R5070" t="s">
        <v>201</v>
      </c>
      <c r="S5070">
        <v>1</v>
      </c>
      <c r="T5070">
        <v>1</v>
      </c>
      <c r="U5070">
        <v>89112</v>
      </c>
      <c r="V5070">
        <v>89112</v>
      </c>
    </row>
    <row r="5071" spans="1:22">
      <c r="A5071" t="s">
        <v>196</v>
      </c>
      <c r="B5071">
        <v>35</v>
      </c>
      <c r="C5071" t="s">
        <v>47</v>
      </c>
      <c r="D5071">
        <v>300</v>
      </c>
      <c r="E5071" t="s">
        <v>1969</v>
      </c>
      <c r="F5071">
        <v>1005</v>
      </c>
      <c r="G5071" t="s">
        <v>47</v>
      </c>
      <c r="H5071">
        <v>2005</v>
      </c>
      <c r="I5071" t="s">
        <v>47</v>
      </c>
      <c r="J5071">
        <v>3012</v>
      </c>
      <c r="K5071" t="s">
        <v>905</v>
      </c>
      <c r="L5071">
        <v>4110</v>
      </c>
      <c r="M5071" t="s">
        <v>1982</v>
      </c>
      <c r="N5071" t="s">
        <v>199</v>
      </c>
      <c r="O5071">
        <v>0</v>
      </c>
      <c r="P5071">
        <v>15</v>
      </c>
      <c r="Q5071" t="s">
        <v>264</v>
      </c>
      <c r="R5071" t="s">
        <v>201</v>
      </c>
      <c r="S5071">
        <v>0</v>
      </c>
      <c r="T5071">
        <v>0</v>
      </c>
      <c r="U5071">
        <v>6032</v>
      </c>
      <c r="V5071">
        <v>6032</v>
      </c>
    </row>
    <row r="5072" spans="1:22">
      <c r="A5072" t="s">
        <v>196</v>
      </c>
      <c r="B5072">
        <v>67</v>
      </c>
      <c r="C5072" t="s">
        <v>33</v>
      </c>
      <c r="D5072">
        <v>300</v>
      </c>
      <c r="E5072" t="s">
        <v>1969</v>
      </c>
      <c r="F5072">
        <v>1005</v>
      </c>
      <c r="G5072" t="s">
        <v>33</v>
      </c>
      <c r="H5072">
        <v>2005</v>
      </c>
      <c r="I5072" t="s">
        <v>33</v>
      </c>
      <c r="J5072">
        <v>3006</v>
      </c>
      <c r="K5072" t="s">
        <v>309</v>
      </c>
      <c r="L5072">
        <v>4001</v>
      </c>
      <c r="M5072" t="s">
        <v>924</v>
      </c>
      <c r="N5072" t="s">
        <v>266</v>
      </c>
      <c r="O5072">
        <v>9</v>
      </c>
      <c r="P5072">
        <v>9679</v>
      </c>
      <c r="Q5072" t="s">
        <v>338</v>
      </c>
      <c r="R5072" t="s">
        <v>201</v>
      </c>
      <c r="S5072">
        <v>1</v>
      </c>
      <c r="T5072">
        <v>1</v>
      </c>
      <c r="U5072">
        <v>167964</v>
      </c>
      <c r="V5072">
        <v>167964</v>
      </c>
    </row>
    <row r="5073" spans="1:22">
      <c r="A5073" t="s">
        <v>196</v>
      </c>
      <c r="B5073">
        <v>67</v>
      </c>
      <c r="C5073" t="s">
        <v>33</v>
      </c>
      <c r="D5073">
        <v>300</v>
      </c>
      <c r="E5073" t="s">
        <v>1969</v>
      </c>
      <c r="F5073">
        <v>1005</v>
      </c>
      <c r="G5073" t="s">
        <v>33</v>
      </c>
      <c r="H5073">
        <v>2005</v>
      </c>
      <c r="I5073" t="s">
        <v>33</v>
      </c>
      <c r="J5073">
        <v>3006</v>
      </c>
      <c r="K5073" t="s">
        <v>309</v>
      </c>
      <c r="L5073">
        <v>4001</v>
      </c>
      <c r="M5073" t="s">
        <v>924</v>
      </c>
      <c r="N5073" t="s">
        <v>251</v>
      </c>
      <c r="O5073">
        <v>10</v>
      </c>
      <c r="P5073">
        <v>802</v>
      </c>
      <c r="Q5073" t="s">
        <v>252</v>
      </c>
      <c r="R5073" t="s">
        <v>201</v>
      </c>
      <c r="S5073">
        <v>1</v>
      </c>
      <c r="T5073">
        <v>1</v>
      </c>
      <c r="U5073">
        <v>83052</v>
      </c>
      <c r="V5073">
        <v>83052</v>
      </c>
    </row>
    <row r="5074" spans="1:22">
      <c r="A5074" t="s">
        <v>196</v>
      </c>
      <c r="B5074">
        <v>67</v>
      </c>
      <c r="C5074" t="s">
        <v>33</v>
      </c>
      <c r="D5074">
        <v>300</v>
      </c>
      <c r="E5074" t="s">
        <v>1969</v>
      </c>
      <c r="F5074">
        <v>1005</v>
      </c>
      <c r="G5074" t="s">
        <v>33</v>
      </c>
      <c r="H5074">
        <v>2005</v>
      </c>
      <c r="I5074" t="s">
        <v>33</v>
      </c>
      <c r="J5074">
        <v>3006</v>
      </c>
      <c r="K5074" t="s">
        <v>309</v>
      </c>
      <c r="L5074">
        <v>4001</v>
      </c>
      <c r="M5074" t="s">
        <v>924</v>
      </c>
      <c r="N5074" t="s">
        <v>199</v>
      </c>
      <c r="O5074">
        <v>0</v>
      </c>
      <c r="P5074">
        <v>15</v>
      </c>
      <c r="Q5074" t="s">
        <v>264</v>
      </c>
      <c r="R5074" t="s">
        <v>201</v>
      </c>
      <c r="S5074">
        <v>0</v>
      </c>
      <c r="T5074">
        <v>0</v>
      </c>
      <c r="U5074">
        <v>4836</v>
      </c>
      <c r="V5074">
        <v>4836</v>
      </c>
    </row>
    <row r="5075" spans="1:22">
      <c r="A5075" t="s">
        <v>196</v>
      </c>
      <c r="B5075">
        <v>67</v>
      </c>
      <c r="C5075" t="s">
        <v>33</v>
      </c>
      <c r="D5075">
        <v>300</v>
      </c>
      <c r="E5075" t="s">
        <v>1969</v>
      </c>
      <c r="F5075">
        <v>1005</v>
      </c>
      <c r="G5075" t="s">
        <v>33</v>
      </c>
      <c r="H5075">
        <v>2005</v>
      </c>
      <c r="I5075" t="s">
        <v>33</v>
      </c>
      <c r="J5075">
        <v>3045</v>
      </c>
      <c r="K5075" t="s">
        <v>1983</v>
      </c>
      <c r="L5075">
        <v>0</v>
      </c>
      <c r="N5075" t="s">
        <v>602</v>
      </c>
      <c r="O5075">
        <v>4</v>
      </c>
      <c r="P5075">
        <v>5620</v>
      </c>
      <c r="Q5075" t="s">
        <v>1594</v>
      </c>
      <c r="R5075" t="s">
        <v>201</v>
      </c>
      <c r="S5075">
        <v>2</v>
      </c>
      <c r="T5075">
        <v>1</v>
      </c>
      <c r="U5075">
        <v>141564</v>
      </c>
      <c r="V5075">
        <v>283128</v>
      </c>
    </row>
    <row r="5076" spans="1:22">
      <c r="A5076" t="s">
        <v>196</v>
      </c>
      <c r="B5076">
        <v>67</v>
      </c>
      <c r="C5076" t="s">
        <v>33</v>
      </c>
      <c r="D5076">
        <v>300</v>
      </c>
      <c r="E5076" t="s">
        <v>1969</v>
      </c>
      <c r="F5076">
        <v>1005</v>
      </c>
      <c r="G5076" t="s">
        <v>33</v>
      </c>
      <c r="H5076">
        <v>2005</v>
      </c>
      <c r="I5076" t="s">
        <v>33</v>
      </c>
      <c r="J5076">
        <v>3045</v>
      </c>
      <c r="K5076" t="s">
        <v>1983</v>
      </c>
      <c r="L5076">
        <v>0</v>
      </c>
      <c r="N5076" t="s">
        <v>333</v>
      </c>
      <c r="O5076">
        <v>4</v>
      </c>
      <c r="P5076">
        <v>5615</v>
      </c>
      <c r="Q5076" t="s">
        <v>1782</v>
      </c>
      <c r="R5076" t="s">
        <v>201</v>
      </c>
      <c r="S5076">
        <v>1</v>
      </c>
      <c r="T5076">
        <v>1</v>
      </c>
      <c r="U5076">
        <v>154764</v>
      </c>
      <c r="V5076">
        <v>154764</v>
      </c>
    </row>
    <row r="5077" spans="1:22">
      <c r="A5077" t="s">
        <v>196</v>
      </c>
      <c r="B5077">
        <v>81</v>
      </c>
      <c r="C5077" t="s">
        <v>1699</v>
      </c>
      <c r="D5077">
        <v>300</v>
      </c>
      <c r="E5077" t="s">
        <v>1969</v>
      </c>
      <c r="F5077">
        <v>1030</v>
      </c>
      <c r="G5077" t="s">
        <v>35</v>
      </c>
      <c r="H5077">
        <v>2045</v>
      </c>
      <c r="I5077" t="s">
        <v>35</v>
      </c>
      <c r="J5077">
        <v>3301</v>
      </c>
      <c r="K5077" t="s">
        <v>309</v>
      </c>
      <c r="L5077">
        <v>4300</v>
      </c>
      <c r="M5077" t="s">
        <v>1702</v>
      </c>
      <c r="N5077" t="s">
        <v>1294</v>
      </c>
      <c r="O5077">
        <v>0</v>
      </c>
      <c r="P5077">
        <v>9681</v>
      </c>
      <c r="Q5077" t="s">
        <v>338</v>
      </c>
      <c r="R5077" t="s">
        <v>201</v>
      </c>
      <c r="S5077">
        <v>1</v>
      </c>
      <c r="T5077">
        <v>1</v>
      </c>
      <c r="U5077">
        <v>184584</v>
      </c>
      <c r="V5077">
        <v>184584</v>
      </c>
    </row>
    <row r="5078" spans="1:22">
      <c r="A5078" t="s">
        <v>196</v>
      </c>
      <c r="B5078">
        <v>81</v>
      </c>
      <c r="C5078" t="s">
        <v>1699</v>
      </c>
      <c r="D5078">
        <v>300</v>
      </c>
      <c r="E5078" t="s">
        <v>1969</v>
      </c>
      <c r="F5078">
        <v>1030</v>
      </c>
      <c r="G5078" t="s">
        <v>35</v>
      </c>
      <c r="H5078">
        <v>2045</v>
      </c>
      <c r="I5078" t="s">
        <v>35</v>
      </c>
      <c r="J5078">
        <v>3301</v>
      </c>
      <c r="K5078" t="s">
        <v>309</v>
      </c>
      <c r="L5078">
        <v>4300</v>
      </c>
      <c r="M5078" t="s">
        <v>1702</v>
      </c>
      <c r="N5078" t="s">
        <v>731</v>
      </c>
      <c r="O5078">
        <v>10</v>
      </c>
      <c r="P5078">
        <v>8185</v>
      </c>
      <c r="Q5078" t="s">
        <v>1701</v>
      </c>
      <c r="R5078" t="s">
        <v>201</v>
      </c>
      <c r="S5078">
        <v>1</v>
      </c>
      <c r="T5078">
        <v>1</v>
      </c>
      <c r="U5078">
        <v>112440</v>
      </c>
      <c r="V5078">
        <v>112440</v>
      </c>
    </row>
    <row r="5079" spans="1:22">
      <c r="A5079" t="s">
        <v>196</v>
      </c>
      <c r="B5079">
        <v>81</v>
      </c>
      <c r="C5079" t="s">
        <v>1699</v>
      </c>
      <c r="D5079">
        <v>300</v>
      </c>
      <c r="E5079" t="s">
        <v>1969</v>
      </c>
      <c r="F5079">
        <v>1030</v>
      </c>
      <c r="G5079" t="s">
        <v>35</v>
      </c>
      <c r="H5079">
        <v>2045</v>
      </c>
      <c r="I5079" t="s">
        <v>35</v>
      </c>
      <c r="J5079">
        <v>3301</v>
      </c>
      <c r="K5079" t="s">
        <v>309</v>
      </c>
      <c r="L5079">
        <v>4300</v>
      </c>
      <c r="M5079" t="s">
        <v>1702</v>
      </c>
      <c r="N5079" t="s">
        <v>731</v>
      </c>
      <c r="O5079">
        <v>10</v>
      </c>
      <c r="P5079">
        <v>8185</v>
      </c>
      <c r="Q5079" t="s">
        <v>1701</v>
      </c>
      <c r="R5079" t="s">
        <v>201</v>
      </c>
      <c r="S5079">
        <v>1</v>
      </c>
      <c r="T5079">
        <v>1</v>
      </c>
      <c r="U5079">
        <v>102444</v>
      </c>
      <c r="V5079">
        <v>102444</v>
      </c>
    </row>
    <row r="5080" spans="1:22">
      <c r="A5080" t="s">
        <v>196</v>
      </c>
      <c r="B5080">
        <v>81</v>
      </c>
      <c r="C5080" t="s">
        <v>1699</v>
      </c>
      <c r="D5080">
        <v>300</v>
      </c>
      <c r="E5080" t="s">
        <v>1969</v>
      </c>
      <c r="F5080">
        <v>1030</v>
      </c>
      <c r="G5080" t="s">
        <v>35</v>
      </c>
      <c r="H5080">
        <v>2045</v>
      </c>
      <c r="I5080" t="s">
        <v>35</v>
      </c>
      <c r="J5080">
        <v>3301</v>
      </c>
      <c r="K5080" t="s">
        <v>309</v>
      </c>
      <c r="L5080">
        <v>4300</v>
      </c>
      <c r="M5080" t="s">
        <v>1702</v>
      </c>
      <c r="N5080" t="s">
        <v>249</v>
      </c>
      <c r="O5080">
        <v>10</v>
      </c>
      <c r="P5080">
        <v>3092</v>
      </c>
      <c r="Q5080" t="s">
        <v>750</v>
      </c>
      <c r="R5080" t="s">
        <v>201</v>
      </c>
      <c r="S5080">
        <v>1</v>
      </c>
      <c r="T5080">
        <v>1</v>
      </c>
      <c r="U5080">
        <v>102444</v>
      </c>
      <c r="V5080">
        <v>102444</v>
      </c>
    </row>
    <row r="5081" spans="1:22">
      <c r="A5081" t="s">
        <v>196</v>
      </c>
      <c r="B5081">
        <v>81</v>
      </c>
      <c r="C5081" t="s">
        <v>1699</v>
      </c>
      <c r="D5081">
        <v>300</v>
      </c>
      <c r="E5081" t="s">
        <v>1969</v>
      </c>
      <c r="F5081">
        <v>1030</v>
      </c>
      <c r="G5081" t="s">
        <v>35</v>
      </c>
      <c r="H5081">
        <v>2045</v>
      </c>
      <c r="I5081" t="s">
        <v>35</v>
      </c>
      <c r="J5081">
        <v>3301</v>
      </c>
      <c r="K5081" t="s">
        <v>309</v>
      </c>
      <c r="L5081">
        <v>4300</v>
      </c>
      <c r="M5081" t="s">
        <v>1702</v>
      </c>
      <c r="N5081" t="s">
        <v>1724</v>
      </c>
      <c r="O5081">
        <v>54</v>
      </c>
      <c r="P5081">
        <v>441</v>
      </c>
      <c r="Q5081" t="s">
        <v>1725</v>
      </c>
      <c r="R5081" t="s">
        <v>201</v>
      </c>
      <c r="S5081">
        <v>2</v>
      </c>
      <c r="T5081">
        <v>1</v>
      </c>
      <c r="U5081">
        <v>90108</v>
      </c>
      <c r="V5081">
        <v>180216</v>
      </c>
    </row>
    <row r="5082" spans="1:22">
      <c r="A5082" t="s">
        <v>196</v>
      </c>
      <c r="B5082">
        <v>81</v>
      </c>
      <c r="C5082" t="s">
        <v>1699</v>
      </c>
      <c r="D5082">
        <v>300</v>
      </c>
      <c r="E5082" t="s">
        <v>1969</v>
      </c>
      <c r="F5082">
        <v>1030</v>
      </c>
      <c r="G5082" t="s">
        <v>35</v>
      </c>
      <c r="H5082">
        <v>2045</v>
      </c>
      <c r="I5082" t="s">
        <v>35</v>
      </c>
      <c r="J5082">
        <v>3301</v>
      </c>
      <c r="K5082" t="s">
        <v>309</v>
      </c>
      <c r="L5082">
        <v>4300</v>
      </c>
      <c r="M5082" t="s">
        <v>1702</v>
      </c>
      <c r="N5082" t="s">
        <v>1724</v>
      </c>
      <c r="O5082">
        <v>54</v>
      </c>
      <c r="P5082">
        <v>441</v>
      </c>
      <c r="Q5082" t="s">
        <v>1725</v>
      </c>
      <c r="R5082" t="s">
        <v>201</v>
      </c>
      <c r="S5082">
        <v>1</v>
      </c>
      <c r="T5082">
        <v>1</v>
      </c>
      <c r="U5082">
        <v>68232</v>
      </c>
      <c r="V5082">
        <v>68232</v>
      </c>
    </row>
    <row r="5083" spans="1:22">
      <c r="A5083" t="s">
        <v>196</v>
      </c>
      <c r="B5083">
        <v>81</v>
      </c>
      <c r="C5083" t="s">
        <v>1699</v>
      </c>
      <c r="D5083">
        <v>300</v>
      </c>
      <c r="E5083" t="s">
        <v>1969</v>
      </c>
      <c r="F5083">
        <v>1030</v>
      </c>
      <c r="G5083" t="s">
        <v>35</v>
      </c>
      <c r="H5083">
        <v>2045</v>
      </c>
      <c r="I5083" t="s">
        <v>35</v>
      </c>
      <c r="J5083">
        <v>3301</v>
      </c>
      <c r="K5083" t="s">
        <v>309</v>
      </c>
      <c r="L5083">
        <v>4300</v>
      </c>
      <c r="M5083" t="s">
        <v>1702</v>
      </c>
      <c r="N5083" t="s">
        <v>1724</v>
      </c>
      <c r="O5083">
        <v>54</v>
      </c>
      <c r="P5083">
        <v>441</v>
      </c>
      <c r="Q5083" t="s">
        <v>1725</v>
      </c>
      <c r="R5083" t="s">
        <v>201</v>
      </c>
      <c r="S5083">
        <v>1</v>
      </c>
      <c r="T5083">
        <v>1</v>
      </c>
      <c r="U5083">
        <v>58728</v>
      </c>
      <c r="V5083">
        <v>58728</v>
      </c>
    </row>
    <row r="5084" spans="1:22">
      <c r="A5084" t="s">
        <v>196</v>
      </c>
      <c r="B5084">
        <v>81</v>
      </c>
      <c r="C5084" t="s">
        <v>1699</v>
      </c>
      <c r="D5084">
        <v>300</v>
      </c>
      <c r="E5084" t="s">
        <v>1969</v>
      </c>
      <c r="F5084">
        <v>1030</v>
      </c>
      <c r="G5084" t="s">
        <v>35</v>
      </c>
      <c r="H5084">
        <v>2045</v>
      </c>
      <c r="I5084" t="s">
        <v>35</v>
      </c>
      <c r="J5084">
        <v>3301</v>
      </c>
      <c r="K5084" t="s">
        <v>309</v>
      </c>
      <c r="L5084">
        <v>4300</v>
      </c>
      <c r="M5084" t="s">
        <v>1702</v>
      </c>
      <c r="N5084" t="s">
        <v>1724</v>
      </c>
      <c r="O5084">
        <v>54</v>
      </c>
      <c r="P5084">
        <v>441</v>
      </c>
      <c r="Q5084" t="s">
        <v>1725</v>
      </c>
      <c r="R5084" t="s">
        <v>201</v>
      </c>
      <c r="S5084">
        <v>1</v>
      </c>
      <c r="T5084">
        <v>1</v>
      </c>
      <c r="U5084">
        <v>53520</v>
      </c>
      <c r="V5084">
        <v>53520</v>
      </c>
    </row>
    <row r="5085" spans="1:22">
      <c r="A5085" t="s">
        <v>196</v>
      </c>
      <c r="B5085">
        <v>81</v>
      </c>
      <c r="C5085" t="s">
        <v>1699</v>
      </c>
      <c r="D5085">
        <v>300</v>
      </c>
      <c r="E5085" t="s">
        <v>1969</v>
      </c>
      <c r="F5085">
        <v>1030</v>
      </c>
      <c r="G5085" t="s">
        <v>35</v>
      </c>
      <c r="H5085">
        <v>2045</v>
      </c>
      <c r="I5085" t="s">
        <v>35</v>
      </c>
      <c r="J5085">
        <v>3301</v>
      </c>
      <c r="K5085" t="s">
        <v>309</v>
      </c>
      <c r="L5085">
        <v>4300</v>
      </c>
      <c r="M5085" t="s">
        <v>1702</v>
      </c>
      <c r="N5085" t="s">
        <v>199</v>
      </c>
      <c r="O5085">
        <v>0</v>
      </c>
      <c r="P5085">
        <v>15</v>
      </c>
      <c r="Q5085" t="s">
        <v>264</v>
      </c>
      <c r="R5085" t="s">
        <v>201</v>
      </c>
      <c r="S5085">
        <v>0</v>
      </c>
      <c r="T5085">
        <v>0</v>
      </c>
      <c r="U5085">
        <v>10120</v>
      </c>
      <c r="V5085">
        <v>10120</v>
      </c>
    </row>
    <row r="5086" spans="1:22">
      <c r="A5086" t="s">
        <v>196</v>
      </c>
      <c r="B5086">
        <v>81</v>
      </c>
      <c r="C5086" t="s">
        <v>1699</v>
      </c>
      <c r="D5086">
        <v>300</v>
      </c>
      <c r="E5086" t="s">
        <v>1969</v>
      </c>
      <c r="F5086">
        <v>1030</v>
      </c>
      <c r="G5086" t="s">
        <v>35</v>
      </c>
      <c r="H5086">
        <v>2045</v>
      </c>
      <c r="I5086" t="s">
        <v>35</v>
      </c>
      <c r="J5086">
        <v>3325</v>
      </c>
      <c r="K5086" t="s">
        <v>1746</v>
      </c>
      <c r="L5086">
        <v>4324</v>
      </c>
      <c r="M5086" t="s">
        <v>1984</v>
      </c>
      <c r="N5086" t="s">
        <v>1743</v>
      </c>
      <c r="O5086">
        <v>54</v>
      </c>
      <c r="P5086">
        <v>8190</v>
      </c>
      <c r="Q5086" t="s">
        <v>1985</v>
      </c>
      <c r="R5086" t="s">
        <v>201</v>
      </c>
      <c r="S5086">
        <v>1</v>
      </c>
      <c r="T5086">
        <v>1</v>
      </c>
      <c r="U5086">
        <v>172572</v>
      </c>
      <c r="V5086">
        <v>172572</v>
      </c>
    </row>
    <row r="5087" spans="1:22">
      <c r="A5087" t="s">
        <v>196</v>
      </c>
      <c r="B5087">
        <v>81</v>
      </c>
      <c r="C5087" t="s">
        <v>1699</v>
      </c>
      <c r="D5087">
        <v>300</v>
      </c>
      <c r="E5087" t="s">
        <v>1969</v>
      </c>
      <c r="F5087">
        <v>1030</v>
      </c>
      <c r="G5087" t="s">
        <v>35</v>
      </c>
      <c r="H5087">
        <v>2045</v>
      </c>
      <c r="I5087" t="s">
        <v>35</v>
      </c>
      <c r="J5087">
        <v>3325</v>
      </c>
      <c r="K5087" t="s">
        <v>1746</v>
      </c>
      <c r="L5087">
        <v>4324</v>
      </c>
      <c r="M5087" t="s">
        <v>1984</v>
      </c>
      <c r="N5087" t="s">
        <v>1743</v>
      </c>
      <c r="O5087">
        <v>54</v>
      </c>
      <c r="P5087">
        <v>8190</v>
      </c>
      <c r="Q5087" t="s">
        <v>1985</v>
      </c>
      <c r="R5087" t="s">
        <v>201</v>
      </c>
      <c r="S5087">
        <v>1</v>
      </c>
      <c r="T5087">
        <v>1</v>
      </c>
      <c r="U5087">
        <v>143352</v>
      </c>
      <c r="V5087">
        <v>143352</v>
      </c>
    </row>
    <row r="5088" spans="1:22">
      <c r="A5088" t="s">
        <v>196</v>
      </c>
      <c r="B5088">
        <v>81</v>
      </c>
      <c r="C5088" t="s">
        <v>1699</v>
      </c>
      <c r="D5088">
        <v>300</v>
      </c>
      <c r="E5088" t="s">
        <v>1969</v>
      </c>
      <c r="F5088">
        <v>1030</v>
      </c>
      <c r="G5088" t="s">
        <v>35</v>
      </c>
      <c r="H5088">
        <v>2045</v>
      </c>
      <c r="I5088" t="s">
        <v>35</v>
      </c>
      <c r="J5088">
        <v>3325</v>
      </c>
      <c r="K5088" t="s">
        <v>1746</v>
      </c>
      <c r="L5088">
        <v>4324</v>
      </c>
      <c r="M5088" t="s">
        <v>1984</v>
      </c>
      <c r="N5088" t="s">
        <v>721</v>
      </c>
      <c r="O5088">
        <v>8</v>
      </c>
      <c r="P5088">
        <v>7184</v>
      </c>
      <c r="Q5088" t="s">
        <v>1728</v>
      </c>
      <c r="R5088" t="s">
        <v>713</v>
      </c>
      <c r="S5088">
        <v>1</v>
      </c>
      <c r="T5088">
        <v>1</v>
      </c>
      <c r="U5088">
        <v>48.73</v>
      </c>
      <c r="V5088">
        <v>101358</v>
      </c>
    </row>
    <row r="5089" spans="1:22">
      <c r="A5089" t="s">
        <v>196</v>
      </c>
      <c r="B5089">
        <v>81</v>
      </c>
      <c r="C5089" t="s">
        <v>1699</v>
      </c>
      <c r="D5089">
        <v>300</v>
      </c>
      <c r="E5089" t="s">
        <v>1969</v>
      </c>
      <c r="F5089">
        <v>1030</v>
      </c>
      <c r="G5089" t="s">
        <v>35</v>
      </c>
      <c r="H5089">
        <v>2045</v>
      </c>
      <c r="I5089" t="s">
        <v>35</v>
      </c>
      <c r="J5089">
        <v>3325</v>
      </c>
      <c r="K5089" t="s">
        <v>1746</v>
      </c>
      <c r="L5089">
        <v>4324</v>
      </c>
      <c r="M5089" t="s">
        <v>1984</v>
      </c>
      <c r="N5089" t="s">
        <v>721</v>
      </c>
      <c r="O5089">
        <v>8</v>
      </c>
      <c r="P5089">
        <v>7183</v>
      </c>
      <c r="Q5089" t="s">
        <v>986</v>
      </c>
      <c r="R5089" t="s">
        <v>713</v>
      </c>
      <c r="S5089">
        <v>3</v>
      </c>
      <c r="T5089">
        <v>1</v>
      </c>
      <c r="U5089">
        <v>49.46</v>
      </c>
      <c r="V5089">
        <v>308630</v>
      </c>
    </row>
    <row r="5090" spans="1:22">
      <c r="A5090" t="s">
        <v>196</v>
      </c>
      <c r="B5090">
        <v>81</v>
      </c>
      <c r="C5090" t="s">
        <v>1699</v>
      </c>
      <c r="D5090">
        <v>300</v>
      </c>
      <c r="E5090" t="s">
        <v>1969</v>
      </c>
      <c r="F5090">
        <v>1030</v>
      </c>
      <c r="G5090" t="s">
        <v>35</v>
      </c>
      <c r="H5090">
        <v>2045</v>
      </c>
      <c r="I5090" t="s">
        <v>35</v>
      </c>
      <c r="J5090">
        <v>3325</v>
      </c>
      <c r="K5090" t="s">
        <v>1746</v>
      </c>
      <c r="L5090">
        <v>4324</v>
      </c>
      <c r="M5090" t="s">
        <v>1984</v>
      </c>
      <c r="N5090" t="s">
        <v>721</v>
      </c>
      <c r="O5090">
        <v>8</v>
      </c>
      <c r="P5090">
        <v>7183</v>
      </c>
      <c r="Q5090" t="s">
        <v>986</v>
      </c>
      <c r="R5090" t="s">
        <v>713</v>
      </c>
      <c r="S5090">
        <v>7</v>
      </c>
      <c r="T5090">
        <v>1</v>
      </c>
      <c r="U5090">
        <v>48.73</v>
      </c>
      <c r="V5090">
        <v>709509</v>
      </c>
    </row>
    <row r="5091" spans="1:22">
      <c r="A5091" t="s">
        <v>196</v>
      </c>
      <c r="B5091">
        <v>81</v>
      </c>
      <c r="C5091" t="s">
        <v>1699</v>
      </c>
      <c r="D5091">
        <v>300</v>
      </c>
      <c r="E5091" t="s">
        <v>1969</v>
      </c>
      <c r="F5091">
        <v>1030</v>
      </c>
      <c r="G5091" t="s">
        <v>35</v>
      </c>
      <c r="H5091">
        <v>2045</v>
      </c>
      <c r="I5091" t="s">
        <v>35</v>
      </c>
      <c r="J5091">
        <v>3325</v>
      </c>
      <c r="K5091" t="s">
        <v>1746</v>
      </c>
      <c r="L5091">
        <v>4324</v>
      </c>
      <c r="M5091" t="s">
        <v>1984</v>
      </c>
      <c r="N5091" t="s">
        <v>721</v>
      </c>
      <c r="O5091">
        <v>54</v>
      </c>
      <c r="P5091">
        <v>6324</v>
      </c>
      <c r="Q5091" t="s">
        <v>1730</v>
      </c>
      <c r="R5091" t="s">
        <v>713</v>
      </c>
      <c r="S5091">
        <v>2</v>
      </c>
      <c r="T5091">
        <v>1</v>
      </c>
      <c r="U5091">
        <v>47.79</v>
      </c>
      <c r="V5091">
        <v>198806</v>
      </c>
    </row>
    <row r="5092" spans="1:22">
      <c r="A5092" t="s">
        <v>196</v>
      </c>
      <c r="B5092">
        <v>81</v>
      </c>
      <c r="C5092" t="s">
        <v>1699</v>
      </c>
      <c r="D5092">
        <v>300</v>
      </c>
      <c r="E5092" t="s">
        <v>1969</v>
      </c>
      <c r="F5092">
        <v>1030</v>
      </c>
      <c r="G5092" t="s">
        <v>35</v>
      </c>
      <c r="H5092">
        <v>2045</v>
      </c>
      <c r="I5092" t="s">
        <v>35</v>
      </c>
      <c r="J5092">
        <v>3325</v>
      </c>
      <c r="K5092" t="s">
        <v>1746</v>
      </c>
      <c r="L5092">
        <v>4324</v>
      </c>
      <c r="M5092" t="s">
        <v>1984</v>
      </c>
      <c r="N5092" t="s">
        <v>199</v>
      </c>
      <c r="O5092">
        <v>0</v>
      </c>
      <c r="P5092">
        <v>15</v>
      </c>
      <c r="Q5092" t="s">
        <v>264</v>
      </c>
      <c r="R5092" t="s">
        <v>201</v>
      </c>
      <c r="S5092">
        <v>0</v>
      </c>
      <c r="T5092">
        <v>0</v>
      </c>
      <c r="U5092">
        <v>1932</v>
      </c>
      <c r="V5092">
        <v>1932</v>
      </c>
    </row>
    <row r="5093" spans="1:22">
      <c r="A5093" t="s">
        <v>196</v>
      </c>
      <c r="B5093">
        <v>81</v>
      </c>
      <c r="C5093" t="s">
        <v>1699</v>
      </c>
      <c r="D5093">
        <v>300</v>
      </c>
      <c r="E5093" t="s">
        <v>1969</v>
      </c>
      <c r="F5093">
        <v>1030</v>
      </c>
      <c r="G5093" t="s">
        <v>35</v>
      </c>
      <c r="H5093">
        <v>2045</v>
      </c>
      <c r="I5093" t="s">
        <v>35</v>
      </c>
      <c r="J5093">
        <v>3325</v>
      </c>
      <c r="K5093" t="s">
        <v>1746</v>
      </c>
      <c r="L5093">
        <v>4324</v>
      </c>
      <c r="M5093" t="s">
        <v>1984</v>
      </c>
      <c r="N5093" t="s">
        <v>199</v>
      </c>
      <c r="O5093">
        <v>0</v>
      </c>
      <c r="P5093">
        <v>12</v>
      </c>
      <c r="Q5093" t="s">
        <v>724</v>
      </c>
      <c r="R5093" t="s">
        <v>201</v>
      </c>
      <c r="S5093">
        <v>0</v>
      </c>
      <c r="T5093">
        <v>0</v>
      </c>
      <c r="U5093">
        <v>19774</v>
      </c>
      <c r="V5093">
        <v>19774</v>
      </c>
    </row>
    <row r="5094" spans="1:22">
      <c r="A5094" t="s">
        <v>196</v>
      </c>
      <c r="B5094">
        <v>81</v>
      </c>
      <c r="C5094" t="s">
        <v>1699</v>
      </c>
      <c r="D5094">
        <v>300</v>
      </c>
      <c r="E5094" t="s">
        <v>1969</v>
      </c>
      <c r="F5094">
        <v>1030</v>
      </c>
      <c r="G5094" t="s">
        <v>35</v>
      </c>
      <c r="H5094">
        <v>2045</v>
      </c>
      <c r="I5094" t="s">
        <v>35</v>
      </c>
      <c r="J5094">
        <v>3325</v>
      </c>
      <c r="K5094" t="s">
        <v>1746</v>
      </c>
      <c r="L5094">
        <v>4326</v>
      </c>
      <c r="M5094" t="s">
        <v>1986</v>
      </c>
      <c r="N5094" t="s">
        <v>721</v>
      </c>
      <c r="O5094">
        <v>8</v>
      </c>
      <c r="P5094">
        <v>7183</v>
      </c>
      <c r="Q5094" t="s">
        <v>986</v>
      </c>
      <c r="R5094" t="s">
        <v>713</v>
      </c>
      <c r="S5094">
        <v>3</v>
      </c>
      <c r="T5094">
        <v>1</v>
      </c>
      <c r="U5094">
        <v>48.73</v>
      </c>
      <c r="V5094">
        <v>304075</v>
      </c>
    </row>
    <row r="5095" spans="1:22">
      <c r="A5095" t="s">
        <v>196</v>
      </c>
      <c r="B5095">
        <v>81</v>
      </c>
      <c r="C5095" t="s">
        <v>1699</v>
      </c>
      <c r="D5095">
        <v>300</v>
      </c>
      <c r="E5095" t="s">
        <v>1969</v>
      </c>
      <c r="F5095">
        <v>1030</v>
      </c>
      <c r="G5095" t="s">
        <v>35</v>
      </c>
      <c r="H5095">
        <v>2045</v>
      </c>
      <c r="I5095" t="s">
        <v>35</v>
      </c>
      <c r="J5095">
        <v>3325</v>
      </c>
      <c r="K5095" t="s">
        <v>1746</v>
      </c>
      <c r="L5095">
        <v>4326</v>
      </c>
      <c r="M5095" t="s">
        <v>1986</v>
      </c>
      <c r="N5095" t="s">
        <v>721</v>
      </c>
      <c r="O5095">
        <v>54</v>
      </c>
      <c r="P5095">
        <v>6324</v>
      </c>
      <c r="Q5095" t="s">
        <v>1730</v>
      </c>
      <c r="R5095" t="s">
        <v>713</v>
      </c>
      <c r="S5095">
        <v>4</v>
      </c>
      <c r="T5095">
        <v>1</v>
      </c>
      <c r="U5095">
        <v>47.79</v>
      </c>
      <c r="V5095">
        <v>397613</v>
      </c>
    </row>
    <row r="5096" spans="1:22">
      <c r="A5096" t="s">
        <v>196</v>
      </c>
      <c r="B5096">
        <v>81</v>
      </c>
      <c r="C5096" t="s">
        <v>1699</v>
      </c>
      <c r="D5096">
        <v>300</v>
      </c>
      <c r="E5096" t="s">
        <v>1969</v>
      </c>
      <c r="F5096">
        <v>1030</v>
      </c>
      <c r="G5096" t="s">
        <v>35</v>
      </c>
      <c r="H5096">
        <v>2045</v>
      </c>
      <c r="I5096" t="s">
        <v>35</v>
      </c>
      <c r="J5096">
        <v>3325</v>
      </c>
      <c r="K5096" t="s">
        <v>1746</v>
      </c>
      <c r="L5096">
        <v>4326</v>
      </c>
      <c r="M5096" t="s">
        <v>1986</v>
      </c>
      <c r="N5096" t="s">
        <v>199</v>
      </c>
      <c r="O5096">
        <v>0</v>
      </c>
      <c r="P5096">
        <v>12</v>
      </c>
      <c r="Q5096" t="s">
        <v>724</v>
      </c>
      <c r="R5096" t="s">
        <v>201</v>
      </c>
      <c r="S5096">
        <v>0</v>
      </c>
      <c r="T5096">
        <v>0</v>
      </c>
      <c r="U5096">
        <v>10525</v>
      </c>
      <c r="V5096">
        <v>10525</v>
      </c>
    </row>
    <row r="5097" spans="1:22">
      <c r="A5097" t="s">
        <v>196</v>
      </c>
      <c r="B5097">
        <v>81</v>
      </c>
      <c r="C5097" t="s">
        <v>1699</v>
      </c>
      <c r="D5097">
        <v>300</v>
      </c>
      <c r="E5097" t="s">
        <v>1969</v>
      </c>
      <c r="F5097">
        <v>1030</v>
      </c>
      <c r="G5097" t="s">
        <v>35</v>
      </c>
      <c r="H5097">
        <v>2045</v>
      </c>
      <c r="I5097" t="s">
        <v>35</v>
      </c>
      <c r="J5097">
        <v>3351</v>
      </c>
      <c r="K5097" t="s">
        <v>1987</v>
      </c>
      <c r="L5097">
        <v>0</v>
      </c>
      <c r="N5097" t="s">
        <v>721</v>
      </c>
      <c r="O5097">
        <v>8</v>
      </c>
      <c r="P5097">
        <v>7184</v>
      </c>
      <c r="Q5097" t="s">
        <v>1728</v>
      </c>
      <c r="R5097" t="s">
        <v>713</v>
      </c>
      <c r="S5097">
        <v>31</v>
      </c>
      <c r="T5097">
        <v>1</v>
      </c>
      <c r="U5097">
        <v>48.73</v>
      </c>
      <c r="V5097">
        <v>3142110</v>
      </c>
    </row>
    <row r="5098" spans="1:22">
      <c r="A5098" t="s">
        <v>196</v>
      </c>
      <c r="B5098">
        <v>81</v>
      </c>
      <c r="C5098" t="s">
        <v>1699</v>
      </c>
      <c r="D5098">
        <v>300</v>
      </c>
      <c r="E5098" t="s">
        <v>1969</v>
      </c>
      <c r="F5098">
        <v>1030</v>
      </c>
      <c r="G5098" t="s">
        <v>35</v>
      </c>
      <c r="H5098">
        <v>2045</v>
      </c>
      <c r="I5098" t="s">
        <v>35</v>
      </c>
      <c r="J5098">
        <v>3351</v>
      </c>
      <c r="K5098" t="s">
        <v>1987</v>
      </c>
      <c r="L5098">
        <v>0</v>
      </c>
      <c r="N5098" t="s">
        <v>721</v>
      </c>
      <c r="O5098">
        <v>8</v>
      </c>
      <c r="P5098">
        <v>7183</v>
      </c>
      <c r="Q5098" t="s">
        <v>986</v>
      </c>
      <c r="R5098" t="s">
        <v>713</v>
      </c>
      <c r="S5098">
        <v>4</v>
      </c>
      <c r="T5098">
        <v>1</v>
      </c>
      <c r="U5098">
        <v>49.46</v>
      </c>
      <c r="V5098">
        <v>411507</v>
      </c>
    </row>
    <row r="5099" spans="1:22">
      <c r="A5099" t="s">
        <v>196</v>
      </c>
      <c r="B5099">
        <v>81</v>
      </c>
      <c r="C5099" t="s">
        <v>1699</v>
      </c>
      <c r="D5099">
        <v>300</v>
      </c>
      <c r="E5099" t="s">
        <v>1969</v>
      </c>
      <c r="F5099">
        <v>1030</v>
      </c>
      <c r="G5099" t="s">
        <v>35</v>
      </c>
      <c r="H5099">
        <v>2045</v>
      </c>
      <c r="I5099" t="s">
        <v>35</v>
      </c>
      <c r="J5099">
        <v>3351</v>
      </c>
      <c r="K5099" t="s">
        <v>1987</v>
      </c>
      <c r="L5099">
        <v>0</v>
      </c>
      <c r="N5099" t="s">
        <v>721</v>
      </c>
      <c r="O5099">
        <v>8</v>
      </c>
      <c r="P5099">
        <v>7183</v>
      </c>
      <c r="Q5099" t="s">
        <v>986</v>
      </c>
      <c r="R5099" t="s">
        <v>713</v>
      </c>
      <c r="S5099">
        <v>13</v>
      </c>
      <c r="T5099">
        <v>1</v>
      </c>
      <c r="U5099">
        <v>48.73</v>
      </c>
      <c r="V5099">
        <v>1317659</v>
      </c>
    </row>
    <row r="5100" spans="1:22">
      <c r="A5100" t="s">
        <v>196</v>
      </c>
      <c r="B5100">
        <v>81</v>
      </c>
      <c r="C5100" t="s">
        <v>1699</v>
      </c>
      <c r="D5100">
        <v>300</v>
      </c>
      <c r="E5100" t="s">
        <v>1969</v>
      </c>
      <c r="F5100">
        <v>1030</v>
      </c>
      <c r="G5100" t="s">
        <v>35</v>
      </c>
      <c r="H5100">
        <v>2045</v>
      </c>
      <c r="I5100" t="s">
        <v>35</v>
      </c>
      <c r="J5100">
        <v>3351</v>
      </c>
      <c r="K5100" t="s">
        <v>1987</v>
      </c>
      <c r="L5100">
        <v>0</v>
      </c>
      <c r="N5100" t="s">
        <v>721</v>
      </c>
      <c r="O5100">
        <v>54</v>
      </c>
      <c r="P5100">
        <v>6329</v>
      </c>
      <c r="Q5100" t="s">
        <v>1729</v>
      </c>
      <c r="R5100" t="s">
        <v>713</v>
      </c>
      <c r="S5100">
        <v>68850</v>
      </c>
      <c r="T5100">
        <v>0</v>
      </c>
      <c r="U5100">
        <v>25.19</v>
      </c>
      <c r="V5100">
        <v>1734332</v>
      </c>
    </row>
    <row r="5101" spans="1:22">
      <c r="A5101" t="s">
        <v>196</v>
      </c>
      <c r="B5101">
        <v>81</v>
      </c>
      <c r="C5101" t="s">
        <v>1699</v>
      </c>
      <c r="D5101">
        <v>300</v>
      </c>
      <c r="E5101" t="s">
        <v>1969</v>
      </c>
      <c r="F5101">
        <v>1030</v>
      </c>
      <c r="G5101" t="s">
        <v>35</v>
      </c>
      <c r="H5101">
        <v>2045</v>
      </c>
      <c r="I5101" t="s">
        <v>35</v>
      </c>
      <c r="J5101">
        <v>3351</v>
      </c>
      <c r="K5101" t="s">
        <v>1987</v>
      </c>
      <c r="L5101">
        <v>0</v>
      </c>
      <c r="N5101" t="s">
        <v>721</v>
      </c>
      <c r="O5101">
        <v>54</v>
      </c>
      <c r="P5101">
        <v>6324</v>
      </c>
      <c r="Q5101" t="s">
        <v>1730</v>
      </c>
      <c r="R5101" t="s">
        <v>713</v>
      </c>
      <c r="S5101">
        <v>3</v>
      </c>
      <c r="T5101">
        <v>1</v>
      </c>
      <c r="U5101">
        <v>31.06</v>
      </c>
      <c r="V5101">
        <v>193814</v>
      </c>
    </row>
    <row r="5102" spans="1:22">
      <c r="A5102" t="s">
        <v>196</v>
      </c>
      <c r="B5102">
        <v>81</v>
      </c>
      <c r="C5102" t="s">
        <v>1699</v>
      </c>
      <c r="D5102">
        <v>300</v>
      </c>
      <c r="E5102" t="s">
        <v>1969</v>
      </c>
      <c r="F5102">
        <v>1030</v>
      </c>
      <c r="G5102" t="s">
        <v>35</v>
      </c>
      <c r="H5102">
        <v>2045</v>
      </c>
      <c r="I5102" t="s">
        <v>35</v>
      </c>
      <c r="J5102">
        <v>3351</v>
      </c>
      <c r="K5102" t="s">
        <v>1987</v>
      </c>
      <c r="L5102">
        <v>0</v>
      </c>
      <c r="N5102" t="s">
        <v>199</v>
      </c>
      <c r="O5102">
        <v>0</v>
      </c>
      <c r="P5102">
        <v>12</v>
      </c>
      <c r="Q5102" t="s">
        <v>724</v>
      </c>
      <c r="R5102" t="s">
        <v>201</v>
      </c>
      <c r="S5102">
        <v>0</v>
      </c>
      <c r="T5102">
        <v>0</v>
      </c>
      <c r="U5102">
        <v>101992</v>
      </c>
      <c r="V5102">
        <v>101992</v>
      </c>
    </row>
    <row r="5103" spans="1:22">
      <c r="A5103" t="s">
        <v>196</v>
      </c>
      <c r="B5103">
        <v>81</v>
      </c>
      <c r="C5103" t="s">
        <v>1699</v>
      </c>
      <c r="D5103">
        <v>300</v>
      </c>
      <c r="E5103" t="s">
        <v>1969</v>
      </c>
      <c r="F5103">
        <v>1030</v>
      </c>
      <c r="G5103" t="s">
        <v>35</v>
      </c>
      <c r="H5103">
        <v>2045</v>
      </c>
      <c r="I5103" t="s">
        <v>35</v>
      </c>
      <c r="J5103">
        <v>3390</v>
      </c>
      <c r="K5103" t="s">
        <v>1746</v>
      </c>
      <c r="L5103">
        <v>0</v>
      </c>
      <c r="N5103" t="s">
        <v>721</v>
      </c>
      <c r="O5103">
        <v>8</v>
      </c>
      <c r="P5103">
        <v>7185</v>
      </c>
      <c r="Q5103" t="s">
        <v>1039</v>
      </c>
      <c r="R5103" t="s">
        <v>713</v>
      </c>
      <c r="S5103">
        <v>4</v>
      </c>
      <c r="T5103">
        <v>1</v>
      </c>
      <c r="U5103">
        <v>52.38</v>
      </c>
      <c r="V5103">
        <v>435802</v>
      </c>
    </row>
    <row r="5104" spans="1:22">
      <c r="A5104" t="s">
        <v>196</v>
      </c>
      <c r="B5104">
        <v>81</v>
      </c>
      <c r="C5104" t="s">
        <v>1699</v>
      </c>
      <c r="D5104">
        <v>300</v>
      </c>
      <c r="E5104" t="s">
        <v>1969</v>
      </c>
      <c r="F5104">
        <v>1030</v>
      </c>
      <c r="G5104" t="s">
        <v>35</v>
      </c>
      <c r="H5104">
        <v>2045</v>
      </c>
      <c r="I5104" t="s">
        <v>35</v>
      </c>
      <c r="J5104">
        <v>3390</v>
      </c>
      <c r="K5104" t="s">
        <v>1746</v>
      </c>
      <c r="L5104">
        <v>0</v>
      </c>
      <c r="N5104" t="s">
        <v>721</v>
      </c>
      <c r="O5104">
        <v>8</v>
      </c>
      <c r="P5104">
        <v>7184</v>
      </c>
      <c r="Q5104" t="s">
        <v>1728</v>
      </c>
      <c r="R5104" t="s">
        <v>713</v>
      </c>
      <c r="S5104">
        <v>7</v>
      </c>
      <c r="T5104">
        <v>1</v>
      </c>
      <c r="U5104">
        <v>48.73</v>
      </c>
      <c r="V5104">
        <v>709509</v>
      </c>
    </row>
    <row r="5105" spans="1:22">
      <c r="A5105" t="s">
        <v>196</v>
      </c>
      <c r="B5105">
        <v>81</v>
      </c>
      <c r="C5105" t="s">
        <v>1699</v>
      </c>
      <c r="D5105">
        <v>300</v>
      </c>
      <c r="E5105" t="s">
        <v>1969</v>
      </c>
      <c r="F5105">
        <v>1030</v>
      </c>
      <c r="G5105" t="s">
        <v>35</v>
      </c>
      <c r="H5105">
        <v>2045</v>
      </c>
      <c r="I5105" t="s">
        <v>35</v>
      </c>
      <c r="J5105">
        <v>3390</v>
      </c>
      <c r="K5105" t="s">
        <v>1746</v>
      </c>
      <c r="L5105">
        <v>0</v>
      </c>
      <c r="N5105" t="s">
        <v>721</v>
      </c>
      <c r="O5105">
        <v>8</v>
      </c>
      <c r="P5105">
        <v>7183</v>
      </c>
      <c r="Q5105" t="s">
        <v>986</v>
      </c>
      <c r="R5105" t="s">
        <v>713</v>
      </c>
      <c r="S5105">
        <v>5</v>
      </c>
      <c r="T5105">
        <v>1</v>
      </c>
      <c r="U5105">
        <v>49.46</v>
      </c>
      <c r="V5105">
        <v>514384</v>
      </c>
    </row>
    <row r="5106" spans="1:22">
      <c r="A5106" t="s">
        <v>196</v>
      </c>
      <c r="B5106">
        <v>81</v>
      </c>
      <c r="C5106" t="s">
        <v>1699</v>
      </c>
      <c r="D5106">
        <v>300</v>
      </c>
      <c r="E5106" t="s">
        <v>1969</v>
      </c>
      <c r="F5106">
        <v>1030</v>
      </c>
      <c r="G5106" t="s">
        <v>35</v>
      </c>
      <c r="H5106">
        <v>2045</v>
      </c>
      <c r="I5106" t="s">
        <v>35</v>
      </c>
      <c r="J5106">
        <v>3390</v>
      </c>
      <c r="K5106" t="s">
        <v>1746</v>
      </c>
      <c r="L5106">
        <v>0</v>
      </c>
      <c r="N5106" t="s">
        <v>721</v>
      </c>
      <c r="O5106">
        <v>8</v>
      </c>
      <c r="P5106">
        <v>7183</v>
      </c>
      <c r="Q5106" t="s">
        <v>986</v>
      </c>
      <c r="R5106" t="s">
        <v>713</v>
      </c>
      <c r="S5106">
        <v>28</v>
      </c>
      <c r="T5106">
        <v>1</v>
      </c>
      <c r="U5106">
        <v>48.73</v>
      </c>
      <c r="V5106">
        <v>2838035</v>
      </c>
    </row>
    <row r="5107" spans="1:22">
      <c r="A5107" t="s">
        <v>196</v>
      </c>
      <c r="B5107">
        <v>81</v>
      </c>
      <c r="C5107" t="s">
        <v>1699</v>
      </c>
      <c r="D5107">
        <v>300</v>
      </c>
      <c r="E5107" t="s">
        <v>1969</v>
      </c>
      <c r="F5107">
        <v>1030</v>
      </c>
      <c r="G5107" t="s">
        <v>35</v>
      </c>
      <c r="H5107">
        <v>2045</v>
      </c>
      <c r="I5107" t="s">
        <v>35</v>
      </c>
      <c r="J5107">
        <v>3390</v>
      </c>
      <c r="K5107" t="s">
        <v>1746</v>
      </c>
      <c r="L5107">
        <v>0</v>
      </c>
      <c r="N5107" t="s">
        <v>721</v>
      </c>
      <c r="O5107">
        <v>54</v>
      </c>
      <c r="P5107">
        <v>6329</v>
      </c>
      <c r="Q5107" t="s">
        <v>1729</v>
      </c>
      <c r="R5107" t="s">
        <v>713</v>
      </c>
      <c r="S5107">
        <v>2</v>
      </c>
      <c r="T5107">
        <v>1</v>
      </c>
      <c r="U5107">
        <v>26.28</v>
      </c>
      <c r="V5107">
        <v>109325</v>
      </c>
    </row>
    <row r="5108" spans="1:22">
      <c r="A5108" t="s">
        <v>196</v>
      </c>
      <c r="B5108">
        <v>81</v>
      </c>
      <c r="C5108" t="s">
        <v>1699</v>
      </c>
      <c r="D5108">
        <v>300</v>
      </c>
      <c r="E5108" t="s">
        <v>1969</v>
      </c>
      <c r="F5108">
        <v>1030</v>
      </c>
      <c r="G5108" t="s">
        <v>35</v>
      </c>
      <c r="H5108">
        <v>2045</v>
      </c>
      <c r="I5108" t="s">
        <v>35</v>
      </c>
      <c r="J5108">
        <v>3390</v>
      </c>
      <c r="K5108" t="s">
        <v>1746</v>
      </c>
      <c r="L5108">
        <v>0</v>
      </c>
      <c r="N5108" t="s">
        <v>721</v>
      </c>
      <c r="O5108">
        <v>54</v>
      </c>
      <c r="P5108">
        <v>6324</v>
      </c>
      <c r="Q5108" t="s">
        <v>1730</v>
      </c>
      <c r="R5108" t="s">
        <v>713</v>
      </c>
      <c r="S5108">
        <v>2</v>
      </c>
      <c r="T5108">
        <v>1</v>
      </c>
      <c r="U5108">
        <v>49.79</v>
      </c>
      <c r="V5108">
        <v>207126</v>
      </c>
    </row>
    <row r="5109" spans="1:22">
      <c r="A5109" t="s">
        <v>196</v>
      </c>
      <c r="B5109">
        <v>81</v>
      </c>
      <c r="C5109" t="s">
        <v>1699</v>
      </c>
      <c r="D5109">
        <v>300</v>
      </c>
      <c r="E5109" t="s">
        <v>1969</v>
      </c>
      <c r="F5109">
        <v>1030</v>
      </c>
      <c r="G5109" t="s">
        <v>35</v>
      </c>
      <c r="H5109">
        <v>2045</v>
      </c>
      <c r="I5109" t="s">
        <v>35</v>
      </c>
      <c r="J5109">
        <v>3390</v>
      </c>
      <c r="K5109" t="s">
        <v>1746</v>
      </c>
      <c r="L5109">
        <v>0</v>
      </c>
      <c r="N5109" t="s">
        <v>721</v>
      </c>
      <c r="O5109">
        <v>54</v>
      </c>
      <c r="P5109">
        <v>6324</v>
      </c>
      <c r="Q5109" t="s">
        <v>1730</v>
      </c>
      <c r="R5109" t="s">
        <v>713</v>
      </c>
      <c r="S5109">
        <v>22</v>
      </c>
      <c r="T5109">
        <v>1</v>
      </c>
      <c r="U5109">
        <v>47.79</v>
      </c>
      <c r="V5109">
        <v>2186870</v>
      </c>
    </row>
    <row r="5110" spans="1:22">
      <c r="A5110" t="s">
        <v>196</v>
      </c>
      <c r="B5110">
        <v>81</v>
      </c>
      <c r="C5110" t="s">
        <v>1699</v>
      </c>
      <c r="D5110">
        <v>300</v>
      </c>
      <c r="E5110" t="s">
        <v>1969</v>
      </c>
      <c r="F5110">
        <v>1030</v>
      </c>
      <c r="G5110" t="s">
        <v>35</v>
      </c>
      <c r="H5110">
        <v>2045</v>
      </c>
      <c r="I5110" t="s">
        <v>35</v>
      </c>
      <c r="J5110">
        <v>3390</v>
      </c>
      <c r="K5110" t="s">
        <v>1746</v>
      </c>
      <c r="L5110">
        <v>0</v>
      </c>
      <c r="N5110" t="s">
        <v>721</v>
      </c>
      <c r="O5110">
        <v>54</v>
      </c>
      <c r="P5110">
        <v>6324</v>
      </c>
      <c r="Q5110" t="s">
        <v>1730</v>
      </c>
      <c r="R5110" t="s">
        <v>713</v>
      </c>
      <c r="S5110">
        <v>2</v>
      </c>
      <c r="T5110">
        <v>1</v>
      </c>
      <c r="U5110">
        <v>43.01</v>
      </c>
      <c r="V5110">
        <v>178922</v>
      </c>
    </row>
    <row r="5111" spans="1:22">
      <c r="A5111" t="s">
        <v>196</v>
      </c>
      <c r="B5111">
        <v>81</v>
      </c>
      <c r="C5111" t="s">
        <v>1699</v>
      </c>
      <c r="D5111">
        <v>300</v>
      </c>
      <c r="E5111" t="s">
        <v>1969</v>
      </c>
      <c r="F5111">
        <v>1030</v>
      </c>
      <c r="G5111" t="s">
        <v>35</v>
      </c>
      <c r="H5111">
        <v>2045</v>
      </c>
      <c r="I5111" t="s">
        <v>35</v>
      </c>
      <c r="J5111">
        <v>3390</v>
      </c>
      <c r="K5111" t="s">
        <v>1746</v>
      </c>
      <c r="L5111">
        <v>0</v>
      </c>
      <c r="N5111" t="s">
        <v>721</v>
      </c>
      <c r="O5111">
        <v>54</v>
      </c>
      <c r="P5111">
        <v>6324</v>
      </c>
      <c r="Q5111" t="s">
        <v>1730</v>
      </c>
      <c r="R5111" t="s">
        <v>713</v>
      </c>
      <c r="S5111">
        <v>6</v>
      </c>
      <c r="T5111">
        <v>1</v>
      </c>
      <c r="U5111">
        <v>35.840000000000003</v>
      </c>
      <c r="V5111">
        <v>447283</v>
      </c>
    </row>
    <row r="5112" spans="1:22">
      <c r="A5112" t="s">
        <v>196</v>
      </c>
      <c r="B5112">
        <v>81</v>
      </c>
      <c r="C5112" t="s">
        <v>1699</v>
      </c>
      <c r="D5112">
        <v>300</v>
      </c>
      <c r="E5112" t="s">
        <v>1969</v>
      </c>
      <c r="F5112">
        <v>1030</v>
      </c>
      <c r="G5112" t="s">
        <v>35</v>
      </c>
      <c r="H5112">
        <v>2045</v>
      </c>
      <c r="I5112" t="s">
        <v>35</v>
      </c>
      <c r="J5112">
        <v>3390</v>
      </c>
      <c r="K5112" t="s">
        <v>1746</v>
      </c>
      <c r="L5112">
        <v>0</v>
      </c>
      <c r="N5112" t="s">
        <v>1314</v>
      </c>
      <c r="O5112">
        <v>0</v>
      </c>
      <c r="P5112" t="s">
        <v>1471</v>
      </c>
      <c r="Q5112" t="s">
        <v>605</v>
      </c>
      <c r="R5112" t="s">
        <v>201</v>
      </c>
      <c r="S5112">
        <v>1</v>
      </c>
      <c r="T5112">
        <v>1</v>
      </c>
      <c r="U5112">
        <v>133836</v>
      </c>
      <c r="V5112">
        <v>133836</v>
      </c>
    </row>
    <row r="5113" spans="1:22">
      <c r="A5113" t="s">
        <v>196</v>
      </c>
      <c r="B5113">
        <v>81</v>
      </c>
      <c r="C5113" t="s">
        <v>1699</v>
      </c>
      <c r="D5113">
        <v>300</v>
      </c>
      <c r="E5113" t="s">
        <v>1969</v>
      </c>
      <c r="F5113">
        <v>1030</v>
      </c>
      <c r="G5113" t="s">
        <v>35</v>
      </c>
      <c r="H5113">
        <v>2045</v>
      </c>
      <c r="I5113" t="s">
        <v>35</v>
      </c>
      <c r="J5113">
        <v>3390</v>
      </c>
      <c r="K5113" t="s">
        <v>1746</v>
      </c>
      <c r="L5113">
        <v>0</v>
      </c>
      <c r="N5113" t="s">
        <v>199</v>
      </c>
      <c r="O5113">
        <v>0</v>
      </c>
      <c r="P5113">
        <v>12</v>
      </c>
      <c r="Q5113" t="s">
        <v>724</v>
      </c>
      <c r="R5113" t="s">
        <v>201</v>
      </c>
      <c r="S5113">
        <v>0</v>
      </c>
      <c r="T5113">
        <v>0</v>
      </c>
      <c r="U5113">
        <v>114410</v>
      </c>
      <c r="V5113">
        <v>114410</v>
      </c>
    </row>
    <row r="5114" spans="1:22">
      <c r="A5114" t="s">
        <v>196</v>
      </c>
      <c r="B5114">
        <v>81</v>
      </c>
      <c r="C5114" t="s">
        <v>1699</v>
      </c>
      <c r="D5114">
        <v>300</v>
      </c>
      <c r="E5114" t="s">
        <v>1969</v>
      </c>
      <c r="F5114">
        <v>1050</v>
      </c>
      <c r="G5114" t="s">
        <v>44</v>
      </c>
      <c r="H5114">
        <v>2070</v>
      </c>
      <c r="I5114" t="s">
        <v>44</v>
      </c>
      <c r="J5114">
        <v>3211</v>
      </c>
      <c r="K5114" t="s">
        <v>309</v>
      </c>
      <c r="L5114">
        <v>4100</v>
      </c>
      <c r="M5114" t="s">
        <v>1988</v>
      </c>
      <c r="N5114" t="s">
        <v>1294</v>
      </c>
      <c r="O5114">
        <v>0</v>
      </c>
      <c r="P5114">
        <v>9681</v>
      </c>
      <c r="Q5114" t="s">
        <v>338</v>
      </c>
      <c r="R5114" t="s">
        <v>201</v>
      </c>
      <c r="S5114">
        <v>1</v>
      </c>
      <c r="T5114">
        <v>1</v>
      </c>
      <c r="U5114">
        <v>192852</v>
      </c>
      <c r="V5114">
        <v>192852</v>
      </c>
    </row>
    <row r="5115" spans="1:22">
      <c r="A5115" t="s">
        <v>196</v>
      </c>
      <c r="B5115">
        <v>81</v>
      </c>
      <c r="C5115" t="s">
        <v>1699</v>
      </c>
      <c r="D5115">
        <v>300</v>
      </c>
      <c r="E5115" t="s">
        <v>1969</v>
      </c>
      <c r="F5115">
        <v>1050</v>
      </c>
      <c r="G5115" t="s">
        <v>44</v>
      </c>
      <c r="H5115">
        <v>2070</v>
      </c>
      <c r="I5115" t="s">
        <v>44</v>
      </c>
      <c r="J5115">
        <v>3211</v>
      </c>
      <c r="K5115" t="s">
        <v>309</v>
      </c>
      <c r="L5115">
        <v>4100</v>
      </c>
      <c r="M5115" t="s">
        <v>1988</v>
      </c>
      <c r="N5115" t="s">
        <v>1719</v>
      </c>
      <c r="O5115">
        <v>10</v>
      </c>
      <c r="P5115">
        <v>8184</v>
      </c>
      <c r="Q5115" t="s">
        <v>1720</v>
      </c>
      <c r="R5115" t="s">
        <v>201</v>
      </c>
      <c r="S5115">
        <v>1</v>
      </c>
      <c r="T5115">
        <v>1</v>
      </c>
      <c r="U5115">
        <v>143232</v>
      </c>
      <c r="V5115">
        <v>143232</v>
      </c>
    </row>
    <row r="5116" spans="1:22">
      <c r="A5116" t="s">
        <v>196</v>
      </c>
      <c r="B5116">
        <v>81</v>
      </c>
      <c r="C5116" t="s">
        <v>1699</v>
      </c>
      <c r="D5116">
        <v>300</v>
      </c>
      <c r="E5116" t="s">
        <v>1969</v>
      </c>
      <c r="F5116">
        <v>1050</v>
      </c>
      <c r="G5116" t="s">
        <v>44</v>
      </c>
      <c r="H5116">
        <v>2070</v>
      </c>
      <c r="I5116" t="s">
        <v>44</v>
      </c>
      <c r="J5116">
        <v>3211</v>
      </c>
      <c r="K5116" t="s">
        <v>309</v>
      </c>
      <c r="L5116">
        <v>4100</v>
      </c>
      <c r="M5116" t="s">
        <v>1988</v>
      </c>
      <c r="N5116" t="s">
        <v>268</v>
      </c>
      <c r="O5116">
        <v>10</v>
      </c>
      <c r="P5116">
        <v>1310</v>
      </c>
      <c r="Q5116" t="s">
        <v>787</v>
      </c>
      <c r="R5116" t="s">
        <v>201</v>
      </c>
      <c r="S5116">
        <v>1</v>
      </c>
      <c r="T5116">
        <v>1</v>
      </c>
      <c r="U5116">
        <v>108432</v>
      </c>
      <c r="V5116">
        <v>108432</v>
      </c>
    </row>
    <row r="5117" spans="1:22">
      <c r="A5117" t="s">
        <v>196</v>
      </c>
      <c r="B5117">
        <v>81</v>
      </c>
      <c r="C5117" t="s">
        <v>1699</v>
      </c>
      <c r="D5117">
        <v>300</v>
      </c>
      <c r="E5117" t="s">
        <v>1969</v>
      </c>
      <c r="F5117">
        <v>1050</v>
      </c>
      <c r="G5117" t="s">
        <v>44</v>
      </c>
      <c r="H5117">
        <v>2070</v>
      </c>
      <c r="I5117" t="s">
        <v>44</v>
      </c>
      <c r="J5117">
        <v>3211</v>
      </c>
      <c r="K5117" t="s">
        <v>309</v>
      </c>
      <c r="L5117">
        <v>4100</v>
      </c>
      <c r="M5117" t="s">
        <v>1988</v>
      </c>
      <c r="N5117" t="s">
        <v>809</v>
      </c>
      <c r="O5117">
        <v>1</v>
      </c>
      <c r="P5117">
        <v>460</v>
      </c>
      <c r="Q5117" t="s">
        <v>810</v>
      </c>
      <c r="R5117" t="s">
        <v>201</v>
      </c>
      <c r="S5117">
        <v>1</v>
      </c>
      <c r="T5117">
        <v>1</v>
      </c>
      <c r="U5117">
        <v>47364</v>
      </c>
      <c r="V5117">
        <v>47364</v>
      </c>
    </row>
    <row r="5118" spans="1:22">
      <c r="A5118" t="s">
        <v>196</v>
      </c>
      <c r="B5118">
        <v>81</v>
      </c>
      <c r="C5118" t="s">
        <v>1699</v>
      </c>
      <c r="D5118">
        <v>300</v>
      </c>
      <c r="E5118" t="s">
        <v>1969</v>
      </c>
      <c r="F5118">
        <v>1050</v>
      </c>
      <c r="G5118" t="s">
        <v>44</v>
      </c>
      <c r="H5118">
        <v>2070</v>
      </c>
      <c r="I5118" t="s">
        <v>44</v>
      </c>
      <c r="J5118">
        <v>3211</v>
      </c>
      <c r="K5118" t="s">
        <v>309</v>
      </c>
      <c r="L5118">
        <v>4100</v>
      </c>
      <c r="M5118" t="s">
        <v>1988</v>
      </c>
      <c r="N5118" t="s">
        <v>351</v>
      </c>
      <c r="O5118">
        <v>1</v>
      </c>
      <c r="P5118" t="s">
        <v>352</v>
      </c>
      <c r="Q5118" t="s">
        <v>353</v>
      </c>
      <c r="R5118" t="s">
        <v>201</v>
      </c>
      <c r="S5118">
        <v>1</v>
      </c>
      <c r="T5118">
        <v>1</v>
      </c>
      <c r="U5118">
        <v>67608</v>
      </c>
      <c r="V5118">
        <v>67608</v>
      </c>
    </row>
    <row r="5119" spans="1:22">
      <c r="A5119" t="s">
        <v>196</v>
      </c>
      <c r="B5119">
        <v>81</v>
      </c>
      <c r="C5119" t="s">
        <v>1699</v>
      </c>
      <c r="D5119">
        <v>300</v>
      </c>
      <c r="E5119" t="s">
        <v>1969</v>
      </c>
      <c r="F5119">
        <v>1050</v>
      </c>
      <c r="G5119" t="s">
        <v>44</v>
      </c>
      <c r="H5119">
        <v>2070</v>
      </c>
      <c r="I5119" t="s">
        <v>44</v>
      </c>
      <c r="J5119">
        <v>3211</v>
      </c>
      <c r="K5119" t="s">
        <v>309</v>
      </c>
      <c r="L5119">
        <v>4100</v>
      </c>
      <c r="M5119" t="s">
        <v>1988</v>
      </c>
      <c r="N5119" t="s">
        <v>341</v>
      </c>
      <c r="O5119">
        <v>1</v>
      </c>
      <c r="P5119">
        <v>308</v>
      </c>
      <c r="Q5119" t="s">
        <v>355</v>
      </c>
      <c r="R5119" t="s">
        <v>201</v>
      </c>
      <c r="S5119">
        <v>2</v>
      </c>
      <c r="T5119">
        <v>1</v>
      </c>
      <c r="U5119">
        <v>77640</v>
      </c>
      <c r="V5119">
        <v>155280</v>
      </c>
    </row>
    <row r="5120" spans="1:22">
      <c r="A5120" t="s">
        <v>196</v>
      </c>
      <c r="B5120">
        <v>81</v>
      </c>
      <c r="C5120" t="s">
        <v>1699</v>
      </c>
      <c r="D5120">
        <v>300</v>
      </c>
      <c r="E5120" t="s">
        <v>1969</v>
      </c>
      <c r="F5120">
        <v>1050</v>
      </c>
      <c r="G5120" t="s">
        <v>44</v>
      </c>
      <c r="H5120">
        <v>2070</v>
      </c>
      <c r="I5120" t="s">
        <v>44</v>
      </c>
      <c r="J5120">
        <v>3211</v>
      </c>
      <c r="K5120" t="s">
        <v>309</v>
      </c>
      <c r="L5120">
        <v>4100</v>
      </c>
      <c r="M5120" t="s">
        <v>1988</v>
      </c>
      <c r="N5120" t="s">
        <v>1314</v>
      </c>
      <c r="O5120">
        <v>0</v>
      </c>
      <c r="P5120">
        <v>112</v>
      </c>
      <c r="Q5120" t="s">
        <v>358</v>
      </c>
      <c r="R5120" t="s">
        <v>201</v>
      </c>
      <c r="S5120">
        <v>1</v>
      </c>
      <c r="T5120">
        <v>1</v>
      </c>
      <c r="U5120">
        <v>167700</v>
      </c>
      <c r="V5120">
        <v>167700</v>
      </c>
    </row>
    <row r="5121" spans="1:22">
      <c r="A5121" t="s">
        <v>196</v>
      </c>
      <c r="B5121">
        <v>81</v>
      </c>
      <c r="C5121" t="s">
        <v>1699</v>
      </c>
      <c r="D5121">
        <v>300</v>
      </c>
      <c r="E5121" t="s">
        <v>1969</v>
      </c>
      <c r="F5121">
        <v>1050</v>
      </c>
      <c r="G5121" t="s">
        <v>44</v>
      </c>
      <c r="H5121">
        <v>2070</v>
      </c>
      <c r="I5121" t="s">
        <v>44</v>
      </c>
      <c r="J5121">
        <v>3211</v>
      </c>
      <c r="K5121" t="s">
        <v>309</v>
      </c>
      <c r="L5121">
        <v>4100</v>
      </c>
      <c r="M5121" t="s">
        <v>1988</v>
      </c>
      <c r="N5121" t="s">
        <v>199</v>
      </c>
      <c r="O5121">
        <v>0</v>
      </c>
      <c r="P5121">
        <v>15</v>
      </c>
      <c r="Q5121" t="s">
        <v>264</v>
      </c>
      <c r="R5121" t="s">
        <v>201</v>
      </c>
      <c r="S5121">
        <v>0</v>
      </c>
      <c r="T5121">
        <v>0</v>
      </c>
      <c r="U5121">
        <v>12236</v>
      </c>
      <c r="V5121">
        <v>12236</v>
      </c>
    </row>
    <row r="5122" spans="1:22">
      <c r="A5122" t="s">
        <v>196</v>
      </c>
      <c r="B5122">
        <v>81</v>
      </c>
      <c r="C5122" t="s">
        <v>1699</v>
      </c>
      <c r="D5122">
        <v>300</v>
      </c>
      <c r="E5122" t="s">
        <v>1969</v>
      </c>
      <c r="F5122">
        <v>1050</v>
      </c>
      <c r="G5122" t="s">
        <v>44</v>
      </c>
      <c r="H5122">
        <v>2070</v>
      </c>
      <c r="I5122" t="s">
        <v>44</v>
      </c>
      <c r="J5122">
        <v>3214</v>
      </c>
      <c r="K5122" t="s">
        <v>1989</v>
      </c>
      <c r="L5122">
        <v>0</v>
      </c>
      <c r="N5122" t="s">
        <v>721</v>
      </c>
      <c r="O5122">
        <v>8</v>
      </c>
      <c r="P5122">
        <v>7184</v>
      </c>
      <c r="Q5122" t="s">
        <v>1728</v>
      </c>
      <c r="R5122" t="s">
        <v>713</v>
      </c>
      <c r="S5122">
        <v>5</v>
      </c>
      <c r="T5122">
        <v>1</v>
      </c>
      <c r="U5122">
        <v>48.73</v>
      </c>
      <c r="V5122">
        <v>506792</v>
      </c>
    </row>
    <row r="5123" spans="1:22">
      <c r="A5123" t="s">
        <v>196</v>
      </c>
      <c r="B5123">
        <v>81</v>
      </c>
      <c r="C5123" t="s">
        <v>1699</v>
      </c>
      <c r="D5123">
        <v>300</v>
      </c>
      <c r="E5123" t="s">
        <v>1969</v>
      </c>
      <c r="F5123">
        <v>1050</v>
      </c>
      <c r="G5123" t="s">
        <v>44</v>
      </c>
      <c r="H5123">
        <v>2070</v>
      </c>
      <c r="I5123" t="s">
        <v>44</v>
      </c>
      <c r="J5123">
        <v>3214</v>
      </c>
      <c r="K5123" t="s">
        <v>1989</v>
      </c>
      <c r="L5123">
        <v>0</v>
      </c>
      <c r="N5123" t="s">
        <v>721</v>
      </c>
      <c r="O5123">
        <v>8</v>
      </c>
      <c r="P5123">
        <v>7183</v>
      </c>
      <c r="Q5123" t="s">
        <v>986</v>
      </c>
      <c r="R5123" t="s">
        <v>713</v>
      </c>
      <c r="S5123">
        <v>2</v>
      </c>
      <c r="T5123">
        <v>1</v>
      </c>
      <c r="U5123">
        <v>49.46</v>
      </c>
      <c r="V5123">
        <v>205754</v>
      </c>
    </row>
    <row r="5124" spans="1:22">
      <c r="A5124" t="s">
        <v>196</v>
      </c>
      <c r="B5124">
        <v>81</v>
      </c>
      <c r="C5124" t="s">
        <v>1699</v>
      </c>
      <c r="D5124">
        <v>300</v>
      </c>
      <c r="E5124" t="s">
        <v>1969</v>
      </c>
      <c r="F5124">
        <v>1050</v>
      </c>
      <c r="G5124" t="s">
        <v>44</v>
      </c>
      <c r="H5124">
        <v>2070</v>
      </c>
      <c r="I5124" t="s">
        <v>44</v>
      </c>
      <c r="J5124">
        <v>3214</v>
      </c>
      <c r="K5124" t="s">
        <v>1989</v>
      </c>
      <c r="L5124">
        <v>0</v>
      </c>
      <c r="N5124" t="s">
        <v>721</v>
      </c>
      <c r="O5124">
        <v>8</v>
      </c>
      <c r="P5124">
        <v>7183</v>
      </c>
      <c r="Q5124" t="s">
        <v>986</v>
      </c>
      <c r="R5124" t="s">
        <v>713</v>
      </c>
      <c r="S5124">
        <v>15</v>
      </c>
      <c r="T5124">
        <v>1</v>
      </c>
      <c r="U5124">
        <v>48.73</v>
      </c>
      <c r="V5124">
        <v>1520376</v>
      </c>
    </row>
    <row r="5125" spans="1:22">
      <c r="A5125" t="s">
        <v>196</v>
      </c>
      <c r="B5125">
        <v>81</v>
      </c>
      <c r="C5125" t="s">
        <v>1699</v>
      </c>
      <c r="D5125">
        <v>300</v>
      </c>
      <c r="E5125" t="s">
        <v>1969</v>
      </c>
      <c r="F5125">
        <v>1050</v>
      </c>
      <c r="G5125" t="s">
        <v>44</v>
      </c>
      <c r="H5125">
        <v>2070</v>
      </c>
      <c r="I5125" t="s">
        <v>44</v>
      </c>
      <c r="J5125">
        <v>3214</v>
      </c>
      <c r="K5125" t="s">
        <v>1989</v>
      </c>
      <c r="L5125">
        <v>0</v>
      </c>
      <c r="N5125" t="s">
        <v>721</v>
      </c>
      <c r="O5125">
        <v>54</v>
      </c>
      <c r="P5125">
        <v>6324</v>
      </c>
      <c r="Q5125" t="s">
        <v>1730</v>
      </c>
      <c r="R5125" t="s">
        <v>713</v>
      </c>
      <c r="S5125">
        <v>1</v>
      </c>
      <c r="T5125">
        <v>1</v>
      </c>
      <c r="U5125">
        <v>49.79</v>
      </c>
      <c r="V5125">
        <v>103563</v>
      </c>
    </row>
    <row r="5126" spans="1:22">
      <c r="A5126" t="s">
        <v>196</v>
      </c>
      <c r="B5126">
        <v>81</v>
      </c>
      <c r="C5126" t="s">
        <v>1699</v>
      </c>
      <c r="D5126">
        <v>300</v>
      </c>
      <c r="E5126" t="s">
        <v>1969</v>
      </c>
      <c r="F5126">
        <v>1050</v>
      </c>
      <c r="G5126" t="s">
        <v>44</v>
      </c>
      <c r="H5126">
        <v>2070</v>
      </c>
      <c r="I5126" t="s">
        <v>44</v>
      </c>
      <c r="J5126">
        <v>3214</v>
      </c>
      <c r="K5126" t="s">
        <v>1989</v>
      </c>
      <c r="L5126">
        <v>0</v>
      </c>
      <c r="N5126" t="s">
        <v>721</v>
      </c>
      <c r="O5126">
        <v>54</v>
      </c>
      <c r="P5126">
        <v>6324</v>
      </c>
      <c r="Q5126" t="s">
        <v>1730</v>
      </c>
      <c r="R5126" t="s">
        <v>713</v>
      </c>
      <c r="S5126">
        <v>5</v>
      </c>
      <c r="T5126">
        <v>1</v>
      </c>
      <c r="U5126">
        <v>47.79</v>
      </c>
      <c r="V5126">
        <v>497016</v>
      </c>
    </row>
    <row r="5127" spans="1:22">
      <c r="A5127" t="s">
        <v>196</v>
      </c>
      <c r="B5127">
        <v>81</v>
      </c>
      <c r="C5127" t="s">
        <v>1699</v>
      </c>
      <c r="D5127">
        <v>300</v>
      </c>
      <c r="E5127" t="s">
        <v>1969</v>
      </c>
      <c r="F5127">
        <v>1050</v>
      </c>
      <c r="G5127" t="s">
        <v>44</v>
      </c>
      <c r="H5127">
        <v>2070</v>
      </c>
      <c r="I5127" t="s">
        <v>44</v>
      </c>
      <c r="J5127">
        <v>3214</v>
      </c>
      <c r="K5127" t="s">
        <v>1989</v>
      </c>
      <c r="L5127">
        <v>0</v>
      </c>
      <c r="N5127" t="s">
        <v>1704</v>
      </c>
      <c r="O5127">
        <v>54</v>
      </c>
      <c r="P5127">
        <v>6295</v>
      </c>
      <c r="Q5127" t="s">
        <v>1990</v>
      </c>
      <c r="R5127" t="s">
        <v>201</v>
      </c>
      <c r="S5127">
        <v>1</v>
      </c>
      <c r="T5127">
        <v>1</v>
      </c>
      <c r="U5127">
        <v>90108</v>
      </c>
      <c r="V5127">
        <v>90108</v>
      </c>
    </row>
    <row r="5128" spans="1:22">
      <c r="A5128" t="s">
        <v>196</v>
      </c>
      <c r="B5128">
        <v>81</v>
      </c>
      <c r="C5128" t="s">
        <v>1699</v>
      </c>
      <c r="D5128">
        <v>300</v>
      </c>
      <c r="E5128" t="s">
        <v>1969</v>
      </c>
      <c r="F5128">
        <v>1050</v>
      </c>
      <c r="G5128" t="s">
        <v>44</v>
      </c>
      <c r="H5128">
        <v>2070</v>
      </c>
      <c r="I5128" t="s">
        <v>44</v>
      </c>
      <c r="J5128">
        <v>3214</v>
      </c>
      <c r="K5128" t="s">
        <v>1989</v>
      </c>
      <c r="L5128">
        <v>0</v>
      </c>
      <c r="N5128" t="s">
        <v>1724</v>
      </c>
      <c r="O5128">
        <v>54</v>
      </c>
      <c r="P5128">
        <v>441</v>
      </c>
      <c r="Q5128" t="s">
        <v>1725</v>
      </c>
      <c r="R5128" t="s">
        <v>201</v>
      </c>
      <c r="S5128">
        <v>1</v>
      </c>
      <c r="T5128">
        <v>1</v>
      </c>
      <c r="U5128">
        <v>58728</v>
      </c>
      <c r="V5128">
        <v>58728</v>
      </c>
    </row>
    <row r="5129" spans="1:22">
      <c r="A5129" t="s">
        <v>196</v>
      </c>
      <c r="B5129">
        <v>81</v>
      </c>
      <c r="C5129" t="s">
        <v>1699</v>
      </c>
      <c r="D5129">
        <v>300</v>
      </c>
      <c r="E5129" t="s">
        <v>1969</v>
      </c>
      <c r="F5129">
        <v>1050</v>
      </c>
      <c r="G5129" t="s">
        <v>44</v>
      </c>
      <c r="H5129">
        <v>2070</v>
      </c>
      <c r="I5129" t="s">
        <v>44</v>
      </c>
      <c r="J5129">
        <v>3214</v>
      </c>
      <c r="K5129" t="s">
        <v>1989</v>
      </c>
      <c r="L5129">
        <v>0</v>
      </c>
      <c r="N5129" t="s">
        <v>351</v>
      </c>
      <c r="O5129">
        <v>1</v>
      </c>
      <c r="P5129" t="s">
        <v>352</v>
      </c>
      <c r="Q5129" t="s">
        <v>353</v>
      </c>
      <c r="R5129" t="s">
        <v>201</v>
      </c>
      <c r="S5129">
        <v>1</v>
      </c>
      <c r="T5129">
        <v>1</v>
      </c>
      <c r="U5129">
        <v>70752</v>
      </c>
      <c r="V5129">
        <v>70752</v>
      </c>
    </row>
    <row r="5130" spans="1:22">
      <c r="A5130" t="s">
        <v>196</v>
      </c>
      <c r="B5130">
        <v>81</v>
      </c>
      <c r="C5130" t="s">
        <v>1699</v>
      </c>
      <c r="D5130">
        <v>300</v>
      </c>
      <c r="E5130" t="s">
        <v>1969</v>
      </c>
      <c r="F5130">
        <v>1050</v>
      </c>
      <c r="G5130" t="s">
        <v>44</v>
      </c>
      <c r="H5130">
        <v>2070</v>
      </c>
      <c r="I5130" t="s">
        <v>44</v>
      </c>
      <c r="J5130">
        <v>3214</v>
      </c>
      <c r="K5130" t="s">
        <v>1989</v>
      </c>
      <c r="L5130">
        <v>0</v>
      </c>
      <c r="N5130" t="s">
        <v>199</v>
      </c>
      <c r="O5130">
        <v>0</v>
      </c>
      <c r="P5130">
        <v>15</v>
      </c>
      <c r="Q5130" t="s">
        <v>264</v>
      </c>
      <c r="R5130" t="s">
        <v>201</v>
      </c>
      <c r="S5130">
        <v>0</v>
      </c>
      <c r="T5130">
        <v>0</v>
      </c>
      <c r="U5130">
        <v>4121</v>
      </c>
      <c r="V5130">
        <v>4121</v>
      </c>
    </row>
    <row r="5131" spans="1:22">
      <c r="A5131" t="s">
        <v>196</v>
      </c>
      <c r="B5131">
        <v>81</v>
      </c>
      <c r="C5131" t="s">
        <v>1699</v>
      </c>
      <c r="D5131">
        <v>300</v>
      </c>
      <c r="E5131" t="s">
        <v>1969</v>
      </c>
      <c r="F5131">
        <v>1050</v>
      </c>
      <c r="G5131" t="s">
        <v>44</v>
      </c>
      <c r="H5131">
        <v>2070</v>
      </c>
      <c r="I5131" t="s">
        <v>44</v>
      </c>
      <c r="J5131">
        <v>3214</v>
      </c>
      <c r="K5131" t="s">
        <v>1989</v>
      </c>
      <c r="L5131">
        <v>0</v>
      </c>
      <c r="N5131" t="s">
        <v>199</v>
      </c>
      <c r="O5131">
        <v>0</v>
      </c>
      <c r="P5131">
        <v>12</v>
      </c>
      <c r="Q5131" t="s">
        <v>724</v>
      </c>
      <c r="R5131" t="s">
        <v>201</v>
      </c>
      <c r="S5131">
        <v>0</v>
      </c>
      <c r="T5131">
        <v>0</v>
      </c>
      <c r="U5131">
        <v>42502</v>
      </c>
      <c r="V5131">
        <v>42502</v>
      </c>
    </row>
    <row r="5132" spans="1:22">
      <c r="A5132" t="s">
        <v>196</v>
      </c>
      <c r="B5132">
        <v>81</v>
      </c>
      <c r="C5132" t="s">
        <v>1699</v>
      </c>
      <c r="D5132">
        <v>300</v>
      </c>
      <c r="E5132" t="s">
        <v>1969</v>
      </c>
      <c r="F5132">
        <v>1050</v>
      </c>
      <c r="G5132" t="s">
        <v>44</v>
      </c>
      <c r="H5132">
        <v>2070</v>
      </c>
      <c r="I5132" t="s">
        <v>44</v>
      </c>
      <c r="J5132">
        <v>3217</v>
      </c>
      <c r="K5132" t="s">
        <v>1991</v>
      </c>
      <c r="L5132">
        <v>4155</v>
      </c>
      <c r="M5132" t="s">
        <v>1992</v>
      </c>
      <c r="N5132" t="s">
        <v>731</v>
      </c>
      <c r="O5132">
        <v>10</v>
      </c>
      <c r="P5132">
        <v>8185</v>
      </c>
      <c r="Q5132" t="s">
        <v>1701</v>
      </c>
      <c r="R5132" t="s">
        <v>201</v>
      </c>
      <c r="S5132">
        <v>1</v>
      </c>
      <c r="T5132">
        <v>1</v>
      </c>
      <c r="U5132">
        <v>157212</v>
      </c>
      <c r="V5132">
        <v>157212</v>
      </c>
    </row>
    <row r="5133" spans="1:22">
      <c r="A5133" t="s">
        <v>196</v>
      </c>
      <c r="B5133">
        <v>81</v>
      </c>
      <c r="C5133" t="s">
        <v>1699</v>
      </c>
      <c r="D5133">
        <v>300</v>
      </c>
      <c r="E5133" t="s">
        <v>1969</v>
      </c>
      <c r="F5133">
        <v>1050</v>
      </c>
      <c r="G5133" t="s">
        <v>44</v>
      </c>
      <c r="H5133">
        <v>2070</v>
      </c>
      <c r="I5133" t="s">
        <v>44</v>
      </c>
      <c r="J5133">
        <v>3217</v>
      </c>
      <c r="K5133" t="s">
        <v>1991</v>
      </c>
      <c r="L5133">
        <v>4155</v>
      </c>
      <c r="M5133" t="s">
        <v>1992</v>
      </c>
      <c r="N5133" t="s">
        <v>731</v>
      </c>
      <c r="O5133">
        <v>10</v>
      </c>
      <c r="P5133">
        <v>8185</v>
      </c>
      <c r="Q5133" t="s">
        <v>1701</v>
      </c>
      <c r="R5133" t="s">
        <v>201</v>
      </c>
      <c r="S5133">
        <v>1</v>
      </c>
      <c r="T5133">
        <v>1</v>
      </c>
      <c r="U5133">
        <v>112440</v>
      </c>
      <c r="V5133">
        <v>112440</v>
      </c>
    </row>
    <row r="5134" spans="1:22">
      <c r="A5134" t="s">
        <v>196</v>
      </c>
      <c r="B5134">
        <v>81</v>
      </c>
      <c r="C5134" t="s">
        <v>1699</v>
      </c>
      <c r="D5134">
        <v>300</v>
      </c>
      <c r="E5134" t="s">
        <v>1969</v>
      </c>
      <c r="F5134">
        <v>1050</v>
      </c>
      <c r="G5134" t="s">
        <v>44</v>
      </c>
      <c r="H5134">
        <v>2070</v>
      </c>
      <c r="I5134" t="s">
        <v>44</v>
      </c>
      <c r="J5134">
        <v>3217</v>
      </c>
      <c r="K5134" t="s">
        <v>1991</v>
      </c>
      <c r="L5134">
        <v>4155</v>
      </c>
      <c r="M5134" t="s">
        <v>1992</v>
      </c>
      <c r="N5134" t="s">
        <v>1704</v>
      </c>
      <c r="O5134">
        <v>54</v>
      </c>
      <c r="P5134">
        <v>8105</v>
      </c>
      <c r="Q5134" t="s">
        <v>1707</v>
      </c>
      <c r="R5134" t="s">
        <v>201</v>
      </c>
      <c r="S5134">
        <v>1</v>
      </c>
      <c r="T5134">
        <v>1</v>
      </c>
      <c r="U5134">
        <v>113592</v>
      </c>
      <c r="V5134">
        <v>113592</v>
      </c>
    </row>
    <row r="5135" spans="1:22">
      <c r="A5135" t="s">
        <v>196</v>
      </c>
      <c r="B5135">
        <v>81</v>
      </c>
      <c r="C5135" t="s">
        <v>1699</v>
      </c>
      <c r="D5135">
        <v>300</v>
      </c>
      <c r="E5135" t="s">
        <v>1969</v>
      </c>
      <c r="F5135">
        <v>1050</v>
      </c>
      <c r="G5135" t="s">
        <v>44</v>
      </c>
      <c r="H5135">
        <v>2070</v>
      </c>
      <c r="I5135" t="s">
        <v>44</v>
      </c>
      <c r="J5135">
        <v>3217</v>
      </c>
      <c r="K5135" t="s">
        <v>1991</v>
      </c>
      <c r="L5135">
        <v>4155</v>
      </c>
      <c r="M5135" t="s">
        <v>1992</v>
      </c>
      <c r="N5135" t="s">
        <v>1704</v>
      </c>
      <c r="O5135">
        <v>54</v>
      </c>
      <c r="P5135">
        <v>8105</v>
      </c>
      <c r="Q5135" t="s">
        <v>1707</v>
      </c>
      <c r="R5135" t="s">
        <v>201</v>
      </c>
      <c r="S5135">
        <v>4</v>
      </c>
      <c r="T5135">
        <v>1</v>
      </c>
      <c r="U5135">
        <v>108528</v>
      </c>
      <c r="V5135">
        <v>434112</v>
      </c>
    </row>
    <row r="5136" spans="1:22">
      <c r="A5136" t="s">
        <v>196</v>
      </c>
      <c r="B5136">
        <v>81</v>
      </c>
      <c r="C5136" t="s">
        <v>1699</v>
      </c>
      <c r="D5136">
        <v>300</v>
      </c>
      <c r="E5136" t="s">
        <v>1969</v>
      </c>
      <c r="F5136">
        <v>1050</v>
      </c>
      <c r="G5136" t="s">
        <v>44</v>
      </c>
      <c r="H5136">
        <v>2070</v>
      </c>
      <c r="I5136" t="s">
        <v>44</v>
      </c>
      <c r="J5136">
        <v>3217</v>
      </c>
      <c r="K5136" t="s">
        <v>1991</v>
      </c>
      <c r="L5136">
        <v>4155</v>
      </c>
      <c r="M5136" t="s">
        <v>1992</v>
      </c>
      <c r="N5136" t="s">
        <v>1704</v>
      </c>
      <c r="O5136">
        <v>54</v>
      </c>
      <c r="P5136">
        <v>8105</v>
      </c>
      <c r="Q5136" t="s">
        <v>1707</v>
      </c>
      <c r="R5136" t="s">
        <v>201</v>
      </c>
      <c r="S5136">
        <v>2</v>
      </c>
      <c r="T5136">
        <v>1</v>
      </c>
      <c r="U5136">
        <v>103572</v>
      </c>
      <c r="V5136">
        <v>207144</v>
      </c>
    </row>
    <row r="5137" spans="1:22">
      <c r="A5137" t="s">
        <v>196</v>
      </c>
      <c r="B5137">
        <v>81</v>
      </c>
      <c r="C5137" t="s">
        <v>1699</v>
      </c>
      <c r="D5137">
        <v>300</v>
      </c>
      <c r="E5137" t="s">
        <v>1969</v>
      </c>
      <c r="F5137">
        <v>1050</v>
      </c>
      <c r="G5137" t="s">
        <v>44</v>
      </c>
      <c r="H5137">
        <v>2070</v>
      </c>
      <c r="I5137" t="s">
        <v>44</v>
      </c>
      <c r="J5137">
        <v>3217</v>
      </c>
      <c r="K5137" t="s">
        <v>1991</v>
      </c>
      <c r="L5137">
        <v>4155</v>
      </c>
      <c r="M5137" t="s">
        <v>1992</v>
      </c>
      <c r="N5137" t="s">
        <v>1704</v>
      </c>
      <c r="O5137">
        <v>54</v>
      </c>
      <c r="P5137">
        <v>8105</v>
      </c>
      <c r="Q5137" t="s">
        <v>1707</v>
      </c>
      <c r="R5137" t="s">
        <v>201</v>
      </c>
      <c r="S5137">
        <v>1</v>
      </c>
      <c r="T5137">
        <v>1</v>
      </c>
      <c r="U5137">
        <v>85176</v>
      </c>
      <c r="V5137">
        <v>85176</v>
      </c>
    </row>
    <row r="5138" spans="1:22">
      <c r="A5138" t="s">
        <v>196</v>
      </c>
      <c r="B5138">
        <v>81</v>
      </c>
      <c r="C5138" t="s">
        <v>1699</v>
      </c>
      <c r="D5138">
        <v>300</v>
      </c>
      <c r="E5138" t="s">
        <v>1969</v>
      </c>
      <c r="F5138">
        <v>1050</v>
      </c>
      <c r="G5138" t="s">
        <v>44</v>
      </c>
      <c r="H5138">
        <v>2070</v>
      </c>
      <c r="I5138" t="s">
        <v>44</v>
      </c>
      <c r="J5138">
        <v>3217</v>
      </c>
      <c r="K5138" t="s">
        <v>1991</v>
      </c>
      <c r="L5138">
        <v>4155</v>
      </c>
      <c r="M5138" t="s">
        <v>1992</v>
      </c>
      <c r="N5138" t="s">
        <v>1704</v>
      </c>
      <c r="O5138">
        <v>54</v>
      </c>
      <c r="P5138">
        <v>8105</v>
      </c>
      <c r="Q5138" t="s">
        <v>1707</v>
      </c>
      <c r="R5138" t="s">
        <v>201</v>
      </c>
      <c r="S5138">
        <v>2</v>
      </c>
      <c r="T5138">
        <v>1</v>
      </c>
      <c r="U5138">
        <v>81276</v>
      </c>
      <c r="V5138">
        <v>162552</v>
      </c>
    </row>
    <row r="5139" spans="1:22">
      <c r="A5139" t="s">
        <v>196</v>
      </c>
      <c r="B5139">
        <v>81</v>
      </c>
      <c r="C5139" t="s">
        <v>1699</v>
      </c>
      <c r="D5139">
        <v>300</v>
      </c>
      <c r="E5139" t="s">
        <v>1969</v>
      </c>
      <c r="F5139">
        <v>1050</v>
      </c>
      <c r="G5139" t="s">
        <v>44</v>
      </c>
      <c r="H5139">
        <v>2070</v>
      </c>
      <c r="I5139" t="s">
        <v>44</v>
      </c>
      <c r="J5139">
        <v>3217</v>
      </c>
      <c r="K5139" t="s">
        <v>1991</v>
      </c>
      <c r="L5139">
        <v>4155</v>
      </c>
      <c r="M5139" t="s">
        <v>1992</v>
      </c>
      <c r="N5139" t="s">
        <v>1704</v>
      </c>
      <c r="O5139">
        <v>54</v>
      </c>
      <c r="P5139">
        <v>8105</v>
      </c>
      <c r="Q5139" t="s">
        <v>1707</v>
      </c>
      <c r="R5139" t="s">
        <v>201</v>
      </c>
      <c r="S5139">
        <v>1</v>
      </c>
      <c r="T5139">
        <v>1</v>
      </c>
      <c r="U5139">
        <v>70740</v>
      </c>
      <c r="V5139">
        <v>70740</v>
      </c>
    </row>
    <row r="5140" spans="1:22">
      <c r="A5140" t="s">
        <v>196</v>
      </c>
      <c r="B5140">
        <v>81</v>
      </c>
      <c r="C5140" t="s">
        <v>1699</v>
      </c>
      <c r="D5140">
        <v>300</v>
      </c>
      <c r="E5140" t="s">
        <v>1969</v>
      </c>
      <c r="F5140">
        <v>1050</v>
      </c>
      <c r="G5140" t="s">
        <v>44</v>
      </c>
      <c r="H5140">
        <v>2070</v>
      </c>
      <c r="I5140" t="s">
        <v>44</v>
      </c>
      <c r="J5140">
        <v>3217</v>
      </c>
      <c r="K5140" t="s">
        <v>1991</v>
      </c>
      <c r="L5140">
        <v>4155</v>
      </c>
      <c r="M5140" t="s">
        <v>1992</v>
      </c>
      <c r="N5140" t="s">
        <v>1722</v>
      </c>
      <c r="O5140">
        <v>54</v>
      </c>
      <c r="P5140">
        <v>6287</v>
      </c>
      <c r="Q5140" t="s">
        <v>1993</v>
      </c>
      <c r="R5140" t="s">
        <v>201</v>
      </c>
      <c r="S5140">
        <v>2</v>
      </c>
      <c r="T5140">
        <v>1</v>
      </c>
      <c r="U5140">
        <v>103572</v>
      </c>
      <c r="V5140">
        <v>207144</v>
      </c>
    </row>
    <row r="5141" spans="1:22">
      <c r="A5141" t="s">
        <v>196</v>
      </c>
      <c r="B5141">
        <v>81</v>
      </c>
      <c r="C5141" t="s">
        <v>1699</v>
      </c>
      <c r="D5141">
        <v>300</v>
      </c>
      <c r="E5141" t="s">
        <v>1969</v>
      </c>
      <c r="F5141">
        <v>1050</v>
      </c>
      <c r="G5141" t="s">
        <v>44</v>
      </c>
      <c r="H5141">
        <v>2070</v>
      </c>
      <c r="I5141" t="s">
        <v>44</v>
      </c>
      <c r="J5141">
        <v>3217</v>
      </c>
      <c r="K5141" t="s">
        <v>1991</v>
      </c>
      <c r="L5141">
        <v>4155</v>
      </c>
      <c r="M5141" t="s">
        <v>1992</v>
      </c>
      <c r="N5141" t="s">
        <v>1722</v>
      </c>
      <c r="O5141">
        <v>54</v>
      </c>
      <c r="P5141">
        <v>6287</v>
      </c>
      <c r="Q5141" t="s">
        <v>1993</v>
      </c>
      <c r="R5141" t="s">
        <v>201</v>
      </c>
      <c r="S5141">
        <v>1</v>
      </c>
      <c r="T5141">
        <v>1</v>
      </c>
      <c r="U5141">
        <v>98892</v>
      </c>
      <c r="V5141">
        <v>98892</v>
      </c>
    </row>
    <row r="5142" spans="1:22">
      <c r="A5142" t="s">
        <v>196</v>
      </c>
      <c r="B5142">
        <v>81</v>
      </c>
      <c r="C5142" t="s">
        <v>1699</v>
      </c>
      <c r="D5142">
        <v>300</v>
      </c>
      <c r="E5142" t="s">
        <v>1969</v>
      </c>
      <c r="F5142">
        <v>1050</v>
      </c>
      <c r="G5142" t="s">
        <v>44</v>
      </c>
      <c r="H5142">
        <v>2070</v>
      </c>
      <c r="I5142" t="s">
        <v>44</v>
      </c>
      <c r="J5142">
        <v>3217</v>
      </c>
      <c r="K5142" t="s">
        <v>1991</v>
      </c>
      <c r="L5142">
        <v>4155</v>
      </c>
      <c r="M5142" t="s">
        <v>1992</v>
      </c>
      <c r="N5142" t="s">
        <v>1722</v>
      </c>
      <c r="O5142">
        <v>54</v>
      </c>
      <c r="P5142">
        <v>6287</v>
      </c>
      <c r="Q5142" t="s">
        <v>1993</v>
      </c>
      <c r="R5142" t="s">
        <v>201</v>
      </c>
      <c r="S5142">
        <v>1</v>
      </c>
      <c r="T5142">
        <v>1</v>
      </c>
      <c r="U5142">
        <v>77628</v>
      </c>
      <c r="V5142">
        <v>77628</v>
      </c>
    </row>
    <row r="5143" spans="1:22">
      <c r="A5143" t="s">
        <v>196</v>
      </c>
      <c r="B5143">
        <v>81</v>
      </c>
      <c r="C5143" t="s">
        <v>1699</v>
      </c>
      <c r="D5143">
        <v>300</v>
      </c>
      <c r="E5143" t="s">
        <v>1969</v>
      </c>
      <c r="F5143">
        <v>1050</v>
      </c>
      <c r="G5143" t="s">
        <v>44</v>
      </c>
      <c r="H5143">
        <v>2070</v>
      </c>
      <c r="I5143" t="s">
        <v>44</v>
      </c>
      <c r="J5143">
        <v>3217</v>
      </c>
      <c r="K5143" t="s">
        <v>1991</v>
      </c>
      <c r="L5143">
        <v>4155</v>
      </c>
      <c r="M5143" t="s">
        <v>1992</v>
      </c>
      <c r="N5143" t="s">
        <v>1724</v>
      </c>
      <c r="O5143">
        <v>54</v>
      </c>
      <c r="P5143">
        <v>441</v>
      </c>
      <c r="Q5143" t="s">
        <v>1725</v>
      </c>
      <c r="R5143" t="s">
        <v>201</v>
      </c>
      <c r="S5143">
        <v>1</v>
      </c>
      <c r="T5143">
        <v>1</v>
      </c>
      <c r="U5143">
        <v>71412</v>
      </c>
      <c r="V5143">
        <v>71412</v>
      </c>
    </row>
    <row r="5144" spans="1:22">
      <c r="A5144" t="s">
        <v>196</v>
      </c>
      <c r="B5144">
        <v>81</v>
      </c>
      <c r="C5144" t="s">
        <v>1699</v>
      </c>
      <c r="D5144">
        <v>300</v>
      </c>
      <c r="E5144" t="s">
        <v>1969</v>
      </c>
      <c r="F5144">
        <v>1050</v>
      </c>
      <c r="G5144" t="s">
        <v>44</v>
      </c>
      <c r="H5144">
        <v>2070</v>
      </c>
      <c r="I5144" t="s">
        <v>44</v>
      </c>
      <c r="J5144">
        <v>3217</v>
      </c>
      <c r="K5144" t="s">
        <v>1991</v>
      </c>
      <c r="L5144">
        <v>4155</v>
      </c>
      <c r="M5144" t="s">
        <v>1992</v>
      </c>
      <c r="N5144" t="s">
        <v>1724</v>
      </c>
      <c r="O5144">
        <v>54</v>
      </c>
      <c r="P5144">
        <v>441</v>
      </c>
      <c r="Q5144" t="s">
        <v>1725</v>
      </c>
      <c r="R5144" t="s">
        <v>201</v>
      </c>
      <c r="S5144">
        <v>1</v>
      </c>
      <c r="T5144">
        <v>1</v>
      </c>
      <c r="U5144">
        <v>68232</v>
      </c>
      <c r="V5144">
        <v>68232</v>
      </c>
    </row>
    <row r="5145" spans="1:22">
      <c r="A5145" t="s">
        <v>196</v>
      </c>
      <c r="B5145">
        <v>81</v>
      </c>
      <c r="C5145" t="s">
        <v>1699</v>
      </c>
      <c r="D5145">
        <v>300</v>
      </c>
      <c r="E5145" t="s">
        <v>1969</v>
      </c>
      <c r="F5145">
        <v>1050</v>
      </c>
      <c r="G5145" t="s">
        <v>44</v>
      </c>
      <c r="H5145">
        <v>2070</v>
      </c>
      <c r="I5145" t="s">
        <v>44</v>
      </c>
      <c r="J5145">
        <v>3217</v>
      </c>
      <c r="K5145" t="s">
        <v>1991</v>
      </c>
      <c r="L5145">
        <v>4155</v>
      </c>
      <c r="M5145" t="s">
        <v>1992</v>
      </c>
      <c r="N5145" t="s">
        <v>199</v>
      </c>
      <c r="O5145">
        <v>0</v>
      </c>
      <c r="P5145">
        <v>15</v>
      </c>
      <c r="Q5145" t="s">
        <v>264</v>
      </c>
      <c r="R5145" t="s">
        <v>201</v>
      </c>
      <c r="S5145">
        <v>0</v>
      </c>
      <c r="T5145">
        <v>0</v>
      </c>
      <c r="U5145">
        <v>38010</v>
      </c>
      <c r="V5145">
        <v>38010</v>
      </c>
    </row>
    <row r="5146" spans="1:22">
      <c r="A5146" t="s">
        <v>196</v>
      </c>
      <c r="B5146">
        <v>81</v>
      </c>
      <c r="C5146" t="s">
        <v>1699</v>
      </c>
      <c r="D5146">
        <v>300</v>
      </c>
      <c r="E5146" t="s">
        <v>1969</v>
      </c>
      <c r="F5146">
        <v>1050</v>
      </c>
      <c r="G5146" t="s">
        <v>44</v>
      </c>
      <c r="H5146">
        <v>2070</v>
      </c>
      <c r="I5146" t="s">
        <v>44</v>
      </c>
      <c r="J5146">
        <v>3222</v>
      </c>
      <c r="K5146" t="s">
        <v>1994</v>
      </c>
      <c r="L5146">
        <v>4151</v>
      </c>
      <c r="M5146" t="s">
        <v>1995</v>
      </c>
      <c r="N5146" t="s">
        <v>1996</v>
      </c>
      <c r="O5146">
        <v>8</v>
      </c>
      <c r="P5146">
        <v>6292</v>
      </c>
      <c r="Q5146" t="s">
        <v>1997</v>
      </c>
      <c r="R5146" t="s">
        <v>201</v>
      </c>
      <c r="S5146">
        <v>2</v>
      </c>
      <c r="T5146">
        <v>1</v>
      </c>
      <c r="U5146">
        <v>130620</v>
      </c>
      <c r="V5146">
        <v>261240</v>
      </c>
    </row>
    <row r="5147" spans="1:22">
      <c r="A5147" t="s">
        <v>196</v>
      </c>
      <c r="B5147">
        <v>81</v>
      </c>
      <c r="C5147" t="s">
        <v>1699</v>
      </c>
      <c r="D5147">
        <v>300</v>
      </c>
      <c r="E5147" t="s">
        <v>1969</v>
      </c>
      <c r="F5147">
        <v>1050</v>
      </c>
      <c r="G5147" t="s">
        <v>44</v>
      </c>
      <c r="H5147">
        <v>2070</v>
      </c>
      <c r="I5147" t="s">
        <v>44</v>
      </c>
      <c r="J5147">
        <v>3222</v>
      </c>
      <c r="K5147" t="s">
        <v>1994</v>
      </c>
      <c r="L5147">
        <v>4151</v>
      </c>
      <c r="M5147" t="s">
        <v>1995</v>
      </c>
      <c r="N5147" t="s">
        <v>1996</v>
      </c>
      <c r="O5147">
        <v>8</v>
      </c>
      <c r="P5147">
        <v>6292</v>
      </c>
      <c r="Q5147" t="s">
        <v>1997</v>
      </c>
      <c r="R5147" t="s">
        <v>201</v>
      </c>
      <c r="S5147">
        <v>1</v>
      </c>
      <c r="T5147">
        <v>1</v>
      </c>
      <c r="U5147">
        <v>108528</v>
      </c>
      <c r="V5147">
        <v>108528</v>
      </c>
    </row>
    <row r="5148" spans="1:22">
      <c r="A5148" t="s">
        <v>196</v>
      </c>
      <c r="B5148">
        <v>81</v>
      </c>
      <c r="C5148" t="s">
        <v>1699</v>
      </c>
      <c r="D5148">
        <v>300</v>
      </c>
      <c r="E5148" t="s">
        <v>1969</v>
      </c>
      <c r="F5148">
        <v>1050</v>
      </c>
      <c r="G5148" t="s">
        <v>44</v>
      </c>
      <c r="H5148">
        <v>2070</v>
      </c>
      <c r="I5148" t="s">
        <v>44</v>
      </c>
      <c r="J5148">
        <v>3222</v>
      </c>
      <c r="K5148" t="s">
        <v>1994</v>
      </c>
      <c r="L5148">
        <v>4151</v>
      </c>
      <c r="M5148" t="s">
        <v>1995</v>
      </c>
      <c r="N5148" t="s">
        <v>1996</v>
      </c>
      <c r="O5148">
        <v>8</v>
      </c>
      <c r="P5148">
        <v>6292</v>
      </c>
      <c r="Q5148" t="s">
        <v>1997</v>
      </c>
      <c r="R5148" t="s">
        <v>201</v>
      </c>
      <c r="S5148">
        <v>1</v>
      </c>
      <c r="T5148">
        <v>1</v>
      </c>
      <c r="U5148">
        <v>85176</v>
      </c>
      <c r="V5148">
        <v>85176</v>
      </c>
    </row>
    <row r="5149" spans="1:22">
      <c r="A5149" t="s">
        <v>196</v>
      </c>
      <c r="B5149">
        <v>81</v>
      </c>
      <c r="C5149" t="s">
        <v>1699</v>
      </c>
      <c r="D5149">
        <v>300</v>
      </c>
      <c r="E5149" t="s">
        <v>1969</v>
      </c>
      <c r="F5149">
        <v>1050</v>
      </c>
      <c r="G5149" t="s">
        <v>44</v>
      </c>
      <c r="H5149">
        <v>2070</v>
      </c>
      <c r="I5149" t="s">
        <v>44</v>
      </c>
      <c r="J5149">
        <v>3222</v>
      </c>
      <c r="K5149" t="s">
        <v>1994</v>
      </c>
      <c r="L5149">
        <v>4151</v>
      </c>
      <c r="M5149" t="s">
        <v>1995</v>
      </c>
      <c r="N5149" t="s">
        <v>199</v>
      </c>
      <c r="O5149">
        <v>0</v>
      </c>
      <c r="P5149">
        <v>15</v>
      </c>
      <c r="Q5149" t="s">
        <v>264</v>
      </c>
      <c r="R5149" t="s">
        <v>201</v>
      </c>
      <c r="S5149">
        <v>0</v>
      </c>
      <c r="T5149">
        <v>0</v>
      </c>
      <c r="U5149">
        <v>2869</v>
      </c>
      <c r="V5149">
        <v>2869</v>
      </c>
    </row>
    <row r="5150" spans="1:22">
      <c r="A5150" t="s">
        <v>196</v>
      </c>
      <c r="B5150">
        <v>81</v>
      </c>
      <c r="C5150" t="s">
        <v>1699</v>
      </c>
      <c r="D5150">
        <v>300</v>
      </c>
      <c r="E5150" t="s">
        <v>1969</v>
      </c>
      <c r="F5150">
        <v>1050</v>
      </c>
      <c r="G5150" t="s">
        <v>44</v>
      </c>
      <c r="H5150">
        <v>2070</v>
      </c>
      <c r="I5150" t="s">
        <v>44</v>
      </c>
      <c r="J5150">
        <v>3222</v>
      </c>
      <c r="K5150" t="s">
        <v>1994</v>
      </c>
      <c r="L5150">
        <v>4152</v>
      </c>
      <c r="M5150" t="s">
        <v>1998</v>
      </c>
      <c r="N5150" t="s">
        <v>731</v>
      </c>
      <c r="O5150">
        <v>10</v>
      </c>
      <c r="P5150">
        <v>8185</v>
      </c>
      <c r="Q5150" t="s">
        <v>1701</v>
      </c>
      <c r="R5150" t="s">
        <v>201</v>
      </c>
      <c r="S5150">
        <v>1</v>
      </c>
      <c r="T5150">
        <v>1</v>
      </c>
      <c r="U5150">
        <v>150072</v>
      </c>
      <c r="V5150">
        <v>150072</v>
      </c>
    </row>
    <row r="5151" spans="1:22">
      <c r="A5151" t="s">
        <v>196</v>
      </c>
      <c r="B5151">
        <v>81</v>
      </c>
      <c r="C5151" t="s">
        <v>1699</v>
      </c>
      <c r="D5151">
        <v>300</v>
      </c>
      <c r="E5151" t="s">
        <v>1969</v>
      </c>
      <c r="F5151">
        <v>1050</v>
      </c>
      <c r="G5151" t="s">
        <v>44</v>
      </c>
      <c r="H5151">
        <v>2070</v>
      </c>
      <c r="I5151" t="s">
        <v>44</v>
      </c>
      <c r="J5151">
        <v>3222</v>
      </c>
      <c r="K5151" t="s">
        <v>1994</v>
      </c>
      <c r="L5151">
        <v>4152</v>
      </c>
      <c r="M5151" t="s">
        <v>1998</v>
      </c>
      <c r="N5151" t="s">
        <v>622</v>
      </c>
      <c r="O5151">
        <v>1</v>
      </c>
      <c r="P5151">
        <v>6333</v>
      </c>
      <c r="Q5151" t="s">
        <v>1999</v>
      </c>
      <c r="R5151" t="s">
        <v>201</v>
      </c>
      <c r="S5151">
        <v>10</v>
      </c>
      <c r="T5151">
        <v>1</v>
      </c>
      <c r="U5151">
        <v>90144</v>
      </c>
      <c r="V5151">
        <v>901440</v>
      </c>
    </row>
    <row r="5152" spans="1:22">
      <c r="A5152" t="s">
        <v>196</v>
      </c>
      <c r="B5152">
        <v>81</v>
      </c>
      <c r="C5152" t="s">
        <v>1699</v>
      </c>
      <c r="D5152">
        <v>300</v>
      </c>
      <c r="E5152" t="s">
        <v>1969</v>
      </c>
      <c r="F5152">
        <v>1050</v>
      </c>
      <c r="G5152" t="s">
        <v>44</v>
      </c>
      <c r="H5152">
        <v>2070</v>
      </c>
      <c r="I5152" t="s">
        <v>44</v>
      </c>
      <c r="J5152">
        <v>3222</v>
      </c>
      <c r="K5152" t="s">
        <v>1994</v>
      </c>
      <c r="L5152">
        <v>4152</v>
      </c>
      <c r="M5152" t="s">
        <v>1998</v>
      </c>
      <c r="N5152" t="s">
        <v>622</v>
      </c>
      <c r="O5152">
        <v>1</v>
      </c>
      <c r="P5152">
        <v>6333</v>
      </c>
      <c r="Q5152" t="s">
        <v>1999</v>
      </c>
      <c r="R5152" t="s">
        <v>201</v>
      </c>
      <c r="S5152">
        <v>1</v>
      </c>
      <c r="T5152">
        <v>1</v>
      </c>
      <c r="U5152">
        <v>86112</v>
      </c>
      <c r="V5152">
        <v>86112</v>
      </c>
    </row>
    <row r="5153" spans="1:22">
      <c r="A5153" t="s">
        <v>196</v>
      </c>
      <c r="B5153">
        <v>81</v>
      </c>
      <c r="C5153" t="s">
        <v>1699</v>
      </c>
      <c r="D5153">
        <v>300</v>
      </c>
      <c r="E5153" t="s">
        <v>1969</v>
      </c>
      <c r="F5153">
        <v>1050</v>
      </c>
      <c r="G5153" t="s">
        <v>44</v>
      </c>
      <c r="H5153">
        <v>2070</v>
      </c>
      <c r="I5153" t="s">
        <v>44</v>
      </c>
      <c r="J5153">
        <v>3222</v>
      </c>
      <c r="K5153" t="s">
        <v>1994</v>
      </c>
      <c r="L5153">
        <v>4152</v>
      </c>
      <c r="M5153" t="s">
        <v>1998</v>
      </c>
      <c r="N5153" t="s">
        <v>622</v>
      </c>
      <c r="O5153">
        <v>1</v>
      </c>
      <c r="P5153">
        <v>6333</v>
      </c>
      <c r="Q5153" t="s">
        <v>1999</v>
      </c>
      <c r="R5153" t="s">
        <v>201</v>
      </c>
      <c r="S5153">
        <v>1</v>
      </c>
      <c r="T5153">
        <v>1</v>
      </c>
      <c r="U5153">
        <v>78432</v>
      </c>
      <c r="V5153">
        <v>78432</v>
      </c>
    </row>
    <row r="5154" spans="1:22">
      <c r="A5154" t="s">
        <v>196</v>
      </c>
      <c r="B5154">
        <v>81</v>
      </c>
      <c r="C5154" t="s">
        <v>1699</v>
      </c>
      <c r="D5154">
        <v>300</v>
      </c>
      <c r="E5154" t="s">
        <v>1969</v>
      </c>
      <c r="F5154">
        <v>1050</v>
      </c>
      <c r="G5154" t="s">
        <v>44</v>
      </c>
      <c r="H5154">
        <v>2070</v>
      </c>
      <c r="I5154" t="s">
        <v>44</v>
      </c>
      <c r="J5154">
        <v>3222</v>
      </c>
      <c r="K5154" t="s">
        <v>1994</v>
      </c>
      <c r="L5154">
        <v>4152</v>
      </c>
      <c r="M5154" t="s">
        <v>1998</v>
      </c>
      <c r="N5154" t="s">
        <v>622</v>
      </c>
      <c r="O5154">
        <v>1</v>
      </c>
      <c r="P5154">
        <v>6333</v>
      </c>
      <c r="Q5154" t="s">
        <v>1999</v>
      </c>
      <c r="R5154" t="s">
        <v>201</v>
      </c>
      <c r="S5154">
        <v>2</v>
      </c>
      <c r="T5154">
        <v>1</v>
      </c>
      <c r="U5154">
        <v>71436</v>
      </c>
      <c r="V5154">
        <v>142872</v>
      </c>
    </row>
    <row r="5155" spans="1:22">
      <c r="A5155" t="s">
        <v>196</v>
      </c>
      <c r="B5155">
        <v>81</v>
      </c>
      <c r="C5155" t="s">
        <v>1699</v>
      </c>
      <c r="D5155">
        <v>300</v>
      </c>
      <c r="E5155" t="s">
        <v>1969</v>
      </c>
      <c r="F5155">
        <v>1050</v>
      </c>
      <c r="G5155" t="s">
        <v>44</v>
      </c>
      <c r="H5155">
        <v>2070</v>
      </c>
      <c r="I5155" t="s">
        <v>44</v>
      </c>
      <c r="J5155">
        <v>3222</v>
      </c>
      <c r="K5155" t="s">
        <v>1994</v>
      </c>
      <c r="L5155">
        <v>4152</v>
      </c>
      <c r="M5155" t="s">
        <v>1998</v>
      </c>
      <c r="N5155" t="s">
        <v>622</v>
      </c>
      <c r="O5155">
        <v>1</v>
      </c>
      <c r="P5155">
        <v>6333</v>
      </c>
      <c r="Q5155" t="s">
        <v>1999</v>
      </c>
      <c r="R5155" t="s">
        <v>201</v>
      </c>
      <c r="S5155">
        <v>3</v>
      </c>
      <c r="T5155">
        <v>1</v>
      </c>
      <c r="U5155">
        <v>68256</v>
      </c>
      <c r="V5155">
        <v>204768</v>
      </c>
    </row>
    <row r="5156" spans="1:22">
      <c r="A5156" t="s">
        <v>196</v>
      </c>
      <c r="B5156">
        <v>81</v>
      </c>
      <c r="C5156" t="s">
        <v>1699</v>
      </c>
      <c r="D5156">
        <v>300</v>
      </c>
      <c r="E5156" t="s">
        <v>1969</v>
      </c>
      <c r="F5156">
        <v>1050</v>
      </c>
      <c r="G5156" t="s">
        <v>44</v>
      </c>
      <c r="H5156">
        <v>2070</v>
      </c>
      <c r="I5156" t="s">
        <v>44</v>
      </c>
      <c r="J5156">
        <v>3222</v>
      </c>
      <c r="K5156" t="s">
        <v>1994</v>
      </c>
      <c r="L5156">
        <v>4152</v>
      </c>
      <c r="M5156" t="s">
        <v>1998</v>
      </c>
      <c r="N5156" t="s">
        <v>622</v>
      </c>
      <c r="O5156">
        <v>1</v>
      </c>
      <c r="P5156">
        <v>6333</v>
      </c>
      <c r="Q5156" t="s">
        <v>1999</v>
      </c>
      <c r="R5156" t="s">
        <v>201</v>
      </c>
      <c r="S5156">
        <v>1</v>
      </c>
      <c r="T5156">
        <v>1</v>
      </c>
      <c r="U5156">
        <v>64488</v>
      </c>
      <c r="V5156">
        <v>64488</v>
      </c>
    </row>
    <row r="5157" spans="1:22">
      <c r="A5157" t="s">
        <v>196</v>
      </c>
      <c r="B5157">
        <v>81</v>
      </c>
      <c r="C5157" t="s">
        <v>1699</v>
      </c>
      <c r="D5157">
        <v>300</v>
      </c>
      <c r="E5157" t="s">
        <v>1969</v>
      </c>
      <c r="F5157">
        <v>1050</v>
      </c>
      <c r="G5157" t="s">
        <v>44</v>
      </c>
      <c r="H5157">
        <v>2070</v>
      </c>
      <c r="I5157" t="s">
        <v>44</v>
      </c>
      <c r="J5157">
        <v>3222</v>
      </c>
      <c r="K5157" t="s">
        <v>1994</v>
      </c>
      <c r="L5157">
        <v>4152</v>
      </c>
      <c r="M5157" t="s">
        <v>1998</v>
      </c>
      <c r="N5157" t="s">
        <v>622</v>
      </c>
      <c r="O5157">
        <v>1</v>
      </c>
      <c r="P5157">
        <v>6333</v>
      </c>
      <c r="Q5157" t="s">
        <v>1999</v>
      </c>
      <c r="R5157" t="s">
        <v>201</v>
      </c>
      <c r="S5157">
        <v>2</v>
      </c>
      <c r="T5157">
        <v>1</v>
      </c>
      <c r="U5157">
        <v>61548</v>
      </c>
      <c r="V5157">
        <v>123096</v>
      </c>
    </row>
    <row r="5158" spans="1:22">
      <c r="A5158" t="s">
        <v>196</v>
      </c>
      <c r="B5158">
        <v>81</v>
      </c>
      <c r="C5158" t="s">
        <v>1699</v>
      </c>
      <c r="D5158">
        <v>300</v>
      </c>
      <c r="E5158" t="s">
        <v>1969</v>
      </c>
      <c r="F5158">
        <v>1050</v>
      </c>
      <c r="G5158" t="s">
        <v>44</v>
      </c>
      <c r="H5158">
        <v>2070</v>
      </c>
      <c r="I5158" t="s">
        <v>44</v>
      </c>
      <c r="J5158">
        <v>3222</v>
      </c>
      <c r="K5158" t="s">
        <v>1994</v>
      </c>
      <c r="L5158">
        <v>4152</v>
      </c>
      <c r="M5158" t="s">
        <v>1998</v>
      </c>
      <c r="N5158" t="s">
        <v>622</v>
      </c>
      <c r="O5158">
        <v>1</v>
      </c>
      <c r="P5158">
        <v>6333</v>
      </c>
      <c r="Q5158" t="s">
        <v>1999</v>
      </c>
      <c r="R5158" t="s">
        <v>201</v>
      </c>
      <c r="S5158">
        <v>3</v>
      </c>
      <c r="T5158">
        <v>1</v>
      </c>
      <c r="U5158">
        <v>58764</v>
      </c>
      <c r="V5158">
        <v>176292</v>
      </c>
    </row>
    <row r="5159" spans="1:22">
      <c r="A5159" t="s">
        <v>196</v>
      </c>
      <c r="B5159">
        <v>81</v>
      </c>
      <c r="C5159" t="s">
        <v>1699</v>
      </c>
      <c r="D5159">
        <v>300</v>
      </c>
      <c r="E5159" t="s">
        <v>1969</v>
      </c>
      <c r="F5159">
        <v>1050</v>
      </c>
      <c r="G5159" t="s">
        <v>44</v>
      </c>
      <c r="H5159">
        <v>2070</v>
      </c>
      <c r="I5159" t="s">
        <v>44</v>
      </c>
      <c r="J5159">
        <v>3222</v>
      </c>
      <c r="K5159" t="s">
        <v>1994</v>
      </c>
      <c r="L5159">
        <v>4152</v>
      </c>
      <c r="M5159" t="s">
        <v>1998</v>
      </c>
      <c r="N5159" t="s">
        <v>622</v>
      </c>
      <c r="O5159">
        <v>1</v>
      </c>
      <c r="P5159">
        <v>6333</v>
      </c>
      <c r="Q5159" t="s">
        <v>1999</v>
      </c>
      <c r="R5159" t="s">
        <v>201</v>
      </c>
      <c r="S5159">
        <v>2</v>
      </c>
      <c r="T5159">
        <v>1</v>
      </c>
      <c r="U5159">
        <v>56124</v>
      </c>
      <c r="V5159">
        <v>112248</v>
      </c>
    </row>
    <row r="5160" spans="1:22">
      <c r="A5160" t="s">
        <v>196</v>
      </c>
      <c r="B5160">
        <v>81</v>
      </c>
      <c r="C5160" t="s">
        <v>1699</v>
      </c>
      <c r="D5160">
        <v>300</v>
      </c>
      <c r="E5160" t="s">
        <v>1969</v>
      </c>
      <c r="F5160">
        <v>1050</v>
      </c>
      <c r="G5160" t="s">
        <v>44</v>
      </c>
      <c r="H5160">
        <v>2070</v>
      </c>
      <c r="I5160" t="s">
        <v>44</v>
      </c>
      <c r="J5160">
        <v>3222</v>
      </c>
      <c r="K5160" t="s">
        <v>1994</v>
      </c>
      <c r="L5160">
        <v>4152</v>
      </c>
      <c r="M5160" t="s">
        <v>1998</v>
      </c>
      <c r="N5160" t="s">
        <v>622</v>
      </c>
      <c r="O5160">
        <v>1</v>
      </c>
      <c r="P5160">
        <v>6333</v>
      </c>
      <c r="Q5160" t="s">
        <v>1999</v>
      </c>
      <c r="R5160" t="s">
        <v>201</v>
      </c>
      <c r="S5160">
        <v>5</v>
      </c>
      <c r="T5160">
        <v>1</v>
      </c>
      <c r="U5160">
        <v>53532</v>
      </c>
      <c r="V5160">
        <v>267660</v>
      </c>
    </row>
    <row r="5161" spans="1:22">
      <c r="A5161" t="s">
        <v>196</v>
      </c>
      <c r="B5161">
        <v>81</v>
      </c>
      <c r="C5161" t="s">
        <v>1699</v>
      </c>
      <c r="D5161">
        <v>300</v>
      </c>
      <c r="E5161" t="s">
        <v>1969</v>
      </c>
      <c r="F5161">
        <v>1050</v>
      </c>
      <c r="G5161" t="s">
        <v>44</v>
      </c>
      <c r="H5161">
        <v>2070</v>
      </c>
      <c r="I5161" t="s">
        <v>44</v>
      </c>
      <c r="J5161">
        <v>3222</v>
      </c>
      <c r="K5161" t="s">
        <v>1994</v>
      </c>
      <c r="L5161">
        <v>4152</v>
      </c>
      <c r="M5161" t="s">
        <v>1998</v>
      </c>
      <c r="N5161" t="s">
        <v>622</v>
      </c>
      <c r="O5161">
        <v>1</v>
      </c>
      <c r="P5161">
        <v>6333</v>
      </c>
      <c r="Q5161" t="s">
        <v>1999</v>
      </c>
      <c r="R5161" t="s">
        <v>201</v>
      </c>
      <c r="S5161">
        <v>3</v>
      </c>
      <c r="T5161">
        <v>1</v>
      </c>
      <c r="U5161">
        <v>51936</v>
      </c>
      <c r="V5161">
        <v>155808</v>
      </c>
    </row>
    <row r="5162" spans="1:22">
      <c r="A5162" t="s">
        <v>196</v>
      </c>
      <c r="B5162">
        <v>81</v>
      </c>
      <c r="C5162" t="s">
        <v>1699</v>
      </c>
      <c r="D5162">
        <v>300</v>
      </c>
      <c r="E5162" t="s">
        <v>1969</v>
      </c>
      <c r="F5162">
        <v>1050</v>
      </c>
      <c r="G5162" t="s">
        <v>44</v>
      </c>
      <c r="H5162">
        <v>2070</v>
      </c>
      <c r="I5162" t="s">
        <v>44</v>
      </c>
      <c r="J5162">
        <v>3222</v>
      </c>
      <c r="K5162" t="s">
        <v>1994</v>
      </c>
      <c r="L5162">
        <v>4152</v>
      </c>
      <c r="M5162" t="s">
        <v>1998</v>
      </c>
      <c r="N5162" t="s">
        <v>1996</v>
      </c>
      <c r="O5162">
        <v>8</v>
      </c>
      <c r="P5162">
        <v>6292</v>
      </c>
      <c r="Q5162" t="s">
        <v>1997</v>
      </c>
      <c r="R5162" t="s">
        <v>201</v>
      </c>
      <c r="S5162">
        <v>2</v>
      </c>
      <c r="T5162">
        <v>1</v>
      </c>
      <c r="U5162">
        <v>130620</v>
      </c>
      <c r="V5162">
        <v>261240</v>
      </c>
    </row>
    <row r="5163" spans="1:22">
      <c r="A5163" t="s">
        <v>196</v>
      </c>
      <c r="B5163">
        <v>81</v>
      </c>
      <c r="C5163" t="s">
        <v>1699</v>
      </c>
      <c r="D5163">
        <v>300</v>
      </c>
      <c r="E5163" t="s">
        <v>1969</v>
      </c>
      <c r="F5163">
        <v>1050</v>
      </c>
      <c r="G5163" t="s">
        <v>44</v>
      </c>
      <c r="H5163">
        <v>2070</v>
      </c>
      <c r="I5163" t="s">
        <v>44</v>
      </c>
      <c r="J5163">
        <v>3222</v>
      </c>
      <c r="K5163" t="s">
        <v>1994</v>
      </c>
      <c r="L5163">
        <v>4152</v>
      </c>
      <c r="M5163" t="s">
        <v>1998</v>
      </c>
      <c r="N5163" t="s">
        <v>1996</v>
      </c>
      <c r="O5163">
        <v>8</v>
      </c>
      <c r="P5163">
        <v>6292</v>
      </c>
      <c r="Q5163" t="s">
        <v>1997</v>
      </c>
      <c r="R5163" t="s">
        <v>201</v>
      </c>
      <c r="S5163">
        <v>1</v>
      </c>
      <c r="T5163">
        <v>1</v>
      </c>
      <c r="U5163">
        <v>108528</v>
      </c>
      <c r="V5163">
        <v>108528</v>
      </c>
    </row>
    <row r="5164" spans="1:22">
      <c r="A5164" t="s">
        <v>196</v>
      </c>
      <c r="B5164">
        <v>81</v>
      </c>
      <c r="C5164" t="s">
        <v>1699</v>
      </c>
      <c r="D5164">
        <v>300</v>
      </c>
      <c r="E5164" t="s">
        <v>1969</v>
      </c>
      <c r="F5164">
        <v>1050</v>
      </c>
      <c r="G5164" t="s">
        <v>44</v>
      </c>
      <c r="H5164">
        <v>2070</v>
      </c>
      <c r="I5164" t="s">
        <v>44</v>
      </c>
      <c r="J5164">
        <v>3222</v>
      </c>
      <c r="K5164" t="s">
        <v>1994</v>
      </c>
      <c r="L5164">
        <v>4152</v>
      </c>
      <c r="M5164" t="s">
        <v>1998</v>
      </c>
      <c r="N5164" t="s">
        <v>1996</v>
      </c>
      <c r="O5164">
        <v>8</v>
      </c>
      <c r="P5164">
        <v>6292</v>
      </c>
      <c r="Q5164" t="s">
        <v>1997</v>
      </c>
      <c r="R5164" t="s">
        <v>201</v>
      </c>
      <c r="S5164">
        <v>1</v>
      </c>
      <c r="T5164">
        <v>1</v>
      </c>
      <c r="U5164">
        <v>89232</v>
      </c>
      <c r="V5164">
        <v>89232</v>
      </c>
    </row>
    <row r="5165" spans="1:22">
      <c r="A5165" t="s">
        <v>196</v>
      </c>
      <c r="B5165">
        <v>81</v>
      </c>
      <c r="C5165" t="s">
        <v>1699</v>
      </c>
      <c r="D5165">
        <v>300</v>
      </c>
      <c r="E5165" t="s">
        <v>1969</v>
      </c>
      <c r="F5165">
        <v>1050</v>
      </c>
      <c r="G5165" t="s">
        <v>44</v>
      </c>
      <c r="H5165">
        <v>2070</v>
      </c>
      <c r="I5165" t="s">
        <v>44</v>
      </c>
      <c r="J5165">
        <v>3222</v>
      </c>
      <c r="K5165" t="s">
        <v>1994</v>
      </c>
      <c r="L5165">
        <v>4152</v>
      </c>
      <c r="M5165" t="s">
        <v>1998</v>
      </c>
      <c r="N5165" t="s">
        <v>199</v>
      </c>
      <c r="O5165">
        <v>0</v>
      </c>
      <c r="P5165">
        <v>15</v>
      </c>
      <c r="Q5165" t="s">
        <v>264</v>
      </c>
      <c r="R5165" t="s">
        <v>201</v>
      </c>
      <c r="S5165">
        <v>0</v>
      </c>
      <c r="T5165">
        <v>0</v>
      </c>
      <c r="U5165">
        <v>23650</v>
      </c>
      <c r="V5165">
        <v>23650</v>
      </c>
    </row>
    <row r="5166" spans="1:22">
      <c r="A5166" t="s">
        <v>196</v>
      </c>
      <c r="B5166">
        <v>81</v>
      </c>
      <c r="C5166" t="s">
        <v>1699</v>
      </c>
      <c r="D5166">
        <v>300</v>
      </c>
      <c r="E5166" t="s">
        <v>1969</v>
      </c>
      <c r="F5166">
        <v>1050</v>
      </c>
      <c r="G5166" t="s">
        <v>44</v>
      </c>
      <c r="H5166">
        <v>2070</v>
      </c>
      <c r="I5166" t="s">
        <v>44</v>
      </c>
      <c r="J5166">
        <v>3222</v>
      </c>
      <c r="K5166" t="s">
        <v>1994</v>
      </c>
      <c r="L5166">
        <v>4153</v>
      </c>
      <c r="M5166" t="s">
        <v>2000</v>
      </c>
      <c r="N5166" t="s">
        <v>1996</v>
      </c>
      <c r="O5166">
        <v>8</v>
      </c>
      <c r="P5166">
        <v>6292</v>
      </c>
      <c r="Q5166" t="s">
        <v>1997</v>
      </c>
      <c r="R5166" t="s">
        <v>201</v>
      </c>
      <c r="S5166">
        <v>1</v>
      </c>
      <c r="T5166">
        <v>1</v>
      </c>
      <c r="U5166">
        <v>98892</v>
      </c>
      <c r="V5166">
        <v>98892</v>
      </c>
    </row>
    <row r="5167" spans="1:22">
      <c r="A5167" t="s">
        <v>196</v>
      </c>
      <c r="B5167">
        <v>81</v>
      </c>
      <c r="C5167" t="s">
        <v>1699</v>
      </c>
      <c r="D5167">
        <v>300</v>
      </c>
      <c r="E5167" t="s">
        <v>1969</v>
      </c>
      <c r="F5167">
        <v>1050</v>
      </c>
      <c r="G5167" t="s">
        <v>44</v>
      </c>
      <c r="H5167">
        <v>2070</v>
      </c>
      <c r="I5167" t="s">
        <v>44</v>
      </c>
      <c r="J5167">
        <v>3222</v>
      </c>
      <c r="K5167" t="s">
        <v>1994</v>
      </c>
      <c r="L5167">
        <v>4153</v>
      </c>
      <c r="M5167" t="s">
        <v>2000</v>
      </c>
      <c r="N5167" t="s">
        <v>809</v>
      </c>
      <c r="O5167">
        <v>1</v>
      </c>
      <c r="P5167">
        <v>460</v>
      </c>
      <c r="Q5167" t="s">
        <v>810</v>
      </c>
      <c r="R5167" t="s">
        <v>201</v>
      </c>
      <c r="S5167">
        <v>1</v>
      </c>
      <c r="T5167">
        <v>1</v>
      </c>
      <c r="U5167">
        <v>82140</v>
      </c>
      <c r="V5167">
        <v>82140</v>
      </c>
    </row>
    <row r="5168" spans="1:22">
      <c r="A5168" t="s">
        <v>196</v>
      </c>
      <c r="B5168">
        <v>81</v>
      </c>
      <c r="C5168" t="s">
        <v>1699</v>
      </c>
      <c r="D5168">
        <v>300</v>
      </c>
      <c r="E5168" t="s">
        <v>1969</v>
      </c>
      <c r="F5168">
        <v>1050</v>
      </c>
      <c r="G5168" t="s">
        <v>44</v>
      </c>
      <c r="H5168">
        <v>2070</v>
      </c>
      <c r="I5168" t="s">
        <v>44</v>
      </c>
      <c r="J5168">
        <v>3222</v>
      </c>
      <c r="K5168" t="s">
        <v>1994</v>
      </c>
      <c r="L5168">
        <v>4153</v>
      </c>
      <c r="M5168" t="s">
        <v>2000</v>
      </c>
      <c r="N5168" t="s">
        <v>809</v>
      </c>
      <c r="O5168">
        <v>1</v>
      </c>
      <c r="P5168">
        <v>460</v>
      </c>
      <c r="Q5168" t="s">
        <v>810</v>
      </c>
      <c r="R5168" t="s">
        <v>201</v>
      </c>
      <c r="S5168">
        <v>1</v>
      </c>
      <c r="T5168">
        <v>1</v>
      </c>
      <c r="U5168">
        <v>48864</v>
      </c>
      <c r="V5168">
        <v>48864</v>
      </c>
    </row>
    <row r="5169" spans="1:22">
      <c r="A5169" t="s">
        <v>196</v>
      </c>
      <c r="B5169">
        <v>81</v>
      </c>
      <c r="C5169" t="s">
        <v>1699</v>
      </c>
      <c r="D5169">
        <v>300</v>
      </c>
      <c r="E5169" t="s">
        <v>1969</v>
      </c>
      <c r="F5169">
        <v>1050</v>
      </c>
      <c r="G5169" t="s">
        <v>44</v>
      </c>
      <c r="H5169">
        <v>2070</v>
      </c>
      <c r="I5169" t="s">
        <v>44</v>
      </c>
      <c r="J5169">
        <v>3222</v>
      </c>
      <c r="K5169" t="s">
        <v>1994</v>
      </c>
      <c r="L5169">
        <v>4153</v>
      </c>
      <c r="M5169" t="s">
        <v>2000</v>
      </c>
      <c r="N5169" t="s">
        <v>809</v>
      </c>
      <c r="O5169">
        <v>1</v>
      </c>
      <c r="P5169">
        <v>460</v>
      </c>
      <c r="Q5169" t="s">
        <v>810</v>
      </c>
      <c r="R5169" t="s">
        <v>201</v>
      </c>
      <c r="S5169">
        <v>1</v>
      </c>
      <c r="T5169">
        <v>1</v>
      </c>
      <c r="U5169">
        <v>47364</v>
      </c>
      <c r="V5169">
        <v>47364</v>
      </c>
    </row>
    <row r="5170" spans="1:22">
      <c r="A5170" t="s">
        <v>196</v>
      </c>
      <c r="B5170">
        <v>81</v>
      </c>
      <c r="C5170" t="s">
        <v>1699</v>
      </c>
      <c r="D5170">
        <v>300</v>
      </c>
      <c r="E5170" t="s">
        <v>1969</v>
      </c>
      <c r="F5170">
        <v>1050</v>
      </c>
      <c r="G5170" t="s">
        <v>44</v>
      </c>
      <c r="H5170">
        <v>2070</v>
      </c>
      <c r="I5170" t="s">
        <v>44</v>
      </c>
      <c r="J5170">
        <v>3222</v>
      </c>
      <c r="K5170" t="s">
        <v>1994</v>
      </c>
      <c r="L5170">
        <v>4153</v>
      </c>
      <c r="M5170" t="s">
        <v>2000</v>
      </c>
      <c r="N5170" t="s">
        <v>809</v>
      </c>
      <c r="O5170">
        <v>1</v>
      </c>
      <c r="P5170">
        <v>415</v>
      </c>
      <c r="Q5170" t="s">
        <v>1243</v>
      </c>
      <c r="R5170" t="s">
        <v>201</v>
      </c>
      <c r="S5170">
        <v>1</v>
      </c>
      <c r="T5170">
        <v>1</v>
      </c>
      <c r="U5170">
        <v>53532</v>
      </c>
      <c r="V5170">
        <v>53532</v>
      </c>
    </row>
    <row r="5171" spans="1:22">
      <c r="A5171" t="s">
        <v>196</v>
      </c>
      <c r="B5171">
        <v>81</v>
      </c>
      <c r="C5171" t="s">
        <v>1699</v>
      </c>
      <c r="D5171">
        <v>300</v>
      </c>
      <c r="E5171" t="s">
        <v>1969</v>
      </c>
      <c r="F5171">
        <v>1050</v>
      </c>
      <c r="G5171" t="s">
        <v>44</v>
      </c>
      <c r="H5171">
        <v>2070</v>
      </c>
      <c r="I5171" t="s">
        <v>44</v>
      </c>
      <c r="J5171">
        <v>3222</v>
      </c>
      <c r="K5171" t="s">
        <v>1994</v>
      </c>
      <c r="L5171">
        <v>4153</v>
      </c>
      <c r="M5171" t="s">
        <v>2000</v>
      </c>
      <c r="N5171" t="s">
        <v>809</v>
      </c>
      <c r="O5171">
        <v>1</v>
      </c>
      <c r="P5171">
        <v>415</v>
      </c>
      <c r="Q5171" t="s">
        <v>1243</v>
      </c>
      <c r="R5171" t="s">
        <v>201</v>
      </c>
      <c r="S5171">
        <v>1</v>
      </c>
      <c r="T5171">
        <v>1</v>
      </c>
      <c r="U5171">
        <v>51108</v>
      </c>
      <c r="V5171">
        <v>51108</v>
      </c>
    </row>
    <row r="5172" spans="1:22">
      <c r="A5172" t="s">
        <v>196</v>
      </c>
      <c r="B5172">
        <v>81</v>
      </c>
      <c r="C5172" t="s">
        <v>1699</v>
      </c>
      <c r="D5172">
        <v>300</v>
      </c>
      <c r="E5172" t="s">
        <v>1969</v>
      </c>
      <c r="F5172">
        <v>1050</v>
      </c>
      <c r="G5172" t="s">
        <v>44</v>
      </c>
      <c r="H5172">
        <v>2070</v>
      </c>
      <c r="I5172" t="s">
        <v>44</v>
      </c>
      <c r="J5172">
        <v>3222</v>
      </c>
      <c r="K5172" t="s">
        <v>1994</v>
      </c>
      <c r="L5172">
        <v>4153</v>
      </c>
      <c r="M5172" t="s">
        <v>2000</v>
      </c>
      <c r="N5172" t="s">
        <v>351</v>
      </c>
      <c r="O5172">
        <v>1</v>
      </c>
      <c r="P5172" t="s">
        <v>352</v>
      </c>
      <c r="Q5172" t="s">
        <v>353</v>
      </c>
      <c r="R5172" t="s">
        <v>201</v>
      </c>
      <c r="S5172">
        <v>1</v>
      </c>
      <c r="T5172">
        <v>1</v>
      </c>
      <c r="U5172">
        <v>74172</v>
      </c>
      <c r="V5172">
        <v>74172</v>
      </c>
    </row>
    <row r="5173" spans="1:22">
      <c r="A5173" t="s">
        <v>196</v>
      </c>
      <c r="B5173">
        <v>81</v>
      </c>
      <c r="C5173" t="s">
        <v>1699</v>
      </c>
      <c r="D5173">
        <v>300</v>
      </c>
      <c r="E5173" t="s">
        <v>1969</v>
      </c>
      <c r="F5173">
        <v>1050</v>
      </c>
      <c r="G5173" t="s">
        <v>44</v>
      </c>
      <c r="H5173">
        <v>2070</v>
      </c>
      <c r="I5173" t="s">
        <v>44</v>
      </c>
      <c r="J5173">
        <v>3222</v>
      </c>
      <c r="K5173" t="s">
        <v>1994</v>
      </c>
      <c r="L5173">
        <v>4153</v>
      </c>
      <c r="M5173" t="s">
        <v>2000</v>
      </c>
      <c r="N5173" t="s">
        <v>351</v>
      </c>
      <c r="O5173">
        <v>1</v>
      </c>
      <c r="P5173" t="s">
        <v>352</v>
      </c>
      <c r="Q5173" t="s">
        <v>353</v>
      </c>
      <c r="R5173" t="s">
        <v>201</v>
      </c>
      <c r="S5173">
        <v>1</v>
      </c>
      <c r="T5173">
        <v>1</v>
      </c>
      <c r="U5173">
        <v>67608</v>
      </c>
      <c r="V5173">
        <v>67608</v>
      </c>
    </row>
    <row r="5174" spans="1:22">
      <c r="A5174" t="s">
        <v>196</v>
      </c>
      <c r="B5174">
        <v>81</v>
      </c>
      <c r="C5174" t="s">
        <v>1699</v>
      </c>
      <c r="D5174">
        <v>300</v>
      </c>
      <c r="E5174" t="s">
        <v>1969</v>
      </c>
      <c r="F5174">
        <v>1050</v>
      </c>
      <c r="G5174" t="s">
        <v>44</v>
      </c>
      <c r="H5174">
        <v>2070</v>
      </c>
      <c r="I5174" t="s">
        <v>44</v>
      </c>
      <c r="J5174">
        <v>3222</v>
      </c>
      <c r="K5174" t="s">
        <v>1994</v>
      </c>
      <c r="L5174">
        <v>4153</v>
      </c>
      <c r="M5174" t="s">
        <v>2000</v>
      </c>
      <c r="N5174" t="s">
        <v>341</v>
      </c>
      <c r="O5174">
        <v>1</v>
      </c>
      <c r="P5174">
        <v>308</v>
      </c>
      <c r="Q5174" t="s">
        <v>355</v>
      </c>
      <c r="R5174" t="s">
        <v>201</v>
      </c>
      <c r="S5174">
        <v>1</v>
      </c>
      <c r="T5174">
        <v>1</v>
      </c>
      <c r="U5174">
        <v>68616</v>
      </c>
      <c r="V5174">
        <v>68616</v>
      </c>
    </row>
    <row r="5175" spans="1:22">
      <c r="A5175" t="s">
        <v>196</v>
      </c>
      <c r="B5175">
        <v>81</v>
      </c>
      <c r="C5175" t="s">
        <v>1699</v>
      </c>
      <c r="D5175">
        <v>300</v>
      </c>
      <c r="E5175" t="s">
        <v>1969</v>
      </c>
      <c r="F5175">
        <v>1050</v>
      </c>
      <c r="G5175" t="s">
        <v>44</v>
      </c>
      <c r="H5175">
        <v>2070</v>
      </c>
      <c r="I5175" t="s">
        <v>44</v>
      </c>
      <c r="J5175">
        <v>3222</v>
      </c>
      <c r="K5175" t="s">
        <v>1994</v>
      </c>
      <c r="L5175">
        <v>4153</v>
      </c>
      <c r="M5175" t="s">
        <v>2000</v>
      </c>
      <c r="N5175" t="s">
        <v>199</v>
      </c>
      <c r="O5175">
        <v>0</v>
      </c>
      <c r="P5175">
        <v>15</v>
      </c>
      <c r="Q5175" t="s">
        <v>264</v>
      </c>
      <c r="R5175" t="s">
        <v>201</v>
      </c>
      <c r="S5175">
        <v>0</v>
      </c>
      <c r="T5175">
        <v>0</v>
      </c>
      <c r="U5175">
        <v>5709</v>
      </c>
      <c r="V5175">
        <v>5709</v>
      </c>
    </row>
    <row r="5176" spans="1:22">
      <c r="A5176" t="s">
        <v>196</v>
      </c>
      <c r="B5176">
        <v>81</v>
      </c>
      <c r="C5176" t="s">
        <v>1699</v>
      </c>
      <c r="D5176">
        <v>300</v>
      </c>
      <c r="E5176" t="s">
        <v>1969</v>
      </c>
      <c r="F5176">
        <v>1050</v>
      </c>
      <c r="G5176" t="s">
        <v>44</v>
      </c>
      <c r="H5176">
        <v>2070</v>
      </c>
      <c r="I5176" t="s">
        <v>44</v>
      </c>
      <c r="J5176">
        <v>3223</v>
      </c>
      <c r="K5176" t="s">
        <v>2001</v>
      </c>
      <c r="L5176">
        <v>0</v>
      </c>
      <c r="N5176" t="s">
        <v>1719</v>
      </c>
      <c r="O5176">
        <v>10</v>
      </c>
      <c r="P5176">
        <v>8184</v>
      </c>
      <c r="Q5176" t="s">
        <v>1720</v>
      </c>
      <c r="R5176" t="s">
        <v>201</v>
      </c>
      <c r="S5176">
        <v>1</v>
      </c>
      <c r="T5176">
        <v>1</v>
      </c>
      <c r="U5176">
        <v>150072</v>
      </c>
      <c r="V5176">
        <v>150072</v>
      </c>
    </row>
    <row r="5177" spans="1:22">
      <c r="A5177" t="s">
        <v>196</v>
      </c>
      <c r="B5177">
        <v>81</v>
      </c>
      <c r="C5177" t="s">
        <v>1699</v>
      </c>
      <c r="D5177">
        <v>300</v>
      </c>
      <c r="E5177" t="s">
        <v>1969</v>
      </c>
      <c r="F5177">
        <v>1050</v>
      </c>
      <c r="G5177" t="s">
        <v>44</v>
      </c>
      <c r="H5177">
        <v>2070</v>
      </c>
      <c r="I5177" t="s">
        <v>44</v>
      </c>
      <c r="J5177">
        <v>3223</v>
      </c>
      <c r="K5177" t="s">
        <v>2001</v>
      </c>
      <c r="L5177">
        <v>0</v>
      </c>
      <c r="N5177" t="s">
        <v>721</v>
      </c>
      <c r="O5177">
        <v>8</v>
      </c>
      <c r="P5177">
        <v>7127</v>
      </c>
      <c r="Q5177" t="s">
        <v>1053</v>
      </c>
      <c r="R5177" t="s">
        <v>713</v>
      </c>
      <c r="S5177">
        <v>3</v>
      </c>
      <c r="T5177">
        <v>1</v>
      </c>
      <c r="U5177">
        <v>51.29</v>
      </c>
      <c r="V5177">
        <v>320050</v>
      </c>
    </row>
    <row r="5178" spans="1:22">
      <c r="A5178" t="s">
        <v>196</v>
      </c>
      <c r="B5178">
        <v>81</v>
      </c>
      <c r="C5178" t="s">
        <v>1699</v>
      </c>
      <c r="D5178">
        <v>300</v>
      </c>
      <c r="E5178" t="s">
        <v>1969</v>
      </c>
      <c r="F5178">
        <v>1050</v>
      </c>
      <c r="G5178" t="s">
        <v>44</v>
      </c>
      <c r="H5178">
        <v>2070</v>
      </c>
      <c r="I5178" t="s">
        <v>44</v>
      </c>
      <c r="J5178">
        <v>3223</v>
      </c>
      <c r="K5178" t="s">
        <v>2001</v>
      </c>
      <c r="L5178">
        <v>0</v>
      </c>
      <c r="N5178" t="s">
        <v>721</v>
      </c>
      <c r="O5178">
        <v>8</v>
      </c>
      <c r="P5178">
        <v>7124</v>
      </c>
      <c r="Q5178" t="s">
        <v>1054</v>
      </c>
      <c r="R5178" t="s">
        <v>713</v>
      </c>
      <c r="S5178">
        <v>14</v>
      </c>
      <c r="T5178">
        <v>1</v>
      </c>
      <c r="U5178">
        <v>49.58</v>
      </c>
      <c r="V5178">
        <v>1443770</v>
      </c>
    </row>
    <row r="5179" spans="1:22">
      <c r="A5179" t="s">
        <v>196</v>
      </c>
      <c r="B5179">
        <v>81</v>
      </c>
      <c r="C5179" t="s">
        <v>1699</v>
      </c>
      <c r="D5179">
        <v>300</v>
      </c>
      <c r="E5179" t="s">
        <v>1969</v>
      </c>
      <c r="F5179">
        <v>1050</v>
      </c>
      <c r="G5179" t="s">
        <v>44</v>
      </c>
      <c r="H5179">
        <v>2070</v>
      </c>
      <c r="I5179" t="s">
        <v>44</v>
      </c>
      <c r="J5179">
        <v>3223</v>
      </c>
      <c r="K5179" t="s">
        <v>2001</v>
      </c>
      <c r="L5179">
        <v>0</v>
      </c>
      <c r="N5179" t="s">
        <v>199</v>
      </c>
      <c r="O5179">
        <v>0</v>
      </c>
      <c r="P5179">
        <v>15</v>
      </c>
      <c r="Q5179" t="s">
        <v>264</v>
      </c>
      <c r="R5179" t="s">
        <v>201</v>
      </c>
      <c r="S5179">
        <v>0</v>
      </c>
      <c r="T5179">
        <v>0</v>
      </c>
      <c r="U5179">
        <v>3570</v>
      </c>
      <c r="V5179">
        <v>3570</v>
      </c>
    </row>
    <row r="5180" spans="1:22">
      <c r="A5180" t="s">
        <v>196</v>
      </c>
      <c r="B5180">
        <v>81</v>
      </c>
      <c r="C5180" t="s">
        <v>1699</v>
      </c>
      <c r="D5180">
        <v>300</v>
      </c>
      <c r="E5180" t="s">
        <v>1969</v>
      </c>
      <c r="F5180">
        <v>1050</v>
      </c>
      <c r="G5180" t="s">
        <v>44</v>
      </c>
      <c r="H5180">
        <v>2070</v>
      </c>
      <c r="I5180" t="s">
        <v>44</v>
      </c>
      <c r="J5180">
        <v>3223</v>
      </c>
      <c r="K5180" t="s">
        <v>2001</v>
      </c>
      <c r="L5180">
        <v>0</v>
      </c>
      <c r="N5180" t="s">
        <v>199</v>
      </c>
      <c r="O5180">
        <v>0</v>
      </c>
      <c r="P5180">
        <v>12</v>
      </c>
      <c r="Q5180" t="s">
        <v>724</v>
      </c>
      <c r="R5180" t="s">
        <v>201</v>
      </c>
      <c r="S5180">
        <v>0</v>
      </c>
      <c r="T5180">
        <v>0</v>
      </c>
      <c r="U5180">
        <v>26458</v>
      </c>
      <c r="V5180">
        <v>26458</v>
      </c>
    </row>
    <row r="5181" spans="1:22">
      <c r="A5181" t="s">
        <v>196</v>
      </c>
      <c r="B5181">
        <v>81</v>
      </c>
      <c r="C5181" t="s">
        <v>1699</v>
      </c>
      <c r="D5181">
        <v>300</v>
      </c>
      <c r="E5181" t="s">
        <v>1969</v>
      </c>
      <c r="F5181">
        <v>1050</v>
      </c>
      <c r="G5181" t="s">
        <v>44</v>
      </c>
      <c r="H5181">
        <v>2070</v>
      </c>
      <c r="I5181" t="s">
        <v>44</v>
      </c>
      <c r="J5181">
        <v>3224</v>
      </c>
      <c r="K5181" t="s">
        <v>2002</v>
      </c>
      <c r="L5181">
        <v>0</v>
      </c>
      <c r="N5181" t="s">
        <v>721</v>
      </c>
      <c r="O5181">
        <v>8</v>
      </c>
      <c r="P5181">
        <v>7187</v>
      </c>
      <c r="Q5181" t="s">
        <v>2003</v>
      </c>
      <c r="R5181" t="s">
        <v>713</v>
      </c>
      <c r="S5181">
        <v>1</v>
      </c>
      <c r="T5181">
        <v>1</v>
      </c>
      <c r="U5181">
        <v>54.09</v>
      </c>
      <c r="V5181">
        <v>112507</v>
      </c>
    </row>
    <row r="5182" spans="1:22">
      <c r="A5182" t="s">
        <v>196</v>
      </c>
      <c r="B5182">
        <v>81</v>
      </c>
      <c r="C5182" t="s">
        <v>1699</v>
      </c>
      <c r="D5182">
        <v>300</v>
      </c>
      <c r="E5182" t="s">
        <v>1969</v>
      </c>
      <c r="F5182">
        <v>1050</v>
      </c>
      <c r="G5182" t="s">
        <v>44</v>
      </c>
      <c r="H5182">
        <v>2070</v>
      </c>
      <c r="I5182" t="s">
        <v>44</v>
      </c>
      <c r="J5182">
        <v>3224</v>
      </c>
      <c r="K5182" t="s">
        <v>2002</v>
      </c>
      <c r="L5182">
        <v>0</v>
      </c>
      <c r="N5182" t="s">
        <v>721</v>
      </c>
      <c r="O5182">
        <v>8</v>
      </c>
      <c r="P5182">
        <v>7185</v>
      </c>
      <c r="Q5182" t="s">
        <v>1039</v>
      </c>
      <c r="R5182" t="s">
        <v>713</v>
      </c>
      <c r="S5182">
        <v>6</v>
      </c>
      <c r="T5182">
        <v>1</v>
      </c>
      <c r="U5182">
        <v>52.38</v>
      </c>
      <c r="V5182">
        <v>653702</v>
      </c>
    </row>
    <row r="5183" spans="1:22">
      <c r="A5183" t="s">
        <v>196</v>
      </c>
      <c r="B5183">
        <v>81</v>
      </c>
      <c r="C5183" t="s">
        <v>1699</v>
      </c>
      <c r="D5183">
        <v>300</v>
      </c>
      <c r="E5183" t="s">
        <v>1969</v>
      </c>
      <c r="F5183">
        <v>1050</v>
      </c>
      <c r="G5183" t="s">
        <v>44</v>
      </c>
      <c r="H5183">
        <v>2070</v>
      </c>
      <c r="I5183" t="s">
        <v>44</v>
      </c>
      <c r="J5183">
        <v>3224</v>
      </c>
      <c r="K5183" t="s">
        <v>2002</v>
      </c>
      <c r="L5183">
        <v>0</v>
      </c>
      <c r="N5183" t="s">
        <v>199</v>
      </c>
      <c r="O5183">
        <v>0</v>
      </c>
      <c r="P5183">
        <v>12</v>
      </c>
      <c r="Q5183" t="s">
        <v>724</v>
      </c>
      <c r="R5183" t="s">
        <v>201</v>
      </c>
      <c r="S5183">
        <v>0</v>
      </c>
      <c r="T5183">
        <v>0</v>
      </c>
      <c r="U5183">
        <v>11494</v>
      </c>
      <c r="V5183">
        <v>11494</v>
      </c>
    </row>
    <row r="5184" spans="1:22">
      <c r="A5184" t="s">
        <v>196</v>
      </c>
      <c r="B5184">
        <v>81</v>
      </c>
      <c r="C5184" t="s">
        <v>1699</v>
      </c>
      <c r="D5184">
        <v>300</v>
      </c>
      <c r="E5184" t="s">
        <v>1969</v>
      </c>
      <c r="F5184">
        <v>1050</v>
      </c>
      <c r="G5184" t="s">
        <v>44</v>
      </c>
      <c r="H5184">
        <v>2070</v>
      </c>
      <c r="I5184" t="s">
        <v>44</v>
      </c>
      <c r="J5184">
        <v>3225</v>
      </c>
      <c r="K5184" t="s">
        <v>2004</v>
      </c>
      <c r="L5184">
        <v>0</v>
      </c>
      <c r="N5184" t="s">
        <v>721</v>
      </c>
      <c r="O5184">
        <v>8</v>
      </c>
      <c r="P5184">
        <v>7184</v>
      </c>
      <c r="Q5184" t="s">
        <v>1728</v>
      </c>
      <c r="R5184" t="s">
        <v>713</v>
      </c>
      <c r="S5184">
        <v>17</v>
      </c>
      <c r="T5184">
        <v>1</v>
      </c>
      <c r="U5184">
        <v>48.73</v>
      </c>
      <c r="V5184">
        <v>1723093</v>
      </c>
    </row>
    <row r="5185" spans="1:22">
      <c r="A5185" t="s">
        <v>196</v>
      </c>
      <c r="B5185">
        <v>81</v>
      </c>
      <c r="C5185" t="s">
        <v>1699</v>
      </c>
      <c r="D5185">
        <v>300</v>
      </c>
      <c r="E5185" t="s">
        <v>1969</v>
      </c>
      <c r="F5185">
        <v>1050</v>
      </c>
      <c r="G5185" t="s">
        <v>44</v>
      </c>
      <c r="H5185">
        <v>2070</v>
      </c>
      <c r="I5185" t="s">
        <v>44</v>
      </c>
      <c r="J5185">
        <v>3225</v>
      </c>
      <c r="K5185" t="s">
        <v>2004</v>
      </c>
      <c r="L5185">
        <v>0</v>
      </c>
      <c r="N5185" t="s">
        <v>721</v>
      </c>
      <c r="O5185">
        <v>8</v>
      </c>
      <c r="P5185">
        <v>7184</v>
      </c>
      <c r="Q5185" t="s">
        <v>1728</v>
      </c>
      <c r="R5185" t="s">
        <v>713</v>
      </c>
      <c r="S5185">
        <v>1</v>
      </c>
      <c r="T5185">
        <v>1</v>
      </c>
      <c r="U5185">
        <v>43.86</v>
      </c>
      <c r="V5185">
        <v>91229</v>
      </c>
    </row>
    <row r="5186" spans="1:22">
      <c r="A5186" t="s">
        <v>196</v>
      </c>
      <c r="B5186">
        <v>81</v>
      </c>
      <c r="C5186" t="s">
        <v>1699</v>
      </c>
      <c r="D5186">
        <v>300</v>
      </c>
      <c r="E5186" t="s">
        <v>1969</v>
      </c>
      <c r="F5186">
        <v>1050</v>
      </c>
      <c r="G5186" t="s">
        <v>44</v>
      </c>
      <c r="H5186">
        <v>2070</v>
      </c>
      <c r="I5186" t="s">
        <v>44</v>
      </c>
      <c r="J5186">
        <v>3225</v>
      </c>
      <c r="K5186" t="s">
        <v>2004</v>
      </c>
      <c r="L5186">
        <v>0</v>
      </c>
      <c r="N5186" t="s">
        <v>721</v>
      </c>
      <c r="O5186">
        <v>8</v>
      </c>
      <c r="P5186">
        <v>7183</v>
      </c>
      <c r="Q5186" t="s">
        <v>986</v>
      </c>
      <c r="R5186" t="s">
        <v>713</v>
      </c>
      <c r="S5186">
        <v>4</v>
      </c>
      <c r="T5186">
        <v>1</v>
      </c>
      <c r="U5186">
        <v>49.46</v>
      </c>
      <c r="V5186">
        <v>411507</v>
      </c>
    </row>
    <row r="5187" spans="1:22">
      <c r="A5187" t="s">
        <v>196</v>
      </c>
      <c r="B5187">
        <v>81</v>
      </c>
      <c r="C5187" t="s">
        <v>1699</v>
      </c>
      <c r="D5187">
        <v>300</v>
      </c>
      <c r="E5187" t="s">
        <v>1969</v>
      </c>
      <c r="F5187">
        <v>1050</v>
      </c>
      <c r="G5187" t="s">
        <v>44</v>
      </c>
      <c r="H5187">
        <v>2070</v>
      </c>
      <c r="I5187" t="s">
        <v>44</v>
      </c>
      <c r="J5187">
        <v>3225</v>
      </c>
      <c r="K5187" t="s">
        <v>2004</v>
      </c>
      <c r="L5187">
        <v>0</v>
      </c>
      <c r="N5187" t="s">
        <v>721</v>
      </c>
      <c r="O5187">
        <v>8</v>
      </c>
      <c r="P5187">
        <v>7183</v>
      </c>
      <c r="Q5187" t="s">
        <v>986</v>
      </c>
      <c r="R5187" t="s">
        <v>713</v>
      </c>
      <c r="S5187">
        <v>16</v>
      </c>
      <c r="T5187">
        <v>1</v>
      </c>
      <c r="U5187">
        <v>48.73</v>
      </c>
      <c r="V5187">
        <v>1621734</v>
      </c>
    </row>
    <row r="5188" spans="1:22">
      <c r="A5188" t="s">
        <v>196</v>
      </c>
      <c r="B5188">
        <v>81</v>
      </c>
      <c r="C5188" t="s">
        <v>1699</v>
      </c>
      <c r="D5188">
        <v>300</v>
      </c>
      <c r="E5188" t="s">
        <v>1969</v>
      </c>
      <c r="F5188">
        <v>1050</v>
      </c>
      <c r="G5188" t="s">
        <v>44</v>
      </c>
      <c r="H5188">
        <v>2070</v>
      </c>
      <c r="I5188" t="s">
        <v>44</v>
      </c>
      <c r="J5188">
        <v>3225</v>
      </c>
      <c r="K5188" t="s">
        <v>2004</v>
      </c>
      <c r="L5188">
        <v>0</v>
      </c>
      <c r="N5188" t="s">
        <v>199</v>
      </c>
      <c r="O5188">
        <v>0</v>
      </c>
      <c r="P5188">
        <v>12</v>
      </c>
      <c r="Q5188" t="s">
        <v>724</v>
      </c>
      <c r="R5188" t="s">
        <v>201</v>
      </c>
      <c r="S5188">
        <v>0</v>
      </c>
      <c r="T5188">
        <v>0</v>
      </c>
      <c r="U5188">
        <v>57713</v>
      </c>
      <c r="V5188">
        <v>57713</v>
      </c>
    </row>
    <row r="5189" spans="1:22">
      <c r="A5189" t="s">
        <v>196</v>
      </c>
      <c r="B5189">
        <v>84</v>
      </c>
      <c r="C5189" t="s">
        <v>1762</v>
      </c>
      <c r="D5189">
        <v>300</v>
      </c>
      <c r="E5189" t="s">
        <v>1969</v>
      </c>
      <c r="F5189">
        <v>1125</v>
      </c>
      <c r="G5189" t="s">
        <v>71</v>
      </c>
      <c r="H5189">
        <v>2125</v>
      </c>
      <c r="I5189" t="s">
        <v>71</v>
      </c>
      <c r="J5189">
        <v>3222</v>
      </c>
      <c r="K5189" t="s">
        <v>2005</v>
      </c>
      <c r="L5189">
        <v>0</v>
      </c>
      <c r="N5189" t="s">
        <v>602</v>
      </c>
      <c r="O5189">
        <v>4</v>
      </c>
      <c r="P5189">
        <v>5814</v>
      </c>
      <c r="Q5189" t="s">
        <v>1898</v>
      </c>
      <c r="R5189" t="s">
        <v>201</v>
      </c>
      <c r="S5189">
        <v>1</v>
      </c>
      <c r="T5189">
        <v>1</v>
      </c>
      <c r="U5189">
        <v>128316</v>
      </c>
      <c r="V5189">
        <v>128316</v>
      </c>
    </row>
    <row r="5190" spans="1:22">
      <c r="A5190" t="s">
        <v>196</v>
      </c>
      <c r="B5190">
        <v>84</v>
      </c>
      <c r="C5190" t="s">
        <v>1762</v>
      </c>
      <c r="D5190">
        <v>300</v>
      </c>
      <c r="E5190" t="s">
        <v>1969</v>
      </c>
      <c r="F5190">
        <v>1125</v>
      </c>
      <c r="G5190" t="s">
        <v>71</v>
      </c>
      <c r="H5190">
        <v>2125</v>
      </c>
      <c r="I5190" t="s">
        <v>71</v>
      </c>
      <c r="J5190">
        <v>3222</v>
      </c>
      <c r="K5190" t="s">
        <v>2005</v>
      </c>
      <c r="L5190">
        <v>0</v>
      </c>
      <c r="N5190" t="s">
        <v>1314</v>
      </c>
      <c r="O5190">
        <v>0</v>
      </c>
      <c r="P5190">
        <v>5635</v>
      </c>
      <c r="Q5190" t="s">
        <v>958</v>
      </c>
      <c r="R5190" t="s">
        <v>201</v>
      </c>
      <c r="S5190">
        <v>1</v>
      </c>
      <c r="T5190">
        <v>1</v>
      </c>
      <c r="U5190">
        <v>133836</v>
      </c>
      <c r="V5190">
        <v>133836</v>
      </c>
    </row>
    <row r="5191" spans="1:22">
      <c r="A5191" t="s">
        <v>196</v>
      </c>
      <c r="B5191">
        <v>84</v>
      </c>
      <c r="C5191" t="s">
        <v>1762</v>
      </c>
      <c r="D5191">
        <v>300</v>
      </c>
      <c r="E5191" t="s">
        <v>1969</v>
      </c>
      <c r="F5191">
        <v>1125</v>
      </c>
      <c r="G5191" t="s">
        <v>71</v>
      </c>
      <c r="H5191">
        <v>2125</v>
      </c>
      <c r="I5191" t="s">
        <v>71</v>
      </c>
      <c r="J5191">
        <v>3222</v>
      </c>
      <c r="K5191" t="s">
        <v>2005</v>
      </c>
      <c r="L5191">
        <v>0</v>
      </c>
      <c r="N5191" t="s">
        <v>602</v>
      </c>
      <c r="O5191">
        <v>4</v>
      </c>
      <c r="P5191">
        <v>5614</v>
      </c>
      <c r="Q5191" t="s">
        <v>1783</v>
      </c>
      <c r="R5191" t="s">
        <v>201</v>
      </c>
      <c r="S5191">
        <v>1</v>
      </c>
      <c r="T5191">
        <v>1</v>
      </c>
      <c r="U5191">
        <v>141564</v>
      </c>
      <c r="V5191">
        <v>141564</v>
      </c>
    </row>
    <row r="5192" spans="1:22">
      <c r="A5192" t="s">
        <v>196</v>
      </c>
      <c r="B5192">
        <v>84</v>
      </c>
      <c r="C5192" t="s">
        <v>1762</v>
      </c>
      <c r="D5192">
        <v>300</v>
      </c>
      <c r="E5192" t="s">
        <v>1969</v>
      </c>
      <c r="F5192">
        <v>1125</v>
      </c>
      <c r="G5192" t="s">
        <v>71</v>
      </c>
      <c r="H5192">
        <v>2125</v>
      </c>
      <c r="I5192" t="s">
        <v>71</v>
      </c>
      <c r="J5192">
        <v>3222</v>
      </c>
      <c r="K5192" t="s">
        <v>2005</v>
      </c>
      <c r="L5192">
        <v>0</v>
      </c>
      <c r="N5192" t="s">
        <v>622</v>
      </c>
      <c r="O5192">
        <v>1</v>
      </c>
      <c r="P5192" t="s">
        <v>667</v>
      </c>
      <c r="Q5192" t="s">
        <v>205</v>
      </c>
      <c r="R5192" t="s">
        <v>201</v>
      </c>
      <c r="S5192">
        <v>1</v>
      </c>
      <c r="T5192">
        <v>1</v>
      </c>
      <c r="U5192">
        <v>90144</v>
      </c>
      <c r="V5192">
        <v>90144</v>
      </c>
    </row>
    <row r="5193" spans="1:22">
      <c r="A5193" t="s">
        <v>196</v>
      </c>
      <c r="B5193">
        <v>84</v>
      </c>
      <c r="C5193" t="s">
        <v>1762</v>
      </c>
      <c r="D5193">
        <v>300</v>
      </c>
      <c r="E5193" t="s">
        <v>1969</v>
      </c>
      <c r="F5193">
        <v>1125</v>
      </c>
      <c r="G5193" t="s">
        <v>71</v>
      </c>
      <c r="H5193">
        <v>2125</v>
      </c>
      <c r="I5193" t="s">
        <v>71</v>
      </c>
      <c r="J5193">
        <v>3222</v>
      </c>
      <c r="K5193" t="s">
        <v>2005</v>
      </c>
      <c r="L5193">
        <v>0</v>
      </c>
      <c r="N5193" t="s">
        <v>199</v>
      </c>
      <c r="O5193">
        <v>0</v>
      </c>
      <c r="P5193">
        <v>15</v>
      </c>
      <c r="Q5193" t="s">
        <v>264</v>
      </c>
      <c r="R5193" t="s">
        <v>201</v>
      </c>
      <c r="S5193">
        <v>0</v>
      </c>
      <c r="T5193">
        <v>0</v>
      </c>
      <c r="U5193">
        <v>474</v>
      </c>
      <c r="V5193">
        <v>474</v>
      </c>
    </row>
    <row r="5194" spans="1:22">
      <c r="A5194" t="s">
        <v>196</v>
      </c>
      <c r="B5194">
        <v>84</v>
      </c>
      <c r="C5194" t="s">
        <v>1762</v>
      </c>
      <c r="D5194">
        <v>300</v>
      </c>
      <c r="E5194" t="s">
        <v>1969</v>
      </c>
      <c r="F5194">
        <v>1125</v>
      </c>
      <c r="G5194" t="s">
        <v>71</v>
      </c>
      <c r="H5194">
        <v>2125</v>
      </c>
      <c r="I5194" t="s">
        <v>71</v>
      </c>
      <c r="J5194">
        <v>3223</v>
      </c>
      <c r="K5194" t="s">
        <v>2006</v>
      </c>
      <c r="L5194">
        <v>0</v>
      </c>
      <c r="N5194" t="s">
        <v>255</v>
      </c>
      <c r="O5194">
        <v>1</v>
      </c>
      <c r="P5194">
        <v>6145</v>
      </c>
      <c r="Q5194" t="s">
        <v>1766</v>
      </c>
      <c r="R5194" t="s">
        <v>201</v>
      </c>
      <c r="S5194">
        <v>1</v>
      </c>
      <c r="T5194">
        <v>1</v>
      </c>
      <c r="U5194">
        <v>143400</v>
      </c>
      <c r="V5194">
        <v>143400</v>
      </c>
    </row>
    <row r="5195" spans="1:22">
      <c r="A5195" t="s">
        <v>196</v>
      </c>
      <c r="B5195">
        <v>84</v>
      </c>
      <c r="C5195" t="s">
        <v>1762</v>
      </c>
      <c r="D5195">
        <v>300</v>
      </c>
      <c r="E5195" t="s">
        <v>1969</v>
      </c>
      <c r="F5195">
        <v>1125</v>
      </c>
      <c r="G5195" t="s">
        <v>71</v>
      </c>
      <c r="H5195">
        <v>2125</v>
      </c>
      <c r="I5195" t="s">
        <v>71</v>
      </c>
      <c r="J5195">
        <v>3223</v>
      </c>
      <c r="K5195" t="s">
        <v>2006</v>
      </c>
      <c r="L5195">
        <v>0</v>
      </c>
      <c r="N5195" t="s">
        <v>255</v>
      </c>
      <c r="O5195">
        <v>1</v>
      </c>
      <c r="P5195">
        <v>6145</v>
      </c>
      <c r="Q5195" t="s">
        <v>1766</v>
      </c>
      <c r="R5195" t="s">
        <v>201</v>
      </c>
      <c r="S5195">
        <v>1</v>
      </c>
      <c r="T5195">
        <v>1</v>
      </c>
      <c r="U5195">
        <v>82644</v>
      </c>
      <c r="V5195">
        <v>82644</v>
      </c>
    </row>
    <row r="5196" spans="1:22">
      <c r="A5196" t="s">
        <v>196</v>
      </c>
      <c r="B5196">
        <v>84</v>
      </c>
      <c r="C5196" t="s">
        <v>1762</v>
      </c>
      <c r="D5196">
        <v>300</v>
      </c>
      <c r="E5196" t="s">
        <v>1969</v>
      </c>
      <c r="F5196">
        <v>1125</v>
      </c>
      <c r="G5196" t="s">
        <v>71</v>
      </c>
      <c r="H5196">
        <v>2125</v>
      </c>
      <c r="I5196" t="s">
        <v>71</v>
      </c>
      <c r="J5196">
        <v>3223</v>
      </c>
      <c r="K5196" t="s">
        <v>2006</v>
      </c>
      <c r="L5196">
        <v>0</v>
      </c>
      <c r="N5196" t="s">
        <v>341</v>
      </c>
      <c r="O5196">
        <v>1</v>
      </c>
      <c r="P5196">
        <v>6143</v>
      </c>
      <c r="Q5196" t="s">
        <v>1833</v>
      </c>
      <c r="R5196" t="s">
        <v>201</v>
      </c>
      <c r="S5196">
        <v>1</v>
      </c>
      <c r="T5196">
        <v>1</v>
      </c>
      <c r="U5196">
        <v>85200</v>
      </c>
      <c r="V5196">
        <v>85200</v>
      </c>
    </row>
    <row r="5197" spans="1:22">
      <c r="A5197" t="s">
        <v>196</v>
      </c>
      <c r="B5197">
        <v>84</v>
      </c>
      <c r="C5197" t="s">
        <v>1762</v>
      </c>
      <c r="D5197">
        <v>300</v>
      </c>
      <c r="E5197" t="s">
        <v>1969</v>
      </c>
      <c r="F5197">
        <v>1125</v>
      </c>
      <c r="G5197" t="s">
        <v>71</v>
      </c>
      <c r="H5197">
        <v>2125</v>
      </c>
      <c r="I5197" t="s">
        <v>71</v>
      </c>
      <c r="J5197">
        <v>3223</v>
      </c>
      <c r="K5197" t="s">
        <v>2006</v>
      </c>
      <c r="L5197">
        <v>0</v>
      </c>
      <c r="N5197" t="s">
        <v>1314</v>
      </c>
      <c r="O5197">
        <v>10</v>
      </c>
      <c r="P5197">
        <v>5905</v>
      </c>
      <c r="Q5197" t="s">
        <v>1809</v>
      </c>
      <c r="R5197" t="s">
        <v>201</v>
      </c>
      <c r="S5197">
        <v>1</v>
      </c>
      <c r="T5197">
        <v>1</v>
      </c>
      <c r="U5197">
        <v>160680</v>
      </c>
      <c r="V5197">
        <v>160680</v>
      </c>
    </row>
    <row r="5198" spans="1:22">
      <c r="A5198" t="s">
        <v>196</v>
      </c>
      <c r="B5198">
        <v>84</v>
      </c>
      <c r="C5198" t="s">
        <v>1762</v>
      </c>
      <c r="D5198">
        <v>300</v>
      </c>
      <c r="E5198" t="s">
        <v>1969</v>
      </c>
      <c r="F5198">
        <v>1125</v>
      </c>
      <c r="G5198" t="s">
        <v>71</v>
      </c>
      <c r="H5198">
        <v>2125</v>
      </c>
      <c r="I5198" t="s">
        <v>71</v>
      </c>
      <c r="J5198">
        <v>3223</v>
      </c>
      <c r="K5198" t="s">
        <v>2006</v>
      </c>
      <c r="L5198">
        <v>0</v>
      </c>
      <c r="N5198" t="s">
        <v>271</v>
      </c>
      <c r="O5198">
        <v>20</v>
      </c>
      <c r="P5198">
        <v>5630</v>
      </c>
      <c r="Q5198" t="s">
        <v>955</v>
      </c>
      <c r="R5198" t="s">
        <v>201</v>
      </c>
      <c r="S5198">
        <v>1</v>
      </c>
      <c r="T5198">
        <v>1</v>
      </c>
      <c r="U5198">
        <v>135744</v>
      </c>
      <c r="V5198">
        <v>135744</v>
      </c>
    </row>
    <row r="5199" spans="1:22">
      <c r="A5199" t="s">
        <v>196</v>
      </c>
      <c r="B5199">
        <v>84</v>
      </c>
      <c r="C5199" t="s">
        <v>1762</v>
      </c>
      <c r="D5199">
        <v>300</v>
      </c>
      <c r="E5199" t="s">
        <v>1969</v>
      </c>
      <c r="F5199">
        <v>1125</v>
      </c>
      <c r="G5199" t="s">
        <v>71</v>
      </c>
      <c r="H5199">
        <v>2125</v>
      </c>
      <c r="I5199" t="s">
        <v>71</v>
      </c>
      <c r="J5199">
        <v>3223</v>
      </c>
      <c r="K5199" t="s">
        <v>2006</v>
      </c>
      <c r="L5199">
        <v>0</v>
      </c>
      <c r="N5199" t="s">
        <v>602</v>
      </c>
      <c r="O5199">
        <v>4</v>
      </c>
      <c r="P5199">
        <v>5614</v>
      </c>
      <c r="Q5199" t="s">
        <v>1783</v>
      </c>
      <c r="R5199" t="s">
        <v>201</v>
      </c>
      <c r="S5199">
        <v>1</v>
      </c>
      <c r="T5199">
        <v>1</v>
      </c>
      <c r="U5199">
        <v>141564</v>
      </c>
      <c r="V5199">
        <v>141564</v>
      </c>
    </row>
    <row r="5200" spans="1:22">
      <c r="A5200" t="s">
        <v>196</v>
      </c>
      <c r="B5200">
        <v>84</v>
      </c>
      <c r="C5200" t="s">
        <v>1762</v>
      </c>
      <c r="D5200">
        <v>300</v>
      </c>
      <c r="E5200" t="s">
        <v>1969</v>
      </c>
      <c r="F5200">
        <v>1125</v>
      </c>
      <c r="G5200" t="s">
        <v>71</v>
      </c>
      <c r="H5200">
        <v>2125</v>
      </c>
      <c r="I5200" t="s">
        <v>71</v>
      </c>
      <c r="J5200">
        <v>3223</v>
      </c>
      <c r="K5200" t="s">
        <v>2006</v>
      </c>
      <c r="L5200">
        <v>0</v>
      </c>
      <c r="N5200" t="s">
        <v>602</v>
      </c>
      <c r="O5200">
        <v>4</v>
      </c>
      <c r="P5200">
        <v>5614</v>
      </c>
      <c r="Q5200" t="s">
        <v>1783</v>
      </c>
      <c r="R5200" t="s">
        <v>201</v>
      </c>
      <c r="S5200">
        <v>1</v>
      </c>
      <c r="T5200">
        <v>1</v>
      </c>
      <c r="U5200">
        <v>117636</v>
      </c>
      <c r="V5200">
        <v>117636</v>
      </c>
    </row>
    <row r="5201" spans="1:22">
      <c r="A5201" t="s">
        <v>196</v>
      </c>
      <c r="B5201">
        <v>84</v>
      </c>
      <c r="C5201" t="s">
        <v>1762</v>
      </c>
      <c r="D5201">
        <v>300</v>
      </c>
      <c r="E5201" t="s">
        <v>1969</v>
      </c>
      <c r="F5201">
        <v>1125</v>
      </c>
      <c r="G5201" t="s">
        <v>71</v>
      </c>
      <c r="H5201">
        <v>2125</v>
      </c>
      <c r="I5201" t="s">
        <v>71</v>
      </c>
      <c r="J5201">
        <v>3223</v>
      </c>
      <c r="K5201" t="s">
        <v>2006</v>
      </c>
      <c r="L5201">
        <v>0</v>
      </c>
      <c r="N5201" t="s">
        <v>199</v>
      </c>
      <c r="O5201">
        <v>0</v>
      </c>
      <c r="P5201">
        <v>15</v>
      </c>
      <c r="Q5201" t="s">
        <v>264</v>
      </c>
      <c r="R5201" t="s">
        <v>201</v>
      </c>
      <c r="S5201">
        <v>0</v>
      </c>
      <c r="T5201">
        <v>0</v>
      </c>
      <c r="U5201">
        <v>4449</v>
      </c>
      <c r="V5201">
        <v>4449</v>
      </c>
    </row>
    <row r="5202" spans="1:22">
      <c r="A5202" t="s">
        <v>196</v>
      </c>
      <c r="B5202">
        <v>84</v>
      </c>
      <c r="C5202" t="s">
        <v>1762</v>
      </c>
      <c r="D5202">
        <v>300</v>
      </c>
      <c r="E5202" t="s">
        <v>1969</v>
      </c>
      <c r="F5202">
        <v>1125</v>
      </c>
      <c r="G5202" t="s">
        <v>71</v>
      </c>
      <c r="H5202">
        <v>2125</v>
      </c>
      <c r="I5202" t="s">
        <v>71</v>
      </c>
      <c r="J5202">
        <v>3224</v>
      </c>
      <c r="K5202" t="s">
        <v>2007</v>
      </c>
      <c r="L5202">
        <v>4226</v>
      </c>
      <c r="M5202" t="s">
        <v>2008</v>
      </c>
      <c r="N5202" t="s">
        <v>602</v>
      </c>
      <c r="O5202">
        <v>4</v>
      </c>
      <c r="P5202">
        <v>6254</v>
      </c>
      <c r="Q5202" t="s">
        <v>1796</v>
      </c>
      <c r="R5202" t="s">
        <v>201</v>
      </c>
      <c r="S5202">
        <v>1</v>
      </c>
      <c r="T5202">
        <v>1</v>
      </c>
      <c r="U5202">
        <v>134184</v>
      </c>
      <c r="V5202">
        <v>134184</v>
      </c>
    </row>
    <row r="5203" spans="1:22">
      <c r="A5203" t="s">
        <v>196</v>
      </c>
      <c r="B5203">
        <v>84</v>
      </c>
      <c r="C5203" t="s">
        <v>1762</v>
      </c>
      <c r="D5203">
        <v>300</v>
      </c>
      <c r="E5203" t="s">
        <v>1969</v>
      </c>
      <c r="F5203">
        <v>1125</v>
      </c>
      <c r="G5203" t="s">
        <v>71</v>
      </c>
      <c r="H5203">
        <v>2125</v>
      </c>
      <c r="I5203" t="s">
        <v>71</v>
      </c>
      <c r="J5203">
        <v>3224</v>
      </c>
      <c r="K5203" t="s">
        <v>2007</v>
      </c>
      <c r="L5203">
        <v>4226</v>
      </c>
      <c r="M5203" t="s">
        <v>2008</v>
      </c>
      <c r="N5203" t="s">
        <v>1314</v>
      </c>
      <c r="O5203">
        <v>10</v>
      </c>
      <c r="P5203">
        <v>5905</v>
      </c>
      <c r="Q5203" t="s">
        <v>1809</v>
      </c>
      <c r="R5203" t="s">
        <v>201</v>
      </c>
      <c r="S5203">
        <v>1</v>
      </c>
      <c r="T5203">
        <v>1</v>
      </c>
      <c r="U5203">
        <v>167700</v>
      </c>
      <c r="V5203">
        <v>167700</v>
      </c>
    </row>
    <row r="5204" spans="1:22">
      <c r="A5204" t="s">
        <v>196</v>
      </c>
      <c r="B5204">
        <v>84</v>
      </c>
      <c r="C5204" t="s">
        <v>1762</v>
      </c>
      <c r="D5204">
        <v>300</v>
      </c>
      <c r="E5204" t="s">
        <v>1969</v>
      </c>
      <c r="F5204">
        <v>1125</v>
      </c>
      <c r="G5204" t="s">
        <v>71</v>
      </c>
      <c r="H5204">
        <v>2125</v>
      </c>
      <c r="I5204" t="s">
        <v>71</v>
      </c>
      <c r="J5204">
        <v>3224</v>
      </c>
      <c r="K5204" t="s">
        <v>2007</v>
      </c>
      <c r="L5204">
        <v>4226</v>
      </c>
      <c r="M5204" t="s">
        <v>2008</v>
      </c>
      <c r="N5204" t="s">
        <v>271</v>
      </c>
      <c r="O5204">
        <v>20</v>
      </c>
      <c r="P5204">
        <v>5630</v>
      </c>
      <c r="Q5204" t="s">
        <v>955</v>
      </c>
      <c r="R5204" t="s">
        <v>201</v>
      </c>
      <c r="S5204">
        <v>1</v>
      </c>
      <c r="T5204">
        <v>1</v>
      </c>
      <c r="U5204">
        <v>131124</v>
      </c>
      <c r="V5204">
        <v>131124</v>
      </c>
    </row>
    <row r="5205" spans="1:22">
      <c r="A5205" t="s">
        <v>196</v>
      </c>
      <c r="B5205">
        <v>84</v>
      </c>
      <c r="C5205" t="s">
        <v>1762</v>
      </c>
      <c r="D5205">
        <v>300</v>
      </c>
      <c r="E5205" t="s">
        <v>1969</v>
      </c>
      <c r="F5205">
        <v>1125</v>
      </c>
      <c r="G5205" t="s">
        <v>71</v>
      </c>
      <c r="H5205">
        <v>2125</v>
      </c>
      <c r="I5205" t="s">
        <v>71</v>
      </c>
      <c r="J5205">
        <v>3224</v>
      </c>
      <c r="K5205" t="s">
        <v>2007</v>
      </c>
      <c r="L5205">
        <v>4226</v>
      </c>
      <c r="M5205" t="s">
        <v>2008</v>
      </c>
      <c r="N5205" t="s">
        <v>271</v>
      </c>
      <c r="O5205">
        <v>20</v>
      </c>
      <c r="P5205">
        <v>5630</v>
      </c>
      <c r="Q5205" t="s">
        <v>955</v>
      </c>
      <c r="R5205" t="s">
        <v>201</v>
      </c>
      <c r="S5205">
        <v>1</v>
      </c>
      <c r="T5205">
        <v>1</v>
      </c>
      <c r="U5205">
        <v>115992</v>
      </c>
      <c r="V5205">
        <v>115992</v>
      </c>
    </row>
    <row r="5206" spans="1:22">
      <c r="A5206" t="s">
        <v>196</v>
      </c>
      <c r="B5206">
        <v>84</v>
      </c>
      <c r="C5206" t="s">
        <v>1762</v>
      </c>
      <c r="D5206">
        <v>300</v>
      </c>
      <c r="E5206" t="s">
        <v>1969</v>
      </c>
      <c r="F5206">
        <v>1125</v>
      </c>
      <c r="G5206" t="s">
        <v>71</v>
      </c>
      <c r="H5206">
        <v>2125</v>
      </c>
      <c r="I5206" t="s">
        <v>71</v>
      </c>
      <c r="J5206">
        <v>3224</v>
      </c>
      <c r="K5206" t="s">
        <v>2007</v>
      </c>
      <c r="L5206">
        <v>4226</v>
      </c>
      <c r="M5206" t="s">
        <v>2008</v>
      </c>
      <c r="N5206" t="s">
        <v>333</v>
      </c>
      <c r="O5206">
        <v>4</v>
      </c>
      <c r="P5206">
        <v>5615</v>
      </c>
      <c r="Q5206" t="s">
        <v>1782</v>
      </c>
      <c r="R5206" t="s">
        <v>201</v>
      </c>
      <c r="S5206">
        <v>1</v>
      </c>
      <c r="T5206">
        <v>1</v>
      </c>
      <c r="U5206">
        <v>154764</v>
      </c>
      <c r="V5206">
        <v>154764</v>
      </c>
    </row>
    <row r="5207" spans="1:22">
      <c r="A5207" t="s">
        <v>196</v>
      </c>
      <c r="B5207">
        <v>84</v>
      </c>
      <c r="C5207" t="s">
        <v>1762</v>
      </c>
      <c r="D5207">
        <v>300</v>
      </c>
      <c r="E5207" t="s">
        <v>1969</v>
      </c>
      <c r="F5207">
        <v>1125</v>
      </c>
      <c r="G5207" t="s">
        <v>71</v>
      </c>
      <c r="H5207">
        <v>2125</v>
      </c>
      <c r="I5207" t="s">
        <v>71</v>
      </c>
      <c r="J5207">
        <v>3224</v>
      </c>
      <c r="K5207" t="s">
        <v>2007</v>
      </c>
      <c r="L5207">
        <v>4226</v>
      </c>
      <c r="M5207" t="s">
        <v>2008</v>
      </c>
      <c r="N5207" t="s">
        <v>333</v>
      </c>
      <c r="O5207">
        <v>4</v>
      </c>
      <c r="P5207">
        <v>5615</v>
      </c>
      <c r="Q5207" t="s">
        <v>1782</v>
      </c>
      <c r="R5207" t="s">
        <v>201</v>
      </c>
      <c r="S5207">
        <v>1</v>
      </c>
      <c r="T5207">
        <v>1</v>
      </c>
      <c r="U5207">
        <v>146448</v>
      </c>
      <c r="V5207">
        <v>146448</v>
      </c>
    </row>
    <row r="5208" spans="1:22">
      <c r="A5208" t="s">
        <v>196</v>
      </c>
      <c r="B5208">
        <v>84</v>
      </c>
      <c r="C5208" t="s">
        <v>1762</v>
      </c>
      <c r="D5208">
        <v>300</v>
      </c>
      <c r="E5208" t="s">
        <v>1969</v>
      </c>
      <c r="F5208">
        <v>1125</v>
      </c>
      <c r="G5208" t="s">
        <v>71</v>
      </c>
      <c r="H5208">
        <v>2125</v>
      </c>
      <c r="I5208" t="s">
        <v>71</v>
      </c>
      <c r="J5208">
        <v>3224</v>
      </c>
      <c r="K5208" t="s">
        <v>2007</v>
      </c>
      <c r="L5208">
        <v>4226</v>
      </c>
      <c r="M5208" t="s">
        <v>2008</v>
      </c>
      <c r="N5208" t="s">
        <v>602</v>
      </c>
      <c r="O5208">
        <v>4</v>
      </c>
      <c r="P5208">
        <v>5614</v>
      </c>
      <c r="Q5208" t="s">
        <v>1783</v>
      </c>
      <c r="R5208" t="s">
        <v>201</v>
      </c>
      <c r="S5208">
        <v>1</v>
      </c>
      <c r="T5208">
        <v>1</v>
      </c>
      <c r="U5208">
        <v>99408</v>
      </c>
      <c r="V5208">
        <v>99408</v>
      </c>
    </row>
    <row r="5209" spans="1:22">
      <c r="A5209" t="s">
        <v>196</v>
      </c>
      <c r="B5209">
        <v>84</v>
      </c>
      <c r="C5209" t="s">
        <v>1762</v>
      </c>
      <c r="D5209">
        <v>300</v>
      </c>
      <c r="E5209" t="s">
        <v>1969</v>
      </c>
      <c r="F5209">
        <v>1125</v>
      </c>
      <c r="G5209" t="s">
        <v>71</v>
      </c>
      <c r="H5209">
        <v>2125</v>
      </c>
      <c r="I5209" t="s">
        <v>71</v>
      </c>
      <c r="J5209">
        <v>3224</v>
      </c>
      <c r="K5209" t="s">
        <v>2007</v>
      </c>
      <c r="L5209">
        <v>4226</v>
      </c>
      <c r="M5209" t="s">
        <v>2008</v>
      </c>
      <c r="N5209" t="s">
        <v>356</v>
      </c>
      <c r="O5209">
        <v>4</v>
      </c>
      <c r="P5209">
        <v>5613</v>
      </c>
      <c r="Q5209" t="s">
        <v>1767</v>
      </c>
      <c r="R5209" t="s">
        <v>201</v>
      </c>
      <c r="S5209">
        <v>1</v>
      </c>
      <c r="T5209">
        <v>1</v>
      </c>
      <c r="U5209">
        <v>102516</v>
      </c>
      <c r="V5209">
        <v>102516</v>
      </c>
    </row>
    <row r="5210" spans="1:22">
      <c r="A5210" t="s">
        <v>196</v>
      </c>
      <c r="B5210">
        <v>84</v>
      </c>
      <c r="C5210" t="s">
        <v>1762</v>
      </c>
      <c r="D5210">
        <v>300</v>
      </c>
      <c r="E5210" t="s">
        <v>1969</v>
      </c>
      <c r="F5210">
        <v>1125</v>
      </c>
      <c r="G5210" t="s">
        <v>71</v>
      </c>
      <c r="H5210">
        <v>2125</v>
      </c>
      <c r="I5210" t="s">
        <v>71</v>
      </c>
      <c r="J5210">
        <v>3224</v>
      </c>
      <c r="K5210" t="s">
        <v>2007</v>
      </c>
      <c r="L5210">
        <v>4226</v>
      </c>
      <c r="M5210" t="s">
        <v>2008</v>
      </c>
      <c r="N5210" t="s">
        <v>199</v>
      </c>
      <c r="O5210">
        <v>0</v>
      </c>
      <c r="P5210">
        <v>15</v>
      </c>
      <c r="Q5210" t="s">
        <v>264</v>
      </c>
      <c r="R5210" t="s">
        <v>201</v>
      </c>
      <c r="S5210">
        <v>0</v>
      </c>
      <c r="T5210">
        <v>0</v>
      </c>
      <c r="U5210">
        <v>11646</v>
      </c>
      <c r="V5210">
        <v>11646</v>
      </c>
    </row>
    <row r="5211" spans="1:22">
      <c r="A5211" t="s">
        <v>196</v>
      </c>
      <c r="B5211">
        <v>84</v>
      </c>
      <c r="C5211" t="s">
        <v>1762</v>
      </c>
      <c r="D5211">
        <v>300</v>
      </c>
      <c r="E5211" t="s">
        <v>1969</v>
      </c>
      <c r="F5211">
        <v>1125</v>
      </c>
      <c r="G5211" t="s">
        <v>71</v>
      </c>
      <c r="H5211">
        <v>2125</v>
      </c>
      <c r="I5211" t="s">
        <v>71</v>
      </c>
      <c r="J5211">
        <v>3225</v>
      </c>
      <c r="K5211" t="s">
        <v>1763</v>
      </c>
      <c r="L5211">
        <v>0</v>
      </c>
      <c r="N5211" t="s">
        <v>1294</v>
      </c>
      <c r="O5211">
        <v>0</v>
      </c>
      <c r="P5211">
        <v>9681</v>
      </c>
      <c r="Q5211" t="s">
        <v>338</v>
      </c>
      <c r="R5211" t="s">
        <v>201</v>
      </c>
      <c r="S5211">
        <v>1</v>
      </c>
      <c r="T5211">
        <v>1</v>
      </c>
      <c r="U5211">
        <v>184584</v>
      </c>
      <c r="V5211">
        <v>184584</v>
      </c>
    </row>
    <row r="5212" spans="1:22">
      <c r="A5212" t="s">
        <v>196</v>
      </c>
      <c r="B5212">
        <v>84</v>
      </c>
      <c r="C5212" t="s">
        <v>1762</v>
      </c>
      <c r="D5212">
        <v>300</v>
      </c>
      <c r="E5212" t="s">
        <v>1969</v>
      </c>
      <c r="F5212">
        <v>1125</v>
      </c>
      <c r="G5212" t="s">
        <v>71</v>
      </c>
      <c r="H5212">
        <v>2125</v>
      </c>
      <c r="I5212" t="s">
        <v>71</v>
      </c>
      <c r="J5212">
        <v>3225</v>
      </c>
      <c r="K5212" t="s">
        <v>1763</v>
      </c>
      <c r="L5212">
        <v>0</v>
      </c>
      <c r="N5212" t="s">
        <v>392</v>
      </c>
      <c r="O5212">
        <v>4</v>
      </c>
      <c r="P5212">
        <v>345</v>
      </c>
      <c r="Q5212" t="s">
        <v>393</v>
      </c>
      <c r="R5212" t="s">
        <v>201</v>
      </c>
      <c r="S5212">
        <v>1</v>
      </c>
      <c r="T5212">
        <v>1</v>
      </c>
      <c r="U5212">
        <v>107508</v>
      </c>
      <c r="V5212">
        <v>107508</v>
      </c>
    </row>
    <row r="5213" spans="1:22">
      <c r="A5213" t="s">
        <v>196</v>
      </c>
      <c r="B5213">
        <v>84</v>
      </c>
      <c r="C5213" t="s">
        <v>1762</v>
      </c>
      <c r="D5213">
        <v>300</v>
      </c>
      <c r="E5213" t="s">
        <v>1969</v>
      </c>
      <c r="F5213">
        <v>1125</v>
      </c>
      <c r="G5213" t="s">
        <v>71</v>
      </c>
      <c r="H5213">
        <v>2125</v>
      </c>
      <c r="I5213" t="s">
        <v>71</v>
      </c>
      <c r="J5213">
        <v>3225</v>
      </c>
      <c r="K5213" t="s">
        <v>1763</v>
      </c>
      <c r="L5213">
        <v>0</v>
      </c>
      <c r="N5213" t="s">
        <v>341</v>
      </c>
      <c r="O5213">
        <v>1</v>
      </c>
      <c r="P5213">
        <v>308</v>
      </c>
      <c r="Q5213" t="s">
        <v>355</v>
      </c>
      <c r="R5213" t="s">
        <v>201</v>
      </c>
      <c r="S5213">
        <v>1</v>
      </c>
      <c r="T5213">
        <v>1</v>
      </c>
      <c r="U5213">
        <v>119100</v>
      </c>
      <c r="V5213">
        <v>119100</v>
      </c>
    </row>
    <row r="5214" spans="1:22">
      <c r="A5214" t="s">
        <v>196</v>
      </c>
      <c r="B5214">
        <v>84</v>
      </c>
      <c r="C5214" t="s">
        <v>1762</v>
      </c>
      <c r="D5214">
        <v>300</v>
      </c>
      <c r="E5214" t="s">
        <v>1969</v>
      </c>
      <c r="F5214">
        <v>1125</v>
      </c>
      <c r="G5214" t="s">
        <v>71</v>
      </c>
      <c r="H5214">
        <v>2125</v>
      </c>
      <c r="I5214" t="s">
        <v>71</v>
      </c>
      <c r="J5214">
        <v>3225</v>
      </c>
      <c r="K5214" t="s">
        <v>1763</v>
      </c>
      <c r="L5214">
        <v>0</v>
      </c>
      <c r="N5214" t="s">
        <v>199</v>
      </c>
      <c r="O5214">
        <v>0</v>
      </c>
      <c r="P5214">
        <v>15</v>
      </c>
      <c r="Q5214" t="s">
        <v>264</v>
      </c>
      <c r="R5214" t="s">
        <v>201</v>
      </c>
      <c r="S5214">
        <v>0</v>
      </c>
      <c r="T5214">
        <v>0</v>
      </c>
      <c r="U5214">
        <v>6451</v>
      </c>
      <c r="V5214">
        <v>6451</v>
      </c>
    </row>
    <row r="5215" spans="1:22">
      <c r="A5215" t="s">
        <v>196</v>
      </c>
      <c r="B5215">
        <v>84</v>
      </c>
      <c r="C5215" t="s">
        <v>1762</v>
      </c>
      <c r="D5215">
        <v>300</v>
      </c>
      <c r="E5215" t="s">
        <v>1969</v>
      </c>
      <c r="F5215">
        <v>1125</v>
      </c>
      <c r="G5215" t="s">
        <v>71</v>
      </c>
      <c r="H5215">
        <v>2125</v>
      </c>
      <c r="I5215" t="s">
        <v>71</v>
      </c>
      <c r="J5215">
        <v>3228</v>
      </c>
      <c r="K5215" t="s">
        <v>2009</v>
      </c>
      <c r="L5215">
        <v>0</v>
      </c>
      <c r="N5215" t="s">
        <v>1314</v>
      </c>
      <c r="O5215">
        <v>10</v>
      </c>
      <c r="P5215">
        <v>5905</v>
      </c>
      <c r="Q5215" t="s">
        <v>1809</v>
      </c>
      <c r="R5215" t="s">
        <v>201</v>
      </c>
      <c r="S5215">
        <v>1</v>
      </c>
      <c r="T5215">
        <v>1</v>
      </c>
      <c r="U5215">
        <v>160680</v>
      </c>
      <c r="V5215">
        <v>160680</v>
      </c>
    </row>
    <row r="5216" spans="1:22">
      <c r="A5216" t="s">
        <v>196</v>
      </c>
      <c r="B5216">
        <v>84</v>
      </c>
      <c r="C5216" t="s">
        <v>1762</v>
      </c>
      <c r="D5216">
        <v>300</v>
      </c>
      <c r="E5216" t="s">
        <v>1969</v>
      </c>
      <c r="F5216">
        <v>1125</v>
      </c>
      <c r="G5216" t="s">
        <v>71</v>
      </c>
      <c r="H5216">
        <v>2125</v>
      </c>
      <c r="I5216" t="s">
        <v>71</v>
      </c>
      <c r="J5216">
        <v>3228</v>
      </c>
      <c r="K5216" t="s">
        <v>2009</v>
      </c>
      <c r="L5216">
        <v>0</v>
      </c>
      <c r="N5216" t="s">
        <v>602</v>
      </c>
      <c r="O5216">
        <v>4</v>
      </c>
      <c r="P5216">
        <v>5614</v>
      </c>
      <c r="Q5216" t="s">
        <v>1783</v>
      </c>
      <c r="R5216" t="s">
        <v>201</v>
      </c>
      <c r="S5216">
        <v>1</v>
      </c>
      <c r="T5216">
        <v>1</v>
      </c>
      <c r="U5216">
        <v>141564</v>
      </c>
      <c r="V5216">
        <v>141564</v>
      </c>
    </row>
    <row r="5217" spans="1:22">
      <c r="A5217" t="s">
        <v>196</v>
      </c>
      <c r="B5217">
        <v>84</v>
      </c>
      <c r="C5217" t="s">
        <v>1762</v>
      </c>
      <c r="D5217">
        <v>300</v>
      </c>
      <c r="E5217" t="s">
        <v>1969</v>
      </c>
      <c r="F5217">
        <v>1125</v>
      </c>
      <c r="G5217" t="s">
        <v>71</v>
      </c>
      <c r="H5217">
        <v>2125</v>
      </c>
      <c r="I5217" t="s">
        <v>71</v>
      </c>
      <c r="J5217">
        <v>3228</v>
      </c>
      <c r="K5217" t="s">
        <v>2009</v>
      </c>
      <c r="L5217">
        <v>0</v>
      </c>
      <c r="N5217" t="s">
        <v>602</v>
      </c>
      <c r="O5217">
        <v>4</v>
      </c>
      <c r="P5217">
        <v>5614</v>
      </c>
      <c r="Q5217" t="s">
        <v>1783</v>
      </c>
      <c r="R5217" t="s">
        <v>201</v>
      </c>
      <c r="S5217">
        <v>1</v>
      </c>
      <c r="T5217">
        <v>1</v>
      </c>
      <c r="U5217">
        <v>117636</v>
      </c>
      <c r="V5217">
        <v>117636</v>
      </c>
    </row>
    <row r="5218" spans="1:22">
      <c r="A5218" t="s">
        <v>196</v>
      </c>
      <c r="B5218">
        <v>84</v>
      </c>
      <c r="C5218" t="s">
        <v>1762</v>
      </c>
      <c r="D5218">
        <v>300</v>
      </c>
      <c r="E5218" t="s">
        <v>1969</v>
      </c>
      <c r="F5218">
        <v>1125</v>
      </c>
      <c r="G5218" t="s">
        <v>71</v>
      </c>
      <c r="H5218">
        <v>2125</v>
      </c>
      <c r="I5218" t="s">
        <v>71</v>
      </c>
      <c r="J5218">
        <v>3228</v>
      </c>
      <c r="K5218" t="s">
        <v>2009</v>
      </c>
      <c r="L5218">
        <v>0</v>
      </c>
      <c r="N5218" t="s">
        <v>199</v>
      </c>
      <c r="O5218">
        <v>0</v>
      </c>
      <c r="P5218">
        <v>15</v>
      </c>
      <c r="Q5218" t="s">
        <v>264</v>
      </c>
      <c r="R5218" t="s">
        <v>201</v>
      </c>
      <c r="S5218">
        <v>0</v>
      </c>
      <c r="T5218">
        <v>0</v>
      </c>
      <c r="U5218">
        <v>858</v>
      </c>
      <c r="V5218">
        <v>858</v>
      </c>
    </row>
    <row r="5219" spans="1:22">
      <c r="A5219" t="s">
        <v>196</v>
      </c>
      <c r="B5219">
        <v>84</v>
      </c>
      <c r="C5219" t="s">
        <v>1762</v>
      </c>
      <c r="D5219">
        <v>300</v>
      </c>
      <c r="E5219" t="s">
        <v>1969</v>
      </c>
      <c r="F5219">
        <v>1125</v>
      </c>
      <c r="G5219" t="s">
        <v>71</v>
      </c>
      <c r="H5219">
        <v>2125</v>
      </c>
      <c r="I5219" t="s">
        <v>71</v>
      </c>
      <c r="J5219">
        <v>3229</v>
      </c>
      <c r="K5219" t="s">
        <v>2010</v>
      </c>
      <c r="L5219">
        <v>4228</v>
      </c>
      <c r="M5219" t="s">
        <v>2011</v>
      </c>
      <c r="N5219" t="s">
        <v>1314</v>
      </c>
      <c r="O5219">
        <v>10</v>
      </c>
      <c r="P5219">
        <v>5905</v>
      </c>
      <c r="Q5219" t="s">
        <v>1809</v>
      </c>
      <c r="R5219" t="s">
        <v>201</v>
      </c>
      <c r="S5219">
        <v>1</v>
      </c>
      <c r="T5219">
        <v>1</v>
      </c>
      <c r="U5219">
        <v>160680</v>
      </c>
      <c r="V5219">
        <v>160680</v>
      </c>
    </row>
    <row r="5220" spans="1:22">
      <c r="A5220" t="s">
        <v>196</v>
      </c>
      <c r="B5220">
        <v>84</v>
      </c>
      <c r="C5220" t="s">
        <v>1762</v>
      </c>
      <c r="D5220">
        <v>300</v>
      </c>
      <c r="E5220" t="s">
        <v>1969</v>
      </c>
      <c r="F5220">
        <v>1125</v>
      </c>
      <c r="G5220" t="s">
        <v>71</v>
      </c>
      <c r="H5220">
        <v>2125</v>
      </c>
      <c r="I5220" t="s">
        <v>71</v>
      </c>
      <c r="J5220">
        <v>3229</v>
      </c>
      <c r="K5220" t="s">
        <v>2010</v>
      </c>
      <c r="L5220">
        <v>4228</v>
      </c>
      <c r="M5220" t="s">
        <v>2011</v>
      </c>
      <c r="N5220" t="s">
        <v>271</v>
      </c>
      <c r="O5220">
        <v>20</v>
      </c>
      <c r="P5220">
        <v>5630</v>
      </c>
      <c r="Q5220" t="s">
        <v>955</v>
      </c>
      <c r="R5220" t="s">
        <v>201</v>
      </c>
      <c r="S5220">
        <v>1</v>
      </c>
      <c r="T5220">
        <v>1</v>
      </c>
      <c r="U5220">
        <v>115992</v>
      </c>
      <c r="V5220">
        <v>115992</v>
      </c>
    </row>
    <row r="5221" spans="1:22">
      <c r="A5221" t="s">
        <v>196</v>
      </c>
      <c r="B5221">
        <v>84</v>
      </c>
      <c r="C5221" t="s">
        <v>1762</v>
      </c>
      <c r="D5221">
        <v>300</v>
      </c>
      <c r="E5221" t="s">
        <v>1969</v>
      </c>
      <c r="F5221">
        <v>1125</v>
      </c>
      <c r="G5221" t="s">
        <v>71</v>
      </c>
      <c r="H5221">
        <v>2125</v>
      </c>
      <c r="I5221" t="s">
        <v>71</v>
      </c>
      <c r="J5221">
        <v>3229</v>
      </c>
      <c r="K5221" t="s">
        <v>2010</v>
      </c>
      <c r="L5221">
        <v>4228</v>
      </c>
      <c r="M5221" t="s">
        <v>2011</v>
      </c>
      <c r="N5221" t="s">
        <v>333</v>
      </c>
      <c r="O5221">
        <v>4</v>
      </c>
      <c r="P5221">
        <v>5615</v>
      </c>
      <c r="Q5221" t="s">
        <v>1782</v>
      </c>
      <c r="R5221" t="s">
        <v>201</v>
      </c>
      <c r="S5221">
        <v>1</v>
      </c>
      <c r="T5221">
        <v>1</v>
      </c>
      <c r="U5221">
        <v>109140</v>
      </c>
      <c r="V5221">
        <v>109140</v>
      </c>
    </row>
    <row r="5222" spans="1:22">
      <c r="A5222" t="s">
        <v>196</v>
      </c>
      <c r="B5222">
        <v>84</v>
      </c>
      <c r="C5222" t="s">
        <v>1762</v>
      </c>
      <c r="D5222">
        <v>300</v>
      </c>
      <c r="E5222" t="s">
        <v>1969</v>
      </c>
      <c r="F5222">
        <v>1125</v>
      </c>
      <c r="G5222" t="s">
        <v>71</v>
      </c>
      <c r="H5222">
        <v>2125</v>
      </c>
      <c r="I5222" t="s">
        <v>71</v>
      </c>
      <c r="J5222">
        <v>3229</v>
      </c>
      <c r="K5222" t="s">
        <v>2010</v>
      </c>
      <c r="L5222">
        <v>4228</v>
      </c>
      <c r="M5222" t="s">
        <v>2011</v>
      </c>
      <c r="N5222" t="s">
        <v>602</v>
      </c>
      <c r="O5222">
        <v>4</v>
      </c>
      <c r="P5222">
        <v>5614</v>
      </c>
      <c r="Q5222" t="s">
        <v>1783</v>
      </c>
      <c r="R5222" t="s">
        <v>201</v>
      </c>
      <c r="S5222">
        <v>2</v>
      </c>
      <c r="T5222">
        <v>1</v>
      </c>
      <c r="U5222">
        <v>122928</v>
      </c>
      <c r="V5222">
        <v>245856</v>
      </c>
    </row>
    <row r="5223" spans="1:22">
      <c r="A5223" t="s">
        <v>196</v>
      </c>
      <c r="B5223">
        <v>84</v>
      </c>
      <c r="C5223" t="s">
        <v>1762</v>
      </c>
      <c r="D5223">
        <v>300</v>
      </c>
      <c r="E5223" t="s">
        <v>1969</v>
      </c>
      <c r="F5223">
        <v>1125</v>
      </c>
      <c r="G5223" t="s">
        <v>71</v>
      </c>
      <c r="H5223">
        <v>2125</v>
      </c>
      <c r="I5223" t="s">
        <v>71</v>
      </c>
      <c r="J5223">
        <v>3229</v>
      </c>
      <c r="K5223" t="s">
        <v>2010</v>
      </c>
      <c r="L5223">
        <v>4228</v>
      </c>
      <c r="M5223" t="s">
        <v>2011</v>
      </c>
      <c r="N5223" t="s">
        <v>602</v>
      </c>
      <c r="O5223">
        <v>4</v>
      </c>
      <c r="P5223">
        <v>5614</v>
      </c>
      <c r="Q5223" t="s">
        <v>1783</v>
      </c>
      <c r="R5223" t="s">
        <v>201</v>
      </c>
      <c r="S5223">
        <v>1</v>
      </c>
      <c r="T5223">
        <v>1</v>
      </c>
      <c r="U5223">
        <v>102516</v>
      </c>
      <c r="V5223">
        <v>102516</v>
      </c>
    </row>
    <row r="5224" spans="1:22">
      <c r="A5224" t="s">
        <v>196</v>
      </c>
      <c r="B5224">
        <v>84</v>
      </c>
      <c r="C5224" t="s">
        <v>1762</v>
      </c>
      <c r="D5224">
        <v>300</v>
      </c>
      <c r="E5224" t="s">
        <v>1969</v>
      </c>
      <c r="F5224">
        <v>1125</v>
      </c>
      <c r="G5224" t="s">
        <v>71</v>
      </c>
      <c r="H5224">
        <v>2125</v>
      </c>
      <c r="I5224" t="s">
        <v>71</v>
      </c>
      <c r="J5224">
        <v>3229</v>
      </c>
      <c r="K5224" t="s">
        <v>2010</v>
      </c>
      <c r="L5224">
        <v>4228</v>
      </c>
      <c r="M5224" t="s">
        <v>2011</v>
      </c>
      <c r="N5224" t="s">
        <v>602</v>
      </c>
      <c r="O5224">
        <v>4</v>
      </c>
      <c r="P5224">
        <v>5614</v>
      </c>
      <c r="Q5224" t="s">
        <v>1783</v>
      </c>
      <c r="R5224" t="s">
        <v>201</v>
      </c>
      <c r="S5224">
        <v>1</v>
      </c>
      <c r="T5224">
        <v>1</v>
      </c>
      <c r="U5224">
        <v>99408</v>
      </c>
      <c r="V5224">
        <v>99408</v>
      </c>
    </row>
    <row r="5225" spans="1:22">
      <c r="A5225" t="s">
        <v>196</v>
      </c>
      <c r="B5225">
        <v>84</v>
      </c>
      <c r="C5225" t="s">
        <v>1762</v>
      </c>
      <c r="D5225">
        <v>300</v>
      </c>
      <c r="E5225" t="s">
        <v>1969</v>
      </c>
      <c r="F5225">
        <v>1125</v>
      </c>
      <c r="G5225" t="s">
        <v>71</v>
      </c>
      <c r="H5225">
        <v>2125</v>
      </c>
      <c r="I5225" t="s">
        <v>71</v>
      </c>
      <c r="J5225">
        <v>3229</v>
      </c>
      <c r="K5225" t="s">
        <v>2010</v>
      </c>
      <c r="L5225">
        <v>4228</v>
      </c>
      <c r="M5225" t="s">
        <v>2011</v>
      </c>
      <c r="N5225" t="s">
        <v>199</v>
      </c>
      <c r="O5225">
        <v>0</v>
      </c>
      <c r="P5225">
        <v>15</v>
      </c>
      <c r="Q5225" t="s">
        <v>264</v>
      </c>
      <c r="R5225" t="s">
        <v>201</v>
      </c>
      <c r="S5225">
        <v>0</v>
      </c>
      <c r="T5225">
        <v>0</v>
      </c>
      <c r="U5225">
        <v>9605</v>
      </c>
      <c r="V5225">
        <v>9605</v>
      </c>
    </row>
    <row r="5226" spans="1:22">
      <c r="A5226" t="s">
        <v>196</v>
      </c>
      <c r="B5226">
        <v>84</v>
      </c>
      <c r="C5226" t="s">
        <v>1762</v>
      </c>
      <c r="D5226">
        <v>300</v>
      </c>
      <c r="E5226" t="s">
        <v>1969</v>
      </c>
      <c r="F5226">
        <v>1125</v>
      </c>
      <c r="G5226" t="s">
        <v>71</v>
      </c>
      <c r="H5226">
        <v>2125</v>
      </c>
      <c r="I5226" t="s">
        <v>71</v>
      </c>
      <c r="J5226">
        <v>3230</v>
      </c>
      <c r="K5226" t="s">
        <v>1827</v>
      </c>
      <c r="L5226">
        <v>0</v>
      </c>
      <c r="N5226" t="s">
        <v>255</v>
      </c>
      <c r="O5226">
        <v>1</v>
      </c>
      <c r="P5226">
        <v>6145</v>
      </c>
      <c r="Q5226" t="s">
        <v>1766</v>
      </c>
      <c r="R5226" t="s">
        <v>201</v>
      </c>
      <c r="S5226">
        <v>1</v>
      </c>
      <c r="T5226">
        <v>1</v>
      </c>
      <c r="U5226">
        <v>102588</v>
      </c>
      <c r="V5226">
        <v>102588</v>
      </c>
    </row>
    <row r="5227" spans="1:22">
      <c r="A5227" t="s">
        <v>196</v>
      </c>
      <c r="B5227">
        <v>84</v>
      </c>
      <c r="C5227" t="s">
        <v>1762</v>
      </c>
      <c r="D5227">
        <v>300</v>
      </c>
      <c r="E5227" t="s">
        <v>1969</v>
      </c>
      <c r="F5227">
        <v>1125</v>
      </c>
      <c r="G5227" t="s">
        <v>71</v>
      </c>
      <c r="H5227">
        <v>2125</v>
      </c>
      <c r="I5227" t="s">
        <v>71</v>
      </c>
      <c r="J5227">
        <v>3230</v>
      </c>
      <c r="K5227" t="s">
        <v>1827</v>
      </c>
      <c r="L5227">
        <v>0</v>
      </c>
      <c r="N5227" t="s">
        <v>1314</v>
      </c>
      <c r="O5227">
        <v>10</v>
      </c>
      <c r="P5227">
        <v>5905</v>
      </c>
      <c r="Q5227" t="s">
        <v>1809</v>
      </c>
      <c r="R5227" t="s">
        <v>201</v>
      </c>
      <c r="S5227">
        <v>1</v>
      </c>
      <c r="T5227">
        <v>1</v>
      </c>
      <c r="U5227">
        <v>150768</v>
      </c>
      <c r="V5227">
        <v>150768</v>
      </c>
    </row>
    <row r="5228" spans="1:22">
      <c r="A5228" t="s">
        <v>196</v>
      </c>
      <c r="B5228">
        <v>84</v>
      </c>
      <c r="C5228" t="s">
        <v>1762</v>
      </c>
      <c r="D5228">
        <v>300</v>
      </c>
      <c r="E5228" t="s">
        <v>1969</v>
      </c>
      <c r="F5228">
        <v>1125</v>
      </c>
      <c r="G5228" t="s">
        <v>71</v>
      </c>
      <c r="H5228">
        <v>2125</v>
      </c>
      <c r="I5228" t="s">
        <v>71</v>
      </c>
      <c r="J5228">
        <v>3230</v>
      </c>
      <c r="K5228" t="s">
        <v>1827</v>
      </c>
      <c r="L5228">
        <v>0</v>
      </c>
      <c r="N5228" t="s">
        <v>333</v>
      </c>
      <c r="O5228">
        <v>4</v>
      </c>
      <c r="P5228">
        <v>5615</v>
      </c>
      <c r="Q5228" t="s">
        <v>1782</v>
      </c>
      <c r="R5228" t="s">
        <v>201</v>
      </c>
      <c r="S5228">
        <v>1</v>
      </c>
      <c r="T5228">
        <v>1</v>
      </c>
      <c r="U5228">
        <v>154764</v>
      </c>
      <c r="V5228">
        <v>154764</v>
      </c>
    </row>
    <row r="5229" spans="1:22">
      <c r="A5229" t="s">
        <v>196</v>
      </c>
      <c r="B5229">
        <v>84</v>
      </c>
      <c r="C5229" t="s">
        <v>1762</v>
      </c>
      <c r="D5229">
        <v>300</v>
      </c>
      <c r="E5229" t="s">
        <v>1969</v>
      </c>
      <c r="F5229">
        <v>1125</v>
      </c>
      <c r="G5229" t="s">
        <v>71</v>
      </c>
      <c r="H5229">
        <v>2125</v>
      </c>
      <c r="I5229" t="s">
        <v>71</v>
      </c>
      <c r="J5229">
        <v>3230</v>
      </c>
      <c r="K5229" t="s">
        <v>1827</v>
      </c>
      <c r="L5229">
        <v>0</v>
      </c>
      <c r="N5229" t="s">
        <v>333</v>
      </c>
      <c r="O5229">
        <v>4</v>
      </c>
      <c r="P5229">
        <v>5615</v>
      </c>
      <c r="Q5229" t="s">
        <v>1782</v>
      </c>
      <c r="R5229" t="s">
        <v>201</v>
      </c>
      <c r="S5229">
        <v>1</v>
      </c>
      <c r="T5229">
        <v>1</v>
      </c>
      <c r="U5229">
        <v>122928</v>
      </c>
      <c r="V5229">
        <v>122928</v>
      </c>
    </row>
    <row r="5230" spans="1:22">
      <c r="A5230" t="s">
        <v>196</v>
      </c>
      <c r="B5230">
        <v>84</v>
      </c>
      <c r="C5230" t="s">
        <v>1762</v>
      </c>
      <c r="D5230">
        <v>300</v>
      </c>
      <c r="E5230" t="s">
        <v>1969</v>
      </c>
      <c r="F5230">
        <v>1125</v>
      </c>
      <c r="G5230" t="s">
        <v>71</v>
      </c>
      <c r="H5230">
        <v>2125</v>
      </c>
      <c r="I5230" t="s">
        <v>71</v>
      </c>
      <c r="J5230">
        <v>3230</v>
      </c>
      <c r="K5230" t="s">
        <v>1827</v>
      </c>
      <c r="L5230">
        <v>0</v>
      </c>
      <c r="N5230" t="s">
        <v>333</v>
      </c>
      <c r="O5230">
        <v>4</v>
      </c>
      <c r="P5230">
        <v>5615</v>
      </c>
      <c r="Q5230" t="s">
        <v>1782</v>
      </c>
      <c r="R5230" t="s">
        <v>201</v>
      </c>
      <c r="S5230">
        <v>2</v>
      </c>
      <c r="T5230">
        <v>1</v>
      </c>
      <c r="U5230">
        <v>109140</v>
      </c>
      <c r="V5230">
        <v>218280</v>
      </c>
    </row>
    <row r="5231" spans="1:22">
      <c r="A5231" t="s">
        <v>196</v>
      </c>
      <c r="B5231">
        <v>84</v>
      </c>
      <c r="C5231" t="s">
        <v>1762</v>
      </c>
      <c r="D5231">
        <v>300</v>
      </c>
      <c r="E5231" t="s">
        <v>1969</v>
      </c>
      <c r="F5231">
        <v>1125</v>
      </c>
      <c r="G5231" t="s">
        <v>71</v>
      </c>
      <c r="H5231">
        <v>2125</v>
      </c>
      <c r="I5231" t="s">
        <v>71</v>
      </c>
      <c r="J5231">
        <v>3230</v>
      </c>
      <c r="K5231" t="s">
        <v>1827</v>
      </c>
      <c r="L5231">
        <v>0</v>
      </c>
      <c r="N5231" t="s">
        <v>602</v>
      </c>
      <c r="O5231">
        <v>4</v>
      </c>
      <c r="P5231">
        <v>5614</v>
      </c>
      <c r="Q5231" t="s">
        <v>1783</v>
      </c>
      <c r="R5231" t="s">
        <v>201</v>
      </c>
      <c r="S5231">
        <v>3</v>
      </c>
      <c r="T5231">
        <v>1</v>
      </c>
      <c r="U5231">
        <v>141564</v>
      </c>
      <c r="V5231">
        <v>424692</v>
      </c>
    </row>
    <row r="5232" spans="1:22">
      <c r="A5232" t="s">
        <v>196</v>
      </c>
      <c r="B5232">
        <v>84</v>
      </c>
      <c r="C5232" t="s">
        <v>1762</v>
      </c>
      <c r="D5232">
        <v>300</v>
      </c>
      <c r="E5232" t="s">
        <v>1969</v>
      </c>
      <c r="F5232">
        <v>1125</v>
      </c>
      <c r="G5232" t="s">
        <v>71</v>
      </c>
      <c r="H5232">
        <v>2125</v>
      </c>
      <c r="I5232" t="s">
        <v>71</v>
      </c>
      <c r="J5232">
        <v>3230</v>
      </c>
      <c r="K5232" t="s">
        <v>1827</v>
      </c>
      <c r="L5232">
        <v>0</v>
      </c>
      <c r="N5232" t="s">
        <v>602</v>
      </c>
      <c r="O5232">
        <v>4</v>
      </c>
      <c r="P5232">
        <v>5614</v>
      </c>
      <c r="Q5232" t="s">
        <v>1783</v>
      </c>
      <c r="R5232" t="s">
        <v>201</v>
      </c>
      <c r="S5232">
        <v>1</v>
      </c>
      <c r="T5232">
        <v>1</v>
      </c>
      <c r="U5232">
        <v>134184</v>
      </c>
      <c r="V5232">
        <v>134184</v>
      </c>
    </row>
    <row r="5233" spans="1:22">
      <c r="A5233" t="s">
        <v>196</v>
      </c>
      <c r="B5233">
        <v>84</v>
      </c>
      <c r="C5233" t="s">
        <v>1762</v>
      </c>
      <c r="D5233">
        <v>300</v>
      </c>
      <c r="E5233" t="s">
        <v>1969</v>
      </c>
      <c r="F5233">
        <v>1125</v>
      </c>
      <c r="G5233" t="s">
        <v>71</v>
      </c>
      <c r="H5233">
        <v>2125</v>
      </c>
      <c r="I5233" t="s">
        <v>71</v>
      </c>
      <c r="J5233">
        <v>3230</v>
      </c>
      <c r="K5233" t="s">
        <v>1827</v>
      </c>
      <c r="L5233">
        <v>0</v>
      </c>
      <c r="N5233" t="s">
        <v>602</v>
      </c>
      <c r="O5233">
        <v>4</v>
      </c>
      <c r="P5233">
        <v>5614</v>
      </c>
      <c r="Q5233" t="s">
        <v>1783</v>
      </c>
      <c r="R5233" t="s">
        <v>201</v>
      </c>
      <c r="S5233">
        <v>4</v>
      </c>
      <c r="T5233">
        <v>1</v>
      </c>
      <c r="U5233">
        <v>99408</v>
      </c>
      <c r="V5233">
        <v>397632</v>
      </c>
    </row>
    <row r="5234" spans="1:22">
      <c r="A5234" t="s">
        <v>196</v>
      </c>
      <c r="B5234">
        <v>84</v>
      </c>
      <c r="C5234" t="s">
        <v>1762</v>
      </c>
      <c r="D5234">
        <v>300</v>
      </c>
      <c r="E5234" t="s">
        <v>1969</v>
      </c>
      <c r="F5234">
        <v>1125</v>
      </c>
      <c r="G5234" t="s">
        <v>71</v>
      </c>
      <c r="H5234">
        <v>2125</v>
      </c>
      <c r="I5234" t="s">
        <v>71</v>
      </c>
      <c r="J5234">
        <v>3230</v>
      </c>
      <c r="K5234" t="s">
        <v>1827</v>
      </c>
      <c r="L5234">
        <v>0</v>
      </c>
      <c r="N5234" t="s">
        <v>199</v>
      </c>
      <c r="O5234">
        <v>0</v>
      </c>
      <c r="P5234">
        <v>15</v>
      </c>
      <c r="Q5234" t="s">
        <v>264</v>
      </c>
      <c r="R5234" t="s">
        <v>201</v>
      </c>
      <c r="S5234">
        <v>0</v>
      </c>
      <c r="T5234">
        <v>0</v>
      </c>
      <c r="U5234">
        <v>16573</v>
      </c>
      <c r="V5234">
        <v>16573</v>
      </c>
    </row>
    <row r="5235" spans="1:22">
      <c r="A5235" t="s">
        <v>196</v>
      </c>
      <c r="B5235">
        <v>84</v>
      </c>
      <c r="C5235" t="s">
        <v>1762</v>
      </c>
      <c r="D5235">
        <v>300</v>
      </c>
      <c r="E5235" t="s">
        <v>1969</v>
      </c>
      <c r="F5235">
        <v>1125</v>
      </c>
      <c r="G5235" t="s">
        <v>71</v>
      </c>
      <c r="H5235">
        <v>2125</v>
      </c>
      <c r="I5235" t="s">
        <v>71</v>
      </c>
      <c r="J5235">
        <v>3231</v>
      </c>
      <c r="K5235" t="s">
        <v>2012</v>
      </c>
      <c r="L5235">
        <v>0</v>
      </c>
      <c r="N5235" t="s">
        <v>255</v>
      </c>
      <c r="O5235">
        <v>1</v>
      </c>
      <c r="P5235">
        <v>6145</v>
      </c>
      <c r="Q5235" t="s">
        <v>1766</v>
      </c>
      <c r="R5235" t="s">
        <v>201</v>
      </c>
      <c r="S5235">
        <v>1</v>
      </c>
      <c r="T5235">
        <v>1</v>
      </c>
      <c r="U5235">
        <v>143400</v>
      </c>
      <c r="V5235">
        <v>143400</v>
      </c>
    </row>
    <row r="5236" spans="1:22">
      <c r="A5236" t="s">
        <v>196</v>
      </c>
      <c r="B5236">
        <v>84</v>
      </c>
      <c r="C5236" t="s">
        <v>1762</v>
      </c>
      <c r="D5236">
        <v>300</v>
      </c>
      <c r="E5236" t="s">
        <v>1969</v>
      </c>
      <c r="F5236">
        <v>1125</v>
      </c>
      <c r="G5236" t="s">
        <v>71</v>
      </c>
      <c r="H5236">
        <v>2125</v>
      </c>
      <c r="I5236" t="s">
        <v>71</v>
      </c>
      <c r="J5236">
        <v>3231</v>
      </c>
      <c r="K5236" t="s">
        <v>2012</v>
      </c>
      <c r="L5236">
        <v>0</v>
      </c>
      <c r="N5236" t="s">
        <v>333</v>
      </c>
      <c r="O5236">
        <v>4</v>
      </c>
      <c r="P5236">
        <v>5615</v>
      </c>
      <c r="Q5236" t="s">
        <v>1782</v>
      </c>
      <c r="R5236" t="s">
        <v>201</v>
      </c>
      <c r="S5236">
        <v>1</v>
      </c>
      <c r="T5236">
        <v>1</v>
      </c>
      <c r="U5236">
        <v>154764</v>
      </c>
      <c r="V5236">
        <v>154764</v>
      </c>
    </row>
    <row r="5237" spans="1:22">
      <c r="A5237" t="s">
        <v>196</v>
      </c>
      <c r="B5237">
        <v>84</v>
      </c>
      <c r="C5237" t="s">
        <v>1762</v>
      </c>
      <c r="D5237">
        <v>300</v>
      </c>
      <c r="E5237" t="s">
        <v>1969</v>
      </c>
      <c r="F5237">
        <v>1125</v>
      </c>
      <c r="G5237" t="s">
        <v>71</v>
      </c>
      <c r="H5237">
        <v>2125</v>
      </c>
      <c r="I5237" t="s">
        <v>71</v>
      </c>
      <c r="J5237">
        <v>3231</v>
      </c>
      <c r="K5237" t="s">
        <v>2012</v>
      </c>
      <c r="L5237">
        <v>0</v>
      </c>
      <c r="N5237" t="s">
        <v>333</v>
      </c>
      <c r="O5237">
        <v>4</v>
      </c>
      <c r="P5237">
        <v>5615</v>
      </c>
      <c r="Q5237" t="s">
        <v>1782</v>
      </c>
      <c r="R5237" t="s">
        <v>201</v>
      </c>
      <c r="S5237">
        <v>1</v>
      </c>
      <c r="T5237">
        <v>1</v>
      </c>
      <c r="U5237">
        <v>117636</v>
      </c>
      <c r="V5237">
        <v>117636</v>
      </c>
    </row>
    <row r="5238" spans="1:22">
      <c r="A5238" t="s">
        <v>196</v>
      </c>
      <c r="B5238">
        <v>84</v>
      </c>
      <c r="C5238" t="s">
        <v>1762</v>
      </c>
      <c r="D5238">
        <v>300</v>
      </c>
      <c r="E5238" t="s">
        <v>1969</v>
      </c>
      <c r="F5238">
        <v>1125</v>
      </c>
      <c r="G5238" t="s">
        <v>71</v>
      </c>
      <c r="H5238">
        <v>2125</v>
      </c>
      <c r="I5238" t="s">
        <v>71</v>
      </c>
      <c r="J5238">
        <v>3231</v>
      </c>
      <c r="K5238" t="s">
        <v>2012</v>
      </c>
      <c r="L5238">
        <v>0</v>
      </c>
      <c r="N5238" t="s">
        <v>602</v>
      </c>
      <c r="O5238">
        <v>4</v>
      </c>
      <c r="P5238">
        <v>5614</v>
      </c>
      <c r="Q5238" t="s">
        <v>1783</v>
      </c>
      <c r="R5238" t="s">
        <v>201</v>
      </c>
      <c r="S5238">
        <v>1</v>
      </c>
      <c r="T5238">
        <v>1</v>
      </c>
      <c r="U5238">
        <v>102516</v>
      </c>
      <c r="V5238">
        <v>102516</v>
      </c>
    </row>
    <row r="5239" spans="1:22">
      <c r="A5239" t="s">
        <v>196</v>
      </c>
      <c r="B5239">
        <v>84</v>
      </c>
      <c r="C5239" t="s">
        <v>1762</v>
      </c>
      <c r="D5239">
        <v>300</v>
      </c>
      <c r="E5239" t="s">
        <v>1969</v>
      </c>
      <c r="F5239">
        <v>1125</v>
      </c>
      <c r="G5239" t="s">
        <v>71</v>
      </c>
      <c r="H5239">
        <v>2125</v>
      </c>
      <c r="I5239" t="s">
        <v>71</v>
      </c>
      <c r="J5239">
        <v>3231</v>
      </c>
      <c r="K5239" t="s">
        <v>2012</v>
      </c>
      <c r="L5239">
        <v>0</v>
      </c>
      <c r="N5239" t="s">
        <v>622</v>
      </c>
      <c r="O5239">
        <v>1</v>
      </c>
      <c r="P5239" t="s">
        <v>667</v>
      </c>
      <c r="Q5239" t="s">
        <v>205</v>
      </c>
      <c r="R5239" t="s">
        <v>201</v>
      </c>
      <c r="S5239">
        <v>1</v>
      </c>
      <c r="T5239">
        <v>1</v>
      </c>
      <c r="U5239">
        <v>90144</v>
      </c>
      <c r="V5239">
        <v>90144</v>
      </c>
    </row>
    <row r="5240" spans="1:22">
      <c r="A5240" t="s">
        <v>196</v>
      </c>
      <c r="B5240">
        <v>84</v>
      </c>
      <c r="C5240" t="s">
        <v>1762</v>
      </c>
      <c r="D5240">
        <v>300</v>
      </c>
      <c r="E5240" t="s">
        <v>1969</v>
      </c>
      <c r="F5240">
        <v>1125</v>
      </c>
      <c r="G5240" t="s">
        <v>71</v>
      </c>
      <c r="H5240">
        <v>2125</v>
      </c>
      <c r="I5240" t="s">
        <v>71</v>
      </c>
      <c r="J5240">
        <v>3231</v>
      </c>
      <c r="K5240" t="s">
        <v>2012</v>
      </c>
      <c r="L5240">
        <v>0</v>
      </c>
      <c r="N5240" t="s">
        <v>199</v>
      </c>
      <c r="O5240">
        <v>0</v>
      </c>
      <c r="P5240">
        <v>15</v>
      </c>
      <c r="Q5240" t="s">
        <v>264</v>
      </c>
      <c r="R5240" t="s">
        <v>201</v>
      </c>
      <c r="S5240">
        <v>0</v>
      </c>
      <c r="T5240">
        <v>0</v>
      </c>
      <c r="U5240">
        <v>6722</v>
      </c>
      <c r="V5240">
        <v>6722</v>
      </c>
    </row>
    <row r="5241" spans="1:22">
      <c r="A5241" t="s">
        <v>196</v>
      </c>
      <c r="B5241">
        <v>84</v>
      </c>
      <c r="C5241" t="s">
        <v>1762</v>
      </c>
      <c r="D5241">
        <v>300</v>
      </c>
      <c r="E5241" t="s">
        <v>1969</v>
      </c>
      <c r="F5241">
        <v>1125</v>
      </c>
      <c r="G5241" t="s">
        <v>71</v>
      </c>
      <c r="H5241">
        <v>2125</v>
      </c>
      <c r="I5241" t="s">
        <v>71</v>
      </c>
      <c r="J5241">
        <v>3233</v>
      </c>
      <c r="K5241" t="s">
        <v>2013</v>
      </c>
      <c r="L5241">
        <v>0</v>
      </c>
      <c r="N5241" t="s">
        <v>602</v>
      </c>
      <c r="O5241">
        <v>4</v>
      </c>
      <c r="P5241">
        <v>5614</v>
      </c>
      <c r="Q5241" t="s">
        <v>1783</v>
      </c>
      <c r="R5241" t="s">
        <v>201</v>
      </c>
      <c r="S5241">
        <v>1</v>
      </c>
      <c r="T5241">
        <v>1</v>
      </c>
      <c r="U5241">
        <v>134184</v>
      </c>
      <c r="V5241">
        <v>134184</v>
      </c>
    </row>
    <row r="5242" spans="1:22">
      <c r="A5242" t="s">
        <v>196</v>
      </c>
      <c r="B5242">
        <v>84</v>
      </c>
      <c r="C5242" t="s">
        <v>1762</v>
      </c>
      <c r="D5242">
        <v>300</v>
      </c>
      <c r="E5242" t="s">
        <v>1969</v>
      </c>
      <c r="F5242">
        <v>1125</v>
      </c>
      <c r="G5242" t="s">
        <v>71</v>
      </c>
      <c r="H5242">
        <v>2125</v>
      </c>
      <c r="I5242" t="s">
        <v>71</v>
      </c>
      <c r="J5242">
        <v>3233</v>
      </c>
      <c r="K5242" t="s">
        <v>2013</v>
      </c>
      <c r="L5242">
        <v>0</v>
      </c>
      <c r="N5242" t="s">
        <v>602</v>
      </c>
      <c r="O5242">
        <v>4</v>
      </c>
      <c r="P5242">
        <v>5404</v>
      </c>
      <c r="Q5242" t="s">
        <v>1202</v>
      </c>
      <c r="R5242" t="s">
        <v>201</v>
      </c>
      <c r="S5242">
        <v>2</v>
      </c>
      <c r="T5242">
        <v>1</v>
      </c>
      <c r="U5242">
        <v>141564</v>
      </c>
      <c r="V5242">
        <v>283128</v>
      </c>
    </row>
    <row r="5243" spans="1:22">
      <c r="A5243" t="s">
        <v>196</v>
      </c>
      <c r="B5243">
        <v>84</v>
      </c>
      <c r="C5243" t="s">
        <v>1762</v>
      </c>
      <c r="D5243">
        <v>300</v>
      </c>
      <c r="E5243" t="s">
        <v>1969</v>
      </c>
      <c r="F5243">
        <v>1125</v>
      </c>
      <c r="G5243" t="s">
        <v>71</v>
      </c>
      <c r="H5243">
        <v>2125</v>
      </c>
      <c r="I5243" t="s">
        <v>71</v>
      </c>
      <c r="J5243">
        <v>3233</v>
      </c>
      <c r="K5243" t="s">
        <v>2013</v>
      </c>
      <c r="L5243">
        <v>0</v>
      </c>
      <c r="N5243" t="s">
        <v>199</v>
      </c>
      <c r="O5243">
        <v>0</v>
      </c>
      <c r="P5243">
        <v>15</v>
      </c>
      <c r="Q5243" t="s">
        <v>264</v>
      </c>
      <c r="R5243" t="s">
        <v>201</v>
      </c>
      <c r="S5243">
        <v>0</v>
      </c>
      <c r="T5243">
        <v>0</v>
      </c>
      <c r="U5243">
        <v>597</v>
      </c>
      <c r="V5243">
        <v>597</v>
      </c>
    </row>
    <row r="5244" spans="1:22">
      <c r="A5244" t="s">
        <v>196</v>
      </c>
      <c r="B5244">
        <v>84</v>
      </c>
      <c r="C5244" t="s">
        <v>1762</v>
      </c>
      <c r="D5244">
        <v>300</v>
      </c>
      <c r="E5244" t="s">
        <v>1969</v>
      </c>
      <c r="F5244">
        <v>1125</v>
      </c>
      <c r="G5244" t="s">
        <v>71</v>
      </c>
      <c r="H5244">
        <v>2125</v>
      </c>
      <c r="I5244" t="s">
        <v>71</v>
      </c>
      <c r="J5244">
        <v>3234</v>
      </c>
      <c r="K5244" t="s">
        <v>2014</v>
      </c>
      <c r="L5244">
        <v>0</v>
      </c>
      <c r="N5244" t="s">
        <v>602</v>
      </c>
      <c r="O5244">
        <v>4</v>
      </c>
      <c r="P5244">
        <v>6254</v>
      </c>
      <c r="Q5244" t="s">
        <v>1796</v>
      </c>
      <c r="R5244" t="s">
        <v>201</v>
      </c>
      <c r="S5244">
        <v>1</v>
      </c>
      <c r="T5244">
        <v>1</v>
      </c>
      <c r="U5244">
        <v>107628</v>
      </c>
      <c r="V5244">
        <v>107628</v>
      </c>
    </row>
    <row r="5245" spans="1:22">
      <c r="A5245" t="s">
        <v>196</v>
      </c>
      <c r="B5245">
        <v>84</v>
      </c>
      <c r="C5245" t="s">
        <v>1762</v>
      </c>
      <c r="D5245">
        <v>300</v>
      </c>
      <c r="E5245" t="s">
        <v>1969</v>
      </c>
      <c r="F5245">
        <v>1125</v>
      </c>
      <c r="G5245" t="s">
        <v>71</v>
      </c>
      <c r="H5245">
        <v>2125</v>
      </c>
      <c r="I5245" t="s">
        <v>71</v>
      </c>
      <c r="J5245">
        <v>3234</v>
      </c>
      <c r="K5245" t="s">
        <v>2014</v>
      </c>
      <c r="L5245">
        <v>0</v>
      </c>
      <c r="N5245" t="s">
        <v>333</v>
      </c>
      <c r="O5245">
        <v>4</v>
      </c>
      <c r="P5245">
        <v>5615</v>
      </c>
      <c r="Q5245" t="s">
        <v>1782</v>
      </c>
      <c r="R5245" t="s">
        <v>201</v>
      </c>
      <c r="S5245">
        <v>1</v>
      </c>
      <c r="T5245">
        <v>1</v>
      </c>
      <c r="U5245">
        <v>117636</v>
      </c>
      <c r="V5245">
        <v>117636</v>
      </c>
    </row>
    <row r="5246" spans="1:22">
      <c r="A5246" t="s">
        <v>196</v>
      </c>
      <c r="B5246">
        <v>84</v>
      </c>
      <c r="C5246" t="s">
        <v>1762</v>
      </c>
      <c r="D5246">
        <v>300</v>
      </c>
      <c r="E5246" t="s">
        <v>1969</v>
      </c>
      <c r="F5246">
        <v>1125</v>
      </c>
      <c r="G5246" t="s">
        <v>71</v>
      </c>
      <c r="H5246">
        <v>2125</v>
      </c>
      <c r="I5246" t="s">
        <v>71</v>
      </c>
      <c r="J5246">
        <v>3234</v>
      </c>
      <c r="K5246" t="s">
        <v>2014</v>
      </c>
      <c r="L5246">
        <v>0</v>
      </c>
      <c r="N5246" t="s">
        <v>602</v>
      </c>
      <c r="O5246">
        <v>4</v>
      </c>
      <c r="P5246">
        <v>5614</v>
      </c>
      <c r="Q5246" t="s">
        <v>1783</v>
      </c>
      <c r="R5246" t="s">
        <v>201</v>
      </c>
      <c r="S5246">
        <v>1</v>
      </c>
      <c r="T5246">
        <v>1</v>
      </c>
      <c r="U5246">
        <v>107628</v>
      </c>
      <c r="V5246">
        <v>107628</v>
      </c>
    </row>
    <row r="5247" spans="1:22">
      <c r="A5247" t="s">
        <v>196</v>
      </c>
      <c r="B5247">
        <v>84</v>
      </c>
      <c r="C5247" t="s">
        <v>1762</v>
      </c>
      <c r="D5247">
        <v>300</v>
      </c>
      <c r="E5247" t="s">
        <v>1969</v>
      </c>
      <c r="F5247">
        <v>1125</v>
      </c>
      <c r="G5247" t="s">
        <v>71</v>
      </c>
      <c r="H5247">
        <v>2125</v>
      </c>
      <c r="I5247" t="s">
        <v>71</v>
      </c>
      <c r="J5247">
        <v>3234</v>
      </c>
      <c r="K5247" t="s">
        <v>2014</v>
      </c>
      <c r="L5247">
        <v>0</v>
      </c>
      <c r="N5247" t="s">
        <v>602</v>
      </c>
      <c r="O5247">
        <v>4</v>
      </c>
      <c r="P5247">
        <v>5614</v>
      </c>
      <c r="Q5247" t="s">
        <v>1783</v>
      </c>
      <c r="R5247" t="s">
        <v>201</v>
      </c>
      <c r="S5247">
        <v>1</v>
      </c>
      <c r="T5247">
        <v>1</v>
      </c>
      <c r="U5247">
        <v>99408</v>
      </c>
      <c r="V5247">
        <v>99408</v>
      </c>
    </row>
    <row r="5248" spans="1:22">
      <c r="A5248" t="s">
        <v>196</v>
      </c>
      <c r="B5248">
        <v>84</v>
      </c>
      <c r="C5248" t="s">
        <v>1762</v>
      </c>
      <c r="D5248">
        <v>300</v>
      </c>
      <c r="E5248" t="s">
        <v>1969</v>
      </c>
      <c r="F5248">
        <v>1125</v>
      </c>
      <c r="G5248" t="s">
        <v>71</v>
      </c>
      <c r="H5248">
        <v>2125</v>
      </c>
      <c r="I5248" t="s">
        <v>71</v>
      </c>
      <c r="J5248">
        <v>3234</v>
      </c>
      <c r="K5248" t="s">
        <v>2014</v>
      </c>
      <c r="L5248">
        <v>0</v>
      </c>
      <c r="N5248" t="s">
        <v>356</v>
      </c>
      <c r="O5248">
        <v>4</v>
      </c>
      <c r="P5248">
        <v>5613</v>
      </c>
      <c r="Q5248" t="s">
        <v>1767</v>
      </c>
      <c r="R5248" t="s">
        <v>201</v>
      </c>
      <c r="S5248">
        <v>1</v>
      </c>
      <c r="T5248">
        <v>1</v>
      </c>
      <c r="U5248">
        <v>102516</v>
      </c>
      <c r="V5248">
        <v>102516</v>
      </c>
    </row>
    <row r="5249" spans="1:22">
      <c r="A5249" t="s">
        <v>196</v>
      </c>
      <c r="B5249">
        <v>84</v>
      </c>
      <c r="C5249" t="s">
        <v>1762</v>
      </c>
      <c r="D5249">
        <v>300</v>
      </c>
      <c r="E5249" t="s">
        <v>1969</v>
      </c>
      <c r="F5249">
        <v>1125</v>
      </c>
      <c r="G5249" t="s">
        <v>71</v>
      </c>
      <c r="H5249">
        <v>2125</v>
      </c>
      <c r="I5249" t="s">
        <v>71</v>
      </c>
      <c r="J5249">
        <v>3234</v>
      </c>
      <c r="K5249" t="s">
        <v>2014</v>
      </c>
      <c r="L5249">
        <v>0</v>
      </c>
      <c r="N5249" t="s">
        <v>199</v>
      </c>
      <c r="O5249">
        <v>0</v>
      </c>
      <c r="P5249">
        <v>15</v>
      </c>
      <c r="Q5249" t="s">
        <v>264</v>
      </c>
      <c r="R5249" t="s">
        <v>201</v>
      </c>
      <c r="S5249">
        <v>0</v>
      </c>
      <c r="T5249">
        <v>0</v>
      </c>
      <c r="U5249">
        <v>7586</v>
      </c>
      <c r="V5249">
        <v>7586</v>
      </c>
    </row>
    <row r="5250" spans="1:22">
      <c r="A5250" t="s">
        <v>196</v>
      </c>
      <c r="B5250">
        <v>84</v>
      </c>
      <c r="C5250" t="s">
        <v>1762</v>
      </c>
      <c r="D5250">
        <v>300</v>
      </c>
      <c r="E5250" t="s">
        <v>1969</v>
      </c>
      <c r="F5250">
        <v>1135</v>
      </c>
      <c r="G5250" t="s">
        <v>63</v>
      </c>
      <c r="H5250">
        <v>2135</v>
      </c>
      <c r="I5250" t="s">
        <v>63</v>
      </c>
      <c r="J5250">
        <v>3236</v>
      </c>
      <c r="K5250" t="s">
        <v>2015</v>
      </c>
      <c r="L5250">
        <v>4234</v>
      </c>
      <c r="M5250" t="s">
        <v>2016</v>
      </c>
      <c r="N5250" t="s">
        <v>1294</v>
      </c>
      <c r="O5250">
        <v>0</v>
      </c>
      <c r="P5250">
        <v>9681</v>
      </c>
      <c r="Q5250" t="s">
        <v>338</v>
      </c>
      <c r="R5250" t="s">
        <v>201</v>
      </c>
      <c r="S5250">
        <v>1</v>
      </c>
      <c r="T5250">
        <v>1</v>
      </c>
      <c r="U5250">
        <v>184584</v>
      </c>
      <c r="V5250">
        <v>184584</v>
      </c>
    </row>
    <row r="5251" spans="1:22">
      <c r="A5251" t="s">
        <v>196</v>
      </c>
      <c r="B5251">
        <v>84</v>
      </c>
      <c r="C5251" t="s">
        <v>1762</v>
      </c>
      <c r="D5251">
        <v>300</v>
      </c>
      <c r="E5251" t="s">
        <v>1969</v>
      </c>
      <c r="F5251">
        <v>1135</v>
      </c>
      <c r="G5251" t="s">
        <v>63</v>
      </c>
      <c r="H5251">
        <v>2135</v>
      </c>
      <c r="I5251" t="s">
        <v>63</v>
      </c>
      <c r="J5251">
        <v>3236</v>
      </c>
      <c r="K5251" t="s">
        <v>2015</v>
      </c>
      <c r="L5251">
        <v>4234</v>
      </c>
      <c r="M5251" t="s">
        <v>2016</v>
      </c>
      <c r="N5251" t="s">
        <v>2017</v>
      </c>
      <c r="O5251">
        <v>54</v>
      </c>
      <c r="P5251">
        <v>6139</v>
      </c>
      <c r="Q5251" t="s">
        <v>2018</v>
      </c>
      <c r="R5251" t="s">
        <v>201</v>
      </c>
      <c r="S5251">
        <v>4</v>
      </c>
      <c r="T5251">
        <v>1</v>
      </c>
      <c r="U5251">
        <v>157296</v>
      </c>
      <c r="V5251">
        <v>629184</v>
      </c>
    </row>
    <row r="5252" spans="1:22">
      <c r="A5252" t="s">
        <v>196</v>
      </c>
      <c r="B5252">
        <v>84</v>
      </c>
      <c r="C5252" t="s">
        <v>1762</v>
      </c>
      <c r="D5252">
        <v>300</v>
      </c>
      <c r="E5252" t="s">
        <v>1969</v>
      </c>
      <c r="F5252">
        <v>1135</v>
      </c>
      <c r="G5252" t="s">
        <v>63</v>
      </c>
      <c r="H5252">
        <v>2135</v>
      </c>
      <c r="I5252" t="s">
        <v>63</v>
      </c>
      <c r="J5252">
        <v>3236</v>
      </c>
      <c r="K5252" t="s">
        <v>2015</v>
      </c>
      <c r="L5252">
        <v>4234</v>
      </c>
      <c r="M5252" t="s">
        <v>2016</v>
      </c>
      <c r="N5252" t="s">
        <v>2017</v>
      </c>
      <c r="O5252">
        <v>54</v>
      </c>
      <c r="P5252">
        <v>6139</v>
      </c>
      <c r="Q5252" t="s">
        <v>2018</v>
      </c>
      <c r="R5252" t="s">
        <v>201</v>
      </c>
      <c r="S5252">
        <v>1</v>
      </c>
      <c r="T5252">
        <v>1</v>
      </c>
      <c r="U5252">
        <v>107460</v>
      </c>
      <c r="V5252">
        <v>107460</v>
      </c>
    </row>
    <row r="5253" spans="1:22">
      <c r="A5253" t="s">
        <v>196</v>
      </c>
      <c r="B5253">
        <v>84</v>
      </c>
      <c r="C5253" t="s">
        <v>1762</v>
      </c>
      <c r="D5253">
        <v>300</v>
      </c>
      <c r="E5253" t="s">
        <v>1969</v>
      </c>
      <c r="F5253">
        <v>1135</v>
      </c>
      <c r="G5253" t="s">
        <v>63</v>
      </c>
      <c r="H5253">
        <v>2135</v>
      </c>
      <c r="I5253" t="s">
        <v>63</v>
      </c>
      <c r="J5253">
        <v>3236</v>
      </c>
      <c r="K5253" t="s">
        <v>2015</v>
      </c>
      <c r="L5253">
        <v>4234</v>
      </c>
      <c r="M5253" t="s">
        <v>2016</v>
      </c>
      <c r="N5253" t="s">
        <v>1722</v>
      </c>
      <c r="O5253">
        <v>54</v>
      </c>
      <c r="P5253">
        <v>6138</v>
      </c>
      <c r="Q5253" t="s">
        <v>2019</v>
      </c>
      <c r="R5253" t="s">
        <v>201</v>
      </c>
      <c r="S5253">
        <v>2</v>
      </c>
      <c r="T5253">
        <v>1</v>
      </c>
      <c r="U5253">
        <v>130620</v>
      </c>
      <c r="V5253">
        <v>261240</v>
      </c>
    </row>
    <row r="5254" spans="1:22">
      <c r="A5254" t="s">
        <v>196</v>
      </c>
      <c r="B5254">
        <v>84</v>
      </c>
      <c r="C5254" t="s">
        <v>1762</v>
      </c>
      <c r="D5254">
        <v>300</v>
      </c>
      <c r="E5254" t="s">
        <v>1969</v>
      </c>
      <c r="F5254">
        <v>1135</v>
      </c>
      <c r="G5254" t="s">
        <v>63</v>
      </c>
      <c r="H5254">
        <v>2135</v>
      </c>
      <c r="I5254" t="s">
        <v>63</v>
      </c>
      <c r="J5254">
        <v>3236</v>
      </c>
      <c r="K5254" t="s">
        <v>2015</v>
      </c>
      <c r="L5254">
        <v>4234</v>
      </c>
      <c r="M5254" t="s">
        <v>2016</v>
      </c>
      <c r="N5254" t="s">
        <v>1722</v>
      </c>
      <c r="O5254">
        <v>54</v>
      </c>
      <c r="P5254">
        <v>6138</v>
      </c>
      <c r="Q5254" t="s">
        <v>2019</v>
      </c>
      <c r="R5254" t="s">
        <v>201</v>
      </c>
      <c r="S5254">
        <v>1</v>
      </c>
      <c r="T5254">
        <v>1</v>
      </c>
      <c r="U5254">
        <v>124740</v>
      </c>
      <c r="V5254">
        <v>124740</v>
      </c>
    </row>
    <row r="5255" spans="1:22">
      <c r="A5255" t="s">
        <v>196</v>
      </c>
      <c r="B5255">
        <v>84</v>
      </c>
      <c r="C5255" t="s">
        <v>1762</v>
      </c>
      <c r="D5255">
        <v>300</v>
      </c>
      <c r="E5255" t="s">
        <v>1969</v>
      </c>
      <c r="F5255">
        <v>1135</v>
      </c>
      <c r="G5255" t="s">
        <v>63</v>
      </c>
      <c r="H5255">
        <v>2135</v>
      </c>
      <c r="I5255" t="s">
        <v>63</v>
      </c>
      <c r="J5255">
        <v>3236</v>
      </c>
      <c r="K5255" t="s">
        <v>2015</v>
      </c>
      <c r="L5255">
        <v>4234</v>
      </c>
      <c r="M5255" t="s">
        <v>2016</v>
      </c>
      <c r="N5255" t="s">
        <v>1722</v>
      </c>
      <c r="O5255">
        <v>54</v>
      </c>
      <c r="P5255">
        <v>6138</v>
      </c>
      <c r="Q5255" t="s">
        <v>2019</v>
      </c>
      <c r="R5255" t="s">
        <v>201</v>
      </c>
      <c r="S5255">
        <v>3</v>
      </c>
      <c r="T5255">
        <v>1</v>
      </c>
      <c r="U5255">
        <v>103572</v>
      </c>
      <c r="V5255">
        <v>310716</v>
      </c>
    </row>
    <row r="5256" spans="1:22">
      <c r="A5256" t="s">
        <v>196</v>
      </c>
      <c r="B5256">
        <v>84</v>
      </c>
      <c r="C5256" t="s">
        <v>1762</v>
      </c>
      <c r="D5256">
        <v>300</v>
      </c>
      <c r="E5256" t="s">
        <v>1969</v>
      </c>
      <c r="F5256">
        <v>1135</v>
      </c>
      <c r="G5256" t="s">
        <v>63</v>
      </c>
      <c r="H5256">
        <v>2135</v>
      </c>
      <c r="I5256" t="s">
        <v>63</v>
      </c>
      <c r="J5256">
        <v>3236</v>
      </c>
      <c r="K5256" t="s">
        <v>2015</v>
      </c>
      <c r="L5256">
        <v>4234</v>
      </c>
      <c r="M5256" t="s">
        <v>2016</v>
      </c>
      <c r="N5256" t="s">
        <v>1722</v>
      </c>
      <c r="O5256">
        <v>54</v>
      </c>
      <c r="P5256">
        <v>6138</v>
      </c>
      <c r="Q5256" t="s">
        <v>2019</v>
      </c>
      <c r="R5256" t="s">
        <v>201</v>
      </c>
      <c r="S5256">
        <v>2</v>
      </c>
      <c r="T5256">
        <v>1</v>
      </c>
      <c r="U5256">
        <v>77628</v>
      </c>
      <c r="V5256">
        <v>155256</v>
      </c>
    </row>
    <row r="5257" spans="1:22">
      <c r="A5257" t="s">
        <v>196</v>
      </c>
      <c r="B5257">
        <v>84</v>
      </c>
      <c r="C5257" t="s">
        <v>1762</v>
      </c>
      <c r="D5257">
        <v>300</v>
      </c>
      <c r="E5257" t="s">
        <v>1969</v>
      </c>
      <c r="F5257">
        <v>1135</v>
      </c>
      <c r="G5257" t="s">
        <v>63</v>
      </c>
      <c r="H5257">
        <v>2135</v>
      </c>
      <c r="I5257" t="s">
        <v>63</v>
      </c>
      <c r="J5257">
        <v>3236</v>
      </c>
      <c r="K5257" t="s">
        <v>2015</v>
      </c>
      <c r="L5257">
        <v>4234</v>
      </c>
      <c r="M5257" t="s">
        <v>2016</v>
      </c>
      <c r="N5257" t="s">
        <v>1704</v>
      </c>
      <c r="O5257">
        <v>54</v>
      </c>
      <c r="P5257">
        <v>6137</v>
      </c>
      <c r="Q5257" t="s">
        <v>2020</v>
      </c>
      <c r="R5257" t="s">
        <v>201</v>
      </c>
      <c r="S5257">
        <v>3</v>
      </c>
      <c r="T5257">
        <v>1</v>
      </c>
      <c r="U5257">
        <v>119052</v>
      </c>
      <c r="V5257">
        <v>357156</v>
      </c>
    </row>
    <row r="5258" spans="1:22">
      <c r="A5258" t="s">
        <v>196</v>
      </c>
      <c r="B5258">
        <v>84</v>
      </c>
      <c r="C5258" t="s">
        <v>1762</v>
      </c>
      <c r="D5258">
        <v>300</v>
      </c>
      <c r="E5258" t="s">
        <v>1969</v>
      </c>
      <c r="F5258">
        <v>1135</v>
      </c>
      <c r="G5258" t="s">
        <v>63</v>
      </c>
      <c r="H5258">
        <v>2135</v>
      </c>
      <c r="I5258" t="s">
        <v>63</v>
      </c>
      <c r="J5258">
        <v>3236</v>
      </c>
      <c r="K5258" t="s">
        <v>2015</v>
      </c>
      <c r="L5258">
        <v>4234</v>
      </c>
      <c r="M5258" t="s">
        <v>2016</v>
      </c>
      <c r="N5258" t="s">
        <v>1704</v>
      </c>
      <c r="O5258">
        <v>54</v>
      </c>
      <c r="P5258">
        <v>6137</v>
      </c>
      <c r="Q5258" t="s">
        <v>2020</v>
      </c>
      <c r="R5258" t="s">
        <v>201</v>
      </c>
      <c r="S5258">
        <v>1</v>
      </c>
      <c r="T5258">
        <v>1</v>
      </c>
      <c r="U5258">
        <v>113592</v>
      </c>
      <c r="V5258">
        <v>113592</v>
      </c>
    </row>
    <row r="5259" spans="1:22">
      <c r="A5259" t="s">
        <v>196</v>
      </c>
      <c r="B5259">
        <v>84</v>
      </c>
      <c r="C5259" t="s">
        <v>1762</v>
      </c>
      <c r="D5259">
        <v>300</v>
      </c>
      <c r="E5259" t="s">
        <v>1969</v>
      </c>
      <c r="F5259">
        <v>1135</v>
      </c>
      <c r="G5259" t="s">
        <v>63</v>
      </c>
      <c r="H5259">
        <v>2135</v>
      </c>
      <c r="I5259" t="s">
        <v>63</v>
      </c>
      <c r="J5259">
        <v>3236</v>
      </c>
      <c r="K5259" t="s">
        <v>2015</v>
      </c>
      <c r="L5259">
        <v>4234</v>
      </c>
      <c r="M5259" t="s">
        <v>2016</v>
      </c>
      <c r="N5259" t="s">
        <v>1704</v>
      </c>
      <c r="O5259">
        <v>54</v>
      </c>
      <c r="P5259">
        <v>6137</v>
      </c>
      <c r="Q5259" t="s">
        <v>2020</v>
      </c>
      <c r="R5259" t="s">
        <v>201</v>
      </c>
      <c r="S5259">
        <v>1</v>
      </c>
      <c r="T5259">
        <v>1</v>
      </c>
      <c r="U5259">
        <v>108528</v>
      </c>
      <c r="V5259">
        <v>108528</v>
      </c>
    </row>
    <row r="5260" spans="1:22">
      <c r="A5260" t="s">
        <v>196</v>
      </c>
      <c r="B5260">
        <v>84</v>
      </c>
      <c r="C5260" t="s">
        <v>1762</v>
      </c>
      <c r="D5260">
        <v>300</v>
      </c>
      <c r="E5260" t="s">
        <v>1969</v>
      </c>
      <c r="F5260">
        <v>1135</v>
      </c>
      <c r="G5260" t="s">
        <v>63</v>
      </c>
      <c r="H5260">
        <v>2135</v>
      </c>
      <c r="I5260" t="s">
        <v>63</v>
      </c>
      <c r="J5260">
        <v>3236</v>
      </c>
      <c r="K5260" t="s">
        <v>2015</v>
      </c>
      <c r="L5260">
        <v>4234</v>
      </c>
      <c r="M5260" t="s">
        <v>2016</v>
      </c>
      <c r="N5260" t="s">
        <v>1704</v>
      </c>
      <c r="O5260">
        <v>54</v>
      </c>
      <c r="P5260">
        <v>6137</v>
      </c>
      <c r="Q5260" t="s">
        <v>2020</v>
      </c>
      <c r="R5260" t="s">
        <v>201</v>
      </c>
      <c r="S5260">
        <v>1</v>
      </c>
      <c r="T5260">
        <v>1</v>
      </c>
      <c r="U5260">
        <v>103572</v>
      </c>
      <c r="V5260">
        <v>103572</v>
      </c>
    </row>
    <row r="5261" spans="1:22">
      <c r="A5261" t="s">
        <v>196</v>
      </c>
      <c r="B5261">
        <v>84</v>
      </c>
      <c r="C5261" t="s">
        <v>1762</v>
      </c>
      <c r="D5261">
        <v>300</v>
      </c>
      <c r="E5261" t="s">
        <v>1969</v>
      </c>
      <c r="F5261">
        <v>1135</v>
      </c>
      <c r="G5261" t="s">
        <v>63</v>
      </c>
      <c r="H5261">
        <v>2135</v>
      </c>
      <c r="I5261" t="s">
        <v>63</v>
      </c>
      <c r="J5261">
        <v>3236</v>
      </c>
      <c r="K5261" t="s">
        <v>2015</v>
      </c>
      <c r="L5261">
        <v>4234</v>
      </c>
      <c r="M5261" t="s">
        <v>2016</v>
      </c>
      <c r="N5261" t="s">
        <v>1704</v>
      </c>
      <c r="O5261">
        <v>54</v>
      </c>
      <c r="P5261">
        <v>6137</v>
      </c>
      <c r="Q5261" t="s">
        <v>2020</v>
      </c>
      <c r="R5261" t="s">
        <v>201</v>
      </c>
      <c r="S5261">
        <v>4</v>
      </c>
      <c r="T5261">
        <v>1</v>
      </c>
      <c r="U5261">
        <v>94428</v>
      </c>
      <c r="V5261">
        <v>377712</v>
      </c>
    </row>
    <row r="5262" spans="1:22">
      <c r="A5262" t="s">
        <v>196</v>
      </c>
      <c r="B5262">
        <v>84</v>
      </c>
      <c r="C5262" t="s">
        <v>1762</v>
      </c>
      <c r="D5262">
        <v>300</v>
      </c>
      <c r="E5262" t="s">
        <v>1969</v>
      </c>
      <c r="F5262">
        <v>1135</v>
      </c>
      <c r="G5262" t="s">
        <v>63</v>
      </c>
      <c r="H5262">
        <v>2135</v>
      </c>
      <c r="I5262" t="s">
        <v>63</v>
      </c>
      <c r="J5262">
        <v>3236</v>
      </c>
      <c r="K5262" t="s">
        <v>2015</v>
      </c>
      <c r="L5262">
        <v>4234</v>
      </c>
      <c r="M5262" t="s">
        <v>2016</v>
      </c>
      <c r="N5262" t="s">
        <v>1704</v>
      </c>
      <c r="O5262">
        <v>54</v>
      </c>
      <c r="P5262">
        <v>6137</v>
      </c>
      <c r="Q5262" t="s">
        <v>2020</v>
      </c>
      <c r="R5262" t="s">
        <v>201</v>
      </c>
      <c r="S5262">
        <v>1</v>
      </c>
      <c r="T5262">
        <v>1</v>
      </c>
      <c r="U5262">
        <v>90108</v>
      </c>
      <c r="V5262">
        <v>90108</v>
      </c>
    </row>
    <row r="5263" spans="1:22">
      <c r="A5263" t="s">
        <v>196</v>
      </c>
      <c r="B5263">
        <v>84</v>
      </c>
      <c r="C5263" t="s">
        <v>1762</v>
      </c>
      <c r="D5263">
        <v>300</v>
      </c>
      <c r="E5263" t="s">
        <v>1969</v>
      </c>
      <c r="F5263">
        <v>1135</v>
      </c>
      <c r="G5263" t="s">
        <v>63</v>
      </c>
      <c r="H5263">
        <v>2135</v>
      </c>
      <c r="I5263" t="s">
        <v>63</v>
      </c>
      <c r="J5263">
        <v>3236</v>
      </c>
      <c r="K5263" t="s">
        <v>2015</v>
      </c>
      <c r="L5263">
        <v>4234</v>
      </c>
      <c r="M5263" t="s">
        <v>2016</v>
      </c>
      <c r="N5263" t="s">
        <v>1704</v>
      </c>
      <c r="O5263">
        <v>54</v>
      </c>
      <c r="P5263">
        <v>6137</v>
      </c>
      <c r="Q5263" t="s">
        <v>2020</v>
      </c>
      <c r="R5263" t="s">
        <v>201</v>
      </c>
      <c r="S5263">
        <v>1</v>
      </c>
      <c r="T5263">
        <v>1</v>
      </c>
      <c r="U5263">
        <v>85176</v>
      </c>
      <c r="V5263">
        <v>85176</v>
      </c>
    </row>
    <row r="5264" spans="1:22">
      <c r="A5264" t="s">
        <v>196</v>
      </c>
      <c r="B5264">
        <v>84</v>
      </c>
      <c r="C5264" t="s">
        <v>1762</v>
      </c>
      <c r="D5264">
        <v>300</v>
      </c>
      <c r="E5264" t="s">
        <v>1969</v>
      </c>
      <c r="F5264">
        <v>1135</v>
      </c>
      <c r="G5264" t="s">
        <v>63</v>
      </c>
      <c r="H5264">
        <v>2135</v>
      </c>
      <c r="I5264" t="s">
        <v>63</v>
      </c>
      <c r="J5264">
        <v>3236</v>
      </c>
      <c r="K5264" t="s">
        <v>2015</v>
      </c>
      <c r="L5264">
        <v>4234</v>
      </c>
      <c r="M5264" t="s">
        <v>2016</v>
      </c>
      <c r="N5264" t="s">
        <v>1704</v>
      </c>
      <c r="O5264">
        <v>54</v>
      </c>
      <c r="P5264">
        <v>6137</v>
      </c>
      <c r="Q5264" t="s">
        <v>2020</v>
      </c>
      <c r="R5264" t="s">
        <v>201</v>
      </c>
      <c r="S5264">
        <v>3</v>
      </c>
      <c r="T5264">
        <v>1</v>
      </c>
      <c r="U5264">
        <v>81276</v>
      </c>
      <c r="V5264">
        <v>243828</v>
      </c>
    </row>
    <row r="5265" spans="1:22">
      <c r="A5265" t="s">
        <v>196</v>
      </c>
      <c r="B5265">
        <v>84</v>
      </c>
      <c r="C5265" t="s">
        <v>1762</v>
      </c>
      <c r="D5265">
        <v>300</v>
      </c>
      <c r="E5265" t="s">
        <v>1969</v>
      </c>
      <c r="F5265">
        <v>1135</v>
      </c>
      <c r="G5265" t="s">
        <v>63</v>
      </c>
      <c r="H5265">
        <v>2135</v>
      </c>
      <c r="I5265" t="s">
        <v>63</v>
      </c>
      <c r="J5265">
        <v>3236</v>
      </c>
      <c r="K5265" t="s">
        <v>2015</v>
      </c>
      <c r="L5265">
        <v>4234</v>
      </c>
      <c r="M5265" t="s">
        <v>2016</v>
      </c>
      <c r="N5265" t="s">
        <v>1704</v>
      </c>
      <c r="O5265">
        <v>54</v>
      </c>
      <c r="P5265">
        <v>6137</v>
      </c>
      <c r="Q5265" t="s">
        <v>2020</v>
      </c>
      <c r="R5265" t="s">
        <v>201</v>
      </c>
      <c r="S5265">
        <v>6</v>
      </c>
      <c r="T5265">
        <v>1</v>
      </c>
      <c r="U5265">
        <v>77628</v>
      </c>
      <c r="V5265">
        <v>465768</v>
      </c>
    </row>
    <row r="5266" spans="1:22">
      <c r="A5266" t="s">
        <v>196</v>
      </c>
      <c r="B5266">
        <v>84</v>
      </c>
      <c r="C5266" t="s">
        <v>1762</v>
      </c>
      <c r="D5266">
        <v>300</v>
      </c>
      <c r="E5266" t="s">
        <v>1969</v>
      </c>
      <c r="F5266">
        <v>1135</v>
      </c>
      <c r="G5266" t="s">
        <v>63</v>
      </c>
      <c r="H5266">
        <v>2135</v>
      </c>
      <c r="I5266" t="s">
        <v>63</v>
      </c>
      <c r="J5266">
        <v>3236</v>
      </c>
      <c r="K5266" t="s">
        <v>2015</v>
      </c>
      <c r="L5266">
        <v>4234</v>
      </c>
      <c r="M5266" t="s">
        <v>2016</v>
      </c>
      <c r="N5266" t="s">
        <v>1704</v>
      </c>
      <c r="O5266">
        <v>54</v>
      </c>
      <c r="P5266">
        <v>6137</v>
      </c>
      <c r="Q5266" t="s">
        <v>2020</v>
      </c>
      <c r="R5266" t="s">
        <v>201</v>
      </c>
      <c r="S5266">
        <v>1</v>
      </c>
      <c r="T5266">
        <v>1</v>
      </c>
      <c r="U5266">
        <v>74136</v>
      </c>
      <c r="V5266">
        <v>74136</v>
      </c>
    </row>
    <row r="5267" spans="1:22">
      <c r="A5267" t="s">
        <v>196</v>
      </c>
      <c r="B5267">
        <v>84</v>
      </c>
      <c r="C5267" t="s">
        <v>1762</v>
      </c>
      <c r="D5267">
        <v>300</v>
      </c>
      <c r="E5267" t="s">
        <v>1969</v>
      </c>
      <c r="F5267">
        <v>1135</v>
      </c>
      <c r="G5267" t="s">
        <v>63</v>
      </c>
      <c r="H5267">
        <v>2135</v>
      </c>
      <c r="I5267" t="s">
        <v>63</v>
      </c>
      <c r="J5267">
        <v>3236</v>
      </c>
      <c r="K5267" t="s">
        <v>2015</v>
      </c>
      <c r="L5267">
        <v>4234</v>
      </c>
      <c r="M5267" t="s">
        <v>2016</v>
      </c>
      <c r="N5267" t="s">
        <v>1704</v>
      </c>
      <c r="O5267">
        <v>54</v>
      </c>
      <c r="P5267">
        <v>6137</v>
      </c>
      <c r="Q5267" t="s">
        <v>2020</v>
      </c>
      <c r="R5267" t="s">
        <v>201</v>
      </c>
      <c r="S5267">
        <v>7</v>
      </c>
      <c r="T5267">
        <v>1</v>
      </c>
      <c r="U5267">
        <v>70740</v>
      </c>
      <c r="V5267">
        <v>495180</v>
      </c>
    </row>
    <row r="5268" spans="1:22">
      <c r="A5268" t="s">
        <v>196</v>
      </c>
      <c r="B5268">
        <v>84</v>
      </c>
      <c r="C5268" t="s">
        <v>1762</v>
      </c>
      <c r="D5268">
        <v>300</v>
      </c>
      <c r="E5268" t="s">
        <v>1969</v>
      </c>
      <c r="F5268">
        <v>1135</v>
      </c>
      <c r="G5268" t="s">
        <v>63</v>
      </c>
      <c r="H5268">
        <v>2135</v>
      </c>
      <c r="I5268" t="s">
        <v>63</v>
      </c>
      <c r="J5268">
        <v>3236</v>
      </c>
      <c r="K5268" t="s">
        <v>2015</v>
      </c>
      <c r="L5268">
        <v>4234</v>
      </c>
      <c r="M5268" t="s">
        <v>2016</v>
      </c>
      <c r="N5268" t="s">
        <v>731</v>
      </c>
      <c r="O5268">
        <v>10</v>
      </c>
      <c r="P5268">
        <v>6135</v>
      </c>
      <c r="Q5268" t="s">
        <v>2021</v>
      </c>
      <c r="R5268" t="s">
        <v>201</v>
      </c>
      <c r="S5268">
        <v>1</v>
      </c>
      <c r="T5268">
        <v>1</v>
      </c>
      <c r="U5268">
        <v>102444</v>
      </c>
      <c r="V5268">
        <v>102444</v>
      </c>
    </row>
    <row r="5269" spans="1:22">
      <c r="A5269" t="s">
        <v>196</v>
      </c>
      <c r="B5269">
        <v>84</v>
      </c>
      <c r="C5269" t="s">
        <v>1762</v>
      </c>
      <c r="D5269">
        <v>300</v>
      </c>
      <c r="E5269" t="s">
        <v>1969</v>
      </c>
      <c r="F5269">
        <v>1135</v>
      </c>
      <c r="G5269" t="s">
        <v>63</v>
      </c>
      <c r="H5269">
        <v>2135</v>
      </c>
      <c r="I5269" t="s">
        <v>63</v>
      </c>
      <c r="J5269">
        <v>3236</v>
      </c>
      <c r="K5269" t="s">
        <v>2015</v>
      </c>
      <c r="L5269">
        <v>4234</v>
      </c>
      <c r="M5269" t="s">
        <v>2016</v>
      </c>
      <c r="N5269" t="s">
        <v>1314</v>
      </c>
      <c r="O5269">
        <v>0</v>
      </c>
      <c r="P5269" t="s">
        <v>1471</v>
      </c>
      <c r="Q5269" t="s">
        <v>605</v>
      </c>
      <c r="R5269" t="s">
        <v>201</v>
      </c>
      <c r="S5269">
        <v>1</v>
      </c>
      <c r="T5269">
        <v>1</v>
      </c>
      <c r="U5269">
        <v>160680</v>
      </c>
      <c r="V5269">
        <v>160680</v>
      </c>
    </row>
    <row r="5270" spans="1:22">
      <c r="A5270" t="s">
        <v>196</v>
      </c>
      <c r="B5270">
        <v>84</v>
      </c>
      <c r="C5270" t="s">
        <v>1762</v>
      </c>
      <c r="D5270">
        <v>300</v>
      </c>
      <c r="E5270" t="s">
        <v>1969</v>
      </c>
      <c r="F5270">
        <v>1135</v>
      </c>
      <c r="G5270" t="s">
        <v>63</v>
      </c>
      <c r="H5270">
        <v>2135</v>
      </c>
      <c r="I5270" t="s">
        <v>63</v>
      </c>
      <c r="J5270">
        <v>3236</v>
      </c>
      <c r="K5270" t="s">
        <v>2015</v>
      </c>
      <c r="L5270">
        <v>4234</v>
      </c>
      <c r="M5270" t="s">
        <v>2016</v>
      </c>
      <c r="N5270" t="s">
        <v>199</v>
      </c>
      <c r="O5270">
        <v>0</v>
      </c>
      <c r="P5270">
        <v>15</v>
      </c>
      <c r="Q5270" t="s">
        <v>264</v>
      </c>
      <c r="R5270" t="s">
        <v>201</v>
      </c>
      <c r="S5270">
        <v>0</v>
      </c>
      <c r="T5270">
        <v>0</v>
      </c>
      <c r="U5270">
        <v>61077</v>
      </c>
      <c r="V5270">
        <v>61077</v>
      </c>
    </row>
    <row r="5271" spans="1:22">
      <c r="A5271" t="s">
        <v>196</v>
      </c>
      <c r="B5271">
        <v>84</v>
      </c>
      <c r="C5271" t="s">
        <v>1762</v>
      </c>
      <c r="D5271">
        <v>300</v>
      </c>
      <c r="E5271" t="s">
        <v>1969</v>
      </c>
      <c r="F5271">
        <v>1135</v>
      </c>
      <c r="G5271" t="s">
        <v>63</v>
      </c>
      <c r="H5271">
        <v>2135</v>
      </c>
      <c r="I5271" t="s">
        <v>63</v>
      </c>
      <c r="J5271">
        <v>3236</v>
      </c>
      <c r="K5271" t="s">
        <v>2015</v>
      </c>
      <c r="L5271">
        <v>4235</v>
      </c>
      <c r="M5271" t="s">
        <v>2022</v>
      </c>
      <c r="N5271" t="s">
        <v>333</v>
      </c>
      <c r="O5271">
        <v>4</v>
      </c>
      <c r="P5271">
        <v>5615</v>
      </c>
      <c r="Q5271" t="s">
        <v>1782</v>
      </c>
      <c r="R5271" t="s">
        <v>201</v>
      </c>
      <c r="S5271">
        <v>1</v>
      </c>
      <c r="T5271">
        <v>1</v>
      </c>
      <c r="U5271">
        <v>134184</v>
      </c>
      <c r="V5271">
        <v>134184</v>
      </c>
    </row>
    <row r="5272" spans="1:22">
      <c r="A5272" t="s">
        <v>196</v>
      </c>
      <c r="B5272">
        <v>84</v>
      </c>
      <c r="C5272" t="s">
        <v>1762</v>
      </c>
      <c r="D5272">
        <v>300</v>
      </c>
      <c r="E5272" t="s">
        <v>1969</v>
      </c>
      <c r="F5272">
        <v>1135</v>
      </c>
      <c r="G5272" t="s">
        <v>63</v>
      </c>
      <c r="H5272">
        <v>2135</v>
      </c>
      <c r="I5272" t="s">
        <v>63</v>
      </c>
      <c r="J5272">
        <v>3236</v>
      </c>
      <c r="K5272" t="s">
        <v>2015</v>
      </c>
      <c r="L5272">
        <v>4235</v>
      </c>
      <c r="M5272" t="s">
        <v>2022</v>
      </c>
      <c r="N5272" t="s">
        <v>602</v>
      </c>
      <c r="O5272">
        <v>4</v>
      </c>
      <c r="P5272">
        <v>5614</v>
      </c>
      <c r="Q5272" t="s">
        <v>1783</v>
      </c>
      <c r="R5272" t="s">
        <v>201</v>
      </c>
      <c r="S5272">
        <v>1</v>
      </c>
      <c r="T5272">
        <v>1</v>
      </c>
      <c r="U5272">
        <v>107628</v>
      </c>
      <c r="V5272">
        <v>107628</v>
      </c>
    </row>
    <row r="5273" spans="1:22">
      <c r="A5273" t="s">
        <v>196</v>
      </c>
      <c r="B5273">
        <v>84</v>
      </c>
      <c r="C5273" t="s">
        <v>1762</v>
      </c>
      <c r="D5273">
        <v>300</v>
      </c>
      <c r="E5273" t="s">
        <v>1969</v>
      </c>
      <c r="F5273">
        <v>1135</v>
      </c>
      <c r="G5273" t="s">
        <v>63</v>
      </c>
      <c r="H5273">
        <v>2135</v>
      </c>
      <c r="I5273" t="s">
        <v>63</v>
      </c>
      <c r="J5273">
        <v>3236</v>
      </c>
      <c r="K5273" t="s">
        <v>2015</v>
      </c>
      <c r="L5273">
        <v>4235</v>
      </c>
      <c r="M5273" t="s">
        <v>2022</v>
      </c>
      <c r="N5273" t="s">
        <v>199</v>
      </c>
      <c r="O5273">
        <v>0</v>
      </c>
      <c r="P5273">
        <v>15</v>
      </c>
      <c r="Q5273" t="s">
        <v>264</v>
      </c>
      <c r="R5273" t="s">
        <v>201</v>
      </c>
      <c r="S5273">
        <v>0</v>
      </c>
      <c r="T5273">
        <v>0</v>
      </c>
      <c r="U5273">
        <v>4943</v>
      </c>
      <c r="V5273">
        <v>4943</v>
      </c>
    </row>
    <row r="5274" spans="1:22">
      <c r="A5274" t="s">
        <v>196</v>
      </c>
      <c r="B5274">
        <v>84</v>
      </c>
      <c r="C5274" t="s">
        <v>1762</v>
      </c>
      <c r="D5274">
        <v>300</v>
      </c>
      <c r="E5274" t="s">
        <v>1969</v>
      </c>
      <c r="F5274">
        <v>1135</v>
      </c>
      <c r="G5274" t="s">
        <v>63</v>
      </c>
      <c r="H5274">
        <v>2135</v>
      </c>
      <c r="I5274" t="s">
        <v>63</v>
      </c>
      <c r="J5274">
        <v>3236</v>
      </c>
      <c r="K5274" t="s">
        <v>2015</v>
      </c>
      <c r="L5274">
        <v>4237</v>
      </c>
      <c r="M5274" t="s">
        <v>2023</v>
      </c>
      <c r="N5274" t="s">
        <v>628</v>
      </c>
      <c r="O5274">
        <v>10</v>
      </c>
      <c r="P5274">
        <v>8256</v>
      </c>
      <c r="Q5274" t="s">
        <v>1826</v>
      </c>
      <c r="R5274" t="s">
        <v>201</v>
      </c>
      <c r="S5274">
        <v>1</v>
      </c>
      <c r="T5274">
        <v>1</v>
      </c>
      <c r="U5274">
        <v>143232</v>
      </c>
      <c r="V5274">
        <v>143232</v>
      </c>
    </row>
    <row r="5275" spans="1:22">
      <c r="A5275" t="s">
        <v>196</v>
      </c>
      <c r="B5275">
        <v>84</v>
      </c>
      <c r="C5275" t="s">
        <v>1762</v>
      </c>
      <c r="D5275">
        <v>300</v>
      </c>
      <c r="E5275" t="s">
        <v>1969</v>
      </c>
      <c r="F5275">
        <v>1135</v>
      </c>
      <c r="G5275" t="s">
        <v>63</v>
      </c>
      <c r="H5275">
        <v>2135</v>
      </c>
      <c r="I5275" t="s">
        <v>63</v>
      </c>
      <c r="J5275">
        <v>3236</v>
      </c>
      <c r="K5275" t="s">
        <v>2015</v>
      </c>
      <c r="L5275">
        <v>4237</v>
      </c>
      <c r="M5275" t="s">
        <v>2023</v>
      </c>
      <c r="N5275" t="s">
        <v>251</v>
      </c>
      <c r="O5275">
        <v>10</v>
      </c>
      <c r="P5275">
        <v>8232</v>
      </c>
      <c r="Q5275" t="s">
        <v>2024</v>
      </c>
      <c r="R5275" t="s">
        <v>201</v>
      </c>
      <c r="S5275">
        <v>1</v>
      </c>
      <c r="T5275">
        <v>1</v>
      </c>
      <c r="U5275">
        <v>124584</v>
      </c>
      <c r="V5275">
        <v>124584</v>
      </c>
    </row>
    <row r="5276" spans="1:22">
      <c r="A5276" t="s">
        <v>196</v>
      </c>
      <c r="B5276">
        <v>84</v>
      </c>
      <c r="C5276" t="s">
        <v>1762</v>
      </c>
      <c r="D5276">
        <v>300</v>
      </c>
      <c r="E5276" t="s">
        <v>1969</v>
      </c>
      <c r="F5276">
        <v>1135</v>
      </c>
      <c r="G5276" t="s">
        <v>63</v>
      </c>
      <c r="H5276">
        <v>2135</v>
      </c>
      <c r="I5276" t="s">
        <v>63</v>
      </c>
      <c r="J5276">
        <v>3236</v>
      </c>
      <c r="K5276" t="s">
        <v>2015</v>
      </c>
      <c r="L5276">
        <v>4237</v>
      </c>
      <c r="M5276" t="s">
        <v>2023</v>
      </c>
      <c r="N5276" t="s">
        <v>251</v>
      </c>
      <c r="O5276">
        <v>10</v>
      </c>
      <c r="P5276">
        <v>8232</v>
      </c>
      <c r="Q5276" t="s">
        <v>2024</v>
      </c>
      <c r="R5276" t="s">
        <v>201</v>
      </c>
      <c r="S5276">
        <v>1</v>
      </c>
      <c r="T5276">
        <v>1</v>
      </c>
      <c r="U5276">
        <v>118956</v>
      </c>
      <c r="V5276">
        <v>118956</v>
      </c>
    </row>
    <row r="5277" spans="1:22">
      <c r="A5277" t="s">
        <v>196</v>
      </c>
      <c r="B5277">
        <v>84</v>
      </c>
      <c r="C5277" t="s">
        <v>1762</v>
      </c>
      <c r="D5277">
        <v>300</v>
      </c>
      <c r="E5277" t="s">
        <v>1969</v>
      </c>
      <c r="F5277">
        <v>1135</v>
      </c>
      <c r="G5277" t="s">
        <v>63</v>
      </c>
      <c r="H5277">
        <v>2135</v>
      </c>
      <c r="I5277" t="s">
        <v>63</v>
      </c>
      <c r="J5277">
        <v>3236</v>
      </c>
      <c r="K5277" t="s">
        <v>2015</v>
      </c>
      <c r="L5277">
        <v>4237</v>
      </c>
      <c r="M5277" t="s">
        <v>2023</v>
      </c>
      <c r="N5277" t="s">
        <v>251</v>
      </c>
      <c r="O5277">
        <v>10</v>
      </c>
      <c r="P5277">
        <v>8232</v>
      </c>
      <c r="Q5277" t="s">
        <v>2024</v>
      </c>
      <c r="R5277" t="s">
        <v>201</v>
      </c>
      <c r="S5277">
        <v>1</v>
      </c>
      <c r="T5277">
        <v>1</v>
      </c>
      <c r="U5277">
        <v>80124</v>
      </c>
      <c r="V5277">
        <v>80124</v>
      </c>
    </row>
    <row r="5278" spans="1:22">
      <c r="A5278" t="s">
        <v>196</v>
      </c>
      <c r="B5278">
        <v>84</v>
      </c>
      <c r="C5278" t="s">
        <v>1762</v>
      </c>
      <c r="D5278">
        <v>300</v>
      </c>
      <c r="E5278" t="s">
        <v>1969</v>
      </c>
      <c r="F5278">
        <v>1135</v>
      </c>
      <c r="G5278" t="s">
        <v>63</v>
      </c>
      <c r="H5278">
        <v>2135</v>
      </c>
      <c r="I5278" t="s">
        <v>63</v>
      </c>
      <c r="J5278">
        <v>3236</v>
      </c>
      <c r="K5278" t="s">
        <v>2015</v>
      </c>
      <c r="L5278">
        <v>4237</v>
      </c>
      <c r="M5278" t="s">
        <v>2023</v>
      </c>
      <c r="N5278" t="s">
        <v>688</v>
      </c>
      <c r="O5278">
        <v>4</v>
      </c>
      <c r="P5278">
        <v>5612</v>
      </c>
      <c r="Q5278" t="s">
        <v>1872</v>
      </c>
      <c r="R5278" t="s">
        <v>201</v>
      </c>
      <c r="S5278">
        <v>1</v>
      </c>
      <c r="T5278">
        <v>1</v>
      </c>
      <c r="U5278">
        <v>92940</v>
      </c>
      <c r="V5278">
        <v>92940</v>
      </c>
    </row>
    <row r="5279" spans="1:22">
      <c r="A5279" t="s">
        <v>196</v>
      </c>
      <c r="B5279">
        <v>84</v>
      </c>
      <c r="C5279" t="s">
        <v>1762</v>
      </c>
      <c r="D5279">
        <v>300</v>
      </c>
      <c r="E5279" t="s">
        <v>1969</v>
      </c>
      <c r="F5279">
        <v>1135</v>
      </c>
      <c r="G5279" t="s">
        <v>63</v>
      </c>
      <c r="H5279">
        <v>2135</v>
      </c>
      <c r="I5279" t="s">
        <v>63</v>
      </c>
      <c r="J5279">
        <v>3236</v>
      </c>
      <c r="K5279" t="s">
        <v>2015</v>
      </c>
      <c r="L5279">
        <v>4237</v>
      </c>
      <c r="M5279" t="s">
        <v>2023</v>
      </c>
      <c r="N5279" t="s">
        <v>688</v>
      </c>
      <c r="O5279">
        <v>4</v>
      </c>
      <c r="P5279">
        <v>5612</v>
      </c>
      <c r="Q5279" t="s">
        <v>1872</v>
      </c>
      <c r="R5279" t="s">
        <v>201</v>
      </c>
      <c r="S5279">
        <v>2</v>
      </c>
      <c r="T5279">
        <v>1</v>
      </c>
      <c r="U5279">
        <v>88524</v>
      </c>
      <c r="V5279">
        <v>177048</v>
      </c>
    </row>
    <row r="5280" spans="1:22">
      <c r="A5280" t="s">
        <v>196</v>
      </c>
      <c r="B5280">
        <v>84</v>
      </c>
      <c r="C5280" t="s">
        <v>1762</v>
      </c>
      <c r="D5280">
        <v>300</v>
      </c>
      <c r="E5280" t="s">
        <v>1969</v>
      </c>
      <c r="F5280">
        <v>1135</v>
      </c>
      <c r="G5280" t="s">
        <v>63</v>
      </c>
      <c r="H5280">
        <v>2135</v>
      </c>
      <c r="I5280" t="s">
        <v>63</v>
      </c>
      <c r="J5280">
        <v>3236</v>
      </c>
      <c r="K5280" t="s">
        <v>2015</v>
      </c>
      <c r="L5280">
        <v>4237</v>
      </c>
      <c r="M5280" t="s">
        <v>2023</v>
      </c>
      <c r="N5280" t="s">
        <v>688</v>
      </c>
      <c r="O5280">
        <v>4</v>
      </c>
      <c r="P5280">
        <v>5612</v>
      </c>
      <c r="Q5280" t="s">
        <v>1872</v>
      </c>
      <c r="R5280" t="s">
        <v>201</v>
      </c>
      <c r="S5280">
        <v>1</v>
      </c>
      <c r="T5280">
        <v>1</v>
      </c>
      <c r="U5280">
        <v>84192</v>
      </c>
      <c r="V5280">
        <v>84192</v>
      </c>
    </row>
    <row r="5281" spans="1:22">
      <c r="A5281" t="s">
        <v>196</v>
      </c>
      <c r="B5281">
        <v>84</v>
      </c>
      <c r="C5281" t="s">
        <v>1762</v>
      </c>
      <c r="D5281">
        <v>300</v>
      </c>
      <c r="E5281" t="s">
        <v>1969</v>
      </c>
      <c r="F5281">
        <v>1135</v>
      </c>
      <c r="G5281" t="s">
        <v>63</v>
      </c>
      <c r="H5281">
        <v>2135</v>
      </c>
      <c r="I5281" t="s">
        <v>63</v>
      </c>
      <c r="J5281">
        <v>3236</v>
      </c>
      <c r="K5281" t="s">
        <v>2015</v>
      </c>
      <c r="L5281">
        <v>4237</v>
      </c>
      <c r="M5281" t="s">
        <v>2023</v>
      </c>
      <c r="N5281" t="s">
        <v>688</v>
      </c>
      <c r="O5281">
        <v>4</v>
      </c>
      <c r="P5281">
        <v>5612</v>
      </c>
      <c r="Q5281" t="s">
        <v>1872</v>
      </c>
      <c r="R5281" t="s">
        <v>201</v>
      </c>
      <c r="S5281">
        <v>2</v>
      </c>
      <c r="T5281">
        <v>1</v>
      </c>
      <c r="U5281">
        <v>81636</v>
      </c>
      <c r="V5281">
        <v>163272</v>
      </c>
    </row>
    <row r="5282" spans="1:22">
      <c r="A5282" t="s">
        <v>196</v>
      </c>
      <c r="B5282">
        <v>84</v>
      </c>
      <c r="C5282" t="s">
        <v>1762</v>
      </c>
      <c r="D5282">
        <v>300</v>
      </c>
      <c r="E5282" t="s">
        <v>1969</v>
      </c>
      <c r="F5282">
        <v>1135</v>
      </c>
      <c r="G5282" t="s">
        <v>63</v>
      </c>
      <c r="H5282">
        <v>2135</v>
      </c>
      <c r="I5282" t="s">
        <v>63</v>
      </c>
      <c r="J5282">
        <v>3236</v>
      </c>
      <c r="K5282" t="s">
        <v>2015</v>
      </c>
      <c r="L5282">
        <v>4237</v>
      </c>
      <c r="M5282" t="s">
        <v>2023</v>
      </c>
      <c r="N5282" t="s">
        <v>351</v>
      </c>
      <c r="O5282">
        <v>1</v>
      </c>
      <c r="P5282" t="s">
        <v>352</v>
      </c>
      <c r="Q5282" t="s">
        <v>353</v>
      </c>
      <c r="R5282" t="s">
        <v>201</v>
      </c>
      <c r="S5282">
        <v>1</v>
      </c>
      <c r="T5282">
        <v>1</v>
      </c>
      <c r="U5282">
        <v>103608</v>
      </c>
      <c r="V5282">
        <v>103608</v>
      </c>
    </row>
    <row r="5283" spans="1:22">
      <c r="A5283" t="s">
        <v>196</v>
      </c>
      <c r="B5283">
        <v>84</v>
      </c>
      <c r="C5283" t="s">
        <v>1762</v>
      </c>
      <c r="D5283">
        <v>300</v>
      </c>
      <c r="E5283" t="s">
        <v>1969</v>
      </c>
      <c r="F5283">
        <v>1135</v>
      </c>
      <c r="G5283" t="s">
        <v>63</v>
      </c>
      <c r="H5283">
        <v>2135</v>
      </c>
      <c r="I5283" t="s">
        <v>63</v>
      </c>
      <c r="J5283">
        <v>3236</v>
      </c>
      <c r="K5283" t="s">
        <v>2015</v>
      </c>
      <c r="L5283">
        <v>4237</v>
      </c>
      <c r="M5283" t="s">
        <v>2023</v>
      </c>
      <c r="N5283" t="s">
        <v>622</v>
      </c>
      <c r="O5283">
        <v>1</v>
      </c>
      <c r="P5283" t="s">
        <v>667</v>
      </c>
      <c r="Q5283" t="s">
        <v>205</v>
      </c>
      <c r="R5283" t="s">
        <v>201</v>
      </c>
      <c r="S5283">
        <v>3</v>
      </c>
      <c r="T5283">
        <v>1</v>
      </c>
      <c r="U5283">
        <v>90144</v>
      </c>
      <c r="V5283">
        <v>270432</v>
      </c>
    </row>
    <row r="5284" spans="1:22">
      <c r="A5284" t="s">
        <v>196</v>
      </c>
      <c r="B5284">
        <v>84</v>
      </c>
      <c r="C5284" t="s">
        <v>1762</v>
      </c>
      <c r="D5284">
        <v>300</v>
      </c>
      <c r="E5284" t="s">
        <v>1969</v>
      </c>
      <c r="F5284">
        <v>1135</v>
      </c>
      <c r="G5284" t="s">
        <v>63</v>
      </c>
      <c r="H5284">
        <v>2135</v>
      </c>
      <c r="I5284" t="s">
        <v>63</v>
      </c>
      <c r="J5284">
        <v>3236</v>
      </c>
      <c r="K5284" t="s">
        <v>2015</v>
      </c>
      <c r="L5284">
        <v>4237</v>
      </c>
      <c r="M5284" t="s">
        <v>2023</v>
      </c>
      <c r="N5284" t="s">
        <v>1314</v>
      </c>
      <c r="O5284">
        <v>0</v>
      </c>
      <c r="P5284" t="s">
        <v>1471</v>
      </c>
      <c r="Q5284" t="s">
        <v>605</v>
      </c>
      <c r="R5284" t="s">
        <v>201</v>
      </c>
      <c r="S5284">
        <v>1</v>
      </c>
      <c r="T5284">
        <v>1</v>
      </c>
      <c r="U5284">
        <v>160680</v>
      </c>
      <c r="V5284">
        <v>160680</v>
      </c>
    </row>
    <row r="5285" spans="1:22">
      <c r="A5285" t="s">
        <v>196</v>
      </c>
      <c r="B5285">
        <v>84</v>
      </c>
      <c r="C5285" t="s">
        <v>1762</v>
      </c>
      <c r="D5285">
        <v>300</v>
      </c>
      <c r="E5285" t="s">
        <v>1969</v>
      </c>
      <c r="F5285">
        <v>1135</v>
      </c>
      <c r="G5285" t="s">
        <v>63</v>
      </c>
      <c r="H5285">
        <v>2135</v>
      </c>
      <c r="I5285" t="s">
        <v>63</v>
      </c>
      <c r="J5285">
        <v>3236</v>
      </c>
      <c r="K5285" t="s">
        <v>2015</v>
      </c>
      <c r="L5285">
        <v>4237</v>
      </c>
      <c r="M5285" t="s">
        <v>2023</v>
      </c>
      <c r="N5285" t="s">
        <v>341</v>
      </c>
      <c r="O5285">
        <v>4</v>
      </c>
      <c r="P5285">
        <v>110</v>
      </c>
      <c r="Q5285" t="s">
        <v>359</v>
      </c>
      <c r="R5285" t="s">
        <v>201</v>
      </c>
      <c r="S5285">
        <v>1</v>
      </c>
      <c r="T5285">
        <v>1</v>
      </c>
      <c r="U5285">
        <v>119100</v>
      </c>
      <c r="V5285">
        <v>119100</v>
      </c>
    </row>
    <row r="5286" spans="1:22">
      <c r="A5286" t="s">
        <v>196</v>
      </c>
      <c r="B5286">
        <v>84</v>
      </c>
      <c r="C5286" t="s">
        <v>1762</v>
      </c>
      <c r="D5286">
        <v>300</v>
      </c>
      <c r="E5286" t="s">
        <v>1969</v>
      </c>
      <c r="F5286">
        <v>1135</v>
      </c>
      <c r="G5286" t="s">
        <v>63</v>
      </c>
      <c r="H5286">
        <v>2135</v>
      </c>
      <c r="I5286" t="s">
        <v>63</v>
      </c>
      <c r="J5286">
        <v>3236</v>
      </c>
      <c r="K5286" t="s">
        <v>2015</v>
      </c>
      <c r="L5286">
        <v>4237</v>
      </c>
      <c r="M5286" t="s">
        <v>2023</v>
      </c>
      <c r="N5286" t="s">
        <v>199</v>
      </c>
      <c r="O5286">
        <v>0</v>
      </c>
      <c r="P5286">
        <v>15</v>
      </c>
      <c r="Q5286" t="s">
        <v>264</v>
      </c>
      <c r="R5286" t="s">
        <v>201</v>
      </c>
      <c r="S5286">
        <v>0</v>
      </c>
      <c r="T5286">
        <v>0</v>
      </c>
      <c r="U5286">
        <v>16021</v>
      </c>
      <c r="V5286">
        <v>16021</v>
      </c>
    </row>
    <row r="5287" spans="1:22">
      <c r="A5287" t="s">
        <v>196</v>
      </c>
      <c r="B5287">
        <v>84</v>
      </c>
      <c r="C5287" t="s">
        <v>1762</v>
      </c>
      <c r="D5287">
        <v>300</v>
      </c>
      <c r="E5287" t="s">
        <v>1969</v>
      </c>
      <c r="F5287">
        <v>1135</v>
      </c>
      <c r="G5287" t="s">
        <v>63</v>
      </c>
      <c r="H5287">
        <v>2135</v>
      </c>
      <c r="I5287" t="s">
        <v>63</v>
      </c>
      <c r="J5287">
        <v>3236</v>
      </c>
      <c r="K5287" t="s">
        <v>2015</v>
      </c>
      <c r="L5287">
        <v>4238</v>
      </c>
      <c r="M5287" t="s">
        <v>2025</v>
      </c>
      <c r="N5287" t="s">
        <v>360</v>
      </c>
      <c r="O5287">
        <v>1</v>
      </c>
      <c r="P5287">
        <v>6142</v>
      </c>
      <c r="Q5287" t="s">
        <v>1797</v>
      </c>
      <c r="R5287" t="s">
        <v>201</v>
      </c>
      <c r="S5287">
        <v>1</v>
      </c>
      <c r="T5287">
        <v>1</v>
      </c>
      <c r="U5287">
        <v>64488</v>
      </c>
      <c r="V5287">
        <v>64488</v>
      </c>
    </row>
    <row r="5288" spans="1:22">
      <c r="A5288" t="s">
        <v>196</v>
      </c>
      <c r="B5288">
        <v>84</v>
      </c>
      <c r="C5288" t="s">
        <v>1762</v>
      </c>
      <c r="D5288">
        <v>300</v>
      </c>
      <c r="E5288" t="s">
        <v>1969</v>
      </c>
      <c r="F5288">
        <v>1135</v>
      </c>
      <c r="G5288" t="s">
        <v>63</v>
      </c>
      <c r="H5288">
        <v>2135</v>
      </c>
      <c r="I5288" t="s">
        <v>63</v>
      </c>
      <c r="J5288">
        <v>3236</v>
      </c>
      <c r="K5288" t="s">
        <v>2015</v>
      </c>
      <c r="L5288">
        <v>4238</v>
      </c>
      <c r="M5288" t="s">
        <v>2025</v>
      </c>
      <c r="N5288" t="s">
        <v>1314</v>
      </c>
      <c r="O5288">
        <v>0</v>
      </c>
      <c r="P5288">
        <v>5635</v>
      </c>
      <c r="Q5288" t="s">
        <v>958</v>
      </c>
      <c r="R5288" t="s">
        <v>201</v>
      </c>
      <c r="S5288">
        <v>1</v>
      </c>
      <c r="T5288">
        <v>1</v>
      </c>
      <c r="U5288">
        <v>160680</v>
      </c>
      <c r="V5288">
        <v>160680</v>
      </c>
    </row>
    <row r="5289" spans="1:22">
      <c r="A5289" t="s">
        <v>196</v>
      </c>
      <c r="B5289">
        <v>84</v>
      </c>
      <c r="C5289" t="s">
        <v>1762</v>
      </c>
      <c r="D5289">
        <v>300</v>
      </c>
      <c r="E5289" t="s">
        <v>1969</v>
      </c>
      <c r="F5289">
        <v>1135</v>
      </c>
      <c r="G5289" t="s">
        <v>63</v>
      </c>
      <c r="H5289">
        <v>2135</v>
      </c>
      <c r="I5289" t="s">
        <v>63</v>
      </c>
      <c r="J5289">
        <v>3236</v>
      </c>
      <c r="K5289" t="s">
        <v>2015</v>
      </c>
      <c r="L5289">
        <v>4238</v>
      </c>
      <c r="M5289" t="s">
        <v>2025</v>
      </c>
      <c r="N5289" t="s">
        <v>602</v>
      </c>
      <c r="O5289">
        <v>4</v>
      </c>
      <c r="P5289">
        <v>5614</v>
      </c>
      <c r="Q5289" t="s">
        <v>1783</v>
      </c>
      <c r="R5289" t="s">
        <v>201</v>
      </c>
      <c r="S5289">
        <v>1</v>
      </c>
      <c r="T5289">
        <v>1</v>
      </c>
      <c r="U5289">
        <v>107628</v>
      </c>
      <c r="V5289">
        <v>107628</v>
      </c>
    </row>
    <row r="5290" spans="1:22">
      <c r="A5290" t="s">
        <v>196</v>
      </c>
      <c r="B5290">
        <v>84</v>
      </c>
      <c r="C5290" t="s">
        <v>1762</v>
      </c>
      <c r="D5290">
        <v>300</v>
      </c>
      <c r="E5290" t="s">
        <v>1969</v>
      </c>
      <c r="F5290">
        <v>1135</v>
      </c>
      <c r="G5290" t="s">
        <v>63</v>
      </c>
      <c r="H5290">
        <v>2135</v>
      </c>
      <c r="I5290" t="s">
        <v>63</v>
      </c>
      <c r="J5290">
        <v>3236</v>
      </c>
      <c r="K5290" t="s">
        <v>2015</v>
      </c>
      <c r="L5290">
        <v>4238</v>
      </c>
      <c r="M5290" t="s">
        <v>2025</v>
      </c>
      <c r="N5290" t="s">
        <v>688</v>
      </c>
      <c r="O5290">
        <v>4</v>
      </c>
      <c r="P5290">
        <v>5612</v>
      </c>
      <c r="Q5290" t="s">
        <v>1872</v>
      </c>
      <c r="R5290" t="s">
        <v>201</v>
      </c>
      <c r="S5290">
        <v>2</v>
      </c>
      <c r="T5290">
        <v>1</v>
      </c>
      <c r="U5290">
        <v>84192</v>
      </c>
      <c r="V5290">
        <v>168384</v>
      </c>
    </row>
    <row r="5291" spans="1:22">
      <c r="A5291" t="s">
        <v>196</v>
      </c>
      <c r="B5291">
        <v>84</v>
      </c>
      <c r="C5291" t="s">
        <v>1762</v>
      </c>
      <c r="D5291">
        <v>300</v>
      </c>
      <c r="E5291" t="s">
        <v>1969</v>
      </c>
      <c r="F5291">
        <v>1135</v>
      </c>
      <c r="G5291" t="s">
        <v>63</v>
      </c>
      <c r="H5291">
        <v>2135</v>
      </c>
      <c r="I5291" t="s">
        <v>63</v>
      </c>
      <c r="J5291">
        <v>3236</v>
      </c>
      <c r="K5291" t="s">
        <v>2015</v>
      </c>
      <c r="L5291">
        <v>4238</v>
      </c>
      <c r="M5291" t="s">
        <v>2025</v>
      </c>
      <c r="N5291" t="s">
        <v>199</v>
      </c>
      <c r="O5291">
        <v>0</v>
      </c>
      <c r="P5291">
        <v>15</v>
      </c>
      <c r="Q5291" t="s">
        <v>264</v>
      </c>
      <c r="R5291" t="s">
        <v>201</v>
      </c>
      <c r="S5291">
        <v>0</v>
      </c>
      <c r="T5291">
        <v>0</v>
      </c>
      <c r="U5291">
        <v>12547</v>
      </c>
      <c r="V5291">
        <v>12547</v>
      </c>
    </row>
    <row r="5292" spans="1:22">
      <c r="A5292" t="s">
        <v>196</v>
      </c>
      <c r="B5292">
        <v>84</v>
      </c>
      <c r="C5292" t="s">
        <v>1762</v>
      </c>
      <c r="D5292">
        <v>300</v>
      </c>
      <c r="E5292" t="s">
        <v>1969</v>
      </c>
      <c r="F5292">
        <v>1135</v>
      </c>
      <c r="G5292" t="s">
        <v>63</v>
      </c>
      <c r="H5292">
        <v>2135</v>
      </c>
      <c r="I5292" t="s">
        <v>63</v>
      </c>
      <c r="J5292">
        <v>3264</v>
      </c>
      <c r="K5292" t="s">
        <v>2026</v>
      </c>
      <c r="L5292">
        <v>0</v>
      </c>
      <c r="N5292" t="s">
        <v>251</v>
      </c>
      <c r="O5292">
        <v>10</v>
      </c>
      <c r="P5292">
        <v>8232</v>
      </c>
      <c r="Q5292" t="s">
        <v>2024</v>
      </c>
      <c r="R5292" t="s">
        <v>201</v>
      </c>
      <c r="S5292">
        <v>1</v>
      </c>
      <c r="T5292">
        <v>1</v>
      </c>
      <c r="U5292">
        <v>94332</v>
      </c>
      <c r="V5292">
        <v>94332</v>
      </c>
    </row>
    <row r="5293" spans="1:22">
      <c r="A5293" t="s">
        <v>196</v>
      </c>
      <c r="B5293">
        <v>84</v>
      </c>
      <c r="C5293" t="s">
        <v>1762</v>
      </c>
      <c r="D5293">
        <v>300</v>
      </c>
      <c r="E5293" t="s">
        <v>1969</v>
      </c>
      <c r="F5293">
        <v>1135</v>
      </c>
      <c r="G5293" t="s">
        <v>63</v>
      </c>
      <c r="H5293">
        <v>2135</v>
      </c>
      <c r="I5293" t="s">
        <v>63</v>
      </c>
      <c r="J5293">
        <v>3264</v>
      </c>
      <c r="K5293" t="s">
        <v>2026</v>
      </c>
      <c r="L5293">
        <v>0</v>
      </c>
      <c r="N5293" t="s">
        <v>251</v>
      </c>
      <c r="O5293">
        <v>10</v>
      </c>
      <c r="P5293">
        <v>8232</v>
      </c>
      <c r="Q5293" t="s">
        <v>2024</v>
      </c>
      <c r="R5293" t="s">
        <v>201</v>
      </c>
      <c r="S5293">
        <v>1</v>
      </c>
      <c r="T5293">
        <v>1</v>
      </c>
      <c r="U5293">
        <v>80124</v>
      </c>
      <c r="V5293">
        <v>80124</v>
      </c>
    </row>
    <row r="5294" spans="1:22">
      <c r="A5294" t="s">
        <v>196</v>
      </c>
      <c r="B5294">
        <v>84</v>
      </c>
      <c r="C5294" t="s">
        <v>1762</v>
      </c>
      <c r="D5294">
        <v>300</v>
      </c>
      <c r="E5294" t="s">
        <v>1969</v>
      </c>
      <c r="F5294">
        <v>1135</v>
      </c>
      <c r="G5294" t="s">
        <v>63</v>
      </c>
      <c r="H5294">
        <v>2135</v>
      </c>
      <c r="I5294" t="s">
        <v>63</v>
      </c>
      <c r="J5294">
        <v>3264</v>
      </c>
      <c r="K5294" t="s">
        <v>2026</v>
      </c>
      <c r="L5294">
        <v>0</v>
      </c>
      <c r="N5294" t="s">
        <v>372</v>
      </c>
      <c r="O5294">
        <v>1</v>
      </c>
      <c r="P5294">
        <v>6144</v>
      </c>
      <c r="Q5294" t="s">
        <v>1466</v>
      </c>
      <c r="R5294" t="s">
        <v>201</v>
      </c>
      <c r="S5294">
        <v>1</v>
      </c>
      <c r="T5294">
        <v>1</v>
      </c>
      <c r="U5294">
        <v>77640</v>
      </c>
      <c r="V5294">
        <v>77640</v>
      </c>
    </row>
    <row r="5295" spans="1:22">
      <c r="A5295" t="s">
        <v>196</v>
      </c>
      <c r="B5295">
        <v>84</v>
      </c>
      <c r="C5295" t="s">
        <v>1762</v>
      </c>
      <c r="D5295">
        <v>300</v>
      </c>
      <c r="E5295" t="s">
        <v>1969</v>
      </c>
      <c r="F5295">
        <v>1135</v>
      </c>
      <c r="G5295" t="s">
        <v>63</v>
      </c>
      <c r="H5295">
        <v>2135</v>
      </c>
      <c r="I5295" t="s">
        <v>63</v>
      </c>
      <c r="J5295">
        <v>3264</v>
      </c>
      <c r="K5295" t="s">
        <v>2026</v>
      </c>
      <c r="L5295">
        <v>0</v>
      </c>
      <c r="N5295" t="s">
        <v>372</v>
      </c>
      <c r="O5295">
        <v>1</v>
      </c>
      <c r="P5295">
        <v>6144</v>
      </c>
      <c r="Q5295" t="s">
        <v>1466</v>
      </c>
      <c r="R5295" t="s">
        <v>201</v>
      </c>
      <c r="S5295">
        <v>1</v>
      </c>
      <c r="T5295">
        <v>1</v>
      </c>
      <c r="U5295">
        <v>75336</v>
      </c>
      <c r="V5295">
        <v>75336</v>
      </c>
    </row>
    <row r="5296" spans="1:22">
      <c r="A5296" t="s">
        <v>196</v>
      </c>
      <c r="B5296">
        <v>84</v>
      </c>
      <c r="C5296" t="s">
        <v>1762</v>
      </c>
      <c r="D5296">
        <v>300</v>
      </c>
      <c r="E5296" t="s">
        <v>1969</v>
      </c>
      <c r="F5296">
        <v>1135</v>
      </c>
      <c r="G5296" t="s">
        <v>63</v>
      </c>
      <c r="H5296">
        <v>2135</v>
      </c>
      <c r="I5296" t="s">
        <v>63</v>
      </c>
      <c r="J5296">
        <v>3264</v>
      </c>
      <c r="K5296" t="s">
        <v>2026</v>
      </c>
      <c r="L5296">
        <v>0</v>
      </c>
      <c r="N5296" t="s">
        <v>622</v>
      </c>
      <c r="O5296">
        <v>1</v>
      </c>
      <c r="P5296" t="s">
        <v>667</v>
      </c>
      <c r="Q5296" t="s">
        <v>205</v>
      </c>
      <c r="R5296" t="s">
        <v>201</v>
      </c>
      <c r="S5296">
        <v>2</v>
      </c>
      <c r="T5296">
        <v>1</v>
      </c>
      <c r="U5296">
        <v>90144</v>
      </c>
      <c r="V5296">
        <v>180288</v>
      </c>
    </row>
    <row r="5297" spans="1:22">
      <c r="A5297" t="s">
        <v>196</v>
      </c>
      <c r="B5297">
        <v>84</v>
      </c>
      <c r="C5297" t="s">
        <v>1762</v>
      </c>
      <c r="D5297">
        <v>300</v>
      </c>
      <c r="E5297" t="s">
        <v>1969</v>
      </c>
      <c r="F5297">
        <v>1135</v>
      </c>
      <c r="G5297" t="s">
        <v>63</v>
      </c>
      <c r="H5297">
        <v>2135</v>
      </c>
      <c r="I5297" t="s">
        <v>63</v>
      </c>
      <c r="J5297">
        <v>3264</v>
      </c>
      <c r="K5297" t="s">
        <v>2026</v>
      </c>
      <c r="L5297">
        <v>0</v>
      </c>
      <c r="N5297" t="s">
        <v>622</v>
      </c>
      <c r="O5297">
        <v>1</v>
      </c>
      <c r="P5297" t="s">
        <v>667</v>
      </c>
      <c r="Q5297" t="s">
        <v>205</v>
      </c>
      <c r="R5297" t="s">
        <v>201</v>
      </c>
      <c r="S5297">
        <v>1</v>
      </c>
      <c r="T5297">
        <v>1</v>
      </c>
      <c r="U5297">
        <v>86112</v>
      </c>
      <c r="V5297">
        <v>86112</v>
      </c>
    </row>
    <row r="5298" spans="1:22">
      <c r="A5298" t="s">
        <v>196</v>
      </c>
      <c r="B5298">
        <v>84</v>
      </c>
      <c r="C5298" t="s">
        <v>1762</v>
      </c>
      <c r="D5298">
        <v>300</v>
      </c>
      <c r="E5298" t="s">
        <v>1969</v>
      </c>
      <c r="F5298">
        <v>1135</v>
      </c>
      <c r="G5298" t="s">
        <v>63</v>
      </c>
      <c r="H5298">
        <v>2135</v>
      </c>
      <c r="I5298" t="s">
        <v>63</v>
      </c>
      <c r="J5298">
        <v>3264</v>
      </c>
      <c r="K5298" t="s">
        <v>2026</v>
      </c>
      <c r="L5298">
        <v>0</v>
      </c>
      <c r="N5298" t="s">
        <v>622</v>
      </c>
      <c r="O5298">
        <v>1</v>
      </c>
      <c r="P5298" t="s">
        <v>667</v>
      </c>
      <c r="Q5298" t="s">
        <v>205</v>
      </c>
      <c r="R5298" t="s">
        <v>201</v>
      </c>
      <c r="S5298">
        <v>1</v>
      </c>
      <c r="T5298">
        <v>1</v>
      </c>
      <c r="U5298">
        <v>71436</v>
      </c>
      <c r="V5298">
        <v>71436</v>
      </c>
    </row>
    <row r="5299" spans="1:22">
      <c r="A5299" t="s">
        <v>196</v>
      </c>
      <c r="B5299">
        <v>84</v>
      </c>
      <c r="C5299" t="s">
        <v>1762</v>
      </c>
      <c r="D5299">
        <v>300</v>
      </c>
      <c r="E5299" t="s">
        <v>1969</v>
      </c>
      <c r="F5299">
        <v>1135</v>
      </c>
      <c r="G5299" t="s">
        <v>63</v>
      </c>
      <c r="H5299">
        <v>2135</v>
      </c>
      <c r="I5299" t="s">
        <v>63</v>
      </c>
      <c r="J5299">
        <v>3264</v>
      </c>
      <c r="K5299" t="s">
        <v>2026</v>
      </c>
      <c r="L5299">
        <v>0</v>
      </c>
      <c r="N5299" t="s">
        <v>622</v>
      </c>
      <c r="O5299">
        <v>1</v>
      </c>
      <c r="P5299" t="s">
        <v>667</v>
      </c>
      <c r="Q5299" t="s">
        <v>205</v>
      </c>
      <c r="R5299" t="s">
        <v>201</v>
      </c>
      <c r="S5299">
        <v>1</v>
      </c>
      <c r="T5299">
        <v>1</v>
      </c>
      <c r="U5299">
        <v>61548</v>
      </c>
      <c r="V5299">
        <v>61548</v>
      </c>
    </row>
    <row r="5300" spans="1:22">
      <c r="A5300" t="s">
        <v>196</v>
      </c>
      <c r="B5300">
        <v>84</v>
      </c>
      <c r="C5300" t="s">
        <v>1762</v>
      </c>
      <c r="D5300">
        <v>300</v>
      </c>
      <c r="E5300" t="s">
        <v>1969</v>
      </c>
      <c r="F5300">
        <v>1135</v>
      </c>
      <c r="G5300" t="s">
        <v>63</v>
      </c>
      <c r="H5300">
        <v>2135</v>
      </c>
      <c r="I5300" t="s">
        <v>63</v>
      </c>
      <c r="J5300">
        <v>3264</v>
      </c>
      <c r="K5300" t="s">
        <v>2026</v>
      </c>
      <c r="L5300">
        <v>0</v>
      </c>
      <c r="N5300" t="s">
        <v>622</v>
      </c>
      <c r="O5300">
        <v>1</v>
      </c>
      <c r="P5300" t="s">
        <v>667</v>
      </c>
      <c r="Q5300" t="s">
        <v>205</v>
      </c>
      <c r="R5300" t="s">
        <v>201</v>
      </c>
      <c r="S5300">
        <v>3</v>
      </c>
      <c r="T5300">
        <v>1</v>
      </c>
      <c r="U5300">
        <v>53532</v>
      </c>
      <c r="V5300">
        <v>160596</v>
      </c>
    </row>
    <row r="5301" spans="1:22">
      <c r="A5301" t="s">
        <v>196</v>
      </c>
      <c r="B5301">
        <v>84</v>
      </c>
      <c r="C5301" t="s">
        <v>1762</v>
      </c>
      <c r="D5301">
        <v>300</v>
      </c>
      <c r="E5301" t="s">
        <v>1969</v>
      </c>
      <c r="F5301">
        <v>1135</v>
      </c>
      <c r="G5301" t="s">
        <v>63</v>
      </c>
      <c r="H5301">
        <v>2135</v>
      </c>
      <c r="I5301" t="s">
        <v>63</v>
      </c>
      <c r="J5301">
        <v>3264</v>
      </c>
      <c r="K5301" t="s">
        <v>2026</v>
      </c>
      <c r="L5301">
        <v>0</v>
      </c>
      <c r="N5301" t="s">
        <v>199</v>
      </c>
      <c r="O5301">
        <v>0</v>
      </c>
      <c r="P5301">
        <v>15</v>
      </c>
      <c r="Q5301" t="s">
        <v>264</v>
      </c>
      <c r="R5301" t="s">
        <v>201</v>
      </c>
      <c r="S5301">
        <v>0</v>
      </c>
      <c r="T5301">
        <v>0</v>
      </c>
      <c r="U5301">
        <v>11650</v>
      </c>
      <c r="V5301">
        <v>11650</v>
      </c>
    </row>
    <row r="5302" spans="1:22">
      <c r="A5302" t="s">
        <v>196</v>
      </c>
      <c r="B5302">
        <v>84</v>
      </c>
      <c r="C5302" t="s">
        <v>1762</v>
      </c>
      <c r="D5302">
        <v>300</v>
      </c>
      <c r="E5302" t="s">
        <v>1969</v>
      </c>
      <c r="F5302">
        <v>1135</v>
      </c>
      <c r="G5302" t="s">
        <v>63</v>
      </c>
      <c r="H5302">
        <v>2135</v>
      </c>
      <c r="I5302" t="s">
        <v>63</v>
      </c>
      <c r="J5302">
        <v>3265</v>
      </c>
      <c r="K5302" t="s">
        <v>1986</v>
      </c>
      <c r="L5302">
        <v>0</v>
      </c>
      <c r="N5302" t="s">
        <v>386</v>
      </c>
      <c r="O5302">
        <v>1</v>
      </c>
      <c r="P5302">
        <v>629</v>
      </c>
      <c r="Q5302" t="s">
        <v>687</v>
      </c>
      <c r="R5302" t="s">
        <v>201</v>
      </c>
      <c r="S5302">
        <v>1</v>
      </c>
      <c r="T5302">
        <v>1</v>
      </c>
      <c r="U5302">
        <v>164808</v>
      </c>
      <c r="V5302">
        <v>164808</v>
      </c>
    </row>
    <row r="5303" spans="1:22">
      <c r="A5303" t="s">
        <v>196</v>
      </c>
      <c r="B5303">
        <v>84</v>
      </c>
      <c r="C5303" t="s">
        <v>1762</v>
      </c>
      <c r="D5303">
        <v>300</v>
      </c>
      <c r="E5303" t="s">
        <v>1969</v>
      </c>
      <c r="F5303">
        <v>1135</v>
      </c>
      <c r="G5303" t="s">
        <v>63</v>
      </c>
      <c r="H5303">
        <v>2135</v>
      </c>
      <c r="I5303" t="s">
        <v>63</v>
      </c>
      <c r="J5303">
        <v>3265</v>
      </c>
      <c r="K5303" t="s">
        <v>1986</v>
      </c>
      <c r="L5303">
        <v>0</v>
      </c>
      <c r="N5303" t="s">
        <v>622</v>
      </c>
      <c r="O5303">
        <v>1</v>
      </c>
      <c r="P5303" t="s">
        <v>667</v>
      </c>
      <c r="Q5303" t="s">
        <v>205</v>
      </c>
      <c r="R5303" t="s">
        <v>201</v>
      </c>
      <c r="S5303">
        <v>1</v>
      </c>
      <c r="T5303">
        <v>1</v>
      </c>
      <c r="U5303">
        <v>56124</v>
      </c>
      <c r="V5303">
        <v>56124</v>
      </c>
    </row>
    <row r="5304" spans="1:22">
      <c r="A5304" t="s">
        <v>196</v>
      </c>
      <c r="B5304">
        <v>84</v>
      </c>
      <c r="C5304" t="s">
        <v>1762</v>
      </c>
      <c r="D5304">
        <v>300</v>
      </c>
      <c r="E5304" t="s">
        <v>1969</v>
      </c>
      <c r="F5304">
        <v>1135</v>
      </c>
      <c r="G5304" t="s">
        <v>63</v>
      </c>
      <c r="H5304">
        <v>2135</v>
      </c>
      <c r="I5304" t="s">
        <v>63</v>
      </c>
      <c r="J5304">
        <v>3265</v>
      </c>
      <c r="K5304" t="s">
        <v>1986</v>
      </c>
      <c r="L5304">
        <v>0</v>
      </c>
      <c r="N5304" t="s">
        <v>268</v>
      </c>
      <c r="O5304">
        <v>10</v>
      </c>
      <c r="P5304">
        <v>396</v>
      </c>
      <c r="Q5304" t="s">
        <v>1792</v>
      </c>
      <c r="R5304" t="s">
        <v>201</v>
      </c>
      <c r="S5304">
        <v>1</v>
      </c>
      <c r="T5304">
        <v>1</v>
      </c>
      <c r="U5304">
        <v>113568</v>
      </c>
      <c r="V5304">
        <v>113568</v>
      </c>
    </row>
    <row r="5305" spans="1:22">
      <c r="A5305" t="s">
        <v>196</v>
      </c>
      <c r="B5305">
        <v>84</v>
      </c>
      <c r="C5305" t="s">
        <v>1762</v>
      </c>
      <c r="D5305">
        <v>300</v>
      </c>
      <c r="E5305" t="s">
        <v>1969</v>
      </c>
      <c r="F5305">
        <v>1135</v>
      </c>
      <c r="G5305" t="s">
        <v>63</v>
      </c>
      <c r="H5305">
        <v>2135</v>
      </c>
      <c r="I5305" t="s">
        <v>63</v>
      </c>
      <c r="J5305">
        <v>3265</v>
      </c>
      <c r="K5305" t="s">
        <v>1986</v>
      </c>
      <c r="L5305">
        <v>0</v>
      </c>
      <c r="N5305" t="s">
        <v>199</v>
      </c>
      <c r="O5305">
        <v>0</v>
      </c>
      <c r="P5305">
        <v>15</v>
      </c>
      <c r="Q5305" t="s">
        <v>264</v>
      </c>
      <c r="R5305" t="s">
        <v>201</v>
      </c>
      <c r="S5305">
        <v>0</v>
      </c>
      <c r="T5305">
        <v>0</v>
      </c>
      <c r="U5305">
        <v>1278</v>
      </c>
      <c r="V5305">
        <v>1278</v>
      </c>
    </row>
    <row r="5306" spans="1:22">
      <c r="A5306" t="s">
        <v>196</v>
      </c>
      <c r="B5306">
        <v>84</v>
      </c>
      <c r="C5306" t="s">
        <v>1762</v>
      </c>
      <c r="D5306">
        <v>300</v>
      </c>
      <c r="E5306" t="s">
        <v>1969</v>
      </c>
      <c r="F5306">
        <v>1155</v>
      </c>
      <c r="G5306" t="s">
        <v>8</v>
      </c>
      <c r="H5306">
        <v>2155</v>
      </c>
      <c r="I5306" t="s">
        <v>8</v>
      </c>
      <c r="J5306">
        <v>3255</v>
      </c>
      <c r="K5306" t="s">
        <v>1825</v>
      </c>
      <c r="L5306">
        <v>0</v>
      </c>
      <c r="N5306" t="s">
        <v>731</v>
      </c>
      <c r="O5306">
        <v>10</v>
      </c>
      <c r="P5306">
        <v>8259</v>
      </c>
      <c r="Q5306" t="s">
        <v>2027</v>
      </c>
      <c r="R5306" t="s">
        <v>201</v>
      </c>
      <c r="S5306">
        <v>1</v>
      </c>
      <c r="T5306">
        <v>1</v>
      </c>
      <c r="U5306">
        <v>117780</v>
      </c>
      <c r="V5306">
        <v>117780</v>
      </c>
    </row>
    <row r="5307" spans="1:22">
      <c r="A5307" t="s">
        <v>196</v>
      </c>
      <c r="B5307">
        <v>84</v>
      </c>
      <c r="C5307" t="s">
        <v>1762</v>
      </c>
      <c r="D5307">
        <v>300</v>
      </c>
      <c r="E5307" t="s">
        <v>1969</v>
      </c>
      <c r="F5307">
        <v>1155</v>
      </c>
      <c r="G5307" t="s">
        <v>8</v>
      </c>
      <c r="H5307">
        <v>2155</v>
      </c>
      <c r="I5307" t="s">
        <v>8</v>
      </c>
      <c r="J5307">
        <v>3280</v>
      </c>
      <c r="K5307" t="s">
        <v>1811</v>
      </c>
      <c r="L5307">
        <v>0</v>
      </c>
      <c r="N5307" t="s">
        <v>721</v>
      </c>
      <c r="O5307">
        <v>54</v>
      </c>
      <c r="P5307">
        <v>9539</v>
      </c>
      <c r="Q5307" t="s">
        <v>2028</v>
      </c>
      <c r="R5307" t="s">
        <v>713</v>
      </c>
      <c r="S5307">
        <v>108160</v>
      </c>
      <c r="T5307">
        <v>0</v>
      </c>
      <c r="U5307">
        <v>51.47</v>
      </c>
      <c r="V5307">
        <v>5566995</v>
      </c>
    </row>
    <row r="5308" spans="1:22">
      <c r="A5308" t="s">
        <v>196</v>
      </c>
      <c r="B5308">
        <v>84</v>
      </c>
      <c r="C5308" t="s">
        <v>1762</v>
      </c>
      <c r="D5308">
        <v>300</v>
      </c>
      <c r="E5308" t="s">
        <v>1969</v>
      </c>
      <c r="F5308">
        <v>1155</v>
      </c>
      <c r="G5308" t="s">
        <v>8</v>
      </c>
      <c r="H5308">
        <v>2155</v>
      </c>
      <c r="I5308" t="s">
        <v>8</v>
      </c>
      <c r="J5308">
        <v>3280</v>
      </c>
      <c r="K5308" t="s">
        <v>1811</v>
      </c>
      <c r="L5308">
        <v>0</v>
      </c>
      <c r="N5308" t="s">
        <v>721</v>
      </c>
      <c r="O5308">
        <v>54</v>
      </c>
      <c r="P5308">
        <v>9539</v>
      </c>
      <c r="Q5308" t="s">
        <v>2028</v>
      </c>
      <c r="R5308" t="s">
        <v>713</v>
      </c>
      <c r="S5308">
        <v>86</v>
      </c>
      <c r="T5308">
        <v>1</v>
      </c>
      <c r="U5308">
        <v>51.4</v>
      </c>
      <c r="V5308">
        <v>9194432</v>
      </c>
    </row>
    <row r="5309" spans="1:22">
      <c r="A5309" t="s">
        <v>196</v>
      </c>
      <c r="B5309">
        <v>84</v>
      </c>
      <c r="C5309" t="s">
        <v>1762</v>
      </c>
      <c r="D5309">
        <v>300</v>
      </c>
      <c r="E5309" t="s">
        <v>1969</v>
      </c>
      <c r="F5309">
        <v>1155</v>
      </c>
      <c r="G5309" t="s">
        <v>8</v>
      </c>
      <c r="H5309">
        <v>2155</v>
      </c>
      <c r="I5309" t="s">
        <v>8</v>
      </c>
      <c r="J5309">
        <v>3280</v>
      </c>
      <c r="K5309" t="s">
        <v>1811</v>
      </c>
      <c r="L5309">
        <v>0</v>
      </c>
      <c r="N5309" t="s">
        <v>721</v>
      </c>
      <c r="O5309">
        <v>54</v>
      </c>
      <c r="P5309">
        <v>9464</v>
      </c>
      <c r="Q5309" t="s">
        <v>2029</v>
      </c>
      <c r="R5309" t="s">
        <v>713</v>
      </c>
      <c r="S5309">
        <v>45758</v>
      </c>
      <c r="T5309">
        <v>0</v>
      </c>
      <c r="U5309">
        <v>51.4</v>
      </c>
      <c r="V5309">
        <v>2351961</v>
      </c>
    </row>
    <row r="5310" spans="1:22">
      <c r="A5310" t="s">
        <v>196</v>
      </c>
      <c r="B5310">
        <v>84</v>
      </c>
      <c r="C5310" t="s">
        <v>1762</v>
      </c>
      <c r="D5310">
        <v>300</v>
      </c>
      <c r="E5310" t="s">
        <v>1969</v>
      </c>
      <c r="F5310">
        <v>1155</v>
      </c>
      <c r="G5310" t="s">
        <v>8</v>
      </c>
      <c r="H5310">
        <v>2155</v>
      </c>
      <c r="I5310" t="s">
        <v>8</v>
      </c>
      <c r="J5310">
        <v>3280</v>
      </c>
      <c r="K5310" t="s">
        <v>1811</v>
      </c>
      <c r="L5310">
        <v>0</v>
      </c>
      <c r="N5310" t="s">
        <v>721</v>
      </c>
      <c r="O5310">
        <v>54</v>
      </c>
      <c r="P5310">
        <v>9464</v>
      </c>
      <c r="Q5310" t="s">
        <v>2029</v>
      </c>
      <c r="R5310" t="s">
        <v>713</v>
      </c>
      <c r="S5310">
        <v>17</v>
      </c>
      <c r="T5310">
        <v>1</v>
      </c>
      <c r="U5310">
        <v>51.4</v>
      </c>
      <c r="V5310">
        <v>1817504</v>
      </c>
    </row>
    <row r="5311" spans="1:22">
      <c r="A5311" t="s">
        <v>196</v>
      </c>
      <c r="B5311">
        <v>84</v>
      </c>
      <c r="C5311" t="s">
        <v>1762</v>
      </c>
      <c r="D5311">
        <v>300</v>
      </c>
      <c r="E5311" t="s">
        <v>1969</v>
      </c>
      <c r="F5311">
        <v>1155</v>
      </c>
      <c r="G5311" t="s">
        <v>8</v>
      </c>
      <c r="H5311">
        <v>2155</v>
      </c>
      <c r="I5311" t="s">
        <v>8</v>
      </c>
      <c r="J5311">
        <v>3280</v>
      </c>
      <c r="K5311" t="s">
        <v>1811</v>
      </c>
      <c r="L5311">
        <v>0</v>
      </c>
      <c r="N5311" t="s">
        <v>721</v>
      </c>
      <c r="O5311">
        <v>54</v>
      </c>
      <c r="P5311">
        <v>8323</v>
      </c>
      <c r="Q5311" t="s">
        <v>2030</v>
      </c>
      <c r="R5311" t="s">
        <v>713</v>
      </c>
      <c r="S5311">
        <v>2</v>
      </c>
      <c r="T5311">
        <v>1</v>
      </c>
      <c r="U5311">
        <v>51.4</v>
      </c>
      <c r="V5311">
        <v>213824</v>
      </c>
    </row>
    <row r="5312" spans="1:22">
      <c r="A5312" t="s">
        <v>196</v>
      </c>
      <c r="B5312">
        <v>84</v>
      </c>
      <c r="C5312" t="s">
        <v>1762</v>
      </c>
      <c r="D5312">
        <v>300</v>
      </c>
      <c r="E5312" t="s">
        <v>1969</v>
      </c>
      <c r="F5312">
        <v>1155</v>
      </c>
      <c r="G5312" t="s">
        <v>8</v>
      </c>
      <c r="H5312">
        <v>2155</v>
      </c>
      <c r="I5312" t="s">
        <v>8</v>
      </c>
      <c r="J5312">
        <v>3280</v>
      </c>
      <c r="K5312" t="s">
        <v>1811</v>
      </c>
      <c r="L5312">
        <v>0</v>
      </c>
      <c r="N5312" t="s">
        <v>721</v>
      </c>
      <c r="O5312">
        <v>54</v>
      </c>
      <c r="P5312">
        <v>8323</v>
      </c>
      <c r="Q5312" t="s">
        <v>2030</v>
      </c>
      <c r="R5312" t="s">
        <v>713</v>
      </c>
      <c r="S5312">
        <v>1</v>
      </c>
      <c r="T5312">
        <v>1</v>
      </c>
      <c r="U5312">
        <v>44.4</v>
      </c>
      <c r="V5312">
        <v>92352</v>
      </c>
    </row>
    <row r="5313" spans="1:22">
      <c r="A5313" t="s">
        <v>196</v>
      </c>
      <c r="B5313">
        <v>84</v>
      </c>
      <c r="C5313" t="s">
        <v>1762</v>
      </c>
      <c r="D5313">
        <v>300</v>
      </c>
      <c r="E5313" t="s">
        <v>1969</v>
      </c>
      <c r="F5313">
        <v>1155</v>
      </c>
      <c r="G5313" t="s">
        <v>8</v>
      </c>
      <c r="H5313">
        <v>2155</v>
      </c>
      <c r="I5313" t="s">
        <v>8</v>
      </c>
      <c r="J5313">
        <v>3280</v>
      </c>
      <c r="K5313" t="s">
        <v>1811</v>
      </c>
      <c r="L5313">
        <v>0</v>
      </c>
      <c r="N5313" t="s">
        <v>721</v>
      </c>
      <c r="O5313">
        <v>54</v>
      </c>
      <c r="P5313">
        <v>8322</v>
      </c>
      <c r="Q5313" t="s">
        <v>2031</v>
      </c>
      <c r="R5313" t="s">
        <v>713</v>
      </c>
      <c r="S5313">
        <v>1</v>
      </c>
      <c r="T5313">
        <v>1</v>
      </c>
      <c r="U5313">
        <v>51.4</v>
      </c>
      <c r="V5313">
        <v>106912</v>
      </c>
    </row>
    <row r="5314" spans="1:22">
      <c r="A5314" t="s">
        <v>196</v>
      </c>
      <c r="B5314">
        <v>84</v>
      </c>
      <c r="C5314" t="s">
        <v>1762</v>
      </c>
      <c r="D5314">
        <v>300</v>
      </c>
      <c r="E5314" t="s">
        <v>1969</v>
      </c>
      <c r="F5314">
        <v>1155</v>
      </c>
      <c r="G5314" t="s">
        <v>8</v>
      </c>
      <c r="H5314">
        <v>2155</v>
      </c>
      <c r="I5314" t="s">
        <v>8</v>
      </c>
      <c r="J5314">
        <v>3280</v>
      </c>
      <c r="K5314" t="s">
        <v>1811</v>
      </c>
      <c r="L5314">
        <v>0</v>
      </c>
      <c r="N5314" t="s">
        <v>721</v>
      </c>
      <c r="O5314">
        <v>54</v>
      </c>
      <c r="P5314">
        <v>8249</v>
      </c>
      <c r="Q5314" t="s">
        <v>2032</v>
      </c>
      <c r="R5314" t="s">
        <v>713</v>
      </c>
      <c r="S5314">
        <v>18</v>
      </c>
      <c r="T5314">
        <v>1</v>
      </c>
      <c r="U5314">
        <v>52.3</v>
      </c>
      <c r="V5314">
        <v>1958112</v>
      </c>
    </row>
    <row r="5315" spans="1:22">
      <c r="A5315" t="s">
        <v>196</v>
      </c>
      <c r="B5315">
        <v>84</v>
      </c>
      <c r="C5315" t="s">
        <v>1762</v>
      </c>
      <c r="D5315">
        <v>300</v>
      </c>
      <c r="E5315" t="s">
        <v>1969</v>
      </c>
      <c r="F5315">
        <v>1155</v>
      </c>
      <c r="G5315" t="s">
        <v>8</v>
      </c>
      <c r="H5315">
        <v>2155</v>
      </c>
      <c r="I5315" t="s">
        <v>8</v>
      </c>
      <c r="J5315">
        <v>3280</v>
      </c>
      <c r="K5315" t="s">
        <v>1811</v>
      </c>
      <c r="L5315">
        <v>0</v>
      </c>
      <c r="N5315" t="s">
        <v>721</v>
      </c>
      <c r="O5315">
        <v>54</v>
      </c>
      <c r="P5315">
        <v>8248</v>
      </c>
      <c r="Q5315" t="s">
        <v>2033</v>
      </c>
      <c r="R5315" t="s">
        <v>713</v>
      </c>
      <c r="S5315">
        <v>10</v>
      </c>
      <c r="T5315">
        <v>1</v>
      </c>
      <c r="U5315">
        <v>52.3</v>
      </c>
      <c r="V5315">
        <v>1087840</v>
      </c>
    </row>
    <row r="5316" spans="1:22">
      <c r="A5316" t="s">
        <v>196</v>
      </c>
      <c r="B5316">
        <v>84</v>
      </c>
      <c r="C5316" t="s">
        <v>1762</v>
      </c>
      <c r="D5316">
        <v>300</v>
      </c>
      <c r="E5316" t="s">
        <v>1969</v>
      </c>
      <c r="F5316">
        <v>1155</v>
      </c>
      <c r="G5316" t="s">
        <v>8</v>
      </c>
      <c r="H5316">
        <v>2155</v>
      </c>
      <c r="I5316" t="s">
        <v>8</v>
      </c>
      <c r="J5316">
        <v>3280</v>
      </c>
      <c r="K5316" t="s">
        <v>1811</v>
      </c>
      <c r="L5316">
        <v>0</v>
      </c>
      <c r="N5316" t="s">
        <v>721</v>
      </c>
      <c r="O5316">
        <v>42</v>
      </c>
      <c r="P5316">
        <v>7633</v>
      </c>
      <c r="Q5316" t="s">
        <v>1740</v>
      </c>
      <c r="R5316" t="s">
        <v>713</v>
      </c>
      <c r="S5316">
        <v>54075</v>
      </c>
      <c r="T5316">
        <v>0</v>
      </c>
      <c r="U5316">
        <v>66.8</v>
      </c>
      <c r="V5316">
        <v>3612210</v>
      </c>
    </row>
    <row r="5317" spans="1:22">
      <c r="A5317" t="s">
        <v>196</v>
      </c>
      <c r="B5317">
        <v>84</v>
      </c>
      <c r="C5317" t="s">
        <v>1762</v>
      </c>
      <c r="D5317">
        <v>300</v>
      </c>
      <c r="E5317" t="s">
        <v>1969</v>
      </c>
      <c r="F5317">
        <v>1155</v>
      </c>
      <c r="G5317" t="s">
        <v>8</v>
      </c>
      <c r="H5317">
        <v>2155</v>
      </c>
      <c r="I5317" t="s">
        <v>8</v>
      </c>
      <c r="J5317">
        <v>3280</v>
      </c>
      <c r="K5317" t="s">
        <v>1811</v>
      </c>
      <c r="L5317">
        <v>0</v>
      </c>
      <c r="N5317" t="s">
        <v>721</v>
      </c>
      <c r="O5317">
        <v>42</v>
      </c>
      <c r="P5317">
        <v>7633</v>
      </c>
      <c r="Q5317" t="s">
        <v>1740</v>
      </c>
      <c r="R5317" t="s">
        <v>713</v>
      </c>
      <c r="S5317">
        <v>19</v>
      </c>
      <c r="T5317">
        <v>1</v>
      </c>
      <c r="U5317">
        <v>64.8</v>
      </c>
      <c r="V5317">
        <v>2560896</v>
      </c>
    </row>
    <row r="5318" spans="1:22">
      <c r="A5318" t="s">
        <v>196</v>
      </c>
      <c r="B5318">
        <v>84</v>
      </c>
      <c r="C5318" t="s">
        <v>1762</v>
      </c>
      <c r="D5318">
        <v>300</v>
      </c>
      <c r="E5318" t="s">
        <v>1969</v>
      </c>
      <c r="F5318">
        <v>1155</v>
      </c>
      <c r="G5318" t="s">
        <v>8</v>
      </c>
      <c r="H5318">
        <v>2155</v>
      </c>
      <c r="I5318" t="s">
        <v>8</v>
      </c>
      <c r="J5318">
        <v>3280</v>
      </c>
      <c r="K5318" t="s">
        <v>1811</v>
      </c>
      <c r="L5318">
        <v>0</v>
      </c>
      <c r="N5318" t="s">
        <v>721</v>
      </c>
      <c r="O5318">
        <v>42</v>
      </c>
      <c r="P5318">
        <v>7633</v>
      </c>
      <c r="Q5318" t="s">
        <v>1740</v>
      </c>
      <c r="R5318" t="s">
        <v>713</v>
      </c>
      <c r="S5318">
        <v>1</v>
      </c>
      <c r="T5318">
        <v>1</v>
      </c>
      <c r="U5318">
        <v>63.5</v>
      </c>
      <c r="V5318">
        <v>132080</v>
      </c>
    </row>
    <row r="5319" spans="1:22">
      <c r="A5319" t="s">
        <v>196</v>
      </c>
      <c r="B5319">
        <v>84</v>
      </c>
      <c r="C5319" t="s">
        <v>1762</v>
      </c>
      <c r="D5319">
        <v>300</v>
      </c>
      <c r="E5319" t="s">
        <v>1969</v>
      </c>
      <c r="F5319">
        <v>1155</v>
      </c>
      <c r="G5319" t="s">
        <v>8</v>
      </c>
      <c r="H5319">
        <v>2155</v>
      </c>
      <c r="I5319" t="s">
        <v>8</v>
      </c>
      <c r="J5319">
        <v>3280</v>
      </c>
      <c r="K5319" t="s">
        <v>1811</v>
      </c>
      <c r="L5319">
        <v>0</v>
      </c>
      <c r="N5319" t="s">
        <v>721</v>
      </c>
      <c r="O5319">
        <v>8</v>
      </c>
      <c r="P5319">
        <v>7184</v>
      </c>
      <c r="Q5319" t="s">
        <v>1728</v>
      </c>
      <c r="R5319" t="s">
        <v>713</v>
      </c>
      <c r="S5319">
        <v>166423</v>
      </c>
      <c r="T5319">
        <v>0</v>
      </c>
      <c r="U5319">
        <v>48.73</v>
      </c>
      <c r="V5319">
        <v>8109793</v>
      </c>
    </row>
    <row r="5320" spans="1:22">
      <c r="A5320" t="s">
        <v>196</v>
      </c>
      <c r="B5320">
        <v>84</v>
      </c>
      <c r="C5320" t="s">
        <v>1762</v>
      </c>
      <c r="D5320">
        <v>300</v>
      </c>
      <c r="E5320" t="s">
        <v>1969</v>
      </c>
      <c r="F5320">
        <v>1155</v>
      </c>
      <c r="G5320" t="s">
        <v>8</v>
      </c>
      <c r="H5320">
        <v>2155</v>
      </c>
      <c r="I5320" t="s">
        <v>8</v>
      </c>
      <c r="J5320">
        <v>3280</v>
      </c>
      <c r="K5320" t="s">
        <v>1811</v>
      </c>
      <c r="L5320">
        <v>0</v>
      </c>
      <c r="N5320" t="s">
        <v>721</v>
      </c>
      <c r="O5320">
        <v>8</v>
      </c>
      <c r="P5320">
        <v>7184</v>
      </c>
      <c r="Q5320" t="s">
        <v>1728</v>
      </c>
      <c r="R5320" t="s">
        <v>713</v>
      </c>
      <c r="S5320">
        <v>26</v>
      </c>
      <c r="T5320">
        <v>1</v>
      </c>
      <c r="U5320">
        <v>48.73</v>
      </c>
      <c r="V5320">
        <v>2635318</v>
      </c>
    </row>
    <row r="5321" spans="1:22">
      <c r="A5321" t="s">
        <v>196</v>
      </c>
      <c r="B5321">
        <v>84</v>
      </c>
      <c r="C5321" t="s">
        <v>1762</v>
      </c>
      <c r="D5321">
        <v>300</v>
      </c>
      <c r="E5321" t="s">
        <v>1969</v>
      </c>
      <c r="F5321">
        <v>1155</v>
      </c>
      <c r="G5321" t="s">
        <v>8</v>
      </c>
      <c r="H5321">
        <v>2155</v>
      </c>
      <c r="I5321" t="s">
        <v>8</v>
      </c>
      <c r="J5321">
        <v>3280</v>
      </c>
      <c r="K5321" t="s">
        <v>1811</v>
      </c>
      <c r="L5321">
        <v>0</v>
      </c>
      <c r="N5321" t="s">
        <v>721</v>
      </c>
      <c r="O5321">
        <v>8</v>
      </c>
      <c r="P5321">
        <v>7183</v>
      </c>
      <c r="Q5321" t="s">
        <v>986</v>
      </c>
      <c r="R5321" t="s">
        <v>713</v>
      </c>
      <c r="S5321">
        <v>31</v>
      </c>
      <c r="T5321">
        <v>1</v>
      </c>
      <c r="U5321">
        <v>48.73</v>
      </c>
      <c r="V5321">
        <v>3142110</v>
      </c>
    </row>
    <row r="5322" spans="1:22">
      <c r="A5322" t="s">
        <v>196</v>
      </c>
      <c r="B5322">
        <v>84</v>
      </c>
      <c r="C5322" t="s">
        <v>1762</v>
      </c>
      <c r="D5322">
        <v>300</v>
      </c>
      <c r="E5322" t="s">
        <v>1969</v>
      </c>
      <c r="F5322">
        <v>1155</v>
      </c>
      <c r="G5322" t="s">
        <v>8</v>
      </c>
      <c r="H5322">
        <v>2155</v>
      </c>
      <c r="I5322" t="s">
        <v>8</v>
      </c>
      <c r="J5322">
        <v>3280</v>
      </c>
      <c r="K5322" t="s">
        <v>1811</v>
      </c>
      <c r="L5322">
        <v>0</v>
      </c>
      <c r="N5322" t="s">
        <v>721</v>
      </c>
      <c r="O5322">
        <v>32</v>
      </c>
      <c r="P5322">
        <v>5035</v>
      </c>
      <c r="Q5322" t="s">
        <v>967</v>
      </c>
      <c r="R5322" t="s">
        <v>713</v>
      </c>
      <c r="S5322">
        <v>13870</v>
      </c>
      <c r="T5322">
        <v>0</v>
      </c>
      <c r="U5322">
        <v>57.75</v>
      </c>
      <c r="V5322">
        <v>800993</v>
      </c>
    </row>
    <row r="5323" spans="1:22">
      <c r="A5323" t="s">
        <v>196</v>
      </c>
      <c r="B5323">
        <v>84</v>
      </c>
      <c r="C5323" t="s">
        <v>1762</v>
      </c>
      <c r="D5323">
        <v>300</v>
      </c>
      <c r="E5323" t="s">
        <v>1969</v>
      </c>
      <c r="F5323">
        <v>1155</v>
      </c>
      <c r="G5323" t="s">
        <v>8</v>
      </c>
      <c r="H5323">
        <v>2155</v>
      </c>
      <c r="I5323" t="s">
        <v>8</v>
      </c>
      <c r="J5323">
        <v>3280</v>
      </c>
      <c r="K5323" t="s">
        <v>1811</v>
      </c>
      <c r="L5323">
        <v>0</v>
      </c>
      <c r="N5323" t="s">
        <v>721</v>
      </c>
      <c r="O5323">
        <v>32</v>
      </c>
      <c r="P5323">
        <v>5035</v>
      </c>
      <c r="Q5323" t="s">
        <v>967</v>
      </c>
      <c r="R5323" t="s">
        <v>713</v>
      </c>
      <c r="S5323">
        <v>7</v>
      </c>
      <c r="T5323">
        <v>1</v>
      </c>
      <c r="U5323">
        <v>57.75</v>
      </c>
      <c r="V5323">
        <v>840840</v>
      </c>
    </row>
    <row r="5324" spans="1:22">
      <c r="A5324" t="s">
        <v>196</v>
      </c>
      <c r="B5324">
        <v>84</v>
      </c>
      <c r="C5324" t="s">
        <v>1762</v>
      </c>
      <c r="D5324">
        <v>300</v>
      </c>
      <c r="E5324" t="s">
        <v>1969</v>
      </c>
      <c r="F5324">
        <v>1155</v>
      </c>
      <c r="G5324" t="s">
        <v>8</v>
      </c>
      <c r="H5324">
        <v>2155</v>
      </c>
      <c r="I5324" t="s">
        <v>8</v>
      </c>
      <c r="J5324">
        <v>3280</v>
      </c>
      <c r="K5324" t="s">
        <v>1811</v>
      </c>
      <c r="L5324">
        <v>0</v>
      </c>
      <c r="N5324" t="s">
        <v>721</v>
      </c>
      <c r="O5324">
        <v>46</v>
      </c>
      <c r="P5324">
        <v>4834</v>
      </c>
      <c r="Q5324" t="s">
        <v>2034</v>
      </c>
      <c r="R5324" t="s">
        <v>713</v>
      </c>
      <c r="S5324">
        <v>4</v>
      </c>
      <c r="T5324">
        <v>1</v>
      </c>
      <c r="U5324">
        <v>62.46</v>
      </c>
      <c r="V5324">
        <v>519667</v>
      </c>
    </row>
    <row r="5325" spans="1:22">
      <c r="A5325" t="s">
        <v>196</v>
      </c>
      <c r="B5325">
        <v>84</v>
      </c>
      <c r="C5325" t="s">
        <v>1762</v>
      </c>
      <c r="D5325">
        <v>300</v>
      </c>
      <c r="E5325" t="s">
        <v>1969</v>
      </c>
      <c r="F5325">
        <v>1155</v>
      </c>
      <c r="G5325" t="s">
        <v>8</v>
      </c>
      <c r="H5325">
        <v>2155</v>
      </c>
      <c r="I5325" t="s">
        <v>8</v>
      </c>
      <c r="J5325">
        <v>3280</v>
      </c>
      <c r="K5325" t="s">
        <v>1811</v>
      </c>
      <c r="L5325">
        <v>0</v>
      </c>
      <c r="N5325" t="s">
        <v>721</v>
      </c>
      <c r="O5325">
        <v>33</v>
      </c>
      <c r="P5325">
        <v>4435</v>
      </c>
      <c r="Q5325" t="s">
        <v>2035</v>
      </c>
      <c r="R5325" t="s">
        <v>713</v>
      </c>
      <c r="S5325">
        <v>13870</v>
      </c>
      <c r="T5325">
        <v>0</v>
      </c>
      <c r="U5325">
        <v>53.1</v>
      </c>
      <c r="V5325">
        <v>736497</v>
      </c>
    </row>
    <row r="5326" spans="1:22">
      <c r="A5326" t="s">
        <v>196</v>
      </c>
      <c r="B5326">
        <v>84</v>
      </c>
      <c r="C5326" t="s">
        <v>1762</v>
      </c>
      <c r="D5326">
        <v>300</v>
      </c>
      <c r="E5326" t="s">
        <v>1969</v>
      </c>
      <c r="F5326">
        <v>1155</v>
      </c>
      <c r="G5326" t="s">
        <v>8</v>
      </c>
      <c r="H5326">
        <v>2155</v>
      </c>
      <c r="I5326" t="s">
        <v>8</v>
      </c>
      <c r="J5326">
        <v>3280</v>
      </c>
      <c r="K5326" t="s">
        <v>1811</v>
      </c>
      <c r="L5326">
        <v>0</v>
      </c>
      <c r="N5326" t="s">
        <v>721</v>
      </c>
      <c r="O5326">
        <v>33</v>
      </c>
      <c r="P5326">
        <v>4437</v>
      </c>
      <c r="Q5326" t="s">
        <v>2036</v>
      </c>
      <c r="R5326" t="s">
        <v>713</v>
      </c>
      <c r="S5326">
        <v>22</v>
      </c>
      <c r="T5326">
        <v>1</v>
      </c>
      <c r="U5326">
        <v>55.1</v>
      </c>
      <c r="V5326">
        <v>2521376</v>
      </c>
    </row>
    <row r="5327" spans="1:22">
      <c r="A5327" t="s">
        <v>196</v>
      </c>
      <c r="B5327">
        <v>84</v>
      </c>
      <c r="C5327" t="s">
        <v>1762</v>
      </c>
      <c r="D5327">
        <v>300</v>
      </c>
      <c r="E5327" t="s">
        <v>1969</v>
      </c>
      <c r="F5327">
        <v>1155</v>
      </c>
      <c r="G5327" t="s">
        <v>8</v>
      </c>
      <c r="H5327">
        <v>2155</v>
      </c>
      <c r="I5327" t="s">
        <v>8</v>
      </c>
      <c r="J5327">
        <v>3280</v>
      </c>
      <c r="K5327" t="s">
        <v>1811</v>
      </c>
      <c r="L5327">
        <v>0</v>
      </c>
      <c r="N5327" t="s">
        <v>721</v>
      </c>
      <c r="O5327">
        <v>33</v>
      </c>
      <c r="P5327">
        <v>4435</v>
      </c>
      <c r="Q5327" t="s">
        <v>2035</v>
      </c>
      <c r="R5327" t="s">
        <v>713</v>
      </c>
      <c r="S5327">
        <v>27</v>
      </c>
      <c r="T5327">
        <v>1</v>
      </c>
      <c r="U5327">
        <v>53.1</v>
      </c>
      <c r="V5327">
        <v>2982096</v>
      </c>
    </row>
    <row r="5328" spans="1:22">
      <c r="A5328" t="s">
        <v>196</v>
      </c>
      <c r="B5328">
        <v>84</v>
      </c>
      <c r="C5328" t="s">
        <v>1762</v>
      </c>
      <c r="D5328">
        <v>300</v>
      </c>
      <c r="E5328" t="s">
        <v>1969</v>
      </c>
      <c r="F5328">
        <v>1155</v>
      </c>
      <c r="G5328" t="s">
        <v>8</v>
      </c>
      <c r="H5328">
        <v>2155</v>
      </c>
      <c r="I5328" t="s">
        <v>8</v>
      </c>
      <c r="J5328">
        <v>3280</v>
      </c>
      <c r="K5328" t="s">
        <v>1811</v>
      </c>
      <c r="L5328">
        <v>0</v>
      </c>
      <c r="N5328" t="s">
        <v>721</v>
      </c>
      <c r="O5328">
        <v>50</v>
      </c>
      <c r="P5328">
        <v>4301</v>
      </c>
      <c r="Q5328" t="s">
        <v>983</v>
      </c>
      <c r="R5328" t="s">
        <v>713</v>
      </c>
      <c r="S5328">
        <v>4</v>
      </c>
      <c r="T5328">
        <v>1</v>
      </c>
      <c r="U5328">
        <v>56.71</v>
      </c>
      <c r="V5328">
        <v>471827</v>
      </c>
    </row>
    <row r="5329" spans="1:22">
      <c r="A5329" t="s">
        <v>196</v>
      </c>
      <c r="B5329">
        <v>84</v>
      </c>
      <c r="C5329" t="s">
        <v>1762</v>
      </c>
      <c r="D5329">
        <v>300</v>
      </c>
      <c r="E5329" t="s">
        <v>1969</v>
      </c>
      <c r="F5329">
        <v>1155</v>
      </c>
      <c r="G5329" t="s">
        <v>8</v>
      </c>
      <c r="H5329">
        <v>2155</v>
      </c>
      <c r="I5329" t="s">
        <v>8</v>
      </c>
      <c r="J5329">
        <v>3280</v>
      </c>
      <c r="K5329" t="s">
        <v>1811</v>
      </c>
      <c r="L5329">
        <v>0</v>
      </c>
      <c r="N5329" t="s">
        <v>199</v>
      </c>
      <c r="O5329">
        <v>0</v>
      </c>
      <c r="P5329">
        <v>12</v>
      </c>
      <c r="Q5329" t="s">
        <v>724</v>
      </c>
      <c r="R5329" t="s">
        <v>201</v>
      </c>
      <c r="S5329">
        <v>0</v>
      </c>
      <c r="T5329">
        <v>0</v>
      </c>
      <c r="U5329">
        <v>771834</v>
      </c>
      <c r="V5329">
        <v>771834</v>
      </c>
    </row>
    <row r="5330" spans="1:22">
      <c r="A5330" t="s">
        <v>196</v>
      </c>
      <c r="B5330">
        <v>84</v>
      </c>
      <c r="C5330" t="s">
        <v>1762</v>
      </c>
      <c r="D5330">
        <v>300</v>
      </c>
      <c r="E5330" t="s">
        <v>1969</v>
      </c>
      <c r="F5330">
        <v>1155</v>
      </c>
      <c r="G5330" t="s">
        <v>8</v>
      </c>
      <c r="H5330">
        <v>2155</v>
      </c>
      <c r="I5330" t="s">
        <v>8</v>
      </c>
      <c r="J5330">
        <v>3355</v>
      </c>
      <c r="K5330" t="s">
        <v>1825</v>
      </c>
      <c r="L5330">
        <v>0</v>
      </c>
      <c r="N5330" t="s">
        <v>1294</v>
      </c>
      <c r="O5330">
        <v>0</v>
      </c>
      <c r="P5330">
        <v>9681</v>
      </c>
      <c r="Q5330" t="s">
        <v>338</v>
      </c>
      <c r="R5330" t="s">
        <v>201</v>
      </c>
      <c r="S5330">
        <v>1</v>
      </c>
      <c r="T5330">
        <v>1</v>
      </c>
      <c r="U5330">
        <v>184584</v>
      </c>
      <c r="V5330">
        <v>184584</v>
      </c>
    </row>
    <row r="5331" spans="1:22">
      <c r="A5331" t="s">
        <v>196</v>
      </c>
      <c r="B5331">
        <v>84</v>
      </c>
      <c r="C5331" t="s">
        <v>1762</v>
      </c>
      <c r="D5331">
        <v>300</v>
      </c>
      <c r="E5331" t="s">
        <v>1969</v>
      </c>
      <c r="F5331">
        <v>1155</v>
      </c>
      <c r="G5331" t="s">
        <v>8</v>
      </c>
      <c r="H5331">
        <v>2155</v>
      </c>
      <c r="I5331" t="s">
        <v>8</v>
      </c>
      <c r="J5331">
        <v>3355</v>
      </c>
      <c r="K5331" t="s">
        <v>1825</v>
      </c>
      <c r="L5331">
        <v>0</v>
      </c>
      <c r="N5331" t="s">
        <v>1719</v>
      </c>
      <c r="O5331">
        <v>10</v>
      </c>
      <c r="P5331">
        <v>8184</v>
      </c>
      <c r="Q5331" t="s">
        <v>1720</v>
      </c>
      <c r="R5331" t="s">
        <v>201</v>
      </c>
      <c r="S5331">
        <v>1</v>
      </c>
      <c r="T5331">
        <v>1</v>
      </c>
      <c r="U5331">
        <v>164676</v>
      </c>
      <c r="V5331">
        <v>164676</v>
      </c>
    </row>
    <row r="5332" spans="1:22">
      <c r="A5332" t="s">
        <v>196</v>
      </c>
      <c r="B5332">
        <v>84</v>
      </c>
      <c r="C5332" t="s">
        <v>1762</v>
      </c>
      <c r="D5332">
        <v>300</v>
      </c>
      <c r="E5332" t="s">
        <v>1969</v>
      </c>
      <c r="F5332">
        <v>1155</v>
      </c>
      <c r="G5332" t="s">
        <v>8</v>
      </c>
      <c r="H5332">
        <v>2155</v>
      </c>
      <c r="I5332" t="s">
        <v>8</v>
      </c>
      <c r="J5332">
        <v>3355</v>
      </c>
      <c r="K5332" t="s">
        <v>1825</v>
      </c>
      <c r="L5332">
        <v>0</v>
      </c>
      <c r="N5332" t="s">
        <v>1704</v>
      </c>
      <c r="O5332">
        <v>54</v>
      </c>
      <c r="P5332">
        <v>6305</v>
      </c>
      <c r="Q5332" t="s">
        <v>1705</v>
      </c>
      <c r="R5332" t="s">
        <v>201</v>
      </c>
      <c r="S5332">
        <v>2</v>
      </c>
      <c r="T5332">
        <v>1</v>
      </c>
      <c r="U5332">
        <v>74136</v>
      </c>
      <c r="V5332">
        <v>148272</v>
      </c>
    </row>
    <row r="5333" spans="1:22">
      <c r="A5333" t="s">
        <v>196</v>
      </c>
      <c r="B5333">
        <v>84</v>
      </c>
      <c r="C5333" t="s">
        <v>1762</v>
      </c>
      <c r="D5333">
        <v>300</v>
      </c>
      <c r="E5333" t="s">
        <v>1969</v>
      </c>
      <c r="F5333">
        <v>1155</v>
      </c>
      <c r="G5333" t="s">
        <v>8</v>
      </c>
      <c r="H5333">
        <v>2155</v>
      </c>
      <c r="I5333" t="s">
        <v>8</v>
      </c>
      <c r="J5333">
        <v>3355</v>
      </c>
      <c r="K5333" t="s">
        <v>1825</v>
      </c>
      <c r="L5333">
        <v>0</v>
      </c>
      <c r="N5333" t="s">
        <v>247</v>
      </c>
      <c r="O5333">
        <v>10</v>
      </c>
      <c r="P5333">
        <v>803</v>
      </c>
      <c r="Q5333" t="s">
        <v>1924</v>
      </c>
      <c r="R5333" t="s">
        <v>201</v>
      </c>
      <c r="S5333">
        <v>1</v>
      </c>
      <c r="T5333">
        <v>1</v>
      </c>
      <c r="U5333">
        <v>73728</v>
      </c>
      <c r="V5333">
        <v>73728</v>
      </c>
    </row>
    <row r="5334" spans="1:22">
      <c r="A5334" t="s">
        <v>196</v>
      </c>
      <c r="B5334">
        <v>84</v>
      </c>
      <c r="C5334" t="s">
        <v>1762</v>
      </c>
      <c r="D5334">
        <v>300</v>
      </c>
      <c r="E5334" t="s">
        <v>1969</v>
      </c>
      <c r="F5334">
        <v>1155</v>
      </c>
      <c r="G5334" t="s">
        <v>8</v>
      </c>
      <c r="H5334">
        <v>2155</v>
      </c>
      <c r="I5334" t="s">
        <v>8</v>
      </c>
      <c r="J5334">
        <v>3355</v>
      </c>
      <c r="K5334" t="s">
        <v>1825</v>
      </c>
      <c r="L5334">
        <v>0</v>
      </c>
      <c r="N5334" t="s">
        <v>245</v>
      </c>
      <c r="O5334">
        <v>20</v>
      </c>
      <c r="P5334">
        <v>289</v>
      </c>
      <c r="Q5334" t="s">
        <v>1017</v>
      </c>
      <c r="R5334" t="s">
        <v>201</v>
      </c>
      <c r="S5334">
        <v>1</v>
      </c>
      <c r="T5334">
        <v>1</v>
      </c>
      <c r="U5334">
        <v>111000</v>
      </c>
      <c r="V5334">
        <v>111000</v>
      </c>
    </row>
    <row r="5335" spans="1:22">
      <c r="A5335" t="s">
        <v>196</v>
      </c>
      <c r="B5335">
        <v>84</v>
      </c>
      <c r="C5335" t="s">
        <v>1762</v>
      </c>
      <c r="D5335">
        <v>300</v>
      </c>
      <c r="E5335" t="s">
        <v>1969</v>
      </c>
      <c r="F5335">
        <v>1155</v>
      </c>
      <c r="G5335" t="s">
        <v>8</v>
      </c>
      <c r="H5335">
        <v>2155</v>
      </c>
      <c r="I5335" t="s">
        <v>8</v>
      </c>
      <c r="J5335">
        <v>3355</v>
      </c>
      <c r="K5335" t="s">
        <v>1825</v>
      </c>
      <c r="L5335">
        <v>0</v>
      </c>
      <c r="N5335" t="s">
        <v>199</v>
      </c>
      <c r="O5335">
        <v>0</v>
      </c>
      <c r="P5335">
        <v>15</v>
      </c>
      <c r="Q5335" t="s">
        <v>264</v>
      </c>
      <c r="R5335" t="s">
        <v>201</v>
      </c>
      <c r="S5335">
        <v>0</v>
      </c>
      <c r="T5335">
        <v>0</v>
      </c>
      <c r="U5335">
        <v>11748</v>
      </c>
      <c r="V5335">
        <v>11748</v>
      </c>
    </row>
    <row r="5336" spans="1:22">
      <c r="A5336" t="s">
        <v>196</v>
      </c>
      <c r="B5336">
        <v>84</v>
      </c>
      <c r="C5336" t="s">
        <v>1762</v>
      </c>
      <c r="D5336">
        <v>310</v>
      </c>
      <c r="E5336" t="s">
        <v>2037</v>
      </c>
      <c r="F5336">
        <v>1140</v>
      </c>
      <c r="G5336" t="s">
        <v>76</v>
      </c>
      <c r="H5336">
        <v>2140</v>
      </c>
      <c r="I5336" t="s">
        <v>76</v>
      </c>
      <c r="J5336">
        <v>3139</v>
      </c>
      <c r="K5336" t="s">
        <v>1800</v>
      </c>
      <c r="L5336">
        <v>4140</v>
      </c>
      <c r="M5336" t="s">
        <v>2038</v>
      </c>
      <c r="N5336" t="s">
        <v>721</v>
      </c>
      <c r="O5336">
        <v>54</v>
      </c>
      <c r="P5336">
        <v>9534</v>
      </c>
      <c r="Q5336" t="s">
        <v>960</v>
      </c>
      <c r="R5336" t="s">
        <v>713</v>
      </c>
      <c r="S5336">
        <v>5</v>
      </c>
      <c r="T5336">
        <v>1</v>
      </c>
      <c r="U5336">
        <v>51.4</v>
      </c>
      <c r="V5336">
        <v>534560</v>
      </c>
    </row>
    <row r="5337" spans="1:22">
      <c r="A5337" t="s">
        <v>196</v>
      </c>
      <c r="B5337">
        <v>84</v>
      </c>
      <c r="C5337" t="s">
        <v>1762</v>
      </c>
      <c r="D5337">
        <v>310</v>
      </c>
      <c r="E5337" t="s">
        <v>2037</v>
      </c>
      <c r="F5337">
        <v>1140</v>
      </c>
      <c r="G5337" t="s">
        <v>76</v>
      </c>
      <c r="H5337">
        <v>2140</v>
      </c>
      <c r="I5337" t="s">
        <v>76</v>
      </c>
      <c r="J5337">
        <v>3139</v>
      </c>
      <c r="K5337" t="s">
        <v>1800</v>
      </c>
      <c r="L5337">
        <v>4140</v>
      </c>
      <c r="M5337" t="s">
        <v>2038</v>
      </c>
      <c r="N5337" t="s">
        <v>721</v>
      </c>
      <c r="O5337">
        <v>54</v>
      </c>
      <c r="P5337">
        <v>9534</v>
      </c>
      <c r="Q5337" t="s">
        <v>960</v>
      </c>
      <c r="R5337" t="s">
        <v>713</v>
      </c>
      <c r="S5337">
        <v>2</v>
      </c>
      <c r="T5337">
        <v>1</v>
      </c>
      <c r="U5337">
        <v>46.26</v>
      </c>
      <c r="V5337">
        <v>192442</v>
      </c>
    </row>
    <row r="5338" spans="1:22">
      <c r="A5338" t="s">
        <v>196</v>
      </c>
      <c r="B5338">
        <v>84</v>
      </c>
      <c r="C5338" t="s">
        <v>1762</v>
      </c>
      <c r="D5338">
        <v>310</v>
      </c>
      <c r="E5338" t="s">
        <v>2037</v>
      </c>
      <c r="F5338">
        <v>1140</v>
      </c>
      <c r="G5338" t="s">
        <v>76</v>
      </c>
      <c r="H5338">
        <v>2140</v>
      </c>
      <c r="I5338" t="s">
        <v>76</v>
      </c>
      <c r="J5338">
        <v>3139</v>
      </c>
      <c r="K5338" t="s">
        <v>1800</v>
      </c>
      <c r="L5338">
        <v>4140</v>
      </c>
      <c r="M5338" t="s">
        <v>2038</v>
      </c>
      <c r="N5338" t="s">
        <v>721</v>
      </c>
      <c r="O5338">
        <v>41</v>
      </c>
      <c r="P5338">
        <v>8263</v>
      </c>
      <c r="Q5338" t="s">
        <v>2039</v>
      </c>
      <c r="R5338" t="s">
        <v>713</v>
      </c>
      <c r="S5338">
        <v>3120</v>
      </c>
      <c r="T5338">
        <v>0</v>
      </c>
      <c r="U5338">
        <v>43.66</v>
      </c>
      <c r="V5338">
        <v>136219</v>
      </c>
    </row>
    <row r="5339" spans="1:22">
      <c r="A5339" t="s">
        <v>196</v>
      </c>
      <c r="B5339">
        <v>84</v>
      </c>
      <c r="C5339" t="s">
        <v>1762</v>
      </c>
      <c r="D5339">
        <v>310</v>
      </c>
      <c r="E5339" t="s">
        <v>2037</v>
      </c>
      <c r="F5339">
        <v>1140</v>
      </c>
      <c r="G5339" t="s">
        <v>76</v>
      </c>
      <c r="H5339">
        <v>2140</v>
      </c>
      <c r="I5339" t="s">
        <v>76</v>
      </c>
      <c r="J5339">
        <v>3139</v>
      </c>
      <c r="K5339" t="s">
        <v>1800</v>
      </c>
      <c r="L5339">
        <v>4140</v>
      </c>
      <c r="M5339" t="s">
        <v>2038</v>
      </c>
      <c r="N5339" t="s">
        <v>721</v>
      </c>
      <c r="O5339">
        <v>41</v>
      </c>
      <c r="P5339">
        <v>8263</v>
      </c>
      <c r="Q5339" t="s">
        <v>2039</v>
      </c>
      <c r="R5339" t="s">
        <v>713</v>
      </c>
      <c r="S5339">
        <v>8320</v>
      </c>
      <c r="T5339">
        <v>0</v>
      </c>
      <c r="U5339">
        <v>37.11</v>
      </c>
      <c r="V5339">
        <v>308755</v>
      </c>
    </row>
    <row r="5340" spans="1:22">
      <c r="A5340" t="s">
        <v>196</v>
      </c>
      <c r="B5340">
        <v>84</v>
      </c>
      <c r="C5340" t="s">
        <v>1762</v>
      </c>
      <c r="D5340">
        <v>310</v>
      </c>
      <c r="E5340" t="s">
        <v>2037</v>
      </c>
      <c r="F5340">
        <v>1140</v>
      </c>
      <c r="G5340" t="s">
        <v>76</v>
      </c>
      <c r="H5340">
        <v>2140</v>
      </c>
      <c r="I5340" t="s">
        <v>76</v>
      </c>
      <c r="J5340">
        <v>3139</v>
      </c>
      <c r="K5340" t="s">
        <v>1800</v>
      </c>
      <c r="L5340">
        <v>4140</v>
      </c>
      <c r="M5340" t="s">
        <v>2038</v>
      </c>
      <c r="N5340" t="s">
        <v>721</v>
      </c>
      <c r="O5340">
        <v>25</v>
      </c>
      <c r="P5340">
        <v>8267</v>
      </c>
      <c r="Q5340" t="s">
        <v>2040</v>
      </c>
      <c r="R5340" t="s">
        <v>713</v>
      </c>
      <c r="S5340">
        <v>1</v>
      </c>
      <c r="T5340">
        <v>1</v>
      </c>
      <c r="U5340">
        <v>52.53</v>
      </c>
      <c r="V5340">
        <v>109262</v>
      </c>
    </row>
    <row r="5341" spans="1:22">
      <c r="A5341" t="s">
        <v>196</v>
      </c>
      <c r="B5341">
        <v>84</v>
      </c>
      <c r="C5341" t="s">
        <v>1762</v>
      </c>
      <c r="D5341">
        <v>310</v>
      </c>
      <c r="E5341" t="s">
        <v>2037</v>
      </c>
      <c r="F5341">
        <v>1140</v>
      </c>
      <c r="G5341" t="s">
        <v>76</v>
      </c>
      <c r="H5341">
        <v>2140</v>
      </c>
      <c r="I5341" t="s">
        <v>76</v>
      </c>
      <c r="J5341">
        <v>3139</v>
      </c>
      <c r="K5341" t="s">
        <v>1800</v>
      </c>
      <c r="L5341">
        <v>4140</v>
      </c>
      <c r="M5341" t="s">
        <v>2038</v>
      </c>
      <c r="N5341" t="s">
        <v>721</v>
      </c>
      <c r="O5341">
        <v>41</v>
      </c>
      <c r="P5341">
        <v>8265</v>
      </c>
      <c r="Q5341" t="s">
        <v>2041</v>
      </c>
      <c r="R5341" t="s">
        <v>713</v>
      </c>
      <c r="S5341">
        <v>1</v>
      </c>
      <c r="T5341">
        <v>1</v>
      </c>
      <c r="U5341">
        <v>47.16</v>
      </c>
      <c r="V5341">
        <v>98093</v>
      </c>
    </row>
    <row r="5342" spans="1:22">
      <c r="A5342" t="s">
        <v>196</v>
      </c>
      <c r="B5342">
        <v>84</v>
      </c>
      <c r="C5342" t="s">
        <v>1762</v>
      </c>
      <c r="D5342">
        <v>310</v>
      </c>
      <c r="E5342" t="s">
        <v>2037</v>
      </c>
      <c r="F5342">
        <v>1140</v>
      </c>
      <c r="G5342" t="s">
        <v>76</v>
      </c>
      <c r="H5342">
        <v>2140</v>
      </c>
      <c r="I5342" t="s">
        <v>76</v>
      </c>
      <c r="J5342">
        <v>3139</v>
      </c>
      <c r="K5342" t="s">
        <v>1800</v>
      </c>
      <c r="L5342">
        <v>4140</v>
      </c>
      <c r="M5342" t="s">
        <v>2038</v>
      </c>
      <c r="N5342" t="s">
        <v>721</v>
      </c>
      <c r="O5342">
        <v>41</v>
      </c>
      <c r="P5342">
        <v>8263</v>
      </c>
      <c r="Q5342" t="s">
        <v>2039</v>
      </c>
      <c r="R5342" t="s">
        <v>713</v>
      </c>
      <c r="S5342">
        <v>14</v>
      </c>
      <c r="T5342">
        <v>1</v>
      </c>
      <c r="U5342">
        <v>43.66</v>
      </c>
      <c r="V5342">
        <v>1271379</v>
      </c>
    </row>
    <row r="5343" spans="1:22">
      <c r="A5343" t="s">
        <v>196</v>
      </c>
      <c r="B5343">
        <v>84</v>
      </c>
      <c r="C5343" t="s">
        <v>1762</v>
      </c>
      <c r="D5343">
        <v>310</v>
      </c>
      <c r="E5343" t="s">
        <v>2037</v>
      </c>
      <c r="F5343">
        <v>1140</v>
      </c>
      <c r="G5343" t="s">
        <v>76</v>
      </c>
      <c r="H5343">
        <v>2140</v>
      </c>
      <c r="I5343" t="s">
        <v>76</v>
      </c>
      <c r="J5343">
        <v>3139</v>
      </c>
      <c r="K5343" t="s">
        <v>1800</v>
      </c>
      <c r="L5343">
        <v>4140</v>
      </c>
      <c r="M5343" t="s">
        <v>2038</v>
      </c>
      <c r="N5343" t="s">
        <v>721</v>
      </c>
      <c r="O5343">
        <v>41</v>
      </c>
      <c r="P5343">
        <v>8263</v>
      </c>
      <c r="Q5343" t="s">
        <v>2039</v>
      </c>
      <c r="R5343" t="s">
        <v>713</v>
      </c>
      <c r="S5343">
        <v>1</v>
      </c>
      <c r="T5343">
        <v>1</v>
      </c>
      <c r="U5343">
        <v>39.29</v>
      </c>
      <c r="V5343">
        <v>81723</v>
      </c>
    </row>
    <row r="5344" spans="1:22">
      <c r="A5344" t="s">
        <v>196</v>
      </c>
      <c r="B5344">
        <v>84</v>
      </c>
      <c r="C5344" t="s">
        <v>1762</v>
      </c>
      <c r="D5344">
        <v>310</v>
      </c>
      <c r="E5344" t="s">
        <v>2037</v>
      </c>
      <c r="F5344">
        <v>1140</v>
      </c>
      <c r="G5344" t="s">
        <v>76</v>
      </c>
      <c r="H5344">
        <v>2140</v>
      </c>
      <c r="I5344" t="s">
        <v>76</v>
      </c>
      <c r="J5344">
        <v>3139</v>
      </c>
      <c r="K5344" t="s">
        <v>1800</v>
      </c>
      <c r="L5344">
        <v>4140</v>
      </c>
      <c r="M5344" t="s">
        <v>2038</v>
      </c>
      <c r="N5344" t="s">
        <v>721</v>
      </c>
      <c r="O5344">
        <v>41</v>
      </c>
      <c r="P5344">
        <v>8263</v>
      </c>
      <c r="Q5344" t="s">
        <v>2039</v>
      </c>
      <c r="R5344" t="s">
        <v>713</v>
      </c>
      <c r="S5344">
        <v>5</v>
      </c>
      <c r="T5344">
        <v>1</v>
      </c>
      <c r="U5344">
        <v>37.11</v>
      </c>
      <c r="V5344">
        <v>385944</v>
      </c>
    </row>
    <row r="5345" spans="1:22">
      <c r="A5345" t="s">
        <v>196</v>
      </c>
      <c r="B5345">
        <v>84</v>
      </c>
      <c r="C5345" t="s">
        <v>1762</v>
      </c>
      <c r="D5345">
        <v>310</v>
      </c>
      <c r="E5345" t="s">
        <v>2037</v>
      </c>
      <c r="F5345">
        <v>1140</v>
      </c>
      <c r="G5345" t="s">
        <v>76</v>
      </c>
      <c r="H5345">
        <v>2140</v>
      </c>
      <c r="I5345" t="s">
        <v>76</v>
      </c>
      <c r="J5345">
        <v>3139</v>
      </c>
      <c r="K5345" t="s">
        <v>1800</v>
      </c>
      <c r="L5345">
        <v>4140</v>
      </c>
      <c r="M5345" t="s">
        <v>2038</v>
      </c>
      <c r="N5345" t="s">
        <v>721</v>
      </c>
      <c r="O5345">
        <v>53</v>
      </c>
      <c r="P5345">
        <v>8244</v>
      </c>
      <c r="Q5345" t="s">
        <v>961</v>
      </c>
      <c r="R5345" t="s">
        <v>713</v>
      </c>
      <c r="S5345">
        <v>1</v>
      </c>
      <c r="T5345">
        <v>1</v>
      </c>
      <c r="U5345">
        <v>52.3</v>
      </c>
      <c r="V5345">
        <v>108784</v>
      </c>
    </row>
    <row r="5346" spans="1:22">
      <c r="A5346" t="s">
        <v>196</v>
      </c>
      <c r="B5346">
        <v>84</v>
      </c>
      <c r="C5346" t="s">
        <v>1762</v>
      </c>
      <c r="D5346">
        <v>310</v>
      </c>
      <c r="E5346" t="s">
        <v>2037</v>
      </c>
      <c r="F5346">
        <v>1140</v>
      </c>
      <c r="G5346" t="s">
        <v>76</v>
      </c>
      <c r="H5346">
        <v>2140</v>
      </c>
      <c r="I5346" t="s">
        <v>76</v>
      </c>
      <c r="J5346">
        <v>3139</v>
      </c>
      <c r="K5346" t="s">
        <v>1800</v>
      </c>
      <c r="L5346">
        <v>4140</v>
      </c>
      <c r="M5346" t="s">
        <v>2038</v>
      </c>
      <c r="N5346" t="s">
        <v>1704</v>
      </c>
      <c r="O5346">
        <v>54</v>
      </c>
      <c r="P5346">
        <v>6295</v>
      </c>
      <c r="Q5346" t="s">
        <v>1990</v>
      </c>
      <c r="R5346" t="s">
        <v>201</v>
      </c>
      <c r="S5346">
        <v>1</v>
      </c>
      <c r="T5346">
        <v>1</v>
      </c>
      <c r="U5346">
        <v>119052</v>
      </c>
      <c r="V5346">
        <v>119052</v>
      </c>
    </row>
    <row r="5347" spans="1:22">
      <c r="A5347" t="s">
        <v>196</v>
      </c>
      <c r="B5347">
        <v>84</v>
      </c>
      <c r="C5347" t="s">
        <v>1762</v>
      </c>
      <c r="D5347">
        <v>310</v>
      </c>
      <c r="E5347" t="s">
        <v>2037</v>
      </c>
      <c r="F5347">
        <v>1140</v>
      </c>
      <c r="G5347" t="s">
        <v>76</v>
      </c>
      <c r="H5347">
        <v>2140</v>
      </c>
      <c r="I5347" t="s">
        <v>76</v>
      </c>
      <c r="J5347">
        <v>3139</v>
      </c>
      <c r="K5347" t="s">
        <v>1800</v>
      </c>
      <c r="L5347">
        <v>4140</v>
      </c>
      <c r="M5347" t="s">
        <v>2038</v>
      </c>
      <c r="N5347" t="s">
        <v>1704</v>
      </c>
      <c r="O5347">
        <v>54</v>
      </c>
      <c r="P5347">
        <v>6295</v>
      </c>
      <c r="Q5347" t="s">
        <v>1990</v>
      </c>
      <c r="R5347" t="s">
        <v>201</v>
      </c>
      <c r="S5347">
        <v>1</v>
      </c>
      <c r="T5347">
        <v>1</v>
      </c>
      <c r="U5347">
        <v>98892</v>
      </c>
      <c r="V5347">
        <v>98892</v>
      </c>
    </row>
    <row r="5348" spans="1:22">
      <c r="A5348" t="s">
        <v>196</v>
      </c>
      <c r="B5348">
        <v>84</v>
      </c>
      <c r="C5348" t="s">
        <v>1762</v>
      </c>
      <c r="D5348">
        <v>310</v>
      </c>
      <c r="E5348" t="s">
        <v>2037</v>
      </c>
      <c r="F5348">
        <v>1140</v>
      </c>
      <c r="G5348" t="s">
        <v>76</v>
      </c>
      <c r="H5348">
        <v>2140</v>
      </c>
      <c r="I5348" t="s">
        <v>76</v>
      </c>
      <c r="J5348">
        <v>3139</v>
      </c>
      <c r="K5348" t="s">
        <v>1800</v>
      </c>
      <c r="L5348">
        <v>4140</v>
      </c>
      <c r="M5348" t="s">
        <v>2038</v>
      </c>
      <c r="N5348" t="s">
        <v>602</v>
      </c>
      <c r="O5348">
        <v>4</v>
      </c>
      <c r="P5348">
        <v>6254</v>
      </c>
      <c r="Q5348" t="s">
        <v>1796</v>
      </c>
      <c r="R5348" t="s">
        <v>201</v>
      </c>
      <c r="S5348">
        <v>1</v>
      </c>
      <c r="T5348">
        <v>1</v>
      </c>
      <c r="U5348">
        <v>117636</v>
      </c>
      <c r="V5348">
        <v>117636</v>
      </c>
    </row>
    <row r="5349" spans="1:22">
      <c r="A5349" t="s">
        <v>196</v>
      </c>
      <c r="B5349">
        <v>84</v>
      </c>
      <c r="C5349" t="s">
        <v>1762</v>
      </c>
      <c r="D5349">
        <v>310</v>
      </c>
      <c r="E5349" t="s">
        <v>2037</v>
      </c>
      <c r="F5349">
        <v>1140</v>
      </c>
      <c r="G5349" t="s">
        <v>76</v>
      </c>
      <c r="H5349">
        <v>2140</v>
      </c>
      <c r="I5349" t="s">
        <v>76</v>
      </c>
      <c r="J5349">
        <v>3139</v>
      </c>
      <c r="K5349" t="s">
        <v>1800</v>
      </c>
      <c r="L5349">
        <v>4140</v>
      </c>
      <c r="M5349" t="s">
        <v>2038</v>
      </c>
      <c r="N5349" t="s">
        <v>2017</v>
      </c>
      <c r="O5349">
        <v>54</v>
      </c>
      <c r="P5349">
        <v>6139</v>
      </c>
      <c r="Q5349" t="s">
        <v>2018</v>
      </c>
      <c r="R5349" t="s">
        <v>201</v>
      </c>
      <c r="S5349">
        <v>1</v>
      </c>
      <c r="T5349">
        <v>1</v>
      </c>
      <c r="U5349">
        <v>157296</v>
      </c>
      <c r="V5349">
        <v>157296</v>
      </c>
    </row>
    <row r="5350" spans="1:22">
      <c r="A5350" t="s">
        <v>196</v>
      </c>
      <c r="B5350">
        <v>84</v>
      </c>
      <c r="C5350" t="s">
        <v>1762</v>
      </c>
      <c r="D5350">
        <v>310</v>
      </c>
      <c r="E5350" t="s">
        <v>2037</v>
      </c>
      <c r="F5350">
        <v>1140</v>
      </c>
      <c r="G5350" t="s">
        <v>76</v>
      </c>
      <c r="H5350">
        <v>2140</v>
      </c>
      <c r="I5350" t="s">
        <v>76</v>
      </c>
      <c r="J5350">
        <v>3139</v>
      </c>
      <c r="K5350" t="s">
        <v>1800</v>
      </c>
      <c r="L5350">
        <v>4140</v>
      </c>
      <c r="M5350" t="s">
        <v>2038</v>
      </c>
      <c r="N5350" t="s">
        <v>1704</v>
      </c>
      <c r="O5350">
        <v>54</v>
      </c>
      <c r="P5350">
        <v>6137</v>
      </c>
      <c r="Q5350" t="s">
        <v>2020</v>
      </c>
      <c r="R5350" t="s">
        <v>201</v>
      </c>
      <c r="S5350">
        <v>2</v>
      </c>
      <c r="T5350">
        <v>1</v>
      </c>
      <c r="U5350">
        <v>90108</v>
      </c>
      <c r="V5350">
        <v>180216</v>
      </c>
    </row>
    <row r="5351" spans="1:22">
      <c r="A5351" t="s">
        <v>196</v>
      </c>
      <c r="B5351">
        <v>84</v>
      </c>
      <c r="C5351" t="s">
        <v>1762</v>
      </c>
      <c r="D5351">
        <v>310</v>
      </c>
      <c r="E5351" t="s">
        <v>2037</v>
      </c>
      <c r="F5351">
        <v>1140</v>
      </c>
      <c r="G5351" t="s">
        <v>76</v>
      </c>
      <c r="H5351">
        <v>2140</v>
      </c>
      <c r="I5351" t="s">
        <v>76</v>
      </c>
      <c r="J5351">
        <v>3139</v>
      </c>
      <c r="K5351" t="s">
        <v>1800</v>
      </c>
      <c r="L5351">
        <v>4140</v>
      </c>
      <c r="M5351" t="s">
        <v>2038</v>
      </c>
      <c r="N5351" t="s">
        <v>1704</v>
      </c>
      <c r="O5351">
        <v>54</v>
      </c>
      <c r="P5351">
        <v>6137</v>
      </c>
      <c r="Q5351" t="s">
        <v>2020</v>
      </c>
      <c r="R5351" t="s">
        <v>201</v>
      </c>
      <c r="S5351">
        <v>4</v>
      </c>
      <c r="T5351">
        <v>1</v>
      </c>
      <c r="U5351">
        <v>74136</v>
      </c>
      <c r="V5351">
        <v>296544</v>
      </c>
    </row>
    <row r="5352" spans="1:22">
      <c r="A5352" t="s">
        <v>196</v>
      </c>
      <c r="B5352">
        <v>84</v>
      </c>
      <c r="C5352" t="s">
        <v>1762</v>
      </c>
      <c r="D5352">
        <v>310</v>
      </c>
      <c r="E5352" t="s">
        <v>2037</v>
      </c>
      <c r="F5352">
        <v>1140</v>
      </c>
      <c r="G5352" t="s">
        <v>76</v>
      </c>
      <c r="H5352">
        <v>2140</v>
      </c>
      <c r="I5352" t="s">
        <v>76</v>
      </c>
      <c r="J5352">
        <v>3139</v>
      </c>
      <c r="K5352" t="s">
        <v>1800</v>
      </c>
      <c r="L5352">
        <v>4140</v>
      </c>
      <c r="M5352" t="s">
        <v>2038</v>
      </c>
      <c r="N5352" t="s">
        <v>731</v>
      </c>
      <c r="O5352">
        <v>10</v>
      </c>
      <c r="P5352">
        <v>6135</v>
      </c>
      <c r="Q5352" t="s">
        <v>2021</v>
      </c>
      <c r="R5352" t="s">
        <v>201</v>
      </c>
      <c r="S5352">
        <v>1</v>
      </c>
      <c r="T5352">
        <v>1</v>
      </c>
      <c r="U5352">
        <v>143232</v>
      </c>
      <c r="V5352">
        <v>143232</v>
      </c>
    </row>
    <row r="5353" spans="1:22">
      <c r="A5353" t="s">
        <v>196</v>
      </c>
      <c r="B5353">
        <v>84</v>
      </c>
      <c r="C5353" t="s">
        <v>1762</v>
      </c>
      <c r="D5353">
        <v>310</v>
      </c>
      <c r="E5353" t="s">
        <v>2037</v>
      </c>
      <c r="F5353">
        <v>1140</v>
      </c>
      <c r="G5353" t="s">
        <v>76</v>
      </c>
      <c r="H5353">
        <v>2140</v>
      </c>
      <c r="I5353" t="s">
        <v>76</v>
      </c>
      <c r="J5353">
        <v>3139</v>
      </c>
      <c r="K5353" t="s">
        <v>1800</v>
      </c>
      <c r="L5353">
        <v>4140</v>
      </c>
      <c r="M5353" t="s">
        <v>2038</v>
      </c>
      <c r="N5353" t="s">
        <v>721</v>
      </c>
      <c r="O5353">
        <v>25</v>
      </c>
      <c r="P5353">
        <v>4654</v>
      </c>
      <c r="Q5353" t="s">
        <v>2042</v>
      </c>
      <c r="R5353" t="s">
        <v>713</v>
      </c>
      <c r="S5353">
        <v>2774</v>
      </c>
      <c r="T5353">
        <v>0</v>
      </c>
      <c r="U5353">
        <v>39.590000000000003</v>
      </c>
      <c r="V5353">
        <v>109823</v>
      </c>
    </row>
    <row r="5354" spans="1:22">
      <c r="A5354" t="s">
        <v>196</v>
      </c>
      <c r="B5354">
        <v>84</v>
      </c>
      <c r="C5354" t="s">
        <v>1762</v>
      </c>
      <c r="D5354">
        <v>310</v>
      </c>
      <c r="E5354" t="s">
        <v>2037</v>
      </c>
      <c r="F5354">
        <v>1140</v>
      </c>
      <c r="G5354" t="s">
        <v>76</v>
      </c>
      <c r="H5354">
        <v>2140</v>
      </c>
      <c r="I5354" t="s">
        <v>76</v>
      </c>
      <c r="J5354">
        <v>3139</v>
      </c>
      <c r="K5354" t="s">
        <v>1800</v>
      </c>
      <c r="L5354">
        <v>4140</v>
      </c>
      <c r="M5354" t="s">
        <v>2038</v>
      </c>
      <c r="N5354" t="s">
        <v>721</v>
      </c>
      <c r="O5354">
        <v>25</v>
      </c>
      <c r="P5354">
        <v>4656</v>
      </c>
      <c r="Q5354" t="s">
        <v>2043</v>
      </c>
      <c r="R5354" t="s">
        <v>713</v>
      </c>
      <c r="S5354">
        <v>6</v>
      </c>
      <c r="T5354">
        <v>1</v>
      </c>
      <c r="U5354">
        <v>46.76</v>
      </c>
      <c r="V5354">
        <v>583565</v>
      </c>
    </row>
    <row r="5355" spans="1:22">
      <c r="A5355" t="s">
        <v>196</v>
      </c>
      <c r="B5355">
        <v>84</v>
      </c>
      <c r="C5355" t="s">
        <v>1762</v>
      </c>
      <c r="D5355">
        <v>310</v>
      </c>
      <c r="E5355" t="s">
        <v>2037</v>
      </c>
      <c r="F5355">
        <v>1140</v>
      </c>
      <c r="G5355" t="s">
        <v>76</v>
      </c>
      <c r="H5355">
        <v>2140</v>
      </c>
      <c r="I5355" t="s">
        <v>76</v>
      </c>
      <c r="J5355">
        <v>3139</v>
      </c>
      <c r="K5355" t="s">
        <v>1800</v>
      </c>
      <c r="L5355">
        <v>4140</v>
      </c>
      <c r="M5355" t="s">
        <v>2038</v>
      </c>
      <c r="N5355" t="s">
        <v>351</v>
      </c>
      <c r="O5355">
        <v>1</v>
      </c>
      <c r="P5355" t="s">
        <v>352</v>
      </c>
      <c r="Q5355" t="s">
        <v>353</v>
      </c>
      <c r="R5355" t="s">
        <v>201</v>
      </c>
      <c r="S5355">
        <v>1</v>
      </c>
      <c r="T5355">
        <v>1</v>
      </c>
      <c r="U5355">
        <v>94452</v>
      </c>
      <c r="V5355">
        <v>94452</v>
      </c>
    </row>
    <row r="5356" spans="1:22">
      <c r="A5356" t="s">
        <v>196</v>
      </c>
      <c r="B5356">
        <v>84</v>
      </c>
      <c r="C5356" t="s">
        <v>1762</v>
      </c>
      <c r="D5356">
        <v>310</v>
      </c>
      <c r="E5356" t="s">
        <v>2037</v>
      </c>
      <c r="F5356">
        <v>1140</v>
      </c>
      <c r="G5356" t="s">
        <v>76</v>
      </c>
      <c r="H5356">
        <v>2140</v>
      </c>
      <c r="I5356" t="s">
        <v>76</v>
      </c>
      <c r="J5356">
        <v>3139</v>
      </c>
      <c r="K5356" t="s">
        <v>1800</v>
      </c>
      <c r="L5356">
        <v>4140</v>
      </c>
      <c r="M5356" t="s">
        <v>2038</v>
      </c>
      <c r="N5356" t="s">
        <v>351</v>
      </c>
      <c r="O5356">
        <v>1</v>
      </c>
      <c r="P5356" t="s">
        <v>352</v>
      </c>
      <c r="Q5356" t="s">
        <v>353</v>
      </c>
      <c r="R5356" t="s">
        <v>201</v>
      </c>
      <c r="S5356">
        <v>1</v>
      </c>
      <c r="T5356">
        <v>1</v>
      </c>
      <c r="U5356">
        <v>62544</v>
      </c>
      <c r="V5356">
        <v>62544</v>
      </c>
    </row>
    <row r="5357" spans="1:22">
      <c r="A5357" t="s">
        <v>196</v>
      </c>
      <c r="B5357">
        <v>84</v>
      </c>
      <c r="C5357" t="s">
        <v>1762</v>
      </c>
      <c r="D5357">
        <v>310</v>
      </c>
      <c r="E5357" t="s">
        <v>2037</v>
      </c>
      <c r="F5357">
        <v>1140</v>
      </c>
      <c r="G5357" t="s">
        <v>76</v>
      </c>
      <c r="H5357">
        <v>2140</v>
      </c>
      <c r="I5357" t="s">
        <v>76</v>
      </c>
      <c r="J5357">
        <v>3139</v>
      </c>
      <c r="K5357" t="s">
        <v>1800</v>
      </c>
      <c r="L5357">
        <v>4140</v>
      </c>
      <c r="M5357" t="s">
        <v>2038</v>
      </c>
      <c r="N5357" t="s">
        <v>199</v>
      </c>
      <c r="O5357">
        <v>0</v>
      </c>
      <c r="P5357">
        <v>15</v>
      </c>
      <c r="Q5357" t="s">
        <v>264</v>
      </c>
      <c r="R5357" t="s">
        <v>201</v>
      </c>
      <c r="S5357">
        <v>0</v>
      </c>
      <c r="T5357">
        <v>0</v>
      </c>
      <c r="U5357">
        <v>36593</v>
      </c>
      <c r="V5357">
        <v>36593</v>
      </c>
    </row>
    <row r="5358" spans="1:22">
      <c r="A5358" t="s">
        <v>196</v>
      </c>
      <c r="B5358">
        <v>84</v>
      </c>
      <c r="C5358" t="s">
        <v>1762</v>
      </c>
      <c r="D5358">
        <v>310</v>
      </c>
      <c r="E5358" t="s">
        <v>2037</v>
      </c>
      <c r="F5358">
        <v>1140</v>
      </c>
      <c r="G5358" t="s">
        <v>76</v>
      </c>
      <c r="H5358">
        <v>2140</v>
      </c>
      <c r="I5358" t="s">
        <v>76</v>
      </c>
      <c r="J5358">
        <v>3139</v>
      </c>
      <c r="K5358" t="s">
        <v>1800</v>
      </c>
      <c r="L5358">
        <v>4140</v>
      </c>
      <c r="M5358" t="s">
        <v>2038</v>
      </c>
      <c r="N5358" t="s">
        <v>199</v>
      </c>
      <c r="O5358">
        <v>0</v>
      </c>
      <c r="P5358">
        <v>12</v>
      </c>
      <c r="Q5358" t="s">
        <v>724</v>
      </c>
      <c r="R5358" t="s">
        <v>201</v>
      </c>
      <c r="S5358">
        <v>0</v>
      </c>
      <c r="T5358">
        <v>0</v>
      </c>
      <c r="U5358">
        <v>58807</v>
      </c>
      <c r="V5358">
        <v>58807</v>
      </c>
    </row>
    <row r="5359" spans="1:22">
      <c r="A5359" t="s">
        <v>196</v>
      </c>
      <c r="B5359">
        <v>84</v>
      </c>
      <c r="C5359" t="s">
        <v>1762</v>
      </c>
      <c r="D5359">
        <v>310</v>
      </c>
      <c r="E5359" t="s">
        <v>2037</v>
      </c>
      <c r="F5359">
        <v>1150</v>
      </c>
      <c r="G5359" t="s">
        <v>34</v>
      </c>
      <c r="H5359">
        <v>2150</v>
      </c>
      <c r="I5359" t="s">
        <v>34</v>
      </c>
      <c r="J5359">
        <v>3270</v>
      </c>
      <c r="K5359" t="s">
        <v>1812</v>
      </c>
      <c r="L5359">
        <v>4273</v>
      </c>
      <c r="M5359" t="s">
        <v>1814</v>
      </c>
      <c r="N5359" t="s">
        <v>721</v>
      </c>
      <c r="O5359">
        <v>54</v>
      </c>
      <c r="P5359">
        <v>9534</v>
      </c>
      <c r="Q5359" t="s">
        <v>960</v>
      </c>
      <c r="R5359" t="s">
        <v>713</v>
      </c>
      <c r="S5359">
        <v>16</v>
      </c>
      <c r="T5359">
        <v>1</v>
      </c>
      <c r="U5359">
        <v>51.4</v>
      </c>
      <c r="V5359">
        <v>1710592</v>
      </c>
    </row>
    <row r="5360" spans="1:22">
      <c r="A5360" t="s">
        <v>196</v>
      </c>
      <c r="B5360">
        <v>84</v>
      </c>
      <c r="C5360" t="s">
        <v>1762</v>
      </c>
      <c r="D5360">
        <v>310</v>
      </c>
      <c r="E5360" t="s">
        <v>2037</v>
      </c>
      <c r="F5360">
        <v>1150</v>
      </c>
      <c r="G5360" t="s">
        <v>34</v>
      </c>
      <c r="H5360">
        <v>2150</v>
      </c>
      <c r="I5360" t="s">
        <v>34</v>
      </c>
      <c r="J5360">
        <v>3270</v>
      </c>
      <c r="K5360" t="s">
        <v>1812</v>
      </c>
      <c r="L5360">
        <v>4273</v>
      </c>
      <c r="M5360" t="s">
        <v>1814</v>
      </c>
      <c r="N5360" t="s">
        <v>721</v>
      </c>
      <c r="O5360">
        <v>54</v>
      </c>
      <c r="P5360">
        <v>9534</v>
      </c>
      <c r="Q5360" t="s">
        <v>960</v>
      </c>
      <c r="R5360" t="s">
        <v>713</v>
      </c>
      <c r="S5360">
        <v>1</v>
      </c>
      <c r="T5360">
        <v>1</v>
      </c>
      <c r="U5360">
        <v>51.05</v>
      </c>
      <c r="V5360">
        <v>106184</v>
      </c>
    </row>
    <row r="5361" spans="1:22">
      <c r="A5361" t="s">
        <v>196</v>
      </c>
      <c r="B5361">
        <v>84</v>
      </c>
      <c r="C5361" t="s">
        <v>1762</v>
      </c>
      <c r="D5361">
        <v>310</v>
      </c>
      <c r="E5361" t="s">
        <v>2037</v>
      </c>
      <c r="F5361">
        <v>1150</v>
      </c>
      <c r="G5361" t="s">
        <v>34</v>
      </c>
      <c r="H5361">
        <v>2150</v>
      </c>
      <c r="I5361" t="s">
        <v>34</v>
      </c>
      <c r="J5361">
        <v>3270</v>
      </c>
      <c r="K5361" t="s">
        <v>1812</v>
      </c>
      <c r="L5361">
        <v>4273</v>
      </c>
      <c r="M5361" t="s">
        <v>1814</v>
      </c>
      <c r="N5361" t="s">
        <v>721</v>
      </c>
      <c r="O5361">
        <v>29</v>
      </c>
      <c r="P5361">
        <v>7120</v>
      </c>
      <c r="Q5361" t="s">
        <v>2044</v>
      </c>
      <c r="R5361" t="s">
        <v>712</v>
      </c>
      <c r="S5361">
        <v>10</v>
      </c>
      <c r="T5361">
        <v>1</v>
      </c>
      <c r="U5361">
        <v>11193.87</v>
      </c>
      <c r="V5361">
        <v>1343264</v>
      </c>
    </row>
    <row r="5362" spans="1:22">
      <c r="A5362" t="s">
        <v>196</v>
      </c>
      <c r="B5362">
        <v>84</v>
      </c>
      <c r="C5362" t="s">
        <v>1762</v>
      </c>
      <c r="D5362">
        <v>310</v>
      </c>
      <c r="E5362" t="s">
        <v>2037</v>
      </c>
      <c r="F5362">
        <v>1150</v>
      </c>
      <c r="G5362" t="s">
        <v>34</v>
      </c>
      <c r="H5362">
        <v>2150</v>
      </c>
      <c r="I5362" t="s">
        <v>34</v>
      </c>
      <c r="J5362">
        <v>3270</v>
      </c>
      <c r="K5362" t="s">
        <v>1812</v>
      </c>
      <c r="L5362">
        <v>4273</v>
      </c>
      <c r="M5362" t="s">
        <v>1814</v>
      </c>
      <c r="N5362" t="s">
        <v>721</v>
      </c>
      <c r="O5362">
        <v>29</v>
      </c>
      <c r="P5362">
        <v>5088</v>
      </c>
      <c r="Q5362" t="s">
        <v>2045</v>
      </c>
      <c r="R5362" t="s">
        <v>712</v>
      </c>
      <c r="S5362">
        <v>7</v>
      </c>
      <c r="T5362">
        <v>1</v>
      </c>
      <c r="U5362">
        <v>12284.13</v>
      </c>
      <c r="V5362">
        <v>1031867</v>
      </c>
    </row>
    <row r="5363" spans="1:22">
      <c r="A5363" t="s">
        <v>196</v>
      </c>
      <c r="B5363">
        <v>84</v>
      </c>
      <c r="C5363" t="s">
        <v>1762</v>
      </c>
      <c r="D5363">
        <v>310</v>
      </c>
      <c r="E5363" t="s">
        <v>2037</v>
      </c>
      <c r="F5363">
        <v>1150</v>
      </c>
      <c r="G5363" t="s">
        <v>34</v>
      </c>
      <c r="H5363">
        <v>2150</v>
      </c>
      <c r="I5363" t="s">
        <v>34</v>
      </c>
      <c r="J5363">
        <v>3270</v>
      </c>
      <c r="K5363" t="s">
        <v>1812</v>
      </c>
      <c r="L5363">
        <v>4273</v>
      </c>
      <c r="M5363" t="s">
        <v>1814</v>
      </c>
      <c r="N5363" t="s">
        <v>721</v>
      </c>
      <c r="O5363">
        <v>29</v>
      </c>
      <c r="P5363">
        <v>5086</v>
      </c>
      <c r="Q5363" t="s">
        <v>2046</v>
      </c>
      <c r="R5363" t="s">
        <v>712</v>
      </c>
      <c r="S5363">
        <v>38</v>
      </c>
      <c r="T5363">
        <v>1</v>
      </c>
      <c r="U5363">
        <v>11193.87</v>
      </c>
      <c r="V5363">
        <v>5104405</v>
      </c>
    </row>
    <row r="5364" spans="1:22">
      <c r="A5364" t="s">
        <v>196</v>
      </c>
      <c r="B5364">
        <v>84</v>
      </c>
      <c r="C5364" t="s">
        <v>1762</v>
      </c>
      <c r="D5364">
        <v>310</v>
      </c>
      <c r="E5364" t="s">
        <v>2037</v>
      </c>
      <c r="F5364">
        <v>1150</v>
      </c>
      <c r="G5364" t="s">
        <v>34</v>
      </c>
      <c r="H5364">
        <v>2150</v>
      </c>
      <c r="I5364" t="s">
        <v>34</v>
      </c>
      <c r="J5364">
        <v>3270</v>
      </c>
      <c r="K5364" t="s">
        <v>1812</v>
      </c>
      <c r="L5364">
        <v>4273</v>
      </c>
      <c r="M5364" t="s">
        <v>1814</v>
      </c>
      <c r="N5364" t="s">
        <v>721</v>
      </c>
      <c r="O5364">
        <v>29</v>
      </c>
      <c r="P5364">
        <v>5085</v>
      </c>
      <c r="Q5364" t="s">
        <v>2047</v>
      </c>
      <c r="R5364" t="s">
        <v>712</v>
      </c>
      <c r="S5364">
        <v>2</v>
      </c>
      <c r="T5364">
        <v>1</v>
      </c>
      <c r="U5364">
        <v>13074.53</v>
      </c>
      <c r="V5364">
        <v>313789</v>
      </c>
    </row>
    <row r="5365" spans="1:22">
      <c r="A5365" t="s">
        <v>196</v>
      </c>
      <c r="B5365">
        <v>84</v>
      </c>
      <c r="C5365" t="s">
        <v>1762</v>
      </c>
      <c r="D5365">
        <v>310</v>
      </c>
      <c r="E5365" t="s">
        <v>2037</v>
      </c>
      <c r="F5365">
        <v>1150</v>
      </c>
      <c r="G5365" t="s">
        <v>34</v>
      </c>
      <c r="H5365">
        <v>2150</v>
      </c>
      <c r="I5365" t="s">
        <v>34</v>
      </c>
      <c r="J5365">
        <v>3270</v>
      </c>
      <c r="K5365" t="s">
        <v>1812</v>
      </c>
      <c r="L5365">
        <v>4273</v>
      </c>
      <c r="M5365" t="s">
        <v>1814</v>
      </c>
      <c r="N5365" t="s">
        <v>721</v>
      </c>
      <c r="O5365">
        <v>29</v>
      </c>
      <c r="P5365">
        <v>5083</v>
      </c>
      <c r="Q5365" t="s">
        <v>1818</v>
      </c>
      <c r="R5365" t="s">
        <v>713</v>
      </c>
      <c r="S5365">
        <v>3</v>
      </c>
      <c r="T5365">
        <v>1</v>
      </c>
      <c r="U5365">
        <v>70.87</v>
      </c>
      <c r="V5365">
        <v>442229</v>
      </c>
    </row>
    <row r="5366" spans="1:22">
      <c r="A5366" t="s">
        <v>196</v>
      </c>
      <c r="B5366">
        <v>84</v>
      </c>
      <c r="C5366" t="s">
        <v>1762</v>
      </c>
      <c r="D5366">
        <v>310</v>
      </c>
      <c r="E5366" t="s">
        <v>2037</v>
      </c>
      <c r="F5366">
        <v>1150</v>
      </c>
      <c r="G5366" t="s">
        <v>34</v>
      </c>
      <c r="H5366">
        <v>2150</v>
      </c>
      <c r="I5366" t="s">
        <v>34</v>
      </c>
      <c r="J5366">
        <v>3270</v>
      </c>
      <c r="K5366" t="s">
        <v>1812</v>
      </c>
      <c r="L5366">
        <v>4273</v>
      </c>
      <c r="M5366" t="s">
        <v>1814</v>
      </c>
      <c r="N5366" t="s">
        <v>721</v>
      </c>
      <c r="O5366">
        <v>29</v>
      </c>
      <c r="P5366">
        <v>5081</v>
      </c>
      <c r="Q5366" t="s">
        <v>1824</v>
      </c>
      <c r="R5366" t="s">
        <v>713</v>
      </c>
      <c r="S5366">
        <v>17</v>
      </c>
      <c r="T5366">
        <v>1</v>
      </c>
      <c r="U5366">
        <v>64.58</v>
      </c>
      <c r="V5366">
        <v>2283549</v>
      </c>
    </row>
    <row r="5367" spans="1:22">
      <c r="A5367" t="s">
        <v>196</v>
      </c>
      <c r="B5367">
        <v>84</v>
      </c>
      <c r="C5367" t="s">
        <v>1762</v>
      </c>
      <c r="D5367">
        <v>310</v>
      </c>
      <c r="E5367" t="s">
        <v>2037</v>
      </c>
      <c r="F5367">
        <v>1150</v>
      </c>
      <c r="G5367" t="s">
        <v>34</v>
      </c>
      <c r="H5367">
        <v>2150</v>
      </c>
      <c r="I5367" t="s">
        <v>34</v>
      </c>
      <c r="J5367">
        <v>3270</v>
      </c>
      <c r="K5367" t="s">
        <v>1812</v>
      </c>
      <c r="L5367">
        <v>4273</v>
      </c>
      <c r="M5367" t="s">
        <v>1814</v>
      </c>
      <c r="N5367" t="s">
        <v>721</v>
      </c>
      <c r="O5367">
        <v>29</v>
      </c>
      <c r="P5367">
        <v>5061</v>
      </c>
      <c r="Q5367" t="s">
        <v>2048</v>
      </c>
      <c r="R5367" t="s">
        <v>713</v>
      </c>
      <c r="S5367">
        <v>3</v>
      </c>
      <c r="T5367">
        <v>1</v>
      </c>
      <c r="U5367">
        <v>45.34</v>
      </c>
      <c r="V5367">
        <v>282922</v>
      </c>
    </row>
    <row r="5368" spans="1:22">
      <c r="A5368" t="s">
        <v>196</v>
      </c>
      <c r="B5368">
        <v>84</v>
      </c>
      <c r="C5368" t="s">
        <v>1762</v>
      </c>
      <c r="D5368">
        <v>310</v>
      </c>
      <c r="E5368" t="s">
        <v>2037</v>
      </c>
      <c r="F5368">
        <v>1150</v>
      </c>
      <c r="G5368" t="s">
        <v>34</v>
      </c>
      <c r="H5368">
        <v>2150</v>
      </c>
      <c r="I5368" t="s">
        <v>34</v>
      </c>
      <c r="J5368">
        <v>3270</v>
      </c>
      <c r="K5368" t="s">
        <v>1812</v>
      </c>
      <c r="L5368">
        <v>4273</v>
      </c>
      <c r="M5368" t="s">
        <v>1814</v>
      </c>
      <c r="N5368" t="s">
        <v>721</v>
      </c>
      <c r="O5368">
        <v>29</v>
      </c>
      <c r="P5368">
        <v>5061</v>
      </c>
      <c r="Q5368" t="s">
        <v>2048</v>
      </c>
      <c r="R5368" t="s">
        <v>713</v>
      </c>
      <c r="S5368">
        <v>11</v>
      </c>
      <c r="T5368">
        <v>1</v>
      </c>
      <c r="U5368">
        <v>40.299999999999997</v>
      </c>
      <c r="V5368">
        <v>922064</v>
      </c>
    </row>
    <row r="5369" spans="1:22">
      <c r="A5369" t="s">
        <v>196</v>
      </c>
      <c r="B5369">
        <v>84</v>
      </c>
      <c r="C5369" t="s">
        <v>1762</v>
      </c>
      <c r="D5369">
        <v>310</v>
      </c>
      <c r="E5369" t="s">
        <v>2037</v>
      </c>
      <c r="F5369">
        <v>1150</v>
      </c>
      <c r="G5369" t="s">
        <v>34</v>
      </c>
      <c r="H5369">
        <v>2150</v>
      </c>
      <c r="I5369" t="s">
        <v>34</v>
      </c>
      <c r="J5369">
        <v>3270</v>
      </c>
      <c r="K5369" t="s">
        <v>1812</v>
      </c>
      <c r="L5369">
        <v>4273</v>
      </c>
      <c r="M5369" t="s">
        <v>1814</v>
      </c>
      <c r="N5369" t="s">
        <v>721</v>
      </c>
      <c r="O5369">
        <v>29</v>
      </c>
      <c r="P5369">
        <v>5061</v>
      </c>
      <c r="Q5369" t="s">
        <v>2048</v>
      </c>
      <c r="R5369" t="s">
        <v>713</v>
      </c>
      <c r="S5369">
        <v>20</v>
      </c>
      <c r="T5369">
        <v>1</v>
      </c>
      <c r="U5369">
        <v>35.26</v>
      </c>
      <c r="V5369">
        <v>1466816</v>
      </c>
    </row>
    <row r="5370" spans="1:22">
      <c r="A5370" t="s">
        <v>196</v>
      </c>
      <c r="B5370">
        <v>84</v>
      </c>
      <c r="C5370" t="s">
        <v>1762</v>
      </c>
      <c r="D5370">
        <v>310</v>
      </c>
      <c r="E5370" t="s">
        <v>2037</v>
      </c>
      <c r="F5370">
        <v>1150</v>
      </c>
      <c r="G5370" t="s">
        <v>34</v>
      </c>
      <c r="H5370">
        <v>2150</v>
      </c>
      <c r="I5370" t="s">
        <v>34</v>
      </c>
      <c r="J5370">
        <v>3270</v>
      </c>
      <c r="K5370" t="s">
        <v>1812</v>
      </c>
      <c r="L5370">
        <v>4273</v>
      </c>
      <c r="M5370" t="s">
        <v>1814</v>
      </c>
      <c r="N5370" t="s">
        <v>199</v>
      </c>
      <c r="O5370">
        <v>0</v>
      </c>
      <c r="P5370">
        <v>12</v>
      </c>
      <c r="Q5370" t="s">
        <v>724</v>
      </c>
      <c r="R5370" t="s">
        <v>201</v>
      </c>
      <c r="S5370">
        <v>0</v>
      </c>
      <c r="T5370">
        <v>0</v>
      </c>
      <c r="U5370">
        <v>225115</v>
      </c>
      <c r="V5370">
        <v>225115</v>
      </c>
    </row>
    <row r="5371" spans="1:22">
      <c r="A5371" t="s">
        <v>196</v>
      </c>
      <c r="B5371">
        <v>84</v>
      </c>
      <c r="C5371" t="s">
        <v>1762</v>
      </c>
      <c r="D5371">
        <v>310</v>
      </c>
      <c r="E5371" t="s">
        <v>2037</v>
      </c>
      <c r="F5371">
        <v>1150</v>
      </c>
      <c r="G5371" t="s">
        <v>34</v>
      </c>
      <c r="H5371">
        <v>2150</v>
      </c>
      <c r="I5371" t="s">
        <v>34</v>
      </c>
      <c r="J5371">
        <v>3270</v>
      </c>
      <c r="K5371" t="s">
        <v>1812</v>
      </c>
      <c r="L5371">
        <v>4274</v>
      </c>
      <c r="M5371" t="s">
        <v>2049</v>
      </c>
      <c r="N5371" t="s">
        <v>721</v>
      </c>
      <c r="O5371">
        <v>29</v>
      </c>
      <c r="P5371">
        <v>5089</v>
      </c>
      <c r="Q5371" t="s">
        <v>1822</v>
      </c>
      <c r="R5371" t="s">
        <v>712</v>
      </c>
      <c r="S5371">
        <v>2</v>
      </c>
      <c r="T5371">
        <v>1</v>
      </c>
      <c r="U5371">
        <v>12284.13</v>
      </c>
      <c r="V5371">
        <v>294819</v>
      </c>
    </row>
    <row r="5372" spans="1:22">
      <c r="A5372" t="s">
        <v>196</v>
      </c>
      <c r="B5372">
        <v>84</v>
      </c>
      <c r="C5372" t="s">
        <v>1762</v>
      </c>
      <c r="D5372">
        <v>310</v>
      </c>
      <c r="E5372" t="s">
        <v>2037</v>
      </c>
      <c r="F5372">
        <v>1150</v>
      </c>
      <c r="G5372" t="s">
        <v>34</v>
      </c>
      <c r="H5372">
        <v>2150</v>
      </c>
      <c r="I5372" t="s">
        <v>34</v>
      </c>
      <c r="J5372">
        <v>3270</v>
      </c>
      <c r="K5372" t="s">
        <v>1812</v>
      </c>
      <c r="L5372">
        <v>4274</v>
      </c>
      <c r="M5372" t="s">
        <v>2049</v>
      </c>
      <c r="N5372" t="s">
        <v>721</v>
      </c>
      <c r="O5372">
        <v>29</v>
      </c>
      <c r="P5372">
        <v>5087</v>
      </c>
      <c r="Q5372" t="s">
        <v>1823</v>
      </c>
      <c r="R5372" t="s">
        <v>712</v>
      </c>
      <c r="S5372">
        <v>24</v>
      </c>
      <c r="T5372">
        <v>1</v>
      </c>
      <c r="U5372">
        <v>11193.87</v>
      </c>
      <c r="V5372">
        <v>3223835</v>
      </c>
    </row>
    <row r="5373" spans="1:22">
      <c r="A5373" t="s">
        <v>196</v>
      </c>
      <c r="B5373">
        <v>84</v>
      </c>
      <c r="C5373" t="s">
        <v>1762</v>
      </c>
      <c r="D5373">
        <v>310</v>
      </c>
      <c r="E5373" t="s">
        <v>2037</v>
      </c>
      <c r="F5373">
        <v>1150</v>
      </c>
      <c r="G5373" t="s">
        <v>34</v>
      </c>
      <c r="H5373">
        <v>2150</v>
      </c>
      <c r="I5373" t="s">
        <v>34</v>
      </c>
      <c r="J5373">
        <v>3270</v>
      </c>
      <c r="K5373" t="s">
        <v>1812</v>
      </c>
      <c r="L5373">
        <v>4274</v>
      </c>
      <c r="M5373" t="s">
        <v>2049</v>
      </c>
      <c r="N5373" t="s">
        <v>721</v>
      </c>
      <c r="O5373">
        <v>29</v>
      </c>
      <c r="P5373">
        <v>5085</v>
      </c>
      <c r="Q5373" t="s">
        <v>2047</v>
      </c>
      <c r="R5373" t="s">
        <v>712</v>
      </c>
      <c r="S5373">
        <v>1</v>
      </c>
      <c r="T5373">
        <v>1</v>
      </c>
      <c r="U5373">
        <v>13074.53</v>
      </c>
      <c r="V5373">
        <v>156894</v>
      </c>
    </row>
    <row r="5374" spans="1:22">
      <c r="A5374" t="s">
        <v>196</v>
      </c>
      <c r="B5374">
        <v>84</v>
      </c>
      <c r="C5374" t="s">
        <v>1762</v>
      </c>
      <c r="D5374">
        <v>310</v>
      </c>
      <c r="E5374" t="s">
        <v>2037</v>
      </c>
      <c r="F5374">
        <v>1150</v>
      </c>
      <c r="G5374" t="s">
        <v>34</v>
      </c>
      <c r="H5374">
        <v>2150</v>
      </c>
      <c r="I5374" t="s">
        <v>34</v>
      </c>
      <c r="J5374">
        <v>3270</v>
      </c>
      <c r="K5374" t="s">
        <v>1812</v>
      </c>
      <c r="L5374">
        <v>4274</v>
      </c>
      <c r="M5374" t="s">
        <v>2049</v>
      </c>
      <c r="N5374" t="s">
        <v>199</v>
      </c>
      <c r="O5374">
        <v>0</v>
      </c>
      <c r="P5374">
        <v>12</v>
      </c>
      <c r="Q5374" t="s">
        <v>724</v>
      </c>
      <c r="R5374" t="s">
        <v>201</v>
      </c>
      <c r="S5374">
        <v>0</v>
      </c>
      <c r="T5374">
        <v>0</v>
      </c>
      <c r="U5374">
        <v>55133</v>
      </c>
      <c r="V5374">
        <v>55133</v>
      </c>
    </row>
    <row r="5375" spans="1:22">
      <c r="A5375" t="s">
        <v>196</v>
      </c>
      <c r="B5375">
        <v>84</v>
      </c>
      <c r="C5375" t="s">
        <v>1762</v>
      </c>
      <c r="D5375">
        <v>310</v>
      </c>
      <c r="E5375" t="s">
        <v>2037</v>
      </c>
      <c r="F5375">
        <v>1150</v>
      </c>
      <c r="G5375" t="s">
        <v>34</v>
      </c>
      <c r="H5375">
        <v>2150</v>
      </c>
      <c r="I5375" t="s">
        <v>34</v>
      </c>
      <c r="J5375">
        <v>3270</v>
      </c>
      <c r="K5375" t="s">
        <v>1812</v>
      </c>
      <c r="L5375">
        <v>4278</v>
      </c>
      <c r="M5375" t="s">
        <v>2050</v>
      </c>
      <c r="N5375" t="s">
        <v>721</v>
      </c>
      <c r="O5375">
        <v>8</v>
      </c>
      <c r="P5375">
        <v>7185</v>
      </c>
      <c r="Q5375" t="s">
        <v>1039</v>
      </c>
      <c r="R5375" t="s">
        <v>713</v>
      </c>
      <c r="S5375">
        <v>2</v>
      </c>
      <c r="T5375">
        <v>1</v>
      </c>
      <c r="U5375">
        <v>52.38</v>
      </c>
      <c r="V5375">
        <v>217901</v>
      </c>
    </row>
    <row r="5376" spans="1:22">
      <c r="A5376" t="s">
        <v>196</v>
      </c>
      <c r="B5376">
        <v>84</v>
      </c>
      <c r="C5376" t="s">
        <v>1762</v>
      </c>
      <c r="D5376">
        <v>310</v>
      </c>
      <c r="E5376" t="s">
        <v>2037</v>
      </c>
      <c r="F5376">
        <v>1150</v>
      </c>
      <c r="G5376" t="s">
        <v>34</v>
      </c>
      <c r="H5376">
        <v>2150</v>
      </c>
      <c r="I5376" t="s">
        <v>34</v>
      </c>
      <c r="J5376">
        <v>3270</v>
      </c>
      <c r="K5376" t="s">
        <v>1812</v>
      </c>
      <c r="L5376">
        <v>4278</v>
      </c>
      <c r="M5376" t="s">
        <v>2050</v>
      </c>
      <c r="N5376" t="s">
        <v>721</v>
      </c>
      <c r="O5376">
        <v>8</v>
      </c>
      <c r="P5376">
        <v>7184</v>
      </c>
      <c r="Q5376" t="s">
        <v>1728</v>
      </c>
      <c r="R5376" t="s">
        <v>713</v>
      </c>
      <c r="S5376">
        <v>14</v>
      </c>
      <c r="T5376">
        <v>1</v>
      </c>
      <c r="U5376">
        <v>48.73</v>
      </c>
      <c r="V5376">
        <v>1419018</v>
      </c>
    </row>
    <row r="5377" spans="1:22">
      <c r="A5377" t="s">
        <v>196</v>
      </c>
      <c r="B5377">
        <v>84</v>
      </c>
      <c r="C5377" t="s">
        <v>1762</v>
      </c>
      <c r="D5377">
        <v>310</v>
      </c>
      <c r="E5377" t="s">
        <v>2037</v>
      </c>
      <c r="F5377">
        <v>1150</v>
      </c>
      <c r="G5377" t="s">
        <v>34</v>
      </c>
      <c r="H5377">
        <v>2150</v>
      </c>
      <c r="I5377" t="s">
        <v>34</v>
      </c>
      <c r="J5377">
        <v>3270</v>
      </c>
      <c r="K5377" t="s">
        <v>1812</v>
      </c>
      <c r="L5377">
        <v>4278</v>
      </c>
      <c r="M5377" t="s">
        <v>2050</v>
      </c>
      <c r="N5377" t="s">
        <v>721</v>
      </c>
      <c r="O5377">
        <v>8</v>
      </c>
      <c r="P5377">
        <v>7183</v>
      </c>
      <c r="Q5377" t="s">
        <v>986</v>
      </c>
      <c r="R5377" t="s">
        <v>713</v>
      </c>
      <c r="S5377">
        <v>22</v>
      </c>
      <c r="T5377">
        <v>1</v>
      </c>
      <c r="U5377">
        <v>48.73</v>
      </c>
      <c r="V5377">
        <v>2229885</v>
      </c>
    </row>
    <row r="5378" spans="1:22">
      <c r="A5378" t="s">
        <v>196</v>
      </c>
      <c r="B5378">
        <v>84</v>
      </c>
      <c r="C5378" t="s">
        <v>1762</v>
      </c>
      <c r="D5378">
        <v>310</v>
      </c>
      <c r="E5378" t="s">
        <v>2037</v>
      </c>
      <c r="F5378">
        <v>1150</v>
      </c>
      <c r="G5378" t="s">
        <v>34</v>
      </c>
      <c r="H5378">
        <v>2150</v>
      </c>
      <c r="I5378" t="s">
        <v>34</v>
      </c>
      <c r="J5378">
        <v>3270</v>
      </c>
      <c r="K5378" t="s">
        <v>1812</v>
      </c>
      <c r="L5378">
        <v>4278</v>
      </c>
      <c r="M5378" t="s">
        <v>2050</v>
      </c>
      <c r="N5378" t="s">
        <v>199</v>
      </c>
      <c r="O5378">
        <v>0</v>
      </c>
      <c r="P5378">
        <v>12</v>
      </c>
      <c r="Q5378" t="s">
        <v>724</v>
      </c>
      <c r="R5378" t="s">
        <v>201</v>
      </c>
      <c r="S5378">
        <v>0</v>
      </c>
      <c r="T5378">
        <v>0</v>
      </c>
      <c r="U5378">
        <v>58002</v>
      </c>
      <c r="V5378">
        <v>58002</v>
      </c>
    </row>
    <row r="5379" spans="1:22">
      <c r="A5379" t="s">
        <v>196</v>
      </c>
      <c r="B5379">
        <v>84</v>
      </c>
      <c r="C5379" t="s">
        <v>1762</v>
      </c>
      <c r="D5379">
        <v>310</v>
      </c>
      <c r="E5379" t="s">
        <v>2037</v>
      </c>
      <c r="F5379">
        <v>1150</v>
      </c>
      <c r="G5379" t="s">
        <v>34</v>
      </c>
      <c r="H5379">
        <v>2150</v>
      </c>
      <c r="I5379" t="s">
        <v>34</v>
      </c>
      <c r="J5379">
        <v>3275</v>
      </c>
      <c r="K5379" t="s">
        <v>1816</v>
      </c>
      <c r="L5379">
        <v>4280</v>
      </c>
      <c r="M5379" t="s">
        <v>1817</v>
      </c>
      <c r="N5379" t="s">
        <v>721</v>
      </c>
      <c r="O5379">
        <v>54</v>
      </c>
      <c r="P5379">
        <v>9534</v>
      </c>
      <c r="Q5379" t="s">
        <v>960</v>
      </c>
      <c r="R5379" t="s">
        <v>713</v>
      </c>
      <c r="S5379">
        <v>12</v>
      </c>
      <c r="T5379">
        <v>1</v>
      </c>
      <c r="U5379">
        <v>51.4</v>
      </c>
      <c r="V5379">
        <v>1282944</v>
      </c>
    </row>
    <row r="5380" spans="1:22">
      <c r="A5380" t="s">
        <v>196</v>
      </c>
      <c r="B5380">
        <v>84</v>
      </c>
      <c r="C5380" t="s">
        <v>1762</v>
      </c>
      <c r="D5380">
        <v>310</v>
      </c>
      <c r="E5380" t="s">
        <v>2037</v>
      </c>
      <c r="F5380">
        <v>1150</v>
      </c>
      <c r="G5380" t="s">
        <v>34</v>
      </c>
      <c r="H5380">
        <v>2150</v>
      </c>
      <c r="I5380" t="s">
        <v>34</v>
      </c>
      <c r="J5380">
        <v>3275</v>
      </c>
      <c r="K5380" t="s">
        <v>1816</v>
      </c>
      <c r="L5380">
        <v>4280</v>
      </c>
      <c r="M5380" t="s">
        <v>1817</v>
      </c>
      <c r="N5380" t="s">
        <v>721</v>
      </c>
      <c r="O5380">
        <v>54</v>
      </c>
      <c r="P5380">
        <v>9534</v>
      </c>
      <c r="Q5380" t="s">
        <v>960</v>
      </c>
      <c r="R5380" t="s">
        <v>713</v>
      </c>
      <c r="S5380">
        <v>1</v>
      </c>
      <c r="T5380">
        <v>1</v>
      </c>
      <c r="U5380">
        <v>51.05</v>
      </c>
      <c r="V5380">
        <v>106184</v>
      </c>
    </row>
    <row r="5381" spans="1:22">
      <c r="A5381" t="s">
        <v>196</v>
      </c>
      <c r="B5381">
        <v>84</v>
      </c>
      <c r="C5381" t="s">
        <v>1762</v>
      </c>
      <c r="D5381">
        <v>310</v>
      </c>
      <c r="E5381" t="s">
        <v>2037</v>
      </c>
      <c r="F5381">
        <v>1150</v>
      </c>
      <c r="G5381" t="s">
        <v>34</v>
      </c>
      <c r="H5381">
        <v>2150</v>
      </c>
      <c r="I5381" t="s">
        <v>34</v>
      </c>
      <c r="J5381">
        <v>3275</v>
      </c>
      <c r="K5381" t="s">
        <v>1816</v>
      </c>
      <c r="L5381">
        <v>4280</v>
      </c>
      <c r="M5381" t="s">
        <v>1817</v>
      </c>
      <c r="N5381" t="s">
        <v>721</v>
      </c>
      <c r="O5381">
        <v>53</v>
      </c>
      <c r="P5381">
        <v>8244</v>
      </c>
      <c r="Q5381" t="s">
        <v>961</v>
      </c>
      <c r="R5381" t="s">
        <v>713</v>
      </c>
      <c r="S5381">
        <v>3</v>
      </c>
      <c r="T5381">
        <v>1</v>
      </c>
      <c r="U5381">
        <v>52.3</v>
      </c>
      <c r="V5381">
        <v>326352</v>
      </c>
    </row>
    <row r="5382" spans="1:22">
      <c r="A5382" t="s">
        <v>196</v>
      </c>
      <c r="B5382">
        <v>84</v>
      </c>
      <c r="C5382" t="s">
        <v>1762</v>
      </c>
      <c r="D5382">
        <v>310</v>
      </c>
      <c r="E5382" t="s">
        <v>2037</v>
      </c>
      <c r="F5382">
        <v>1150</v>
      </c>
      <c r="G5382" t="s">
        <v>34</v>
      </c>
      <c r="H5382">
        <v>2150</v>
      </c>
      <c r="I5382" t="s">
        <v>34</v>
      </c>
      <c r="J5382">
        <v>3275</v>
      </c>
      <c r="K5382" t="s">
        <v>1816</v>
      </c>
      <c r="L5382">
        <v>4280</v>
      </c>
      <c r="M5382" t="s">
        <v>1817</v>
      </c>
      <c r="N5382" t="s">
        <v>721</v>
      </c>
      <c r="O5382">
        <v>8</v>
      </c>
      <c r="P5382">
        <v>7185</v>
      </c>
      <c r="Q5382" t="s">
        <v>1039</v>
      </c>
      <c r="R5382" t="s">
        <v>713</v>
      </c>
      <c r="S5382">
        <v>1</v>
      </c>
      <c r="T5382">
        <v>1</v>
      </c>
      <c r="U5382">
        <v>52.38</v>
      </c>
      <c r="V5382">
        <v>108950</v>
      </c>
    </row>
    <row r="5383" spans="1:22">
      <c r="A5383" t="s">
        <v>196</v>
      </c>
      <c r="B5383">
        <v>84</v>
      </c>
      <c r="C5383" t="s">
        <v>1762</v>
      </c>
      <c r="D5383">
        <v>310</v>
      </c>
      <c r="E5383" t="s">
        <v>2037</v>
      </c>
      <c r="F5383">
        <v>1150</v>
      </c>
      <c r="G5383" t="s">
        <v>34</v>
      </c>
      <c r="H5383">
        <v>2150</v>
      </c>
      <c r="I5383" t="s">
        <v>34</v>
      </c>
      <c r="J5383">
        <v>3275</v>
      </c>
      <c r="K5383" t="s">
        <v>1816</v>
      </c>
      <c r="L5383">
        <v>4280</v>
      </c>
      <c r="M5383" t="s">
        <v>1817</v>
      </c>
      <c r="N5383" t="s">
        <v>721</v>
      </c>
      <c r="O5383">
        <v>8</v>
      </c>
      <c r="P5383">
        <v>7184</v>
      </c>
      <c r="Q5383" t="s">
        <v>1728</v>
      </c>
      <c r="R5383" t="s">
        <v>713</v>
      </c>
      <c r="S5383">
        <v>1</v>
      </c>
      <c r="T5383">
        <v>1</v>
      </c>
      <c r="U5383">
        <v>48.73</v>
      </c>
      <c r="V5383">
        <v>101358</v>
      </c>
    </row>
    <row r="5384" spans="1:22">
      <c r="A5384" t="s">
        <v>196</v>
      </c>
      <c r="B5384">
        <v>84</v>
      </c>
      <c r="C5384" t="s">
        <v>1762</v>
      </c>
      <c r="D5384">
        <v>310</v>
      </c>
      <c r="E5384" t="s">
        <v>2037</v>
      </c>
      <c r="F5384">
        <v>1150</v>
      </c>
      <c r="G5384" t="s">
        <v>34</v>
      </c>
      <c r="H5384">
        <v>2150</v>
      </c>
      <c r="I5384" t="s">
        <v>34</v>
      </c>
      <c r="J5384">
        <v>3275</v>
      </c>
      <c r="K5384" t="s">
        <v>1816</v>
      </c>
      <c r="L5384">
        <v>4280</v>
      </c>
      <c r="M5384" t="s">
        <v>1817</v>
      </c>
      <c r="N5384" t="s">
        <v>721</v>
      </c>
      <c r="O5384">
        <v>8</v>
      </c>
      <c r="P5384">
        <v>7183</v>
      </c>
      <c r="Q5384" t="s">
        <v>986</v>
      </c>
      <c r="R5384" t="s">
        <v>713</v>
      </c>
      <c r="S5384">
        <v>4</v>
      </c>
      <c r="T5384">
        <v>1</v>
      </c>
      <c r="U5384">
        <v>48.73</v>
      </c>
      <c r="V5384">
        <v>405434</v>
      </c>
    </row>
    <row r="5385" spans="1:22">
      <c r="A5385" t="s">
        <v>196</v>
      </c>
      <c r="B5385">
        <v>84</v>
      </c>
      <c r="C5385" t="s">
        <v>1762</v>
      </c>
      <c r="D5385">
        <v>310</v>
      </c>
      <c r="E5385" t="s">
        <v>2037</v>
      </c>
      <c r="F5385">
        <v>1150</v>
      </c>
      <c r="G5385" t="s">
        <v>34</v>
      </c>
      <c r="H5385">
        <v>2150</v>
      </c>
      <c r="I5385" t="s">
        <v>34</v>
      </c>
      <c r="J5385">
        <v>3275</v>
      </c>
      <c r="K5385" t="s">
        <v>1816</v>
      </c>
      <c r="L5385">
        <v>4280</v>
      </c>
      <c r="M5385" t="s">
        <v>1817</v>
      </c>
      <c r="N5385" t="s">
        <v>721</v>
      </c>
      <c r="O5385">
        <v>29</v>
      </c>
      <c r="P5385">
        <v>5085</v>
      </c>
      <c r="Q5385" t="s">
        <v>2047</v>
      </c>
      <c r="R5385" t="s">
        <v>712</v>
      </c>
      <c r="S5385">
        <v>2</v>
      </c>
      <c r="T5385">
        <v>1</v>
      </c>
      <c r="U5385">
        <v>13074.53</v>
      </c>
      <c r="V5385">
        <v>313789</v>
      </c>
    </row>
    <row r="5386" spans="1:22">
      <c r="A5386" t="s">
        <v>196</v>
      </c>
      <c r="B5386">
        <v>84</v>
      </c>
      <c r="C5386" t="s">
        <v>1762</v>
      </c>
      <c r="D5386">
        <v>310</v>
      </c>
      <c r="E5386" t="s">
        <v>2037</v>
      </c>
      <c r="F5386">
        <v>1150</v>
      </c>
      <c r="G5386" t="s">
        <v>34</v>
      </c>
      <c r="H5386">
        <v>2150</v>
      </c>
      <c r="I5386" t="s">
        <v>34</v>
      </c>
      <c r="J5386">
        <v>3275</v>
      </c>
      <c r="K5386" t="s">
        <v>1816</v>
      </c>
      <c r="L5386">
        <v>4280</v>
      </c>
      <c r="M5386" t="s">
        <v>1817</v>
      </c>
      <c r="N5386" t="s">
        <v>721</v>
      </c>
      <c r="O5386">
        <v>29</v>
      </c>
      <c r="P5386">
        <v>5083</v>
      </c>
      <c r="Q5386" t="s">
        <v>1818</v>
      </c>
      <c r="R5386" t="s">
        <v>713</v>
      </c>
      <c r="S5386">
        <v>9</v>
      </c>
      <c r="T5386">
        <v>1</v>
      </c>
      <c r="U5386">
        <v>70.87</v>
      </c>
      <c r="V5386">
        <v>1326686</v>
      </c>
    </row>
    <row r="5387" spans="1:22">
      <c r="A5387" t="s">
        <v>196</v>
      </c>
      <c r="B5387">
        <v>84</v>
      </c>
      <c r="C5387" t="s">
        <v>1762</v>
      </c>
      <c r="D5387">
        <v>310</v>
      </c>
      <c r="E5387" t="s">
        <v>2037</v>
      </c>
      <c r="F5387">
        <v>1150</v>
      </c>
      <c r="G5387" t="s">
        <v>34</v>
      </c>
      <c r="H5387">
        <v>2150</v>
      </c>
      <c r="I5387" t="s">
        <v>34</v>
      </c>
      <c r="J5387">
        <v>3275</v>
      </c>
      <c r="K5387" t="s">
        <v>1816</v>
      </c>
      <c r="L5387">
        <v>4280</v>
      </c>
      <c r="M5387" t="s">
        <v>1817</v>
      </c>
      <c r="N5387" t="s">
        <v>721</v>
      </c>
      <c r="O5387">
        <v>29</v>
      </c>
      <c r="P5387">
        <v>5081</v>
      </c>
      <c r="Q5387" t="s">
        <v>1824</v>
      </c>
      <c r="R5387" t="s">
        <v>713</v>
      </c>
      <c r="S5387">
        <v>28</v>
      </c>
      <c r="T5387">
        <v>1</v>
      </c>
      <c r="U5387">
        <v>64.58</v>
      </c>
      <c r="V5387">
        <v>3761139</v>
      </c>
    </row>
    <row r="5388" spans="1:22">
      <c r="A5388" t="s">
        <v>196</v>
      </c>
      <c r="B5388">
        <v>84</v>
      </c>
      <c r="C5388" t="s">
        <v>1762</v>
      </c>
      <c r="D5388">
        <v>310</v>
      </c>
      <c r="E5388" t="s">
        <v>2037</v>
      </c>
      <c r="F5388">
        <v>1150</v>
      </c>
      <c r="G5388" t="s">
        <v>34</v>
      </c>
      <c r="H5388">
        <v>2150</v>
      </c>
      <c r="I5388" t="s">
        <v>34</v>
      </c>
      <c r="J5388">
        <v>3275</v>
      </c>
      <c r="K5388" t="s">
        <v>1816</v>
      </c>
      <c r="L5388">
        <v>4280</v>
      </c>
      <c r="M5388" t="s">
        <v>1817</v>
      </c>
      <c r="N5388" t="s">
        <v>628</v>
      </c>
      <c r="O5388">
        <v>10</v>
      </c>
      <c r="P5388">
        <v>5049</v>
      </c>
      <c r="Q5388" t="s">
        <v>1815</v>
      </c>
      <c r="R5388" t="s">
        <v>201</v>
      </c>
      <c r="S5388">
        <v>1</v>
      </c>
      <c r="T5388">
        <v>1</v>
      </c>
      <c r="U5388">
        <v>117780</v>
      </c>
      <c r="V5388">
        <v>117780</v>
      </c>
    </row>
    <row r="5389" spans="1:22">
      <c r="A5389" t="s">
        <v>196</v>
      </c>
      <c r="B5389">
        <v>84</v>
      </c>
      <c r="C5389" t="s">
        <v>1762</v>
      </c>
      <c r="D5389">
        <v>310</v>
      </c>
      <c r="E5389" t="s">
        <v>2037</v>
      </c>
      <c r="F5389">
        <v>1150</v>
      </c>
      <c r="G5389" t="s">
        <v>34</v>
      </c>
      <c r="H5389">
        <v>2150</v>
      </c>
      <c r="I5389" t="s">
        <v>34</v>
      </c>
      <c r="J5389">
        <v>3275</v>
      </c>
      <c r="K5389" t="s">
        <v>1816</v>
      </c>
      <c r="L5389">
        <v>4280</v>
      </c>
      <c r="M5389" t="s">
        <v>1817</v>
      </c>
      <c r="N5389" t="s">
        <v>199</v>
      </c>
      <c r="O5389">
        <v>0</v>
      </c>
      <c r="P5389">
        <v>15</v>
      </c>
      <c r="Q5389" t="s">
        <v>264</v>
      </c>
      <c r="R5389" t="s">
        <v>201</v>
      </c>
      <c r="S5389">
        <v>0</v>
      </c>
      <c r="T5389">
        <v>0</v>
      </c>
      <c r="U5389">
        <v>464</v>
      </c>
      <c r="V5389">
        <v>464</v>
      </c>
    </row>
    <row r="5390" spans="1:22">
      <c r="A5390" t="s">
        <v>196</v>
      </c>
      <c r="B5390">
        <v>84</v>
      </c>
      <c r="C5390" t="s">
        <v>1762</v>
      </c>
      <c r="D5390">
        <v>310</v>
      </c>
      <c r="E5390" t="s">
        <v>2037</v>
      </c>
      <c r="F5390">
        <v>1150</v>
      </c>
      <c r="G5390" t="s">
        <v>34</v>
      </c>
      <c r="H5390">
        <v>2150</v>
      </c>
      <c r="I5390" t="s">
        <v>34</v>
      </c>
      <c r="J5390">
        <v>3275</v>
      </c>
      <c r="K5390" t="s">
        <v>1816</v>
      </c>
      <c r="L5390">
        <v>4280</v>
      </c>
      <c r="M5390" t="s">
        <v>1817</v>
      </c>
      <c r="N5390" t="s">
        <v>199</v>
      </c>
      <c r="O5390">
        <v>0</v>
      </c>
      <c r="P5390">
        <v>12</v>
      </c>
      <c r="Q5390" t="s">
        <v>724</v>
      </c>
      <c r="R5390" t="s">
        <v>201</v>
      </c>
      <c r="S5390">
        <v>0</v>
      </c>
      <c r="T5390">
        <v>0</v>
      </c>
      <c r="U5390">
        <v>115992</v>
      </c>
      <c r="V5390">
        <v>115992</v>
      </c>
    </row>
    <row r="5391" spans="1:22">
      <c r="A5391" t="s">
        <v>196</v>
      </c>
      <c r="B5391">
        <v>84</v>
      </c>
      <c r="C5391" t="s">
        <v>1762</v>
      </c>
      <c r="D5391">
        <v>310</v>
      </c>
      <c r="E5391" t="s">
        <v>2037</v>
      </c>
      <c r="F5391">
        <v>1155</v>
      </c>
      <c r="G5391" t="s">
        <v>8</v>
      </c>
      <c r="H5391">
        <v>2155</v>
      </c>
      <c r="I5391" t="s">
        <v>8</v>
      </c>
      <c r="J5391">
        <v>3256</v>
      </c>
      <c r="K5391" t="s">
        <v>819</v>
      </c>
      <c r="L5391">
        <v>4260</v>
      </c>
      <c r="M5391" t="s">
        <v>2051</v>
      </c>
      <c r="N5391" t="s">
        <v>721</v>
      </c>
      <c r="O5391">
        <v>54</v>
      </c>
      <c r="P5391">
        <v>9539</v>
      </c>
      <c r="Q5391" t="s">
        <v>2028</v>
      </c>
      <c r="R5391" t="s">
        <v>713</v>
      </c>
      <c r="S5391">
        <v>14</v>
      </c>
      <c r="T5391">
        <v>1</v>
      </c>
      <c r="U5391">
        <v>51.4</v>
      </c>
      <c r="V5391">
        <v>1496768</v>
      </c>
    </row>
    <row r="5392" spans="1:22">
      <c r="A5392" t="s">
        <v>196</v>
      </c>
      <c r="B5392">
        <v>84</v>
      </c>
      <c r="C5392" t="s">
        <v>1762</v>
      </c>
      <c r="D5392">
        <v>310</v>
      </c>
      <c r="E5392" t="s">
        <v>2037</v>
      </c>
      <c r="F5392">
        <v>1155</v>
      </c>
      <c r="G5392" t="s">
        <v>8</v>
      </c>
      <c r="H5392">
        <v>2155</v>
      </c>
      <c r="I5392" t="s">
        <v>8</v>
      </c>
      <c r="J5392">
        <v>3256</v>
      </c>
      <c r="K5392" t="s">
        <v>819</v>
      </c>
      <c r="L5392">
        <v>4260</v>
      </c>
      <c r="M5392" t="s">
        <v>2051</v>
      </c>
      <c r="N5392" t="s">
        <v>721</v>
      </c>
      <c r="O5392">
        <v>54</v>
      </c>
      <c r="P5392">
        <v>8323</v>
      </c>
      <c r="Q5392" t="s">
        <v>2030</v>
      </c>
      <c r="R5392" t="s">
        <v>713</v>
      </c>
      <c r="S5392">
        <v>4</v>
      </c>
      <c r="T5392">
        <v>1</v>
      </c>
      <c r="U5392">
        <v>51.4</v>
      </c>
      <c r="V5392">
        <v>427648</v>
      </c>
    </row>
    <row r="5393" spans="1:22">
      <c r="A5393" t="s">
        <v>196</v>
      </c>
      <c r="B5393">
        <v>84</v>
      </c>
      <c r="C5393" t="s">
        <v>1762</v>
      </c>
      <c r="D5393">
        <v>310</v>
      </c>
      <c r="E5393" t="s">
        <v>2037</v>
      </c>
      <c r="F5393">
        <v>1155</v>
      </c>
      <c r="G5393" t="s">
        <v>8</v>
      </c>
      <c r="H5393">
        <v>2155</v>
      </c>
      <c r="I5393" t="s">
        <v>8</v>
      </c>
      <c r="J5393">
        <v>3256</v>
      </c>
      <c r="K5393" t="s">
        <v>819</v>
      </c>
      <c r="L5393">
        <v>4260</v>
      </c>
      <c r="M5393" t="s">
        <v>2051</v>
      </c>
      <c r="N5393" t="s">
        <v>721</v>
      </c>
      <c r="O5393">
        <v>33</v>
      </c>
      <c r="P5393">
        <v>8258</v>
      </c>
      <c r="Q5393" t="s">
        <v>2052</v>
      </c>
      <c r="R5393" t="s">
        <v>713</v>
      </c>
      <c r="S5393">
        <v>1</v>
      </c>
      <c r="T5393">
        <v>1</v>
      </c>
      <c r="U5393">
        <v>55.6</v>
      </c>
      <c r="V5393">
        <v>115648</v>
      </c>
    </row>
    <row r="5394" spans="1:22">
      <c r="A5394" t="s">
        <v>196</v>
      </c>
      <c r="B5394">
        <v>84</v>
      </c>
      <c r="C5394" t="s">
        <v>1762</v>
      </c>
      <c r="D5394">
        <v>310</v>
      </c>
      <c r="E5394" t="s">
        <v>2037</v>
      </c>
      <c r="F5394">
        <v>1155</v>
      </c>
      <c r="G5394" t="s">
        <v>8</v>
      </c>
      <c r="H5394">
        <v>2155</v>
      </c>
      <c r="I5394" t="s">
        <v>8</v>
      </c>
      <c r="J5394">
        <v>3256</v>
      </c>
      <c r="K5394" t="s">
        <v>819</v>
      </c>
      <c r="L5394">
        <v>4260</v>
      </c>
      <c r="M5394" t="s">
        <v>2051</v>
      </c>
      <c r="N5394" t="s">
        <v>721</v>
      </c>
      <c r="O5394">
        <v>54</v>
      </c>
      <c r="P5394">
        <v>8255</v>
      </c>
      <c r="Q5394" t="s">
        <v>2053</v>
      </c>
      <c r="R5394" t="s">
        <v>713</v>
      </c>
      <c r="S5394">
        <v>2</v>
      </c>
      <c r="T5394">
        <v>1</v>
      </c>
      <c r="U5394">
        <v>55.79</v>
      </c>
      <c r="V5394">
        <v>232086</v>
      </c>
    </row>
    <row r="5395" spans="1:22">
      <c r="A5395" t="s">
        <v>196</v>
      </c>
      <c r="B5395">
        <v>84</v>
      </c>
      <c r="C5395" t="s">
        <v>1762</v>
      </c>
      <c r="D5395">
        <v>310</v>
      </c>
      <c r="E5395" t="s">
        <v>2037</v>
      </c>
      <c r="F5395">
        <v>1155</v>
      </c>
      <c r="G5395" t="s">
        <v>8</v>
      </c>
      <c r="H5395">
        <v>2155</v>
      </c>
      <c r="I5395" t="s">
        <v>8</v>
      </c>
      <c r="J5395">
        <v>3256</v>
      </c>
      <c r="K5395" t="s">
        <v>819</v>
      </c>
      <c r="L5395">
        <v>4260</v>
      </c>
      <c r="M5395" t="s">
        <v>2051</v>
      </c>
      <c r="N5395" t="s">
        <v>721</v>
      </c>
      <c r="O5395">
        <v>54</v>
      </c>
      <c r="P5395">
        <v>8249</v>
      </c>
      <c r="Q5395" t="s">
        <v>2032</v>
      </c>
      <c r="R5395" t="s">
        <v>713</v>
      </c>
      <c r="S5395">
        <v>5</v>
      </c>
      <c r="T5395">
        <v>1</v>
      </c>
      <c r="U5395">
        <v>52.3</v>
      </c>
      <c r="V5395">
        <v>543920</v>
      </c>
    </row>
    <row r="5396" spans="1:22">
      <c r="A5396" t="s">
        <v>196</v>
      </c>
      <c r="B5396">
        <v>84</v>
      </c>
      <c r="C5396" t="s">
        <v>1762</v>
      </c>
      <c r="D5396">
        <v>310</v>
      </c>
      <c r="E5396" t="s">
        <v>2037</v>
      </c>
      <c r="F5396">
        <v>1155</v>
      </c>
      <c r="G5396" t="s">
        <v>8</v>
      </c>
      <c r="H5396">
        <v>2155</v>
      </c>
      <c r="I5396" t="s">
        <v>8</v>
      </c>
      <c r="J5396">
        <v>3256</v>
      </c>
      <c r="K5396" t="s">
        <v>819</v>
      </c>
      <c r="L5396">
        <v>4260</v>
      </c>
      <c r="M5396" t="s">
        <v>2051</v>
      </c>
      <c r="N5396" t="s">
        <v>721</v>
      </c>
      <c r="O5396">
        <v>42</v>
      </c>
      <c r="P5396">
        <v>7635</v>
      </c>
      <c r="Q5396" t="s">
        <v>1739</v>
      </c>
      <c r="R5396" t="s">
        <v>713</v>
      </c>
      <c r="S5396">
        <v>1</v>
      </c>
      <c r="T5396">
        <v>1</v>
      </c>
      <c r="U5396">
        <v>68.8</v>
      </c>
      <c r="V5396">
        <v>143104</v>
      </c>
    </row>
    <row r="5397" spans="1:22">
      <c r="A5397" t="s">
        <v>196</v>
      </c>
      <c r="B5397">
        <v>84</v>
      </c>
      <c r="C5397" t="s">
        <v>1762</v>
      </c>
      <c r="D5397">
        <v>310</v>
      </c>
      <c r="E5397" t="s">
        <v>2037</v>
      </c>
      <c r="F5397">
        <v>1155</v>
      </c>
      <c r="G5397" t="s">
        <v>8</v>
      </c>
      <c r="H5397">
        <v>2155</v>
      </c>
      <c r="I5397" t="s">
        <v>8</v>
      </c>
      <c r="J5397">
        <v>3256</v>
      </c>
      <c r="K5397" t="s">
        <v>819</v>
      </c>
      <c r="L5397">
        <v>4260</v>
      </c>
      <c r="M5397" t="s">
        <v>2051</v>
      </c>
      <c r="N5397" t="s">
        <v>721</v>
      </c>
      <c r="O5397">
        <v>42</v>
      </c>
      <c r="P5397">
        <v>7633</v>
      </c>
      <c r="Q5397" t="s">
        <v>1740</v>
      </c>
      <c r="R5397" t="s">
        <v>713</v>
      </c>
      <c r="S5397">
        <v>5</v>
      </c>
      <c r="T5397">
        <v>1</v>
      </c>
      <c r="U5397">
        <v>64.8</v>
      </c>
      <c r="V5397">
        <v>673920</v>
      </c>
    </row>
    <row r="5398" spans="1:22">
      <c r="A5398" t="s">
        <v>196</v>
      </c>
      <c r="B5398">
        <v>84</v>
      </c>
      <c r="C5398" t="s">
        <v>1762</v>
      </c>
      <c r="D5398">
        <v>310</v>
      </c>
      <c r="E5398" t="s">
        <v>2037</v>
      </c>
      <c r="F5398">
        <v>1155</v>
      </c>
      <c r="G5398" t="s">
        <v>8</v>
      </c>
      <c r="H5398">
        <v>2155</v>
      </c>
      <c r="I5398" t="s">
        <v>8</v>
      </c>
      <c r="J5398">
        <v>3256</v>
      </c>
      <c r="K5398" t="s">
        <v>819</v>
      </c>
      <c r="L5398">
        <v>4260</v>
      </c>
      <c r="M5398" t="s">
        <v>2051</v>
      </c>
      <c r="N5398" t="s">
        <v>721</v>
      </c>
      <c r="O5398">
        <v>8</v>
      </c>
      <c r="P5398">
        <v>7183</v>
      </c>
      <c r="Q5398" t="s">
        <v>986</v>
      </c>
      <c r="R5398" t="s">
        <v>713</v>
      </c>
      <c r="S5398">
        <v>2</v>
      </c>
      <c r="T5398">
        <v>1</v>
      </c>
      <c r="U5398">
        <v>48.73</v>
      </c>
      <c r="V5398">
        <v>202717</v>
      </c>
    </row>
    <row r="5399" spans="1:22">
      <c r="A5399" t="s">
        <v>196</v>
      </c>
      <c r="B5399">
        <v>84</v>
      </c>
      <c r="C5399" t="s">
        <v>1762</v>
      </c>
      <c r="D5399">
        <v>310</v>
      </c>
      <c r="E5399" t="s">
        <v>2037</v>
      </c>
      <c r="F5399">
        <v>1155</v>
      </c>
      <c r="G5399" t="s">
        <v>8</v>
      </c>
      <c r="H5399">
        <v>2155</v>
      </c>
      <c r="I5399" t="s">
        <v>8</v>
      </c>
      <c r="J5399">
        <v>3256</v>
      </c>
      <c r="K5399" t="s">
        <v>819</v>
      </c>
      <c r="L5399">
        <v>4260</v>
      </c>
      <c r="M5399" t="s">
        <v>2051</v>
      </c>
      <c r="N5399" t="s">
        <v>721</v>
      </c>
      <c r="O5399">
        <v>33</v>
      </c>
      <c r="P5399">
        <v>4437</v>
      </c>
      <c r="Q5399" t="s">
        <v>2036</v>
      </c>
      <c r="R5399" t="s">
        <v>713</v>
      </c>
      <c r="S5399">
        <v>10</v>
      </c>
      <c r="T5399">
        <v>1</v>
      </c>
      <c r="U5399">
        <v>55.1</v>
      </c>
      <c r="V5399">
        <v>1146080</v>
      </c>
    </row>
    <row r="5400" spans="1:22">
      <c r="A5400" t="s">
        <v>196</v>
      </c>
      <c r="B5400">
        <v>84</v>
      </c>
      <c r="C5400" t="s">
        <v>1762</v>
      </c>
      <c r="D5400">
        <v>310</v>
      </c>
      <c r="E5400" t="s">
        <v>2037</v>
      </c>
      <c r="F5400">
        <v>1155</v>
      </c>
      <c r="G5400" t="s">
        <v>8</v>
      </c>
      <c r="H5400">
        <v>2155</v>
      </c>
      <c r="I5400" t="s">
        <v>8</v>
      </c>
      <c r="J5400">
        <v>3256</v>
      </c>
      <c r="K5400" t="s">
        <v>819</v>
      </c>
      <c r="L5400">
        <v>4260</v>
      </c>
      <c r="M5400" t="s">
        <v>2051</v>
      </c>
      <c r="N5400" t="s">
        <v>721</v>
      </c>
      <c r="O5400">
        <v>33</v>
      </c>
      <c r="P5400">
        <v>4435</v>
      </c>
      <c r="Q5400" t="s">
        <v>2035</v>
      </c>
      <c r="R5400" t="s">
        <v>713</v>
      </c>
      <c r="S5400">
        <v>3</v>
      </c>
      <c r="T5400">
        <v>1</v>
      </c>
      <c r="U5400">
        <v>53.1</v>
      </c>
      <c r="V5400">
        <v>331344</v>
      </c>
    </row>
    <row r="5401" spans="1:22">
      <c r="A5401" t="s">
        <v>196</v>
      </c>
      <c r="B5401">
        <v>84</v>
      </c>
      <c r="C5401" t="s">
        <v>1762</v>
      </c>
      <c r="D5401">
        <v>310</v>
      </c>
      <c r="E5401" t="s">
        <v>2037</v>
      </c>
      <c r="F5401">
        <v>1155</v>
      </c>
      <c r="G5401" t="s">
        <v>8</v>
      </c>
      <c r="H5401">
        <v>2155</v>
      </c>
      <c r="I5401" t="s">
        <v>8</v>
      </c>
      <c r="J5401">
        <v>3256</v>
      </c>
      <c r="K5401" t="s">
        <v>819</v>
      </c>
      <c r="L5401">
        <v>4260</v>
      </c>
      <c r="M5401" t="s">
        <v>2051</v>
      </c>
      <c r="N5401" t="s">
        <v>721</v>
      </c>
      <c r="O5401">
        <v>33</v>
      </c>
      <c r="P5401">
        <v>4434</v>
      </c>
      <c r="Q5401" t="s">
        <v>2054</v>
      </c>
      <c r="R5401" t="s">
        <v>713</v>
      </c>
      <c r="S5401">
        <v>4</v>
      </c>
      <c r="T5401">
        <v>1</v>
      </c>
      <c r="U5401">
        <v>42.48</v>
      </c>
      <c r="V5401">
        <v>353434</v>
      </c>
    </row>
    <row r="5402" spans="1:22">
      <c r="A5402" t="s">
        <v>196</v>
      </c>
      <c r="B5402">
        <v>84</v>
      </c>
      <c r="C5402" t="s">
        <v>1762</v>
      </c>
      <c r="D5402">
        <v>310</v>
      </c>
      <c r="E5402" t="s">
        <v>2037</v>
      </c>
      <c r="F5402">
        <v>1155</v>
      </c>
      <c r="G5402" t="s">
        <v>8</v>
      </c>
      <c r="H5402">
        <v>2155</v>
      </c>
      <c r="I5402" t="s">
        <v>8</v>
      </c>
      <c r="J5402">
        <v>3256</v>
      </c>
      <c r="K5402" t="s">
        <v>819</v>
      </c>
      <c r="L5402">
        <v>4260</v>
      </c>
      <c r="M5402" t="s">
        <v>2051</v>
      </c>
      <c r="N5402" t="s">
        <v>1724</v>
      </c>
      <c r="O5402">
        <v>54</v>
      </c>
      <c r="P5402">
        <v>427</v>
      </c>
      <c r="Q5402" t="s">
        <v>2055</v>
      </c>
      <c r="R5402" t="s">
        <v>201</v>
      </c>
      <c r="S5402">
        <v>1</v>
      </c>
      <c r="T5402">
        <v>1</v>
      </c>
      <c r="U5402">
        <v>78432</v>
      </c>
      <c r="V5402">
        <v>78432</v>
      </c>
    </row>
    <row r="5403" spans="1:22">
      <c r="A5403" t="s">
        <v>196</v>
      </c>
      <c r="B5403">
        <v>84</v>
      </c>
      <c r="C5403" t="s">
        <v>1762</v>
      </c>
      <c r="D5403">
        <v>310</v>
      </c>
      <c r="E5403" t="s">
        <v>2037</v>
      </c>
      <c r="F5403">
        <v>1155</v>
      </c>
      <c r="G5403" t="s">
        <v>8</v>
      </c>
      <c r="H5403">
        <v>2155</v>
      </c>
      <c r="I5403" t="s">
        <v>8</v>
      </c>
      <c r="J5403">
        <v>3256</v>
      </c>
      <c r="K5403" t="s">
        <v>819</v>
      </c>
      <c r="L5403">
        <v>4260</v>
      </c>
      <c r="M5403" t="s">
        <v>2051</v>
      </c>
      <c r="N5403" t="s">
        <v>1724</v>
      </c>
      <c r="O5403">
        <v>54</v>
      </c>
      <c r="P5403">
        <v>427</v>
      </c>
      <c r="Q5403" t="s">
        <v>2055</v>
      </c>
      <c r="R5403" t="s">
        <v>201</v>
      </c>
      <c r="S5403">
        <v>1</v>
      </c>
      <c r="T5403">
        <v>1</v>
      </c>
      <c r="U5403">
        <v>58728</v>
      </c>
      <c r="V5403">
        <v>58728</v>
      </c>
    </row>
    <row r="5404" spans="1:22">
      <c r="A5404" t="s">
        <v>196</v>
      </c>
      <c r="B5404">
        <v>84</v>
      </c>
      <c r="C5404" t="s">
        <v>1762</v>
      </c>
      <c r="D5404">
        <v>310</v>
      </c>
      <c r="E5404" t="s">
        <v>2037</v>
      </c>
      <c r="F5404">
        <v>1155</v>
      </c>
      <c r="G5404" t="s">
        <v>8</v>
      </c>
      <c r="H5404">
        <v>2155</v>
      </c>
      <c r="I5404" t="s">
        <v>8</v>
      </c>
      <c r="J5404">
        <v>3256</v>
      </c>
      <c r="K5404" t="s">
        <v>819</v>
      </c>
      <c r="L5404">
        <v>4260</v>
      </c>
      <c r="M5404" t="s">
        <v>2051</v>
      </c>
      <c r="N5404" t="s">
        <v>199</v>
      </c>
      <c r="O5404">
        <v>0</v>
      </c>
      <c r="P5404">
        <v>15</v>
      </c>
      <c r="Q5404" t="s">
        <v>264</v>
      </c>
      <c r="R5404" t="s">
        <v>201</v>
      </c>
      <c r="S5404">
        <v>0</v>
      </c>
      <c r="T5404">
        <v>0</v>
      </c>
      <c r="U5404">
        <v>2157</v>
      </c>
      <c r="V5404">
        <v>2157</v>
      </c>
    </row>
    <row r="5405" spans="1:22">
      <c r="A5405" t="s">
        <v>196</v>
      </c>
      <c r="B5405">
        <v>84</v>
      </c>
      <c r="C5405" t="s">
        <v>1762</v>
      </c>
      <c r="D5405">
        <v>310</v>
      </c>
      <c r="E5405" t="s">
        <v>2037</v>
      </c>
      <c r="F5405">
        <v>1155</v>
      </c>
      <c r="G5405" t="s">
        <v>8</v>
      </c>
      <c r="H5405">
        <v>2155</v>
      </c>
      <c r="I5405" t="s">
        <v>8</v>
      </c>
      <c r="J5405">
        <v>3256</v>
      </c>
      <c r="K5405" t="s">
        <v>819</v>
      </c>
      <c r="L5405">
        <v>4260</v>
      </c>
      <c r="M5405" t="s">
        <v>2051</v>
      </c>
      <c r="N5405" t="s">
        <v>199</v>
      </c>
      <c r="O5405">
        <v>0</v>
      </c>
      <c r="P5405">
        <v>12</v>
      </c>
      <c r="Q5405" t="s">
        <v>724</v>
      </c>
      <c r="R5405" t="s">
        <v>201</v>
      </c>
      <c r="S5405">
        <v>0</v>
      </c>
      <c r="T5405">
        <v>0</v>
      </c>
      <c r="U5405">
        <v>85002</v>
      </c>
      <c r="V5405">
        <v>85002</v>
      </c>
    </row>
    <row r="5406" spans="1:22">
      <c r="A5406" t="s">
        <v>196</v>
      </c>
      <c r="B5406">
        <v>84</v>
      </c>
      <c r="C5406" t="s">
        <v>1762</v>
      </c>
      <c r="D5406">
        <v>310</v>
      </c>
      <c r="E5406" t="s">
        <v>2037</v>
      </c>
      <c r="F5406">
        <v>1155</v>
      </c>
      <c r="G5406" t="s">
        <v>8</v>
      </c>
      <c r="H5406">
        <v>2155</v>
      </c>
      <c r="I5406" t="s">
        <v>8</v>
      </c>
      <c r="J5406">
        <v>3256</v>
      </c>
      <c r="K5406" t="s">
        <v>819</v>
      </c>
      <c r="L5406">
        <v>4262</v>
      </c>
      <c r="M5406" t="s">
        <v>1827</v>
      </c>
      <c r="N5406" t="s">
        <v>721</v>
      </c>
      <c r="O5406">
        <v>53</v>
      </c>
      <c r="P5406">
        <v>9411</v>
      </c>
      <c r="Q5406" t="s">
        <v>1940</v>
      </c>
      <c r="R5406" t="s">
        <v>713</v>
      </c>
      <c r="S5406">
        <v>17</v>
      </c>
      <c r="T5406">
        <v>1</v>
      </c>
      <c r="U5406">
        <v>51.4</v>
      </c>
      <c r="V5406">
        <v>1817504</v>
      </c>
    </row>
    <row r="5407" spans="1:22">
      <c r="A5407" t="s">
        <v>196</v>
      </c>
      <c r="B5407">
        <v>84</v>
      </c>
      <c r="C5407" t="s">
        <v>1762</v>
      </c>
      <c r="D5407">
        <v>310</v>
      </c>
      <c r="E5407" t="s">
        <v>2037</v>
      </c>
      <c r="F5407">
        <v>1155</v>
      </c>
      <c r="G5407" t="s">
        <v>8</v>
      </c>
      <c r="H5407">
        <v>2155</v>
      </c>
      <c r="I5407" t="s">
        <v>8</v>
      </c>
      <c r="J5407">
        <v>3256</v>
      </c>
      <c r="K5407" t="s">
        <v>819</v>
      </c>
      <c r="L5407">
        <v>4262</v>
      </c>
      <c r="M5407" t="s">
        <v>1827</v>
      </c>
      <c r="N5407" t="s">
        <v>721</v>
      </c>
      <c r="O5407">
        <v>53</v>
      </c>
      <c r="P5407">
        <v>8246</v>
      </c>
      <c r="Q5407" t="s">
        <v>1933</v>
      </c>
      <c r="R5407" t="s">
        <v>713</v>
      </c>
      <c r="S5407">
        <v>3</v>
      </c>
      <c r="T5407">
        <v>1</v>
      </c>
      <c r="U5407">
        <v>52.5</v>
      </c>
      <c r="V5407">
        <v>327600</v>
      </c>
    </row>
    <row r="5408" spans="1:22">
      <c r="A5408" t="s">
        <v>196</v>
      </c>
      <c r="B5408">
        <v>84</v>
      </c>
      <c r="C5408" t="s">
        <v>1762</v>
      </c>
      <c r="D5408">
        <v>310</v>
      </c>
      <c r="E5408" t="s">
        <v>2037</v>
      </c>
      <c r="F5408">
        <v>1155</v>
      </c>
      <c r="G5408" t="s">
        <v>8</v>
      </c>
      <c r="H5408">
        <v>2155</v>
      </c>
      <c r="I5408" t="s">
        <v>8</v>
      </c>
      <c r="J5408">
        <v>3256</v>
      </c>
      <c r="K5408" t="s">
        <v>819</v>
      </c>
      <c r="L5408">
        <v>4262</v>
      </c>
      <c r="M5408" t="s">
        <v>1827</v>
      </c>
      <c r="N5408" t="s">
        <v>731</v>
      </c>
      <c r="O5408">
        <v>10</v>
      </c>
      <c r="P5408">
        <v>8185</v>
      </c>
      <c r="Q5408" t="s">
        <v>1701</v>
      </c>
      <c r="R5408" t="s">
        <v>201</v>
      </c>
      <c r="S5408">
        <v>1</v>
      </c>
      <c r="T5408">
        <v>1</v>
      </c>
      <c r="U5408">
        <v>112440</v>
      </c>
      <c r="V5408">
        <v>112440</v>
      </c>
    </row>
    <row r="5409" spans="1:22">
      <c r="A5409" t="s">
        <v>196</v>
      </c>
      <c r="B5409">
        <v>84</v>
      </c>
      <c r="C5409" t="s">
        <v>1762</v>
      </c>
      <c r="D5409">
        <v>310</v>
      </c>
      <c r="E5409" t="s">
        <v>2037</v>
      </c>
      <c r="F5409">
        <v>1155</v>
      </c>
      <c r="G5409" t="s">
        <v>8</v>
      </c>
      <c r="H5409">
        <v>2155</v>
      </c>
      <c r="I5409" t="s">
        <v>8</v>
      </c>
      <c r="J5409">
        <v>3256</v>
      </c>
      <c r="K5409" t="s">
        <v>819</v>
      </c>
      <c r="L5409">
        <v>4262</v>
      </c>
      <c r="M5409" t="s">
        <v>1827</v>
      </c>
      <c r="N5409" t="s">
        <v>721</v>
      </c>
      <c r="O5409">
        <v>42</v>
      </c>
      <c r="P5409">
        <v>7636</v>
      </c>
      <c r="Q5409" t="s">
        <v>1947</v>
      </c>
      <c r="R5409" t="s">
        <v>712</v>
      </c>
      <c r="S5409">
        <v>1</v>
      </c>
      <c r="T5409">
        <v>1</v>
      </c>
      <c r="U5409">
        <v>12055.33</v>
      </c>
      <c r="V5409">
        <v>144664</v>
      </c>
    </row>
    <row r="5410" spans="1:22">
      <c r="A5410" t="s">
        <v>196</v>
      </c>
      <c r="B5410">
        <v>84</v>
      </c>
      <c r="C5410" t="s">
        <v>1762</v>
      </c>
      <c r="D5410">
        <v>310</v>
      </c>
      <c r="E5410" t="s">
        <v>2037</v>
      </c>
      <c r="F5410">
        <v>1155</v>
      </c>
      <c r="G5410" t="s">
        <v>8</v>
      </c>
      <c r="H5410">
        <v>2155</v>
      </c>
      <c r="I5410" t="s">
        <v>8</v>
      </c>
      <c r="J5410">
        <v>3256</v>
      </c>
      <c r="K5410" t="s">
        <v>819</v>
      </c>
      <c r="L5410">
        <v>4262</v>
      </c>
      <c r="M5410" t="s">
        <v>1827</v>
      </c>
      <c r="N5410" t="s">
        <v>721</v>
      </c>
      <c r="O5410">
        <v>42</v>
      </c>
      <c r="P5410">
        <v>7633</v>
      </c>
      <c r="Q5410" t="s">
        <v>1740</v>
      </c>
      <c r="R5410" t="s">
        <v>713</v>
      </c>
      <c r="S5410">
        <v>7</v>
      </c>
      <c r="T5410">
        <v>1</v>
      </c>
      <c r="U5410">
        <v>64.8</v>
      </c>
      <c r="V5410">
        <v>943488</v>
      </c>
    </row>
    <row r="5411" spans="1:22">
      <c r="A5411" t="s">
        <v>196</v>
      </c>
      <c r="B5411">
        <v>84</v>
      </c>
      <c r="C5411" t="s">
        <v>1762</v>
      </c>
      <c r="D5411">
        <v>310</v>
      </c>
      <c r="E5411" t="s">
        <v>2037</v>
      </c>
      <c r="F5411">
        <v>1155</v>
      </c>
      <c r="G5411" t="s">
        <v>8</v>
      </c>
      <c r="H5411">
        <v>2155</v>
      </c>
      <c r="I5411" t="s">
        <v>8</v>
      </c>
      <c r="J5411">
        <v>3256</v>
      </c>
      <c r="K5411" t="s">
        <v>819</v>
      </c>
      <c r="L5411">
        <v>4262</v>
      </c>
      <c r="M5411" t="s">
        <v>1827</v>
      </c>
      <c r="N5411" t="s">
        <v>721</v>
      </c>
      <c r="O5411">
        <v>8</v>
      </c>
      <c r="P5411">
        <v>7185</v>
      </c>
      <c r="Q5411" t="s">
        <v>1039</v>
      </c>
      <c r="R5411" t="s">
        <v>713</v>
      </c>
      <c r="S5411">
        <v>1</v>
      </c>
      <c r="T5411">
        <v>1</v>
      </c>
      <c r="U5411">
        <v>52.38</v>
      </c>
      <c r="V5411">
        <v>108950</v>
      </c>
    </row>
    <row r="5412" spans="1:22">
      <c r="A5412" t="s">
        <v>196</v>
      </c>
      <c r="B5412">
        <v>84</v>
      </c>
      <c r="C5412" t="s">
        <v>1762</v>
      </c>
      <c r="D5412">
        <v>310</v>
      </c>
      <c r="E5412" t="s">
        <v>2037</v>
      </c>
      <c r="F5412">
        <v>1155</v>
      </c>
      <c r="G5412" t="s">
        <v>8</v>
      </c>
      <c r="H5412">
        <v>2155</v>
      </c>
      <c r="I5412" t="s">
        <v>8</v>
      </c>
      <c r="J5412">
        <v>3256</v>
      </c>
      <c r="K5412" t="s">
        <v>819</v>
      </c>
      <c r="L5412">
        <v>4262</v>
      </c>
      <c r="M5412" t="s">
        <v>1827</v>
      </c>
      <c r="N5412" t="s">
        <v>721</v>
      </c>
      <c r="O5412">
        <v>8</v>
      </c>
      <c r="P5412">
        <v>7183</v>
      </c>
      <c r="Q5412" t="s">
        <v>986</v>
      </c>
      <c r="R5412" t="s">
        <v>713</v>
      </c>
      <c r="S5412">
        <v>1</v>
      </c>
      <c r="T5412">
        <v>1</v>
      </c>
      <c r="U5412">
        <v>48.73</v>
      </c>
      <c r="V5412">
        <v>101358</v>
      </c>
    </row>
    <row r="5413" spans="1:22">
      <c r="A5413" t="s">
        <v>196</v>
      </c>
      <c r="B5413">
        <v>84</v>
      </c>
      <c r="C5413" t="s">
        <v>1762</v>
      </c>
      <c r="D5413">
        <v>310</v>
      </c>
      <c r="E5413" t="s">
        <v>2037</v>
      </c>
      <c r="F5413">
        <v>1155</v>
      </c>
      <c r="G5413" t="s">
        <v>8</v>
      </c>
      <c r="H5413">
        <v>2155</v>
      </c>
      <c r="I5413" t="s">
        <v>8</v>
      </c>
      <c r="J5413">
        <v>3256</v>
      </c>
      <c r="K5413" t="s">
        <v>819</v>
      </c>
      <c r="L5413">
        <v>4262</v>
      </c>
      <c r="M5413" t="s">
        <v>1827</v>
      </c>
      <c r="N5413" t="s">
        <v>721</v>
      </c>
      <c r="O5413">
        <v>36</v>
      </c>
      <c r="P5413">
        <v>6680</v>
      </c>
      <c r="Q5413" t="s">
        <v>2056</v>
      </c>
      <c r="R5413" t="s">
        <v>712</v>
      </c>
      <c r="S5413">
        <v>1</v>
      </c>
      <c r="T5413">
        <v>1</v>
      </c>
      <c r="U5413">
        <v>11334.27</v>
      </c>
      <c r="V5413">
        <v>136011</v>
      </c>
    </row>
    <row r="5414" spans="1:22">
      <c r="A5414" t="s">
        <v>196</v>
      </c>
      <c r="B5414">
        <v>84</v>
      </c>
      <c r="C5414" t="s">
        <v>1762</v>
      </c>
      <c r="D5414">
        <v>310</v>
      </c>
      <c r="E5414" t="s">
        <v>2037</v>
      </c>
      <c r="F5414">
        <v>1155</v>
      </c>
      <c r="G5414" t="s">
        <v>8</v>
      </c>
      <c r="H5414">
        <v>2155</v>
      </c>
      <c r="I5414" t="s">
        <v>8</v>
      </c>
      <c r="J5414">
        <v>3256</v>
      </c>
      <c r="K5414" t="s">
        <v>819</v>
      </c>
      <c r="L5414">
        <v>4262</v>
      </c>
      <c r="M5414" t="s">
        <v>1827</v>
      </c>
      <c r="N5414" t="s">
        <v>721</v>
      </c>
      <c r="O5414">
        <v>32</v>
      </c>
      <c r="P5414">
        <v>5035</v>
      </c>
      <c r="Q5414" t="s">
        <v>967</v>
      </c>
      <c r="R5414" t="s">
        <v>713</v>
      </c>
      <c r="S5414">
        <v>1</v>
      </c>
      <c r="T5414">
        <v>1</v>
      </c>
      <c r="U5414">
        <v>57.75</v>
      </c>
      <c r="V5414">
        <v>120120</v>
      </c>
    </row>
    <row r="5415" spans="1:22">
      <c r="A5415" t="s">
        <v>196</v>
      </c>
      <c r="B5415">
        <v>84</v>
      </c>
      <c r="C5415" t="s">
        <v>1762</v>
      </c>
      <c r="D5415">
        <v>310</v>
      </c>
      <c r="E5415" t="s">
        <v>2037</v>
      </c>
      <c r="F5415">
        <v>1155</v>
      </c>
      <c r="G5415" t="s">
        <v>8</v>
      </c>
      <c r="H5415">
        <v>2155</v>
      </c>
      <c r="I5415" t="s">
        <v>8</v>
      </c>
      <c r="J5415">
        <v>3256</v>
      </c>
      <c r="K5415" t="s">
        <v>819</v>
      </c>
      <c r="L5415">
        <v>4262</v>
      </c>
      <c r="M5415" t="s">
        <v>1827</v>
      </c>
      <c r="N5415" t="s">
        <v>721</v>
      </c>
      <c r="O5415">
        <v>41</v>
      </c>
      <c r="P5415">
        <v>4856</v>
      </c>
      <c r="Q5415" t="s">
        <v>968</v>
      </c>
      <c r="R5415" t="s">
        <v>713</v>
      </c>
      <c r="S5415">
        <v>1</v>
      </c>
      <c r="T5415">
        <v>1</v>
      </c>
      <c r="U5415">
        <v>58.95</v>
      </c>
      <c r="V5415">
        <v>122616</v>
      </c>
    </row>
    <row r="5416" spans="1:22">
      <c r="A5416" t="s">
        <v>196</v>
      </c>
      <c r="B5416">
        <v>84</v>
      </c>
      <c r="C5416" t="s">
        <v>1762</v>
      </c>
      <c r="D5416">
        <v>310</v>
      </c>
      <c r="E5416" t="s">
        <v>2037</v>
      </c>
      <c r="F5416">
        <v>1155</v>
      </c>
      <c r="G5416" t="s">
        <v>8</v>
      </c>
      <c r="H5416">
        <v>2155</v>
      </c>
      <c r="I5416" t="s">
        <v>8</v>
      </c>
      <c r="J5416">
        <v>3256</v>
      </c>
      <c r="K5416" t="s">
        <v>819</v>
      </c>
      <c r="L5416">
        <v>4262</v>
      </c>
      <c r="M5416" t="s">
        <v>1827</v>
      </c>
      <c r="N5416" t="s">
        <v>721</v>
      </c>
      <c r="O5416">
        <v>41</v>
      </c>
      <c r="P5416">
        <v>4855</v>
      </c>
      <c r="Q5416" t="s">
        <v>969</v>
      </c>
      <c r="R5416" t="s">
        <v>713</v>
      </c>
      <c r="S5416">
        <v>2</v>
      </c>
      <c r="T5416">
        <v>1</v>
      </c>
      <c r="U5416">
        <v>54.58</v>
      </c>
      <c r="V5416">
        <v>227053</v>
      </c>
    </row>
    <row r="5417" spans="1:22">
      <c r="A5417" t="s">
        <v>196</v>
      </c>
      <c r="B5417">
        <v>84</v>
      </c>
      <c r="C5417" t="s">
        <v>1762</v>
      </c>
      <c r="D5417">
        <v>310</v>
      </c>
      <c r="E5417" t="s">
        <v>2037</v>
      </c>
      <c r="F5417">
        <v>1155</v>
      </c>
      <c r="G5417" t="s">
        <v>8</v>
      </c>
      <c r="H5417">
        <v>2155</v>
      </c>
      <c r="I5417" t="s">
        <v>8</v>
      </c>
      <c r="J5417">
        <v>3256</v>
      </c>
      <c r="K5417" t="s">
        <v>819</v>
      </c>
      <c r="L5417">
        <v>4262</v>
      </c>
      <c r="M5417" t="s">
        <v>1827</v>
      </c>
      <c r="N5417" t="s">
        <v>721</v>
      </c>
      <c r="O5417">
        <v>46</v>
      </c>
      <c r="P5417">
        <v>4838</v>
      </c>
      <c r="Q5417" t="s">
        <v>2057</v>
      </c>
      <c r="R5417" t="s">
        <v>712</v>
      </c>
      <c r="S5417">
        <v>1</v>
      </c>
      <c r="T5417">
        <v>1</v>
      </c>
      <c r="U5417">
        <v>11779.73</v>
      </c>
      <c r="V5417">
        <v>141357</v>
      </c>
    </row>
    <row r="5418" spans="1:22">
      <c r="A5418" t="s">
        <v>196</v>
      </c>
      <c r="B5418">
        <v>84</v>
      </c>
      <c r="C5418" t="s">
        <v>1762</v>
      </c>
      <c r="D5418">
        <v>310</v>
      </c>
      <c r="E5418" t="s">
        <v>2037</v>
      </c>
      <c r="F5418">
        <v>1155</v>
      </c>
      <c r="G5418" t="s">
        <v>8</v>
      </c>
      <c r="H5418">
        <v>2155</v>
      </c>
      <c r="I5418" t="s">
        <v>8</v>
      </c>
      <c r="J5418">
        <v>3256</v>
      </c>
      <c r="K5418" t="s">
        <v>819</v>
      </c>
      <c r="L5418">
        <v>4262</v>
      </c>
      <c r="M5418" t="s">
        <v>1827</v>
      </c>
      <c r="N5418" t="s">
        <v>721</v>
      </c>
      <c r="O5418">
        <v>14</v>
      </c>
      <c r="P5418">
        <v>4776</v>
      </c>
      <c r="Q5418" t="s">
        <v>971</v>
      </c>
      <c r="R5418" t="s">
        <v>713</v>
      </c>
      <c r="S5418">
        <v>1</v>
      </c>
      <c r="T5418">
        <v>1</v>
      </c>
      <c r="U5418">
        <v>57.1</v>
      </c>
      <c r="V5418">
        <v>118768</v>
      </c>
    </row>
    <row r="5419" spans="1:22">
      <c r="A5419" t="s">
        <v>196</v>
      </c>
      <c r="B5419">
        <v>84</v>
      </c>
      <c r="C5419" t="s">
        <v>1762</v>
      </c>
      <c r="D5419">
        <v>310</v>
      </c>
      <c r="E5419" t="s">
        <v>2037</v>
      </c>
      <c r="F5419">
        <v>1155</v>
      </c>
      <c r="G5419" t="s">
        <v>8</v>
      </c>
      <c r="H5419">
        <v>2155</v>
      </c>
      <c r="I5419" t="s">
        <v>8</v>
      </c>
      <c r="J5419">
        <v>3256</v>
      </c>
      <c r="K5419" t="s">
        <v>819</v>
      </c>
      <c r="L5419">
        <v>4262</v>
      </c>
      <c r="M5419" t="s">
        <v>1827</v>
      </c>
      <c r="N5419" t="s">
        <v>721</v>
      </c>
      <c r="O5419">
        <v>14</v>
      </c>
      <c r="P5419">
        <v>4774</v>
      </c>
      <c r="Q5419" t="s">
        <v>972</v>
      </c>
      <c r="R5419" t="s">
        <v>713</v>
      </c>
      <c r="S5419">
        <v>2</v>
      </c>
      <c r="T5419">
        <v>1</v>
      </c>
      <c r="U5419">
        <v>60</v>
      </c>
      <c r="V5419">
        <v>249600</v>
      </c>
    </row>
    <row r="5420" spans="1:22">
      <c r="A5420" t="s">
        <v>196</v>
      </c>
      <c r="B5420">
        <v>84</v>
      </c>
      <c r="C5420" t="s">
        <v>1762</v>
      </c>
      <c r="D5420">
        <v>310</v>
      </c>
      <c r="E5420" t="s">
        <v>2037</v>
      </c>
      <c r="F5420">
        <v>1155</v>
      </c>
      <c r="G5420" t="s">
        <v>8</v>
      </c>
      <c r="H5420">
        <v>2155</v>
      </c>
      <c r="I5420" t="s">
        <v>8</v>
      </c>
      <c r="J5420">
        <v>3256</v>
      </c>
      <c r="K5420" t="s">
        <v>819</v>
      </c>
      <c r="L5420">
        <v>4262</v>
      </c>
      <c r="M5420" t="s">
        <v>1827</v>
      </c>
      <c r="N5420" t="s">
        <v>721</v>
      </c>
      <c r="O5420">
        <v>16</v>
      </c>
      <c r="P5420">
        <v>4756</v>
      </c>
      <c r="Q5420" t="s">
        <v>974</v>
      </c>
      <c r="R5420" t="s">
        <v>713</v>
      </c>
      <c r="S5420">
        <v>1</v>
      </c>
      <c r="T5420">
        <v>1</v>
      </c>
      <c r="U5420">
        <v>64.150000000000006</v>
      </c>
      <c r="V5420">
        <v>133432</v>
      </c>
    </row>
    <row r="5421" spans="1:22">
      <c r="A5421" t="s">
        <v>196</v>
      </c>
      <c r="B5421">
        <v>84</v>
      </c>
      <c r="C5421" t="s">
        <v>1762</v>
      </c>
      <c r="D5421">
        <v>310</v>
      </c>
      <c r="E5421" t="s">
        <v>2037</v>
      </c>
      <c r="F5421">
        <v>1155</v>
      </c>
      <c r="G5421" t="s">
        <v>8</v>
      </c>
      <c r="H5421">
        <v>2155</v>
      </c>
      <c r="I5421" t="s">
        <v>8</v>
      </c>
      <c r="J5421">
        <v>3256</v>
      </c>
      <c r="K5421" t="s">
        <v>819</v>
      </c>
      <c r="L5421">
        <v>4262</v>
      </c>
      <c r="M5421" t="s">
        <v>1827</v>
      </c>
      <c r="N5421" t="s">
        <v>721</v>
      </c>
      <c r="O5421">
        <v>16</v>
      </c>
      <c r="P5421">
        <v>4754</v>
      </c>
      <c r="Q5421" t="s">
        <v>975</v>
      </c>
      <c r="R5421" t="s">
        <v>713</v>
      </c>
      <c r="S5421">
        <v>4</v>
      </c>
      <c r="T5421">
        <v>1</v>
      </c>
      <c r="U5421">
        <v>60.5</v>
      </c>
      <c r="V5421">
        <v>503360</v>
      </c>
    </row>
    <row r="5422" spans="1:22">
      <c r="A5422" t="s">
        <v>196</v>
      </c>
      <c r="B5422">
        <v>84</v>
      </c>
      <c r="C5422" t="s">
        <v>1762</v>
      </c>
      <c r="D5422">
        <v>310</v>
      </c>
      <c r="E5422" t="s">
        <v>2037</v>
      </c>
      <c r="F5422">
        <v>1155</v>
      </c>
      <c r="G5422" t="s">
        <v>8</v>
      </c>
      <c r="H5422">
        <v>2155</v>
      </c>
      <c r="I5422" t="s">
        <v>8</v>
      </c>
      <c r="J5422">
        <v>3256</v>
      </c>
      <c r="K5422" t="s">
        <v>819</v>
      </c>
      <c r="L5422">
        <v>4262</v>
      </c>
      <c r="M5422" t="s">
        <v>1827</v>
      </c>
      <c r="N5422" t="s">
        <v>721</v>
      </c>
      <c r="O5422">
        <v>53</v>
      </c>
      <c r="P5422">
        <v>4566</v>
      </c>
      <c r="Q5422" t="s">
        <v>1950</v>
      </c>
      <c r="R5422" t="s">
        <v>713</v>
      </c>
      <c r="S5422">
        <v>1</v>
      </c>
      <c r="T5422">
        <v>1</v>
      </c>
      <c r="U5422">
        <v>55.79</v>
      </c>
      <c r="V5422">
        <v>116043</v>
      </c>
    </row>
    <row r="5423" spans="1:22">
      <c r="A5423" t="s">
        <v>196</v>
      </c>
      <c r="B5423">
        <v>84</v>
      </c>
      <c r="C5423" t="s">
        <v>1762</v>
      </c>
      <c r="D5423">
        <v>310</v>
      </c>
      <c r="E5423" t="s">
        <v>2037</v>
      </c>
      <c r="F5423">
        <v>1155</v>
      </c>
      <c r="G5423" t="s">
        <v>8</v>
      </c>
      <c r="H5423">
        <v>2155</v>
      </c>
      <c r="I5423" t="s">
        <v>8</v>
      </c>
      <c r="J5423">
        <v>3256</v>
      </c>
      <c r="K5423" t="s">
        <v>819</v>
      </c>
      <c r="L5423">
        <v>4262</v>
      </c>
      <c r="M5423" t="s">
        <v>1827</v>
      </c>
      <c r="N5423" t="s">
        <v>721</v>
      </c>
      <c r="O5423">
        <v>50</v>
      </c>
      <c r="P5423">
        <v>4526</v>
      </c>
      <c r="Q5423" t="s">
        <v>978</v>
      </c>
      <c r="R5423" t="s">
        <v>712</v>
      </c>
      <c r="S5423">
        <v>2</v>
      </c>
      <c r="T5423">
        <v>1</v>
      </c>
      <c r="U5423">
        <v>11909.73</v>
      </c>
      <c r="V5423">
        <v>285834</v>
      </c>
    </row>
    <row r="5424" spans="1:22">
      <c r="A5424" t="s">
        <v>196</v>
      </c>
      <c r="B5424">
        <v>84</v>
      </c>
      <c r="C5424" t="s">
        <v>1762</v>
      </c>
      <c r="D5424">
        <v>310</v>
      </c>
      <c r="E5424" t="s">
        <v>2037</v>
      </c>
      <c r="F5424">
        <v>1155</v>
      </c>
      <c r="G5424" t="s">
        <v>8</v>
      </c>
      <c r="H5424">
        <v>2155</v>
      </c>
      <c r="I5424" t="s">
        <v>8</v>
      </c>
      <c r="J5424">
        <v>3256</v>
      </c>
      <c r="K5424" t="s">
        <v>819</v>
      </c>
      <c r="L5424">
        <v>4262</v>
      </c>
      <c r="M5424" t="s">
        <v>1827</v>
      </c>
      <c r="N5424" t="s">
        <v>721</v>
      </c>
      <c r="O5424">
        <v>49</v>
      </c>
      <c r="P5424">
        <v>4401</v>
      </c>
      <c r="Q5424" t="s">
        <v>980</v>
      </c>
      <c r="R5424" t="s">
        <v>713</v>
      </c>
      <c r="S5424">
        <v>2773</v>
      </c>
      <c r="T5424">
        <v>0</v>
      </c>
      <c r="U5424">
        <v>53.06</v>
      </c>
      <c r="V5424">
        <v>147135</v>
      </c>
    </row>
    <row r="5425" spans="1:22">
      <c r="A5425" t="s">
        <v>196</v>
      </c>
      <c r="B5425">
        <v>84</v>
      </c>
      <c r="C5425" t="s">
        <v>1762</v>
      </c>
      <c r="D5425">
        <v>310</v>
      </c>
      <c r="E5425" t="s">
        <v>2037</v>
      </c>
      <c r="F5425">
        <v>1155</v>
      </c>
      <c r="G5425" t="s">
        <v>8</v>
      </c>
      <c r="H5425">
        <v>2155</v>
      </c>
      <c r="I5425" t="s">
        <v>8</v>
      </c>
      <c r="J5425">
        <v>3256</v>
      </c>
      <c r="K5425" t="s">
        <v>819</v>
      </c>
      <c r="L5425">
        <v>4262</v>
      </c>
      <c r="M5425" t="s">
        <v>1827</v>
      </c>
      <c r="N5425" t="s">
        <v>721</v>
      </c>
      <c r="O5425">
        <v>49</v>
      </c>
      <c r="P5425">
        <v>4405</v>
      </c>
      <c r="Q5425" t="s">
        <v>1951</v>
      </c>
      <c r="R5425" t="s">
        <v>713</v>
      </c>
      <c r="S5425">
        <v>1</v>
      </c>
      <c r="T5425">
        <v>1</v>
      </c>
      <c r="U5425">
        <v>58.37</v>
      </c>
      <c r="V5425">
        <v>121410</v>
      </c>
    </row>
    <row r="5426" spans="1:22">
      <c r="A5426" t="s">
        <v>196</v>
      </c>
      <c r="B5426">
        <v>84</v>
      </c>
      <c r="C5426" t="s">
        <v>1762</v>
      </c>
      <c r="D5426">
        <v>310</v>
      </c>
      <c r="E5426" t="s">
        <v>2037</v>
      </c>
      <c r="F5426">
        <v>1155</v>
      </c>
      <c r="G5426" t="s">
        <v>8</v>
      </c>
      <c r="H5426">
        <v>2155</v>
      </c>
      <c r="I5426" t="s">
        <v>8</v>
      </c>
      <c r="J5426">
        <v>3256</v>
      </c>
      <c r="K5426" t="s">
        <v>819</v>
      </c>
      <c r="L5426">
        <v>4262</v>
      </c>
      <c r="M5426" t="s">
        <v>1827</v>
      </c>
      <c r="N5426" t="s">
        <v>721</v>
      </c>
      <c r="O5426">
        <v>49</v>
      </c>
      <c r="P5426">
        <v>4403</v>
      </c>
      <c r="Q5426" t="s">
        <v>980</v>
      </c>
      <c r="R5426" t="s">
        <v>713</v>
      </c>
      <c r="S5426">
        <v>1</v>
      </c>
      <c r="T5426">
        <v>1</v>
      </c>
      <c r="U5426">
        <v>53.06</v>
      </c>
      <c r="V5426">
        <v>110365</v>
      </c>
    </row>
    <row r="5427" spans="1:22">
      <c r="A5427" t="s">
        <v>196</v>
      </c>
      <c r="B5427">
        <v>84</v>
      </c>
      <c r="C5427" t="s">
        <v>1762</v>
      </c>
      <c r="D5427">
        <v>310</v>
      </c>
      <c r="E5427" t="s">
        <v>2037</v>
      </c>
      <c r="F5427">
        <v>1155</v>
      </c>
      <c r="G5427" t="s">
        <v>8</v>
      </c>
      <c r="H5427">
        <v>2155</v>
      </c>
      <c r="I5427" t="s">
        <v>8</v>
      </c>
      <c r="J5427">
        <v>3256</v>
      </c>
      <c r="K5427" t="s">
        <v>819</v>
      </c>
      <c r="L5427">
        <v>4262</v>
      </c>
      <c r="M5427" t="s">
        <v>1827</v>
      </c>
      <c r="N5427" t="s">
        <v>721</v>
      </c>
      <c r="O5427">
        <v>50</v>
      </c>
      <c r="P5427">
        <v>4304</v>
      </c>
      <c r="Q5427" t="s">
        <v>2058</v>
      </c>
      <c r="R5427" t="s">
        <v>712</v>
      </c>
      <c r="S5427">
        <v>1</v>
      </c>
      <c r="T5427">
        <v>1</v>
      </c>
      <c r="U5427">
        <v>10869.73</v>
      </c>
      <c r="V5427">
        <v>130437</v>
      </c>
    </row>
    <row r="5428" spans="1:22">
      <c r="A5428" t="s">
        <v>196</v>
      </c>
      <c r="B5428">
        <v>84</v>
      </c>
      <c r="C5428" t="s">
        <v>1762</v>
      </c>
      <c r="D5428">
        <v>310</v>
      </c>
      <c r="E5428" t="s">
        <v>2037</v>
      </c>
      <c r="F5428">
        <v>1155</v>
      </c>
      <c r="G5428" t="s">
        <v>8</v>
      </c>
      <c r="H5428">
        <v>2155</v>
      </c>
      <c r="I5428" t="s">
        <v>8</v>
      </c>
      <c r="J5428">
        <v>3256</v>
      </c>
      <c r="K5428" t="s">
        <v>819</v>
      </c>
      <c r="L5428">
        <v>4262</v>
      </c>
      <c r="M5428" t="s">
        <v>1827</v>
      </c>
      <c r="N5428" t="s">
        <v>721</v>
      </c>
      <c r="O5428">
        <v>50</v>
      </c>
      <c r="P5428">
        <v>4303</v>
      </c>
      <c r="Q5428" t="s">
        <v>982</v>
      </c>
      <c r="R5428" t="s">
        <v>713</v>
      </c>
      <c r="S5428">
        <v>5</v>
      </c>
      <c r="T5428">
        <v>1</v>
      </c>
      <c r="U5428">
        <v>59.21</v>
      </c>
      <c r="V5428">
        <v>615784</v>
      </c>
    </row>
    <row r="5429" spans="1:22">
      <c r="A5429" t="s">
        <v>196</v>
      </c>
      <c r="B5429">
        <v>84</v>
      </c>
      <c r="C5429" t="s">
        <v>1762</v>
      </c>
      <c r="D5429">
        <v>310</v>
      </c>
      <c r="E5429" t="s">
        <v>2037</v>
      </c>
      <c r="F5429">
        <v>1155</v>
      </c>
      <c r="G5429" t="s">
        <v>8</v>
      </c>
      <c r="H5429">
        <v>2155</v>
      </c>
      <c r="I5429" t="s">
        <v>8</v>
      </c>
      <c r="J5429">
        <v>3256</v>
      </c>
      <c r="K5429" t="s">
        <v>819</v>
      </c>
      <c r="L5429">
        <v>4262</v>
      </c>
      <c r="M5429" t="s">
        <v>1827</v>
      </c>
      <c r="N5429" t="s">
        <v>721</v>
      </c>
      <c r="O5429">
        <v>50</v>
      </c>
      <c r="P5429">
        <v>4301</v>
      </c>
      <c r="Q5429" t="s">
        <v>983</v>
      </c>
      <c r="R5429" t="s">
        <v>713</v>
      </c>
      <c r="S5429">
        <v>5</v>
      </c>
      <c r="T5429">
        <v>1</v>
      </c>
      <c r="U5429">
        <v>56.71</v>
      </c>
      <c r="V5429">
        <v>589784</v>
      </c>
    </row>
    <row r="5430" spans="1:22">
      <c r="A5430" t="s">
        <v>196</v>
      </c>
      <c r="B5430">
        <v>84</v>
      </c>
      <c r="C5430" t="s">
        <v>1762</v>
      </c>
      <c r="D5430">
        <v>310</v>
      </c>
      <c r="E5430" t="s">
        <v>2037</v>
      </c>
      <c r="F5430">
        <v>1155</v>
      </c>
      <c r="G5430" t="s">
        <v>8</v>
      </c>
      <c r="H5430">
        <v>2155</v>
      </c>
      <c r="I5430" t="s">
        <v>8</v>
      </c>
      <c r="J5430">
        <v>3256</v>
      </c>
      <c r="K5430" t="s">
        <v>819</v>
      </c>
      <c r="L5430">
        <v>4262</v>
      </c>
      <c r="M5430" t="s">
        <v>1827</v>
      </c>
      <c r="N5430" t="s">
        <v>199</v>
      </c>
      <c r="O5430">
        <v>0</v>
      </c>
      <c r="P5430">
        <v>15</v>
      </c>
      <c r="Q5430" t="s">
        <v>264</v>
      </c>
      <c r="R5430" t="s">
        <v>201</v>
      </c>
      <c r="S5430">
        <v>0</v>
      </c>
      <c r="T5430">
        <v>0</v>
      </c>
      <c r="U5430">
        <v>1780</v>
      </c>
      <c r="V5430">
        <v>1780</v>
      </c>
    </row>
    <row r="5431" spans="1:22">
      <c r="A5431" t="s">
        <v>196</v>
      </c>
      <c r="B5431">
        <v>84</v>
      </c>
      <c r="C5431" t="s">
        <v>1762</v>
      </c>
      <c r="D5431">
        <v>310</v>
      </c>
      <c r="E5431" t="s">
        <v>2037</v>
      </c>
      <c r="F5431">
        <v>1155</v>
      </c>
      <c r="G5431" t="s">
        <v>8</v>
      </c>
      <c r="H5431">
        <v>2155</v>
      </c>
      <c r="I5431" t="s">
        <v>8</v>
      </c>
      <c r="J5431">
        <v>3256</v>
      </c>
      <c r="K5431" t="s">
        <v>819</v>
      </c>
      <c r="L5431">
        <v>4262</v>
      </c>
      <c r="M5431" t="s">
        <v>1827</v>
      </c>
      <c r="N5431" t="s">
        <v>199</v>
      </c>
      <c r="O5431">
        <v>0</v>
      </c>
      <c r="P5431">
        <v>12</v>
      </c>
      <c r="Q5431" t="s">
        <v>724</v>
      </c>
      <c r="R5431" t="s">
        <v>201</v>
      </c>
      <c r="S5431">
        <v>0</v>
      </c>
      <c r="T5431">
        <v>0</v>
      </c>
      <c r="U5431">
        <v>109690</v>
      </c>
      <c r="V5431">
        <v>109690</v>
      </c>
    </row>
    <row r="5432" spans="1:22">
      <c r="A5432" t="s">
        <v>196</v>
      </c>
      <c r="B5432">
        <v>84</v>
      </c>
      <c r="C5432" t="s">
        <v>1762</v>
      </c>
      <c r="D5432">
        <v>310</v>
      </c>
      <c r="E5432" t="s">
        <v>2037</v>
      </c>
      <c r="F5432">
        <v>1155</v>
      </c>
      <c r="G5432" t="s">
        <v>8</v>
      </c>
      <c r="H5432">
        <v>2155</v>
      </c>
      <c r="I5432" t="s">
        <v>8</v>
      </c>
      <c r="J5432">
        <v>3256</v>
      </c>
      <c r="K5432" t="s">
        <v>819</v>
      </c>
      <c r="L5432">
        <v>4266</v>
      </c>
      <c r="M5432" t="s">
        <v>2059</v>
      </c>
      <c r="N5432" t="s">
        <v>721</v>
      </c>
      <c r="O5432">
        <v>54</v>
      </c>
      <c r="P5432">
        <v>9464</v>
      </c>
      <c r="Q5432" t="s">
        <v>2029</v>
      </c>
      <c r="R5432" t="s">
        <v>713</v>
      </c>
      <c r="S5432">
        <v>27040</v>
      </c>
      <c r="T5432">
        <v>0</v>
      </c>
      <c r="U5432">
        <v>51.4</v>
      </c>
      <c r="V5432">
        <v>1389856</v>
      </c>
    </row>
    <row r="5433" spans="1:22">
      <c r="A5433" t="s">
        <v>196</v>
      </c>
      <c r="B5433">
        <v>84</v>
      </c>
      <c r="C5433" t="s">
        <v>1762</v>
      </c>
      <c r="D5433">
        <v>310</v>
      </c>
      <c r="E5433" t="s">
        <v>2037</v>
      </c>
      <c r="F5433">
        <v>1155</v>
      </c>
      <c r="G5433" t="s">
        <v>8</v>
      </c>
      <c r="H5433">
        <v>2155</v>
      </c>
      <c r="I5433" t="s">
        <v>8</v>
      </c>
      <c r="J5433">
        <v>3256</v>
      </c>
      <c r="K5433" t="s">
        <v>819</v>
      </c>
      <c r="L5433">
        <v>4266</v>
      </c>
      <c r="M5433" t="s">
        <v>2059</v>
      </c>
      <c r="N5433" t="s">
        <v>721</v>
      </c>
      <c r="O5433">
        <v>54</v>
      </c>
      <c r="P5433">
        <v>9464</v>
      </c>
      <c r="Q5433" t="s">
        <v>2029</v>
      </c>
      <c r="R5433" t="s">
        <v>713</v>
      </c>
      <c r="S5433">
        <v>54</v>
      </c>
      <c r="T5433">
        <v>1</v>
      </c>
      <c r="U5433">
        <v>51.4</v>
      </c>
      <c r="V5433">
        <v>5773248</v>
      </c>
    </row>
    <row r="5434" spans="1:22">
      <c r="A5434" t="s">
        <v>196</v>
      </c>
      <c r="B5434">
        <v>84</v>
      </c>
      <c r="C5434" t="s">
        <v>1762</v>
      </c>
      <c r="D5434">
        <v>310</v>
      </c>
      <c r="E5434" t="s">
        <v>2037</v>
      </c>
      <c r="F5434">
        <v>1155</v>
      </c>
      <c r="G5434" t="s">
        <v>8</v>
      </c>
      <c r="H5434">
        <v>2155</v>
      </c>
      <c r="I5434" t="s">
        <v>8</v>
      </c>
      <c r="J5434">
        <v>3256</v>
      </c>
      <c r="K5434" t="s">
        <v>819</v>
      </c>
      <c r="L5434">
        <v>4266</v>
      </c>
      <c r="M5434" t="s">
        <v>2059</v>
      </c>
      <c r="N5434" t="s">
        <v>721</v>
      </c>
      <c r="O5434">
        <v>54</v>
      </c>
      <c r="P5434">
        <v>9464</v>
      </c>
      <c r="Q5434" t="s">
        <v>2029</v>
      </c>
      <c r="R5434" t="s">
        <v>713</v>
      </c>
      <c r="S5434">
        <v>1</v>
      </c>
      <c r="T5434">
        <v>1</v>
      </c>
      <c r="U5434">
        <v>46.26</v>
      </c>
      <c r="V5434">
        <v>96221</v>
      </c>
    </row>
    <row r="5435" spans="1:22">
      <c r="A5435" t="s">
        <v>196</v>
      </c>
      <c r="B5435">
        <v>84</v>
      </c>
      <c r="C5435" t="s">
        <v>1762</v>
      </c>
      <c r="D5435">
        <v>310</v>
      </c>
      <c r="E5435" t="s">
        <v>2037</v>
      </c>
      <c r="F5435">
        <v>1155</v>
      </c>
      <c r="G5435" t="s">
        <v>8</v>
      </c>
      <c r="H5435">
        <v>2155</v>
      </c>
      <c r="I5435" t="s">
        <v>8</v>
      </c>
      <c r="J5435">
        <v>3256</v>
      </c>
      <c r="K5435" t="s">
        <v>819</v>
      </c>
      <c r="L5435">
        <v>4266</v>
      </c>
      <c r="M5435" t="s">
        <v>2059</v>
      </c>
      <c r="N5435" t="s">
        <v>721</v>
      </c>
      <c r="O5435">
        <v>54</v>
      </c>
      <c r="P5435">
        <v>9464</v>
      </c>
      <c r="Q5435" t="s">
        <v>2029</v>
      </c>
      <c r="R5435" t="s">
        <v>713</v>
      </c>
      <c r="S5435">
        <v>9</v>
      </c>
      <c r="T5435">
        <v>1</v>
      </c>
      <c r="U5435">
        <v>35.979999999999997</v>
      </c>
      <c r="V5435">
        <v>673546</v>
      </c>
    </row>
    <row r="5436" spans="1:22">
      <c r="A5436" t="s">
        <v>196</v>
      </c>
      <c r="B5436">
        <v>84</v>
      </c>
      <c r="C5436" t="s">
        <v>1762</v>
      </c>
      <c r="D5436">
        <v>310</v>
      </c>
      <c r="E5436" t="s">
        <v>2037</v>
      </c>
      <c r="F5436">
        <v>1155</v>
      </c>
      <c r="G5436" t="s">
        <v>8</v>
      </c>
      <c r="H5436">
        <v>2155</v>
      </c>
      <c r="I5436" t="s">
        <v>8</v>
      </c>
      <c r="J5436">
        <v>3256</v>
      </c>
      <c r="K5436" t="s">
        <v>819</v>
      </c>
      <c r="L5436">
        <v>4266</v>
      </c>
      <c r="M5436" t="s">
        <v>2059</v>
      </c>
      <c r="N5436" t="s">
        <v>721</v>
      </c>
      <c r="O5436">
        <v>54</v>
      </c>
      <c r="P5436">
        <v>8322</v>
      </c>
      <c r="Q5436" t="s">
        <v>2031</v>
      </c>
      <c r="R5436" t="s">
        <v>713</v>
      </c>
      <c r="S5436">
        <v>10</v>
      </c>
      <c r="T5436">
        <v>1</v>
      </c>
      <c r="U5436">
        <v>51.4</v>
      </c>
      <c r="V5436">
        <v>1069120</v>
      </c>
    </row>
    <row r="5437" spans="1:22">
      <c r="A5437" t="s">
        <v>196</v>
      </c>
      <c r="B5437">
        <v>84</v>
      </c>
      <c r="C5437" t="s">
        <v>1762</v>
      </c>
      <c r="D5437">
        <v>310</v>
      </c>
      <c r="E5437" t="s">
        <v>2037</v>
      </c>
      <c r="F5437">
        <v>1155</v>
      </c>
      <c r="G5437" t="s">
        <v>8</v>
      </c>
      <c r="H5437">
        <v>2155</v>
      </c>
      <c r="I5437" t="s">
        <v>8</v>
      </c>
      <c r="J5437">
        <v>3256</v>
      </c>
      <c r="K5437" t="s">
        <v>819</v>
      </c>
      <c r="L5437">
        <v>4266</v>
      </c>
      <c r="M5437" t="s">
        <v>2059</v>
      </c>
      <c r="N5437" t="s">
        <v>721</v>
      </c>
      <c r="O5437">
        <v>54</v>
      </c>
      <c r="P5437">
        <v>8257</v>
      </c>
      <c r="Q5437" t="s">
        <v>2060</v>
      </c>
      <c r="R5437" t="s">
        <v>713</v>
      </c>
      <c r="S5437">
        <v>2</v>
      </c>
      <c r="T5437">
        <v>1</v>
      </c>
      <c r="U5437">
        <v>55.22</v>
      </c>
      <c r="V5437">
        <v>229715</v>
      </c>
    </row>
    <row r="5438" spans="1:22">
      <c r="A5438" t="s">
        <v>196</v>
      </c>
      <c r="B5438">
        <v>84</v>
      </c>
      <c r="C5438" t="s">
        <v>1762</v>
      </c>
      <c r="D5438">
        <v>310</v>
      </c>
      <c r="E5438" t="s">
        <v>2037</v>
      </c>
      <c r="F5438">
        <v>1155</v>
      </c>
      <c r="G5438" t="s">
        <v>8</v>
      </c>
      <c r="H5438">
        <v>2155</v>
      </c>
      <c r="I5438" t="s">
        <v>8</v>
      </c>
      <c r="J5438">
        <v>3256</v>
      </c>
      <c r="K5438" t="s">
        <v>819</v>
      </c>
      <c r="L5438">
        <v>4266</v>
      </c>
      <c r="M5438" t="s">
        <v>2059</v>
      </c>
      <c r="N5438" t="s">
        <v>721</v>
      </c>
      <c r="O5438">
        <v>54</v>
      </c>
      <c r="P5438">
        <v>8255</v>
      </c>
      <c r="Q5438" t="s">
        <v>2053</v>
      </c>
      <c r="R5438" t="s">
        <v>713</v>
      </c>
      <c r="S5438">
        <v>1</v>
      </c>
      <c r="T5438">
        <v>1</v>
      </c>
      <c r="U5438">
        <v>55.79</v>
      </c>
      <c r="V5438">
        <v>116043</v>
      </c>
    </row>
    <row r="5439" spans="1:22">
      <c r="A5439" t="s">
        <v>196</v>
      </c>
      <c r="B5439">
        <v>84</v>
      </c>
      <c r="C5439" t="s">
        <v>1762</v>
      </c>
      <c r="D5439">
        <v>310</v>
      </c>
      <c r="E5439" t="s">
        <v>2037</v>
      </c>
      <c r="F5439">
        <v>1155</v>
      </c>
      <c r="G5439" t="s">
        <v>8</v>
      </c>
      <c r="H5439">
        <v>2155</v>
      </c>
      <c r="I5439" t="s">
        <v>8</v>
      </c>
      <c r="J5439">
        <v>3256</v>
      </c>
      <c r="K5439" t="s">
        <v>819</v>
      </c>
      <c r="L5439">
        <v>4266</v>
      </c>
      <c r="M5439" t="s">
        <v>2059</v>
      </c>
      <c r="N5439" t="s">
        <v>721</v>
      </c>
      <c r="O5439">
        <v>54</v>
      </c>
      <c r="P5439">
        <v>8248</v>
      </c>
      <c r="Q5439" t="s">
        <v>2033</v>
      </c>
      <c r="R5439" t="s">
        <v>713</v>
      </c>
      <c r="S5439">
        <v>28</v>
      </c>
      <c r="T5439">
        <v>1</v>
      </c>
      <c r="U5439">
        <v>52.3</v>
      </c>
      <c r="V5439">
        <v>3045952</v>
      </c>
    </row>
    <row r="5440" spans="1:22">
      <c r="A5440" t="s">
        <v>196</v>
      </c>
      <c r="B5440">
        <v>84</v>
      </c>
      <c r="C5440" t="s">
        <v>1762</v>
      </c>
      <c r="D5440">
        <v>310</v>
      </c>
      <c r="E5440" t="s">
        <v>2037</v>
      </c>
      <c r="F5440">
        <v>1155</v>
      </c>
      <c r="G5440" t="s">
        <v>8</v>
      </c>
      <c r="H5440">
        <v>2155</v>
      </c>
      <c r="I5440" t="s">
        <v>8</v>
      </c>
      <c r="J5440">
        <v>3256</v>
      </c>
      <c r="K5440" t="s">
        <v>819</v>
      </c>
      <c r="L5440">
        <v>4266</v>
      </c>
      <c r="M5440" t="s">
        <v>2059</v>
      </c>
      <c r="N5440" t="s">
        <v>721</v>
      </c>
      <c r="O5440">
        <v>53</v>
      </c>
      <c r="P5440">
        <v>8243</v>
      </c>
      <c r="Q5440" t="s">
        <v>2061</v>
      </c>
      <c r="R5440" t="s">
        <v>713</v>
      </c>
      <c r="S5440">
        <v>1</v>
      </c>
      <c r="T5440">
        <v>1</v>
      </c>
      <c r="U5440">
        <v>55.79</v>
      </c>
      <c r="V5440">
        <v>116043</v>
      </c>
    </row>
    <row r="5441" spans="1:22">
      <c r="A5441" t="s">
        <v>196</v>
      </c>
      <c r="B5441">
        <v>84</v>
      </c>
      <c r="C5441" t="s">
        <v>1762</v>
      </c>
      <c r="D5441">
        <v>310</v>
      </c>
      <c r="E5441" t="s">
        <v>2037</v>
      </c>
      <c r="F5441">
        <v>1155</v>
      </c>
      <c r="G5441" t="s">
        <v>8</v>
      </c>
      <c r="H5441">
        <v>2155</v>
      </c>
      <c r="I5441" t="s">
        <v>8</v>
      </c>
      <c r="J5441">
        <v>3256</v>
      </c>
      <c r="K5441" t="s">
        <v>819</v>
      </c>
      <c r="L5441">
        <v>4266</v>
      </c>
      <c r="M5441" t="s">
        <v>2059</v>
      </c>
      <c r="N5441" t="s">
        <v>721</v>
      </c>
      <c r="O5441">
        <v>42</v>
      </c>
      <c r="P5441">
        <v>7633</v>
      </c>
      <c r="Q5441" t="s">
        <v>1740</v>
      </c>
      <c r="R5441" t="s">
        <v>713</v>
      </c>
      <c r="S5441">
        <v>5</v>
      </c>
      <c r="T5441">
        <v>1</v>
      </c>
      <c r="U5441">
        <v>64.8</v>
      </c>
      <c r="V5441">
        <v>673920</v>
      </c>
    </row>
    <row r="5442" spans="1:22">
      <c r="A5442" t="s">
        <v>196</v>
      </c>
      <c r="B5442">
        <v>84</v>
      </c>
      <c r="C5442" t="s">
        <v>1762</v>
      </c>
      <c r="D5442">
        <v>310</v>
      </c>
      <c r="E5442" t="s">
        <v>2037</v>
      </c>
      <c r="F5442">
        <v>1155</v>
      </c>
      <c r="G5442" t="s">
        <v>8</v>
      </c>
      <c r="H5442">
        <v>2155</v>
      </c>
      <c r="I5442" t="s">
        <v>8</v>
      </c>
      <c r="J5442">
        <v>3256</v>
      </c>
      <c r="K5442" t="s">
        <v>819</v>
      </c>
      <c r="L5442">
        <v>4266</v>
      </c>
      <c r="M5442" t="s">
        <v>2059</v>
      </c>
      <c r="N5442" t="s">
        <v>721</v>
      </c>
      <c r="O5442">
        <v>8</v>
      </c>
      <c r="P5442">
        <v>7184</v>
      </c>
      <c r="Q5442" t="s">
        <v>1728</v>
      </c>
      <c r="R5442" t="s">
        <v>713</v>
      </c>
      <c r="S5442">
        <v>2</v>
      </c>
      <c r="T5442">
        <v>1</v>
      </c>
      <c r="U5442">
        <v>48.73</v>
      </c>
      <c r="V5442">
        <v>202717</v>
      </c>
    </row>
    <row r="5443" spans="1:22">
      <c r="A5443" t="s">
        <v>196</v>
      </c>
      <c r="B5443">
        <v>84</v>
      </c>
      <c r="C5443" t="s">
        <v>1762</v>
      </c>
      <c r="D5443">
        <v>310</v>
      </c>
      <c r="E5443" t="s">
        <v>2037</v>
      </c>
      <c r="F5443">
        <v>1155</v>
      </c>
      <c r="G5443" t="s">
        <v>8</v>
      </c>
      <c r="H5443">
        <v>2155</v>
      </c>
      <c r="I5443" t="s">
        <v>8</v>
      </c>
      <c r="J5443">
        <v>3256</v>
      </c>
      <c r="K5443" t="s">
        <v>819</v>
      </c>
      <c r="L5443">
        <v>4266</v>
      </c>
      <c r="M5443" t="s">
        <v>2059</v>
      </c>
      <c r="N5443" t="s">
        <v>721</v>
      </c>
      <c r="O5443">
        <v>8</v>
      </c>
      <c r="P5443">
        <v>7183</v>
      </c>
      <c r="Q5443" t="s">
        <v>986</v>
      </c>
      <c r="R5443" t="s">
        <v>713</v>
      </c>
      <c r="S5443">
        <v>19</v>
      </c>
      <c r="T5443">
        <v>1</v>
      </c>
      <c r="U5443">
        <v>48.73</v>
      </c>
      <c r="V5443">
        <v>1925810</v>
      </c>
    </row>
    <row r="5444" spans="1:22">
      <c r="A5444" t="s">
        <v>196</v>
      </c>
      <c r="B5444">
        <v>84</v>
      </c>
      <c r="C5444" t="s">
        <v>1762</v>
      </c>
      <c r="D5444">
        <v>310</v>
      </c>
      <c r="E5444" t="s">
        <v>2037</v>
      </c>
      <c r="F5444">
        <v>1155</v>
      </c>
      <c r="G5444" t="s">
        <v>8</v>
      </c>
      <c r="H5444">
        <v>2155</v>
      </c>
      <c r="I5444" t="s">
        <v>8</v>
      </c>
      <c r="J5444">
        <v>3256</v>
      </c>
      <c r="K5444" t="s">
        <v>819</v>
      </c>
      <c r="L5444">
        <v>4266</v>
      </c>
      <c r="M5444" t="s">
        <v>2059</v>
      </c>
      <c r="N5444" t="s">
        <v>1724</v>
      </c>
      <c r="O5444">
        <v>54</v>
      </c>
      <c r="P5444">
        <v>427</v>
      </c>
      <c r="Q5444" t="s">
        <v>2055</v>
      </c>
      <c r="R5444" t="s">
        <v>201</v>
      </c>
      <c r="S5444">
        <v>1</v>
      </c>
      <c r="T5444">
        <v>1</v>
      </c>
      <c r="U5444">
        <v>58728</v>
      </c>
      <c r="V5444">
        <v>58728</v>
      </c>
    </row>
    <row r="5445" spans="1:22">
      <c r="A5445" t="s">
        <v>196</v>
      </c>
      <c r="B5445">
        <v>84</v>
      </c>
      <c r="C5445" t="s">
        <v>1762</v>
      </c>
      <c r="D5445">
        <v>310</v>
      </c>
      <c r="E5445" t="s">
        <v>2037</v>
      </c>
      <c r="F5445">
        <v>1155</v>
      </c>
      <c r="G5445" t="s">
        <v>8</v>
      </c>
      <c r="H5445">
        <v>2155</v>
      </c>
      <c r="I5445" t="s">
        <v>8</v>
      </c>
      <c r="J5445">
        <v>3256</v>
      </c>
      <c r="K5445" t="s">
        <v>819</v>
      </c>
      <c r="L5445">
        <v>4266</v>
      </c>
      <c r="M5445" t="s">
        <v>2059</v>
      </c>
      <c r="N5445" t="s">
        <v>199</v>
      </c>
      <c r="O5445">
        <v>0</v>
      </c>
      <c r="P5445">
        <v>15</v>
      </c>
      <c r="Q5445" t="s">
        <v>264</v>
      </c>
      <c r="R5445" t="s">
        <v>201</v>
      </c>
      <c r="S5445">
        <v>0</v>
      </c>
      <c r="T5445">
        <v>0</v>
      </c>
      <c r="U5445">
        <v>2157</v>
      </c>
      <c r="V5445">
        <v>2157</v>
      </c>
    </row>
    <row r="5446" spans="1:22">
      <c r="A5446" t="s">
        <v>196</v>
      </c>
      <c r="B5446">
        <v>84</v>
      </c>
      <c r="C5446" t="s">
        <v>1762</v>
      </c>
      <c r="D5446">
        <v>310</v>
      </c>
      <c r="E5446" t="s">
        <v>2037</v>
      </c>
      <c r="F5446">
        <v>1155</v>
      </c>
      <c r="G5446" t="s">
        <v>8</v>
      </c>
      <c r="H5446">
        <v>2155</v>
      </c>
      <c r="I5446" t="s">
        <v>8</v>
      </c>
      <c r="J5446">
        <v>3256</v>
      </c>
      <c r="K5446" t="s">
        <v>819</v>
      </c>
      <c r="L5446">
        <v>4266</v>
      </c>
      <c r="M5446" t="s">
        <v>2059</v>
      </c>
      <c r="N5446" t="s">
        <v>199</v>
      </c>
      <c r="O5446">
        <v>0</v>
      </c>
      <c r="P5446">
        <v>12</v>
      </c>
      <c r="Q5446" t="s">
        <v>724</v>
      </c>
      <c r="R5446" t="s">
        <v>201</v>
      </c>
      <c r="S5446">
        <v>0</v>
      </c>
      <c r="T5446">
        <v>0</v>
      </c>
      <c r="U5446">
        <v>229684</v>
      </c>
      <c r="V5446">
        <v>229684</v>
      </c>
    </row>
    <row r="5447" spans="1:22">
      <c r="A5447" t="s">
        <v>196</v>
      </c>
      <c r="B5447">
        <v>84</v>
      </c>
      <c r="C5447" t="s">
        <v>1762</v>
      </c>
      <c r="D5447">
        <v>310</v>
      </c>
      <c r="E5447" t="s">
        <v>2037</v>
      </c>
      <c r="F5447">
        <v>1155</v>
      </c>
      <c r="G5447" t="s">
        <v>8</v>
      </c>
      <c r="H5447">
        <v>2155</v>
      </c>
      <c r="I5447" t="s">
        <v>8</v>
      </c>
      <c r="J5447">
        <v>3256</v>
      </c>
      <c r="K5447" t="s">
        <v>819</v>
      </c>
      <c r="L5447">
        <v>4267</v>
      </c>
      <c r="M5447" t="s">
        <v>2062</v>
      </c>
      <c r="N5447" t="s">
        <v>721</v>
      </c>
      <c r="O5447">
        <v>54</v>
      </c>
      <c r="P5447">
        <v>9534</v>
      </c>
      <c r="Q5447" t="s">
        <v>960</v>
      </c>
      <c r="R5447" t="s">
        <v>713</v>
      </c>
      <c r="S5447">
        <v>2608</v>
      </c>
      <c r="T5447">
        <v>0</v>
      </c>
      <c r="U5447">
        <v>51.05</v>
      </c>
      <c r="V5447">
        <v>133138</v>
      </c>
    </row>
    <row r="5448" spans="1:22">
      <c r="A5448" t="s">
        <v>196</v>
      </c>
      <c r="B5448">
        <v>84</v>
      </c>
      <c r="C5448" t="s">
        <v>1762</v>
      </c>
      <c r="D5448">
        <v>310</v>
      </c>
      <c r="E5448" t="s">
        <v>2037</v>
      </c>
      <c r="F5448">
        <v>1155</v>
      </c>
      <c r="G5448" t="s">
        <v>8</v>
      </c>
      <c r="H5448">
        <v>2155</v>
      </c>
      <c r="I5448" t="s">
        <v>8</v>
      </c>
      <c r="J5448">
        <v>3256</v>
      </c>
      <c r="K5448" t="s">
        <v>819</v>
      </c>
      <c r="L5448">
        <v>4267</v>
      </c>
      <c r="M5448" t="s">
        <v>2062</v>
      </c>
      <c r="N5448" t="s">
        <v>721</v>
      </c>
      <c r="O5448">
        <v>54</v>
      </c>
      <c r="P5448">
        <v>9534</v>
      </c>
      <c r="Q5448" t="s">
        <v>960</v>
      </c>
      <c r="R5448" t="s">
        <v>713</v>
      </c>
      <c r="S5448">
        <v>3</v>
      </c>
      <c r="T5448">
        <v>1</v>
      </c>
      <c r="U5448">
        <v>51.4</v>
      </c>
      <c r="V5448">
        <v>320736</v>
      </c>
    </row>
    <row r="5449" spans="1:22">
      <c r="A5449" t="s">
        <v>196</v>
      </c>
      <c r="B5449">
        <v>84</v>
      </c>
      <c r="C5449" t="s">
        <v>1762</v>
      </c>
      <c r="D5449">
        <v>310</v>
      </c>
      <c r="E5449" t="s">
        <v>2037</v>
      </c>
      <c r="F5449">
        <v>1155</v>
      </c>
      <c r="G5449" t="s">
        <v>8</v>
      </c>
      <c r="H5449">
        <v>2155</v>
      </c>
      <c r="I5449" t="s">
        <v>8</v>
      </c>
      <c r="J5449">
        <v>3256</v>
      </c>
      <c r="K5449" t="s">
        <v>819</v>
      </c>
      <c r="L5449">
        <v>4267</v>
      </c>
      <c r="M5449" t="s">
        <v>2062</v>
      </c>
      <c r="N5449" t="s">
        <v>721</v>
      </c>
      <c r="O5449">
        <v>39</v>
      </c>
      <c r="P5449">
        <v>4634</v>
      </c>
      <c r="Q5449" t="s">
        <v>977</v>
      </c>
      <c r="R5449" t="s">
        <v>713</v>
      </c>
      <c r="S5449">
        <v>15088</v>
      </c>
      <c r="T5449">
        <v>0</v>
      </c>
      <c r="U5449">
        <v>54.3</v>
      </c>
      <c r="V5449">
        <v>819278</v>
      </c>
    </row>
    <row r="5450" spans="1:22">
      <c r="A5450" t="s">
        <v>196</v>
      </c>
      <c r="B5450">
        <v>84</v>
      </c>
      <c r="C5450" t="s">
        <v>1762</v>
      </c>
      <c r="D5450">
        <v>310</v>
      </c>
      <c r="E5450" t="s">
        <v>2037</v>
      </c>
      <c r="F5450">
        <v>1155</v>
      </c>
      <c r="G5450" t="s">
        <v>8</v>
      </c>
      <c r="H5450">
        <v>2155</v>
      </c>
      <c r="I5450" t="s">
        <v>8</v>
      </c>
      <c r="J5450">
        <v>3256</v>
      </c>
      <c r="K5450" t="s">
        <v>819</v>
      </c>
      <c r="L5450">
        <v>4267</v>
      </c>
      <c r="M5450" t="s">
        <v>2062</v>
      </c>
      <c r="N5450" t="s">
        <v>199</v>
      </c>
      <c r="O5450">
        <v>0</v>
      </c>
      <c r="P5450">
        <v>12</v>
      </c>
      <c r="Q5450" t="s">
        <v>724</v>
      </c>
      <c r="R5450" t="s">
        <v>201</v>
      </c>
      <c r="S5450">
        <v>0</v>
      </c>
      <c r="T5450">
        <v>0</v>
      </c>
      <c r="U5450">
        <v>19097</v>
      </c>
      <c r="V5450">
        <v>19097</v>
      </c>
    </row>
    <row r="5451" spans="1:22">
      <c r="A5451" t="s">
        <v>196</v>
      </c>
      <c r="B5451">
        <v>84</v>
      </c>
      <c r="C5451" t="s">
        <v>1762</v>
      </c>
      <c r="D5451">
        <v>310</v>
      </c>
      <c r="E5451" t="s">
        <v>2037</v>
      </c>
      <c r="F5451">
        <v>1155</v>
      </c>
      <c r="G5451" t="s">
        <v>8</v>
      </c>
      <c r="H5451">
        <v>2155</v>
      </c>
      <c r="I5451" t="s">
        <v>8</v>
      </c>
      <c r="J5451">
        <v>3256</v>
      </c>
      <c r="K5451" t="s">
        <v>819</v>
      </c>
      <c r="L5451">
        <v>4268</v>
      </c>
      <c r="M5451" t="s">
        <v>2063</v>
      </c>
      <c r="N5451" t="s">
        <v>721</v>
      </c>
      <c r="O5451">
        <v>36</v>
      </c>
      <c r="P5451">
        <v>6681</v>
      </c>
      <c r="Q5451" t="s">
        <v>1953</v>
      </c>
      <c r="R5451" t="s">
        <v>713</v>
      </c>
      <c r="S5451">
        <v>4297</v>
      </c>
      <c r="T5451">
        <v>0</v>
      </c>
      <c r="U5451">
        <v>30.2</v>
      </c>
      <c r="V5451">
        <v>129769</v>
      </c>
    </row>
    <row r="5452" spans="1:22">
      <c r="A5452" t="s">
        <v>196</v>
      </c>
      <c r="B5452">
        <v>84</v>
      </c>
      <c r="C5452" t="s">
        <v>1762</v>
      </c>
      <c r="D5452">
        <v>310</v>
      </c>
      <c r="E5452" t="s">
        <v>2037</v>
      </c>
      <c r="F5452">
        <v>1155</v>
      </c>
      <c r="G5452" t="s">
        <v>8</v>
      </c>
      <c r="H5452">
        <v>2155</v>
      </c>
      <c r="I5452" t="s">
        <v>8</v>
      </c>
      <c r="J5452">
        <v>3256</v>
      </c>
      <c r="K5452" t="s">
        <v>819</v>
      </c>
      <c r="L5452">
        <v>4268</v>
      </c>
      <c r="M5452" t="s">
        <v>2063</v>
      </c>
      <c r="N5452" t="s">
        <v>721</v>
      </c>
      <c r="O5452">
        <v>36</v>
      </c>
      <c r="P5452">
        <v>6676</v>
      </c>
      <c r="Q5452" t="s">
        <v>962</v>
      </c>
      <c r="R5452" t="s">
        <v>713</v>
      </c>
      <c r="S5452">
        <v>2</v>
      </c>
      <c r="T5452">
        <v>1</v>
      </c>
      <c r="U5452">
        <v>64.39</v>
      </c>
      <c r="V5452">
        <v>267862</v>
      </c>
    </row>
    <row r="5453" spans="1:22">
      <c r="A5453" t="s">
        <v>196</v>
      </c>
      <c r="B5453">
        <v>84</v>
      </c>
      <c r="C5453" t="s">
        <v>1762</v>
      </c>
      <c r="D5453">
        <v>310</v>
      </c>
      <c r="E5453" t="s">
        <v>2037</v>
      </c>
      <c r="F5453">
        <v>1155</v>
      </c>
      <c r="G5453" t="s">
        <v>8</v>
      </c>
      <c r="H5453">
        <v>2155</v>
      </c>
      <c r="I5453" t="s">
        <v>8</v>
      </c>
      <c r="J5453">
        <v>3256</v>
      </c>
      <c r="K5453" t="s">
        <v>819</v>
      </c>
      <c r="L5453">
        <v>4268</v>
      </c>
      <c r="M5453" t="s">
        <v>2063</v>
      </c>
      <c r="N5453" t="s">
        <v>721</v>
      </c>
      <c r="O5453">
        <v>36</v>
      </c>
      <c r="P5453">
        <v>6676</v>
      </c>
      <c r="Q5453" t="s">
        <v>962</v>
      </c>
      <c r="R5453" t="s">
        <v>713</v>
      </c>
      <c r="S5453">
        <v>2</v>
      </c>
      <c r="T5453">
        <v>1</v>
      </c>
      <c r="U5453">
        <v>58.24</v>
      </c>
      <c r="V5453">
        <v>242278</v>
      </c>
    </row>
    <row r="5454" spans="1:22">
      <c r="A5454" t="s">
        <v>196</v>
      </c>
      <c r="B5454">
        <v>84</v>
      </c>
      <c r="C5454" t="s">
        <v>1762</v>
      </c>
      <c r="D5454">
        <v>310</v>
      </c>
      <c r="E5454" t="s">
        <v>2037</v>
      </c>
      <c r="F5454">
        <v>1155</v>
      </c>
      <c r="G5454" t="s">
        <v>8</v>
      </c>
      <c r="H5454">
        <v>2155</v>
      </c>
      <c r="I5454" t="s">
        <v>8</v>
      </c>
      <c r="J5454">
        <v>3256</v>
      </c>
      <c r="K5454" t="s">
        <v>819</v>
      </c>
      <c r="L5454">
        <v>4268</v>
      </c>
      <c r="M5454" t="s">
        <v>2063</v>
      </c>
      <c r="N5454" t="s">
        <v>721</v>
      </c>
      <c r="O5454">
        <v>36</v>
      </c>
      <c r="P5454">
        <v>6674</v>
      </c>
      <c r="Q5454" t="s">
        <v>963</v>
      </c>
      <c r="R5454" t="s">
        <v>713</v>
      </c>
      <c r="S5454">
        <v>5</v>
      </c>
      <c r="T5454">
        <v>1</v>
      </c>
      <c r="U5454">
        <v>60.39</v>
      </c>
      <c r="V5454">
        <v>628056</v>
      </c>
    </row>
    <row r="5455" spans="1:22">
      <c r="A5455" t="s">
        <v>196</v>
      </c>
      <c r="B5455">
        <v>84</v>
      </c>
      <c r="C5455" t="s">
        <v>1762</v>
      </c>
      <c r="D5455">
        <v>310</v>
      </c>
      <c r="E5455" t="s">
        <v>2037</v>
      </c>
      <c r="F5455">
        <v>1155</v>
      </c>
      <c r="G5455" t="s">
        <v>8</v>
      </c>
      <c r="H5455">
        <v>2155</v>
      </c>
      <c r="I5455" t="s">
        <v>8</v>
      </c>
      <c r="J5455">
        <v>3256</v>
      </c>
      <c r="K5455" t="s">
        <v>819</v>
      </c>
      <c r="L5455">
        <v>4268</v>
      </c>
      <c r="M5455" t="s">
        <v>2063</v>
      </c>
      <c r="N5455" t="s">
        <v>721</v>
      </c>
      <c r="O5455">
        <v>32</v>
      </c>
      <c r="P5455">
        <v>5042</v>
      </c>
      <c r="Q5455" t="s">
        <v>965</v>
      </c>
      <c r="R5455" t="s">
        <v>712</v>
      </c>
      <c r="S5455">
        <v>1</v>
      </c>
      <c r="T5455">
        <v>1</v>
      </c>
      <c r="U5455">
        <v>11511.5</v>
      </c>
      <c r="V5455">
        <v>138138</v>
      </c>
    </row>
    <row r="5456" spans="1:22">
      <c r="A5456" t="s">
        <v>196</v>
      </c>
      <c r="B5456">
        <v>84</v>
      </c>
      <c r="C5456" t="s">
        <v>1762</v>
      </c>
      <c r="D5456">
        <v>310</v>
      </c>
      <c r="E5456" t="s">
        <v>2037</v>
      </c>
      <c r="F5456">
        <v>1155</v>
      </c>
      <c r="G5456" t="s">
        <v>8</v>
      </c>
      <c r="H5456">
        <v>2155</v>
      </c>
      <c r="I5456" t="s">
        <v>8</v>
      </c>
      <c r="J5456">
        <v>3256</v>
      </c>
      <c r="K5456" t="s">
        <v>819</v>
      </c>
      <c r="L5456">
        <v>4268</v>
      </c>
      <c r="M5456" t="s">
        <v>2063</v>
      </c>
      <c r="N5456" t="s">
        <v>721</v>
      </c>
      <c r="O5456">
        <v>32</v>
      </c>
      <c r="P5456">
        <v>5040</v>
      </c>
      <c r="Q5456" t="s">
        <v>966</v>
      </c>
      <c r="R5456" t="s">
        <v>713</v>
      </c>
      <c r="S5456">
        <v>3</v>
      </c>
      <c r="T5456">
        <v>1</v>
      </c>
      <c r="U5456">
        <v>63.53</v>
      </c>
      <c r="V5456">
        <v>396427</v>
      </c>
    </row>
    <row r="5457" spans="1:22">
      <c r="A5457" t="s">
        <v>196</v>
      </c>
      <c r="B5457">
        <v>84</v>
      </c>
      <c r="C5457" t="s">
        <v>1762</v>
      </c>
      <c r="D5457">
        <v>310</v>
      </c>
      <c r="E5457" t="s">
        <v>2037</v>
      </c>
      <c r="F5457">
        <v>1155</v>
      </c>
      <c r="G5457" t="s">
        <v>8</v>
      </c>
      <c r="H5457">
        <v>2155</v>
      </c>
      <c r="I5457" t="s">
        <v>8</v>
      </c>
      <c r="J5457">
        <v>3256</v>
      </c>
      <c r="K5457" t="s">
        <v>819</v>
      </c>
      <c r="L5457">
        <v>4268</v>
      </c>
      <c r="M5457" t="s">
        <v>2063</v>
      </c>
      <c r="N5457" t="s">
        <v>721</v>
      </c>
      <c r="O5457">
        <v>32</v>
      </c>
      <c r="P5457">
        <v>5035</v>
      </c>
      <c r="Q5457" t="s">
        <v>967</v>
      </c>
      <c r="R5457" t="s">
        <v>713</v>
      </c>
      <c r="S5457">
        <v>13</v>
      </c>
      <c r="T5457">
        <v>1</v>
      </c>
      <c r="U5457">
        <v>57.75</v>
      </c>
      <c r="V5457">
        <v>1561560</v>
      </c>
    </row>
    <row r="5458" spans="1:22">
      <c r="A5458" t="s">
        <v>196</v>
      </c>
      <c r="B5458">
        <v>84</v>
      </c>
      <c r="C5458" t="s">
        <v>1762</v>
      </c>
      <c r="D5458">
        <v>310</v>
      </c>
      <c r="E5458" t="s">
        <v>2037</v>
      </c>
      <c r="F5458">
        <v>1155</v>
      </c>
      <c r="G5458" t="s">
        <v>8</v>
      </c>
      <c r="H5458">
        <v>2155</v>
      </c>
      <c r="I5458" t="s">
        <v>8</v>
      </c>
      <c r="J5458">
        <v>3256</v>
      </c>
      <c r="K5458" t="s">
        <v>819</v>
      </c>
      <c r="L5458">
        <v>4268</v>
      </c>
      <c r="M5458" t="s">
        <v>2063</v>
      </c>
      <c r="N5458" t="s">
        <v>721</v>
      </c>
      <c r="O5458">
        <v>46</v>
      </c>
      <c r="P5458">
        <v>4836</v>
      </c>
      <c r="Q5458" t="s">
        <v>2064</v>
      </c>
      <c r="R5458" t="s">
        <v>713</v>
      </c>
      <c r="S5458">
        <v>4</v>
      </c>
      <c r="T5458">
        <v>1</v>
      </c>
      <c r="U5458">
        <v>65.959999999999994</v>
      </c>
      <c r="V5458">
        <v>548787</v>
      </c>
    </row>
    <row r="5459" spans="1:22">
      <c r="A5459" t="s">
        <v>196</v>
      </c>
      <c r="B5459">
        <v>84</v>
      </c>
      <c r="C5459" t="s">
        <v>1762</v>
      </c>
      <c r="D5459">
        <v>310</v>
      </c>
      <c r="E5459" t="s">
        <v>2037</v>
      </c>
      <c r="F5459">
        <v>1155</v>
      </c>
      <c r="G5459" t="s">
        <v>8</v>
      </c>
      <c r="H5459">
        <v>2155</v>
      </c>
      <c r="I5459" t="s">
        <v>8</v>
      </c>
      <c r="J5459">
        <v>3256</v>
      </c>
      <c r="K5459" t="s">
        <v>819</v>
      </c>
      <c r="L5459">
        <v>4268</v>
      </c>
      <c r="M5459" t="s">
        <v>2063</v>
      </c>
      <c r="N5459" t="s">
        <v>721</v>
      </c>
      <c r="O5459">
        <v>46</v>
      </c>
      <c r="P5459">
        <v>4834</v>
      </c>
      <c r="Q5459" t="s">
        <v>2034</v>
      </c>
      <c r="R5459" t="s">
        <v>713</v>
      </c>
      <c r="S5459">
        <v>14</v>
      </c>
      <c r="T5459">
        <v>1</v>
      </c>
      <c r="U5459">
        <v>62.46</v>
      </c>
      <c r="V5459">
        <v>1818835</v>
      </c>
    </row>
    <row r="5460" spans="1:22">
      <c r="A5460" t="s">
        <v>196</v>
      </c>
      <c r="B5460">
        <v>84</v>
      </c>
      <c r="C5460" t="s">
        <v>1762</v>
      </c>
      <c r="D5460">
        <v>310</v>
      </c>
      <c r="E5460" t="s">
        <v>2037</v>
      </c>
      <c r="F5460">
        <v>1155</v>
      </c>
      <c r="G5460" t="s">
        <v>8</v>
      </c>
      <c r="H5460">
        <v>2155</v>
      </c>
      <c r="I5460" t="s">
        <v>8</v>
      </c>
      <c r="J5460">
        <v>3256</v>
      </c>
      <c r="K5460" t="s">
        <v>819</v>
      </c>
      <c r="L5460">
        <v>4268</v>
      </c>
      <c r="M5460" t="s">
        <v>2063</v>
      </c>
      <c r="N5460" t="s">
        <v>721</v>
      </c>
      <c r="O5460">
        <v>47</v>
      </c>
      <c r="P5460">
        <v>4805</v>
      </c>
      <c r="Q5460" t="s">
        <v>970</v>
      </c>
      <c r="R5460" t="s">
        <v>713</v>
      </c>
      <c r="S5460">
        <v>4</v>
      </c>
      <c r="T5460">
        <v>1</v>
      </c>
      <c r="U5460">
        <v>59.26</v>
      </c>
      <c r="V5460">
        <v>493043</v>
      </c>
    </row>
    <row r="5461" spans="1:22">
      <c r="A5461" t="s">
        <v>196</v>
      </c>
      <c r="B5461">
        <v>84</v>
      </c>
      <c r="C5461" t="s">
        <v>1762</v>
      </c>
      <c r="D5461">
        <v>310</v>
      </c>
      <c r="E5461" t="s">
        <v>2037</v>
      </c>
      <c r="F5461">
        <v>1155</v>
      </c>
      <c r="G5461" t="s">
        <v>8</v>
      </c>
      <c r="H5461">
        <v>2155</v>
      </c>
      <c r="I5461" t="s">
        <v>8</v>
      </c>
      <c r="J5461">
        <v>3256</v>
      </c>
      <c r="K5461" t="s">
        <v>819</v>
      </c>
      <c r="L5461">
        <v>4268</v>
      </c>
      <c r="M5461" t="s">
        <v>2063</v>
      </c>
      <c r="N5461" t="s">
        <v>721</v>
      </c>
      <c r="O5461">
        <v>47</v>
      </c>
      <c r="P5461">
        <v>4804</v>
      </c>
      <c r="Q5461" t="s">
        <v>2065</v>
      </c>
      <c r="R5461" t="s">
        <v>713</v>
      </c>
      <c r="S5461">
        <v>2</v>
      </c>
      <c r="T5461">
        <v>1</v>
      </c>
      <c r="U5461">
        <v>62.26</v>
      </c>
      <c r="V5461">
        <v>259002</v>
      </c>
    </row>
    <row r="5462" spans="1:22">
      <c r="A5462" t="s">
        <v>196</v>
      </c>
      <c r="B5462">
        <v>84</v>
      </c>
      <c r="C5462" t="s">
        <v>1762</v>
      </c>
      <c r="D5462">
        <v>310</v>
      </c>
      <c r="E5462" t="s">
        <v>2037</v>
      </c>
      <c r="F5462">
        <v>1155</v>
      </c>
      <c r="G5462" t="s">
        <v>8</v>
      </c>
      <c r="H5462">
        <v>2155</v>
      </c>
      <c r="I5462" t="s">
        <v>8</v>
      </c>
      <c r="J5462">
        <v>3256</v>
      </c>
      <c r="K5462" t="s">
        <v>819</v>
      </c>
      <c r="L5462">
        <v>4268</v>
      </c>
      <c r="M5462" t="s">
        <v>2063</v>
      </c>
      <c r="N5462" t="s">
        <v>721</v>
      </c>
      <c r="O5462">
        <v>39</v>
      </c>
      <c r="P5462">
        <v>4636</v>
      </c>
      <c r="Q5462" t="s">
        <v>976</v>
      </c>
      <c r="R5462" t="s">
        <v>713</v>
      </c>
      <c r="S5462">
        <v>1</v>
      </c>
      <c r="T5462">
        <v>1</v>
      </c>
      <c r="U5462">
        <v>61.09</v>
      </c>
      <c r="V5462">
        <v>127067</v>
      </c>
    </row>
    <row r="5463" spans="1:22">
      <c r="A5463" t="s">
        <v>196</v>
      </c>
      <c r="B5463">
        <v>84</v>
      </c>
      <c r="C5463" t="s">
        <v>1762</v>
      </c>
      <c r="D5463">
        <v>310</v>
      </c>
      <c r="E5463" t="s">
        <v>2037</v>
      </c>
      <c r="F5463">
        <v>1155</v>
      </c>
      <c r="G5463" t="s">
        <v>8</v>
      </c>
      <c r="H5463">
        <v>2155</v>
      </c>
      <c r="I5463" t="s">
        <v>8</v>
      </c>
      <c r="J5463">
        <v>3256</v>
      </c>
      <c r="K5463" t="s">
        <v>819</v>
      </c>
      <c r="L5463">
        <v>4268</v>
      </c>
      <c r="M5463" t="s">
        <v>2063</v>
      </c>
      <c r="N5463" t="s">
        <v>721</v>
      </c>
      <c r="O5463">
        <v>39</v>
      </c>
      <c r="P5463">
        <v>4634</v>
      </c>
      <c r="Q5463" t="s">
        <v>977</v>
      </c>
      <c r="R5463" t="s">
        <v>713</v>
      </c>
      <c r="S5463">
        <v>1</v>
      </c>
      <c r="T5463">
        <v>1</v>
      </c>
      <c r="U5463">
        <v>54.3</v>
      </c>
      <c r="V5463">
        <v>112944</v>
      </c>
    </row>
    <row r="5464" spans="1:22">
      <c r="A5464" t="s">
        <v>196</v>
      </c>
      <c r="B5464">
        <v>84</v>
      </c>
      <c r="C5464" t="s">
        <v>1762</v>
      </c>
      <c r="D5464">
        <v>310</v>
      </c>
      <c r="E5464" t="s">
        <v>2037</v>
      </c>
      <c r="F5464">
        <v>1155</v>
      </c>
      <c r="G5464" t="s">
        <v>8</v>
      </c>
      <c r="H5464">
        <v>2155</v>
      </c>
      <c r="I5464" t="s">
        <v>8</v>
      </c>
      <c r="J5464">
        <v>3256</v>
      </c>
      <c r="K5464" t="s">
        <v>819</v>
      </c>
      <c r="L5464">
        <v>4268</v>
      </c>
      <c r="M5464" t="s">
        <v>2063</v>
      </c>
      <c r="N5464" t="s">
        <v>199</v>
      </c>
      <c r="O5464">
        <v>0</v>
      </c>
      <c r="P5464">
        <v>12</v>
      </c>
      <c r="Q5464" t="s">
        <v>724</v>
      </c>
      <c r="R5464" t="s">
        <v>201</v>
      </c>
      <c r="S5464">
        <v>0</v>
      </c>
      <c r="T5464">
        <v>0</v>
      </c>
      <c r="U5464">
        <v>100857</v>
      </c>
      <c r="V5464">
        <v>100857</v>
      </c>
    </row>
    <row r="5465" spans="1:22">
      <c r="A5465" t="s">
        <v>196</v>
      </c>
      <c r="B5465">
        <v>3</v>
      </c>
      <c r="C5465" t="s">
        <v>49</v>
      </c>
      <c r="D5465">
        <v>314</v>
      </c>
      <c r="E5465" t="s">
        <v>2066</v>
      </c>
      <c r="F5465">
        <v>1005</v>
      </c>
      <c r="G5465" t="s">
        <v>49</v>
      </c>
      <c r="H5465">
        <v>2005</v>
      </c>
      <c r="I5465" t="s">
        <v>49</v>
      </c>
      <c r="J5465">
        <v>3015</v>
      </c>
      <c r="K5465" t="s">
        <v>265</v>
      </c>
      <c r="L5465">
        <v>0</v>
      </c>
      <c r="N5465" t="s">
        <v>271</v>
      </c>
      <c r="O5465">
        <v>0</v>
      </c>
      <c r="P5465">
        <v>1262</v>
      </c>
      <c r="Q5465" t="s">
        <v>272</v>
      </c>
      <c r="R5465" t="s">
        <v>201</v>
      </c>
      <c r="S5465">
        <v>1</v>
      </c>
      <c r="T5465">
        <v>1</v>
      </c>
      <c r="U5465">
        <v>131124</v>
      </c>
      <c r="V5465">
        <v>131124</v>
      </c>
    </row>
    <row r="5466" spans="1:22">
      <c r="A5466" t="s">
        <v>196</v>
      </c>
      <c r="B5466">
        <v>3</v>
      </c>
      <c r="C5466" t="s">
        <v>49</v>
      </c>
      <c r="D5466">
        <v>314</v>
      </c>
      <c r="E5466" t="s">
        <v>2066</v>
      </c>
      <c r="F5466">
        <v>1005</v>
      </c>
      <c r="G5466" t="s">
        <v>49</v>
      </c>
      <c r="H5466">
        <v>2005</v>
      </c>
      <c r="I5466" t="s">
        <v>49</v>
      </c>
      <c r="J5466">
        <v>3015</v>
      </c>
      <c r="K5466" t="s">
        <v>265</v>
      </c>
      <c r="L5466">
        <v>0</v>
      </c>
      <c r="N5466" t="s">
        <v>271</v>
      </c>
      <c r="O5466">
        <v>0</v>
      </c>
      <c r="P5466">
        <v>1262</v>
      </c>
      <c r="Q5466" t="s">
        <v>272</v>
      </c>
      <c r="R5466" t="s">
        <v>201</v>
      </c>
      <c r="S5466">
        <v>1</v>
      </c>
      <c r="T5466">
        <v>1</v>
      </c>
      <c r="U5466">
        <v>115992</v>
      </c>
      <c r="V5466">
        <v>115992</v>
      </c>
    </row>
    <row r="5467" spans="1:22">
      <c r="A5467" t="s">
        <v>196</v>
      </c>
      <c r="B5467">
        <v>3</v>
      </c>
      <c r="C5467" t="s">
        <v>49</v>
      </c>
      <c r="D5467">
        <v>314</v>
      </c>
      <c r="E5467" t="s">
        <v>2066</v>
      </c>
      <c r="F5467">
        <v>1005</v>
      </c>
      <c r="G5467" t="s">
        <v>49</v>
      </c>
      <c r="H5467">
        <v>2005</v>
      </c>
      <c r="I5467" t="s">
        <v>49</v>
      </c>
      <c r="J5467">
        <v>3015</v>
      </c>
      <c r="K5467" t="s">
        <v>265</v>
      </c>
      <c r="L5467">
        <v>0</v>
      </c>
      <c r="N5467" t="s">
        <v>199</v>
      </c>
      <c r="O5467">
        <v>0</v>
      </c>
      <c r="P5467">
        <v>15</v>
      </c>
      <c r="Q5467" t="s">
        <v>264</v>
      </c>
      <c r="R5467" t="s">
        <v>201</v>
      </c>
      <c r="S5467">
        <v>0</v>
      </c>
      <c r="T5467">
        <v>0</v>
      </c>
      <c r="U5467">
        <v>3434</v>
      </c>
      <c r="V5467">
        <v>3434</v>
      </c>
    </row>
    <row r="5468" spans="1:22">
      <c r="A5468" t="s">
        <v>196</v>
      </c>
      <c r="B5468">
        <v>3</v>
      </c>
      <c r="C5468" t="s">
        <v>49</v>
      </c>
      <c r="D5468">
        <v>314</v>
      </c>
      <c r="E5468" t="s">
        <v>2066</v>
      </c>
      <c r="F5468">
        <v>1005</v>
      </c>
      <c r="G5468" t="s">
        <v>49</v>
      </c>
      <c r="H5468">
        <v>2005</v>
      </c>
      <c r="I5468" t="s">
        <v>49</v>
      </c>
      <c r="J5468">
        <v>3020</v>
      </c>
      <c r="K5468" t="s">
        <v>277</v>
      </c>
      <c r="L5468">
        <v>0</v>
      </c>
      <c r="N5468" t="s">
        <v>274</v>
      </c>
      <c r="O5468">
        <v>0</v>
      </c>
      <c r="P5468">
        <v>1260</v>
      </c>
      <c r="Q5468" t="s">
        <v>279</v>
      </c>
      <c r="R5468" t="s">
        <v>201</v>
      </c>
      <c r="S5468">
        <v>1</v>
      </c>
      <c r="T5468">
        <v>1</v>
      </c>
      <c r="U5468">
        <v>153384</v>
      </c>
      <c r="V5468">
        <v>153384</v>
      </c>
    </row>
    <row r="5469" spans="1:22">
      <c r="A5469" t="s">
        <v>196</v>
      </c>
      <c r="B5469">
        <v>3</v>
      </c>
      <c r="C5469" t="s">
        <v>49</v>
      </c>
      <c r="D5469">
        <v>314</v>
      </c>
      <c r="E5469" t="s">
        <v>2066</v>
      </c>
      <c r="F5469">
        <v>1005</v>
      </c>
      <c r="G5469" t="s">
        <v>49</v>
      </c>
      <c r="H5469">
        <v>2005</v>
      </c>
      <c r="I5469" t="s">
        <v>49</v>
      </c>
      <c r="J5469">
        <v>3020</v>
      </c>
      <c r="K5469" t="s">
        <v>277</v>
      </c>
      <c r="L5469">
        <v>0</v>
      </c>
      <c r="N5469" t="s">
        <v>274</v>
      </c>
      <c r="O5469">
        <v>0</v>
      </c>
      <c r="P5469">
        <v>1260</v>
      </c>
      <c r="Q5469" t="s">
        <v>279</v>
      </c>
      <c r="R5469" t="s">
        <v>201</v>
      </c>
      <c r="S5469">
        <v>1</v>
      </c>
      <c r="T5469">
        <v>1</v>
      </c>
      <c r="U5469">
        <v>121668</v>
      </c>
      <c r="V5469">
        <v>121668</v>
      </c>
    </row>
    <row r="5470" spans="1:22">
      <c r="A5470" t="s">
        <v>196</v>
      </c>
      <c r="B5470">
        <v>3</v>
      </c>
      <c r="C5470" t="s">
        <v>49</v>
      </c>
      <c r="D5470">
        <v>314</v>
      </c>
      <c r="E5470" t="s">
        <v>2066</v>
      </c>
      <c r="F5470">
        <v>1005</v>
      </c>
      <c r="G5470" t="s">
        <v>49</v>
      </c>
      <c r="H5470">
        <v>2005</v>
      </c>
      <c r="I5470" t="s">
        <v>49</v>
      </c>
      <c r="J5470">
        <v>3020</v>
      </c>
      <c r="K5470" t="s">
        <v>277</v>
      </c>
      <c r="L5470">
        <v>0</v>
      </c>
      <c r="N5470" t="s">
        <v>283</v>
      </c>
      <c r="O5470">
        <v>0</v>
      </c>
      <c r="P5470">
        <v>1219</v>
      </c>
      <c r="Q5470" t="s">
        <v>284</v>
      </c>
      <c r="R5470" t="s">
        <v>201</v>
      </c>
      <c r="S5470">
        <v>1</v>
      </c>
      <c r="T5470">
        <v>1</v>
      </c>
      <c r="U5470">
        <v>68856</v>
      </c>
      <c r="V5470">
        <v>68856</v>
      </c>
    </row>
    <row r="5471" spans="1:22">
      <c r="A5471" t="s">
        <v>196</v>
      </c>
      <c r="B5471">
        <v>3</v>
      </c>
      <c r="C5471" t="s">
        <v>49</v>
      </c>
      <c r="D5471">
        <v>314</v>
      </c>
      <c r="E5471" t="s">
        <v>2066</v>
      </c>
      <c r="F5471">
        <v>1005</v>
      </c>
      <c r="G5471" t="s">
        <v>49</v>
      </c>
      <c r="H5471">
        <v>2005</v>
      </c>
      <c r="I5471" t="s">
        <v>49</v>
      </c>
      <c r="J5471">
        <v>3020</v>
      </c>
      <c r="K5471" t="s">
        <v>277</v>
      </c>
      <c r="L5471">
        <v>0</v>
      </c>
      <c r="N5471" t="s">
        <v>199</v>
      </c>
      <c r="O5471">
        <v>0</v>
      </c>
      <c r="P5471">
        <v>15</v>
      </c>
      <c r="Q5471" t="s">
        <v>264</v>
      </c>
      <c r="R5471" t="s">
        <v>201</v>
      </c>
      <c r="S5471">
        <v>0</v>
      </c>
      <c r="T5471">
        <v>0</v>
      </c>
      <c r="U5471">
        <v>13565</v>
      </c>
      <c r="V5471">
        <v>13565</v>
      </c>
    </row>
    <row r="5472" spans="1:22">
      <c r="A5472" t="s">
        <v>196</v>
      </c>
      <c r="B5472">
        <v>3</v>
      </c>
      <c r="C5472" t="s">
        <v>49</v>
      </c>
      <c r="D5472">
        <v>314</v>
      </c>
      <c r="E5472" t="s">
        <v>2066</v>
      </c>
      <c r="F5472">
        <v>1005</v>
      </c>
      <c r="G5472" t="s">
        <v>49</v>
      </c>
      <c r="H5472">
        <v>2005</v>
      </c>
      <c r="I5472" t="s">
        <v>49</v>
      </c>
      <c r="J5472">
        <v>3027</v>
      </c>
      <c r="K5472" t="s">
        <v>285</v>
      </c>
      <c r="L5472">
        <v>0</v>
      </c>
      <c r="N5472" t="s">
        <v>245</v>
      </c>
      <c r="O5472">
        <v>20</v>
      </c>
      <c r="P5472">
        <v>1127</v>
      </c>
      <c r="Q5472" t="s">
        <v>292</v>
      </c>
      <c r="R5472" t="s">
        <v>201</v>
      </c>
      <c r="S5472">
        <v>1</v>
      </c>
      <c r="T5472">
        <v>1</v>
      </c>
      <c r="U5472">
        <v>129168</v>
      </c>
      <c r="V5472">
        <v>129168</v>
      </c>
    </row>
    <row r="5473" spans="1:22">
      <c r="A5473" t="s">
        <v>196</v>
      </c>
      <c r="B5473">
        <v>3</v>
      </c>
      <c r="C5473" t="s">
        <v>49</v>
      </c>
      <c r="D5473">
        <v>314</v>
      </c>
      <c r="E5473" t="s">
        <v>2066</v>
      </c>
      <c r="F5473">
        <v>1005</v>
      </c>
      <c r="G5473" t="s">
        <v>49</v>
      </c>
      <c r="H5473">
        <v>2005</v>
      </c>
      <c r="I5473" t="s">
        <v>49</v>
      </c>
      <c r="J5473">
        <v>3027</v>
      </c>
      <c r="K5473" t="s">
        <v>285</v>
      </c>
      <c r="L5473">
        <v>0</v>
      </c>
      <c r="N5473" t="s">
        <v>281</v>
      </c>
      <c r="O5473">
        <v>20</v>
      </c>
      <c r="P5473">
        <v>1126</v>
      </c>
      <c r="Q5473" t="s">
        <v>286</v>
      </c>
      <c r="R5473" t="s">
        <v>201</v>
      </c>
      <c r="S5473">
        <v>1</v>
      </c>
      <c r="T5473">
        <v>1</v>
      </c>
      <c r="U5473">
        <v>93156</v>
      </c>
      <c r="V5473">
        <v>93156</v>
      </c>
    </row>
    <row r="5474" spans="1:22">
      <c r="A5474" t="s">
        <v>196</v>
      </c>
      <c r="B5474">
        <v>3</v>
      </c>
      <c r="C5474" t="s">
        <v>49</v>
      </c>
      <c r="D5474">
        <v>314</v>
      </c>
      <c r="E5474" t="s">
        <v>2066</v>
      </c>
      <c r="F5474">
        <v>1005</v>
      </c>
      <c r="G5474" t="s">
        <v>49</v>
      </c>
      <c r="H5474">
        <v>2005</v>
      </c>
      <c r="I5474" t="s">
        <v>49</v>
      </c>
      <c r="J5474">
        <v>3027</v>
      </c>
      <c r="K5474" t="s">
        <v>285</v>
      </c>
      <c r="L5474">
        <v>0</v>
      </c>
      <c r="N5474" t="s">
        <v>199</v>
      </c>
      <c r="O5474">
        <v>0</v>
      </c>
      <c r="P5474">
        <v>15</v>
      </c>
      <c r="Q5474" t="s">
        <v>264</v>
      </c>
      <c r="R5474" t="s">
        <v>201</v>
      </c>
      <c r="S5474">
        <v>0</v>
      </c>
      <c r="T5474">
        <v>0</v>
      </c>
      <c r="U5474">
        <v>5352</v>
      </c>
      <c r="V5474">
        <v>5352</v>
      </c>
    </row>
    <row r="5475" spans="1:22">
      <c r="A5475" t="s">
        <v>196</v>
      </c>
      <c r="B5475">
        <v>28</v>
      </c>
      <c r="C5475" t="s">
        <v>85</v>
      </c>
      <c r="D5475">
        <v>314</v>
      </c>
      <c r="E5475" t="s">
        <v>2066</v>
      </c>
      <c r="F5475">
        <v>1005</v>
      </c>
      <c r="G5475" t="s">
        <v>85</v>
      </c>
      <c r="H5475">
        <v>2005</v>
      </c>
      <c r="I5475" t="s">
        <v>85</v>
      </c>
      <c r="J5475">
        <v>3010</v>
      </c>
      <c r="K5475" t="s">
        <v>754</v>
      </c>
      <c r="L5475">
        <v>0</v>
      </c>
      <c r="N5475" t="s">
        <v>216</v>
      </c>
      <c r="O5475">
        <v>10</v>
      </c>
      <c r="P5475">
        <v>340</v>
      </c>
      <c r="Q5475" t="s">
        <v>753</v>
      </c>
      <c r="R5475" t="s">
        <v>201</v>
      </c>
      <c r="S5475">
        <v>1</v>
      </c>
      <c r="T5475">
        <v>1</v>
      </c>
      <c r="U5475">
        <v>84000</v>
      </c>
      <c r="V5475">
        <v>84000</v>
      </c>
    </row>
    <row r="5476" spans="1:22">
      <c r="A5476" t="s">
        <v>196</v>
      </c>
      <c r="B5476">
        <v>28</v>
      </c>
      <c r="C5476" t="s">
        <v>85</v>
      </c>
      <c r="D5476">
        <v>314</v>
      </c>
      <c r="E5476" t="s">
        <v>2066</v>
      </c>
      <c r="F5476">
        <v>1005</v>
      </c>
      <c r="G5476" t="s">
        <v>85</v>
      </c>
      <c r="H5476">
        <v>2005</v>
      </c>
      <c r="I5476" t="s">
        <v>85</v>
      </c>
      <c r="J5476">
        <v>3010</v>
      </c>
      <c r="K5476" t="s">
        <v>754</v>
      </c>
      <c r="L5476">
        <v>0</v>
      </c>
      <c r="N5476" t="s">
        <v>356</v>
      </c>
      <c r="O5476">
        <v>1</v>
      </c>
      <c r="P5476">
        <v>242</v>
      </c>
      <c r="Q5476" t="s">
        <v>756</v>
      </c>
      <c r="R5476" t="s">
        <v>201</v>
      </c>
      <c r="S5476">
        <v>1</v>
      </c>
      <c r="T5476">
        <v>1</v>
      </c>
      <c r="U5476">
        <v>90144</v>
      </c>
      <c r="V5476">
        <v>90144</v>
      </c>
    </row>
    <row r="5477" spans="1:22">
      <c r="A5477" t="s">
        <v>196</v>
      </c>
      <c r="B5477">
        <v>31</v>
      </c>
      <c r="C5477" t="s">
        <v>27</v>
      </c>
      <c r="D5477">
        <v>314</v>
      </c>
      <c r="E5477" t="s">
        <v>2066</v>
      </c>
      <c r="F5477">
        <v>1005</v>
      </c>
      <c r="G5477" t="s">
        <v>27</v>
      </c>
      <c r="H5477">
        <v>2005</v>
      </c>
      <c r="I5477" t="s">
        <v>27</v>
      </c>
      <c r="J5477">
        <v>3019</v>
      </c>
      <c r="K5477" t="s">
        <v>812</v>
      </c>
      <c r="L5477">
        <v>4003</v>
      </c>
      <c r="M5477" t="s">
        <v>2067</v>
      </c>
      <c r="N5477" t="s">
        <v>794</v>
      </c>
      <c r="O5477">
        <v>9</v>
      </c>
      <c r="P5477">
        <v>1673</v>
      </c>
      <c r="Q5477" t="s">
        <v>795</v>
      </c>
      <c r="R5477" t="s">
        <v>201</v>
      </c>
      <c r="S5477">
        <v>2</v>
      </c>
      <c r="T5477">
        <v>1</v>
      </c>
      <c r="U5477">
        <v>118596</v>
      </c>
      <c r="V5477">
        <v>237192</v>
      </c>
    </row>
    <row r="5478" spans="1:22">
      <c r="A5478" t="s">
        <v>196</v>
      </c>
      <c r="B5478">
        <v>31</v>
      </c>
      <c r="C5478" t="s">
        <v>27</v>
      </c>
      <c r="D5478">
        <v>314</v>
      </c>
      <c r="E5478" t="s">
        <v>2066</v>
      </c>
      <c r="F5478">
        <v>1005</v>
      </c>
      <c r="G5478" t="s">
        <v>27</v>
      </c>
      <c r="H5478">
        <v>2005</v>
      </c>
      <c r="I5478" t="s">
        <v>27</v>
      </c>
      <c r="J5478">
        <v>3019</v>
      </c>
      <c r="K5478" t="s">
        <v>812</v>
      </c>
      <c r="L5478">
        <v>4003</v>
      </c>
      <c r="M5478" t="s">
        <v>2067</v>
      </c>
      <c r="N5478" t="s">
        <v>794</v>
      </c>
      <c r="O5478">
        <v>9</v>
      </c>
      <c r="P5478">
        <v>1673</v>
      </c>
      <c r="Q5478" t="s">
        <v>795</v>
      </c>
      <c r="R5478" t="s">
        <v>201</v>
      </c>
      <c r="S5478">
        <v>1</v>
      </c>
      <c r="T5478">
        <v>1</v>
      </c>
      <c r="U5478">
        <v>85704</v>
      </c>
      <c r="V5478">
        <v>85704</v>
      </c>
    </row>
    <row r="5479" spans="1:22">
      <c r="A5479" t="s">
        <v>196</v>
      </c>
      <c r="B5479">
        <v>31</v>
      </c>
      <c r="C5479" t="s">
        <v>27</v>
      </c>
      <c r="D5479">
        <v>314</v>
      </c>
      <c r="E5479" t="s">
        <v>2066</v>
      </c>
      <c r="F5479">
        <v>1005</v>
      </c>
      <c r="G5479" t="s">
        <v>27</v>
      </c>
      <c r="H5479">
        <v>2005</v>
      </c>
      <c r="I5479" t="s">
        <v>27</v>
      </c>
      <c r="J5479">
        <v>3019</v>
      </c>
      <c r="K5479" t="s">
        <v>812</v>
      </c>
      <c r="L5479">
        <v>4003</v>
      </c>
      <c r="M5479" t="s">
        <v>2067</v>
      </c>
      <c r="N5479" t="s">
        <v>796</v>
      </c>
      <c r="O5479">
        <v>9</v>
      </c>
      <c r="P5479">
        <v>1652</v>
      </c>
      <c r="Q5479" t="s">
        <v>797</v>
      </c>
      <c r="R5479" t="s">
        <v>201</v>
      </c>
      <c r="S5479">
        <v>1</v>
      </c>
      <c r="T5479">
        <v>1</v>
      </c>
      <c r="U5479">
        <v>173160</v>
      </c>
      <c r="V5479">
        <v>173160</v>
      </c>
    </row>
    <row r="5480" spans="1:22">
      <c r="A5480" t="s">
        <v>196</v>
      </c>
      <c r="B5480">
        <v>31</v>
      </c>
      <c r="C5480" t="s">
        <v>27</v>
      </c>
      <c r="D5480">
        <v>314</v>
      </c>
      <c r="E5480" t="s">
        <v>2066</v>
      </c>
      <c r="F5480">
        <v>1005</v>
      </c>
      <c r="G5480" t="s">
        <v>27</v>
      </c>
      <c r="H5480">
        <v>2005</v>
      </c>
      <c r="I5480" t="s">
        <v>27</v>
      </c>
      <c r="J5480">
        <v>3019</v>
      </c>
      <c r="K5480" t="s">
        <v>812</v>
      </c>
      <c r="L5480">
        <v>4003</v>
      </c>
      <c r="M5480" t="s">
        <v>2067</v>
      </c>
      <c r="N5480" t="s">
        <v>785</v>
      </c>
      <c r="O5480">
        <v>9</v>
      </c>
      <c r="P5480">
        <v>1650</v>
      </c>
      <c r="Q5480" t="s">
        <v>786</v>
      </c>
      <c r="R5480" t="s">
        <v>201</v>
      </c>
      <c r="S5480">
        <v>1</v>
      </c>
      <c r="T5480">
        <v>1</v>
      </c>
      <c r="U5480">
        <v>192852</v>
      </c>
      <c r="V5480">
        <v>192852</v>
      </c>
    </row>
    <row r="5481" spans="1:22">
      <c r="A5481" t="s">
        <v>196</v>
      </c>
      <c r="B5481">
        <v>31</v>
      </c>
      <c r="C5481" t="s">
        <v>27</v>
      </c>
      <c r="D5481">
        <v>314</v>
      </c>
      <c r="E5481" t="s">
        <v>2066</v>
      </c>
      <c r="F5481">
        <v>1005</v>
      </c>
      <c r="G5481" t="s">
        <v>27</v>
      </c>
      <c r="H5481">
        <v>2005</v>
      </c>
      <c r="I5481" t="s">
        <v>27</v>
      </c>
      <c r="J5481">
        <v>3019</v>
      </c>
      <c r="K5481" t="s">
        <v>812</v>
      </c>
      <c r="L5481">
        <v>4003</v>
      </c>
      <c r="M5481" t="s">
        <v>2067</v>
      </c>
      <c r="N5481" t="s">
        <v>798</v>
      </c>
      <c r="O5481">
        <v>9</v>
      </c>
      <c r="P5481">
        <v>1641</v>
      </c>
      <c r="Q5481" t="s">
        <v>799</v>
      </c>
      <c r="R5481" t="s">
        <v>201</v>
      </c>
      <c r="S5481">
        <v>1</v>
      </c>
      <c r="T5481">
        <v>1</v>
      </c>
      <c r="U5481">
        <v>164100</v>
      </c>
      <c r="V5481">
        <v>164100</v>
      </c>
    </row>
    <row r="5482" spans="1:22">
      <c r="A5482" t="s">
        <v>196</v>
      </c>
      <c r="B5482">
        <v>31</v>
      </c>
      <c r="C5482" t="s">
        <v>27</v>
      </c>
      <c r="D5482">
        <v>314</v>
      </c>
      <c r="E5482" t="s">
        <v>2066</v>
      </c>
      <c r="F5482">
        <v>1005</v>
      </c>
      <c r="G5482" t="s">
        <v>27</v>
      </c>
      <c r="H5482">
        <v>2005</v>
      </c>
      <c r="I5482" t="s">
        <v>27</v>
      </c>
      <c r="J5482">
        <v>3019</v>
      </c>
      <c r="K5482" t="s">
        <v>812</v>
      </c>
      <c r="L5482">
        <v>4003</v>
      </c>
      <c r="M5482" t="s">
        <v>2067</v>
      </c>
      <c r="N5482" t="s">
        <v>199</v>
      </c>
      <c r="O5482">
        <v>0</v>
      </c>
      <c r="P5482">
        <v>15</v>
      </c>
      <c r="Q5482" t="s">
        <v>264</v>
      </c>
      <c r="R5482" t="s">
        <v>201</v>
      </c>
      <c r="S5482">
        <v>0</v>
      </c>
      <c r="T5482">
        <v>0</v>
      </c>
      <c r="U5482">
        <v>8991</v>
      </c>
      <c r="V5482">
        <v>8991</v>
      </c>
    </row>
    <row r="5483" spans="1:22">
      <c r="A5483" t="s">
        <v>196</v>
      </c>
      <c r="B5483">
        <v>31</v>
      </c>
      <c r="C5483" t="s">
        <v>27</v>
      </c>
      <c r="D5483">
        <v>314</v>
      </c>
      <c r="E5483" t="s">
        <v>2066</v>
      </c>
      <c r="F5483">
        <v>1005</v>
      </c>
      <c r="G5483" t="s">
        <v>27</v>
      </c>
      <c r="H5483">
        <v>2005</v>
      </c>
      <c r="I5483" t="s">
        <v>27</v>
      </c>
      <c r="J5483">
        <v>3349</v>
      </c>
      <c r="K5483" t="s">
        <v>838</v>
      </c>
      <c r="L5483">
        <v>0</v>
      </c>
      <c r="N5483" t="s">
        <v>798</v>
      </c>
      <c r="O5483">
        <v>9</v>
      </c>
      <c r="P5483">
        <v>1641</v>
      </c>
      <c r="Q5483" t="s">
        <v>799</v>
      </c>
      <c r="R5483" t="s">
        <v>201</v>
      </c>
      <c r="S5483">
        <v>1</v>
      </c>
      <c r="T5483">
        <v>1</v>
      </c>
      <c r="U5483">
        <v>142776</v>
      </c>
      <c r="V5483">
        <v>142776</v>
      </c>
    </row>
    <row r="5484" spans="1:22">
      <c r="A5484" t="s">
        <v>196</v>
      </c>
      <c r="B5484">
        <v>38</v>
      </c>
      <c r="C5484" t="s">
        <v>922</v>
      </c>
      <c r="D5484">
        <v>314</v>
      </c>
      <c r="E5484" t="s">
        <v>2066</v>
      </c>
      <c r="F5484">
        <v>1005</v>
      </c>
      <c r="G5484" t="s">
        <v>923</v>
      </c>
      <c r="H5484">
        <v>2140</v>
      </c>
      <c r="I5484" t="s">
        <v>25</v>
      </c>
      <c r="J5484">
        <v>3223</v>
      </c>
      <c r="K5484" t="s">
        <v>2068</v>
      </c>
      <c r="L5484">
        <v>0</v>
      </c>
      <c r="N5484" t="s">
        <v>721</v>
      </c>
      <c r="O5484">
        <v>42</v>
      </c>
      <c r="P5484">
        <v>7638</v>
      </c>
      <c r="Q5484" t="s">
        <v>1036</v>
      </c>
      <c r="R5484" t="s">
        <v>713</v>
      </c>
      <c r="S5484">
        <v>14</v>
      </c>
      <c r="T5484">
        <v>1</v>
      </c>
      <c r="U5484">
        <v>67.8</v>
      </c>
      <c r="V5484">
        <v>1974336</v>
      </c>
    </row>
    <row r="5485" spans="1:22">
      <c r="A5485" t="s">
        <v>196</v>
      </c>
      <c r="B5485">
        <v>38</v>
      </c>
      <c r="C5485" t="s">
        <v>922</v>
      </c>
      <c r="D5485">
        <v>314</v>
      </c>
      <c r="E5485" t="s">
        <v>2066</v>
      </c>
      <c r="F5485">
        <v>1005</v>
      </c>
      <c r="G5485" t="s">
        <v>923</v>
      </c>
      <c r="H5485">
        <v>2140</v>
      </c>
      <c r="I5485" t="s">
        <v>25</v>
      </c>
      <c r="J5485">
        <v>3223</v>
      </c>
      <c r="K5485" t="s">
        <v>2068</v>
      </c>
      <c r="L5485">
        <v>0</v>
      </c>
      <c r="N5485" t="s">
        <v>721</v>
      </c>
      <c r="O5485">
        <v>42</v>
      </c>
      <c r="P5485">
        <v>7635</v>
      </c>
      <c r="Q5485" t="s">
        <v>1739</v>
      </c>
      <c r="R5485" t="s">
        <v>713</v>
      </c>
      <c r="S5485">
        <v>1</v>
      </c>
      <c r="T5485">
        <v>1</v>
      </c>
      <c r="U5485">
        <v>68.8</v>
      </c>
      <c r="V5485">
        <v>143104</v>
      </c>
    </row>
    <row r="5486" spans="1:22">
      <c r="A5486" t="s">
        <v>196</v>
      </c>
      <c r="B5486">
        <v>38</v>
      </c>
      <c r="C5486" t="s">
        <v>922</v>
      </c>
      <c r="D5486">
        <v>314</v>
      </c>
      <c r="E5486" t="s">
        <v>2066</v>
      </c>
      <c r="F5486">
        <v>1005</v>
      </c>
      <c r="G5486" t="s">
        <v>923</v>
      </c>
      <c r="H5486">
        <v>2140</v>
      </c>
      <c r="I5486" t="s">
        <v>25</v>
      </c>
      <c r="J5486">
        <v>3223</v>
      </c>
      <c r="K5486" t="s">
        <v>2068</v>
      </c>
      <c r="L5486">
        <v>0</v>
      </c>
      <c r="N5486" t="s">
        <v>721</v>
      </c>
      <c r="O5486">
        <v>42</v>
      </c>
      <c r="P5486">
        <v>7634</v>
      </c>
      <c r="Q5486" t="s">
        <v>1037</v>
      </c>
      <c r="R5486" t="s">
        <v>713</v>
      </c>
      <c r="S5486">
        <v>1</v>
      </c>
      <c r="T5486">
        <v>1</v>
      </c>
      <c r="U5486">
        <v>68.8</v>
      </c>
      <c r="V5486">
        <v>143104</v>
      </c>
    </row>
    <row r="5487" spans="1:22">
      <c r="A5487" t="s">
        <v>196</v>
      </c>
      <c r="B5487">
        <v>38</v>
      </c>
      <c r="C5487" t="s">
        <v>922</v>
      </c>
      <c r="D5487">
        <v>314</v>
      </c>
      <c r="E5487" t="s">
        <v>2066</v>
      </c>
      <c r="F5487">
        <v>1005</v>
      </c>
      <c r="G5487" t="s">
        <v>923</v>
      </c>
      <c r="H5487">
        <v>2140</v>
      </c>
      <c r="I5487" t="s">
        <v>25</v>
      </c>
      <c r="J5487">
        <v>3223</v>
      </c>
      <c r="K5487" t="s">
        <v>2068</v>
      </c>
      <c r="L5487">
        <v>0</v>
      </c>
      <c r="N5487" t="s">
        <v>721</v>
      </c>
      <c r="O5487">
        <v>36</v>
      </c>
      <c r="P5487">
        <v>6679</v>
      </c>
      <c r="Q5487" t="s">
        <v>1044</v>
      </c>
      <c r="R5487" t="s">
        <v>713</v>
      </c>
      <c r="S5487">
        <v>1</v>
      </c>
      <c r="T5487">
        <v>1</v>
      </c>
      <c r="U5487">
        <v>58.24</v>
      </c>
      <c r="V5487">
        <v>121139</v>
      </c>
    </row>
    <row r="5488" spans="1:22">
      <c r="A5488" t="s">
        <v>196</v>
      </c>
      <c r="B5488">
        <v>38</v>
      </c>
      <c r="C5488" t="s">
        <v>922</v>
      </c>
      <c r="D5488">
        <v>314</v>
      </c>
      <c r="E5488" t="s">
        <v>2066</v>
      </c>
      <c r="F5488">
        <v>1005</v>
      </c>
      <c r="G5488" t="s">
        <v>923</v>
      </c>
      <c r="H5488">
        <v>2140</v>
      </c>
      <c r="I5488" t="s">
        <v>25</v>
      </c>
      <c r="J5488">
        <v>3223</v>
      </c>
      <c r="K5488" t="s">
        <v>2068</v>
      </c>
      <c r="L5488">
        <v>0</v>
      </c>
      <c r="N5488" t="s">
        <v>721</v>
      </c>
      <c r="O5488">
        <v>36</v>
      </c>
      <c r="P5488">
        <v>6673</v>
      </c>
      <c r="Q5488" t="s">
        <v>1045</v>
      </c>
      <c r="R5488" t="s">
        <v>713</v>
      </c>
      <c r="S5488">
        <v>9</v>
      </c>
      <c r="T5488">
        <v>1</v>
      </c>
      <c r="U5488">
        <v>60.39</v>
      </c>
      <c r="V5488">
        <v>1130501</v>
      </c>
    </row>
    <row r="5489" spans="1:22">
      <c r="A5489" t="s">
        <v>196</v>
      </c>
      <c r="B5489">
        <v>38</v>
      </c>
      <c r="C5489" t="s">
        <v>922</v>
      </c>
      <c r="D5489">
        <v>314</v>
      </c>
      <c r="E5489" t="s">
        <v>2066</v>
      </c>
      <c r="F5489">
        <v>1005</v>
      </c>
      <c r="G5489" t="s">
        <v>923</v>
      </c>
      <c r="H5489">
        <v>2140</v>
      </c>
      <c r="I5489" t="s">
        <v>25</v>
      </c>
      <c r="J5489">
        <v>3223</v>
      </c>
      <c r="K5489" t="s">
        <v>2068</v>
      </c>
      <c r="L5489">
        <v>0</v>
      </c>
      <c r="N5489" t="s">
        <v>721</v>
      </c>
      <c r="O5489">
        <v>24</v>
      </c>
      <c r="P5489">
        <v>6605</v>
      </c>
      <c r="Q5489" t="s">
        <v>1047</v>
      </c>
      <c r="R5489" t="s">
        <v>713</v>
      </c>
      <c r="S5489">
        <v>1</v>
      </c>
      <c r="T5489">
        <v>1</v>
      </c>
      <c r="U5489">
        <v>56.1</v>
      </c>
      <c r="V5489">
        <v>116688</v>
      </c>
    </row>
    <row r="5490" spans="1:22">
      <c r="A5490" t="s">
        <v>196</v>
      </c>
      <c r="B5490">
        <v>38</v>
      </c>
      <c r="C5490" t="s">
        <v>922</v>
      </c>
      <c r="D5490">
        <v>314</v>
      </c>
      <c r="E5490" t="s">
        <v>2066</v>
      </c>
      <c r="F5490">
        <v>1005</v>
      </c>
      <c r="G5490" t="s">
        <v>923</v>
      </c>
      <c r="H5490">
        <v>2140</v>
      </c>
      <c r="I5490" t="s">
        <v>25</v>
      </c>
      <c r="J5490">
        <v>3223</v>
      </c>
      <c r="K5490" t="s">
        <v>2068</v>
      </c>
      <c r="L5490">
        <v>0</v>
      </c>
      <c r="N5490" t="s">
        <v>721</v>
      </c>
      <c r="O5490">
        <v>32</v>
      </c>
      <c r="P5490">
        <v>5034</v>
      </c>
      <c r="Q5490" t="s">
        <v>1049</v>
      </c>
      <c r="R5490" t="s">
        <v>713</v>
      </c>
      <c r="S5490">
        <v>1</v>
      </c>
      <c r="T5490">
        <v>1</v>
      </c>
      <c r="U5490">
        <v>57.75</v>
      </c>
      <c r="V5490">
        <v>120120</v>
      </c>
    </row>
    <row r="5491" spans="1:22">
      <c r="A5491" t="s">
        <v>196</v>
      </c>
      <c r="B5491">
        <v>38</v>
      </c>
      <c r="C5491" t="s">
        <v>922</v>
      </c>
      <c r="D5491">
        <v>314</v>
      </c>
      <c r="E5491" t="s">
        <v>2066</v>
      </c>
      <c r="F5491">
        <v>1005</v>
      </c>
      <c r="G5491" t="s">
        <v>923</v>
      </c>
      <c r="H5491">
        <v>2140</v>
      </c>
      <c r="I5491" t="s">
        <v>25</v>
      </c>
      <c r="J5491">
        <v>3223</v>
      </c>
      <c r="K5491" t="s">
        <v>2068</v>
      </c>
      <c r="L5491">
        <v>0</v>
      </c>
      <c r="N5491" t="s">
        <v>199</v>
      </c>
      <c r="O5491">
        <v>0</v>
      </c>
      <c r="P5491">
        <v>12</v>
      </c>
      <c r="Q5491" t="s">
        <v>724</v>
      </c>
      <c r="R5491" t="s">
        <v>201</v>
      </c>
      <c r="S5491">
        <v>0</v>
      </c>
      <c r="T5491">
        <v>0</v>
      </c>
      <c r="U5491">
        <v>56236</v>
      </c>
      <c r="V5491">
        <v>56236</v>
      </c>
    </row>
    <row r="5492" spans="1:22">
      <c r="A5492" t="s">
        <v>196</v>
      </c>
      <c r="B5492">
        <v>67</v>
      </c>
      <c r="C5492" t="s">
        <v>33</v>
      </c>
      <c r="D5492">
        <v>314</v>
      </c>
      <c r="E5492" t="s">
        <v>2066</v>
      </c>
      <c r="F5492">
        <v>1005</v>
      </c>
      <c r="G5492" t="s">
        <v>33</v>
      </c>
      <c r="H5492">
        <v>2005</v>
      </c>
      <c r="I5492" t="s">
        <v>33</v>
      </c>
      <c r="J5492">
        <v>3030</v>
      </c>
      <c r="K5492" t="s">
        <v>1868</v>
      </c>
      <c r="L5492">
        <v>0</v>
      </c>
      <c r="N5492" t="s">
        <v>266</v>
      </c>
      <c r="O5492">
        <v>9</v>
      </c>
      <c r="P5492">
        <v>9679</v>
      </c>
      <c r="Q5492" t="s">
        <v>338</v>
      </c>
      <c r="R5492" t="s">
        <v>201</v>
      </c>
      <c r="S5492">
        <v>1</v>
      </c>
      <c r="T5492">
        <v>1</v>
      </c>
      <c r="U5492">
        <v>175512</v>
      </c>
      <c r="V5492">
        <v>175512</v>
      </c>
    </row>
    <row r="5493" spans="1:22">
      <c r="A5493" t="s">
        <v>196</v>
      </c>
      <c r="B5493">
        <v>67</v>
      </c>
      <c r="C5493" t="s">
        <v>33</v>
      </c>
      <c r="D5493">
        <v>314</v>
      </c>
      <c r="E5493" t="s">
        <v>2066</v>
      </c>
      <c r="F5493">
        <v>1005</v>
      </c>
      <c r="G5493" t="s">
        <v>33</v>
      </c>
      <c r="H5493">
        <v>2005</v>
      </c>
      <c r="I5493" t="s">
        <v>33</v>
      </c>
      <c r="J5493">
        <v>3030</v>
      </c>
      <c r="K5493" t="s">
        <v>1868</v>
      </c>
      <c r="L5493">
        <v>0</v>
      </c>
      <c r="N5493" t="s">
        <v>341</v>
      </c>
      <c r="O5493">
        <v>1</v>
      </c>
      <c r="P5493">
        <v>6143</v>
      </c>
      <c r="Q5493" t="s">
        <v>1833</v>
      </c>
      <c r="R5493" t="s">
        <v>201</v>
      </c>
      <c r="S5493">
        <v>1</v>
      </c>
      <c r="T5493">
        <v>1</v>
      </c>
      <c r="U5493">
        <v>119100</v>
      </c>
      <c r="V5493">
        <v>119100</v>
      </c>
    </row>
    <row r="5494" spans="1:22">
      <c r="A5494" t="s">
        <v>196</v>
      </c>
      <c r="B5494">
        <v>67</v>
      </c>
      <c r="C5494" t="s">
        <v>33</v>
      </c>
      <c r="D5494">
        <v>314</v>
      </c>
      <c r="E5494" t="s">
        <v>2066</v>
      </c>
      <c r="F5494">
        <v>1005</v>
      </c>
      <c r="G5494" t="s">
        <v>33</v>
      </c>
      <c r="H5494">
        <v>2005</v>
      </c>
      <c r="I5494" t="s">
        <v>33</v>
      </c>
      <c r="J5494">
        <v>3030</v>
      </c>
      <c r="K5494" t="s">
        <v>1868</v>
      </c>
      <c r="L5494">
        <v>0</v>
      </c>
      <c r="N5494" t="s">
        <v>1908</v>
      </c>
      <c r="O5494">
        <v>20</v>
      </c>
      <c r="P5494">
        <v>5675</v>
      </c>
      <c r="Q5494" t="s">
        <v>2069</v>
      </c>
      <c r="R5494" t="s">
        <v>201</v>
      </c>
      <c r="S5494">
        <v>1</v>
      </c>
      <c r="T5494">
        <v>1</v>
      </c>
      <c r="U5494">
        <v>140496</v>
      </c>
      <c r="V5494">
        <v>140496</v>
      </c>
    </row>
    <row r="5495" spans="1:22">
      <c r="A5495" t="s">
        <v>196</v>
      </c>
      <c r="B5495">
        <v>67</v>
      </c>
      <c r="C5495" t="s">
        <v>33</v>
      </c>
      <c r="D5495">
        <v>314</v>
      </c>
      <c r="E5495" t="s">
        <v>2066</v>
      </c>
      <c r="F5495">
        <v>1005</v>
      </c>
      <c r="G5495" t="s">
        <v>33</v>
      </c>
      <c r="H5495">
        <v>2005</v>
      </c>
      <c r="I5495" t="s">
        <v>33</v>
      </c>
      <c r="J5495">
        <v>3030</v>
      </c>
      <c r="K5495" t="s">
        <v>1868</v>
      </c>
      <c r="L5495">
        <v>0</v>
      </c>
      <c r="N5495" t="s">
        <v>602</v>
      </c>
      <c r="O5495">
        <v>4</v>
      </c>
      <c r="P5495">
        <v>5425</v>
      </c>
      <c r="Q5495" t="s">
        <v>1595</v>
      </c>
      <c r="R5495" t="s">
        <v>201</v>
      </c>
      <c r="S5495">
        <v>2</v>
      </c>
      <c r="T5495">
        <v>1</v>
      </c>
      <c r="U5495">
        <v>99408</v>
      </c>
      <c r="V5495">
        <v>198816</v>
      </c>
    </row>
    <row r="5496" spans="1:22">
      <c r="A5496" t="s">
        <v>196</v>
      </c>
      <c r="B5496">
        <v>67</v>
      </c>
      <c r="C5496" t="s">
        <v>33</v>
      </c>
      <c r="D5496">
        <v>314</v>
      </c>
      <c r="E5496" t="s">
        <v>2066</v>
      </c>
      <c r="F5496">
        <v>1005</v>
      </c>
      <c r="G5496" t="s">
        <v>33</v>
      </c>
      <c r="H5496">
        <v>2005</v>
      </c>
      <c r="I5496" t="s">
        <v>33</v>
      </c>
      <c r="J5496">
        <v>3030</v>
      </c>
      <c r="K5496" t="s">
        <v>1868</v>
      </c>
      <c r="L5496">
        <v>0</v>
      </c>
      <c r="N5496" t="s">
        <v>251</v>
      </c>
      <c r="O5496">
        <v>10</v>
      </c>
      <c r="P5496">
        <v>802</v>
      </c>
      <c r="Q5496" t="s">
        <v>252</v>
      </c>
      <c r="R5496" t="s">
        <v>201</v>
      </c>
      <c r="S5496">
        <v>1</v>
      </c>
      <c r="T5496">
        <v>1</v>
      </c>
      <c r="U5496">
        <v>94332</v>
      </c>
      <c r="V5496">
        <v>94332</v>
      </c>
    </row>
    <row r="5497" spans="1:22">
      <c r="A5497" t="s">
        <v>196</v>
      </c>
      <c r="B5497">
        <v>67</v>
      </c>
      <c r="C5497" t="s">
        <v>33</v>
      </c>
      <c r="D5497">
        <v>314</v>
      </c>
      <c r="E5497" t="s">
        <v>2066</v>
      </c>
      <c r="F5497">
        <v>1005</v>
      </c>
      <c r="G5497" t="s">
        <v>33</v>
      </c>
      <c r="H5497">
        <v>2005</v>
      </c>
      <c r="I5497" t="s">
        <v>33</v>
      </c>
      <c r="J5497">
        <v>3030</v>
      </c>
      <c r="K5497" t="s">
        <v>1868</v>
      </c>
      <c r="L5497">
        <v>0</v>
      </c>
      <c r="N5497" t="s">
        <v>351</v>
      </c>
      <c r="O5497">
        <v>1</v>
      </c>
      <c r="P5497" t="s">
        <v>352</v>
      </c>
      <c r="Q5497" t="s">
        <v>353</v>
      </c>
      <c r="R5497" t="s">
        <v>201</v>
      </c>
      <c r="S5497">
        <v>1</v>
      </c>
      <c r="T5497">
        <v>1</v>
      </c>
      <c r="U5497">
        <v>103608</v>
      </c>
      <c r="V5497">
        <v>103608</v>
      </c>
    </row>
    <row r="5498" spans="1:22">
      <c r="A5498" t="s">
        <v>196</v>
      </c>
      <c r="B5498">
        <v>67</v>
      </c>
      <c r="C5498" t="s">
        <v>33</v>
      </c>
      <c r="D5498">
        <v>314</v>
      </c>
      <c r="E5498" t="s">
        <v>2066</v>
      </c>
      <c r="F5498">
        <v>1005</v>
      </c>
      <c r="G5498" t="s">
        <v>33</v>
      </c>
      <c r="H5498">
        <v>2005</v>
      </c>
      <c r="I5498" t="s">
        <v>33</v>
      </c>
      <c r="J5498">
        <v>3030</v>
      </c>
      <c r="K5498" t="s">
        <v>1868</v>
      </c>
      <c r="L5498">
        <v>0</v>
      </c>
      <c r="N5498" t="s">
        <v>622</v>
      </c>
      <c r="O5498">
        <v>1</v>
      </c>
      <c r="P5498" t="s">
        <v>667</v>
      </c>
      <c r="Q5498" t="s">
        <v>205</v>
      </c>
      <c r="R5498" t="s">
        <v>201</v>
      </c>
      <c r="S5498">
        <v>1</v>
      </c>
      <c r="T5498">
        <v>1</v>
      </c>
      <c r="U5498">
        <v>90144</v>
      </c>
      <c r="V5498">
        <v>90144</v>
      </c>
    </row>
    <row r="5499" spans="1:22">
      <c r="A5499" t="s">
        <v>196</v>
      </c>
      <c r="B5499">
        <v>67</v>
      </c>
      <c r="C5499" t="s">
        <v>33</v>
      </c>
      <c r="D5499">
        <v>314</v>
      </c>
      <c r="E5499" t="s">
        <v>2066</v>
      </c>
      <c r="F5499">
        <v>1005</v>
      </c>
      <c r="G5499" t="s">
        <v>33</v>
      </c>
      <c r="H5499">
        <v>2005</v>
      </c>
      <c r="I5499" t="s">
        <v>33</v>
      </c>
      <c r="J5499">
        <v>3030</v>
      </c>
      <c r="K5499" t="s">
        <v>1868</v>
      </c>
      <c r="L5499">
        <v>0</v>
      </c>
      <c r="N5499" t="s">
        <v>622</v>
      </c>
      <c r="O5499">
        <v>1</v>
      </c>
      <c r="P5499" t="s">
        <v>667</v>
      </c>
      <c r="Q5499" t="s">
        <v>205</v>
      </c>
      <c r="R5499" t="s">
        <v>201</v>
      </c>
      <c r="S5499">
        <v>1</v>
      </c>
      <c r="T5499">
        <v>1</v>
      </c>
      <c r="U5499">
        <v>68256</v>
      </c>
      <c r="V5499">
        <v>68256</v>
      </c>
    </row>
    <row r="5500" spans="1:22">
      <c r="A5500" t="s">
        <v>196</v>
      </c>
      <c r="B5500">
        <v>67</v>
      </c>
      <c r="C5500" t="s">
        <v>33</v>
      </c>
      <c r="D5500">
        <v>314</v>
      </c>
      <c r="E5500" t="s">
        <v>2066</v>
      </c>
      <c r="F5500">
        <v>1005</v>
      </c>
      <c r="G5500" t="s">
        <v>33</v>
      </c>
      <c r="H5500">
        <v>2005</v>
      </c>
      <c r="I5500" t="s">
        <v>33</v>
      </c>
      <c r="J5500">
        <v>3030</v>
      </c>
      <c r="K5500" t="s">
        <v>1868</v>
      </c>
      <c r="L5500">
        <v>0</v>
      </c>
      <c r="N5500" t="s">
        <v>274</v>
      </c>
      <c r="O5500">
        <v>9</v>
      </c>
      <c r="P5500">
        <v>313</v>
      </c>
      <c r="Q5500" t="s">
        <v>605</v>
      </c>
      <c r="R5500" t="s">
        <v>201</v>
      </c>
      <c r="S5500">
        <v>1</v>
      </c>
      <c r="T5500">
        <v>1</v>
      </c>
      <c r="U5500">
        <v>137532</v>
      </c>
      <c r="V5500">
        <v>137532</v>
      </c>
    </row>
    <row r="5501" spans="1:22">
      <c r="A5501" t="s">
        <v>196</v>
      </c>
      <c r="B5501">
        <v>67</v>
      </c>
      <c r="C5501" t="s">
        <v>33</v>
      </c>
      <c r="D5501">
        <v>314</v>
      </c>
      <c r="E5501" t="s">
        <v>2066</v>
      </c>
      <c r="F5501">
        <v>1005</v>
      </c>
      <c r="G5501" t="s">
        <v>33</v>
      </c>
      <c r="H5501">
        <v>2005</v>
      </c>
      <c r="I5501" t="s">
        <v>33</v>
      </c>
      <c r="J5501">
        <v>3030</v>
      </c>
      <c r="K5501" t="s">
        <v>1868</v>
      </c>
      <c r="L5501">
        <v>0</v>
      </c>
      <c r="N5501" t="s">
        <v>249</v>
      </c>
      <c r="O5501">
        <v>10</v>
      </c>
      <c r="P5501">
        <v>311</v>
      </c>
      <c r="Q5501" t="s">
        <v>661</v>
      </c>
      <c r="R5501" t="s">
        <v>201</v>
      </c>
      <c r="S5501">
        <v>2</v>
      </c>
      <c r="T5501">
        <v>1</v>
      </c>
      <c r="U5501">
        <v>124584</v>
      </c>
      <c r="V5501">
        <v>249168</v>
      </c>
    </row>
    <row r="5502" spans="1:22">
      <c r="A5502" t="s">
        <v>196</v>
      </c>
      <c r="B5502">
        <v>67</v>
      </c>
      <c r="C5502" t="s">
        <v>33</v>
      </c>
      <c r="D5502">
        <v>314</v>
      </c>
      <c r="E5502" t="s">
        <v>2066</v>
      </c>
      <c r="F5502">
        <v>1005</v>
      </c>
      <c r="G5502" t="s">
        <v>33</v>
      </c>
      <c r="H5502">
        <v>2005</v>
      </c>
      <c r="I5502" t="s">
        <v>33</v>
      </c>
      <c r="J5502">
        <v>3030</v>
      </c>
      <c r="K5502" t="s">
        <v>1868</v>
      </c>
      <c r="L5502">
        <v>0</v>
      </c>
      <c r="N5502" t="s">
        <v>341</v>
      </c>
      <c r="O5502">
        <v>1</v>
      </c>
      <c r="P5502">
        <v>308</v>
      </c>
      <c r="Q5502" t="s">
        <v>355</v>
      </c>
      <c r="R5502" t="s">
        <v>201</v>
      </c>
      <c r="S5502">
        <v>2</v>
      </c>
      <c r="T5502">
        <v>1</v>
      </c>
      <c r="U5502">
        <v>119100</v>
      </c>
      <c r="V5502">
        <v>238200</v>
      </c>
    </row>
    <row r="5503" spans="1:22">
      <c r="A5503" t="s">
        <v>196</v>
      </c>
      <c r="B5503">
        <v>67</v>
      </c>
      <c r="C5503" t="s">
        <v>33</v>
      </c>
      <c r="D5503">
        <v>314</v>
      </c>
      <c r="E5503" t="s">
        <v>2066</v>
      </c>
      <c r="F5503">
        <v>1005</v>
      </c>
      <c r="G5503" t="s">
        <v>33</v>
      </c>
      <c r="H5503">
        <v>2005</v>
      </c>
      <c r="I5503" t="s">
        <v>33</v>
      </c>
      <c r="J5503">
        <v>3030</v>
      </c>
      <c r="K5503" t="s">
        <v>1868</v>
      </c>
      <c r="L5503">
        <v>0</v>
      </c>
      <c r="N5503" t="s">
        <v>199</v>
      </c>
      <c r="O5503">
        <v>0</v>
      </c>
      <c r="P5503">
        <v>15</v>
      </c>
      <c r="Q5503" t="s">
        <v>264</v>
      </c>
      <c r="R5503" t="s">
        <v>201</v>
      </c>
      <c r="S5503">
        <v>0</v>
      </c>
      <c r="T5503">
        <v>0</v>
      </c>
      <c r="U5503">
        <v>19943</v>
      </c>
      <c r="V5503">
        <v>19943</v>
      </c>
    </row>
    <row r="5504" spans="1:22">
      <c r="A5504" t="s">
        <v>196</v>
      </c>
      <c r="B5504">
        <v>67</v>
      </c>
      <c r="C5504" t="s">
        <v>33</v>
      </c>
      <c r="D5504">
        <v>314</v>
      </c>
      <c r="E5504" t="s">
        <v>2066</v>
      </c>
      <c r="F5504">
        <v>1005</v>
      </c>
      <c r="G5504" t="s">
        <v>33</v>
      </c>
      <c r="H5504">
        <v>2005</v>
      </c>
      <c r="I5504" t="s">
        <v>33</v>
      </c>
      <c r="J5504">
        <v>3035</v>
      </c>
      <c r="K5504" t="s">
        <v>1850</v>
      </c>
      <c r="L5504">
        <v>0</v>
      </c>
      <c r="N5504" t="s">
        <v>721</v>
      </c>
      <c r="O5504">
        <v>16</v>
      </c>
      <c r="P5504">
        <v>2231</v>
      </c>
      <c r="Q5504" t="s">
        <v>1846</v>
      </c>
      <c r="R5504" t="s">
        <v>712</v>
      </c>
      <c r="S5504">
        <v>2</v>
      </c>
      <c r="T5504">
        <v>1</v>
      </c>
      <c r="U5504">
        <v>11119.33</v>
      </c>
      <c r="V5504">
        <v>266864</v>
      </c>
    </row>
    <row r="5505" spans="1:22">
      <c r="A5505" t="s">
        <v>196</v>
      </c>
      <c r="B5505">
        <v>67</v>
      </c>
      <c r="C5505" t="s">
        <v>33</v>
      </c>
      <c r="D5505">
        <v>314</v>
      </c>
      <c r="E5505" t="s">
        <v>2066</v>
      </c>
      <c r="F5505">
        <v>1005</v>
      </c>
      <c r="G5505" t="s">
        <v>33</v>
      </c>
      <c r="H5505">
        <v>2005</v>
      </c>
      <c r="I5505" t="s">
        <v>33</v>
      </c>
      <c r="J5505">
        <v>3035</v>
      </c>
      <c r="K5505" t="s">
        <v>1850</v>
      </c>
      <c r="L5505">
        <v>0</v>
      </c>
      <c r="N5505" t="s">
        <v>199</v>
      </c>
      <c r="O5505">
        <v>0</v>
      </c>
      <c r="P5505">
        <v>12</v>
      </c>
      <c r="Q5505" t="s">
        <v>724</v>
      </c>
      <c r="R5505" t="s">
        <v>201</v>
      </c>
      <c r="S5505">
        <v>0</v>
      </c>
      <c r="T5505">
        <v>0</v>
      </c>
      <c r="U5505">
        <v>4003</v>
      </c>
      <c r="V5505">
        <v>4003</v>
      </c>
    </row>
    <row r="5506" spans="1:22">
      <c r="A5506" t="s">
        <v>196</v>
      </c>
      <c r="B5506">
        <v>88</v>
      </c>
      <c r="C5506" t="s">
        <v>1852</v>
      </c>
      <c r="D5506">
        <v>314</v>
      </c>
      <c r="E5506" t="s">
        <v>2066</v>
      </c>
      <c r="F5506">
        <v>1015</v>
      </c>
      <c r="G5506" t="s">
        <v>69</v>
      </c>
      <c r="H5506">
        <v>2015</v>
      </c>
      <c r="I5506" t="s">
        <v>69</v>
      </c>
      <c r="J5506">
        <v>3121</v>
      </c>
      <c r="K5506" t="s">
        <v>1870</v>
      </c>
      <c r="L5506">
        <v>4004</v>
      </c>
      <c r="M5506" t="s">
        <v>2070</v>
      </c>
      <c r="N5506" t="s">
        <v>1294</v>
      </c>
      <c r="O5506">
        <v>0</v>
      </c>
      <c r="P5506">
        <v>9681</v>
      </c>
      <c r="Q5506" t="s">
        <v>338</v>
      </c>
      <c r="R5506" t="s">
        <v>201</v>
      </c>
      <c r="S5506">
        <v>1</v>
      </c>
      <c r="T5506">
        <v>1</v>
      </c>
      <c r="U5506">
        <v>172920</v>
      </c>
      <c r="V5506">
        <v>172920</v>
      </c>
    </row>
    <row r="5507" spans="1:22">
      <c r="A5507" t="s">
        <v>196</v>
      </c>
      <c r="B5507">
        <v>88</v>
      </c>
      <c r="C5507" t="s">
        <v>1852</v>
      </c>
      <c r="D5507">
        <v>314</v>
      </c>
      <c r="E5507" t="s">
        <v>2066</v>
      </c>
      <c r="F5507">
        <v>1015</v>
      </c>
      <c r="G5507" t="s">
        <v>69</v>
      </c>
      <c r="H5507">
        <v>2015</v>
      </c>
      <c r="I5507" t="s">
        <v>69</v>
      </c>
      <c r="J5507">
        <v>3121</v>
      </c>
      <c r="K5507" t="s">
        <v>1870</v>
      </c>
      <c r="L5507">
        <v>4004</v>
      </c>
      <c r="M5507" t="s">
        <v>2070</v>
      </c>
      <c r="N5507" t="s">
        <v>341</v>
      </c>
      <c r="O5507">
        <v>1</v>
      </c>
      <c r="P5507">
        <v>6143</v>
      </c>
      <c r="Q5507" t="s">
        <v>1833</v>
      </c>
      <c r="R5507" t="s">
        <v>201</v>
      </c>
      <c r="S5507">
        <v>2</v>
      </c>
      <c r="T5507">
        <v>1</v>
      </c>
      <c r="U5507">
        <v>119100</v>
      </c>
      <c r="V5507">
        <v>238200</v>
      </c>
    </row>
    <row r="5508" spans="1:22">
      <c r="A5508" t="s">
        <v>196</v>
      </c>
      <c r="B5508">
        <v>88</v>
      </c>
      <c r="C5508" t="s">
        <v>1852</v>
      </c>
      <c r="D5508">
        <v>314</v>
      </c>
      <c r="E5508" t="s">
        <v>2066</v>
      </c>
      <c r="F5508">
        <v>1015</v>
      </c>
      <c r="G5508" t="s">
        <v>69</v>
      </c>
      <c r="H5508">
        <v>2015</v>
      </c>
      <c r="I5508" t="s">
        <v>69</v>
      </c>
      <c r="J5508">
        <v>3121</v>
      </c>
      <c r="K5508" t="s">
        <v>1870</v>
      </c>
      <c r="L5508">
        <v>4004</v>
      </c>
      <c r="M5508" t="s">
        <v>2070</v>
      </c>
      <c r="N5508" t="s">
        <v>1314</v>
      </c>
      <c r="O5508">
        <v>9</v>
      </c>
      <c r="P5508">
        <v>5676</v>
      </c>
      <c r="Q5508" t="s">
        <v>2071</v>
      </c>
      <c r="R5508" t="s">
        <v>201</v>
      </c>
      <c r="S5508">
        <v>1</v>
      </c>
      <c r="T5508">
        <v>1</v>
      </c>
      <c r="U5508">
        <v>133836</v>
      </c>
      <c r="V5508">
        <v>133836</v>
      </c>
    </row>
    <row r="5509" spans="1:22">
      <c r="A5509" t="s">
        <v>196</v>
      </c>
      <c r="B5509">
        <v>88</v>
      </c>
      <c r="C5509" t="s">
        <v>1852</v>
      </c>
      <c r="D5509">
        <v>314</v>
      </c>
      <c r="E5509" t="s">
        <v>2066</v>
      </c>
      <c r="F5509">
        <v>1015</v>
      </c>
      <c r="G5509" t="s">
        <v>69</v>
      </c>
      <c r="H5509">
        <v>2015</v>
      </c>
      <c r="I5509" t="s">
        <v>69</v>
      </c>
      <c r="J5509">
        <v>3121</v>
      </c>
      <c r="K5509" t="s">
        <v>1870</v>
      </c>
      <c r="L5509">
        <v>4004</v>
      </c>
      <c r="M5509" t="s">
        <v>2070</v>
      </c>
      <c r="N5509" t="s">
        <v>1908</v>
      </c>
      <c r="O5509">
        <v>20</v>
      </c>
      <c r="P5509">
        <v>5675</v>
      </c>
      <c r="Q5509" t="s">
        <v>2069</v>
      </c>
      <c r="R5509" t="s">
        <v>201</v>
      </c>
      <c r="S5509">
        <v>1</v>
      </c>
      <c r="T5509">
        <v>1</v>
      </c>
      <c r="U5509">
        <v>150624</v>
      </c>
      <c r="V5509">
        <v>150624</v>
      </c>
    </row>
    <row r="5510" spans="1:22">
      <c r="A5510" t="s">
        <v>196</v>
      </c>
      <c r="B5510">
        <v>88</v>
      </c>
      <c r="C5510" t="s">
        <v>1852</v>
      </c>
      <c r="D5510">
        <v>314</v>
      </c>
      <c r="E5510" t="s">
        <v>2066</v>
      </c>
      <c r="F5510">
        <v>1015</v>
      </c>
      <c r="G5510" t="s">
        <v>69</v>
      </c>
      <c r="H5510">
        <v>2015</v>
      </c>
      <c r="I5510" t="s">
        <v>69</v>
      </c>
      <c r="J5510">
        <v>3121</v>
      </c>
      <c r="K5510" t="s">
        <v>1870</v>
      </c>
      <c r="L5510">
        <v>4004</v>
      </c>
      <c r="M5510" t="s">
        <v>2070</v>
      </c>
      <c r="N5510" t="s">
        <v>1908</v>
      </c>
      <c r="O5510">
        <v>20</v>
      </c>
      <c r="P5510">
        <v>5675</v>
      </c>
      <c r="Q5510" t="s">
        <v>2069</v>
      </c>
      <c r="R5510" t="s">
        <v>201</v>
      </c>
      <c r="S5510">
        <v>1</v>
      </c>
      <c r="T5510">
        <v>1</v>
      </c>
      <c r="U5510">
        <v>126756</v>
      </c>
      <c r="V5510">
        <v>126756</v>
      </c>
    </row>
    <row r="5511" spans="1:22">
      <c r="A5511" t="s">
        <v>196</v>
      </c>
      <c r="B5511">
        <v>88</v>
      </c>
      <c r="C5511" t="s">
        <v>1852</v>
      </c>
      <c r="D5511">
        <v>314</v>
      </c>
      <c r="E5511" t="s">
        <v>2066</v>
      </c>
      <c r="F5511">
        <v>1015</v>
      </c>
      <c r="G5511" t="s">
        <v>69</v>
      </c>
      <c r="H5511">
        <v>2015</v>
      </c>
      <c r="I5511" t="s">
        <v>69</v>
      </c>
      <c r="J5511">
        <v>3121</v>
      </c>
      <c r="K5511" t="s">
        <v>1870</v>
      </c>
      <c r="L5511">
        <v>4004</v>
      </c>
      <c r="M5511" t="s">
        <v>2070</v>
      </c>
      <c r="N5511" t="s">
        <v>1370</v>
      </c>
      <c r="O5511">
        <v>20</v>
      </c>
      <c r="P5511">
        <v>5632</v>
      </c>
      <c r="Q5511" t="s">
        <v>1798</v>
      </c>
      <c r="R5511" t="s">
        <v>201</v>
      </c>
      <c r="S5511">
        <v>1</v>
      </c>
      <c r="T5511">
        <v>1</v>
      </c>
      <c r="U5511">
        <v>144756</v>
      </c>
      <c r="V5511">
        <v>144756</v>
      </c>
    </row>
    <row r="5512" spans="1:22">
      <c r="A5512" t="s">
        <v>196</v>
      </c>
      <c r="B5512">
        <v>88</v>
      </c>
      <c r="C5512" t="s">
        <v>1852</v>
      </c>
      <c r="D5512">
        <v>314</v>
      </c>
      <c r="E5512" t="s">
        <v>2066</v>
      </c>
      <c r="F5512">
        <v>1015</v>
      </c>
      <c r="G5512" t="s">
        <v>69</v>
      </c>
      <c r="H5512">
        <v>2015</v>
      </c>
      <c r="I5512" t="s">
        <v>69</v>
      </c>
      <c r="J5512">
        <v>3121</v>
      </c>
      <c r="K5512" t="s">
        <v>1870</v>
      </c>
      <c r="L5512">
        <v>4004</v>
      </c>
      <c r="M5512" t="s">
        <v>2070</v>
      </c>
      <c r="N5512" t="s">
        <v>1370</v>
      </c>
      <c r="O5512">
        <v>20</v>
      </c>
      <c r="P5512">
        <v>5632</v>
      </c>
      <c r="Q5512" t="s">
        <v>1798</v>
      </c>
      <c r="R5512" t="s">
        <v>201</v>
      </c>
      <c r="S5512">
        <v>1</v>
      </c>
      <c r="T5512">
        <v>1</v>
      </c>
      <c r="U5512">
        <v>140496</v>
      </c>
      <c r="V5512">
        <v>140496</v>
      </c>
    </row>
    <row r="5513" spans="1:22">
      <c r="A5513" t="s">
        <v>196</v>
      </c>
      <c r="B5513">
        <v>88</v>
      </c>
      <c r="C5513" t="s">
        <v>1852</v>
      </c>
      <c r="D5513">
        <v>314</v>
      </c>
      <c r="E5513" t="s">
        <v>2066</v>
      </c>
      <c r="F5513">
        <v>1015</v>
      </c>
      <c r="G5513" t="s">
        <v>69</v>
      </c>
      <c r="H5513">
        <v>2015</v>
      </c>
      <c r="I5513" t="s">
        <v>69</v>
      </c>
      <c r="J5513">
        <v>3121</v>
      </c>
      <c r="K5513" t="s">
        <v>1870</v>
      </c>
      <c r="L5513">
        <v>4004</v>
      </c>
      <c r="M5513" t="s">
        <v>2070</v>
      </c>
      <c r="N5513" t="s">
        <v>271</v>
      </c>
      <c r="O5513">
        <v>20</v>
      </c>
      <c r="P5513">
        <v>5630</v>
      </c>
      <c r="Q5513" t="s">
        <v>955</v>
      </c>
      <c r="R5513" t="s">
        <v>201</v>
      </c>
      <c r="S5513">
        <v>1</v>
      </c>
      <c r="T5513">
        <v>1</v>
      </c>
      <c r="U5513">
        <v>140496</v>
      </c>
      <c r="V5513">
        <v>140496</v>
      </c>
    </row>
    <row r="5514" spans="1:22">
      <c r="A5514" t="s">
        <v>196</v>
      </c>
      <c r="B5514">
        <v>88</v>
      </c>
      <c r="C5514" t="s">
        <v>1852</v>
      </c>
      <c r="D5514">
        <v>314</v>
      </c>
      <c r="E5514" t="s">
        <v>2066</v>
      </c>
      <c r="F5514">
        <v>1015</v>
      </c>
      <c r="G5514" t="s">
        <v>69</v>
      </c>
      <c r="H5514">
        <v>2015</v>
      </c>
      <c r="I5514" t="s">
        <v>69</v>
      </c>
      <c r="J5514">
        <v>3121</v>
      </c>
      <c r="K5514" t="s">
        <v>1870</v>
      </c>
      <c r="L5514">
        <v>4004</v>
      </c>
      <c r="M5514" t="s">
        <v>2070</v>
      </c>
      <c r="N5514" t="s">
        <v>271</v>
      </c>
      <c r="O5514">
        <v>20</v>
      </c>
      <c r="P5514">
        <v>5630</v>
      </c>
      <c r="Q5514" t="s">
        <v>955</v>
      </c>
      <c r="R5514" t="s">
        <v>201</v>
      </c>
      <c r="S5514">
        <v>1</v>
      </c>
      <c r="T5514">
        <v>1</v>
      </c>
      <c r="U5514">
        <v>115992</v>
      </c>
      <c r="V5514">
        <v>115992</v>
      </c>
    </row>
    <row r="5515" spans="1:22">
      <c r="A5515" t="s">
        <v>196</v>
      </c>
      <c r="B5515">
        <v>88</v>
      </c>
      <c r="C5515" t="s">
        <v>1852</v>
      </c>
      <c r="D5515">
        <v>314</v>
      </c>
      <c r="E5515" t="s">
        <v>2066</v>
      </c>
      <c r="F5515">
        <v>1015</v>
      </c>
      <c r="G5515" t="s">
        <v>69</v>
      </c>
      <c r="H5515">
        <v>2015</v>
      </c>
      <c r="I5515" t="s">
        <v>69</v>
      </c>
      <c r="J5515">
        <v>3121</v>
      </c>
      <c r="K5515" t="s">
        <v>1870</v>
      </c>
      <c r="L5515">
        <v>4004</v>
      </c>
      <c r="M5515" t="s">
        <v>2070</v>
      </c>
      <c r="N5515" t="s">
        <v>245</v>
      </c>
      <c r="O5515">
        <v>20</v>
      </c>
      <c r="P5515">
        <v>5615</v>
      </c>
      <c r="Q5515" t="s">
        <v>1782</v>
      </c>
      <c r="R5515" t="s">
        <v>201</v>
      </c>
      <c r="S5515">
        <v>1</v>
      </c>
      <c r="T5515">
        <v>1</v>
      </c>
      <c r="U5515">
        <v>111000</v>
      </c>
      <c r="V5515">
        <v>111000</v>
      </c>
    </row>
    <row r="5516" spans="1:22">
      <c r="A5516" t="s">
        <v>196</v>
      </c>
      <c r="B5516">
        <v>88</v>
      </c>
      <c r="C5516" t="s">
        <v>1852</v>
      </c>
      <c r="D5516">
        <v>314</v>
      </c>
      <c r="E5516" t="s">
        <v>2066</v>
      </c>
      <c r="F5516">
        <v>1015</v>
      </c>
      <c r="G5516" t="s">
        <v>69</v>
      </c>
      <c r="H5516">
        <v>2015</v>
      </c>
      <c r="I5516" t="s">
        <v>69</v>
      </c>
      <c r="J5516">
        <v>3121</v>
      </c>
      <c r="K5516" t="s">
        <v>1870</v>
      </c>
      <c r="L5516">
        <v>4004</v>
      </c>
      <c r="M5516" t="s">
        <v>2070</v>
      </c>
      <c r="N5516" t="s">
        <v>245</v>
      </c>
      <c r="O5516">
        <v>20</v>
      </c>
      <c r="P5516">
        <v>5615</v>
      </c>
      <c r="Q5516" t="s">
        <v>1782</v>
      </c>
      <c r="R5516" t="s">
        <v>201</v>
      </c>
      <c r="S5516">
        <v>1</v>
      </c>
      <c r="T5516">
        <v>1</v>
      </c>
      <c r="U5516">
        <v>106272</v>
      </c>
      <c r="V5516">
        <v>106272</v>
      </c>
    </row>
    <row r="5517" spans="1:22">
      <c r="A5517" t="s">
        <v>196</v>
      </c>
      <c r="B5517">
        <v>88</v>
      </c>
      <c r="C5517" t="s">
        <v>1852</v>
      </c>
      <c r="D5517">
        <v>314</v>
      </c>
      <c r="E5517" t="s">
        <v>2066</v>
      </c>
      <c r="F5517">
        <v>1015</v>
      </c>
      <c r="G5517" t="s">
        <v>69</v>
      </c>
      <c r="H5517">
        <v>2015</v>
      </c>
      <c r="I5517" t="s">
        <v>69</v>
      </c>
      <c r="J5517">
        <v>3121</v>
      </c>
      <c r="K5517" t="s">
        <v>1870</v>
      </c>
      <c r="L5517">
        <v>4004</v>
      </c>
      <c r="M5517" t="s">
        <v>2070</v>
      </c>
      <c r="N5517" t="s">
        <v>602</v>
      </c>
      <c r="O5517">
        <v>4</v>
      </c>
      <c r="P5517">
        <v>5614</v>
      </c>
      <c r="Q5517" t="s">
        <v>1783</v>
      </c>
      <c r="R5517" t="s">
        <v>201</v>
      </c>
      <c r="S5517">
        <v>3</v>
      </c>
      <c r="T5517">
        <v>1</v>
      </c>
      <c r="U5517">
        <v>141564</v>
      </c>
      <c r="V5517">
        <v>424692</v>
      </c>
    </row>
    <row r="5518" spans="1:22">
      <c r="A5518" t="s">
        <v>196</v>
      </c>
      <c r="B5518">
        <v>88</v>
      </c>
      <c r="C5518" t="s">
        <v>1852</v>
      </c>
      <c r="D5518">
        <v>314</v>
      </c>
      <c r="E5518" t="s">
        <v>2066</v>
      </c>
      <c r="F5518">
        <v>1015</v>
      </c>
      <c r="G5518" t="s">
        <v>69</v>
      </c>
      <c r="H5518">
        <v>2015</v>
      </c>
      <c r="I5518" t="s">
        <v>69</v>
      </c>
      <c r="J5518">
        <v>3121</v>
      </c>
      <c r="K5518" t="s">
        <v>1870</v>
      </c>
      <c r="L5518">
        <v>4004</v>
      </c>
      <c r="M5518" t="s">
        <v>2070</v>
      </c>
      <c r="N5518" t="s">
        <v>602</v>
      </c>
      <c r="O5518">
        <v>4</v>
      </c>
      <c r="P5518">
        <v>5614</v>
      </c>
      <c r="Q5518" t="s">
        <v>1783</v>
      </c>
      <c r="R5518" t="s">
        <v>201</v>
      </c>
      <c r="S5518">
        <v>3</v>
      </c>
      <c r="T5518">
        <v>1</v>
      </c>
      <c r="U5518">
        <v>112536</v>
      </c>
      <c r="V5518">
        <v>337608</v>
      </c>
    </row>
    <row r="5519" spans="1:22">
      <c r="A5519" t="s">
        <v>196</v>
      </c>
      <c r="B5519">
        <v>88</v>
      </c>
      <c r="C5519" t="s">
        <v>1852</v>
      </c>
      <c r="D5519">
        <v>314</v>
      </c>
      <c r="E5519" t="s">
        <v>2066</v>
      </c>
      <c r="F5519">
        <v>1015</v>
      </c>
      <c r="G5519" t="s">
        <v>69</v>
      </c>
      <c r="H5519">
        <v>2015</v>
      </c>
      <c r="I5519" t="s">
        <v>69</v>
      </c>
      <c r="J5519">
        <v>3121</v>
      </c>
      <c r="K5519" t="s">
        <v>1870</v>
      </c>
      <c r="L5519">
        <v>4004</v>
      </c>
      <c r="M5519" t="s">
        <v>2070</v>
      </c>
      <c r="N5519" t="s">
        <v>602</v>
      </c>
      <c r="O5519">
        <v>4</v>
      </c>
      <c r="P5519">
        <v>5614</v>
      </c>
      <c r="Q5519" t="s">
        <v>1783</v>
      </c>
      <c r="R5519" t="s">
        <v>201</v>
      </c>
      <c r="S5519">
        <v>1</v>
      </c>
      <c r="T5519">
        <v>1</v>
      </c>
      <c r="U5519">
        <v>102516</v>
      </c>
      <c r="V5519">
        <v>102516</v>
      </c>
    </row>
    <row r="5520" spans="1:22">
      <c r="A5520" t="s">
        <v>196</v>
      </c>
      <c r="B5520">
        <v>88</v>
      </c>
      <c r="C5520" t="s">
        <v>1852</v>
      </c>
      <c r="D5520">
        <v>314</v>
      </c>
      <c r="E5520" t="s">
        <v>2066</v>
      </c>
      <c r="F5520">
        <v>1015</v>
      </c>
      <c r="G5520" t="s">
        <v>69</v>
      </c>
      <c r="H5520">
        <v>2015</v>
      </c>
      <c r="I5520" t="s">
        <v>69</v>
      </c>
      <c r="J5520">
        <v>3121</v>
      </c>
      <c r="K5520" t="s">
        <v>1870</v>
      </c>
      <c r="L5520">
        <v>4004</v>
      </c>
      <c r="M5520" t="s">
        <v>2070</v>
      </c>
      <c r="N5520" t="s">
        <v>602</v>
      </c>
      <c r="O5520">
        <v>4</v>
      </c>
      <c r="P5520">
        <v>5614</v>
      </c>
      <c r="Q5520" t="s">
        <v>1783</v>
      </c>
      <c r="R5520" t="s">
        <v>201</v>
      </c>
      <c r="S5520">
        <v>2</v>
      </c>
      <c r="T5520">
        <v>1</v>
      </c>
      <c r="U5520">
        <v>99408</v>
      </c>
      <c r="V5520">
        <v>198816</v>
      </c>
    </row>
    <row r="5521" spans="1:22">
      <c r="A5521" t="s">
        <v>196</v>
      </c>
      <c r="B5521">
        <v>88</v>
      </c>
      <c r="C5521" t="s">
        <v>1852</v>
      </c>
      <c r="D5521">
        <v>314</v>
      </c>
      <c r="E5521" t="s">
        <v>2066</v>
      </c>
      <c r="F5521">
        <v>1015</v>
      </c>
      <c r="G5521" t="s">
        <v>69</v>
      </c>
      <c r="H5521">
        <v>2015</v>
      </c>
      <c r="I5521" t="s">
        <v>69</v>
      </c>
      <c r="J5521">
        <v>3121</v>
      </c>
      <c r="K5521" t="s">
        <v>1870</v>
      </c>
      <c r="L5521">
        <v>4004</v>
      </c>
      <c r="M5521" t="s">
        <v>2070</v>
      </c>
      <c r="N5521" t="s">
        <v>356</v>
      </c>
      <c r="O5521">
        <v>4</v>
      </c>
      <c r="P5521">
        <v>5613</v>
      </c>
      <c r="Q5521" t="s">
        <v>1767</v>
      </c>
      <c r="R5521" t="s">
        <v>201</v>
      </c>
      <c r="S5521">
        <v>1</v>
      </c>
      <c r="T5521">
        <v>1</v>
      </c>
      <c r="U5521">
        <v>92940</v>
      </c>
      <c r="V5521">
        <v>92940</v>
      </c>
    </row>
    <row r="5522" spans="1:22">
      <c r="A5522" t="s">
        <v>196</v>
      </c>
      <c r="B5522">
        <v>88</v>
      </c>
      <c r="C5522" t="s">
        <v>1852</v>
      </c>
      <c r="D5522">
        <v>314</v>
      </c>
      <c r="E5522" t="s">
        <v>2066</v>
      </c>
      <c r="F5522">
        <v>1015</v>
      </c>
      <c r="G5522" t="s">
        <v>69</v>
      </c>
      <c r="H5522">
        <v>2015</v>
      </c>
      <c r="I5522" t="s">
        <v>69</v>
      </c>
      <c r="J5522">
        <v>3121</v>
      </c>
      <c r="K5522" t="s">
        <v>1870</v>
      </c>
      <c r="L5522">
        <v>4004</v>
      </c>
      <c r="M5522" t="s">
        <v>2070</v>
      </c>
      <c r="N5522" t="s">
        <v>356</v>
      </c>
      <c r="O5522">
        <v>4</v>
      </c>
      <c r="P5522">
        <v>5613</v>
      </c>
      <c r="Q5522" t="s">
        <v>1767</v>
      </c>
      <c r="R5522" t="s">
        <v>201</v>
      </c>
      <c r="S5522">
        <v>2</v>
      </c>
      <c r="T5522">
        <v>1</v>
      </c>
      <c r="U5522">
        <v>90144</v>
      </c>
      <c r="V5522">
        <v>180288</v>
      </c>
    </row>
    <row r="5523" spans="1:22">
      <c r="A5523" t="s">
        <v>196</v>
      </c>
      <c r="B5523">
        <v>88</v>
      </c>
      <c r="C5523" t="s">
        <v>1852</v>
      </c>
      <c r="D5523">
        <v>314</v>
      </c>
      <c r="E5523" t="s">
        <v>2066</v>
      </c>
      <c r="F5523">
        <v>1015</v>
      </c>
      <c r="G5523" t="s">
        <v>69</v>
      </c>
      <c r="H5523">
        <v>2015</v>
      </c>
      <c r="I5523" t="s">
        <v>69</v>
      </c>
      <c r="J5523">
        <v>3121</v>
      </c>
      <c r="K5523" t="s">
        <v>1870</v>
      </c>
      <c r="L5523">
        <v>4004</v>
      </c>
      <c r="M5523" t="s">
        <v>2070</v>
      </c>
      <c r="N5523" t="s">
        <v>1370</v>
      </c>
      <c r="O5523">
        <v>20</v>
      </c>
      <c r="P5523">
        <v>5611</v>
      </c>
      <c r="Q5523" t="s">
        <v>1869</v>
      </c>
      <c r="R5523" t="s">
        <v>201</v>
      </c>
      <c r="S5523">
        <v>1</v>
      </c>
      <c r="T5523">
        <v>1</v>
      </c>
      <c r="U5523">
        <v>144756</v>
      </c>
      <c r="V5523">
        <v>144756</v>
      </c>
    </row>
    <row r="5524" spans="1:22">
      <c r="A5524" t="s">
        <v>196</v>
      </c>
      <c r="B5524">
        <v>88</v>
      </c>
      <c r="C5524" t="s">
        <v>1852</v>
      </c>
      <c r="D5524">
        <v>314</v>
      </c>
      <c r="E5524" t="s">
        <v>2066</v>
      </c>
      <c r="F5524">
        <v>1015</v>
      </c>
      <c r="G5524" t="s">
        <v>69</v>
      </c>
      <c r="H5524">
        <v>2015</v>
      </c>
      <c r="I5524" t="s">
        <v>69</v>
      </c>
      <c r="J5524">
        <v>3121</v>
      </c>
      <c r="K5524" t="s">
        <v>1870</v>
      </c>
      <c r="L5524">
        <v>4004</v>
      </c>
      <c r="M5524" t="s">
        <v>2070</v>
      </c>
      <c r="N5524" t="s">
        <v>1314</v>
      </c>
      <c r="O5524">
        <v>0</v>
      </c>
      <c r="P5524">
        <v>1195</v>
      </c>
      <c r="Q5524" t="s">
        <v>927</v>
      </c>
      <c r="R5524" t="s">
        <v>201</v>
      </c>
      <c r="S5524">
        <v>2</v>
      </c>
      <c r="T5524">
        <v>1</v>
      </c>
      <c r="U5524">
        <v>160680</v>
      </c>
      <c r="V5524">
        <v>321360</v>
      </c>
    </row>
    <row r="5525" spans="1:22">
      <c r="A5525" t="s">
        <v>196</v>
      </c>
      <c r="B5525">
        <v>88</v>
      </c>
      <c r="C5525" t="s">
        <v>1852</v>
      </c>
      <c r="D5525">
        <v>314</v>
      </c>
      <c r="E5525" t="s">
        <v>2066</v>
      </c>
      <c r="F5525">
        <v>1015</v>
      </c>
      <c r="G5525" t="s">
        <v>69</v>
      </c>
      <c r="H5525">
        <v>2015</v>
      </c>
      <c r="I5525" t="s">
        <v>69</v>
      </c>
      <c r="J5525">
        <v>3121</v>
      </c>
      <c r="K5525" t="s">
        <v>1870</v>
      </c>
      <c r="L5525">
        <v>4004</v>
      </c>
      <c r="M5525" t="s">
        <v>2070</v>
      </c>
      <c r="N5525" t="s">
        <v>351</v>
      </c>
      <c r="O5525">
        <v>1</v>
      </c>
      <c r="P5525" t="s">
        <v>352</v>
      </c>
      <c r="Q5525" t="s">
        <v>353</v>
      </c>
      <c r="R5525" t="s">
        <v>201</v>
      </c>
      <c r="S5525">
        <v>1</v>
      </c>
      <c r="T5525">
        <v>1</v>
      </c>
      <c r="U5525">
        <v>62544</v>
      </c>
      <c r="V5525">
        <v>62544</v>
      </c>
    </row>
    <row r="5526" spans="1:22">
      <c r="A5526" t="s">
        <v>196</v>
      </c>
      <c r="B5526">
        <v>88</v>
      </c>
      <c r="C5526" t="s">
        <v>1852</v>
      </c>
      <c r="D5526">
        <v>314</v>
      </c>
      <c r="E5526" t="s">
        <v>2066</v>
      </c>
      <c r="F5526">
        <v>1015</v>
      </c>
      <c r="G5526" t="s">
        <v>69</v>
      </c>
      <c r="H5526">
        <v>2015</v>
      </c>
      <c r="I5526" t="s">
        <v>69</v>
      </c>
      <c r="J5526">
        <v>3121</v>
      </c>
      <c r="K5526" t="s">
        <v>1870</v>
      </c>
      <c r="L5526">
        <v>4004</v>
      </c>
      <c r="M5526" t="s">
        <v>2070</v>
      </c>
      <c r="N5526" t="s">
        <v>199</v>
      </c>
      <c r="O5526">
        <v>0</v>
      </c>
      <c r="P5526">
        <v>15</v>
      </c>
      <c r="Q5526" t="s">
        <v>264</v>
      </c>
      <c r="R5526" t="s">
        <v>201</v>
      </c>
      <c r="S5526">
        <v>0</v>
      </c>
      <c r="T5526">
        <v>0</v>
      </c>
      <c r="U5526">
        <v>54238</v>
      </c>
      <c r="V5526">
        <v>54238</v>
      </c>
    </row>
    <row r="5527" spans="1:22">
      <c r="A5527" t="s">
        <v>196</v>
      </c>
      <c r="B5527">
        <v>88</v>
      </c>
      <c r="C5527" t="s">
        <v>1852</v>
      </c>
      <c r="D5527">
        <v>314</v>
      </c>
      <c r="E5527" t="s">
        <v>2066</v>
      </c>
      <c r="F5527">
        <v>1025</v>
      </c>
      <c r="G5527" t="s">
        <v>5</v>
      </c>
      <c r="H5527">
        <v>2025</v>
      </c>
      <c r="I5527" t="s">
        <v>5</v>
      </c>
      <c r="J5527">
        <v>3025</v>
      </c>
      <c r="K5527" t="s">
        <v>2072</v>
      </c>
      <c r="L5527">
        <v>0</v>
      </c>
      <c r="N5527" t="s">
        <v>1294</v>
      </c>
      <c r="O5527">
        <v>0</v>
      </c>
      <c r="P5527">
        <v>9681</v>
      </c>
      <c r="Q5527" t="s">
        <v>338</v>
      </c>
      <c r="R5527" t="s">
        <v>201</v>
      </c>
      <c r="S5527">
        <v>1</v>
      </c>
      <c r="T5527">
        <v>1</v>
      </c>
      <c r="U5527">
        <v>184584</v>
      </c>
      <c r="V5527">
        <v>184584</v>
      </c>
    </row>
    <row r="5528" spans="1:22">
      <c r="A5528" t="s">
        <v>196</v>
      </c>
      <c r="B5528">
        <v>88</v>
      </c>
      <c r="C5528" t="s">
        <v>1852</v>
      </c>
      <c r="D5528">
        <v>314</v>
      </c>
      <c r="E5528" t="s">
        <v>2066</v>
      </c>
      <c r="F5528">
        <v>1025</v>
      </c>
      <c r="G5528" t="s">
        <v>5</v>
      </c>
      <c r="H5528">
        <v>2025</v>
      </c>
      <c r="I5528" t="s">
        <v>5</v>
      </c>
      <c r="J5528">
        <v>3025</v>
      </c>
      <c r="K5528" t="s">
        <v>2072</v>
      </c>
      <c r="L5528">
        <v>0</v>
      </c>
      <c r="N5528" t="s">
        <v>721</v>
      </c>
      <c r="O5528">
        <v>33</v>
      </c>
      <c r="P5528">
        <v>8258</v>
      </c>
      <c r="Q5528" t="s">
        <v>2052</v>
      </c>
      <c r="R5528" t="s">
        <v>713</v>
      </c>
      <c r="S5528">
        <v>1</v>
      </c>
      <c r="T5528">
        <v>1</v>
      </c>
      <c r="U5528">
        <v>55.6</v>
      </c>
      <c r="V5528">
        <v>115648</v>
      </c>
    </row>
    <row r="5529" spans="1:22">
      <c r="A5529" t="s">
        <v>196</v>
      </c>
      <c r="B5529">
        <v>88</v>
      </c>
      <c r="C5529" t="s">
        <v>1852</v>
      </c>
      <c r="D5529">
        <v>314</v>
      </c>
      <c r="E5529" t="s">
        <v>2066</v>
      </c>
      <c r="F5529">
        <v>1025</v>
      </c>
      <c r="G5529" t="s">
        <v>5</v>
      </c>
      <c r="H5529">
        <v>2025</v>
      </c>
      <c r="I5529" t="s">
        <v>5</v>
      </c>
      <c r="J5529">
        <v>3025</v>
      </c>
      <c r="K5529" t="s">
        <v>2072</v>
      </c>
      <c r="L5529">
        <v>0</v>
      </c>
      <c r="N5529" t="s">
        <v>628</v>
      </c>
      <c r="O5529">
        <v>10</v>
      </c>
      <c r="P5529">
        <v>8256</v>
      </c>
      <c r="Q5529" t="s">
        <v>1826</v>
      </c>
      <c r="R5529" t="s">
        <v>201</v>
      </c>
      <c r="S5529">
        <v>1</v>
      </c>
      <c r="T5529">
        <v>1</v>
      </c>
      <c r="U5529">
        <v>107340</v>
      </c>
      <c r="V5529">
        <v>107340</v>
      </c>
    </row>
    <row r="5530" spans="1:22">
      <c r="A5530" t="s">
        <v>196</v>
      </c>
      <c r="B5530">
        <v>88</v>
      </c>
      <c r="C5530" t="s">
        <v>1852</v>
      </c>
      <c r="D5530">
        <v>314</v>
      </c>
      <c r="E5530" t="s">
        <v>2066</v>
      </c>
      <c r="F5530">
        <v>1025</v>
      </c>
      <c r="G5530" t="s">
        <v>5</v>
      </c>
      <c r="H5530">
        <v>2025</v>
      </c>
      <c r="I5530" t="s">
        <v>5</v>
      </c>
      <c r="J5530">
        <v>3025</v>
      </c>
      <c r="K5530" t="s">
        <v>2072</v>
      </c>
      <c r="L5530">
        <v>0</v>
      </c>
      <c r="N5530" t="s">
        <v>1719</v>
      </c>
      <c r="O5530">
        <v>10</v>
      </c>
      <c r="P5530">
        <v>5985</v>
      </c>
      <c r="Q5530" t="s">
        <v>1923</v>
      </c>
      <c r="R5530" t="s">
        <v>201</v>
      </c>
      <c r="S5530">
        <v>1</v>
      </c>
      <c r="T5530">
        <v>1</v>
      </c>
      <c r="U5530">
        <v>150072</v>
      </c>
      <c r="V5530">
        <v>150072</v>
      </c>
    </row>
    <row r="5531" spans="1:22">
      <c r="A5531" t="s">
        <v>196</v>
      </c>
      <c r="B5531">
        <v>88</v>
      </c>
      <c r="C5531" t="s">
        <v>1852</v>
      </c>
      <c r="D5531">
        <v>314</v>
      </c>
      <c r="E5531" t="s">
        <v>2066</v>
      </c>
      <c r="F5531">
        <v>1025</v>
      </c>
      <c r="G5531" t="s">
        <v>5</v>
      </c>
      <c r="H5531">
        <v>2025</v>
      </c>
      <c r="I5531" t="s">
        <v>5</v>
      </c>
      <c r="J5531">
        <v>3025</v>
      </c>
      <c r="K5531" t="s">
        <v>2072</v>
      </c>
      <c r="L5531">
        <v>0</v>
      </c>
      <c r="N5531" t="s">
        <v>721</v>
      </c>
      <c r="O5531">
        <v>33</v>
      </c>
      <c r="P5531">
        <v>4437</v>
      </c>
      <c r="Q5531" t="s">
        <v>2036</v>
      </c>
      <c r="R5531" t="s">
        <v>713</v>
      </c>
      <c r="S5531">
        <v>3</v>
      </c>
      <c r="T5531">
        <v>1</v>
      </c>
      <c r="U5531">
        <v>55.1</v>
      </c>
      <c r="V5531">
        <v>343824</v>
      </c>
    </row>
    <row r="5532" spans="1:22">
      <c r="A5532" t="s">
        <v>196</v>
      </c>
      <c r="B5532">
        <v>88</v>
      </c>
      <c r="C5532" t="s">
        <v>1852</v>
      </c>
      <c r="D5532">
        <v>314</v>
      </c>
      <c r="E5532" t="s">
        <v>2066</v>
      </c>
      <c r="F5532">
        <v>1025</v>
      </c>
      <c r="G5532" t="s">
        <v>5</v>
      </c>
      <c r="H5532">
        <v>2025</v>
      </c>
      <c r="I5532" t="s">
        <v>5</v>
      </c>
      <c r="J5532">
        <v>3025</v>
      </c>
      <c r="K5532" t="s">
        <v>2072</v>
      </c>
      <c r="L5532">
        <v>0</v>
      </c>
      <c r="N5532" t="s">
        <v>721</v>
      </c>
      <c r="O5532">
        <v>33</v>
      </c>
      <c r="P5532">
        <v>4435</v>
      </c>
      <c r="Q5532" t="s">
        <v>2035</v>
      </c>
      <c r="R5532" t="s">
        <v>713</v>
      </c>
      <c r="S5532">
        <v>8</v>
      </c>
      <c r="T5532">
        <v>1</v>
      </c>
      <c r="U5532">
        <v>53.1</v>
      </c>
      <c r="V5532">
        <v>883584</v>
      </c>
    </row>
    <row r="5533" spans="1:22">
      <c r="A5533" t="s">
        <v>196</v>
      </c>
      <c r="B5533">
        <v>88</v>
      </c>
      <c r="C5533" t="s">
        <v>1852</v>
      </c>
      <c r="D5533">
        <v>314</v>
      </c>
      <c r="E5533" t="s">
        <v>2066</v>
      </c>
      <c r="F5533">
        <v>1025</v>
      </c>
      <c r="G5533" t="s">
        <v>5</v>
      </c>
      <c r="H5533">
        <v>2025</v>
      </c>
      <c r="I5533" t="s">
        <v>5</v>
      </c>
      <c r="J5533">
        <v>3025</v>
      </c>
      <c r="K5533" t="s">
        <v>2072</v>
      </c>
      <c r="L5533">
        <v>0</v>
      </c>
      <c r="N5533" t="s">
        <v>199</v>
      </c>
      <c r="O5533">
        <v>0</v>
      </c>
      <c r="P5533">
        <v>15</v>
      </c>
      <c r="Q5533" t="s">
        <v>264</v>
      </c>
      <c r="R5533" t="s">
        <v>201</v>
      </c>
      <c r="S5533">
        <v>0</v>
      </c>
      <c r="T5533">
        <v>0</v>
      </c>
      <c r="U5533">
        <v>7373</v>
      </c>
      <c r="V5533">
        <v>7373</v>
      </c>
    </row>
    <row r="5534" spans="1:22">
      <c r="A5534" t="s">
        <v>196</v>
      </c>
      <c r="B5534">
        <v>88</v>
      </c>
      <c r="C5534" t="s">
        <v>1852</v>
      </c>
      <c r="D5534">
        <v>314</v>
      </c>
      <c r="E5534" t="s">
        <v>2066</v>
      </c>
      <c r="F5534">
        <v>1025</v>
      </c>
      <c r="G5534" t="s">
        <v>5</v>
      </c>
      <c r="H5534">
        <v>2025</v>
      </c>
      <c r="I5534" t="s">
        <v>5</v>
      </c>
      <c r="J5534">
        <v>3025</v>
      </c>
      <c r="K5534" t="s">
        <v>2072</v>
      </c>
      <c r="L5534">
        <v>0</v>
      </c>
      <c r="N5534" t="s">
        <v>199</v>
      </c>
      <c r="O5534">
        <v>0</v>
      </c>
      <c r="P5534">
        <v>12</v>
      </c>
      <c r="Q5534" t="s">
        <v>724</v>
      </c>
      <c r="R5534" t="s">
        <v>201</v>
      </c>
      <c r="S5534">
        <v>0</v>
      </c>
      <c r="T5534">
        <v>0</v>
      </c>
      <c r="U5534">
        <v>20146</v>
      </c>
      <c r="V5534">
        <v>20146</v>
      </c>
    </row>
    <row r="5535" spans="1:22">
      <c r="A5535" t="s">
        <v>196</v>
      </c>
      <c r="B5535">
        <v>88</v>
      </c>
      <c r="C5535" t="s">
        <v>1852</v>
      </c>
      <c r="D5535">
        <v>314</v>
      </c>
      <c r="E5535" t="s">
        <v>2066</v>
      </c>
      <c r="F5535">
        <v>1025</v>
      </c>
      <c r="G5535" t="s">
        <v>5</v>
      </c>
      <c r="H5535">
        <v>2025</v>
      </c>
      <c r="I5535" t="s">
        <v>5</v>
      </c>
      <c r="J5535">
        <v>3249</v>
      </c>
      <c r="K5535" t="s">
        <v>1853</v>
      </c>
      <c r="L5535">
        <v>4006</v>
      </c>
      <c r="M5535" t="s">
        <v>2073</v>
      </c>
      <c r="N5535" t="s">
        <v>372</v>
      </c>
      <c r="O5535">
        <v>1</v>
      </c>
      <c r="P5535">
        <v>6144</v>
      </c>
      <c r="Q5535" t="s">
        <v>1466</v>
      </c>
      <c r="R5535" t="s">
        <v>201</v>
      </c>
      <c r="S5535">
        <v>1</v>
      </c>
      <c r="T5535">
        <v>1</v>
      </c>
      <c r="U5535">
        <v>75336</v>
      </c>
      <c r="V5535">
        <v>75336</v>
      </c>
    </row>
    <row r="5536" spans="1:22">
      <c r="A5536" t="s">
        <v>196</v>
      </c>
      <c r="B5536">
        <v>88</v>
      </c>
      <c r="C5536" t="s">
        <v>1852</v>
      </c>
      <c r="D5536">
        <v>314</v>
      </c>
      <c r="E5536" t="s">
        <v>2066</v>
      </c>
      <c r="F5536">
        <v>1025</v>
      </c>
      <c r="G5536" t="s">
        <v>5</v>
      </c>
      <c r="H5536">
        <v>2025</v>
      </c>
      <c r="I5536" t="s">
        <v>5</v>
      </c>
      <c r="J5536">
        <v>3249</v>
      </c>
      <c r="K5536" t="s">
        <v>1853</v>
      </c>
      <c r="L5536">
        <v>4006</v>
      </c>
      <c r="M5536" t="s">
        <v>2073</v>
      </c>
      <c r="N5536" t="s">
        <v>1314</v>
      </c>
      <c r="O5536">
        <v>20</v>
      </c>
      <c r="P5536">
        <v>5848</v>
      </c>
      <c r="Q5536" t="s">
        <v>2074</v>
      </c>
      <c r="R5536" t="s">
        <v>201</v>
      </c>
      <c r="S5536">
        <v>2</v>
      </c>
      <c r="T5536">
        <v>1</v>
      </c>
      <c r="U5536">
        <v>167700</v>
      </c>
      <c r="V5536">
        <v>335400</v>
      </c>
    </row>
    <row r="5537" spans="1:22">
      <c r="A5537" t="s">
        <v>196</v>
      </c>
      <c r="B5537">
        <v>88</v>
      </c>
      <c r="C5537" t="s">
        <v>1852</v>
      </c>
      <c r="D5537">
        <v>314</v>
      </c>
      <c r="E5537" t="s">
        <v>2066</v>
      </c>
      <c r="F5537">
        <v>1025</v>
      </c>
      <c r="G5537" t="s">
        <v>5</v>
      </c>
      <c r="H5537">
        <v>2025</v>
      </c>
      <c r="I5537" t="s">
        <v>5</v>
      </c>
      <c r="J5537">
        <v>3249</v>
      </c>
      <c r="K5537" t="s">
        <v>1853</v>
      </c>
      <c r="L5537">
        <v>4006</v>
      </c>
      <c r="M5537" t="s">
        <v>2073</v>
      </c>
      <c r="N5537" t="s">
        <v>351</v>
      </c>
      <c r="O5537">
        <v>1</v>
      </c>
      <c r="P5537" t="s">
        <v>352</v>
      </c>
      <c r="Q5537" t="s">
        <v>353</v>
      </c>
      <c r="R5537" t="s">
        <v>201</v>
      </c>
      <c r="S5537">
        <v>1</v>
      </c>
      <c r="T5537">
        <v>1</v>
      </c>
      <c r="U5537">
        <v>62544</v>
      </c>
      <c r="V5537">
        <v>62544</v>
      </c>
    </row>
    <row r="5538" spans="1:22">
      <c r="A5538" t="s">
        <v>196</v>
      </c>
      <c r="B5538">
        <v>88</v>
      </c>
      <c r="C5538" t="s">
        <v>1852</v>
      </c>
      <c r="D5538">
        <v>314</v>
      </c>
      <c r="E5538" t="s">
        <v>2066</v>
      </c>
      <c r="F5538">
        <v>1025</v>
      </c>
      <c r="G5538" t="s">
        <v>5</v>
      </c>
      <c r="H5538">
        <v>2025</v>
      </c>
      <c r="I5538" t="s">
        <v>5</v>
      </c>
      <c r="J5538">
        <v>3249</v>
      </c>
      <c r="K5538" t="s">
        <v>1853</v>
      </c>
      <c r="L5538">
        <v>4006</v>
      </c>
      <c r="M5538" t="s">
        <v>2073</v>
      </c>
      <c r="N5538" t="s">
        <v>199</v>
      </c>
      <c r="O5538">
        <v>0</v>
      </c>
      <c r="P5538">
        <v>15</v>
      </c>
      <c r="Q5538" t="s">
        <v>264</v>
      </c>
      <c r="R5538" t="s">
        <v>201</v>
      </c>
      <c r="S5538">
        <v>0</v>
      </c>
      <c r="T5538">
        <v>0</v>
      </c>
      <c r="U5538">
        <v>6370</v>
      </c>
      <c r="V5538">
        <v>6370</v>
      </c>
    </row>
    <row r="5539" spans="1:22">
      <c r="A5539" t="s">
        <v>196</v>
      </c>
      <c r="B5539">
        <v>88</v>
      </c>
      <c r="C5539" t="s">
        <v>1852</v>
      </c>
      <c r="D5539">
        <v>314</v>
      </c>
      <c r="E5539" t="s">
        <v>2066</v>
      </c>
      <c r="F5539">
        <v>1025</v>
      </c>
      <c r="G5539" t="s">
        <v>5</v>
      </c>
      <c r="H5539">
        <v>2025</v>
      </c>
      <c r="I5539" t="s">
        <v>5</v>
      </c>
      <c r="J5539">
        <v>3257</v>
      </c>
      <c r="K5539" t="s">
        <v>1930</v>
      </c>
      <c r="L5539">
        <v>4010</v>
      </c>
      <c r="M5539" t="s">
        <v>2075</v>
      </c>
      <c r="N5539" t="s">
        <v>721</v>
      </c>
      <c r="O5539">
        <v>8</v>
      </c>
      <c r="P5539">
        <v>7124</v>
      </c>
      <c r="Q5539" t="s">
        <v>1054</v>
      </c>
      <c r="R5539" t="s">
        <v>713</v>
      </c>
      <c r="S5539">
        <v>3</v>
      </c>
      <c r="T5539">
        <v>1</v>
      </c>
      <c r="U5539">
        <v>49.58</v>
      </c>
      <c r="V5539">
        <v>309379</v>
      </c>
    </row>
    <row r="5540" spans="1:22">
      <c r="A5540" t="s">
        <v>196</v>
      </c>
      <c r="B5540">
        <v>88</v>
      </c>
      <c r="C5540" t="s">
        <v>1852</v>
      </c>
      <c r="D5540">
        <v>314</v>
      </c>
      <c r="E5540" t="s">
        <v>2066</v>
      </c>
      <c r="F5540">
        <v>1025</v>
      </c>
      <c r="G5540" t="s">
        <v>5</v>
      </c>
      <c r="H5540">
        <v>2025</v>
      </c>
      <c r="I5540" t="s">
        <v>5</v>
      </c>
      <c r="J5540">
        <v>3257</v>
      </c>
      <c r="K5540" t="s">
        <v>1930</v>
      </c>
      <c r="L5540">
        <v>4010</v>
      </c>
      <c r="M5540" t="s">
        <v>2075</v>
      </c>
      <c r="N5540" t="s">
        <v>721</v>
      </c>
      <c r="O5540">
        <v>53</v>
      </c>
      <c r="P5540">
        <v>7101</v>
      </c>
      <c r="Q5540" t="s">
        <v>1936</v>
      </c>
      <c r="R5540" t="s">
        <v>713</v>
      </c>
      <c r="S5540">
        <v>7</v>
      </c>
      <c r="T5540">
        <v>1</v>
      </c>
      <c r="U5540">
        <v>51.4</v>
      </c>
      <c r="V5540">
        <v>748384</v>
      </c>
    </row>
    <row r="5541" spans="1:22">
      <c r="A5541" t="s">
        <v>196</v>
      </c>
      <c r="B5541">
        <v>88</v>
      </c>
      <c r="C5541" t="s">
        <v>1852</v>
      </c>
      <c r="D5541">
        <v>314</v>
      </c>
      <c r="E5541" t="s">
        <v>2066</v>
      </c>
      <c r="F5541">
        <v>1025</v>
      </c>
      <c r="G5541" t="s">
        <v>5</v>
      </c>
      <c r="H5541">
        <v>2025</v>
      </c>
      <c r="I5541" t="s">
        <v>5</v>
      </c>
      <c r="J5541">
        <v>3257</v>
      </c>
      <c r="K5541" t="s">
        <v>1930</v>
      </c>
      <c r="L5541">
        <v>4010</v>
      </c>
      <c r="M5541" t="s">
        <v>2075</v>
      </c>
      <c r="N5541" t="s">
        <v>199</v>
      </c>
      <c r="O5541">
        <v>0</v>
      </c>
      <c r="P5541">
        <v>12</v>
      </c>
      <c r="Q5541" t="s">
        <v>724</v>
      </c>
      <c r="R5541" t="s">
        <v>201</v>
      </c>
      <c r="S5541">
        <v>0</v>
      </c>
      <c r="T5541">
        <v>0</v>
      </c>
      <c r="U5541">
        <v>15867</v>
      </c>
      <c r="V5541">
        <v>15867</v>
      </c>
    </row>
    <row r="5542" spans="1:22">
      <c r="A5542" t="s">
        <v>196</v>
      </c>
      <c r="B5542">
        <v>88</v>
      </c>
      <c r="C5542" t="s">
        <v>1852</v>
      </c>
      <c r="D5542">
        <v>314</v>
      </c>
      <c r="E5542" t="s">
        <v>2066</v>
      </c>
      <c r="F5542">
        <v>1025</v>
      </c>
      <c r="G5542" t="s">
        <v>5</v>
      </c>
      <c r="H5542">
        <v>2025</v>
      </c>
      <c r="I5542" t="s">
        <v>5</v>
      </c>
      <c r="J5542">
        <v>3261</v>
      </c>
      <c r="K5542" t="s">
        <v>1938</v>
      </c>
      <c r="L5542">
        <v>4012</v>
      </c>
      <c r="M5542" t="s">
        <v>2076</v>
      </c>
      <c r="N5542" t="s">
        <v>721</v>
      </c>
      <c r="O5542">
        <v>53</v>
      </c>
      <c r="P5542">
        <v>9584</v>
      </c>
      <c r="Q5542" t="s">
        <v>2077</v>
      </c>
      <c r="R5542" t="s">
        <v>713</v>
      </c>
      <c r="S5542">
        <v>27</v>
      </c>
      <c r="T5542">
        <v>1</v>
      </c>
      <c r="U5542">
        <v>52.2</v>
      </c>
      <c r="V5542">
        <v>2931552</v>
      </c>
    </row>
    <row r="5543" spans="1:22">
      <c r="A5543" t="s">
        <v>196</v>
      </c>
      <c r="B5543">
        <v>88</v>
      </c>
      <c r="C5543" t="s">
        <v>1852</v>
      </c>
      <c r="D5543">
        <v>314</v>
      </c>
      <c r="E5543" t="s">
        <v>2066</v>
      </c>
      <c r="F5543">
        <v>1025</v>
      </c>
      <c r="G5543" t="s">
        <v>5</v>
      </c>
      <c r="H5543">
        <v>2025</v>
      </c>
      <c r="I5543" t="s">
        <v>5</v>
      </c>
      <c r="J5543">
        <v>3261</v>
      </c>
      <c r="K5543" t="s">
        <v>1938</v>
      </c>
      <c r="L5543">
        <v>4012</v>
      </c>
      <c r="M5543" t="s">
        <v>2076</v>
      </c>
      <c r="N5543" t="s">
        <v>721</v>
      </c>
      <c r="O5543">
        <v>53</v>
      </c>
      <c r="P5543">
        <v>9532</v>
      </c>
      <c r="Q5543" t="s">
        <v>901</v>
      </c>
      <c r="R5543" t="s">
        <v>713</v>
      </c>
      <c r="S5543">
        <v>9</v>
      </c>
      <c r="T5543">
        <v>1</v>
      </c>
      <c r="U5543">
        <v>51.4</v>
      </c>
      <c r="V5543">
        <v>962208</v>
      </c>
    </row>
    <row r="5544" spans="1:22">
      <c r="A5544" t="s">
        <v>196</v>
      </c>
      <c r="B5544">
        <v>88</v>
      </c>
      <c r="C5544" t="s">
        <v>1852</v>
      </c>
      <c r="D5544">
        <v>314</v>
      </c>
      <c r="E5544" t="s">
        <v>2066</v>
      </c>
      <c r="F5544">
        <v>1025</v>
      </c>
      <c r="G5544" t="s">
        <v>5</v>
      </c>
      <c r="H5544">
        <v>2025</v>
      </c>
      <c r="I5544" t="s">
        <v>5</v>
      </c>
      <c r="J5544">
        <v>3261</v>
      </c>
      <c r="K5544" t="s">
        <v>1938</v>
      </c>
      <c r="L5544">
        <v>4012</v>
      </c>
      <c r="M5544" t="s">
        <v>2076</v>
      </c>
      <c r="N5544" t="s">
        <v>721</v>
      </c>
      <c r="O5544">
        <v>53</v>
      </c>
      <c r="P5544">
        <v>9411</v>
      </c>
      <c r="Q5544" t="s">
        <v>1940</v>
      </c>
      <c r="R5544" t="s">
        <v>713</v>
      </c>
      <c r="S5544">
        <v>122</v>
      </c>
      <c r="T5544">
        <v>1</v>
      </c>
      <c r="U5544">
        <v>51.4</v>
      </c>
      <c r="V5544">
        <v>13043264</v>
      </c>
    </row>
    <row r="5545" spans="1:22">
      <c r="A5545" t="s">
        <v>196</v>
      </c>
      <c r="B5545">
        <v>88</v>
      </c>
      <c r="C5545" t="s">
        <v>1852</v>
      </c>
      <c r="D5545">
        <v>314</v>
      </c>
      <c r="E5545" t="s">
        <v>2066</v>
      </c>
      <c r="F5545">
        <v>1025</v>
      </c>
      <c r="G5545" t="s">
        <v>5</v>
      </c>
      <c r="H5545">
        <v>2025</v>
      </c>
      <c r="I5545" t="s">
        <v>5</v>
      </c>
      <c r="J5545">
        <v>3261</v>
      </c>
      <c r="K5545" t="s">
        <v>1938</v>
      </c>
      <c r="L5545">
        <v>4012</v>
      </c>
      <c r="M5545" t="s">
        <v>2076</v>
      </c>
      <c r="N5545" t="s">
        <v>721</v>
      </c>
      <c r="O5545">
        <v>53</v>
      </c>
      <c r="P5545">
        <v>9411</v>
      </c>
      <c r="Q5545" t="s">
        <v>1940</v>
      </c>
      <c r="R5545" t="s">
        <v>713</v>
      </c>
      <c r="S5545">
        <v>93600</v>
      </c>
      <c r="T5545">
        <v>0</v>
      </c>
      <c r="U5545">
        <v>51.52</v>
      </c>
      <c r="V5545">
        <v>4822272</v>
      </c>
    </row>
    <row r="5546" spans="1:22">
      <c r="A5546" t="s">
        <v>196</v>
      </c>
      <c r="B5546">
        <v>88</v>
      </c>
      <c r="C5546" t="s">
        <v>1852</v>
      </c>
      <c r="D5546">
        <v>314</v>
      </c>
      <c r="E5546" t="s">
        <v>2066</v>
      </c>
      <c r="F5546">
        <v>1025</v>
      </c>
      <c r="G5546" t="s">
        <v>5</v>
      </c>
      <c r="H5546">
        <v>2025</v>
      </c>
      <c r="I5546" t="s">
        <v>5</v>
      </c>
      <c r="J5546">
        <v>3261</v>
      </c>
      <c r="K5546" t="s">
        <v>1938</v>
      </c>
      <c r="L5546">
        <v>4012</v>
      </c>
      <c r="M5546" t="s">
        <v>2076</v>
      </c>
      <c r="N5546" t="s">
        <v>721</v>
      </c>
      <c r="O5546">
        <v>53</v>
      </c>
      <c r="P5546">
        <v>9410</v>
      </c>
      <c r="Q5546" t="s">
        <v>1941</v>
      </c>
      <c r="R5546" t="s">
        <v>713</v>
      </c>
      <c r="S5546">
        <v>65340</v>
      </c>
      <c r="T5546">
        <v>0</v>
      </c>
      <c r="U5546">
        <v>30.84</v>
      </c>
      <c r="V5546">
        <v>2015086</v>
      </c>
    </row>
    <row r="5547" spans="1:22">
      <c r="A5547" t="s">
        <v>196</v>
      </c>
      <c r="B5547">
        <v>88</v>
      </c>
      <c r="C5547" t="s">
        <v>1852</v>
      </c>
      <c r="D5547">
        <v>314</v>
      </c>
      <c r="E5547" t="s">
        <v>2066</v>
      </c>
      <c r="F5547">
        <v>1025</v>
      </c>
      <c r="G5547" t="s">
        <v>5</v>
      </c>
      <c r="H5547">
        <v>2025</v>
      </c>
      <c r="I5547" t="s">
        <v>5</v>
      </c>
      <c r="J5547">
        <v>3261</v>
      </c>
      <c r="K5547" t="s">
        <v>1938</v>
      </c>
      <c r="L5547">
        <v>4012</v>
      </c>
      <c r="M5547" t="s">
        <v>2076</v>
      </c>
      <c r="N5547" t="s">
        <v>721</v>
      </c>
      <c r="O5547">
        <v>53</v>
      </c>
      <c r="P5547">
        <v>9408</v>
      </c>
      <c r="Q5547" t="s">
        <v>1932</v>
      </c>
      <c r="R5547" t="s">
        <v>713</v>
      </c>
      <c r="S5547">
        <v>1</v>
      </c>
      <c r="T5547">
        <v>1</v>
      </c>
      <c r="U5547">
        <v>51.4</v>
      </c>
      <c r="V5547">
        <v>106912</v>
      </c>
    </row>
    <row r="5548" spans="1:22">
      <c r="A5548" t="s">
        <v>196</v>
      </c>
      <c r="B5548">
        <v>88</v>
      </c>
      <c r="C5548" t="s">
        <v>1852</v>
      </c>
      <c r="D5548">
        <v>314</v>
      </c>
      <c r="E5548" t="s">
        <v>2066</v>
      </c>
      <c r="F5548">
        <v>1025</v>
      </c>
      <c r="G5548" t="s">
        <v>5</v>
      </c>
      <c r="H5548">
        <v>2025</v>
      </c>
      <c r="I5548" t="s">
        <v>5</v>
      </c>
      <c r="J5548">
        <v>3261</v>
      </c>
      <c r="K5548" t="s">
        <v>1938</v>
      </c>
      <c r="L5548">
        <v>4012</v>
      </c>
      <c r="M5548" t="s">
        <v>2076</v>
      </c>
      <c r="N5548" t="s">
        <v>1943</v>
      </c>
      <c r="O5548">
        <v>16</v>
      </c>
      <c r="P5548">
        <v>8373</v>
      </c>
      <c r="Q5548" t="s">
        <v>1944</v>
      </c>
      <c r="R5548" t="s">
        <v>201</v>
      </c>
      <c r="S5548">
        <v>1</v>
      </c>
      <c r="T5548">
        <v>1</v>
      </c>
      <c r="U5548">
        <v>150180</v>
      </c>
      <c r="V5548">
        <v>150180</v>
      </c>
    </row>
    <row r="5549" spans="1:22">
      <c r="A5549" t="s">
        <v>196</v>
      </c>
      <c r="B5549">
        <v>88</v>
      </c>
      <c r="C5549" t="s">
        <v>1852</v>
      </c>
      <c r="D5549">
        <v>314</v>
      </c>
      <c r="E5549" t="s">
        <v>2066</v>
      </c>
      <c r="F5549">
        <v>1025</v>
      </c>
      <c r="G5549" t="s">
        <v>5</v>
      </c>
      <c r="H5549">
        <v>2025</v>
      </c>
      <c r="I5549" t="s">
        <v>5</v>
      </c>
      <c r="J5549">
        <v>3261</v>
      </c>
      <c r="K5549" t="s">
        <v>1938</v>
      </c>
      <c r="L5549">
        <v>4012</v>
      </c>
      <c r="M5549" t="s">
        <v>2076</v>
      </c>
      <c r="N5549" t="s">
        <v>1943</v>
      </c>
      <c r="O5549">
        <v>16</v>
      </c>
      <c r="P5549">
        <v>8373</v>
      </c>
      <c r="Q5549" t="s">
        <v>1944</v>
      </c>
      <c r="R5549" t="s">
        <v>201</v>
      </c>
      <c r="S5549">
        <v>1</v>
      </c>
      <c r="T5549">
        <v>1</v>
      </c>
      <c r="U5549">
        <v>136872</v>
      </c>
      <c r="V5549">
        <v>136872</v>
      </c>
    </row>
    <row r="5550" spans="1:22">
      <c r="A5550" t="s">
        <v>196</v>
      </c>
      <c r="B5550">
        <v>88</v>
      </c>
      <c r="C5550" t="s">
        <v>1852</v>
      </c>
      <c r="D5550">
        <v>314</v>
      </c>
      <c r="E5550" t="s">
        <v>2066</v>
      </c>
      <c r="F5550">
        <v>1025</v>
      </c>
      <c r="G5550" t="s">
        <v>5</v>
      </c>
      <c r="H5550">
        <v>2025</v>
      </c>
      <c r="I5550" t="s">
        <v>5</v>
      </c>
      <c r="J5550">
        <v>3261</v>
      </c>
      <c r="K5550" t="s">
        <v>1938</v>
      </c>
      <c r="L5550">
        <v>4012</v>
      </c>
      <c r="M5550" t="s">
        <v>2076</v>
      </c>
      <c r="N5550" t="s">
        <v>721</v>
      </c>
      <c r="O5550">
        <v>16</v>
      </c>
      <c r="P5550">
        <v>8352</v>
      </c>
      <c r="Q5550" t="s">
        <v>1945</v>
      </c>
      <c r="R5550" t="s">
        <v>712</v>
      </c>
      <c r="S5550">
        <v>6</v>
      </c>
      <c r="T5550">
        <v>1</v>
      </c>
      <c r="U5550">
        <v>11466</v>
      </c>
      <c r="V5550">
        <v>825552</v>
      </c>
    </row>
    <row r="5551" spans="1:22">
      <c r="A5551" t="s">
        <v>196</v>
      </c>
      <c r="B5551">
        <v>88</v>
      </c>
      <c r="C5551" t="s">
        <v>1852</v>
      </c>
      <c r="D5551">
        <v>314</v>
      </c>
      <c r="E5551" t="s">
        <v>2066</v>
      </c>
      <c r="F5551">
        <v>1025</v>
      </c>
      <c r="G5551" t="s">
        <v>5</v>
      </c>
      <c r="H5551">
        <v>2025</v>
      </c>
      <c r="I5551" t="s">
        <v>5</v>
      </c>
      <c r="J5551">
        <v>3261</v>
      </c>
      <c r="K5551" t="s">
        <v>1938</v>
      </c>
      <c r="L5551">
        <v>4012</v>
      </c>
      <c r="M5551" t="s">
        <v>2076</v>
      </c>
      <c r="N5551" t="s">
        <v>721</v>
      </c>
      <c r="O5551">
        <v>16</v>
      </c>
      <c r="P5551">
        <v>8345</v>
      </c>
      <c r="Q5551" t="s">
        <v>2078</v>
      </c>
      <c r="R5551" t="s">
        <v>713</v>
      </c>
      <c r="S5551">
        <v>5</v>
      </c>
      <c r="T5551">
        <v>1</v>
      </c>
      <c r="U5551">
        <v>64.150000000000006</v>
      </c>
      <c r="V5551">
        <v>667160</v>
      </c>
    </row>
    <row r="5552" spans="1:22">
      <c r="A5552" t="s">
        <v>196</v>
      </c>
      <c r="B5552">
        <v>88</v>
      </c>
      <c r="C5552" t="s">
        <v>1852</v>
      </c>
      <c r="D5552">
        <v>314</v>
      </c>
      <c r="E5552" t="s">
        <v>2066</v>
      </c>
      <c r="F5552">
        <v>1025</v>
      </c>
      <c r="G5552" t="s">
        <v>5</v>
      </c>
      <c r="H5552">
        <v>2025</v>
      </c>
      <c r="I5552" t="s">
        <v>5</v>
      </c>
      <c r="J5552">
        <v>3261</v>
      </c>
      <c r="K5552" t="s">
        <v>1938</v>
      </c>
      <c r="L5552">
        <v>4012</v>
      </c>
      <c r="M5552" t="s">
        <v>2076</v>
      </c>
      <c r="N5552" t="s">
        <v>721</v>
      </c>
      <c r="O5552">
        <v>53</v>
      </c>
      <c r="P5552">
        <v>8246</v>
      </c>
      <c r="Q5552" t="s">
        <v>1933</v>
      </c>
      <c r="R5552" t="s">
        <v>713</v>
      </c>
      <c r="S5552">
        <v>1</v>
      </c>
      <c r="T5552">
        <v>1</v>
      </c>
      <c r="U5552">
        <v>52.5</v>
      </c>
      <c r="V5552">
        <v>109200</v>
      </c>
    </row>
    <row r="5553" spans="1:22">
      <c r="A5553" t="s">
        <v>196</v>
      </c>
      <c r="B5553">
        <v>88</v>
      </c>
      <c r="C5553" t="s">
        <v>1852</v>
      </c>
      <c r="D5553">
        <v>314</v>
      </c>
      <c r="E5553" t="s">
        <v>2066</v>
      </c>
      <c r="F5553">
        <v>1025</v>
      </c>
      <c r="G5553" t="s">
        <v>5</v>
      </c>
      <c r="H5553">
        <v>2025</v>
      </c>
      <c r="I5553" t="s">
        <v>5</v>
      </c>
      <c r="J5553">
        <v>3261</v>
      </c>
      <c r="K5553" t="s">
        <v>1938</v>
      </c>
      <c r="L5553">
        <v>4012</v>
      </c>
      <c r="M5553" t="s">
        <v>2076</v>
      </c>
      <c r="N5553" t="s">
        <v>721</v>
      </c>
      <c r="O5553">
        <v>42</v>
      </c>
      <c r="P5553">
        <v>7633</v>
      </c>
      <c r="Q5553" t="s">
        <v>1740</v>
      </c>
      <c r="R5553" t="s">
        <v>713</v>
      </c>
      <c r="S5553">
        <v>37630</v>
      </c>
      <c r="T5553">
        <v>0</v>
      </c>
      <c r="U5553">
        <v>66.8</v>
      </c>
      <c r="V5553">
        <v>2513684</v>
      </c>
    </row>
    <row r="5554" spans="1:22">
      <c r="A5554" t="s">
        <v>196</v>
      </c>
      <c r="B5554">
        <v>88</v>
      </c>
      <c r="C5554" t="s">
        <v>1852</v>
      </c>
      <c r="D5554">
        <v>314</v>
      </c>
      <c r="E5554" t="s">
        <v>2066</v>
      </c>
      <c r="F5554">
        <v>1025</v>
      </c>
      <c r="G5554" t="s">
        <v>5</v>
      </c>
      <c r="H5554">
        <v>2025</v>
      </c>
      <c r="I5554" t="s">
        <v>5</v>
      </c>
      <c r="J5554">
        <v>3261</v>
      </c>
      <c r="K5554" t="s">
        <v>1938</v>
      </c>
      <c r="L5554">
        <v>4012</v>
      </c>
      <c r="M5554" t="s">
        <v>2076</v>
      </c>
      <c r="N5554" t="s">
        <v>721</v>
      </c>
      <c r="O5554">
        <v>42</v>
      </c>
      <c r="P5554">
        <v>7635</v>
      </c>
      <c r="Q5554" t="s">
        <v>1739</v>
      </c>
      <c r="R5554" t="s">
        <v>713</v>
      </c>
      <c r="S5554">
        <v>3</v>
      </c>
      <c r="T5554">
        <v>1</v>
      </c>
      <c r="U5554">
        <v>68.8</v>
      </c>
      <c r="V5554">
        <v>429312</v>
      </c>
    </row>
    <row r="5555" spans="1:22">
      <c r="A5555" t="s">
        <v>196</v>
      </c>
      <c r="B5555">
        <v>88</v>
      </c>
      <c r="C5555" t="s">
        <v>1852</v>
      </c>
      <c r="D5555">
        <v>314</v>
      </c>
      <c r="E5555" t="s">
        <v>2066</v>
      </c>
      <c r="F5555">
        <v>1025</v>
      </c>
      <c r="G5555" t="s">
        <v>5</v>
      </c>
      <c r="H5555">
        <v>2025</v>
      </c>
      <c r="I5555" t="s">
        <v>5</v>
      </c>
      <c r="J5555">
        <v>3261</v>
      </c>
      <c r="K5555" t="s">
        <v>1938</v>
      </c>
      <c r="L5555">
        <v>4012</v>
      </c>
      <c r="M5555" t="s">
        <v>2076</v>
      </c>
      <c r="N5555" t="s">
        <v>721</v>
      </c>
      <c r="O5555">
        <v>42</v>
      </c>
      <c r="P5555">
        <v>7633</v>
      </c>
      <c r="Q5555" t="s">
        <v>1740</v>
      </c>
      <c r="R5555" t="s">
        <v>713</v>
      </c>
      <c r="S5555">
        <v>50</v>
      </c>
      <c r="T5555">
        <v>1</v>
      </c>
      <c r="U5555">
        <v>64.8</v>
      </c>
      <c r="V5555">
        <v>6739200</v>
      </c>
    </row>
    <row r="5556" spans="1:22">
      <c r="A5556" t="s">
        <v>196</v>
      </c>
      <c r="B5556">
        <v>88</v>
      </c>
      <c r="C5556" t="s">
        <v>1852</v>
      </c>
      <c r="D5556">
        <v>314</v>
      </c>
      <c r="E5556" t="s">
        <v>2066</v>
      </c>
      <c r="F5556">
        <v>1025</v>
      </c>
      <c r="G5556" t="s">
        <v>5</v>
      </c>
      <c r="H5556">
        <v>2025</v>
      </c>
      <c r="I5556" t="s">
        <v>5</v>
      </c>
      <c r="J5556">
        <v>3261</v>
      </c>
      <c r="K5556" t="s">
        <v>1938</v>
      </c>
      <c r="L5556">
        <v>4012</v>
      </c>
      <c r="M5556" t="s">
        <v>2076</v>
      </c>
      <c r="N5556" t="s">
        <v>721</v>
      </c>
      <c r="O5556">
        <v>8</v>
      </c>
      <c r="P5556">
        <v>7185</v>
      </c>
      <c r="Q5556" t="s">
        <v>1039</v>
      </c>
      <c r="R5556" t="s">
        <v>713</v>
      </c>
      <c r="S5556">
        <v>1</v>
      </c>
      <c r="T5556">
        <v>1</v>
      </c>
      <c r="U5556">
        <v>52.38</v>
      </c>
      <c r="V5556">
        <v>108950</v>
      </c>
    </row>
    <row r="5557" spans="1:22">
      <c r="A5557" t="s">
        <v>196</v>
      </c>
      <c r="B5557">
        <v>88</v>
      </c>
      <c r="C5557" t="s">
        <v>1852</v>
      </c>
      <c r="D5557">
        <v>314</v>
      </c>
      <c r="E5557" t="s">
        <v>2066</v>
      </c>
      <c r="F5557">
        <v>1025</v>
      </c>
      <c r="G5557" t="s">
        <v>5</v>
      </c>
      <c r="H5557">
        <v>2025</v>
      </c>
      <c r="I5557" t="s">
        <v>5</v>
      </c>
      <c r="J5557">
        <v>3261</v>
      </c>
      <c r="K5557" t="s">
        <v>1938</v>
      </c>
      <c r="L5557">
        <v>4012</v>
      </c>
      <c r="M5557" t="s">
        <v>2076</v>
      </c>
      <c r="N5557" t="s">
        <v>721</v>
      </c>
      <c r="O5557">
        <v>8</v>
      </c>
      <c r="P5557">
        <v>7184</v>
      </c>
      <c r="Q5557" t="s">
        <v>1728</v>
      </c>
      <c r="R5557" t="s">
        <v>713</v>
      </c>
      <c r="S5557">
        <v>47840</v>
      </c>
      <c r="T5557">
        <v>0</v>
      </c>
      <c r="U5557">
        <v>38.979999999999997</v>
      </c>
      <c r="V5557">
        <v>1864803</v>
      </c>
    </row>
    <row r="5558" spans="1:22">
      <c r="A5558" t="s">
        <v>196</v>
      </c>
      <c r="B5558">
        <v>88</v>
      </c>
      <c r="C5558" t="s">
        <v>1852</v>
      </c>
      <c r="D5558">
        <v>314</v>
      </c>
      <c r="E5558" t="s">
        <v>2066</v>
      </c>
      <c r="F5558">
        <v>1025</v>
      </c>
      <c r="G5558" t="s">
        <v>5</v>
      </c>
      <c r="H5558">
        <v>2025</v>
      </c>
      <c r="I5558" t="s">
        <v>5</v>
      </c>
      <c r="J5558">
        <v>3261</v>
      </c>
      <c r="K5558" t="s">
        <v>1938</v>
      </c>
      <c r="L5558">
        <v>4012</v>
      </c>
      <c r="M5558" t="s">
        <v>2076</v>
      </c>
      <c r="N5558" t="s">
        <v>721</v>
      </c>
      <c r="O5558">
        <v>8</v>
      </c>
      <c r="P5558">
        <v>7183</v>
      </c>
      <c r="Q5558" t="s">
        <v>986</v>
      </c>
      <c r="R5558" t="s">
        <v>713</v>
      </c>
      <c r="S5558">
        <v>55</v>
      </c>
      <c r="T5558">
        <v>1</v>
      </c>
      <c r="U5558">
        <v>48.73</v>
      </c>
      <c r="V5558">
        <v>5574712</v>
      </c>
    </row>
    <row r="5559" spans="1:22">
      <c r="A5559" t="s">
        <v>196</v>
      </c>
      <c r="B5559">
        <v>88</v>
      </c>
      <c r="C5559" t="s">
        <v>1852</v>
      </c>
      <c r="D5559">
        <v>314</v>
      </c>
      <c r="E5559" t="s">
        <v>2066</v>
      </c>
      <c r="F5559">
        <v>1025</v>
      </c>
      <c r="G5559" t="s">
        <v>5</v>
      </c>
      <c r="H5559">
        <v>2025</v>
      </c>
      <c r="I5559" t="s">
        <v>5</v>
      </c>
      <c r="J5559">
        <v>3261</v>
      </c>
      <c r="K5559" t="s">
        <v>1938</v>
      </c>
      <c r="L5559">
        <v>4012</v>
      </c>
      <c r="M5559" t="s">
        <v>2076</v>
      </c>
      <c r="N5559" t="s">
        <v>1755</v>
      </c>
      <c r="O5559">
        <v>53</v>
      </c>
      <c r="P5559">
        <v>6304</v>
      </c>
      <c r="Q5559" t="s">
        <v>1861</v>
      </c>
      <c r="R5559" t="s">
        <v>201</v>
      </c>
      <c r="S5559">
        <v>1</v>
      </c>
      <c r="T5559">
        <v>1</v>
      </c>
      <c r="U5559">
        <v>130620</v>
      </c>
      <c r="V5559">
        <v>130620</v>
      </c>
    </row>
    <row r="5560" spans="1:22">
      <c r="A5560" t="s">
        <v>196</v>
      </c>
      <c r="B5560">
        <v>88</v>
      </c>
      <c r="C5560" t="s">
        <v>1852</v>
      </c>
      <c r="D5560">
        <v>314</v>
      </c>
      <c r="E5560" t="s">
        <v>2066</v>
      </c>
      <c r="F5560">
        <v>1025</v>
      </c>
      <c r="G5560" t="s">
        <v>5</v>
      </c>
      <c r="H5560">
        <v>2025</v>
      </c>
      <c r="I5560" t="s">
        <v>5</v>
      </c>
      <c r="J5560">
        <v>3261</v>
      </c>
      <c r="K5560" t="s">
        <v>1938</v>
      </c>
      <c r="L5560">
        <v>4012</v>
      </c>
      <c r="M5560" t="s">
        <v>2076</v>
      </c>
      <c r="N5560" t="s">
        <v>1755</v>
      </c>
      <c r="O5560">
        <v>53</v>
      </c>
      <c r="P5560">
        <v>6304</v>
      </c>
      <c r="Q5560" t="s">
        <v>1861</v>
      </c>
      <c r="R5560" t="s">
        <v>201</v>
      </c>
      <c r="S5560">
        <v>1</v>
      </c>
      <c r="T5560">
        <v>1</v>
      </c>
      <c r="U5560">
        <v>124776</v>
      </c>
      <c r="V5560">
        <v>124776</v>
      </c>
    </row>
    <row r="5561" spans="1:22">
      <c r="A5561" t="s">
        <v>196</v>
      </c>
      <c r="B5561">
        <v>88</v>
      </c>
      <c r="C5561" t="s">
        <v>1852</v>
      </c>
      <c r="D5561">
        <v>314</v>
      </c>
      <c r="E5561" t="s">
        <v>2066</v>
      </c>
      <c r="F5561">
        <v>1025</v>
      </c>
      <c r="G5561" t="s">
        <v>5</v>
      </c>
      <c r="H5561">
        <v>2025</v>
      </c>
      <c r="I5561" t="s">
        <v>5</v>
      </c>
      <c r="J5561">
        <v>3261</v>
      </c>
      <c r="K5561" t="s">
        <v>1938</v>
      </c>
      <c r="L5561">
        <v>4012</v>
      </c>
      <c r="M5561" t="s">
        <v>2076</v>
      </c>
      <c r="N5561" t="s">
        <v>1755</v>
      </c>
      <c r="O5561">
        <v>53</v>
      </c>
      <c r="P5561">
        <v>6304</v>
      </c>
      <c r="Q5561" t="s">
        <v>1861</v>
      </c>
      <c r="R5561" t="s">
        <v>201</v>
      </c>
      <c r="S5561">
        <v>1</v>
      </c>
      <c r="T5561">
        <v>1</v>
      </c>
      <c r="U5561">
        <v>98892</v>
      </c>
      <c r="V5561">
        <v>98892</v>
      </c>
    </row>
    <row r="5562" spans="1:22">
      <c r="A5562" t="s">
        <v>196</v>
      </c>
      <c r="B5562">
        <v>88</v>
      </c>
      <c r="C5562" t="s">
        <v>1852</v>
      </c>
      <c r="D5562">
        <v>314</v>
      </c>
      <c r="E5562" t="s">
        <v>2066</v>
      </c>
      <c r="F5562">
        <v>1025</v>
      </c>
      <c r="G5562" t="s">
        <v>5</v>
      </c>
      <c r="H5562">
        <v>2025</v>
      </c>
      <c r="I5562" t="s">
        <v>5</v>
      </c>
      <c r="J5562">
        <v>3261</v>
      </c>
      <c r="K5562" t="s">
        <v>1938</v>
      </c>
      <c r="L5562">
        <v>4012</v>
      </c>
      <c r="M5562" t="s">
        <v>2076</v>
      </c>
      <c r="N5562" t="s">
        <v>1755</v>
      </c>
      <c r="O5562">
        <v>53</v>
      </c>
      <c r="P5562">
        <v>6304</v>
      </c>
      <c r="Q5562" t="s">
        <v>1861</v>
      </c>
      <c r="R5562" t="s">
        <v>201</v>
      </c>
      <c r="S5562">
        <v>1</v>
      </c>
      <c r="T5562">
        <v>1</v>
      </c>
      <c r="U5562">
        <v>77628</v>
      </c>
      <c r="V5562">
        <v>77628</v>
      </c>
    </row>
    <row r="5563" spans="1:22">
      <c r="A5563" t="s">
        <v>196</v>
      </c>
      <c r="B5563">
        <v>88</v>
      </c>
      <c r="C5563" t="s">
        <v>1852</v>
      </c>
      <c r="D5563">
        <v>314</v>
      </c>
      <c r="E5563" t="s">
        <v>2066</v>
      </c>
      <c r="F5563">
        <v>1025</v>
      </c>
      <c r="G5563" t="s">
        <v>5</v>
      </c>
      <c r="H5563">
        <v>2025</v>
      </c>
      <c r="I5563" t="s">
        <v>5</v>
      </c>
      <c r="J5563">
        <v>3261</v>
      </c>
      <c r="K5563" t="s">
        <v>1938</v>
      </c>
      <c r="L5563">
        <v>4012</v>
      </c>
      <c r="M5563" t="s">
        <v>2076</v>
      </c>
      <c r="N5563" t="s">
        <v>1719</v>
      </c>
      <c r="O5563">
        <v>10</v>
      </c>
      <c r="P5563">
        <v>5985</v>
      </c>
      <c r="Q5563" t="s">
        <v>1923</v>
      </c>
      <c r="R5563" t="s">
        <v>201</v>
      </c>
      <c r="S5563">
        <v>2</v>
      </c>
      <c r="T5563">
        <v>1</v>
      </c>
      <c r="U5563">
        <v>150072</v>
      </c>
      <c r="V5563">
        <v>300144</v>
      </c>
    </row>
    <row r="5564" spans="1:22">
      <c r="A5564" t="s">
        <v>196</v>
      </c>
      <c r="B5564">
        <v>88</v>
      </c>
      <c r="C5564" t="s">
        <v>1852</v>
      </c>
      <c r="D5564">
        <v>314</v>
      </c>
      <c r="E5564" t="s">
        <v>2066</v>
      </c>
      <c r="F5564">
        <v>1025</v>
      </c>
      <c r="G5564" t="s">
        <v>5</v>
      </c>
      <c r="H5564">
        <v>2025</v>
      </c>
      <c r="I5564" t="s">
        <v>5</v>
      </c>
      <c r="J5564">
        <v>3261</v>
      </c>
      <c r="K5564" t="s">
        <v>1938</v>
      </c>
      <c r="L5564">
        <v>4012</v>
      </c>
      <c r="M5564" t="s">
        <v>2076</v>
      </c>
      <c r="N5564" t="s">
        <v>721</v>
      </c>
      <c r="O5564">
        <v>32</v>
      </c>
      <c r="P5564">
        <v>5035</v>
      </c>
      <c r="Q5564" t="s">
        <v>967</v>
      </c>
      <c r="R5564" t="s">
        <v>713</v>
      </c>
      <c r="S5564">
        <v>2</v>
      </c>
      <c r="T5564">
        <v>1</v>
      </c>
      <c r="U5564">
        <v>57.75</v>
      </c>
      <c r="V5564">
        <v>240240</v>
      </c>
    </row>
    <row r="5565" spans="1:22">
      <c r="A5565" t="s">
        <v>196</v>
      </c>
      <c r="B5565">
        <v>88</v>
      </c>
      <c r="C5565" t="s">
        <v>1852</v>
      </c>
      <c r="D5565">
        <v>314</v>
      </c>
      <c r="E5565" t="s">
        <v>2066</v>
      </c>
      <c r="F5565">
        <v>1025</v>
      </c>
      <c r="G5565" t="s">
        <v>5</v>
      </c>
      <c r="H5565">
        <v>2025</v>
      </c>
      <c r="I5565" t="s">
        <v>5</v>
      </c>
      <c r="J5565">
        <v>3261</v>
      </c>
      <c r="K5565" t="s">
        <v>1938</v>
      </c>
      <c r="L5565">
        <v>4012</v>
      </c>
      <c r="M5565" t="s">
        <v>2076</v>
      </c>
      <c r="N5565" t="s">
        <v>721</v>
      </c>
      <c r="O5565">
        <v>16</v>
      </c>
      <c r="P5565">
        <v>4754</v>
      </c>
      <c r="Q5565" t="s">
        <v>975</v>
      </c>
      <c r="R5565" t="s">
        <v>713</v>
      </c>
      <c r="S5565">
        <v>6240</v>
      </c>
      <c r="T5565">
        <v>0</v>
      </c>
      <c r="U5565">
        <v>60.5</v>
      </c>
      <c r="V5565">
        <v>377520</v>
      </c>
    </row>
    <row r="5566" spans="1:22">
      <c r="A5566" t="s">
        <v>196</v>
      </c>
      <c r="B5566">
        <v>88</v>
      </c>
      <c r="C5566" t="s">
        <v>1852</v>
      </c>
      <c r="D5566">
        <v>314</v>
      </c>
      <c r="E5566" t="s">
        <v>2066</v>
      </c>
      <c r="F5566">
        <v>1025</v>
      </c>
      <c r="G5566" t="s">
        <v>5</v>
      </c>
      <c r="H5566">
        <v>2025</v>
      </c>
      <c r="I5566" t="s">
        <v>5</v>
      </c>
      <c r="J5566">
        <v>3261</v>
      </c>
      <c r="K5566" t="s">
        <v>1938</v>
      </c>
      <c r="L5566">
        <v>4012</v>
      </c>
      <c r="M5566" t="s">
        <v>2076</v>
      </c>
      <c r="N5566" t="s">
        <v>721</v>
      </c>
      <c r="O5566">
        <v>49</v>
      </c>
      <c r="P5566">
        <v>4403</v>
      </c>
      <c r="Q5566" t="s">
        <v>2079</v>
      </c>
      <c r="R5566" t="s">
        <v>713</v>
      </c>
      <c r="S5566">
        <v>52000</v>
      </c>
      <c r="T5566">
        <v>0</v>
      </c>
      <c r="U5566">
        <v>53.06</v>
      </c>
      <c r="V5566">
        <v>2759120</v>
      </c>
    </row>
    <row r="5567" spans="1:22">
      <c r="A5567" t="s">
        <v>196</v>
      </c>
      <c r="B5567">
        <v>88</v>
      </c>
      <c r="C5567" t="s">
        <v>1852</v>
      </c>
      <c r="D5567">
        <v>314</v>
      </c>
      <c r="E5567" t="s">
        <v>2066</v>
      </c>
      <c r="F5567">
        <v>1025</v>
      </c>
      <c r="G5567" t="s">
        <v>5</v>
      </c>
      <c r="H5567">
        <v>2025</v>
      </c>
      <c r="I5567" t="s">
        <v>5</v>
      </c>
      <c r="J5567">
        <v>3261</v>
      </c>
      <c r="K5567" t="s">
        <v>1938</v>
      </c>
      <c r="L5567">
        <v>4012</v>
      </c>
      <c r="M5567" t="s">
        <v>2076</v>
      </c>
      <c r="N5567" t="s">
        <v>721</v>
      </c>
      <c r="O5567">
        <v>49</v>
      </c>
      <c r="P5567">
        <v>4406</v>
      </c>
      <c r="Q5567" t="s">
        <v>2080</v>
      </c>
      <c r="R5567" t="s">
        <v>713</v>
      </c>
      <c r="S5567">
        <v>1</v>
      </c>
      <c r="T5567">
        <v>1</v>
      </c>
      <c r="U5567">
        <v>61.02</v>
      </c>
      <c r="V5567">
        <v>126922</v>
      </c>
    </row>
    <row r="5568" spans="1:22">
      <c r="A5568" t="s">
        <v>196</v>
      </c>
      <c r="B5568">
        <v>88</v>
      </c>
      <c r="C5568" t="s">
        <v>1852</v>
      </c>
      <c r="D5568">
        <v>314</v>
      </c>
      <c r="E5568" t="s">
        <v>2066</v>
      </c>
      <c r="F5568">
        <v>1025</v>
      </c>
      <c r="G5568" t="s">
        <v>5</v>
      </c>
      <c r="H5568">
        <v>2025</v>
      </c>
      <c r="I5568" t="s">
        <v>5</v>
      </c>
      <c r="J5568">
        <v>3261</v>
      </c>
      <c r="K5568" t="s">
        <v>1938</v>
      </c>
      <c r="L5568">
        <v>4012</v>
      </c>
      <c r="M5568" t="s">
        <v>2076</v>
      </c>
      <c r="N5568" t="s">
        <v>721</v>
      </c>
      <c r="O5568">
        <v>49</v>
      </c>
      <c r="P5568">
        <v>4405</v>
      </c>
      <c r="Q5568" t="s">
        <v>1951</v>
      </c>
      <c r="R5568" t="s">
        <v>713</v>
      </c>
      <c r="S5568">
        <v>1</v>
      </c>
      <c r="T5568">
        <v>1</v>
      </c>
      <c r="U5568">
        <v>58.37</v>
      </c>
      <c r="V5568">
        <v>121410</v>
      </c>
    </row>
    <row r="5569" spans="1:22">
      <c r="A5569" t="s">
        <v>196</v>
      </c>
      <c r="B5569">
        <v>88</v>
      </c>
      <c r="C5569" t="s">
        <v>1852</v>
      </c>
      <c r="D5569">
        <v>314</v>
      </c>
      <c r="E5569" t="s">
        <v>2066</v>
      </c>
      <c r="F5569">
        <v>1025</v>
      </c>
      <c r="G5569" t="s">
        <v>5</v>
      </c>
      <c r="H5569">
        <v>2025</v>
      </c>
      <c r="I5569" t="s">
        <v>5</v>
      </c>
      <c r="J5569">
        <v>3261</v>
      </c>
      <c r="K5569" t="s">
        <v>1938</v>
      </c>
      <c r="L5569">
        <v>4012</v>
      </c>
      <c r="M5569" t="s">
        <v>2076</v>
      </c>
      <c r="N5569" t="s">
        <v>721</v>
      </c>
      <c r="O5569">
        <v>49</v>
      </c>
      <c r="P5569">
        <v>4404</v>
      </c>
      <c r="Q5569" t="s">
        <v>2081</v>
      </c>
      <c r="R5569" t="s">
        <v>713</v>
      </c>
      <c r="S5569">
        <v>12</v>
      </c>
      <c r="T5569">
        <v>1</v>
      </c>
      <c r="U5569">
        <v>58.37</v>
      </c>
      <c r="V5569">
        <v>1456915</v>
      </c>
    </row>
    <row r="5570" spans="1:22">
      <c r="A5570" t="s">
        <v>196</v>
      </c>
      <c r="B5570">
        <v>88</v>
      </c>
      <c r="C5570" t="s">
        <v>1852</v>
      </c>
      <c r="D5570">
        <v>314</v>
      </c>
      <c r="E5570" t="s">
        <v>2066</v>
      </c>
      <c r="F5570">
        <v>1025</v>
      </c>
      <c r="G5570" t="s">
        <v>5</v>
      </c>
      <c r="H5570">
        <v>2025</v>
      </c>
      <c r="I5570" t="s">
        <v>5</v>
      </c>
      <c r="J5570">
        <v>3261</v>
      </c>
      <c r="K5570" t="s">
        <v>1938</v>
      </c>
      <c r="L5570">
        <v>4012</v>
      </c>
      <c r="M5570" t="s">
        <v>2076</v>
      </c>
      <c r="N5570" t="s">
        <v>721</v>
      </c>
      <c r="O5570">
        <v>49</v>
      </c>
      <c r="P5570">
        <v>4403</v>
      </c>
      <c r="Q5570" t="s">
        <v>980</v>
      </c>
      <c r="R5570" t="s">
        <v>713</v>
      </c>
      <c r="S5570">
        <v>28</v>
      </c>
      <c r="T5570">
        <v>1</v>
      </c>
      <c r="U5570">
        <v>53.06</v>
      </c>
      <c r="V5570">
        <v>3090214</v>
      </c>
    </row>
    <row r="5571" spans="1:22">
      <c r="A5571" t="s">
        <v>196</v>
      </c>
      <c r="B5571">
        <v>88</v>
      </c>
      <c r="C5571" t="s">
        <v>1852</v>
      </c>
      <c r="D5571">
        <v>314</v>
      </c>
      <c r="E5571" t="s">
        <v>2066</v>
      </c>
      <c r="F5571">
        <v>1025</v>
      </c>
      <c r="G5571" t="s">
        <v>5</v>
      </c>
      <c r="H5571">
        <v>2025</v>
      </c>
      <c r="I5571" t="s">
        <v>5</v>
      </c>
      <c r="J5571">
        <v>3261</v>
      </c>
      <c r="K5571" t="s">
        <v>1938</v>
      </c>
      <c r="L5571">
        <v>4012</v>
      </c>
      <c r="M5571" t="s">
        <v>2076</v>
      </c>
      <c r="N5571" t="s">
        <v>721</v>
      </c>
      <c r="O5571">
        <v>53</v>
      </c>
      <c r="P5571">
        <v>1860</v>
      </c>
      <c r="Q5571" t="s">
        <v>902</v>
      </c>
      <c r="R5571" t="s">
        <v>713</v>
      </c>
      <c r="S5571">
        <v>2</v>
      </c>
      <c r="T5571">
        <v>1</v>
      </c>
      <c r="U5571">
        <v>52.5</v>
      </c>
      <c r="V5571">
        <v>218400</v>
      </c>
    </row>
    <row r="5572" spans="1:22">
      <c r="A5572" t="s">
        <v>196</v>
      </c>
      <c r="B5572">
        <v>88</v>
      </c>
      <c r="C5572" t="s">
        <v>1852</v>
      </c>
      <c r="D5572">
        <v>314</v>
      </c>
      <c r="E5572" t="s">
        <v>2066</v>
      </c>
      <c r="F5572">
        <v>1025</v>
      </c>
      <c r="G5572" t="s">
        <v>5</v>
      </c>
      <c r="H5572">
        <v>2025</v>
      </c>
      <c r="I5572" t="s">
        <v>5</v>
      </c>
      <c r="J5572">
        <v>3261</v>
      </c>
      <c r="K5572" t="s">
        <v>1938</v>
      </c>
      <c r="L5572">
        <v>4012</v>
      </c>
      <c r="M5572" t="s">
        <v>2076</v>
      </c>
      <c r="N5572" t="s">
        <v>1928</v>
      </c>
      <c r="O5572">
        <v>53</v>
      </c>
      <c r="P5572">
        <v>417</v>
      </c>
      <c r="Q5572" t="s">
        <v>1929</v>
      </c>
      <c r="R5572" t="s">
        <v>201</v>
      </c>
      <c r="S5572">
        <v>2</v>
      </c>
      <c r="T5572">
        <v>1</v>
      </c>
      <c r="U5572">
        <v>71412</v>
      </c>
      <c r="V5572">
        <v>142824</v>
      </c>
    </row>
    <row r="5573" spans="1:22">
      <c r="A5573" t="s">
        <v>196</v>
      </c>
      <c r="B5573">
        <v>88</v>
      </c>
      <c r="C5573" t="s">
        <v>1852</v>
      </c>
      <c r="D5573">
        <v>314</v>
      </c>
      <c r="E5573" t="s">
        <v>2066</v>
      </c>
      <c r="F5573">
        <v>1025</v>
      </c>
      <c r="G5573" t="s">
        <v>5</v>
      </c>
      <c r="H5573">
        <v>2025</v>
      </c>
      <c r="I5573" t="s">
        <v>5</v>
      </c>
      <c r="J5573">
        <v>3261</v>
      </c>
      <c r="K5573" t="s">
        <v>1938</v>
      </c>
      <c r="L5573">
        <v>4012</v>
      </c>
      <c r="M5573" t="s">
        <v>2076</v>
      </c>
      <c r="N5573" t="s">
        <v>1928</v>
      </c>
      <c r="O5573">
        <v>53</v>
      </c>
      <c r="P5573">
        <v>417</v>
      </c>
      <c r="Q5573" t="s">
        <v>1929</v>
      </c>
      <c r="R5573" t="s">
        <v>201</v>
      </c>
      <c r="S5573">
        <v>3</v>
      </c>
      <c r="T5573">
        <v>1</v>
      </c>
      <c r="U5573">
        <v>53520</v>
      </c>
      <c r="V5573">
        <v>160560</v>
      </c>
    </row>
    <row r="5574" spans="1:22">
      <c r="A5574" t="s">
        <v>196</v>
      </c>
      <c r="B5574">
        <v>88</v>
      </c>
      <c r="C5574" t="s">
        <v>1852</v>
      </c>
      <c r="D5574">
        <v>314</v>
      </c>
      <c r="E5574" t="s">
        <v>2066</v>
      </c>
      <c r="F5574">
        <v>1025</v>
      </c>
      <c r="G5574" t="s">
        <v>5</v>
      </c>
      <c r="H5574">
        <v>2025</v>
      </c>
      <c r="I5574" t="s">
        <v>5</v>
      </c>
      <c r="J5574">
        <v>3261</v>
      </c>
      <c r="K5574" t="s">
        <v>1938</v>
      </c>
      <c r="L5574">
        <v>4012</v>
      </c>
      <c r="M5574" t="s">
        <v>2076</v>
      </c>
      <c r="N5574" t="s">
        <v>351</v>
      </c>
      <c r="O5574">
        <v>1</v>
      </c>
      <c r="P5574" t="s">
        <v>352</v>
      </c>
      <c r="Q5574" t="s">
        <v>353</v>
      </c>
      <c r="R5574" t="s">
        <v>201</v>
      </c>
      <c r="S5574">
        <v>1</v>
      </c>
      <c r="T5574">
        <v>1</v>
      </c>
      <c r="U5574">
        <v>108576</v>
      </c>
      <c r="V5574">
        <v>108576</v>
      </c>
    </row>
    <row r="5575" spans="1:22">
      <c r="A5575" t="s">
        <v>196</v>
      </c>
      <c r="B5575">
        <v>88</v>
      </c>
      <c r="C5575" t="s">
        <v>1852</v>
      </c>
      <c r="D5575">
        <v>314</v>
      </c>
      <c r="E5575" t="s">
        <v>2066</v>
      </c>
      <c r="F5575">
        <v>1025</v>
      </c>
      <c r="G5575" t="s">
        <v>5</v>
      </c>
      <c r="H5575">
        <v>2025</v>
      </c>
      <c r="I5575" t="s">
        <v>5</v>
      </c>
      <c r="J5575">
        <v>3261</v>
      </c>
      <c r="K5575" t="s">
        <v>1938</v>
      </c>
      <c r="L5575">
        <v>4012</v>
      </c>
      <c r="M5575" t="s">
        <v>2076</v>
      </c>
      <c r="N5575" t="s">
        <v>199</v>
      </c>
      <c r="O5575">
        <v>0</v>
      </c>
      <c r="P5575">
        <v>15</v>
      </c>
      <c r="Q5575" t="s">
        <v>264</v>
      </c>
      <c r="R5575" t="s">
        <v>201</v>
      </c>
      <c r="S5575">
        <v>0</v>
      </c>
      <c r="T5575">
        <v>0</v>
      </c>
      <c r="U5575">
        <v>20172</v>
      </c>
      <c r="V5575">
        <v>20172</v>
      </c>
    </row>
    <row r="5576" spans="1:22">
      <c r="A5576" t="s">
        <v>196</v>
      </c>
      <c r="B5576">
        <v>88</v>
      </c>
      <c r="C5576" t="s">
        <v>1852</v>
      </c>
      <c r="D5576">
        <v>314</v>
      </c>
      <c r="E5576" t="s">
        <v>2066</v>
      </c>
      <c r="F5576">
        <v>1025</v>
      </c>
      <c r="G5576" t="s">
        <v>5</v>
      </c>
      <c r="H5576">
        <v>2025</v>
      </c>
      <c r="I5576" t="s">
        <v>5</v>
      </c>
      <c r="J5576">
        <v>3261</v>
      </c>
      <c r="K5576" t="s">
        <v>1938</v>
      </c>
      <c r="L5576">
        <v>4012</v>
      </c>
      <c r="M5576" t="s">
        <v>2076</v>
      </c>
      <c r="N5576" t="s">
        <v>199</v>
      </c>
      <c r="O5576">
        <v>0</v>
      </c>
      <c r="P5576">
        <v>12</v>
      </c>
      <c r="Q5576" t="s">
        <v>724</v>
      </c>
      <c r="R5576" t="s">
        <v>201</v>
      </c>
      <c r="S5576">
        <v>0</v>
      </c>
      <c r="T5576">
        <v>0</v>
      </c>
      <c r="U5576">
        <v>766569</v>
      </c>
      <c r="V5576">
        <v>766569</v>
      </c>
    </row>
    <row r="5577" spans="1:22">
      <c r="A5577" t="s">
        <v>196</v>
      </c>
      <c r="B5577">
        <v>88</v>
      </c>
      <c r="C5577" t="s">
        <v>1852</v>
      </c>
      <c r="D5577">
        <v>314</v>
      </c>
      <c r="E5577" t="s">
        <v>2066</v>
      </c>
      <c r="F5577">
        <v>1025</v>
      </c>
      <c r="G5577" t="s">
        <v>5</v>
      </c>
      <c r="H5577">
        <v>2025</v>
      </c>
      <c r="I5577" t="s">
        <v>5</v>
      </c>
      <c r="J5577">
        <v>3270</v>
      </c>
      <c r="K5577" t="s">
        <v>1954</v>
      </c>
      <c r="L5577">
        <v>0</v>
      </c>
      <c r="N5577" t="s">
        <v>721</v>
      </c>
      <c r="O5577">
        <v>53</v>
      </c>
      <c r="P5577">
        <v>9411</v>
      </c>
      <c r="Q5577" t="s">
        <v>1940</v>
      </c>
      <c r="R5577" t="s">
        <v>713</v>
      </c>
      <c r="S5577">
        <v>49920</v>
      </c>
      <c r="T5577">
        <v>0</v>
      </c>
      <c r="U5577">
        <v>51.4</v>
      </c>
      <c r="V5577">
        <v>2565888</v>
      </c>
    </row>
    <row r="5578" spans="1:22">
      <c r="A5578" t="s">
        <v>196</v>
      </c>
      <c r="B5578">
        <v>88</v>
      </c>
      <c r="C5578" t="s">
        <v>1852</v>
      </c>
      <c r="D5578">
        <v>314</v>
      </c>
      <c r="E5578" t="s">
        <v>2066</v>
      </c>
      <c r="F5578">
        <v>1025</v>
      </c>
      <c r="G5578" t="s">
        <v>5</v>
      </c>
      <c r="H5578">
        <v>2025</v>
      </c>
      <c r="I5578" t="s">
        <v>5</v>
      </c>
      <c r="J5578">
        <v>3270</v>
      </c>
      <c r="K5578" t="s">
        <v>1954</v>
      </c>
      <c r="L5578">
        <v>0</v>
      </c>
      <c r="N5578" t="s">
        <v>721</v>
      </c>
      <c r="O5578">
        <v>53</v>
      </c>
      <c r="P5578">
        <v>9408</v>
      </c>
      <c r="Q5578" t="s">
        <v>1932</v>
      </c>
      <c r="R5578" t="s">
        <v>713</v>
      </c>
      <c r="S5578">
        <v>1</v>
      </c>
      <c r="T5578">
        <v>1</v>
      </c>
      <c r="U5578">
        <v>51.4</v>
      </c>
      <c r="V5578">
        <v>106912</v>
      </c>
    </row>
    <row r="5579" spans="1:22">
      <c r="A5579" t="s">
        <v>196</v>
      </c>
      <c r="B5579">
        <v>88</v>
      </c>
      <c r="C5579" t="s">
        <v>1852</v>
      </c>
      <c r="D5579">
        <v>314</v>
      </c>
      <c r="E5579" t="s">
        <v>2066</v>
      </c>
      <c r="F5579">
        <v>1025</v>
      </c>
      <c r="G5579" t="s">
        <v>5</v>
      </c>
      <c r="H5579">
        <v>2025</v>
      </c>
      <c r="I5579" t="s">
        <v>5</v>
      </c>
      <c r="J5579">
        <v>3270</v>
      </c>
      <c r="K5579" t="s">
        <v>1954</v>
      </c>
      <c r="L5579">
        <v>0</v>
      </c>
      <c r="N5579" t="s">
        <v>721</v>
      </c>
      <c r="O5579">
        <v>16</v>
      </c>
      <c r="P5579">
        <v>8394</v>
      </c>
      <c r="Q5579" t="s">
        <v>1942</v>
      </c>
      <c r="R5579" t="s">
        <v>713</v>
      </c>
      <c r="S5579">
        <v>6240</v>
      </c>
      <c r="T5579">
        <v>0</v>
      </c>
      <c r="U5579">
        <v>64.150000000000006</v>
      </c>
      <c r="V5579">
        <v>400296</v>
      </c>
    </row>
    <row r="5580" spans="1:22">
      <c r="A5580" t="s">
        <v>196</v>
      </c>
      <c r="B5580">
        <v>88</v>
      </c>
      <c r="C5580" t="s">
        <v>1852</v>
      </c>
      <c r="D5580">
        <v>314</v>
      </c>
      <c r="E5580" t="s">
        <v>2066</v>
      </c>
      <c r="F5580">
        <v>1025</v>
      </c>
      <c r="G5580" t="s">
        <v>5</v>
      </c>
      <c r="H5580">
        <v>2025</v>
      </c>
      <c r="I5580" t="s">
        <v>5</v>
      </c>
      <c r="J5580">
        <v>3270</v>
      </c>
      <c r="K5580" t="s">
        <v>1954</v>
      </c>
      <c r="L5580">
        <v>0</v>
      </c>
      <c r="N5580" t="s">
        <v>721</v>
      </c>
      <c r="O5580">
        <v>42</v>
      </c>
      <c r="P5580">
        <v>7633</v>
      </c>
      <c r="Q5580" t="s">
        <v>1740</v>
      </c>
      <c r="R5580" t="s">
        <v>713</v>
      </c>
      <c r="S5580">
        <v>12480</v>
      </c>
      <c r="T5580">
        <v>0</v>
      </c>
      <c r="U5580">
        <v>66.8</v>
      </c>
      <c r="V5580">
        <v>833664</v>
      </c>
    </row>
    <row r="5581" spans="1:22">
      <c r="A5581" t="s">
        <v>196</v>
      </c>
      <c r="B5581">
        <v>88</v>
      </c>
      <c r="C5581" t="s">
        <v>1852</v>
      </c>
      <c r="D5581">
        <v>314</v>
      </c>
      <c r="E5581" t="s">
        <v>2066</v>
      </c>
      <c r="F5581">
        <v>1025</v>
      </c>
      <c r="G5581" t="s">
        <v>5</v>
      </c>
      <c r="H5581">
        <v>2025</v>
      </c>
      <c r="I5581" t="s">
        <v>5</v>
      </c>
      <c r="J5581">
        <v>3270</v>
      </c>
      <c r="K5581" t="s">
        <v>1954</v>
      </c>
      <c r="L5581">
        <v>0</v>
      </c>
      <c r="N5581" t="s">
        <v>688</v>
      </c>
      <c r="O5581">
        <v>4</v>
      </c>
      <c r="P5581">
        <v>5612</v>
      </c>
      <c r="Q5581" t="s">
        <v>1872</v>
      </c>
      <c r="R5581" t="s">
        <v>201</v>
      </c>
      <c r="S5581">
        <v>1</v>
      </c>
      <c r="T5581">
        <v>1</v>
      </c>
      <c r="U5581">
        <v>81636</v>
      </c>
      <c r="V5581">
        <v>81636</v>
      </c>
    </row>
    <row r="5582" spans="1:22">
      <c r="A5582" t="s">
        <v>196</v>
      </c>
      <c r="B5582">
        <v>88</v>
      </c>
      <c r="C5582" t="s">
        <v>1852</v>
      </c>
      <c r="D5582">
        <v>314</v>
      </c>
      <c r="E5582" t="s">
        <v>2066</v>
      </c>
      <c r="F5582">
        <v>1025</v>
      </c>
      <c r="G5582" t="s">
        <v>5</v>
      </c>
      <c r="H5582">
        <v>2025</v>
      </c>
      <c r="I5582" t="s">
        <v>5</v>
      </c>
      <c r="J5582">
        <v>3270</v>
      </c>
      <c r="K5582" t="s">
        <v>1954</v>
      </c>
      <c r="L5582">
        <v>0</v>
      </c>
      <c r="N5582" t="s">
        <v>199</v>
      </c>
      <c r="O5582">
        <v>0</v>
      </c>
      <c r="P5582">
        <v>12</v>
      </c>
      <c r="Q5582" t="s">
        <v>724</v>
      </c>
      <c r="R5582" t="s">
        <v>201</v>
      </c>
      <c r="S5582">
        <v>0</v>
      </c>
      <c r="T5582">
        <v>0</v>
      </c>
      <c r="U5582">
        <v>58601</v>
      </c>
      <c r="V5582">
        <v>58601</v>
      </c>
    </row>
    <row r="5583" spans="1:22">
      <c r="A5583" t="s">
        <v>196</v>
      </c>
      <c r="B5583">
        <v>88</v>
      </c>
      <c r="C5583" t="s">
        <v>1852</v>
      </c>
      <c r="D5583">
        <v>314</v>
      </c>
      <c r="E5583" t="s">
        <v>2066</v>
      </c>
      <c r="F5583">
        <v>1025</v>
      </c>
      <c r="G5583" t="s">
        <v>5</v>
      </c>
      <c r="H5583">
        <v>2025</v>
      </c>
      <c r="I5583" t="s">
        <v>5</v>
      </c>
      <c r="J5583">
        <v>3359</v>
      </c>
      <c r="K5583" t="s">
        <v>1937</v>
      </c>
      <c r="L5583">
        <v>0</v>
      </c>
      <c r="N5583" t="s">
        <v>341</v>
      </c>
      <c r="O5583">
        <v>1</v>
      </c>
      <c r="P5583">
        <v>6143</v>
      </c>
      <c r="Q5583" t="s">
        <v>1833</v>
      </c>
      <c r="R5583" t="s">
        <v>201</v>
      </c>
      <c r="S5583">
        <v>1</v>
      </c>
      <c r="T5583">
        <v>1</v>
      </c>
      <c r="U5583">
        <v>68616</v>
      </c>
      <c r="V5583">
        <v>68616</v>
      </c>
    </row>
    <row r="5584" spans="1:22">
      <c r="A5584" t="s">
        <v>196</v>
      </c>
      <c r="B5584">
        <v>88</v>
      </c>
      <c r="C5584" t="s">
        <v>1852</v>
      </c>
      <c r="D5584">
        <v>314</v>
      </c>
      <c r="E5584" t="s">
        <v>2066</v>
      </c>
      <c r="F5584">
        <v>1025</v>
      </c>
      <c r="G5584" t="s">
        <v>5</v>
      </c>
      <c r="H5584">
        <v>2025</v>
      </c>
      <c r="I5584" t="s">
        <v>5</v>
      </c>
      <c r="J5584">
        <v>3359</v>
      </c>
      <c r="K5584" t="s">
        <v>1937</v>
      </c>
      <c r="L5584">
        <v>0</v>
      </c>
      <c r="N5584" t="s">
        <v>356</v>
      </c>
      <c r="O5584">
        <v>4</v>
      </c>
      <c r="P5584">
        <v>5613</v>
      </c>
      <c r="Q5584" t="s">
        <v>1767</v>
      </c>
      <c r="R5584" t="s">
        <v>201</v>
      </c>
      <c r="S5584">
        <v>2</v>
      </c>
      <c r="T5584">
        <v>1</v>
      </c>
      <c r="U5584">
        <v>90144</v>
      </c>
      <c r="V5584">
        <v>180288</v>
      </c>
    </row>
    <row r="5585" spans="1:22">
      <c r="A5585" t="s">
        <v>196</v>
      </c>
      <c r="B5585">
        <v>88</v>
      </c>
      <c r="C5585" t="s">
        <v>1852</v>
      </c>
      <c r="D5585">
        <v>314</v>
      </c>
      <c r="E5585" t="s">
        <v>2066</v>
      </c>
      <c r="F5585">
        <v>1025</v>
      </c>
      <c r="G5585" t="s">
        <v>5</v>
      </c>
      <c r="H5585">
        <v>2025</v>
      </c>
      <c r="I5585" t="s">
        <v>5</v>
      </c>
      <c r="J5585">
        <v>3359</v>
      </c>
      <c r="K5585" t="s">
        <v>1937</v>
      </c>
      <c r="L5585">
        <v>0</v>
      </c>
      <c r="N5585" t="s">
        <v>688</v>
      </c>
      <c r="O5585">
        <v>4</v>
      </c>
      <c r="P5585">
        <v>5612</v>
      </c>
      <c r="Q5585" t="s">
        <v>1872</v>
      </c>
      <c r="R5585" t="s">
        <v>201</v>
      </c>
      <c r="S5585">
        <v>2</v>
      </c>
      <c r="T5585">
        <v>1</v>
      </c>
      <c r="U5585">
        <v>81636</v>
      </c>
      <c r="V5585">
        <v>163272</v>
      </c>
    </row>
    <row r="5586" spans="1:22">
      <c r="A5586" t="s">
        <v>196</v>
      </c>
      <c r="B5586">
        <v>88</v>
      </c>
      <c r="C5586" t="s">
        <v>1852</v>
      </c>
      <c r="D5586">
        <v>314</v>
      </c>
      <c r="E5586" t="s">
        <v>2066</v>
      </c>
      <c r="F5586">
        <v>1025</v>
      </c>
      <c r="G5586" t="s">
        <v>5</v>
      </c>
      <c r="H5586">
        <v>2025</v>
      </c>
      <c r="I5586" t="s">
        <v>5</v>
      </c>
      <c r="J5586">
        <v>3363</v>
      </c>
      <c r="K5586" t="s">
        <v>1952</v>
      </c>
      <c r="L5586">
        <v>0</v>
      </c>
      <c r="N5586" t="s">
        <v>341</v>
      </c>
      <c r="O5586">
        <v>1</v>
      </c>
      <c r="P5586">
        <v>6143</v>
      </c>
      <c r="Q5586" t="s">
        <v>1833</v>
      </c>
      <c r="R5586" t="s">
        <v>201</v>
      </c>
      <c r="S5586">
        <v>2</v>
      </c>
      <c r="T5586">
        <v>1</v>
      </c>
      <c r="U5586">
        <v>68616</v>
      </c>
      <c r="V5586">
        <v>137232</v>
      </c>
    </row>
    <row r="5587" spans="1:22">
      <c r="A5587" t="s">
        <v>196</v>
      </c>
      <c r="B5587">
        <v>88</v>
      </c>
      <c r="C5587" t="s">
        <v>1852</v>
      </c>
      <c r="D5587">
        <v>314</v>
      </c>
      <c r="E5587" t="s">
        <v>2066</v>
      </c>
      <c r="F5587">
        <v>1025</v>
      </c>
      <c r="G5587" t="s">
        <v>5</v>
      </c>
      <c r="H5587">
        <v>2025</v>
      </c>
      <c r="I5587" t="s">
        <v>5</v>
      </c>
      <c r="J5587">
        <v>3363</v>
      </c>
      <c r="K5587" t="s">
        <v>1952</v>
      </c>
      <c r="L5587">
        <v>0</v>
      </c>
      <c r="N5587" t="s">
        <v>1719</v>
      </c>
      <c r="O5587">
        <v>10</v>
      </c>
      <c r="P5587">
        <v>5985</v>
      </c>
      <c r="Q5587" t="s">
        <v>1923</v>
      </c>
      <c r="R5587" t="s">
        <v>201</v>
      </c>
      <c r="S5587">
        <v>1</v>
      </c>
      <c r="T5587">
        <v>1</v>
      </c>
      <c r="U5587">
        <v>150072</v>
      </c>
      <c r="V5587">
        <v>150072</v>
      </c>
    </row>
    <row r="5588" spans="1:22">
      <c r="A5588" t="s">
        <v>196</v>
      </c>
      <c r="B5588">
        <v>88</v>
      </c>
      <c r="C5588" t="s">
        <v>1852</v>
      </c>
      <c r="D5588">
        <v>314</v>
      </c>
      <c r="E5588" t="s">
        <v>2066</v>
      </c>
      <c r="F5588">
        <v>1025</v>
      </c>
      <c r="G5588" t="s">
        <v>5</v>
      </c>
      <c r="H5588">
        <v>2025</v>
      </c>
      <c r="I5588" t="s">
        <v>5</v>
      </c>
      <c r="J5588">
        <v>3363</v>
      </c>
      <c r="K5588" t="s">
        <v>1952</v>
      </c>
      <c r="L5588">
        <v>0</v>
      </c>
      <c r="N5588" t="s">
        <v>356</v>
      </c>
      <c r="O5588">
        <v>4</v>
      </c>
      <c r="P5588">
        <v>5613</v>
      </c>
      <c r="Q5588" t="s">
        <v>1767</v>
      </c>
      <c r="R5588" t="s">
        <v>201</v>
      </c>
      <c r="S5588">
        <v>2</v>
      </c>
      <c r="T5588">
        <v>1</v>
      </c>
      <c r="U5588">
        <v>129636</v>
      </c>
      <c r="V5588">
        <v>259272</v>
      </c>
    </row>
    <row r="5589" spans="1:22">
      <c r="A5589" t="s">
        <v>196</v>
      </c>
      <c r="B5589">
        <v>88</v>
      </c>
      <c r="C5589" t="s">
        <v>1852</v>
      </c>
      <c r="D5589">
        <v>314</v>
      </c>
      <c r="E5589" t="s">
        <v>2066</v>
      </c>
      <c r="F5589">
        <v>1025</v>
      </c>
      <c r="G5589" t="s">
        <v>5</v>
      </c>
      <c r="H5589">
        <v>2025</v>
      </c>
      <c r="I5589" t="s">
        <v>5</v>
      </c>
      <c r="J5589">
        <v>3363</v>
      </c>
      <c r="K5589" t="s">
        <v>1952</v>
      </c>
      <c r="L5589">
        <v>0</v>
      </c>
      <c r="N5589" t="s">
        <v>356</v>
      </c>
      <c r="O5589">
        <v>4</v>
      </c>
      <c r="P5589">
        <v>5613</v>
      </c>
      <c r="Q5589" t="s">
        <v>1767</v>
      </c>
      <c r="R5589" t="s">
        <v>201</v>
      </c>
      <c r="S5589">
        <v>2</v>
      </c>
      <c r="T5589">
        <v>1</v>
      </c>
      <c r="U5589">
        <v>92940</v>
      </c>
      <c r="V5589">
        <v>185880</v>
      </c>
    </row>
    <row r="5590" spans="1:22">
      <c r="A5590" t="s">
        <v>196</v>
      </c>
      <c r="B5590">
        <v>88</v>
      </c>
      <c r="C5590" t="s">
        <v>1852</v>
      </c>
      <c r="D5590">
        <v>314</v>
      </c>
      <c r="E5590" t="s">
        <v>2066</v>
      </c>
      <c r="F5590">
        <v>1025</v>
      </c>
      <c r="G5590" t="s">
        <v>5</v>
      </c>
      <c r="H5590">
        <v>2025</v>
      </c>
      <c r="I5590" t="s">
        <v>5</v>
      </c>
      <c r="J5590">
        <v>3363</v>
      </c>
      <c r="K5590" t="s">
        <v>1952</v>
      </c>
      <c r="L5590">
        <v>0</v>
      </c>
      <c r="N5590" t="s">
        <v>356</v>
      </c>
      <c r="O5590">
        <v>4</v>
      </c>
      <c r="P5590">
        <v>5613</v>
      </c>
      <c r="Q5590" t="s">
        <v>1767</v>
      </c>
      <c r="R5590" t="s">
        <v>201</v>
      </c>
      <c r="S5590">
        <v>1</v>
      </c>
      <c r="T5590">
        <v>1</v>
      </c>
      <c r="U5590">
        <v>90144</v>
      </c>
      <c r="V5590">
        <v>90144</v>
      </c>
    </row>
    <row r="5591" spans="1:22">
      <c r="A5591" t="s">
        <v>196</v>
      </c>
      <c r="B5591">
        <v>88</v>
      </c>
      <c r="C5591" t="s">
        <v>1852</v>
      </c>
      <c r="D5591">
        <v>314</v>
      </c>
      <c r="E5591" t="s">
        <v>2066</v>
      </c>
      <c r="F5591">
        <v>1025</v>
      </c>
      <c r="G5591" t="s">
        <v>5</v>
      </c>
      <c r="H5591">
        <v>2025</v>
      </c>
      <c r="I5591" t="s">
        <v>5</v>
      </c>
      <c r="J5591">
        <v>3363</v>
      </c>
      <c r="K5591" t="s">
        <v>1952</v>
      </c>
      <c r="L5591">
        <v>0</v>
      </c>
      <c r="N5591" t="s">
        <v>199</v>
      </c>
      <c r="O5591">
        <v>0</v>
      </c>
      <c r="P5591">
        <v>15</v>
      </c>
      <c r="Q5591" t="s">
        <v>264</v>
      </c>
      <c r="R5591" t="s">
        <v>201</v>
      </c>
      <c r="S5591">
        <v>0</v>
      </c>
      <c r="T5591">
        <v>0</v>
      </c>
      <c r="U5591">
        <v>10005</v>
      </c>
      <c r="V5591">
        <v>10005</v>
      </c>
    </row>
    <row r="5592" spans="1:22">
      <c r="A5592" t="s">
        <v>196</v>
      </c>
      <c r="B5592">
        <v>88</v>
      </c>
      <c r="C5592" t="s">
        <v>1852</v>
      </c>
      <c r="D5592">
        <v>314</v>
      </c>
      <c r="E5592" t="s">
        <v>2066</v>
      </c>
      <c r="F5592">
        <v>1025</v>
      </c>
      <c r="G5592" t="s">
        <v>5</v>
      </c>
      <c r="H5592">
        <v>2025</v>
      </c>
      <c r="I5592" t="s">
        <v>5</v>
      </c>
      <c r="J5592">
        <v>3364</v>
      </c>
      <c r="K5592" t="s">
        <v>1958</v>
      </c>
      <c r="L5592">
        <v>4364</v>
      </c>
      <c r="M5592" t="s">
        <v>2082</v>
      </c>
      <c r="N5592" t="s">
        <v>721</v>
      </c>
      <c r="O5592">
        <v>49</v>
      </c>
      <c r="P5592">
        <v>8316</v>
      </c>
      <c r="Q5592" t="s">
        <v>2083</v>
      </c>
      <c r="R5592" t="s">
        <v>712</v>
      </c>
      <c r="S5592">
        <v>1</v>
      </c>
      <c r="T5592">
        <v>1</v>
      </c>
      <c r="U5592">
        <v>10637.47</v>
      </c>
      <c r="V5592">
        <v>127650</v>
      </c>
    </row>
    <row r="5593" spans="1:22">
      <c r="A5593" t="s">
        <v>196</v>
      </c>
      <c r="B5593">
        <v>88</v>
      </c>
      <c r="C5593" t="s">
        <v>1852</v>
      </c>
      <c r="D5593">
        <v>314</v>
      </c>
      <c r="E5593" t="s">
        <v>2066</v>
      </c>
      <c r="F5593">
        <v>1025</v>
      </c>
      <c r="G5593" t="s">
        <v>5</v>
      </c>
      <c r="H5593">
        <v>2025</v>
      </c>
      <c r="I5593" t="s">
        <v>5</v>
      </c>
      <c r="J5593">
        <v>3364</v>
      </c>
      <c r="K5593" t="s">
        <v>1958</v>
      </c>
      <c r="L5593">
        <v>4364</v>
      </c>
      <c r="M5593" t="s">
        <v>2082</v>
      </c>
      <c r="N5593" t="s">
        <v>721</v>
      </c>
      <c r="O5593">
        <v>49</v>
      </c>
      <c r="P5593">
        <v>8315</v>
      </c>
      <c r="Q5593" t="s">
        <v>1604</v>
      </c>
      <c r="R5593" t="s">
        <v>712</v>
      </c>
      <c r="S5593">
        <v>11</v>
      </c>
      <c r="T5593">
        <v>1</v>
      </c>
      <c r="U5593">
        <v>10117.469999999999</v>
      </c>
      <c r="V5593">
        <v>1335506</v>
      </c>
    </row>
    <row r="5594" spans="1:22">
      <c r="A5594" t="s">
        <v>196</v>
      </c>
      <c r="B5594">
        <v>88</v>
      </c>
      <c r="C5594" t="s">
        <v>1852</v>
      </c>
      <c r="D5594">
        <v>314</v>
      </c>
      <c r="E5594" t="s">
        <v>2066</v>
      </c>
      <c r="F5594">
        <v>1025</v>
      </c>
      <c r="G5594" t="s">
        <v>5</v>
      </c>
      <c r="H5594">
        <v>2025</v>
      </c>
      <c r="I5594" t="s">
        <v>5</v>
      </c>
      <c r="J5594">
        <v>3364</v>
      </c>
      <c r="K5594" t="s">
        <v>1958</v>
      </c>
      <c r="L5594">
        <v>4364</v>
      </c>
      <c r="M5594" t="s">
        <v>2082</v>
      </c>
      <c r="N5594" t="s">
        <v>721</v>
      </c>
      <c r="O5594">
        <v>16</v>
      </c>
      <c r="P5594">
        <v>2147</v>
      </c>
      <c r="Q5594" t="s">
        <v>2084</v>
      </c>
      <c r="R5594" t="s">
        <v>712</v>
      </c>
      <c r="S5594">
        <v>1</v>
      </c>
      <c r="T5594">
        <v>1</v>
      </c>
      <c r="U5594">
        <v>11292.67</v>
      </c>
      <c r="V5594">
        <v>135512</v>
      </c>
    </row>
    <row r="5595" spans="1:22">
      <c r="A5595" t="s">
        <v>196</v>
      </c>
      <c r="B5595">
        <v>88</v>
      </c>
      <c r="C5595" t="s">
        <v>1852</v>
      </c>
      <c r="D5595">
        <v>314</v>
      </c>
      <c r="E5595" t="s">
        <v>2066</v>
      </c>
      <c r="F5595">
        <v>1025</v>
      </c>
      <c r="G5595" t="s">
        <v>5</v>
      </c>
      <c r="H5595">
        <v>2025</v>
      </c>
      <c r="I5595" t="s">
        <v>5</v>
      </c>
      <c r="J5595">
        <v>3364</v>
      </c>
      <c r="K5595" t="s">
        <v>1958</v>
      </c>
      <c r="L5595">
        <v>4364</v>
      </c>
      <c r="M5595" t="s">
        <v>2082</v>
      </c>
      <c r="N5595" t="s">
        <v>721</v>
      </c>
      <c r="O5595">
        <v>16</v>
      </c>
      <c r="P5595">
        <v>2143</v>
      </c>
      <c r="Q5595" t="s">
        <v>2085</v>
      </c>
      <c r="R5595" t="s">
        <v>712</v>
      </c>
      <c r="S5595">
        <v>7</v>
      </c>
      <c r="T5595">
        <v>1</v>
      </c>
      <c r="U5595">
        <v>11119.33</v>
      </c>
      <c r="V5595">
        <v>934024</v>
      </c>
    </row>
    <row r="5596" spans="1:22">
      <c r="A5596" t="s">
        <v>196</v>
      </c>
      <c r="B5596">
        <v>88</v>
      </c>
      <c r="C5596" t="s">
        <v>1852</v>
      </c>
      <c r="D5596">
        <v>314</v>
      </c>
      <c r="E5596" t="s">
        <v>2066</v>
      </c>
      <c r="F5596">
        <v>1025</v>
      </c>
      <c r="G5596" t="s">
        <v>5</v>
      </c>
      <c r="H5596">
        <v>2025</v>
      </c>
      <c r="I5596" t="s">
        <v>5</v>
      </c>
      <c r="J5596">
        <v>3364</v>
      </c>
      <c r="K5596" t="s">
        <v>1958</v>
      </c>
      <c r="L5596">
        <v>4364</v>
      </c>
      <c r="M5596" t="s">
        <v>2082</v>
      </c>
      <c r="N5596" t="s">
        <v>721</v>
      </c>
      <c r="O5596">
        <v>16</v>
      </c>
      <c r="P5596">
        <v>2143</v>
      </c>
      <c r="Q5596" t="s">
        <v>2085</v>
      </c>
      <c r="R5596" t="s">
        <v>712</v>
      </c>
      <c r="S5596">
        <v>2</v>
      </c>
      <c r="T5596">
        <v>1</v>
      </c>
      <c r="U5596">
        <v>10234</v>
      </c>
      <c r="V5596">
        <v>245616</v>
      </c>
    </row>
    <row r="5597" spans="1:22">
      <c r="A5597" t="s">
        <v>196</v>
      </c>
      <c r="B5597">
        <v>88</v>
      </c>
      <c r="C5597" t="s">
        <v>1852</v>
      </c>
      <c r="D5597">
        <v>314</v>
      </c>
      <c r="E5597" t="s">
        <v>2066</v>
      </c>
      <c r="F5597">
        <v>1025</v>
      </c>
      <c r="G5597" t="s">
        <v>5</v>
      </c>
      <c r="H5597">
        <v>2025</v>
      </c>
      <c r="I5597" t="s">
        <v>5</v>
      </c>
      <c r="J5597">
        <v>3364</v>
      </c>
      <c r="K5597" t="s">
        <v>1958</v>
      </c>
      <c r="L5597">
        <v>4364</v>
      </c>
      <c r="M5597" t="s">
        <v>2082</v>
      </c>
      <c r="N5597" t="s">
        <v>622</v>
      </c>
      <c r="O5597">
        <v>1</v>
      </c>
      <c r="P5597" t="s">
        <v>667</v>
      </c>
      <c r="Q5597" t="s">
        <v>205</v>
      </c>
      <c r="R5597" t="s">
        <v>201</v>
      </c>
      <c r="S5597">
        <v>2</v>
      </c>
      <c r="T5597">
        <v>1</v>
      </c>
      <c r="U5597">
        <v>58764</v>
      </c>
      <c r="V5597">
        <v>117528</v>
      </c>
    </row>
    <row r="5598" spans="1:22">
      <c r="A5598" t="s">
        <v>196</v>
      </c>
      <c r="B5598">
        <v>88</v>
      </c>
      <c r="C5598" t="s">
        <v>1852</v>
      </c>
      <c r="D5598">
        <v>314</v>
      </c>
      <c r="E5598" t="s">
        <v>2066</v>
      </c>
      <c r="F5598">
        <v>1025</v>
      </c>
      <c r="G5598" t="s">
        <v>5</v>
      </c>
      <c r="H5598">
        <v>2025</v>
      </c>
      <c r="I5598" t="s">
        <v>5</v>
      </c>
      <c r="J5598">
        <v>3364</v>
      </c>
      <c r="K5598" t="s">
        <v>1958</v>
      </c>
      <c r="L5598">
        <v>4364</v>
      </c>
      <c r="M5598" t="s">
        <v>2082</v>
      </c>
      <c r="N5598" t="s">
        <v>341</v>
      </c>
      <c r="O5598">
        <v>1</v>
      </c>
      <c r="P5598">
        <v>308</v>
      </c>
      <c r="Q5598" t="s">
        <v>355</v>
      </c>
      <c r="R5598" t="s">
        <v>201</v>
      </c>
      <c r="S5598">
        <v>1</v>
      </c>
      <c r="T5598">
        <v>1</v>
      </c>
      <c r="U5598">
        <v>68616</v>
      </c>
      <c r="V5598">
        <v>68616</v>
      </c>
    </row>
    <row r="5599" spans="1:22">
      <c r="A5599" t="s">
        <v>196</v>
      </c>
      <c r="B5599">
        <v>88</v>
      </c>
      <c r="C5599" t="s">
        <v>1852</v>
      </c>
      <c r="D5599">
        <v>314</v>
      </c>
      <c r="E5599" t="s">
        <v>2066</v>
      </c>
      <c r="F5599">
        <v>1025</v>
      </c>
      <c r="G5599" t="s">
        <v>5</v>
      </c>
      <c r="H5599">
        <v>2025</v>
      </c>
      <c r="I5599" t="s">
        <v>5</v>
      </c>
      <c r="J5599">
        <v>3364</v>
      </c>
      <c r="K5599" t="s">
        <v>1958</v>
      </c>
      <c r="L5599">
        <v>4364</v>
      </c>
      <c r="M5599" t="s">
        <v>2082</v>
      </c>
      <c r="N5599" t="s">
        <v>199</v>
      </c>
      <c r="O5599">
        <v>0</v>
      </c>
      <c r="P5599">
        <v>12</v>
      </c>
      <c r="Q5599" t="s">
        <v>724</v>
      </c>
      <c r="R5599" t="s">
        <v>201</v>
      </c>
      <c r="S5599">
        <v>0</v>
      </c>
      <c r="T5599">
        <v>0</v>
      </c>
      <c r="U5599">
        <v>41675</v>
      </c>
      <c r="V5599">
        <v>41675</v>
      </c>
    </row>
    <row r="5600" spans="1:22">
      <c r="A5600" t="s">
        <v>196</v>
      </c>
      <c r="B5600">
        <v>91</v>
      </c>
      <c r="C5600" t="s">
        <v>10</v>
      </c>
      <c r="D5600">
        <v>346</v>
      </c>
      <c r="E5600" t="s">
        <v>2086</v>
      </c>
      <c r="F5600">
        <v>1005</v>
      </c>
      <c r="G5600" t="s">
        <v>10</v>
      </c>
      <c r="H5600">
        <v>2005</v>
      </c>
      <c r="I5600" t="s">
        <v>10</v>
      </c>
      <c r="J5600">
        <v>3005</v>
      </c>
      <c r="K5600" t="s">
        <v>2087</v>
      </c>
      <c r="L5600">
        <v>0</v>
      </c>
      <c r="N5600" t="s">
        <v>199</v>
      </c>
      <c r="O5600">
        <v>9</v>
      </c>
      <c r="P5600">
        <v>9991</v>
      </c>
      <c r="Q5600" t="s">
        <v>2088</v>
      </c>
      <c r="R5600" t="s">
        <v>201</v>
      </c>
      <c r="S5600">
        <v>1</v>
      </c>
      <c r="T5600">
        <v>1</v>
      </c>
      <c r="U5600">
        <v>223740</v>
      </c>
      <c r="V5600">
        <v>223740</v>
      </c>
    </row>
    <row r="5601" spans="1:22">
      <c r="A5601" t="s">
        <v>196</v>
      </c>
      <c r="B5601">
        <v>91</v>
      </c>
      <c r="C5601" t="s">
        <v>10</v>
      </c>
      <c r="D5601">
        <v>346</v>
      </c>
      <c r="E5601" t="s">
        <v>2086</v>
      </c>
      <c r="F5601">
        <v>1005</v>
      </c>
      <c r="G5601" t="s">
        <v>10</v>
      </c>
      <c r="H5601">
        <v>2005</v>
      </c>
      <c r="I5601" t="s">
        <v>10</v>
      </c>
      <c r="J5601">
        <v>3005</v>
      </c>
      <c r="K5601" t="s">
        <v>2087</v>
      </c>
      <c r="L5601">
        <v>0</v>
      </c>
      <c r="N5601" t="s">
        <v>266</v>
      </c>
      <c r="O5601">
        <v>9</v>
      </c>
      <c r="P5601">
        <v>9679</v>
      </c>
      <c r="Q5601" t="s">
        <v>338</v>
      </c>
      <c r="R5601" t="s">
        <v>201</v>
      </c>
      <c r="S5601">
        <v>1</v>
      </c>
      <c r="T5601">
        <v>1</v>
      </c>
      <c r="U5601">
        <v>175512</v>
      </c>
      <c r="V5601">
        <v>175512</v>
      </c>
    </row>
    <row r="5602" spans="1:22">
      <c r="A5602" t="s">
        <v>196</v>
      </c>
      <c r="B5602">
        <v>91</v>
      </c>
      <c r="C5602" t="s">
        <v>10</v>
      </c>
      <c r="D5602">
        <v>346</v>
      </c>
      <c r="E5602" t="s">
        <v>2086</v>
      </c>
      <c r="F5602">
        <v>1005</v>
      </c>
      <c r="G5602" t="s">
        <v>10</v>
      </c>
      <c r="H5602">
        <v>2005</v>
      </c>
      <c r="I5602" t="s">
        <v>10</v>
      </c>
      <c r="J5602">
        <v>3005</v>
      </c>
      <c r="K5602" t="s">
        <v>2087</v>
      </c>
      <c r="L5602">
        <v>0</v>
      </c>
      <c r="N5602" t="s">
        <v>266</v>
      </c>
      <c r="O5602">
        <v>9</v>
      </c>
      <c r="P5602">
        <v>9679</v>
      </c>
      <c r="Q5602" t="s">
        <v>338</v>
      </c>
      <c r="R5602" t="s">
        <v>201</v>
      </c>
      <c r="S5602">
        <v>1</v>
      </c>
      <c r="T5602">
        <v>1</v>
      </c>
      <c r="U5602">
        <v>157332</v>
      </c>
      <c r="V5602">
        <v>157332</v>
      </c>
    </row>
    <row r="5603" spans="1:22">
      <c r="A5603" t="s">
        <v>196</v>
      </c>
      <c r="B5603">
        <v>91</v>
      </c>
      <c r="C5603" t="s">
        <v>10</v>
      </c>
      <c r="D5603">
        <v>346</v>
      </c>
      <c r="E5603" t="s">
        <v>2086</v>
      </c>
      <c r="F5603">
        <v>1005</v>
      </c>
      <c r="G5603" t="s">
        <v>10</v>
      </c>
      <c r="H5603">
        <v>2005</v>
      </c>
      <c r="I5603" t="s">
        <v>10</v>
      </c>
      <c r="J5603">
        <v>3005</v>
      </c>
      <c r="K5603" t="s">
        <v>2087</v>
      </c>
      <c r="L5603">
        <v>0</v>
      </c>
      <c r="N5603" t="s">
        <v>311</v>
      </c>
      <c r="O5603">
        <v>9</v>
      </c>
      <c r="P5603">
        <v>9660</v>
      </c>
      <c r="Q5603" t="s">
        <v>846</v>
      </c>
      <c r="R5603" t="s">
        <v>201</v>
      </c>
      <c r="S5603">
        <v>1</v>
      </c>
      <c r="T5603">
        <v>1</v>
      </c>
      <c r="U5603">
        <v>194688</v>
      </c>
      <c r="V5603">
        <v>194688</v>
      </c>
    </row>
    <row r="5604" spans="1:22">
      <c r="A5604" t="s">
        <v>196</v>
      </c>
      <c r="B5604">
        <v>91</v>
      </c>
      <c r="C5604" t="s">
        <v>10</v>
      </c>
      <c r="D5604">
        <v>346</v>
      </c>
      <c r="E5604" t="s">
        <v>2086</v>
      </c>
      <c r="F5604">
        <v>1005</v>
      </c>
      <c r="G5604" t="s">
        <v>10</v>
      </c>
      <c r="H5604">
        <v>2005</v>
      </c>
      <c r="I5604" t="s">
        <v>10</v>
      </c>
      <c r="J5604">
        <v>3005</v>
      </c>
      <c r="K5604" t="s">
        <v>2087</v>
      </c>
      <c r="L5604">
        <v>0</v>
      </c>
      <c r="N5604" t="s">
        <v>341</v>
      </c>
      <c r="O5604">
        <v>1</v>
      </c>
      <c r="P5604">
        <v>6409</v>
      </c>
      <c r="Q5604" t="s">
        <v>1010</v>
      </c>
      <c r="R5604" t="s">
        <v>201</v>
      </c>
      <c r="S5604">
        <v>1</v>
      </c>
      <c r="T5604">
        <v>1</v>
      </c>
      <c r="U5604">
        <v>81324</v>
      </c>
      <c r="V5604">
        <v>81324</v>
      </c>
    </row>
    <row r="5605" spans="1:22">
      <c r="A5605" t="s">
        <v>196</v>
      </c>
      <c r="B5605">
        <v>91</v>
      </c>
      <c r="C5605" t="s">
        <v>10</v>
      </c>
      <c r="D5605">
        <v>346</v>
      </c>
      <c r="E5605" t="s">
        <v>2086</v>
      </c>
      <c r="F5605">
        <v>1005</v>
      </c>
      <c r="G5605" t="s">
        <v>10</v>
      </c>
      <c r="H5605">
        <v>2005</v>
      </c>
      <c r="I5605" t="s">
        <v>10</v>
      </c>
      <c r="J5605">
        <v>3005</v>
      </c>
      <c r="K5605" t="s">
        <v>2087</v>
      </c>
      <c r="L5605">
        <v>0</v>
      </c>
      <c r="N5605" t="s">
        <v>253</v>
      </c>
      <c r="O5605">
        <v>10</v>
      </c>
      <c r="P5605">
        <v>5753</v>
      </c>
      <c r="Q5605" t="s">
        <v>2089</v>
      </c>
      <c r="R5605" t="s">
        <v>201</v>
      </c>
      <c r="S5605">
        <v>1</v>
      </c>
      <c r="T5605">
        <v>1</v>
      </c>
      <c r="U5605">
        <v>118956</v>
      </c>
      <c r="V5605">
        <v>118956</v>
      </c>
    </row>
    <row r="5606" spans="1:22">
      <c r="A5606" t="s">
        <v>196</v>
      </c>
      <c r="B5606">
        <v>91</v>
      </c>
      <c r="C5606" t="s">
        <v>10</v>
      </c>
      <c r="D5606">
        <v>346</v>
      </c>
      <c r="E5606" t="s">
        <v>2086</v>
      </c>
      <c r="F5606">
        <v>1005</v>
      </c>
      <c r="G5606" t="s">
        <v>10</v>
      </c>
      <c r="H5606">
        <v>2005</v>
      </c>
      <c r="I5606" t="s">
        <v>10</v>
      </c>
      <c r="J5606">
        <v>3005</v>
      </c>
      <c r="K5606" t="s">
        <v>2087</v>
      </c>
      <c r="L5606">
        <v>0</v>
      </c>
      <c r="N5606" t="s">
        <v>622</v>
      </c>
      <c r="O5606">
        <v>1</v>
      </c>
      <c r="P5606">
        <v>5742</v>
      </c>
      <c r="Q5606" t="s">
        <v>2090</v>
      </c>
      <c r="R5606" t="s">
        <v>201</v>
      </c>
      <c r="S5606">
        <v>1</v>
      </c>
      <c r="T5606">
        <v>1</v>
      </c>
      <c r="U5606">
        <v>58764</v>
      </c>
      <c r="V5606">
        <v>58764</v>
      </c>
    </row>
    <row r="5607" spans="1:22">
      <c r="A5607" t="s">
        <v>196</v>
      </c>
      <c r="B5607">
        <v>91</v>
      </c>
      <c r="C5607" t="s">
        <v>10</v>
      </c>
      <c r="D5607">
        <v>346</v>
      </c>
      <c r="E5607" t="s">
        <v>2086</v>
      </c>
      <c r="F5607">
        <v>1005</v>
      </c>
      <c r="G5607" t="s">
        <v>10</v>
      </c>
      <c r="H5607">
        <v>2005</v>
      </c>
      <c r="I5607" t="s">
        <v>10</v>
      </c>
      <c r="J5607">
        <v>3005</v>
      </c>
      <c r="K5607" t="s">
        <v>2087</v>
      </c>
      <c r="L5607">
        <v>0</v>
      </c>
      <c r="N5607" t="s">
        <v>249</v>
      </c>
      <c r="O5607">
        <v>10</v>
      </c>
      <c r="P5607">
        <v>4544</v>
      </c>
      <c r="Q5607" t="s">
        <v>2091</v>
      </c>
      <c r="R5607" t="s">
        <v>201</v>
      </c>
      <c r="S5607">
        <v>1</v>
      </c>
      <c r="T5607">
        <v>1</v>
      </c>
      <c r="U5607">
        <v>93384</v>
      </c>
      <c r="V5607">
        <v>93384</v>
      </c>
    </row>
    <row r="5608" spans="1:22">
      <c r="A5608" t="s">
        <v>196</v>
      </c>
      <c r="B5608">
        <v>91</v>
      </c>
      <c r="C5608" t="s">
        <v>10</v>
      </c>
      <c r="D5608">
        <v>346</v>
      </c>
      <c r="E5608" t="s">
        <v>2086</v>
      </c>
      <c r="F5608">
        <v>1005</v>
      </c>
      <c r="G5608" t="s">
        <v>10</v>
      </c>
      <c r="H5608">
        <v>2005</v>
      </c>
      <c r="I5608" t="s">
        <v>10</v>
      </c>
      <c r="J5608">
        <v>3005</v>
      </c>
      <c r="K5608" t="s">
        <v>2087</v>
      </c>
      <c r="L5608">
        <v>0</v>
      </c>
      <c r="N5608" t="s">
        <v>356</v>
      </c>
      <c r="O5608">
        <v>3</v>
      </c>
      <c r="P5608">
        <v>3052</v>
      </c>
      <c r="Q5608" t="s">
        <v>1439</v>
      </c>
      <c r="R5608" t="s">
        <v>201</v>
      </c>
      <c r="S5608">
        <v>1</v>
      </c>
      <c r="T5608">
        <v>1</v>
      </c>
      <c r="U5608">
        <v>97488</v>
      </c>
      <c r="V5608">
        <v>97488</v>
      </c>
    </row>
    <row r="5609" spans="1:22">
      <c r="A5609" t="s">
        <v>196</v>
      </c>
      <c r="B5609">
        <v>91</v>
      </c>
      <c r="C5609" t="s">
        <v>10</v>
      </c>
      <c r="D5609">
        <v>346</v>
      </c>
      <c r="E5609" t="s">
        <v>2086</v>
      </c>
      <c r="F5609">
        <v>1005</v>
      </c>
      <c r="G5609" t="s">
        <v>10</v>
      </c>
      <c r="H5609">
        <v>2005</v>
      </c>
      <c r="I5609" t="s">
        <v>10</v>
      </c>
      <c r="J5609">
        <v>3005</v>
      </c>
      <c r="K5609" t="s">
        <v>2087</v>
      </c>
      <c r="L5609">
        <v>0</v>
      </c>
      <c r="N5609" t="s">
        <v>245</v>
      </c>
      <c r="O5609">
        <v>20</v>
      </c>
      <c r="P5609">
        <v>3051</v>
      </c>
      <c r="Q5609" t="s">
        <v>246</v>
      </c>
      <c r="R5609" t="s">
        <v>201</v>
      </c>
      <c r="S5609">
        <v>1</v>
      </c>
      <c r="T5609">
        <v>1</v>
      </c>
      <c r="U5609">
        <v>106272</v>
      </c>
      <c r="V5609">
        <v>106272</v>
      </c>
    </row>
    <row r="5610" spans="1:22">
      <c r="A5610" t="s">
        <v>196</v>
      </c>
      <c r="B5610">
        <v>91</v>
      </c>
      <c r="C5610" t="s">
        <v>10</v>
      </c>
      <c r="D5610">
        <v>346</v>
      </c>
      <c r="E5610" t="s">
        <v>2086</v>
      </c>
      <c r="F5610">
        <v>1005</v>
      </c>
      <c r="G5610" t="s">
        <v>10</v>
      </c>
      <c r="H5610">
        <v>2005</v>
      </c>
      <c r="I5610" t="s">
        <v>10</v>
      </c>
      <c r="J5610">
        <v>3005</v>
      </c>
      <c r="K5610" t="s">
        <v>2087</v>
      </c>
      <c r="L5610">
        <v>0</v>
      </c>
      <c r="N5610" t="s">
        <v>372</v>
      </c>
      <c r="O5610">
        <v>4</v>
      </c>
      <c r="P5610">
        <v>1912</v>
      </c>
      <c r="Q5610" t="s">
        <v>608</v>
      </c>
      <c r="R5610" t="s">
        <v>201</v>
      </c>
      <c r="S5610">
        <v>1</v>
      </c>
      <c r="T5610">
        <v>1</v>
      </c>
      <c r="U5610">
        <v>81324</v>
      </c>
      <c r="V5610">
        <v>81324</v>
      </c>
    </row>
    <row r="5611" spans="1:22">
      <c r="A5611" t="s">
        <v>196</v>
      </c>
      <c r="B5611">
        <v>91</v>
      </c>
      <c r="C5611" t="s">
        <v>10</v>
      </c>
      <c r="D5611">
        <v>346</v>
      </c>
      <c r="E5611" t="s">
        <v>2086</v>
      </c>
      <c r="F5611">
        <v>1005</v>
      </c>
      <c r="G5611" t="s">
        <v>10</v>
      </c>
      <c r="H5611">
        <v>2005</v>
      </c>
      <c r="I5611" t="s">
        <v>10</v>
      </c>
      <c r="J5611">
        <v>3005</v>
      </c>
      <c r="K5611" t="s">
        <v>2087</v>
      </c>
      <c r="L5611">
        <v>0</v>
      </c>
      <c r="N5611" t="s">
        <v>372</v>
      </c>
      <c r="O5611">
        <v>4</v>
      </c>
      <c r="P5611">
        <v>1912</v>
      </c>
      <c r="Q5611" t="s">
        <v>608</v>
      </c>
      <c r="R5611" t="s">
        <v>201</v>
      </c>
      <c r="S5611">
        <v>1</v>
      </c>
      <c r="T5611">
        <v>1</v>
      </c>
      <c r="U5611">
        <v>77640</v>
      </c>
      <c r="V5611">
        <v>77640</v>
      </c>
    </row>
    <row r="5612" spans="1:22">
      <c r="A5612" t="s">
        <v>196</v>
      </c>
      <c r="B5612">
        <v>91</v>
      </c>
      <c r="C5612" t="s">
        <v>10</v>
      </c>
      <c r="D5612">
        <v>346</v>
      </c>
      <c r="E5612" t="s">
        <v>2086</v>
      </c>
      <c r="F5612">
        <v>1005</v>
      </c>
      <c r="G5612" t="s">
        <v>10</v>
      </c>
      <c r="H5612">
        <v>2005</v>
      </c>
      <c r="I5612" t="s">
        <v>10</v>
      </c>
      <c r="J5612">
        <v>3005</v>
      </c>
      <c r="K5612" t="s">
        <v>2087</v>
      </c>
      <c r="L5612">
        <v>0</v>
      </c>
      <c r="N5612" t="s">
        <v>1007</v>
      </c>
      <c r="O5612">
        <v>1</v>
      </c>
      <c r="P5612">
        <v>1813</v>
      </c>
      <c r="Q5612" t="s">
        <v>1547</v>
      </c>
      <c r="R5612" t="s">
        <v>201</v>
      </c>
      <c r="S5612">
        <v>2</v>
      </c>
      <c r="T5612">
        <v>1</v>
      </c>
      <c r="U5612">
        <v>74916</v>
      </c>
      <c r="V5612">
        <v>149832</v>
      </c>
    </row>
    <row r="5613" spans="1:22">
      <c r="A5613" t="s">
        <v>196</v>
      </c>
      <c r="B5613">
        <v>91</v>
      </c>
      <c r="C5613" t="s">
        <v>10</v>
      </c>
      <c r="D5613">
        <v>346</v>
      </c>
      <c r="E5613" t="s">
        <v>2086</v>
      </c>
      <c r="F5613">
        <v>1005</v>
      </c>
      <c r="G5613" t="s">
        <v>10</v>
      </c>
      <c r="H5613">
        <v>2005</v>
      </c>
      <c r="I5613" t="s">
        <v>10</v>
      </c>
      <c r="J5613">
        <v>3005</v>
      </c>
      <c r="K5613" t="s">
        <v>2087</v>
      </c>
      <c r="L5613">
        <v>0</v>
      </c>
      <c r="N5613" t="s">
        <v>249</v>
      </c>
      <c r="O5613">
        <v>10</v>
      </c>
      <c r="P5613">
        <v>1346</v>
      </c>
      <c r="Q5613" t="s">
        <v>250</v>
      </c>
      <c r="R5613" t="s">
        <v>201</v>
      </c>
      <c r="S5613">
        <v>1</v>
      </c>
      <c r="T5613">
        <v>1</v>
      </c>
      <c r="U5613">
        <v>93384</v>
      </c>
      <c r="V5613">
        <v>93384</v>
      </c>
    </row>
    <row r="5614" spans="1:22">
      <c r="A5614" t="s">
        <v>196</v>
      </c>
      <c r="B5614">
        <v>91</v>
      </c>
      <c r="C5614" t="s">
        <v>10</v>
      </c>
      <c r="D5614">
        <v>346</v>
      </c>
      <c r="E5614" t="s">
        <v>2086</v>
      </c>
      <c r="F5614">
        <v>1005</v>
      </c>
      <c r="G5614" t="s">
        <v>10</v>
      </c>
      <c r="H5614">
        <v>2005</v>
      </c>
      <c r="I5614" t="s">
        <v>10</v>
      </c>
      <c r="J5614">
        <v>3005</v>
      </c>
      <c r="K5614" t="s">
        <v>2087</v>
      </c>
      <c r="L5614">
        <v>0</v>
      </c>
      <c r="N5614" t="s">
        <v>274</v>
      </c>
      <c r="O5614">
        <v>0</v>
      </c>
      <c r="P5614">
        <v>1338</v>
      </c>
      <c r="Q5614" t="s">
        <v>896</v>
      </c>
      <c r="R5614" t="s">
        <v>201</v>
      </c>
      <c r="S5614">
        <v>1</v>
      </c>
      <c r="T5614">
        <v>1</v>
      </c>
      <c r="U5614">
        <v>121668</v>
      </c>
      <c r="V5614">
        <v>121668</v>
      </c>
    </row>
    <row r="5615" spans="1:22">
      <c r="A5615" t="s">
        <v>196</v>
      </c>
      <c r="B5615">
        <v>91</v>
      </c>
      <c r="C5615" t="s">
        <v>10</v>
      </c>
      <c r="D5615">
        <v>346</v>
      </c>
      <c r="E5615" t="s">
        <v>2086</v>
      </c>
      <c r="F5615">
        <v>1005</v>
      </c>
      <c r="G5615" t="s">
        <v>10</v>
      </c>
      <c r="H5615">
        <v>2005</v>
      </c>
      <c r="I5615" t="s">
        <v>10</v>
      </c>
      <c r="J5615">
        <v>3005</v>
      </c>
      <c r="K5615" t="s">
        <v>2087</v>
      </c>
      <c r="L5615">
        <v>0</v>
      </c>
      <c r="N5615" t="s">
        <v>253</v>
      </c>
      <c r="O5615">
        <v>20</v>
      </c>
      <c r="P5615">
        <v>1331</v>
      </c>
      <c r="Q5615" t="s">
        <v>653</v>
      </c>
      <c r="R5615" t="s">
        <v>201</v>
      </c>
      <c r="S5615">
        <v>1</v>
      </c>
      <c r="T5615">
        <v>1</v>
      </c>
      <c r="U5615">
        <v>108432</v>
      </c>
      <c r="V5615">
        <v>108432</v>
      </c>
    </row>
    <row r="5616" spans="1:22">
      <c r="A5616" t="s">
        <v>196</v>
      </c>
      <c r="B5616">
        <v>91</v>
      </c>
      <c r="C5616" t="s">
        <v>10</v>
      </c>
      <c r="D5616">
        <v>346</v>
      </c>
      <c r="E5616" t="s">
        <v>2086</v>
      </c>
      <c r="F5616">
        <v>1005</v>
      </c>
      <c r="G5616" t="s">
        <v>10</v>
      </c>
      <c r="H5616">
        <v>2005</v>
      </c>
      <c r="I5616" t="s">
        <v>10</v>
      </c>
      <c r="J5616">
        <v>3005</v>
      </c>
      <c r="K5616" t="s">
        <v>2087</v>
      </c>
      <c r="L5616">
        <v>0</v>
      </c>
      <c r="N5616" t="s">
        <v>341</v>
      </c>
      <c r="O5616">
        <v>1</v>
      </c>
      <c r="P5616">
        <v>1320</v>
      </c>
      <c r="Q5616" t="s">
        <v>1236</v>
      </c>
      <c r="R5616" t="s">
        <v>201</v>
      </c>
      <c r="S5616">
        <v>1</v>
      </c>
      <c r="T5616">
        <v>1</v>
      </c>
      <c r="U5616">
        <v>74172</v>
      </c>
      <c r="V5616">
        <v>74172</v>
      </c>
    </row>
    <row r="5617" spans="1:22">
      <c r="A5617" t="s">
        <v>196</v>
      </c>
      <c r="B5617">
        <v>91</v>
      </c>
      <c r="C5617" t="s">
        <v>10</v>
      </c>
      <c r="D5617">
        <v>346</v>
      </c>
      <c r="E5617" t="s">
        <v>2086</v>
      </c>
      <c r="F5617">
        <v>1005</v>
      </c>
      <c r="G5617" t="s">
        <v>10</v>
      </c>
      <c r="H5617">
        <v>2005</v>
      </c>
      <c r="I5617" t="s">
        <v>10</v>
      </c>
      <c r="J5617">
        <v>3005</v>
      </c>
      <c r="K5617" t="s">
        <v>2087</v>
      </c>
      <c r="L5617">
        <v>0</v>
      </c>
      <c r="N5617" t="s">
        <v>341</v>
      </c>
      <c r="O5617">
        <v>1</v>
      </c>
      <c r="P5617">
        <v>1301</v>
      </c>
      <c r="Q5617" t="s">
        <v>618</v>
      </c>
      <c r="R5617" t="s">
        <v>201</v>
      </c>
      <c r="S5617">
        <v>3</v>
      </c>
      <c r="T5617">
        <v>1</v>
      </c>
      <c r="U5617">
        <v>119100</v>
      </c>
      <c r="V5617">
        <v>357300</v>
      </c>
    </row>
    <row r="5618" spans="1:22">
      <c r="A5618" t="s">
        <v>196</v>
      </c>
      <c r="B5618">
        <v>91</v>
      </c>
      <c r="C5618" t="s">
        <v>10</v>
      </c>
      <c r="D5618">
        <v>346</v>
      </c>
      <c r="E5618" t="s">
        <v>2086</v>
      </c>
      <c r="F5618">
        <v>1005</v>
      </c>
      <c r="G5618" t="s">
        <v>10</v>
      </c>
      <c r="H5618">
        <v>2005</v>
      </c>
      <c r="I5618" t="s">
        <v>10</v>
      </c>
      <c r="J5618">
        <v>3005</v>
      </c>
      <c r="K5618" t="s">
        <v>2087</v>
      </c>
      <c r="L5618">
        <v>0</v>
      </c>
      <c r="N5618" t="s">
        <v>341</v>
      </c>
      <c r="O5618">
        <v>1</v>
      </c>
      <c r="P5618">
        <v>1301</v>
      </c>
      <c r="Q5618" t="s">
        <v>618</v>
      </c>
      <c r="R5618" t="s">
        <v>201</v>
      </c>
      <c r="S5618">
        <v>1</v>
      </c>
      <c r="T5618">
        <v>1</v>
      </c>
      <c r="U5618">
        <v>113628</v>
      </c>
      <c r="V5618">
        <v>113628</v>
      </c>
    </row>
    <row r="5619" spans="1:22">
      <c r="A5619" t="s">
        <v>196</v>
      </c>
      <c r="B5619">
        <v>91</v>
      </c>
      <c r="C5619" t="s">
        <v>10</v>
      </c>
      <c r="D5619">
        <v>346</v>
      </c>
      <c r="E5619" t="s">
        <v>2086</v>
      </c>
      <c r="F5619">
        <v>1005</v>
      </c>
      <c r="G5619" t="s">
        <v>10</v>
      </c>
      <c r="H5619">
        <v>2005</v>
      </c>
      <c r="I5619" t="s">
        <v>10</v>
      </c>
      <c r="J5619">
        <v>3005</v>
      </c>
      <c r="K5619" t="s">
        <v>2087</v>
      </c>
      <c r="L5619">
        <v>0</v>
      </c>
      <c r="N5619" t="s">
        <v>341</v>
      </c>
      <c r="O5619">
        <v>1</v>
      </c>
      <c r="P5619">
        <v>1301</v>
      </c>
      <c r="Q5619" t="s">
        <v>618</v>
      </c>
      <c r="R5619" t="s">
        <v>201</v>
      </c>
      <c r="S5619">
        <v>1</v>
      </c>
      <c r="T5619">
        <v>1</v>
      </c>
      <c r="U5619">
        <v>103608</v>
      </c>
      <c r="V5619">
        <v>103608</v>
      </c>
    </row>
    <row r="5620" spans="1:22">
      <c r="A5620" t="s">
        <v>196</v>
      </c>
      <c r="B5620">
        <v>91</v>
      </c>
      <c r="C5620" t="s">
        <v>10</v>
      </c>
      <c r="D5620">
        <v>346</v>
      </c>
      <c r="E5620" t="s">
        <v>2086</v>
      </c>
      <c r="F5620">
        <v>1005</v>
      </c>
      <c r="G5620" t="s">
        <v>10</v>
      </c>
      <c r="H5620">
        <v>2005</v>
      </c>
      <c r="I5620" t="s">
        <v>10</v>
      </c>
      <c r="J5620">
        <v>3005</v>
      </c>
      <c r="K5620" t="s">
        <v>2087</v>
      </c>
      <c r="L5620">
        <v>0</v>
      </c>
      <c r="N5620" t="s">
        <v>341</v>
      </c>
      <c r="O5620">
        <v>1</v>
      </c>
      <c r="P5620">
        <v>1301</v>
      </c>
      <c r="Q5620" t="s">
        <v>618</v>
      </c>
      <c r="R5620" t="s">
        <v>201</v>
      </c>
      <c r="S5620">
        <v>1</v>
      </c>
      <c r="T5620">
        <v>1</v>
      </c>
      <c r="U5620">
        <v>94452</v>
      </c>
      <c r="V5620">
        <v>94452</v>
      </c>
    </row>
    <row r="5621" spans="1:22">
      <c r="A5621" t="s">
        <v>196</v>
      </c>
      <c r="B5621">
        <v>91</v>
      </c>
      <c r="C5621" t="s">
        <v>10</v>
      </c>
      <c r="D5621">
        <v>346</v>
      </c>
      <c r="E5621" t="s">
        <v>2086</v>
      </c>
      <c r="F5621">
        <v>1005</v>
      </c>
      <c r="G5621" t="s">
        <v>10</v>
      </c>
      <c r="H5621">
        <v>2005</v>
      </c>
      <c r="I5621" t="s">
        <v>10</v>
      </c>
      <c r="J5621">
        <v>3005</v>
      </c>
      <c r="K5621" t="s">
        <v>2087</v>
      </c>
      <c r="L5621">
        <v>0</v>
      </c>
      <c r="N5621" t="s">
        <v>341</v>
      </c>
      <c r="O5621">
        <v>1</v>
      </c>
      <c r="P5621">
        <v>1301</v>
      </c>
      <c r="Q5621" t="s">
        <v>618</v>
      </c>
      <c r="R5621" t="s">
        <v>201</v>
      </c>
      <c r="S5621">
        <v>1</v>
      </c>
      <c r="T5621">
        <v>1</v>
      </c>
      <c r="U5621">
        <v>74172</v>
      </c>
      <c r="V5621">
        <v>74172</v>
      </c>
    </row>
    <row r="5622" spans="1:22">
      <c r="A5622" t="s">
        <v>196</v>
      </c>
      <c r="B5622">
        <v>91</v>
      </c>
      <c r="C5622" t="s">
        <v>10</v>
      </c>
      <c r="D5622">
        <v>346</v>
      </c>
      <c r="E5622" t="s">
        <v>2086</v>
      </c>
      <c r="F5622">
        <v>1005</v>
      </c>
      <c r="G5622" t="s">
        <v>10</v>
      </c>
      <c r="H5622">
        <v>2005</v>
      </c>
      <c r="I5622" t="s">
        <v>10</v>
      </c>
      <c r="J5622">
        <v>3005</v>
      </c>
      <c r="K5622" t="s">
        <v>2087</v>
      </c>
      <c r="L5622">
        <v>0</v>
      </c>
      <c r="N5622" t="s">
        <v>274</v>
      </c>
      <c r="O5622">
        <v>20</v>
      </c>
      <c r="P5622">
        <v>1191</v>
      </c>
      <c r="Q5622" t="s">
        <v>927</v>
      </c>
      <c r="R5622" t="s">
        <v>201</v>
      </c>
      <c r="S5622">
        <v>1</v>
      </c>
      <c r="T5622">
        <v>1</v>
      </c>
      <c r="U5622">
        <v>146808</v>
      </c>
      <c r="V5622">
        <v>146808</v>
      </c>
    </row>
    <row r="5623" spans="1:22">
      <c r="A5623" t="s">
        <v>196</v>
      </c>
      <c r="B5623">
        <v>91</v>
      </c>
      <c r="C5623" t="s">
        <v>10</v>
      </c>
      <c r="D5623">
        <v>346</v>
      </c>
      <c r="E5623" t="s">
        <v>2086</v>
      </c>
      <c r="F5623">
        <v>1005</v>
      </c>
      <c r="G5623" t="s">
        <v>10</v>
      </c>
      <c r="H5623">
        <v>2005</v>
      </c>
      <c r="I5623" t="s">
        <v>10</v>
      </c>
      <c r="J5623">
        <v>3005</v>
      </c>
      <c r="K5623" t="s">
        <v>2087</v>
      </c>
      <c r="L5623">
        <v>0</v>
      </c>
      <c r="N5623" t="s">
        <v>360</v>
      </c>
      <c r="O5623">
        <v>5</v>
      </c>
      <c r="P5623">
        <v>901</v>
      </c>
      <c r="Q5623" t="s">
        <v>2092</v>
      </c>
      <c r="R5623" t="s">
        <v>201</v>
      </c>
      <c r="S5623">
        <v>2</v>
      </c>
      <c r="T5623">
        <v>1</v>
      </c>
      <c r="U5623">
        <v>98928</v>
      </c>
      <c r="V5623">
        <v>197856</v>
      </c>
    </row>
    <row r="5624" spans="1:22">
      <c r="A5624" t="s">
        <v>196</v>
      </c>
      <c r="B5624">
        <v>91</v>
      </c>
      <c r="C5624" t="s">
        <v>10</v>
      </c>
      <c r="D5624">
        <v>346</v>
      </c>
      <c r="E5624" t="s">
        <v>2086</v>
      </c>
      <c r="F5624">
        <v>1005</v>
      </c>
      <c r="G5624" t="s">
        <v>10</v>
      </c>
      <c r="H5624">
        <v>2005</v>
      </c>
      <c r="I5624" t="s">
        <v>10</v>
      </c>
      <c r="J5624">
        <v>3005</v>
      </c>
      <c r="K5624" t="s">
        <v>2087</v>
      </c>
      <c r="L5624">
        <v>0</v>
      </c>
      <c r="N5624" t="s">
        <v>360</v>
      </c>
      <c r="O5624">
        <v>5</v>
      </c>
      <c r="P5624">
        <v>901</v>
      </c>
      <c r="Q5624" t="s">
        <v>2092</v>
      </c>
      <c r="R5624" t="s">
        <v>201</v>
      </c>
      <c r="S5624">
        <v>1</v>
      </c>
      <c r="T5624">
        <v>1</v>
      </c>
      <c r="U5624">
        <v>94452</v>
      </c>
      <c r="V5624">
        <v>94452</v>
      </c>
    </row>
    <row r="5625" spans="1:22">
      <c r="A5625" t="s">
        <v>196</v>
      </c>
      <c r="B5625">
        <v>91</v>
      </c>
      <c r="C5625" t="s">
        <v>10</v>
      </c>
      <c r="D5625">
        <v>346</v>
      </c>
      <c r="E5625" t="s">
        <v>2086</v>
      </c>
      <c r="F5625">
        <v>1005</v>
      </c>
      <c r="G5625" t="s">
        <v>10</v>
      </c>
      <c r="H5625">
        <v>2005</v>
      </c>
      <c r="I5625" t="s">
        <v>10</v>
      </c>
      <c r="J5625">
        <v>3005</v>
      </c>
      <c r="K5625" t="s">
        <v>2087</v>
      </c>
      <c r="L5625">
        <v>0</v>
      </c>
      <c r="N5625" t="s">
        <v>360</v>
      </c>
      <c r="O5625">
        <v>5</v>
      </c>
      <c r="P5625">
        <v>901</v>
      </c>
      <c r="Q5625" t="s">
        <v>2092</v>
      </c>
      <c r="R5625" t="s">
        <v>201</v>
      </c>
      <c r="S5625">
        <v>1</v>
      </c>
      <c r="T5625">
        <v>1</v>
      </c>
      <c r="U5625">
        <v>74916</v>
      </c>
      <c r="V5625">
        <v>74916</v>
      </c>
    </row>
    <row r="5626" spans="1:22">
      <c r="A5626" t="s">
        <v>196</v>
      </c>
      <c r="B5626">
        <v>91</v>
      </c>
      <c r="C5626" t="s">
        <v>10</v>
      </c>
      <c r="D5626">
        <v>346</v>
      </c>
      <c r="E5626" t="s">
        <v>2086</v>
      </c>
      <c r="F5626">
        <v>1005</v>
      </c>
      <c r="G5626" t="s">
        <v>10</v>
      </c>
      <c r="H5626">
        <v>2005</v>
      </c>
      <c r="I5626" t="s">
        <v>10</v>
      </c>
      <c r="J5626">
        <v>3005</v>
      </c>
      <c r="K5626" t="s">
        <v>2087</v>
      </c>
      <c r="L5626">
        <v>0</v>
      </c>
      <c r="N5626" t="s">
        <v>360</v>
      </c>
      <c r="O5626">
        <v>5</v>
      </c>
      <c r="P5626">
        <v>901</v>
      </c>
      <c r="Q5626" t="s">
        <v>2092</v>
      </c>
      <c r="R5626" t="s">
        <v>201</v>
      </c>
      <c r="S5626">
        <v>1</v>
      </c>
      <c r="T5626">
        <v>1</v>
      </c>
      <c r="U5626">
        <v>57000</v>
      </c>
      <c r="V5626">
        <v>57000</v>
      </c>
    </row>
    <row r="5627" spans="1:22">
      <c r="A5627" t="s">
        <v>196</v>
      </c>
      <c r="B5627">
        <v>91</v>
      </c>
      <c r="C5627" t="s">
        <v>10</v>
      </c>
      <c r="D5627">
        <v>346</v>
      </c>
      <c r="E5627" t="s">
        <v>2086</v>
      </c>
      <c r="F5627">
        <v>1005</v>
      </c>
      <c r="G5627" t="s">
        <v>10</v>
      </c>
      <c r="H5627">
        <v>2005</v>
      </c>
      <c r="I5627" t="s">
        <v>10</v>
      </c>
      <c r="J5627">
        <v>3005</v>
      </c>
      <c r="K5627" t="s">
        <v>2087</v>
      </c>
      <c r="L5627">
        <v>0</v>
      </c>
      <c r="N5627" t="s">
        <v>251</v>
      </c>
      <c r="O5627">
        <v>10</v>
      </c>
      <c r="P5627">
        <v>802</v>
      </c>
      <c r="Q5627" t="s">
        <v>252</v>
      </c>
      <c r="R5627" t="s">
        <v>201</v>
      </c>
      <c r="S5627">
        <v>1</v>
      </c>
      <c r="T5627">
        <v>1</v>
      </c>
      <c r="U5627">
        <v>113568</v>
      </c>
      <c r="V5627">
        <v>113568</v>
      </c>
    </row>
    <row r="5628" spans="1:22">
      <c r="A5628" t="s">
        <v>196</v>
      </c>
      <c r="B5628">
        <v>91</v>
      </c>
      <c r="C5628" t="s">
        <v>10</v>
      </c>
      <c r="D5628">
        <v>346</v>
      </c>
      <c r="E5628" t="s">
        <v>2086</v>
      </c>
      <c r="F5628">
        <v>1005</v>
      </c>
      <c r="G5628" t="s">
        <v>10</v>
      </c>
      <c r="H5628">
        <v>2005</v>
      </c>
      <c r="I5628" t="s">
        <v>10</v>
      </c>
      <c r="J5628">
        <v>3005</v>
      </c>
      <c r="K5628" t="s">
        <v>2087</v>
      </c>
      <c r="L5628">
        <v>0</v>
      </c>
      <c r="N5628" t="s">
        <v>251</v>
      </c>
      <c r="O5628">
        <v>10</v>
      </c>
      <c r="P5628">
        <v>802</v>
      </c>
      <c r="Q5628" t="s">
        <v>252</v>
      </c>
      <c r="R5628" t="s">
        <v>201</v>
      </c>
      <c r="S5628">
        <v>1</v>
      </c>
      <c r="T5628">
        <v>1</v>
      </c>
      <c r="U5628">
        <v>103488</v>
      </c>
      <c r="V5628">
        <v>103488</v>
      </c>
    </row>
    <row r="5629" spans="1:22">
      <c r="A5629" t="s">
        <v>196</v>
      </c>
      <c r="B5629">
        <v>91</v>
      </c>
      <c r="C5629" t="s">
        <v>10</v>
      </c>
      <c r="D5629">
        <v>346</v>
      </c>
      <c r="E5629" t="s">
        <v>2086</v>
      </c>
      <c r="F5629">
        <v>1005</v>
      </c>
      <c r="G5629" t="s">
        <v>10</v>
      </c>
      <c r="H5629">
        <v>2005</v>
      </c>
      <c r="I5629" t="s">
        <v>10</v>
      </c>
      <c r="J5629">
        <v>3005</v>
      </c>
      <c r="K5629" t="s">
        <v>2087</v>
      </c>
      <c r="L5629">
        <v>0</v>
      </c>
      <c r="N5629" t="s">
        <v>1776</v>
      </c>
      <c r="O5629">
        <v>9</v>
      </c>
      <c r="P5629">
        <v>719</v>
      </c>
      <c r="Q5629" t="s">
        <v>2093</v>
      </c>
      <c r="R5629" t="s">
        <v>201</v>
      </c>
      <c r="S5629">
        <v>1</v>
      </c>
      <c r="T5629">
        <v>1</v>
      </c>
      <c r="U5629">
        <v>114120</v>
      </c>
      <c r="V5629">
        <v>114120</v>
      </c>
    </row>
    <row r="5630" spans="1:22">
      <c r="A5630" t="s">
        <v>196</v>
      </c>
      <c r="B5630">
        <v>91</v>
      </c>
      <c r="C5630" t="s">
        <v>10</v>
      </c>
      <c r="D5630">
        <v>346</v>
      </c>
      <c r="E5630" t="s">
        <v>2086</v>
      </c>
      <c r="F5630">
        <v>1005</v>
      </c>
      <c r="G5630" t="s">
        <v>10</v>
      </c>
      <c r="H5630">
        <v>2005</v>
      </c>
      <c r="I5630" t="s">
        <v>10</v>
      </c>
      <c r="J5630">
        <v>3005</v>
      </c>
      <c r="K5630" t="s">
        <v>2087</v>
      </c>
      <c r="L5630">
        <v>0</v>
      </c>
      <c r="N5630" t="s">
        <v>257</v>
      </c>
      <c r="O5630">
        <v>9</v>
      </c>
      <c r="P5630">
        <v>705</v>
      </c>
      <c r="Q5630" t="s">
        <v>258</v>
      </c>
      <c r="R5630" t="s">
        <v>201</v>
      </c>
      <c r="S5630">
        <v>1</v>
      </c>
      <c r="T5630">
        <v>1</v>
      </c>
      <c r="U5630">
        <v>143880</v>
      </c>
      <c r="V5630">
        <v>143880</v>
      </c>
    </row>
    <row r="5631" spans="1:22">
      <c r="A5631" t="s">
        <v>196</v>
      </c>
      <c r="B5631">
        <v>91</v>
      </c>
      <c r="C5631" t="s">
        <v>10</v>
      </c>
      <c r="D5631">
        <v>346</v>
      </c>
      <c r="E5631" t="s">
        <v>2086</v>
      </c>
      <c r="F5631">
        <v>1005</v>
      </c>
      <c r="G5631" t="s">
        <v>10</v>
      </c>
      <c r="H5631">
        <v>2005</v>
      </c>
      <c r="I5631" t="s">
        <v>10</v>
      </c>
      <c r="J5631">
        <v>3005</v>
      </c>
      <c r="K5631" t="s">
        <v>2087</v>
      </c>
      <c r="L5631">
        <v>0</v>
      </c>
      <c r="N5631" t="s">
        <v>372</v>
      </c>
      <c r="O5631">
        <v>1</v>
      </c>
      <c r="P5631">
        <v>703</v>
      </c>
      <c r="Q5631" t="s">
        <v>1207</v>
      </c>
      <c r="R5631" t="s">
        <v>201</v>
      </c>
      <c r="S5631">
        <v>1</v>
      </c>
      <c r="T5631">
        <v>1</v>
      </c>
      <c r="U5631">
        <v>130668</v>
      </c>
      <c r="V5631">
        <v>130668</v>
      </c>
    </row>
    <row r="5632" spans="1:22">
      <c r="A5632" t="s">
        <v>196</v>
      </c>
      <c r="B5632">
        <v>91</v>
      </c>
      <c r="C5632" t="s">
        <v>10</v>
      </c>
      <c r="D5632">
        <v>346</v>
      </c>
      <c r="E5632" t="s">
        <v>2086</v>
      </c>
      <c r="F5632">
        <v>1005</v>
      </c>
      <c r="G5632" t="s">
        <v>10</v>
      </c>
      <c r="H5632">
        <v>2005</v>
      </c>
      <c r="I5632" t="s">
        <v>10</v>
      </c>
      <c r="J5632">
        <v>3005</v>
      </c>
      <c r="K5632" t="s">
        <v>2087</v>
      </c>
      <c r="L5632">
        <v>0</v>
      </c>
      <c r="N5632" t="s">
        <v>372</v>
      </c>
      <c r="O5632">
        <v>1</v>
      </c>
      <c r="P5632">
        <v>703</v>
      </c>
      <c r="Q5632" t="s">
        <v>1207</v>
      </c>
      <c r="R5632" t="s">
        <v>201</v>
      </c>
      <c r="S5632">
        <v>2</v>
      </c>
      <c r="T5632">
        <v>1</v>
      </c>
      <c r="U5632">
        <v>75336</v>
      </c>
      <c r="V5632">
        <v>150672</v>
      </c>
    </row>
    <row r="5633" spans="1:22">
      <c r="A5633" t="s">
        <v>196</v>
      </c>
      <c r="B5633">
        <v>91</v>
      </c>
      <c r="C5633" t="s">
        <v>10</v>
      </c>
      <c r="D5633">
        <v>346</v>
      </c>
      <c r="E5633" t="s">
        <v>2086</v>
      </c>
      <c r="F5633">
        <v>1005</v>
      </c>
      <c r="G5633" t="s">
        <v>10</v>
      </c>
      <c r="H5633">
        <v>2005</v>
      </c>
      <c r="I5633" t="s">
        <v>10</v>
      </c>
      <c r="J5633">
        <v>3005</v>
      </c>
      <c r="K5633" t="s">
        <v>2087</v>
      </c>
      <c r="L5633">
        <v>0</v>
      </c>
      <c r="N5633" t="s">
        <v>341</v>
      </c>
      <c r="O5633">
        <v>1</v>
      </c>
      <c r="P5633">
        <v>702</v>
      </c>
      <c r="Q5633" t="s">
        <v>1670</v>
      </c>
      <c r="R5633" t="s">
        <v>201</v>
      </c>
      <c r="S5633">
        <v>2</v>
      </c>
      <c r="T5633">
        <v>1</v>
      </c>
      <c r="U5633">
        <v>77640</v>
      </c>
      <c r="V5633">
        <v>155280</v>
      </c>
    </row>
    <row r="5634" spans="1:22">
      <c r="A5634" t="s">
        <v>196</v>
      </c>
      <c r="B5634">
        <v>91</v>
      </c>
      <c r="C5634" t="s">
        <v>10</v>
      </c>
      <c r="D5634">
        <v>346</v>
      </c>
      <c r="E5634" t="s">
        <v>2086</v>
      </c>
      <c r="F5634">
        <v>1005</v>
      </c>
      <c r="G5634" t="s">
        <v>10</v>
      </c>
      <c r="H5634">
        <v>2005</v>
      </c>
      <c r="I5634" t="s">
        <v>10</v>
      </c>
      <c r="J5634">
        <v>3005</v>
      </c>
      <c r="K5634" t="s">
        <v>2087</v>
      </c>
      <c r="L5634">
        <v>0</v>
      </c>
      <c r="N5634" t="s">
        <v>351</v>
      </c>
      <c r="O5634">
        <v>1</v>
      </c>
      <c r="P5634">
        <v>701</v>
      </c>
      <c r="Q5634" t="s">
        <v>2094</v>
      </c>
      <c r="R5634" t="s">
        <v>201</v>
      </c>
      <c r="S5634">
        <v>1</v>
      </c>
      <c r="T5634">
        <v>1</v>
      </c>
      <c r="U5634">
        <v>108576</v>
      </c>
      <c r="V5634">
        <v>108576</v>
      </c>
    </row>
    <row r="5635" spans="1:22">
      <c r="A5635" t="s">
        <v>196</v>
      </c>
      <c r="B5635">
        <v>91</v>
      </c>
      <c r="C5635" t="s">
        <v>10</v>
      </c>
      <c r="D5635">
        <v>346</v>
      </c>
      <c r="E5635" t="s">
        <v>2086</v>
      </c>
      <c r="F5635">
        <v>1005</v>
      </c>
      <c r="G5635" t="s">
        <v>10</v>
      </c>
      <c r="H5635">
        <v>2005</v>
      </c>
      <c r="I5635" t="s">
        <v>10</v>
      </c>
      <c r="J5635">
        <v>3005</v>
      </c>
      <c r="K5635" t="s">
        <v>2087</v>
      </c>
      <c r="L5635">
        <v>0</v>
      </c>
      <c r="N5635" t="s">
        <v>622</v>
      </c>
      <c r="O5635">
        <v>1</v>
      </c>
      <c r="P5635">
        <v>694</v>
      </c>
      <c r="Q5635" t="s">
        <v>1006</v>
      </c>
      <c r="R5635" t="s">
        <v>201</v>
      </c>
      <c r="S5635">
        <v>2</v>
      </c>
      <c r="T5635">
        <v>1</v>
      </c>
      <c r="U5635">
        <v>90144</v>
      </c>
      <c r="V5635">
        <v>180288</v>
      </c>
    </row>
    <row r="5636" spans="1:22">
      <c r="A5636" t="s">
        <v>196</v>
      </c>
      <c r="B5636">
        <v>91</v>
      </c>
      <c r="C5636" t="s">
        <v>10</v>
      </c>
      <c r="D5636">
        <v>346</v>
      </c>
      <c r="E5636" t="s">
        <v>2086</v>
      </c>
      <c r="F5636">
        <v>1005</v>
      </c>
      <c r="G5636" t="s">
        <v>10</v>
      </c>
      <c r="H5636">
        <v>2005</v>
      </c>
      <c r="I5636" t="s">
        <v>10</v>
      </c>
      <c r="J5636">
        <v>3005</v>
      </c>
      <c r="K5636" t="s">
        <v>2087</v>
      </c>
      <c r="L5636">
        <v>0</v>
      </c>
      <c r="N5636" t="s">
        <v>249</v>
      </c>
      <c r="O5636">
        <v>10</v>
      </c>
      <c r="P5636">
        <v>676</v>
      </c>
      <c r="Q5636" t="s">
        <v>2095</v>
      </c>
      <c r="R5636" t="s">
        <v>201</v>
      </c>
      <c r="S5636">
        <v>1</v>
      </c>
      <c r="T5636">
        <v>1</v>
      </c>
      <c r="U5636">
        <v>89112</v>
      </c>
      <c r="V5636">
        <v>89112</v>
      </c>
    </row>
    <row r="5637" spans="1:22">
      <c r="A5637" t="s">
        <v>196</v>
      </c>
      <c r="B5637">
        <v>91</v>
      </c>
      <c r="C5637" t="s">
        <v>10</v>
      </c>
      <c r="D5637">
        <v>346</v>
      </c>
      <c r="E5637" t="s">
        <v>2086</v>
      </c>
      <c r="F5637">
        <v>1005</v>
      </c>
      <c r="G5637" t="s">
        <v>10</v>
      </c>
      <c r="H5637">
        <v>2005</v>
      </c>
      <c r="I5637" t="s">
        <v>10</v>
      </c>
      <c r="J5637">
        <v>3005</v>
      </c>
      <c r="K5637" t="s">
        <v>2087</v>
      </c>
      <c r="L5637">
        <v>0</v>
      </c>
      <c r="N5637" t="s">
        <v>274</v>
      </c>
      <c r="O5637">
        <v>0</v>
      </c>
      <c r="P5637">
        <v>674</v>
      </c>
      <c r="Q5637" t="s">
        <v>2096</v>
      </c>
      <c r="R5637" t="s">
        <v>201</v>
      </c>
      <c r="S5637">
        <v>1</v>
      </c>
      <c r="T5637">
        <v>1</v>
      </c>
      <c r="U5637">
        <v>153384</v>
      </c>
      <c r="V5637">
        <v>153384</v>
      </c>
    </row>
    <row r="5638" spans="1:22">
      <c r="A5638" t="s">
        <v>196</v>
      </c>
      <c r="B5638">
        <v>91</v>
      </c>
      <c r="C5638" t="s">
        <v>10</v>
      </c>
      <c r="D5638">
        <v>346</v>
      </c>
      <c r="E5638" t="s">
        <v>2086</v>
      </c>
      <c r="F5638">
        <v>1005</v>
      </c>
      <c r="G5638" t="s">
        <v>10</v>
      </c>
      <c r="H5638">
        <v>2005</v>
      </c>
      <c r="I5638" t="s">
        <v>10</v>
      </c>
      <c r="J5638">
        <v>3005</v>
      </c>
      <c r="K5638" t="s">
        <v>2087</v>
      </c>
      <c r="L5638">
        <v>0</v>
      </c>
      <c r="N5638" t="s">
        <v>392</v>
      </c>
      <c r="O5638">
        <v>3</v>
      </c>
      <c r="P5638">
        <v>642</v>
      </c>
      <c r="Q5638" t="s">
        <v>2097</v>
      </c>
      <c r="R5638" t="s">
        <v>201</v>
      </c>
      <c r="S5638">
        <v>1</v>
      </c>
      <c r="T5638">
        <v>1</v>
      </c>
      <c r="U5638">
        <v>130668</v>
      </c>
      <c r="V5638">
        <v>130668</v>
      </c>
    </row>
    <row r="5639" spans="1:22">
      <c r="A5639" t="s">
        <v>196</v>
      </c>
      <c r="B5639">
        <v>91</v>
      </c>
      <c r="C5639" t="s">
        <v>10</v>
      </c>
      <c r="D5639">
        <v>346</v>
      </c>
      <c r="E5639" t="s">
        <v>2086</v>
      </c>
      <c r="F5639">
        <v>1005</v>
      </c>
      <c r="G5639" t="s">
        <v>10</v>
      </c>
      <c r="H5639">
        <v>2005</v>
      </c>
      <c r="I5639" t="s">
        <v>10</v>
      </c>
      <c r="J5639">
        <v>3005</v>
      </c>
      <c r="K5639" t="s">
        <v>2087</v>
      </c>
      <c r="L5639">
        <v>0</v>
      </c>
      <c r="N5639" t="s">
        <v>356</v>
      </c>
      <c r="O5639">
        <v>5</v>
      </c>
      <c r="P5639">
        <v>579</v>
      </c>
      <c r="Q5639" t="s">
        <v>2098</v>
      </c>
      <c r="R5639" t="s">
        <v>201</v>
      </c>
      <c r="S5639">
        <v>1</v>
      </c>
      <c r="T5639">
        <v>1</v>
      </c>
      <c r="U5639">
        <v>129636</v>
      </c>
      <c r="V5639">
        <v>129636</v>
      </c>
    </row>
    <row r="5640" spans="1:22">
      <c r="A5640" t="s">
        <v>196</v>
      </c>
      <c r="B5640">
        <v>91</v>
      </c>
      <c r="C5640" t="s">
        <v>10</v>
      </c>
      <c r="D5640">
        <v>346</v>
      </c>
      <c r="E5640" t="s">
        <v>2086</v>
      </c>
      <c r="F5640">
        <v>1005</v>
      </c>
      <c r="G5640" t="s">
        <v>10</v>
      </c>
      <c r="H5640">
        <v>2005</v>
      </c>
      <c r="I5640" t="s">
        <v>10</v>
      </c>
      <c r="J5640">
        <v>3005</v>
      </c>
      <c r="K5640" t="s">
        <v>2087</v>
      </c>
      <c r="L5640">
        <v>0</v>
      </c>
      <c r="N5640" t="s">
        <v>297</v>
      </c>
      <c r="O5640">
        <v>20</v>
      </c>
      <c r="P5640">
        <v>531</v>
      </c>
      <c r="Q5640" t="s">
        <v>2099</v>
      </c>
      <c r="R5640" t="s">
        <v>201</v>
      </c>
      <c r="S5640">
        <v>1</v>
      </c>
      <c r="T5640">
        <v>1</v>
      </c>
      <c r="U5640">
        <v>111000</v>
      </c>
      <c r="V5640">
        <v>111000</v>
      </c>
    </row>
    <row r="5641" spans="1:22">
      <c r="A5641" t="s">
        <v>196</v>
      </c>
      <c r="B5641">
        <v>91</v>
      </c>
      <c r="C5641" t="s">
        <v>10</v>
      </c>
      <c r="D5641">
        <v>346</v>
      </c>
      <c r="E5641" t="s">
        <v>2086</v>
      </c>
      <c r="F5641">
        <v>1005</v>
      </c>
      <c r="G5641" t="s">
        <v>10</v>
      </c>
      <c r="H5641">
        <v>2005</v>
      </c>
      <c r="I5641" t="s">
        <v>10</v>
      </c>
      <c r="J5641">
        <v>3005</v>
      </c>
      <c r="K5641" t="s">
        <v>2087</v>
      </c>
      <c r="L5641">
        <v>0</v>
      </c>
      <c r="N5641" t="s">
        <v>281</v>
      </c>
      <c r="O5641">
        <v>20</v>
      </c>
      <c r="P5641">
        <v>529</v>
      </c>
      <c r="Q5641" t="s">
        <v>2100</v>
      </c>
      <c r="R5641" t="s">
        <v>201</v>
      </c>
      <c r="S5641">
        <v>1</v>
      </c>
      <c r="T5641">
        <v>1</v>
      </c>
      <c r="U5641">
        <v>89112</v>
      </c>
      <c r="V5641">
        <v>89112</v>
      </c>
    </row>
    <row r="5642" spans="1:22">
      <c r="A5642" t="s">
        <v>196</v>
      </c>
      <c r="B5642">
        <v>91</v>
      </c>
      <c r="C5642" t="s">
        <v>10</v>
      </c>
      <c r="D5642">
        <v>346</v>
      </c>
      <c r="E5642" t="s">
        <v>2086</v>
      </c>
      <c r="F5642">
        <v>1005</v>
      </c>
      <c r="G5642" t="s">
        <v>10</v>
      </c>
      <c r="H5642">
        <v>2005</v>
      </c>
      <c r="I5642" t="s">
        <v>10</v>
      </c>
      <c r="J5642">
        <v>3005</v>
      </c>
      <c r="K5642" t="s">
        <v>2087</v>
      </c>
      <c r="L5642">
        <v>0</v>
      </c>
      <c r="N5642" t="s">
        <v>297</v>
      </c>
      <c r="O5642">
        <v>20</v>
      </c>
      <c r="P5642">
        <v>511</v>
      </c>
      <c r="Q5642" t="s">
        <v>2101</v>
      </c>
      <c r="R5642" t="s">
        <v>201</v>
      </c>
      <c r="S5642">
        <v>1</v>
      </c>
      <c r="T5642">
        <v>1</v>
      </c>
      <c r="U5642">
        <v>111000</v>
      </c>
      <c r="V5642">
        <v>111000</v>
      </c>
    </row>
    <row r="5643" spans="1:22">
      <c r="A5643" t="s">
        <v>196</v>
      </c>
      <c r="B5643">
        <v>91</v>
      </c>
      <c r="C5643" t="s">
        <v>10</v>
      </c>
      <c r="D5643">
        <v>346</v>
      </c>
      <c r="E5643" t="s">
        <v>2086</v>
      </c>
      <c r="F5643">
        <v>1005</v>
      </c>
      <c r="G5643" t="s">
        <v>10</v>
      </c>
      <c r="H5643">
        <v>2005</v>
      </c>
      <c r="I5643" t="s">
        <v>10</v>
      </c>
      <c r="J5643">
        <v>3005</v>
      </c>
      <c r="K5643" t="s">
        <v>2087</v>
      </c>
      <c r="L5643">
        <v>0</v>
      </c>
      <c r="N5643" t="s">
        <v>245</v>
      </c>
      <c r="O5643">
        <v>20</v>
      </c>
      <c r="P5643">
        <v>510</v>
      </c>
      <c r="Q5643" t="s">
        <v>2102</v>
      </c>
      <c r="R5643" t="s">
        <v>201</v>
      </c>
      <c r="S5643">
        <v>1</v>
      </c>
      <c r="T5643">
        <v>1</v>
      </c>
      <c r="U5643">
        <v>135000</v>
      </c>
      <c r="V5643">
        <v>135000</v>
      </c>
    </row>
    <row r="5644" spans="1:22">
      <c r="A5644" t="s">
        <v>196</v>
      </c>
      <c r="B5644">
        <v>91</v>
      </c>
      <c r="C5644" t="s">
        <v>10</v>
      </c>
      <c r="D5644">
        <v>346</v>
      </c>
      <c r="E5644" t="s">
        <v>2086</v>
      </c>
      <c r="F5644">
        <v>1005</v>
      </c>
      <c r="G5644" t="s">
        <v>10</v>
      </c>
      <c r="H5644">
        <v>2005</v>
      </c>
      <c r="I5644" t="s">
        <v>10</v>
      </c>
      <c r="J5644">
        <v>3005</v>
      </c>
      <c r="K5644" t="s">
        <v>2087</v>
      </c>
      <c r="L5644">
        <v>0</v>
      </c>
      <c r="N5644" t="s">
        <v>809</v>
      </c>
      <c r="O5644">
        <v>1</v>
      </c>
      <c r="P5644">
        <v>460</v>
      </c>
      <c r="Q5644" t="s">
        <v>810</v>
      </c>
      <c r="R5644" t="s">
        <v>201</v>
      </c>
      <c r="S5644">
        <v>1</v>
      </c>
      <c r="T5644">
        <v>1</v>
      </c>
      <c r="U5644">
        <v>65112</v>
      </c>
      <c r="V5644">
        <v>65112</v>
      </c>
    </row>
    <row r="5645" spans="1:22">
      <c r="A5645" t="s">
        <v>196</v>
      </c>
      <c r="B5645">
        <v>91</v>
      </c>
      <c r="C5645" t="s">
        <v>10</v>
      </c>
      <c r="D5645">
        <v>346</v>
      </c>
      <c r="E5645" t="s">
        <v>2086</v>
      </c>
      <c r="F5645">
        <v>1005</v>
      </c>
      <c r="G5645" t="s">
        <v>10</v>
      </c>
      <c r="H5645">
        <v>2005</v>
      </c>
      <c r="I5645" t="s">
        <v>10</v>
      </c>
      <c r="J5645">
        <v>3005</v>
      </c>
      <c r="K5645" t="s">
        <v>2087</v>
      </c>
      <c r="L5645">
        <v>0</v>
      </c>
      <c r="N5645" t="s">
        <v>809</v>
      </c>
      <c r="O5645">
        <v>1</v>
      </c>
      <c r="P5645">
        <v>460</v>
      </c>
      <c r="Q5645" t="s">
        <v>810</v>
      </c>
      <c r="R5645" t="s">
        <v>201</v>
      </c>
      <c r="S5645">
        <v>1</v>
      </c>
      <c r="T5645">
        <v>1</v>
      </c>
      <c r="U5645">
        <v>56124</v>
      </c>
      <c r="V5645">
        <v>56124</v>
      </c>
    </row>
    <row r="5646" spans="1:22">
      <c r="A5646" t="s">
        <v>196</v>
      </c>
      <c r="B5646">
        <v>91</v>
      </c>
      <c r="C5646" t="s">
        <v>10</v>
      </c>
      <c r="D5646">
        <v>346</v>
      </c>
      <c r="E5646" t="s">
        <v>2086</v>
      </c>
      <c r="F5646">
        <v>1005</v>
      </c>
      <c r="G5646" t="s">
        <v>10</v>
      </c>
      <c r="H5646">
        <v>2005</v>
      </c>
      <c r="I5646" t="s">
        <v>10</v>
      </c>
      <c r="J5646">
        <v>3005</v>
      </c>
      <c r="K5646" t="s">
        <v>2087</v>
      </c>
      <c r="L5646">
        <v>0</v>
      </c>
      <c r="N5646" t="s">
        <v>1007</v>
      </c>
      <c r="O5646">
        <v>1</v>
      </c>
      <c r="P5646">
        <v>447</v>
      </c>
      <c r="Q5646" t="s">
        <v>2103</v>
      </c>
      <c r="R5646" t="s">
        <v>201</v>
      </c>
      <c r="S5646">
        <v>1</v>
      </c>
      <c r="T5646">
        <v>1</v>
      </c>
      <c r="U5646">
        <v>44496</v>
      </c>
      <c r="V5646">
        <v>44496</v>
      </c>
    </row>
    <row r="5647" spans="1:22">
      <c r="A5647" t="s">
        <v>196</v>
      </c>
      <c r="B5647">
        <v>91</v>
      </c>
      <c r="C5647" t="s">
        <v>10</v>
      </c>
      <c r="D5647">
        <v>346</v>
      </c>
      <c r="E5647" t="s">
        <v>2086</v>
      </c>
      <c r="F5647">
        <v>1005</v>
      </c>
      <c r="G5647" t="s">
        <v>10</v>
      </c>
      <c r="H5647">
        <v>2005</v>
      </c>
      <c r="I5647" t="s">
        <v>10</v>
      </c>
      <c r="J5647">
        <v>3005</v>
      </c>
      <c r="K5647" t="s">
        <v>2087</v>
      </c>
      <c r="L5647">
        <v>0</v>
      </c>
      <c r="N5647" t="s">
        <v>351</v>
      </c>
      <c r="O5647">
        <v>1</v>
      </c>
      <c r="P5647" t="s">
        <v>352</v>
      </c>
      <c r="Q5647" t="s">
        <v>353</v>
      </c>
      <c r="R5647" t="s">
        <v>201</v>
      </c>
      <c r="S5647">
        <v>3</v>
      </c>
      <c r="T5647">
        <v>1</v>
      </c>
      <c r="U5647">
        <v>108576</v>
      </c>
      <c r="V5647">
        <v>325728</v>
      </c>
    </row>
    <row r="5648" spans="1:22">
      <c r="A5648" t="s">
        <v>196</v>
      </c>
      <c r="B5648">
        <v>91</v>
      </c>
      <c r="C5648" t="s">
        <v>10</v>
      </c>
      <c r="D5648">
        <v>346</v>
      </c>
      <c r="E5648" t="s">
        <v>2086</v>
      </c>
      <c r="F5648">
        <v>1005</v>
      </c>
      <c r="G5648" t="s">
        <v>10</v>
      </c>
      <c r="H5648">
        <v>2005</v>
      </c>
      <c r="I5648" t="s">
        <v>10</v>
      </c>
      <c r="J5648">
        <v>3005</v>
      </c>
      <c r="K5648" t="s">
        <v>2087</v>
      </c>
      <c r="L5648">
        <v>0</v>
      </c>
      <c r="N5648" t="s">
        <v>351</v>
      </c>
      <c r="O5648">
        <v>1</v>
      </c>
      <c r="P5648" t="s">
        <v>352</v>
      </c>
      <c r="Q5648" t="s">
        <v>353</v>
      </c>
      <c r="R5648" t="s">
        <v>201</v>
      </c>
      <c r="S5648">
        <v>1</v>
      </c>
      <c r="T5648">
        <v>1</v>
      </c>
      <c r="U5648">
        <v>62544</v>
      </c>
      <c r="V5648">
        <v>62544</v>
      </c>
    </row>
    <row r="5649" spans="1:22">
      <c r="A5649" t="s">
        <v>196</v>
      </c>
      <c r="B5649">
        <v>91</v>
      </c>
      <c r="C5649" t="s">
        <v>10</v>
      </c>
      <c r="D5649">
        <v>346</v>
      </c>
      <c r="E5649" t="s">
        <v>2086</v>
      </c>
      <c r="F5649">
        <v>1005</v>
      </c>
      <c r="G5649" t="s">
        <v>10</v>
      </c>
      <c r="H5649">
        <v>2005</v>
      </c>
      <c r="I5649" t="s">
        <v>10</v>
      </c>
      <c r="J5649">
        <v>3005</v>
      </c>
      <c r="K5649" t="s">
        <v>2087</v>
      </c>
      <c r="L5649">
        <v>0</v>
      </c>
      <c r="N5649" t="s">
        <v>622</v>
      </c>
      <c r="O5649">
        <v>1</v>
      </c>
      <c r="P5649" t="s">
        <v>667</v>
      </c>
      <c r="Q5649" t="s">
        <v>205</v>
      </c>
      <c r="R5649" t="s">
        <v>201</v>
      </c>
      <c r="S5649">
        <v>1</v>
      </c>
      <c r="T5649">
        <v>1</v>
      </c>
      <c r="U5649">
        <v>71436</v>
      </c>
      <c r="V5649">
        <v>71436</v>
      </c>
    </row>
    <row r="5650" spans="1:22">
      <c r="A5650" t="s">
        <v>196</v>
      </c>
      <c r="B5650">
        <v>91</v>
      </c>
      <c r="C5650" t="s">
        <v>10</v>
      </c>
      <c r="D5650">
        <v>346</v>
      </c>
      <c r="E5650" t="s">
        <v>2086</v>
      </c>
      <c r="F5650">
        <v>1005</v>
      </c>
      <c r="G5650" t="s">
        <v>10</v>
      </c>
      <c r="H5650">
        <v>2005</v>
      </c>
      <c r="I5650" t="s">
        <v>10</v>
      </c>
      <c r="J5650">
        <v>3005</v>
      </c>
      <c r="K5650" t="s">
        <v>2087</v>
      </c>
      <c r="L5650">
        <v>0</v>
      </c>
      <c r="N5650" t="s">
        <v>622</v>
      </c>
      <c r="O5650">
        <v>1</v>
      </c>
      <c r="P5650" t="s">
        <v>667</v>
      </c>
      <c r="Q5650" t="s">
        <v>205</v>
      </c>
      <c r="R5650" t="s">
        <v>201</v>
      </c>
      <c r="S5650">
        <v>1</v>
      </c>
      <c r="T5650">
        <v>1</v>
      </c>
      <c r="U5650">
        <v>56124</v>
      </c>
      <c r="V5650">
        <v>56124</v>
      </c>
    </row>
    <row r="5651" spans="1:22">
      <c r="A5651" t="s">
        <v>196</v>
      </c>
      <c r="B5651">
        <v>91</v>
      </c>
      <c r="C5651" t="s">
        <v>10</v>
      </c>
      <c r="D5651">
        <v>346</v>
      </c>
      <c r="E5651" t="s">
        <v>2086</v>
      </c>
      <c r="F5651">
        <v>1005</v>
      </c>
      <c r="G5651" t="s">
        <v>10</v>
      </c>
      <c r="H5651">
        <v>2005</v>
      </c>
      <c r="I5651" t="s">
        <v>10</v>
      </c>
      <c r="J5651">
        <v>3005</v>
      </c>
      <c r="K5651" t="s">
        <v>2087</v>
      </c>
      <c r="L5651">
        <v>0</v>
      </c>
      <c r="N5651" t="s">
        <v>622</v>
      </c>
      <c r="O5651">
        <v>1</v>
      </c>
      <c r="P5651" t="s">
        <v>667</v>
      </c>
      <c r="Q5651" t="s">
        <v>205</v>
      </c>
      <c r="R5651" t="s">
        <v>201</v>
      </c>
      <c r="S5651">
        <v>1</v>
      </c>
      <c r="T5651">
        <v>1</v>
      </c>
      <c r="U5651">
        <v>53532</v>
      </c>
      <c r="V5651">
        <v>53532</v>
      </c>
    </row>
    <row r="5652" spans="1:22">
      <c r="A5652" t="s">
        <v>196</v>
      </c>
      <c r="B5652">
        <v>91</v>
      </c>
      <c r="C5652" t="s">
        <v>10</v>
      </c>
      <c r="D5652">
        <v>346</v>
      </c>
      <c r="E5652" t="s">
        <v>2086</v>
      </c>
      <c r="F5652">
        <v>1005</v>
      </c>
      <c r="G5652" t="s">
        <v>10</v>
      </c>
      <c r="H5652">
        <v>2005</v>
      </c>
      <c r="I5652" t="s">
        <v>10</v>
      </c>
      <c r="J5652">
        <v>3005</v>
      </c>
      <c r="K5652" t="s">
        <v>2087</v>
      </c>
      <c r="L5652">
        <v>0</v>
      </c>
      <c r="N5652" t="s">
        <v>274</v>
      </c>
      <c r="O5652">
        <v>9</v>
      </c>
      <c r="P5652">
        <v>313</v>
      </c>
      <c r="Q5652" t="s">
        <v>605</v>
      </c>
      <c r="R5652" t="s">
        <v>201</v>
      </c>
      <c r="S5652">
        <v>1</v>
      </c>
      <c r="T5652">
        <v>1</v>
      </c>
      <c r="U5652">
        <v>146808</v>
      </c>
      <c r="V5652">
        <v>146808</v>
      </c>
    </row>
    <row r="5653" spans="1:22">
      <c r="A5653" t="s">
        <v>196</v>
      </c>
      <c r="B5653">
        <v>91</v>
      </c>
      <c r="C5653" t="s">
        <v>10</v>
      </c>
      <c r="D5653">
        <v>346</v>
      </c>
      <c r="E5653" t="s">
        <v>2086</v>
      </c>
      <c r="F5653">
        <v>1005</v>
      </c>
      <c r="G5653" t="s">
        <v>10</v>
      </c>
      <c r="H5653">
        <v>2005</v>
      </c>
      <c r="I5653" t="s">
        <v>10</v>
      </c>
      <c r="J5653">
        <v>3005</v>
      </c>
      <c r="K5653" t="s">
        <v>2087</v>
      </c>
      <c r="L5653">
        <v>0</v>
      </c>
      <c r="N5653" t="s">
        <v>274</v>
      </c>
      <c r="O5653">
        <v>9</v>
      </c>
      <c r="P5653">
        <v>313</v>
      </c>
      <c r="Q5653" t="s">
        <v>605</v>
      </c>
      <c r="R5653" t="s">
        <v>201</v>
      </c>
      <c r="S5653">
        <v>1</v>
      </c>
      <c r="T5653">
        <v>1</v>
      </c>
      <c r="U5653">
        <v>137532</v>
      </c>
      <c r="V5653">
        <v>137532</v>
      </c>
    </row>
    <row r="5654" spans="1:22">
      <c r="A5654" t="s">
        <v>196</v>
      </c>
      <c r="B5654">
        <v>91</v>
      </c>
      <c r="C5654" t="s">
        <v>10</v>
      </c>
      <c r="D5654">
        <v>346</v>
      </c>
      <c r="E5654" t="s">
        <v>2086</v>
      </c>
      <c r="F5654">
        <v>1005</v>
      </c>
      <c r="G5654" t="s">
        <v>10</v>
      </c>
      <c r="H5654">
        <v>2005</v>
      </c>
      <c r="I5654" t="s">
        <v>10</v>
      </c>
      <c r="J5654">
        <v>3005</v>
      </c>
      <c r="K5654" t="s">
        <v>2087</v>
      </c>
      <c r="L5654">
        <v>0</v>
      </c>
      <c r="N5654" t="s">
        <v>341</v>
      </c>
      <c r="O5654">
        <v>1</v>
      </c>
      <c r="P5654">
        <v>308</v>
      </c>
      <c r="Q5654" t="s">
        <v>355</v>
      </c>
      <c r="R5654" t="s">
        <v>201</v>
      </c>
      <c r="S5654">
        <v>3</v>
      </c>
      <c r="T5654">
        <v>1</v>
      </c>
      <c r="U5654">
        <v>119100</v>
      </c>
      <c r="V5654">
        <v>357300</v>
      </c>
    </row>
    <row r="5655" spans="1:22">
      <c r="A5655" t="s">
        <v>196</v>
      </c>
      <c r="B5655">
        <v>91</v>
      </c>
      <c r="C5655" t="s">
        <v>10</v>
      </c>
      <c r="D5655">
        <v>346</v>
      </c>
      <c r="E5655" t="s">
        <v>2086</v>
      </c>
      <c r="F5655">
        <v>1005</v>
      </c>
      <c r="G5655" t="s">
        <v>10</v>
      </c>
      <c r="H5655">
        <v>2005</v>
      </c>
      <c r="I5655" t="s">
        <v>10</v>
      </c>
      <c r="J5655">
        <v>3005</v>
      </c>
      <c r="K5655" t="s">
        <v>2087</v>
      </c>
      <c r="L5655">
        <v>0</v>
      </c>
      <c r="N5655" t="s">
        <v>274</v>
      </c>
      <c r="O5655">
        <v>0</v>
      </c>
      <c r="P5655">
        <v>118</v>
      </c>
      <c r="Q5655" t="s">
        <v>358</v>
      </c>
      <c r="R5655" t="s">
        <v>201</v>
      </c>
      <c r="S5655">
        <v>1</v>
      </c>
      <c r="T5655">
        <v>1</v>
      </c>
      <c r="U5655">
        <v>153384</v>
      </c>
      <c r="V5655">
        <v>153384</v>
      </c>
    </row>
    <row r="5656" spans="1:22">
      <c r="A5656" t="s">
        <v>196</v>
      </c>
      <c r="B5656">
        <v>91</v>
      </c>
      <c r="C5656" t="s">
        <v>10</v>
      </c>
      <c r="D5656">
        <v>346</v>
      </c>
      <c r="E5656" t="s">
        <v>2086</v>
      </c>
      <c r="F5656">
        <v>1005</v>
      </c>
      <c r="G5656" t="s">
        <v>10</v>
      </c>
      <c r="H5656">
        <v>2005</v>
      </c>
      <c r="I5656" t="s">
        <v>10</v>
      </c>
      <c r="J5656">
        <v>3005</v>
      </c>
      <c r="K5656" t="s">
        <v>2087</v>
      </c>
      <c r="L5656">
        <v>0</v>
      </c>
      <c r="N5656" t="s">
        <v>341</v>
      </c>
      <c r="O5656">
        <v>4</v>
      </c>
      <c r="P5656">
        <v>110</v>
      </c>
      <c r="Q5656" t="s">
        <v>359</v>
      </c>
      <c r="R5656" t="s">
        <v>201</v>
      </c>
      <c r="S5656">
        <v>3</v>
      </c>
      <c r="T5656">
        <v>1</v>
      </c>
      <c r="U5656">
        <v>119100</v>
      </c>
      <c r="V5656">
        <v>357300</v>
      </c>
    </row>
    <row r="5657" spans="1:22">
      <c r="A5657" t="s">
        <v>196</v>
      </c>
      <c r="B5657">
        <v>91</v>
      </c>
      <c r="C5657" t="s">
        <v>10</v>
      </c>
      <c r="D5657">
        <v>346</v>
      </c>
      <c r="E5657" t="s">
        <v>2086</v>
      </c>
      <c r="F5657">
        <v>1005</v>
      </c>
      <c r="G5657" t="s">
        <v>10</v>
      </c>
      <c r="H5657">
        <v>2005</v>
      </c>
      <c r="I5657" t="s">
        <v>10</v>
      </c>
      <c r="J5657">
        <v>3005</v>
      </c>
      <c r="K5657" t="s">
        <v>2087</v>
      </c>
      <c r="L5657">
        <v>0</v>
      </c>
      <c r="N5657" t="s">
        <v>360</v>
      </c>
      <c r="O5657">
        <v>1</v>
      </c>
      <c r="P5657">
        <v>109</v>
      </c>
      <c r="Q5657" t="s">
        <v>361</v>
      </c>
      <c r="R5657" t="s">
        <v>201</v>
      </c>
      <c r="S5657">
        <v>2</v>
      </c>
      <c r="T5657">
        <v>1</v>
      </c>
      <c r="U5657">
        <v>98928</v>
      </c>
      <c r="V5657">
        <v>197856</v>
      </c>
    </row>
    <row r="5658" spans="1:22">
      <c r="A5658" t="s">
        <v>196</v>
      </c>
      <c r="B5658">
        <v>91</v>
      </c>
      <c r="C5658" t="s">
        <v>10</v>
      </c>
      <c r="D5658">
        <v>346</v>
      </c>
      <c r="E5658" t="s">
        <v>2086</v>
      </c>
      <c r="F5658">
        <v>1005</v>
      </c>
      <c r="G5658" t="s">
        <v>10</v>
      </c>
      <c r="H5658">
        <v>2005</v>
      </c>
      <c r="I5658" t="s">
        <v>10</v>
      </c>
      <c r="J5658">
        <v>3005</v>
      </c>
      <c r="K5658" t="s">
        <v>2087</v>
      </c>
      <c r="L5658">
        <v>0</v>
      </c>
      <c r="N5658" t="s">
        <v>351</v>
      </c>
      <c r="O5658">
        <v>4</v>
      </c>
      <c r="P5658">
        <v>101</v>
      </c>
      <c r="Q5658" t="s">
        <v>1839</v>
      </c>
      <c r="R5658" t="s">
        <v>201</v>
      </c>
      <c r="S5658">
        <v>1</v>
      </c>
      <c r="T5658">
        <v>1</v>
      </c>
      <c r="U5658">
        <v>108576</v>
      </c>
      <c r="V5658">
        <v>108576</v>
      </c>
    </row>
    <row r="5659" spans="1:22">
      <c r="A5659" t="s">
        <v>196</v>
      </c>
      <c r="B5659">
        <v>91</v>
      </c>
      <c r="C5659" t="s">
        <v>10</v>
      </c>
      <c r="D5659">
        <v>346</v>
      </c>
      <c r="E5659" t="s">
        <v>2086</v>
      </c>
      <c r="F5659">
        <v>1005</v>
      </c>
      <c r="G5659" t="s">
        <v>10</v>
      </c>
      <c r="H5659">
        <v>2005</v>
      </c>
      <c r="I5659" t="s">
        <v>10</v>
      </c>
      <c r="J5659">
        <v>3005</v>
      </c>
      <c r="K5659" t="s">
        <v>2087</v>
      </c>
      <c r="L5659">
        <v>0</v>
      </c>
      <c r="N5659" t="s">
        <v>199</v>
      </c>
      <c r="O5659">
        <v>0</v>
      </c>
      <c r="P5659">
        <v>15</v>
      </c>
      <c r="Q5659" t="s">
        <v>264</v>
      </c>
      <c r="R5659" t="s">
        <v>201</v>
      </c>
      <c r="S5659">
        <v>0</v>
      </c>
      <c r="T5659">
        <v>0</v>
      </c>
      <c r="U5659">
        <v>81598</v>
      </c>
      <c r="V5659">
        <v>81598</v>
      </c>
    </row>
    <row r="5660" spans="1:22">
      <c r="A5660" t="s">
        <v>196</v>
      </c>
      <c r="B5660">
        <v>91</v>
      </c>
      <c r="C5660" t="s">
        <v>10</v>
      </c>
      <c r="D5660">
        <v>346</v>
      </c>
      <c r="E5660" t="s">
        <v>2086</v>
      </c>
      <c r="F5660">
        <v>1005</v>
      </c>
      <c r="G5660" t="s">
        <v>10</v>
      </c>
      <c r="H5660">
        <v>2005</v>
      </c>
      <c r="I5660" t="s">
        <v>10</v>
      </c>
      <c r="J5660">
        <v>3010</v>
      </c>
      <c r="K5660" t="s">
        <v>2104</v>
      </c>
      <c r="L5660">
        <v>0</v>
      </c>
      <c r="N5660" t="s">
        <v>261</v>
      </c>
      <c r="O5660">
        <v>20</v>
      </c>
      <c r="P5660">
        <v>1325</v>
      </c>
      <c r="Q5660" t="s">
        <v>2105</v>
      </c>
      <c r="R5660" t="s">
        <v>201</v>
      </c>
      <c r="S5660">
        <v>1</v>
      </c>
      <c r="T5660">
        <v>1</v>
      </c>
      <c r="U5660">
        <v>101628</v>
      </c>
      <c r="V5660">
        <v>101628</v>
      </c>
    </row>
    <row r="5661" spans="1:22">
      <c r="A5661" t="s">
        <v>196</v>
      </c>
      <c r="B5661">
        <v>91</v>
      </c>
      <c r="C5661" t="s">
        <v>10</v>
      </c>
      <c r="D5661">
        <v>346</v>
      </c>
      <c r="E5661" t="s">
        <v>2086</v>
      </c>
      <c r="F5661">
        <v>1005</v>
      </c>
      <c r="G5661" t="s">
        <v>10</v>
      </c>
      <c r="H5661">
        <v>2005</v>
      </c>
      <c r="I5661" t="s">
        <v>10</v>
      </c>
      <c r="J5661">
        <v>3010</v>
      </c>
      <c r="K5661" t="s">
        <v>2104</v>
      </c>
      <c r="L5661">
        <v>0</v>
      </c>
      <c r="N5661" t="s">
        <v>245</v>
      </c>
      <c r="O5661">
        <v>10</v>
      </c>
      <c r="P5661">
        <v>1130</v>
      </c>
      <c r="Q5661" t="s">
        <v>916</v>
      </c>
      <c r="R5661" t="s">
        <v>201</v>
      </c>
      <c r="S5661">
        <v>1</v>
      </c>
      <c r="T5661">
        <v>1</v>
      </c>
      <c r="U5661">
        <v>111000</v>
      </c>
      <c r="V5661">
        <v>111000</v>
      </c>
    </row>
    <row r="5662" spans="1:22">
      <c r="A5662" t="s">
        <v>196</v>
      </c>
      <c r="B5662">
        <v>91</v>
      </c>
      <c r="C5662" t="s">
        <v>10</v>
      </c>
      <c r="D5662">
        <v>346</v>
      </c>
      <c r="E5662" t="s">
        <v>2086</v>
      </c>
      <c r="F5662">
        <v>1005</v>
      </c>
      <c r="G5662" t="s">
        <v>10</v>
      </c>
      <c r="H5662">
        <v>2005</v>
      </c>
      <c r="I5662" t="s">
        <v>10</v>
      </c>
      <c r="J5662">
        <v>3010</v>
      </c>
      <c r="K5662" t="s">
        <v>2104</v>
      </c>
      <c r="L5662">
        <v>0</v>
      </c>
      <c r="N5662" t="s">
        <v>341</v>
      </c>
      <c r="O5662">
        <v>4</v>
      </c>
      <c r="P5662">
        <v>950</v>
      </c>
      <c r="Q5662" t="s">
        <v>2106</v>
      </c>
      <c r="R5662" t="s">
        <v>201</v>
      </c>
      <c r="S5662">
        <v>1</v>
      </c>
      <c r="T5662">
        <v>1</v>
      </c>
      <c r="U5662">
        <v>74172</v>
      </c>
      <c r="V5662">
        <v>74172</v>
      </c>
    </row>
    <row r="5663" spans="1:22">
      <c r="A5663" t="s">
        <v>196</v>
      </c>
      <c r="B5663">
        <v>91</v>
      </c>
      <c r="C5663" t="s">
        <v>10</v>
      </c>
      <c r="D5663">
        <v>346</v>
      </c>
      <c r="E5663" t="s">
        <v>2086</v>
      </c>
      <c r="F5663">
        <v>1005</v>
      </c>
      <c r="G5663" t="s">
        <v>10</v>
      </c>
      <c r="H5663">
        <v>2005</v>
      </c>
      <c r="I5663" t="s">
        <v>10</v>
      </c>
      <c r="J5663">
        <v>3010</v>
      </c>
      <c r="K5663" t="s">
        <v>2104</v>
      </c>
      <c r="L5663">
        <v>0</v>
      </c>
      <c r="N5663" t="s">
        <v>1003</v>
      </c>
      <c r="O5663">
        <v>10</v>
      </c>
      <c r="P5663">
        <v>840</v>
      </c>
      <c r="Q5663" t="s">
        <v>2107</v>
      </c>
      <c r="R5663" t="s">
        <v>201</v>
      </c>
      <c r="S5663">
        <v>1</v>
      </c>
      <c r="T5663">
        <v>1</v>
      </c>
      <c r="U5663">
        <v>80916</v>
      </c>
      <c r="V5663">
        <v>80916</v>
      </c>
    </row>
    <row r="5664" spans="1:22">
      <c r="A5664" t="s">
        <v>196</v>
      </c>
      <c r="B5664">
        <v>91</v>
      </c>
      <c r="C5664" t="s">
        <v>10</v>
      </c>
      <c r="D5664">
        <v>346</v>
      </c>
      <c r="E5664" t="s">
        <v>2086</v>
      </c>
      <c r="F5664">
        <v>1005</v>
      </c>
      <c r="G5664" t="s">
        <v>10</v>
      </c>
      <c r="H5664">
        <v>2005</v>
      </c>
      <c r="I5664" t="s">
        <v>10</v>
      </c>
      <c r="J5664">
        <v>3010</v>
      </c>
      <c r="K5664" t="s">
        <v>2104</v>
      </c>
      <c r="L5664">
        <v>0</v>
      </c>
      <c r="N5664" t="s">
        <v>255</v>
      </c>
      <c r="O5664">
        <v>1</v>
      </c>
      <c r="P5664">
        <v>729</v>
      </c>
      <c r="Q5664" t="s">
        <v>256</v>
      </c>
      <c r="R5664" t="s">
        <v>201</v>
      </c>
      <c r="S5664">
        <v>1</v>
      </c>
      <c r="T5664">
        <v>1</v>
      </c>
      <c r="U5664">
        <v>89244</v>
      </c>
      <c r="V5664">
        <v>89244</v>
      </c>
    </row>
    <row r="5665" spans="1:22">
      <c r="A5665" t="s">
        <v>196</v>
      </c>
      <c r="B5665">
        <v>91</v>
      </c>
      <c r="C5665" t="s">
        <v>10</v>
      </c>
      <c r="D5665">
        <v>346</v>
      </c>
      <c r="E5665" t="s">
        <v>2086</v>
      </c>
      <c r="F5665">
        <v>1005</v>
      </c>
      <c r="G5665" t="s">
        <v>10</v>
      </c>
      <c r="H5665">
        <v>2005</v>
      </c>
      <c r="I5665" t="s">
        <v>10</v>
      </c>
      <c r="J5665">
        <v>3010</v>
      </c>
      <c r="K5665" t="s">
        <v>2104</v>
      </c>
      <c r="L5665">
        <v>0</v>
      </c>
      <c r="N5665" t="s">
        <v>356</v>
      </c>
      <c r="O5665">
        <v>5</v>
      </c>
      <c r="P5665">
        <v>579</v>
      </c>
      <c r="Q5665" t="s">
        <v>2098</v>
      </c>
      <c r="R5665" t="s">
        <v>201</v>
      </c>
      <c r="S5665">
        <v>59</v>
      </c>
      <c r="T5665">
        <v>1</v>
      </c>
      <c r="U5665">
        <v>129636</v>
      </c>
      <c r="V5665">
        <v>7648524</v>
      </c>
    </row>
    <row r="5666" spans="1:22">
      <c r="A5666" t="s">
        <v>196</v>
      </c>
      <c r="B5666">
        <v>91</v>
      </c>
      <c r="C5666" t="s">
        <v>10</v>
      </c>
      <c r="D5666">
        <v>346</v>
      </c>
      <c r="E5666" t="s">
        <v>2086</v>
      </c>
      <c r="F5666">
        <v>1005</v>
      </c>
      <c r="G5666" t="s">
        <v>10</v>
      </c>
      <c r="H5666">
        <v>2005</v>
      </c>
      <c r="I5666" t="s">
        <v>10</v>
      </c>
      <c r="J5666">
        <v>3010</v>
      </c>
      <c r="K5666" t="s">
        <v>2104</v>
      </c>
      <c r="L5666">
        <v>0</v>
      </c>
      <c r="N5666" t="s">
        <v>356</v>
      </c>
      <c r="O5666">
        <v>5</v>
      </c>
      <c r="P5666">
        <v>579</v>
      </c>
      <c r="Q5666" t="s">
        <v>2098</v>
      </c>
      <c r="R5666" t="s">
        <v>201</v>
      </c>
      <c r="S5666">
        <v>4</v>
      </c>
      <c r="T5666">
        <v>1</v>
      </c>
      <c r="U5666">
        <v>122928</v>
      </c>
      <c r="V5666">
        <v>491712</v>
      </c>
    </row>
    <row r="5667" spans="1:22">
      <c r="A5667" t="s">
        <v>196</v>
      </c>
      <c r="B5667">
        <v>91</v>
      </c>
      <c r="C5667" t="s">
        <v>10</v>
      </c>
      <c r="D5667">
        <v>346</v>
      </c>
      <c r="E5667" t="s">
        <v>2086</v>
      </c>
      <c r="F5667">
        <v>1005</v>
      </c>
      <c r="G5667" t="s">
        <v>10</v>
      </c>
      <c r="H5667">
        <v>2005</v>
      </c>
      <c r="I5667" t="s">
        <v>10</v>
      </c>
      <c r="J5667">
        <v>3010</v>
      </c>
      <c r="K5667" t="s">
        <v>2104</v>
      </c>
      <c r="L5667">
        <v>0</v>
      </c>
      <c r="N5667" t="s">
        <v>356</v>
      </c>
      <c r="O5667">
        <v>5</v>
      </c>
      <c r="P5667">
        <v>579</v>
      </c>
      <c r="Q5667" t="s">
        <v>2098</v>
      </c>
      <c r="R5667" t="s">
        <v>201</v>
      </c>
      <c r="S5667">
        <v>3</v>
      </c>
      <c r="T5667">
        <v>1</v>
      </c>
      <c r="U5667">
        <v>117636</v>
      </c>
      <c r="V5667">
        <v>352908</v>
      </c>
    </row>
    <row r="5668" spans="1:22">
      <c r="A5668" t="s">
        <v>196</v>
      </c>
      <c r="B5668">
        <v>91</v>
      </c>
      <c r="C5668" t="s">
        <v>10</v>
      </c>
      <c r="D5668">
        <v>346</v>
      </c>
      <c r="E5668" t="s">
        <v>2086</v>
      </c>
      <c r="F5668">
        <v>1005</v>
      </c>
      <c r="G5668" t="s">
        <v>10</v>
      </c>
      <c r="H5668">
        <v>2005</v>
      </c>
      <c r="I5668" t="s">
        <v>10</v>
      </c>
      <c r="J5668">
        <v>3010</v>
      </c>
      <c r="K5668" t="s">
        <v>2104</v>
      </c>
      <c r="L5668">
        <v>0</v>
      </c>
      <c r="N5668" t="s">
        <v>356</v>
      </c>
      <c r="O5668">
        <v>5</v>
      </c>
      <c r="P5668">
        <v>579</v>
      </c>
      <c r="Q5668" t="s">
        <v>2098</v>
      </c>
      <c r="R5668" t="s">
        <v>201</v>
      </c>
      <c r="S5668">
        <v>2</v>
      </c>
      <c r="T5668">
        <v>1</v>
      </c>
      <c r="U5668">
        <v>112536</v>
      </c>
      <c r="V5668">
        <v>225072</v>
      </c>
    </row>
    <row r="5669" spans="1:22">
      <c r="A5669" t="s">
        <v>196</v>
      </c>
      <c r="B5669">
        <v>91</v>
      </c>
      <c r="C5669" t="s">
        <v>10</v>
      </c>
      <c r="D5669">
        <v>346</v>
      </c>
      <c r="E5669" t="s">
        <v>2086</v>
      </c>
      <c r="F5669">
        <v>1005</v>
      </c>
      <c r="G5669" t="s">
        <v>10</v>
      </c>
      <c r="H5669">
        <v>2005</v>
      </c>
      <c r="I5669" t="s">
        <v>10</v>
      </c>
      <c r="J5669">
        <v>3010</v>
      </c>
      <c r="K5669" t="s">
        <v>2104</v>
      </c>
      <c r="L5669">
        <v>0</v>
      </c>
      <c r="N5669" t="s">
        <v>356</v>
      </c>
      <c r="O5669">
        <v>5</v>
      </c>
      <c r="P5669">
        <v>579</v>
      </c>
      <c r="Q5669" t="s">
        <v>2098</v>
      </c>
      <c r="R5669" t="s">
        <v>201</v>
      </c>
      <c r="S5669">
        <v>5</v>
      </c>
      <c r="T5669">
        <v>1</v>
      </c>
      <c r="U5669">
        <v>107628</v>
      </c>
      <c r="V5669">
        <v>538140</v>
      </c>
    </row>
    <row r="5670" spans="1:22">
      <c r="A5670" t="s">
        <v>196</v>
      </c>
      <c r="B5670">
        <v>91</v>
      </c>
      <c r="C5670" t="s">
        <v>10</v>
      </c>
      <c r="D5670">
        <v>346</v>
      </c>
      <c r="E5670" t="s">
        <v>2086</v>
      </c>
      <c r="F5670">
        <v>1005</v>
      </c>
      <c r="G5670" t="s">
        <v>10</v>
      </c>
      <c r="H5670">
        <v>2005</v>
      </c>
      <c r="I5670" t="s">
        <v>10</v>
      </c>
      <c r="J5670">
        <v>3010</v>
      </c>
      <c r="K5670" t="s">
        <v>2104</v>
      </c>
      <c r="L5670">
        <v>0</v>
      </c>
      <c r="N5670" t="s">
        <v>356</v>
      </c>
      <c r="O5670">
        <v>5</v>
      </c>
      <c r="P5670">
        <v>579</v>
      </c>
      <c r="Q5670" t="s">
        <v>2098</v>
      </c>
      <c r="R5670" t="s">
        <v>201</v>
      </c>
      <c r="S5670">
        <v>9</v>
      </c>
      <c r="T5670">
        <v>1</v>
      </c>
      <c r="U5670">
        <v>102516</v>
      </c>
      <c r="V5670">
        <v>922644</v>
      </c>
    </row>
    <row r="5671" spans="1:22">
      <c r="A5671" t="s">
        <v>196</v>
      </c>
      <c r="B5671">
        <v>91</v>
      </c>
      <c r="C5671" t="s">
        <v>10</v>
      </c>
      <c r="D5671">
        <v>346</v>
      </c>
      <c r="E5671" t="s">
        <v>2086</v>
      </c>
      <c r="F5671">
        <v>1005</v>
      </c>
      <c r="G5671" t="s">
        <v>10</v>
      </c>
      <c r="H5671">
        <v>2005</v>
      </c>
      <c r="I5671" t="s">
        <v>10</v>
      </c>
      <c r="J5671">
        <v>3010</v>
      </c>
      <c r="K5671" t="s">
        <v>2104</v>
      </c>
      <c r="L5671">
        <v>0</v>
      </c>
      <c r="N5671" t="s">
        <v>356</v>
      </c>
      <c r="O5671">
        <v>5</v>
      </c>
      <c r="P5671">
        <v>579</v>
      </c>
      <c r="Q5671" t="s">
        <v>2098</v>
      </c>
      <c r="R5671" t="s">
        <v>201</v>
      </c>
      <c r="S5671">
        <v>2</v>
      </c>
      <c r="T5671">
        <v>1</v>
      </c>
      <c r="U5671">
        <v>92940</v>
      </c>
      <c r="V5671">
        <v>185880</v>
      </c>
    </row>
    <row r="5672" spans="1:22">
      <c r="A5672" t="s">
        <v>196</v>
      </c>
      <c r="B5672">
        <v>91</v>
      </c>
      <c r="C5672" t="s">
        <v>10</v>
      </c>
      <c r="D5672">
        <v>346</v>
      </c>
      <c r="E5672" t="s">
        <v>2086</v>
      </c>
      <c r="F5672">
        <v>1005</v>
      </c>
      <c r="G5672" t="s">
        <v>10</v>
      </c>
      <c r="H5672">
        <v>2005</v>
      </c>
      <c r="I5672" t="s">
        <v>10</v>
      </c>
      <c r="J5672">
        <v>3010</v>
      </c>
      <c r="K5672" t="s">
        <v>2104</v>
      </c>
      <c r="L5672">
        <v>0</v>
      </c>
      <c r="N5672" t="s">
        <v>356</v>
      </c>
      <c r="O5672">
        <v>5</v>
      </c>
      <c r="P5672">
        <v>579</v>
      </c>
      <c r="Q5672" t="s">
        <v>2098</v>
      </c>
      <c r="R5672" t="s">
        <v>201</v>
      </c>
      <c r="S5672">
        <v>1</v>
      </c>
      <c r="T5672">
        <v>1</v>
      </c>
      <c r="U5672">
        <v>90144</v>
      </c>
      <c r="V5672">
        <v>90144</v>
      </c>
    </row>
    <row r="5673" spans="1:22">
      <c r="A5673" t="s">
        <v>196</v>
      </c>
      <c r="B5673">
        <v>91</v>
      </c>
      <c r="C5673" t="s">
        <v>10</v>
      </c>
      <c r="D5673">
        <v>346</v>
      </c>
      <c r="E5673" t="s">
        <v>2086</v>
      </c>
      <c r="F5673">
        <v>1005</v>
      </c>
      <c r="G5673" t="s">
        <v>10</v>
      </c>
      <c r="H5673">
        <v>2005</v>
      </c>
      <c r="I5673" t="s">
        <v>10</v>
      </c>
      <c r="J5673">
        <v>3010</v>
      </c>
      <c r="K5673" t="s">
        <v>2104</v>
      </c>
      <c r="L5673">
        <v>0</v>
      </c>
      <c r="N5673" t="s">
        <v>356</v>
      </c>
      <c r="O5673">
        <v>4</v>
      </c>
      <c r="P5673">
        <v>576</v>
      </c>
      <c r="Q5673" t="s">
        <v>2108</v>
      </c>
      <c r="R5673" t="s">
        <v>201</v>
      </c>
      <c r="S5673">
        <v>1</v>
      </c>
      <c r="T5673">
        <v>1</v>
      </c>
      <c r="U5673">
        <v>102516</v>
      </c>
      <c r="V5673">
        <v>102516</v>
      </c>
    </row>
    <row r="5674" spans="1:22">
      <c r="A5674" t="s">
        <v>196</v>
      </c>
      <c r="B5674">
        <v>91</v>
      </c>
      <c r="C5674" t="s">
        <v>10</v>
      </c>
      <c r="D5674">
        <v>346</v>
      </c>
      <c r="E5674" t="s">
        <v>2086</v>
      </c>
      <c r="F5674">
        <v>1005</v>
      </c>
      <c r="G5674" t="s">
        <v>10</v>
      </c>
      <c r="H5674">
        <v>2005</v>
      </c>
      <c r="I5674" t="s">
        <v>10</v>
      </c>
      <c r="J5674">
        <v>3010</v>
      </c>
      <c r="K5674" t="s">
        <v>2104</v>
      </c>
      <c r="L5674">
        <v>0</v>
      </c>
      <c r="N5674" t="s">
        <v>2109</v>
      </c>
      <c r="O5674">
        <v>5</v>
      </c>
      <c r="P5674">
        <v>575</v>
      </c>
      <c r="Q5674" t="s">
        <v>2110</v>
      </c>
      <c r="R5674" t="s">
        <v>713</v>
      </c>
      <c r="S5674">
        <v>66804</v>
      </c>
      <c r="T5674">
        <v>0</v>
      </c>
      <c r="U5674">
        <v>32.299999999999997</v>
      </c>
      <c r="V5674">
        <v>2157769</v>
      </c>
    </row>
    <row r="5675" spans="1:22">
      <c r="A5675" t="s">
        <v>196</v>
      </c>
      <c r="B5675">
        <v>91</v>
      </c>
      <c r="C5675" t="s">
        <v>10</v>
      </c>
      <c r="D5675">
        <v>346</v>
      </c>
      <c r="E5675" t="s">
        <v>2086</v>
      </c>
      <c r="F5675">
        <v>1005</v>
      </c>
      <c r="G5675" t="s">
        <v>10</v>
      </c>
      <c r="H5675">
        <v>2005</v>
      </c>
      <c r="I5675" t="s">
        <v>10</v>
      </c>
      <c r="J5675">
        <v>3010</v>
      </c>
      <c r="K5675" t="s">
        <v>2104</v>
      </c>
      <c r="L5675">
        <v>0</v>
      </c>
      <c r="N5675" t="s">
        <v>688</v>
      </c>
      <c r="O5675">
        <v>5</v>
      </c>
      <c r="P5675">
        <v>574</v>
      </c>
      <c r="Q5675" t="s">
        <v>2111</v>
      </c>
      <c r="R5675" t="s">
        <v>201</v>
      </c>
      <c r="S5675">
        <v>38</v>
      </c>
      <c r="T5675">
        <v>1</v>
      </c>
      <c r="U5675">
        <v>118836</v>
      </c>
      <c r="V5675">
        <v>4515768</v>
      </c>
    </row>
    <row r="5676" spans="1:22">
      <c r="A5676" t="s">
        <v>196</v>
      </c>
      <c r="B5676">
        <v>91</v>
      </c>
      <c r="C5676" t="s">
        <v>10</v>
      </c>
      <c r="D5676">
        <v>346</v>
      </c>
      <c r="E5676" t="s">
        <v>2086</v>
      </c>
      <c r="F5676">
        <v>1005</v>
      </c>
      <c r="G5676" t="s">
        <v>10</v>
      </c>
      <c r="H5676">
        <v>2005</v>
      </c>
      <c r="I5676" t="s">
        <v>10</v>
      </c>
      <c r="J5676">
        <v>3010</v>
      </c>
      <c r="K5676" t="s">
        <v>2104</v>
      </c>
      <c r="L5676">
        <v>0</v>
      </c>
      <c r="N5676" t="s">
        <v>688</v>
      </c>
      <c r="O5676">
        <v>5</v>
      </c>
      <c r="P5676">
        <v>574</v>
      </c>
      <c r="Q5676" t="s">
        <v>2111</v>
      </c>
      <c r="R5676" t="s">
        <v>201</v>
      </c>
      <c r="S5676">
        <v>3</v>
      </c>
      <c r="T5676">
        <v>1</v>
      </c>
      <c r="U5676">
        <v>112536</v>
      </c>
      <c r="V5676">
        <v>337608</v>
      </c>
    </row>
    <row r="5677" spans="1:22">
      <c r="A5677" t="s">
        <v>196</v>
      </c>
      <c r="B5677">
        <v>91</v>
      </c>
      <c r="C5677" t="s">
        <v>10</v>
      </c>
      <c r="D5677">
        <v>346</v>
      </c>
      <c r="E5677" t="s">
        <v>2086</v>
      </c>
      <c r="F5677">
        <v>1005</v>
      </c>
      <c r="G5677" t="s">
        <v>10</v>
      </c>
      <c r="H5677">
        <v>2005</v>
      </c>
      <c r="I5677" t="s">
        <v>10</v>
      </c>
      <c r="J5677">
        <v>3010</v>
      </c>
      <c r="K5677" t="s">
        <v>2104</v>
      </c>
      <c r="L5677">
        <v>0</v>
      </c>
      <c r="N5677" t="s">
        <v>688</v>
      </c>
      <c r="O5677">
        <v>5</v>
      </c>
      <c r="P5677">
        <v>574</v>
      </c>
      <c r="Q5677" t="s">
        <v>2111</v>
      </c>
      <c r="R5677" t="s">
        <v>201</v>
      </c>
      <c r="S5677">
        <v>9</v>
      </c>
      <c r="T5677">
        <v>1</v>
      </c>
      <c r="U5677">
        <v>107628</v>
      </c>
      <c r="V5677">
        <v>968652</v>
      </c>
    </row>
    <row r="5678" spans="1:22">
      <c r="A5678" t="s">
        <v>196</v>
      </c>
      <c r="B5678">
        <v>91</v>
      </c>
      <c r="C5678" t="s">
        <v>10</v>
      </c>
      <c r="D5678">
        <v>346</v>
      </c>
      <c r="E5678" t="s">
        <v>2086</v>
      </c>
      <c r="F5678">
        <v>1005</v>
      </c>
      <c r="G5678" t="s">
        <v>10</v>
      </c>
      <c r="H5678">
        <v>2005</v>
      </c>
      <c r="I5678" t="s">
        <v>10</v>
      </c>
      <c r="J5678">
        <v>3010</v>
      </c>
      <c r="K5678" t="s">
        <v>2104</v>
      </c>
      <c r="L5678">
        <v>0</v>
      </c>
      <c r="N5678" t="s">
        <v>688</v>
      </c>
      <c r="O5678">
        <v>5</v>
      </c>
      <c r="P5678">
        <v>574</v>
      </c>
      <c r="Q5678" t="s">
        <v>2111</v>
      </c>
      <c r="R5678" t="s">
        <v>201</v>
      </c>
      <c r="S5678">
        <v>4</v>
      </c>
      <c r="T5678">
        <v>1</v>
      </c>
      <c r="U5678">
        <v>102516</v>
      </c>
      <c r="V5678">
        <v>410064</v>
      </c>
    </row>
    <row r="5679" spans="1:22">
      <c r="A5679" t="s">
        <v>196</v>
      </c>
      <c r="B5679">
        <v>91</v>
      </c>
      <c r="C5679" t="s">
        <v>10</v>
      </c>
      <c r="D5679">
        <v>346</v>
      </c>
      <c r="E5679" t="s">
        <v>2086</v>
      </c>
      <c r="F5679">
        <v>1005</v>
      </c>
      <c r="G5679" t="s">
        <v>10</v>
      </c>
      <c r="H5679">
        <v>2005</v>
      </c>
      <c r="I5679" t="s">
        <v>10</v>
      </c>
      <c r="J5679">
        <v>3010</v>
      </c>
      <c r="K5679" t="s">
        <v>2104</v>
      </c>
      <c r="L5679">
        <v>0</v>
      </c>
      <c r="N5679" t="s">
        <v>688</v>
      </c>
      <c r="O5679">
        <v>5</v>
      </c>
      <c r="P5679">
        <v>574</v>
      </c>
      <c r="Q5679" t="s">
        <v>2111</v>
      </c>
      <c r="R5679" t="s">
        <v>201</v>
      </c>
      <c r="S5679">
        <v>8</v>
      </c>
      <c r="T5679">
        <v>1</v>
      </c>
      <c r="U5679">
        <v>97488</v>
      </c>
      <c r="V5679">
        <v>779904</v>
      </c>
    </row>
    <row r="5680" spans="1:22">
      <c r="A5680" t="s">
        <v>196</v>
      </c>
      <c r="B5680">
        <v>91</v>
      </c>
      <c r="C5680" t="s">
        <v>10</v>
      </c>
      <c r="D5680">
        <v>346</v>
      </c>
      <c r="E5680" t="s">
        <v>2086</v>
      </c>
      <c r="F5680">
        <v>1005</v>
      </c>
      <c r="G5680" t="s">
        <v>10</v>
      </c>
      <c r="H5680">
        <v>2005</v>
      </c>
      <c r="I5680" t="s">
        <v>10</v>
      </c>
      <c r="J5680">
        <v>3010</v>
      </c>
      <c r="K5680" t="s">
        <v>2104</v>
      </c>
      <c r="L5680">
        <v>0</v>
      </c>
      <c r="N5680" t="s">
        <v>688</v>
      </c>
      <c r="O5680">
        <v>5</v>
      </c>
      <c r="P5680">
        <v>574</v>
      </c>
      <c r="Q5680" t="s">
        <v>2111</v>
      </c>
      <c r="R5680" t="s">
        <v>201</v>
      </c>
      <c r="S5680">
        <v>9</v>
      </c>
      <c r="T5680">
        <v>1</v>
      </c>
      <c r="U5680">
        <v>92940</v>
      </c>
      <c r="V5680">
        <v>836460</v>
      </c>
    </row>
    <row r="5681" spans="1:22">
      <c r="A5681" t="s">
        <v>196</v>
      </c>
      <c r="B5681">
        <v>91</v>
      </c>
      <c r="C5681" t="s">
        <v>10</v>
      </c>
      <c r="D5681">
        <v>346</v>
      </c>
      <c r="E5681" t="s">
        <v>2086</v>
      </c>
      <c r="F5681">
        <v>1005</v>
      </c>
      <c r="G5681" t="s">
        <v>10</v>
      </c>
      <c r="H5681">
        <v>2005</v>
      </c>
      <c r="I5681" t="s">
        <v>10</v>
      </c>
      <c r="J5681">
        <v>3010</v>
      </c>
      <c r="K5681" t="s">
        <v>2104</v>
      </c>
      <c r="L5681">
        <v>0</v>
      </c>
      <c r="N5681" t="s">
        <v>688</v>
      </c>
      <c r="O5681">
        <v>5</v>
      </c>
      <c r="P5681">
        <v>574</v>
      </c>
      <c r="Q5681" t="s">
        <v>2111</v>
      </c>
      <c r="R5681" t="s">
        <v>201</v>
      </c>
      <c r="S5681">
        <v>3</v>
      </c>
      <c r="T5681">
        <v>1</v>
      </c>
      <c r="U5681">
        <v>88524</v>
      </c>
      <c r="V5681">
        <v>265572</v>
      </c>
    </row>
    <row r="5682" spans="1:22">
      <c r="A5682" t="s">
        <v>196</v>
      </c>
      <c r="B5682">
        <v>91</v>
      </c>
      <c r="C5682" t="s">
        <v>10</v>
      </c>
      <c r="D5682">
        <v>346</v>
      </c>
      <c r="E5682" t="s">
        <v>2086</v>
      </c>
      <c r="F5682">
        <v>1005</v>
      </c>
      <c r="G5682" t="s">
        <v>10</v>
      </c>
      <c r="H5682">
        <v>2005</v>
      </c>
      <c r="I5682" t="s">
        <v>10</v>
      </c>
      <c r="J5682">
        <v>3010</v>
      </c>
      <c r="K5682" t="s">
        <v>2104</v>
      </c>
      <c r="L5682">
        <v>0</v>
      </c>
      <c r="N5682" t="s">
        <v>688</v>
      </c>
      <c r="O5682">
        <v>5</v>
      </c>
      <c r="P5682">
        <v>574</v>
      </c>
      <c r="Q5682" t="s">
        <v>2111</v>
      </c>
      <c r="R5682" t="s">
        <v>201</v>
      </c>
      <c r="S5682">
        <v>3</v>
      </c>
      <c r="T5682">
        <v>1</v>
      </c>
      <c r="U5682">
        <v>84192</v>
      </c>
      <c r="V5682">
        <v>252576</v>
      </c>
    </row>
    <row r="5683" spans="1:22">
      <c r="A5683" t="s">
        <v>196</v>
      </c>
      <c r="B5683">
        <v>91</v>
      </c>
      <c r="C5683" t="s">
        <v>10</v>
      </c>
      <c r="D5683">
        <v>346</v>
      </c>
      <c r="E5683" t="s">
        <v>2086</v>
      </c>
      <c r="F5683">
        <v>1005</v>
      </c>
      <c r="G5683" t="s">
        <v>10</v>
      </c>
      <c r="H5683">
        <v>2005</v>
      </c>
      <c r="I5683" t="s">
        <v>10</v>
      </c>
      <c r="J5683">
        <v>3010</v>
      </c>
      <c r="K5683" t="s">
        <v>2104</v>
      </c>
      <c r="L5683">
        <v>0</v>
      </c>
      <c r="N5683" t="s">
        <v>688</v>
      </c>
      <c r="O5683">
        <v>5</v>
      </c>
      <c r="P5683">
        <v>574</v>
      </c>
      <c r="Q5683" t="s">
        <v>2111</v>
      </c>
      <c r="R5683" t="s">
        <v>201</v>
      </c>
      <c r="S5683">
        <v>5</v>
      </c>
      <c r="T5683">
        <v>1</v>
      </c>
      <c r="U5683">
        <v>81636</v>
      </c>
      <c r="V5683">
        <v>408180</v>
      </c>
    </row>
    <row r="5684" spans="1:22">
      <c r="A5684" t="s">
        <v>196</v>
      </c>
      <c r="B5684">
        <v>91</v>
      </c>
      <c r="C5684" t="s">
        <v>10</v>
      </c>
      <c r="D5684">
        <v>346</v>
      </c>
      <c r="E5684" t="s">
        <v>2086</v>
      </c>
      <c r="F5684">
        <v>1005</v>
      </c>
      <c r="G5684" t="s">
        <v>10</v>
      </c>
      <c r="H5684">
        <v>2005</v>
      </c>
      <c r="I5684" t="s">
        <v>10</v>
      </c>
      <c r="J5684">
        <v>3010</v>
      </c>
      <c r="K5684" t="s">
        <v>2104</v>
      </c>
      <c r="L5684">
        <v>0</v>
      </c>
      <c r="N5684" t="s">
        <v>2109</v>
      </c>
      <c r="O5684">
        <v>5</v>
      </c>
      <c r="P5684">
        <v>573</v>
      </c>
      <c r="Q5684" t="s">
        <v>2112</v>
      </c>
      <c r="R5684" t="s">
        <v>201</v>
      </c>
      <c r="S5684">
        <v>7</v>
      </c>
      <c r="T5684">
        <v>1</v>
      </c>
      <c r="U5684">
        <v>89412</v>
      </c>
      <c r="V5684">
        <v>625884</v>
      </c>
    </row>
    <row r="5685" spans="1:22">
      <c r="A5685" t="s">
        <v>196</v>
      </c>
      <c r="B5685">
        <v>91</v>
      </c>
      <c r="C5685" t="s">
        <v>10</v>
      </c>
      <c r="D5685">
        <v>346</v>
      </c>
      <c r="E5685" t="s">
        <v>2086</v>
      </c>
      <c r="F5685">
        <v>1005</v>
      </c>
      <c r="G5685" t="s">
        <v>10</v>
      </c>
      <c r="H5685">
        <v>2005</v>
      </c>
      <c r="I5685" t="s">
        <v>10</v>
      </c>
      <c r="J5685">
        <v>3010</v>
      </c>
      <c r="K5685" t="s">
        <v>2104</v>
      </c>
      <c r="L5685">
        <v>0</v>
      </c>
      <c r="N5685" t="s">
        <v>2109</v>
      </c>
      <c r="O5685">
        <v>5</v>
      </c>
      <c r="P5685">
        <v>573</v>
      </c>
      <c r="Q5685" t="s">
        <v>2112</v>
      </c>
      <c r="R5685" t="s">
        <v>201</v>
      </c>
      <c r="S5685">
        <v>1</v>
      </c>
      <c r="T5685">
        <v>1</v>
      </c>
      <c r="U5685">
        <v>84192</v>
      </c>
      <c r="V5685">
        <v>84192</v>
      </c>
    </row>
    <row r="5686" spans="1:22">
      <c r="A5686" t="s">
        <v>196</v>
      </c>
      <c r="B5686">
        <v>91</v>
      </c>
      <c r="C5686" t="s">
        <v>10</v>
      </c>
      <c r="D5686">
        <v>346</v>
      </c>
      <c r="E5686" t="s">
        <v>2086</v>
      </c>
      <c r="F5686">
        <v>1005</v>
      </c>
      <c r="G5686" t="s">
        <v>10</v>
      </c>
      <c r="H5686">
        <v>2005</v>
      </c>
      <c r="I5686" t="s">
        <v>10</v>
      </c>
      <c r="J5686">
        <v>3010</v>
      </c>
      <c r="K5686" t="s">
        <v>2104</v>
      </c>
      <c r="L5686">
        <v>0</v>
      </c>
      <c r="N5686" t="s">
        <v>2109</v>
      </c>
      <c r="O5686">
        <v>5</v>
      </c>
      <c r="P5686">
        <v>573</v>
      </c>
      <c r="Q5686" t="s">
        <v>2112</v>
      </c>
      <c r="R5686" t="s">
        <v>201</v>
      </c>
      <c r="S5686">
        <v>1</v>
      </c>
      <c r="T5686">
        <v>1</v>
      </c>
      <c r="U5686">
        <v>80196</v>
      </c>
      <c r="V5686">
        <v>80196</v>
      </c>
    </row>
    <row r="5687" spans="1:22">
      <c r="A5687" t="s">
        <v>196</v>
      </c>
      <c r="B5687">
        <v>91</v>
      </c>
      <c r="C5687" t="s">
        <v>10</v>
      </c>
      <c r="D5687">
        <v>346</v>
      </c>
      <c r="E5687" t="s">
        <v>2086</v>
      </c>
      <c r="F5687">
        <v>1005</v>
      </c>
      <c r="G5687" t="s">
        <v>10</v>
      </c>
      <c r="H5687">
        <v>2005</v>
      </c>
      <c r="I5687" t="s">
        <v>10</v>
      </c>
      <c r="J5687">
        <v>3010</v>
      </c>
      <c r="K5687" t="s">
        <v>2104</v>
      </c>
      <c r="L5687">
        <v>0</v>
      </c>
      <c r="N5687" t="s">
        <v>2109</v>
      </c>
      <c r="O5687">
        <v>5</v>
      </c>
      <c r="P5687">
        <v>573</v>
      </c>
      <c r="Q5687" t="s">
        <v>2112</v>
      </c>
      <c r="R5687" t="s">
        <v>201</v>
      </c>
      <c r="S5687">
        <v>4</v>
      </c>
      <c r="T5687">
        <v>1</v>
      </c>
      <c r="U5687">
        <v>76464</v>
      </c>
      <c r="V5687">
        <v>305856</v>
      </c>
    </row>
    <row r="5688" spans="1:22">
      <c r="A5688" t="s">
        <v>196</v>
      </c>
      <c r="B5688">
        <v>91</v>
      </c>
      <c r="C5688" t="s">
        <v>10</v>
      </c>
      <c r="D5688">
        <v>346</v>
      </c>
      <c r="E5688" t="s">
        <v>2086</v>
      </c>
      <c r="F5688">
        <v>1005</v>
      </c>
      <c r="G5688" t="s">
        <v>10</v>
      </c>
      <c r="H5688">
        <v>2005</v>
      </c>
      <c r="I5688" t="s">
        <v>10</v>
      </c>
      <c r="J5688">
        <v>3010</v>
      </c>
      <c r="K5688" t="s">
        <v>2104</v>
      </c>
      <c r="L5688">
        <v>0</v>
      </c>
      <c r="N5688" t="s">
        <v>2109</v>
      </c>
      <c r="O5688">
        <v>5</v>
      </c>
      <c r="P5688">
        <v>573</v>
      </c>
      <c r="Q5688" t="s">
        <v>2112</v>
      </c>
      <c r="R5688" t="s">
        <v>201</v>
      </c>
      <c r="S5688">
        <v>2</v>
      </c>
      <c r="T5688">
        <v>1</v>
      </c>
      <c r="U5688">
        <v>72684</v>
      </c>
      <c r="V5688">
        <v>145368</v>
      </c>
    </row>
    <row r="5689" spans="1:22">
      <c r="A5689" t="s">
        <v>196</v>
      </c>
      <c r="B5689">
        <v>91</v>
      </c>
      <c r="C5689" t="s">
        <v>10</v>
      </c>
      <c r="D5689">
        <v>346</v>
      </c>
      <c r="E5689" t="s">
        <v>2086</v>
      </c>
      <c r="F5689">
        <v>1005</v>
      </c>
      <c r="G5689" t="s">
        <v>10</v>
      </c>
      <c r="H5689">
        <v>2005</v>
      </c>
      <c r="I5689" t="s">
        <v>10</v>
      </c>
      <c r="J5689">
        <v>3010</v>
      </c>
      <c r="K5689" t="s">
        <v>2104</v>
      </c>
      <c r="L5689">
        <v>0</v>
      </c>
      <c r="N5689" t="s">
        <v>2109</v>
      </c>
      <c r="O5689">
        <v>5</v>
      </c>
      <c r="P5689">
        <v>573</v>
      </c>
      <c r="Q5689" t="s">
        <v>2112</v>
      </c>
      <c r="R5689" t="s">
        <v>201</v>
      </c>
      <c r="S5689">
        <v>5</v>
      </c>
      <c r="T5689">
        <v>1</v>
      </c>
      <c r="U5689">
        <v>69396</v>
      </c>
      <c r="V5689">
        <v>346980</v>
      </c>
    </row>
    <row r="5690" spans="1:22">
      <c r="A5690" t="s">
        <v>196</v>
      </c>
      <c r="B5690">
        <v>91</v>
      </c>
      <c r="C5690" t="s">
        <v>10</v>
      </c>
      <c r="D5690">
        <v>346</v>
      </c>
      <c r="E5690" t="s">
        <v>2086</v>
      </c>
      <c r="F5690">
        <v>1005</v>
      </c>
      <c r="G5690" t="s">
        <v>10</v>
      </c>
      <c r="H5690">
        <v>2005</v>
      </c>
      <c r="I5690" t="s">
        <v>10</v>
      </c>
      <c r="J5690">
        <v>3010</v>
      </c>
      <c r="K5690" t="s">
        <v>2104</v>
      </c>
      <c r="L5690">
        <v>0</v>
      </c>
      <c r="N5690" t="s">
        <v>2109</v>
      </c>
      <c r="O5690">
        <v>5</v>
      </c>
      <c r="P5690">
        <v>573</v>
      </c>
      <c r="Q5690" t="s">
        <v>2112</v>
      </c>
      <c r="R5690" t="s">
        <v>201</v>
      </c>
      <c r="S5690">
        <v>2</v>
      </c>
      <c r="T5690">
        <v>1</v>
      </c>
      <c r="U5690">
        <v>65928</v>
      </c>
      <c r="V5690">
        <v>131856</v>
      </c>
    </row>
    <row r="5691" spans="1:22">
      <c r="A5691" t="s">
        <v>196</v>
      </c>
      <c r="B5691">
        <v>91</v>
      </c>
      <c r="C5691" t="s">
        <v>10</v>
      </c>
      <c r="D5691">
        <v>346</v>
      </c>
      <c r="E5691" t="s">
        <v>2086</v>
      </c>
      <c r="F5691">
        <v>1005</v>
      </c>
      <c r="G5691" t="s">
        <v>10</v>
      </c>
      <c r="H5691">
        <v>2005</v>
      </c>
      <c r="I5691" t="s">
        <v>10</v>
      </c>
      <c r="J5691">
        <v>3010</v>
      </c>
      <c r="K5691" t="s">
        <v>2104</v>
      </c>
      <c r="L5691">
        <v>0</v>
      </c>
      <c r="N5691" t="s">
        <v>2109</v>
      </c>
      <c r="O5691">
        <v>5</v>
      </c>
      <c r="P5691">
        <v>573</v>
      </c>
      <c r="Q5691" t="s">
        <v>2112</v>
      </c>
      <c r="R5691" t="s">
        <v>201</v>
      </c>
      <c r="S5691">
        <v>5</v>
      </c>
      <c r="T5691">
        <v>1</v>
      </c>
      <c r="U5691">
        <v>62976</v>
      </c>
      <c r="V5691">
        <v>314880</v>
      </c>
    </row>
    <row r="5692" spans="1:22">
      <c r="A5692" t="s">
        <v>196</v>
      </c>
      <c r="B5692">
        <v>91</v>
      </c>
      <c r="C5692" t="s">
        <v>10</v>
      </c>
      <c r="D5692">
        <v>346</v>
      </c>
      <c r="E5692" t="s">
        <v>2086</v>
      </c>
      <c r="F5692">
        <v>1005</v>
      </c>
      <c r="G5692" t="s">
        <v>10</v>
      </c>
      <c r="H5692">
        <v>2005</v>
      </c>
      <c r="I5692" t="s">
        <v>10</v>
      </c>
      <c r="J5692">
        <v>3010</v>
      </c>
      <c r="K5692" t="s">
        <v>2104</v>
      </c>
      <c r="L5692">
        <v>0</v>
      </c>
      <c r="N5692" t="s">
        <v>2109</v>
      </c>
      <c r="O5692">
        <v>5</v>
      </c>
      <c r="P5692">
        <v>573</v>
      </c>
      <c r="Q5692" t="s">
        <v>2112</v>
      </c>
      <c r="R5692" t="s">
        <v>201</v>
      </c>
      <c r="S5692">
        <v>1</v>
      </c>
      <c r="T5692">
        <v>1</v>
      </c>
      <c r="U5692">
        <v>61092</v>
      </c>
      <c r="V5692">
        <v>61092</v>
      </c>
    </row>
    <row r="5693" spans="1:22">
      <c r="A5693" t="s">
        <v>196</v>
      </c>
      <c r="B5693">
        <v>91</v>
      </c>
      <c r="C5693" t="s">
        <v>10</v>
      </c>
      <c r="D5693">
        <v>346</v>
      </c>
      <c r="E5693" t="s">
        <v>2086</v>
      </c>
      <c r="F5693">
        <v>1005</v>
      </c>
      <c r="G5693" t="s">
        <v>10</v>
      </c>
      <c r="H5693">
        <v>2005</v>
      </c>
      <c r="I5693" t="s">
        <v>10</v>
      </c>
      <c r="J5693">
        <v>3010</v>
      </c>
      <c r="K5693" t="s">
        <v>2104</v>
      </c>
      <c r="L5693">
        <v>0</v>
      </c>
      <c r="N5693" t="s">
        <v>839</v>
      </c>
      <c r="O5693">
        <v>5</v>
      </c>
      <c r="P5693">
        <v>539</v>
      </c>
      <c r="Q5693" t="s">
        <v>2113</v>
      </c>
      <c r="R5693" t="s">
        <v>713</v>
      </c>
      <c r="S5693">
        <v>195975</v>
      </c>
      <c r="T5693">
        <v>0</v>
      </c>
      <c r="U5693">
        <v>15.4</v>
      </c>
      <c r="V5693">
        <v>3018015</v>
      </c>
    </row>
    <row r="5694" spans="1:22">
      <c r="A5694" t="s">
        <v>196</v>
      </c>
      <c r="B5694">
        <v>91</v>
      </c>
      <c r="C5694" t="s">
        <v>10</v>
      </c>
      <c r="D5694">
        <v>346</v>
      </c>
      <c r="E5694" t="s">
        <v>2086</v>
      </c>
      <c r="F5694">
        <v>1005</v>
      </c>
      <c r="G5694" t="s">
        <v>10</v>
      </c>
      <c r="H5694">
        <v>2005</v>
      </c>
      <c r="I5694" t="s">
        <v>10</v>
      </c>
      <c r="J5694">
        <v>3010</v>
      </c>
      <c r="K5694" t="s">
        <v>2104</v>
      </c>
      <c r="L5694">
        <v>0</v>
      </c>
      <c r="N5694" t="s">
        <v>297</v>
      </c>
      <c r="O5694">
        <v>20</v>
      </c>
      <c r="P5694">
        <v>511</v>
      </c>
      <c r="Q5694" t="s">
        <v>2101</v>
      </c>
      <c r="R5694" t="s">
        <v>201</v>
      </c>
      <c r="S5694">
        <v>2</v>
      </c>
      <c r="T5694">
        <v>1</v>
      </c>
      <c r="U5694">
        <v>130476</v>
      </c>
      <c r="V5694">
        <v>260952</v>
      </c>
    </row>
    <row r="5695" spans="1:22">
      <c r="A5695" t="s">
        <v>196</v>
      </c>
      <c r="B5695">
        <v>91</v>
      </c>
      <c r="C5695" t="s">
        <v>10</v>
      </c>
      <c r="D5695">
        <v>346</v>
      </c>
      <c r="E5695" t="s">
        <v>2086</v>
      </c>
      <c r="F5695">
        <v>1005</v>
      </c>
      <c r="G5695" t="s">
        <v>10</v>
      </c>
      <c r="H5695">
        <v>2005</v>
      </c>
      <c r="I5695" t="s">
        <v>10</v>
      </c>
      <c r="J5695">
        <v>3010</v>
      </c>
      <c r="K5695" t="s">
        <v>2104</v>
      </c>
      <c r="L5695">
        <v>0</v>
      </c>
      <c r="N5695" t="s">
        <v>297</v>
      </c>
      <c r="O5695">
        <v>20</v>
      </c>
      <c r="P5695">
        <v>511</v>
      </c>
      <c r="Q5695" t="s">
        <v>2101</v>
      </c>
      <c r="R5695" t="s">
        <v>201</v>
      </c>
      <c r="S5695">
        <v>3</v>
      </c>
      <c r="T5695">
        <v>1</v>
      </c>
      <c r="U5695">
        <v>121320</v>
      </c>
      <c r="V5695">
        <v>363960</v>
      </c>
    </row>
    <row r="5696" spans="1:22">
      <c r="A5696" t="s">
        <v>196</v>
      </c>
      <c r="B5696">
        <v>91</v>
      </c>
      <c r="C5696" t="s">
        <v>10</v>
      </c>
      <c r="D5696">
        <v>346</v>
      </c>
      <c r="E5696" t="s">
        <v>2086</v>
      </c>
      <c r="F5696">
        <v>1005</v>
      </c>
      <c r="G5696" t="s">
        <v>10</v>
      </c>
      <c r="H5696">
        <v>2005</v>
      </c>
      <c r="I5696" t="s">
        <v>10</v>
      </c>
      <c r="J5696">
        <v>3010</v>
      </c>
      <c r="K5696" t="s">
        <v>2104</v>
      </c>
      <c r="L5696">
        <v>0</v>
      </c>
      <c r="N5696" t="s">
        <v>297</v>
      </c>
      <c r="O5696">
        <v>20</v>
      </c>
      <c r="P5696">
        <v>511</v>
      </c>
      <c r="Q5696" t="s">
        <v>2101</v>
      </c>
      <c r="R5696" t="s">
        <v>201</v>
      </c>
      <c r="S5696">
        <v>1</v>
      </c>
      <c r="T5696">
        <v>1</v>
      </c>
      <c r="U5696">
        <v>111000</v>
      </c>
      <c r="V5696">
        <v>111000</v>
      </c>
    </row>
    <row r="5697" spans="1:22">
      <c r="A5697" t="s">
        <v>196</v>
      </c>
      <c r="B5697">
        <v>91</v>
      </c>
      <c r="C5697" t="s">
        <v>10</v>
      </c>
      <c r="D5697">
        <v>346</v>
      </c>
      <c r="E5697" t="s">
        <v>2086</v>
      </c>
      <c r="F5697">
        <v>1005</v>
      </c>
      <c r="G5697" t="s">
        <v>10</v>
      </c>
      <c r="H5697">
        <v>2005</v>
      </c>
      <c r="I5697" t="s">
        <v>10</v>
      </c>
      <c r="J5697">
        <v>3010</v>
      </c>
      <c r="K5697" t="s">
        <v>2104</v>
      </c>
      <c r="L5697">
        <v>0</v>
      </c>
      <c r="N5697" t="s">
        <v>297</v>
      </c>
      <c r="O5697">
        <v>20</v>
      </c>
      <c r="P5697">
        <v>511</v>
      </c>
      <c r="Q5697" t="s">
        <v>2101</v>
      </c>
      <c r="R5697" t="s">
        <v>201</v>
      </c>
      <c r="S5697">
        <v>1</v>
      </c>
      <c r="T5697">
        <v>1</v>
      </c>
      <c r="U5697">
        <v>106272</v>
      </c>
      <c r="V5697">
        <v>106272</v>
      </c>
    </row>
    <row r="5698" spans="1:22">
      <c r="A5698" t="s">
        <v>196</v>
      </c>
      <c r="B5698">
        <v>91</v>
      </c>
      <c r="C5698" t="s">
        <v>10</v>
      </c>
      <c r="D5698">
        <v>346</v>
      </c>
      <c r="E5698" t="s">
        <v>2086</v>
      </c>
      <c r="F5698">
        <v>1005</v>
      </c>
      <c r="G5698" t="s">
        <v>10</v>
      </c>
      <c r="H5698">
        <v>2005</v>
      </c>
      <c r="I5698" t="s">
        <v>10</v>
      </c>
      <c r="J5698">
        <v>3010</v>
      </c>
      <c r="K5698" t="s">
        <v>2104</v>
      </c>
      <c r="L5698">
        <v>0</v>
      </c>
      <c r="N5698" t="s">
        <v>297</v>
      </c>
      <c r="O5698">
        <v>20</v>
      </c>
      <c r="P5698">
        <v>511</v>
      </c>
      <c r="Q5698" t="s">
        <v>2101</v>
      </c>
      <c r="R5698" t="s">
        <v>201</v>
      </c>
      <c r="S5698">
        <v>1</v>
      </c>
      <c r="T5698">
        <v>1</v>
      </c>
      <c r="U5698">
        <v>97332</v>
      </c>
      <c r="V5698">
        <v>97332</v>
      </c>
    </row>
    <row r="5699" spans="1:22">
      <c r="A5699" t="s">
        <v>196</v>
      </c>
      <c r="B5699">
        <v>91</v>
      </c>
      <c r="C5699" t="s">
        <v>10</v>
      </c>
      <c r="D5699">
        <v>346</v>
      </c>
      <c r="E5699" t="s">
        <v>2086</v>
      </c>
      <c r="F5699">
        <v>1005</v>
      </c>
      <c r="G5699" t="s">
        <v>10</v>
      </c>
      <c r="H5699">
        <v>2005</v>
      </c>
      <c r="I5699" t="s">
        <v>10</v>
      </c>
      <c r="J5699">
        <v>3010</v>
      </c>
      <c r="K5699" t="s">
        <v>2104</v>
      </c>
      <c r="L5699">
        <v>0</v>
      </c>
      <c r="N5699" t="s">
        <v>245</v>
      </c>
      <c r="O5699">
        <v>20</v>
      </c>
      <c r="P5699">
        <v>510</v>
      </c>
      <c r="Q5699" t="s">
        <v>2102</v>
      </c>
      <c r="R5699" t="s">
        <v>201</v>
      </c>
      <c r="S5699">
        <v>2</v>
      </c>
      <c r="T5699">
        <v>1</v>
      </c>
      <c r="U5699">
        <v>141132</v>
      </c>
      <c r="V5699">
        <v>282264</v>
      </c>
    </row>
    <row r="5700" spans="1:22">
      <c r="A5700" t="s">
        <v>196</v>
      </c>
      <c r="B5700">
        <v>91</v>
      </c>
      <c r="C5700" t="s">
        <v>10</v>
      </c>
      <c r="D5700">
        <v>346</v>
      </c>
      <c r="E5700" t="s">
        <v>2086</v>
      </c>
      <c r="F5700">
        <v>1005</v>
      </c>
      <c r="G5700" t="s">
        <v>10</v>
      </c>
      <c r="H5700">
        <v>2005</v>
      </c>
      <c r="I5700" t="s">
        <v>10</v>
      </c>
      <c r="J5700">
        <v>3010</v>
      </c>
      <c r="K5700" t="s">
        <v>2104</v>
      </c>
      <c r="L5700">
        <v>0</v>
      </c>
      <c r="N5700" t="s">
        <v>245</v>
      </c>
      <c r="O5700">
        <v>20</v>
      </c>
      <c r="P5700">
        <v>510</v>
      </c>
      <c r="Q5700" t="s">
        <v>2102</v>
      </c>
      <c r="R5700" t="s">
        <v>201</v>
      </c>
      <c r="S5700">
        <v>1</v>
      </c>
      <c r="T5700">
        <v>1</v>
      </c>
      <c r="U5700">
        <v>126756</v>
      </c>
      <c r="V5700">
        <v>126756</v>
      </c>
    </row>
    <row r="5701" spans="1:22">
      <c r="A5701" t="s">
        <v>196</v>
      </c>
      <c r="B5701">
        <v>91</v>
      </c>
      <c r="C5701" t="s">
        <v>10</v>
      </c>
      <c r="D5701">
        <v>346</v>
      </c>
      <c r="E5701" t="s">
        <v>2086</v>
      </c>
      <c r="F5701">
        <v>1005</v>
      </c>
      <c r="G5701" t="s">
        <v>10</v>
      </c>
      <c r="H5701">
        <v>2005</v>
      </c>
      <c r="I5701" t="s">
        <v>10</v>
      </c>
      <c r="J5701">
        <v>3010</v>
      </c>
      <c r="K5701" t="s">
        <v>2104</v>
      </c>
      <c r="L5701">
        <v>0</v>
      </c>
      <c r="N5701" t="s">
        <v>245</v>
      </c>
      <c r="O5701">
        <v>20</v>
      </c>
      <c r="P5701">
        <v>510</v>
      </c>
      <c r="Q5701" t="s">
        <v>2102</v>
      </c>
      <c r="R5701" t="s">
        <v>201</v>
      </c>
      <c r="S5701">
        <v>1</v>
      </c>
      <c r="T5701">
        <v>1</v>
      </c>
      <c r="U5701">
        <v>115992</v>
      </c>
      <c r="V5701">
        <v>115992</v>
      </c>
    </row>
    <row r="5702" spans="1:22">
      <c r="A5702" t="s">
        <v>196</v>
      </c>
      <c r="B5702">
        <v>91</v>
      </c>
      <c r="C5702" t="s">
        <v>10</v>
      </c>
      <c r="D5702">
        <v>346</v>
      </c>
      <c r="E5702" t="s">
        <v>2086</v>
      </c>
      <c r="F5702">
        <v>1005</v>
      </c>
      <c r="G5702" t="s">
        <v>10</v>
      </c>
      <c r="H5702">
        <v>2005</v>
      </c>
      <c r="I5702" t="s">
        <v>10</v>
      </c>
      <c r="J5702">
        <v>3010</v>
      </c>
      <c r="K5702" t="s">
        <v>2104</v>
      </c>
      <c r="L5702">
        <v>0</v>
      </c>
      <c r="N5702" t="s">
        <v>245</v>
      </c>
      <c r="O5702">
        <v>20</v>
      </c>
      <c r="P5702">
        <v>510</v>
      </c>
      <c r="Q5702" t="s">
        <v>2102</v>
      </c>
      <c r="R5702" t="s">
        <v>201</v>
      </c>
      <c r="S5702">
        <v>1</v>
      </c>
      <c r="T5702">
        <v>1</v>
      </c>
      <c r="U5702">
        <v>106272</v>
      </c>
      <c r="V5702">
        <v>106272</v>
      </c>
    </row>
    <row r="5703" spans="1:22">
      <c r="A5703" t="s">
        <v>196</v>
      </c>
      <c r="B5703">
        <v>91</v>
      </c>
      <c r="C5703" t="s">
        <v>10</v>
      </c>
      <c r="D5703">
        <v>346</v>
      </c>
      <c r="E5703" t="s">
        <v>2086</v>
      </c>
      <c r="F5703">
        <v>1005</v>
      </c>
      <c r="G5703" t="s">
        <v>10</v>
      </c>
      <c r="H5703">
        <v>2005</v>
      </c>
      <c r="I5703" t="s">
        <v>10</v>
      </c>
      <c r="J5703">
        <v>3010</v>
      </c>
      <c r="K5703" t="s">
        <v>2104</v>
      </c>
      <c r="L5703">
        <v>0</v>
      </c>
      <c r="N5703" t="s">
        <v>702</v>
      </c>
      <c r="O5703">
        <v>5</v>
      </c>
      <c r="P5703">
        <v>507</v>
      </c>
      <c r="Q5703" t="s">
        <v>2114</v>
      </c>
      <c r="R5703" t="s">
        <v>201</v>
      </c>
      <c r="S5703">
        <v>1</v>
      </c>
      <c r="T5703">
        <v>1</v>
      </c>
      <c r="U5703">
        <v>108708</v>
      </c>
      <c r="V5703">
        <v>108708</v>
      </c>
    </row>
    <row r="5704" spans="1:22">
      <c r="A5704" t="s">
        <v>196</v>
      </c>
      <c r="B5704">
        <v>91</v>
      </c>
      <c r="C5704" t="s">
        <v>10</v>
      </c>
      <c r="D5704">
        <v>346</v>
      </c>
      <c r="E5704" t="s">
        <v>2086</v>
      </c>
      <c r="F5704">
        <v>1005</v>
      </c>
      <c r="G5704" t="s">
        <v>10</v>
      </c>
      <c r="H5704">
        <v>2005</v>
      </c>
      <c r="I5704" t="s">
        <v>10</v>
      </c>
      <c r="J5704">
        <v>3010</v>
      </c>
      <c r="K5704" t="s">
        <v>2104</v>
      </c>
      <c r="L5704">
        <v>0</v>
      </c>
      <c r="N5704" t="s">
        <v>702</v>
      </c>
      <c r="O5704">
        <v>5</v>
      </c>
      <c r="P5704">
        <v>506</v>
      </c>
      <c r="Q5704" t="s">
        <v>2115</v>
      </c>
      <c r="R5704" t="s">
        <v>201</v>
      </c>
      <c r="S5704">
        <v>32</v>
      </c>
      <c r="T5704">
        <v>1</v>
      </c>
      <c r="U5704">
        <v>108708</v>
      </c>
      <c r="V5704">
        <v>3478656</v>
      </c>
    </row>
    <row r="5705" spans="1:22">
      <c r="A5705" t="s">
        <v>196</v>
      </c>
      <c r="B5705">
        <v>91</v>
      </c>
      <c r="C5705" t="s">
        <v>10</v>
      </c>
      <c r="D5705">
        <v>346</v>
      </c>
      <c r="E5705" t="s">
        <v>2086</v>
      </c>
      <c r="F5705">
        <v>1005</v>
      </c>
      <c r="G5705" t="s">
        <v>10</v>
      </c>
      <c r="H5705">
        <v>2005</v>
      </c>
      <c r="I5705" t="s">
        <v>10</v>
      </c>
      <c r="J5705">
        <v>3010</v>
      </c>
      <c r="K5705" t="s">
        <v>2104</v>
      </c>
      <c r="L5705">
        <v>0</v>
      </c>
      <c r="N5705" t="s">
        <v>702</v>
      </c>
      <c r="O5705">
        <v>5</v>
      </c>
      <c r="P5705">
        <v>506</v>
      </c>
      <c r="Q5705" t="s">
        <v>2115</v>
      </c>
      <c r="R5705" t="s">
        <v>201</v>
      </c>
      <c r="S5705">
        <v>7</v>
      </c>
      <c r="T5705">
        <v>1</v>
      </c>
      <c r="U5705">
        <v>102516</v>
      </c>
      <c r="V5705">
        <v>717612</v>
      </c>
    </row>
    <row r="5706" spans="1:22">
      <c r="A5706" t="s">
        <v>196</v>
      </c>
      <c r="B5706">
        <v>91</v>
      </c>
      <c r="C5706" t="s">
        <v>10</v>
      </c>
      <c r="D5706">
        <v>346</v>
      </c>
      <c r="E5706" t="s">
        <v>2086</v>
      </c>
      <c r="F5706">
        <v>1005</v>
      </c>
      <c r="G5706" t="s">
        <v>10</v>
      </c>
      <c r="H5706">
        <v>2005</v>
      </c>
      <c r="I5706" t="s">
        <v>10</v>
      </c>
      <c r="J5706">
        <v>3010</v>
      </c>
      <c r="K5706" t="s">
        <v>2104</v>
      </c>
      <c r="L5706">
        <v>0</v>
      </c>
      <c r="N5706" t="s">
        <v>702</v>
      </c>
      <c r="O5706">
        <v>5</v>
      </c>
      <c r="P5706">
        <v>506</v>
      </c>
      <c r="Q5706" t="s">
        <v>2115</v>
      </c>
      <c r="R5706" t="s">
        <v>201</v>
      </c>
      <c r="S5706">
        <v>7</v>
      </c>
      <c r="T5706">
        <v>1</v>
      </c>
      <c r="U5706">
        <v>97488</v>
      </c>
      <c r="V5706">
        <v>682416</v>
      </c>
    </row>
    <row r="5707" spans="1:22">
      <c r="A5707" t="s">
        <v>196</v>
      </c>
      <c r="B5707">
        <v>91</v>
      </c>
      <c r="C5707" t="s">
        <v>10</v>
      </c>
      <c r="D5707">
        <v>346</v>
      </c>
      <c r="E5707" t="s">
        <v>2086</v>
      </c>
      <c r="F5707">
        <v>1005</v>
      </c>
      <c r="G5707" t="s">
        <v>10</v>
      </c>
      <c r="H5707">
        <v>2005</v>
      </c>
      <c r="I5707" t="s">
        <v>10</v>
      </c>
      <c r="J5707">
        <v>3010</v>
      </c>
      <c r="K5707" t="s">
        <v>2104</v>
      </c>
      <c r="L5707">
        <v>0</v>
      </c>
      <c r="N5707" t="s">
        <v>702</v>
      </c>
      <c r="O5707">
        <v>5</v>
      </c>
      <c r="P5707">
        <v>506</v>
      </c>
      <c r="Q5707" t="s">
        <v>2115</v>
      </c>
      <c r="R5707" t="s">
        <v>201</v>
      </c>
      <c r="S5707">
        <v>1</v>
      </c>
      <c r="T5707">
        <v>1</v>
      </c>
      <c r="U5707">
        <v>92940</v>
      </c>
      <c r="V5707">
        <v>92940</v>
      </c>
    </row>
    <row r="5708" spans="1:22">
      <c r="A5708" t="s">
        <v>196</v>
      </c>
      <c r="B5708">
        <v>91</v>
      </c>
      <c r="C5708" t="s">
        <v>10</v>
      </c>
      <c r="D5708">
        <v>346</v>
      </c>
      <c r="E5708" t="s">
        <v>2086</v>
      </c>
      <c r="F5708">
        <v>1005</v>
      </c>
      <c r="G5708" t="s">
        <v>10</v>
      </c>
      <c r="H5708">
        <v>2005</v>
      </c>
      <c r="I5708" t="s">
        <v>10</v>
      </c>
      <c r="J5708">
        <v>3010</v>
      </c>
      <c r="K5708" t="s">
        <v>2104</v>
      </c>
      <c r="L5708">
        <v>0</v>
      </c>
      <c r="N5708" t="s">
        <v>702</v>
      </c>
      <c r="O5708">
        <v>5</v>
      </c>
      <c r="P5708">
        <v>506</v>
      </c>
      <c r="Q5708" t="s">
        <v>2115</v>
      </c>
      <c r="R5708" t="s">
        <v>201</v>
      </c>
      <c r="S5708">
        <v>5</v>
      </c>
      <c r="T5708">
        <v>1</v>
      </c>
      <c r="U5708">
        <v>88524</v>
      </c>
      <c r="V5708">
        <v>442620</v>
      </c>
    </row>
    <row r="5709" spans="1:22">
      <c r="A5709" t="s">
        <v>196</v>
      </c>
      <c r="B5709">
        <v>91</v>
      </c>
      <c r="C5709" t="s">
        <v>10</v>
      </c>
      <c r="D5709">
        <v>346</v>
      </c>
      <c r="E5709" t="s">
        <v>2086</v>
      </c>
      <c r="F5709">
        <v>1005</v>
      </c>
      <c r="G5709" t="s">
        <v>10</v>
      </c>
      <c r="H5709">
        <v>2005</v>
      </c>
      <c r="I5709" t="s">
        <v>10</v>
      </c>
      <c r="J5709">
        <v>3010</v>
      </c>
      <c r="K5709" t="s">
        <v>2104</v>
      </c>
      <c r="L5709">
        <v>0</v>
      </c>
      <c r="N5709" t="s">
        <v>702</v>
      </c>
      <c r="O5709">
        <v>5</v>
      </c>
      <c r="P5709">
        <v>506</v>
      </c>
      <c r="Q5709" t="s">
        <v>2115</v>
      </c>
      <c r="R5709" t="s">
        <v>201</v>
      </c>
      <c r="S5709">
        <v>9</v>
      </c>
      <c r="T5709">
        <v>1</v>
      </c>
      <c r="U5709">
        <v>84192</v>
      </c>
      <c r="V5709">
        <v>757728</v>
      </c>
    </row>
    <row r="5710" spans="1:22">
      <c r="A5710" t="s">
        <v>196</v>
      </c>
      <c r="B5710">
        <v>91</v>
      </c>
      <c r="C5710" t="s">
        <v>10</v>
      </c>
      <c r="D5710">
        <v>346</v>
      </c>
      <c r="E5710" t="s">
        <v>2086</v>
      </c>
      <c r="F5710">
        <v>1005</v>
      </c>
      <c r="G5710" t="s">
        <v>10</v>
      </c>
      <c r="H5710">
        <v>2005</v>
      </c>
      <c r="I5710" t="s">
        <v>10</v>
      </c>
      <c r="J5710">
        <v>3010</v>
      </c>
      <c r="K5710" t="s">
        <v>2104</v>
      </c>
      <c r="L5710">
        <v>0</v>
      </c>
      <c r="N5710" t="s">
        <v>702</v>
      </c>
      <c r="O5710">
        <v>5</v>
      </c>
      <c r="P5710">
        <v>506</v>
      </c>
      <c r="Q5710" t="s">
        <v>2115</v>
      </c>
      <c r="R5710" t="s">
        <v>201</v>
      </c>
      <c r="S5710">
        <v>6</v>
      </c>
      <c r="T5710">
        <v>1</v>
      </c>
      <c r="U5710">
        <v>80196</v>
      </c>
      <c r="V5710">
        <v>481176</v>
      </c>
    </row>
    <row r="5711" spans="1:22">
      <c r="A5711" t="s">
        <v>196</v>
      </c>
      <c r="B5711">
        <v>91</v>
      </c>
      <c r="C5711" t="s">
        <v>10</v>
      </c>
      <c r="D5711">
        <v>346</v>
      </c>
      <c r="E5711" t="s">
        <v>2086</v>
      </c>
      <c r="F5711">
        <v>1005</v>
      </c>
      <c r="G5711" t="s">
        <v>10</v>
      </c>
      <c r="H5711">
        <v>2005</v>
      </c>
      <c r="I5711" t="s">
        <v>10</v>
      </c>
      <c r="J5711">
        <v>3010</v>
      </c>
      <c r="K5711" t="s">
        <v>2104</v>
      </c>
      <c r="L5711">
        <v>0</v>
      </c>
      <c r="N5711" t="s">
        <v>702</v>
      </c>
      <c r="O5711">
        <v>5</v>
      </c>
      <c r="P5711">
        <v>506</v>
      </c>
      <c r="Q5711" t="s">
        <v>2115</v>
      </c>
      <c r="R5711" t="s">
        <v>201</v>
      </c>
      <c r="S5711">
        <v>1</v>
      </c>
      <c r="T5711">
        <v>1</v>
      </c>
      <c r="U5711">
        <v>76464</v>
      </c>
      <c r="V5711">
        <v>76464</v>
      </c>
    </row>
    <row r="5712" spans="1:22">
      <c r="A5712" t="s">
        <v>196</v>
      </c>
      <c r="B5712">
        <v>91</v>
      </c>
      <c r="C5712" t="s">
        <v>10</v>
      </c>
      <c r="D5712">
        <v>346</v>
      </c>
      <c r="E5712" t="s">
        <v>2086</v>
      </c>
      <c r="F5712">
        <v>1005</v>
      </c>
      <c r="G5712" t="s">
        <v>10</v>
      </c>
      <c r="H5712">
        <v>2005</v>
      </c>
      <c r="I5712" t="s">
        <v>10</v>
      </c>
      <c r="J5712">
        <v>3010</v>
      </c>
      <c r="K5712" t="s">
        <v>2104</v>
      </c>
      <c r="L5712">
        <v>0</v>
      </c>
      <c r="N5712" t="s">
        <v>633</v>
      </c>
      <c r="O5712">
        <v>5</v>
      </c>
      <c r="P5712">
        <v>503</v>
      </c>
      <c r="Q5712" t="s">
        <v>2116</v>
      </c>
      <c r="R5712" t="s">
        <v>713</v>
      </c>
      <c r="S5712">
        <v>2080</v>
      </c>
      <c r="T5712">
        <v>0</v>
      </c>
      <c r="U5712">
        <v>35.58</v>
      </c>
      <c r="V5712">
        <v>74006</v>
      </c>
    </row>
    <row r="5713" spans="1:22">
      <c r="A5713" t="s">
        <v>196</v>
      </c>
      <c r="B5713">
        <v>91</v>
      </c>
      <c r="C5713" t="s">
        <v>10</v>
      </c>
      <c r="D5713">
        <v>346</v>
      </c>
      <c r="E5713" t="s">
        <v>2086</v>
      </c>
      <c r="F5713">
        <v>1005</v>
      </c>
      <c r="G5713" t="s">
        <v>10</v>
      </c>
      <c r="H5713">
        <v>2005</v>
      </c>
      <c r="I5713" t="s">
        <v>10</v>
      </c>
      <c r="J5713">
        <v>3010</v>
      </c>
      <c r="K5713" t="s">
        <v>2104</v>
      </c>
      <c r="L5713">
        <v>0</v>
      </c>
      <c r="N5713" t="s">
        <v>633</v>
      </c>
      <c r="O5713">
        <v>5</v>
      </c>
      <c r="P5713">
        <v>502</v>
      </c>
      <c r="Q5713" t="s">
        <v>634</v>
      </c>
      <c r="R5713" t="s">
        <v>201</v>
      </c>
      <c r="S5713">
        <v>1</v>
      </c>
      <c r="T5713">
        <v>1</v>
      </c>
      <c r="U5713">
        <v>88524</v>
      </c>
      <c r="V5713">
        <v>88524</v>
      </c>
    </row>
    <row r="5714" spans="1:22">
      <c r="A5714" t="s">
        <v>196</v>
      </c>
      <c r="B5714">
        <v>91</v>
      </c>
      <c r="C5714" t="s">
        <v>10</v>
      </c>
      <c r="D5714">
        <v>346</v>
      </c>
      <c r="E5714" t="s">
        <v>2086</v>
      </c>
      <c r="F5714">
        <v>1005</v>
      </c>
      <c r="G5714" t="s">
        <v>10</v>
      </c>
      <c r="H5714">
        <v>2005</v>
      </c>
      <c r="I5714" t="s">
        <v>10</v>
      </c>
      <c r="J5714">
        <v>3010</v>
      </c>
      <c r="K5714" t="s">
        <v>2104</v>
      </c>
      <c r="L5714">
        <v>0</v>
      </c>
      <c r="N5714" t="s">
        <v>633</v>
      </c>
      <c r="O5714">
        <v>5</v>
      </c>
      <c r="P5714">
        <v>502</v>
      </c>
      <c r="Q5714" t="s">
        <v>634</v>
      </c>
      <c r="R5714" t="s">
        <v>201</v>
      </c>
      <c r="S5714">
        <v>1</v>
      </c>
      <c r="T5714">
        <v>1</v>
      </c>
      <c r="U5714">
        <v>67284</v>
      </c>
      <c r="V5714">
        <v>67284</v>
      </c>
    </row>
    <row r="5715" spans="1:22">
      <c r="A5715" t="s">
        <v>196</v>
      </c>
      <c r="B5715">
        <v>91</v>
      </c>
      <c r="C5715" t="s">
        <v>10</v>
      </c>
      <c r="D5715">
        <v>346</v>
      </c>
      <c r="E5715" t="s">
        <v>2086</v>
      </c>
      <c r="F5715">
        <v>1005</v>
      </c>
      <c r="G5715" t="s">
        <v>10</v>
      </c>
      <c r="H5715">
        <v>2005</v>
      </c>
      <c r="I5715" t="s">
        <v>10</v>
      </c>
      <c r="J5715">
        <v>3010</v>
      </c>
      <c r="K5715" t="s">
        <v>2104</v>
      </c>
      <c r="L5715">
        <v>0</v>
      </c>
      <c r="N5715" t="s">
        <v>633</v>
      </c>
      <c r="O5715">
        <v>5</v>
      </c>
      <c r="P5715">
        <v>501</v>
      </c>
      <c r="Q5715" t="s">
        <v>2117</v>
      </c>
      <c r="R5715" t="s">
        <v>201</v>
      </c>
      <c r="S5715">
        <v>30</v>
      </c>
      <c r="T5715">
        <v>1</v>
      </c>
      <c r="U5715">
        <v>98460</v>
      </c>
      <c r="V5715">
        <v>2953800</v>
      </c>
    </row>
    <row r="5716" spans="1:22">
      <c r="A5716" t="s">
        <v>196</v>
      </c>
      <c r="B5716">
        <v>91</v>
      </c>
      <c r="C5716" t="s">
        <v>10</v>
      </c>
      <c r="D5716">
        <v>346</v>
      </c>
      <c r="E5716" t="s">
        <v>2086</v>
      </c>
      <c r="F5716">
        <v>1005</v>
      </c>
      <c r="G5716" t="s">
        <v>10</v>
      </c>
      <c r="H5716">
        <v>2005</v>
      </c>
      <c r="I5716" t="s">
        <v>10</v>
      </c>
      <c r="J5716">
        <v>3010</v>
      </c>
      <c r="K5716" t="s">
        <v>2104</v>
      </c>
      <c r="L5716">
        <v>0</v>
      </c>
      <c r="N5716" t="s">
        <v>633</v>
      </c>
      <c r="O5716">
        <v>5</v>
      </c>
      <c r="P5716">
        <v>501</v>
      </c>
      <c r="Q5716" t="s">
        <v>2117</v>
      </c>
      <c r="R5716" t="s">
        <v>201</v>
      </c>
      <c r="S5716">
        <v>1</v>
      </c>
      <c r="T5716">
        <v>1</v>
      </c>
      <c r="U5716">
        <v>92940</v>
      </c>
      <c r="V5716">
        <v>92940</v>
      </c>
    </row>
    <row r="5717" spans="1:22">
      <c r="A5717" t="s">
        <v>196</v>
      </c>
      <c r="B5717">
        <v>91</v>
      </c>
      <c r="C5717" t="s">
        <v>10</v>
      </c>
      <c r="D5717">
        <v>346</v>
      </c>
      <c r="E5717" t="s">
        <v>2086</v>
      </c>
      <c r="F5717">
        <v>1005</v>
      </c>
      <c r="G5717" t="s">
        <v>10</v>
      </c>
      <c r="H5717">
        <v>2005</v>
      </c>
      <c r="I5717" t="s">
        <v>10</v>
      </c>
      <c r="J5717">
        <v>3010</v>
      </c>
      <c r="K5717" t="s">
        <v>2104</v>
      </c>
      <c r="L5717">
        <v>0</v>
      </c>
      <c r="N5717" t="s">
        <v>633</v>
      </c>
      <c r="O5717">
        <v>5</v>
      </c>
      <c r="P5717">
        <v>501</v>
      </c>
      <c r="Q5717" t="s">
        <v>2117</v>
      </c>
      <c r="R5717" t="s">
        <v>201</v>
      </c>
      <c r="S5717">
        <v>13</v>
      </c>
      <c r="T5717">
        <v>1</v>
      </c>
      <c r="U5717">
        <v>88524</v>
      </c>
      <c r="V5717">
        <v>1150812</v>
      </c>
    </row>
    <row r="5718" spans="1:22">
      <c r="A5718" t="s">
        <v>196</v>
      </c>
      <c r="B5718">
        <v>91</v>
      </c>
      <c r="C5718" t="s">
        <v>10</v>
      </c>
      <c r="D5718">
        <v>346</v>
      </c>
      <c r="E5718" t="s">
        <v>2086</v>
      </c>
      <c r="F5718">
        <v>1005</v>
      </c>
      <c r="G5718" t="s">
        <v>10</v>
      </c>
      <c r="H5718">
        <v>2005</v>
      </c>
      <c r="I5718" t="s">
        <v>10</v>
      </c>
      <c r="J5718">
        <v>3010</v>
      </c>
      <c r="K5718" t="s">
        <v>2104</v>
      </c>
      <c r="L5718">
        <v>0</v>
      </c>
      <c r="N5718" t="s">
        <v>633</v>
      </c>
      <c r="O5718">
        <v>5</v>
      </c>
      <c r="P5718">
        <v>501</v>
      </c>
      <c r="Q5718" t="s">
        <v>2117</v>
      </c>
      <c r="R5718" t="s">
        <v>201</v>
      </c>
      <c r="S5718">
        <v>7</v>
      </c>
      <c r="T5718">
        <v>1</v>
      </c>
      <c r="U5718">
        <v>84192</v>
      </c>
      <c r="V5718">
        <v>589344</v>
      </c>
    </row>
    <row r="5719" spans="1:22">
      <c r="A5719" t="s">
        <v>196</v>
      </c>
      <c r="B5719">
        <v>91</v>
      </c>
      <c r="C5719" t="s">
        <v>10</v>
      </c>
      <c r="D5719">
        <v>346</v>
      </c>
      <c r="E5719" t="s">
        <v>2086</v>
      </c>
      <c r="F5719">
        <v>1005</v>
      </c>
      <c r="G5719" t="s">
        <v>10</v>
      </c>
      <c r="H5719">
        <v>2005</v>
      </c>
      <c r="I5719" t="s">
        <v>10</v>
      </c>
      <c r="J5719">
        <v>3010</v>
      </c>
      <c r="K5719" t="s">
        <v>2104</v>
      </c>
      <c r="L5719">
        <v>0</v>
      </c>
      <c r="N5719" t="s">
        <v>633</v>
      </c>
      <c r="O5719">
        <v>5</v>
      </c>
      <c r="P5719">
        <v>501</v>
      </c>
      <c r="Q5719" t="s">
        <v>2117</v>
      </c>
      <c r="R5719" t="s">
        <v>201</v>
      </c>
      <c r="S5719">
        <v>5</v>
      </c>
      <c r="T5719">
        <v>1</v>
      </c>
      <c r="U5719">
        <v>80196</v>
      </c>
      <c r="V5719">
        <v>400980</v>
      </c>
    </row>
    <row r="5720" spans="1:22">
      <c r="A5720" t="s">
        <v>196</v>
      </c>
      <c r="B5720">
        <v>91</v>
      </c>
      <c r="C5720" t="s">
        <v>10</v>
      </c>
      <c r="D5720">
        <v>346</v>
      </c>
      <c r="E5720" t="s">
        <v>2086</v>
      </c>
      <c r="F5720">
        <v>1005</v>
      </c>
      <c r="G5720" t="s">
        <v>10</v>
      </c>
      <c r="H5720">
        <v>2005</v>
      </c>
      <c r="I5720" t="s">
        <v>10</v>
      </c>
      <c r="J5720">
        <v>3010</v>
      </c>
      <c r="K5720" t="s">
        <v>2104</v>
      </c>
      <c r="L5720">
        <v>0</v>
      </c>
      <c r="N5720" t="s">
        <v>633</v>
      </c>
      <c r="O5720">
        <v>5</v>
      </c>
      <c r="P5720">
        <v>501</v>
      </c>
      <c r="Q5720" t="s">
        <v>2117</v>
      </c>
      <c r="R5720" t="s">
        <v>201</v>
      </c>
      <c r="S5720">
        <v>32</v>
      </c>
      <c r="T5720">
        <v>1</v>
      </c>
      <c r="U5720">
        <v>76464</v>
      </c>
      <c r="V5720">
        <v>2446848</v>
      </c>
    </row>
    <row r="5721" spans="1:22">
      <c r="A5721" t="s">
        <v>196</v>
      </c>
      <c r="B5721">
        <v>91</v>
      </c>
      <c r="C5721" t="s">
        <v>10</v>
      </c>
      <c r="D5721">
        <v>346</v>
      </c>
      <c r="E5721" t="s">
        <v>2086</v>
      </c>
      <c r="F5721">
        <v>1005</v>
      </c>
      <c r="G5721" t="s">
        <v>10</v>
      </c>
      <c r="H5721">
        <v>2005</v>
      </c>
      <c r="I5721" t="s">
        <v>10</v>
      </c>
      <c r="J5721">
        <v>3010</v>
      </c>
      <c r="K5721" t="s">
        <v>2104</v>
      </c>
      <c r="L5721">
        <v>0</v>
      </c>
      <c r="N5721" t="s">
        <v>633</v>
      </c>
      <c r="O5721">
        <v>5</v>
      </c>
      <c r="P5721">
        <v>501</v>
      </c>
      <c r="Q5721" t="s">
        <v>2117</v>
      </c>
      <c r="R5721" t="s">
        <v>201</v>
      </c>
      <c r="S5721">
        <v>45</v>
      </c>
      <c r="T5721">
        <v>1</v>
      </c>
      <c r="U5721">
        <v>72684</v>
      </c>
      <c r="V5721">
        <v>3270780</v>
      </c>
    </row>
    <row r="5722" spans="1:22">
      <c r="A5722" t="s">
        <v>196</v>
      </c>
      <c r="B5722">
        <v>91</v>
      </c>
      <c r="C5722" t="s">
        <v>10</v>
      </c>
      <c r="D5722">
        <v>346</v>
      </c>
      <c r="E5722" t="s">
        <v>2086</v>
      </c>
      <c r="F5722">
        <v>1005</v>
      </c>
      <c r="G5722" t="s">
        <v>10</v>
      </c>
      <c r="H5722">
        <v>2005</v>
      </c>
      <c r="I5722" t="s">
        <v>10</v>
      </c>
      <c r="J5722">
        <v>3010</v>
      </c>
      <c r="K5722" t="s">
        <v>2104</v>
      </c>
      <c r="L5722">
        <v>0</v>
      </c>
      <c r="N5722" t="s">
        <v>633</v>
      </c>
      <c r="O5722">
        <v>5</v>
      </c>
      <c r="P5722">
        <v>501</v>
      </c>
      <c r="Q5722" t="s">
        <v>2117</v>
      </c>
      <c r="R5722" t="s">
        <v>201</v>
      </c>
      <c r="S5722">
        <v>2</v>
      </c>
      <c r="T5722">
        <v>1</v>
      </c>
      <c r="U5722">
        <v>69396</v>
      </c>
      <c r="V5722">
        <v>138792</v>
      </c>
    </row>
    <row r="5723" spans="1:22">
      <c r="A5723" t="s">
        <v>196</v>
      </c>
      <c r="B5723">
        <v>91</v>
      </c>
      <c r="C5723" t="s">
        <v>10</v>
      </c>
      <c r="D5723">
        <v>346</v>
      </c>
      <c r="E5723" t="s">
        <v>2086</v>
      </c>
      <c r="F5723">
        <v>1005</v>
      </c>
      <c r="G5723" t="s">
        <v>10</v>
      </c>
      <c r="H5723">
        <v>2005</v>
      </c>
      <c r="I5723" t="s">
        <v>10</v>
      </c>
      <c r="J5723">
        <v>3010</v>
      </c>
      <c r="K5723" t="s">
        <v>2104</v>
      </c>
      <c r="L5723">
        <v>0</v>
      </c>
      <c r="N5723" t="s">
        <v>633</v>
      </c>
      <c r="O5723">
        <v>5</v>
      </c>
      <c r="P5723">
        <v>501</v>
      </c>
      <c r="Q5723" t="s">
        <v>2117</v>
      </c>
      <c r="R5723" t="s">
        <v>201</v>
      </c>
      <c r="S5723">
        <v>19</v>
      </c>
      <c r="T5723">
        <v>1</v>
      </c>
      <c r="U5723">
        <v>67284</v>
      </c>
      <c r="V5723">
        <v>1278396</v>
      </c>
    </row>
    <row r="5724" spans="1:22">
      <c r="A5724" t="s">
        <v>196</v>
      </c>
      <c r="B5724">
        <v>91</v>
      </c>
      <c r="C5724" t="s">
        <v>10</v>
      </c>
      <c r="D5724">
        <v>346</v>
      </c>
      <c r="E5724" t="s">
        <v>2086</v>
      </c>
      <c r="F5724">
        <v>1005</v>
      </c>
      <c r="G5724" t="s">
        <v>10</v>
      </c>
      <c r="H5724">
        <v>2005</v>
      </c>
      <c r="I5724" t="s">
        <v>10</v>
      </c>
      <c r="J5724">
        <v>3010</v>
      </c>
      <c r="K5724" t="s">
        <v>2104</v>
      </c>
      <c r="L5724">
        <v>0</v>
      </c>
      <c r="N5724" t="s">
        <v>622</v>
      </c>
      <c r="O5724">
        <v>1</v>
      </c>
      <c r="P5724">
        <v>449</v>
      </c>
      <c r="Q5724" t="s">
        <v>2118</v>
      </c>
      <c r="R5724" t="s">
        <v>201</v>
      </c>
      <c r="S5724">
        <v>38</v>
      </c>
      <c r="T5724">
        <v>1</v>
      </c>
      <c r="U5724">
        <v>90144</v>
      </c>
      <c r="V5724">
        <v>3425472</v>
      </c>
    </row>
    <row r="5725" spans="1:22">
      <c r="A5725" t="s">
        <v>196</v>
      </c>
      <c r="B5725">
        <v>91</v>
      </c>
      <c r="C5725" t="s">
        <v>10</v>
      </c>
      <c r="D5725">
        <v>346</v>
      </c>
      <c r="E5725" t="s">
        <v>2086</v>
      </c>
      <c r="F5725">
        <v>1005</v>
      </c>
      <c r="G5725" t="s">
        <v>10</v>
      </c>
      <c r="H5725">
        <v>2005</v>
      </c>
      <c r="I5725" t="s">
        <v>10</v>
      </c>
      <c r="J5725">
        <v>3010</v>
      </c>
      <c r="K5725" t="s">
        <v>2104</v>
      </c>
      <c r="L5725">
        <v>0</v>
      </c>
      <c r="N5725" t="s">
        <v>622</v>
      </c>
      <c r="O5725">
        <v>1</v>
      </c>
      <c r="P5725">
        <v>449</v>
      </c>
      <c r="Q5725" t="s">
        <v>2118</v>
      </c>
      <c r="R5725" t="s">
        <v>201</v>
      </c>
      <c r="S5725">
        <v>2</v>
      </c>
      <c r="T5725">
        <v>1</v>
      </c>
      <c r="U5725">
        <v>86112</v>
      </c>
      <c r="V5725">
        <v>172224</v>
      </c>
    </row>
    <row r="5726" spans="1:22">
      <c r="A5726" t="s">
        <v>196</v>
      </c>
      <c r="B5726">
        <v>91</v>
      </c>
      <c r="C5726" t="s">
        <v>10</v>
      </c>
      <c r="D5726">
        <v>346</v>
      </c>
      <c r="E5726" t="s">
        <v>2086</v>
      </c>
      <c r="F5726">
        <v>1005</v>
      </c>
      <c r="G5726" t="s">
        <v>10</v>
      </c>
      <c r="H5726">
        <v>2005</v>
      </c>
      <c r="I5726" t="s">
        <v>10</v>
      </c>
      <c r="J5726">
        <v>3010</v>
      </c>
      <c r="K5726" t="s">
        <v>2104</v>
      </c>
      <c r="L5726">
        <v>0</v>
      </c>
      <c r="N5726" t="s">
        <v>622</v>
      </c>
      <c r="O5726">
        <v>1</v>
      </c>
      <c r="P5726">
        <v>449</v>
      </c>
      <c r="Q5726" t="s">
        <v>2118</v>
      </c>
      <c r="R5726" t="s">
        <v>201</v>
      </c>
      <c r="S5726">
        <v>2</v>
      </c>
      <c r="T5726">
        <v>1</v>
      </c>
      <c r="U5726">
        <v>82140</v>
      </c>
      <c r="V5726">
        <v>164280</v>
      </c>
    </row>
    <row r="5727" spans="1:22">
      <c r="A5727" t="s">
        <v>196</v>
      </c>
      <c r="B5727">
        <v>91</v>
      </c>
      <c r="C5727" t="s">
        <v>10</v>
      </c>
      <c r="D5727">
        <v>346</v>
      </c>
      <c r="E5727" t="s">
        <v>2086</v>
      </c>
      <c r="F5727">
        <v>1005</v>
      </c>
      <c r="G5727" t="s">
        <v>10</v>
      </c>
      <c r="H5727">
        <v>2005</v>
      </c>
      <c r="I5727" t="s">
        <v>10</v>
      </c>
      <c r="J5727">
        <v>3010</v>
      </c>
      <c r="K5727" t="s">
        <v>2104</v>
      </c>
      <c r="L5727">
        <v>0</v>
      </c>
      <c r="N5727" t="s">
        <v>622</v>
      </c>
      <c r="O5727">
        <v>1</v>
      </c>
      <c r="P5727">
        <v>449</v>
      </c>
      <c r="Q5727" t="s">
        <v>2118</v>
      </c>
      <c r="R5727" t="s">
        <v>201</v>
      </c>
      <c r="S5727">
        <v>5</v>
      </c>
      <c r="T5727">
        <v>1</v>
      </c>
      <c r="U5727">
        <v>78432</v>
      </c>
      <c r="V5727">
        <v>392160</v>
      </c>
    </row>
    <row r="5728" spans="1:22">
      <c r="A5728" t="s">
        <v>196</v>
      </c>
      <c r="B5728">
        <v>91</v>
      </c>
      <c r="C5728" t="s">
        <v>10</v>
      </c>
      <c r="D5728">
        <v>346</v>
      </c>
      <c r="E5728" t="s">
        <v>2086</v>
      </c>
      <c r="F5728">
        <v>1005</v>
      </c>
      <c r="G5728" t="s">
        <v>10</v>
      </c>
      <c r="H5728">
        <v>2005</v>
      </c>
      <c r="I5728" t="s">
        <v>10</v>
      </c>
      <c r="J5728">
        <v>3010</v>
      </c>
      <c r="K5728" t="s">
        <v>2104</v>
      </c>
      <c r="L5728">
        <v>0</v>
      </c>
      <c r="N5728" t="s">
        <v>622</v>
      </c>
      <c r="O5728">
        <v>1</v>
      </c>
      <c r="P5728">
        <v>449</v>
      </c>
      <c r="Q5728" t="s">
        <v>2118</v>
      </c>
      <c r="R5728" t="s">
        <v>201</v>
      </c>
      <c r="S5728">
        <v>2</v>
      </c>
      <c r="T5728">
        <v>1</v>
      </c>
      <c r="U5728">
        <v>74916</v>
      </c>
      <c r="V5728">
        <v>149832</v>
      </c>
    </row>
    <row r="5729" spans="1:22">
      <c r="A5729" t="s">
        <v>196</v>
      </c>
      <c r="B5729">
        <v>91</v>
      </c>
      <c r="C5729" t="s">
        <v>10</v>
      </c>
      <c r="D5729">
        <v>346</v>
      </c>
      <c r="E5729" t="s">
        <v>2086</v>
      </c>
      <c r="F5729">
        <v>1005</v>
      </c>
      <c r="G5729" t="s">
        <v>10</v>
      </c>
      <c r="H5729">
        <v>2005</v>
      </c>
      <c r="I5729" t="s">
        <v>10</v>
      </c>
      <c r="J5729">
        <v>3010</v>
      </c>
      <c r="K5729" t="s">
        <v>2104</v>
      </c>
      <c r="L5729">
        <v>0</v>
      </c>
      <c r="N5729" t="s">
        <v>622</v>
      </c>
      <c r="O5729">
        <v>1</v>
      </c>
      <c r="P5729">
        <v>449</v>
      </c>
      <c r="Q5729" t="s">
        <v>2118</v>
      </c>
      <c r="R5729" t="s">
        <v>201</v>
      </c>
      <c r="S5729">
        <v>1</v>
      </c>
      <c r="T5729">
        <v>1</v>
      </c>
      <c r="U5729">
        <v>71436</v>
      </c>
      <c r="V5729">
        <v>71436</v>
      </c>
    </row>
    <row r="5730" spans="1:22">
      <c r="A5730" t="s">
        <v>196</v>
      </c>
      <c r="B5730">
        <v>91</v>
      </c>
      <c r="C5730" t="s">
        <v>10</v>
      </c>
      <c r="D5730">
        <v>346</v>
      </c>
      <c r="E5730" t="s">
        <v>2086</v>
      </c>
      <c r="F5730">
        <v>1005</v>
      </c>
      <c r="G5730" t="s">
        <v>10</v>
      </c>
      <c r="H5730">
        <v>2005</v>
      </c>
      <c r="I5730" t="s">
        <v>10</v>
      </c>
      <c r="J5730">
        <v>3010</v>
      </c>
      <c r="K5730" t="s">
        <v>2104</v>
      </c>
      <c r="L5730">
        <v>0</v>
      </c>
      <c r="N5730" t="s">
        <v>622</v>
      </c>
      <c r="O5730">
        <v>1</v>
      </c>
      <c r="P5730">
        <v>449</v>
      </c>
      <c r="Q5730" t="s">
        <v>2118</v>
      </c>
      <c r="R5730" t="s">
        <v>201</v>
      </c>
      <c r="S5730">
        <v>3</v>
      </c>
      <c r="T5730">
        <v>1</v>
      </c>
      <c r="U5730">
        <v>68256</v>
      </c>
      <c r="V5730">
        <v>204768</v>
      </c>
    </row>
    <row r="5731" spans="1:22">
      <c r="A5731" t="s">
        <v>196</v>
      </c>
      <c r="B5731">
        <v>91</v>
      </c>
      <c r="C5731" t="s">
        <v>10</v>
      </c>
      <c r="D5731">
        <v>346</v>
      </c>
      <c r="E5731" t="s">
        <v>2086</v>
      </c>
      <c r="F5731">
        <v>1005</v>
      </c>
      <c r="G5731" t="s">
        <v>10</v>
      </c>
      <c r="H5731">
        <v>2005</v>
      </c>
      <c r="I5731" t="s">
        <v>10</v>
      </c>
      <c r="J5731">
        <v>3010</v>
      </c>
      <c r="K5731" t="s">
        <v>2104</v>
      </c>
      <c r="L5731">
        <v>0</v>
      </c>
      <c r="N5731" t="s">
        <v>622</v>
      </c>
      <c r="O5731">
        <v>1</v>
      </c>
      <c r="P5731">
        <v>449</v>
      </c>
      <c r="Q5731" t="s">
        <v>2118</v>
      </c>
      <c r="R5731" t="s">
        <v>201</v>
      </c>
      <c r="S5731">
        <v>6</v>
      </c>
      <c r="T5731">
        <v>1</v>
      </c>
      <c r="U5731">
        <v>61548</v>
      </c>
      <c r="V5731">
        <v>369288</v>
      </c>
    </row>
    <row r="5732" spans="1:22">
      <c r="A5732" t="s">
        <v>196</v>
      </c>
      <c r="B5732">
        <v>91</v>
      </c>
      <c r="C5732" t="s">
        <v>10</v>
      </c>
      <c r="D5732">
        <v>346</v>
      </c>
      <c r="E5732" t="s">
        <v>2086</v>
      </c>
      <c r="F5732">
        <v>1005</v>
      </c>
      <c r="G5732" t="s">
        <v>10</v>
      </c>
      <c r="H5732">
        <v>2005</v>
      </c>
      <c r="I5732" t="s">
        <v>10</v>
      </c>
      <c r="J5732">
        <v>3010</v>
      </c>
      <c r="K5732" t="s">
        <v>2104</v>
      </c>
      <c r="L5732">
        <v>0</v>
      </c>
      <c r="N5732" t="s">
        <v>622</v>
      </c>
      <c r="O5732">
        <v>1</v>
      </c>
      <c r="P5732">
        <v>449</v>
      </c>
      <c r="Q5732" t="s">
        <v>2118</v>
      </c>
      <c r="R5732" t="s">
        <v>201</v>
      </c>
      <c r="S5732">
        <v>3</v>
      </c>
      <c r="T5732">
        <v>1</v>
      </c>
      <c r="U5732">
        <v>58764</v>
      </c>
      <c r="V5732">
        <v>176292</v>
      </c>
    </row>
    <row r="5733" spans="1:22">
      <c r="A5733" t="s">
        <v>196</v>
      </c>
      <c r="B5733">
        <v>91</v>
      </c>
      <c r="C5733" t="s">
        <v>10</v>
      </c>
      <c r="D5733">
        <v>346</v>
      </c>
      <c r="E5733" t="s">
        <v>2086</v>
      </c>
      <c r="F5733">
        <v>1005</v>
      </c>
      <c r="G5733" t="s">
        <v>10</v>
      </c>
      <c r="H5733">
        <v>2005</v>
      </c>
      <c r="I5733" t="s">
        <v>10</v>
      </c>
      <c r="J5733">
        <v>3010</v>
      </c>
      <c r="K5733" t="s">
        <v>2104</v>
      </c>
      <c r="L5733">
        <v>0</v>
      </c>
      <c r="N5733" t="s">
        <v>622</v>
      </c>
      <c r="O5733">
        <v>1</v>
      </c>
      <c r="P5733">
        <v>449</v>
      </c>
      <c r="Q5733" t="s">
        <v>2118</v>
      </c>
      <c r="R5733" t="s">
        <v>201</v>
      </c>
      <c r="S5733">
        <v>6</v>
      </c>
      <c r="T5733">
        <v>1</v>
      </c>
      <c r="U5733">
        <v>56124</v>
      </c>
      <c r="V5733">
        <v>336744</v>
      </c>
    </row>
    <row r="5734" spans="1:22">
      <c r="A5734" t="s">
        <v>196</v>
      </c>
      <c r="B5734">
        <v>91</v>
      </c>
      <c r="C5734" t="s">
        <v>10</v>
      </c>
      <c r="D5734">
        <v>346</v>
      </c>
      <c r="E5734" t="s">
        <v>2086</v>
      </c>
      <c r="F5734">
        <v>1005</v>
      </c>
      <c r="G5734" t="s">
        <v>10</v>
      </c>
      <c r="H5734">
        <v>2005</v>
      </c>
      <c r="I5734" t="s">
        <v>10</v>
      </c>
      <c r="J5734">
        <v>3010</v>
      </c>
      <c r="K5734" t="s">
        <v>2104</v>
      </c>
      <c r="L5734">
        <v>0</v>
      </c>
      <c r="N5734" t="s">
        <v>622</v>
      </c>
      <c r="O5734">
        <v>1</v>
      </c>
      <c r="P5734">
        <v>449</v>
      </c>
      <c r="Q5734" t="s">
        <v>2118</v>
      </c>
      <c r="R5734" t="s">
        <v>201</v>
      </c>
      <c r="S5734">
        <v>6</v>
      </c>
      <c r="T5734">
        <v>1</v>
      </c>
      <c r="U5734">
        <v>53532</v>
      </c>
      <c r="V5734">
        <v>321192</v>
      </c>
    </row>
    <row r="5735" spans="1:22">
      <c r="A5735" t="s">
        <v>196</v>
      </c>
      <c r="B5735">
        <v>91</v>
      </c>
      <c r="C5735" t="s">
        <v>10</v>
      </c>
      <c r="D5735">
        <v>346</v>
      </c>
      <c r="E5735" t="s">
        <v>2086</v>
      </c>
      <c r="F5735">
        <v>1005</v>
      </c>
      <c r="G5735" t="s">
        <v>10</v>
      </c>
      <c r="H5735">
        <v>2005</v>
      </c>
      <c r="I5735" t="s">
        <v>10</v>
      </c>
      <c r="J5735">
        <v>3010</v>
      </c>
      <c r="K5735" t="s">
        <v>2104</v>
      </c>
      <c r="L5735">
        <v>0</v>
      </c>
      <c r="N5735" t="s">
        <v>622</v>
      </c>
      <c r="O5735">
        <v>1</v>
      </c>
      <c r="P5735">
        <v>449</v>
      </c>
      <c r="Q5735" t="s">
        <v>2118</v>
      </c>
      <c r="R5735" t="s">
        <v>201</v>
      </c>
      <c r="S5735">
        <v>1</v>
      </c>
      <c r="T5735">
        <v>1</v>
      </c>
      <c r="U5735">
        <v>51936</v>
      </c>
      <c r="V5735">
        <v>51936</v>
      </c>
    </row>
    <row r="5736" spans="1:22">
      <c r="A5736" t="s">
        <v>196</v>
      </c>
      <c r="B5736">
        <v>91</v>
      </c>
      <c r="C5736" t="s">
        <v>10</v>
      </c>
      <c r="D5736">
        <v>346</v>
      </c>
      <c r="E5736" t="s">
        <v>2086</v>
      </c>
      <c r="F5736">
        <v>1005</v>
      </c>
      <c r="G5736" t="s">
        <v>10</v>
      </c>
      <c r="H5736">
        <v>2005</v>
      </c>
      <c r="I5736" t="s">
        <v>10</v>
      </c>
      <c r="J5736">
        <v>3010</v>
      </c>
      <c r="K5736" t="s">
        <v>2104</v>
      </c>
      <c r="L5736">
        <v>0</v>
      </c>
      <c r="N5736" t="s">
        <v>1007</v>
      </c>
      <c r="O5736">
        <v>1</v>
      </c>
      <c r="P5736">
        <v>447</v>
      </c>
      <c r="Q5736" t="s">
        <v>2103</v>
      </c>
      <c r="R5736" t="s">
        <v>201</v>
      </c>
      <c r="S5736">
        <v>11</v>
      </c>
      <c r="T5736">
        <v>1</v>
      </c>
      <c r="U5736">
        <v>74916</v>
      </c>
      <c r="V5736">
        <v>824076</v>
      </c>
    </row>
    <row r="5737" spans="1:22">
      <c r="A5737" t="s">
        <v>196</v>
      </c>
      <c r="B5737">
        <v>91</v>
      </c>
      <c r="C5737" t="s">
        <v>10</v>
      </c>
      <c r="D5737">
        <v>346</v>
      </c>
      <c r="E5737" t="s">
        <v>2086</v>
      </c>
      <c r="F5737">
        <v>1005</v>
      </c>
      <c r="G5737" t="s">
        <v>10</v>
      </c>
      <c r="H5737">
        <v>2005</v>
      </c>
      <c r="I5737" t="s">
        <v>10</v>
      </c>
      <c r="J5737">
        <v>3010</v>
      </c>
      <c r="K5737" t="s">
        <v>2104</v>
      </c>
      <c r="L5737">
        <v>0</v>
      </c>
      <c r="N5737" t="s">
        <v>1007</v>
      </c>
      <c r="O5737">
        <v>1</v>
      </c>
      <c r="P5737">
        <v>447</v>
      </c>
      <c r="Q5737" t="s">
        <v>2103</v>
      </c>
      <c r="R5737" t="s">
        <v>201</v>
      </c>
      <c r="S5737">
        <v>2</v>
      </c>
      <c r="T5737">
        <v>1</v>
      </c>
      <c r="U5737">
        <v>68256</v>
      </c>
      <c r="V5737">
        <v>136512</v>
      </c>
    </row>
    <row r="5738" spans="1:22">
      <c r="A5738" t="s">
        <v>196</v>
      </c>
      <c r="B5738">
        <v>91</v>
      </c>
      <c r="C5738" t="s">
        <v>10</v>
      </c>
      <c r="D5738">
        <v>346</v>
      </c>
      <c r="E5738" t="s">
        <v>2086</v>
      </c>
      <c r="F5738">
        <v>1005</v>
      </c>
      <c r="G5738" t="s">
        <v>10</v>
      </c>
      <c r="H5738">
        <v>2005</v>
      </c>
      <c r="I5738" t="s">
        <v>10</v>
      </c>
      <c r="J5738">
        <v>3010</v>
      </c>
      <c r="K5738" t="s">
        <v>2104</v>
      </c>
      <c r="L5738">
        <v>0</v>
      </c>
      <c r="N5738" t="s">
        <v>1007</v>
      </c>
      <c r="O5738">
        <v>1</v>
      </c>
      <c r="P5738">
        <v>447</v>
      </c>
      <c r="Q5738" t="s">
        <v>2103</v>
      </c>
      <c r="R5738" t="s">
        <v>201</v>
      </c>
      <c r="S5738">
        <v>1</v>
      </c>
      <c r="T5738">
        <v>1</v>
      </c>
      <c r="U5738">
        <v>65112</v>
      </c>
      <c r="V5738">
        <v>65112</v>
      </c>
    </row>
    <row r="5739" spans="1:22">
      <c r="A5739" t="s">
        <v>196</v>
      </c>
      <c r="B5739">
        <v>91</v>
      </c>
      <c r="C5739" t="s">
        <v>10</v>
      </c>
      <c r="D5739">
        <v>346</v>
      </c>
      <c r="E5739" t="s">
        <v>2086</v>
      </c>
      <c r="F5739">
        <v>1005</v>
      </c>
      <c r="G5739" t="s">
        <v>10</v>
      </c>
      <c r="H5739">
        <v>2005</v>
      </c>
      <c r="I5739" t="s">
        <v>10</v>
      </c>
      <c r="J5739">
        <v>3010</v>
      </c>
      <c r="K5739" t="s">
        <v>2104</v>
      </c>
      <c r="L5739">
        <v>0</v>
      </c>
      <c r="N5739" t="s">
        <v>1007</v>
      </c>
      <c r="O5739">
        <v>1</v>
      </c>
      <c r="P5739">
        <v>447</v>
      </c>
      <c r="Q5739" t="s">
        <v>2103</v>
      </c>
      <c r="R5739" t="s">
        <v>201</v>
      </c>
      <c r="S5739">
        <v>1</v>
      </c>
      <c r="T5739">
        <v>1</v>
      </c>
      <c r="U5739">
        <v>62136</v>
      </c>
      <c r="V5739">
        <v>62136</v>
      </c>
    </row>
    <row r="5740" spans="1:22">
      <c r="A5740" t="s">
        <v>196</v>
      </c>
      <c r="B5740">
        <v>91</v>
      </c>
      <c r="C5740" t="s">
        <v>10</v>
      </c>
      <c r="D5740">
        <v>346</v>
      </c>
      <c r="E5740" t="s">
        <v>2086</v>
      </c>
      <c r="F5740">
        <v>1005</v>
      </c>
      <c r="G5740" t="s">
        <v>10</v>
      </c>
      <c r="H5740">
        <v>2005</v>
      </c>
      <c r="I5740" t="s">
        <v>10</v>
      </c>
      <c r="J5740">
        <v>3010</v>
      </c>
      <c r="K5740" t="s">
        <v>2104</v>
      </c>
      <c r="L5740">
        <v>0</v>
      </c>
      <c r="N5740" t="s">
        <v>1007</v>
      </c>
      <c r="O5740">
        <v>1</v>
      </c>
      <c r="P5740">
        <v>447</v>
      </c>
      <c r="Q5740" t="s">
        <v>2103</v>
      </c>
      <c r="R5740" t="s">
        <v>201</v>
      </c>
      <c r="S5740">
        <v>1</v>
      </c>
      <c r="T5740">
        <v>1</v>
      </c>
      <c r="U5740">
        <v>43164</v>
      </c>
      <c r="V5740">
        <v>43164</v>
      </c>
    </row>
    <row r="5741" spans="1:22">
      <c r="A5741" t="s">
        <v>196</v>
      </c>
      <c r="B5741">
        <v>91</v>
      </c>
      <c r="C5741" t="s">
        <v>10</v>
      </c>
      <c r="D5741">
        <v>346</v>
      </c>
      <c r="E5741" t="s">
        <v>2086</v>
      </c>
      <c r="F5741">
        <v>1005</v>
      </c>
      <c r="G5741" t="s">
        <v>10</v>
      </c>
      <c r="H5741">
        <v>2005</v>
      </c>
      <c r="I5741" t="s">
        <v>10</v>
      </c>
      <c r="J5741">
        <v>3010</v>
      </c>
      <c r="K5741" t="s">
        <v>2104</v>
      </c>
      <c r="L5741">
        <v>0</v>
      </c>
      <c r="N5741" t="s">
        <v>1007</v>
      </c>
      <c r="O5741">
        <v>1</v>
      </c>
      <c r="P5741">
        <v>446</v>
      </c>
      <c r="Q5741" t="s">
        <v>2119</v>
      </c>
      <c r="R5741" t="s">
        <v>713</v>
      </c>
      <c r="S5741">
        <v>89792</v>
      </c>
      <c r="T5741">
        <v>0</v>
      </c>
      <c r="U5741">
        <v>21.5</v>
      </c>
      <c r="V5741">
        <v>1930528</v>
      </c>
    </row>
    <row r="5742" spans="1:22">
      <c r="A5742" t="s">
        <v>196</v>
      </c>
      <c r="B5742">
        <v>91</v>
      </c>
      <c r="C5742" t="s">
        <v>10</v>
      </c>
      <c r="D5742">
        <v>346</v>
      </c>
      <c r="E5742" t="s">
        <v>2086</v>
      </c>
      <c r="F5742">
        <v>1005</v>
      </c>
      <c r="G5742" t="s">
        <v>10</v>
      </c>
      <c r="H5742">
        <v>2005</v>
      </c>
      <c r="I5742" t="s">
        <v>10</v>
      </c>
      <c r="J5742">
        <v>3010</v>
      </c>
      <c r="K5742" t="s">
        <v>2104</v>
      </c>
      <c r="L5742">
        <v>0</v>
      </c>
      <c r="N5742" t="s">
        <v>1007</v>
      </c>
      <c r="O5742">
        <v>1</v>
      </c>
      <c r="P5742">
        <v>445</v>
      </c>
      <c r="Q5742" t="s">
        <v>2120</v>
      </c>
      <c r="R5742" t="s">
        <v>201</v>
      </c>
      <c r="S5742">
        <v>22</v>
      </c>
      <c r="T5742">
        <v>1</v>
      </c>
      <c r="U5742">
        <v>74916</v>
      </c>
      <c r="V5742">
        <v>1648152</v>
      </c>
    </row>
    <row r="5743" spans="1:22">
      <c r="A5743" t="s">
        <v>196</v>
      </c>
      <c r="B5743">
        <v>91</v>
      </c>
      <c r="C5743" t="s">
        <v>10</v>
      </c>
      <c r="D5743">
        <v>346</v>
      </c>
      <c r="E5743" t="s">
        <v>2086</v>
      </c>
      <c r="F5743">
        <v>1005</v>
      </c>
      <c r="G5743" t="s">
        <v>10</v>
      </c>
      <c r="H5743">
        <v>2005</v>
      </c>
      <c r="I5743" t="s">
        <v>10</v>
      </c>
      <c r="J5743">
        <v>3010</v>
      </c>
      <c r="K5743" t="s">
        <v>2104</v>
      </c>
      <c r="L5743">
        <v>0</v>
      </c>
      <c r="N5743" t="s">
        <v>1007</v>
      </c>
      <c r="O5743">
        <v>1</v>
      </c>
      <c r="P5743">
        <v>445</v>
      </c>
      <c r="Q5743" t="s">
        <v>2120</v>
      </c>
      <c r="R5743" t="s">
        <v>201</v>
      </c>
      <c r="S5743">
        <v>1</v>
      </c>
      <c r="T5743">
        <v>1</v>
      </c>
      <c r="U5743">
        <v>71436</v>
      </c>
      <c r="V5743">
        <v>71436</v>
      </c>
    </row>
    <row r="5744" spans="1:22">
      <c r="A5744" t="s">
        <v>196</v>
      </c>
      <c r="B5744">
        <v>91</v>
      </c>
      <c r="C5744" t="s">
        <v>10</v>
      </c>
      <c r="D5744">
        <v>346</v>
      </c>
      <c r="E5744" t="s">
        <v>2086</v>
      </c>
      <c r="F5744">
        <v>1005</v>
      </c>
      <c r="G5744" t="s">
        <v>10</v>
      </c>
      <c r="H5744">
        <v>2005</v>
      </c>
      <c r="I5744" t="s">
        <v>10</v>
      </c>
      <c r="J5744">
        <v>3010</v>
      </c>
      <c r="K5744" t="s">
        <v>2104</v>
      </c>
      <c r="L5744">
        <v>0</v>
      </c>
      <c r="N5744" t="s">
        <v>1007</v>
      </c>
      <c r="O5744">
        <v>1</v>
      </c>
      <c r="P5744">
        <v>445</v>
      </c>
      <c r="Q5744" t="s">
        <v>2120</v>
      </c>
      <c r="R5744" t="s">
        <v>201</v>
      </c>
      <c r="S5744">
        <v>3</v>
      </c>
      <c r="T5744">
        <v>1</v>
      </c>
      <c r="U5744">
        <v>68256</v>
      </c>
      <c r="V5744">
        <v>204768</v>
      </c>
    </row>
    <row r="5745" spans="1:22">
      <c r="A5745" t="s">
        <v>196</v>
      </c>
      <c r="B5745">
        <v>91</v>
      </c>
      <c r="C5745" t="s">
        <v>10</v>
      </c>
      <c r="D5745">
        <v>346</v>
      </c>
      <c r="E5745" t="s">
        <v>2086</v>
      </c>
      <c r="F5745">
        <v>1005</v>
      </c>
      <c r="G5745" t="s">
        <v>10</v>
      </c>
      <c r="H5745">
        <v>2005</v>
      </c>
      <c r="I5745" t="s">
        <v>10</v>
      </c>
      <c r="J5745">
        <v>3010</v>
      </c>
      <c r="K5745" t="s">
        <v>2104</v>
      </c>
      <c r="L5745">
        <v>0</v>
      </c>
      <c r="N5745" t="s">
        <v>1007</v>
      </c>
      <c r="O5745">
        <v>1</v>
      </c>
      <c r="P5745">
        <v>445</v>
      </c>
      <c r="Q5745" t="s">
        <v>2120</v>
      </c>
      <c r="R5745" t="s">
        <v>201</v>
      </c>
      <c r="S5745">
        <v>1</v>
      </c>
      <c r="T5745">
        <v>1</v>
      </c>
      <c r="U5745">
        <v>65112</v>
      </c>
      <c r="V5745">
        <v>65112</v>
      </c>
    </row>
    <row r="5746" spans="1:22">
      <c r="A5746" t="s">
        <v>196</v>
      </c>
      <c r="B5746">
        <v>91</v>
      </c>
      <c r="C5746" t="s">
        <v>10</v>
      </c>
      <c r="D5746">
        <v>346</v>
      </c>
      <c r="E5746" t="s">
        <v>2086</v>
      </c>
      <c r="F5746">
        <v>1005</v>
      </c>
      <c r="G5746" t="s">
        <v>10</v>
      </c>
      <c r="H5746">
        <v>2005</v>
      </c>
      <c r="I5746" t="s">
        <v>10</v>
      </c>
      <c r="J5746">
        <v>3010</v>
      </c>
      <c r="K5746" t="s">
        <v>2104</v>
      </c>
      <c r="L5746">
        <v>0</v>
      </c>
      <c r="N5746" t="s">
        <v>1007</v>
      </c>
      <c r="O5746">
        <v>1</v>
      </c>
      <c r="P5746">
        <v>445</v>
      </c>
      <c r="Q5746" t="s">
        <v>2120</v>
      </c>
      <c r="R5746" t="s">
        <v>201</v>
      </c>
      <c r="S5746">
        <v>1</v>
      </c>
      <c r="T5746">
        <v>1</v>
      </c>
      <c r="U5746">
        <v>62136</v>
      </c>
      <c r="V5746">
        <v>62136</v>
      </c>
    </row>
    <row r="5747" spans="1:22">
      <c r="A5747" t="s">
        <v>196</v>
      </c>
      <c r="B5747">
        <v>91</v>
      </c>
      <c r="C5747" t="s">
        <v>10</v>
      </c>
      <c r="D5747">
        <v>346</v>
      </c>
      <c r="E5747" t="s">
        <v>2086</v>
      </c>
      <c r="F5747">
        <v>1005</v>
      </c>
      <c r="G5747" t="s">
        <v>10</v>
      </c>
      <c r="H5747">
        <v>2005</v>
      </c>
      <c r="I5747" t="s">
        <v>10</v>
      </c>
      <c r="J5747">
        <v>3010</v>
      </c>
      <c r="K5747" t="s">
        <v>2104</v>
      </c>
      <c r="L5747">
        <v>0</v>
      </c>
      <c r="N5747" t="s">
        <v>1007</v>
      </c>
      <c r="O5747">
        <v>1</v>
      </c>
      <c r="P5747">
        <v>445</v>
      </c>
      <c r="Q5747" t="s">
        <v>2120</v>
      </c>
      <c r="R5747" t="s">
        <v>201</v>
      </c>
      <c r="S5747">
        <v>4</v>
      </c>
      <c r="T5747">
        <v>1</v>
      </c>
      <c r="U5747">
        <v>59364</v>
      </c>
      <c r="V5747">
        <v>237456</v>
      </c>
    </row>
    <row r="5748" spans="1:22">
      <c r="A5748" t="s">
        <v>196</v>
      </c>
      <c r="B5748">
        <v>91</v>
      </c>
      <c r="C5748" t="s">
        <v>10</v>
      </c>
      <c r="D5748">
        <v>346</v>
      </c>
      <c r="E5748" t="s">
        <v>2086</v>
      </c>
      <c r="F5748">
        <v>1005</v>
      </c>
      <c r="G5748" t="s">
        <v>10</v>
      </c>
      <c r="H5748">
        <v>2005</v>
      </c>
      <c r="I5748" t="s">
        <v>10</v>
      </c>
      <c r="J5748">
        <v>3010</v>
      </c>
      <c r="K5748" t="s">
        <v>2104</v>
      </c>
      <c r="L5748">
        <v>0</v>
      </c>
      <c r="N5748" t="s">
        <v>1007</v>
      </c>
      <c r="O5748">
        <v>1</v>
      </c>
      <c r="P5748">
        <v>445</v>
      </c>
      <c r="Q5748" t="s">
        <v>2120</v>
      </c>
      <c r="R5748" t="s">
        <v>201</v>
      </c>
      <c r="S5748">
        <v>3</v>
      </c>
      <c r="T5748">
        <v>1</v>
      </c>
      <c r="U5748">
        <v>56712</v>
      </c>
      <c r="V5748">
        <v>170136</v>
      </c>
    </row>
    <row r="5749" spans="1:22">
      <c r="A5749" t="s">
        <v>196</v>
      </c>
      <c r="B5749">
        <v>91</v>
      </c>
      <c r="C5749" t="s">
        <v>10</v>
      </c>
      <c r="D5749">
        <v>346</v>
      </c>
      <c r="E5749" t="s">
        <v>2086</v>
      </c>
      <c r="F5749">
        <v>1005</v>
      </c>
      <c r="G5749" t="s">
        <v>10</v>
      </c>
      <c r="H5749">
        <v>2005</v>
      </c>
      <c r="I5749" t="s">
        <v>10</v>
      </c>
      <c r="J5749">
        <v>3010</v>
      </c>
      <c r="K5749" t="s">
        <v>2104</v>
      </c>
      <c r="L5749">
        <v>0</v>
      </c>
      <c r="N5749" t="s">
        <v>1007</v>
      </c>
      <c r="O5749">
        <v>1</v>
      </c>
      <c r="P5749">
        <v>445</v>
      </c>
      <c r="Q5749" t="s">
        <v>2120</v>
      </c>
      <c r="R5749" t="s">
        <v>201</v>
      </c>
      <c r="S5749">
        <v>7</v>
      </c>
      <c r="T5749">
        <v>1</v>
      </c>
      <c r="U5749">
        <v>53532</v>
      </c>
      <c r="V5749">
        <v>374724</v>
      </c>
    </row>
    <row r="5750" spans="1:22">
      <c r="A5750" t="s">
        <v>196</v>
      </c>
      <c r="B5750">
        <v>91</v>
      </c>
      <c r="C5750" t="s">
        <v>10</v>
      </c>
      <c r="D5750">
        <v>346</v>
      </c>
      <c r="E5750" t="s">
        <v>2086</v>
      </c>
      <c r="F5750">
        <v>1005</v>
      </c>
      <c r="G5750" t="s">
        <v>10</v>
      </c>
      <c r="H5750">
        <v>2005</v>
      </c>
      <c r="I5750" t="s">
        <v>10</v>
      </c>
      <c r="J5750">
        <v>3010</v>
      </c>
      <c r="K5750" t="s">
        <v>2104</v>
      </c>
      <c r="L5750">
        <v>0</v>
      </c>
      <c r="N5750" t="s">
        <v>1007</v>
      </c>
      <c r="O5750">
        <v>1</v>
      </c>
      <c r="P5750">
        <v>445</v>
      </c>
      <c r="Q5750" t="s">
        <v>2120</v>
      </c>
      <c r="R5750" t="s">
        <v>201</v>
      </c>
      <c r="S5750">
        <v>7</v>
      </c>
      <c r="T5750">
        <v>1</v>
      </c>
      <c r="U5750">
        <v>51108</v>
      </c>
      <c r="V5750">
        <v>357756</v>
      </c>
    </row>
    <row r="5751" spans="1:22">
      <c r="A5751" t="s">
        <v>196</v>
      </c>
      <c r="B5751">
        <v>91</v>
      </c>
      <c r="C5751" t="s">
        <v>10</v>
      </c>
      <c r="D5751">
        <v>346</v>
      </c>
      <c r="E5751" t="s">
        <v>2086</v>
      </c>
      <c r="F5751">
        <v>1005</v>
      </c>
      <c r="G5751" t="s">
        <v>10</v>
      </c>
      <c r="H5751">
        <v>2005</v>
      </c>
      <c r="I5751" t="s">
        <v>10</v>
      </c>
      <c r="J5751">
        <v>3010</v>
      </c>
      <c r="K5751" t="s">
        <v>2104</v>
      </c>
      <c r="L5751">
        <v>0</v>
      </c>
      <c r="N5751" t="s">
        <v>1007</v>
      </c>
      <c r="O5751">
        <v>1</v>
      </c>
      <c r="P5751">
        <v>445</v>
      </c>
      <c r="Q5751" t="s">
        <v>2120</v>
      </c>
      <c r="R5751" t="s">
        <v>201</v>
      </c>
      <c r="S5751">
        <v>3</v>
      </c>
      <c r="T5751">
        <v>1</v>
      </c>
      <c r="U5751">
        <v>48864</v>
      </c>
      <c r="V5751">
        <v>146592</v>
      </c>
    </row>
    <row r="5752" spans="1:22">
      <c r="A5752" t="s">
        <v>196</v>
      </c>
      <c r="B5752">
        <v>91</v>
      </c>
      <c r="C5752" t="s">
        <v>10</v>
      </c>
      <c r="D5752">
        <v>346</v>
      </c>
      <c r="E5752" t="s">
        <v>2086</v>
      </c>
      <c r="F5752">
        <v>1005</v>
      </c>
      <c r="G5752" t="s">
        <v>10</v>
      </c>
      <c r="H5752">
        <v>2005</v>
      </c>
      <c r="I5752" t="s">
        <v>10</v>
      </c>
      <c r="J5752">
        <v>3010</v>
      </c>
      <c r="K5752" t="s">
        <v>2104</v>
      </c>
      <c r="L5752">
        <v>0</v>
      </c>
      <c r="N5752" t="s">
        <v>1007</v>
      </c>
      <c r="O5752">
        <v>1</v>
      </c>
      <c r="P5752">
        <v>445</v>
      </c>
      <c r="Q5752" t="s">
        <v>2120</v>
      </c>
      <c r="R5752" t="s">
        <v>201</v>
      </c>
      <c r="S5752">
        <v>25</v>
      </c>
      <c r="T5752">
        <v>1</v>
      </c>
      <c r="U5752">
        <v>46560</v>
      </c>
      <c r="V5752">
        <v>1164000</v>
      </c>
    </row>
    <row r="5753" spans="1:22">
      <c r="A5753" t="s">
        <v>196</v>
      </c>
      <c r="B5753">
        <v>91</v>
      </c>
      <c r="C5753" t="s">
        <v>10</v>
      </c>
      <c r="D5753">
        <v>346</v>
      </c>
      <c r="E5753" t="s">
        <v>2086</v>
      </c>
      <c r="F5753">
        <v>1005</v>
      </c>
      <c r="G5753" t="s">
        <v>10</v>
      </c>
      <c r="H5753">
        <v>2005</v>
      </c>
      <c r="I5753" t="s">
        <v>10</v>
      </c>
      <c r="J5753">
        <v>3010</v>
      </c>
      <c r="K5753" t="s">
        <v>2104</v>
      </c>
      <c r="L5753">
        <v>0</v>
      </c>
      <c r="N5753" t="s">
        <v>1007</v>
      </c>
      <c r="O5753">
        <v>1</v>
      </c>
      <c r="P5753">
        <v>445</v>
      </c>
      <c r="Q5753" t="s">
        <v>2120</v>
      </c>
      <c r="R5753" t="s">
        <v>201</v>
      </c>
      <c r="S5753">
        <v>40</v>
      </c>
      <c r="T5753">
        <v>1</v>
      </c>
      <c r="U5753">
        <v>44496</v>
      </c>
      <c r="V5753">
        <v>1779840</v>
      </c>
    </row>
    <row r="5754" spans="1:22">
      <c r="A5754" t="s">
        <v>196</v>
      </c>
      <c r="B5754">
        <v>91</v>
      </c>
      <c r="C5754" t="s">
        <v>10</v>
      </c>
      <c r="D5754">
        <v>346</v>
      </c>
      <c r="E5754" t="s">
        <v>2086</v>
      </c>
      <c r="F5754">
        <v>1005</v>
      </c>
      <c r="G5754" t="s">
        <v>10</v>
      </c>
      <c r="H5754">
        <v>2005</v>
      </c>
      <c r="I5754" t="s">
        <v>10</v>
      </c>
      <c r="J5754">
        <v>3010</v>
      </c>
      <c r="K5754" t="s">
        <v>2104</v>
      </c>
      <c r="L5754">
        <v>0</v>
      </c>
      <c r="N5754" t="s">
        <v>1007</v>
      </c>
      <c r="O5754">
        <v>1</v>
      </c>
      <c r="P5754">
        <v>445</v>
      </c>
      <c r="Q5754" t="s">
        <v>2120</v>
      </c>
      <c r="R5754" t="s">
        <v>201</v>
      </c>
      <c r="S5754">
        <v>14</v>
      </c>
      <c r="T5754">
        <v>1</v>
      </c>
      <c r="U5754">
        <v>43164</v>
      </c>
      <c r="V5754">
        <v>604296</v>
      </c>
    </row>
    <row r="5755" spans="1:22">
      <c r="A5755" t="s">
        <v>196</v>
      </c>
      <c r="B5755">
        <v>91</v>
      </c>
      <c r="C5755" t="s">
        <v>10</v>
      </c>
      <c r="D5755">
        <v>346</v>
      </c>
      <c r="E5755" t="s">
        <v>2086</v>
      </c>
      <c r="F5755">
        <v>1005</v>
      </c>
      <c r="G5755" t="s">
        <v>10</v>
      </c>
      <c r="H5755">
        <v>2005</v>
      </c>
      <c r="I5755" t="s">
        <v>10</v>
      </c>
      <c r="J5755">
        <v>3010</v>
      </c>
      <c r="K5755" t="s">
        <v>2104</v>
      </c>
      <c r="L5755">
        <v>0</v>
      </c>
      <c r="N5755" t="s">
        <v>351</v>
      </c>
      <c r="O5755">
        <v>1</v>
      </c>
      <c r="P5755" t="s">
        <v>352</v>
      </c>
      <c r="Q5755" t="s">
        <v>353</v>
      </c>
      <c r="R5755" t="s">
        <v>201</v>
      </c>
      <c r="S5755">
        <v>2</v>
      </c>
      <c r="T5755">
        <v>1</v>
      </c>
      <c r="U5755">
        <v>108576</v>
      </c>
      <c r="V5755">
        <v>217152</v>
      </c>
    </row>
    <row r="5756" spans="1:22">
      <c r="A5756" t="s">
        <v>196</v>
      </c>
      <c r="B5756">
        <v>91</v>
      </c>
      <c r="C5756" t="s">
        <v>10</v>
      </c>
      <c r="D5756">
        <v>346</v>
      </c>
      <c r="E5756" t="s">
        <v>2086</v>
      </c>
      <c r="F5756">
        <v>1005</v>
      </c>
      <c r="G5756" t="s">
        <v>10</v>
      </c>
      <c r="H5756">
        <v>2005</v>
      </c>
      <c r="I5756" t="s">
        <v>10</v>
      </c>
      <c r="J5756">
        <v>3010</v>
      </c>
      <c r="K5756" t="s">
        <v>2104</v>
      </c>
      <c r="L5756">
        <v>0</v>
      </c>
      <c r="N5756" t="s">
        <v>351</v>
      </c>
      <c r="O5756">
        <v>1</v>
      </c>
      <c r="P5756" t="s">
        <v>352</v>
      </c>
      <c r="Q5756" t="s">
        <v>353</v>
      </c>
      <c r="R5756" t="s">
        <v>201</v>
      </c>
      <c r="S5756">
        <v>1</v>
      </c>
      <c r="T5756">
        <v>1</v>
      </c>
      <c r="U5756">
        <v>67608</v>
      </c>
      <c r="V5756">
        <v>67608</v>
      </c>
    </row>
    <row r="5757" spans="1:22">
      <c r="A5757" t="s">
        <v>196</v>
      </c>
      <c r="B5757">
        <v>91</v>
      </c>
      <c r="C5757" t="s">
        <v>10</v>
      </c>
      <c r="D5757">
        <v>346</v>
      </c>
      <c r="E5757" t="s">
        <v>2086</v>
      </c>
      <c r="F5757">
        <v>1005</v>
      </c>
      <c r="G5757" t="s">
        <v>10</v>
      </c>
      <c r="H5757">
        <v>2005</v>
      </c>
      <c r="I5757" t="s">
        <v>10</v>
      </c>
      <c r="J5757">
        <v>3010</v>
      </c>
      <c r="K5757" t="s">
        <v>2104</v>
      </c>
      <c r="L5757">
        <v>0</v>
      </c>
      <c r="N5757" t="s">
        <v>622</v>
      </c>
      <c r="O5757">
        <v>1</v>
      </c>
      <c r="P5757" t="s">
        <v>667</v>
      </c>
      <c r="Q5757" t="s">
        <v>205</v>
      </c>
      <c r="R5757" t="s">
        <v>201</v>
      </c>
      <c r="S5757">
        <v>3</v>
      </c>
      <c r="T5757">
        <v>1</v>
      </c>
      <c r="U5757">
        <v>90144</v>
      </c>
      <c r="V5757">
        <v>270432</v>
      </c>
    </row>
    <row r="5758" spans="1:22">
      <c r="A5758" t="s">
        <v>196</v>
      </c>
      <c r="B5758">
        <v>91</v>
      </c>
      <c r="C5758" t="s">
        <v>10</v>
      </c>
      <c r="D5758">
        <v>346</v>
      </c>
      <c r="E5758" t="s">
        <v>2086</v>
      </c>
      <c r="F5758">
        <v>1005</v>
      </c>
      <c r="G5758" t="s">
        <v>10</v>
      </c>
      <c r="H5758">
        <v>2005</v>
      </c>
      <c r="I5758" t="s">
        <v>10</v>
      </c>
      <c r="J5758">
        <v>3010</v>
      </c>
      <c r="K5758" t="s">
        <v>2104</v>
      </c>
      <c r="L5758">
        <v>0</v>
      </c>
      <c r="N5758" t="s">
        <v>622</v>
      </c>
      <c r="O5758">
        <v>1</v>
      </c>
      <c r="P5758" t="s">
        <v>667</v>
      </c>
      <c r="Q5758" t="s">
        <v>205</v>
      </c>
      <c r="R5758" t="s">
        <v>201</v>
      </c>
      <c r="S5758">
        <v>1</v>
      </c>
      <c r="T5758">
        <v>1</v>
      </c>
      <c r="U5758">
        <v>82140</v>
      </c>
      <c r="V5758">
        <v>82140</v>
      </c>
    </row>
    <row r="5759" spans="1:22">
      <c r="A5759" t="s">
        <v>196</v>
      </c>
      <c r="B5759">
        <v>91</v>
      </c>
      <c r="C5759" t="s">
        <v>10</v>
      </c>
      <c r="D5759">
        <v>346</v>
      </c>
      <c r="E5759" t="s">
        <v>2086</v>
      </c>
      <c r="F5759">
        <v>1005</v>
      </c>
      <c r="G5759" t="s">
        <v>10</v>
      </c>
      <c r="H5759">
        <v>2005</v>
      </c>
      <c r="I5759" t="s">
        <v>10</v>
      </c>
      <c r="J5759">
        <v>3010</v>
      </c>
      <c r="K5759" t="s">
        <v>2104</v>
      </c>
      <c r="L5759">
        <v>0</v>
      </c>
      <c r="N5759" t="s">
        <v>622</v>
      </c>
      <c r="O5759">
        <v>1</v>
      </c>
      <c r="P5759" t="s">
        <v>667</v>
      </c>
      <c r="Q5759" t="s">
        <v>205</v>
      </c>
      <c r="R5759" t="s">
        <v>201</v>
      </c>
      <c r="S5759">
        <v>1</v>
      </c>
      <c r="T5759">
        <v>1</v>
      </c>
      <c r="U5759">
        <v>71436</v>
      </c>
      <c r="V5759">
        <v>71436</v>
      </c>
    </row>
    <row r="5760" spans="1:22">
      <c r="A5760" t="s">
        <v>196</v>
      </c>
      <c r="B5760">
        <v>91</v>
      </c>
      <c r="C5760" t="s">
        <v>10</v>
      </c>
      <c r="D5760">
        <v>346</v>
      </c>
      <c r="E5760" t="s">
        <v>2086</v>
      </c>
      <c r="F5760">
        <v>1005</v>
      </c>
      <c r="G5760" t="s">
        <v>10</v>
      </c>
      <c r="H5760">
        <v>2005</v>
      </c>
      <c r="I5760" t="s">
        <v>10</v>
      </c>
      <c r="J5760">
        <v>3010</v>
      </c>
      <c r="K5760" t="s">
        <v>2104</v>
      </c>
      <c r="L5760">
        <v>0</v>
      </c>
      <c r="N5760" t="s">
        <v>622</v>
      </c>
      <c r="O5760">
        <v>1</v>
      </c>
      <c r="P5760" t="s">
        <v>667</v>
      </c>
      <c r="Q5760" t="s">
        <v>205</v>
      </c>
      <c r="R5760" t="s">
        <v>201</v>
      </c>
      <c r="S5760">
        <v>1</v>
      </c>
      <c r="T5760">
        <v>1</v>
      </c>
      <c r="U5760">
        <v>61548</v>
      </c>
      <c r="V5760">
        <v>61548</v>
      </c>
    </row>
    <row r="5761" spans="1:22">
      <c r="A5761" t="s">
        <v>196</v>
      </c>
      <c r="B5761">
        <v>91</v>
      </c>
      <c r="C5761" t="s">
        <v>10</v>
      </c>
      <c r="D5761">
        <v>346</v>
      </c>
      <c r="E5761" t="s">
        <v>2086</v>
      </c>
      <c r="F5761">
        <v>1005</v>
      </c>
      <c r="G5761" t="s">
        <v>10</v>
      </c>
      <c r="H5761">
        <v>2005</v>
      </c>
      <c r="I5761" t="s">
        <v>10</v>
      </c>
      <c r="J5761">
        <v>3010</v>
      </c>
      <c r="K5761" t="s">
        <v>2104</v>
      </c>
      <c r="L5761">
        <v>0</v>
      </c>
      <c r="N5761" t="s">
        <v>622</v>
      </c>
      <c r="O5761">
        <v>1</v>
      </c>
      <c r="P5761" t="s">
        <v>667</v>
      </c>
      <c r="Q5761" t="s">
        <v>205</v>
      </c>
      <c r="R5761" t="s">
        <v>201</v>
      </c>
      <c r="S5761">
        <v>1</v>
      </c>
      <c r="T5761">
        <v>1</v>
      </c>
      <c r="U5761">
        <v>51936</v>
      </c>
      <c r="V5761">
        <v>51936</v>
      </c>
    </row>
    <row r="5762" spans="1:22">
      <c r="A5762" t="s">
        <v>196</v>
      </c>
      <c r="B5762">
        <v>91</v>
      </c>
      <c r="C5762" t="s">
        <v>10</v>
      </c>
      <c r="D5762">
        <v>346</v>
      </c>
      <c r="E5762" t="s">
        <v>2086</v>
      </c>
      <c r="F5762">
        <v>1005</v>
      </c>
      <c r="G5762" t="s">
        <v>10</v>
      </c>
      <c r="H5762">
        <v>2005</v>
      </c>
      <c r="I5762" t="s">
        <v>10</v>
      </c>
      <c r="J5762">
        <v>3010</v>
      </c>
      <c r="K5762" t="s">
        <v>2104</v>
      </c>
      <c r="L5762">
        <v>0</v>
      </c>
      <c r="N5762" t="s">
        <v>274</v>
      </c>
      <c r="O5762">
        <v>9</v>
      </c>
      <c r="P5762">
        <v>313</v>
      </c>
      <c r="Q5762" t="s">
        <v>605</v>
      </c>
      <c r="R5762" t="s">
        <v>201</v>
      </c>
      <c r="S5762">
        <v>1</v>
      </c>
      <c r="T5762">
        <v>1</v>
      </c>
      <c r="U5762">
        <v>153384</v>
      </c>
      <c r="V5762">
        <v>153384</v>
      </c>
    </row>
    <row r="5763" spans="1:22">
      <c r="A5763" t="s">
        <v>196</v>
      </c>
      <c r="B5763">
        <v>91</v>
      </c>
      <c r="C5763" t="s">
        <v>10</v>
      </c>
      <c r="D5763">
        <v>346</v>
      </c>
      <c r="E5763" t="s">
        <v>2086</v>
      </c>
      <c r="F5763">
        <v>1005</v>
      </c>
      <c r="G5763" t="s">
        <v>10</v>
      </c>
      <c r="H5763">
        <v>2005</v>
      </c>
      <c r="I5763" t="s">
        <v>10</v>
      </c>
      <c r="J5763">
        <v>3010</v>
      </c>
      <c r="K5763" t="s">
        <v>2104</v>
      </c>
      <c r="L5763">
        <v>0</v>
      </c>
      <c r="N5763" t="s">
        <v>251</v>
      </c>
      <c r="O5763">
        <v>20</v>
      </c>
      <c r="P5763">
        <v>309</v>
      </c>
      <c r="Q5763" t="s">
        <v>1211</v>
      </c>
      <c r="R5763" t="s">
        <v>201</v>
      </c>
      <c r="S5763">
        <v>1</v>
      </c>
      <c r="T5763">
        <v>1</v>
      </c>
      <c r="U5763">
        <v>98832</v>
      </c>
      <c r="V5763">
        <v>98832</v>
      </c>
    </row>
    <row r="5764" spans="1:22">
      <c r="A5764" t="s">
        <v>196</v>
      </c>
      <c r="B5764">
        <v>91</v>
      </c>
      <c r="C5764" t="s">
        <v>10</v>
      </c>
      <c r="D5764">
        <v>346</v>
      </c>
      <c r="E5764" t="s">
        <v>2086</v>
      </c>
      <c r="F5764">
        <v>1005</v>
      </c>
      <c r="G5764" t="s">
        <v>10</v>
      </c>
      <c r="H5764">
        <v>2005</v>
      </c>
      <c r="I5764" t="s">
        <v>10</v>
      </c>
      <c r="J5764">
        <v>3010</v>
      </c>
      <c r="K5764" t="s">
        <v>2104</v>
      </c>
      <c r="L5764">
        <v>0</v>
      </c>
      <c r="N5764" t="s">
        <v>341</v>
      </c>
      <c r="O5764">
        <v>1</v>
      </c>
      <c r="P5764">
        <v>308</v>
      </c>
      <c r="Q5764" t="s">
        <v>355</v>
      </c>
      <c r="R5764" t="s">
        <v>201</v>
      </c>
      <c r="S5764">
        <v>1</v>
      </c>
      <c r="T5764">
        <v>1</v>
      </c>
      <c r="U5764">
        <v>70752</v>
      </c>
      <c r="V5764">
        <v>70752</v>
      </c>
    </row>
    <row r="5765" spans="1:22">
      <c r="A5765" t="s">
        <v>196</v>
      </c>
      <c r="B5765">
        <v>91</v>
      </c>
      <c r="C5765" t="s">
        <v>10</v>
      </c>
      <c r="D5765">
        <v>346</v>
      </c>
      <c r="E5765" t="s">
        <v>2086</v>
      </c>
      <c r="F5765">
        <v>1005</v>
      </c>
      <c r="G5765" t="s">
        <v>10</v>
      </c>
      <c r="H5765">
        <v>2005</v>
      </c>
      <c r="I5765" t="s">
        <v>10</v>
      </c>
      <c r="J5765">
        <v>3010</v>
      </c>
      <c r="K5765" t="s">
        <v>2104</v>
      </c>
      <c r="L5765">
        <v>0</v>
      </c>
      <c r="N5765" t="s">
        <v>199</v>
      </c>
      <c r="O5765">
        <v>0</v>
      </c>
      <c r="P5765">
        <v>15</v>
      </c>
      <c r="Q5765" t="s">
        <v>264</v>
      </c>
      <c r="R5765" t="s">
        <v>201</v>
      </c>
      <c r="S5765">
        <v>0</v>
      </c>
      <c r="T5765">
        <v>0</v>
      </c>
      <c r="U5765">
        <v>529776</v>
      </c>
      <c r="V5765">
        <v>529776</v>
      </c>
    </row>
    <row r="5766" spans="1:22">
      <c r="A5766" t="s">
        <v>196</v>
      </c>
      <c r="B5766">
        <v>91</v>
      </c>
      <c r="C5766" t="s">
        <v>10</v>
      </c>
      <c r="D5766">
        <v>346</v>
      </c>
      <c r="E5766" t="s">
        <v>2086</v>
      </c>
      <c r="F5766">
        <v>1005</v>
      </c>
      <c r="G5766" t="s">
        <v>10</v>
      </c>
      <c r="H5766">
        <v>2005</v>
      </c>
      <c r="I5766" t="s">
        <v>10</v>
      </c>
      <c r="J5766">
        <v>3016</v>
      </c>
      <c r="K5766" t="s">
        <v>2121</v>
      </c>
      <c r="L5766">
        <v>0</v>
      </c>
      <c r="N5766" t="s">
        <v>281</v>
      </c>
      <c r="O5766">
        <v>20</v>
      </c>
      <c r="P5766">
        <v>1141</v>
      </c>
      <c r="Q5766" t="s">
        <v>332</v>
      </c>
      <c r="R5766" t="s">
        <v>201</v>
      </c>
      <c r="S5766">
        <v>1</v>
      </c>
      <c r="T5766">
        <v>1</v>
      </c>
      <c r="U5766">
        <v>112080</v>
      </c>
      <c r="V5766">
        <v>112080</v>
      </c>
    </row>
    <row r="5767" spans="1:22">
      <c r="A5767" t="s">
        <v>196</v>
      </c>
      <c r="B5767">
        <v>91</v>
      </c>
      <c r="C5767" t="s">
        <v>10</v>
      </c>
      <c r="D5767">
        <v>346</v>
      </c>
      <c r="E5767" t="s">
        <v>2086</v>
      </c>
      <c r="F5767">
        <v>1005</v>
      </c>
      <c r="G5767" t="s">
        <v>10</v>
      </c>
      <c r="H5767">
        <v>2005</v>
      </c>
      <c r="I5767" t="s">
        <v>10</v>
      </c>
      <c r="J5767">
        <v>3016</v>
      </c>
      <c r="K5767" t="s">
        <v>2121</v>
      </c>
      <c r="L5767">
        <v>0</v>
      </c>
      <c r="N5767" t="s">
        <v>351</v>
      </c>
      <c r="O5767">
        <v>1</v>
      </c>
      <c r="P5767">
        <v>690</v>
      </c>
      <c r="Q5767" t="s">
        <v>2122</v>
      </c>
      <c r="R5767" t="s">
        <v>201</v>
      </c>
      <c r="S5767">
        <v>1</v>
      </c>
      <c r="T5767">
        <v>1</v>
      </c>
      <c r="U5767">
        <v>70752</v>
      </c>
      <c r="V5767">
        <v>70752</v>
      </c>
    </row>
    <row r="5768" spans="1:22">
      <c r="A5768" t="s">
        <v>196</v>
      </c>
      <c r="B5768">
        <v>91</v>
      </c>
      <c r="C5768" t="s">
        <v>10</v>
      </c>
      <c r="D5768">
        <v>346</v>
      </c>
      <c r="E5768" t="s">
        <v>2086</v>
      </c>
      <c r="F5768">
        <v>1005</v>
      </c>
      <c r="G5768" t="s">
        <v>10</v>
      </c>
      <c r="H5768">
        <v>2005</v>
      </c>
      <c r="I5768" t="s">
        <v>10</v>
      </c>
      <c r="J5768">
        <v>3016</v>
      </c>
      <c r="K5768" t="s">
        <v>2121</v>
      </c>
      <c r="L5768">
        <v>0</v>
      </c>
      <c r="N5768" t="s">
        <v>351</v>
      </c>
      <c r="O5768">
        <v>1</v>
      </c>
      <c r="P5768">
        <v>690</v>
      </c>
      <c r="Q5768" t="s">
        <v>2122</v>
      </c>
      <c r="R5768" t="s">
        <v>201</v>
      </c>
      <c r="S5768">
        <v>1</v>
      </c>
      <c r="T5768">
        <v>1</v>
      </c>
      <c r="U5768">
        <v>67608</v>
      </c>
      <c r="V5768">
        <v>67608</v>
      </c>
    </row>
    <row r="5769" spans="1:22">
      <c r="A5769" t="s">
        <v>196</v>
      </c>
      <c r="B5769">
        <v>91</v>
      </c>
      <c r="C5769" t="s">
        <v>10</v>
      </c>
      <c r="D5769">
        <v>346</v>
      </c>
      <c r="E5769" t="s">
        <v>2086</v>
      </c>
      <c r="F5769">
        <v>1005</v>
      </c>
      <c r="G5769" t="s">
        <v>10</v>
      </c>
      <c r="H5769">
        <v>2005</v>
      </c>
      <c r="I5769" t="s">
        <v>10</v>
      </c>
      <c r="J5769">
        <v>3016</v>
      </c>
      <c r="K5769" t="s">
        <v>2121</v>
      </c>
      <c r="L5769">
        <v>0</v>
      </c>
      <c r="N5769" t="s">
        <v>372</v>
      </c>
      <c r="O5769">
        <v>1</v>
      </c>
      <c r="P5769">
        <v>689</v>
      </c>
      <c r="Q5769" t="s">
        <v>685</v>
      </c>
      <c r="R5769" t="s">
        <v>201</v>
      </c>
      <c r="S5769">
        <v>4</v>
      </c>
      <c r="T5769">
        <v>1</v>
      </c>
      <c r="U5769">
        <v>130668</v>
      </c>
      <c r="V5769">
        <v>522672</v>
      </c>
    </row>
    <row r="5770" spans="1:22">
      <c r="A5770" t="s">
        <v>196</v>
      </c>
      <c r="B5770">
        <v>91</v>
      </c>
      <c r="C5770" t="s">
        <v>10</v>
      </c>
      <c r="D5770">
        <v>346</v>
      </c>
      <c r="E5770" t="s">
        <v>2086</v>
      </c>
      <c r="F5770">
        <v>1005</v>
      </c>
      <c r="G5770" t="s">
        <v>10</v>
      </c>
      <c r="H5770">
        <v>2005</v>
      </c>
      <c r="I5770" t="s">
        <v>10</v>
      </c>
      <c r="J5770">
        <v>3016</v>
      </c>
      <c r="K5770" t="s">
        <v>2121</v>
      </c>
      <c r="L5770">
        <v>0</v>
      </c>
      <c r="N5770" t="s">
        <v>372</v>
      </c>
      <c r="O5770">
        <v>1</v>
      </c>
      <c r="P5770">
        <v>689</v>
      </c>
      <c r="Q5770" t="s">
        <v>685</v>
      </c>
      <c r="R5770" t="s">
        <v>201</v>
      </c>
      <c r="S5770">
        <v>1</v>
      </c>
      <c r="T5770">
        <v>1</v>
      </c>
      <c r="U5770">
        <v>81324</v>
      </c>
      <c r="V5770">
        <v>81324</v>
      </c>
    </row>
    <row r="5771" spans="1:22">
      <c r="A5771" t="s">
        <v>196</v>
      </c>
      <c r="B5771">
        <v>91</v>
      </c>
      <c r="C5771" t="s">
        <v>10</v>
      </c>
      <c r="D5771">
        <v>346</v>
      </c>
      <c r="E5771" t="s">
        <v>2086</v>
      </c>
      <c r="F5771">
        <v>1005</v>
      </c>
      <c r="G5771" t="s">
        <v>10</v>
      </c>
      <c r="H5771">
        <v>2005</v>
      </c>
      <c r="I5771" t="s">
        <v>10</v>
      </c>
      <c r="J5771">
        <v>3016</v>
      </c>
      <c r="K5771" t="s">
        <v>2121</v>
      </c>
      <c r="L5771">
        <v>0</v>
      </c>
      <c r="N5771" t="s">
        <v>253</v>
      </c>
      <c r="O5771">
        <v>10</v>
      </c>
      <c r="P5771">
        <v>687</v>
      </c>
      <c r="Q5771" t="s">
        <v>2123</v>
      </c>
      <c r="R5771" t="s">
        <v>201</v>
      </c>
      <c r="S5771">
        <v>1</v>
      </c>
      <c r="T5771">
        <v>1</v>
      </c>
      <c r="U5771">
        <v>136692</v>
      </c>
      <c r="V5771">
        <v>136692</v>
      </c>
    </row>
    <row r="5772" spans="1:22">
      <c r="A5772" t="s">
        <v>196</v>
      </c>
      <c r="B5772">
        <v>91</v>
      </c>
      <c r="C5772" t="s">
        <v>10</v>
      </c>
      <c r="D5772">
        <v>346</v>
      </c>
      <c r="E5772" t="s">
        <v>2086</v>
      </c>
      <c r="F5772">
        <v>1005</v>
      </c>
      <c r="G5772" t="s">
        <v>10</v>
      </c>
      <c r="H5772">
        <v>2005</v>
      </c>
      <c r="I5772" t="s">
        <v>10</v>
      </c>
      <c r="J5772">
        <v>3016</v>
      </c>
      <c r="K5772" t="s">
        <v>2121</v>
      </c>
      <c r="L5772">
        <v>0</v>
      </c>
      <c r="N5772" t="s">
        <v>274</v>
      </c>
      <c r="O5772">
        <v>10</v>
      </c>
      <c r="P5772">
        <v>644</v>
      </c>
      <c r="Q5772" t="s">
        <v>884</v>
      </c>
      <c r="R5772" t="s">
        <v>201</v>
      </c>
      <c r="S5772">
        <v>1</v>
      </c>
      <c r="T5772">
        <v>1</v>
      </c>
      <c r="U5772">
        <v>153384</v>
      </c>
      <c r="V5772">
        <v>153384</v>
      </c>
    </row>
    <row r="5773" spans="1:22">
      <c r="A5773" t="s">
        <v>196</v>
      </c>
      <c r="B5773">
        <v>91</v>
      </c>
      <c r="C5773" t="s">
        <v>10</v>
      </c>
      <c r="D5773">
        <v>346</v>
      </c>
      <c r="E5773" t="s">
        <v>2086</v>
      </c>
      <c r="F5773">
        <v>1005</v>
      </c>
      <c r="G5773" t="s">
        <v>10</v>
      </c>
      <c r="H5773">
        <v>2005</v>
      </c>
      <c r="I5773" t="s">
        <v>10</v>
      </c>
      <c r="J5773">
        <v>3016</v>
      </c>
      <c r="K5773" t="s">
        <v>2121</v>
      </c>
      <c r="L5773">
        <v>0</v>
      </c>
      <c r="N5773" t="s">
        <v>392</v>
      </c>
      <c r="O5773">
        <v>1</v>
      </c>
      <c r="P5773">
        <v>634</v>
      </c>
      <c r="Q5773" t="s">
        <v>729</v>
      </c>
      <c r="R5773" t="s">
        <v>201</v>
      </c>
      <c r="S5773">
        <v>1</v>
      </c>
      <c r="T5773">
        <v>1</v>
      </c>
      <c r="U5773">
        <v>102588</v>
      </c>
      <c r="V5773">
        <v>102588</v>
      </c>
    </row>
    <row r="5774" spans="1:22">
      <c r="A5774" t="s">
        <v>196</v>
      </c>
      <c r="B5774">
        <v>91</v>
      </c>
      <c r="C5774" t="s">
        <v>10</v>
      </c>
      <c r="D5774">
        <v>346</v>
      </c>
      <c r="E5774" t="s">
        <v>2086</v>
      </c>
      <c r="F5774">
        <v>1005</v>
      </c>
      <c r="G5774" t="s">
        <v>10</v>
      </c>
      <c r="H5774">
        <v>2005</v>
      </c>
      <c r="I5774" t="s">
        <v>10</v>
      </c>
      <c r="J5774">
        <v>3016</v>
      </c>
      <c r="K5774" t="s">
        <v>2121</v>
      </c>
      <c r="L5774">
        <v>0</v>
      </c>
      <c r="N5774" t="s">
        <v>397</v>
      </c>
      <c r="O5774">
        <v>1</v>
      </c>
      <c r="P5774">
        <v>633</v>
      </c>
      <c r="Q5774" t="s">
        <v>2124</v>
      </c>
      <c r="R5774" t="s">
        <v>201</v>
      </c>
      <c r="S5774">
        <v>1</v>
      </c>
      <c r="T5774">
        <v>1</v>
      </c>
      <c r="U5774">
        <v>172584</v>
      </c>
      <c r="V5774">
        <v>172584</v>
      </c>
    </row>
    <row r="5775" spans="1:22">
      <c r="A5775" t="s">
        <v>196</v>
      </c>
      <c r="B5775">
        <v>91</v>
      </c>
      <c r="C5775" t="s">
        <v>10</v>
      </c>
      <c r="D5775">
        <v>346</v>
      </c>
      <c r="E5775" t="s">
        <v>2086</v>
      </c>
      <c r="F5775">
        <v>1005</v>
      </c>
      <c r="G5775" t="s">
        <v>10</v>
      </c>
      <c r="H5775">
        <v>2005</v>
      </c>
      <c r="I5775" t="s">
        <v>10</v>
      </c>
      <c r="J5775">
        <v>3016</v>
      </c>
      <c r="K5775" t="s">
        <v>2121</v>
      </c>
      <c r="L5775">
        <v>0</v>
      </c>
      <c r="N5775" t="s">
        <v>255</v>
      </c>
      <c r="O5775">
        <v>1</v>
      </c>
      <c r="P5775">
        <v>627</v>
      </c>
      <c r="Q5775" t="s">
        <v>1247</v>
      </c>
      <c r="R5775" t="s">
        <v>201</v>
      </c>
      <c r="S5775">
        <v>1</v>
      </c>
      <c r="T5775">
        <v>1</v>
      </c>
      <c r="U5775">
        <v>93504</v>
      </c>
      <c r="V5775">
        <v>93504</v>
      </c>
    </row>
    <row r="5776" spans="1:22">
      <c r="A5776" t="s">
        <v>196</v>
      </c>
      <c r="B5776">
        <v>91</v>
      </c>
      <c r="C5776" t="s">
        <v>10</v>
      </c>
      <c r="D5776">
        <v>346</v>
      </c>
      <c r="E5776" t="s">
        <v>2086</v>
      </c>
      <c r="F5776">
        <v>1005</v>
      </c>
      <c r="G5776" t="s">
        <v>10</v>
      </c>
      <c r="H5776">
        <v>2005</v>
      </c>
      <c r="I5776" t="s">
        <v>10</v>
      </c>
      <c r="J5776">
        <v>3016</v>
      </c>
      <c r="K5776" t="s">
        <v>2121</v>
      </c>
      <c r="L5776">
        <v>0</v>
      </c>
      <c r="N5776" t="s">
        <v>356</v>
      </c>
      <c r="O5776">
        <v>5</v>
      </c>
      <c r="P5776">
        <v>579</v>
      </c>
      <c r="Q5776" t="s">
        <v>2098</v>
      </c>
      <c r="R5776" t="s">
        <v>201</v>
      </c>
      <c r="S5776">
        <v>1</v>
      </c>
      <c r="T5776">
        <v>1</v>
      </c>
      <c r="U5776">
        <v>129636</v>
      </c>
      <c r="V5776">
        <v>129636</v>
      </c>
    </row>
    <row r="5777" spans="1:22">
      <c r="A5777" t="s">
        <v>196</v>
      </c>
      <c r="B5777">
        <v>91</v>
      </c>
      <c r="C5777" t="s">
        <v>10</v>
      </c>
      <c r="D5777">
        <v>346</v>
      </c>
      <c r="E5777" t="s">
        <v>2086</v>
      </c>
      <c r="F5777">
        <v>1005</v>
      </c>
      <c r="G5777" t="s">
        <v>10</v>
      </c>
      <c r="H5777">
        <v>2005</v>
      </c>
      <c r="I5777" t="s">
        <v>10</v>
      </c>
      <c r="J5777">
        <v>3016</v>
      </c>
      <c r="K5777" t="s">
        <v>2121</v>
      </c>
      <c r="L5777">
        <v>0</v>
      </c>
      <c r="N5777" t="s">
        <v>356</v>
      </c>
      <c r="O5777">
        <v>5</v>
      </c>
      <c r="P5777">
        <v>579</v>
      </c>
      <c r="Q5777" t="s">
        <v>2098</v>
      </c>
      <c r="R5777" t="s">
        <v>201</v>
      </c>
      <c r="S5777">
        <v>1</v>
      </c>
      <c r="T5777">
        <v>1</v>
      </c>
      <c r="U5777">
        <v>112536</v>
      </c>
      <c r="V5777">
        <v>112536</v>
      </c>
    </row>
    <row r="5778" spans="1:22">
      <c r="A5778" t="s">
        <v>196</v>
      </c>
      <c r="B5778">
        <v>91</v>
      </c>
      <c r="C5778" t="s">
        <v>10</v>
      </c>
      <c r="D5778">
        <v>346</v>
      </c>
      <c r="E5778" t="s">
        <v>2086</v>
      </c>
      <c r="F5778">
        <v>1005</v>
      </c>
      <c r="G5778" t="s">
        <v>10</v>
      </c>
      <c r="H5778">
        <v>2005</v>
      </c>
      <c r="I5778" t="s">
        <v>10</v>
      </c>
      <c r="J5778">
        <v>3016</v>
      </c>
      <c r="K5778" t="s">
        <v>2121</v>
      </c>
      <c r="L5778">
        <v>0</v>
      </c>
      <c r="N5778" t="s">
        <v>356</v>
      </c>
      <c r="O5778">
        <v>4</v>
      </c>
      <c r="P5778">
        <v>576</v>
      </c>
      <c r="Q5778" t="s">
        <v>2108</v>
      </c>
      <c r="R5778" t="s">
        <v>201</v>
      </c>
      <c r="S5778">
        <v>1</v>
      </c>
      <c r="T5778">
        <v>1</v>
      </c>
      <c r="U5778">
        <v>102516</v>
      </c>
      <c r="V5778">
        <v>102516</v>
      </c>
    </row>
    <row r="5779" spans="1:22">
      <c r="A5779" t="s">
        <v>196</v>
      </c>
      <c r="B5779">
        <v>91</v>
      </c>
      <c r="C5779" t="s">
        <v>10</v>
      </c>
      <c r="D5779">
        <v>346</v>
      </c>
      <c r="E5779" t="s">
        <v>2086</v>
      </c>
      <c r="F5779">
        <v>1005</v>
      </c>
      <c r="G5779" t="s">
        <v>10</v>
      </c>
      <c r="H5779">
        <v>2005</v>
      </c>
      <c r="I5779" t="s">
        <v>10</v>
      </c>
      <c r="J5779">
        <v>3016</v>
      </c>
      <c r="K5779" t="s">
        <v>2121</v>
      </c>
      <c r="L5779">
        <v>0</v>
      </c>
      <c r="N5779" t="s">
        <v>2109</v>
      </c>
      <c r="O5779">
        <v>5</v>
      </c>
      <c r="P5779">
        <v>573</v>
      </c>
      <c r="Q5779" t="s">
        <v>2112</v>
      </c>
      <c r="R5779" t="s">
        <v>201</v>
      </c>
      <c r="S5779">
        <v>1</v>
      </c>
      <c r="T5779">
        <v>1</v>
      </c>
      <c r="U5779">
        <v>65928</v>
      </c>
      <c r="V5779">
        <v>65928</v>
      </c>
    </row>
    <row r="5780" spans="1:22">
      <c r="A5780" t="s">
        <v>196</v>
      </c>
      <c r="B5780">
        <v>91</v>
      </c>
      <c r="C5780" t="s">
        <v>10</v>
      </c>
      <c r="D5780">
        <v>346</v>
      </c>
      <c r="E5780" t="s">
        <v>2086</v>
      </c>
      <c r="F5780">
        <v>1005</v>
      </c>
      <c r="G5780" t="s">
        <v>10</v>
      </c>
      <c r="H5780">
        <v>2005</v>
      </c>
      <c r="I5780" t="s">
        <v>10</v>
      </c>
      <c r="J5780">
        <v>3016</v>
      </c>
      <c r="K5780" t="s">
        <v>2121</v>
      </c>
      <c r="L5780">
        <v>0</v>
      </c>
      <c r="N5780" t="s">
        <v>633</v>
      </c>
      <c r="O5780">
        <v>5</v>
      </c>
      <c r="P5780">
        <v>501</v>
      </c>
      <c r="Q5780" t="s">
        <v>2117</v>
      </c>
      <c r="R5780" t="s">
        <v>201</v>
      </c>
      <c r="S5780">
        <v>1</v>
      </c>
      <c r="T5780">
        <v>1</v>
      </c>
      <c r="U5780">
        <v>67284</v>
      </c>
      <c r="V5780">
        <v>67284</v>
      </c>
    </row>
    <row r="5781" spans="1:22">
      <c r="A5781" t="s">
        <v>196</v>
      </c>
      <c r="B5781">
        <v>91</v>
      </c>
      <c r="C5781" t="s">
        <v>10</v>
      </c>
      <c r="D5781">
        <v>346</v>
      </c>
      <c r="E5781" t="s">
        <v>2086</v>
      </c>
      <c r="F5781">
        <v>1005</v>
      </c>
      <c r="G5781" t="s">
        <v>10</v>
      </c>
      <c r="H5781">
        <v>2005</v>
      </c>
      <c r="I5781" t="s">
        <v>10</v>
      </c>
      <c r="J5781">
        <v>3016</v>
      </c>
      <c r="K5781" t="s">
        <v>2121</v>
      </c>
      <c r="L5781">
        <v>0</v>
      </c>
      <c r="N5781" t="s">
        <v>809</v>
      </c>
      <c r="O5781">
        <v>1</v>
      </c>
      <c r="P5781">
        <v>460</v>
      </c>
      <c r="Q5781" t="s">
        <v>810</v>
      </c>
      <c r="R5781" t="s">
        <v>201</v>
      </c>
      <c r="S5781">
        <v>3</v>
      </c>
      <c r="T5781">
        <v>1</v>
      </c>
      <c r="U5781">
        <v>82140</v>
      </c>
      <c r="V5781">
        <v>246420</v>
      </c>
    </row>
    <row r="5782" spans="1:22">
      <c r="A5782" t="s">
        <v>196</v>
      </c>
      <c r="B5782">
        <v>91</v>
      </c>
      <c r="C5782" t="s">
        <v>10</v>
      </c>
      <c r="D5782">
        <v>346</v>
      </c>
      <c r="E5782" t="s">
        <v>2086</v>
      </c>
      <c r="F5782">
        <v>1005</v>
      </c>
      <c r="G5782" t="s">
        <v>10</v>
      </c>
      <c r="H5782">
        <v>2005</v>
      </c>
      <c r="I5782" t="s">
        <v>10</v>
      </c>
      <c r="J5782">
        <v>3016</v>
      </c>
      <c r="K5782" t="s">
        <v>2121</v>
      </c>
      <c r="L5782">
        <v>0</v>
      </c>
      <c r="N5782" t="s">
        <v>809</v>
      </c>
      <c r="O5782">
        <v>1</v>
      </c>
      <c r="P5782">
        <v>460</v>
      </c>
      <c r="Q5782" t="s">
        <v>810</v>
      </c>
      <c r="R5782" t="s">
        <v>201</v>
      </c>
      <c r="S5782">
        <v>1</v>
      </c>
      <c r="T5782">
        <v>1</v>
      </c>
      <c r="U5782">
        <v>47364</v>
      </c>
      <c r="V5782">
        <v>47364</v>
      </c>
    </row>
    <row r="5783" spans="1:22">
      <c r="A5783" t="s">
        <v>196</v>
      </c>
      <c r="B5783">
        <v>91</v>
      </c>
      <c r="C5783" t="s">
        <v>10</v>
      </c>
      <c r="D5783">
        <v>346</v>
      </c>
      <c r="E5783" t="s">
        <v>2086</v>
      </c>
      <c r="F5783">
        <v>1005</v>
      </c>
      <c r="G5783" t="s">
        <v>10</v>
      </c>
      <c r="H5783">
        <v>2005</v>
      </c>
      <c r="I5783" t="s">
        <v>10</v>
      </c>
      <c r="J5783">
        <v>3016</v>
      </c>
      <c r="K5783" t="s">
        <v>2121</v>
      </c>
      <c r="L5783">
        <v>0</v>
      </c>
      <c r="N5783" t="s">
        <v>1007</v>
      </c>
      <c r="O5783">
        <v>1</v>
      </c>
      <c r="P5783">
        <v>445</v>
      </c>
      <c r="Q5783" t="s">
        <v>2120</v>
      </c>
      <c r="R5783" t="s">
        <v>201</v>
      </c>
      <c r="S5783">
        <v>1</v>
      </c>
      <c r="T5783">
        <v>1</v>
      </c>
      <c r="U5783">
        <v>51108</v>
      </c>
      <c r="V5783">
        <v>51108</v>
      </c>
    </row>
    <row r="5784" spans="1:22">
      <c r="A5784" t="s">
        <v>196</v>
      </c>
      <c r="B5784">
        <v>91</v>
      </c>
      <c r="C5784" t="s">
        <v>10</v>
      </c>
      <c r="D5784">
        <v>346</v>
      </c>
      <c r="E5784" t="s">
        <v>2086</v>
      </c>
      <c r="F5784">
        <v>1005</v>
      </c>
      <c r="G5784" t="s">
        <v>10</v>
      </c>
      <c r="H5784">
        <v>2005</v>
      </c>
      <c r="I5784" t="s">
        <v>10</v>
      </c>
      <c r="J5784">
        <v>3016</v>
      </c>
      <c r="K5784" t="s">
        <v>2121</v>
      </c>
      <c r="L5784">
        <v>0</v>
      </c>
      <c r="N5784" t="s">
        <v>351</v>
      </c>
      <c r="O5784">
        <v>1</v>
      </c>
      <c r="P5784" t="s">
        <v>352</v>
      </c>
      <c r="Q5784" t="s">
        <v>353</v>
      </c>
      <c r="R5784" t="s">
        <v>201</v>
      </c>
      <c r="S5784">
        <v>1</v>
      </c>
      <c r="T5784">
        <v>1</v>
      </c>
      <c r="U5784">
        <v>98928</v>
      </c>
      <c r="V5784">
        <v>98928</v>
      </c>
    </row>
    <row r="5785" spans="1:22">
      <c r="A5785" t="s">
        <v>196</v>
      </c>
      <c r="B5785">
        <v>91</v>
      </c>
      <c r="C5785" t="s">
        <v>10</v>
      </c>
      <c r="D5785">
        <v>346</v>
      </c>
      <c r="E5785" t="s">
        <v>2086</v>
      </c>
      <c r="F5785">
        <v>1005</v>
      </c>
      <c r="G5785" t="s">
        <v>10</v>
      </c>
      <c r="H5785">
        <v>2005</v>
      </c>
      <c r="I5785" t="s">
        <v>10</v>
      </c>
      <c r="J5785">
        <v>3016</v>
      </c>
      <c r="K5785" t="s">
        <v>2121</v>
      </c>
      <c r="L5785">
        <v>0</v>
      </c>
      <c r="N5785" t="s">
        <v>622</v>
      </c>
      <c r="O5785">
        <v>1</v>
      </c>
      <c r="P5785" t="s">
        <v>667</v>
      </c>
      <c r="Q5785" t="s">
        <v>205</v>
      </c>
      <c r="R5785" t="s">
        <v>201</v>
      </c>
      <c r="S5785">
        <v>4</v>
      </c>
      <c r="T5785">
        <v>1</v>
      </c>
      <c r="U5785">
        <v>90144</v>
      </c>
      <c r="V5785">
        <v>360576</v>
      </c>
    </row>
    <row r="5786" spans="1:22">
      <c r="A5786" t="s">
        <v>196</v>
      </c>
      <c r="B5786">
        <v>91</v>
      </c>
      <c r="C5786" t="s">
        <v>10</v>
      </c>
      <c r="D5786">
        <v>346</v>
      </c>
      <c r="E5786" t="s">
        <v>2086</v>
      </c>
      <c r="F5786">
        <v>1005</v>
      </c>
      <c r="G5786" t="s">
        <v>10</v>
      </c>
      <c r="H5786">
        <v>2005</v>
      </c>
      <c r="I5786" t="s">
        <v>10</v>
      </c>
      <c r="J5786">
        <v>3016</v>
      </c>
      <c r="K5786" t="s">
        <v>2121</v>
      </c>
      <c r="L5786">
        <v>0</v>
      </c>
      <c r="N5786" t="s">
        <v>622</v>
      </c>
      <c r="O5786">
        <v>1</v>
      </c>
      <c r="P5786" t="s">
        <v>667</v>
      </c>
      <c r="Q5786" t="s">
        <v>205</v>
      </c>
      <c r="R5786" t="s">
        <v>201</v>
      </c>
      <c r="S5786">
        <v>1</v>
      </c>
      <c r="T5786">
        <v>1</v>
      </c>
      <c r="U5786">
        <v>86112</v>
      </c>
      <c r="V5786">
        <v>86112</v>
      </c>
    </row>
    <row r="5787" spans="1:22">
      <c r="A5787" t="s">
        <v>196</v>
      </c>
      <c r="B5787">
        <v>91</v>
      </c>
      <c r="C5787" t="s">
        <v>10</v>
      </c>
      <c r="D5787">
        <v>346</v>
      </c>
      <c r="E5787" t="s">
        <v>2086</v>
      </c>
      <c r="F5787">
        <v>1005</v>
      </c>
      <c r="G5787" t="s">
        <v>10</v>
      </c>
      <c r="H5787">
        <v>2005</v>
      </c>
      <c r="I5787" t="s">
        <v>10</v>
      </c>
      <c r="J5787">
        <v>3016</v>
      </c>
      <c r="K5787" t="s">
        <v>2121</v>
      </c>
      <c r="L5787">
        <v>0</v>
      </c>
      <c r="N5787" t="s">
        <v>622</v>
      </c>
      <c r="O5787">
        <v>1</v>
      </c>
      <c r="P5787" t="s">
        <v>667</v>
      </c>
      <c r="Q5787" t="s">
        <v>205</v>
      </c>
      <c r="R5787" t="s">
        <v>201</v>
      </c>
      <c r="S5787">
        <v>1</v>
      </c>
      <c r="T5787">
        <v>1</v>
      </c>
      <c r="U5787">
        <v>56124</v>
      </c>
      <c r="V5787">
        <v>56124</v>
      </c>
    </row>
    <row r="5788" spans="1:22">
      <c r="A5788" t="s">
        <v>196</v>
      </c>
      <c r="B5788">
        <v>91</v>
      </c>
      <c r="C5788" t="s">
        <v>10</v>
      </c>
      <c r="D5788">
        <v>346</v>
      </c>
      <c r="E5788" t="s">
        <v>2086</v>
      </c>
      <c r="F5788">
        <v>1005</v>
      </c>
      <c r="G5788" t="s">
        <v>10</v>
      </c>
      <c r="H5788">
        <v>2005</v>
      </c>
      <c r="I5788" t="s">
        <v>10</v>
      </c>
      <c r="J5788">
        <v>3016</v>
      </c>
      <c r="K5788" t="s">
        <v>2121</v>
      </c>
      <c r="L5788">
        <v>0</v>
      </c>
      <c r="N5788" t="s">
        <v>249</v>
      </c>
      <c r="O5788">
        <v>10</v>
      </c>
      <c r="P5788">
        <v>310</v>
      </c>
      <c r="Q5788" t="s">
        <v>447</v>
      </c>
      <c r="R5788" t="s">
        <v>201</v>
      </c>
      <c r="S5788">
        <v>1</v>
      </c>
      <c r="T5788">
        <v>1</v>
      </c>
      <c r="U5788">
        <v>93384</v>
      </c>
      <c r="V5788">
        <v>93384</v>
      </c>
    </row>
    <row r="5789" spans="1:22">
      <c r="A5789" t="s">
        <v>196</v>
      </c>
      <c r="B5789">
        <v>91</v>
      </c>
      <c r="C5789" t="s">
        <v>10</v>
      </c>
      <c r="D5789">
        <v>346</v>
      </c>
      <c r="E5789" t="s">
        <v>2086</v>
      </c>
      <c r="F5789">
        <v>1005</v>
      </c>
      <c r="G5789" t="s">
        <v>10</v>
      </c>
      <c r="H5789">
        <v>2005</v>
      </c>
      <c r="I5789" t="s">
        <v>10</v>
      </c>
      <c r="J5789">
        <v>3016</v>
      </c>
      <c r="K5789" t="s">
        <v>2121</v>
      </c>
      <c r="L5789">
        <v>0</v>
      </c>
      <c r="N5789" t="s">
        <v>199</v>
      </c>
      <c r="O5789">
        <v>0</v>
      </c>
      <c r="P5789">
        <v>15</v>
      </c>
      <c r="Q5789" t="s">
        <v>264</v>
      </c>
      <c r="R5789" t="s">
        <v>201</v>
      </c>
      <c r="S5789">
        <v>0</v>
      </c>
      <c r="T5789">
        <v>0</v>
      </c>
      <c r="U5789">
        <v>19458</v>
      </c>
      <c r="V5789">
        <v>19458</v>
      </c>
    </row>
    <row r="5790" spans="1:22">
      <c r="A5790" t="s">
        <v>196</v>
      </c>
      <c r="B5790">
        <v>91</v>
      </c>
      <c r="C5790" t="s">
        <v>10</v>
      </c>
      <c r="D5790">
        <v>346</v>
      </c>
      <c r="E5790" t="s">
        <v>2086</v>
      </c>
      <c r="F5790">
        <v>1005</v>
      </c>
      <c r="G5790" t="s">
        <v>10</v>
      </c>
      <c r="H5790">
        <v>2005</v>
      </c>
      <c r="I5790" t="s">
        <v>10</v>
      </c>
      <c r="J5790">
        <v>3021</v>
      </c>
      <c r="K5790" t="s">
        <v>2125</v>
      </c>
      <c r="L5790">
        <v>0</v>
      </c>
      <c r="N5790" t="s">
        <v>721</v>
      </c>
      <c r="O5790">
        <v>8</v>
      </c>
      <c r="P5790">
        <v>7185</v>
      </c>
      <c r="Q5790" t="s">
        <v>1039</v>
      </c>
      <c r="R5790" t="s">
        <v>713</v>
      </c>
      <c r="S5790">
        <v>1</v>
      </c>
      <c r="T5790">
        <v>1</v>
      </c>
      <c r="U5790">
        <v>52.38</v>
      </c>
      <c r="V5790">
        <v>108950</v>
      </c>
    </row>
    <row r="5791" spans="1:22">
      <c r="A5791" t="s">
        <v>196</v>
      </c>
      <c r="B5791">
        <v>91</v>
      </c>
      <c r="C5791" t="s">
        <v>10</v>
      </c>
      <c r="D5791">
        <v>346</v>
      </c>
      <c r="E5791" t="s">
        <v>2086</v>
      </c>
      <c r="F5791">
        <v>1005</v>
      </c>
      <c r="G5791" t="s">
        <v>10</v>
      </c>
      <c r="H5791">
        <v>2005</v>
      </c>
      <c r="I5791" t="s">
        <v>10</v>
      </c>
      <c r="J5791">
        <v>3021</v>
      </c>
      <c r="K5791" t="s">
        <v>2125</v>
      </c>
      <c r="L5791">
        <v>0</v>
      </c>
      <c r="N5791" t="s">
        <v>721</v>
      </c>
      <c r="O5791">
        <v>8</v>
      </c>
      <c r="P5791">
        <v>7183</v>
      </c>
      <c r="Q5791" t="s">
        <v>986</v>
      </c>
      <c r="R5791" t="s">
        <v>713</v>
      </c>
      <c r="S5791">
        <v>7</v>
      </c>
      <c r="T5791">
        <v>1</v>
      </c>
      <c r="U5791">
        <v>50.44</v>
      </c>
      <c r="V5791">
        <v>734406</v>
      </c>
    </row>
    <row r="5792" spans="1:22">
      <c r="A5792" t="s">
        <v>196</v>
      </c>
      <c r="B5792">
        <v>91</v>
      </c>
      <c r="C5792" t="s">
        <v>10</v>
      </c>
      <c r="D5792">
        <v>346</v>
      </c>
      <c r="E5792" t="s">
        <v>2086</v>
      </c>
      <c r="F5792">
        <v>1005</v>
      </c>
      <c r="G5792" t="s">
        <v>10</v>
      </c>
      <c r="H5792">
        <v>2005</v>
      </c>
      <c r="I5792" t="s">
        <v>10</v>
      </c>
      <c r="J5792">
        <v>3021</v>
      </c>
      <c r="K5792" t="s">
        <v>2125</v>
      </c>
      <c r="L5792">
        <v>0</v>
      </c>
      <c r="N5792" t="s">
        <v>721</v>
      </c>
      <c r="O5792">
        <v>8</v>
      </c>
      <c r="P5792">
        <v>7183</v>
      </c>
      <c r="Q5792" t="s">
        <v>986</v>
      </c>
      <c r="R5792" t="s">
        <v>713</v>
      </c>
      <c r="S5792">
        <v>2</v>
      </c>
      <c r="T5792">
        <v>1</v>
      </c>
      <c r="U5792">
        <v>48.73</v>
      </c>
      <c r="V5792">
        <v>202717</v>
      </c>
    </row>
    <row r="5793" spans="1:22">
      <c r="A5793" t="s">
        <v>196</v>
      </c>
      <c r="B5793">
        <v>91</v>
      </c>
      <c r="C5793" t="s">
        <v>10</v>
      </c>
      <c r="D5793">
        <v>346</v>
      </c>
      <c r="E5793" t="s">
        <v>2086</v>
      </c>
      <c r="F5793">
        <v>1005</v>
      </c>
      <c r="G5793" t="s">
        <v>10</v>
      </c>
      <c r="H5793">
        <v>2005</v>
      </c>
      <c r="I5793" t="s">
        <v>10</v>
      </c>
      <c r="J5793">
        <v>3021</v>
      </c>
      <c r="K5793" t="s">
        <v>2125</v>
      </c>
      <c r="L5793">
        <v>0</v>
      </c>
      <c r="N5793" t="s">
        <v>622</v>
      </c>
      <c r="O5793">
        <v>1</v>
      </c>
      <c r="P5793">
        <v>1817</v>
      </c>
      <c r="Q5793" t="s">
        <v>988</v>
      </c>
      <c r="R5793" t="s">
        <v>201</v>
      </c>
      <c r="S5793">
        <v>1</v>
      </c>
      <c r="T5793">
        <v>1</v>
      </c>
      <c r="U5793">
        <v>51936</v>
      </c>
      <c r="V5793">
        <v>51936</v>
      </c>
    </row>
    <row r="5794" spans="1:22">
      <c r="A5794" t="s">
        <v>196</v>
      </c>
      <c r="B5794">
        <v>91</v>
      </c>
      <c r="C5794" t="s">
        <v>10</v>
      </c>
      <c r="D5794">
        <v>346</v>
      </c>
      <c r="E5794" t="s">
        <v>2086</v>
      </c>
      <c r="F5794">
        <v>1005</v>
      </c>
      <c r="G5794" t="s">
        <v>10</v>
      </c>
      <c r="H5794">
        <v>2005</v>
      </c>
      <c r="I5794" t="s">
        <v>10</v>
      </c>
      <c r="J5794">
        <v>3021</v>
      </c>
      <c r="K5794" t="s">
        <v>2125</v>
      </c>
      <c r="L5794">
        <v>0</v>
      </c>
      <c r="N5794" t="s">
        <v>1007</v>
      </c>
      <c r="O5794">
        <v>1</v>
      </c>
      <c r="P5794">
        <v>1813</v>
      </c>
      <c r="Q5794" t="s">
        <v>1547</v>
      </c>
      <c r="R5794" t="s">
        <v>201</v>
      </c>
      <c r="S5794">
        <v>2</v>
      </c>
      <c r="T5794">
        <v>1</v>
      </c>
      <c r="U5794">
        <v>74916</v>
      </c>
      <c r="V5794">
        <v>149832</v>
      </c>
    </row>
    <row r="5795" spans="1:22">
      <c r="A5795" t="s">
        <v>196</v>
      </c>
      <c r="B5795">
        <v>91</v>
      </c>
      <c r="C5795" t="s">
        <v>10</v>
      </c>
      <c r="D5795">
        <v>346</v>
      </c>
      <c r="E5795" t="s">
        <v>2086</v>
      </c>
      <c r="F5795">
        <v>1005</v>
      </c>
      <c r="G5795" t="s">
        <v>10</v>
      </c>
      <c r="H5795">
        <v>2005</v>
      </c>
      <c r="I5795" t="s">
        <v>10</v>
      </c>
      <c r="J5795">
        <v>3021</v>
      </c>
      <c r="K5795" t="s">
        <v>2125</v>
      </c>
      <c r="L5795">
        <v>0</v>
      </c>
      <c r="N5795" t="s">
        <v>199</v>
      </c>
      <c r="O5795">
        <v>0</v>
      </c>
      <c r="P5795">
        <v>12</v>
      </c>
      <c r="Q5795" t="s">
        <v>724</v>
      </c>
      <c r="R5795" t="s">
        <v>201</v>
      </c>
      <c r="S5795">
        <v>0</v>
      </c>
      <c r="T5795">
        <v>0</v>
      </c>
      <c r="U5795">
        <v>15691</v>
      </c>
      <c r="V5795">
        <v>15691</v>
      </c>
    </row>
    <row r="5796" spans="1:22">
      <c r="A5796" t="s">
        <v>196</v>
      </c>
      <c r="B5796">
        <v>51</v>
      </c>
      <c r="C5796" t="s">
        <v>32</v>
      </c>
      <c r="D5796">
        <v>353</v>
      </c>
      <c r="E5796" t="s">
        <v>2126</v>
      </c>
      <c r="F5796">
        <v>1005</v>
      </c>
      <c r="G5796" t="s">
        <v>32</v>
      </c>
      <c r="H5796">
        <v>2005</v>
      </c>
      <c r="I5796" t="s">
        <v>32</v>
      </c>
      <c r="J5796">
        <v>3020</v>
      </c>
      <c r="K5796" t="s">
        <v>899</v>
      </c>
      <c r="L5796">
        <v>4205</v>
      </c>
      <c r="M5796" t="s">
        <v>1113</v>
      </c>
      <c r="N5796" t="s">
        <v>294</v>
      </c>
      <c r="O5796">
        <v>10</v>
      </c>
      <c r="P5796">
        <v>9194</v>
      </c>
      <c r="Q5796" t="s">
        <v>1416</v>
      </c>
      <c r="R5796" t="s">
        <v>201</v>
      </c>
      <c r="S5796">
        <v>1</v>
      </c>
      <c r="T5796">
        <v>1</v>
      </c>
      <c r="U5796">
        <v>69684</v>
      </c>
      <c r="V5796">
        <v>69684</v>
      </c>
    </row>
    <row r="5797" spans="1:22">
      <c r="A5797" t="s">
        <v>196</v>
      </c>
      <c r="B5797">
        <v>51</v>
      </c>
      <c r="C5797" t="s">
        <v>32</v>
      </c>
      <c r="D5797">
        <v>353</v>
      </c>
      <c r="E5797" t="s">
        <v>2126</v>
      </c>
      <c r="F5797">
        <v>1005</v>
      </c>
      <c r="G5797" t="s">
        <v>32</v>
      </c>
      <c r="H5797">
        <v>2005</v>
      </c>
      <c r="I5797" t="s">
        <v>32</v>
      </c>
      <c r="J5797">
        <v>3020</v>
      </c>
      <c r="K5797" t="s">
        <v>899</v>
      </c>
      <c r="L5797">
        <v>4205</v>
      </c>
      <c r="M5797" t="s">
        <v>1113</v>
      </c>
      <c r="N5797" t="s">
        <v>341</v>
      </c>
      <c r="O5797">
        <v>1</v>
      </c>
      <c r="P5797" t="s">
        <v>2127</v>
      </c>
      <c r="Q5797" t="s">
        <v>2128</v>
      </c>
      <c r="R5797" t="s">
        <v>201</v>
      </c>
      <c r="S5797">
        <v>2</v>
      </c>
      <c r="T5797">
        <v>1</v>
      </c>
      <c r="U5797">
        <v>68616</v>
      </c>
      <c r="V5797">
        <v>137232</v>
      </c>
    </row>
    <row r="5798" spans="1:22">
      <c r="A5798" t="s">
        <v>196</v>
      </c>
      <c r="B5798">
        <v>51</v>
      </c>
      <c r="C5798" t="s">
        <v>32</v>
      </c>
      <c r="D5798">
        <v>353</v>
      </c>
      <c r="E5798" t="s">
        <v>2126</v>
      </c>
      <c r="F5798">
        <v>1005</v>
      </c>
      <c r="G5798" t="s">
        <v>32</v>
      </c>
      <c r="H5798">
        <v>2005</v>
      </c>
      <c r="I5798" t="s">
        <v>32</v>
      </c>
      <c r="J5798">
        <v>3020</v>
      </c>
      <c r="K5798" t="s">
        <v>899</v>
      </c>
      <c r="L5798">
        <v>4205</v>
      </c>
      <c r="M5798" t="s">
        <v>1113</v>
      </c>
      <c r="N5798" t="s">
        <v>602</v>
      </c>
      <c r="O5798">
        <v>4</v>
      </c>
      <c r="P5798">
        <v>673</v>
      </c>
      <c r="Q5798" t="s">
        <v>603</v>
      </c>
      <c r="R5798" t="s">
        <v>201</v>
      </c>
      <c r="S5798">
        <v>1</v>
      </c>
      <c r="T5798">
        <v>1</v>
      </c>
      <c r="U5798">
        <v>141564</v>
      </c>
      <c r="V5798">
        <v>141564</v>
      </c>
    </row>
    <row r="5799" spans="1:22">
      <c r="A5799" t="s">
        <v>196</v>
      </c>
      <c r="B5799">
        <v>51</v>
      </c>
      <c r="C5799" t="s">
        <v>32</v>
      </c>
      <c r="D5799">
        <v>353</v>
      </c>
      <c r="E5799" t="s">
        <v>2126</v>
      </c>
      <c r="F5799">
        <v>1005</v>
      </c>
      <c r="G5799" t="s">
        <v>32</v>
      </c>
      <c r="H5799">
        <v>2005</v>
      </c>
      <c r="I5799" t="s">
        <v>32</v>
      </c>
      <c r="J5799">
        <v>3020</v>
      </c>
      <c r="K5799" t="s">
        <v>899</v>
      </c>
      <c r="L5799">
        <v>4205</v>
      </c>
      <c r="M5799" t="s">
        <v>1113</v>
      </c>
      <c r="N5799" t="s">
        <v>602</v>
      </c>
      <c r="O5799">
        <v>4</v>
      </c>
      <c r="P5799">
        <v>635</v>
      </c>
      <c r="Q5799" t="s">
        <v>645</v>
      </c>
      <c r="R5799" t="s">
        <v>201</v>
      </c>
      <c r="S5799">
        <v>1</v>
      </c>
      <c r="T5799">
        <v>1</v>
      </c>
      <c r="U5799">
        <v>99408</v>
      </c>
      <c r="V5799">
        <v>99408</v>
      </c>
    </row>
    <row r="5800" spans="1:22">
      <c r="A5800" t="s">
        <v>196</v>
      </c>
      <c r="B5800">
        <v>51</v>
      </c>
      <c r="C5800" t="s">
        <v>32</v>
      </c>
      <c r="D5800">
        <v>353</v>
      </c>
      <c r="E5800" t="s">
        <v>2126</v>
      </c>
      <c r="F5800">
        <v>1005</v>
      </c>
      <c r="G5800" t="s">
        <v>32</v>
      </c>
      <c r="H5800">
        <v>2005</v>
      </c>
      <c r="I5800" t="s">
        <v>32</v>
      </c>
      <c r="J5800">
        <v>3020</v>
      </c>
      <c r="K5800" t="s">
        <v>899</v>
      </c>
      <c r="L5800">
        <v>4205</v>
      </c>
      <c r="M5800" t="s">
        <v>1113</v>
      </c>
      <c r="N5800" t="s">
        <v>386</v>
      </c>
      <c r="O5800">
        <v>4</v>
      </c>
      <c r="P5800">
        <v>625</v>
      </c>
      <c r="Q5800" t="s">
        <v>1820</v>
      </c>
      <c r="R5800" t="s">
        <v>201</v>
      </c>
      <c r="S5800">
        <v>3</v>
      </c>
      <c r="T5800">
        <v>1</v>
      </c>
      <c r="U5800">
        <v>164808</v>
      </c>
      <c r="V5800">
        <v>494424</v>
      </c>
    </row>
    <row r="5801" spans="1:22">
      <c r="A5801" t="s">
        <v>196</v>
      </c>
      <c r="B5801">
        <v>51</v>
      </c>
      <c r="C5801" t="s">
        <v>32</v>
      </c>
      <c r="D5801">
        <v>353</v>
      </c>
      <c r="E5801" t="s">
        <v>2126</v>
      </c>
      <c r="F5801">
        <v>1005</v>
      </c>
      <c r="G5801" t="s">
        <v>32</v>
      </c>
      <c r="H5801">
        <v>2005</v>
      </c>
      <c r="I5801" t="s">
        <v>32</v>
      </c>
      <c r="J5801">
        <v>3020</v>
      </c>
      <c r="K5801" t="s">
        <v>899</v>
      </c>
      <c r="L5801">
        <v>4205</v>
      </c>
      <c r="M5801" t="s">
        <v>1113</v>
      </c>
      <c r="N5801" t="s">
        <v>372</v>
      </c>
      <c r="O5801">
        <v>4</v>
      </c>
      <c r="P5801">
        <v>620</v>
      </c>
      <c r="Q5801" t="s">
        <v>2129</v>
      </c>
      <c r="R5801" t="s">
        <v>201</v>
      </c>
      <c r="S5801">
        <v>1</v>
      </c>
      <c r="T5801">
        <v>1</v>
      </c>
      <c r="U5801">
        <v>75336</v>
      </c>
      <c r="V5801">
        <v>75336</v>
      </c>
    </row>
    <row r="5802" spans="1:22">
      <c r="A5802" t="s">
        <v>196</v>
      </c>
      <c r="B5802">
        <v>51</v>
      </c>
      <c r="C5802" t="s">
        <v>32</v>
      </c>
      <c r="D5802">
        <v>353</v>
      </c>
      <c r="E5802" t="s">
        <v>2126</v>
      </c>
      <c r="F5802">
        <v>1005</v>
      </c>
      <c r="G5802" t="s">
        <v>32</v>
      </c>
      <c r="H5802">
        <v>2005</v>
      </c>
      <c r="I5802" t="s">
        <v>32</v>
      </c>
      <c r="J5802">
        <v>3020</v>
      </c>
      <c r="K5802" t="s">
        <v>899</v>
      </c>
      <c r="L5802">
        <v>4205</v>
      </c>
      <c r="M5802" t="s">
        <v>1113</v>
      </c>
      <c r="N5802" t="s">
        <v>386</v>
      </c>
      <c r="O5802">
        <v>1</v>
      </c>
      <c r="P5802">
        <v>619</v>
      </c>
      <c r="Q5802" t="s">
        <v>2130</v>
      </c>
      <c r="R5802" t="s">
        <v>201</v>
      </c>
      <c r="S5802">
        <v>1</v>
      </c>
      <c r="T5802">
        <v>1</v>
      </c>
      <c r="U5802">
        <v>153228</v>
      </c>
      <c r="V5802">
        <v>153228</v>
      </c>
    </row>
    <row r="5803" spans="1:22">
      <c r="A5803" t="s">
        <v>196</v>
      </c>
      <c r="B5803">
        <v>51</v>
      </c>
      <c r="C5803" t="s">
        <v>32</v>
      </c>
      <c r="D5803">
        <v>353</v>
      </c>
      <c r="E5803" t="s">
        <v>2126</v>
      </c>
      <c r="F5803">
        <v>1005</v>
      </c>
      <c r="G5803" t="s">
        <v>32</v>
      </c>
      <c r="H5803">
        <v>2005</v>
      </c>
      <c r="I5803" t="s">
        <v>32</v>
      </c>
      <c r="J5803">
        <v>3020</v>
      </c>
      <c r="K5803" t="s">
        <v>899</v>
      </c>
      <c r="L5803">
        <v>4205</v>
      </c>
      <c r="M5803" t="s">
        <v>1113</v>
      </c>
      <c r="N5803" t="s">
        <v>386</v>
      </c>
      <c r="O5803">
        <v>1</v>
      </c>
      <c r="P5803">
        <v>602</v>
      </c>
      <c r="Q5803" t="s">
        <v>2131</v>
      </c>
      <c r="R5803" t="s">
        <v>201</v>
      </c>
      <c r="S5803">
        <v>2</v>
      </c>
      <c r="T5803">
        <v>1</v>
      </c>
      <c r="U5803">
        <v>164808</v>
      </c>
      <c r="V5803">
        <v>329616</v>
      </c>
    </row>
    <row r="5804" spans="1:22">
      <c r="A5804" t="s">
        <v>196</v>
      </c>
      <c r="B5804">
        <v>51</v>
      </c>
      <c r="C5804" t="s">
        <v>32</v>
      </c>
      <c r="D5804">
        <v>353</v>
      </c>
      <c r="E5804" t="s">
        <v>2126</v>
      </c>
      <c r="F5804">
        <v>1005</v>
      </c>
      <c r="G5804" t="s">
        <v>32</v>
      </c>
      <c r="H5804">
        <v>2005</v>
      </c>
      <c r="I5804" t="s">
        <v>32</v>
      </c>
      <c r="J5804">
        <v>3020</v>
      </c>
      <c r="K5804" t="s">
        <v>899</v>
      </c>
      <c r="L5804">
        <v>4205</v>
      </c>
      <c r="M5804" t="s">
        <v>1113</v>
      </c>
      <c r="N5804" t="s">
        <v>274</v>
      </c>
      <c r="O5804">
        <v>0</v>
      </c>
      <c r="P5804">
        <v>601</v>
      </c>
      <c r="Q5804" t="s">
        <v>790</v>
      </c>
      <c r="R5804" t="s">
        <v>201</v>
      </c>
      <c r="S5804">
        <v>1</v>
      </c>
      <c r="T5804">
        <v>1</v>
      </c>
      <c r="U5804">
        <v>153384</v>
      </c>
      <c r="V5804">
        <v>153384</v>
      </c>
    </row>
    <row r="5805" spans="1:22">
      <c r="A5805" t="s">
        <v>196</v>
      </c>
      <c r="B5805">
        <v>51</v>
      </c>
      <c r="C5805" t="s">
        <v>32</v>
      </c>
      <c r="D5805">
        <v>353</v>
      </c>
      <c r="E5805" t="s">
        <v>2126</v>
      </c>
      <c r="F5805">
        <v>1005</v>
      </c>
      <c r="G5805" t="s">
        <v>32</v>
      </c>
      <c r="H5805">
        <v>2005</v>
      </c>
      <c r="I5805" t="s">
        <v>32</v>
      </c>
      <c r="J5805">
        <v>3020</v>
      </c>
      <c r="K5805" t="s">
        <v>899</v>
      </c>
      <c r="L5805">
        <v>4205</v>
      </c>
      <c r="M5805" t="s">
        <v>1113</v>
      </c>
      <c r="N5805" t="s">
        <v>249</v>
      </c>
      <c r="O5805">
        <v>10</v>
      </c>
      <c r="P5805">
        <v>310</v>
      </c>
      <c r="Q5805" t="s">
        <v>447</v>
      </c>
      <c r="R5805" t="s">
        <v>201</v>
      </c>
      <c r="S5805">
        <v>1</v>
      </c>
      <c r="T5805">
        <v>1</v>
      </c>
      <c r="U5805">
        <v>124584</v>
      </c>
      <c r="V5805">
        <v>124584</v>
      </c>
    </row>
    <row r="5806" spans="1:22">
      <c r="A5806" t="s">
        <v>196</v>
      </c>
      <c r="B5806">
        <v>51</v>
      </c>
      <c r="C5806" t="s">
        <v>32</v>
      </c>
      <c r="D5806">
        <v>353</v>
      </c>
      <c r="E5806" t="s">
        <v>2126</v>
      </c>
      <c r="F5806">
        <v>1005</v>
      </c>
      <c r="G5806" t="s">
        <v>32</v>
      </c>
      <c r="H5806">
        <v>2005</v>
      </c>
      <c r="I5806" t="s">
        <v>32</v>
      </c>
      <c r="J5806">
        <v>3020</v>
      </c>
      <c r="K5806" t="s">
        <v>899</v>
      </c>
      <c r="L5806">
        <v>4205</v>
      </c>
      <c r="M5806" t="s">
        <v>1113</v>
      </c>
      <c r="N5806" t="s">
        <v>249</v>
      </c>
      <c r="O5806">
        <v>10</v>
      </c>
      <c r="P5806">
        <v>310</v>
      </c>
      <c r="Q5806" t="s">
        <v>447</v>
      </c>
      <c r="R5806" t="s">
        <v>201</v>
      </c>
      <c r="S5806">
        <v>2</v>
      </c>
      <c r="T5806">
        <v>1</v>
      </c>
      <c r="U5806">
        <v>113568</v>
      </c>
      <c r="V5806">
        <v>227136</v>
      </c>
    </row>
    <row r="5807" spans="1:22">
      <c r="A5807" t="s">
        <v>196</v>
      </c>
      <c r="B5807">
        <v>51</v>
      </c>
      <c r="C5807" t="s">
        <v>32</v>
      </c>
      <c r="D5807">
        <v>353</v>
      </c>
      <c r="E5807" t="s">
        <v>2126</v>
      </c>
      <c r="F5807">
        <v>1005</v>
      </c>
      <c r="G5807" t="s">
        <v>32</v>
      </c>
      <c r="H5807">
        <v>2005</v>
      </c>
      <c r="I5807" t="s">
        <v>32</v>
      </c>
      <c r="J5807">
        <v>3020</v>
      </c>
      <c r="K5807" t="s">
        <v>899</v>
      </c>
      <c r="L5807">
        <v>4205</v>
      </c>
      <c r="M5807" t="s">
        <v>1113</v>
      </c>
      <c r="N5807" t="s">
        <v>249</v>
      </c>
      <c r="O5807">
        <v>10</v>
      </c>
      <c r="P5807">
        <v>310</v>
      </c>
      <c r="Q5807" t="s">
        <v>447</v>
      </c>
      <c r="R5807" t="s">
        <v>201</v>
      </c>
      <c r="S5807">
        <v>1</v>
      </c>
      <c r="T5807">
        <v>1</v>
      </c>
      <c r="U5807">
        <v>102444</v>
      </c>
      <c r="V5807">
        <v>102444</v>
      </c>
    </row>
    <row r="5808" spans="1:22">
      <c r="A5808" t="s">
        <v>196</v>
      </c>
      <c r="B5808">
        <v>51</v>
      </c>
      <c r="C5808" t="s">
        <v>32</v>
      </c>
      <c r="D5808">
        <v>353</v>
      </c>
      <c r="E5808" t="s">
        <v>2126</v>
      </c>
      <c r="F5808">
        <v>1005</v>
      </c>
      <c r="G5808" t="s">
        <v>32</v>
      </c>
      <c r="H5808">
        <v>2005</v>
      </c>
      <c r="I5808" t="s">
        <v>32</v>
      </c>
      <c r="J5808">
        <v>3020</v>
      </c>
      <c r="K5808" t="s">
        <v>899</v>
      </c>
      <c r="L5808">
        <v>4205</v>
      </c>
      <c r="M5808" t="s">
        <v>1113</v>
      </c>
      <c r="N5808" t="s">
        <v>249</v>
      </c>
      <c r="O5808">
        <v>10</v>
      </c>
      <c r="P5808">
        <v>310</v>
      </c>
      <c r="Q5808" t="s">
        <v>447</v>
      </c>
      <c r="R5808" t="s">
        <v>201</v>
      </c>
      <c r="S5808">
        <v>1</v>
      </c>
      <c r="T5808">
        <v>1</v>
      </c>
      <c r="U5808">
        <v>89112</v>
      </c>
      <c r="V5808">
        <v>89112</v>
      </c>
    </row>
    <row r="5809" spans="1:22">
      <c r="A5809" t="s">
        <v>196</v>
      </c>
      <c r="B5809">
        <v>51</v>
      </c>
      <c r="C5809" t="s">
        <v>32</v>
      </c>
      <c r="D5809">
        <v>353</v>
      </c>
      <c r="E5809" t="s">
        <v>2126</v>
      </c>
      <c r="F5809">
        <v>1005</v>
      </c>
      <c r="G5809" t="s">
        <v>32</v>
      </c>
      <c r="H5809">
        <v>2005</v>
      </c>
      <c r="I5809" t="s">
        <v>32</v>
      </c>
      <c r="J5809">
        <v>3020</v>
      </c>
      <c r="K5809" t="s">
        <v>899</v>
      </c>
      <c r="L5809">
        <v>4205</v>
      </c>
      <c r="M5809" t="s">
        <v>1113</v>
      </c>
      <c r="N5809" t="s">
        <v>199</v>
      </c>
      <c r="O5809">
        <v>0</v>
      </c>
      <c r="P5809">
        <v>15</v>
      </c>
      <c r="Q5809" t="s">
        <v>264</v>
      </c>
      <c r="R5809" t="s">
        <v>201</v>
      </c>
      <c r="S5809">
        <v>0</v>
      </c>
      <c r="T5809">
        <v>0</v>
      </c>
      <c r="U5809">
        <v>8433</v>
      </c>
      <c r="V5809">
        <v>8433</v>
      </c>
    </row>
    <row r="5810" spans="1:22">
      <c r="A5810" t="s">
        <v>196</v>
      </c>
      <c r="B5810">
        <v>51</v>
      </c>
      <c r="C5810" t="s">
        <v>32</v>
      </c>
      <c r="D5810">
        <v>353</v>
      </c>
      <c r="E5810" t="s">
        <v>2126</v>
      </c>
      <c r="F5810">
        <v>1005</v>
      </c>
      <c r="G5810" t="s">
        <v>32</v>
      </c>
      <c r="H5810">
        <v>2005</v>
      </c>
      <c r="I5810" t="s">
        <v>32</v>
      </c>
      <c r="J5810">
        <v>3020</v>
      </c>
      <c r="K5810" t="s">
        <v>899</v>
      </c>
      <c r="L5810">
        <v>4210</v>
      </c>
      <c r="M5810" t="s">
        <v>1248</v>
      </c>
      <c r="N5810" t="s">
        <v>266</v>
      </c>
      <c r="O5810">
        <v>9</v>
      </c>
      <c r="P5810">
        <v>9684</v>
      </c>
      <c r="Q5810" t="s">
        <v>327</v>
      </c>
      <c r="R5810" t="s">
        <v>201</v>
      </c>
      <c r="S5810">
        <v>1</v>
      </c>
      <c r="T5810">
        <v>1</v>
      </c>
      <c r="U5810">
        <v>175512</v>
      </c>
      <c r="V5810">
        <v>175512</v>
      </c>
    </row>
    <row r="5811" spans="1:22">
      <c r="A5811" t="s">
        <v>196</v>
      </c>
      <c r="B5811">
        <v>51</v>
      </c>
      <c r="C5811" t="s">
        <v>32</v>
      </c>
      <c r="D5811">
        <v>353</v>
      </c>
      <c r="E5811" t="s">
        <v>2126</v>
      </c>
      <c r="F5811">
        <v>1005</v>
      </c>
      <c r="G5811" t="s">
        <v>32</v>
      </c>
      <c r="H5811">
        <v>2005</v>
      </c>
      <c r="I5811" t="s">
        <v>32</v>
      </c>
      <c r="J5811">
        <v>3020</v>
      </c>
      <c r="K5811" t="s">
        <v>899</v>
      </c>
      <c r="L5811">
        <v>4210</v>
      </c>
      <c r="M5811" t="s">
        <v>1248</v>
      </c>
      <c r="N5811" t="s">
        <v>721</v>
      </c>
      <c r="O5811">
        <v>54</v>
      </c>
      <c r="P5811">
        <v>9528</v>
      </c>
      <c r="Q5811" t="s">
        <v>2132</v>
      </c>
      <c r="R5811" t="s">
        <v>713</v>
      </c>
      <c r="S5811">
        <v>2</v>
      </c>
      <c r="T5811">
        <v>1</v>
      </c>
      <c r="U5811">
        <v>51.4</v>
      </c>
      <c r="V5811">
        <v>213824</v>
      </c>
    </row>
    <row r="5812" spans="1:22">
      <c r="A5812" t="s">
        <v>196</v>
      </c>
      <c r="B5812">
        <v>51</v>
      </c>
      <c r="C5812" t="s">
        <v>32</v>
      </c>
      <c r="D5812">
        <v>353</v>
      </c>
      <c r="E5812" t="s">
        <v>2126</v>
      </c>
      <c r="F5812">
        <v>1005</v>
      </c>
      <c r="G5812" t="s">
        <v>32</v>
      </c>
      <c r="H5812">
        <v>2005</v>
      </c>
      <c r="I5812" t="s">
        <v>32</v>
      </c>
      <c r="J5812">
        <v>3020</v>
      </c>
      <c r="K5812" t="s">
        <v>899</v>
      </c>
      <c r="L5812">
        <v>4210</v>
      </c>
      <c r="M5812" t="s">
        <v>1248</v>
      </c>
      <c r="N5812" t="s">
        <v>721</v>
      </c>
      <c r="O5812">
        <v>8</v>
      </c>
      <c r="P5812">
        <v>7183</v>
      </c>
      <c r="Q5812" t="s">
        <v>986</v>
      </c>
      <c r="R5812" t="s">
        <v>713</v>
      </c>
      <c r="S5812">
        <v>3</v>
      </c>
      <c r="T5812">
        <v>1</v>
      </c>
      <c r="U5812">
        <v>48.73</v>
      </c>
      <c r="V5812">
        <v>304075</v>
      </c>
    </row>
    <row r="5813" spans="1:22">
      <c r="A5813" t="s">
        <v>196</v>
      </c>
      <c r="B5813">
        <v>51</v>
      </c>
      <c r="C5813" t="s">
        <v>32</v>
      </c>
      <c r="D5813">
        <v>353</v>
      </c>
      <c r="E5813" t="s">
        <v>2126</v>
      </c>
      <c r="F5813">
        <v>1005</v>
      </c>
      <c r="G5813" t="s">
        <v>32</v>
      </c>
      <c r="H5813">
        <v>2005</v>
      </c>
      <c r="I5813" t="s">
        <v>32</v>
      </c>
      <c r="J5813">
        <v>3020</v>
      </c>
      <c r="K5813" t="s">
        <v>899</v>
      </c>
      <c r="L5813">
        <v>4210</v>
      </c>
      <c r="M5813" t="s">
        <v>1248</v>
      </c>
      <c r="N5813" t="s">
        <v>721</v>
      </c>
      <c r="O5813">
        <v>36</v>
      </c>
      <c r="P5813">
        <v>6674</v>
      </c>
      <c r="Q5813" t="s">
        <v>963</v>
      </c>
      <c r="R5813" t="s">
        <v>713</v>
      </c>
      <c r="S5813">
        <v>2</v>
      </c>
      <c r="T5813">
        <v>1</v>
      </c>
      <c r="U5813">
        <v>60.39</v>
      </c>
      <c r="V5813">
        <v>251222</v>
      </c>
    </row>
    <row r="5814" spans="1:22">
      <c r="A5814" t="s">
        <v>196</v>
      </c>
      <c r="B5814">
        <v>51</v>
      </c>
      <c r="C5814" t="s">
        <v>32</v>
      </c>
      <c r="D5814">
        <v>353</v>
      </c>
      <c r="E5814" t="s">
        <v>2126</v>
      </c>
      <c r="F5814">
        <v>1005</v>
      </c>
      <c r="G5814" t="s">
        <v>32</v>
      </c>
      <c r="H5814">
        <v>2005</v>
      </c>
      <c r="I5814" t="s">
        <v>32</v>
      </c>
      <c r="J5814">
        <v>3020</v>
      </c>
      <c r="K5814" t="s">
        <v>899</v>
      </c>
      <c r="L5814">
        <v>4210</v>
      </c>
      <c r="M5814" t="s">
        <v>1248</v>
      </c>
      <c r="N5814" t="s">
        <v>602</v>
      </c>
      <c r="O5814">
        <v>4</v>
      </c>
      <c r="P5814">
        <v>5814</v>
      </c>
      <c r="Q5814" t="s">
        <v>1898</v>
      </c>
      <c r="R5814" t="s">
        <v>201</v>
      </c>
      <c r="S5814">
        <v>1</v>
      </c>
      <c r="T5814">
        <v>1</v>
      </c>
      <c r="U5814">
        <v>141564</v>
      </c>
      <c r="V5814">
        <v>141564</v>
      </c>
    </row>
    <row r="5815" spans="1:22">
      <c r="A5815" t="s">
        <v>196</v>
      </c>
      <c r="B5815">
        <v>51</v>
      </c>
      <c r="C5815" t="s">
        <v>32</v>
      </c>
      <c r="D5815">
        <v>353</v>
      </c>
      <c r="E5815" t="s">
        <v>2126</v>
      </c>
      <c r="F5815">
        <v>1005</v>
      </c>
      <c r="G5815" t="s">
        <v>32</v>
      </c>
      <c r="H5815">
        <v>2005</v>
      </c>
      <c r="I5815" t="s">
        <v>32</v>
      </c>
      <c r="J5815">
        <v>3020</v>
      </c>
      <c r="K5815" t="s">
        <v>899</v>
      </c>
      <c r="L5815">
        <v>4210</v>
      </c>
      <c r="M5815" t="s">
        <v>1248</v>
      </c>
      <c r="N5815" t="s">
        <v>721</v>
      </c>
      <c r="O5815">
        <v>29</v>
      </c>
      <c r="P5815">
        <v>5085</v>
      </c>
      <c r="Q5815" t="s">
        <v>2047</v>
      </c>
      <c r="R5815" t="s">
        <v>712</v>
      </c>
      <c r="S5815">
        <v>1</v>
      </c>
      <c r="T5815">
        <v>1</v>
      </c>
      <c r="U5815">
        <v>13074.53</v>
      </c>
      <c r="V5815">
        <v>156894</v>
      </c>
    </row>
    <row r="5816" spans="1:22">
      <c r="A5816" t="s">
        <v>196</v>
      </c>
      <c r="B5816">
        <v>51</v>
      </c>
      <c r="C5816" t="s">
        <v>32</v>
      </c>
      <c r="D5816">
        <v>353</v>
      </c>
      <c r="E5816" t="s">
        <v>2126</v>
      </c>
      <c r="F5816">
        <v>1005</v>
      </c>
      <c r="G5816" t="s">
        <v>32</v>
      </c>
      <c r="H5816">
        <v>2005</v>
      </c>
      <c r="I5816" t="s">
        <v>32</v>
      </c>
      <c r="J5816">
        <v>3020</v>
      </c>
      <c r="K5816" t="s">
        <v>899</v>
      </c>
      <c r="L5816">
        <v>4210</v>
      </c>
      <c r="M5816" t="s">
        <v>1248</v>
      </c>
      <c r="N5816" t="s">
        <v>721</v>
      </c>
      <c r="O5816">
        <v>29</v>
      </c>
      <c r="P5816">
        <v>5084</v>
      </c>
      <c r="Q5816" t="s">
        <v>2133</v>
      </c>
      <c r="R5816" t="s">
        <v>712</v>
      </c>
      <c r="S5816">
        <v>5</v>
      </c>
      <c r="T5816">
        <v>1</v>
      </c>
      <c r="U5816">
        <v>12284.13</v>
      </c>
      <c r="V5816">
        <v>737048</v>
      </c>
    </row>
    <row r="5817" spans="1:22">
      <c r="A5817" t="s">
        <v>196</v>
      </c>
      <c r="B5817">
        <v>51</v>
      </c>
      <c r="C5817" t="s">
        <v>32</v>
      </c>
      <c r="D5817">
        <v>353</v>
      </c>
      <c r="E5817" t="s">
        <v>2126</v>
      </c>
      <c r="F5817">
        <v>1005</v>
      </c>
      <c r="G5817" t="s">
        <v>32</v>
      </c>
      <c r="H5817">
        <v>2005</v>
      </c>
      <c r="I5817" t="s">
        <v>32</v>
      </c>
      <c r="J5817">
        <v>3020</v>
      </c>
      <c r="K5817" t="s">
        <v>899</v>
      </c>
      <c r="L5817">
        <v>4210</v>
      </c>
      <c r="M5817" t="s">
        <v>1248</v>
      </c>
      <c r="N5817" t="s">
        <v>721</v>
      </c>
      <c r="O5817">
        <v>29</v>
      </c>
      <c r="P5817">
        <v>5081</v>
      </c>
      <c r="Q5817" t="s">
        <v>1824</v>
      </c>
      <c r="R5817" t="s">
        <v>713</v>
      </c>
      <c r="S5817">
        <v>12</v>
      </c>
      <c r="T5817">
        <v>1</v>
      </c>
      <c r="U5817">
        <v>64.58</v>
      </c>
      <c r="V5817">
        <v>1611917</v>
      </c>
    </row>
    <row r="5818" spans="1:22">
      <c r="A5818" t="s">
        <v>196</v>
      </c>
      <c r="B5818">
        <v>51</v>
      </c>
      <c r="C5818" t="s">
        <v>32</v>
      </c>
      <c r="D5818">
        <v>353</v>
      </c>
      <c r="E5818" t="s">
        <v>2126</v>
      </c>
      <c r="F5818">
        <v>1005</v>
      </c>
      <c r="G5818" t="s">
        <v>32</v>
      </c>
      <c r="H5818">
        <v>2005</v>
      </c>
      <c r="I5818" t="s">
        <v>32</v>
      </c>
      <c r="J5818">
        <v>3020</v>
      </c>
      <c r="K5818" t="s">
        <v>899</v>
      </c>
      <c r="L5818">
        <v>4210</v>
      </c>
      <c r="M5818" t="s">
        <v>1248</v>
      </c>
      <c r="N5818" t="s">
        <v>721</v>
      </c>
      <c r="O5818">
        <v>29</v>
      </c>
      <c r="P5818">
        <v>5080</v>
      </c>
      <c r="Q5818" t="s">
        <v>2134</v>
      </c>
      <c r="R5818" t="s">
        <v>712</v>
      </c>
      <c r="S5818">
        <v>19</v>
      </c>
      <c r="T5818">
        <v>1</v>
      </c>
      <c r="U5818">
        <v>11193.87</v>
      </c>
      <c r="V5818">
        <v>2552202</v>
      </c>
    </row>
    <row r="5819" spans="1:22">
      <c r="A5819" t="s">
        <v>196</v>
      </c>
      <c r="B5819">
        <v>51</v>
      </c>
      <c r="C5819" t="s">
        <v>32</v>
      </c>
      <c r="D5819">
        <v>353</v>
      </c>
      <c r="E5819" t="s">
        <v>2126</v>
      </c>
      <c r="F5819">
        <v>1005</v>
      </c>
      <c r="G5819" t="s">
        <v>32</v>
      </c>
      <c r="H5819">
        <v>2005</v>
      </c>
      <c r="I5819" t="s">
        <v>32</v>
      </c>
      <c r="J5819">
        <v>3020</v>
      </c>
      <c r="K5819" t="s">
        <v>899</v>
      </c>
      <c r="L5819">
        <v>4210</v>
      </c>
      <c r="M5819" t="s">
        <v>1248</v>
      </c>
      <c r="N5819" t="s">
        <v>721</v>
      </c>
      <c r="O5819">
        <v>32</v>
      </c>
      <c r="P5819">
        <v>5040</v>
      </c>
      <c r="Q5819" t="s">
        <v>966</v>
      </c>
      <c r="R5819" t="s">
        <v>713</v>
      </c>
      <c r="S5819">
        <v>1</v>
      </c>
      <c r="T5819">
        <v>1</v>
      </c>
      <c r="U5819">
        <v>63.53</v>
      </c>
      <c r="V5819">
        <v>132142</v>
      </c>
    </row>
    <row r="5820" spans="1:22">
      <c r="A5820" t="s">
        <v>196</v>
      </c>
      <c r="B5820">
        <v>51</v>
      </c>
      <c r="C5820" t="s">
        <v>32</v>
      </c>
      <c r="D5820">
        <v>353</v>
      </c>
      <c r="E5820" t="s">
        <v>2126</v>
      </c>
      <c r="F5820">
        <v>1005</v>
      </c>
      <c r="G5820" t="s">
        <v>32</v>
      </c>
      <c r="H5820">
        <v>2005</v>
      </c>
      <c r="I5820" t="s">
        <v>32</v>
      </c>
      <c r="J5820">
        <v>3020</v>
      </c>
      <c r="K5820" t="s">
        <v>899</v>
      </c>
      <c r="L5820">
        <v>4210</v>
      </c>
      <c r="M5820" t="s">
        <v>1248</v>
      </c>
      <c r="N5820" t="s">
        <v>721</v>
      </c>
      <c r="O5820">
        <v>32</v>
      </c>
      <c r="P5820">
        <v>5036</v>
      </c>
      <c r="Q5820" t="s">
        <v>2135</v>
      </c>
      <c r="R5820" t="s">
        <v>712</v>
      </c>
      <c r="S5820">
        <v>4</v>
      </c>
      <c r="T5820">
        <v>1</v>
      </c>
      <c r="U5820">
        <v>10010</v>
      </c>
      <c r="V5820">
        <v>480480</v>
      </c>
    </row>
    <row r="5821" spans="1:22">
      <c r="A5821" t="s">
        <v>196</v>
      </c>
      <c r="B5821">
        <v>51</v>
      </c>
      <c r="C5821" t="s">
        <v>32</v>
      </c>
      <c r="D5821">
        <v>353</v>
      </c>
      <c r="E5821" t="s">
        <v>2126</v>
      </c>
      <c r="F5821">
        <v>1005</v>
      </c>
      <c r="G5821" t="s">
        <v>32</v>
      </c>
      <c r="H5821">
        <v>2005</v>
      </c>
      <c r="I5821" t="s">
        <v>32</v>
      </c>
      <c r="J5821">
        <v>3020</v>
      </c>
      <c r="K5821" t="s">
        <v>899</v>
      </c>
      <c r="L5821">
        <v>4210</v>
      </c>
      <c r="M5821" t="s">
        <v>1248</v>
      </c>
      <c r="N5821" t="s">
        <v>721</v>
      </c>
      <c r="O5821">
        <v>32</v>
      </c>
      <c r="P5821">
        <v>5035</v>
      </c>
      <c r="Q5821" t="s">
        <v>967</v>
      </c>
      <c r="R5821" t="s">
        <v>713</v>
      </c>
      <c r="S5821">
        <v>7</v>
      </c>
      <c r="T5821">
        <v>1</v>
      </c>
      <c r="U5821">
        <v>57.75</v>
      </c>
      <c r="V5821">
        <v>840840</v>
      </c>
    </row>
    <row r="5822" spans="1:22">
      <c r="A5822" t="s">
        <v>196</v>
      </c>
      <c r="B5822">
        <v>51</v>
      </c>
      <c r="C5822" t="s">
        <v>32</v>
      </c>
      <c r="D5822">
        <v>353</v>
      </c>
      <c r="E5822" t="s">
        <v>2126</v>
      </c>
      <c r="F5822">
        <v>1005</v>
      </c>
      <c r="G5822" t="s">
        <v>32</v>
      </c>
      <c r="H5822">
        <v>2005</v>
      </c>
      <c r="I5822" t="s">
        <v>32</v>
      </c>
      <c r="J5822">
        <v>3020</v>
      </c>
      <c r="K5822" t="s">
        <v>899</v>
      </c>
      <c r="L5822">
        <v>4210</v>
      </c>
      <c r="M5822" t="s">
        <v>1248</v>
      </c>
      <c r="N5822" t="s">
        <v>199</v>
      </c>
      <c r="O5822">
        <v>0</v>
      </c>
      <c r="P5822">
        <v>15</v>
      </c>
      <c r="Q5822" t="s">
        <v>264</v>
      </c>
      <c r="R5822" t="s">
        <v>201</v>
      </c>
      <c r="S5822">
        <v>0</v>
      </c>
      <c r="T5822">
        <v>0</v>
      </c>
      <c r="U5822">
        <v>3409</v>
      </c>
      <c r="V5822">
        <v>3409</v>
      </c>
    </row>
    <row r="5823" spans="1:22">
      <c r="A5823" t="s">
        <v>196</v>
      </c>
      <c r="B5823">
        <v>51</v>
      </c>
      <c r="C5823" t="s">
        <v>32</v>
      </c>
      <c r="D5823">
        <v>353</v>
      </c>
      <c r="E5823" t="s">
        <v>2126</v>
      </c>
      <c r="F5823">
        <v>1005</v>
      </c>
      <c r="G5823" t="s">
        <v>32</v>
      </c>
      <c r="H5823">
        <v>2005</v>
      </c>
      <c r="I5823" t="s">
        <v>32</v>
      </c>
      <c r="J5823">
        <v>3020</v>
      </c>
      <c r="K5823" t="s">
        <v>899</v>
      </c>
      <c r="L5823">
        <v>4210</v>
      </c>
      <c r="M5823" t="s">
        <v>1248</v>
      </c>
      <c r="N5823" t="s">
        <v>199</v>
      </c>
      <c r="O5823">
        <v>0</v>
      </c>
      <c r="P5823">
        <v>12</v>
      </c>
      <c r="Q5823" t="s">
        <v>724</v>
      </c>
      <c r="R5823" t="s">
        <v>201</v>
      </c>
      <c r="S5823">
        <v>0</v>
      </c>
      <c r="T5823">
        <v>0</v>
      </c>
      <c r="U5823">
        <v>109209</v>
      </c>
      <c r="V5823">
        <v>109209</v>
      </c>
    </row>
    <row r="5824" spans="1:22">
      <c r="A5824" t="s">
        <v>196</v>
      </c>
      <c r="B5824">
        <v>51</v>
      </c>
      <c r="C5824" t="s">
        <v>32</v>
      </c>
      <c r="D5824">
        <v>353</v>
      </c>
      <c r="E5824" t="s">
        <v>2126</v>
      </c>
      <c r="F5824">
        <v>1005</v>
      </c>
      <c r="G5824" t="s">
        <v>32</v>
      </c>
      <c r="H5824">
        <v>2005</v>
      </c>
      <c r="I5824" t="s">
        <v>32</v>
      </c>
      <c r="J5824">
        <v>3020</v>
      </c>
      <c r="K5824" t="s">
        <v>899</v>
      </c>
      <c r="L5824">
        <v>4220</v>
      </c>
      <c r="M5824" t="s">
        <v>2136</v>
      </c>
      <c r="N5824" t="s">
        <v>266</v>
      </c>
      <c r="O5824">
        <v>9</v>
      </c>
      <c r="P5824">
        <v>9684</v>
      </c>
      <c r="Q5824" t="s">
        <v>327</v>
      </c>
      <c r="R5824" t="s">
        <v>201</v>
      </c>
      <c r="S5824">
        <v>1</v>
      </c>
      <c r="T5824">
        <v>1</v>
      </c>
      <c r="U5824">
        <v>175512</v>
      </c>
      <c r="V5824">
        <v>175512</v>
      </c>
    </row>
    <row r="5825" spans="1:22">
      <c r="A5825" t="s">
        <v>196</v>
      </c>
      <c r="B5825">
        <v>51</v>
      </c>
      <c r="C5825" t="s">
        <v>32</v>
      </c>
      <c r="D5825">
        <v>353</v>
      </c>
      <c r="E5825" t="s">
        <v>2126</v>
      </c>
      <c r="F5825">
        <v>1005</v>
      </c>
      <c r="G5825" t="s">
        <v>32</v>
      </c>
      <c r="H5825">
        <v>2005</v>
      </c>
      <c r="I5825" t="s">
        <v>32</v>
      </c>
      <c r="J5825">
        <v>3020</v>
      </c>
      <c r="K5825" t="s">
        <v>899</v>
      </c>
      <c r="L5825">
        <v>4220</v>
      </c>
      <c r="M5825" t="s">
        <v>2136</v>
      </c>
      <c r="N5825" t="s">
        <v>721</v>
      </c>
      <c r="O5825">
        <v>32</v>
      </c>
      <c r="P5825">
        <v>5040</v>
      </c>
      <c r="Q5825" t="s">
        <v>966</v>
      </c>
      <c r="R5825" t="s">
        <v>713</v>
      </c>
      <c r="S5825">
        <v>4</v>
      </c>
      <c r="T5825">
        <v>1</v>
      </c>
      <c r="U5825">
        <v>63.53</v>
      </c>
      <c r="V5825">
        <v>528570</v>
      </c>
    </row>
    <row r="5826" spans="1:22">
      <c r="A5826" t="s">
        <v>196</v>
      </c>
      <c r="B5826">
        <v>51</v>
      </c>
      <c r="C5826" t="s">
        <v>32</v>
      </c>
      <c r="D5826">
        <v>353</v>
      </c>
      <c r="E5826" t="s">
        <v>2126</v>
      </c>
      <c r="F5826">
        <v>1005</v>
      </c>
      <c r="G5826" t="s">
        <v>32</v>
      </c>
      <c r="H5826">
        <v>2005</v>
      </c>
      <c r="I5826" t="s">
        <v>32</v>
      </c>
      <c r="J5826">
        <v>3020</v>
      </c>
      <c r="K5826" t="s">
        <v>899</v>
      </c>
      <c r="L5826">
        <v>4220</v>
      </c>
      <c r="M5826" t="s">
        <v>2136</v>
      </c>
      <c r="N5826" t="s">
        <v>721</v>
      </c>
      <c r="O5826">
        <v>32</v>
      </c>
      <c r="P5826">
        <v>5035</v>
      </c>
      <c r="Q5826" t="s">
        <v>967</v>
      </c>
      <c r="R5826" t="s">
        <v>713</v>
      </c>
      <c r="S5826">
        <v>31</v>
      </c>
      <c r="T5826">
        <v>1</v>
      </c>
      <c r="U5826">
        <v>57.75</v>
      </c>
      <c r="V5826">
        <v>3723720</v>
      </c>
    </row>
    <row r="5827" spans="1:22">
      <c r="A5827" t="s">
        <v>196</v>
      </c>
      <c r="B5827">
        <v>51</v>
      </c>
      <c r="C5827" t="s">
        <v>32</v>
      </c>
      <c r="D5827">
        <v>353</v>
      </c>
      <c r="E5827" t="s">
        <v>2126</v>
      </c>
      <c r="F5827">
        <v>1005</v>
      </c>
      <c r="G5827" t="s">
        <v>32</v>
      </c>
      <c r="H5827">
        <v>2005</v>
      </c>
      <c r="I5827" t="s">
        <v>32</v>
      </c>
      <c r="J5827">
        <v>3020</v>
      </c>
      <c r="K5827" t="s">
        <v>899</v>
      </c>
      <c r="L5827">
        <v>4220</v>
      </c>
      <c r="M5827" t="s">
        <v>2136</v>
      </c>
      <c r="N5827" t="s">
        <v>372</v>
      </c>
      <c r="O5827">
        <v>1</v>
      </c>
      <c r="P5827">
        <v>1854</v>
      </c>
      <c r="Q5827" t="s">
        <v>1232</v>
      </c>
      <c r="R5827" t="s">
        <v>201</v>
      </c>
      <c r="S5827">
        <v>1</v>
      </c>
      <c r="T5827">
        <v>1</v>
      </c>
      <c r="U5827">
        <v>113628</v>
      </c>
      <c r="V5827">
        <v>113628</v>
      </c>
    </row>
    <row r="5828" spans="1:22">
      <c r="A5828" t="s">
        <v>196</v>
      </c>
      <c r="B5828">
        <v>51</v>
      </c>
      <c r="C5828" t="s">
        <v>32</v>
      </c>
      <c r="D5828">
        <v>353</v>
      </c>
      <c r="E5828" t="s">
        <v>2126</v>
      </c>
      <c r="F5828">
        <v>1005</v>
      </c>
      <c r="G5828" t="s">
        <v>32</v>
      </c>
      <c r="H5828">
        <v>2005</v>
      </c>
      <c r="I5828" t="s">
        <v>32</v>
      </c>
      <c r="J5828">
        <v>3020</v>
      </c>
      <c r="K5828" t="s">
        <v>899</v>
      </c>
      <c r="L5828">
        <v>4220</v>
      </c>
      <c r="M5828" t="s">
        <v>2136</v>
      </c>
      <c r="N5828" t="s">
        <v>249</v>
      </c>
      <c r="O5828">
        <v>10</v>
      </c>
      <c r="P5828">
        <v>311</v>
      </c>
      <c r="Q5828" t="s">
        <v>661</v>
      </c>
      <c r="R5828" t="s">
        <v>201</v>
      </c>
      <c r="S5828">
        <v>1</v>
      </c>
      <c r="T5828">
        <v>1</v>
      </c>
      <c r="U5828">
        <v>150072</v>
      </c>
      <c r="V5828">
        <v>150072</v>
      </c>
    </row>
    <row r="5829" spans="1:22">
      <c r="A5829" t="s">
        <v>196</v>
      </c>
      <c r="B5829">
        <v>51</v>
      </c>
      <c r="C5829" t="s">
        <v>32</v>
      </c>
      <c r="D5829">
        <v>353</v>
      </c>
      <c r="E5829" t="s">
        <v>2126</v>
      </c>
      <c r="F5829">
        <v>1005</v>
      </c>
      <c r="G5829" t="s">
        <v>32</v>
      </c>
      <c r="H5829">
        <v>2005</v>
      </c>
      <c r="I5829" t="s">
        <v>32</v>
      </c>
      <c r="J5829">
        <v>3020</v>
      </c>
      <c r="K5829" t="s">
        <v>899</v>
      </c>
      <c r="L5829">
        <v>4220</v>
      </c>
      <c r="M5829" t="s">
        <v>2136</v>
      </c>
      <c r="N5829" t="s">
        <v>199</v>
      </c>
      <c r="O5829">
        <v>0</v>
      </c>
      <c r="P5829">
        <v>15</v>
      </c>
      <c r="Q5829" t="s">
        <v>264</v>
      </c>
      <c r="R5829" t="s">
        <v>201</v>
      </c>
      <c r="S5829">
        <v>0</v>
      </c>
      <c r="T5829">
        <v>0</v>
      </c>
      <c r="U5829">
        <v>8282</v>
      </c>
      <c r="V5829">
        <v>8282</v>
      </c>
    </row>
    <row r="5830" spans="1:22">
      <c r="A5830" t="s">
        <v>196</v>
      </c>
      <c r="B5830">
        <v>51</v>
      </c>
      <c r="C5830" t="s">
        <v>32</v>
      </c>
      <c r="D5830">
        <v>353</v>
      </c>
      <c r="E5830" t="s">
        <v>2126</v>
      </c>
      <c r="F5830">
        <v>1005</v>
      </c>
      <c r="G5830" t="s">
        <v>32</v>
      </c>
      <c r="H5830">
        <v>2005</v>
      </c>
      <c r="I5830" t="s">
        <v>32</v>
      </c>
      <c r="J5830">
        <v>3020</v>
      </c>
      <c r="K5830" t="s">
        <v>899</v>
      </c>
      <c r="L5830">
        <v>4220</v>
      </c>
      <c r="M5830" t="s">
        <v>2136</v>
      </c>
      <c r="N5830" t="s">
        <v>199</v>
      </c>
      <c r="O5830">
        <v>0</v>
      </c>
      <c r="P5830">
        <v>12</v>
      </c>
      <c r="Q5830" t="s">
        <v>724</v>
      </c>
      <c r="R5830" t="s">
        <v>201</v>
      </c>
      <c r="S5830">
        <v>0</v>
      </c>
      <c r="T5830">
        <v>0</v>
      </c>
      <c r="U5830">
        <v>63785</v>
      </c>
      <c r="V5830">
        <v>63785</v>
      </c>
    </row>
    <row r="5831" spans="1:22">
      <c r="A5831" t="s">
        <v>196</v>
      </c>
      <c r="B5831">
        <v>58</v>
      </c>
      <c r="C5831" t="s">
        <v>9</v>
      </c>
      <c r="D5831">
        <v>353</v>
      </c>
      <c r="E5831" t="s">
        <v>2126</v>
      </c>
      <c r="F5831">
        <v>1010</v>
      </c>
      <c r="G5831" t="s">
        <v>9</v>
      </c>
      <c r="H5831">
        <v>2705</v>
      </c>
      <c r="I5831" t="s">
        <v>9</v>
      </c>
      <c r="J5831">
        <v>3005</v>
      </c>
      <c r="K5831" t="s">
        <v>1447</v>
      </c>
      <c r="L5831">
        <v>4005</v>
      </c>
      <c r="M5831" t="s">
        <v>1193</v>
      </c>
      <c r="N5831" t="s">
        <v>251</v>
      </c>
      <c r="O5831">
        <v>10</v>
      </c>
      <c r="P5831">
        <v>1430</v>
      </c>
      <c r="Q5831" t="s">
        <v>850</v>
      </c>
      <c r="R5831" t="s">
        <v>201</v>
      </c>
      <c r="S5831">
        <v>1</v>
      </c>
      <c r="T5831">
        <v>1</v>
      </c>
      <c r="U5831">
        <v>76476</v>
      </c>
      <c r="V5831">
        <v>76476</v>
      </c>
    </row>
    <row r="5832" spans="1:22">
      <c r="A5832" t="s">
        <v>196</v>
      </c>
      <c r="B5832">
        <v>58</v>
      </c>
      <c r="C5832" t="s">
        <v>9</v>
      </c>
      <c r="D5832">
        <v>353</v>
      </c>
      <c r="E5832" t="s">
        <v>2126</v>
      </c>
      <c r="F5832">
        <v>1010</v>
      </c>
      <c r="G5832" t="s">
        <v>9</v>
      </c>
      <c r="H5832">
        <v>2705</v>
      </c>
      <c r="I5832" t="s">
        <v>9</v>
      </c>
      <c r="J5832">
        <v>3010</v>
      </c>
      <c r="K5832" t="s">
        <v>243</v>
      </c>
      <c r="L5832">
        <v>4030</v>
      </c>
      <c r="M5832" t="s">
        <v>932</v>
      </c>
      <c r="N5832" t="s">
        <v>2137</v>
      </c>
      <c r="O5832">
        <v>57</v>
      </c>
      <c r="P5832">
        <v>8604</v>
      </c>
      <c r="Q5832" t="s">
        <v>2138</v>
      </c>
      <c r="R5832" t="s">
        <v>201</v>
      </c>
      <c r="S5832">
        <v>1</v>
      </c>
      <c r="T5832">
        <v>1</v>
      </c>
      <c r="U5832">
        <v>127284</v>
      </c>
      <c r="V5832">
        <v>127284</v>
      </c>
    </row>
    <row r="5833" spans="1:22">
      <c r="A5833" t="s">
        <v>196</v>
      </c>
      <c r="B5833">
        <v>58</v>
      </c>
      <c r="C5833" t="s">
        <v>9</v>
      </c>
      <c r="D5833">
        <v>353</v>
      </c>
      <c r="E5833" t="s">
        <v>2126</v>
      </c>
      <c r="F5833">
        <v>1010</v>
      </c>
      <c r="G5833" t="s">
        <v>9</v>
      </c>
      <c r="H5833">
        <v>2705</v>
      </c>
      <c r="I5833" t="s">
        <v>9</v>
      </c>
      <c r="J5833">
        <v>3010</v>
      </c>
      <c r="K5833" t="s">
        <v>243</v>
      </c>
      <c r="L5833">
        <v>4030</v>
      </c>
      <c r="M5833" t="s">
        <v>932</v>
      </c>
      <c r="N5833" t="s">
        <v>1450</v>
      </c>
      <c r="O5833">
        <v>2</v>
      </c>
      <c r="P5833">
        <v>8602</v>
      </c>
      <c r="Q5833" t="s">
        <v>1451</v>
      </c>
      <c r="R5833" t="s">
        <v>201</v>
      </c>
      <c r="S5833">
        <v>1</v>
      </c>
      <c r="T5833">
        <v>1</v>
      </c>
      <c r="U5833">
        <v>109404</v>
      </c>
      <c r="V5833">
        <v>109404</v>
      </c>
    </row>
    <row r="5834" spans="1:22">
      <c r="A5834" t="s">
        <v>196</v>
      </c>
      <c r="B5834">
        <v>58</v>
      </c>
      <c r="C5834" t="s">
        <v>9</v>
      </c>
      <c r="D5834">
        <v>353</v>
      </c>
      <c r="E5834" t="s">
        <v>2126</v>
      </c>
      <c r="F5834">
        <v>1010</v>
      </c>
      <c r="G5834" t="s">
        <v>9</v>
      </c>
      <c r="H5834">
        <v>2705</v>
      </c>
      <c r="I5834" t="s">
        <v>9</v>
      </c>
      <c r="J5834">
        <v>3010</v>
      </c>
      <c r="K5834" t="s">
        <v>243</v>
      </c>
      <c r="L5834">
        <v>4030</v>
      </c>
      <c r="M5834" t="s">
        <v>932</v>
      </c>
      <c r="N5834" t="s">
        <v>1450</v>
      </c>
      <c r="O5834">
        <v>2</v>
      </c>
      <c r="P5834">
        <v>8602</v>
      </c>
      <c r="Q5834" t="s">
        <v>1451</v>
      </c>
      <c r="R5834" t="s">
        <v>201</v>
      </c>
      <c r="S5834">
        <v>1</v>
      </c>
      <c r="T5834">
        <v>1</v>
      </c>
      <c r="U5834">
        <v>77988</v>
      </c>
      <c r="V5834">
        <v>77988</v>
      </c>
    </row>
    <row r="5835" spans="1:22">
      <c r="A5835" t="s">
        <v>196</v>
      </c>
      <c r="B5835">
        <v>58</v>
      </c>
      <c r="C5835" t="s">
        <v>9</v>
      </c>
      <c r="D5835">
        <v>353</v>
      </c>
      <c r="E5835" t="s">
        <v>2126</v>
      </c>
      <c r="F5835">
        <v>1010</v>
      </c>
      <c r="G5835" t="s">
        <v>9</v>
      </c>
      <c r="H5835">
        <v>2705</v>
      </c>
      <c r="I5835" t="s">
        <v>9</v>
      </c>
      <c r="J5835">
        <v>3010</v>
      </c>
      <c r="K5835" t="s">
        <v>243</v>
      </c>
      <c r="L5835">
        <v>4030</v>
      </c>
      <c r="M5835" t="s">
        <v>932</v>
      </c>
      <c r="N5835" t="s">
        <v>1450</v>
      </c>
      <c r="O5835">
        <v>2</v>
      </c>
      <c r="P5835">
        <v>8602</v>
      </c>
      <c r="Q5835" t="s">
        <v>1451</v>
      </c>
      <c r="R5835" t="s">
        <v>201</v>
      </c>
      <c r="S5835">
        <v>1</v>
      </c>
      <c r="T5835">
        <v>1</v>
      </c>
      <c r="U5835">
        <v>74520</v>
      </c>
      <c r="V5835">
        <v>74520</v>
      </c>
    </row>
    <row r="5836" spans="1:22">
      <c r="A5836" t="s">
        <v>196</v>
      </c>
      <c r="B5836">
        <v>58</v>
      </c>
      <c r="C5836" t="s">
        <v>9</v>
      </c>
      <c r="D5836">
        <v>353</v>
      </c>
      <c r="E5836" t="s">
        <v>2126</v>
      </c>
      <c r="F5836">
        <v>1010</v>
      </c>
      <c r="G5836" t="s">
        <v>9</v>
      </c>
      <c r="H5836">
        <v>2705</v>
      </c>
      <c r="I5836" t="s">
        <v>9</v>
      </c>
      <c r="J5836">
        <v>3010</v>
      </c>
      <c r="K5836" t="s">
        <v>243</v>
      </c>
      <c r="L5836">
        <v>4030</v>
      </c>
      <c r="M5836" t="s">
        <v>932</v>
      </c>
      <c r="N5836" t="s">
        <v>1450</v>
      </c>
      <c r="O5836">
        <v>2</v>
      </c>
      <c r="P5836">
        <v>8602</v>
      </c>
      <c r="Q5836" t="s">
        <v>1451</v>
      </c>
      <c r="R5836" t="s">
        <v>201</v>
      </c>
      <c r="S5836">
        <v>1</v>
      </c>
      <c r="T5836">
        <v>1</v>
      </c>
      <c r="U5836">
        <v>71076</v>
      </c>
      <c r="V5836">
        <v>71076</v>
      </c>
    </row>
    <row r="5837" spans="1:22">
      <c r="A5837" t="s">
        <v>196</v>
      </c>
      <c r="B5837">
        <v>58</v>
      </c>
      <c r="C5837" t="s">
        <v>9</v>
      </c>
      <c r="D5837">
        <v>353</v>
      </c>
      <c r="E5837" t="s">
        <v>2126</v>
      </c>
      <c r="F5837">
        <v>1010</v>
      </c>
      <c r="G5837" t="s">
        <v>9</v>
      </c>
      <c r="H5837">
        <v>2705</v>
      </c>
      <c r="I5837" t="s">
        <v>9</v>
      </c>
      <c r="J5837">
        <v>3010</v>
      </c>
      <c r="K5837" t="s">
        <v>243</v>
      </c>
      <c r="L5837">
        <v>4030</v>
      </c>
      <c r="M5837" t="s">
        <v>932</v>
      </c>
      <c r="N5837" t="s">
        <v>1450</v>
      </c>
      <c r="O5837">
        <v>2</v>
      </c>
      <c r="P5837">
        <v>8602</v>
      </c>
      <c r="Q5837" t="s">
        <v>1451</v>
      </c>
      <c r="R5837" t="s">
        <v>201</v>
      </c>
      <c r="S5837">
        <v>4</v>
      </c>
      <c r="T5837">
        <v>1</v>
      </c>
      <c r="U5837">
        <v>67884</v>
      </c>
      <c r="V5837">
        <v>271536</v>
      </c>
    </row>
    <row r="5838" spans="1:22">
      <c r="A5838" t="s">
        <v>196</v>
      </c>
      <c r="B5838">
        <v>58</v>
      </c>
      <c r="C5838" t="s">
        <v>9</v>
      </c>
      <c r="D5838">
        <v>353</v>
      </c>
      <c r="E5838" t="s">
        <v>2126</v>
      </c>
      <c r="F5838">
        <v>1010</v>
      </c>
      <c r="G5838" t="s">
        <v>9</v>
      </c>
      <c r="H5838">
        <v>2705</v>
      </c>
      <c r="I5838" t="s">
        <v>9</v>
      </c>
      <c r="J5838">
        <v>3010</v>
      </c>
      <c r="K5838" t="s">
        <v>243</v>
      </c>
      <c r="L5838">
        <v>4030</v>
      </c>
      <c r="M5838" t="s">
        <v>932</v>
      </c>
      <c r="N5838" t="s">
        <v>199</v>
      </c>
      <c r="O5838">
        <v>0</v>
      </c>
      <c r="P5838">
        <v>15</v>
      </c>
      <c r="Q5838" t="s">
        <v>264</v>
      </c>
      <c r="R5838" t="s">
        <v>201</v>
      </c>
      <c r="S5838">
        <v>0</v>
      </c>
      <c r="T5838">
        <v>0</v>
      </c>
      <c r="U5838">
        <v>9978</v>
      </c>
      <c r="V5838">
        <v>9978</v>
      </c>
    </row>
    <row r="5839" spans="1:22">
      <c r="A5839" t="s">
        <v>196</v>
      </c>
      <c r="B5839">
        <v>58</v>
      </c>
      <c r="C5839" t="s">
        <v>9</v>
      </c>
      <c r="D5839">
        <v>353</v>
      </c>
      <c r="E5839" t="s">
        <v>2126</v>
      </c>
      <c r="F5839">
        <v>1010</v>
      </c>
      <c r="G5839" t="s">
        <v>9</v>
      </c>
      <c r="H5839">
        <v>2705</v>
      </c>
      <c r="I5839" t="s">
        <v>9</v>
      </c>
      <c r="J5839">
        <v>3010</v>
      </c>
      <c r="K5839" t="s">
        <v>243</v>
      </c>
      <c r="L5839">
        <v>4040</v>
      </c>
      <c r="M5839" t="s">
        <v>2139</v>
      </c>
      <c r="N5839" t="s">
        <v>266</v>
      </c>
      <c r="O5839">
        <v>9</v>
      </c>
      <c r="P5839">
        <v>9684</v>
      </c>
      <c r="Q5839" t="s">
        <v>327</v>
      </c>
      <c r="R5839" t="s">
        <v>201</v>
      </c>
      <c r="S5839">
        <v>1</v>
      </c>
      <c r="T5839">
        <v>1</v>
      </c>
      <c r="U5839">
        <v>157332</v>
      </c>
      <c r="V5839">
        <v>157332</v>
      </c>
    </row>
    <row r="5840" spans="1:22">
      <c r="A5840" t="s">
        <v>196</v>
      </c>
      <c r="B5840">
        <v>58</v>
      </c>
      <c r="C5840" t="s">
        <v>9</v>
      </c>
      <c r="D5840">
        <v>353</v>
      </c>
      <c r="E5840" t="s">
        <v>2126</v>
      </c>
      <c r="F5840">
        <v>1010</v>
      </c>
      <c r="G5840" t="s">
        <v>9</v>
      </c>
      <c r="H5840">
        <v>2705</v>
      </c>
      <c r="I5840" t="s">
        <v>9</v>
      </c>
      <c r="J5840">
        <v>3010</v>
      </c>
      <c r="K5840" t="s">
        <v>243</v>
      </c>
      <c r="L5840">
        <v>4040</v>
      </c>
      <c r="M5840" t="s">
        <v>2139</v>
      </c>
      <c r="N5840" t="s">
        <v>2140</v>
      </c>
      <c r="O5840">
        <v>2</v>
      </c>
      <c r="P5840">
        <v>8633</v>
      </c>
      <c r="Q5840" t="s">
        <v>2141</v>
      </c>
      <c r="R5840" t="s">
        <v>201</v>
      </c>
      <c r="S5840">
        <v>25</v>
      </c>
      <c r="T5840">
        <v>1</v>
      </c>
      <c r="U5840">
        <v>74520</v>
      </c>
      <c r="V5840">
        <v>1863000</v>
      </c>
    </row>
    <row r="5841" spans="1:22">
      <c r="A5841" t="s">
        <v>196</v>
      </c>
      <c r="B5841">
        <v>58</v>
      </c>
      <c r="C5841" t="s">
        <v>9</v>
      </c>
      <c r="D5841">
        <v>353</v>
      </c>
      <c r="E5841" t="s">
        <v>2126</v>
      </c>
      <c r="F5841">
        <v>1010</v>
      </c>
      <c r="G5841" t="s">
        <v>9</v>
      </c>
      <c r="H5841">
        <v>2705</v>
      </c>
      <c r="I5841" t="s">
        <v>9</v>
      </c>
      <c r="J5841">
        <v>3010</v>
      </c>
      <c r="K5841" t="s">
        <v>243</v>
      </c>
      <c r="L5841">
        <v>4040</v>
      </c>
      <c r="M5841" t="s">
        <v>2139</v>
      </c>
      <c r="N5841" t="s">
        <v>274</v>
      </c>
      <c r="O5841">
        <v>0</v>
      </c>
      <c r="P5841">
        <v>8608</v>
      </c>
      <c r="Q5841" t="s">
        <v>2142</v>
      </c>
      <c r="R5841" t="s">
        <v>201</v>
      </c>
      <c r="S5841">
        <v>3</v>
      </c>
      <c r="T5841">
        <v>1</v>
      </c>
      <c r="U5841">
        <v>153384</v>
      </c>
      <c r="V5841">
        <v>460152</v>
      </c>
    </row>
    <row r="5842" spans="1:22">
      <c r="A5842" t="s">
        <v>196</v>
      </c>
      <c r="B5842">
        <v>58</v>
      </c>
      <c r="C5842" t="s">
        <v>9</v>
      </c>
      <c r="D5842">
        <v>353</v>
      </c>
      <c r="E5842" t="s">
        <v>2126</v>
      </c>
      <c r="F5842">
        <v>1010</v>
      </c>
      <c r="G5842" t="s">
        <v>9</v>
      </c>
      <c r="H5842">
        <v>2705</v>
      </c>
      <c r="I5842" t="s">
        <v>9</v>
      </c>
      <c r="J5842">
        <v>3010</v>
      </c>
      <c r="K5842" t="s">
        <v>243</v>
      </c>
      <c r="L5842">
        <v>4040</v>
      </c>
      <c r="M5842" t="s">
        <v>2139</v>
      </c>
      <c r="N5842" t="s">
        <v>274</v>
      </c>
      <c r="O5842">
        <v>0</v>
      </c>
      <c r="P5842">
        <v>8608</v>
      </c>
      <c r="Q5842" t="s">
        <v>2142</v>
      </c>
      <c r="R5842" t="s">
        <v>201</v>
      </c>
      <c r="S5842">
        <v>2</v>
      </c>
      <c r="T5842">
        <v>1</v>
      </c>
      <c r="U5842">
        <v>146808</v>
      </c>
      <c r="V5842">
        <v>293616</v>
      </c>
    </row>
    <row r="5843" spans="1:22">
      <c r="A5843" t="s">
        <v>196</v>
      </c>
      <c r="B5843">
        <v>58</v>
      </c>
      <c r="C5843" t="s">
        <v>9</v>
      </c>
      <c r="D5843">
        <v>353</v>
      </c>
      <c r="E5843" t="s">
        <v>2126</v>
      </c>
      <c r="F5843">
        <v>1010</v>
      </c>
      <c r="G5843" t="s">
        <v>9</v>
      </c>
      <c r="H5843">
        <v>2705</v>
      </c>
      <c r="I5843" t="s">
        <v>9</v>
      </c>
      <c r="J5843">
        <v>3010</v>
      </c>
      <c r="K5843" t="s">
        <v>243</v>
      </c>
      <c r="L5843">
        <v>4040</v>
      </c>
      <c r="M5843" t="s">
        <v>2139</v>
      </c>
      <c r="N5843" t="s">
        <v>274</v>
      </c>
      <c r="O5843">
        <v>0</v>
      </c>
      <c r="P5843">
        <v>8608</v>
      </c>
      <c r="Q5843" t="s">
        <v>2142</v>
      </c>
      <c r="R5843" t="s">
        <v>201</v>
      </c>
      <c r="S5843">
        <v>2</v>
      </c>
      <c r="T5843">
        <v>1</v>
      </c>
      <c r="U5843">
        <v>137532</v>
      </c>
      <c r="V5843">
        <v>275064</v>
      </c>
    </row>
    <row r="5844" spans="1:22">
      <c r="A5844" t="s">
        <v>196</v>
      </c>
      <c r="B5844">
        <v>58</v>
      </c>
      <c r="C5844" t="s">
        <v>9</v>
      </c>
      <c r="D5844">
        <v>353</v>
      </c>
      <c r="E5844" t="s">
        <v>2126</v>
      </c>
      <c r="F5844">
        <v>1010</v>
      </c>
      <c r="G5844" t="s">
        <v>9</v>
      </c>
      <c r="H5844">
        <v>2705</v>
      </c>
      <c r="I5844" t="s">
        <v>9</v>
      </c>
      <c r="J5844">
        <v>3010</v>
      </c>
      <c r="K5844" t="s">
        <v>243</v>
      </c>
      <c r="L5844">
        <v>4040</v>
      </c>
      <c r="M5844" t="s">
        <v>2139</v>
      </c>
      <c r="N5844" t="s">
        <v>274</v>
      </c>
      <c r="O5844">
        <v>0</v>
      </c>
      <c r="P5844">
        <v>8608</v>
      </c>
      <c r="Q5844" t="s">
        <v>2142</v>
      </c>
      <c r="R5844" t="s">
        <v>201</v>
      </c>
      <c r="S5844">
        <v>1</v>
      </c>
      <c r="T5844">
        <v>1</v>
      </c>
      <c r="U5844">
        <v>121668</v>
      </c>
      <c r="V5844">
        <v>121668</v>
      </c>
    </row>
    <row r="5845" spans="1:22">
      <c r="A5845" t="s">
        <v>196</v>
      </c>
      <c r="B5845">
        <v>58</v>
      </c>
      <c r="C5845" t="s">
        <v>9</v>
      </c>
      <c r="D5845">
        <v>353</v>
      </c>
      <c r="E5845" t="s">
        <v>2126</v>
      </c>
      <c r="F5845">
        <v>1010</v>
      </c>
      <c r="G5845" t="s">
        <v>9</v>
      </c>
      <c r="H5845">
        <v>2705</v>
      </c>
      <c r="I5845" t="s">
        <v>9</v>
      </c>
      <c r="J5845">
        <v>3010</v>
      </c>
      <c r="K5845" t="s">
        <v>243</v>
      </c>
      <c r="L5845">
        <v>4040</v>
      </c>
      <c r="M5845" t="s">
        <v>2139</v>
      </c>
      <c r="N5845" t="s">
        <v>2137</v>
      </c>
      <c r="O5845">
        <v>57</v>
      </c>
      <c r="P5845">
        <v>8604</v>
      </c>
      <c r="Q5845" t="s">
        <v>2138</v>
      </c>
      <c r="R5845" t="s">
        <v>201</v>
      </c>
      <c r="S5845">
        <v>1</v>
      </c>
      <c r="T5845">
        <v>1</v>
      </c>
      <c r="U5845">
        <v>131436</v>
      </c>
      <c r="V5845">
        <v>131436</v>
      </c>
    </row>
    <row r="5846" spans="1:22">
      <c r="A5846" t="s">
        <v>196</v>
      </c>
      <c r="B5846">
        <v>58</v>
      </c>
      <c r="C5846" t="s">
        <v>9</v>
      </c>
      <c r="D5846">
        <v>353</v>
      </c>
      <c r="E5846" t="s">
        <v>2126</v>
      </c>
      <c r="F5846">
        <v>1010</v>
      </c>
      <c r="G5846" t="s">
        <v>9</v>
      </c>
      <c r="H5846">
        <v>2705</v>
      </c>
      <c r="I5846" t="s">
        <v>9</v>
      </c>
      <c r="J5846">
        <v>3010</v>
      </c>
      <c r="K5846" t="s">
        <v>243</v>
      </c>
      <c r="L5846">
        <v>4040</v>
      </c>
      <c r="M5846" t="s">
        <v>2139</v>
      </c>
      <c r="N5846" t="s">
        <v>2137</v>
      </c>
      <c r="O5846">
        <v>57</v>
      </c>
      <c r="P5846">
        <v>8604</v>
      </c>
      <c r="Q5846" t="s">
        <v>2138</v>
      </c>
      <c r="R5846" t="s">
        <v>201</v>
      </c>
      <c r="S5846">
        <v>3</v>
      </c>
      <c r="T5846">
        <v>1</v>
      </c>
      <c r="U5846">
        <v>130788</v>
      </c>
      <c r="V5846">
        <v>392364</v>
      </c>
    </row>
    <row r="5847" spans="1:22">
      <c r="A5847" t="s">
        <v>196</v>
      </c>
      <c r="B5847">
        <v>58</v>
      </c>
      <c r="C5847" t="s">
        <v>9</v>
      </c>
      <c r="D5847">
        <v>353</v>
      </c>
      <c r="E5847" t="s">
        <v>2126</v>
      </c>
      <c r="F5847">
        <v>1010</v>
      </c>
      <c r="G5847" t="s">
        <v>9</v>
      </c>
      <c r="H5847">
        <v>2705</v>
      </c>
      <c r="I5847" t="s">
        <v>9</v>
      </c>
      <c r="J5847">
        <v>3010</v>
      </c>
      <c r="K5847" t="s">
        <v>243</v>
      </c>
      <c r="L5847">
        <v>4040</v>
      </c>
      <c r="M5847" t="s">
        <v>2139</v>
      </c>
      <c r="N5847" t="s">
        <v>2137</v>
      </c>
      <c r="O5847">
        <v>57</v>
      </c>
      <c r="P5847">
        <v>8604</v>
      </c>
      <c r="Q5847" t="s">
        <v>2138</v>
      </c>
      <c r="R5847" t="s">
        <v>201</v>
      </c>
      <c r="S5847">
        <v>2</v>
      </c>
      <c r="T5847">
        <v>1</v>
      </c>
      <c r="U5847">
        <v>129852</v>
      </c>
      <c r="V5847">
        <v>259704</v>
      </c>
    </row>
    <row r="5848" spans="1:22">
      <c r="A5848" t="s">
        <v>196</v>
      </c>
      <c r="B5848">
        <v>58</v>
      </c>
      <c r="C5848" t="s">
        <v>9</v>
      </c>
      <c r="D5848">
        <v>353</v>
      </c>
      <c r="E5848" t="s">
        <v>2126</v>
      </c>
      <c r="F5848">
        <v>1010</v>
      </c>
      <c r="G5848" t="s">
        <v>9</v>
      </c>
      <c r="H5848">
        <v>2705</v>
      </c>
      <c r="I5848" t="s">
        <v>9</v>
      </c>
      <c r="J5848">
        <v>3010</v>
      </c>
      <c r="K5848" t="s">
        <v>243</v>
      </c>
      <c r="L5848">
        <v>4040</v>
      </c>
      <c r="M5848" t="s">
        <v>2139</v>
      </c>
      <c r="N5848" t="s">
        <v>2137</v>
      </c>
      <c r="O5848">
        <v>57</v>
      </c>
      <c r="P5848">
        <v>8604</v>
      </c>
      <c r="Q5848" t="s">
        <v>2138</v>
      </c>
      <c r="R5848" t="s">
        <v>201</v>
      </c>
      <c r="S5848">
        <v>2</v>
      </c>
      <c r="T5848">
        <v>1</v>
      </c>
      <c r="U5848">
        <v>128892</v>
      </c>
      <c r="V5848">
        <v>257784</v>
      </c>
    </row>
    <row r="5849" spans="1:22">
      <c r="A5849" t="s">
        <v>196</v>
      </c>
      <c r="B5849">
        <v>58</v>
      </c>
      <c r="C5849" t="s">
        <v>9</v>
      </c>
      <c r="D5849">
        <v>353</v>
      </c>
      <c r="E5849" t="s">
        <v>2126</v>
      </c>
      <c r="F5849">
        <v>1010</v>
      </c>
      <c r="G5849" t="s">
        <v>9</v>
      </c>
      <c r="H5849">
        <v>2705</v>
      </c>
      <c r="I5849" t="s">
        <v>9</v>
      </c>
      <c r="J5849">
        <v>3010</v>
      </c>
      <c r="K5849" t="s">
        <v>243</v>
      </c>
      <c r="L5849">
        <v>4040</v>
      </c>
      <c r="M5849" t="s">
        <v>2139</v>
      </c>
      <c r="N5849" t="s">
        <v>2137</v>
      </c>
      <c r="O5849">
        <v>57</v>
      </c>
      <c r="P5849">
        <v>8604</v>
      </c>
      <c r="Q5849" t="s">
        <v>2138</v>
      </c>
      <c r="R5849" t="s">
        <v>201</v>
      </c>
      <c r="S5849">
        <v>6</v>
      </c>
      <c r="T5849">
        <v>1</v>
      </c>
      <c r="U5849">
        <v>127956</v>
      </c>
      <c r="V5849">
        <v>767736</v>
      </c>
    </row>
    <row r="5850" spans="1:22">
      <c r="A5850" t="s">
        <v>196</v>
      </c>
      <c r="B5850">
        <v>58</v>
      </c>
      <c r="C5850" t="s">
        <v>9</v>
      </c>
      <c r="D5850">
        <v>353</v>
      </c>
      <c r="E5850" t="s">
        <v>2126</v>
      </c>
      <c r="F5850">
        <v>1010</v>
      </c>
      <c r="G5850" t="s">
        <v>9</v>
      </c>
      <c r="H5850">
        <v>2705</v>
      </c>
      <c r="I5850" t="s">
        <v>9</v>
      </c>
      <c r="J5850">
        <v>3010</v>
      </c>
      <c r="K5850" t="s">
        <v>243</v>
      </c>
      <c r="L5850">
        <v>4040</v>
      </c>
      <c r="M5850" t="s">
        <v>2139</v>
      </c>
      <c r="N5850" t="s">
        <v>2137</v>
      </c>
      <c r="O5850">
        <v>57</v>
      </c>
      <c r="P5850">
        <v>8604</v>
      </c>
      <c r="Q5850" t="s">
        <v>2138</v>
      </c>
      <c r="R5850" t="s">
        <v>201</v>
      </c>
      <c r="S5850">
        <v>6</v>
      </c>
      <c r="T5850">
        <v>1</v>
      </c>
      <c r="U5850">
        <v>127284</v>
      </c>
      <c r="V5850">
        <v>763704</v>
      </c>
    </row>
    <row r="5851" spans="1:22">
      <c r="A5851" t="s">
        <v>196</v>
      </c>
      <c r="B5851">
        <v>58</v>
      </c>
      <c r="C5851" t="s">
        <v>9</v>
      </c>
      <c r="D5851">
        <v>353</v>
      </c>
      <c r="E5851" t="s">
        <v>2126</v>
      </c>
      <c r="F5851">
        <v>1010</v>
      </c>
      <c r="G5851" t="s">
        <v>9</v>
      </c>
      <c r="H5851">
        <v>2705</v>
      </c>
      <c r="I5851" t="s">
        <v>9</v>
      </c>
      <c r="J5851">
        <v>3010</v>
      </c>
      <c r="K5851" t="s">
        <v>243</v>
      </c>
      <c r="L5851">
        <v>4040</v>
      </c>
      <c r="M5851" t="s">
        <v>2139</v>
      </c>
      <c r="N5851" t="s">
        <v>2137</v>
      </c>
      <c r="O5851">
        <v>57</v>
      </c>
      <c r="P5851">
        <v>8604</v>
      </c>
      <c r="Q5851" t="s">
        <v>2138</v>
      </c>
      <c r="R5851" t="s">
        <v>201</v>
      </c>
      <c r="S5851">
        <v>10</v>
      </c>
      <c r="T5851">
        <v>1</v>
      </c>
      <c r="U5851">
        <v>125208</v>
      </c>
      <c r="V5851">
        <v>1252080</v>
      </c>
    </row>
    <row r="5852" spans="1:22">
      <c r="A5852" t="s">
        <v>196</v>
      </c>
      <c r="B5852">
        <v>58</v>
      </c>
      <c r="C5852" t="s">
        <v>9</v>
      </c>
      <c r="D5852">
        <v>353</v>
      </c>
      <c r="E5852" t="s">
        <v>2126</v>
      </c>
      <c r="F5852">
        <v>1010</v>
      </c>
      <c r="G5852" t="s">
        <v>9</v>
      </c>
      <c r="H5852">
        <v>2705</v>
      </c>
      <c r="I5852" t="s">
        <v>9</v>
      </c>
      <c r="J5852">
        <v>3010</v>
      </c>
      <c r="K5852" t="s">
        <v>243</v>
      </c>
      <c r="L5852">
        <v>4040</v>
      </c>
      <c r="M5852" t="s">
        <v>2139</v>
      </c>
      <c r="N5852" t="s">
        <v>1450</v>
      </c>
      <c r="O5852">
        <v>2</v>
      </c>
      <c r="P5852">
        <v>8602</v>
      </c>
      <c r="Q5852" t="s">
        <v>1451</v>
      </c>
      <c r="R5852" t="s">
        <v>201</v>
      </c>
      <c r="S5852">
        <v>29</v>
      </c>
      <c r="T5852">
        <v>1</v>
      </c>
      <c r="U5852">
        <v>120024</v>
      </c>
      <c r="V5852">
        <v>3480696</v>
      </c>
    </row>
    <row r="5853" spans="1:22">
      <c r="A5853" t="s">
        <v>196</v>
      </c>
      <c r="B5853">
        <v>58</v>
      </c>
      <c r="C5853" t="s">
        <v>9</v>
      </c>
      <c r="D5853">
        <v>353</v>
      </c>
      <c r="E5853" t="s">
        <v>2126</v>
      </c>
      <c r="F5853">
        <v>1010</v>
      </c>
      <c r="G5853" t="s">
        <v>9</v>
      </c>
      <c r="H5853">
        <v>2705</v>
      </c>
      <c r="I5853" t="s">
        <v>9</v>
      </c>
      <c r="J5853">
        <v>3010</v>
      </c>
      <c r="K5853" t="s">
        <v>243</v>
      </c>
      <c r="L5853">
        <v>4040</v>
      </c>
      <c r="M5853" t="s">
        <v>2139</v>
      </c>
      <c r="N5853" t="s">
        <v>1450</v>
      </c>
      <c r="O5853">
        <v>2</v>
      </c>
      <c r="P5853">
        <v>8602</v>
      </c>
      <c r="Q5853" t="s">
        <v>1451</v>
      </c>
      <c r="R5853" t="s">
        <v>201</v>
      </c>
      <c r="S5853">
        <v>8</v>
      </c>
      <c r="T5853">
        <v>1</v>
      </c>
      <c r="U5853">
        <v>114636</v>
      </c>
      <c r="V5853">
        <v>917088</v>
      </c>
    </row>
    <row r="5854" spans="1:22">
      <c r="A5854" t="s">
        <v>196</v>
      </c>
      <c r="B5854">
        <v>58</v>
      </c>
      <c r="C5854" t="s">
        <v>9</v>
      </c>
      <c r="D5854">
        <v>353</v>
      </c>
      <c r="E5854" t="s">
        <v>2126</v>
      </c>
      <c r="F5854">
        <v>1010</v>
      </c>
      <c r="G5854" t="s">
        <v>9</v>
      </c>
      <c r="H5854">
        <v>2705</v>
      </c>
      <c r="I5854" t="s">
        <v>9</v>
      </c>
      <c r="J5854">
        <v>3010</v>
      </c>
      <c r="K5854" t="s">
        <v>243</v>
      </c>
      <c r="L5854">
        <v>4040</v>
      </c>
      <c r="M5854" t="s">
        <v>2139</v>
      </c>
      <c r="N5854" t="s">
        <v>1450</v>
      </c>
      <c r="O5854">
        <v>2</v>
      </c>
      <c r="P5854">
        <v>8602</v>
      </c>
      <c r="Q5854" t="s">
        <v>1451</v>
      </c>
      <c r="R5854" t="s">
        <v>201</v>
      </c>
      <c r="S5854">
        <v>12</v>
      </c>
      <c r="T5854">
        <v>1</v>
      </c>
      <c r="U5854">
        <v>109404</v>
      </c>
      <c r="V5854">
        <v>1312848</v>
      </c>
    </row>
    <row r="5855" spans="1:22">
      <c r="A5855" t="s">
        <v>196</v>
      </c>
      <c r="B5855">
        <v>58</v>
      </c>
      <c r="C5855" t="s">
        <v>9</v>
      </c>
      <c r="D5855">
        <v>353</v>
      </c>
      <c r="E5855" t="s">
        <v>2126</v>
      </c>
      <c r="F5855">
        <v>1010</v>
      </c>
      <c r="G5855" t="s">
        <v>9</v>
      </c>
      <c r="H5855">
        <v>2705</v>
      </c>
      <c r="I5855" t="s">
        <v>9</v>
      </c>
      <c r="J5855">
        <v>3010</v>
      </c>
      <c r="K5855" t="s">
        <v>243</v>
      </c>
      <c r="L5855">
        <v>4040</v>
      </c>
      <c r="M5855" t="s">
        <v>2139</v>
      </c>
      <c r="N5855" t="s">
        <v>1450</v>
      </c>
      <c r="O5855">
        <v>2</v>
      </c>
      <c r="P5855">
        <v>8602</v>
      </c>
      <c r="Q5855" t="s">
        <v>1451</v>
      </c>
      <c r="R5855" t="s">
        <v>201</v>
      </c>
      <c r="S5855">
        <v>7</v>
      </c>
      <c r="T5855">
        <v>1</v>
      </c>
      <c r="U5855">
        <v>104376</v>
      </c>
      <c r="V5855">
        <v>730632</v>
      </c>
    </row>
    <row r="5856" spans="1:22">
      <c r="A5856" t="s">
        <v>196</v>
      </c>
      <c r="B5856">
        <v>58</v>
      </c>
      <c r="C5856" t="s">
        <v>9</v>
      </c>
      <c r="D5856">
        <v>353</v>
      </c>
      <c r="E5856" t="s">
        <v>2126</v>
      </c>
      <c r="F5856">
        <v>1010</v>
      </c>
      <c r="G5856" t="s">
        <v>9</v>
      </c>
      <c r="H5856">
        <v>2705</v>
      </c>
      <c r="I5856" t="s">
        <v>9</v>
      </c>
      <c r="J5856">
        <v>3010</v>
      </c>
      <c r="K5856" t="s">
        <v>243</v>
      </c>
      <c r="L5856">
        <v>4040</v>
      </c>
      <c r="M5856" t="s">
        <v>2139</v>
      </c>
      <c r="N5856" t="s">
        <v>1450</v>
      </c>
      <c r="O5856">
        <v>2</v>
      </c>
      <c r="P5856">
        <v>8602</v>
      </c>
      <c r="Q5856" t="s">
        <v>1451</v>
      </c>
      <c r="R5856" t="s">
        <v>201</v>
      </c>
      <c r="S5856">
        <v>10</v>
      </c>
      <c r="T5856">
        <v>1</v>
      </c>
      <c r="U5856">
        <v>99708</v>
      </c>
      <c r="V5856">
        <v>997080</v>
      </c>
    </row>
    <row r="5857" spans="1:22">
      <c r="A5857" t="s">
        <v>196</v>
      </c>
      <c r="B5857">
        <v>58</v>
      </c>
      <c r="C5857" t="s">
        <v>9</v>
      </c>
      <c r="D5857">
        <v>353</v>
      </c>
      <c r="E5857" t="s">
        <v>2126</v>
      </c>
      <c r="F5857">
        <v>1010</v>
      </c>
      <c r="G5857" t="s">
        <v>9</v>
      </c>
      <c r="H5857">
        <v>2705</v>
      </c>
      <c r="I5857" t="s">
        <v>9</v>
      </c>
      <c r="J5857">
        <v>3010</v>
      </c>
      <c r="K5857" t="s">
        <v>243</v>
      </c>
      <c r="L5857">
        <v>4040</v>
      </c>
      <c r="M5857" t="s">
        <v>2139</v>
      </c>
      <c r="N5857" t="s">
        <v>1450</v>
      </c>
      <c r="O5857">
        <v>2</v>
      </c>
      <c r="P5857">
        <v>8602</v>
      </c>
      <c r="Q5857" t="s">
        <v>1451</v>
      </c>
      <c r="R5857" t="s">
        <v>201</v>
      </c>
      <c r="S5857">
        <v>12</v>
      </c>
      <c r="T5857">
        <v>1</v>
      </c>
      <c r="U5857">
        <v>95160</v>
      </c>
      <c r="V5857">
        <v>1141920</v>
      </c>
    </row>
    <row r="5858" spans="1:22">
      <c r="A5858" t="s">
        <v>196</v>
      </c>
      <c r="B5858">
        <v>58</v>
      </c>
      <c r="C5858" t="s">
        <v>9</v>
      </c>
      <c r="D5858">
        <v>353</v>
      </c>
      <c r="E5858" t="s">
        <v>2126</v>
      </c>
      <c r="F5858">
        <v>1010</v>
      </c>
      <c r="G5858" t="s">
        <v>9</v>
      </c>
      <c r="H5858">
        <v>2705</v>
      </c>
      <c r="I5858" t="s">
        <v>9</v>
      </c>
      <c r="J5858">
        <v>3010</v>
      </c>
      <c r="K5858" t="s">
        <v>243</v>
      </c>
      <c r="L5858">
        <v>4040</v>
      </c>
      <c r="M5858" t="s">
        <v>2139</v>
      </c>
      <c r="N5858" t="s">
        <v>1450</v>
      </c>
      <c r="O5858">
        <v>2</v>
      </c>
      <c r="P5858">
        <v>8602</v>
      </c>
      <c r="Q5858" t="s">
        <v>1451</v>
      </c>
      <c r="R5858" t="s">
        <v>201</v>
      </c>
      <c r="S5858">
        <v>22</v>
      </c>
      <c r="T5858">
        <v>1</v>
      </c>
      <c r="U5858">
        <v>90876</v>
      </c>
      <c r="V5858">
        <v>1999272</v>
      </c>
    </row>
    <row r="5859" spans="1:22">
      <c r="A5859" t="s">
        <v>196</v>
      </c>
      <c r="B5859">
        <v>58</v>
      </c>
      <c r="C5859" t="s">
        <v>9</v>
      </c>
      <c r="D5859">
        <v>353</v>
      </c>
      <c r="E5859" t="s">
        <v>2126</v>
      </c>
      <c r="F5859">
        <v>1010</v>
      </c>
      <c r="G5859" t="s">
        <v>9</v>
      </c>
      <c r="H5859">
        <v>2705</v>
      </c>
      <c r="I5859" t="s">
        <v>9</v>
      </c>
      <c r="J5859">
        <v>3010</v>
      </c>
      <c r="K5859" t="s">
        <v>243</v>
      </c>
      <c r="L5859">
        <v>4040</v>
      </c>
      <c r="M5859" t="s">
        <v>2139</v>
      </c>
      <c r="N5859" t="s">
        <v>1450</v>
      </c>
      <c r="O5859">
        <v>2</v>
      </c>
      <c r="P5859">
        <v>8602</v>
      </c>
      <c r="Q5859" t="s">
        <v>1451</v>
      </c>
      <c r="R5859" t="s">
        <v>201</v>
      </c>
      <c r="S5859">
        <v>34</v>
      </c>
      <c r="T5859">
        <v>1</v>
      </c>
      <c r="U5859">
        <v>86772</v>
      </c>
      <c r="V5859">
        <v>2950248</v>
      </c>
    </row>
    <row r="5860" spans="1:22">
      <c r="A5860" t="s">
        <v>196</v>
      </c>
      <c r="B5860">
        <v>58</v>
      </c>
      <c r="C5860" t="s">
        <v>9</v>
      </c>
      <c r="D5860">
        <v>353</v>
      </c>
      <c r="E5860" t="s">
        <v>2126</v>
      </c>
      <c r="F5860">
        <v>1010</v>
      </c>
      <c r="G5860" t="s">
        <v>9</v>
      </c>
      <c r="H5860">
        <v>2705</v>
      </c>
      <c r="I5860" t="s">
        <v>9</v>
      </c>
      <c r="J5860">
        <v>3010</v>
      </c>
      <c r="K5860" t="s">
        <v>243</v>
      </c>
      <c r="L5860">
        <v>4040</v>
      </c>
      <c r="M5860" t="s">
        <v>2139</v>
      </c>
      <c r="N5860" t="s">
        <v>1450</v>
      </c>
      <c r="O5860">
        <v>2</v>
      </c>
      <c r="P5860">
        <v>8602</v>
      </c>
      <c r="Q5860" t="s">
        <v>1451</v>
      </c>
      <c r="R5860" t="s">
        <v>201</v>
      </c>
      <c r="S5860">
        <v>28</v>
      </c>
      <c r="T5860">
        <v>1</v>
      </c>
      <c r="U5860">
        <v>77988</v>
      </c>
      <c r="V5860">
        <v>2183664</v>
      </c>
    </row>
    <row r="5861" spans="1:22">
      <c r="A5861" t="s">
        <v>196</v>
      </c>
      <c r="B5861">
        <v>58</v>
      </c>
      <c r="C5861" t="s">
        <v>9</v>
      </c>
      <c r="D5861">
        <v>353</v>
      </c>
      <c r="E5861" t="s">
        <v>2126</v>
      </c>
      <c r="F5861">
        <v>1010</v>
      </c>
      <c r="G5861" t="s">
        <v>9</v>
      </c>
      <c r="H5861">
        <v>2705</v>
      </c>
      <c r="I5861" t="s">
        <v>9</v>
      </c>
      <c r="J5861">
        <v>3010</v>
      </c>
      <c r="K5861" t="s">
        <v>243</v>
      </c>
      <c r="L5861">
        <v>4040</v>
      </c>
      <c r="M5861" t="s">
        <v>2139</v>
      </c>
      <c r="N5861" t="s">
        <v>1450</v>
      </c>
      <c r="O5861">
        <v>2</v>
      </c>
      <c r="P5861">
        <v>8602</v>
      </c>
      <c r="Q5861" t="s">
        <v>1451</v>
      </c>
      <c r="R5861" t="s">
        <v>201</v>
      </c>
      <c r="S5861">
        <v>18</v>
      </c>
      <c r="T5861">
        <v>1</v>
      </c>
      <c r="U5861">
        <v>74520</v>
      </c>
      <c r="V5861">
        <v>1341360</v>
      </c>
    </row>
    <row r="5862" spans="1:22">
      <c r="A5862" t="s">
        <v>196</v>
      </c>
      <c r="B5862">
        <v>58</v>
      </c>
      <c r="C5862" t="s">
        <v>9</v>
      </c>
      <c r="D5862">
        <v>353</v>
      </c>
      <c r="E5862" t="s">
        <v>2126</v>
      </c>
      <c r="F5862">
        <v>1010</v>
      </c>
      <c r="G5862" t="s">
        <v>9</v>
      </c>
      <c r="H5862">
        <v>2705</v>
      </c>
      <c r="I5862" t="s">
        <v>9</v>
      </c>
      <c r="J5862">
        <v>3010</v>
      </c>
      <c r="K5862" t="s">
        <v>243</v>
      </c>
      <c r="L5862">
        <v>4040</v>
      </c>
      <c r="M5862" t="s">
        <v>2139</v>
      </c>
      <c r="N5862" t="s">
        <v>1450</v>
      </c>
      <c r="O5862">
        <v>2</v>
      </c>
      <c r="P5862">
        <v>8602</v>
      </c>
      <c r="Q5862" t="s">
        <v>1451</v>
      </c>
      <c r="R5862" t="s">
        <v>201</v>
      </c>
      <c r="S5862">
        <v>7</v>
      </c>
      <c r="T5862">
        <v>1</v>
      </c>
      <c r="U5862">
        <v>71076</v>
      </c>
      <c r="V5862">
        <v>497532</v>
      </c>
    </row>
    <row r="5863" spans="1:22">
      <c r="A5863" t="s">
        <v>196</v>
      </c>
      <c r="B5863">
        <v>58</v>
      </c>
      <c r="C5863" t="s">
        <v>9</v>
      </c>
      <c r="D5863">
        <v>353</v>
      </c>
      <c r="E5863" t="s">
        <v>2126</v>
      </c>
      <c r="F5863">
        <v>1010</v>
      </c>
      <c r="G5863" t="s">
        <v>9</v>
      </c>
      <c r="H5863">
        <v>2705</v>
      </c>
      <c r="I5863" t="s">
        <v>9</v>
      </c>
      <c r="J5863">
        <v>3010</v>
      </c>
      <c r="K5863" t="s">
        <v>243</v>
      </c>
      <c r="L5863">
        <v>4040</v>
      </c>
      <c r="M5863" t="s">
        <v>2139</v>
      </c>
      <c r="N5863" t="s">
        <v>1450</v>
      </c>
      <c r="O5863">
        <v>2</v>
      </c>
      <c r="P5863">
        <v>8602</v>
      </c>
      <c r="Q5863" t="s">
        <v>1451</v>
      </c>
      <c r="R5863" t="s">
        <v>201</v>
      </c>
      <c r="S5863">
        <v>63</v>
      </c>
      <c r="T5863">
        <v>1</v>
      </c>
      <c r="U5863">
        <v>67884</v>
      </c>
      <c r="V5863">
        <v>4276692</v>
      </c>
    </row>
    <row r="5864" spans="1:22">
      <c r="A5864" t="s">
        <v>196</v>
      </c>
      <c r="B5864">
        <v>58</v>
      </c>
      <c r="C5864" t="s">
        <v>9</v>
      </c>
      <c r="D5864">
        <v>353</v>
      </c>
      <c r="E5864" t="s">
        <v>2126</v>
      </c>
      <c r="F5864">
        <v>1010</v>
      </c>
      <c r="G5864" t="s">
        <v>9</v>
      </c>
      <c r="H5864">
        <v>2705</v>
      </c>
      <c r="I5864" t="s">
        <v>9</v>
      </c>
      <c r="J5864">
        <v>3010</v>
      </c>
      <c r="K5864" t="s">
        <v>243</v>
      </c>
      <c r="L5864">
        <v>4040</v>
      </c>
      <c r="M5864" t="s">
        <v>2139</v>
      </c>
      <c r="N5864" t="s">
        <v>716</v>
      </c>
      <c r="O5864">
        <v>2</v>
      </c>
      <c r="P5864">
        <v>8601</v>
      </c>
      <c r="Q5864" t="s">
        <v>2143</v>
      </c>
      <c r="R5864" t="s">
        <v>201</v>
      </c>
      <c r="S5864">
        <v>20</v>
      </c>
      <c r="T5864">
        <v>1</v>
      </c>
      <c r="U5864">
        <v>109404</v>
      </c>
      <c r="V5864">
        <v>2188080</v>
      </c>
    </row>
    <row r="5865" spans="1:22">
      <c r="A5865" t="s">
        <v>196</v>
      </c>
      <c r="B5865">
        <v>58</v>
      </c>
      <c r="C5865" t="s">
        <v>9</v>
      </c>
      <c r="D5865">
        <v>353</v>
      </c>
      <c r="E5865" t="s">
        <v>2126</v>
      </c>
      <c r="F5865">
        <v>1010</v>
      </c>
      <c r="G5865" t="s">
        <v>9</v>
      </c>
      <c r="H5865">
        <v>2705</v>
      </c>
      <c r="I5865" t="s">
        <v>9</v>
      </c>
      <c r="J5865">
        <v>3010</v>
      </c>
      <c r="K5865" t="s">
        <v>243</v>
      </c>
      <c r="L5865">
        <v>4040</v>
      </c>
      <c r="M5865" t="s">
        <v>2139</v>
      </c>
      <c r="N5865" t="s">
        <v>716</v>
      </c>
      <c r="O5865">
        <v>2</v>
      </c>
      <c r="P5865">
        <v>8601</v>
      </c>
      <c r="Q5865" t="s">
        <v>2143</v>
      </c>
      <c r="R5865" t="s">
        <v>201</v>
      </c>
      <c r="S5865">
        <v>13</v>
      </c>
      <c r="T5865">
        <v>1</v>
      </c>
      <c r="U5865">
        <v>104376</v>
      </c>
      <c r="V5865">
        <v>1356888</v>
      </c>
    </row>
    <row r="5866" spans="1:22">
      <c r="A5866" t="s">
        <v>196</v>
      </c>
      <c r="B5866">
        <v>58</v>
      </c>
      <c r="C5866" t="s">
        <v>9</v>
      </c>
      <c r="D5866">
        <v>353</v>
      </c>
      <c r="E5866" t="s">
        <v>2126</v>
      </c>
      <c r="F5866">
        <v>1010</v>
      </c>
      <c r="G5866" t="s">
        <v>9</v>
      </c>
      <c r="H5866">
        <v>2705</v>
      </c>
      <c r="I5866" t="s">
        <v>9</v>
      </c>
      <c r="J5866">
        <v>3010</v>
      </c>
      <c r="K5866" t="s">
        <v>243</v>
      </c>
      <c r="L5866">
        <v>4040</v>
      </c>
      <c r="M5866" t="s">
        <v>2139</v>
      </c>
      <c r="N5866" t="s">
        <v>716</v>
      </c>
      <c r="O5866">
        <v>2</v>
      </c>
      <c r="P5866">
        <v>8601</v>
      </c>
      <c r="Q5866" t="s">
        <v>2143</v>
      </c>
      <c r="R5866" t="s">
        <v>201</v>
      </c>
      <c r="S5866">
        <v>8</v>
      </c>
      <c r="T5866">
        <v>1</v>
      </c>
      <c r="U5866">
        <v>99708</v>
      </c>
      <c r="V5866">
        <v>797664</v>
      </c>
    </row>
    <row r="5867" spans="1:22">
      <c r="A5867" t="s">
        <v>196</v>
      </c>
      <c r="B5867">
        <v>58</v>
      </c>
      <c r="C5867" t="s">
        <v>9</v>
      </c>
      <c r="D5867">
        <v>353</v>
      </c>
      <c r="E5867" t="s">
        <v>2126</v>
      </c>
      <c r="F5867">
        <v>1010</v>
      </c>
      <c r="G5867" t="s">
        <v>9</v>
      </c>
      <c r="H5867">
        <v>2705</v>
      </c>
      <c r="I5867" t="s">
        <v>9</v>
      </c>
      <c r="J5867">
        <v>3010</v>
      </c>
      <c r="K5867" t="s">
        <v>243</v>
      </c>
      <c r="L5867">
        <v>4040</v>
      </c>
      <c r="M5867" t="s">
        <v>2139</v>
      </c>
      <c r="N5867" t="s">
        <v>716</v>
      </c>
      <c r="O5867">
        <v>2</v>
      </c>
      <c r="P5867">
        <v>8601</v>
      </c>
      <c r="Q5867" t="s">
        <v>2143</v>
      </c>
      <c r="R5867" t="s">
        <v>201</v>
      </c>
      <c r="S5867">
        <v>9</v>
      </c>
      <c r="T5867">
        <v>1</v>
      </c>
      <c r="U5867">
        <v>95160</v>
      </c>
      <c r="V5867">
        <v>856440</v>
      </c>
    </row>
    <row r="5868" spans="1:22">
      <c r="A5868" t="s">
        <v>196</v>
      </c>
      <c r="B5868">
        <v>58</v>
      </c>
      <c r="C5868" t="s">
        <v>9</v>
      </c>
      <c r="D5868">
        <v>353</v>
      </c>
      <c r="E5868" t="s">
        <v>2126</v>
      </c>
      <c r="F5868">
        <v>1010</v>
      </c>
      <c r="G5868" t="s">
        <v>9</v>
      </c>
      <c r="H5868">
        <v>2705</v>
      </c>
      <c r="I5868" t="s">
        <v>9</v>
      </c>
      <c r="J5868">
        <v>3010</v>
      </c>
      <c r="K5868" t="s">
        <v>243</v>
      </c>
      <c r="L5868">
        <v>4040</v>
      </c>
      <c r="M5868" t="s">
        <v>2139</v>
      </c>
      <c r="N5868" t="s">
        <v>716</v>
      </c>
      <c r="O5868">
        <v>2</v>
      </c>
      <c r="P5868">
        <v>8601</v>
      </c>
      <c r="Q5868" t="s">
        <v>2143</v>
      </c>
      <c r="R5868" t="s">
        <v>201</v>
      </c>
      <c r="S5868">
        <v>9</v>
      </c>
      <c r="T5868">
        <v>1</v>
      </c>
      <c r="U5868">
        <v>90876</v>
      </c>
      <c r="V5868">
        <v>817884</v>
      </c>
    </row>
    <row r="5869" spans="1:22">
      <c r="A5869" t="s">
        <v>196</v>
      </c>
      <c r="B5869">
        <v>58</v>
      </c>
      <c r="C5869" t="s">
        <v>9</v>
      </c>
      <c r="D5869">
        <v>353</v>
      </c>
      <c r="E5869" t="s">
        <v>2126</v>
      </c>
      <c r="F5869">
        <v>1010</v>
      </c>
      <c r="G5869" t="s">
        <v>9</v>
      </c>
      <c r="H5869">
        <v>2705</v>
      </c>
      <c r="I5869" t="s">
        <v>9</v>
      </c>
      <c r="J5869">
        <v>3010</v>
      </c>
      <c r="K5869" t="s">
        <v>243</v>
      </c>
      <c r="L5869">
        <v>4040</v>
      </c>
      <c r="M5869" t="s">
        <v>2139</v>
      </c>
      <c r="N5869" t="s">
        <v>716</v>
      </c>
      <c r="O5869">
        <v>2</v>
      </c>
      <c r="P5869">
        <v>8601</v>
      </c>
      <c r="Q5869" t="s">
        <v>2143</v>
      </c>
      <c r="R5869" t="s">
        <v>201</v>
      </c>
      <c r="S5869">
        <v>3</v>
      </c>
      <c r="T5869">
        <v>1</v>
      </c>
      <c r="U5869">
        <v>86772</v>
      </c>
      <c r="V5869">
        <v>260316</v>
      </c>
    </row>
    <row r="5870" spans="1:22">
      <c r="A5870" t="s">
        <v>196</v>
      </c>
      <c r="B5870">
        <v>58</v>
      </c>
      <c r="C5870" t="s">
        <v>9</v>
      </c>
      <c r="D5870">
        <v>353</v>
      </c>
      <c r="E5870" t="s">
        <v>2126</v>
      </c>
      <c r="F5870">
        <v>1010</v>
      </c>
      <c r="G5870" t="s">
        <v>9</v>
      </c>
      <c r="H5870">
        <v>2705</v>
      </c>
      <c r="I5870" t="s">
        <v>9</v>
      </c>
      <c r="J5870">
        <v>3010</v>
      </c>
      <c r="K5870" t="s">
        <v>243</v>
      </c>
      <c r="L5870">
        <v>4040</v>
      </c>
      <c r="M5870" t="s">
        <v>2139</v>
      </c>
      <c r="N5870" t="s">
        <v>716</v>
      </c>
      <c r="O5870">
        <v>2</v>
      </c>
      <c r="P5870">
        <v>8601</v>
      </c>
      <c r="Q5870" t="s">
        <v>2143</v>
      </c>
      <c r="R5870" t="s">
        <v>201</v>
      </c>
      <c r="S5870">
        <v>37</v>
      </c>
      <c r="T5870">
        <v>1</v>
      </c>
      <c r="U5870">
        <v>82836</v>
      </c>
      <c r="V5870">
        <v>3064932</v>
      </c>
    </row>
    <row r="5871" spans="1:22">
      <c r="A5871" t="s">
        <v>196</v>
      </c>
      <c r="B5871">
        <v>58</v>
      </c>
      <c r="C5871" t="s">
        <v>9</v>
      </c>
      <c r="D5871">
        <v>353</v>
      </c>
      <c r="E5871" t="s">
        <v>2126</v>
      </c>
      <c r="F5871">
        <v>1010</v>
      </c>
      <c r="G5871" t="s">
        <v>9</v>
      </c>
      <c r="H5871">
        <v>2705</v>
      </c>
      <c r="I5871" t="s">
        <v>9</v>
      </c>
      <c r="J5871">
        <v>3010</v>
      </c>
      <c r="K5871" t="s">
        <v>243</v>
      </c>
      <c r="L5871">
        <v>4040</v>
      </c>
      <c r="M5871" t="s">
        <v>2139</v>
      </c>
      <c r="N5871" t="s">
        <v>716</v>
      </c>
      <c r="O5871">
        <v>2</v>
      </c>
      <c r="P5871">
        <v>8601</v>
      </c>
      <c r="Q5871" t="s">
        <v>2143</v>
      </c>
      <c r="R5871" t="s">
        <v>201</v>
      </c>
      <c r="S5871">
        <v>11</v>
      </c>
      <c r="T5871">
        <v>1</v>
      </c>
      <c r="U5871">
        <v>79056</v>
      </c>
      <c r="V5871">
        <v>869616</v>
      </c>
    </row>
    <row r="5872" spans="1:22">
      <c r="A5872" t="s">
        <v>196</v>
      </c>
      <c r="B5872">
        <v>58</v>
      </c>
      <c r="C5872" t="s">
        <v>9</v>
      </c>
      <c r="D5872">
        <v>353</v>
      </c>
      <c r="E5872" t="s">
        <v>2126</v>
      </c>
      <c r="F5872">
        <v>1010</v>
      </c>
      <c r="G5872" t="s">
        <v>9</v>
      </c>
      <c r="H5872">
        <v>2705</v>
      </c>
      <c r="I5872" t="s">
        <v>9</v>
      </c>
      <c r="J5872">
        <v>3010</v>
      </c>
      <c r="K5872" t="s">
        <v>243</v>
      </c>
      <c r="L5872">
        <v>4040</v>
      </c>
      <c r="M5872" t="s">
        <v>2139</v>
      </c>
      <c r="N5872" t="s">
        <v>716</v>
      </c>
      <c r="O5872">
        <v>2</v>
      </c>
      <c r="P5872">
        <v>8601</v>
      </c>
      <c r="Q5872" t="s">
        <v>2143</v>
      </c>
      <c r="R5872" t="s">
        <v>201</v>
      </c>
      <c r="S5872">
        <v>16</v>
      </c>
      <c r="T5872">
        <v>1</v>
      </c>
      <c r="U5872">
        <v>71076</v>
      </c>
      <c r="V5872">
        <v>1137216</v>
      </c>
    </row>
    <row r="5873" spans="1:22">
      <c r="A5873" t="s">
        <v>196</v>
      </c>
      <c r="B5873">
        <v>58</v>
      </c>
      <c r="C5873" t="s">
        <v>9</v>
      </c>
      <c r="D5873">
        <v>353</v>
      </c>
      <c r="E5873" t="s">
        <v>2126</v>
      </c>
      <c r="F5873">
        <v>1010</v>
      </c>
      <c r="G5873" t="s">
        <v>9</v>
      </c>
      <c r="H5873">
        <v>2705</v>
      </c>
      <c r="I5873" t="s">
        <v>9</v>
      </c>
      <c r="J5873">
        <v>3010</v>
      </c>
      <c r="K5873" t="s">
        <v>243</v>
      </c>
      <c r="L5873">
        <v>4040</v>
      </c>
      <c r="M5873" t="s">
        <v>2139</v>
      </c>
      <c r="N5873" t="s">
        <v>716</v>
      </c>
      <c r="O5873">
        <v>2</v>
      </c>
      <c r="P5873">
        <v>8601</v>
      </c>
      <c r="Q5873" t="s">
        <v>2143</v>
      </c>
      <c r="R5873" t="s">
        <v>201</v>
      </c>
      <c r="S5873">
        <v>16</v>
      </c>
      <c r="T5873">
        <v>1</v>
      </c>
      <c r="U5873">
        <v>67884</v>
      </c>
      <c r="V5873">
        <v>1086144</v>
      </c>
    </row>
    <row r="5874" spans="1:22">
      <c r="A5874" t="s">
        <v>196</v>
      </c>
      <c r="B5874">
        <v>58</v>
      </c>
      <c r="C5874" t="s">
        <v>9</v>
      </c>
      <c r="D5874">
        <v>353</v>
      </c>
      <c r="E5874" t="s">
        <v>2126</v>
      </c>
      <c r="F5874">
        <v>1010</v>
      </c>
      <c r="G5874" t="s">
        <v>9</v>
      </c>
      <c r="H5874">
        <v>2705</v>
      </c>
      <c r="I5874" t="s">
        <v>9</v>
      </c>
      <c r="J5874">
        <v>3010</v>
      </c>
      <c r="K5874" t="s">
        <v>243</v>
      </c>
      <c r="L5874">
        <v>4040</v>
      </c>
      <c r="M5874" t="s">
        <v>2139</v>
      </c>
      <c r="N5874" t="s">
        <v>716</v>
      </c>
      <c r="O5874">
        <v>2</v>
      </c>
      <c r="P5874">
        <v>8601</v>
      </c>
      <c r="Q5874" t="s">
        <v>2143</v>
      </c>
      <c r="R5874" t="s">
        <v>201</v>
      </c>
      <c r="S5874">
        <v>25</v>
      </c>
      <c r="T5874">
        <v>1</v>
      </c>
      <c r="U5874">
        <v>64836</v>
      </c>
      <c r="V5874">
        <v>1620900</v>
      </c>
    </row>
    <row r="5875" spans="1:22">
      <c r="A5875" t="s">
        <v>196</v>
      </c>
      <c r="B5875">
        <v>58</v>
      </c>
      <c r="C5875" t="s">
        <v>9</v>
      </c>
      <c r="D5875">
        <v>353</v>
      </c>
      <c r="E5875" t="s">
        <v>2126</v>
      </c>
      <c r="F5875">
        <v>1010</v>
      </c>
      <c r="G5875" t="s">
        <v>9</v>
      </c>
      <c r="H5875">
        <v>2705</v>
      </c>
      <c r="I5875" t="s">
        <v>9</v>
      </c>
      <c r="J5875">
        <v>3010</v>
      </c>
      <c r="K5875" t="s">
        <v>243</v>
      </c>
      <c r="L5875">
        <v>4040</v>
      </c>
      <c r="M5875" t="s">
        <v>2139</v>
      </c>
      <c r="N5875" t="s">
        <v>716</v>
      </c>
      <c r="O5875">
        <v>2</v>
      </c>
      <c r="P5875">
        <v>8601</v>
      </c>
      <c r="Q5875" t="s">
        <v>2143</v>
      </c>
      <c r="R5875" t="s">
        <v>201</v>
      </c>
      <c r="S5875">
        <v>36</v>
      </c>
      <c r="T5875">
        <v>1</v>
      </c>
      <c r="U5875">
        <v>61824</v>
      </c>
      <c r="V5875">
        <v>2225664</v>
      </c>
    </row>
    <row r="5876" spans="1:22">
      <c r="A5876" t="s">
        <v>196</v>
      </c>
      <c r="B5876">
        <v>58</v>
      </c>
      <c r="C5876" t="s">
        <v>9</v>
      </c>
      <c r="D5876">
        <v>353</v>
      </c>
      <c r="E5876" t="s">
        <v>2126</v>
      </c>
      <c r="F5876">
        <v>1010</v>
      </c>
      <c r="G5876" t="s">
        <v>9</v>
      </c>
      <c r="H5876">
        <v>2705</v>
      </c>
      <c r="I5876" t="s">
        <v>9</v>
      </c>
      <c r="J5876">
        <v>3010</v>
      </c>
      <c r="K5876" t="s">
        <v>243</v>
      </c>
      <c r="L5876">
        <v>4040</v>
      </c>
      <c r="M5876" t="s">
        <v>2139</v>
      </c>
      <c r="N5876" t="s">
        <v>255</v>
      </c>
      <c r="O5876">
        <v>1</v>
      </c>
      <c r="P5876">
        <v>729</v>
      </c>
      <c r="Q5876" t="s">
        <v>256</v>
      </c>
      <c r="R5876" t="s">
        <v>201</v>
      </c>
      <c r="S5876">
        <v>1</v>
      </c>
      <c r="T5876">
        <v>1</v>
      </c>
      <c r="U5876">
        <v>93504</v>
      </c>
      <c r="V5876">
        <v>93504</v>
      </c>
    </row>
    <row r="5877" spans="1:22">
      <c r="A5877" t="s">
        <v>196</v>
      </c>
      <c r="B5877">
        <v>58</v>
      </c>
      <c r="C5877" t="s">
        <v>9</v>
      </c>
      <c r="D5877">
        <v>353</v>
      </c>
      <c r="E5877" t="s">
        <v>2126</v>
      </c>
      <c r="F5877">
        <v>1010</v>
      </c>
      <c r="G5877" t="s">
        <v>9</v>
      </c>
      <c r="H5877">
        <v>2705</v>
      </c>
      <c r="I5877" t="s">
        <v>9</v>
      </c>
      <c r="J5877">
        <v>3010</v>
      </c>
      <c r="K5877" t="s">
        <v>243</v>
      </c>
      <c r="L5877">
        <v>4040</v>
      </c>
      <c r="M5877" t="s">
        <v>2139</v>
      </c>
      <c r="N5877" t="s">
        <v>274</v>
      </c>
      <c r="O5877">
        <v>0</v>
      </c>
      <c r="P5877">
        <v>306</v>
      </c>
      <c r="Q5877" t="s">
        <v>636</v>
      </c>
      <c r="R5877" t="s">
        <v>201</v>
      </c>
      <c r="S5877">
        <v>1</v>
      </c>
      <c r="T5877">
        <v>1</v>
      </c>
      <c r="U5877">
        <v>153384</v>
      </c>
      <c r="V5877">
        <v>153384</v>
      </c>
    </row>
    <row r="5878" spans="1:22">
      <c r="A5878" t="s">
        <v>196</v>
      </c>
      <c r="B5878">
        <v>58</v>
      </c>
      <c r="C5878" t="s">
        <v>9</v>
      </c>
      <c r="D5878">
        <v>353</v>
      </c>
      <c r="E5878" t="s">
        <v>2126</v>
      </c>
      <c r="F5878">
        <v>1010</v>
      </c>
      <c r="G5878" t="s">
        <v>9</v>
      </c>
      <c r="H5878">
        <v>2705</v>
      </c>
      <c r="I5878" t="s">
        <v>9</v>
      </c>
      <c r="J5878">
        <v>3010</v>
      </c>
      <c r="K5878" t="s">
        <v>243</v>
      </c>
      <c r="L5878">
        <v>4040</v>
      </c>
      <c r="M5878" t="s">
        <v>2139</v>
      </c>
      <c r="N5878" t="s">
        <v>199</v>
      </c>
      <c r="O5878">
        <v>0</v>
      </c>
      <c r="P5878">
        <v>15</v>
      </c>
      <c r="Q5878" t="s">
        <v>264</v>
      </c>
      <c r="R5878" t="s">
        <v>201</v>
      </c>
      <c r="S5878">
        <v>0</v>
      </c>
      <c r="T5878">
        <v>0</v>
      </c>
      <c r="U5878">
        <v>375724</v>
      </c>
      <c r="V5878">
        <v>375724</v>
      </c>
    </row>
    <row r="5879" spans="1:22">
      <c r="A5879" t="s">
        <v>196</v>
      </c>
      <c r="B5879">
        <v>58</v>
      </c>
      <c r="C5879" t="s">
        <v>9</v>
      </c>
      <c r="D5879">
        <v>353</v>
      </c>
      <c r="E5879" t="s">
        <v>2126</v>
      </c>
      <c r="F5879">
        <v>1010</v>
      </c>
      <c r="G5879" t="s">
        <v>9</v>
      </c>
      <c r="H5879">
        <v>2705</v>
      </c>
      <c r="I5879" t="s">
        <v>9</v>
      </c>
      <c r="J5879">
        <v>3010</v>
      </c>
      <c r="K5879" t="s">
        <v>243</v>
      </c>
      <c r="L5879">
        <v>4045</v>
      </c>
      <c r="M5879" t="s">
        <v>2144</v>
      </c>
      <c r="N5879" t="s">
        <v>721</v>
      </c>
      <c r="O5879">
        <v>29</v>
      </c>
      <c r="P5879">
        <v>8609</v>
      </c>
      <c r="Q5879" t="s">
        <v>2145</v>
      </c>
      <c r="R5879" t="s">
        <v>712</v>
      </c>
      <c r="S5879">
        <v>2</v>
      </c>
      <c r="T5879">
        <v>1</v>
      </c>
      <c r="U5879">
        <v>13074.53</v>
      </c>
      <c r="V5879">
        <v>313789</v>
      </c>
    </row>
    <row r="5880" spans="1:22">
      <c r="A5880" t="s">
        <v>196</v>
      </c>
      <c r="B5880">
        <v>58</v>
      </c>
      <c r="C5880" t="s">
        <v>9</v>
      </c>
      <c r="D5880">
        <v>353</v>
      </c>
      <c r="E5880" t="s">
        <v>2126</v>
      </c>
      <c r="F5880">
        <v>1010</v>
      </c>
      <c r="G5880" t="s">
        <v>9</v>
      </c>
      <c r="H5880">
        <v>2705</v>
      </c>
      <c r="I5880" t="s">
        <v>9</v>
      </c>
      <c r="J5880">
        <v>3010</v>
      </c>
      <c r="K5880" t="s">
        <v>243</v>
      </c>
      <c r="L5880">
        <v>4045</v>
      </c>
      <c r="M5880" t="s">
        <v>2144</v>
      </c>
      <c r="N5880" t="s">
        <v>721</v>
      </c>
      <c r="O5880">
        <v>29</v>
      </c>
      <c r="P5880">
        <v>8607</v>
      </c>
      <c r="Q5880" t="s">
        <v>2146</v>
      </c>
      <c r="R5880" t="s">
        <v>712</v>
      </c>
      <c r="S5880">
        <v>12</v>
      </c>
      <c r="T5880">
        <v>1</v>
      </c>
      <c r="U5880">
        <v>12284.13</v>
      </c>
      <c r="V5880">
        <v>1768915</v>
      </c>
    </row>
    <row r="5881" spans="1:22">
      <c r="A5881" t="s">
        <v>196</v>
      </c>
      <c r="B5881">
        <v>58</v>
      </c>
      <c r="C5881" t="s">
        <v>9</v>
      </c>
      <c r="D5881">
        <v>353</v>
      </c>
      <c r="E5881" t="s">
        <v>2126</v>
      </c>
      <c r="F5881">
        <v>1010</v>
      </c>
      <c r="G5881" t="s">
        <v>9</v>
      </c>
      <c r="H5881">
        <v>2705</v>
      </c>
      <c r="I5881" t="s">
        <v>9</v>
      </c>
      <c r="J5881">
        <v>3010</v>
      </c>
      <c r="K5881" t="s">
        <v>243</v>
      </c>
      <c r="L5881">
        <v>4045</v>
      </c>
      <c r="M5881" t="s">
        <v>2144</v>
      </c>
      <c r="N5881" t="s">
        <v>2147</v>
      </c>
      <c r="O5881">
        <v>29</v>
      </c>
      <c r="P5881">
        <v>8606</v>
      </c>
      <c r="Q5881" t="s">
        <v>2148</v>
      </c>
      <c r="R5881" t="s">
        <v>201</v>
      </c>
      <c r="S5881">
        <v>27</v>
      </c>
      <c r="T5881">
        <v>1</v>
      </c>
      <c r="U5881">
        <v>123120</v>
      </c>
      <c r="V5881">
        <v>3324240</v>
      </c>
    </row>
    <row r="5882" spans="1:22">
      <c r="A5882" t="s">
        <v>196</v>
      </c>
      <c r="B5882">
        <v>58</v>
      </c>
      <c r="C5882" t="s">
        <v>9</v>
      </c>
      <c r="D5882">
        <v>353</v>
      </c>
      <c r="E5882" t="s">
        <v>2126</v>
      </c>
      <c r="F5882">
        <v>1010</v>
      </c>
      <c r="G5882" t="s">
        <v>9</v>
      </c>
      <c r="H5882">
        <v>2705</v>
      </c>
      <c r="I5882" t="s">
        <v>9</v>
      </c>
      <c r="J5882">
        <v>3010</v>
      </c>
      <c r="K5882" t="s">
        <v>243</v>
      </c>
      <c r="L5882">
        <v>4045</v>
      </c>
      <c r="M5882" t="s">
        <v>2144</v>
      </c>
      <c r="N5882" t="s">
        <v>2147</v>
      </c>
      <c r="O5882">
        <v>29</v>
      </c>
      <c r="P5882">
        <v>8606</v>
      </c>
      <c r="Q5882" t="s">
        <v>2148</v>
      </c>
      <c r="R5882" t="s">
        <v>201</v>
      </c>
      <c r="S5882">
        <v>12</v>
      </c>
      <c r="T5882">
        <v>1</v>
      </c>
      <c r="U5882">
        <v>104616</v>
      </c>
      <c r="V5882">
        <v>1255392</v>
      </c>
    </row>
    <row r="5883" spans="1:22">
      <c r="A5883" t="s">
        <v>196</v>
      </c>
      <c r="B5883">
        <v>58</v>
      </c>
      <c r="C5883" t="s">
        <v>9</v>
      </c>
      <c r="D5883">
        <v>353</v>
      </c>
      <c r="E5883" t="s">
        <v>2126</v>
      </c>
      <c r="F5883">
        <v>1010</v>
      </c>
      <c r="G5883" t="s">
        <v>9</v>
      </c>
      <c r="H5883">
        <v>2705</v>
      </c>
      <c r="I5883" t="s">
        <v>9</v>
      </c>
      <c r="J5883">
        <v>3010</v>
      </c>
      <c r="K5883" t="s">
        <v>243</v>
      </c>
      <c r="L5883">
        <v>4045</v>
      </c>
      <c r="M5883" t="s">
        <v>2144</v>
      </c>
      <c r="N5883" t="s">
        <v>2149</v>
      </c>
      <c r="O5883">
        <v>29</v>
      </c>
      <c r="P5883">
        <v>8605</v>
      </c>
      <c r="Q5883" t="s">
        <v>2150</v>
      </c>
      <c r="R5883" t="s">
        <v>201</v>
      </c>
      <c r="S5883">
        <v>27</v>
      </c>
      <c r="T5883">
        <v>1</v>
      </c>
      <c r="U5883">
        <v>87888</v>
      </c>
      <c r="V5883">
        <v>2372976</v>
      </c>
    </row>
    <row r="5884" spans="1:22">
      <c r="A5884" t="s">
        <v>196</v>
      </c>
      <c r="B5884">
        <v>58</v>
      </c>
      <c r="C5884" t="s">
        <v>9</v>
      </c>
      <c r="D5884">
        <v>353</v>
      </c>
      <c r="E5884" t="s">
        <v>2126</v>
      </c>
      <c r="F5884">
        <v>1010</v>
      </c>
      <c r="G5884" t="s">
        <v>9</v>
      </c>
      <c r="H5884">
        <v>2705</v>
      </c>
      <c r="I5884" t="s">
        <v>9</v>
      </c>
      <c r="J5884">
        <v>3010</v>
      </c>
      <c r="K5884" t="s">
        <v>243</v>
      </c>
      <c r="L5884">
        <v>4045</v>
      </c>
      <c r="M5884" t="s">
        <v>2144</v>
      </c>
      <c r="N5884" t="s">
        <v>2149</v>
      </c>
      <c r="O5884">
        <v>29</v>
      </c>
      <c r="P5884">
        <v>8605</v>
      </c>
      <c r="Q5884" t="s">
        <v>2150</v>
      </c>
      <c r="R5884" t="s">
        <v>201</v>
      </c>
      <c r="S5884">
        <v>8</v>
      </c>
      <c r="T5884">
        <v>1</v>
      </c>
      <c r="U5884">
        <v>83592</v>
      </c>
      <c r="V5884">
        <v>668736</v>
      </c>
    </row>
    <row r="5885" spans="1:22">
      <c r="A5885" t="s">
        <v>196</v>
      </c>
      <c r="B5885">
        <v>58</v>
      </c>
      <c r="C5885" t="s">
        <v>9</v>
      </c>
      <c r="D5885">
        <v>353</v>
      </c>
      <c r="E5885" t="s">
        <v>2126</v>
      </c>
      <c r="F5885">
        <v>1010</v>
      </c>
      <c r="G5885" t="s">
        <v>9</v>
      </c>
      <c r="H5885">
        <v>2705</v>
      </c>
      <c r="I5885" t="s">
        <v>9</v>
      </c>
      <c r="J5885">
        <v>3010</v>
      </c>
      <c r="K5885" t="s">
        <v>243</v>
      </c>
      <c r="L5885">
        <v>4045</v>
      </c>
      <c r="M5885" t="s">
        <v>2144</v>
      </c>
      <c r="N5885" t="s">
        <v>2149</v>
      </c>
      <c r="O5885">
        <v>29</v>
      </c>
      <c r="P5885">
        <v>8605</v>
      </c>
      <c r="Q5885" t="s">
        <v>2150</v>
      </c>
      <c r="R5885" t="s">
        <v>201</v>
      </c>
      <c r="S5885">
        <v>8</v>
      </c>
      <c r="T5885">
        <v>1</v>
      </c>
      <c r="U5885">
        <v>65916</v>
      </c>
      <c r="V5885">
        <v>527328</v>
      </c>
    </row>
    <row r="5886" spans="1:22">
      <c r="A5886" t="s">
        <v>196</v>
      </c>
      <c r="B5886">
        <v>58</v>
      </c>
      <c r="C5886" t="s">
        <v>9</v>
      </c>
      <c r="D5886">
        <v>353</v>
      </c>
      <c r="E5886" t="s">
        <v>2126</v>
      </c>
      <c r="F5886">
        <v>1010</v>
      </c>
      <c r="G5886" t="s">
        <v>9</v>
      </c>
      <c r="H5886">
        <v>2705</v>
      </c>
      <c r="I5886" t="s">
        <v>9</v>
      </c>
      <c r="J5886">
        <v>3010</v>
      </c>
      <c r="K5886" t="s">
        <v>243</v>
      </c>
      <c r="L5886">
        <v>4045</v>
      </c>
      <c r="M5886" t="s">
        <v>2144</v>
      </c>
      <c r="N5886" t="s">
        <v>341</v>
      </c>
      <c r="O5886">
        <v>1</v>
      </c>
      <c r="P5886">
        <v>308</v>
      </c>
      <c r="Q5886" t="s">
        <v>355</v>
      </c>
      <c r="R5886" t="s">
        <v>201</v>
      </c>
      <c r="S5886">
        <v>1</v>
      </c>
      <c r="T5886">
        <v>1</v>
      </c>
      <c r="U5886">
        <v>68616</v>
      </c>
      <c r="V5886">
        <v>68616</v>
      </c>
    </row>
    <row r="5887" spans="1:22">
      <c r="A5887" t="s">
        <v>196</v>
      </c>
      <c r="B5887">
        <v>58</v>
      </c>
      <c r="C5887" t="s">
        <v>9</v>
      </c>
      <c r="D5887">
        <v>353</v>
      </c>
      <c r="E5887" t="s">
        <v>2126</v>
      </c>
      <c r="F5887">
        <v>1010</v>
      </c>
      <c r="G5887" t="s">
        <v>9</v>
      </c>
      <c r="H5887">
        <v>2705</v>
      </c>
      <c r="I5887" t="s">
        <v>9</v>
      </c>
      <c r="J5887">
        <v>3010</v>
      </c>
      <c r="K5887" t="s">
        <v>243</v>
      </c>
      <c r="L5887">
        <v>4045</v>
      </c>
      <c r="M5887" t="s">
        <v>2144</v>
      </c>
      <c r="N5887" t="s">
        <v>199</v>
      </c>
      <c r="O5887">
        <v>0</v>
      </c>
      <c r="P5887">
        <v>15</v>
      </c>
      <c r="Q5887" t="s">
        <v>264</v>
      </c>
      <c r="R5887" t="s">
        <v>201</v>
      </c>
      <c r="S5887">
        <v>0</v>
      </c>
      <c r="T5887">
        <v>0</v>
      </c>
      <c r="U5887">
        <v>30303</v>
      </c>
      <c r="V5887">
        <v>30303</v>
      </c>
    </row>
    <row r="5888" spans="1:22">
      <c r="A5888" t="s">
        <v>196</v>
      </c>
      <c r="B5888">
        <v>58</v>
      </c>
      <c r="C5888" t="s">
        <v>9</v>
      </c>
      <c r="D5888">
        <v>353</v>
      </c>
      <c r="E5888" t="s">
        <v>2126</v>
      </c>
      <c r="F5888">
        <v>1010</v>
      </c>
      <c r="G5888" t="s">
        <v>9</v>
      </c>
      <c r="H5888">
        <v>2705</v>
      </c>
      <c r="I5888" t="s">
        <v>9</v>
      </c>
      <c r="J5888">
        <v>3010</v>
      </c>
      <c r="K5888" t="s">
        <v>243</v>
      </c>
      <c r="L5888">
        <v>4045</v>
      </c>
      <c r="M5888" t="s">
        <v>2144</v>
      </c>
      <c r="N5888" t="s">
        <v>199</v>
      </c>
      <c r="O5888">
        <v>0</v>
      </c>
      <c r="P5888">
        <v>12</v>
      </c>
      <c r="Q5888" t="s">
        <v>724</v>
      </c>
      <c r="R5888" t="s">
        <v>201</v>
      </c>
      <c r="S5888">
        <v>0</v>
      </c>
      <c r="T5888">
        <v>0</v>
      </c>
      <c r="U5888">
        <v>31241</v>
      </c>
      <c r="V5888">
        <v>31241</v>
      </c>
    </row>
    <row r="5889" spans="1:22">
      <c r="A5889" t="s">
        <v>196</v>
      </c>
      <c r="B5889">
        <v>58</v>
      </c>
      <c r="C5889" t="s">
        <v>9</v>
      </c>
      <c r="D5889">
        <v>353</v>
      </c>
      <c r="E5889" t="s">
        <v>2126</v>
      </c>
      <c r="F5889">
        <v>1010</v>
      </c>
      <c r="G5889" t="s">
        <v>9</v>
      </c>
      <c r="H5889">
        <v>2705</v>
      </c>
      <c r="I5889" t="s">
        <v>9</v>
      </c>
      <c r="J5889">
        <v>3010</v>
      </c>
      <c r="K5889" t="s">
        <v>243</v>
      </c>
      <c r="L5889">
        <v>4150</v>
      </c>
      <c r="M5889" t="s">
        <v>2151</v>
      </c>
      <c r="N5889" t="s">
        <v>721</v>
      </c>
      <c r="O5889">
        <v>29</v>
      </c>
      <c r="P5889">
        <v>8609</v>
      </c>
      <c r="Q5889" t="s">
        <v>2145</v>
      </c>
      <c r="R5889" t="s">
        <v>712</v>
      </c>
      <c r="S5889">
        <v>1</v>
      </c>
      <c r="T5889">
        <v>1</v>
      </c>
      <c r="U5889">
        <v>13074.53</v>
      </c>
      <c r="V5889">
        <v>156894</v>
      </c>
    </row>
    <row r="5890" spans="1:22">
      <c r="A5890" t="s">
        <v>196</v>
      </c>
      <c r="B5890">
        <v>58</v>
      </c>
      <c r="C5890" t="s">
        <v>9</v>
      </c>
      <c r="D5890">
        <v>353</v>
      </c>
      <c r="E5890" t="s">
        <v>2126</v>
      </c>
      <c r="F5890">
        <v>1010</v>
      </c>
      <c r="G5890" t="s">
        <v>9</v>
      </c>
      <c r="H5890">
        <v>2705</v>
      </c>
      <c r="I5890" t="s">
        <v>9</v>
      </c>
      <c r="J5890">
        <v>3010</v>
      </c>
      <c r="K5890" t="s">
        <v>243</v>
      </c>
      <c r="L5890">
        <v>4150</v>
      </c>
      <c r="M5890" t="s">
        <v>2151</v>
      </c>
      <c r="N5890" t="s">
        <v>721</v>
      </c>
      <c r="O5890">
        <v>29</v>
      </c>
      <c r="P5890">
        <v>8607</v>
      </c>
      <c r="Q5890" t="s">
        <v>2146</v>
      </c>
      <c r="R5890" t="s">
        <v>712</v>
      </c>
      <c r="S5890">
        <v>2</v>
      </c>
      <c r="T5890">
        <v>1</v>
      </c>
      <c r="U5890">
        <v>12284.13</v>
      </c>
      <c r="V5890">
        <v>294819</v>
      </c>
    </row>
    <row r="5891" spans="1:22">
      <c r="A5891" t="s">
        <v>196</v>
      </c>
      <c r="B5891">
        <v>58</v>
      </c>
      <c r="C5891" t="s">
        <v>9</v>
      </c>
      <c r="D5891">
        <v>353</v>
      </c>
      <c r="E5891" t="s">
        <v>2126</v>
      </c>
      <c r="F5891">
        <v>1010</v>
      </c>
      <c r="G5891" t="s">
        <v>9</v>
      </c>
      <c r="H5891">
        <v>2705</v>
      </c>
      <c r="I5891" t="s">
        <v>9</v>
      </c>
      <c r="J5891">
        <v>3010</v>
      </c>
      <c r="K5891" t="s">
        <v>243</v>
      </c>
      <c r="L5891">
        <v>4150</v>
      </c>
      <c r="M5891" t="s">
        <v>2151</v>
      </c>
      <c r="N5891" t="s">
        <v>2147</v>
      </c>
      <c r="O5891">
        <v>29</v>
      </c>
      <c r="P5891">
        <v>8606</v>
      </c>
      <c r="Q5891" t="s">
        <v>2148</v>
      </c>
      <c r="R5891" t="s">
        <v>201</v>
      </c>
      <c r="S5891">
        <v>4</v>
      </c>
      <c r="T5891">
        <v>1</v>
      </c>
      <c r="U5891">
        <v>104616</v>
      </c>
      <c r="V5891">
        <v>418464</v>
      </c>
    </row>
    <row r="5892" spans="1:22">
      <c r="A5892" t="s">
        <v>196</v>
      </c>
      <c r="B5892">
        <v>58</v>
      </c>
      <c r="C5892" t="s">
        <v>9</v>
      </c>
      <c r="D5892">
        <v>353</v>
      </c>
      <c r="E5892" t="s">
        <v>2126</v>
      </c>
      <c r="F5892">
        <v>1010</v>
      </c>
      <c r="G5892" t="s">
        <v>9</v>
      </c>
      <c r="H5892">
        <v>2705</v>
      </c>
      <c r="I5892" t="s">
        <v>9</v>
      </c>
      <c r="J5892">
        <v>3010</v>
      </c>
      <c r="K5892" t="s">
        <v>243</v>
      </c>
      <c r="L5892">
        <v>4150</v>
      </c>
      <c r="M5892" t="s">
        <v>2151</v>
      </c>
      <c r="N5892" t="s">
        <v>2149</v>
      </c>
      <c r="O5892">
        <v>29</v>
      </c>
      <c r="P5892">
        <v>8605</v>
      </c>
      <c r="Q5892" t="s">
        <v>2150</v>
      </c>
      <c r="R5892" t="s">
        <v>201</v>
      </c>
      <c r="S5892">
        <v>1</v>
      </c>
      <c r="T5892">
        <v>1</v>
      </c>
      <c r="U5892">
        <v>87888</v>
      </c>
      <c r="V5892">
        <v>87888</v>
      </c>
    </row>
    <row r="5893" spans="1:22">
      <c r="A5893" t="s">
        <v>196</v>
      </c>
      <c r="B5893">
        <v>58</v>
      </c>
      <c r="C5893" t="s">
        <v>9</v>
      </c>
      <c r="D5893">
        <v>353</v>
      </c>
      <c r="E5893" t="s">
        <v>2126</v>
      </c>
      <c r="F5893">
        <v>1010</v>
      </c>
      <c r="G5893" t="s">
        <v>9</v>
      </c>
      <c r="H5893">
        <v>2705</v>
      </c>
      <c r="I5893" t="s">
        <v>9</v>
      </c>
      <c r="J5893">
        <v>3010</v>
      </c>
      <c r="K5893" t="s">
        <v>243</v>
      </c>
      <c r="L5893">
        <v>4150</v>
      </c>
      <c r="M5893" t="s">
        <v>2151</v>
      </c>
      <c r="N5893" t="s">
        <v>2149</v>
      </c>
      <c r="O5893">
        <v>29</v>
      </c>
      <c r="P5893">
        <v>8605</v>
      </c>
      <c r="Q5893" t="s">
        <v>2150</v>
      </c>
      <c r="R5893" t="s">
        <v>201</v>
      </c>
      <c r="S5893">
        <v>5</v>
      </c>
      <c r="T5893">
        <v>1</v>
      </c>
      <c r="U5893">
        <v>65916</v>
      </c>
      <c r="V5893">
        <v>329580</v>
      </c>
    </row>
    <row r="5894" spans="1:22">
      <c r="A5894" t="s">
        <v>196</v>
      </c>
      <c r="B5894">
        <v>58</v>
      </c>
      <c r="C5894" t="s">
        <v>9</v>
      </c>
      <c r="D5894">
        <v>353</v>
      </c>
      <c r="E5894" t="s">
        <v>2126</v>
      </c>
      <c r="F5894">
        <v>1010</v>
      </c>
      <c r="G5894" t="s">
        <v>9</v>
      </c>
      <c r="H5894">
        <v>2705</v>
      </c>
      <c r="I5894" t="s">
        <v>9</v>
      </c>
      <c r="J5894">
        <v>3010</v>
      </c>
      <c r="K5894" t="s">
        <v>243</v>
      </c>
      <c r="L5894">
        <v>4150</v>
      </c>
      <c r="M5894" t="s">
        <v>2151</v>
      </c>
      <c r="N5894" t="s">
        <v>372</v>
      </c>
      <c r="O5894">
        <v>4</v>
      </c>
      <c r="P5894">
        <v>1912</v>
      </c>
      <c r="Q5894" t="s">
        <v>608</v>
      </c>
      <c r="R5894" t="s">
        <v>201</v>
      </c>
      <c r="S5894">
        <v>1</v>
      </c>
      <c r="T5894">
        <v>1</v>
      </c>
      <c r="U5894">
        <v>75336</v>
      </c>
      <c r="V5894">
        <v>75336</v>
      </c>
    </row>
    <row r="5895" spans="1:22">
      <c r="A5895" t="s">
        <v>196</v>
      </c>
      <c r="B5895">
        <v>58</v>
      </c>
      <c r="C5895" t="s">
        <v>9</v>
      </c>
      <c r="D5895">
        <v>353</v>
      </c>
      <c r="E5895" t="s">
        <v>2126</v>
      </c>
      <c r="F5895">
        <v>1010</v>
      </c>
      <c r="G5895" t="s">
        <v>9</v>
      </c>
      <c r="H5895">
        <v>2705</v>
      </c>
      <c r="I5895" t="s">
        <v>9</v>
      </c>
      <c r="J5895">
        <v>3010</v>
      </c>
      <c r="K5895" t="s">
        <v>243</v>
      </c>
      <c r="L5895">
        <v>4150</v>
      </c>
      <c r="M5895" t="s">
        <v>2151</v>
      </c>
      <c r="N5895" t="s">
        <v>199</v>
      </c>
      <c r="O5895">
        <v>0</v>
      </c>
      <c r="P5895">
        <v>15</v>
      </c>
      <c r="Q5895" t="s">
        <v>264</v>
      </c>
      <c r="R5895" t="s">
        <v>201</v>
      </c>
      <c r="S5895">
        <v>0</v>
      </c>
      <c r="T5895">
        <v>0</v>
      </c>
      <c r="U5895">
        <v>15364</v>
      </c>
      <c r="V5895">
        <v>15364</v>
      </c>
    </row>
    <row r="5896" spans="1:22">
      <c r="A5896" t="s">
        <v>196</v>
      </c>
      <c r="B5896">
        <v>58</v>
      </c>
      <c r="C5896" t="s">
        <v>9</v>
      </c>
      <c r="D5896">
        <v>353</v>
      </c>
      <c r="E5896" t="s">
        <v>2126</v>
      </c>
      <c r="F5896">
        <v>1010</v>
      </c>
      <c r="G5896" t="s">
        <v>9</v>
      </c>
      <c r="H5896">
        <v>2705</v>
      </c>
      <c r="I5896" t="s">
        <v>9</v>
      </c>
      <c r="J5896">
        <v>3010</v>
      </c>
      <c r="K5896" t="s">
        <v>243</v>
      </c>
      <c r="L5896">
        <v>4150</v>
      </c>
      <c r="M5896" t="s">
        <v>2151</v>
      </c>
      <c r="N5896" t="s">
        <v>199</v>
      </c>
      <c r="O5896">
        <v>0</v>
      </c>
      <c r="P5896">
        <v>12</v>
      </c>
      <c r="Q5896" t="s">
        <v>724</v>
      </c>
      <c r="R5896" t="s">
        <v>201</v>
      </c>
      <c r="S5896">
        <v>0</v>
      </c>
      <c r="T5896">
        <v>0</v>
      </c>
      <c r="U5896">
        <v>6775</v>
      </c>
      <c r="V5896">
        <v>6775</v>
      </c>
    </row>
    <row r="5897" spans="1:22">
      <c r="A5897" t="s">
        <v>196</v>
      </c>
      <c r="B5897">
        <v>58</v>
      </c>
      <c r="C5897" t="s">
        <v>9</v>
      </c>
      <c r="D5897">
        <v>353</v>
      </c>
      <c r="E5897" t="s">
        <v>2126</v>
      </c>
      <c r="F5897">
        <v>1010</v>
      </c>
      <c r="G5897" t="s">
        <v>9</v>
      </c>
      <c r="H5897">
        <v>2705</v>
      </c>
      <c r="I5897" t="s">
        <v>9</v>
      </c>
      <c r="J5897">
        <v>3020</v>
      </c>
      <c r="K5897" t="s">
        <v>783</v>
      </c>
      <c r="L5897">
        <v>4016</v>
      </c>
      <c r="M5897" t="s">
        <v>1449</v>
      </c>
      <c r="N5897" t="s">
        <v>253</v>
      </c>
      <c r="O5897">
        <v>10</v>
      </c>
      <c r="P5897">
        <v>790</v>
      </c>
      <c r="Q5897" t="s">
        <v>254</v>
      </c>
      <c r="R5897" t="s">
        <v>201</v>
      </c>
      <c r="S5897">
        <v>1</v>
      </c>
      <c r="T5897">
        <v>1</v>
      </c>
      <c r="U5897">
        <v>83052</v>
      </c>
      <c r="V5897">
        <v>83052</v>
      </c>
    </row>
    <row r="5898" spans="1:22">
      <c r="A5898" t="s">
        <v>196</v>
      </c>
      <c r="B5898">
        <v>58</v>
      </c>
      <c r="C5898" t="s">
        <v>9</v>
      </c>
      <c r="D5898">
        <v>353</v>
      </c>
      <c r="E5898" t="s">
        <v>2126</v>
      </c>
      <c r="F5898">
        <v>1010</v>
      </c>
      <c r="G5898" t="s">
        <v>9</v>
      </c>
      <c r="H5898">
        <v>2705</v>
      </c>
      <c r="I5898" t="s">
        <v>9</v>
      </c>
      <c r="J5898">
        <v>3020</v>
      </c>
      <c r="K5898" t="s">
        <v>783</v>
      </c>
      <c r="L5898">
        <v>4016</v>
      </c>
      <c r="M5898" t="s">
        <v>1449</v>
      </c>
      <c r="N5898" t="s">
        <v>199</v>
      </c>
      <c r="O5898">
        <v>0</v>
      </c>
      <c r="P5898">
        <v>15</v>
      </c>
      <c r="Q5898" t="s">
        <v>264</v>
      </c>
      <c r="R5898" t="s">
        <v>201</v>
      </c>
      <c r="S5898">
        <v>0</v>
      </c>
      <c r="T5898">
        <v>0</v>
      </c>
      <c r="U5898">
        <v>1038</v>
      </c>
      <c r="V5898">
        <v>1038</v>
      </c>
    </row>
    <row r="5899" spans="1:22">
      <c r="A5899" t="s">
        <v>196</v>
      </c>
      <c r="B5899">
        <v>58</v>
      </c>
      <c r="C5899" t="s">
        <v>9</v>
      </c>
      <c r="D5899">
        <v>353</v>
      </c>
      <c r="E5899" t="s">
        <v>2126</v>
      </c>
      <c r="F5899">
        <v>1010</v>
      </c>
      <c r="G5899" t="s">
        <v>9</v>
      </c>
      <c r="H5899">
        <v>2705</v>
      </c>
      <c r="I5899" t="s">
        <v>9</v>
      </c>
      <c r="J5899">
        <v>3020</v>
      </c>
      <c r="K5899" t="s">
        <v>783</v>
      </c>
      <c r="L5899">
        <v>4021</v>
      </c>
      <c r="M5899" t="s">
        <v>277</v>
      </c>
      <c r="N5899" t="s">
        <v>266</v>
      </c>
      <c r="O5899">
        <v>9</v>
      </c>
      <c r="P5899">
        <v>9684</v>
      </c>
      <c r="Q5899" t="s">
        <v>327</v>
      </c>
      <c r="R5899" t="s">
        <v>201</v>
      </c>
      <c r="S5899">
        <v>1</v>
      </c>
      <c r="T5899">
        <v>1</v>
      </c>
      <c r="U5899">
        <v>139140</v>
      </c>
      <c r="V5899">
        <v>139140</v>
      </c>
    </row>
    <row r="5900" spans="1:22">
      <c r="A5900" t="s">
        <v>196</v>
      </c>
      <c r="B5900">
        <v>58</v>
      </c>
      <c r="C5900" t="s">
        <v>9</v>
      </c>
      <c r="D5900">
        <v>353</v>
      </c>
      <c r="E5900" t="s">
        <v>2126</v>
      </c>
      <c r="F5900">
        <v>1010</v>
      </c>
      <c r="G5900" t="s">
        <v>9</v>
      </c>
      <c r="H5900">
        <v>2705</v>
      </c>
      <c r="I5900" t="s">
        <v>9</v>
      </c>
      <c r="J5900">
        <v>3020</v>
      </c>
      <c r="K5900" t="s">
        <v>783</v>
      </c>
      <c r="L5900">
        <v>4021</v>
      </c>
      <c r="M5900" t="s">
        <v>277</v>
      </c>
      <c r="N5900" t="s">
        <v>716</v>
      </c>
      <c r="O5900">
        <v>2</v>
      </c>
      <c r="P5900">
        <v>8601</v>
      </c>
      <c r="Q5900" t="s">
        <v>2143</v>
      </c>
      <c r="R5900" t="s">
        <v>201</v>
      </c>
      <c r="S5900">
        <v>2</v>
      </c>
      <c r="T5900">
        <v>1</v>
      </c>
      <c r="U5900">
        <v>99708</v>
      </c>
      <c r="V5900">
        <v>199416</v>
      </c>
    </row>
    <row r="5901" spans="1:22">
      <c r="A5901" t="s">
        <v>196</v>
      </c>
      <c r="B5901">
        <v>58</v>
      </c>
      <c r="C5901" t="s">
        <v>9</v>
      </c>
      <c r="D5901">
        <v>353</v>
      </c>
      <c r="E5901" t="s">
        <v>2126</v>
      </c>
      <c r="F5901">
        <v>1010</v>
      </c>
      <c r="G5901" t="s">
        <v>9</v>
      </c>
      <c r="H5901">
        <v>2705</v>
      </c>
      <c r="I5901" t="s">
        <v>9</v>
      </c>
      <c r="J5901">
        <v>3020</v>
      </c>
      <c r="K5901" t="s">
        <v>783</v>
      </c>
      <c r="L5901">
        <v>4021</v>
      </c>
      <c r="M5901" t="s">
        <v>277</v>
      </c>
      <c r="N5901" t="s">
        <v>716</v>
      </c>
      <c r="O5901">
        <v>2</v>
      </c>
      <c r="P5901">
        <v>8601</v>
      </c>
      <c r="Q5901" t="s">
        <v>2143</v>
      </c>
      <c r="R5901" t="s">
        <v>201</v>
      </c>
      <c r="S5901">
        <v>1</v>
      </c>
      <c r="T5901">
        <v>1</v>
      </c>
      <c r="U5901">
        <v>90876</v>
      </c>
      <c r="V5901">
        <v>90876</v>
      </c>
    </row>
    <row r="5902" spans="1:22">
      <c r="A5902" t="s">
        <v>196</v>
      </c>
      <c r="B5902">
        <v>58</v>
      </c>
      <c r="C5902" t="s">
        <v>9</v>
      </c>
      <c r="D5902">
        <v>353</v>
      </c>
      <c r="E5902" t="s">
        <v>2126</v>
      </c>
      <c r="F5902">
        <v>1010</v>
      </c>
      <c r="G5902" t="s">
        <v>9</v>
      </c>
      <c r="H5902">
        <v>2705</v>
      </c>
      <c r="I5902" t="s">
        <v>9</v>
      </c>
      <c r="J5902">
        <v>3020</v>
      </c>
      <c r="K5902" t="s">
        <v>783</v>
      </c>
      <c r="L5902">
        <v>4021</v>
      </c>
      <c r="M5902" t="s">
        <v>277</v>
      </c>
      <c r="N5902" t="s">
        <v>716</v>
      </c>
      <c r="O5902">
        <v>2</v>
      </c>
      <c r="P5902">
        <v>8601</v>
      </c>
      <c r="Q5902" t="s">
        <v>2143</v>
      </c>
      <c r="R5902" t="s">
        <v>201</v>
      </c>
      <c r="S5902">
        <v>1</v>
      </c>
      <c r="T5902">
        <v>1</v>
      </c>
      <c r="U5902">
        <v>86772</v>
      </c>
      <c r="V5902">
        <v>86772</v>
      </c>
    </row>
    <row r="5903" spans="1:22">
      <c r="A5903" t="s">
        <v>196</v>
      </c>
      <c r="B5903">
        <v>58</v>
      </c>
      <c r="C5903" t="s">
        <v>9</v>
      </c>
      <c r="D5903">
        <v>353</v>
      </c>
      <c r="E5903" t="s">
        <v>2126</v>
      </c>
      <c r="F5903">
        <v>1010</v>
      </c>
      <c r="G5903" t="s">
        <v>9</v>
      </c>
      <c r="H5903">
        <v>2705</v>
      </c>
      <c r="I5903" t="s">
        <v>9</v>
      </c>
      <c r="J5903">
        <v>3020</v>
      </c>
      <c r="K5903" t="s">
        <v>783</v>
      </c>
      <c r="L5903">
        <v>4021</v>
      </c>
      <c r="M5903" t="s">
        <v>277</v>
      </c>
      <c r="N5903" t="s">
        <v>716</v>
      </c>
      <c r="O5903">
        <v>2</v>
      </c>
      <c r="P5903">
        <v>8601</v>
      </c>
      <c r="Q5903" t="s">
        <v>2143</v>
      </c>
      <c r="R5903" t="s">
        <v>201</v>
      </c>
      <c r="S5903">
        <v>1</v>
      </c>
      <c r="T5903">
        <v>1</v>
      </c>
      <c r="U5903">
        <v>64836</v>
      </c>
      <c r="V5903">
        <v>64836</v>
      </c>
    </row>
    <row r="5904" spans="1:22">
      <c r="A5904" t="s">
        <v>196</v>
      </c>
      <c r="B5904">
        <v>58</v>
      </c>
      <c r="C5904" t="s">
        <v>9</v>
      </c>
      <c r="D5904">
        <v>353</v>
      </c>
      <c r="E5904" t="s">
        <v>2126</v>
      </c>
      <c r="F5904">
        <v>1010</v>
      </c>
      <c r="G5904" t="s">
        <v>9</v>
      </c>
      <c r="H5904">
        <v>2705</v>
      </c>
      <c r="I5904" t="s">
        <v>9</v>
      </c>
      <c r="J5904">
        <v>3020</v>
      </c>
      <c r="K5904" t="s">
        <v>783</v>
      </c>
      <c r="L5904">
        <v>4021</v>
      </c>
      <c r="M5904" t="s">
        <v>277</v>
      </c>
      <c r="N5904" t="s">
        <v>716</v>
      </c>
      <c r="O5904">
        <v>2</v>
      </c>
      <c r="P5904">
        <v>8601</v>
      </c>
      <c r="Q5904" t="s">
        <v>2143</v>
      </c>
      <c r="R5904" t="s">
        <v>201</v>
      </c>
      <c r="S5904">
        <v>1</v>
      </c>
      <c r="T5904">
        <v>1</v>
      </c>
      <c r="U5904">
        <v>61824</v>
      </c>
      <c r="V5904">
        <v>61824</v>
      </c>
    </row>
    <row r="5905" spans="1:22">
      <c r="A5905" t="s">
        <v>196</v>
      </c>
      <c r="B5905">
        <v>58</v>
      </c>
      <c r="C5905" t="s">
        <v>9</v>
      </c>
      <c r="D5905">
        <v>353</v>
      </c>
      <c r="E5905" t="s">
        <v>2126</v>
      </c>
      <c r="F5905">
        <v>1010</v>
      </c>
      <c r="G5905" t="s">
        <v>9</v>
      </c>
      <c r="H5905">
        <v>2705</v>
      </c>
      <c r="I5905" t="s">
        <v>9</v>
      </c>
      <c r="J5905">
        <v>3020</v>
      </c>
      <c r="K5905" t="s">
        <v>783</v>
      </c>
      <c r="L5905">
        <v>4021</v>
      </c>
      <c r="M5905" t="s">
        <v>277</v>
      </c>
      <c r="N5905" t="s">
        <v>351</v>
      </c>
      <c r="O5905">
        <v>1</v>
      </c>
      <c r="P5905" t="s">
        <v>352</v>
      </c>
      <c r="Q5905" t="s">
        <v>353</v>
      </c>
      <c r="R5905" t="s">
        <v>201</v>
      </c>
      <c r="S5905">
        <v>1</v>
      </c>
      <c r="T5905">
        <v>1</v>
      </c>
      <c r="U5905">
        <v>62544</v>
      </c>
      <c r="V5905">
        <v>62544</v>
      </c>
    </row>
    <row r="5906" spans="1:22">
      <c r="A5906" t="s">
        <v>196</v>
      </c>
      <c r="B5906">
        <v>58</v>
      </c>
      <c r="C5906" t="s">
        <v>9</v>
      </c>
      <c r="D5906">
        <v>353</v>
      </c>
      <c r="E5906" t="s">
        <v>2126</v>
      </c>
      <c r="F5906">
        <v>1010</v>
      </c>
      <c r="G5906" t="s">
        <v>9</v>
      </c>
      <c r="H5906">
        <v>2705</v>
      </c>
      <c r="I5906" t="s">
        <v>9</v>
      </c>
      <c r="J5906">
        <v>3020</v>
      </c>
      <c r="K5906" t="s">
        <v>783</v>
      </c>
      <c r="L5906">
        <v>4021</v>
      </c>
      <c r="M5906" t="s">
        <v>277</v>
      </c>
      <c r="N5906" t="s">
        <v>622</v>
      </c>
      <c r="O5906">
        <v>1</v>
      </c>
      <c r="P5906" t="s">
        <v>667</v>
      </c>
      <c r="Q5906" t="s">
        <v>205</v>
      </c>
      <c r="R5906" t="s">
        <v>201</v>
      </c>
      <c r="S5906">
        <v>1</v>
      </c>
      <c r="T5906">
        <v>1</v>
      </c>
      <c r="U5906">
        <v>71436</v>
      </c>
      <c r="V5906">
        <v>71436</v>
      </c>
    </row>
    <row r="5907" spans="1:22">
      <c r="A5907" t="s">
        <v>196</v>
      </c>
      <c r="B5907">
        <v>58</v>
      </c>
      <c r="C5907" t="s">
        <v>9</v>
      </c>
      <c r="D5907">
        <v>353</v>
      </c>
      <c r="E5907" t="s">
        <v>2126</v>
      </c>
      <c r="F5907">
        <v>1010</v>
      </c>
      <c r="G5907" t="s">
        <v>9</v>
      </c>
      <c r="H5907">
        <v>2705</v>
      </c>
      <c r="I5907" t="s">
        <v>9</v>
      </c>
      <c r="J5907">
        <v>3020</v>
      </c>
      <c r="K5907" t="s">
        <v>783</v>
      </c>
      <c r="L5907">
        <v>4021</v>
      </c>
      <c r="M5907" t="s">
        <v>277</v>
      </c>
      <c r="N5907" t="s">
        <v>622</v>
      </c>
      <c r="O5907">
        <v>1</v>
      </c>
      <c r="P5907" t="s">
        <v>667</v>
      </c>
      <c r="Q5907" t="s">
        <v>205</v>
      </c>
      <c r="R5907" t="s">
        <v>201</v>
      </c>
      <c r="S5907">
        <v>2</v>
      </c>
      <c r="T5907">
        <v>1</v>
      </c>
      <c r="U5907">
        <v>53532</v>
      </c>
      <c r="V5907">
        <v>107064</v>
      </c>
    </row>
    <row r="5908" spans="1:22">
      <c r="A5908" t="s">
        <v>196</v>
      </c>
      <c r="B5908">
        <v>58</v>
      </c>
      <c r="C5908" t="s">
        <v>9</v>
      </c>
      <c r="D5908">
        <v>353</v>
      </c>
      <c r="E5908" t="s">
        <v>2126</v>
      </c>
      <c r="F5908">
        <v>1010</v>
      </c>
      <c r="G5908" t="s">
        <v>9</v>
      </c>
      <c r="H5908">
        <v>2705</v>
      </c>
      <c r="I5908" t="s">
        <v>9</v>
      </c>
      <c r="J5908">
        <v>3020</v>
      </c>
      <c r="K5908" t="s">
        <v>783</v>
      </c>
      <c r="L5908">
        <v>4021</v>
      </c>
      <c r="M5908" t="s">
        <v>277</v>
      </c>
      <c r="N5908" t="s">
        <v>622</v>
      </c>
      <c r="O5908">
        <v>1</v>
      </c>
      <c r="P5908" t="s">
        <v>667</v>
      </c>
      <c r="Q5908" t="s">
        <v>205</v>
      </c>
      <c r="R5908" t="s">
        <v>201</v>
      </c>
      <c r="S5908">
        <v>1</v>
      </c>
      <c r="T5908">
        <v>1</v>
      </c>
      <c r="U5908">
        <v>51936</v>
      </c>
      <c r="V5908">
        <v>51936</v>
      </c>
    </row>
    <row r="5909" spans="1:22">
      <c r="A5909" t="s">
        <v>196</v>
      </c>
      <c r="B5909">
        <v>58</v>
      </c>
      <c r="C5909" t="s">
        <v>9</v>
      </c>
      <c r="D5909">
        <v>353</v>
      </c>
      <c r="E5909" t="s">
        <v>2126</v>
      </c>
      <c r="F5909">
        <v>1010</v>
      </c>
      <c r="G5909" t="s">
        <v>9</v>
      </c>
      <c r="H5909">
        <v>2705</v>
      </c>
      <c r="I5909" t="s">
        <v>9</v>
      </c>
      <c r="J5909">
        <v>3020</v>
      </c>
      <c r="K5909" t="s">
        <v>783</v>
      </c>
      <c r="L5909">
        <v>4021</v>
      </c>
      <c r="M5909" t="s">
        <v>277</v>
      </c>
      <c r="N5909" t="s">
        <v>199</v>
      </c>
      <c r="O5909">
        <v>0</v>
      </c>
      <c r="P5909">
        <v>15</v>
      </c>
      <c r="Q5909" t="s">
        <v>264</v>
      </c>
      <c r="R5909" t="s">
        <v>201</v>
      </c>
      <c r="S5909">
        <v>0</v>
      </c>
      <c r="T5909">
        <v>0</v>
      </c>
      <c r="U5909">
        <v>5812</v>
      </c>
      <c r="V5909">
        <v>5812</v>
      </c>
    </row>
    <row r="5910" spans="1:22">
      <c r="A5910" t="s">
        <v>196</v>
      </c>
      <c r="B5910">
        <v>58</v>
      </c>
      <c r="C5910" t="s">
        <v>9</v>
      </c>
      <c r="D5910">
        <v>353</v>
      </c>
      <c r="E5910" t="s">
        <v>2126</v>
      </c>
      <c r="F5910">
        <v>1010</v>
      </c>
      <c r="G5910" t="s">
        <v>9</v>
      </c>
      <c r="H5910">
        <v>2705</v>
      </c>
      <c r="I5910" t="s">
        <v>9</v>
      </c>
      <c r="J5910">
        <v>3030</v>
      </c>
      <c r="K5910" t="s">
        <v>2152</v>
      </c>
      <c r="L5910">
        <v>4086</v>
      </c>
      <c r="M5910" t="s">
        <v>2153</v>
      </c>
      <c r="N5910" t="s">
        <v>266</v>
      </c>
      <c r="O5910">
        <v>9</v>
      </c>
      <c r="P5910">
        <v>9684</v>
      </c>
      <c r="Q5910" t="s">
        <v>327</v>
      </c>
      <c r="R5910" t="s">
        <v>201</v>
      </c>
      <c r="S5910">
        <v>1</v>
      </c>
      <c r="T5910">
        <v>1</v>
      </c>
      <c r="U5910">
        <v>157332</v>
      </c>
      <c r="V5910">
        <v>157332</v>
      </c>
    </row>
    <row r="5911" spans="1:22">
      <c r="A5911" t="s">
        <v>196</v>
      </c>
      <c r="B5911">
        <v>58</v>
      </c>
      <c r="C5911" t="s">
        <v>9</v>
      </c>
      <c r="D5911">
        <v>353</v>
      </c>
      <c r="E5911" t="s">
        <v>2126</v>
      </c>
      <c r="F5911">
        <v>1010</v>
      </c>
      <c r="G5911" t="s">
        <v>9</v>
      </c>
      <c r="H5911">
        <v>2705</v>
      </c>
      <c r="I5911" t="s">
        <v>9</v>
      </c>
      <c r="J5911">
        <v>3030</v>
      </c>
      <c r="K5911" t="s">
        <v>2152</v>
      </c>
      <c r="L5911">
        <v>4086</v>
      </c>
      <c r="M5911" t="s">
        <v>2153</v>
      </c>
      <c r="N5911" t="s">
        <v>397</v>
      </c>
      <c r="O5911">
        <v>3</v>
      </c>
      <c r="P5911">
        <v>8621</v>
      </c>
      <c r="Q5911" t="s">
        <v>2154</v>
      </c>
      <c r="R5911" t="s">
        <v>201</v>
      </c>
      <c r="S5911">
        <v>1</v>
      </c>
      <c r="T5911">
        <v>1</v>
      </c>
      <c r="U5911">
        <v>150240</v>
      </c>
      <c r="V5911">
        <v>150240</v>
      </c>
    </row>
    <row r="5912" spans="1:22">
      <c r="A5912" t="s">
        <v>196</v>
      </c>
      <c r="B5912">
        <v>58</v>
      </c>
      <c r="C5912" t="s">
        <v>9</v>
      </c>
      <c r="D5912">
        <v>353</v>
      </c>
      <c r="E5912" t="s">
        <v>2126</v>
      </c>
      <c r="F5912">
        <v>1010</v>
      </c>
      <c r="G5912" t="s">
        <v>9</v>
      </c>
      <c r="H5912">
        <v>2705</v>
      </c>
      <c r="I5912" t="s">
        <v>9</v>
      </c>
      <c r="J5912">
        <v>3030</v>
      </c>
      <c r="K5912" t="s">
        <v>2152</v>
      </c>
      <c r="L5912">
        <v>4086</v>
      </c>
      <c r="M5912" t="s">
        <v>2153</v>
      </c>
      <c r="N5912" t="s">
        <v>397</v>
      </c>
      <c r="O5912">
        <v>3</v>
      </c>
      <c r="P5912">
        <v>8621</v>
      </c>
      <c r="Q5912" t="s">
        <v>2154</v>
      </c>
      <c r="R5912" t="s">
        <v>201</v>
      </c>
      <c r="S5912">
        <v>1</v>
      </c>
      <c r="T5912">
        <v>1</v>
      </c>
      <c r="U5912">
        <v>117912</v>
      </c>
      <c r="V5912">
        <v>117912</v>
      </c>
    </row>
    <row r="5913" spans="1:22">
      <c r="A5913" t="s">
        <v>196</v>
      </c>
      <c r="B5913">
        <v>58</v>
      </c>
      <c r="C5913" t="s">
        <v>9</v>
      </c>
      <c r="D5913">
        <v>353</v>
      </c>
      <c r="E5913" t="s">
        <v>2126</v>
      </c>
      <c r="F5913">
        <v>1010</v>
      </c>
      <c r="G5913" t="s">
        <v>9</v>
      </c>
      <c r="H5913">
        <v>2705</v>
      </c>
      <c r="I5913" t="s">
        <v>9</v>
      </c>
      <c r="J5913">
        <v>3030</v>
      </c>
      <c r="K5913" t="s">
        <v>2152</v>
      </c>
      <c r="L5913">
        <v>4086</v>
      </c>
      <c r="M5913" t="s">
        <v>2153</v>
      </c>
      <c r="N5913" t="s">
        <v>397</v>
      </c>
      <c r="O5913">
        <v>3</v>
      </c>
      <c r="P5913">
        <v>8621</v>
      </c>
      <c r="Q5913" t="s">
        <v>2154</v>
      </c>
      <c r="R5913" t="s">
        <v>201</v>
      </c>
      <c r="S5913">
        <v>1</v>
      </c>
      <c r="T5913">
        <v>1</v>
      </c>
      <c r="U5913">
        <v>112536</v>
      </c>
      <c r="V5913">
        <v>112536</v>
      </c>
    </row>
    <row r="5914" spans="1:22">
      <c r="A5914" t="s">
        <v>196</v>
      </c>
      <c r="B5914">
        <v>58</v>
      </c>
      <c r="C5914" t="s">
        <v>9</v>
      </c>
      <c r="D5914">
        <v>353</v>
      </c>
      <c r="E5914" t="s">
        <v>2126</v>
      </c>
      <c r="F5914">
        <v>1010</v>
      </c>
      <c r="G5914" t="s">
        <v>9</v>
      </c>
      <c r="H5914">
        <v>2705</v>
      </c>
      <c r="I5914" t="s">
        <v>9</v>
      </c>
      <c r="J5914">
        <v>3030</v>
      </c>
      <c r="K5914" t="s">
        <v>2152</v>
      </c>
      <c r="L5914">
        <v>4086</v>
      </c>
      <c r="M5914" t="s">
        <v>2153</v>
      </c>
      <c r="N5914" t="s">
        <v>397</v>
      </c>
      <c r="O5914">
        <v>3</v>
      </c>
      <c r="P5914">
        <v>8621</v>
      </c>
      <c r="Q5914" t="s">
        <v>2154</v>
      </c>
      <c r="R5914" t="s">
        <v>201</v>
      </c>
      <c r="S5914">
        <v>1</v>
      </c>
      <c r="T5914">
        <v>1</v>
      </c>
      <c r="U5914">
        <v>99480</v>
      </c>
      <c r="V5914">
        <v>99480</v>
      </c>
    </row>
    <row r="5915" spans="1:22">
      <c r="A5915" t="s">
        <v>196</v>
      </c>
      <c r="B5915">
        <v>58</v>
      </c>
      <c r="C5915" t="s">
        <v>9</v>
      </c>
      <c r="D5915">
        <v>353</v>
      </c>
      <c r="E5915" t="s">
        <v>2126</v>
      </c>
      <c r="F5915">
        <v>1010</v>
      </c>
      <c r="G5915" t="s">
        <v>9</v>
      </c>
      <c r="H5915">
        <v>2705</v>
      </c>
      <c r="I5915" t="s">
        <v>9</v>
      </c>
      <c r="J5915">
        <v>3030</v>
      </c>
      <c r="K5915" t="s">
        <v>2152</v>
      </c>
      <c r="L5915">
        <v>4086</v>
      </c>
      <c r="M5915" t="s">
        <v>2153</v>
      </c>
      <c r="N5915" t="s">
        <v>392</v>
      </c>
      <c r="O5915">
        <v>4</v>
      </c>
      <c r="P5915">
        <v>8620</v>
      </c>
      <c r="Q5915" t="s">
        <v>1132</v>
      </c>
      <c r="R5915" t="s">
        <v>201</v>
      </c>
      <c r="S5915">
        <v>1</v>
      </c>
      <c r="T5915">
        <v>1</v>
      </c>
      <c r="U5915">
        <v>157332</v>
      </c>
      <c r="V5915">
        <v>157332</v>
      </c>
    </row>
    <row r="5916" spans="1:22">
      <c r="A5916" t="s">
        <v>196</v>
      </c>
      <c r="B5916">
        <v>58</v>
      </c>
      <c r="C5916" t="s">
        <v>9</v>
      </c>
      <c r="D5916">
        <v>353</v>
      </c>
      <c r="E5916" t="s">
        <v>2126</v>
      </c>
      <c r="F5916">
        <v>1010</v>
      </c>
      <c r="G5916" t="s">
        <v>9</v>
      </c>
      <c r="H5916">
        <v>2705</v>
      </c>
      <c r="I5916" t="s">
        <v>9</v>
      </c>
      <c r="J5916">
        <v>3030</v>
      </c>
      <c r="K5916" t="s">
        <v>2152</v>
      </c>
      <c r="L5916">
        <v>4086</v>
      </c>
      <c r="M5916" t="s">
        <v>2153</v>
      </c>
      <c r="N5916" t="s">
        <v>392</v>
      </c>
      <c r="O5916">
        <v>4</v>
      </c>
      <c r="P5916">
        <v>8620</v>
      </c>
      <c r="Q5916" t="s">
        <v>1132</v>
      </c>
      <c r="R5916" t="s">
        <v>201</v>
      </c>
      <c r="S5916">
        <v>1</v>
      </c>
      <c r="T5916">
        <v>1</v>
      </c>
      <c r="U5916">
        <v>150240</v>
      </c>
      <c r="V5916">
        <v>150240</v>
      </c>
    </row>
    <row r="5917" spans="1:22">
      <c r="A5917" t="s">
        <v>196</v>
      </c>
      <c r="B5917">
        <v>58</v>
      </c>
      <c r="C5917" t="s">
        <v>9</v>
      </c>
      <c r="D5917">
        <v>353</v>
      </c>
      <c r="E5917" t="s">
        <v>2126</v>
      </c>
      <c r="F5917">
        <v>1010</v>
      </c>
      <c r="G5917" t="s">
        <v>9</v>
      </c>
      <c r="H5917">
        <v>2705</v>
      </c>
      <c r="I5917" t="s">
        <v>9</v>
      </c>
      <c r="J5917">
        <v>3030</v>
      </c>
      <c r="K5917" t="s">
        <v>2152</v>
      </c>
      <c r="L5917">
        <v>4086</v>
      </c>
      <c r="M5917" t="s">
        <v>2153</v>
      </c>
      <c r="N5917" t="s">
        <v>392</v>
      </c>
      <c r="O5917">
        <v>4</v>
      </c>
      <c r="P5917">
        <v>8620</v>
      </c>
      <c r="Q5917" t="s">
        <v>1132</v>
      </c>
      <c r="R5917" t="s">
        <v>201</v>
      </c>
      <c r="S5917">
        <v>2</v>
      </c>
      <c r="T5917">
        <v>1</v>
      </c>
      <c r="U5917">
        <v>143400</v>
      </c>
      <c r="V5917">
        <v>286800</v>
      </c>
    </row>
    <row r="5918" spans="1:22">
      <c r="A5918" t="s">
        <v>196</v>
      </c>
      <c r="B5918">
        <v>58</v>
      </c>
      <c r="C5918" t="s">
        <v>9</v>
      </c>
      <c r="D5918">
        <v>353</v>
      </c>
      <c r="E5918" t="s">
        <v>2126</v>
      </c>
      <c r="F5918">
        <v>1010</v>
      </c>
      <c r="G5918" t="s">
        <v>9</v>
      </c>
      <c r="H5918">
        <v>2705</v>
      </c>
      <c r="I5918" t="s">
        <v>9</v>
      </c>
      <c r="J5918">
        <v>3030</v>
      </c>
      <c r="K5918" t="s">
        <v>2152</v>
      </c>
      <c r="L5918">
        <v>4086</v>
      </c>
      <c r="M5918" t="s">
        <v>2153</v>
      </c>
      <c r="N5918" t="s">
        <v>392</v>
      </c>
      <c r="O5918">
        <v>4</v>
      </c>
      <c r="P5918">
        <v>8620</v>
      </c>
      <c r="Q5918" t="s">
        <v>1132</v>
      </c>
      <c r="R5918" t="s">
        <v>201</v>
      </c>
      <c r="S5918">
        <v>1</v>
      </c>
      <c r="T5918">
        <v>1</v>
      </c>
      <c r="U5918">
        <v>136908</v>
      </c>
      <c r="V5918">
        <v>136908</v>
      </c>
    </row>
    <row r="5919" spans="1:22">
      <c r="A5919" t="s">
        <v>196</v>
      </c>
      <c r="B5919">
        <v>58</v>
      </c>
      <c r="C5919" t="s">
        <v>9</v>
      </c>
      <c r="D5919">
        <v>353</v>
      </c>
      <c r="E5919" t="s">
        <v>2126</v>
      </c>
      <c r="F5919">
        <v>1010</v>
      </c>
      <c r="G5919" t="s">
        <v>9</v>
      </c>
      <c r="H5919">
        <v>2705</v>
      </c>
      <c r="I5919" t="s">
        <v>9</v>
      </c>
      <c r="J5919">
        <v>3030</v>
      </c>
      <c r="K5919" t="s">
        <v>2152</v>
      </c>
      <c r="L5919">
        <v>4086</v>
      </c>
      <c r="M5919" t="s">
        <v>2153</v>
      </c>
      <c r="N5919" t="s">
        <v>392</v>
      </c>
      <c r="O5919">
        <v>4</v>
      </c>
      <c r="P5919">
        <v>8620</v>
      </c>
      <c r="Q5919" t="s">
        <v>1132</v>
      </c>
      <c r="R5919" t="s">
        <v>201</v>
      </c>
      <c r="S5919">
        <v>2</v>
      </c>
      <c r="T5919">
        <v>1</v>
      </c>
      <c r="U5919">
        <v>130668</v>
      </c>
      <c r="V5919">
        <v>261336</v>
      </c>
    </row>
    <row r="5920" spans="1:22">
      <c r="A5920" t="s">
        <v>196</v>
      </c>
      <c r="B5920">
        <v>58</v>
      </c>
      <c r="C5920" t="s">
        <v>9</v>
      </c>
      <c r="D5920">
        <v>353</v>
      </c>
      <c r="E5920" t="s">
        <v>2126</v>
      </c>
      <c r="F5920">
        <v>1010</v>
      </c>
      <c r="G5920" t="s">
        <v>9</v>
      </c>
      <c r="H5920">
        <v>2705</v>
      </c>
      <c r="I5920" t="s">
        <v>9</v>
      </c>
      <c r="J5920">
        <v>3030</v>
      </c>
      <c r="K5920" t="s">
        <v>2152</v>
      </c>
      <c r="L5920">
        <v>4086</v>
      </c>
      <c r="M5920" t="s">
        <v>2153</v>
      </c>
      <c r="N5920" t="s">
        <v>392</v>
      </c>
      <c r="O5920">
        <v>4</v>
      </c>
      <c r="P5920">
        <v>8620</v>
      </c>
      <c r="Q5920" t="s">
        <v>1132</v>
      </c>
      <c r="R5920" t="s">
        <v>201</v>
      </c>
      <c r="S5920">
        <v>1</v>
      </c>
      <c r="T5920">
        <v>1</v>
      </c>
      <c r="U5920">
        <v>119100</v>
      </c>
      <c r="V5920">
        <v>119100</v>
      </c>
    </row>
    <row r="5921" spans="1:22">
      <c r="A5921" t="s">
        <v>196</v>
      </c>
      <c r="B5921">
        <v>58</v>
      </c>
      <c r="C5921" t="s">
        <v>9</v>
      </c>
      <c r="D5921">
        <v>353</v>
      </c>
      <c r="E5921" t="s">
        <v>2126</v>
      </c>
      <c r="F5921">
        <v>1010</v>
      </c>
      <c r="G5921" t="s">
        <v>9</v>
      </c>
      <c r="H5921">
        <v>2705</v>
      </c>
      <c r="I5921" t="s">
        <v>9</v>
      </c>
      <c r="J5921">
        <v>3030</v>
      </c>
      <c r="K5921" t="s">
        <v>2152</v>
      </c>
      <c r="L5921">
        <v>4086</v>
      </c>
      <c r="M5921" t="s">
        <v>2153</v>
      </c>
      <c r="N5921" t="s">
        <v>392</v>
      </c>
      <c r="O5921">
        <v>4</v>
      </c>
      <c r="P5921">
        <v>8620</v>
      </c>
      <c r="Q5921" t="s">
        <v>1132</v>
      </c>
      <c r="R5921" t="s">
        <v>201</v>
      </c>
      <c r="S5921">
        <v>1</v>
      </c>
      <c r="T5921">
        <v>1</v>
      </c>
      <c r="U5921">
        <v>107508</v>
      </c>
      <c r="V5921">
        <v>107508</v>
      </c>
    </row>
    <row r="5922" spans="1:22">
      <c r="A5922" t="s">
        <v>196</v>
      </c>
      <c r="B5922">
        <v>58</v>
      </c>
      <c r="C5922" t="s">
        <v>9</v>
      </c>
      <c r="D5922">
        <v>353</v>
      </c>
      <c r="E5922" t="s">
        <v>2126</v>
      </c>
      <c r="F5922">
        <v>1010</v>
      </c>
      <c r="G5922" t="s">
        <v>9</v>
      </c>
      <c r="H5922">
        <v>2705</v>
      </c>
      <c r="I5922" t="s">
        <v>9</v>
      </c>
      <c r="J5922">
        <v>3030</v>
      </c>
      <c r="K5922" t="s">
        <v>2152</v>
      </c>
      <c r="L5922">
        <v>4086</v>
      </c>
      <c r="M5922" t="s">
        <v>2153</v>
      </c>
      <c r="N5922" t="s">
        <v>392</v>
      </c>
      <c r="O5922">
        <v>4</v>
      </c>
      <c r="P5922">
        <v>8620</v>
      </c>
      <c r="Q5922" t="s">
        <v>1132</v>
      </c>
      <c r="R5922" t="s">
        <v>201</v>
      </c>
      <c r="S5922">
        <v>5</v>
      </c>
      <c r="T5922">
        <v>1</v>
      </c>
      <c r="U5922">
        <v>102588</v>
      </c>
      <c r="V5922">
        <v>512940</v>
      </c>
    </row>
    <row r="5923" spans="1:22">
      <c r="A5923" t="s">
        <v>196</v>
      </c>
      <c r="B5923">
        <v>58</v>
      </c>
      <c r="C5923" t="s">
        <v>9</v>
      </c>
      <c r="D5923">
        <v>353</v>
      </c>
      <c r="E5923" t="s">
        <v>2126</v>
      </c>
      <c r="F5923">
        <v>1010</v>
      </c>
      <c r="G5923" t="s">
        <v>9</v>
      </c>
      <c r="H5923">
        <v>2705</v>
      </c>
      <c r="I5923" t="s">
        <v>9</v>
      </c>
      <c r="J5923">
        <v>3030</v>
      </c>
      <c r="K5923" t="s">
        <v>2152</v>
      </c>
      <c r="L5923">
        <v>4086</v>
      </c>
      <c r="M5923" t="s">
        <v>2153</v>
      </c>
      <c r="N5923" t="s">
        <v>392</v>
      </c>
      <c r="O5923">
        <v>4</v>
      </c>
      <c r="P5923">
        <v>8620</v>
      </c>
      <c r="Q5923" t="s">
        <v>1132</v>
      </c>
      <c r="R5923" t="s">
        <v>201</v>
      </c>
      <c r="S5923">
        <v>3</v>
      </c>
      <c r="T5923">
        <v>1</v>
      </c>
      <c r="U5923">
        <v>97956</v>
      </c>
      <c r="V5923">
        <v>293868</v>
      </c>
    </row>
    <row r="5924" spans="1:22">
      <c r="A5924" t="s">
        <v>196</v>
      </c>
      <c r="B5924">
        <v>58</v>
      </c>
      <c r="C5924" t="s">
        <v>9</v>
      </c>
      <c r="D5924">
        <v>353</v>
      </c>
      <c r="E5924" t="s">
        <v>2126</v>
      </c>
      <c r="F5924">
        <v>1010</v>
      </c>
      <c r="G5924" t="s">
        <v>9</v>
      </c>
      <c r="H5924">
        <v>2705</v>
      </c>
      <c r="I5924" t="s">
        <v>9</v>
      </c>
      <c r="J5924">
        <v>3030</v>
      </c>
      <c r="K5924" t="s">
        <v>2152</v>
      </c>
      <c r="L5924">
        <v>4086</v>
      </c>
      <c r="M5924" t="s">
        <v>2153</v>
      </c>
      <c r="N5924" t="s">
        <v>392</v>
      </c>
      <c r="O5924">
        <v>4</v>
      </c>
      <c r="P5924">
        <v>8620</v>
      </c>
      <c r="Q5924" t="s">
        <v>1132</v>
      </c>
      <c r="R5924" t="s">
        <v>201</v>
      </c>
      <c r="S5924">
        <v>4</v>
      </c>
      <c r="T5924">
        <v>1</v>
      </c>
      <c r="U5924">
        <v>90732</v>
      </c>
      <c r="V5924">
        <v>362928</v>
      </c>
    </row>
    <row r="5925" spans="1:22">
      <c r="A5925" t="s">
        <v>196</v>
      </c>
      <c r="B5925">
        <v>58</v>
      </c>
      <c r="C5925" t="s">
        <v>9</v>
      </c>
      <c r="D5925">
        <v>353</v>
      </c>
      <c r="E5925" t="s">
        <v>2126</v>
      </c>
      <c r="F5925">
        <v>1010</v>
      </c>
      <c r="G5925" t="s">
        <v>9</v>
      </c>
      <c r="H5925">
        <v>2705</v>
      </c>
      <c r="I5925" t="s">
        <v>9</v>
      </c>
      <c r="J5925">
        <v>3030</v>
      </c>
      <c r="K5925" t="s">
        <v>2152</v>
      </c>
      <c r="L5925">
        <v>4086</v>
      </c>
      <c r="M5925" t="s">
        <v>2153</v>
      </c>
      <c r="N5925" t="s">
        <v>372</v>
      </c>
      <c r="O5925">
        <v>4</v>
      </c>
      <c r="P5925">
        <v>1912</v>
      </c>
      <c r="Q5925" t="s">
        <v>608</v>
      </c>
      <c r="R5925" t="s">
        <v>201</v>
      </c>
      <c r="S5925">
        <v>1</v>
      </c>
      <c r="T5925">
        <v>1</v>
      </c>
      <c r="U5925">
        <v>75336</v>
      </c>
      <c r="V5925">
        <v>75336</v>
      </c>
    </row>
    <row r="5926" spans="1:22">
      <c r="A5926" t="s">
        <v>196</v>
      </c>
      <c r="B5926">
        <v>58</v>
      </c>
      <c r="C5926" t="s">
        <v>9</v>
      </c>
      <c r="D5926">
        <v>353</v>
      </c>
      <c r="E5926" t="s">
        <v>2126</v>
      </c>
      <c r="F5926">
        <v>1010</v>
      </c>
      <c r="G5926" t="s">
        <v>9</v>
      </c>
      <c r="H5926">
        <v>2705</v>
      </c>
      <c r="I5926" t="s">
        <v>9</v>
      </c>
      <c r="J5926">
        <v>3030</v>
      </c>
      <c r="K5926" t="s">
        <v>2152</v>
      </c>
      <c r="L5926">
        <v>4086</v>
      </c>
      <c r="M5926" t="s">
        <v>2153</v>
      </c>
      <c r="N5926" t="s">
        <v>249</v>
      </c>
      <c r="O5926">
        <v>10</v>
      </c>
      <c r="P5926">
        <v>310</v>
      </c>
      <c r="Q5926" t="s">
        <v>447</v>
      </c>
      <c r="R5926" t="s">
        <v>201</v>
      </c>
      <c r="S5926">
        <v>1</v>
      </c>
      <c r="T5926">
        <v>1</v>
      </c>
      <c r="U5926">
        <v>124584</v>
      </c>
      <c r="V5926">
        <v>124584</v>
      </c>
    </row>
    <row r="5927" spans="1:22">
      <c r="A5927" t="s">
        <v>196</v>
      </c>
      <c r="B5927">
        <v>58</v>
      </c>
      <c r="C5927" t="s">
        <v>9</v>
      </c>
      <c r="D5927">
        <v>353</v>
      </c>
      <c r="E5927" t="s">
        <v>2126</v>
      </c>
      <c r="F5927">
        <v>1010</v>
      </c>
      <c r="G5927" t="s">
        <v>9</v>
      </c>
      <c r="H5927">
        <v>2705</v>
      </c>
      <c r="I5927" t="s">
        <v>9</v>
      </c>
      <c r="J5927">
        <v>3030</v>
      </c>
      <c r="K5927" t="s">
        <v>2152</v>
      </c>
      <c r="L5927">
        <v>4086</v>
      </c>
      <c r="M5927" t="s">
        <v>2153</v>
      </c>
      <c r="N5927" t="s">
        <v>199</v>
      </c>
      <c r="O5927">
        <v>0</v>
      </c>
      <c r="P5927">
        <v>15</v>
      </c>
      <c r="Q5927" t="s">
        <v>264</v>
      </c>
      <c r="R5927" t="s">
        <v>201</v>
      </c>
      <c r="S5927">
        <v>0</v>
      </c>
      <c r="T5927">
        <v>0</v>
      </c>
      <c r="U5927">
        <v>34429</v>
      </c>
      <c r="V5927">
        <v>34429</v>
      </c>
    </row>
    <row r="5928" spans="1:22">
      <c r="A5928" t="s">
        <v>196</v>
      </c>
      <c r="B5928">
        <v>58</v>
      </c>
      <c r="C5928" t="s">
        <v>9</v>
      </c>
      <c r="D5928">
        <v>353</v>
      </c>
      <c r="E5928" t="s">
        <v>2126</v>
      </c>
      <c r="F5928">
        <v>1010</v>
      </c>
      <c r="G5928" t="s">
        <v>9</v>
      </c>
      <c r="H5928">
        <v>2705</v>
      </c>
      <c r="I5928" t="s">
        <v>9</v>
      </c>
      <c r="J5928">
        <v>3050</v>
      </c>
      <c r="K5928" t="s">
        <v>1460</v>
      </c>
      <c r="L5928">
        <v>4145</v>
      </c>
      <c r="M5928" t="s">
        <v>1461</v>
      </c>
      <c r="N5928" t="s">
        <v>251</v>
      </c>
      <c r="O5928">
        <v>10</v>
      </c>
      <c r="P5928">
        <v>802</v>
      </c>
      <c r="Q5928" t="s">
        <v>252</v>
      </c>
      <c r="R5928" t="s">
        <v>201</v>
      </c>
      <c r="S5928">
        <v>1</v>
      </c>
      <c r="T5928">
        <v>1</v>
      </c>
      <c r="U5928">
        <v>76476</v>
      </c>
      <c r="V5928">
        <v>76476</v>
      </c>
    </row>
    <row r="5929" spans="1:22">
      <c r="A5929" t="s">
        <v>196</v>
      </c>
      <c r="B5929">
        <v>58</v>
      </c>
      <c r="C5929" t="s">
        <v>9</v>
      </c>
      <c r="D5929">
        <v>353</v>
      </c>
      <c r="E5929" t="s">
        <v>2126</v>
      </c>
      <c r="F5929">
        <v>1010</v>
      </c>
      <c r="G5929" t="s">
        <v>9</v>
      </c>
      <c r="H5929">
        <v>2705</v>
      </c>
      <c r="I5929" t="s">
        <v>9</v>
      </c>
      <c r="J5929">
        <v>3050</v>
      </c>
      <c r="K5929" t="s">
        <v>1460</v>
      </c>
      <c r="L5929">
        <v>4145</v>
      </c>
      <c r="M5929" t="s">
        <v>1461</v>
      </c>
      <c r="N5929" t="s">
        <v>341</v>
      </c>
      <c r="O5929">
        <v>1</v>
      </c>
      <c r="P5929">
        <v>308</v>
      </c>
      <c r="Q5929" t="s">
        <v>355</v>
      </c>
      <c r="R5929" t="s">
        <v>201</v>
      </c>
      <c r="S5929">
        <v>1</v>
      </c>
      <c r="T5929">
        <v>1</v>
      </c>
      <c r="U5929">
        <v>108576</v>
      </c>
      <c r="V5929">
        <v>108576</v>
      </c>
    </row>
    <row r="5930" spans="1:22">
      <c r="A5930" t="s">
        <v>196</v>
      </c>
      <c r="B5930">
        <v>58</v>
      </c>
      <c r="C5930" t="s">
        <v>9</v>
      </c>
      <c r="D5930">
        <v>353</v>
      </c>
      <c r="E5930" t="s">
        <v>2126</v>
      </c>
      <c r="F5930">
        <v>1010</v>
      </c>
      <c r="G5930" t="s">
        <v>9</v>
      </c>
      <c r="H5930">
        <v>2705</v>
      </c>
      <c r="I5930" t="s">
        <v>9</v>
      </c>
      <c r="J5930">
        <v>3050</v>
      </c>
      <c r="K5930" t="s">
        <v>1460</v>
      </c>
      <c r="L5930">
        <v>4145</v>
      </c>
      <c r="M5930" t="s">
        <v>1461</v>
      </c>
      <c r="N5930" t="s">
        <v>199</v>
      </c>
      <c r="O5930">
        <v>0</v>
      </c>
      <c r="P5930">
        <v>15</v>
      </c>
      <c r="Q5930" t="s">
        <v>264</v>
      </c>
      <c r="R5930" t="s">
        <v>201</v>
      </c>
      <c r="S5930">
        <v>0</v>
      </c>
      <c r="T5930">
        <v>0</v>
      </c>
      <c r="U5930">
        <v>2265</v>
      </c>
      <c r="V5930">
        <v>2265</v>
      </c>
    </row>
    <row r="5931" spans="1:22">
      <c r="A5931" t="s">
        <v>196</v>
      </c>
      <c r="B5931">
        <v>58</v>
      </c>
      <c r="C5931" t="s">
        <v>9</v>
      </c>
      <c r="D5931">
        <v>353</v>
      </c>
      <c r="E5931" t="s">
        <v>2126</v>
      </c>
      <c r="F5931">
        <v>1010</v>
      </c>
      <c r="G5931" t="s">
        <v>9</v>
      </c>
      <c r="H5931">
        <v>2705</v>
      </c>
      <c r="I5931" t="s">
        <v>9</v>
      </c>
      <c r="J5931">
        <v>3050</v>
      </c>
      <c r="K5931" t="s">
        <v>1460</v>
      </c>
      <c r="L5931">
        <v>4165</v>
      </c>
      <c r="M5931" t="s">
        <v>2155</v>
      </c>
      <c r="N5931" t="s">
        <v>266</v>
      </c>
      <c r="O5931">
        <v>9</v>
      </c>
      <c r="P5931">
        <v>9684</v>
      </c>
      <c r="Q5931" t="s">
        <v>327</v>
      </c>
      <c r="R5931" t="s">
        <v>201</v>
      </c>
      <c r="S5931">
        <v>1</v>
      </c>
      <c r="T5931">
        <v>1</v>
      </c>
      <c r="U5931">
        <v>167964</v>
      </c>
      <c r="V5931">
        <v>167964</v>
      </c>
    </row>
    <row r="5932" spans="1:22">
      <c r="A5932" t="s">
        <v>196</v>
      </c>
      <c r="B5932">
        <v>58</v>
      </c>
      <c r="C5932" t="s">
        <v>9</v>
      </c>
      <c r="D5932">
        <v>353</v>
      </c>
      <c r="E5932" t="s">
        <v>2126</v>
      </c>
      <c r="F5932">
        <v>1010</v>
      </c>
      <c r="G5932" t="s">
        <v>9</v>
      </c>
      <c r="H5932">
        <v>2705</v>
      </c>
      <c r="I5932" t="s">
        <v>9</v>
      </c>
      <c r="J5932">
        <v>3050</v>
      </c>
      <c r="K5932" t="s">
        <v>1460</v>
      </c>
      <c r="L5932">
        <v>4165</v>
      </c>
      <c r="M5932" t="s">
        <v>2155</v>
      </c>
      <c r="N5932" t="s">
        <v>839</v>
      </c>
      <c r="O5932">
        <v>0</v>
      </c>
      <c r="P5932">
        <v>9108</v>
      </c>
      <c r="Q5932" t="s">
        <v>1377</v>
      </c>
      <c r="R5932" t="s">
        <v>713</v>
      </c>
      <c r="S5932">
        <v>2080</v>
      </c>
      <c r="T5932">
        <v>0</v>
      </c>
      <c r="U5932">
        <v>18.920000000000002</v>
      </c>
      <c r="V5932">
        <v>39354</v>
      </c>
    </row>
    <row r="5933" spans="1:22">
      <c r="A5933" t="s">
        <v>196</v>
      </c>
      <c r="B5933">
        <v>58</v>
      </c>
      <c r="C5933" t="s">
        <v>9</v>
      </c>
      <c r="D5933">
        <v>353</v>
      </c>
      <c r="E5933" t="s">
        <v>2126</v>
      </c>
      <c r="F5933">
        <v>1010</v>
      </c>
      <c r="G5933" t="s">
        <v>9</v>
      </c>
      <c r="H5933">
        <v>2705</v>
      </c>
      <c r="I5933" t="s">
        <v>9</v>
      </c>
      <c r="J5933">
        <v>3050</v>
      </c>
      <c r="K5933" t="s">
        <v>1460</v>
      </c>
      <c r="L5933">
        <v>4165</v>
      </c>
      <c r="M5933" t="s">
        <v>2155</v>
      </c>
      <c r="N5933" t="s">
        <v>351</v>
      </c>
      <c r="O5933">
        <v>1</v>
      </c>
      <c r="P5933">
        <v>8625</v>
      </c>
      <c r="Q5933" t="s">
        <v>2156</v>
      </c>
      <c r="R5933" t="s">
        <v>201</v>
      </c>
      <c r="S5933">
        <v>2</v>
      </c>
      <c r="T5933">
        <v>1</v>
      </c>
      <c r="U5933">
        <v>94452</v>
      </c>
      <c r="V5933">
        <v>188904</v>
      </c>
    </row>
    <row r="5934" spans="1:22">
      <c r="A5934" t="s">
        <v>196</v>
      </c>
      <c r="B5934">
        <v>58</v>
      </c>
      <c r="C5934" t="s">
        <v>9</v>
      </c>
      <c r="D5934">
        <v>353</v>
      </c>
      <c r="E5934" t="s">
        <v>2126</v>
      </c>
      <c r="F5934">
        <v>1010</v>
      </c>
      <c r="G5934" t="s">
        <v>9</v>
      </c>
      <c r="H5934">
        <v>2705</v>
      </c>
      <c r="I5934" t="s">
        <v>9</v>
      </c>
      <c r="J5934">
        <v>3050</v>
      </c>
      <c r="K5934" t="s">
        <v>1460</v>
      </c>
      <c r="L5934">
        <v>4165</v>
      </c>
      <c r="M5934" t="s">
        <v>2155</v>
      </c>
      <c r="N5934" t="s">
        <v>351</v>
      </c>
      <c r="O5934">
        <v>1</v>
      </c>
      <c r="P5934">
        <v>8625</v>
      </c>
      <c r="Q5934" t="s">
        <v>2156</v>
      </c>
      <c r="R5934" t="s">
        <v>201</v>
      </c>
      <c r="S5934">
        <v>1</v>
      </c>
      <c r="T5934">
        <v>1</v>
      </c>
      <c r="U5934">
        <v>82140</v>
      </c>
      <c r="V5934">
        <v>82140</v>
      </c>
    </row>
    <row r="5935" spans="1:22">
      <c r="A5935" t="s">
        <v>196</v>
      </c>
      <c r="B5935">
        <v>58</v>
      </c>
      <c r="C5935" t="s">
        <v>9</v>
      </c>
      <c r="D5935">
        <v>353</v>
      </c>
      <c r="E5935" t="s">
        <v>2126</v>
      </c>
      <c r="F5935">
        <v>1010</v>
      </c>
      <c r="G5935" t="s">
        <v>9</v>
      </c>
      <c r="H5935">
        <v>2705</v>
      </c>
      <c r="I5935" t="s">
        <v>9</v>
      </c>
      <c r="J5935">
        <v>3050</v>
      </c>
      <c r="K5935" t="s">
        <v>1460</v>
      </c>
      <c r="L5935">
        <v>4165</v>
      </c>
      <c r="M5935" t="s">
        <v>2155</v>
      </c>
      <c r="N5935" t="s">
        <v>351</v>
      </c>
      <c r="O5935">
        <v>1</v>
      </c>
      <c r="P5935">
        <v>8625</v>
      </c>
      <c r="Q5935" t="s">
        <v>2156</v>
      </c>
      <c r="R5935" t="s">
        <v>201</v>
      </c>
      <c r="S5935">
        <v>2</v>
      </c>
      <c r="T5935">
        <v>1</v>
      </c>
      <c r="U5935">
        <v>77640</v>
      </c>
      <c r="V5935">
        <v>155280</v>
      </c>
    </row>
    <row r="5936" spans="1:22">
      <c r="A5936" t="s">
        <v>196</v>
      </c>
      <c r="B5936">
        <v>58</v>
      </c>
      <c r="C5936" t="s">
        <v>9</v>
      </c>
      <c r="D5936">
        <v>353</v>
      </c>
      <c r="E5936" t="s">
        <v>2126</v>
      </c>
      <c r="F5936">
        <v>1010</v>
      </c>
      <c r="G5936" t="s">
        <v>9</v>
      </c>
      <c r="H5936">
        <v>2705</v>
      </c>
      <c r="I5936" t="s">
        <v>9</v>
      </c>
      <c r="J5936">
        <v>3050</v>
      </c>
      <c r="K5936" t="s">
        <v>1460</v>
      </c>
      <c r="L5936">
        <v>4165</v>
      </c>
      <c r="M5936" t="s">
        <v>2155</v>
      </c>
      <c r="N5936" t="s">
        <v>351</v>
      </c>
      <c r="O5936">
        <v>1</v>
      </c>
      <c r="P5936">
        <v>8625</v>
      </c>
      <c r="Q5936" t="s">
        <v>2156</v>
      </c>
      <c r="R5936" t="s">
        <v>201</v>
      </c>
      <c r="S5936">
        <v>1</v>
      </c>
      <c r="T5936">
        <v>1</v>
      </c>
      <c r="U5936">
        <v>67608</v>
      </c>
      <c r="V5936">
        <v>67608</v>
      </c>
    </row>
    <row r="5937" spans="1:22">
      <c r="A5937" t="s">
        <v>196</v>
      </c>
      <c r="B5937">
        <v>58</v>
      </c>
      <c r="C5937" t="s">
        <v>9</v>
      </c>
      <c r="D5937">
        <v>353</v>
      </c>
      <c r="E5937" t="s">
        <v>2126</v>
      </c>
      <c r="F5937">
        <v>1010</v>
      </c>
      <c r="G5937" t="s">
        <v>9</v>
      </c>
      <c r="H5937">
        <v>2705</v>
      </c>
      <c r="I5937" t="s">
        <v>9</v>
      </c>
      <c r="J5937">
        <v>3050</v>
      </c>
      <c r="K5937" t="s">
        <v>1460</v>
      </c>
      <c r="L5937">
        <v>4165</v>
      </c>
      <c r="M5937" t="s">
        <v>2155</v>
      </c>
      <c r="N5937" t="s">
        <v>351</v>
      </c>
      <c r="O5937">
        <v>1</v>
      </c>
      <c r="P5937">
        <v>8625</v>
      </c>
      <c r="Q5937" t="s">
        <v>2156</v>
      </c>
      <c r="R5937" t="s">
        <v>201</v>
      </c>
      <c r="S5937">
        <v>1</v>
      </c>
      <c r="T5937">
        <v>1</v>
      </c>
      <c r="U5937">
        <v>64488</v>
      </c>
      <c r="V5937">
        <v>64488</v>
      </c>
    </row>
    <row r="5938" spans="1:22">
      <c r="A5938" t="s">
        <v>196</v>
      </c>
      <c r="B5938">
        <v>58</v>
      </c>
      <c r="C5938" t="s">
        <v>9</v>
      </c>
      <c r="D5938">
        <v>353</v>
      </c>
      <c r="E5938" t="s">
        <v>2126</v>
      </c>
      <c r="F5938">
        <v>1010</v>
      </c>
      <c r="G5938" t="s">
        <v>9</v>
      </c>
      <c r="H5938">
        <v>2705</v>
      </c>
      <c r="I5938" t="s">
        <v>9</v>
      </c>
      <c r="J5938">
        <v>3050</v>
      </c>
      <c r="K5938" t="s">
        <v>1460</v>
      </c>
      <c r="L5938">
        <v>4165</v>
      </c>
      <c r="M5938" t="s">
        <v>2155</v>
      </c>
      <c r="N5938" t="s">
        <v>351</v>
      </c>
      <c r="O5938">
        <v>1</v>
      </c>
      <c r="P5938">
        <v>8625</v>
      </c>
      <c r="Q5938" t="s">
        <v>2156</v>
      </c>
      <c r="R5938" t="s">
        <v>201</v>
      </c>
      <c r="S5938">
        <v>1</v>
      </c>
      <c r="T5938">
        <v>1</v>
      </c>
      <c r="U5938">
        <v>62544</v>
      </c>
      <c r="V5938">
        <v>62544</v>
      </c>
    </row>
    <row r="5939" spans="1:22">
      <c r="A5939" t="s">
        <v>196</v>
      </c>
      <c r="B5939">
        <v>58</v>
      </c>
      <c r="C5939" t="s">
        <v>9</v>
      </c>
      <c r="D5939">
        <v>353</v>
      </c>
      <c r="E5939" t="s">
        <v>2126</v>
      </c>
      <c r="F5939">
        <v>1010</v>
      </c>
      <c r="G5939" t="s">
        <v>9</v>
      </c>
      <c r="H5939">
        <v>2705</v>
      </c>
      <c r="I5939" t="s">
        <v>9</v>
      </c>
      <c r="J5939">
        <v>3050</v>
      </c>
      <c r="K5939" t="s">
        <v>1460</v>
      </c>
      <c r="L5939">
        <v>4165</v>
      </c>
      <c r="M5939" t="s">
        <v>2155</v>
      </c>
      <c r="N5939" t="s">
        <v>199</v>
      </c>
      <c r="O5939">
        <v>0</v>
      </c>
      <c r="P5939">
        <v>15</v>
      </c>
      <c r="Q5939" t="s">
        <v>264</v>
      </c>
      <c r="R5939" t="s">
        <v>201</v>
      </c>
      <c r="S5939">
        <v>0</v>
      </c>
      <c r="T5939">
        <v>0</v>
      </c>
      <c r="U5939">
        <v>14731</v>
      </c>
      <c r="V5939">
        <v>14731</v>
      </c>
    </row>
    <row r="5940" spans="1:22">
      <c r="A5940" t="s">
        <v>196</v>
      </c>
      <c r="B5940">
        <v>1</v>
      </c>
      <c r="C5940" t="s">
        <v>48</v>
      </c>
      <c r="D5940">
        <v>355</v>
      </c>
      <c r="E5940" t="s">
        <v>2157</v>
      </c>
      <c r="F5940">
        <v>1005</v>
      </c>
      <c r="G5940" t="s">
        <v>48</v>
      </c>
      <c r="H5940">
        <v>2005</v>
      </c>
      <c r="I5940" t="s">
        <v>48</v>
      </c>
      <c r="J5940">
        <v>3007</v>
      </c>
      <c r="K5940" t="s">
        <v>208</v>
      </c>
      <c r="L5940">
        <v>0</v>
      </c>
      <c r="N5940" t="s">
        <v>199</v>
      </c>
      <c r="O5940">
        <v>9</v>
      </c>
      <c r="P5940">
        <v>9870</v>
      </c>
      <c r="Q5940" t="s">
        <v>209</v>
      </c>
      <c r="R5940" t="s">
        <v>201</v>
      </c>
      <c r="S5940">
        <v>2</v>
      </c>
      <c r="T5940">
        <v>1</v>
      </c>
      <c r="U5940">
        <v>74592</v>
      </c>
      <c r="V5940">
        <v>149184</v>
      </c>
    </row>
    <row r="5941" spans="1:22">
      <c r="A5941" t="s">
        <v>196</v>
      </c>
      <c r="B5941">
        <v>1</v>
      </c>
      <c r="C5941" t="s">
        <v>48</v>
      </c>
      <c r="D5941">
        <v>355</v>
      </c>
      <c r="E5941" t="s">
        <v>2157</v>
      </c>
      <c r="F5941">
        <v>1005</v>
      </c>
      <c r="G5941" t="s">
        <v>48</v>
      </c>
      <c r="H5941">
        <v>2005</v>
      </c>
      <c r="I5941" t="s">
        <v>48</v>
      </c>
      <c r="J5941">
        <v>3015</v>
      </c>
      <c r="K5941" t="s">
        <v>218</v>
      </c>
      <c r="L5941">
        <v>0</v>
      </c>
      <c r="N5941" t="s">
        <v>199</v>
      </c>
      <c r="O5941">
        <v>9</v>
      </c>
      <c r="P5941">
        <v>9616</v>
      </c>
      <c r="Q5941" t="s">
        <v>220</v>
      </c>
      <c r="R5941" t="s">
        <v>201</v>
      </c>
      <c r="S5941">
        <v>1</v>
      </c>
      <c r="T5941">
        <v>1</v>
      </c>
      <c r="U5941">
        <v>88644</v>
      </c>
      <c r="V5941">
        <v>88644</v>
      </c>
    </row>
    <row r="5942" spans="1:22">
      <c r="A5942" t="s">
        <v>196</v>
      </c>
      <c r="B5942">
        <v>1</v>
      </c>
      <c r="C5942" t="s">
        <v>48</v>
      </c>
      <c r="D5942">
        <v>355</v>
      </c>
      <c r="E5942" t="s">
        <v>2157</v>
      </c>
      <c r="F5942">
        <v>1005</v>
      </c>
      <c r="G5942" t="s">
        <v>48</v>
      </c>
      <c r="H5942">
        <v>2005</v>
      </c>
      <c r="I5942" t="s">
        <v>48</v>
      </c>
      <c r="J5942">
        <v>3135</v>
      </c>
      <c r="K5942" t="s">
        <v>235</v>
      </c>
      <c r="L5942">
        <v>0</v>
      </c>
      <c r="N5942" t="s">
        <v>199</v>
      </c>
      <c r="O5942">
        <v>9</v>
      </c>
      <c r="P5942">
        <v>9877</v>
      </c>
      <c r="Q5942" t="s">
        <v>202</v>
      </c>
      <c r="R5942" t="s">
        <v>201</v>
      </c>
      <c r="S5942">
        <v>1</v>
      </c>
      <c r="T5942">
        <v>1</v>
      </c>
      <c r="U5942">
        <v>129432</v>
      </c>
      <c r="V5942">
        <v>129432</v>
      </c>
    </row>
    <row r="5943" spans="1:22">
      <c r="A5943" t="s">
        <v>196</v>
      </c>
      <c r="B5943">
        <v>1</v>
      </c>
      <c r="C5943" t="s">
        <v>48</v>
      </c>
      <c r="D5943">
        <v>355</v>
      </c>
      <c r="E5943" t="s">
        <v>2157</v>
      </c>
      <c r="F5943">
        <v>1005</v>
      </c>
      <c r="G5943" t="s">
        <v>48</v>
      </c>
      <c r="H5943">
        <v>2005</v>
      </c>
      <c r="I5943" t="s">
        <v>48</v>
      </c>
      <c r="J5943">
        <v>3135</v>
      </c>
      <c r="K5943" t="s">
        <v>235</v>
      </c>
      <c r="L5943">
        <v>0</v>
      </c>
      <c r="N5943" t="s">
        <v>199</v>
      </c>
      <c r="O5943">
        <v>9</v>
      </c>
      <c r="P5943">
        <v>9877</v>
      </c>
      <c r="Q5943" t="s">
        <v>202</v>
      </c>
      <c r="R5943" t="s">
        <v>201</v>
      </c>
      <c r="S5943">
        <v>1</v>
      </c>
      <c r="T5943">
        <v>1</v>
      </c>
      <c r="U5943">
        <v>118176</v>
      </c>
      <c r="V5943">
        <v>118176</v>
      </c>
    </row>
    <row r="5944" spans="1:22">
      <c r="A5944" t="s">
        <v>196</v>
      </c>
      <c r="B5944">
        <v>23</v>
      </c>
      <c r="C5944" t="s">
        <v>62</v>
      </c>
      <c r="D5944">
        <v>355</v>
      </c>
      <c r="E5944" t="s">
        <v>2157</v>
      </c>
      <c r="F5944">
        <v>1005</v>
      </c>
      <c r="G5944" t="s">
        <v>62</v>
      </c>
      <c r="H5944">
        <v>2015</v>
      </c>
      <c r="I5944" t="s">
        <v>62</v>
      </c>
      <c r="J5944">
        <v>3200</v>
      </c>
      <c r="K5944" t="s">
        <v>1193</v>
      </c>
      <c r="L5944">
        <v>0</v>
      </c>
      <c r="N5944" t="s">
        <v>199</v>
      </c>
      <c r="O5944">
        <v>9</v>
      </c>
      <c r="P5944">
        <v>9923</v>
      </c>
      <c r="Q5944" t="s">
        <v>2158</v>
      </c>
      <c r="R5944" t="s">
        <v>201</v>
      </c>
      <c r="S5944">
        <v>1</v>
      </c>
      <c r="T5944">
        <v>1</v>
      </c>
      <c r="U5944">
        <v>189828</v>
      </c>
      <c r="V5944">
        <v>189828</v>
      </c>
    </row>
    <row r="5945" spans="1:22">
      <c r="A5945" t="s">
        <v>196</v>
      </c>
      <c r="B5945">
        <v>23</v>
      </c>
      <c r="C5945" t="s">
        <v>62</v>
      </c>
      <c r="D5945">
        <v>355</v>
      </c>
      <c r="E5945" t="s">
        <v>2157</v>
      </c>
      <c r="F5945">
        <v>1005</v>
      </c>
      <c r="G5945" t="s">
        <v>62</v>
      </c>
      <c r="H5945">
        <v>2015</v>
      </c>
      <c r="I5945" t="s">
        <v>62</v>
      </c>
      <c r="J5945">
        <v>3200</v>
      </c>
      <c r="K5945" t="s">
        <v>1193</v>
      </c>
      <c r="L5945">
        <v>0</v>
      </c>
      <c r="N5945" t="s">
        <v>311</v>
      </c>
      <c r="O5945">
        <v>9</v>
      </c>
      <c r="P5945">
        <v>9660</v>
      </c>
      <c r="Q5945" t="s">
        <v>846</v>
      </c>
      <c r="R5945" t="s">
        <v>201</v>
      </c>
      <c r="S5945">
        <v>1</v>
      </c>
      <c r="T5945">
        <v>1</v>
      </c>
      <c r="U5945">
        <v>149448</v>
      </c>
      <c r="V5945">
        <v>149448</v>
      </c>
    </row>
    <row r="5946" spans="1:22">
      <c r="A5946" t="s">
        <v>196</v>
      </c>
      <c r="B5946">
        <v>23</v>
      </c>
      <c r="C5946" t="s">
        <v>62</v>
      </c>
      <c r="D5946">
        <v>355</v>
      </c>
      <c r="E5946" t="s">
        <v>2157</v>
      </c>
      <c r="F5946">
        <v>1005</v>
      </c>
      <c r="G5946" t="s">
        <v>62</v>
      </c>
      <c r="H5946">
        <v>2015</v>
      </c>
      <c r="I5946" t="s">
        <v>62</v>
      </c>
      <c r="J5946">
        <v>3200</v>
      </c>
      <c r="K5946" t="s">
        <v>1193</v>
      </c>
      <c r="L5946">
        <v>0</v>
      </c>
      <c r="N5946" t="s">
        <v>251</v>
      </c>
      <c r="O5946">
        <v>10</v>
      </c>
      <c r="P5946">
        <v>1430</v>
      </c>
      <c r="Q5946" t="s">
        <v>850</v>
      </c>
      <c r="R5946" t="s">
        <v>201</v>
      </c>
      <c r="S5946">
        <v>2</v>
      </c>
      <c r="T5946">
        <v>1</v>
      </c>
      <c r="U5946">
        <v>76476</v>
      </c>
      <c r="V5946">
        <v>152952</v>
      </c>
    </row>
    <row r="5947" spans="1:22">
      <c r="A5947" t="s">
        <v>196</v>
      </c>
      <c r="B5947">
        <v>23</v>
      </c>
      <c r="C5947" t="s">
        <v>62</v>
      </c>
      <c r="D5947">
        <v>355</v>
      </c>
      <c r="E5947" t="s">
        <v>2157</v>
      </c>
      <c r="F5947">
        <v>1005</v>
      </c>
      <c r="G5947" t="s">
        <v>62</v>
      </c>
      <c r="H5947">
        <v>2015</v>
      </c>
      <c r="I5947" t="s">
        <v>62</v>
      </c>
      <c r="J5947">
        <v>3200</v>
      </c>
      <c r="K5947" t="s">
        <v>1193</v>
      </c>
      <c r="L5947">
        <v>0</v>
      </c>
      <c r="N5947" t="s">
        <v>255</v>
      </c>
      <c r="O5947">
        <v>1</v>
      </c>
      <c r="P5947">
        <v>1302</v>
      </c>
      <c r="Q5947" t="s">
        <v>340</v>
      </c>
      <c r="R5947" t="s">
        <v>201</v>
      </c>
      <c r="S5947">
        <v>1</v>
      </c>
      <c r="T5947">
        <v>1</v>
      </c>
      <c r="U5947">
        <v>89244</v>
      </c>
      <c r="V5947">
        <v>89244</v>
      </c>
    </row>
    <row r="5948" spans="1:22">
      <c r="A5948" t="s">
        <v>196</v>
      </c>
      <c r="B5948">
        <v>23</v>
      </c>
      <c r="C5948" t="s">
        <v>62</v>
      </c>
      <c r="D5948">
        <v>355</v>
      </c>
      <c r="E5948" t="s">
        <v>2157</v>
      </c>
      <c r="F5948">
        <v>1005</v>
      </c>
      <c r="G5948" t="s">
        <v>62</v>
      </c>
      <c r="H5948">
        <v>2015</v>
      </c>
      <c r="I5948" t="s">
        <v>62</v>
      </c>
      <c r="J5948">
        <v>3200</v>
      </c>
      <c r="K5948" t="s">
        <v>1193</v>
      </c>
      <c r="L5948">
        <v>0</v>
      </c>
      <c r="N5948" t="s">
        <v>251</v>
      </c>
      <c r="O5948">
        <v>10</v>
      </c>
      <c r="P5948">
        <v>802</v>
      </c>
      <c r="Q5948" t="s">
        <v>252</v>
      </c>
      <c r="R5948" t="s">
        <v>201</v>
      </c>
      <c r="S5948">
        <v>1</v>
      </c>
      <c r="T5948">
        <v>1</v>
      </c>
      <c r="U5948">
        <v>80124</v>
      </c>
      <c r="V5948">
        <v>80124</v>
      </c>
    </row>
    <row r="5949" spans="1:22">
      <c r="A5949" t="s">
        <v>196</v>
      </c>
      <c r="B5949">
        <v>23</v>
      </c>
      <c r="C5949" t="s">
        <v>62</v>
      </c>
      <c r="D5949">
        <v>355</v>
      </c>
      <c r="E5949" t="s">
        <v>2157</v>
      </c>
      <c r="F5949">
        <v>1005</v>
      </c>
      <c r="G5949" t="s">
        <v>62</v>
      </c>
      <c r="H5949">
        <v>2015</v>
      </c>
      <c r="I5949" t="s">
        <v>62</v>
      </c>
      <c r="J5949">
        <v>3200</v>
      </c>
      <c r="K5949" t="s">
        <v>1193</v>
      </c>
      <c r="L5949">
        <v>0</v>
      </c>
      <c r="N5949" t="s">
        <v>251</v>
      </c>
      <c r="O5949">
        <v>10</v>
      </c>
      <c r="P5949">
        <v>802</v>
      </c>
      <c r="Q5949" t="s">
        <v>252</v>
      </c>
      <c r="R5949" t="s">
        <v>201</v>
      </c>
      <c r="S5949">
        <v>1</v>
      </c>
      <c r="T5949">
        <v>1</v>
      </c>
      <c r="U5949">
        <v>76476</v>
      </c>
      <c r="V5949">
        <v>76476</v>
      </c>
    </row>
    <row r="5950" spans="1:22">
      <c r="A5950" t="s">
        <v>196</v>
      </c>
      <c r="B5950">
        <v>23</v>
      </c>
      <c r="C5950" t="s">
        <v>62</v>
      </c>
      <c r="D5950">
        <v>355</v>
      </c>
      <c r="E5950" t="s">
        <v>2157</v>
      </c>
      <c r="F5950">
        <v>1005</v>
      </c>
      <c r="G5950" t="s">
        <v>62</v>
      </c>
      <c r="H5950">
        <v>2015</v>
      </c>
      <c r="I5950" t="s">
        <v>62</v>
      </c>
      <c r="J5950">
        <v>3200</v>
      </c>
      <c r="K5950" t="s">
        <v>1193</v>
      </c>
      <c r="L5950">
        <v>0</v>
      </c>
      <c r="N5950" t="s">
        <v>392</v>
      </c>
      <c r="O5950">
        <v>1</v>
      </c>
      <c r="P5950">
        <v>634</v>
      </c>
      <c r="Q5950" t="s">
        <v>729</v>
      </c>
      <c r="R5950" t="s">
        <v>201</v>
      </c>
      <c r="S5950">
        <v>1</v>
      </c>
      <c r="T5950">
        <v>1</v>
      </c>
      <c r="U5950">
        <v>150240</v>
      </c>
      <c r="V5950">
        <v>150240</v>
      </c>
    </row>
    <row r="5951" spans="1:22">
      <c r="A5951" t="s">
        <v>196</v>
      </c>
      <c r="B5951">
        <v>23</v>
      </c>
      <c r="C5951" t="s">
        <v>62</v>
      </c>
      <c r="D5951">
        <v>355</v>
      </c>
      <c r="E5951" t="s">
        <v>2157</v>
      </c>
      <c r="F5951">
        <v>1005</v>
      </c>
      <c r="G5951" t="s">
        <v>62</v>
      </c>
      <c r="H5951">
        <v>2015</v>
      </c>
      <c r="I5951" t="s">
        <v>62</v>
      </c>
      <c r="J5951">
        <v>3200</v>
      </c>
      <c r="K5951" t="s">
        <v>1193</v>
      </c>
      <c r="L5951">
        <v>0</v>
      </c>
      <c r="N5951" t="s">
        <v>274</v>
      </c>
      <c r="O5951">
        <v>9</v>
      </c>
      <c r="P5951">
        <v>313</v>
      </c>
      <c r="Q5951" t="s">
        <v>605</v>
      </c>
      <c r="R5951" t="s">
        <v>201</v>
      </c>
      <c r="S5951">
        <v>1</v>
      </c>
      <c r="T5951">
        <v>1</v>
      </c>
      <c r="U5951">
        <v>146808</v>
      </c>
      <c r="V5951">
        <v>146808</v>
      </c>
    </row>
    <row r="5952" spans="1:22">
      <c r="A5952" t="s">
        <v>196</v>
      </c>
      <c r="B5952">
        <v>23</v>
      </c>
      <c r="C5952" t="s">
        <v>62</v>
      </c>
      <c r="D5952">
        <v>355</v>
      </c>
      <c r="E5952" t="s">
        <v>2157</v>
      </c>
      <c r="F5952">
        <v>1005</v>
      </c>
      <c r="G5952" t="s">
        <v>62</v>
      </c>
      <c r="H5952">
        <v>2015</v>
      </c>
      <c r="I5952" t="s">
        <v>62</v>
      </c>
      <c r="J5952">
        <v>3200</v>
      </c>
      <c r="K5952" t="s">
        <v>1193</v>
      </c>
      <c r="L5952">
        <v>0</v>
      </c>
      <c r="N5952" t="s">
        <v>249</v>
      </c>
      <c r="O5952">
        <v>10</v>
      </c>
      <c r="P5952">
        <v>311</v>
      </c>
      <c r="Q5952" t="s">
        <v>661</v>
      </c>
      <c r="R5952" t="s">
        <v>201</v>
      </c>
      <c r="S5952">
        <v>1</v>
      </c>
      <c r="T5952">
        <v>1</v>
      </c>
      <c r="U5952">
        <v>89112</v>
      </c>
      <c r="V5952">
        <v>89112</v>
      </c>
    </row>
    <row r="5953" spans="1:22">
      <c r="A5953" t="s">
        <v>196</v>
      </c>
      <c r="B5953">
        <v>23</v>
      </c>
      <c r="C5953" t="s">
        <v>62</v>
      </c>
      <c r="D5953">
        <v>355</v>
      </c>
      <c r="E5953" t="s">
        <v>2157</v>
      </c>
      <c r="F5953">
        <v>1005</v>
      </c>
      <c r="G5953" t="s">
        <v>62</v>
      </c>
      <c r="H5953">
        <v>2015</v>
      </c>
      <c r="I5953" t="s">
        <v>62</v>
      </c>
      <c r="J5953">
        <v>3200</v>
      </c>
      <c r="K5953" t="s">
        <v>1193</v>
      </c>
      <c r="L5953">
        <v>0</v>
      </c>
      <c r="N5953" t="s">
        <v>199</v>
      </c>
      <c r="O5953">
        <v>0</v>
      </c>
      <c r="P5953">
        <v>15</v>
      </c>
      <c r="Q5953" t="s">
        <v>264</v>
      </c>
      <c r="R5953" t="s">
        <v>201</v>
      </c>
      <c r="S5953">
        <v>0</v>
      </c>
      <c r="T5953">
        <v>0</v>
      </c>
      <c r="U5953">
        <v>16732</v>
      </c>
      <c r="V5953">
        <v>16732</v>
      </c>
    </row>
    <row r="5954" spans="1:22">
      <c r="A5954" t="s">
        <v>196</v>
      </c>
      <c r="B5954">
        <v>23</v>
      </c>
      <c r="C5954" t="s">
        <v>62</v>
      </c>
      <c r="D5954">
        <v>355</v>
      </c>
      <c r="E5954" t="s">
        <v>2157</v>
      </c>
      <c r="F5954">
        <v>1005</v>
      </c>
      <c r="G5954" t="s">
        <v>62</v>
      </c>
      <c r="H5954">
        <v>2015</v>
      </c>
      <c r="I5954" t="s">
        <v>62</v>
      </c>
      <c r="J5954">
        <v>3205</v>
      </c>
      <c r="K5954" t="s">
        <v>97</v>
      </c>
      <c r="L5954">
        <v>0</v>
      </c>
      <c r="N5954" t="s">
        <v>266</v>
      </c>
      <c r="O5954">
        <v>9</v>
      </c>
      <c r="P5954">
        <v>9679</v>
      </c>
      <c r="Q5954" t="s">
        <v>338</v>
      </c>
      <c r="R5954" t="s">
        <v>201</v>
      </c>
      <c r="S5954">
        <v>1</v>
      </c>
      <c r="T5954">
        <v>1</v>
      </c>
      <c r="U5954">
        <v>167964</v>
      </c>
      <c r="V5954">
        <v>167964</v>
      </c>
    </row>
    <row r="5955" spans="1:22">
      <c r="A5955" t="s">
        <v>196</v>
      </c>
      <c r="B5955">
        <v>23</v>
      </c>
      <c r="C5955" t="s">
        <v>62</v>
      </c>
      <c r="D5955">
        <v>355</v>
      </c>
      <c r="E5955" t="s">
        <v>2157</v>
      </c>
      <c r="F5955">
        <v>1005</v>
      </c>
      <c r="G5955" t="s">
        <v>62</v>
      </c>
      <c r="H5955">
        <v>2015</v>
      </c>
      <c r="I5955" t="s">
        <v>62</v>
      </c>
      <c r="J5955">
        <v>3205</v>
      </c>
      <c r="K5955" t="s">
        <v>97</v>
      </c>
      <c r="L5955">
        <v>0</v>
      </c>
      <c r="N5955" t="s">
        <v>253</v>
      </c>
      <c r="O5955">
        <v>20</v>
      </c>
      <c r="P5955">
        <v>1778</v>
      </c>
      <c r="Q5955" t="s">
        <v>2159</v>
      </c>
      <c r="R5955" t="s">
        <v>201</v>
      </c>
      <c r="S5955">
        <v>1</v>
      </c>
      <c r="T5955">
        <v>1</v>
      </c>
      <c r="U5955">
        <v>136692</v>
      </c>
      <c r="V5955">
        <v>136692</v>
      </c>
    </row>
    <row r="5956" spans="1:22">
      <c r="A5956" t="s">
        <v>196</v>
      </c>
      <c r="B5956">
        <v>23</v>
      </c>
      <c r="C5956" t="s">
        <v>62</v>
      </c>
      <c r="D5956">
        <v>355</v>
      </c>
      <c r="E5956" t="s">
        <v>2157</v>
      </c>
      <c r="F5956">
        <v>1005</v>
      </c>
      <c r="G5956" t="s">
        <v>62</v>
      </c>
      <c r="H5956">
        <v>2015</v>
      </c>
      <c r="I5956" t="s">
        <v>62</v>
      </c>
      <c r="J5956">
        <v>3205</v>
      </c>
      <c r="K5956" t="s">
        <v>97</v>
      </c>
      <c r="L5956">
        <v>0</v>
      </c>
      <c r="N5956" t="s">
        <v>274</v>
      </c>
      <c r="O5956">
        <v>10</v>
      </c>
      <c r="P5956">
        <v>1757</v>
      </c>
      <c r="Q5956" t="s">
        <v>2160</v>
      </c>
      <c r="R5956" t="s">
        <v>201</v>
      </c>
      <c r="S5956">
        <v>1</v>
      </c>
      <c r="T5956">
        <v>1</v>
      </c>
      <c r="U5956">
        <v>121668</v>
      </c>
      <c r="V5956">
        <v>121668</v>
      </c>
    </row>
    <row r="5957" spans="1:22">
      <c r="A5957" t="s">
        <v>196</v>
      </c>
      <c r="B5957">
        <v>23</v>
      </c>
      <c r="C5957" t="s">
        <v>62</v>
      </c>
      <c r="D5957">
        <v>355</v>
      </c>
      <c r="E5957" t="s">
        <v>2157</v>
      </c>
      <c r="F5957">
        <v>1005</v>
      </c>
      <c r="G5957" t="s">
        <v>62</v>
      </c>
      <c r="H5957">
        <v>2015</v>
      </c>
      <c r="I5957" t="s">
        <v>62</v>
      </c>
      <c r="J5957">
        <v>3205</v>
      </c>
      <c r="K5957" t="s">
        <v>97</v>
      </c>
      <c r="L5957">
        <v>0</v>
      </c>
      <c r="N5957" t="s">
        <v>372</v>
      </c>
      <c r="O5957">
        <v>1</v>
      </c>
      <c r="P5957">
        <v>1576</v>
      </c>
      <c r="Q5957" t="s">
        <v>650</v>
      </c>
      <c r="R5957" t="s">
        <v>201</v>
      </c>
      <c r="S5957">
        <v>1</v>
      </c>
      <c r="T5957">
        <v>1</v>
      </c>
      <c r="U5957">
        <v>81324</v>
      </c>
      <c r="V5957">
        <v>81324</v>
      </c>
    </row>
    <row r="5958" spans="1:22">
      <c r="A5958" t="s">
        <v>196</v>
      </c>
      <c r="B5958">
        <v>23</v>
      </c>
      <c r="C5958" t="s">
        <v>62</v>
      </c>
      <c r="D5958">
        <v>355</v>
      </c>
      <c r="E5958" t="s">
        <v>2157</v>
      </c>
      <c r="F5958">
        <v>1005</v>
      </c>
      <c r="G5958" t="s">
        <v>62</v>
      </c>
      <c r="H5958">
        <v>2015</v>
      </c>
      <c r="I5958" t="s">
        <v>62</v>
      </c>
      <c r="J5958">
        <v>3205</v>
      </c>
      <c r="K5958" t="s">
        <v>97</v>
      </c>
      <c r="L5958">
        <v>0</v>
      </c>
      <c r="N5958" t="s">
        <v>274</v>
      </c>
      <c r="O5958">
        <v>10</v>
      </c>
      <c r="P5958">
        <v>1525</v>
      </c>
      <c r="Q5958" t="s">
        <v>2161</v>
      </c>
      <c r="R5958" t="s">
        <v>201</v>
      </c>
      <c r="S5958">
        <v>1</v>
      </c>
      <c r="T5958">
        <v>1</v>
      </c>
      <c r="U5958">
        <v>146808</v>
      </c>
      <c r="V5958">
        <v>146808</v>
      </c>
    </row>
    <row r="5959" spans="1:22">
      <c r="A5959" t="s">
        <v>196</v>
      </c>
      <c r="B5959">
        <v>23</v>
      </c>
      <c r="C5959" t="s">
        <v>62</v>
      </c>
      <c r="D5959">
        <v>355</v>
      </c>
      <c r="E5959" t="s">
        <v>2157</v>
      </c>
      <c r="F5959">
        <v>1005</v>
      </c>
      <c r="G5959" t="s">
        <v>62</v>
      </c>
      <c r="H5959">
        <v>2015</v>
      </c>
      <c r="I5959" t="s">
        <v>62</v>
      </c>
      <c r="J5959">
        <v>3205</v>
      </c>
      <c r="K5959" t="s">
        <v>97</v>
      </c>
      <c r="L5959">
        <v>0</v>
      </c>
      <c r="N5959" t="s">
        <v>251</v>
      </c>
      <c r="O5959">
        <v>10</v>
      </c>
      <c r="P5959">
        <v>347</v>
      </c>
      <c r="Q5959" t="s">
        <v>2162</v>
      </c>
      <c r="R5959" t="s">
        <v>201</v>
      </c>
      <c r="S5959">
        <v>1</v>
      </c>
      <c r="T5959">
        <v>1</v>
      </c>
      <c r="U5959">
        <v>94332</v>
      </c>
      <c r="V5959">
        <v>94332</v>
      </c>
    </row>
    <row r="5960" spans="1:22">
      <c r="A5960" t="s">
        <v>196</v>
      </c>
      <c r="B5960">
        <v>23</v>
      </c>
      <c r="C5960" t="s">
        <v>62</v>
      </c>
      <c r="D5960">
        <v>355</v>
      </c>
      <c r="E5960" t="s">
        <v>2157</v>
      </c>
      <c r="F5960">
        <v>1005</v>
      </c>
      <c r="G5960" t="s">
        <v>62</v>
      </c>
      <c r="H5960">
        <v>2015</v>
      </c>
      <c r="I5960" t="s">
        <v>62</v>
      </c>
      <c r="J5960">
        <v>3205</v>
      </c>
      <c r="K5960" t="s">
        <v>97</v>
      </c>
      <c r="L5960">
        <v>0</v>
      </c>
      <c r="N5960" t="s">
        <v>251</v>
      </c>
      <c r="O5960">
        <v>10</v>
      </c>
      <c r="P5960">
        <v>347</v>
      </c>
      <c r="Q5960" t="s">
        <v>2162</v>
      </c>
      <c r="R5960" t="s">
        <v>201</v>
      </c>
      <c r="S5960">
        <v>1</v>
      </c>
      <c r="T5960">
        <v>1</v>
      </c>
      <c r="U5960">
        <v>80124</v>
      </c>
      <c r="V5960">
        <v>80124</v>
      </c>
    </row>
    <row r="5961" spans="1:22">
      <c r="A5961" t="s">
        <v>196</v>
      </c>
      <c r="B5961">
        <v>23</v>
      </c>
      <c r="C5961" t="s">
        <v>62</v>
      </c>
      <c r="D5961">
        <v>355</v>
      </c>
      <c r="E5961" t="s">
        <v>2157</v>
      </c>
      <c r="F5961">
        <v>1005</v>
      </c>
      <c r="G5961" t="s">
        <v>62</v>
      </c>
      <c r="H5961">
        <v>2015</v>
      </c>
      <c r="I5961" t="s">
        <v>62</v>
      </c>
      <c r="J5961">
        <v>3205</v>
      </c>
      <c r="K5961" t="s">
        <v>97</v>
      </c>
      <c r="L5961">
        <v>0</v>
      </c>
      <c r="N5961" t="s">
        <v>392</v>
      </c>
      <c r="O5961">
        <v>4</v>
      </c>
      <c r="P5961">
        <v>345</v>
      </c>
      <c r="Q5961" t="s">
        <v>393</v>
      </c>
      <c r="R5961" t="s">
        <v>201</v>
      </c>
      <c r="S5961">
        <v>1</v>
      </c>
      <c r="T5961">
        <v>1</v>
      </c>
      <c r="U5961">
        <v>112536</v>
      </c>
      <c r="V5961">
        <v>112536</v>
      </c>
    </row>
    <row r="5962" spans="1:22">
      <c r="A5962" t="s">
        <v>196</v>
      </c>
      <c r="B5962">
        <v>23</v>
      </c>
      <c r="C5962" t="s">
        <v>62</v>
      </c>
      <c r="D5962">
        <v>355</v>
      </c>
      <c r="E5962" t="s">
        <v>2157</v>
      </c>
      <c r="F5962">
        <v>1005</v>
      </c>
      <c r="G5962" t="s">
        <v>62</v>
      </c>
      <c r="H5962">
        <v>2015</v>
      </c>
      <c r="I5962" t="s">
        <v>62</v>
      </c>
      <c r="J5962">
        <v>3205</v>
      </c>
      <c r="K5962" t="s">
        <v>97</v>
      </c>
      <c r="L5962">
        <v>0</v>
      </c>
      <c r="N5962" t="s">
        <v>392</v>
      </c>
      <c r="O5962">
        <v>4</v>
      </c>
      <c r="P5962">
        <v>345</v>
      </c>
      <c r="Q5962" t="s">
        <v>393</v>
      </c>
      <c r="R5962" t="s">
        <v>201</v>
      </c>
      <c r="S5962">
        <v>1</v>
      </c>
      <c r="T5962">
        <v>1</v>
      </c>
      <c r="U5962">
        <v>97956</v>
      </c>
      <c r="V5962">
        <v>97956</v>
      </c>
    </row>
    <row r="5963" spans="1:22">
      <c r="A5963" t="s">
        <v>196</v>
      </c>
      <c r="B5963">
        <v>23</v>
      </c>
      <c r="C5963" t="s">
        <v>62</v>
      </c>
      <c r="D5963">
        <v>355</v>
      </c>
      <c r="E5963" t="s">
        <v>2157</v>
      </c>
      <c r="F5963">
        <v>1005</v>
      </c>
      <c r="G5963" t="s">
        <v>62</v>
      </c>
      <c r="H5963">
        <v>2015</v>
      </c>
      <c r="I5963" t="s">
        <v>62</v>
      </c>
      <c r="J5963">
        <v>3205</v>
      </c>
      <c r="K5963" t="s">
        <v>97</v>
      </c>
      <c r="L5963">
        <v>0</v>
      </c>
      <c r="N5963" t="s">
        <v>249</v>
      </c>
      <c r="O5963">
        <v>10</v>
      </c>
      <c r="P5963">
        <v>311</v>
      </c>
      <c r="Q5963" t="s">
        <v>661</v>
      </c>
      <c r="R5963" t="s">
        <v>201</v>
      </c>
      <c r="S5963">
        <v>1</v>
      </c>
      <c r="T5963">
        <v>1</v>
      </c>
      <c r="U5963">
        <v>89112</v>
      </c>
      <c r="V5963">
        <v>89112</v>
      </c>
    </row>
    <row r="5964" spans="1:22">
      <c r="A5964" t="s">
        <v>196</v>
      </c>
      <c r="B5964">
        <v>23</v>
      </c>
      <c r="C5964" t="s">
        <v>62</v>
      </c>
      <c r="D5964">
        <v>355</v>
      </c>
      <c r="E5964" t="s">
        <v>2157</v>
      </c>
      <c r="F5964">
        <v>1005</v>
      </c>
      <c r="G5964" t="s">
        <v>62</v>
      </c>
      <c r="H5964">
        <v>2015</v>
      </c>
      <c r="I5964" t="s">
        <v>62</v>
      </c>
      <c r="J5964">
        <v>3205</v>
      </c>
      <c r="K5964" t="s">
        <v>97</v>
      </c>
      <c r="L5964">
        <v>0</v>
      </c>
      <c r="N5964" t="s">
        <v>274</v>
      </c>
      <c r="O5964">
        <v>0</v>
      </c>
      <c r="P5964">
        <v>118</v>
      </c>
      <c r="Q5964" t="s">
        <v>358</v>
      </c>
      <c r="R5964" t="s">
        <v>201</v>
      </c>
      <c r="S5964">
        <v>1</v>
      </c>
      <c r="T5964">
        <v>1</v>
      </c>
      <c r="U5964">
        <v>137532</v>
      </c>
      <c r="V5964">
        <v>137532</v>
      </c>
    </row>
    <row r="5965" spans="1:22">
      <c r="A5965" t="s">
        <v>196</v>
      </c>
      <c r="B5965">
        <v>23</v>
      </c>
      <c r="C5965" t="s">
        <v>62</v>
      </c>
      <c r="D5965">
        <v>355</v>
      </c>
      <c r="E5965" t="s">
        <v>2157</v>
      </c>
      <c r="F5965">
        <v>1005</v>
      </c>
      <c r="G5965" t="s">
        <v>62</v>
      </c>
      <c r="H5965">
        <v>2015</v>
      </c>
      <c r="I5965" t="s">
        <v>62</v>
      </c>
      <c r="J5965">
        <v>3205</v>
      </c>
      <c r="K5965" t="s">
        <v>97</v>
      </c>
      <c r="L5965">
        <v>0</v>
      </c>
      <c r="N5965" t="s">
        <v>199</v>
      </c>
      <c r="O5965">
        <v>0</v>
      </c>
      <c r="P5965">
        <v>15</v>
      </c>
      <c r="Q5965" t="s">
        <v>264</v>
      </c>
      <c r="R5965" t="s">
        <v>201</v>
      </c>
      <c r="S5965">
        <v>0</v>
      </c>
      <c r="T5965">
        <v>0</v>
      </c>
      <c r="U5965">
        <v>28121</v>
      </c>
      <c r="V5965">
        <v>28121</v>
      </c>
    </row>
    <row r="5966" spans="1:22">
      <c r="A5966" t="s">
        <v>196</v>
      </c>
      <c r="B5966">
        <v>23</v>
      </c>
      <c r="C5966" t="s">
        <v>62</v>
      </c>
      <c r="D5966">
        <v>355</v>
      </c>
      <c r="E5966" t="s">
        <v>2157</v>
      </c>
      <c r="F5966">
        <v>1005</v>
      </c>
      <c r="G5966" t="s">
        <v>62</v>
      </c>
      <c r="H5966">
        <v>2015</v>
      </c>
      <c r="I5966" t="s">
        <v>62</v>
      </c>
      <c r="J5966">
        <v>3211</v>
      </c>
      <c r="K5966" t="s">
        <v>2163</v>
      </c>
      <c r="L5966">
        <v>0</v>
      </c>
      <c r="N5966" t="s">
        <v>266</v>
      </c>
      <c r="O5966">
        <v>9</v>
      </c>
      <c r="P5966">
        <v>9679</v>
      </c>
      <c r="Q5966" t="s">
        <v>338</v>
      </c>
      <c r="R5966" t="s">
        <v>201</v>
      </c>
      <c r="S5966">
        <v>1</v>
      </c>
      <c r="T5966">
        <v>1</v>
      </c>
      <c r="U5966">
        <v>139140</v>
      </c>
      <c r="V5966">
        <v>139140</v>
      </c>
    </row>
    <row r="5967" spans="1:22">
      <c r="A5967" t="s">
        <v>196</v>
      </c>
      <c r="B5967">
        <v>23</v>
      </c>
      <c r="C5967" t="s">
        <v>62</v>
      </c>
      <c r="D5967">
        <v>355</v>
      </c>
      <c r="E5967" t="s">
        <v>2157</v>
      </c>
      <c r="F5967">
        <v>1005</v>
      </c>
      <c r="G5967" t="s">
        <v>62</v>
      </c>
      <c r="H5967">
        <v>2015</v>
      </c>
      <c r="I5967" t="s">
        <v>62</v>
      </c>
      <c r="J5967">
        <v>3211</v>
      </c>
      <c r="K5967" t="s">
        <v>2163</v>
      </c>
      <c r="L5967">
        <v>0</v>
      </c>
      <c r="N5967" t="s">
        <v>274</v>
      </c>
      <c r="O5967">
        <v>10</v>
      </c>
      <c r="P5967">
        <v>1757</v>
      </c>
      <c r="Q5967" t="s">
        <v>2160</v>
      </c>
      <c r="R5967" t="s">
        <v>201</v>
      </c>
      <c r="S5967">
        <v>1</v>
      </c>
      <c r="T5967">
        <v>1</v>
      </c>
      <c r="U5967">
        <v>146808</v>
      </c>
      <c r="V5967">
        <v>146808</v>
      </c>
    </row>
    <row r="5968" spans="1:22">
      <c r="A5968" t="s">
        <v>196</v>
      </c>
      <c r="B5968">
        <v>23</v>
      </c>
      <c r="C5968" t="s">
        <v>62</v>
      </c>
      <c r="D5968">
        <v>355</v>
      </c>
      <c r="E5968" t="s">
        <v>2157</v>
      </c>
      <c r="F5968">
        <v>1005</v>
      </c>
      <c r="G5968" t="s">
        <v>62</v>
      </c>
      <c r="H5968">
        <v>2015</v>
      </c>
      <c r="I5968" t="s">
        <v>62</v>
      </c>
      <c r="J5968">
        <v>3211</v>
      </c>
      <c r="K5968" t="s">
        <v>2163</v>
      </c>
      <c r="L5968">
        <v>0</v>
      </c>
      <c r="N5968" t="s">
        <v>274</v>
      </c>
      <c r="O5968">
        <v>10</v>
      </c>
      <c r="P5968">
        <v>1757</v>
      </c>
      <c r="Q5968" t="s">
        <v>2160</v>
      </c>
      <c r="R5968" t="s">
        <v>201</v>
      </c>
      <c r="S5968">
        <v>1</v>
      </c>
      <c r="T5968">
        <v>1</v>
      </c>
      <c r="U5968">
        <v>121668</v>
      </c>
      <c r="V5968">
        <v>121668</v>
      </c>
    </row>
    <row r="5969" spans="1:22">
      <c r="A5969" t="s">
        <v>196</v>
      </c>
      <c r="B5969">
        <v>23</v>
      </c>
      <c r="C5969" t="s">
        <v>62</v>
      </c>
      <c r="D5969">
        <v>355</v>
      </c>
      <c r="E5969" t="s">
        <v>2157</v>
      </c>
      <c r="F5969">
        <v>1005</v>
      </c>
      <c r="G5969" t="s">
        <v>62</v>
      </c>
      <c r="H5969">
        <v>2015</v>
      </c>
      <c r="I5969" t="s">
        <v>62</v>
      </c>
      <c r="J5969">
        <v>3211</v>
      </c>
      <c r="K5969" t="s">
        <v>2163</v>
      </c>
      <c r="L5969">
        <v>0</v>
      </c>
      <c r="N5969" t="s">
        <v>268</v>
      </c>
      <c r="O5969">
        <v>10</v>
      </c>
      <c r="P5969">
        <v>1756</v>
      </c>
      <c r="Q5969" t="s">
        <v>2164</v>
      </c>
      <c r="R5969" t="s">
        <v>201</v>
      </c>
      <c r="S5969">
        <v>1</v>
      </c>
      <c r="T5969">
        <v>1</v>
      </c>
      <c r="U5969">
        <v>90000</v>
      </c>
      <c r="V5969">
        <v>90000</v>
      </c>
    </row>
    <row r="5970" spans="1:22">
      <c r="A5970" t="s">
        <v>196</v>
      </c>
      <c r="B5970">
        <v>23</v>
      </c>
      <c r="C5970" t="s">
        <v>62</v>
      </c>
      <c r="D5970">
        <v>355</v>
      </c>
      <c r="E5970" t="s">
        <v>2157</v>
      </c>
      <c r="F5970">
        <v>1005</v>
      </c>
      <c r="G5970" t="s">
        <v>62</v>
      </c>
      <c r="H5970">
        <v>2015</v>
      </c>
      <c r="I5970" t="s">
        <v>62</v>
      </c>
      <c r="J5970">
        <v>3211</v>
      </c>
      <c r="K5970" t="s">
        <v>2163</v>
      </c>
      <c r="L5970">
        <v>0</v>
      </c>
      <c r="N5970" t="s">
        <v>268</v>
      </c>
      <c r="O5970">
        <v>10</v>
      </c>
      <c r="P5970">
        <v>1756</v>
      </c>
      <c r="Q5970" t="s">
        <v>2164</v>
      </c>
      <c r="R5970" t="s">
        <v>201</v>
      </c>
      <c r="S5970">
        <v>2</v>
      </c>
      <c r="T5970">
        <v>1</v>
      </c>
      <c r="U5970">
        <v>83052</v>
      </c>
      <c r="V5970">
        <v>166104</v>
      </c>
    </row>
    <row r="5971" spans="1:22">
      <c r="A5971" t="s">
        <v>196</v>
      </c>
      <c r="B5971">
        <v>23</v>
      </c>
      <c r="C5971" t="s">
        <v>62</v>
      </c>
      <c r="D5971">
        <v>355</v>
      </c>
      <c r="E5971" t="s">
        <v>2157</v>
      </c>
      <c r="F5971">
        <v>1005</v>
      </c>
      <c r="G5971" t="s">
        <v>62</v>
      </c>
      <c r="H5971">
        <v>2015</v>
      </c>
      <c r="I5971" t="s">
        <v>62</v>
      </c>
      <c r="J5971">
        <v>3211</v>
      </c>
      <c r="K5971" t="s">
        <v>2163</v>
      </c>
      <c r="L5971">
        <v>0</v>
      </c>
      <c r="N5971" t="s">
        <v>268</v>
      </c>
      <c r="O5971">
        <v>10</v>
      </c>
      <c r="P5971">
        <v>1756</v>
      </c>
      <c r="Q5971" t="s">
        <v>2164</v>
      </c>
      <c r="R5971" t="s">
        <v>201</v>
      </c>
      <c r="S5971">
        <v>2</v>
      </c>
      <c r="T5971">
        <v>1</v>
      </c>
      <c r="U5971">
        <v>76476</v>
      </c>
      <c r="V5971">
        <v>152952</v>
      </c>
    </row>
    <row r="5972" spans="1:22">
      <c r="A5972" t="s">
        <v>196</v>
      </c>
      <c r="B5972">
        <v>23</v>
      </c>
      <c r="C5972" t="s">
        <v>62</v>
      </c>
      <c r="D5972">
        <v>355</v>
      </c>
      <c r="E5972" t="s">
        <v>2157</v>
      </c>
      <c r="F5972">
        <v>1005</v>
      </c>
      <c r="G5972" t="s">
        <v>62</v>
      </c>
      <c r="H5972">
        <v>2015</v>
      </c>
      <c r="I5972" t="s">
        <v>62</v>
      </c>
      <c r="J5972">
        <v>3211</v>
      </c>
      <c r="K5972" t="s">
        <v>2163</v>
      </c>
      <c r="L5972">
        <v>0</v>
      </c>
      <c r="N5972" t="s">
        <v>268</v>
      </c>
      <c r="O5972">
        <v>10</v>
      </c>
      <c r="P5972">
        <v>1756</v>
      </c>
      <c r="Q5972" t="s">
        <v>2164</v>
      </c>
      <c r="R5972" t="s">
        <v>201</v>
      </c>
      <c r="S5972">
        <v>3</v>
      </c>
      <c r="T5972">
        <v>1</v>
      </c>
      <c r="U5972">
        <v>69684</v>
      </c>
      <c r="V5972">
        <v>209052</v>
      </c>
    </row>
    <row r="5973" spans="1:22">
      <c r="A5973" t="s">
        <v>196</v>
      </c>
      <c r="B5973">
        <v>23</v>
      </c>
      <c r="C5973" t="s">
        <v>62</v>
      </c>
      <c r="D5973">
        <v>355</v>
      </c>
      <c r="E5973" t="s">
        <v>2157</v>
      </c>
      <c r="F5973">
        <v>1005</v>
      </c>
      <c r="G5973" t="s">
        <v>62</v>
      </c>
      <c r="H5973">
        <v>2015</v>
      </c>
      <c r="I5973" t="s">
        <v>62</v>
      </c>
      <c r="J5973">
        <v>3211</v>
      </c>
      <c r="K5973" t="s">
        <v>2163</v>
      </c>
      <c r="L5973">
        <v>0</v>
      </c>
      <c r="N5973" t="s">
        <v>351</v>
      </c>
      <c r="O5973">
        <v>1</v>
      </c>
      <c r="P5973" t="s">
        <v>352</v>
      </c>
      <c r="Q5973" t="s">
        <v>353</v>
      </c>
      <c r="R5973" t="s">
        <v>201</v>
      </c>
      <c r="S5973">
        <v>1</v>
      </c>
      <c r="T5973">
        <v>1</v>
      </c>
      <c r="U5973">
        <v>67608</v>
      </c>
      <c r="V5973">
        <v>67608</v>
      </c>
    </row>
    <row r="5974" spans="1:22">
      <c r="A5974" t="s">
        <v>196</v>
      </c>
      <c r="B5974">
        <v>23</v>
      </c>
      <c r="C5974" t="s">
        <v>62</v>
      </c>
      <c r="D5974">
        <v>355</v>
      </c>
      <c r="E5974" t="s">
        <v>2157</v>
      </c>
      <c r="F5974">
        <v>1005</v>
      </c>
      <c r="G5974" t="s">
        <v>62</v>
      </c>
      <c r="H5974">
        <v>2015</v>
      </c>
      <c r="I5974" t="s">
        <v>62</v>
      </c>
      <c r="J5974">
        <v>3211</v>
      </c>
      <c r="K5974" t="s">
        <v>2163</v>
      </c>
      <c r="L5974">
        <v>0</v>
      </c>
      <c r="N5974" t="s">
        <v>199</v>
      </c>
      <c r="O5974">
        <v>0</v>
      </c>
      <c r="P5974">
        <v>15</v>
      </c>
      <c r="Q5974" t="s">
        <v>264</v>
      </c>
      <c r="R5974" t="s">
        <v>201</v>
      </c>
      <c r="S5974">
        <v>0</v>
      </c>
      <c r="T5974">
        <v>0</v>
      </c>
      <c r="U5974">
        <v>34173</v>
      </c>
      <c r="V5974">
        <v>34173</v>
      </c>
    </row>
    <row r="5975" spans="1:22">
      <c r="A5975" t="s">
        <v>196</v>
      </c>
      <c r="B5975">
        <v>23</v>
      </c>
      <c r="C5975" t="s">
        <v>62</v>
      </c>
      <c r="D5975">
        <v>355</v>
      </c>
      <c r="E5975" t="s">
        <v>2157</v>
      </c>
      <c r="F5975">
        <v>1005</v>
      </c>
      <c r="G5975" t="s">
        <v>62</v>
      </c>
      <c r="H5975">
        <v>2015</v>
      </c>
      <c r="I5975" t="s">
        <v>62</v>
      </c>
      <c r="J5975">
        <v>3221</v>
      </c>
      <c r="K5975" t="s">
        <v>2165</v>
      </c>
      <c r="L5975">
        <v>0</v>
      </c>
      <c r="N5975" t="s">
        <v>266</v>
      </c>
      <c r="O5975">
        <v>9</v>
      </c>
      <c r="P5975">
        <v>9679</v>
      </c>
      <c r="Q5975" t="s">
        <v>338</v>
      </c>
      <c r="R5975" t="s">
        <v>201</v>
      </c>
      <c r="S5975">
        <v>1</v>
      </c>
      <c r="T5975">
        <v>1</v>
      </c>
      <c r="U5975">
        <v>157332</v>
      </c>
      <c r="V5975">
        <v>157332</v>
      </c>
    </row>
    <row r="5976" spans="1:22">
      <c r="A5976" t="s">
        <v>196</v>
      </c>
      <c r="B5976">
        <v>23</v>
      </c>
      <c r="C5976" t="s">
        <v>62</v>
      </c>
      <c r="D5976">
        <v>355</v>
      </c>
      <c r="E5976" t="s">
        <v>2157</v>
      </c>
      <c r="F5976">
        <v>1005</v>
      </c>
      <c r="G5976" t="s">
        <v>62</v>
      </c>
      <c r="H5976">
        <v>2015</v>
      </c>
      <c r="I5976" t="s">
        <v>62</v>
      </c>
      <c r="J5976">
        <v>3221</v>
      </c>
      <c r="K5976" t="s">
        <v>2165</v>
      </c>
      <c r="L5976">
        <v>0</v>
      </c>
      <c r="N5976" t="s">
        <v>274</v>
      </c>
      <c r="O5976">
        <v>10</v>
      </c>
      <c r="P5976">
        <v>1757</v>
      </c>
      <c r="Q5976" t="s">
        <v>2160</v>
      </c>
      <c r="R5976" t="s">
        <v>201</v>
      </c>
      <c r="S5976">
        <v>2</v>
      </c>
      <c r="T5976">
        <v>1</v>
      </c>
      <c r="U5976">
        <v>146808</v>
      </c>
      <c r="V5976">
        <v>293616</v>
      </c>
    </row>
    <row r="5977" spans="1:22">
      <c r="A5977" t="s">
        <v>196</v>
      </c>
      <c r="B5977">
        <v>23</v>
      </c>
      <c r="C5977" t="s">
        <v>62</v>
      </c>
      <c r="D5977">
        <v>355</v>
      </c>
      <c r="E5977" t="s">
        <v>2157</v>
      </c>
      <c r="F5977">
        <v>1005</v>
      </c>
      <c r="G5977" t="s">
        <v>62</v>
      </c>
      <c r="H5977">
        <v>2015</v>
      </c>
      <c r="I5977" t="s">
        <v>62</v>
      </c>
      <c r="J5977">
        <v>3221</v>
      </c>
      <c r="K5977" t="s">
        <v>2165</v>
      </c>
      <c r="L5977">
        <v>0</v>
      </c>
      <c r="N5977" t="s">
        <v>268</v>
      </c>
      <c r="O5977">
        <v>10</v>
      </c>
      <c r="P5977">
        <v>1756</v>
      </c>
      <c r="Q5977" t="s">
        <v>2164</v>
      </c>
      <c r="R5977" t="s">
        <v>201</v>
      </c>
      <c r="S5977">
        <v>3</v>
      </c>
      <c r="T5977">
        <v>1</v>
      </c>
      <c r="U5977">
        <v>69684</v>
      </c>
      <c r="V5977">
        <v>209052</v>
      </c>
    </row>
    <row r="5978" spans="1:22">
      <c r="A5978" t="s">
        <v>196</v>
      </c>
      <c r="B5978">
        <v>23</v>
      </c>
      <c r="C5978" t="s">
        <v>62</v>
      </c>
      <c r="D5978">
        <v>355</v>
      </c>
      <c r="E5978" t="s">
        <v>2157</v>
      </c>
      <c r="F5978">
        <v>1005</v>
      </c>
      <c r="G5978" t="s">
        <v>62</v>
      </c>
      <c r="H5978">
        <v>2015</v>
      </c>
      <c r="I5978" t="s">
        <v>62</v>
      </c>
      <c r="J5978">
        <v>3221</v>
      </c>
      <c r="K5978" t="s">
        <v>2165</v>
      </c>
      <c r="L5978">
        <v>0</v>
      </c>
      <c r="N5978" t="s">
        <v>251</v>
      </c>
      <c r="O5978">
        <v>10</v>
      </c>
      <c r="P5978">
        <v>347</v>
      </c>
      <c r="Q5978" t="s">
        <v>2162</v>
      </c>
      <c r="R5978" t="s">
        <v>201</v>
      </c>
      <c r="S5978">
        <v>1</v>
      </c>
      <c r="T5978">
        <v>1</v>
      </c>
      <c r="U5978">
        <v>124584</v>
      </c>
      <c r="V5978">
        <v>124584</v>
      </c>
    </row>
    <row r="5979" spans="1:22">
      <c r="A5979" t="s">
        <v>196</v>
      </c>
      <c r="B5979">
        <v>23</v>
      </c>
      <c r="C5979" t="s">
        <v>62</v>
      </c>
      <c r="D5979">
        <v>355</v>
      </c>
      <c r="E5979" t="s">
        <v>2157</v>
      </c>
      <c r="F5979">
        <v>1005</v>
      </c>
      <c r="G5979" t="s">
        <v>62</v>
      </c>
      <c r="H5979">
        <v>2015</v>
      </c>
      <c r="I5979" t="s">
        <v>62</v>
      </c>
      <c r="J5979">
        <v>3221</v>
      </c>
      <c r="K5979" t="s">
        <v>2165</v>
      </c>
      <c r="L5979">
        <v>0</v>
      </c>
      <c r="N5979" t="s">
        <v>249</v>
      </c>
      <c r="O5979">
        <v>10</v>
      </c>
      <c r="P5979">
        <v>311</v>
      </c>
      <c r="Q5979" t="s">
        <v>661</v>
      </c>
      <c r="R5979" t="s">
        <v>201</v>
      </c>
      <c r="S5979">
        <v>1</v>
      </c>
      <c r="T5979">
        <v>1</v>
      </c>
      <c r="U5979">
        <v>113568</v>
      </c>
      <c r="V5979">
        <v>113568</v>
      </c>
    </row>
    <row r="5980" spans="1:22">
      <c r="A5980" t="s">
        <v>196</v>
      </c>
      <c r="B5980">
        <v>23</v>
      </c>
      <c r="C5980" t="s">
        <v>62</v>
      </c>
      <c r="D5980">
        <v>355</v>
      </c>
      <c r="E5980" t="s">
        <v>2157</v>
      </c>
      <c r="F5980">
        <v>1005</v>
      </c>
      <c r="G5980" t="s">
        <v>62</v>
      </c>
      <c r="H5980">
        <v>2015</v>
      </c>
      <c r="I5980" t="s">
        <v>62</v>
      </c>
      <c r="J5980">
        <v>3221</v>
      </c>
      <c r="K5980" t="s">
        <v>2165</v>
      </c>
      <c r="L5980">
        <v>0</v>
      </c>
      <c r="N5980" t="s">
        <v>341</v>
      </c>
      <c r="O5980">
        <v>1</v>
      </c>
      <c r="P5980">
        <v>308</v>
      </c>
      <c r="Q5980" t="s">
        <v>355</v>
      </c>
      <c r="R5980" t="s">
        <v>201</v>
      </c>
      <c r="S5980">
        <v>1</v>
      </c>
      <c r="T5980">
        <v>1</v>
      </c>
      <c r="U5980">
        <v>74172</v>
      </c>
      <c r="V5980">
        <v>74172</v>
      </c>
    </row>
    <row r="5981" spans="1:22">
      <c r="A5981" t="s">
        <v>196</v>
      </c>
      <c r="B5981">
        <v>23</v>
      </c>
      <c r="C5981" t="s">
        <v>62</v>
      </c>
      <c r="D5981">
        <v>355</v>
      </c>
      <c r="E5981" t="s">
        <v>2157</v>
      </c>
      <c r="F5981">
        <v>1005</v>
      </c>
      <c r="G5981" t="s">
        <v>62</v>
      </c>
      <c r="H5981">
        <v>2015</v>
      </c>
      <c r="I5981" t="s">
        <v>62</v>
      </c>
      <c r="J5981">
        <v>3221</v>
      </c>
      <c r="K5981" t="s">
        <v>2165</v>
      </c>
      <c r="L5981">
        <v>0</v>
      </c>
      <c r="N5981" t="s">
        <v>199</v>
      </c>
      <c r="O5981">
        <v>0</v>
      </c>
      <c r="P5981">
        <v>15</v>
      </c>
      <c r="Q5981" t="s">
        <v>264</v>
      </c>
      <c r="R5981" t="s">
        <v>201</v>
      </c>
      <c r="S5981">
        <v>0</v>
      </c>
      <c r="T5981">
        <v>0</v>
      </c>
      <c r="U5981">
        <v>19080</v>
      </c>
      <c r="V5981">
        <v>19080</v>
      </c>
    </row>
    <row r="5982" spans="1:22">
      <c r="A5982" t="s">
        <v>196</v>
      </c>
      <c r="B5982">
        <v>23</v>
      </c>
      <c r="C5982" t="s">
        <v>62</v>
      </c>
      <c r="D5982">
        <v>355</v>
      </c>
      <c r="E5982" t="s">
        <v>2157</v>
      </c>
      <c r="F5982">
        <v>1005</v>
      </c>
      <c r="G5982" t="s">
        <v>62</v>
      </c>
      <c r="H5982">
        <v>2015</v>
      </c>
      <c r="I5982" t="s">
        <v>62</v>
      </c>
      <c r="J5982">
        <v>3226</v>
      </c>
      <c r="K5982" t="s">
        <v>2166</v>
      </c>
      <c r="L5982">
        <v>0</v>
      </c>
      <c r="N5982" t="s">
        <v>266</v>
      </c>
      <c r="O5982">
        <v>9</v>
      </c>
      <c r="P5982">
        <v>9679</v>
      </c>
      <c r="Q5982" t="s">
        <v>338</v>
      </c>
      <c r="R5982" t="s">
        <v>201</v>
      </c>
      <c r="S5982">
        <v>1</v>
      </c>
      <c r="T5982">
        <v>1</v>
      </c>
      <c r="U5982">
        <v>157332</v>
      </c>
      <c r="V5982">
        <v>157332</v>
      </c>
    </row>
    <row r="5983" spans="1:22">
      <c r="A5983" t="s">
        <v>196</v>
      </c>
      <c r="B5983">
        <v>23</v>
      </c>
      <c r="C5983" t="s">
        <v>62</v>
      </c>
      <c r="D5983">
        <v>355</v>
      </c>
      <c r="E5983" t="s">
        <v>2157</v>
      </c>
      <c r="F5983">
        <v>1005</v>
      </c>
      <c r="G5983" t="s">
        <v>62</v>
      </c>
      <c r="H5983">
        <v>2015</v>
      </c>
      <c r="I5983" t="s">
        <v>62</v>
      </c>
      <c r="J5983">
        <v>3226</v>
      </c>
      <c r="K5983" t="s">
        <v>2166</v>
      </c>
      <c r="L5983">
        <v>0</v>
      </c>
      <c r="N5983" t="s">
        <v>251</v>
      </c>
      <c r="O5983">
        <v>10</v>
      </c>
      <c r="P5983">
        <v>5737</v>
      </c>
      <c r="Q5983" t="s">
        <v>1011</v>
      </c>
      <c r="R5983" t="s">
        <v>201</v>
      </c>
      <c r="S5983">
        <v>1</v>
      </c>
      <c r="T5983">
        <v>1</v>
      </c>
      <c r="U5983">
        <v>76476</v>
      </c>
      <c r="V5983">
        <v>76476</v>
      </c>
    </row>
    <row r="5984" spans="1:22">
      <c r="A5984" t="s">
        <v>196</v>
      </c>
      <c r="B5984">
        <v>23</v>
      </c>
      <c r="C5984" t="s">
        <v>62</v>
      </c>
      <c r="D5984">
        <v>355</v>
      </c>
      <c r="E5984" t="s">
        <v>2157</v>
      </c>
      <c r="F5984">
        <v>1005</v>
      </c>
      <c r="G5984" t="s">
        <v>62</v>
      </c>
      <c r="H5984">
        <v>2015</v>
      </c>
      <c r="I5984" t="s">
        <v>62</v>
      </c>
      <c r="J5984">
        <v>3226</v>
      </c>
      <c r="K5984" t="s">
        <v>2166</v>
      </c>
      <c r="L5984">
        <v>0</v>
      </c>
      <c r="N5984" t="s">
        <v>372</v>
      </c>
      <c r="O5984">
        <v>4</v>
      </c>
      <c r="P5984">
        <v>1912</v>
      </c>
      <c r="Q5984" t="s">
        <v>608</v>
      </c>
      <c r="R5984" t="s">
        <v>201</v>
      </c>
      <c r="S5984">
        <v>1</v>
      </c>
      <c r="T5984">
        <v>1</v>
      </c>
      <c r="U5984">
        <v>124848</v>
      </c>
      <c r="V5984">
        <v>124848</v>
      </c>
    </row>
    <row r="5985" spans="1:22">
      <c r="A5985" t="s">
        <v>196</v>
      </c>
      <c r="B5985">
        <v>23</v>
      </c>
      <c r="C5985" t="s">
        <v>62</v>
      </c>
      <c r="D5985">
        <v>355</v>
      </c>
      <c r="E5985" t="s">
        <v>2157</v>
      </c>
      <c r="F5985">
        <v>1005</v>
      </c>
      <c r="G5985" t="s">
        <v>62</v>
      </c>
      <c r="H5985">
        <v>2015</v>
      </c>
      <c r="I5985" t="s">
        <v>62</v>
      </c>
      <c r="J5985">
        <v>3226</v>
      </c>
      <c r="K5985" t="s">
        <v>2166</v>
      </c>
      <c r="L5985">
        <v>0</v>
      </c>
      <c r="N5985" t="s">
        <v>274</v>
      </c>
      <c r="O5985">
        <v>10</v>
      </c>
      <c r="P5985">
        <v>1757</v>
      </c>
      <c r="Q5985" t="s">
        <v>2160</v>
      </c>
      <c r="R5985" t="s">
        <v>201</v>
      </c>
      <c r="S5985">
        <v>1</v>
      </c>
      <c r="T5985">
        <v>1</v>
      </c>
      <c r="U5985">
        <v>121668</v>
      </c>
      <c r="V5985">
        <v>121668</v>
      </c>
    </row>
    <row r="5986" spans="1:22">
      <c r="A5986" t="s">
        <v>196</v>
      </c>
      <c r="B5986">
        <v>23</v>
      </c>
      <c r="C5986" t="s">
        <v>62</v>
      </c>
      <c r="D5986">
        <v>355</v>
      </c>
      <c r="E5986" t="s">
        <v>2157</v>
      </c>
      <c r="F5986">
        <v>1005</v>
      </c>
      <c r="G5986" t="s">
        <v>62</v>
      </c>
      <c r="H5986">
        <v>2015</v>
      </c>
      <c r="I5986" t="s">
        <v>62</v>
      </c>
      <c r="J5986">
        <v>3226</v>
      </c>
      <c r="K5986" t="s">
        <v>2166</v>
      </c>
      <c r="L5986">
        <v>0</v>
      </c>
      <c r="N5986" t="s">
        <v>268</v>
      </c>
      <c r="O5986">
        <v>10</v>
      </c>
      <c r="P5986">
        <v>1756</v>
      </c>
      <c r="Q5986" t="s">
        <v>2164</v>
      </c>
      <c r="R5986" t="s">
        <v>201</v>
      </c>
      <c r="S5986">
        <v>1</v>
      </c>
      <c r="T5986">
        <v>1</v>
      </c>
      <c r="U5986">
        <v>80124</v>
      </c>
      <c r="V5986">
        <v>80124</v>
      </c>
    </row>
    <row r="5987" spans="1:22">
      <c r="A5987" t="s">
        <v>196</v>
      </c>
      <c r="B5987">
        <v>23</v>
      </c>
      <c r="C5987" t="s">
        <v>62</v>
      </c>
      <c r="D5987">
        <v>355</v>
      </c>
      <c r="E5987" t="s">
        <v>2157</v>
      </c>
      <c r="F5987">
        <v>1005</v>
      </c>
      <c r="G5987" t="s">
        <v>62</v>
      </c>
      <c r="H5987">
        <v>2015</v>
      </c>
      <c r="I5987" t="s">
        <v>62</v>
      </c>
      <c r="J5987">
        <v>3226</v>
      </c>
      <c r="K5987" t="s">
        <v>2166</v>
      </c>
      <c r="L5987">
        <v>0</v>
      </c>
      <c r="N5987" t="s">
        <v>253</v>
      </c>
      <c r="O5987">
        <v>10</v>
      </c>
      <c r="P5987">
        <v>790</v>
      </c>
      <c r="Q5987" t="s">
        <v>254</v>
      </c>
      <c r="R5987" t="s">
        <v>201</v>
      </c>
      <c r="S5987">
        <v>1</v>
      </c>
      <c r="T5987">
        <v>1</v>
      </c>
      <c r="U5987">
        <v>85128</v>
      </c>
      <c r="V5987">
        <v>85128</v>
      </c>
    </row>
    <row r="5988" spans="1:22">
      <c r="A5988" t="s">
        <v>196</v>
      </c>
      <c r="B5988">
        <v>23</v>
      </c>
      <c r="C5988" t="s">
        <v>62</v>
      </c>
      <c r="D5988">
        <v>355</v>
      </c>
      <c r="E5988" t="s">
        <v>2157</v>
      </c>
      <c r="F5988">
        <v>1005</v>
      </c>
      <c r="G5988" t="s">
        <v>62</v>
      </c>
      <c r="H5988">
        <v>2015</v>
      </c>
      <c r="I5988" t="s">
        <v>62</v>
      </c>
      <c r="J5988">
        <v>3226</v>
      </c>
      <c r="K5988" t="s">
        <v>2166</v>
      </c>
      <c r="L5988">
        <v>0</v>
      </c>
      <c r="N5988" t="s">
        <v>253</v>
      </c>
      <c r="O5988">
        <v>10</v>
      </c>
      <c r="P5988">
        <v>790</v>
      </c>
      <c r="Q5988" t="s">
        <v>254</v>
      </c>
      <c r="R5988" t="s">
        <v>201</v>
      </c>
      <c r="S5988">
        <v>1</v>
      </c>
      <c r="T5988">
        <v>1</v>
      </c>
      <c r="U5988">
        <v>83052</v>
      </c>
      <c r="V5988">
        <v>83052</v>
      </c>
    </row>
    <row r="5989" spans="1:22">
      <c r="A5989" t="s">
        <v>196</v>
      </c>
      <c r="B5989">
        <v>23</v>
      </c>
      <c r="C5989" t="s">
        <v>62</v>
      </c>
      <c r="D5989">
        <v>355</v>
      </c>
      <c r="E5989" t="s">
        <v>2157</v>
      </c>
      <c r="F5989">
        <v>1005</v>
      </c>
      <c r="G5989" t="s">
        <v>62</v>
      </c>
      <c r="H5989">
        <v>2015</v>
      </c>
      <c r="I5989" t="s">
        <v>62</v>
      </c>
      <c r="J5989">
        <v>3226</v>
      </c>
      <c r="K5989" t="s">
        <v>2166</v>
      </c>
      <c r="L5989">
        <v>0</v>
      </c>
      <c r="N5989" t="s">
        <v>268</v>
      </c>
      <c r="O5989">
        <v>10</v>
      </c>
      <c r="P5989">
        <v>789</v>
      </c>
      <c r="Q5989" t="s">
        <v>324</v>
      </c>
      <c r="R5989" t="s">
        <v>201</v>
      </c>
      <c r="S5989">
        <v>1</v>
      </c>
      <c r="T5989">
        <v>1</v>
      </c>
      <c r="U5989">
        <v>113568</v>
      </c>
      <c r="V5989">
        <v>113568</v>
      </c>
    </row>
    <row r="5990" spans="1:22">
      <c r="A5990" t="s">
        <v>196</v>
      </c>
      <c r="B5990">
        <v>23</v>
      </c>
      <c r="C5990" t="s">
        <v>62</v>
      </c>
      <c r="D5990">
        <v>355</v>
      </c>
      <c r="E5990" t="s">
        <v>2157</v>
      </c>
      <c r="F5990">
        <v>1005</v>
      </c>
      <c r="G5990" t="s">
        <v>62</v>
      </c>
      <c r="H5990">
        <v>2015</v>
      </c>
      <c r="I5990" t="s">
        <v>62</v>
      </c>
      <c r="J5990">
        <v>3226</v>
      </c>
      <c r="K5990" t="s">
        <v>2166</v>
      </c>
      <c r="L5990">
        <v>0</v>
      </c>
      <c r="N5990" t="s">
        <v>199</v>
      </c>
      <c r="O5990">
        <v>0</v>
      </c>
      <c r="P5990">
        <v>15</v>
      </c>
      <c r="Q5990" t="s">
        <v>264</v>
      </c>
      <c r="R5990" t="s">
        <v>201</v>
      </c>
      <c r="S5990">
        <v>0</v>
      </c>
      <c r="T5990">
        <v>0</v>
      </c>
      <c r="U5990">
        <v>18102</v>
      </c>
      <c r="V5990">
        <v>18102</v>
      </c>
    </row>
    <row r="5991" spans="1:22">
      <c r="A5991" t="s">
        <v>196</v>
      </c>
      <c r="B5991">
        <v>23</v>
      </c>
      <c r="C5991" t="s">
        <v>62</v>
      </c>
      <c r="D5991">
        <v>355</v>
      </c>
      <c r="E5991" t="s">
        <v>2157</v>
      </c>
      <c r="F5991">
        <v>1005</v>
      </c>
      <c r="G5991" t="s">
        <v>62</v>
      </c>
      <c r="H5991">
        <v>2015</v>
      </c>
      <c r="I5991" t="s">
        <v>62</v>
      </c>
      <c r="J5991">
        <v>3235</v>
      </c>
      <c r="K5991" t="s">
        <v>2167</v>
      </c>
      <c r="L5991">
        <v>0</v>
      </c>
      <c r="N5991" t="s">
        <v>266</v>
      </c>
      <c r="O5991">
        <v>9</v>
      </c>
      <c r="P5991">
        <v>9679</v>
      </c>
      <c r="Q5991" t="s">
        <v>338</v>
      </c>
      <c r="R5991" t="s">
        <v>201</v>
      </c>
      <c r="S5991">
        <v>1</v>
      </c>
      <c r="T5991">
        <v>1</v>
      </c>
      <c r="U5991">
        <v>139140</v>
      </c>
      <c r="V5991">
        <v>139140</v>
      </c>
    </row>
    <row r="5992" spans="1:22">
      <c r="A5992" t="s">
        <v>196</v>
      </c>
      <c r="B5992">
        <v>23</v>
      </c>
      <c r="C5992" t="s">
        <v>62</v>
      </c>
      <c r="D5992">
        <v>355</v>
      </c>
      <c r="E5992" t="s">
        <v>2157</v>
      </c>
      <c r="F5992">
        <v>1005</v>
      </c>
      <c r="G5992" t="s">
        <v>62</v>
      </c>
      <c r="H5992">
        <v>2015</v>
      </c>
      <c r="I5992" t="s">
        <v>62</v>
      </c>
      <c r="J5992">
        <v>3235</v>
      </c>
      <c r="K5992" t="s">
        <v>2167</v>
      </c>
      <c r="L5992">
        <v>0</v>
      </c>
      <c r="N5992" t="s">
        <v>268</v>
      </c>
      <c r="O5992">
        <v>10</v>
      </c>
      <c r="P5992">
        <v>1756</v>
      </c>
      <c r="Q5992" t="s">
        <v>2164</v>
      </c>
      <c r="R5992" t="s">
        <v>201</v>
      </c>
      <c r="S5992">
        <v>1</v>
      </c>
      <c r="T5992">
        <v>1</v>
      </c>
      <c r="U5992">
        <v>83052</v>
      </c>
      <c r="V5992">
        <v>83052</v>
      </c>
    </row>
    <row r="5993" spans="1:22">
      <c r="A5993" t="s">
        <v>196</v>
      </c>
      <c r="B5993">
        <v>23</v>
      </c>
      <c r="C5993" t="s">
        <v>62</v>
      </c>
      <c r="D5993">
        <v>355</v>
      </c>
      <c r="E5993" t="s">
        <v>2157</v>
      </c>
      <c r="F5993">
        <v>1005</v>
      </c>
      <c r="G5993" t="s">
        <v>62</v>
      </c>
      <c r="H5993">
        <v>2015</v>
      </c>
      <c r="I5993" t="s">
        <v>62</v>
      </c>
      <c r="J5993">
        <v>3235</v>
      </c>
      <c r="K5993" t="s">
        <v>2167</v>
      </c>
      <c r="L5993">
        <v>0</v>
      </c>
      <c r="N5993" t="s">
        <v>268</v>
      </c>
      <c r="O5993">
        <v>10</v>
      </c>
      <c r="P5993">
        <v>1756</v>
      </c>
      <c r="Q5993" t="s">
        <v>2164</v>
      </c>
      <c r="R5993" t="s">
        <v>201</v>
      </c>
      <c r="S5993">
        <v>1</v>
      </c>
      <c r="T5993">
        <v>1</v>
      </c>
      <c r="U5993">
        <v>80124</v>
      </c>
      <c r="V5993">
        <v>80124</v>
      </c>
    </row>
    <row r="5994" spans="1:22">
      <c r="A5994" t="s">
        <v>196</v>
      </c>
      <c r="B5994">
        <v>23</v>
      </c>
      <c r="C5994" t="s">
        <v>62</v>
      </c>
      <c r="D5994">
        <v>355</v>
      </c>
      <c r="E5994" t="s">
        <v>2157</v>
      </c>
      <c r="F5994">
        <v>1005</v>
      </c>
      <c r="G5994" t="s">
        <v>62</v>
      </c>
      <c r="H5994">
        <v>2015</v>
      </c>
      <c r="I5994" t="s">
        <v>62</v>
      </c>
      <c r="J5994">
        <v>3235</v>
      </c>
      <c r="K5994" t="s">
        <v>2167</v>
      </c>
      <c r="L5994">
        <v>0</v>
      </c>
      <c r="N5994" t="s">
        <v>268</v>
      </c>
      <c r="O5994">
        <v>10</v>
      </c>
      <c r="P5994">
        <v>1756</v>
      </c>
      <c r="Q5994" t="s">
        <v>2164</v>
      </c>
      <c r="R5994" t="s">
        <v>201</v>
      </c>
      <c r="S5994">
        <v>1</v>
      </c>
      <c r="T5994">
        <v>1</v>
      </c>
      <c r="U5994">
        <v>69684</v>
      </c>
      <c r="V5994">
        <v>69684</v>
      </c>
    </row>
    <row r="5995" spans="1:22">
      <c r="A5995" t="s">
        <v>196</v>
      </c>
      <c r="B5995">
        <v>23</v>
      </c>
      <c r="C5995" t="s">
        <v>62</v>
      </c>
      <c r="D5995">
        <v>355</v>
      </c>
      <c r="E5995" t="s">
        <v>2157</v>
      </c>
      <c r="F5995">
        <v>1005</v>
      </c>
      <c r="G5995" t="s">
        <v>62</v>
      </c>
      <c r="H5995">
        <v>2015</v>
      </c>
      <c r="I5995" t="s">
        <v>62</v>
      </c>
      <c r="J5995">
        <v>3235</v>
      </c>
      <c r="K5995" t="s">
        <v>2167</v>
      </c>
      <c r="L5995">
        <v>0</v>
      </c>
      <c r="N5995" t="s">
        <v>251</v>
      </c>
      <c r="O5995">
        <v>10</v>
      </c>
      <c r="P5995">
        <v>1430</v>
      </c>
      <c r="Q5995" t="s">
        <v>850</v>
      </c>
      <c r="R5995" t="s">
        <v>201</v>
      </c>
      <c r="S5995">
        <v>1</v>
      </c>
      <c r="T5995">
        <v>1</v>
      </c>
      <c r="U5995">
        <v>76476</v>
      </c>
      <c r="V5995">
        <v>76476</v>
      </c>
    </row>
    <row r="5996" spans="1:22">
      <c r="A5996" t="s">
        <v>196</v>
      </c>
      <c r="B5996">
        <v>23</v>
      </c>
      <c r="C5996" t="s">
        <v>62</v>
      </c>
      <c r="D5996">
        <v>355</v>
      </c>
      <c r="E5996" t="s">
        <v>2157</v>
      </c>
      <c r="F5996">
        <v>1005</v>
      </c>
      <c r="G5996" t="s">
        <v>62</v>
      </c>
      <c r="H5996">
        <v>2015</v>
      </c>
      <c r="I5996" t="s">
        <v>62</v>
      </c>
      <c r="J5996">
        <v>3235</v>
      </c>
      <c r="K5996" t="s">
        <v>2167</v>
      </c>
      <c r="L5996">
        <v>0</v>
      </c>
      <c r="N5996" t="s">
        <v>274</v>
      </c>
      <c r="O5996">
        <v>9</v>
      </c>
      <c r="P5996">
        <v>346</v>
      </c>
      <c r="Q5996" t="s">
        <v>2168</v>
      </c>
      <c r="R5996" t="s">
        <v>201</v>
      </c>
      <c r="S5996">
        <v>1</v>
      </c>
      <c r="T5996">
        <v>1</v>
      </c>
      <c r="U5996">
        <v>146808</v>
      </c>
      <c r="V5996">
        <v>146808</v>
      </c>
    </row>
    <row r="5997" spans="1:22">
      <c r="A5997" t="s">
        <v>196</v>
      </c>
      <c r="B5997">
        <v>23</v>
      </c>
      <c r="C5997" t="s">
        <v>62</v>
      </c>
      <c r="D5997">
        <v>355</v>
      </c>
      <c r="E5997" t="s">
        <v>2157</v>
      </c>
      <c r="F5997">
        <v>1005</v>
      </c>
      <c r="G5997" t="s">
        <v>62</v>
      </c>
      <c r="H5997">
        <v>2015</v>
      </c>
      <c r="I5997" t="s">
        <v>62</v>
      </c>
      <c r="J5997">
        <v>3235</v>
      </c>
      <c r="K5997" t="s">
        <v>2167</v>
      </c>
      <c r="L5997">
        <v>0</v>
      </c>
      <c r="N5997" t="s">
        <v>199</v>
      </c>
      <c r="O5997">
        <v>0</v>
      </c>
      <c r="P5997">
        <v>15</v>
      </c>
      <c r="Q5997" t="s">
        <v>264</v>
      </c>
      <c r="R5997" t="s">
        <v>201</v>
      </c>
      <c r="S5997">
        <v>0</v>
      </c>
      <c r="T5997">
        <v>0</v>
      </c>
      <c r="U5997">
        <v>14978</v>
      </c>
      <c r="V5997">
        <v>14978</v>
      </c>
    </row>
    <row r="5998" spans="1:22">
      <c r="A5998" t="s">
        <v>196</v>
      </c>
      <c r="B5998">
        <v>23</v>
      </c>
      <c r="C5998" t="s">
        <v>62</v>
      </c>
      <c r="D5998">
        <v>355</v>
      </c>
      <c r="E5998" t="s">
        <v>2157</v>
      </c>
      <c r="F5998">
        <v>1005</v>
      </c>
      <c r="G5998" t="s">
        <v>62</v>
      </c>
      <c r="H5998">
        <v>2015</v>
      </c>
      <c r="I5998" t="s">
        <v>62</v>
      </c>
      <c r="J5998">
        <v>3236</v>
      </c>
      <c r="K5998" t="s">
        <v>243</v>
      </c>
      <c r="L5998">
        <v>0</v>
      </c>
      <c r="N5998" t="s">
        <v>266</v>
      </c>
      <c r="O5998">
        <v>9</v>
      </c>
      <c r="P5998">
        <v>9679</v>
      </c>
      <c r="Q5998" t="s">
        <v>338</v>
      </c>
      <c r="R5998" t="s">
        <v>201</v>
      </c>
      <c r="S5998">
        <v>1</v>
      </c>
      <c r="T5998">
        <v>1</v>
      </c>
      <c r="U5998">
        <v>139140</v>
      </c>
      <c r="V5998">
        <v>139140</v>
      </c>
    </row>
    <row r="5999" spans="1:22">
      <c r="A5999" t="s">
        <v>196</v>
      </c>
      <c r="B5999">
        <v>23</v>
      </c>
      <c r="C5999" t="s">
        <v>62</v>
      </c>
      <c r="D5999">
        <v>355</v>
      </c>
      <c r="E5999" t="s">
        <v>2157</v>
      </c>
      <c r="F5999">
        <v>1005</v>
      </c>
      <c r="G5999" t="s">
        <v>62</v>
      </c>
      <c r="H5999">
        <v>2015</v>
      </c>
      <c r="I5999" t="s">
        <v>62</v>
      </c>
      <c r="J5999">
        <v>3236</v>
      </c>
      <c r="K5999" t="s">
        <v>243</v>
      </c>
      <c r="L5999">
        <v>0</v>
      </c>
      <c r="N5999" t="s">
        <v>253</v>
      </c>
      <c r="O5999">
        <v>20</v>
      </c>
      <c r="P5999">
        <v>1778</v>
      </c>
      <c r="Q5999" t="s">
        <v>2159</v>
      </c>
      <c r="R5999" t="s">
        <v>201</v>
      </c>
      <c r="S5999">
        <v>1</v>
      </c>
      <c r="T5999">
        <v>1</v>
      </c>
      <c r="U5999">
        <v>136692</v>
      </c>
      <c r="V5999">
        <v>136692</v>
      </c>
    </row>
    <row r="6000" spans="1:22">
      <c r="A6000" t="s">
        <v>196</v>
      </c>
      <c r="B6000">
        <v>23</v>
      </c>
      <c r="C6000" t="s">
        <v>62</v>
      </c>
      <c r="D6000">
        <v>355</v>
      </c>
      <c r="E6000" t="s">
        <v>2157</v>
      </c>
      <c r="F6000">
        <v>1005</v>
      </c>
      <c r="G6000" t="s">
        <v>62</v>
      </c>
      <c r="H6000">
        <v>2015</v>
      </c>
      <c r="I6000" t="s">
        <v>62</v>
      </c>
      <c r="J6000">
        <v>3236</v>
      </c>
      <c r="K6000" t="s">
        <v>243</v>
      </c>
      <c r="L6000">
        <v>0</v>
      </c>
      <c r="N6000" t="s">
        <v>274</v>
      </c>
      <c r="O6000">
        <v>10</v>
      </c>
      <c r="P6000">
        <v>1757</v>
      </c>
      <c r="Q6000" t="s">
        <v>2160</v>
      </c>
      <c r="R6000" t="s">
        <v>201</v>
      </c>
      <c r="S6000">
        <v>2</v>
      </c>
      <c r="T6000">
        <v>1</v>
      </c>
      <c r="U6000">
        <v>146808</v>
      </c>
      <c r="V6000">
        <v>293616</v>
      </c>
    </row>
    <row r="6001" spans="1:22">
      <c r="A6001" t="s">
        <v>196</v>
      </c>
      <c r="B6001">
        <v>23</v>
      </c>
      <c r="C6001" t="s">
        <v>62</v>
      </c>
      <c r="D6001">
        <v>355</v>
      </c>
      <c r="E6001" t="s">
        <v>2157</v>
      </c>
      <c r="F6001">
        <v>1005</v>
      </c>
      <c r="G6001" t="s">
        <v>62</v>
      </c>
      <c r="H6001">
        <v>2015</v>
      </c>
      <c r="I6001" t="s">
        <v>62</v>
      </c>
      <c r="J6001">
        <v>3236</v>
      </c>
      <c r="K6001" t="s">
        <v>243</v>
      </c>
      <c r="L6001">
        <v>0</v>
      </c>
      <c r="N6001" t="s">
        <v>268</v>
      </c>
      <c r="O6001">
        <v>10</v>
      </c>
      <c r="P6001">
        <v>1756</v>
      </c>
      <c r="Q6001" t="s">
        <v>2164</v>
      </c>
      <c r="R6001" t="s">
        <v>201</v>
      </c>
      <c r="S6001">
        <v>1</v>
      </c>
      <c r="T6001">
        <v>1</v>
      </c>
      <c r="U6001">
        <v>98832</v>
      </c>
      <c r="V6001">
        <v>98832</v>
      </c>
    </row>
    <row r="6002" spans="1:22">
      <c r="A6002" t="s">
        <v>196</v>
      </c>
      <c r="B6002">
        <v>23</v>
      </c>
      <c r="C6002" t="s">
        <v>62</v>
      </c>
      <c r="D6002">
        <v>355</v>
      </c>
      <c r="E6002" t="s">
        <v>2157</v>
      </c>
      <c r="F6002">
        <v>1005</v>
      </c>
      <c r="G6002" t="s">
        <v>62</v>
      </c>
      <c r="H6002">
        <v>2015</v>
      </c>
      <c r="I6002" t="s">
        <v>62</v>
      </c>
      <c r="J6002">
        <v>3236</v>
      </c>
      <c r="K6002" t="s">
        <v>243</v>
      </c>
      <c r="L6002">
        <v>0</v>
      </c>
      <c r="N6002" t="s">
        <v>268</v>
      </c>
      <c r="O6002">
        <v>10</v>
      </c>
      <c r="P6002">
        <v>1756</v>
      </c>
      <c r="Q6002" t="s">
        <v>2164</v>
      </c>
      <c r="R6002" t="s">
        <v>201</v>
      </c>
      <c r="S6002">
        <v>1</v>
      </c>
      <c r="T6002">
        <v>1</v>
      </c>
      <c r="U6002">
        <v>85980</v>
      </c>
      <c r="V6002">
        <v>85980</v>
      </c>
    </row>
    <row r="6003" spans="1:22">
      <c r="A6003" t="s">
        <v>196</v>
      </c>
      <c r="B6003">
        <v>23</v>
      </c>
      <c r="C6003" t="s">
        <v>62</v>
      </c>
      <c r="D6003">
        <v>355</v>
      </c>
      <c r="E6003" t="s">
        <v>2157</v>
      </c>
      <c r="F6003">
        <v>1005</v>
      </c>
      <c r="G6003" t="s">
        <v>62</v>
      </c>
      <c r="H6003">
        <v>2015</v>
      </c>
      <c r="I6003" t="s">
        <v>62</v>
      </c>
      <c r="J6003">
        <v>3236</v>
      </c>
      <c r="K6003" t="s">
        <v>243</v>
      </c>
      <c r="L6003">
        <v>0</v>
      </c>
      <c r="N6003" t="s">
        <v>268</v>
      </c>
      <c r="O6003">
        <v>10</v>
      </c>
      <c r="P6003">
        <v>1756</v>
      </c>
      <c r="Q6003" t="s">
        <v>2164</v>
      </c>
      <c r="R6003" t="s">
        <v>201</v>
      </c>
      <c r="S6003">
        <v>1</v>
      </c>
      <c r="T6003">
        <v>1</v>
      </c>
      <c r="U6003">
        <v>80124</v>
      </c>
      <c r="V6003">
        <v>80124</v>
      </c>
    </row>
    <row r="6004" spans="1:22">
      <c r="A6004" t="s">
        <v>196</v>
      </c>
      <c r="B6004">
        <v>23</v>
      </c>
      <c r="C6004" t="s">
        <v>62</v>
      </c>
      <c r="D6004">
        <v>355</v>
      </c>
      <c r="E6004" t="s">
        <v>2157</v>
      </c>
      <c r="F6004">
        <v>1005</v>
      </c>
      <c r="G6004" t="s">
        <v>62</v>
      </c>
      <c r="H6004">
        <v>2015</v>
      </c>
      <c r="I6004" t="s">
        <v>62</v>
      </c>
      <c r="J6004">
        <v>3236</v>
      </c>
      <c r="K6004" t="s">
        <v>243</v>
      </c>
      <c r="L6004">
        <v>0</v>
      </c>
      <c r="N6004" t="s">
        <v>268</v>
      </c>
      <c r="O6004">
        <v>10</v>
      </c>
      <c r="P6004">
        <v>1756</v>
      </c>
      <c r="Q6004" t="s">
        <v>2164</v>
      </c>
      <c r="R6004" t="s">
        <v>201</v>
      </c>
      <c r="S6004">
        <v>1</v>
      </c>
      <c r="T6004">
        <v>1</v>
      </c>
      <c r="U6004">
        <v>72996</v>
      </c>
      <c r="V6004">
        <v>72996</v>
      </c>
    </row>
    <row r="6005" spans="1:22">
      <c r="A6005" t="s">
        <v>196</v>
      </c>
      <c r="B6005">
        <v>23</v>
      </c>
      <c r="C6005" t="s">
        <v>62</v>
      </c>
      <c r="D6005">
        <v>355</v>
      </c>
      <c r="E6005" t="s">
        <v>2157</v>
      </c>
      <c r="F6005">
        <v>1005</v>
      </c>
      <c r="G6005" t="s">
        <v>62</v>
      </c>
      <c r="H6005">
        <v>2015</v>
      </c>
      <c r="I6005" t="s">
        <v>62</v>
      </c>
      <c r="J6005">
        <v>3236</v>
      </c>
      <c r="K6005" t="s">
        <v>243</v>
      </c>
      <c r="L6005">
        <v>0</v>
      </c>
      <c r="N6005" t="s">
        <v>274</v>
      </c>
      <c r="O6005">
        <v>9</v>
      </c>
      <c r="P6005">
        <v>346</v>
      </c>
      <c r="Q6005" t="s">
        <v>2168</v>
      </c>
      <c r="R6005" t="s">
        <v>201</v>
      </c>
      <c r="S6005">
        <v>1</v>
      </c>
      <c r="T6005">
        <v>1</v>
      </c>
      <c r="U6005">
        <v>146808</v>
      </c>
      <c r="V6005">
        <v>146808</v>
      </c>
    </row>
    <row r="6006" spans="1:22">
      <c r="A6006" t="s">
        <v>196</v>
      </c>
      <c r="B6006">
        <v>23</v>
      </c>
      <c r="C6006" t="s">
        <v>62</v>
      </c>
      <c r="D6006">
        <v>355</v>
      </c>
      <c r="E6006" t="s">
        <v>2157</v>
      </c>
      <c r="F6006">
        <v>1005</v>
      </c>
      <c r="G6006" t="s">
        <v>62</v>
      </c>
      <c r="H6006">
        <v>2015</v>
      </c>
      <c r="I6006" t="s">
        <v>62</v>
      </c>
      <c r="J6006">
        <v>3236</v>
      </c>
      <c r="K6006" t="s">
        <v>243</v>
      </c>
      <c r="L6006">
        <v>0</v>
      </c>
      <c r="N6006" t="s">
        <v>249</v>
      </c>
      <c r="O6006">
        <v>10</v>
      </c>
      <c r="P6006">
        <v>311</v>
      </c>
      <c r="Q6006" t="s">
        <v>661</v>
      </c>
      <c r="R6006" t="s">
        <v>201</v>
      </c>
      <c r="S6006">
        <v>1</v>
      </c>
      <c r="T6006">
        <v>1</v>
      </c>
      <c r="U6006">
        <v>113568</v>
      </c>
      <c r="V6006">
        <v>113568</v>
      </c>
    </row>
    <row r="6007" spans="1:22">
      <c r="A6007" t="s">
        <v>196</v>
      </c>
      <c r="B6007">
        <v>23</v>
      </c>
      <c r="C6007" t="s">
        <v>62</v>
      </c>
      <c r="D6007">
        <v>355</v>
      </c>
      <c r="E6007" t="s">
        <v>2157</v>
      </c>
      <c r="F6007">
        <v>1005</v>
      </c>
      <c r="G6007" t="s">
        <v>62</v>
      </c>
      <c r="H6007">
        <v>2015</v>
      </c>
      <c r="I6007" t="s">
        <v>62</v>
      </c>
      <c r="J6007">
        <v>3236</v>
      </c>
      <c r="K6007" t="s">
        <v>243</v>
      </c>
      <c r="L6007">
        <v>0</v>
      </c>
      <c r="N6007" t="s">
        <v>341</v>
      </c>
      <c r="O6007">
        <v>1</v>
      </c>
      <c r="P6007">
        <v>308</v>
      </c>
      <c r="Q6007" t="s">
        <v>355</v>
      </c>
      <c r="R6007" t="s">
        <v>201</v>
      </c>
      <c r="S6007">
        <v>1</v>
      </c>
      <c r="T6007">
        <v>1</v>
      </c>
      <c r="U6007">
        <v>74172</v>
      </c>
      <c r="V6007">
        <v>74172</v>
      </c>
    </row>
    <row r="6008" spans="1:22">
      <c r="A6008" t="s">
        <v>196</v>
      </c>
      <c r="B6008">
        <v>23</v>
      </c>
      <c r="C6008" t="s">
        <v>62</v>
      </c>
      <c r="D6008">
        <v>355</v>
      </c>
      <c r="E6008" t="s">
        <v>2157</v>
      </c>
      <c r="F6008">
        <v>1005</v>
      </c>
      <c r="G6008" t="s">
        <v>62</v>
      </c>
      <c r="H6008">
        <v>2015</v>
      </c>
      <c r="I6008" t="s">
        <v>62</v>
      </c>
      <c r="J6008">
        <v>3236</v>
      </c>
      <c r="K6008" t="s">
        <v>243</v>
      </c>
      <c r="L6008">
        <v>0</v>
      </c>
      <c r="N6008" t="s">
        <v>199</v>
      </c>
      <c r="O6008">
        <v>0</v>
      </c>
      <c r="P6008">
        <v>15</v>
      </c>
      <c r="Q6008" t="s">
        <v>264</v>
      </c>
      <c r="R6008" t="s">
        <v>201</v>
      </c>
      <c r="S6008">
        <v>0</v>
      </c>
      <c r="T6008">
        <v>0</v>
      </c>
      <c r="U6008">
        <v>14740</v>
      </c>
      <c r="V6008">
        <v>14740</v>
      </c>
    </row>
    <row r="6009" spans="1:22">
      <c r="A6009" t="s">
        <v>196</v>
      </c>
      <c r="B6009">
        <v>23</v>
      </c>
      <c r="C6009" t="s">
        <v>62</v>
      </c>
      <c r="D6009">
        <v>355</v>
      </c>
      <c r="E6009" t="s">
        <v>2157</v>
      </c>
      <c r="F6009">
        <v>1005</v>
      </c>
      <c r="G6009" t="s">
        <v>62</v>
      </c>
      <c r="H6009">
        <v>2015</v>
      </c>
      <c r="I6009" t="s">
        <v>62</v>
      </c>
      <c r="J6009">
        <v>3240</v>
      </c>
      <c r="K6009" t="s">
        <v>2169</v>
      </c>
      <c r="L6009">
        <v>0</v>
      </c>
      <c r="N6009" t="s">
        <v>266</v>
      </c>
      <c r="O6009">
        <v>9</v>
      </c>
      <c r="P6009">
        <v>9684</v>
      </c>
      <c r="Q6009" t="s">
        <v>327</v>
      </c>
      <c r="R6009" t="s">
        <v>201</v>
      </c>
      <c r="S6009">
        <v>1</v>
      </c>
      <c r="T6009">
        <v>1</v>
      </c>
      <c r="U6009">
        <v>157332</v>
      </c>
      <c r="V6009">
        <v>157332</v>
      </c>
    </row>
    <row r="6010" spans="1:22">
      <c r="A6010" t="s">
        <v>196</v>
      </c>
      <c r="B6010">
        <v>23</v>
      </c>
      <c r="C6010" t="s">
        <v>62</v>
      </c>
      <c r="D6010">
        <v>355</v>
      </c>
      <c r="E6010" t="s">
        <v>2157</v>
      </c>
      <c r="F6010">
        <v>1005</v>
      </c>
      <c r="G6010" t="s">
        <v>62</v>
      </c>
      <c r="H6010">
        <v>2015</v>
      </c>
      <c r="I6010" t="s">
        <v>62</v>
      </c>
      <c r="J6010">
        <v>3240</v>
      </c>
      <c r="K6010" t="s">
        <v>2169</v>
      </c>
      <c r="L6010">
        <v>0</v>
      </c>
      <c r="N6010" t="s">
        <v>274</v>
      </c>
      <c r="O6010">
        <v>10</v>
      </c>
      <c r="P6010">
        <v>1757</v>
      </c>
      <c r="Q6010" t="s">
        <v>2160</v>
      </c>
      <c r="R6010" t="s">
        <v>201</v>
      </c>
      <c r="S6010">
        <v>1</v>
      </c>
      <c r="T6010">
        <v>1</v>
      </c>
      <c r="U6010">
        <v>146808</v>
      </c>
      <c r="V6010">
        <v>146808</v>
      </c>
    </row>
    <row r="6011" spans="1:22">
      <c r="A6011" t="s">
        <v>196</v>
      </c>
      <c r="B6011">
        <v>23</v>
      </c>
      <c r="C6011" t="s">
        <v>62</v>
      </c>
      <c r="D6011">
        <v>355</v>
      </c>
      <c r="E6011" t="s">
        <v>2157</v>
      </c>
      <c r="F6011">
        <v>1005</v>
      </c>
      <c r="G6011" t="s">
        <v>62</v>
      </c>
      <c r="H6011">
        <v>2015</v>
      </c>
      <c r="I6011" t="s">
        <v>62</v>
      </c>
      <c r="J6011">
        <v>3240</v>
      </c>
      <c r="K6011" t="s">
        <v>2169</v>
      </c>
      <c r="L6011">
        <v>0</v>
      </c>
      <c r="N6011" t="s">
        <v>274</v>
      </c>
      <c r="O6011">
        <v>10</v>
      </c>
      <c r="P6011">
        <v>1757</v>
      </c>
      <c r="Q6011" t="s">
        <v>2160</v>
      </c>
      <c r="R6011" t="s">
        <v>201</v>
      </c>
      <c r="S6011">
        <v>2</v>
      </c>
      <c r="T6011">
        <v>1</v>
      </c>
      <c r="U6011">
        <v>121668</v>
      </c>
      <c r="V6011">
        <v>243336</v>
      </c>
    </row>
    <row r="6012" spans="1:22">
      <c r="A6012" t="s">
        <v>196</v>
      </c>
      <c r="B6012">
        <v>23</v>
      </c>
      <c r="C6012" t="s">
        <v>62</v>
      </c>
      <c r="D6012">
        <v>355</v>
      </c>
      <c r="E6012" t="s">
        <v>2157</v>
      </c>
      <c r="F6012">
        <v>1005</v>
      </c>
      <c r="G6012" t="s">
        <v>62</v>
      </c>
      <c r="H6012">
        <v>2015</v>
      </c>
      <c r="I6012" t="s">
        <v>62</v>
      </c>
      <c r="J6012">
        <v>3240</v>
      </c>
      <c r="K6012" t="s">
        <v>2169</v>
      </c>
      <c r="L6012">
        <v>0</v>
      </c>
      <c r="N6012" t="s">
        <v>268</v>
      </c>
      <c r="O6012">
        <v>10</v>
      </c>
      <c r="P6012">
        <v>1756</v>
      </c>
      <c r="Q6012" t="s">
        <v>2164</v>
      </c>
      <c r="R6012" t="s">
        <v>201</v>
      </c>
      <c r="S6012">
        <v>2</v>
      </c>
      <c r="T6012">
        <v>1</v>
      </c>
      <c r="U6012">
        <v>90000</v>
      </c>
      <c r="V6012">
        <v>180000</v>
      </c>
    </row>
    <row r="6013" spans="1:22">
      <c r="A6013" t="s">
        <v>196</v>
      </c>
      <c r="B6013">
        <v>23</v>
      </c>
      <c r="C6013" t="s">
        <v>62</v>
      </c>
      <c r="D6013">
        <v>355</v>
      </c>
      <c r="E6013" t="s">
        <v>2157</v>
      </c>
      <c r="F6013">
        <v>1005</v>
      </c>
      <c r="G6013" t="s">
        <v>62</v>
      </c>
      <c r="H6013">
        <v>2015</v>
      </c>
      <c r="I6013" t="s">
        <v>62</v>
      </c>
      <c r="J6013">
        <v>3240</v>
      </c>
      <c r="K6013" t="s">
        <v>2169</v>
      </c>
      <c r="L6013">
        <v>0</v>
      </c>
      <c r="N6013" t="s">
        <v>268</v>
      </c>
      <c r="O6013">
        <v>10</v>
      </c>
      <c r="P6013">
        <v>1756</v>
      </c>
      <c r="Q6013" t="s">
        <v>2164</v>
      </c>
      <c r="R6013" t="s">
        <v>201</v>
      </c>
      <c r="S6013">
        <v>1</v>
      </c>
      <c r="T6013">
        <v>1</v>
      </c>
      <c r="U6013">
        <v>83052</v>
      </c>
      <c r="V6013">
        <v>83052</v>
      </c>
    </row>
    <row r="6014" spans="1:22">
      <c r="A6014" t="s">
        <v>196</v>
      </c>
      <c r="B6014">
        <v>23</v>
      </c>
      <c r="C6014" t="s">
        <v>62</v>
      </c>
      <c r="D6014">
        <v>355</v>
      </c>
      <c r="E6014" t="s">
        <v>2157</v>
      </c>
      <c r="F6014">
        <v>1005</v>
      </c>
      <c r="G6014" t="s">
        <v>62</v>
      </c>
      <c r="H6014">
        <v>2015</v>
      </c>
      <c r="I6014" t="s">
        <v>62</v>
      </c>
      <c r="J6014">
        <v>3240</v>
      </c>
      <c r="K6014" t="s">
        <v>2169</v>
      </c>
      <c r="L6014">
        <v>0</v>
      </c>
      <c r="N6014" t="s">
        <v>268</v>
      </c>
      <c r="O6014">
        <v>10</v>
      </c>
      <c r="P6014">
        <v>1756</v>
      </c>
      <c r="Q6014" t="s">
        <v>2164</v>
      </c>
      <c r="R6014" t="s">
        <v>201</v>
      </c>
      <c r="S6014">
        <v>2</v>
      </c>
      <c r="T6014">
        <v>1</v>
      </c>
      <c r="U6014">
        <v>80124</v>
      </c>
      <c r="V6014">
        <v>160248</v>
      </c>
    </row>
    <row r="6015" spans="1:22">
      <c r="A6015" t="s">
        <v>196</v>
      </c>
      <c r="B6015">
        <v>23</v>
      </c>
      <c r="C6015" t="s">
        <v>62</v>
      </c>
      <c r="D6015">
        <v>355</v>
      </c>
      <c r="E6015" t="s">
        <v>2157</v>
      </c>
      <c r="F6015">
        <v>1005</v>
      </c>
      <c r="G6015" t="s">
        <v>62</v>
      </c>
      <c r="H6015">
        <v>2015</v>
      </c>
      <c r="I6015" t="s">
        <v>62</v>
      </c>
      <c r="J6015">
        <v>3240</v>
      </c>
      <c r="K6015" t="s">
        <v>2169</v>
      </c>
      <c r="L6015">
        <v>0</v>
      </c>
      <c r="N6015" t="s">
        <v>268</v>
      </c>
      <c r="O6015">
        <v>10</v>
      </c>
      <c r="P6015">
        <v>1756</v>
      </c>
      <c r="Q6015" t="s">
        <v>2164</v>
      </c>
      <c r="R6015" t="s">
        <v>201</v>
      </c>
      <c r="S6015">
        <v>1</v>
      </c>
      <c r="T6015">
        <v>1</v>
      </c>
      <c r="U6015">
        <v>69684</v>
      </c>
      <c r="V6015">
        <v>69684</v>
      </c>
    </row>
    <row r="6016" spans="1:22">
      <c r="A6016" t="s">
        <v>196</v>
      </c>
      <c r="B6016">
        <v>23</v>
      </c>
      <c r="C6016" t="s">
        <v>62</v>
      </c>
      <c r="D6016">
        <v>355</v>
      </c>
      <c r="E6016" t="s">
        <v>2157</v>
      </c>
      <c r="F6016">
        <v>1005</v>
      </c>
      <c r="G6016" t="s">
        <v>62</v>
      </c>
      <c r="H6016">
        <v>2015</v>
      </c>
      <c r="I6016" t="s">
        <v>62</v>
      </c>
      <c r="J6016">
        <v>3240</v>
      </c>
      <c r="K6016" t="s">
        <v>2169</v>
      </c>
      <c r="L6016">
        <v>0</v>
      </c>
      <c r="N6016" t="s">
        <v>268</v>
      </c>
      <c r="O6016">
        <v>10</v>
      </c>
      <c r="P6016">
        <v>715</v>
      </c>
      <c r="Q6016" t="s">
        <v>2170</v>
      </c>
      <c r="R6016" t="s">
        <v>201</v>
      </c>
      <c r="S6016">
        <v>1</v>
      </c>
      <c r="T6016">
        <v>1</v>
      </c>
      <c r="U6016">
        <v>72996</v>
      </c>
      <c r="V6016">
        <v>72996</v>
      </c>
    </row>
    <row r="6017" spans="1:22">
      <c r="A6017" t="s">
        <v>196</v>
      </c>
      <c r="B6017">
        <v>23</v>
      </c>
      <c r="C6017" t="s">
        <v>62</v>
      </c>
      <c r="D6017">
        <v>355</v>
      </c>
      <c r="E6017" t="s">
        <v>2157</v>
      </c>
      <c r="F6017">
        <v>1005</v>
      </c>
      <c r="G6017" t="s">
        <v>62</v>
      </c>
      <c r="H6017">
        <v>2015</v>
      </c>
      <c r="I6017" t="s">
        <v>62</v>
      </c>
      <c r="J6017">
        <v>3240</v>
      </c>
      <c r="K6017" t="s">
        <v>2169</v>
      </c>
      <c r="L6017">
        <v>0</v>
      </c>
      <c r="N6017" t="s">
        <v>251</v>
      </c>
      <c r="O6017">
        <v>10</v>
      </c>
      <c r="P6017">
        <v>347</v>
      </c>
      <c r="Q6017" t="s">
        <v>2162</v>
      </c>
      <c r="R6017" t="s">
        <v>201</v>
      </c>
      <c r="S6017">
        <v>1</v>
      </c>
      <c r="T6017">
        <v>1</v>
      </c>
      <c r="U6017">
        <v>76476</v>
      </c>
      <c r="V6017">
        <v>76476</v>
      </c>
    </row>
    <row r="6018" spans="1:22">
      <c r="A6018" t="s">
        <v>196</v>
      </c>
      <c r="B6018">
        <v>23</v>
      </c>
      <c r="C6018" t="s">
        <v>62</v>
      </c>
      <c r="D6018">
        <v>355</v>
      </c>
      <c r="E6018" t="s">
        <v>2157</v>
      </c>
      <c r="F6018">
        <v>1005</v>
      </c>
      <c r="G6018" t="s">
        <v>62</v>
      </c>
      <c r="H6018">
        <v>2015</v>
      </c>
      <c r="I6018" t="s">
        <v>62</v>
      </c>
      <c r="J6018">
        <v>3240</v>
      </c>
      <c r="K6018" t="s">
        <v>2169</v>
      </c>
      <c r="L6018">
        <v>0</v>
      </c>
      <c r="N6018" t="s">
        <v>249</v>
      </c>
      <c r="O6018">
        <v>10</v>
      </c>
      <c r="P6018">
        <v>311</v>
      </c>
      <c r="Q6018" t="s">
        <v>661</v>
      </c>
      <c r="R6018" t="s">
        <v>201</v>
      </c>
      <c r="S6018">
        <v>1</v>
      </c>
      <c r="T6018">
        <v>1</v>
      </c>
      <c r="U6018">
        <v>113568</v>
      </c>
      <c r="V6018">
        <v>113568</v>
      </c>
    </row>
    <row r="6019" spans="1:22">
      <c r="A6019" t="s">
        <v>196</v>
      </c>
      <c r="B6019">
        <v>23</v>
      </c>
      <c r="C6019" t="s">
        <v>62</v>
      </c>
      <c r="D6019">
        <v>355</v>
      </c>
      <c r="E6019" t="s">
        <v>2157</v>
      </c>
      <c r="F6019">
        <v>1005</v>
      </c>
      <c r="G6019" t="s">
        <v>62</v>
      </c>
      <c r="H6019">
        <v>2015</v>
      </c>
      <c r="I6019" t="s">
        <v>62</v>
      </c>
      <c r="J6019">
        <v>3240</v>
      </c>
      <c r="K6019" t="s">
        <v>2169</v>
      </c>
      <c r="L6019">
        <v>0</v>
      </c>
      <c r="N6019" t="s">
        <v>199</v>
      </c>
      <c r="O6019">
        <v>0</v>
      </c>
      <c r="P6019">
        <v>15</v>
      </c>
      <c r="Q6019" t="s">
        <v>264</v>
      </c>
      <c r="R6019" t="s">
        <v>201</v>
      </c>
      <c r="S6019">
        <v>0</v>
      </c>
      <c r="T6019">
        <v>0</v>
      </c>
      <c r="U6019">
        <v>23717</v>
      </c>
      <c r="V6019">
        <v>23717</v>
      </c>
    </row>
    <row r="6020" spans="1:22">
      <c r="A6020" t="s">
        <v>196</v>
      </c>
      <c r="B6020">
        <v>3</v>
      </c>
      <c r="C6020" t="s">
        <v>49</v>
      </c>
      <c r="D6020">
        <v>610</v>
      </c>
      <c r="E6020" t="s">
        <v>2171</v>
      </c>
      <c r="F6020">
        <v>1005</v>
      </c>
      <c r="G6020" t="s">
        <v>49</v>
      </c>
      <c r="H6020">
        <v>2005</v>
      </c>
      <c r="I6020" t="s">
        <v>49</v>
      </c>
      <c r="J6020">
        <v>3020</v>
      </c>
      <c r="K6020" t="s">
        <v>277</v>
      </c>
      <c r="L6020">
        <v>0</v>
      </c>
      <c r="N6020" t="s">
        <v>281</v>
      </c>
      <c r="O6020">
        <v>0</v>
      </c>
      <c r="P6020">
        <v>1221</v>
      </c>
      <c r="Q6020" t="s">
        <v>282</v>
      </c>
      <c r="R6020" t="s">
        <v>201</v>
      </c>
      <c r="S6020">
        <v>1</v>
      </c>
      <c r="T6020">
        <v>1</v>
      </c>
      <c r="U6020">
        <v>85236</v>
      </c>
      <c r="V6020">
        <v>85236</v>
      </c>
    </row>
    <row r="6021" spans="1:22">
      <c r="A6021" t="s">
        <v>196</v>
      </c>
      <c r="B6021">
        <v>3</v>
      </c>
      <c r="C6021" t="s">
        <v>49</v>
      </c>
      <c r="D6021">
        <v>610</v>
      </c>
      <c r="E6021" t="s">
        <v>2171</v>
      </c>
      <c r="F6021">
        <v>1005</v>
      </c>
      <c r="G6021" t="s">
        <v>49</v>
      </c>
      <c r="H6021">
        <v>2005</v>
      </c>
      <c r="I6021" t="s">
        <v>49</v>
      </c>
      <c r="J6021">
        <v>3020</v>
      </c>
      <c r="K6021" t="s">
        <v>277</v>
      </c>
      <c r="L6021">
        <v>0</v>
      </c>
      <c r="N6021" t="s">
        <v>283</v>
      </c>
      <c r="O6021">
        <v>0</v>
      </c>
      <c r="P6021">
        <v>1219</v>
      </c>
      <c r="Q6021" t="s">
        <v>284</v>
      </c>
      <c r="R6021" t="s">
        <v>201</v>
      </c>
      <c r="S6021">
        <v>1</v>
      </c>
      <c r="T6021">
        <v>1</v>
      </c>
      <c r="U6021">
        <v>76020</v>
      </c>
      <c r="V6021">
        <v>76020</v>
      </c>
    </row>
    <row r="6022" spans="1:22">
      <c r="A6022" t="s">
        <v>196</v>
      </c>
      <c r="B6022">
        <v>3</v>
      </c>
      <c r="C6022" t="s">
        <v>49</v>
      </c>
      <c r="D6022">
        <v>610</v>
      </c>
      <c r="E6022" t="s">
        <v>2171</v>
      </c>
      <c r="F6022">
        <v>1005</v>
      </c>
      <c r="G6022" t="s">
        <v>49</v>
      </c>
      <c r="H6022">
        <v>2005</v>
      </c>
      <c r="I6022" t="s">
        <v>49</v>
      </c>
      <c r="J6022">
        <v>3020</v>
      </c>
      <c r="K6022" t="s">
        <v>277</v>
      </c>
      <c r="L6022">
        <v>0</v>
      </c>
      <c r="N6022" t="s">
        <v>199</v>
      </c>
      <c r="O6022">
        <v>0</v>
      </c>
      <c r="P6022">
        <v>15</v>
      </c>
      <c r="Q6022" t="s">
        <v>264</v>
      </c>
      <c r="R6022" t="s">
        <v>201</v>
      </c>
      <c r="S6022">
        <v>0</v>
      </c>
      <c r="T6022">
        <v>0</v>
      </c>
      <c r="U6022">
        <v>7107</v>
      </c>
      <c r="V6022">
        <v>7107</v>
      </c>
    </row>
    <row r="6023" spans="1:22">
      <c r="A6023" t="s">
        <v>196</v>
      </c>
      <c r="B6023">
        <v>3</v>
      </c>
      <c r="C6023" t="s">
        <v>49</v>
      </c>
      <c r="D6023">
        <v>610</v>
      </c>
      <c r="E6023" t="s">
        <v>2171</v>
      </c>
      <c r="F6023">
        <v>1005</v>
      </c>
      <c r="G6023" t="s">
        <v>49</v>
      </c>
      <c r="H6023">
        <v>2005</v>
      </c>
      <c r="I6023" t="s">
        <v>49</v>
      </c>
      <c r="J6023">
        <v>3027</v>
      </c>
      <c r="K6023" t="s">
        <v>285</v>
      </c>
      <c r="L6023">
        <v>0</v>
      </c>
      <c r="N6023" t="s">
        <v>287</v>
      </c>
      <c r="O6023">
        <v>20</v>
      </c>
      <c r="P6023">
        <v>1125</v>
      </c>
      <c r="Q6023" t="s">
        <v>288</v>
      </c>
      <c r="R6023" t="s">
        <v>201</v>
      </c>
      <c r="S6023">
        <v>1</v>
      </c>
      <c r="T6023">
        <v>1</v>
      </c>
      <c r="U6023">
        <v>82884</v>
      </c>
      <c r="V6023">
        <v>82884</v>
      </c>
    </row>
    <row r="6024" spans="1:22">
      <c r="A6024" t="s">
        <v>196</v>
      </c>
      <c r="B6024">
        <v>3</v>
      </c>
      <c r="C6024" t="s">
        <v>49</v>
      </c>
      <c r="D6024">
        <v>610</v>
      </c>
      <c r="E6024" t="s">
        <v>2171</v>
      </c>
      <c r="F6024">
        <v>1005</v>
      </c>
      <c r="G6024" t="s">
        <v>49</v>
      </c>
      <c r="H6024">
        <v>2005</v>
      </c>
      <c r="I6024" t="s">
        <v>49</v>
      </c>
      <c r="J6024">
        <v>3027</v>
      </c>
      <c r="K6024" t="s">
        <v>285</v>
      </c>
      <c r="L6024">
        <v>0</v>
      </c>
      <c r="N6024" t="s">
        <v>199</v>
      </c>
      <c r="O6024">
        <v>0</v>
      </c>
      <c r="P6024">
        <v>15</v>
      </c>
      <c r="Q6024" t="s">
        <v>264</v>
      </c>
      <c r="R6024" t="s">
        <v>201</v>
      </c>
      <c r="S6024">
        <v>0</v>
      </c>
      <c r="T6024">
        <v>0</v>
      </c>
      <c r="U6024">
        <v>1960</v>
      </c>
      <c r="V6024">
        <v>1960</v>
      </c>
    </row>
    <row r="6025" spans="1:22">
      <c r="A6025" t="s">
        <v>196</v>
      </c>
      <c r="B6025">
        <v>27</v>
      </c>
      <c r="C6025" t="s">
        <v>637</v>
      </c>
      <c r="D6025">
        <v>610</v>
      </c>
      <c r="E6025" t="s">
        <v>2171</v>
      </c>
      <c r="F6025">
        <v>1005</v>
      </c>
      <c r="G6025" t="s">
        <v>638</v>
      </c>
      <c r="H6025">
        <v>2012</v>
      </c>
      <c r="I6025" t="s">
        <v>82</v>
      </c>
      <c r="J6025">
        <v>3019</v>
      </c>
      <c r="K6025" t="s">
        <v>82</v>
      </c>
      <c r="L6025">
        <v>4054</v>
      </c>
      <c r="M6025" t="s">
        <v>1835</v>
      </c>
      <c r="N6025" t="s">
        <v>341</v>
      </c>
      <c r="O6025">
        <v>4</v>
      </c>
      <c r="P6025">
        <v>110</v>
      </c>
      <c r="Q6025" t="s">
        <v>359</v>
      </c>
      <c r="R6025" t="s">
        <v>201</v>
      </c>
      <c r="S6025">
        <v>1</v>
      </c>
      <c r="T6025">
        <v>1</v>
      </c>
      <c r="U6025">
        <v>119100</v>
      </c>
      <c r="V6025">
        <v>119100</v>
      </c>
    </row>
    <row r="6026" spans="1:22">
      <c r="A6026" t="s">
        <v>196</v>
      </c>
      <c r="B6026">
        <v>27</v>
      </c>
      <c r="C6026" t="s">
        <v>637</v>
      </c>
      <c r="D6026">
        <v>610</v>
      </c>
      <c r="E6026" t="s">
        <v>2171</v>
      </c>
      <c r="F6026">
        <v>1005</v>
      </c>
      <c r="G6026" t="s">
        <v>638</v>
      </c>
      <c r="H6026">
        <v>2012</v>
      </c>
      <c r="I6026" t="s">
        <v>82</v>
      </c>
      <c r="J6026">
        <v>3019</v>
      </c>
      <c r="K6026" t="s">
        <v>82</v>
      </c>
      <c r="L6026">
        <v>4054</v>
      </c>
      <c r="M6026" t="s">
        <v>1835</v>
      </c>
      <c r="N6026" t="s">
        <v>341</v>
      </c>
      <c r="O6026">
        <v>4</v>
      </c>
      <c r="P6026">
        <v>110</v>
      </c>
      <c r="Q6026" t="s">
        <v>359</v>
      </c>
      <c r="R6026" t="s">
        <v>201</v>
      </c>
      <c r="S6026">
        <v>1</v>
      </c>
      <c r="T6026">
        <v>1</v>
      </c>
      <c r="U6026">
        <v>68616</v>
      </c>
      <c r="V6026">
        <v>68616</v>
      </c>
    </row>
    <row r="6027" spans="1:22">
      <c r="A6027" t="s">
        <v>196</v>
      </c>
      <c r="B6027">
        <v>27</v>
      </c>
      <c r="C6027" t="s">
        <v>637</v>
      </c>
      <c r="D6027">
        <v>610</v>
      </c>
      <c r="E6027" t="s">
        <v>2171</v>
      </c>
      <c r="F6027">
        <v>1005</v>
      </c>
      <c r="G6027" t="s">
        <v>638</v>
      </c>
      <c r="H6027">
        <v>2015</v>
      </c>
      <c r="I6027" t="s">
        <v>56</v>
      </c>
      <c r="J6027">
        <v>3016</v>
      </c>
      <c r="K6027" t="s">
        <v>659</v>
      </c>
      <c r="L6027">
        <v>4079</v>
      </c>
      <c r="M6027" t="s">
        <v>666</v>
      </c>
      <c r="N6027" t="s">
        <v>356</v>
      </c>
      <c r="O6027">
        <v>4</v>
      </c>
      <c r="P6027">
        <v>193</v>
      </c>
      <c r="Q6027" t="s">
        <v>647</v>
      </c>
      <c r="R6027" t="s">
        <v>201</v>
      </c>
      <c r="S6027">
        <v>1</v>
      </c>
      <c r="T6027">
        <v>1</v>
      </c>
      <c r="U6027">
        <v>90144</v>
      </c>
      <c r="V6027">
        <v>90144</v>
      </c>
    </row>
    <row r="6028" spans="1:22">
      <c r="A6028" t="s">
        <v>196</v>
      </c>
      <c r="B6028">
        <v>27</v>
      </c>
      <c r="C6028" t="s">
        <v>637</v>
      </c>
      <c r="D6028">
        <v>610</v>
      </c>
      <c r="E6028" t="s">
        <v>2171</v>
      </c>
      <c r="F6028">
        <v>1005</v>
      </c>
      <c r="G6028" t="s">
        <v>638</v>
      </c>
      <c r="H6028">
        <v>2015</v>
      </c>
      <c r="I6028" t="s">
        <v>56</v>
      </c>
      <c r="J6028">
        <v>3016</v>
      </c>
      <c r="K6028" t="s">
        <v>659</v>
      </c>
      <c r="L6028">
        <v>4080</v>
      </c>
      <c r="M6028" t="s">
        <v>673</v>
      </c>
      <c r="N6028" t="s">
        <v>341</v>
      </c>
      <c r="O6028">
        <v>1</v>
      </c>
      <c r="P6028">
        <v>308</v>
      </c>
      <c r="Q6028" t="s">
        <v>355</v>
      </c>
      <c r="R6028" t="s">
        <v>201</v>
      </c>
      <c r="S6028">
        <v>1</v>
      </c>
      <c r="T6028">
        <v>1</v>
      </c>
      <c r="U6028">
        <v>74172</v>
      </c>
      <c r="V6028">
        <v>74172</v>
      </c>
    </row>
    <row r="6029" spans="1:22">
      <c r="A6029" t="s">
        <v>196</v>
      </c>
      <c r="B6029">
        <v>27</v>
      </c>
      <c r="C6029" t="s">
        <v>637</v>
      </c>
      <c r="D6029">
        <v>610</v>
      </c>
      <c r="E6029" t="s">
        <v>2171</v>
      </c>
      <c r="F6029">
        <v>1005</v>
      </c>
      <c r="G6029" t="s">
        <v>638</v>
      </c>
      <c r="H6029">
        <v>2015</v>
      </c>
      <c r="I6029" t="s">
        <v>56</v>
      </c>
      <c r="J6029">
        <v>3016</v>
      </c>
      <c r="K6029" t="s">
        <v>659</v>
      </c>
      <c r="L6029">
        <v>4080</v>
      </c>
      <c r="M6029" t="s">
        <v>673</v>
      </c>
      <c r="N6029" t="s">
        <v>199</v>
      </c>
      <c r="O6029">
        <v>0</v>
      </c>
      <c r="P6029">
        <v>15</v>
      </c>
      <c r="Q6029" t="s">
        <v>264</v>
      </c>
      <c r="R6029" t="s">
        <v>201</v>
      </c>
      <c r="S6029">
        <v>0</v>
      </c>
      <c r="T6029">
        <v>0</v>
      </c>
      <c r="U6029">
        <v>2670</v>
      </c>
      <c r="V6029">
        <v>2670</v>
      </c>
    </row>
    <row r="6030" spans="1:22">
      <c r="A6030" t="s">
        <v>196</v>
      </c>
      <c r="B6030">
        <v>28</v>
      </c>
      <c r="C6030" t="s">
        <v>85</v>
      </c>
      <c r="D6030">
        <v>610</v>
      </c>
      <c r="E6030" t="s">
        <v>2171</v>
      </c>
      <c r="F6030">
        <v>1005</v>
      </c>
      <c r="G6030" t="s">
        <v>85</v>
      </c>
      <c r="H6030">
        <v>2005</v>
      </c>
      <c r="I6030" t="s">
        <v>85</v>
      </c>
      <c r="J6030">
        <v>3010</v>
      </c>
      <c r="K6030" t="s">
        <v>754</v>
      </c>
      <c r="L6030">
        <v>0</v>
      </c>
      <c r="N6030" t="s">
        <v>249</v>
      </c>
      <c r="O6030">
        <v>10</v>
      </c>
      <c r="P6030">
        <v>310</v>
      </c>
      <c r="Q6030" t="s">
        <v>447</v>
      </c>
      <c r="R6030" t="s">
        <v>201</v>
      </c>
      <c r="S6030">
        <v>1</v>
      </c>
      <c r="T6030">
        <v>1</v>
      </c>
      <c r="U6030">
        <v>93384</v>
      </c>
      <c r="V6030">
        <v>93384</v>
      </c>
    </row>
    <row r="6031" spans="1:22">
      <c r="A6031" t="s">
        <v>196</v>
      </c>
      <c r="B6031">
        <v>28</v>
      </c>
      <c r="C6031" t="s">
        <v>85</v>
      </c>
      <c r="D6031">
        <v>610</v>
      </c>
      <c r="E6031" t="s">
        <v>2171</v>
      </c>
      <c r="F6031">
        <v>1005</v>
      </c>
      <c r="G6031" t="s">
        <v>85</v>
      </c>
      <c r="H6031">
        <v>2005</v>
      </c>
      <c r="I6031" t="s">
        <v>85</v>
      </c>
      <c r="J6031">
        <v>3010</v>
      </c>
      <c r="K6031" t="s">
        <v>754</v>
      </c>
      <c r="L6031">
        <v>0</v>
      </c>
      <c r="N6031" t="s">
        <v>356</v>
      </c>
      <c r="O6031">
        <v>1</v>
      </c>
      <c r="P6031">
        <v>242</v>
      </c>
      <c r="Q6031" t="s">
        <v>756</v>
      </c>
      <c r="R6031" t="s">
        <v>201</v>
      </c>
      <c r="S6031">
        <v>1</v>
      </c>
      <c r="T6031">
        <v>1</v>
      </c>
      <c r="U6031">
        <v>122928</v>
      </c>
      <c r="V6031">
        <v>122928</v>
      </c>
    </row>
    <row r="6032" spans="1:22">
      <c r="A6032" t="s">
        <v>196</v>
      </c>
      <c r="B6032">
        <v>28</v>
      </c>
      <c r="C6032" t="s">
        <v>85</v>
      </c>
      <c r="D6032">
        <v>610</v>
      </c>
      <c r="E6032" t="s">
        <v>2171</v>
      </c>
      <c r="F6032">
        <v>1005</v>
      </c>
      <c r="G6032" t="s">
        <v>85</v>
      </c>
      <c r="H6032">
        <v>2005</v>
      </c>
      <c r="I6032" t="s">
        <v>85</v>
      </c>
      <c r="J6032">
        <v>3010</v>
      </c>
      <c r="K6032" t="s">
        <v>754</v>
      </c>
      <c r="L6032">
        <v>0</v>
      </c>
      <c r="N6032" t="s">
        <v>199</v>
      </c>
      <c r="O6032">
        <v>0</v>
      </c>
      <c r="P6032">
        <v>15</v>
      </c>
      <c r="Q6032" t="s">
        <v>264</v>
      </c>
      <c r="R6032" t="s">
        <v>201</v>
      </c>
      <c r="S6032">
        <v>0</v>
      </c>
      <c r="T6032">
        <v>0</v>
      </c>
      <c r="U6032">
        <v>3225</v>
      </c>
      <c r="V6032">
        <v>3225</v>
      </c>
    </row>
    <row r="6033" spans="1:22">
      <c r="A6033" t="s">
        <v>196</v>
      </c>
      <c r="B6033">
        <v>28</v>
      </c>
      <c r="C6033" t="s">
        <v>85</v>
      </c>
      <c r="D6033">
        <v>610</v>
      </c>
      <c r="E6033" t="s">
        <v>2171</v>
      </c>
      <c r="F6033">
        <v>1005</v>
      </c>
      <c r="G6033" t="s">
        <v>85</v>
      </c>
      <c r="H6033">
        <v>2005</v>
      </c>
      <c r="I6033" t="s">
        <v>85</v>
      </c>
      <c r="J6033">
        <v>3015</v>
      </c>
      <c r="K6033" t="s">
        <v>757</v>
      </c>
      <c r="L6033">
        <v>0</v>
      </c>
      <c r="N6033" t="s">
        <v>341</v>
      </c>
      <c r="O6033">
        <v>1</v>
      </c>
      <c r="P6033">
        <v>308</v>
      </c>
      <c r="Q6033" t="s">
        <v>355</v>
      </c>
      <c r="R6033" t="s">
        <v>201</v>
      </c>
      <c r="S6033">
        <v>1</v>
      </c>
      <c r="T6033">
        <v>1</v>
      </c>
      <c r="U6033">
        <v>98928</v>
      </c>
      <c r="V6033">
        <v>98928</v>
      </c>
    </row>
    <row r="6034" spans="1:22">
      <c r="A6034" t="s">
        <v>196</v>
      </c>
      <c r="B6034">
        <v>28</v>
      </c>
      <c r="C6034" t="s">
        <v>85</v>
      </c>
      <c r="D6034">
        <v>610</v>
      </c>
      <c r="E6034" t="s">
        <v>2171</v>
      </c>
      <c r="F6034">
        <v>1005</v>
      </c>
      <c r="G6034" t="s">
        <v>85</v>
      </c>
      <c r="H6034">
        <v>2005</v>
      </c>
      <c r="I6034" t="s">
        <v>85</v>
      </c>
      <c r="J6034">
        <v>3015</v>
      </c>
      <c r="K6034" t="s">
        <v>757</v>
      </c>
      <c r="L6034">
        <v>0</v>
      </c>
      <c r="N6034" t="s">
        <v>199</v>
      </c>
      <c r="O6034">
        <v>0</v>
      </c>
      <c r="P6034">
        <v>15</v>
      </c>
      <c r="Q6034" t="s">
        <v>264</v>
      </c>
      <c r="R6034" t="s">
        <v>201</v>
      </c>
      <c r="S6034">
        <v>0</v>
      </c>
      <c r="T6034">
        <v>0</v>
      </c>
      <c r="U6034">
        <v>4169</v>
      </c>
      <c r="V6034">
        <v>4169</v>
      </c>
    </row>
    <row r="6035" spans="1:22">
      <c r="A6035" t="s">
        <v>196</v>
      </c>
      <c r="B6035">
        <v>31</v>
      </c>
      <c r="C6035" t="s">
        <v>27</v>
      </c>
      <c r="D6035">
        <v>610</v>
      </c>
      <c r="E6035" t="s">
        <v>2171</v>
      </c>
      <c r="F6035">
        <v>1005</v>
      </c>
      <c r="G6035" t="s">
        <v>27</v>
      </c>
      <c r="H6035">
        <v>2005</v>
      </c>
      <c r="I6035" t="s">
        <v>27</v>
      </c>
      <c r="J6035">
        <v>3038</v>
      </c>
      <c r="K6035" t="s">
        <v>827</v>
      </c>
      <c r="L6035">
        <v>4034</v>
      </c>
      <c r="M6035" t="s">
        <v>2172</v>
      </c>
      <c r="N6035" t="s">
        <v>796</v>
      </c>
      <c r="O6035">
        <v>9</v>
      </c>
      <c r="P6035">
        <v>1652</v>
      </c>
      <c r="Q6035" t="s">
        <v>797</v>
      </c>
      <c r="R6035" t="s">
        <v>201</v>
      </c>
      <c r="S6035">
        <v>1</v>
      </c>
      <c r="T6035">
        <v>1</v>
      </c>
      <c r="U6035">
        <v>173160</v>
      </c>
      <c r="V6035">
        <v>173160</v>
      </c>
    </row>
    <row r="6036" spans="1:22">
      <c r="A6036" t="s">
        <v>196</v>
      </c>
      <c r="B6036">
        <v>31</v>
      </c>
      <c r="C6036" t="s">
        <v>27</v>
      </c>
      <c r="D6036">
        <v>610</v>
      </c>
      <c r="E6036" t="s">
        <v>2171</v>
      </c>
      <c r="F6036">
        <v>1005</v>
      </c>
      <c r="G6036" t="s">
        <v>27</v>
      </c>
      <c r="H6036">
        <v>2005</v>
      </c>
      <c r="I6036" t="s">
        <v>27</v>
      </c>
      <c r="J6036">
        <v>3038</v>
      </c>
      <c r="K6036" t="s">
        <v>827</v>
      </c>
      <c r="L6036">
        <v>4034</v>
      </c>
      <c r="M6036" t="s">
        <v>2172</v>
      </c>
      <c r="N6036" t="s">
        <v>798</v>
      </c>
      <c r="O6036">
        <v>9</v>
      </c>
      <c r="P6036">
        <v>1641</v>
      </c>
      <c r="Q6036" t="s">
        <v>799</v>
      </c>
      <c r="R6036" t="s">
        <v>201</v>
      </c>
      <c r="S6036">
        <v>1</v>
      </c>
      <c r="T6036">
        <v>1</v>
      </c>
      <c r="U6036">
        <v>149556</v>
      </c>
      <c r="V6036">
        <v>149556</v>
      </c>
    </row>
    <row r="6037" spans="1:22">
      <c r="A6037" t="s">
        <v>196</v>
      </c>
      <c r="B6037">
        <v>31</v>
      </c>
      <c r="C6037" t="s">
        <v>27</v>
      </c>
      <c r="D6037">
        <v>610</v>
      </c>
      <c r="E6037" t="s">
        <v>2171</v>
      </c>
      <c r="F6037">
        <v>1005</v>
      </c>
      <c r="G6037" t="s">
        <v>27</v>
      </c>
      <c r="H6037">
        <v>2005</v>
      </c>
      <c r="I6037" t="s">
        <v>27</v>
      </c>
      <c r="J6037">
        <v>3038</v>
      </c>
      <c r="K6037" t="s">
        <v>827</v>
      </c>
      <c r="L6037">
        <v>4034</v>
      </c>
      <c r="M6037" t="s">
        <v>2172</v>
      </c>
      <c r="N6037" t="s">
        <v>199</v>
      </c>
      <c r="O6037">
        <v>0</v>
      </c>
      <c r="P6037">
        <v>15</v>
      </c>
      <c r="Q6037" t="s">
        <v>264</v>
      </c>
      <c r="R6037" t="s">
        <v>201</v>
      </c>
      <c r="S6037">
        <v>0</v>
      </c>
      <c r="T6037">
        <v>0</v>
      </c>
      <c r="U6037">
        <v>1855</v>
      </c>
      <c r="V6037">
        <v>1855</v>
      </c>
    </row>
    <row r="6038" spans="1:22">
      <c r="A6038" t="s">
        <v>196</v>
      </c>
      <c r="B6038">
        <v>31</v>
      </c>
      <c r="C6038" t="s">
        <v>27</v>
      </c>
      <c r="D6038">
        <v>610</v>
      </c>
      <c r="E6038" t="s">
        <v>2171</v>
      </c>
      <c r="F6038">
        <v>1005</v>
      </c>
      <c r="G6038" t="s">
        <v>27</v>
      </c>
      <c r="H6038">
        <v>2005</v>
      </c>
      <c r="I6038" t="s">
        <v>27</v>
      </c>
      <c r="J6038">
        <v>3644</v>
      </c>
      <c r="K6038" t="s">
        <v>835</v>
      </c>
      <c r="L6038">
        <v>0</v>
      </c>
      <c r="N6038" t="s">
        <v>798</v>
      </c>
      <c r="O6038">
        <v>9</v>
      </c>
      <c r="P6038">
        <v>1641</v>
      </c>
      <c r="Q6038" t="s">
        <v>799</v>
      </c>
      <c r="R6038" t="s">
        <v>201</v>
      </c>
      <c r="S6038">
        <v>1</v>
      </c>
      <c r="T6038">
        <v>1</v>
      </c>
      <c r="U6038">
        <v>142776</v>
      </c>
      <c r="V6038">
        <v>142776</v>
      </c>
    </row>
    <row r="6039" spans="1:22">
      <c r="A6039" t="s">
        <v>196</v>
      </c>
      <c r="B6039">
        <v>31</v>
      </c>
      <c r="C6039" t="s">
        <v>27</v>
      </c>
      <c r="D6039">
        <v>610</v>
      </c>
      <c r="E6039" t="s">
        <v>2171</v>
      </c>
      <c r="F6039">
        <v>1005</v>
      </c>
      <c r="G6039" t="s">
        <v>27</v>
      </c>
      <c r="H6039">
        <v>2005</v>
      </c>
      <c r="I6039" t="s">
        <v>27</v>
      </c>
      <c r="J6039">
        <v>3644</v>
      </c>
      <c r="K6039" t="s">
        <v>835</v>
      </c>
      <c r="L6039">
        <v>0</v>
      </c>
      <c r="N6039" t="s">
        <v>199</v>
      </c>
      <c r="O6039">
        <v>0</v>
      </c>
      <c r="P6039">
        <v>15</v>
      </c>
      <c r="Q6039" t="s">
        <v>264</v>
      </c>
      <c r="R6039" t="s">
        <v>201</v>
      </c>
      <c r="S6039">
        <v>0</v>
      </c>
      <c r="T6039">
        <v>0</v>
      </c>
      <c r="U6039">
        <v>4238</v>
      </c>
      <c r="V6039">
        <v>4238</v>
      </c>
    </row>
    <row r="6040" spans="1:22">
      <c r="A6040" t="s">
        <v>196</v>
      </c>
      <c r="B6040">
        <v>33</v>
      </c>
      <c r="C6040" t="s">
        <v>51</v>
      </c>
      <c r="D6040">
        <v>610</v>
      </c>
      <c r="E6040" t="s">
        <v>2171</v>
      </c>
      <c r="F6040">
        <v>1005</v>
      </c>
      <c r="G6040" t="s">
        <v>51</v>
      </c>
      <c r="H6040">
        <v>2005</v>
      </c>
      <c r="I6040" t="s">
        <v>51</v>
      </c>
      <c r="J6040">
        <v>3620</v>
      </c>
      <c r="K6040" t="s">
        <v>872</v>
      </c>
      <c r="L6040">
        <v>0</v>
      </c>
      <c r="N6040" t="s">
        <v>602</v>
      </c>
      <c r="O6040">
        <v>4</v>
      </c>
      <c r="P6040">
        <v>1380</v>
      </c>
      <c r="Q6040" t="s">
        <v>880</v>
      </c>
      <c r="R6040" t="s">
        <v>201</v>
      </c>
      <c r="S6040">
        <v>1</v>
      </c>
      <c r="T6040">
        <v>1</v>
      </c>
      <c r="U6040">
        <v>141564</v>
      </c>
      <c r="V6040">
        <v>141564</v>
      </c>
    </row>
    <row r="6041" spans="1:22">
      <c r="A6041" t="s">
        <v>196</v>
      </c>
      <c r="B6041">
        <v>35</v>
      </c>
      <c r="C6041" t="s">
        <v>47</v>
      </c>
      <c r="D6041">
        <v>610</v>
      </c>
      <c r="E6041" t="s">
        <v>2171</v>
      </c>
      <c r="F6041">
        <v>1005</v>
      </c>
      <c r="G6041" t="s">
        <v>47</v>
      </c>
      <c r="H6041">
        <v>2005</v>
      </c>
      <c r="I6041" t="s">
        <v>47</v>
      </c>
      <c r="J6041">
        <v>3012</v>
      </c>
      <c r="K6041" t="s">
        <v>905</v>
      </c>
      <c r="L6041">
        <v>4110</v>
      </c>
      <c r="M6041" t="s">
        <v>1982</v>
      </c>
      <c r="N6041" t="s">
        <v>249</v>
      </c>
      <c r="O6041">
        <v>0</v>
      </c>
      <c r="P6041">
        <v>1508</v>
      </c>
      <c r="Q6041" t="s">
        <v>907</v>
      </c>
      <c r="R6041" t="s">
        <v>201</v>
      </c>
      <c r="S6041">
        <v>3</v>
      </c>
      <c r="T6041">
        <v>1</v>
      </c>
      <c r="U6041">
        <v>93384</v>
      </c>
      <c r="V6041">
        <v>280152</v>
      </c>
    </row>
    <row r="6042" spans="1:22">
      <c r="A6042" t="s">
        <v>196</v>
      </c>
      <c r="B6042">
        <v>35</v>
      </c>
      <c r="C6042" t="s">
        <v>47</v>
      </c>
      <c r="D6042">
        <v>610</v>
      </c>
      <c r="E6042" t="s">
        <v>2171</v>
      </c>
      <c r="F6042">
        <v>1005</v>
      </c>
      <c r="G6042" t="s">
        <v>47</v>
      </c>
      <c r="H6042">
        <v>2005</v>
      </c>
      <c r="I6042" t="s">
        <v>47</v>
      </c>
      <c r="J6042">
        <v>3012</v>
      </c>
      <c r="K6042" t="s">
        <v>905</v>
      </c>
      <c r="L6042">
        <v>4110</v>
      </c>
      <c r="M6042" t="s">
        <v>1982</v>
      </c>
      <c r="N6042" t="s">
        <v>255</v>
      </c>
      <c r="O6042">
        <v>1</v>
      </c>
      <c r="P6042">
        <v>1507</v>
      </c>
      <c r="Q6042" t="s">
        <v>910</v>
      </c>
      <c r="R6042" t="s">
        <v>201</v>
      </c>
      <c r="S6042">
        <v>1</v>
      </c>
      <c r="T6042">
        <v>1</v>
      </c>
      <c r="U6042">
        <v>82644</v>
      </c>
      <c r="V6042">
        <v>82644</v>
      </c>
    </row>
    <row r="6043" spans="1:22">
      <c r="A6043" t="s">
        <v>196</v>
      </c>
      <c r="B6043">
        <v>35</v>
      </c>
      <c r="C6043" t="s">
        <v>47</v>
      </c>
      <c r="D6043">
        <v>610</v>
      </c>
      <c r="E6043" t="s">
        <v>2171</v>
      </c>
      <c r="F6043">
        <v>1005</v>
      </c>
      <c r="G6043" t="s">
        <v>47</v>
      </c>
      <c r="H6043">
        <v>2005</v>
      </c>
      <c r="I6043" t="s">
        <v>47</v>
      </c>
      <c r="J6043">
        <v>3012</v>
      </c>
      <c r="K6043" t="s">
        <v>905</v>
      </c>
      <c r="L6043">
        <v>4110</v>
      </c>
      <c r="M6043" t="s">
        <v>1982</v>
      </c>
      <c r="N6043" t="s">
        <v>199</v>
      </c>
      <c r="O6043">
        <v>0</v>
      </c>
      <c r="P6043">
        <v>15</v>
      </c>
      <c r="Q6043" t="s">
        <v>264</v>
      </c>
      <c r="R6043" t="s">
        <v>201</v>
      </c>
      <c r="S6043">
        <v>0</v>
      </c>
      <c r="T6043">
        <v>0</v>
      </c>
      <c r="U6043">
        <v>9461</v>
      </c>
      <c r="V6043">
        <v>9461</v>
      </c>
    </row>
    <row r="6044" spans="1:22">
      <c r="A6044" t="s">
        <v>196</v>
      </c>
      <c r="B6044">
        <v>35</v>
      </c>
      <c r="C6044" t="s">
        <v>47</v>
      </c>
      <c r="D6044">
        <v>610</v>
      </c>
      <c r="E6044" t="s">
        <v>2171</v>
      </c>
      <c r="F6044">
        <v>1005</v>
      </c>
      <c r="G6044" t="s">
        <v>47</v>
      </c>
      <c r="H6044">
        <v>2005</v>
      </c>
      <c r="I6044" t="s">
        <v>47</v>
      </c>
      <c r="J6044">
        <v>3024</v>
      </c>
      <c r="K6044" t="s">
        <v>917</v>
      </c>
      <c r="L6044">
        <v>4031</v>
      </c>
      <c r="M6044" t="s">
        <v>918</v>
      </c>
      <c r="N6044" t="s">
        <v>688</v>
      </c>
      <c r="O6044">
        <v>1</v>
      </c>
      <c r="P6044">
        <v>1504</v>
      </c>
      <c r="Q6044" t="s">
        <v>921</v>
      </c>
      <c r="R6044" t="s">
        <v>201</v>
      </c>
      <c r="S6044">
        <v>1</v>
      </c>
      <c r="T6044">
        <v>1</v>
      </c>
      <c r="U6044">
        <v>97488</v>
      </c>
      <c r="V6044">
        <v>97488</v>
      </c>
    </row>
    <row r="6045" spans="1:22">
      <c r="A6045" t="s">
        <v>196</v>
      </c>
      <c r="B6045">
        <v>35</v>
      </c>
      <c r="C6045" t="s">
        <v>47</v>
      </c>
      <c r="D6045">
        <v>610</v>
      </c>
      <c r="E6045" t="s">
        <v>2171</v>
      </c>
      <c r="F6045">
        <v>1005</v>
      </c>
      <c r="G6045" t="s">
        <v>47</v>
      </c>
      <c r="H6045">
        <v>2005</v>
      </c>
      <c r="I6045" t="s">
        <v>47</v>
      </c>
      <c r="J6045">
        <v>3024</v>
      </c>
      <c r="K6045" t="s">
        <v>917</v>
      </c>
      <c r="L6045">
        <v>4031</v>
      </c>
      <c r="M6045" t="s">
        <v>918</v>
      </c>
      <c r="N6045" t="s">
        <v>199</v>
      </c>
      <c r="O6045">
        <v>0</v>
      </c>
      <c r="P6045">
        <v>15</v>
      </c>
      <c r="Q6045" t="s">
        <v>264</v>
      </c>
      <c r="R6045" t="s">
        <v>201</v>
      </c>
      <c r="S6045">
        <v>0</v>
      </c>
      <c r="T6045">
        <v>0</v>
      </c>
      <c r="U6045">
        <v>3663</v>
      </c>
      <c r="V6045">
        <v>3663</v>
      </c>
    </row>
    <row r="6046" spans="1:22">
      <c r="A6046" t="s">
        <v>196</v>
      </c>
      <c r="B6046">
        <v>38</v>
      </c>
      <c r="C6046" t="s">
        <v>922</v>
      </c>
      <c r="D6046">
        <v>610</v>
      </c>
      <c r="E6046" t="s">
        <v>2171</v>
      </c>
      <c r="F6046">
        <v>1005</v>
      </c>
      <c r="G6046" t="s">
        <v>923</v>
      </c>
      <c r="H6046">
        <v>2140</v>
      </c>
      <c r="I6046" t="s">
        <v>25</v>
      </c>
      <c r="J6046">
        <v>3224</v>
      </c>
      <c r="K6046" t="s">
        <v>2173</v>
      </c>
      <c r="L6046">
        <v>0</v>
      </c>
      <c r="N6046" t="s">
        <v>721</v>
      </c>
      <c r="O6046">
        <v>8</v>
      </c>
      <c r="P6046">
        <v>7160</v>
      </c>
      <c r="Q6046" t="s">
        <v>1030</v>
      </c>
      <c r="R6046" t="s">
        <v>713</v>
      </c>
      <c r="S6046">
        <v>4</v>
      </c>
      <c r="T6046">
        <v>1</v>
      </c>
      <c r="U6046">
        <v>33.619999999999997</v>
      </c>
      <c r="V6046">
        <v>279718</v>
      </c>
    </row>
    <row r="6047" spans="1:22">
      <c r="A6047" t="s">
        <v>196</v>
      </c>
      <c r="B6047">
        <v>38</v>
      </c>
      <c r="C6047" t="s">
        <v>922</v>
      </c>
      <c r="D6047">
        <v>610</v>
      </c>
      <c r="E6047" t="s">
        <v>2171</v>
      </c>
      <c r="F6047">
        <v>1005</v>
      </c>
      <c r="G6047" t="s">
        <v>923</v>
      </c>
      <c r="H6047">
        <v>2140</v>
      </c>
      <c r="I6047" t="s">
        <v>25</v>
      </c>
      <c r="J6047">
        <v>3224</v>
      </c>
      <c r="K6047" t="s">
        <v>2173</v>
      </c>
      <c r="L6047">
        <v>0</v>
      </c>
      <c r="N6047" t="s">
        <v>1040</v>
      </c>
      <c r="O6047">
        <v>8</v>
      </c>
      <c r="P6047">
        <v>7136</v>
      </c>
      <c r="Q6047" t="s">
        <v>1041</v>
      </c>
      <c r="R6047" t="s">
        <v>201</v>
      </c>
      <c r="S6047">
        <v>1</v>
      </c>
      <c r="T6047">
        <v>1</v>
      </c>
      <c r="U6047">
        <v>108528</v>
      </c>
      <c r="V6047">
        <v>108528</v>
      </c>
    </row>
    <row r="6048" spans="1:22">
      <c r="A6048" t="s">
        <v>196</v>
      </c>
      <c r="B6048">
        <v>38</v>
      </c>
      <c r="C6048" t="s">
        <v>922</v>
      </c>
      <c r="D6048">
        <v>610</v>
      </c>
      <c r="E6048" t="s">
        <v>2171</v>
      </c>
      <c r="F6048">
        <v>1005</v>
      </c>
      <c r="G6048" t="s">
        <v>923</v>
      </c>
      <c r="H6048">
        <v>2140</v>
      </c>
      <c r="I6048" t="s">
        <v>25</v>
      </c>
      <c r="J6048">
        <v>3224</v>
      </c>
      <c r="K6048" t="s">
        <v>2173</v>
      </c>
      <c r="L6048">
        <v>0</v>
      </c>
      <c r="N6048" t="s">
        <v>249</v>
      </c>
      <c r="O6048">
        <v>10</v>
      </c>
      <c r="P6048">
        <v>7047</v>
      </c>
      <c r="Q6048" t="s">
        <v>1043</v>
      </c>
      <c r="R6048" t="s">
        <v>201</v>
      </c>
      <c r="S6048">
        <v>1</v>
      </c>
      <c r="T6048">
        <v>1</v>
      </c>
      <c r="U6048">
        <v>143232</v>
      </c>
      <c r="V6048">
        <v>143232</v>
      </c>
    </row>
    <row r="6049" spans="1:22">
      <c r="A6049" t="s">
        <v>196</v>
      </c>
      <c r="B6049">
        <v>38</v>
      </c>
      <c r="C6049" t="s">
        <v>922</v>
      </c>
      <c r="D6049">
        <v>610</v>
      </c>
      <c r="E6049" t="s">
        <v>2171</v>
      </c>
      <c r="F6049">
        <v>1005</v>
      </c>
      <c r="G6049" t="s">
        <v>923</v>
      </c>
      <c r="H6049">
        <v>2140</v>
      </c>
      <c r="I6049" t="s">
        <v>25</v>
      </c>
      <c r="J6049">
        <v>3224</v>
      </c>
      <c r="K6049" t="s">
        <v>2173</v>
      </c>
      <c r="L6049">
        <v>0</v>
      </c>
      <c r="N6049" t="s">
        <v>721</v>
      </c>
      <c r="O6049">
        <v>36</v>
      </c>
      <c r="P6049">
        <v>6679</v>
      </c>
      <c r="Q6049" t="s">
        <v>1044</v>
      </c>
      <c r="R6049" t="s">
        <v>713</v>
      </c>
      <c r="S6049">
        <v>2</v>
      </c>
      <c r="T6049">
        <v>1</v>
      </c>
      <c r="U6049">
        <v>64.39</v>
      </c>
      <c r="V6049">
        <v>267862</v>
      </c>
    </row>
    <row r="6050" spans="1:22">
      <c r="A6050" t="s">
        <v>196</v>
      </c>
      <c r="B6050">
        <v>38</v>
      </c>
      <c r="C6050" t="s">
        <v>922</v>
      </c>
      <c r="D6050">
        <v>610</v>
      </c>
      <c r="E6050" t="s">
        <v>2171</v>
      </c>
      <c r="F6050">
        <v>1005</v>
      </c>
      <c r="G6050" t="s">
        <v>923</v>
      </c>
      <c r="H6050">
        <v>2140</v>
      </c>
      <c r="I6050" t="s">
        <v>25</v>
      </c>
      <c r="J6050">
        <v>3224</v>
      </c>
      <c r="K6050" t="s">
        <v>2173</v>
      </c>
      <c r="L6050">
        <v>0</v>
      </c>
      <c r="N6050" t="s">
        <v>721</v>
      </c>
      <c r="O6050">
        <v>36</v>
      </c>
      <c r="P6050">
        <v>6673</v>
      </c>
      <c r="Q6050" t="s">
        <v>1045</v>
      </c>
      <c r="R6050" t="s">
        <v>713</v>
      </c>
      <c r="S6050">
        <v>8</v>
      </c>
      <c r="T6050">
        <v>1</v>
      </c>
      <c r="U6050">
        <v>60.39</v>
      </c>
      <c r="V6050">
        <v>1004890</v>
      </c>
    </row>
    <row r="6051" spans="1:22">
      <c r="A6051" t="s">
        <v>196</v>
      </c>
      <c r="B6051">
        <v>38</v>
      </c>
      <c r="C6051" t="s">
        <v>922</v>
      </c>
      <c r="D6051">
        <v>610</v>
      </c>
      <c r="E6051" t="s">
        <v>2171</v>
      </c>
      <c r="F6051">
        <v>1005</v>
      </c>
      <c r="G6051" t="s">
        <v>923</v>
      </c>
      <c r="H6051">
        <v>2140</v>
      </c>
      <c r="I6051" t="s">
        <v>25</v>
      </c>
      <c r="J6051">
        <v>3224</v>
      </c>
      <c r="K6051" t="s">
        <v>2173</v>
      </c>
      <c r="L6051">
        <v>0</v>
      </c>
      <c r="N6051" t="s">
        <v>199</v>
      </c>
      <c r="O6051">
        <v>0</v>
      </c>
      <c r="P6051">
        <v>15</v>
      </c>
      <c r="Q6051" t="s">
        <v>264</v>
      </c>
      <c r="R6051" t="s">
        <v>201</v>
      </c>
      <c r="S6051">
        <v>0</v>
      </c>
      <c r="T6051">
        <v>0</v>
      </c>
      <c r="U6051">
        <v>855</v>
      </c>
      <c r="V6051">
        <v>855</v>
      </c>
    </row>
    <row r="6052" spans="1:22">
      <c r="A6052" t="s">
        <v>196</v>
      </c>
      <c r="B6052">
        <v>38</v>
      </c>
      <c r="C6052" t="s">
        <v>922</v>
      </c>
      <c r="D6052">
        <v>610</v>
      </c>
      <c r="E6052" t="s">
        <v>2171</v>
      </c>
      <c r="F6052">
        <v>1005</v>
      </c>
      <c r="G6052" t="s">
        <v>923</v>
      </c>
      <c r="H6052">
        <v>2140</v>
      </c>
      <c r="I6052" t="s">
        <v>25</v>
      </c>
      <c r="J6052">
        <v>3224</v>
      </c>
      <c r="K6052" t="s">
        <v>2173</v>
      </c>
      <c r="L6052">
        <v>0</v>
      </c>
      <c r="N6052" t="s">
        <v>199</v>
      </c>
      <c r="O6052">
        <v>0</v>
      </c>
      <c r="P6052">
        <v>12</v>
      </c>
      <c r="Q6052" t="s">
        <v>724</v>
      </c>
      <c r="R6052" t="s">
        <v>201</v>
      </c>
      <c r="S6052">
        <v>0</v>
      </c>
      <c r="T6052">
        <v>0</v>
      </c>
      <c r="U6052">
        <v>23287</v>
      </c>
      <c r="V6052">
        <v>23287</v>
      </c>
    </row>
    <row r="6053" spans="1:22">
      <c r="A6053" t="s">
        <v>196</v>
      </c>
      <c r="B6053">
        <v>57</v>
      </c>
      <c r="C6053" t="s">
        <v>31</v>
      </c>
      <c r="D6053">
        <v>610</v>
      </c>
      <c r="E6053" t="s">
        <v>2171</v>
      </c>
      <c r="F6053">
        <v>1005</v>
      </c>
      <c r="G6053" t="s">
        <v>31</v>
      </c>
      <c r="H6053">
        <v>2028</v>
      </c>
      <c r="I6053" t="s">
        <v>6</v>
      </c>
      <c r="J6053">
        <v>3336</v>
      </c>
      <c r="K6053" t="s">
        <v>2174</v>
      </c>
      <c r="L6053">
        <v>0</v>
      </c>
      <c r="N6053" t="s">
        <v>1330</v>
      </c>
      <c r="O6053">
        <v>75</v>
      </c>
      <c r="P6053">
        <v>9175</v>
      </c>
      <c r="Q6053" t="s">
        <v>1331</v>
      </c>
      <c r="R6053" t="s">
        <v>201</v>
      </c>
      <c r="S6053">
        <v>1</v>
      </c>
      <c r="T6053">
        <v>1</v>
      </c>
      <c r="U6053">
        <v>181188</v>
      </c>
      <c r="V6053">
        <v>181188</v>
      </c>
    </row>
    <row r="6054" spans="1:22">
      <c r="A6054" t="s">
        <v>196</v>
      </c>
      <c r="B6054">
        <v>57</v>
      </c>
      <c r="C6054" t="s">
        <v>31</v>
      </c>
      <c r="D6054">
        <v>610</v>
      </c>
      <c r="E6054" t="s">
        <v>2171</v>
      </c>
      <c r="F6054">
        <v>1005</v>
      </c>
      <c r="G6054" t="s">
        <v>31</v>
      </c>
      <c r="H6054">
        <v>2028</v>
      </c>
      <c r="I6054" t="s">
        <v>6</v>
      </c>
      <c r="J6054">
        <v>3336</v>
      </c>
      <c r="K6054" t="s">
        <v>2174</v>
      </c>
      <c r="L6054">
        <v>0</v>
      </c>
      <c r="N6054" t="s">
        <v>1304</v>
      </c>
      <c r="O6054">
        <v>73</v>
      </c>
      <c r="P6054">
        <v>9173</v>
      </c>
      <c r="Q6054" t="s">
        <v>1323</v>
      </c>
      <c r="R6054" t="s">
        <v>201</v>
      </c>
      <c r="S6054">
        <v>1</v>
      </c>
      <c r="T6054">
        <v>1</v>
      </c>
      <c r="U6054">
        <v>170700</v>
      </c>
      <c r="V6054">
        <v>170700</v>
      </c>
    </row>
    <row r="6055" spans="1:22">
      <c r="A6055" t="s">
        <v>196</v>
      </c>
      <c r="B6055">
        <v>57</v>
      </c>
      <c r="C6055" t="s">
        <v>31</v>
      </c>
      <c r="D6055">
        <v>610</v>
      </c>
      <c r="E6055" t="s">
        <v>2171</v>
      </c>
      <c r="F6055">
        <v>1005</v>
      </c>
      <c r="G6055" t="s">
        <v>31</v>
      </c>
      <c r="H6055">
        <v>2028</v>
      </c>
      <c r="I6055" t="s">
        <v>6</v>
      </c>
      <c r="J6055">
        <v>3336</v>
      </c>
      <c r="K6055" t="s">
        <v>2174</v>
      </c>
      <c r="L6055">
        <v>0</v>
      </c>
      <c r="N6055" t="s">
        <v>1302</v>
      </c>
      <c r="O6055">
        <v>71</v>
      </c>
      <c r="P6055">
        <v>9171</v>
      </c>
      <c r="Q6055" t="s">
        <v>1303</v>
      </c>
      <c r="R6055" t="s">
        <v>201</v>
      </c>
      <c r="S6055">
        <v>3</v>
      </c>
      <c r="T6055">
        <v>1</v>
      </c>
      <c r="U6055">
        <v>152010</v>
      </c>
      <c r="V6055">
        <v>456030</v>
      </c>
    </row>
    <row r="6056" spans="1:22">
      <c r="A6056" t="s">
        <v>196</v>
      </c>
      <c r="B6056">
        <v>57</v>
      </c>
      <c r="C6056" t="s">
        <v>31</v>
      </c>
      <c r="D6056">
        <v>610</v>
      </c>
      <c r="E6056" t="s">
        <v>2171</v>
      </c>
      <c r="F6056">
        <v>1005</v>
      </c>
      <c r="G6056" t="s">
        <v>31</v>
      </c>
      <c r="H6056">
        <v>2028</v>
      </c>
      <c r="I6056" t="s">
        <v>6</v>
      </c>
      <c r="J6056">
        <v>3336</v>
      </c>
      <c r="K6056" t="s">
        <v>2174</v>
      </c>
      <c r="L6056">
        <v>0</v>
      </c>
      <c r="N6056" t="s">
        <v>1302</v>
      </c>
      <c r="O6056">
        <v>71</v>
      </c>
      <c r="P6056">
        <v>9171</v>
      </c>
      <c r="Q6056" t="s">
        <v>1303</v>
      </c>
      <c r="R6056" t="s">
        <v>201</v>
      </c>
      <c r="S6056">
        <v>2</v>
      </c>
      <c r="T6056">
        <v>1</v>
      </c>
      <c r="U6056">
        <v>147252</v>
      </c>
      <c r="V6056">
        <v>294504</v>
      </c>
    </row>
    <row r="6057" spans="1:22">
      <c r="A6057" t="s">
        <v>196</v>
      </c>
      <c r="B6057">
        <v>57</v>
      </c>
      <c r="C6057" t="s">
        <v>31</v>
      </c>
      <c r="D6057">
        <v>610</v>
      </c>
      <c r="E6057" t="s">
        <v>2171</v>
      </c>
      <c r="F6057">
        <v>1005</v>
      </c>
      <c r="G6057" t="s">
        <v>31</v>
      </c>
      <c r="H6057">
        <v>2028</v>
      </c>
      <c r="I6057" t="s">
        <v>6</v>
      </c>
      <c r="J6057">
        <v>3336</v>
      </c>
      <c r="K6057" t="s">
        <v>2174</v>
      </c>
      <c r="L6057">
        <v>0</v>
      </c>
      <c r="N6057" t="s">
        <v>1302</v>
      </c>
      <c r="O6057">
        <v>71</v>
      </c>
      <c r="P6057">
        <v>9171</v>
      </c>
      <c r="Q6057" t="s">
        <v>1303</v>
      </c>
      <c r="R6057" t="s">
        <v>201</v>
      </c>
      <c r="S6057">
        <v>1</v>
      </c>
      <c r="T6057">
        <v>1</v>
      </c>
      <c r="U6057">
        <v>142668</v>
      </c>
      <c r="V6057">
        <v>142668</v>
      </c>
    </row>
    <row r="6058" spans="1:22">
      <c r="A6058" t="s">
        <v>196</v>
      </c>
      <c r="B6058">
        <v>57</v>
      </c>
      <c r="C6058" t="s">
        <v>31</v>
      </c>
      <c r="D6058">
        <v>610</v>
      </c>
      <c r="E6058" t="s">
        <v>2171</v>
      </c>
      <c r="F6058">
        <v>1005</v>
      </c>
      <c r="G6058" t="s">
        <v>31</v>
      </c>
      <c r="H6058">
        <v>2028</v>
      </c>
      <c r="I6058" t="s">
        <v>6</v>
      </c>
      <c r="J6058">
        <v>3336</v>
      </c>
      <c r="K6058" t="s">
        <v>2174</v>
      </c>
      <c r="L6058">
        <v>0</v>
      </c>
      <c r="N6058" t="s">
        <v>1302</v>
      </c>
      <c r="O6058">
        <v>71</v>
      </c>
      <c r="P6058">
        <v>9171</v>
      </c>
      <c r="Q6058" t="s">
        <v>1303</v>
      </c>
      <c r="R6058" t="s">
        <v>201</v>
      </c>
      <c r="S6058">
        <v>3</v>
      </c>
      <c r="T6058">
        <v>1</v>
      </c>
      <c r="U6058">
        <v>138318</v>
      </c>
      <c r="V6058">
        <v>414954</v>
      </c>
    </row>
    <row r="6059" spans="1:22">
      <c r="A6059" t="s">
        <v>196</v>
      </c>
      <c r="B6059">
        <v>57</v>
      </c>
      <c r="C6059" t="s">
        <v>31</v>
      </c>
      <c r="D6059">
        <v>610</v>
      </c>
      <c r="E6059" t="s">
        <v>2171</v>
      </c>
      <c r="F6059">
        <v>1005</v>
      </c>
      <c r="G6059" t="s">
        <v>31</v>
      </c>
      <c r="H6059">
        <v>2028</v>
      </c>
      <c r="I6059" t="s">
        <v>6</v>
      </c>
      <c r="J6059">
        <v>3336</v>
      </c>
      <c r="K6059" t="s">
        <v>2174</v>
      </c>
      <c r="L6059">
        <v>0</v>
      </c>
      <c r="N6059" t="s">
        <v>1309</v>
      </c>
      <c r="O6059">
        <v>91</v>
      </c>
      <c r="P6059">
        <v>9161</v>
      </c>
      <c r="Q6059" t="s">
        <v>1310</v>
      </c>
      <c r="R6059" t="s">
        <v>201</v>
      </c>
      <c r="S6059">
        <v>11</v>
      </c>
      <c r="T6059">
        <v>1</v>
      </c>
      <c r="U6059">
        <v>127146</v>
      </c>
      <c r="V6059">
        <v>1398606</v>
      </c>
    </row>
    <row r="6060" spans="1:22">
      <c r="A6060" t="s">
        <v>196</v>
      </c>
      <c r="B6060">
        <v>57</v>
      </c>
      <c r="C6060" t="s">
        <v>31</v>
      </c>
      <c r="D6060">
        <v>610</v>
      </c>
      <c r="E6060" t="s">
        <v>2171</v>
      </c>
      <c r="F6060">
        <v>1005</v>
      </c>
      <c r="G6060" t="s">
        <v>31</v>
      </c>
      <c r="H6060">
        <v>2028</v>
      </c>
      <c r="I6060" t="s">
        <v>6</v>
      </c>
      <c r="J6060">
        <v>3336</v>
      </c>
      <c r="K6060" t="s">
        <v>2174</v>
      </c>
      <c r="L6060">
        <v>0</v>
      </c>
      <c r="N6060" t="s">
        <v>1309</v>
      </c>
      <c r="O6060">
        <v>91</v>
      </c>
      <c r="P6060">
        <v>9161</v>
      </c>
      <c r="Q6060" t="s">
        <v>1310</v>
      </c>
      <c r="R6060" t="s">
        <v>201</v>
      </c>
      <c r="S6060">
        <v>3</v>
      </c>
      <c r="T6060">
        <v>1</v>
      </c>
      <c r="U6060">
        <v>123576</v>
      </c>
      <c r="V6060">
        <v>370728</v>
      </c>
    </row>
    <row r="6061" spans="1:22">
      <c r="A6061" t="s">
        <v>196</v>
      </c>
      <c r="B6061">
        <v>57</v>
      </c>
      <c r="C6061" t="s">
        <v>31</v>
      </c>
      <c r="D6061">
        <v>610</v>
      </c>
      <c r="E6061" t="s">
        <v>2171</v>
      </c>
      <c r="F6061">
        <v>1005</v>
      </c>
      <c r="G6061" t="s">
        <v>31</v>
      </c>
      <c r="H6061">
        <v>2028</v>
      </c>
      <c r="I6061" t="s">
        <v>6</v>
      </c>
      <c r="J6061">
        <v>3336</v>
      </c>
      <c r="K6061" t="s">
        <v>2174</v>
      </c>
      <c r="L6061">
        <v>0</v>
      </c>
      <c r="N6061" t="s">
        <v>1309</v>
      </c>
      <c r="O6061">
        <v>91</v>
      </c>
      <c r="P6061">
        <v>9161</v>
      </c>
      <c r="Q6061" t="s">
        <v>1310</v>
      </c>
      <c r="R6061" t="s">
        <v>201</v>
      </c>
      <c r="S6061">
        <v>1</v>
      </c>
      <c r="T6061">
        <v>1</v>
      </c>
      <c r="U6061">
        <v>115158</v>
      </c>
      <c r="V6061">
        <v>115158</v>
      </c>
    </row>
    <row r="6062" spans="1:22">
      <c r="A6062" t="s">
        <v>196</v>
      </c>
      <c r="B6062">
        <v>57</v>
      </c>
      <c r="C6062" t="s">
        <v>31</v>
      </c>
      <c r="D6062">
        <v>610</v>
      </c>
      <c r="E6062" t="s">
        <v>2171</v>
      </c>
      <c r="F6062">
        <v>1005</v>
      </c>
      <c r="G6062" t="s">
        <v>31</v>
      </c>
      <c r="H6062">
        <v>2028</v>
      </c>
      <c r="I6062" t="s">
        <v>6</v>
      </c>
      <c r="J6062">
        <v>3336</v>
      </c>
      <c r="K6062" t="s">
        <v>2174</v>
      </c>
      <c r="L6062">
        <v>0</v>
      </c>
      <c r="N6062" t="s">
        <v>1309</v>
      </c>
      <c r="O6062">
        <v>91</v>
      </c>
      <c r="P6062">
        <v>9161</v>
      </c>
      <c r="Q6062" t="s">
        <v>1310</v>
      </c>
      <c r="R6062" t="s">
        <v>201</v>
      </c>
      <c r="S6062">
        <v>2</v>
      </c>
      <c r="T6062">
        <v>1</v>
      </c>
      <c r="U6062">
        <v>111252</v>
      </c>
      <c r="V6062">
        <v>222504</v>
      </c>
    </row>
    <row r="6063" spans="1:22">
      <c r="A6063" t="s">
        <v>196</v>
      </c>
      <c r="B6063">
        <v>57</v>
      </c>
      <c r="C6063" t="s">
        <v>31</v>
      </c>
      <c r="D6063">
        <v>610</v>
      </c>
      <c r="E6063" t="s">
        <v>2171</v>
      </c>
      <c r="F6063">
        <v>1005</v>
      </c>
      <c r="G6063" t="s">
        <v>31</v>
      </c>
      <c r="H6063">
        <v>2028</v>
      </c>
      <c r="I6063" t="s">
        <v>6</v>
      </c>
      <c r="J6063">
        <v>3336</v>
      </c>
      <c r="K6063" t="s">
        <v>2174</v>
      </c>
      <c r="L6063">
        <v>0</v>
      </c>
      <c r="N6063" t="s">
        <v>1309</v>
      </c>
      <c r="O6063">
        <v>91</v>
      </c>
      <c r="P6063">
        <v>9161</v>
      </c>
      <c r="Q6063" t="s">
        <v>1310</v>
      </c>
      <c r="R6063" t="s">
        <v>201</v>
      </c>
      <c r="S6063">
        <v>26</v>
      </c>
      <c r="T6063">
        <v>1</v>
      </c>
      <c r="U6063">
        <v>95982</v>
      </c>
      <c r="V6063">
        <v>2495532</v>
      </c>
    </row>
    <row r="6064" spans="1:22">
      <c r="A6064" t="s">
        <v>196</v>
      </c>
      <c r="B6064">
        <v>57</v>
      </c>
      <c r="C6064" t="s">
        <v>31</v>
      </c>
      <c r="D6064">
        <v>610</v>
      </c>
      <c r="E6064" t="s">
        <v>2171</v>
      </c>
      <c r="F6064">
        <v>1005</v>
      </c>
      <c r="G6064" t="s">
        <v>31</v>
      </c>
      <c r="H6064">
        <v>2028</v>
      </c>
      <c r="I6064" t="s">
        <v>6</v>
      </c>
      <c r="J6064">
        <v>3336</v>
      </c>
      <c r="K6064" t="s">
        <v>2174</v>
      </c>
      <c r="L6064">
        <v>0</v>
      </c>
      <c r="N6064" t="s">
        <v>1309</v>
      </c>
      <c r="O6064">
        <v>91</v>
      </c>
      <c r="P6064">
        <v>9161</v>
      </c>
      <c r="Q6064" t="s">
        <v>1310</v>
      </c>
      <c r="R6064" t="s">
        <v>201</v>
      </c>
      <c r="S6064">
        <v>14</v>
      </c>
      <c r="T6064">
        <v>1</v>
      </c>
      <c r="U6064">
        <v>63636</v>
      </c>
      <c r="V6064">
        <v>890904</v>
      </c>
    </row>
    <row r="6065" spans="1:22">
      <c r="A6065" t="s">
        <v>196</v>
      </c>
      <c r="B6065">
        <v>57</v>
      </c>
      <c r="C6065" t="s">
        <v>31</v>
      </c>
      <c r="D6065">
        <v>610</v>
      </c>
      <c r="E6065" t="s">
        <v>2171</v>
      </c>
      <c r="F6065">
        <v>1005</v>
      </c>
      <c r="G6065" t="s">
        <v>31</v>
      </c>
      <c r="H6065">
        <v>2028</v>
      </c>
      <c r="I6065" t="s">
        <v>6</v>
      </c>
      <c r="J6065">
        <v>3336</v>
      </c>
      <c r="K6065" t="s">
        <v>2174</v>
      </c>
      <c r="L6065">
        <v>0</v>
      </c>
      <c r="N6065" t="s">
        <v>1321</v>
      </c>
      <c r="O6065">
        <v>91</v>
      </c>
      <c r="P6065">
        <v>9153</v>
      </c>
      <c r="Q6065" t="s">
        <v>1384</v>
      </c>
      <c r="R6065" t="s">
        <v>201</v>
      </c>
      <c r="S6065">
        <v>2</v>
      </c>
      <c r="T6065">
        <v>1</v>
      </c>
      <c r="U6065">
        <v>129774</v>
      </c>
      <c r="V6065">
        <v>259548</v>
      </c>
    </row>
    <row r="6066" spans="1:22">
      <c r="A6066" t="s">
        <v>196</v>
      </c>
      <c r="B6066">
        <v>57</v>
      </c>
      <c r="C6066" t="s">
        <v>31</v>
      </c>
      <c r="D6066">
        <v>610</v>
      </c>
      <c r="E6066" t="s">
        <v>2171</v>
      </c>
      <c r="F6066">
        <v>1005</v>
      </c>
      <c r="G6066" t="s">
        <v>31</v>
      </c>
      <c r="H6066">
        <v>2028</v>
      </c>
      <c r="I6066" t="s">
        <v>6</v>
      </c>
      <c r="J6066">
        <v>3336</v>
      </c>
      <c r="K6066" t="s">
        <v>2174</v>
      </c>
      <c r="L6066">
        <v>0</v>
      </c>
      <c r="N6066" t="s">
        <v>1321</v>
      </c>
      <c r="O6066">
        <v>91</v>
      </c>
      <c r="P6066">
        <v>9153</v>
      </c>
      <c r="Q6066" t="s">
        <v>1384</v>
      </c>
      <c r="R6066" t="s">
        <v>201</v>
      </c>
      <c r="S6066">
        <v>1</v>
      </c>
      <c r="T6066">
        <v>1</v>
      </c>
      <c r="U6066">
        <v>125112</v>
      </c>
      <c r="V6066">
        <v>125112</v>
      </c>
    </row>
    <row r="6067" spans="1:22">
      <c r="A6067" t="s">
        <v>196</v>
      </c>
      <c r="B6067">
        <v>57</v>
      </c>
      <c r="C6067" t="s">
        <v>31</v>
      </c>
      <c r="D6067">
        <v>610</v>
      </c>
      <c r="E6067" t="s">
        <v>2171</v>
      </c>
      <c r="F6067">
        <v>1005</v>
      </c>
      <c r="G6067" t="s">
        <v>31</v>
      </c>
      <c r="H6067">
        <v>2028</v>
      </c>
      <c r="I6067" t="s">
        <v>6</v>
      </c>
      <c r="J6067">
        <v>3336</v>
      </c>
      <c r="K6067" t="s">
        <v>2174</v>
      </c>
      <c r="L6067">
        <v>0</v>
      </c>
      <c r="N6067" t="s">
        <v>809</v>
      </c>
      <c r="O6067">
        <v>1</v>
      </c>
      <c r="P6067">
        <v>460</v>
      </c>
      <c r="Q6067" t="s">
        <v>810</v>
      </c>
      <c r="R6067" t="s">
        <v>201</v>
      </c>
      <c r="S6067">
        <v>1</v>
      </c>
      <c r="T6067">
        <v>1</v>
      </c>
      <c r="U6067">
        <v>47364</v>
      </c>
      <c r="V6067">
        <v>47364</v>
      </c>
    </row>
    <row r="6068" spans="1:22">
      <c r="A6068" t="s">
        <v>196</v>
      </c>
      <c r="B6068">
        <v>57</v>
      </c>
      <c r="C6068" t="s">
        <v>31</v>
      </c>
      <c r="D6068">
        <v>610</v>
      </c>
      <c r="E6068" t="s">
        <v>2171</v>
      </c>
      <c r="F6068">
        <v>1005</v>
      </c>
      <c r="G6068" t="s">
        <v>31</v>
      </c>
      <c r="H6068">
        <v>2028</v>
      </c>
      <c r="I6068" t="s">
        <v>6</v>
      </c>
      <c r="J6068">
        <v>3336</v>
      </c>
      <c r="K6068" t="s">
        <v>2174</v>
      </c>
      <c r="L6068">
        <v>0</v>
      </c>
      <c r="N6068" t="s">
        <v>199</v>
      </c>
      <c r="O6068">
        <v>0</v>
      </c>
      <c r="P6068">
        <v>15</v>
      </c>
      <c r="Q6068" t="s">
        <v>264</v>
      </c>
      <c r="R6068" t="s">
        <v>201</v>
      </c>
      <c r="S6068">
        <v>0</v>
      </c>
      <c r="T6068">
        <v>0</v>
      </c>
      <c r="U6068">
        <v>77297</v>
      </c>
      <c r="V6068">
        <v>77297</v>
      </c>
    </row>
    <row r="6069" spans="1:22">
      <c r="A6069" t="s">
        <v>196</v>
      </c>
      <c r="B6069">
        <v>58</v>
      </c>
      <c r="C6069" t="s">
        <v>9</v>
      </c>
      <c r="D6069">
        <v>610</v>
      </c>
      <c r="E6069" t="s">
        <v>2171</v>
      </c>
      <c r="F6069">
        <v>1010</v>
      </c>
      <c r="G6069" t="s">
        <v>9</v>
      </c>
      <c r="H6069">
        <v>2705</v>
      </c>
      <c r="I6069" t="s">
        <v>9</v>
      </c>
      <c r="J6069">
        <v>3050</v>
      </c>
      <c r="K6069" t="s">
        <v>1460</v>
      </c>
      <c r="L6069">
        <v>4645</v>
      </c>
      <c r="M6069" t="s">
        <v>1461</v>
      </c>
      <c r="N6069" t="s">
        <v>710</v>
      </c>
      <c r="O6069">
        <v>2</v>
      </c>
      <c r="P6069">
        <v>9112</v>
      </c>
      <c r="Q6069" t="s">
        <v>2175</v>
      </c>
      <c r="R6069" t="s">
        <v>201</v>
      </c>
      <c r="S6069">
        <v>6</v>
      </c>
      <c r="T6069">
        <v>1</v>
      </c>
      <c r="U6069">
        <v>59820</v>
      </c>
      <c r="V6069">
        <v>358920</v>
      </c>
    </row>
    <row r="6070" spans="1:22">
      <c r="A6070" t="s">
        <v>196</v>
      </c>
      <c r="B6070">
        <v>58</v>
      </c>
      <c r="C6070" t="s">
        <v>9</v>
      </c>
      <c r="D6070">
        <v>610</v>
      </c>
      <c r="E6070" t="s">
        <v>2171</v>
      </c>
      <c r="F6070">
        <v>1010</v>
      </c>
      <c r="G6070" t="s">
        <v>9</v>
      </c>
      <c r="H6070">
        <v>2705</v>
      </c>
      <c r="I6070" t="s">
        <v>9</v>
      </c>
      <c r="J6070">
        <v>3050</v>
      </c>
      <c r="K6070" t="s">
        <v>1460</v>
      </c>
      <c r="L6070">
        <v>4645</v>
      </c>
      <c r="M6070" t="s">
        <v>1461</v>
      </c>
      <c r="N6070" t="s">
        <v>710</v>
      </c>
      <c r="O6070">
        <v>2</v>
      </c>
      <c r="P6070">
        <v>9112</v>
      </c>
      <c r="Q6070" t="s">
        <v>2175</v>
      </c>
      <c r="R6070" t="s">
        <v>201</v>
      </c>
      <c r="S6070">
        <v>1</v>
      </c>
      <c r="T6070">
        <v>1</v>
      </c>
      <c r="U6070">
        <v>51348</v>
      </c>
      <c r="V6070">
        <v>51348</v>
      </c>
    </row>
    <row r="6071" spans="1:22">
      <c r="A6071" t="s">
        <v>196</v>
      </c>
      <c r="B6071">
        <v>58</v>
      </c>
      <c r="C6071" t="s">
        <v>9</v>
      </c>
      <c r="D6071">
        <v>610</v>
      </c>
      <c r="E6071" t="s">
        <v>2171</v>
      </c>
      <c r="F6071">
        <v>1010</v>
      </c>
      <c r="G6071" t="s">
        <v>9</v>
      </c>
      <c r="H6071">
        <v>2705</v>
      </c>
      <c r="I6071" t="s">
        <v>9</v>
      </c>
      <c r="J6071">
        <v>3050</v>
      </c>
      <c r="K6071" t="s">
        <v>1460</v>
      </c>
      <c r="L6071">
        <v>4645</v>
      </c>
      <c r="M6071" t="s">
        <v>1461</v>
      </c>
      <c r="N6071" t="s">
        <v>710</v>
      </c>
      <c r="O6071">
        <v>2</v>
      </c>
      <c r="P6071">
        <v>9112</v>
      </c>
      <c r="Q6071" t="s">
        <v>2175</v>
      </c>
      <c r="R6071" t="s">
        <v>201</v>
      </c>
      <c r="S6071">
        <v>3</v>
      </c>
      <c r="T6071">
        <v>1</v>
      </c>
      <c r="U6071">
        <v>49056</v>
      </c>
      <c r="V6071">
        <v>147168</v>
      </c>
    </row>
    <row r="6072" spans="1:22">
      <c r="A6072" t="s">
        <v>196</v>
      </c>
      <c r="B6072">
        <v>58</v>
      </c>
      <c r="C6072" t="s">
        <v>9</v>
      </c>
      <c r="D6072">
        <v>610</v>
      </c>
      <c r="E6072" t="s">
        <v>2171</v>
      </c>
      <c r="F6072">
        <v>1010</v>
      </c>
      <c r="G6072" t="s">
        <v>9</v>
      </c>
      <c r="H6072">
        <v>2705</v>
      </c>
      <c r="I6072" t="s">
        <v>9</v>
      </c>
      <c r="J6072">
        <v>3050</v>
      </c>
      <c r="K6072" t="s">
        <v>1460</v>
      </c>
      <c r="L6072">
        <v>4645</v>
      </c>
      <c r="M6072" t="s">
        <v>1461</v>
      </c>
      <c r="N6072" t="s">
        <v>1351</v>
      </c>
      <c r="O6072">
        <v>2</v>
      </c>
      <c r="P6072">
        <v>9105</v>
      </c>
      <c r="Q6072" t="s">
        <v>1462</v>
      </c>
      <c r="R6072" t="s">
        <v>201</v>
      </c>
      <c r="S6072">
        <v>1</v>
      </c>
      <c r="T6072">
        <v>1</v>
      </c>
      <c r="U6072">
        <v>74844</v>
      </c>
      <c r="V6072">
        <v>74844</v>
      </c>
    </row>
    <row r="6073" spans="1:22">
      <c r="A6073" t="s">
        <v>196</v>
      </c>
      <c r="B6073">
        <v>58</v>
      </c>
      <c r="C6073" t="s">
        <v>9</v>
      </c>
      <c r="D6073">
        <v>610</v>
      </c>
      <c r="E6073" t="s">
        <v>2171</v>
      </c>
      <c r="F6073">
        <v>1010</v>
      </c>
      <c r="G6073" t="s">
        <v>9</v>
      </c>
      <c r="H6073">
        <v>2705</v>
      </c>
      <c r="I6073" t="s">
        <v>9</v>
      </c>
      <c r="J6073">
        <v>3050</v>
      </c>
      <c r="K6073" t="s">
        <v>1460</v>
      </c>
      <c r="L6073">
        <v>4645</v>
      </c>
      <c r="M6073" t="s">
        <v>1461</v>
      </c>
      <c r="N6073" t="s">
        <v>1351</v>
      </c>
      <c r="O6073">
        <v>2</v>
      </c>
      <c r="P6073">
        <v>9105</v>
      </c>
      <c r="Q6073" t="s">
        <v>1462</v>
      </c>
      <c r="R6073" t="s">
        <v>201</v>
      </c>
      <c r="S6073">
        <v>1</v>
      </c>
      <c r="T6073">
        <v>1</v>
      </c>
      <c r="U6073">
        <v>71436</v>
      </c>
      <c r="V6073">
        <v>71436</v>
      </c>
    </row>
    <row r="6074" spans="1:22">
      <c r="A6074" t="s">
        <v>196</v>
      </c>
      <c r="B6074">
        <v>58</v>
      </c>
      <c r="C6074" t="s">
        <v>9</v>
      </c>
      <c r="D6074">
        <v>610</v>
      </c>
      <c r="E6074" t="s">
        <v>2171</v>
      </c>
      <c r="F6074">
        <v>1010</v>
      </c>
      <c r="G6074" t="s">
        <v>9</v>
      </c>
      <c r="H6074">
        <v>2705</v>
      </c>
      <c r="I6074" t="s">
        <v>9</v>
      </c>
      <c r="J6074">
        <v>3050</v>
      </c>
      <c r="K6074" t="s">
        <v>1460</v>
      </c>
      <c r="L6074">
        <v>4645</v>
      </c>
      <c r="M6074" t="s">
        <v>1461</v>
      </c>
      <c r="N6074" t="s">
        <v>1351</v>
      </c>
      <c r="O6074">
        <v>2</v>
      </c>
      <c r="P6074">
        <v>9105</v>
      </c>
      <c r="Q6074" t="s">
        <v>1462</v>
      </c>
      <c r="R6074" t="s">
        <v>201</v>
      </c>
      <c r="S6074">
        <v>1</v>
      </c>
      <c r="T6074">
        <v>1</v>
      </c>
      <c r="U6074">
        <v>68196</v>
      </c>
      <c r="V6074">
        <v>68196</v>
      </c>
    </row>
    <row r="6075" spans="1:22">
      <c r="A6075" t="s">
        <v>196</v>
      </c>
      <c r="B6075">
        <v>58</v>
      </c>
      <c r="C6075" t="s">
        <v>9</v>
      </c>
      <c r="D6075">
        <v>610</v>
      </c>
      <c r="E6075" t="s">
        <v>2171</v>
      </c>
      <c r="F6075">
        <v>1010</v>
      </c>
      <c r="G6075" t="s">
        <v>9</v>
      </c>
      <c r="H6075">
        <v>2705</v>
      </c>
      <c r="I6075" t="s">
        <v>9</v>
      </c>
      <c r="J6075">
        <v>3050</v>
      </c>
      <c r="K6075" t="s">
        <v>1460</v>
      </c>
      <c r="L6075">
        <v>4645</v>
      </c>
      <c r="M6075" t="s">
        <v>1461</v>
      </c>
      <c r="N6075" t="s">
        <v>1351</v>
      </c>
      <c r="O6075">
        <v>2</v>
      </c>
      <c r="P6075">
        <v>9105</v>
      </c>
      <c r="Q6075" t="s">
        <v>1462</v>
      </c>
      <c r="R6075" t="s">
        <v>201</v>
      </c>
      <c r="S6075">
        <v>2</v>
      </c>
      <c r="T6075">
        <v>1</v>
      </c>
      <c r="U6075">
        <v>62136</v>
      </c>
      <c r="V6075">
        <v>124272</v>
      </c>
    </row>
    <row r="6076" spans="1:22">
      <c r="A6076" t="s">
        <v>196</v>
      </c>
      <c r="B6076">
        <v>58</v>
      </c>
      <c r="C6076" t="s">
        <v>9</v>
      </c>
      <c r="D6076">
        <v>610</v>
      </c>
      <c r="E6076" t="s">
        <v>2171</v>
      </c>
      <c r="F6076">
        <v>1010</v>
      </c>
      <c r="G6076" t="s">
        <v>9</v>
      </c>
      <c r="H6076">
        <v>2705</v>
      </c>
      <c r="I6076" t="s">
        <v>9</v>
      </c>
      <c r="J6076">
        <v>3050</v>
      </c>
      <c r="K6076" t="s">
        <v>1460</v>
      </c>
      <c r="L6076">
        <v>4645</v>
      </c>
      <c r="M6076" t="s">
        <v>1461</v>
      </c>
      <c r="N6076" t="s">
        <v>710</v>
      </c>
      <c r="O6076">
        <v>2</v>
      </c>
      <c r="P6076">
        <v>9104</v>
      </c>
      <c r="Q6076" t="s">
        <v>1463</v>
      </c>
      <c r="R6076" t="s">
        <v>713</v>
      </c>
      <c r="S6076">
        <v>45000</v>
      </c>
      <c r="T6076">
        <v>0</v>
      </c>
      <c r="U6076">
        <v>25.54</v>
      </c>
      <c r="V6076">
        <v>1149300</v>
      </c>
    </row>
    <row r="6077" spans="1:22">
      <c r="A6077" t="s">
        <v>196</v>
      </c>
      <c r="B6077">
        <v>58</v>
      </c>
      <c r="C6077" t="s">
        <v>9</v>
      </c>
      <c r="D6077">
        <v>610</v>
      </c>
      <c r="E6077" t="s">
        <v>2171</v>
      </c>
      <c r="F6077">
        <v>1010</v>
      </c>
      <c r="G6077" t="s">
        <v>9</v>
      </c>
      <c r="H6077">
        <v>2705</v>
      </c>
      <c r="I6077" t="s">
        <v>9</v>
      </c>
      <c r="J6077">
        <v>3050</v>
      </c>
      <c r="K6077" t="s">
        <v>1460</v>
      </c>
      <c r="L6077">
        <v>4645</v>
      </c>
      <c r="M6077" t="s">
        <v>1461</v>
      </c>
      <c r="N6077" t="s">
        <v>251</v>
      </c>
      <c r="O6077">
        <v>10</v>
      </c>
      <c r="P6077">
        <v>6290</v>
      </c>
      <c r="Q6077" t="s">
        <v>1465</v>
      </c>
      <c r="R6077" t="s">
        <v>201</v>
      </c>
      <c r="S6077">
        <v>1</v>
      </c>
      <c r="T6077">
        <v>1</v>
      </c>
      <c r="U6077">
        <v>113568</v>
      </c>
      <c r="V6077">
        <v>113568</v>
      </c>
    </row>
    <row r="6078" spans="1:22">
      <c r="A6078" t="s">
        <v>196</v>
      </c>
      <c r="B6078">
        <v>58</v>
      </c>
      <c r="C6078" t="s">
        <v>9</v>
      </c>
      <c r="D6078">
        <v>610</v>
      </c>
      <c r="E6078" t="s">
        <v>2171</v>
      </c>
      <c r="F6078">
        <v>1010</v>
      </c>
      <c r="G6078" t="s">
        <v>9</v>
      </c>
      <c r="H6078">
        <v>2705</v>
      </c>
      <c r="I6078" t="s">
        <v>9</v>
      </c>
      <c r="J6078">
        <v>3050</v>
      </c>
      <c r="K6078" t="s">
        <v>1460</v>
      </c>
      <c r="L6078">
        <v>4645</v>
      </c>
      <c r="M6078" t="s">
        <v>1461</v>
      </c>
      <c r="N6078" t="s">
        <v>199</v>
      </c>
      <c r="O6078">
        <v>0</v>
      </c>
      <c r="P6078">
        <v>15</v>
      </c>
      <c r="Q6078" t="s">
        <v>264</v>
      </c>
      <c r="R6078" t="s">
        <v>201</v>
      </c>
      <c r="S6078">
        <v>0</v>
      </c>
      <c r="T6078">
        <v>0</v>
      </c>
      <c r="U6078">
        <v>19312</v>
      </c>
      <c r="V6078">
        <v>19312</v>
      </c>
    </row>
    <row r="6079" spans="1:22">
      <c r="A6079" t="s">
        <v>196</v>
      </c>
      <c r="B6079">
        <v>59</v>
      </c>
      <c r="C6079" t="s">
        <v>3</v>
      </c>
      <c r="D6079">
        <v>610</v>
      </c>
      <c r="E6079" t="s">
        <v>2171</v>
      </c>
      <c r="F6079">
        <v>1005</v>
      </c>
      <c r="G6079" t="s">
        <v>3</v>
      </c>
      <c r="H6079">
        <v>2005</v>
      </c>
      <c r="I6079" t="s">
        <v>3</v>
      </c>
      <c r="J6079">
        <v>3104</v>
      </c>
      <c r="K6079" t="s">
        <v>243</v>
      </c>
      <c r="L6079">
        <v>4618</v>
      </c>
      <c r="M6079" t="s">
        <v>1504</v>
      </c>
      <c r="N6079" t="s">
        <v>1509</v>
      </c>
      <c r="O6079">
        <v>87</v>
      </c>
      <c r="P6079">
        <v>8817</v>
      </c>
      <c r="Q6079" t="s">
        <v>1510</v>
      </c>
      <c r="R6079" t="s">
        <v>201</v>
      </c>
      <c r="S6079">
        <v>2</v>
      </c>
      <c r="T6079">
        <v>1</v>
      </c>
      <c r="U6079">
        <v>151764</v>
      </c>
      <c r="V6079">
        <v>303528</v>
      </c>
    </row>
    <row r="6080" spans="1:22">
      <c r="A6080" t="s">
        <v>196</v>
      </c>
      <c r="B6080">
        <v>59</v>
      </c>
      <c r="C6080" t="s">
        <v>3</v>
      </c>
      <c r="D6080">
        <v>610</v>
      </c>
      <c r="E6080" t="s">
        <v>2171</v>
      </c>
      <c r="F6080">
        <v>1005</v>
      </c>
      <c r="G6080" t="s">
        <v>3</v>
      </c>
      <c r="H6080">
        <v>2005</v>
      </c>
      <c r="I6080" t="s">
        <v>3</v>
      </c>
      <c r="J6080">
        <v>3104</v>
      </c>
      <c r="K6080" t="s">
        <v>243</v>
      </c>
      <c r="L6080">
        <v>4618</v>
      </c>
      <c r="M6080" t="s">
        <v>1504</v>
      </c>
      <c r="N6080" t="s">
        <v>1509</v>
      </c>
      <c r="O6080">
        <v>87</v>
      </c>
      <c r="P6080">
        <v>8817</v>
      </c>
      <c r="Q6080" t="s">
        <v>1510</v>
      </c>
      <c r="R6080" t="s">
        <v>201</v>
      </c>
      <c r="S6080">
        <v>1</v>
      </c>
      <c r="T6080">
        <v>1</v>
      </c>
      <c r="U6080">
        <v>147258</v>
      </c>
      <c r="V6080">
        <v>147258</v>
      </c>
    </row>
    <row r="6081" spans="1:22">
      <c r="A6081" t="s">
        <v>196</v>
      </c>
      <c r="B6081">
        <v>59</v>
      </c>
      <c r="C6081" t="s">
        <v>3</v>
      </c>
      <c r="D6081">
        <v>610</v>
      </c>
      <c r="E6081" t="s">
        <v>2171</v>
      </c>
      <c r="F6081">
        <v>1005</v>
      </c>
      <c r="G6081" t="s">
        <v>3</v>
      </c>
      <c r="H6081">
        <v>2005</v>
      </c>
      <c r="I6081" t="s">
        <v>3</v>
      </c>
      <c r="J6081">
        <v>3104</v>
      </c>
      <c r="K6081" t="s">
        <v>243</v>
      </c>
      <c r="L6081">
        <v>4618</v>
      </c>
      <c r="M6081" t="s">
        <v>1504</v>
      </c>
      <c r="N6081" t="s">
        <v>1511</v>
      </c>
      <c r="O6081">
        <v>87</v>
      </c>
      <c r="P6081">
        <v>8812</v>
      </c>
      <c r="Q6081" t="s">
        <v>1512</v>
      </c>
      <c r="R6081" t="s">
        <v>201</v>
      </c>
      <c r="S6081">
        <v>1</v>
      </c>
      <c r="T6081">
        <v>1</v>
      </c>
      <c r="U6081">
        <v>125904</v>
      </c>
      <c r="V6081">
        <v>125904</v>
      </c>
    </row>
    <row r="6082" spans="1:22">
      <c r="A6082" t="s">
        <v>196</v>
      </c>
      <c r="B6082">
        <v>59</v>
      </c>
      <c r="C6082" t="s">
        <v>3</v>
      </c>
      <c r="D6082">
        <v>610</v>
      </c>
      <c r="E6082" t="s">
        <v>2171</v>
      </c>
      <c r="F6082">
        <v>1005</v>
      </c>
      <c r="G6082" t="s">
        <v>3</v>
      </c>
      <c r="H6082">
        <v>2005</v>
      </c>
      <c r="I6082" t="s">
        <v>3</v>
      </c>
      <c r="J6082">
        <v>3104</v>
      </c>
      <c r="K6082" t="s">
        <v>243</v>
      </c>
      <c r="L6082">
        <v>4618</v>
      </c>
      <c r="M6082" t="s">
        <v>1504</v>
      </c>
      <c r="N6082" t="s">
        <v>1513</v>
      </c>
      <c r="O6082">
        <v>87</v>
      </c>
      <c r="P6082">
        <v>8811</v>
      </c>
      <c r="Q6082" t="s">
        <v>1514</v>
      </c>
      <c r="R6082" t="s">
        <v>201</v>
      </c>
      <c r="S6082">
        <v>1</v>
      </c>
      <c r="T6082">
        <v>1</v>
      </c>
      <c r="U6082">
        <v>135144</v>
      </c>
      <c r="V6082">
        <v>135144</v>
      </c>
    </row>
    <row r="6083" spans="1:22">
      <c r="A6083" t="s">
        <v>196</v>
      </c>
      <c r="B6083">
        <v>59</v>
      </c>
      <c r="C6083" t="s">
        <v>3</v>
      </c>
      <c r="D6083">
        <v>610</v>
      </c>
      <c r="E6083" t="s">
        <v>2171</v>
      </c>
      <c r="F6083">
        <v>1005</v>
      </c>
      <c r="G6083" t="s">
        <v>3</v>
      </c>
      <c r="H6083">
        <v>2005</v>
      </c>
      <c r="I6083" t="s">
        <v>3</v>
      </c>
      <c r="J6083">
        <v>3104</v>
      </c>
      <c r="K6083" t="s">
        <v>243</v>
      </c>
      <c r="L6083">
        <v>4618</v>
      </c>
      <c r="M6083" t="s">
        <v>1504</v>
      </c>
      <c r="N6083" t="s">
        <v>1513</v>
      </c>
      <c r="O6083">
        <v>87</v>
      </c>
      <c r="P6083">
        <v>8811</v>
      </c>
      <c r="Q6083" t="s">
        <v>1514</v>
      </c>
      <c r="R6083" t="s">
        <v>201</v>
      </c>
      <c r="S6083">
        <v>1</v>
      </c>
      <c r="T6083">
        <v>1</v>
      </c>
      <c r="U6083">
        <v>130908</v>
      </c>
      <c r="V6083">
        <v>130908</v>
      </c>
    </row>
    <row r="6084" spans="1:22">
      <c r="A6084" t="s">
        <v>196</v>
      </c>
      <c r="B6084">
        <v>59</v>
      </c>
      <c r="C6084" t="s">
        <v>3</v>
      </c>
      <c r="D6084">
        <v>610</v>
      </c>
      <c r="E6084" t="s">
        <v>2171</v>
      </c>
      <c r="F6084">
        <v>1005</v>
      </c>
      <c r="G6084" t="s">
        <v>3</v>
      </c>
      <c r="H6084">
        <v>2005</v>
      </c>
      <c r="I6084" t="s">
        <v>3</v>
      </c>
      <c r="J6084">
        <v>3104</v>
      </c>
      <c r="K6084" t="s">
        <v>243</v>
      </c>
      <c r="L6084">
        <v>4618</v>
      </c>
      <c r="M6084" t="s">
        <v>1504</v>
      </c>
      <c r="N6084" t="s">
        <v>1513</v>
      </c>
      <c r="O6084">
        <v>87</v>
      </c>
      <c r="P6084">
        <v>8811</v>
      </c>
      <c r="Q6084" t="s">
        <v>1514</v>
      </c>
      <c r="R6084" t="s">
        <v>201</v>
      </c>
      <c r="S6084">
        <v>2</v>
      </c>
      <c r="T6084">
        <v>1</v>
      </c>
      <c r="U6084">
        <v>126840</v>
      </c>
      <c r="V6084">
        <v>253680</v>
      </c>
    </row>
    <row r="6085" spans="1:22">
      <c r="A6085" t="s">
        <v>196</v>
      </c>
      <c r="B6085">
        <v>59</v>
      </c>
      <c r="C6085" t="s">
        <v>3</v>
      </c>
      <c r="D6085">
        <v>610</v>
      </c>
      <c r="E6085" t="s">
        <v>2171</v>
      </c>
      <c r="F6085">
        <v>1005</v>
      </c>
      <c r="G6085" t="s">
        <v>3</v>
      </c>
      <c r="H6085">
        <v>2005</v>
      </c>
      <c r="I6085" t="s">
        <v>3</v>
      </c>
      <c r="J6085">
        <v>3104</v>
      </c>
      <c r="K6085" t="s">
        <v>243</v>
      </c>
      <c r="L6085">
        <v>4618</v>
      </c>
      <c r="M6085" t="s">
        <v>1504</v>
      </c>
      <c r="N6085" t="s">
        <v>1513</v>
      </c>
      <c r="O6085">
        <v>87</v>
      </c>
      <c r="P6085">
        <v>8811</v>
      </c>
      <c r="Q6085" t="s">
        <v>1514</v>
      </c>
      <c r="R6085" t="s">
        <v>201</v>
      </c>
      <c r="S6085">
        <v>1</v>
      </c>
      <c r="T6085">
        <v>1</v>
      </c>
      <c r="U6085">
        <v>122976</v>
      </c>
      <c r="V6085">
        <v>122976</v>
      </c>
    </row>
    <row r="6086" spans="1:22">
      <c r="A6086" t="s">
        <v>196</v>
      </c>
      <c r="B6086">
        <v>59</v>
      </c>
      <c r="C6086" t="s">
        <v>3</v>
      </c>
      <c r="D6086">
        <v>610</v>
      </c>
      <c r="E6086" t="s">
        <v>2171</v>
      </c>
      <c r="F6086">
        <v>1005</v>
      </c>
      <c r="G6086" t="s">
        <v>3</v>
      </c>
      <c r="H6086">
        <v>2005</v>
      </c>
      <c r="I6086" t="s">
        <v>3</v>
      </c>
      <c r="J6086">
        <v>3104</v>
      </c>
      <c r="K6086" t="s">
        <v>243</v>
      </c>
      <c r="L6086">
        <v>4618</v>
      </c>
      <c r="M6086" t="s">
        <v>1504</v>
      </c>
      <c r="N6086" t="s">
        <v>1491</v>
      </c>
      <c r="O6086">
        <v>87</v>
      </c>
      <c r="P6086">
        <v>8807</v>
      </c>
      <c r="Q6086" t="s">
        <v>1516</v>
      </c>
      <c r="R6086" t="s">
        <v>201</v>
      </c>
      <c r="S6086">
        <v>1</v>
      </c>
      <c r="T6086">
        <v>1</v>
      </c>
      <c r="U6086">
        <v>122274</v>
      </c>
      <c r="V6086">
        <v>122274</v>
      </c>
    </row>
    <row r="6087" spans="1:22">
      <c r="A6087" t="s">
        <v>196</v>
      </c>
      <c r="B6087">
        <v>59</v>
      </c>
      <c r="C6087" t="s">
        <v>3</v>
      </c>
      <c r="D6087">
        <v>610</v>
      </c>
      <c r="E6087" t="s">
        <v>2171</v>
      </c>
      <c r="F6087">
        <v>1005</v>
      </c>
      <c r="G6087" t="s">
        <v>3</v>
      </c>
      <c r="H6087">
        <v>2005</v>
      </c>
      <c r="I6087" t="s">
        <v>3</v>
      </c>
      <c r="J6087">
        <v>3104</v>
      </c>
      <c r="K6087" t="s">
        <v>243</v>
      </c>
      <c r="L6087">
        <v>4618</v>
      </c>
      <c r="M6087" t="s">
        <v>1504</v>
      </c>
      <c r="N6087" t="s">
        <v>1491</v>
      </c>
      <c r="O6087">
        <v>87</v>
      </c>
      <c r="P6087">
        <v>8807</v>
      </c>
      <c r="Q6087" t="s">
        <v>1516</v>
      </c>
      <c r="R6087" t="s">
        <v>201</v>
      </c>
      <c r="S6087">
        <v>1</v>
      </c>
      <c r="T6087">
        <v>1</v>
      </c>
      <c r="U6087">
        <v>118830</v>
      </c>
      <c r="V6087">
        <v>118830</v>
      </c>
    </row>
    <row r="6088" spans="1:22">
      <c r="A6088" t="s">
        <v>196</v>
      </c>
      <c r="B6088">
        <v>59</v>
      </c>
      <c r="C6088" t="s">
        <v>3</v>
      </c>
      <c r="D6088">
        <v>610</v>
      </c>
      <c r="E6088" t="s">
        <v>2171</v>
      </c>
      <c r="F6088">
        <v>1005</v>
      </c>
      <c r="G6088" t="s">
        <v>3</v>
      </c>
      <c r="H6088">
        <v>2005</v>
      </c>
      <c r="I6088" t="s">
        <v>3</v>
      </c>
      <c r="J6088">
        <v>3104</v>
      </c>
      <c r="K6088" t="s">
        <v>243</v>
      </c>
      <c r="L6088">
        <v>4618</v>
      </c>
      <c r="M6088" t="s">
        <v>1504</v>
      </c>
      <c r="N6088" t="s">
        <v>1491</v>
      </c>
      <c r="O6088">
        <v>87</v>
      </c>
      <c r="P6088">
        <v>8807</v>
      </c>
      <c r="Q6088" t="s">
        <v>1516</v>
      </c>
      <c r="R6088" t="s">
        <v>201</v>
      </c>
      <c r="S6088">
        <v>1</v>
      </c>
      <c r="T6088">
        <v>1</v>
      </c>
      <c r="U6088">
        <v>114654</v>
      </c>
      <c r="V6088">
        <v>114654</v>
      </c>
    </row>
    <row r="6089" spans="1:22">
      <c r="A6089" t="s">
        <v>196</v>
      </c>
      <c r="B6089">
        <v>59</v>
      </c>
      <c r="C6089" t="s">
        <v>3</v>
      </c>
      <c r="D6089">
        <v>610</v>
      </c>
      <c r="E6089" t="s">
        <v>2171</v>
      </c>
      <c r="F6089">
        <v>1005</v>
      </c>
      <c r="G6089" t="s">
        <v>3</v>
      </c>
      <c r="H6089">
        <v>2005</v>
      </c>
      <c r="I6089" t="s">
        <v>3</v>
      </c>
      <c r="J6089">
        <v>3104</v>
      </c>
      <c r="K6089" t="s">
        <v>243</v>
      </c>
      <c r="L6089">
        <v>4618</v>
      </c>
      <c r="M6089" t="s">
        <v>1504</v>
      </c>
      <c r="N6089" t="s">
        <v>1491</v>
      </c>
      <c r="O6089">
        <v>87</v>
      </c>
      <c r="P6089">
        <v>8807</v>
      </c>
      <c r="Q6089" t="s">
        <v>1516</v>
      </c>
      <c r="R6089" t="s">
        <v>201</v>
      </c>
      <c r="S6089">
        <v>5</v>
      </c>
      <c r="T6089">
        <v>1</v>
      </c>
      <c r="U6089">
        <v>110766</v>
      </c>
      <c r="V6089">
        <v>553830</v>
      </c>
    </row>
    <row r="6090" spans="1:22">
      <c r="A6090" t="s">
        <v>196</v>
      </c>
      <c r="B6090">
        <v>59</v>
      </c>
      <c r="C6090" t="s">
        <v>3</v>
      </c>
      <c r="D6090">
        <v>610</v>
      </c>
      <c r="E6090" t="s">
        <v>2171</v>
      </c>
      <c r="F6090">
        <v>1005</v>
      </c>
      <c r="G6090" t="s">
        <v>3</v>
      </c>
      <c r="H6090">
        <v>2005</v>
      </c>
      <c r="I6090" t="s">
        <v>3</v>
      </c>
      <c r="J6090">
        <v>3104</v>
      </c>
      <c r="K6090" t="s">
        <v>243</v>
      </c>
      <c r="L6090">
        <v>4618</v>
      </c>
      <c r="M6090" t="s">
        <v>1504</v>
      </c>
      <c r="N6090" t="s">
        <v>1489</v>
      </c>
      <c r="O6090">
        <v>87</v>
      </c>
      <c r="P6090">
        <v>8802</v>
      </c>
      <c r="Q6090" t="s">
        <v>1517</v>
      </c>
      <c r="R6090" t="s">
        <v>201</v>
      </c>
      <c r="S6090">
        <v>1</v>
      </c>
      <c r="T6090">
        <v>1</v>
      </c>
      <c r="U6090">
        <v>62466</v>
      </c>
      <c r="V6090">
        <v>62466</v>
      </c>
    </row>
    <row r="6091" spans="1:22">
      <c r="A6091" t="s">
        <v>196</v>
      </c>
      <c r="B6091">
        <v>59</v>
      </c>
      <c r="C6091" t="s">
        <v>3</v>
      </c>
      <c r="D6091">
        <v>610</v>
      </c>
      <c r="E6091" t="s">
        <v>2171</v>
      </c>
      <c r="F6091">
        <v>1005</v>
      </c>
      <c r="G6091" t="s">
        <v>3</v>
      </c>
      <c r="H6091">
        <v>2005</v>
      </c>
      <c r="I6091" t="s">
        <v>3</v>
      </c>
      <c r="J6091">
        <v>3104</v>
      </c>
      <c r="K6091" t="s">
        <v>243</v>
      </c>
      <c r="L6091">
        <v>4618</v>
      </c>
      <c r="M6091" t="s">
        <v>1504</v>
      </c>
      <c r="N6091" t="s">
        <v>1487</v>
      </c>
      <c r="O6091">
        <v>87</v>
      </c>
      <c r="P6091">
        <v>8801</v>
      </c>
      <c r="Q6091" t="s">
        <v>1488</v>
      </c>
      <c r="R6091" t="s">
        <v>201</v>
      </c>
      <c r="S6091">
        <v>3</v>
      </c>
      <c r="T6091">
        <v>1</v>
      </c>
      <c r="U6091">
        <v>114570</v>
      </c>
      <c r="V6091">
        <v>343710</v>
      </c>
    </row>
    <row r="6092" spans="1:22">
      <c r="A6092" t="s">
        <v>196</v>
      </c>
      <c r="B6092">
        <v>59</v>
      </c>
      <c r="C6092" t="s">
        <v>3</v>
      </c>
      <c r="D6092">
        <v>610</v>
      </c>
      <c r="E6092" t="s">
        <v>2171</v>
      </c>
      <c r="F6092">
        <v>1005</v>
      </c>
      <c r="G6092" t="s">
        <v>3</v>
      </c>
      <c r="H6092">
        <v>2005</v>
      </c>
      <c r="I6092" t="s">
        <v>3</v>
      </c>
      <c r="J6092">
        <v>3104</v>
      </c>
      <c r="K6092" t="s">
        <v>243</v>
      </c>
      <c r="L6092">
        <v>4618</v>
      </c>
      <c r="M6092" t="s">
        <v>1504</v>
      </c>
      <c r="N6092" t="s">
        <v>1487</v>
      </c>
      <c r="O6092">
        <v>87</v>
      </c>
      <c r="P6092">
        <v>8801</v>
      </c>
      <c r="Q6092" t="s">
        <v>1488</v>
      </c>
      <c r="R6092" t="s">
        <v>201</v>
      </c>
      <c r="S6092">
        <v>7</v>
      </c>
      <c r="T6092">
        <v>1</v>
      </c>
      <c r="U6092">
        <v>110196</v>
      </c>
      <c r="V6092">
        <v>771372</v>
      </c>
    </row>
    <row r="6093" spans="1:22">
      <c r="A6093" t="s">
        <v>196</v>
      </c>
      <c r="B6093">
        <v>59</v>
      </c>
      <c r="C6093" t="s">
        <v>3</v>
      </c>
      <c r="D6093">
        <v>610</v>
      </c>
      <c r="E6093" t="s">
        <v>2171</v>
      </c>
      <c r="F6093">
        <v>1005</v>
      </c>
      <c r="G6093" t="s">
        <v>3</v>
      </c>
      <c r="H6093">
        <v>2005</v>
      </c>
      <c r="I6093" t="s">
        <v>3</v>
      </c>
      <c r="J6093">
        <v>3104</v>
      </c>
      <c r="K6093" t="s">
        <v>243</v>
      </c>
      <c r="L6093">
        <v>4618</v>
      </c>
      <c r="M6093" t="s">
        <v>1504</v>
      </c>
      <c r="N6093" t="s">
        <v>1487</v>
      </c>
      <c r="O6093">
        <v>87</v>
      </c>
      <c r="P6093">
        <v>8801</v>
      </c>
      <c r="Q6093" t="s">
        <v>1488</v>
      </c>
      <c r="R6093" t="s">
        <v>201</v>
      </c>
      <c r="S6093">
        <v>1</v>
      </c>
      <c r="T6093">
        <v>1</v>
      </c>
      <c r="U6093">
        <v>105936</v>
      </c>
      <c r="V6093">
        <v>105936</v>
      </c>
    </row>
    <row r="6094" spans="1:22">
      <c r="A6094" t="s">
        <v>196</v>
      </c>
      <c r="B6094">
        <v>59</v>
      </c>
      <c r="C6094" t="s">
        <v>3</v>
      </c>
      <c r="D6094">
        <v>610</v>
      </c>
      <c r="E6094" t="s">
        <v>2171</v>
      </c>
      <c r="F6094">
        <v>1005</v>
      </c>
      <c r="G6094" t="s">
        <v>3</v>
      </c>
      <c r="H6094">
        <v>2005</v>
      </c>
      <c r="I6094" t="s">
        <v>3</v>
      </c>
      <c r="J6094">
        <v>3104</v>
      </c>
      <c r="K6094" t="s">
        <v>243</v>
      </c>
      <c r="L6094">
        <v>4618</v>
      </c>
      <c r="M6094" t="s">
        <v>1504</v>
      </c>
      <c r="N6094" t="s">
        <v>1487</v>
      </c>
      <c r="O6094">
        <v>87</v>
      </c>
      <c r="P6094">
        <v>8801</v>
      </c>
      <c r="Q6094" t="s">
        <v>1488</v>
      </c>
      <c r="R6094" t="s">
        <v>201</v>
      </c>
      <c r="S6094">
        <v>5</v>
      </c>
      <c r="T6094">
        <v>1</v>
      </c>
      <c r="U6094">
        <v>98904</v>
      </c>
      <c r="V6094">
        <v>494520</v>
      </c>
    </row>
    <row r="6095" spans="1:22">
      <c r="A6095" t="s">
        <v>196</v>
      </c>
      <c r="B6095">
        <v>59</v>
      </c>
      <c r="C6095" t="s">
        <v>3</v>
      </c>
      <c r="D6095">
        <v>610</v>
      </c>
      <c r="E6095" t="s">
        <v>2171</v>
      </c>
      <c r="F6095">
        <v>1005</v>
      </c>
      <c r="G6095" t="s">
        <v>3</v>
      </c>
      <c r="H6095">
        <v>2005</v>
      </c>
      <c r="I6095" t="s">
        <v>3</v>
      </c>
      <c r="J6095">
        <v>3104</v>
      </c>
      <c r="K6095" t="s">
        <v>243</v>
      </c>
      <c r="L6095">
        <v>4618</v>
      </c>
      <c r="M6095" t="s">
        <v>1504</v>
      </c>
      <c r="N6095" t="s">
        <v>1487</v>
      </c>
      <c r="O6095">
        <v>87</v>
      </c>
      <c r="P6095">
        <v>8801</v>
      </c>
      <c r="Q6095" t="s">
        <v>1488</v>
      </c>
      <c r="R6095" t="s">
        <v>201</v>
      </c>
      <c r="S6095">
        <v>2</v>
      </c>
      <c r="T6095">
        <v>1</v>
      </c>
      <c r="U6095">
        <v>66264</v>
      </c>
      <c r="V6095">
        <v>132528</v>
      </c>
    </row>
    <row r="6096" spans="1:22">
      <c r="A6096" t="s">
        <v>196</v>
      </c>
      <c r="B6096">
        <v>59</v>
      </c>
      <c r="C6096" t="s">
        <v>3</v>
      </c>
      <c r="D6096">
        <v>610</v>
      </c>
      <c r="E6096" t="s">
        <v>2171</v>
      </c>
      <c r="F6096">
        <v>1005</v>
      </c>
      <c r="G6096" t="s">
        <v>3</v>
      </c>
      <c r="H6096">
        <v>2005</v>
      </c>
      <c r="I6096" t="s">
        <v>3</v>
      </c>
      <c r="J6096">
        <v>3104</v>
      </c>
      <c r="K6096" t="s">
        <v>243</v>
      </c>
      <c r="L6096">
        <v>4618</v>
      </c>
      <c r="M6096" t="s">
        <v>1504</v>
      </c>
      <c r="N6096" t="s">
        <v>1497</v>
      </c>
      <c r="O6096">
        <v>89</v>
      </c>
      <c r="P6096">
        <v>8761</v>
      </c>
      <c r="Q6096" t="s">
        <v>2176</v>
      </c>
      <c r="R6096" t="s">
        <v>201</v>
      </c>
      <c r="S6096">
        <v>1</v>
      </c>
      <c r="T6096">
        <v>1</v>
      </c>
      <c r="U6096">
        <v>138828</v>
      </c>
      <c r="V6096">
        <v>138828</v>
      </c>
    </row>
    <row r="6097" spans="1:22">
      <c r="A6097" t="s">
        <v>196</v>
      </c>
      <c r="B6097">
        <v>59</v>
      </c>
      <c r="C6097" t="s">
        <v>3</v>
      </c>
      <c r="D6097">
        <v>610</v>
      </c>
      <c r="E6097" t="s">
        <v>2171</v>
      </c>
      <c r="F6097">
        <v>1005</v>
      </c>
      <c r="G6097" t="s">
        <v>3</v>
      </c>
      <c r="H6097">
        <v>2005</v>
      </c>
      <c r="I6097" t="s">
        <v>3</v>
      </c>
      <c r="J6097">
        <v>3104</v>
      </c>
      <c r="K6097" t="s">
        <v>243</v>
      </c>
      <c r="L6097">
        <v>4618</v>
      </c>
      <c r="M6097" t="s">
        <v>1504</v>
      </c>
      <c r="N6097" t="s">
        <v>1497</v>
      </c>
      <c r="O6097">
        <v>89</v>
      </c>
      <c r="P6097">
        <v>8761</v>
      </c>
      <c r="Q6097" t="s">
        <v>2176</v>
      </c>
      <c r="R6097" t="s">
        <v>201</v>
      </c>
      <c r="S6097">
        <v>1</v>
      </c>
      <c r="T6097">
        <v>1</v>
      </c>
      <c r="U6097">
        <v>130698</v>
      </c>
      <c r="V6097">
        <v>130698</v>
      </c>
    </row>
    <row r="6098" spans="1:22">
      <c r="A6098" t="s">
        <v>196</v>
      </c>
      <c r="B6098">
        <v>59</v>
      </c>
      <c r="C6098" t="s">
        <v>3</v>
      </c>
      <c r="D6098">
        <v>610</v>
      </c>
      <c r="E6098" t="s">
        <v>2171</v>
      </c>
      <c r="F6098">
        <v>1005</v>
      </c>
      <c r="G6098" t="s">
        <v>3</v>
      </c>
      <c r="H6098">
        <v>2005</v>
      </c>
      <c r="I6098" t="s">
        <v>3</v>
      </c>
      <c r="J6098">
        <v>3104</v>
      </c>
      <c r="K6098" t="s">
        <v>243</v>
      </c>
      <c r="L6098">
        <v>4618</v>
      </c>
      <c r="M6098" t="s">
        <v>1504</v>
      </c>
      <c r="N6098" t="s">
        <v>1491</v>
      </c>
      <c r="O6098">
        <v>87</v>
      </c>
      <c r="P6098">
        <v>8733</v>
      </c>
      <c r="Q6098" t="s">
        <v>1521</v>
      </c>
      <c r="R6098" t="s">
        <v>201</v>
      </c>
      <c r="S6098">
        <v>1</v>
      </c>
      <c r="T6098">
        <v>1</v>
      </c>
      <c r="U6098">
        <v>115308</v>
      </c>
      <c r="V6098">
        <v>115308</v>
      </c>
    </row>
    <row r="6099" spans="1:22">
      <c r="A6099" t="s">
        <v>196</v>
      </c>
      <c r="B6099">
        <v>59</v>
      </c>
      <c r="C6099" t="s">
        <v>3</v>
      </c>
      <c r="D6099">
        <v>610</v>
      </c>
      <c r="E6099" t="s">
        <v>2171</v>
      </c>
      <c r="F6099">
        <v>1005</v>
      </c>
      <c r="G6099" t="s">
        <v>3</v>
      </c>
      <c r="H6099">
        <v>2005</v>
      </c>
      <c r="I6099" t="s">
        <v>3</v>
      </c>
      <c r="J6099">
        <v>3104</v>
      </c>
      <c r="K6099" t="s">
        <v>243</v>
      </c>
      <c r="L6099">
        <v>4618</v>
      </c>
      <c r="M6099" t="s">
        <v>1504</v>
      </c>
      <c r="N6099" t="s">
        <v>1491</v>
      </c>
      <c r="O6099">
        <v>87</v>
      </c>
      <c r="P6099">
        <v>8733</v>
      </c>
      <c r="Q6099" t="s">
        <v>1521</v>
      </c>
      <c r="R6099" t="s">
        <v>201</v>
      </c>
      <c r="S6099">
        <v>1</v>
      </c>
      <c r="T6099">
        <v>1</v>
      </c>
      <c r="U6099">
        <v>104430</v>
      </c>
      <c r="V6099">
        <v>104430</v>
      </c>
    </row>
    <row r="6100" spans="1:22">
      <c r="A6100" t="s">
        <v>196</v>
      </c>
      <c r="B6100">
        <v>59</v>
      </c>
      <c r="C6100" t="s">
        <v>3</v>
      </c>
      <c r="D6100">
        <v>610</v>
      </c>
      <c r="E6100" t="s">
        <v>2171</v>
      </c>
      <c r="F6100">
        <v>1005</v>
      </c>
      <c r="G6100" t="s">
        <v>3</v>
      </c>
      <c r="H6100">
        <v>2005</v>
      </c>
      <c r="I6100" t="s">
        <v>3</v>
      </c>
      <c r="J6100">
        <v>3104</v>
      </c>
      <c r="K6100" t="s">
        <v>243</v>
      </c>
      <c r="L6100">
        <v>4618</v>
      </c>
      <c r="M6100" t="s">
        <v>1504</v>
      </c>
      <c r="N6100" t="s">
        <v>1489</v>
      </c>
      <c r="O6100">
        <v>87</v>
      </c>
      <c r="P6100">
        <v>8731</v>
      </c>
      <c r="Q6100" t="s">
        <v>1522</v>
      </c>
      <c r="R6100" t="s">
        <v>201</v>
      </c>
      <c r="S6100">
        <v>1</v>
      </c>
      <c r="T6100">
        <v>1</v>
      </c>
      <c r="U6100">
        <v>108036</v>
      </c>
      <c r="V6100">
        <v>108036</v>
      </c>
    </row>
    <row r="6101" spans="1:22">
      <c r="A6101" t="s">
        <v>196</v>
      </c>
      <c r="B6101">
        <v>59</v>
      </c>
      <c r="C6101" t="s">
        <v>3</v>
      </c>
      <c r="D6101">
        <v>610</v>
      </c>
      <c r="E6101" t="s">
        <v>2171</v>
      </c>
      <c r="F6101">
        <v>1005</v>
      </c>
      <c r="G6101" t="s">
        <v>3</v>
      </c>
      <c r="H6101">
        <v>2005</v>
      </c>
      <c r="I6101" t="s">
        <v>3</v>
      </c>
      <c r="J6101">
        <v>3104</v>
      </c>
      <c r="K6101" t="s">
        <v>243</v>
      </c>
      <c r="L6101">
        <v>4618</v>
      </c>
      <c r="M6101" t="s">
        <v>1504</v>
      </c>
      <c r="N6101" t="s">
        <v>1489</v>
      </c>
      <c r="O6101">
        <v>87</v>
      </c>
      <c r="P6101">
        <v>8731</v>
      </c>
      <c r="Q6101" t="s">
        <v>1522</v>
      </c>
      <c r="R6101" t="s">
        <v>201</v>
      </c>
      <c r="S6101">
        <v>2</v>
      </c>
      <c r="T6101">
        <v>1</v>
      </c>
      <c r="U6101">
        <v>62466</v>
      </c>
      <c r="V6101">
        <v>124932</v>
      </c>
    </row>
    <row r="6102" spans="1:22">
      <c r="A6102" t="s">
        <v>196</v>
      </c>
      <c r="B6102">
        <v>59</v>
      </c>
      <c r="C6102" t="s">
        <v>3</v>
      </c>
      <c r="D6102">
        <v>610</v>
      </c>
      <c r="E6102" t="s">
        <v>2171</v>
      </c>
      <c r="F6102">
        <v>1005</v>
      </c>
      <c r="G6102" t="s">
        <v>3</v>
      </c>
      <c r="H6102">
        <v>2005</v>
      </c>
      <c r="I6102" t="s">
        <v>3</v>
      </c>
      <c r="J6102">
        <v>3104</v>
      </c>
      <c r="K6102" t="s">
        <v>243</v>
      </c>
      <c r="L6102">
        <v>4618</v>
      </c>
      <c r="M6102" t="s">
        <v>1504</v>
      </c>
      <c r="N6102" t="s">
        <v>1523</v>
      </c>
      <c r="O6102">
        <v>87</v>
      </c>
      <c r="P6102">
        <v>8728</v>
      </c>
      <c r="Q6102" t="s">
        <v>1524</v>
      </c>
      <c r="R6102" t="s">
        <v>201</v>
      </c>
      <c r="S6102">
        <v>3</v>
      </c>
      <c r="T6102">
        <v>1</v>
      </c>
      <c r="U6102">
        <v>104814</v>
      </c>
      <c r="V6102">
        <v>314442</v>
      </c>
    </row>
    <row r="6103" spans="1:22">
      <c r="A6103" t="s">
        <v>196</v>
      </c>
      <c r="B6103">
        <v>59</v>
      </c>
      <c r="C6103" t="s">
        <v>3</v>
      </c>
      <c r="D6103">
        <v>610</v>
      </c>
      <c r="E6103" t="s">
        <v>2171</v>
      </c>
      <c r="F6103">
        <v>1005</v>
      </c>
      <c r="G6103" t="s">
        <v>3</v>
      </c>
      <c r="H6103">
        <v>2005</v>
      </c>
      <c r="I6103" t="s">
        <v>3</v>
      </c>
      <c r="J6103">
        <v>3104</v>
      </c>
      <c r="K6103" t="s">
        <v>243</v>
      </c>
      <c r="L6103">
        <v>4618</v>
      </c>
      <c r="M6103" t="s">
        <v>1504</v>
      </c>
      <c r="N6103" t="s">
        <v>1523</v>
      </c>
      <c r="O6103">
        <v>87</v>
      </c>
      <c r="P6103">
        <v>8728</v>
      </c>
      <c r="Q6103" t="s">
        <v>1524</v>
      </c>
      <c r="R6103" t="s">
        <v>201</v>
      </c>
      <c r="S6103">
        <v>8</v>
      </c>
      <c r="T6103">
        <v>1</v>
      </c>
      <c r="U6103">
        <v>101262</v>
      </c>
      <c r="V6103">
        <v>810096</v>
      </c>
    </row>
    <row r="6104" spans="1:22">
      <c r="A6104" t="s">
        <v>196</v>
      </c>
      <c r="B6104">
        <v>59</v>
      </c>
      <c r="C6104" t="s">
        <v>3</v>
      </c>
      <c r="D6104">
        <v>610</v>
      </c>
      <c r="E6104" t="s">
        <v>2171</v>
      </c>
      <c r="F6104">
        <v>1005</v>
      </c>
      <c r="G6104" t="s">
        <v>3</v>
      </c>
      <c r="H6104">
        <v>2005</v>
      </c>
      <c r="I6104" t="s">
        <v>3</v>
      </c>
      <c r="J6104">
        <v>3104</v>
      </c>
      <c r="K6104" t="s">
        <v>243</v>
      </c>
      <c r="L6104">
        <v>4618</v>
      </c>
      <c r="M6104" t="s">
        <v>1504</v>
      </c>
      <c r="N6104" t="s">
        <v>1523</v>
      </c>
      <c r="O6104">
        <v>87</v>
      </c>
      <c r="P6104">
        <v>8728</v>
      </c>
      <c r="Q6104" t="s">
        <v>1524</v>
      </c>
      <c r="R6104" t="s">
        <v>201</v>
      </c>
      <c r="S6104">
        <v>1</v>
      </c>
      <c r="T6104">
        <v>1</v>
      </c>
      <c r="U6104">
        <v>78624</v>
      </c>
      <c r="V6104">
        <v>78624</v>
      </c>
    </row>
    <row r="6105" spans="1:22">
      <c r="A6105" t="s">
        <v>196</v>
      </c>
      <c r="B6105">
        <v>59</v>
      </c>
      <c r="C6105" t="s">
        <v>3</v>
      </c>
      <c r="D6105">
        <v>610</v>
      </c>
      <c r="E6105" t="s">
        <v>2171</v>
      </c>
      <c r="F6105">
        <v>1005</v>
      </c>
      <c r="G6105" t="s">
        <v>3</v>
      </c>
      <c r="H6105">
        <v>2005</v>
      </c>
      <c r="I6105" t="s">
        <v>3</v>
      </c>
      <c r="J6105">
        <v>3104</v>
      </c>
      <c r="K6105" t="s">
        <v>243</v>
      </c>
      <c r="L6105">
        <v>4618</v>
      </c>
      <c r="M6105" t="s">
        <v>1504</v>
      </c>
      <c r="N6105" t="s">
        <v>1502</v>
      </c>
      <c r="O6105">
        <v>87</v>
      </c>
      <c r="P6105">
        <v>8702</v>
      </c>
      <c r="Q6105" t="s">
        <v>1525</v>
      </c>
      <c r="R6105" t="s">
        <v>201</v>
      </c>
      <c r="S6105">
        <v>1</v>
      </c>
      <c r="T6105">
        <v>1</v>
      </c>
      <c r="U6105">
        <v>169830</v>
      </c>
      <c r="V6105">
        <v>169830</v>
      </c>
    </row>
    <row r="6106" spans="1:22">
      <c r="A6106" t="s">
        <v>196</v>
      </c>
      <c r="B6106">
        <v>59</v>
      </c>
      <c r="C6106" t="s">
        <v>3</v>
      </c>
      <c r="D6106">
        <v>610</v>
      </c>
      <c r="E6106" t="s">
        <v>2171</v>
      </c>
      <c r="F6106">
        <v>1005</v>
      </c>
      <c r="G6106" t="s">
        <v>3</v>
      </c>
      <c r="H6106">
        <v>2005</v>
      </c>
      <c r="I6106" t="s">
        <v>3</v>
      </c>
      <c r="J6106">
        <v>3104</v>
      </c>
      <c r="K6106" t="s">
        <v>243</v>
      </c>
      <c r="L6106">
        <v>4618</v>
      </c>
      <c r="M6106" t="s">
        <v>1504</v>
      </c>
      <c r="N6106" t="s">
        <v>1475</v>
      </c>
      <c r="O6106">
        <v>87</v>
      </c>
      <c r="P6106">
        <v>8701</v>
      </c>
      <c r="Q6106" t="s">
        <v>1526</v>
      </c>
      <c r="R6106" t="s">
        <v>201</v>
      </c>
      <c r="S6106">
        <v>2</v>
      </c>
      <c r="T6106">
        <v>1</v>
      </c>
      <c r="U6106">
        <v>165858</v>
      </c>
      <c r="V6106">
        <v>331716</v>
      </c>
    </row>
    <row r="6107" spans="1:22">
      <c r="A6107" t="s">
        <v>196</v>
      </c>
      <c r="B6107">
        <v>59</v>
      </c>
      <c r="C6107" t="s">
        <v>3</v>
      </c>
      <c r="D6107">
        <v>610</v>
      </c>
      <c r="E6107" t="s">
        <v>2171</v>
      </c>
      <c r="F6107">
        <v>1005</v>
      </c>
      <c r="G6107" t="s">
        <v>3</v>
      </c>
      <c r="H6107">
        <v>2005</v>
      </c>
      <c r="I6107" t="s">
        <v>3</v>
      </c>
      <c r="J6107">
        <v>3104</v>
      </c>
      <c r="K6107" t="s">
        <v>243</v>
      </c>
      <c r="L6107">
        <v>4618</v>
      </c>
      <c r="M6107" t="s">
        <v>1504</v>
      </c>
      <c r="N6107" t="s">
        <v>199</v>
      </c>
      <c r="O6107">
        <v>0</v>
      </c>
      <c r="P6107">
        <v>15</v>
      </c>
      <c r="Q6107" t="s">
        <v>264</v>
      </c>
      <c r="R6107" t="s">
        <v>201</v>
      </c>
      <c r="S6107">
        <v>0</v>
      </c>
      <c r="T6107">
        <v>0</v>
      </c>
      <c r="U6107">
        <v>2882</v>
      </c>
      <c r="V6107">
        <v>2882</v>
      </c>
    </row>
    <row r="6108" spans="1:22">
      <c r="A6108" t="s">
        <v>196</v>
      </c>
      <c r="B6108">
        <v>59</v>
      </c>
      <c r="C6108" t="s">
        <v>3</v>
      </c>
      <c r="D6108">
        <v>610</v>
      </c>
      <c r="E6108" t="s">
        <v>2171</v>
      </c>
      <c r="F6108">
        <v>1005</v>
      </c>
      <c r="G6108" t="s">
        <v>3</v>
      </c>
      <c r="H6108">
        <v>2005</v>
      </c>
      <c r="I6108" t="s">
        <v>3</v>
      </c>
      <c r="J6108">
        <v>3104</v>
      </c>
      <c r="K6108" t="s">
        <v>243</v>
      </c>
      <c r="L6108">
        <v>4620</v>
      </c>
      <c r="M6108" t="s">
        <v>1527</v>
      </c>
      <c r="N6108" t="s">
        <v>1489</v>
      </c>
      <c r="O6108">
        <v>87</v>
      </c>
      <c r="P6108">
        <v>8750</v>
      </c>
      <c r="Q6108" t="s">
        <v>1490</v>
      </c>
      <c r="R6108" t="s">
        <v>201</v>
      </c>
      <c r="S6108">
        <v>1</v>
      </c>
      <c r="T6108">
        <v>1</v>
      </c>
      <c r="U6108">
        <v>96528</v>
      </c>
      <c r="V6108">
        <v>96528</v>
      </c>
    </row>
    <row r="6109" spans="1:22">
      <c r="A6109" t="s">
        <v>196</v>
      </c>
      <c r="B6109">
        <v>59</v>
      </c>
      <c r="C6109" t="s">
        <v>3</v>
      </c>
      <c r="D6109">
        <v>610</v>
      </c>
      <c r="E6109" t="s">
        <v>2171</v>
      </c>
      <c r="F6109">
        <v>1005</v>
      </c>
      <c r="G6109" t="s">
        <v>3</v>
      </c>
      <c r="H6109">
        <v>2005</v>
      </c>
      <c r="I6109" t="s">
        <v>3</v>
      </c>
      <c r="J6109">
        <v>3104</v>
      </c>
      <c r="K6109" t="s">
        <v>243</v>
      </c>
      <c r="L6109">
        <v>4620</v>
      </c>
      <c r="M6109" t="s">
        <v>1527</v>
      </c>
      <c r="N6109" t="s">
        <v>1489</v>
      </c>
      <c r="O6109">
        <v>87</v>
      </c>
      <c r="P6109">
        <v>8750</v>
      </c>
      <c r="Q6109" t="s">
        <v>1490</v>
      </c>
      <c r="R6109" t="s">
        <v>201</v>
      </c>
      <c r="S6109">
        <v>3</v>
      </c>
      <c r="T6109">
        <v>1</v>
      </c>
      <c r="U6109">
        <v>93252</v>
      </c>
      <c r="V6109">
        <v>279756</v>
      </c>
    </row>
    <row r="6110" spans="1:22">
      <c r="A6110" t="s">
        <v>196</v>
      </c>
      <c r="B6110">
        <v>59</v>
      </c>
      <c r="C6110" t="s">
        <v>3</v>
      </c>
      <c r="D6110">
        <v>610</v>
      </c>
      <c r="E6110" t="s">
        <v>2171</v>
      </c>
      <c r="F6110">
        <v>1005</v>
      </c>
      <c r="G6110" t="s">
        <v>3</v>
      </c>
      <c r="H6110">
        <v>2005</v>
      </c>
      <c r="I6110" t="s">
        <v>3</v>
      </c>
      <c r="J6110">
        <v>3104</v>
      </c>
      <c r="K6110" t="s">
        <v>243</v>
      </c>
      <c r="L6110">
        <v>4620</v>
      </c>
      <c r="M6110" t="s">
        <v>1527</v>
      </c>
      <c r="N6110" t="s">
        <v>1491</v>
      </c>
      <c r="O6110">
        <v>87</v>
      </c>
      <c r="P6110">
        <v>8749</v>
      </c>
      <c r="Q6110" t="s">
        <v>1492</v>
      </c>
      <c r="R6110" t="s">
        <v>201</v>
      </c>
      <c r="S6110">
        <v>4</v>
      </c>
      <c r="T6110">
        <v>1</v>
      </c>
      <c r="U6110">
        <v>104430</v>
      </c>
      <c r="V6110">
        <v>417720</v>
      </c>
    </row>
    <row r="6111" spans="1:22">
      <c r="A6111" t="s">
        <v>196</v>
      </c>
      <c r="B6111">
        <v>59</v>
      </c>
      <c r="C6111" t="s">
        <v>3</v>
      </c>
      <c r="D6111">
        <v>610</v>
      </c>
      <c r="E6111" t="s">
        <v>2171</v>
      </c>
      <c r="F6111">
        <v>1005</v>
      </c>
      <c r="G6111" t="s">
        <v>3</v>
      </c>
      <c r="H6111">
        <v>2005</v>
      </c>
      <c r="I6111" t="s">
        <v>3</v>
      </c>
      <c r="J6111">
        <v>3104</v>
      </c>
      <c r="K6111" t="s">
        <v>243</v>
      </c>
      <c r="L6111">
        <v>4620</v>
      </c>
      <c r="M6111" t="s">
        <v>1527</v>
      </c>
      <c r="N6111" t="s">
        <v>1497</v>
      </c>
      <c r="O6111">
        <v>87</v>
      </c>
      <c r="P6111">
        <v>8745</v>
      </c>
      <c r="Q6111" t="s">
        <v>1498</v>
      </c>
      <c r="R6111" t="s">
        <v>201</v>
      </c>
      <c r="S6111">
        <v>1</v>
      </c>
      <c r="T6111">
        <v>1</v>
      </c>
      <c r="U6111">
        <v>138828</v>
      </c>
      <c r="V6111">
        <v>138828</v>
      </c>
    </row>
    <row r="6112" spans="1:22">
      <c r="A6112" t="s">
        <v>196</v>
      </c>
      <c r="B6112">
        <v>85</v>
      </c>
      <c r="C6112" t="s">
        <v>2177</v>
      </c>
      <c r="D6112">
        <v>610</v>
      </c>
      <c r="E6112" t="s">
        <v>2171</v>
      </c>
      <c r="F6112">
        <v>1005</v>
      </c>
      <c r="G6112" t="s">
        <v>2177</v>
      </c>
      <c r="H6112">
        <v>2010</v>
      </c>
      <c r="I6112" t="s">
        <v>30</v>
      </c>
      <c r="J6112">
        <v>3010</v>
      </c>
      <c r="K6112" t="s">
        <v>30</v>
      </c>
      <c r="L6112">
        <v>4300</v>
      </c>
      <c r="M6112" t="s">
        <v>309</v>
      </c>
      <c r="N6112" t="s">
        <v>1297</v>
      </c>
      <c r="O6112">
        <v>0</v>
      </c>
      <c r="P6112">
        <v>9823</v>
      </c>
      <c r="Q6112" t="s">
        <v>600</v>
      </c>
      <c r="R6112" t="s">
        <v>201</v>
      </c>
      <c r="S6112">
        <v>1</v>
      </c>
      <c r="T6112">
        <v>1</v>
      </c>
      <c r="U6112">
        <v>205200</v>
      </c>
      <c r="V6112">
        <v>205200</v>
      </c>
    </row>
    <row r="6113" spans="1:22">
      <c r="A6113" t="s">
        <v>196</v>
      </c>
      <c r="B6113">
        <v>85</v>
      </c>
      <c r="C6113" t="s">
        <v>2177</v>
      </c>
      <c r="D6113">
        <v>610</v>
      </c>
      <c r="E6113" t="s">
        <v>2171</v>
      </c>
      <c r="F6113">
        <v>1005</v>
      </c>
      <c r="G6113" t="s">
        <v>2177</v>
      </c>
      <c r="H6113">
        <v>2010</v>
      </c>
      <c r="I6113" t="s">
        <v>30</v>
      </c>
      <c r="J6113">
        <v>3010</v>
      </c>
      <c r="K6113" t="s">
        <v>30</v>
      </c>
      <c r="L6113">
        <v>4300</v>
      </c>
      <c r="M6113" t="s">
        <v>309</v>
      </c>
      <c r="N6113" t="s">
        <v>1294</v>
      </c>
      <c r="O6113">
        <v>0</v>
      </c>
      <c r="P6113">
        <v>9681</v>
      </c>
      <c r="Q6113" t="s">
        <v>338</v>
      </c>
      <c r="R6113" t="s">
        <v>201</v>
      </c>
      <c r="S6113">
        <v>1</v>
      </c>
      <c r="T6113">
        <v>1</v>
      </c>
      <c r="U6113">
        <v>184584</v>
      </c>
      <c r="V6113">
        <v>184584</v>
      </c>
    </row>
    <row r="6114" spans="1:22">
      <c r="A6114" t="s">
        <v>196</v>
      </c>
      <c r="B6114">
        <v>85</v>
      </c>
      <c r="C6114" t="s">
        <v>2177</v>
      </c>
      <c r="D6114">
        <v>610</v>
      </c>
      <c r="E6114" t="s">
        <v>2171</v>
      </c>
      <c r="F6114">
        <v>1005</v>
      </c>
      <c r="G6114" t="s">
        <v>2177</v>
      </c>
      <c r="H6114">
        <v>2010</v>
      </c>
      <c r="I6114" t="s">
        <v>30</v>
      </c>
      <c r="J6114">
        <v>3010</v>
      </c>
      <c r="K6114" t="s">
        <v>30</v>
      </c>
      <c r="L6114">
        <v>4300</v>
      </c>
      <c r="M6114" t="s">
        <v>309</v>
      </c>
      <c r="N6114" t="s">
        <v>247</v>
      </c>
      <c r="O6114">
        <v>10</v>
      </c>
      <c r="P6114">
        <v>7045</v>
      </c>
      <c r="Q6114" t="s">
        <v>2178</v>
      </c>
      <c r="R6114" t="s">
        <v>201</v>
      </c>
      <c r="S6114">
        <v>1</v>
      </c>
      <c r="T6114">
        <v>1</v>
      </c>
      <c r="U6114">
        <v>57852</v>
      </c>
      <c r="V6114">
        <v>57852</v>
      </c>
    </row>
    <row r="6115" spans="1:22">
      <c r="A6115" t="s">
        <v>196</v>
      </c>
      <c r="B6115">
        <v>85</v>
      </c>
      <c r="C6115" t="s">
        <v>2177</v>
      </c>
      <c r="D6115">
        <v>610</v>
      </c>
      <c r="E6115" t="s">
        <v>2171</v>
      </c>
      <c r="F6115">
        <v>1005</v>
      </c>
      <c r="G6115" t="s">
        <v>2177</v>
      </c>
      <c r="H6115">
        <v>2010</v>
      </c>
      <c r="I6115" t="s">
        <v>30</v>
      </c>
      <c r="J6115">
        <v>3010</v>
      </c>
      <c r="K6115" t="s">
        <v>30</v>
      </c>
      <c r="L6115">
        <v>4300</v>
      </c>
      <c r="M6115" t="s">
        <v>309</v>
      </c>
      <c r="N6115" t="s">
        <v>622</v>
      </c>
      <c r="O6115">
        <v>1</v>
      </c>
      <c r="P6115">
        <v>7042</v>
      </c>
      <c r="Q6115" t="s">
        <v>2179</v>
      </c>
      <c r="R6115" t="s">
        <v>201</v>
      </c>
      <c r="S6115">
        <v>5</v>
      </c>
      <c r="T6115">
        <v>1</v>
      </c>
      <c r="U6115">
        <v>51936</v>
      </c>
      <c r="V6115">
        <v>259680</v>
      </c>
    </row>
    <row r="6116" spans="1:22">
      <c r="A6116" t="s">
        <v>196</v>
      </c>
      <c r="B6116">
        <v>85</v>
      </c>
      <c r="C6116" t="s">
        <v>2177</v>
      </c>
      <c r="D6116">
        <v>610</v>
      </c>
      <c r="E6116" t="s">
        <v>2171</v>
      </c>
      <c r="F6116">
        <v>1005</v>
      </c>
      <c r="G6116" t="s">
        <v>2177</v>
      </c>
      <c r="H6116">
        <v>2010</v>
      </c>
      <c r="I6116" t="s">
        <v>30</v>
      </c>
      <c r="J6116">
        <v>3010</v>
      </c>
      <c r="K6116" t="s">
        <v>30</v>
      </c>
      <c r="L6116">
        <v>4300</v>
      </c>
      <c r="M6116" t="s">
        <v>309</v>
      </c>
      <c r="N6116" t="s">
        <v>268</v>
      </c>
      <c r="O6116">
        <v>10</v>
      </c>
      <c r="P6116">
        <v>7011</v>
      </c>
      <c r="Q6116" t="s">
        <v>2180</v>
      </c>
      <c r="R6116" t="s">
        <v>201</v>
      </c>
      <c r="S6116">
        <v>1</v>
      </c>
      <c r="T6116">
        <v>1</v>
      </c>
      <c r="U6116">
        <v>113568</v>
      </c>
      <c r="V6116">
        <v>113568</v>
      </c>
    </row>
    <row r="6117" spans="1:22">
      <c r="A6117" t="s">
        <v>196</v>
      </c>
      <c r="B6117">
        <v>85</v>
      </c>
      <c r="C6117" t="s">
        <v>2177</v>
      </c>
      <c r="D6117">
        <v>610</v>
      </c>
      <c r="E6117" t="s">
        <v>2171</v>
      </c>
      <c r="F6117">
        <v>1005</v>
      </c>
      <c r="G6117" t="s">
        <v>2177</v>
      </c>
      <c r="H6117">
        <v>2010</v>
      </c>
      <c r="I6117" t="s">
        <v>30</v>
      </c>
      <c r="J6117">
        <v>3010</v>
      </c>
      <c r="K6117" t="s">
        <v>30</v>
      </c>
      <c r="L6117">
        <v>4300</v>
      </c>
      <c r="M6117" t="s">
        <v>309</v>
      </c>
      <c r="N6117" t="s">
        <v>255</v>
      </c>
      <c r="O6117">
        <v>1</v>
      </c>
      <c r="P6117">
        <v>1302</v>
      </c>
      <c r="Q6117" t="s">
        <v>340</v>
      </c>
      <c r="R6117" t="s">
        <v>201</v>
      </c>
      <c r="S6117">
        <v>1</v>
      </c>
      <c r="T6117">
        <v>1</v>
      </c>
      <c r="U6117">
        <v>89244</v>
      </c>
      <c r="V6117">
        <v>89244</v>
      </c>
    </row>
    <row r="6118" spans="1:22">
      <c r="A6118" t="s">
        <v>196</v>
      </c>
      <c r="B6118">
        <v>85</v>
      </c>
      <c r="C6118" t="s">
        <v>2177</v>
      </c>
      <c r="D6118">
        <v>610</v>
      </c>
      <c r="E6118" t="s">
        <v>2171</v>
      </c>
      <c r="F6118">
        <v>1005</v>
      </c>
      <c r="G6118" t="s">
        <v>2177</v>
      </c>
      <c r="H6118">
        <v>2010</v>
      </c>
      <c r="I6118" t="s">
        <v>30</v>
      </c>
      <c r="J6118">
        <v>3010</v>
      </c>
      <c r="K6118" t="s">
        <v>30</v>
      </c>
      <c r="L6118">
        <v>4300</v>
      </c>
      <c r="M6118" t="s">
        <v>309</v>
      </c>
      <c r="N6118" t="s">
        <v>341</v>
      </c>
      <c r="O6118">
        <v>1</v>
      </c>
      <c r="P6118">
        <v>1301</v>
      </c>
      <c r="Q6118" t="s">
        <v>618</v>
      </c>
      <c r="R6118" t="s">
        <v>201</v>
      </c>
      <c r="S6118">
        <v>1</v>
      </c>
      <c r="T6118">
        <v>1</v>
      </c>
      <c r="U6118">
        <v>113628</v>
      </c>
      <c r="V6118">
        <v>113628</v>
      </c>
    </row>
    <row r="6119" spans="1:22">
      <c r="A6119" t="s">
        <v>196</v>
      </c>
      <c r="B6119">
        <v>85</v>
      </c>
      <c r="C6119" t="s">
        <v>2177</v>
      </c>
      <c r="D6119">
        <v>610</v>
      </c>
      <c r="E6119" t="s">
        <v>2171</v>
      </c>
      <c r="F6119">
        <v>1005</v>
      </c>
      <c r="G6119" t="s">
        <v>2177</v>
      </c>
      <c r="H6119">
        <v>2010</v>
      </c>
      <c r="I6119" t="s">
        <v>30</v>
      </c>
      <c r="J6119">
        <v>3010</v>
      </c>
      <c r="K6119" t="s">
        <v>30</v>
      </c>
      <c r="L6119">
        <v>4300</v>
      </c>
      <c r="M6119" t="s">
        <v>309</v>
      </c>
      <c r="N6119" t="s">
        <v>351</v>
      </c>
      <c r="O6119">
        <v>1</v>
      </c>
      <c r="P6119" t="s">
        <v>352</v>
      </c>
      <c r="Q6119" t="s">
        <v>353</v>
      </c>
      <c r="R6119" t="s">
        <v>201</v>
      </c>
      <c r="S6119">
        <v>1</v>
      </c>
      <c r="T6119">
        <v>1</v>
      </c>
      <c r="U6119">
        <v>108576</v>
      </c>
      <c r="V6119">
        <v>108576</v>
      </c>
    </row>
    <row r="6120" spans="1:22">
      <c r="A6120" t="s">
        <v>196</v>
      </c>
      <c r="B6120">
        <v>85</v>
      </c>
      <c r="C6120" t="s">
        <v>2177</v>
      </c>
      <c r="D6120">
        <v>610</v>
      </c>
      <c r="E6120" t="s">
        <v>2171</v>
      </c>
      <c r="F6120">
        <v>1005</v>
      </c>
      <c r="G6120" t="s">
        <v>2177</v>
      </c>
      <c r="H6120">
        <v>2010</v>
      </c>
      <c r="I6120" t="s">
        <v>30</v>
      </c>
      <c r="J6120">
        <v>3010</v>
      </c>
      <c r="K6120" t="s">
        <v>30</v>
      </c>
      <c r="L6120">
        <v>4300</v>
      </c>
      <c r="M6120" t="s">
        <v>309</v>
      </c>
      <c r="N6120" t="s">
        <v>351</v>
      </c>
      <c r="O6120">
        <v>1</v>
      </c>
      <c r="P6120" t="s">
        <v>352</v>
      </c>
      <c r="Q6120" t="s">
        <v>353</v>
      </c>
      <c r="R6120" t="s">
        <v>201</v>
      </c>
      <c r="S6120">
        <v>1</v>
      </c>
      <c r="T6120">
        <v>1</v>
      </c>
      <c r="U6120">
        <v>62544</v>
      </c>
      <c r="V6120">
        <v>62544</v>
      </c>
    </row>
    <row r="6121" spans="1:22">
      <c r="A6121" t="s">
        <v>196</v>
      </c>
      <c r="B6121">
        <v>85</v>
      </c>
      <c r="C6121" t="s">
        <v>2177</v>
      </c>
      <c r="D6121">
        <v>610</v>
      </c>
      <c r="E6121" t="s">
        <v>2171</v>
      </c>
      <c r="F6121">
        <v>1005</v>
      </c>
      <c r="G6121" t="s">
        <v>2177</v>
      </c>
      <c r="H6121">
        <v>2010</v>
      </c>
      <c r="I6121" t="s">
        <v>30</v>
      </c>
      <c r="J6121">
        <v>3010</v>
      </c>
      <c r="K6121" t="s">
        <v>30</v>
      </c>
      <c r="L6121">
        <v>4300</v>
      </c>
      <c r="M6121" t="s">
        <v>309</v>
      </c>
      <c r="N6121" t="s">
        <v>1314</v>
      </c>
      <c r="O6121">
        <v>0</v>
      </c>
      <c r="P6121" t="s">
        <v>1471</v>
      </c>
      <c r="Q6121" t="s">
        <v>605</v>
      </c>
      <c r="R6121" t="s">
        <v>201</v>
      </c>
      <c r="S6121">
        <v>1</v>
      </c>
      <c r="T6121">
        <v>1</v>
      </c>
      <c r="U6121">
        <v>160680</v>
      </c>
      <c r="V6121">
        <v>160680</v>
      </c>
    </row>
    <row r="6122" spans="1:22">
      <c r="A6122" t="s">
        <v>196</v>
      </c>
      <c r="B6122">
        <v>85</v>
      </c>
      <c r="C6122" t="s">
        <v>2177</v>
      </c>
      <c r="D6122">
        <v>610</v>
      </c>
      <c r="E6122" t="s">
        <v>2171</v>
      </c>
      <c r="F6122">
        <v>1005</v>
      </c>
      <c r="G6122" t="s">
        <v>2177</v>
      </c>
      <c r="H6122">
        <v>2010</v>
      </c>
      <c r="I6122" t="s">
        <v>30</v>
      </c>
      <c r="J6122">
        <v>3010</v>
      </c>
      <c r="K6122" t="s">
        <v>30</v>
      </c>
      <c r="L6122">
        <v>4300</v>
      </c>
      <c r="M6122" t="s">
        <v>309</v>
      </c>
      <c r="N6122" t="s">
        <v>249</v>
      </c>
      <c r="O6122">
        <v>10</v>
      </c>
      <c r="P6122">
        <v>311</v>
      </c>
      <c r="Q6122" t="s">
        <v>661</v>
      </c>
      <c r="R6122" t="s">
        <v>201</v>
      </c>
      <c r="S6122">
        <v>1</v>
      </c>
      <c r="T6122">
        <v>1</v>
      </c>
      <c r="U6122">
        <v>102444</v>
      </c>
      <c r="V6122">
        <v>102444</v>
      </c>
    </row>
    <row r="6123" spans="1:22">
      <c r="A6123" t="s">
        <v>196</v>
      </c>
      <c r="B6123">
        <v>85</v>
      </c>
      <c r="C6123" t="s">
        <v>2177</v>
      </c>
      <c r="D6123">
        <v>610</v>
      </c>
      <c r="E6123" t="s">
        <v>2171</v>
      </c>
      <c r="F6123">
        <v>1005</v>
      </c>
      <c r="G6123" t="s">
        <v>2177</v>
      </c>
      <c r="H6123">
        <v>2010</v>
      </c>
      <c r="I6123" t="s">
        <v>30</v>
      </c>
      <c r="J6123">
        <v>3010</v>
      </c>
      <c r="K6123" t="s">
        <v>30</v>
      </c>
      <c r="L6123">
        <v>4300</v>
      </c>
      <c r="M6123" t="s">
        <v>309</v>
      </c>
      <c r="N6123" t="s">
        <v>249</v>
      </c>
      <c r="O6123">
        <v>10</v>
      </c>
      <c r="P6123">
        <v>311</v>
      </c>
      <c r="Q6123" t="s">
        <v>661</v>
      </c>
      <c r="R6123" t="s">
        <v>201</v>
      </c>
      <c r="S6123">
        <v>1</v>
      </c>
      <c r="T6123">
        <v>1</v>
      </c>
      <c r="U6123">
        <v>93384</v>
      </c>
      <c r="V6123">
        <v>93384</v>
      </c>
    </row>
    <row r="6124" spans="1:22">
      <c r="A6124" t="s">
        <v>196</v>
      </c>
      <c r="B6124">
        <v>85</v>
      </c>
      <c r="C6124" t="s">
        <v>2177</v>
      </c>
      <c r="D6124">
        <v>610</v>
      </c>
      <c r="E6124" t="s">
        <v>2171</v>
      </c>
      <c r="F6124">
        <v>1005</v>
      </c>
      <c r="G6124" t="s">
        <v>2177</v>
      </c>
      <c r="H6124">
        <v>2010</v>
      </c>
      <c r="I6124" t="s">
        <v>30</v>
      </c>
      <c r="J6124">
        <v>3010</v>
      </c>
      <c r="K6124" t="s">
        <v>30</v>
      </c>
      <c r="L6124">
        <v>4300</v>
      </c>
      <c r="M6124" t="s">
        <v>309</v>
      </c>
      <c r="N6124" t="s">
        <v>249</v>
      </c>
      <c r="O6124">
        <v>10</v>
      </c>
      <c r="P6124">
        <v>310</v>
      </c>
      <c r="Q6124" t="s">
        <v>447</v>
      </c>
      <c r="R6124" t="s">
        <v>201</v>
      </c>
      <c r="S6124">
        <v>1</v>
      </c>
      <c r="T6124">
        <v>1</v>
      </c>
      <c r="U6124">
        <v>102444</v>
      </c>
      <c r="V6124">
        <v>102444</v>
      </c>
    </row>
    <row r="6125" spans="1:22">
      <c r="A6125" t="s">
        <v>196</v>
      </c>
      <c r="B6125">
        <v>85</v>
      </c>
      <c r="C6125" t="s">
        <v>2177</v>
      </c>
      <c r="D6125">
        <v>610</v>
      </c>
      <c r="E6125" t="s">
        <v>2171</v>
      </c>
      <c r="F6125">
        <v>1005</v>
      </c>
      <c r="G6125" t="s">
        <v>2177</v>
      </c>
      <c r="H6125">
        <v>2010</v>
      </c>
      <c r="I6125" t="s">
        <v>30</v>
      </c>
      <c r="J6125">
        <v>3010</v>
      </c>
      <c r="K6125" t="s">
        <v>30</v>
      </c>
      <c r="L6125">
        <v>4300</v>
      </c>
      <c r="M6125" t="s">
        <v>309</v>
      </c>
      <c r="N6125" t="s">
        <v>249</v>
      </c>
      <c r="O6125">
        <v>10</v>
      </c>
      <c r="P6125">
        <v>310</v>
      </c>
      <c r="Q6125" t="s">
        <v>447</v>
      </c>
      <c r="R6125" t="s">
        <v>201</v>
      </c>
      <c r="S6125">
        <v>1</v>
      </c>
      <c r="T6125">
        <v>1</v>
      </c>
      <c r="U6125">
        <v>89112</v>
      </c>
      <c r="V6125">
        <v>89112</v>
      </c>
    </row>
    <row r="6126" spans="1:22">
      <c r="A6126" t="s">
        <v>196</v>
      </c>
      <c r="B6126">
        <v>85</v>
      </c>
      <c r="C6126" t="s">
        <v>2177</v>
      </c>
      <c r="D6126">
        <v>610</v>
      </c>
      <c r="E6126" t="s">
        <v>2171</v>
      </c>
      <c r="F6126">
        <v>1005</v>
      </c>
      <c r="G6126" t="s">
        <v>2177</v>
      </c>
      <c r="H6126">
        <v>2010</v>
      </c>
      <c r="I6126" t="s">
        <v>30</v>
      </c>
      <c r="J6126">
        <v>3010</v>
      </c>
      <c r="K6126" t="s">
        <v>30</v>
      </c>
      <c r="L6126">
        <v>4300</v>
      </c>
      <c r="M6126" t="s">
        <v>309</v>
      </c>
      <c r="N6126" t="s">
        <v>341</v>
      </c>
      <c r="O6126">
        <v>1</v>
      </c>
      <c r="P6126">
        <v>308</v>
      </c>
      <c r="Q6126" t="s">
        <v>355</v>
      </c>
      <c r="R6126" t="s">
        <v>201</v>
      </c>
      <c r="S6126">
        <v>1</v>
      </c>
      <c r="T6126">
        <v>1</v>
      </c>
      <c r="U6126">
        <v>119100</v>
      </c>
      <c r="V6126">
        <v>119100</v>
      </c>
    </row>
    <row r="6127" spans="1:22">
      <c r="A6127" t="s">
        <v>196</v>
      </c>
      <c r="B6127">
        <v>85</v>
      </c>
      <c r="C6127" t="s">
        <v>2177</v>
      </c>
      <c r="D6127">
        <v>610</v>
      </c>
      <c r="E6127" t="s">
        <v>2171</v>
      </c>
      <c r="F6127">
        <v>1005</v>
      </c>
      <c r="G6127" t="s">
        <v>2177</v>
      </c>
      <c r="H6127">
        <v>2010</v>
      </c>
      <c r="I6127" t="s">
        <v>30</v>
      </c>
      <c r="J6127">
        <v>3010</v>
      </c>
      <c r="K6127" t="s">
        <v>30</v>
      </c>
      <c r="L6127">
        <v>4300</v>
      </c>
      <c r="M6127" t="s">
        <v>309</v>
      </c>
      <c r="N6127" t="s">
        <v>356</v>
      </c>
      <c r="O6127">
        <v>4</v>
      </c>
      <c r="P6127">
        <v>124</v>
      </c>
      <c r="Q6127" t="s">
        <v>357</v>
      </c>
      <c r="R6127" t="s">
        <v>201</v>
      </c>
      <c r="S6127">
        <v>1</v>
      </c>
      <c r="T6127">
        <v>1</v>
      </c>
      <c r="U6127">
        <v>129636</v>
      </c>
      <c r="V6127">
        <v>129636</v>
      </c>
    </row>
    <row r="6128" spans="1:22">
      <c r="A6128" t="s">
        <v>196</v>
      </c>
      <c r="B6128">
        <v>85</v>
      </c>
      <c r="C6128" t="s">
        <v>2177</v>
      </c>
      <c r="D6128">
        <v>610</v>
      </c>
      <c r="E6128" t="s">
        <v>2171</v>
      </c>
      <c r="F6128">
        <v>1005</v>
      </c>
      <c r="G6128" t="s">
        <v>2177</v>
      </c>
      <c r="H6128">
        <v>2010</v>
      </c>
      <c r="I6128" t="s">
        <v>30</v>
      </c>
      <c r="J6128">
        <v>3010</v>
      </c>
      <c r="K6128" t="s">
        <v>30</v>
      </c>
      <c r="L6128">
        <v>4300</v>
      </c>
      <c r="M6128" t="s">
        <v>309</v>
      </c>
      <c r="N6128" t="s">
        <v>199</v>
      </c>
      <c r="O6128">
        <v>0</v>
      </c>
      <c r="P6128">
        <v>15</v>
      </c>
      <c r="Q6128" t="s">
        <v>264</v>
      </c>
      <c r="R6128" t="s">
        <v>201</v>
      </c>
      <c r="S6128">
        <v>0</v>
      </c>
      <c r="T6128">
        <v>0</v>
      </c>
      <c r="U6128">
        <v>19395</v>
      </c>
      <c r="V6128">
        <v>19395</v>
      </c>
    </row>
    <row r="6129" spans="1:22">
      <c r="A6129" t="s">
        <v>196</v>
      </c>
      <c r="B6129">
        <v>85</v>
      </c>
      <c r="C6129" t="s">
        <v>2177</v>
      </c>
      <c r="D6129">
        <v>610</v>
      </c>
      <c r="E6129" t="s">
        <v>2171</v>
      </c>
      <c r="F6129">
        <v>1005</v>
      </c>
      <c r="G6129" t="s">
        <v>2177</v>
      </c>
      <c r="H6129">
        <v>2010</v>
      </c>
      <c r="I6129" t="s">
        <v>30</v>
      </c>
      <c r="J6129">
        <v>3010</v>
      </c>
      <c r="K6129" t="s">
        <v>30</v>
      </c>
      <c r="L6129">
        <v>4303</v>
      </c>
      <c r="M6129" t="s">
        <v>2181</v>
      </c>
      <c r="N6129" t="s">
        <v>721</v>
      </c>
      <c r="O6129">
        <v>54</v>
      </c>
      <c r="P6129">
        <v>9535</v>
      </c>
      <c r="Q6129" t="s">
        <v>2182</v>
      </c>
      <c r="R6129" t="s">
        <v>713</v>
      </c>
      <c r="S6129">
        <v>6</v>
      </c>
      <c r="T6129">
        <v>1</v>
      </c>
      <c r="U6129">
        <v>26.28</v>
      </c>
      <c r="V6129">
        <v>327974</v>
      </c>
    </row>
    <row r="6130" spans="1:22">
      <c r="A6130" t="s">
        <v>196</v>
      </c>
      <c r="B6130">
        <v>85</v>
      </c>
      <c r="C6130" t="s">
        <v>2177</v>
      </c>
      <c r="D6130">
        <v>610</v>
      </c>
      <c r="E6130" t="s">
        <v>2171</v>
      </c>
      <c r="F6130">
        <v>1005</v>
      </c>
      <c r="G6130" t="s">
        <v>2177</v>
      </c>
      <c r="H6130">
        <v>2010</v>
      </c>
      <c r="I6130" t="s">
        <v>30</v>
      </c>
      <c r="J6130">
        <v>3010</v>
      </c>
      <c r="K6130" t="s">
        <v>30</v>
      </c>
      <c r="L6130">
        <v>4303</v>
      </c>
      <c r="M6130" t="s">
        <v>2181</v>
      </c>
      <c r="N6130" t="s">
        <v>721</v>
      </c>
      <c r="O6130">
        <v>54</v>
      </c>
      <c r="P6130">
        <v>9533</v>
      </c>
      <c r="Q6130" t="s">
        <v>960</v>
      </c>
      <c r="R6130" t="s">
        <v>713</v>
      </c>
      <c r="S6130">
        <v>12</v>
      </c>
      <c r="T6130">
        <v>1</v>
      </c>
      <c r="U6130">
        <v>47.79</v>
      </c>
      <c r="V6130">
        <v>1192838</v>
      </c>
    </row>
    <row r="6131" spans="1:22">
      <c r="A6131" t="s">
        <v>196</v>
      </c>
      <c r="B6131">
        <v>85</v>
      </c>
      <c r="C6131" t="s">
        <v>2177</v>
      </c>
      <c r="D6131">
        <v>610</v>
      </c>
      <c r="E6131" t="s">
        <v>2171</v>
      </c>
      <c r="F6131">
        <v>1005</v>
      </c>
      <c r="G6131" t="s">
        <v>2177</v>
      </c>
      <c r="H6131">
        <v>2010</v>
      </c>
      <c r="I6131" t="s">
        <v>30</v>
      </c>
      <c r="J6131">
        <v>3010</v>
      </c>
      <c r="K6131" t="s">
        <v>30</v>
      </c>
      <c r="L6131">
        <v>4303</v>
      </c>
      <c r="M6131" t="s">
        <v>2181</v>
      </c>
      <c r="N6131" t="s">
        <v>721</v>
      </c>
      <c r="O6131">
        <v>54</v>
      </c>
      <c r="P6131">
        <v>9533</v>
      </c>
      <c r="Q6131" t="s">
        <v>960</v>
      </c>
      <c r="R6131" t="s">
        <v>713</v>
      </c>
      <c r="S6131">
        <v>3</v>
      </c>
      <c r="T6131">
        <v>1</v>
      </c>
      <c r="U6131">
        <v>43.01</v>
      </c>
      <c r="V6131">
        <v>268382</v>
      </c>
    </row>
    <row r="6132" spans="1:22">
      <c r="A6132" t="s">
        <v>196</v>
      </c>
      <c r="B6132">
        <v>85</v>
      </c>
      <c r="C6132" t="s">
        <v>2177</v>
      </c>
      <c r="D6132">
        <v>610</v>
      </c>
      <c r="E6132" t="s">
        <v>2171</v>
      </c>
      <c r="F6132">
        <v>1005</v>
      </c>
      <c r="G6132" t="s">
        <v>2177</v>
      </c>
      <c r="H6132">
        <v>2010</v>
      </c>
      <c r="I6132" t="s">
        <v>30</v>
      </c>
      <c r="J6132">
        <v>3010</v>
      </c>
      <c r="K6132" t="s">
        <v>30</v>
      </c>
      <c r="L6132">
        <v>4303</v>
      </c>
      <c r="M6132" t="s">
        <v>2181</v>
      </c>
      <c r="N6132" t="s">
        <v>721</v>
      </c>
      <c r="O6132">
        <v>54</v>
      </c>
      <c r="P6132">
        <v>9533</v>
      </c>
      <c r="Q6132" t="s">
        <v>960</v>
      </c>
      <c r="R6132" t="s">
        <v>713</v>
      </c>
      <c r="S6132">
        <v>8</v>
      </c>
      <c r="T6132">
        <v>1</v>
      </c>
      <c r="U6132">
        <v>35.840000000000003</v>
      </c>
      <c r="V6132">
        <v>596378</v>
      </c>
    </row>
    <row r="6133" spans="1:22">
      <c r="A6133" t="s">
        <v>196</v>
      </c>
      <c r="B6133">
        <v>85</v>
      </c>
      <c r="C6133" t="s">
        <v>2177</v>
      </c>
      <c r="D6133">
        <v>610</v>
      </c>
      <c r="E6133" t="s">
        <v>2171</v>
      </c>
      <c r="F6133">
        <v>1005</v>
      </c>
      <c r="G6133" t="s">
        <v>2177</v>
      </c>
      <c r="H6133">
        <v>2010</v>
      </c>
      <c r="I6133" t="s">
        <v>30</v>
      </c>
      <c r="J6133">
        <v>3010</v>
      </c>
      <c r="K6133" t="s">
        <v>30</v>
      </c>
      <c r="L6133">
        <v>4303</v>
      </c>
      <c r="M6133" t="s">
        <v>2181</v>
      </c>
      <c r="N6133" t="s">
        <v>721</v>
      </c>
      <c r="O6133">
        <v>54</v>
      </c>
      <c r="P6133">
        <v>9533</v>
      </c>
      <c r="Q6133" t="s">
        <v>960</v>
      </c>
      <c r="R6133" t="s">
        <v>713</v>
      </c>
      <c r="S6133">
        <v>7</v>
      </c>
      <c r="T6133">
        <v>1</v>
      </c>
      <c r="U6133">
        <v>31.06</v>
      </c>
      <c r="V6133">
        <v>452234</v>
      </c>
    </row>
    <row r="6134" spans="1:22">
      <c r="A6134" t="s">
        <v>196</v>
      </c>
      <c r="B6134">
        <v>85</v>
      </c>
      <c r="C6134" t="s">
        <v>2177</v>
      </c>
      <c r="D6134">
        <v>610</v>
      </c>
      <c r="E6134" t="s">
        <v>2171</v>
      </c>
      <c r="F6134">
        <v>1005</v>
      </c>
      <c r="G6134" t="s">
        <v>2177</v>
      </c>
      <c r="H6134">
        <v>2010</v>
      </c>
      <c r="I6134" t="s">
        <v>30</v>
      </c>
      <c r="J6134">
        <v>3010</v>
      </c>
      <c r="K6134" t="s">
        <v>30</v>
      </c>
      <c r="L6134">
        <v>4303</v>
      </c>
      <c r="M6134" t="s">
        <v>2181</v>
      </c>
      <c r="N6134" t="s">
        <v>721</v>
      </c>
      <c r="O6134">
        <v>53</v>
      </c>
      <c r="P6134">
        <v>8243</v>
      </c>
      <c r="Q6134" t="s">
        <v>2061</v>
      </c>
      <c r="R6134" t="s">
        <v>713</v>
      </c>
      <c r="S6134">
        <v>1</v>
      </c>
      <c r="T6134">
        <v>1</v>
      </c>
      <c r="U6134">
        <v>55.79</v>
      </c>
      <c r="V6134">
        <v>116043</v>
      </c>
    </row>
    <row r="6135" spans="1:22">
      <c r="A6135" t="s">
        <v>196</v>
      </c>
      <c r="B6135">
        <v>85</v>
      </c>
      <c r="C6135" t="s">
        <v>2177</v>
      </c>
      <c r="D6135">
        <v>610</v>
      </c>
      <c r="E6135" t="s">
        <v>2171</v>
      </c>
      <c r="F6135">
        <v>1005</v>
      </c>
      <c r="G6135" t="s">
        <v>2177</v>
      </c>
      <c r="H6135">
        <v>2010</v>
      </c>
      <c r="I6135" t="s">
        <v>30</v>
      </c>
      <c r="J6135">
        <v>3010</v>
      </c>
      <c r="K6135" t="s">
        <v>30</v>
      </c>
      <c r="L6135">
        <v>4303</v>
      </c>
      <c r="M6135" t="s">
        <v>2181</v>
      </c>
      <c r="N6135" t="s">
        <v>1719</v>
      </c>
      <c r="O6135">
        <v>10</v>
      </c>
      <c r="P6135">
        <v>7020</v>
      </c>
      <c r="Q6135" t="s">
        <v>2183</v>
      </c>
      <c r="R6135" t="s">
        <v>201</v>
      </c>
      <c r="S6135">
        <v>1</v>
      </c>
      <c r="T6135">
        <v>1</v>
      </c>
      <c r="U6135">
        <v>136692</v>
      </c>
      <c r="V6135">
        <v>136692</v>
      </c>
    </row>
    <row r="6136" spans="1:22">
      <c r="A6136" t="s">
        <v>196</v>
      </c>
      <c r="B6136">
        <v>85</v>
      </c>
      <c r="C6136" t="s">
        <v>2177</v>
      </c>
      <c r="D6136">
        <v>610</v>
      </c>
      <c r="E6136" t="s">
        <v>2171</v>
      </c>
      <c r="F6136">
        <v>1005</v>
      </c>
      <c r="G6136" t="s">
        <v>2177</v>
      </c>
      <c r="H6136">
        <v>2010</v>
      </c>
      <c r="I6136" t="s">
        <v>30</v>
      </c>
      <c r="J6136">
        <v>3010</v>
      </c>
      <c r="K6136" t="s">
        <v>30</v>
      </c>
      <c r="L6136">
        <v>4303</v>
      </c>
      <c r="M6136" t="s">
        <v>2181</v>
      </c>
      <c r="N6136" t="s">
        <v>721</v>
      </c>
      <c r="O6136">
        <v>54</v>
      </c>
      <c r="P6136">
        <v>7005</v>
      </c>
      <c r="Q6136" t="s">
        <v>2184</v>
      </c>
      <c r="R6136" t="s">
        <v>713</v>
      </c>
      <c r="S6136">
        <v>4</v>
      </c>
      <c r="T6136">
        <v>1</v>
      </c>
      <c r="U6136">
        <v>52.3</v>
      </c>
      <c r="V6136">
        <v>435136</v>
      </c>
    </row>
    <row r="6137" spans="1:22">
      <c r="A6137" t="s">
        <v>196</v>
      </c>
      <c r="B6137">
        <v>85</v>
      </c>
      <c r="C6137" t="s">
        <v>2177</v>
      </c>
      <c r="D6137">
        <v>610</v>
      </c>
      <c r="E6137" t="s">
        <v>2171</v>
      </c>
      <c r="F6137">
        <v>1005</v>
      </c>
      <c r="G6137" t="s">
        <v>2177</v>
      </c>
      <c r="H6137">
        <v>2010</v>
      </c>
      <c r="I6137" t="s">
        <v>30</v>
      </c>
      <c r="J6137">
        <v>3010</v>
      </c>
      <c r="K6137" t="s">
        <v>30</v>
      </c>
      <c r="L6137">
        <v>4303</v>
      </c>
      <c r="M6137" t="s">
        <v>2181</v>
      </c>
      <c r="N6137" t="s">
        <v>255</v>
      </c>
      <c r="O6137">
        <v>3</v>
      </c>
      <c r="P6137">
        <v>1814</v>
      </c>
      <c r="Q6137" t="s">
        <v>1786</v>
      </c>
      <c r="R6137" t="s">
        <v>201</v>
      </c>
      <c r="S6137">
        <v>1</v>
      </c>
      <c r="T6137">
        <v>1</v>
      </c>
      <c r="U6137">
        <v>93504</v>
      </c>
      <c r="V6137">
        <v>93504</v>
      </c>
    </row>
    <row r="6138" spans="1:22">
      <c r="A6138" t="s">
        <v>196</v>
      </c>
      <c r="B6138">
        <v>85</v>
      </c>
      <c r="C6138" t="s">
        <v>2177</v>
      </c>
      <c r="D6138">
        <v>610</v>
      </c>
      <c r="E6138" t="s">
        <v>2171</v>
      </c>
      <c r="F6138">
        <v>1005</v>
      </c>
      <c r="G6138" t="s">
        <v>2177</v>
      </c>
      <c r="H6138">
        <v>2010</v>
      </c>
      <c r="I6138" t="s">
        <v>30</v>
      </c>
      <c r="J6138">
        <v>3010</v>
      </c>
      <c r="K6138" t="s">
        <v>30</v>
      </c>
      <c r="L6138">
        <v>4303</v>
      </c>
      <c r="M6138" t="s">
        <v>2181</v>
      </c>
      <c r="N6138" t="s">
        <v>199</v>
      </c>
      <c r="O6138">
        <v>0</v>
      </c>
      <c r="P6138">
        <v>15</v>
      </c>
      <c r="Q6138" t="s">
        <v>264</v>
      </c>
      <c r="R6138" t="s">
        <v>201</v>
      </c>
      <c r="S6138">
        <v>0</v>
      </c>
      <c r="T6138">
        <v>0</v>
      </c>
      <c r="U6138">
        <v>4140</v>
      </c>
      <c r="V6138">
        <v>4140</v>
      </c>
    </row>
    <row r="6139" spans="1:22">
      <c r="A6139" t="s">
        <v>196</v>
      </c>
      <c r="B6139">
        <v>85</v>
      </c>
      <c r="C6139" t="s">
        <v>2177</v>
      </c>
      <c r="D6139">
        <v>610</v>
      </c>
      <c r="E6139" t="s">
        <v>2171</v>
      </c>
      <c r="F6139">
        <v>1005</v>
      </c>
      <c r="G6139" t="s">
        <v>2177</v>
      </c>
      <c r="H6139">
        <v>2010</v>
      </c>
      <c r="I6139" t="s">
        <v>30</v>
      </c>
      <c r="J6139">
        <v>3010</v>
      </c>
      <c r="K6139" t="s">
        <v>30</v>
      </c>
      <c r="L6139">
        <v>4303</v>
      </c>
      <c r="M6139" t="s">
        <v>2181</v>
      </c>
      <c r="N6139" t="s">
        <v>199</v>
      </c>
      <c r="O6139">
        <v>0</v>
      </c>
      <c r="P6139">
        <v>12</v>
      </c>
      <c r="Q6139" t="s">
        <v>724</v>
      </c>
      <c r="R6139" t="s">
        <v>201</v>
      </c>
      <c r="S6139">
        <v>0</v>
      </c>
      <c r="T6139">
        <v>0</v>
      </c>
      <c r="U6139">
        <v>50837</v>
      </c>
      <c r="V6139">
        <v>50837</v>
      </c>
    </row>
    <row r="6140" spans="1:22">
      <c r="A6140" t="s">
        <v>196</v>
      </c>
      <c r="B6140">
        <v>85</v>
      </c>
      <c r="C6140" t="s">
        <v>2177</v>
      </c>
      <c r="D6140">
        <v>610</v>
      </c>
      <c r="E6140" t="s">
        <v>2171</v>
      </c>
      <c r="F6140">
        <v>1005</v>
      </c>
      <c r="G6140" t="s">
        <v>2177</v>
      </c>
      <c r="H6140">
        <v>2010</v>
      </c>
      <c r="I6140" t="s">
        <v>30</v>
      </c>
      <c r="J6140">
        <v>3010</v>
      </c>
      <c r="K6140" t="s">
        <v>30</v>
      </c>
      <c r="L6140">
        <v>4313</v>
      </c>
      <c r="M6140" t="s">
        <v>243</v>
      </c>
      <c r="N6140" t="s">
        <v>1297</v>
      </c>
      <c r="O6140">
        <v>0</v>
      </c>
      <c r="P6140">
        <v>9823</v>
      </c>
      <c r="Q6140" t="s">
        <v>600</v>
      </c>
      <c r="R6140" t="s">
        <v>201</v>
      </c>
      <c r="S6140">
        <v>1</v>
      </c>
      <c r="T6140">
        <v>1</v>
      </c>
      <c r="U6140">
        <v>211752</v>
      </c>
      <c r="V6140">
        <v>211752</v>
      </c>
    </row>
    <row r="6141" spans="1:22">
      <c r="A6141" t="s">
        <v>196</v>
      </c>
      <c r="B6141">
        <v>85</v>
      </c>
      <c r="C6141" t="s">
        <v>2177</v>
      </c>
      <c r="D6141">
        <v>610</v>
      </c>
      <c r="E6141" t="s">
        <v>2171</v>
      </c>
      <c r="F6141">
        <v>1005</v>
      </c>
      <c r="G6141" t="s">
        <v>2177</v>
      </c>
      <c r="H6141">
        <v>2010</v>
      </c>
      <c r="I6141" t="s">
        <v>30</v>
      </c>
      <c r="J6141">
        <v>3010</v>
      </c>
      <c r="K6141" t="s">
        <v>30</v>
      </c>
      <c r="L6141">
        <v>4313</v>
      </c>
      <c r="M6141" t="s">
        <v>243</v>
      </c>
      <c r="N6141" t="s">
        <v>721</v>
      </c>
      <c r="O6141">
        <v>8</v>
      </c>
      <c r="P6141">
        <v>7184</v>
      </c>
      <c r="Q6141" t="s">
        <v>1728</v>
      </c>
      <c r="R6141" t="s">
        <v>713</v>
      </c>
      <c r="S6141">
        <v>62400</v>
      </c>
      <c r="T6141">
        <v>0</v>
      </c>
      <c r="U6141">
        <v>48.73</v>
      </c>
      <c r="V6141">
        <v>3040752</v>
      </c>
    </row>
    <row r="6142" spans="1:22">
      <c r="A6142" t="s">
        <v>196</v>
      </c>
      <c r="B6142">
        <v>85</v>
      </c>
      <c r="C6142" t="s">
        <v>2177</v>
      </c>
      <c r="D6142">
        <v>610</v>
      </c>
      <c r="E6142" t="s">
        <v>2171</v>
      </c>
      <c r="F6142">
        <v>1005</v>
      </c>
      <c r="G6142" t="s">
        <v>2177</v>
      </c>
      <c r="H6142">
        <v>2010</v>
      </c>
      <c r="I6142" t="s">
        <v>30</v>
      </c>
      <c r="J6142">
        <v>3010</v>
      </c>
      <c r="K6142" t="s">
        <v>30</v>
      </c>
      <c r="L6142">
        <v>4313</v>
      </c>
      <c r="M6142" t="s">
        <v>243</v>
      </c>
      <c r="N6142" t="s">
        <v>721</v>
      </c>
      <c r="O6142">
        <v>8</v>
      </c>
      <c r="P6142">
        <v>7185</v>
      </c>
      <c r="Q6142" t="s">
        <v>1039</v>
      </c>
      <c r="R6142" t="s">
        <v>713</v>
      </c>
      <c r="S6142">
        <v>6</v>
      </c>
      <c r="T6142">
        <v>1</v>
      </c>
      <c r="U6142">
        <v>52.38</v>
      </c>
      <c r="V6142">
        <v>653702</v>
      </c>
    </row>
    <row r="6143" spans="1:22">
      <c r="A6143" t="s">
        <v>196</v>
      </c>
      <c r="B6143">
        <v>85</v>
      </c>
      <c r="C6143" t="s">
        <v>2177</v>
      </c>
      <c r="D6143">
        <v>610</v>
      </c>
      <c r="E6143" t="s">
        <v>2171</v>
      </c>
      <c r="F6143">
        <v>1005</v>
      </c>
      <c r="G6143" t="s">
        <v>2177</v>
      </c>
      <c r="H6143">
        <v>2010</v>
      </c>
      <c r="I6143" t="s">
        <v>30</v>
      </c>
      <c r="J6143">
        <v>3010</v>
      </c>
      <c r="K6143" t="s">
        <v>30</v>
      </c>
      <c r="L6143">
        <v>4313</v>
      </c>
      <c r="M6143" t="s">
        <v>243</v>
      </c>
      <c r="N6143" t="s">
        <v>721</v>
      </c>
      <c r="O6143">
        <v>8</v>
      </c>
      <c r="P6143">
        <v>7183</v>
      </c>
      <c r="Q6143" t="s">
        <v>986</v>
      </c>
      <c r="R6143" t="s">
        <v>713</v>
      </c>
      <c r="S6143">
        <v>85</v>
      </c>
      <c r="T6143">
        <v>1</v>
      </c>
      <c r="U6143">
        <v>48.73</v>
      </c>
      <c r="V6143">
        <v>8615464</v>
      </c>
    </row>
    <row r="6144" spans="1:22">
      <c r="A6144" t="s">
        <v>196</v>
      </c>
      <c r="B6144">
        <v>85</v>
      </c>
      <c r="C6144" t="s">
        <v>2177</v>
      </c>
      <c r="D6144">
        <v>610</v>
      </c>
      <c r="E6144" t="s">
        <v>2171</v>
      </c>
      <c r="F6144">
        <v>1005</v>
      </c>
      <c r="G6144" t="s">
        <v>2177</v>
      </c>
      <c r="H6144">
        <v>2010</v>
      </c>
      <c r="I6144" t="s">
        <v>30</v>
      </c>
      <c r="J6144">
        <v>3010</v>
      </c>
      <c r="K6144" t="s">
        <v>30</v>
      </c>
      <c r="L6144">
        <v>4313</v>
      </c>
      <c r="M6144" t="s">
        <v>243</v>
      </c>
      <c r="N6144" t="s">
        <v>249</v>
      </c>
      <c r="O6144">
        <v>10</v>
      </c>
      <c r="P6144">
        <v>7141</v>
      </c>
      <c r="Q6144" t="s">
        <v>1052</v>
      </c>
      <c r="R6144" t="s">
        <v>201</v>
      </c>
      <c r="S6144">
        <v>1</v>
      </c>
      <c r="T6144">
        <v>1</v>
      </c>
      <c r="U6144">
        <v>107340</v>
      </c>
      <c r="V6144">
        <v>107340</v>
      </c>
    </row>
    <row r="6145" spans="1:22">
      <c r="A6145" t="s">
        <v>196</v>
      </c>
      <c r="B6145">
        <v>85</v>
      </c>
      <c r="C6145" t="s">
        <v>2177</v>
      </c>
      <c r="D6145">
        <v>610</v>
      </c>
      <c r="E6145" t="s">
        <v>2171</v>
      </c>
      <c r="F6145">
        <v>1005</v>
      </c>
      <c r="G6145" t="s">
        <v>2177</v>
      </c>
      <c r="H6145">
        <v>2010</v>
      </c>
      <c r="I6145" t="s">
        <v>30</v>
      </c>
      <c r="J6145">
        <v>3010</v>
      </c>
      <c r="K6145" t="s">
        <v>30</v>
      </c>
      <c r="L6145">
        <v>4313</v>
      </c>
      <c r="M6145" t="s">
        <v>243</v>
      </c>
      <c r="N6145" t="s">
        <v>721</v>
      </c>
      <c r="O6145">
        <v>8</v>
      </c>
      <c r="P6145">
        <v>7124</v>
      </c>
      <c r="Q6145" t="s">
        <v>1054</v>
      </c>
      <c r="R6145" t="s">
        <v>713</v>
      </c>
      <c r="S6145">
        <v>5</v>
      </c>
      <c r="T6145">
        <v>1</v>
      </c>
      <c r="U6145">
        <v>49.58</v>
      </c>
      <c r="V6145">
        <v>515632</v>
      </c>
    </row>
    <row r="6146" spans="1:22">
      <c r="A6146" t="s">
        <v>196</v>
      </c>
      <c r="B6146">
        <v>85</v>
      </c>
      <c r="C6146" t="s">
        <v>2177</v>
      </c>
      <c r="D6146">
        <v>610</v>
      </c>
      <c r="E6146" t="s">
        <v>2171</v>
      </c>
      <c r="F6146">
        <v>1005</v>
      </c>
      <c r="G6146" t="s">
        <v>2177</v>
      </c>
      <c r="H6146">
        <v>2010</v>
      </c>
      <c r="I6146" t="s">
        <v>30</v>
      </c>
      <c r="J6146">
        <v>3010</v>
      </c>
      <c r="K6146" t="s">
        <v>30</v>
      </c>
      <c r="L6146">
        <v>4313</v>
      </c>
      <c r="M6146" t="s">
        <v>243</v>
      </c>
      <c r="N6146" t="s">
        <v>721</v>
      </c>
      <c r="O6146">
        <v>8</v>
      </c>
      <c r="P6146">
        <v>7123</v>
      </c>
      <c r="Q6146" t="s">
        <v>1703</v>
      </c>
      <c r="R6146" t="s">
        <v>712</v>
      </c>
      <c r="S6146">
        <v>3</v>
      </c>
      <c r="T6146">
        <v>1</v>
      </c>
      <c r="U6146">
        <v>8932</v>
      </c>
      <c r="V6146">
        <v>321552</v>
      </c>
    </row>
    <row r="6147" spans="1:22">
      <c r="A6147" t="s">
        <v>196</v>
      </c>
      <c r="B6147">
        <v>85</v>
      </c>
      <c r="C6147" t="s">
        <v>2177</v>
      </c>
      <c r="D6147">
        <v>610</v>
      </c>
      <c r="E6147" t="s">
        <v>2171</v>
      </c>
      <c r="F6147">
        <v>1005</v>
      </c>
      <c r="G6147" t="s">
        <v>2177</v>
      </c>
      <c r="H6147">
        <v>2010</v>
      </c>
      <c r="I6147" t="s">
        <v>30</v>
      </c>
      <c r="J6147">
        <v>3010</v>
      </c>
      <c r="K6147" t="s">
        <v>30</v>
      </c>
      <c r="L6147">
        <v>4313</v>
      </c>
      <c r="M6147" t="s">
        <v>243</v>
      </c>
      <c r="N6147" t="s">
        <v>343</v>
      </c>
      <c r="O6147">
        <v>10</v>
      </c>
      <c r="P6147">
        <v>7026</v>
      </c>
      <c r="Q6147" t="s">
        <v>2185</v>
      </c>
      <c r="R6147" t="s">
        <v>201</v>
      </c>
      <c r="S6147">
        <v>1</v>
      </c>
      <c r="T6147">
        <v>1</v>
      </c>
      <c r="U6147">
        <v>143232</v>
      </c>
      <c r="V6147">
        <v>143232</v>
      </c>
    </row>
    <row r="6148" spans="1:22">
      <c r="A6148" t="s">
        <v>196</v>
      </c>
      <c r="B6148">
        <v>85</v>
      </c>
      <c r="C6148" t="s">
        <v>2177</v>
      </c>
      <c r="D6148">
        <v>610</v>
      </c>
      <c r="E6148" t="s">
        <v>2171</v>
      </c>
      <c r="F6148">
        <v>1005</v>
      </c>
      <c r="G6148" t="s">
        <v>2177</v>
      </c>
      <c r="H6148">
        <v>2010</v>
      </c>
      <c r="I6148" t="s">
        <v>30</v>
      </c>
      <c r="J6148">
        <v>3010</v>
      </c>
      <c r="K6148" t="s">
        <v>30</v>
      </c>
      <c r="L6148">
        <v>4313</v>
      </c>
      <c r="M6148" t="s">
        <v>243</v>
      </c>
      <c r="N6148" t="s">
        <v>343</v>
      </c>
      <c r="O6148">
        <v>10</v>
      </c>
      <c r="P6148">
        <v>7026</v>
      </c>
      <c r="Q6148" t="s">
        <v>2185</v>
      </c>
      <c r="R6148" t="s">
        <v>201</v>
      </c>
      <c r="S6148">
        <v>2</v>
      </c>
      <c r="T6148">
        <v>1</v>
      </c>
      <c r="U6148">
        <v>107340</v>
      </c>
      <c r="V6148">
        <v>214680</v>
      </c>
    </row>
    <row r="6149" spans="1:22">
      <c r="A6149" t="s">
        <v>196</v>
      </c>
      <c r="B6149">
        <v>85</v>
      </c>
      <c r="C6149" t="s">
        <v>2177</v>
      </c>
      <c r="D6149">
        <v>610</v>
      </c>
      <c r="E6149" t="s">
        <v>2171</v>
      </c>
      <c r="F6149">
        <v>1005</v>
      </c>
      <c r="G6149" t="s">
        <v>2177</v>
      </c>
      <c r="H6149">
        <v>2010</v>
      </c>
      <c r="I6149" t="s">
        <v>30</v>
      </c>
      <c r="J6149">
        <v>3010</v>
      </c>
      <c r="K6149" t="s">
        <v>30</v>
      </c>
      <c r="L6149">
        <v>4313</v>
      </c>
      <c r="M6149" t="s">
        <v>243</v>
      </c>
      <c r="N6149" t="s">
        <v>343</v>
      </c>
      <c r="O6149">
        <v>10</v>
      </c>
      <c r="P6149">
        <v>7026</v>
      </c>
      <c r="Q6149" t="s">
        <v>2185</v>
      </c>
      <c r="R6149" t="s">
        <v>201</v>
      </c>
      <c r="S6149">
        <v>1</v>
      </c>
      <c r="T6149">
        <v>1</v>
      </c>
      <c r="U6149">
        <v>97836</v>
      </c>
      <c r="V6149">
        <v>97836</v>
      </c>
    </row>
    <row r="6150" spans="1:22">
      <c r="A6150" t="s">
        <v>196</v>
      </c>
      <c r="B6150">
        <v>85</v>
      </c>
      <c r="C6150" t="s">
        <v>2177</v>
      </c>
      <c r="D6150">
        <v>610</v>
      </c>
      <c r="E6150" t="s">
        <v>2171</v>
      </c>
      <c r="F6150">
        <v>1005</v>
      </c>
      <c r="G6150" t="s">
        <v>2177</v>
      </c>
      <c r="H6150">
        <v>2010</v>
      </c>
      <c r="I6150" t="s">
        <v>30</v>
      </c>
      <c r="J6150">
        <v>3010</v>
      </c>
      <c r="K6150" t="s">
        <v>30</v>
      </c>
      <c r="L6150">
        <v>4313</v>
      </c>
      <c r="M6150" t="s">
        <v>243</v>
      </c>
      <c r="N6150" t="s">
        <v>2017</v>
      </c>
      <c r="O6150">
        <v>54</v>
      </c>
      <c r="P6150">
        <v>7025</v>
      </c>
      <c r="Q6150" t="s">
        <v>2186</v>
      </c>
      <c r="R6150" t="s">
        <v>201</v>
      </c>
      <c r="S6150">
        <v>4</v>
      </c>
      <c r="T6150">
        <v>1</v>
      </c>
      <c r="U6150">
        <v>157296</v>
      </c>
      <c r="V6150">
        <v>629184</v>
      </c>
    </row>
    <row r="6151" spans="1:22">
      <c r="A6151" t="s">
        <v>196</v>
      </c>
      <c r="B6151">
        <v>85</v>
      </c>
      <c r="C6151" t="s">
        <v>2177</v>
      </c>
      <c r="D6151">
        <v>610</v>
      </c>
      <c r="E6151" t="s">
        <v>2171</v>
      </c>
      <c r="F6151">
        <v>1005</v>
      </c>
      <c r="G6151" t="s">
        <v>2177</v>
      </c>
      <c r="H6151">
        <v>2010</v>
      </c>
      <c r="I6151" t="s">
        <v>30</v>
      </c>
      <c r="J6151">
        <v>3010</v>
      </c>
      <c r="K6151" t="s">
        <v>30</v>
      </c>
      <c r="L6151">
        <v>4313</v>
      </c>
      <c r="M6151" t="s">
        <v>243</v>
      </c>
      <c r="N6151" t="s">
        <v>1934</v>
      </c>
      <c r="O6151">
        <v>54</v>
      </c>
      <c r="P6151">
        <v>7021</v>
      </c>
      <c r="Q6151" t="s">
        <v>2187</v>
      </c>
      <c r="R6151" t="s">
        <v>201</v>
      </c>
      <c r="S6151">
        <v>2</v>
      </c>
      <c r="T6151">
        <v>1</v>
      </c>
      <c r="U6151">
        <v>143352</v>
      </c>
      <c r="V6151">
        <v>286704</v>
      </c>
    </row>
    <row r="6152" spans="1:22">
      <c r="A6152" t="s">
        <v>196</v>
      </c>
      <c r="B6152">
        <v>85</v>
      </c>
      <c r="C6152" t="s">
        <v>2177</v>
      </c>
      <c r="D6152">
        <v>610</v>
      </c>
      <c r="E6152" t="s">
        <v>2171</v>
      </c>
      <c r="F6152">
        <v>1005</v>
      </c>
      <c r="G6152" t="s">
        <v>2177</v>
      </c>
      <c r="H6152">
        <v>2010</v>
      </c>
      <c r="I6152" t="s">
        <v>30</v>
      </c>
      <c r="J6152">
        <v>3010</v>
      </c>
      <c r="K6152" t="s">
        <v>30</v>
      </c>
      <c r="L6152">
        <v>4313</v>
      </c>
      <c r="M6152" t="s">
        <v>243</v>
      </c>
      <c r="N6152" t="s">
        <v>1934</v>
      </c>
      <c r="O6152">
        <v>54</v>
      </c>
      <c r="P6152">
        <v>7021</v>
      </c>
      <c r="Q6152" t="s">
        <v>2187</v>
      </c>
      <c r="R6152" t="s">
        <v>201</v>
      </c>
      <c r="S6152">
        <v>1</v>
      </c>
      <c r="T6152">
        <v>1</v>
      </c>
      <c r="U6152">
        <v>136872</v>
      </c>
      <c r="V6152">
        <v>136872</v>
      </c>
    </row>
    <row r="6153" spans="1:22">
      <c r="A6153" t="s">
        <v>196</v>
      </c>
      <c r="B6153">
        <v>85</v>
      </c>
      <c r="C6153" t="s">
        <v>2177</v>
      </c>
      <c r="D6153">
        <v>610</v>
      </c>
      <c r="E6153" t="s">
        <v>2171</v>
      </c>
      <c r="F6153">
        <v>1005</v>
      </c>
      <c r="G6153" t="s">
        <v>2177</v>
      </c>
      <c r="H6153">
        <v>2010</v>
      </c>
      <c r="I6153" t="s">
        <v>30</v>
      </c>
      <c r="J6153">
        <v>3010</v>
      </c>
      <c r="K6153" t="s">
        <v>30</v>
      </c>
      <c r="L6153">
        <v>4313</v>
      </c>
      <c r="M6153" t="s">
        <v>243</v>
      </c>
      <c r="N6153" t="s">
        <v>1934</v>
      </c>
      <c r="O6153">
        <v>54</v>
      </c>
      <c r="P6153">
        <v>7021</v>
      </c>
      <c r="Q6153" t="s">
        <v>2187</v>
      </c>
      <c r="R6153" t="s">
        <v>201</v>
      </c>
      <c r="S6153">
        <v>1</v>
      </c>
      <c r="T6153">
        <v>1</v>
      </c>
      <c r="U6153">
        <v>124740</v>
      </c>
      <c r="V6153">
        <v>124740</v>
      </c>
    </row>
    <row r="6154" spans="1:22">
      <c r="A6154" t="s">
        <v>196</v>
      </c>
      <c r="B6154">
        <v>85</v>
      </c>
      <c r="C6154" t="s">
        <v>2177</v>
      </c>
      <c r="D6154">
        <v>610</v>
      </c>
      <c r="E6154" t="s">
        <v>2171</v>
      </c>
      <c r="F6154">
        <v>1005</v>
      </c>
      <c r="G6154" t="s">
        <v>2177</v>
      </c>
      <c r="H6154">
        <v>2010</v>
      </c>
      <c r="I6154" t="s">
        <v>30</v>
      </c>
      <c r="J6154">
        <v>3010</v>
      </c>
      <c r="K6154" t="s">
        <v>30</v>
      </c>
      <c r="L6154">
        <v>4313</v>
      </c>
      <c r="M6154" t="s">
        <v>243</v>
      </c>
      <c r="N6154" t="s">
        <v>1934</v>
      </c>
      <c r="O6154">
        <v>54</v>
      </c>
      <c r="P6154">
        <v>7021</v>
      </c>
      <c r="Q6154" t="s">
        <v>2187</v>
      </c>
      <c r="R6154" t="s">
        <v>201</v>
      </c>
      <c r="S6154">
        <v>3</v>
      </c>
      <c r="T6154">
        <v>1</v>
      </c>
      <c r="U6154">
        <v>108528</v>
      </c>
      <c r="V6154">
        <v>325584</v>
      </c>
    </row>
    <row r="6155" spans="1:22">
      <c r="A6155" t="s">
        <v>196</v>
      </c>
      <c r="B6155">
        <v>85</v>
      </c>
      <c r="C6155" t="s">
        <v>2177</v>
      </c>
      <c r="D6155">
        <v>610</v>
      </c>
      <c r="E6155" t="s">
        <v>2171</v>
      </c>
      <c r="F6155">
        <v>1005</v>
      </c>
      <c r="G6155" t="s">
        <v>2177</v>
      </c>
      <c r="H6155">
        <v>2010</v>
      </c>
      <c r="I6155" t="s">
        <v>30</v>
      </c>
      <c r="J6155">
        <v>3010</v>
      </c>
      <c r="K6155" t="s">
        <v>30</v>
      </c>
      <c r="L6155">
        <v>4313</v>
      </c>
      <c r="M6155" t="s">
        <v>243</v>
      </c>
      <c r="N6155" t="s">
        <v>1934</v>
      </c>
      <c r="O6155">
        <v>54</v>
      </c>
      <c r="P6155">
        <v>7021</v>
      </c>
      <c r="Q6155" t="s">
        <v>2187</v>
      </c>
      <c r="R6155" t="s">
        <v>201</v>
      </c>
      <c r="S6155">
        <v>2</v>
      </c>
      <c r="T6155">
        <v>1</v>
      </c>
      <c r="U6155">
        <v>102540</v>
      </c>
      <c r="V6155">
        <v>205080</v>
      </c>
    </row>
    <row r="6156" spans="1:22">
      <c r="A6156" t="s">
        <v>196</v>
      </c>
      <c r="B6156">
        <v>85</v>
      </c>
      <c r="C6156" t="s">
        <v>2177</v>
      </c>
      <c r="D6156">
        <v>610</v>
      </c>
      <c r="E6156" t="s">
        <v>2171</v>
      </c>
      <c r="F6156">
        <v>1005</v>
      </c>
      <c r="G6156" t="s">
        <v>2177</v>
      </c>
      <c r="H6156">
        <v>2010</v>
      </c>
      <c r="I6156" t="s">
        <v>30</v>
      </c>
      <c r="J6156">
        <v>3010</v>
      </c>
      <c r="K6156" t="s">
        <v>30</v>
      </c>
      <c r="L6156">
        <v>4313</v>
      </c>
      <c r="M6156" t="s">
        <v>243</v>
      </c>
      <c r="N6156" t="s">
        <v>1934</v>
      </c>
      <c r="O6156">
        <v>54</v>
      </c>
      <c r="P6156">
        <v>7021</v>
      </c>
      <c r="Q6156" t="s">
        <v>2187</v>
      </c>
      <c r="R6156" t="s">
        <v>201</v>
      </c>
      <c r="S6156">
        <v>3</v>
      </c>
      <c r="T6156">
        <v>1</v>
      </c>
      <c r="U6156">
        <v>85176</v>
      </c>
      <c r="V6156">
        <v>255528</v>
      </c>
    </row>
    <row r="6157" spans="1:22">
      <c r="A6157" t="s">
        <v>196</v>
      </c>
      <c r="B6157">
        <v>85</v>
      </c>
      <c r="C6157" t="s">
        <v>2177</v>
      </c>
      <c r="D6157">
        <v>610</v>
      </c>
      <c r="E6157" t="s">
        <v>2171</v>
      </c>
      <c r="F6157">
        <v>1005</v>
      </c>
      <c r="G6157" t="s">
        <v>2177</v>
      </c>
      <c r="H6157">
        <v>2010</v>
      </c>
      <c r="I6157" t="s">
        <v>30</v>
      </c>
      <c r="J6157">
        <v>3010</v>
      </c>
      <c r="K6157" t="s">
        <v>30</v>
      </c>
      <c r="L6157">
        <v>4313</v>
      </c>
      <c r="M6157" t="s">
        <v>243</v>
      </c>
      <c r="N6157" t="s">
        <v>1719</v>
      </c>
      <c r="O6157">
        <v>10</v>
      </c>
      <c r="P6157">
        <v>7020</v>
      </c>
      <c r="Q6157" t="s">
        <v>2183</v>
      </c>
      <c r="R6157" t="s">
        <v>201</v>
      </c>
      <c r="S6157">
        <v>1</v>
      </c>
      <c r="T6157">
        <v>1</v>
      </c>
      <c r="U6157">
        <v>136692</v>
      </c>
      <c r="V6157">
        <v>136692</v>
      </c>
    </row>
    <row r="6158" spans="1:22">
      <c r="A6158" t="s">
        <v>196</v>
      </c>
      <c r="B6158">
        <v>85</v>
      </c>
      <c r="C6158" t="s">
        <v>2177</v>
      </c>
      <c r="D6158">
        <v>610</v>
      </c>
      <c r="E6158" t="s">
        <v>2171</v>
      </c>
      <c r="F6158">
        <v>1005</v>
      </c>
      <c r="G6158" t="s">
        <v>2177</v>
      </c>
      <c r="H6158">
        <v>2010</v>
      </c>
      <c r="I6158" t="s">
        <v>30</v>
      </c>
      <c r="J6158">
        <v>3010</v>
      </c>
      <c r="K6158" t="s">
        <v>30</v>
      </c>
      <c r="L6158">
        <v>4313</v>
      </c>
      <c r="M6158" t="s">
        <v>243</v>
      </c>
      <c r="N6158" t="s">
        <v>1719</v>
      </c>
      <c r="O6158">
        <v>10</v>
      </c>
      <c r="P6158">
        <v>7020</v>
      </c>
      <c r="Q6158" t="s">
        <v>2183</v>
      </c>
      <c r="R6158" t="s">
        <v>201</v>
      </c>
      <c r="S6158">
        <v>1</v>
      </c>
      <c r="T6158">
        <v>1</v>
      </c>
      <c r="U6158">
        <v>123348</v>
      </c>
      <c r="V6158">
        <v>123348</v>
      </c>
    </row>
    <row r="6159" spans="1:22">
      <c r="A6159" t="s">
        <v>196</v>
      </c>
      <c r="B6159">
        <v>85</v>
      </c>
      <c r="C6159" t="s">
        <v>2177</v>
      </c>
      <c r="D6159">
        <v>610</v>
      </c>
      <c r="E6159" t="s">
        <v>2171</v>
      </c>
      <c r="F6159">
        <v>1005</v>
      </c>
      <c r="G6159" t="s">
        <v>2177</v>
      </c>
      <c r="H6159">
        <v>2010</v>
      </c>
      <c r="I6159" t="s">
        <v>30</v>
      </c>
      <c r="J6159">
        <v>3010</v>
      </c>
      <c r="K6159" t="s">
        <v>30</v>
      </c>
      <c r="L6159">
        <v>4313</v>
      </c>
      <c r="M6159" t="s">
        <v>243</v>
      </c>
      <c r="N6159" t="s">
        <v>1719</v>
      </c>
      <c r="O6159">
        <v>10</v>
      </c>
      <c r="P6159">
        <v>7020</v>
      </c>
      <c r="Q6159" t="s">
        <v>2183</v>
      </c>
      <c r="R6159" t="s">
        <v>201</v>
      </c>
      <c r="S6159">
        <v>1</v>
      </c>
      <c r="T6159">
        <v>1</v>
      </c>
      <c r="U6159">
        <v>112440</v>
      </c>
      <c r="V6159">
        <v>112440</v>
      </c>
    </row>
    <row r="6160" spans="1:22">
      <c r="A6160" t="s">
        <v>196</v>
      </c>
      <c r="B6160">
        <v>85</v>
      </c>
      <c r="C6160" t="s">
        <v>2177</v>
      </c>
      <c r="D6160">
        <v>610</v>
      </c>
      <c r="E6160" t="s">
        <v>2171</v>
      </c>
      <c r="F6160">
        <v>1005</v>
      </c>
      <c r="G6160" t="s">
        <v>2177</v>
      </c>
      <c r="H6160">
        <v>2010</v>
      </c>
      <c r="I6160" t="s">
        <v>30</v>
      </c>
      <c r="J6160">
        <v>3010</v>
      </c>
      <c r="K6160" t="s">
        <v>30</v>
      </c>
      <c r="L6160">
        <v>4313</v>
      </c>
      <c r="M6160" t="s">
        <v>243</v>
      </c>
      <c r="N6160" t="s">
        <v>251</v>
      </c>
      <c r="O6160">
        <v>20</v>
      </c>
      <c r="P6160">
        <v>7014</v>
      </c>
      <c r="Q6160" t="s">
        <v>2188</v>
      </c>
      <c r="R6160" t="s">
        <v>201</v>
      </c>
      <c r="S6160">
        <v>1</v>
      </c>
      <c r="T6160">
        <v>1</v>
      </c>
      <c r="U6160">
        <v>76476</v>
      </c>
      <c r="V6160">
        <v>76476</v>
      </c>
    </row>
    <row r="6161" spans="1:22">
      <c r="A6161" t="s">
        <v>196</v>
      </c>
      <c r="B6161">
        <v>85</v>
      </c>
      <c r="C6161" t="s">
        <v>2177</v>
      </c>
      <c r="D6161">
        <v>610</v>
      </c>
      <c r="E6161" t="s">
        <v>2171</v>
      </c>
      <c r="F6161">
        <v>1005</v>
      </c>
      <c r="G6161" t="s">
        <v>2177</v>
      </c>
      <c r="H6161">
        <v>2010</v>
      </c>
      <c r="I6161" t="s">
        <v>30</v>
      </c>
      <c r="J6161">
        <v>3010</v>
      </c>
      <c r="K6161" t="s">
        <v>30</v>
      </c>
      <c r="L6161">
        <v>4313</v>
      </c>
      <c r="M6161" t="s">
        <v>243</v>
      </c>
      <c r="N6161" t="s">
        <v>1722</v>
      </c>
      <c r="O6161">
        <v>54</v>
      </c>
      <c r="P6161">
        <v>7010</v>
      </c>
      <c r="Q6161" t="s">
        <v>2189</v>
      </c>
      <c r="R6161" t="s">
        <v>201</v>
      </c>
      <c r="S6161">
        <v>1</v>
      </c>
      <c r="T6161">
        <v>1</v>
      </c>
      <c r="U6161">
        <v>130620</v>
      </c>
      <c r="V6161">
        <v>130620</v>
      </c>
    </row>
    <row r="6162" spans="1:22">
      <c r="A6162" t="s">
        <v>196</v>
      </c>
      <c r="B6162">
        <v>85</v>
      </c>
      <c r="C6162" t="s">
        <v>2177</v>
      </c>
      <c r="D6162">
        <v>610</v>
      </c>
      <c r="E6162" t="s">
        <v>2171</v>
      </c>
      <c r="F6162">
        <v>1005</v>
      </c>
      <c r="G6162" t="s">
        <v>2177</v>
      </c>
      <c r="H6162">
        <v>2010</v>
      </c>
      <c r="I6162" t="s">
        <v>30</v>
      </c>
      <c r="J6162">
        <v>3010</v>
      </c>
      <c r="K6162" t="s">
        <v>30</v>
      </c>
      <c r="L6162">
        <v>4313</v>
      </c>
      <c r="M6162" t="s">
        <v>243</v>
      </c>
      <c r="N6162" t="s">
        <v>1722</v>
      </c>
      <c r="O6162">
        <v>54</v>
      </c>
      <c r="P6162">
        <v>7010</v>
      </c>
      <c r="Q6162" t="s">
        <v>2189</v>
      </c>
      <c r="R6162" t="s">
        <v>201</v>
      </c>
      <c r="S6162">
        <v>1</v>
      </c>
      <c r="T6162">
        <v>1</v>
      </c>
      <c r="U6162">
        <v>113592</v>
      </c>
      <c r="V6162">
        <v>113592</v>
      </c>
    </row>
    <row r="6163" spans="1:22">
      <c r="A6163" t="s">
        <v>196</v>
      </c>
      <c r="B6163">
        <v>85</v>
      </c>
      <c r="C6163" t="s">
        <v>2177</v>
      </c>
      <c r="D6163">
        <v>610</v>
      </c>
      <c r="E6163" t="s">
        <v>2171</v>
      </c>
      <c r="F6163">
        <v>1005</v>
      </c>
      <c r="G6163" t="s">
        <v>2177</v>
      </c>
      <c r="H6163">
        <v>2010</v>
      </c>
      <c r="I6163" t="s">
        <v>30</v>
      </c>
      <c r="J6163">
        <v>3010</v>
      </c>
      <c r="K6163" t="s">
        <v>30</v>
      </c>
      <c r="L6163">
        <v>4313</v>
      </c>
      <c r="M6163" t="s">
        <v>243</v>
      </c>
      <c r="N6163" t="s">
        <v>1722</v>
      </c>
      <c r="O6163">
        <v>54</v>
      </c>
      <c r="P6163">
        <v>7010</v>
      </c>
      <c r="Q6163" t="s">
        <v>2189</v>
      </c>
      <c r="R6163" t="s">
        <v>201</v>
      </c>
      <c r="S6163">
        <v>2</v>
      </c>
      <c r="T6163">
        <v>1</v>
      </c>
      <c r="U6163">
        <v>108528</v>
      </c>
      <c r="V6163">
        <v>217056</v>
      </c>
    </row>
    <row r="6164" spans="1:22">
      <c r="A6164" t="s">
        <v>196</v>
      </c>
      <c r="B6164">
        <v>85</v>
      </c>
      <c r="C6164" t="s">
        <v>2177</v>
      </c>
      <c r="D6164">
        <v>610</v>
      </c>
      <c r="E6164" t="s">
        <v>2171</v>
      </c>
      <c r="F6164">
        <v>1005</v>
      </c>
      <c r="G6164" t="s">
        <v>2177</v>
      </c>
      <c r="H6164">
        <v>2010</v>
      </c>
      <c r="I6164" t="s">
        <v>30</v>
      </c>
      <c r="J6164">
        <v>3010</v>
      </c>
      <c r="K6164" t="s">
        <v>30</v>
      </c>
      <c r="L6164">
        <v>4313</v>
      </c>
      <c r="M6164" t="s">
        <v>243</v>
      </c>
      <c r="N6164" t="s">
        <v>1722</v>
      </c>
      <c r="O6164">
        <v>54</v>
      </c>
      <c r="P6164">
        <v>7010</v>
      </c>
      <c r="Q6164" t="s">
        <v>2189</v>
      </c>
      <c r="R6164" t="s">
        <v>201</v>
      </c>
      <c r="S6164">
        <v>1</v>
      </c>
      <c r="T6164">
        <v>1</v>
      </c>
      <c r="U6164">
        <v>98892</v>
      </c>
      <c r="V6164">
        <v>98892</v>
      </c>
    </row>
    <row r="6165" spans="1:22">
      <c r="A6165" t="s">
        <v>196</v>
      </c>
      <c r="B6165">
        <v>85</v>
      </c>
      <c r="C6165" t="s">
        <v>2177</v>
      </c>
      <c r="D6165">
        <v>610</v>
      </c>
      <c r="E6165" t="s">
        <v>2171</v>
      </c>
      <c r="F6165">
        <v>1005</v>
      </c>
      <c r="G6165" t="s">
        <v>2177</v>
      </c>
      <c r="H6165">
        <v>2010</v>
      </c>
      <c r="I6165" t="s">
        <v>30</v>
      </c>
      <c r="J6165">
        <v>3010</v>
      </c>
      <c r="K6165" t="s">
        <v>30</v>
      </c>
      <c r="L6165">
        <v>4313</v>
      </c>
      <c r="M6165" t="s">
        <v>243</v>
      </c>
      <c r="N6165" t="s">
        <v>1722</v>
      </c>
      <c r="O6165">
        <v>54</v>
      </c>
      <c r="P6165">
        <v>7010</v>
      </c>
      <c r="Q6165" t="s">
        <v>2189</v>
      </c>
      <c r="R6165" t="s">
        <v>201</v>
      </c>
      <c r="S6165">
        <v>1</v>
      </c>
      <c r="T6165">
        <v>1</v>
      </c>
      <c r="U6165">
        <v>89232</v>
      </c>
      <c r="V6165">
        <v>89232</v>
      </c>
    </row>
    <row r="6166" spans="1:22">
      <c r="A6166" t="s">
        <v>196</v>
      </c>
      <c r="B6166">
        <v>85</v>
      </c>
      <c r="C6166" t="s">
        <v>2177</v>
      </c>
      <c r="D6166">
        <v>610</v>
      </c>
      <c r="E6166" t="s">
        <v>2171</v>
      </c>
      <c r="F6166">
        <v>1005</v>
      </c>
      <c r="G6166" t="s">
        <v>2177</v>
      </c>
      <c r="H6166">
        <v>2010</v>
      </c>
      <c r="I6166" t="s">
        <v>30</v>
      </c>
      <c r="J6166">
        <v>3010</v>
      </c>
      <c r="K6166" t="s">
        <v>30</v>
      </c>
      <c r="L6166">
        <v>4313</v>
      </c>
      <c r="M6166" t="s">
        <v>243</v>
      </c>
      <c r="N6166" t="s">
        <v>1722</v>
      </c>
      <c r="O6166">
        <v>54</v>
      </c>
      <c r="P6166">
        <v>7010</v>
      </c>
      <c r="Q6166" t="s">
        <v>2189</v>
      </c>
      <c r="R6166" t="s">
        <v>201</v>
      </c>
      <c r="S6166">
        <v>2</v>
      </c>
      <c r="T6166">
        <v>1</v>
      </c>
      <c r="U6166">
        <v>81276</v>
      </c>
      <c r="V6166">
        <v>162552</v>
      </c>
    </row>
    <row r="6167" spans="1:22">
      <c r="A6167" t="s">
        <v>196</v>
      </c>
      <c r="B6167">
        <v>85</v>
      </c>
      <c r="C6167" t="s">
        <v>2177</v>
      </c>
      <c r="D6167">
        <v>610</v>
      </c>
      <c r="E6167" t="s">
        <v>2171</v>
      </c>
      <c r="F6167">
        <v>1005</v>
      </c>
      <c r="G6167" t="s">
        <v>2177</v>
      </c>
      <c r="H6167">
        <v>2010</v>
      </c>
      <c r="I6167" t="s">
        <v>30</v>
      </c>
      <c r="J6167">
        <v>3010</v>
      </c>
      <c r="K6167" t="s">
        <v>30</v>
      </c>
      <c r="L6167">
        <v>4313</v>
      </c>
      <c r="M6167" t="s">
        <v>243</v>
      </c>
      <c r="N6167" t="s">
        <v>1722</v>
      </c>
      <c r="O6167">
        <v>54</v>
      </c>
      <c r="P6167">
        <v>7010</v>
      </c>
      <c r="Q6167" t="s">
        <v>2189</v>
      </c>
      <c r="R6167" t="s">
        <v>201</v>
      </c>
      <c r="S6167">
        <v>6</v>
      </c>
      <c r="T6167">
        <v>1</v>
      </c>
      <c r="U6167">
        <v>77628</v>
      </c>
      <c r="V6167">
        <v>465768</v>
      </c>
    </row>
    <row r="6168" spans="1:22">
      <c r="A6168" t="s">
        <v>196</v>
      </c>
      <c r="B6168">
        <v>85</v>
      </c>
      <c r="C6168" t="s">
        <v>2177</v>
      </c>
      <c r="D6168">
        <v>610</v>
      </c>
      <c r="E6168" t="s">
        <v>2171</v>
      </c>
      <c r="F6168">
        <v>1005</v>
      </c>
      <c r="G6168" t="s">
        <v>2177</v>
      </c>
      <c r="H6168">
        <v>2010</v>
      </c>
      <c r="I6168" t="s">
        <v>30</v>
      </c>
      <c r="J6168">
        <v>3010</v>
      </c>
      <c r="K6168" t="s">
        <v>30</v>
      </c>
      <c r="L6168">
        <v>4313</v>
      </c>
      <c r="M6168" t="s">
        <v>243</v>
      </c>
      <c r="N6168" t="s">
        <v>294</v>
      </c>
      <c r="O6168">
        <v>10</v>
      </c>
      <c r="P6168">
        <v>4201</v>
      </c>
      <c r="Q6168" t="s">
        <v>2190</v>
      </c>
      <c r="R6168" t="s">
        <v>201</v>
      </c>
      <c r="S6168">
        <v>2</v>
      </c>
      <c r="T6168">
        <v>1</v>
      </c>
      <c r="U6168">
        <v>72996</v>
      </c>
      <c r="V6168">
        <v>145992</v>
      </c>
    </row>
    <row r="6169" spans="1:22">
      <c r="A6169" t="s">
        <v>196</v>
      </c>
      <c r="B6169">
        <v>85</v>
      </c>
      <c r="C6169" t="s">
        <v>2177</v>
      </c>
      <c r="D6169">
        <v>610</v>
      </c>
      <c r="E6169" t="s">
        <v>2171</v>
      </c>
      <c r="F6169">
        <v>1005</v>
      </c>
      <c r="G6169" t="s">
        <v>2177</v>
      </c>
      <c r="H6169">
        <v>2010</v>
      </c>
      <c r="I6169" t="s">
        <v>30</v>
      </c>
      <c r="J6169">
        <v>3010</v>
      </c>
      <c r="K6169" t="s">
        <v>30</v>
      </c>
      <c r="L6169">
        <v>4313</v>
      </c>
      <c r="M6169" t="s">
        <v>243</v>
      </c>
      <c r="N6169" t="s">
        <v>294</v>
      </c>
      <c r="O6169">
        <v>10</v>
      </c>
      <c r="P6169">
        <v>4201</v>
      </c>
      <c r="Q6169" t="s">
        <v>2190</v>
      </c>
      <c r="R6169" t="s">
        <v>201</v>
      </c>
      <c r="S6169">
        <v>1</v>
      </c>
      <c r="T6169">
        <v>1</v>
      </c>
      <c r="U6169">
        <v>63504</v>
      </c>
      <c r="V6169">
        <v>63504</v>
      </c>
    </row>
    <row r="6170" spans="1:22">
      <c r="A6170" t="s">
        <v>196</v>
      </c>
      <c r="B6170">
        <v>85</v>
      </c>
      <c r="C6170" t="s">
        <v>2177</v>
      </c>
      <c r="D6170">
        <v>610</v>
      </c>
      <c r="E6170" t="s">
        <v>2171</v>
      </c>
      <c r="F6170">
        <v>1005</v>
      </c>
      <c r="G6170" t="s">
        <v>2177</v>
      </c>
      <c r="H6170">
        <v>2010</v>
      </c>
      <c r="I6170" t="s">
        <v>30</v>
      </c>
      <c r="J6170">
        <v>3010</v>
      </c>
      <c r="K6170" t="s">
        <v>30</v>
      </c>
      <c r="L6170">
        <v>4313</v>
      </c>
      <c r="M6170" t="s">
        <v>243</v>
      </c>
      <c r="N6170" t="s">
        <v>253</v>
      </c>
      <c r="O6170">
        <v>20</v>
      </c>
      <c r="P6170">
        <v>1318</v>
      </c>
      <c r="Q6170" t="s">
        <v>934</v>
      </c>
      <c r="R6170" t="s">
        <v>201</v>
      </c>
      <c r="S6170">
        <v>1</v>
      </c>
      <c r="T6170">
        <v>1</v>
      </c>
      <c r="U6170">
        <v>108432</v>
      </c>
      <c r="V6170">
        <v>108432</v>
      </c>
    </row>
    <row r="6171" spans="1:22">
      <c r="A6171" t="s">
        <v>196</v>
      </c>
      <c r="B6171">
        <v>85</v>
      </c>
      <c r="C6171" t="s">
        <v>2177</v>
      </c>
      <c r="D6171">
        <v>610</v>
      </c>
      <c r="E6171" t="s">
        <v>2171</v>
      </c>
      <c r="F6171">
        <v>1005</v>
      </c>
      <c r="G6171" t="s">
        <v>2177</v>
      </c>
      <c r="H6171">
        <v>2010</v>
      </c>
      <c r="I6171" t="s">
        <v>30</v>
      </c>
      <c r="J6171">
        <v>3010</v>
      </c>
      <c r="K6171" t="s">
        <v>30</v>
      </c>
      <c r="L6171">
        <v>4313</v>
      </c>
      <c r="M6171" t="s">
        <v>243</v>
      </c>
      <c r="N6171" t="s">
        <v>351</v>
      </c>
      <c r="O6171">
        <v>1</v>
      </c>
      <c r="P6171">
        <v>801</v>
      </c>
      <c r="Q6171" t="s">
        <v>1281</v>
      </c>
      <c r="R6171" t="s">
        <v>201</v>
      </c>
      <c r="S6171">
        <v>1</v>
      </c>
      <c r="T6171">
        <v>1</v>
      </c>
      <c r="U6171">
        <v>62544</v>
      </c>
      <c r="V6171">
        <v>62544</v>
      </c>
    </row>
    <row r="6172" spans="1:22">
      <c r="A6172" t="s">
        <v>196</v>
      </c>
      <c r="B6172">
        <v>85</v>
      </c>
      <c r="C6172" t="s">
        <v>2177</v>
      </c>
      <c r="D6172">
        <v>610</v>
      </c>
      <c r="E6172" t="s">
        <v>2171</v>
      </c>
      <c r="F6172">
        <v>1005</v>
      </c>
      <c r="G6172" t="s">
        <v>2177</v>
      </c>
      <c r="H6172">
        <v>2010</v>
      </c>
      <c r="I6172" t="s">
        <v>30</v>
      </c>
      <c r="J6172">
        <v>3010</v>
      </c>
      <c r="K6172" t="s">
        <v>30</v>
      </c>
      <c r="L6172">
        <v>4313</v>
      </c>
      <c r="M6172" t="s">
        <v>243</v>
      </c>
      <c r="N6172" t="s">
        <v>1314</v>
      </c>
      <c r="O6172">
        <v>0</v>
      </c>
      <c r="P6172" t="s">
        <v>1471</v>
      </c>
      <c r="Q6172" t="s">
        <v>605</v>
      </c>
      <c r="R6172" t="s">
        <v>201</v>
      </c>
      <c r="S6172">
        <v>1</v>
      </c>
      <c r="T6172">
        <v>1</v>
      </c>
      <c r="U6172">
        <v>133836</v>
      </c>
      <c r="V6172">
        <v>133836</v>
      </c>
    </row>
    <row r="6173" spans="1:22">
      <c r="A6173" t="s">
        <v>196</v>
      </c>
      <c r="B6173">
        <v>85</v>
      </c>
      <c r="C6173" t="s">
        <v>2177</v>
      </c>
      <c r="D6173">
        <v>610</v>
      </c>
      <c r="E6173" t="s">
        <v>2171</v>
      </c>
      <c r="F6173">
        <v>1005</v>
      </c>
      <c r="G6173" t="s">
        <v>2177</v>
      </c>
      <c r="H6173">
        <v>2010</v>
      </c>
      <c r="I6173" t="s">
        <v>30</v>
      </c>
      <c r="J6173">
        <v>3010</v>
      </c>
      <c r="K6173" t="s">
        <v>30</v>
      </c>
      <c r="L6173">
        <v>4313</v>
      </c>
      <c r="M6173" t="s">
        <v>243</v>
      </c>
      <c r="N6173" t="s">
        <v>199</v>
      </c>
      <c r="O6173">
        <v>0</v>
      </c>
      <c r="P6173">
        <v>15</v>
      </c>
      <c r="Q6173" t="s">
        <v>264</v>
      </c>
      <c r="R6173" t="s">
        <v>201</v>
      </c>
      <c r="S6173">
        <v>0</v>
      </c>
      <c r="T6173">
        <v>0</v>
      </c>
      <c r="U6173">
        <v>52701</v>
      </c>
      <c r="V6173">
        <v>52701</v>
      </c>
    </row>
    <row r="6174" spans="1:22">
      <c r="A6174" t="s">
        <v>196</v>
      </c>
      <c r="B6174">
        <v>85</v>
      </c>
      <c r="C6174" t="s">
        <v>2177</v>
      </c>
      <c r="D6174">
        <v>610</v>
      </c>
      <c r="E6174" t="s">
        <v>2171</v>
      </c>
      <c r="F6174">
        <v>1005</v>
      </c>
      <c r="G6174" t="s">
        <v>2177</v>
      </c>
      <c r="H6174">
        <v>2010</v>
      </c>
      <c r="I6174" t="s">
        <v>30</v>
      </c>
      <c r="J6174">
        <v>3010</v>
      </c>
      <c r="K6174" t="s">
        <v>30</v>
      </c>
      <c r="L6174">
        <v>4313</v>
      </c>
      <c r="M6174" t="s">
        <v>243</v>
      </c>
      <c r="N6174" t="s">
        <v>199</v>
      </c>
      <c r="O6174">
        <v>0</v>
      </c>
      <c r="P6174">
        <v>12</v>
      </c>
      <c r="Q6174" t="s">
        <v>724</v>
      </c>
      <c r="R6174" t="s">
        <v>201</v>
      </c>
      <c r="S6174">
        <v>0</v>
      </c>
      <c r="T6174">
        <v>0</v>
      </c>
      <c r="U6174">
        <v>197206</v>
      </c>
      <c r="V6174">
        <v>197206</v>
      </c>
    </row>
    <row r="6175" spans="1:22">
      <c r="A6175" t="s">
        <v>196</v>
      </c>
      <c r="B6175">
        <v>85</v>
      </c>
      <c r="C6175" t="s">
        <v>2177</v>
      </c>
      <c r="D6175">
        <v>610</v>
      </c>
      <c r="E6175" t="s">
        <v>2171</v>
      </c>
      <c r="F6175">
        <v>1005</v>
      </c>
      <c r="G6175" t="s">
        <v>2177</v>
      </c>
      <c r="H6175">
        <v>2010</v>
      </c>
      <c r="I6175" t="s">
        <v>30</v>
      </c>
      <c r="J6175">
        <v>3010</v>
      </c>
      <c r="K6175" t="s">
        <v>30</v>
      </c>
      <c r="L6175">
        <v>4333</v>
      </c>
      <c r="M6175" t="s">
        <v>2191</v>
      </c>
      <c r="N6175" t="s">
        <v>1351</v>
      </c>
      <c r="O6175">
        <v>2</v>
      </c>
      <c r="P6175">
        <v>4211</v>
      </c>
      <c r="Q6175" t="s">
        <v>2192</v>
      </c>
      <c r="R6175" t="s">
        <v>713</v>
      </c>
      <c r="S6175">
        <v>5805</v>
      </c>
      <c r="T6175">
        <v>0</v>
      </c>
      <c r="U6175">
        <v>28.76</v>
      </c>
      <c r="V6175">
        <v>166952</v>
      </c>
    </row>
    <row r="6176" spans="1:22">
      <c r="A6176" t="s">
        <v>196</v>
      </c>
      <c r="B6176">
        <v>85</v>
      </c>
      <c r="C6176" t="s">
        <v>2177</v>
      </c>
      <c r="D6176">
        <v>610</v>
      </c>
      <c r="E6176" t="s">
        <v>2171</v>
      </c>
      <c r="F6176">
        <v>1005</v>
      </c>
      <c r="G6176" t="s">
        <v>2177</v>
      </c>
      <c r="H6176">
        <v>2010</v>
      </c>
      <c r="I6176" t="s">
        <v>30</v>
      </c>
      <c r="J6176">
        <v>3010</v>
      </c>
      <c r="K6176" t="s">
        <v>30</v>
      </c>
      <c r="L6176">
        <v>4333</v>
      </c>
      <c r="M6176" t="s">
        <v>2191</v>
      </c>
      <c r="N6176" t="s">
        <v>716</v>
      </c>
      <c r="O6176">
        <v>2</v>
      </c>
      <c r="P6176">
        <v>4210</v>
      </c>
      <c r="Q6176" t="s">
        <v>2193</v>
      </c>
      <c r="R6176" t="s">
        <v>201</v>
      </c>
      <c r="S6176">
        <v>13</v>
      </c>
      <c r="T6176">
        <v>1</v>
      </c>
      <c r="U6176">
        <v>109404</v>
      </c>
      <c r="V6176">
        <v>1422252</v>
      </c>
    </row>
    <row r="6177" spans="1:22">
      <c r="A6177" t="s">
        <v>196</v>
      </c>
      <c r="B6177">
        <v>85</v>
      </c>
      <c r="C6177" t="s">
        <v>2177</v>
      </c>
      <c r="D6177">
        <v>610</v>
      </c>
      <c r="E6177" t="s">
        <v>2171</v>
      </c>
      <c r="F6177">
        <v>1005</v>
      </c>
      <c r="G6177" t="s">
        <v>2177</v>
      </c>
      <c r="H6177">
        <v>2010</v>
      </c>
      <c r="I6177" t="s">
        <v>30</v>
      </c>
      <c r="J6177">
        <v>3010</v>
      </c>
      <c r="K6177" t="s">
        <v>30</v>
      </c>
      <c r="L6177">
        <v>4333</v>
      </c>
      <c r="M6177" t="s">
        <v>2191</v>
      </c>
      <c r="N6177" t="s">
        <v>716</v>
      </c>
      <c r="O6177">
        <v>2</v>
      </c>
      <c r="P6177">
        <v>4210</v>
      </c>
      <c r="Q6177" t="s">
        <v>2193</v>
      </c>
      <c r="R6177" t="s">
        <v>201</v>
      </c>
      <c r="S6177">
        <v>9</v>
      </c>
      <c r="T6177">
        <v>1</v>
      </c>
      <c r="U6177">
        <v>104376</v>
      </c>
      <c r="V6177">
        <v>939384</v>
      </c>
    </row>
    <row r="6178" spans="1:22">
      <c r="A6178" t="s">
        <v>196</v>
      </c>
      <c r="B6178">
        <v>85</v>
      </c>
      <c r="C6178" t="s">
        <v>2177</v>
      </c>
      <c r="D6178">
        <v>610</v>
      </c>
      <c r="E6178" t="s">
        <v>2171</v>
      </c>
      <c r="F6178">
        <v>1005</v>
      </c>
      <c r="G6178" t="s">
        <v>2177</v>
      </c>
      <c r="H6178">
        <v>2010</v>
      </c>
      <c r="I6178" t="s">
        <v>30</v>
      </c>
      <c r="J6178">
        <v>3010</v>
      </c>
      <c r="K6178" t="s">
        <v>30</v>
      </c>
      <c r="L6178">
        <v>4333</v>
      </c>
      <c r="M6178" t="s">
        <v>2191</v>
      </c>
      <c r="N6178" t="s">
        <v>716</v>
      </c>
      <c r="O6178">
        <v>2</v>
      </c>
      <c r="P6178">
        <v>4210</v>
      </c>
      <c r="Q6178" t="s">
        <v>2193</v>
      </c>
      <c r="R6178" t="s">
        <v>201</v>
      </c>
      <c r="S6178">
        <v>2</v>
      </c>
      <c r="T6178">
        <v>1</v>
      </c>
      <c r="U6178">
        <v>99708</v>
      </c>
      <c r="V6178">
        <v>199416</v>
      </c>
    </row>
    <row r="6179" spans="1:22">
      <c r="A6179" t="s">
        <v>196</v>
      </c>
      <c r="B6179">
        <v>85</v>
      </c>
      <c r="C6179" t="s">
        <v>2177</v>
      </c>
      <c r="D6179">
        <v>610</v>
      </c>
      <c r="E6179" t="s">
        <v>2171</v>
      </c>
      <c r="F6179">
        <v>1005</v>
      </c>
      <c r="G6179" t="s">
        <v>2177</v>
      </c>
      <c r="H6179">
        <v>2010</v>
      </c>
      <c r="I6179" t="s">
        <v>30</v>
      </c>
      <c r="J6179">
        <v>3010</v>
      </c>
      <c r="K6179" t="s">
        <v>30</v>
      </c>
      <c r="L6179">
        <v>4333</v>
      </c>
      <c r="M6179" t="s">
        <v>2191</v>
      </c>
      <c r="N6179" t="s">
        <v>716</v>
      </c>
      <c r="O6179">
        <v>2</v>
      </c>
      <c r="P6179">
        <v>4210</v>
      </c>
      <c r="Q6179" t="s">
        <v>2193</v>
      </c>
      <c r="R6179" t="s">
        <v>201</v>
      </c>
      <c r="S6179">
        <v>2</v>
      </c>
      <c r="T6179">
        <v>1</v>
      </c>
      <c r="U6179">
        <v>95160</v>
      </c>
      <c r="V6179">
        <v>190320</v>
      </c>
    </row>
    <row r="6180" spans="1:22">
      <c r="A6180" t="s">
        <v>196</v>
      </c>
      <c r="B6180">
        <v>85</v>
      </c>
      <c r="C6180" t="s">
        <v>2177</v>
      </c>
      <c r="D6180">
        <v>610</v>
      </c>
      <c r="E6180" t="s">
        <v>2171</v>
      </c>
      <c r="F6180">
        <v>1005</v>
      </c>
      <c r="G6180" t="s">
        <v>2177</v>
      </c>
      <c r="H6180">
        <v>2010</v>
      </c>
      <c r="I6180" t="s">
        <v>30</v>
      </c>
      <c r="J6180">
        <v>3010</v>
      </c>
      <c r="K6180" t="s">
        <v>30</v>
      </c>
      <c r="L6180">
        <v>4333</v>
      </c>
      <c r="M6180" t="s">
        <v>2191</v>
      </c>
      <c r="N6180" t="s">
        <v>716</v>
      </c>
      <c r="O6180">
        <v>2</v>
      </c>
      <c r="P6180">
        <v>4210</v>
      </c>
      <c r="Q6180" t="s">
        <v>2193</v>
      </c>
      <c r="R6180" t="s">
        <v>201</v>
      </c>
      <c r="S6180">
        <v>2</v>
      </c>
      <c r="T6180">
        <v>1</v>
      </c>
      <c r="U6180">
        <v>90876</v>
      </c>
      <c r="V6180">
        <v>181752</v>
      </c>
    </row>
    <row r="6181" spans="1:22">
      <c r="A6181" t="s">
        <v>196</v>
      </c>
      <c r="B6181">
        <v>85</v>
      </c>
      <c r="C6181" t="s">
        <v>2177</v>
      </c>
      <c r="D6181">
        <v>610</v>
      </c>
      <c r="E6181" t="s">
        <v>2171</v>
      </c>
      <c r="F6181">
        <v>1005</v>
      </c>
      <c r="G6181" t="s">
        <v>2177</v>
      </c>
      <c r="H6181">
        <v>2010</v>
      </c>
      <c r="I6181" t="s">
        <v>30</v>
      </c>
      <c r="J6181">
        <v>3010</v>
      </c>
      <c r="K6181" t="s">
        <v>30</v>
      </c>
      <c r="L6181">
        <v>4333</v>
      </c>
      <c r="M6181" t="s">
        <v>2191</v>
      </c>
      <c r="N6181" t="s">
        <v>716</v>
      </c>
      <c r="O6181">
        <v>2</v>
      </c>
      <c r="P6181">
        <v>4210</v>
      </c>
      <c r="Q6181" t="s">
        <v>2193</v>
      </c>
      <c r="R6181" t="s">
        <v>201</v>
      </c>
      <c r="S6181">
        <v>1</v>
      </c>
      <c r="T6181">
        <v>1</v>
      </c>
      <c r="U6181">
        <v>86772</v>
      </c>
      <c r="V6181">
        <v>86772</v>
      </c>
    </row>
    <row r="6182" spans="1:22">
      <c r="A6182" t="s">
        <v>196</v>
      </c>
      <c r="B6182">
        <v>85</v>
      </c>
      <c r="C6182" t="s">
        <v>2177</v>
      </c>
      <c r="D6182">
        <v>610</v>
      </c>
      <c r="E6182" t="s">
        <v>2171</v>
      </c>
      <c r="F6182">
        <v>1005</v>
      </c>
      <c r="G6182" t="s">
        <v>2177</v>
      </c>
      <c r="H6182">
        <v>2010</v>
      </c>
      <c r="I6182" t="s">
        <v>30</v>
      </c>
      <c r="J6182">
        <v>3010</v>
      </c>
      <c r="K6182" t="s">
        <v>30</v>
      </c>
      <c r="L6182">
        <v>4333</v>
      </c>
      <c r="M6182" t="s">
        <v>2191</v>
      </c>
      <c r="N6182" t="s">
        <v>716</v>
      </c>
      <c r="O6182">
        <v>2</v>
      </c>
      <c r="P6182">
        <v>4210</v>
      </c>
      <c r="Q6182" t="s">
        <v>2193</v>
      </c>
      <c r="R6182" t="s">
        <v>201</v>
      </c>
      <c r="S6182">
        <v>3</v>
      </c>
      <c r="T6182">
        <v>1</v>
      </c>
      <c r="U6182">
        <v>82836</v>
      </c>
      <c r="V6182">
        <v>248508</v>
      </c>
    </row>
    <row r="6183" spans="1:22">
      <c r="A6183" t="s">
        <v>196</v>
      </c>
      <c r="B6183">
        <v>85</v>
      </c>
      <c r="C6183" t="s">
        <v>2177</v>
      </c>
      <c r="D6183">
        <v>610</v>
      </c>
      <c r="E6183" t="s">
        <v>2171</v>
      </c>
      <c r="F6183">
        <v>1005</v>
      </c>
      <c r="G6183" t="s">
        <v>2177</v>
      </c>
      <c r="H6183">
        <v>2010</v>
      </c>
      <c r="I6183" t="s">
        <v>30</v>
      </c>
      <c r="J6183">
        <v>3010</v>
      </c>
      <c r="K6183" t="s">
        <v>30</v>
      </c>
      <c r="L6183">
        <v>4333</v>
      </c>
      <c r="M6183" t="s">
        <v>2191</v>
      </c>
      <c r="N6183" t="s">
        <v>716</v>
      </c>
      <c r="O6183">
        <v>2</v>
      </c>
      <c r="P6183">
        <v>4210</v>
      </c>
      <c r="Q6183" t="s">
        <v>2193</v>
      </c>
      <c r="R6183" t="s">
        <v>201</v>
      </c>
      <c r="S6183">
        <v>7</v>
      </c>
      <c r="T6183">
        <v>1</v>
      </c>
      <c r="U6183">
        <v>79056</v>
      </c>
      <c r="V6183">
        <v>553392</v>
      </c>
    </row>
    <row r="6184" spans="1:22">
      <c r="A6184" t="s">
        <v>196</v>
      </c>
      <c r="B6184">
        <v>85</v>
      </c>
      <c r="C6184" t="s">
        <v>2177</v>
      </c>
      <c r="D6184">
        <v>610</v>
      </c>
      <c r="E6184" t="s">
        <v>2171</v>
      </c>
      <c r="F6184">
        <v>1005</v>
      </c>
      <c r="G6184" t="s">
        <v>2177</v>
      </c>
      <c r="H6184">
        <v>2010</v>
      </c>
      <c r="I6184" t="s">
        <v>30</v>
      </c>
      <c r="J6184">
        <v>3010</v>
      </c>
      <c r="K6184" t="s">
        <v>30</v>
      </c>
      <c r="L6184">
        <v>4333</v>
      </c>
      <c r="M6184" t="s">
        <v>2191</v>
      </c>
      <c r="N6184" t="s">
        <v>716</v>
      </c>
      <c r="O6184">
        <v>2</v>
      </c>
      <c r="P6184">
        <v>4210</v>
      </c>
      <c r="Q6184" t="s">
        <v>2193</v>
      </c>
      <c r="R6184" t="s">
        <v>201</v>
      </c>
      <c r="S6184">
        <v>7</v>
      </c>
      <c r="T6184">
        <v>1</v>
      </c>
      <c r="U6184">
        <v>71076</v>
      </c>
      <c r="V6184">
        <v>497532</v>
      </c>
    </row>
    <row r="6185" spans="1:22">
      <c r="A6185" t="s">
        <v>196</v>
      </c>
      <c r="B6185">
        <v>85</v>
      </c>
      <c r="C6185" t="s">
        <v>2177</v>
      </c>
      <c r="D6185">
        <v>610</v>
      </c>
      <c r="E6185" t="s">
        <v>2171</v>
      </c>
      <c r="F6185">
        <v>1005</v>
      </c>
      <c r="G6185" t="s">
        <v>2177</v>
      </c>
      <c r="H6185">
        <v>2010</v>
      </c>
      <c r="I6185" t="s">
        <v>30</v>
      </c>
      <c r="J6185">
        <v>3010</v>
      </c>
      <c r="K6185" t="s">
        <v>30</v>
      </c>
      <c r="L6185">
        <v>4333</v>
      </c>
      <c r="M6185" t="s">
        <v>2191</v>
      </c>
      <c r="N6185" t="s">
        <v>716</v>
      </c>
      <c r="O6185">
        <v>2</v>
      </c>
      <c r="P6185">
        <v>4210</v>
      </c>
      <c r="Q6185" t="s">
        <v>2193</v>
      </c>
      <c r="R6185" t="s">
        <v>201</v>
      </c>
      <c r="S6185">
        <v>1</v>
      </c>
      <c r="T6185">
        <v>1</v>
      </c>
      <c r="U6185">
        <v>67884</v>
      </c>
      <c r="V6185">
        <v>67884</v>
      </c>
    </row>
    <row r="6186" spans="1:22">
      <c r="A6186" t="s">
        <v>196</v>
      </c>
      <c r="B6186">
        <v>85</v>
      </c>
      <c r="C6186" t="s">
        <v>2177</v>
      </c>
      <c r="D6186">
        <v>610</v>
      </c>
      <c r="E6186" t="s">
        <v>2171</v>
      </c>
      <c r="F6186">
        <v>1005</v>
      </c>
      <c r="G6186" t="s">
        <v>2177</v>
      </c>
      <c r="H6186">
        <v>2010</v>
      </c>
      <c r="I6186" t="s">
        <v>30</v>
      </c>
      <c r="J6186">
        <v>3010</v>
      </c>
      <c r="K6186" t="s">
        <v>30</v>
      </c>
      <c r="L6186">
        <v>4333</v>
      </c>
      <c r="M6186" t="s">
        <v>2191</v>
      </c>
      <c r="N6186" t="s">
        <v>716</v>
      </c>
      <c r="O6186">
        <v>2</v>
      </c>
      <c r="P6186">
        <v>4210</v>
      </c>
      <c r="Q6186" t="s">
        <v>2193</v>
      </c>
      <c r="R6186" t="s">
        <v>201</v>
      </c>
      <c r="S6186">
        <v>17</v>
      </c>
      <c r="T6186">
        <v>1</v>
      </c>
      <c r="U6186">
        <v>64836</v>
      </c>
      <c r="V6186">
        <v>1102212</v>
      </c>
    </row>
    <row r="6187" spans="1:22">
      <c r="A6187" t="s">
        <v>196</v>
      </c>
      <c r="B6187">
        <v>85</v>
      </c>
      <c r="C6187" t="s">
        <v>2177</v>
      </c>
      <c r="D6187">
        <v>610</v>
      </c>
      <c r="E6187" t="s">
        <v>2171</v>
      </c>
      <c r="F6187">
        <v>1005</v>
      </c>
      <c r="G6187" t="s">
        <v>2177</v>
      </c>
      <c r="H6187">
        <v>2010</v>
      </c>
      <c r="I6187" t="s">
        <v>30</v>
      </c>
      <c r="J6187">
        <v>3010</v>
      </c>
      <c r="K6187" t="s">
        <v>30</v>
      </c>
      <c r="L6187">
        <v>4333</v>
      </c>
      <c r="M6187" t="s">
        <v>2191</v>
      </c>
      <c r="N6187" t="s">
        <v>716</v>
      </c>
      <c r="O6187">
        <v>2</v>
      </c>
      <c r="P6187">
        <v>4210</v>
      </c>
      <c r="Q6187" t="s">
        <v>2193</v>
      </c>
      <c r="R6187" t="s">
        <v>201</v>
      </c>
      <c r="S6187">
        <v>4</v>
      </c>
      <c r="T6187">
        <v>1</v>
      </c>
      <c r="U6187">
        <v>61824</v>
      </c>
      <c r="V6187">
        <v>247296</v>
      </c>
    </row>
    <row r="6188" spans="1:22">
      <c r="A6188" t="s">
        <v>196</v>
      </c>
      <c r="B6188">
        <v>85</v>
      </c>
      <c r="C6188" t="s">
        <v>2177</v>
      </c>
      <c r="D6188">
        <v>610</v>
      </c>
      <c r="E6188" t="s">
        <v>2171</v>
      </c>
      <c r="F6188">
        <v>1005</v>
      </c>
      <c r="G6188" t="s">
        <v>2177</v>
      </c>
      <c r="H6188">
        <v>2010</v>
      </c>
      <c r="I6188" t="s">
        <v>30</v>
      </c>
      <c r="J6188">
        <v>3010</v>
      </c>
      <c r="K6188" t="s">
        <v>30</v>
      </c>
      <c r="L6188">
        <v>4333</v>
      </c>
      <c r="M6188" t="s">
        <v>2191</v>
      </c>
      <c r="N6188" t="s">
        <v>2194</v>
      </c>
      <c r="O6188">
        <v>58</v>
      </c>
      <c r="P6188">
        <v>4209</v>
      </c>
      <c r="Q6188" t="s">
        <v>2195</v>
      </c>
      <c r="R6188" t="s">
        <v>201</v>
      </c>
      <c r="S6188">
        <v>1</v>
      </c>
      <c r="T6188">
        <v>1</v>
      </c>
      <c r="U6188">
        <v>122712</v>
      </c>
      <c r="V6188">
        <v>122712</v>
      </c>
    </row>
    <row r="6189" spans="1:22">
      <c r="A6189" t="s">
        <v>196</v>
      </c>
      <c r="B6189">
        <v>85</v>
      </c>
      <c r="C6189" t="s">
        <v>2177</v>
      </c>
      <c r="D6189">
        <v>610</v>
      </c>
      <c r="E6189" t="s">
        <v>2171</v>
      </c>
      <c r="F6189">
        <v>1005</v>
      </c>
      <c r="G6189" t="s">
        <v>2177</v>
      </c>
      <c r="H6189">
        <v>2010</v>
      </c>
      <c r="I6189" t="s">
        <v>30</v>
      </c>
      <c r="J6189">
        <v>3010</v>
      </c>
      <c r="K6189" t="s">
        <v>30</v>
      </c>
      <c r="L6189">
        <v>4333</v>
      </c>
      <c r="M6189" t="s">
        <v>2191</v>
      </c>
      <c r="N6189" t="s">
        <v>2194</v>
      </c>
      <c r="O6189">
        <v>58</v>
      </c>
      <c r="P6189">
        <v>4209</v>
      </c>
      <c r="Q6189" t="s">
        <v>2195</v>
      </c>
      <c r="R6189" t="s">
        <v>201</v>
      </c>
      <c r="S6189">
        <v>1</v>
      </c>
      <c r="T6189">
        <v>1</v>
      </c>
      <c r="U6189">
        <v>117132</v>
      </c>
      <c r="V6189">
        <v>117132</v>
      </c>
    </row>
    <row r="6190" spans="1:22">
      <c r="A6190" t="s">
        <v>196</v>
      </c>
      <c r="B6190">
        <v>85</v>
      </c>
      <c r="C6190" t="s">
        <v>2177</v>
      </c>
      <c r="D6190">
        <v>610</v>
      </c>
      <c r="E6190" t="s">
        <v>2171</v>
      </c>
      <c r="F6190">
        <v>1005</v>
      </c>
      <c r="G6190" t="s">
        <v>2177</v>
      </c>
      <c r="H6190">
        <v>2010</v>
      </c>
      <c r="I6190" t="s">
        <v>30</v>
      </c>
      <c r="J6190">
        <v>3010</v>
      </c>
      <c r="K6190" t="s">
        <v>30</v>
      </c>
      <c r="L6190">
        <v>4333</v>
      </c>
      <c r="M6190" t="s">
        <v>2191</v>
      </c>
      <c r="N6190" t="s">
        <v>2194</v>
      </c>
      <c r="O6190">
        <v>58</v>
      </c>
      <c r="P6190">
        <v>4209</v>
      </c>
      <c r="Q6190" t="s">
        <v>2195</v>
      </c>
      <c r="R6190" t="s">
        <v>201</v>
      </c>
      <c r="S6190">
        <v>1</v>
      </c>
      <c r="T6190">
        <v>1</v>
      </c>
      <c r="U6190">
        <v>111780</v>
      </c>
      <c r="V6190">
        <v>111780</v>
      </c>
    </row>
    <row r="6191" spans="1:22">
      <c r="A6191" t="s">
        <v>196</v>
      </c>
      <c r="B6191">
        <v>85</v>
      </c>
      <c r="C6191" t="s">
        <v>2177</v>
      </c>
      <c r="D6191">
        <v>610</v>
      </c>
      <c r="E6191" t="s">
        <v>2171</v>
      </c>
      <c r="F6191">
        <v>1005</v>
      </c>
      <c r="G6191" t="s">
        <v>2177</v>
      </c>
      <c r="H6191">
        <v>2010</v>
      </c>
      <c r="I6191" t="s">
        <v>30</v>
      </c>
      <c r="J6191">
        <v>3010</v>
      </c>
      <c r="K6191" t="s">
        <v>30</v>
      </c>
      <c r="L6191">
        <v>4333</v>
      </c>
      <c r="M6191" t="s">
        <v>2191</v>
      </c>
      <c r="N6191" t="s">
        <v>2194</v>
      </c>
      <c r="O6191">
        <v>58</v>
      </c>
      <c r="P6191">
        <v>4209</v>
      </c>
      <c r="Q6191" t="s">
        <v>2195</v>
      </c>
      <c r="R6191" t="s">
        <v>201</v>
      </c>
      <c r="S6191">
        <v>2</v>
      </c>
      <c r="T6191">
        <v>1</v>
      </c>
      <c r="U6191">
        <v>97260</v>
      </c>
      <c r="V6191">
        <v>194520</v>
      </c>
    </row>
    <row r="6192" spans="1:22">
      <c r="A6192" t="s">
        <v>196</v>
      </c>
      <c r="B6192">
        <v>85</v>
      </c>
      <c r="C6192" t="s">
        <v>2177</v>
      </c>
      <c r="D6192">
        <v>610</v>
      </c>
      <c r="E6192" t="s">
        <v>2171</v>
      </c>
      <c r="F6192">
        <v>1005</v>
      </c>
      <c r="G6192" t="s">
        <v>2177</v>
      </c>
      <c r="H6192">
        <v>2010</v>
      </c>
      <c r="I6192" t="s">
        <v>30</v>
      </c>
      <c r="J6192">
        <v>3010</v>
      </c>
      <c r="K6192" t="s">
        <v>30</v>
      </c>
      <c r="L6192">
        <v>4333</v>
      </c>
      <c r="M6192" t="s">
        <v>2191</v>
      </c>
      <c r="N6192" t="s">
        <v>2194</v>
      </c>
      <c r="O6192">
        <v>58</v>
      </c>
      <c r="P6192">
        <v>4209</v>
      </c>
      <c r="Q6192" t="s">
        <v>2195</v>
      </c>
      <c r="R6192" t="s">
        <v>201</v>
      </c>
      <c r="S6192">
        <v>3</v>
      </c>
      <c r="T6192">
        <v>1</v>
      </c>
      <c r="U6192">
        <v>86556</v>
      </c>
      <c r="V6192">
        <v>259668</v>
      </c>
    </row>
    <row r="6193" spans="1:22">
      <c r="A6193" t="s">
        <v>196</v>
      </c>
      <c r="B6193">
        <v>85</v>
      </c>
      <c r="C6193" t="s">
        <v>2177</v>
      </c>
      <c r="D6193">
        <v>610</v>
      </c>
      <c r="E6193" t="s">
        <v>2171</v>
      </c>
      <c r="F6193">
        <v>1005</v>
      </c>
      <c r="G6193" t="s">
        <v>2177</v>
      </c>
      <c r="H6193">
        <v>2010</v>
      </c>
      <c r="I6193" t="s">
        <v>30</v>
      </c>
      <c r="J6193">
        <v>3010</v>
      </c>
      <c r="K6193" t="s">
        <v>30</v>
      </c>
      <c r="L6193">
        <v>4333</v>
      </c>
      <c r="M6193" t="s">
        <v>2191</v>
      </c>
      <c r="N6193" t="s">
        <v>2194</v>
      </c>
      <c r="O6193">
        <v>58</v>
      </c>
      <c r="P6193">
        <v>4209</v>
      </c>
      <c r="Q6193" t="s">
        <v>2195</v>
      </c>
      <c r="R6193" t="s">
        <v>201</v>
      </c>
      <c r="S6193">
        <v>2</v>
      </c>
      <c r="T6193">
        <v>1</v>
      </c>
      <c r="U6193">
        <v>82584</v>
      </c>
      <c r="V6193">
        <v>165168</v>
      </c>
    </row>
    <row r="6194" spans="1:22">
      <c r="A6194" t="s">
        <v>196</v>
      </c>
      <c r="B6194">
        <v>85</v>
      </c>
      <c r="C6194" t="s">
        <v>2177</v>
      </c>
      <c r="D6194">
        <v>610</v>
      </c>
      <c r="E6194" t="s">
        <v>2171</v>
      </c>
      <c r="F6194">
        <v>1005</v>
      </c>
      <c r="G6194" t="s">
        <v>2177</v>
      </c>
      <c r="H6194">
        <v>2010</v>
      </c>
      <c r="I6194" t="s">
        <v>30</v>
      </c>
      <c r="J6194">
        <v>3010</v>
      </c>
      <c r="K6194" t="s">
        <v>30</v>
      </c>
      <c r="L6194">
        <v>4333</v>
      </c>
      <c r="M6194" t="s">
        <v>2191</v>
      </c>
      <c r="N6194" t="s">
        <v>253</v>
      </c>
      <c r="O6194">
        <v>10</v>
      </c>
      <c r="P6194">
        <v>4208</v>
      </c>
      <c r="Q6194" t="s">
        <v>2196</v>
      </c>
      <c r="R6194" t="s">
        <v>201</v>
      </c>
      <c r="S6194">
        <v>1</v>
      </c>
      <c r="T6194">
        <v>1</v>
      </c>
      <c r="U6194">
        <v>136692</v>
      </c>
      <c r="V6194">
        <v>136692</v>
      </c>
    </row>
    <row r="6195" spans="1:22">
      <c r="A6195" t="s">
        <v>196</v>
      </c>
      <c r="B6195">
        <v>85</v>
      </c>
      <c r="C6195" t="s">
        <v>2177</v>
      </c>
      <c r="D6195">
        <v>610</v>
      </c>
      <c r="E6195" t="s">
        <v>2171</v>
      </c>
      <c r="F6195">
        <v>1005</v>
      </c>
      <c r="G6195" t="s">
        <v>2177</v>
      </c>
      <c r="H6195">
        <v>2010</v>
      </c>
      <c r="I6195" t="s">
        <v>30</v>
      </c>
      <c r="J6195">
        <v>3010</v>
      </c>
      <c r="K6195" t="s">
        <v>30</v>
      </c>
      <c r="L6195">
        <v>4333</v>
      </c>
      <c r="M6195" t="s">
        <v>2191</v>
      </c>
      <c r="N6195" t="s">
        <v>253</v>
      </c>
      <c r="O6195">
        <v>10</v>
      </c>
      <c r="P6195">
        <v>4208</v>
      </c>
      <c r="Q6195" t="s">
        <v>2196</v>
      </c>
      <c r="R6195" t="s">
        <v>201</v>
      </c>
      <c r="S6195">
        <v>1</v>
      </c>
      <c r="T6195">
        <v>1</v>
      </c>
      <c r="U6195">
        <v>97836</v>
      </c>
      <c r="V6195">
        <v>97836</v>
      </c>
    </row>
    <row r="6196" spans="1:22">
      <c r="A6196" t="s">
        <v>196</v>
      </c>
      <c r="B6196">
        <v>85</v>
      </c>
      <c r="C6196" t="s">
        <v>2177</v>
      </c>
      <c r="D6196">
        <v>610</v>
      </c>
      <c r="E6196" t="s">
        <v>2171</v>
      </c>
      <c r="F6196">
        <v>1005</v>
      </c>
      <c r="G6196" t="s">
        <v>2177</v>
      </c>
      <c r="H6196">
        <v>2010</v>
      </c>
      <c r="I6196" t="s">
        <v>30</v>
      </c>
      <c r="J6196">
        <v>3010</v>
      </c>
      <c r="K6196" t="s">
        <v>30</v>
      </c>
      <c r="L6196">
        <v>4333</v>
      </c>
      <c r="M6196" t="s">
        <v>2191</v>
      </c>
      <c r="N6196" t="s">
        <v>253</v>
      </c>
      <c r="O6196">
        <v>10</v>
      </c>
      <c r="P6196">
        <v>4208</v>
      </c>
      <c r="Q6196" t="s">
        <v>2196</v>
      </c>
      <c r="R6196" t="s">
        <v>201</v>
      </c>
      <c r="S6196">
        <v>1</v>
      </c>
      <c r="T6196">
        <v>1</v>
      </c>
      <c r="U6196">
        <v>93384</v>
      </c>
      <c r="V6196">
        <v>93384</v>
      </c>
    </row>
    <row r="6197" spans="1:22">
      <c r="A6197" t="s">
        <v>196</v>
      </c>
      <c r="B6197">
        <v>85</v>
      </c>
      <c r="C6197" t="s">
        <v>2177</v>
      </c>
      <c r="D6197">
        <v>610</v>
      </c>
      <c r="E6197" t="s">
        <v>2171</v>
      </c>
      <c r="F6197">
        <v>1005</v>
      </c>
      <c r="G6197" t="s">
        <v>2177</v>
      </c>
      <c r="H6197">
        <v>2010</v>
      </c>
      <c r="I6197" t="s">
        <v>30</v>
      </c>
      <c r="J6197">
        <v>3010</v>
      </c>
      <c r="K6197" t="s">
        <v>30</v>
      </c>
      <c r="L6197">
        <v>4333</v>
      </c>
      <c r="M6197" t="s">
        <v>2191</v>
      </c>
      <c r="N6197" t="s">
        <v>253</v>
      </c>
      <c r="O6197">
        <v>10</v>
      </c>
      <c r="P6197">
        <v>4208</v>
      </c>
      <c r="Q6197" t="s">
        <v>2196</v>
      </c>
      <c r="R6197" t="s">
        <v>201</v>
      </c>
      <c r="S6197">
        <v>2</v>
      </c>
      <c r="T6197">
        <v>1</v>
      </c>
      <c r="U6197">
        <v>85128</v>
      </c>
      <c r="V6197">
        <v>170256</v>
      </c>
    </row>
    <row r="6198" spans="1:22">
      <c r="A6198" t="s">
        <v>196</v>
      </c>
      <c r="B6198">
        <v>85</v>
      </c>
      <c r="C6198" t="s">
        <v>2177</v>
      </c>
      <c r="D6198">
        <v>610</v>
      </c>
      <c r="E6198" t="s">
        <v>2171</v>
      </c>
      <c r="F6198">
        <v>1005</v>
      </c>
      <c r="G6198" t="s">
        <v>2177</v>
      </c>
      <c r="H6198">
        <v>2010</v>
      </c>
      <c r="I6198" t="s">
        <v>30</v>
      </c>
      <c r="J6198">
        <v>3010</v>
      </c>
      <c r="K6198" t="s">
        <v>30</v>
      </c>
      <c r="L6198">
        <v>4333</v>
      </c>
      <c r="M6198" t="s">
        <v>2191</v>
      </c>
      <c r="N6198" t="s">
        <v>253</v>
      </c>
      <c r="O6198">
        <v>10</v>
      </c>
      <c r="P6198">
        <v>4208</v>
      </c>
      <c r="Q6198" t="s">
        <v>2196</v>
      </c>
      <c r="R6198" t="s">
        <v>201</v>
      </c>
      <c r="S6198">
        <v>2</v>
      </c>
      <c r="T6198">
        <v>1</v>
      </c>
      <c r="U6198">
        <v>83052</v>
      </c>
      <c r="V6198">
        <v>166104</v>
      </c>
    </row>
    <row r="6199" spans="1:22">
      <c r="A6199" t="s">
        <v>196</v>
      </c>
      <c r="B6199">
        <v>85</v>
      </c>
      <c r="C6199" t="s">
        <v>2177</v>
      </c>
      <c r="D6199">
        <v>610</v>
      </c>
      <c r="E6199" t="s">
        <v>2171</v>
      </c>
      <c r="F6199">
        <v>1005</v>
      </c>
      <c r="G6199" t="s">
        <v>2177</v>
      </c>
      <c r="H6199">
        <v>2010</v>
      </c>
      <c r="I6199" t="s">
        <v>30</v>
      </c>
      <c r="J6199">
        <v>3010</v>
      </c>
      <c r="K6199" t="s">
        <v>30</v>
      </c>
      <c r="L6199">
        <v>4333</v>
      </c>
      <c r="M6199" t="s">
        <v>2191</v>
      </c>
      <c r="N6199" t="s">
        <v>351</v>
      </c>
      <c r="O6199">
        <v>1</v>
      </c>
      <c r="P6199" t="s">
        <v>352</v>
      </c>
      <c r="Q6199" t="s">
        <v>353</v>
      </c>
      <c r="R6199" t="s">
        <v>201</v>
      </c>
      <c r="S6199">
        <v>1</v>
      </c>
      <c r="T6199">
        <v>1</v>
      </c>
      <c r="U6199">
        <v>103608</v>
      </c>
      <c r="V6199">
        <v>103608</v>
      </c>
    </row>
    <row r="6200" spans="1:22">
      <c r="A6200" t="s">
        <v>196</v>
      </c>
      <c r="B6200">
        <v>85</v>
      </c>
      <c r="C6200" t="s">
        <v>2177</v>
      </c>
      <c r="D6200">
        <v>610</v>
      </c>
      <c r="E6200" t="s">
        <v>2171</v>
      </c>
      <c r="F6200">
        <v>1005</v>
      </c>
      <c r="G6200" t="s">
        <v>2177</v>
      </c>
      <c r="H6200">
        <v>2010</v>
      </c>
      <c r="I6200" t="s">
        <v>30</v>
      </c>
      <c r="J6200">
        <v>3010</v>
      </c>
      <c r="K6200" t="s">
        <v>30</v>
      </c>
      <c r="L6200">
        <v>4333</v>
      </c>
      <c r="M6200" t="s">
        <v>2191</v>
      </c>
      <c r="N6200" t="s">
        <v>1314</v>
      </c>
      <c r="O6200">
        <v>0</v>
      </c>
      <c r="P6200" t="s">
        <v>1471</v>
      </c>
      <c r="Q6200" t="s">
        <v>605</v>
      </c>
      <c r="R6200" t="s">
        <v>201</v>
      </c>
      <c r="S6200">
        <v>1</v>
      </c>
      <c r="T6200">
        <v>1</v>
      </c>
      <c r="U6200">
        <v>160680</v>
      </c>
      <c r="V6200">
        <v>160680</v>
      </c>
    </row>
    <row r="6201" spans="1:22">
      <c r="A6201" t="s">
        <v>196</v>
      </c>
      <c r="B6201">
        <v>85</v>
      </c>
      <c r="C6201" t="s">
        <v>2177</v>
      </c>
      <c r="D6201">
        <v>610</v>
      </c>
      <c r="E6201" t="s">
        <v>2171</v>
      </c>
      <c r="F6201">
        <v>1005</v>
      </c>
      <c r="G6201" t="s">
        <v>2177</v>
      </c>
      <c r="H6201">
        <v>2010</v>
      </c>
      <c r="I6201" t="s">
        <v>30</v>
      </c>
      <c r="J6201">
        <v>3010</v>
      </c>
      <c r="K6201" t="s">
        <v>30</v>
      </c>
      <c r="L6201">
        <v>4333</v>
      </c>
      <c r="M6201" t="s">
        <v>2191</v>
      </c>
      <c r="N6201" t="s">
        <v>249</v>
      </c>
      <c r="O6201">
        <v>10</v>
      </c>
      <c r="P6201">
        <v>311</v>
      </c>
      <c r="Q6201" t="s">
        <v>661</v>
      </c>
      <c r="R6201" t="s">
        <v>201</v>
      </c>
      <c r="S6201">
        <v>1</v>
      </c>
      <c r="T6201">
        <v>1</v>
      </c>
      <c r="U6201">
        <v>107340</v>
      </c>
      <c r="V6201">
        <v>107340</v>
      </c>
    </row>
    <row r="6202" spans="1:22">
      <c r="A6202" t="s">
        <v>196</v>
      </c>
      <c r="B6202">
        <v>85</v>
      </c>
      <c r="C6202" t="s">
        <v>2177</v>
      </c>
      <c r="D6202">
        <v>610</v>
      </c>
      <c r="E6202" t="s">
        <v>2171</v>
      </c>
      <c r="F6202">
        <v>1005</v>
      </c>
      <c r="G6202" t="s">
        <v>2177</v>
      </c>
      <c r="H6202">
        <v>2010</v>
      </c>
      <c r="I6202" t="s">
        <v>30</v>
      </c>
      <c r="J6202">
        <v>3010</v>
      </c>
      <c r="K6202" t="s">
        <v>30</v>
      </c>
      <c r="L6202">
        <v>4333</v>
      </c>
      <c r="M6202" t="s">
        <v>2191</v>
      </c>
      <c r="N6202" t="s">
        <v>199</v>
      </c>
      <c r="O6202">
        <v>0</v>
      </c>
      <c r="P6202">
        <v>15</v>
      </c>
      <c r="Q6202" t="s">
        <v>264</v>
      </c>
      <c r="R6202" t="s">
        <v>201</v>
      </c>
      <c r="S6202">
        <v>0</v>
      </c>
      <c r="T6202">
        <v>0</v>
      </c>
      <c r="U6202">
        <v>87123</v>
      </c>
      <c r="V6202">
        <v>87123</v>
      </c>
    </row>
    <row r="6203" spans="1:22">
      <c r="A6203" t="s">
        <v>196</v>
      </c>
      <c r="B6203">
        <v>85</v>
      </c>
      <c r="C6203" t="s">
        <v>2177</v>
      </c>
      <c r="D6203">
        <v>610</v>
      </c>
      <c r="E6203" t="s">
        <v>2171</v>
      </c>
      <c r="F6203">
        <v>1005</v>
      </c>
      <c r="G6203" t="s">
        <v>2177</v>
      </c>
      <c r="H6203">
        <v>2010</v>
      </c>
      <c r="I6203" t="s">
        <v>30</v>
      </c>
      <c r="J6203">
        <v>3010</v>
      </c>
      <c r="K6203" t="s">
        <v>30</v>
      </c>
      <c r="L6203">
        <v>4335</v>
      </c>
      <c r="M6203" t="s">
        <v>2197</v>
      </c>
      <c r="N6203" t="s">
        <v>351</v>
      </c>
      <c r="O6203">
        <v>1</v>
      </c>
      <c r="P6203" t="s">
        <v>352</v>
      </c>
      <c r="Q6203" t="s">
        <v>353</v>
      </c>
      <c r="R6203" t="s">
        <v>201</v>
      </c>
      <c r="S6203">
        <v>1</v>
      </c>
      <c r="T6203">
        <v>1</v>
      </c>
      <c r="U6203">
        <v>74172</v>
      </c>
      <c r="V6203">
        <v>74172</v>
      </c>
    </row>
    <row r="6204" spans="1:22">
      <c r="A6204" t="s">
        <v>196</v>
      </c>
      <c r="B6204">
        <v>85</v>
      </c>
      <c r="C6204" t="s">
        <v>2177</v>
      </c>
      <c r="D6204">
        <v>610</v>
      </c>
      <c r="E6204" t="s">
        <v>2171</v>
      </c>
      <c r="F6204">
        <v>1005</v>
      </c>
      <c r="G6204" t="s">
        <v>2177</v>
      </c>
      <c r="H6204">
        <v>2010</v>
      </c>
      <c r="I6204" t="s">
        <v>30</v>
      </c>
      <c r="J6204">
        <v>3010</v>
      </c>
      <c r="K6204" t="s">
        <v>30</v>
      </c>
      <c r="L6204">
        <v>4335</v>
      </c>
      <c r="M6204" t="s">
        <v>2197</v>
      </c>
      <c r="N6204" t="s">
        <v>351</v>
      </c>
      <c r="O6204">
        <v>1</v>
      </c>
      <c r="P6204" t="s">
        <v>352</v>
      </c>
      <c r="Q6204" t="s">
        <v>353</v>
      </c>
      <c r="R6204" t="s">
        <v>201</v>
      </c>
      <c r="S6204">
        <v>1</v>
      </c>
      <c r="T6204">
        <v>1</v>
      </c>
      <c r="U6204">
        <v>62544</v>
      </c>
      <c r="V6204">
        <v>62544</v>
      </c>
    </row>
    <row r="6205" spans="1:22">
      <c r="A6205" t="s">
        <v>196</v>
      </c>
      <c r="B6205">
        <v>85</v>
      </c>
      <c r="C6205" t="s">
        <v>2177</v>
      </c>
      <c r="D6205">
        <v>610</v>
      </c>
      <c r="E6205" t="s">
        <v>2171</v>
      </c>
      <c r="F6205">
        <v>1005</v>
      </c>
      <c r="G6205" t="s">
        <v>2177</v>
      </c>
      <c r="H6205">
        <v>2010</v>
      </c>
      <c r="I6205" t="s">
        <v>30</v>
      </c>
      <c r="J6205">
        <v>3010</v>
      </c>
      <c r="K6205" t="s">
        <v>30</v>
      </c>
      <c r="L6205">
        <v>4335</v>
      </c>
      <c r="M6205" t="s">
        <v>2197</v>
      </c>
      <c r="N6205" t="s">
        <v>622</v>
      </c>
      <c r="O6205">
        <v>1</v>
      </c>
      <c r="P6205" t="s">
        <v>667</v>
      </c>
      <c r="Q6205" t="s">
        <v>205</v>
      </c>
      <c r="R6205" t="s">
        <v>201</v>
      </c>
      <c r="S6205">
        <v>1</v>
      </c>
      <c r="T6205">
        <v>1</v>
      </c>
      <c r="U6205">
        <v>90144</v>
      </c>
      <c r="V6205">
        <v>90144</v>
      </c>
    </row>
    <row r="6206" spans="1:22">
      <c r="A6206" t="s">
        <v>196</v>
      </c>
      <c r="B6206">
        <v>85</v>
      </c>
      <c r="C6206" t="s">
        <v>2177</v>
      </c>
      <c r="D6206">
        <v>610</v>
      </c>
      <c r="E6206" t="s">
        <v>2171</v>
      </c>
      <c r="F6206">
        <v>1005</v>
      </c>
      <c r="G6206" t="s">
        <v>2177</v>
      </c>
      <c r="H6206">
        <v>2010</v>
      </c>
      <c r="I6206" t="s">
        <v>30</v>
      </c>
      <c r="J6206">
        <v>3010</v>
      </c>
      <c r="K6206" t="s">
        <v>30</v>
      </c>
      <c r="L6206">
        <v>4335</v>
      </c>
      <c r="M6206" t="s">
        <v>2197</v>
      </c>
      <c r="N6206" t="s">
        <v>622</v>
      </c>
      <c r="O6206">
        <v>1</v>
      </c>
      <c r="P6206" t="s">
        <v>667</v>
      </c>
      <c r="Q6206" t="s">
        <v>205</v>
      </c>
      <c r="R6206" t="s">
        <v>201</v>
      </c>
      <c r="S6206">
        <v>1</v>
      </c>
      <c r="T6206">
        <v>1</v>
      </c>
      <c r="U6206">
        <v>82140</v>
      </c>
      <c r="V6206">
        <v>82140</v>
      </c>
    </row>
    <row r="6207" spans="1:22">
      <c r="A6207" t="s">
        <v>196</v>
      </c>
      <c r="B6207">
        <v>85</v>
      </c>
      <c r="C6207" t="s">
        <v>2177</v>
      </c>
      <c r="D6207">
        <v>610</v>
      </c>
      <c r="E6207" t="s">
        <v>2171</v>
      </c>
      <c r="F6207">
        <v>1005</v>
      </c>
      <c r="G6207" t="s">
        <v>2177</v>
      </c>
      <c r="H6207">
        <v>2010</v>
      </c>
      <c r="I6207" t="s">
        <v>30</v>
      </c>
      <c r="J6207">
        <v>3010</v>
      </c>
      <c r="K6207" t="s">
        <v>30</v>
      </c>
      <c r="L6207">
        <v>4335</v>
      </c>
      <c r="M6207" t="s">
        <v>2197</v>
      </c>
      <c r="N6207" t="s">
        <v>622</v>
      </c>
      <c r="O6207">
        <v>1</v>
      </c>
      <c r="P6207" t="s">
        <v>667</v>
      </c>
      <c r="Q6207" t="s">
        <v>205</v>
      </c>
      <c r="R6207" t="s">
        <v>201</v>
      </c>
      <c r="S6207">
        <v>1</v>
      </c>
      <c r="T6207">
        <v>1</v>
      </c>
      <c r="U6207">
        <v>64488</v>
      </c>
      <c r="V6207">
        <v>64488</v>
      </c>
    </row>
    <row r="6208" spans="1:22">
      <c r="A6208" t="s">
        <v>196</v>
      </c>
      <c r="B6208">
        <v>85</v>
      </c>
      <c r="C6208" t="s">
        <v>2177</v>
      </c>
      <c r="D6208">
        <v>610</v>
      </c>
      <c r="E6208" t="s">
        <v>2171</v>
      </c>
      <c r="F6208">
        <v>1005</v>
      </c>
      <c r="G6208" t="s">
        <v>2177</v>
      </c>
      <c r="H6208">
        <v>2010</v>
      </c>
      <c r="I6208" t="s">
        <v>30</v>
      </c>
      <c r="J6208">
        <v>3010</v>
      </c>
      <c r="K6208" t="s">
        <v>30</v>
      </c>
      <c r="L6208">
        <v>4335</v>
      </c>
      <c r="M6208" t="s">
        <v>2197</v>
      </c>
      <c r="N6208" t="s">
        <v>622</v>
      </c>
      <c r="O6208">
        <v>1</v>
      </c>
      <c r="P6208" t="s">
        <v>667</v>
      </c>
      <c r="Q6208" t="s">
        <v>205</v>
      </c>
      <c r="R6208" t="s">
        <v>201</v>
      </c>
      <c r="S6208">
        <v>1</v>
      </c>
      <c r="T6208">
        <v>1</v>
      </c>
      <c r="U6208">
        <v>58764</v>
      </c>
      <c r="V6208">
        <v>58764</v>
      </c>
    </row>
    <row r="6209" spans="1:22">
      <c r="A6209" t="s">
        <v>196</v>
      </c>
      <c r="B6209">
        <v>85</v>
      </c>
      <c r="C6209" t="s">
        <v>2177</v>
      </c>
      <c r="D6209">
        <v>610</v>
      </c>
      <c r="E6209" t="s">
        <v>2171</v>
      </c>
      <c r="F6209">
        <v>1005</v>
      </c>
      <c r="G6209" t="s">
        <v>2177</v>
      </c>
      <c r="H6209">
        <v>2010</v>
      </c>
      <c r="I6209" t="s">
        <v>30</v>
      </c>
      <c r="J6209">
        <v>3010</v>
      </c>
      <c r="K6209" t="s">
        <v>30</v>
      </c>
      <c r="L6209">
        <v>4335</v>
      </c>
      <c r="M6209" t="s">
        <v>2197</v>
      </c>
      <c r="N6209" t="s">
        <v>622</v>
      </c>
      <c r="O6209">
        <v>1</v>
      </c>
      <c r="P6209" t="s">
        <v>667</v>
      </c>
      <c r="Q6209" t="s">
        <v>205</v>
      </c>
      <c r="R6209" t="s">
        <v>201</v>
      </c>
      <c r="S6209">
        <v>1</v>
      </c>
      <c r="T6209">
        <v>1</v>
      </c>
      <c r="U6209">
        <v>51936</v>
      </c>
      <c r="V6209">
        <v>51936</v>
      </c>
    </row>
    <row r="6210" spans="1:22">
      <c r="A6210" t="s">
        <v>196</v>
      </c>
      <c r="B6210">
        <v>85</v>
      </c>
      <c r="C6210" t="s">
        <v>2177</v>
      </c>
      <c r="D6210">
        <v>610</v>
      </c>
      <c r="E6210" t="s">
        <v>2171</v>
      </c>
      <c r="F6210">
        <v>1005</v>
      </c>
      <c r="G6210" t="s">
        <v>2177</v>
      </c>
      <c r="H6210">
        <v>2010</v>
      </c>
      <c r="I6210" t="s">
        <v>30</v>
      </c>
      <c r="J6210">
        <v>3010</v>
      </c>
      <c r="K6210" t="s">
        <v>30</v>
      </c>
      <c r="L6210">
        <v>4335</v>
      </c>
      <c r="M6210" t="s">
        <v>2197</v>
      </c>
      <c r="N6210" t="s">
        <v>251</v>
      </c>
      <c r="O6210">
        <v>10</v>
      </c>
      <c r="P6210">
        <v>375</v>
      </c>
      <c r="Q6210" t="s">
        <v>2198</v>
      </c>
      <c r="R6210" t="s">
        <v>201</v>
      </c>
      <c r="S6210">
        <v>1</v>
      </c>
      <c r="T6210">
        <v>1</v>
      </c>
      <c r="U6210">
        <v>85128</v>
      </c>
      <c r="V6210">
        <v>85128</v>
      </c>
    </row>
    <row r="6211" spans="1:22">
      <c r="A6211" t="s">
        <v>196</v>
      </c>
      <c r="B6211">
        <v>85</v>
      </c>
      <c r="C6211" t="s">
        <v>2177</v>
      </c>
      <c r="D6211">
        <v>610</v>
      </c>
      <c r="E6211" t="s">
        <v>2171</v>
      </c>
      <c r="F6211">
        <v>1005</v>
      </c>
      <c r="G6211" t="s">
        <v>2177</v>
      </c>
      <c r="H6211">
        <v>2010</v>
      </c>
      <c r="I6211" t="s">
        <v>30</v>
      </c>
      <c r="J6211">
        <v>3010</v>
      </c>
      <c r="K6211" t="s">
        <v>30</v>
      </c>
      <c r="L6211">
        <v>4335</v>
      </c>
      <c r="M6211" t="s">
        <v>2197</v>
      </c>
      <c r="N6211" t="s">
        <v>199</v>
      </c>
      <c r="O6211">
        <v>0</v>
      </c>
      <c r="P6211">
        <v>15</v>
      </c>
      <c r="Q6211" t="s">
        <v>264</v>
      </c>
      <c r="R6211" t="s">
        <v>201</v>
      </c>
      <c r="S6211">
        <v>0</v>
      </c>
      <c r="T6211">
        <v>0</v>
      </c>
      <c r="U6211">
        <v>4810</v>
      </c>
      <c r="V6211">
        <v>4810</v>
      </c>
    </row>
    <row r="6212" spans="1:22">
      <c r="A6212" t="s">
        <v>196</v>
      </c>
      <c r="B6212">
        <v>85</v>
      </c>
      <c r="C6212" t="s">
        <v>2177</v>
      </c>
      <c r="D6212">
        <v>610</v>
      </c>
      <c r="E6212" t="s">
        <v>2171</v>
      </c>
      <c r="F6212">
        <v>1005</v>
      </c>
      <c r="G6212" t="s">
        <v>2177</v>
      </c>
      <c r="H6212">
        <v>2010</v>
      </c>
      <c r="I6212" t="s">
        <v>30</v>
      </c>
      <c r="J6212">
        <v>3010</v>
      </c>
      <c r="K6212" t="s">
        <v>30</v>
      </c>
      <c r="L6212">
        <v>4338</v>
      </c>
      <c r="M6212" t="s">
        <v>2199</v>
      </c>
      <c r="N6212" t="s">
        <v>2140</v>
      </c>
      <c r="O6212">
        <v>2</v>
      </c>
      <c r="P6212">
        <v>7009</v>
      </c>
      <c r="Q6212" t="s">
        <v>2200</v>
      </c>
      <c r="R6212" t="s">
        <v>201</v>
      </c>
      <c r="S6212">
        <v>1</v>
      </c>
      <c r="T6212">
        <v>1</v>
      </c>
      <c r="U6212">
        <v>114636</v>
      </c>
      <c r="V6212">
        <v>114636</v>
      </c>
    </row>
    <row r="6213" spans="1:22">
      <c r="A6213" t="s">
        <v>196</v>
      </c>
      <c r="B6213">
        <v>85</v>
      </c>
      <c r="C6213" t="s">
        <v>2177</v>
      </c>
      <c r="D6213">
        <v>610</v>
      </c>
      <c r="E6213" t="s">
        <v>2171</v>
      </c>
      <c r="F6213">
        <v>1005</v>
      </c>
      <c r="G6213" t="s">
        <v>2177</v>
      </c>
      <c r="H6213">
        <v>2010</v>
      </c>
      <c r="I6213" t="s">
        <v>30</v>
      </c>
      <c r="J6213">
        <v>3010</v>
      </c>
      <c r="K6213" t="s">
        <v>30</v>
      </c>
      <c r="L6213">
        <v>4338</v>
      </c>
      <c r="M6213" t="s">
        <v>2199</v>
      </c>
      <c r="N6213" t="s">
        <v>253</v>
      </c>
      <c r="O6213">
        <v>10</v>
      </c>
      <c r="P6213">
        <v>7004</v>
      </c>
      <c r="Q6213" t="s">
        <v>2201</v>
      </c>
      <c r="R6213" t="s">
        <v>201</v>
      </c>
      <c r="S6213">
        <v>1</v>
      </c>
      <c r="T6213">
        <v>1</v>
      </c>
      <c r="U6213">
        <v>103488</v>
      </c>
      <c r="V6213">
        <v>103488</v>
      </c>
    </row>
    <row r="6214" spans="1:22">
      <c r="A6214" t="s">
        <v>196</v>
      </c>
      <c r="B6214">
        <v>85</v>
      </c>
      <c r="C6214" t="s">
        <v>2177</v>
      </c>
      <c r="D6214">
        <v>610</v>
      </c>
      <c r="E6214" t="s">
        <v>2171</v>
      </c>
      <c r="F6214">
        <v>1005</v>
      </c>
      <c r="G6214" t="s">
        <v>2177</v>
      </c>
      <c r="H6214">
        <v>2010</v>
      </c>
      <c r="I6214" t="s">
        <v>30</v>
      </c>
      <c r="J6214">
        <v>3010</v>
      </c>
      <c r="K6214" t="s">
        <v>30</v>
      </c>
      <c r="L6214">
        <v>4338</v>
      </c>
      <c r="M6214" t="s">
        <v>2199</v>
      </c>
      <c r="N6214" t="s">
        <v>1450</v>
      </c>
      <c r="O6214">
        <v>2</v>
      </c>
      <c r="P6214">
        <v>7003</v>
      </c>
      <c r="Q6214" t="s">
        <v>2202</v>
      </c>
      <c r="R6214" t="s">
        <v>201</v>
      </c>
      <c r="S6214">
        <v>1</v>
      </c>
      <c r="T6214">
        <v>1</v>
      </c>
      <c r="U6214">
        <v>120024</v>
      </c>
      <c r="V6214">
        <v>120024</v>
      </c>
    </row>
    <row r="6215" spans="1:22">
      <c r="A6215" t="s">
        <v>196</v>
      </c>
      <c r="B6215">
        <v>85</v>
      </c>
      <c r="C6215" t="s">
        <v>2177</v>
      </c>
      <c r="D6215">
        <v>610</v>
      </c>
      <c r="E6215" t="s">
        <v>2171</v>
      </c>
      <c r="F6215">
        <v>1005</v>
      </c>
      <c r="G6215" t="s">
        <v>2177</v>
      </c>
      <c r="H6215">
        <v>2010</v>
      </c>
      <c r="I6215" t="s">
        <v>30</v>
      </c>
      <c r="J6215">
        <v>3010</v>
      </c>
      <c r="K6215" t="s">
        <v>30</v>
      </c>
      <c r="L6215">
        <v>4338</v>
      </c>
      <c r="M6215" t="s">
        <v>2199</v>
      </c>
      <c r="N6215" t="s">
        <v>1450</v>
      </c>
      <c r="O6215">
        <v>2</v>
      </c>
      <c r="P6215">
        <v>7003</v>
      </c>
      <c r="Q6215" t="s">
        <v>2202</v>
      </c>
      <c r="R6215" t="s">
        <v>201</v>
      </c>
      <c r="S6215">
        <v>1</v>
      </c>
      <c r="T6215">
        <v>1</v>
      </c>
      <c r="U6215">
        <v>109404</v>
      </c>
      <c r="V6215">
        <v>109404</v>
      </c>
    </row>
    <row r="6216" spans="1:22">
      <c r="A6216" t="s">
        <v>196</v>
      </c>
      <c r="B6216">
        <v>85</v>
      </c>
      <c r="C6216" t="s">
        <v>2177</v>
      </c>
      <c r="D6216">
        <v>610</v>
      </c>
      <c r="E6216" t="s">
        <v>2171</v>
      </c>
      <c r="F6216">
        <v>1005</v>
      </c>
      <c r="G6216" t="s">
        <v>2177</v>
      </c>
      <c r="H6216">
        <v>2010</v>
      </c>
      <c r="I6216" t="s">
        <v>30</v>
      </c>
      <c r="J6216">
        <v>3010</v>
      </c>
      <c r="K6216" t="s">
        <v>30</v>
      </c>
      <c r="L6216">
        <v>4338</v>
      </c>
      <c r="M6216" t="s">
        <v>2199</v>
      </c>
      <c r="N6216" t="s">
        <v>1450</v>
      </c>
      <c r="O6216">
        <v>2</v>
      </c>
      <c r="P6216">
        <v>7003</v>
      </c>
      <c r="Q6216" t="s">
        <v>2202</v>
      </c>
      <c r="R6216" t="s">
        <v>201</v>
      </c>
      <c r="S6216">
        <v>2</v>
      </c>
      <c r="T6216">
        <v>1</v>
      </c>
      <c r="U6216">
        <v>104376</v>
      </c>
      <c r="V6216">
        <v>208752</v>
      </c>
    </row>
    <row r="6217" spans="1:22">
      <c r="A6217" t="s">
        <v>196</v>
      </c>
      <c r="B6217">
        <v>85</v>
      </c>
      <c r="C6217" t="s">
        <v>2177</v>
      </c>
      <c r="D6217">
        <v>610</v>
      </c>
      <c r="E6217" t="s">
        <v>2171</v>
      </c>
      <c r="F6217">
        <v>1005</v>
      </c>
      <c r="G6217" t="s">
        <v>2177</v>
      </c>
      <c r="H6217">
        <v>2010</v>
      </c>
      <c r="I6217" t="s">
        <v>30</v>
      </c>
      <c r="J6217">
        <v>3010</v>
      </c>
      <c r="K6217" t="s">
        <v>30</v>
      </c>
      <c r="L6217">
        <v>4338</v>
      </c>
      <c r="M6217" t="s">
        <v>2199</v>
      </c>
      <c r="N6217" t="s">
        <v>1450</v>
      </c>
      <c r="O6217">
        <v>2</v>
      </c>
      <c r="P6217">
        <v>7003</v>
      </c>
      <c r="Q6217" t="s">
        <v>2202</v>
      </c>
      <c r="R6217" t="s">
        <v>201</v>
      </c>
      <c r="S6217">
        <v>4</v>
      </c>
      <c r="T6217">
        <v>1</v>
      </c>
      <c r="U6217">
        <v>86772</v>
      </c>
      <c r="V6217">
        <v>347088</v>
      </c>
    </row>
    <row r="6218" spans="1:22">
      <c r="A6218" t="s">
        <v>196</v>
      </c>
      <c r="B6218">
        <v>85</v>
      </c>
      <c r="C6218" t="s">
        <v>2177</v>
      </c>
      <c r="D6218">
        <v>610</v>
      </c>
      <c r="E6218" t="s">
        <v>2171</v>
      </c>
      <c r="F6218">
        <v>1005</v>
      </c>
      <c r="G6218" t="s">
        <v>2177</v>
      </c>
      <c r="H6218">
        <v>2010</v>
      </c>
      <c r="I6218" t="s">
        <v>30</v>
      </c>
      <c r="J6218">
        <v>3010</v>
      </c>
      <c r="K6218" t="s">
        <v>30</v>
      </c>
      <c r="L6218">
        <v>4338</v>
      </c>
      <c r="M6218" t="s">
        <v>2199</v>
      </c>
      <c r="N6218" t="s">
        <v>1450</v>
      </c>
      <c r="O6218">
        <v>2</v>
      </c>
      <c r="P6218">
        <v>7003</v>
      </c>
      <c r="Q6218" t="s">
        <v>2202</v>
      </c>
      <c r="R6218" t="s">
        <v>201</v>
      </c>
      <c r="S6218">
        <v>5</v>
      </c>
      <c r="T6218">
        <v>1</v>
      </c>
      <c r="U6218">
        <v>77988</v>
      </c>
      <c r="V6218">
        <v>389940</v>
      </c>
    </row>
    <row r="6219" spans="1:22">
      <c r="A6219" t="s">
        <v>196</v>
      </c>
      <c r="B6219">
        <v>85</v>
      </c>
      <c r="C6219" t="s">
        <v>2177</v>
      </c>
      <c r="D6219">
        <v>610</v>
      </c>
      <c r="E6219" t="s">
        <v>2171</v>
      </c>
      <c r="F6219">
        <v>1005</v>
      </c>
      <c r="G6219" t="s">
        <v>2177</v>
      </c>
      <c r="H6219">
        <v>2010</v>
      </c>
      <c r="I6219" t="s">
        <v>30</v>
      </c>
      <c r="J6219">
        <v>3010</v>
      </c>
      <c r="K6219" t="s">
        <v>30</v>
      </c>
      <c r="L6219">
        <v>4338</v>
      </c>
      <c r="M6219" t="s">
        <v>2199</v>
      </c>
      <c r="N6219" t="s">
        <v>1450</v>
      </c>
      <c r="O6219">
        <v>2</v>
      </c>
      <c r="P6219">
        <v>7003</v>
      </c>
      <c r="Q6219" t="s">
        <v>2202</v>
      </c>
      <c r="R6219" t="s">
        <v>201</v>
      </c>
      <c r="S6219">
        <v>2</v>
      </c>
      <c r="T6219">
        <v>1</v>
      </c>
      <c r="U6219">
        <v>71076</v>
      </c>
      <c r="V6219">
        <v>142152</v>
      </c>
    </row>
    <row r="6220" spans="1:22">
      <c r="A6220" t="s">
        <v>196</v>
      </c>
      <c r="B6220">
        <v>85</v>
      </c>
      <c r="C6220" t="s">
        <v>2177</v>
      </c>
      <c r="D6220">
        <v>610</v>
      </c>
      <c r="E6220" t="s">
        <v>2171</v>
      </c>
      <c r="F6220">
        <v>1005</v>
      </c>
      <c r="G6220" t="s">
        <v>2177</v>
      </c>
      <c r="H6220">
        <v>2010</v>
      </c>
      <c r="I6220" t="s">
        <v>30</v>
      </c>
      <c r="J6220">
        <v>3010</v>
      </c>
      <c r="K6220" t="s">
        <v>30</v>
      </c>
      <c r="L6220">
        <v>4338</v>
      </c>
      <c r="M6220" t="s">
        <v>2199</v>
      </c>
      <c r="N6220" t="s">
        <v>1450</v>
      </c>
      <c r="O6220">
        <v>2</v>
      </c>
      <c r="P6220">
        <v>7003</v>
      </c>
      <c r="Q6220" t="s">
        <v>2202</v>
      </c>
      <c r="R6220" t="s">
        <v>201</v>
      </c>
      <c r="S6220">
        <v>6</v>
      </c>
      <c r="T6220">
        <v>1</v>
      </c>
      <c r="U6220">
        <v>67884</v>
      </c>
      <c r="V6220">
        <v>407304</v>
      </c>
    </row>
    <row r="6221" spans="1:22">
      <c r="A6221" t="s">
        <v>196</v>
      </c>
      <c r="B6221">
        <v>85</v>
      </c>
      <c r="C6221" t="s">
        <v>2177</v>
      </c>
      <c r="D6221">
        <v>610</v>
      </c>
      <c r="E6221" t="s">
        <v>2171</v>
      </c>
      <c r="F6221">
        <v>1005</v>
      </c>
      <c r="G6221" t="s">
        <v>2177</v>
      </c>
      <c r="H6221">
        <v>2010</v>
      </c>
      <c r="I6221" t="s">
        <v>30</v>
      </c>
      <c r="J6221">
        <v>3010</v>
      </c>
      <c r="K6221" t="s">
        <v>30</v>
      </c>
      <c r="L6221">
        <v>4338</v>
      </c>
      <c r="M6221" t="s">
        <v>2199</v>
      </c>
      <c r="N6221" t="s">
        <v>2203</v>
      </c>
      <c r="O6221">
        <v>59</v>
      </c>
      <c r="P6221">
        <v>7002</v>
      </c>
      <c r="Q6221" t="s">
        <v>2204</v>
      </c>
      <c r="R6221" t="s">
        <v>201</v>
      </c>
      <c r="S6221">
        <v>1</v>
      </c>
      <c r="T6221">
        <v>1</v>
      </c>
      <c r="U6221">
        <v>116952</v>
      </c>
      <c r="V6221">
        <v>116952</v>
      </c>
    </row>
    <row r="6222" spans="1:22">
      <c r="A6222" t="s">
        <v>196</v>
      </c>
      <c r="B6222">
        <v>85</v>
      </c>
      <c r="C6222" t="s">
        <v>2177</v>
      </c>
      <c r="D6222">
        <v>610</v>
      </c>
      <c r="E6222" t="s">
        <v>2171</v>
      </c>
      <c r="F6222">
        <v>1005</v>
      </c>
      <c r="G6222" t="s">
        <v>2177</v>
      </c>
      <c r="H6222">
        <v>2010</v>
      </c>
      <c r="I6222" t="s">
        <v>30</v>
      </c>
      <c r="J6222">
        <v>3010</v>
      </c>
      <c r="K6222" t="s">
        <v>30</v>
      </c>
      <c r="L6222">
        <v>4338</v>
      </c>
      <c r="M6222" t="s">
        <v>2199</v>
      </c>
      <c r="N6222" t="s">
        <v>2203</v>
      </c>
      <c r="O6222">
        <v>59</v>
      </c>
      <c r="P6222">
        <v>7002</v>
      </c>
      <c r="Q6222" t="s">
        <v>2204</v>
      </c>
      <c r="R6222" t="s">
        <v>201</v>
      </c>
      <c r="S6222">
        <v>1</v>
      </c>
      <c r="T6222">
        <v>1</v>
      </c>
      <c r="U6222">
        <v>106572</v>
      </c>
      <c r="V6222">
        <v>106572</v>
      </c>
    </row>
    <row r="6223" spans="1:22">
      <c r="A6223" t="s">
        <v>196</v>
      </c>
      <c r="B6223">
        <v>85</v>
      </c>
      <c r="C6223" t="s">
        <v>2177</v>
      </c>
      <c r="D6223">
        <v>610</v>
      </c>
      <c r="E6223" t="s">
        <v>2171</v>
      </c>
      <c r="F6223">
        <v>1005</v>
      </c>
      <c r="G6223" t="s">
        <v>2177</v>
      </c>
      <c r="H6223">
        <v>2010</v>
      </c>
      <c r="I6223" t="s">
        <v>30</v>
      </c>
      <c r="J6223">
        <v>3010</v>
      </c>
      <c r="K6223" t="s">
        <v>30</v>
      </c>
      <c r="L6223">
        <v>4338</v>
      </c>
      <c r="M6223" t="s">
        <v>2199</v>
      </c>
      <c r="N6223" t="s">
        <v>2203</v>
      </c>
      <c r="O6223">
        <v>59</v>
      </c>
      <c r="P6223">
        <v>7002</v>
      </c>
      <c r="Q6223" t="s">
        <v>2204</v>
      </c>
      <c r="R6223" t="s">
        <v>201</v>
      </c>
      <c r="S6223">
        <v>1</v>
      </c>
      <c r="T6223">
        <v>1</v>
      </c>
      <c r="U6223">
        <v>92700</v>
      </c>
      <c r="V6223">
        <v>92700</v>
      </c>
    </row>
    <row r="6224" spans="1:22">
      <c r="A6224" t="s">
        <v>196</v>
      </c>
      <c r="B6224">
        <v>85</v>
      </c>
      <c r="C6224" t="s">
        <v>2177</v>
      </c>
      <c r="D6224">
        <v>610</v>
      </c>
      <c r="E6224" t="s">
        <v>2171</v>
      </c>
      <c r="F6224">
        <v>1005</v>
      </c>
      <c r="G6224" t="s">
        <v>2177</v>
      </c>
      <c r="H6224">
        <v>2010</v>
      </c>
      <c r="I6224" t="s">
        <v>30</v>
      </c>
      <c r="J6224">
        <v>3010</v>
      </c>
      <c r="K6224" t="s">
        <v>30</v>
      </c>
      <c r="L6224">
        <v>4338</v>
      </c>
      <c r="M6224" t="s">
        <v>2199</v>
      </c>
      <c r="N6224" t="s">
        <v>2203</v>
      </c>
      <c r="O6224">
        <v>59</v>
      </c>
      <c r="P6224">
        <v>7002</v>
      </c>
      <c r="Q6224" t="s">
        <v>2204</v>
      </c>
      <c r="R6224" t="s">
        <v>201</v>
      </c>
      <c r="S6224">
        <v>1</v>
      </c>
      <c r="T6224">
        <v>1</v>
      </c>
      <c r="U6224">
        <v>82464</v>
      </c>
      <c r="V6224">
        <v>82464</v>
      </c>
    </row>
    <row r="6225" spans="1:22">
      <c r="A6225" t="s">
        <v>196</v>
      </c>
      <c r="B6225">
        <v>85</v>
      </c>
      <c r="C6225" t="s">
        <v>2177</v>
      </c>
      <c r="D6225">
        <v>610</v>
      </c>
      <c r="E6225" t="s">
        <v>2171</v>
      </c>
      <c r="F6225">
        <v>1005</v>
      </c>
      <c r="G6225" t="s">
        <v>2177</v>
      </c>
      <c r="H6225">
        <v>2010</v>
      </c>
      <c r="I6225" t="s">
        <v>30</v>
      </c>
      <c r="J6225">
        <v>3010</v>
      </c>
      <c r="K6225" t="s">
        <v>30</v>
      </c>
      <c r="L6225">
        <v>4338</v>
      </c>
      <c r="M6225" t="s">
        <v>2199</v>
      </c>
      <c r="N6225" t="s">
        <v>2203</v>
      </c>
      <c r="O6225">
        <v>59</v>
      </c>
      <c r="P6225">
        <v>7002</v>
      </c>
      <c r="Q6225" t="s">
        <v>2204</v>
      </c>
      <c r="R6225" t="s">
        <v>201</v>
      </c>
      <c r="S6225">
        <v>2</v>
      </c>
      <c r="T6225">
        <v>1</v>
      </c>
      <c r="U6225">
        <v>75168</v>
      </c>
      <c r="V6225">
        <v>150336</v>
      </c>
    </row>
    <row r="6226" spans="1:22">
      <c r="A6226" t="s">
        <v>196</v>
      </c>
      <c r="B6226">
        <v>85</v>
      </c>
      <c r="C6226" t="s">
        <v>2177</v>
      </c>
      <c r="D6226">
        <v>610</v>
      </c>
      <c r="E6226" t="s">
        <v>2171</v>
      </c>
      <c r="F6226">
        <v>1005</v>
      </c>
      <c r="G6226" t="s">
        <v>2177</v>
      </c>
      <c r="H6226">
        <v>2010</v>
      </c>
      <c r="I6226" t="s">
        <v>30</v>
      </c>
      <c r="J6226">
        <v>3010</v>
      </c>
      <c r="K6226" t="s">
        <v>30</v>
      </c>
      <c r="L6226">
        <v>4338</v>
      </c>
      <c r="M6226" t="s">
        <v>2199</v>
      </c>
      <c r="N6226" t="s">
        <v>199</v>
      </c>
      <c r="O6226">
        <v>0</v>
      </c>
      <c r="P6226">
        <v>15</v>
      </c>
      <c r="Q6226" t="s">
        <v>264</v>
      </c>
      <c r="R6226" t="s">
        <v>201</v>
      </c>
      <c r="S6226">
        <v>0</v>
      </c>
      <c r="T6226">
        <v>0</v>
      </c>
      <c r="U6226">
        <v>19234</v>
      </c>
      <c r="V6226">
        <v>19234</v>
      </c>
    </row>
    <row r="6227" spans="1:22">
      <c r="A6227" t="s">
        <v>196</v>
      </c>
      <c r="B6227">
        <v>85</v>
      </c>
      <c r="C6227" t="s">
        <v>2177</v>
      </c>
      <c r="D6227">
        <v>610</v>
      </c>
      <c r="E6227" t="s">
        <v>2171</v>
      </c>
      <c r="F6227">
        <v>1005</v>
      </c>
      <c r="G6227" t="s">
        <v>2177</v>
      </c>
      <c r="H6227">
        <v>2010</v>
      </c>
      <c r="I6227" t="s">
        <v>30</v>
      </c>
      <c r="J6227">
        <v>3010</v>
      </c>
      <c r="K6227" t="s">
        <v>30</v>
      </c>
      <c r="L6227">
        <v>4343</v>
      </c>
      <c r="M6227" t="s">
        <v>2205</v>
      </c>
      <c r="N6227" t="s">
        <v>721</v>
      </c>
      <c r="O6227">
        <v>53</v>
      </c>
      <c r="P6227">
        <v>9410</v>
      </c>
      <c r="Q6227" t="s">
        <v>1941</v>
      </c>
      <c r="R6227" t="s">
        <v>713</v>
      </c>
      <c r="S6227">
        <v>2773</v>
      </c>
      <c r="T6227">
        <v>0</v>
      </c>
      <c r="U6227">
        <v>30.84</v>
      </c>
      <c r="V6227">
        <v>85519</v>
      </c>
    </row>
    <row r="6228" spans="1:22">
      <c r="A6228" t="s">
        <v>196</v>
      </c>
      <c r="B6228">
        <v>85</v>
      </c>
      <c r="C6228" t="s">
        <v>2177</v>
      </c>
      <c r="D6228">
        <v>610</v>
      </c>
      <c r="E6228" t="s">
        <v>2171</v>
      </c>
      <c r="F6228">
        <v>1005</v>
      </c>
      <c r="G6228" t="s">
        <v>2177</v>
      </c>
      <c r="H6228">
        <v>2010</v>
      </c>
      <c r="I6228" t="s">
        <v>30</v>
      </c>
      <c r="J6228">
        <v>3010</v>
      </c>
      <c r="K6228" t="s">
        <v>30</v>
      </c>
      <c r="L6228">
        <v>4343</v>
      </c>
      <c r="M6228" t="s">
        <v>2205</v>
      </c>
      <c r="N6228" t="s">
        <v>721</v>
      </c>
      <c r="O6228">
        <v>53</v>
      </c>
      <c r="P6228">
        <v>9411</v>
      </c>
      <c r="Q6228" t="s">
        <v>1940</v>
      </c>
      <c r="R6228" t="s">
        <v>713</v>
      </c>
      <c r="S6228">
        <v>5</v>
      </c>
      <c r="T6228">
        <v>1</v>
      </c>
      <c r="U6228">
        <v>51.4</v>
      </c>
      <c r="V6228">
        <v>534560</v>
      </c>
    </row>
    <row r="6229" spans="1:22">
      <c r="A6229" t="s">
        <v>196</v>
      </c>
      <c r="B6229">
        <v>85</v>
      </c>
      <c r="C6229" t="s">
        <v>2177</v>
      </c>
      <c r="D6229">
        <v>610</v>
      </c>
      <c r="E6229" t="s">
        <v>2171</v>
      </c>
      <c r="F6229">
        <v>1005</v>
      </c>
      <c r="G6229" t="s">
        <v>2177</v>
      </c>
      <c r="H6229">
        <v>2010</v>
      </c>
      <c r="I6229" t="s">
        <v>30</v>
      </c>
      <c r="J6229">
        <v>3010</v>
      </c>
      <c r="K6229" t="s">
        <v>30</v>
      </c>
      <c r="L6229">
        <v>4343</v>
      </c>
      <c r="M6229" t="s">
        <v>2205</v>
      </c>
      <c r="N6229" t="s">
        <v>721</v>
      </c>
      <c r="O6229">
        <v>53</v>
      </c>
      <c r="P6229">
        <v>8246</v>
      </c>
      <c r="Q6229" t="s">
        <v>1933</v>
      </c>
      <c r="R6229" t="s">
        <v>713</v>
      </c>
      <c r="S6229">
        <v>1</v>
      </c>
      <c r="T6229">
        <v>1</v>
      </c>
      <c r="U6229">
        <v>52.5</v>
      </c>
      <c r="V6229">
        <v>109200</v>
      </c>
    </row>
    <row r="6230" spans="1:22">
      <c r="A6230" t="s">
        <v>196</v>
      </c>
      <c r="B6230">
        <v>85</v>
      </c>
      <c r="C6230" t="s">
        <v>2177</v>
      </c>
      <c r="D6230">
        <v>610</v>
      </c>
      <c r="E6230" t="s">
        <v>2171</v>
      </c>
      <c r="F6230">
        <v>1005</v>
      </c>
      <c r="G6230" t="s">
        <v>2177</v>
      </c>
      <c r="H6230">
        <v>2010</v>
      </c>
      <c r="I6230" t="s">
        <v>30</v>
      </c>
      <c r="J6230">
        <v>3010</v>
      </c>
      <c r="K6230" t="s">
        <v>30</v>
      </c>
      <c r="L6230">
        <v>4343</v>
      </c>
      <c r="M6230" t="s">
        <v>2205</v>
      </c>
      <c r="N6230" t="s">
        <v>253</v>
      </c>
      <c r="O6230">
        <v>10</v>
      </c>
      <c r="P6230">
        <v>7099</v>
      </c>
      <c r="Q6230" t="s">
        <v>2206</v>
      </c>
      <c r="R6230" t="s">
        <v>201</v>
      </c>
      <c r="S6230">
        <v>1</v>
      </c>
      <c r="T6230">
        <v>1</v>
      </c>
      <c r="U6230">
        <v>130524</v>
      </c>
      <c r="V6230">
        <v>130524</v>
      </c>
    </row>
    <row r="6231" spans="1:22">
      <c r="A6231" t="s">
        <v>196</v>
      </c>
      <c r="B6231">
        <v>85</v>
      </c>
      <c r="C6231" t="s">
        <v>2177</v>
      </c>
      <c r="D6231">
        <v>610</v>
      </c>
      <c r="E6231" t="s">
        <v>2171</v>
      </c>
      <c r="F6231">
        <v>1005</v>
      </c>
      <c r="G6231" t="s">
        <v>2177</v>
      </c>
      <c r="H6231">
        <v>2010</v>
      </c>
      <c r="I6231" t="s">
        <v>30</v>
      </c>
      <c r="J6231">
        <v>3010</v>
      </c>
      <c r="K6231" t="s">
        <v>30</v>
      </c>
      <c r="L6231">
        <v>4343</v>
      </c>
      <c r="M6231" t="s">
        <v>2205</v>
      </c>
      <c r="N6231" t="s">
        <v>253</v>
      </c>
      <c r="O6231">
        <v>10</v>
      </c>
      <c r="P6231">
        <v>7099</v>
      </c>
      <c r="Q6231" t="s">
        <v>2206</v>
      </c>
      <c r="R6231" t="s">
        <v>201</v>
      </c>
      <c r="S6231">
        <v>1</v>
      </c>
      <c r="T6231">
        <v>1</v>
      </c>
      <c r="U6231">
        <v>97836</v>
      </c>
      <c r="V6231">
        <v>97836</v>
      </c>
    </row>
    <row r="6232" spans="1:22">
      <c r="A6232" t="s">
        <v>196</v>
      </c>
      <c r="B6232">
        <v>85</v>
      </c>
      <c r="C6232" t="s">
        <v>2177</v>
      </c>
      <c r="D6232">
        <v>610</v>
      </c>
      <c r="E6232" t="s">
        <v>2171</v>
      </c>
      <c r="F6232">
        <v>1005</v>
      </c>
      <c r="G6232" t="s">
        <v>2177</v>
      </c>
      <c r="H6232">
        <v>2010</v>
      </c>
      <c r="I6232" t="s">
        <v>30</v>
      </c>
      <c r="J6232">
        <v>3010</v>
      </c>
      <c r="K6232" t="s">
        <v>30</v>
      </c>
      <c r="L6232">
        <v>4343</v>
      </c>
      <c r="M6232" t="s">
        <v>2205</v>
      </c>
      <c r="N6232" t="s">
        <v>253</v>
      </c>
      <c r="O6232">
        <v>10</v>
      </c>
      <c r="P6232">
        <v>7099</v>
      </c>
      <c r="Q6232" t="s">
        <v>2206</v>
      </c>
      <c r="R6232" t="s">
        <v>201</v>
      </c>
      <c r="S6232">
        <v>1</v>
      </c>
      <c r="T6232">
        <v>1</v>
      </c>
      <c r="U6232">
        <v>93384</v>
      </c>
      <c r="V6232">
        <v>93384</v>
      </c>
    </row>
    <row r="6233" spans="1:22">
      <c r="A6233" t="s">
        <v>196</v>
      </c>
      <c r="B6233">
        <v>85</v>
      </c>
      <c r="C6233" t="s">
        <v>2177</v>
      </c>
      <c r="D6233">
        <v>610</v>
      </c>
      <c r="E6233" t="s">
        <v>2171</v>
      </c>
      <c r="F6233">
        <v>1005</v>
      </c>
      <c r="G6233" t="s">
        <v>2177</v>
      </c>
      <c r="H6233">
        <v>2010</v>
      </c>
      <c r="I6233" t="s">
        <v>30</v>
      </c>
      <c r="J6233">
        <v>3010</v>
      </c>
      <c r="K6233" t="s">
        <v>30</v>
      </c>
      <c r="L6233">
        <v>4343</v>
      </c>
      <c r="M6233" t="s">
        <v>2205</v>
      </c>
      <c r="N6233" t="s">
        <v>253</v>
      </c>
      <c r="O6233">
        <v>10</v>
      </c>
      <c r="P6233">
        <v>7099</v>
      </c>
      <c r="Q6233" t="s">
        <v>2206</v>
      </c>
      <c r="R6233" t="s">
        <v>201</v>
      </c>
      <c r="S6233">
        <v>1</v>
      </c>
      <c r="T6233">
        <v>1</v>
      </c>
      <c r="U6233">
        <v>89112</v>
      </c>
      <c r="V6233">
        <v>89112</v>
      </c>
    </row>
    <row r="6234" spans="1:22">
      <c r="A6234" t="s">
        <v>196</v>
      </c>
      <c r="B6234">
        <v>85</v>
      </c>
      <c r="C6234" t="s">
        <v>2177</v>
      </c>
      <c r="D6234">
        <v>610</v>
      </c>
      <c r="E6234" t="s">
        <v>2171</v>
      </c>
      <c r="F6234">
        <v>1005</v>
      </c>
      <c r="G6234" t="s">
        <v>2177</v>
      </c>
      <c r="H6234">
        <v>2010</v>
      </c>
      <c r="I6234" t="s">
        <v>30</v>
      </c>
      <c r="J6234">
        <v>3010</v>
      </c>
      <c r="K6234" t="s">
        <v>30</v>
      </c>
      <c r="L6234">
        <v>4343</v>
      </c>
      <c r="M6234" t="s">
        <v>2205</v>
      </c>
      <c r="N6234" t="s">
        <v>253</v>
      </c>
      <c r="O6234">
        <v>10</v>
      </c>
      <c r="P6234">
        <v>7099</v>
      </c>
      <c r="Q6234" t="s">
        <v>2206</v>
      </c>
      <c r="R6234" t="s">
        <v>201</v>
      </c>
      <c r="S6234">
        <v>1</v>
      </c>
      <c r="T6234">
        <v>1</v>
      </c>
      <c r="U6234">
        <v>85128</v>
      </c>
      <c r="V6234">
        <v>85128</v>
      </c>
    </row>
    <row r="6235" spans="1:22">
      <c r="A6235" t="s">
        <v>196</v>
      </c>
      <c r="B6235">
        <v>85</v>
      </c>
      <c r="C6235" t="s">
        <v>2177</v>
      </c>
      <c r="D6235">
        <v>610</v>
      </c>
      <c r="E6235" t="s">
        <v>2171</v>
      </c>
      <c r="F6235">
        <v>1005</v>
      </c>
      <c r="G6235" t="s">
        <v>2177</v>
      </c>
      <c r="H6235">
        <v>2010</v>
      </c>
      <c r="I6235" t="s">
        <v>30</v>
      </c>
      <c r="J6235">
        <v>3010</v>
      </c>
      <c r="K6235" t="s">
        <v>30</v>
      </c>
      <c r="L6235">
        <v>4343</v>
      </c>
      <c r="M6235" t="s">
        <v>2205</v>
      </c>
      <c r="N6235" t="s">
        <v>721</v>
      </c>
      <c r="O6235">
        <v>32</v>
      </c>
      <c r="P6235">
        <v>5040</v>
      </c>
      <c r="Q6235" t="s">
        <v>966</v>
      </c>
      <c r="R6235" t="s">
        <v>713</v>
      </c>
      <c r="S6235">
        <v>2</v>
      </c>
      <c r="T6235">
        <v>1</v>
      </c>
      <c r="U6235">
        <v>63.53</v>
      </c>
      <c r="V6235">
        <v>264285</v>
      </c>
    </row>
    <row r="6236" spans="1:22">
      <c r="A6236" t="s">
        <v>196</v>
      </c>
      <c r="B6236">
        <v>85</v>
      </c>
      <c r="C6236" t="s">
        <v>2177</v>
      </c>
      <c r="D6236">
        <v>610</v>
      </c>
      <c r="E6236" t="s">
        <v>2171</v>
      </c>
      <c r="F6236">
        <v>1005</v>
      </c>
      <c r="G6236" t="s">
        <v>2177</v>
      </c>
      <c r="H6236">
        <v>2010</v>
      </c>
      <c r="I6236" t="s">
        <v>30</v>
      </c>
      <c r="J6236">
        <v>3010</v>
      </c>
      <c r="K6236" t="s">
        <v>30</v>
      </c>
      <c r="L6236">
        <v>4343</v>
      </c>
      <c r="M6236" t="s">
        <v>2205</v>
      </c>
      <c r="N6236" t="s">
        <v>721</v>
      </c>
      <c r="O6236">
        <v>32</v>
      </c>
      <c r="P6236">
        <v>5035</v>
      </c>
      <c r="Q6236" t="s">
        <v>967</v>
      </c>
      <c r="R6236" t="s">
        <v>713</v>
      </c>
      <c r="S6236">
        <v>13</v>
      </c>
      <c r="T6236">
        <v>1</v>
      </c>
      <c r="U6236">
        <v>57.75</v>
      </c>
      <c r="V6236">
        <v>1561560</v>
      </c>
    </row>
    <row r="6237" spans="1:22">
      <c r="A6237" t="s">
        <v>196</v>
      </c>
      <c r="B6237">
        <v>85</v>
      </c>
      <c r="C6237" t="s">
        <v>2177</v>
      </c>
      <c r="D6237">
        <v>610</v>
      </c>
      <c r="E6237" t="s">
        <v>2171</v>
      </c>
      <c r="F6237">
        <v>1005</v>
      </c>
      <c r="G6237" t="s">
        <v>2177</v>
      </c>
      <c r="H6237">
        <v>2010</v>
      </c>
      <c r="I6237" t="s">
        <v>30</v>
      </c>
      <c r="J6237">
        <v>3010</v>
      </c>
      <c r="K6237" t="s">
        <v>30</v>
      </c>
      <c r="L6237">
        <v>4343</v>
      </c>
      <c r="M6237" t="s">
        <v>2205</v>
      </c>
      <c r="N6237" t="s">
        <v>721</v>
      </c>
      <c r="O6237">
        <v>39</v>
      </c>
      <c r="P6237">
        <v>4634</v>
      </c>
      <c r="Q6237" t="s">
        <v>977</v>
      </c>
      <c r="R6237" t="s">
        <v>713</v>
      </c>
      <c r="S6237">
        <v>1</v>
      </c>
      <c r="T6237">
        <v>1</v>
      </c>
      <c r="U6237">
        <v>54.3</v>
      </c>
      <c r="V6237">
        <v>112944</v>
      </c>
    </row>
    <row r="6238" spans="1:22">
      <c r="A6238" t="s">
        <v>196</v>
      </c>
      <c r="B6238">
        <v>85</v>
      </c>
      <c r="C6238" t="s">
        <v>2177</v>
      </c>
      <c r="D6238">
        <v>610</v>
      </c>
      <c r="E6238" t="s">
        <v>2171</v>
      </c>
      <c r="F6238">
        <v>1005</v>
      </c>
      <c r="G6238" t="s">
        <v>2177</v>
      </c>
      <c r="H6238">
        <v>2010</v>
      </c>
      <c r="I6238" t="s">
        <v>30</v>
      </c>
      <c r="J6238">
        <v>3010</v>
      </c>
      <c r="K6238" t="s">
        <v>30</v>
      </c>
      <c r="L6238">
        <v>4343</v>
      </c>
      <c r="M6238" t="s">
        <v>2205</v>
      </c>
      <c r="N6238" t="s">
        <v>1314</v>
      </c>
      <c r="O6238">
        <v>0</v>
      </c>
      <c r="P6238">
        <v>4543</v>
      </c>
      <c r="Q6238" t="s">
        <v>939</v>
      </c>
      <c r="R6238" t="s">
        <v>201</v>
      </c>
      <c r="S6238">
        <v>1</v>
      </c>
      <c r="T6238">
        <v>1</v>
      </c>
      <c r="U6238">
        <v>160680</v>
      </c>
      <c r="V6238">
        <v>160680</v>
      </c>
    </row>
    <row r="6239" spans="1:22">
      <c r="A6239" t="s">
        <v>196</v>
      </c>
      <c r="B6239">
        <v>85</v>
      </c>
      <c r="C6239" t="s">
        <v>2177</v>
      </c>
      <c r="D6239">
        <v>610</v>
      </c>
      <c r="E6239" t="s">
        <v>2171</v>
      </c>
      <c r="F6239">
        <v>1005</v>
      </c>
      <c r="G6239" t="s">
        <v>2177</v>
      </c>
      <c r="H6239">
        <v>2010</v>
      </c>
      <c r="I6239" t="s">
        <v>30</v>
      </c>
      <c r="J6239">
        <v>3010</v>
      </c>
      <c r="K6239" t="s">
        <v>30</v>
      </c>
      <c r="L6239">
        <v>4343</v>
      </c>
      <c r="M6239" t="s">
        <v>2205</v>
      </c>
      <c r="N6239" t="s">
        <v>721</v>
      </c>
      <c r="O6239">
        <v>50</v>
      </c>
      <c r="P6239">
        <v>4301</v>
      </c>
      <c r="Q6239" t="s">
        <v>983</v>
      </c>
      <c r="R6239" t="s">
        <v>713</v>
      </c>
      <c r="S6239">
        <v>1</v>
      </c>
      <c r="T6239">
        <v>1</v>
      </c>
      <c r="U6239">
        <v>56.71</v>
      </c>
      <c r="V6239">
        <v>117957</v>
      </c>
    </row>
    <row r="6240" spans="1:22">
      <c r="A6240" t="s">
        <v>196</v>
      </c>
      <c r="B6240">
        <v>85</v>
      </c>
      <c r="C6240" t="s">
        <v>2177</v>
      </c>
      <c r="D6240">
        <v>610</v>
      </c>
      <c r="E6240" t="s">
        <v>2171</v>
      </c>
      <c r="F6240">
        <v>1005</v>
      </c>
      <c r="G6240" t="s">
        <v>2177</v>
      </c>
      <c r="H6240">
        <v>2010</v>
      </c>
      <c r="I6240" t="s">
        <v>30</v>
      </c>
      <c r="J6240">
        <v>3010</v>
      </c>
      <c r="K6240" t="s">
        <v>30</v>
      </c>
      <c r="L6240">
        <v>4343</v>
      </c>
      <c r="M6240" t="s">
        <v>2205</v>
      </c>
      <c r="N6240" t="s">
        <v>341</v>
      </c>
      <c r="O6240">
        <v>1</v>
      </c>
      <c r="P6240">
        <v>308</v>
      </c>
      <c r="Q6240" t="s">
        <v>355</v>
      </c>
      <c r="R6240" t="s">
        <v>201</v>
      </c>
      <c r="S6240">
        <v>1</v>
      </c>
      <c r="T6240">
        <v>1</v>
      </c>
      <c r="U6240">
        <v>81324</v>
      </c>
      <c r="V6240">
        <v>81324</v>
      </c>
    </row>
    <row r="6241" spans="1:22">
      <c r="A6241" t="s">
        <v>196</v>
      </c>
      <c r="B6241">
        <v>85</v>
      </c>
      <c r="C6241" t="s">
        <v>2177</v>
      </c>
      <c r="D6241">
        <v>610</v>
      </c>
      <c r="E6241" t="s">
        <v>2171</v>
      </c>
      <c r="F6241">
        <v>1005</v>
      </c>
      <c r="G6241" t="s">
        <v>2177</v>
      </c>
      <c r="H6241">
        <v>2010</v>
      </c>
      <c r="I6241" t="s">
        <v>30</v>
      </c>
      <c r="J6241">
        <v>3010</v>
      </c>
      <c r="K6241" t="s">
        <v>30</v>
      </c>
      <c r="L6241">
        <v>4343</v>
      </c>
      <c r="M6241" t="s">
        <v>2205</v>
      </c>
      <c r="N6241" t="s">
        <v>199</v>
      </c>
      <c r="O6241">
        <v>0</v>
      </c>
      <c r="P6241">
        <v>15</v>
      </c>
      <c r="Q6241" t="s">
        <v>264</v>
      </c>
      <c r="R6241" t="s">
        <v>201</v>
      </c>
      <c r="S6241">
        <v>0</v>
      </c>
      <c r="T6241">
        <v>0</v>
      </c>
      <c r="U6241">
        <v>15044</v>
      </c>
      <c r="V6241">
        <v>15044</v>
      </c>
    </row>
    <row r="6242" spans="1:22">
      <c r="A6242" t="s">
        <v>196</v>
      </c>
      <c r="B6242">
        <v>85</v>
      </c>
      <c r="C6242" t="s">
        <v>2177</v>
      </c>
      <c r="D6242">
        <v>610</v>
      </c>
      <c r="E6242" t="s">
        <v>2171</v>
      </c>
      <c r="F6242">
        <v>1005</v>
      </c>
      <c r="G6242" t="s">
        <v>2177</v>
      </c>
      <c r="H6242">
        <v>2010</v>
      </c>
      <c r="I6242" t="s">
        <v>30</v>
      </c>
      <c r="J6242">
        <v>3010</v>
      </c>
      <c r="K6242" t="s">
        <v>30</v>
      </c>
      <c r="L6242">
        <v>4343</v>
      </c>
      <c r="M6242" t="s">
        <v>2205</v>
      </c>
      <c r="N6242" t="s">
        <v>199</v>
      </c>
      <c r="O6242">
        <v>0</v>
      </c>
      <c r="P6242">
        <v>12</v>
      </c>
      <c r="Q6242" t="s">
        <v>724</v>
      </c>
      <c r="R6242" t="s">
        <v>201</v>
      </c>
      <c r="S6242">
        <v>0</v>
      </c>
      <c r="T6242">
        <v>0</v>
      </c>
      <c r="U6242">
        <v>41789</v>
      </c>
      <c r="V6242">
        <v>41789</v>
      </c>
    </row>
    <row r="6243" spans="1:22">
      <c r="A6243" t="s">
        <v>196</v>
      </c>
      <c r="B6243">
        <v>85</v>
      </c>
      <c r="C6243" t="s">
        <v>2177</v>
      </c>
      <c r="D6243">
        <v>610</v>
      </c>
      <c r="E6243" t="s">
        <v>2171</v>
      </c>
      <c r="F6243">
        <v>1005</v>
      </c>
      <c r="G6243" t="s">
        <v>2177</v>
      </c>
      <c r="H6243">
        <v>2010</v>
      </c>
      <c r="I6243" t="s">
        <v>30</v>
      </c>
      <c r="J6243">
        <v>3010</v>
      </c>
      <c r="K6243" t="s">
        <v>30</v>
      </c>
      <c r="L6243">
        <v>4363</v>
      </c>
      <c r="M6243" t="s">
        <v>1474</v>
      </c>
      <c r="N6243" t="s">
        <v>253</v>
      </c>
      <c r="O6243">
        <v>10</v>
      </c>
      <c r="P6243">
        <v>7007</v>
      </c>
      <c r="Q6243" t="s">
        <v>2207</v>
      </c>
      <c r="R6243" t="s">
        <v>201</v>
      </c>
      <c r="S6243">
        <v>1</v>
      </c>
      <c r="T6243">
        <v>1</v>
      </c>
      <c r="U6243">
        <v>83052</v>
      </c>
      <c r="V6243">
        <v>83052</v>
      </c>
    </row>
    <row r="6244" spans="1:22">
      <c r="A6244" t="s">
        <v>196</v>
      </c>
      <c r="B6244">
        <v>85</v>
      </c>
      <c r="C6244" t="s">
        <v>2177</v>
      </c>
      <c r="D6244">
        <v>610</v>
      </c>
      <c r="E6244" t="s">
        <v>2171</v>
      </c>
      <c r="F6244">
        <v>1005</v>
      </c>
      <c r="G6244" t="s">
        <v>2177</v>
      </c>
      <c r="H6244">
        <v>2010</v>
      </c>
      <c r="I6244" t="s">
        <v>30</v>
      </c>
      <c r="J6244">
        <v>3010</v>
      </c>
      <c r="K6244" t="s">
        <v>30</v>
      </c>
      <c r="L6244">
        <v>4363</v>
      </c>
      <c r="M6244" t="s">
        <v>1474</v>
      </c>
      <c r="N6244" t="s">
        <v>341</v>
      </c>
      <c r="O6244">
        <v>1</v>
      </c>
      <c r="P6244">
        <v>6122</v>
      </c>
      <c r="Q6244" t="s">
        <v>1705</v>
      </c>
      <c r="R6244" t="s">
        <v>201</v>
      </c>
      <c r="S6244">
        <v>1</v>
      </c>
      <c r="T6244">
        <v>1</v>
      </c>
      <c r="U6244">
        <v>119100</v>
      </c>
      <c r="V6244">
        <v>119100</v>
      </c>
    </row>
    <row r="6245" spans="1:22">
      <c r="A6245" t="s">
        <v>196</v>
      </c>
      <c r="B6245">
        <v>85</v>
      </c>
      <c r="C6245" t="s">
        <v>2177</v>
      </c>
      <c r="D6245">
        <v>610</v>
      </c>
      <c r="E6245" t="s">
        <v>2171</v>
      </c>
      <c r="F6245">
        <v>1005</v>
      </c>
      <c r="G6245" t="s">
        <v>2177</v>
      </c>
      <c r="H6245">
        <v>2010</v>
      </c>
      <c r="I6245" t="s">
        <v>30</v>
      </c>
      <c r="J6245">
        <v>3010</v>
      </c>
      <c r="K6245" t="s">
        <v>30</v>
      </c>
      <c r="L6245">
        <v>4363</v>
      </c>
      <c r="M6245" t="s">
        <v>1474</v>
      </c>
      <c r="N6245" t="s">
        <v>341</v>
      </c>
      <c r="O6245">
        <v>1</v>
      </c>
      <c r="P6245">
        <v>6122</v>
      </c>
      <c r="Q6245" t="s">
        <v>1705</v>
      </c>
      <c r="R6245" t="s">
        <v>201</v>
      </c>
      <c r="S6245">
        <v>1</v>
      </c>
      <c r="T6245">
        <v>1</v>
      </c>
      <c r="U6245">
        <v>108576</v>
      </c>
      <c r="V6245">
        <v>108576</v>
      </c>
    </row>
    <row r="6246" spans="1:22">
      <c r="A6246" t="s">
        <v>196</v>
      </c>
      <c r="B6246">
        <v>85</v>
      </c>
      <c r="C6246" t="s">
        <v>2177</v>
      </c>
      <c r="D6246">
        <v>610</v>
      </c>
      <c r="E6246" t="s">
        <v>2171</v>
      </c>
      <c r="F6246">
        <v>1005</v>
      </c>
      <c r="G6246" t="s">
        <v>2177</v>
      </c>
      <c r="H6246">
        <v>2010</v>
      </c>
      <c r="I6246" t="s">
        <v>30</v>
      </c>
      <c r="J6246">
        <v>3010</v>
      </c>
      <c r="K6246" t="s">
        <v>30</v>
      </c>
      <c r="L6246">
        <v>4363</v>
      </c>
      <c r="M6246" t="s">
        <v>1474</v>
      </c>
      <c r="N6246" t="s">
        <v>199</v>
      </c>
      <c r="O6246">
        <v>0</v>
      </c>
      <c r="P6246">
        <v>15</v>
      </c>
      <c r="Q6246" t="s">
        <v>264</v>
      </c>
      <c r="R6246" t="s">
        <v>201</v>
      </c>
      <c r="S6246">
        <v>0</v>
      </c>
      <c r="T6246">
        <v>0</v>
      </c>
      <c r="U6246">
        <v>1038</v>
      </c>
      <c r="V6246">
        <v>1038</v>
      </c>
    </row>
    <row r="6247" spans="1:22">
      <c r="A6247" t="s">
        <v>196</v>
      </c>
      <c r="B6247">
        <v>3</v>
      </c>
      <c r="C6247" t="s">
        <v>49</v>
      </c>
      <c r="D6247">
        <v>740</v>
      </c>
      <c r="E6247" t="s">
        <v>2208</v>
      </c>
      <c r="F6247">
        <v>1005</v>
      </c>
      <c r="G6247" t="s">
        <v>49</v>
      </c>
      <c r="H6247">
        <v>2005</v>
      </c>
      <c r="I6247" t="s">
        <v>49</v>
      </c>
      <c r="J6247">
        <v>3010</v>
      </c>
      <c r="K6247" t="s">
        <v>243</v>
      </c>
      <c r="L6247">
        <v>0</v>
      </c>
      <c r="N6247" t="s">
        <v>266</v>
      </c>
      <c r="O6247">
        <v>9</v>
      </c>
      <c r="P6247">
        <v>9659</v>
      </c>
      <c r="Q6247" t="s">
        <v>278</v>
      </c>
      <c r="R6247" t="s">
        <v>201</v>
      </c>
      <c r="S6247">
        <v>1</v>
      </c>
      <c r="T6247">
        <v>1</v>
      </c>
      <c r="U6247">
        <v>175512</v>
      </c>
      <c r="V6247">
        <v>175512</v>
      </c>
    </row>
    <row r="6248" spans="1:22">
      <c r="A6248" t="s">
        <v>196</v>
      </c>
      <c r="B6248">
        <v>3</v>
      </c>
      <c r="C6248" t="s">
        <v>49</v>
      </c>
      <c r="D6248">
        <v>740</v>
      </c>
      <c r="E6248" t="s">
        <v>2208</v>
      </c>
      <c r="F6248">
        <v>1005</v>
      </c>
      <c r="G6248" t="s">
        <v>49</v>
      </c>
      <c r="H6248">
        <v>2005</v>
      </c>
      <c r="I6248" t="s">
        <v>49</v>
      </c>
      <c r="J6248">
        <v>3010</v>
      </c>
      <c r="K6248" t="s">
        <v>243</v>
      </c>
      <c r="L6248">
        <v>0</v>
      </c>
      <c r="N6248" t="s">
        <v>199</v>
      </c>
      <c r="O6248">
        <v>0</v>
      </c>
      <c r="P6248">
        <v>15</v>
      </c>
      <c r="Q6248" t="s">
        <v>264</v>
      </c>
      <c r="R6248" t="s">
        <v>201</v>
      </c>
      <c r="S6248">
        <v>0</v>
      </c>
      <c r="T6248">
        <v>0</v>
      </c>
      <c r="U6248">
        <v>3409</v>
      </c>
      <c r="V6248">
        <v>3409</v>
      </c>
    </row>
    <row r="6249" spans="1:22">
      <c r="A6249" t="s">
        <v>196</v>
      </c>
      <c r="B6249">
        <v>3</v>
      </c>
      <c r="C6249" t="s">
        <v>49</v>
      </c>
      <c r="D6249">
        <v>740</v>
      </c>
      <c r="E6249" t="s">
        <v>2208</v>
      </c>
      <c r="F6249">
        <v>1005</v>
      </c>
      <c r="G6249" t="s">
        <v>49</v>
      </c>
      <c r="H6249">
        <v>2005</v>
      </c>
      <c r="I6249" t="s">
        <v>49</v>
      </c>
      <c r="J6249">
        <v>3015</v>
      </c>
      <c r="K6249" t="s">
        <v>265</v>
      </c>
      <c r="L6249">
        <v>0</v>
      </c>
      <c r="N6249" t="s">
        <v>281</v>
      </c>
      <c r="O6249">
        <v>20</v>
      </c>
      <c r="P6249">
        <v>1368</v>
      </c>
      <c r="Q6249" t="s">
        <v>853</v>
      </c>
      <c r="R6249" t="s">
        <v>201</v>
      </c>
      <c r="S6249">
        <v>1</v>
      </c>
      <c r="T6249">
        <v>1</v>
      </c>
      <c r="U6249">
        <v>89112</v>
      </c>
      <c r="V6249">
        <v>89112</v>
      </c>
    </row>
    <row r="6250" spans="1:22">
      <c r="A6250" t="s">
        <v>196</v>
      </c>
      <c r="B6250">
        <v>3</v>
      </c>
      <c r="C6250" t="s">
        <v>49</v>
      </c>
      <c r="D6250">
        <v>740</v>
      </c>
      <c r="E6250" t="s">
        <v>2208</v>
      </c>
      <c r="F6250">
        <v>1005</v>
      </c>
      <c r="G6250" t="s">
        <v>49</v>
      </c>
      <c r="H6250">
        <v>2005</v>
      </c>
      <c r="I6250" t="s">
        <v>49</v>
      </c>
      <c r="J6250">
        <v>3015</v>
      </c>
      <c r="K6250" t="s">
        <v>265</v>
      </c>
      <c r="L6250">
        <v>0</v>
      </c>
      <c r="N6250" t="s">
        <v>199</v>
      </c>
      <c r="O6250">
        <v>0</v>
      </c>
      <c r="P6250">
        <v>15</v>
      </c>
      <c r="Q6250" t="s">
        <v>264</v>
      </c>
      <c r="R6250" t="s">
        <v>201</v>
      </c>
      <c r="S6250">
        <v>0</v>
      </c>
      <c r="T6250">
        <v>0</v>
      </c>
      <c r="U6250">
        <v>3370</v>
      </c>
      <c r="V6250">
        <v>3370</v>
      </c>
    </row>
    <row r="6251" spans="1:22">
      <c r="A6251" t="s">
        <v>196</v>
      </c>
      <c r="B6251">
        <v>3</v>
      </c>
      <c r="C6251" t="s">
        <v>49</v>
      </c>
      <c r="D6251">
        <v>740</v>
      </c>
      <c r="E6251" t="s">
        <v>2208</v>
      </c>
      <c r="F6251">
        <v>1005</v>
      </c>
      <c r="G6251" t="s">
        <v>49</v>
      </c>
      <c r="H6251">
        <v>2005</v>
      </c>
      <c r="I6251" t="s">
        <v>49</v>
      </c>
      <c r="J6251">
        <v>3020</v>
      </c>
      <c r="K6251" t="s">
        <v>277</v>
      </c>
      <c r="L6251">
        <v>0</v>
      </c>
      <c r="N6251" t="s">
        <v>261</v>
      </c>
      <c r="O6251">
        <v>0</v>
      </c>
      <c r="P6251">
        <v>1222</v>
      </c>
      <c r="Q6251" t="s">
        <v>280</v>
      </c>
      <c r="R6251" t="s">
        <v>201</v>
      </c>
      <c r="S6251">
        <v>1</v>
      </c>
      <c r="T6251">
        <v>1</v>
      </c>
      <c r="U6251">
        <v>97332</v>
      </c>
      <c r="V6251">
        <v>97332</v>
      </c>
    </row>
    <row r="6252" spans="1:22">
      <c r="A6252" t="s">
        <v>196</v>
      </c>
      <c r="B6252">
        <v>3</v>
      </c>
      <c r="C6252" t="s">
        <v>49</v>
      </c>
      <c r="D6252">
        <v>740</v>
      </c>
      <c r="E6252" t="s">
        <v>2208</v>
      </c>
      <c r="F6252">
        <v>1005</v>
      </c>
      <c r="G6252" t="s">
        <v>49</v>
      </c>
      <c r="H6252">
        <v>2005</v>
      </c>
      <c r="I6252" t="s">
        <v>49</v>
      </c>
      <c r="J6252">
        <v>3020</v>
      </c>
      <c r="K6252" t="s">
        <v>277</v>
      </c>
      <c r="L6252">
        <v>0</v>
      </c>
      <c r="N6252" t="s">
        <v>261</v>
      </c>
      <c r="O6252">
        <v>0</v>
      </c>
      <c r="P6252">
        <v>1222</v>
      </c>
      <c r="Q6252" t="s">
        <v>280</v>
      </c>
      <c r="R6252" t="s">
        <v>201</v>
      </c>
      <c r="S6252">
        <v>1</v>
      </c>
      <c r="T6252">
        <v>1</v>
      </c>
      <c r="U6252">
        <v>93156</v>
      </c>
      <c r="V6252">
        <v>93156</v>
      </c>
    </row>
    <row r="6253" spans="1:22">
      <c r="A6253" t="s">
        <v>196</v>
      </c>
      <c r="B6253">
        <v>3</v>
      </c>
      <c r="C6253" t="s">
        <v>49</v>
      </c>
      <c r="D6253">
        <v>740</v>
      </c>
      <c r="E6253" t="s">
        <v>2208</v>
      </c>
      <c r="F6253">
        <v>1005</v>
      </c>
      <c r="G6253" t="s">
        <v>49</v>
      </c>
      <c r="H6253">
        <v>2005</v>
      </c>
      <c r="I6253" t="s">
        <v>49</v>
      </c>
      <c r="J6253">
        <v>3020</v>
      </c>
      <c r="K6253" t="s">
        <v>277</v>
      </c>
      <c r="L6253">
        <v>0</v>
      </c>
      <c r="N6253" t="s">
        <v>281</v>
      </c>
      <c r="O6253">
        <v>0</v>
      </c>
      <c r="P6253">
        <v>1221</v>
      </c>
      <c r="Q6253" t="s">
        <v>282</v>
      </c>
      <c r="R6253" t="s">
        <v>201</v>
      </c>
      <c r="S6253">
        <v>2</v>
      </c>
      <c r="T6253">
        <v>1</v>
      </c>
      <c r="U6253">
        <v>85236</v>
      </c>
      <c r="V6253">
        <v>170472</v>
      </c>
    </row>
    <row r="6254" spans="1:22">
      <c r="A6254" t="s">
        <v>196</v>
      </c>
      <c r="B6254">
        <v>3</v>
      </c>
      <c r="C6254" t="s">
        <v>49</v>
      </c>
      <c r="D6254">
        <v>740</v>
      </c>
      <c r="E6254" t="s">
        <v>2208</v>
      </c>
      <c r="F6254">
        <v>1005</v>
      </c>
      <c r="G6254" t="s">
        <v>49</v>
      </c>
      <c r="H6254">
        <v>2005</v>
      </c>
      <c r="I6254" t="s">
        <v>49</v>
      </c>
      <c r="J6254">
        <v>3020</v>
      </c>
      <c r="K6254" t="s">
        <v>277</v>
      </c>
      <c r="L6254">
        <v>0</v>
      </c>
      <c r="N6254" t="s">
        <v>274</v>
      </c>
      <c r="O6254">
        <v>9</v>
      </c>
      <c r="P6254">
        <v>1213</v>
      </c>
      <c r="Q6254" t="s">
        <v>2209</v>
      </c>
      <c r="R6254" t="s">
        <v>201</v>
      </c>
      <c r="S6254">
        <v>1</v>
      </c>
      <c r="T6254">
        <v>1</v>
      </c>
      <c r="U6254">
        <v>158508</v>
      </c>
      <c r="V6254">
        <v>158508</v>
      </c>
    </row>
    <row r="6255" spans="1:22">
      <c r="A6255" t="s">
        <v>196</v>
      </c>
      <c r="B6255">
        <v>3</v>
      </c>
      <c r="C6255" t="s">
        <v>49</v>
      </c>
      <c r="D6255">
        <v>740</v>
      </c>
      <c r="E6255" t="s">
        <v>2208</v>
      </c>
      <c r="F6255">
        <v>1005</v>
      </c>
      <c r="G6255" t="s">
        <v>49</v>
      </c>
      <c r="H6255">
        <v>2005</v>
      </c>
      <c r="I6255" t="s">
        <v>49</v>
      </c>
      <c r="J6255">
        <v>3020</v>
      </c>
      <c r="K6255" t="s">
        <v>277</v>
      </c>
      <c r="L6255">
        <v>0</v>
      </c>
      <c r="N6255" t="s">
        <v>199</v>
      </c>
      <c r="O6255">
        <v>0</v>
      </c>
      <c r="P6255">
        <v>15</v>
      </c>
      <c r="Q6255" t="s">
        <v>264</v>
      </c>
      <c r="R6255" t="s">
        <v>201</v>
      </c>
      <c r="S6255">
        <v>0</v>
      </c>
      <c r="T6255">
        <v>0</v>
      </c>
      <c r="U6255">
        <v>6962</v>
      </c>
      <c r="V6255">
        <v>6962</v>
      </c>
    </row>
    <row r="6256" spans="1:22">
      <c r="A6256" t="s">
        <v>196</v>
      </c>
      <c r="B6256">
        <v>3</v>
      </c>
      <c r="C6256" t="s">
        <v>49</v>
      </c>
      <c r="D6256">
        <v>740</v>
      </c>
      <c r="E6256" t="s">
        <v>2208</v>
      </c>
      <c r="F6256">
        <v>1005</v>
      </c>
      <c r="G6256" t="s">
        <v>49</v>
      </c>
      <c r="H6256">
        <v>2005</v>
      </c>
      <c r="I6256" t="s">
        <v>49</v>
      </c>
      <c r="J6256">
        <v>3027</v>
      </c>
      <c r="K6256" t="s">
        <v>285</v>
      </c>
      <c r="L6256">
        <v>0</v>
      </c>
      <c r="N6256" t="s">
        <v>245</v>
      </c>
      <c r="O6256">
        <v>20</v>
      </c>
      <c r="P6256">
        <v>1127</v>
      </c>
      <c r="Q6256" t="s">
        <v>292</v>
      </c>
      <c r="R6256" t="s">
        <v>201</v>
      </c>
      <c r="S6256">
        <v>2</v>
      </c>
      <c r="T6256">
        <v>1</v>
      </c>
      <c r="U6256">
        <v>129168</v>
      </c>
      <c r="V6256">
        <v>258336</v>
      </c>
    </row>
    <row r="6257" spans="1:22">
      <c r="A6257" t="s">
        <v>196</v>
      </c>
      <c r="B6257">
        <v>3</v>
      </c>
      <c r="C6257" t="s">
        <v>49</v>
      </c>
      <c r="D6257">
        <v>740</v>
      </c>
      <c r="E6257" t="s">
        <v>2208</v>
      </c>
      <c r="F6257">
        <v>1005</v>
      </c>
      <c r="G6257" t="s">
        <v>49</v>
      </c>
      <c r="H6257">
        <v>2005</v>
      </c>
      <c r="I6257" t="s">
        <v>49</v>
      </c>
      <c r="J6257">
        <v>3027</v>
      </c>
      <c r="K6257" t="s">
        <v>285</v>
      </c>
      <c r="L6257">
        <v>0</v>
      </c>
      <c r="N6257" t="s">
        <v>287</v>
      </c>
      <c r="O6257">
        <v>20</v>
      </c>
      <c r="P6257">
        <v>1125</v>
      </c>
      <c r="Q6257" t="s">
        <v>288</v>
      </c>
      <c r="R6257" t="s">
        <v>201</v>
      </c>
      <c r="S6257">
        <v>1</v>
      </c>
      <c r="T6257">
        <v>1</v>
      </c>
      <c r="U6257">
        <v>82884</v>
      </c>
      <c r="V6257">
        <v>82884</v>
      </c>
    </row>
    <row r="6258" spans="1:22">
      <c r="A6258" t="s">
        <v>196</v>
      </c>
      <c r="B6258">
        <v>3</v>
      </c>
      <c r="C6258" t="s">
        <v>49</v>
      </c>
      <c r="D6258">
        <v>740</v>
      </c>
      <c r="E6258" t="s">
        <v>2208</v>
      </c>
      <c r="F6258">
        <v>1005</v>
      </c>
      <c r="G6258" t="s">
        <v>49</v>
      </c>
      <c r="H6258">
        <v>2005</v>
      </c>
      <c r="I6258" t="s">
        <v>49</v>
      </c>
      <c r="J6258">
        <v>3027</v>
      </c>
      <c r="K6258" t="s">
        <v>285</v>
      </c>
      <c r="L6258">
        <v>0</v>
      </c>
      <c r="N6258" t="s">
        <v>287</v>
      </c>
      <c r="O6258">
        <v>20</v>
      </c>
      <c r="P6258">
        <v>1125</v>
      </c>
      <c r="Q6258" t="s">
        <v>288</v>
      </c>
      <c r="R6258" t="s">
        <v>201</v>
      </c>
      <c r="S6258">
        <v>1</v>
      </c>
      <c r="T6258">
        <v>1</v>
      </c>
      <c r="U6258">
        <v>79728</v>
      </c>
      <c r="V6258">
        <v>79728</v>
      </c>
    </row>
    <row r="6259" spans="1:22">
      <c r="A6259" t="s">
        <v>196</v>
      </c>
      <c r="B6259">
        <v>3</v>
      </c>
      <c r="C6259" t="s">
        <v>49</v>
      </c>
      <c r="D6259">
        <v>740</v>
      </c>
      <c r="E6259" t="s">
        <v>2208</v>
      </c>
      <c r="F6259">
        <v>1005</v>
      </c>
      <c r="G6259" t="s">
        <v>49</v>
      </c>
      <c r="H6259">
        <v>2005</v>
      </c>
      <c r="I6259" t="s">
        <v>49</v>
      </c>
      <c r="J6259">
        <v>3027</v>
      </c>
      <c r="K6259" t="s">
        <v>285</v>
      </c>
      <c r="L6259">
        <v>0</v>
      </c>
      <c r="N6259" t="s">
        <v>199</v>
      </c>
      <c r="O6259">
        <v>0</v>
      </c>
      <c r="P6259">
        <v>15</v>
      </c>
      <c r="Q6259" t="s">
        <v>264</v>
      </c>
      <c r="R6259" t="s">
        <v>201</v>
      </c>
      <c r="S6259">
        <v>0</v>
      </c>
      <c r="T6259">
        <v>0</v>
      </c>
      <c r="U6259">
        <v>9896</v>
      </c>
      <c r="V6259">
        <v>9896</v>
      </c>
    </row>
    <row r="6260" spans="1:22">
      <c r="A6260" t="s">
        <v>196</v>
      </c>
      <c r="B6260">
        <v>3</v>
      </c>
      <c r="C6260" t="s">
        <v>49</v>
      </c>
      <c r="D6260">
        <v>740</v>
      </c>
      <c r="E6260" t="s">
        <v>2208</v>
      </c>
      <c r="F6260">
        <v>1005</v>
      </c>
      <c r="G6260" t="s">
        <v>49</v>
      </c>
      <c r="H6260">
        <v>2005</v>
      </c>
      <c r="I6260" t="s">
        <v>49</v>
      </c>
      <c r="J6260">
        <v>3032</v>
      </c>
      <c r="K6260" t="s">
        <v>289</v>
      </c>
      <c r="L6260">
        <v>0</v>
      </c>
      <c r="N6260" t="s">
        <v>281</v>
      </c>
      <c r="O6260">
        <v>20</v>
      </c>
      <c r="P6260">
        <v>1126</v>
      </c>
      <c r="Q6260" t="s">
        <v>286</v>
      </c>
      <c r="R6260" t="s">
        <v>201</v>
      </c>
      <c r="S6260">
        <v>1</v>
      </c>
      <c r="T6260">
        <v>1</v>
      </c>
      <c r="U6260">
        <v>89112</v>
      </c>
      <c r="V6260">
        <v>89112</v>
      </c>
    </row>
    <row r="6261" spans="1:22">
      <c r="A6261" t="s">
        <v>196</v>
      </c>
      <c r="B6261">
        <v>3</v>
      </c>
      <c r="C6261" t="s">
        <v>49</v>
      </c>
      <c r="D6261">
        <v>740</v>
      </c>
      <c r="E6261" t="s">
        <v>2208</v>
      </c>
      <c r="F6261">
        <v>1005</v>
      </c>
      <c r="G6261" t="s">
        <v>49</v>
      </c>
      <c r="H6261">
        <v>2005</v>
      </c>
      <c r="I6261" t="s">
        <v>49</v>
      </c>
      <c r="J6261">
        <v>3032</v>
      </c>
      <c r="K6261" t="s">
        <v>289</v>
      </c>
      <c r="L6261">
        <v>0</v>
      </c>
      <c r="N6261" t="s">
        <v>199</v>
      </c>
      <c r="O6261">
        <v>0</v>
      </c>
      <c r="P6261">
        <v>15</v>
      </c>
      <c r="Q6261" t="s">
        <v>264</v>
      </c>
      <c r="R6261" t="s">
        <v>201</v>
      </c>
      <c r="S6261">
        <v>0</v>
      </c>
      <c r="T6261">
        <v>0</v>
      </c>
      <c r="U6261">
        <v>3876</v>
      </c>
      <c r="V6261">
        <v>3876</v>
      </c>
    </row>
    <row r="6262" spans="1:22">
      <c r="A6262" t="s">
        <v>196</v>
      </c>
      <c r="B6262">
        <v>27</v>
      </c>
      <c r="C6262" t="s">
        <v>637</v>
      </c>
      <c r="D6262">
        <v>740</v>
      </c>
      <c r="E6262" t="s">
        <v>2208</v>
      </c>
      <c r="F6262">
        <v>1005</v>
      </c>
      <c r="G6262" t="s">
        <v>638</v>
      </c>
      <c r="H6262">
        <v>2012</v>
      </c>
      <c r="I6262" t="s">
        <v>82</v>
      </c>
      <c r="J6262">
        <v>3019</v>
      </c>
      <c r="K6262" t="s">
        <v>82</v>
      </c>
      <c r="L6262">
        <v>4054</v>
      </c>
      <c r="M6262" t="s">
        <v>1835</v>
      </c>
      <c r="N6262" t="s">
        <v>266</v>
      </c>
      <c r="O6262">
        <v>9</v>
      </c>
      <c r="P6262">
        <v>9651</v>
      </c>
      <c r="Q6262" t="s">
        <v>644</v>
      </c>
      <c r="R6262" t="s">
        <v>201</v>
      </c>
      <c r="S6262">
        <v>1</v>
      </c>
      <c r="T6262">
        <v>1</v>
      </c>
      <c r="U6262">
        <v>175512</v>
      </c>
      <c r="V6262">
        <v>175512</v>
      </c>
    </row>
    <row r="6263" spans="1:22">
      <c r="A6263" t="s">
        <v>196</v>
      </c>
      <c r="B6263">
        <v>27</v>
      </c>
      <c r="C6263" t="s">
        <v>637</v>
      </c>
      <c r="D6263">
        <v>740</v>
      </c>
      <c r="E6263" t="s">
        <v>2208</v>
      </c>
      <c r="F6263">
        <v>1005</v>
      </c>
      <c r="G6263" t="s">
        <v>638</v>
      </c>
      <c r="H6263">
        <v>2012</v>
      </c>
      <c r="I6263" t="s">
        <v>82</v>
      </c>
      <c r="J6263">
        <v>3019</v>
      </c>
      <c r="K6263" t="s">
        <v>82</v>
      </c>
      <c r="L6263">
        <v>4054</v>
      </c>
      <c r="M6263" t="s">
        <v>1835</v>
      </c>
      <c r="N6263" t="s">
        <v>333</v>
      </c>
      <c r="O6263">
        <v>4</v>
      </c>
      <c r="P6263">
        <v>194</v>
      </c>
      <c r="Q6263" t="s">
        <v>706</v>
      </c>
      <c r="R6263" t="s">
        <v>201</v>
      </c>
      <c r="S6263">
        <v>1</v>
      </c>
      <c r="T6263">
        <v>1</v>
      </c>
      <c r="U6263">
        <v>134184</v>
      </c>
      <c r="V6263">
        <v>134184</v>
      </c>
    </row>
    <row r="6264" spans="1:22">
      <c r="A6264" t="s">
        <v>196</v>
      </c>
      <c r="B6264">
        <v>27</v>
      </c>
      <c r="C6264" t="s">
        <v>637</v>
      </c>
      <c r="D6264">
        <v>740</v>
      </c>
      <c r="E6264" t="s">
        <v>2208</v>
      </c>
      <c r="F6264">
        <v>1005</v>
      </c>
      <c r="G6264" t="s">
        <v>638</v>
      </c>
      <c r="H6264">
        <v>2012</v>
      </c>
      <c r="I6264" t="s">
        <v>82</v>
      </c>
      <c r="J6264">
        <v>3019</v>
      </c>
      <c r="K6264" t="s">
        <v>82</v>
      </c>
      <c r="L6264">
        <v>4054</v>
      </c>
      <c r="M6264" t="s">
        <v>1835</v>
      </c>
      <c r="N6264" t="s">
        <v>245</v>
      </c>
      <c r="O6264">
        <v>20</v>
      </c>
      <c r="P6264">
        <v>187</v>
      </c>
      <c r="Q6264" t="s">
        <v>656</v>
      </c>
      <c r="R6264" t="s">
        <v>201</v>
      </c>
      <c r="S6264">
        <v>3</v>
      </c>
      <c r="T6264">
        <v>1</v>
      </c>
      <c r="U6264">
        <v>141132</v>
      </c>
      <c r="V6264">
        <v>423396</v>
      </c>
    </row>
    <row r="6265" spans="1:22">
      <c r="A6265" t="s">
        <v>196</v>
      </c>
      <c r="B6265">
        <v>27</v>
      </c>
      <c r="C6265" t="s">
        <v>637</v>
      </c>
      <c r="D6265">
        <v>740</v>
      </c>
      <c r="E6265" t="s">
        <v>2208</v>
      </c>
      <c r="F6265">
        <v>1005</v>
      </c>
      <c r="G6265" t="s">
        <v>638</v>
      </c>
      <c r="H6265">
        <v>2012</v>
      </c>
      <c r="I6265" t="s">
        <v>82</v>
      </c>
      <c r="J6265">
        <v>3019</v>
      </c>
      <c r="K6265" t="s">
        <v>82</v>
      </c>
      <c r="L6265">
        <v>4054</v>
      </c>
      <c r="M6265" t="s">
        <v>1835</v>
      </c>
      <c r="N6265" t="s">
        <v>245</v>
      </c>
      <c r="O6265">
        <v>20</v>
      </c>
      <c r="P6265">
        <v>187</v>
      </c>
      <c r="Q6265" t="s">
        <v>656</v>
      </c>
      <c r="R6265" t="s">
        <v>201</v>
      </c>
      <c r="S6265">
        <v>1</v>
      </c>
      <c r="T6265">
        <v>1</v>
      </c>
      <c r="U6265">
        <v>121320</v>
      </c>
      <c r="V6265">
        <v>121320</v>
      </c>
    </row>
    <row r="6266" spans="1:22">
      <c r="A6266" t="s">
        <v>196</v>
      </c>
      <c r="B6266">
        <v>27</v>
      </c>
      <c r="C6266" t="s">
        <v>637</v>
      </c>
      <c r="D6266">
        <v>740</v>
      </c>
      <c r="E6266" t="s">
        <v>2208</v>
      </c>
      <c r="F6266">
        <v>1005</v>
      </c>
      <c r="G6266" t="s">
        <v>638</v>
      </c>
      <c r="H6266">
        <v>2012</v>
      </c>
      <c r="I6266" t="s">
        <v>82</v>
      </c>
      <c r="J6266">
        <v>3019</v>
      </c>
      <c r="K6266" t="s">
        <v>82</v>
      </c>
      <c r="L6266">
        <v>4054</v>
      </c>
      <c r="M6266" t="s">
        <v>1835</v>
      </c>
      <c r="N6266" t="s">
        <v>297</v>
      </c>
      <c r="O6266">
        <v>20</v>
      </c>
      <c r="P6266">
        <v>120</v>
      </c>
      <c r="Q6266" t="s">
        <v>657</v>
      </c>
      <c r="R6266" t="s">
        <v>201</v>
      </c>
      <c r="S6266">
        <v>1</v>
      </c>
      <c r="T6266">
        <v>1</v>
      </c>
      <c r="U6266">
        <v>130476</v>
      </c>
      <c r="V6266">
        <v>130476</v>
      </c>
    </row>
    <row r="6267" spans="1:22">
      <c r="A6267" t="s">
        <v>196</v>
      </c>
      <c r="B6267">
        <v>27</v>
      </c>
      <c r="C6267" t="s">
        <v>637</v>
      </c>
      <c r="D6267">
        <v>740</v>
      </c>
      <c r="E6267" t="s">
        <v>2208</v>
      </c>
      <c r="F6267">
        <v>1005</v>
      </c>
      <c r="G6267" t="s">
        <v>638</v>
      </c>
      <c r="H6267">
        <v>2012</v>
      </c>
      <c r="I6267" t="s">
        <v>82</v>
      </c>
      <c r="J6267">
        <v>3019</v>
      </c>
      <c r="K6267" t="s">
        <v>82</v>
      </c>
      <c r="L6267">
        <v>4054</v>
      </c>
      <c r="M6267" t="s">
        <v>1835</v>
      </c>
      <c r="N6267" t="s">
        <v>297</v>
      </c>
      <c r="O6267">
        <v>20</v>
      </c>
      <c r="P6267">
        <v>120</v>
      </c>
      <c r="Q6267" t="s">
        <v>657</v>
      </c>
      <c r="R6267" t="s">
        <v>201</v>
      </c>
      <c r="S6267">
        <v>1</v>
      </c>
      <c r="T6267">
        <v>1</v>
      </c>
      <c r="U6267">
        <v>101628</v>
      </c>
      <c r="V6267">
        <v>101628</v>
      </c>
    </row>
    <row r="6268" spans="1:22">
      <c r="A6268" t="s">
        <v>196</v>
      </c>
      <c r="B6268">
        <v>27</v>
      </c>
      <c r="C6268" t="s">
        <v>637</v>
      </c>
      <c r="D6268">
        <v>740</v>
      </c>
      <c r="E6268" t="s">
        <v>2208</v>
      </c>
      <c r="F6268">
        <v>1005</v>
      </c>
      <c r="G6268" t="s">
        <v>638</v>
      </c>
      <c r="H6268">
        <v>2012</v>
      </c>
      <c r="I6268" t="s">
        <v>82</v>
      </c>
      <c r="J6268">
        <v>3019</v>
      </c>
      <c r="K6268" t="s">
        <v>82</v>
      </c>
      <c r="L6268">
        <v>4054</v>
      </c>
      <c r="M6268" t="s">
        <v>1835</v>
      </c>
      <c r="N6268" t="s">
        <v>356</v>
      </c>
      <c r="O6268">
        <v>4</v>
      </c>
      <c r="P6268">
        <v>111</v>
      </c>
      <c r="Q6268" t="s">
        <v>648</v>
      </c>
      <c r="R6268" t="s">
        <v>201</v>
      </c>
      <c r="S6268">
        <v>1</v>
      </c>
      <c r="T6268">
        <v>1</v>
      </c>
      <c r="U6268">
        <v>122928</v>
      </c>
      <c r="V6268">
        <v>122928</v>
      </c>
    </row>
    <row r="6269" spans="1:22">
      <c r="A6269" t="s">
        <v>196</v>
      </c>
      <c r="B6269">
        <v>27</v>
      </c>
      <c r="C6269" t="s">
        <v>637</v>
      </c>
      <c r="D6269">
        <v>740</v>
      </c>
      <c r="E6269" t="s">
        <v>2208</v>
      </c>
      <c r="F6269">
        <v>1005</v>
      </c>
      <c r="G6269" t="s">
        <v>638</v>
      </c>
      <c r="H6269">
        <v>2012</v>
      </c>
      <c r="I6269" t="s">
        <v>82</v>
      </c>
      <c r="J6269">
        <v>3019</v>
      </c>
      <c r="K6269" t="s">
        <v>82</v>
      </c>
      <c r="L6269">
        <v>4054</v>
      </c>
      <c r="M6269" t="s">
        <v>1835</v>
      </c>
      <c r="N6269" t="s">
        <v>356</v>
      </c>
      <c r="O6269">
        <v>4</v>
      </c>
      <c r="P6269">
        <v>111</v>
      </c>
      <c r="Q6269" t="s">
        <v>648</v>
      </c>
      <c r="R6269" t="s">
        <v>201</v>
      </c>
      <c r="S6269">
        <v>1</v>
      </c>
      <c r="T6269">
        <v>1</v>
      </c>
      <c r="U6269">
        <v>97488</v>
      </c>
      <c r="V6269">
        <v>97488</v>
      </c>
    </row>
    <row r="6270" spans="1:22">
      <c r="A6270" t="s">
        <v>196</v>
      </c>
      <c r="B6270">
        <v>27</v>
      </c>
      <c r="C6270" t="s">
        <v>637</v>
      </c>
      <c r="D6270">
        <v>740</v>
      </c>
      <c r="E6270" t="s">
        <v>2208</v>
      </c>
      <c r="F6270">
        <v>1005</v>
      </c>
      <c r="G6270" t="s">
        <v>638</v>
      </c>
      <c r="H6270">
        <v>2012</v>
      </c>
      <c r="I6270" t="s">
        <v>82</v>
      </c>
      <c r="J6270">
        <v>3019</v>
      </c>
      <c r="K6270" t="s">
        <v>82</v>
      </c>
      <c r="L6270">
        <v>4054</v>
      </c>
      <c r="M6270" t="s">
        <v>1835</v>
      </c>
      <c r="N6270" t="s">
        <v>356</v>
      </c>
      <c r="O6270">
        <v>4</v>
      </c>
      <c r="P6270">
        <v>111</v>
      </c>
      <c r="Q6270" t="s">
        <v>648</v>
      </c>
      <c r="R6270" t="s">
        <v>201</v>
      </c>
      <c r="S6270">
        <v>1</v>
      </c>
      <c r="T6270">
        <v>1</v>
      </c>
      <c r="U6270">
        <v>92940</v>
      </c>
      <c r="V6270">
        <v>92940</v>
      </c>
    </row>
    <row r="6271" spans="1:22">
      <c r="A6271" t="s">
        <v>196</v>
      </c>
      <c r="B6271">
        <v>27</v>
      </c>
      <c r="C6271" t="s">
        <v>637</v>
      </c>
      <c r="D6271">
        <v>740</v>
      </c>
      <c r="E6271" t="s">
        <v>2208</v>
      </c>
      <c r="F6271">
        <v>1005</v>
      </c>
      <c r="G6271" t="s">
        <v>638</v>
      </c>
      <c r="H6271">
        <v>2012</v>
      </c>
      <c r="I6271" t="s">
        <v>82</v>
      </c>
      <c r="J6271">
        <v>3019</v>
      </c>
      <c r="K6271" t="s">
        <v>82</v>
      </c>
      <c r="L6271">
        <v>4054</v>
      </c>
      <c r="M6271" t="s">
        <v>1835</v>
      </c>
      <c r="N6271" t="s">
        <v>341</v>
      </c>
      <c r="O6271">
        <v>4</v>
      </c>
      <c r="P6271">
        <v>110</v>
      </c>
      <c r="Q6271" t="s">
        <v>359</v>
      </c>
      <c r="R6271" t="s">
        <v>201</v>
      </c>
      <c r="S6271">
        <v>3</v>
      </c>
      <c r="T6271">
        <v>1</v>
      </c>
      <c r="U6271">
        <v>119100</v>
      </c>
      <c r="V6271">
        <v>357300</v>
      </c>
    </row>
    <row r="6272" spans="1:22">
      <c r="A6272" t="s">
        <v>196</v>
      </c>
      <c r="B6272">
        <v>27</v>
      </c>
      <c r="C6272" t="s">
        <v>637</v>
      </c>
      <c r="D6272">
        <v>740</v>
      </c>
      <c r="E6272" t="s">
        <v>2208</v>
      </c>
      <c r="F6272">
        <v>1005</v>
      </c>
      <c r="G6272" t="s">
        <v>638</v>
      </c>
      <c r="H6272">
        <v>2012</v>
      </c>
      <c r="I6272" t="s">
        <v>82</v>
      </c>
      <c r="J6272">
        <v>3019</v>
      </c>
      <c r="K6272" t="s">
        <v>82</v>
      </c>
      <c r="L6272">
        <v>4054</v>
      </c>
      <c r="M6272" t="s">
        <v>1835</v>
      </c>
      <c r="N6272" t="s">
        <v>341</v>
      </c>
      <c r="O6272">
        <v>4</v>
      </c>
      <c r="P6272">
        <v>110</v>
      </c>
      <c r="Q6272" t="s">
        <v>359</v>
      </c>
      <c r="R6272" t="s">
        <v>201</v>
      </c>
      <c r="S6272">
        <v>1</v>
      </c>
      <c r="T6272">
        <v>1</v>
      </c>
      <c r="U6272">
        <v>90144</v>
      </c>
      <c r="V6272">
        <v>90144</v>
      </c>
    </row>
    <row r="6273" spans="1:22">
      <c r="A6273" t="s">
        <v>196</v>
      </c>
      <c r="B6273">
        <v>27</v>
      </c>
      <c r="C6273" t="s">
        <v>637</v>
      </c>
      <c r="D6273">
        <v>740</v>
      </c>
      <c r="E6273" t="s">
        <v>2208</v>
      </c>
      <c r="F6273">
        <v>1005</v>
      </c>
      <c r="G6273" t="s">
        <v>638</v>
      </c>
      <c r="H6273">
        <v>2012</v>
      </c>
      <c r="I6273" t="s">
        <v>82</v>
      </c>
      <c r="J6273">
        <v>3019</v>
      </c>
      <c r="K6273" t="s">
        <v>82</v>
      </c>
      <c r="L6273">
        <v>4054</v>
      </c>
      <c r="M6273" t="s">
        <v>1835</v>
      </c>
      <c r="N6273" t="s">
        <v>341</v>
      </c>
      <c r="O6273">
        <v>4</v>
      </c>
      <c r="P6273">
        <v>110</v>
      </c>
      <c r="Q6273" t="s">
        <v>359</v>
      </c>
      <c r="R6273" t="s">
        <v>201</v>
      </c>
      <c r="S6273">
        <v>1</v>
      </c>
      <c r="T6273">
        <v>1</v>
      </c>
      <c r="U6273">
        <v>85200</v>
      </c>
      <c r="V6273">
        <v>85200</v>
      </c>
    </row>
    <row r="6274" spans="1:22">
      <c r="A6274" t="s">
        <v>196</v>
      </c>
      <c r="B6274">
        <v>27</v>
      </c>
      <c r="C6274" t="s">
        <v>637</v>
      </c>
      <c r="D6274">
        <v>740</v>
      </c>
      <c r="E6274" t="s">
        <v>2208</v>
      </c>
      <c r="F6274">
        <v>1005</v>
      </c>
      <c r="G6274" t="s">
        <v>638</v>
      </c>
      <c r="H6274">
        <v>2012</v>
      </c>
      <c r="I6274" t="s">
        <v>82</v>
      </c>
      <c r="J6274">
        <v>3019</v>
      </c>
      <c r="K6274" t="s">
        <v>82</v>
      </c>
      <c r="L6274">
        <v>4054</v>
      </c>
      <c r="M6274" t="s">
        <v>1835</v>
      </c>
      <c r="N6274" t="s">
        <v>341</v>
      </c>
      <c r="O6274">
        <v>4</v>
      </c>
      <c r="P6274">
        <v>110</v>
      </c>
      <c r="Q6274" t="s">
        <v>359</v>
      </c>
      <c r="R6274" t="s">
        <v>201</v>
      </c>
      <c r="S6274">
        <v>1</v>
      </c>
      <c r="T6274">
        <v>1</v>
      </c>
      <c r="U6274">
        <v>77640</v>
      </c>
      <c r="V6274">
        <v>77640</v>
      </c>
    </row>
    <row r="6275" spans="1:22">
      <c r="A6275" t="s">
        <v>196</v>
      </c>
      <c r="B6275">
        <v>27</v>
      </c>
      <c r="C6275" t="s">
        <v>637</v>
      </c>
      <c r="D6275">
        <v>740</v>
      </c>
      <c r="E6275" t="s">
        <v>2208</v>
      </c>
      <c r="F6275">
        <v>1005</v>
      </c>
      <c r="G6275" t="s">
        <v>638</v>
      </c>
      <c r="H6275">
        <v>2012</v>
      </c>
      <c r="I6275" t="s">
        <v>82</v>
      </c>
      <c r="J6275">
        <v>3019</v>
      </c>
      <c r="K6275" t="s">
        <v>82</v>
      </c>
      <c r="L6275">
        <v>4054</v>
      </c>
      <c r="M6275" t="s">
        <v>1835</v>
      </c>
      <c r="N6275" t="s">
        <v>341</v>
      </c>
      <c r="O6275">
        <v>4</v>
      </c>
      <c r="P6275">
        <v>110</v>
      </c>
      <c r="Q6275" t="s">
        <v>359</v>
      </c>
      <c r="R6275" t="s">
        <v>201</v>
      </c>
      <c r="S6275">
        <v>1</v>
      </c>
      <c r="T6275">
        <v>1</v>
      </c>
      <c r="U6275">
        <v>74172</v>
      </c>
      <c r="V6275">
        <v>74172</v>
      </c>
    </row>
    <row r="6276" spans="1:22">
      <c r="A6276" t="s">
        <v>196</v>
      </c>
      <c r="B6276">
        <v>27</v>
      </c>
      <c r="C6276" t="s">
        <v>637</v>
      </c>
      <c r="D6276">
        <v>740</v>
      </c>
      <c r="E6276" t="s">
        <v>2208</v>
      </c>
      <c r="F6276">
        <v>1005</v>
      </c>
      <c r="G6276" t="s">
        <v>638</v>
      </c>
      <c r="H6276">
        <v>2012</v>
      </c>
      <c r="I6276" t="s">
        <v>82</v>
      </c>
      <c r="J6276">
        <v>3019</v>
      </c>
      <c r="K6276" t="s">
        <v>82</v>
      </c>
      <c r="L6276">
        <v>4054</v>
      </c>
      <c r="M6276" t="s">
        <v>1835</v>
      </c>
      <c r="N6276" t="s">
        <v>341</v>
      </c>
      <c r="O6276">
        <v>4</v>
      </c>
      <c r="P6276">
        <v>110</v>
      </c>
      <c r="Q6276" t="s">
        <v>359</v>
      </c>
      <c r="R6276" t="s">
        <v>201</v>
      </c>
      <c r="S6276">
        <v>1</v>
      </c>
      <c r="T6276">
        <v>1</v>
      </c>
      <c r="U6276">
        <v>70752</v>
      </c>
      <c r="V6276">
        <v>70752</v>
      </c>
    </row>
    <row r="6277" spans="1:22">
      <c r="A6277" t="s">
        <v>196</v>
      </c>
      <c r="B6277">
        <v>27</v>
      </c>
      <c r="C6277" t="s">
        <v>637</v>
      </c>
      <c r="D6277">
        <v>740</v>
      </c>
      <c r="E6277" t="s">
        <v>2208</v>
      </c>
      <c r="F6277">
        <v>1005</v>
      </c>
      <c r="G6277" t="s">
        <v>638</v>
      </c>
      <c r="H6277">
        <v>2012</v>
      </c>
      <c r="I6277" t="s">
        <v>82</v>
      </c>
      <c r="J6277">
        <v>3019</v>
      </c>
      <c r="K6277" t="s">
        <v>82</v>
      </c>
      <c r="L6277">
        <v>4054</v>
      </c>
      <c r="M6277" t="s">
        <v>1835</v>
      </c>
      <c r="N6277" t="s">
        <v>341</v>
      </c>
      <c r="O6277">
        <v>4</v>
      </c>
      <c r="P6277">
        <v>110</v>
      </c>
      <c r="Q6277" t="s">
        <v>359</v>
      </c>
      <c r="R6277" t="s">
        <v>201</v>
      </c>
      <c r="S6277">
        <v>1</v>
      </c>
      <c r="T6277">
        <v>1</v>
      </c>
      <c r="U6277">
        <v>68616</v>
      </c>
      <c r="V6277">
        <v>68616</v>
      </c>
    </row>
    <row r="6278" spans="1:22">
      <c r="A6278" t="s">
        <v>196</v>
      </c>
      <c r="B6278">
        <v>27</v>
      </c>
      <c r="C6278" t="s">
        <v>637</v>
      </c>
      <c r="D6278">
        <v>740</v>
      </c>
      <c r="E6278" t="s">
        <v>2208</v>
      </c>
      <c r="F6278">
        <v>1005</v>
      </c>
      <c r="G6278" t="s">
        <v>638</v>
      </c>
      <c r="H6278">
        <v>2012</v>
      </c>
      <c r="I6278" t="s">
        <v>82</v>
      </c>
      <c r="J6278">
        <v>3019</v>
      </c>
      <c r="K6278" t="s">
        <v>82</v>
      </c>
      <c r="L6278">
        <v>4054</v>
      </c>
      <c r="M6278" t="s">
        <v>1835</v>
      </c>
      <c r="N6278" t="s">
        <v>274</v>
      </c>
      <c r="O6278">
        <v>0</v>
      </c>
      <c r="P6278">
        <v>105</v>
      </c>
      <c r="Q6278" t="s">
        <v>658</v>
      </c>
      <c r="R6278" t="s">
        <v>201</v>
      </c>
      <c r="S6278">
        <v>1</v>
      </c>
      <c r="T6278">
        <v>1</v>
      </c>
      <c r="U6278">
        <v>158508</v>
      </c>
      <c r="V6278">
        <v>158508</v>
      </c>
    </row>
    <row r="6279" spans="1:22">
      <c r="A6279" t="s">
        <v>196</v>
      </c>
      <c r="B6279">
        <v>27</v>
      </c>
      <c r="C6279" t="s">
        <v>637</v>
      </c>
      <c r="D6279">
        <v>740</v>
      </c>
      <c r="E6279" t="s">
        <v>2208</v>
      </c>
      <c r="F6279">
        <v>1005</v>
      </c>
      <c r="G6279" t="s">
        <v>638</v>
      </c>
      <c r="H6279">
        <v>2012</v>
      </c>
      <c r="I6279" t="s">
        <v>82</v>
      </c>
      <c r="J6279">
        <v>3019</v>
      </c>
      <c r="K6279" t="s">
        <v>82</v>
      </c>
      <c r="L6279">
        <v>4054</v>
      </c>
      <c r="M6279" t="s">
        <v>1835</v>
      </c>
      <c r="N6279" t="s">
        <v>199</v>
      </c>
      <c r="O6279">
        <v>0</v>
      </c>
      <c r="P6279">
        <v>15</v>
      </c>
      <c r="Q6279" t="s">
        <v>264</v>
      </c>
      <c r="R6279" t="s">
        <v>201</v>
      </c>
      <c r="S6279">
        <v>0</v>
      </c>
      <c r="T6279">
        <v>0</v>
      </c>
      <c r="U6279">
        <v>33551</v>
      </c>
      <c r="V6279">
        <v>33551</v>
      </c>
    </row>
    <row r="6280" spans="1:22">
      <c r="A6280" t="s">
        <v>196</v>
      </c>
      <c r="B6280">
        <v>27</v>
      </c>
      <c r="C6280" t="s">
        <v>637</v>
      </c>
      <c r="D6280">
        <v>740</v>
      </c>
      <c r="E6280" t="s">
        <v>2208</v>
      </c>
      <c r="F6280">
        <v>1005</v>
      </c>
      <c r="G6280" t="s">
        <v>638</v>
      </c>
      <c r="H6280">
        <v>2015</v>
      </c>
      <c r="I6280" t="s">
        <v>56</v>
      </c>
      <c r="J6280">
        <v>3016</v>
      </c>
      <c r="K6280" t="s">
        <v>659</v>
      </c>
      <c r="L6280">
        <v>4006</v>
      </c>
      <c r="M6280" t="s">
        <v>660</v>
      </c>
      <c r="N6280" t="s">
        <v>351</v>
      </c>
      <c r="O6280">
        <v>1</v>
      </c>
      <c r="P6280">
        <v>801</v>
      </c>
      <c r="Q6280" t="s">
        <v>1281</v>
      </c>
      <c r="R6280" t="s">
        <v>201</v>
      </c>
      <c r="S6280">
        <v>1</v>
      </c>
      <c r="T6280">
        <v>1</v>
      </c>
      <c r="U6280">
        <v>103608</v>
      </c>
      <c r="V6280">
        <v>103608</v>
      </c>
    </row>
    <row r="6281" spans="1:22">
      <c r="A6281" t="s">
        <v>196</v>
      </c>
      <c r="B6281">
        <v>27</v>
      </c>
      <c r="C6281" t="s">
        <v>637</v>
      </c>
      <c r="D6281">
        <v>740</v>
      </c>
      <c r="E6281" t="s">
        <v>2208</v>
      </c>
      <c r="F6281">
        <v>1005</v>
      </c>
      <c r="G6281" t="s">
        <v>638</v>
      </c>
      <c r="H6281">
        <v>2015</v>
      </c>
      <c r="I6281" t="s">
        <v>56</v>
      </c>
      <c r="J6281">
        <v>3016</v>
      </c>
      <c r="K6281" t="s">
        <v>659</v>
      </c>
      <c r="L6281">
        <v>4006</v>
      </c>
      <c r="M6281" t="s">
        <v>660</v>
      </c>
      <c r="N6281" t="s">
        <v>287</v>
      </c>
      <c r="O6281">
        <v>10</v>
      </c>
      <c r="P6281">
        <v>144</v>
      </c>
      <c r="Q6281" t="s">
        <v>1836</v>
      </c>
      <c r="R6281" t="s">
        <v>201</v>
      </c>
      <c r="S6281">
        <v>1</v>
      </c>
      <c r="T6281">
        <v>1</v>
      </c>
      <c r="U6281">
        <v>76020</v>
      </c>
      <c r="V6281">
        <v>76020</v>
      </c>
    </row>
    <row r="6282" spans="1:22">
      <c r="A6282" t="s">
        <v>196</v>
      </c>
      <c r="B6282">
        <v>27</v>
      </c>
      <c r="C6282" t="s">
        <v>637</v>
      </c>
      <c r="D6282">
        <v>740</v>
      </c>
      <c r="E6282" t="s">
        <v>2208</v>
      </c>
      <c r="F6282">
        <v>1005</v>
      </c>
      <c r="G6282" t="s">
        <v>638</v>
      </c>
      <c r="H6282">
        <v>2015</v>
      </c>
      <c r="I6282" t="s">
        <v>56</v>
      </c>
      <c r="J6282">
        <v>3016</v>
      </c>
      <c r="K6282" t="s">
        <v>659</v>
      </c>
      <c r="L6282">
        <v>4006</v>
      </c>
      <c r="M6282" t="s">
        <v>660</v>
      </c>
      <c r="N6282" t="s">
        <v>199</v>
      </c>
      <c r="O6282">
        <v>0</v>
      </c>
      <c r="P6282">
        <v>15</v>
      </c>
      <c r="Q6282" t="s">
        <v>264</v>
      </c>
      <c r="R6282" t="s">
        <v>201</v>
      </c>
      <c r="S6282">
        <v>0</v>
      </c>
      <c r="T6282">
        <v>0</v>
      </c>
      <c r="U6282">
        <v>3859</v>
      </c>
      <c r="V6282">
        <v>3859</v>
      </c>
    </row>
    <row r="6283" spans="1:22">
      <c r="A6283" t="s">
        <v>196</v>
      </c>
      <c r="B6283">
        <v>27</v>
      </c>
      <c r="C6283" t="s">
        <v>637</v>
      </c>
      <c r="D6283">
        <v>740</v>
      </c>
      <c r="E6283" t="s">
        <v>2208</v>
      </c>
      <c r="F6283">
        <v>1005</v>
      </c>
      <c r="G6283" t="s">
        <v>638</v>
      </c>
      <c r="H6283">
        <v>2015</v>
      </c>
      <c r="I6283" t="s">
        <v>56</v>
      </c>
      <c r="J6283">
        <v>3016</v>
      </c>
      <c r="K6283" t="s">
        <v>659</v>
      </c>
      <c r="L6283">
        <v>4080</v>
      </c>
      <c r="M6283" t="s">
        <v>673</v>
      </c>
      <c r="N6283" t="s">
        <v>372</v>
      </c>
      <c r="O6283">
        <v>3</v>
      </c>
      <c r="P6283">
        <v>1711</v>
      </c>
      <c r="Q6283" t="s">
        <v>675</v>
      </c>
      <c r="R6283" t="s">
        <v>201</v>
      </c>
      <c r="S6283">
        <v>1</v>
      </c>
      <c r="T6283">
        <v>1</v>
      </c>
      <c r="U6283">
        <v>77640</v>
      </c>
      <c r="V6283">
        <v>77640</v>
      </c>
    </row>
    <row r="6284" spans="1:22">
      <c r="A6284" t="s">
        <v>196</v>
      </c>
      <c r="B6284">
        <v>27</v>
      </c>
      <c r="C6284" t="s">
        <v>637</v>
      </c>
      <c r="D6284">
        <v>740</v>
      </c>
      <c r="E6284" t="s">
        <v>2208</v>
      </c>
      <c r="F6284">
        <v>1005</v>
      </c>
      <c r="G6284" t="s">
        <v>638</v>
      </c>
      <c r="H6284">
        <v>2015</v>
      </c>
      <c r="I6284" t="s">
        <v>56</v>
      </c>
      <c r="J6284">
        <v>3016</v>
      </c>
      <c r="K6284" t="s">
        <v>659</v>
      </c>
      <c r="L6284">
        <v>4080</v>
      </c>
      <c r="M6284" t="s">
        <v>673</v>
      </c>
      <c r="N6284" t="s">
        <v>249</v>
      </c>
      <c r="O6284">
        <v>10</v>
      </c>
      <c r="P6284">
        <v>310</v>
      </c>
      <c r="Q6284" t="s">
        <v>447</v>
      </c>
      <c r="R6284" t="s">
        <v>201</v>
      </c>
      <c r="S6284">
        <v>1</v>
      </c>
      <c r="T6284">
        <v>1</v>
      </c>
      <c r="U6284">
        <v>97836</v>
      </c>
      <c r="V6284">
        <v>97836</v>
      </c>
    </row>
    <row r="6285" spans="1:22">
      <c r="A6285" t="s">
        <v>196</v>
      </c>
      <c r="B6285">
        <v>27</v>
      </c>
      <c r="C6285" t="s">
        <v>637</v>
      </c>
      <c r="D6285">
        <v>740</v>
      </c>
      <c r="E6285" t="s">
        <v>2208</v>
      </c>
      <c r="F6285">
        <v>1005</v>
      </c>
      <c r="G6285" t="s">
        <v>638</v>
      </c>
      <c r="H6285">
        <v>2015</v>
      </c>
      <c r="I6285" t="s">
        <v>56</v>
      </c>
      <c r="J6285">
        <v>3016</v>
      </c>
      <c r="K6285" t="s">
        <v>659</v>
      </c>
      <c r="L6285">
        <v>4080</v>
      </c>
      <c r="M6285" t="s">
        <v>673</v>
      </c>
      <c r="N6285" t="s">
        <v>274</v>
      </c>
      <c r="O6285">
        <v>0</v>
      </c>
      <c r="P6285">
        <v>105</v>
      </c>
      <c r="Q6285" t="s">
        <v>658</v>
      </c>
      <c r="R6285" t="s">
        <v>201</v>
      </c>
      <c r="S6285">
        <v>1</v>
      </c>
      <c r="T6285">
        <v>1</v>
      </c>
      <c r="U6285">
        <v>121668</v>
      </c>
      <c r="V6285">
        <v>121668</v>
      </c>
    </row>
    <row r="6286" spans="1:22">
      <c r="A6286" t="s">
        <v>196</v>
      </c>
      <c r="B6286">
        <v>27</v>
      </c>
      <c r="C6286" t="s">
        <v>637</v>
      </c>
      <c r="D6286">
        <v>740</v>
      </c>
      <c r="E6286" t="s">
        <v>2208</v>
      </c>
      <c r="F6286">
        <v>1005</v>
      </c>
      <c r="G6286" t="s">
        <v>638</v>
      </c>
      <c r="H6286">
        <v>2015</v>
      </c>
      <c r="I6286" t="s">
        <v>56</v>
      </c>
      <c r="J6286">
        <v>3016</v>
      </c>
      <c r="K6286" t="s">
        <v>659</v>
      </c>
      <c r="L6286">
        <v>4080</v>
      </c>
      <c r="M6286" t="s">
        <v>673</v>
      </c>
      <c r="N6286" t="s">
        <v>199</v>
      </c>
      <c r="O6286">
        <v>0</v>
      </c>
      <c r="P6286">
        <v>15</v>
      </c>
      <c r="Q6286" t="s">
        <v>264</v>
      </c>
      <c r="R6286" t="s">
        <v>201</v>
      </c>
      <c r="S6286">
        <v>0</v>
      </c>
      <c r="T6286">
        <v>0</v>
      </c>
      <c r="U6286">
        <v>4539</v>
      </c>
      <c r="V6286">
        <v>4539</v>
      </c>
    </row>
    <row r="6287" spans="1:22">
      <c r="A6287" t="s">
        <v>196</v>
      </c>
      <c r="B6287">
        <v>27</v>
      </c>
      <c r="C6287" t="s">
        <v>637</v>
      </c>
      <c r="D6287">
        <v>740</v>
      </c>
      <c r="E6287" t="s">
        <v>2208</v>
      </c>
      <c r="F6287">
        <v>1005</v>
      </c>
      <c r="G6287" t="s">
        <v>638</v>
      </c>
      <c r="H6287">
        <v>2015</v>
      </c>
      <c r="I6287" t="s">
        <v>56</v>
      </c>
      <c r="J6287">
        <v>3016</v>
      </c>
      <c r="K6287" t="s">
        <v>659</v>
      </c>
      <c r="L6287">
        <v>4089</v>
      </c>
      <c r="M6287" t="s">
        <v>678</v>
      </c>
      <c r="N6287" t="s">
        <v>268</v>
      </c>
      <c r="O6287">
        <v>10</v>
      </c>
      <c r="P6287">
        <v>1203</v>
      </c>
      <c r="Q6287" t="s">
        <v>680</v>
      </c>
      <c r="R6287" t="s">
        <v>201</v>
      </c>
      <c r="S6287">
        <v>1</v>
      </c>
      <c r="T6287">
        <v>1</v>
      </c>
      <c r="U6287">
        <v>83052</v>
      </c>
      <c r="V6287">
        <v>83052</v>
      </c>
    </row>
    <row r="6288" spans="1:22">
      <c r="A6288" t="s">
        <v>196</v>
      </c>
      <c r="B6288">
        <v>27</v>
      </c>
      <c r="C6288" t="s">
        <v>637</v>
      </c>
      <c r="D6288">
        <v>740</v>
      </c>
      <c r="E6288" t="s">
        <v>2208</v>
      </c>
      <c r="F6288">
        <v>1005</v>
      </c>
      <c r="G6288" t="s">
        <v>638</v>
      </c>
      <c r="H6288">
        <v>2015</v>
      </c>
      <c r="I6288" t="s">
        <v>56</v>
      </c>
      <c r="J6288">
        <v>3017</v>
      </c>
      <c r="K6288" t="s">
        <v>681</v>
      </c>
      <c r="L6288">
        <v>4026</v>
      </c>
      <c r="M6288" t="s">
        <v>682</v>
      </c>
      <c r="N6288" t="s">
        <v>356</v>
      </c>
      <c r="O6288">
        <v>4</v>
      </c>
      <c r="P6288">
        <v>193</v>
      </c>
      <c r="Q6288" t="s">
        <v>647</v>
      </c>
      <c r="R6288" t="s">
        <v>201</v>
      </c>
      <c r="S6288">
        <v>1</v>
      </c>
      <c r="T6288">
        <v>1</v>
      </c>
      <c r="U6288">
        <v>90144</v>
      </c>
      <c r="V6288">
        <v>90144</v>
      </c>
    </row>
    <row r="6289" spans="1:22">
      <c r="A6289" t="s">
        <v>196</v>
      </c>
      <c r="B6289">
        <v>27</v>
      </c>
      <c r="C6289" t="s">
        <v>637</v>
      </c>
      <c r="D6289">
        <v>740</v>
      </c>
      <c r="E6289" t="s">
        <v>2208</v>
      </c>
      <c r="F6289">
        <v>1005</v>
      </c>
      <c r="G6289" t="s">
        <v>638</v>
      </c>
      <c r="H6289">
        <v>2015</v>
      </c>
      <c r="I6289" t="s">
        <v>56</v>
      </c>
      <c r="J6289">
        <v>3017</v>
      </c>
      <c r="K6289" t="s">
        <v>681</v>
      </c>
      <c r="L6289">
        <v>4026</v>
      </c>
      <c r="M6289" t="s">
        <v>682</v>
      </c>
      <c r="N6289" t="s">
        <v>360</v>
      </c>
      <c r="O6289">
        <v>1</v>
      </c>
      <c r="P6289">
        <v>109</v>
      </c>
      <c r="Q6289" t="s">
        <v>361</v>
      </c>
      <c r="R6289" t="s">
        <v>201</v>
      </c>
      <c r="S6289">
        <v>1</v>
      </c>
      <c r="T6289">
        <v>1</v>
      </c>
      <c r="U6289">
        <v>74916</v>
      </c>
      <c r="V6289">
        <v>74916</v>
      </c>
    </row>
    <row r="6290" spans="1:22">
      <c r="A6290" t="s">
        <v>196</v>
      </c>
      <c r="B6290">
        <v>27</v>
      </c>
      <c r="C6290" t="s">
        <v>637</v>
      </c>
      <c r="D6290">
        <v>740</v>
      </c>
      <c r="E6290" t="s">
        <v>2208</v>
      </c>
      <c r="F6290">
        <v>1005</v>
      </c>
      <c r="G6290" t="s">
        <v>638</v>
      </c>
      <c r="H6290">
        <v>2015</v>
      </c>
      <c r="I6290" t="s">
        <v>56</v>
      </c>
      <c r="J6290">
        <v>3017</v>
      </c>
      <c r="K6290" t="s">
        <v>681</v>
      </c>
      <c r="L6290">
        <v>4026</v>
      </c>
      <c r="M6290" t="s">
        <v>682</v>
      </c>
      <c r="N6290" t="s">
        <v>360</v>
      </c>
      <c r="O6290">
        <v>1</v>
      </c>
      <c r="P6290">
        <v>109</v>
      </c>
      <c r="Q6290" t="s">
        <v>361</v>
      </c>
      <c r="R6290" t="s">
        <v>201</v>
      </c>
      <c r="S6290">
        <v>1</v>
      </c>
      <c r="T6290">
        <v>1</v>
      </c>
      <c r="U6290">
        <v>57000</v>
      </c>
      <c r="V6290">
        <v>57000</v>
      </c>
    </row>
    <row r="6291" spans="1:22">
      <c r="A6291" t="s">
        <v>196</v>
      </c>
      <c r="B6291">
        <v>27</v>
      </c>
      <c r="C6291" t="s">
        <v>637</v>
      </c>
      <c r="D6291">
        <v>740</v>
      </c>
      <c r="E6291" t="s">
        <v>2208</v>
      </c>
      <c r="F6291">
        <v>1005</v>
      </c>
      <c r="G6291" t="s">
        <v>638</v>
      </c>
      <c r="H6291">
        <v>2015</v>
      </c>
      <c r="I6291" t="s">
        <v>56</v>
      </c>
      <c r="J6291">
        <v>3017</v>
      </c>
      <c r="K6291" t="s">
        <v>681</v>
      </c>
      <c r="L6291">
        <v>4026</v>
      </c>
      <c r="M6291" t="s">
        <v>682</v>
      </c>
      <c r="N6291" t="s">
        <v>274</v>
      </c>
      <c r="O6291">
        <v>0</v>
      </c>
      <c r="P6291">
        <v>105</v>
      </c>
      <c r="Q6291" t="s">
        <v>658</v>
      </c>
      <c r="R6291" t="s">
        <v>201</v>
      </c>
      <c r="S6291">
        <v>1</v>
      </c>
      <c r="T6291">
        <v>1</v>
      </c>
      <c r="U6291">
        <v>153384</v>
      </c>
      <c r="V6291">
        <v>153384</v>
      </c>
    </row>
    <row r="6292" spans="1:22">
      <c r="A6292" t="s">
        <v>196</v>
      </c>
      <c r="B6292">
        <v>27</v>
      </c>
      <c r="C6292" t="s">
        <v>637</v>
      </c>
      <c r="D6292">
        <v>740</v>
      </c>
      <c r="E6292" t="s">
        <v>2208</v>
      </c>
      <c r="F6292">
        <v>1005</v>
      </c>
      <c r="G6292" t="s">
        <v>638</v>
      </c>
      <c r="H6292">
        <v>2015</v>
      </c>
      <c r="I6292" t="s">
        <v>56</v>
      </c>
      <c r="J6292">
        <v>3017</v>
      </c>
      <c r="K6292" t="s">
        <v>681</v>
      </c>
      <c r="L6292">
        <v>4026</v>
      </c>
      <c r="M6292" t="s">
        <v>682</v>
      </c>
      <c r="N6292" t="s">
        <v>199</v>
      </c>
      <c r="O6292">
        <v>0</v>
      </c>
      <c r="P6292">
        <v>15</v>
      </c>
      <c r="Q6292" t="s">
        <v>264</v>
      </c>
      <c r="R6292" t="s">
        <v>201</v>
      </c>
      <c r="S6292">
        <v>0</v>
      </c>
      <c r="T6292">
        <v>0</v>
      </c>
      <c r="U6292">
        <v>2989</v>
      </c>
      <c r="V6292">
        <v>2989</v>
      </c>
    </row>
    <row r="6293" spans="1:22">
      <c r="A6293" t="s">
        <v>196</v>
      </c>
      <c r="B6293">
        <v>28</v>
      </c>
      <c r="C6293" t="s">
        <v>85</v>
      </c>
      <c r="D6293">
        <v>740</v>
      </c>
      <c r="E6293" t="s">
        <v>2208</v>
      </c>
      <c r="F6293">
        <v>1005</v>
      </c>
      <c r="G6293" t="s">
        <v>85</v>
      </c>
      <c r="H6293">
        <v>2005</v>
      </c>
      <c r="I6293" t="s">
        <v>85</v>
      </c>
      <c r="J6293">
        <v>3010</v>
      </c>
      <c r="K6293" t="s">
        <v>754</v>
      </c>
      <c r="L6293">
        <v>0</v>
      </c>
      <c r="N6293" t="s">
        <v>616</v>
      </c>
      <c r="O6293">
        <v>9</v>
      </c>
      <c r="P6293">
        <v>9673</v>
      </c>
      <c r="Q6293" t="s">
        <v>758</v>
      </c>
      <c r="R6293" t="s">
        <v>201</v>
      </c>
      <c r="S6293">
        <v>1</v>
      </c>
      <c r="T6293">
        <v>1</v>
      </c>
      <c r="U6293">
        <v>177384</v>
      </c>
      <c r="V6293">
        <v>177384</v>
      </c>
    </row>
    <row r="6294" spans="1:22">
      <c r="A6294" t="s">
        <v>196</v>
      </c>
      <c r="B6294">
        <v>28</v>
      </c>
      <c r="C6294" t="s">
        <v>85</v>
      </c>
      <c r="D6294">
        <v>740</v>
      </c>
      <c r="E6294" t="s">
        <v>2208</v>
      </c>
      <c r="F6294">
        <v>1005</v>
      </c>
      <c r="G6294" t="s">
        <v>85</v>
      </c>
      <c r="H6294">
        <v>2005</v>
      </c>
      <c r="I6294" t="s">
        <v>85</v>
      </c>
      <c r="J6294">
        <v>3010</v>
      </c>
      <c r="K6294" t="s">
        <v>754</v>
      </c>
      <c r="L6294">
        <v>0</v>
      </c>
      <c r="N6294" t="s">
        <v>216</v>
      </c>
      <c r="O6294">
        <v>10</v>
      </c>
      <c r="P6294">
        <v>340</v>
      </c>
      <c r="Q6294" t="s">
        <v>753</v>
      </c>
      <c r="R6294" t="s">
        <v>201</v>
      </c>
      <c r="S6294">
        <v>1</v>
      </c>
      <c r="T6294">
        <v>1</v>
      </c>
      <c r="U6294">
        <v>97704</v>
      </c>
      <c r="V6294">
        <v>97704</v>
      </c>
    </row>
    <row r="6295" spans="1:22">
      <c r="A6295" t="s">
        <v>196</v>
      </c>
      <c r="B6295">
        <v>28</v>
      </c>
      <c r="C6295" t="s">
        <v>85</v>
      </c>
      <c r="D6295">
        <v>740</v>
      </c>
      <c r="E6295" t="s">
        <v>2208</v>
      </c>
      <c r="F6295">
        <v>1005</v>
      </c>
      <c r="G6295" t="s">
        <v>85</v>
      </c>
      <c r="H6295">
        <v>2005</v>
      </c>
      <c r="I6295" t="s">
        <v>85</v>
      </c>
      <c r="J6295">
        <v>3015</v>
      </c>
      <c r="K6295" t="s">
        <v>757</v>
      </c>
      <c r="L6295">
        <v>0</v>
      </c>
      <c r="N6295" t="s">
        <v>251</v>
      </c>
      <c r="O6295">
        <v>10</v>
      </c>
      <c r="P6295">
        <v>802</v>
      </c>
      <c r="Q6295" t="s">
        <v>252</v>
      </c>
      <c r="R6295" t="s">
        <v>201</v>
      </c>
      <c r="S6295">
        <v>1</v>
      </c>
      <c r="T6295">
        <v>1</v>
      </c>
      <c r="U6295">
        <v>80124</v>
      </c>
      <c r="V6295">
        <v>80124</v>
      </c>
    </row>
    <row r="6296" spans="1:22">
      <c r="A6296" t="s">
        <v>196</v>
      </c>
      <c r="B6296">
        <v>28</v>
      </c>
      <c r="C6296" t="s">
        <v>85</v>
      </c>
      <c r="D6296">
        <v>740</v>
      </c>
      <c r="E6296" t="s">
        <v>2208</v>
      </c>
      <c r="F6296">
        <v>1005</v>
      </c>
      <c r="G6296" t="s">
        <v>85</v>
      </c>
      <c r="H6296">
        <v>2005</v>
      </c>
      <c r="I6296" t="s">
        <v>85</v>
      </c>
      <c r="J6296">
        <v>3015</v>
      </c>
      <c r="K6296" t="s">
        <v>757</v>
      </c>
      <c r="L6296">
        <v>0</v>
      </c>
      <c r="N6296" t="s">
        <v>356</v>
      </c>
      <c r="O6296">
        <v>1</v>
      </c>
      <c r="P6296">
        <v>242</v>
      </c>
      <c r="Q6296" t="s">
        <v>756</v>
      </c>
      <c r="R6296" t="s">
        <v>201</v>
      </c>
      <c r="S6296">
        <v>1</v>
      </c>
      <c r="T6296">
        <v>1</v>
      </c>
      <c r="U6296">
        <v>122928</v>
      </c>
      <c r="V6296">
        <v>122928</v>
      </c>
    </row>
    <row r="6297" spans="1:22">
      <c r="A6297" t="s">
        <v>196</v>
      </c>
      <c r="B6297">
        <v>28</v>
      </c>
      <c r="C6297" t="s">
        <v>85</v>
      </c>
      <c r="D6297">
        <v>740</v>
      </c>
      <c r="E6297" t="s">
        <v>2208</v>
      </c>
      <c r="F6297">
        <v>1005</v>
      </c>
      <c r="G6297" t="s">
        <v>85</v>
      </c>
      <c r="H6297">
        <v>2005</v>
      </c>
      <c r="I6297" t="s">
        <v>85</v>
      </c>
      <c r="J6297">
        <v>3015</v>
      </c>
      <c r="K6297" t="s">
        <v>757</v>
      </c>
      <c r="L6297">
        <v>0</v>
      </c>
      <c r="N6297" t="s">
        <v>356</v>
      </c>
      <c r="O6297">
        <v>4</v>
      </c>
      <c r="P6297">
        <v>111</v>
      </c>
      <c r="Q6297" t="s">
        <v>648</v>
      </c>
      <c r="R6297" t="s">
        <v>201</v>
      </c>
      <c r="S6297">
        <v>1</v>
      </c>
      <c r="T6297">
        <v>1</v>
      </c>
      <c r="U6297">
        <v>129636</v>
      </c>
      <c r="V6297">
        <v>129636</v>
      </c>
    </row>
    <row r="6298" spans="1:22">
      <c r="A6298" t="s">
        <v>196</v>
      </c>
      <c r="B6298">
        <v>28</v>
      </c>
      <c r="C6298" t="s">
        <v>85</v>
      </c>
      <c r="D6298">
        <v>740</v>
      </c>
      <c r="E6298" t="s">
        <v>2208</v>
      </c>
      <c r="F6298">
        <v>1005</v>
      </c>
      <c r="G6298" t="s">
        <v>85</v>
      </c>
      <c r="H6298">
        <v>2005</v>
      </c>
      <c r="I6298" t="s">
        <v>85</v>
      </c>
      <c r="J6298">
        <v>3015</v>
      </c>
      <c r="K6298" t="s">
        <v>757</v>
      </c>
      <c r="L6298">
        <v>0</v>
      </c>
      <c r="N6298" t="s">
        <v>356</v>
      </c>
      <c r="O6298">
        <v>4</v>
      </c>
      <c r="P6298">
        <v>111</v>
      </c>
      <c r="Q6298" t="s">
        <v>648</v>
      </c>
      <c r="R6298" t="s">
        <v>201</v>
      </c>
      <c r="S6298">
        <v>1</v>
      </c>
      <c r="T6298">
        <v>1</v>
      </c>
      <c r="U6298">
        <v>107628</v>
      </c>
      <c r="V6298">
        <v>107628</v>
      </c>
    </row>
    <row r="6299" spans="1:22">
      <c r="A6299" t="s">
        <v>196</v>
      </c>
      <c r="B6299">
        <v>28</v>
      </c>
      <c r="C6299" t="s">
        <v>85</v>
      </c>
      <c r="D6299">
        <v>740</v>
      </c>
      <c r="E6299" t="s">
        <v>2208</v>
      </c>
      <c r="F6299">
        <v>1005</v>
      </c>
      <c r="G6299" t="s">
        <v>85</v>
      </c>
      <c r="H6299">
        <v>2005</v>
      </c>
      <c r="I6299" t="s">
        <v>85</v>
      </c>
      <c r="J6299">
        <v>3015</v>
      </c>
      <c r="K6299" t="s">
        <v>757</v>
      </c>
      <c r="L6299">
        <v>0</v>
      </c>
      <c r="N6299" t="s">
        <v>341</v>
      </c>
      <c r="O6299">
        <v>4</v>
      </c>
      <c r="P6299">
        <v>110</v>
      </c>
      <c r="Q6299" t="s">
        <v>359</v>
      </c>
      <c r="R6299" t="s">
        <v>201</v>
      </c>
      <c r="S6299">
        <v>1</v>
      </c>
      <c r="T6299">
        <v>1</v>
      </c>
      <c r="U6299">
        <v>119100</v>
      </c>
      <c r="V6299">
        <v>119100</v>
      </c>
    </row>
    <row r="6300" spans="1:22">
      <c r="A6300" t="s">
        <v>196</v>
      </c>
      <c r="B6300">
        <v>28</v>
      </c>
      <c r="C6300" t="s">
        <v>85</v>
      </c>
      <c r="D6300">
        <v>740</v>
      </c>
      <c r="E6300" t="s">
        <v>2208</v>
      </c>
      <c r="F6300">
        <v>1005</v>
      </c>
      <c r="G6300" t="s">
        <v>85</v>
      </c>
      <c r="H6300">
        <v>2005</v>
      </c>
      <c r="I6300" t="s">
        <v>85</v>
      </c>
      <c r="J6300">
        <v>3015</v>
      </c>
      <c r="K6300" t="s">
        <v>757</v>
      </c>
      <c r="L6300">
        <v>0</v>
      </c>
      <c r="N6300" t="s">
        <v>199</v>
      </c>
      <c r="O6300">
        <v>0</v>
      </c>
      <c r="P6300">
        <v>15</v>
      </c>
      <c r="Q6300" t="s">
        <v>264</v>
      </c>
      <c r="R6300" t="s">
        <v>201</v>
      </c>
      <c r="S6300">
        <v>0</v>
      </c>
      <c r="T6300">
        <v>0</v>
      </c>
      <c r="U6300">
        <v>2889</v>
      </c>
      <c r="V6300">
        <v>2889</v>
      </c>
    </row>
    <row r="6301" spans="1:22">
      <c r="A6301" t="s">
        <v>196</v>
      </c>
      <c r="B6301">
        <v>28</v>
      </c>
      <c r="C6301" t="s">
        <v>85</v>
      </c>
      <c r="D6301">
        <v>740</v>
      </c>
      <c r="E6301" t="s">
        <v>2208</v>
      </c>
      <c r="F6301">
        <v>1005</v>
      </c>
      <c r="G6301" t="s">
        <v>85</v>
      </c>
      <c r="H6301">
        <v>2005</v>
      </c>
      <c r="I6301" t="s">
        <v>85</v>
      </c>
      <c r="J6301">
        <v>3020</v>
      </c>
      <c r="K6301" t="s">
        <v>309</v>
      </c>
      <c r="L6301">
        <v>0</v>
      </c>
      <c r="N6301" t="s">
        <v>216</v>
      </c>
      <c r="O6301">
        <v>10</v>
      </c>
      <c r="P6301">
        <v>340</v>
      </c>
      <c r="Q6301" t="s">
        <v>753</v>
      </c>
      <c r="R6301" t="s">
        <v>201</v>
      </c>
      <c r="S6301">
        <v>1</v>
      </c>
      <c r="T6301">
        <v>1</v>
      </c>
      <c r="U6301">
        <v>68004</v>
      </c>
      <c r="V6301">
        <v>68004</v>
      </c>
    </row>
    <row r="6302" spans="1:22">
      <c r="A6302" t="s">
        <v>196</v>
      </c>
      <c r="B6302">
        <v>28</v>
      </c>
      <c r="C6302" t="s">
        <v>85</v>
      </c>
      <c r="D6302">
        <v>740</v>
      </c>
      <c r="E6302" t="s">
        <v>2208</v>
      </c>
      <c r="F6302">
        <v>1005</v>
      </c>
      <c r="G6302" t="s">
        <v>85</v>
      </c>
      <c r="H6302">
        <v>2005</v>
      </c>
      <c r="I6302" t="s">
        <v>85</v>
      </c>
      <c r="J6302">
        <v>3025</v>
      </c>
      <c r="K6302" t="s">
        <v>1840</v>
      </c>
      <c r="L6302">
        <v>0</v>
      </c>
      <c r="N6302" t="s">
        <v>356</v>
      </c>
      <c r="O6302">
        <v>1</v>
      </c>
      <c r="P6302">
        <v>242</v>
      </c>
      <c r="Q6302" t="s">
        <v>756</v>
      </c>
      <c r="R6302" t="s">
        <v>201</v>
      </c>
      <c r="S6302">
        <v>1</v>
      </c>
      <c r="T6302">
        <v>1</v>
      </c>
      <c r="U6302">
        <v>122928</v>
      </c>
      <c r="V6302">
        <v>122928</v>
      </c>
    </row>
    <row r="6303" spans="1:22">
      <c r="A6303" t="s">
        <v>196</v>
      </c>
      <c r="B6303">
        <v>28</v>
      </c>
      <c r="C6303" t="s">
        <v>85</v>
      </c>
      <c r="D6303">
        <v>740</v>
      </c>
      <c r="E6303" t="s">
        <v>2208</v>
      </c>
      <c r="F6303">
        <v>1005</v>
      </c>
      <c r="G6303" t="s">
        <v>85</v>
      </c>
      <c r="H6303">
        <v>2005</v>
      </c>
      <c r="I6303" t="s">
        <v>85</v>
      </c>
      <c r="J6303">
        <v>3025</v>
      </c>
      <c r="K6303" t="s">
        <v>1840</v>
      </c>
      <c r="L6303">
        <v>0</v>
      </c>
      <c r="N6303" t="s">
        <v>199</v>
      </c>
      <c r="O6303">
        <v>0</v>
      </c>
      <c r="P6303">
        <v>15</v>
      </c>
      <c r="Q6303" t="s">
        <v>264</v>
      </c>
      <c r="R6303" t="s">
        <v>201</v>
      </c>
      <c r="S6303">
        <v>0</v>
      </c>
      <c r="T6303">
        <v>0</v>
      </c>
      <c r="U6303">
        <v>813</v>
      </c>
      <c r="V6303">
        <v>813</v>
      </c>
    </row>
    <row r="6304" spans="1:22">
      <c r="A6304" t="s">
        <v>196</v>
      </c>
      <c r="B6304">
        <v>31</v>
      </c>
      <c r="C6304" t="s">
        <v>27</v>
      </c>
      <c r="D6304">
        <v>740</v>
      </c>
      <c r="E6304" t="s">
        <v>2208</v>
      </c>
      <c r="F6304">
        <v>1005</v>
      </c>
      <c r="G6304" t="s">
        <v>27</v>
      </c>
      <c r="H6304">
        <v>2005</v>
      </c>
      <c r="I6304" t="s">
        <v>27</v>
      </c>
      <c r="J6304">
        <v>3022</v>
      </c>
      <c r="K6304" t="s">
        <v>815</v>
      </c>
      <c r="L6304">
        <v>4008</v>
      </c>
      <c r="M6304" t="s">
        <v>817</v>
      </c>
      <c r="N6304" t="s">
        <v>247</v>
      </c>
      <c r="O6304">
        <v>10</v>
      </c>
      <c r="P6304">
        <v>1623</v>
      </c>
      <c r="Q6304" t="s">
        <v>823</v>
      </c>
      <c r="R6304" t="s">
        <v>201</v>
      </c>
      <c r="S6304">
        <v>1</v>
      </c>
      <c r="T6304">
        <v>1</v>
      </c>
      <c r="U6304">
        <v>57852</v>
      </c>
      <c r="V6304">
        <v>57852</v>
      </c>
    </row>
    <row r="6305" spans="1:22">
      <c r="A6305" t="s">
        <v>196</v>
      </c>
      <c r="B6305">
        <v>31</v>
      </c>
      <c r="C6305" t="s">
        <v>27</v>
      </c>
      <c r="D6305">
        <v>740</v>
      </c>
      <c r="E6305" t="s">
        <v>2208</v>
      </c>
      <c r="F6305">
        <v>1005</v>
      </c>
      <c r="G6305" t="s">
        <v>27</v>
      </c>
      <c r="H6305">
        <v>2005</v>
      </c>
      <c r="I6305" t="s">
        <v>27</v>
      </c>
      <c r="J6305">
        <v>3022</v>
      </c>
      <c r="K6305" t="s">
        <v>815</v>
      </c>
      <c r="L6305">
        <v>4008</v>
      </c>
      <c r="M6305" t="s">
        <v>817</v>
      </c>
      <c r="N6305" t="s">
        <v>199</v>
      </c>
      <c r="O6305">
        <v>0</v>
      </c>
      <c r="P6305">
        <v>15</v>
      </c>
      <c r="Q6305" t="s">
        <v>264</v>
      </c>
      <c r="R6305" t="s">
        <v>201</v>
      </c>
      <c r="S6305">
        <v>0</v>
      </c>
      <c r="T6305">
        <v>0</v>
      </c>
      <c r="U6305">
        <v>1404</v>
      </c>
      <c r="V6305">
        <v>1404</v>
      </c>
    </row>
    <row r="6306" spans="1:22">
      <c r="A6306" t="s">
        <v>196</v>
      </c>
      <c r="B6306">
        <v>31</v>
      </c>
      <c r="C6306" t="s">
        <v>27</v>
      </c>
      <c r="D6306">
        <v>740</v>
      </c>
      <c r="E6306" t="s">
        <v>2208</v>
      </c>
      <c r="F6306">
        <v>1005</v>
      </c>
      <c r="G6306" t="s">
        <v>27</v>
      </c>
      <c r="H6306">
        <v>2005</v>
      </c>
      <c r="I6306" t="s">
        <v>27</v>
      </c>
      <c r="J6306">
        <v>3028</v>
      </c>
      <c r="K6306" t="s">
        <v>819</v>
      </c>
      <c r="L6306">
        <v>4014</v>
      </c>
      <c r="M6306" t="s">
        <v>2210</v>
      </c>
      <c r="N6306" t="s">
        <v>796</v>
      </c>
      <c r="O6306">
        <v>9</v>
      </c>
      <c r="P6306">
        <v>1658</v>
      </c>
      <c r="Q6306" t="s">
        <v>2211</v>
      </c>
      <c r="R6306" t="s">
        <v>201</v>
      </c>
      <c r="S6306">
        <v>1</v>
      </c>
      <c r="T6306">
        <v>1</v>
      </c>
      <c r="U6306">
        <v>184800</v>
      </c>
      <c r="V6306">
        <v>184800</v>
      </c>
    </row>
    <row r="6307" spans="1:22">
      <c r="A6307" t="s">
        <v>196</v>
      </c>
      <c r="B6307">
        <v>31</v>
      </c>
      <c r="C6307" t="s">
        <v>27</v>
      </c>
      <c r="D6307">
        <v>740</v>
      </c>
      <c r="E6307" t="s">
        <v>2208</v>
      </c>
      <c r="F6307">
        <v>1005</v>
      </c>
      <c r="G6307" t="s">
        <v>27</v>
      </c>
      <c r="H6307">
        <v>2005</v>
      </c>
      <c r="I6307" t="s">
        <v>27</v>
      </c>
      <c r="J6307">
        <v>3028</v>
      </c>
      <c r="K6307" t="s">
        <v>819</v>
      </c>
      <c r="L6307">
        <v>4014</v>
      </c>
      <c r="M6307" t="s">
        <v>2210</v>
      </c>
      <c r="N6307" t="s">
        <v>796</v>
      </c>
      <c r="O6307">
        <v>9</v>
      </c>
      <c r="P6307">
        <v>1652</v>
      </c>
      <c r="Q6307" t="s">
        <v>797</v>
      </c>
      <c r="R6307" t="s">
        <v>201</v>
      </c>
      <c r="S6307">
        <v>1</v>
      </c>
      <c r="T6307">
        <v>1</v>
      </c>
      <c r="U6307">
        <v>173160</v>
      </c>
      <c r="V6307">
        <v>173160</v>
      </c>
    </row>
    <row r="6308" spans="1:22">
      <c r="A6308" t="s">
        <v>196</v>
      </c>
      <c r="B6308">
        <v>31</v>
      </c>
      <c r="C6308" t="s">
        <v>27</v>
      </c>
      <c r="D6308">
        <v>740</v>
      </c>
      <c r="E6308" t="s">
        <v>2208</v>
      </c>
      <c r="F6308">
        <v>1005</v>
      </c>
      <c r="G6308" t="s">
        <v>27</v>
      </c>
      <c r="H6308">
        <v>2005</v>
      </c>
      <c r="I6308" t="s">
        <v>27</v>
      </c>
      <c r="J6308">
        <v>3028</v>
      </c>
      <c r="K6308" t="s">
        <v>819</v>
      </c>
      <c r="L6308">
        <v>4014</v>
      </c>
      <c r="M6308" t="s">
        <v>2210</v>
      </c>
      <c r="N6308" t="s">
        <v>785</v>
      </c>
      <c r="O6308">
        <v>9</v>
      </c>
      <c r="P6308">
        <v>1649</v>
      </c>
      <c r="Q6308" t="s">
        <v>2212</v>
      </c>
      <c r="R6308" t="s">
        <v>201</v>
      </c>
      <c r="S6308">
        <v>1</v>
      </c>
      <c r="T6308">
        <v>1</v>
      </c>
      <c r="U6308">
        <v>212784</v>
      </c>
      <c r="V6308">
        <v>212784</v>
      </c>
    </row>
    <row r="6309" spans="1:22">
      <c r="A6309" t="s">
        <v>196</v>
      </c>
      <c r="B6309">
        <v>31</v>
      </c>
      <c r="C6309" t="s">
        <v>27</v>
      </c>
      <c r="D6309">
        <v>740</v>
      </c>
      <c r="E6309" t="s">
        <v>2208</v>
      </c>
      <c r="F6309">
        <v>1005</v>
      </c>
      <c r="G6309" t="s">
        <v>27</v>
      </c>
      <c r="H6309">
        <v>2005</v>
      </c>
      <c r="I6309" t="s">
        <v>27</v>
      </c>
      <c r="J6309">
        <v>3028</v>
      </c>
      <c r="K6309" t="s">
        <v>819</v>
      </c>
      <c r="L6309">
        <v>4014</v>
      </c>
      <c r="M6309" t="s">
        <v>2210</v>
      </c>
      <c r="N6309" t="s">
        <v>199</v>
      </c>
      <c r="O6309">
        <v>0</v>
      </c>
      <c r="P6309">
        <v>15</v>
      </c>
      <c r="Q6309" t="s">
        <v>264</v>
      </c>
      <c r="R6309" t="s">
        <v>201</v>
      </c>
      <c r="S6309">
        <v>0</v>
      </c>
      <c r="T6309">
        <v>0</v>
      </c>
      <c r="U6309">
        <v>4405</v>
      </c>
      <c r="V6309">
        <v>4405</v>
      </c>
    </row>
    <row r="6310" spans="1:22">
      <c r="A6310" t="s">
        <v>196</v>
      </c>
      <c r="B6310">
        <v>31</v>
      </c>
      <c r="C6310" t="s">
        <v>27</v>
      </c>
      <c r="D6310">
        <v>740</v>
      </c>
      <c r="E6310" t="s">
        <v>2208</v>
      </c>
      <c r="F6310">
        <v>1005</v>
      </c>
      <c r="G6310" t="s">
        <v>27</v>
      </c>
      <c r="H6310">
        <v>2005</v>
      </c>
      <c r="I6310" t="s">
        <v>27</v>
      </c>
      <c r="J6310">
        <v>3038</v>
      </c>
      <c r="K6310" t="s">
        <v>827</v>
      </c>
      <c r="L6310">
        <v>4034</v>
      </c>
      <c r="M6310" t="s">
        <v>2172</v>
      </c>
      <c r="N6310" t="s">
        <v>268</v>
      </c>
      <c r="O6310">
        <v>0</v>
      </c>
      <c r="P6310">
        <v>1689</v>
      </c>
      <c r="Q6310" t="s">
        <v>779</v>
      </c>
      <c r="R6310" t="s">
        <v>201</v>
      </c>
      <c r="S6310">
        <v>1</v>
      </c>
      <c r="T6310">
        <v>1</v>
      </c>
      <c r="U6310">
        <v>113568</v>
      </c>
      <c r="V6310">
        <v>113568</v>
      </c>
    </row>
    <row r="6311" spans="1:22">
      <c r="A6311" t="s">
        <v>196</v>
      </c>
      <c r="B6311">
        <v>31</v>
      </c>
      <c r="C6311" t="s">
        <v>27</v>
      </c>
      <c r="D6311">
        <v>740</v>
      </c>
      <c r="E6311" t="s">
        <v>2208</v>
      </c>
      <c r="F6311">
        <v>1005</v>
      </c>
      <c r="G6311" t="s">
        <v>27</v>
      </c>
      <c r="H6311">
        <v>2005</v>
      </c>
      <c r="I6311" t="s">
        <v>27</v>
      </c>
      <c r="J6311">
        <v>3038</v>
      </c>
      <c r="K6311" t="s">
        <v>827</v>
      </c>
      <c r="L6311">
        <v>4034</v>
      </c>
      <c r="M6311" t="s">
        <v>2172</v>
      </c>
      <c r="N6311" t="s">
        <v>821</v>
      </c>
      <c r="O6311">
        <v>9</v>
      </c>
      <c r="P6311">
        <v>1672</v>
      </c>
      <c r="Q6311" t="s">
        <v>822</v>
      </c>
      <c r="R6311" t="s">
        <v>201</v>
      </c>
      <c r="S6311">
        <v>1</v>
      </c>
      <c r="T6311">
        <v>1</v>
      </c>
      <c r="U6311">
        <v>108084</v>
      </c>
      <c r="V6311">
        <v>108084</v>
      </c>
    </row>
    <row r="6312" spans="1:22">
      <c r="A6312" t="s">
        <v>196</v>
      </c>
      <c r="B6312">
        <v>31</v>
      </c>
      <c r="C6312" t="s">
        <v>27</v>
      </c>
      <c r="D6312">
        <v>740</v>
      </c>
      <c r="E6312" t="s">
        <v>2208</v>
      </c>
      <c r="F6312">
        <v>1005</v>
      </c>
      <c r="G6312" t="s">
        <v>27</v>
      </c>
      <c r="H6312">
        <v>2005</v>
      </c>
      <c r="I6312" t="s">
        <v>27</v>
      </c>
      <c r="J6312">
        <v>3038</v>
      </c>
      <c r="K6312" t="s">
        <v>827</v>
      </c>
      <c r="L6312">
        <v>4034</v>
      </c>
      <c r="M6312" t="s">
        <v>2172</v>
      </c>
      <c r="N6312" t="s">
        <v>821</v>
      </c>
      <c r="O6312">
        <v>9</v>
      </c>
      <c r="P6312">
        <v>1672</v>
      </c>
      <c r="Q6312" t="s">
        <v>822</v>
      </c>
      <c r="R6312" t="s">
        <v>201</v>
      </c>
      <c r="S6312">
        <v>3</v>
      </c>
      <c r="T6312">
        <v>1</v>
      </c>
      <c r="U6312">
        <v>98484</v>
      </c>
      <c r="V6312">
        <v>295452</v>
      </c>
    </row>
    <row r="6313" spans="1:22">
      <c r="A6313" t="s">
        <v>196</v>
      </c>
      <c r="B6313">
        <v>31</v>
      </c>
      <c r="C6313" t="s">
        <v>27</v>
      </c>
      <c r="D6313">
        <v>740</v>
      </c>
      <c r="E6313" t="s">
        <v>2208</v>
      </c>
      <c r="F6313">
        <v>1005</v>
      </c>
      <c r="G6313" t="s">
        <v>27</v>
      </c>
      <c r="H6313">
        <v>2005</v>
      </c>
      <c r="I6313" t="s">
        <v>27</v>
      </c>
      <c r="J6313">
        <v>3038</v>
      </c>
      <c r="K6313" t="s">
        <v>827</v>
      </c>
      <c r="L6313">
        <v>4034</v>
      </c>
      <c r="M6313" t="s">
        <v>2172</v>
      </c>
      <c r="N6313" t="s">
        <v>821</v>
      </c>
      <c r="O6313">
        <v>9</v>
      </c>
      <c r="P6313">
        <v>1672</v>
      </c>
      <c r="Q6313" t="s">
        <v>822</v>
      </c>
      <c r="R6313" t="s">
        <v>201</v>
      </c>
      <c r="S6313">
        <v>2</v>
      </c>
      <c r="T6313">
        <v>1</v>
      </c>
      <c r="U6313">
        <v>81816</v>
      </c>
      <c r="V6313">
        <v>163632</v>
      </c>
    </row>
    <row r="6314" spans="1:22">
      <c r="A6314" t="s">
        <v>196</v>
      </c>
      <c r="B6314">
        <v>31</v>
      </c>
      <c r="C6314" t="s">
        <v>27</v>
      </c>
      <c r="D6314">
        <v>740</v>
      </c>
      <c r="E6314" t="s">
        <v>2208</v>
      </c>
      <c r="F6314">
        <v>1005</v>
      </c>
      <c r="G6314" t="s">
        <v>27</v>
      </c>
      <c r="H6314">
        <v>2005</v>
      </c>
      <c r="I6314" t="s">
        <v>27</v>
      </c>
      <c r="J6314">
        <v>3038</v>
      </c>
      <c r="K6314" t="s">
        <v>827</v>
      </c>
      <c r="L6314">
        <v>4034</v>
      </c>
      <c r="M6314" t="s">
        <v>2172</v>
      </c>
      <c r="N6314" t="s">
        <v>785</v>
      </c>
      <c r="O6314">
        <v>9</v>
      </c>
      <c r="P6314">
        <v>1650</v>
      </c>
      <c r="Q6314" t="s">
        <v>786</v>
      </c>
      <c r="R6314" t="s">
        <v>201</v>
      </c>
      <c r="S6314">
        <v>1</v>
      </c>
      <c r="T6314">
        <v>1</v>
      </c>
      <c r="U6314">
        <v>192852</v>
      </c>
      <c r="V6314">
        <v>192852</v>
      </c>
    </row>
    <row r="6315" spans="1:22">
      <c r="A6315" t="s">
        <v>196</v>
      </c>
      <c r="B6315">
        <v>31</v>
      </c>
      <c r="C6315" t="s">
        <v>27</v>
      </c>
      <c r="D6315">
        <v>740</v>
      </c>
      <c r="E6315" t="s">
        <v>2208</v>
      </c>
      <c r="F6315">
        <v>1005</v>
      </c>
      <c r="G6315" t="s">
        <v>27</v>
      </c>
      <c r="H6315">
        <v>2005</v>
      </c>
      <c r="I6315" t="s">
        <v>27</v>
      </c>
      <c r="J6315">
        <v>3038</v>
      </c>
      <c r="K6315" t="s">
        <v>827</v>
      </c>
      <c r="L6315">
        <v>4034</v>
      </c>
      <c r="M6315" t="s">
        <v>2172</v>
      </c>
      <c r="N6315" t="s">
        <v>798</v>
      </c>
      <c r="O6315">
        <v>9</v>
      </c>
      <c r="P6315">
        <v>1641</v>
      </c>
      <c r="Q6315" t="s">
        <v>799</v>
      </c>
      <c r="R6315" t="s">
        <v>201</v>
      </c>
      <c r="S6315">
        <v>2</v>
      </c>
      <c r="T6315">
        <v>1</v>
      </c>
      <c r="U6315">
        <v>164100</v>
      </c>
      <c r="V6315">
        <v>328200</v>
      </c>
    </row>
    <row r="6316" spans="1:22">
      <c r="A6316" t="s">
        <v>196</v>
      </c>
      <c r="B6316">
        <v>31</v>
      </c>
      <c r="C6316" t="s">
        <v>27</v>
      </c>
      <c r="D6316">
        <v>740</v>
      </c>
      <c r="E6316" t="s">
        <v>2208</v>
      </c>
      <c r="F6316">
        <v>1005</v>
      </c>
      <c r="G6316" t="s">
        <v>27</v>
      </c>
      <c r="H6316">
        <v>2005</v>
      </c>
      <c r="I6316" t="s">
        <v>27</v>
      </c>
      <c r="J6316">
        <v>3038</v>
      </c>
      <c r="K6316" t="s">
        <v>827</v>
      </c>
      <c r="L6316">
        <v>4034</v>
      </c>
      <c r="M6316" t="s">
        <v>2172</v>
      </c>
      <c r="N6316" t="s">
        <v>798</v>
      </c>
      <c r="O6316">
        <v>9</v>
      </c>
      <c r="P6316">
        <v>1641</v>
      </c>
      <c r="Q6316" t="s">
        <v>799</v>
      </c>
      <c r="R6316" t="s">
        <v>201</v>
      </c>
      <c r="S6316">
        <v>1</v>
      </c>
      <c r="T6316">
        <v>1</v>
      </c>
      <c r="U6316">
        <v>156648</v>
      </c>
      <c r="V6316">
        <v>156648</v>
      </c>
    </row>
    <row r="6317" spans="1:22">
      <c r="A6317" t="s">
        <v>196</v>
      </c>
      <c r="B6317">
        <v>31</v>
      </c>
      <c r="C6317" t="s">
        <v>27</v>
      </c>
      <c r="D6317">
        <v>740</v>
      </c>
      <c r="E6317" t="s">
        <v>2208</v>
      </c>
      <c r="F6317">
        <v>1005</v>
      </c>
      <c r="G6317" t="s">
        <v>27</v>
      </c>
      <c r="H6317">
        <v>2005</v>
      </c>
      <c r="I6317" t="s">
        <v>27</v>
      </c>
      <c r="J6317">
        <v>3038</v>
      </c>
      <c r="K6317" t="s">
        <v>827</v>
      </c>
      <c r="L6317">
        <v>4034</v>
      </c>
      <c r="M6317" t="s">
        <v>2172</v>
      </c>
      <c r="N6317" t="s">
        <v>798</v>
      </c>
      <c r="O6317">
        <v>9</v>
      </c>
      <c r="P6317">
        <v>1641</v>
      </c>
      <c r="Q6317" t="s">
        <v>799</v>
      </c>
      <c r="R6317" t="s">
        <v>201</v>
      </c>
      <c r="S6317">
        <v>1</v>
      </c>
      <c r="T6317">
        <v>1</v>
      </c>
      <c r="U6317">
        <v>136284</v>
      </c>
      <c r="V6317">
        <v>136284</v>
      </c>
    </row>
    <row r="6318" spans="1:22">
      <c r="A6318" t="s">
        <v>196</v>
      </c>
      <c r="B6318">
        <v>31</v>
      </c>
      <c r="C6318" t="s">
        <v>27</v>
      </c>
      <c r="D6318">
        <v>740</v>
      </c>
      <c r="E6318" t="s">
        <v>2208</v>
      </c>
      <c r="F6318">
        <v>1005</v>
      </c>
      <c r="G6318" t="s">
        <v>27</v>
      </c>
      <c r="H6318">
        <v>2005</v>
      </c>
      <c r="I6318" t="s">
        <v>27</v>
      </c>
      <c r="J6318">
        <v>3038</v>
      </c>
      <c r="K6318" t="s">
        <v>827</v>
      </c>
      <c r="L6318">
        <v>4034</v>
      </c>
      <c r="M6318" t="s">
        <v>2172</v>
      </c>
      <c r="N6318" t="s">
        <v>798</v>
      </c>
      <c r="O6318">
        <v>9</v>
      </c>
      <c r="P6318">
        <v>1641</v>
      </c>
      <c r="Q6318" t="s">
        <v>799</v>
      </c>
      <c r="R6318" t="s">
        <v>201</v>
      </c>
      <c r="S6318">
        <v>2</v>
      </c>
      <c r="T6318">
        <v>1</v>
      </c>
      <c r="U6318">
        <v>130128</v>
      </c>
      <c r="V6318">
        <v>260256</v>
      </c>
    </row>
    <row r="6319" spans="1:22">
      <c r="A6319" t="s">
        <v>196</v>
      </c>
      <c r="B6319">
        <v>31</v>
      </c>
      <c r="C6319" t="s">
        <v>27</v>
      </c>
      <c r="D6319">
        <v>740</v>
      </c>
      <c r="E6319" t="s">
        <v>2208</v>
      </c>
      <c r="F6319">
        <v>1005</v>
      </c>
      <c r="G6319" t="s">
        <v>27</v>
      </c>
      <c r="H6319">
        <v>2005</v>
      </c>
      <c r="I6319" t="s">
        <v>27</v>
      </c>
      <c r="J6319">
        <v>3038</v>
      </c>
      <c r="K6319" t="s">
        <v>827</v>
      </c>
      <c r="L6319">
        <v>4034</v>
      </c>
      <c r="M6319" t="s">
        <v>2172</v>
      </c>
      <c r="N6319" t="s">
        <v>351</v>
      </c>
      <c r="O6319">
        <v>1</v>
      </c>
      <c r="P6319">
        <v>863</v>
      </c>
      <c r="Q6319" t="s">
        <v>834</v>
      </c>
      <c r="R6319" t="s">
        <v>201</v>
      </c>
      <c r="S6319">
        <v>1</v>
      </c>
      <c r="T6319">
        <v>1</v>
      </c>
      <c r="U6319">
        <v>67608</v>
      </c>
      <c r="V6319">
        <v>67608</v>
      </c>
    </row>
    <row r="6320" spans="1:22">
      <c r="A6320" t="s">
        <v>196</v>
      </c>
      <c r="B6320">
        <v>31</v>
      </c>
      <c r="C6320" t="s">
        <v>27</v>
      </c>
      <c r="D6320">
        <v>740</v>
      </c>
      <c r="E6320" t="s">
        <v>2208</v>
      </c>
      <c r="F6320">
        <v>1005</v>
      </c>
      <c r="G6320" t="s">
        <v>27</v>
      </c>
      <c r="H6320">
        <v>2005</v>
      </c>
      <c r="I6320" t="s">
        <v>27</v>
      </c>
      <c r="J6320">
        <v>3038</v>
      </c>
      <c r="K6320" t="s">
        <v>827</v>
      </c>
      <c r="L6320">
        <v>4034</v>
      </c>
      <c r="M6320" t="s">
        <v>2172</v>
      </c>
      <c r="N6320" t="s">
        <v>199</v>
      </c>
      <c r="O6320">
        <v>0</v>
      </c>
      <c r="P6320">
        <v>15</v>
      </c>
      <c r="Q6320" t="s">
        <v>264</v>
      </c>
      <c r="R6320" t="s">
        <v>201</v>
      </c>
      <c r="S6320">
        <v>0</v>
      </c>
      <c r="T6320">
        <v>0</v>
      </c>
      <c r="U6320">
        <v>6891</v>
      </c>
      <c r="V6320">
        <v>6891</v>
      </c>
    </row>
    <row r="6321" spans="1:22">
      <c r="A6321" t="s">
        <v>196</v>
      </c>
      <c r="B6321">
        <v>31</v>
      </c>
      <c r="C6321" t="s">
        <v>27</v>
      </c>
      <c r="D6321">
        <v>740</v>
      </c>
      <c r="E6321" t="s">
        <v>2208</v>
      </c>
      <c r="F6321">
        <v>1005</v>
      </c>
      <c r="G6321" t="s">
        <v>27</v>
      </c>
      <c r="H6321">
        <v>2005</v>
      </c>
      <c r="I6321" t="s">
        <v>27</v>
      </c>
      <c r="J6321">
        <v>3707</v>
      </c>
      <c r="K6321" t="s">
        <v>793</v>
      </c>
      <c r="L6321">
        <v>0</v>
      </c>
      <c r="N6321" t="s">
        <v>794</v>
      </c>
      <c r="O6321">
        <v>9</v>
      </c>
      <c r="P6321">
        <v>1673</v>
      </c>
      <c r="Q6321" t="s">
        <v>795</v>
      </c>
      <c r="R6321" t="s">
        <v>201</v>
      </c>
      <c r="S6321">
        <v>1</v>
      </c>
      <c r="T6321">
        <v>1</v>
      </c>
      <c r="U6321">
        <v>118596</v>
      </c>
      <c r="V6321">
        <v>118596</v>
      </c>
    </row>
    <row r="6322" spans="1:22">
      <c r="A6322" t="s">
        <v>196</v>
      </c>
      <c r="B6322">
        <v>31</v>
      </c>
      <c r="C6322" t="s">
        <v>27</v>
      </c>
      <c r="D6322">
        <v>740</v>
      </c>
      <c r="E6322" t="s">
        <v>2208</v>
      </c>
      <c r="F6322">
        <v>1005</v>
      </c>
      <c r="G6322" t="s">
        <v>27</v>
      </c>
      <c r="H6322">
        <v>2005</v>
      </c>
      <c r="I6322" t="s">
        <v>27</v>
      </c>
      <c r="J6322">
        <v>3749</v>
      </c>
      <c r="K6322" t="s">
        <v>838</v>
      </c>
      <c r="L6322">
        <v>0</v>
      </c>
      <c r="N6322" t="s">
        <v>804</v>
      </c>
      <c r="O6322">
        <v>9</v>
      </c>
      <c r="P6322">
        <v>1643</v>
      </c>
      <c r="Q6322" t="s">
        <v>805</v>
      </c>
      <c r="R6322" t="s">
        <v>201</v>
      </c>
      <c r="S6322">
        <v>1</v>
      </c>
      <c r="T6322">
        <v>1</v>
      </c>
      <c r="U6322">
        <v>130128</v>
      </c>
      <c r="V6322">
        <v>130128</v>
      </c>
    </row>
    <row r="6323" spans="1:22">
      <c r="A6323" t="s">
        <v>196</v>
      </c>
      <c r="B6323">
        <v>33</v>
      </c>
      <c r="C6323" t="s">
        <v>51</v>
      </c>
      <c r="D6323">
        <v>740</v>
      </c>
      <c r="E6323" t="s">
        <v>2208</v>
      </c>
      <c r="F6323">
        <v>1005</v>
      </c>
      <c r="G6323" t="s">
        <v>51</v>
      </c>
      <c r="H6323">
        <v>2005</v>
      </c>
      <c r="I6323" t="s">
        <v>51</v>
      </c>
      <c r="J6323">
        <v>3040</v>
      </c>
      <c r="K6323" t="s">
        <v>872</v>
      </c>
      <c r="L6323">
        <v>4045</v>
      </c>
      <c r="M6323" t="s">
        <v>873</v>
      </c>
      <c r="N6323" t="s">
        <v>633</v>
      </c>
      <c r="O6323">
        <v>1</v>
      </c>
      <c r="P6323">
        <v>1370</v>
      </c>
      <c r="Q6323" t="s">
        <v>870</v>
      </c>
      <c r="R6323" t="s">
        <v>201</v>
      </c>
      <c r="S6323">
        <v>1</v>
      </c>
      <c r="T6323">
        <v>1</v>
      </c>
      <c r="U6323">
        <v>98460</v>
      </c>
      <c r="V6323">
        <v>98460</v>
      </c>
    </row>
    <row r="6324" spans="1:22">
      <c r="A6324" t="s">
        <v>196</v>
      </c>
      <c r="B6324">
        <v>33</v>
      </c>
      <c r="C6324" t="s">
        <v>51</v>
      </c>
      <c r="D6324">
        <v>740</v>
      </c>
      <c r="E6324" t="s">
        <v>2208</v>
      </c>
      <c r="F6324">
        <v>1005</v>
      </c>
      <c r="G6324" t="s">
        <v>51</v>
      </c>
      <c r="H6324">
        <v>2005</v>
      </c>
      <c r="I6324" t="s">
        <v>51</v>
      </c>
      <c r="J6324">
        <v>3040</v>
      </c>
      <c r="K6324" t="s">
        <v>872</v>
      </c>
      <c r="L6324">
        <v>4046</v>
      </c>
      <c r="M6324" t="s">
        <v>878</v>
      </c>
      <c r="N6324" t="s">
        <v>702</v>
      </c>
      <c r="O6324">
        <v>1</v>
      </c>
      <c r="P6324">
        <v>1357</v>
      </c>
      <c r="Q6324" t="s">
        <v>882</v>
      </c>
      <c r="R6324" t="s">
        <v>201</v>
      </c>
      <c r="S6324">
        <v>1</v>
      </c>
      <c r="T6324">
        <v>1</v>
      </c>
      <c r="U6324">
        <v>80196</v>
      </c>
      <c r="V6324">
        <v>80196</v>
      </c>
    </row>
    <row r="6325" spans="1:22">
      <c r="A6325" t="s">
        <v>196</v>
      </c>
      <c r="B6325">
        <v>33</v>
      </c>
      <c r="C6325" t="s">
        <v>51</v>
      </c>
      <c r="D6325">
        <v>740</v>
      </c>
      <c r="E6325" t="s">
        <v>2208</v>
      </c>
      <c r="F6325">
        <v>1005</v>
      </c>
      <c r="G6325" t="s">
        <v>51</v>
      </c>
      <c r="H6325">
        <v>2005</v>
      </c>
      <c r="I6325" t="s">
        <v>51</v>
      </c>
      <c r="J6325">
        <v>3040</v>
      </c>
      <c r="K6325" t="s">
        <v>872</v>
      </c>
      <c r="L6325">
        <v>4046</v>
      </c>
      <c r="M6325" t="s">
        <v>878</v>
      </c>
      <c r="N6325" t="s">
        <v>287</v>
      </c>
      <c r="O6325">
        <v>20</v>
      </c>
      <c r="P6325">
        <v>1347</v>
      </c>
      <c r="Q6325" t="s">
        <v>857</v>
      </c>
      <c r="R6325" t="s">
        <v>201</v>
      </c>
      <c r="S6325">
        <v>1</v>
      </c>
      <c r="T6325">
        <v>1</v>
      </c>
      <c r="U6325">
        <v>76020</v>
      </c>
      <c r="V6325">
        <v>76020</v>
      </c>
    </row>
    <row r="6326" spans="1:22">
      <c r="A6326" t="s">
        <v>196</v>
      </c>
      <c r="B6326">
        <v>33</v>
      </c>
      <c r="C6326" t="s">
        <v>51</v>
      </c>
      <c r="D6326">
        <v>740</v>
      </c>
      <c r="E6326" t="s">
        <v>2208</v>
      </c>
      <c r="F6326">
        <v>1005</v>
      </c>
      <c r="G6326" t="s">
        <v>51</v>
      </c>
      <c r="H6326">
        <v>2005</v>
      </c>
      <c r="I6326" t="s">
        <v>51</v>
      </c>
      <c r="J6326">
        <v>3040</v>
      </c>
      <c r="K6326" t="s">
        <v>872</v>
      </c>
      <c r="L6326">
        <v>4046</v>
      </c>
      <c r="M6326" t="s">
        <v>878</v>
      </c>
      <c r="N6326" t="s">
        <v>199</v>
      </c>
      <c r="O6326">
        <v>0</v>
      </c>
      <c r="P6326">
        <v>15</v>
      </c>
      <c r="Q6326" t="s">
        <v>264</v>
      </c>
      <c r="R6326" t="s">
        <v>201</v>
      </c>
      <c r="S6326">
        <v>0</v>
      </c>
      <c r="T6326">
        <v>0</v>
      </c>
      <c r="U6326">
        <v>3078</v>
      </c>
      <c r="V6326">
        <v>3078</v>
      </c>
    </row>
    <row r="6327" spans="1:22">
      <c r="A6327" t="s">
        <v>196</v>
      </c>
      <c r="B6327">
        <v>33</v>
      </c>
      <c r="C6327" t="s">
        <v>51</v>
      </c>
      <c r="D6327">
        <v>740</v>
      </c>
      <c r="E6327" t="s">
        <v>2208</v>
      </c>
      <c r="F6327">
        <v>1005</v>
      </c>
      <c r="G6327" t="s">
        <v>51</v>
      </c>
      <c r="H6327">
        <v>2005</v>
      </c>
      <c r="I6327" t="s">
        <v>51</v>
      </c>
      <c r="J6327">
        <v>3720</v>
      </c>
      <c r="K6327" t="s">
        <v>872</v>
      </c>
      <c r="L6327">
        <v>0</v>
      </c>
      <c r="N6327" t="s">
        <v>602</v>
      </c>
      <c r="O6327">
        <v>4</v>
      </c>
      <c r="P6327">
        <v>1380</v>
      </c>
      <c r="Q6327" t="s">
        <v>880</v>
      </c>
      <c r="R6327" t="s">
        <v>201</v>
      </c>
      <c r="S6327">
        <v>2</v>
      </c>
      <c r="T6327">
        <v>1</v>
      </c>
      <c r="U6327">
        <v>141564</v>
      </c>
      <c r="V6327">
        <v>283128</v>
      </c>
    </row>
    <row r="6328" spans="1:22">
      <c r="A6328" t="s">
        <v>196</v>
      </c>
      <c r="B6328">
        <v>35</v>
      </c>
      <c r="C6328" t="s">
        <v>47</v>
      </c>
      <c r="D6328">
        <v>740</v>
      </c>
      <c r="E6328" t="s">
        <v>2208</v>
      </c>
      <c r="F6328">
        <v>1005</v>
      </c>
      <c r="G6328" t="s">
        <v>47</v>
      </c>
      <c r="H6328">
        <v>2005</v>
      </c>
      <c r="I6328" t="s">
        <v>47</v>
      </c>
      <c r="J6328">
        <v>3006</v>
      </c>
      <c r="K6328" t="s">
        <v>891</v>
      </c>
      <c r="L6328">
        <v>4006</v>
      </c>
      <c r="M6328" t="s">
        <v>309</v>
      </c>
      <c r="N6328" t="s">
        <v>271</v>
      </c>
      <c r="O6328">
        <v>20</v>
      </c>
      <c r="P6328">
        <v>1633</v>
      </c>
      <c r="Q6328" t="s">
        <v>904</v>
      </c>
      <c r="R6328" t="s">
        <v>201</v>
      </c>
      <c r="S6328">
        <v>1</v>
      </c>
      <c r="T6328">
        <v>1</v>
      </c>
      <c r="U6328">
        <v>131124</v>
      </c>
      <c r="V6328">
        <v>131124</v>
      </c>
    </row>
    <row r="6329" spans="1:22">
      <c r="A6329" t="s">
        <v>196</v>
      </c>
      <c r="B6329">
        <v>35</v>
      </c>
      <c r="C6329" t="s">
        <v>47</v>
      </c>
      <c r="D6329">
        <v>740</v>
      </c>
      <c r="E6329" t="s">
        <v>2208</v>
      </c>
      <c r="F6329">
        <v>1005</v>
      </c>
      <c r="G6329" t="s">
        <v>47</v>
      </c>
      <c r="H6329">
        <v>2005</v>
      </c>
      <c r="I6329" t="s">
        <v>47</v>
      </c>
      <c r="J6329">
        <v>3006</v>
      </c>
      <c r="K6329" t="s">
        <v>891</v>
      </c>
      <c r="L6329">
        <v>4006</v>
      </c>
      <c r="M6329" t="s">
        <v>309</v>
      </c>
      <c r="N6329" t="s">
        <v>199</v>
      </c>
      <c r="O6329">
        <v>0</v>
      </c>
      <c r="P6329">
        <v>15</v>
      </c>
      <c r="Q6329" t="s">
        <v>264</v>
      </c>
      <c r="R6329" t="s">
        <v>201</v>
      </c>
      <c r="S6329">
        <v>0</v>
      </c>
      <c r="T6329">
        <v>0</v>
      </c>
      <c r="U6329">
        <v>2310</v>
      </c>
      <c r="V6329">
        <v>2310</v>
      </c>
    </row>
    <row r="6330" spans="1:22">
      <c r="A6330" t="s">
        <v>196</v>
      </c>
      <c r="B6330">
        <v>35</v>
      </c>
      <c r="C6330" t="s">
        <v>47</v>
      </c>
      <c r="D6330">
        <v>740</v>
      </c>
      <c r="E6330" t="s">
        <v>2208</v>
      </c>
      <c r="F6330">
        <v>1005</v>
      </c>
      <c r="G6330" t="s">
        <v>47</v>
      </c>
      <c r="H6330">
        <v>2005</v>
      </c>
      <c r="I6330" t="s">
        <v>47</v>
      </c>
      <c r="J6330">
        <v>3012</v>
      </c>
      <c r="K6330" t="s">
        <v>905</v>
      </c>
      <c r="L6330">
        <v>4008</v>
      </c>
      <c r="M6330" t="s">
        <v>906</v>
      </c>
      <c r="N6330" t="s">
        <v>249</v>
      </c>
      <c r="O6330">
        <v>0</v>
      </c>
      <c r="P6330">
        <v>1508</v>
      </c>
      <c r="Q6330" t="s">
        <v>907</v>
      </c>
      <c r="R6330" t="s">
        <v>201</v>
      </c>
      <c r="S6330">
        <v>1</v>
      </c>
      <c r="T6330">
        <v>1</v>
      </c>
      <c r="U6330">
        <v>89112</v>
      </c>
      <c r="V6330">
        <v>89112</v>
      </c>
    </row>
    <row r="6331" spans="1:22">
      <c r="A6331" t="s">
        <v>196</v>
      </c>
      <c r="B6331">
        <v>35</v>
      </c>
      <c r="C6331" t="s">
        <v>47</v>
      </c>
      <c r="D6331">
        <v>740</v>
      </c>
      <c r="E6331" t="s">
        <v>2208</v>
      </c>
      <c r="F6331">
        <v>1005</v>
      </c>
      <c r="G6331" t="s">
        <v>47</v>
      </c>
      <c r="H6331">
        <v>2005</v>
      </c>
      <c r="I6331" t="s">
        <v>47</v>
      </c>
      <c r="J6331">
        <v>3012</v>
      </c>
      <c r="K6331" t="s">
        <v>905</v>
      </c>
      <c r="L6331">
        <v>4008</v>
      </c>
      <c r="M6331" t="s">
        <v>906</v>
      </c>
      <c r="N6331" t="s">
        <v>255</v>
      </c>
      <c r="O6331">
        <v>1</v>
      </c>
      <c r="P6331">
        <v>1507</v>
      </c>
      <c r="Q6331" t="s">
        <v>910</v>
      </c>
      <c r="R6331" t="s">
        <v>201</v>
      </c>
      <c r="S6331">
        <v>1</v>
      </c>
      <c r="T6331">
        <v>1</v>
      </c>
      <c r="U6331">
        <v>108576</v>
      </c>
      <c r="V6331">
        <v>108576</v>
      </c>
    </row>
    <row r="6332" spans="1:22">
      <c r="A6332" t="s">
        <v>196</v>
      </c>
      <c r="B6332">
        <v>35</v>
      </c>
      <c r="C6332" t="s">
        <v>47</v>
      </c>
      <c r="D6332">
        <v>740</v>
      </c>
      <c r="E6332" t="s">
        <v>2208</v>
      </c>
      <c r="F6332">
        <v>1005</v>
      </c>
      <c r="G6332" t="s">
        <v>47</v>
      </c>
      <c r="H6332">
        <v>2005</v>
      </c>
      <c r="I6332" t="s">
        <v>47</v>
      </c>
      <c r="J6332">
        <v>3012</v>
      </c>
      <c r="K6332" t="s">
        <v>905</v>
      </c>
      <c r="L6332">
        <v>4008</v>
      </c>
      <c r="M6332" t="s">
        <v>906</v>
      </c>
      <c r="N6332" t="s">
        <v>199</v>
      </c>
      <c r="O6332">
        <v>0</v>
      </c>
      <c r="P6332">
        <v>15</v>
      </c>
      <c r="Q6332" t="s">
        <v>264</v>
      </c>
      <c r="R6332" t="s">
        <v>201</v>
      </c>
      <c r="S6332">
        <v>0</v>
      </c>
      <c r="T6332">
        <v>0</v>
      </c>
      <c r="U6332">
        <v>2136</v>
      </c>
      <c r="V6332">
        <v>2136</v>
      </c>
    </row>
    <row r="6333" spans="1:22">
      <c r="A6333" t="s">
        <v>196</v>
      </c>
      <c r="B6333">
        <v>35</v>
      </c>
      <c r="C6333" t="s">
        <v>47</v>
      </c>
      <c r="D6333">
        <v>740</v>
      </c>
      <c r="E6333" t="s">
        <v>2208</v>
      </c>
      <c r="F6333">
        <v>1005</v>
      </c>
      <c r="G6333" t="s">
        <v>47</v>
      </c>
      <c r="H6333">
        <v>2005</v>
      </c>
      <c r="I6333" t="s">
        <v>47</v>
      </c>
      <c r="J6333">
        <v>3012</v>
      </c>
      <c r="K6333" t="s">
        <v>905</v>
      </c>
      <c r="L6333">
        <v>4026</v>
      </c>
      <c r="M6333" t="s">
        <v>908</v>
      </c>
      <c r="N6333" t="s">
        <v>351</v>
      </c>
      <c r="O6333">
        <v>1</v>
      </c>
      <c r="P6333" t="s">
        <v>352</v>
      </c>
      <c r="Q6333" t="s">
        <v>353</v>
      </c>
      <c r="R6333" t="s">
        <v>201</v>
      </c>
      <c r="S6333">
        <v>1</v>
      </c>
      <c r="T6333">
        <v>1</v>
      </c>
      <c r="U6333">
        <v>62544</v>
      </c>
      <c r="V6333">
        <v>62544</v>
      </c>
    </row>
    <row r="6334" spans="1:22">
      <c r="A6334" t="s">
        <v>196</v>
      </c>
      <c r="B6334">
        <v>35</v>
      </c>
      <c r="C6334" t="s">
        <v>47</v>
      </c>
      <c r="D6334">
        <v>740</v>
      </c>
      <c r="E6334" t="s">
        <v>2208</v>
      </c>
      <c r="F6334">
        <v>1005</v>
      </c>
      <c r="G6334" t="s">
        <v>47</v>
      </c>
      <c r="H6334">
        <v>2005</v>
      </c>
      <c r="I6334" t="s">
        <v>47</v>
      </c>
      <c r="J6334">
        <v>3012</v>
      </c>
      <c r="K6334" t="s">
        <v>905</v>
      </c>
      <c r="L6334">
        <v>4026</v>
      </c>
      <c r="M6334" t="s">
        <v>908</v>
      </c>
      <c r="N6334" t="s">
        <v>622</v>
      </c>
      <c r="O6334">
        <v>1</v>
      </c>
      <c r="P6334" t="s">
        <v>667</v>
      </c>
      <c r="Q6334" t="s">
        <v>205</v>
      </c>
      <c r="R6334" t="s">
        <v>201</v>
      </c>
      <c r="S6334">
        <v>1</v>
      </c>
      <c r="T6334">
        <v>1</v>
      </c>
      <c r="U6334">
        <v>56124</v>
      </c>
      <c r="V6334">
        <v>56124</v>
      </c>
    </row>
    <row r="6335" spans="1:22">
      <c r="A6335" t="s">
        <v>196</v>
      </c>
      <c r="B6335">
        <v>35</v>
      </c>
      <c r="C6335" t="s">
        <v>47</v>
      </c>
      <c r="D6335">
        <v>740</v>
      </c>
      <c r="E6335" t="s">
        <v>2208</v>
      </c>
      <c r="F6335">
        <v>1005</v>
      </c>
      <c r="G6335" t="s">
        <v>47</v>
      </c>
      <c r="H6335">
        <v>2005</v>
      </c>
      <c r="I6335" t="s">
        <v>47</v>
      </c>
      <c r="J6335">
        <v>3012</v>
      </c>
      <c r="K6335" t="s">
        <v>905</v>
      </c>
      <c r="L6335">
        <v>4026</v>
      </c>
      <c r="M6335" t="s">
        <v>908</v>
      </c>
      <c r="N6335" t="s">
        <v>622</v>
      </c>
      <c r="O6335">
        <v>1</v>
      </c>
      <c r="P6335" t="s">
        <v>667</v>
      </c>
      <c r="Q6335" t="s">
        <v>205</v>
      </c>
      <c r="R6335" t="s">
        <v>201</v>
      </c>
      <c r="S6335">
        <v>1</v>
      </c>
      <c r="T6335">
        <v>1</v>
      </c>
      <c r="U6335">
        <v>51936</v>
      </c>
      <c r="V6335">
        <v>51936</v>
      </c>
    </row>
    <row r="6336" spans="1:22">
      <c r="A6336" t="s">
        <v>196</v>
      </c>
      <c r="B6336">
        <v>35</v>
      </c>
      <c r="C6336" t="s">
        <v>47</v>
      </c>
      <c r="D6336">
        <v>740</v>
      </c>
      <c r="E6336" t="s">
        <v>2208</v>
      </c>
      <c r="F6336">
        <v>1005</v>
      </c>
      <c r="G6336" t="s">
        <v>47</v>
      </c>
      <c r="H6336">
        <v>2005</v>
      </c>
      <c r="I6336" t="s">
        <v>47</v>
      </c>
      <c r="J6336">
        <v>3012</v>
      </c>
      <c r="K6336" t="s">
        <v>905</v>
      </c>
      <c r="L6336">
        <v>4026</v>
      </c>
      <c r="M6336" t="s">
        <v>908</v>
      </c>
      <c r="N6336" t="s">
        <v>199</v>
      </c>
      <c r="O6336">
        <v>0</v>
      </c>
      <c r="P6336">
        <v>15</v>
      </c>
      <c r="Q6336" t="s">
        <v>264</v>
      </c>
      <c r="R6336" t="s">
        <v>201</v>
      </c>
      <c r="S6336">
        <v>0</v>
      </c>
      <c r="T6336">
        <v>0</v>
      </c>
      <c r="U6336">
        <v>2024</v>
      </c>
      <c r="V6336">
        <v>2024</v>
      </c>
    </row>
    <row r="6337" spans="1:22">
      <c r="A6337" t="s">
        <v>196</v>
      </c>
      <c r="B6337">
        <v>35</v>
      </c>
      <c r="C6337" t="s">
        <v>47</v>
      </c>
      <c r="D6337">
        <v>740</v>
      </c>
      <c r="E6337" t="s">
        <v>2208</v>
      </c>
      <c r="F6337">
        <v>1005</v>
      </c>
      <c r="G6337" t="s">
        <v>47</v>
      </c>
      <c r="H6337">
        <v>2005</v>
      </c>
      <c r="I6337" t="s">
        <v>47</v>
      </c>
      <c r="J6337">
        <v>3012</v>
      </c>
      <c r="K6337" t="s">
        <v>905</v>
      </c>
      <c r="L6337">
        <v>4106</v>
      </c>
      <c r="M6337" t="s">
        <v>909</v>
      </c>
      <c r="N6337" t="s">
        <v>255</v>
      </c>
      <c r="O6337">
        <v>1</v>
      </c>
      <c r="P6337">
        <v>1507</v>
      </c>
      <c r="Q6337" t="s">
        <v>910</v>
      </c>
      <c r="R6337" t="s">
        <v>201</v>
      </c>
      <c r="S6337">
        <v>1</v>
      </c>
      <c r="T6337">
        <v>1</v>
      </c>
      <c r="U6337">
        <v>102588</v>
      </c>
      <c r="V6337">
        <v>102588</v>
      </c>
    </row>
    <row r="6338" spans="1:22">
      <c r="A6338" t="s">
        <v>196</v>
      </c>
      <c r="B6338">
        <v>35</v>
      </c>
      <c r="C6338" t="s">
        <v>47</v>
      </c>
      <c r="D6338">
        <v>740</v>
      </c>
      <c r="E6338" t="s">
        <v>2208</v>
      </c>
      <c r="F6338">
        <v>1005</v>
      </c>
      <c r="G6338" t="s">
        <v>47</v>
      </c>
      <c r="H6338">
        <v>2005</v>
      </c>
      <c r="I6338" t="s">
        <v>47</v>
      </c>
      <c r="J6338">
        <v>3012</v>
      </c>
      <c r="K6338" t="s">
        <v>905</v>
      </c>
      <c r="L6338">
        <v>4106</v>
      </c>
      <c r="M6338" t="s">
        <v>909</v>
      </c>
      <c r="N6338" t="s">
        <v>255</v>
      </c>
      <c r="O6338">
        <v>1</v>
      </c>
      <c r="P6338">
        <v>1507</v>
      </c>
      <c r="Q6338" t="s">
        <v>910</v>
      </c>
      <c r="R6338" t="s">
        <v>201</v>
      </c>
      <c r="S6338">
        <v>1</v>
      </c>
      <c r="T6338">
        <v>1</v>
      </c>
      <c r="U6338">
        <v>97956</v>
      </c>
      <c r="V6338">
        <v>97956</v>
      </c>
    </row>
    <row r="6339" spans="1:22">
      <c r="A6339" t="s">
        <v>196</v>
      </c>
      <c r="B6339">
        <v>35</v>
      </c>
      <c r="C6339" t="s">
        <v>47</v>
      </c>
      <c r="D6339">
        <v>740</v>
      </c>
      <c r="E6339" t="s">
        <v>2208</v>
      </c>
      <c r="F6339">
        <v>1005</v>
      </c>
      <c r="G6339" t="s">
        <v>47</v>
      </c>
      <c r="H6339">
        <v>2005</v>
      </c>
      <c r="I6339" t="s">
        <v>47</v>
      </c>
      <c r="J6339">
        <v>3012</v>
      </c>
      <c r="K6339" t="s">
        <v>905</v>
      </c>
      <c r="L6339">
        <v>4106</v>
      </c>
      <c r="M6339" t="s">
        <v>909</v>
      </c>
      <c r="N6339" t="s">
        <v>199</v>
      </c>
      <c r="O6339">
        <v>0</v>
      </c>
      <c r="P6339">
        <v>15</v>
      </c>
      <c r="Q6339" t="s">
        <v>264</v>
      </c>
      <c r="R6339" t="s">
        <v>201</v>
      </c>
      <c r="S6339">
        <v>0</v>
      </c>
      <c r="T6339">
        <v>0</v>
      </c>
      <c r="U6339">
        <v>563</v>
      </c>
      <c r="V6339">
        <v>563</v>
      </c>
    </row>
    <row r="6340" spans="1:22">
      <c r="A6340" t="s">
        <v>196</v>
      </c>
      <c r="B6340">
        <v>35</v>
      </c>
      <c r="C6340" t="s">
        <v>47</v>
      </c>
      <c r="D6340">
        <v>740</v>
      </c>
      <c r="E6340" t="s">
        <v>2208</v>
      </c>
      <c r="F6340">
        <v>1005</v>
      </c>
      <c r="G6340" t="s">
        <v>47</v>
      </c>
      <c r="H6340">
        <v>2005</v>
      </c>
      <c r="I6340" t="s">
        <v>47</v>
      </c>
      <c r="J6340">
        <v>3012</v>
      </c>
      <c r="K6340" t="s">
        <v>905</v>
      </c>
      <c r="L6340">
        <v>4110</v>
      </c>
      <c r="M6340" t="s">
        <v>1982</v>
      </c>
      <c r="N6340" t="s">
        <v>266</v>
      </c>
      <c r="O6340">
        <v>9</v>
      </c>
      <c r="P6340">
        <v>1556</v>
      </c>
      <c r="Q6340" t="s">
        <v>894</v>
      </c>
      <c r="R6340" t="s">
        <v>201</v>
      </c>
      <c r="S6340">
        <v>1</v>
      </c>
      <c r="T6340">
        <v>1</v>
      </c>
      <c r="U6340">
        <v>157332</v>
      </c>
      <c r="V6340">
        <v>157332</v>
      </c>
    </row>
    <row r="6341" spans="1:22">
      <c r="A6341" t="s">
        <v>196</v>
      </c>
      <c r="B6341">
        <v>35</v>
      </c>
      <c r="C6341" t="s">
        <v>47</v>
      </c>
      <c r="D6341">
        <v>740</v>
      </c>
      <c r="E6341" t="s">
        <v>2208</v>
      </c>
      <c r="F6341">
        <v>1005</v>
      </c>
      <c r="G6341" t="s">
        <v>47</v>
      </c>
      <c r="H6341">
        <v>2005</v>
      </c>
      <c r="I6341" t="s">
        <v>47</v>
      </c>
      <c r="J6341">
        <v>3012</v>
      </c>
      <c r="K6341" t="s">
        <v>905</v>
      </c>
      <c r="L6341">
        <v>4110</v>
      </c>
      <c r="M6341" t="s">
        <v>1982</v>
      </c>
      <c r="N6341" t="s">
        <v>274</v>
      </c>
      <c r="O6341">
        <v>9</v>
      </c>
      <c r="P6341">
        <v>1554</v>
      </c>
      <c r="Q6341" t="s">
        <v>895</v>
      </c>
      <c r="R6341" t="s">
        <v>201</v>
      </c>
      <c r="S6341">
        <v>1</v>
      </c>
      <c r="T6341">
        <v>1</v>
      </c>
      <c r="U6341">
        <v>146808</v>
      </c>
      <c r="V6341">
        <v>146808</v>
      </c>
    </row>
    <row r="6342" spans="1:22">
      <c r="A6342" t="s">
        <v>196</v>
      </c>
      <c r="B6342">
        <v>35</v>
      </c>
      <c r="C6342" t="s">
        <v>47</v>
      </c>
      <c r="D6342">
        <v>740</v>
      </c>
      <c r="E6342" t="s">
        <v>2208</v>
      </c>
      <c r="F6342">
        <v>1005</v>
      </c>
      <c r="G6342" t="s">
        <v>47</v>
      </c>
      <c r="H6342">
        <v>2005</v>
      </c>
      <c r="I6342" t="s">
        <v>47</v>
      </c>
      <c r="J6342">
        <v>3012</v>
      </c>
      <c r="K6342" t="s">
        <v>905</v>
      </c>
      <c r="L6342">
        <v>4110</v>
      </c>
      <c r="M6342" t="s">
        <v>1982</v>
      </c>
      <c r="N6342" t="s">
        <v>249</v>
      </c>
      <c r="O6342">
        <v>10</v>
      </c>
      <c r="P6342">
        <v>1512</v>
      </c>
      <c r="Q6342" t="s">
        <v>914</v>
      </c>
      <c r="R6342" t="s">
        <v>201</v>
      </c>
      <c r="S6342">
        <v>1</v>
      </c>
      <c r="T6342">
        <v>1</v>
      </c>
      <c r="U6342">
        <v>89112</v>
      </c>
      <c r="V6342">
        <v>89112</v>
      </c>
    </row>
    <row r="6343" spans="1:22">
      <c r="A6343" t="s">
        <v>196</v>
      </c>
      <c r="B6343">
        <v>35</v>
      </c>
      <c r="C6343" t="s">
        <v>47</v>
      </c>
      <c r="D6343">
        <v>740</v>
      </c>
      <c r="E6343" t="s">
        <v>2208</v>
      </c>
      <c r="F6343">
        <v>1005</v>
      </c>
      <c r="G6343" t="s">
        <v>47</v>
      </c>
      <c r="H6343">
        <v>2005</v>
      </c>
      <c r="I6343" t="s">
        <v>47</v>
      </c>
      <c r="J6343">
        <v>3012</v>
      </c>
      <c r="K6343" t="s">
        <v>905</v>
      </c>
      <c r="L6343">
        <v>4110</v>
      </c>
      <c r="M6343" t="s">
        <v>1982</v>
      </c>
      <c r="N6343" t="s">
        <v>249</v>
      </c>
      <c r="O6343">
        <v>0</v>
      </c>
      <c r="P6343">
        <v>1508</v>
      </c>
      <c r="Q6343" t="s">
        <v>907</v>
      </c>
      <c r="R6343" t="s">
        <v>201</v>
      </c>
      <c r="S6343">
        <v>1</v>
      </c>
      <c r="T6343">
        <v>1</v>
      </c>
      <c r="U6343">
        <v>143232</v>
      </c>
      <c r="V6343">
        <v>143232</v>
      </c>
    </row>
    <row r="6344" spans="1:22">
      <c r="A6344" t="s">
        <v>196</v>
      </c>
      <c r="B6344">
        <v>35</v>
      </c>
      <c r="C6344" t="s">
        <v>47</v>
      </c>
      <c r="D6344">
        <v>740</v>
      </c>
      <c r="E6344" t="s">
        <v>2208</v>
      </c>
      <c r="F6344">
        <v>1005</v>
      </c>
      <c r="G6344" t="s">
        <v>47</v>
      </c>
      <c r="H6344">
        <v>2005</v>
      </c>
      <c r="I6344" t="s">
        <v>47</v>
      </c>
      <c r="J6344">
        <v>3012</v>
      </c>
      <c r="K6344" t="s">
        <v>905</v>
      </c>
      <c r="L6344">
        <v>4110</v>
      </c>
      <c r="M6344" t="s">
        <v>1982</v>
      </c>
      <c r="N6344" t="s">
        <v>249</v>
      </c>
      <c r="O6344">
        <v>0</v>
      </c>
      <c r="P6344">
        <v>1508</v>
      </c>
      <c r="Q6344" t="s">
        <v>907</v>
      </c>
      <c r="R6344" t="s">
        <v>201</v>
      </c>
      <c r="S6344">
        <v>1</v>
      </c>
      <c r="T6344">
        <v>1</v>
      </c>
      <c r="U6344">
        <v>102444</v>
      </c>
      <c r="V6344">
        <v>102444</v>
      </c>
    </row>
    <row r="6345" spans="1:22">
      <c r="A6345" t="s">
        <v>196</v>
      </c>
      <c r="B6345">
        <v>35</v>
      </c>
      <c r="C6345" t="s">
        <v>47</v>
      </c>
      <c r="D6345">
        <v>740</v>
      </c>
      <c r="E6345" t="s">
        <v>2208</v>
      </c>
      <c r="F6345">
        <v>1005</v>
      </c>
      <c r="G6345" t="s">
        <v>47</v>
      </c>
      <c r="H6345">
        <v>2005</v>
      </c>
      <c r="I6345" t="s">
        <v>47</v>
      </c>
      <c r="J6345">
        <v>3012</v>
      </c>
      <c r="K6345" t="s">
        <v>905</v>
      </c>
      <c r="L6345">
        <v>4110</v>
      </c>
      <c r="M6345" t="s">
        <v>1982</v>
      </c>
      <c r="N6345" t="s">
        <v>249</v>
      </c>
      <c r="O6345">
        <v>0</v>
      </c>
      <c r="P6345">
        <v>1508</v>
      </c>
      <c r="Q6345" t="s">
        <v>907</v>
      </c>
      <c r="R6345" t="s">
        <v>201</v>
      </c>
      <c r="S6345">
        <v>3</v>
      </c>
      <c r="T6345">
        <v>1</v>
      </c>
      <c r="U6345">
        <v>89112</v>
      </c>
      <c r="V6345">
        <v>267336</v>
      </c>
    </row>
    <row r="6346" spans="1:22">
      <c r="A6346" t="s">
        <v>196</v>
      </c>
      <c r="B6346">
        <v>35</v>
      </c>
      <c r="C6346" t="s">
        <v>47</v>
      </c>
      <c r="D6346">
        <v>740</v>
      </c>
      <c r="E6346" t="s">
        <v>2208</v>
      </c>
      <c r="F6346">
        <v>1005</v>
      </c>
      <c r="G6346" t="s">
        <v>47</v>
      </c>
      <c r="H6346">
        <v>2005</v>
      </c>
      <c r="I6346" t="s">
        <v>47</v>
      </c>
      <c r="J6346">
        <v>3012</v>
      </c>
      <c r="K6346" t="s">
        <v>905</v>
      </c>
      <c r="L6346">
        <v>4110</v>
      </c>
      <c r="M6346" t="s">
        <v>1982</v>
      </c>
      <c r="N6346" t="s">
        <v>255</v>
      </c>
      <c r="O6346">
        <v>1</v>
      </c>
      <c r="P6346">
        <v>1507</v>
      </c>
      <c r="Q6346" t="s">
        <v>910</v>
      </c>
      <c r="R6346" t="s">
        <v>201</v>
      </c>
      <c r="S6346">
        <v>1</v>
      </c>
      <c r="T6346">
        <v>1</v>
      </c>
      <c r="U6346">
        <v>82644</v>
      </c>
      <c r="V6346">
        <v>82644</v>
      </c>
    </row>
    <row r="6347" spans="1:22">
      <c r="A6347" t="s">
        <v>196</v>
      </c>
      <c r="B6347">
        <v>35</v>
      </c>
      <c r="C6347" t="s">
        <v>47</v>
      </c>
      <c r="D6347">
        <v>740</v>
      </c>
      <c r="E6347" t="s">
        <v>2208</v>
      </c>
      <c r="F6347">
        <v>1005</v>
      </c>
      <c r="G6347" t="s">
        <v>47</v>
      </c>
      <c r="H6347">
        <v>2005</v>
      </c>
      <c r="I6347" t="s">
        <v>47</v>
      </c>
      <c r="J6347">
        <v>3012</v>
      </c>
      <c r="K6347" t="s">
        <v>905</v>
      </c>
      <c r="L6347">
        <v>4110</v>
      </c>
      <c r="M6347" t="s">
        <v>1982</v>
      </c>
      <c r="N6347" t="s">
        <v>199</v>
      </c>
      <c r="O6347">
        <v>0</v>
      </c>
      <c r="P6347">
        <v>15</v>
      </c>
      <c r="Q6347" t="s">
        <v>264</v>
      </c>
      <c r="R6347" t="s">
        <v>201</v>
      </c>
      <c r="S6347">
        <v>0</v>
      </c>
      <c r="T6347">
        <v>0</v>
      </c>
      <c r="U6347">
        <v>18976</v>
      </c>
      <c r="V6347">
        <v>18976</v>
      </c>
    </row>
    <row r="6348" spans="1:22">
      <c r="A6348" t="s">
        <v>196</v>
      </c>
      <c r="B6348">
        <v>35</v>
      </c>
      <c r="C6348" t="s">
        <v>47</v>
      </c>
      <c r="D6348">
        <v>740</v>
      </c>
      <c r="E6348" t="s">
        <v>2208</v>
      </c>
      <c r="F6348">
        <v>1005</v>
      </c>
      <c r="G6348" t="s">
        <v>47</v>
      </c>
      <c r="H6348">
        <v>2005</v>
      </c>
      <c r="I6348" t="s">
        <v>47</v>
      </c>
      <c r="J6348">
        <v>3024</v>
      </c>
      <c r="K6348" t="s">
        <v>917</v>
      </c>
      <c r="L6348">
        <v>4031</v>
      </c>
      <c r="M6348" t="s">
        <v>918</v>
      </c>
      <c r="N6348" t="s">
        <v>602</v>
      </c>
      <c r="O6348">
        <v>1</v>
      </c>
      <c r="P6348">
        <v>1505</v>
      </c>
      <c r="Q6348" t="s">
        <v>920</v>
      </c>
      <c r="R6348" t="s">
        <v>201</v>
      </c>
      <c r="S6348">
        <v>1</v>
      </c>
      <c r="T6348">
        <v>1</v>
      </c>
      <c r="U6348">
        <v>99408</v>
      </c>
      <c r="V6348">
        <v>99408</v>
      </c>
    </row>
    <row r="6349" spans="1:22">
      <c r="A6349" t="s">
        <v>196</v>
      </c>
      <c r="B6349">
        <v>35</v>
      </c>
      <c r="C6349" t="s">
        <v>47</v>
      </c>
      <c r="D6349">
        <v>740</v>
      </c>
      <c r="E6349" t="s">
        <v>2208</v>
      </c>
      <c r="F6349">
        <v>1005</v>
      </c>
      <c r="G6349" t="s">
        <v>47</v>
      </c>
      <c r="H6349">
        <v>2005</v>
      </c>
      <c r="I6349" t="s">
        <v>47</v>
      </c>
      <c r="J6349">
        <v>3024</v>
      </c>
      <c r="K6349" t="s">
        <v>917</v>
      </c>
      <c r="L6349">
        <v>4031</v>
      </c>
      <c r="M6349" t="s">
        <v>918</v>
      </c>
      <c r="N6349" t="s">
        <v>688</v>
      </c>
      <c r="O6349">
        <v>1</v>
      </c>
      <c r="P6349">
        <v>1504</v>
      </c>
      <c r="Q6349" t="s">
        <v>921</v>
      </c>
      <c r="R6349" t="s">
        <v>201</v>
      </c>
      <c r="S6349">
        <v>1</v>
      </c>
      <c r="T6349">
        <v>1</v>
      </c>
      <c r="U6349">
        <v>118836</v>
      </c>
      <c r="V6349">
        <v>118836</v>
      </c>
    </row>
    <row r="6350" spans="1:22">
      <c r="A6350" t="s">
        <v>196</v>
      </c>
      <c r="B6350">
        <v>35</v>
      </c>
      <c r="C6350" t="s">
        <v>47</v>
      </c>
      <c r="D6350">
        <v>740</v>
      </c>
      <c r="E6350" t="s">
        <v>2208</v>
      </c>
      <c r="F6350">
        <v>1005</v>
      </c>
      <c r="G6350" t="s">
        <v>47</v>
      </c>
      <c r="H6350">
        <v>2005</v>
      </c>
      <c r="I6350" t="s">
        <v>47</v>
      </c>
      <c r="J6350">
        <v>3024</v>
      </c>
      <c r="K6350" t="s">
        <v>917</v>
      </c>
      <c r="L6350">
        <v>4031</v>
      </c>
      <c r="M6350" t="s">
        <v>918</v>
      </c>
      <c r="N6350" t="s">
        <v>688</v>
      </c>
      <c r="O6350">
        <v>1</v>
      </c>
      <c r="P6350">
        <v>1504</v>
      </c>
      <c r="Q6350" t="s">
        <v>921</v>
      </c>
      <c r="R6350" t="s">
        <v>201</v>
      </c>
      <c r="S6350">
        <v>1</v>
      </c>
      <c r="T6350">
        <v>1</v>
      </c>
      <c r="U6350">
        <v>97488</v>
      </c>
      <c r="V6350">
        <v>97488</v>
      </c>
    </row>
    <row r="6351" spans="1:22">
      <c r="A6351" t="s">
        <v>196</v>
      </c>
      <c r="B6351">
        <v>35</v>
      </c>
      <c r="C6351" t="s">
        <v>47</v>
      </c>
      <c r="D6351">
        <v>740</v>
      </c>
      <c r="E6351" t="s">
        <v>2208</v>
      </c>
      <c r="F6351">
        <v>1005</v>
      </c>
      <c r="G6351" t="s">
        <v>47</v>
      </c>
      <c r="H6351">
        <v>2005</v>
      </c>
      <c r="I6351" t="s">
        <v>47</v>
      </c>
      <c r="J6351">
        <v>3024</v>
      </c>
      <c r="K6351" t="s">
        <v>917</v>
      </c>
      <c r="L6351">
        <v>4031</v>
      </c>
      <c r="M6351" t="s">
        <v>918</v>
      </c>
      <c r="N6351" t="s">
        <v>688</v>
      </c>
      <c r="O6351">
        <v>1</v>
      </c>
      <c r="P6351">
        <v>1504</v>
      </c>
      <c r="Q6351" t="s">
        <v>921</v>
      </c>
      <c r="R6351" t="s">
        <v>201</v>
      </c>
      <c r="S6351">
        <v>1</v>
      </c>
      <c r="T6351">
        <v>1</v>
      </c>
      <c r="U6351">
        <v>88524</v>
      </c>
      <c r="V6351">
        <v>88524</v>
      </c>
    </row>
    <row r="6352" spans="1:22">
      <c r="A6352" t="s">
        <v>196</v>
      </c>
      <c r="B6352">
        <v>35</v>
      </c>
      <c r="C6352" t="s">
        <v>47</v>
      </c>
      <c r="D6352">
        <v>740</v>
      </c>
      <c r="E6352" t="s">
        <v>2208</v>
      </c>
      <c r="F6352">
        <v>1005</v>
      </c>
      <c r="G6352" t="s">
        <v>47</v>
      </c>
      <c r="H6352">
        <v>2005</v>
      </c>
      <c r="I6352" t="s">
        <v>47</v>
      </c>
      <c r="J6352">
        <v>3024</v>
      </c>
      <c r="K6352" t="s">
        <v>917</v>
      </c>
      <c r="L6352">
        <v>4031</v>
      </c>
      <c r="M6352" t="s">
        <v>918</v>
      </c>
      <c r="N6352" t="s">
        <v>199</v>
      </c>
      <c r="O6352">
        <v>0</v>
      </c>
      <c r="P6352">
        <v>15</v>
      </c>
      <c r="Q6352" t="s">
        <v>264</v>
      </c>
      <c r="R6352" t="s">
        <v>201</v>
      </c>
      <c r="S6352">
        <v>0</v>
      </c>
      <c r="T6352">
        <v>0</v>
      </c>
      <c r="U6352">
        <v>2292</v>
      </c>
      <c r="V6352">
        <v>2292</v>
      </c>
    </row>
    <row r="6353" spans="1:22">
      <c r="A6353" t="s">
        <v>196</v>
      </c>
      <c r="B6353">
        <v>38</v>
      </c>
      <c r="C6353" t="s">
        <v>922</v>
      </c>
      <c r="D6353">
        <v>740</v>
      </c>
      <c r="E6353" t="s">
        <v>2208</v>
      </c>
      <c r="F6353">
        <v>1005</v>
      </c>
      <c r="G6353" t="s">
        <v>923</v>
      </c>
      <c r="H6353">
        <v>2140</v>
      </c>
      <c r="I6353" t="s">
        <v>25</v>
      </c>
      <c r="J6353">
        <v>3201</v>
      </c>
      <c r="K6353" t="s">
        <v>1022</v>
      </c>
      <c r="L6353">
        <v>0</v>
      </c>
      <c r="N6353" t="s">
        <v>268</v>
      </c>
      <c r="O6353">
        <v>10</v>
      </c>
      <c r="P6353">
        <v>7177</v>
      </c>
      <c r="Q6353" t="s">
        <v>2213</v>
      </c>
      <c r="R6353" t="s">
        <v>201</v>
      </c>
      <c r="S6353">
        <v>1</v>
      </c>
      <c r="T6353">
        <v>1</v>
      </c>
      <c r="U6353">
        <v>80124</v>
      </c>
      <c r="V6353">
        <v>80124</v>
      </c>
    </row>
    <row r="6354" spans="1:22">
      <c r="A6354" t="s">
        <v>196</v>
      </c>
      <c r="B6354">
        <v>38</v>
      </c>
      <c r="C6354" t="s">
        <v>922</v>
      </c>
      <c r="D6354">
        <v>740</v>
      </c>
      <c r="E6354" t="s">
        <v>2208</v>
      </c>
      <c r="F6354">
        <v>1005</v>
      </c>
      <c r="G6354" t="s">
        <v>923</v>
      </c>
      <c r="H6354">
        <v>2140</v>
      </c>
      <c r="I6354" t="s">
        <v>25</v>
      </c>
      <c r="J6354">
        <v>3201</v>
      </c>
      <c r="K6354" t="s">
        <v>1022</v>
      </c>
      <c r="L6354">
        <v>0</v>
      </c>
      <c r="N6354" t="s">
        <v>281</v>
      </c>
      <c r="O6354">
        <v>10</v>
      </c>
      <c r="P6354">
        <v>6085</v>
      </c>
      <c r="Q6354" t="s">
        <v>1023</v>
      </c>
      <c r="R6354" t="s">
        <v>201</v>
      </c>
      <c r="S6354">
        <v>1</v>
      </c>
      <c r="T6354">
        <v>1</v>
      </c>
      <c r="U6354">
        <v>112080</v>
      </c>
      <c r="V6354">
        <v>112080</v>
      </c>
    </row>
    <row r="6355" spans="1:22">
      <c r="A6355" t="s">
        <v>196</v>
      </c>
      <c r="B6355">
        <v>38</v>
      </c>
      <c r="C6355" t="s">
        <v>922</v>
      </c>
      <c r="D6355">
        <v>740</v>
      </c>
      <c r="E6355" t="s">
        <v>2208</v>
      </c>
      <c r="F6355">
        <v>1005</v>
      </c>
      <c r="G6355" t="s">
        <v>923</v>
      </c>
      <c r="H6355">
        <v>2140</v>
      </c>
      <c r="I6355" t="s">
        <v>25</v>
      </c>
      <c r="J6355">
        <v>3214</v>
      </c>
      <c r="K6355" t="s">
        <v>1026</v>
      </c>
      <c r="L6355">
        <v>0</v>
      </c>
      <c r="N6355" t="s">
        <v>809</v>
      </c>
      <c r="O6355">
        <v>1</v>
      </c>
      <c r="P6355">
        <v>460</v>
      </c>
      <c r="Q6355" t="s">
        <v>810</v>
      </c>
      <c r="R6355" t="s">
        <v>201</v>
      </c>
      <c r="S6355">
        <v>1</v>
      </c>
      <c r="T6355">
        <v>1</v>
      </c>
      <c r="U6355">
        <v>47364</v>
      </c>
      <c r="V6355">
        <v>47364</v>
      </c>
    </row>
    <row r="6356" spans="1:22">
      <c r="A6356" t="s">
        <v>196</v>
      </c>
      <c r="B6356">
        <v>38</v>
      </c>
      <c r="C6356" t="s">
        <v>922</v>
      </c>
      <c r="D6356">
        <v>740</v>
      </c>
      <c r="E6356" t="s">
        <v>2208</v>
      </c>
      <c r="F6356">
        <v>1005</v>
      </c>
      <c r="G6356" t="s">
        <v>923</v>
      </c>
      <c r="H6356">
        <v>2140</v>
      </c>
      <c r="I6356" t="s">
        <v>25</v>
      </c>
      <c r="J6356">
        <v>3220</v>
      </c>
      <c r="K6356" t="s">
        <v>1051</v>
      </c>
      <c r="L6356">
        <v>0</v>
      </c>
      <c r="N6356" t="s">
        <v>721</v>
      </c>
      <c r="O6356">
        <v>8</v>
      </c>
      <c r="P6356">
        <v>7124</v>
      </c>
      <c r="Q6356" t="s">
        <v>1054</v>
      </c>
      <c r="R6356" t="s">
        <v>713</v>
      </c>
      <c r="S6356">
        <v>1</v>
      </c>
      <c r="T6356">
        <v>1</v>
      </c>
      <c r="U6356">
        <v>49.58</v>
      </c>
      <c r="V6356">
        <v>103126</v>
      </c>
    </row>
    <row r="6357" spans="1:22">
      <c r="A6357" t="s">
        <v>196</v>
      </c>
      <c r="B6357">
        <v>38</v>
      </c>
      <c r="C6357" t="s">
        <v>922</v>
      </c>
      <c r="D6357">
        <v>740</v>
      </c>
      <c r="E6357" t="s">
        <v>2208</v>
      </c>
      <c r="F6357">
        <v>1005</v>
      </c>
      <c r="G6357" t="s">
        <v>923</v>
      </c>
      <c r="H6357">
        <v>2140</v>
      </c>
      <c r="I6357" t="s">
        <v>25</v>
      </c>
      <c r="J6357">
        <v>3220</v>
      </c>
      <c r="K6357" t="s">
        <v>1051</v>
      </c>
      <c r="L6357">
        <v>0</v>
      </c>
      <c r="N6357" t="s">
        <v>199</v>
      </c>
      <c r="O6357">
        <v>0</v>
      </c>
      <c r="P6357">
        <v>12</v>
      </c>
      <c r="Q6357" t="s">
        <v>724</v>
      </c>
      <c r="R6357" t="s">
        <v>201</v>
      </c>
      <c r="S6357">
        <v>0</v>
      </c>
      <c r="T6357">
        <v>0</v>
      </c>
      <c r="U6357">
        <v>1547</v>
      </c>
      <c r="V6357">
        <v>1547</v>
      </c>
    </row>
    <row r="6358" spans="1:22">
      <c r="A6358" t="s">
        <v>196</v>
      </c>
      <c r="B6358">
        <v>38</v>
      </c>
      <c r="C6358" t="s">
        <v>922</v>
      </c>
      <c r="D6358">
        <v>740</v>
      </c>
      <c r="E6358" t="s">
        <v>2208</v>
      </c>
      <c r="F6358">
        <v>1005</v>
      </c>
      <c r="G6358" t="s">
        <v>923</v>
      </c>
      <c r="H6358">
        <v>2140</v>
      </c>
      <c r="I6358" t="s">
        <v>25</v>
      </c>
      <c r="J6358">
        <v>3225</v>
      </c>
      <c r="K6358" t="s">
        <v>2214</v>
      </c>
      <c r="L6358">
        <v>0</v>
      </c>
      <c r="N6358" t="s">
        <v>721</v>
      </c>
      <c r="O6358">
        <v>8</v>
      </c>
      <c r="P6358">
        <v>7186</v>
      </c>
      <c r="Q6358" t="s">
        <v>1038</v>
      </c>
      <c r="R6358" t="s">
        <v>713</v>
      </c>
      <c r="S6358">
        <v>2</v>
      </c>
      <c r="T6358">
        <v>1</v>
      </c>
      <c r="U6358">
        <v>49.46</v>
      </c>
      <c r="V6358">
        <v>205754</v>
      </c>
    </row>
    <row r="6359" spans="1:22">
      <c r="A6359" t="s">
        <v>196</v>
      </c>
      <c r="B6359">
        <v>38</v>
      </c>
      <c r="C6359" t="s">
        <v>922</v>
      </c>
      <c r="D6359">
        <v>740</v>
      </c>
      <c r="E6359" t="s">
        <v>2208</v>
      </c>
      <c r="F6359">
        <v>1005</v>
      </c>
      <c r="G6359" t="s">
        <v>923</v>
      </c>
      <c r="H6359">
        <v>2140</v>
      </c>
      <c r="I6359" t="s">
        <v>25</v>
      </c>
      <c r="J6359">
        <v>3225</v>
      </c>
      <c r="K6359" t="s">
        <v>2214</v>
      </c>
      <c r="L6359">
        <v>0</v>
      </c>
      <c r="N6359" t="s">
        <v>721</v>
      </c>
      <c r="O6359">
        <v>8</v>
      </c>
      <c r="P6359">
        <v>7183</v>
      </c>
      <c r="Q6359" t="s">
        <v>986</v>
      </c>
      <c r="R6359" t="s">
        <v>713</v>
      </c>
      <c r="S6359">
        <v>2</v>
      </c>
      <c r="T6359">
        <v>1</v>
      </c>
      <c r="U6359">
        <v>48.73</v>
      </c>
      <c r="V6359">
        <v>202717</v>
      </c>
    </row>
    <row r="6360" spans="1:22">
      <c r="A6360" t="s">
        <v>196</v>
      </c>
      <c r="B6360">
        <v>38</v>
      </c>
      <c r="C6360" t="s">
        <v>922</v>
      </c>
      <c r="D6360">
        <v>740</v>
      </c>
      <c r="E6360" t="s">
        <v>2208</v>
      </c>
      <c r="F6360">
        <v>1005</v>
      </c>
      <c r="G6360" t="s">
        <v>923</v>
      </c>
      <c r="H6360">
        <v>2140</v>
      </c>
      <c r="I6360" t="s">
        <v>25</v>
      </c>
      <c r="J6360">
        <v>3225</v>
      </c>
      <c r="K6360" t="s">
        <v>2214</v>
      </c>
      <c r="L6360">
        <v>0</v>
      </c>
      <c r="N6360" t="s">
        <v>721</v>
      </c>
      <c r="O6360">
        <v>8</v>
      </c>
      <c r="P6360">
        <v>7160</v>
      </c>
      <c r="Q6360" t="s">
        <v>1030</v>
      </c>
      <c r="R6360" t="s">
        <v>713</v>
      </c>
      <c r="S6360">
        <v>18</v>
      </c>
      <c r="T6360">
        <v>1</v>
      </c>
      <c r="U6360">
        <v>33.619999999999997</v>
      </c>
      <c r="V6360">
        <v>1258733</v>
      </c>
    </row>
    <row r="6361" spans="1:22">
      <c r="A6361" t="s">
        <v>196</v>
      </c>
      <c r="B6361">
        <v>38</v>
      </c>
      <c r="C6361" t="s">
        <v>922</v>
      </c>
      <c r="D6361">
        <v>740</v>
      </c>
      <c r="E6361" t="s">
        <v>2208</v>
      </c>
      <c r="F6361">
        <v>1005</v>
      </c>
      <c r="G6361" t="s">
        <v>923</v>
      </c>
      <c r="H6361">
        <v>2140</v>
      </c>
      <c r="I6361" t="s">
        <v>25</v>
      </c>
      <c r="J6361">
        <v>3225</v>
      </c>
      <c r="K6361" t="s">
        <v>2214</v>
      </c>
      <c r="L6361">
        <v>0</v>
      </c>
      <c r="N6361" t="s">
        <v>1040</v>
      </c>
      <c r="O6361">
        <v>8</v>
      </c>
      <c r="P6361">
        <v>7136</v>
      </c>
      <c r="Q6361" t="s">
        <v>1041</v>
      </c>
      <c r="R6361" t="s">
        <v>201</v>
      </c>
      <c r="S6361">
        <v>1</v>
      </c>
      <c r="T6361">
        <v>1</v>
      </c>
      <c r="U6361">
        <v>108528</v>
      </c>
      <c r="V6361">
        <v>108528</v>
      </c>
    </row>
    <row r="6362" spans="1:22">
      <c r="A6362" t="s">
        <v>196</v>
      </c>
      <c r="B6362">
        <v>38</v>
      </c>
      <c r="C6362" t="s">
        <v>922</v>
      </c>
      <c r="D6362">
        <v>740</v>
      </c>
      <c r="E6362" t="s">
        <v>2208</v>
      </c>
      <c r="F6362">
        <v>1005</v>
      </c>
      <c r="G6362" t="s">
        <v>923</v>
      </c>
      <c r="H6362">
        <v>2140</v>
      </c>
      <c r="I6362" t="s">
        <v>25</v>
      </c>
      <c r="J6362">
        <v>3225</v>
      </c>
      <c r="K6362" t="s">
        <v>2214</v>
      </c>
      <c r="L6362">
        <v>0</v>
      </c>
      <c r="N6362" t="s">
        <v>1040</v>
      </c>
      <c r="O6362">
        <v>8</v>
      </c>
      <c r="P6362">
        <v>7136</v>
      </c>
      <c r="Q6362" t="s">
        <v>1041</v>
      </c>
      <c r="R6362" t="s">
        <v>201</v>
      </c>
      <c r="S6362">
        <v>1</v>
      </c>
      <c r="T6362">
        <v>1</v>
      </c>
      <c r="U6362">
        <v>98892</v>
      </c>
      <c r="V6362">
        <v>98892</v>
      </c>
    </row>
    <row r="6363" spans="1:22">
      <c r="A6363" t="s">
        <v>196</v>
      </c>
      <c r="B6363">
        <v>38</v>
      </c>
      <c r="C6363" t="s">
        <v>922</v>
      </c>
      <c r="D6363">
        <v>740</v>
      </c>
      <c r="E6363" t="s">
        <v>2208</v>
      </c>
      <c r="F6363">
        <v>1005</v>
      </c>
      <c r="G6363" t="s">
        <v>923</v>
      </c>
      <c r="H6363">
        <v>2140</v>
      </c>
      <c r="I6363" t="s">
        <v>25</v>
      </c>
      <c r="J6363">
        <v>3225</v>
      </c>
      <c r="K6363" t="s">
        <v>2214</v>
      </c>
      <c r="L6363">
        <v>0</v>
      </c>
      <c r="N6363" t="s">
        <v>1040</v>
      </c>
      <c r="O6363">
        <v>8</v>
      </c>
      <c r="P6363">
        <v>7136</v>
      </c>
      <c r="Q6363" t="s">
        <v>1041</v>
      </c>
      <c r="R6363" t="s">
        <v>201</v>
      </c>
      <c r="S6363">
        <v>1</v>
      </c>
      <c r="T6363">
        <v>1</v>
      </c>
      <c r="U6363">
        <v>82080</v>
      </c>
      <c r="V6363">
        <v>82080</v>
      </c>
    </row>
    <row r="6364" spans="1:22">
      <c r="A6364" t="s">
        <v>196</v>
      </c>
      <c r="B6364">
        <v>38</v>
      </c>
      <c r="C6364" t="s">
        <v>922</v>
      </c>
      <c r="D6364">
        <v>740</v>
      </c>
      <c r="E6364" t="s">
        <v>2208</v>
      </c>
      <c r="F6364">
        <v>1005</v>
      </c>
      <c r="G6364" t="s">
        <v>923</v>
      </c>
      <c r="H6364">
        <v>2140</v>
      </c>
      <c r="I6364" t="s">
        <v>25</v>
      </c>
      <c r="J6364">
        <v>3225</v>
      </c>
      <c r="K6364" t="s">
        <v>2214</v>
      </c>
      <c r="L6364">
        <v>0</v>
      </c>
      <c r="N6364" t="s">
        <v>249</v>
      </c>
      <c r="O6364">
        <v>10</v>
      </c>
      <c r="P6364">
        <v>7047</v>
      </c>
      <c r="Q6364" t="s">
        <v>1043</v>
      </c>
      <c r="R6364" t="s">
        <v>201</v>
      </c>
      <c r="S6364">
        <v>1</v>
      </c>
      <c r="T6364">
        <v>1</v>
      </c>
      <c r="U6364">
        <v>124584</v>
      </c>
      <c r="V6364">
        <v>124584</v>
      </c>
    </row>
    <row r="6365" spans="1:22">
      <c r="A6365" t="s">
        <v>196</v>
      </c>
      <c r="B6365">
        <v>38</v>
      </c>
      <c r="C6365" t="s">
        <v>922</v>
      </c>
      <c r="D6365">
        <v>740</v>
      </c>
      <c r="E6365" t="s">
        <v>2208</v>
      </c>
      <c r="F6365">
        <v>1005</v>
      </c>
      <c r="G6365" t="s">
        <v>923</v>
      </c>
      <c r="H6365">
        <v>2140</v>
      </c>
      <c r="I6365" t="s">
        <v>25</v>
      </c>
      <c r="J6365">
        <v>3225</v>
      </c>
      <c r="K6365" t="s">
        <v>2214</v>
      </c>
      <c r="L6365">
        <v>0</v>
      </c>
      <c r="N6365" t="s">
        <v>721</v>
      </c>
      <c r="O6365">
        <v>36</v>
      </c>
      <c r="P6365">
        <v>6679</v>
      </c>
      <c r="Q6365" t="s">
        <v>1044</v>
      </c>
      <c r="R6365" t="s">
        <v>713</v>
      </c>
      <c r="S6365">
        <v>8</v>
      </c>
      <c r="T6365">
        <v>1</v>
      </c>
      <c r="U6365">
        <v>64.39</v>
      </c>
      <c r="V6365">
        <v>1071450</v>
      </c>
    </row>
    <row r="6366" spans="1:22">
      <c r="A6366" t="s">
        <v>196</v>
      </c>
      <c r="B6366">
        <v>38</v>
      </c>
      <c r="C6366" t="s">
        <v>922</v>
      </c>
      <c r="D6366">
        <v>740</v>
      </c>
      <c r="E6366" t="s">
        <v>2208</v>
      </c>
      <c r="F6366">
        <v>1005</v>
      </c>
      <c r="G6366" t="s">
        <v>923</v>
      </c>
      <c r="H6366">
        <v>2140</v>
      </c>
      <c r="I6366" t="s">
        <v>25</v>
      </c>
      <c r="J6366">
        <v>3225</v>
      </c>
      <c r="K6366" t="s">
        <v>2214</v>
      </c>
      <c r="L6366">
        <v>0</v>
      </c>
      <c r="N6366" t="s">
        <v>721</v>
      </c>
      <c r="O6366">
        <v>36</v>
      </c>
      <c r="P6366">
        <v>6673</v>
      </c>
      <c r="Q6366" t="s">
        <v>1045</v>
      </c>
      <c r="R6366" t="s">
        <v>713</v>
      </c>
      <c r="S6366">
        <v>46</v>
      </c>
      <c r="T6366">
        <v>1</v>
      </c>
      <c r="U6366">
        <v>60.39</v>
      </c>
      <c r="V6366">
        <v>5778115</v>
      </c>
    </row>
    <row r="6367" spans="1:22">
      <c r="A6367" t="s">
        <v>196</v>
      </c>
      <c r="B6367">
        <v>38</v>
      </c>
      <c r="C6367" t="s">
        <v>922</v>
      </c>
      <c r="D6367">
        <v>740</v>
      </c>
      <c r="E6367" t="s">
        <v>2208</v>
      </c>
      <c r="F6367">
        <v>1005</v>
      </c>
      <c r="G6367" t="s">
        <v>923</v>
      </c>
      <c r="H6367">
        <v>2140</v>
      </c>
      <c r="I6367" t="s">
        <v>25</v>
      </c>
      <c r="J6367">
        <v>3225</v>
      </c>
      <c r="K6367" t="s">
        <v>2214</v>
      </c>
      <c r="L6367">
        <v>0</v>
      </c>
      <c r="N6367" t="s">
        <v>721</v>
      </c>
      <c r="O6367">
        <v>32</v>
      </c>
      <c r="P6367">
        <v>5045</v>
      </c>
      <c r="Q6367" t="s">
        <v>1048</v>
      </c>
      <c r="R6367" t="s">
        <v>713</v>
      </c>
      <c r="S6367">
        <v>2</v>
      </c>
      <c r="T6367">
        <v>1</v>
      </c>
      <c r="U6367">
        <v>63.53</v>
      </c>
      <c r="V6367">
        <v>264285</v>
      </c>
    </row>
    <row r="6368" spans="1:22">
      <c r="A6368" t="s">
        <v>196</v>
      </c>
      <c r="B6368">
        <v>38</v>
      </c>
      <c r="C6368" t="s">
        <v>922</v>
      </c>
      <c r="D6368">
        <v>740</v>
      </c>
      <c r="E6368" t="s">
        <v>2208</v>
      </c>
      <c r="F6368">
        <v>1005</v>
      </c>
      <c r="G6368" t="s">
        <v>923</v>
      </c>
      <c r="H6368">
        <v>2140</v>
      </c>
      <c r="I6368" t="s">
        <v>25</v>
      </c>
      <c r="J6368">
        <v>3225</v>
      </c>
      <c r="K6368" t="s">
        <v>2214</v>
      </c>
      <c r="L6368">
        <v>0</v>
      </c>
      <c r="N6368" t="s">
        <v>721</v>
      </c>
      <c r="O6368">
        <v>32</v>
      </c>
      <c r="P6368">
        <v>5034</v>
      </c>
      <c r="Q6368" t="s">
        <v>1049</v>
      </c>
      <c r="R6368" t="s">
        <v>713</v>
      </c>
      <c r="S6368">
        <v>14</v>
      </c>
      <c r="T6368">
        <v>1</v>
      </c>
      <c r="U6368">
        <v>57.75</v>
      </c>
      <c r="V6368">
        <v>1681680</v>
      </c>
    </row>
    <row r="6369" spans="1:22">
      <c r="A6369" t="s">
        <v>196</v>
      </c>
      <c r="B6369">
        <v>38</v>
      </c>
      <c r="C6369" t="s">
        <v>922</v>
      </c>
      <c r="D6369">
        <v>740</v>
      </c>
      <c r="E6369" t="s">
        <v>2208</v>
      </c>
      <c r="F6369">
        <v>1005</v>
      </c>
      <c r="G6369" t="s">
        <v>923</v>
      </c>
      <c r="H6369">
        <v>2140</v>
      </c>
      <c r="I6369" t="s">
        <v>25</v>
      </c>
      <c r="J6369">
        <v>3225</v>
      </c>
      <c r="K6369" t="s">
        <v>2214</v>
      </c>
      <c r="L6369">
        <v>0</v>
      </c>
      <c r="N6369" t="s">
        <v>360</v>
      </c>
      <c r="O6369">
        <v>1</v>
      </c>
      <c r="P6369">
        <v>109</v>
      </c>
      <c r="Q6369" t="s">
        <v>361</v>
      </c>
      <c r="R6369" t="s">
        <v>201</v>
      </c>
      <c r="S6369">
        <v>1</v>
      </c>
      <c r="T6369">
        <v>1</v>
      </c>
      <c r="U6369">
        <v>57000</v>
      </c>
      <c r="V6369">
        <v>57000</v>
      </c>
    </row>
    <row r="6370" spans="1:22">
      <c r="A6370" t="s">
        <v>196</v>
      </c>
      <c r="B6370">
        <v>38</v>
      </c>
      <c r="C6370" t="s">
        <v>922</v>
      </c>
      <c r="D6370">
        <v>740</v>
      </c>
      <c r="E6370" t="s">
        <v>2208</v>
      </c>
      <c r="F6370">
        <v>1005</v>
      </c>
      <c r="G6370" t="s">
        <v>923</v>
      </c>
      <c r="H6370">
        <v>2140</v>
      </c>
      <c r="I6370" t="s">
        <v>25</v>
      </c>
      <c r="J6370">
        <v>3225</v>
      </c>
      <c r="K6370" t="s">
        <v>2214</v>
      </c>
      <c r="L6370">
        <v>0</v>
      </c>
      <c r="N6370" t="s">
        <v>199</v>
      </c>
      <c r="O6370">
        <v>0</v>
      </c>
      <c r="P6370">
        <v>15</v>
      </c>
      <c r="Q6370" t="s">
        <v>264</v>
      </c>
      <c r="R6370" t="s">
        <v>201</v>
      </c>
      <c r="S6370">
        <v>0</v>
      </c>
      <c r="T6370">
        <v>0</v>
      </c>
      <c r="U6370">
        <v>3732</v>
      </c>
      <c r="V6370">
        <v>3732</v>
      </c>
    </row>
    <row r="6371" spans="1:22">
      <c r="A6371" t="s">
        <v>196</v>
      </c>
      <c r="B6371">
        <v>38</v>
      </c>
      <c r="C6371" t="s">
        <v>922</v>
      </c>
      <c r="D6371">
        <v>740</v>
      </c>
      <c r="E6371" t="s">
        <v>2208</v>
      </c>
      <c r="F6371">
        <v>1005</v>
      </c>
      <c r="G6371" t="s">
        <v>923</v>
      </c>
      <c r="H6371">
        <v>2140</v>
      </c>
      <c r="I6371" t="s">
        <v>25</v>
      </c>
      <c r="J6371">
        <v>3225</v>
      </c>
      <c r="K6371" t="s">
        <v>2214</v>
      </c>
      <c r="L6371">
        <v>0</v>
      </c>
      <c r="N6371" t="s">
        <v>199</v>
      </c>
      <c r="O6371">
        <v>0</v>
      </c>
      <c r="P6371">
        <v>12</v>
      </c>
      <c r="Q6371" t="s">
        <v>724</v>
      </c>
      <c r="R6371" t="s">
        <v>201</v>
      </c>
      <c r="S6371">
        <v>0</v>
      </c>
      <c r="T6371">
        <v>0</v>
      </c>
      <c r="U6371">
        <v>156941</v>
      </c>
      <c r="V6371">
        <v>156941</v>
      </c>
    </row>
    <row r="6372" spans="1:22">
      <c r="A6372" t="s">
        <v>196</v>
      </c>
      <c r="B6372">
        <v>57</v>
      </c>
      <c r="C6372" t="s">
        <v>31</v>
      </c>
      <c r="D6372">
        <v>740</v>
      </c>
      <c r="E6372" t="s">
        <v>2208</v>
      </c>
      <c r="F6372">
        <v>1005</v>
      </c>
      <c r="G6372" t="s">
        <v>31</v>
      </c>
      <c r="H6372">
        <v>2028</v>
      </c>
      <c r="I6372" t="s">
        <v>6</v>
      </c>
      <c r="J6372">
        <v>3335</v>
      </c>
      <c r="K6372" t="s">
        <v>2215</v>
      </c>
      <c r="L6372">
        <v>0</v>
      </c>
      <c r="N6372" t="s">
        <v>216</v>
      </c>
      <c r="O6372">
        <v>99</v>
      </c>
      <c r="P6372">
        <v>9752</v>
      </c>
      <c r="Q6372" t="s">
        <v>1296</v>
      </c>
      <c r="R6372" t="s">
        <v>201</v>
      </c>
      <c r="S6372">
        <v>1</v>
      </c>
      <c r="T6372">
        <v>1</v>
      </c>
      <c r="U6372">
        <v>192240</v>
      </c>
      <c r="V6372">
        <v>192240</v>
      </c>
    </row>
    <row r="6373" spans="1:22">
      <c r="A6373" t="s">
        <v>196</v>
      </c>
      <c r="B6373">
        <v>57</v>
      </c>
      <c r="C6373" t="s">
        <v>31</v>
      </c>
      <c r="D6373">
        <v>740</v>
      </c>
      <c r="E6373" t="s">
        <v>2208</v>
      </c>
      <c r="F6373">
        <v>1005</v>
      </c>
      <c r="G6373" t="s">
        <v>31</v>
      </c>
      <c r="H6373">
        <v>2028</v>
      </c>
      <c r="I6373" t="s">
        <v>6</v>
      </c>
      <c r="J6373">
        <v>3335</v>
      </c>
      <c r="K6373" t="s">
        <v>2215</v>
      </c>
      <c r="L6373">
        <v>0</v>
      </c>
      <c r="N6373" t="s">
        <v>1304</v>
      </c>
      <c r="O6373">
        <v>73</v>
      </c>
      <c r="P6373">
        <v>9173</v>
      </c>
      <c r="Q6373" t="s">
        <v>1323</v>
      </c>
      <c r="R6373" t="s">
        <v>201</v>
      </c>
      <c r="S6373">
        <v>1</v>
      </c>
      <c r="T6373">
        <v>1</v>
      </c>
      <c r="U6373">
        <v>170700</v>
      </c>
      <c r="V6373">
        <v>170700</v>
      </c>
    </row>
    <row r="6374" spans="1:22">
      <c r="A6374" t="s">
        <v>196</v>
      </c>
      <c r="B6374">
        <v>57</v>
      </c>
      <c r="C6374" t="s">
        <v>31</v>
      </c>
      <c r="D6374">
        <v>740</v>
      </c>
      <c r="E6374" t="s">
        <v>2208</v>
      </c>
      <c r="F6374">
        <v>1005</v>
      </c>
      <c r="G6374" t="s">
        <v>31</v>
      </c>
      <c r="H6374">
        <v>2028</v>
      </c>
      <c r="I6374" t="s">
        <v>6</v>
      </c>
      <c r="J6374">
        <v>3335</v>
      </c>
      <c r="K6374" t="s">
        <v>2215</v>
      </c>
      <c r="L6374">
        <v>0</v>
      </c>
      <c r="N6374" t="s">
        <v>1304</v>
      </c>
      <c r="O6374">
        <v>73</v>
      </c>
      <c r="P6374">
        <v>9173</v>
      </c>
      <c r="Q6374" t="s">
        <v>1323</v>
      </c>
      <c r="R6374" t="s">
        <v>201</v>
      </c>
      <c r="S6374">
        <v>1</v>
      </c>
      <c r="T6374">
        <v>1</v>
      </c>
      <c r="U6374">
        <v>165624</v>
      </c>
      <c r="V6374">
        <v>165624</v>
      </c>
    </row>
    <row r="6375" spans="1:22">
      <c r="A6375" t="s">
        <v>196</v>
      </c>
      <c r="B6375">
        <v>57</v>
      </c>
      <c r="C6375" t="s">
        <v>31</v>
      </c>
      <c r="D6375">
        <v>740</v>
      </c>
      <c r="E6375" t="s">
        <v>2208</v>
      </c>
      <c r="F6375">
        <v>1005</v>
      </c>
      <c r="G6375" t="s">
        <v>31</v>
      </c>
      <c r="H6375">
        <v>2028</v>
      </c>
      <c r="I6375" t="s">
        <v>6</v>
      </c>
      <c r="J6375">
        <v>3335</v>
      </c>
      <c r="K6375" t="s">
        <v>2215</v>
      </c>
      <c r="L6375">
        <v>0</v>
      </c>
      <c r="N6375" t="s">
        <v>1302</v>
      </c>
      <c r="O6375">
        <v>71</v>
      </c>
      <c r="P6375">
        <v>9171</v>
      </c>
      <c r="Q6375" t="s">
        <v>1303</v>
      </c>
      <c r="R6375" t="s">
        <v>201</v>
      </c>
      <c r="S6375">
        <v>1</v>
      </c>
      <c r="T6375">
        <v>1</v>
      </c>
      <c r="U6375">
        <v>156564</v>
      </c>
      <c r="V6375">
        <v>156564</v>
      </c>
    </row>
    <row r="6376" spans="1:22">
      <c r="A6376" t="s">
        <v>196</v>
      </c>
      <c r="B6376">
        <v>57</v>
      </c>
      <c r="C6376" t="s">
        <v>31</v>
      </c>
      <c r="D6376">
        <v>740</v>
      </c>
      <c r="E6376" t="s">
        <v>2208</v>
      </c>
      <c r="F6376">
        <v>1005</v>
      </c>
      <c r="G6376" t="s">
        <v>31</v>
      </c>
      <c r="H6376">
        <v>2028</v>
      </c>
      <c r="I6376" t="s">
        <v>6</v>
      </c>
      <c r="J6376">
        <v>3335</v>
      </c>
      <c r="K6376" t="s">
        <v>2215</v>
      </c>
      <c r="L6376">
        <v>0</v>
      </c>
      <c r="N6376" t="s">
        <v>1302</v>
      </c>
      <c r="O6376">
        <v>71</v>
      </c>
      <c r="P6376">
        <v>9171</v>
      </c>
      <c r="Q6376" t="s">
        <v>1303</v>
      </c>
      <c r="R6376" t="s">
        <v>201</v>
      </c>
      <c r="S6376">
        <v>6</v>
      </c>
      <c r="T6376">
        <v>1</v>
      </c>
      <c r="U6376">
        <v>152010</v>
      </c>
      <c r="V6376">
        <v>912060</v>
      </c>
    </row>
    <row r="6377" spans="1:22">
      <c r="A6377" t="s">
        <v>196</v>
      </c>
      <c r="B6377">
        <v>57</v>
      </c>
      <c r="C6377" t="s">
        <v>31</v>
      </c>
      <c r="D6377">
        <v>740</v>
      </c>
      <c r="E6377" t="s">
        <v>2208</v>
      </c>
      <c r="F6377">
        <v>1005</v>
      </c>
      <c r="G6377" t="s">
        <v>31</v>
      </c>
      <c r="H6377">
        <v>2028</v>
      </c>
      <c r="I6377" t="s">
        <v>6</v>
      </c>
      <c r="J6377">
        <v>3335</v>
      </c>
      <c r="K6377" t="s">
        <v>2215</v>
      </c>
      <c r="L6377">
        <v>0</v>
      </c>
      <c r="N6377" t="s">
        <v>1302</v>
      </c>
      <c r="O6377">
        <v>71</v>
      </c>
      <c r="P6377">
        <v>9171</v>
      </c>
      <c r="Q6377" t="s">
        <v>1303</v>
      </c>
      <c r="R6377" t="s">
        <v>201</v>
      </c>
      <c r="S6377">
        <v>3</v>
      </c>
      <c r="T6377">
        <v>1</v>
      </c>
      <c r="U6377">
        <v>147252</v>
      </c>
      <c r="V6377">
        <v>441756</v>
      </c>
    </row>
    <row r="6378" spans="1:22">
      <c r="A6378" t="s">
        <v>196</v>
      </c>
      <c r="B6378">
        <v>57</v>
      </c>
      <c r="C6378" t="s">
        <v>31</v>
      </c>
      <c r="D6378">
        <v>740</v>
      </c>
      <c r="E6378" t="s">
        <v>2208</v>
      </c>
      <c r="F6378">
        <v>1005</v>
      </c>
      <c r="G6378" t="s">
        <v>31</v>
      </c>
      <c r="H6378">
        <v>2028</v>
      </c>
      <c r="I6378" t="s">
        <v>6</v>
      </c>
      <c r="J6378">
        <v>3335</v>
      </c>
      <c r="K6378" t="s">
        <v>2215</v>
      </c>
      <c r="L6378">
        <v>0</v>
      </c>
      <c r="N6378" t="s">
        <v>1302</v>
      </c>
      <c r="O6378">
        <v>71</v>
      </c>
      <c r="P6378">
        <v>9171</v>
      </c>
      <c r="Q6378" t="s">
        <v>1303</v>
      </c>
      <c r="R6378" t="s">
        <v>201</v>
      </c>
      <c r="S6378">
        <v>1</v>
      </c>
      <c r="T6378">
        <v>1</v>
      </c>
      <c r="U6378">
        <v>142668</v>
      </c>
      <c r="V6378">
        <v>142668</v>
      </c>
    </row>
    <row r="6379" spans="1:22">
      <c r="A6379" t="s">
        <v>196</v>
      </c>
      <c r="B6379">
        <v>57</v>
      </c>
      <c r="C6379" t="s">
        <v>31</v>
      </c>
      <c r="D6379">
        <v>740</v>
      </c>
      <c r="E6379" t="s">
        <v>2208</v>
      </c>
      <c r="F6379">
        <v>1005</v>
      </c>
      <c r="G6379" t="s">
        <v>31</v>
      </c>
      <c r="H6379">
        <v>2028</v>
      </c>
      <c r="I6379" t="s">
        <v>6</v>
      </c>
      <c r="J6379">
        <v>3335</v>
      </c>
      <c r="K6379" t="s">
        <v>2215</v>
      </c>
      <c r="L6379">
        <v>0</v>
      </c>
      <c r="N6379" t="s">
        <v>1302</v>
      </c>
      <c r="O6379">
        <v>71</v>
      </c>
      <c r="P6379">
        <v>9171</v>
      </c>
      <c r="Q6379" t="s">
        <v>1303</v>
      </c>
      <c r="R6379" t="s">
        <v>201</v>
      </c>
      <c r="S6379">
        <v>3</v>
      </c>
      <c r="T6379">
        <v>1</v>
      </c>
      <c r="U6379">
        <v>133890</v>
      </c>
      <c r="V6379">
        <v>401670</v>
      </c>
    </row>
    <row r="6380" spans="1:22">
      <c r="A6380" t="s">
        <v>196</v>
      </c>
      <c r="B6380">
        <v>57</v>
      </c>
      <c r="C6380" t="s">
        <v>31</v>
      </c>
      <c r="D6380">
        <v>740</v>
      </c>
      <c r="E6380" t="s">
        <v>2208</v>
      </c>
      <c r="F6380">
        <v>1005</v>
      </c>
      <c r="G6380" t="s">
        <v>31</v>
      </c>
      <c r="H6380">
        <v>2028</v>
      </c>
      <c r="I6380" t="s">
        <v>6</v>
      </c>
      <c r="J6380">
        <v>3335</v>
      </c>
      <c r="K6380" t="s">
        <v>2215</v>
      </c>
      <c r="L6380">
        <v>0</v>
      </c>
      <c r="N6380" t="s">
        <v>1309</v>
      </c>
      <c r="O6380">
        <v>91</v>
      </c>
      <c r="P6380">
        <v>9161</v>
      </c>
      <c r="Q6380" t="s">
        <v>1310</v>
      </c>
      <c r="R6380" t="s">
        <v>201</v>
      </c>
      <c r="S6380">
        <v>40</v>
      </c>
      <c r="T6380">
        <v>1</v>
      </c>
      <c r="U6380">
        <v>127146</v>
      </c>
      <c r="V6380">
        <v>5085840</v>
      </c>
    </row>
    <row r="6381" spans="1:22">
      <c r="A6381" t="s">
        <v>196</v>
      </c>
      <c r="B6381">
        <v>57</v>
      </c>
      <c r="C6381" t="s">
        <v>31</v>
      </c>
      <c r="D6381">
        <v>740</v>
      </c>
      <c r="E6381" t="s">
        <v>2208</v>
      </c>
      <c r="F6381">
        <v>1005</v>
      </c>
      <c r="G6381" t="s">
        <v>31</v>
      </c>
      <c r="H6381">
        <v>2028</v>
      </c>
      <c r="I6381" t="s">
        <v>6</v>
      </c>
      <c r="J6381">
        <v>3335</v>
      </c>
      <c r="K6381" t="s">
        <v>2215</v>
      </c>
      <c r="L6381">
        <v>0</v>
      </c>
      <c r="N6381" t="s">
        <v>1309</v>
      </c>
      <c r="O6381">
        <v>91</v>
      </c>
      <c r="P6381">
        <v>9161</v>
      </c>
      <c r="Q6381" t="s">
        <v>1310</v>
      </c>
      <c r="R6381" t="s">
        <v>201</v>
      </c>
      <c r="S6381">
        <v>12</v>
      </c>
      <c r="T6381">
        <v>1</v>
      </c>
      <c r="U6381">
        <v>123576</v>
      </c>
      <c r="V6381">
        <v>1482912</v>
      </c>
    </row>
    <row r="6382" spans="1:22">
      <c r="A6382" t="s">
        <v>196</v>
      </c>
      <c r="B6382">
        <v>57</v>
      </c>
      <c r="C6382" t="s">
        <v>31</v>
      </c>
      <c r="D6382">
        <v>740</v>
      </c>
      <c r="E6382" t="s">
        <v>2208</v>
      </c>
      <c r="F6382">
        <v>1005</v>
      </c>
      <c r="G6382" t="s">
        <v>31</v>
      </c>
      <c r="H6382">
        <v>2028</v>
      </c>
      <c r="I6382" t="s">
        <v>6</v>
      </c>
      <c r="J6382">
        <v>3335</v>
      </c>
      <c r="K6382" t="s">
        <v>2215</v>
      </c>
      <c r="L6382">
        <v>0</v>
      </c>
      <c r="N6382" t="s">
        <v>1309</v>
      </c>
      <c r="O6382">
        <v>91</v>
      </c>
      <c r="P6382">
        <v>9161</v>
      </c>
      <c r="Q6382" t="s">
        <v>1310</v>
      </c>
      <c r="R6382" t="s">
        <v>201</v>
      </c>
      <c r="S6382">
        <v>7</v>
      </c>
      <c r="T6382">
        <v>1</v>
      </c>
      <c r="U6382">
        <v>119154</v>
      </c>
      <c r="V6382">
        <v>834078</v>
      </c>
    </row>
    <row r="6383" spans="1:22">
      <c r="A6383" t="s">
        <v>196</v>
      </c>
      <c r="B6383">
        <v>57</v>
      </c>
      <c r="C6383" t="s">
        <v>31</v>
      </c>
      <c r="D6383">
        <v>740</v>
      </c>
      <c r="E6383" t="s">
        <v>2208</v>
      </c>
      <c r="F6383">
        <v>1005</v>
      </c>
      <c r="G6383" t="s">
        <v>31</v>
      </c>
      <c r="H6383">
        <v>2028</v>
      </c>
      <c r="I6383" t="s">
        <v>6</v>
      </c>
      <c r="J6383">
        <v>3335</v>
      </c>
      <c r="K6383" t="s">
        <v>2215</v>
      </c>
      <c r="L6383">
        <v>0</v>
      </c>
      <c r="N6383" t="s">
        <v>1309</v>
      </c>
      <c r="O6383">
        <v>91</v>
      </c>
      <c r="P6383">
        <v>9161</v>
      </c>
      <c r="Q6383" t="s">
        <v>1310</v>
      </c>
      <c r="R6383" t="s">
        <v>201</v>
      </c>
      <c r="S6383">
        <v>1</v>
      </c>
      <c r="T6383">
        <v>1</v>
      </c>
      <c r="U6383">
        <v>115158</v>
      </c>
      <c r="V6383">
        <v>115158</v>
      </c>
    </row>
    <row r="6384" spans="1:22">
      <c r="A6384" t="s">
        <v>196</v>
      </c>
      <c r="B6384">
        <v>57</v>
      </c>
      <c r="C6384" t="s">
        <v>31</v>
      </c>
      <c r="D6384">
        <v>740</v>
      </c>
      <c r="E6384" t="s">
        <v>2208</v>
      </c>
      <c r="F6384">
        <v>1005</v>
      </c>
      <c r="G6384" t="s">
        <v>31</v>
      </c>
      <c r="H6384">
        <v>2028</v>
      </c>
      <c r="I6384" t="s">
        <v>6</v>
      </c>
      <c r="J6384">
        <v>3335</v>
      </c>
      <c r="K6384" t="s">
        <v>2215</v>
      </c>
      <c r="L6384">
        <v>0</v>
      </c>
      <c r="N6384" t="s">
        <v>1309</v>
      </c>
      <c r="O6384">
        <v>91</v>
      </c>
      <c r="P6384">
        <v>9161</v>
      </c>
      <c r="Q6384" t="s">
        <v>1310</v>
      </c>
      <c r="R6384" t="s">
        <v>201</v>
      </c>
      <c r="S6384">
        <v>5</v>
      </c>
      <c r="T6384">
        <v>1</v>
      </c>
      <c r="U6384">
        <v>111252</v>
      </c>
      <c r="V6384">
        <v>556260</v>
      </c>
    </row>
    <row r="6385" spans="1:22">
      <c r="A6385" t="s">
        <v>196</v>
      </c>
      <c r="B6385">
        <v>57</v>
      </c>
      <c r="C6385" t="s">
        <v>31</v>
      </c>
      <c r="D6385">
        <v>740</v>
      </c>
      <c r="E6385" t="s">
        <v>2208</v>
      </c>
      <c r="F6385">
        <v>1005</v>
      </c>
      <c r="G6385" t="s">
        <v>31</v>
      </c>
      <c r="H6385">
        <v>2028</v>
      </c>
      <c r="I6385" t="s">
        <v>6</v>
      </c>
      <c r="J6385">
        <v>3335</v>
      </c>
      <c r="K6385" t="s">
        <v>2215</v>
      </c>
      <c r="L6385">
        <v>0</v>
      </c>
      <c r="N6385" t="s">
        <v>1309</v>
      </c>
      <c r="O6385">
        <v>91</v>
      </c>
      <c r="P6385">
        <v>9161</v>
      </c>
      <c r="Q6385" t="s">
        <v>1310</v>
      </c>
      <c r="R6385" t="s">
        <v>201</v>
      </c>
      <c r="S6385">
        <v>1</v>
      </c>
      <c r="T6385">
        <v>1</v>
      </c>
      <c r="U6385">
        <v>105906</v>
      </c>
      <c r="V6385">
        <v>105906</v>
      </c>
    </row>
    <row r="6386" spans="1:22">
      <c r="A6386" t="s">
        <v>196</v>
      </c>
      <c r="B6386">
        <v>57</v>
      </c>
      <c r="C6386" t="s">
        <v>31</v>
      </c>
      <c r="D6386">
        <v>740</v>
      </c>
      <c r="E6386" t="s">
        <v>2208</v>
      </c>
      <c r="F6386">
        <v>1005</v>
      </c>
      <c r="G6386" t="s">
        <v>31</v>
      </c>
      <c r="H6386">
        <v>2028</v>
      </c>
      <c r="I6386" t="s">
        <v>6</v>
      </c>
      <c r="J6386">
        <v>3335</v>
      </c>
      <c r="K6386" t="s">
        <v>2215</v>
      </c>
      <c r="L6386">
        <v>0</v>
      </c>
      <c r="N6386" t="s">
        <v>1309</v>
      </c>
      <c r="O6386">
        <v>91</v>
      </c>
      <c r="P6386">
        <v>9161</v>
      </c>
      <c r="Q6386" t="s">
        <v>1310</v>
      </c>
      <c r="R6386" t="s">
        <v>201</v>
      </c>
      <c r="S6386">
        <v>6</v>
      </c>
      <c r="T6386">
        <v>1</v>
      </c>
      <c r="U6386">
        <v>100950</v>
      </c>
      <c r="V6386">
        <v>605700</v>
      </c>
    </row>
    <row r="6387" spans="1:22">
      <c r="A6387" t="s">
        <v>196</v>
      </c>
      <c r="B6387">
        <v>57</v>
      </c>
      <c r="C6387" t="s">
        <v>31</v>
      </c>
      <c r="D6387">
        <v>740</v>
      </c>
      <c r="E6387" t="s">
        <v>2208</v>
      </c>
      <c r="F6387">
        <v>1005</v>
      </c>
      <c r="G6387" t="s">
        <v>31</v>
      </c>
      <c r="H6387">
        <v>2028</v>
      </c>
      <c r="I6387" t="s">
        <v>6</v>
      </c>
      <c r="J6387">
        <v>3335</v>
      </c>
      <c r="K6387" t="s">
        <v>2215</v>
      </c>
      <c r="L6387">
        <v>0</v>
      </c>
      <c r="N6387" t="s">
        <v>1309</v>
      </c>
      <c r="O6387">
        <v>91</v>
      </c>
      <c r="P6387">
        <v>9161</v>
      </c>
      <c r="Q6387" t="s">
        <v>1310</v>
      </c>
      <c r="R6387" t="s">
        <v>201</v>
      </c>
      <c r="S6387">
        <v>48</v>
      </c>
      <c r="T6387">
        <v>1</v>
      </c>
      <c r="U6387">
        <v>95982</v>
      </c>
      <c r="V6387">
        <v>4607136</v>
      </c>
    </row>
    <row r="6388" spans="1:22">
      <c r="A6388" t="s">
        <v>196</v>
      </c>
      <c r="B6388">
        <v>57</v>
      </c>
      <c r="C6388" t="s">
        <v>31</v>
      </c>
      <c r="D6388">
        <v>740</v>
      </c>
      <c r="E6388" t="s">
        <v>2208</v>
      </c>
      <c r="F6388">
        <v>1005</v>
      </c>
      <c r="G6388" t="s">
        <v>31</v>
      </c>
      <c r="H6388">
        <v>2028</v>
      </c>
      <c r="I6388" t="s">
        <v>6</v>
      </c>
      <c r="J6388">
        <v>3335</v>
      </c>
      <c r="K6388" t="s">
        <v>2215</v>
      </c>
      <c r="L6388">
        <v>0</v>
      </c>
      <c r="N6388" t="s">
        <v>1309</v>
      </c>
      <c r="O6388">
        <v>91</v>
      </c>
      <c r="P6388">
        <v>9161</v>
      </c>
      <c r="Q6388" t="s">
        <v>1310</v>
      </c>
      <c r="R6388" t="s">
        <v>201</v>
      </c>
      <c r="S6388">
        <v>52</v>
      </c>
      <c r="T6388">
        <v>1</v>
      </c>
      <c r="U6388">
        <v>63636</v>
      </c>
      <c r="V6388">
        <v>3309072</v>
      </c>
    </row>
    <row r="6389" spans="1:22">
      <c r="A6389" t="s">
        <v>196</v>
      </c>
      <c r="B6389">
        <v>57</v>
      </c>
      <c r="C6389" t="s">
        <v>31</v>
      </c>
      <c r="D6389">
        <v>740</v>
      </c>
      <c r="E6389" t="s">
        <v>2208</v>
      </c>
      <c r="F6389">
        <v>1005</v>
      </c>
      <c r="G6389" t="s">
        <v>31</v>
      </c>
      <c r="H6389">
        <v>2028</v>
      </c>
      <c r="I6389" t="s">
        <v>6</v>
      </c>
      <c r="J6389">
        <v>3335</v>
      </c>
      <c r="K6389" t="s">
        <v>2215</v>
      </c>
      <c r="L6389">
        <v>0</v>
      </c>
      <c r="N6389" t="s">
        <v>1321</v>
      </c>
      <c r="O6389">
        <v>91</v>
      </c>
      <c r="P6389">
        <v>9153</v>
      </c>
      <c r="Q6389" t="s">
        <v>1384</v>
      </c>
      <c r="R6389" t="s">
        <v>201</v>
      </c>
      <c r="S6389">
        <v>14</v>
      </c>
      <c r="T6389">
        <v>1</v>
      </c>
      <c r="U6389">
        <v>133650</v>
      </c>
      <c r="V6389">
        <v>1871100</v>
      </c>
    </row>
    <row r="6390" spans="1:22">
      <c r="A6390" t="s">
        <v>196</v>
      </c>
      <c r="B6390">
        <v>57</v>
      </c>
      <c r="C6390" t="s">
        <v>31</v>
      </c>
      <c r="D6390">
        <v>740</v>
      </c>
      <c r="E6390" t="s">
        <v>2208</v>
      </c>
      <c r="F6390">
        <v>1005</v>
      </c>
      <c r="G6390" t="s">
        <v>31</v>
      </c>
      <c r="H6390">
        <v>2028</v>
      </c>
      <c r="I6390" t="s">
        <v>6</v>
      </c>
      <c r="J6390">
        <v>3335</v>
      </c>
      <c r="K6390" t="s">
        <v>2215</v>
      </c>
      <c r="L6390">
        <v>0</v>
      </c>
      <c r="N6390" t="s">
        <v>1321</v>
      </c>
      <c r="O6390">
        <v>91</v>
      </c>
      <c r="P6390">
        <v>9153</v>
      </c>
      <c r="Q6390" t="s">
        <v>1384</v>
      </c>
      <c r="R6390" t="s">
        <v>201</v>
      </c>
      <c r="S6390">
        <v>3</v>
      </c>
      <c r="T6390">
        <v>1</v>
      </c>
      <c r="U6390">
        <v>129774</v>
      </c>
      <c r="V6390">
        <v>389322</v>
      </c>
    </row>
    <row r="6391" spans="1:22">
      <c r="A6391" t="s">
        <v>196</v>
      </c>
      <c r="B6391">
        <v>57</v>
      </c>
      <c r="C6391" t="s">
        <v>31</v>
      </c>
      <c r="D6391">
        <v>740</v>
      </c>
      <c r="E6391" t="s">
        <v>2208</v>
      </c>
      <c r="F6391">
        <v>1005</v>
      </c>
      <c r="G6391" t="s">
        <v>31</v>
      </c>
      <c r="H6391">
        <v>2028</v>
      </c>
      <c r="I6391" t="s">
        <v>6</v>
      </c>
      <c r="J6391">
        <v>3335</v>
      </c>
      <c r="K6391" t="s">
        <v>2215</v>
      </c>
      <c r="L6391">
        <v>0</v>
      </c>
      <c r="N6391" t="s">
        <v>1321</v>
      </c>
      <c r="O6391">
        <v>91</v>
      </c>
      <c r="P6391">
        <v>9153</v>
      </c>
      <c r="Q6391" t="s">
        <v>1384</v>
      </c>
      <c r="R6391" t="s">
        <v>201</v>
      </c>
      <c r="S6391">
        <v>3</v>
      </c>
      <c r="T6391">
        <v>1</v>
      </c>
      <c r="U6391">
        <v>125112</v>
      </c>
      <c r="V6391">
        <v>375336</v>
      </c>
    </row>
    <row r="6392" spans="1:22">
      <c r="A6392" t="s">
        <v>196</v>
      </c>
      <c r="B6392">
        <v>57</v>
      </c>
      <c r="C6392" t="s">
        <v>31</v>
      </c>
      <c r="D6392">
        <v>740</v>
      </c>
      <c r="E6392" t="s">
        <v>2208</v>
      </c>
      <c r="F6392">
        <v>1005</v>
      </c>
      <c r="G6392" t="s">
        <v>31</v>
      </c>
      <c r="H6392">
        <v>2028</v>
      </c>
      <c r="I6392" t="s">
        <v>6</v>
      </c>
      <c r="J6392">
        <v>3335</v>
      </c>
      <c r="K6392" t="s">
        <v>2215</v>
      </c>
      <c r="L6392">
        <v>0</v>
      </c>
      <c r="N6392" t="s">
        <v>1321</v>
      </c>
      <c r="O6392">
        <v>91</v>
      </c>
      <c r="P6392">
        <v>9153</v>
      </c>
      <c r="Q6392" t="s">
        <v>1384</v>
      </c>
      <c r="R6392" t="s">
        <v>201</v>
      </c>
      <c r="S6392">
        <v>3</v>
      </c>
      <c r="T6392">
        <v>1</v>
      </c>
      <c r="U6392">
        <v>120900</v>
      </c>
      <c r="V6392">
        <v>362700</v>
      </c>
    </row>
    <row r="6393" spans="1:22">
      <c r="A6393" t="s">
        <v>196</v>
      </c>
      <c r="B6393">
        <v>57</v>
      </c>
      <c r="C6393" t="s">
        <v>31</v>
      </c>
      <c r="D6393">
        <v>740</v>
      </c>
      <c r="E6393" t="s">
        <v>2208</v>
      </c>
      <c r="F6393">
        <v>1005</v>
      </c>
      <c r="G6393" t="s">
        <v>31</v>
      </c>
      <c r="H6393">
        <v>2028</v>
      </c>
      <c r="I6393" t="s">
        <v>6</v>
      </c>
      <c r="J6393">
        <v>3335</v>
      </c>
      <c r="K6393" t="s">
        <v>2215</v>
      </c>
      <c r="L6393">
        <v>0</v>
      </c>
      <c r="N6393" t="s">
        <v>1321</v>
      </c>
      <c r="O6393">
        <v>91</v>
      </c>
      <c r="P6393">
        <v>9153</v>
      </c>
      <c r="Q6393" t="s">
        <v>1384</v>
      </c>
      <c r="R6393" t="s">
        <v>201</v>
      </c>
      <c r="S6393">
        <v>1</v>
      </c>
      <c r="T6393">
        <v>1</v>
      </c>
      <c r="U6393">
        <v>116856</v>
      </c>
      <c r="V6393">
        <v>116856</v>
      </c>
    </row>
    <row r="6394" spans="1:22">
      <c r="A6394" t="s">
        <v>196</v>
      </c>
      <c r="B6394">
        <v>57</v>
      </c>
      <c r="C6394" t="s">
        <v>31</v>
      </c>
      <c r="D6394">
        <v>740</v>
      </c>
      <c r="E6394" t="s">
        <v>2208</v>
      </c>
      <c r="F6394">
        <v>1005</v>
      </c>
      <c r="G6394" t="s">
        <v>31</v>
      </c>
      <c r="H6394">
        <v>2028</v>
      </c>
      <c r="I6394" t="s">
        <v>6</v>
      </c>
      <c r="J6394">
        <v>3335</v>
      </c>
      <c r="K6394" t="s">
        <v>2215</v>
      </c>
      <c r="L6394">
        <v>0</v>
      </c>
      <c r="N6394" t="s">
        <v>199</v>
      </c>
      <c r="O6394">
        <v>0</v>
      </c>
      <c r="P6394">
        <v>15</v>
      </c>
      <c r="Q6394" t="s">
        <v>264</v>
      </c>
      <c r="R6394" t="s">
        <v>201</v>
      </c>
      <c r="S6394">
        <v>0</v>
      </c>
      <c r="T6394">
        <v>0</v>
      </c>
      <c r="U6394">
        <v>170248</v>
      </c>
      <c r="V6394">
        <v>170248</v>
      </c>
    </row>
    <row r="6395" spans="1:22">
      <c r="A6395" t="s">
        <v>196</v>
      </c>
      <c r="B6395">
        <v>57</v>
      </c>
      <c r="C6395" t="s">
        <v>31</v>
      </c>
      <c r="D6395">
        <v>740</v>
      </c>
      <c r="E6395" t="s">
        <v>2208</v>
      </c>
      <c r="F6395">
        <v>1005</v>
      </c>
      <c r="G6395" t="s">
        <v>31</v>
      </c>
      <c r="H6395">
        <v>2028</v>
      </c>
      <c r="I6395" t="s">
        <v>6</v>
      </c>
      <c r="J6395">
        <v>3338</v>
      </c>
      <c r="K6395" t="s">
        <v>1385</v>
      </c>
      <c r="L6395">
        <v>4228</v>
      </c>
      <c r="M6395" t="s">
        <v>2216</v>
      </c>
      <c r="N6395" t="s">
        <v>1344</v>
      </c>
      <c r="O6395">
        <v>91</v>
      </c>
      <c r="P6395">
        <v>9158</v>
      </c>
      <c r="Q6395" t="s">
        <v>1395</v>
      </c>
      <c r="R6395" t="s">
        <v>201</v>
      </c>
      <c r="S6395">
        <v>1</v>
      </c>
      <c r="T6395">
        <v>1</v>
      </c>
      <c r="U6395">
        <v>147252</v>
      </c>
      <c r="V6395">
        <v>147252</v>
      </c>
    </row>
    <row r="6396" spans="1:22">
      <c r="A6396" t="s">
        <v>196</v>
      </c>
      <c r="B6396">
        <v>57</v>
      </c>
      <c r="C6396" t="s">
        <v>31</v>
      </c>
      <c r="D6396">
        <v>740</v>
      </c>
      <c r="E6396" t="s">
        <v>2208</v>
      </c>
      <c r="F6396">
        <v>1005</v>
      </c>
      <c r="G6396" t="s">
        <v>31</v>
      </c>
      <c r="H6396">
        <v>2028</v>
      </c>
      <c r="I6396" t="s">
        <v>6</v>
      </c>
      <c r="J6396">
        <v>3338</v>
      </c>
      <c r="K6396" t="s">
        <v>1385</v>
      </c>
      <c r="L6396">
        <v>4228</v>
      </c>
      <c r="M6396" t="s">
        <v>2216</v>
      </c>
      <c r="N6396" t="s">
        <v>1344</v>
      </c>
      <c r="O6396">
        <v>91</v>
      </c>
      <c r="P6396">
        <v>9158</v>
      </c>
      <c r="Q6396" t="s">
        <v>1395</v>
      </c>
      <c r="R6396" t="s">
        <v>201</v>
      </c>
      <c r="S6396">
        <v>1</v>
      </c>
      <c r="T6396">
        <v>1</v>
      </c>
      <c r="U6396">
        <v>142668</v>
      </c>
      <c r="V6396">
        <v>142668</v>
      </c>
    </row>
    <row r="6397" spans="1:22">
      <c r="A6397" t="s">
        <v>196</v>
      </c>
      <c r="B6397">
        <v>57</v>
      </c>
      <c r="C6397" t="s">
        <v>31</v>
      </c>
      <c r="D6397">
        <v>740</v>
      </c>
      <c r="E6397" t="s">
        <v>2208</v>
      </c>
      <c r="F6397">
        <v>1005</v>
      </c>
      <c r="G6397" t="s">
        <v>31</v>
      </c>
      <c r="H6397">
        <v>2028</v>
      </c>
      <c r="I6397" t="s">
        <v>6</v>
      </c>
      <c r="J6397">
        <v>3338</v>
      </c>
      <c r="K6397" t="s">
        <v>1385</v>
      </c>
      <c r="L6397">
        <v>4228</v>
      </c>
      <c r="M6397" t="s">
        <v>2216</v>
      </c>
      <c r="N6397" t="s">
        <v>1344</v>
      </c>
      <c r="O6397">
        <v>91</v>
      </c>
      <c r="P6397">
        <v>9158</v>
      </c>
      <c r="Q6397" t="s">
        <v>1395</v>
      </c>
      <c r="R6397" t="s">
        <v>201</v>
      </c>
      <c r="S6397">
        <v>2</v>
      </c>
      <c r="T6397">
        <v>1</v>
      </c>
      <c r="U6397">
        <v>138318</v>
      </c>
      <c r="V6397">
        <v>276636</v>
      </c>
    </row>
    <row r="6398" spans="1:22">
      <c r="A6398" t="s">
        <v>196</v>
      </c>
      <c r="B6398">
        <v>57</v>
      </c>
      <c r="C6398" t="s">
        <v>31</v>
      </c>
      <c r="D6398">
        <v>740</v>
      </c>
      <c r="E6398" t="s">
        <v>2208</v>
      </c>
      <c r="F6398">
        <v>1005</v>
      </c>
      <c r="G6398" t="s">
        <v>31</v>
      </c>
      <c r="H6398">
        <v>2028</v>
      </c>
      <c r="I6398" t="s">
        <v>6</v>
      </c>
      <c r="J6398">
        <v>3338</v>
      </c>
      <c r="K6398" t="s">
        <v>1385</v>
      </c>
      <c r="L6398">
        <v>4228</v>
      </c>
      <c r="M6398" t="s">
        <v>2216</v>
      </c>
      <c r="N6398" t="s">
        <v>1344</v>
      </c>
      <c r="O6398">
        <v>91</v>
      </c>
      <c r="P6398">
        <v>9158</v>
      </c>
      <c r="Q6398" t="s">
        <v>1395</v>
      </c>
      <c r="R6398" t="s">
        <v>201</v>
      </c>
      <c r="S6398">
        <v>1</v>
      </c>
      <c r="T6398">
        <v>1</v>
      </c>
      <c r="U6398">
        <v>133884</v>
      </c>
      <c r="V6398">
        <v>133884</v>
      </c>
    </row>
    <row r="6399" spans="1:22">
      <c r="A6399" t="s">
        <v>196</v>
      </c>
      <c r="B6399">
        <v>57</v>
      </c>
      <c r="C6399" t="s">
        <v>31</v>
      </c>
      <c r="D6399">
        <v>740</v>
      </c>
      <c r="E6399" t="s">
        <v>2208</v>
      </c>
      <c r="F6399">
        <v>1005</v>
      </c>
      <c r="G6399" t="s">
        <v>31</v>
      </c>
      <c r="H6399">
        <v>2028</v>
      </c>
      <c r="I6399" t="s">
        <v>6</v>
      </c>
      <c r="J6399">
        <v>3338</v>
      </c>
      <c r="K6399" t="s">
        <v>1385</v>
      </c>
      <c r="L6399">
        <v>4228</v>
      </c>
      <c r="M6399" t="s">
        <v>2216</v>
      </c>
      <c r="N6399" t="s">
        <v>199</v>
      </c>
      <c r="O6399">
        <v>0</v>
      </c>
      <c r="P6399">
        <v>15</v>
      </c>
      <c r="Q6399" t="s">
        <v>264</v>
      </c>
      <c r="R6399" t="s">
        <v>201</v>
      </c>
      <c r="S6399">
        <v>0</v>
      </c>
      <c r="T6399">
        <v>0</v>
      </c>
      <c r="U6399">
        <v>7300</v>
      </c>
      <c r="V6399">
        <v>7300</v>
      </c>
    </row>
    <row r="6400" spans="1:22">
      <c r="A6400" t="s">
        <v>196</v>
      </c>
      <c r="B6400">
        <v>58</v>
      </c>
      <c r="C6400" t="s">
        <v>9</v>
      </c>
      <c r="D6400">
        <v>740</v>
      </c>
      <c r="E6400" t="s">
        <v>2208</v>
      </c>
      <c r="F6400">
        <v>1010</v>
      </c>
      <c r="G6400" t="s">
        <v>9</v>
      </c>
      <c r="H6400">
        <v>2705</v>
      </c>
      <c r="I6400" t="s">
        <v>9</v>
      </c>
      <c r="J6400">
        <v>3045</v>
      </c>
      <c r="K6400" t="s">
        <v>1452</v>
      </c>
      <c r="L6400">
        <v>4135</v>
      </c>
      <c r="M6400" t="s">
        <v>1453</v>
      </c>
      <c r="N6400" t="s">
        <v>622</v>
      </c>
      <c r="O6400">
        <v>1</v>
      </c>
      <c r="P6400">
        <v>8615</v>
      </c>
      <c r="Q6400" t="s">
        <v>1456</v>
      </c>
      <c r="R6400" t="s">
        <v>201</v>
      </c>
      <c r="S6400">
        <v>2</v>
      </c>
      <c r="T6400">
        <v>1</v>
      </c>
      <c r="U6400">
        <v>90144</v>
      </c>
      <c r="V6400">
        <v>180288</v>
      </c>
    </row>
    <row r="6401" spans="1:22">
      <c r="A6401" t="s">
        <v>196</v>
      </c>
      <c r="B6401">
        <v>58</v>
      </c>
      <c r="C6401" t="s">
        <v>9</v>
      </c>
      <c r="D6401">
        <v>740</v>
      </c>
      <c r="E6401" t="s">
        <v>2208</v>
      </c>
      <c r="F6401">
        <v>1010</v>
      </c>
      <c r="G6401" t="s">
        <v>9</v>
      </c>
      <c r="H6401">
        <v>2705</v>
      </c>
      <c r="I6401" t="s">
        <v>9</v>
      </c>
      <c r="J6401">
        <v>3045</v>
      </c>
      <c r="K6401" t="s">
        <v>1452</v>
      </c>
      <c r="L6401">
        <v>4135</v>
      </c>
      <c r="M6401" t="s">
        <v>1453</v>
      </c>
      <c r="N6401" t="s">
        <v>622</v>
      </c>
      <c r="O6401">
        <v>1</v>
      </c>
      <c r="P6401">
        <v>8615</v>
      </c>
      <c r="Q6401" t="s">
        <v>1456</v>
      </c>
      <c r="R6401" t="s">
        <v>201</v>
      </c>
      <c r="S6401">
        <v>1</v>
      </c>
      <c r="T6401">
        <v>1</v>
      </c>
      <c r="U6401">
        <v>78432</v>
      </c>
      <c r="V6401">
        <v>78432</v>
      </c>
    </row>
    <row r="6402" spans="1:22">
      <c r="A6402" t="s">
        <v>196</v>
      </c>
      <c r="B6402">
        <v>58</v>
      </c>
      <c r="C6402" t="s">
        <v>9</v>
      </c>
      <c r="D6402">
        <v>740</v>
      </c>
      <c r="E6402" t="s">
        <v>2208</v>
      </c>
      <c r="F6402">
        <v>1010</v>
      </c>
      <c r="G6402" t="s">
        <v>9</v>
      </c>
      <c r="H6402">
        <v>2705</v>
      </c>
      <c r="I6402" t="s">
        <v>9</v>
      </c>
      <c r="J6402">
        <v>3045</v>
      </c>
      <c r="K6402" t="s">
        <v>1452</v>
      </c>
      <c r="L6402">
        <v>4135</v>
      </c>
      <c r="M6402" t="s">
        <v>1453</v>
      </c>
      <c r="N6402" t="s">
        <v>622</v>
      </c>
      <c r="O6402">
        <v>1</v>
      </c>
      <c r="P6402">
        <v>8615</v>
      </c>
      <c r="Q6402" t="s">
        <v>1456</v>
      </c>
      <c r="R6402" t="s">
        <v>201</v>
      </c>
      <c r="S6402">
        <v>2</v>
      </c>
      <c r="T6402">
        <v>1</v>
      </c>
      <c r="U6402">
        <v>64488</v>
      </c>
      <c r="V6402">
        <v>128976</v>
      </c>
    </row>
    <row r="6403" spans="1:22">
      <c r="A6403" t="s">
        <v>196</v>
      </c>
      <c r="B6403">
        <v>58</v>
      </c>
      <c r="C6403" t="s">
        <v>9</v>
      </c>
      <c r="D6403">
        <v>740</v>
      </c>
      <c r="E6403" t="s">
        <v>2208</v>
      </c>
      <c r="F6403">
        <v>1010</v>
      </c>
      <c r="G6403" t="s">
        <v>9</v>
      </c>
      <c r="H6403">
        <v>2705</v>
      </c>
      <c r="I6403" t="s">
        <v>9</v>
      </c>
      <c r="J6403">
        <v>3045</v>
      </c>
      <c r="K6403" t="s">
        <v>1452</v>
      </c>
      <c r="L6403">
        <v>4135</v>
      </c>
      <c r="M6403" t="s">
        <v>1453</v>
      </c>
      <c r="N6403" t="s">
        <v>622</v>
      </c>
      <c r="O6403">
        <v>1</v>
      </c>
      <c r="P6403">
        <v>8615</v>
      </c>
      <c r="Q6403" t="s">
        <v>1456</v>
      </c>
      <c r="R6403" t="s">
        <v>201</v>
      </c>
      <c r="S6403">
        <v>1</v>
      </c>
      <c r="T6403">
        <v>1</v>
      </c>
      <c r="U6403">
        <v>58764</v>
      </c>
      <c r="V6403">
        <v>58764</v>
      </c>
    </row>
    <row r="6404" spans="1:22">
      <c r="A6404" t="s">
        <v>196</v>
      </c>
      <c r="B6404">
        <v>58</v>
      </c>
      <c r="C6404" t="s">
        <v>9</v>
      </c>
      <c r="D6404">
        <v>740</v>
      </c>
      <c r="E6404" t="s">
        <v>2208</v>
      </c>
      <c r="F6404">
        <v>1010</v>
      </c>
      <c r="G6404" t="s">
        <v>9</v>
      </c>
      <c r="H6404">
        <v>2705</v>
      </c>
      <c r="I6404" t="s">
        <v>9</v>
      </c>
      <c r="J6404">
        <v>3045</v>
      </c>
      <c r="K6404" t="s">
        <v>1452</v>
      </c>
      <c r="L6404">
        <v>4135</v>
      </c>
      <c r="M6404" t="s">
        <v>1453</v>
      </c>
      <c r="N6404" t="s">
        <v>622</v>
      </c>
      <c r="O6404">
        <v>1</v>
      </c>
      <c r="P6404">
        <v>8615</v>
      </c>
      <c r="Q6404" t="s">
        <v>1456</v>
      </c>
      <c r="R6404" t="s">
        <v>201</v>
      </c>
      <c r="S6404">
        <v>3</v>
      </c>
      <c r="T6404">
        <v>1</v>
      </c>
      <c r="U6404">
        <v>53532</v>
      </c>
      <c r="V6404">
        <v>160596</v>
      </c>
    </row>
    <row r="6405" spans="1:22">
      <c r="A6405" t="s">
        <v>196</v>
      </c>
      <c r="B6405">
        <v>58</v>
      </c>
      <c r="C6405" t="s">
        <v>9</v>
      </c>
      <c r="D6405">
        <v>740</v>
      </c>
      <c r="E6405" t="s">
        <v>2208</v>
      </c>
      <c r="F6405">
        <v>1010</v>
      </c>
      <c r="G6405" t="s">
        <v>9</v>
      </c>
      <c r="H6405">
        <v>2705</v>
      </c>
      <c r="I6405" t="s">
        <v>9</v>
      </c>
      <c r="J6405">
        <v>3045</v>
      </c>
      <c r="K6405" t="s">
        <v>1452</v>
      </c>
      <c r="L6405">
        <v>4135</v>
      </c>
      <c r="M6405" t="s">
        <v>1453</v>
      </c>
      <c r="N6405" t="s">
        <v>622</v>
      </c>
      <c r="O6405">
        <v>1</v>
      </c>
      <c r="P6405">
        <v>8615</v>
      </c>
      <c r="Q6405" t="s">
        <v>1456</v>
      </c>
      <c r="R6405" t="s">
        <v>201</v>
      </c>
      <c r="S6405">
        <v>6</v>
      </c>
      <c r="T6405">
        <v>1</v>
      </c>
      <c r="U6405">
        <v>51936</v>
      </c>
      <c r="V6405">
        <v>311616</v>
      </c>
    </row>
    <row r="6406" spans="1:22">
      <c r="A6406" t="s">
        <v>196</v>
      </c>
      <c r="B6406">
        <v>58</v>
      </c>
      <c r="C6406" t="s">
        <v>9</v>
      </c>
      <c r="D6406">
        <v>740</v>
      </c>
      <c r="E6406" t="s">
        <v>2208</v>
      </c>
      <c r="F6406">
        <v>1010</v>
      </c>
      <c r="G6406" t="s">
        <v>9</v>
      </c>
      <c r="H6406">
        <v>2705</v>
      </c>
      <c r="I6406" t="s">
        <v>9</v>
      </c>
      <c r="J6406">
        <v>3045</v>
      </c>
      <c r="K6406" t="s">
        <v>1452</v>
      </c>
      <c r="L6406">
        <v>4135</v>
      </c>
      <c r="M6406" t="s">
        <v>1453</v>
      </c>
      <c r="N6406" t="s">
        <v>372</v>
      </c>
      <c r="O6406">
        <v>1</v>
      </c>
      <c r="P6406">
        <v>8614</v>
      </c>
      <c r="Q6406" t="s">
        <v>1457</v>
      </c>
      <c r="R6406" t="s">
        <v>201</v>
      </c>
      <c r="S6406">
        <v>1</v>
      </c>
      <c r="T6406">
        <v>1</v>
      </c>
      <c r="U6406">
        <v>85200</v>
      </c>
      <c r="V6406">
        <v>85200</v>
      </c>
    </row>
    <row r="6407" spans="1:22">
      <c r="A6407" t="s">
        <v>196</v>
      </c>
      <c r="B6407">
        <v>58</v>
      </c>
      <c r="C6407" t="s">
        <v>9</v>
      </c>
      <c r="D6407">
        <v>740</v>
      </c>
      <c r="E6407" t="s">
        <v>2208</v>
      </c>
      <c r="F6407">
        <v>1010</v>
      </c>
      <c r="G6407" t="s">
        <v>9</v>
      </c>
      <c r="H6407">
        <v>2705</v>
      </c>
      <c r="I6407" t="s">
        <v>9</v>
      </c>
      <c r="J6407">
        <v>3045</v>
      </c>
      <c r="K6407" t="s">
        <v>1452</v>
      </c>
      <c r="L6407">
        <v>4135</v>
      </c>
      <c r="M6407" t="s">
        <v>1453</v>
      </c>
      <c r="N6407" t="s">
        <v>622</v>
      </c>
      <c r="O6407">
        <v>1</v>
      </c>
      <c r="P6407" t="s">
        <v>667</v>
      </c>
      <c r="Q6407" t="s">
        <v>205</v>
      </c>
      <c r="R6407" t="s">
        <v>201</v>
      </c>
      <c r="S6407">
        <v>1</v>
      </c>
      <c r="T6407">
        <v>1</v>
      </c>
      <c r="U6407">
        <v>82140</v>
      </c>
      <c r="V6407">
        <v>82140</v>
      </c>
    </row>
    <row r="6408" spans="1:22">
      <c r="A6408" t="s">
        <v>196</v>
      </c>
      <c r="B6408">
        <v>58</v>
      </c>
      <c r="C6408" t="s">
        <v>9</v>
      </c>
      <c r="D6408">
        <v>740</v>
      </c>
      <c r="E6408" t="s">
        <v>2208</v>
      </c>
      <c r="F6408">
        <v>1010</v>
      </c>
      <c r="G6408" t="s">
        <v>9</v>
      </c>
      <c r="H6408">
        <v>2705</v>
      </c>
      <c r="I6408" t="s">
        <v>9</v>
      </c>
      <c r="J6408">
        <v>3045</v>
      </c>
      <c r="K6408" t="s">
        <v>1452</v>
      </c>
      <c r="L6408">
        <v>4135</v>
      </c>
      <c r="M6408" t="s">
        <v>1453</v>
      </c>
      <c r="N6408" t="s">
        <v>199</v>
      </c>
      <c r="O6408">
        <v>0</v>
      </c>
      <c r="P6408">
        <v>15</v>
      </c>
      <c r="Q6408" t="s">
        <v>264</v>
      </c>
      <c r="R6408" t="s">
        <v>201</v>
      </c>
      <c r="S6408">
        <v>0</v>
      </c>
      <c r="T6408">
        <v>0</v>
      </c>
      <c r="U6408">
        <v>6930</v>
      </c>
      <c r="V6408">
        <v>6930</v>
      </c>
    </row>
    <row r="6409" spans="1:22">
      <c r="A6409" t="s">
        <v>196</v>
      </c>
      <c r="B6409">
        <v>58</v>
      </c>
      <c r="C6409" t="s">
        <v>9</v>
      </c>
      <c r="D6409">
        <v>740</v>
      </c>
      <c r="E6409" t="s">
        <v>2208</v>
      </c>
      <c r="F6409">
        <v>1010</v>
      </c>
      <c r="G6409" t="s">
        <v>9</v>
      </c>
      <c r="H6409">
        <v>2705</v>
      </c>
      <c r="I6409" t="s">
        <v>9</v>
      </c>
      <c r="J6409">
        <v>3050</v>
      </c>
      <c r="K6409" t="s">
        <v>1460</v>
      </c>
      <c r="L6409">
        <v>4145</v>
      </c>
      <c r="M6409" t="s">
        <v>1461</v>
      </c>
      <c r="N6409" t="s">
        <v>710</v>
      </c>
      <c r="O6409">
        <v>2</v>
      </c>
      <c r="P6409">
        <v>9112</v>
      </c>
      <c r="Q6409" t="s">
        <v>2175</v>
      </c>
      <c r="R6409" t="s">
        <v>201</v>
      </c>
      <c r="S6409">
        <v>5</v>
      </c>
      <c r="T6409">
        <v>1</v>
      </c>
      <c r="U6409">
        <v>82812</v>
      </c>
      <c r="V6409">
        <v>414060</v>
      </c>
    </row>
    <row r="6410" spans="1:22">
      <c r="A6410" t="s">
        <v>196</v>
      </c>
      <c r="B6410">
        <v>58</v>
      </c>
      <c r="C6410" t="s">
        <v>9</v>
      </c>
      <c r="D6410">
        <v>740</v>
      </c>
      <c r="E6410" t="s">
        <v>2208</v>
      </c>
      <c r="F6410">
        <v>1010</v>
      </c>
      <c r="G6410" t="s">
        <v>9</v>
      </c>
      <c r="H6410">
        <v>2705</v>
      </c>
      <c r="I6410" t="s">
        <v>9</v>
      </c>
      <c r="J6410">
        <v>3050</v>
      </c>
      <c r="K6410" t="s">
        <v>1460</v>
      </c>
      <c r="L6410">
        <v>4145</v>
      </c>
      <c r="M6410" t="s">
        <v>1461</v>
      </c>
      <c r="N6410" t="s">
        <v>710</v>
      </c>
      <c r="O6410">
        <v>2</v>
      </c>
      <c r="P6410">
        <v>9112</v>
      </c>
      <c r="Q6410" t="s">
        <v>2175</v>
      </c>
      <c r="R6410" t="s">
        <v>201</v>
      </c>
      <c r="S6410">
        <v>4</v>
      </c>
      <c r="T6410">
        <v>1</v>
      </c>
      <c r="U6410">
        <v>75444</v>
      </c>
      <c r="V6410">
        <v>301776</v>
      </c>
    </row>
    <row r="6411" spans="1:22">
      <c r="A6411" t="s">
        <v>196</v>
      </c>
      <c r="B6411">
        <v>58</v>
      </c>
      <c r="C6411" t="s">
        <v>9</v>
      </c>
      <c r="D6411">
        <v>740</v>
      </c>
      <c r="E6411" t="s">
        <v>2208</v>
      </c>
      <c r="F6411">
        <v>1010</v>
      </c>
      <c r="G6411" t="s">
        <v>9</v>
      </c>
      <c r="H6411">
        <v>2705</v>
      </c>
      <c r="I6411" t="s">
        <v>9</v>
      </c>
      <c r="J6411">
        <v>3050</v>
      </c>
      <c r="K6411" t="s">
        <v>1460</v>
      </c>
      <c r="L6411">
        <v>4145</v>
      </c>
      <c r="M6411" t="s">
        <v>1461</v>
      </c>
      <c r="N6411" t="s">
        <v>710</v>
      </c>
      <c r="O6411">
        <v>2</v>
      </c>
      <c r="P6411">
        <v>9112</v>
      </c>
      <c r="Q6411" t="s">
        <v>2175</v>
      </c>
      <c r="R6411" t="s">
        <v>201</v>
      </c>
      <c r="S6411">
        <v>19</v>
      </c>
      <c r="T6411">
        <v>1</v>
      </c>
      <c r="U6411">
        <v>59820</v>
      </c>
      <c r="V6411">
        <v>1136580</v>
      </c>
    </row>
    <row r="6412" spans="1:22">
      <c r="A6412" t="s">
        <v>196</v>
      </c>
      <c r="B6412">
        <v>58</v>
      </c>
      <c r="C6412" t="s">
        <v>9</v>
      </c>
      <c r="D6412">
        <v>740</v>
      </c>
      <c r="E6412" t="s">
        <v>2208</v>
      </c>
      <c r="F6412">
        <v>1010</v>
      </c>
      <c r="G6412" t="s">
        <v>9</v>
      </c>
      <c r="H6412">
        <v>2705</v>
      </c>
      <c r="I6412" t="s">
        <v>9</v>
      </c>
      <c r="J6412">
        <v>3050</v>
      </c>
      <c r="K6412" t="s">
        <v>1460</v>
      </c>
      <c r="L6412">
        <v>4145</v>
      </c>
      <c r="M6412" t="s">
        <v>1461</v>
      </c>
      <c r="N6412" t="s">
        <v>710</v>
      </c>
      <c r="O6412">
        <v>2</v>
      </c>
      <c r="P6412">
        <v>9112</v>
      </c>
      <c r="Q6412" t="s">
        <v>2175</v>
      </c>
      <c r="R6412" t="s">
        <v>201</v>
      </c>
      <c r="S6412">
        <v>1</v>
      </c>
      <c r="T6412">
        <v>1</v>
      </c>
      <c r="U6412">
        <v>53820</v>
      </c>
      <c r="V6412">
        <v>53820</v>
      </c>
    </row>
    <row r="6413" spans="1:22">
      <c r="A6413" t="s">
        <v>196</v>
      </c>
      <c r="B6413">
        <v>58</v>
      </c>
      <c r="C6413" t="s">
        <v>9</v>
      </c>
      <c r="D6413">
        <v>740</v>
      </c>
      <c r="E6413" t="s">
        <v>2208</v>
      </c>
      <c r="F6413">
        <v>1010</v>
      </c>
      <c r="G6413" t="s">
        <v>9</v>
      </c>
      <c r="H6413">
        <v>2705</v>
      </c>
      <c r="I6413" t="s">
        <v>9</v>
      </c>
      <c r="J6413">
        <v>3050</v>
      </c>
      <c r="K6413" t="s">
        <v>1460</v>
      </c>
      <c r="L6413">
        <v>4145</v>
      </c>
      <c r="M6413" t="s">
        <v>1461</v>
      </c>
      <c r="N6413" t="s">
        <v>710</v>
      </c>
      <c r="O6413">
        <v>2</v>
      </c>
      <c r="P6413">
        <v>9112</v>
      </c>
      <c r="Q6413" t="s">
        <v>2175</v>
      </c>
      <c r="R6413" t="s">
        <v>201</v>
      </c>
      <c r="S6413">
        <v>4</v>
      </c>
      <c r="T6413">
        <v>1</v>
      </c>
      <c r="U6413">
        <v>51348</v>
      </c>
      <c r="V6413">
        <v>205392</v>
      </c>
    </row>
    <row r="6414" spans="1:22">
      <c r="A6414" t="s">
        <v>196</v>
      </c>
      <c r="B6414">
        <v>58</v>
      </c>
      <c r="C6414" t="s">
        <v>9</v>
      </c>
      <c r="D6414">
        <v>740</v>
      </c>
      <c r="E6414" t="s">
        <v>2208</v>
      </c>
      <c r="F6414">
        <v>1010</v>
      </c>
      <c r="G6414" t="s">
        <v>9</v>
      </c>
      <c r="H6414">
        <v>2705</v>
      </c>
      <c r="I6414" t="s">
        <v>9</v>
      </c>
      <c r="J6414">
        <v>3050</v>
      </c>
      <c r="K6414" t="s">
        <v>1460</v>
      </c>
      <c r="L6414">
        <v>4145</v>
      </c>
      <c r="M6414" t="s">
        <v>1461</v>
      </c>
      <c r="N6414" t="s">
        <v>710</v>
      </c>
      <c r="O6414">
        <v>2</v>
      </c>
      <c r="P6414">
        <v>9112</v>
      </c>
      <c r="Q6414" t="s">
        <v>2175</v>
      </c>
      <c r="R6414" t="s">
        <v>201</v>
      </c>
      <c r="S6414">
        <v>7</v>
      </c>
      <c r="T6414">
        <v>1</v>
      </c>
      <c r="U6414">
        <v>49056</v>
      </c>
      <c r="V6414">
        <v>343392</v>
      </c>
    </row>
    <row r="6415" spans="1:22">
      <c r="A6415" t="s">
        <v>196</v>
      </c>
      <c r="B6415">
        <v>58</v>
      </c>
      <c r="C6415" t="s">
        <v>9</v>
      </c>
      <c r="D6415">
        <v>740</v>
      </c>
      <c r="E6415" t="s">
        <v>2208</v>
      </c>
      <c r="F6415">
        <v>1010</v>
      </c>
      <c r="G6415" t="s">
        <v>9</v>
      </c>
      <c r="H6415">
        <v>2705</v>
      </c>
      <c r="I6415" t="s">
        <v>9</v>
      </c>
      <c r="J6415">
        <v>3050</v>
      </c>
      <c r="K6415" t="s">
        <v>1460</v>
      </c>
      <c r="L6415">
        <v>4145</v>
      </c>
      <c r="M6415" t="s">
        <v>1461</v>
      </c>
      <c r="N6415" t="s">
        <v>710</v>
      </c>
      <c r="O6415">
        <v>2</v>
      </c>
      <c r="P6415">
        <v>9112</v>
      </c>
      <c r="Q6415" t="s">
        <v>2175</v>
      </c>
      <c r="R6415" t="s">
        <v>201</v>
      </c>
      <c r="S6415">
        <v>7</v>
      </c>
      <c r="T6415">
        <v>1</v>
      </c>
      <c r="U6415">
        <v>46824</v>
      </c>
      <c r="V6415">
        <v>327768</v>
      </c>
    </row>
    <row r="6416" spans="1:22">
      <c r="A6416" t="s">
        <v>196</v>
      </c>
      <c r="B6416">
        <v>58</v>
      </c>
      <c r="C6416" t="s">
        <v>9</v>
      </c>
      <c r="D6416">
        <v>740</v>
      </c>
      <c r="E6416" t="s">
        <v>2208</v>
      </c>
      <c r="F6416">
        <v>1010</v>
      </c>
      <c r="G6416" t="s">
        <v>9</v>
      </c>
      <c r="H6416">
        <v>2705</v>
      </c>
      <c r="I6416" t="s">
        <v>9</v>
      </c>
      <c r="J6416">
        <v>3050</v>
      </c>
      <c r="K6416" t="s">
        <v>1460</v>
      </c>
      <c r="L6416">
        <v>4145</v>
      </c>
      <c r="M6416" t="s">
        <v>1461</v>
      </c>
      <c r="N6416" t="s">
        <v>1351</v>
      </c>
      <c r="O6416">
        <v>2</v>
      </c>
      <c r="P6416">
        <v>9105</v>
      </c>
      <c r="Q6416" t="s">
        <v>1462</v>
      </c>
      <c r="R6416" t="s">
        <v>201</v>
      </c>
      <c r="S6416">
        <v>2</v>
      </c>
      <c r="T6416">
        <v>1</v>
      </c>
      <c r="U6416">
        <v>74844</v>
      </c>
      <c r="V6416">
        <v>149688</v>
      </c>
    </row>
    <row r="6417" spans="1:22">
      <c r="A6417" t="s">
        <v>196</v>
      </c>
      <c r="B6417">
        <v>58</v>
      </c>
      <c r="C6417" t="s">
        <v>9</v>
      </c>
      <c r="D6417">
        <v>740</v>
      </c>
      <c r="E6417" t="s">
        <v>2208</v>
      </c>
      <c r="F6417">
        <v>1010</v>
      </c>
      <c r="G6417" t="s">
        <v>9</v>
      </c>
      <c r="H6417">
        <v>2705</v>
      </c>
      <c r="I6417" t="s">
        <v>9</v>
      </c>
      <c r="J6417">
        <v>3050</v>
      </c>
      <c r="K6417" t="s">
        <v>1460</v>
      </c>
      <c r="L6417">
        <v>4145</v>
      </c>
      <c r="M6417" t="s">
        <v>1461</v>
      </c>
      <c r="N6417" t="s">
        <v>1351</v>
      </c>
      <c r="O6417">
        <v>2</v>
      </c>
      <c r="P6417">
        <v>9105</v>
      </c>
      <c r="Q6417" t="s">
        <v>1462</v>
      </c>
      <c r="R6417" t="s">
        <v>201</v>
      </c>
      <c r="S6417">
        <v>2</v>
      </c>
      <c r="T6417">
        <v>1</v>
      </c>
      <c r="U6417">
        <v>50964</v>
      </c>
      <c r="V6417">
        <v>101928</v>
      </c>
    </row>
    <row r="6418" spans="1:22">
      <c r="A6418" t="s">
        <v>196</v>
      </c>
      <c r="B6418">
        <v>58</v>
      </c>
      <c r="C6418" t="s">
        <v>9</v>
      </c>
      <c r="D6418">
        <v>740</v>
      </c>
      <c r="E6418" t="s">
        <v>2208</v>
      </c>
      <c r="F6418">
        <v>1010</v>
      </c>
      <c r="G6418" t="s">
        <v>9</v>
      </c>
      <c r="H6418">
        <v>2705</v>
      </c>
      <c r="I6418" t="s">
        <v>9</v>
      </c>
      <c r="J6418">
        <v>3050</v>
      </c>
      <c r="K6418" t="s">
        <v>1460</v>
      </c>
      <c r="L6418">
        <v>4145</v>
      </c>
      <c r="M6418" t="s">
        <v>1461</v>
      </c>
      <c r="N6418" t="s">
        <v>1351</v>
      </c>
      <c r="O6418">
        <v>2</v>
      </c>
      <c r="P6418">
        <v>9105</v>
      </c>
      <c r="Q6418" t="s">
        <v>1462</v>
      </c>
      <c r="R6418" t="s">
        <v>201</v>
      </c>
      <c r="S6418">
        <v>1</v>
      </c>
      <c r="T6418">
        <v>1</v>
      </c>
      <c r="U6418">
        <v>48588</v>
      </c>
      <c r="V6418">
        <v>48588</v>
      </c>
    </row>
    <row r="6419" spans="1:22">
      <c r="A6419" t="s">
        <v>196</v>
      </c>
      <c r="B6419">
        <v>58</v>
      </c>
      <c r="C6419" t="s">
        <v>9</v>
      </c>
      <c r="D6419">
        <v>740</v>
      </c>
      <c r="E6419" t="s">
        <v>2208</v>
      </c>
      <c r="F6419">
        <v>1010</v>
      </c>
      <c r="G6419" t="s">
        <v>9</v>
      </c>
      <c r="H6419">
        <v>2705</v>
      </c>
      <c r="I6419" t="s">
        <v>9</v>
      </c>
      <c r="J6419">
        <v>3050</v>
      </c>
      <c r="K6419" t="s">
        <v>1460</v>
      </c>
      <c r="L6419">
        <v>4145</v>
      </c>
      <c r="M6419" t="s">
        <v>1461</v>
      </c>
      <c r="N6419" t="s">
        <v>710</v>
      </c>
      <c r="O6419">
        <v>2</v>
      </c>
      <c r="P6419">
        <v>9104</v>
      </c>
      <c r="Q6419" t="s">
        <v>1463</v>
      </c>
      <c r="R6419" t="s">
        <v>713</v>
      </c>
      <c r="S6419">
        <v>34519</v>
      </c>
      <c r="T6419">
        <v>0</v>
      </c>
      <c r="U6419">
        <v>25.54</v>
      </c>
      <c r="V6419">
        <v>881615</v>
      </c>
    </row>
    <row r="6420" spans="1:22">
      <c r="A6420" t="s">
        <v>196</v>
      </c>
      <c r="B6420">
        <v>58</v>
      </c>
      <c r="C6420" t="s">
        <v>9</v>
      </c>
      <c r="D6420">
        <v>740</v>
      </c>
      <c r="E6420" t="s">
        <v>2208</v>
      </c>
      <c r="F6420">
        <v>1010</v>
      </c>
      <c r="G6420" t="s">
        <v>9</v>
      </c>
      <c r="H6420">
        <v>2705</v>
      </c>
      <c r="I6420" t="s">
        <v>9</v>
      </c>
      <c r="J6420">
        <v>3050</v>
      </c>
      <c r="K6420" t="s">
        <v>1460</v>
      </c>
      <c r="L6420">
        <v>4145</v>
      </c>
      <c r="M6420" t="s">
        <v>1461</v>
      </c>
      <c r="N6420" t="s">
        <v>251</v>
      </c>
      <c r="O6420">
        <v>10</v>
      </c>
      <c r="P6420">
        <v>6290</v>
      </c>
      <c r="Q6420" t="s">
        <v>1465</v>
      </c>
      <c r="R6420" t="s">
        <v>201</v>
      </c>
      <c r="S6420">
        <v>1</v>
      </c>
      <c r="T6420">
        <v>1</v>
      </c>
      <c r="U6420">
        <v>76476</v>
      </c>
      <c r="V6420">
        <v>76476</v>
      </c>
    </row>
    <row r="6421" spans="1:22">
      <c r="A6421" t="s">
        <v>196</v>
      </c>
      <c r="B6421">
        <v>58</v>
      </c>
      <c r="C6421" t="s">
        <v>9</v>
      </c>
      <c r="D6421">
        <v>740</v>
      </c>
      <c r="E6421" t="s">
        <v>2208</v>
      </c>
      <c r="F6421">
        <v>1010</v>
      </c>
      <c r="G6421" t="s">
        <v>9</v>
      </c>
      <c r="H6421">
        <v>2705</v>
      </c>
      <c r="I6421" t="s">
        <v>9</v>
      </c>
      <c r="J6421">
        <v>3050</v>
      </c>
      <c r="K6421" t="s">
        <v>1460</v>
      </c>
      <c r="L6421">
        <v>4145</v>
      </c>
      <c r="M6421" t="s">
        <v>1461</v>
      </c>
      <c r="N6421" t="s">
        <v>622</v>
      </c>
      <c r="O6421">
        <v>1</v>
      </c>
      <c r="P6421" t="s">
        <v>667</v>
      </c>
      <c r="Q6421" t="s">
        <v>205</v>
      </c>
      <c r="R6421" t="s">
        <v>201</v>
      </c>
      <c r="S6421">
        <v>1</v>
      </c>
      <c r="T6421">
        <v>1</v>
      </c>
      <c r="U6421">
        <v>78432</v>
      </c>
      <c r="V6421">
        <v>78432</v>
      </c>
    </row>
    <row r="6422" spans="1:22">
      <c r="A6422" t="s">
        <v>196</v>
      </c>
      <c r="B6422">
        <v>58</v>
      </c>
      <c r="C6422" t="s">
        <v>9</v>
      </c>
      <c r="D6422">
        <v>740</v>
      </c>
      <c r="E6422" t="s">
        <v>2208</v>
      </c>
      <c r="F6422">
        <v>1010</v>
      </c>
      <c r="G6422" t="s">
        <v>9</v>
      </c>
      <c r="H6422">
        <v>2705</v>
      </c>
      <c r="I6422" t="s">
        <v>9</v>
      </c>
      <c r="J6422">
        <v>3050</v>
      </c>
      <c r="K6422" t="s">
        <v>1460</v>
      </c>
      <c r="L6422">
        <v>4145</v>
      </c>
      <c r="M6422" t="s">
        <v>1461</v>
      </c>
      <c r="N6422" t="s">
        <v>199</v>
      </c>
      <c r="O6422">
        <v>0</v>
      </c>
      <c r="P6422">
        <v>15</v>
      </c>
      <c r="Q6422" t="s">
        <v>264</v>
      </c>
      <c r="R6422" t="s">
        <v>201</v>
      </c>
      <c r="S6422">
        <v>0</v>
      </c>
      <c r="T6422">
        <v>0</v>
      </c>
      <c r="U6422">
        <v>60805</v>
      </c>
      <c r="V6422">
        <v>60805</v>
      </c>
    </row>
    <row r="6423" spans="1:22">
      <c r="A6423" t="s">
        <v>196</v>
      </c>
      <c r="B6423">
        <v>59</v>
      </c>
      <c r="C6423" t="s">
        <v>3</v>
      </c>
      <c r="D6423">
        <v>740</v>
      </c>
      <c r="E6423" t="s">
        <v>2208</v>
      </c>
      <c r="F6423">
        <v>1005</v>
      </c>
      <c r="G6423" t="s">
        <v>3</v>
      </c>
      <c r="H6423">
        <v>2005</v>
      </c>
      <c r="I6423" t="s">
        <v>3</v>
      </c>
      <c r="J6423">
        <v>3104</v>
      </c>
      <c r="K6423" t="s">
        <v>243</v>
      </c>
      <c r="L6423">
        <v>4718</v>
      </c>
      <c r="M6423" t="s">
        <v>1504</v>
      </c>
      <c r="N6423" t="s">
        <v>1491</v>
      </c>
      <c r="O6423">
        <v>87</v>
      </c>
      <c r="P6423">
        <v>8820</v>
      </c>
      <c r="Q6423" t="s">
        <v>1505</v>
      </c>
      <c r="R6423" t="s">
        <v>201</v>
      </c>
      <c r="S6423">
        <v>2</v>
      </c>
      <c r="T6423">
        <v>1</v>
      </c>
      <c r="U6423">
        <v>118830</v>
      </c>
      <c r="V6423">
        <v>237660</v>
      </c>
    </row>
    <row r="6424" spans="1:22">
      <c r="A6424" t="s">
        <v>196</v>
      </c>
      <c r="B6424">
        <v>59</v>
      </c>
      <c r="C6424" t="s">
        <v>3</v>
      </c>
      <c r="D6424">
        <v>740</v>
      </c>
      <c r="E6424" t="s">
        <v>2208</v>
      </c>
      <c r="F6424">
        <v>1005</v>
      </c>
      <c r="G6424" t="s">
        <v>3</v>
      </c>
      <c r="H6424">
        <v>2005</v>
      </c>
      <c r="I6424" t="s">
        <v>3</v>
      </c>
      <c r="J6424">
        <v>3104</v>
      </c>
      <c r="K6424" t="s">
        <v>243</v>
      </c>
      <c r="L6424">
        <v>4718</v>
      </c>
      <c r="M6424" t="s">
        <v>1504</v>
      </c>
      <c r="N6424" t="s">
        <v>1491</v>
      </c>
      <c r="O6424">
        <v>87</v>
      </c>
      <c r="P6424">
        <v>8819</v>
      </c>
      <c r="Q6424" t="s">
        <v>1506</v>
      </c>
      <c r="R6424" t="s">
        <v>201</v>
      </c>
      <c r="S6424">
        <v>1</v>
      </c>
      <c r="T6424">
        <v>1</v>
      </c>
      <c r="U6424">
        <v>125202</v>
      </c>
      <c r="V6424">
        <v>125202</v>
      </c>
    </row>
    <row r="6425" spans="1:22">
      <c r="A6425" t="s">
        <v>196</v>
      </c>
      <c r="B6425">
        <v>59</v>
      </c>
      <c r="C6425" t="s">
        <v>3</v>
      </c>
      <c r="D6425">
        <v>740</v>
      </c>
      <c r="E6425" t="s">
        <v>2208</v>
      </c>
      <c r="F6425">
        <v>1005</v>
      </c>
      <c r="G6425" t="s">
        <v>3</v>
      </c>
      <c r="H6425">
        <v>2005</v>
      </c>
      <c r="I6425" t="s">
        <v>3</v>
      </c>
      <c r="J6425">
        <v>3104</v>
      </c>
      <c r="K6425" t="s">
        <v>243</v>
      </c>
      <c r="L6425">
        <v>4718</v>
      </c>
      <c r="M6425" t="s">
        <v>1504</v>
      </c>
      <c r="N6425" t="s">
        <v>1509</v>
      </c>
      <c r="O6425">
        <v>87</v>
      </c>
      <c r="P6425">
        <v>8817</v>
      </c>
      <c r="Q6425" t="s">
        <v>1510</v>
      </c>
      <c r="R6425" t="s">
        <v>201</v>
      </c>
      <c r="S6425">
        <v>11</v>
      </c>
      <c r="T6425">
        <v>1</v>
      </c>
      <c r="U6425">
        <v>151764</v>
      </c>
      <c r="V6425">
        <v>1669404</v>
      </c>
    </row>
    <row r="6426" spans="1:22">
      <c r="A6426" t="s">
        <v>196</v>
      </c>
      <c r="B6426">
        <v>59</v>
      </c>
      <c r="C6426" t="s">
        <v>3</v>
      </c>
      <c r="D6426">
        <v>740</v>
      </c>
      <c r="E6426" t="s">
        <v>2208</v>
      </c>
      <c r="F6426">
        <v>1005</v>
      </c>
      <c r="G6426" t="s">
        <v>3</v>
      </c>
      <c r="H6426">
        <v>2005</v>
      </c>
      <c r="I6426" t="s">
        <v>3</v>
      </c>
      <c r="J6426">
        <v>3104</v>
      </c>
      <c r="K6426" t="s">
        <v>243</v>
      </c>
      <c r="L6426">
        <v>4718</v>
      </c>
      <c r="M6426" t="s">
        <v>1504</v>
      </c>
      <c r="N6426" t="s">
        <v>1509</v>
      </c>
      <c r="O6426">
        <v>87</v>
      </c>
      <c r="P6426">
        <v>8817</v>
      </c>
      <c r="Q6426" t="s">
        <v>1510</v>
      </c>
      <c r="R6426" t="s">
        <v>201</v>
      </c>
      <c r="S6426">
        <v>1</v>
      </c>
      <c r="T6426">
        <v>1</v>
      </c>
      <c r="U6426">
        <v>147258</v>
      </c>
      <c r="V6426">
        <v>147258</v>
      </c>
    </row>
    <row r="6427" spans="1:22">
      <c r="A6427" t="s">
        <v>196</v>
      </c>
      <c r="B6427">
        <v>59</v>
      </c>
      <c r="C6427" t="s">
        <v>3</v>
      </c>
      <c r="D6427">
        <v>740</v>
      </c>
      <c r="E6427" t="s">
        <v>2208</v>
      </c>
      <c r="F6427">
        <v>1005</v>
      </c>
      <c r="G6427" t="s">
        <v>3</v>
      </c>
      <c r="H6427">
        <v>2005</v>
      </c>
      <c r="I6427" t="s">
        <v>3</v>
      </c>
      <c r="J6427">
        <v>3104</v>
      </c>
      <c r="K6427" t="s">
        <v>243</v>
      </c>
      <c r="L6427">
        <v>4718</v>
      </c>
      <c r="M6427" t="s">
        <v>1504</v>
      </c>
      <c r="N6427" t="s">
        <v>1511</v>
      </c>
      <c r="O6427">
        <v>87</v>
      </c>
      <c r="P6427">
        <v>8812</v>
      </c>
      <c r="Q6427" t="s">
        <v>1512</v>
      </c>
      <c r="R6427" t="s">
        <v>201</v>
      </c>
      <c r="S6427">
        <v>1</v>
      </c>
      <c r="T6427">
        <v>1</v>
      </c>
      <c r="U6427">
        <v>138378</v>
      </c>
      <c r="V6427">
        <v>138378</v>
      </c>
    </row>
    <row r="6428" spans="1:22">
      <c r="A6428" t="s">
        <v>196</v>
      </c>
      <c r="B6428">
        <v>59</v>
      </c>
      <c r="C6428" t="s">
        <v>3</v>
      </c>
      <c r="D6428">
        <v>740</v>
      </c>
      <c r="E6428" t="s">
        <v>2208</v>
      </c>
      <c r="F6428">
        <v>1005</v>
      </c>
      <c r="G6428" t="s">
        <v>3</v>
      </c>
      <c r="H6428">
        <v>2005</v>
      </c>
      <c r="I6428" t="s">
        <v>3</v>
      </c>
      <c r="J6428">
        <v>3104</v>
      </c>
      <c r="K6428" t="s">
        <v>243</v>
      </c>
      <c r="L6428">
        <v>4718</v>
      </c>
      <c r="M6428" t="s">
        <v>1504</v>
      </c>
      <c r="N6428" t="s">
        <v>1511</v>
      </c>
      <c r="O6428">
        <v>87</v>
      </c>
      <c r="P6428">
        <v>8812</v>
      </c>
      <c r="Q6428" t="s">
        <v>1512</v>
      </c>
      <c r="R6428" t="s">
        <v>201</v>
      </c>
      <c r="S6428">
        <v>1</v>
      </c>
      <c r="T6428">
        <v>1</v>
      </c>
      <c r="U6428">
        <v>134028</v>
      </c>
      <c r="V6428">
        <v>134028</v>
      </c>
    </row>
    <row r="6429" spans="1:22">
      <c r="A6429" t="s">
        <v>196</v>
      </c>
      <c r="B6429">
        <v>59</v>
      </c>
      <c r="C6429" t="s">
        <v>3</v>
      </c>
      <c r="D6429">
        <v>740</v>
      </c>
      <c r="E6429" t="s">
        <v>2208</v>
      </c>
      <c r="F6429">
        <v>1005</v>
      </c>
      <c r="G6429" t="s">
        <v>3</v>
      </c>
      <c r="H6429">
        <v>2005</v>
      </c>
      <c r="I6429" t="s">
        <v>3</v>
      </c>
      <c r="J6429">
        <v>3104</v>
      </c>
      <c r="K6429" t="s">
        <v>243</v>
      </c>
      <c r="L6429">
        <v>4718</v>
      </c>
      <c r="M6429" t="s">
        <v>1504</v>
      </c>
      <c r="N6429" t="s">
        <v>1511</v>
      </c>
      <c r="O6429">
        <v>87</v>
      </c>
      <c r="P6429">
        <v>8812</v>
      </c>
      <c r="Q6429" t="s">
        <v>1512</v>
      </c>
      <c r="R6429" t="s">
        <v>201</v>
      </c>
      <c r="S6429">
        <v>3</v>
      </c>
      <c r="T6429">
        <v>1</v>
      </c>
      <c r="U6429">
        <v>125904</v>
      </c>
      <c r="V6429">
        <v>377712</v>
      </c>
    </row>
    <row r="6430" spans="1:22">
      <c r="A6430" t="s">
        <v>196</v>
      </c>
      <c r="B6430">
        <v>59</v>
      </c>
      <c r="C6430" t="s">
        <v>3</v>
      </c>
      <c r="D6430">
        <v>740</v>
      </c>
      <c r="E6430" t="s">
        <v>2208</v>
      </c>
      <c r="F6430">
        <v>1005</v>
      </c>
      <c r="G6430" t="s">
        <v>3</v>
      </c>
      <c r="H6430">
        <v>2005</v>
      </c>
      <c r="I6430" t="s">
        <v>3</v>
      </c>
      <c r="J6430">
        <v>3104</v>
      </c>
      <c r="K6430" t="s">
        <v>243</v>
      </c>
      <c r="L6430">
        <v>4718</v>
      </c>
      <c r="M6430" t="s">
        <v>1504</v>
      </c>
      <c r="N6430" t="s">
        <v>1513</v>
      </c>
      <c r="O6430">
        <v>87</v>
      </c>
      <c r="P6430">
        <v>8811</v>
      </c>
      <c r="Q6430" t="s">
        <v>1514</v>
      </c>
      <c r="R6430" t="s">
        <v>201</v>
      </c>
      <c r="S6430">
        <v>7</v>
      </c>
      <c r="T6430">
        <v>1</v>
      </c>
      <c r="U6430">
        <v>135144</v>
      </c>
      <c r="V6430">
        <v>946008</v>
      </c>
    </row>
    <row r="6431" spans="1:22">
      <c r="A6431" t="s">
        <v>196</v>
      </c>
      <c r="B6431">
        <v>59</v>
      </c>
      <c r="C6431" t="s">
        <v>3</v>
      </c>
      <c r="D6431">
        <v>740</v>
      </c>
      <c r="E6431" t="s">
        <v>2208</v>
      </c>
      <c r="F6431">
        <v>1005</v>
      </c>
      <c r="G6431" t="s">
        <v>3</v>
      </c>
      <c r="H6431">
        <v>2005</v>
      </c>
      <c r="I6431" t="s">
        <v>3</v>
      </c>
      <c r="J6431">
        <v>3104</v>
      </c>
      <c r="K6431" t="s">
        <v>243</v>
      </c>
      <c r="L6431">
        <v>4718</v>
      </c>
      <c r="M6431" t="s">
        <v>1504</v>
      </c>
      <c r="N6431" t="s">
        <v>1513</v>
      </c>
      <c r="O6431">
        <v>87</v>
      </c>
      <c r="P6431">
        <v>8811</v>
      </c>
      <c r="Q6431" t="s">
        <v>1514</v>
      </c>
      <c r="R6431" t="s">
        <v>201</v>
      </c>
      <c r="S6431">
        <v>4</v>
      </c>
      <c r="T6431">
        <v>1</v>
      </c>
      <c r="U6431">
        <v>130908</v>
      </c>
      <c r="V6431">
        <v>523632</v>
      </c>
    </row>
    <row r="6432" spans="1:22">
      <c r="A6432" t="s">
        <v>196</v>
      </c>
      <c r="B6432">
        <v>59</v>
      </c>
      <c r="C6432" t="s">
        <v>3</v>
      </c>
      <c r="D6432">
        <v>740</v>
      </c>
      <c r="E6432" t="s">
        <v>2208</v>
      </c>
      <c r="F6432">
        <v>1005</v>
      </c>
      <c r="G6432" t="s">
        <v>3</v>
      </c>
      <c r="H6432">
        <v>2005</v>
      </c>
      <c r="I6432" t="s">
        <v>3</v>
      </c>
      <c r="J6432">
        <v>3104</v>
      </c>
      <c r="K6432" t="s">
        <v>243</v>
      </c>
      <c r="L6432">
        <v>4718</v>
      </c>
      <c r="M6432" t="s">
        <v>1504</v>
      </c>
      <c r="N6432" t="s">
        <v>1513</v>
      </c>
      <c r="O6432">
        <v>87</v>
      </c>
      <c r="P6432">
        <v>8811</v>
      </c>
      <c r="Q6432" t="s">
        <v>1514</v>
      </c>
      <c r="R6432" t="s">
        <v>201</v>
      </c>
      <c r="S6432">
        <v>7</v>
      </c>
      <c r="T6432">
        <v>1</v>
      </c>
      <c r="U6432">
        <v>126840</v>
      </c>
      <c r="V6432">
        <v>887880</v>
      </c>
    </row>
    <row r="6433" spans="1:22">
      <c r="A6433" t="s">
        <v>196</v>
      </c>
      <c r="B6433">
        <v>59</v>
      </c>
      <c r="C6433" t="s">
        <v>3</v>
      </c>
      <c r="D6433">
        <v>740</v>
      </c>
      <c r="E6433" t="s">
        <v>2208</v>
      </c>
      <c r="F6433">
        <v>1005</v>
      </c>
      <c r="G6433" t="s">
        <v>3</v>
      </c>
      <c r="H6433">
        <v>2005</v>
      </c>
      <c r="I6433" t="s">
        <v>3</v>
      </c>
      <c r="J6433">
        <v>3104</v>
      </c>
      <c r="K6433" t="s">
        <v>243</v>
      </c>
      <c r="L6433">
        <v>4718</v>
      </c>
      <c r="M6433" t="s">
        <v>1504</v>
      </c>
      <c r="N6433" t="s">
        <v>1513</v>
      </c>
      <c r="O6433">
        <v>87</v>
      </c>
      <c r="P6433">
        <v>8811</v>
      </c>
      <c r="Q6433" t="s">
        <v>1514</v>
      </c>
      <c r="R6433" t="s">
        <v>201</v>
      </c>
      <c r="S6433">
        <v>7</v>
      </c>
      <c r="T6433">
        <v>1</v>
      </c>
      <c r="U6433">
        <v>122976</v>
      </c>
      <c r="V6433">
        <v>860832</v>
      </c>
    </row>
    <row r="6434" spans="1:22">
      <c r="A6434" t="s">
        <v>196</v>
      </c>
      <c r="B6434">
        <v>59</v>
      </c>
      <c r="C6434" t="s">
        <v>3</v>
      </c>
      <c r="D6434">
        <v>740</v>
      </c>
      <c r="E6434" t="s">
        <v>2208</v>
      </c>
      <c r="F6434">
        <v>1005</v>
      </c>
      <c r="G6434" t="s">
        <v>3</v>
      </c>
      <c r="H6434">
        <v>2005</v>
      </c>
      <c r="I6434" t="s">
        <v>3</v>
      </c>
      <c r="J6434">
        <v>3104</v>
      </c>
      <c r="K6434" t="s">
        <v>243</v>
      </c>
      <c r="L6434">
        <v>4718</v>
      </c>
      <c r="M6434" t="s">
        <v>1504</v>
      </c>
      <c r="N6434" t="s">
        <v>1491</v>
      </c>
      <c r="O6434">
        <v>87</v>
      </c>
      <c r="P6434">
        <v>8808</v>
      </c>
      <c r="Q6434" t="s">
        <v>1515</v>
      </c>
      <c r="R6434" t="s">
        <v>201</v>
      </c>
      <c r="S6434">
        <v>1</v>
      </c>
      <c r="T6434">
        <v>1</v>
      </c>
      <c r="U6434">
        <v>125202</v>
      </c>
      <c r="V6434">
        <v>125202</v>
      </c>
    </row>
    <row r="6435" spans="1:22">
      <c r="A6435" t="s">
        <v>196</v>
      </c>
      <c r="B6435">
        <v>59</v>
      </c>
      <c r="C6435" t="s">
        <v>3</v>
      </c>
      <c r="D6435">
        <v>740</v>
      </c>
      <c r="E6435" t="s">
        <v>2208</v>
      </c>
      <c r="F6435">
        <v>1005</v>
      </c>
      <c r="G6435" t="s">
        <v>3</v>
      </c>
      <c r="H6435">
        <v>2005</v>
      </c>
      <c r="I6435" t="s">
        <v>3</v>
      </c>
      <c r="J6435">
        <v>3104</v>
      </c>
      <c r="K6435" t="s">
        <v>243</v>
      </c>
      <c r="L6435">
        <v>4718</v>
      </c>
      <c r="M6435" t="s">
        <v>1504</v>
      </c>
      <c r="N6435" t="s">
        <v>1491</v>
      </c>
      <c r="O6435">
        <v>87</v>
      </c>
      <c r="P6435">
        <v>8808</v>
      </c>
      <c r="Q6435" t="s">
        <v>1515</v>
      </c>
      <c r="R6435" t="s">
        <v>201</v>
      </c>
      <c r="S6435">
        <v>1</v>
      </c>
      <c r="T6435">
        <v>1</v>
      </c>
      <c r="U6435">
        <v>121656</v>
      </c>
      <c r="V6435">
        <v>121656</v>
      </c>
    </row>
    <row r="6436" spans="1:22">
      <c r="A6436" t="s">
        <v>196</v>
      </c>
      <c r="B6436">
        <v>59</v>
      </c>
      <c r="C6436" t="s">
        <v>3</v>
      </c>
      <c r="D6436">
        <v>740</v>
      </c>
      <c r="E6436" t="s">
        <v>2208</v>
      </c>
      <c r="F6436">
        <v>1005</v>
      </c>
      <c r="G6436" t="s">
        <v>3</v>
      </c>
      <c r="H6436">
        <v>2005</v>
      </c>
      <c r="I6436" t="s">
        <v>3</v>
      </c>
      <c r="J6436">
        <v>3104</v>
      </c>
      <c r="K6436" t="s">
        <v>243</v>
      </c>
      <c r="L6436">
        <v>4718</v>
      </c>
      <c r="M6436" t="s">
        <v>1504</v>
      </c>
      <c r="N6436" t="s">
        <v>1491</v>
      </c>
      <c r="O6436">
        <v>87</v>
      </c>
      <c r="P6436">
        <v>8808</v>
      </c>
      <c r="Q6436" t="s">
        <v>1515</v>
      </c>
      <c r="R6436" t="s">
        <v>201</v>
      </c>
      <c r="S6436">
        <v>1</v>
      </c>
      <c r="T6436">
        <v>1</v>
      </c>
      <c r="U6436">
        <v>117384</v>
      </c>
      <c r="V6436">
        <v>117384</v>
      </c>
    </row>
    <row r="6437" spans="1:22">
      <c r="A6437" t="s">
        <v>196</v>
      </c>
      <c r="B6437">
        <v>59</v>
      </c>
      <c r="C6437" t="s">
        <v>3</v>
      </c>
      <c r="D6437">
        <v>740</v>
      </c>
      <c r="E6437" t="s">
        <v>2208</v>
      </c>
      <c r="F6437">
        <v>1005</v>
      </c>
      <c r="G6437" t="s">
        <v>3</v>
      </c>
      <c r="H6437">
        <v>2005</v>
      </c>
      <c r="I6437" t="s">
        <v>3</v>
      </c>
      <c r="J6437">
        <v>3104</v>
      </c>
      <c r="K6437" t="s">
        <v>243</v>
      </c>
      <c r="L6437">
        <v>4718</v>
      </c>
      <c r="M6437" t="s">
        <v>1504</v>
      </c>
      <c r="N6437" t="s">
        <v>1491</v>
      </c>
      <c r="O6437">
        <v>87</v>
      </c>
      <c r="P6437">
        <v>8807</v>
      </c>
      <c r="Q6437" t="s">
        <v>1516</v>
      </c>
      <c r="R6437" t="s">
        <v>201</v>
      </c>
      <c r="S6437">
        <v>6</v>
      </c>
      <c r="T6437">
        <v>1</v>
      </c>
      <c r="U6437">
        <v>122274</v>
      </c>
      <c r="V6437">
        <v>733644</v>
      </c>
    </row>
    <row r="6438" spans="1:22">
      <c r="A6438" t="s">
        <v>196</v>
      </c>
      <c r="B6438">
        <v>59</v>
      </c>
      <c r="C6438" t="s">
        <v>3</v>
      </c>
      <c r="D6438">
        <v>740</v>
      </c>
      <c r="E6438" t="s">
        <v>2208</v>
      </c>
      <c r="F6438">
        <v>1005</v>
      </c>
      <c r="G6438" t="s">
        <v>3</v>
      </c>
      <c r="H6438">
        <v>2005</v>
      </c>
      <c r="I6438" t="s">
        <v>3</v>
      </c>
      <c r="J6438">
        <v>3104</v>
      </c>
      <c r="K6438" t="s">
        <v>243</v>
      </c>
      <c r="L6438">
        <v>4718</v>
      </c>
      <c r="M6438" t="s">
        <v>1504</v>
      </c>
      <c r="N6438" t="s">
        <v>1491</v>
      </c>
      <c r="O6438">
        <v>87</v>
      </c>
      <c r="P6438">
        <v>8807</v>
      </c>
      <c r="Q6438" t="s">
        <v>1516</v>
      </c>
      <c r="R6438" t="s">
        <v>201</v>
      </c>
      <c r="S6438">
        <v>8</v>
      </c>
      <c r="T6438">
        <v>1</v>
      </c>
      <c r="U6438">
        <v>118830</v>
      </c>
      <c r="V6438">
        <v>950640</v>
      </c>
    </row>
    <row r="6439" spans="1:22">
      <c r="A6439" t="s">
        <v>196</v>
      </c>
      <c r="B6439">
        <v>59</v>
      </c>
      <c r="C6439" t="s">
        <v>3</v>
      </c>
      <c r="D6439">
        <v>740</v>
      </c>
      <c r="E6439" t="s">
        <v>2208</v>
      </c>
      <c r="F6439">
        <v>1005</v>
      </c>
      <c r="G6439" t="s">
        <v>3</v>
      </c>
      <c r="H6439">
        <v>2005</v>
      </c>
      <c r="I6439" t="s">
        <v>3</v>
      </c>
      <c r="J6439">
        <v>3104</v>
      </c>
      <c r="K6439" t="s">
        <v>243</v>
      </c>
      <c r="L6439">
        <v>4718</v>
      </c>
      <c r="M6439" t="s">
        <v>1504</v>
      </c>
      <c r="N6439" t="s">
        <v>1491</v>
      </c>
      <c r="O6439">
        <v>87</v>
      </c>
      <c r="P6439">
        <v>8807</v>
      </c>
      <c r="Q6439" t="s">
        <v>1516</v>
      </c>
      <c r="R6439" t="s">
        <v>201</v>
      </c>
      <c r="S6439">
        <v>14</v>
      </c>
      <c r="T6439">
        <v>1</v>
      </c>
      <c r="U6439">
        <v>114654</v>
      </c>
      <c r="V6439">
        <v>1605156</v>
      </c>
    </row>
    <row r="6440" spans="1:22">
      <c r="A6440" t="s">
        <v>196</v>
      </c>
      <c r="B6440">
        <v>59</v>
      </c>
      <c r="C6440" t="s">
        <v>3</v>
      </c>
      <c r="D6440">
        <v>740</v>
      </c>
      <c r="E6440" t="s">
        <v>2208</v>
      </c>
      <c r="F6440">
        <v>1005</v>
      </c>
      <c r="G6440" t="s">
        <v>3</v>
      </c>
      <c r="H6440">
        <v>2005</v>
      </c>
      <c r="I6440" t="s">
        <v>3</v>
      </c>
      <c r="J6440">
        <v>3104</v>
      </c>
      <c r="K6440" t="s">
        <v>243</v>
      </c>
      <c r="L6440">
        <v>4718</v>
      </c>
      <c r="M6440" t="s">
        <v>1504</v>
      </c>
      <c r="N6440" t="s">
        <v>1491</v>
      </c>
      <c r="O6440">
        <v>87</v>
      </c>
      <c r="P6440">
        <v>8807</v>
      </c>
      <c r="Q6440" t="s">
        <v>1516</v>
      </c>
      <c r="R6440" t="s">
        <v>201</v>
      </c>
      <c r="S6440">
        <v>10</v>
      </c>
      <c r="T6440">
        <v>1</v>
      </c>
      <c r="U6440">
        <v>110766</v>
      </c>
      <c r="V6440">
        <v>1107660</v>
      </c>
    </row>
    <row r="6441" spans="1:22">
      <c r="A6441" t="s">
        <v>196</v>
      </c>
      <c r="B6441">
        <v>59</v>
      </c>
      <c r="C6441" t="s">
        <v>3</v>
      </c>
      <c r="D6441">
        <v>740</v>
      </c>
      <c r="E6441" t="s">
        <v>2208</v>
      </c>
      <c r="F6441">
        <v>1005</v>
      </c>
      <c r="G6441" t="s">
        <v>3</v>
      </c>
      <c r="H6441">
        <v>2005</v>
      </c>
      <c r="I6441" t="s">
        <v>3</v>
      </c>
      <c r="J6441">
        <v>3104</v>
      </c>
      <c r="K6441" t="s">
        <v>243</v>
      </c>
      <c r="L6441">
        <v>4718</v>
      </c>
      <c r="M6441" t="s">
        <v>1504</v>
      </c>
      <c r="N6441" t="s">
        <v>1491</v>
      </c>
      <c r="O6441">
        <v>87</v>
      </c>
      <c r="P6441">
        <v>8807</v>
      </c>
      <c r="Q6441" t="s">
        <v>1516</v>
      </c>
      <c r="R6441" t="s">
        <v>201</v>
      </c>
      <c r="S6441">
        <v>2</v>
      </c>
      <c r="T6441">
        <v>1</v>
      </c>
      <c r="U6441">
        <v>107166</v>
      </c>
      <c r="V6441">
        <v>214332</v>
      </c>
    </row>
    <row r="6442" spans="1:22">
      <c r="A6442" t="s">
        <v>196</v>
      </c>
      <c r="B6442">
        <v>59</v>
      </c>
      <c r="C6442" t="s">
        <v>3</v>
      </c>
      <c r="D6442">
        <v>740</v>
      </c>
      <c r="E6442" t="s">
        <v>2208</v>
      </c>
      <c r="F6442">
        <v>1005</v>
      </c>
      <c r="G6442" t="s">
        <v>3</v>
      </c>
      <c r="H6442">
        <v>2005</v>
      </c>
      <c r="I6442" t="s">
        <v>3</v>
      </c>
      <c r="J6442">
        <v>3104</v>
      </c>
      <c r="K6442" t="s">
        <v>243</v>
      </c>
      <c r="L6442">
        <v>4718</v>
      </c>
      <c r="M6442" t="s">
        <v>1504</v>
      </c>
      <c r="N6442" t="s">
        <v>1487</v>
      </c>
      <c r="O6442">
        <v>87</v>
      </c>
      <c r="P6442">
        <v>8801</v>
      </c>
      <c r="Q6442" t="s">
        <v>1488</v>
      </c>
      <c r="R6442" t="s">
        <v>201</v>
      </c>
      <c r="S6442">
        <v>5</v>
      </c>
      <c r="T6442">
        <v>1</v>
      </c>
      <c r="U6442">
        <v>114570</v>
      </c>
      <c r="V6442">
        <v>572850</v>
      </c>
    </row>
    <row r="6443" spans="1:22">
      <c r="A6443" t="s">
        <v>196</v>
      </c>
      <c r="B6443">
        <v>59</v>
      </c>
      <c r="C6443" t="s">
        <v>3</v>
      </c>
      <c r="D6443">
        <v>740</v>
      </c>
      <c r="E6443" t="s">
        <v>2208</v>
      </c>
      <c r="F6443">
        <v>1005</v>
      </c>
      <c r="G6443" t="s">
        <v>3</v>
      </c>
      <c r="H6443">
        <v>2005</v>
      </c>
      <c r="I6443" t="s">
        <v>3</v>
      </c>
      <c r="J6443">
        <v>3104</v>
      </c>
      <c r="K6443" t="s">
        <v>243</v>
      </c>
      <c r="L6443">
        <v>4718</v>
      </c>
      <c r="M6443" t="s">
        <v>1504</v>
      </c>
      <c r="N6443" t="s">
        <v>1487</v>
      </c>
      <c r="O6443">
        <v>87</v>
      </c>
      <c r="P6443">
        <v>8801</v>
      </c>
      <c r="Q6443" t="s">
        <v>1488</v>
      </c>
      <c r="R6443" t="s">
        <v>201</v>
      </c>
      <c r="S6443">
        <v>9</v>
      </c>
      <c r="T6443">
        <v>1</v>
      </c>
      <c r="U6443">
        <v>110196</v>
      </c>
      <c r="V6443">
        <v>991764</v>
      </c>
    </row>
    <row r="6444" spans="1:22">
      <c r="A6444" t="s">
        <v>196</v>
      </c>
      <c r="B6444">
        <v>59</v>
      </c>
      <c r="C6444" t="s">
        <v>3</v>
      </c>
      <c r="D6444">
        <v>740</v>
      </c>
      <c r="E6444" t="s">
        <v>2208</v>
      </c>
      <c r="F6444">
        <v>1005</v>
      </c>
      <c r="G6444" t="s">
        <v>3</v>
      </c>
      <c r="H6444">
        <v>2005</v>
      </c>
      <c r="I6444" t="s">
        <v>3</v>
      </c>
      <c r="J6444">
        <v>3104</v>
      </c>
      <c r="K6444" t="s">
        <v>243</v>
      </c>
      <c r="L6444">
        <v>4718</v>
      </c>
      <c r="M6444" t="s">
        <v>1504</v>
      </c>
      <c r="N6444" t="s">
        <v>1487</v>
      </c>
      <c r="O6444">
        <v>87</v>
      </c>
      <c r="P6444">
        <v>8801</v>
      </c>
      <c r="Q6444" t="s">
        <v>1488</v>
      </c>
      <c r="R6444" t="s">
        <v>201</v>
      </c>
      <c r="S6444">
        <v>6</v>
      </c>
      <c r="T6444">
        <v>1</v>
      </c>
      <c r="U6444">
        <v>105936</v>
      </c>
      <c r="V6444">
        <v>635616</v>
      </c>
    </row>
    <row r="6445" spans="1:22">
      <c r="A6445" t="s">
        <v>196</v>
      </c>
      <c r="B6445">
        <v>59</v>
      </c>
      <c r="C6445" t="s">
        <v>3</v>
      </c>
      <c r="D6445">
        <v>740</v>
      </c>
      <c r="E6445" t="s">
        <v>2208</v>
      </c>
      <c r="F6445">
        <v>1005</v>
      </c>
      <c r="G6445" t="s">
        <v>3</v>
      </c>
      <c r="H6445">
        <v>2005</v>
      </c>
      <c r="I6445" t="s">
        <v>3</v>
      </c>
      <c r="J6445">
        <v>3104</v>
      </c>
      <c r="K6445" t="s">
        <v>243</v>
      </c>
      <c r="L6445">
        <v>4718</v>
      </c>
      <c r="M6445" t="s">
        <v>1504</v>
      </c>
      <c r="N6445" t="s">
        <v>1487</v>
      </c>
      <c r="O6445">
        <v>87</v>
      </c>
      <c r="P6445">
        <v>8801</v>
      </c>
      <c r="Q6445" t="s">
        <v>1488</v>
      </c>
      <c r="R6445" t="s">
        <v>201</v>
      </c>
      <c r="S6445">
        <v>2</v>
      </c>
      <c r="T6445">
        <v>1</v>
      </c>
      <c r="U6445">
        <v>102372</v>
      </c>
      <c r="V6445">
        <v>204744</v>
      </c>
    </row>
    <row r="6446" spans="1:22">
      <c r="A6446" t="s">
        <v>196</v>
      </c>
      <c r="B6446">
        <v>59</v>
      </c>
      <c r="C6446" t="s">
        <v>3</v>
      </c>
      <c r="D6446">
        <v>740</v>
      </c>
      <c r="E6446" t="s">
        <v>2208</v>
      </c>
      <c r="F6446">
        <v>1005</v>
      </c>
      <c r="G6446" t="s">
        <v>3</v>
      </c>
      <c r="H6446">
        <v>2005</v>
      </c>
      <c r="I6446" t="s">
        <v>3</v>
      </c>
      <c r="J6446">
        <v>3104</v>
      </c>
      <c r="K6446" t="s">
        <v>243</v>
      </c>
      <c r="L6446">
        <v>4718</v>
      </c>
      <c r="M6446" t="s">
        <v>1504</v>
      </c>
      <c r="N6446" t="s">
        <v>1487</v>
      </c>
      <c r="O6446">
        <v>87</v>
      </c>
      <c r="P6446">
        <v>8801</v>
      </c>
      <c r="Q6446" t="s">
        <v>1488</v>
      </c>
      <c r="R6446" t="s">
        <v>201</v>
      </c>
      <c r="S6446">
        <v>39</v>
      </c>
      <c r="T6446">
        <v>1</v>
      </c>
      <c r="U6446">
        <v>98904</v>
      </c>
      <c r="V6446">
        <v>3857256</v>
      </c>
    </row>
    <row r="6447" spans="1:22">
      <c r="A6447" t="s">
        <v>196</v>
      </c>
      <c r="B6447">
        <v>59</v>
      </c>
      <c r="C6447" t="s">
        <v>3</v>
      </c>
      <c r="D6447">
        <v>740</v>
      </c>
      <c r="E6447" t="s">
        <v>2208</v>
      </c>
      <c r="F6447">
        <v>1005</v>
      </c>
      <c r="G6447" t="s">
        <v>3</v>
      </c>
      <c r="H6447">
        <v>2005</v>
      </c>
      <c r="I6447" t="s">
        <v>3</v>
      </c>
      <c r="J6447">
        <v>3104</v>
      </c>
      <c r="K6447" t="s">
        <v>243</v>
      </c>
      <c r="L6447">
        <v>4718</v>
      </c>
      <c r="M6447" t="s">
        <v>1504</v>
      </c>
      <c r="N6447" t="s">
        <v>1487</v>
      </c>
      <c r="O6447">
        <v>87</v>
      </c>
      <c r="P6447">
        <v>8801</v>
      </c>
      <c r="Q6447" t="s">
        <v>1488</v>
      </c>
      <c r="R6447" t="s">
        <v>201</v>
      </c>
      <c r="S6447">
        <v>10</v>
      </c>
      <c r="T6447">
        <v>1</v>
      </c>
      <c r="U6447">
        <v>66264</v>
      </c>
      <c r="V6447">
        <v>662640</v>
      </c>
    </row>
    <row r="6448" spans="1:22">
      <c r="A6448" t="s">
        <v>196</v>
      </c>
      <c r="B6448">
        <v>59</v>
      </c>
      <c r="C6448" t="s">
        <v>3</v>
      </c>
      <c r="D6448">
        <v>740</v>
      </c>
      <c r="E6448" t="s">
        <v>2208</v>
      </c>
      <c r="F6448">
        <v>1005</v>
      </c>
      <c r="G6448" t="s">
        <v>3</v>
      </c>
      <c r="H6448">
        <v>2005</v>
      </c>
      <c r="I6448" t="s">
        <v>3</v>
      </c>
      <c r="J6448">
        <v>3104</v>
      </c>
      <c r="K6448" t="s">
        <v>243</v>
      </c>
      <c r="L6448">
        <v>4718</v>
      </c>
      <c r="M6448" t="s">
        <v>1504</v>
      </c>
      <c r="N6448" t="s">
        <v>216</v>
      </c>
      <c r="O6448">
        <v>89</v>
      </c>
      <c r="P6448">
        <v>8763</v>
      </c>
      <c r="Q6448" t="s">
        <v>1469</v>
      </c>
      <c r="R6448" t="s">
        <v>201</v>
      </c>
      <c r="S6448">
        <v>1</v>
      </c>
      <c r="T6448">
        <v>1</v>
      </c>
      <c r="U6448">
        <v>205560</v>
      </c>
      <c r="V6448">
        <v>205560</v>
      </c>
    </row>
    <row r="6449" spans="1:22">
      <c r="A6449" t="s">
        <v>196</v>
      </c>
      <c r="B6449">
        <v>59</v>
      </c>
      <c r="C6449" t="s">
        <v>3</v>
      </c>
      <c r="D6449">
        <v>740</v>
      </c>
      <c r="E6449" t="s">
        <v>2208</v>
      </c>
      <c r="F6449">
        <v>1005</v>
      </c>
      <c r="G6449" t="s">
        <v>3</v>
      </c>
      <c r="H6449">
        <v>2005</v>
      </c>
      <c r="I6449" t="s">
        <v>3</v>
      </c>
      <c r="J6449">
        <v>3104</v>
      </c>
      <c r="K6449" t="s">
        <v>243</v>
      </c>
      <c r="L6449">
        <v>4718</v>
      </c>
      <c r="M6449" t="s">
        <v>1504</v>
      </c>
      <c r="N6449" t="s">
        <v>1497</v>
      </c>
      <c r="O6449">
        <v>89</v>
      </c>
      <c r="P6449">
        <v>8761</v>
      </c>
      <c r="Q6449" t="s">
        <v>2176</v>
      </c>
      <c r="R6449" t="s">
        <v>201</v>
      </c>
      <c r="S6449">
        <v>4</v>
      </c>
      <c r="T6449">
        <v>1</v>
      </c>
      <c r="U6449">
        <v>130698</v>
      </c>
      <c r="V6449">
        <v>522792</v>
      </c>
    </row>
    <row r="6450" spans="1:22">
      <c r="A6450" t="s">
        <v>196</v>
      </c>
      <c r="B6450">
        <v>59</v>
      </c>
      <c r="C6450" t="s">
        <v>3</v>
      </c>
      <c r="D6450">
        <v>740</v>
      </c>
      <c r="E6450" t="s">
        <v>2208</v>
      </c>
      <c r="F6450">
        <v>1005</v>
      </c>
      <c r="G6450" t="s">
        <v>3</v>
      </c>
      <c r="H6450">
        <v>2005</v>
      </c>
      <c r="I6450" t="s">
        <v>3</v>
      </c>
      <c r="J6450">
        <v>3104</v>
      </c>
      <c r="K6450" t="s">
        <v>243</v>
      </c>
      <c r="L6450">
        <v>4718</v>
      </c>
      <c r="M6450" t="s">
        <v>1504</v>
      </c>
      <c r="N6450" t="s">
        <v>1497</v>
      </c>
      <c r="O6450">
        <v>87</v>
      </c>
      <c r="P6450">
        <v>8760</v>
      </c>
      <c r="Q6450" t="s">
        <v>2217</v>
      </c>
      <c r="R6450" t="s">
        <v>201</v>
      </c>
      <c r="S6450">
        <v>1</v>
      </c>
      <c r="T6450">
        <v>1</v>
      </c>
      <c r="U6450">
        <v>143076</v>
      </c>
      <c r="V6450">
        <v>143076</v>
      </c>
    </row>
    <row r="6451" spans="1:22">
      <c r="A6451" t="s">
        <v>196</v>
      </c>
      <c r="B6451">
        <v>59</v>
      </c>
      <c r="C6451" t="s">
        <v>3</v>
      </c>
      <c r="D6451">
        <v>740</v>
      </c>
      <c r="E6451" t="s">
        <v>2208</v>
      </c>
      <c r="F6451">
        <v>1005</v>
      </c>
      <c r="G6451" t="s">
        <v>3</v>
      </c>
      <c r="H6451">
        <v>2005</v>
      </c>
      <c r="I6451" t="s">
        <v>3</v>
      </c>
      <c r="J6451">
        <v>3104</v>
      </c>
      <c r="K6451" t="s">
        <v>243</v>
      </c>
      <c r="L6451">
        <v>4718</v>
      </c>
      <c r="M6451" t="s">
        <v>1504</v>
      </c>
      <c r="N6451" t="s">
        <v>216</v>
      </c>
      <c r="O6451">
        <v>89</v>
      </c>
      <c r="P6451">
        <v>8755</v>
      </c>
      <c r="Q6451" t="s">
        <v>1501</v>
      </c>
      <c r="R6451" t="s">
        <v>201</v>
      </c>
      <c r="S6451">
        <v>1</v>
      </c>
      <c r="T6451">
        <v>1</v>
      </c>
      <c r="U6451">
        <v>219048</v>
      </c>
      <c r="V6451">
        <v>219048</v>
      </c>
    </row>
    <row r="6452" spans="1:22">
      <c r="A6452" t="s">
        <v>196</v>
      </c>
      <c r="B6452">
        <v>59</v>
      </c>
      <c r="C6452" t="s">
        <v>3</v>
      </c>
      <c r="D6452">
        <v>740</v>
      </c>
      <c r="E6452" t="s">
        <v>2208</v>
      </c>
      <c r="F6452">
        <v>1005</v>
      </c>
      <c r="G6452" t="s">
        <v>3</v>
      </c>
      <c r="H6452">
        <v>2005</v>
      </c>
      <c r="I6452" t="s">
        <v>3</v>
      </c>
      <c r="J6452">
        <v>3104</v>
      </c>
      <c r="K6452" t="s">
        <v>243</v>
      </c>
      <c r="L6452">
        <v>4718</v>
      </c>
      <c r="M6452" t="s">
        <v>1504</v>
      </c>
      <c r="N6452" t="s">
        <v>1497</v>
      </c>
      <c r="O6452">
        <v>87</v>
      </c>
      <c r="P6452">
        <v>8737</v>
      </c>
      <c r="Q6452" t="s">
        <v>1331</v>
      </c>
      <c r="R6452" t="s">
        <v>201</v>
      </c>
      <c r="S6452">
        <v>1</v>
      </c>
      <c r="T6452">
        <v>1</v>
      </c>
      <c r="U6452">
        <v>143076</v>
      </c>
      <c r="V6452">
        <v>143076</v>
      </c>
    </row>
    <row r="6453" spans="1:22">
      <c r="A6453" t="s">
        <v>196</v>
      </c>
      <c r="B6453">
        <v>59</v>
      </c>
      <c r="C6453" t="s">
        <v>3</v>
      </c>
      <c r="D6453">
        <v>740</v>
      </c>
      <c r="E6453" t="s">
        <v>2208</v>
      </c>
      <c r="F6453">
        <v>1005</v>
      </c>
      <c r="G6453" t="s">
        <v>3</v>
      </c>
      <c r="H6453">
        <v>2005</v>
      </c>
      <c r="I6453" t="s">
        <v>3</v>
      </c>
      <c r="J6453">
        <v>3104</v>
      </c>
      <c r="K6453" t="s">
        <v>243</v>
      </c>
      <c r="L6453">
        <v>4718</v>
      </c>
      <c r="M6453" t="s">
        <v>1504</v>
      </c>
      <c r="N6453" t="s">
        <v>1497</v>
      </c>
      <c r="O6453">
        <v>87</v>
      </c>
      <c r="P6453">
        <v>8737</v>
      </c>
      <c r="Q6453" t="s">
        <v>1331</v>
      </c>
      <c r="R6453" t="s">
        <v>201</v>
      </c>
      <c r="S6453">
        <v>1</v>
      </c>
      <c r="T6453">
        <v>1</v>
      </c>
      <c r="U6453">
        <v>130698</v>
      </c>
      <c r="V6453">
        <v>130698</v>
      </c>
    </row>
    <row r="6454" spans="1:22">
      <c r="A6454" t="s">
        <v>196</v>
      </c>
      <c r="B6454">
        <v>59</v>
      </c>
      <c r="C6454" t="s">
        <v>3</v>
      </c>
      <c r="D6454">
        <v>740</v>
      </c>
      <c r="E6454" t="s">
        <v>2208</v>
      </c>
      <c r="F6454">
        <v>1005</v>
      </c>
      <c r="G6454" t="s">
        <v>3</v>
      </c>
      <c r="H6454">
        <v>2005</v>
      </c>
      <c r="I6454" t="s">
        <v>3</v>
      </c>
      <c r="J6454">
        <v>3104</v>
      </c>
      <c r="K6454" t="s">
        <v>243</v>
      </c>
      <c r="L6454">
        <v>4718</v>
      </c>
      <c r="M6454" t="s">
        <v>1504</v>
      </c>
      <c r="N6454" t="s">
        <v>1470</v>
      </c>
      <c r="O6454">
        <v>87</v>
      </c>
      <c r="P6454">
        <v>8735</v>
      </c>
      <c r="Q6454" t="s">
        <v>1323</v>
      </c>
      <c r="R6454" t="s">
        <v>201</v>
      </c>
      <c r="S6454">
        <v>1</v>
      </c>
      <c r="T6454">
        <v>1</v>
      </c>
      <c r="U6454">
        <v>127410</v>
      </c>
      <c r="V6454">
        <v>127410</v>
      </c>
    </row>
    <row r="6455" spans="1:22">
      <c r="A6455" t="s">
        <v>196</v>
      </c>
      <c r="B6455">
        <v>59</v>
      </c>
      <c r="C6455" t="s">
        <v>3</v>
      </c>
      <c r="D6455">
        <v>740</v>
      </c>
      <c r="E6455" t="s">
        <v>2208</v>
      </c>
      <c r="F6455">
        <v>1005</v>
      </c>
      <c r="G6455" t="s">
        <v>3</v>
      </c>
      <c r="H6455">
        <v>2005</v>
      </c>
      <c r="I6455" t="s">
        <v>3</v>
      </c>
      <c r="J6455">
        <v>3104</v>
      </c>
      <c r="K6455" t="s">
        <v>243</v>
      </c>
      <c r="L6455">
        <v>4718</v>
      </c>
      <c r="M6455" t="s">
        <v>1504</v>
      </c>
      <c r="N6455" t="s">
        <v>1470</v>
      </c>
      <c r="O6455">
        <v>87</v>
      </c>
      <c r="P6455">
        <v>8735</v>
      </c>
      <c r="Q6455" t="s">
        <v>1323</v>
      </c>
      <c r="R6455" t="s">
        <v>201</v>
      </c>
      <c r="S6455">
        <v>1</v>
      </c>
      <c r="T6455">
        <v>1</v>
      </c>
      <c r="U6455">
        <v>123420</v>
      </c>
      <c r="V6455">
        <v>123420</v>
      </c>
    </row>
    <row r="6456" spans="1:22">
      <c r="A6456" t="s">
        <v>196</v>
      </c>
      <c r="B6456">
        <v>59</v>
      </c>
      <c r="C6456" t="s">
        <v>3</v>
      </c>
      <c r="D6456">
        <v>740</v>
      </c>
      <c r="E6456" t="s">
        <v>2208</v>
      </c>
      <c r="F6456">
        <v>1005</v>
      </c>
      <c r="G6456" t="s">
        <v>3</v>
      </c>
      <c r="H6456">
        <v>2005</v>
      </c>
      <c r="I6456" t="s">
        <v>3</v>
      </c>
      <c r="J6456">
        <v>3104</v>
      </c>
      <c r="K6456" t="s">
        <v>243</v>
      </c>
      <c r="L6456">
        <v>4718</v>
      </c>
      <c r="M6456" t="s">
        <v>1504</v>
      </c>
      <c r="N6456" t="s">
        <v>1470</v>
      </c>
      <c r="O6456">
        <v>87</v>
      </c>
      <c r="P6456">
        <v>8735</v>
      </c>
      <c r="Q6456" t="s">
        <v>1323</v>
      </c>
      <c r="R6456" t="s">
        <v>201</v>
      </c>
      <c r="S6456">
        <v>2</v>
      </c>
      <c r="T6456">
        <v>1</v>
      </c>
      <c r="U6456">
        <v>115938</v>
      </c>
      <c r="V6456">
        <v>231876</v>
      </c>
    </row>
    <row r="6457" spans="1:22">
      <c r="A6457" t="s">
        <v>196</v>
      </c>
      <c r="B6457">
        <v>59</v>
      </c>
      <c r="C6457" t="s">
        <v>3</v>
      </c>
      <c r="D6457">
        <v>740</v>
      </c>
      <c r="E6457" t="s">
        <v>2208</v>
      </c>
      <c r="F6457">
        <v>1005</v>
      </c>
      <c r="G6457" t="s">
        <v>3</v>
      </c>
      <c r="H6457">
        <v>2005</v>
      </c>
      <c r="I6457" t="s">
        <v>3</v>
      </c>
      <c r="J6457">
        <v>3104</v>
      </c>
      <c r="K6457" t="s">
        <v>243</v>
      </c>
      <c r="L6457">
        <v>4718</v>
      </c>
      <c r="M6457" t="s">
        <v>1504</v>
      </c>
      <c r="N6457" t="s">
        <v>1491</v>
      </c>
      <c r="O6457">
        <v>87</v>
      </c>
      <c r="P6457">
        <v>8733</v>
      </c>
      <c r="Q6457" t="s">
        <v>1521</v>
      </c>
      <c r="R6457" t="s">
        <v>201</v>
      </c>
      <c r="S6457">
        <v>3</v>
      </c>
      <c r="T6457">
        <v>1</v>
      </c>
      <c r="U6457">
        <v>115308</v>
      </c>
      <c r="V6457">
        <v>345924</v>
      </c>
    </row>
    <row r="6458" spans="1:22">
      <c r="A6458" t="s">
        <v>196</v>
      </c>
      <c r="B6458">
        <v>59</v>
      </c>
      <c r="C6458" t="s">
        <v>3</v>
      </c>
      <c r="D6458">
        <v>740</v>
      </c>
      <c r="E6458" t="s">
        <v>2208</v>
      </c>
      <c r="F6458">
        <v>1005</v>
      </c>
      <c r="G6458" t="s">
        <v>3</v>
      </c>
      <c r="H6458">
        <v>2005</v>
      </c>
      <c r="I6458" t="s">
        <v>3</v>
      </c>
      <c r="J6458">
        <v>3104</v>
      </c>
      <c r="K6458" t="s">
        <v>243</v>
      </c>
      <c r="L6458">
        <v>4718</v>
      </c>
      <c r="M6458" t="s">
        <v>1504</v>
      </c>
      <c r="N6458" t="s">
        <v>1491</v>
      </c>
      <c r="O6458">
        <v>87</v>
      </c>
      <c r="P6458">
        <v>8733</v>
      </c>
      <c r="Q6458" t="s">
        <v>1521</v>
      </c>
      <c r="R6458" t="s">
        <v>201</v>
      </c>
      <c r="S6458">
        <v>3</v>
      </c>
      <c r="T6458">
        <v>1</v>
      </c>
      <c r="U6458">
        <v>112020</v>
      </c>
      <c r="V6458">
        <v>336060</v>
      </c>
    </row>
    <row r="6459" spans="1:22">
      <c r="A6459" t="s">
        <v>196</v>
      </c>
      <c r="B6459">
        <v>59</v>
      </c>
      <c r="C6459" t="s">
        <v>3</v>
      </c>
      <c r="D6459">
        <v>740</v>
      </c>
      <c r="E6459" t="s">
        <v>2208</v>
      </c>
      <c r="F6459">
        <v>1005</v>
      </c>
      <c r="G6459" t="s">
        <v>3</v>
      </c>
      <c r="H6459">
        <v>2005</v>
      </c>
      <c r="I6459" t="s">
        <v>3</v>
      </c>
      <c r="J6459">
        <v>3104</v>
      </c>
      <c r="K6459" t="s">
        <v>243</v>
      </c>
      <c r="L6459">
        <v>4718</v>
      </c>
      <c r="M6459" t="s">
        <v>1504</v>
      </c>
      <c r="N6459" t="s">
        <v>1489</v>
      </c>
      <c r="O6459">
        <v>87</v>
      </c>
      <c r="P6459">
        <v>8731</v>
      </c>
      <c r="Q6459" t="s">
        <v>1522</v>
      </c>
      <c r="R6459" t="s">
        <v>201</v>
      </c>
      <c r="S6459">
        <v>7</v>
      </c>
      <c r="T6459">
        <v>1</v>
      </c>
      <c r="U6459">
        <v>103914</v>
      </c>
      <c r="V6459">
        <v>727398</v>
      </c>
    </row>
    <row r="6460" spans="1:22">
      <c r="A6460" t="s">
        <v>196</v>
      </c>
      <c r="B6460">
        <v>59</v>
      </c>
      <c r="C6460" t="s">
        <v>3</v>
      </c>
      <c r="D6460">
        <v>740</v>
      </c>
      <c r="E6460" t="s">
        <v>2208</v>
      </c>
      <c r="F6460">
        <v>1005</v>
      </c>
      <c r="G6460" t="s">
        <v>3</v>
      </c>
      <c r="H6460">
        <v>2005</v>
      </c>
      <c r="I6460" t="s">
        <v>3</v>
      </c>
      <c r="J6460">
        <v>3104</v>
      </c>
      <c r="K6460" t="s">
        <v>243</v>
      </c>
      <c r="L6460">
        <v>4718</v>
      </c>
      <c r="M6460" t="s">
        <v>1504</v>
      </c>
      <c r="N6460" t="s">
        <v>1489</v>
      </c>
      <c r="O6460">
        <v>87</v>
      </c>
      <c r="P6460">
        <v>8731</v>
      </c>
      <c r="Q6460" t="s">
        <v>1522</v>
      </c>
      <c r="R6460" t="s">
        <v>201</v>
      </c>
      <c r="S6460">
        <v>5</v>
      </c>
      <c r="T6460">
        <v>1</v>
      </c>
      <c r="U6460">
        <v>62466</v>
      </c>
      <c r="V6460">
        <v>312330</v>
      </c>
    </row>
    <row r="6461" spans="1:22">
      <c r="A6461" t="s">
        <v>196</v>
      </c>
      <c r="B6461">
        <v>59</v>
      </c>
      <c r="C6461" t="s">
        <v>3</v>
      </c>
      <c r="D6461">
        <v>740</v>
      </c>
      <c r="E6461" t="s">
        <v>2208</v>
      </c>
      <c r="F6461">
        <v>1005</v>
      </c>
      <c r="G6461" t="s">
        <v>3</v>
      </c>
      <c r="H6461">
        <v>2005</v>
      </c>
      <c r="I6461" t="s">
        <v>3</v>
      </c>
      <c r="J6461">
        <v>3104</v>
      </c>
      <c r="K6461" t="s">
        <v>243</v>
      </c>
      <c r="L6461">
        <v>4718</v>
      </c>
      <c r="M6461" t="s">
        <v>1504</v>
      </c>
      <c r="N6461" t="s">
        <v>1523</v>
      </c>
      <c r="O6461">
        <v>87</v>
      </c>
      <c r="P6461">
        <v>8728</v>
      </c>
      <c r="Q6461" t="s">
        <v>1524</v>
      </c>
      <c r="R6461" t="s">
        <v>201</v>
      </c>
      <c r="S6461">
        <v>1</v>
      </c>
      <c r="T6461">
        <v>1</v>
      </c>
      <c r="U6461">
        <v>117324</v>
      </c>
      <c r="V6461">
        <v>117324</v>
      </c>
    </row>
    <row r="6462" spans="1:22">
      <c r="A6462" t="s">
        <v>196</v>
      </c>
      <c r="B6462">
        <v>59</v>
      </c>
      <c r="C6462" t="s">
        <v>3</v>
      </c>
      <c r="D6462">
        <v>740</v>
      </c>
      <c r="E6462" t="s">
        <v>2208</v>
      </c>
      <c r="F6462">
        <v>1005</v>
      </c>
      <c r="G6462" t="s">
        <v>3</v>
      </c>
      <c r="H6462">
        <v>2005</v>
      </c>
      <c r="I6462" t="s">
        <v>3</v>
      </c>
      <c r="J6462">
        <v>3104</v>
      </c>
      <c r="K6462" t="s">
        <v>243</v>
      </c>
      <c r="L6462">
        <v>4718</v>
      </c>
      <c r="M6462" t="s">
        <v>1504</v>
      </c>
      <c r="N6462" t="s">
        <v>1523</v>
      </c>
      <c r="O6462">
        <v>87</v>
      </c>
      <c r="P6462">
        <v>8728</v>
      </c>
      <c r="Q6462" t="s">
        <v>1524</v>
      </c>
      <c r="R6462" t="s">
        <v>201</v>
      </c>
      <c r="S6462">
        <v>2</v>
      </c>
      <c r="T6462">
        <v>1</v>
      </c>
      <c r="U6462">
        <v>112812</v>
      </c>
      <c r="V6462">
        <v>225624</v>
      </c>
    </row>
    <row r="6463" spans="1:22">
      <c r="A6463" t="s">
        <v>196</v>
      </c>
      <c r="B6463">
        <v>59</v>
      </c>
      <c r="C6463" t="s">
        <v>3</v>
      </c>
      <c r="D6463">
        <v>740</v>
      </c>
      <c r="E6463" t="s">
        <v>2208</v>
      </c>
      <c r="F6463">
        <v>1005</v>
      </c>
      <c r="G6463" t="s">
        <v>3</v>
      </c>
      <c r="H6463">
        <v>2005</v>
      </c>
      <c r="I6463" t="s">
        <v>3</v>
      </c>
      <c r="J6463">
        <v>3104</v>
      </c>
      <c r="K6463" t="s">
        <v>243</v>
      </c>
      <c r="L6463">
        <v>4718</v>
      </c>
      <c r="M6463" t="s">
        <v>1504</v>
      </c>
      <c r="N6463" t="s">
        <v>1523</v>
      </c>
      <c r="O6463">
        <v>87</v>
      </c>
      <c r="P6463">
        <v>8728</v>
      </c>
      <c r="Q6463" t="s">
        <v>1524</v>
      </c>
      <c r="R6463" t="s">
        <v>201</v>
      </c>
      <c r="S6463">
        <v>1</v>
      </c>
      <c r="T6463">
        <v>1</v>
      </c>
      <c r="U6463">
        <v>108444</v>
      </c>
      <c r="V6463">
        <v>108444</v>
      </c>
    </row>
    <row r="6464" spans="1:22">
      <c r="A6464" t="s">
        <v>196</v>
      </c>
      <c r="B6464">
        <v>59</v>
      </c>
      <c r="C6464" t="s">
        <v>3</v>
      </c>
      <c r="D6464">
        <v>740</v>
      </c>
      <c r="E6464" t="s">
        <v>2208</v>
      </c>
      <c r="F6464">
        <v>1005</v>
      </c>
      <c r="G6464" t="s">
        <v>3</v>
      </c>
      <c r="H6464">
        <v>2005</v>
      </c>
      <c r="I6464" t="s">
        <v>3</v>
      </c>
      <c r="J6464">
        <v>3104</v>
      </c>
      <c r="K6464" t="s">
        <v>243</v>
      </c>
      <c r="L6464">
        <v>4718</v>
      </c>
      <c r="M6464" t="s">
        <v>1504</v>
      </c>
      <c r="N6464" t="s">
        <v>1523</v>
      </c>
      <c r="O6464">
        <v>87</v>
      </c>
      <c r="P6464">
        <v>8728</v>
      </c>
      <c r="Q6464" t="s">
        <v>1524</v>
      </c>
      <c r="R6464" t="s">
        <v>201</v>
      </c>
      <c r="S6464">
        <v>10</v>
      </c>
      <c r="T6464">
        <v>1</v>
      </c>
      <c r="U6464">
        <v>104814</v>
      </c>
      <c r="V6464">
        <v>1048140</v>
      </c>
    </row>
    <row r="6465" spans="1:22">
      <c r="A6465" t="s">
        <v>196</v>
      </c>
      <c r="B6465">
        <v>59</v>
      </c>
      <c r="C6465" t="s">
        <v>3</v>
      </c>
      <c r="D6465">
        <v>740</v>
      </c>
      <c r="E6465" t="s">
        <v>2208</v>
      </c>
      <c r="F6465">
        <v>1005</v>
      </c>
      <c r="G6465" t="s">
        <v>3</v>
      </c>
      <c r="H6465">
        <v>2005</v>
      </c>
      <c r="I6465" t="s">
        <v>3</v>
      </c>
      <c r="J6465">
        <v>3104</v>
      </c>
      <c r="K6465" t="s">
        <v>243</v>
      </c>
      <c r="L6465">
        <v>4718</v>
      </c>
      <c r="M6465" t="s">
        <v>1504</v>
      </c>
      <c r="N6465" t="s">
        <v>1523</v>
      </c>
      <c r="O6465">
        <v>87</v>
      </c>
      <c r="P6465">
        <v>8728</v>
      </c>
      <c r="Q6465" t="s">
        <v>1524</v>
      </c>
      <c r="R6465" t="s">
        <v>201</v>
      </c>
      <c r="S6465">
        <v>5</v>
      </c>
      <c r="T6465">
        <v>1</v>
      </c>
      <c r="U6465">
        <v>101262</v>
      </c>
      <c r="V6465">
        <v>506310</v>
      </c>
    </row>
    <row r="6466" spans="1:22">
      <c r="A6466" t="s">
        <v>196</v>
      </c>
      <c r="B6466">
        <v>59</v>
      </c>
      <c r="C6466" t="s">
        <v>3</v>
      </c>
      <c r="D6466">
        <v>740</v>
      </c>
      <c r="E6466" t="s">
        <v>2208</v>
      </c>
      <c r="F6466">
        <v>1005</v>
      </c>
      <c r="G6466" t="s">
        <v>3</v>
      </c>
      <c r="H6466">
        <v>2005</v>
      </c>
      <c r="I6466" t="s">
        <v>3</v>
      </c>
      <c r="J6466">
        <v>3104</v>
      </c>
      <c r="K6466" t="s">
        <v>243</v>
      </c>
      <c r="L6466">
        <v>4718</v>
      </c>
      <c r="M6466" t="s">
        <v>1504</v>
      </c>
      <c r="N6466" t="s">
        <v>1523</v>
      </c>
      <c r="O6466">
        <v>87</v>
      </c>
      <c r="P6466">
        <v>8728</v>
      </c>
      <c r="Q6466" t="s">
        <v>1524</v>
      </c>
      <c r="R6466" t="s">
        <v>201</v>
      </c>
      <c r="S6466">
        <v>2</v>
      </c>
      <c r="T6466">
        <v>1</v>
      </c>
      <c r="U6466">
        <v>96402</v>
      </c>
      <c r="V6466">
        <v>192804</v>
      </c>
    </row>
    <row r="6467" spans="1:22">
      <c r="A6467" t="s">
        <v>196</v>
      </c>
      <c r="B6467">
        <v>59</v>
      </c>
      <c r="C6467" t="s">
        <v>3</v>
      </c>
      <c r="D6467">
        <v>740</v>
      </c>
      <c r="E6467" t="s">
        <v>2208</v>
      </c>
      <c r="F6467">
        <v>1005</v>
      </c>
      <c r="G6467" t="s">
        <v>3</v>
      </c>
      <c r="H6467">
        <v>2005</v>
      </c>
      <c r="I6467" t="s">
        <v>3</v>
      </c>
      <c r="J6467">
        <v>3104</v>
      </c>
      <c r="K6467" t="s">
        <v>243</v>
      </c>
      <c r="L6467">
        <v>4718</v>
      </c>
      <c r="M6467" t="s">
        <v>1504</v>
      </c>
      <c r="N6467" t="s">
        <v>1523</v>
      </c>
      <c r="O6467">
        <v>87</v>
      </c>
      <c r="P6467">
        <v>8728</v>
      </c>
      <c r="Q6467" t="s">
        <v>1524</v>
      </c>
      <c r="R6467" t="s">
        <v>201</v>
      </c>
      <c r="S6467">
        <v>1</v>
      </c>
      <c r="T6467">
        <v>1</v>
      </c>
      <c r="U6467">
        <v>78624</v>
      </c>
      <c r="V6467">
        <v>78624</v>
      </c>
    </row>
    <row r="6468" spans="1:22">
      <c r="A6468" t="s">
        <v>196</v>
      </c>
      <c r="B6468">
        <v>59</v>
      </c>
      <c r="C6468" t="s">
        <v>3</v>
      </c>
      <c r="D6468">
        <v>740</v>
      </c>
      <c r="E6468" t="s">
        <v>2208</v>
      </c>
      <c r="F6468">
        <v>1005</v>
      </c>
      <c r="G6468" t="s">
        <v>3</v>
      </c>
      <c r="H6468">
        <v>2005</v>
      </c>
      <c r="I6468" t="s">
        <v>3</v>
      </c>
      <c r="J6468">
        <v>3104</v>
      </c>
      <c r="K6468" t="s">
        <v>243</v>
      </c>
      <c r="L6468">
        <v>4718</v>
      </c>
      <c r="M6468" t="s">
        <v>1504</v>
      </c>
      <c r="N6468" t="s">
        <v>1475</v>
      </c>
      <c r="O6468">
        <v>87</v>
      </c>
      <c r="P6468">
        <v>8701</v>
      </c>
      <c r="Q6468" t="s">
        <v>1526</v>
      </c>
      <c r="R6468" t="s">
        <v>201</v>
      </c>
      <c r="S6468">
        <v>6</v>
      </c>
      <c r="T6468">
        <v>1</v>
      </c>
      <c r="U6468">
        <v>165858</v>
      </c>
      <c r="V6468">
        <v>995148</v>
      </c>
    </row>
    <row r="6469" spans="1:22">
      <c r="A6469" t="s">
        <v>196</v>
      </c>
      <c r="B6469">
        <v>59</v>
      </c>
      <c r="C6469" t="s">
        <v>3</v>
      </c>
      <c r="D6469">
        <v>740</v>
      </c>
      <c r="E6469" t="s">
        <v>2208</v>
      </c>
      <c r="F6469">
        <v>1005</v>
      </c>
      <c r="G6469" t="s">
        <v>3</v>
      </c>
      <c r="H6469">
        <v>2005</v>
      </c>
      <c r="I6469" t="s">
        <v>3</v>
      </c>
      <c r="J6469">
        <v>3104</v>
      </c>
      <c r="K6469" t="s">
        <v>243</v>
      </c>
      <c r="L6469">
        <v>4718</v>
      </c>
      <c r="M6469" t="s">
        <v>1504</v>
      </c>
      <c r="N6469" t="s">
        <v>351</v>
      </c>
      <c r="O6469">
        <v>1</v>
      </c>
      <c r="P6469" t="s">
        <v>352</v>
      </c>
      <c r="Q6469" t="s">
        <v>353</v>
      </c>
      <c r="R6469" t="s">
        <v>201</v>
      </c>
      <c r="S6469">
        <v>1</v>
      </c>
      <c r="T6469">
        <v>1</v>
      </c>
      <c r="U6469">
        <v>62544</v>
      </c>
      <c r="V6469">
        <v>62544</v>
      </c>
    </row>
    <row r="6470" spans="1:22">
      <c r="A6470" t="s">
        <v>196</v>
      </c>
      <c r="B6470">
        <v>59</v>
      </c>
      <c r="C6470" t="s">
        <v>3</v>
      </c>
      <c r="D6470">
        <v>740</v>
      </c>
      <c r="E6470" t="s">
        <v>2208</v>
      </c>
      <c r="F6470">
        <v>1005</v>
      </c>
      <c r="G6470" t="s">
        <v>3</v>
      </c>
      <c r="H6470">
        <v>2005</v>
      </c>
      <c r="I6470" t="s">
        <v>3</v>
      </c>
      <c r="J6470">
        <v>3104</v>
      </c>
      <c r="K6470" t="s">
        <v>243</v>
      </c>
      <c r="L6470">
        <v>4718</v>
      </c>
      <c r="M6470" t="s">
        <v>1504</v>
      </c>
      <c r="N6470" t="s">
        <v>199</v>
      </c>
      <c r="O6470">
        <v>0</v>
      </c>
      <c r="P6470">
        <v>15</v>
      </c>
      <c r="Q6470" t="s">
        <v>264</v>
      </c>
      <c r="R6470" t="s">
        <v>201</v>
      </c>
      <c r="S6470">
        <v>0</v>
      </c>
      <c r="T6470">
        <v>0</v>
      </c>
      <c r="U6470">
        <v>84571</v>
      </c>
      <c r="V6470">
        <v>84571</v>
      </c>
    </row>
    <row r="6471" spans="1:22">
      <c r="A6471" t="s">
        <v>196</v>
      </c>
      <c r="B6471">
        <v>59</v>
      </c>
      <c r="C6471" t="s">
        <v>3</v>
      </c>
      <c r="D6471">
        <v>740</v>
      </c>
      <c r="E6471" t="s">
        <v>2208</v>
      </c>
      <c r="F6471">
        <v>1005</v>
      </c>
      <c r="G6471" t="s">
        <v>3</v>
      </c>
      <c r="H6471">
        <v>2005</v>
      </c>
      <c r="I6471" t="s">
        <v>3</v>
      </c>
      <c r="J6471">
        <v>3104</v>
      </c>
      <c r="K6471" t="s">
        <v>243</v>
      </c>
      <c r="L6471">
        <v>4720</v>
      </c>
      <c r="M6471" t="s">
        <v>1527</v>
      </c>
      <c r="N6471" t="s">
        <v>1491</v>
      </c>
      <c r="O6471">
        <v>87</v>
      </c>
      <c r="P6471">
        <v>8819</v>
      </c>
      <c r="Q6471" t="s">
        <v>1506</v>
      </c>
      <c r="R6471" t="s">
        <v>201</v>
      </c>
      <c r="S6471">
        <v>1</v>
      </c>
      <c r="T6471">
        <v>1</v>
      </c>
      <c r="U6471">
        <v>125202</v>
      </c>
      <c r="V6471">
        <v>125202</v>
      </c>
    </row>
    <row r="6472" spans="1:22">
      <c r="A6472" t="s">
        <v>196</v>
      </c>
      <c r="B6472">
        <v>59</v>
      </c>
      <c r="C6472" t="s">
        <v>3</v>
      </c>
      <c r="D6472">
        <v>740</v>
      </c>
      <c r="E6472" t="s">
        <v>2208</v>
      </c>
      <c r="F6472">
        <v>1005</v>
      </c>
      <c r="G6472" t="s">
        <v>3</v>
      </c>
      <c r="H6472">
        <v>2005</v>
      </c>
      <c r="I6472" t="s">
        <v>3</v>
      </c>
      <c r="J6472">
        <v>3104</v>
      </c>
      <c r="K6472" t="s">
        <v>243</v>
      </c>
      <c r="L6472">
        <v>4720</v>
      </c>
      <c r="M6472" t="s">
        <v>1527</v>
      </c>
      <c r="N6472" t="s">
        <v>1489</v>
      </c>
      <c r="O6472">
        <v>87</v>
      </c>
      <c r="P6472">
        <v>8750</v>
      </c>
      <c r="Q6472" t="s">
        <v>1490</v>
      </c>
      <c r="R6472" t="s">
        <v>201</v>
      </c>
      <c r="S6472">
        <v>3</v>
      </c>
      <c r="T6472">
        <v>1</v>
      </c>
      <c r="U6472">
        <v>108036</v>
      </c>
      <c r="V6472">
        <v>324108</v>
      </c>
    </row>
    <row r="6473" spans="1:22">
      <c r="A6473" t="s">
        <v>196</v>
      </c>
      <c r="B6473">
        <v>59</v>
      </c>
      <c r="C6473" t="s">
        <v>3</v>
      </c>
      <c r="D6473">
        <v>740</v>
      </c>
      <c r="E6473" t="s">
        <v>2208</v>
      </c>
      <c r="F6473">
        <v>1005</v>
      </c>
      <c r="G6473" t="s">
        <v>3</v>
      </c>
      <c r="H6473">
        <v>2005</v>
      </c>
      <c r="I6473" t="s">
        <v>3</v>
      </c>
      <c r="J6473">
        <v>3104</v>
      </c>
      <c r="K6473" t="s">
        <v>243</v>
      </c>
      <c r="L6473">
        <v>4720</v>
      </c>
      <c r="M6473" t="s">
        <v>1527</v>
      </c>
      <c r="N6473" t="s">
        <v>1489</v>
      </c>
      <c r="O6473">
        <v>87</v>
      </c>
      <c r="P6473">
        <v>8750</v>
      </c>
      <c r="Q6473" t="s">
        <v>1490</v>
      </c>
      <c r="R6473" t="s">
        <v>201</v>
      </c>
      <c r="S6473">
        <v>6</v>
      </c>
      <c r="T6473">
        <v>1</v>
      </c>
      <c r="U6473">
        <v>103914</v>
      </c>
      <c r="V6473">
        <v>623484</v>
      </c>
    </row>
    <row r="6474" spans="1:22">
      <c r="A6474" t="s">
        <v>196</v>
      </c>
      <c r="B6474">
        <v>59</v>
      </c>
      <c r="C6474" t="s">
        <v>3</v>
      </c>
      <c r="D6474">
        <v>740</v>
      </c>
      <c r="E6474" t="s">
        <v>2208</v>
      </c>
      <c r="F6474">
        <v>1005</v>
      </c>
      <c r="G6474" t="s">
        <v>3</v>
      </c>
      <c r="H6474">
        <v>2005</v>
      </c>
      <c r="I6474" t="s">
        <v>3</v>
      </c>
      <c r="J6474">
        <v>3104</v>
      </c>
      <c r="K6474" t="s">
        <v>243</v>
      </c>
      <c r="L6474">
        <v>4720</v>
      </c>
      <c r="M6474" t="s">
        <v>1527</v>
      </c>
      <c r="N6474" t="s">
        <v>1489</v>
      </c>
      <c r="O6474">
        <v>87</v>
      </c>
      <c r="P6474">
        <v>8750</v>
      </c>
      <c r="Q6474" t="s">
        <v>1490</v>
      </c>
      <c r="R6474" t="s">
        <v>201</v>
      </c>
      <c r="S6474">
        <v>2</v>
      </c>
      <c r="T6474">
        <v>1</v>
      </c>
      <c r="U6474">
        <v>99876</v>
      </c>
      <c r="V6474">
        <v>199752</v>
      </c>
    </row>
    <row r="6475" spans="1:22">
      <c r="A6475" t="s">
        <v>196</v>
      </c>
      <c r="B6475">
        <v>59</v>
      </c>
      <c r="C6475" t="s">
        <v>3</v>
      </c>
      <c r="D6475">
        <v>740</v>
      </c>
      <c r="E6475" t="s">
        <v>2208</v>
      </c>
      <c r="F6475">
        <v>1005</v>
      </c>
      <c r="G6475" t="s">
        <v>3</v>
      </c>
      <c r="H6475">
        <v>2005</v>
      </c>
      <c r="I6475" t="s">
        <v>3</v>
      </c>
      <c r="J6475">
        <v>3104</v>
      </c>
      <c r="K6475" t="s">
        <v>243</v>
      </c>
      <c r="L6475">
        <v>4720</v>
      </c>
      <c r="M6475" t="s">
        <v>1527</v>
      </c>
      <c r="N6475" t="s">
        <v>1491</v>
      </c>
      <c r="O6475">
        <v>87</v>
      </c>
      <c r="P6475">
        <v>8749</v>
      </c>
      <c r="Q6475" t="s">
        <v>1492</v>
      </c>
      <c r="R6475" t="s">
        <v>201</v>
      </c>
      <c r="S6475">
        <v>2</v>
      </c>
      <c r="T6475">
        <v>1</v>
      </c>
      <c r="U6475">
        <v>115308</v>
      </c>
      <c r="V6475">
        <v>230616</v>
      </c>
    </row>
    <row r="6476" spans="1:22">
      <c r="A6476" t="s">
        <v>196</v>
      </c>
      <c r="B6476">
        <v>59</v>
      </c>
      <c r="C6476" t="s">
        <v>3</v>
      </c>
      <c r="D6476">
        <v>740</v>
      </c>
      <c r="E6476" t="s">
        <v>2208</v>
      </c>
      <c r="F6476">
        <v>1005</v>
      </c>
      <c r="G6476" t="s">
        <v>3</v>
      </c>
      <c r="H6476">
        <v>2005</v>
      </c>
      <c r="I6476" t="s">
        <v>3</v>
      </c>
      <c r="J6476">
        <v>3104</v>
      </c>
      <c r="K6476" t="s">
        <v>243</v>
      </c>
      <c r="L6476">
        <v>4720</v>
      </c>
      <c r="M6476" t="s">
        <v>1527</v>
      </c>
      <c r="N6476" t="s">
        <v>1491</v>
      </c>
      <c r="O6476">
        <v>87</v>
      </c>
      <c r="P6476">
        <v>8749</v>
      </c>
      <c r="Q6476" t="s">
        <v>1492</v>
      </c>
      <c r="R6476" t="s">
        <v>201</v>
      </c>
      <c r="S6476">
        <v>6</v>
      </c>
      <c r="T6476">
        <v>1</v>
      </c>
      <c r="U6476">
        <v>112020</v>
      </c>
      <c r="V6476">
        <v>672120</v>
      </c>
    </row>
    <row r="6477" spans="1:22">
      <c r="A6477" t="s">
        <v>196</v>
      </c>
      <c r="B6477">
        <v>59</v>
      </c>
      <c r="C6477" t="s">
        <v>3</v>
      </c>
      <c r="D6477">
        <v>740</v>
      </c>
      <c r="E6477" t="s">
        <v>2208</v>
      </c>
      <c r="F6477">
        <v>1005</v>
      </c>
      <c r="G6477" t="s">
        <v>3</v>
      </c>
      <c r="H6477">
        <v>2005</v>
      </c>
      <c r="I6477" t="s">
        <v>3</v>
      </c>
      <c r="J6477">
        <v>3104</v>
      </c>
      <c r="K6477" t="s">
        <v>243</v>
      </c>
      <c r="L6477">
        <v>4720</v>
      </c>
      <c r="M6477" t="s">
        <v>1527</v>
      </c>
      <c r="N6477" t="s">
        <v>1491</v>
      </c>
      <c r="O6477">
        <v>87</v>
      </c>
      <c r="P6477">
        <v>8749</v>
      </c>
      <c r="Q6477" t="s">
        <v>1492</v>
      </c>
      <c r="R6477" t="s">
        <v>201</v>
      </c>
      <c r="S6477">
        <v>1</v>
      </c>
      <c r="T6477">
        <v>1</v>
      </c>
      <c r="U6477">
        <v>108096</v>
      </c>
      <c r="V6477">
        <v>108096</v>
      </c>
    </row>
    <row r="6478" spans="1:22">
      <c r="A6478" t="s">
        <v>196</v>
      </c>
      <c r="B6478">
        <v>59</v>
      </c>
      <c r="C6478" t="s">
        <v>3</v>
      </c>
      <c r="D6478">
        <v>740</v>
      </c>
      <c r="E6478" t="s">
        <v>2208</v>
      </c>
      <c r="F6478">
        <v>1005</v>
      </c>
      <c r="G6478" t="s">
        <v>3</v>
      </c>
      <c r="H6478">
        <v>2005</v>
      </c>
      <c r="I6478" t="s">
        <v>3</v>
      </c>
      <c r="J6478">
        <v>3104</v>
      </c>
      <c r="K6478" t="s">
        <v>243</v>
      </c>
      <c r="L6478">
        <v>4720</v>
      </c>
      <c r="M6478" t="s">
        <v>1527</v>
      </c>
      <c r="N6478" t="s">
        <v>1497</v>
      </c>
      <c r="O6478">
        <v>87</v>
      </c>
      <c r="P6478">
        <v>8745</v>
      </c>
      <c r="Q6478" t="s">
        <v>1498</v>
      </c>
      <c r="R6478" t="s">
        <v>201</v>
      </c>
      <c r="S6478">
        <v>2</v>
      </c>
      <c r="T6478">
        <v>1</v>
      </c>
      <c r="U6478">
        <v>143076</v>
      </c>
      <c r="V6478">
        <v>286152</v>
      </c>
    </row>
    <row r="6479" spans="1:22">
      <c r="A6479" t="s">
        <v>196</v>
      </c>
      <c r="B6479">
        <v>59</v>
      </c>
      <c r="C6479" t="s">
        <v>3</v>
      </c>
      <c r="D6479">
        <v>740</v>
      </c>
      <c r="E6479" t="s">
        <v>2208</v>
      </c>
      <c r="F6479">
        <v>1005</v>
      </c>
      <c r="G6479" t="s">
        <v>3</v>
      </c>
      <c r="H6479">
        <v>2005</v>
      </c>
      <c r="I6479" t="s">
        <v>3</v>
      </c>
      <c r="J6479">
        <v>3104</v>
      </c>
      <c r="K6479" t="s">
        <v>243</v>
      </c>
      <c r="L6479">
        <v>4720</v>
      </c>
      <c r="M6479" t="s">
        <v>1527</v>
      </c>
      <c r="N6479" t="s">
        <v>1497</v>
      </c>
      <c r="O6479">
        <v>87</v>
      </c>
      <c r="P6479">
        <v>8745</v>
      </c>
      <c r="Q6479" t="s">
        <v>1498</v>
      </c>
      <c r="R6479" t="s">
        <v>201</v>
      </c>
      <c r="S6479">
        <v>1</v>
      </c>
      <c r="T6479">
        <v>1</v>
      </c>
      <c r="U6479">
        <v>138828</v>
      </c>
      <c r="V6479">
        <v>138828</v>
      </c>
    </row>
    <row r="6480" spans="1:22">
      <c r="A6480" t="s">
        <v>196</v>
      </c>
      <c r="B6480">
        <v>59</v>
      </c>
      <c r="C6480" t="s">
        <v>3</v>
      </c>
      <c r="D6480">
        <v>740</v>
      </c>
      <c r="E6480" t="s">
        <v>2208</v>
      </c>
      <c r="F6480">
        <v>1005</v>
      </c>
      <c r="G6480" t="s">
        <v>3</v>
      </c>
      <c r="H6480">
        <v>2005</v>
      </c>
      <c r="I6480" t="s">
        <v>3</v>
      </c>
      <c r="J6480">
        <v>3104</v>
      </c>
      <c r="K6480" t="s">
        <v>243</v>
      </c>
      <c r="L6480">
        <v>4720</v>
      </c>
      <c r="M6480" t="s">
        <v>1527</v>
      </c>
      <c r="N6480" t="s">
        <v>199</v>
      </c>
      <c r="O6480">
        <v>0</v>
      </c>
      <c r="P6480">
        <v>15</v>
      </c>
      <c r="Q6480" t="s">
        <v>264</v>
      </c>
      <c r="R6480" t="s">
        <v>201</v>
      </c>
      <c r="S6480">
        <v>0</v>
      </c>
      <c r="T6480">
        <v>0</v>
      </c>
      <c r="U6480">
        <v>15482</v>
      </c>
      <c r="V6480">
        <v>15482</v>
      </c>
    </row>
    <row r="6481" spans="1:22">
      <c r="A6481" t="s">
        <v>196</v>
      </c>
      <c r="B6481">
        <v>85</v>
      </c>
      <c r="C6481" t="s">
        <v>2177</v>
      </c>
      <c r="D6481">
        <v>740</v>
      </c>
      <c r="E6481" t="s">
        <v>2208</v>
      </c>
      <c r="F6481">
        <v>1005</v>
      </c>
      <c r="G6481" t="s">
        <v>2177</v>
      </c>
      <c r="H6481">
        <v>2015</v>
      </c>
      <c r="I6481" t="s">
        <v>4</v>
      </c>
      <c r="J6481">
        <v>3015</v>
      </c>
      <c r="K6481" t="s">
        <v>4</v>
      </c>
      <c r="L6481">
        <v>4400</v>
      </c>
      <c r="M6481" t="s">
        <v>309</v>
      </c>
      <c r="N6481" t="s">
        <v>199</v>
      </c>
      <c r="O6481">
        <v>9</v>
      </c>
      <c r="P6481">
        <v>9985</v>
      </c>
      <c r="Q6481" t="s">
        <v>2218</v>
      </c>
      <c r="R6481" t="s">
        <v>201</v>
      </c>
      <c r="S6481">
        <v>1</v>
      </c>
      <c r="T6481">
        <v>1</v>
      </c>
      <c r="U6481">
        <v>350000</v>
      </c>
      <c r="V6481">
        <v>350000</v>
      </c>
    </row>
    <row r="6482" spans="1:22">
      <c r="A6482" t="s">
        <v>196</v>
      </c>
      <c r="B6482">
        <v>85</v>
      </c>
      <c r="C6482" t="s">
        <v>2177</v>
      </c>
      <c r="D6482">
        <v>740</v>
      </c>
      <c r="E6482" t="s">
        <v>2208</v>
      </c>
      <c r="F6482">
        <v>1005</v>
      </c>
      <c r="G6482" t="s">
        <v>2177</v>
      </c>
      <c r="H6482">
        <v>2015</v>
      </c>
      <c r="I6482" t="s">
        <v>4</v>
      </c>
      <c r="J6482">
        <v>3015</v>
      </c>
      <c r="K6482" t="s">
        <v>4</v>
      </c>
      <c r="L6482">
        <v>4400</v>
      </c>
      <c r="M6482" t="s">
        <v>309</v>
      </c>
      <c r="N6482" t="s">
        <v>1297</v>
      </c>
      <c r="O6482">
        <v>0</v>
      </c>
      <c r="P6482">
        <v>9823</v>
      </c>
      <c r="Q6482" t="s">
        <v>600</v>
      </c>
      <c r="R6482" t="s">
        <v>201</v>
      </c>
      <c r="S6482">
        <v>3</v>
      </c>
      <c r="T6482">
        <v>1</v>
      </c>
      <c r="U6482">
        <v>211752</v>
      </c>
      <c r="V6482">
        <v>635256</v>
      </c>
    </row>
    <row r="6483" spans="1:22">
      <c r="A6483" t="s">
        <v>196</v>
      </c>
      <c r="B6483">
        <v>85</v>
      </c>
      <c r="C6483" t="s">
        <v>2177</v>
      </c>
      <c r="D6483">
        <v>740</v>
      </c>
      <c r="E6483" t="s">
        <v>2208</v>
      </c>
      <c r="F6483">
        <v>1005</v>
      </c>
      <c r="G6483" t="s">
        <v>2177</v>
      </c>
      <c r="H6483">
        <v>2015</v>
      </c>
      <c r="I6483" t="s">
        <v>4</v>
      </c>
      <c r="J6483">
        <v>3015</v>
      </c>
      <c r="K6483" t="s">
        <v>4</v>
      </c>
      <c r="L6483">
        <v>4400</v>
      </c>
      <c r="M6483" t="s">
        <v>309</v>
      </c>
      <c r="N6483" t="s">
        <v>1297</v>
      </c>
      <c r="O6483">
        <v>0</v>
      </c>
      <c r="P6483">
        <v>9823</v>
      </c>
      <c r="Q6483" t="s">
        <v>600</v>
      </c>
      <c r="R6483" t="s">
        <v>201</v>
      </c>
      <c r="S6483">
        <v>1</v>
      </c>
      <c r="T6483">
        <v>1</v>
      </c>
      <c r="U6483">
        <v>205200</v>
      </c>
      <c r="V6483">
        <v>205200</v>
      </c>
    </row>
    <row r="6484" spans="1:22">
      <c r="A6484" t="s">
        <v>196</v>
      </c>
      <c r="B6484">
        <v>85</v>
      </c>
      <c r="C6484" t="s">
        <v>2177</v>
      </c>
      <c r="D6484">
        <v>740</v>
      </c>
      <c r="E6484" t="s">
        <v>2208</v>
      </c>
      <c r="F6484">
        <v>1005</v>
      </c>
      <c r="G6484" t="s">
        <v>2177</v>
      </c>
      <c r="H6484">
        <v>2015</v>
      </c>
      <c r="I6484" t="s">
        <v>4</v>
      </c>
      <c r="J6484">
        <v>3015</v>
      </c>
      <c r="K6484" t="s">
        <v>4</v>
      </c>
      <c r="L6484">
        <v>4400</v>
      </c>
      <c r="M6484" t="s">
        <v>309</v>
      </c>
      <c r="N6484" t="s">
        <v>1297</v>
      </c>
      <c r="O6484">
        <v>0</v>
      </c>
      <c r="P6484">
        <v>9823</v>
      </c>
      <c r="Q6484" t="s">
        <v>600</v>
      </c>
      <c r="R6484" t="s">
        <v>201</v>
      </c>
      <c r="S6484">
        <v>2</v>
      </c>
      <c r="T6484">
        <v>1</v>
      </c>
      <c r="U6484">
        <v>196740</v>
      </c>
      <c r="V6484">
        <v>393480</v>
      </c>
    </row>
    <row r="6485" spans="1:22">
      <c r="A6485" t="s">
        <v>196</v>
      </c>
      <c r="B6485">
        <v>85</v>
      </c>
      <c r="C6485" t="s">
        <v>2177</v>
      </c>
      <c r="D6485">
        <v>740</v>
      </c>
      <c r="E6485" t="s">
        <v>2208</v>
      </c>
      <c r="F6485">
        <v>1005</v>
      </c>
      <c r="G6485" t="s">
        <v>2177</v>
      </c>
      <c r="H6485">
        <v>2015</v>
      </c>
      <c r="I6485" t="s">
        <v>4</v>
      </c>
      <c r="J6485">
        <v>3015</v>
      </c>
      <c r="K6485" t="s">
        <v>4</v>
      </c>
      <c r="L6485">
        <v>4400</v>
      </c>
      <c r="M6485" t="s">
        <v>309</v>
      </c>
      <c r="N6485" t="s">
        <v>1297</v>
      </c>
      <c r="O6485">
        <v>9</v>
      </c>
      <c r="P6485">
        <v>9663</v>
      </c>
      <c r="Q6485" t="s">
        <v>846</v>
      </c>
      <c r="R6485" t="s">
        <v>201</v>
      </c>
      <c r="S6485">
        <v>1</v>
      </c>
      <c r="T6485">
        <v>1</v>
      </c>
      <c r="U6485">
        <v>164412</v>
      </c>
      <c r="V6485">
        <v>164412</v>
      </c>
    </row>
    <row r="6486" spans="1:22">
      <c r="A6486" t="s">
        <v>196</v>
      </c>
      <c r="B6486">
        <v>85</v>
      </c>
      <c r="C6486" t="s">
        <v>2177</v>
      </c>
      <c r="D6486">
        <v>740</v>
      </c>
      <c r="E6486" t="s">
        <v>2208</v>
      </c>
      <c r="F6486">
        <v>1005</v>
      </c>
      <c r="G6486" t="s">
        <v>2177</v>
      </c>
      <c r="H6486">
        <v>2015</v>
      </c>
      <c r="I6486" t="s">
        <v>4</v>
      </c>
      <c r="J6486">
        <v>3015</v>
      </c>
      <c r="K6486" t="s">
        <v>4</v>
      </c>
      <c r="L6486">
        <v>4400</v>
      </c>
      <c r="M6486" t="s">
        <v>309</v>
      </c>
      <c r="N6486" t="s">
        <v>372</v>
      </c>
      <c r="O6486">
        <v>4</v>
      </c>
      <c r="P6486">
        <v>1912</v>
      </c>
      <c r="Q6486" t="s">
        <v>608</v>
      </c>
      <c r="R6486" t="s">
        <v>201</v>
      </c>
      <c r="S6486">
        <v>1</v>
      </c>
      <c r="T6486">
        <v>1</v>
      </c>
      <c r="U6486">
        <v>103608</v>
      </c>
      <c r="V6486">
        <v>103608</v>
      </c>
    </row>
    <row r="6487" spans="1:22">
      <c r="A6487" t="s">
        <v>196</v>
      </c>
      <c r="B6487">
        <v>85</v>
      </c>
      <c r="C6487" t="s">
        <v>2177</v>
      </c>
      <c r="D6487">
        <v>740</v>
      </c>
      <c r="E6487" t="s">
        <v>2208</v>
      </c>
      <c r="F6487">
        <v>1005</v>
      </c>
      <c r="G6487" t="s">
        <v>2177</v>
      </c>
      <c r="H6487">
        <v>2015</v>
      </c>
      <c r="I6487" t="s">
        <v>4</v>
      </c>
      <c r="J6487">
        <v>3015</v>
      </c>
      <c r="K6487" t="s">
        <v>4</v>
      </c>
      <c r="L6487">
        <v>4400</v>
      </c>
      <c r="M6487" t="s">
        <v>309</v>
      </c>
      <c r="N6487" t="s">
        <v>251</v>
      </c>
      <c r="O6487">
        <v>10</v>
      </c>
      <c r="P6487">
        <v>1430</v>
      </c>
      <c r="Q6487" t="s">
        <v>850</v>
      </c>
      <c r="R6487" t="s">
        <v>201</v>
      </c>
      <c r="S6487">
        <v>1</v>
      </c>
      <c r="T6487">
        <v>1</v>
      </c>
      <c r="U6487">
        <v>76476</v>
      </c>
      <c r="V6487">
        <v>76476</v>
      </c>
    </row>
    <row r="6488" spans="1:22">
      <c r="A6488" t="s">
        <v>196</v>
      </c>
      <c r="B6488">
        <v>85</v>
      </c>
      <c r="C6488" t="s">
        <v>2177</v>
      </c>
      <c r="D6488">
        <v>740</v>
      </c>
      <c r="E6488" t="s">
        <v>2208</v>
      </c>
      <c r="F6488">
        <v>1005</v>
      </c>
      <c r="G6488" t="s">
        <v>2177</v>
      </c>
      <c r="H6488">
        <v>2015</v>
      </c>
      <c r="I6488" t="s">
        <v>4</v>
      </c>
      <c r="J6488">
        <v>3015</v>
      </c>
      <c r="K6488" t="s">
        <v>4</v>
      </c>
      <c r="L6488">
        <v>4400</v>
      </c>
      <c r="M6488" t="s">
        <v>309</v>
      </c>
      <c r="N6488" t="s">
        <v>251</v>
      </c>
      <c r="O6488">
        <v>10</v>
      </c>
      <c r="P6488">
        <v>802</v>
      </c>
      <c r="Q6488" t="s">
        <v>252</v>
      </c>
      <c r="R6488" t="s">
        <v>201</v>
      </c>
      <c r="S6488">
        <v>1</v>
      </c>
      <c r="T6488">
        <v>1</v>
      </c>
      <c r="U6488">
        <v>85128</v>
      </c>
      <c r="V6488">
        <v>85128</v>
      </c>
    </row>
    <row r="6489" spans="1:22">
      <c r="A6489" t="s">
        <v>196</v>
      </c>
      <c r="B6489">
        <v>85</v>
      </c>
      <c r="C6489" t="s">
        <v>2177</v>
      </c>
      <c r="D6489">
        <v>740</v>
      </c>
      <c r="E6489" t="s">
        <v>2208</v>
      </c>
      <c r="F6489">
        <v>1005</v>
      </c>
      <c r="G6489" t="s">
        <v>2177</v>
      </c>
      <c r="H6489">
        <v>2015</v>
      </c>
      <c r="I6489" t="s">
        <v>4</v>
      </c>
      <c r="J6489">
        <v>3015</v>
      </c>
      <c r="K6489" t="s">
        <v>4</v>
      </c>
      <c r="L6489">
        <v>4400</v>
      </c>
      <c r="M6489" t="s">
        <v>309</v>
      </c>
      <c r="N6489" t="s">
        <v>251</v>
      </c>
      <c r="O6489">
        <v>10</v>
      </c>
      <c r="P6489">
        <v>802</v>
      </c>
      <c r="Q6489" t="s">
        <v>252</v>
      </c>
      <c r="R6489" t="s">
        <v>201</v>
      </c>
      <c r="S6489">
        <v>1</v>
      </c>
      <c r="T6489">
        <v>1</v>
      </c>
      <c r="U6489">
        <v>83052</v>
      </c>
      <c r="V6489">
        <v>83052</v>
      </c>
    </row>
    <row r="6490" spans="1:22">
      <c r="A6490" t="s">
        <v>196</v>
      </c>
      <c r="B6490">
        <v>85</v>
      </c>
      <c r="C6490" t="s">
        <v>2177</v>
      </c>
      <c r="D6490">
        <v>740</v>
      </c>
      <c r="E6490" t="s">
        <v>2208</v>
      </c>
      <c r="F6490">
        <v>1005</v>
      </c>
      <c r="G6490" t="s">
        <v>2177</v>
      </c>
      <c r="H6490">
        <v>2015</v>
      </c>
      <c r="I6490" t="s">
        <v>4</v>
      </c>
      <c r="J6490">
        <v>3015</v>
      </c>
      <c r="K6490" t="s">
        <v>4</v>
      </c>
      <c r="L6490">
        <v>4400</v>
      </c>
      <c r="M6490" t="s">
        <v>309</v>
      </c>
      <c r="N6490" t="s">
        <v>1314</v>
      </c>
      <c r="O6490">
        <v>0</v>
      </c>
      <c r="P6490" t="s">
        <v>1471</v>
      </c>
      <c r="Q6490" t="s">
        <v>605</v>
      </c>
      <c r="R6490" t="s">
        <v>201</v>
      </c>
      <c r="S6490">
        <v>1</v>
      </c>
      <c r="T6490">
        <v>1</v>
      </c>
      <c r="U6490">
        <v>160680</v>
      </c>
      <c r="V6490">
        <v>160680</v>
      </c>
    </row>
    <row r="6491" spans="1:22">
      <c r="A6491" t="s">
        <v>196</v>
      </c>
      <c r="B6491">
        <v>85</v>
      </c>
      <c r="C6491" t="s">
        <v>2177</v>
      </c>
      <c r="D6491">
        <v>740</v>
      </c>
      <c r="E6491" t="s">
        <v>2208</v>
      </c>
      <c r="F6491">
        <v>1005</v>
      </c>
      <c r="G6491" t="s">
        <v>2177</v>
      </c>
      <c r="H6491">
        <v>2015</v>
      </c>
      <c r="I6491" t="s">
        <v>4</v>
      </c>
      <c r="J6491">
        <v>3015</v>
      </c>
      <c r="K6491" t="s">
        <v>4</v>
      </c>
      <c r="L6491">
        <v>4400</v>
      </c>
      <c r="M6491" t="s">
        <v>309</v>
      </c>
      <c r="N6491" t="s">
        <v>1314</v>
      </c>
      <c r="O6491">
        <v>0</v>
      </c>
      <c r="P6491" t="s">
        <v>1471</v>
      </c>
      <c r="Q6491" t="s">
        <v>605</v>
      </c>
      <c r="R6491" t="s">
        <v>201</v>
      </c>
      <c r="S6491">
        <v>1</v>
      </c>
      <c r="T6491">
        <v>1</v>
      </c>
      <c r="U6491">
        <v>150768</v>
      </c>
      <c r="V6491">
        <v>150768</v>
      </c>
    </row>
    <row r="6492" spans="1:22">
      <c r="A6492" t="s">
        <v>196</v>
      </c>
      <c r="B6492">
        <v>85</v>
      </c>
      <c r="C6492" t="s">
        <v>2177</v>
      </c>
      <c r="D6492">
        <v>740</v>
      </c>
      <c r="E6492" t="s">
        <v>2208</v>
      </c>
      <c r="F6492">
        <v>1005</v>
      </c>
      <c r="G6492" t="s">
        <v>2177</v>
      </c>
      <c r="H6492">
        <v>2015</v>
      </c>
      <c r="I6492" t="s">
        <v>4</v>
      </c>
      <c r="J6492">
        <v>3015</v>
      </c>
      <c r="K6492" t="s">
        <v>4</v>
      </c>
      <c r="L6492">
        <v>4400</v>
      </c>
      <c r="M6492" t="s">
        <v>309</v>
      </c>
      <c r="N6492" t="s">
        <v>1314</v>
      </c>
      <c r="O6492">
        <v>0</v>
      </c>
      <c r="P6492" t="s">
        <v>1471</v>
      </c>
      <c r="Q6492" t="s">
        <v>605</v>
      </c>
      <c r="R6492" t="s">
        <v>201</v>
      </c>
      <c r="S6492">
        <v>2</v>
      </c>
      <c r="T6492">
        <v>1</v>
      </c>
      <c r="U6492">
        <v>133836</v>
      </c>
      <c r="V6492">
        <v>267672</v>
      </c>
    </row>
    <row r="6493" spans="1:22">
      <c r="A6493" t="s">
        <v>196</v>
      </c>
      <c r="B6493">
        <v>85</v>
      </c>
      <c r="C6493" t="s">
        <v>2177</v>
      </c>
      <c r="D6493">
        <v>740</v>
      </c>
      <c r="E6493" t="s">
        <v>2208</v>
      </c>
      <c r="F6493">
        <v>1005</v>
      </c>
      <c r="G6493" t="s">
        <v>2177</v>
      </c>
      <c r="H6493">
        <v>2015</v>
      </c>
      <c r="I6493" t="s">
        <v>4</v>
      </c>
      <c r="J6493">
        <v>3015</v>
      </c>
      <c r="K6493" t="s">
        <v>4</v>
      </c>
      <c r="L6493">
        <v>4400</v>
      </c>
      <c r="M6493" t="s">
        <v>309</v>
      </c>
      <c r="N6493" t="s">
        <v>247</v>
      </c>
      <c r="O6493">
        <v>20</v>
      </c>
      <c r="P6493">
        <v>366</v>
      </c>
      <c r="Q6493" t="s">
        <v>604</v>
      </c>
      <c r="R6493" t="s">
        <v>201</v>
      </c>
      <c r="S6493">
        <v>1</v>
      </c>
      <c r="T6493">
        <v>1</v>
      </c>
      <c r="U6493">
        <v>66516</v>
      </c>
      <c r="V6493">
        <v>66516</v>
      </c>
    </row>
    <row r="6494" spans="1:22">
      <c r="A6494" t="s">
        <v>196</v>
      </c>
      <c r="B6494">
        <v>85</v>
      </c>
      <c r="C6494" t="s">
        <v>2177</v>
      </c>
      <c r="D6494">
        <v>740</v>
      </c>
      <c r="E6494" t="s">
        <v>2208</v>
      </c>
      <c r="F6494">
        <v>1005</v>
      </c>
      <c r="G6494" t="s">
        <v>2177</v>
      </c>
      <c r="H6494">
        <v>2015</v>
      </c>
      <c r="I6494" t="s">
        <v>4</v>
      </c>
      <c r="J6494">
        <v>3015</v>
      </c>
      <c r="K6494" t="s">
        <v>4</v>
      </c>
      <c r="L6494">
        <v>4400</v>
      </c>
      <c r="M6494" t="s">
        <v>309</v>
      </c>
      <c r="N6494" t="s">
        <v>199</v>
      </c>
      <c r="O6494">
        <v>0</v>
      </c>
      <c r="P6494">
        <v>15</v>
      </c>
      <c r="Q6494" t="s">
        <v>264</v>
      </c>
      <c r="R6494" t="s">
        <v>201</v>
      </c>
      <c r="S6494">
        <v>0</v>
      </c>
      <c r="T6494">
        <v>0</v>
      </c>
      <c r="U6494">
        <v>64204</v>
      </c>
      <c r="V6494">
        <v>64204</v>
      </c>
    </row>
    <row r="6495" spans="1:22">
      <c r="A6495" t="s">
        <v>196</v>
      </c>
      <c r="B6495">
        <v>85</v>
      </c>
      <c r="C6495" t="s">
        <v>2177</v>
      </c>
      <c r="D6495">
        <v>740</v>
      </c>
      <c r="E6495" t="s">
        <v>2208</v>
      </c>
      <c r="F6495">
        <v>1005</v>
      </c>
      <c r="G6495" t="s">
        <v>2177</v>
      </c>
      <c r="H6495">
        <v>2015</v>
      </c>
      <c r="I6495" t="s">
        <v>4</v>
      </c>
      <c r="J6495">
        <v>3015</v>
      </c>
      <c r="K6495" t="s">
        <v>4</v>
      </c>
      <c r="L6495">
        <v>4402</v>
      </c>
      <c r="M6495" t="s">
        <v>928</v>
      </c>
      <c r="N6495" t="s">
        <v>1294</v>
      </c>
      <c r="O6495">
        <v>0</v>
      </c>
      <c r="P6495">
        <v>9681</v>
      </c>
      <c r="Q6495" t="s">
        <v>338</v>
      </c>
      <c r="R6495" t="s">
        <v>201</v>
      </c>
      <c r="S6495">
        <v>1</v>
      </c>
      <c r="T6495">
        <v>1</v>
      </c>
      <c r="U6495">
        <v>184584</v>
      </c>
      <c r="V6495">
        <v>184584</v>
      </c>
    </row>
    <row r="6496" spans="1:22">
      <c r="A6496" t="s">
        <v>196</v>
      </c>
      <c r="B6496">
        <v>85</v>
      </c>
      <c r="C6496" t="s">
        <v>2177</v>
      </c>
      <c r="D6496">
        <v>740</v>
      </c>
      <c r="E6496" t="s">
        <v>2208</v>
      </c>
      <c r="F6496">
        <v>1005</v>
      </c>
      <c r="G6496" t="s">
        <v>2177</v>
      </c>
      <c r="H6496">
        <v>2015</v>
      </c>
      <c r="I6496" t="s">
        <v>4</v>
      </c>
      <c r="J6496">
        <v>3015</v>
      </c>
      <c r="K6496" t="s">
        <v>4</v>
      </c>
      <c r="L6496">
        <v>4402</v>
      </c>
      <c r="M6496" t="s">
        <v>928</v>
      </c>
      <c r="N6496" t="s">
        <v>287</v>
      </c>
      <c r="O6496">
        <v>10</v>
      </c>
      <c r="P6496">
        <v>1386</v>
      </c>
      <c r="Q6496" t="s">
        <v>888</v>
      </c>
      <c r="R6496" t="s">
        <v>201</v>
      </c>
      <c r="S6496">
        <v>1</v>
      </c>
      <c r="T6496">
        <v>1</v>
      </c>
      <c r="U6496">
        <v>79728</v>
      </c>
      <c r="V6496">
        <v>79728</v>
      </c>
    </row>
    <row r="6497" spans="1:22">
      <c r="A6497" t="s">
        <v>196</v>
      </c>
      <c r="B6497">
        <v>85</v>
      </c>
      <c r="C6497" t="s">
        <v>2177</v>
      </c>
      <c r="D6497">
        <v>740</v>
      </c>
      <c r="E6497" t="s">
        <v>2208</v>
      </c>
      <c r="F6497">
        <v>1005</v>
      </c>
      <c r="G6497" t="s">
        <v>2177</v>
      </c>
      <c r="H6497">
        <v>2015</v>
      </c>
      <c r="I6497" t="s">
        <v>4</v>
      </c>
      <c r="J6497">
        <v>3015</v>
      </c>
      <c r="K6497" t="s">
        <v>4</v>
      </c>
      <c r="L6497">
        <v>4402</v>
      </c>
      <c r="M6497" t="s">
        <v>928</v>
      </c>
      <c r="N6497" t="s">
        <v>287</v>
      </c>
      <c r="O6497">
        <v>10</v>
      </c>
      <c r="P6497">
        <v>1386</v>
      </c>
      <c r="Q6497" t="s">
        <v>888</v>
      </c>
      <c r="R6497" t="s">
        <v>201</v>
      </c>
      <c r="S6497">
        <v>1</v>
      </c>
      <c r="T6497">
        <v>1</v>
      </c>
      <c r="U6497">
        <v>76020</v>
      </c>
      <c r="V6497">
        <v>76020</v>
      </c>
    </row>
    <row r="6498" spans="1:22">
      <c r="A6498" t="s">
        <v>196</v>
      </c>
      <c r="B6498">
        <v>85</v>
      </c>
      <c r="C6498" t="s">
        <v>2177</v>
      </c>
      <c r="D6498">
        <v>740</v>
      </c>
      <c r="E6498" t="s">
        <v>2208</v>
      </c>
      <c r="F6498">
        <v>1005</v>
      </c>
      <c r="G6498" t="s">
        <v>2177</v>
      </c>
      <c r="H6498">
        <v>2015</v>
      </c>
      <c r="I6498" t="s">
        <v>4</v>
      </c>
      <c r="J6498">
        <v>3015</v>
      </c>
      <c r="K6498" t="s">
        <v>4</v>
      </c>
      <c r="L6498">
        <v>4402</v>
      </c>
      <c r="M6498" t="s">
        <v>928</v>
      </c>
      <c r="N6498" t="s">
        <v>281</v>
      </c>
      <c r="O6498">
        <v>20</v>
      </c>
      <c r="P6498">
        <v>1368</v>
      </c>
      <c r="Q6498" t="s">
        <v>853</v>
      </c>
      <c r="R6498" t="s">
        <v>201</v>
      </c>
      <c r="S6498">
        <v>2</v>
      </c>
      <c r="T6498">
        <v>1</v>
      </c>
      <c r="U6498">
        <v>93156</v>
      </c>
      <c r="V6498">
        <v>186312</v>
      </c>
    </row>
    <row r="6499" spans="1:22">
      <c r="A6499" t="s">
        <v>196</v>
      </c>
      <c r="B6499">
        <v>85</v>
      </c>
      <c r="C6499" t="s">
        <v>2177</v>
      </c>
      <c r="D6499">
        <v>740</v>
      </c>
      <c r="E6499" t="s">
        <v>2208</v>
      </c>
      <c r="F6499">
        <v>1005</v>
      </c>
      <c r="G6499" t="s">
        <v>2177</v>
      </c>
      <c r="H6499">
        <v>2015</v>
      </c>
      <c r="I6499" t="s">
        <v>4</v>
      </c>
      <c r="J6499">
        <v>3015</v>
      </c>
      <c r="K6499" t="s">
        <v>4</v>
      </c>
      <c r="L6499">
        <v>4402</v>
      </c>
      <c r="M6499" t="s">
        <v>928</v>
      </c>
      <c r="N6499" t="s">
        <v>1314</v>
      </c>
      <c r="O6499">
        <v>0</v>
      </c>
      <c r="P6499">
        <v>1336</v>
      </c>
      <c r="Q6499" t="s">
        <v>896</v>
      </c>
      <c r="R6499" t="s">
        <v>201</v>
      </c>
      <c r="S6499">
        <v>1</v>
      </c>
      <c r="T6499">
        <v>1</v>
      </c>
      <c r="U6499">
        <v>150768</v>
      </c>
      <c r="V6499">
        <v>150768</v>
      </c>
    </row>
    <row r="6500" spans="1:22">
      <c r="A6500" t="s">
        <v>196</v>
      </c>
      <c r="B6500">
        <v>85</v>
      </c>
      <c r="C6500" t="s">
        <v>2177</v>
      </c>
      <c r="D6500">
        <v>740</v>
      </c>
      <c r="E6500" t="s">
        <v>2208</v>
      </c>
      <c r="F6500">
        <v>1005</v>
      </c>
      <c r="G6500" t="s">
        <v>2177</v>
      </c>
      <c r="H6500">
        <v>2015</v>
      </c>
      <c r="I6500" t="s">
        <v>4</v>
      </c>
      <c r="J6500">
        <v>3015</v>
      </c>
      <c r="K6500" t="s">
        <v>4</v>
      </c>
      <c r="L6500">
        <v>4402</v>
      </c>
      <c r="M6500" t="s">
        <v>928</v>
      </c>
      <c r="N6500" t="s">
        <v>253</v>
      </c>
      <c r="O6500">
        <v>20</v>
      </c>
      <c r="P6500">
        <v>1331</v>
      </c>
      <c r="Q6500" t="s">
        <v>653</v>
      </c>
      <c r="R6500" t="s">
        <v>201</v>
      </c>
      <c r="S6500">
        <v>1</v>
      </c>
      <c r="T6500">
        <v>1</v>
      </c>
      <c r="U6500">
        <v>93384</v>
      </c>
      <c r="V6500">
        <v>93384</v>
      </c>
    </row>
    <row r="6501" spans="1:22">
      <c r="A6501" t="s">
        <v>196</v>
      </c>
      <c r="B6501">
        <v>85</v>
      </c>
      <c r="C6501" t="s">
        <v>2177</v>
      </c>
      <c r="D6501">
        <v>740</v>
      </c>
      <c r="E6501" t="s">
        <v>2208</v>
      </c>
      <c r="F6501">
        <v>1005</v>
      </c>
      <c r="G6501" t="s">
        <v>2177</v>
      </c>
      <c r="H6501">
        <v>2015</v>
      </c>
      <c r="I6501" t="s">
        <v>4</v>
      </c>
      <c r="J6501">
        <v>3015</v>
      </c>
      <c r="K6501" t="s">
        <v>4</v>
      </c>
      <c r="L6501">
        <v>4402</v>
      </c>
      <c r="M6501" t="s">
        <v>928</v>
      </c>
      <c r="N6501" t="s">
        <v>253</v>
      </c>
      <c r="O6501">
        <v>20</v>
      </c>
      <c r="P6501">
        <v>1327</v>
      </c>
      <c r="Q6501" t="s">
        <v>1208</v>
      </c>
      <c r="R6501" t="s">
        <v>201</v>
      </c>
      <c r="S6501">
        <v>1</v>
      </c>
      <c r="T6501">
        <v>1</v>
      </c>
      <c r="U6501">
        <v>118956</v>
      </c>
      <c r="V6501">
        <v>118956</v>
      </c>
    </row>
    <row r="6502" spans="1:22">
      <c r="A6502" t="s">
        <v>196</v>
      </c>
      <c r="B6502">
        <v>85</v>
      </c>
      <c r="C6502" t="s">
        <v>2177</v>
      </c>
      <c r="D6502">
        <v>740</v>
      </c>
      <c r="E6502" t="s">
        <v>2208</v>
      </c>
      <c r="F6502">
        <v>1005</v>
      </c>
      <c r="G6502" t="s">
        <v>2177</v>
      </c>
      <c r="H6502">
        <v>2015</v>
      </c>
      <c r="I6502" t="s">
        <v>4</v>
      </c>
      <c r="J6502">
        <v>3015</v>
      </c>
      <c r="K6502" t="s">
        <v>4</v>
      </c>
      <c r="L6502">
        <v>4402</v>
      </c>
      <c r="M6502" t="s">
        <v>928</v>
      </c>
      <c r="N6502" t="s">
        <v>253</v>
      </c>
      <c r="O6502">
        <v>20</v>
      </c>
      <c r="P6502">
        <v>1327</v>
      </c>
      <c r="Q6502" t="s">
        <v>1208</v>
      </c>
      <c r="R6502" t="s">
        <v>201</v>
      </c>
      <c r="S6502">
        <v>1</v>
      </c>
      <c r="T6502">
        <v>1</v>
      </c>
      <c r="U6502">
        <v>83052</v>
      </c>
      <c r="V6502">
        <v>83052</v>
      </c>
    </row>
    <row r="6503" spans="1:22">
      <c r="A6503" t="s">
        <v>196</v>
      </c>
      <c r="B6503">
        <v>85</v>
      </c>
      <c r="C6503" t="s">
        <v>2177</v>
      </c>
      <c r="D6503">
        <v>740</v>
      </c>
      <c r="E6503" t="s">
        <v>2208</v>
      </c>
      <c r="F6503">
        <v>1005</v>
      </c>
      <c r="G6503" t="s">
        <v>2177</v>
      </c>
      <c r="H6503">
        <v>2015</v>
      </c>
      <c r="I6503" t="s">
        <v>4</v>
      </c>
      <c r="J6503">
        <v>3015</v>
      </c>
      <c r="K6503" t="s">
        <v>4</v>
      </c>
      <c r="L6503">
        <v>4402</v>
      </c>
      <c r="M6503" t="s">
        <v>928</v>
      </c>
      <c r="N6503" t="s">
        <v>251</v>
      </c>
      <c r="O6503">
        <v>10</v>
      </c>
      <c r="P6503">
        <v>1315</v>
      </c>
      <c r="Q6503" t="s">
        <v>765</v>
      </c>
      <c r="R6503" t="s">
        <v>201</v>
      </c>
      <c r="S6503">
        <v>1</v>
      </c>
      <c r="T6503">
        <v>1</v>
      </c>
      <c r="U6503">
        <v>80124</v>
      </c>
      <c r="V6503">
        <v>80124</v>
      </c>
    </row>
    <row r="6504" spans="1:22">
      <c r="A6504" t="s">
        <v>196</v>
      </c>
      <c r="B6504">
        <v>85</v>
      </c>
      <c r="C6504" t="s">
        <v>2177</v>
      </c>
      <c r="D6504">
        <v>740</v>
      </c>
      <c r="E6504" t="s">
        <v>2208</v>
      </c>
      <c r="F6504">
        <v>1005</v>
      </c>
      <c r="G6504" t="s">
        <v>2177</v>
      </c>
      <c r="H6504">
        <v>2015</v>
      </c>
      <c r="I6504" t="s">
        <v>4</v>
      </c>
      <c r="J6504">
        <v>3015</v>
      </c>
      <c r="K6504" t="s">
        <v>4</v>
      </c>
      <c r="L6504">
        <v>4402</v>
      </c>
      <c r="M6504" t="s">
        <v>928</v>
      </c>
      <c r="N6504" t="s">
        <v>255</v>
      </c>
      <c r="O6504">
        <v>1</v>
      </c>
      <c r="P6504">
        <v>1302</v>
      </c>
      <c r="Q6504" t="s">
        <v>340</v>
      </c>
      <c r="R6504" t="s">
        <v>201</v>
      </c>
      <c r="S6504">
        <v>1</v>
      </c>
      <c r="T6504">
        <v>1</v>
      </c>
      <c r="U6504">
        <v>143400</v>
      </c>
      <c r="V6504">
        <v>143400</v>
      </c>
    </row>
    <row r="6505" spans="1:22">
      <c r="A6505" t="s">
        <v>196</v>
      </c>
      <c r="B6505">
        <v>85</v>
      </c>
      <c r="C6505" t="s">
        <v>2177</v>
      </c>
      <c r="D6505">
        <v>740</v>
      </c>
      <c r="E6505" t="s">
        <v>2208</v>
      </c>
      <c r="F6505">
        <v>1005</v>
      </c>
      <c r="G6505" t="s">
        <v>2177</v>
      </c>
      <c r="H6505">
        <v>2015</v>
      </c>
      <c r="I6505" t="s">
        <v>4</v>
      </c>
      <c r="J6505">
        <v>3015</v>
      </c>
      <c r="K6505" t="s">
        <v>4</v>
      </c>
      <c r="L6505">
        <v>4402</v>
      </c>
      <c r="M6505" t="s">
        <v>928</v>
      </c>
      <c r="N6505" t="s">
        <v>255</v>
      </c>
      <c r="O6505">
        <v>1</v>
      </c>
      <c r="P6505">
        <v>1302</v>
      </c>
      <c r="Q6505" t="s">
        <v>340</v>
      </c>
      <c r="R6505" t="s">
        <v>201</v>
      </c>
      <c r="S6505">
        <v>1</v>
      </c>
      <c r="T6505">
        <v>1</v>
      </c>
      <c r="U6505">
        <v>136908</v>
      </c>
      <c r="V6505">
        <v>136908</v>
      </c>
    </row>
    <row r="6506" spans="1:22">
      <c r="A6506" t="s">
        <v>196</v>
      </c>
      <c r="B6506">
        <v>85</v>
      </c>
      <c r="C6506" t="s">
        <v>2177</v>
      </c>
      <c r="D6506">
        <v>740</v>
      </c>
      <c r="E6506" t="s">
        <v>2208</v>
      </c>
      <c r="F6506">
        <v>1005</v>
      </c>
      <c r="G6506" t="s">
        <v>2177</v>
      </c>
      <c r="H6506">
        <v>2015</v>
      </c>
      <c r="I6506" t="s">
        <v>4</v>
      </c>
      <c r="J6506">
        <v>3015</v>
      </c>
      <c r="K6506" t="s">
        <v>4</v>
      </c>
      <c r="L6506">
        <v>4402</v>
      </c>
      <c r="M6506" t="s">
        <v>928</v>
      </c>
      <c r="N6506" t="s">
        <v>255</v>
      </c>
      <c r="O6506">
        <v>1</v>
      </c>
      <c r="P6506">
        <v>1302</v>
      </c>
      <c r="Q6506" t="s">
        <v>340</v>
      </c>
      <c r="R6506" t="s">
        <v>201</v>
      </c>
      <c r="S6506">
        <v>1</v>
      </c>
      <c r="T6506">
        <v>1</v>
      </c>
      <c r="U6506">
        <v>130668</v>
      </c>
      <c r="V6506">
        <v>130668</v>
      </c>
    </row>
    <row r="6507" spans="1:22">
      <c r="A6507" t="s">
        <v>196</v>
      </c>
      <c r="B6507">
        <v>85</v>
      </c>
      <c r="C6507" t="s">
        <v>2177</v>
      </c>
      <c r="D6507">
        <v>740</v>
      </c>
      <c r="E6507" t="s">
        <v>2208</v>
      </c>
      <c r="F6507">
        <v>1005</v>
      </c>
      <c r="G6507" t="s">
        <v>2177</v>
      </c>
      <c r="H6507">
        <v>2015</v>
      </c>
      <c r="I6507" t="s">
        <v>4</v>
      </c>
      <c r="J6507">
        <v>3015</v>
      </c>
      <c r="K6507" t="s">
        <v>4</v>
      </c>
      <c r="L6507">
        <v>4402</v>
      </c>
      <c r="M6507" t="s">
        <v>928</v>
      </c>
      <c r="N6507" t="s">
        <v>255</v>
      </c>
      <c r="O6507">
        <v>1</v>
      </c>
      <c r="P6507">
        <v>1302</v>
      </c>
      <c r="Q6507" t="s">
        <v>340</v>
      </c>
      <c r="R6507" t="s">
        <v>201</v>
      </c>
      <c r="S6507">
        <v>1</v>
      </c>
      <c r="T6507">
        <v>1</v>
      </c>
      <c r="U6507">
        <v>119100</v>
      </c>
      <c r="V6507">
        <v>119100</v>
      </c>
    </row>
    <row r="6508" spans="1:22">
      <c r="A6508" t="s">
        <v>196</v>
      </c>
      <c r="B6508">
        <v>85</v>
      </c>
      <c r="C6508" t="s">
        <v>2177</v>
      </c>
      <c r="D6508">
        <v>740</v>
      </c>
      <c r="E6508" t="s">
        <v>2208</v>
      </c>
      <c r="F6508">
        <v>1005</v>
      </c>
      <c r="G6508" t="s">
        <v>2177</v>
      </c>
      <c r="H6508">
        <v>2015</v>
      </c>
      <c r="I6508" t="s">
        <v>4</v>
      </c>
      <c r="J6508">
        <v>3015</v>
      </c>
      <c r="K6508" t="s">
        <v>4</v>
      </c>
      <c r="L6508">
        <v>4402</v>
      </c>
      <c r="M6508" t="s">
        <v>928</v>
      </c>
      <c r="N6508" t="s">
        <v>255</v>
      </c>
      <c r="O6508">
        <v>1</v>
      </c>
      <c r="P6508">
        <v>1302</v>
      </c>
      <c r="Q6508" t="s">
        <v>340</v>
      </c>
      <c r="R6508" t="s">
        <v>201</v>
      </c>
      <c r="S6508">
        <v>1</v>
      </c>
      <c r="T6508">
        <v>1</v>
      </c>
      <c r="U6508">
        <v>108576</v>
      </c>
      <c r="V6508">
        <v>108576</v>
      </c>
    </row>
    <row r="6509" spans="1:22">
      <c r="A6509" t="s">
        <v>196</v>
      </c>
      <c r="B6509">
        <v>85</v>
      </c>
      <c r="C6509" t="s">
        <v>2177</v>
      </c>
      <c r="D6509">
        <v>740</v>
      </c>
      <c r="E6509" t="s">
        <v>2208</v>
      </c>
      <c r="F6509">
        <v>1005</v>
      </c>
      <c r="G6509" t="s">
        <v>2177</v>
      </c>
      <c r="H6509">
        <v>2015</v>
      </c>
      <c r="I6509" t="s">
        <v>4</v>
      </c>
      <c r="J6509">
        <v>3015</v>
      </c>
      <c r="K6509" t="s">
        <v>4</v>
      </c>
      <c r="L6509">
        <v>4402</v>
      </c>
      <c r="M6509" t="s">
        <v>928</v>
      </c>
      <c r="N6509" t="s">
        <v>341</v>
      </c>
      <c r="O6509">
        <v>1</v>
      </c>
      <c r="P6509">
        <v>1301</v>
      </c>
      <c r="Q6509" t="s">
        <v>618</v>
      </c>
      <c r="R6509" t="s">
        <v>201</v>
      </c>
      <c r="S6509">
        <v>1</v>
      </c>
      <c r="T6509">
        <v>1</v>
      </c>
      <c r="U6509">
        <v>77640</v>
      </c>
      <c r="V6509">
        <v>77640</v>
      </c>
    </row>
    <row r="6510" spans="1:22">
      <c r="A6510" t="s">
        <v>196</v>
      </c>
      <c r="B6510">
        <v>85</v>
      </c>
      <c r="C6510" t="s">
        <v>2177</v>
      </c>
      <c r="D6510">
        <v>740</v>
      </c>
      <c r="E6510" t="s">
        <v>2208</v>
      </c>
      <c r="F6510">
        <v>1005</v>
      </c>
      <c r="G6510" t="s">
        <v>2177</v>
      </c>
      <c r="H6510">
        <v>2015</v>
      </c>
      <c r="I6510" t="s">
        <v>4</v>
      </c>
      <c r="J6510">
        <v>3015</v>
      </c>
      <c r="K6510" t="s">
        <v>4</v>
      </c>
      <c r="L6510">
        <v>4402</v>
      </c>
      <c r="M6510" t="s">
        <v>928</v>
      </c>
      <c r="N6510" t="s">
        <v>341</v>
      </c>
      <c r="O6510">
        <v>1</v>
      </c>
      <c r="P6510">
        <v>1301</v>
      </c>
      <c r="Q6510" t="s">
        <v>618</v>
      </c>
      <c r="R6510" t="s">
        <v>201</v>
      </c>
      <c r="S6510">
        <v>1</v>
      </c>
      <c r="T6510">
        <v>1</v>
      </c>
      <c r="U6510">
        <v>70752</v>
      </c>
      <c r="V6510">
        <v>70752</v>
      </c>
    </row>
    <row r="6511" spans="1:22">
      <c r="A6511" t="s">
        <v>196</v>
      </c>
      <c r="B6511">
        <v>85</v>
      </c>
      <c r="C6511" t="s">
        <v>2177</v>
      </c>
      <c r="D6511">
        <v>740</v>
      </c>
      <c r="E6511" t="s">
        <v>2208</v>
      </c>
      <c r="F6511">
        <v>1005</v>
      </c>
      <c r="G6511" t="s">
        <v>2177</v>
      </c>
      <c r="H6511">
        <v>2015</v>
      </c>
      <c r="I6511" t="s">
        <v>4</v>
      </c>
      <c r="J6511">
        <v>3015</v>
      </c>
      <c r="K6511" t="s">
        <v>4</v>
      </c>
      <c r="L6511">
        <v>4402</v>
      </c>
      <c r="M6511" t="s">
        <v>928</v>
      </c>
      <c r="N6511" t="s">
        <v>341</v>
      </c>
      <c r="O6511">
        <v>1</v>
      </c>
      <c r="P6511">
        <v>1301</v>
      </c>
      <c r="Q6511" t="s">
        <v>618</v>
      </c>
      <c r="R6511" t="s">
        <v>201</v>
      </c>
      <c r="S6511">
        <v>1</v>
      </c>
      <c r="T6511">
        <v>1</v>
      </c>
      <c r="U6511">
        <v>68616</v>
      </c>
      <c r="V6511">
        <v>68616</v>
      </c>
    </row>
    <row r="6512" spans="1:22">
      <c r="A6512" t="s">
        <v>196</v>
      </c>
      <c r="B6512">
        <v>85</v>
      </c>
      <c r="C6512" t="s">
        <v>2177</v>
      </c>
      <c r="D6512">
        <v>740</v>
      </c>
      <c r="E6512" t="s">
        <v>2208</v>
      </c>
      <c r="F6512">
        <v>1005</v>
      </c>
      <c r="G6512" t="s">
        <v>2177</v>
      </c>
      <c r="H6512">
        <v>2015</v>
      </c>
      <c r="I6512" t="s">
        <v>4</v>
      </c>
      <c r="J6512">
        <v>3015</v>
      </c>
      <c r="K6512" t="s">
        <v>4</v>
      </c>
      <c r="L6512">
        <v>4402</v>
      </c>
      <c r="M6512" t="s">
        <v>928</v>
      </c>
      <c r="N6512" t="s">
        <v>809</v>
      </c>
      <c r="O6512">
        <v>1</v>
      </c>
      <c r="P6512">
        <v>460</v>
      </c>
      <c r="Q6512" t="s">
        <v>810</v>
      </c>
      <c r="R6512" t="s">
        <v>201</v>
      </c>
      <c r="S6512">
        <v>1</v>
      </c>
      <c r="T6512">
        <v>1</v>
      </c>
      <c r="U6512">
        <v>48864</v>
      </c>
      <c r="V6512">
        <v>48864</v>
      </c>
    </row>
    <row r="6513" spans="1:22">
      <c r="A6513" t="s">
        <v>196</v>
      </c>
      <c r="B6513">
        <v>85</v>
      </c>
      <c r="C6513" t="s">
        <v>2177</v>
      </c>
      <c r="D6513">
        <v>740</v>
      </c>
      <c r="E6513" t="s">
        <v>2208</v>
      </c>
      <c r="F6513">
        <v>1005</v>
      </c>
      <c r="G6513" t="s">
        <v>2177</v>
      </c>
      <c r="H6513">
        <v>2015</v>
      </c>
      <c r="I6513" t="s">
        <v>4</v>
      </c>
      <c r="J6513">
        <v>3015</v>
      </c>
      <c r="K6513" t="s">
        <v>4</v>
      </c>
      <c r="L6513">
        <v>4402</v>
      </c>
      <c r="M6513" t="s">
        <v>928</v>
      </c>
      <c r="N6513" t="s">
        <v>809</v>
      </c>
      <c r="O6513">
        <v>1</v>
      </c>
      <c r="P6513">
        <v>460</v>
      </c>
      <c r="Q6513" t="s">
        <v>810</v>
      </c>
      <c r="R6513" t="s">
        <v>201</v>
      </c>
      <c r="S6513">
        <v>1</v>
      </c>
      <c r="T6513">
        <v>1</v>
      </c>
      <c r="U6513">
        <v>47364</v>
      </c>
      <c r="V6513">
        <v>47364</v>
      </c>
    </row>
    <row r="6514" spans="1:22">
      <c r="A6514" t="s">
        <v>196</v>
      </c>
      <c r="B6514">
        <v>85</v>
      </c>
      <c r="C6514" t="s">
        <v>2177</v>
      </c>
      <c r="D6514">
        <v>740</v>
      </c>
      <c r="E6514" t="s">
        <v>2208</v>
      </c>
      <c r="F6514">
        <v>1005</v>
      </c>
      <c r="G6514" t="s">
        <v>2177</v>
      </c>
      <c r="H6514">
        <v>2015</v>
      </c>
      <c r="I6514" t="s">
        <v>4</v>
      </c>
      <c r="J6514">
        <v>3015</v>
      </c>
      <c r="K6514" t="s">
        <v>4</v>
      </c>
      <c r="L6514">
        <v>4402</v>
      </c>
      <c r="M6514" t="s">
        <v>928</v>
      </c>
      <c r="N6514" t="s">
        <v>249</v>
      </c>
      <c r="O6514">
        <v>10</v>
      </c>
      <c r="P6514">
        <v>311</v>
      </c>
      <c r="Q6514" t="s">
        <v>661</v>
      </c>
      <c r="R6514" t="s">
        <v>201</v>
      </c>
      <c r="S6514">
        <v>1</v>
      </c>
      <c r="T6514">
        <v>1</v>
      </c>
      <c r="U6514">
        <v>107340</v>
      </c>
      <c r="V6514">
        <v>107340</v>
      </c>
    </row>
    <row r="6515" spans="1:22">
      <c r="A6515" t="s">
        <v>196</v>
      </c>
      <c r="B6515">
        <v>85</v>
      </c>
      <c r="C6515" t="s">
        <v>2177</v>
      </c>
      <c r="D6515">
        <v>740</v>
      </c>
      <c r="E6515" t="s">
        <v>2208</v>
      </c>
      <c r="F6515">
        <v>1005</v>
      </c>
      <c r="G6515" t="s">
        <v>2177</v>
      </c>
      <c r="H6515">
        <v>2015</v>
      </c>
      <c r="I6515" t="s">
        <v>4</v>
      </c>
      <c r="J6515">
        <v>3015</v>
      </c>
      <c r="K6515" t="s">
        <v>4</v>
      </c>
      <c r="L6515">
        <v>4402</v>
      </c>
      <c r="M6515" t="s">
        <v>928</v>
      </c>
      <c r="N6515" t="s">
        <v>341</v>
      </c>
      <c r="O6515">
        <v>1</v>
      </c>
      <c r="P6515">
        <v>308</v>
      </c>
      <c r="Q6515" t="s">
        <v>355</v>
      </c>
      <c r="R6515" t="s">
        <v>201</v>
      </c>
      <c r="S6515">
        <v>1</v>
      </c>
      <c r="T6515">
        <v>1</v>
      </c>
      <c r="U6515">
        <v>74172</v>
      </c>
      <c r="V6515">
        <v>74172</v>
      </c>
    </row>
    <row r="6516" spans="1:22">
      <c r="A6516" t="s">
        <v>196</v>
      </c>
      <c r="B6516">
        <v>85</v>
      </c>
      <c r="C6516" t="s">
        <v>2177</v>
      </c>
      <c r="D6516">
        <v>740</v>
      </c>
      <c r="E6516" t="s">
        <v>2208</v>
      </c>
      <c r="F6516">
        <v>1005</v>
      </c>
      <c r="G6516" t="s">
        <v>2177</v>
      </c>
      <c r="H6516">
        <v>2015</v>
      </c>
      <c r="I6516" t="s">
        <v>4</v>
      </c>
      <c r="J6516">
        <v>3015</v>
      </c>
      <c r="K6516" t="s">
        <v>4</v>
      </c>
      <c r="L6516">
        <v>4402</v>
      </c>
      <c r="M6516" t="s">
        <v>928</v>
      </c>
      <c r="N6516" t="s">
        <v>199</v>
      </c>
      <c r="O6516">
        <v>0</v>
      </c>
      <c r="P6516">
        <v>15</v>
      </c>
      <c r="Q6516" t="s">
        <v>264</v>
      </c>
      <c r="R6516" t="s">
        <v>201</v>
      </c>
      <c r="S6516">
        <v>0</v>
      </c>
      <c r="T6516">
        <v>0</v>
      </c>
      <c r="U6516">
        <v>43593</v>
      </c>
      <c r="V6516">
        <v>43593</v>
      </c>
    </row>
    <row r="6517" spans="1:22">
      <c r="A6517" t="s">
        <v>196</v>
      </c>
      <c r="B6517">
        <v>85</v>
      </c>
      <c r="C6517" t="s">
        <v>2177</v>
      </c>
      <c r="D6517">
        <v>740</v>
      </c>
      <c r="E6517" t="s">
        <v>2208</v>
      </c>
      <c r="F6517">
        <v>1005</v>
      </c>
      <c r="G6517" t="s">
        <v>2177</v>
      </c>
      <c r="H6517">
        <v>2015</v>
      </c>
      <c r="I6517" t="s">
        <v>4</v>
      </c>
      <c r="J6517">
        <v>3015</v>
      </c>
      <c r="K6517" t="s">
        <v>4</v>
      </c>
      <c r="L6517">
        <v>4404</v>
      </c>
      <c r="M6517" t="s">
        <v>2219</v>
      </c>
      <c r="N6517" t="s">
        <v>809</v>
      </c>
      <c r="O6517">
        <v>1</v>
      </c>
      <c r="P6517">
        <v>460</v>
      </c>
      <c r="Q6517" t="s">
        <v>810</v>
      </c>
      <c r="R6517" t="s">
        <v>201</v>
      </c>
      <c r="S6517">
        <v>1</v>
      </c>
      <c r="T6517">
        <v>1</v>
      </c>
      <c r="U6517">
        <v>47364</v>
      </c>
      <c r="V6517">
        <v>47364</v>
      </c>
    </row>
    <row r="6518" spans="1:22">
      <c r="A6518" t="s">
        <v>196</v>
      </c>
      <c r="B6518">
        <v>85</v>
      </c>
      <c r="C6518" t="s">
        <v>2177</v>
      </c>
      <c r="D6518">
        <v>740</v>
      </c>
      <c r="E6518" t="s">
        <v>2208</v>
      </c>
      <c r="F6518">
        <v>1005</v>
      </c>
      <c r="G6518" t="s">
        <v>2177</v>
      </c>
      <c r="H6518">
        <v>2015</v>
      </c>
      <c r="I6518" t="s">
        <v>4</v>
      </c>
      <c r="J6518">
        <v>3015</v>
      </c>
      <c r="K6518" t="s">
        <v>4</v>
      </c>
      <c r="L6518">
        <v>4404</v>
      </c>
      <c r="M6518" t="s">
        <v>2219</v>
      </c>
      <c r="N6518" t="s">
        <v>360</v>
      </c>
      <c r="O6518">
        <v>1</v>
      </c>
      <c r="P6518">
        <v>450</v>
      </c>
      <c r="Q6518" t="s">
        <v>931</v>
      </c>
      <c r="R6518" t="s">
        <v>201</v>
      </c>
      <c r="S6518">
        <v>1</v>
      </c>
      <c r="T6518">
        <v>1</v>
      </c>
      <c r="U6518">
        <v>98928</v>
      </c>
      <c r="V6518">
        <v>98928</v>
      </c>
    </row>
    <row r="6519" spans="1:22">
      <c r="A6519" t="s">
        <v>196</v>
      </c>
      <c r="B6519">
        <v>85</v>
      </c>
      <c r="C6519" t="s">
        <v>2177</v>
      </c>
      <c r="D6519">
        <v>740</v>
      </c>
      <c r="E6519" t="s">
        <v>2208</v>
      </c>
      <c r="F6519">
        <v>1005</v>
      </c>
      <c r="G6519" t="s">
        <v>2177</v>
      </c>
      <c r="H6519">
        <v>2015</v>
      </c>
      <c r="I6519" t="s">
        <v>4</v>
      </c>
      <c r="J6519">
        <v>3015</v>
      </c>
      <c r="K6519" t="s">
        <v>4</v>
      </c>
      <c r="L6519">
        <v>4404</v>
      </c>
      <c r="M6519" t="s">
        <v>2219</v>
      </c>
      <c r="N6519" t="s">
        <v>360</v>
      </c>
      <c r="O6519">
        <v>1</v>
      </c>
      <c r="P6519">
        <v>450</v>
      </c>
      <c r="Q6519" t="s">
        <v>931</v>
      </c>
      <c r="R6519" t="s">
        <v>201</v>
      </c>
      <c r="S6519">
        <v>1</v>
      </c>
      <c r="T6519">
        <v>1</v>
      </c>
      <c r="U6519">
        <v>64488</v>
      </c>
      <c r="V6519">
        <v>64488</v>
      </c>
    </row>
    <row r="6520" spans="1:22">
      <c r="A6520" t="s">
        <v>196</v>
      </c>
      <c r="B6520">
        <v>85</v>
      </c>
      <c r="C6520" t="s">
        <v>2177</v>
      </c>
      <c r="D6520">
        <v>740</v>
      </c>
      <c r="E6520" t="s">
        <v>2208</v>
      </c>
      <c r="F6520">
        <v>1005</v>
      </c>
      <c r="G6520" t="s">
        <v>2177</v>
      </c>
      <c r="H6520">
        <v>2015</v>
      </c>
      <c r="I6520" t="s">
        <v>4</v>
      </c>
      <c r="J6520">
        <v>3015</v>
      </c>
      <c r="K6520" t="s">
        <v>4</v>
      </c>
      <c r="L6520">
        <v>4404</v>
      </c>
      <c r="M6520" t="s">
        <v>2219</v>
      </c>
      <c r="N6520" t="s">
        <v>360</v>
      </c>
      <c r="O6520">
        <v>1</v>
      </c>
      <c r="P6520">
        <v>450</v>
      </c>
      <c r="Q6520" t="s">
        <v>931</v>
      </c>
      <c r="R6520" t="s">
        <v>201</v>
      </c>
      <c r="S6520">
        <v>1</v>
      </c>
      <c r="T6520">
        <v>1</v>
      </c>
      <c r="U6520">
        <v>61548</v>
      </c>
      <c r="V6520">
        <v>61548</v>
      </c>
    </row>
    <row r="6521" spans="1:22">
      <c r="A6521" t="s">
        <v>196</v>
      </c>
      <c r="B6521">
        <v>85</v>
      </c>
      <c r="C6521" t="s">
        <v>2177</v>
      </c>
      <c r="D6521">
        <v>740</v>
      </c>
      <c r="E6521" t="s">
        <v>2208</v>
      </c>
      <c r="F6521">
        <v>1005</v>
      </c>
      <c r="G6521" t="s">
        <v>2177</v>
      </c>
      <c r="H6521">
        <v>2015</v>
      </c>
      <c r="I6521" t="s">
        <v>4</v>
      </c>
      <c r="J6521">
        <v>3015</v>
      </c>
      <c r="K6521" t="s">
        <v>4</v>
      </c>
      <c r="L6521">
        <v>4404</v>
      </c>
      <c r="M6521" t="s">
        <v>2219</v>
      </c>
      <c r="N6521" t="s">
        <v>360</v>
      </c>
      <c r="O6521">
        <v>1</v>
      </c>
      <c r="P6521">
        <v>450</v>
      </c>
      <c r="Q6521" t="s">
        <v>931</v>
      </c>
      <c r="R6521" t="s">
        <v>201</v>
      </c>
      <c r="S6521">
        <v>2</v>
      </c>
      <c r="T6521">
        <v>1</v>
      </c>
      <c r="U6521">
        <v>58764</v>
      </c>
      <c r="V6521">
        <v>117528</v>
      </c>
    </row>
    <row r="6522" spans="1:22">
      <c r="A6522" t="s">
        <v>196</v>
      </c>
      <c r="B6522">
        <v>85</v>
      </c>
      <c r="C6522" t="s">
        <v>2177</v>
      </c>
      <c r="D6522">
        <v>740</v>
      </c>
      <c r="E6522" t="s">
        <v>2208</v>
      </c>
      <c r="F6522">
        <v>1005</v>
      </c>
      <c r="G6522" t="s">
        <v>2177</v>
      </c>
      <c r="H6522">
        <v>2015</v>
      </c>
      <c r="I6522" t="s">
        <v>4</v>
      </c>
      <c r="J6522">
        <v>3015</v>
      </c>
      <c r="K6522" t="s">
        <v>4</v>
      </c>
      <c r="L6522">
        <v>4404</v>
      </c>
      <c r="M6522" t="s">
        <v>2219</v>
      </c>
      <c r="N6522" t="s">
        <v>360</v>
      </c>
      <c r="O6522">
        <v>1</v>
      </c>
      <c r="P6522">
        <v>450</v>
      </c>
      <c r="Q6522" t="s">
        <v>931</v>
      </c>
      <c r="R6522" t="s">
        <v>201</v>
      </c>
      <c r="S6522">
        <v>3</v>
      </c>
      <c r="T6522">
        <v>1</v>
      </c>
      <c r="U6522">
        <v>57000</v>
      </c>
      <c r="V6522">
        <v>171000</v>
      </c>
    </row>
    <row r="6523" spans="1:22">
      <c r="A6523" t="s">
        <v>196</v>
      </c>
      <c r="B6523">
        <v>85</v>
      </c>
      <c r="C6523" t="s">
        <v>2177</v>
      </c>
      <c r="D6523">
        <v>740</v>
      </c>
      <c r="E6523" t="s">
        <v>2208</v>
      </c>
      <c r="F6523">
        <v>1005</v>
      </c>
      <c r="G6523" t="s">
        <v>2177</v>
      </c>
      <c r="H6523">
        <v>2015</v>
      </c>
      <c r="I6523" t="s">
        <v>4</v>
      </c>
      <c r="J6523">
        <v>3015</v>
      </c>
      <c r="K6523" t="s">
        <v>4</v>
      </c>
      <c r="L6523">
        <v>4404</v>
      </c>
      <c r="M6523" t="s">
        <v>2219</v>
      </c>
      <c r="N6523" t="s">
        <v>622</v>
      </c>
      <c r="O6523">
        <v>1</v>
      </c>
      <c r="P6523" t="s">
        <v>667</v>
      </c>
      <c r="Q6523" t="s">
        <v>205</v>
      </c>
      <c r="R6523" t="s">
        <v>201</v>
      </c>
      <c r="S6523">
        <v>1</v>
      </c>
      <c r="T6523">
        <v>1</v>
      </c>
      <c r="U6523">
        <v>51936</v>
      </c>
      <c r="V6523">
        <v>51936</v>
      </c>
    </row>
    <row r="6524" spans="1:22">
      <c r="A6524" t="s">
        <v>196</v>
      </c>
      <c r="B6524">
        <v>85</v>
      </c>
      <c r="C6524" t="s">
        <v>2177</v>
      </c>
      <c r="D6524">
        <v>740</v>
      </c>
      <c r="E6524" t="s">
        <v>2208</v>
      </c>
      <c r="F6524">
        <v>1005</v>
      </c>
      <c r="G6524" t="s">
        <v>2177</v>
      </c>
      <c r="H6524">
        <v>2015</v>
      </c>
      <c r="I6524" t="s">
        <v>4</v>
      </c>
      <c r="J6524">
        <v>3015</v>
      </c>
      <c r="K6524" t="s">
        <v>4</v>
      </c>
      <c r="L6524">
        <v>4404</v>
      </c>
      <c r="M6524" t="s">
        <v>2219</v>
      </c>
      <c r="N6524" t="s">
        <v>253</v>
      </c>
      <c r="O6524">
        <v>10</v>
      </c>
      <c r="P6524">
        <v>122</v>
      </c>
      <c r="Q6524" t="s">
        <v>1711</v>
      </c>
      <c r="R6524" t="s">
        <v>201</v>
      </c>
      <c r="S6524">
        <v>1</v>
      </c>
      <c r="T6524">
        <v>1</v>
      </c>
      <c r="U6524">
        <v>130524</v>
      </c>
      <c r="V6524">
        <v>130524</v>
      </c>
    </row>
    <row r="6525" spans="1:22">
      <c r="A6525" t="s">
        <v>196</v>
      </c>
      <c r="B6525">
        <v>85</v>
      </c>
      <c r="C6525" t="s">
        <v>2177</v>
      </c>
      <c r="D6525">
        <v>740</v>
      </c>
      <c r="E6525" t="s">
        <v>2208</v>
      </c>
      <c r="F6525">
        <v>1005</v>
      </c>
      <c r="G6525" t="s">
        <v>2177</v>
      </c>
      <c r="H6525">
        <v>2015</v>
      </c>
      <c r="I6525" t="s">
        <v>4</v>
      </c>
      <c r="J6525">
        <v>3015</v>
      </c>
      <c r="K6525" t="s">
        <v>4</v>
      </c>
      <c r="L6525">
        <v>4404</v>
      </c>
      <c r="M6525" t="s">
        <v>2219</v>
      </c>
      <c r="N6525" t="s">
        <v>397</v>
      </c>
      <c r="O6525">
        <v>1</v>
      </c>
      <c r="P6525">
        <v>121</v>
      </c>
      <c r="Q6525" t="s">
        <v>690</v>
      </c>
      <c r="R6525" t="s">
        <v>201</v>
      </c>
      <c r="S6525">
        <v>1</v>
      </c>
      <c r="T6525">
        <v>1</v>
      </c>
      <c r="U6525">
        <v>99480</v>
      </c>
      <c r="V6525">
        <v>99480</v>
      </c>
    </row>
    <row r="6526" spans="1:22">
      <c r="A6526" t="s">
        <v>196</v>
      </c>
      <c r="B6526">
        <v>85</v>
      </c>
      <c r="C6526" t="s">
        <v>2177</v>
      </c>
      <c r="D6526">
        <v>740</v>
      </c>
      <c r="E6526" t="s">
        <v>2208</v>
      </c>
      <c r="F6526">
        <v>1005</v>
      </c>
      <c r="G6526" t="s">
        <v>2177</v>
      </c>
      <c r="H6526">
        <v>2015</v>
      </c>
      <c r="I6526" t="s">
        <v>4</v>
      </c>
      <c r="J6526">
        <v>3015</v>
      </c>
      <c r="K6526" t="s">
        <v>4</v>
      </c>
      <c r="L6526">
        <v>4404</v>
      </c>
      <c r="M6526" t="s">
        <v>2219</v>
      </c>
      <c r="N6526" t="s">
        <v>372</v>
      </c>
      <c r="O6526">
        <v>1</v>
      </c>
      <c r="P6526">
        <v>114</v>
      </c>
      <c r="Q6526" t="s">
        <v>691</v>
      </c>
      <c r="R6526" t="s">
        <v>201</v>
      </c>
      <c r="S6526">
        <v>1</v>
      </c>
      <c r="T6526">
        <v>1</v>
      </c>
      <c r="U6526">
        <v>119100</v>
      </c>
      <c r="V6526">
        <v>119100</v>
      </c>
    </row>
    <row r="6527" spans="1:22">
      <c r="A6527" t="s">
        <v>196</v>
      </c>
      <c r="B6527">
        <v>85</v>
      </c>
      <c r="C6527" t="s">
        <v>2177</v>
      </c>
      <c r="D6527">
        <v>740</v>
      </c>
      <c r="E6527" t="s">
        <v>2208</v>
      </c>
      <c r="F6527">
        <v>1005</v>
      </c>
      <c r="G6527" t="s">
        <v>2177</v>
      </c>
      <c r="H6527">
        <v>2015</v>
      </c>
      <c r="I6527" t="s">
        <v>4</v>
      </c>
      <c r="J6527">
        <v>3015</v>
      </c>
      <c r="K6527" t="s">
        <v>4</v>
      </c>
      <c r="L6527">
        <v>4404</v>
      </c>
      <c r="M6527" t="s">
        <v>2219</v>
      </c>
      <c r="N6527" t="s">
        <v>372</v>
      </c>
      <c r="O6527">
        <v>1</v>
      </c>
      <c r="P6527">
        <v>114</v>
      </c>
      <c r="Q6527" t="s">
        <v>691</v>
      </c>
      <c r="R6527" t="s">
        <v>201</v>
      </c>
      <c r="S6527">
        <v>1</v>
      </c>
      <c r="T6527">
        <v>1</v>
      </c>
      <c r="U6527">
        <v>75336</v>
      </c>
      <c r="V6527">
        <v>75336</v>
      </c>
    </row>
    <row r="6528" spans="1:22">
      <c r="A6528" t="s">
        <v>196</v>
      </c>
      <c r="B6528">
        <v>85</v>
      </c>
      <c r="C6528" t="s">
        <v>2177</v>
      </c>
      <c r="D6528">
        <v>740</v>
      </c>
      <c r="E6528" t="s">
        <v>2208</v>
      </c>
      <c r="F6528">
        <v>1005</v>
      </c>
      <c r="G6528" t="s">
        <v>2177</v>
      </c>
      <c r="H6528">
        <v>2015</v>
      </c>
      <c r="I6528" t="s">
        <v>4</v>
      </c>
      <c r="J6528">
        <v>3015</v>
      </c>
      <c r="K6528" t="s">
        <v>4</v>
      </c>
      <c r="L6528">
        <v>4404</v>
      </c>
      <c r="M6528" t="s">
        <v>2219</v>
      </c>
      <c r="N6528" t="s">
        <v>199</v>
      </c>
      <c r="O6528">
        <v>0</v>
      </c>
      <c r="P6528">
        <v>15</v>
      </c>
      <c r="Q6528" t="s">
        <v>264</v>
      </c>
      <c r="R6528" t="s">
        <v>201</v>
      </c>
      <c r="S6528">
        <v>0</v>
      </c>
      <c r="T6528">
        <v>0</v>
      </c>
      <c r="U6528">
        <v>12308</v>
      </c>
      <c r="V6528">
        <v>12308</v>
      </c>
    </row>
    <row r="6529" spans="1:22">
      <c r="A6529" t="s">
        <v>196</v>
      </c>
      <c r="B6529">
        <v>85</v>
      </c>
      <c r="C6529" t="s">
        <v>2177</v>
      </c>
      <c r="D6529">
        <v>740</v>
      </c>
      <c r="E6529" t="s">
        <v>2208</v>
      </c>
      <c r="F6529">
        <v>1005</v>
      </c>
      <c r="G6529" t="s">
        <v>2177</v>
      </c>
      <c r="H6529">
        <v>2015</v>
      </c>
      <c r="I6529" t="s">
        <v>4</v>
      </c>
      <c r="J6529">
        <v>3015</v>
      </c>
      <c r="K6529" t="s">
        <v>4</v>
      </c>
      <c r="L6529">
        <v>4405</v>
      </c>
      <c r="M6529" t="s">
        <v>2220</v>
      </c>
      <c r="N6529" t="s">
        <v>268</v>
      </c>
      <c r="O6529">
        <v>10</v>
      </c>
      <c r="P6529">
        <v>1911</v>
      </c>
      <c r="Q6529" t="s">
        <v>617</v>
      </c>
      <c r="R6529" t="s">
        <v>201</v>
      </c>
      <c r="S6529">
        <v>1</v>
      </c>
      <c r="T6529">
        <v>1</v>
      </c>
      <c r="U6529">
        <v>69684</v>
      </c>
      <c r="V6529">
        <v>69684</v>
      </c>
    </row>
    <row r="6530" spans="1:22">
      <c r="A6530" t="s">
        <v>196</v>
      </c>
      <c r="B6530">
        <v>85</v>
      </c>
      <c r="C6530" t="s">
        <v>2177</v>
      </c>
      <c r="D6530">
        <v>740</v>
      </c>
      <c r="E6530" t="s">
        <v>2208</v>
      </c>
      <c r="F6530">
        <v>1005</v>
      </c>
      <c r="G6530" t="s">
        <v>2177</v>
      </c>
      <c r="H6530">
        <v>2015</v>
      </c>
      <c r="I6530" t="s">
        <v>4</v>
      </c>
      <c r="J6530">
        <v>3015</v>
      </c>
      <c r="K6530" t="s">
        <v>4</v>
      </c>
      <c r="L6530">
        <v>4405</v>
      </c>
      <c r="M6530" t="s">
        <v>2220</v>
      </c>
      <c r="N6530" t="s">
        <v>1314</v>
      </c>
      <c r="O6530">
        <v>0</v>
      </c>
      <c r="P6530" t="s">
        <v>1471</v>
      </c>
      <c r="Q6530" t="s">
        <v>605</v>
      </c>
      <c r="R6530" t="s">
        <v>201</v>
      </c>
      <c r="S6530">
        <v>1</v>
      </c>
      <c r="T6530">
        <v>1</v>
      </c>
      <c r="U6530">
        <v>160680</v>
      </c>
      <c r="V6530">
        <v>160680</v>
      </c>
    </row>
    <row r="6531" spans="1:22">
      <c r="A6531" t="s">
        <v>196</v>
      </c>
      <c r="B6531">
        <v>85</v>
      </c>
      <c r="C6531" t="s">
        <v>2177</v>
      </c>
      <c r="D6531">
        <v>740</v>
      </c>
      <c r="E6531" t="s">
        <v>2208</v>
      </c>
      <c r="F6531">
        <v>1005</v>
      </c>
      <c r="G6531" t="s">
        <v>2177</v>
      </c>
      <c r="H6531">
        <v>2015</v>
      </c>
      <c r="I6531" t="s">
        <v>4</v>
      </c>
      <c r="J6531">
        <v>3015</v>
      </c>
      <c r="K6531" t="s">
        <v>4</v>
      </c>
      <c r="L6531">
        <v>4405</v>
      </c>
      <c r="M6531" t="s">
        <v>2220</v>
      </c>
      <c r="N6531" t="s">
        <v>249</v>
      </c>
      <c r="O6531">
        <v>10</v>
      </c>
      <c r="P6531">
        <v>311</v>
      </c>
      <c r="Q6531" t="s">
        <v>661</v>
      </c>
      <c r="R6531" t="s">
        <v>201</v>
      </c>
      <c r="S6531">
        <v>1</v>
      </c>
      <c r="T6531">
        <v>1</v>
      </c>
      <c r="U6531">
        <v>107340</v>
      </c>
      <c r="V6531">
        <v>107340</v>
      </c>
    </row>
    <row r="6532" spans="1:22">
      <c r="A6532" t="s">
        <v>196</v>
      </c>
      <c r="B6532">
        <v>85</v>
      </c>
      <c r="C6532" t="s">
        <v>2177</v>
      </c>
      <c r="D6532">
        <v>740</v>
      </c>
      <c r="E6532" t="s">
        <v>2208</v>
      </c>
      <c r="F6532">
        <v>1005</v>
      </c>
      <c r="G6532" t="s">
        <v>2177</v>
      </c>
      <c r="H6532">
        <v>2015</v>
      </c>
      <c r="I6532" t="s">
        <v>4</v>
      </c>
      <c r="J6532">
        <v>3015</v>
      </c>
      <c r="K6532" t="s">
        <v>4</v>
      </c>
      <c r="L6532">
        <v>4405</v>
      </c>
      <c r="M6532" t="s">
        <v>2220</v>
      </c>
      <c r="N6532" t="s">
        <v>249</v>
      </c>
      <c r="O6532">
        <v>10</v>
      </c>
      <c r="P6532">
        <v>311</v>
      </c>
      <c r="Q6532" t="s">
        <v>661</v>
      </c>
      <c r="R6532" t="s">
        <v>201</v>
      </c>
      <c r="S6532">
        <v>1</v>
      </c>
      <c r="T6532">
        <v>1</v>
      </c>
      <c r="U6532">
        <v>89112</v>
      </c>
      <c r="V6532">
        <v>89112</v>
      </c>
    </row>
    <row r="6533" spans="1:22">
      <c r="A6533" t="s">
        <v>196</v>
      </c>
      <c r="B6533">
        <v>85</v>
      </c>
      <c r="C6533" t="s">
        <v>2177</v>
      </c>
      <c r="D6533">
        <v>740</v>
      </c>
      <c r="E6533" t="s">
        <v>2208</v>
      </c>
      <c r="F6533">
        <v>1005</v>
      </c>
      <c r="G6533" t="s">
        <v>2177</v>
      </c>
      <c r="H6533">
        <v>2015</v>
      </c>
      <c r="I6533" t="s">
        <v>4</v>
      </c>
      <c r="J6533">
        <v>3015</v>
      </c>
      <c r="K6533" t="s">
        <v>4</v>
      </c>
      <c r="L6533">
        <v>4405</v>
      </c>
      <c r="M6533" t="s">
        <v>2220</v>
      </c>
      <c r="N6533" t="s">
        <v>199</v>
      </c>
      <c r="O6533">
        <v>0</v>
      </c>
      <c r="P6533">
        <v>15</v>
      </c>
      <c r="Q6533" t="s">
        <v>264</v>
      </c>
      <c r="R6533" t="s">
        <v>201</v>
      </c>
      <c r="S6533">
        <v>0</v>
      </c>
      <c r="T6533">
        <v>0</v>
      </c>
      <c r="U6533">
        <v>5547</v>
      </c>
      <c r="V6533">
        <v>5547</v>
      </c>
    </row>
    <row r="6534" spans="1:22">
      <c r="A6534" t="s">
        <v>196</v>
      </c>
      <c r="B6534">
        <v>85</v>
      </c>
      <c r="C6534" t="s">
        <v>2177</v>
      </c>
      <c r="D6534">
        <v>740</v>
      </c>
      <c r="E6534" t="s">
        <v>2208</v>
      </c>
      <c r="F6534">
        <v>1005</v>
      </c>
      <c r="G6534" t="s">
        <v>2177</v>
      </c>
      <c r="H6534">
        <v>2015</v>
      </c>
      <c r="I6534" t="s">
        <v>4</v>
      </c>
      <c r="J6534">
        <v>3015</v>
      </c>
      <c r="K6534" t="s">
        <v>4</v>
      </c>
      <c r="L6534">
        <v>4406</v>
      </c>
      <c r="M6534" t="s">
        <v>2221</v>
      </c>
      <c r="N6534" t="s">
        <v>1776</v>
      </c>
      <c r="O6534">
        <v>9</v>
      </c>
      <c r="P6534">
        <v>1434</v>
      </c>
      <c r="Q6534" t="s">
        <v>1777</v>
      </c>
      <c r="R6534" t="s">
        <v>201</v>
      </c>
      <c r="S6534">
        <v>1</v>
      </c>
      <c r="T6534">
        <v>1</v>
      </c>
      <c r="U6534">
        <v>128736</v>
      </c>
      <c r="V6534">
        <v>128736</v>
      </c>
    </row>
    <row r="6535" spans="1:22">
      <c r="A6535" t="s">
        <v>196</v>
      </c>
      <c r="B6535">
        <v>85</v>
      </c>
      <c r="C6535" t="s">
        <v>2177</v>
      </c>
      <c r="D6535">
        <v>740</v>
      </c>
      <c r="E6535" t="s">
        <v>2208</v>
      </c>
      <c r="F6535">
        <v>1005</v>
      </c>
      <c r="G6535" t="s">
        <v>2177</v>
      </c>
      <c r="H6535">
        <v>2015</v>
      </c>
      <c r="I6535" t="s">
        <v>4</v>
      </c>
      <c r="J6535">
        <v>3015</v>
      </c>
      <c r="K6535" t="s">
        <v>4</v>
      </c>
      <c r="L6535">
        <v>4406</v>
      </c>
      <c r="M6535" t="s">
        <v>2221</v>
      </c>
      <c r="N6535" t="s">
        <v>253</v>
      </c>
      <c r="O6535">
        <v>10</v>
      </c>
      <c r="P6535">
        <v>790</v>
      </c>
      <c r="Q6535" t="s">
        <v>254</v>
      </c>
      <c r="R6535" t="s">
        <v>201</v>
      </c>
      <c r="S6535">
        <v>1</v>
      </c>
      <c r="T6535">
        <v>1</v>
      </c>
      <c r="U6535">
        <v>93384</v>
      </c>
      <c r="V6535">
        <v>93384</v>
      </c>
    </row>
    <row r="6536" spans="1:22">
      <c r="A6536" t="s">
        <v>196</v>
      </c>
      <c r="B6536">
        <v>85</v>
      </c>
      <c r="C6536" t="s">
        <v>2177</v>
      </c>
      <c r="D6536">
        <v>740</v>
      </c>
      <c r="E6536" t="s">
        <v>2208</v>
      </c>
      <c r="F6536">
        <v>1005</v>
      </c>
      <c r="G6536" t="s">
        <v>2177</v>
      </c>
      <c r="H6536">
        <v>2015</v>
      </c>
      <c r="I6536" t="s">
        <v>4</v>
      </c>
      <c r="J6536">
        <v>3015</v>
      </c>
      <c r="K6536" t="s">
        <v>4</v>
      </c>
      <c r="L6536">
        <v>4406</v>
      </c>
      <c r="M6536" t="s">
        <v>2221</v>
      </c>
      <c r="N6536" t="s">
        <v>255</v>
      </c>
      <c r="O6536">
        <v>1</v>
      </c>
      <c r="P6536">
        <v>729</v>
      </c>
      <c r="Q6536" t="s">
        <v>256</v>
      </c>
      <c r="R6536" t="s">
        <v>201</v>
      </c>
      <c r="S6536">
        <v>1</v>
      </c>
      <c r="T6536">
        <v>1</v>
      </c>
      <c r="U6536">
        <v>102588</v>
      </c>
      <c r="V6536">
        <v>102588</v>
      </c>
    </row>
    <row r="6537" spans="1:22">
      <c r="A6537" t="s">
        <v>196</v>
      </c>
      <c r="B6537">
        <v>85</v>
      </c>
      <c r="C6537" t="s">
        <v>2177</v>
      </c>
      <c r="D6537">
        <v>740</v>
      </c>
      <c r="E6537" t="s">
        <v>2208</v>
      </c>
      <c r="F6537">
        <v>1005</v>
      </c>
      <c r="G6537" t="s">
        <v>2177</v>
      </c>
      <c r="H6537">
        <v>2015</v>
      </c>
      <c r="I6537" t="s">
        <v>4</v>
      </c>
      <c r="J6537">
        <v>3015</v>
      </c>
      <c r="K6537" t="s">
        <v>4</v>
      </c>
      <c r="L6537">
        <v>4406</v>
      </c>
      <c r="M6537" t="s">
        <v>2221</v>
      </c>
      <c r="N6537" t="s">
        <v>255</v>
      </c>
      <c r="O6537">
        <v>1</v>
      </c>
      <c r="P6537">
        <v>729</v>
      </c>
      <c r="Q6537" t="s">
        <v>256</v>
      </c>
      <c r="R6537" t="s">
        <v>201</v>
      </c>
      <c r="S6537">
        <v>1</v>
      </c>
      <c r="T6537">
        <v>1</v>
      </c>
      <c r="U6537">
        <v>89244</v>
      </c>
      <c r="V6537">
        <v>89244</v>
      </c>
    </row>
    <row r="6538" spans="1:22">
      <c r="A6538" t="s">
        <v>196</v>
      </c>
      <c r="B6538">
        <v>85</v>
      </c>
      <c r="C6538" t="s">
        <v>2177</v>
      </c>
      <c r="D6538">
        <v>740</v>
      </c>
      <c r="E6538" t="s">
        <v>2208</v>
      </c>
      <c r="F6538">
        <v>1005</v>
      </c>
      <c r="G6538" t="s">
        <v>2177</v>
      </c>
      <c r="H6538">
        <v>2015</v>
      </c>
      <c r="I6538" t="s">
        <v>4</v>
      </c>
      <c r="J6538">
        <v>3015</v>
      </c>
      <c r="K6538" t="s">
        <v>4</v>
      </c>
      <c r="L6538">
        <v>4406</v>
      </c>
      <c r="M6538" t="s">
        <v>2221</v>
      </c>
      <c r="N6538" t="s">
        <v>777</v>
      </c>
      <c r="O6538">
        <v>9</v>
      </c>
      <c r="P6538">
        <v>721</v>
      </c>
      <c r="Q6538" t="s">
        <v>2222</v>
      </c>
      <c r="R6538" t="s">
        <v>201</v>
      </c>
      <c r="S6538">
        <v>1</v>
      </c>
      <c r="T6538">
        <v>1</v>
      </c>
      <c r="U6538">
        <v>143688</v>
      </c>
      <c r="V6538">
        <v>143688</v>
      </c>
    </row>
    <row r="6539" spans="1:22">
      <c r="A6539" t="s">
        <v>196</v>
      </c>
      <c r="B6539">
        <v>85</v>
      </c>
      <c r="C6539" t="s">
        <v>2177</v>
      </c>
      <c r="D6539">
        <v>740</v>
      </c>
      <c r="E6539" t="s">
        <v>2208</v>
      </c>
      <c r="F6539">
        <v>1005</v>
      </c>
      <c r="G6539" t="s">
        <v>2177</v>
      </c>
      <c r="H6539">
        <v>2015</v>
      </c>
      <c r="I6539" t="s">
        <v>4</v>
      </c>
      <c r="J6539">
        <v>3015</v>
      </c>
      <c r="K6539" t="s">
        <v>4</v>
      </c>
      <c r="L6539">
        <v>4406</v>
      </c>
      <c r="M6539" t="s">
        <v>2221</v>
      </c>
      <c r="N6539" t="s">
        <v>341</v>
      </c>
      <c r="O6539">
        <v>1</v>
      </c>
      <c r="P6539">
        <v>708</v>
      </c>
      <c r="Q6539" t="s">
        <v>342</v>
      </c>
      <c r="R6539" t="s">
        <v>201</v>
      </c>
      <c r="S6539">
        <v>1</v>
      </c>
      <c r="T6539">
        <v>1</v>
      </c>
      <c r="U6539">
        <v>68616</v>
      </c>
      <c r="V6539">
        <v>68616</v>
      </c>
    </row>
    <row r="6540" spans="1:22">
      <c r="A6540" t="s">
        <v>196</v>
      </c>
      <c r="B6540">
        <v>85</v>
      </c>
      <c r="C6540" t="s">
        <v>2177</v>
      </c>
      <c r="D6540">
        <v>740</v>
      </c>
      <c r="E6540" t="s">
        <v>2208</v>
      </c>
      <c r="F6540">
        <v>1005</v>
      </c>
      <c r="G6540" t="s">
        <v>2177</v>
      </c>
      <c r="H6540">
        <v>2015</v>
      </c>
      <c r="I6540" t="s">
        <v>4</v>
      </c>
      <c r="J6540">
        <v>3015</v>
      </c>
      <c r="K6540" t="s">
        <v>4</v>
      </c>
      <c r="L6540">
        <v>4406</v>
      </c>
      <c r="M6540" t="s">
        <v>2221</v>
      </c>
      <c r="N6540" t="s">
        <v>257</v>
      </c>
      <c r="O6540">
        <v>9</v>
      </c>
      <c r="P6540">
        <v>705</v>
      </c>
      <c r="Q6540" t="s">
        <v>258</v>
      </c>
      <c r="R6540" t="s">
        <v>201</v>
      </c>
      <c r="S6540">
        <v>1</v>
      </c>
      <c r="T6540">
        <v>1</v>
      </c>
      <c r="U6540">
        <v>143880</v>
      </c>
      <c r="V6540">
        <v>143880</v>
      </c>
    </row>
    <row r="6541" spans="1:22">
      <c r="A6541" t="s">
        <v>196</v>
      </c>
      <c r="B6541">
        <v>85</v>
      </c>
      <c r="C6541" t="s">
        <v>2177</v>
      </c>
      <c r="D6541">
        <v>740</v>
      </c>
      <c r="E6541" t="s">
        <v>2208</v>
      </c>
      <c r="F6541">
        <v>1005</v>
      </c>
      <c r="G6541" t="s">
        <v>2177</v>
      </c>
      <c r="H6541">
        <v>2015</v>
      </c>
      <c r="I6541" t="s">
        <v>4</v>
      </c>
      <c r="J6541">
        <v>3015</v>
      </c>
      <c r="K6541" t="s">
        <v>4</v>
      </c>
      <c r="L6541">
        <v>4406</v>
      </c>
      <c r="M6541" t="s">
        <v>2221</v>
      </c>
      <c r="N6541" t="s">
        <v>1314</v>
      </c>
      <c r="O6541">
        <v>0</v>
      </c>
      <c r="P6541" t="s">
        <v>1471</v>
      </c>
      <c r="Q6541" t="s">
        <v>605</v>
      </c>
      <c r="R6541" t="s">
        <v>201</v>
      </c>
      <c r="S6541">
        <v>1</v>
      </c>
      <c r="T6541">
        <v>1</v>
      </c>
      <c r="U6541">
        <v>133836</v>
      </c>
      <c r="V6541">
        <v>133836</v>
      </c>
    </row>
    <row r="6542" spans="1:22">
      <c r="A6542" t="s">
        <v>196</v>
      </c>
      <c r="B6542">
        <v>85</v>
      </c>
      <c r="C6542" t="s">
        <v>2177</v>
      </c>
      <c r="D6542">
        <v>740</v>
      </c>
      <c r="E6542" t="s">
        <v>2208</v>
      </c>
      <c r="F6542">
        <v>1005</v>
      </c>
      <c r="G6542" t="s">
        <v>2177</v>
      </c>
      <c r="H6542">
        <v>2015</v>
      </c>
      <c r="I6542" t="s">
        <v>4</v>
      </c>
      <c r="J6542">
        <v>3015</v>
      </c>
      <c r="K6542" t="s">
        <v>4</v>
      </c>
      <c r="L6542">
        <v>4406</v>
      </c>
      <c r="M6542" t="s">
        <v>2221</v>
      </c>
      <c r="N6542" t="s">
        <v>199</v>
      </c>
      <c r="O6542">
        <v>0</v>
      </c>
      <c r="P6542">
        <v>15</v>
      </c>
      <c r="Q6542" t="s">
        <v>264</v>
      </c>
      <c r="R6542" t="s">
        <v>201</v>
      </c>
      <c r="S6542">
        <v>0</v>
      </c>
      <c r="T6542">
        <v>0</v>
      </c>
      <c r="U6542">
        <v>8383</v>
      </c>
      <c r="V6542">
        <v>8383</v>
      </c>
    </row>
    <row r="6543" spans="1:22">
      <c r="A6543" t="s">
        <v>196</v>
      </c>
      <c r="B6543">
        <v>85</v>
      </c>
      <c r="C6543" t="s">
        <v>2177</v>
      </c>
      <c r="D6543">
        <v>740</v>
      </c>
      <c r="E6543" t="s">
        <v>2208</v>
      </c>
      <c r="F6543">
        <v>1005</v>
      </c>
      <c r="G6543" t="s">
        <v>2177</v>
      </c>
      <c r="H6543">
        <v>2015</v>
      </c>
      <c r="I6543" t="s">
        <v>4</v>
      </c>
      <c r="J6543">
        <v>3015</v>
      </c>
      <c r="K6543" t="s">
        <v>4</v>
      </c>
      <c r="L6543">
        <v>4407</v>
      </c>
      <c r="M6543" t="s">
        <v>2223</v>
      </c>
      <c r="N6543" t="s">
        <v>372</v>
      </c>
      <c r="O6543">
        <v>4</v>
      </c>
      <c r="P6543">
        <v>1912</v>
      </c>
      <c r="Q6543" t="s">
        <v>608</v>
      </c>
      <c r="R6543" t="s">
        <v>201</v>
      </c>
      <c r="S6543">
        <v>3</v>
      </c>
      <c r="T6543">
        <v>1</v>
      </c>
      <c r="U6543">
        <v>75336</v>
      </c>
      <c r="V6543">
        <v>226008</v>
      </c>
    </row>
    <row r="6544" spans="1:22">
      <c r="A6544" t="s">
        <v>196</v>
      </c>
      <c r="B6544">
        <v>85</v>
      </c>
      <c r="C6544" t="s">
        <v>2177</v>
      </c>
      <c r="D6544">
        <v>740</v>
      </c>
      <c r="E6544" t="s">
        <v>2208</v>
      </c>
      <c r="F6544">
        <v>1005</v>
      </c>
      <c r="G6544" t="s">
        <v>2177</v>
      </c>
      <c r="H6544">
        <v>2015</v>
      </c>
      <c r="I6544" t="s">
        <v>4</v>
      </c>
      <c r="J6544">
        <v>3015</v>
      </c>
      <c r="K6544" t="s">
        <v>4</v>
      </c>
      <c r="L6544">
        <v>4407</v>
      </c>
      <c r="M6544" t="s">
        <v>2223</v>
      </c>
      <c r="N6544" t="s">
        <v>255</v>
      </c>
      <c r="O6544">
        <v>1</v>
      </c>
      <c r="P6544">
        <v>729</v>
      </c>
      <c r="Q6544" t="s">
        <v>256</v>
      </c>
      <c r="R6544" t="s">
        <v>201</v>
      </c>
      <c r="S6544">
        <v>1</v>
      </c>
      <c r="T6544">
        <v>1</v>
      </c>
      <c r="U6544">
        <v>93504</v>
      </c>
      <c r="V6544">
        <v>93504</v>
      </c>
    </row>
    <row r="6545" spans="1:22">
      <c r="A6545" t="s">
        <v>196</v>
      </c>
      <c r="B6545">
        <v>85</v>
      </c>
      <c r="C6545" t="s">
        <v>2177</v>
      </c>
      <c r="D6545">
        <v>740</v>
      </c>
      <c r="E6545" t="s">
        <v>2208</v>
      </c>
      <c r="F6545">
        <v>1005</v>
      </c>
      <c r="G6545" t="s">
        <v>2177</v>
      </c>
      <c r="H6545">
        <v>2015</v>
      </c>
      <c r="I6545" t="s">
        <v>4</v>
      </c>
      <c r="J6545">
        <v>3015</v>
      </c>
      <c r="K6545" t="s">
        <v>4</v>
      </c>
      <c r="L6545">
        <v>4407</v>
      </c>
      <c r="M6545" t="s">
        <v>2223</v>
      </c>
      <c r="N6545" t="s">
        <v>1314</v>
      </c>
      <c r="O6545">
        <v>0</v>
      </c>
      <c r="P6545" t="s">
        <v>1471</v>
      </c>
      <c r="Q6545" t="s">
        <v>605</v>
      </c>
      <c r="R6545" t="s">
        <v>201</v>
      </c>
      <c r="S6545">
        <v>3</v>
      </c>
      <c r="T6545">
        <v>1</v>
      </c>
      <c r="U6545">
        <v>160680</v>
      </c>
      <c r="V6545">
        <v>482040</v>
      </c>
    </row>
    <row r="6546" spans="1:22">
      <c r="A6546" t="s">
        <v>196</v>
      </c>
      <c r="B6546">
        <v>85</v>
      </c>
      <c r="C6546" t="s">
        <v>2177</v>
      </c>
      <c r="D6546">
        <v>740</v>
      </c>
      <c r="E6546" t="s">
        <v>2208</v>
      </c>
      <c r="F6546">
        <v>1005</v>
      </c>
      <c r="G6546" t="s">
        <v>2177</v>
      </c>
      <c r="H6546">
        <v>2015</v>
      </c>
      <c r="I6546" t="s">
        <v>4</v>
      </c>
      <c r="J6546">
        <v>3015</v>
      </c>
      <c r="K6546" t="s">
        <v>4</v>
      </c>
      <c r="L6546">
        <v>4407</v>
      </c>
      <c r="M6546" t="s">
        <v>2223</v>
      </c>
      <c r="N6546" t="s">
        <v>249</v>
      </c>
      <c r="O6546">
        <v>10</v>
      </c>
      <c r="P6546">
        <v>311</v>
      </c>
      <c r="Q6546" t="s">
        <v>661</v>
      </c>
      <c r="R6546" t="s">
        <v>201</v>
      </c>
      <c r="S6546">
        <v>1</v>
      </c>
      <c r="T6546">
        <v>1</v>
      </c>
      <c r="U6546">
        <v>89112</v>
      </c>
      <c r="V6546">
        <v>89112</v>
      </c>
    </row>
    <row r="6547" spans="1:22">
      <c r="A6547" t="s">
        <v>196</v>
      </c>
      <c r="B6547">
        <v>85</v>
      </c>
      <c r="C6547" t="s">
        <v>2177</v>
      </c>
      <c r="D6547">
        <v>740</v>
      </c>
      <c r="E6547" t="s">
        <v>2208</v>
      </c>
      <c r="F6547">
        <v>1005</v>
      </c>
      <c r="G6547" t="s">
        <v>2177</v>
      </c>
      <c r="H6547">
        <v>2015</v>
      </c>
      <c r="I6547" t="s">
        <v>4</v>
      </c>
      <c r="J6547">
        <v>3015</v>
      </c>
      <c r="K6547" t="s">
        <v>4</v>
      </c>
      <c r="L6547">
        <v>4407</v>
      </c>
      <c r="M6547" t="s">
        <v>2223</v>
      </c>
      <c r="N6547" t="s">
        <v>249</v>
      </c>
      <c r="O6547">
        <v>10</v>
      </c>
      <c r="P6547">
        <v>310</v>
      </c>
      <c r="Q6547" t="s">
        <v>447</v>
      </c>
      <c r="R6547" t="s">
        <v>201</v>
      </c>
      <c r="S6547">
        <v>1</v>
      </c>
      <c r="T6547">
        <v>1</v>
      </c>
      <c r="U6547">
        <v>118956</v>
      </c>
      <c r="V6547">
        <v>118956</v>
      </c>
    </row>
    <row r="6548" spans="1:22">
      <c r="A6548" t="s">
        <v>196</v>
      </c>
      <c r="B6548">
        <v>85</v>
      </c>
      <c r="C6548" t="s">
        <v>2177</v>
      </c>
      <c r="D6548">
        <v>740</v>
      </c>
      <c r="E6548" t="s">
        <v>2208</v>
      </c>
      <c r="F6548">
        <v>1005</v>
      </c>
      <c r="G6548" t="s">
        <v>2177</v>
      </c>
      <c r="H6548">
        <v>2015</v>
      </c>
      <c r="I6548" t="s">
        <v>4</v>
      </c>
      <c r="J6548">
        <v>3015</v>
      </c>
      <c r="K6548" t="s">
        <v>4</v>
      </c>
      <c r="L6548">
        <v>4407</v>
      </c>
      <c r="M6548" t="s">
        <v>2223</v>
      </c>
      <c r="N6548" t="s">
        <v>249</v>
      </c>
      <c r="O6548">
        <v>10</v>
      </c>
      <c r="P6548">
        <v>310</v>
      </c>
      <c r="Q6548" t="s">
        <v>447</v>
      </c>
      <c r="R6548" t="s">
        <v>201</v>
      </c>
      <c r="S6548">
        <v>2</v>
      </c>
      <c r="T6548">
        <v>1</v>
      </c>
      <c r="U6548">
        <v>113568</v>
      </c>
      <c r="V6548">
        <v>227136</v>
      </c>
    </row>
    <row r="6549" spans="1:22">
      <c r="A6549" t="s">
        <v>196</v>
      </c>
      <c r="B6549">
        <v>85</v>
      </c>
      <c r="C6549" t="s">
        <v>2177</v>
      </c>
      <c r="D6549">
        <v>740</v>
      </c>
      <c r="E6549" t="s">
        <v>2208</v>
      </c>
      <c r="F6549">
        <v>1005</v>
      </c>
      <c r="G6549" t="s">
        <v>2177</v>
      </c>
      <c r="H6549">
        <v>2015</v>
      </c>
      <c r="I6549" t="s">
        <v>4</v>
      </c>
      <c r="J6549">
        <v>3015</v>
      </c>
      <c r="K6549" t="s">
        <v>4</v>
      </c>
      <c r="L6549">
        <v>4407</v>
      </c>
      <c r="M6549" t="s">
        <v>2223</v>
      </c>
      <c r="N6549" t="s">
        <v>249</v>
      </c>
      <c r="O6549">
        <v>10</v>
      </c>
      <c r="P6549">
        <v>310</v>
      </c>
      <c r="Q6549" t="s">
        <v>447</v>
      </c>
      <c r="R6549" t="s">
        <v>201</v>
      </c>
      <c r="S6549">
        <v>1</v>
      </c>
      <c r="T6549">
        <v>1</v>
      </c>
      <c r="U6549">
        <v>107340</v>
      </c>
      <c r="V6549">
        <v>107340</v>
      </c>
    </row>
    <row r="6550" spans="1:22">
      <c r="A6550" t="s">
        <v>196</v>
      </c>
      <c r="B6550">
        <v>85</v>
      </c>
      <c r="C6550" t="s">
        <v>2177</v>
      </c>
      <c r="D6550">
        <v>740</v>
      </c>
      <c r="E6550" t="s">
        <v>2208</v>
      </c>
      <c r="F6550">
        <v>1005</v>
      </c>
      <c r="G6550" t="s">
        <v>2177</v>
      </c>
      <c r="H6550">
        <v>2015</v>
      </c>
      <c r="I6550" t="s">
        <v>4</v>
      </c>
      <c r="J6550">
        <v>3015</v>
      </c>
      <c r="K6550" t="s">
        <v>4</v>
      </c>
      <c r="L6550">
        <v>4407</v>
      </c>
      <c r="M6550" t="s">
        <v>2223</v>
      </c>
      <c r="N6550" t="s">
        <v>249</v>
      </c>
      <c r="O6550">
        <v>10</v>
      </c>
      <c r="P6550">
        <v>310</v>
      </c>
      <c r="Q6550" t="s">
        <v>447</v>
      </c>
      <c r="R6550" t="s">
        <v>201</v>
      </c>
      <c r="S6550">
        <v>1</v>
      </c>
      <c r="T6550">
        <v>1</v>
      </c>
      <c r="U6550">
        <v>102444</v>
      </c>
      <c r="V6550">
        <v>102444</v>
      </c>
    </row>
    <row r="6551" spans="1:22">
      <c r="A6551" t="s">
        <v>196</v>
      </c>
      <c r="B6551">
        <v>85</v>
      </c>
      <c r="C6551" t="s">
        <v>2177</v>
      </c>
      <c r="D6551">
        <v>740</v>
      </c>
      <c r="E6551" t="s">
        <v>2208</v>
      </c>
      <c r="F6551">
        <v>1005</v>
      </c>
      <c r="G6551" t="s">
        <v>2177</v>
      </c>
      <c r="H6551">
        <v>2015</v>
      </c>
      <c r="I6551" t="s">
        <v>4</v>
      </c>
      <c r="J6551">
        <v>3015</v>
      </c>
      <c r="K6551" t="s">
        <v>4</v>
      </c>
      <c r="L6551">
        <v>4407</v>
      </c>
      <c r="M6551" t="s">
        <v>2223</v>
      </c>
      <c r="N6551" t="s">
        <v>249</v>
      </c>
      <c r="O6551">
        <v>10</v>
      </c>
      <c r="P6551">
        <v>310</v>
      </c>
      <c r="Q6551" t="s">
        <v>447</v>
      </c>
      <c r="R6551" t="s">
        <v>201</v>
      </c>
      <c r="S6551">
        <v>1</v>
      </c>
      <c r="T6551">
        <v>1</v>
      </c>
      <c r="U6551">
        <v>89112</v>
      </c>
      <c r="V6551">
        <v>89112</v>
      </c>
    </row>
    <row r="6552" spans="1:22">
      <c r="A6552" t="s">
        <v>196</v>
      </c>
      <c r="B6552">
        <v>85</v>
      </c>
      <c r="C6552" t="s">
        <v>2177</v>
      </c>
      <c r="D6552">
        <v>740</v>
      </c>
      <c r="E6552" t="s">
        <v>2208</v>
      </c>
      <c r="F6552">
        <v>1005</v>
      </c>
      <c r="G6552" t="s">
        <v>2177</v>
      </c>
      <c r="H6552">
        <v>2015</v>
      </c>
      <c r="I6552" t="s">
        <v>4</v>
      </c>
      <c r="J6552">
        <v>3015</v>
      </c>
      <c r="K6552" t="s">
        <v>4</v>
      </c>
      <c r="L6552">
        <v>4407</v>
      </c>
      <c r="M6552" t="s">
        <v>2223</v>
      </c>
      <c r="N6552" t="s">
        <v>199</v>
      </c>
      <c r="O6552">
        <v>0</v>
      </c>
      <c r="P6552">
        <v>15</v>
      </c>
      <c r="Q6552" t="s">
        <v>264</v>
      </c>
      <c r="R6552" t="s">
        <v>201</v>
      </c>
      <c r="S6552">
        <v>0</v>
      </c>
      <c r="T6552">
        <v>0</v>
      </c>
      <c r="U6552">
        <v>11586</v>
      </c>
      <c r="V6552">
        <v>11586</v>
      </c>
    </row>
    <row r="6553" spans="1:22">
      <c r="A6553" t="s">
        <v>196</v>
      </c>
      <c r="B6553">
        <v>85</v>
      </c>
      <c r="C6553" t="s">
        <v>2177</v>
      </c>
      <c r="D6553">
        <v>740</v>
      </c>
      <c r="E6553" t="s">
        <v>2208</v>
      </c>
      <c r="F6553">
        <v>1005</v>
      </c>
      <c r="G6553" t="s">
        <v>2177</v>
      </c>
      <c r="H6553">
        <v>2015</v>
      </c>
      <c r="I6553" t="s">
        <v>4</v>
      </c>
      <c r="J6553">
        <v>3015</v>
      </c>
      <c r="K6553" t="s">
        <v>4</v>
      </c>
      <c r="L6553">
        <v>4408</v>
      </c>
      <c r="M6553" t="s">
        <v>1791</v>
      </c>
      <c r="N6553" t="s">
        <v>249</v>
      </c>
      <c r="O6553">
        <v>10</v>
      </c>
      <c r="P6553">
        <v>1512</v>
      </c>
      <c r="Q6553" t="s">
        <v>914</v>
      </c>
      <c r="R6553" t="s">
        <v>201</v>
      </c>
      <c r="S6553">
        <v>1</v>
      </c>
      <c r="T6553">
        <v>1</v>
      </c>
      <c r="U6553">
        <v>89112</v>
      </c>
      <c r="V6553">
        <v>89112</v>
      </c>
    </row>
    <row r="6554" spans="1:22">
      <c r="A6554" t="s">
        <v>196</v>
      </c>
      <c r="B6554">
        <v>85</v>
      </c>
      <c r="C6554" t="s">
        <v>2177</v>
      </c>
      <c r="D6554">
        <v>740</v>
      </c>
      <c r="E6554" t="s">
        <v>2208</v>
      </c>
      <c r="F6554">
        <v>1005</v>
      </c>
      <c r="G6554" t="s">
        <v>2177</v>
      </c>
      <c r="H6554">
        <v>2015</v>
      </c>
      <c r="I6554" t="s">
        <v>4</v>
      </c>
      <c r="J6554">
        <v>3015</v>
      </c>
      <c r="K6554" t="s">
        <v>4</v>
      </c>
      <c r="L6554">
        <v>4408</v>
      </c>
      <c r="M6554" t="s">
        <v>1791</v>
      </c>
      <c r="N6554" t="s">
        <v>341</v>
      </c>
      <c r="O6554">
        <v>1</v>
      </c>
      <c r="P6554">
        <v>1482</v>
      </c>
      <c r="Q6554" t="s">
        <v>364</v>
      </c>
      <c r="R6554" t="s">
        <v>201</v>
      </c>
      <c r="S6554">
        <v>1</v>
      </c>
      <c r="T6554">
        <v>1</v>
      </c>
      <c r="U6554">
        <v>119100</v>
      </c>
      <c r="V6554">
        <v>119100</v>
      </c>
    </row>
    <row r="6555" spans="1:22">
      <c r="A6555" t="s">
        <v>196</v>
      </c>
      <c r="B6555">
        <v>85</v>
      </c>
      <c r="C6555" t="s">
        <v>2177</v>
      </c>
      <c r="D6555">
        <v>740</v>
      </c>
      <c r="E6555" t="s">
        <v>2208</v>
      </c>
      <c r="F6555">
        <v>1005</v>
      </c>
      <c r="G6555" t="s">
        <v>2177</v>
      </c>
      <c r="H6555">
        <v>2015</v>
      </c>
      <c r="I6555" t="s">
        <v>4</v>
      </c>
      <c r="J6555">
        <v>3015</v>
      </c>
      <c r="K6555" t="s">
        <v>4</v>
      </c>
      <c r="L6555">
        <v>4408</v>
      </c>
      <c r="M6555" t="s">
        <v>1791</v>
      </c>
      <c r="N6555" t="s">
        <v>1314</v>
      </c>
      <c r="O6555">
        <v>0</v>
      </c>
      <c r="P6555">
        <v>1195</v>
      </c>
      <c r="Q6555" t="s">
        <v>927</v>
      </c>
      <c r="R6555" t="s">
        <v>201</v>
      </c>
      <c r="S6555">
        <v>1</v>
      </c>
      <c r="T6555">
        <v>1</v>
      </c>
      <c r="U6555">
        <v>160680</v>
      </c>
      <c r="V6555">
        <v>160680</v>
      </c>
    </row>
    <row r="6556" spans="1:22">
      <c r="A6556" t="s">
        <v>196</v>
      </c>
      <c r="B6556">
        <v>85</v>
      </c>
      <c r="C6556" t="s">
        <v>2177</v>
      </c>
      <c r="D6556">
        <v>740</v>
      </c>
      <c r="E6556" t="s">
        <v>2208</v>
      </c>
      <c r="F6556">
        <v>1005</v>
      </c>
      <c r="G6556" t="s">
        <v>2177</v>
      </c>
      <c r="H6556">
        <v>2015</v>
      </c>
      <c r="I6556" t="s">
        <v>4</v>
      </c>
      <c r="J6556">
        <v>3015</v>
      </c>
      <c r="K6556" t="s">
        <v>4</v>
      </c>
      <c r="L6556">
        <v>4408</v>
      </c>
      <c r="M6556" t="s">
        <v>1791</v>
      </c>
      <c r="N6556" t="s">
        <v>1314</v>
      </c>
      <c r="O6556">
        <v>0</v>
      </c>
      <c r="P6556">
        <v>1195</v>
      </c>
      <c r="Q6556" t="s">
        <v>927</v>
      </c>
      <c r="R6556" t="s">
        <v>201</v>
      </c>
      <c r="S6556">
        <v>1</v>
      </c>
      <c r="T6556">
        <v>1</v>
      </c>
      <c r="U6556">
        <v>150768</v>
      </c>
      <c r="V6556">
        <v>150768</v>
      </c>
    </row>
    <row r="6557" spans="1:22">
      <c r="A6557" t="s">
        <v>196</v>
      </c>
      <c r="B6557">
        <v>85</v>
      </c>
      <c r="C6557" t="s">
        <v>2177</v>
      </c>
      <c r="D6557">
        <v>740</v>
      </c>
      <c r="E6557" t="s">
        <v>2208</v>
      </c>
      <c r="F6557">
        <v>1005</v>
      </c>
      <c r="G6557" t="s">
        <v>2177</v>
      </c>
      <c r="H6557">
        <v>2015</v>
      </c>
      <c r="I6557" t="s">
        <v>4</v>
      </c>
      <c r="J6557">
        <v>3015</v>
      </c>
      <c r="K6557" t="s">
        <v>4</v>
      </c>
      <c r="L6557">
        <v>4408</v>
      </c>
      <c r="M6557" t="s">
        <v>1791</v>
      </c>
      <c r="N6557" t="s">
        <v>1314</v>
      </c>
      <c r="O6557">
        <v>0</v>
      </c>
      <c r="P6557">
        <v>1195</v>
      </c>
      <c r="Q6557" t="s">
        <v>927</v>
      </c>
      <c r="R6557" t="s">
        <v>201</v>
      </c>
      <c r="S6557">
        <v>1</v>
      </c>
      <c r="T6557">
        <v>1</v>
      </c>
      <c r="U6557">
        <v>133836</v>
      </c>
      <c r="V6557">
        <v>133836</v>
      </c>
    </row>
    <row r="6558" spans="1:22">
      <c r="A6558" t="s">
        <v>196</v>
      </c>
      <c r="B6558">
        <v>85</v>
      </c>
      <c r="C6558" t="s">
        <v>2177</v>
      </c>
      <c r="D6558">
        <v>740</v>
      </c>
      <c r="E6558" t="s">
        <v>2208</v>
      </c>
      <c r="F6558">
        <v>1005</v>
      </c>
      <c r="G6558" t="s">
        <v>2177</v>
      </c>
      <c r="H6558">
        <v>2015</v>
      </c>
      <c r="I6558" t="s">
        <v>4</v>
      </c>
      <c r="J6558">
        <v>3015</v>
      </c>
      <c r="K6558" t="s">
        <v>4</v>
      </c>
      <c r="L6558">
        <v>4408</v>
      </c>
      <c r="M6558" t="s">
        <v>1791</v>
      </c>
      <c r="N6558" t="s">
        <v>1314</v>
      </c>
      <c r="O6558">
        <v>0</v>
      </c>
      <c r="P6558" t="s">
        <v>1471</v>
      </c>
      <c r="Q6558" t="s">
        <v>605</v>
      </c>
      <c r="R6558" t="s">
        <v>201</v>
      </c>
      <c r="S6558">
        <v>1</v>
      </c>
      <c r="T6558">
        <v>1</v>
      </c>
      <c r="U6558">
        <v>160680</v>
      </c>
      <c r="V6558">
        <v>160680</v>
      </c>
    </row>
    <row r="6559" spans="1:22">
      <c r="A6559" t="s">
        <v>196</v>
      </c>
      <c r="B6559">
        <v>85</v>
      </c>
      <c r="C6559" t="s">
        <v>2177</v>
      </c>
      <c r="D6559">
        <v>740</v>
      </c>
      <c r="E6559" t="s">
        <v>2208</v>
      </c>
      <c r="F6559">
        <v>1005</v>
      </c>
      <c r="G6559" t="s">
        <v>2177</v>
      </c>
      <c r="H6559">
        <v>2015</v>
      </c>
      <c r="I6559" t="s">
        <v>4</v>
      </c>
      <c r="J6559">
        <v>3015</v>
      </c>
      <c r="K6559" t="s">
        <v>4</v>
      </c>
      <c r="L6559">
        <v>4408</v>
      </c>
      <c r="M6559" t="s">
        <v>1791</v>
      </c>
      <c r="N6559" t="s">
        <v>392</v>
      </c>
      <c r="O6559">
        <v>4</v>
      </c>
      <c r="P6559">
        <v>345</v>
      </c>
      <c r="Q6559" t="s">
        <v>393</v>
      </c>
      <c r="R6559" t="s">
        <v>201</v>
      </c>
      <c r="S6559">
        <v>1</v>
      </c>
      <c r="T6559">
        <v>1</v>
      </c>
      <c r="U6559">
        <v>124848</v>
      </c>
      <c r="V6559">
        <v>124848</v>
      </c>
    </row>
    <row r="6560" spans="1:22">
      <c r="A6560" t="s">
        <v>196</v>
      </c>
      <c r="B6560">
        <v>85</v>
      </c>
      <c r="C6560" t="s">
        <v>2177</v>
      </c>
      <c r="D6560">
        <v>740</v>
      </c>
      <c r="E6560" t="s">
        <v>2208</v>
      </c>
      <c r="F6560">
        <v>1005</v>
      </c>
      <c r="G6560" t="s">
        <v>2177</v>
      </c>
      <c r="H6560">
        <v>2015</v>
      </c>
      <c r="I6560" t="s">
        <v>4</v>
      </c>
      <c r="J6560">
        <v>3015</v>
      </c>
      <c r="K6560" t="s">
        <v>4</v>
      </c>
      <c r="L6560">
        <v>4408</v>
      </c>
      <c r="M6560" t="s">
        <v>1791</v>
      </c>
      <c r="N6560" t="s">
        <v>392</v>
      </c>
      <c r="O6560">
        <v>4</v>
      </c>
      <c r="P6560">
        <v>345</v>
      </c>
      <c r="Q6560" t="s">
        <v>393</v>
      </c>
      <c r="R6560" t="s">
        <v>201</v>
      </c>
      <c r="S6560">
        <v>1</v>
      </c>
      <c r="T6560">
        <v>1</v>
      </c>
      <c r="U6560">
        <v>90732</v>
      </c>
      <c r="V6560">
        <v>90732</v>
      </c>
    </row>
    <row r="6561" spans="1:22">
      <c r="A6561" t="s">
        <v>196</v>
      </c>
      <c r="B6561">
        <v>85</v>
      </c>
      <c r="C6561" t="s">
        <v>2177</v>
      </c>
      <c r="D6561">
        <v>740</v>
      </c>
      <c r="E6561" t="s">
        <v>2208</v>
      </c>
      <c r="F6561">
        <v>1005</v>
      </c>
      <c r="G6561" t="s">
        <v>2177</v>
      </c>
      <c r="H6561">
        <v>2015</v>
      </c>
      <c r="I6561" t="s">
        <v>4</v>
      </c>
      <c r="J6561">
        <v>3015</v>
      </c>
      <c r="K6561" t="s">
        <v>4</v>
      </c>
      <c r="L6561">
        <v>4408</v>
      </c>
      <c r="M6561" t="s">
        <v>1791</v>
      </c>
      <c r="N6561" t="s">
        <v>199</v>
      </c>
      <c r="O6561">
        <v>0</v>
      </c>
      <c r="P6561">
        <v>15</v>
      </c>
      <c r="Q6561" t="s">
        <v>264</v>
      </c>
      <c r="R6561" t="s">
        <v>201</v>
      </c>
      <c r="S6561">
        <v>0</v>
      </c>
      <c r="T6561">
        <v>0</v>
      </c>
      <c r="U6561">
        <v>20858</v>
      </c>
      <c r="V6561">
        <v>20858</v>
      </c>
    </row>
    <row r="6562" spans="1:22">
      <c r="A6562" t="s">
        <v>196</v>
      </c>
      <c r="B6562">
        <v>85</v>
      </c>
      <c r="C6562" t="s">
        <v>2177</v>
      </c>
      <c r="D6562">
        <v>740</v>
      </c>
      <c r="E6562" t="s">
        <v>2208</v>
      </c>
      <c r="F6562">
        <v>1005</v>
      </c>
      <c r="G6562" t="s">
        <v>2177</v>
      </c>
      <c r="H6562">
        <v>2015</v>
      </c>
      <c r="I6562" t="s">
        <v>4</v>
      </c>
      <c r="J6562">
        <v>3015</v>
      </c>
      <c r="K6562" t="s">
        <v>4</v>
      </c>
      <c r="L6562">
        <v>4409</v>
      </c>
      <c r="M6562" t="s">
        <v>2224</v>
      </c>
      <c r="N6562" t="s">
        <v>721</v>
      </c>
      <c r="O6562">
        <v>53</v>
      </c>
      <c r="P6562">
        <v>9532</v>
      </c>
      <c r="Q6562" t="s">
        <v>901</v>
      </c>
      <c r="R6562" t="s">
        <v>713</v>
      </c>
      <c r="S6562">
        <v>6</v>
      </c>
      <c r="T6562">
        <v>1</v>
      </c>
      <c r="U6562">
        <v>51.4</v>
      </c>
      <c r="V6562">
        <v>641472</v>
      </c>
    </row>
    <row r="6563" spans="1:22">
      <c r="A6563" t="s">
        <v>196</v>
      </c>
      <c r="B6563">
        <v>85</v>
      </c>
      <c r="C6563" t="s">
        <v>2177</v>
      </c>
      <c r="D6563">
        <v>740</v>
      </c>
      <c r="E6563" t="s">
        <v>2208</v>
      </c>
      <c r="F6563">
        <v>1005</v>
      </c>
      <c r="G6563" t="s">
        <v>2177</v>
      </c>
      <c r="H6563">
        <v>2015</v>
      </c>
      <c r="I6563" t="s">
        <v>4</v>
      </c>
      <c r="J6563">
        <v>3015</v>
      </c>
      <c r="K6563" t="s">
        <v>4</v>
      </c>
      <c r="L6563">
        <v>4409</v>
      </c>
      <c r="M6563" t="s">
        <v>2224</v>
      </c>
      <c r="N6563" t="s">
        <v>721</v>
      </c>
      <c r="O6563">
        <v>53</v>
      </c>
      <c r="P6563">
        <v>1819</v>
      </c>
      <c r="Q6563" t="s">
        <v>2225</v>
      </c>
      <c r="R6563" t="s">
        <v>713</v>
      </c>
      <c r="S6563">
        <v>5</v>
      </c>
      <c r="T6563">
        <v>1</v>
      </c>
      <c r="U6563">
        <v>52.5</v>
      </c>
      <c r="V6563">
        <v>546000</v>
      </c>
    </row>
    <row r="6564" spans="1:22">
      <c r="A6564" t="s">
        <v>196</v>
      </c>
      <c r="B6564">
        <v>85</v>
      </c>
      <c r="C6564" t="s">
        <v>2177</v>
      </c>
      <c r="D6564">
        <v>740</v>
      </c>
      <c r="E6564" t="s">
        <v>2208</v>
      </c>
      <c r="F6564">
        <v>1005</v>
      </c>
      <c r="G6564" t="s">
        <v>2177</v>
      </c>
      <c r="H6564">
        <v>2015</v>
      </c>
      <c r="I6564" t="s">
        <v>4</v>
      </c>
      <c r="J6564">
        <v>3015</v>
      </c>
      <c r="K6564" t="s">
        <v>4</v>
      </c>
      <c r="L6564">
        <v>4409</v>
      </c>
      <c r="M6564" t="s">
        <v>2224</v>
      </c>
      <c r="N6564" t="s">
        <v>255</v>
      </c>
      <c r="O6564">
        <v>3</v>
      </c>
      <c r="P6564">
        <v>1814</v>
      </c>
      <c r="Q6564" t="s">
        <v>1786</v>
      </c>
      <c r="R6564" t="s">
        <v>201</v>
      </c>
      <c r="S6564">
        <v>1</v>
      </c>
      <c r="T6564">
        <v>1</v>
      </c>
      <c r="U6564">
        <v>136908</v>
      </c>
      <c r="V6564">
        <v>136908</v>
      </c>
    </row>
    <row r="6565" spans="1:22">
      <c r="A6565" t="s">
        <v>196</v>
      </c>
      <c r="B6565">
        <v>85</v>
      </c>
      <c r="C6565" t="s">
        <v>2177</v>
      </c>
      <c r="D6565">
        <v>740</v>
      </c>
      <c r="E6565" t="s">
        <v>2208</v>
      </c>
      <c r="F6565">
        <v>1005</v>
      </c>
      <c r="G6565" t="s">
        <v>2177</v>
      </c>
      <c r="H6565">
        <v>2015</v>
      </c>
      <c r="I6565" t="s">
        <v>4</v>
      </c>
      <c r="J6565">
        <v>3015</v>
      </c>
      <c r="K6565" t="s">
        <v>4</v>
      </c>
      <c r="L6565">
        <v>4409</v>
      </c>
      <c r="M6565" t="s">
        <v>2224</v>
      </c>
      <c r="N6565" t="s">
        <v>253</v>
      </c>
      <c r="O6565">
        <v>10</v>
      </c>
      <c r="P6565">
        <v>1812</v>
      </c>
      <c r="Q6565" t="s">
        <v>2226</v>
      </c>
      <c r="R6565" t="s">
        <v>201</v>
      </c>
      <c r="S6565">
        <v>1</v>
      </c>
      <c r="T6565">
        <v>1</v>
      </c>
      <c r="U6565">
        <v>113568</v>
      </c>
      <c r="V6565">
        <v>113568</v>
      </c>
    </row>
    <row r="6566" spans="1:22">
      <c r="A6566" t="s">
        <v>196</v>
      </c>
      <c r="B6566">
        <v>85</v>
      </c>
      <c r="C6566" t="s">
        <v>2177</v>
      </c>
      <c r="D6566">
        <v>740</v>
      </c>
      <c r="E6566" t="s">
        <v>2208</v>
      </c>
      <c r="F6566">
        <v>1005</v>
      </c>
      <c r="G6566" t="s">
        <v>2177</v>
      </c>
      <c r="H6566">
        <v>2015</v>
      </c>
      <c r="I6566" t="s">
        <v>4</v>
      </c>
      <c r="J6566">
        <v>3015</v>
      </c>
      <c r="K6566" t="s">
        <v>4</v>
      </c>
      <c r="L6566">
        <v>4409</v>
      </c>
      <c r="M6566" t="s">
        <v>2224</v>
      </c>
      <c r="N6566" t="s">
        <v>351</v>
      </c>
      <c r="O6566">
        <v>1</v>
      </c>
      <c r="P6566" t="s">
        <v>352</v>
      </c>
      <c r="Q6566" t="s">
        <v>353</v>
      </c>
      <c r="R6566" t="s">
        <v>201</v>
      </c>
      <c r="S6566">
        <v>1</v>
      </c>
      <c r="T6566">
        <v>1</v>
      </c>
      <c r="U6566">
        <v>108576</v>
      </c>
      <c r="V6566">
        <v>108576</v>
      </c>
    </row>
    <row r="6567" spans="1:22">
      <c r="A6567" t="s">
        <v>196</v>
      </c>
      <c r="B6567">
        <v>85</v>
      </c>
      <c r="C6567" t="s">
        <v>2177</v>
      </c>
      <c r="D6567">
        <v>740</v>
      </c>
      <c r="E6567" t="s">
        <v>2208</v>
      </c>
      <c r="F6567">
        <v>1005</v>
      </c>
      <c r="G6567" t="s">
        <v>2177</v>
      </c>
      <c r="H6567">
        <v>2015</v>
      </c>
      <c r="I6567" t="s">
        <v>4</v>
      </c>
      <c r="J6567">
        <v>3015</v>
      </c>
      <c r="K6567" t="s">
        <v>4</v>
      </c>
      <c r="L6567">
        <v>4409</v>
      </c>
      <c r="M6567" t="s">
        <v>2224</v>
      </c>
      <c r="N6567" t="s">
        <v>392</v>
      </c>
      <c r="O6567">
        <v>4</v>
      </c>
      <c r="P6567">
        <v>345</v>
      </c>
      <c r="Q6567" t="s">
        <v>393</v>
      </c>
      <c r="R6567" t="s">
        <v>201</v>
      </c>
      <c r="S6567">
        <v>1</v>
      </c>
      <c r="T6567">
        <v>1</v>
      </c>
      <c r="U6567">
        <v>157332</v>
      </c>
      <c r="V6567">
        <v>157332</v>
      </c>
    </row>
    <row r="6568" spans="1:22">
      <c r="A6568" t="s">
        <v>196</v>
      </c>
      <c r="B6568">
        <v>85</v>
      </c>
      <c r="C6568" t="s">
        <v>2177</v>
      </c>
      <c r="D6568">
        <v>740</v>
      </c>
      <c r="E6568" t="s">
        <v>2208</v>
      </c>
      <c r="F6568">
        <v>1005</v>
      </c>
      <c r="G6568" t="s">
        <v>2177</v>
      </c>
      <c r="H6568">
        <v>2015</v>
      </c>
      <c r="I6568" t="s">
        <v>4</v>
      </c>
      <c r="J6568">
        <v>3015</v>
      </c>
      <c r="K6568" t="s">
        <v>4</v>
      </c>
      <c r="L6568">
        <v>4409</v>
      </c>
      <c r="M6568" t="s">
        <v>2224</v>
      </c>
      <c r="N6568" t="s">
        <v>199</v>
      </c>
      <c r="O6568">
        <v>0</v>
      </c>
      <c r="P6568">
        <v>15</v>
      </c>
      <c r="Q6568" t="s">
        <v>264</v>
      </c>
      <c r="R6568" t="s">
        <v>201</v>
      </c>
      <c r="S6568">
        <v>0</v>
      </c>
      <c r="T6568">
        <v>0</v>
      </c>
      <c r="U6568">
        <v>10490</v>
      </c>
      <c r="V6568">
        <v>10490</v>
      </c>
    </row>
    <row r="6569" spans="1:22">
      <c r="A6569" t="s">
        <v>196</v>
      </c>
      <c r="B6569">
        <v>85</v>
      </c>
      <c r="C6569" t="s">
        <v>2177</v>
      </c>
      <c r="D6569">
        <v>740</v>
      </c>
      <c r="E6569" t="s">
        <v>2208</v>
      </c>
      <c r="F6569">
        <v>1005</v>
      </c>
      <c r="G6569" t="s">
        <v>2177</v>
      </c>
      <c r="H6569">
        <v>2015</v>
      </c>
      <c r="I6569" t="s">
        <v>4</v>
      </c>
      <c r="J6569">
        <v>3015</v>
      </c>
      <c r="K6569" t="s">
        <v>4</v>
      </c>
      <c r="L6569">
        <v>4409</v>
      </c>
      <c r="M6569" t="s">
        <v>2224</v>
      </c>
      <c r="N6569" t="s">
        <v>199</v>
      </c>
      <c r="O6569">
        <v>0</v>
      </c>
      <c r="P6569">
        <v>12</v>
      </c>
      <c r="Q6569" t="s">
        <v>724</v>
      </c>
      <c r="R6569" t="s">
        <v>201</v>
      </c>
      <c r="S6569">
        <v>0</v>
      </c>
      <c r="T6569">
        <v>0</v>
      </c>
      <c r="U6569">
        <v>17812</v>
      </c>
      <c r="V6569">
        <v>17812</v>
      </c>
    </row>
    <row r="6570" spans="1:22">
      <c r="A6570" t="s">
        <v>196</v>
      </c>
      <c r="B6570">
        <v>85</v>
      </c>
      <c r="C6570" t="s">
        <v>2177</v>
      </c>
      <c r="D6570">
        <v>740</v>
      </c>
      <c r="E6570" t="s">
        <v>2208</v>
      </c>
      <c r="F6570">
        <v>1005</v>
      </c>
      <c r="G6570" t="s">
        <v>2177</v>
      </c>
      <c r="H6570">
        <v>2015</v>
      </c>
      <c r="I6570" t="s">
        <v>4</v>
      </c>
      <c r="J6570">
        <v>3015</v>
      </c>
      <c r="K6570" t="s">
        <v>4</v>
      </c>
      <c r="L6570">
        <v>4410</v>
      </c>
      <c r="M6570" t="s">
        <v>2227</v>
      </c>
      <c r="N6570" t="s">
        <v>1294</v>
      </c>
      <c r="O6570">
        <v>0</v>
      </c>
      <c r="P6570">
        <v>9681</v>
      </c>
      <c r="Q6570" t="s">
        <v>338</v>
      </c>
      <c r="R6570" t="s">
        <v>201</v>
      </c>
      <c r="S6570">
        <v>1</v>
      </c>
      <c r="T6570">
        <v>1</v>
      </c>
      <c r="U6570">
        <v>192852</v>
      </c>
      <c r="V6570">
        <v>192852</v>
      </c>
    </row>
    <row r="6571" spans="1:22">
      <c r="A6571" t="s">
        <v>196</v>
      </c>
      <c r="B6571">
        <v>85</v>
      </c>
      <c r="C6571" t="s">
        <v>2177</v>
      </c>
      <c r="D6571">
        <v>740</v>
      </c>
      <c r="E6571" t="s">
        <v>2208</v>
      </c>
      <c r="F6571">
        <v>1005</v>
      </c>
      <c r="G6571" t="s">
        <v>2177</v>
      </c>
      <c r="H6571">
        <v>2015</v>
      </c>
      <c r="I6571" t="s">
        <v>4</v>
      </c>
      <c r="J6571">
        <v>3015</v>
      </c>
      <c r="K6571" t="s">
        <v>4</v>
      </c>
      <c r="L6571">
        <v>4410</v>
      </c>
      <c r="M6571" t="s">
        <v>2227</v>
      </c>
      <c r="N6571" t="s">
        <v>341</v>
      </c>
      <c r="O6571">
        <v>1</v>
      </c>
      <c r="P6571">
        <v>6409</v>
      </c>
      <c r="Q6571" t="s">
        <v>1010</v>
      </c>
      <c r="R6571" t="s">
        <v>201</v>
      </c>
      <c r="S6571">
        <v>1</v>
      </c>
      <c r="T6571">
        <v>1</v>
      </c>
      <c r="U6571">
        <v>68616</v>
      </c>
      <c r="V6571">
        <v>68616</v>
      </c>
    </row>
    <row r="6572" spans="1:22">
      <c r="A6572" t="s">
        <v>196</v>
      </c>
      <c r="B6572">
        <v>85</v>
      </c>
      <c r="C6572" t="s">
        <v>2177</v>
      </c>
      <c r="D6572">
        <v>740</v>
      </c>
      <c r="E6572" t="s">
        <v>2208</v>
      </c>
      <c r="F6572">
        <v>1005</v>
      </c>
      <c r="G6572" t="s">
        <v>2177</v>
      </c>
      <c r="H6572">
        <v>2015</v>
      </c>
      <c r="I6572" t="s">
        <v>4</v>
      </c>
      <c r="J6572">
        <v>3015</v>
      </c>
      <c r="K6572" t="s">
        <v>4</v>
      </c>
      <c r="L6572">
        <v>4410</v>
      </c>
      <c r="M6572" t="s">
        <v>2227</v>
      </c>
      <c r="N6572" t="s">
        <v>253</v>
      </c>
      <c r="O6572">
        <v>10</v>
      </c>
      <c r="P6572">
        <v>5753</v>
      </c>
      <c r="Q6572" t="s">
        <v>2089</v>
      </c>
      <c r="R6572" t="s">
        <v>201</v>
      </c>
      <c r="S6572">
        <v>1</v>
      </c>
      <c r="T6572">
        <v>1</v>
      </c>
      <c r="U6572">
        <v>85128</v>
      </c>
      <c r="V6572">
        <v>85128</v>
      </c>
    </row>
    <row r="6573" spans="1:22">
      <c r="A6573" t="s">
        <v>196</v>
      </c>
      <c r="B6573">
        <v>85</v>
      </c>
      <c r="C6573" t="s">
        <v>2177</v>
      </c>
      <c r="D6573">
        <v>740</v>
      </c>
      <c r="E6573" t="s">
        <v>2208</v>
      </c>
      <c r="F6573">
        <v>1005</v>
      </c>
      <c r="G6573" t="s">
        <v>2177</v>
      </c>
      <c r="H6573">
        <v>2015</v>
      </c>
      <c r="I6573" t="s">
        <v>4</v>
      </c>
      <c r="J6573">
        <v>3015</v>
      </c>
      <c r="K6573" t="s">
        <v>4</v>
      </c>
      <c r="L6573">
        <v>4410</v>
      </c>
      <c r="M6573" t="s">
        <v>2227</v>
      </c>
      <c r="N6573" t="s">
        <v>351</v>
      </c>
      <c r="O6573">
        <v>1</v>
      </c>
      <c r="P6573">
        <v>810</v>
      </c>
      <c r="Q6573" t="s">
        <v>1803</v>
      </c>
      <c r="R6573" t="s">
        <v>201</v>
      </c>
      <c r="S6573">
        <v>1</v>
      </c>
      <c r="T6573">
        <v>1</v>
      </c>
      <c r="U6573">
        <v>62544</v>
      </c>
      <c r="V6573">
        <v>62544</v>
      </c>
    </row>
    <row r="6574" spans="1:22">
      <c r="A6574" t="s">
        <v>196</v>
      </c>
      <c r="B6574">
        <v>85</v>
      </c>
      <c r="C6574" t="s">
        <v>2177</v>
      </c>
      <c r="D6574">
        <v>740</v>
      </c>
      <c r="E6574" t="s">
        <v>2208</v>
      </c>
      <c r="F6574">
        <v>1005</v>
      </c>
      <c r="G6574" t="s">
        <v>2177</v>
      </c>
      <c r="H6574">
        <v>2015</v>
      </c>
      <c r="I6574" t="s">
        <v>4</v>
      </c>
      <c r="J6574">
        <v>3015</v>
      </c>
      <c r="K6574" t="s">
        <v>4</v>
      </c>
      <c r="L6574">
        <v>4410</v>
      </c>
      <c r="M6574" t="s">
        <v>2227</v>
      </c>
      <c r="N6574" t="s">
        <v>809</v>
      </c>
      <c r="O6574">
        <v>1</v>
      </c>
      <c r="P6574">
        <v>460</v>
      </c>
      <c r="Q6574" t="s">
        <v>810</v>
      </c>
      <c r="R6574" t="s">
        <v>201</v>
      </c>
      <c r="S6574">
        <v>1</v>
      </c>
      <c r="T6574">
        <v>1</v>
      </c>
      <c r="U6574">
        <v>47364</v>
      </c>
      <c r="V6574">
        <v>47364</v>
      </c>
    </row>
    <row r="6575" spans="1:22">
      <c r="A6575" t="s">
        <v>196</v>
      </c>
      <c r="B6575">
        <v>85</v>
      </c>
      <c r="C6575" t="s">
        <v>2177</v>
      </c>
      <c r="D6575">
        <v>740</v>
      </c>
      <c r="E6575" t="s">
        <v>2208</v>
      </c>
      <c r="F6575">
        <v>1005</v>
      </c>
      <c r="G6575" t="s">
        <v>2177</v>
      </c>
      <c r="H6575">
        <v>2015</v>
      </c>
      <c r="I6575" t="s">
        <v>4</v>
      </c>
      <c r="J6575">
        <v>3015</v>
      </c>
      <c r="K6575" t="s">
        <v>4</v>
      </c>
      <c r="L6575">
        <v>4410</v>
      </c>
      <c r="M6575" t="s">
        <v>2227</v>
      </c>
      <c r="N6575" t="s">
        <v>622</v>
      </c>
      <c r="O6575">
        <v>1</v>
      </c>
      <c r="P6575" t="s">
        <v>667</v>
      </c>
      <c r="Q6575" t="s">
        <v>205</v>
      </c>
      <c r="R6575" t="s">
        <v>201</v>
      </c>
      <c r="S6575">
        <v>1</v>
      </c>
      <c r="T6575">
        <v>1</v>
      </c>
      <c r="U6575">
        <v>51936</v>
      </c>
      <c r="V6575">
        <v>51936</v>
      </c>
    </row>
    <row r="6576" spans="1:22">
      <c r="A6576" t="s">
        <v>196</v>
      </c>
      <c r="B6576">
        <v>85</v>
      </c>
      <c r="C6576" t="s">
        <v>2177</v>
      </c>
      <c r="D6576">
        <v>740</v>
      </c>
      <c r="E6576" t="s">
        <v>2208</v>
      </c>
      <c r="F6576">
        <v>1005</v>
      </c>
      <c r="G6576" t="s">
        <v>2177</v>
      </c>
      <c r="H6576">
        <v>2015</v>
      </c>
      <c r="I6576" t="s">
        <v>4</v>
      </c>
      <c r="J6576">
        <v>3015</v>
      </c>
      <c r="K6576" t="s">
        <v>4</v>
      </c>
      <c r="L6576">
        <v>4410</v>
      </c>
      <c r="M6576" t="s">
        <v>2227</v>
      </c>
      <c r="N6576" t="s">
        <v>1314</v>
      </c>
      <c r="O6576">
        <v>0</v>
      </c>
      <c r="P6576" t="s">
        <v>1471</v>
      </c>
      <c r="Q6576" t="s">
        <v>605</v>
      </c>
      <c r="R6576" t="s">
        <v>201</v>
      </c>
      <c r="S6576">
        <v>1</v>
      </c>
      <c r="T6576">
        <v>1</v>
      </c>
      <c r="U6576">
        <v>133836</v>
      </c>
      <c r="V6576">
        <v>133836</v>
      </c>
    </row>
    <row r="6577" spans="1:22">
      <c r="A6577" t="s">
        <v>196</v>
      </c>
      <c r="B6577">
        <v>85</v>
      </c>
      <c r="C6577" t="s">
        <v>2177</v>
      </c>
      <c r="D6577">
        <v>740</v>
      </c>
      <c r="E6577" t="s">
        <v>2208</v>
      </c>
      <c r="F6577">
        <v>1005</v>
      </c>
      <c r="G6577" t="s">
        <v>2177</v>
      </c>
      <c r="H6577">
        <v>2015</v>
      </c>
      <c r="I6577" t="s">
        <v>4</v>
      </c>
      <c r="J6577">
        <v>3015</v>
      </c>
      <c r="K6577" t="s">
        <v>4</v>
      </c>
      <c r="L6577">
        <v>4410</v>
      </c>
      <c r="M6577" t="s">
        <v>2227</v>
      </c>
      <c r="N6577" t="s">
        <v>249</v>
      </c>
      <c r="O6577">
        <v>10</v>
      </c>
      <c r="P6577">
        <v>311</v>
      </c>
      <c r="Q6577" t="s">
        <v>661</v>
      </c>
      <c r="R6577" t="s">
        <v>201</v>
      </c>
      <c r="S6577">
        <v>1</v>
      </c>
      <c r="T6577">
        <v>1</v>
      </c>
      <c r="U6577">
        <v>118956</v>
      </c>
      <c r="V6577">
        <v>118956</v>
      </c>
    </row>
    <row r="6578" spans="1:22">
      <c r="A6578" t="s">
        <v>196</v>
      </c>
      <c r="B6578">
        <v>85</v>
      </c>
      <c r="C6578" t="s">
        <v>2177</v>
      </c>
      <c r="D6578">
        <v>740</v>
      </c>
      <c r="E6578" t="s">
        <v>2208</v>
      </c>
      <c r="F6578">
        <v>1005</v>
      </c>
      <c r="G6578" t="s">
        <v>2177</v>
      </c>
      <c r="H6578">
        <v>2015</v>
      </c>
      <c r="I6578" t="s">
        <v>4</v>
      </c>
      <c r="J6578">
        <v>3015</v>
      </c>
      <c r="K6578" t="s">
        <v>4</v>
      </c>
      <c r="L6578">
        <v>4410</v>
      </c>
      <c r="M6578" t="s">
        <v>2227</v>
      </c>
      <c r="N6578" t="s">
        <v>249</v>
      </c>
      <c r="O6578">
        <v>10</v>
      </c>
      <c r="P6578">
        <v>310</v>
      </c>
      <c r="Q6578" t="s">
        <v>447</v>
      </c>
      <c r="R6578" t="s">
        <v>201</v>
      </c>
      <c r="S6578">
        <v>1</v>
      </c>
      <c r="T6578">
        <v>1</v>
      </c>
      <c r="U6578">
        <v>118956</v>
      </c>
      <c r="V6578">
        <v>118956</v>
      </c>
    </row>
    <row r="6579" spans="1:22">
      <c r="A6579" t="s">
        <v>196</v>
      </c>
      <c r="B6579">
        <v>85</v>
      </c>
      <c r="C6579" t="s">
        <v>2177</v>
      </c>
      <c r="D6579">
        <v>740</v>
      </c>
      <c r="E6579" t="s">
        <v>2208</v>
      </c>
      <c r="F6579">
        <v>1005</v>
      </c>
      <c r="G6579" t="s">
        <v>2177</v>
      </c>
      <c r="H6579">
        <v>2015</v>
      </c>
      <c r="I6579" t="s">
        <v>4</v>
      </c>
      <c r="J6579">
        <v>3015</v>
      </c>
      <c r="K6579" t="s">
        <v>4</v>
      </c>
      <c r="L6579">
        <v>4410</v>
      </c>
      <c r="M6579" t="s">
        <v>2227</v>
      </c>
      <c r="N6579" t="s">
        <v>249</v>
      </c>
      <c r="O6579">
        <v>10</v>
      </c>
      <c r="P6579">
        <v>310</v>
      </c>
      <c r="Q6579" t="s">
        <v>447</v>
      </c>
      <c r="R6579" t="s">
        <v>201</v>
      </c>
      <c r="S6579">
        <v>1</v>
      </c>
      <c r="T6579">
        <v>1</v>
      </c>
      <c r="U6579">
        <v>113568</v>
      </c>
      <c r="V6579">
        <v>113568</v>
      </c>
    </row>
    <row r="6580" spans="1:22">
      <c r="A6580" t="s">
        <v>196</v>
      </c>
      <c r="B6580">
        <v>85</v>
      </c>
      <c r="C6580" t="s">
        <v>2177</v>
      </c>
      <c r="D6580">
        <v>740</v>
      </c>
      <c r="E6580" t="s">
        <v>2208</v>
      </c>
      <c r="F6580">
        <v>1005</v>
      </c>
      <c r="G6580" t="s">
        <v>2177</v>
      </c>
      <c r="H6580">
        <v>2015</v>
      </c>
      <c r="I6580" t="s">
        <v>4</v>
      </c>
      <c r="J6580">
        <v>3015</v>
      </c>
      <c r="K6580" t="s">
        <v>4</v>
      </c>
      <c r="L6580">
        <v>4410</v>
      </c>
      <c r="M6580" t="s">
        <v>2227</v>
      </c>
      <c r="N6580" t="s">
        <v>249</v>
      </c>
      <c r="O6580">
        <v>10</v>
      </c>
      <c r="P6580">
        <v>310</v>
      </c>
      <c r="Q6580" t="s">
        <v>447</v>
      </c>
      <c r="R6580" t="s">
        <v>201</v>
      </c>
      <c r="S6580">
        <v>2</v>
      </c>
      <c r="T6580">
        <v>1</v>
      </c>
      <c r="U6580">
        <v>89112</v>
      </c>
      <c r="V6580">
        <v>178224</v>
      </c>
    </row>
    <row r="6581" spans="1:22">
      <c r="A6581" t="s">
        <v>196</v>
      </c>
      <c r="B6581">
        <v>85</v>
      </c>
      <c r="C6581" t="s">
        <v>2177</v>
      </c>
      <c r="D6581">
        <v>740</v>
      </c>
      <c r="E6581" t="s">
        <v>2208</v>
      </c>
      <c r="F6581">
        <v>1005</v>
      </c>
      <c r="G6581" t="s">
        <v>2177</v>
      </c>
      <c r="H6581">
        <v>2015</v>
      </c>
      <c r="I6581" t="s">
        <v>4</v>
      </c>
      <c r="J6581">
        <v>3015</v>
      </c>
      <c r="K6581" t="s">
        <v>4</v>
      </c>
      <c r="L6581">
        <v>4410</v>
      </c>
      <c r="M6581" t="s">
        <v>2227</v>
      </c>
      <c r="N6581" t="s">
        <v>341</v>
      </c>
      <c r="O6581">
        <v>1</v>
      </c>
      <c r="P6581">
        <v>308</v>
      </c>
      <c r="Q6581" t="s">
        <v>355</v>
      </c>
      <c r="R6581" t="s">
        <v>201</v>
      </c>
      <c r="S6581">
        <v>2</v>
      </c>
      <c r="T6581">
        <v>1</v>
      </c>
      <c r="U6581">
        <v>68616</v>
      </c>
      <c r="V6581">
        <v>137232</v>
      </c>
    </row>
    <row r="6582" spans="1:22">
      <c r="A6582" t="s">
        <v>196</v>
      </c>
      <c r="B6582">
        <v>85</v>
      </c>
      <c r="C6582" t="s">
        <v>2177</v>
      </c>
      <c r="D6582">
        <v>740</v>
      </c>
      <c r="E6582" t="s">
        <v>2208</v>
      </c>
      <c r="F6582">
        <v>1005</v>
      </c>
      <c r="G6582" t="s">
        <v>2177</v>
      </c>
      <c r="H6582">
        <v>2015</v>
      </c>
      <c r="I6582" t="s">
        <v>4</v>
      </c>
      <c r="J6582">
        <v>3015</v>
      </c>
      <c r="K6582" t="s">
        <v>4</v>
      </c>
      <c r="L6582">
        <v>4410</v>
      </c>
      <c r="M6582" t="s">
        <v>2227</v>
      </c>
      <c r="N6582" t="s">
        <v>688</v>
      </c>
      <c r="O6582">
        <v>4</v>
      </c>
      <c r="P6582">
        <v>192</v>
      </c>
      <c r="Q6582" t="s">
        <v>689</v>
      </c>
      <c r="R6582" t="s">
        <v>201</v>
      </c>
      <c r="S6582">
        <v>1</v>
      </c>
      <c r="T6582">
        <v>1</v>
      </c>
      <c r="U6582">
        <v>118836</v>
      </c>
      <c r="V6582">
        <v>118836</v>
      </c>
    </row>
    <row r="6583" spans="1:22">
      <c r="A6583" t="s">
        <v>196</v>
      </c>
      <c r="B6583">
        <v>85</v>
      </c>
      <c r="C6583" t="s">
        <v>2177</v>
      </c>
      <c r="D6583">
        <v>740</v>
      </c>
      <c r="E6583" t="s">
        <v>2208</v>
      </c>
      <c r="F6583">
        <v>1005</v>
      </c>
      <c r="G6583" t="s">
        <v>2177</v>
      </c>
      <c r="H6583">
        <v>2015</v>
      </c>
      <c r="I6583" t="s">
        <v>4</v>
      </c>
      <c r="J6583">
        <v>3015</v>
      </c>
      <c r="K6583" t="s">
        <v>4</v>
      </c>
      <c r="L6583">
        <v>4410</v>
      </c>
      <c r="M6583" t="s">
        <v>2227</v>
      </c>
      <c r="N6583" t="s">
        <v>688</v>
      </c>
      <c r="O6583">
        <v>4</v>
      </c>
      <c r="P6583">
        <v>192</v>
      </c>
      <c r="Q6583" t="s">
        <v>689</v>
      </c>
      <c r="R6583" t="s">
        <v>201</v>
      </c>
      <c r="S6583">
        <v>1</v>
      </c>
      <c r="T6583">
        <v>1</v>
      </c>
      <c r="U6583">
        <v>81636</v>
      </c>
      <c r="V6583">
        <v>81636</v>
      </c>
    </row>
    <row r="6584" spans="1:22">
      <c r="A6584" t="s">
        <v>196</v>
      </c>
      <c r="B6584">
        <v>85</v>
      </c>
      <c r="C6584" t="s">
        <v>2177</v>
      </c>
      <c r="D6584">
        <v>740</v>
      </c>
      <c r="E6584" t="s">
        <v>2208</v>
      </c>
      <c r="F6584">
        <v>1005</v>
      </c>
      <c r="G6584" t="s">
        <v>2177</v>
      </c>
      <c r="H6584">
        <v>2015</v>
      </c>
      <c r="I6584" t="s">
        <v>4</v>
      </c>
      <c r="J6584">
        <v>3015</v>
      </c>
      <c r="K6584" t="s">
        <v>4</v>
      </c>
      <c r="L6584">
        <v>4410</v>
      </c>
      <c r="M6584" t="s">
        <v>2227</v>
      </c>
      <c r="N6584" t="s">
        <v>199</v>
      </c>
      <c r="O6584">
        <v>0</v>
      </c>
      <c r="P6584">
        <v>15</v>
      </c>
      <c r="Q6584" t="s">
        <v>264</v>
      </c>
      <c r="R6584" t="s">
        <v>201</v>
      </c>
      <c r="S6584">
        <v>0</v>
      </c>
      <c r="T6584">
        <v>0</v>
      </c>
      <c r="U6584">
        <v>13992</v>
      </c>
      <c r="V6584">
        <v>13992</v>
      </c>
    </row>
    <row r="6585" spans="1:22">
      <c r="A6585" t="s">
        <v>196</v>
      </c>
      <c r="B6585">
        <v>85</v>
      </c>
      <c r="C6585" t="s">
        <v>2177</v>
      </c>
      <c r="D6585">
        <v>740</v>
      </c>
      <c r="E6585" t="s">
        <v>2208</v>
      </c>
      <c r="F6585">
        <v>1005</v>
      </c>
      <c r="G6585" t="s">
        <v>2177</v>
      </c>
      <c r="H6585">
        <v>2015</v>
      </c>
      <c r="I6585" t="s">
        <v>4</v>
      </c>
      <c r="J6585">
        <v>3015</v>
      </c>
      <c r="K6585" t="s">
        <v>4</v>
      </c>
      <c r="L6585">
        <v>4411</v>
      </c>
      <c r="M6585" t="s">
        <v>2228</v>
      </c>
      <c r="N6585" t="s">
        <v>1314</v>
      </c>
      <c r="O6585">
        <v>0</v>
      </c>
      <c r="P6585" t="s">
        <v>1471</v>
      </c>
      <c r="Q6585" t="s">
        <v>605</v>
      </c>
      <c r="R6585" t="s">
        <v>201</v>
      </c>
      <c r="S6585">
        <v>1</v>
      </c>
      <c r="T6585">
        <v>1</v>
      </c>
      <c r="U6585">
        <v>167700</v>
      </c>
      <c r="V6585">
        <v>167700</v>
      </c>
    </row>
    <row r="6586" spans="1:22">
      <c r="A6586" t="s">
        <v>196</v>
      </c>
      <c r="B6586">
        <v>85</v>
      </c>
      <c r="C6586" t="s">
        <v>2177</v>
      </c>
      <c r="D6586">
        <v>740</v>
      </c>
      <c r="E6586" t="s">
        <v>2208</v>
      </c>
      <c r="F6586">
        <v>1005</v>
      </c>
      <c r="G6586" t="s">
        <v>2177</v>
      </c>
      <c r="H6586">
        <v>2015</v>
      </c>
      <c r="I6586" t="s">
        <v>4</v>
      </c>
      <c r="J6586">
        <v>3015</v>
      </c>
      <c r="K6586" t="s">
        <v>4</v>
      </c>
      <c r="L6586">
        <v>4411</v>
      </c>
      <c r="M6586" t="s">
        <v>2228</v>
      </c>
      <c r="N6586" t="s">
        <v>249</v>
      </c>
      <c r="O6586">
        <v>10</v>
      </c>
      <c r="P6586">
        <v>310</v>
      </c>
      <c r="Q6586" t="s">
        <v>447</v>
      </c>
      <c r="R6586" t="s">
        <v>201</v>
      </c>
      <c r="S6586">
        <v>1</v>
      </c>
      <c r="T6586">
        <v>1</v>
      </c>
      <c r="U6586">
        <v>89112</v>
      </c>
      <c r="V6586">
        <v>89112</v>
      </c>
    </row>
    <row r="6587" spans="1:22">
      <c r="A6587" t="s">
        <v>196</v>
      </c>
      <c r="B6587">
        <v>85</v>
      </c>
      <c r="C6587" t="s">
        <v>2177</v>
      </c>
      <c r="D6587">
        <v>740</v>
      </c>
      <c r="E6587" t="s">
        <v>2208</v>
      </c>
      <c r="F6587">
        <v>1005</v>
      </c>
      <c r="G6587" t="s">
        <v>2177</v>
      </c>
      <c r="H6587">
        <v>2015</v>
      </c>
      <c r="I6587" t="s">
        <v>4</v>
      </c>
      <c r="J6587">
        <v>3015</v>
      </c>
      <c r="K6587" t="s">
        <v>4</v>
      </c>
      <c r="L6587">
        <v>4411</v>
      </c>
      <c r="M6587" t="s">
        <v>2228</v>
      </c>
      <c r="N6587" t="s">
        <v>688</v>
      </c>
      <c r="O6587">
        <v>4</v>
      </c>
      <c r="P6587">
        <v>228</v>
      </c>
      <c r="Q6587" t="s">
        <v>2229</v>
      </c>
      <c r="R6587" t="s">
        <v>201</v>
      </c>
      <c r="S6587">
        <v>1</v>
      </c>
      <c r="T6587">
        <v>1</v>
      </c>
      <c r="U6587">
        <v>81636</v>
      </c>
      <c r="V6587">
        <v>81636</v>
      </c>
    </row>
    <row r="6588" spans="1:22">
      <c r="A6588" t="s">
        <v>196</v>
      </c>
      <c r="B6588">
        <v>85</v>
      </c>
      <c r="C6588" t="s">
        <v>2177</v>
      </c>
      <c r="D6588">
        <v>740</v>
      </c>
      <c r="E6588" t="s">
        <v>2208</v>
      </c>
      <c r="F6588">
        <v>1005</v>
      </c>
      <c r="G6588" t="s">
        <v>2177</v>
      </c>
      <c r="H6588">
        <v>2015</v>
      </c>
      <c r="I6588" t="s">
        <v>4</v>
      </c>
      <c r="J6588">
        <v>3015</v>
      </c>
      <c r="K6588" t="s">
        <v>4</v>
      </c>
      <c r="L6588">
        <v>4411</v>
      </c>
      <c r="M6588" t="s">
        <v>2228</v>
      </c>
      <c r="N6588" t="s">
        <v>268</v>
      </c>
      <c r="O6588">
        <v>10</v>
      </c>
      <c r="P6588">
        <v>134</v>
      </c>
      <c r="Q6588" t="s">
        <v>322</v>
      </c>
      <c r="R6588" t="s">
        <v>201</v>
      </c>
      <c r="S6588">
        <v>1</v>
      </c>
      <c r="T6588">
        <v>1</v>
      </c>
      <c r="U6588">
        <v>80124</v>
      </c>
      <c r="V6588">
        <v>80124</v>
      </c>
    </row>
    <row r="6589" spans="1:22">
      <c r="A6589" t="s">
        <v>196</v>
      </c>
      <c r="B6589">
        <v>85</v>
      </c>
      <c r="C6589" t="s">
        <v>2177</v>
      </c>
      <c r="D6589">
        <v>740</v>
      </c>
      <c r="E6589" t="s">
        <v>2208</v>
      </c>
      <c r="F6589">
        <v>1005</v>
      </c>
      <c r="G6589" t="s">
        <v>2177</v>
      </c>
      <c r="H6589">
        <v>2015</v>
      </c>
      <c r="I6589" t="s">
        <v>4</v>
      </c>
      <c r="J6589">
        <v>3015</v>
      </c>
      <c r="K6589" t="s">
        <v>4</v>
      </c>
      <c r="L6589">
        <v>4411</v>
      </c>
      <c r="M6589" t="s">
        <v>2228</v>
      </c>
      <c r="N6589" t="s">
        <v>268</v>
      </c>
      <c r="O6589">
        <v>10</v>
      </c>
      <c r="P6589">
        <v>134</v>
      </c>
      <c r="Q6589" t="s">
        <v>322</v>
      </c>
      <c r="R6589" t="s">
        <v>201</v>
      </c>
      <c r="S6589">
        <v>1</v>
      </c>
      <c r="T6589">
        <v>1</v>
      </c>
      <c r="U6589">
        <v>69684</v>
      </c>
      <c r="V6589">
        <v>69684</v>
      </c>
    </row>
    <row r="6590" spans="1:22">
      <c r="A6590" t="s">
        <v>196</v>
      </c>
      <c r="B6590">
        <v>85</v>
      </c>
      <c r="C6590" t="s">
        <v>2177</v>
      </c>
      <c r="D6590">
        <v>740</v>
      </c>
      <c r="E6590" t="s">
        <v>2208</v>
      </c>
      <c r="F6590">
        <v>1005</v>
      </c>
      <c r="G6590" t="s">
        <v>2177</v>
      </c>
      <c r="H6590">
        <v>2015</v>
      </c>
      <c r="I6590" t="s">
        <v>4</v>
      </c>
      <c r="J6590">
        <v>3015</v>
      </c>
      <c r="K6590" t="s">
        <v>4</v>
      </c>
      <c r="L6590">
        <v>4411</v>
      </c>
      <c r="M6590" t="s">
        <v>2228</v>
      </c>
      <c r="N6590" t="s">
        <v>1314</v>
      </c>
      <c r="O6590">
        <v>0</v>
      </c>
      <c r="P6590">
        <v>112</v>
      </c>
      <c r="Q6590" t="s">
        <v>358</v>
      </c>
      <c r="R6590" t="s">
        <v>201</v>
      </c>
      <c r="S6590">
        <v>1</v>
      </c>
      <c r="T6590">
        <v>1</v>
      </c>
      <c r="U6590">
        <v>133836</v>
      </c>
      <c r="V6590">
        <v>133836</v>
      </c>
    </row>
    <row r="6591" spans="1:22">
      <c r="A6591" t="s">
        <v>196</v>
      </c>
      <c r="B6591">
        <v>85</v>
      </c>
      <c r="C6591" t="s">
        <v>2177</v>
      </c>
      <c r="D6591">
        <v>740</v>
      </c>
      <c r="E6591" t="s">
        <v>2208</v>
      </c>
      <c r="F6591">
        <v>1005</v>
      </c>
      <c r="G6591" t="s">
        <v>2177</v>
      </c>
      <c r="H6591">
        <v>2015</v>
      </c>
      <c r="I6591" t="s">
        <v>4</v>
      </c>
      <c r="J6591">
        <v>3015</v>
      </c>
      <c r="K6591" t="s">
        <v>4</v>
      </c>
      <c r="L6591">
        <v>4411</v>
      </c>
      <c r="M6591" t="s">
        <v>2228</v>
      </c>
      <c r="N6591" t="s">
        <v>356</v>
      </c>
      <c r="O6591">
        <v>4</v>
      </c>
      <c r="P6591">
        <v>111</v>
      </c>
      <c r="Q6591" t="s">
        <v>648</v>
      </c>
      <c r="R6591" t="s">
        <v>201</v>
      </c>
      <c r="S6591">
        <v>1</v>
      </c>
      <c r="T6591">
        <v>1</v>
      </c>
      <c r="U6591">
        <v>90144</v>
      </c>
      <c r="V6591">
        <v>90144</v>
      </c>
    </row>
    <row r="6592" spans="1:22">
      <c r="A6592" t="s">
        <v>196</v>
      </c>
      <c r="B6592">
        <v>85</v>
      </c>
      <c r="C6592" t="s">
        <v>2177</v>
      </c>
      <c r="D6592">
        <v>740</v>
      </c>
      <c r="E6592" t="s">
        <v>2208</v>
      </c>
      <c r="F6592">
        <v>1005</v>
      </c>
      <c r="G6592" t="s">
        <v>2177</v>
      </c>
      <c r="H6592">
        <v>2015</v>
      </c>
      <c r="I6592" t="s">
        <v>4</v>
      </c>
      <c r="J6592">
        <v>3015</v>
      </c>
      <c r="K6592" t="s">
        <v>4</v>
      </c>
      <c r="L6592">
        <v>4411</v>
      </c>
      <c r="M6592" t="s">
        <v>2228</v>
      </c>
      <c r="N6592" t="s">
        <v>341</v>
      </c>
      <c r="O6592">
        <v>4</v>
      </c>
      <c r="P6592">
        <v>110</v>
      </c>
      <c r="Q6592" t="s">
        <v>359</v>
      </c>
      <c r="R6592" t="s">
        <v>201</v>
      </c>
      <c r="S6592">
        <v>1</v>
      </c>
      <c r="T6592">
        <v>1</v>
      </c>
      <c r="U6592">
        <v>113628</v>
      </c>
      <c r="V6592">
        <v>113628</v>
      </c>
    </row>
    <row r="6593" spans="1:22">
      <c r="A6593" t="s">
        <v>196</v>
      </c>
      <c r="B6593">
        <v>85</v>
      </c>
      <c r="C6593" t="s">
        <v>2177</v>
      </c>
      <c r="D6593">
        <v>740</v>
      </c>
      <c r="E6593" t="s">
        <v>2208</v>
      </c>
      <c r="F6593">
        <v>1005</v>
      </c>
      <c r="G6593" t="s">
        <v>2177</v>
      </c>
      <c r="H6593">
        <v>2015</v>
      </c>
      <c r="I6593" t="s">
        <v>4</v>
      </c>
      <c r="J6593">
        <v>3015</v>
      </c>
      <c r="K6593" t="s">
        <v>4</v>
      </c>
      <c r="L6593">
        <v>4411</v>
      </c>
      <c r="M6593" t="s">
        <v>2228</v>
      </c>
      <c r="N6593" t="s">
        <v>199</v>
      </c>
      <c r="O6593">
        <v>0</v>
      </c>
      <c r="P6593">
        <v>15</v>
      </c>
      <c r="Q6593" t="s">
        <v>264</v>
      </c>
      <c r="R6593" t="s">
        <v>201</v>
      </c>
      <c r="S6593">
        <v>0</v>
      </c>
      <c r="T6593">
        <v>0</v>
      </c>
      <c r="U6593">
        <v>9870</v>
      </c>
      <c r="V6593">
        <v>9870</v>
      </c>
    </row>
    <row r="6594" spans="1:22">
      <c r="A6594" t="s">
        <v>196</v>
      </c>
      <c r="B6594">
        <v>85</v>
      </c>
      <c r="C6594" t="s">
        <v>2177</v>
      </c>
      <c r="D6594">
        <v>740</v>
      </c>
      <c r="E6594" t="s">
        <v>2208</v>
      </c>
      <c r="F6594">
        <v>1005</v>
      </c>
      <c r="G6594" t="s">
        <v>2177</v>
      </c>
      <c r="H6594">
        <v>2015</v>
      </c>
      <c r="I6594" t="s">
        <v>4</v>
      </c>
      <c r="J6594">
        <v>3015</v>
      </c>
      <c r="K6594" t="s">
        <v>4</v>
      </c>
      <c r="L6594">
        <v>4412</v>
      </c>
      <c r="M6594" t="s">
        <v>2230</v>
      </c>
      <c r="N6594" t="s">
        <v>372</v>
      </c>
      <c r="O6594">
        <v>4</v>
      </c>
      <c r="P6594">
        <v>1912</v>
      </c>
      <c r="Q6594" t="s">
        <v>608</v>
      </c>
      <c r="R6594" t="s">
        <v>201</v>
      </c>
      <c r="S6594">
        <v>1</v>
      </c>
      <c r="T6594">
        <v>1</v>
      </c>
      <c r="U6594">
        <v>85200</v>
      </c>
      <c r="V6594">
        <v>85200</v>
      </c>
    </row>
    <row r="6595" spans="1:22">
      <c r="A6595" t="s">
        <v>196</v>
      </c>
      <c r="B6595">
        <v>85</v>
      </c>
      <c r="C6595" t="s">
        <v>2177</v>
      </c>
      <c r="D6595">
        <v>740</v>
      </c>
      <c r="E6595" t="s">
        <v>2208</v>
      </c>
      <c r="F6595">
        <v>1005</v>
      </c>
      <c r="G6595" t="s">
        <v>2177</v>
      </c>
      <c r="H6595">
        <v>2015</v>
      </c>
      <c r="I6595" t="s">
        <v>4</v>
      </c>
      <c r="J6595">
        <v>3015</v>
      </c>
      <c r="K6595" t="s">
        <v>4</v>
      </c>
      <c r="L6595">
        <v>4412</v>
      </c>
      <c r="M6595" t="s">
        <v>2230</v>
      </c>
      <c r="N6595" t="s">
        <v>372</v>
      </c>
      <c r="O6595">
        <v>4</v>
      </c>
      <c r="P6595">
        <v>1912</v>
      </c>
      <c r="Q6595" t="s">
        <v>608</v>
      </c>
      <c r="R6595" t="s">
        <v>201</v>
      </c>
      <c r="S6595">
        <v>1</v>
      </c>
      <c r="T6595">
        <v>1</v>
      </c>
      <c r="U6595">
        <v>81324</v>
      </c>
      <c r="V6595">
        <v>81324</v>
      </c>
    </row>
    <row r="6596" spans="1:22">
      <c r="A6596" t="s">
        <v>196</v>
      </c>
      <c r="B6596">
        <v>85</v>
      </c>
      <c r="C6596" t="s">
        <v>2177</v>
      </c>
      <c r="D6596">
        <v>740</v>
      </c>
      <c r="E6596" t="s">
        <v>2208</v>
      </c>
      <c r="F6596">
        <v>1005</v>
      </c>
      <c r="G6596" t="s">
        <v>2177</v>
      </c>
      <c r="H6596">
        <v>2015</v>
      </c>
      <c r="I6596" t="s">
        <v>4</v>
      </c>
      <c r="J6596">
        <v>3015</v>
      </c>
      <c r="K6596" t="s">
        <v>4</v>
      </c>
      <c r="L6596">
        <v>4412</v>
      </c>
      <c r="M6596" t="s">
        <v>2230</v>
      </c>
      <c r="N6596" t="s">
        <v>372</v>
      </c>
      <c r="O6596">
        <v>4</v>
      </c>
      <c r="P6596">
        <v>1912</v>
      </c>
      <c r="Q6596" t="s">
        <v>608</v>
      </c>
      <c r="R6596" t="s">
        <v>201</v>
      </c>
      <c r="S6596">
        <v>1</v>
      </c>
      <c r="T6596">
        <v>1</v>
      </c>
      <c r="U6596">
        <v>77640</v>
      </c>
      <c r="V6596">
        <v>77640</v>
      </c>
    </row>
    <row r="6597" spans="1:22">
      <c r="A6597" t="s">
        <v>196</v>
      </c>
      <c r="B6597">
        <v>85</v>
      </c>
      <c r="C6597" t="s">
        <v>2177</v>
      </c>
      <c r="D6597">
        <v>740</v>
      </c>
      <c r="E6597" t="s">
        <v>2208</v>
      </c>
      <c r="F6597">
        <v>1005</v>
      </c>
      <c r="G6597" t="s">
        <v>2177</v>
      </c>
      <c r="H6597">
        <v>2015</v>
      </c>
      <c r="I6597" t="s">
        <v>4</v>
      </c>
      <c r="J6597">
        <v>3015</v>
      </c>
      <c r="K6597" t="s">
        <v>4</v>
      </c>
      <c r="L6597">
        <v>4412</v>
      </c>
      <c r="M6597" t="s">
        <v>2230</v>
      </c>
      <c r="N6597" t="s">
        <v>1314</v>
      </c>
      <c r="O6597">
        <v>0</v>
      </c>
      <c r="P6597" t="s">
        <v>2231</v>
      </c>
      <c r="Q6597" t="s">
        <v>646</v>
      </c>
      <c r="R6597" t="s">
        <v>201</v>
      </c>
      <c r="S6597">
        <v>1</v>
      </c>
      <c r="T6597">
        <v>1</v>
      </c>
      <c r="U6597">
        <v>167700</v>
      </c>
      <c r="V6597">
        <v>167700</v>
      </c>
    </row>
    <row r="6598" spans="1:22">
      <c r="A6598" t="s">
        <v>196</v>
      </c>
      <c r="B6598">
        <v>85</v>
      </c>
      <c r="C6598" t="s">
        <v>2177</v>
      </c>
      <c r="D6598">
        <v>740</v>
      </c>
      <c r="E6598" t="s">
        <v>2208</v>
      </c>
      <c r="F6598">
        <v>1005</v>
      </c>
      <c r="G6598" t="s">
        <v>2177</v>
      </c>
      <c r="H6598">
        <v>2015</v>
      </c>
      <c r="I6598" t="s">
        <v>4</v>
      </c>
      <c r="J6598">
        <v>3015</v>
      </c>
      <c r="K6598" t="s">
        <v>4</v>
      </c>
      <c r="L6598">
        <v>4412</v>
      </c>
      <c r="M6598" t="s">
        <v>2230</v>
      </c>
      <c r="N6598" t="s">
        <v>1314</v>
      </c>
      <c r="O6598">
        <v>0</v>
      </c>
      <c r="P6598" t="s">
        <v>1716</v>
      </c>
      <c r="Q6598" t="s">
        <v>790</v>
      </c>
      <c r="R6598" t="s">
        <v>201</v>
      </c>
      <c r="S6598">
        <v>1</v>
      </c>
      <c r="T6598">
        <v>1</v>
      </c>
      <c r="U6598">
        <v>160680</v>
      </c>
      <c r="V6598">
        <v>160680</v>
      </c>
    </row>
    <row r="6599" spans="1:22">
      <c r="A6599" t="s">
        <v>196</v>
      </c>
      <c r="B6599">
        <v>85</v>
      </c>
      <c r="C6599" t="s">
        <v>2177</v>
      </c>
      <c r="D6599">
        <v>740</v>
      </c>
      <c r="E6599" t="s">
        <v>2208</v>
      </c>
      <c r="F6599">
        <v>1005</v>
      </c>
      <c r="G6599" t="s">
        <v>2177</v>
      </c>
      <c r="H6599">
        <v>2015</v>
      </c>
      <c r="I6599" t="s">
        <v>4</v>
      </c>
      <c r="J6599">
        <v>3015</v>
      </c>
      <c r="K6599" t="s">
        <v>4</v>
      </c>
      <c r="L6599">
        <v>4412</v>
      </c>
      <c r="M6599" t="s">
        <v>2230</v>
      </c>
      <c r="N6599" t="s">
        <v>271</v>
      </c>
      <c r="O6599">
        <v>20</v>
      </c>
      <c r="P6599" t="s">
        <v>2232</v>
      </c>
      <c r="Q6599" t="s">
        <v>2233</v>
      </c>
      <c r="R6599" t="s">
        <v>201</v>
      </c>
      <c r="S6599">
        <v>1</v>
      </c>
      <c r="T6599">
        <v>1</v>
      </c>
      <c r="U6599">
        <v>126756</v>
      </c>
      <c r="V6599">
        <v>126756</v>
      </c>
    </row>
    <row r="6600" spans="1:22">
      <c r="A6600" t="s">
        <v>196</v>
      </c>
      <c r="B6600">
        <v>85</v>
      </c>
      <c r="C6600" t="s">
        <v>2177</v>
      </c>
      <c r="D6600">
        <v>740</v>
      </c>
      <c r="E6600" t="s">
        <v>2208</v>
      </c>
      <c r="F6600">
        <v>1005</v>
      </c>
      <c r="G6600" t="s">
        <v>2177</v>
      </c>
      <c r="H6600">
        <v>2015</v>
      </c>
      <c r="I6600" t="s">
        <v>4</v>
      </c>
      <c r="J6600">
        <v>3015</v>
      </c>
      <c r="K6600" t="s">
        <v>4</v>
      </c>
      <c r="L6600">
        <v>4412</v>
      </c>
      <c r="M6600" t="s">
        <v>2230</v>
      </c>
      <c r="N6600" t="s">
        <v>271</v>
      </c>
      <c r="O6600">
        <v>20</v>
      </c>
      <c r="P6600" t="s">
        <v>2232</v>
      </c>
      <c r="Q6600" t="s">
        <v>2233</v>
      </c>
      <c r="R6600" t="s">
        <v>201</v>
      </c>
      <c r="S6600">
        <v>1</v>
      </c>
      <c r="T6600">
        <v>1</v>
      </c>
      <c r="U6600">
        <v>115992</v>
      </c>
      <c r="V6600">
        <v>115992</v>
      </c>
    </row>
    <row r="6601" spans="1:22">
      <c r="A6601" t="s">
        <v>196</v>
      </c>
      <c r="B6601">
        <v>85</v>
      </c>
      <c r="C6601" t="s">
        <v>2177</v>
      </c>
      <c r="D6601">
        <v>740</v>
      </c>
      <c r="E6601" t="s">
        <v>2208</v>
      </c>
      <c r="F6601">
        <v>1005</v>
      </c>
      <c r="G6601" t="s">
        <v>2177</v>
      </c>
      <c r="H6601">
        <v>2015</v>
      </c>
      <c r="I6601" t="s">
        <v>4</v>
      </c>
      <c r="J6601">
        <v>3015</v>
      </c>
      <c r="K6601" t="s">
        <v>4</v>
      </c>
      <c r="L6601">
        <v>4412</v>
      </c>
      <c r="M6601" t="s">
        <v>2230</v>
      </c>
      <c r="N6601" t="s">
        <v>245</v>
      </c>
      <c r="O6601">
        <v>20</v>
      </c>
      <c r="P6601">
        <v>677</v>
      </c>
      <c r="Q6601" t="s">
        <v>2234</v>
      </c>
      <c r="R6601" t="s">
        <v>201</v>
      </c>
      <c r="S6601">
        <v>3</v>
      </c>
      <c r="T6601">
        <v>1</v>
      </c>
      <c r="U6601">
        <v>111000</v>
      </c>
      <c r="V6601">
        <v>333000</v>
      </c>
    </row>
    <row r="6602" spans="1:22">
      <c r="A6602" t="s">
        <v>196</v>
      </c>
      <c r="B6602">
        <v>85</v>
      </c>
      <c r="C6602" t="s">
        <v>2177</v>
      </c>
      <c r="D6602">
        <v>740</v>
      </c>
      <c r="E6602" t="s">
        <v>2208</v>
      </c>
      <c r="F6602">
        <v>1005</v>
      </c>
      <c r="G6602" t="s">
        <v>2177</v>
      </c>
      <c r="H6602">
        <v>2015</v>
      </c>
      <c r="I6602" t="s">
        <v>4</v>
      </c>
      <c r="J6602">
        <v>3015</v>
      </c>
      <c r="K6602" t="s">
        <v>4</v>
      </c>
      <c r="L6602">
        <v>4412</v>
      </c>
      <c r="M6602" t="s">
        <v>2230</v>
      </c>
      <c r="N6602" t="s">
        <v>245</v>
      </c>
      <c r="O6602">
        <v>20</v>
      </c>
      <c r="P6602">
        <v>677</v>
      </c>
      <c r="Q6602" t="s">
        <v>2234</v>
      </c>
      <c r="R6602" t="s">
        <v>201</v>
      </c>
      <c r="S6602">
        <v>5</v>
      </c>
      <c r="T6602">
        <v>1</v>
      </c>
      <c r="U6602">
        <v>106272</v>
      </c>
      <c r="V6602">
        <v>531360</v>
      </c>
    </row>
    <row r="6603" spans="1:22">
      <c r="A6603" t="s">
        <v>196</v>
      </c>
      <c r="B6603">
        <v>85</v>
      </c>
      <c r="C6603" t="s">
        <v>2177</v>
      </c>
      <c r="D6603">
        <v>740</v>
      </c>
      <c r="E6603" t="s">
        <v>2208</v>
      </c>
      <c r="F6603">
        <v>1005</v>
      </c>
      <c r="G6603" t="s">
        <v>2177</v>
      </c>
      <c r="H6603">
        <v>2015</v>
      </c>
      <c r="I6603" t="s">
        <v>4</v>
      </c>
      <c r="J6603">
        <v>3015</v>
      </c>
      <c r="K6603" t="s">
        <v>4</v>
      </c>
      <c r="L6603">
        <v>4412</v>
      </c>
      <c r="M6603" t="s">
        <v>2230</v>
      </c>
      <c r="N6603" t="s">
        <v>255</v>
      </c>
      <c r="O6603">
        <v>1</v>
      </c>
      <c r="P6603">
        <v>653</v>
      </c>
      <c r="Q6603" t="s">
        <v>2235</v>
      </c>
      <c r="R6603" t="s">
        <v>201</v>
      </c>
      <c r="S6603">
        <v>1</v>
      </c>
      <c r="T6603">
        <v>1</v>
      </c>
      <c r="U6603">
        <v>108576</v>
      </c>
      <c r="V6603">
        <v>108576</v>
      </c>
    </row>
    <row r="6604" spans="1:22">
      <c r="A6604" t="s">
        <v>196</v>
      </c>
      <c r="B6604">
        <v>85</v>
      </c>
      <c r="C6604" t="s">
        <v>2177</v>
      </c>
      <c r="D6604">
        <v>740</v>
      </c>
      <c r="E6604" t="s">
        <v>2208</v>
      </c>
      <c r="F6604">
        <v>1005</v>
      </c>
      <c r="G6604" t="s">
        <v>2177</v>
      </c>
      <c r="H6604">
        <v>2015</v>
      </c>
      <c r="I6604" t="s">
        <v>4</v>
      </c>
      <c r="J6604">
        <v>3015</v>
      </c>
      <c r="K6604" t="s">
        <v>4</v>
      </c>
      <c r="L6604">
        <v>4412</v>
      </c>
      <c r="M6604" t="s">
        <v>2230</v>
      </c>
      <c r="N6604" t="s">
        <v>688</v>
      </c>
      <c r="O6604">
        <v>4</v>
      </c>
      <c r="P6604">
        <v>638</v>
      </c>
      <c r="Q6604" t="s">
        <v>1246</v>
      </c>
      <c r="R6604" t="s">
        <v>201</v>
      </c>
      <c r="S6604">
        <v>1</v>
      </c>
      <c r="T6604">
        <v>1</v>
      </c>
      <c r="U6604">
        <v>92940</v>
      </c>
      <c r="V6604">
        <v>92940</v>
      </c>
    </row>
    <row r="6605" spans="1:22">
      <c r="A6605" t="s">
        <v>196</v>
      </c>
      <c r="B6605">
        <v>85</v>
      </c>
      <c r="C6605" t="s">
        <v>2177</v>
      </c>
      <c r="D6605">
        <v>740</v>
      </c>
      <c r="E6605" t="s">
        <v>2208</v>
      </c>
      <c r="F6605">
        <v>1005</v>
      </c>
      <c r="G6605" t="s">
        <v>2177</v>
      </c>
      <c r="H6605">
        <v>2015</v>
      </c>
      <c r="I6605" t="s">
        <v>4</v>
      </c>
      <c r="J6605">
        <v>3015</v>
      </c>
      <c r="K6605" t="s">
        <v>4</v>
      </c>
      <c r="L6605">
        <v>4412</v>
      </c>
      <c r="M6605" t="s">
        <v>2230</v>
      </c>
      <c r="N6605" t="s">
        <v>397</v>
      </c>
      <c r="O6605">
        <v>1</v>
      </c>
      <c r="P6605">
        <v>633</v>
      </c>
      <c r="Q6605" t="s">
        <v>2124</v>
      </c>
      <c r="R6605" t="s">
        <v>201</v>
      </c>
      <c r="S6605">
        <v>1</v>
      </c>
      <c r="T6605">
        <v>1</v>
      </c>
      <c r="U6605">
        <v>172584</v>
      </c>
      <c r="V6605">
        <v>172584</v>
      </c>
    </row>
    <row r="6606" spans="1:22">
      <c r="A6606" t="s">
        <v>196</v>
      </c>
      <c r="B6606">
        <v>85</v>
      </c>
      <c r="C6606" t="s">
        <v>2177</v>
      </c>
      <c r="D6606">
        <v>740</v>
      </c>
      <c r="E6606" t="s">
        <v>2208</v>
      </c>
      <c r="F6606">
        <v>1005</v>
      </c>
      <c r="G6606" t="s">
        <v>2177</v>
      </c>
      <c r="H6606">
        <v>2015</v>
      </c>
      <c r="I6606" t="s">
        <v>4</v>
      </c>
      <c r="J6606">
        <v>3015</v>
      </c>
      <c r="K6606" t="s">
        <v>4</v>
      </c>
      <c r="L6606">
        <v>4412</v>
      </c>
      <c r="M6606" t="s">
        <v>2230</v>
      </c>
      <c r="N6606" t="s">
        <v>255</v>
      </c>
      <c r="O6606">
        <v>1</v>
      </c>
      <c r="P6606">
        <v>627</v>
      </c>
      <c r="Q6606" t="s">
        <v>1247</v>
      </c>
      <c r="R6606" t="s">
        <v>201</v>
      </c>
      <c r="S6606">
        <v>2</v>
      </c>
      <c r="T6606">
        <v>1</v>
      </c>
      <c r="U6606">
        <v>93504</v>
      </c>
      <c r="V6606">
        <v>187008</v>
      </c>
    </row>
    <row r="6607" spans="1:22">
      <c r="A6607" t="s">
        <v>196</v>
      </c>
      <c r="B6607">
        <v>85</v>
      </c>
      <c r="C6607" t="s">
        <v>2177</v>
      </c>
      <c r="D6607">
        <v>740</v>
      </c>
      <c r="E6607" t="s">
        <v>2208</v>
      </c>
      <c r="F6607">
        <v>1005</v>
      </c>
      <c r="G6607" t="s">
        <v>2177</v>
      </c>
      <c r="H6607">
        <v>2015</v>
      </c>
      <c r="I6607" t="s">
        <v>4</v>
      </c>
      <c r="J6607">
        <v>3015</v>
      </c>
      <c r="K6607" t="s">
        <v>4</v>
      </c>
      <c r="L6607">
        <v>4412</v>
      </c>
      <c r="M6607" t="s">
        <v>2230</v>
      </c>
      <c r="N6607" t="s">
        <v>1370</v>
      </c>
      <c r="O6607">
        <v>20</v>
      </c>
      <c r="P6607">
        <v>614</v>
      </c>
      <c r="Q6607" t="s">
        <v>2236</v>
      </c>
      <c r="R6607" t="s">
        <v>201</v>
      </c>
      <c r="S6607">
        <v>1</v>
      </c>
      <c r="T6607">
        <v>1</v>
      </c>
      <c r="U6607">
        <v>126756</v>
      </c>
      <c r="V6607">
        <v>126756</v>
      </c>
    </row>
    <row r="6608" spans="1:22">
      <c r="A6608" t="s">
        <v>196</v>
      </c>
      <c r="B6608">
        <v>85</v>
      </c>
      <c r="C6608" t="s">
        <v>2177</v>
      </c>
      <c r="D6608">
        <v>740</v>
      </c>
      <c r="E6608" t="s">
        <v>2208</v>
      </c>
      <c r="F6608">
        <v>1005</v>
      </c>
      <c r="G6608" t="s">
        <v>2177</v>
      </c>
      <c r="H6608">
        <v>2015</v>
      </c>
      <c r="I6608" t="s">
        <v>4</v>
      </c>
      <c r="J6608">
        <v>3015</v>
      </c>
      <c r="K6608" t="s">
        <v>4</v>
      </c>
      <c r="L6608">
        <v>4412</v>
      </c>
      <c r="M6608" t="s">
        <v>2230</v>
      </c>
      <c r="N6608" t="s">
        <v>249</v>
      </c>
      <c r="O6608">
        <v>10</v>
      </c>
      <c r="P6608">
        <v>311</v>
      </c>
      <c r="Q6608" t="s">
        <v>661</v>
      </c>
      <c r="R6608" t="s">
        <v>201</v>
      </c>
      <c r="S6608">
        <v>1</v>
      </c>
      <c r="T6608">
        <v>1</v>
      </c>
      <c r="U6608">
        <v>113568</v>
      </c>
      <c r="V6608">
        <v>113568</v>
      </c>
    </row>
    <row r="6609" spans="1:22">
      <c r="A6609" t="s">
        <v>196</v>
      </c>
      <c r="B6609">
        <v>85</v>
      </c>
      <c r="C6609" t="s">
        <v>2177</v>
      </c>
      <c r="D6609">
        <v>740</v>
      </c>
      <c r="E6609" t="s">
        <v>2208</v>
      </c>
      <c r="F6609">
        <v>1005</v>
      </c>
      <c r="G6609" t="s">
        <v>2177</v>
      </c>
      <c r="H6609">
        <v>2015</v>
      </c>
      <c r="I6609" t="s">
        <v>4</v>
      </c>
      <c r="J6609">
        <v>3015</v>
      </c>
      <c r="K6609" t="s">
        <v>4</v>
      </c>
      <c r="L6609">
        <v>4412</v>
      </c>
      <c r="M6609" t="s">
        <v>2230</v>
      </c>
      <c r="N6609" t="s">
        <v>249</v>
      </c>
      <c r="O6609">
        <v>10</v>
      </c>
      <c r="P6609">
        <v>310</v>
      </c>
      <c r="Q6609" t="s">
        <v>447</v>
      </c>
      <c r="R6609" t="s">
        <v>201</v>
      </c>
      <c r="S6609">
        <v>1</v>
      </c>
      <c r="T6609">
        <v>1</v>
      </c>
      <c r="U6609">
        <v>113568</v>
      </c>
      <c r="V6609">
        <v>113568</v>
      </c>
    </row>
    <row r="6610" spans="1:22">
      <c r="A6610" t="s">
        <v>196</v>
      </c>
      <c r="B6610">
        <v>85</v>
      </c>
      <c r="C6610" t="s">
        <v>2177</v>
      </c>
      <c r="D6610">
        <v>740</v>
      </c>
      <c r="E6610" t="s">
        <v>2208</v>
      </c>
      <c r="F6610">
        <v>1005</v>
      </c>
      <c r="G6610" t="s">
        <v>2177</v>
      </c>
      <c r="H6610">
        <v>2015</v>
      </c>
      <c r="I6610" t="s">
        <v>4</v>
      </c>
      <c r="J6610">
        <v>3015</v>
      </c>
      <c r="K6610" t="s">
        <v>4</v>
      </c>
      <c r="L6610">
        <v>4412</v>
      </c>
      <c r="M6610" t="s">
        <v>2230</v>
      </c>
      <c r="N6610" t="s">
        <v>251</v>
      </c>
      <c r="O6610">
        <v>20</v>
      </c>
      <c r="P6610">
        <v>309</v>
      </c>
      <c r="Q6610" t="s">
        <v>1211</v>
      </c>
      <c r="R6610" t="s">
        <v>201</v>
      </c>
      <c r="S6610">
        <v>1</v>
      </c>
      <c r="T6610">
        <v>1</v>
      </c>
      <c r="U6610">
        <v>124584</v>
      </c>
      <c r="V6610">
        <v>124584</v>
      </c>
    </row>
    <row r="6611" spans="1:22">
      <c r="A6611" t="s">
        <v>196</v>
      </c>
      <c r="B6611">
        <v>85</v>
      </c>
      <c r="C6611" t="s">
        <v>2177</v>
      </c>
      <c r="D6611">
        <v>740</v>
      </c>
      <c r="E6611" t="s">
        <v>2208</v>
      </c>
      <c r="F6611">
        <v>1005</v>
      </c>
      <c r="G6611" t="s">
        <v>2177</v>
      </c>
      <c r="H6611">
        <v>2015</v>
      </c>
      <c r="I6611" t="s">
        <v>4</v>
      </c>
      <c r="J6611">
        <v>3015</v>
      </c>
      <c r="K6611" t="s">
        <v>4</v>
      </c>
      <c r="L6611">
        <v>4412</v>
      </c>
      <c r="M6611" t="s">
        <v>2230</v>
      </c>
      <c r="N6611" t="s">
        <v>341</v>
      </c>
      <c r="O6611">
        <v>1</v>
      </c>
      <c r="P6611">
        <v>308</v>
      </c>
      <c r="Q6611" t="s">
        <v>355</v>
      </c>
      <c r="R6611" t="s">
        <v>201</v>
      </c>
      <c r="S6611">
        <v>1</v>
      </c>
      <c r="T6611">
        <v>1</v>
      </c>
      <c r="U6611">
        <v>94452</v>
      </c>
      <c r="V6611">
        <v>94452</v>
      </c>
    </row>
    <row r="6612" spans="1:22">
      <c r="A6612" t="s">
        <v>196</v>
      </c>
      <c r="B6612">
        <v>85</v>
      </c>
      <c r="C6612" t="s">
        <v>2177</v>
      </c>
      <c r="D6612">
        <v>740</v>
      </c>
      <c r="E6612" t="s">
        <v>2208</v>
      </c>
      <c r="F6612">
        <v>1005</v>
      </c>
      <c r="G6612" t="s">
        <v>2177</v>
      </c>
      <c r="H6612">
        <v>2015</v>
      </c>
      <c r="I6612" t="s">
        <v>4</v>
      </c>
      <c r="J6612">
        <v>3015</v>
      </c>
      <c r="K6612" t="s">
        <v>4</v>
      </c>
      <c r="L6612">
        <v>4412</v>
      </c>
      <c r="M6612" t="s">
        <v>2230</v>
      </c>
      <c r="N6612" t="s">
        <v>341</v>
      </c>
      <c r="O6612">
        <v>1</v>
      </c>
      <c r="P6612">
        <v>308</v>
      </c>
      <c r="Q6612" t="s">
        <v>355</v>
      </c>
      <c r="R6612" t="s">
        <v>201</v>
      </c>
      <c r="S6612">
        <v>1</v>
      </c>
      <c r="T6612">
        <v>1</v>
      </c>
      <c r="U6612">
        <v>68616</v>
      </c>
      <c r="V6612">
        <v>68616</v>
      </c>
    </row>
    <row r="6613" spans="1:22">
      <c r="A6613" t="s">
        <v>196</v>
      </c>
      <c r="B6613">
        <v>85</v>
      </c>
      <c r="C6613" t="s">
        <v>2177</v>
      </c>
      <c r="D6613">
        <v>740</v>
      </c>
      <c r="E6613" t="s">
        <v>2208</v>
      </c>
      <c r="F6613">
        <v>1005</v>
      </c>
      <c r="G6613" t="s">
        <v>2177</v>
      </c>
      <c r="H6613">
        <v>2015</v>
      </c>
      <c r="I6613" t="s">
        <v>4</v>
      </c>
      <c r="J6613">
        <v>3015</v>
      </c>
      <c r="K6613" t="s">
        <v>4</v>
      </c>
      <c r="L6613">
        <v>4412</v>
      </c>
      <c r="M6613" t="s">
        <v>2230</v>
      </c>
      <c r="N6613" t="s">
        <v>199</v>
      </c>
      <c r="O6613">
        <v>0</v>
      </c>
      <c r="P6613">
        <v>15</v>
      </c>
      <c r="Q6613" t="s">
        <v>264</v>
      </c>
      <c r="R6613" t="s">
        <v>201</v>
      </c>
      <c r="S6613">
        <v>0</v>
      </c>
      <c r="T6613">
        <v>0</v>
      </c>
      <c r="U6613">
        <v>36340</v>
      </c>
      <c r="V6613">
        <v>36340</v>
      </c>
    </row>
    <row r="6614" spans="1:22">
      <c r="A6614" t="s">
        <v>196</v>
      </c>
      <c r="B6614">
        <v>85</v>
      </c>
      <c r="C6614" t="s">
        <v>2177</v>
      </c>
      <c r="D6614">
        <v>740</v>
      </c>
      <c r="E6614" t="s">
        <v>2208</v>
      </c>
      <c r="F6614">
        <v>1005</v>
      </c>
      <c r="G6614" t="s">
        <v>2177</v>
      </c>
      <c r="H6614">
        <v>2015</v>
      </c>
      <c r="I6614" t="s">
        <v>4</v>
      </c>
      <c r="J6614">
        <v>3015</v>
      </c>
      <c r="K6614" t="s">
        <v>4</v>
      </c>
      <c r="L6614">
        <v>4414</v>
      </c>
      <c r="M6614" t="s">
        <v>2237</v>
      </c>
      <c r="N6614" t="s">
        <v>1314</v>
      </c>
      <c r="O6614">
        <v>9</v>
      </c>
      <c r="P6614">
        <v>3027</v>
      </c>
      <c r="Q6614" t="s">
        <v>2238</v>
      </c>
      <c r="R6614" t="s">
        <v>201</v>
      </c>
      <c r="S6614">
        <v>1</v>
      </c>
      <c r="T6614">
        <v>1</v>
      </c>
      <c r="U6614">
        <v>133836</v>
      </c>
      <c r="V6614">
        <v>133836</v>
      </c>
    </row>
    <row r="6615" spans="1:22">
      <c r="A6615" t="s">
        <v>196</v>
      </c>
      <c r="B6615">
        <v>85</v>
      </c>
      <c r="C6615" t="s">
        <v>2177</v>
      </c>
      <c r="D6615">
        <v>740</v>
      </c>
      <c r="E6615" t="s">
        <v>2208</v>
      </c>
      <c r="F6615">
        <v>1005</v>
      </c>
      <c r="G6615" t="s">
        <v>2177</v>
      </c>
      <c r="H6615">
        <v>2015</v>
      </c>
      <c r="I6615" t="s">
        <v>4</v>
      </c>
      <c r="J6615">
        <v>3015</v>
      </c>
      <c r="K6615" t="s">
        <v>4</v>
      </c>
      <c r="L6615">
        <v>4414</v>
      </c>
      <c r="M6615" t="s">
        <v>2237</v>
      </c>
      <c r="N6615" t="s">
        <v>343</v>
      </c>
      <c r="O6615">
        <v>10</v>
      </c>
      <c r="P6615">
        <v>2926</v>
      </c>
      <c r="Q6615" t="s">
        <v>2239</v>
      </c>
      <c r="R6615" t="s">
        <v>201</v>
      </c>
      <c r="S6615">
        <v>1</v>
      </c>
      <c r="T6615">
        <v>1</v>
      </c>
      <c r="U6615">
        <v>97836</v>
      </c>
      <c r="V6615">
        <v>97836</v>
      </c>
    </row>
    <row r="6616" spans="1:22">
      <c r="A6616" t="s">
        <v>196</v>
      </c>
      <c r="B6616">
        <v>85</v>
      </c>
      <c r="C6616" t="s">
        <v>2177</v>
      </c>
      <c r="D6616">
        <v>740</v>
      </c>
      <c r="E6616" t="s">
        <v>2208</v>
      </c>
      <c r="F6616">
        <v>1005</v>
      </c>
      <c r="G6616" t="s">
        <v>2177</v>
      </c>
      <c r="H6616">
        <v>2015</v>
      </c>
      <c r="I6616" t="s">
        <v>4</v>
      </c>
      <c r="J6616">
        <v>3015</v>
      </c>
      <c r="K6616" t="s">
        <v>4</v>
      </c>
      <c r="L6616">
        <v>4414</v>
      </c>
      <c r="M6616" t="s">
        <v>2237</v>
      </c>
      <c r="N6616" t="s">
        <v>1314</v>
      </c>
      <c r="O6616">
        <v>0</v>
      </c>
      <c r="P6616" t="s">
        <v>1471</v>
      </c>
      <c r="Q6616" t="s">
        <v>605</v>
      </c>
      <c r="R6616" t="s">
        <v>201</v>
      </c>
      <c r="S6616">
        <v>1</v>
      </c>
      <c r="T6616">
        <v>1</v>
      </c>
      <c r="U6616">
        <v>133836</v>
      </c>
      <c r="V6616">
        <v>133836</v>
      </c>
    </row>
    <row r="6617" spans="1:22">
      <c r="A6617" t="s">
        <v>196</v>
      </c>
      <c r="B6617">
        <v>85</v>
      </c>
      <c r="C6617" t="s">
        <v>2177</v>
      </c>
      <c r="D6617">
        <v>740</v>
      </c>
      <c r="E6617" t="s">
        <v>2208</v>
      </c>
      <c r="F6617">
        <v>1005</v>
      </c>
      <c r="G6617" t="s">
        <v>2177</v>
      </c>
      <c r="H6617">
        <v>2015</v>
      </c>
      <c r="I6617" t="s">
        <v>4</v>
      </c>
      <c r="J6617">
        <v>3015</v>
      </c>
      <c r="K6617" t="s">
        <v>4</v>
      </c>
      <c r="L6617">
        <v>4414</v>
      </c>
      <c r="M6617" t="s">
        <v>2237</v>
      </c>
      <c r="N6617" t="s">
        <v>249</v>
      </c>
      <c r="O6617">
        <v>10</v>
      </c>
      <c r="P6617">
        <v>310</v>
      </c>
      <c r="Q6617" t="s">
        <v>447</v>
      </c>
      <c r="R6617" t="s">
        <v>201</v>
      </c>
      <c r="S6617">
        <v>1</v>
      </c>
      <c r="T6617">
        <v>1</v>
      </c>
      <c r="U6617">
        <v>89112</v>
      </c>
      <c r="V6617">
        <v>89112</v>
      </c>
    </row>
    <row r="6618" spans="1:22">
      <c r="A6618" t="s">
        <v>196</v>
      </c>
      <c r="B6618">
        <v>85</v>
      </c>
      <c r="C6618" t="s">
        <v>2177</v>
      </c>
      <c r="D6618">
        <v>740</v>
      </c>
      <c r="E6618" t="s">
        <v>2208</v>
      </c>
      <c r="F6618">
        <v>1005</v>
      </c>
      <c r="G6618" t="s">
        <v>2177</v>
      </c>
      <c r="H6618">
        <v>2015</v>
      </c>
      <c r="I6618" t="s">
        <v>4</v>
      </c>
      <c r="J6618">
        <v>3015</v>
      </c>
      <c r="K6618" t="s">
        <v>4</v>
      </c>
      <c r="L6618">
        <v>4414</v>
      </c>
      <c r="M6618" t="s">
        <v>2237</v>
      </c>
      <c r="N6618" t="s">
        <v>294</v>
      </c>
      <c r="O6618">
        <v>10</v>
      </c>
      <c r="P6618">
        <v>156</v>
      </c>
      <c r="Q6618" t="s">
        <v>2240</v>
      </c>
      <c r="R6618" t="s">
        <v>201</v>
      </c>
      <c r="S6618">
        <v>1</v>
      </c>
      <c r="T6618">
        <v>1</v>
      </c>
      <c r="U6618">
        <v>69684</v>
      </c>
      <c r="V6618">
        <v>69684</v>
      </c>
    </row>
    <row r="6619" spans="1:22">
      <c r="A6619" t="s">
        <v>196</v>
      </c>
      <c r="B6619">
        <v>85</v>
      </c>
      <c r="C6619" t="s">
        <v>2177</v>
      </c>
      <c r="D6619">
        <v>740</v>
      </c>
      <c r="E6619" t="s">
        <v>2208</v>
      </c>
      <c r="F6619">
        <v>1005</v>
      </c>
      <c r="G6619" t="s">
        <v>2177</v>
      </c>
      <c r="H6619">
        <v>2015</v>
      </c>
      <c r="I6619" t="s">
        <v>4</v>
      </c>
      <c r="J6619">
        <v>3015</v>
      </c>
      <c r="K6619" t="s">
        <v>4</v>
      </c>
      <c r="L6619">
        <v>4414</v>
      </c>
      <c r="M6619" t="s">
        <v>2237</v>
      </c>
      <c r="N6619" t="s">
        <v>268</v>
      </c>
      <c r="O6619">
        <v>10</v>
      </c>
      <c r="P6619">
        <v>134</v>
      </c>
      <c r="Q6619" t="s">
        <v>322</v>
      </c>
      <c r="R6619" t="s">
        <v>201</v>
      </c>
      <c r="S6619">
        <v>1</v>
      </c>
      <c r="T6619">
        <v>1</v>
      </c>
      <c r="U6619">
        <v>72996</v>
      </c>
      <c r="V6619">
        <v>72996</v>
      </c>
    </row>
    <row r="6620" spans="1:22">
      <c r="A6620" t="s">
        <v>196</v>
      </c>
      <c r="B6620">
        <v>85</v>
      </c>
      <c r="C6620" t="s">
        <v>2177</v>
      </c>
      <c r="D6620">
        <v>740</v>
      </c>
      <c r="E6620" t="s">
        <v>2208</v>
      </c>
      <c r="F6620">
        <v>1005</v>
      </c>
      <c r="G6620" t="s">
        <v>2177</v>
      </c>
      <c r="H6620">
        <v>2015</v>
      </c>
      <c r="I6620" t="s">
        <v>4</v>
      </c>
      <c r="J6620">
        <v>3015</v>
      </c>
      <c r="K6620" t="s">
        <v>4</v>
      </c>
      <c r="L6620">
        <v>4414</v>
      </c>
      <c r="M6620" t="s">
        <v>2237</v>
      </c>
      <c r="N6620" t="s">
        <v>268</v>
      </c>
      <c r="O6620">
        <v>10</v>
      </c>
      <c r="P6620">
        <v>134</v>
      </c>
      <c r="Q6620" t="s">
        <v>322</v>
      </c>
      <c r="R6620" t="s">
        <v>201</v>
      </c>
      <c r="S6620">
        <v>1</v>
      </c>
      <c r="T6620">
        <v>1</v>
      </c>
      <c r="U6620">
        <v>69684</v>
      </c>
      <c r="V6620">
        <v>69684</v>
      </c>
    </row>
    <row r="6621" spans="1:22">
      <c r="A6621" t="s">
        <v>196</v>
      </c>
      <c r="B6621">
        <v>85</v>
      </c>
      <c r="C6621" t="s">
        <v>2177</v>
      </c>
      <c r="D6621">
        <v>740</v>
      </c>
      <c r="E6621" t="s">
        <v>2208</v>
      </c>
      <c r="F6621">
        <v>1005</v>
      </c>
      <c r="G6621" t="s">
        <v>2177</v>
      </c>
      <c r="H6621">
        <v>2015</v>
      </c>
      <c r="I6621" t="s">
        <v>4</v>
      </c>
      <c r="J6621">
        <v>3015</v>
      </c>
      <c r="K6621" t="s">
        <v>4</v>
      </c>
      <c r="L6621">
        <v>4414</v>
      </c>
      <c r="M6621" t="s">
        <v>2237</v>
      </c>
      <c r="N6621" t="s">
        <v>1314</v>
      </c>
      <c r="O6621">
        <v>0</v>
      </c>
      <c r="P6621">
        <v>112</v>
      </c>
      <c r="Q6621" t="s">
        <v>358</v>
      </c>
      <c r="R6621" t="s">
        <v>201</v>
      </c>
      <c r="S6621">
        <v>1</v>
      </c>
      <c r="T6621">
        <v>1</v>
      </c>
      <c r="U6621">
        <v>160680</v>
      </c>
      <c r="V6621">
        <v>160680</v>
      </c>
    </row>
    <row r="6622" spans="1:22">
      <c r="A6622" t="s">
        <v>196</v>
      </c>
      <c r="B6622">
        <v>85</v>
      </c>
      <c r="C6622" t="s">
        <v>2177</v>
      </c>
      <c r="D6622">
        <v>740</v>
      </c>
      <c r="E6622" t="s">
        <v>2208</v>
      </c>
      <c r="F6622">
        <v>1005</v>
      </c>
      <c r="G6622" t="s">
        <v>2177</v>
      </c>
      <c r="H6622">
        <v>2015</v>
      </c>
      <c r="I6622" t="s">
        <v>4</v>
      </c>
      <c r="J6622">
        <v>3015</v>
      </c>
      <c r="K6622" t="s">
        <v>4</v>
      </c>
      <c r="L6622">
        <v>4414</v>
      </c>
      <c r="M6622" t="s">
        <v>2237</v>
      </c>
      <c r="N6622" t="s">
        <v>199</v>
      </c>
      <c r="O6622">
        <v>0</v>
      </c>
      <c r="P6622">
        <v>15</v>
      </c>
      <c r="Q6622" t="s">
        <v>264</v>
      </c>
      <c r="R6622" t="s">
        <v>201</v>
      </c>
      <c r="S6622">
        <v>0</v>
      </c>
      <c r="T6622">
        <v>0</v>
      </c>
      <c r="U6622">
        <v>28307</v>
      </c>
      <c r="V6622">
        <v>28307</v>
      </c>
    </row>
    <row r="6623" spans="1:22">
      <c r="A6623" t="s">
        <v>196</v>
      </c>
      <c r="B6623">
        <v>85</v>
      </c>
      <c r="C6623" t="s">
        <v>2177</v>
      </c>
      <c r="D6623">
        <v>740</v>
      </c>
      <c r="E6623" t="s">
        <v>2208</v>
      </c>
      <c r="F6623">
        <v>1005</v>
      </c>
      <c r="G6623" t="s">
        <v>2177</v>
      </c>
      <c r="H6623">
        <v>2015</v>
      </c>
      <c r="I6623" t="s">
        <v>4</v>
      </c>
      <c r="J6623">
        <v>3015</v>
      </c>
      <c r="K6623" t="s">
        <v>4</v>
      </c>
      <c r="L6623">
        <v>4416</v>
      </c>
      <c r="M6623" t="s">
        <v>2241</v>
      </c>
      <c r="N6623" t="s">
        <v>372</v>
      </c>
      <c r="O6623">
        <v>4</v>
      </c>
      <c r="P6623">
        <v>1912</v>
      </c>
      <c r="Q6623" t="s">
        <v>608</v>
      </c>
      <c r="R6623" t="s">
        <v>201</v>
      </c>
      <c r="S6623">
        <v>1</v>
      </c>
      <c r="T6623">
        <v>1</v>
      </c>
      <c r="U6623">
        <v>93504</v>
      </c>
      <c r="V6623">
        <v>93504</v>
      </c>
    </row>
    <row r="6624" spans="1:22">
      <c r="A6624" t="s">
        <v>196</v>
      </c>
      <c r="B6624">
        <v>85</v>
      </c>
      <c r="C6624" t="s">
        <v>2177</v>
      </c>
      <c r="D6624">
        <v>740</v>
      </c>
      <c r="E6624" t="s">
        <v>2208</v>
      </c>
      <c r="F6624">
        <v>1005</v>
      </c>
      <c r="G6624" t="s">
        <v>2177</v>
      </c>
      <c r="H6624">
        <v>2015</v>
      </c>
      <c r="I6624" t="s">
        <v>4</v>
      </c>
      <c r="J6624">
        <v>3015</v>
      </c>
      <c r="K6624" t="s">
        <v>4</v>
      </c>
      <c r="L6624">
        <v>4416</v>
      </c>
      <c r="M6624" t="s">
        <v>2241</v>
      </c>
      <c r="N6624" t="s">
        <v>372</v>
      </c>
      <c r="O6624">
        <v>4</v>
      </c>
      <c r="P6624">
        <v>1912</v>
      </c>
      <c r="Q6624" t="s">
        <v>608</v>
      </c>
      <c r="R6624" t="s">
        <v>201</v>
      </c>
      <c r="S6624">
        <v>1</v>
      </c>
      <c r="T6624">
        <v>1</v>
      </c>
      <c r="U6624">
        <v>75336</v>
      </c>
      <c r="V6624">
        <v>75336</v>
      </c>
    </row>
    <row r="6625" spans="1:22">
      <c r="A6625" t="s">
        <v>196</v>
      </c>
      <c r="B6625">
        <v>85</v>
      </c>
      <c r="C6625" t="s">
        <v>2177</v>
      </c>
      <c r="D6625">
        <v>740</v>
      </c>
      <c r="E6625" t="s">
        <v>2208</v>
      </c>
      <c r="F6625">
        <v>1005</v>
      </c>
      <c r="G6625" t="s">
        <v>2177</v>
      </c>
      <c r="H6625">
        <v>2015</v>
      </c>
      <c r="I6625" t="s">
        <v>4</v>
      </c>
      <c r="J6625">
        <v>3015</v>
      </c>
      <c r="K6625" t="s">
        <v>4</v>
      </c>
      <c r="L6625">
        <v>4416</v>
      </c>
      <c r="M6625" t="s">
        <v>2241</v>
      </c>
      <c r="N6625" t="s">
        <v>268</v>
      </c>
      <c r="O6625">
        <v>10</v>
      </c>
      <c r="P6625">
        <v>134</v>
      </c>
      <c r="Q6625" t="s">
        <v>322</v>
      </c>
      <c r="R6625" t="s">
        <v>201</v>
      </c>
      <c r="S6625">
        <v>1</v>
      </c>
      <c r="T6625">
        <v>1</v>
      </c>
      <c r="U6625">
        <v>69684</v>
      </c>
      <c r="V6625">
        <v>69684</v>
      </c>
    </row>
    <row r="6626" spans="1:22">
      <c r="A6626" t="s">
        <v>196</v>
      </c>
      <c r="B6626">
        <v>85</v>
      </c>
      <c r="C6626" t="s">
        <v>2177</v>
      </c>
      <c r="D6626">
        <v>740</v>
      </c>
      <c r="E6626" t="s">
        <v>2208</v>
      </c>
      <c r="F6626">
        <v>1005</v>
      </c>
      <c r="G6626" t="s">
        <v>2177</v>
      </c>
      <c r="H6626">
        <v>2015</v>
      </c>
      <c r="I6626" t="s">
        <v>4</v>
      </c>
      <c r="J6626">
        <v>3015</v>
      </c>
      <c r="K6626" t="s">
        <v>4</v>
      </c>
      <c r="L6626">
        <v>4416</v>
      </c>
      <c r="M6626" t="s">
        <v>2241</v>
      </c>
      <c r="N6626" t="s">
        <v>253</v>
      </c>
      <c r="O6626">
        <v>20</v>
      </c>
      <c r="P6626">
        <v>126</v>
      </c>
      <c r="Q6626" t="s">
        <v>651</v>
      </c>
      <c r="R6626" t="s">
        <v>201</v>
      </c>
      <c r="S6626">
        <v>1</v>
      </c>
      <c r="T6626">
        <v>1</v>
      </c>
      <c r="U6626">
        <v>83052</v>
      </c>
      <c r="V6626">
        <v>83052</v>
      </c>
    </row>
    <row r="6627" spans="1:22">
      <c r="A6627" t="s">
        <v>196</v>
      </c>
      <c r="B6627">
        <v>85</v>
      </c>
      <c r="C6627" t="s">
        <v>2177</v>
      </c>
      <c r="D6627">
        <v>740</v>
      </c>
      <c r="E6627" t="s">
        <v>2208</v>
      </c>
      <c r="F6627">
        <v>1005</v>
      </c>
      <c r="G6627" t="s">
        <v>2177</v>
      </c>
      <c r="H6627">
        <v>2015</v>
      </c>
      <c r="I6627" t="s">
        <v>4</v>
      </c>
      <c r="J6627">
        <v>3015</v>
      </c>
      <c r="K6627" t="s">
        <v>4</v>
      </c>
      <c r="L6627">
        <v>4416</v>
      </c>
      <c r="M6627" t="s">
        <v>2241</v>
      </c>
      <c r="N6627" t="s">
        <v>297</v>
      </c>
      <c r="O6627">
        <v>20</v>
      </c>
      <c r="P6627">
        <v>120</v>
      </c>
      <c r="Q6627" t="s">
        <v>657</v>
      </c>
      <c r="R6627" t="s">
        <v>201</v>
      </c>
      <c r="S6627">
        <v>1</v>
      </c>
      <c r="T6627">
        <v>1</v>
      </c>
      <c r="U6627">
        <v>126756</v>
      </c>
      <c r="V6627">
        <v>126756</v>
      </c>
    </row>
    <row r="6628" spans="1:22">
      <c r="A6628" t="s">
        <v>196</v>
      </c>
      <c r="B6628">
        <v>85</v>
      </c>
      <c r="C6628" t="s">
        <v>2177</v>
      </c>
      <c r="D6628">
        <v>740</v>
      </c>
      <c r="E6628" t="s">
        <v>2208</v>
      </c>
      <c r="F6628">
        <v>1005</v>
      </c>
      <c r="G6628" t="s">
        <v>2177</v>
      </c>
      <c r="H6628">
        <v>2015</v>
      </c>
      <c r="I6628" t="s">
        <v>4</v>
      </c>
      <c r="J6628">
        <v>3015</v>
      </c>
      <c r="K6628" t="s">
        <v>4</v>
      </c>
      <c r="L6628">
        <v>4416</v>
      </c>
      <c r="M6628" t="s">
        <v>2241</v>
      </c>
      <c r="N6628" t="s">
        <v>297</v>
      </c>
      <c r="O6628">
        <v>20</v>
      </c>
      <c r="P6628">
        <v>120</v>
      </c>
      <c r="Q6628" t="s">
        <v>657</v>
      </c>
      <c r="R6628" t="s">
        <v>201</v>
      </c>
      <c r="S6628">
        <v>1</v>
      </c>
      <c r="T6628">
        <v>1</v>
      </c>
      <c r="U6628">
        <v>97332</v>
      </c>
      <c r="V6628">
        <v>97332</v>
      </c>
    </row>
    <row r="6629" spans="1:22">
      <c r="A6629" t="s">
        <v>196</v>
      </c>
      <c r="B6629">
        <v>85</v>
      </c>
      <c r="C6629" t="s">
        <v>2177</v>
      </c>
      <c r="D6629">
        <v>740</v>
      </c>
      <c r="E6629" t="s">
        <v>2208</v>
      </c>
      <c r="F6629">
        <v>1005</v>
      </c>
      <c r="G6629" t="s">
        <v>2177</v>
      </c>
      <c r="H6629">
        <v>2015</v>
      </c>
      <c r="I6629" t="s">
        <v>4</v>
      </c>
      <c r="J6629">
        <v>3015</v>
      </c>
      <c r="K6629" t="s">
        <v>4</v>
      </c>
      <c r="L6629">
        <v>4416</v>
      </c>
      <c r="M6629" t="s">
        <v>2241</v>
      </c>
      <c r="N6629" t="s">
        <v>1314</v>
      </c>
      <c r="O6629">
        <v>0</v>
      </c>
      <c r="P6629">
        <v>112</v>
      </c>
      <c r="Q6629" t="s">
        <v>358</v>
      </c>
      <c r="R6629" t="s">
        <v>201</v>
      </c>
      <c r="S6629">
        <v>1</v>
      </c>
      <c r="T6629">
        <v>1</v>
      </c>
      <c r="U6629">
        <v>160680</v>
      </c>
      <c r="V6629">
        <v>160680</v>
      </c>
    </row>
    <row r="6630" spans="1:22">
      <c r="A6630" t="s">
        <v>196</v>
      </c>
      <c r="B6630">
        <v>85</v>
      </c>
      <c r="C6630" t="s">
        <v>2177</v>
      </c>
      <c r="D6630">
        <v>740</v>
      </c>
      <c r="E6630" t="s">
        <v>2208</v>
      </c>
      <c r="F6630">
        <v>1005</v>
      </c>
      <c r="G6630" t="s">
        <v>2177</v>
      </c>
      <c r="H6630">
        <v>2015</v>
      </c>
      <c r="I6630" t="s">
        <v>4</v>
      </c>
      <c r="J6630">
        <v>3015</v>
      </c>
      <c r="K6630" t="s">
        <v>4</v>
      </c>
      <c r="L6630">
        <v>4416</v>
      </c>
      <c r="M6630" t="s">
        <v>2241</v>
      </c>
      <c r="N6630" t="s">
        <v>356</v>
      </c>
      <c r="O6630">
        <v>4</v>
      </c>
      <c r="P6630">
        <v>111</v>
      </c>
      <c r="Q6630" t="s">
        <v>648</v>
      </c>
      <c r="R6630" t="s">
        <v>201</v>
      </c>
      <c r="S6630">
        <v>1</v>
      </c>
      <c r="T6630">
        <v>1</v>
      </c>
      <c r="U6630">
        <v>129636</v>
      </c>
      <c r="V6630">
        <v>129636</v>
      </c>
    </row>
    <row r="6631" spans="1:22">
      <c r="A6631" t="s">
        <v>196</v>
      </c>
      <c r="B6631">
        <v>85</v>
      </c>
      <c r="C6631" t="s">
        <v>2177</v>
      </c>
      <c r="D6631">
        <v>740</v>
      </c>
      <c r="E6631" t="s">
        <v>2208</v>
      </c>
      <c r="F6631">
        <v>1005</v>
      </c>
      <c r="G6631" t="s">
        <v>2177</v>
      </c>
      <c r="H6631">
        <v>2015</v>
      </c>
      <c r="I6631" t="s">
        <v>4</v>
      </c>
      <c r="J6631">
        <v>3015</v>
      </c>
      <c r="K6631" t="s">
        <v>4</v>
      </c>
      <c r="L6631">
        <v>4416</v>
      </c>
      <c r="M6631" t="s">
        <v>2241</v>
      </c>
      <c r="N6631" t="s">
        <v>356</v>
      </c>
      <c r="O6631">
        <v>4</v>
      </c>
      <c r="P6631">
        <v>111</v>
      </c>
      <c r="Q6631" t="s">
        <v>648</v>
      </c>
      <c r="R6631" t="s">
        <v>201</v>
      </c>
      <c r="S6631">
        <v>1</v>
      </c>
      <c r="T6631">
        <v>1</v>
      </c>
      <c r="U6631">
        <v>90144</v>
      </c>
      <c r="V6631">
        <v>90144</v>
      </c>
    </row>
    <row r="6632" spans="1:22">
      <c r="A6632" t="s">
        <v>196</v>
      </c>
      <c r="B6632">
        <v>85</v>
      </c>
      <c r="C6632" t="s">
        <v>2177</v>
      </c>
      <c r="D6632">
        <v>740</v>
      </c>
      <c r="E6632" t="s">
        <v>2208</v>
      </c>
      <c r="F6632">
        <v>1005</v>
      </c>
      <c r="G6632" t="s">
        <v>2177</v>
      </c>
      <c r="H6632">
        <v>2015</v>
      </c>
      <c r="I6632" t="s">
        <v>4</v>
      </c>
      <c r="J6632">
        <v>3015</v>
      </c>
      <c r="K6632" t="s">
        <v>4</v>
      </c>
      <c r="L6632">
        <v>4416</v>
      </c>
      <c r="M6632" t="s">
        <v>2241</v>
      </c>
      <c r="N6632" t="s">
        <v>341</v>
      </c>
      <c r="O6632">
        <v>4</v>
      </c>
      <c r="P6632">
        <v>110</v>
      </c>
      <c r="Q6632" t="s">
        <v>359</v>
      </c>
      <c r="R6632" t="s">
        <v>201</v>
      </c>
      <c r="S6632">
        <v>1</v>
      </c>
      <c r="T6632">
        <v>1</v>
      </c>
      <c r="U6632">
        <v>68616</v>
      </c>
      <c r="V6632">
        <v>68616</v>
      </c>
    </row>
    <row r="6633" spans="1:22">
      <c r="A6633" t="s">
        <v>196</v>
      </c>
      <c r="B6633">
        <v>85</v>
      </c>
      <c r="C6633" t="s">
        <v>2177</v>
      </c>
      <c r="D6633">
        <v>740</v>
      </c>
      <c r="E6633" t="s">
        <v>2208</v>
      </c>
      <c r="F6633">
        <v>1005</v>
      </c>
      <c r="G6633" t="s">
        <v>2177</v>
      </c>
      <c r="H6633">
        <v>2015</v>
      </c>
      <c r="I6633" t="s">
        <v>4</v>
      </c>
      <c r="J6633">
        <v>3015</v>
      </c>
      <c r="K6633" t="s">
        <v>4</v>
      </c>
      <c r="L6633">
        <v>4416</v>
      </c>
      <c r="M6633" t="s">
        <v>2241</v>
      </c>
      <c r="N6633" t="s">
        <v>360</v>
      </c>
      <c r="O6633">
        <v>1</v>
      </c>
      <c r="P6633">
        <v>109</v>
      </c>
      <c r="Q6633" t="s">
        <v>361</v>
      </c>
      <c r="R6633" t="s">
        <v>201</v>
      </c>
      <c r="S6633">
        <v>1</v>
      </c>
      <c r="T6633">
        <v>1</v>
      </c>
      <c r="U6633">
        <v>98928</v>
      </c>
      <c r="V6633">
        <v>98928</v>
      </c>
    </row>
    <row r="6634" spans="1:22">
      <c r="A6634" t="s">
        <v>196</v>
      </c>
      <c r="B6634">
        <v>85</v>
      </c>
      <c r="C6634" t="s">
        <v>2177</v>
      </c>
      <c r="D6634">
        <v>740</v>
      </c>
      <c r="E6634" t="s">
        <v>2208</v>
      </c>
      <c r="F6634">
        <v>1005</v>
      </c>
      <c r="G6634" t="s">
        <v>2177</v>
      </c>
      <c r="H6634">
        <v>2015</v>
      </c>
      <c r="I6634" t="s">
        <v>4</v>
      </c>
      <c r="J6634">
        <v>3015</v>
      </c>
      <c r="K6634" t="s">
        <v>4</v>
      </c>
      <c r="L6634">
        <v>4416</v>
      </c>
      <c r="M6634" t="s">
        <v>2241</v>
      </c>
      <c r="N6634" t="s">
        <v>360</v>
      </c>
      <c r="O6634">
        <v>1</v>
      </c>
      <c r="P6634">
        <v>109</v>
      </c>
      <c r="Q6634" t="s">
        <v>361</v>
      </c>
      <c r="R6634" t="s">
        <v>201</v>
      </c>
      <c r="S6634">
        <v>1</v>
      </c>
      <c r="T6634">
        <v>1</v>
      </c>
      <c r="U6634">
        <v>74916</v>
      </c>
      <c r="V6634">
        <v>74916</v>
      </c>
    </row>
    <row r="6635" spans="1:22">
      <c r="A6635" t="s">
        <v>196</v>
      </c>
      <c r="B6635">
        <v>85</v>
      </c>
      <c r="C6635" t="s">
        <v>2177</v>
      </c>
      <c r="D6635">
        <v>740</v>
      </c>
      <c r="E6635" t="s">
        <v>2208</v>
      </c>
      <c r="F6635">
        <v>1005</v>
      </c>
      <c r="G6635" t="s">
        <v>2177</v>
      </c>
      <c r="H6635">
        <v>2015</v>
      </c>
      <c r="I6635" t="s">
        <v>4</v>
      </c>
      <c r="J6635">
        <v>3015</v>
      </c>
      <c r="K6635" t="s">
        <v>4</v>
      </c>
      <c r="L6635">
        <v>4416</v>
      </c>
      <c r="M6635" t="s">
        <v>2241</v>
      </c>
      <c r="N6635" t="s">
        <v>360</v>
      </c>
      <c r="O6635">
        <v>1</v>
      </c>
      <c r="P6635">
        <v>109</v>
      </c>
      <c r="Q6635" t="s">
        <v>361</v>
      </c>
      <c r="R6635" t="s">
        <v>201</v>
      </c>
      <c r="S6635">
        <v>2</v>
      </c>
      <c r="T6635">
        <v>1</v>
      </c>
      <c r="U6635">
        <v>64488</v>
      </c>
      <c r="V6635">
        <v>128976</v>
      </c>
    </row>
    <row r="6636" spans="1:22">
      <c r="A6636" t="s">
        <v>196</v>
      </c>
      <c r="B6636">
        <v>85</v>
      </c>
      <c r="C6636" t="s">
        <v>2177</v>
      </c>
      <c r="D6636">
        <v>740</v>
      </c>
      <c r="E6636" t="s">
        <v>2208</v>
      </c>
      <c r="F6636">
        <v>1005</v>
      </c>
      <c r="G6636" t="s">
        <v>2177</v>
      </c>
      <c r="H6636">
        <v>2015</v>
      </c>
      <c r="I6636" t="s">
        <v>4</v>
      </c>
      <c r="J6636">
        <v>3015</v>
      </c>
      <c r="K6636" t="s">
        <v>4</v>
      </c>
      <c r="L6636">
        <v>4416</v>
      </c>
      <c r="M6636" t="s">
        <v>2241</v>
      </c>
      <c r="N6636" t="s">
        <v>360</v>
      </c>
      <c r="O6636">
        <v>1</v>
      </c>
      <c r="P6636">
        <v>109</v>
      </c>
      <c r="Q6636" t="s">
        <v>361</v>
      </c>
      <c r="R6636" t="s">
        <v>201</v>
      </c>
      <c r="S6636">
        <v>2</v>
      </c>
      <c r="T6636">
        <v>1</v>
      </c>
      <c r="U6636">
        <v>61548</v>
      </c>
      <c r="V6636">
        <v>123096</v>
      </c>
    </row>
    <row r="6637" spans="1:22">
      <c r="A6637" t="s">
        <v>196</v>
      </c>
      <c r="B6637">
        <v>85</v>
      </c>
      <c r="C6637" t="s">
        <v>2177</v>
      </c>
      <c r="D6637">
        <v>740</v>
      </c>
      <c r="E6637" t="s">
        <v>2208</v>
      </c>
      <c r="F6637">
        <v>1005</v>
      </c>
      <c r="G6637" t="s">
        <v>2177</v>
      </c>
      <c r="H6637">
        <v>2015</v>
      </c>
      <c r="I6637" t="s">
        <v>4</v>
      </c>
      <c r="J6637">
        <v>3015</v>
      </c>
      <c r="K6637" t="s">
        <v>4</v>
      </c>
      <c r="L6637">
        <v>4416</v>
      </c>
      <c r="M6637" t="s">
        <v>2241</v>
      </c>
      <c r="N6637" t="s">
        <v>360</v>
      </c>
      <c r="O6637">
        <v>1</v>
      </c>
      <c r="P6637">
        <v>109</v>
      </c>
      <c r="Q6637" t="s">
        <v>361</v>
      </c>
      <c r="R6637" t="s">
        <v>201</v>
      </c>
      <c r="S6637">
        <v>1</v>
      </c>
      <c r="T6637">
        <v>1</v>
      </c>
      <c r="U6637">
        <v>58764</v>
      </c>
      <c r="V6637">
        <v>58764</v>
      </c>
    </row>
    <row r="6638" spans="1:22">
      <c r="A6638" t="s">
        <v>196</v>
      </c>
      <c r="B6638">
        <v>85</v>
      </c>
      <c r="C6638" t="s">
        <v>2177</v>
      </c>
      <c r="D6638">
        <v>740</v>
      </c>
      <c r="E6638" t="s">
        <v>2208</v>
      </c>
      <c r="F6638">
        <v>1005</v>
      </c>
      <c r="G6638" t="s">
        <v>2177</v>
      </c>
      <c r="H6638">
        <v>2015</v>
      </c>
      <c r="I6638" t="s">
        <v>4</v>
      </c>
      <c r="J6638">
        <v>3015</v>
      </c>
      <c r="K6638" t="s">
        <v>4</v>
      </c>
      <c r="L6638">
        <v>4416</v>
      </c>
      <c r="M6638" t="s">
        <v>2241</v>
      </c>
      <c r="N6638" t="s">
        <v>360</v>
      </c>
      <c r="O6638">
        <v>1</v>
      </c>
      <c r="P6638">
        <v>109</v>
      </c>
      <c r="Q6638" t="s">
        <v>361</v>
      </c>
      <c r="R6638" t="s">
        <v>201</v>
      </c>
      <c r="S6638">
        <v>3</v>
      </c>
      <c r="T6638">
        <v>1</v>
      </c>
      <c r="U6638">
        <v>57000</v>
      </c>
      <c r="V6638">
        <v>171000</v>
      </c>
    </row>
    <row r="6639" spans="1:22">
      <c r="A6639" t="s">
        <v>196</v>
      </c>
      <c r="B6639">
        <v>85</v>
      </c>
      <c r="C6639" t="s">
        <v>2177</v>
      </c>
      <c r="D6639">
        <v>740</v>
      </c>
      <c r="E6639" t="s">
        <v>2208</v>
      </c>
      <c r="F6639">
        <v>1005</v>
      </c>
      <c r="G6639" t="s">
        <v>2177</v>
      </c>
      <c r="H6639">
        <v>2015</v>
      </c>
      <c r="I6639" t="s">
        <v>4</v>
      </c>
      <c r="J6639">
        <v>3015</v>
      </c>
      <c r="K6639" t="s">
        <v>4</v>
      </c>
      <c r="L6639">
        <v>4416</v>
      </c>
      <c r="M6639" t="s">
        <v>2241</v>
      </c>
      <c r="N6639" t="s">
        <v>199</v>
      </c>
      <c r="O6639">
        <v>0</v>
      </c>
      <c r="P6639">
        <v>15</v>
      </c>
      <c r="Q6639" t="s">
        <v>264</v>
      </c>
      <c r="R6639" t="s">
        <v>201</v>
      </c>
      <c r="S6639">
        <v>0</v>
      </c>
      <c r="T6639">
        <v>0</v>
      </c>
      <c r="U6639">
        <v>19216</v>
      </c>
      <c r="V6639">
        <v>19216</v>
      </c>
    </row>
    <row r="6640" spans="1:22">
      <c r="A6640" t="s">
        <v>196</v>
      </c>
      <c r="B6640">
        <v>85</v>
      </c>
      <c r="C6640" t="s">
        <v>2177</v>
      </c>
      <c r="D6640">
        <v>740</v>
      </c>
      <c r="E6640" t="s">
        <v>2208</v>
      </c>
      <c r="F6640">
        <v>1005</v>
      </c>
      <c r="G6640" t="s">
        <v>2177</v>
      </c>
      <c r="H6640">
        <v>2015</v>
      </c>
      <c r="I6640" t="s">
        <v>4</v>
      </c>
      <c r="J6640">
        <v>3015</v>
      </c>
      <c r="K6640" t="s">
        <v>4</v>
      </c>
      <c r="L6640">
        <v>4419</v>
      </c>
      <c r="M6640" t="s">
        <v>2242</v>
      </c>
      <c r="N6640" t="s">
        <v>1294</v>
      </c>
      <c r="O6640">
        <v>0</v>
      </c>
      <c r="P6640">
        <v>9681</v>
      </c>
      <c r="Q6640" t="s">
        <v>338</v>
      </c>
      <c r="R6640" t="s">
        <v>201</v>
      </c>
      <c r="S6640">
        <v>1</v>
      </c>
      <c r="T6640">
        <v>1</v>
      </c>
      <c r="U6640">
        <v>184584</v>
      </c>
      <c r="V6640">
        <v>184584</v>
      </c>
    </row>
    <row r="6641" spans="1:22">
      <c r="A6641" t="s">
        <v>196</v>
      </c>
      <c r="B6641">
        <v>85</v>
      </c>
      <c r="C6641" t="s">
        <v>2177</v>
      </c>
      <c r="D6641">
        <v>740</v>
      </c>
      <c r="E6641" t="s">
        <v>2208</v>
      </c>
      <c r="F6641">
        <v>1005</v>
      </c>
      <c r="G6641" t="s">
        <v>2177</v>
      </c>
      <c r="H6641">
        <v>2015</v>
      </c>
      <c r="I6641" t="s">
        <v>4</v>
      </c>
      <c r="J6641">
        <v>3015</v>
      </c>
      <c r="K6641" t="s">
        <v>4</v>
      </c>
      <c r="L6641">
        <v>4419</v>
      </c>
      <c r="M6641" t="s">
        <v>2242</v>
      </c>
      <c r="N6641" t="s">
        <v>249</v>
      </c>
      <c r="O6641">
        <v>10</v>
      </c>
      <c r="P6641">
        <v>3092</v>
      </c>
      <c r="Q6641" t="s">
        <v>750</v>
      </c>
      <c r="R6641" t="s">
        <v>201</v>
      </c>
      <c r="S6641">
        <v>1</v>
      </c>
      <c r="T6641">
        <v>1</v>
      </c>
      <c r="U6641">
        <v>102444</v>
      </c>
      <c r="V6641">
        <v>102444</v>
      </c>
    </row>
    <row r="6642" spans="1:22">
      <c r="A6642" t="s">
        <v>196</v>
      </c>
      <c r="B6642">
        <v>85</v>
      </c>
      <c r="C6642" t="s">
        <v>2177</v>
      </c>
      <c r="D6642">
        <v>740</v>
      </c>
      <c r="E6642" t="s">
        <v>2208</v>
      </c>
      <c r="F6642">
        <v>1005</v>
      </c>
      <c r="G6642" t="s">
        <v>2177</v>
      </c>
      <c r="H6642">
        <v>2015</v>
      </c>
      <c r="I6642" t="s">
        <v>4</v>
      </c>
      <c r="J6642">
        <v>3015</v>
      </c>
      <c r="K6642" t="s">
        <v>4</v>
      </c>
      <c r="L6642">
        <v>4419</v>
      </c>
      <c r="M6642" t="s">
        <v>2242</v>
      </c>
      <c r="N6642" t="s">
        <v>249</v>
      </c>
      <c r="O6642">
        <v>10</v>
      </c>
      <c r="P6642">
        <v>3092</v>
      </c>
      <c r="Q6642" t="s">
        <v>750</v>
      </c>
      <c r="R6642" t="s">
        <v>201</v>
      </c>
      <c r="S6642">
        <v>1</v>
      </c>
      <c r="T6642">
        <v>1</v>
      </c>
      <c r="U6642">
        <v>93384</v>
      </c>
      <c r="V6642">
        <v>93384</v>
      </c>
    </row>
    <row r="6643" spans="1:22">
      <c r="A6643" t="s">
        <v>196</v>
      </c>
      <c r="B6643">
        <v>85</v>
      </c>
      <c r="C6643" t="s">
        <v>2177</v>
      </c>
      <c r="D6643">
        <v>740</v>
      </c>
      <c r="E6643" t="s">
        <v>2208</v>
      </c>
      <c r="F6643">
        <v>1005</v>
      </c>
      <c r="G6643" t="s">
        <v>2177</v>
      </c>
      <c r="H6643">
        <v>2015</v>
      </c>
      <c r="I6643" t="s">
        <v>4</v>
      </c>
      <c r="J6643">
        <v>3015</v>
      </c>
      <c r="K6643" t="s">
        <v>4</v>
      </c>
      <c r="L6643">
        <v>4419</v>
      </c>
      <c r="M6643" t="s">
        <v>2242</v>
      </c>
      <c r="N6643" t="s">
        <v>372</v>
      </c>
      <c r="O6643">
        <v>4</v>
      </c>
      <c r="P6643">
        <v>1912</v>
      </c>
      <c r="Q6643" t="s">
        <v>608</v>
      </c>
      <c r="R6643" t="s">
        <v>201</v>
      </c>
      <c r="S6643">
        <v>2</v>
      </c>
      <c r="T6643">
        <v>1</v>
      </c>
      <c r="U6643">
        <v>85200</v>
      </c>
      <c r="V6643">
        <v>170400</v>
      </c>
    </row>
    <row r="6644" spans="1:22">
      <c r="A6644" t="s">
        <v>196</v>
      </c>
      <c r="B6644">
        <v>85</v>
      </c>
      <c r="C6644" t="s">
        <v>2177</v>
      </c>
      <c r="D6644">
        <v>740</v>
      </c>
      <c r="E6644" t="s">
        <v>2208</v>
      </c>
      <c r="F6644">
        <v>1005</v>
      </c>
      <c r="G6644" t="s">
        <v>2177</v>
      </c>
      <c r="H6644">
        <v>2015</v>
      </c>
      <c r="I6644" t="s">
        <v>4</v>
      </c>
      <c r="J6644">
        <v>3015</v>
      </c>
      <c r="K6644" t="s">
        <v>4</v>
      </c>
      <c r="L6644">
        <v>4419</v>
      </c>
      <c r="M6644" t="s">
        <v>2242</v>
      </c>
      <c r="N6644" t="s">
        <v>372</v>
      </c>
      <c r="O6644">
        <v>1</v>
      </c>
      <c r="P6644">
        <v>1359</v>
      </c>
      <c r="Q6644" t="s">
        <v>933</v>
      </c>
      <c r="R6644" t="s">
        <v>201</v>
      </c>
      <c r="S6644">
        <v>1</v>
      </c>
      <c r="T6644">
        <v>1</v>
      </c>
      <c r="U6644">
        <v>130668</v>
      </c>
      <c r="V6644">
        <v>130668</v>
      </c>
    </row>
    <row r="6645" spans="1:22">
      <c r="A6645" t="s">
        <v>196</v>
      </c>
      <c r="B6645">
        <v>85</v>
      </c>
      <c r="C6645" t="s">
        <v>2177</v>
      </c>
      <c r="D6645">
        <v>740</v>
      </c>
      <c r="E6645" t="s">
        <v>2208</v>
      </c>
      <c r="F6645">
        <v>1005</v>
      </c>
      <c r="G6645" t="s">
        <v>2177</v>
      </c>
      <c r="H6645">
        <v>2015</v>
      </c>
      <c r="I6645" t="s">
        <v>4</v>
      </c>
      <c r="J6645">
        <v>3015</v>
      </c>
      <c r="K6645" t="s">
        <v>4</v>
      </c>
      <c r="L6645">
        <v>4419</v>
      </c>
      <c r="M6645" t="s">
        <v>2242</v>
      </c>
      <c r="N6645" t="s">
        <v>372</v>
      </c>
      <c r="O6645">
        <v>1</v>
      </c>
      <c r="P6645">
        <v>1359</v>
      </c>
      <c r="Q6645" t="s">
        <v>933</v>
      </c>
      <c r="R6645" t="s">
        <v>201</v>
      </c>
      <c r="S6645">
        <v>1</v>
      </c>
      <c r="T6645">
        <v>1</v>
      </c>
      <c r="U6645">
        <v>85200</v>
      </c>
      <c r="V6645">
        <v>85200</v>
      </c>
    </row>
    <row r="6646" spans="1:22">
      <c r="A6646" t="s">
        <v>196</v>
      </c>
      <c r="B6646">
        <v>85</v>
      </c>
      <c r="C6646" t="s">
        <v>2177</v>
      </c>
      <c r="D6646">
        <v>740</v>
      </c>
      <c r="E6646" t="s">
        <v>2208</v>
      </c>
      <c r="F6646">
        <v>1005</v>
      </c>
      <c r="G6646" t="s">
        <v>2177</v>
      </c>
      <c r="H6646">
        <v>2015</v>
      </c>
      <c r="I6646" t="s">
        <v>4</v>
      </c>
      <c r="J6646">
        <v>3015</v>
      </c>
      <c r="K6646" t="s">
        <v>4</v>
      </c>
      <c r="L6646">
        <v>4419</v>
      </c>
      <c r="M6646" t="s">
        <v>2242</v>
      </c>
      <c r="N6646" t="s">
        <v>253</v>
      </c>
      <c r="O6646">
        <v>20</v>
      </c>
      <c r="P6646">
        <v>1318</v>
      </c>
      <c r="Q6646" t="s">
        <v>934</v>
      </c>
      <c r="R6646" t="s">
        <v>201</v>
      </c>
      <c r="S6646">
        <v>1</v>
      </c>
      <c r="T6646">
        <v>1</v>
      </c>
      <c r="U6646">
        <v>93384</v>
      </c>
      <c r="V6646">
        <v>93384</v>
      </c>
    </row>
    <row r="6647" spans="1:22">
      <c r="A6647" t="s">
        <v>196</v>
      </c>
      <c r="B6647">
        <v>85</v>
      </c>
      <c r="C6647" t="s">
        <v>2177</v>
      </c>
      <c r="D6647">
        <v>740</v>
      </c>
      <c r="E6647" t="s">
        <v>2208</v>
      </c>
      <c r="F6647">
        <v>1005</v>
      </c>
      <c r="G6647" t="s">
        <v>2177</v>
      </c>
      <c r="H6647">
        <v>2015</v>
      </c>
      <c r="I6647" t="s">
        <v>4</v>
      </c>
      <c r="J6647">
        <v>3015</v>
      </c>
      <c r="K6647" t="s">
        <v>4</v>
      </c>
      <c r="L6647">
        <v>4419</v>
      </c>
      <c r="M6647" t="s">
        <v>2242</v>
      </c>
      <c r="N6647" t="s">
        <v>809</v>
      </c>
      <c r="O6647">
        <v>1</v>
      </c>
      <c r="P6647">
        <v>460</v>
      </c>
      <c r="Q6647" t="s">
        <v>810</v>
      </c>
      <c r="R6647" t="s">
        <v>201</v>
      </c>
      <c r="S6647">
        <v>1</v>
      </c>
      <c r="T6647">
        <v>1</v>
      </c>
      <c r="U6647">
        <v>47364</v>
      </c>
      <c r="V6647">
        <v>47364</v>
      </c>
    </row>
    <row r="6648" spans="1:22">
      <c r="A6648" t="s">
        <v>196</v>
      </c>
      <c r="B6648">
        <v>85</v>
      </c>
      <c r="C6648" t="s">
        <v>2177</v>
      </c>
      <c r="D6648">
        <v>740</v>
      </c>
      <c r="E6648" t="s">
        <v>2208</v>
      </c>
      <c r="F6648">
        <v>1005</v>
      </c>
      <c r="G6648" t="s">
        <v>2177</v>
      </c>
      <c r="H6648">
        <v>2015</v>
      </c>
      <c r="I6648" t="s">
        <v>4</v>
      </c>
      <c r="J6648">
        <v>3015</v>
      </c>
      <c r="K6648" t="s">
        <v>4</v>
      </c>
      <c r="L6648">
        <v>4419</v>
      </c>
      <c r="M6648" t="s">
        <v>2242</v>
      </c>
      <c r="N6648" t="s">
        <v>809</v>
      </c>
      <c r="O6648">
        <v>1</v>
      </c>
      <c r="P6648">
        <v>415</v>
      </c>
      <c r="Q6648" t="s">
        <v>1243</v>
      </c>
      <c r="R6648" t="s">
        <v>201</v>
      </c>
      <c r="S6648">
        <v>1</v>
      </c>
      <c r="T6648">
        <v>1</v>
      </c>
      <c r="U6648">
        <v>47364</v>
      </c>
      <c r="V6648">
        <v>47364</v>
      </c>
    </row>
    <row r="6649" spans="1:22">
      <c r="A6649" t="s">
        <v>196</v>
      </c>
      <c r="B6649">
        <v>85</v>
      </c>
      <c r="C6649" t="s">
        <v>2177</v>
      </c>
      <c r="D6649">
        <v>740</v>
      </c>
      <c r="E6649" t="s">
        <v>2208</v>
      </c>
      <c r="F6649">
        <v>1005</v>
      </c>
      <c r="G6649" t="s">
        <v>2177</v>
      </c>
      <c r="H6649">
        <v>2015</v>
      </c>
      <c r="I6649" t="s">
        <v>4</v>
      </c>
      <c r="J6649">
        <v>3015</v>
      </c>
      <c r="K6649" t="s">
        <v>4</v>
      </c>
      <c r="L6649">
        <v>4419</v>
      </c>
      <c r="M6649" t="s">
        <v>2242</v>
      </c>
      <c r="N6649" t="s">
        <v>1314</v>
      </c>
      <c r="O6649">
        <v>0</v>
      </c>
      <c r="P6649" t="s">
        <v>1471</v>
      </c>
      <c r="Q6649" t="s">
        <v>605</v>
      </c>
      <c r="R6649" t="s">
        <v>201</v>
      </c>
      <c r="S6649">
        <v>1</v>
      </c>
      <c r="T6649">
        <v>1</v>
      </c>
      <c r="U6649">
        <v>160680</v>
      </c>
      <c r="V6649">
        <v>160680</v>
      </c>
    </row>
    <row r="6650" spans="1:22">
      <c r="A6650" t="s">
        <v>196</v>
      </c>
      <c r="B6650">
        <v>85</v>
      </c>
      <c r="C6650" t="s">
        <v>2177</v>
      </c>
      <c r="D6650">
        <v>740</v>
      </c>
      <c r="E6650" t="s">
        <v>2208</v>
      </c>
      <c r="F6650">
        <v>1005</v>
      </c>
      <c r="G6650" t="s">
        <v>2177</v>
      </c>
      <c r="H6650">
        <v>2015</v>
      </c>
      <c r="I6650" t="s">
        <v>4</v>
      </c>
      <c r="J6650">
        <v>3015</v>
      </c>
      <c r="K6650" t="s">
        <v>4</v>
      </c>
      <c r="L6650">
        <v>4419</v>
      </c>
      <c r="M6650" t="s">
        <v>2242</v>
      </c>
      <c r="N6650" t="s">
        <v>249</v>
      </c>
      <c r="O6650">
        <v>10</v>
      </c>
      <c r="P6650">
        <v>310</v>
      </c>
      <c r="Q6650" t="s">
        <v>447</v>
      </c>
      <c r="R6650" t="s">
        <v>201</v>
      </c>
      <c r="S6650">
        <v>1</v>
      </c>
      <c r="T6650">
        <v>1</v>
      </c>
      <c r="U6650">
        <v>89112</v>
      </c>
      <c r="V6650">
        <v>89112</v>
      </c>
    </row>
    <row r="6651" spans="1:22">
      <c r="A6651" t="s">
        <v>196</v>
      </c>
      <c r="B6651">
        <v>85</v>
      </c>
      <c r="C6651" t="s">
        <v>2177</v>
      </c>
      <c r="D6651">
        <v>740</v>
      </c>
      <c r="E6651" t="s">
        <v>2208</v>
      </c>
      <c r="F6651">
        <v>1005</v>
      </c>
      <c r="G6651" t="s">
        <v>2177</v>
      </c>
      <c r="H6651">
        <v>2015</v>
      </c>
      <c r="I6651" t="s">
        <v>4</v>
      </c>
      <c r="J6651">
        <v>3015</v>
      </c>
      <c r="K6651" t="s">
        <v>4</v>
      </c>
      <c r="L6651">
        <v>4419</v>
      </c>
      <c r="M6651" t="s">
        <v>2242</v>
      </c>
      <c r="N6651" t="s">
        <v>341</v>
      </c>
      <c r="O6651">
        <v>1</v>
      </c>
      <c r="P6651">
        <v>308</v>
      </c>
      <c r="Q6651" t="s">
        <v>355</v>
      </c>
      <c r="R6651" t="s">
        <v>201</v>
      </c>
      <c r="S6651">
        <v>1</v>
      </c>
      <c r="T6651">
        <v>1</v>
      </c>
      <c r="U6651">
        <v>68616</v>
      </c>
      <c r="V6651">
        <v>68616</v>
      </c>
    </row>
    <row r="6652" spans="1:22">
      <c r="A6652" t="s">
        <v>196</v>
      </c>
      <c r="B6652">
        <v>85</v>
      </c>
      <c r="C6652" t="s">
        <v>2177</v>
      </c>
      <c r="D6652">
        <v>740</v>
      </c>
      <c r="E6652" t="s">
        <v>2208</v>
      </c>
      <c r="F6652">
        <v>1005</v>
      </c>
      <c r="G6652" t="s">
        <v>2177</v>
      </c>
      <c r="H6652">
        <v>2015</v>
      </c>
      <c r="I6652" t="s">
        <v>4</v>
      </c>
      <c r="J6652">
        <v>3015</v>
      </c>
      <c r="K6652" t="s">
        <v>4</v>
      </c>
      <c r="L6652">
        <v>4419</v>
      </c>
      <c r="M6652" t="s">
        <v>2242</v>
      </c>
      <c r="N6652" t="s">
        <v>199</v>
      </c>
      <c r="O6652">
        <v>0</v>
      </c>
      <c r="P6652">
        <v>15</v>
      </c>
      <c r="Q6652" t="s">
        <v>264</v>
      </c>
      <c r="R6652" t="s">
        <v>201</v>
      </c>
      <c r="S6652">
        <v>0</v>
      </c>
      <c r="T6652">
        <v>0</v>
      </c>
      <c r="U6652">
        <v>22874</v>
      </c>
      <c r="V6652">
        <v>22874</v>
      </c>
    </row>
    <row r="6653" spans="1:22">
      <c r="A6653" t="s">
        <v>196</v>
      </c>
      <c r="B6653">
        <v>85</v>
      </c>
      <c r="C6653" t="s">
        <v>2177</v>
      </c>
      <c r="D6653">
        <v>740</v>
      </c>
      <c r="E6653" t="s">
        <v>2208</v>
      </c>
      <c r="F6653">
        <v>1005</v>
      </c>
      <c r="G6653" t="s">
        <v>2177</v>
      </c>
      <c r="H6653">
        <v>2015</v>
      </c>
      <c r="I6653" t="s">
        <v>4</v>
      </c>
      <c r="J6653">
        <v>3015</v>
      </c>
      <c r="K6653" t="s">
        <v>4</v>
      </c>
      <c r="L6653">
        <v>4423</v>
      </c>
      <c r="M6653" t="s">
        <v>2243</v>
      </c>
      <c r="N6653" t="s">
        <v>1314</v>
      </c>
      <c r="O6653">
        <v>9</v>
      </c>
      <c r="P6653">
        <v>7098</v>
      </c>
      <c r="Q6653" t="s">
        <v>2244</v>
      </c>
      <c r="R6653" t="s">
        <v>201</v>
      </c>
      <c r="S6653">
        <v>2</v>
      </c>
      <c r="T6653">
        <v>1</v>
      </c>
      <c r="U6653">
        <v>150768</v>
      </c>
      <c r="V6653">
        <v>301536</v>
      </c>
    </row>
    <row r="6654" spans="1:22">
      <c r="A6654" t="s">
        <v>196</v>
      </c>
      <c r="B6654">
        <v>85</v>
      </c>
      <c r="C6654" t="s">
        <v>2177</v>
      </c>
      <c r="D6654">
        <v>740</v>
      </c>
      <c r="E6654" t="s">
        <v>2208</v>
      </c>
      <c r="F6654">
        <v>1005</v>
      </c>
      <c r="G6654" t="s">
        <v>2177</v>
      </c>
      <c r="H6654">
        <v>2015</v>
      </c>
      <c r="I6654" t="s">
        <v>4</v>
      </c>
      <c r="J6654">
        <v>3015</v>
      </c>
      <c r="K6654" t="s">
        <v>4</v>
      </c>
      <c r="L6654">
        <v>4423</v>
      </c>
      <c r="M6654" t="s">
        <v>2243</v>
      </c>
      <c r="N6654" t="s">
        <v>372</v>
      </c>
      <c r="O6654">
        <v>4</v>
      </c>
      <c r="P6654">
        <v>1912</v>
      </c>
      <c r="Q6654" t="s">
        <v>608</v>
      </c>
      <c r="R6654" t="s">
        <v>201</v>
      </c>
      <c r="S6654">
        <v>1</v>
      </c>
      <c r="T6654">
        <v>1</v>
      </c>
      <c r="U6654">
        <v>93504</v>
      </c>
      <c r="V6654">
        <v>93504</v>
      </c>
    </row>
    <row r="6655" spans="1:22">
      <c r="A6655" t="s">
        <v>196</v>
      </c>
      <c r="B6655">
        <v>85</v>
      </c>
      <c r="C6655" t="s">
        <v>2177</v>
      </c>
      <c r="D6655">
        <v>740</v>
      </c>
      <c r="E6655" t="s">
        <v>2208</v>
      </c>
      <c r="F6655">
        <v>1005</v>
      </c>
      <c r="G6655" t="s">
        <v>2177</v>
      </c>
      <c r="H6655">
        <v>2015</v>
      </c>
      <c r="I6655" t="s">
        <v>4</v>
      </c>
      <c r="J6655">
        <v>3015</v>
      </c>
      <c r="K6655" t="s">
        <v>4</v>
      </c>
      <c r="L6655">
        <v>4423</v>
      </c>
      <c r="M6655" t="s">
        <v>2243</v>
      </c>
      <c r="N6655" t="s">
        <v>372</v>
      </c>
      <c r="O6655">
        <v>4</v>
      </c>
      <c r="P6655">
        <v>1912</v>
      </c>
      <c r="Q6655" t="s">
        <v>608</v>
      </c>
      <c r="R6655" t="s">
        <v>201</v>
      </c>
      <c r="S6655">
        <v>1</v>
      </c>
      <c r="T6655">
        <v>1</v>
      </c>
      <c r="U6655">
        <v>89244</v>
      </c>
      <c r="V6655">
        <v>89244</v>
      </c>
    </row>
    <row r="6656" spans="1:22">
      <c r="A6656" t="s">
        <v>196</v>
      </c>
      <c r="B6656">
        <v>85</v>
      </c>
      <c r="C6656" t="s">
        <v>2177</v>
      </c>
      <c r="D6656">
        <v>740</v>
      </c>
      <c r="E6656" t="s">
        <v>2208</v>
      </c>
      <c r="F6656">
        <v>1005</v>
      </c>
      <c r="G6656" t="s">
        <v>2177</v>
      </c>
      <c r="H6656">
        <v>2015</v>
      </c>
      <c r="I6656" t="s">
        <v>4</v>
      </c>
      <c r="J6656">
        <v>3015</v>
      </c>
      <c r="K6656" t="s">
        <v>4</v>
      </c>
      <c r="L6656">
        <v>4423</v>
      </c>
      <c r="M6656" t="s">
        <v>2243</v>
      </c>
      <c r="N6656" t="s">
        <v>372</v>
      </c>
      <c r="O6656">
        <v>4</v>
      </c>
      <c r="P6656">
        <v>1912</v>
      </c>
      <c r="Q6656" t="s">
        <v>608</v>
      </c>
      <c r="R6656" t="s">
        <v>201</v>
      </c>
      <c r="S6656">
        <v>2</v>
      </c>
      <c r="T6656">
        <v>1</v>
      </c>
      <c r="U6656">
        <v>75336</v>
      </c>
      <c r="V6656">
        <v>150672</v>
      </c>
    </row>
    <row r="6657" spans="1:22">
      <c r="A6657" t="s">
        <v>196</v>
      </c>
      <c r="B6657">
        <v>85</v>
      </c>
      <c r="C6657" t="s">
        <v>2177</v>
      </c>
      <c r="D6657">
        <v>740</v>
      </c>
      <c r="E6657" t="s">
        <v>2208</v>
      </c>
      <c r="F6657">
        <v>1005</v>
      </c>
      <c r="G6657" t="s">
        <v>2177</v>
      </c>
      <c r="H6657">
        <v>2015</v>
      </c>
      <c r="I6657" t="s">
        <v>4</v>
      </c>
      <c r="J6657">
        <v>3015</v>
      </c>
      <c r="K6657" t="s">
        <v>4</v>
      </c>
      <c r="L6657">
        <v>4423</v>
      </c>
      <c r="M6657" t="s">
        <v>2243</v>
      </c>
      <c r="N6657" t="s">
        <v>1314</v>
      </c>
      <c r="O6657">
        <v>0</v>
      </c>
      <c r="P6657" t="s">
        <v>1471</v>
      </c>
      <c r="Q6657" t="s">
        <v>605</v>
      </c>
      <c r="R6657" t="s">
        <v>201</v>
      </c>
      <c r="S6657">
        <v>1</v>
      </c>
      <c r="T6657">
        <v>1</v>
      </c>
      <c r="U6657">
        <v>160680</v>
      </c>
      <c r="V6657">
        <v>160680</v>
      </c>
    </row>
    <row r="6658" spans="1:22">
      <c r="A6658" t="s">
        <v>196</v>
      </c>
      <c r="B6658">
        <v>85</v>
      </c>
      <c r="C6658" t="s">
        <v>2177</v>
      </c>
      <c r="D6658">
        <v>740</v>
      </c>
      <c r="E6658" t="s">
        <v>2208</v>
      </c>
      <c r="F6658">
        <v>1005</v>
      </c>
      <c r="G6658" t="s">
        <v>2177</v>
      </c>
      <c r="H6658">
        <v>2015</v>
      </c>
      <c r="I6658" t="s">
        <v>4</v>
      </c>
      <c r="J6658">
        <v>3015</v>
      </c>
      <c r="K6658" t="s">
        <v>4</v>
      </c>
      <c r="L6658">
        <v>4423</v>
      </c>
      <c r="M6658" t="s">
        <v>2243</v>
      </c>
      <c r="N6658" t="s">
        <v>249</v>
      </c>
      <c r="O6658">
        <v>10</v>
      </c>
      <c r="P6658">
        <v>311</v>
      </c>
      <c r="Q6658" t="s">
        <v>661</v>
      </c>
      <c r="R6658" t="s">
        <v>201</v>
      </c>
      <c r="S6658">
        <v>1</v>
      </c>
      <c r="T6658">
        <v>1</v>
      </c>
      <c r="U6658">
        <v>102444</v>
      </c>
      <c r="V6658">
        <v>102444</v>
      </c>
    </row>
    <row r="6659" spans="1:22">
      <c r="A6659" t="s">
        <v>196</v>
      </c>
      <c r="B6659">
        <v>85</v>
      </c>
      <c r="C6659" t="s">
        <v>2177</v>
      </c>
      <c r="D6659">
        <v>740</v>
      </c>
      <c r="E6659" t="s">
        <v>2208</v>
      </c>
      <c r="F6659">
        <v>1005</v>
      </c>
      <c r="G6659" t="s">
        <v>2177</v>
      </c>
      <c r="H6659">
        <v>2015</v>
      </c>
      <c r="I6659" t="s">
        <v>4</v>
      </c>
      <c r="J6659">
        <v>3015</v>
      </c>
      <c r="K6659" t="s">
        <v>4</v>
      </c>
      <c r="L6659">
        <v>4423</v>
      </c>
      <c r="M6659" t="s">
        <v>2243</v>
      </c>
      <c r="N6659" t="s">
        <v>199</v>
      </c>
      <c r="O6659">
        <v>0</v>
      </c>
      <c r="P6659">
        <v>15</v>
      </c>
      <c r="Q6659" t="s">
        <v>264</v>
      </c>
      <c r="R6659" t="s">
        <v>201</v>
      </c>
      <c r="S6659">
        <v>0</v>
      </c>
      <c r="T6659">
        <v>0</v>
      </c>
      <c r="U6659">
        <v>15995</v>
      </c>
      <c r="V6659">
        <v>15995</v>
      </c>
    </row>
    <row r="6660" spans="1:22">
      <c r="A6660" t="s">
        <v>196</v>
      </c>
      <c r="B6660">
        <v>85</v>
      </c>
      <c r="C6660" t="s">
        <v>2177</v>
      </c>
      <c r="D6660">
        <v>740</v>
      </c>
      <c r="E6660" t="s">
        <v>2208</v>
      </c>
      <c r="F6660">
        <v>1005</v>
      </c>
      <c r="G6660" t="s">
        <v>2177</v>
      </c>
      <c r="H6660">
        <v>2015</v>
      </c>
      <c r="I6660" t="s">
        <v>4</v>
      </c>
      <c r="J6660">
        <v>3015</v>
      </c>
      <c r="K6660" t="s">
        <v>4</v>
      </c>
      <c r="L6660">
        <v>4424</v>
      </c>
      <c r="M6660" t="s">
        <v>2245</v>
      </c>
      <c r="N6660" t="s">
        <v>1294</v>
      </c>
      <c r="O6660">
        <v>0</v>
      </c>
      <c r="P6660">
        <v>9681</v>
      </c>
      <c r="Q6660" t="s">
        <v>338</v>
      </c>
      <c r="R6660" t="s">
        <v>201</v>
      </c>
      <c r="S6660">
        <v>1</v>
      </c>
      <c r="T6660">
        <v>1</v>
      </c>
      <c r="U6660">
        <v>184584</v>
      </c>
      <c r="V6660">
        <v>184584</v>
      </c>
    </row>
    <row r="6661" spans="1:22">
      <c r="A6661" t="s">
        <v>196</v>
      </c>
      <c r="B6661">
        <v>85</v>
      </c>
      <c r="C6661" t="s">
        <v>2177</v>
      </c>
      <c r="D6661">
        <v>740</v>
      </c>
      <c r="E6661" t="s">
        <v>2208</v>
      </c>
      <c r="F6661">
        <v>1005</v>
      </c>
      <c r="G6661" t="s">
        <v>2177</v>
      </c>
      <c r="H6661">
        <v>2015</v>
      </c>
      <c r="I6661" t="s">
        <v>4</v>
      </c>
      <c r="J6661">
        <v>3015</v>
      </c>
      <c r="K6661" t="s">
        <v>4</v>
      </c>
      <c r="L6661">
        <v>4424</v>
      </c>
      <c r="M6661" t="s">
        <v>2245</v>
      </c>
      <c r="N6661" t="s">
        <v>372</v>
      </c>
      <c r="O6661">
        <v>4</v>
      </c>
      <c r="P6661">
        <v>1912</v>
      </c>
      <c r="Q6661" t="s">
        <v>608</v>
      </c>
      <c r="R6661" t="s">
        <v>201</v>
      </c>
      <c r="S6661">
        <v>2</v>
      </c>
      <c r="T6661">
        <v>1</v>
      </c>
      <c r="U6661">
        <v>77640</v>
      </c>
      <c r="V6661">
        <v>155280</v>
      </c>
    </row>
    <row r="6662" spans="1:22">
      <c r="A6662" t="s">
        <v>196</v>
      </c>
      <c r="B6662">
        <v>85</v>
      </c>
      <c r="C6662" t="s">
        <v>2177</v>
      </c>
      <c r="D6662">
        <v>740</v>
      </c>
      <c r="E6662" t="s">
        <v>2208</v>
      </c>
      <c r="F6662">
        <v>1005</v>
      </c>
      <c r="G6662" t="s">
        <v>2177</v>
      </c>
      <c r="H6662">
        <v>2015</v>
      </c>
      <c r="I6662" t="s">
        <v>4</v>
      </c>
      <c r="J6662">
        <v>3015</v>
      </c>
      <c r="K6662" t="s">
        <v>4</v>
      </c>
      <c r="L6662">
        <v>4424</v>
      </c>
      <c r="M6662" t="s">
        <v>2245</v>
      </c>
      <c r="N6662" t="s">
        <v>255</v>
      </c>
      <c r="O6662">
        <v>1</v>
      </c>
      <c r="P6662">
        <v>729</v>
      </c>
      <c r="Q6662" t="s">
        <v>256</v>
      </c>
      <c r="R6662" t="s">
        <v>201</v>
      </c>
      <c r="S6662">
        <v>1</v>
      </c>
      <c r="T6662">
        <v>1</v>
      </c>
      <c r="U6662">
        <v>108576</v>
      </c>
      <c r="V6662">
        <v>108576</v>
      </c>
    </row>
    <row r="6663" spans="1:22">
      <c r="A6663" t="s">
        <v>196</v>
      </c>
      <c r="B6663">
        <v>85</v>
      </c>
      <c r="C6663" t="s">
        <v>2177</v>
      </c>
      <c r="D6663">
        <v>740</v>
      </c>
      <c r="E6663" t="s">
        <v>2208</v>
      </c>
      <c r="F6663">
        <v>1005</v>
      </c>
      <c r="G6663" t="s">
        <v>2177</v>
      </c>
      <c r="H6663">
        <v>2015</v>
      </c>
      <c r="I6663" t="s">
        <v>4</v>
      </c>
      <c r="J6663">
        <v>3015</v>
      </c>
      <c r="K6663" t="s">
        <v>4</v>
      </c>
      <c r="L6663">
        <v>4424</v>
      </c>
      <c r="M6663" t="s">
        <v>2245</v>
      </c>
      <c r="N6663" t="s">
        <v>255</v>
      </c>
      <c r="O6663">
        <v>1</v>
      </c>
      <c r="P6663">
        <v>729</v>
      </c>
      <c r="Q6663" t="s">
        <v>256</v>
      </c>
      <c r="R6663" t="s">
        <v>201</v>
      </c>
      <c r="S6663">
        <v>1</v>
      </c>
      <c r="T6663">
        <v>1</v>
      </c>
      <c r="U6663">
        <v>85200</v>
      </c>
      <c r="V6663">
        <v>85200</v>
      </c>
    </row>
    <row r="6664" spans="1:22">
      <c r="A6664" t="s">
        <v>196</v>
      </c>
      <c r="B6664">
        <v>85</v>
      </c>
      <c r="C6664" t="s">
        <v>2177</v>
      </c>
      <c r="D6664">
        <v>740</v>
      </c>
      <c r="E6664" t="s">
        <v>2208</v>
      </c>
      <c r="F6664">
        <v>1005</v>
      </c>
      <c r="G6664" t="s">
        <v>2177</v>
      </c>
      <c r="H6664">
        <v>2015</v>
      </c>
      <c r="I6664" t="s">
        <v>4</v>
      </c>
      <c r="J6664">
        <v>3015</v>
      </c>
      <c r="K6664" t="s">
        <v>4</v>
      </c>
      <c r="L6664">
        <v>4424</v>
      </c>
      <c r="M6664" t="s">
        <v>2245</v>
      </c>
      <c r="N6664" t="s">
        <v>1776</v>
      </c>
      <c r="O6664">
        <v>9</v>
      </c>
      <c r="P6664">
        <v>719</v>
      </c>
      <c r="Q6664" t="s">
        <v>2093</v>
      </c>
      <c r="R6664" t="s">
        <v>201</v>
      </c>
      <c r="S6664">
        <v>1</v>
      </c>
      <c r="T6664">
        <v>1</v>
      </c>
      <c r="U6664">
        <v>122940</v>
      </c>
      <c r="V6664">
        <v>122940</v>
      </c>
    </row>
    <row r="6665" spans="1:22">
      <c r="A6665" t="s">
        <v>196</v>
      </c>
      <c r="B6665">
        <v>85</v>
      </c>
      <c r="C6665" t="s">
        <v>2177</v>
      </c>
      <c r="D6665">
        <v>740</v>
      </c>
      <c r="E6665" t="s">
        <v>2208</v>
      </c>
      <c r="F6665">
        <v>1005</v>
      </c>
      <c r="G6665" t="s">
        <v>2177</v>
      </c>
      <c r="H6665">
        <v>2015</v>
      </c>
      <c r="I6665" t="s">
        <v>4</v>
      </c>
      <c r="J6665">
        <v>3015</v>
      </c>
      <c r="K6665" t="s">
        <v>4</v>
      </c>
      <c r="L6665">
        <v>4424</v>
      </c>
      <c r="M6665" t="s">
        <v>2245</v>
      </c>
      <c r="N6665" t="s">
        <v>1314</v>
      </c>
      <c r="O6665">
        <v>0</v>
      </c>
      <c r="P6665" t="s">
        <v>1471</v>
      </c>
      <c r="Q6665" t="s">
        <v>605</v>
      </c>
      <c r="R6665" t="s">
        <v>201</v>
      </c>
      <c r="S6665">
        <v>1</v>
      </c>
      <c r="T6665">
        <v>1</v>
      </c>
      <c r="U6665">
        <v>160680</v>
      </c>
      <c r="V6665">
        <v>160680</v>
      </c>
    </row>
    <row r="6666" spans="1:22">
      <c r="A6666" t="s">
        <v>196</v>
      </c>
      <c r="B6666">
        <v>85</v>
      </c>
      <c r="C6666" t="s">
        <v>2177</v>
      </c>
      <c r="D6666">
        <v>740</v>
      </c>
      <c r="E6666" t="s">
        <v>2208</v>
      </c>
      <c r="F6666">
        <v>1005</v>
      </c>
      <c r="G6666" t="s">
        <v>2177</v>
      </c>
      <c r="H6666">
        <v>2015</v>
      </c>
      <c r="I6666" t="s">
        <v>4</v>
      </c>
      <c r="J6666">
        <v>3015</v>
      </c>
      <c r="K6666" t="s">
        <v>4</v>
      </c>
      <c r="L6666">
        <v>4424</v>
      </c>
      <c r="M6666" t="s">
        <v>2245</v>
      </c>
      <c r="N6666" t="s">
        <v>1314</v>
      </c>
      <c r="O6666">
        <v>0</v>
      </c>
      <c r="P6666" t="s">
        <v>1471</v>
      </c>
      <c r="Q6666" t="s">
        <v>605</v>
      </c>
      <c r="R6666" t="s">
        <v>201</v>
      </c>
      <c r="S6666">
        <v>1</v>
      </c>
      <c r="T6666">
        <v>1</v>
      </c>
      <c r="U6666">
        <v>133836</v>
      </c>
      <c r="V6666">
        <v>133836</v>
      </c>
    </row>
    <row r="6667" spans="1:22">
      <c r="A6667" t="s">
        <v>196</v>
      </c>
      <c r="B6667">
        <v>85</v>
      </c>
      <c r="C6667" t="s">
        <v>2177</v>
      </c>
      <c r="D6667">
        <v>740</v>
      </c>
      <c r="E6667" t="s">
        <v>2208</v>
      </c>
      <c r="F6667">
        <v>1005</v>
      </c>
      <c r="G6667" t="s">
        <v>2177</v>
      </c>
      <c r="H6667">
        <v>2015</v>
      </c>
      <c r="I6667" t="s">
        <v>4</v>
      </c>
      <c r="J6667">
        <v>3015</v>
      </c>
      <c r="K6667" t="s">
        <v>4</v>
      </c>
      <c r="L6667">
        <v>4424</v>
      </c>
      <c r="M6667" t="s">
        <v>2245</v>
      </c>
      <c r="N6667" t="s">
        <v>249</v>
      </c>
      <c r="O6667">
        <v>10</v>
      </c>
      <c r="P6667">
        <v>311</v>
      </c>
      <c r="Q6667" t="s">
        <v>661</v>
      </c>
      <c r="R6667" t="s">
        <v>201</v>
      </c>
      <c r="S6667">
        <v>1</v>
      </c>
      <c r="T6667">
        <v>1</v>
      </c>
      <c r="U6667">
        <v>107340</v>
      </c>
      <c r="V6667">
        <v>107340</v>
      </c>
    </row>
    <row r="6668" spans="1:22">
      <c r="A6668" t="s">
        <v>196</v>
      </c>
      <c r="B6668">
        <v>85</v>
      </c>
      <c r="C6668" t="s">
        <v>2177</v>
      </c>
      <c r="D6668">
        <v>740</v>
      </c>
      <c r="E6668" t="s">
        <v>2208</v>
      </c>
      <c r="F6668">
        <v>1005</v>
      </c>
      <c r="G6668" t="s">
        <v>2177</v>
      </c>
      <c r="H6668">
        <v>2015</v>
      </c>
      <c r="I6668" t="s">
        <v>4</v>
      </c>
      <c r="J6668">
        <v>3015</v>
      </c>
      <c r="K6668" t="s">
        <v>4</v>
      </c>
      <c r="L6668">
        <v>4424</v>
      </c>
      <c r="M6668" t="s">
        <v>2245</v>
      </c>
      <c r="N6668" t="s">
        <v>249</v>
      </c>
      <c r="O6668">
        <v>10</v>
      </c>
      <c r="P6668">
        <v>311</v>
      </c>
      <c r="Q6668" t="s">
        <v>661</v>
      </c>
      <c r="R6668" t="s">
        <v>201</v>
      </c>
      <c r="S6668">
        <v>2</v>
      </c>
      <c r="T6668">
        <v>1</v>
      </c>
      <c r="U6668">
        <v>102444</v>
      </c>
      <c r="V6668">
        <v>204888</v>
      </c>
    </row>
    <row r="6669" spans="1:22">
      <c r="A6669" t="s">
        <v>196</v>
      </c>
      <c r="B6669">
        <v>85</v>
      </c>
      <c r="C6669" t="s">
        <v>2177</v>
      </c>
      <c r="D6669">
        <v>740</v>
      </c>
      <c r="E6669" t="s">
        <v>2208</v>
      </c>
      <c r="F6669">
        <v>1005</v>
      </c>
      <c r="G6669" t="s">
        <v>2177</v>
      </c>
      <c r="H6669">
        <v>2015</v>
      </c>
      <c r="I6669" t="s">
        <v>4</v>
      </c>
      <c r="J6669">
        <v>3015</v>
      </c>
      <c r="K6669" t="s">
        <v>4</v>
      </c>
      <c r="L6669">
        <v>4424</v>
      </c>
      <c r="M6669" t="s">
        <v>2245</v>
      </c>
      <c r="N6669" t="s">
        <v>341</v>
      </c>
      <c r="O6669">
        <v>1</v>
      </c>
      <c r="P6669">
        <v>308</v>
      </c>
      <c r="Q6669" t="s">
        <v>355</v>
      </c>
      <c r="R6669" t="s">
        <v>201</v>
      </c>
      <c r="S6669">
        <v>1</v>
      </c>
      <c r="T6669">
        <v>1</v>
      </c>
      <c r="U6669">
        <v>108576</v>
      </c>
      <c r="V6669">
        <v>108576</v>
      </c>
    </row>
    <row r="6670" spans="1:22">
      <c r="A6670" t="s">
        <v>196</v>
      </c>
      <c r="B6670">
        <v>85</v>
      </c>
      <c r="C6670" t="s">
        <v>2177</v>
      </c>
      <c r="D6670">
        <v>740</v>
      </c>
      <c r="E6670" t="s">
        <v>2208</v>
      </c>
      <c r="F6670">
        <v>1005</v>
      </c>
      <c r="G6670" t="s">
        <v>2177</v>
      </c>
      <c r="H6670">
        <v>2015</v>
      </c>
      <c r="I6670" t="s">
        <v>4</v>
      </c>
      <c r="J6670">
        <v>3015</v>
      </c>
      <c r="K6670" t="s">
        <v>4</v>
      </c>
      <c r="L6670">
        <v>4424</v>
      </c>
      <c r="M6670" t="s">
        <v>2245</v>
      </c>
      <c r="N6670" t="s">
        <v>199</v>
      </c>
      <c r="O6670">
        <v>0</v>
      </c>
      <c r="P6670">
        <v>15</v>
      </c>
      <c r="Q6670" t="s">
        <v>264</v>
      </c>
      <c r="R6670" t="s">
        <v>201</v>
      </c>
      <c r="S6670">
        <v>0</v>
      </c>
      <c r="T6670">
        <v>0</v>
      </c>
      <c r="U6670">
        <v>23648</v>
      </c>
      <c r="V6670">
        <v>23648</v>
      </c>
    </row>
    <row r="6671" spans="1:22">
      <c r="A6671" t="s">
        <v>196</v>
      </c>
      <c r="B6671">
        <v>85</v>
      </c>
      <c r="C6671" t="s">
        <v>2177</v>
      </c>
      <c r="D6671">
        <v>740</v>
      </c>
      <c r="E6671" t="s">
        <v>2208</v>
      </c>
      <c r="F6671">
        <v>1005</v>
      </c>
      <c r="G6671" t="s">
        <v>2177</v>
      </c>
      <c r="H6671">
        <v>2015</v>
      </c>
      <c r="I6671" t="s">
        <v>4</v>
      </c>
      <c r="J6671">
        <v>3015</v>
      </c>
      <c r="K6671" t="s">
        <v>4</v>
      </c>
      <c r="L6671">
        <v>4425</v>
      </c>
      <c r="M6671" t="s">
        <v>2246</v>
      </c>
      <c r="N6671" t="s">
        <v>1294</v>
      </c>
      <c r="O6671">
        <v>0</v>
      </c>
      <c r="P6671">
        <v>9681</v>
      </c>
      <c r="Q6671" t="s">
        <v>338</v>
      </c>
      <c r="R6671" t="s">
        <v>201</v>
      </c>
      <c r="S6671">
        <v>1</v>
      </c>
      <c r="T6671">
        <v>1</v>
      </c>
      <c r="U6671">
        <v>184584</v>
      </c>
      <c r="V6671">
        <v>184584</v>
      </c>
    </row>
    <row r="6672" spans="1:22">
      <c r="A6672" t="s">
        <v>196</v>
      </c>
      <c r="B6672">
        <v>85</v>
      </c>
      <c r="C6672" t="s">
        <v>2177</v>
      </c>
      <c r="D6672">
        <v>740</v>
      </c>
      <c r="E6672" t="s">
        <v>2208</v>
      </c>
      <c r="F6672">
        <v>1005</v>
      </c>
      <c r="G6672" t="s">
        <v>2177</v>
      </c>
      <c r="H6672">
        <v>2015</v>
      </c>
      <c r="I6672" t="s">
        <v>4</v>
      </c>
      <c r="J6672">
        <v>3015</v>
      </c>
      <c r="K6672" t="s">
        <v>4</v>
      </c>
      <c r="L6672">
        <v>4425</v>
      </c>
      <c r="M6672" t="s">
        <v>2246</v>
      </c>
      <c r="N6672" t="s">
        <v>247</v>
      </c>
      <c r="O6672">
        <v>10</v>
      </c>
      <c r="P6672">
        <v>7045</v>
      </c>
      <c r="Q6672" t="s">
        <v>2178</v>
      </c>
      <c r="R6672" t="s">
        <v>201</v>
      </c>
      <c r="S6672">
        <v>1</v>
      </c>
      <c r="T6672">
        <v>1</v>
      </c>
      <c r="U6672">
        <v>66516</v>
      </c>
      <c r="V6672">
        <v>66516</v>
      </c>
    </row>
    <row r="6673" spans="1:22">
      <c r="A6673" t="s">
        <v>196</v>
      </c>
      <c r="B6673">
        <v>85</v>
      </c>
      <c r="C6673" t="s">
        <v>2177</v>
      </c>
      <c r="D6673">
        <v>740</v>
      </c>
      <c r="E6673" t="s">
        <v>2208</v>
      </c>
      <c r="F6673">
        <v>1005</v>
      </c>
      <c r="G6673" t="s">
        <v>2177</v>
      </c>
      <c r="H6673">
        <v>2015</v>
      </c>
      <c r="I6673" t="s">
        <v>4</v>
      </c>
      <c r="J6673">
        <v>3015</v>
      </c>
      <c r="K6673" t="s">
        <v>4</v>
      </c>
      <c r="L6673">
        <v>4425</v>
      </c>
      <c r="M6673" t="s">
        <v>2246</v>
      </c>
      <c r="N6673" t="s">
        <v>247</v>
      </c>
      <c r="O6673">
        <v>10</v>
      </c>
      <c r="P6673">
        <v>7045</v>
      </c>
      <c r="Q6673" t="s">
        <v>2178</v>
      </c>
      <c r="R6673" t="s">
        <v>201</v>
      </c>
      <c r="S6673">
        <v>2</v>
      </c>
      <c r="T6673">
        <v>1</v>
      </c>
      <c r="U6673">
        <v>63504</v>
      </c>
      <c r="V6673">
        <v>127008</v>
      </c>
    </row>
    <row r="6674" spans="1:22">
      <c r="A6674" t="s">
        <v>196</v>
      </c>
      <c r="B6674">
        <v>85</v>
      </c>
      <c r="C6674" t="s">
        <v>2177</v>
      </c>
      <c r="D6674">
        <v>740</v>
      </c>
      <c r="E6674" t="s">
        <v>2208</v>
      </c>
      <c r="F6674">
        <v>1005</v>
      </c>
      <c r="G6674" t="s">
        <v>2177</v>
      </c>
      <c r="H6674">
        <v>2015</v>
      </c>
      <c r="I6674" t="s">
        <v>4</v>
      </c>
      <c r="J6674">
        <v>3015</v>
      </c>
      <c r="K6674" t="s">
        <v>4</v>
      </c>
      <c r="L6674">
        <v>4425</v>
      </c>
      <c r="M6674" t="s">
        <v>2246</v>
      </c>
      <c r="N6674" t="s">
        <v>247</v>
      </c>
      <c r="O6674">
        <v>10</v>
      </c>
      <c r="P6674">
        <v>7045</v>
      </c>
      <c r="Q6674" t="s">
        <v>2178</v>
      </c>
      <c r="R6674" t="s">
        <v>201</v>
      </c>
      <c r="S6674">
        <v>3</v>
      </c>
      <c r="T6674">
        <v>1</v>
      </c>
      <c r="U6674">
        <v>57852</v>
      </c>
      <c r="V6674">
        <v>173556</v>
      </c>
    </row>
    <row r="6675" spans="1:22">
      <c r="A6675" t="s">
        <v>196</v>
      </c>
      <c r="B6675">
        <v>85</v>
      </c>
      <c r="C6675" t="s">
        <v>2177</v>
      </c>
      <c r="D6675">
        <v>740</v>
      </c>
      <c r="E6675" t="s">
        <v>2208</v>
      </c>
      <c r="F6675">
        <v>1005</v>
      </c>
      <c r="G6675" t="s">
        <v>2177</v>
      </c>
      <c r="H6675">
        <v>2015</v>
      </c>
      <c r="I6675" t="s">
        <v>4</v>
      </c>
      <c r="J6675">
        <v>3015</v>
      </c>
      <c r="K6675" t="s">
        <v>4</v>
      </c>
      <c r="L6675">
        <v>4425</v>
      </c>
      <c r="M6675" t="s">
        <v>2246</v>
      </c>
      <c r="N6675" t="s">
        <v>622</v>
      </c>
      <c r="O6675">
        <v>1</v>
      </c>
      <c r="P6675">
        <v>7042</v>
      </c>
      <c r="Q6675" t="s">
        <v>2179</v>
      </c>
      <c r="R6675" t="s">
        <v>201</v>
      </c>
      <c r="S6675">
        <v>8</v>
      </c>
      <c r="T6675">
        <v>1</v>
      </c>
      <c r="U6675">
        <v>56124</v>
      </c>
      <c r="V6675">
        <v>448992</v>
      </c>
    </row>
    <row r="6676" spans="1:22">
      <c r="A6676" t="s">
        <v>196</v>
      </c>
      <c r="B6676">
        <v>85</v>
      </c>
      <c r="C6676" t="s">
        <v>2177</v>
      </c>
      <c r="D6676">
        <v>740</v>
      </c>
      <c r="E6676" t="s">
        <v>2208</v>
      </c>
      <c r="F6676">
        <v>1005</v>
      </c>
      <c r="G6676" t="s">
        <v>2177</v>
      </c>
      <c r="H6676">
        <v>2015</v>
      </c>
      <c r="I6676" t="s">
        <v>4</v>
      </c>
      <c r="J6676">
        <v>3015</v>
      </c>
      <c r="K6676" t="s">
        <v>4</v>
      </c>
      <c r="L6676">
        <v>4425</v>
      </c>
      <c r="M6676" t="s">
        <v>2246</v>
      </c>
      <c r="N6676" t="s">
        <v>622</v>
      </c>
      <c r="O6676">
        <v>1</v>
      </c>
      <c r="P6676">
        <v>7042</v>
      </c>
      <c r="Q6676" t="s">
        <v>2179</v>
      </c>
      <c r="R6676" t="s">
        <v>201</v>
      </c>
      <c r="S6676">
        <v>5</v>
      </c>
      <c r="T6676">
        <v>1</v>
      </c>
      <c r="U6676">
        <v>53532</v>
      </c>
      <c r="V6676">
        <v>267660</v>
      </c>
    </row>
    <row r="6677" spans="1:22">
      <c r="A6677" t="s">
        <v>196</v>
      </c>
      <c r="B6677">
        <v>85</v>
      </c>
      <c r="C6677" t="s">
        <v>2177</v>
      </c>
      <c r="D6677">
        <v>740</v>
      </c>
      <c r="E6677" t="s">
        <v>2208</v>
      </c>
      <c r="F6677">
        <v>1005</v>
      </c>
      <c r="G6677" t="s">
        <v>2177</v>
      </c>
      <c r="H6677">
        <v>2015</v>
      </c>
      <c r="I6677" t="s">
        <v>4</v>
      </c>
      <c r="J6677">
        <v>3015</v>
      </c>
      <c r="K6677" t="s">
        <v>4</v>
      </c>
      <c r="L6677">
        <v>4425</v>
      </c>
      <c r="M6677" t="s">
        <v>2246</v>
      </c>
      <c r="N6677" t="s">
        <v>622</v>
      </c>
      <c r="O6677">
        <v>1</v>
      </c>
      <c r="P6677">
        <v>7042</v>
      </c>
      <c r="Q6677" t="s">
        <v>2179</v>
      </c>
      <c r="R6677" t="s">
        <v>201</v>
      </c>
      <c r="S6677">
        <v>12</v>
      </c>
      <c r="T6677">
        <v>1</v>
      </c>
      <c r="U6677">
        <v>51936</v>
      </c>
      <c r="V6677">
        <v>623232</v>
      </c>
    </row>
    <row r="6678" spans="1:22">
      <c r="A6678" t="s">
        <v>196</v>
      </c>
      <c r="B6678">
        <v>85</v>
      </c>
      <c r="C6678" t="s">
        <v>2177</v>
      </c>
      <c r="D6678">
        <v>740</v>
      </c>
      <c r="E6678" t="s">
        <v>2208</v>
      </c>
      <c r="F6678">
        <v>1005</v>
      </c>
      <c r="G6678" t="s">
        <v>2177</v>
      </c>
      <c r="H6678">
        <v>2015</v>
      </c>
      <c r="I6678" t="s">
        <v>4</v>
      </c>
      <c r="J6678">
        <v>3015</v>
      </c>
      <c r="K6678" t="s">
        <v>4</v>
      </c>
      <c r="L6678">
        <v>4425</v>
      </c>
      <c r="M6678" t="s">
        <v>2246</v>
      </c>
      <c r="N6678" t="s">
        <v>268</v>
      </c>
      <c r="O6678">
        <v>10</v>
      </c>
      <c r="P6678">
        <v>1911</v>
      </c>
      <c r="Q6678" t="s">
        <v>617</v>
      </c>
      <c r="R6678" t="s">
        <v>201</v>
      </c>
      <c r="S6678">
        <v>2</v>
      </c>
      <c r="T6678">
        <v>1</v>
      </c>
      <c r="U6678">
        <v>69684</v>
      </c>
      <c r="V6678">
        <v>139368</v>
      </c>
    </row>
    <row r="6679" spans="1:22">
      <c r="A6679" t="s">
        <v>196</v>
      </c>
      <c r="B6679">
        <v>85</v>
      </c>
      <c r="C6679" t="s">
        <v>2177</v>
      </c>
      <c r="D6679">
        <v>740</v>
      </c>
      <c r="E6679" t="s">
        <v>2208</v>
      </c>
      <c r="F6679">
        <v>1005</v>
      </c>
      <c r="G6679" t="s">
        <v>2177</v>
      </c>
      <c r="H6679">
        <v>2015</v>
      </c>
      <c r="I6679" t="s">
        <v>4</v>
      </c>
      <c r="J6679">
        <v>3015</v>
      </c>
      <c r="K6679" t="s">
        <v>4</v>
      </c>
      <c r="L6679">
        <v>4425</v>
      </c>
      <c r="M6679" t="s">
        <v>2246</v>
      </c>
      <c r="N6679" t="s">
        <v>1314</v>
      </c>
      <c r="O6679">
        <v>0</v>
      </c>
      <c r="P6679" t="s">
        <v>1471</v>
      </c>
      <c r="Q6679" t="s">
        <v>605</v>
      </c>
      <c r="R6679" t="s">
        <v>201</v>
      </c>
      <c r="S6679">
        <v>1</v>
      </c>
      <c r="T6679">
        <v>1</v>
      </c>
      <c r="U6679">
        <v>133836</v>
      </c>
      <c r="V6679">
        <v>133836</v>
      </c>
    </row>
    <row r="6680" spans="1:22">
      <c r="A6680" t="s">
        <v>196</v>
      </c>
      <c r="B6680">
        <v>85</v>
      </c>
      <c r="C6680" t="s">
        <v>2177</v>
      </c>
      <c r="D6680">
        <v>740</v>
      </c>
      <c r="E6680" t="s">
        <v>2208</v>
      </c>
      <c r="F6680">
        <v>1005</v>
      </c>
      <c r="G6680" t="s">
        <v>2177</v>
      </c>
      <c r="H6680">
        <v>2015</v>
      </c>
      <c r="I6680" t="s">
        <v>4</v>
      </c>
      <c r="J6680">
        <v>3015</v>
      </c>
      <c r="K6680" t="s">
        <v>4</v>
      </c>
      <c r="L6680">
        <v>4425</v>
      </c>
      <c r="M6680" t="s">
        <v>2246</v>
      </c>
      <c r="N6680" t="s">
        <v>249</v>
      </c>
      <c r="O6680">
        <v>10</v>
      </c>
      <c r="P6680">
        <v>311</v>
      </c>
      <c r="Q6680" t="s">
        <v>661</v>
      </c>
      <c r="R6680" t="s">
        <v>201</v>
      </c>
      <c r="S6680">
        <v>1</v>
      </c>
      <c r="T6680">
        <v>1</v>
      </c>
      <c r="U6680">
        <v>107340</v>
      </c>
      <c r="V6680">
        <v>107340</v>
      </c>
    </row>
    <row r="6681" spans="1:22">
      <c r="A6681" t="s">
        <v>196</v>
      </c>
      <c r="B6681">
        <v>85</v>
      </c>
      <c r="C6681" t="s">
        <v>2177</v>
      </c>
      <c r="D6681">
        <v>740</v>
      </c>
      <c r="E6681" t="s">
        <v>2208</v>
      </c>
      <c r="F6681">
        <v>1005</v>
      </c>
      <c r="G6681" t="s">
        <v>2177</v>
      </c>
      <c r="H6681">
        <v>2015</v>
      </c>
      <c r="I6681" t="s">
        <v>4</v>
      </c>
      <c r="J6681">
        <v>3015</v>
      </c>
      <c r="K6681" t="s">
        <v>4</v>
      </c>
      <c r="L6681">
        <v>4425</v>
      </c>
      <c r="M6681" t="s">
        <v>2246</v>
      </c>
      <c r="N6681" t="s">
        <v>249</v>
      </c>
      <c r="O6681">
        <v>10</v>
      </c>
      <c r="P6681">
        <v>311</v>
      </c>
      <c r="Q6681" t="s">
        <v>661</v>
      </c>
      <c r="R6681" t="s">
        <v>201</v>
      </c>
      <c r="S6681">
        <v>1</v>
      </c>
      <c r="T6681">
        <v>1</v>
      </c>
      <c r="U6681">
        <v>93384</v>
      </c>
      <c r="V6681">
        <v>93384</v>
      </c>
    </row>
    <row r="6682" spans="1:22">
      <c r="A6682" t="s">
        <v>196</v>
      </c>
      <c r="B6682">
        <v>85</v>
      </c>
      <c r="C6682" t="s">
        <v>2177</v>
      </c>
      <c r="D6682">
        <v>740</v>
      </c>
      <c r="E6682" t="s">
        <v>2208</v>
      </c>
      <c r="F6682">
        <v>1005</v>
      </c>
      <c r="G6682" t="s">
        <v>2177</v>
      </c>
      <c r="H6682">
        <v>2015</v>
      </c>
      <c r="I6682" t="s">
        <v>4</v>
      </c>
      <c r="J6682">
        <v>3015</v>
      </c>
      <c r="K6682" t="s">
        <v>4</v>
      </c>
      <c r="L6682">
        <v>4425</v>
      </c>
      <c r="M6682" t="s">
        <v>2246</v>
      </c>
      <c r="N6682" t="s">
        <v>199</v>
      </c>
      <c r="O6682">
        <v>0</v>
      </c>
      <c r="P6682">
        <v>15</v>
      </c>
      <c r="Q6682" t="s">
        <v>264</v>
      </c>
      <c r="R6682" t="s">
        <v>201</v>
      </c>
      <c r="S6682">
        <v>0</v>
      </c>
      <c r="T6682">
        <v>0</v>
      </c>
      <c r="U6682">
        <v>48026</v>
      </c>
      <c r="V6682">
        <v>48026</v>
      </c>
    </row>
    <row r="6683" spans="1:22">
      <c r="A6683" t="s">
        <v>196</v>
      </c>
      <c r="B6683">
        <v>85</v>
      </c>
      <c r="C6683" t="s">
        <v>2177</v>
      </c>
      <c r="D6683">
        <v>740</v>
      </c>
      <c r="E6683" t="s">
        <v>2208</v>
      </c>
      <c r="F6683">
        <v>1005</v>
      </c>
      <c r="G6683" t="s">
        <v>2177</v>
      </c>
      <c r="H6683">
        <v>2015</v>
      </c>
      <c r="I6683" t="s">
        <v>4</v>
      </c>
      <c r="J6683">
        <v>3015</v>
      </c>
      <c r="K6683" t="s">
        <v>4</v>
      </c>
      <c r="L6683">
        <v>4430</v>
      </c>
      <c r="M6683" t="s">
        <v>1019</v>
      </c>
      <c r="N6683" t="s">
        <v>1294</v>
      </c>
      <c r="O6683">
        <v>0</v>
      </c>
      <c r="P6683">
        <v>9681</v>
      </c>
      <c r="Q6683" t="s">
        <v>338</v>
      </c>
      <c r="R6683" t="s">
        <v>201</v>
      </c>
      <c r="S6683">
        <v>1</v>
      </c>
      <c r="T6683">
        <v>1</v>
      </c>
      <c r="U6683">
        <v>184584</v>
      </c>
      <c r="V6683">
        <v>184584</v>
      </c>
    </row>
    <row r="6684" spans="1:22">
      <c r="A6684" t="s">
        <v>196</v>
      </c>
      <c r="B6684">
        <v>85</v>
      </c>
      <c r="C6684" t="s">
        <v>2177</v>
      </c>
      <c r="D6684">
        <v>740</v>
      </c>
      <c r="E6684" t="s">
        <v>2208</v>
      </c>
      <c r="F6684">
        <v>1005</v>
      </c>
      <c r="G6684" t="s">
        <v>2177</v>
      </c>
      <c r="H6684">
        <v>2015</v>
      </c>
      <c r="I6684" t="s">
        <v>4</v>
      </c>
      <c r="J6684">
        <v>3015</v>
      </c>
      <c r="K6684" t="s">
        <v>4</v>
      </c>
      <c r="L6684">
        <v>4430</v>
      </c>
      <c r="M6684" t="s">
        <v>1019</v>
      </c>
      <c r="N6684" t="s">
        <v>268</v>
      </c>
      <c r="O6684">
        <v>10</v>
      </c>
      <c r="P6684">
        <v>7011</v>
      </c>
      <c r="Q6684" t="s">
        <v>2180</v>
      </c>
      <c r="R6684" t="s">
        <v>201</v>
      </c>
      <c r="S6684">
        <v>2</v>
      </c>
      <c r="T6684">
        <v>1</v>
      </c>
      <c r="U6684">
        <v>76476</v>
      </c>
      <c r="V6684">
        <v>152952</v>
      </c>
    </row>
    <row r="6685" spans="1:22">
      <c r="A6685" t="s">
        <v>196</v>
      </c>
      <c r="B6685">
        <v>85</v>
      </c>
      <c r="C6685" t="s">
        <v>2177</v>
      </c>
      <c r="D6685">
        <v>740</v>
      </c>
      <c r="E6685" t="s">
        <v>2208</v>
      </c>
      <c r="F6685">
        <v>1005</v>
      </c>
      <c r="G6685" t="s">
        <v>2177</v>
      </c>
      <c r="H6685">
        <v>2015</v>
      </c>
      <c r="I6685" t="s">
        <v>4</v>
      </c>
      <c r="J6685">
        <v>3015</v>
      </c>
      <c r="K6685" t="s">
        <v>4</v>
      </c>
      <c r="L6685">
        <v>4430</v>
      </c>
      <c r="M6685" t="s">
        <v>1019</v>
      </c>
      <c r="N6685" t="s">
        <v>372</v>
      </c>
      <c r="O6685">
        <v>4</v>
      </c>
      <c r="P6685">
        <v>1912</v>
      </c>
      <c r="Q6685" t="s">
        <v>608</v>
      </c>
      <c r="R6685" t="s">
        <v>201</v>
      </c>
      <c r="S6685">
        <v>1</v>
      </c>
      <c r="T6685">
        <v>1</v>
      </c>
      <c r="U6685">
        <v>81324</v>
      </c>
      <c r="V6685">
        <v>81324</v>
      </c>
    </row>
    <row r="6686" spans="1:22">
      <c r="A6686" t="s">
        <v>196</v>
      </c>
      <c r="B6686">
        <v>85</v>
      </c>
      <c r="C6686" t="s">
        <v>2177</v>
      </c>
      <c r="D6686">
        <v>740</v>
      </c>
      <c r="E6686" t="s">
        <v>2208</v>
      </c>
      <c r="F6686">
        <v>1005</v>
      </c>
      <c r="G6686" t="s">
        <v>2177</v>
      </c>
      <c r="H6686">
        <v>2015</v>
      </c>
      <c r="I6686" t="s">
        <v>4</v>
      </c>
      <c r="J6686">
        <v>3015</v>
      </c>
      <c r="K6686" t="s">
        <v>4</v>
      </c>
      <c r="L6686">
        <v>4430</v>
      </c>
      <c r="M6686" t="s">
        <v>1019</v>
      </c>
      <c r="N6686" t="s">
        <v>372</v>
      </c>
      <c r="O6686">
        <v>4</v>
      </c>
      <c r="P6686">
        <v>1912</v>
      </c>
      <c r="Q6686" t="s">
        <v>608</v>
      </c>
      <c r="R6686" t="s">
        <v>201</v>
      </c>
      <c r="S6686">
        <v>1</v>
      </c>
      <c r="T6686">
        <v>1</v>
      </c>
      <c r="U6686">
        <v>75336</v>
      </c>
      <c r="V6686">
        <v>75336</v>
      </c>
    </row>
    <row r="6687" spans="1:22">
      <c r="A6687" t="s">
        <v>196</v>
      </c>
      <c r="B6687">
        <v>85</v>
      </c>
      <c r="C6687" t="s">
        <v>2177</v>
      </c>
      <c r="D6687">
        <v>740</v>
      </c>
      <c r="E6687" t="s">
        <v>2208</v>
      </c>
      <c r="F6687">
        <v>1005</v>
      </c>
      <c r="G6687" t="s">
        <v>2177</v>
      </c>
      <c r="H6687">
        <v>2015</v>
      </c>
      <c r="I6687" t="s">
        <v>4</v>
      </c>
      <c r="J6687">
        <v>3015</v>
      </c>
      <c r="K6687" t="s">
        <v>4</v>
      </c>
      <c r="L6687">
        <v>4430</v>
      </c>
      <c r="M6687" t="s">
        <v>1019</v>
      </c>
      <c r="N6687" t="s">
        <v>251</v>
      </c>
      <c r="O6687">
        <v>10</v>
      </c>
      <c r="P6687">
        <v>1665</v>
      </c>
      <c r="Q6687" t="s">
        <v>2247</v>
      </c>
      <c r="R6687" t="s">
        <v>201</v>
      </c>
      <c r="S6687">
        <v>1</v>
      </c>
      <c r="T6687">
        <v>1</v>
      </c>
      <c r="U6687">
        <v>76476</v>
      </c>
      <c r="V6687">
        <v>76476</v>
      </c>
    </row>
    <row r="6688" spans="1:22">
      <c r="A6688" t="s">
        <v>196</v>
      </c>
      <c r="B6688">
        <v>85</v>
      </c>
      <c r="C6688" t="s">
        <v>2177</v>
      </c>
      <c r="D6688">
        <v>740</v>
      </c>
      <c r="E6688" t="s">
        <v>2208</v>
      </c>
      <c r="F6688">
        <v>1005</v>
      </c>
      <c r="G6688" t="s">
        <v>2177</v>
      </c>
      <c r="H6688">
        <v>2015</v>
      </c>
      <c r="I6688" t="s">
        <v>4</v>
      </c>
      <c r="J6688">
        <v>3015</v>
      </c>
      <c r="K6688" t="s">
        <v>4</v>
      </c>
      <c r="L6688">
        <v>4430</v>
      </c>
      <c r="M6688" t="s">
        <v>1019</v>
      </c>
      <c r="N6688" t="s">
        <v>1314</v>
      </c>
      <c r="O6688">
        <v>0</v>
      </c>
      <c r="P6688" t="s">
        <v>1471</v>
      </c>
      <c r="Q6688" t="s">
        <v>605</v>
      </c>
      <c r="R6688" t="s">
        <v>201</v>
      </c>
      <c r="S6688">
        <v>1</v>
      </c>
      <c r="T6688">
        <v>1</v>
      </c>
      <c r="U6688">
        <v>150768</v>
      </c>
      <c r="V6688">
        <v>150768</v>
      </c>
    </row>
    <row r="6689" spans="1:22">
      <c r="A6689" t="s">
        <v>196</v>
      </c>
      <c r="B6689">
        <v>85</v>
      </c>
      <c r="C6689" t="s">
        <v>2177</v>
      </c>
      <c r="D6689">
        <v>740</v>
      </c>
      <c r="E6689" t="s">
        <v>2208</v>
      </c>
      <c r="F6689">
        <v>1005</v>
      </c>
      <c r="G6689" t="s">
        <v>2177</v>
      </c>
      <c r="H6689">
        <v>2015</v>
      </c>
      <c r="I6689" t="s">
        <v>4</v>
      </c>
      <c r="J6689">
        <v>3015</v>
      </c>
      <c r="K6689" t="s">
        <v>4</v>
      </c>
      <c r="L6689">
        <v>4430</v>
      </c>
      <c r="M6689" t="s">
        <v>1019</v>
      </c>
      <c r="N6689" t="s">
        <v>249</v>
      </c>
      <c r="O6689">
        <v>10</v>
      </c>
      <c r="P6689">
        <v>311</v>
      </c>
      <c r="Q6689" t="s">
        <v>661</v>
      </c>
      <c r="R6689" t="s">
        <v>201</v>
      </c>
      <c r="S6689">
        <v>2</v>
      </c>
      <c r="T6689">
        <v>1</v>
      </c>
      <c r="U6689">
        <v>107340</v>
      </c>
      <c r="V6689">
        <v>214680</v>
      </c>
    </row>
    <row r="6690" spans="1:22">
      <c r="A6690" t="s">
        <v>196</v>
      </c>
      <c r="B6690">
        <v>85</v>
      </c>
      <c r="C6690" t="s">
        <v>2177</v>
      </c>
      <c r="D6690">
        <v>740</v>
      </c>
      <c r="E6690" t="s">
        <v>2208</v>
      </c>
      <c r="F6690">
        <v>1005</v>
      </c>
      <c r="G6690" t="s">
        <v>2177</v>
      </c>
      <c r="H6690">
        <v>2015</v>
      </c>
      <c r="I6690" t="s">
        <v>4</v>
      </c>
      <c r="J6690">
        <v>3015</v>
      </c>
      <c r="K6690" t="s">
        <v>4</v>
      </c>
      <c r="L6690">
        <v>4430</v>
      </c>
      <c r="M6690" t="s">
        <v>1019</v>
      </c>
      <c r="N6690" t="s">
        <v>249</v>
      </c>
      <c r="O6690">
        <v>10</v>
      </c>
      <c r="P6690">
        <v>311</v>
      </c>
      <c r="Q6690" t="s">
        <v>661</v>
      </c>
      <c r="R6690" t="s">
        <v>201</v>
      </c>
      <c r="S6690">
        <v>1</v>
      </c>
      <c r="T6690">
        <v>1</v>
      </c>
      <c r="U6690">
        <v>89112</v>
      </c>
      <c r="V6690">
        <v>89112</v>
      </c>
    </row>
    <row r="6691" spans="1:22">
      <c r="A6691" t="s">
        <v>196</v>
      </c>
      <c r="B6691">
        <v>85</v>
      </c>
      <c r="C6691" t="s">
        <v>2177</v>
      </c>
      <c r="D6691">
        <v>740</v>
      </c>
      <c r="E6691" t="s">
        <v>2208</v>
      </c>
      <c r="F6691">
        <v>1005</v>
      </c>
      <c r="G6691" t="s">
        <v>2177</v>
      </c>
      <c r="H6691">
        <v>2015</v>
      </c>
      <c r="I6691" t="s">
        <v>4</v>
      </c>
      <c r="J6691">
        <v>3015</v>
      </c>
      <c r="K6691" t="s">
        <v>4</v>
      </c>
      <c r="L6691">
        <v>4430</v>
      </c>
      <c r="M6691" t="s">
        <v>1019</v>
      </c>
      <c r="N6691" t="s">
        <v>249</v>
      </c>
      <c r="O6691">
        <v>10</v>
      </c>
      <c r="P6691">
        <v>310</v>
      </c>
      <c r="Q6691" t="s">
        <v>447</v>
      </c>
      <c r="R6691" t="s">
        <v>201</v>
      </c>
      <c r="S6691">
        <v>1</v>
      </c>
      <c r="T6691">
        <v>1</v>
      </c>
      <c r="U6691">
        <v>93384</v>
      </c>
      <c r="V6691">
        <v>93384</v>
      </c>
    </row>
    <row r="6692" spans="1:22">
      <c r="A6692" t="s">
        <v>196</v>
      </c>
      <c r="B6692">
        <v>85</v>
      </c>
      <c r="C6692" t="s">
        <v>2177</v>
      </c>
      <c r="D6692">
        <v>740</v>
      </c>
      <c r="E6692" t="s">
        <v>2208</v>
      </c>
      <c r="F6692">
        <v>1005</v>
      </c>
      <c r="G6692" t="s">
        <v>2177</v>
      </c>
      <c r="H6692">
        <v>2015</v>
      </c>
      <c r="I6692" t="s">
        <v>4</v>
      </c>
      <c r="J6692">
        <v>3015</v>
      </c>
      <c r="K6692" t="s">
        <v>4</v>
      </c>
      <c r="L6692">
        <v>4430</v>
      </c>
      <c r="M6692" t="s">
        <v>1019</v>
      </c>
      <c r="N6692" t="s">
        <v>341</v>
      </c>
      <c r="O6692">
        <v>1</v>
      </c>
      <c r="P6692">
        <v>308</v>
      </c>
      <c r="Q6692" t="s">
        <v>355</v>
      </c>
      <c r="R6692" t="s">
        <v>201</v>
      </c>
      <c r="S6692">
        <v>1</v>
      </c>
      <c r="T6692">
        <v>1</v>
      </c>
      <c r="U6692">
        <v>68616</v>
      </c>
      <c r="V6692">
        <v>68616</v>
      </c>
    </row>
    <row r="6693" spans="1:22">
      <c r="A6693" t="s">
        <v>196</v>
      </c>
      <c r="B6693">
        <v>85</v>
      </c>
      <c r="C6693" t="s">
        <v>2177</v>
      </c>
      <c r="D6693">
        <v>740</v>
      </c>
      <c r="E6693" t="s">
        <v>2208</v>
      </c>
      <c r="F6693">
        <v>1005</v>
      </c>
      <c r="G6693" t="s">
        <v>2177</v>
      </c>
      <c r="H6693">
        <v>2015</v>
      </c>
      <c r="I6693" t="s">
        <v>4</v>
      </c>
      <c r="J6693">
        <v>3015</v>
      </c>
      <c r="K6693" t="s">
        <v>4</v>
      </c>
      <c r="L6693">
        <v>4430</v>
      </c>
      <c r="M6693" t="s">
        <v>1019</v>
      </c>
      <c r="N6693" t="s">
        <v>199</v>
      </c>
      <c r="O6693">
        <v>0</v>
      </c>
      <c r="P6693">
        <v>15</v>
      </c>
      <c r="Q6693" t="s">
        <v>264</v>
      </c>
      <c r="R6693" t="s">
        <v>201</v>
      </c>
      <c r="S6693">
        <v>0</v>
      </c>
      <c r="T6693">
        <v>0</v>
      </c>
      <c r="U6693">
        <v>21192</v>
      </c>
      <c r="V6693">
        <v>21192</v>
      </c>
    </row>
    <row r="6694" spans="1:22">
      <c r="A6694" t="s">
        <v>196</v>
      </c>
      <c r="B6694">
        <v>85</v>
      </c>
      <c r="C6694" t="s">
        <v>2177</v>
      </c>
      <c r="D6694">
        <v>740</v>
      </c>
      <c r="E6694" t="s">
        <v>2208</v>
      </c>
      <c r="F6694">
        <v>1005</v>
      </c>
      <c r="G6694" t="s">
        <v>2177</v>
      </c>
      <c r="H6694">
        <v>2015</v>
      </c>
      <c r="I6694" t="s">
        <v>4</v>
      </c>
      <c r="J6694">
        <v>3015</v>
      </c>
      <c r="K6694" t="s">
        <v>4</v>
      </c>
      <c r="L6694">
        <v>4431</v>
      </c>
      <c r="M6694" t="s">
        <v>2248</v>
      </c>
      <c r="N6694" t="s">
        <v>372</v>
      </c>
      <c r="O6694">
        <v>4</v>
      </c>
      <c r="P6694">
        <v>1912</v>
      </c>
      <c r="Q6694" t="s">
        <v>608</v>
      </c>
      <c r="R6694" t="s">
        <v>201</v>
      </c>
      <c r="S6694">
        <v>1</v>
      </c>
      <c r="T6694">
        <v>1</v>
      </c>
      <c r="U6694">
        <v>81324</v>
      </c>
      <c r="V6694">
        <v>81324</v>
      </c>
    </row>
    <row r="6695" spans="1:22">
      <c r="A6695" t="s">
        <v>196</v>
      </c>
      <c r="B6695">
        <v>85</v>
      </c>
      <c r="C6695" t="s">
        <v>2177</v>
      </c>
      <c r="D6695">
        <v>740</v>
      </c>
      <c r="E6695" t="s">
        <v>2208</v>
      </c>
      <c r="F6695">
        <v>1005</v>
      </c>
      <c r="G6695" t="s">
        <v>2177</v>
      </c>
      <c r="H6695">
        <v>2015</v>
      </c>
      <c r="I6695" t="s">
        <v>4</v>
      </c>
      <c r="J6695">
        <v>3015</v>
      </c>
      <c r="K6695" t="s">
        <v>4</v>
      </c>
      <c r="L6695">
        <v>4431</v>
      </c>
      <c r="M6695" t="s">
        <v>2248</v>
      </c>
      <c r="N6695" t="s">
        <v>372</v>
      </c>
      <c r="O6695">
        <v>4</v>
      </c>
      <c r="P6695">
        <v>1912</v>
      </c>
      <c r="Q6695" t="s">
        <v>608</v>
      </c>
      <c r="R6695" t="s">
        <v>201</v>
      </c>
      <c r="S6695">
        <v>1</v>
      </c>
      <c r="T6695">
        <v>1</v>
      </c>
      <c r="U6695">
        <v>75336</v>
      </c>
      <c r="V6695">
        <v>75336</v>
      </c>
    </row>
    <row r="6696" spans="1:22">
      <c r="A6696" t="s">
        <v>196</v>
      </c>
      <c r="B6696">
        <v>85</v>
      </c>
      <c r="C6696" t="s">
        <v>2177</v>
      </c>
      <c r="D6696">
        <v>740</v>
      </c>
      <c r="E6696" t="s">
        <v>2208</v>
      </c>
      <c r="F6696">
        <v>1005</v>
      </c>
      <c r="G6696" t="s">
        <v>2177</v>
      </c>
      <c r="H6696">
        <v>2015</v>
      </c>
      <c r="I6696" t="s">
        <v>4</v>
      </c>
      <c r="J6696">
        <v>3015</v>
      </c>
      <c r="K6696" t="s">
        <v>4</v>
      </c>
      <c r="L6696">
        <v>4431</v>
      </c>
      <c r="M6696" t="s">
        <v>2248</v>
      </c>
      <c r="N6696" t="s">
        <v>1314</v>
      </c>
      <c r="O6696">
        <v>0</v>
      </c>
      <c r="P6696" t="s">
        <v>1471</v>
      </c>
      <c r="Q6696" t="s">
        <v>605</v>
      </c>
      <c r="R6696" t="s">
        <v>201</v>
      </c>
      <c r="S6696">
        <v>1</v>
      </c>
      <c r="T6696">
        <v>1</v>
      </c>
      <c r="U6696">
        <v>133836</v>
      </c>
      <c r="V6696">
        <v>133836</v>
      </c>
    </row>
    <row r="6697" spans="1:22">
      <c r="A6697" t="s">
        <v>196</v>
      </c>
      <c r="B6697">
        <v>85</v>
      </c>
      <c r="C6697" t="s">
        <v>2177</v>
      </c>
      <c r="D6697">
        <v>740</v>
      </c>
      <c r="E6697" t="s">
        <v>2208</v>
      </c>
      <c r="F6697">
        <v>1005</v>
      </c>
      <c r="G6697" t="s">
        <v>2177</v>
      </c>
      <c r="H6697">
        <v>2015</v>
      </c>
      <c r="I6697" t="s">
        <v>4</v>
      </c>
      <c r="J6697">
        <v>3015</v>
      </c>
      <c r="K6697" t="s">
        <v>4</v>
      </c>
      <c r="L6697">
        <v>4431</v>
      </c>
      <c r="M6697" t="s">
        <v>2248</v>
      </c>
      <c r="N6697" t="s">
        <v>199</v>
      </c>
      <c r="O6697">
        <v>0</v>
      </c>
      <c r="P6697">
        <v>15</v>
      </c>
      <c r="Q6697" t="s">
        <v>264</v>
      </c>
      <c r="R6697" t="s">
        <v>201</v>
      </c>
      <c r="S6697">
        <v>0</v>
      </c>
      <c r="T6697">
        <v>0</v>
      </c>
      <c r="U6697">
        <v>626</v>
      </c>
      <c r="V6697">
        <v>626</v>
      </c>
    </row>
    <row r="6698" spans="1:22">
      <c r="A6698" t="s">
        <v>196</v>
      </c>
      <c r="B6698">
        <v>85</v>
      </c>
      <c r="C6698" t="s">
        <v>2177</v>
      </c>
      <c r="D6698">
        <v>740</v>
      </c>
      <c r="E6698" t="s">
        <v>2208</v>
      </c>
      <c r="F6698">
        <v>1005</v>
      </c>
      <c r="G6698" t="s">
        <v>2177</v>
      </c>
      <c r="H6698">
        <v>2015</v>
      </c>
      <c r="I6698" t="s">
        <v>4</v>
      </c>
      <c r="J6698">
        <v>3015</v>
      </c>
      <c r="K6698" t="s">
        <v>4</v>
      </c>
      <c r="L6698">
        <v>4510</v>
      </c>
      <c r="M6698" t="s">
        <v>2249</v>
      </c>
      <c r="N6698" t="s">
        <v>1294</v>
      </c>
      <c r="O6698">
        <v>0</v>
      </c>
      <c r="P6698">
        <v>9681</v>
      </c>
      <c r="Q6698" t="s">
        <v>338</v>
      </c>
      <c r="R6698" t="s">
        <v>201</v>
      </c>
      <c r="S6698">
        <v>1</v>
      </c>
      <c r="T6698">
        <v>1</v>
      </c>
      <c r="U6698">
        <v>184584</v>
      </c>
      <c r="V6698">
        <v>184584</v>
      </c>
    </row>
    <row r="6699" spans="1:22">
      <c r="A6699" t="s">
        <v>196</v>
      </c>
      <c r="B6699">
        <v>85</v>
      </c>
      <c r="C6699" t="s">
        <v>2177</v>
      </c>
      <c r="D6699">
        <v>740</v>
      </c>
      <c r="E6699" t="s">
        <v>2208</v>
      </c>
      <c r="F6699">
        <v>1005</v>
      </c>
      <c r="G6699" t="s">
        <v>2177</v>
      </c>
      <c r="H6699">
        <v>2015</v>
      </c>
      <c r="I6699" t="s">
        <v>4</v>
      </c>
      <c r="J6699">
        <v>3015</v>
      </c>
      <c r="K6699" t="s">
        <v>4</v>
      </c>
      <c r="L6699">
        <v>4510</v>
      </c>
      <c r="M6699" t="s">
        <v>2249</v>
      </c>
      <c r="N6699" t="s">
        <v>356</v>
      </c>
      <c r="O6699">
        <v>4</v>
      </c>
      <c r="P6699">
        <v>1646</v>
      </c>
      <c r="Q6699" t="s">
        <v>1102</v>
      </c>
      <c r="R6699" t="s">
        <v>201</v>
      </c>
      <c r="S6699">
        <v>1</v>
      </c>
      <c r="T6699">
        <v>1</v>
      </c>
      <c r="U6699">
        <v>126240</v>
      </c>
      <c r="V6699">
        <v>126240</v>
      </c>
    </row>
    <row r="6700" spans="1:22">
      <c r="A6700" t="s">
        <v>196</v>
      </c>
      <c r="B6700">
        <v>85</v>
      </c>
      <c r="C6700" t="s">
        <v>2177</v>
      </c>
      <c r="D6700">
        <v>740</v>
      </c>
      <c r="E6700" t="s">
        <v>2208</v>
      </c>
      <c r="F6700">
        <v>1005</v>
      </c>
      <c r="G6700" t="s">
        <v>2177</v>
      </c>
      <c r="H6700">
        <v>2015</v>
      </c>
      <c r="I6700" t="s">
        <v>4</v>
      </c>
      <c r="J6700">
        <v>3015</v>
      </c>
      <c r="K6700" t="s">
        <v>4</v>
      </c>
      <c r="L6700">
        <v>4510</v>
      </c>
      <c r="M6700" t="s">
        <v>2249</v>
      </c>
      <c r="N6700" t="s">
        <v>271</v>
      </c>
      <c r="O6700">
        <v>20</v>
      </c>
      <c r="P6700">
        <v>1633</v>
      </c>
      <c r="Q6700" t="s">
        <v>904</v>
      </c>
      <c r="R6700" t="s">
        <v>201</v>
      </c>
      <c r="S6700">
        <v>1</v>
      </c>
      <c r="T6700">
        <v>1</v>
      </c>
      <c r="U6700">
        <v>140496</v>
      </c>
      <c r="V6700">
        <v>140496</v>
      </c>
    </row>
    <row r="6701" spans="1:22">
      <c r="A6701" t="s">
        <v>196</v>
      </c>
      <c r="B6701">
        <v>85</v>
      </c>
      <c r="C6701" t="s">
        <v>2177</v>
      </c>
      <c r="D6701">
        <v>740</v>
      </c>
      <c r="E6701" t="s">
        <v>2208</v>
      </c>
      <c r="F6701">
        <v>1005</v>
      </c>
      <c r="G6701" t="s">
        <v>2177</v>
      </c>
      <c r="H6701">
        <v>2015</v>
      </c>
      <c r="I6701" t="s">
        <v>4</v>
      </c>
      <c r="J6701">
        <v>3015</v>
      </c>
      <c r="K6701" t="s">
        <v>4</v>
      </c>
      <c r="L6701">
        <v>4510</v>
      </c>
      <c r="M6701" t="s">
        <v>2249</v>
      </c>
      <c r="N6701" t="s">
        <v>271</v>
      </c>
      <c r="O6701">
        <v>20</v>
      </c>
      <c r="P6701">
        <v>1633</v>
      </c>
      <c r="Q6701" t="s">
        <v>904</v>
      </c>
      <c r="R6701" t="s">
        <v>201</v>
      </c>
      <c r="S6701">
        <v>3</v>
      </c>
      <c r="T6701">
        <v>1</v>
      </c>
      <c r="U6701">
        <v>135744</v>
      </c>
      <c r="V6701">
        <v>407232</v>
      </c>
    </row>
    <row r="6702" spans="1:22">
      <c r="A6702" t="s">
        <v>196</v>
      </c>
      <c r="B6702">
        <v>85</v>
      </c>
      <c r="C6702" t="s">
        <v>2177</v>
      </c>
      <c r="D6702">
        <v>740</v>
      </c>
      <c r="E6702" t="s">
        <v>2208</v>
      </c>
      <c r="F6702">
        <v>1005</v>
      </c>
      <c r="G6702" t="s">
        <v>2177</v>
      </c>
      <c r="H6702">
        <v>2015</v>
      </c>
      <c r="I6702" t="s">
        <v>4</v>
      </c>
      <c r="J6702">
        <v>3015</v>
      </c>
      <c r="K6702" t="s">
        <v>4</v>
      </c>
      <c r="L6702">
        <v>4510</v>
      </c>
      <c r="M6702" t="s">
        <v>2249</v>
      </c>
      <c r="N6702" t="s">
        <v>271</v>
      </c>
      <c r="O6702">
        <v>20</v>
      </c>
      <c r="P6702">
        <v>1633</v>
      </c>
      <c r="Q6702" t="s">
        <v>904</v>
      </c>
      <c r="R6702" t="s">
        <v>201</v>
      </c>
      <c r="S6702">
        <v>3</v>
      </c>
      <c r="T6702">
        <v>1</v>
      </c>
      <c r="U6702">
        <v>115992</v>
      </c>
      <c r="V6702">
        <v>347976</v>
      </c>
    </row>
    <row r="6703" spans="1:22">
      <c r="A6703" t="s">
        <v>196</v>
      </c>
      <c r="B6703">
        <v>85</v>
      </c>
      <c r="C6703" t="s">
        <v>2177</v>
      </c>
      <c r="D6703">
        <v>740</v>
      </c>
      <c r="E6703" t="s">
        <v>2208</v>
      </c>
      <c r="F6703">
        <v>1005</v>
      </c>
      <c r="G6703" t="s">
        <v>2177</v>
      </c>
      <c r="H6703">
        <v>2015</v>
      </c>
      <c r="I6703" t="s">
        <v>4</v>
      </c>
      <c r="J6703">
        <v>3015</v>
      </c>
      <c r="K6703" t="s">
        <v>4</v>
      </c>
      <c r="L6703">
        <v>4510</v>
      </c>
      <c r="M6703" t="s">
        <v>2249</v>
      </c>
      <c r="N6703" t="s">
        <v>341</v>
      </c>
      <c r="O6703">
        <v>1</v>
      </c>
      <c r="P6703">
        <v>1617</v>
      </c>
      <c r="Q6703" t="s">
        <v>800</v>
      </c>
      <c r="R6703" t="s">
        <v>201</v>
      </c>
      <c r="S6703">
        <v>1</v>
      </c>
      <c r="T6703">
        <v>1</v>
      </c>
      <c r="U6703">
        <v>77640</v>
      </c>
      <c r="V6703">
        <v>77640</v>
      </c>
    </row>
    <row r="6704" spans="1:22">
      <c r="A6704" t="s">
        <v>196</v>
      </c>
      <c r="B6704">
        <v>85</v>
      </c>
      <c r="C6704" t="s">
        <v>2177</v>
      </c>
      <c r="D6704">
        <v>740</v>
      </c>
      <c r="E6704" t="s">
        <v>2208</v>
      </c>
      <c r="F6704">
        <v>1005</v>
      </c>
      <c r="G6704" t="s">
        <v>2177</v>
      </c>
      <c r="H6704">
        <v>2015</v>
      </c>
      <c r="I6704" t="s">
        <v>4</v>
      </c>
      <c r="J6704">
        <v>3015</v>
      </c>
      <c r="K6704" t="s">
        <v>4</v>
      </c>
      <c r="L6704">
        <v>4510</v>
      </c>
      <c r="M6704" t="s">
        <v>2249</v>
      </c>
      <c r="N6704" t="s">
        <v>341</v>
      </c>
      <c r="O6704">
        <v>1</v>
      </c>
      <c r="P6704">
        <v>1617</v>
      </c>
      <c r="Q6704" t="s">
        <v>800</v>
      </c>
      <c r="R6704" t="s">
        <v>201</v>
      </c>
      <c r="S6704">
        <v>2</v>
      </c>
      <c r="T6704">
        <v>1</v>
      </c>
      <c r="U6704">
        <v>68616</v>
      </c>
      <c r="V6704">
        <v>137232</v>
      </c>
    </row>
    <row r="6705" spans="1:22">
      <c r="A6705" t="s">
        <v>196</v>
      </c>
      <c r="B6705">
        <v>85</v>
      </c>
      <c r="C6705" t="s">
        <v>2177</v>
      </c>
      <c r="D6705">
        <v>740</v>
      </c>
      <c r="E6705" t="s">
        <v>2208</v>
      </c>
      <c r="F6705">
        <v>1005</v>
      </c>
      <c r="G6705" t="s">
        <v>2177</v>
      </c>
      <c r="H6705">
        <v>2015</v>
      </c>
      <c r="I6705" t="s">
        <v>4</v>
      </c>
      <c r="J6705">
        <v>3015</v>
      </c>
      <c r="K6705" t="s">
        <v>4</v>
      </c>
      <c r="L6705">
        <v>4510</v>
      </c>
      <c r="M6705" t="s">
        <v>2249</v>
      </c>
      <c r="N6705" t="s">
        <v>287</v>
      </c>
      <c r="O6705">
        <v>10</v>
      </c>
      <c r="P6705">
        <v>1386</v>
      </c>
      <c r="Q6705" t="s">
        <v>888</v>
      </c>
      <c r="R6705" t="s">
        <v>201</v>
      </c>
      <c r="S6705">
        <v>1</v>
      </c>
      <c r="T6705">
        <v>1</v>
      </c>
      <c r="U6705">
        <v>76020</v>
      </c>
      <c r="V6705">
        <v>76020</v>
      </c>
    </row>
    <row r="6706" spans="1:22">
      <c r="A6706" t="s">
        <v>196</v>
      </c>
      <c r="B6706">
        <v>85</v>
      </c>
      <c r="C6706" t="s">
        <v>2177</v>
      </c>
      <c r="D6706">
        <v>740</v>
      </c>
      <c r="E6706" t="s">
        <v>2208</v>
      </c>
      <c r="F6706">
        <v>1005</v>
      </c>
      <c r="G6706" t="s">
        <v>2177</v>
      </c>
      <c r="H6706">
        <v>2015</v>
      </c>
      <c r="I6706" t="s">
        <v>4</v>
      </c>
      <c r="J6706">
        <v>3015</v>
      </c>
      <c r="K6706" t="s">
        <v>4</v>
      </c>
      <c r="L6706">
        <v>4510</v>
      </c>
      <c r="M6706" t="s">
        <v>2249</v>
      </c>
      <c r="N6706" t="s">
        <v>247</v>
      </c>
      <c r="O6706">
        <v>20</v>
      </c>
      <c r="P6706">
        <v>366</v>
      </c>
      <c r="Q6706" t="s">
        <v>604</v>
      </c>
      <c r="R6706" t="s">
        <v>201</v>
      </c>
      <c r="S6706">
        <v>1</v>
      </c>
      <c r="T6706">
        <v>1</v>
      </c>
      <c r="U6706">
        <v>63504</v>
      </c>
      <c r="V6706">
        <v>63504</v>
      </c>
    </row>
    <row r="6707" spans="1:22">
      <c r="A6707" t="s">
        <v>196</v>
      </c>
      <c r="B6707">
        <v>85</v>
      </c>
      <c r="C6707" t="s">
        <v>2177</v>
      </c>
      <c r="D6707">
        <v>740</v>
      </c>
      <c r="E6707" t="s">
        <v>2208</v>
      </c>
      <c r="F6707">
        <v>1005</v>
      </c>
      <c r="G6707" t="s">
        <v>2177</v>
      </c>
      <c r="H6707">
        <v>2015</v>
      </c>
      <c r="I6707" t="s">
        <v>4</v>
      </c>
      <c r="J6707">
        <v>3015</v>
      </c>
      <c r="K6707" t="s">
        <v>4</v>
      </c>
      <c r="L6707">
        <v>4510</v>
      </c>
      <c r="M6707" t="s">
        <v>2249</v>
      </c>
      <c r="N6707" t="s">
        <v>199</v>
      </c>
      <c r="O6707">
        <v>0</v>
      </c>
      <c r="P6707">
        <v>15</v>
      </c>
      <c r="Q6707" t="s">
        <v>264</v>
      </c>
      <c r="R6707" t="s">
        <v>201</v>
      </c>
      <c r="S6707">
        <v>0</v>
      </c>
      <c r="T6707">
        <v>0</v>
      </c>
      <c r="U6707">
        <v>27007</v>
      </c>
      <c r="V6707">
        <v>27007</v>
      </c>
    </row>
    <row r="6708" spans="1:22">
      <c r="A6708" t="s">
        <v>196</v>
      </c>
      <c r="B6708">
        <v>85</v>
      </c>
      <c r="C6708" t="s">
        <v>2177</v>
      </c>
      <c r="D6708">
        <v>740</v>
      </c>
      <c r="E6708" t="s">
        <v>2208</v>
      </c>
      <c r="F6708">
        <v>1005</v>
      </c>
      <c r="G6708" t="s">
        <v>2177</v>
      </c>
      <c r="H6708">
        <v>2015</v>
      </c>
      <c r="I6708" t="s">
        <v>4</v>
      </c>
      <c r="J6708">
        <v>3015</v>
      </c>
      <c r="K6708" t="s">
        <v>4</v>
      </c>
      <c r="L6708">
        <v>4606</v>
      </c>
      <c r="M6708" t="s">
        <v>2250</v>
      </c>
      <c r="N6708" t="s">
        <v>1294</v>
      </c>
      <c r="O6708">
        <v>0</v>
      </c>
      <c r="P6708">
        <v>9681</v>
      </c>
      <c r="Q6708" t="s">
        <v>338</v>
      </c>
      <c r="R6708" t="s">
        <v>201</v>
      </c>
      <c r="S6708">
        <v>1</v>
      </c>
      <c r="T6708">
        <v>1</v>
      </c>
      <c r="U6708">
        <v>184584</v>
      </c>
      <c r="V6708">
        <v>184584</v>
      </c>
    </row>
    <row r="6709" spans="1:22">
      <c r="A6709" t="s">
        <v>196</v>
      </c>
      <c r="B6709">
        <v>85</v>
      </c>
      <c r="C6709" t="s">
        <v>2177</v>
      </c>
      <c r="D6709">
        <v>740</v>
      </c>
      <c r="E6709" t="s">
        <v>2208</v>
      </c>
      <c r="F6709">
        <v>1005</v>
      </c>
      <c r="G6709" t="s">
        <v>2177</v>
      </c>
      <c r="H6709">
        <v>2015</v>
      </c>
      <c r="I6709" t="s">
        <v>4</v>
      </c>
      <c r="J6709">
        <v>3015</v>
      </c>
      <c r="K6709" t="s">
        <v>4</v>
      </c>
      <c r="L6709">
        <v>4606</v>
      </c>
      <c r="M6709" t="s">
        <v>2250</v>
      </c>
      <c r="N6709" t="s">
        <v>253</v>
      </c>
      <c r="O6709">
        <v>10</v>
      </c>
      <c r="P6709">
        <v>7099</v>
      </c>
      <c r="Q6709" t="s">
        <v>2206</v>
      </c>
      <c r="R6709" t="s">
        <v>201</v>
      </c>
      <c r="S6709">
        <v>1</v>
      </c>
      <c r="T6709">
        <v>1</v>
      </c>
      <c r="U6709">
        <v>89112</v>
      </c>
      <c r="V6709">
        <v>89112</v>
      </c>
    </row>
    <row r="6710" spans="1:22">
      <c r="A6710" t="s">
        <v>196</v>
      </c>
      <c r="B6710">
        <v>85</v>
      </c>
      <c r="C6710" t="s">
        <v>2177</v>
      </c>
      <c r="D6710">
        <v>740</v>
      </c>
      <c r="E6710" t="s">
        <v>2208</v>
      </c>
      <c r="F6710">
        <v>1005</v>
      </c>
      <c r="G6710" t="s">
        <v>2177</v>
      </c>
      <c r="H6710">
        <v>2015</v>
      </c>
      <c r="I6710" t="s">
        <v>4</v>
      </c>
      <c r="J6710">
        <v>3015</v>
      </c>
      <c r="K6710" t="s">
        <v>4</v>
      </c>
      <c r="L6710">
        <v>4606</v>
      </c>
      <c r="M6710" t="s">
        <v>2250</v>
      </c>
      <c r="N6710" t="s">
        <v>253</v>
      </c>
      <c r="O6710">
        <v>10</v>
      </c>
      <c r="P6710">
        <v>7099</v>
      </c>
      <c r="Q6710" t="s">
        <v>2206</v>
      </c>
      <c r="R6710" t="s">
        <v>201</v>
      </c>
      <c r="S6710">
        <v>1</v>
      </c>
      <c r="T6710">
        <v>1</v>
      </c>
      <c r="U6710">
        <v>83052</v>
      </c>
      <c r="V6710">
        <v>83052</v>
      </c>
    </row>
    <row r="6711" spans="1:22">
      <c r="A6711" t="s">
        <v>196</v>
      </c>
      <c r="B6711">
        <v>85</v>
      </c>
      <c r="C6711" t="s">
        <v>2177</v>
      </c>
      <c r="D6711">
        <v>740</v>
      </c>
      <c r="E6711" t="s">
        <v>2208</v>
      </c>
      <c r="F6711">
        <v>1005</v>
      </c>
      <c r="G6711" t="s">
        <v>2177</v>
      </c>
      <c r="H6711">
        <v>2015</v>
      </c>
      <c r="I6711" t="s">
        <v>4</v>
      </c>
      <c r="J6711">
        <v>3015</v>
      </c>
      <c r="K6711" t="s">
        <v>4</v>
      </c>
      <c r="L6711">
        <v>4606</v>
      </c>
      <c r="M6711" t="s">
        <v>2250</v>
      </c>
      <c r="N6711" t="s">
        <v>343</v>
      </c>
      <c r="O6711">
        <v>10</v>
      </c>
      <c r="P6711">
        <v>7026</v>
      </c>
      <c r="Q6711" t="s">
        <v>2185</v>
      </c>
      <c r="R6711" t="s">
        <v>201</v>
      </c>
      <c r="S6711">
        <v>1</v>
      </c>
      <c r="T6711">
        <v>1</v>
      </c>
      <c r="U6711">
        <v>157212</v>
      </c>
      <c r="V6711">
        <v>157212</v>
      </c>
    </row>
    <row r="6712" spans="1:22">
      <c r="A6712" t="s">
        <v>196</v>
      </c>
      <c r="B6712">
        <v>85</v>
      </c>
      <c r="C6712" t="s">
        <v>2177</v>
      </c>
      <c r="D6712">
        <v>740</v>
      </c>
      <c r="E6712" t="s">
        <v>2208</v>
      </c>
      <c r="F6712">
        <v>1005</v>
      </c>
      <c r="G6712" t="s">
        <v>2177</v>
      </c>
      <c r="H6712">
        <v>2015</v>
      </c>
      <c r="I6712" t="s">
        <v>4</v>
      </c>
      <c r="J6712">
        <v>3015</v>
      </c>
      <c r="K6712" t="s">
        <v>4</v>
      </c>
      <c r="L6712">
        <v>4606</v>
      </c>
      <c r="M6712" t="s">
        <v>2250</v>
      </c>
      <c r="N6712" t="s">
        <v>343</v>
      </c>
      <c r="O6712">
        <v>10</v>
      </c>
      <c r="P6712">
        <v>7026</v>
      </c>
      <c r="Q6712" t="s">
        <v>2185</v>
      </c>
      <c r="R6712" t="s">
        <v>201</v>
      </c>
      <c r="S6712">
        <v>3</v>
      </c>
      <c r="T6712">
        <v>1</v>
      </c>
      <c r="U6712">
        <v>113568</v>
      </c>
      <c r="V6712">
        <v>340704</v>
      </c>
    </row>
    <row r="6713" spans="1:22">
      <c r="A6713" t="s">
        <v>196</v>
      </c>
      <c r="B6713">
        <v>85</v>
      </c>
      <c r="C6713" t="s">
        <v>2177</v>
      </c>
      <c r="D6713">
        <v>740</v>
      </c>
      <c r="E6713" t="s">
        <v>2208</v>
      </c>
      <c r="F6713">
        <v>1005</v>
      </c>
      <c r="G6713" t="s">
        <v>2177</v>
      </c>
      <c r="H6713">
        <v>2015</v>
      </c>
      <c r="I6713" t="s">
        <v>4</v>
      </c>
      <c r="J6713">
        <v>3015</v>
      </c>
      <c r="K6713" t="s">
        <v>4</v>
      </c>
      <c r="L6713">
        <v>4606</v>
      </c>
      <c r="M6713" t="s">
        <v>2250</v>
      </c>
      <c r="N6713" t="s">
        <v>343</v>
      </c>
      <c r="O6713">
        <v>10</v>
      </c>
      <c r="P6713">
        <v>7026</v>
      </c>
      <c r="Q6713" t="s">
        <v>2185</v>
      </c>
      <c r="R6713" t="s">
        <v>201</v>
      </c>
      <c r="S6713">
        <v>1</v>
      </c>
      <c r="T6713">
        <v>1</v>
      </c>
      <c r="U6713">
        <v>107340</v>
      </c>
      <c r="V6713">
        <v>107340</v>
      </c>
    </row>
    <row r="6714" spans="1:22">
      <c r="A6714" t="s">
        <v>196</v>
      </c>
      <c r="B6714">
        <v>85</v>
      </c>
      <c r="C6714" t="s">
        <v>2177</v>
      </c>
      <c r="D6714">
        <v>740</v>
      </c>
      <c r="E6714" t="s">
        <v>2208</v>
      </c>
      <c r="F6714">
        <v>1005</v>
      </c>
      <c r="G6714" t="s">
        <v>2177</v>
      </c>
      <c r="H6714">
        <v>2015</v>
      </c>
      <c r="I6714" t="s">
        <v>4</v>
      </c>
      <c r="J6714">
        <v>3015</v>
      </c>
      <c r="K6714" t="s">
        <v>4</v>
      </c>
      <c r="L6714">
        <v>4606</v>
      </c>
      <c r="M6714" t="s">
        <v>2250</v>
      </c>
      <c r="N6714" t="s">
        <v>2017</v>
      </c>
      <c r="O6714">
        <v>54</v>
      </c>
      <c r="P6714">
        <v>7025</v>
      </c>
      <c r="Q6714" t="s">
        <v>2186</v>
      </c>
      <c r="R6714" t="s">
        <v>201</v>
      </c>
      <c r="S6714">
        <v>1</v>
      </c>
      <c r="T6714">
        <v>1</v>
      </c>
      <c r="U6714">
        <v>157296</v>
      </c>
      <c r="V6714">
        <v>157296</v>
      </c>
    </row>
    <row r="6715" spans="1:22">
      <c r="A6715" t="s">
        <v>196</v>
      </c>
      <c r="B6715">
        <v>85</v>
      </c>
      <c r="C6715" t="s">
        <v>2177</v>
      </c>
      <c r="D6715">
        <v>740</v>
      </c>
      <c r="E6715" t="s">
        <v>2208</v>
      </c>
      <c r="F6715">
        <v>1005</v>
      </c>
      <c r="G6715" t="s">
        <v>2177</v>
      </c>
      <c r="H6715">
        <v>2015</v>
      </c>
      <c r="I6715" t="s">
        <v>4</v>
      </c>
      <c r="J6715">
        <v>3015</v>
      </c>
      <c r="K6715" t="s">
        <v>4</v>
      </c>
      <c r="L6715">
        <v>4606</v>
      </c>
      <c r="M6715" t="s">
        <v>2250</v>
      </c>
      <c r="N6715" t="s">
        <v>2017</v>
      </c>
      <c r="O6715">
        <v>54</v>
      </c>
      <c r="P6715">
        <v>7025</v>
      </c>
      <c r="Q6715" t="s">
        <v>2186</v>
      </c>
      <c r="R6715" t="s">
        <v>201</v>
      </c>
      <c r="S6715">
        <v>1</v>
      </c>
      <c r="T6715">
        <v>1</v>
      </c>
      <c r="U6715">
        <v>150180</v>
      </c>
      <c r="V6715">
        <v>150180</v>
      </c>
    </row>
    <row r="6716" spans="1:22">
      <c r="A6716" t="s">
        <v>196</v>
      </c>
      <c r="B6716">
        <v>85</v>
      </c>
      <c r="C6716" t="s">
        <v>2177</v>
      </c>
      <c r="D6716">
        <v>740</v>
      </c>
      <c r="E6716" t="s">
        <v>2208</v>
      </c>
      <c r="F6716">
        <v>1005</v>
      </c>
      <c r="G6716" t="s">
        <v>2177</v>
      </c>
      <c r="H6716">
        <v>2015</v>
      </c>
      <c r="I6716" t="s">
        <v>4</v>
      </c>
      <c r="J6716">
        <v>3015</v>
      </c>
      <c r="K6716" t="s">
        <v>4</v>
      </c>
      <c r="L6716">
        <v>4606</v>
      </c>
      <c r="M6716" t="s">
        <v>2250</v>
      </c>
      <c r="N6716" t="s">
        <v>2017</v>
      </c>
      <c r="O6716">
        <v>54</v>
      </c>
      <c r="P6716">
        <v>7025</v>
      </c>
      <c r="Q6716" t="s">
        <v>2186</v>
      </c>
      <c r="R6716" t="s">
        <v>201</v>
      </c>
      <c r="S6716">
        <v>1</v>
      </c>
      <c r="T6716">
        <v>1</v>
      </c>
      <c r="U6716">
        <v>130620</v>
      </c>
      <c r="V6716">
        <v>130620</v>
      </c>
    </row>
    <row r="6717" spans="1:22">
      <c r="A6717" t="s">
        <v>196</v>
      </c>
      <c r="B6717">
        <v>85</v>
      </c>
      <c r="C6717" t="s">
        <v>2177</v>
      </c>
      <c r="D6717">
        <v>740</v>
      </c>
      <c r="E6717" t="s">
        <v>2208</v>
      </c>
      <c r="F6717">
        <v>1005</v>
      </c>
      <c r="G6717" t="s">
        <v>2177</v>
      </c>
      <c r="H6717">
        <v>2015</v>
      </c>
      <c r="I6717" t="s">
        <v>4</v>
      </c>
      <c r="J6717">
        <v>3015</v>
      </c>
      <c r="K6717" t="s">
        <v>4</v>
      </c>
      <c r="L6717">
        <v>4606</v>
      </c>
      <c r="M6717" t="s">
        <v>2250</v>
      </c>
      <c r="N6717" t="s">
        <v>1934</v>
      </c>
      <c r="O6717">
        <v>54</v>
      </c>
      <c r="P6717">
        <v>7021</v>
      </c>
      <c r="Q6717" t="s">
        <v>2187</v>
      </c>
      <c r="R6717" t="s">
        <v>201</v>
      </c>
      <c r="S6717">
        <v>3</v>
      </c>
      <c r="T6717">
        <v>1</v>
      </c>
      <c r="U6717">
        <v>143352</v>
      </c>
      <c r="V6717">
        <v>430056</v>
      </c>
    </row>
    <row r="6718" spans="1:22">
      <c r="A6718" t="s">
        <v>196</v>
      </c>
      <c r="B6718">
        <v>85</v>
      </c>
      <c r="C6718" t="s">
        <v>2177</v>
      </c>
      <c r="D6718">
        <v>740</v>
      </c>
      <c r="E6718" t="s">
        <v>2208</v>
      </c>
      <c r="F6718">
        <v>1005</v>
      </c>
      <c r="G6718" t="s">
        <v>2177</v>
      </c>
      <c r="H6718">
        <v>2015</v>
      </c>
      <c r="I6718" t="s">
        <v>4</v>
      </c>
      <c r="J6718">
        <v>3015</v>
      </c>
      <c r="K6718" t="s">
        <v>4</v>
      </c>
      <c r="L6718">
        <v>4606</v>
      </c>
      <c r="M6718" t="s">
        <v>2250</v>
      </c>
      <c r="N6718" t="s">
        <v>1934</v>
      </c>
      <c r="O6718">
        <v>54</v>
      </c>
      <c r="P6718">
        <v>7021</v>
      </c>
      <c r="Q6718" t="s">
        <v>2187</v>
      </c>
      <c r="R6718" t="s">
        <v>201</v>
      </c>
      <c r="S6718">
        <v>2</v>
      </c>
      <c r="T6718">
        <v>1</v>
      </c>
      <c r="U6718">
        <v>130620</v>
      </c>
      <c r="V6718">
        <v>261240</v>
      </c>
    </row>
    <row r="6719" spans="1:22">
      <c r="A6719" t="s">
        <v>196</v>
      </c>
      <c r="B6719">
        <v>85</v>
      </c>
      <c r="C6719" t="s">
        <v>2177</v>
      </c>
      <c r="D6719">
        <v>740</v>
      </c>
      <c r="E6719" t="s">
        <v>2208</v>
      </c>
      <c r="F6719">
        <v>1005</v>
      </c>
      <c r="G6719" t="s">
        <v>2177</v>
      </c>
      <c r="H6719">
        <v>2015</v>
      </c>
      <c r="I6719" t="s">
        <v>4</v>
      </c>
      <c r="J6719">
        <v>3015</v>
      </c>
      <c r="K6719" t="s">
        <v>4</v>
      </c>
      <c r="L6719">
        <v>4606</v>
      </c>
      <c r="M6719" t="s">
        <v>2250</v>
      </c>
      <c r="N6719" t="s">
        <v>1934</v>
      </c>
      <c r="O6719">
        <v>54</v>
      </c>
      <c r="P6719">
        <v>7021</v>
      </c>
      <c r="Q6719" t="s">
        <v>2187</v>
      </c>
      <c r="R6719" t="s">
        <v>201</v>
      </c>
      <c r="S6719">
        <v>2</v>
      </c>
      <c r="T6719">
        <v>1</v>
      </c>
      <c r="U6719">
        <v>124740</v>
      </c>
      <c r="V6719">
        <v>249480</v>
      </c>
    </row>
    <row r="6720" spans="1:22">
      <c r="A6720" t="s">
        <v>196</v>
      </c>
      <c r="B6720">
        <v>85</v>
      </c>
      <c r="C6720" t="s">
        <v>2177</v>
      </c>
      <c r="D6720">
        <v>740</v>
      </c>
      <c r="E6720" t="s">
        <v>2208</v>
      </c>
      <c r="F6720">
        <v>1005</v>
      </c>
      <c r="G6720" t="s">
        <v>2177</v>
      </c>
      <c r="H6720">
        <v>2015</v>
      </c>
      <c r="I6720" t="s">
        <v>4</v>
      </c>
      <c r="J6720">
        <v>3015</v>
      </c>
      <c r="K6720" t="s">
        <v>4</v>
      </c>
      <c r="L6720">
        <v>4606</v>
      </c>
      <c r="M6720" t="s">
        <v>2250</v>
      </c>
      <c r="N6720" t="s">
        <v>1934</v>
      </c>
      <c r="O6720">
        <v>54</v>
      </c>
      <c r="P6720">
        <v>7021</v>
      </c>
      <c r="Q6720" t="s">
        <v>2187</v>
      </c>
      <c r="R6720" t="s">
        <v>201</v>
      </c>
      <c r="S6720">
        <v>3</v>
      </c>
      <c r="T6720">
        <v>1</v>
      </c>
      <c r="U6720">
        <v>119052</v>
      </c>
      <c r="V6720">
        <v>357156</v>
      </c>
    </row>
    <row r="6721" spans="1:22">
      <c r="A6721" t="s">
        <v>196</v>
      </c>
      <c r="B6721">
        <v>85</v>
      </c>
      <c r="C6721" t="s">
        <v>2177</v>
      </c>
      <c r="D6721">
        <v>740</v>
      </c>
      <c r="E6721" t="s">
        <v>2208</v>
      </c>
      <c r="F6721">
        <v>1005</v>
      </c>
      <c r="G6721" t="s">
        <v>2177</v>
      </c>
      <c r="H6721">
        <v>2015</v>
      </c>
      <c r="I6721" t="s">
        <v>4</v>
      </c>
      <c r="J6721">
        <v>3015</v>
      </c>
      <c r="K6721" t="s">
        <v>4</v>
      </c>
      <c r="L6721">
        <v>4606</v>
      </c>
      <c r="M6721" t="s">
        <v>2250</v>
      </c>
      <c r="N6721" t="s">
        <v>1934</v>
      </c>
      <c r="O6721">
        <v>54</v>
      </c>
      <c r="P6721">
        <v>7021</v>
      </c>
      <c r="Q6721" t="s">
        <v>2187</v>
      </c>
      <c r="R6721" t="s">
        <v>201</v>
      </c>
      <c r="S6721">
        <v>1</v>
      </c>
      <c r="T6721">
        <v>1</v>
      </c>
      <c r="U6721">
        <v>113592</v>
      </c>
      <c r="V6721">
        <v>113592</v>
      </c>
    </row>
    <row r="6722" spans="1:22">
      <c r="A6722" t="s">
        <v>196</v>
      </c>
      <c r="B6722">
        <v>85</v>
      </c>
      <c r="C6722" t="s">
        <v>2177</v>
      </c>
      <c r="D6722">
        <v>740</v>
      </c>
      <c r="E6722" t="s">
        <v>2208</v>
      </c>
      <c r="F6722">
        <v>1005</v>
      </c>
      <c r="G6722" t="s">
        <v>2177</v>
      </c>
      <c r="H6722">
        <v>2015</v>
      </c>
      <c r="I6722" t="s">
        <v>4</v>
      </c>
      <c r="J6722">
        <v>3015</v>
      </c>
      <c r="K6722" t="s">
        <v>4</v>
      </c>
      <c r="L6722">
        <v>4606</v>
      </c>
      <c r="M6722" t="s">
        <v>2250</v>
      </c>
      <c r="N6722" t="s">
        <v>1934</v>
      </c>
      <c r="O6722">
        <v>54</v>
      </c>
      <c r="P6722">
        <v>7021</v>
      </c>
      <c r="Q6722" t="s">
        <v>2187</v>
      </c>
      <c r="R6722" t="s">
        <v>201</v>
      </c>
      <c r="S6722">
        <v>3</v>
      </c>
      <c r="T6722">
        <v>1</v>
      </c>
      <c r="U6722">
        <v>108528</v>
      </c>
      <c r="V6722">
        <v>325584</v>
      </c>
    </row>
    <row r="6723" spans="1:22">
      <c r="A6723" t="s">
        <v>196</v>
      </c>
      <c r="B6723">
        <v>85</v>
      </c>
      <c r="C6723" t="s">
        <v>2177</v>
      </c>
      <c r="D6723">
        <v>740</v>
      </c>
      <c r="E6723" t="s">
        <v>2208</v>
      </c>
      <c r="F6723">
        <v>1005</v>
      </c>
      <c r="G6723" t="s">
        <v>2177</v>
      </c>
      <c r="H6723">
        <v>2015</v>
      </c>
      <c r="I6723" t="s">
        <v>4</v>
      </c>
      <c r="J6723">
        <v>3015</v>
      </c>
      <c r="K6723" t="s">
        <v>4</v>
      </c>
      <c r="L6723">
        <v>4606</v>
      </c>
      <c r="M6723" t="s">
        <v>2250</v>
      </c>
      <c r="N6723" t="s">
        <v>1934</v>
      </c>
      <c r="O6723">
        <v>54</v>
      </c>
      <c r="P6723">
        <v>7021</v>
      </c>
      <c r="Q6723" t="s">
        <v>2187</v>
      </c>
      <c r="R6723" t="s">
        <v>201</v>
      </c>
      <c r="S6723">
        <v>2</v>
      </c>
      <c r="T6723">
        <v>1</v>
      </c>
      <c r="U6723">
        <v>102540</v>
      </c>
      <c r="V6723">
        <v>205080</v>
      </c>
    </row>
    <row r="6724" spans="1:22">
      <c r="A6724" t="s">
        <v>196</v>
      </c>
      <c r="B6724">
        <v>85</v>
      </c>
      <c r="C6724" t="s">
        <v>2177</v>
      </c>
      <c r="D6724">
        <v>740</v>
      </c>
      <c r="E6724" t="s">
        <v>2208</v>
      </c>
      <c r="F6724">
        <v>1005</v>
      </c>
      <c r="G6724" t="s">
        <v>2177</v>
      </c>
      <c r="H6724">
        <v>2015</v>
      </c>
      <c r="I6724" t="s">
        <v>4</v>
      </c>
      <c r="J6724">
        <v>3015</v>
      </c>
      <c r="K6724" t="s">
        <v>4</v>
      </c>
      <c r="L6724">
        <v>4606</v>
      </c>
      <c r="M6724" t="s">
        <v>2250</v>
      </c>
      <c r="N6724" t="s">
        <v>1934</v>
      </c>
      <c r="O6724">
        <v>54</v>
      </c>
      <c r="P6724">
        <v>7021</v>
      </c>
      <c r="Q6724" t="s">
        <v>2187</v>
      </c>
      <c r="R6724" t="s">
        <v>201</v>
      </c>
      <c r="S6724">
        <v>4</v>
      </c>
      <c r="T6724">
        <v>1</v>
      </c>
      <c r="U6724">
        <v>97932</v>
      </c>
      <c r="V6724">
        <v>391728</v>
      </c>
    </row>
    <row r="6725" spans="1:22">
      <c r="A6725" t="s">
        <v>196</v>
      </c>
      <c r="B6725">
        <v>85</v>
      </c>
      <c r="C6725" t="s">
        <v>2177</v>
      </c>
      <c r="D6725">
        <v>740</v>
      </c>
      <c r="E6725" t="s">
        <v>2208</v>
      </c>
      <c r="F6725">
        <v>1005</v>
      </c>
      <c r="G6725" t="s">
        <v>2177</v>
      </c>
      <c r="H6725">
        <v>2015</v>
      </c>
      <c r="I6725" t="s">
        <v>4</v>
      </c>
      <c r="J6725">
        <v>3015</v>
      </c>
      <c r="K6725" t="s">
        <v>4</v>
      </c>
      <c r="L6725">
        <v>4606</v>
      </c>
      <c r="M6725" t="s">
        <v>2250</v>
      </c>
      <c r="N6725" t="s">
        <v>1934</v>
      </c>
      <c r="O6725">
        <v>54</v>
      </c>
      <c r="P6725">
        <v>7021</v>
      </c>
      <c r="Q6725" t="s">
        <v>2187</v>
      </c>
      <c r="R6725" t="s">
        <v>201</v>
      </c>
      <c r="S6725">
        <v>1</v>
      </c>
      <c r="T6725">
        <v>1</v>
      </c>
      <c r="U6725">
        <v>93468</v>
      </c>
      <c r="V6725">
        <v>93468</v>
      </c>
    </row>
    <row r="6726" spans="1:22">
      <c r="A6726" t="s">
        <v>196</v>
      </c>
      <c r="B6726">
        <v>85</v>
      </c>
      <c r="C6726" t="s">
        <v>2177</v>
      </c>
      <c r="D6726">
        <v>740</v>
      </c>
      <c r="E6726" t="s">
        <v>2208</v>
      </c>
      <c r="F6726">
        <v>1005</v>
      </c>
      <c r="G6726" t="s">
        <v>2177</v>
      </c>
      <c r="H6726">
        <v>2015</v>
      </c>
      <c r="I6726" t="s">
        <v>4</v>
      </c>
      <c r="J6726">
        <v>3015</v>
      </c>
      <c r="K6726" t="s">
        <v>4</v>
      </c>
      <c r="L6726">
        <v>4606</v>
      </c>
      <c r="M6726" t="s">
        <v>2250</v>
      </c>
      <c r="N6726" t="s">
        <v>1934</v>
      </c>
      <c r="O6726">
        <v>54</v>
      </c>
      <c r="P6726">
        <v>7021</v>
      </c>
      <c r="Q6726" t="s">
        <v>2187</v>
      </c>
      <c r="R6726" t="s">
        <v>201</v>
      </c>
      <c r="S6726">
        <v>3</v>
      </c>
      <c r="T6726">
        <v>1</v>
      </c>
      <c r="U6726">
        <v>89232</v>
      </c>
      <c r="V6726">
        <v>267696</v>
      </c>
    </row>
    <row r="6727" spans="1:22">
      <c r="A6727" t="s">
        <v>196</v>
      </c>
      <c r="B6727">
        <v>85</v>
      </c>
      <c r="C6727" t="s">
        <v>2177</v>
      </c>
      <c r="D6727">
        <v>740</v>
      </c>
      <c r="E6727" t="s">
        <v>2208</v>
      </c>
      <c r="F6727">
        <v>1005</v>
      </c>
      <c r="G6727" t="s">
        <v>2177</v>
      </c>
      <c r="H6727">
        <v>2015</v>
      </c>
      <c r="I6727" t="s">
        <v>4</v>
      </c>
      <c r="J6727">
        <v>3015</v>
      </c>
      <c r="K6727" t="s">
        <v>4</v>
      </c>
      <c r="L6727">
        <v>4606</v>
      </c>
      <c r="M6727" t="s">
        <v>2250</v>
      </c>
      <c r="N6727" t="s">
        <v>1934</v>
      </c>
      <c r="O6727">
        <v>54</v>
      </c>
      <c r="P6727">
        <v>7021</v>
      </c>
      <c r="Q6727" t="s">
        <v>2187</v>
      </c>
      <c r="R6727" t="s">
        <v>201</v>
      </c>
      <c r="S6727">
        <v>4</v>
      </c>
      <c r="T6727">
        <v>1</v>
      </c>
      <c r="U6727">
        <v>85176</v>
      </c>
      <c r="V6727">
        <v>340704</v>
      </c>
    </row>
    <row r="6728" spans="1:22">
      <c r="A6728" t="s">
        <v>196</v>
      </c>
      <c r="B6728">
        <v>85</v>
      </c>
      <c r="C6728" t="s">
        <v>2177</v>
      </c>
      <c r="D6728">
        <v>740</v>
      </c>
      <c r="E6728" t="s">
        <v>2208</v>
      </c>
      <c r="F6728">
        <v>1005</v>
      </c>
      <c r="G6728" t="s">
        <v>2177</v>
      </c>
      <c r="H6728">
        <v>2015</v>
      </c>
      <c r="I6728" t="s">
        <v>4</v>
      </c>
      <c r="J6728">
        <v>3015</v>
      </c>
      <c r="K6728" t="s">
        <v>4</v>
      </c>
      <c r="L6728">
        <v>4606</v>
      </c>
      <c r="M6728" t="s">
        <v>2250</v>
      </c>
      <c r="N6728" t="s">
        <v>1719</v>
      </c>
      <c r="O6728">
        <v>10</v>
      </c>
      <c r="P6728">
        <v>7020</v>
      </c>
      <c r="Q6728" t="s">
        <v>2183</v>
      </c>
      <c r="R6728" t="s">
        <v>201</v>
      </c>
      <c r="S6728">
        <v>2</v>
      </c>
      <c r="T6728">
        <v>1</v>
      </c>
      <c r="U6728">
        <v>112440</v>
      </c>
      <c r="V6728">
        <v>224880</v>
      </c>
    </row>
    <row r="6729" spans="1:22">
      <c r="A6729" t="s">
        <v>196</v>
      </c>
      <c r="B6729">
        <v>85</v>
      </c>
      <c r="C6729" t="s">
        <v>2177</v>
      </c>
      <c r="D6729">
        <v>740</v>
      </c>
      <c r="E6729" t="s">
        <v>2208</v>
      </c>
      <c r="F6729">
        <v>1005</v>
      </c>
      <c r="G6729" t="s">
        <v>2177</v>
      </c>
      <c r="H6729">
        <v>2015</v>
      </c>
      <c r="I6729" t="s">
        <v>4</v>
      </c>
      <c r="J6729">
        <v>3015</v>
      </c>
      <c r="K6729" t="s">
        <v>4</v>
      </c>
      <c r="L6729">
        <v>4606</v>
      </c>
      <c r="M6729" t="s">
        <v>2250</v>
      </c>
      <c r="N6729" t="s">
        <v>1722</v>
      </c>
      <c r="O6729">
        <v>54</v>
      </c>
      <c r="P6729">
        <v>7010</v>
      </c>
      <c r="Q6729" t="s">
        <v>2189</v>
      </c>
      <c r="R6729" t="s">
        <v>201</v>
      </c>
      <c r="S6729">
        <v>1</v>
      </c>
      <c r="T6729">
        <v>1</v>
      </c>
      <c r="U6729">
        <v>130620</v>
      </c>
      <c r="V6729">
        <v>130620</v>
      </c>
    </row>
    <row r="6730" spans="1:22">
      <c r="A6730" t="s">
        <v>196</v>
      </c>
      <c r="B6730">
        <v>85</v>
      </c>
      <c r="C6730" t="s">
        <v>2177</v>
      </c>
      <c r="D6730">
        <v>740</v>
      </c>
      <c r="E6730" t="s">
        <v>2208</v>
      </c>
      <c r="F6730">
        <v>1005</v>
      </c>
      <c r="G6730" t="s">
        <v>2177</v>
      </c>
      <c r="H6730">
        <v>2015</v>
      </c>
      <c r="I6730" t="s">
        <v>4</v>
      </c>
      <c r="J6730">
        <v>3015</v>
      </c>
      <c r="K6730" t="s">
        <v>4</v>
      </c>
      <c r="L6730">
        <v>4606</v>
      </c>
      <c r="M6730" t="s">
        <v>2250</v>
      </c>
      <c r="N6730" t="s">
        <v>1722</v>
      </c>
      <c r="O6730">
        <v>54</v>
      </c>
      <c r="P6730">
        <v>7010</v>
      </c>
      <c r="Q6730" t="s">
        <v>2189</v>
      </c>
      <c r="R6730" t="s">
        <v>201</v>
      </c>
      <c r="S6730">
        <v>1</v>
      </c>
      <c r="T6730">
        <v>1</v>
      </c>
      <c r="U6730">
        <v>108528</v>
      </c>
      <c r="V6730">
        <v>108528</v>
      </c>
    </row>
    <row r="6731" spans="1:22">
      <c r="A6731" t="s">
        <v>196</v>
      </c>
      <c r="B6731">
        <v>85</v>
      </c>
      <c r="C6731" t="s">
        <v>2177</v>
      </c>
      <c r="D6731">
        <v>740</v>
      </c>
      <c r="E6731" t="s">
        <v>2208</v>
      </c>
      <c r="F6731">
        <v>1005</v>
      </c>
      <c r="G6731" t="s">
        <v>2177</v>
      </c>
      <c r="H6731">
        <v>2015</v>
      </c>
      <c r="I6731" t="s">
        <v>4</v>
      </c>
      <c r="J6731">
        <v>3015</v>
      </c>
      <c r="K6731" t="s">
        <v>4</v>
      </c>
      <c r="L6731">
        <v>4606</v>
      </c>
      <c r="M6731" t="s">
        <v>2250</v>
      </c>
      <c r="N6731" t="s">
        <v>1722</v>
      </c>
      <c r="O6731">
        <v>54</v>
      </c>
      <c r="P6731">
        <v>7010</v>
      </c>
      <c r="Q6731" t="s">
        <v>2189</v>
      </c>
      <c r="R6731" t="s">
        <v>201</v>
      </c>
      <c r="S6731">
        <v>1</v>
      </c>
      <c r="T6731">
        <v>1</v>
      </c>
      <c r="U6731">
        <v>103572</v>
      </c>
      <c r="V6731">
        <v>103572</v>
      </c>
    </row>
    <row r="6732" spans="1:22">
      <c r="A6732" t="s">
        <v>196</v>
      </c>
      <c r="B6732">
        <v>85</v>
      </c>
      <c r="C6732" t="s">
        <v>2177</v>
      </c>
      <c r="D6732">
        <v>740</v>
      </c>
      <c r="E6732" t="s">
        <v>2208</v>
      </c>
      <c r="F6732">
        <v>1005</v>
      </c>
      <c r="G6732" t="s">
        <v>2177</v>
      </c>
      <c r="H6732">
        <v>2015</v>
      </c>
      <c r="I6732" t="s">
        <v>4</v>
      </c>
      <c r="J6732">
        <v>3015</v>
      </c>
      <c r="K6732" t="s">
        <v>4</v>
      </c>
      <c r="L6732">
        <v>4606</v>
      </c>
      <c r="M6732" t="s">
        <v>2250</v>
      </c>
      <c r="N6732" t="s">
        <v>1722</v>
      </c>
      <c r="O6732">
        <v>54</v>
      </c>
      <c r="P6732">
        <v>7010</v>
      </c>
      <c r="Q6732" t="s">
        <v>2189</v>
      </c>
      <c r="R6732" t="s">
        <v>201</v>
      </c>
      <c r="S6732">
        <v>1</v>
      </c>
      <c r="T6732">
        <v>1</v>
      </c>
      <c r="U6732">
        <v>98892</v>
      </c>
      <c r="V6732">
        <v>98892</v>
      </c>
    </row>
    <row r="6733" spans="1:22">
      <c r="A6733" t="s">
        <v>196</v>
      </c>
      <c r="B6733">
        <v>85</v>
      </c>
      <c r="C6733" t="s">
        <v>2177</v>
      </c>
      <c r="D6733">
        <v>740</v>
      </c>
      <c r="E6733" t="s">
        <v>2208</v>
      </c>
      <c r="F6733">
        <v>1005</v>
      </c>
      <c r="G6733" t="s">
        <v>2177</v>
      </c>
      <c r="H6733">
        <v>2015</v>
      </c>
      <c r="I6733" t="s">
        <v>4</v>
      </c>
      <c r="J6733">
        <v>3015</v>
      </c>
      <c r="K6733" t="s">
        <v>4</v>
      </c>
      <c r="L6733">
        <v>4606</v>
      </c>
      <c r="M6733" t="s">
        <v>2250</v>
      </c>
      <c r="N6733" t="s">
        <v>1722</v>
      </c>
      <c r="O6733">
        <v>54</v>
      </c>
      <c r="P6733">
        <v>7010</v>
      </c>
      <c r="Q6733" t="s">
        <v>2189</v>
      </c>
      <c r="R6733" t="s">
        <v>201</v>
      </c>
      <c r="S6733">
        <v>2</v>
      </c>
      <c r="T6733">
        <v>1</v>
      </c>
      <c r="U6733">
        <v>93468</v>
      </c>
      <c r="V6733">
        <v>186936</v>
      </c>
    </row>
    <row r="6734" spans="1:22">
      <c r="A6734" t="s">
        <v>196</v>
      </c>
      <c r="B6734">
        <v>85</v>
      </c>
      <c r="C6734" t="s">
        <v>2177</v>
      </c>
      <c r="D6734">
        <v>740</v>
      </c>
      <c r="E6734" t="s">
        <v>2208</v>
      </c>
      <c r="F6734">
        <v>1005</v>
      </c>
      <c r="G6734" t="s">
        <v>2177</v>
      </c>
      <c r="H6734">
        <v>2015</v>
      </c>
      <c r="I6734" t="s">
        <v>4</v>
      </c>
      <c r="J6734">
        <v>3015</v>
      </c>
      <c r="K6734" t="s">
        <v>4</v>
      </c>
      <c r="L6734">
        <v>4606</v>
      </c>
      <c r="M6734" t="s">
        <v>2250</v>
      </c>
      <c r="N6734" t="s">
        <v>1722</v>
      </c>
      <c r="O6734">
        <v>54</v>
      </c>
      <c r="P6734">
        <v>7010</v>
      </c>
      <c r="Q6734" t="s">
        <v>2189</v>
      </c>
      <c r="R6734" t="s">
        <v>201</v>
      </c>
      <c r="S6734">
        <v>1</v>
      </c>
      <c r="T6734">
        <v>1</v>
      </c>
      <c r="U6734">
        <v>89232</v>
      </c>
      <c r="V6734">
        <v>89232</v>
      </c>
    </row>
    <row r="6735" spans="1:22">
      <c r="A6735" t="s">
        <v>196</v>
      </c>
      <c r="B6735">
        <v>85</v>
      </c>
      <c r="C6735" t="s">
        <v>2177</v>
      </c>
      <c r="D6735">
        <v>740</v>
      </c>
      <c r="E6735" t="s">
        <v>2208</v>
      </c>
      <c r="F6735">
        <v>1005</v>
      </c>
      <c r="G6735" t="s">
        <v>2177</v>
      </c>
      <c r="H6735">
        <v>2015</v>
      </c>
      <c r="I6735" t="s">
        <v>4</v>
      </c>
      <c r="J6735">
        <v>3015</v>
      </c>
      <c r="K6735" t="s">
        <v>4</v>
      </c>
      <c r="L6735">
        <v>4606</v>
      </c>
      <c r="M6735" t="s">
        <v>2250</v>
      </c>
      <c r="N6735" t="s">
        <v>1722</v>
      </c>
      <c r="O6735">
        <v>54</v>
      </c>
      <c r="P6735">
        <v>7010</v>
      </c>
      <c r="Q6735" t="s">
        <v>2189</v>
      </c>
      <c r="R6735" t="s">
        <v>201</v>
      </c>
      <c r="S6735">
        <v>8</v>
      </c>
      <c r="T6735">
        <v>1</v>
      </c>
      <c r="U6735">
        <v>85176</v>
      </c>
      <c r="V6735">
        <v>681408</v>
      </c>
    </row>
    <row r="6736" spans="1:22">
      <c r="A6736" t="s">
        <v>196</v>
      </c>
      <c r="B6736">
        <v>85</v>
      </c>
      <c r="C6736" t="s">
        <v>2177</v>
      </c>
      <c r="D6736">
        <v>740</v>
      </c>
      <c r="E6736" t="s">
        <v>2208</v>
      </c>
      <c r="F6736">
        <v>1005</v>
      </c>
      <c r="G6736" t="s">
        <v>2177</v>
      </c>
      <c r="H6736">
        <v>2015</v>
      </c>
      <c r="I6736" t="s">
        <v>4</v>
      </c>
      <c r="J6736">
        <v>3015</v>
      </c>
      <c r="K6736" t="s">
        <v>4</v>
      </c>
      <c r="L6736">
        <v>4606</v>
      </c>
      <c r="M6736" t="s">
        <v>2250</v>
      </c>
      <c r="N6736" t="s">
        <v>1722</v>
      </c>
      <c r="O6736">
        <v>54</v>
      </c>
      <c r="P6736">
        <v>7010</v>
      </c>
      <c r="Q6736" t="s">
        <v>2189</v>
      </c>
      <c r="R6736" t="s">
        <v>201</v>
      </c>
      <c r="S6736">
        <v>4</v>
      </c>
      <c r="T6736">
        <v>1</v>
      </c>
      <c r="U6736">
        <v>81276</v>
      </c>
      <c r="V6736">
        <v>325104</v>
      </c>
    </row>
    <row r="6737" spans="1:22">
      <c r="A6737" t="s">
        <v>196</v>
      </c>
      <c r="B6737">
        <v>85</v>
      </c>
      <c r="C6737" t="s">
        <v>2177</v>
      </c>
      <c r="D6737">
        <v>740</v>
      </c>
      <c r="E6737" t="s">
        <v>2208</v>
      </c>
      <c r="F6737">
        <v>1005</v>
      </c>
      <c r="G6737" t="s">
        <v>2177</v>
      </c>
      <c r="H6737">
        <v>2015</v>
      </c>
      <c r="I6737" t="s">
        <v>4</v>
      </c>
      <c r="J6737">
        <v>3015</v>
      </c>
      <c r="K6737" t="s">
        <v>4</v>
      </c>
      <c r="L6737">
        <v>4606</v>
      </c>
      <c r="M6737" t="s">
        <v>2250</v>
      </c>
      <c r="N6737" t="s">
        <v>1722</v>
      </c>
      <c r="O6737">
        <v>54</v>
      </c>
      <c r="P6737">
        <v>7010</v>
      </c>
      <c r="Q6737" t="s">
        <v>2189</v>
      </c>
      <c r="R6737" t="s">
        <v>201</v>
      </c>
      <c r="S6737">
        <v>10</v>
      </c>
      <c r="T6737">
        <v>1</v>
      </c>
      <c r="U6737">
        <v>77628</v>
      </c>
      <c r="V6737">
        <v>776280</v>
      </c>
    </row>
    <row r="6738" spans="1:22">
      <c r="A6738" t="s">
        <v>196</v>
      </c>
      <c r="B6738">
        <v>85</v>
      </c>
      <c r="C6738" t="s">
        <v>2177</v>
      </c>
      <c r="D6738">
        <v>740</v>
      </c>
      <c r="E6738" t="s">
        <v>2208</v>
      </c>
      <c r="F6738">
        <v>1005</v>
      </c>
      <c r="G6738" t="s">
        <v>2177</v>
      </c>
      <c r="H6738">
        <v>2015</v>
      </c>
      <c r="I6738" t="s">
        <v>4</v>
      </c>
      <c r="J6738">
        <v>3015</v>
      </c>
      <c r="K6738" t="s">
        <v>4</v>
      </c>
      <c r="L6738">
        <v>4606</v>
      </c>
      <c r="M6738" t="s">
        <v>2250</v>
      </c>
      <c r="N6738" t="s">
        <v>351</v>
      </c>
      <c r="O6738">
        <v>1</v>
      </c>
      <c r="P6738">
        <v>810</v>
      </c>
      <c r="Q6738" t="s">
        <v>1803</v>
      </c>
      <c r="R6738" t="s">
        <v>201</v>
      </c>
      <c r="S6738">
        <v>1</v>
      </c>
      <c r="T6738">
        <v>1</v>
      </c>
      <c r="U6738">
        <v>108576</v>
      </c>
      <c r="V6738">
        <v>108576</v>
      </c>
    </row>
    <row r="6739" spans="1:22">
      <c r="A6739" t="s">
        <v>196</v>
      </c>
      <c r="B6739">
        <v>85</v>
      </c>
      <c r="C6739" t="s">
        <v>2177</v>
      </c>
      <c r="D6739">
        <v>740</v>
      </c>
      <c r="E6739" t="s">
        <v>2208</v>
      </c>
      <c r="F6739">
        <v>1005</v>
      </c>
      <c r="G6739" t="s">
        <v>2177</v>
      </c>
      <c r="H6739">
        <v>2015</v>
      </c>
      <c r="I6739" t="s">
        <v>4</v>
      </c>
      <c r="J6739">
        <v>3015</v>
      </c>
      <c r="K6739" t="s">
        <v>4</v>
      </c>
      <c r="L6739">
        <v>4606</v>
      </c>
      <c r="M6739" t="s">
        <v>2250</v>
      </c>
      <c r="N6739" t="s">
        <v>1314</v>
      </c>
      <c r="O6739">
        <v>0</v>
      </c>
      <c r="P6739" t="s">
        <v>1471</v>
      </c>
      <c r="Q6739" t="s">
        <v>605</v>
      </c>
      <c r="R6739" t="s">
        <v>201</v>
      </c>
      <c r="S6739">
        <v>3</v>
      </c>
      <c r="T6739">
        <v>1</v>
      </c>
      <c r="U6739">
        <v>160680</v>
      </c>
      <c r="V6739">
        <v>482040</v>
      </c>
    </row>
    <row r="6740" spans="1:22">
      <c r="A6740" t="s">
        <v>196</v>
      </c>
      <c r="B6740">
        <v>85</v>
      </c>
      <c r="C6740" t="s">
        <v>2177</v>
      </c>
      <c r="D6740">
        <v>740</v>
      </c>
      <c r="E6740" t="s">
        <v>2208</v>
      </c>
      <c r="F6740">
        <v>1005</v>
      </c>
      <c r="G6740" t="s">
        <v>2177</v>
      </c>
      <c r="H6740">
        <v>2015</v>
      </c>
      <c r="I6740" t="s">
        <v>4</v>
      </c>
      <c r="J6740">
        <v>3015</v>
      </c>
      <c r="K6740" t="s">
        <v>4</v>
      </c>
      <c r="L6740">
        <v>4606</v>
      </c>
      <c r="M6740" t="s">
        <v>2250</v>
      </c>
      <c r="N6740" t="s">
        <v>199</v>
      </c>
      <c r="O6740">
        <v>0</v>
      </c>
      <c r="P6740">
        <v>15</v>
      </c>
      <c r="Q6740" t="s">
        <v>264</v>
      </c>
      <c r="R6740" t="s">
        <v>201</v>
      </c>
      <c r="S6740">
        <v>0</v>
      </c>
      <c r="T6740">
        <v>0</v>
      </c>
      <c r="U6740">
        <v>92889</v>
      </c>
      <c r="V6740">
        <v>92889</v>
      </c>
    </row>
    <row r="6741" spans="1:22">
      <c r="A6741" t="s">
        <v>196</v>
      </c>
      <c r="B6741">
        <v>85</v>
      </c>
      <c r="C6741" t="s">
        <v>2177</v>
      </c>
      <c r="D6741">
        <v>740</v>
      </c>
      <c r="E6741" t="s">
        <v>2208</v>
      </c>
      <c r="F6741">
        <v>1005</v>
      </c>
      <c r="G6741" t="s">
        <v>2177</v>
      </c>
      <c r="H6741">
        <v>2015</v>
      </c>
      <c r="I6741" t="s">
        <v>4</v>
      </c>
      <c r="J6741">
        <v>3015</v>
      </c>
      <c r="K6741" t="s">
        <v>4</v>
      </c>
      <c r="L6741">
        <v>4626</v>
      </c>
      <c r="M6741" t="s">
        <v>2251</v>
      </c>
      <c r="N6741" t="s">
        <v>721</v>
      </c>
      <c r="O6741">
        <v>42</v>
      </c>
      <c r="P6741">
        <v>7633</v>
      </c>
      <c r="Q6741" t="s">
        <v>1740</v>
      </c>
      <c r="R6741" t="s">
        <v>713</v>
      </c>
      <c r="S6741">
        <v>4</v>
      </c>
      <c r="T6741">
        <v>1</v>
      </c>
      <c r="U6741">
        <v>64.8</v>
      </c>
      <c r="V6741">
        <v>539136</v>
      </c>
    </row>
    <row r="6742" spans="1:22">
      <c r="A6742" t="s">
        <v>196</v>
      </c>
      <c r="B6742">
        <v>85</v>
      </c>
      <c r="C6742" t="s">
        <v>2177</v>
      </c>
      <c r="D6742">
        <v>740</v>
      </c>
      <c r="E6742" t="s">
        <v>2208</v>
      </c>
      <c r="F6742">
        <v>1005</v>
      </c>
      <c r="G6742" t="s">
        <v>2177</v>
      </c>
      <c r="H6742">
        <v>2015</v>
      </c>
      <c r="I6742" t="s">
        <v>4</v>
      </c>
      <c r="J6742">
        <v>3015</v>
      </c>
      <c r="K6742" t="s">
        <v>4</v>
      </c>
      <c r="L6742">
        <v>4626</v>
      </c>
      <c r="M6742" t="s">
        <v>2251</v>
      </c>
      <c r="N6742" t="s">
        <v>721</v>
      </c>
      <c r="O6742">
        <v>8</v>
      </c>
      <c r="P6742">
        <v>7184</v>
      </c>
      <c r="Q6742" t="s">
        <v>1728</v>
      </c>
      <c r="R6742" t="s">
        <v>713</v>
      </c>
      <c r="S6742">
        <v>248560</v>
      </c>
      <c r="T6742">
        <v>0</v>
      </c>
      <c r="U6742">
        <v>48.73</v>
      </c>
      <c r="V6742">
        <v>12112329</v>
      </c>
    </row>
    <row r="6743" spans="1:22">
      <c r="A6743" t="s">
        <v>196</v>
      </c>
      <c r="B6743">
        <v>85</v>
      </c>
      <c r="C6743" t="s">
        <v>2177</v>
      </c>
      <c r="D6743">
        <v>740</v>
      </c>
      <c r="E6743" t="s">
        <v>2208</v>
      </c>
      <c r="F6743">
        <v>1005</v>
      </c>
      <c r="G6743" t="s">
        <v>2177</v>
      </c>
      <c r="H6743">
        <v>2015</v>
      </c>
      <c r="I6743" t="s">
        <v>4</v>
      </c>
      <c r="J6743">
        <v>3015</v>
      </c>
      <c r="K6743" t="s">
        <v>4</v>
      </c>
      <c r="L6743">
        <v>4626</v>
      </c>
      <c r="M6743" t="s">
        <v>2251</v>
      </c>
      <c r="N6743" t="s">
        <v>721</v>
      </c>
      <c r="O6743">
        <v>8</v>
      </c>
      <c r="P6743">
        <v>7185</v>
      </c>
      <c r="Q6743" t="s">
        <v>1039</v>
      </c>
      <c r="R6743" t="s">
        <v>713</v>
      </c>
      <c r="S6743">
        <v>8</v>
      </c>
      <c r="T6743">
        <v>1</v>
      </c>
      <c r="U6743">
        <v>52.38</v>
      </c>
      <c r="V6743">
        <v>871603</v>
      </c>
    </row>
    <row r="6744" spans="1:22">
      <c r="A6744" t="s">
        <v>196</v>
      </c>
      <c r="B6744">
        <v>85</v>
      </c>
      <c r="C6744" t="s">
        <v>2177</v>
      </c>
      <c r="D6744">
        <v>740</v>
      </c>
      <c r="E6744" t="s">
        <v>2208</v>
      </c>
      <c r="F6744">
        <v>1005</v>
      </c>
      <c r="G6744" t="s">
        <v>2177</v>
      </c>
      <c r="H6744">
        <v>2015</v>
      </c>
      <c r="I6744" t="s">
        <v>4</v>
      </c>
      <c r="J6744">
        <v>3015</v>
      </c>
      <c r="K6744" t="s">
        <v>4</v>
      </c>
      <c r="L6744">
        <v>4626</v>
      </c>
      <c r="M6744" t="s">
        <v>2251</v>
      </c>
      <c r="N6744" t="s">
        <v>721</v>
      </c>
      <c r="O6744">
        <v>8</v>
      </c>
      <c r="P6744">
        <v>7183</v>
      </c>
      <c r="Q6744" t="s">
        <v>986</v>
      </c>
      <c r="R6744" t="s">
        <v>713</v>
      </c>
      <c r="S6744">
        <v>282</v>
      </c>
      <c r="T6744">
        <v>1</v>
      </c>
      <c r="U6744">
        <v>48.73</v>
      </c>
      <c r="V6744">
        <v>28583069</v>
      </c>
    </row>
    <row r="6745" spans="1:22">
      <c r="A6745" t="s">
        <v>196</v>
      </c>
      <c r="B6745">
        <v>85</v>
      </c>
      <c r="C6745" t="s">
        <v>2177</v>
      </c>
      <c r="D6745">
        <v>740</v>
      </c>
      <c r="E6745" t="s">
        <v>2208</v>
      </c>
      <c r="F6745">
        <v>1005</v>
      </c>
      <c r="G6745" t="s">
        <v>2177</v>
      </c>
      <c r="H6745">
        <v>2015</v>
      </c>
      <c r="I6745" t="s">
        <v>4</v>
      </c>
      <c r="J6745">
        <v>3015</v>
      </c>
      <c r="K6745" t="s">
        <v>4</v>
      </c>
      <c r="L6745">
        <v>4626</v>
      </c>
      <c r="M6745" t="s">
        <v>2251</v>
      </c>
      <c r="N6745" t="s">
        <v>249</v>
      </c>
      <c r="O6745">
        <v>10</v>
      </c>
      <c r="P6745">
        <v>7141</v>
      </c>
      <c r="Q6745" t="s">
        <v>1052</v>
      </c>
      <c r="R6745" t="s">
        <v>201</v>
      </c>
      <c r="S6745">
        <v>1</v>
      </c>
      <c r="T6745">
        <v>1</v>
      </c>
      <c r="U6745">
        <v>113568</v>
      </c>
      <c r="V6745">
        <v>113568</v>
      </c>
    </row>
    <row r="6746" spans="1:22">
      <c r="A6746" t="s">
        <v>196</v>
      </c>
      <c r="B6746">
        <v>85</v>
      </c>
      <c r="C6746" t="s">
        <v>2177</v>
      </c>
      <c r="D6746">
        <v>740</v>
      </c>
      <c r="E6746" t="s">
        <v>2208</v>
      </c>
      <c r="F6746">
        <v>1005</v>
      </c>
      <c r="G6746" t="s">
        <v>2177</v>
      </c>
      <c r="H6746">
        <v>2015</v>
      </c>
      <c r="I6746" t="s">
        <v>4</v>
      </c>
      <c r="J6746">
        <v>3015</v>
      </c>
      <c r="K6746" t="s">
        <v>4</v>
      </c>
      <c r="L6746">
        <v>4626</v>
      </c>
      <c r="M6746" t="s">
        <v>2251</v>
      </c>
      <c r="N6746" t="s">
        <v>249</v>
      </c>
      <c r="O6746">
        <v>10</v>
      </c>
      <c r="P6746">
        <v>7141</v>
      </c>
      <c r="Q6746" t="s">
        <v>1052</v>
      </c>
      <c r="R6746" t="s">
        <v>201</v>
      </c>
      <c r="S6746">
        <v>1</v>
      </c>
      <c r="T6746">
        <v>1</v>
      </c>
      <c r="U6746">
        <v>107340</v>
      </c>
      <c r="V6746">
        <v>107340</v>
      </c>
    </row>
    <row r="6747" spans="1:22">
      <c r="A6747" t="s">
        <v>196</v>
      </c>
      <c r="B6747">
        <v>85</v>
      </c>
      <c r="C6747" t="s">
        <v>2177</v>
      </c>
      <c r="D6747">
        <v>740</v>
      </c>
      <c r="E6747" t="s">
        <v>2208</v>
      </c>
      <c r="F6747">
        <v>1005</v>
      </c>
      <c r="G6747" t="s">
        <v>2177</v>
      </c>
      <c r="H6747">
        <v>2015</v>
      </c>
      <c r="I6747" t="s">
        <v>4</v>
      </c>
      <c r="J6747">
        <v>3015</v>
      </c>
      <c r="K6747" t="s">
        <v>4</v>
      </c>
      <c r="L6747">
        <v>4626</v>
      </c>
      <c r="M6747" t="s">
        <v>2251</v>
      </c>
      <c r="N6747" t="s">
        <v>249</v>
      </c>
      <c r="O6747">
        <v>10</v>
      </c>
      <c r="P6747">
        <v>7141</v>
      </c>
      <c r="Q6747" t="s">
        <v>1052</v>
      </c>
      <c r="R6747" t="s">
        <v>201</v>
      </c>
      <c r="S6747">
        <v>2</v>
      </c>
      <c r="T6747">
        <v>1</v>
      </c>
      <c r="U6747">
        <v>89112</v>
      </c>
      <c r="V6747">
        <v>178224</v>
      </c>
    </row>
    <row r="6748" spans="1:22">
      <c r="A6748" t="s">
        <v>196</v>
      </c>
      <c r="B6748">
        <v>85</v>
      </c>
      <c r="C6748" t="s">
        <v>2177</v>
      </c>
      <c r="D6748">
        <v>740</v>
      </c>
      <c r="E6748" t="s">
        <v>2208</v>
      </c>
      <c r="F6748">
        <v>1005</v>
      </c>
      <c r="G6748" t="s">
        <v>2177</v>
      </c>
      <c r="H6748">
        <v>2015</v>
      </c>
      <c r="I6748" t="s">
        <v>4</v>
      </c>
      <c r="J6748">
        <v>3015</v>
      </c>
      <c r="K6748" t="s">
        <v>4</v>
      </c>
      <c r="L6748">
        <v>4626</v>
      </c>
      <c r="M6748" t="s">
        <v>2251</v>
      </c>
      <c r="N6748" t="s">
        <v>721</v>
      </c>
      <c r="O6748">
        <v>8</v>
      </c>
      <c r="P6748">
        <v>7140</v>
      </c>
      <c r="Q6748" t="s">
        <v>1735</v>
      </c>
      <c r="R6748" t="s">
        <v>713</v>
      </c>
      <c r="S6748">
        <v>7</v>
      </c>
      <c r="T6748">
        <v>1</v>
      </c>
      <c r="U6748">
        <v>35.57</v>
      </c>
      <c r="V6748">
        <v>517899</v>
      </c>
    </row>
    <row r="6749" spans="1:22">
      <c r="A6749" t="s">
        <v>196</v>
      </c>
      <c r="B6749">
        <v>85</v>
      </c>
      <c r="C6749" t="s">
        <v>2177</v>
      </c>
      <c r="D6749">
        <v>740</v>
      </c>
      <c r="E6749" t="s">
        <v>2208</v>
      </c>
      <c r="F6749">
        <v>1005</v>
      </c>
      <c r="G6749" t="s">
        <v>2177</v>
      </c>
      <c r="H6749">
        <v>2015</v>
      </c>
      <c r="I6749" t="s">
        <v>4</v>
      </c>
      <c r="J6749">
        <v>3015</v>
      </c>
      <c r="K6749" t="s">
        <v>4</v>
      </c>
      <c r="L6749">
        <v>4626</v>
      </c>
      <c r="M6749" t="s">
        <v>2251</v>
      </c>
      <c r="N6749" t="s">
        <v>721</v>
      </c>
      <c r="O6749">
        <v>8</v>
      </c>
      <c r="P6749">
        <v>7124</v>
      </c>
      <c r="Q6749" t="s">
        <v>1054</v>
      </c>
      <c r="R6749" t="s">
        <v>713</v>
      </c>
      <c r="S6749">
        <v>7</v>
      </c>
      <c r="T6749">
        <v>1</v>
      </c>
      <c r="U6749">
        <v>49.58</v>
      </c>
      <c r="V6749">
        <v>721885</v>
      </c>
    </row>
    <row r="6750" spans="1:22">
      <c r="A6750" t="s">
        <v>196</v>
      </c>
      <c r="B6750">
        <v>85</v>
      </c>
      <c r="C6750" t="s">
        <v>2177</v>
      </c>
      <c r="D6750">
        <v>740</v>
      </c>
      <c r="E6750" t="s">
        <v>2208</v>
      </c>
      <c r="F6750">
        <v>1005</v>
      </c>
      <c r="G6750" t="s">
        <v>2177</v>
      </c>
      <c r="H6750">
        <v>2015</v>
      </c>
      <c r="I6750" t="s">
        <v>4</v>
      </c>
      <c r="J6750">
        <v>3015</v>
      </c>
      <c r="K6750" t="s">
        <v>4</v>
      </c>
      <c r="L6750">
        <v>4626</v>
      </c>
      <c r="M6750" t="s">
        <v>2251</v>
      </c>
      <c r="N6750" t="s">
        <v>721</v>
      </c>
      <c r="O6750">
        <v>8</v>
      </c>
      <c r="P6750">
        <v>7123</v>
      </c>
      <c r="Q6750" t="s">
        <v>1703</v>
      </c>
      <c r="R6750" t="s">
        <v>712</v>
      </c>
      <c r="S6750">
        <v>11</v>
      </c>
      <c r="T6750">
        <v>1</v>
      </c>
      <c r="U6750">
        <v>8932</v>
      </c>
      <c r="V6750">
        <v>1179024</v>
      </c>
    </row>
    <row r="6751" spans="1:22">
      <c r="A6751" t="s">
        <v>196</v>
      </c>
      <c r="B6751">
        <v>85</v>
      </c>
      <c r="C6751" t="s">
        <v>2177</v>
      </c>
      <c r="D6751">
        <v>740</v>
      </c>
      <c r="E6751" t="s">
        <v>2208</v>
      </c>
      <c r="F6751">
        <v>1005</v>
      </c>
      <c r="G6751" t="s">
        <v>2177</v>
      </c>
      <c r="H6751">
        <v>2015</v>
      </c>
      <c r="I6751" t="s">
        <v>4</v>
      </c>
      <c r="J6751">
        <v>3015</v>
      </c>
      <c r="K6751" t="s">
        <v>4</v>
      </c>
      <c r="L6751">
        <v>4626</v>
      </c>
      <c r="M6751" t="s">
        <v>2251</v>
      </c>
      <c r="N6751" t="s">
        <v>1719</v>
      </c>
      <c r="O6751">
        <v>10</v>
      </c>
      <c r="P6751">
        <v>7020</v>
      </c>
      <c r="Q6751" t="s">
        <v>2183</v>
      </c>
      <c r="R6751" t="s">
        <v>201</v>
      </c>
      <c r="S6751">
        <v>1</v>
      </c>
      <c r="T6751">
        <v>1</v>
      </c>
      <c r="U6751">
        <v>123348</v>
      </c>
      <c r="V6751">
        <v>123348</v>
      </c>
    </row>
    <row r="6752" spans="1:22">
      <c r="A6752" t="s">
        <v>196</v>
      </c>
      <c r="B6752">
        <v>85</v>
      </c>
      <c r="C6752" t="s">
        <v>2177</v>
      </c>
      <c r="D6752">
        <v>740</v>
      </c>
      <c r="E6752" t="s">
        <v>2208</v>
      </c>
      <c r="F6752">
        <v>1005</v>
      </c>
      <c r="G6752" t="s">
        <v>2177</v>
      </c>
      <c r="H6752">
        <v>2015</v>
      </c>
      <c r="I6752" t="s">
        <v>4</v>
      </c>
      <c r="J6752">
        <v>3015</v>
      </c>
      <c r="K6752" t="s">
        <v>4</v>
      </c>
      <c r="L6752">
        <v>4626</v>
      </c>
      <c r="M6752" t="s">
        <v>2251</v>
      </c>
      <c r="N6752" t="s">
        <v>1719</v>
      </c>
      <c r="O6752">
        <v>10</v>
      </c>
      <c r="P6752">
        <v>7020</v>
      </c>
      <c r="Q6752" t="s">
        <v>2183</v>
      </c>
      <c r="R6752" t="s">
        <v>201</v>
      </c>
      <c r="S6752">
        <v>1</v>
      </c>
      <c r="T6752">
        <v>1</v>
      </c>
      <c r="U6752">
        <v>112440</v>
      </c>
      <c r="V6752">
        <v>112440</v>
      </c>
    </row>
    <row r="6753" spans="1:22">
      <c r="A6753" t="s">
        <v>196</v>
      </c>
      <c r="B6753">
        <v>85</v>
      </c>
      <c r="C6753" t="s">
        <v>2177</v>
      </c>
      <c r="D6753">
        <v>740</v>
      </c>
      <c r="E6753" t="s">
        <v>2208</v>
      </c>
      <c r="F6753">
        <v>1005</v>
      </c>
      <c r="G6753" t="s">
        <v>2177</v>
      </c>
      <c r="H6753">
        <v>2015</v>
      </c>
      <c r="I6753" t="s">
        <v>4</v>
      </c>
      <c r="J6753">
        <v>3015</v>
      </c>
      <c r="K6753" t="s">
        <v>4</v>
      </c>
      <c r="L6753">
        <v>4626</v>
      </c>
      <c r="M6753" t="s">
        <v>2251</v>
      </c>
      <c r="N6753" t="s">
        <v>216</v>
      </c>
      <c r="O6753">
        <v>20</v>
      </c>
      <c r="P6753">
        <v>7015</v>
      </c>
      <c r="Q6753" t="s">
        <v>2252</v>
      </c>
      <c r="R6753" t="s">
        <v>201</v>
      </c>
      <c r="S6753">
        <v>3</v>
      </c>
      <c r="T6753">
        <v>1</v>
      </c>
      <c r="U6753">
        <v>83052</v>
      </c>
      <c r="V6753">
        <v>249156</v>
      </c>
    </row>
    <row r="6754" spans="1:22">
      <c r="A6754" t="s">
        <v>196</v>
      </c>
      <c r="B6754">
        <v>85</v>
      </c>
      <c r="C6754" t="s">
        <v>2177</v>
      </c>
      <c r="D6754">
        <v>740</v>
      </c>
      <c r="E6754" t="s">
        <v>2208</v>
      </c>
      <c r="F6754">
        <v>1005</v>
      </c>
      <c r="G6754" t="s">
        <v>2177</v>
      </c>
      <c r="H6754">
        <v>2015</v>
      </c>
      <c r="I6754" t="s">
        <v>4</v>
      </c>
      <c r="J6754">
        <v>3015</v>
      </c>
      <c r="K6754" t="s">
        <v>4</v>
      </c>
      <c r="L6754">
        <v>4626</v>
      </c>
      <c r="M6754" t="s">
        <v>2251</v>
      </c>
      <c r="N6754" t="s">
        <v>721</v>
      </c>
      <c r="O6754">
        <v>25</v>
      </c>
      <c r="P6754">
        <v>4656</v>
      </c>
      <c r="Q6754" t="s">
        <v>2043</v>
      </c>
      <c r="R6754" t="s">
        <v>713</v>
      </c>
      <c r="S6754">
        <v>1</v>
      </c>
      <c r="T6754">
        <v>1</v>
      </c>
      <c r="U6754">
        <v>41.55</v>
      </c>
      <c r="V6754">
        <v>86424</v>
      </c>
    </row>
    <row r="6755" spans="1:22">
      <c r="A6755" t="s">
        <v>196</v>
      </c>
      <c r="B6755">
        <v>85</v>
      </c>
      <c r="C6755" t="s">
        <v>2177</v>
      </c>
      <c r="D6755">
        <v>740</v>
      </c>
      <c r="E6755" t="s">
        <v>2208</v>
      </c>
      <c r="F6755">
        <v>1005</v>
      </c>
      <c r="G6755" t="s">
        <v>2177</v>
      </c>
      <c r="H6755">
        <v>2015</v>
      </c>
      <c r="I6755" t="s">
        <v>4</v>
      </c>
      <c r="J6755">
        <v>3015</v>
      </c>
      <c r="K6755" t="s">
        <v>4</v>
      </c>
      <c r="L6755">
        <v>4626</v>
      </c>
      <c r="M6755" t="s">
        <v>2251</v>
      </c>
      <c r="N6755" t="s">
        <v>253</v>
      </c>
      <c r="O6755">
        <v>20</v>
      </c>
      <c r="P6755">
        <v>1318</v>
      </c>
      <c r="Q6755" t="s">
        <v>934</v>
      </c>
      <c r="R6755" t="s">
        <v>201</v>
      </c>
      <c r="S6755">
        <v>2</v>
      </c>
      <c r="T6755">
        <v>1</v>
      </c>
      <c r="U6755">
        <v>113568</v>
      </c>
      <c r="V6755">
        <v>227136</v>
      </c>
    </row>
    <row r="6756" spans="1:22">
      <c r="A6756" t="s">
        <v>196</v>
      </c>
      <c r="B6756">
        <v>85</v>
      </c>
      <c r="C6756" t="s">
        <v>2177</v>
      </c>
      <c r="D6756">
        <v>740</v>
      </c>
      <c r="E6756" t="s">
        <v>2208</v>
      </c>
      <c r="F6756">
        <v>1005</v>
      </c>
      <c r="G6756" t="s">
        <v>2177</v>
      </c>
      <c r="H6756">
        <v>2015</v>
      </c>
      <c r="I6756" t="s">
        <v>4</v>
      </c>
      <c r="J6756">
        <v>3015</v>
      </c>
      <c r="K6756" t="s">
        <v>4</v>
      </c>
      <c r="L6756">
        <v>4626</v>
      </c>
      <c r="M6756" t="s">
        <v>2251</v>
      </c>
      <c r="N6756" t="s">
        <v>1314</v>
      </c>
      <c r="O6756">
        <v>0</v>
      </c>
      <c r="P6756" t="s">
        <v>1471</v>
      </c>
      <c r="Q6756" t="s">
        <v>605</v>
      </c>
      <c r="R6756" t="s">
        <v>201</v>
      </c>
      <c r="S6756">
        <v>1</v>
      </c>
      <c r="T6756">
        <v>1</v>
      </c>
      <c r="U6756">
        <v>133836</v>
      </c>
      <c r="V6756">
        <v>133836</v>
      </c>
    </row>
    <row r="6757" spans="1:22">
      <c r="A6757" t="s">
        <v>196</v>
      </c>
      <c r="B6757">
        <v>85</v>
      </c>
      <c r="C6757" t="s">
        <v>2177</v>
      </c>
      <c r="D6757">
        <v>740</v>
      </c>
      <c r="E6757" t="s">
        <v>2208</v>
      </c>
      <c r="F6757">
        <v>1005</v>
      </c>
      <c r="G6757" t="s">
        <v>2177</v>
      </c>
      <c r="H6757">
        <v>2015</v>
      </c>
      <c r="I6757" t="s">
        <v>4</v>
      </c>
      <c r="J6757">
        <v>3015</v>
      </c>
      <c r="K6757" t="s">
        <v>4</v>
      </c>
      <c r="L6757">
        <v>4626</v>
      </c>
      <c r="M6757" t="s">
        <v>2251</v>
      </c>
      <c r="N6757" t="s">
        <v>341</v>
      </c>
      <c r="O6757">
        <v>1</v>
      </c>
      <c r="P6757">
        <v>308</v>
      </c>
      <c r="Q6757" t="s">
        <v>355</v>
      </c>
      <c r="R6757" t="s">
        <v>201</v>
      </c>
      <c r="S6757">
        <v>1</v>
      </c>
      <c r="T6757">
        <v>1</v>
      </c>
      <c r="U6757">
        <v>119100</v>
      </c>
      <c r="V6757">
        <v>119100</v>
      </c>
    </row>
    <row r="6758" spans="1:22">
      <c r="A6758" t="s">
        <v>196</v>
      </c>
      <c r="B6758">
        <v>85</v>
      </c>
      <c r="C6758" t="s">
        <v>2177</v>
      </c>
      <c r="D6758">
        <v>740</v>
      </c>
      <c r="E6758" t="s">
        <v>2208</v>
      </c>
      <c r="F6758">
        <v>1005</v>
      </c>
      <c r="G6758" t="s">
        <v>2177</v>
      </c>
      <c r="H6758">
        <v>2015</v>
      </c>
      <c r="I6758" t="s">
        <v>4</v>
      </c>
      <c r="J6758">
        <v>3015</v>
      </c>
      <c r="K6758" t="s">
        <v>4</v>
      </c>
      <c r="L6758">
        <v>4626</v>
      </c>
      <c r="M6758" t="s">
        <v>2251</v>
      </c>
      <c r="N6758" t="s">
        <v>199</v>
      </c>
      <c r="O6758">
        <v>0</v>
      </c>
      <c r="P6758">
        <v>15</v>
      </c>
      <c r="Q6758" t="s">
        <v>264</v>
      </c>
      <c r="R6758" t="s">
        <v>201</v>
      </c>
      <c r="S6758">
        <v>0</v>
      </c>
      <c r="T6758">
        <v>0</v>
      </c>
      <c r="U6758">
        <v>11983</v>
      </c>
      <c r="V6758">
        <v>11983</v>
      </c>
    </row>
    <row r="6759" spans="1:22">
      <c r="A6759" t="s">
        <v>196</v>
      </c>
      <c r="B6759">
        <v>85</v>
      </c>
      <c r="C6759" t="s">
        <v>2177</v>
      </c>
      <c r="D6759">
        <v>740</v>
      </c>
      <c r="E6759" t="s">
        <v>2208</v>
      </c>
      <c r="F6759">
        <v>1005</v>
      </c>
      <c r="G6759" t="s">
        <v>2177</v>
      </c>
      <c r="H6759">
        <v>2015</v>
      </c>
      <c r="I6759" t="s">
        <v>4</v>
      </c>
      <c r="J6759">
        <v>3015</v>
      </c>
      <c r="K6759" t="s">
        <v>4</v>
      </c>
      <c r="L6759">
        <v>4626</v>
      </c>
      <c r="M6759" t="s">
        <v>2251</v>
      </c>
      <c r="N6759" t="s">
        <v>199</v>
      </c>
      <c r="O6759">
        <v>0</v>
      </c>
      <c r="P6759">
        <v>12</v>
      </c>
      <c r="Q6759" t="s">
        <v>724</v>
      </c>
      <c r="R6759" t="s">
        <v>201</v>
      </c>
      <c r="S6759">
        <v>0</v>
      </c>
      <c r="T6759">
        <v>0</v>
      </c>
      <c r="U6759">
        <v>669169</v>
      </c>
      <c r="V6759">
        <v>669169</v>
      </c>
    </row>
    <row r="6760" spans="1:22">
      <c r="A6760" t="s">
        <v>196</v>
      </c>
      <c r="B6760">
        <v>85</v>
      </c>
      <c r="C6760" t="s">
        <v>2177</v>
      </c>
      <c r="D6760">
        <v>740</v>
      </c>
      <c r="E6760" t="s">
        <v>2208</v>
      </c>
      <c r="F6760">
        <v>1005</v>
      </c>
      <c r="G6760" t="s">
        <v>2177</v>
      </c>
      <c r="H6760">
        <v>2015</v>
      </c>
      <c r="I6760" t="s">
        <v>4</v>
      </c>
      <c r="J6760">
        <v>3015</v>
      </c>
      <c r="K6760" t="s">
        <v>4</v>
      </c>
      <c r="L6760">
        <v>4700</v>
      </c>
      <c r="M6760" t="s">
        <v>2253</v>
      </c>
      <c r="N6760" t="s">
        <v>1294</v>
      </c>
      <c r="O6760">
        <v>0</v>
      </c>
      <c r="P6760">
        <v>9681</v>
      </c>
      <c r="Q6760" t="s">
        <v>338</v>
      </c>
      <c r="R6760" t="s">
        <v>201</v>
      </c>
      <c r="S6760">
        <v>1</v>
      </c>
      <c r="T6760">
        <v>1</v>
      </c>
      <c r="U6760">
        <v>184584</v>
      </c>
      <c r="V6760">
        <v>184584</v>
      </c>
    </row>
    <row r="6761" spans="1:22">
      <c r="A6761" t="s">
        <v>196</v>
      </c>
      <c r="B6761">
        <v>85</v>
      </c>
      <c r="C6761" t="s">
        <v>2177</v>
      </c>
      <c r="D6761">
        <v>740</v>
      </c>
      <c r="E6761" t="s">
        <v>2208</v>
      </c>
      <c r="F6761">
        <v>1005</v>
      </c>
      <c r="G6761" t="s">
        <v>2177</v>
      </c>
      <c r="H6761">
        <v>2015</v>
      </c>
      <c r="I6761" t="s">
        <v>4</v>
      </c>
      <c r="J6761">
        <v>3015</v>
      </c>
      <c r="K6761" t="s">
        <v>4</v>
      </c>
      <c r="L6761">
        <v>4700</v>
      </c>
      <c r="M6761" t="s">
        <v>2253</v>
      </c>
      <c r="N6761" t="s">
        <v>253</v>
      </c>
      <c r="O6761">
        <v>10</v>
      </c>
      <c r="P6761">
        <v>7099</v>
      </c>
      <c r="Q6761" t="s">
        <v>2206</v>
      </c>
      <c r="R6761" t="s">
        <v>201</v>
      </c>
      <c r="S6761">
        <v>1</v>
      </c>
      <c r="T6761">
        <v>1</v>
      </c>
      <c r="U6761">
        <v>124584</v>
      </c>
      <c r="V6761">
        <v>124584</v>
      </c>
    </row>
    <row r="6762" spans="1:22">
      <c r="A6762" t="s">
        <v>196</v>
      </c>
      <c r="B6762">
        <v>85</v>
      </c>
      <c r="C6762" t="s">
        <v>2177</v>
      </c>
      <c r="D6762">
        <v>740</v>
      </c>
      <c r="E6762" t="s">
        <v>2208</v>
      </c>
      <c r="F6762">
        <v>1005</v>
      </c>
      <c r="G6762" t="s">
        <v>2177</v>
      </c>
      <c r="H6762">
        <v>2015</v>
      </c>
      <c r="I6762" t="s">
        <v>4</v>
      </c>
      <c r="J6762">
        <v>3015</v>
      </c>
      <c r="K6762" t="s">
        <v>4</v>
      </c>
      <c r="L6762">
        <v>4700</v>
      </c>
      <c r="M6762" t="s">
        <v>2253</v>
      </c>
      <c r="N6762" t="s">
        <v>253</v>
      </c>
      <c r="O6762">
        <v>10</v>
      </c>
      <c r="P6762">
        <v>7099</v>
      </c>
      <c r="Q6762" t="s">
        <v>2206</v>
      </c>
      <c r="R6762" t="s">
        <v>201</v>
      </c>
      <c r="S6762">
        <v>1</v>
      </c>
      <c r="T6762">
        <v>1</v>
      </c>
      <c r="U6762">
        <v>97836</v>
      </c>
      <c r="V6762">
        <v>97836</v>
      </c>
    </row>
    <row r="6763" spans="1:22">
      <c r="A6763" t="s">
        <v>196</v>
      </c>
      <c r="B6763">
        <v>85</v>
      </c>
      <c r="C6763" t="s">
        <v>2177</v>
      </c>
      <c r="D6763">
        <v>740</v>
      </c>
      <c r="E6763" t="s">
        <v>2208</v>
      </c>
      <c r="F6763">
        <v>1005</v>
      </c>
      <c r="G6763" t="s">
        <v>2177</v>
      </c>
      <c r="H6763">
        <v>2015</v>
      </c>
      <c r="I6763" t="s">
        <v>4</v>
      </c>
      <c r="J6763">
        <v>3015</v>
      </c>
      <c r="K6763" t="s">
        <v>4</v>
      </c>
      <c r="L6763">
        <v>4700</v>
      </c>
      <c r="M6763" t="s">
        <v>2253</v>
      </c>
      <c r="N6763" t="s">
        <v>253</v>
      </c>
      <c r="O6763">
        <v>10</v>
      </c>
      <c r="P6763">
        <v>7099</v>
      </c>
      <c r="Q6763" t="s">
        <v>2206</v>
      </c>
      <c r="R6763" t="s">
        <v>201</v>
      </c>
      <c r="S6763">
        <v>1</v>
      </c>
      <c r="T6763">
        <v>1</v>
      </c>
      <c r="U6763">
        <v>85128</v>
      </c>
      <c r="V6763">
        <v>85128</v>
      </c>
    </row>
    <row r="6764" spans="1:22">
      <c r="A6764" t="s">
        <v>196</v>
      </c>
      <c r="B6764">
        <v>85</v>
      </c>
      <c r="C6764" t="s">
        <v>2177</v>
      </c>
      <c r="D6764">
        <v>740</v>
      </c>
      <c r="E6764" t="s">
        <v>2208</v>
      </c>
      <c r="F6764">
        <v>1005</v>
      </c>
      <c r="G6764" t="s">
        <v>2177</v>
      </c>
      <c r="H6764">
        <v>2015</v>
      </c>
      <c r="I6764" t="s">
        <v>4</v>
      </c>
      <c r="J6764">
        <v>3015</v>
      </c>
      <c r="K6764" t="s">
        <v>4</v>
      </c>
      <c r="L6764">
        <v>4700</v>
      </c>
      <c r="M6764" t="s">
        <v>2253</v>
      </c>
      <c r="N6764" t="s">
        <v>253</v>
      </c>
      <c r="O6764">
        <v>10</v>
      </c>
      <c r="P6764">
        <v>7099</v>
      </c>
      <c r="Q6764" t="s">
        <v>2206</v>
      </c>
      <c r="R6764" t="s">
        <v>201</v>
      </c>
      <c r="S6764">
        <v>1</v>
      </c>
      <c r="T6764">
        <v>1</v>
      </c>
      <c r="U6764">
        <v>83052</v>
      </c>
      <c r="V6764">
        <v>83052</v>
      </c>
    </row>
    <row r="6765" spans="1:22">
      <c r="A6765" t="s">
        <v>196</v>
      </c>
      <c r="B6765">
        <v>85</v>
      </c>
      <c r="C6765" t="s">
        <v>2177</v>
      </c>
      <c r="D6765">
        <v>740</v>
      </c>
      <c r="E6765" t="s">
        <v>2208</v>
      </c>
      <c r="F6765">
        <v>1005</v>
      </c>
      <c r="G6765" t="s">
        <v>2177</v>
      </c>
      <c r="H6765">
        <v>2015</v>
      </c>
      <c r="I6765" t="s">
        <v>4</v>
      </c>
      <c r="J6765">
        <v>3015</v>
      </c>
      <c r="K6765" t="s">
        <v>4</v>
      </c>
      <c r="L6765">
        <v>4700</v>
      </c>
      <c r="M6765" t="s">
        <v>2253</v>
      </c>
      <c r="N6765" t="s">
        <v>253</v>
      </c>
      <c r="O6765">
        <v>10</v>
      </c>
      <c r="P6765">
        <v>7027</v>
      </c>
      <c r="Q6765" t="s">
        <v>2254</v>
      </c>
      <c r="R6765" t="s">
        <v>201</v>
      </c>
      <c r="S6765">
        <v>1</v>
      </c>
      <c r="T6765">
        <v>1</v>
      </c>
      <c r="U6765">
        <v>136692</v>
      </c>
      <c r="V6765">
        <v>136692</v>
      </c>
    </row>
    <row r="6766" spans="1:22">
      <c r="A6766" t="s">
        <v>196</v>
      </c>
      <c r="B6766">
        <v>85</v>
      </c>
      <c r="C6766" t="s">
        <v>2177</v>
      </c>
      <c r="D6766">
        <v>740</v>
      </c>
      <c r="E6766" t="s">
        <v>2208</v>
      </c>
      <c r="F6766">
        <v>1005</v>
      </c>
      <c r="G6766" t="s">
        <v>2177</v>
      </c>
      <c r="H6766">
        <v>2015</v>
      </c>
      <c r="I6766" t="s">
        <v>4</v>
      </c>
      <c r="J6766">
        <v>3015</v>
      </c>
      <c r="K6766" t="s">
        <v>4</v>
      </c>
      <c r="L6766">
        <v>4700</v>
      </c>
      <c r="M6766" t="s">
        <v>2253</v>
      </c>
      <c r="N6766" t="s">
        <v>253</v>
      </c>
      <c r="O6766">
        <v>10</v>
      </c>
      <c r="P6766">
        <v>7027</v>
      </c>
      <c r="Q6766" t="s">
        <v>2254</v>
      </c>
      <c r="R6766" t="s">
        <v>201</v>
      </c>
      <c r="S6766">
        <v>1</v>
      </c>
      <c r="T6766">
        <v>1</v>
      </c>
      <c r="U6766">
        <v>93384</v>
      </c>
      <c r="V6766">
        <v>93384</v>
      </c>
    </row>
    <row r="6767" spans="1:22">
      <c r="A6767" t="s">
        <v>196</v>
      </c>
      <c r="B6767">
        <v>85</v>
      </c>
      <c r="C6767" t="s">
        <v>2177</v>
      </c>
      <c r="D6767">
        <v>740</v>
      </c>
      <c r="E6767" t="s">
        <v>2208</v>
      </c>
      <c r="F6767">
        <v>1005</v>
      </c>
      <c r="G6767" t="s">
        <v>2177</v>
      </c>
      <c r="H6767">
        <v>2015</v>
      </c>
      <c r="I6767" t="s">
        <v>4</v>
      </c>
      <c r="J6767">
        <v>3015</v>
      </c>
      <c r="K6767" t="s">
        <v>4</v>
      </c>
      <c r="L6767">
        <v>4700</v>
      </c>
      <c r="M6767" t="s">
        <v>2253</v>
      </c>
      <c r="N6767" t="s">
        <v>294</v>
      </c>
      <c r="O6767">
        <v>10</v>
      </c>
      <c r="P6767">
        <v>7024</v>
      </c>
      <c r="Q6767" t="s">
        <v>2255</v>
      </c>
      <c r="R6767" t="s">
        <v>201</v>
      </c>
      <c r="S6767">
        <v>1</v>
      </c>
      <c r="T6767">
        <v>1</v>
      </c>
      <c r="U6767">
        <v>63504</v>
      </c>
      <c r="V6767">
        <v>63504</v>
      </c>
    </row>
    <row r="6768" spans="1:22">
      <c r="A6768" t="s">
        <v>196</v>
      </c>
      <c r="B6768">
        <v>85</v>
      </c>
      <c r="C6768" t="s">
        <v>2177</v>
      </c>
      <c r="D6768">
        <v>740</v>
      </c>
      <c r="E6768" t="s">
        <v>2208</v>
      </c>
      <c r="F6768">
        <v>1005</v>
      </c>
      <c r="G6768" t="s">
        <v>2177</v>
      </c>
      <c r="H6768">
        <v>2015</v>
      </c>
      <c r="I6768" t="s">
        <v>4</v>
      </c>
      <c r="J6768">
        <v>3015</v>
      </c>
      <c r="K6768" t="s">
        <v>4</v>
      </c>
      <c r="L6768">
        <v>4700</v>
      </c>
      <c r="M6768" t="s">
        <v>2253</v>
      </c>
      <c r="N6768" t="s">
        <v>1719</v>
      </c>
      <c r="O6768">
        <v>10</v>
      </c>
      <c r="P6768">
        <v>7020</v>
      </c>
      <c r="Q6768" t="s">
        <v>2183</v>
      </c>
      <c r="R6768" t="s">
        <v>201</v>
      </c>
      <c r="S6768">
        <v>1</v>
      </c>
      <c r="T6768">
        <v>1</v>
      </c>
      <c r="U6768">
        <v>143232</v>
      </c>
      <c r="V6768">
        <v>143232</v>
      </c>
    </row>
    <row r="6769" spans="1:22">
      <c r="A6769" t="s">
        <v>196</v>
      </c>
      <c r="B6769">
        <v>85</v>
      </c>
      <c r="C6769" t="s">
        <v>2177</v>
      </c>
      <c r="D6769">
        <v>740</v>
      </c>
      <c r="E6769" t="s">
        <v>2208</v>
      </c>
      <c r="F6769">
        <v>1005</v>
      </c>
      <c r="G6769" t="s">
        <v>2177</v>
      </c>
      <c r="H6769">
        <v>2015</v>
      </c>
      <c r="I6769" t="s">
        <v>4</v>
      </c>
      <c r="J6769">
        <v>3015</v>
      </c>
      <c r="K6769" t="s">
        <v>4</v>
      </c>
      <c r="L6769">
        <v>4700</v>
      </c>
      <c r="M6769" t="s">
        <v>2253</v>
      </c>
      <c r="N6769" t="s">
        <v>1719</v>
      </c>
      <c r="O6769">
        <v>10</v>
      </c>
      <c r="P6769">
        <v>7020</v>
      </c>
      <c r="Q6769" t="s">
        <v>2183</v>
      </c>
      <c r="R6769" t="s">
        <v>201</v>
      </c>
      <c r="S6769">
        <v>1</v>
      </c>
      <c r="T6769">
        <v>1</v>
      </c>
      <c r="U6769">
        <v>112440</v>
      </c>
      <c r="V6769">
        <v>112440</v>
      </c>
    </row>
    <row r="6770" spans="1:22">
      <c r="A6770" t="s">
        <v>196</v>
      </c>
      <c r="B6770">
        <v>85</v>
      </c>
      <c r="C6770" t="s">
        <v>2177</v>
      </c>
      <c r="D6770">
        <v>740</v>
      </c>
      <c r="E6770" t="s">
        <v>2208</v>
      </c>
      <c r="F6770">
        <v>1005</v>
      </c>
      <c r="G6770" t="s">
        <v>2177</v>
      </c>
      <c r="H6770">
        <v>2015</v>
      </c>
      <c r="I6770" t="s">
        <v>4</v>
      </c>
      <c r="J6770">
        <v>3015</v>
      </c>
      <c r="K6770" t="s">
        <v>4</v>
      </c>
      <c r="L6770">
        <v>4700</v>
      </c>
      <c r="M6770" t="s">
        <v>2253</v>
      </c>
      <c r="N6770" t="s">
        <v>271</v>
      </c>
      <c r="O6770">
        <v>20</v>
      </c>
      <c r="P6770">
        <v>5410</v>
      </c>
      <c r="Q6770" t="s">
        <v>956</v>
      </c>
      <c r="R6770" t="s">
        <v>201</v>
      </c>
      <c r="S6770">
        <v>1</v>
      </c>
      <c r="T6770">
        <v>1</v>
      </c>
      <c r="U6770">
        <v>131124</v>
      </c>
      <c r="V6770">
        <v>131124</v>
      </c>
    </row>
    <row r="6771" spans="1:22">
      <c r="A6771" t="s">
        <v>196</v>
      </c>
      <c r="B6771">
        <v>85</v>
      </c>
      <c r="C6771" t="s">
        <v>2177</v>
      </c>
      <c r="D6771">
        <v>740</v>
      </c>
      <c r="E6771" t="s">
        <v>2208</v>
      </c>
      <c r="F6771">
        <v>1005</v>
      </c>
      <c r="G6771" t="s">
        <v>2177</v>
      </c>
      <c r="H6771">
        <v>2015</v>
      </c>
      <c r="I6771" t="s">
        <v>4</v>
      </c>
      <c r="J6771">
        <v>3015</v>
      </c>
      <c r="K6771" t="s">
        <v>4</v>
      </c>
      <c r="L6771">
        <v>4700</v>
      </c>
      <c r="M6771" t="s">
        <v>2253</v>
      </c>
      <c r="N6771" t="s">
        <v>809</v>
      </c>
      <c r="O6771">
        <v>1</v>
      </c>
      <c r="P6771">
        <v>460</v>
      </c>
      <c r="Q6771" t="s">
        <v>810</v>
      </c>
      <c r="R6771" t="s">
        <v>201</v>
      </c>
      <c r="S6771">
        <v>2</v>
      </c>
      <c r="T6771">
        <v>1</v>
      </c>
      <c r="U6771">
        <v>48864</v>
      </c>
      <c r="V6771">
        <v>97728</v>
      </c>
    </row>
    <row r="6772" spans="1:22">
      <c r="A6772" t="s">
        <v>196</v>
      </c>
      <c r="B6772">
        <v>85</v>
      </c>
      <c r="C6772" t="s">
        <v>2177</v>
      </c>
      <c r="D6772">
        <v>740</v>
      </c>
      <c r="E6772" t="s">
        <v>2208</v>
      </c>
      <c r="F6772">
        <v>1005</v>
      </c>
      <c r="G6772" t="s">
        <v>2177</v>
      </c>
      <c r="H6772">
        <v>2015</v>
      </c>
      <c r="I6772" t="s">
        <v>4</v>
      </c>
      <c r="J6772">
        <v>3015</v>
      </c>
      <c r="K6772" t="s">
        <v>4</v>
      </c>
      <c r="L6772">
        <v>4700</v>
      </c>
      <c r="M6772" t="s">
        <v>2253</v>
      </c>
      <c r="N6772" t="s">
        <v>351</v>
      </c>
      <c r="O6772">
        <v>1</v>
      </c>
      <c r="P6772" t="s">
        <v>352</v>
      </c>
      <c r="Q6772" t="s">
        <v>353</v>
      </c>
      <c r="R6772" t="s">
        <v>201</v>
      </c>
      <c r="S6772">
        <v>1</v>
      </c>
      <c r="T6772">
        <v>1</v>
      </c>
      <c r="U6772">
        <v>98928</v>
      </c>
      <c r="V6772">
        <v>98928</v>
      </c>
    </row>
    <row r="6773" spans="1:22">
      <c r="A6773" t="s">
        <v>196</v>
      </c>
      <c r="B6773">
        <v>85</v>
      </c>
      <c r="C6773" t="s">
        <v>2177</v>
      </c>
      <c r="D6773">
        <v>740</v>
      </c>
      <c r="E6773" t="s">
        <v>2208</v>
      </c>
      <c r="F6773">
        <v>1005</v>
      </c>
      <c r="G6773" t="s">
        <v>2177</v>
      </c>
      <c r="H6773">
        <v>2015</v>
      </c>
      <c r="I6773" t="s">
        <v>4</v>
      </c>
      <c r="J6773">
        <v>3015</v>
      </c>
      <c r="K6773" t="s">
        <v>4</v>
      </c>
      <c r="L6773">
        <v>4700</v>
      </c>
      <c r="M6773" t="s">
        <v>2253</v>
      </c>
      <c r="N6773" t="s">
        <v>351</v>
      </c>
      <c r="O6773">
        <v>1</v>
      </c>
      <c r="P6773" t="s">
        <v>352</v>
      </c>
      <c r="Q6773" t="s">
        <v>353</v>
      </c>
      <c r="R6773" t="s">
        <v>201</v>
      </c>
      <c r="S6773">
        <v>1</v>
      </c>
      <c r="T6773">
        <v>1</v>
      </c>
      <c r="U6773">
        <v>94452</v>
      </c>
      <c r="V6773">
        <v>94452</v>
      </c>
    </row>
    <row r="6774" spans="1:22">
      <c r="A6774" t="s">
        <v>196</v>
      </c>
      <c r="B6774">
        <v>85</v>
      </c>
      <c r="C6774" t="s">
        <v>2177</v>
      </c>
      <c r="D6774">
        <v>740</v>
      </c>
      <c r="E6774" t="s">
        <v>2208</v>
      </c>
      <c r="F6774">
        <v>1005</v>
      </c>
      <c r="G6774" t="s">
        <v>2177</v>
      </c>
      <c r="H6774">
        <v>2015</v>
      </c>
      <c r="I6774" t="s">
        <v>4</v>
      </c>
      <c r="J6774">
        <v>3015</v>
      </c>
      <c r="K6774" t="s">
        <v>4</v>
      </c>
      <c r="L6774">
        <v>4700</v>
      </c>
      <c r="M6774" t="s">
        <v>2253</v>
      </c>
      <c r="N6774" t="s">
        <v>351</v>
      </c>
      <c r="O6774">
        <v>1</v>
      </c>
      <c r="P6774" t="s">
        <v>352</v>
      </c>
      <c r="Q6774" t="s">
        <v>353</v>
      </c>
      <c r="R6774" t="s">
        <v>201</v>
      </c>
      <c r="S6774">
        <v>1</v>
      </c>
      <c r="T6774">
        <v>1</v>
      </c>
      <c r="U6774">
        <v>77640</v>
      </c>
      <c r="V6774">
        <v>77640</v>
      </c>
    </row>
    <row r="6775" spans="1:22">
      <c r="A6775" t="s">
        <v>196</v>
      </c>
      <c r="B6775">
        <v>85</v>
      </c>
      <c r="C6775" t="s">
        <v>2177</v>
      </c>
      <c r="D6775">
        <v>740</v>
      </c>
      <c r="E6775" t="s">
        <v>2208</v>
      </c>
      <c r="F6775">
        <v>1005</v>
      </c>
      <c r="G6775" t="s">
        <v>2177</v>
      </c>
      <c r="H6775">
        <v>2015</v>
      </c>
      <c r="I6775" t="s">
        <v>4</v>
      </c>
      <c r="J6775">
        <v>3015</v>
      </c>
      <c r="K6775" t="s">
        <v>4</v>
      </c>
      <c r="L6775">
        <v>4700</v>
      </c>
      <c r="M6775" t="s">
        <v>2253</v>
      </c>
      <c r="N6775" t="s">
        <v>1314</v>
      </c>
      <c r="O6775">
        <v>0</v>
      </c>
      <c r="P6775" t="s">
        <v>1471</v>
      </c>
      <c r="Q6775" t="s">
        <v>605</v>
      </c>
      <c r="R6775" t="s">
        <v>201</v>
      </c>
      <c r="S6775">
        <v>2</v>
      </c>
      <c r="T6775">
        <v>1</v>
      </c>
      <c r="U6775">
        <v>160680</v>
      </c>
      <c r="V6775">
        <v>321360</v>
      </c>
    </row>
    <row r="6776" spans="1:22">
      <c r="A6776" t="s">
        <v>196</v>
      </c>
      <c r="B6776">
        <v>85</v>
      </c>
      <c r="C6776" t="s">
        <v>2177</v>
      </c>
      <c r="D6776">
        <v>740</v>
      </c>
      <c r="E6776" t="s">
        <v>2208</v>
      </c>
      <c r="F6776">
        <v>1005</v>
      </c>
      <c r="G6776" t="s">
        <v>2177</v>
      </c>
      <c r="H6776">
        <v>2015</v>
      </c>
      <c r="I6776" t="s">
        <v>4</v>
      </c>
      <c r="J6776">
        <v>3015</v>
      </c>
      <c r="K6776" t="s">
        <v>4</v>
      </c>
      <c r="L6776">
        <v>4700</v>
      </c>
      <c r="M6776" t="s">
        <v>2253</v>
      </c>
      <c r="N6776" t="s">
        <v>392</v>
      </c>
      <c r="O6776">
        <v>4</v>
      </c>
      <c r="P6776">
        <v>345</v>
      </c>
      <c r="Q6776" t="s">
        <v>393</v>
      </c>
      <c r="R6776" t="s">
        <v>201</v>
      </c>
      <c r="S6776">
        <v>1</v>
      </c>
      <c r="T6776">
        <v>1</v>
      </c>
      <c r="U6776">
        <v>90732</v>
      </c>
      <c r="V6776">
        <v>90732</v>
      </c>
    </row>
    <row r="6777" spans="1:22">
      <c r="A6777" t="s">
        <v>196</v>
      </c>
      <c r="B6777">
        <v>85</v>
      </c>
      <c r="C6777" t="s">
        <v>2177</v>
      </c>
      <c r="D6777">
        <v>740</v>
      </c>
      <c r="E6777" t="s">
        <v>2208</v>
      </c>
      <c r="F6777">
        <v>1005</v>
      </c>
      <c r="G6777" t="s">
        <v>2177</v>
      </c>
      <c r="H6777">
        <v>2015</v>
      </c>
      <c r="I6777" t="s">
        <v>4</v>
      </c>
      <c r="J6777">
        <v>3015</v>
      </c>
      <c r="K6777" t="s">
        <v>4</v>
      </c>
      <c r="L6777">
        <v>4700</v>
      </c>
      <c r="M6777" t="s">
        <v>2253</v>
      </c>
      <c r="N6777" t="s">
        <v>249</v>
      </c>
      <c r="O6777">
        <v>10</v>
      </c>
      <c r="P6777">
        <v>310</v>
      </c>
      <c r="Q6777" t="s">
        <v>447</v>
      </c>
      <c r="R6777" t="s">
        <v>201</v>
      </c>
      <c r="S6777">
        <v>1</v>
      </c>
      <c r="T6777">
        <v>1</v>
      </c>
      <c r="U6777">
        <v>118956</v>
      </c>
      <c r="V6777">
        <v>118956</v>
      </c>
    </row>
    <row r="6778" spans="1:22">
      <c r="A6778" t="s">
        <v>196</v>
      </c>
      <c r="B6778">
        <v>85</v>
      </c>
      <c r="C6778" t="s">
        <v>2177</v>
      </c>
      <c r="D6778">
        <v>740</v>
      </c>
      <c r="E6778" t="s">
        <v>2208</v>
      </c>
      <c r="F6778">
        <v>1005</v>
      </c>
      <c r="G6778" t="s">
        <v>2177</v>
      </c>
      <c r="H6778">
        <v>2015</v>
      </c>
      <c r="I6778" t="s">
        <v>4</v>
      </c>
      <c r="J6778">
        <v>3015</v>
      </c>
      <c r="K6778" t="s">
        <v>4</v>
      </c>
      <c r="L6778">
        <v>4700</v>
      </c>
      <c r="M6778" t="s">
        <v>2253</v>
      </c>
      <c r="N6778" t="s">
        <v>249</v>
      </c>
      <c r="O6778">
        <v>10</v>
      </c>
      <c r="P6778">
        <v>310</v>
      </c>
      <c r="Q6778" t="s">
        <v>447</v>
      </c>
      <c r="R6778" t="s">
        <v>201</v>
      </c>
      <c r="S6778">
        <v>1</v>
      </c>
      <c r="T6778">
        <v>1</v>
      </c>
      <c r="U6778">
        <v>89112</v>
      </c>
      <c r="V6778">
        <v>89112</v>
      </c>
    </row>
    <row r="6779" spans="1:22">
      <c r="A6779" t="s">
        <v>196</v>
      </c>
      <c r="B6779">
        <v>85</v>
      </c>
      <c r="C6779" t="s">
        <v>2177</v>
      </c>
      <c r="D6779">
        <v>740</v>
      </c>
      <c r="E6779" t="s">
        <v>2208</v>
      </c>
      <c r="F6779">
        <v>1005</v>
      </c>
      <c r="G6779" t="s">
        <v>2177</v>
      </c>
      <c r="H6779">
        <v>2015</v>
      </c>
      <c r="I6779" t="s">
        <v>4</v>
      </c>
      <c r="J6779">
        <v>3015</v>
      </c>
      <c r="K6779" t="s">
        <v>4</v>
      </c>
      <c r="L6779">
        <v>4700</v>
      </c>
      <c r="M6779" t="s">
        <v>2253</v>
      </c>
      <c r="N6779" t="s">
        <v>341</v>
      </c>
      <c r="O6779">
        <v>1</v>
      </c>
      <c r="P6779">
        <v>308</v>
      </c>
      <c r="Q6779" t="s">
        <v>355</v>
      </c>
      <c r="R6779" t="s">
        <v>201</v>
      </c>
      <c r="S6779">
        <v>1</v>
      </c>
      <c r="T6779">
        <v>1</v>
      </c>
      <c r="U6779">
        <v>103608</v>
      </c>
      <c r="V6779">
        <v>103608</v>
      </c>
    </row>
    <row r="6780" spans="1:22">
      <c r="A6780" t="s">
        <v>196</v>
      </c>
      <c r="B6780">
        <v>85</v>
      </c>
      <c r="C6780" t="s">
        <v>2177</v>
      </c>
      <c r="D6780">
        <v>740</v>
      </c>
      <c r="E6780" t="s">
        <v>2208</v>
      </c>
      <c r="F6780">
        <v>1005</v>
      </c>
      <c r="G6780" t="s">
        <v>2177</v>
      </c>
      <c r="H6780">
        <v>2015</v>
      </c>
      <c r="I6780" t="s">
        <v>4</v>
      </c>
      <c r="J6780">
        <v>3015</v>
      </c>
      <c r="K6780" t="s">
        <v>4</v>
      </c>
      <c r="L6780">
        <v>4700</v>
      </c>
      <c r="M6780" t="s">
        <v>2253</v>
      </c>
      <c r="N6780" t="s">
        <v>199</v>
      </c>
      <c r="O6780">
        <v>0</v>
      </c>
      <c r="P6780">
        <v>15</v>
      </c>
      <c r="Q6780" t="s">
        <v>264</v>
      </c>
      <c r="R6780" t="s">
        <v>201</v>
      </c>
      <c r="S6780">
        <v>0</v>
      </c>
      <c r="T6780">
        <v>0</v>
      </c>
      <c r="U6780">
        <v>34148</v>
      </c>
      <c r="V6780">
        <v>34148</v>
      </c>
    </row>
    <row r="6781" spans="1:22">
      <c r="A6781" t="s">
        <v>196</v>
      </c>
      <c r="B6781">
        <v>85</v>
      </c>
      <c r="C6781" t="s">
        <v>2177</v>
      </c>
      <c r="D6781">
        <v>740</v>
      </c>
      <c r="E6781" t="s">
        <v>2208</v>
      </c>
      <c r="F6781">
        <v>1005</v>
      </c>
      <c r="G6781" t="s">
        <v>2177</v>
      </c>
      <c r="H6781">
        <v>2015</v>
      </c>
      <c r="I6781" t="s">
        <v>4</v>
      </c>
      <c r="J6781">
        <v>3015</v>
      </c>
      <c r="K6781" t="s">
        <v>4</v>
      </c>
      <c r="L6781">
        <v>4707</v>
      </c>
      <c r="M6781" t="s">
        <v>2256</v>
      </c>
      <c r="N6781" t="s">
        <v>721</v>
      </c>
      <c r="O6781">
        <v>23</v>
      </c>
      <c r="P6781">
        <v>7775</v>
      </c>
      <c r="Q6781" t="s">
        <v>1892</v>
      </c>
      <c r="R6781" t="s">
        <v>713</v>
      </c>
      <c r="S6781">
        <v>6</v>
      </c>
      <c r="T6781">
        <v>1</v>
      </c>
      <c r="U6781">
        <v>43.04</v>
      </c>
      <c r="V6781">
        <v>537139</v>
      </c>
    </row>
    <row r="6782" spans="1:22">
      <c r="A6782" t="s">
        <v>196</v>
      </c>
      <c r="B6782">
        <v>85</v>
      </c>
      <c r="C6782" t="s">
        <v>2177</v>
      </c>
      <c r="D6782">
        <v>740</v>
      </c>
      <c r="E6782" t="s">
        <v>2208</v>
      </c>
      <c r="F6782">
        <v>1005</v>
      </c>
      <c r="G6782" t="s">
        <v>2177</v>
      </c>
      <c r="H6782">
        <v>2015</v>
      </c>
      <c r="I6782" t="s">
        <v>4</v>
      </c>
      <c r="J6782">
        <v>3015</v>
      </c>
      <c r="K6782" t="s">
        <v>4</v>
      </c>
      <c r="L6782">
        <v>4707</v>
      </c>
      <c r="M6782" t="s">
        <v>2256</v>
      </c>
      <c r="N6782" t="s">
        <v>721</v>
      </c>
      <c r="O6782">
        <v>12</v>
      </c>
      <c r="P6782">
        <v>7747</v>
      </c>
      <c r="Q6782" t="s">
        <v>944</v>
      </c>
      <c r="R6782" t="s">
        <v>712</v>
      </c>
      <c r="S6782">
        <v>1</v>
      </c>
      <c r="T6782">
        <v>1</v>
      </c>
      <c r="U6782">
        <v>12906.4</v>
      </c>
      <c r="V6782">
        <v>154877</v>
      </c>
    </row>
    <row r="6783" spans="1:22">
      <c r="A6783" t="s">
        <v>196</v>
      </c>
      <c r="B6783">
        <v>85</v>
      </c>
      <c r="C6783" t="s">
        <v>2177</v>
      </c>
      <c r="D6783">
        <v>740</v>
      </c>
      <c r="E6783" t="s">
        <v>2208</v>
      </c>
      <c r="F6783">
        <v>1005</v>
      </c>
      <c r="G6783" t="s">
        <v>2177</v>
      </c>
      <c r="H6783">
        <v>2015</v>
      </c>
      <c r="I6783" t="s">
        <v>4</v>
      </c>
      <c r="J6783">
        <v>3015</v>
      </c>
      <c r="K6783" t="s">
        <v>4</v>
      </c>
      <c r="L6783">
        <v>4707</v>
      </c>
      <c r="M6783" t="s">
        <v>2256</v>
      </c>
      <c r="N6783" t="s">
        <v>721</v>
      </c>
      <c r="O6783">
        <v>12</v>
      </c>
      <c r="P6783">
        <v>7745</v>
      </c>
      <c r="Q6783" t="s">
        <v>945</v>
      </c>
      <c r="R6783" t="s">
        <v>713</v>
      </c>
      <c r="S6783">
        <v>15</v>
      </c>
      <c r="T6783">
        <v>1</v>
      </c>
      <c r="U6783">
        <v>68.260000000000005</v>
      </c>
      <c r="V6783">
        <v>2129712</v>
      </c>
    </row>
    <row r="6784" spans="1:22">
      <c r="A6784" t="s">
        <v>196</v>
      </c>
      <c r="B6784">
        <v>85</v>
      </c>
      <c r="C6784" t="s">
        <v>2177</v>
      </c>
      <c r="D6784">
        <v>740</v>
      </c>
      <c r="E6784" t="s">
        <v>2208</v>
      </c>
      <c r="F6784">
        <v>1005</v>
      </c>
      <c r="G6784" t="s">
        <v>2177</v>
      </c>
      <c r="H6784">
        <v>2015</v>
      </c>
      <c r="I6784" t="s">
        <v>4</v>
      </c>
      <c r="J6784">
        <v>3015</v>
      </c>
      <c r="K6784" t="s">
        <v>4</v>
      </c>
      <c r="L6784">
        <v>4707</v>
      </c>
      <c r="M6784" t="s">
        <v>2256</v>
      </c>
      <c r="N6784" t="s">
        <v>721</v>
      </c>
      <c r="O6784">
        <v>12</v>
      </c>
      <c r="P6784">
        <v>7743</v>
      </c>
      <c r="Q6784" t="s">
        <v>946</v>
      </c>
      <c r="R6784" t="s">
        <v>713</v>
      </c>
      <c r="S6784">
        <v>44</v>
      </c>
      <c r="T6784">
        <v>1</v>
      </c>
      <c r="U6784">
        <v>62.05</v>
      </c>
      <c r="V6784">
        <v>5678816</v>
      </c>
    </row>
    <row r="6785" spans="1:22">
      <c r="A6785" t="s">
        <v>196</v>
      </c>
      <c r="B6785">
        <v>85</v>
      </c>
      <c r="C6785" t="s">
        <v>2177</v>
      </c>
      <c r="D6785">
        <v>740</v>
      </c>
      <c r="E6785" t="s">
        <v>2208</v>
      </c>
      <c r="F6785">
        <v>1005</v>
      </c>
      <c r="G6785" t="s">
        <v>2177</v>
      </c>
      <c r="H6785">
        <v>2015</v>
      </c>
      <c r="I6785" t="s">
        <v>4</v>
      </c>
      <c r="J6785">
        <v>3015</v>
      </c>
      <c r="K6785" t="s">
        <v>4</v>
      </c>
      <c r="L6785">
        <v>4707</v>
      </c>
      <c r="M6785" t="s">
        <v>2256</v>
      </c>
      <c r="N6785" t="s">
        <v>721</v>
      </c>
      <c r="O6785">
        <v>12</v>
      </c>
      <c r="P6785">
        <v>7741</v>
      </c>
      <c r="Q6785" t="s">
        <v>1897</v>
      </c>
      <c r="R6785" t="s">
        <v>713</v>
      </c>
      <c r="S6785">
        <v>54</v>
      </c>
      <c r="T6785">
        <v>1</v>
      </c>
      <c r="U6785">
        <v>58.95</v>
      </c>
      <c r="V6785">
        <v>6621264</v>
      </c>
    </row>
    <row r="6786" spans="1:22">
      <c r="A6786" t="s">
        <v>196</v>
      </c>
      <c r="B6786">
        <v>85</v>
      </c>
      <c r="C6786" t="s">
        <v>2177</v>
      </c>
      <c r="D6786">
        <v>740</v>
      </c>
      <c r="E6786" t="s">
        <v>2208</v>
      </c>
      <c r="F6786">
        <v>1005</v>
      </c>
      <c r="G6786" t="s">
        <v>2177</v>
      </c>
      <c r="H6786">
        <v>2015</v>
      </c>
      <c r="I6786" t="s">
        <v>4</v>
      </c>
      <c r="J6786">
        <v>3015</v>
      </c>
      <c r="K6786" t="s">
        <v>4</v>
      </c>
      <c r="L6786">
        <v>4707</v>
      </c>
      <c r="M6786" t="s">
        <v>2256</v>
      </c>
      <c r="N6786" t="s">
        <v>721</v>
      </c>
      <c r="O6786">
        <v>32</v>
      </c>
      <c r="P6786">
        <v>5040</v>
      </c>
      <c r="Q6786" t="s">
        <v>966</v>
      </c>
      <c r="R6786" t="s">
        <v>713</v>
      </c>
      <c r="S6786">
        <v>2</v>
      </c>
      <c r="T6786">
        <v>1</v>
      </c>
      <c r="U6786">
        <v>63.53</v>
      </c>
      <c r="V6786">
        <v>264285</v>
      </c>
    </row>
    <row r="6787" spans="1:22">
      <c r="A6787" t="s">
        <v>196</v>
      </c>
      <c r="B6787">
        <v>85</v>
      </c>
      <c r="C6787" t="s">
        <v>2177</v>
      </c>
      <c r="D6787">
        <v>740</v>
      </c>
      <c r="E6787" t="s">
        <v>2208</v>
      </c>
      <c r="F6787">
        <v>1005</v>
      </c>
      <c r="G6787" t="s">
        <v>2177</v>
      </c>
      <c r="H6787">
        <v>2015</v>
      </c>
      <c r="I6787" t="s">
        <v>4</v>
      </c>
      <c r="J6787">
        <v>3015</v>
      </c>
      <c r="K6787" t="s">
        <v>4</v>
      </c>
      <c r="L6787">
        <v>4707</v>
      </c>
      <c r="M6787" t="s">
        <v>2256</v>
      </c>
      <c r="N6787" t="s">
        <v>721</v>
      </c>
      <c r="O6787">
        <v>32</v>
      </c>
      <c r="P6787">
        <v>5035</v>
      </c>
      <c r="Q6787" t="s">
        <v>967</v>
      </c>
      <c r="R6787" t="s">
        <v>713</v>
      </c>
      <c r="S6787">
        <v>10</v>
      </c>
      <c r="T6787">
        <v>1</v>
      </c>
      <c r="U6787">
        <v>57.75</v>
      </c>
      <c r="V6787">
        <v>1201200</v>
      </c>
    </row>
    <row r="6788" spans="1:22">
      <c r="A6788" t="s">
        <v>196</v>
      </c>
      <c r="B6788">
        <v>85</v>
      </c>
      <c r="C6788" t="s">
        <v>2177</v>
      </c>
      <c r="D6788">
        <v>740</v>
      </c>
      <c r="E6788" t="s">
        <v>2208</v>
      </c>
      <c r="F6788">
        <v>1005</v>
      </c>
      <c r="G6788" t="s">
        <v>2177</v>
      </c>
      <c r="H6788">
        <v>2015</v>
      </c>
      <c r="I6788" t="s">
        <v>4</v>
      </c>
      <c r="J6788">
        <v>3015</v>
      </c>
      <c r="K6788" t="s">
        <v>4</v>
      </c>
      <c r="L6788">
        <v>4707</v>
      </c>
      <c r="M6788" t="s">
        <v>2256</v>
      </c>
      <c r="N6788" t="s">
        <v>721</v>
      </c>
      <c r="O6788">
        <v>39</v>
      </c>
      <c r="P6788">
        <v>4636</v>
      </c>
      <c r="Q6788" t="s">
        <v>976</v>
      </c>
      <c r="R6788" t="s">
        <v>713</v>
      </c>
      <c r="S6788">
        <v>1</v>
      </c>
      <c r="T6788">
        <v>1</v>
      </c>
      <c r="U6788">
        <v>61.09</v>
      </c>
      <c r="V6788">
        <v>127067</v>
      </c>
    </row>
    <row r="6789" spans="1:22">
      <c r="A6789" t="s">
        <v>196</v>
      </c>
      <c r="B6789">
        <v>85</v>
      </c>
      <c r="C6789" t="s">
        <v>2177</v>
      </c>
      <c r="D6789">
        <v>740</v>
      </c>
      <c r="E6789" t="s">
        <v>2208</v>
      </c>
      <c r="F6789">
        <v>1005</v>
      </c>
      <c r="G6789" t="s">
        <v>2177</v>
      </c>
      <c r="H6789">
        <v>2015</v>
      </c>
      <c r="I6789" t="s">
        <v>4</v>
      </c>
      <c r="J6789">
        <v>3015</v>
      </c>
      <c r="K6789" t="s">
        <v>4</v>
      </c>
      <c r="L6789">
        <v>4707</v>
      </c>
      <c r="M6789" t="s">
        <v>2256</v>
      </c>
      <c r="N6789" t="s">
        <v>199</v>
      </c>
      <c r="O6789">
        <v>0</v>
      </c>
      <c r="P6789">
        <v>12</v>
      </c>
      <c r="Q6789" t="s">
        <v>724</v>
      </c>
      <c r="R6789" t="s">
        <v>201</v>
      </c>
      <c r="S6789">
        <v>0</v>
      </c>
      <c r="T6789">
        <v>0</v>
      </c>
      <c r="U6789">
        <v>250715</v>
      </c>
      <c r="V6789">
        <v>250715</v>
      </c>
    </row>
    <row r="6790" spans="1:22">
      <c r="A6790" t="s">
        <v>196</v>
      </c>
      <c r="B6790">
        <v>85</v>
      </c>
      <c r="C6790" t="s">
        <v>2177</v>
      </c>
      <c r="D6790">
        <v>740</v>
      </c>
      <c r="E6790" t="s">
        <v>2208</v>
      </c>
      <c r="F6790">
        <v>1005</v>
      </c>
      <c r="G6790" t="s">
        <v>2177</v>
      </c>
      <c r="H6790">
        <v>2015</v>
      </c>
      <c r="I6790" t="s">
        <v>4</v>
      </c>
      <c r="J6790">
        <v>3015</v>
      </c>
      <c r="K6790" t="s">
        <v>4</v>
      </c>
      <c r="L6790">
        <v>4717</v>
      </c>
      <c r="M6790" t="s">
        <v>2205</v>
      </c>
      <c r="N6790" t="s">
        <v>721</v>
      </c>
      <c r="O6790">
        <v>54</v>
      </c>
      <c r="P6790">
        <v>9528</v>
      </c>
      <c r="Q6790" t="s">
        <v>2132</v>
      </c>
      <c r="R6790" t="s">
        <v>713</v>
      </c>
      <c r="S6790">
        <v>1</v>
      </c>
      <c r="T6790">
        <v>1</v>
      </c>
      <c r="U6790">
        <v>51.4</v>
      </c>
      <c r="V6790">
        <v>106912</v>
      </c>
    </row>
    <row r="6791" spans="1:22">
      <c r="A6791" t="s">
        <v>196</v>
      </c>
      <c r="B6791">
        <v>85</v>
      </c>
      <c r="C6791" t="s">
        <v>2177</v>
      </c>
      <c r="D6791">
        <v>740</v>
      </c>
      <c r="E6791" t="s">
        <v>2208</v>
      </c>
      <c r="F6791">
        <v>1005</v>
      </c>
      <c r="G6791" t="s">
        <v>2177</v>
      </c>
      <c r="H6791">
        <v>2015</v>
      </c>
      <c r="I6791" t="s">
        <v>4</v>
      </c>
      <c r="J6791">
        <v>3015</v>
      </c>
      <c r="K6791" t="s">
        <v>4</v>
      </c>
      <c r="L6791">
        <v>4717</v>
      </c>
      <c r="M6791" t="s">
        <v>2205</v>
      </c>
      <c r="N6791" t="s">
        <v>721</v>
      </c>
      <c r="O6791">
        <v>53</v>
      </c>
      <c r="P6791">
        <v>9410</v>
      </c>
      <c r="Q6791" t="s">
        <v>1941</v>
      </c>
      <c r="R6791" t="s">
        <v>713</v>
      </c>
      <c r="S6791">
        <v>4160</v>
      </c>
      <c r="T6791">
        <v>0</v>
      </c>
      <c r="U6791">
        <v>30.84</v>
      </c>
      <c r="V6791">
        <v>128294</v>
      </c>
    </row>
    <row r="6792" spans="1:22">
      <c r="A6792" t="s">
        <v>196</v>
      </c>
      <c r="B6792">
        <v>85</v>
      </c>
      <c r="C6792" t="s">
        <v>2177</v>
      </c>
      <c r="D6792">
        <v>740</v>
      </c>
      <c r="E6792" t="s">
        <v>2208</v>
      </c>
      <c r="F6792">
        <v>1005</v>
      </c>
      <c r="G6792" t="s">
        <v>2177</v>
      </c>
      <c r="H6792">
        <v>2015</v>
      </c>
      <c r="I6792" t="s">
        <v>4</v>
      </c>
      <c r="J6792">
        <v>3015</v>
      </c>
      <c r="K6792" t="s">
        <v>4</v>
      </c>
      <c r="L6792">
        <v>4717</v>
      </c>
      <c r="M6792" t="s">
        <v>2205</v>
      </c>
      <c r="N6792" t="s">
        <v>721</v>
      </c>
      <c r="O6792">
        <v>53</v>
      </c>
      <c r="P6792">
        <v>9411</v>
      </c>
      <c r="Q6792" t="s">
        <v>1940</v>
      </c>
      <c r="R6792" t="s">
        <v>713</v>
      </c>
      <c r="S6792">
        <v>22</v>
      </c>
      <c r="T6792">
        <v>1</v>
      </c>
      <c r="U6792">
        <v>51.4</v>
      </c>
      <c r="V6792">
        <v>2352064</v>
      </c>
    </row>
    <row r="6793" spans="1:22">
      <c r="A6793" t="s">
        <v>196</v>
      </c>
      <c r="B6793">
        <v>85</v>
      </c>
      <c r="C6793" t="s">
        <v>2177</v>
      </c>
      <c r="D6793">
        <v>740</v>
      </c>
      <c r="E6793" t="s">
        <v>2208</v>
      </c>
      <c r="F6793">
        <v>1005</v>
      </c>
      <c r="G6793" t="s">
        <v>2177</v>
      </c>
      <c r="H6793">
        <v>2015</v>
      </c>
      <c r="I6793" t="s">
        <v>4</v>
      </c>
      <c r="J6793">
        <v>3015</v>
      </c>
      <c r="K6793" t="s">
        <v>4</v>
      </c>
      <c r="L6793">
        <v>4717</v>
      </c>
      <c r="M6793" t="s">
        <v>2205</v>
      </c>
      <c r="N6793" t="s">
        <v>721</v>
      </c>
      <c r="O6793">
        <v>25</v>
      </c>
      <c r="P6793">
        <v>8267</v>
      </c>
      <c r="Q6793" t="s">
        <v>2040</v>
      </c>
      <c r="R6793" t="s">
        <v>713</v>
      </c>
      <c r="S6793">
        <v>1</v>
      </c>
      <c r="T6793">
        <v>1</v>
      </c>
      <c r="U6793">
        <v>52.53</v>
      </c>
      <c r="V6793">
        <v>109262</v>
      </c>
    </row>
    <row r="6794" spans="1:22">
      <c r="A6794" t="s">
        <v>196</v>
      </c>
      <c r="B6794">
        <v>85</v>
      </c>
      <c r="C6794" t="s">
        <v>2177</v>
      </c>
      <c r="D6794">
        <v>740</v>
      </c>
      <c r="E6794" t="s">
        <v>2208</v>
      </c>
      <c r="F6794">
        <v>1005</v>
      </c>
      <c r="G6794" t="s">
        <v>2177</v>
      </c>
      <c r="H6794">
        <v>2015</v>
      </c>
      <c r="I6794" t="s">
        <v>4</v>
      </c>
      <c r="J6794">
        <v>3015</v>
      </c>
      <c r="K6794" t="s">
        <v>4</v>
      </c>
      <c r="L6794">
        <v>4717</v>
      </c>
      <c r="M6794" t="s">
        <v>2205</v>
      </c>
      <c r="N6794" t="s">
        <v>721</v>
      </c>
      <c r="O6794">
        <v>53</v>
      </c>
      <c r="P6794">
        <v>8246</v>
      </c>
      <c r="Q6794" t="s">
        <v>1933</v>
      </c>
      <c r="R6794" t="s">
        <v>713</v>
      </c>
      <c r="S6794">
        <v>1</v>
      </c>
      <c r="T6794">
        <v>1</v>
      </c>
      <c r="U6794">
        <v>52.5</v>
      </c>
      <c r="V6794">
        <v>109200</v>
      </c>
    </row>
    <row r="6795" spans="1:22">
      <c r="A6795" t="s">
        <v>196</v>
      </c>
      <c r="B6795">
        <v>85</v>
      </c>
      <c r="C6795" t="s">
        <v>2177</v>
      </c>
      <c r="D6795">
        <v>740</v>
      </c>
      <c r="E6795" t="s">
        <v>2208</v>
      </c>
      <c r="F6795">
        <v>1005</v>
      </c>
      <c r="G6795" t="s">
        <v>2177</v>
      </c>
      <c r="H6795">
        <v>2015</v>
      </c>
      <c r="I6795" t="s">
        <v>4</v>
      </c>
      <c r="J6795">
        <v>3015</v>
      </c>
      <c r="K6795" t="s">
        <v>4</v>
      </c>
      <c r="L6795">
        <v>4717</v>
      </c>
      <c r="M6795" t="s">
        <v>2205</v>
      </c>
      <c r="N6795" t="s">
        <v>721</v>
      </c>
      <c r="O6795">
        <v>36</v>
      </c>
      <c r="P6795">
        <v>6676</v>
      </c>
      <c r="Q6795" t="s">
        <v>962</v>
      </c>
      <c r="R6795" t="s">
        <v>713</v>
      </c>
      <c r="S6795">
        <v>1</v>
      </c>
      <c r="T6795">
        <v>1</v>
      </c>
      <c r="U6795">
        <v>64.39</v>
      </c>
      <c r="V6795">
        <v>133931</v>
      </c>
    </row>
    <row r="6796" spans="1:22">
      <c r="A6796" t="s">
        <v>196</v>
      </c>
      <c r="B6796">
        <v>85</v>
      </c>
      <c r="C6796" t="s">
        <v>2177</v>
      </c>
      <c r="D6796">
        <v>740</v>
      </c>
      <c r="E6796" t="s">
        <v>2208</v>
      </c>
      <c r="F6796">
        <v>1005</v>
      </c>
      <c r="G6796" t="s">
        <v>2177</v>
      </c>
      <c r="H6796">
        <v>2015</v>
      </c>
      <c r="I6796" t="s">
        <v>4</v>
      </c>
      <c r="J6796">
        <v>3015</v>
      </c>
      <c r="K6796" t="s">
        <v>4</v>
      </c>
      <c r="L6796">
        <v>4717</v>
      </c>
      <c r="M6796" t="s">
        <v>2205</v>
      </c>
      <c r="N6796" t="s">
        <v>721</v>
      </c>
      <c r="O6796">
        <v>36</v>
      </c>
      <c r="P6796">
        <v>6674</v>
      </c>
      <c r="Q6796" t="s">
        <v>963</v>
      </c>
      <c r="R6796" t="s">
        <v>713</v>
      </c>
      <c r="S6796">
        <v>9</v>
      </c>
      <c r="T6796">
        <v>1</v>
      </c>
      <c r="U6796">
        <v>60.39</v>
      </c>
      <c r="V6796">
        <v>1130501</v>
      </c>
    </row>
    <row r="6797" spans="1:22">
      <c r="A6797" t="s">
        <v>196</v>
      </c>
      <c r="B6797">
        <v>85</v>
      </c>
      <c r="C6797" t="s">
        <v>2177</v>
      </c>
      <c r="D6797">
        <v>740</v>
      </c>
      <c r="E6797" t="s">
        <v>2208</v>
      </c>
      <c r="F6797">
        <v>1005</v>
      </c>
      <c r="G6797" t="s">
        <v>2177</v>
      </c>
      <c r="H6797">
        <v>2015</v>
      </c>
      <c r="I6797" t="s">
        <v>4</v>
      </c>
      <c r="J6797">
        <v>3015</v>
      </c>
      <c r="K6797" t="s">
        <v>4</v>
      </c>
      <c r="L6797">
        <v>4717</v>
      </c>
      <c r="M6797" t="s">
        <v>2205</v>
      </c>
      <c r="N6797" t="s">
        <v>721</v>
      </c>
      <c r="O6797">
        <v>32</v>
      </c>
      <c r="P6797">
        <v>5042</v>
      </c>
      <c r="Q6797" t="s">
        <v>965</v>
      </c>
      <c r="R6797" t="s">
        <v>712</v>
      </c>
      <c r="S6797">
        <v>1</v>
      </c>
      <c r="T6797">
        <v>1</v>
      </c>
      <c r="U6797">
        <v>11511.5</v>
      </c>
      <c r="V6797">
        <v>138138</v>
      </c>
    </row>
    <row r="6798" spans="1:22">
      <c r="A6798" t="s">
        <v>196</v>
      </c>
      <c r="B6798">
        <v>85</v>
      </c>
      <c r="C6798" t="s">
        <v>2177</v>
      </c>
      <c r="D6798">
        <v>740</v>
      </c>
      <c r="E6798" t="s">
        <v>2208</v>
      </c>
      <c r="F6798">
        <v>1005</v>
      </c>
      <c r="G6798" t="s">
        <v>2177</v>
      </c>
      <c r="H6798">
        <v>2015</v>
      </c>
      <c r="I6798" t="s">
        <v>4</v>
      </c>
      <c r="J6798">
        <v>3015</v>
      </c>
      <c r="K6798" t="s">
        <v>4</v>
      </c>
      <c r="L6798">
        <v>4717</v>
      </c>
      <c r="M6798" t="s">
        <v>2205</v>
      </c>
      <c r="N6798" t="s">
        <v>721</v>
      </c>
      <c r="O6798">
        <v>32</v>
      </c>
      <c r="P6798">
        <v>5040</v>
      </c>
      <c r="Q6798" t="s">
        <v>966</v>
      </c>
      <c r="R6798" t="s">
        <v>713</v>
      </c>
      <c r="S6798">
        <v>9</v>
      </c>
      <c r="T6798">
        <v>1</v>
      </c>
      <c r="U6798">
        <v>63.53</v>
      </c>
      <c r="V6798">
        <v>1189282</v>
      </c>
    </row>
    <row r="6799" spans="1:22">
      <c r="A6799" t="s">
        <v>196</v>
      </c>
      <c r="B6799">
        <v>85</v>
      </c>
      <c r="C6799" t="s">
        <v>2177</v>
      </c>
      <c r="D6799">
        <v>740</v>
      </c>
      <c r="E6799" t="s">
        <v>2208</v>
      </c>
      <c r="F6799">
        <v>1005</v>
      </c>
      <c r="G6799" t="s">
        <v>2177</v>
      </c>
      <c r="H6799">
        <v>2015</v>
      </c>
      <c r="I6799" t="s">
        <v>4</v>
      </c>
      <c r="J6799">
        <v>3015</v>
      </c>
      <c r="K6799" t="s">
        <v>4</v>
      </c>
      <c r="L6799">
        <v>4717</v>
      </c>
      <c r="M6799" t="s">
        <v>2205</v>
      </c>
      <c r="N6799" t="s">
        <v>721</v>
      </c>
      <c r="O6799">
        <v>32</v>
      </c>
      <c r="P6799">
        <v>5035</v>
      </c>
      <c r="Q6799" t="s">
        <v>967</v>
      </c>
      <c r="R6799" t="s">
        <v>713</v>
      </c>
      <c r="S6799">
        <v>66</v>
      </c>
      <c r="T6799">
        <v>1</v>
      </c>
      <c r="U6799">
        <v>57.75</v>
      </c>
      <c r="V6799">
        <v>7927920</v>
      </c>
    </row>
    <row r="6800" spans="1:22">
      <c r="A6800" t="s">
        <v>196</v>
      </c>
      <c r="B6800">
        <v>85</v>
      </c>
      <c r="C6800" t="s">
        <v>2177</v>
      </c>
      <c r="D6800">
        <v>740</v>
      </c>
      <c r="E6800" t="s">
        <v>2208</v>
      </c>
      <c r="F6800">
        <v>1005</v>
      </c>
      <c r="G6800" t="s">
        <v>2177</v>
      </c>
      <c r="H6800">
        <v>2015</v>
      </c>
      <c r="I6800" t="s">
        <v>4</v>
      </c>
      <c r="J6800">
        <v>3015</v>
      </c>
      <c r="K6800" t="s">
        <v>4</v>
      </c>
      <c r="L6800">
        <v>4717</v>
      </c>
      <c r="M6800" t="s">
        <v>2205</v>
      </c>
      <c r="N6800" t="s">
        <v>721</v>
      </c>
      <c r="O6800">
        <v>41</v>
      </c>
      <c r="P6800">
        <v>4856</v>
      </c>
      <c r="Q6800" t="s">
        <v>968</v>
      </c>
      <c r="R6800" t="s">
        <v>713</v>
      </c>
      <c r="S6800">
        <v>1</v>
      </c>
      <c r="T6800">
        <v>1</v>
      </c>
      <c r="U6800">
        <v>58.95</v>
      </c>
      <c r="V6800">
        <v>122616</v>
      </c>
    </row>
    <row r="6801" spans="1:22">
      <c r="A6801" t="s">
        <v>196</v>
      </c>
      <c r="B6801">
        <v>85</v>
      </c>
      <c r="C6801" t="s">
        <v>2177</v>
      </c>
      <c r="D6801">
        <v>740</v>
      </c>
      <c r="E6801" t="s">
        <v>2208</v>
      </c>
      <c r="F6801">
        <v>1005</v>
      </c>
      <c r="G6801" t="s">
        <v>2177</v>
      </c>
      <c r="H6801">
        <v>2015</v>
      </c>
      <c r="I6801" t="s">
        <v>4</v>
      </c>
      <c r="J6801">
        <v>3015</v>
      </c>
      <c r="K6801" t="s">
        <v>4</v>
      </c>
      <c r="L6801">
        <v>4717</v>
      </c>
      <c r="M6801" t="s">
        <v>2205</v>
      </c>
      <c r="N6801" t="s">
        <v>721</v>
      </c>
      <c r="O6801">
        <v>41</v>
      </c>
      <c r="P6801">
        <v>4855</v>
      </c>
      <c r="Q6801" t="s">
        <v>969</v>
      </c>
      <c r="R6801" t="s">
        <v>713</v>
      </c>
      <c r="S6801">
        <v>6</v>
      </c>
      <c r="T6801">
        <v>1</v>
      </c>
      <c r="U6801">
        <v>54.58</v>
      </c>
      <c r="V6801">
        <v>681158</v>
      </c>
    </row>
    <row r="6802" spans="1:22">
      <c r="A6802" t="s">
        <v>196</v>
      </c>
      <c r="B6802">
        <v>85</v>
      </c>
      <c r="C6802" t="s">
        <v>2177</v>
      </c>
      <c r="D6802">
        <v>740</v>
      </c>
      <c r="E6802" t="s">
        <v>2208</v>
      </c>
      <c r="F6802">
        <v>1005</v>
      </c>
      <c r="G6802" t="s">
        <v>2177</v>
      </c>
      <c r="H6802">
        <v>2015</v>
      </c>
      <c r="I6802" t="s">
        <v>4</v>
      </c>
      <c r="J6802">
        <v>3015</v>
      </c>
      <c r="K6802" t="s">
        <v>4</v>
      </c>
      <c r="L6802">
        <v>4717</v>
      </c>
      <c r="M6802" t="s">
        <v>2205</v>
      </c>
      <c r="N6802" t="s">
        <v>721</v>
      </c>
      <c r="O6802">
        <v>14</v>
      </c>
      <c r="P6802">
        <v>4776</v>
      </c>
      <c r="Q6802" t="s">
        <v>971</v>
      </c>
      <c r="R6802" t="s">
        <v>713</v>
      </c>
      <c r="S6802">
        <v>2</v>
      </c>
      <c r="T6802">
        <v>1</v>
      </c>
      <c r="U6802">
        <v>63</v>
      </c>
      <c r="V6802">
        <v>262080</v>
      </c>
    </row>
    <row r="6803" spans="1:22">
      <c r="A6803" t="s">
        <v>196</v>
      </c>
      <c r="B6803">
        <v>85</v>
      </c>
      <c r="C6803" t="s">
        <v>2177</v>
      </c>
      <c r="D6803">
        <v>740</v>
      </c>
      <c r="E6803" t="s">
        <v>2208</v>
      </c>
      <c r="F6803">
        <v>1005</v>
      </c>
      <c r="G6803" t="s">
        <v>2177</v>
      </c>
      <c r="H6803">
        <v>2015</v>
      </c>
      <c r="I6803" t="s">
        <v>4</v>
      </c>
      <c r="J6803">
        <v>3015</v>
      </c>
      <c r="K6803" t="s">
        <v>4</v>
      </c>
      <c r="L6803">
        <v>4717</v>
      </c>
      <c r="M6803" t="s">
        <v>2205</v>
      </c>
      <c r="N6803" t="s">
        <v>721</v>
      </c>
      <c r="O6803">
        <v>14</v>
      </c>
      <c r="P6803">
        <v>4774</v>
      </c>
      <c r="Q6803" t="s">
        <v>972</v>
      </c>
      <c r="R6803" t="s">
        <v>713</v>
      </c>
      <c r="S6803">
        <v>12</v>
      </c>
      <c r="T6803">
        <v>1</v>
      </c>
      <c r="U6803">
        <v>60</v>
      </c>
      <c r="V6803">
        <v>1497600</v>
      </c>
    </row>
    <row r="6804" spans="1:22">
      <c r="A6804" t="s">
        <v>196</v>
      </c>
      <c r="B6804">
        <v>85</v>
      </c>
      <c r="C6804" t="s">
        <v>2177</v>
      </c>
      <c r="D6804">
        <v>740</v>
      </c>
      <c r="E6804" t="s">
        <v>2208</v>
      </c>
      <c r="F6804">
        <v>1005</v>
      </c>
      <c r="G6804" t="s">
        <v>2177</v>
      </c>
      <c r="H6804">
        <v>2015</v>
      </c>
      <c r="I6804" t="s">
        <v>4</v>
      </c>
      <c r="J6804">
        <v>3015</v>
      </c>
      <c r="K6804" t="s">
        <v>4</v>
      </c>
      <c r="L6804">
        <v>4717</v>
      </c>
      <c r="M6804" t="s">
        <v>2205</v>
      </c>
      <c r="N6804" t="s">
        <v>721</v>
      </c>
      <c r="O6804">
        <v>25</v>
      </c>
      <c r="P6804">
        <v>4656</v>
      </c>
      <c r="Q6804" t="s">
        <v>2043</v>
      </c>
      <c r="R6804" t="s">
        <v>713</v>
      </c>
      <c r="S6804">
        <v>3</v>
      </c>
      <c r="T6804">
        <v>1</v>
      </c>
      <c r="U6804">
        <v>46.76</v>
      </c>
      <c r="V6804">
        <v>291782</v>
      </c>
    </row>
    <row r="6805" spans="1:22">
      <c r="A6805" t="s">
        <v>196</v>
      </c>
      <c r="B6805">
        <v>85</v>
      </c>
      <c r="C6805" t="s">
        <v>2177</v>
      </c>
      <c r="D6805">
        <v>740</v>
      </c>
      <c r="E6805" t="s">
        <v>2208</v>
      </c>
      <c r="F6805">
        <v>1005</v>
      </c>
      <c r="G6805" t="s">
        <v>2177</v>
      </c>
      <c r="H6805">
        <v>2015</v>
      </c>
      <c r="I6805" t="s">
        <v>4</v>
      </c>
      <c r="J6805">
        <v>3015</v>
      </c>
      <c r="K6805" t="s">
        <v>4</v>
      </c>
      <c r="L6805">
        <v>4717</v>
      </c>
      <c r="M6805" t="s">
        <v>2205</v>
      </c>
      <c r="N6805" t="s">
        <v>721</v>
      </c>
      <c r="O6805">
        <v>25</v>
      </c>
      <c r="P6805">
        <v>4656</v>
      </c>
      <c r="Q6805" t="s">
        <v>2043</v>
      </c>
      <c r="R6805" t="s">
        <v>713</v>
      </c>
      <c r="S6805">
        <v>1</v>
      </c>
      <c r="T6805">
        <v>1</v>
      </c>
      <c r="U6805">
        <v>41.55</v>
      </c>
      <c r="V6805">
        <v>86424</v>
      </c>
    </row>
    <row r="6806" spans="1:22">
      <c r="A6806" t="s">
        <v>196</v>
      </c>
      <c r="B6806">
        <v>85</v>
      </c>
      <c r="C6806" t="s">
        <v>2177</v>
      </c>
      <c r="D6806">
        <v>740</v>
      </c>
      <c r="E6806" t="s">
        <v>2208</v>
      </c>
      <c r="F6806">
        <v>1005</v>
      </c>
      <c r="G6806" t="s">
        <v>2177</v>
      </c>
      <c r="H6806">
        <v>2015</v>
      </c>
      <c r="I6806" t="s">
        <v>4</v>
      </c>
      <c r="J6806">
        <v>3015</v>
      </c>
      <c r="K6806" t="s">
        <v>4</v>
      </c>
      <c r="L6806">
        <v>4717</v>
      </c>
      <c r="M6806" t="s">
        <v>2205</v>
      </c>
      <c r="N6806" t="s">
        <v>721</v>
      </c>
      <c r="O6806">
        <v>39</v>
      </c>
      <c r="P6806">
        <v>4636</v>
      </c>
      <c r="Q6806" t="s">
        <v>976</v>
      </c>
      <c r="R6806" t="s">
        <v>713</v>
      </c>
      <c r="S6806">
        <v>2</v>
      </c>
      <c r="T6806">
        <v>1</v>
      </c>
      <c r="U6806">
        <v>61.09</v>
      </c>
      <c r="V6806">
        <v>254134</v>
      </c>
    </row>
    <row r="6807" spans="1:22">
      <c r="A6807" t="s">
        <v>196</v>
      </c>
      <c r="B6807">
        <v>85</v>
      </c>
      <c r="C6807" t="s">
        <v>2177</v>
      </c>
      <c r="D6807">
        <v>740</v>
      </c>
      <c r="E6807" t="s">
        <v>2208</v>
      </c>
      <c r="F6807">
        <v>1005</v>
      </c>
      <c r="G6807" t="s">
        <v>2177</v>
      </c>
      <c r="H6807">
        <v>2015</v>
      </c>
      <c r="I6807" t="s">
        <v>4</v>
      </c>
      <c r="J6807">
        <v>3015</v>
      </c>
      <c r="K6807" t="s">
        <v>4</v>
      </c>
      <c r="L6807">
        <v>4717</v>
      </c>
      <c r="M6807" t="s">
        <v>2205</v>
      </c>
      <c r="N6807" t="s">
        <v>721</v>
      </c>
      <c r="O6807">
        <v>39</v>
      </c>
      <c r="P6807">
        <v>4634</v>
      </c>
      <c r="Q6807" t="s">
        <v>977</v>
      </c>
      <c r="R6807" t="s">
        <v>713</v>
      </c>
      <c r="S6807">
        <v>27</v>
      </c>
      <c r="T6807">
        <v>1</v>
      </c>
      <c r="U6807">
        <v>54.3</v>
      </c>
      <c r="V6807">
        <v>3049488</v>
      </c>
    </row>
    <row r="6808" spans="1:22">
      <c r="A6808" t="s">
        <v>196</v>
      </c>
      <c r="B6808">
        <v>85</v>
      </c>
      <c r="C6808" t="s">
        <v>2177</v>
      </c>
      <c r="D6808">
        <v>740</v>
      </c>
      <c r="E6808" t="s">
        <v>2208</v>
      </c>
      <c r="F6808">
        <v>1005</v>
      </c>
      <c r="G6808" t="s">
        <v>2177</v>
      </c>
      <c r="H6808">
        <v>2015</v>
      </c>
      <c r="I6808" t="s">
        <v>4</v>
      </c>
      <c r="J6808">
        <v>3015</v>
      </c>
      <c r="K6808" t="s">
        <v>4</v>
      </c>
      <c r="L6808">
        <v>4717</v>
      </c>
      <c r="M6808" t="s">
        <v>2205</v>
      </c>
      <c r="N6808" t="s">
        <v>721</v>
      </c>
      <c r="O6808">
        <v>53</v>
      </c>
      <c r="P6808">
        <v>4566</v>
      </c>
      <c r="Q6808" t="s">
        <v>1950</v>
      </c>
      <c r="R6808" t="s">
        <v>713</v>
      </c>
      <c r="S6808">
        <v>1</v>
      </c>
      <c r="T6808">
        <v>1</v>
      </c>
      <c r="U6808">
        <v>55.79</v>
      </c>
      <c r="V6808">
        <v>116043</v>
      </c>
    </row>
    <row r="6809" spans="1:22">
      <c r="A6809" t="s">
        <v>196</v>
      </c>
      <c r="B6809">
        <v>85</v>
      </c>
      <c r="C6809" t="s">
        <v>2177</v>
      </c>
      <c r="D6809">
        <v>740</v>
      </c>
      <c r="E6809" t="s">
        <v>2208</v>
      </c>
      <c r="F6809">
        <v>1005</v>
      </c>
      <c r="G6809" t="s">
        <v>2177</v>
      </c>
      <c r="H6809">
        <v>2015</v>
      </c>
      <c r="I6809" t="s">
        <v>4</v>
      </c>
      <c r="J6809">
        <v>3015</v>
      </c>
      <c r="K6809" t="s">
        <v>4</v>
      </c>
      <c r="L6809">
        <v>4717</v>
      </c>
      <c r="M6809" t="s">
        <v>2205</v>
      </c>
      <c r="N6809" t="s">
        <v>721</v>
      </c>
      <c r="O6809">
        <v>50</v>
      </c>
      <c r="P6809">
        <v>4304</v>
      </c>
      <c r="Q6809" t="s">
        <v>2058</v>
      </c>
      <c r="R6809" t="s">
        <v>712</v>
      </c>
      <c r="S6809">
        <v>1</v>
      </c>
      <c r="T6809">
        <v>1</v>
      </c>
      <c r="U6809">
        <v>10869.73</v>
      </c>
      <c r="V6809">
        <v>130437</v>
      </c>
    </row>
    <row r="6810" spans="1:22">
      <c r="A6810" t="s">
        <v>196</v>
      </c>
      <c r="B6810">
        <v>85</v>
      </c>
      <c r="C6810" t="s">
        <v>2177</v>
      </c>
      <c r="D6810">
        <v>740</v>
      </c>
      <c r="E6810" t="s">
        <v>2208</v>
      </c>
      <c r="F6810">
        <v>1005</v>
      </c>
      <c r="G6810" t="s">
        <v>2177</v>
      </c>
      <c r="H6810">
        <v>2015</v>
      </c>
      <c r="I6810" t="s">
        <v>4</v>
      </c>
      <c r="J6810">
        <v>3015</v>
      </c>
      <c r="K6810" t="s">
        <v>4</v>
      </c>
      <c r="L6810">
        <v>4717</v>
      </c>
      <c r="M6810" t="s">
        <v>2205</v>
      </c>
      <c r="N6810" t="s">
        <v>721</v>
      </c>
      <c r="O6810">
        <v>50</v>
      </c>
      <c r="P6810">
        <v>4303</v>
      </c>
      <c r="Q6810" t="s">
        <v>982</v>
      </c>
      <c r="R6810" t="s">
        <v>713</v>
      </c>
      <c r="S6810">
        <v>1</v>
      </c>
      <c r="T6810">
        <v>1</v>
      </c>
      <c r="U6810">
        <v>59.21</v>
      </c>
      <c r="V6810">
        <v>123157</v>
      </c>
    </row>
    <row r="6811" spans="1:22">
      <c r="A6811" t="s">
        <v>196</v>
      </c>
      <c r="B6811">
        <v>85</v>
      </c>
      <c r="C6811" t="s">
        <v>2177</v>
      </c>
      <c r="D6811">
        <v>740</v>
      </c>
      <c r="E6811" t="s">
        <v>2208</v>
      </c>
      <c r="F6811">
        <v>1005</v>
      </c>
      <c r="G6811" t="s">
        <v>2177</v>
      </c>
      <c r="H6811">
        <v>2015</v>
      </c>
      <c r="I6811" t="s">
        <v>4</v>
      </c>
      <c r="J6811">
        <v>3015</v>
      </c>
      <c r="K6811" t="s">
        <v>4</v>
      </c>
      <c r="L6811">
        <v>4717</v>
      </c>
      <c r="M6811" t="s">
        <v>2205</v>
      </c>
      <c r="N6811" t="s">
        <v>721</v>
      </c>
      <c r="O6811">
        <v>50</v>
      </c>
      <c r="P6811">
        <v>4301</v>
      </c>
      <c r="Q6811" t="s">
        <v>983</v>
      </c>
      <c r="R6811" t="s">
        <v>713</v>
      </c>
      <c r="S6811">
        <v>22</v>
      </c>
      <c r="T6811">
        <v>1</v>
      </c>
      <c r="U6811">
        <v>56.71</v>
      </c>
      <c r="V6811">
        <v>2595050</v>
      </c>
    </row>
    <row r="6812" spans="1:22">
      <c r="A6812" t="s">
        <v>196</v>
      </c>
      <c r="B6812">
        <v>85</v>
      </c>
      <c r="C6812" t="s">
        <v>2177</v>
      </c>
      <c r="D6812">
        <v>740</v>
      </c>
      <c r="E6812" t="s">
        <v>2208</v>
      </c>
      <c r="F6812">
        <v>1005</v>
      </c>
      <c r="G6812" t="s">
        <v>2177</v>
      </c>
      <c r="H6812">
        <v>2015</v>
      </c>
      <c r="I6812" t="s">
        <v>4</v>
      </c>
      <c r="J6812">
        <v>3015</v>
      </c>
      <c r="K6812" t="s">
        <v>4</v>
      </c>
      <c r="L6812">
        <v>4717</v>
      </c>
      <c r="M6812" t="s">
        <v>2205</v>
      </c>
      <c r="N6812" t="s">
        <v>721</v>
      </c>
      <c r="O6812">
        <v>16</v>
      </c>
      <c r="P6812">
        <v>2231</v>
      </c>
      <c r="Q6812" t="s">
        <v>1846</v>
      </c>
      <c r="R6812" t="s">
        <v>712</v>
      </c>
      <c r="S6812">
        <v>3</v>
      </c>
      <c r="T6812">
        <v>1</v>
      </c>
      <c r="U6812">
        <v>11119.33</v>
      </c>
      <c r="V6812">
        <v>400296</v>
      </c>
    </row>
    <row r="6813" spans="1:22">
      <c r="A6813" t="s">
        <v>196</v>
      </c>
      <c r="B6813">
        <v>85</v>
      </c>
      <c r="C6813" t="s">
        <v>2177</v>
      </c>
      <c r="D6813">
        <v>740</v>
      </c>
      <c r="E6813" t="s">
        <v>2208</v>
      </c>
      <c r="F6813">
        <v>1005</v>
      </c>
      <c r="G6813" t="s">
        <v>2177</v>
      </c>
      <c r="H6813">
        <v>2015</v>
      </c>
      <c r="I6813" t="s">
        <v>4</v>
      </c>
      <c r="J6813">
        <v>3015</v>
      </c>
      <c r="K6813" t="s">
        <v>4</v>
      </c>
      <c r="L6813">
        <v>4717</v>
      </c>
      <c r="M6813" t="s">
        <v>2205</v>
      </c>
      <c r="N6813" t="s">
        <v>199</v>
      </c>
      <c r="O6813">
        <v>0</v>
      </c>
      <c r="P6813">
        <v>12</v>
      </c>
      <c r="Q6813" t="s">
        <v>724</v>
      </c>
      <c r="R6813" t="s">
        <v>201</v>
      </c>
      <c r="S6813">
        <v>0</v>
      </c>
      <c r="T6813">
        <v>0</v>
      </c>
      <c r="U6813">
        <v>344036</v>
      </c>
      <c r="V6813">
        <v>344036</v>
      </c>
    </row>
    <row r="6814" spans="1:22">
      <c r="A6814" t="s">
        <v>196</v>
      </c>
      <c r="B6814">
        <v>85</v>
      </c>
      <c r="C6814" t="s">
        <v>2177</v>
      </c>
      <c r="D6814">
        <v>740</v>
      </c>
      <c r="E6814" t="s">
        <v>2208</v>
      </c>
      <c r="F6814">
        <v>1005</v>
      </c>
      <c r="G6814" t="s">
        <v>2177</v>
      </c>
      <c r="H6814">
        <v>2015</v>
      </c>
      <c r="I6814" t="s">
        <v>4</v>
      </c>
      <c r="J6814">
        <v>3015</v>
      </c>
      <c r="K6814" t="s">
        <v>4</v>
      </c>
      <c r="L6814">
        <v>4727</v>
      </c>
      <c r="M6814" t="s">
        <v>2181</v>
      </c>
      <c r="N6814" t="s">
        <v>721</v>
      </c>
      <c r="O6814">
        <v>54</v>
      </c>
      <c r="P6814">
        <v>9535</v>
      </c>
      <c r="Q6814" t="s">
        <v>2182</v>
      </c>
      <c r="R6814" t="s">
        <v>713</v>
      </c>
      <c r="S6814">
        <v>8320</v>
      </c>
      <c r="T6814">
        <v>0</v>
      </c>
      <c r="U6814">
        <v>24.94</v>
      </c>
      <c r="V6814">
        <v>207501</v>
      </c>
    </row>
    <row r="6815" spans="1:22">
      <c r="A6815" t="s">
        <v>196</v>
      </c>
      <c r="B6815">
        <v>85</v>
      </c>
      <c r="C6815" t="s">
        <v>2177</v>
      </c>
      <c r="D6815">
        <v>740</v>
      </c>
      <c r="E6815" t="s">
        <v>2208</v>
      </c>
      <c r="F6815">
        <v>1005</v>
      </c>
      <c r="G6815" t="s">
        <v>2177</v>
      </c>
      <c r="H6815">
        <v>2015</v>
      </c>
      <c r="I6815" t="s">
        <v>4</v>
      </c>
      <c r="J6815">
        <v>3015</v>
      </c>
      <c r="K6815" t="s">
        <v>4</v>
      </c>
      <c r="L6815">
        <v>4727</v>
      </c>
      <c r="M6815" t="s">
        <v>2181</v>
      </c>
      <c r="N6815" t="s">
        <v>721</v>
      </c>
      <c r="O6815">
        <v>54</v>
      </c>
      <c r="P6815">
        <v>9535</v>
      </c>
      <c r="Q6815" t="s">
        <v>2182</v>
      </c>
      <c r="R6815" t="s">
        <v>713</v>
      </c>
      <c r="S6815">
        <v>4160</v>
      </c>
      <c r="T6815">
        <v>0</v>
      </c>
      <c r="U6815">
        <v>24.19</v>
      </c>
      <c r="V6815">
        <v>100630</v>
      </c>
    </row>
    <row r="6816" spans="1:22">
      <c r="A6816" t="s">
        <v>196</v>
      </c>
      <c r="B6816">
        <v>85</v>
      </c>
      <c r="C6816" t="s">
        <v>2177</v>
      </c>
      <c r="D6816">
        <v>740</v>
      </c>
      <c r="E6816" t="s">
        <v>2208</v>
      </c>
      <c r="F6816">
        <v>1005</v>
      </c>
      <c r="G6816" t="s">
        <v>2177</v>
      </c>
      <c r="H6816">
        <v>2015</v>
      </c>
      <c r="I6816" t="s">
        <v>4</v>
      </c>
      <c r="J6816">
        <v>3015</v>
      </c>
      <c r="K6816" t="s">
        <v>4</v>
      </c>
      <c r="L6816">
        <v>4727</v>
      </c>
      <c r="M6816" t="s">
        <v>2181</v>
      </c>
      <c r="N6816" t="s">
        <v>721</v>
      </c>
      <c r="O6816">
        <v>54</v>
      </c>
      <c r="P6816">
        <v>9535</v>
      </c>
      <c r="Q6816" t="s">
        <v>2182</v>
      </c>
      <c r="R6816" t="s">
        <v>713</v>
      </c>
      <c r="S6816">
        <v>4160</v>
      </c>
      <c r="T6816">
        <v>0</v>
      </c>
      <c r="U6816">
        <v>23.46</v>
      </c>
      <c r="V6816">
        <v>97594</v>
      </c>
    </row>
    <row r="6817" spans="1:22">
      <c r="A6817" t="s">
        <v>196</v>
      </c>
      <c r="B6817">
        <v>85</v>
      </c>
      <c r="C6817" t="s">
        <v>2177</v>
      </c>
      <c r="D6817">
        <v>740</v>
      </c>
      <c r="E6817" t="s">
        <v>2208</v>
      </c>
      <c r="F6817">
        <v>1005</v>
      </c>
      <c r="G6817" t="s">
        <v>2177</v>
      </c>
      <c r="H6817">
        <v>2015</v>
      </c>
      <c r="I6817" t="s">
        <v>4</v>
      </c>
      <c r="J6817">
        <v>3015</v>
      </c>
      <c r="K6817" t="s">
        <v>4</v>
      </c>
      <c r="L6817">
        <v>4727</v>
      </c>
      <c r="M6817" t="s">
        <v>2181</v>
      </c>
      <c r="N6817" t="s">
        <v>721</v>
      </c>
      <c r="O6817">
        <v>54</v>
      </c>
      <c r="P6817">
        <v>9535</v>
      </c>
      <c r="Q6817" t="s">
        <v>2182</v>
      </c>
      <c r="R6817" t="s">
        <v>713</v>
      </c>
      <c r="S6817">
        <v>2080</v>
      </c>
      <c r="T6817">
        <v>0</v>
      </c>
      <c r="U6817">
        <v>22.05</v>
      </c>
      <c r="V6817">
        <v>45864</v>
      </c>
    </row>
    <row r="6818" spans="1:22">
      <c r="A6818" t="s">
        <v>196</v>
      </c>
      <c r="B6818">
        <v>85</v>
      </c>
      <c r="C6818" t="s">
        <v>2177</v>
      </c>
      <c r="D6818">
        <v>740</v>
      </c>
      <c r="E6818" t="s">
        <v>2208</v>
      </c>
      <c r="F6818">
        <v>1005</v>
      </c>
      <c r="G6818" t="s">
        <v>2177</v>
      </c>
      <c r="H6818">
        <v>2015</v>
      </c>
      <c r="I6818" t="s">
        <v>4</v>
      </c>
      <c r="J6818">
        <v>3015</v>
      </c>
      <c r="K6818" t="s">
        <v>4</v>
      </c>
      <c r="L6818">
        <v>4727</v>
      </c>
      <c r="M6818" t="s">
        <v>2181</v>
      </c>
      <c r="N6818" t="s">
        <v>721</v>
      </c>
      <c r="O6818">
        <v>54</v>
      </c>
      <c r="P6818">
        <v>9535</v>
      </c>
      <c r="Q6818" t="s">
        <v>2182</v>
      </c>
      <c r="R6818" t="s">
        <v>713</v>
      </c>
      <c r="S6818">
        <v>10400</v>
      </c>
      <c r="T6818">
        <v>0</v>
      </c>
      <c r="U6818">
        <v>21.38</v>
      </c>
      <c r="V6818">
        <v>222352</v>
      </c>
    </row>
    <row r="6819" spans="1:22">
      <c r="A6819" t="s">
        <v>196</v>
      </c>
      <c r="B6819">
        <v>85</v>
      </c>
      <c r="C6819" t="s">
        <v>2177</v>
      </c>
      <c r="D6819">
        <v>740</v>
      </c>
      <c r="E6819" t="s">
        <v>2208</v>
      </c>
      <c r="F6819">
        <v>1005</v>
      </c>
      <c r="G6819" t="s">
        <v>2177</v>
      </c>
      <c r="H6819">
        <v>2015</v>
      </c>
      <c r="I6819" t="s">
        <v>4</v>
      </c>
      <c r="J6819">
        <v>3015</v>
      </c>
      <c r="K6819" t="s">
        <v>4</v>
      </c>
      <c r="L6819">
        <v>4727</v>
      </c>
      <c r="M6819" t="s">
        <v>2181</v>
      </c>
      <c r="N6819" t="s">
        <v>721</v>
      </c>
      <c r="O6819">
        <v>54</v>
      </c>
      <c r="P6819">
        <v>9535</v>
      </c>
      <c r="Q6819" t="s">
        <v>2182</v>
      </c>
      <c r="R6819" t="s">
        <v>713</v>
      </c>
      <c r="S6819">
        <v>18</v>
      </c>
      <c r="T6819">
        <v>1</v>
      </c>
      <c r="U6819">
        <v>26.28</v>
      </c>
      <c r="V6819">
        <v>983923</v>
      </c>
    </row>
    <row r="6820" spans="1:22">
      <c r="A6820" t="s">
        <v>196</v>
      </c>
      <c r="B6820">
        <v>85</v>
      </c>
      <c r="C6820" t="s">
        <v>2177</v>
      </c>
      <c r="D6820">
        <v>740</v>
      </c>
      <c r="E6820" t="s">
        <v>2208</v>
      </c>
      <c r="F6820">
        <v>1005</v>
      </c>
      <c r="G6820" t="s">
        <v>2177</v>
      </c>
      <c r="H6820">
        <v>2015</v>
      </c>
      <c r="I6820" t="s">
        <v>4</v>
      </c>
      <c r="J6820">
        <v>3015</v>
      </c>
      <c r="K6820" t="s">
        <v>4</v>
      </c>
      <c r="L6820">
        <v>4727</v>
      </c>
      <c r="M6820" t="s">
        <v>2181</v>
      </c>
      <c r="N6820" t="s">
        <v>721</v>
      </c>
      <c r="O6820">
        <v>54</v>
      </c>
      <c r="P6820">
        <v>9533</v>
      </c>
      <c r="Q6820" t="s">
        <v>960</v>
      </c>
      <c r="R6820" t="s">
        <v>713</v>
      </c>
      <c r="S6820">
        <v>47</v>
      </c>
      <c r="T6820">
        <v>1</v>
      </c>
      <c r="U6820">
        <v>47.79</v>
      </c>
      <c r="V6820">
        <v>4671950</v>
      </c>
    </row>
    <row r="6821" spans="1:22">
      <c r="A6821" t="s">
        <v>196</v>
      </c>
      <c r="B6821">
        <v>85</v>
      </c>
      <c r="C6821" t="s">
        <v>2177</v>
      </c>
      <c r="D6821">
        <v>740</v>
      </c>
      <c r="E6821" t="s">
        <v>2208</v>
      </c>
      <c r="F6821">
        <v>1005</v>
      </c>
      <c r="G6821" t="s">
        <v>2177</v>
      </c>
      <c r="H6821">
        <v>2015</v>
      </c>
      <c r="I6821" t="s">
        <v>4</v>
      </c>
      <c r="J6821">
        <v>3015</v>
      </c>
      <c r="K6821" t="s">
        <v>4</v>
      </c>
      <c r="L6821">
        <v>4727</v>
      </c>
      <c r="M6821" t="s">
        <v>2181</v>
      </c>
      <c r="N6821" t="s">
        <v>721</v>
      </c>
      <c r="O6821">
        <v>54</v>
      </c>
      <c r="P6821">
        <v>9533</v>
      </c>
      <c r="Q6821" t="s">
        <v>960</v>
      </c>
      <c r="R6821" t="s">
        <v>713</v>
      </c>
      <c r="S6821">
        <v>9</v>
      </c>
      <c r="T6821">
        <v>1</v>
      </c>
      <c r="U6821">
        <v>43.27</v>
      </c>
      <c r="V6821">
        <v>810014</v>
      </c>
    </row>
    <row r="6822" spans="1:22">
      <c r="A6822" t="s">
        <v>196</v>
      </c>
      <c r="B6822">
        <v>85</v>
      </c>
      <c r="C6822" t="s">
        <v>2177</v>
      </c>
      <c r="D6822">
        <v>740</v>
      </c>
      <c r="E6822" t="s">
        <v>2208</v>
      </c>
      <c r="F6822">
        <v>1005</v>
      </c>
      <c r="G6822" t="s">
        <v>2177</v>
      </c>
      <c r="H6822">
        <v>2015</v>
      </c>
      <c r="I6822" t="s">
        <v>4</v>
      </c>
      <c r="J6822">
        <v>3015</v>
      </c>
      <c r="K6822" t="s">
        <v>4</v>
      </c>
      <c r="L6822">
        <v>4727</v>
      </c>
      <c r="M6822" t="s">
        <v>2181</v>
      </c>
      <c r="N6822" t="s">
        <v>721</v>
      </c>
      <c r="O6822">
        <v>54</v>
      </c>
      <c r="P6822">
        <v>9533</v>
      </c>
      <c r="Q6822" t="s">
        <v>960</v>
      </c>
      <c r="R6822" t="s">
        <v>713</v>
      </c>
      <c r="S6822">
        <v>8</v>
      </c>
      <c r="T6822">
        <v>1</v>
      </c>
      <c r="U6822">
        <v>43.01</v>
      </c>
      <c r="V6822">
        <v>715686</v>
      </c>
    </row>
    <row r="6823" spans="1:22">
      <c r="A6823" t="s">
        <v>196</v>
      </c>
      <c r="B6823">
        <v>85</v>
      </c>
      <c r="C6823" t="s">
        <v>2177</v>
      </c>
      <c r="D6823">
        <v>740</v>
      </c>
      <c r="E6823" t="s">
        <v>2208</v>
      </c>
      <c r="F6823">
        <v>1005</v>
      </c>
      <c r="G6823" t="s">
        <v>2177</v>
      </c>
      <c r="H6823">
        <v>2015</v>
      </c>
      <c r="I6823" t="s">
        <v>4</v>
      </c>
      <c r="J6823">
        <v>3015</v>
      </c>
      <c r="K6823" t="s">
        <v>4</v>
      </c>
      <c r="L6823">
        <v>4727</v>
      </c>
      <c r="M6823" t="s">
        <v>2181</v>
      </c>
      <c r="N6823" t="s">
        <v>721</v>
      </c>
      <c r="O6823">
        <v>54</v>
      </c>
      <c r="P6823">
        <v>9533</v>
      </c>
      <c r="Q6823" t="s">
        <v>960</v>
      </c>
      <c r="R6823" t="s">
        <v>713</v>
      </c>
      <c r="S6823">
        <v>12</v>
      </c>
      <c r="T6823">
        <v>1</v>
      </c>
      <c r="U6823">
        <v>35.840000000000003</v>
      </c>
      <c r="V6823">
        <v>894566</v>
      </c>
    </row>
    <row r="6824" spans="1:22">
      <c r="A6824" t="s">
        <v>196</v>
      </c>
      <c r="B6824">
        <v>85</v>
      </c>
      <c r="C6824" t="s">
        <v>2177</v>
      </c>
      <c r="D6824">
        <v>740</v>
      </c>
      <c r="E6824" t="s">
        <v>2208</v>
      </c>
      <c r="F6824">
        <v>1005</v>
      </c>
      <c r="G6824" t="s">
        <v>2177</v>
      </c>
      <c r="H6824">
        <v>2015</v>
      </c>
      <c r="I6824" t="s">
        <v>4</v>
      </c>
      <c r="J6824">
        <v>3015</v>
      </c>
      <c r="K6824" t="s">
        <v>4</v>
      </c>
      <c r="L6824">
        <v>4727</v>
      </c>
      <c r="M6824" t="s">
        <v>2181</v>
      </c>
      <c r="N6824" t="s">
        <v>721</v>
      </c>
      <c r="O6824">
        <v>54</v>
      </c>
      <c r="P6824">
        <v>9533</v>
      </c>
      <c r="Q6824" t="s">
        <v>960</v>
      </c>
      <c r="R6824" t="s">
        <v>713</v>
      </c>
      <c r="S6824">
        <v>17</v>
      </c>
      <c r="T6824">
        <v>1</v>
      </c>
      <c r="U6824">
        <v>31.06</v>
      </c>
      <c r="V6824">
        <v>1098282</v>
      </c>
    </row>
    <row r="6825" spans="1:22">
      <c r="A6825" t="s">
        <v>196</v>
      </c>
      <c r="B6825">
        <v>85</v>
      </c>
      <c r="C6825" t="s">
        <v>2177</v>
      </c>
      <c r="D6825">
        <v>740</v>
      </c>
      <c r="E6825" t="s">
        <v>2208</v>
      </c>
      <c r="F6825">
        <v>1005</v>
      </c>
      <c r="G6825" t="s">
        <v>2177</v>
      </c>
      <c r="H6825">
        <v>2015</v>
      </c>
      <c r="I6825" t="s">
        <v>4</v>
      </c>
      <c r="J6825">
        <v>3015</v>
      </c>
      <c r="K6825" t="s">
        <v>4</v>
      </c>
      <c r="L6825">
        <v>4727</v>
      </c>
      <c r="M6825" t="s">
        <v>2181</v>
      </c>
      <c r="N6825" t="s">
        <v>721</v>
      </c>
      <c r="O6825">
        <v>53</v>
      </c>
      <c r="P6825">
        <v>8243</v>
      </c>
      <c r="Q6825" t="s">
        <v>2061</v>
      </c>
      <c r="R6825" t="s">
        <v>713</v>
      </c>
      <c r="S6825">
        <v>1</v>
      </c>
      <c r="T6825">
        <v>1</v>
      </c>
      <c r="U6825">
        <v>55.79</v>
      </c>
      <c r="V6825">
        <v>116043</v>
      </c>
    </row>
    <row r="6826" spans="1:22">
      <c r="A6826" t="s">
        <v>196</v>
      </c>
      <c r="B6826">
        <v>85</v>
      </c>
      <c r="C6826" t="s">
        <v>2177</v>
      </c>
      <c r="D6826">
        <v>740</v>
      </c>
      <c r="E6826" t="s">
        <v>2208</v>
      </c>
      <c r="F6826">
        <v>1005</v>
      </c>
      <c r="G6826" t="s">
        <v>2177</v>
      </c>
      <c r="H6826">
        <v>2015</v>
      </c>
      <c r="I6826" t="s">
        <v>4</v>
      </c>
      <c r="J6826">
        <v>3015</v>
      </c>
      <c r="K6826" t="s">
        <v>4</v>
      </c>
      <c r="L6826">
        <v>4727</v>
      </c>
      <c r="M6826" t="s">
        <v>2181</v>
      </c>
      <c r="N6826" t="s">
        <v>721</v>
      </c>
      <c r="O6826">
        <v>54</v>
      </c>
      <c r="P6826">
        <v>7005</v>
      </c>
      <c r="Q6826" t="s">
        <v>2184</v>
      </c>
      <c r="R6826" t="s">
        <v>713</v>
      </c>
      <c r="S6826">
        <v>9</v>
      </c>
      <c r="T6826">
        <v>1</v>
      </c>
      <c r="U6826">
        <v>52.3</v>
      </c>
      <c r="V6826">
        <v>979056</v>
      </c>
    </row>
    <row r="6827" spans="1:22">
      <c r="A6827" t="s">
        <v>196</v>
      </c>
      <c r="B6827">
        <v>85</v>
      </c>
      <c r="C6827" t="s">
        <v>2177</v>
      </c>
      <c r="D6827">
        <v>740</v>
      </c>
      <c r="E6827" t="s">
        <v>2208</v>
      </c>
      <c r="F6827">
        <v>1005</v>
      </c>
      <c r="G6827" t="s">
        <v>2177</v>
      </c>
      <c r="H6827">
        <v>2015</v>
      </c>
      <c r="I6827" t="s">
        <v>4</v>
      </c>
      <c r="J6827">
        <v>3015</v>
      </c>
      <c r="K6827" t="s">
        <v>4</v>
      </c>
      <c r="L6827">
        <v>4727</v>
      </c>
      <c r="M6827" t="s">
        <v>2181</v>
      </c>
      <c r="N6827" t="s">
        <v>721</v>
      </c>
      <c r="O6827">
        <v>35</v>
      </c>
      <c r="P6827">
        <v>4286</v>
      </c>
      <c r="Q6827" t="s">
        <v>2257</v>
      </c>
      <c r="R6827" t="s">
        <v>713</v>
      </c>
      <c r="S6827">
        <v>1</v>
      </c>
      <c r="T6827">
        <v>1</v>
      </c>
      <c r="U6827">
        <v>30.6</v>
      </c>
      <c r="V6827">
        <v>63648</v>
      </c>
    </row>
    <row r="6828" spans="1:22">
      <c r="A6828" t="s">
        <v>196</v>
      </c>
      <c r="B6828">
        <v>85</v>
      </c>
      <c r="C6828" t="s">
        <v>2177</v>
      </c>
      <c r="D6828">
        <v>740</v>
      </c>
      <c r="E6828" t="s">
        <v>2208</v>
      </c>
      <c r="F6828">
        <v>1005</v>
      </c>
      <c r="G6828" t="s">
        <v>2177</v>
      </c>
      <c r="H6828">
        <v>2015</v>
      </c>
      <c r="I6828" t="s">
        <v>4</v>
      </c>
      <c r="J6828">
        <v>3015</v>
      </c>
      <c r="K6828" t="s">
        <v>4</v>
      </c>
      <c r="L6828">
        <v>4727</v>
      </c>
      <c r="M6828" t="s">
        <v>2181</v>
      </c>
      <c r="N6828" t="s">
        <v>721</v>
      </c>
      <c r="O6828">
        <v>35</v>
      </c>
      <c r="P6828">
        <v>4285</v>
      </c>
      <c r="Q6828" t="s">
        <v>984</v>
      </c>
      <c r="R6828" t="s">
        <v>713</v>
      </c>
      <c r="S6828">
        <v>7</v>
      </c>
      <c r="T6828">
        <v>1</v>
      </c>
      <c r="U6828">
        <v>29.8</v>
      </c>
      <c r="V6828">
        <v>433888</v>
      </c>
    </row>
    <row r="6829" spans="1:22">
      <c r="A6829" t="s">
        <v>196</v>
      </c>
      <c r="B6829">
        <v>85</v>
      </c>
      <c r="C6829" t="s">
        <v>2177</v>
      </c>
      <c r="D6829">
        <v>740</v>
      </c>
      <c r="E6829" t="s">
        <v>2208</v>
      </c>
      <c r="F6829">
        <v>1005</v>
      </c>
      <c r="G6829" t="s">
        <v>2177</v>
      </c>
      <c r="H6829">
        <v>2015</v>
      </c>
      <c r="I6829" t="s">
        <v>4</v>
      </c>
      <c r="J6829">
        <v>3015</v>
      </c>
      <c r="K6829" t="s">
        <v>4</v>
      </c>
      <c r="L6829">
        <v>4727</v>
      </c>
      <c r="M6829" t="s">
        <v>2181</v>
      </c>
      <c r="N6829" t="s">
        <v>721</v>
      </c>
      <c r="O6829">
        <v>45</v>
      </c>
      <c r="P6829">
        <v>4225</v>
      </c>
      <c r="Q6829" t="s">
        <v>1904</v>
      </c>
      <c r="R6829" t="s">
        <v>713</v>
      </c>
      <c r="S6829">
        <v>1</v>
      </c>
      <c r="T6829">
        <v>1</v>
      </c>
      <c r="U6829">
        <v>26.45</v>
      </c>
      <c r="V6829">
        <v>55016</v>
      </c>
    </row>
    <row r="6830" spans="1:22">
      <c r="A6830" t="s">
        <v>196</v>
      </c>
      <c r="B6830">
        <v>85</v>
      </c>
      <c r="C6830" t="s">
        <v>2177</v>
      </c>
      <c r="D6830">
        <v>740</v>
      </c>
      <c r="E6830" t="s">
        <v>2208</v>
      </c>
      <c r="F6830">
        <v>1005</v>
      </c>
      <c r="G6830" t="s">
        <v>2177</v>
      </c>
      <c r="H6830">
        <v>2015</v>
      </c>
      <c r="I6830" t="s">
        <v>4</v>
      </c>
      <c r="J6830">
        <v>3015</v>
      </c>
      <c r="K6830" t="s">
        <v>4</v>
      </c>
      <c r="L6830">
        <v>4727</v>
      </c>
      <c r="M6830" t="s">
        <v>2181</v>
      </c>
      <c r="N6830" t="s">
        <v>721</v>
      </c>
      <c r="O6830">
        <v>45</v>
      </c>
      <c r="P6830">
        <v>4225</v>
      </c>
      <c r="Q6830" t="s">
        <v>1904</v>
      </c>
      <c r="R6830" t="s">
        <v>713</v>
      </c>
      <c r="S6830">
        <v>5</v>
      </c>
      <c r="T6830">
        <v>1</v>
      </c>
      <c r="U6830">
        <v>22.8</v>
      </c>
      <c r="V6830">
        <v>237120</v>
      </c>
    </row>
    <row r="6831" spans="1:22">
      <c r="A6831" t="s">
        <v>196</v>
      </c>
      <c r="B6831">
        <v>85</v>
      </c>
      <c r="C6831" t="s">
        <v>2177</v>
      </c>
      <c r="D6831">
        <v>740</v>
      </c>
      <c r="E6831" t="s">
        <v>2208</v>
      </c>
      <c r="F6831">
        <v>1005</v>
      </c>
      <c r="G6831" t="s">
        <v>2177</v>
      </c>
      <c r="H6831">
        <v>2015</v>
      </c>
      <c r="I6831" t="s">
        <v>4</v>
      </c>
      <c r="J6831">
        <v>3015</v>
      </c>
      <c r="K6831" t="s">
        <v>4</v>
      </c>
      <c r="L6831">
        <v>4727</v>
      </c>
      <c r="M6831" t="s">
        <v>2181</v>
      </c>
      <c r="N6831" t="s">
        <v>721</v>
      </c>
      <c r="O6831">
        <v>45</v>
      </c>
      <c r="P6831">
        <v>4225</v>
      </c>
      <c r="Q6831" t="s">
        <v>1904</v>
      </c>
      <c r="R6831" t="s">
        <v>713</v>
      </c>
      <c r="S6831">
        <v>1</v>
      </c>
      <c r="T6831">
        <v>1</v>
      </c>
      <c r="U6831">
        <v>19.600000000000001</v>
      </c>
      <c r="V6831">
        <v>40768</v>
      </c>
    </row>
    <row r="6832" spans="1:22">
      <c r="A6832" t="s">
        <v>196</v>
      </c>
      <c r="B6832">
        <v>85</v>
      </c>
      <c r="C6832" t="s">
        <v>2177</v>
      </c>
      <c r="D6832">
        <v>740</v>
      </c>
      <c r="E6832" t="s">
        <v>2208</v>
      </c>
      <c r="F6832">
        <v>1005</v>
      </c>
      <c r="G6832" t="s">
        <v>2177</v>
      </c>
      <c r="H6832">
        <v>2015</v>
      </c>
      <c r="I6832" t="s">
        <v>4</v>
      </c>
      <c r="J6832">
        <v>3015</v>
      </c>
      <c r="K6832" t="s">
        <v>4</v>
      </c>
      <c r="L6832">
        <v>4727</v>
      </c>
      <c r="M6832" t="s">
        <v>2181</v>
      </c>
      <c r="N6832" t="s">
        <v>721</v>
      </c>
      <c r="O6832">
        <v>45</v>
      </c>
      <c r="P6832">
        <v>4223</v>
      </c>
      <c r="Q6832" t="s">
        <v>942</v>
      </c>
      <c r="R6832" t="s">
        <v>713</v>
      </c>
      <c r="S6832">
        <v>7</v>
      </c>
      <c r="T6832">
        <v>1</v>
      </c>
      <c r="U6832">
        <v>26.05</v>
      </c>
      <c r="V6832">
        <v>379288</v>
      </c>
    </row>
    <row r="6833" spans="1:22">
      <c r="A6833" t="s">
        <v>196</v>
      </c>
      <c r="B6833">
        <v>85</v>
      </c>
      <c r="C6833" t="s">
        <v>2177</v>
      </c>
      <c r="D6833">
        <v>740</v>
      </c>
      <c r="E6833" t="s">
        <v>2208</v>
      </c>
      <c r="F6833">
        <v>1005</v>
      </c>
      <c r="G6833" t="s">
        <v>2177</v>
      </c>
      <c r="H6833">
        <v>2015</v>
      </c>
      <c r="I6833" t="s">
        <v>4</v>
      </c>
      <c r="J6833">
        <v>3015</v>
      </c>
      <c r="K6833" t="s">
        <v>4</v>
      </c>
      <c r="L6833">
        <v>4727</v>
      </c>
      <c r="M6833" t="s">
        <v>2181</v>
      </c>
      <c r="N6833" t="s">
        <v>721</v>
      </c>
      <c r="O6833">
        <v>45</v>
      </c>
      <c r="P6833">
        <v>4223</v>
      </c>
      <c r="Q6833" t="s">
        <v>942</v>
      </c>
      <c r="R6833" t="s">
        <v>713</v>
      </c>
      <c r="S6833">
        <v>22</v>
      </c>
      <c r="T6833">
        <v>1</v>
      </c>
      <c r="U6833">
        <v>22.4</v>
      </c>
      <c r="V6833">
        <v>1025024</v>
      </c>
    </row>
    <row r="6834" spans="1:22">
      <c r="A6834" t="s">
        <v>196</v>
      </c>
      <c r="B6834">
        <v>85</v>
      </c>
      <c r="C6834" t="s">
        <v>2177</v>
      </c>
      <c r="D6834">
        <v>740</v>
      </c>
      <c r="E6834" t="s">
        <v>2208</v>
      </c>
      <c r="F6834">
        <v>1005</v>
      </c>
      <c r="G6834" t="s">
        <v>2177</v>
      </c>
      <c r="H6834">
        <v>2015</v>
      </c>
      <c r="I6834" t="s">
        <v>4</v>
      </c>
      <c r="J6834">
        <v>3015</v>
      </c>
      <c r="K6834" t="s">
        <v>4</v>
      </c>
      <c r="L6834">
        <v>4727</v>
      </c>
      <c r="M6834" t="s">
        <v>2181</v>
      </c>
      <c r="N6834" t="s">
        <v>721</v>
      </c>
      <c r="O6834">
        <v>45</v>
      </c>
      <c r="P6834">
        <v>4223</v>
      </c>
      <c r="Q6834" t="s">
        <v>942</v>
      </c>
      <c r="R6834" t="s">
        <v>713</v>
      </c>
      <c r="S6834">
        <v>3</v>
      </c>
      <c r="T6834">
        <v>1</v>
      </c>
      <c r="U6834">
        <v>20.5</v>
      </c>
      <c r="V6834">
        <v>127920</v>
      </c>
    </row>
    <row r="6835" spans="1:22">
      <c r="A6835" t="s">
        <v>196</v>
      </c>
      <c r="B6835">
        <v>85</v>
      </c>
      <c r="C6835" t="s">
        <v>2177</v>
      </c>
      <c r="D6835">
        <v>740</v>
      </c>
      <c r="E6835" t="s">
        <v>2208</v>
      </c>
      <c r="F6835">
        <v>1005</v>
      </c>
      <c r="G6835" t="s">
        <v>2177</v>
      </c>
      <c r="H6835">
        <v>2015</v>
      </c>
      <c r="I6835" t="s">
        <v>4</v>
      </c>
      <c r="J6835">
        <v>3015</v>
      </c>
      <c r="K6835" t="s">
        <v>4</v>
      </c>
      <c r="L6835">
        <v>4727</v>
      </c>
      <c r="M6835" t="s">
        <v>2181</v>
      </c>
      <c r="N6835" t="s">
        <v>721</v>
      </c>
      <c r="O6835">
        <v>45</v>
      </c>
      <c r="P6835">
        <v>4223</v>
      </c>
      <c r="Q6835" t="s">
        <v>942</v>
      </c>
      <c r="R6835" t="s">
        <v>713</v>
      </c>
      <c r="S6835">
        <v>7</v>
      </c>
      <c r="T6835">
        <v>1</v>
      </c>
      <c r="U6835">
        <v>20</v>
      </c>
      <c r="V6835">
        <v>291200</v>
      </c>
    </row>
    <row r="6836" spans="1:22">
      <c r="A6836" t="s">
        <v>196</v>
      </c>
      <c r="B6836">
        <v>85</v>
      </c>
      <c r="C6836" t="s">
        <v>2177</v>
      </c>
      <c r="D6836">
        <v>740</v>
      </c>
      <c r="E6836" t="s">
        <v>2208</v>
      </c>
      <c r="F6836">
        <v>1005</v>
      </c>
      <c r="G6836" t="s">
        <v>2177</v>
      </c>
      <c r="H6836">
        <v>2015</v>
      </c>
      <c r="I6836" t="s">
        <v>4</v>
      </c>
      <c r="J6836">
        <v>3015</v>
      </c>
      <c r="K6836" t="s">
        <v>4</v>
      </c>
      <c r="L6836">
        <v>4727</v>
      </c>
      <c r="M6836" t="s">
        <v>2181</v>
      </c>
      <c r="N6836" t="s">
        <v>721</v>
      </c>
      <c r="O6836">
        <v>45</v>
      </c>
      <c r="P6836">
        <v>4223</v>
      </c>
      <c r="Q6836" t="s">
        <v>942</v>
      </c>
      <c r="R6836" t="s">
        <v>713</v>
      </c>
      <c r="S6836">
        <v>14</v>
      </c>
      <c r="T6836">
        <v>1</v>
      </c>
      <c r="U6836">
        <v>19.5</v>
      </c>
      <c r="V6836">
        <v>567840</v>
      </c>
    </row>
    <row r="6837" spans="1:22">
      <c r="A6837" t="s">
        <v>196</v>
      </c>
      <c r="B6837">
        <v>85</v>
      </c>
      <c r="C6837" t="s">
        <v>2177</v>
      </c>
      <c r="D6837">
        <v>740</v>
      </c>
      <c r="E6837" t="s">
        <v>2208</v>
      </c>
      <c r="F6837">
        <v>1005</v>
      </c>
      <c r="G6837" t="s">
        <v>2177</v>
      </c>
      <c r="H6837">
        <v>2015</v>
      </c>
      <c r="I6837" t="s">
        <v>4</v>
      </c>
      <c r="J6837">
        <v>3015</v>
      </c>
      <c r="K6837" t="s">
        <v>4</v>
      </c>
      <c r="L6837">
        <v>4727</v>
      </c>
      <c r="M6837" t="s">
        <v>2181</v>
      </c>
      <c r="N6837" t="s">
        <v>721</v>
      </c>
      <c r="O6837">
        <v>45</v>
      </c>
      <c r="P6837">
        <v>4223</v>
      </c>
      <c r="Q6837" t="s">
        <v>942</v>
      </c>
      <c r="R6837" t="s">
        <v>713</v>
      </c>
      <c r="S6837">
        <v>31</v>
      </c>
      <c r="T6837">
        <v>1</v>
      </c>
      <c r="U6837">
        <v>19</v>
      </c>
      <c r="V6837">
        <v>1225120</v>
      </c>
    </row>
    <row r="6838" spans="1:22">
      <c r="A6838" t="s">
        <v>196</v>
      </c>
      <c r="B6838">
        <v>85</v>
      </c>
      <c r="C6838" t="s">
        <v>2177</v>
      </c>
      <c r="D6838">
        <v>740</v>
      </c>
      <c r="E6838" t="s">
        <v>2208</v>
      </c>
      <c r="F6838">
        <v>1005</v>
      </c>
      <c r="G6838" t="s">
        <v>2177</v>
      </c>
      <c r="H6838">
        <v>2015</v>
      </c>
      <c r="I6838" t="s">
        <v>4</v>
      </c>
      <c r="J6838">
        <v>3015</v>
      </c>
      <c r="K6838" t="s">
        <v>4</v>
      </c>
      <c r="L6838">
        <v>4727</v>
      </c>
      <c r="M6838" t="s">
        <v>2181</v>
      </c>
      <c r="N6838" t="s">
        <v>721</v>
      </c>
      <c r="O6838">
        <v>45</v>
      </c>
      <c r="P6838">
        <v>4223</v>
      </c>
      <c r="Q6838" t="s">
        <v>942</v>
      </c>
      <c r="R6838" t="s">
        <v>713</v>
      </c>
      <c r="S6838">
        <v>1</v>
      </c>
      <c r="T6838">
        <v>1</v>
      </c>
      <c r="U6838">
        <v>15.8</v>
      </c>
      <c r="V6838">
        <v>32864</v>
      </c>
    </row>
    <row r="6839" spans="1:22">
      <c r="A6839" t="s">
        <v>196</v>
      </c>
      <c r="B6839">
        <v>85</v>
      </c>
      <c r="C6839" t="s">
        <v>2177</v>
      </c>
      <c r="D6839">
        <v>740</v>
      </c>
      <c r="E6839" t="s">
        <v>2208</v>
      </c>
      <c r="F6839">
        <v>1005</v>
      </c>
      <c r="G6839" t="s">
        <v>2177</v>
      </c>
      <c r="H6839">
        <v>2015</v>
      </c>
      <c r="I6839" t="s">
        <v>4</v>
      </c>
      <c r="J6839">
        <v>3015</v>
      </c>
      <c r="K6839" t="s">
        <v>4</v>
      </c>
      <c r="L6839">
        <v>4727</v>
      </c>
      <c r="M6839" t="s">
        <v>2181</v>
      </c>
      <c r="N6839" t="s">
        <v>199</v>
      </c>
      <c r="O6839">
        <v>0</v>
      </c>
      <c r="P6839">
        <v>12</v>
      </c>
      <c r="Q6839" t="s">
        <v>724</v>
      </c>
      <c r="R6839" t="s">
        <v>201</v>
      </c>
      <c r="S6839">
        <v>0</v>
      </c>
      <c r="T6839">
        <v>0</v>
      </c>
      <c r="U6839">
        <v>231347</v>
      </c>
      <c r="V6839">
        <v>231347</v>
      </c>
    </row>
    <row r="6840" spans="1:22">
      <c r="A6840" t="s">
        <v>196</v>
      </c>
      <c r="B6840">
        <v>85</v>
      </c>
      <c r="C6840" t="s">
        <v>2177</v>
      </c>
      <c r="D6840">
        <v>740</v>
      </c>
      <c r="E6840" t="s">
        <v>2208</v>
      </c>
      <c r="F6840">
        <v>1005</v>
      </c>
      <c r="G6840" t="s">
        <v>2177</v>
      </c>
      <c r="H6840">
        <v>2015</v>
      </c>
      <c r="I6840" t="s">
        <v>4</v>
      </c>
      <c r="J6840">
        <v>3015</v>
      </c>
      <c r="K6840" t="s">
        <v>4</v>
      </c>
      <c r="L6840">
        <v>4800</v>
      </c>
      <c r="M6840" t="s">
        <v>2258</v>
      </c>
      <c r="N6840" t="s">
        <v>1297</v>
      </c>
      <c r="O6840">
        <v>0</v>
      </c>
      <c r="P6840">
        <v>9823</v>
      </c>
      <c r="Q6840" t="s">
        <v>600</v>
      </c>
      <c r="R6840" t="s">
        <v>201</v>
      </c>
      <c r="S6840">
        <v>1</v>
      </c>
      <c r="T6840">
        <v>1</v>
      </c>
      <c r="U6840">
        <v>205200</v>
      </c>
      <c r="V6840">
        <v>205200</v>
      </c>
    </row>
    <row r="6841" spans="1:22">
      <c r="A6841" t="s">
        <v>196</v>
      </c>
      <c r="B6841">
        <v>85</v>
      </c>
      <c r="C6841" t="s">
        <v>2177</v>
      </c>
      <c r="D6841">
        <v>740</v>
      </c>
      <c r="E6841" t="s">
        <v>2208</v>
      </c>
      <c r="F6841">
        <v>1005</v>
      </c>
      <c r="G6841" t="s">
        <v>2177</v>
      </c>
      <c r="H6841">
        <v>2015</v>
      </c>
      <c r="I6841" t="s">
        <v>4</v>
      </c>
      <c r="J6841">
        <v>3015</v>
      </c>
      <c r="K6841" t="s">
        <v>4</v>
      </c>
      <c r="L6841">
        <v>4800</v>
      </c>
      <c r="M6841" t="s">
        <v>2258</v>
      </c>
      <c r="N6841" t="s">
        <v>1294</v>
      </c>
      <c r="O6841">
        <v>0</v>
      </c>
      <c r="P6841">
        <v>9681</v>
      </c>
      <c r="Q6841" t="s">
        <v>338</v>
      </c>
      <c r="R6841" t="s">
        <v>201</v>
      </c>
      <c r="S6841">
        <v>1</v>
      </c>
      <c r="T6841">
        <v>1</v>
      </c>
      <c r="U6841">
        <v>184584</v>
      </c>
      <c r="V6841">
        <v>184584</v>
      </c>
    </row>
    <row r="6842" spans="1:22">
      <c r="A6842" t="s">
        <v>196</v>
      </c>
      <c r="B6842">
        <v>85</v>
      </c>
      <c r="C6842" t="s">
        <v>2177</v>
      </c>
      <c r="D6842">
        <v>740</v>
      </c>
      <c r="E6842" t="s">
        <v>2208</v>
      </c>
      <c r="F6842">
        <v>1005</v>
      </c>
      <c r="G6842" t="s">
        <v>2177</v>
      </c>
      <c r="H6842">
        <v>2015</v>
      </c>
      <c r="I6842" t="s">
        <v>4</v>
      </c>
      <c r="J6842">
        <v>3015</v>
      </c>
      <c r="K6842" t="s">
        <v>4</v>
      </c>
      <c r="L6842">
        <v>4800</v>
      </c>
      <c r="M6842" t="s">
        <v>2258</v>
      </c>
      <c r="N6842" t="s">
        <v>2259</v>
      </c>
      <c r="O6842">
        <v>60</v>
      </c>
      <c r="P6842">
        <v>7008</v>
      </c>
      <c r="Q6842" t="s">
        <v>2260</v>
      </c>
      <c r="R6842" t="s">
        <v>201</v>
      </c>
      <c r="S6842">
        <v>8</v>
      </c>
      <c r="T6842">
        <v>1</v>
      </c>
      <c r="U6842">
        <v>66972</v>
      </c>
      <c r="V6842">
        <v>535776</v>
      </c>
    </row>
    <row r="6843" spans="1:22">
      <c r="A6843" t="s">
        <v>196</v>
      </c>
      <c r="B6843">
        <v>85</v>
      </c>
      <c r="C6843" t="s">
        <v>2177</v>
      </c>
      <c r="D6843">
        <v>740</v>
      </c>
      <c r="E6843" t="s">
        <v>2208</v>
      </c>
      <c r="F6843">
        <v>1005</v>
      </c>
      <c r="G6843" t="s">
        <v>2177</v>
      </c>
      <c r="H6843">
        <v>2015</v>
      </c>
      <c r="I6843" t="s">
        <v>4</v>
      </c>
      <c r="J6843">
        <v>3015</v>
      </c>
      <c r="K6843" t="s">
        <v>4</v>
      </c>
      <c r="L6843">
        <v>4800</v>
      </c>
      <c r="M6843" t="s">
        <v>2258</v>
      </c>
      <c r="N6843" t="s">
        <v>2259</v>
      </c>
      <c r="O6843">
        <v>60</v>
      </c>
      <c r="P6843">
        <v>7008</v>
      </c>
      <c r="Q6843" t="s">
        <v>2260</v>
      </c>
      <c r="R6843" t="s">
        <v>201</v>
      </c>
      <c r="S6843">
        <v>1</v>
      </c>
      <c r="T6843">
        <v>1</v>
      </c>
      <c r="U6843">
        <v>63852</v>
      </c>
      <c r="V6843">
        <v>63852</v>
      </c>
    </row>
    <row r="6844" spans="1:22">
      <c r="A6844" t="s">
        <v>196</v>
      </c>
      <c r="B6844">
        <v>85</v>
      </c>
      <c r="C6844" t="s">
        <v>2177</v>
      </c>
      <c r="D6844">
        <v>740</v>
      </c>
      <c r="E6844" t="s">
        <v>2208</v>
      </c>
      <c r="F6844">
        <v>1005</v>
      </c>
      <c r="G6844" t="s">
        <v>2177</v>
      </c>
      <c r="H6844">
        <v>2015</v>
      </c>
      <c r="I6844" t="s">
        <v>4</v>
      </c>
      <c r="J6844">
        <v>3015</v>
      </c>
      <c r="K6844" t="s">
        <v>4</v>
      </c>
      <c r="L6844">
        <v>4800</v>
      </c>
      <c r="M6844" t="s">
        <v>2258</v>
      </c>
      <c r="N6844" t="s">
        <v>2259</v>
      </c>
      <c r="O6844">
        <v>60</v>
      </c>
      <c r="P6844">
        <v>7008</v>
      </c>
      <c r="Q6844" t="s">
        <v>2260</v>
      </c>
      <c r="R6844" t="s">
        <v>201</v>
      </c>
      <c r="S6844">
        <v>3</v>
      </c>
      <c r="T6844">
        <v>1</v>
      </c>
      <c r="U6844">
        <v>61032</v>
      </c>
      <c r="V6844">
        <v>183096</v>
      </c>
    </row>
    <row r="6845" spans="1:22">
      <c r="A6845" t="s">
        <v>196</v>
      </c>
      <c r="B6845">
        <v>85</v>
      </c>
      <c r="C6845" t="s">
        <v>2177</v>
      </c>
      <c r="D6845">
        <v>740</v>
      </c>
      <c r="E6845" t="s">
        <v>2208</v>
      </c>
      <c r="F6845">
        <v>1005</v>
      </c>
      <c r="G6845" t="s">
        <v>2177</v>
      </c>
      <c r="H6845">
        <v>2015</v>
      </c>
      <c r="I6845" t="s">
        <v>4</v>
      </c>
      <c r="J6845">
        <v>3015</v>
      </c>
      <c r="K6845" t="s">
        <v>4</v>
      </c>
      <c r="L6845">
        <v>4800</v>
      </c>
      <c r="M6845" t="s">
        <v>2258</v>
      </c>
      <c r="N6845" t="s">
        <v>2259</v>
      </c>
      <c r="O6845">
        <v>60</v>
      </c>
      <c r="P6845">
        <v>7008</v>
      </c>
      <c r="Q6845" t="s">
        <v>2260</v>
      </c>
      <c r="R6845" t="s">
        <v>201</v>
      </c>
      <c r="S6845">
        <v>1</v>
      </c>
      <c r="T6845">
        <v>1</v>
      </c>
      <c r="U6845">
        <v>58188</v>
      </c>
      <c r="V6845">
        <v>58188</v>
      </c>
    </row>
    <row r="6846" spans="1:22">
      <c r="A6846" t="s">
        <v>196</v>
      </c>
      <c r="B6846">
        <v>85</v>
      </c>
      <c r="C6846" t="s">
        <v>2177</v>
      </c>
      <c r="D6846">
        <v>740</v>
      </c>
      <c r="E6846" t="s">
        <v>2208</v>
      </c>
      <c r="F6846">
        <v>1005</v>
      </c>
      <c r="G6846" t="s">
        <v>2177</v>
      </c>
      <c r="H6846">
        <v>2015</v>
      </c>
      <c r="I6846" t="s">
        <v>4</v>
      </c>
      <c r="J6846">
        <v>3015</v>
      </c>
      <c r="K6846" t="s">
        <v>4</v>
      </c>
      <c r="L6846">
        <v>4800</v>
      </c>
      <c r="M6846" t="s">
        <v>2258</v>
      </c>
      <c r="N6846" t="s">
        <v>253</v>
      </c>
      <c r="O6846">
        <v>10</v>
      </c>
      <c r="P6846">
        <v>7004</v>
      </c>
      <c r="Q6846" t="s">
        <v>2201</v>
      </c>
      <c r="R6846" t="s">
        <v>201</v>
      </c>
      <c r="S6846">
        <v>1</v>
      </c>
      <c r="T6846">
        <v>1</v>
      </c>
      <c r="U6846">
        <v>136692</v>
      </c>
      <c r="V6846">
        <v>136692</v>
      </c>
    </row>
    <row r="6847" spans="1:22">
      <c r="A6847" t="s">
        <v>196</v>
      </c>
      <c r="B6847">
        <v>85</v>
      </c>
      <c r="C6847" t="s">
        <v>2177</v>
      </c>
      <c r="D6847">
        <v>740</v>
      </c>
      <c r="E6847" t="s">
        <v>2208</v>
      </c>
      <c r="F6847">
        <v>1005</v>
      </c>
      <c r="G6847" t="s">
        <v>2177</v>
      </c>
      <c r="H6847">
        <v>2015</v>
      </c>
      <c r="I6847" t="s">
        <v>4</v>
      </c>
      <c r="J6847">
        <v>3015</v>
      </c>
      <c r="K6847" t="s">
        <v>4</v>
      </c>
      <c r="L6847">
        <v>4800</v>
      </c>
      <c r="M6847" t="s">
        <v>2258</v>
      </c>
      <c r="N6847" t="s">
        <v>1450</v>
      </c>
      <c r="O6847">
        <v>2</v>
      </c>
      <c r="P6847">
        <v>4212</v>
      </c>
      <c r="Q6847" t="s">
        <v>2261</v>
      </c>
      <c r="R6847" t="s">
        <v>201</v>
      </c>
      <c r="S6847">
        <v>1</v>
      </c>
      <c r="T6847">
        <v>1</v>
      </c>
      <c r="U6847">
        <v>99708</v>
      </c>
      <c r="V6847">
        <v>99708</v>
      </c>
    </row>
    <row r="6848" spans="1:22">
      <c r="A6848" t="s">
        <v>196</v>
      </c>
      <c r="B6848">
        <v>85</v>
      </c>
      <c r="C6848" t="s">
        <v>2177</v>
      </c>
      <c r="D6848">
        <v>740</v>
      </c>
      <c r="E6848" t="s">
        <v>2208</v>
      </c>
      <c r="F6848">
        <v>1005</v>
      </c>
      <c r="G6848" t="s">
        <v>2177</v>
      </c>
      <c r="H6848">
        <v>2015</v>
      </c>
      <c r="I6848" t="s">
        <v>4</v>
      </c>
      <c r="J6848">
        <v>3015</v>
      </c>
      <c r="K6848" t="s">
        <v>4</v>
      </c>
      <c r="L6848">
        <v>4800</v>
      </c>
      <c r="M6848" t="s">
        <v>2258</v>
      </c>
      <c r="N6848" t="s">
        <v>1450</v>
      </c>
      <c r="O6848">
        <v>2</v>
      </c>
      <c r="P6848">
        <v>4212</v>
      </c>
      <c r="Q6848" t="s">
        <v>2261</v>
      </c>
      <c r="R6848" t="s">
        <v>201</v>
      </c>
      <c r="S6848">
        <v>2</v>
      </c>
      <c r="T6848">
        <v>1</v>
      </c>
      <c r="U6848">
        <v>90876</v>
      </c>
      <c r="V6848">
        <v>181752</v>
      </c>
    </row>
    <row r="6849" spans="1:22">
      <c r="A6849" t="s">
        <v>196</v>
      </c>
      <c r="B6849">
        <v>85</v>
      </c>
      <c r="C6849" t="s">
        <v>2177</v>
      </c>
      <c r="D6849">
        <v>740</v>
      </c>
      <c r="E6849" t="s">
        <v>2208</v>
      </c>
      <c r="F6849">
        <v>1005</v>
      </c>
      <c r="G6849" t="s">
        <v>2177</v>
      </c>
      <c r="H6849">
        <v>2015</v>
      </c>
      <c r="I6849" t="s">
        <v>4</v>
      </c>
      <c r="J6849">
        <v>3015</v>
      </c>
      <c r="K6849" t="s">
        <v>4</v>
      </c>
      <c r="L6849">
        <v>4800</v>
      </c>
      <c r="M6849" t="s">
        <v>2258</v>
      </c>
      <c r="N6849" t="s">
        <v>1450</v>
      </c>
      <c r="O6849">
        <v>2</v>
      </c>
      <c r="P6849">
        <v>4212</v>
      </c>
      <c r="Q6849" t="s">
        <v>2261</v>
      </c>
      <c r="R6849" t="s">
        <v>201</v>
      </c>
      <c r="S6849">
        <v>2</v>
      </c>
      <c r="T6849">
        <v>1</v>
      </c>
      <c r="U6849">
        <v>86772</v>
      </c>
      <c r="V6849">
        <v>173544</v>
      </c>
    </row>
    <row r="6850" spans="1:22">
      <c r="A6850" t="s">
        <v>196</v>
      </c>
      <c r="B6850">
        <v>85</v>
      </c>
      <c r="C6850" t="s">
        <v>2177</v>
      </c>
      <c r="D6850">
        <v>740</v>
      </c>
      <c r="E6850" t="s">
        <v>2208</v>
      </c>
      <c r="F6850">
        <v>1005</v>
      </c>
      <c r="G6850" t="s">
        <v>2177</v>
      </c>
      <c r="H6850">
        <v>2015</v>
      </c>
      <c r="I6850" t="s">
        <v>4</v>
      </c>
      <c r="J6850">
        <v>3015</v>
      </c>
      <c r="K6850" t="s">
        <v>4</v>
      </c>
      <c r="L6850">
        <v>4800</v>
      </c>
      <c r="M6850" t="s">
        <v>2258</v>
      </c>
      <c r="N6850" t="s">
        <v>1450</v>
      </c>
      <c r="O6850">
        <v>2</v>
      </c>
      <c r="P6850">
        <v>4212</v>
      </c>
      <c r="Q6850" t="s">
        <v>2261</v>
      </c>
      <c r="R6850" t="s">
        <v>201</v>
      </c>
      <c r="S6850">
        <v>1</v>
      </c>
      <c r="T6850">
        <v>1</v>
      </c>
      <c r="U6850">
        <v>77988</v>
      </c>
      <c r="V6850">
        <v>77988</v>
      </c>
    </row>
    <row r="6851" spans="1:22">
      <c r="A6851" t="s">
        <v>196</v>
      </c>
      <c r="B6851">
        <v>85</v>
      </c>
      <c r="C6851" t="s">
        <v>2177</v>
      </c>
      <c r="D6851">
        <v>740</v>
      </c>
      <c r="E6851" t="s">
        <v>2208</v>
      </c>
      <c r="F6851">
        <v>1005</v>
      </c>
      <c r="G6851" t="s">
        <v>2177</v>
      </c>
      <c r="H6851">
        <v>2015</v>
      </c>
      <c r="I6851" t="s">
        <v>4</v>
      </c>
      <c r="J6851">
        <v>3015</v>
      </c>
      <c r="K6851" t="s">
        <v>4</v>
      </c>
      <c r="L6851">
        <v>4800</v>
      </c>
      <c r="M6851" t="s">
        <v>2258</v>
      </c>
      <c r="N6851" t="s">
        <v>1450</v>
      </c>
      <c r="O6851">
        <v>2</v>
      </c>
      <c r="P6851">
        <v>4212</v>
      </c>
      <c r="Q6851" t="s">
        <v>2261</v>
      </c>
      <c r="R6851" t="s">
        <v>201</v>
      </c>
      <c r="S6851">
        <v>1</v>
      </c>
      <c r="T6851">
        <v>1</v>
      </c>
      <c r="U6851">
        <v>67884</v>
      </c>
      <c r="V6851">
        <v>67884</v>
      </c>
    </row>
    <row r="6852" spans="1:22">
      <c r="A6852" t="s">
        <v>196</v>
      </c>
      <c r="B6852">
        <v>85</v>
      </c>
      <c r="C6852" t="s">
        <v>2177</v>
      </c>
      <c r="D6852">
        <v>740</v>
      </c>
      <c r="E6852" t="s">
        <v>2208</v>
      </c>
      <c r="F6852">
        <v>1005</v>
      </c>
      <c r="G6852" t="s">
        <v>2177</v>
      </c>
      <c r="H6852">
        <v>2015</v>
      </c>
      <c r="I6852" t="s">
        <v>4</v>
      </c>
      <c r="J6852">
        <v>3015</v>
      </c>
      <c r="K6852" t="s">
        <v>4</v>
      </c>
      <c r="L6852">
        <v>4800</v>
      </c>
      <c r="M6852" t="s">
        <v>2258</v>
      </c>
      <c r="N6852" t="s">
        <v>1351</v>
      </c>
      <c r="O6852">
        <v>2</v>
      </c>
      <c r="P6852">
        <v>4211</v>
      </c>
      <c r="Q6852" t="s">
        <v>2192</v>
      </c>
      <c r="R6852" t="s">
        <v>713</v>
      </c>
      <c r="S6852">
        <v>35740</v>
      </c>
      <c r="T6852">
        <v>0</v>
      </c>
      <c r="U6852">
        <v>28.76</v>
      </c>
      <c r="V6852">
        <v>1027882</v>
      </c>
    </row>
    <row r="6853" spans="1:22">
      <c r="A6853" t="s">
        <v>196</v>
      </c>
      <c r="B6853">
        <v>85</v>
      </c>
      <c r="C6853" t="s">
        <v>2177</v>
      </c>
      <c r="D6853">
        <v>740</v>
      </c>
      <c r="E6853" t="s">
        <v>2208</v>
      </c>
      <c r="F6853">
        <v>1005</v>
      </c>
      <c r="G6853" t="s">
        <v>2177</v>
      </c>
      <c r="H6853">
        <v>2015</v>
      </c>
      <c r="I6853" t="s">
        <v>4</v>
      </c>
      <c r="J6853">
        <v>3015</v>
      </c>
      <c r="K6853" t="s">
        <v>4</v>
      </c>
      <c r="L6853">
        <v>4800</v>
      </c>
      <c r="M6853" t="s">
        <v>2258</v>
      </c>
      <c r="N6853" t="s">
        <v>716</v>
      </c>
      <c r="O6853">
        <v>2</v>
      </c>
      <c r="P6853">
        <v>4210</v>
      </c>
      <c r="Q6853" t="s">
        <v>2193</v>
      </c>
      <c r="R6853" t="s">
        <v>201</v>
      </c>
      <c r="S6853">
        <v>28</v>
      </c>
      <c r="T6853">
        <v>1</v>
      </c>
      <c r="U6853">
        <v>109404</v>
      </c>
      <c r="V6853">
        <v>3063312</v>
      </c>
    </row>
    <row r="6854" spans="1:22">
      <c r="A6854" t="s">
        <v>196</v>
      </c>
      <c r="B6854">
        <v>85</v>
      </c>
      <c r="C6854" t="s">
        <v>2177</v>
      </c>
      <c r="D6854">
        <v>740</v>
      </c>
      <c r="E6854" t="s">
        <v>2208</v>
      </c>
      <c r="F6854">
        <v>1005</v>
      </c>
      <c r="G6854" t="s">
        <v>2177</v>
      </c>
      <c r="H6854">
        <v>2015</v>
      </c>
      <c r="I6854" t="s">
        <v>4</v>
      </c>
      <c r="J6854">
        <v>3015</v>
      </c>
      <c r="K6854" t="s">
        <v>4</v>
      </c>
      <c r="L6854">
        <v>4800</v>
      </c>
      <c r="M6854" t="s">
        <v>2258</v>
      </c>
      <c r="N6854" t="s">
        <v>716</v>
      </c>
      <c r="O6854">
        <v>2</v>
      </c>
      <c r="P6854">
        <v>4210</v>
      </c>
      <c r="Q6854" t="s">
        <v>2193</v>
      </c>
      <c r="R6854" t="s">
        <v>201</v>
      </c>
      <c r="S6854">
        <v>4</v>
      </c>
      <c r="T6854">
        <v>1</v>
      </c>
      <c r="U6854">
        <v>104376</v>
      </c>
      <c r="V6854">
        <v>417504</v>
      </c>
    </row>
    <row r="6855" spans="1:22">
      <c r="A6855" t="s">
        <v>196</v>
      </c>
      <c r="B6855">
        <v>85</v>
      </c>
      <c r="C6855" t="s">
        <v>2177</v>
      </c>
      <c r="D6855">
        <v>740</v>
      </c>
      <c r="E6855" t="s">
        <v>2208</v>
      </c>
      <c r="F6855">
        <v>1005</v>
      </c>
      <c r="G6855" t="s">
        <v>2177</v>
      </c>
      <c r="H6855">
        <v>2015</v>
      </c>
      <c r="I6855" t="s">
        <v>4</v>
      </c>
      <c r="J6855">
        <v>3015</v>
      </c>
      <c r="K6855" t="s">
        <v>4</v>
      </c>
      <c r="L6855">
        <v>4800</v>
      </c>
      <c r="M6855" t="s">
        <v>2258</v>
      </c>
      <c r="N6855" t="s">
        <v>716</v>
      </c>
      <c r="O6855">
        <v>2</v>
      </c>
      <c r="P6855">
        <v>4210</v>
      </c>
      <c r="Q6855" t="s">
        <v>2193</v>
      </c>
      <c r="R6855" t="s">
        <v>201</v>
      </c>
      <c r="S6855">
        <v>9</v>
      </c>
      <c r="T6855">
        <v>1</v>
      </c>
      <c r="U6855">
        <v>99708</v>
      </c>
      <c r="V6855">
        <v>897372</v>
      </c>
    </row>
    <row r="6856" spans="1:22">
      <c r="A6856" t="s">
        <v>196</v>
      </c>
      <c r="B6856">
        <v>85</v>
      </c>
      <c r="C6856" t="s">
        <v>2177</v>
      </c>
      <c r="D6856">
        <v>740</v>
      </c>
      <c r="E6856" t="s">
        <v>2208</v>
      </c>
      <c r="F6856">
        <v>1005</v>
      </c>
      <c r="G6856" t="s">
        <v>2177</v>
      </c>
      <c r="H6856">
        <v>2015</v>
      </c>
      <c r="I6856" t="s">
        <v>4</v>
      </c>
      <c r="J6856">
        <v>3015</v>
      </c>
      <c r="K6856" t="s">
        <v>4</v>
      </c>
      <c r="L6856">
        <v>4800</v>
      </c>
      <c r="M6856" t="s">
        <v>2258</v>
      </c>
      <c r="N6856" t="s">
        <v>716</v>
      </c>
      <c r="O6856">
        <v>2</v>
      </c>
      <c r="P6856">
        <v>4210</v>
      </c>
      <c r="Q6856" t="s">
        <v>2193</v>
      </c>
      <c r="R6856" t="s">
        <v>201</v>
      </c>
      <c r="S6856">
        <v>13</v>
      </c>
      <c r="T6856">
        <v>1</v>
      </c>
      <c r="U6856">
        <v>95160</v>
      </c>
      <c r="V6856">
        <v>1237080</v>
      </c>
    </row>
    <row r="6857" spans="1:22">
      <c r="A6857" t="s">
        <v>196</v>
      </c>
      <c r="B6857">
        <v>85</v>
      </c>
      <c r="C6857" t="s">
        <v>2177</v>
      </c>
      <c r="D6857">
        <v>740</v>
      </c>
      <c r="E6857" t="s">
        <v>2208</v>
      </c>
      <c r="F6857">
        <v>1005</v>
      </c>
      <c r="G6857" t="s">
        <v>2177</v>
      </c>
      <c r="H6857">
        <v>2015</v>
      </c>
      <c r="I6857" t="s">
        <v>4</v>
      </c>
      <c r="J6857">
        <v>3015</v>
      </c>
      <c r="K6857" t="s">
        <v>4</v>
      </c>
      <c r="L6857">
        <v>4800</v>
      </c>
      <c r="M6857" t="s">
        <v>2258</v>
      </c>
      <c r="N6857" t="s">
        <v>716</v>
      </c>
      <c r="O6857">
        <v>2</v>
      </c>
      <c r="P6857">
        <v>4210</v>
      </c>
      <c r="Q6857" t="s">
        <v>2193</v>
      </c>
      <c r="R6857" t="s">
        <v>201</v>
      </c>
      <c r="S6857">
        <v>14</v>
      </c>
      <c r="T6857">
        <v>1</v>
      </c>
      <c r="U6857">
        <v>90876</v>
      </c>
      <c r="V6857">
        <v>1272264</v>
      </c>
    </row>
    <row r="6858" spans="1:22">
      <c r="A6858" t="s">
        <v>196</v>
      </c>
      <c r="B6858">
        <v>85</v>
      </c>
      <c r="C6858" t="s">
        <v>2177</v>
      </c>
      <c r="D6858">
        <v>740</v>
      </c>
      <c r="E6858" t="s">
        <v>2208</v>
      </c>
      <c r="F6858">
        <v>1005</v>
      </c>
      <c r="G6858" t="s">
        <v>2177</v>
      </c>
      <c r="H6858">
        <v>2015</v>
      </c>
      <c r="I6858" t="s">
        <v>4</v>
      </c>
      <c r="J6858">
        <v>3015</v>
      </c>
      <c r="K6858" t="s">
        <v>4</v>
      </c>
      <c r="L6858">
        <v>4800</v>
      </c>
      <c r="M6858" t="s">
        <v>2258</v>
      </c>
      <c r="N6858" t="s">
        <v>716</v>
      </c>
      <c r="O6858">
        <v>2</v>
      </c>
      <c r="P6858">
        <v>4210</v>
      </c>
      <c r="Q6858" t="s">
        <v>2193</v>
      </c>
      <c r="R6858" t="s">
        <v>201</v>
      </c>
      <c r="S6858">
        <v>14</v>
      </c>
      <c r="T6858">
        <v>1</v>
      </c>
      <c r="U6858">
        <v>86772</v>
      </c>
      <c r="V6858">
        <v>1214808</v>
      </c>
    </row>
    <row r="6859" spans="1:22">
      <c r="A6859" t="s">
        <v>196</v>
      </c>
      <c r="B6859">
        <v>85</v>
      </c>
      <c r="C6859" t="s">
        <v>2177</v>
      </c>
      <c r="D6859">
        <v>740</v>
      </c>
      <c r="E6859" t="s">
        <v>2208</v>
      </c>
      <c r="F6859">
        <v>1005</v>
      </c>
      <c r="G6859" t="s">
        <v>2177</v>
      </c>
      <c r="H6859">
        <v>2015</v>
      </c>
      <c r="I6859" t="s">
        <v>4</v>
      </c>
      <c r="J6859">
        <v>3015</v>
      </c>
      <c r="K6859" t="s">
        <v>4</v>
      </c>
      <c r="L6859">
        <v>4800</v>
      </c>
      <c r="M6859" t="s">
        <v>2258</v>
      </c>
      <c r="N6859" t="s">
        <v>716</v>
      </c>
      <c r="O6859">
        <v>2</v>
      </c>
      <c r="P6859">
        <v>4210</v>
      </c>
      <c r="Q6859" t="s">
        <v>2193</v>
      </c>
      <c r="R6859" t="s">
        <v>201</v>
      </c>
      <c r="S6859">
        <v>14</v>
      </c>
      <c r="T6859">
        <v>1</v>
      </c>
      <c r="U6859">
        <v>82836</v>
      </c>
      <c r="V6859">
        <v>1159704</v>
      </c>
    </row>
    <row r="6860" spans="1:22">
      <c r="A6860" t="s">
        <v>196</v>
      </c>
      <c r="B6860">
        <v>85</v>
      </c>
      <c r="C6860" t="s">
        <v>2177</v>
      </c>
      <c r="D6860">
        <v>740</v>
      </c>
      <c r="E6860" t="s">
        <v>2208</v>
      </c>
      <c r="F6860">
        <v>1005</v>
      </c>
      <c r="G6860" t="s">
        <v>2177</v>
      </c>
      <c r="H6860">
        <v>2015</v>
      </c>
      <c r="I6860" t="s">
        <v>4</v>
      </c>
      <c r="J6860">
        <v>3015</v>
      </c>
      <c r="K6860" t="s">
        <v>4</v>
      </c>
      <c r="L6860">
        <v>4800</v>
      </c>
      <c r="M6860" t="s">
        <v>2258</v>
      </c>
      <c r="N6860" t="s">
        <v>716</v>
      </c>
      <c r="O6860">
        <v>2</v>
      </c>
      <c r="P6860">
        <v>4210</v>
      </c>
      <c r="Q6860" t="s">
        <v>2193</v>
      </c>
      <c r="R6860" t="s">
        <v>201</v>
      </c>
      <c r="S6860">
        <v>26</v>
      </c>
      <c r="T6860">
        <v>1</v>
      </c>
      <c r="U6860">
        <v>79056</v>
      </c>
      <c r="V6860">
        <v>2055456</v>
      </c>
    </row>
    <row r="6861" spans="1:22">
      <c r="A6861" t="s">
        <v>196</v>
      </c>
      <c r="B6861">
        <v>85</v>
      </c>
      <c r="C6861" t="s">
        <v>2177</v>
      </c>
      <c r="D6861">
        <v>740</v>
      </c>
      <c r="E6861" t="s">
        <v>2208</v>
      </c>
      <c r="F6861">
        <v>1005</v>
      </c>
      <c r="G6861" t="s">
        <v>2177</v>
      </c>
      <c r="H6861">
        <v>2015</v>
      </c>
      <c r="I6861" t="s">
        <v>4</v>
      </c>
      <c r="J6861">
        <v>3015</v>
      </c>
      <c r="K6861" t="s">
        <v>4</v>
      </c>
      <c r="L6861">
        <v>4800</v>
      </c>
      <c r="M6861" t="s">
        <v>2258</v>
      </c>
      <c r="N6861" t="s">
        <v>716</v>
      </c>
      <c r="O6861">
        <v>2</v>
      </c>
      <c r="P6861">
        <v>4210</v>
      </c>
      <c r="Q6861" t="s">
        <v>2193</v>
      </c>
      <c r="R6861" t="s">
        <v>201</v>
      </c>
      <c r="S6861">
        <v>31</v>
      </c>
      <c r="T6861">
        <v>1</v>
      </c>
      <c r="U6861">
        <v>71076</v>
      </c>
      <c r="V6861">
        <v>2203356</v>
      </c>
    </row>
    <row r="6862" spans="1:22">
      <c r="A6862" t="s">
        <v>196</v>
      </c>
      <c r="B6862">
        <v>85</v>
      </c>
      <c r="C6862" t="s">
        <v>2177</v>
      </c>
      <c r="D6862">
        <v>740</v>
      </c>
      <c r="E6862" t="s">
        <v>2208</v>
      </c>
      <c r="F6862">
        <v>1005</v>
      </c>
      <c r="G6862" t="s">
        <v>2177</v>
      </c>
      <c r="H6862">
        <v>2015</v>
      </c>
      <c r="I6862" t="s">
        <v>4</v>
      </c>
      <c r="J6862">
        <v>3015</v>
      </c>
      <c r="K6862" t="s">
        <v>4</v>
      </c>
      <c r="L6862">
        <v>4800</v>
      </c>
      <c r="M6862" t="s">
        <v>2258</v>
      </c>
      <c r="N6862" t="s">
        <v>716</v>
      </c>
      <c r="O6862">
        <v>2</v>
      </c>
      <c r="P6862">
        <v>4210</v>
      </c>
      <c r="Q6862" t="s">
        <v>2193</v>
      </c>
      <c r="R6862" t="s">
        <v>201</v>
      </c>
      <c r="S6862">
        <v>22</v>
      </c>
      <c r="T6862">
        <v>1</v>
      </c>
      <c r="U6862">
        <v>67884</v>
      </c>
      <c r="V6862">
        <v>1493448</v>
      </c>
    </row>
    <row r="6863" spans="1:22">
      <c r="A6863" t="s">
        <v>196</v>
      </c>
      <c r="B6863">
        <v>85</v>
      </c>
      <c r="C6863" t="s">
        <v>2177</v>
      </c>
      <c r="D6863">
        <v>740</v>
      </c>
      <c r="E6863" t="s">
        <v>2208</v>
      </c>
      <c r="F6863">
        <v>1005</v>
      </c>
      <c r="G6863" t="s">
        <v>2177</v>
      </c>
      <c r="H6863">
        <v>2015</v>
      </c>
      <c r="I6863" t="s">
        <v>4</v>
      </c>
      <c r="J6863">
        <v>3015</v>
      </c>
      <c r="K6863" t="s">
        <v>4</v>
      </c>
      <c r="L6863">
        <v>4800</v>
      </c>
      <c r="M6863" t="s">
        <v>2258</v>
      </c>
      <c r="N6863" t="s">
        <v>716</v>
      </c>
      <c r="O6863">
        <v>2</v>
      </c>
      <c r="P6863">
        <v>4210</v>
      </c>
      <c r="Q6863" t="s">
        <v>2193</v>
      </c>
      <c r="R6863" t="s">
        <v>201</v>
      </c>
      <c r="S6863">
        <v>59</v>
      </c>
      <c r="T6863">
        <v>1</v>
      </c>
      <c r="U6863">
        <v>64836</v>
      </c>
      <c r="V6863">
        <v>3825324</v>
      </c>
    </row>
    <row r="6864" spans="1:22">
      <c r="A6864" t="s">
        <v>196</v>
      </c>
      <c r="B6864">
        <v>85</v>
      </c>
      <c r="C6864" t="s">
        <v>2177</v>
      </c>
      <c r="D6864">
        <v>740</v>
      </c>
      <c r="E6864" t="s">
        <v>2208</v>
      </c>
      <c r="F6864">
        <v>1005</v>
      </c>
      <c r="G6864" t="s">
        <v>2177</v>
      </c>
      <c r="H6864">
        <v>2015</v>
      </c>
      <c r="I6864" t="s">
        <v>4</v>
      </c>
      <c r="J6864">
        <v>3015</v>
      </c>
      <c r="K6864" t="s">
        <v>4</v>
      </c>
      <c r="L6864">
        <v>4800</v>
      </c>
      <c r="M6864" t="s">
        <v>2258</v>
      </c>
      <c r="N6864" t="s">
        <v>716</v>
      </c>
      <c r="O6864">
        <v>2</v>
      </c>
      <c r="P6864">
        <v>4210</v>
      </c>
      <c r="Q6864" t="s">
        <v>2193</v>
      </c>
      <c r="R6864" t="s">
        <v>201</v>
      </c>
      <c r="S6864">
        <v>75</v>
      </c>
      <c r="T6864">
        <v>1</v>
      </c>
      <c r="U6864">
        <v>61824</v>
      </c>
      <c r="V6864">
        <v>4636800</v>
      </c>
    </row>
    <row r="6865" spans="1:22">
      <c r="A6865" t="s">
        <v>196</v>
      </c>
      <c r="B6865">
        <v>85</v>
      </c>
      <c r="C6865" t="s">
        <v>2177</v>
      </c>
      <c r="D6865">
        <v>740</v>
      </c>
      <c r="E6865" t="s">
        <v>2208</v>
      </c>
      <c r="F6865">
        <v>1005</v>
      </c>
      <c r="G6865" t="s">
        <v>2177</v>
      </c>
      <c r="H6865">
        <v>2015</v>
      </c>
      <c r="I6865" t="s">
        <v>4</v>
      </c>
      <c r="J6865">
        <v>3015</v>
      </c>
      <c r="K6865" t="s">
        <v>4</v>
      </c>
      <c r="L6865">
        <v>4800</v>
      </c>
      <c r="M6865" t="s">
        <v>2258</v>
      </c>
      <c r="N6865" t="s">
        <v>2194</v>
      </c>
      <c r="O6865">
        <v>58</v>
      </c>
      <c r="P6865">
        <v>4209</v>
      </c>
      <c r="Q6865" t="s">
        <v>2195</v>
      </c>
      <c r="R6865" t="s">
        <v>201</v>
      </c>
      <c r="S6865">
        <v>4</v>
      </c>
      <c r="T6865">
        <v>1</v>
      </c>
      <c r="U6865">
        <v>122712</v>
      </c>
      <c r="V6865">
        <v>490848</v>
      </c>
    </row>
    <row r="6866" spans="1:22">
      <c r="A6866" t="s">
        <v>196</v>
      </c>
      <c r="B6866">
        <v>85</v>
      </c>
      <c r="C6866" t="s">
        <v>2177</v>
      </c>
      <c r="D6866">
        <v>740</v>
      </c>
      <c r="E6866" t="s">
        <v>2208</v>
      </c>
      <c r="F6866">
        <v>1005</v>
      </c>
      <c r="G6866" t="s">
        <v>2177</v>
      </c>
      <c r="H6866">
        <v>2015</v>
      </c>
      <c r="I6866" t="s">
        <v>4</v>
      </c>
      <c r="J6866">
        <v>3015</v>
      </c>
      <c r="K6866" t="s">
        <v>4</v>
      </c>
      <c r="L6866">
        <v>4800</v>
      </c>
      <c r="M6866" t="s">
        <v>2258</v>
      </c>
      <c r="N6866" t="s">
        <v>2194</v>
      </c>
      <c r="O6866">
        <v>58</v>
      </c>
      <c r="P6866">
        <v>4209</v>
      </c>
      <c r="Q6866" t="s">
        <v>2195</v>
      </c>
      <c r="R6866" t="s">
        <v>201</v>
      </c>
      <c r="S6866">
        <v>1</v>
      </c>
      <c r="T6866">
        <v>1</v>
      </c>
      <c r="U6866">
        <v>106776</v>
      </c>
      <c r="V6866">
        <v>106776</v>
      </c>
    </row>
    <row r="6867" spans="1:22">
      <c r="A6867" t="s">
        <v>196</v>
      </c>
      <c r="B6867">
        <v>85</v>
      </c>
      <c r="C6867" t="s">
        <v>2177</v>
      </c>
      <c r="D6867">
        <v>740</v>
      </c>
      <c r="E6867" t="s">
        <v>2208</v>
      </c>
      <c r="F6867">
        <v>1005</v>
      </c>
      <c r="G6867" t="s">
        <v>2177</v>
      </c>
      <c r="H6867">
        <v>2015</v>
      </c>
      <c r="I6867" t="s">
        <v>4</v>
      </c>
      <c r="J6867">
        <v>3015</v>
      </c>
      <c r="K6867" t="s">
        <v>4</v>
      </c>
      <c r="L6867">
        <v>4800</v>
      </c>
      <c r="M6867" t="s">
        <v>2258</v>
      </c>
      <c r="N6867" t="s">
        <v>2194</v>
      </c>
      <c r="O6867">
        <v>58</v>
      </c>
      <c r="P6867">
        <v>4209</v>
      </c>
      <c r="Q6867" t="s">
        <v>2195</v>
      </c>
      <c r="R6867" t="s">
        <v>201</v>
      </c>
      <c r="S6867">
        <v>1</v>
      </c>
      <c r="T6867">
        <v>1</v>
      </c>
      <c r="U6867">
        <v>97260</v>
      </c>
      <c r="V6867">
        <v>97260</v>
      </c>
    </row>
    <row r="6868" spans="1:22">
      <c r="A6868" t="s">
        <v>196</v>
      </c>
      <c r="B6868">
        <v>85</v>
      </c>
      <c r="C6868" t="s">
        <v>2177</v>
      </c>
      <c r="D6868">
        <v>740</v>
      </c>
      <c r="E6868" t="s">
        <v>2208</v>
      </c>
      <c r="F6868">
        <v>1005</v>
      </c>
      <c r="G6868" t="s">
        <v>2177</v>
      </c>
      <c r="H6868">
        <v>2015</v>
      </c>
      <c r="I6868" t="s">
        <v>4</v>
      </c>
      <c r="J6868">
        <v>3015</v>
      </c>
      <c r="K6868" t="s">
        <v>4</v>
      </c>
      <c r="L6868">
        <v>4800</v>
      </c>
      <c r="M6868" t="s">
        <v>2258</v>
      </c>
      <c r="N6868" t="s">
        <v>2194</v>
      </c>
      <c r="O6868">
        <v>58</v>
      </c>
      <c r="P6868">
        <v>4209</v>
      </c>
      <c r="Q6868" t="s">
        <v>2195</v>
      </c>
      <c r="R6868" t="s">
        <v>201</v>
      </c>
      <c r="S6868">
        <v>1</v>
      </c>
      <c r="T6868">
        <v>1</v>
      </c>
      <c r="U6868">
        <v>92892</v>
      </c>
      <c r="V6868">
        <v>92892</v>
      </c>
    </row>
    <row r="6869" spans="1:22">
      <c r="A6869" t="s">
        <v>196</v>
      </c>
      <c r="B6869">
        <v>85</v>
      </c>
      <c r="C6869" t="s">
        <v>2177</v>
      </c>
      <c r="D6869">
        <v>740</v>
      </c>
      <c r="E6869" t="s">
        <v>2208</v>
      </c>
      <c r="F6869">
        <v>1005</v>
      </c>
      <c r="G6869" t="s">
        <v>2177</v>
      </c>
      <c r="H6869">
        <v>2015</v>
      </c>
      <c r="I6869" t="s">
        <v>4</v>
      </c>
      <c r="J6869">
        <v>3015</v>
      </c>
      <c r="K6869" t="s">
        <v>4</v>
      </c>
      <c r="L6869">
        <v>4800</v>
      </c>
      <c r="M6869" t="s">
        <v>2258</v>
      </c>
      <c r="N6869" t="s">
        <v>2194</v>
      </c>
      <c r="O6869">
        <v>58</v>
      </c>
      <c r="P6869">
        <v>4209</v>
      </c>
      <c r="Q6869" t="s">
        <v>2195</v>
      </c>
      <c r="R6869" t="s">
        <v>201</v>
      </c>
      <c r="S6869">
        <v>3</v>
      </c>
      <c r="T6869">
        <v>1</v>
      </c>
      <c r="U6869">
        <v>87768</v>
      </c>
      <c r="V6869">
        <v>263304</v>
      </c>
    </row>
    <row r="6870" spans="1:22">
      <c r="A6870" t="s">
        <v>196</v>
      </c>
      <c r="B6870">
        <v>85</v>
      </c>
      <c r="C6870" t="s">
        <v>2177</v>
      </c>
      <c r="D6870">
        <v>740</v>
      </c>
      <c r="E6870" t="s">
        <v>2208</v>
      </c>
      <c r="F6870">
        <v>1005</v>
      </c>
      <c r="G6870" t="s">
        <v>2177</v>
      </c>
      <c r="H6870">
        <v>2015</v>
      </c>
      <c r="I6870" t="s">
        <v>4</v>
      </c>
      <c r="J6870">
        <v>3015</v>
      </c>
      <c r="K6870" t="s">
        <v>4</v>
      </c>
      <c r="L6870">
        <v>4800</v>
      </c>
      <c r="M6870" t="s">
        <v>2258</v>
      </c>
      <c r="N6870" t="s">
        <v>2194</v>
      </c>
      <c r="O6870">
        <v>58</v>
      </c>
      <c r="P6870">
        <v>4209</v>
      </c>
      <c r="Q6870" t="s">
        <v>2195</v>
      </c>
      <c r="R6870" t="s">
        <v>201</v>
      </c>
      <c r="S6870">
        <v>6</v>
      </c>
      <c r="T6870">
        <v>1</v>
      </c>
      <c r="U6870">
        <v>86556</v>
      </c>
      <c r="V6870">
        <v>519336</v>
      </c>
    </row>
    <row r="6871" spans="1:22">
      <c r="A6871" t="s">
        <v>196</v>
      </c>
      <c r="B6871">
        <v>85</v>
      </c>
      <c r="C6871" t="s">
        <v>2177</v>
      </c>
      <c r="D6871">
        <v>740</v>
      </c>
      <c r="E6871" t="s">
        <v>2208</v>
      </c>
      <c r="F6871">
        <v>1005</v>
      </c>
      <c r="G6871" t="s">
        <v>2177</v>
      </c>
      <c r="H6871">
        <v>2015</v>
      </c>
      <c r="I6871" t="s">
        <v>4</v>
      </c>
      <c r="J6871">
        <v>3015</v>
      </c>
      <c r="K6871" t="s">
        <v>4</v>
      </c>
      <c r="L6871">
        <v>4800</v>
      </c>
      <c r="M6871" t="s">
        <v>2258</v>
      </c>
      <c r="N6871" t="s">
        <v>2194</v>
      </c>
      <c r="O6871">
        <v>58</v>
      </c>
      <c r="P6871">
        <v>4209</v>
      </c>
      <c r="Q6871" t="s">
        <v>2195</v>
      </c>
      <c r="R6871" t="s">
        <v>201</v>
      </c>
      <c r="S6871">
        <v>5</v>
      </c>
      <c r="T6871">
        <v>1</v>
      </c>
      <c r="U6871">
        <v>82584</v>
      </c>
      <c r="V6871">
        <v>412920</v>
      </c>
    </row>
    <row r="6872" spans="1:22">
      <c r="A6872" t="s">
        <v>196</v>
      </c>
      <c r="B6872">
        <v>85</v>
      </c>
      <c r="C6872" t="s">
        <v>2177</v>
      </c>
      <c r="D6872">
        <v>740</v>
      </c>
      <c r="E6872" t="s">
        <v>2208</v>
      </c>
      <c r="F6872">
        <v>1005</v>
      </c>
      <c r="G6872" t="s">
        <v>2177</v>
      </c>
      <c r="H6872">
        <v>2015</v>
      </c>
      <c r="I6872" t="s">
        <v>4</v>
      </c>
      <c r="J6872">
        <v>3015</v>
      </c>
      <c r="K6872" t="s">
        <v>4</v>
      </c>
      <c r="L6872">
        <v>4800</v>
      </c>
      <c r="M6872" t="s">
        <v>2258</v>
      </c>
      <c r="N6872" t="s">
        <v>2194</v>
      </c>
      <c r="O6872">
        <v>58</v>
      </c>
      <c r="P6872">
        <v>4209</v>
      </c>
      <c r="Q6872" t="s">
        <v>2195</v>
      </c>
      <c r="R6872" t="s">
        <v>201</v>
      </c>
      <c r="S6872">
        <v>3</v>
      </c>
      <c r="T6872">
        <v>1</v>
      </c>
      <c r="U6872">
        <v>78852</v>
      </c>
      <c r="V6872">
        <v>236556</v>
      </c>
    </row>
    <row r="6873" spans="1:22">
      <c r="A6873" t="s">
        <v>196</v>
      </c>
      <c r="B6873">
        <v>85</v>
      </c>
      <c r="C6873" t="s">
        <v>2177</v>
      </c>
      <c r="D6873">
        <v>740</v>
      </c>
      <c r="E6873" t="s">
        <v>2208</v>
      </c>
      <c r="F6873">
        <v>1005</v>
      </c>
      <c r="G6873" t="s">
        <v>2177</v>
      </c>
      <c r="H6873">
        <v>2015</v>
      </c>
      <c r="I6873" t="s">
        <v>4</v>
      </c>
      <c r="J6873">
        <v>3015</v>
      </c>
      <c r="K6873" t="s">
        <v>4</v>
      </c>
      <c r="L6873">
        <v>4800</v>
      </c>
      <c r="M6873" t="s">
        <v>2258</v>
      </c>
      <c r="N6873" t="s">
        <v>2194</v>
      </c>
      <c r="O6873">
        <v>58</v>
      </c>
      <c r="P6873">
        <v>4209</v>
      </c>
      <c r="Q6873" t="s">
        <v>2195</v>
      </c>
      <c r="R6873" t="s">
        <v>201</v>
      </c>
      <c r="S6873">
        <v>8</v>
      </c>
      <c r="T6873">
        <v>1</v>
      </c>
      <c r="U6873">
        <v>75276</v>
      </c>
      <c r="V6873">
        <v>602208</v>
      </c>
    </row>
    <row r="6874" spans="1:22">
      <c r="A6874" t="s">
        <v>196</v>
      </c>
      <c r="B6874">
        <v>85</v>
      </c>
      <c r="C6874" t="s">
        <v>2177</v>
      </c>
      <c r="D6874">
        <v>740</v>
      </c>
      <c r="E6874" t="s">
        <v>2208</v>
      </c>
      <c r="F6874">
        <v>1005</v>
      </c>
      <c r="G6874" t="s">
        <v>2177</v>
      </c>
      <c r="H6874">
        <v>2015</v>
      </c>
      <c r="I6874" t="s">
        <v>4</v>
      </c>
      <c r="J6874">
        <v>3015</v>
      </c>
      <c r="K6874" t="s">
        <v>4</v>
      </c>
      <c r="L6874">
        <v>4800</v>
      </c>
      <c r="M6874" t="s">
        <v>2258</v>
      </c>
      <c r="N6874" t="s">
        <v>253</v>
      </c>
      <c r="O6874">
        <v>10</v>
      </c>
      <c r="P6874">
        <v>4208</v>
      </c>
      <c r="Q6874" t="s">
        <v>2196</v>
      </c>
      <c r="R6874" t="s">
        <v>201</v>
      </c>
      <c r="S6874">
        <v>2</v>
      </c>
      <c r="T6874">
        <v>1</v>
      </c>
      <c r="U6874">
        <v>136692</v>
      </c>
      <c r="V6874">
        <v>273384</v>
      </c>
    </row>
    <row r="6875" spans="1:22">
      <c r="A6875" t="s">
        <v>196</v>
      </c>
      <c r="B6875">
        <v>85</v>
      </c>
      <c r="C6875" t="s">
        <v>2177</v>
      </c>
      <c r="D6875">
        <v>740</v>
      </c>
      <c r="E6875" t="s">
        <v>2208</v>
      </c>
      <c r="F6875">
        <v>1005</v>
      </c>
      <c r="G6875" t="s">
        <v>2177</v>
      </c>
      <c r="H6875">
        <v>2015</v>
      </c>
      <c r="I6875" t="s">
        <v>4</v>
      </c>
      <c r="J6875">
        <v>3015</v>
      </c>
      <c r="K6875" t="s">
        <v>4</v>
      </c>
      <c r="L6875">
        <v>4800</v>
      </c>
      <c r="M6875" t="s">
        <v>2258</v>
      </c>
      <c r="N6875" t="s">
        <v>253</v>
      </c>
      <c r="O6875">
        <v>10</v>
      </c>
      <c r="P6875">
        <v>4208</v>
      </c>
      <c r="Q6875" t="s">
        <v>2196</v>
      </c>
      <c r="R6875" t="s">
        <v>201</v>
      </c>
      <c r="S6875">
        <v>2</v>
      </c>
      <c r="T6875">
        <v>1</v>
      </c>
      <c r="U6875">
        <v>124584</v>
      </c>
      <c r="V6875">
        <v>249168</v>
      </c>
    </row>
    <row r="6876" spans="1:22">
      <c r="A6876" t="s">
        <v>196</v>
      </c>
      <c r="B6876">
        <v>85</v>
      </c>
      <c r="C6876" t="s">
        <v>2177</v>
      </c>
      <c r="D6876">
        <v>740</v>
      </c>
      <c r="E6876" t="s">
        <v>2208</v>
      </c>
      <c r="F6876">
        <v>1005</v>
      </c>
      <c r="G6876" t="s">
        <v>2177</v>
      </c>
      <c r="H6876">
        <v>2015</v>
      </c>
      <c r="I6876" t="s">
        <v>4</v>
      </c>
      <c r="J6876">
        <v>3015</v>
      </c>
      <c r="K6876" t="s">
        <v>4</v>
      </c>
      <c r="L6876">
        <v>4800</v>
      </c>
      <c r="M6876" t="s">
        <v>2258</v>
      </c>
      <c r="N6876" t="s">
        <v>253</v>
      </c>
      <c r="O6876">
        <v>10</v>
      </c>
      <c r="P6876">
        <v>4208</v>
      </c>
      <c r="Q6876" t="s">
        <v>2196</v>
      </c>
      <c r="R6876" t="s">
        <v>201</v>
      </c>
      <c r="S6876">
        <v>1</v>
      </c>
      <c r="T6876">
        <v>1</v>
      </c>
      <c r="U6876">
        <v>108432</v>
      </c>
      <c r="V6876">
        <v>108432</v>
      </c>
    </row>
    <row r="6877" spans="1:22">
      <c r="A6877" t="s">
        <v>196</v>
      </c>
      <c r="B6877">
        <v>85</v>
      </c>
      <c r="C6877" t="s">
        <v>2177</v>
      </c>
      <c r="D6877">
        <v>740</v>
      </c>
      <c r="E6877" t="s">
        <v>2208</v>
      </c>
      <c r="F6877">
        <v>1005</v>
      </c>
      <c r="G6877" t="s">
        <v>2177</v>
      </c>
      <c r="H6877">
        <v>2015</v>
      </c>
      <c r="I6877" t="s">
        <v>4</v>
      </c>
      <c r="J6877">
        <v>3015</v>
      </c>
      <c r="K6877" t="s">
        <v>4</v>
      </c>
      <c r="L6877">
        <v>4800</v>
      </c>
      <c r="M6877" t="s">
        <v>2258</v>
      </c>
      <c r="N6877" t="s">
        <v>253</v>
      </c>
      <c r="O6877">
        <v>10</v>
      </c>
      <c r="P6877">
        <v>4208</v>
      </c>
      <c r="Q6877" t="s">
        <v>2196</v>
      </c>
      <c r="R6877" t="s">
        <v>201</v>
      </c>
      <c r="S6877">
        <v>1</v>
      </c>
      <c r="T6877">
        <v>1</v>
      </c>
      <c r="U6877">
        <v>103488</v>
      </c>
      <c r="V6877">
        <v>103488</v>
      </c>
    </row>
    <row r="6878" spans="1:22">
      <c r="A6878" t="s">
        <v>196</v>
      </c>
      <c r="B6878">
        <v>85</v>
      </c>
      <c r="C6878" t="s">
        <v>2177</v>
      </c>
      <c r="D6878">
        <v>740</v>
      </c>
      <c r="E6878" t="s">
        <v>2208</v>
      </c>
      <c r="F6878">
        <v>1005</v>
      </c>
      <c r="G6878" t="s">
        <v>2177</v>
      </c>
      <c r="H6878">
        <v>2015</v>
      </c>
      <c r="I6878" t="s">
        <v>4</v>
      </c>
      <c r="J6878">
        <v>3015</v>
      </c>
      <c r="K6878" t="s">
        <v>4</v>
      </c>
      <c r="L6878">
        <v>4800</v>
      </c>
      <c r="M6878" t="s">
        <v>2258</v>
      </c>
      <c r="N6878" t="s">
        <v>253</v>
      </c>
      <c r="O6878">
        <v>10</v>
      </c>
      <c r="P6878">
        <v>4208</v>
      </c>
      <c r="Q6878" t="s">
        <v>2196</v>
      </c>
      <c r="R6878" t="s">
        <v>201</v>
      </c>
      <c r="S6878">
        <v>1</v>
      </c>
      <c r="T6878">
        <v>1</v>
      </c>
      <c r="U6878">
        <v>97836</v>
      </c>
      <c r="V6878">
        <v>97836</v>
      </c>
    </row>
    <row r="6879" spans="1:22">
      <c r="A6879" t="s">
        <v>196</v>
      </c>
      <c r="B6879">
        <v>85</v>
      </c>
      <c r="C6879" t="s">
        <v>2177</v>
      </c>
      <c r="D6879">
        <v>740</v>
      </c>
      <c r="E6879" t="s">
        <v>2208</v>
      </c>
      <c r="F6879">
        <v>1005</v>
      </c>
      <c r="G6879" t="s">
        <v>2177</v>
      </c>
      <c r="H6879">
        <v>2015</v>
      </c>
      <c r="I6879" t="s">
        <v>4</v>
      </c>
      <c r="J6879">
        <v>3015</v>
      </c>
      <c r="K6879" t="s">
        <v>4</v>
      </c>
      <c r="L6879">
        <v>4800</v>
      </c>
      <c r="M6879" t="s">
        <v>2258</v>
      </c>
      <c r="N6879" t="s">
        <v>253</v>
      </c>
      <c r="O6879">
        <v>10</v>
      </c>
      <c r="P6879">
        <v>4208</v>
      </c>
      <c r="Q6879" t="s">
        <v>2196</v>
      </c>
      <c r="R6879" t="s">
        <v>201</v>
      </c>
      <c r="S6879">
        <v>1</v>
      </c>
      <c r="T6879">
        <v>1</v>
      </c>
      <c r="U6879">
        <v>93384</v>
      </c>
      <c r="V6879">
        <v>93384</v>
      </c>
    </row>
    <row r="6880" spans="1:22">
      <c r="A6880" t="s">
        <v>196</v>
      </c>
      <c r="B6880">
        <v>85</v>
      </c>
      <c r="C6880" t="s">
        <v>2177</v>
      </c>
      <c r="D6880">
        <v>740</v>
      </c>
      <c r="E6880" t="s">
        <v>2208</v>
      </c>
      <c r="F6880">
        <v>1005</v>
      </c>
      <c r="G6880" t="s">
        <v>2177</v>
      </c>
      <c r="H6880">
        <v>2015</v>
      </c>
      <c r="I6880" t="s">
        <v>4</v>
      </c>
      <c r="J6880">
        <v>3015</v>
      </c>
      <c r="K6880" t="s">
        <v>4</v>
      </c>
      <c r="L6880">
        <v>4800</v>
      </c>
      <c r="M6880" t="s">
        <v>2258</v>
      </c>
      <c r="N6880" t="s">
        <v>253</v>
      </c>
      <c r="O6880">
        <v>10</v>
      </c>
      <c r="P6880">
        <v>4208</v>
      </c>
      <c r="Q6880" t="s">
        <v>2196</v>
      </c>
      <c r="R6880" t="s">
        <v>201</v>
      </c>
      <c r="S6880">
        <v>2</v>
      </c>
      <c r="T6880">
        <v>1</v>
      </c>
      <c r="U6880">
        <v>89112</v>
      </c>
      <c r="V6880">
        <v>178224</v>
      </c>
    </row>
    <row r="6881" spans="1:22">
      <c r="A6881" t="s">
        <v>196</v>
      </c>
      <c r="B6881">
        <v>85</v>
      </c>
      <c r="C6881" t="s">
        <v>2177</v>
      </c>
      <c r="D6881">
        <v>740</v>
      </c>
      <c r="E6881" t="s">
        <v>2208</v>
      </c>
      <c r="F6881">
        <v>1005</v>
      </c>
      <c r="G6881" t="s">
        <v>2177</v>
      </c>
      <c r="H6881">
        <v>2015</v>
      </c>
      <c r="I6881" t="s">
        <v>4</v>
      </c>
      <c r="J6881">
        <v>3015</v>
      </c>
      <c r="K6881" t="s">
        <v>4</v>
      </c>
      <c r="L6881">
        <v>4800</v>
      </c>
      <c r="M6881" t="s">
        <v>2258</v>
      </c>
      <c r="N6881" t="s">
        <v>253</v>
      </c>
      <c r="O6881">
        <v>10</v>
      </c>
      <c r="P6881">
        <v>4208</v>
      </c>
      <c r="Q6881" t="s">
        <v>2196</v>
      </c>
      <c r="R6881" t="s">
        <v>201</v>
      </c>
      <c r="S6881">
        <v>4</v>
      </c>
      <c r="T6881">
        <v>1</v>
      </c>
      <c r="U6881">
        <v>83052</v>
      </c>
      <c r="V6881">
        <v>332208</v>
      </c>
    </row>
    <row r="6882" spans="1:22">
      <c r="A6882" t="s">
        <v>196</v>
      </c>
      <c r="B6882">
        <v>85</v>
      </c>
      <c r="C6882" t="s">
        <v>2177</v>
      </c>
      <c r="D6882">
        <v>740</v>
      </c>
      <c r="E6882" t="s">
        <v>2208</v>
      </c>
      <c r="F6882">
        <v>1005</v>
      </c>
      <c r="G6882" t="s">
        <v>2177</v>
      </c>
      <c r="H6882">
        <v>2015</v>
      </c>
      <c r="I6882" t="s">
        <v>4</v>
      </c>
      <c r="J6882">
        <v>3015</v>
      </c>
      <c r="K6882" t="s">
        <v>4</v>
      </c>
      <c r="L6882">
        <v>4800</v>
      </c>
      <c r="M6882" t="s">
        <v>2258</v>
      </c>
      <c r="N6882" t="s">
        <v>253</v>
      </c>
      <c r="O6882">
        <v>20</v>
      </c>
      <c r="P6882">
        <v>1318</v>
      </c>
      <c r="Q6882" t="s">
        <v>934</v>
      </c>
      <c r="R6882" t="s">
        <v>201</v>
      </c>
      <c r="S6882">
        <v>1</v>
      </c>
      <c r="T6882">
        <v>1</v>
      </c>
      <c r="U6882">
        <v>93384</v>
      </c>
      <c r="V6882">
        <v>93384</v>
      </c>
    </row>
    <row r="6883" spans="1:22">
      <c r="A6883" t="s">
        <v>196</v>
      </c>
      <c r="B6883">
        <v>85</v>
      </c>
      <c r="C6883" t="s">
        <v>2177</v>
      </c>
      <c r="D6883">
        <v>740</v>
      </c>
      <c r="E6883" t="s">
        <v>2208</v>
      </c>
      <c r="F6883">
        <v>1005</v>
      </c>
      <c r="G6883" t="s">
        <v>2177</v>
      </c>
      <c r="H6883">
        <v>2015</v>
      </c>
      <c r="I6883" t="s">
        <v>4</v>
      </c>
      <c r="J6883">
        <v>3015</v>
      </c>
      <c r="K6883" t="s">
        <v>4</v>
      </c>
      <c r="L6883">
        <v>4800</v>
      </c>
      <c r="M6883" t="s">
        <v>2258</v>
      </c>
      <c r="N6883" t="s">
        <v>351</v>
      </c>
      <c r="O6883">
        <v>1</v>
      </c>
      <c r="P6883" t="s">
        <v>352</v>
      </c>
      <c r="Q6883" t="s">
        <v>353</v>
      </c>
      <c r="R6883" t="s">
        <v>201</v>
      </c>
      <c r="S6883">
        <v>1</v>
      </c>
      <c r="T6883">
        <v>1</v>
      </c>
      <c r="U6883">
        <v>108576</v>
      </c>
      <c r="V6883">
        <v>108576</v>
      </c>
    </row>
    <row r="6884" spans="1:22">
      <c r="A6884" t="s">
        <v>196</v>
      </c>
      <c r="B6884">
        <v>85</v>
      </c>
      <c r="C6884" t="s">
        <v>2177</v>
      </c>
      <c r="D6884">
        <v>740</v>
      </c>
      <c r="E6884" t="s">
        <v>2208</v>
      </c>
      <c r="F6884">
        <v>1005</v>
      </c>
      <c r="G6884" t="s">
        <v>2177</v>
      </c>
      <c r="H6884">
        <v>2015</v>
      </c>
      <c r="I6884" t="s">
        <v>4</v>
      </c>
      <c r="J6884">
        <v>3015</v>
      </c>
      <c r="K6884" t="s">
        <v>4</v>
      </c>
      <c r="L6884">
        <v>4800</v>
      </c>
      <c r="M6884" t="s">
        <v>2258</v>
      </c>
      <c r="N6884" t="s">
        <v>351</v>
      </c>
      <c r="O6884">
        <v>1</v>
      </c>
      <c r="P6884" t="s">
        <v>352</v>
      </c>
      <c r="Q6884" t="s">
        <v>353</v>
      </c>
      <c r="R6884" t="s">
        <v>201</v>
      </c>
      <c r="S6884">
        <v>1</v>
      </c>
      <c r="T6884">
        <v>1</v>
      </c>
      <c r="U6884">
        <v>70752</v>
      </c>
      <c r="V6884">
        <v>70752</v>
      </c>
    </row>
    <row r="6885" spans="1:22">
      <c r="A6885" t="s">
        <v>196</v>
      </c>
      <c r="B6885">
        <v>85</v>
      </c>
      <c r="C6885" t="s">
        <v>2177</v>
      </c>
      <c r="D6885">
        <v>740</v>
      </c>
      <c r="E6885" t="s">
        <v>2208</v>
      </c>
      <c r="F6885">
        <v>1005</v>
      </c>
      <c r="G6885" t="s">
        <v>2177</v>
      </c>
      <c r="H6885">
        <v>2015</v>
      </c>
      <c r="I6885" t="s">
        <v>4</v>
      </c>
      <c r="J6885">
        <v>3015</v>
      </c>
      <c r="K6885" t="s">
        <v>4</v>
      </c>
      <c r="L6885">
        <v>4800</v>
      </c>
      <c r="M6885" t="s">
        <v>2258</v>
      </c>
      <c r="N6885" t="s">
        <v>351</v>
      </c>
      <c r="O6885">
        <v>1</v>
      </c>
      <c r="P6885" t="s">
        <v>352</v>
      </c>
      <c r="Q6885" t="s">
        <v>353</v>
      </c>
      <c r="R6885" t="s">
        <v>201</v>
      </c>
      <c r="S6885">
        <v>1</v>
      </c>
      <c r="T6885">
        <v>1</v>
      </c>
      <c r="U6885">
        <v>62544</v>
      </c>
      <c r="V6885">
        <v>62544</v>
      </c>
    </row>
    <row r="6886" spans="1:22">
      <c r="A6886" t="s">
        <v>196</v>
      </c>
      <c r="B6886">
        <v>85</v>
      </c>
      <c r="C6886" t="s">
        <v>2177</v>
      </c>
      <c r="D6886">
        <v>740</v>
      </c>
      <c r="E6886" t="s">
        <v>2208</v>
      </c>
      <c r="F6886">
        <v>1005</v>
      </c>
      <c r="G6886" t="s">
        <v>2177</v>
      </c>
      <c r="H6886">
        <v>2015</v>
      </c>
      <c r="I6886" t="s">
        <v>4</v>
      </c>
      <c r="J6886">
        <v>3015</v>
      </c>
      <c r="K6886" t="s">
        <v>4</v>
      </c>
      <c r="L6886">
        <v>4800</v>
      </c>
      <c r="M6886" t="s">
        <v>2258</v>
      </c>
      <c r="N6886" t="s">
        <v>1314</v>
      </c>
      <c r="O6886">
        <v>0</v>
      </c>
      <c r="P6886" t="s">
        <v>1471</v>
      </c>
      <c r="Q6886" t="s">
        <v>605</v>
      </c>
      <c r="R6886" t="s">
        <v>201</v>
      </c>
      <c r="S6886">
        <v>3</v>
      </c>
      <c r="T6886">
        <v>1</v>
      </c>
      <c r="U6886">
        <v>160680</v>
      </c>
      <c r="V6886">
        <v>482040</v>
      </c>
    </row>
    <row r="6887" spans="1:22">
      <c r="A6887" t="s">
        <v>196</v>
      </c>
      <c r="B6887">
        <v>85</v>
      </c>
      <c r="C6887" t="s">
        <v>2177</v>
      </c>
      <c r="D6887">
        <v>740</v>
      </c>
      <c r="E6887" t="s">
        <v>2208</v>
      </c>
      <c r="F6887">
        <v>1005</v>
      </c>
      <c r="G6887" t="s">
        <v>2177</v>
      </c>
      <c r="H6887">
        <v>2015</v>
      </c>
      <c r="I6887" t="s">
        <v>4</v>
      </c>
      <c r="J6887">
        <v>3015</v>
      </c>
      <c r="K6887" t="s">
        <v>4</v>
      </c>
      <c r="L6887">
        <v>4800</v>
      </c>
      <c r="M6887" t="s">
        <v>2258</v>
      </c>
      <c r="N6887" t="s">
        <v>1314</v>
      </c>
      <c r="O6887">
        <v>0</v>
      </c>
      <c r="P6887" t="s">
        <v>1471</v>
      </c>
      <c r="Q6887" t="s">
        <v>605</v>
      </c>
      <c r="R6887" t="s">
        <v>201</v>
      </c>
      <c r="S6887">
        <v>1</v>
      </c>
      <c r="T6887">
        <v>1</v>
      </c>
      <c r="U6887">
        <v>133836</v>
      </c>
      <c r="V6887">
        <v>133836</v>
      </c>
    </row>
    <row r="6888" spans="1:22">
      <c r="A6888" t="s">
        <v>196</v>
      </c>
      <c r="B6888">
        <v>85</v>
      </c>
      <c r="C6888" t="s">
        <v>2177</v>
      </c>
      <c r="D6888">
        <v>740</v>
      </c>
      <c r="E6888" t="s">
        <v>2208</v>
      </c>
      <c r="F6888">
        <v>1005</v>
      </c>
      <c r="G6888" t="s">
        <v>2177</v>
      </c>
      <c r="H6888">
        <v>2015</v>
      </c>
      <c r="I6888" t="s">
        <v>4</v>
      </c>
      <c r="J6888">
        <v>3015</v>
      </c>
      <c r="K6888" t="s">
        <v>4</v>
      </c>
      <c r="L6888">
        <v>4800</v>
      </c>
      <c r="M6888" t="s">
        <v>2258</v>
      </c>
      <c r="N6888" t="s">
        <v>249</v>
      </c>
      <c r="O6888">
        <v>10</v>
      </c>
      <c r="P6888">
        <v>311</v>
      </c>
      <c r="Q6888" t="s">
        <v>661</v>
      </c>
      <c r="R6888" t="s">
        <v>201</v>
      </c>
      <c r="S6888">
        <v>2</v>
      </c>
      <c r="T6888">
        <v>1</v>
      </c>
      <c r="U6888">
        <v>107340</v>
      </c>
      <c r="V6888">
        <v>214680</v>
      </c>
    </row>
    <row r="6889" spans="1:22">
      <c r="A6889" t="s">
        <v>196</v>
      </c>
      <c r="B6889">
        <v>85</v>
      </c>
      <c r="C6889" t="s">
        <v>2177</v>
      </c>
      <c r="D6889">
        <v>740</v>
      </c>
      <c r="E6889" t="s">
        <v>2208</v>
      </c>
      <c r="F6889">
        <v>1005</v>
      </c>
      <c r="G6889" t="s">
        <v>2177</v>
      </c>
      <c r="H6889">
        <v>2015</v>
      </c>
      <c r="I6889" t="s">
        <v>4</v>
      </c>
      <c r="J6889">
        <v>3015</v>
      </c>
      <c r="K6889" t="s">
        <v>4</v>
      </c>
      <c r="L6889">
        <v>4800</v>
      </c>
      <c r="M6889" t="s">
        <v>2258</v>
      </c>
      <c r="N6889" t="s">
        <v>249</v>
      </c>
      <c r="O6889">
        <v>10</v>
      </c>
      <c r="P6889">
        <v>311</v>
      </c>
      <c r="Q6889" t="s">
        <v>661</v>
      </c>
      <c r="R6889" t="s">
        <v>201</v>
      </c>
      <c r="S6889">
        <v>1</v>
      </c>
      <c r="T6889">
        <v>1</v>
      </c>
      <c r="U6889">
        <v>102444</v>
      </c>
      <c r="V6889">
        <v>102444</v>
      </c>
    </row>
    <row r="6890" spans="1:22">
      <c r="A6890" t="s">
        <v>196</v>
      </c>
      <c r="B6890">
        <v>85</v>
      </c>
      <c r="C6890" t="s">
        <v>2177</v>
      </c>
      <c r="D6890">
        <v>740</v>
      </c>
      <c r="E6890" t="s">
        <v>2208</v>
      </c>
      <c r="F6890">
        <v>1005</v>
      </c>
      <c r="G6890" t="s">
        <v>2177</v>
      </c>
      <c r="H6890">
        <v>2015</v>
      </c>
      <c r="I6890" t="s">
        <v>4</v>
      </c>
      <c r="J6890">
        <v>3015</v>
      </c>
      <c r="K6890" t="s">
        <v>4</v>
      </c>
      <c r="L6890">
        <v>4800</v>
      </c>
      <c r="M6890" t="s">
        <v>2258</v>
      </c>
      <c r="N6890" t="s">
        <v>249</v>
      </c>
      <c r="O6890">
        <v>10</v>
      </c>
      <c r="P6890">
        <v>311</v>
      </c>
      <c r="Q6890" t="s">
        <v>661</v>
      </c>
      <c r="R6890" t="s">
        <v>201</v>
      </c>
      <c r="S6890">
        <v>1</v>
      </c>
      <c r="T6890">
        <v>1</v>
      </c>
      <c r="U6890">
        <v>93384</v>
      </c>
      <c r="V6890">
        <v>93384</v>
      </c>
    </row>
    <row r="6891" spans="1:22">
      <c r="A6891" t="s">
        <v>196</v>
      </c>
      <c r="B6891">
        <v>85</v>
      </c>
      <c r="C6891" t="s">
        <v>2177</v>
      </c>
      <c r="D6891">
        <v>740</v>
      </c>
      <c r="E6891" t="s">
        <v>2208</v>
      </c>
      <c r="F6891">
        <v>1005</v>
      </c>
      <c r="G6891" t="s">
        <v>2177</v>
      </c>
      <c r="H6891">
        <v>2015</v>
      </c>
      <c r="I6891" t="s">
        <v>4</v>
      </c>
      <c r="J6891">
        <v>3015</v>
      </c>
      <c r="K6891" t="s">
        <v>4</v>
      </c>
      <c r="L6891">
        <v>4800</v>
      </c>
      <c r="M6891" t="s">
        <v>2258</v>
      </c>
      <c r="N6891" t="s">
        <v>249</v>
      </c>
      <c r="O6891">
        <v>10</v>
      </c>
      <c r="P6891">
        <v>311</v>
      </c>
      <c r="Q6891" t="s">
        <v>661</v>
      </c>
      <c r="R6891" t="s">
        <v>201</v>
      </c>
      <c r="S6891">
        <v>1</v>
      </c>
      <c r="T6891">
        <v>1</v>
      </c>
      <c r="U6891">
        <v>89112</v>
      </c>
      <c r="V6891">
        <v>89112</v>
      </c>
    </row>
    <row r="6892" spans="1:22">
      <c r="A6892" t="s">
        <v>196</v>
      </c>
      <c r="B6892">
        <v>85</v>
      </c>
      <c r="C6892" t="s">
        <v>2177</v>
      </c>
      <c r="D6892">
        <v>740</v>
      </c>
      <c r="E6892" t="s">
        <v>2208</v>
      </c>
      <c r="F6892">
        <v>1005</v>
      </c>
      <c r="G6892" t="s">
        <v>2177</v>
      </c>
      <c r="H6892">
        <v>2015</v>
      </c>
      <c r="I6892" t="s">
        <v>4</v>
      </c>
      <c r="J6892">
        <v>3015</v>
      </c>
      <c r="K6892" t="s">
        <v>4</v>
      </c>
      <c r="L6892">
        <v>4800</v>
      </c>
      <c r="M6892" t="s">
        <v>2258</v>
      </c>
      <c r="N6892" t="s">
        <v>249</v>
      </c>
      <c r="O6892">
        <v>10</v>
      </c>
      <c r="P6892">
        <v>310</v>
      </c>
      <c r="Q6892" t="s">
        <v>447</v>
      </c>
      <c r="R6892" t="s">
        <v>201</v>
      </c>
      <c r="S6892">
        <v>2</v>
      </c>
      <c r="T6892">
        <v>1</v>
      </c>
      <c r="U6892">
        <v>102444</v>
      </c>
      <c r="V6892">
        <v>204888</v>
      </c>
    </row>
    <row r="6893" spans="1:22">
      <c r="A6893" t="s">
        <v>196</v>
      </c>
      <c r="B6893">
        <v>85</v>
      </c>
      <c r="C6893" t="s">
        <v>2177</v>
      </c>
      <c r="D6893">
        <v>740</v>
      </c>
      <c r="E6893" t="s">
        <v>2208</v>
      </c>
      <c r="F6893">
        <v>1005</v>
      </c>
      <c r="G6893" t="s">
        <v>2177</v>
      </c>
      <c r="H6893">
        <v>2015</v>
      </c>
      <c r="I6893" t="s">
        <v>4</v>
      </c>
      <c r="J6893">
        <v>3015</v>
      </c>
      <c r="K6893" t="s">
        <v>4</v>
      </c>
      <c r="L6893">
        <v>4800</v>
      </c>
      <c r="M6893" t="s">
        <v>2258</v>
      </c>
      <c r="N6893" t="s">
        <v>249</v>
      </c>
      <c r="O6893">
        <v>10</v>
      </c>
      <c r="P6893">
        <v>310</v>
      </c>
      <c r="Q6893" t="s">
        <v>447</v>
      </c>
      <c r="R6893" t="s">
        <v>201</v>
      </c>
      <c r="S6893">
        <v>1</v>
      </c>
      <c r="T6893">
        <v>1</v>
      </c>
      <c r="U6893">
        <v>89112</v>
      </c>
      <c r="V6893">
        <v>89112</v>
      </c>
    </row>
    <row r="6894" spans="1:22">
      <c r="A6894" t="s">
        <v>196</v>
      </c>
      <c r="B6894">
        <v>85</v>
      </c>
      <c r="C6894" t="s">
        <v>2177</v>
      </c>
      <c r="D6894">
        <v>740</v>
      </c>
      <c r="E6894" t="s">
        <v>2208</v>
      </c>
      <c r="F6894">
        <v>1005</v>
      </c>
      <c r="G6894" t="s">
        <v>2177</v>
      </c>
      <c r="H6894">
        <v>2015</v>
      </c>
      <c r="I6894" t="s">
        <v>4</v>
      </c>
      <c r="J6894">
        <v>3015</v>
      </c>
      <c r="K6894" t="s">
        <v>4</v>
      </c>
      <c r="L6894">
        <v>4800</v>
      </c>
      <c r="M6894" t="s">
        <v>2258</v>
      </c>
      <c r="N6894" t="s">
        <v>341</v>
      </c>
      <c r="O6894">
        <v>1</v>
      </c>
      <c r="P6894">
        <v>308</v>
      </c>
      <c r="Q6894" t="s">
        <v>355</v>
      </c>
      <c r="R6894" t="s">
        <v>201</v>
      </c>
      <c r="S6894">
        <v>2</v>
      </c>
      <c r="T6894">
        <v>1</v>
      </c>
      <c r="U6894">
        <v>68616</v>
      </c>
      <c r="V6894">
        <v>137232</v>
      </c>
    </row>
    <row r="6895" spans="1:22">
      <c r="A6895" t="s">
        <v>196</v>
      </c>
      <c r="B6895">
        <v>85</v>
      </c>
      <c r="C6895" t="s">
        <v>2177</v>
      </c>
      <c r="D6895">
        <v>740</v>
      </c>
      <c r="E6895" t="s">
        <v>2208</v>
      </c>
      <c r="F6895">
        <v>1005</v>
      </c>
      <c r="G6895" t="s">
        <v>2177</v>
      </c>
      <c r="H6895">
        <v>2015</v>
      </c>
      <c r="I6895" t="s">
        <v>4</v>
      </c>
      <c r="J6895">
        <v>3015</v>
      </c>
      <c r="K6895" t="s">
        <v>4</v>
      </c>
      <c r="L6895">
        <v>4800</v>
      </c>
      <c r="M6895" t="s">
        <v>2258</v>
      </c>
      <c r="N6895" t="s">
        <v>199</v>
      </c>
      <c r="O6895">
        <v>0</v>
      </c>
      <c r="P6895">
        <v>15</v>
      </c>
      <c r="Q6895" t="s">
        <v>264</v>
      </c>
      <c r="R6895" t="s">
        <v>201</v>
      </c>
      <c r="S6895">
        <v>0</v>
      </c>
      <c r="T6895">
        <v>0</v>
      </c>
      <c r="U6895">
        <v>419182</v>
      </c>
      <c r="V6895">
        <v>419182</v>
      </c>
    </row>
    <row r="6896" spans="1:22">
      <c r="A6896" t="s">
        <v>196</v>
      </c>
      <c r="B6896">
        <v>85</v>
      </c>
      <c r="C6896" t="s">
        <v>2177</v>
      </c>
      <c r="D6896">
        <v>740</v>
      </c>
      <c r="E6896" t="s">
        <v>2208</v>
      </c>
      <c r="F6896">
        <v>1005</v>
      </c>
      <c r="G6896" t="s">
        <v>2177</v>
      </c>
      <c r="H6896">
        <v>2015</v>
      </c>
      <c r="I6896" t="s">
        <v>4</v>
      </c>
      <c r="J6896">
        <v>3015</v>
      </c>
      <c r="K6896" t="s">
        <v>4</v>
      </c>
      <c r="L6896">
        <v>4808</v>
      </c>
      <c r="M6896" t="s">
        <v>2199</v>
      </c>
      <c r="N6896" t="s">
        <v>2140</v>
      </c>
      <c r="O6896">
        <v>2</v>
      </c>
      <c r="P6896">
        <v>7009</v>
      </c>
      <c r="Q6896" t="s">
        <v>2200</v>
      </c>
      <c r="R6896" t="s">
        <v>201</v>
      </c>
      <c r="S6896">
        <v>1</v>
      </c>
      <c r="T6896">
        <v>1</v>
      </c>
      <c r="U6896">
        <v>131736</v>
      </c>
      <c r="V6896">
        <v>131736</v>
      </c>
    </row>
    <row r="6897" spans="1:22">
      <c r="A6897" t="s">
        <v>196</v>
      </c>
      <c r="B6897">
        <v>85</v>
      </c>
      <c r="C6897" t="s">
        <v>2177</v>
      </c>
      <c r="D6897">
        <v>740</v>
      </c>
      <c r="E6897" t="s">
        <v>2208</v>
      </c>
      <c r="F6897">
        <v>1005</v>
      </c>
      <c r="G6897" t="s">
        <v>2177</v>
      </c>
      <c r="H6897">
        <v>2015</v>
      </c>
      <c r="I6897" t="s">
        <v>4</v>
      </c>
      <c r="J6897">
        <v>3015</v>
      </c>
      <c r="K6897" t="s">
        <v>4</v>
      </c>
      <c r="L6897">
        <v>4808</v>
      </c>
      <c r="M6897" t="s">
        <v>2199</v>
      </c>
      <c r="N6897" t="s">
        <v>2140</v>
      </c>
      <c r="O6897">
        <v>2</v>
      </c>
      <c r="P6897">
        <v>7009</v>
      </c>
      <c r="Q6897" t="s">
        <v>2200</v>
      </c>
      <c r="R6897" t="s">
        <v>201</v>
      </c>
      <c r="S6897">
        <v>1</v>
      </c>
      <c r="T6897">
        <v>1</v>
      </c>
      <c r="U6897">
        <v>125808</v>
      </c>
      <c r="V6897">
        <v>125808</v>
      </c>
    </row>
    <row r="6898" spans="1:22">
      <c r="A6898" t="s">
        <v>196</v>
      </c>
      <c r="B6898">
        <v>85</v>
      </c>
      <c r="C6898" t="s">
        <v>2177</v>
      </c>
      <c r="D6898">
        <v>740</v>
      </c>
      <c r="E6898" t="s">
        <v>2208</v>
      </c>
      <c r="F6898">
        <v>1005</v>
      </c>
      <c r="G6898" t="s">
        <v>2177</v>
      </c>
      <c r="H6898">
        <v>2015</v>
      </c>
      <c r="I6898" t="s">
        <v>4</v>
      </c>
      <c r="J6898">
        <v>3015</v>
      </c>
      <c r="K6898" t="s">
        <v>4</v>
      </c>
      <c r="L6898">
        <v>4808</v>
      </c>
      <c r="M6898" t="s">
        <v>2199</v>
      </c>
      <c r="N6898" t="s">
        <v>2140</v>
      </c>
      <c r="O6898">
        <v>2</v>
      </c>
      <c r="P6898">
        <v>7009</v>
      </c>
      <c r="Q6898" t="s">
        <v>2200</v>
      </c>
      <c r="R6898" t="s">
        <v>201</v>
      </c>
      <c r="S6898">
        <v>1</v>
      </c>
      <c r="T6898">
        <v>1</v>
      </c>
      <c r="U6898">
        <v>81792</v>
      </c>
      <c r="V6898">
        <v>81792</v>
      </c>
    </row>
    <row r="6899" spans="1:22">
      <c r="A6899" t="s">
        <v>196</v>
      </c>
      <c r="B6899">
        <v>85</v>
      </c>
      <c r="C6899" t="s">
        <v>2177</v>
      </c>
      <c r="D6899">
        <v>740</v>
      </c>
      <c r="E6899" t="s">
        <v>2208</v>
      </c>
      <c r="F6899">
        <v>1005</v>
      </c>
      <c r="G6899" t="s">
        <v>2177</v>
      </c>
      <c r="H6899">
        <v>2015</v>
      </c>
      <c r="I6899" t="s">
        <v>4</v>
      </c>
      <c r="J6899">
        <v>3015</v>
      </c>
      <c r="K6899" t="s">
        <v>4</v>
      </c>
      <c r="L6899">
        <v>4808</v>
      </c>
      <c r="M6899" t="s">
        <v>2199</v>
      </c>
      <c r="N6899" t="s">
        <v>253</v>
      </c>
      <c r="O6899">
        <v>10</v>
      </c>
      <c r="P6899">
        <v>7004</v>
      </c>
      <c r="Q6899" t="s">
        <v>2201</v>
      </c>
      <c r="R6899" t="s">
        <v>201</v>
      </c>
      <c r="S6899">
        <v>1</v>
      </c>
      <c r="T6899">
        <v>1</v>
      </c>
      <c r="U6899">
        <v>93384</v>
      </c>
      <c r="V6899">
        <v>93384</v>
      </c>
    </row>
    <row r="6900" spans="1:22">
      <c r="A6900" t="s">
        <v>196</v>
      </c>
      <c r="B6900">
        <v>85</v>
      </c>
      <c r="C6900" t="s">
        <v>2177</v>
      </c>
      <c r="D6900">
        <v>740</v>
      </c>
      <c r="E6900" t="s">
        <v>2208</v>
      </c>
      <c r="F6900">
        <v>1005</v>
      </c>
      <c r="G6900" t="s">
        <v>2177</v>
      </c>
      <c r="H6900">
        <v>2015</v>
      </c>
      <c r="I6900" t="s">
        <v>4</v>
      </c>
      <c r="J6900">
        <v>3015</v>
      </c>
      <c r="K6900" t="s">
        <v>4</v>
      </c>
      <c r="L6900">
        <v>4808</v>
      </c>
      <c r="M6900" t="s">
        <v>2199</v>
      </c>
      <c r="N6900" t="s">
        <v>1450</v>
      </c>
      <c r="O6900">
        <v>2</v>
      </c>
      <c r="P6900">
        <v>7003</v>
      </c>
      <c r="Q6900" t="s">
        <v>2202</v>
      </c>
      <c r="R6900" t="s">
        <v>201</v>
      </c>
      <c r="S6900">
        <v>2</v>
      </c>
      <c r="T6900">
        <v>1</v>
      </c>
      <c r="U6900">
        <v>120024</v>
      </c>
      <c r="V6900">
        <v>240048</v>
      </c>
    </row>
    <row r="6901" spans="1:22">
      <c r="A6901" t="s">
        <v>196</v>
      </c>
      <c r="B6901">
        <v>85</v>
      </c>
      <c r="C6901" t="s">
        <v>2177</v>
      </c>
      <c r="D6901">
        <v>740</v>
      </c>
      <c r="E6901" t="s">
        <v>2208</v>
      </c>
      <c r="F6901">
        <v>1005</v>
      </c>
      <c r="G6901" t="s">
        <v>2177</v>
      </c>
      <c r="H6901">
        <v>2015</v>
      </c>
      <c r="I6901" t="s">
        <v>4</v>
      </c>
      <c r="J6901">
        <v>3015</v>
      </c>
      <c r="K6901" t="s">
        <v>4</v>
      </c>
      <c r="L6901">
        <v>4808</v>
      </c>
      <c r="M6901" t="s">
        <v>2199</v>
      </c>
      <c r="N6901" t="s">
        <v>1450</v>
      </c>
      <c r="O6901">
        <v>2</v>
      </c>
      <c r="P6901">
        <v>7003</v>
      </c>
      <c r="Q6901" t="s">
        <v>2202</v>
      </c>
      <c r="R6901" t="s">
        <v>201</v>
      </c>
      <c r="S6901">
        <v>3</v>
      </c>
      <c r="T6901">
        <v>1</v>
      </c>
      <c r="U6901">
        <v>114636</v>
      </c>
      <c r="V6901">
        <v>343908</v>
      </c>
    </row>
    <row r="6902" spans="1:22">
      <c r="A6902" t="s">
        <v>196</v>
      </c>
      <c r="B6902">
        <v>85</v>
      </c>
      <c r="C6902" t="s">
        <v>2177</v>
      </c>
      <c r="D6902">
        <v>740</v>
      </c>
      <c r="E6902" t="s">
        <v>2208</v>
      </c>
      <c r="F6902">
        <v>1005</v>
      </c>
      <c r="G6902" t="s">
        <v>2177</v>
      </c>
      <c r="H6902">
        <v>2015</v>
      </c>
      <c r="I6902" t="s">
        <v>4</v>
      </c>
      <c r="J6902">
        <v>3015</v>
      </c>
      <c r="K6902" t="s">
        <v>4</v>
      </c>
      <c r="L6902">
        <v>4808</v>
      </c>
      <c r="M6902" t="s">
        <v>2199</v>
      </c>
      <c r="N6902" t="s">
        <v>1450</v>
      </c>
      <c r="O6902">
        <v>2</v>
      </c>
      <c r="P6902">
        <v>7003</v>
      </c>
      <c r="Q6902" t="s">
        <v>2202</v>
      </c>
      <c r="R6902" t="s">
        <v>201</v>
      </c>
      <c r="S6902">
        <v>3</v>
      </c>
      <c r="T6902">
        <v>1</v>
      </c>
      <c r="U6902">
        <v>109404</v>
      </c>
      <c r="V6902">
        <v>328212</v>
      </c>
    </row>
    <row r="6903" spans="1:22">
      <c r="A6903" t="s">
        <v>196</v>
      </c>
      <c r="B6903">
        <v>85</v>
      </c>
      <c r="C6903" t="s">
        <v>2177</v>
      </c>
      <c r="D6903">
        <v>740</v>
      </c>
      <c r="E6903" t="s">
        <v>2208</v>
      </c>
      <c r="F6903">
        <v>1005</v>
      </c>
      <c r="G6903" t="s">
        <v>2177</v>
      </c>
      <c r="H6903">
        <v>2015</v>
      </c>
      <c r="I6903" t="s">
        <v>4</v>
      </c>
      <c r="J6903">
        <v>3015</v>
      </c>
      <c r="K6903" t="s">
        <v>4</v>
      </c>
      <c r="L6903">
        <v>4808</v>
      </c>
      <c r="M6903" t="s">
        <v>2199</v>
      </c>
      <c r="N6903" t="s">
        <v>1450</v>
      </c>
      <c r="O6903">
        <v>2</v>
      </c>
      <c r="P6903">
        <v>7003</v>
      </c>
      <c r="Q6903" t="s">
        <v>2202</v>
      </c>
      <c r="R6903" t="s">
        <v>201</v>
      </c>
      <c r="S6903">
        <v>1</v>
      </c>
      <c r="T6903">
        <v>1</v>
      </c>
      <c r="U6903">
        <v>99708</v>
      </c>
      <c r="V6903">
        <v>99708</v>
      </c>
    </row>
    <row r="6904" spans="1:22">
      <c r="A6904" t="s">
        <v>196</v>
      </c>
      <c r="B6904">
        <v>85</v>
      </c>
      <c r="C6904" t="s">
        <v>2177</v>
      </c>
      <c r="D6904">
        <v>740</v>
      </c>
      <c r="E6904" t="s">
        <v>2208</v>
      </c>
      <c r="F6904">
        <v>1005</v>
      </c>
      <c r="G6904" t="s">
        <v>2177</v>
      </c>
      <c r="H6904">
        <v>2015</v>
      </c>
      <c r="I6904" t="s">
        <v>4</v>
      </c>
      <c r="J6904">
        <v>3015</v>
      </c>
      <c r="K6904" t="s">
        <v>4</v>
      </c>
      <c r="L6904">
        <v>4808</v>
      </c>
      <c r="M6904" t="s">
        <v>2199</v>
      </c>
      <c r="N6904" t="s">
        <v>1450</v>
      </c>
      <c r="O6904">
        <v>2</v>
      </c>
      <c r="P6904">
        <v>7003</v>
      </c>
      <c r="Q6904" t="s">
        <v>2202</v>
      </c>
      <c r="R6904" t="s">
        <v>201</v>
      </c>
      <c r="S6904">
        <v>2</v>
      </c>
      <c r="T6904">
        <v>1</v>
      </c>
      <c r="U6904">
        <v>95160</v>
      </c>
      <c r="V6904">
        <v>190320</v>
      </c>
    </row>
    <row r="6905" spans="1:22">
      <c r="A6905" t="s">
        <v>196</v>
      </c>
      <c r="B6905">
        <v>85</v>
      </c>
      <c r="C6905" t="s">
        <v>2177</v>
      </c>
      <c r="D6905">
        <v>740</v>
      </c>
      <c r="E6905" t="s">
        <v>2208</v>
      </c>
      <c r="F6905">
        <v>1005</v>
      </c>
      <c r="G6905" t="s">
        <v>2177</v>
      </c>
      <c r="H6905">
        <v>2015</v>
      </c>
      <c r="I6905" t="s">
        <v>4</v>
      </c>
      <c r="J6905">
        <v>3015</v>
      </c>
      <c r="K6905" t="s">
        <v>4</v>
      </c>
      <c r="L6905">
        <v>4808</v>
      </c>
      <c r="M6905" t="s">
        <v>2199</v>
      </c>
      <c r="N6905" t="s">
        <v>1450</v>
      </c>
      <c r="O6905">
        <v>2</v>
      </c>
      <c r="P6905">
        <v>7003</v>
      </c>
      <c r="Q6905" t="s">
        <v>2202</v>
      </c>
      <c r="R6905" t="s">
        <v>201</v>
      </c>
      <c r="S6905">
        <v>1</v>
      </c>
      <c r="T6905">
        <v>1</v>
      </c>
      <c r="U6905">
        <v>90876</v>
      </c>
      <c r="V6905">
        <v>90876</v>
      </c>
    </row>
    <row r="6906" spans="1:22">
      <c r="A6906" t="s">
        <v>196</v>
      </c>
      <c r="B6906">
        <v>85</v>
      </c>
      <c r="C6906" t="s">
        <v>2177</v>
      </c>
      <c r="D6906">
        <v>740</v>
      </c>
      <c r="E6906" t="s">
        <v>2208</v>
      </c>
      <c r="F6906">
        <v>1005</v>
      </c>
      <c r="G6906" t="s">
        <v>2177</v>
      </c>
      <c r="H6906">
        <v>2015</v>
      </c>
      <c r="I6906" t="s">
        <v>4</v>
      </c>
      <c r="J6906">
        <v>3015</v>
      </c>
      <c r="K6906" t="s">
        <v>4</v>
      </c>
      <c r="L6906">
        <v>4808</v>
      </c>
      <c r="M6906" t="s">
        <v>2199</v>
      </c>
      <c r="N6906" t="s">
        <v>1450</v>
      </c>
      <c r="O6906">
        <v>2</v>
      </c>
      <c r="P6906">
        <v>7003</v>
      </c>
      <c r="Q6906" t="s">
        <v>2202</v>
      </c>
      <c r="R6906" t="s">
        <v>201</v>
      </c>
      <c r="S6906">
        <v>4</v>
      </c>
      <c r="T6906">
        <v>1</v>
      </c>
      <c r="U6906">
        <v>86772</v>
      </c>
      <c r="V6906">
        <v>347088</v>
      </c>
    </row>
    <row r="6907" spans="1:22">
      <c r="A6907" t="s">
        <v>196</v>
      </c>
      <c r="B6907">
        <v>85</v>
      </c>
      <c r="C6907" t="s">
        <v>2177</v>
      </c>
      <c r="D6907">
        <v>740</v>
      </c>
      <c r="E6907" t="s">
        <v>2208</v>
      </c>
      <c r="F6907">
        <v>1005</v>
      </c>
      <c r="G6907" t="s">
        <v>2177</v>
      </c>
      <c r="H6907">
        <v>2015</v>
      </c>
      <c r="I6907" t="s">
        <v>4</v>
      </c>
      <c r="J6907">
        <v>3015</v>
      </c>
      <c r="K6907" t="s">
        <v>4</v>
      </c>
      <c r="L6907">
        <v>4808</v>
      </c>
      <c r="M6907" t="s">
        <v>2199</v>
      </c>
      <c r="N6907" t="s">
        <v>1450</v>
      </c>
      <c r="O6907">
        <v>2</v>
      </c>
      <c r="P6907">
        <v>7003</v>
      </c>
      <c r="Q6907" t="s">
        <v>2202</v>
      </c>
      <c r="R6907" t="s">
        <v>201</v>
      </c>
      <c r="S6907">
        <v>3</v>
      </c>
      <c r="T6907">
        <v>1</v>
      </c>
      <c r="U6907">
        <v>77988</v>
      </c>
      <c r="V6907">
        <v>233964</v>
      </c>
    </row>
    <row r="6908" spans="1:22">
      <c r="A6908" t="s">
        <v>196</v>
      </c>
      <c r="B6908">
        <v>85</v>
      </c>
      <c r="C6908" t="s">
        <v>2177</v>
      </c>
      <c r="D6908">
        <v>740</v>
      </c>
      <c r="E6908" t="s">
        <v>2208</v>
      </c>
      <c r="F6908">
        <v>1005</v>
      </c>
      <c r="G6908" t="s">
        <v>2177</v>
      </c>
      <c r="H6908">
        <v>2015</v>
      </c>
      <c r="I6908" t="s">
        <v>4</v>
      </c>
      <c r="J6908">
        <v>3015</v>
      </c>
      <c r="K6908" t="s">
        <v>4</v>
      </c>
      <c r="L6908">
        <v>4808</v>
      </c>
      <c r="M6908" t="s">
        <v>2199</v>
      </c>
      <c r="N6908" t="s">
        <v>1450</v>
      </c>
      <c r="O6908">
        <v>2</v>
      </c>
      <c r="P6908">
        <v>7003</v>
      </c>
      <c r="Q6908" t="s">
        <v>2202</v>
      </c>
      <c r="R6908" t="s">
        <v>201</v>
      </c>
      <c r="S6908">
        <v>1</v>
      </c>
      <c r="T6908">
        <v>1</v>
      </c>
      <c r="U6908">
        <v>74520</v>
      </c>
      <c r="V6908">
        <v>74520</v>
      </c>
    </row>
    <row r="6909" spans="1:22">
      <c r="A6909" t="s">
        <v>196</v>
      </c>
      <c r="B6909">
        <v>85</v>
      </c>
      <c r="C6909" t="s">
        <v>2177</v>
      </c>
      <c r="D6909">
        <v>740</v>
      </c>
      <c r="E6909" t="s">
        <v>2208</v>
      </c>
      <c r="F6909">
        <v>1005</v>
      </c>
      <c r="G6909" t="s">
        <v>2177</v>
      </c>
      <c r="H6909">
        <v>2015</v>
      </c>
      <c r="I6909" t="s">
        <v>4</v>
      </c>
      <c r="J6909">
        <v>3015</v>
      </c>
      <c r="K6909" t="s">
        <v>4</v>
      </c>
      <c r="L6909">
        <v>4808</v>
      </c>
      <c r="M6909" t="s">
        <v>2199</v>
      </c>
      <c r="N6909" t="s">
        <v>1450</v>
      </c>
      <c r="O6909">
        <v>2</v>
      </c>
      <c r="P6909">
        <v>7003</v>
      </c>
      <c r="Q6909" t="s">
        <v>2202</v>
      </c>
      <c r="R6909" t="s">
        <v>201</v>
      </c>
      <c r="S6909">
        <v>5</v>
      </c>
      <c r="T6909">
        <v>1</v>
      </c>
      <c r="U6909">
        <v>71076</v>
      </c>
      <c r="V6909">
        <v>355380</v>
      </c>
    </row>
    <row r="6910" spans="1:22">
      <c r="A6910" t="s">
        <v>196</v>
      </c>
      <c r="B6910">
        <v>85</v>
      </c>
      <c r="C6910" t="s">
        <v>2177</v>
      </c>
      <c r="D6910">
        <v>740</v>
      </c>
      <c r="E6910" t="s">
        <v>2208</v>
      </c>
      <c r="F6910">
        <v>1005</v>
      </c>
      <c r="G6910" t="s">
        <v>2177</v>
      </c>
      <c r="H6910">
        <v>2015</v>
      </c>
      <c r="I6910" t="s">
        <v>4</v>
      </c>
      <c r="J6910">
        <v>3015</v>
      </c>
      <c r="K6910" t="s">
        <v>4</v>
      </c>
      <c r="L6910">
        <v>4808</v>
      </c>
      <c r="M6910" t="s">
        <v>2199</v>
      </c>
      <c r="N6910" t="s">
        <v>1450</v>
      </c>
      <c r="O6910">
        <v>2</v>
      </c>
      <c r="P6910">
        <v>7003</v>
      </c>
      <c r="Q6910" t="s">
        <v>2202</v>
      </c>
      <c r="R6910" t="s">
        <v>201</v>
      </c>
      <c r="S6910">
        <v>8</v>
      </c>
      <c r="T6910">
        <v>1</v>
      </c>
      <c r="U6910">
        <v>67884</v>
      </c>
      <c r="V6910">
        <v>543072</v>
      </c>
    </row>
    <row r="6911" spans="1:22">
      <c r="A6911" t="s">
        <v>196</v>
      </c>
      <c r="B6911">
        <v>85</v>
      </c>
      <c r="C6911" t="s">
        <v>2177</v>
      </c>
      <c r="D6911">
        <v>740</v>
      </c>
      <c r="E6911" t="s">
        <v>2208</v>
      </c>
      <c r="F6911">
        <v>1005</v>
      </c>
      <c r="G6911" t="s">
        <v>2177</v>
      </c>
      <c r="H6911">
        <v>2015</v>
      </c>
      <c r="I6911" t="s">
        <v>4</v>
      </c>
      <c r="J6911">
        <v>3015</v>
      </c>
      <c r="K6911" t="s">
        <v>4</v>
      </c>
      <c r="L6911">
        <v>4808</v>
      </c>
      <c r="M6911" t="s">
        <v>2199</v>
      </c>
      <c r="N6911" t="s">
        <v>2203</v>
      </c>
      <c r="O6911">
        <v>59</v>
      </c>
      <c r="P6911">
        <v>7002</v>
      </c>
      <c r="Q6911" t="s">
        <v>2204</v>
      </c>
      <c r="R6911" t="s">
        <v>201</v>
      </c>
      <c r="S6911">
        <v>3</v>
      </c>
      <c r="T6911">
        <v>1</v>
      </c>
      <c r="U6911">
        <v>122484</v>
      </c>
      <c r="V6911">
        <v>367452</v>
      </c>
    </row>
    <row r="6912" spans="1:22">
      <c r="A6912" t="s">
        <v>196</v>
      </c>
      <c r="B6912">
        <v>85</v>
      </c>
      <c r="C6912" t="s">
        <v>2177</v>
      </c>
      <c r="D6912">
        <v>740</v>
      </c>
      <c r="E6912" t="s">
        <v>2208</v>
      </c>
      <c r="F6912">
        <v>1005</v>
      </c>
      <c r="G6912" t="s">
        <v>2177</v>
      </c>
      <c r="H6912">
        <v>2015</v>
      </c>
      <c r="I6912" t="s">
        <v>4</v>
      </c>
      <c r="J6912">
        <v>3015</v>
      </c>
      <c r="K6912" t="s">
        <v>4</v>
      </c>
      <c r="L6912">
        <v>4808</v>
      </c>
      <c r="M6912" t="s">
        <v>2199</v>
      </c>
      <c r="N6912" t="s">
        <v>2203</v>
      </c>
      <c r="O6912">
        <v>59</v>
      </c>
      <c r="P6912">
        <v>7002</v>
      </c>
      <c r="Q6912" t="s">
        <v>2204</v>
      </c>
      <c r="R6912" t="s">
        <v>201</v>
      </c>
      <c r="S6912">
        <v>1</v>
      </c>
      <c r="T6912">
        <v>1</v>
      </c>
      <c r="U6912">
        <v>101700</v>
      </c>
      <c r="V6912">
        <v>101700</v>
      </c>
    </row>
    <row r="6913" spans="1:22">
      <c r="A6913" t="s">
        <v>196</v>
      </c>
      <c r="B6913">
        <v>85</v>
      </c>
      <c r="C6913" t="s">
        <v>2177</v>
      </c>
      <c r="D6913">
        <v>740</v>
      </c>
      <c r="E6913" t="s">
        <v>2208</v>
      </c>
      <c r="F6913">
        <v>1005</v>
      </c>
      <c r="G6913" t="s">
        <v>2177</v>
      </c>
      <c r="H6913">
        <v>2015</v>
      </c>
      <c r="I6913" t="s">
        <v>4</v>
      </c>
      <c r="J6913">
        <v>3015</v>
      </c>
      <c r="K6913" t="s">
        <v>4</v>
      </c>
      <c r="L6913">
        <v>4808</v>
      </c>
      <c r="M6913" t="s">
        <v>2199</v>
      </c>
      <c r="N6913" t="s">
        <v>2203</v>
      </c>
      <c r="O6913">
        <v>59</v>
      </c>
      <c r="P6913">
        <v>7002</v>
      </c>
      <c r="Q6913" t="s">
        <v>2204</v>
      </c>
      <c r="R6913" t="s">
        <v>201</v>
      </c>
      <c r="S6913">
        <v>1</v>
      </c>
      <c r="T6913">
        <v>1</v>
      </c>
      <c r="U6913">
        <v>92700</v>
      </c>
      <c r="V6913">
        <v>92700</v>
      </c>
    </row>
    <row r="6914" spans="1:22">
      <c r="A6914" t="s">
        <v>196</v>
      </c>
      <c r="B6914">
        <v>85</v>
      </c>
      <c r="C6914" t="s">
        <v>2177</v>
      </c>
      <c r="D6914">
        <v>740</v>
      </c>
      <c r="E6914" t="s">
        <v>2208</v>
      </c>
      <c r="F6914">
        <v>1005</v>
      </c>
      <c r="G6914" t="s">
        <v>2177</v>
      </c>
      <c r="H6914">
        <v>2015</v>
      </c>
      <c r="I6914" t="s">
        <v>4</v>
      </c>
      <c r="J6914">
        <v>3015</v>
      </c>
      <c r="K6914" t="s">
        <v>4</v>
      </c>
      <c r="L6914">
        <v>4808</v>
      </c>
      <c r="M6914" t="s">
        <v>2199</v>
      </c>
      <c r="N6914" t="s">
        <v>2203</v>
      </c>
      <c r="O6914">
        <v>59</v>
      </c>
      <c r="P6914">
        <v>7002</v>
      </c>
      <c r="Q6914" t="s">
        <v>2204</v>
      </c>
      <c r="R6914" t="s">
        <v>201</v>
      </c>
      <c r="S6914">
        <v>1</v>
      </c>
      <c r="T6914">
        <v>1</v>
      </c>
      <c r="U6914">
        <v>87564</v>
      </c>
      <c r="V6914">
        <v>87564</v>
      </c>
    </row>
    <row r="6915" spans="1:22">
      <c r="A6915" t="s">
        <v>196</v>
      </c>
      <c r="B6915">
        <v>85</v>
      </c>
      <c r="C6915" t="s">
        <v>2177</v>
      </c>
      <c r="D6915">
        <v>740</v>
      </c>
      <c r="E6915" t="s">
        <v>2208</v>
      </c>
      <c r="F6915">
        <v>1005</v>
      </c>
      <c r="G6915" t="s">
        <v>2177</v>
      </c>
      <c r="H6915">
        <v>2015</v>
      </c>
      <c r="I6915" t="s">
        <v>4</v>
      </c>
      <c r="J6915">
        <v>3015</v>
      </c>
      <c r="K6915" t="s">
        <v>4</v>
      </c>
      <c r="L6915">
        <v>4808</v>
      </c>
      <c r="M6915" t="s">
        <v>2199</v>
      </c>
      <c r="N6915" t="s">
        <v>2203</v>
      </c>
      <c r="O6915">
        <v>59</v>
      </c>
      <c r="P6915">
        <v>7002</v>
      </c>
      <c r="Q6915" t="s">
        <v>2204</v>
      </c>
      <c r="R6915" t="s">
        <v>201</v>
      </c>
      <c r="S6915">
        <v>1</v>
      </c>
      <c r="T6915">
        <v>1</v>
      </c>
      <c r="U6915">
        <v>82464</v>
      </c>
      <c r="V6915">
        <v>82464</v>
      </c>
    </row>
    <row r="6916" spans="1:22">
      <c r="A6916" t="s">
        <v>196</v>
      </c>
      <c r="B6916">
        <v>85</v>
      </c>
      <c r="C6916" t="s">
        <v>2177</v>
      </c>
      <c r="D6916">
        <v>740</v>
      </c>
      <c r="E6916" t="s">
        <v>2208</v>
      </c>
      <c r="F6916">
        <v>1005</v>
      </c>
      <c r="G6916" t="s">
        <v>2177</v>
      </c>
      <c r="H6916">
        <v>2015</v>
      </c>
      <c r="I6916" t="s">
        <v>4</v>
      </c>
      <c r="J6916">
        <v>3015</v>
      </c>
      <c r="K6916" t="s">
        <v>4</v>
      </c>
      <c r="L6916">
        <v>4808</v>
      </c>
      <c r="M6916" t="s">
        <v>2199</v>
      </c>
      <c r="N6916" t="s">
        <v>2203</v>
      </c>
      <c r="O6916">
        <v>59</v>
      </c>
      <c r="P6916">
        <v>7002</v>
      </c>
      <c r="Q6916" t="s">
        <v>2204</v>
      </c>
      <c r="R6916" t="s">
        <v>201</v>
      </c>
      <c r="S6916">
        <v>2</v>
      </c>
      <c r="T6916">
        <v>1</v>
      </c>
      <c r="U6916">
        <v>75168</v>
      </c>
      <c r="V6916">
        <v>150336</v>
      </c>
    </row>
    <row r="6917" spans="1:22">
      <c r="A6917" t="s">
        <v>196</v>
      </c>
      <c r="B6917">
        <v>85</v>
      </c>
      <c r="C6917" t="s">
        <v>2177</v>
      </c>
      <c r="D6917">
        <v>740</v>
      </c>
      <c r="E6917" t="s">
        <v>2208</v>
      </c>
      <c r="F6917">
        <v>1005</v>
      </c>
      <c r="G6917" t="s">
        <v>2177</v>
      </c>
      <c r="H6917">
        <v>2015</v>
      </c>
      <c r="I6917" t="s">
        <v>4</v>
      </c>
      <c r="J6917">
        <v>3015</v>
      </c>
      <c r="K6917" t="s">
        <v>4</v>
      </c>
      <c r="L6917">
        <v>4808</v>
      </c>
      <c r="M6917" t="s">
        <v>2199</v>
      </c>
      <c r="N6917" t="s">
        <v>1314</v>
      </c>
      <c r="O6917">
        <v>0</v>
      </c>
      <c r="P6917" t="s">
        <v>1471</v>
      </c>
      <c r="Q6917" t="s">
        <v>605</v>
      </c>
      <c r="R6917" t="s">
        <v>201</v>
      </c>
      <c r="S6917">
        <v>1</v>
      </c>
      <c r="T6917">
        <v>1</v>
      </c>
      <c r="U6917">
        <v>160680</v>
      </c>
      <c r="V6917">
        <v>160680</v>
      </c>
    </row>
    <row r="6918" spans="1:22">
      <c r="A6918" t="s">
        <v>196</v>
      </c>
      <c r="B6918">
        <v>85</v>
      </c>
      <c r="C6918" t="s">
        <v>2177</v>
      </c>
      <c r="D6918">
        <v>740</v>
      </c>
      <c r="E6918" t="s">
        <v>2208</v>
      </c>
      <c r="F6918">
        <v>1005</v>
      </c>
      <c r="G6918" t="s">
        <v>2177</v>
      </c>
      <c r="H6918">
        <v>2015</v>
      </c>
      <c r="I6918" t="s">
        <v>4</v>
      </c>
      <c r="J6918">
        <v>3015</v>
      </c>
      <c r="K6918" t="s">
        <v>4</v>
      </c>
      <c r="L6918">
        <v>4808</v>
      </c>
      <c r="M6918" t="s">
        <v>2199</v>
      </c>
      <c r="N6918" t="s">
        <v>249</v>
      </c>
      <c r="O6918">
        <v>10</v>
      </c>
      <c r="P6918">
        <v>310</v>
      </c>
      <c r="Q6918" t="s">
        <v>447</v>
      </c>
      <c r="R6918" t="s">
        <v>201</v>
      </c>
      <c r="S6918">
        <v>1</v>
      </c>
      <c r="T6918">
        <v>1</v>
      </c>
      <c r="U6918">
        <v>113568</v>
      </c>
      <c r="V6918">
        <v>113568</v>
      </c>
    </row>
    <row r="6919" spans="1:22">
      <c r="A6919" t="s">
        <v>196</v>
      </c>
      <c r="B6919">
        <v>85</v>
      </c>
      <c r="C6919" t="s">
        <v>2177</v>
      </c>
      <c r="D6919">
        <v>740</v>
      </c>
      <c r="E6919" t="s">
        <v>2208</v>
      </c>
      <c r="F6919">
        <v>1005</v>
      </c>
      <c r="G6919" t="s">
        <v>2177</v>
      </c>
      <c r="H6919">
        <v>2015</v>
      </c>
      <c r="I6919" t="s">
        <v>4</v>
      </c>
      <c r="J6919">
        <v>3015</v>
      </c>
      <c r="K6919" t="s">
        <v>4</v>
      </c>
      <c r="L6919">
        <v>4808</v>
      </c>
      <c r="M6919" t="s">
        <v>2199</v>
      </c>
      <c r="N6919" t="s">
        <v>199</v>
      </c>
      <c r="O6919">
        <v>0</v>
      </c>
      <c r="P6919">
        <v>15</v>
      </c>
      <c r="Q6919" t="s">
        <v>264</v>
      </c>
      <c r="R6919" t="s">
        <v>201</v>
      </c>
      <c r="S6919">
        <v>0</v>
      </c>
      <c r="T6919">
        <v>0</v>
      </c>
      <c r="U6919">
        <v>40455</v>
      </c>
      <c r="V6919">
        <v>40455</v>
      </c>
    </row>
    <row r="6920" spans="1:22">
      <c r="A6920" t="s">
        <v>196</v>
      </c>
      <c r="B6920">
        <v>85</v>
      </c>
      <c r="C6920" t="s">
        <v>2177</v>
      </c>
      <c r="D6920">
        <v>740</v>
      </c>
      <c r="E6920" t="s">
        <v>2208</v>
      </c>
      <c r="F6920">
        <v>1005</v>
      </c>
      <c r="G6920" t="s">
        <v>2177</v>
      </c>
      <c r="H6920">
        <v>2015</v>
      </c>
      <c r="I6920" t="s">
        <v>4</v>
      </c>
      <c r="J6920">
        <v>3015</v>
      </c>
      <c r="K6920" t="s">
        <v>4</v>
      </c>
      <c r="L6920">
        <v>4810</v>
      </c>
      <c r="M6920" t="s">
        <v>1474</v>
      </c>
      <c r="N6920" t="s">
        <v>253</v>
      </c>
      <c r="O6920">
        <v>10</v>
      </c>
      <c r="P6920">
        <v>7007</v>
      </c>
      <c r="Q6920" t="s">
        <v>2207</v>
      </c>
      <c r="R6920" t="s">
        <v>201</v>
      </c>
      <c r="S6920">
        <v>2</v>
      </c>
      <c r="T6920">
        <v>1</v>
      </c>
      <c r="U6920">
        <v>83052</v>
      </c>
      <c r="V6920">
        <v>166104</v>
      </c>
    </row>
    <row r="6921" spans="1:22">
      <c r="A6921" t="s">
        <v>196</v>
      </c>
      <c r="B6921">
        <v>85</v>
      </c>
      <c r="C6921" t="s">
        <v>2177</v>
      </c>
      <c r="D6921">
        <v>740</v>
      </c>
      <c r="E6921" t="s">
        <v>2208</v>
      </c>
      <c r="F6921">
        <v>1005</v>
      </c>
      <c r="G6921" t="s">
        <v>2177</v>
      </c>
      <c r="H6921">
        <v>2015</v>
      </c>
      <c r="I6921" t="s">
        <v>4</v>
      </c>
      <c r="J6921">
        <v>3015</v>
      </c>
      <c r="K6921" t="s">
        <v>4</v>
      </c>
      <c r="L6921">
        <v>4810</v>
      </c>
      <c r="M6921" t="s">
        <v>1474</v>
      </c>
      <c r="N6921" t="s">
        <v>1704</v>
      </c>
      <c r="O6921">
        <v>54</v>
      </c>
      <c r="P6921">
        <v>6305</v>
      </c>
      <c r="Q6921" t="s">
        <v>1705</v>
      </c>
      <c r="R6921" t="s">
        <v>201</v>
      </c>
      <c r="S6921">
        <v>1</v>
      </c>
      <c r="T6921">
        <v>1</v>
      </c>
      <c r="U6921">
        <v>103572</v>
      </c>
      <c r="V6921">
        <v>103572</v>
      </c>
    </row>
    <row r="6922" spans="1:22">
      <c r="A6922" t="s">
        <v>196</v>
      </c>
      <c r="B6922">
        <v>85</v>
      </c>
      <c r="C6922" t="s">
        <v>2177</v>
      </c>
      <c r="D6922">
        <v>740</v>
      </c>
      <c r="E6922" t="s">
        <v>2208</v>
      </c>
      <c r="F6922">
        <v>1005</v>
      </c>
      <c r="G6922" t="s">
        <v>2177</v>
      </c>
      <c r="H6922">
        <v>2015</v>
      </c>
      <c r="I6922" t="s">
        <v>4</v>
      </c>
      <c r="J6922">
        <v>3015</v>
      </c>
      <c r="K6922" t="s">
        <v>4</v>
      </c>
      <c r="L6922">
        <v>4810</v>
      </c>
      <c r="M6922" t="s">
        <v>1474</v>
      </c>
      <c r="N6922" t="s">
        <v>1704</v>
      </c>
      <c r="O6922">
        <v>54</v>
      </c>
      <c r="P6922">
        <v>6305</v>
      </c>
      <c r="Q6922" t="s">
        <v>1705</v>
      </c>
      <c r="R6922" t="s">
        <v>201</v>
      </c>
      <c r="S6922">
        <v>1</v>
      </c>
      <c r="T6922">
        <v>1</v>
      </c>
      <c r="U6922">
        <v>77628</v>
      </c>
      <c r="V6922">
        <v>77628</v>
      </c>
    </row>
    <row r="6923" spans="1:22">
      <c r="A6923" t="s">
        <v>196</v>
      </c>
      <c r="B6923">
        <v>85</v>
      </c>
      <c r="C6923" t="s">
        <v>2177</v>
      </c>
      <c r="D6923">
        <v>740</v>
      </c>
      <c r="E6923" t="s">
        <v>2208</v>
      </c>
      <c r="F6923">
        <v>1005</v>
      </c>
      <c r="G6923" t="s">
        <v>2177</v>
      </c>
      <c r="H6923">
        <v>2015</v>
      </c>
      <c r="I6923" t="s">
        <v>4</v>
      </c>
      <c r="J6923">
        <v>3015</v>
      </c>
      <c r="K6923" t="s">
        <v>4</v>
      </c>
      <c r="L6923">
        <v>4810</v>
      </c>
      <c r="M6923" t="s">
        <v>1474</v>
      </c>
      <c r="N6923" t="s">
        <v>1704</v>
      </c>
      <c r="O6923">
        <v>54</v>
      </c>
      <c r="P6923">
        <v>6305</v>
      </c>
      <c r="Q6923" t="s">
        <v>1705</v>
      </c>
      <c r="R6923" t="s">
        <v>201</v>
      </c>
      <c r="S6923">
        <v>3</v>
      </c>
      <c r="T6923">
        <v>1</v>
      </c>
      <c r="U6923">
        <v>74136</v>
      </c>
      <c r="V6923">
        <v>222408</v>
      </c>
    </row>
    <row r="6924" spans="1:22">
      <c r="A6924" t="s">
        <v>196</v>
      </c>
      <c r="B6924">
        <v>85</v>
      </c>
      <c r="C6924" t="s">
        <v>2177</v>
      </c>
      <c r="D6924">
        <v>740</v>
      </c>
      <c r="E6924" t="s">
        <v>2208</v>
      </c>
      <c r="F6924">
        <v>1005</v>
      </c>
      <c r="G6924" t="s">
        <v>2177</v>
      </c>
      <c r="H6924">
        <v>2015</v>
      </c>
      <c r="I6924" t="s">
        <v>4</v>
      </c>
      <c r="J6924">
        <v>3015</v>
      </c>
      <c r="K6924" t="s">
        <v>4</v>
      </c>
      <c r="L6924">
        <v>4810</v>
      </c>
      <c r="M6924" t="s">
        <v>1474</v>
      </c>
      <c r="N6924" t="s">
        <v>1704</v>
      </c>
      <c r="O6924">
        <v>54</v>
      </c>
      <c r="P6924">
        <v>6305</v>
      </c>
      <c r="Q6924" t="s">
        <v>1705</v>
      </c>
      <c r="R6924" t="s">
        <v>201</v>
      </c>
      <c r="S6924">
        <v>6</v>
      </c>
      <c r="T6924">
        <v>1</v>
      </c>
      <c r="U6924">
        <v>70740</v>
      </c>
      <c r="V6924">
        <v>424440</v>
      </c>
    </row>
    <row r="6925" spans="1:22">
      <c r="A6925" t="s">
        <v>196</v>
      </c>
      <c r="B6925">
        <v>85</v>
      </c>
      <c r="C6925" t="s">
        <v>2177</v>
      </c>
      <c r="D6925">
        <v>740</v>
      </c>
      <c r="E6925" t="s">
        <v>2208</v>
      </c>
      <c r="F6925">
        <v>1005</v>
      </c>
      <c r="G6925" t="s">
        <v>2177</v>
      </c>
      <c r="H6925">
        <v>2015</v>
      </c>
      <c r="I6925" t="s">
        <v>4</v>
      </c>
      <c r="J6925">
        <v>3015</v>
      </c>
      <c r="K6925" t="s">
        <v>4</v>
      </c>
      <c r="L6925">
        <v>4810</v>
      </c>
      <c r="M6925" t="s">
        <v>1474</v>
      </c>
      <c r="N6925" t="s">
        <v>372</v>
      </c>
      <c r="O6925">
        <v>4</v>
      </c>
      <c r="P6925">
        <v>1912</v>
      </c>
      <c r="Q6925" t="s">
        <v>608</v>
      </c>
      <c r="R6925" t="s">
        <v>201</v>
      </c>
      <c r="S6925">
        <v>1</v>
      </c>
      <c r="T6925">
        <v>1</v>
      </c>
      <c r="U6925">
        <v>81324</v>
      </c>
      <c r="V6925">
        <v>81324</v>
      </c>
    </row>
    <row r="6926" spans="1:22">
      <c r="A6926" t="s">
        <v>196</v>
      </c>
      <c r="B6926">
        <v>85</v>
      </c>
      <c r="C6926" t="s">
        <v>2177</v>
      </c>
      <c r="D6926">
        <v>740</v>
      </c>
      <c r="E6926" t="s">
        <v>2208</v>
      </c>
      <c r="F6926">
        <v>1005</v>
      </c>
      <c r="G6926" t="s">
        <v>2177</v>
      </c>
      <c r="H6926">
        <v>2015</v>
      </c>
      <c r="I6926" t="s">
        <v>4</v>
      </c>
      <c r="J6926">
        <v>3015</v>
      </c>
      <c r="K6926" t="s">
        <v>4</v>
      </c>
      <c r="L6926">
        <v>4810</v>
      </c>
      <c r="M6926" t="s">
        <v>1474</v>
      </c>
      <c r="N6926" t="s">
        <v>622</v>
      </c>
      <c r="O6926">
        <v>1</v>
      </c>
      <c r="P6926" t="s">
        <v>667</v>
      </c>
      <c r="Q6926" t="s">
        <v>205</v>
      </c>
      <c r="R6926" t="s">
        <v>201</v>
      </c>
      <c r="S6926">
        <v>1</v>
      </c>
      <c r="T6926">
        <v>1</v>
      </c>
      <c r="U6926">
        <v>90144</v>
      </c>
      <c r="V6926">
        <v>90144</v>
      </c>
    </row>
    <row r="6927" spans="1:22">
      <c r="A6927" t="s">
        <v>196</v>
      </c>
      <c r="B6927">
        <v>85</v>
      </c>
      <c r="C6927" t="s">
        <v>2177</v>
      </c>
      <c r="D6927">
        <v>740</v>
      </c>
      <c r="E6927" t="s">
        <v>2208</v>
      </c>
      <c r="F6927">
        <v>1005</v>
      </c>
      <c r="G6927" t="s">
        <v>2177</v>
      </c>
      <c r="H6927">
        <v>2015</v>
      </c>
      <c r="I6927" t="s">
        <v>4</v>
      </c>
      <c r="J6927">
        <v>3015</v>
      </c>
      <c r="K6927" t="s">
        <v>4</v>
      </c>
      <c r="L6927">
        <v>4810</v>
      </c>
      <c r="M6927" t="s">
        <v>1474</v>
      </c>
      <c r="N6927" t="s">
        <v>1314</v>
      </c>
      <c r="O6927">
        <v>0</v>
      </c>
      <c r="P6927" t="s">
        <v>1471</v>
      </c>
      <c r="Q6927" t="s">
        <v>605</v>
      </c>
      <c r="R6927" t="s">
        <v>201</v>
      </c>
      <c r="S6927">
        <v>1</v>
      </c>
      <c r="T6927">
        <v>1</v>
      </c>
      <c r="U6927">
        <v>160680</v>
      </c>
      <c r="V6927">
        <v>160680</v>
      </c>
    </row>
    <row r="6928" spans="1:22">
      <c r="A6928" t="s">
        <v>196</v>
      </c>
      <c r="B6928">
        <v>85</v>
      </c>
      <c r="C6928" t="s">
        <v>2177</v>
      </c>
      <c r="D6928">
        <v>740</v>
      </c>
      <c r="E6928" t="s">
        <v>2208</v>
      </c>
      <c r="F6928">
        <v>1005</v>
      </c>
      <c r="G6928" t="s">
        <v>2177</v>
      </c>
      <c r="H6928">
        <v>2015</v>
      </c>
      <c r="I6928" t="s">
        <v>4</v>
      </c>
      <c r="J6928">
        <v>3015</v>
      </c>
      <c r="K6928" t="s">
        <v>4</v>
      </c>
      <c r="L6928">
        <v>4810</v>
      </c>
      <c r="M6928" t="s">
        <v>1474</v>
      </c>
      <c r="N6928" t="s">
        <v>249</v>
      </c>
      <c r="O6928">
        <v>10</v>
      </c>
      <c r="P6928">
        <v>311</v>
      </c>
      <c r="Q6928" t="s">
        <v>661</v>
      </c>
      <c r="R6928" t="s">
        <v>201</v>
      </c>
      <c r="S6928">
        <v>1</v>
      </c>
      <c r="T6928">
        <v>1</v>
      </c>
      <c r="U6928">
        <v>102444</v>
      </c>
      <c r="V6928">
        <v>102444</v>
      </c>
    </row>
    <row r="6929" spans="1:22">
      <c r="A6929" t="s">
        <v>196</v>
      </c>
      <c r="B6929">
        <v>85</v>
      </c>
      <c r="C6929" t="s">
        <v>2177</v>
      </c>
      <c r="D6929">
        <v>740</v>
      </c>
      <c r="E6929" t="s">
        <v>2208</v>
      </c>
      <c r="F6929">
        <v>1005</v>
      </c>
      <c r="G6929" t="s">
        <v>2177</v>
      </c>
      <c r="H6929">
        <v>2015</v>
      </c>
      <c r="I6929" t="s">
        <v>4</v>
      </c>
      <c r="J6929">
        <v>3015</v>
      </c>
      <c r="K6929" t="s">
        <v>4</v>
      </c>
      <c r="L6929">
        <v>4810</v>
      </c>
      <c r="M6929" t="s">
        <v>1474</v>
      </c>
      <c r="N6929" t="s">
        <v>199</v>
      </c>
      <c r="O6929">
        <v>0</v>
      </c>
      <c r="P6929">
        <v>15</v>
      </c>
      <c r="Q6929" t="s">
        <v>264</v>
      </c>
      <c r="R6929" t="s">
        <v>201</v>
      </c>
      <c r="S6929">
        <v>0</v>
      </c>
      <c r="T6929">
        <v>0</v>
      </c>
      <c r="U6929">
        <v>22558</v>
      </c>
      <c r="V6929">
        <v>22558</v>
      </c>
    </row>
    <row r="6930" spans="1:22">
      <c r="A6930" t="s">
        <v>196</v>
      </c>
      <c r="B6930">
        <v>85</v>
      </c>
      <c r="C6930" t="s">
        <v>2177</v>
      </c>
      <c r="D6930">
        <v>740</v>
      </c>
      <c r="E6930" t="s">
        <v>2208</v>
      </c>
      <c r="F6930">
        <v>1005</v>
      </c>
      <c r="G6930" t="s">
        <v>2177</v>
      </c>
      <c r="H6930">
        <v>2015</v>
      </c>
      <c r="I6930" t="s">
        <v>4</v>
      </c>
      <c r="J6930">
        <v>3015</v>
      </c>
      <c r="K6930" t="s">
        <v>4</v>
      </c>
      <c r="L6930">
        <v>4812</v>
      </c>
      <c r="M6930" t="s">
        <v>2152</v>
      </c>
      <c r="N6930" t="s">
        <v>2262</v>
      </c>
      <c r="O6930">
        <v>59</v>
      </c>
      <c r="P6930">
        <v>8631</v>
      </c>
      <c r="Q6930" t="s">
        <v>2263</v>
      </c>
      <c r="R6930" t="s">
        <v>201</v>
      </c>
      <c r="S6930">
        <v>3</v>
      </c>
      <c r="T6930">
        <v>1</v>
      </c>
      <c r="U6930">
        <v>75204</v>
      </c>
      <c r="V6930">
        <v>225612</v>
      </c>
    </row>
    <row r="6931" spans="1:22">
      <c r="A6931" t="s">
        <v>196</v>
      </c>
      <c r="B6931">
        <v>85</v>
      </c>
      <c r="C6931" t="s">
        <v>2177</v>
      </c>
      <c r="D6931">
        <v>740</v>
      </c>
      <c r="E6931" t="s">
        <v>2208</v>
      </c>
      <c r="F6931">
        <v>1005</v>
      </c>
      <c r="G6931" t="s">
        <v>2177</v>
      </c>
      <c r="H6931">
        <v>2015</v>
      </c>
      <c r="I6931" t="s">
        <v>4</v>
      </c>
      <c r="J6931">
        <v>3015</v>
      </c>
      <c r="K6931" t="s">
        <v>4</v>
      </c>
      <c r="L6931">
        <v>4812</v>
      </c>
      <c r="M6931" t="s">
        <v>2152</v>
      </c>
      <c r="N6931" t="s">
        <v>2262</v>
      </c>
      <c r="O6931">
        <v>59</v>
      </c>
      <c r="P6931">
        <v>8631</v>
      </c>
      <c r="Q6931" t="s">
        <v>2263</v>
      </c>
      <c r="R6931" t="s">
        <v>201</v>
      </c>
      <c r="S6931">
        <v>2</v>
      </c>
      <c r="T6931">
        <v>1</v>
      </c>
      <c r="U6931">
        <v>71784</v>
      </c>
      <c r="V6931">
        <v>143568</v>
      </c>
    </row>
    <row r="6932" spans="1:22">
      <c r="A6932" t="s">
        <v>196</v>
      </c>
      <c r="B6932">
        <v>85</v>
      </c>
      <c r="C6932" t="s">
        <v>2177</v>
      </c>
      <c r="D6932">
        <v>740</v>
      </c>
      <c r="E6932" t="s">
        <v>2208</v>
      </c>
      <c r="F6932">
        <v>1005</v>
      </c>
      <c r="G6932" t="s">
        <v>2177</v>
      </c>
      <c r="H6932">
        <v>2015</v>
      </c>
      <c r="I6932" t="s">
        <v>4</v>
      </c>
      <c r="J6932">
        <v>3015</v>
      </c>
      <c r="K6932" t="s">
        <v>4</v>
      </c>
      <c r="L6932">
        <v>4812</v>
      </c>
      <c r="M6932" t="s">
        <v>2152</v>
      </c>
      <c r="N6932" t="s">
        <v>2262</v>
      </c>
      <c r="O6932">
        <v>59</v>
      </c>
      <c r="P6932">
        <v>8631</v>
      </c>
      <c r="Q6932" t="s">
        <v>2263</v>
      </c>
      <c r="R6932" t="s">
        <v>201</v>
      </c>
      <c r="S6932">
        <v>1</v>
      </c>
      <c r="T6932">
        <v>1</v>
      </c>
      <c r="U6932">
        <v>68520</v>
      </c>
      <c r="V6932">
        <v>68520</v>
      </c>
    </row>
    <row r="6933" spans="1:22">
      <c r="A6933" t="s">
        <v>196</v>
      </c>
      <c r="B6933">
        <v>85</v>
      </c>
      <c r="C6933" t="s">
        <v>2177</v>
      </c>
      <c r="D6933">
        <v>740</v>
      </c>
      <c r="E6933" t="s">
        <v>2208</v>
      </c>
      <c r="F6933">
        <v>1005</v>
      </c>
      <c r="G6933" t="s">
        <v>2177</v>
      </c>
      <c r="H6933">
        <v>2015</v>
      </c>
      <c r="I6933" t="s">
        <v>4</v>
      </c>
      <c r="J6933">
        <v>3015</v>
      </c>
      <c r="K6933" t="s">
        <v>4</v>
      </c>
      <c r="L6933">
        <v>4812</v>
      </c>
      <c r="M6933" t="s">
        <v>2152</v>
      </c>
      <c r="N6933" t="s">
        <v>2262</v>
      </c>
      <c r="O6933">
        <v>59</v>
      </c>
      <c r="P6933">
        <v>8631</v>
      </c>
      <c r="Q6933" t="s">
        <v>2263</v>
      </c>
      <c r="R6933" t="s">
        <v>201</v>
      </c>
      <c r="S6933">
        <v>3</v>
      </c>
      <c r="T6933">
        <v>1</v>
      </c>
      <c r="U6933">
        <v>65436</v>
      </c>
      <c r="V6933">
        <v>196308</v>
      </c>
    </row>
    <row r="6934" spans="1:22">
      <c r="A6934" t="s">
        <v>196</v>
      </c>
      <c r="B6934">
        <v>85</v>
      </c>
      <c r="C6934" t="s">
        <v>2177</v>
      </c>
      <c r="D6934">
        <v>740</v>
      </c>
      <c r="E6934" t="s">
        <v>2208</v>
      </c>
      <c r="F6934">
        <v>1005</v>
      </c>
      <c r="G6934" t="s">
        <v>2177</v>
      </c>
      <c r="H6934">
        <v>2015</v>
      </c>
      <c r="I6934" t="s">
        <v>4</v>
      </c>
      <c r="J6934">
        <v>3015</v>
      </c>
      <c r="K6934" t="s">
        <v>4</v>
      </c>
      <c r="L6934">
        <v>4812</v>
      </c>
      <c r="M6934" t="s">
        <v>2152</v>
      </c>
      <c r="N6934" t="s">
        <v>397</v>
      </c>
      <c r="O6934">
        <v>3</v>
      </c>
      <c r="P6934">
        <v>8621</v>
      </c>
      <c r="Q6934" t="s">
        <v>2154</v>
      </c>
      <c r="R6934" t="s">
        <v>201</v>
      </c>
      <c r="S6934">
        <v>1</v>
      </c>
      <c r="T6934">
        <v>1</v>
      </c>
      <c r="U6934">
        <v>157332</v>
      </c>
      <c r="V6934">
        <v>157332</v>
      </c>
    </row>
    <row r="6935" spans="1:22">
      <c r="A6935" t="s">
        <v>196</v>
      </c>
      <c r="B6935">
        <v>85</v>
      </c>
      <c r="C6935" t="s">
        <v>2177</v>
      </c>
      <c r="D6935">
        <v>740</v>
      </c>
      <c r="E6935" t="s">
        <v>2208</v>
      </c>
      <c r="F6935">
        <v>1005</v>
      </c>
      <c r="G6935" t="s">
        <v>2177</v>
      </c>
      <c r="H6935">
        <v>2015</v>
      </c>
      <c r="I6935" t="s">
        <v>4</v>
      </c>
      <c r="J6935">
        <v>3015</v>
      </c>
      <c r="K6935" t="s">
        <v>4</v>
      </c>
      <c r="L6935">
        <v>4812</v>
      </c>
      <c r="M6935" t="s">
        <v>2152</v>
      </c>
      <c r="N6935" t="s">
        <v>397</v>
      </c>
      <c r="O6935">
        <v>3</v>
      </c>
      <c r="P6935">
        <v>8621</v>
      </c>
      <c r="Q6935" t="s">
        <v>2154</v>
      </c>
      <c r="R6935" t="s">
        <v>201</v>
      </c>
      <c r="S6935">
        <v>1</v>
      </c>
      <c r="T6935">
        <v>1</v>
      </c>
      <c r="U6935">
        <v>112536</v>
      </c>
      <c r="V6935">
        <v>112536</v>
      </c>
    </row>
    <row r="6936" spans="1:22">
      <c r="A6936" t="s">
        <v>196</v>
      </c>
      <c r="B6936">
        <v>85</v>
      </c>
      <c r="C6936" t="s">
        <v>2177</v>
      </c>
      <c r="D6936">
        <v>740</v>
      </c>
      <c r="E6936" t="s">
        <v>2208</v>
      </c>
      <c r="F6936">
        <v>1005</v>
      </c>
      <c r="G6936" t="s">
        <v>2177</v>
      </c>
      <c r="H6936">
        <v>2015</v>
      </c>
      <c r="I6936" t="s">
        <v>4</v>
      </c>
      <c r="J6936">
        <v>3015</v>
      </c>
      <c r="K6936" t="s">
        <v>4</v>
      </c>
      <c r="L6936">
        <v>4812</v>
      </c>
      <c r="M6936" t="s">
        <v>2152</v>
      </c>
      <c r="N6936" t="s">
        <v>397</v>
      </c>
      <c r="O6936">
        <v>3</v>
      </c>
      <c r="P6936">
        <v>8621</v>
      </c>
      <c r="Q6936" t="s">
        <v>2154</v>
      </c>
      <c r="R6936" t="s">
        <v>201</v>
      </c>
      <c r="S6936">
        <v>1</v>
      </c>
      <c r="T6936">
        <v>1</v>
      </c>
      <c r="U6936">
        <v>102588</v>
      </c>
      <c r="V6936">
        <v>102588</v>
      </c>
    </row>
    <row r="6937" spans="1:22">
      <c r="A6937" t="s">
        <v>196</v>
      </c>
      <c r="B6937">
        <v>85</v>
      </c>
      <c r="C6937" t="s">
        <v>2177</v>
      </c>
      <c r="D6937">
        <v>740</v>
      </c>
      <c r="E6937" t="s">
        <v>2208</v>
      </c>
      <c r="F6937">
        <v>1005</v>
      </c>
      <c r="G6937" t="s">
        <v>2177</v>
      </c>
      <c r="H6937">
        <v>2015</v>
      </c>
      <c r="I6937" t="s">
        <v>4</v>
      </c>
      <c r="J6937">
        <v>3015</v>
      </c>
      <c r="K6937" t="s">
        <v>4</v>
      </c>
      <c r="L6937">
        <v>4812</v>
      </c>
      <c r="M6937" t="s">
        <v>2152</v>
      </c>
      <c r="N6937" t="s">
        <v>397</v>
      </c>
      <c r="O6937">
        <v>3</v>
      </c>
      <c r="P6937">
        <v>8621</v>
      </c>
      <c r="Q6937" t="s">
        <v>2154</v>
      </c>
      <c r="R6937" t="s">
        <v>201</v>
      </c>
      <c r="S6937">
        <v>1</v>
      </c>
      <c r="T6937">
        <v>1</v>
      </c>
      <c r="U6937">
        <v>99480</v>
      </c>
      <c r="V6937">
        <v>99480</v>
      </c>
    </row>
    <row r="6938" spans="1:22">
      <c r="A6938" t="s">
        <v>196</v>
      </c>
      <c r="B6938">
        <v>85</v>
      </c>
      <c r="C6938" t="s">
        <v>2177</v>
      </c>
      <c r="D6938">
        <v>740</v>
      </c>
      <c r="E6938" t="s">
        <v>2208</v>
      </c>
      <c r="F6938">
        <v>1005</v>
      </c>
      <c r="G6938" t="s">
        <v>2177</v>
      </c>
      <c r="H6938">
        <v>2015</v>
      </c>
      <c r="I6938" t="s">
        <v>4</v>
      </c>
      <c r="J6938">
        <v>3015</v>
      </c>
      <c r="K6938" t="s">
        <v>4</v>
      </c>
      <c r="L6938">
        <v>4812</v>
      </c>
      <c r="M6938" t="s">
        <v>2152</v>
      </c>
      <c r="N6938" t="s">
        <v>392</v>
      </c>
      <c r="O6938">
        <v>4</v>
      </c>
      <c r="P6938">
        <v>8620</v>
      </c>
      <c r="Q6938" t="s">
        <v>1132</v>
      </c>
      <c r="R6938" t="s">
        <v>201</v>
      </c>
      <c r="S6938">
        <v>1</v>
      </c>
      <c r="T6938">
        <v>1</v>
      </c>
      <c r="U6938">
        <v>143400</v>
      </c>
      <c r="V6938">
        <v>143400</v>
      </c>
    </row>
    <row r="6939" spans="1:22">
      <c r="A6939" t="s">
        <v>196</v>
      </c>
      <c r="B6939">
        <v>85</v>
      </c>
      <c r="C6939" t="s">
        <v>2177</v>
      </c>
      <c r="D6939">
        <v>740</v>
      </c>
      <c r="E6939" t="s">
        <v>2208</v>
      </c>
      <c r="F6939">
        <v>1005</v>
      </c>
      <c r="G6939" t="s">
        <v>2177</v>
      </c>
      <c r="H6939">
        <v>2015</v>
      </c>
      <c r="I6939" t="s">
        <v>4</v>
      </c>
      <c r="J6939">
        <v>3015</v>
      </c>
      <c r="K6939" t="s">
        <v>4</v>
      </c>
      <c r="L6939">
        <v>4812</v>
      </c>
      <c r="M6939" t="s">
        <v>2152</v>
      </c>
      <c r="N6939" t="s">
        <v>392</v>
      </c>
      <c r="O6939">
        <v>4</v>
      </c>
      <c r="P6939">
        <v>8620</v>
      </c>
      <c r="Q6939" t="s">
        <v>1132</v>
      </c>
      <c r="R6939" t="s">
        <v>201</v>
      </c>
      <c r="S6939">
        <v>1</v>
      </c>
      <c r="T6939">
        <v>1</v>
      </c>
      <c r="U6939">
        <v>93504</v>
      </c>
      <c r="V6939">
        <v>93504</v>
      </c>
    </row>
    <row r="6940" spans="1:22">
      <c r="A6940" t="s">
        <v>196</v>
      </c>
      <c r="B6940">
        <v>85</v>
      </c>
      <c r="C6940" t="s">
        <v>2177</v>
      </c>
      <c r="D6940">
        <v>740</v>
      </c>
      <c r="E6940" t="s">
        <v>2208</v>
      </c>
      <c r="F6940">
        <v>1005</v>
      </c>
      <c r="G6940" t="s">
        <v>2177</v>
      </c>
      <c r="H6940">
        <v>2015</v>
      </c>
      <c r="I6940" t="s">
        <v>4</v>
      </c>
      <c r="J6940">
        <v>3015</v>
      </c>
      <c r="K6940" t="s">
        <v>4</v>
      </c>
      <c r="L6940">
        <v>4812</v>
      </c>
      <c r="M6940" t="s">
        <v>2152</v>
      </c>
      <c r="N6940" t="s">
        <v>392</v>
      </c>
      <c r="O6940">
        <v>4</v>
      </c>
      <c r="P6940">
        <v>8620</v>
      </c>
      <c r="Q6940" t="s">
        <v>1132</v>
      </c>
      <c r="R6940" t="s">
        <v>201</v>
      </c>
      <c r="S6940">
        <v>3</v>
      </c>
      <c r="T6940">
        <v>1</v>
      </c>
      <c r="U6940">
        <v>90732</v>
      </c>
      <c r="V6940">
        <v>272196</v>
      </c>
    </row>
    <row r="6941" spans="1:22">
      <c r="A6941" t="s">
        <v>196</v>
      </c>
      <c r="B6941">
        <v>85</v>
      </c>
      <c r="C6941" t="s">
        <v>2177</v>
      </c>
      <c r="D6941">
        <v>740</v>
      </c>
      <c r="E6941" t="s">
        <v>2208</v>
      </c>
      <c r="F6941">
        <v>1005</v>
      </c>
      <c r="G6941" t="s">
        <v>2177</v>
      </c>
      <c r="H6941">
        <v>2015</v>
      </c>
      <c r="I6941" t="s">
        <v>4</v>
      </c>
      <c r="J6941">
        <v>3015</v>
      </c>
      <c r="K6941" t="s">
        <v>4</v>
      </c>
      <c r="L6941">
        <v>4812</v>
      </c>
      <c r="M6941" t="s">
        <v>2152</v>
      </c>
      <c r="N6941" t="s">
        <v>372</v>
      </c>
      <c r="O6941">
        <v>1</v>
      </c>
      <c r="P6941">
        <v>8618</v>
      </c>
      <c r="Q6941" t="s">
        <v>2264</v>
      </c>
      <c r="R6941" t="s">
        <v>201</v>
      </c>
      <c r="S6941">
        <v>1</v>
      </c>
      <c r="T6941">
        <v>1</v>
      </c>
      <c r="U6941">
        <v>93504</v>
      </c>
      <c r="V6941">
        <v>93504</v>
      </c>
    </row>
    <row r="6942" spans="1:22">
      <c r="A6942" t="s">
        <v>196</v>
      </c>
      <c r="B6942">
        <v>85</v>
      </c>
      <c r="C6942" t="s">
        <v>2177</v>
      </c>
      <c r="D6942">
        <v>740</v>
      </c>
      <c r="E6942" t="s">
        <v>2208</v>
      </c>
      <c r="F6942">
        <v>1005</v>
      </c>
      <c r="G6942" t="s">
        <v>2177</v>
      </c>
      <c r="H6942">
        <v>2015</v>
      </c>
      <c r="I6942" t="s">
        <v>4</v>
      </c>
      <c r="J6942">
        <v>3015</v>
      </c>
      <c r="K6942" t="s">
        <v>4</v>
      </c>
      <c r="L6942">
        <v>4812</v>
      </c>
      <c r="M6942" t="s">
        <v>2152</v>
      </c>
      <c r="N6942" t="s">
        <v>372</v>
      </c>
      <c r="O6942">
        <v>1</v>
      </c>
      <c r="P6942">
        <v>8618</v>
      </c>
      <c r="Q6942" t="s">
        <v>2264</v>
      </c>
      <c r="R6942" t="s">
        <v>201</v>
      </c>
      <c r="S6942">
        <v>2</v>
      </c>
      <c r="T6942">
        <v>1</v>
      </c>
      <c r="U6942">
        <v>85200</v>
      </c>
      <c r="V6942">
        <v>170400</v>
      </c>
    </row>
    <row r="6943" spans="1:22">
      <c r="A6943" t="s">
        <v>196</v>
      </c>
      <c r="B6943">
        <v>85</v>
      </c>
      <c r="C6943" t="s">
        <v>2177</v>
      </c>
      <c r="D6943">
        <v>740</v>
      </c>
      <c r="E6943" t="s">
        <v>2208</v>
      </c>
      <c r="F6943">
        <v>1005</v>
      </c>
      <c r="G6943" t="s">
        <v>2177</v>
      </c>
      <c r="H6943">
        <v>2015</v>
      </c>
      <c r="I6943" t="s">
        <v>4</v>
      </c>
      <c r="J6943">
        <v>3015</v>
      </c>
      <c r="K6943" t="s">
        <v>4</v>
      </c>
      <c r="L6943">
        <v>4812</v>
      </c>
      <c r="M6943" t="s">
        <v>2152</v>
      </c>
      <c r="N6943" t="s">
        <v>372</v>
      </c>
      <c r="O6943">
        <v>1</v>
      </c>
      <c r="P6943">
        <v>8618</v>
      </c>
      <c r="Q6943" t="s">
        <v>2264</v>
      </c>
      <c r="R6943" t="s">
        <v>201</v>
      </c>
      <c r="S6943">
        <v>1</v>
      </c>
      <c r="T6943">
        <v>1</v>
      </c>
      <c r="U6943">
        <v>81324</v>
      </c>
      <c r="V6943">
        <v>81324</v>
      </c>
    </row>
    <row r="6944" spans="1:22">
      <c r="A6944" t="s">
        <v>196</v>
      </c>
      <c r="B6944">
        <v>85</v>
      </c>
      <c r="C6944" t="s">
        <v>2177</v>
      </c>
      <c r="D6944">
        <v>740</v>
      </c>
      <c r="E6944" t="s">
        <v>2208</v>
      </c>
      <c r="F6944">
        <v>1005</v>
      </c>
      <c r="G6944" t="s">
        <v>2177</v>
      </c>
      <c r="H6944">
        <v>2015</v>
      </c>
      <c r="I6944" t="s">
        <v>4</v>
      </c>
      <c r="J6944">
        <v>3015</v>
      </c>
      <c r="K6944" t="s">
        <v>4</v>
      </c>
      <c r="L6944">
        <v>4812</v>
      </c>
      <c r="M6944" t="s">
        <v>2152</v>
      </c>
      <c r="N6944" t="s">
        <v>372</v>
      </c>
      <c r="O6944">
        <v>1</v>
      </c>
      <c r="P6944">
        <v>8618</v>
      </c>
      <c r="Q6944" t="s">
        <v>2264</v>
      </c>
      <c r="R6944" t="s">
        <v>201</v>
      </c>
      <c r="S6944">
        <v>1</v>
      </c>
      <c r="T6944">
        <v>1</v>
      </c>
      <c r="U6944">
        <v>77640</v>
      </c>
      <c r="V6944">
        <v>77640</v>
      </c>
    </row>
    <row r="6945" spans="1:22">
      <c r="A6945" t="s">
        <v>196</v>
      </c>
      <c r="B6945">
        <v>85</v>
      </c>
      <c r="C6945" t="s">
        <v>2177</v>
      </c>
      <c r="D6945">
        <v>740</v>
      </c>
      <c r="E6945" t="s">
        <v>2208</v>
      </c>
      <c r="F6945">
        <v>1005</v>
      </c>
      <c r="G6945" t="s">
        <v>2177</v>
      </c>
      <c r="H6945">
        <v>2015</v>
      </c>
      <c r="I6945" t="s">
        <v>4</v>
      </c>
      <c r="J6945">
        <v>3015</v>
      </c>
      <c r="K6945" t="s">
        <v>4</v>
      </c>
      <c r="L6945">
        <v>4812</v>
      </c>
      <c r="M6945" t="s">
        <v>2152</v>
      </c>
      <c r="N6945" t="s">
        <v>372</v>
      </c>
      <c r="O6945">
        <v>1</v>
      </c>
      <c r="P6945">
        <v>8618</v>
      </c>
      <c r="Q6945" t="s">
        <v>2264</v>
      </c>
      <c r="R6945" t="s">
        <v>201</v>
      </c>
      <c r="S6945">
        <v>4</v>
      </c>
      <c r="T6945">
        <v>1</v>
      </c>
      <c r="U6945">
        <v>75336</v>
      </c>
      <c r="V6945">
        <v>301344</v>
      </c>
    </row>
    <row r="6946" spans="1:22">
      <c r="A6946" t="s">
        <v>196</v>
      </c>
      <c r="B6946">
        <v>85</v>
      </c>
      <c r="C6946" t="s">
        <v>2177</v>
      </c>
      <c r="D6946">
        <v>740</v>
      </c>
      <c r="E6946" t="s">
        <v>2208</v>
      </c>
      <c r="F6946">
        <v>1005</v>
      </c>
      <c r="G6946" t="s">
        <v>2177</v>
      </c>
      <c r="H6946">
        <v>2015</v>
      </c>
      <c r="I6946" t="s">
        <v>4</v>
      </c>
      <c r="J6946">
        <v>3015</v>
      </c>
      <c r="K6946" t="s">
        <v>4</v>
      </c>
      <c r="L6946">
        <v>4812</v>
      </c>
      <c r="M6946" t="s">
        <v>2152</v>
      </c>
      <c r="N6946" t="s">
        <v>1314</v>
      </c>
      <c r="O6946">
        <v>0</v>
      </c>
      <c r="P6946">
        <v>2906</v>
      </c>
      <c r="Q6946" t="s">
        <v>2265</v>
      </c>
      <c r="R6946" t="s">
        <v>201</v>
      </c>
      <c r="S6946">
        <v>1</v>
      </c>
      <c r="T6946">
        <v>1</v>
      </c>
      <c r="U6946">
        <v>133836</v>
      </c>
      <c r="V6946">
        <v>133836</v>
      </c>
    </row>
    <row r="6947" spans="1:22">
      <c r="A6947" t="s">
        <v>196</v>
      </c>
      <c r="B6947">
        <v>85</v>
      </c>
      <c r="C6947" t="s">
        <v>2177</v>
      </c>
      <c r="D6947">
        <v>740</v>
      </c>
      <c r="E6947" t="s">
        <v>2208</v>
      </c>
      <c r="F6947">
        <v>1005</v>
      </c>
      <c r="G6947" t="s">
        <v>2177</v>
      </c>
      <c r="H6947">
        <v>2015</v>
      </c>
      <c r="I6947" t="s">
        <v>4</v>
      </c>
      <c r="J6947">
        <v>3015</v>
      </c>
      <c r="K6947" t="s">
        <v>4</v>
      </c>
      <c r="L6947">
        <v>4812</v>
      </c>
      <c r="M6947" t="s">
        <v>2152</v>
      </c>
      <c r="N6947" t="s">
        <v>1314</v>
      </c>
      <c r="O6947">
        <v>0</v>
      </c>
      <c r="P6947" t="s">
        <v>1471</v>
      </c>
      <c r="Q6947" t="s">
        <v>605</v>
      </c>
      <c r="R6947" t="s">
        <v>201</v>
      </c>
      <c r="S6947">
        <v>1</v>
      </c>
      <c r="T6947">
        <v>1</v>
      </c>
      <c r="U6947">
        <v>160680</v>
      </c>
      <c r="V6947">
        <v>160680</v>
      </c>
    </row>
    <row r="6948" spans="1:22">
      <c r="A6948" t="s">
        <v>196</v>
      </c>
      <c r="B6948">
        <v>85</v>
      </c>
      <c r="C6948" t="s">
        <v>2177</v>
      </c>
      <c r="D6948">
        <v>740</v>
      </c>
      <c r="E6948" t="s">
        <v>2208</v>
      </c>
      <c r="F6948">
        <v>1005</v>
      </c>
      <c r="G6948" t="s">
        <v>2177</v>
      </c>
      <c r="H6948">
        <v>2015</v>
      </c>
      <c r="I6948" t="s">
        <v>4</v>
      </c>
      <c r="J6948">
        <v>3015</v>
      </c>
      <c r="K6948" t="s">
        <v>4</v>
      </c>
      <c r="L6948">
        <v>4812</v>
      </c>
      <c r="M6948" t="s">
        <v>2152</v>
      </c>
      <c r="N6948" t="s">
        <v>199</v>
      </c>
      <c r="O6948">
        <v>0</v>
      </c>
      <c r="P6948">
        <v>15</v>
      </c>
      <c r="Q6948" t="s">
        <v>264</v>
      </c>
      <c r="R6948" t="s">
        <v>201</v>
      </c>
      <c r="S6948">
        <v>0</v>
      </c>
      <c r="T6948">
        <v>0</v>
      </c>
      <c r="U6948">
        <v>33737</v>
      </c>
      <c r="V6948">
        <v>33737</v>
      </c>
    </row>
    <row r="6949" spans="1:22">
      <c r="A6949" t="s">
        <v>196</v>
      </c>
      <c r="B6949">
        <v>85</v>
      </c>
      <c r="C6949" t="s">
        <v>2177</v>
      </c>
      <c r="D6949">
        <v>740</v>
      </c>
      <c r="E6949" t="s">
        <v>2208</v>
      </c>
      <c r="F6949">
        <v>1005</v>
      </c>
      <c r="G6949" t="s">
        <v>2177</v>
      </c>
      <c r="H6949">
        <v>2015</v>
      </c>
      <c r="I6949" t="s">
        <v>4</v>
      </c>
      <c r="J6949">
        <v>3015</v>
      </c>
      <c r="K6949" t="s">
        <v>4</v>
      </c>
      <c r="L6949">
        <v>4818</v>
      </c>
      <c r="M6949" t="s">
        <v>2197</v>
      </c>
      <c r="N6949" t="s">
        <v>351</v>
      </c>
      <c r="O6949">
        <v>1</v>
      </c>
      <c r="P6949" t="s">
        <v>352</v>
      </c>
      <c r="Q6949" t="s">
        <v>353</v>
      </c>
      <c r="R6949" t="s">
        <v>201</v>
      </c>
      <c r="S6949">
        <v>1</v>
      </c>
      <c r="T6949">
        <v>1</v>
      </c>
      <c r="U6949">
        <v>108576</v>
      </c>
      <c r="V6949">
        <v>108576</v>
      </c>
    </row>
    <row r="6950" spans="1:22">
      <c r="A6950" t="s">
        <v>196</v>
      </c>
      <c r="B6950">
        <v>85</v>
      </c>
      <c r="C6950" t="s">
        <v>2177</v>
      </c>
      <c r="D6950">
        <v>740</v>
      </c>
      <c r="E6950" t="s">
        <v>2208</v>
      </c>
      <c r="F6950">
        <v>1005</v>
      </c>
      <c r="G6950" t="s">
        <v>2177</v>
      </c>
      <c r="H6950">
        <v>2015</v>
      </c>
      <c r="I6950" t="s">
        <v>4</v>
      </c>
      <c r="J6950">
        <v>3015</v>
      </c>
      <c r="K6950" t="s">
        <v>4</v>
      </c>
      <c r="L6950">
        <v>4818</v>
      </c>
      <c r="M6950" t="s">
        <v>2197</v>
      </c>
      <c r="N6950" t="s">
        <v>351</v>
      </c>
      <c r="O6950">
        <v>1</v>
      </c>
      <c r="P6950" t="s">
        <v>352</v>
      </c>
      <c r="Q6950" t="s">
        <v>353</v>
      </c>
      <c r="R6950" t="s">
        <v>201</v>
      </c>
      <c r="S6950">
        <v>1</v>
      </c>
      <c r="T6950">
        <v>1</v>
      </c>
      <c r="U6950">
        <v>98928</v>
      </c>
      <c r="V6950">
        <v>98928</v>
      </c>
    </row>
    <row r="6951" spans="1:22">
      <c r="A6951" t="s">
        <v>196</v>
      </c>
      <c r="B6951">
        <v>85</v>
      </c>
      <c r="C6951" t="s">
        <v>2177</v>
      </c>
      <c r="D6951">
        <v>740</v>
      </c>
      <c r="E6951" t="s">
        <v>2208</v>
      </c>
      <c r="F6951">
        <v>1005</v>
      </c>
      <c r="G6951" t="s">
        <v>2177</v>
      </c>
      <c r="H6951">
        <v>2015</v>
      </c>
      <c r="I6951" t="s">
        <v>4</v>
      </c>
      <c r="J6951">
        <v>3015</v>
      </c>
      <c r="K6951" t="s">
        <v>4</v>
      </c>
      <c r="L6951">
        <v>4818</v>
      </c>
      <c r="M6951" t="s">
        <v>2197</v>
      </c>
      <c r="N6951" t="s">
        <v>351</v>
      </c>
      <c r="O6951">
        <v>1</v>
      </c>
      <c r="P6951" t="s">
        <v>352</v>
      </c>
      <c r="Q6951" t="s">
        <v>353</v>
      </c>
      <c r="R6951" t="s">
        <v>201</v>
      </c>
      <c r="S6951">
        <v>2</v>
      </c>
      <c r="T6951">
        <v>1</v>
      </c>
      <c r="U6951">
        <v>82140</v>
      </c>
      <c r="V6951">
        <v>164280</v>
      </c>
    </row>
    <row r="6952" spans="1:22">
      <c r="A6952" t="s">
        <v>196</v>
      </c>
      <c r="B6952">
        <v>85</v>
      </c>
      <c r="C6952" t="s">
        <v>2177</v>
      </c>
      <c r="D6952">
        <v>740</v>
      </c>
      <c r="E6952" t="s">
        <v>2208</v>
      </c>
      <c r="F6952">
        <v>1005</v>
      </c>
      <c r="G6952" t="s">
        <v>2177</v>
      </c>
      <c r="H6952">
        <v>2015</v>
      </c>
      <c r="I6952" t="s">
        <v>4</v>
      </c>
      <c r="J6952">
        <v>3015</v>
      </c>
      <c r="K6952" t="s">
        <v>4</v>
      </c>
      <c r="L6952">
        <v>4818</v>
      </c>
      <c r="M6952" t="s">
        <v>2197</v>
      </c>
      <c r="N6952" t="s">
        <v>351</v>
      </c>
      <c r="O6952">
        <v>1</v>
      </c>
      <c r="P6952" t="s">
        <v>352</v>
      </c>
      <c r="Q6952" t="s">
        <v>353</v>
      </c>
      <c r="R6952" t="s">
        <v>201</v>
      </c>
      <c r="S6952">
        <v>1</v>
      </c>
      <c r="T6952">
        <v>1</v>
      </c>
      <c r="U6952">
        <v>77640</v>
      </c>
      <c r="V6952">
        <v>77640</v>
      </c>
    </row>
    <row r="6953" spans="1:22">
      <c r="A6953" t="s">
        <v>196</v>
      </c>
      <c r="B6953">
        <v>85</v>
      </c>
      <c r="C6953" t="s">
        <v>2177</v>
      </c>
      <c r="D6953">
        <v>740</v>
      </c>
      <c r="E6953" t="s">
        <v>2208</v>
      </c>
      <c r="F6953">
        <v>1005</v>
      </c>
      <c r="G6953" t="s">
        <v>2177</v>
      </c>
      <c r="H6953">
        <v>2015</v>
      </c>
      <c r="I6953" t="s">
        <v>4</v>
      </c>
      <c r="J6953">
        <v>3015</v>
      </c>
      <c r="K6953" t="s">
        <v>4</v>
      </c>
      <c r="L6953">
        <v>4818</v>
      </c>
      <c r="M6953" t="s">
        <v>2197</v>
      </c>
      <c r="N6953" t="s">
        <v>351</v>
      </c>
      <c r="O6953">
        <v>1</v>
      </c>
      <c r="P6953" t="s">
        <v>352</v>
      </c>
      <c r="Q6953" t="s">
        <v>353</v>
      </c>
      <c r="R6953" t="s">
        <v>201</v>
      </c>
      <c r="S6953">
        <v>1</v>
      </c>
      <c r="T6953">
        <v>1</v>
      </c>
      <c r="U6953">
        <v>70752</v>
      </c>
      <c r="V6953">
        <v>70752</v>
      </c>
    </row>
    <row r="6954" spans="1:22">
      <c r="A6954" t="s">
        <v>196</v>
      </c>
      <c r="B6954">
        <v>85</v>
      </c>
      <c r="C6954" t="s">
        <v>2177</v>
      </c>
      <c r="D6954">
        <v>740</v>
      </c>
      <c r="E6954" t="s">
        <v>2208</v>
      </c>
      <c r="F6954">
        <v>1005</v>
      </c>
      <c r="G6954" t="s">
        <v>2177</v>
      </c>
      <c r="H6954">
        <v>2015</v>
      </c>
      <c r="I6954" t="s">
        <v>4</v>
      </c>
      <c r="J6954">
        <v>3015</v>
      </c>
      <c r="K6954" t="s">
        <v>4</v>
      </c>
      <c r="L6954">
        <v>4818</v>
      </c>
      <c r="M6954" t="s">
        <v>2197</v>
      </c>
      <c r="N6954" t="s">
        <v>351</v>
      </c>
      <c r="O6954">
        <v>1</v>
      </c>
      <c r="P6954" t="s">
        <v>352</v>
      </c>
      <c r="Q6954" t="s">
        <v>353</v>
      </c>
      <c r="R6954" t="s">
        <v>201</v>
      </c>
      <c r="S6954">
        <v>2</v>
      </c>
      <c r="T6954">
        <v>1</v>
      </c>
      <c r="U6954">
        <v>62544</v>
      </c>
      <c r="V6954">
        <v>125088</v>
      </c>
    </row>
    <row r="6955" spans="1:22">
      <c r="A6955" t="s">
        <v>196</v>
      </c>
      <c r="B6955">
        <v>85</v>
      </c>
      <c r="C6955" t="s">
        <v>2177</v>
      </c>
      <c r="D6955">
        <v>740</v>
      </c>
      <c r="E6955" t="s">
        <v>2208</v>
      </c>
      <c r="F6955">
        <v>1005</v>
      </c>
      <c r="G6955" t="s">
        <v>2177</v>
      </c>
      <c r="H6955">
        <v>2015</v>
      </c>
      <c r="I6955" t="s">
        <v>4</v>
      </c>
      <c r="J6955">
        <v>3015</v>
      </c>
      <c r="K6955" t="s">
        <v>4</v>
      </c>
      <c r="L6955">
        <v>4818</v>
      </c>
      <c r="M6955" t="s">
        <v>2197</v>
      </c>
      <c r="N6955" t="s">
        <v>622</v>
      </c>
      <c r="O6955">
        <v>1</v>
      </c>
      <c r="P6955" t="s">
        <v>667</v>
      </c>
      <c r="Q6955" t="s">
        <v>205</v>
      </c>
      <c r="R6955" t="s">
        <v>201</v>
      </c>
      <c r="S6955">
        <v>2</v>
      </c>
      <c r="T6955">
        <v>1</v>
      </c>
      <c r="U6955">
        <v>90144</v>
      </c>
      <c r="V6955">
        <v>180288</v>
      </c>
    </row>
    <row r="6956" spans="1:22">
      <c r="A6956" t="s">
        <v>196</v>
      </c>
      <c r="B6956">
        <v>85</v>
      </c>
      <c r="C6956" t="s">
        <v>2177</v>
      </c>
      <c r="D6956">
        <v>740</v>
      </c>
      <c r="E6956" t="s">
        <v>2208</v>
      </c>
      <c r="F6956">
        <v>1005</v>
      </c>
      <c r="G6956" t="s">
        <v>2177</v>
      </c>
      <c r="H6956">
        <v>2015</v>
      </c>
      <c r="I6956" t="s">
        <v>4</v>
      </c>
      <c r="J6956">
        <v>3015</v>
      </c>
      <c r="K6956" t="s">
        <v>4</v>
      </c>
      <c r="L6956">
        <v>4818</v>
      </c>
      <c r="M6956" t="s">
        <v>2197</v>
      </c>
      <c r="N6956" t="s">
        <v>622</v>
      </c>
      <c r="O6956">
        <v>1</v>
      </c>
      <c r="P6956" t="s">
        <v>667</v>
      </c>
      <c r="Q6956" t="s">
        <v>205</v>
      </c>
      <c r="R6956" t="s">
        <v>201</v>
      </c>
      <c r="S6956">
        <v>1</v>
      </c>
      <c r="T6956">
        <v>1</v>
      </c>
      <c r="U6956">
        <v>61548</v>
      </c>
      <c r="V6956">
        <v>61548</v>
      </c>
    </row>
    <row r="6957" spans="1:22">
      <c r="A6957" t="s">
        <v>196</v>
      </c>
      <c r="B6957">
        <v>85</v>
      </c>
      <c r="C6957" t="s">
        <v>2177</v>
      </c>
      <c r="D6957">
        <v>740</v>
      </c>
      <c r="E6957" t="s">
        <v>2208</v>
      </c>
      <c r="F6957">
        <v>1005</v>
      </c>
      <c r="G6957" t="s">
        <v>2177</v>
      </c>
      <c r="H6957">
        <v>2015</v>
      </c>
      <c r="I6957" t="s">
        <v>4</v>
      </c>
      <c r="J6957">
        <v>3015</v>
      </c>
      <c r="K6957" t="s">
        <v>4</v>
      </c>
      <c r="L6957">
        <v>4818</v>
      </c>
      <c r="M6957" t="s">
        <v>2197</v>
      </c>
      <c r="N6957" t="s">
        <v>622</v>
      </c>
      <c r="O6957">
        <v>1</v>
      </c>
      <c r="P6957" t="s">
        <v>667</v>
      </c>
      <c r="Q6957" t="s">
        <v>205</v>
      </c>
      <c r="R6957" t="s">
        <v>201</v>
      </c>
      <c r="S6957">
        <v>4</v>
      </c>
      <c r="T6957">
        <v>1</v>
      </c>
      <c r="U6957">
        <v>58764</v>
      </c>
      <c r="V6957">
        <v>235056</v>
      </c>
    </row>
    <row r="6958" spans="1:22">
      <c r="A6958" t="s">
        <v>196</v>
      </c>
      <c r="B6958">
        <v>85</v>
      </c>
      <c r="C6958" t="s">
        <v>2177</v>
      </c>
      <c r="D6958">
        <v>740</v>
      </c>
      <c r="E6958" t="s">
        <v>2208</v>
      </c>
      <c r="F6958">
        <v>1005</v>
      </c>
      <c r="G6958" t="s">
        <v>2177</v>
      </c>
      <c r="H6958">
        <v>2015</v>
      </c>
      <c r="I6958" t="s">
        <v>4</v>
      </c>
      <c r="J6958">
        <v>3015</v>
      </c>
      <c r="K6958" t="s">
        <v>4</v>
      </c>
      <c r="L6958">
        <v>4818</v>
      </c>
      <c r="M6958" t="s">
        <v>2197</v>
      </c>
      <c r="N6958" t="s">
        <v>622</v>
      </c>
      <c r="O6958">
        <v>1</v>
      </c>
      <c r="P6958" t="s">
        <v>667</v>
      </c>
      <c r="Q6958" t="s">
        <v>205</v>
      </c>
      <c r="R6958" t="s">
        <v>201</v>
      </c>
      <c r="S6958">
        <v>7</v>
      </c>
      <c r="T6958">
        <v>1</v>
      </c>
      <c r="U6958">
        <v>56124</v>
      </c>
      <c r="V6958">
        <v>392868</v>
      </c>
    </row>
    <row r="6959" spans="1:22">
      <c r="A6959" t="s">
        <v>196</v>
      </c>
      <c r="B6959">
        <v>85</v>
      </c>
      <c r="C6959" t="s">
        <v>2177</v>
      </c>
      <c r="D6959">
        <v>740</v>
      </c>
      <c r="E6959" t="s">
        <v>2208</v>
      </c>
      <c r="F6959">
        <v>1005</v>
      </c>
      <c r="G6959" t="s">
        <v>2177</v>
      </c>
      <c r="H6959">
        <v>2015</v>
      </c>
      <c r="I6959" t="s">
        <v>4</v>
      </c>
      <c r="J6959">
        <v>3015</v>
      </c>
      <c r="K6959" t="s">
        <v>4</v>
      </c>
      <c r="L6959">
        <v>4818</v>
      </c>
      <c r="M6959" t="s">
        <v>2197</v>
      </c>
      <c r="N6959" t="s">
        <v>622</v>
      </c>
      <c r="O6959">
        <v>1</v>
      </c>
      <c r="P6959" t="s">
        <v>667</v>
      </c>
      <c r="Q6959" t="s">
        <v>205</v>
      </c>
      <c r="R6959" t="s">
        <v>201</v>
      </c>
      <c r="S6959">
        <v>5</v>
      </c>
      <c r="T6959">
        <v>1</v>
      </c>
      <c r="U6959">
        <v>53532</v>
      </c>
      <c r="V6959">
        <v>267660</v>
      </c>
    </row>
    <row r="6960" spans="1:22">
      <c r="A6960" t="s">
        <v>196</v>
      </c>
      <c r="B6960">
        <v>85</v>
      </c>
      <c r="C6960" t="s">
        <v>2177</v>
      </c>
      <c r="D6960">
        <v>740</v>
      </c>
      <c r="E6960" t="s">
        <v>2208</v>
      </c>
      <c r="F6960">
        <v>1005</v>
      </c>
      <c r="G6960" t="s">
        <v>2177</v>
      </c>
      <c r="H6960">
        <v>2015</v>
      </c>
      <c r="I6960" t="s">
        <v>4</v>
      </c>
      <c r="J6960">
        <v>3015</v>
      </c>
      <c r="K6960" t="s">
        <v>4</v>
      </c>
      <c r="L6960">
        <v>4818</v>
      </c>
      <c r="M6960" t="s">
        <v>2197</v>
      </c>
      <c r="N6960" t="s">
        <v>622</v>
      </c>
      <c r="O6960">
        <v>1</v>
      </c>
      <c r="P6960" t="s">
        <v>667</v>
      </c>
      <c r="Q6960" t="s">
        <v>205</v>
      </c>
      <c r="R6960" t="s">
        <v>201</v>
      </c>
      <c r="S6960">
        <v>12</v>
      </c>
      <c r="T6960">
        <v>1</v>
      </c>
      <c r="U6960">
        <v>51936</v>
      </c>
      <c r="V6960">
        <v>623232</v>
      </c>
    </row>
    <row r="6961" spans="1:22">
      <c r="A6961" t="s">
        <v>196</v>
      </c>
      <c r="B6961">
        <v>85</v>
      </c>
      <c r="C6961" t="s">
        <v>2177</v>
      </c>
      <c r="D6961">
        <v>740</v>
      </c>
      <c r="E6961" t="s">
        <v>2208</v>
      </c>
      <c r="F6961">
        <v>1005</v>
      </c>
      <c r="G6961" t="s">
        <v>2177</v>
      </c>
      <c r="H6961">
        <v>2015</v>
      </c>
      <c r="I6961" t="s">
        <v>4</v>
      </c>
      <c r="J6961">
        <v>3015</v>
      </c>
      <c r="K6961" t="s">
        <v>4</v>
      </c>
      <c r="L6961">
        <v>4818</v>
      </c>
      <c r="M6961" t="s">
        <v>2197</v>
      </c>
      <c r="N6961" t="s">
        <v>1314</v>
      </c>
      <c r="O6961">
        <v>0</v>
      </c>
      <c r="P6961" t="s">
        <v>1471</v>
      </c>
      <c r="Q6961" t="s">
        <v>605</v>
      </c>
      <c r="R6961" t="s">
        <v>201</v>
      </c>
      <c r="S6961">
        <v>1</v>
      </c>
      <c r="T6961">
        <v>1</v>
      </c>
      <c r="U6961">
        <v>160680</v>
      </c>
      <c r="V6961">
        <v>160680</v>
      </c>
    </row>
    <row r="6962" spans="1:22">
      <c r="A6962" t="s">
        <v>196</v>
      </c>
      <c r="B6962">
        <v>85</v>
      </c>
      <c r="C6962" t="s">
        <v>2177</v>
      </c>
      <c r="D6962">
        <v>740</v>
      </c>
      <c r="E6962" t="s">
        <v>2208</v>
      </c>
      <c r="F6962">
        <v>1005</v>
      </c>
      <c r="G6962" t="s">
        <v>2177</v>
      </c>
      <c r="H6962">
        <v>2015</v>
      </c>
      <c r="I6962" t="s">
        <v>4</v>
      </c>
      <c r="J6962">
        <v>3015</v>
      </c>
      <c r="K6962" t="s">
        <v>4</v>
      </c>
      <c r="L6962">
        <v>4818</v>
      </c>
      <c r="M6962" t="s">
        <v>2197</v>
      </c>
      <c r="N6962" t="s">
        <v>251</v>
      </c>
      <c r="O6962">
        <v>10</v>
      </c>
      <c r="P6962">
        <v>375</v>
      </c>
      <c r="Q6962" t="s">
        <v>2198</v>
      </c>
      <c r="R6962" t="s">
        <v>201</v>
      </c>
      <c r="S6962">
        <v>1</v>
      </c>
      <c r="T6962">
        <v>1</v>
      </c>
      <c r="U6962">
        <v>98832</v>
      </c>
      <c r="V6962">
        <v>98832</v>
      </c>
    </row>
    <row r="6963" spans="1:22">
      <c r="A6963" t="s">
        <v>196</v>
      </c>
      <c r="B6963">
        <v>85</v>
      </c>
      <c r="C6963" t="s">
        <v>2177</v>
      </c>
      <c r="D6963">
        <v>740</v>
      </c>
      <c r="E6963" t="s">
        <v>2208</v>
      </c>
      <c r="F6963">
        <v>1005</v>
      </c>
      <c r="G6963" t="s">
        <v>2177</v>
      </c>
      <c r="H6963">
        <v>2015</v>
      </c>
      <c r="I6963" t="s">
        <v>4</v>
      </c>
      <c r="J6963">
        <v>3015</v>
      </c>
      <c r="K6963" t="s">
        <v>4</v>
      </c>
      <c r="L6963">
        <v>4818</v>
      </c>
      <c r="M6963" t="s">
        <v>2197</v>
      </c>
      <c r="N6963" t="s">
        <v>251</v>
      </c>
      <c r="O6963">
        <v>10</v>
      </c>
      <c r="P6963">
        <v>375</v>
      </c>
      <c r="Q6963" t="s">
        <v>2198</v>
      </c>
      <c r="R6963" t="s">
        <v>201</v>
      </c>
      <c r="S6963">
        <v>2</v>
      </c>
      <c r="T6963">
        <v>1</v>
      </c>
      <c r="U6963">
        <v>85128</v>
      </c>
      <c r="V6963">
        <v>170256</v>
      </c>
    </row>
    <row r="6964" spans="1:22">
      <c r="A6964" t="s">
        <v>196</v>
      </c>
      <c r="B6964">
        <v>85</v>
      </c>
      <c r="C6964" t="s">
        <v>2177</v>
      </c>
      <c r="D6964">
        <v>740</v>
      </c>
      <c r="E6964" t="s">
        <v>2208</v>
      </c>
      <c r="F6964">
        <v>1005</v>
      </c>
      <c r="G6964" t="s">
        <v>2177</v>
      </c>
      <c r="H6964">
        <v>2015</v>
      </c>
      <c r="I6964" t="s">
        <v>4</v>
      </c>
      <c r="J6964">
        <v>3015</v>
      </c>
      <c r="K6964" t="s">
        <v>4</v>
      </c>
      <c r="L6964">
        <v>4818</v>
      </c>
      <c r="M6964" t="s">
        <v>2197</v>
      </c>
      <c r="N6964" t="s">
        <v>251</v>
      </c>
      <c r="O6964">
        <v>10</v>
      </c>
      <c r="P6964">
        <v>375</v>
      </c>
      <c r="Q6964" t="s">
        <v>2198</v>
      </c>
      <c r="R6964" t="s">
        <v>201</v>
      </c>
      <c r="S6964">
        <v>1</v>
      </c>
      <c r="T6964">
        <v>1</v>
      </c>
      <c r="U6964">
        <v>80124</v>
      </c>
      <c r="V6964">
        <v>80124</v>
      </c>
    </row>
    <row r="6965" spans="1:22">
      <c r="A6965" t="s">
        <v>196</v>
      </c>
      <c r="B6965">
        <v>85</v>
      </c>
      <c r="C6965" t="s">
        <v>2177</v>
      </c>
      <c r="D6965">
        <v>740</v>
      </c>
      <c r="E6965" t="s">
        <v>2208</v>
      </c>
      <c r="F6965">
        <v>1005</v>
      </c>
      <c r="G6965" t="s">
        <v>2177</v>
      </c>
      <c r="H6965">
        <v>2015</v>
      </c>
      <c r="I6965" t="s">
        <v>4</v>
      </c>
      <c r="J6965">
        <v>3015</v>
      </c>
      <c r="K6965" t="s">
        <v>4</v>
      </c>
      <c r="L6965">
        <v>4818</v>
      </c>
      <c r="M6965" t="s">
        <v>2197</v>
      </c>
      <c r="N6965" t="s">
        <v>341</v>
      </c>
      <c r="O6965">
        <v>1</v>
      </c>
      <c r="P6965">
        <v>308</v>
      </c>
      <c r="Q6965" t="s">
        <v>355</v>
      </c>
      <c r="R6965" t="s">
        <v>201</v>
      </c>
      <c r="S6965">
        <v>1</v>
      </c>
      <c r="T6965">
        <v>1</v>
      </c>
      <c r="U6965">
        <v>77640</v>
      </c>
      <c r="V6965">
        <v>77640</v>
      </c>
    </row>
    <row r="6966" spans="1:22">
      <c r="A6966" t="s">
        <v>196</v>
      </c>
      <c r="B6966">
        <v>85</v>
      </c>
      <c r="C6966" t="s">
        <v>2177</v>
      </c>
      <c r="D6966">
        <v>740</v>
      </c>
      <c r="E6966" t="s">
        <v>2208</v>
      </c>
      <c r="F6966">
        <v>1005</v>
      </c>
      <c r="G6966" t="s">
        <v>2177</v>
      </c>
      <c r="H6966">
        <v>2015</v>
      </c>
      <c r="I6966" t="s">
        <v>4</v>
      </c>
      <c r="J6966">
        <v>3015</v>
      </c>
      <c r="K6966" t="s">
        <v>4</v>
      </c>
      <c r="L6966">
        <v>4818</v>
      </c>
      <c r="M6966" t="s">
        <v>2197</v>
      </c>
      <c r="N6966" t="s">
        <v>199</v>
      </c>
      <c r="O6966">
        <v>0</v>
      </c>
      <c r="P6966">
        <v>15</v>
      </c>
      <c r="Q6966" t="s">
        <v>264</v>
      </c>
      <c r="R6966" t="s">
        <v>201</v>
      </c>
      <c r="S6966">
        <v>0</v>
      </c>
      <c r="T6966">
        <v>0</v>
      </c>
      <c r="U6966">
        <v>32513</v>
      </c>
      <c r="V6966">
        <v>32513</v>
      </c>
    </row>
    <row r="6967" spans="1:22">
      <c r="A6967" t="s">
        <v>196</v>
      </c>
      <c r="B6967">
        <v>85</v>
      </c>
      <c r="C6967" t="s">
        <v>2177</v>
      </c>
      <c r="D6967">
        <v>740</v>
      </c>
      <c r="E6967" t="s">
        <v>2208</v>
      </c>
      <c r="F6967">
        <v>1005</v>
      </c>
      <c r="G6967" t="s">
        <v>2177</v>
      </c>
      <c r="H6967">
        <v>2015</v>
      </c>
      <c r="I6967" t="s">
        <v>4</v>
      </c>
      <c r="J6967">
        <v>3015</v>
      </c>
      <c r="K6967" t="s">
        <v>4</v>
      </c>
      <c r="L6967">
        <v>4909</v>
      </c>
      <c r="M6967" t="s">
        <v>2266</v>
      </c>
      <c r="N6967" t="s">
        <v>710</v>
      </c>
      <c r="O6967">
        <v>2</v>
      </c>
      <c r="P6967">
        <v>7482</v>
      </c>
      <c r="Q6967" t="s">
        <v>711</v>
      </c>
      <c r="R6967" t="s">
        <v>201</v>
      </c>
      <c r="S6967">
        <v>2</v>
      </c>
      <c r="T6967">
        <v>1</v>
      </c>
      <c r="U6967">
        <v>82812</v>
      </c>
      <c r="V6967">
        <v>165624</v>
      </c>
    </row>
    <row r="6968" spans="1:22">
      <c r="A6968" t="s">
        <v>196</v>
      </c>
      <c r="B6968">
        <v>85</v>
      </c>
      <c r="C6968" t="s">
        <v>2177</v>
      </c>
      <c r="D6968">
        <v>740</v>
      </c>
      <c r="E6968" t="s">
        <v>2208</v>
      </c>
      <c r="F6968">
        <v>1005</v>
      </c>
      <c r="G6968" t="s">
        <v>2177</v>
      </c>
      <c r="H6968">
        <v>2015</v>
      </c>
      <c r="I6968" t="s">
        <v>4</v>
      </c>
      <c r="J6968">
        <v>3015</v>
      </c>
      <c r="K6968" t="s">
        <v>4</v>
      </c>
      <c r="L6968">
        <v>4909</v>
      </c>
      <c r="M6968" t="s">
        <v>2266</v>
      </c>
      <c r="N6968" t="s">
        <v>247</v>
      </c>
      <c r="O6968">
        <v>10</v>
      </c>
      <c r="P6968">
        <v>7052</v>
      </c>
      <c r="Q6968" t="s">
        <v>2267</v>
      </c>
      <c r="R6968" t="s">
        <v>201</v>
      </c>
      <c r="S6968">
        <v>1</v>
      </c>
      <c r="T6968">
        <v>1</v>
      </c>
      <c r="U6968">
        <v>94332</v>
      </c>
      <c r="V6968">
        <v>94332</v>
      </c>
    </row>
    <row r="6969" spans="1:22">
      <c r="A6969" t="s">
        <v>196</v>
      </c>
      <c r="B6969">
        <v>85</v>
      </c>
      <c r="C6969" t="s">
        <v>2177</v>
      </c>
      <c r="D6969">
        <v>740</v>
      </c>
      <c r="E6969" t="s">
        <v>2208</v>
      </c>
      <c r="F6969">
        <v>1005</v>
      </c>
      <c r="G6969" t="s">
        <v>2177</v>
      </c>
      <c r="H6969">
        <v>2015</v>
      </c>
      <c r="I6969" t="s">
        <v>4</v>
      </c>
      <c r="J6969">
        <v>3015</v>
      </c>
      <c r="K6969" t="s">
        <v>4</v>
      </c>
      <c r="L6969">
        <v>4909</v>
      </c>
      <c r="M6969" t="s">
        <v>2266</v>
      </c>
      <c r="N6969" t="s">
        <v>247</v>
      </c>
      <c r="O6969">
        <v>10</v>
      </c>
      <c r="P6969">
        <v>7052</v>
      </c>
      <c r="Q6969" t="s">
        <v>2267</v>
      </c>
      <c r="R6969" t="s">
        <v>201</v>
      </c>
      <c r="S6969">
        <v>2</v>
      </c>
      <c r="T6969">
        <v>1</v>
      </c>
      <c r="U6969">
        <v>69684</v>
      </c>
      <c r="V6969">
        <v>139368</v>
      </c>
    </row>
    <row r="6970" spans="1:22">
      <c r="A6970" t="s">
        <v>196</v>
      </c>
      <c r="B6970">
        <v>85</v>
      </c>
      <c r="C6970" t="s">
        <v>2177</v>
      </c>
      <c r="D6970">
        <v>740</v>
      </c>
      <c r="E6970" t="s">
        <v>2208</v>
      </c>
      <c r="F6970">
        <v>1005</v>
      </c>
      <c r="G6970" t="s">
        <v>2177</v>
      </c>
      <c r="H6970">
        <v>2015</v>
      </c>
      <c r="I6970" t="s">
        <v>4</v>
      </c>
      <c r="J6970">
        <v>3015</v>
      </c>
      <c r="K6970" t="s">
        <v>4</v>
      </c>
      <c r="L6970">
        <v>4909</v>
      </c>
      <c r="M6970" t="s">
        <v>2266</v>
      </c>
      <c r="N6970" t="s">
        <v>1719</v>
      </c>
      <c r="O6970">
        <v>10</v>
      </c>
      <c r="P6970">
        <v>7020</v>
      </c>
      <c r="Q6970" t="s">
        <v>2183</v>
      </c>
      <c r="R6970" t="s">
        <v>201</v>
      </c>
      <c r="S6970">
        <v>1</v>
      </c>
      <c r="T6970">
        <v>1</v>
      </c>
      <c r="U6970">
        <v>136692</v>
      </c>
      <c r="V6970">
        <v>136692</v>
      </c>
    </row>
    <row r="6971" spans="1:22">
      <c r="A6971" t="s">
        <v>196</v>
      </c>
      <c r="B6971">
        <v>85</v>
      </c>
      <c r="C6971" t="s">
        <v>2177</v>
      </c>
      <c r="D6971">
        <v>740</v>
      </c>
      <c r="E6971" t="s">
        <v>2208</v>
      </c>
      <c r="F6971">
        <v>1005</v>
      </c>
      <c r="G6971" t="s">
        <v>2177</v>
      </c>
      <c r="H6971">
        <v>2015</v>
      </c>
      <c r="I6971" t="s">
        <v>4</v>
      </c>
      <c r="J6971">
        <v>3015</v>
      </c>
      <c r="K6971" t="s">
        <v>4</v>
      </c>
      <c r="L6971">
        <v>4909</v>
      </c>
      <c r="M6971" t="s">
        <v>2266</v>
      </c>
      <c r="N6971" t="s">
        <v>294</v>
      </c>
      <c r="O6971">
        <v>10</v>
      </c>
      <c r="P6971">
        <v>4201</v>
      </c>
      <c r="Q6971" t="s">
        <v>2190</v>
      </c>
      <c r="R6971" t="s">
        <v>201</v>
      </c>
      <c r="S6971">
        <v>1</v>
      </c>
      <c r="T6971">
        <v>1</v>
      </c>
      <c r="U6971">
        <v>103488</v>
      </c>
      <c r="V6971">
        <v>103488</v>
      </c>
    </row>
    <row r="6972" spans="1:22">
      <c r="A6972" t="s">
        <v>196</v>
      </c>
      <c r="B6972">
        <v>85</v>
      </c>
      <c r="C6972" t="s">
        <v>2177</v>
      </c>
      <c r="D6972">
        <v>740</v>
      </c>
      <c r="E6972" t="s">
        <v>2208</v>
      </c>
      <c r="F6972">
        <v>1005</v>
      </c>
      <c r="G6972" t="s">
        <v>2177</v>
      </c>
      <c r="H6972">
        <v>2015</v>
      </c>
      <c r="I6972" t="s">
        <v>4</v>
      </c>
      <c r="J6972">
        <v>3015</v>
      </c>
      <c r="K6972" t="s">
        <v>4</v>
      </c>
      <c r="L6972">
        <v>4909</v>
      </c>
      <c r="M6972" t="s">
        <v>2266</v>
      </c>
      <c r="N6972" t="s">
        <v>294</v>
      </c>
      <c r="O6972">
        <v>10</v>
      </c>
      <c r="P6972">
        <v>4201</v>
      </c>
      <c r="Q6972" t="s">
        <v>2190</v>
      </c>
      <c r="R6972" t="s">
        <v>201</v>
      </c>
      <c r="S6972">
        <v>1</v>
      </c>
      <c r="T6972">
        <v>1</v>
      </c>
      <c r="U6972">
        <v>83448</v>
      </c>
      <c r="V6972">
        <v>83448</v>
      </c>
    </row>
    <row r="6973" spans="1:22">
      <c r="A6973" t="s">
        <v>196</v>
      </c>
      <c r="B6973">
        <v>85</v>
      </c>
      <c r="C6973" t="s">
        <v>2177</v>
      </c>
      <c r="D6973">
        <v>740</v>
      </c>
      <c r="E6973" t="s">
        <v>2208</v>
      </c>
      <c r="F6973">
        <v>1005</v>
      </c>
      <c r="G6973" t="s">
        <v>2177</v>
      </c>
      <c r="H6973">
        <v>2015</v>
      </c>
      <c r="I6973" t="s">
        <v>4</v>
      </c>
      <c r="J6973">
        <v>3015</v>
      </c>
      <c r="K6973" t="s">
        <v>4</v>
      </c>
      <c r="L6973">
        <v>4909</v>
      </c>
      <c r="M6973" t="s">
        <v>2266</v>
      </c>
      <c r="N6973" t="s">
        <v>294</v>
      </c>
      <c r="O6973">
        <v>10</v>
      </c>
      <c r="P6973">
        <v>4201</v>
      </c>
      <c r="Q6973" t="s">
        <v>2190</v>
      </c>
      <c r="R6973" t="s">
        <v>201</v>
      </c>
      <c r="S6973">
        <v>1</v>
      </c>
      <c r="T6973">
        <v>1</v>
      </c>
      <c r="U6973">
        <v>76476</v>
      </c>
      <c r="V6973">
        <v>76476</v>
      </c>
    </row>
    <row r="6974" spans="1:22">
      <c r="A6974" t="s">
        <v>196</v>
      </c>
      <c r="B6974">
        <v>85</v>
      </c>
      <c r="C6974" t="s">
        <v>2177</v>
      </c>
      <c r="D6974">
        <v>740</v>
      </c>
      <c r="E6974" t="s">
        <v>2208</v>
      </c>
      <c r="F6974">
        <v>1005</v>
      </c>
      <c r="G6974" t="s">
        <v>2177</v>
      </c>
      <c r="H6974">
        <v>2015</v>
      </c>
      <c r="I6974" t="s">
        <v>4</v>
      </c>
      <c r="J6974">
        <v>3015</v>
      </c>
      <c r="K6974" t="s">
        <v>4</v>
      </c>
      <c r="L6974">
        <v>4909</v>
      </c>
      <c r="M6974" t="s">
        <v>2266</v>
      </c>
      <c r="N6974" t="s">
        <v>294</v>
      </c>
      <c r="O6974">
        <v>10</v>
      </c>
      <c r="P6974">
        <v>4201</v>
      </c>
      <c r="Q6974" t="s">
        <v>2190</v>
      </c>
      <c r="R6974" t="s">
        <v>201</v>
      </c>
      <c r="S6974">
        <v>1</v>
      </c>
      <c r="T6974">
        <v>1</v>
      </c>
      <c r="U6974">
        <v>63504</v>
      </c>
      <c r="V6974">
        <v>63504</v>
      </c>
    </row>
    <row r="6975" spans="1:22">
      <c r="A6975" t="s">
        <v>196</v>
      </c>
      <c r="B6975">
        <v>85</v>
      </c>
      <c r="C6975" t="s">
        <v>2177</v>
      </c>
      <c r="D6975">
        <v>740</v>
      </c>
      <c r="E6975" t="s">
        <v>2208</v>
      </c>
      <c r="F6975">
        <v>1005</v>
      </c>
      <c r="G6975" t="s">
        <v>2177</v>
      </c>
      <c r="H6975">
        <v>2015</v>
      </c>
      <c r="I6975" t="s">
        <v>4</v>
      </c>
      <c r="J6975">
        <v>3015</v>
      </c>
      <c r="K6975" t="s">
        <v>4</v>
      </c>
      <c r="L6975">
        <v>4909</v>
      </c>
      <c r="M6975" t="s">
        <v>2266</v>
      </c>
      <c r="N6975" t="s">
        <v>249</v>
      </c>
      <c r="O6975">
        <v>10</v>
      </c>
      <c r="P6975">
        <v>311</v>
      </c>
      <c r="Q6975" t="s">
        <v>661</v>
      </c>
      <c r="R6975" t="s">
        <v>201</v>
      </c>
      <c r="S6975">
        <v>1</v>
      </c>
      <c r="T6975">
        <v>1</v>
      </c>
      <c r="U6975">
        <v>102444</v>
      </c>
      <c r="V6975">
        <v>102444</v>
      </c>
    </row>
    <row r="6976" spans="1:22">
      <c r="A6976" t="s">
        <v>196</v>
      </c>
      <c r="B6976">
        <v>85</v>
      </c>
      <c r="C6976" t="s">
        <v>2177</v>
      </c>
      <c r="D6976">
        <v>740</v>
      </c>
      <c r="E6976" t="s">
        <v>2208</v>
      </c>
      <c r="F6976">
        <v>1005</v>
      </c>
      <c r="G6976" t="s">
        <v>2177</v>
      </c>
      <c r="H6976">
        <v>2015</v>
      </c>
      <c r="I6976" t="s">
        <v>4</v>
      </c>
      <c r="J6976">
        <v>3015</v>
      </c>
      <c r="K6976" t="s">
        <v>4</v>
      </c>
      <c r="L6976">
        <v>4909</v>
      </c>
      <c r="M6976" t="s">
        <v>2266</v>
      </c>
      <c r="N6976" t="s">
        <v>249</v>
      </c>
      <c r="O6976">
        <v>10</v>
      </c>
      <c r="P6976">
        <v>311</v>
      </c>
      <c r="Q6976" t="s">
        <v>661</v>
      </c>
      <c r="R6976" t="s">
        <v>201</v>
      </c>
      <c r="S6976">
        <v>1</v>
      </c>
      <c r="T6976">
        <v>1</v>
      </c>
      <c r="U6976">
        <v>93384</v>
      </c>
      <c r="V6976">
        <v>93384</v>
      </c>
    </row>
    <row r="6977" spans="1:22">
      <c r="A6977" t="s">
        <v>196</v>
      </c>
      <c r="B6977">
        <v>85</v>
      </c>
      <c r="C6977" t="s">
        <v>2177</v>
      </c>
      <c r="D6977">
        <v>740</v>
      </c>
      <c r="E6977" t="s">
        <v>2208</v>
      </c>
      <c r="F6977">
        <v>1005</v>
      </c>
      <c r="G6977" t="s">
        <v>2177</v>
      </c>
      <c r="H6977">
        <v>2015</v>
      </c>
      <c r="I6977" t="s">
        <v>4</v>
      </c>
      <c r="J6977">
        <v>3015</v>
      </c>
      <c r="K6977" t="s">
        <v>4</v>
      </c>
      <c r="L6977">
        <v>4909</v>
      </c>
      <c r="M6977" t="s">
        <v>2266</v>
      </c>
      <c r="N6977" t="s">
        <v>199</v>
      </c>
      <c r="O6977">
        <v>0</v>
      </c>
      <c r="P6977">
        <v>15</v>
      </c>
      <c r="Q6977" t="s">
        <v>264</v>
      </c>
      <c r="R6977" t="s">
        <v>201</v>
      </c>
      <c r="S6977">
        <v>0</v>
      </c>
      <c r="T6977">
        <v>0</v>
      </c>
      <c r="U6977">
        <v>9486</v>
      </c>
      <c r="V6977">
        <v>9486</v>
      </c>
    </row>
    <row r="6978" spans="1:22">
      <c r="A6978" t="s">
        <v>196</v>
      </c>
      <c r="B6978">
        <v>85</v>
      </c>
      <c r="C6978" t="s">
        <v>2177</v>
      </c>
      <c r="D6978">
        <v>740</v>
      </c>
      <c r="E6978" t="s">
        <v>2208</v>
      </c>
      <c r="F6978">
        <v>1005</v>
      </c>
      <c r="G6978" t="s">
        <v>2177</v>
      </c>
      <c r="H6978">
        <v>2015</v>
      </c>
      <c r="I6978" t="s">
        <v>4</v>
      </c>
      <c r="J6978">
        <v>3015</v>
      </c>
      <c r="K6978" t="s">
        <v>4</v>
      </c>
      <c r="L6978">
        <v>4910</v>
      </c>
      <c r="M6978" t="s">
        <v>2268</v>
      </c>
      <c r="N6978" t="s">
        <v>1294</v>
      </c>
      <c r="O6978">
        <v>0</v>
      </c>
      <c r="P6978">
        <v>9681</v>
      </c>
      <c r="Q6978" t="s">
        <v>338</v>
      </c>
      <c r="R6978" t="s">
        <v>201</v>
      </c>
      <c r="S6978">
        <v>1</v>
      </c>
      <c r="T6978">
        <v>1</v>
      </c>
      <c r="U6978">
        <v>184584</v>
      </c>
      <c r="V6978">
        <v>184584</v>
      </c>
    </row>
    <row r="6979" spans="1:22">
      <c r="A6979" t="s">
        <v>196</v>
      </c>
      <c r="B6979">
        <v>85</v>
      </c>
      <c r="C6979" t="s">
        <v>2177</v>
      </c>
      <c r="D6979">
        <v>740</v>
      </c>
      <c r="E6979" t="s">
        <v>2208</v>
      </c>
      <c r="F6979">
        <v>1005</v>
      </c>
      <c r="G6979" t="s">
        <v>2177</v>
      </c>
      <c r="H6979">
        <v>2015</v>
      </c>
      <c r="I6979" t="s">
        <v>4</v>
      </c>
      <c r="J6979">
        <v>3015</v>
      </c>
      <c r="K6979" t="s">
        <v>4</v>
      </c>
      <c r="L6979">
        <v>4910</v>
      </c>
      <c r="M6979" t="s">
        <v>2268</v>
      </c>
      <c r="N6979" t="s">
        <v>253</v>
      </c>
      <c r="O6979">
        <v>10</v>
      </c>
      <c r="P6979">
        <v>7099</v>
      </c>
      <c r="Q6979" t="s">
        <v>2206</v>
      </c>
      <c r="R6979" t="s">
        <v>201</v>
      </c>
      <c r="S6979">
        <v>5</v>
      </c>
      <c r="T6979">
        <v>1</v>
      </c>
      <c r="U6979">
        <v>103488</v>
      </c>
      <c r="V6979">
        <v>517440</v>
      </c>
    </row>
    <row r="6980" spans="1:22">
      <c r="A6980" t="s">
        <v>196</v>
      </c>
      <c r="B6980">
        <v>85</v>
      </c>
      <c r="C6980" t="s">
        <v>2177</v>
      </c>
      <c r="D6980">
        <v>740</v>
      </c>
      <c r="E6980" t="s">
        <v>2208</v>
      </c>
      <c r="F6980">
        <v>1005</v>
      </c>
      <c r="G6980" t="s">
        <v>2177</v>
      </c>
      <c r="H6980">
        <v>2015</v>
      </c>
      <c r="I6980" t="s">
        <v>4</v>
      </c>
      <c r="J6980">
        <v>3015</v>
      </c>
      <c r="K6980" t="s">
        <v>4</v>
      </c>
      <c r="L6980">
        <v>4910</v>
      </c>
      <c r="M6980" t="s">
        <v>2268</v>
      </c>
      <c r="N6980" t="s">
        <v>253</v>
      </c>
      <c r="O6980">
        <v>10</v>
      </c>
      <c r="P6980">
        <v>7099</v>
      </c>
      <c r="Q6980" t="s">
        <v>2206</v>
      </c>
      <c r="R6980" t="s">
        <v>201</v>
      </c>
      <c r="S6980">
        <v>1</v>
      </c>
      <c r="T6980">
        <v>1</v>
      </c>
      <c r="U6980">
        <v>97836</v>
      </c>
      <c r="V6980">
        <v>97836</v>
      </c>
    </row>
    <row r="6981" spans="1:22">
      <c r="A6981" t="s">
        <v>196</v>
      </c>
      <c r="B6981">
        <v>85</v>
      </c>
      <c r="C6981" t="s">
        <v>2177</v>
      </c>
      <c r="D6981">
        <v>740</v>
      </c>
      <c r="E6981" t="s">
        <v>2208</v>
      </c>
      <c r="F6981">
        <v>1005</v>
      </c>
      <c r="G6981" t="s">
        <v>2177</v>
      </c>
      <c r="H6981">
        <v>2015</v>
      </c>
      <c r="I6981" t="s">
        <v>4</v>
      </c>
      <c r="J6981">
        <v>3015</v>
      </c>
      <c r="K6981" t="s">
        <v>4</v>
      </c>
      <c r="L6981">
        <v>4910</v>
      </c>
      <c r="M6981" t="s">
        <v>2268</v>
      </c>
      <c r="N6981" t="s">
        <v>253</v>
      </c>
      <c r="O6981">
        <v>10</v>
      </c>
      <c r="P6981">
        <v>7099</v>
      </c>
      <c r="Q6981" t="s">
        <v>2206</v>
      </c>
      <c r="R6981" t="s">
        <v>201</v>
      </c>
      <c r="S6981">
        <v>2</v>
      </c>
      <c r="T6981">
        <v>1</v>
      </c>
      <c r="U6981">
        <v>93384</v>
      </c>
      <c r="V6981">
        <v>186768</v>
      </c>
    </row>
    <row r="6982" spans="1:22">
      <c r="A6982" t="s">
        <v>196</v>
      </c>
      <c r="B6982">
        <v>85</v>
      </c>
      <c r="C6982" t="s">
        <v>2177</v>
      </c>
      <c r="D6982">
        <v>740</v>
      </c>
      <c r="E6982" t="s">
        <v>2208</v>
      </c>
      <c r="F6982">
        <v>1005</v>
      </c>
      <c r="G6982" t="s">
        <v>2177</v>
      </c>
      <c r="H6982">
        <v>2015</v>
      </c>
      <c r="I6982" t="s">
        <v>4</v>
      </c>
      <c r="J6982">
        <v>3015</v>
      </c>
      <c r="K6982" t="s">
        <v>4</v>
      </c>
      <c r="L6982">
        <v>4910</v>
      </c>
      <c r="M6982" t="s">
        <v>2268</v>
      </c>
      <c r="N6982" t="s">
        <v>253</v>
      </c>
      <c r="O6982">
        <v>10</v>
      </c>
      <c r="P6982">
        <v>7099</v>
      </c>
      <c r="Q6982" t="s">
        <v>2206</v>
      </c>
      <c r="R6982" t="s">
        <v>201</v>
      </c>
      <c r="S6982">
        <v>1</v>
      </c>
      <c r="T6982">
        <v>1</v>
      </c>
      <c r="U6982">
        <v>89112</v>
      </c>
      <c r="V6982">
        <v>89112</v>
      </c>
    </row>
    <row r="6983" spans="1:22">
      <c r="A6983" t="s">
        <v>196</v>
      </c>
      <c r="B6983">
        <v>85</v>
      </c>
      <c r="C6983" t="s">
        <v>2177</v>
      </c>
      <c r="D6983">
        <v>740</v>
      </c>
      <c r="E6983" t="s">
        <v>2208</v>
      </c>
      <c r="F6983">
        <v>1005</v>
      </c>
      <c r="G6983" t="s">
        <v>2177</v>
      </c>
      <c r="H6983">
        <v>2015</v>
      </c>
      <c r="I6983" t="s">
        <v>4</v>
      </c>
      <c r="J6983">
        <v>3015</v>
      </c>
      <c r="K6983" t="s">
        <v>4</v>
      </c>
      <c r="L6983">
        <v>4910</v>
      </c>
      <c r="M6983" t="s">
        <v>2268</v>
      </c>
      <c r="N6983" t="s">
        <v>253</v>
      </c>
      <c r="O6983">
        <v>10</v>
      </c>
      <c r="P6983">
        <v>7099</v>
      </c>
      <c r="Q6983" t="s">
        <v>2206</v>
      </c>
      <c r="R6983" t="s">
        <v>201</v>
      </c>
      <c r="S6983">
        <v>1</v>
      </c>
      <c r="T6983">
        <v>1</v>
      </c>
      <c r="U6983">
        <v>83052</v>
      </c>
      <c r="V6983">
        <v>83052</v>
      </c>
    </row>
    <row r="6984" spans="1:22">
      <c r="A6984" t="s">
        <v>196</v>
      </c>
      <c r="B6984">
        <v>85</v>
      </c>
      <c r="C6984" t="s">
        <v>2177</v>
      </c>
      <c r="D6984">
        <v>740</v>
      </c>
      <c r="E6984" t="s">
        <v>2208</v>
      </c>
      <c r="F6984">
        <v>1005</v>
      </c>
      <c r="G6984" t="s">
        <v>2177</v>
      </c>
      <c r="H6984">
        <v>2015</v>
      </c>
      <c r="I6984" t="s">
        <v>4</v>
      </c>
      <c r="J6984">
        <v>3015</v>
      </c>
      <c r="K6984" t="s">
        <v>4</v>
      </c>
      <c r="L6984">
        <v>4910</v>
      </c>
      <c r="M6984" t="s">
        <v>2268</v>
      </c>
      <c r="N6984" t="s">
        <v>253</v>
      </c>
      <c r="O6984">
        <v>10</v>
      </c>
      <c r="P6984">
        <v>7027</v>
      </c>
      <c r="Q6984" t="s">
        <v>2254</v>
      </c>
      <c r="R6984" t="s">
        <v>201</v>
      </c>
      <c r="S6984">
        <v>1</v>
      </c>
      <c r="T6984">
        <v>1</v>
      </c>
      <c r="U6984">
        <v>136692</v>
      </c>
      <c r="V6984">
        <v>136692</v>
      </c>
    </row>
    <row r="6985" spans="1:22">
      <c r="A6985" t="s">
        <v>196</v>
      </c>
      <c r="B6985">
        <v>85</v>
      </c>
      <c r="C6985" t="s">
        <v>2177</v>
      </c>
      <c r="D6985">
        <v>740</v>
      </c>
      <c r="E6985" t="s">
        <v>2208</v>
      </c>
      <c r="F6985">
        <v>1005</v>
      </c>
      <c r="G6985" t="s">
        <v>2177</v>
      </c>
      <c r="H6985">
        <v>2015</v>
      </c>
      <c r="I6985" t="s">
        <v>4</v>
      </c>
      <c r="J6985">
        <v>3015</v>
      </c>
      <c r="K6985" t="s">
        <v>4</v>
      </c>
      <c r="L6985">
        <v>4910</v>
      </c>
      <c r="M6985" t="s">
        <v>2268</v>
      </c>
      <c r="N6985" t="s">
        <v>1719</v>
      </c>
      <c r="O6985">
        <v>10</v>
      </c>
      <c r="P6985">
        <v>7023</v>
      </c>
      <c r="Q6985" t="s">
        <v>2269</v>
      </c>
      <c r="R6985" t="s">
        <v>201</v>
      </c>
      <c r="S6985">
        <v>1</v>
      </c>
      <c r="T6985">
        <v>1</v>
      </c>
      <c r="U6985">
        <v>143232</v>
      </c>
      <c r="V6985">
        <v>143232</v>
      </c>
    </row>
    <row r="6986" spans="1:22">
      <c r="A6986" t="s">
        <v>196</v>
      </c>
      <c r="B6986">
        <v>85</v>
      </c>
      <c r="C6986" t="s">
        <v>2177</v>
      </c>
      <c r="D6986">
        <v>740</v>
      </c>
      <c r="E6986" t="s">
        <v>2208</v>
      </c>
      <c r="F6986">
        <v>1005</v>
      </c>
      <c r="G6986" t="s">
        <v>2177</v>
      </c>
      <c r="H6986">
        <v>2015</v>
      </c>
      <c r="I6986" t="s">
        <v>4</v>
      </c>
      <c r="J6986">
        <v>3015</v>
      </c>
      <c r="K6986" t="s">
        <v>4</v>
      </c>
      <c r="L6986">
        <v>4910</v>
      </c>
      <c r="M6986" t="s">
        <v>2268</v>
      </c>
      <c r="N6986" t="s">
        <v>1719</v>
      </c>
      <c r="O6986">
        <v>10</v>
      </c>
      <c r="P6986">
        <v>7020</v>
      </c>
      <c r="Q6986" t="s">
        <v>2183</v>
      </c>
      <c r="R6986" t="s">
        <v>201</v>
      </c>
      <c r="S6986">
        <v>1</v>
      </c>
      <c r="T6986">
        <v>1</v>
      </c>
      <c r="U6986">
        <v>136692</v>
      </c>
      <c r="V6986">
        <v>136692</v>
      </c>
    </row>
    <row r="6987" spans="1:22">
      <c r="A6987" t="s">
        <v>196</v>
      </c>
      <c r="B6987">
        <v>85</v>
      </c>
      <c r="C6987" t="s">
        <v>2177</v>
      </c>
      <c r="D6987">
        <v>740</v>
      </c>
      <c r="E6987" t="s">
        <v>2208</v>
      </c>
      <c r="F6987">
        <v>1005</v>
      </c>
      <c r="G6987" t="s">
        <v>2177</v>
      </c>
      <c r="H6987">
        <v>2015</v>
      </c>
      <c r="I6987" t="s">
        <v>4</v>
      </c>
      <c r="J6987">
        <v>3015</v>
      </c>
      <c r="K6987" t="s">
        <v>4</v>
      </c>
      <c r="L6987">
        <v>4910</v>
      </c>
      <c r="M6987" t="s">
        <v>2268</v>
      </c>
      <c r="N6987" t="s">
        <v>1314</v>
      </c>
      <c r="O6987">
        <v>0</v>
      </c>
      <c r="P6987" t="s">
        <v>1471</v>
      </c>
      <c r="Q6987" t="s">
        <v>605</v>
      </c>
      <c r="R6987" t="s">
        <v>201</v>
      </c>
      <c r="S6987">
        <v>1</v>
      </c>
      <c r="T6987">
        <v>1</v>
      </c>
      <c r="U6987">
        <v>160680</v>
      </c>
      <c r="V6987">
        <v>160680</v>
      </c>
    </row>
    <row r="6988" spans="1:22">
      <c r="A6988" t="s">
        <v>196</v>
      </c>
      <c r="B6988">
        <v>85</v>
      </c>
      <c r="C6988" t="s">
        <v>2177</v>
      </c>
      <c r="D6988">
        <v>740</v>
      </c>
      <c r="E6988" t="s">
        <v>2208</v>
      </c>
      <c r="F6988">
        <v>1005</v>
      </c>
      <c r="G6988" t="s">
        <v>2177</v>
      </c>
      <c r="H6988">
        <v>2015</v>
      </c>
      <c r="I6988" t="s">
        <v>4</v>
      </c>
      <c r="J6988">
        <v>3015</v>
      </c>
      <c r="K6988" t="s">
        <v>4</v>
      </c>
      <c r="L6988">
        <v>4910</v>
      </c>
      <c r="M6988" t="s">
        <v>2268</v>
      </c>
      <c r="N6988" t="s">
        <v>249</v>
      </c>
      <c r="O6988">
        <v>10</v>
      </c>
      <c r="P6988">
        <v>310</v>
      </c>
      <c r="Q6988" t="s">
        <v>447</v>
      </c>
      <c r="R6988" t="s">
        <v>201</v>
      </c>
      <c r="S6988">
        <v>1</v>
      </c>
      <c r="T6988">
        <v>1</v>
      </c>
      <c r="U6988">
        <v>113568</v>
      </c>
      <c r="V6988">
        <v>113568</v>
      </c>
    </row>
    <row r="6989" spans="1:22">
      <c r="A6989" t="s">
        <v>196</v>
      </c>
      <c r="B6989">
        <v>85</v>
      </c>
      <c r="C6989" t="s">
        <v>2177</v>
      </c>
      <c r="D6989">
        <v>740</v>
      </c>
      <c r="E6989" t="s">
        <v>2208</v>
      </c>
      <c r="F6989">
        <v>1005</v>
      </c>
      <c r="G6989" t="s">
        <v>2177</v>
      </c>
      <c r="H6989">
        <v>2015</v>
      </c>
      <c r="I6989" t="s">
        <v>4</v>
      </c>
      <c r="J6989">
        <v>3015</v>
      </c>
      <c r="K6989" t="s">
        <v>4</v>
      </c>
      <c r="L6989">
        <v>4910</v>
      </c>
      <c r="M6989" t="s">
        <v>2268</v>
      </c>
      <c r="N6989" t="s">
        <v>341</v>
      </c>
      <c r="O6989">
        <v>1</v>
      </c>
      <c r="P6989">
        <v>308</v>
      </c>
      <c r="Q6989" t="s">
        <v>355</v>
      </c>
      <c r="R6989" t="s">
        <v>201</v>
      </c>
      <c r="S6989">
        <v>1</v>
      </c>
      <c r="T6989">
        <v>1</v>
      </c>
      <c r="U6989">
        <v>70752</v>
      </c>
      <c r="V6989">
        <v>70752</v>
      </c>
    </row>
    <row r="6990" spans="1:22">
      <c r="A6990" t="s">
        <v>196</v>
      </c>
      <c r="B6990">
        <v>85</v>
      </c>
      <c r="C6990" t="s">
        <v>2177</v>
      </c>
      <c r="D6990">
        <v>740</v>
      </c>
      <c r="E6990" t="s">
        <v>2208</v>
      </c>
      <c r="F6990">
        <v>1005</v>
      </c>
      <c r="G6990" t="s">
        <v>2177</v>
      </c>
      <c r="H6990">
        <v>2015</v>
      </c>
      <c r="I6990" t="s">
        <v>4</v>
      </c>
      <c r="J6990">
        <v>3015</v>
      </c>
      <c r="K6990" t="s">
        <v>4</v>
      </c>
      <c r="L6990">
        <v>4910</v>
      </c>
      <c r="M6990" t="s">
        <v>2268</v>
      </c>
      <c r="N6990" t="s">
        <v>199</v>
      </c>
      <c r="O6990">
        <v>0</v>
      </c>
      <c r="P6990">
        <v>15</v>
      </c>
      <c r="Q6990" t="s">
        <v>264</v>
      </c>
      <c r="R6990" t="s">
        <v>201</v>
      </c>
      <c r="S6990">
        <v>0</v>
      </c>
      <c r="T6990">
        <v>0</v>
      </c>
      <c r="U6990">
        <v>27517</v>
      </c>
      <c r="V6990">
        <v>27517</v>
      </c>
    </row>
    <row r="6991" spans="1:22">
      <c r="A6991" t="s">
        <v>196</v>
      </c>
      <c r="B6991">
        <v>85</v>
      </c>
      <c r="C6991" t="s">
        <v>2177</v>
      </c>
      <c r="D6991">
        <v>740</v>
      </c>
      <c r="E6991" t="s">
        <v>2208</v>
      </c>
      <c r="F6991">
        <v>1005</v>
      </c>
      <c r="G6991" t="s">
        <v>2177</v>
      </c>
      <c r="H6991">
        <v>2015</v>
      </c>
      <c r="I6991" t="s">
        <v>4</v>
      </c>
      <c r="J6991">
        <v>3015</v>
      </c>
      <c r="K6991" t="s">
        <v>4</v>
      </c>
      <c r="L6991">
        <v>4912</v>
      </c>
      <c r="M6991" t="s">
        <v>2270</v>
      </c>
      <c r="N6991" t="s">
        <v>1294</v>
      </c>
      <c r="O6991">
        <v>0</v>
      </c>
      <c r="P6991">
        <v>9681</v>
      </c>
      <c r="Q6991" t="s">
        <v>338</v>
      </c>
      <c r="R6991" t="s">
        <v>201</v>
      </c>
      <c r="S6991">
        <v>1</v>
      </c>
      <c r="T6991">
        <v>1</v>
      </c>
      <c r="U6991">
        <v>184584</v>
      </c>
      <c r="V6991">
        <v>184584</v>
      </c>
    </row>
    <row r="6992" spans="1:22">
      <c r="A6992" t="s">
        <v>196</v>
      </c>
      <c r="B6992">
        <v>85</v>
      </c>
      <c r="C6992" t="s">
        <v>2177</v>
      </c>
      <c r="D6992">
        <v>740</v>
      </c>
      <c r="E6992" t="s">
        <v>2208</v>
      </c>
      <c r="F6992">
        <v>1005</v>
      </c>
      <c r="G6992" t="s">
        <v>2177</v>
      </c>
      <c r="H6992">
        <v>2015</v>
      </c>
      <c r="I6992" t="s">
        <v>4</v>
      </c>
      <c r="J6992">
        <v>3015</v>
      </c>
      <c r="K6992" t="s">
        <v>4</v>
      </c>
      <c r="L6992">
        <v>4912</v>
      </c>
      <c r="M6992" t="s">
        <v>2270</v>
      </c>
      <c r="N6992" t="s">
        <v>255</v>
      </c>
      <c r="O6992">
        <v>1</v>
      </c>
      <c r="P6992">
        <v>1572</v>
      </c>
      <c r="Q6992" t="s">
        <v>363</v>
      </c>
      <c r="R6992" t="s">
        <v>201</v>
      </c>
      <c r="S6992">
        <v>1</v>
      </c>
      <c r="T6992">
        <v>1</v>
      </c>
      <c r="U6992">
        <v>143400</v>
      </c>
      <c r="V6992">
        <v>143400</v>
      </c>
    </row>
    <row r="6993" spans="1:22">
      <c r="A6993" t="s">
        <v>196</v>
      </c>
      <c r="B6993">
        <v>85</v>
      </c>
      <c r="C6993" t="s">
        <v>2177</v>
      </c>
      <c r="D6993">
        <v>740</v>
      </c>
      <c r="E6993" t="s">
        <v>2208</v>
      </c>
      <c r="F6993">
        <v>1005</v>
      </c>
      <c r="G6993" t="s">
        <v>2177</v>
      </c>
      <c r="H6993">
        <v>2015</v>
      </c>
      <c r="I6993" t="s">
        <v>4</v>
      </c>
      <c r="J6993">
        <v>3015</v>
      </c>
      <c r="K6993" t="s">
        <v>4</v>
      </c>
      <c r="L6993">
        <v>4912</v>
      </c>
      <c r="M6993" t="s">
        <v>2270</v>
      </c>
      <c r="N6993" t="s">
        <v>255</v>
      </c>
      <c r="O6993">
        <v>1</v>
      </c>
      <c r="P6993">
        <v>1572</v>
      </c>
      <c r="Q6993" t="s">
        <v>363</v>
      </c>
      <c r="R6993" t="s">
        <v>201</v>
      </c>
      <c r="S6993">
        <v>1</v>
      </c>
      <c r="T6993">
        <v>1</v>
      </c>
      <c r="U6993">
        <v>130668</v>
      </c>
      <c r="V6993">
        <v>130668</v>
      </c>
    </row>
    <row r="6994" spans="1:22">
      <c r="A6994" t="s">
        <v>196</v>
      </c>
      <c r="B6994">
        <v>85</v>
      </c>
      <c r="C6994" t="s">
        <v>2177</v>
      </c>
      <c r="D6994">
        <v>740</v>
      </c>
      <c r="E6994" t="s">
        <v>2208</v>
      </c>
      <c r="F6994">
        <v>1005</v>
      </c>
      <c r="G6994" t="s">
        <v>2177</v>
      </c>
      <c r="H6994">
        <v>2015</v>
      </c>
      <c r="I6994" t="s">
        <v>4</v>
      </c>
      <c r="J6994">
        <v>3015</v>
      </c>
      <c r="K6994" t="s">
        <v>4</v>
      </c>
      <c r="L6994">
        <v>4912</v>
      </c>
      <c r="M6994" t="s">
        <v>2270</v>
      </c>
      <c r="N6994" t="s">
        <v>255</v>
      </c>
      <c r="O6994">
        <v>1</v>
      </c>
      <c r="P6994">
        <v>1572</v>
      </c>
      <c r="Q6994" t="s">
        <v>363</v>
      </c>
      <c r="R6994" t="s">
        <v>201</v>
      </c>
      <c r="S6994">
        <v>1</v>
      </c>
      <c r="T6994">
        <v>1</v>
      </c>
      <c r="U6994">
        <v>85200</v>
      </c>
      <c r="V6994">
        <v>85200</v>
      </c>
    </row>
    <row r="6995" spans="1:22">
      <c r="A6995" t="s">
        <v>196</v>
      </c>
      <c r="B6995">
        <v>85</v>
      </c>
      <c r="C6995" t="s">
        <v>2177</v>
      </c>
      <c r="D6995">
        <v>740</v>
      </c>
      <c r="E6995" t="s">
        <v>2208</v>
      </c>
      <c r="F6995">
        <v>1005</v>
      </c>
      <c r="G6995" t="s">
        <v>2177</v>
      </c>
      <c r="H6995">
        <v>2015</v>
      </c>
      <c r="I6995" t="s">
        <v>4</v>
      </c>
      <c r="J6995">
        <v>3015</v>
      </c>
      <c r="K6995" t="s">
        <v>4</v>
      </c>
      <c r="L6995">
        <v>4912</v>
      </c>
      <c r="M6995" t="s">
        <v>2270</v>
      </c>
      <c r="N6995" t="s">
        <v>1314</v>
      </c>
      <c r="O6995">
        <v>9</v>
      </c>
      <c r="P6995">
        <v>1197</v>
      </c>
      <c r="Q6995" t="s">
        <v>927</v>
      </c>
      <c r="R6995" t="s">
        <v>201</v>
      </c>
      <c r="S6995">
        <v>1</v>
      </c>
      <c r="T6995">
        <v>1</v>
      </c>
      <c r="U6995">
        <v>160680</v>
      </c>
      <c r="V6995">
        <v>160680</v>
      </c>
    </row>
    <row r="6996" spans="1:22">
      <c r="A6996" t="s">
        <v>196</v>
      </c>
      <c r="B6996">
        <v>85</v>
      </c>
      <c r="C6996" t="s">
        <v>2177</v>
      </c>
      <c r="D6996">
        <v>740</v>
      </c>
      <c r="E6996" t="s">
        <v>2208</v>
      </c>
      <c r="F6996">
        <v>1005</v>
      </c>
      <c r="G6996" t="s">
        <v>2177</v>
      </c>
      <c r="H6996">
        <v>2015</v>
      </c>
      <c r="I6996" t="s">
        <v>4</v>
      </c>
      <c r="J6996">
        <v>3015</v>
      </c>
      <c r="K6996" t="s">
        <v>4</v>
      </c>
      <c r="L6996">
        <v>4912</v>
      </c>
      <c r="M6996" t="s">
        <v>2270</v>
      </c>
      <c r="N6996" t="s">
        <v>1314</v>
      </c>
      <c r="O6996">
        <v>0</v>
      </c>
      <c r="P6996" t="s">
        <v>1471</v>
      </c>
      <c r="Q6996" t="s">
        <v>605</v>
      </c>
      <c r="R6996" t="s">
        <v>201</v>
      </c>
      <c r="S6996">
        <v>3</v>
      </c>
      <c r="T6996">
        <v>1</v>
      </c>
      <c r="U6996">
        <v>160680</v>
      </c>
      <c r="V6996">
        <v>482040</v>
      </c>
    </row>
    <row r="6997" spans="1:22">
      <c r="A6997" t="s">
        <v>196</v>
      </c>
      <c r="B6997">
        <v>85</v>
      </c>
      <c r="C6997" t="s">
        <v>2177</v>
      </c>
      <c r="D6997">
        <v>740</v>
      </c>
      <c r="E6997" t="s">
        <v>2208</v>
      </c>
      <c r="F6997">
        <v>1005</v>
      </c>
      <c r="G6997" t="s">
        <v>2177</v>
      </c>
      <c r="H6997">
        <v>2015</v>
      </c>
      <c r="I6997" t="s">
        <v>4</v>
      </c>
      <c r="J6997">
        <v>3015</v>
      </c>
      <c r="K6997" t="s">
        <v>4</v>
      </c>
      <c r="L6997">
        <v>4912</v>
      </c>
      <c r="M6997" t="s">
        <v>2270</v>
      </c>
      <c r="N6997" t="s">
        <v>294</v>
      </c>
      <c r="O6997">
        <v>20</v>
      </c>
      <c r="P6997">
        <v>318</v>
      </c>
      <c r="Q6997" t="s">
        <v>897</v>
      </c>
      <c r="R6997" t="s">
        <v>201</v>
      </c>
      <c r="S6997">
        <v>1</v>
      </c>
      <c r="T6997">
        <v>1</v>
      </c>
      <c r="U6997">
        <v>103488</v>
      </c>
      <c r="V6997">
        <v>103488</v>
      </c>
    </row>
    <row r="6998" spans="1:22">
      <c r="A6998" t="s">
        <v>196</v>
      </c>
      <c r="B6998">
        <v>85</v>
      </c>
      <c r="C6998" t="s">
        <v>2177</v>
      </c>
      <c r="D6998">
        <v>740</v>
      </c>
      <c r="E6998" t="s">
        <v>2208</v>
      </c>
      <c r="F6998">
        <v>1005</v>
      </c>
      <c r="G6998" t="s">
        <v>2177</v>
      </c>
      <c r="H6998">
        <v>2015</v>
      </c>
      <c r="I6998" t="s">
        <v>4</v>
      </c>
      <c r="J6998">
        <v>3015</v>
      </c>
      <c r="K6998" t="s">
        <v>4</v>
      </c>
      <c r="L6998">
        <v>4912</v>
      </c>
      <c r="M6998" t="s">
        <v>2270</v>
      </c>
      <c r="N6998" t="s">
        <v>249</v>
      </c>
      <c r="O6998">
        <v>10</v>
      </c>
      <c r="P6998">
        <v>310</v>
      </c>
      <c r="Q6998" t="s">
        <v>447</v>
      </c>
      <c r="R6998" t="s">
        <v>201</v>
      </c>
      <c r="S6998">
        <v>3</v>
      </c>
      <c r="T6998">
        <v>1</v>
      </c>
      <c r="U6998">
        <v>118956</v>
      </c>
      <c r="V6998">
        <v>356868</v>
      </c>
    </row>
    <row r="6999" spans="1:22">
      <c r="A6999" t="s">
        <v>196</v>
      </c>
      <c r="B6999">
        <v>85</v>
      </c>
      <c r="C6999" t="s">
        <v>2177</v>
      </c>
      <c r="D6999">
        <v>740</v>
      </c>
      <c r="E6999" t="s">
        <v>2208</v>
      </c>
      <c r="F6999">
        <v>1005</v>
      </c>
      <c r="G6999" t="s">
        <v>2177</v>
      </c>
      <c r="H6999">
        <v>2015</v>
      </c>
      <c r="I6999" t="s">
        <v>4</v>
      </c>
      <c r="J6999">
        <v>3015</v>
      </c>
      <c r="K6999" t="s">
        <v>4</v>
      </c>
      <c r="L6999">
        <v>4912</v>
      </c>
      <c r="M6999" t="s">
        <v>2270</v>
      </c>
      <c r="N6999" t="s">
        <v>249</v>
      </c>
      <c r="O6999">
        <v>10</v>
      </c>
      <c r="P6999">
        <v>310</v>
      </c>
      <c r="Q6999" t="s">
        <v>447</v>
      </c>
      <c r="R6999" t="s">
        <v>201</v>
      </c>
      <c r="S6999">
        <v>3</v>
      </c>
      <c r="T6999">
        <v>1</v>
      </c>
      <c r="U6999">
        <v>113568</v>
      </c>
      <c r="V6999">
        <v>340704</v>
      </c>
    </row>
    <row r="7000" spans="1:22">
      <c r="A7000" t="s">
        <v>196</v>
      </c>
      <c r="B7000">
        <v>85</v>
      </c>
      <c r="C7000" t="s">
        <v>2177</v>
      </c>
      <c r="D7000">
        <v>740</v>
      </c>
      <c r="E7000" t="s">
        <v>2208</v>
      </c>
      <c r="F7000">
        <v>1005</v>
      </c>
      <c r="G7000" t="s">
        <v>2177</v>
      </c>
      <c r="H7000">
        <v>2015</v>
      </c>
      <c r="I7000" t="s">
        <v>4</v>
      </c>
      <c r="J7000">
        <v>3015</v>
      </c>
      <c r="K7000" t="s">
        <v>4</v>
      </c>
      <c r="L7000">
        <v>4912</v>
      </c>
      <c r="M7000" t="s">
        <v>2270</v>
      </c>
      <c r="N7000" t="s">
        <v>249</v>
      </c>
      <c r="O7000">
        <v>10</v>
      </c>
      <c r="P7000">
        <v>310</v>
      </c>
      <c r="Q7000" t="s">
        <v>447</v>
      </c>
      <c r="R7000" t="s">
        <v>201</v>
      </c>
      <c r="S7000">
        <v>5</v>
      </c>
      <c r="T7000">
        <v>1</v>
      </c>
      <c r="U7000">
        <v>89112</v>
      </c>
      <c r="V7000">
        <v>445560</v>
      </c>
    </row>
    <row r="7001" spans="1:22">
      <c r="A7001" t="s">
        <v>196</v>
      </c>
      <c r="B7001">
        <v>85</v>
      </c>
      <c r="C7001" t="s">
        <v>2177</v>
      </c>
      <c r="D7001">
        <v>740</v>
      </c>
      <c r="E7001" t="s">
        <v>2208</v>
      </c>
      <c r="F7001">
        <v>1005</v>
      </c>
      <c r="G7001" t="s">
        <v>2177</v>
      </c>
      <c r="H7001">
        <v>2015</v>
      </c>
      <c r="I7001" t="s">
        <v>4</v>
      </c>
      <c r="J7001">
        <v>3015</v>
      </c>
      <c r="K7001" t="s">
        <v>4</v>
      </c>
      <c r="L7001">
        <v>4912</v>
      </c>
      <c r="M7001" t="s">
        <v>2270</v>
      </c>
      <c r="N7001" t="s">
        <v>341</v>
      </c>
      <c r="O7001">
        <v>1</v>
      </c>
      <c r="P7001">
        <v>308</v>
      </c>
      <c r="Q7001" t="s">
        <v>355</v>
      </c>
      <c r="R7001" t="s">
        <v>201</v>
      </c>
      <c r="S7001">
        <v>1</v>
      </c>
      <c r="T7001">
        <v>1</v>
      </c>
      <c r="U7001">
        <v>108576</v>
      </c>
      <c r="V7001">
        <v>108576</v>
      </c>
    </row>
    <row r="7002" spans="1:22">
      <c r="A7002" t="s">
        <v>196</v>
      </c>
      <c r="B7002">
        <v>85</v>
      </c>
      <c r="C7002" t="s">
        <v>2177</v>
      </c>
      <c r="D7002">
        <v>740</v>
      </c>
      <c r="E7002" t="s">
        <v>2208</v>
      </c>
      <c r="F7002">
        <v>1005</v>
      </c>
      <c r="G7002" t="s">
        <v>2177</v>
      </c>
      <c r="H7002">
        <v>2015</v>
      </c>
      <c r="I7002" t="s">
        <v>4</v>
      </c>
      <c r="J7002">
        <v>3015</v>
      </c>
      <c r="K7002" t="s">
        <v>4</v>
      </c>
      <c r="L7002">
        <v>4912</v>
      </c>
      <c r="M7002" t="s">
        <v>2270</v>
      </c>
      <c r="N7002" t="s">
        <v>199</v>
      </c>
      <c r="O7002">
        <v>0</v>
      </c>
      <c r="P7002">
        <v>15</v>
      </c>
      <c r="Q7002" t="s">
        <v>264</v>
      </c>
      <c r="R7002" t="s">
        <v>201</v>
      </c>
      <c r="S7002">
        <v>0</v>
      </c>
      <c r="T7002">
        <v>0</v>
      </c>
      <c r="U7002">
        <v>35908</v>
      </c>
      <c r="V7002">
        <v>35908</v>
      </c>
    </row>
    <row r="7003" spans="1:22">
      <c r="A7003" t="s">
        <v>196</v>
      </c>
      <c r="B7003">
        <v>85</v>
      </c>
      <c r="C7003" t="s">
        <v>2177</v>
      </c>
      <c r="D7003">
        <v>740</v>
      </c>
      <c r="E7003" t="s">
        <v>2208</v>
      </c>
      <c r="F7003">
        <v>1005</v>
      </c>
      <c r="G7003" t="s">
        <v>2177</v>
      </c>
      <c r="H7003">
        <v>2015</v>
      </c>
      <c r="I7003" t="s">
        <v>4</v>
      </c>
      <c r="J7003">
        <v>3015</v>
      </c>
      <c r="K7003" t="s">
        <v>4</v>
      </c>
      <c r="L7003">
        <v>4913</v>
      </c>
      <c r="M7003" t="s">
        <v>2271</v>
      </c>
      <c r="N7003" t="s">
        <v>245</v>
      </c>
      <c r="O7003">
        <v>20</v>
      </c>
      <c r="P7003">
        <v>6055</v>
      </c>
      <c r="Q7003" t="s">
        <v>2272</v>
      </c>
      <c r="R7003" t="s">
        <v>201</v>
      </c>
      <c r="S7003">
        <v>1</v>
      </c>
      <c r="T7003">
        <v>1</v>
      </c>
      <c r="U7003">
        <v>126756</v>
      </c>
      <c r="V7003">
        <v>126756</v>
      </c>
    </row>
    <row r="7004" spans="1:22">
      <c r="A7004" t="s">
        <v>196</v>
      </c>
      <c r="B7004">
        <v>85</v>
      </c>
      <c r="C7004" t="s">
        <v>2177</v>
      </c>
      <c r="D7004">
        <v>740</v>
      </c>
      <c r="E7004" t="s">
        <v>2208</v>
      </c>
      <c r="F7004">
        <v>1005</v>
      </c>
      <c r="G7004" t="s">
        <v>2177</v>
      </c>
      <c r="H7004">
        <v>2015</v>
      </c>
      <c r="I7004" t="s">
        <v>4</v>
      </c>
      <c r="J7004">
        <v>3015</v>
      </c>
      <c r="K7004" t="s">
        <v>4</v>
      </c>
      <c r="L7004">
        <v>4913</v>
      </c>
      <c r="M7004" t="s">
        <v>2271</v>
      </c>
      <c r="N7004" t="s">
        <v>602</v>
      </c>
      <c r="O7004">
        <v>4</v>
      </c>
      <c r="P7004">
        <v>6054</v>
      </c>
      <c r="Q7004" t="s">
        <v>1866</v>
      </c>
      <c r="R7004" t="s">
        <v>201</v>
      </c>
      <c r="S7004">
        <v>1</v>
      </c>
      <c r="T7004">
        <v>1</v>
      </c>
      <c r="U7004">
        <v>99408</v>
      </c>
      <c r="V7004">
        <v>99408</v>
      </c>
    </row>
    <row r="7005" spans="1:22">
      <c r="A7005" t="s">
        <v>196</v>
      </c>
      <c r="B7005">
        <v>85</v>
      </c>
      <c r="C7005" t="s">
        <v>2177</v>
      </c>
      <c r="D7005">
        <v>740</v>
      </c>
      <c r="E7005" t="s">
        <v>2208</v>
      </c>
      <c r="F7005">
        <v>1005</v>
      </c>
      <c r="G7005" t="s">
        <v>2177</v>
      </c>
      <c r="H7005">
        <v>2015</v>
      </c>
      <c r="I7005" t="s">
        <v>4</v>
      </c>
      <c r="J7005">
        <v>3015</v>
      </c>
      <c r="K7005" t="s">
        <v>4</v>
      </c>
      <c r="L7005">
        <v>4913</v>
      </c>
      <c r="M7005" t="s">
        <v>2271</v>
      </c>
      <c r="N7005" t="s">
        <v>602</v>
      </c>
      <c r="O7005">
        <v>4</v>
      </c>
      <c r="P7005">
        <v>5814</v>
      </c>
      <c r="Q7005" t="s">
        <v>1898</v>
      </c>
      <c r="R7005" t="s">
        <v>201</v>
      </c>
      <c r="S7005">
        <v>1</v>
      </c>
      <c r="T7005">
        <v>1</v>
      </c>
      <c r="U7005">
        <v>141564</v>
      </c>
      <c r="V7005">
        <v>141564</v>
      </c>
    </row>
    <row r="7006" spans="1:22">
      <c r="A7006" t="s">
        <v>196</v>
      </c>
      <c r="B7006">
        <v>85</v>
      </c>
      <c r="C7006" t="s">
        <v>2177</v>
      </c>
      <c r="D7006">
        <v>740</v>
      </c>
      <c r="E7006" t="s">
        <v>2208</v>
      </c>
      <c r="F7006">
        <v>1005</v>
      </c>
      <c r="G7006" t="s">
        <v>2177</v>
      </c>
      <c r="H7006">
        <v>2015</v>
      </c>
      <c r="I7006" t="s">
        <v>4</v>
      </c>
      <c r="J7006">
        <v>3015</v>
      </c>
      <c r="K7006" t="s">
        <v>4</v>
      </c>
      <c r="L7006">
        <v>4913</v>
      </c>
      <c r="M7006" t="s">
        <v>2271</v>
      </c>
      <c r="N7006" t="s">
        <v>602</v>
      </c>
      <c r="O7006">
        <v>4</v>
      </c>
      <c r="P7006">
        <v>5814</v>
      </c>
      <c r="Q7006" t="s">
        <v>1898</v>
      </c>
      <c r="R7006" t="s">
        <v>201</v>
      </c>
      <c r="S7006">
        <v>1</v>
      </c>
      <c r="T7006">
        <v>1</v>
      </c>
      <c r="U7006">
        <v>128316</v>
      </c>
      <c r="V7006">
        <v>128316</v>
      </c>
    </row>
    <row r="7007" spans="1:22">
      <c r="A7007" t="s">
        <v>196</v>
      </c>
      <c r="B7007">
        <v>85</v>
      </c>
      <c r="C7007" t="s">
        <v>2177</v>
      </c>
      <c r="D7007">
        <v>740</v>
      </c>
      <c r="E7007" t="s">
        <v>2208</v>
      </c>
      <c r="F7007">
        <v>1005</v>
      </c>
      <c r="G7007" t="s">
        <v>2177</v>
      </c>
      <c r="H7007">
        <v>2015</v>
      </c>
      <c r="I7007" t="s">
        <v>4</v>
      </c>
      <c r="J7007">
        <v>3015</v>
      </c>
      <c r="K7007" t="s">
        <v>4</v>
      </c>
      <c r="L7007">
        <v>4913</v>
      </c>
      <c r="M7007" t="s">
        <v>2271</v>
      </c>
      <c r="N7007" t="s">
        <v>271</v>
      </c>
      <c r="O7007">
        <v>20</v>
      </c>
      <c r="P7007">
        <v>5630</v>
      </c>
      <c r="Q7007" t="s">
        <v>955</v>
      </c>
      <c r="R7007" t="s">
        <v>201</v>
      </c>
      <c r="S7007">
        <v>1</v>
      </c>
      <c r="T7007">
        <v>1</v>
      </c>
      <c r="U7007">
        <v>126756</v>
      </c>
      <c r="V7007">
        <v>126756</v>
      </c>
    </row>
    <row r="7008" spans="1:22">
      <c r="A7008" t="s">
        <v>196</v>
      </c>
      <c r="B7008">
        <v>85</v>
      </c>
      <c r="C7008" t="s">
        <v>2177</v>
      </c>
      <c r="D7008">
        <v>740</v>
      </c>
      <c r="E7008" t="s">
        <v>2208</v>
      </c>
      <c r="F7008">
        <v>1005</v>
      </c>
      <c r="G7008" t="s">
        <v>2177</v>
      </c>
      <c r="H7008">
        <v>2015</v>
      </c>
      <c r="I7008" t="s">
        <v>4</v>
      </c>
      <c r="J7008">
        <v>3015</v>
      </c>
      <c r="K7008" t="s">
        <v>4</v>
      </c>
      <c r="L7008">
        <v>4913</v>
      </c>
      <c r="M7008" t="s">
        <v>2271</v>
      </c>
      <c r="N7008" t="s">
        <v>271</v>
      </c>
      <c r="O7008">
        <v>20</v>
      </c>
      <c r="P7008">
        <v>5630</v>
      </c>
      <c r="Q7008" t="s">
        <v>955</v>
      </c>
      <c r="R7008" t="s">
        <v>201</v>
      </c>
      <c r="S7008">
        <v>1</v>
      </c>
      <c r="T7008">
        <v>1</v>
      </c>
      <c r="U7008">
        <v>115992</v>
      </c>
      <c r="V7008">
        <v>115992</v>
      </c>
    </row>
    <row r="7009" spans="1:22">
      <c r="A7009" t="s">
        <v>196</v>
      </c>
      <c r="B7009">
        <v>85</v>
      </c>
      <c r="C7009" t="s">
        <v>2177</v>
      </c>
      <c r="D7009">
        <v>740</v>
      </c>
      <c r="E7009" t="s">
        <v>2208</v>
      </c>
      <c r="F7009">
        <v>1005</v>
      </c>
      <c r="G7009" t="s">
        <v>2177</v>
      </c>
      <c r="H7009">
        <v>2015</v>
      </c>
      <c r="I7009" t="s">
        <v>4</v>
      </c>
      <c r="J7009">
        <v>3015</v>
      </c>
      <c r="K7009" t="s">
        <v>4</v>
      </c>
      <c r="L7009">
        <v>4913</v>
      </c>
      <c r="M7009" t="s">
        <v>2271</v>
      </c>
      <c r="N7009" t="s">
        <v>602</v>
      </c>
      <c r="O7009">
        <v>4</v>
      </c>
      <c r="P7009">
        <v>5620</v>
      </c>
      <c r="Q7009" t="s">
        <v>1594</v>
      </c>
      <c r="R7009" t="s">
        <v>201</v>
      </c>
      <c r="S7009">
        <v>1</v>
      </c>
      <c r="T7009">
        <v>1</v>
      </c>
      <c r="U7009">
        <v>128316</v>
      </c>
      <c r="V7009">
        <v>128316</v>
      </c>
    </row>
    <row r="7010" spans="1:22">
      <c r="A7010" t="s">
        <v>196</v>
      </c>
      <c r="B7010">
        <v>85</v>
      </c>
      <c r="C7010" t="s">
        <v>2177</v>
      </c>
      <c r="D7010">
        <v>740</v>
      </c>
      <c r="E7010" t="s">
        <v>2208</v>
      </c>
      <c r="F7010">
        <v>1005</v>
      </c>
      <c r="G7010" t="s">
        <v>2177</v>
      </c>
      <c r="H7010">
        <v>2015</v>
      </c>
      <c r="I7010" t="s">
        <v>4</v>
      </c>
      <c r="J7010">
        <v>3015</v>
      </c>
      <c r="K7010" t="s">
        <v>4</v>
      </c>
      <c r="L7010">
        <v>4913</v>
      </c>
      <c r="M7010" t="s">
        <v>2271</v>
      </c>
      <c r="N7010" t="s">
        <v>602</v>
      </c>
      <c r="O7010">
        <v>4</v>
      </c>
      <c r="P7010">
        <v>5620</v>
      </c>
      <c r="Q7010" t="s">
        <v>1594</v>
      </c>
      <c r="R7010" t="s">
        <v>201</v>
      </c>
      <c r="S7010">
        <v>1</v>
      </c>
      <c r="T7010">
        <v>1</v>
      </c>
      <c r="U7010">
        <v>107628</v>
      </c>
      <c r="V7010">
        <v>107628</v>
      </c>
    </row>
    <row r="7011" spans="1:22">
      <c r="A7011" t="s">
        <v>196</v>
      </c>
      <c r="B7011">
        <v>85</v>
      </c>
      <c r="C7011" t="s">
        <v>2177</v>
      </c>
      <c r="D7011">
        <v>740</v>
      </c>
      <c r="E7011" t="s">
        <v>2208</v>
      </c>
      <c r="F7011">
        <v>1005</v>
      </c>
      <c r="G7011" t="s">
        <v>2177</v>
      </c>
      <c r="H7011">
        <v>2015</v>
      </c>
      <c r="I7011" t="s">
        <v>4</v>
      </c>
      <c r="J7011">
        <v>3015</v>
      </c>
      <c r="K7011" t="s">
        <v>4</v>
      </c>
      <c r="L7011">
        <v>4913</v>
      </c>
      <c r="M7011" t="s">
        <v>2271</v>
      </c>
      <c r="N7011" t="s">
        <v>602</v>
      </c>
      <c r="O7011">
        <v>4</v>
      </c>
      <c r="P7011">
        <v>5614</v>
      </c>
      <c r="Q7011" t="s">
        <v>1783</v>
      </c>
      <c r="R7011" t="s">
        <v>201</v>
      </c>
      <c r="S7011">
        <v>1</v>
      </c>
      <c r="T7011">
        <v>1</v>
      </c>
      <c r="U7011">
        <v>134184</v>
      </c>
      <c r="V7011">
        <v>134184</v>
      </c>
    </row>
    <row r="7012" spans="1:22">
      <c r="A7012" t="s">
        <v>196</v>
      </c>
      <c r="B7012">
        <v>85</v>
      </c>
      <c r="C7012" t="s">
        <v>2177</v>
      </c>
      <c r="D7012">
        <v>740</v>
      </c>
      <c r="E7012" t="s">
        <v>2208</v>
      </c>
      <c r="F7012">
        <v>1005</v>
      </c>
      <c r="G7012" t="s">
        <v>2177</v>
      </c>
      <c r="H7012">
        <v>2015</v>
      </c>
      <c r="I7012" t="s">
        <v>4</v>
      </c>
      <c r="J7012">
        <v>3015</v>
      </c>
      <c r="K7012" t="s">
        <v>4</v>
      </c>
      <c r="L7012">
        <v>4913</v>
      </c>
      <c r="M7012" t="s">
        <v>2271</v>
      </c>
      <c r="N7012" t="s">
        <v>602</v>
      </c>
      <c r="O7012">
        <v>4</v>
      </c>
      <c r="P7012">
        <v>5614</v>
      </c>
      <c r="Q7012" t="s">
        <v>1783</v>
      </c>
      <c r="R7012" t="s">
        <v>201</v>
      </c>
      <c r="S7012">
        <v>2</v>
      </c>
      <c r="T7012">
        <v>1</v>
      </c>
      <c r="U7012">
        <v>128316</v>
      </c>
      <c r="V7012">
        <v>256632</v>
      </c>
    </row>
    <row r="7013" spans="1:22">
      <c r="A7013" t="s">
        <v>196</v>
      </c>
      <c r="B7013">
        <v>85</v>
      </c>
      <c r="C7013" t="s">
        <v>2177</v>
      </c>
      <c r="D7013">
        <v>740</v>
      </c>
      <c r="E7013" t="s">
        <v>2208</v>
      </c>
      <c r="F7013">
        <v>1005</v>
      </c>
      <c r="G7013" t="s">
        <v>2177</v>
      </c>
      <c r="H7013">
        <v>2015</v>
      </c>
      <c r="I7013" t="s">
        <v>4</v>
      </c>
      <c r="J7013">
        <v>3015</v>
      </c>
      <c r="K7013" t="s">
        <v>4</v>
      </c>
      <c r="L7013">
        <v>4913</v>
      </c>
      <c r="M7013" t="s">
        <v>2271</v>
      </c>
      <c r="N7013" t="s">
        <v>602</v>
      </c>
      <c r="O7013">
        <v>4</v>
      </c>
      <c r="P7013">
        <v>5614</v>
      </c>
      <c r="Q7013" t="s">
        <v>1783</v>
      </c>
      <c r="R7013" t="s">
        <v>201</v>
      </c>
      <c r="S7013">
        <v>1</v>
      </c>
      <c r="T7013">
        <v>1</v>
      </c>
      <c r="U7013">
        <v>112536</v>
      </c>
      <c r="V7013">
        <v>112536</v>
      </c>
    </row>
    <row r="7014" spans="1:22">
      <c r="A7014" t="s">
        <v>196</v>
      </c>
      <c r="B7014">
        <v>85</v>
      </c>
      <c r="C7014" t="s">
        <v>2177</v>
      </c>
      <c r="D7014">
        <v>740</v>
      </c>
      <c r="E7014" t="s">
        <v>2208</v>
      </c>
      <c r="F7014">
        <v>1005</v>
      </c>
      <c r="G7014" t="s">
        <v>2177</v>
      </c>
      <c r="H7014">
        <v>2015</v>
      </c>
      <c r="I7014" t="s">
        <v>4</v>
      </c>
      <c r="J7014">
        <v>3015</v>
      </c>
      <c r="K7014" t="s">
        <v>4</v>
      </c>
      <c r="L7014">
        <v>4913</v>
      </c>
      <c r="M7014" t="s">
        <v>2271</v>
      </c>
      <c r="N7014" t="s">
        <v>602</v>
      </c>
      <c r="O7014">
        <v>4</v>
      </c>
      <c r="P7014">
        <v>5614</v>
      </c>
      <c r="Q7014" t="s">
        <v>1783</v>
      </c>
      <c r="R7014" t="s">
        <v>201</v>
      </c>
      <c r="S7014">
        <v>1</v>
      </c>
      <c r="T7014">
        <v>1</v>
      </c>
      <c r="U7014">
        <v>99408</v>
      </c>
      <c r="V7014">
        <v>99408</v>
      </c>
    </row>
    <row r="7015" spans="1:22">
      <c r="A7015" t="s">
        <v>196</v>
      </c>
      <c r="B7015">
        <v>85</v>
      </c>
      <c r="C7015" t="s">
        <v>2177</v>
      </c>
      <c r="D7015">
        <v>740</v>
      </c>
      <c r="E7015" t="s">
        <v>2208</v>
      </c>
      <c r="F7015">
        <v>1005</v>
      </c>
      <c r="G7015" t="s">
        <v>2177</v>
      </c>
      <c r="H7015">
        <v>2015</v>
      </c>
      <c r="I7015" t="s">
        <v>4</v>
      </c>
      <c r="J7015">
        <v>3015</v>
      </c>
      <c r="K7015" t="s">
        <v>4</v>
      </c>
      <c r="L7015">
        <v>4913</v>
      </c>
      <c r="M7015" t="s">
        <v>2271</v>
      </c>
      <c r="N7015" t="s">
        <v>356</v>
      </c>
      <c r="O7015">
        <v>4</v>
      </c>
      <c r="P7015">
        <v>5613</v>
      </c>
      <c r="Q7015" t="s">
        <v>1767</v>
      </c>
      <c r="R7015" t="s">
        <v>201</v>
      </c>
      <c r="S7015">
        <v>1</v>
      </c>
      <c r="T7015">
        <v>1</v>
      </c>
      <c r="U7015">
        <v>107628</v>
      </c>
      <c r="V7015">
        <v>107628</v>
      </c>
    </row>
    <row r="7016" spans="1:22">
      <c r="A7016" t="s">
        <v>196</v>
      </c>
      <c r="B7016">
        <v>85</v>
      </c>
      <c r="C7016" t="s">
        <v>2177</v>
      </c>
      <c r="D7016">
        <v>740</v>
      </c>
      <c r="E7016" t="s">
        <v>2208</v>
      </c>
      <c r="F7016">
        <v>1005</v>
      </c>
      <c r="G7016" t="s">
        <v>2177</v>
      </c>
      <c r="H7016">
        <v>2015</v>
      </c>
      <c r="I7016" t="s">
        <v>4</v>
      </c>
      <c r="J7016">
        <v>3015</v>
      </c>
      <c r="K7016" t="s">
        <v>4</v>
      </c>
      <c r="L7016">
        <v>4913</v>
      </c>
      <c r="M7016" t="s">
        <v>2271</v>
      </c>
      <c r="N7016" t="s">
        <v>271</v>
      </c>
      <c r="O7016">
        <v>20</v>
      </c>
      <c r="P7016">
        <v>5410</v>
      </c>
      <c r="Q7016" t="s">
        <v>956</v>
      </c>
      <c r="R7016" t="s">
        <v>201</v>
      </c>
      <c r="S7016">
        <v>2</v>
      </c>
      <c r="T7016">
        <v>1</v>
      </c>
      <c r="U7016">
        <v>126756</v>
      </c>
      <c r="V7016">
        <v>253512</v>
      </c>
    </row>
    <row r="7017" spans="1:22">
      <c r="A7017" t="s">
        <v>196</v>
      </c>
      <c r="B7017">
        <v>85</v>
      </c>
      <c r="C7017" t="s">
        <v>2177</v>
      </c>
      <c r="D7017">
        <v>740</v>
      </c>
      <c r="E7017" t="s">
        <v>2208</v>
      </c>
      <c r="F7017">
        <v>1005</v>
      </c>
      <c r="G7017" t="s">
        <v>2177</v>
      </c>
      <c r="H7017">
        <v>2015</v>
      </c>
      <c r="I7017" t="s">
        <v>4</v>
      </c>
      <c r="J7017">
        <v>3015</v>
      </c>
      <c r="K7017" t="s">
        <v>4</v>
      </c>
      <c r="L7017">
        <v>4913</v>
      </c>
      <c r="M7017" t="s">
        <v>2271</v>
      </c>
      <c r="N7017" t="s">
        <v>602</v>
      </c>
      <c r="O7017">
        <v>4</v>
      </c>
      <c r="P7017">
        <v>5404</v>
      </c>
      <c r="Q7017" t="s">
        <v>1202</v>
      </c>
      <c r="R7017" t="s">
        <v>201</v>
      </c>
      <c r="S7017">
        <v>1</v>
      </c>
      <c r="T7017">
        <v>1</v>
      </c>
      <c r="U7017">
        <v>122928</v>
      </c>
      <c r="V7017">
        <v>122928</v>
      </c>
    </row>
    <row r="7018" spans="1:22">
      <c r="A7018" t="s">
        <v>196</v>
      </c>
      <c r="B7018">
        <v>85</v>
      </c>
      <c r="C7018" t="s">
        <v>2177</v>
      </c>
      <c r="D7018">
        <v>740</v>
      </c>
      <c r="E7018" t="s">
        <v>2208</v>
      </c>
      <c r="F7018">
        <v>1005</v>
      </c>
      <c r="G7018" t="s">
        <v>2177</v>
      </c>
      <c r="H7018">
        <v>2015</v>
      </c>
      <c r="I7018" t="s">
        <v>4</v>
      </c>
      <c r="J7018">
        <v>3015</v>
      </c>
      <c r="K7018" t="s">
        <v>4</v>
      </c>
      <c r="L7018">
        <v>4913</v>
      </c>
      <c r="M7018" t="s">
        <v>2271</v>
      </c>
      <c r="N7018" t="s">
        <v>602</v>
      </c>
      <c r="O7018">
        <v>4</v>
      </c>
      <c r="P7018">
        <v>5404</v>
      </c>
      <c r="Q7018" t="s">
        <v>1202</v>
      </c>
      <c r="R7018" t="s">
        <v>201</v>
      </c>
      <c r="S7018">
        <v>1</v>
      </c>
      <c r="T7018">
        <v>1</v>
      </c>
      <c r="U7018">
        <v>107628</v>
      </c>
      <c r="V7018">
        <v>107628</v>
      </c>
    </row>
    <row r="7019" spans="1:22">
      <c r="A7019" t="s">
        <v>196</v>
      </c>
      <c r="B7019">
        <v>85</v>
      </c>
      <c r="C7019" t="s">
        <v>2177</v>
      </c>
      <c r="D7019">
        <v>740</v>
      </c>
      <c r="E7019" t="s">
        <v>2208</v>
      </c>
      <c r="F7019">
        <v>1005</v>
      </c>
      <c r="G7019" t="s">
        <v>2177</v>
      </c>
      <c r="H7019">
        <v>2015</v>
      </c>
      <c r="I7019" t="s">
        <v>4</v>
      </c>
      <c r="J7019">
        <v>3015</v>
      </c>
      <c r="K7019" t="s">
        <v>4</v>
      </c>
      <c r="L7019">
        <v>4913</v>
      </c>
      <c r="M7019" t="s">
        <v>2271</v>
      </c>
      <c r="N7019" t="s">
        <v>602</v>
      </c>
      <c r="O7019">
        <v>4</v>
      </c>
      <c r="P7019">
        <v>5404</v>
      </c>
      <c r="Q7019" t="s">
        <v>1202</v>
      </c>
      <c r="R7019" t="s">
        <v>201</v>
      </c>
      <c r="S7019">
        <v>1</v>
      </c>
      <c r="T7019">
        <v>1</v>
      </c>
      <c r="U7019">
        <v>99408</v>
      </c>
      <c r="V7019">
        <v>99408</v>
      </c>
    </row>
    <row r="7020" spans="1:22">
      <c r="A7020" t="s">
        <v>196</v>
      </c>
      <c r="B7020">
        <v>85</v>
      </c>
      <c r="C7020" t="s">
        <v>2177</v>
      </c>
      <c r="D7020">
        <v>740</v>
      </c>
      <c r="E7020" t="s">
        <v>2208</v>
      </c>
      <c r="F7020">
        <v>1005</v>
      </c>
      <c r="G7020" t="s">
        <v>2177</v>
      </c>
      <c r="H7020">
        <v>2015</v>
      </c>
      <c r="I7020" t="s">
        <v>4</v>
      </c>
      <c r="J7020">
        <v>3015</v>
      </c>
      <c r="K7020" t="s">
        <v>4</v>
      </c>
      <c r="L7020">
        <v>4913</v>
      </c>
      <c r="M7020" t="s">
        <v>2271</v>
      </c>
      <c r="N7020" t="s">
        <v>356</v>
      </c>
      <c r="O7020">
        <v>4</v>
      </c>
      <c r="P7020">
        <v>5403</v>
      </c>
      <c r="Q7020" t="s">
        <v>2273</v>
      </c>
      <c r="R7020" t="s">
        <v>201</v>
      </c>
      <c r="S7020">
        <v>2</v>
      </c>
      <c r="T7020">
        <v>1</v>
      </c>
      <c r="U7020">
        <v>102516</v>
      </c>
      <c r="V7020">
        <v>205032</v>
      </c>
    </row>
    <row r="7021" spans="1:22">
      <c r="A7021" t="s">
        <v>196</v>
      </c>
      <c r="B7021">
        <v>85</v>
      </c>
      <c r="C7021" t="s">
        <v>2177</v>
      </c>
      <c r="D7021">
        <v>740</v>
      </c>
      <c r="E7021" t="s">
        <v>2208</v>
      </c>
      <c r="F7021">
        <v>1005</v>
      </c>
      <c r="G7021" t="s">
        <v>2177</v>
      </c>
      <c r="H7021">
        <v>2015</v>
      </c>
      <c r="I7021" t="s">
        <v>4</v>
      </c>
      <c r="J7021">
        <v>3015</v>
      </c>
      <c r="K7021" t="s">
        <v>4</v>
      </c>
      <c r="L7021">
        <v>4913</v>
      </c>
      <c r="M7021" t="s">
        <v>2271</v>
      </c>
      <c r="N7021" t="s">
        <v>1314</v>
      </c>
      <c r="O7021">
        <v>0</v>
      </c>
      <c r="P7021" t="s">
        <v>1471</v>
      </c>
      <c r="Q7021" t="s">
        <v>605</v>
      </c>
      <c r="R7021" t="s">
        <v>201</v>
      </c>
      <c r="S7021">
        <v>2</v>
      </c>
      <c r="T7021">
        <v>1</v>
      </c>
      <c r="U7021">
        <v>160680</v>
      </c>
      <c r="V7021">
        <v>321360</v>
      </c>
    </row>
    <row r="7022" spans="1:22">
      <c r="A7022" t="s">
        <v>196</v>
      </c>
      <c r="B7022">
        <v>85</v>
      </c>
      <c r="C7022" t="s">
        <v>2177</v>
      </c>
      <c r="D7022">
        <v>740</v>
      </c>
      <c r="E7022" t="s">
        <v>2208</v>
      </c>
      <c r="F7022">
        <v>1005</v>
      </c>
      <c r="G7022" t="s">
        <v>2177</v>
      </c>
      <c r="H7022">
        <v>2015</v>
      </c>
      <c r="I7022" t="s">
        <v>4</v>
      </c>
      <c r="J7022">
        <v>3015</v>
      </c>
      <c r="K7022" t="s">
        <v>4</v>
      </c>
      <c r="L7022">
        <v>4913</v>
      </c>
      <c r="M7022" t="s">
        <v>2271</v>
      </c>
      <c r="N7022" t="s">
        <v>249</v>
      </c>
      <c r="O7022">
        <v>10</v>
      </c>
      <c r="P7022">
        <v>310</v>
      </c>
      <c r="Q7022" t="s">
        <v>447</v>
      </c>
      <c r="R7022" t="s">
        <v>201</v>
      </c>
      <c r="S7022">
        <v>2</v>
      </c>
      <c r="T7022">
        <v>1</v>
      </c>
      <c r="U7022">
        <v>89112</v>
      </c>
      <c r="V7022">
        <v>178224</v>
      </c>
    </row>
    <row r="7023" spans="1:22">
      <c r="A7023" t="s">
        <v>196</v>
      </c>
      <c r="B7023">
        <v>85</v>
      </c>
      <c r="C7023" t="s">
        <v>2177</v>
      </c>
      <c r="D7023">
        <v>740</v>
      </c>
      <c r="E7023" t="s">
        <v>2208</v>
      </c>
      <c r="F7023">
        <v>1005</v>
      </c>
      <c r="G7023" t="s">
        <v>2177</v>
      </c>
      <c r="H7023">
        <v>2015</v>
      </c>
      <c r="I7023" t="s">
        <v>4</v>
      </c>
      <c r="J7023">
        <v>3015</v>
      </c>
      <c r="K7023" t="s">
        <v>4</v>
      </c>
      <c r="L7023">
        <v>4913</v>
      </c>
      <c r="M7023" t="s">
        <v>2271</v>
      </c>
      <c r="N7023" t="s">
        <v>199</v>
      </c>
      <c r="O7023">
        <v>0</v>
      </c>
      <c r="P7023">
        <v>15</v>
      </c>
      <c r="Q7023" t="s">
        <v>264</v>
      </c>
      <c r="R7023" t="s">
        <v>201</v>
      </c>
      <c r="S7023">
        <v>0</v>
      </c>
      <c r="T7023">
        <v>0</v>
      </c>
      <c r="U7023">
        <v>41702</v>
      </c>
      <c r="V7023">
        <v>41702</v>
      </c>
    </row>
    <row r="7024" spans="1:22">
      <c r="A7024" t="s">
        <v>196</v>
      </c>
      <c r="B7024">
        <v>85</v>
      </c>
      <c r="C7024" t="s">
        <v>2177</v>
      </c>
      <c r="D7024">
        <v>740</v>
      </c>
      <c r="E7024" t="s">
        <v>2208</v>
      </c>
      <c r="F7024">
        <v>1005</v>
      </c>
      <c r="G7024" t="s">
        <v>2177</v>
      </c>
      <c r="H7024">
        <v>2015</v>
      </c>
      <c r="I7024" t="s">
        <v>4</v>
      </c>
      <c r="J7024">
        <v>3015</v>
      </c>
      <c r="K7024" t="s">
        <v>4</v>
      </c>
      <c r="L7024">
        <v>4914</v>
      </c>
      <c r="M7024" t="s">
        <v>2274</v>
      </c>
      <c r="N7024" t="s">
        <v>372</v>
      </c>
      <c r="O7024">
        <v>1</v>
      </c>
      <c r="P7024">
        <v>6144</v>
      </c>
      <c r="Q7024" t="s">
        <v>1466</v>
      </c>
      <c r="R7024" t="s">
        <v>201</v>
      </c>
      <c r="S7024">
        <v>1</v>
      </c>
      <c r="T7024">
        <v>1</v>
      </c>
      <c r="U7024">
        <v>75336</v>
      </c>
      <c r="V7024">
        <v>75336</v>
      </c>
    </row>
    <row r="7025" spans="1:22">
      <c r="A7025" t="s">
        <v>196</v>
      </c>
      <c r="B7025">
        <v>85</v>
      </c>
      <c r="C7025" t="s">
        <v>2177</v>
      </c>
      <c r="D7025">
        <v>740</v>
      </c>
      <c r="E7025" t="s">
        <v>2208</v>
      </c>
      <c r="F7025">
        <v>1005</v>
      </c>
      <c r="G7025" t="s">
        <v>2177</v>
      </c>
      <c r="H7025">
        <v>2015</v>
      </c>
      <c r="I7025" t="s">
        <v>4</v>
      </c>
      <c r="J7025">
        <v>3015</v>
      </c>
      <c r="K7025" t="s">
        <v>4</v>
      </c>
      <c r="L7025">
        <v>4914</v>
      </c>
      <c r="M7025" t="s">
        <v>2274</v>
      </c>
      <c r="N7025" t="s">
        <v>602</v>
      </c>
      <c r="O7025">
        <v>4</v>
      </c>
      <c r="P7025">
        <v>2073</v>
      </c>
      <c r="Q7025" t="s">
        <v>1016</v>
      </c>
      <c r="R7025" t="s">
        <v>201</v>
      </c>
      <c r="S7025">
        <v>1</v>
      </c>
      <c r="T7025">
        <v>1</v>
      </c>
      <c r="U7025">
        <v>99408</v>
      </c>
      <c r="V7025">
        <v>99408</v>
      </c>
    </row>
    <row r="7026" spans="1:22">
      <c r="A7026" t="s">
        <v>196</v>
      </c>
      <c r="B7026">
        <v>85</v>
      </c>
      <c r="C7026" t="s">
        <v>2177</v>
      </c>
      <c r="D7026">
        <v>740</v>
      </c>
      <c r="E7026" t="s">
        <v>2208</v>
      </c>
      <c r="F7026">
        <v>1005</v>
      </c>
      <c r="G7026" t="s">
        <v>2177</v>
      </c>
      <c r="H7026">
        <v>2015</v>
      </c>
      <c r="I7026" t="s">
        <v>4</v>
      </c>
      <c r="J7026">
        <v>3015</v>
      </c>
      <c r="K7026" t="s">
        <v>4</v>
      </c>
      <c r="L7026">
        <v>4914</v>
      </c>
      <c r="M7026" t="s">
        <v>2274</v>
      </c>
      <c r="N7026" t="s">
        <v>249</v>
      </c>
      <c r="O7026">
        <v>10</v>
      </c>
      <c r="P7026">
        <v>310</v>
      </c>
      <c r="Q7026" t="s">
        <v>447</v>
      </c>
      <c r="R7026" t="s">
        <v>201</v>
      </c>
      <c r="S7026">
        <v>1</v>
      </c>
      <c r="T7026">
        <v>1</v>
      </c>
      <c r="U7026">
        <v>89112</v>
      </c>
      <c r="V7026">
        <v>89112</v>
      </c>
    </row>
    <row r="7027" spans="1:22">
      <c r="A7027" t="s">
        <v>196</v>
      </c>
      <c r="B7027">
        <v>85</v>
      </c>
      <c r="C7027" t="s">
        <v>2177</v>
      </c>
      <c r="D7027">
        <v>740</v>
      </c>
      <c r="E7027" t="s">
        <v>2208</v>
      </c>
      <c r="F7027">
        <v>1005</v>
      </c>
      <c r="G7027" t="s">
        <v>2177</v>
      </c>
      <c r="H7027">
        <v>2015</v>
      </c>
      <c r="I7027" t="s">
        <v>4</v>
      </c>
      <c r="J7027">
        <v>3015</v>
      </c>
      <c r="K7027" t="s">
        <v>4</v>
      </c>
      <c r="L7027">
        <v>4914</v>
      </c>
      <c r="M7027" t="s">
        <v>2274</v>
      </c>
      <c r="N7027" t="s">
        <v>199</v>
      </c>
      <c r="O7027">
        <v>0</v>
      </c>
      <c r="P7027">
        <v>15</v>
      </c>
      <c r="Q7027" t="s">
        <v>264</v>
      </c>
      <c r="R7027" t="s">
        <v>201</v>
      </c>
      <c r="S7027">
        <v>0</v>
      </c>
      <c r="T7027">
        <v>0</v>
      </c>
      <c r="U7027">
        <v>2136</v>
      </c>
      <c r="V7027">
        <v>2136</v>
      </c>
    </row>
    <row r="7028" spans="1:22">
      <c r="A7028" t="s">
        <v>196</v>
      </c>
      <c r="B7028">
        <v>85</v>
      </c>
      <c r="C7028" t="s">
        <v>2177</v>
      </c>
      <c r="D7028">
        <v>740</v>
      </c>
      <c r="E7028" t="s">
        <v>2208</v>
      </c>
      <c r="F7028">
        <v>1005</v>
      </c>
      <c r="G7028" t="s">
        <v>2177</v>
      </c>
      <c r="H7028">
        <v>2015</v>
      </c>
      <c r="I7028" t="s">
        <v>4</v>
      </c>
      <c r="J7028">
        <v>3015</v>
      </c>
      <c r="K7028" t="s">
        <v>4</v>
      </c>
      <c r="L7028">
        <v>4915</v>
      </c>
      <c r="M7028" t="s">
        <v>2275</v>
      </c>
      <c r="N7028" t="s">
        <v>1314</v>
      </c>
      <c r="O7028">
        <v>0</v>
      </c>
      <c r="P7028" t="s">
        <v>1471</v>
      </c>
      <c r="Q7028" t="s">
        <v>605</v>
      </c>
      <c r="R7028" t="s">
        <v>201</v>
      </c>
      <c r="S7028">
        <v>1</v>
      </c>
      <c r="T7028">
        <v>1</v>
      </c>
      <c r="U7028">
        <v>160680</v>
      </c>
      <c r="V7028">
        <v>160680</v>
      </c>
    </row>
    <row r="7029" spans="1:22">
      <c r="A7029" t="s">
        <v>196</v>
      </c>
      <c r="B7029">
        <v>85</v>
      </c>
      <c r="C7029" t="s">
        <v>2177</v>
      </c>
      <c r="D7029">
        <v>740</v>
      </c>
      <c r="E7029" t="s">
        <v>2208</v>
      </c>
      <c r="F7029">
        <v>1005</v>
      </c>
      <c r="G7029" t="s">
        <v>2177</v>
      </c>
      <c r="H7029">
        <v>2015</v>
      </c>
      <c r="I7029" t="s">
        <v>4</v>
      </c>
      <c r="J7029">
        <v>3015</v>
      </c>
      <c r="K7029" t="s">
        <v>4</v>
      </c>
      <c r="L7029">
        <v>4915</v>
      </c>
      <c r="M7029" t="s">
        <v>2275</v>
      </c>
      <c r="N7029" t="s">
        <v>249</v>
      </c>
      <c r="O7029">
        <v>10</v>
      </c>
      <c r="P7029">
        <v>311</v>
      </c>
      <c r="Q7029" t="s">
        <v>661</v>
      </c>
      <c r="R7029" t="s">
        <v>201</v>
      </c>
      <c r="S7029">
        <v>1</v>
      </c>
      <c r="T7029">
        <v>1</v>
      </c>
      <c r="U7029">
        <v>89112</v>
      </c>
      <c r="V7029">
        <v>89112</v>
      </c>
    </row>
    <row r="7030" spans="1:22">
      <c r="A7030" t="s">
        <v>196</v>
      </c>
      <c r="B7030">
        <v>85</v>
      </c>
      <c r="C7030" t="s">
        <v>2177</v>
      </c>
      <c r="D7030">
        <v>740</v>
      </c>
      <c r="E7030" t="s">
        <v>2208</v>
      </c>
      <c r="F7030">
        <v>1005</v>
      </c>
      <c r="G7030" t="s">
        <v>2177</v>
      </c>
      <c r="H7030">
        <v>2015</v>
      </c>
      <c r="I7030" t="s">
        <v>4</v>
      </c>
      <c r="J7030">
        <v>3015</v>
      </c>
      <c r="K7030" t="s">
        <v>4</v>
      </c>
      <c r="L7030">
        <v>4915</v>
      </c>
      <c r="M7030" t="s">
        <v>2275</v>
      </c>
      <c r="N7030" t="s">
        <v>249</v>
      </c>
      <c r="O7030">
        <v>10</v>
      </c>
      <c r="P7030">
        <v>310</v>
      </c>
      <c r="Q7030" t="s">
        <v>447</v>
      </c>
      <c r="R7030" t="s">
        <v>201</v>
      </c>
      <c r="S7030">
        <v>1</v>
      </c>
      <c r="T7030">
        <v>1</v>
      </c>
      <c r="U7030">
        <v>93384</v>
      </c>
      <c r="V7030">
        <v>93384</v>
      </c>
    </row>
    <row r="7031" spans="1:22">
      <c r="A7031" t="s">
        <v>196</v>
      </c>
      <c r="B7031">
        <v>85</v>
      </c>
      <c r="C7031" t="s">
        <v>2177</v>
      </c>
      <c r="D7031">
        <v>740</v>
      </c>
      <c r="E7031" t="s">
        <v>2208</v>
      </c>
      <c r="F7031">
        <v>1005</v>
      </c>
      <c r="G7031" t="s">
        <v>2177</v>
      </c>
      <c r="H7031">
        <v>2015</v>
      </c>
      <c r="I7031" t="s">
        <v>4</v>
      </c>
      <c r="J7031">
        <v>3015</v>
      </c>
      <c r="K7031" t="s">
        <v>4</v>
      </c>
      <c r="L7031">
        <v>4915</v>
      </c>
      <c r="M7031" t="s">
        <v>2275</v>
      </c>
      <c r="N7031" t="s">
        <v>249</v>
      </c>
      <c r="O7031">
        <v>10</v>
      </c>
      <c r="P7031">
        <v>310</v>
      </c>
      <c r="Q7031" t="s">
        <v>447</v>
      </c>
      <c r="R7031" t="s">
        <v>201</v>
      </c>
      <c r="S7031">
        <v>1</v>
      </c>
      <c r="T7031">
        <v>1</v>
      </c>
      <c r="U7031">
        <v>89112</v>
      </c>
      <c r="V7031">
        <v>89112</v>
      </c>
    </row>
    <row r="7032" spans="1:22">
      <c r="A7032" t="s">
        <v>196</v>
      </c>
      <c r="B7032">
        <v>85</v>
      </c>
      <c r="C7032" t="s">
        <v>2177</v>
      </c>
      <c r="D7032">
        <v>740</v>
      </c>
      <c r="E7032" t="s">
        <v>2208</v>
      </c>
      <c r="F7032">
        <v>1005</v>
      </c>
      <c r="G7032" t="s">
        <v>2177</v>
      </c>
      <c r="H7032">
        <v>2015</v>
      </c>
      <c r="I7032" t="s">
        <v>4</v>
      </c>
      <c r="J7032">
        <v>3015</v>
      </c>
      <c r="K7032" t="s">
        <v>4</v>
      </c>
      <c r="L7032">
        <v>4915</v>
      </c>
      <c r="M7032" t="s">
        <v>2275</v>
      </c>
      <c r="N7032" t="s">
        <v>199</v>
      </c>
      <c r="O7032">
        <v>0</v>
      </c>
      <c r="P7032">
        <v>15</v>
      </c>
      <c r="Q7032" t="s">
        <v>264</v>
      </c>
      <c r="R7032" t="s">
        <v>201</v>
      </c>
      <c r="S7032">
        <v>0</v>
      </c>
      <c r="T7032">
        <v>0</v>
      </c>
      <c r="U7032">
        <v>7530</v>
      </c>
      <c r="V7032">
        <v>7530</v>
      </c>
    </row>
    <row r="7033" spans="1:22">
      <c r="A7033" t="s">
        <v>196</v>
      </c>
      <c r="B7033">
        <v>85</v>
      </c>
      <c r="C7033" t="s">
        <v>2177</v>
      </c>
      <c r="D7033">
        <v>740</v>
      </c>
      <c r="E7033" t="s">
        <v>2208</v>
      </c>
      <c r="F7033">
        <v>1005</v>
      </c>
      <c r="G7033" t="s">
        <v>2177</v>
      </c>
      <c r="H7033">
        <v>2015</v>
      </c>
      <c r="I7033" t="s">
        <v>4</v>
      </c>
      <c r="J7033">
        <v>3015</v>
      </c>
      <c r="K7033" t="s">
        <v>4</v>
      </c>
      <c r="L7033">
        <v>4916</v>
      </c>
      <c r="M7033" t="s">
        <v>2276</v>
      </c>
      <c r="N7033" t="s">
        <v>1294</v>
      </c>
      <c r="O7033">
        <v>0</v>
      </c>
      <c r="P7033">
        <v>9681</v>
      </c>
      <c r="Q7033" t="s">
        <v>338</v>
      </c>
      <c r="R7033" t="s">
        <v>201</v>
      </c>
      <c r="S7033">
        <v>1</v>
      </c>
      <c r="T7033">
        <v>1</v>
      </c>
      <c r="U7033">
        <v>184584</v>
      </c>
      <c r="V7033">
        <v>184584</v>
      </c>
    </row>
    <row r="7034" spans="1:22">
      <c r="A7034" t="s">
        <v>196</v>
      </c>
      <c r="B7034">
        <v>85</v>
      </c>
      <c r="C7034" t="s">
        <v>2177</v>
      </c>
      <c r="D7034">
        <v>740</v>
      </c>
      <c r="E7034" t="s">
        <v>2208</v>
      </c>
      <c r="F7034">
        <v>1005</v>
      </c>
      <c r="G7034" t="s">
        <v>2177</v>
      </c>
      <c r="H7034">
        <v>2015</v>
      </c>
      <c r="I7034" t="s">
        <v>4</v>
      </c>
      <c r="J7034">
        <v>3015</v>
      </c>
      <c r="K7034" t="s">
        <v>4</v>
      </c>
      <c r="L7034">
        <v>4916</v>
      </c>
      <c r="M7034" t="s">
        <v>2276</v>
      </c>
      <c r="N7034" t="s">
        <v>602</v>
      </c>
      <c r="O7034">
        <v>4</v>
      </c>
      <c r="P7034">
        <v>2073</v>
      </c>
      <c r="Q7034" t="s">
        <v>1016</v>
      </c>
      <c r="R7034" t="s">
        <v>201</v>
      </c>
      <c r="S7034">
        <v>1</v>
      </c>
      <c r="T7034">
        <v>1</v>
      </c>
      <c r="U7034">
        <v>122928</v>
      </c>
      <c r="V7034">
        <v>122928</v>
      </c>
    </row>
    <row r="7035" spans="1:22">
      <c r="A7035" t="s">
        <v>196</v>
      </c>
      <c r="B7035">
        <v>85</v>
      </c>
      <c r="C7035" t="s">
        <v>2177</v>
      </c>
      <c r="D7035">
        <v>740</v>
      </c>
      <c r="E7035" t="s">
        <v>2208</v>
      </c>
      <c r="F7035">
        <v>1005</v>
      </c>
      <c r="G7035" t="s">
        <v>2177</v>
      </c>
      <c r="H7035">
        <v>2015</v>
      </c>
      <c r="I7035" t="s">
        <v>4</v>
      </c>
      <c r="J7035">
        <v>3015</v>
      </c>
      <c r="K7035" t="s">
        <v>4</v>
      </c>
      <c r="L7035">
        <v>4916</v>
      </c>
      <c r="M7035" t="s">
        <v>2276</v>
      </c>
      <c r="N7035" t="s">
        <v>602</v>
      </c>
      <c r="O7035">
        <v>4</v>
      </c>
      <c r="P7035">
        <v>2073</v>
      </c>
      <c r="Q7035" t="s">
        <v>1016</v>
      </c>
      <c r="R7035" t="s">
        <v>201</v>
      </c>
      <c r="S7035">
        <v>2</v>
      </c>
      <c r="T7035">
        <v>1</v>
      </c>
      <c r="U7035">
        <v>112536</v>
      </c>
      <c r="V7035">
        <v>225072</v>
      </c>
    </row>
    <row r="7036" spans="1:22">
      <c r="A7036" t="s">
        <v>196</v>
      </c>
      <c r="B7036">
        <v>85</v>
      </c>
      <c r="C7036" t="s">
        <v>2177</v>
      </c>
      <c r="D7036">
        <v>740</v>
      </c>
      <c r="E7036" t="s">
        <v>2208</v>
      </c>
      <c r="F7036">
        <v>1005</v>
      </c>
      <c r="G7036" t="s">
        <v>2177</v>
      </c>
      <c r="H7036">
        <v>2015</v>
      </c>
      <c r="I7036" t="s">
        <v>4</v>
      </c>
      <c r="J7036">
        <v>3015</v>
      </c>
      <c r="K7036" t="s">
        <v>4</v>
      </c>
      <c r="L7036">
        <v>4916</v>
      </c>
      <c r="M7036" t="s">
        <v>2276</v>
      </c>
      <c r="N7036" t="s">
        <v>602</v>
      </c>
      <c r="O7036">
        <v>4</v>
      </c>
      <c r="P7036">
        <v>2073</v>
      </c>
      <c r="Q7036" t="s">
        <v>1016</v>
      </c>
      <c r="R7036" t="s">
        <v>201</v>
      </c>
      <c r="S7036">
        <v>1</v>
      </c>
      <c r="T7036">
        <v>1</v>
      </c>
      <c r="U7036">
        <v>99408</v>
      </c>
      <c r="V7036">
        <v>99408</v>
      </c>
    </row>
    <row r="7037" spans="1:22">
      <c r="A7037" t="s">
        <v>196</v>
      </c>
      <c r="B7037">
        <v>85</v>
      </c>
      <c r="C7037" t="s">
        <v>2177</v>
      </c>
      <c r="D7037">
        <v>740</v>
      </c>
      <c r="E7037" t="s">
        <v>2208</v>
      </c>
      <c r="F7037">
        <v>1005</v>
      </c>
      <c r="G7037" t="s">
        <v>2177</v>
      </c>
      <c r="H7037">
        <v>2015</v>
      </c>
      <c r="I7037" t="s">
        <v>4</v>
      </c>
      <c r="J7037">
        <v>3015</v>
      </c>
      <c r="K7037" t="s">
        <v>4</v>
      </c>
      <c r="L7037">
        <v>4916</v>
      </c>
      <c r="M7037" t="s">
        <v>2276</v>
      </c>
      <c r="N7037" t="s">
        <v>1314</v>
      </c>
      <c r="O7037">
        <v>0</v>
      </c>
      <c r="P7037" t="s">
        <v>1471</v>
      </c>
      <c r="Q7037" t="s">
        <v>605</v>
      </c>
      <c r="R7037" t="s">
        <v>201</v>
      </c>
      <c r="S7037">
        <v>1</v>
      </c>
      <c r="T7037">
        <v>1</v>
      </c>
      <c r="U7037">
        <v>150768</v>
      </c>
      <c r="V7037">
        <v>150768</v>
      </c>
    </row>
    <row r="7038" spans="1:22">
      <c r="A7038" t="s">
        <v>196</v>
      </c>
      <c r="B7038">
        <v>85</v>
      </c>
      <c r="C7038" t="s">
        <v>2177</v>
      </c>
      <c r="D7038">
        <v>740</v>
      </c>
      <c r="E7038" t="s">
        <v>2208</v>
      </c>
      <c r="F7038">
        <v>1005</v>
      </c>
      <c r="G7038" t="s">
        <v>2177</v>
      </c>
      <c r="H7038">
        <v>2015</v>
      </c>
      <c r="I7038" t="s">
        <v>4</v>
      </c>
      <c r="J7038">
        <v>3015</v>
      </c>
      <c r="K7038" t="s">
        <v>4</v>
      </c>
      <c r="L7038">
        <v>4916</v>
      </c>
      <c r="M7038" t="s">
        <v>2276</v>
      </c>
      <c r="N7038" t="s">
        <v>341</v>
      </c>
      <c r="O7038">
        <v>1</v>
      </c>
      <c r="P7038">
        <v>308</v>
      </c>
      <c r="Q7038" t="s">
        <v>355</v>
      </c>
      <c r="R7038" t="s">
        <v>201</v>
      </c>
      <c r="S7038">
        <v>1</v>
      </c>
      <c r="T7038">
        <v>1</v>
      </c>
      <c r="U7038">
        <v>77640</v>
      </c>
      <c r="V7038">
        <v>77640</v>
      </c>
    </row>
    <row r="7039" spans="1:22">
      <c r="A7039" t="s">
        <v>196</v>
      </c>
      <c r="B7039">
        <v>85</v>
      </c>
      <c r="C7039" t="s">
        <v>2177</v>
      </c>
      <c r="D7039">
        <v>740</v>
      </c>
      <c r="E7039" t="s">
        <v>2208</v>
      </c>
      <c r="F7039">
        <v>1005</v>
      </c>
      <c r="G7039" t="s">
        <v>2177</v>
      </c>
      <c r="H7039">
        <v>2015</v>
      </c>
      <c r="I7039" t="s">
        <v>4</v>
      </c>
      <c r="J7039">
        <v>3015</v>
      </c>
      <c r="K7039" t="s">
        <v>4</v>
      </c>
      <c r="L7039">
        <v>4916</v>
      </c>
      <c r="M7039" t="s">
        <v>2276</v>
      </c>
      <c r="N7039" t="s">
        <v>199</v>
      </c>
      <c r="O7039">
        <v>0</v>
      </c>
      <c r="P7039">
        <v>15</v>
      </c>
      <c r="Q7039" t="s">
        <v>264</v>
      </c>
      <c r="R7039" t="s">
        <v>201</v>
      </c>
      <c r="S7039">
        <v>0</v>
      </c>
      <c r="T7039">
        <v>0</v>
      </c>
      <c r="U7039">
        <v>22380</v>
      </c>
      <c r="V7039">
        <v>22380</v>
      </c>
    </row>
    <row r="7040" spans="1:22">
      <c r="A7040" t="s">
        <v>196</v>
      </c>
      <c r="B7040">
        <v>85</v>
      </c>
      <c r="C7040" t="s">
        <v>2177</v>
      </c>
      <c r="D7040">
        <v>740</v>
      </c>
      <c r="E7040" t="s">
        <v>2208</v>
      </c>
      <c r="F7040">
        <v>1005</v>
      </c>
      <c r="G7040" t="s">
        <v>2177</v>
      </c>
      <c r="H7040">
        <v>2015</v>
      </c>
      <c r="I7040" t="s">
        <v>4</v>
      </c>
      <c r="J7040">
        <v>3015</v>
      </c>
      <c r="K7040" t="s">
        <v>4</v>
      </c>
      <c r="L7040">
        <v>4917</v>
      </c>
      <c r="M7040" t="s">
        <v>2277</v>
      </c>
      <c r="N7040" t="s">
        <v>271</v>
      </c>
      <c r="O7040">
        <v>0</v>
      </c>
      <c r="P7040" t="s">
        <v>2278</v>
      </c>
      <c r="Q7040" t="s">
        <v>2279</v>
      </c>
      <c r="R7040" t="s">
        <v>201</v>
      </c>
      <c r="S7040">
        <v>1</v>
      </c>
      <c r="T7040">
        <v>1</v>
      </c>
      <c r="U7040">
        <v>115992</v>
      </c>
      <c r="V7040">
        <v>115992</v>
      </c>
    </row>
    <row r="7041" spans="1:22">
      <c r="A7041" t="s">
        <v>196</v>
      </c>
      <c r="B7041">
        <v>85</v>
      </c>
      <c r="C7041" t="s">
        <v>2177</v>
      </c>
      <c r="D7041">
        <v>740</v>
      </c>
      <c r="E7041" t="s">
        <v>2208</v>
      </c>
      <c r="F7041">
        <v>1005</v>
      </c>
      <c r="G7041" t="s">
        <v>2177</v>
      </c>
      <c r="H7041">
        <v>2015</v>
      </c>
      <c r="I7041" t="s">
        <v>4</v>
      </c>
      <c r="J7041">
        <v>3015</v>
      </c>
      <c r="K7041" t="s">
        <v>4</v>
      </c>
      <c r="L7041">
        <v>4917</v>
      </c>
      <c r="M7041" t="s">
        <v>2277</v>
      </c>
      <c r="N7041" t="s">
        <v>333</v>
      </c>
      <c r="O7041">
        <v>4</v>
      </c>
      <c r="P7041">
        <v>624</v>
      </c>
      <c r="Q7041" t="s">
        <v>2280</v>
      </c>
      <c r="R7041" t="s">
        <v>201</v>
      </c>
      <c r="S7041">
        <v>2</v>
      </c>
      <c r="T7041">
        <v>1</v>
      </c>
      <c r="U7041">
        <v>134184</v>
      </c>
      <c r="V7041">
        <v>268368</v>
      </c>
    </row>
    <row r="7042" spans="1:22">
      <c r="A7042" t="s">
        <v>196</v>
      </c>
      <c r="B7042">
        <v>85</v>
      </c>
      <c r="C7042" t="s">
        <v>2177</v>
      </c>
      <c r="D7042">
        <v>740</v>
      </c>
      <c r="E7042" t="s">
        <v>2208</v>
      </c>
      <c r="F7042">
        <v>1005</v>
      </c>
      <c r="G7042" t="s">
        <v>2177</v>
      </c>
      <c r="H7042">
        <v>2015</v>
      </c>
      <c r="I7042" t="s">
        <v>4</v>
      </c>
      <c r="J7042">
        <v>3015</v>
      </c>
      <c r="K7042" t="s">
        <v>4</v>
      </c>
      <c r="L7042">
        <v>4917</v>
      </c>
      <c r="M7042" t="s">
        <v>2277</v>
      </c>
      <c r="N7042" t="s">
        <v>333</v>
      </c>
      <c r="O7042">
        <v>4</v>
      </c>
      <c r="P7042">
        <v>624</v>
      </c>
      <c r="Q7042" t="s">
        <v>2280</v>
      </c>
      <c r="R7042" t="s">
        <v>201</v>
      </c>
      <c r="S7042">
        <v>1</v>
      </c>
      <c r="T7042">
        <v>1</v>
      </c>
      <c r="U7042">
        <v>128316</v>
      </c>
      <c r="V7042">
        <v>128316</v>
      </c>
    </row>
    <row r="7043" spans="1:22">
      <c r="A7043" t="s">
        <v>196</v>
      </c>
      <c r="B7043">
        <v>85</v>
      </c>
      <c r="C7043" t="s">
        <v>2177</v>
      </c>
      <c r="D7043">
        <v>740</v>
      </c>
      <c r="E7043" t="s">
        <v>2208</v>
      </c>
      <c r="F7043">
        <v>1005</v>
      </c>
      <c r="G7043" t="s">
        <v>2177</v>
      </c>
      <c r="H7043">
        <v>2015</v>
      </c>
      <c r="I7043" t="s">
        <v>4</v>
      </c>
      <c r="J7043">
        <v>3015</v>
      </c>
      <c r="K7043" t="s">
        <v>4</v>
      </c>
      <c r="L7043">
        <v>4917</v>
      </c>
      <c r="M7043" t="s">
        <v>2277</v>
      </c>
      <c r="N7043" t="s">
        <v>372</v>
      </c>
      <c r="O7043">
        <v>4</v>
      </c>
      <c r="P7043">
        <v>620</v>
      </c>
      <c r="Q7043" t="s">
        <v>2129</v>
      </c>
      <c r="R7043" t="s">
        <v>201</v>
      </c>
      <c r="S7043">
        <v>1</v>
      </c>
      <c r="T7043">
        <v>1</v>
      </c>
      <c r="U7043">
        <v>75336</v>
      </c>
      <c r="V7043">
        <v>75336</v>
      </c>
    </row>
    <row r="7044" spans="1:22">
      <c r="A7044" t="s">
        <v>196</v>
      </c>
      <c r="B7044">
        <v>85</v>
      </c>
      <c r="C7044" t="s">
        <v>2177</v>
      </c>
      <c r="D7044">
        <v>740</v>
      </c>
      <c r="E7044" t="s">
        <v>2208</v>
      </c>
      <c r="F7044">
        <v>1005</v>
      </c>
      <c r="G7044" t="s">
        <v>2177</v>
      </c>
      <c r="H7044">
        <v>2015</v>
      </c>
      <c r="I7044" t="s">
        <v>4</v>
      </c>
      <c r="J7044">
        <v>3015</v>
      </c>
      <c r="K7044" t="s">
        <v>4</v>
      </c>
      <c r="L7044">
        <v>4917</v>
      </c>
      <c r="M7044" t="s">
        <v>2277</v>
      </c>
      <c r="N7044" t="s">
        <v>1314</v>
      </c>
      <c r="O7044">
        <v>0</v>
      </c>
      <c r="P7044" t="s">
        <v>1471</v>
      </c>
      <c r="Q7044" t="s">
        <v>605</v>
      </c>
      <c r="R7044" t="s">
        <v>201</v>
      </c>
      <c r="S7044">
        <v>1</v>
      </c>
      <c r="T7044">
        <v>1</v>
      </c>
      <c r="U7044">
        <v>133836</v>
      </c>
      <c r="V7044">
        <v>133836</v>
      </c>
    </row>
    <row r="7045" spans="1:22">
      <c r="A7045" t="s">
        <v>196</v>
      </c>
      <c r="B7045">
        <v>85</v>
      </c>
      <c r="C7045" t="s">
        <v>2177</v>
      </c>
      <c r="D7045">
        <v>740</v>
      </c>
      <c r="E7045" t="s">
        <v>2208</v>
      </c>
      <c r="F7045">
        <v>1005</v>
      </c>
      <c r="G7045" t="s">
        <v>2177</v>
      </c>
      <c r="H7045">
        <v>2015</v>
      </c>
      <c r="I7045" t="s">
        <v>4</v>
      </c>
      <c r="J7045">
        <v>3015</v>
      </c>
      <c r="K7045" t="s">
        <v>4</v>
      </c>
      <c r="L7045">
        <v>4917</v>
      </c>
      <c r="M7045" t="s">
        <v>2277</v>
      </c>
      <c r="N7045" t="s">
        <v>249</v>
      </c>
      <c r="O7045">
        <v>10</v>
      </c>
      <c r="P7045">
        <v>310</v>
      </c>
      <c r="Q7045" t="s">
        <v>447</v>
      </c>
      <c r="R7045" t="s">
        <v>201</v>
      </c>
      <c r="S7045">
        <v>1</v>
      </c>
      <c r="T7045">
        <v>1</v>
      </c>
      <c r="U7045">
        <v>118956</v>
      </c>
      <c r="V7045">
        <v>118956</v>
      </c>
    </row>
    <row r="7046" spans="1:22">
      <c r="A7046" t="s">
        <v>196</v>
      </c>
      <c r="B7046">
        <v>85</v>
      </c>
      <c r="C7046" t="s">
        <v>2177</v>
      </c>
      <c r="D7046">
        <v>740</v>
      </c>
      <c r="E7046" t="s">
        <v>2208</v>
      </c>
      <c r="F7046">
        <v>1005</v>
      </c>
      <c r="G7046" t="s">
        <v>2177</v>
      </c>
      <c r="H7046">
        <v>2015</v>
      </c>
      <c r="I7046" t="s">
        <v>4</v>
      </c>
      <c r="J7046">
        <v>3015</v>
      </c>
      <c r="K7046" t="s">
        <v>4</v>
      </c>
      <c r="L7046">
        <v>4917</v>
      </c>
      <c r="M7046" t="s">
        <v>2277</v>
      </c>
      <c r="N7046" t="s">
        <v>249</v>
      </c>
      <c r="O7046">
        <v>10</v>
      </c>
      <c r="P7046">
        <v>310</v>
      </c>
      <c r="Q7046" t="s">
        <v>447</v>
      </c>
      <c r="R7046" t="s">
        <v>201</v>
      </c>
      <c r="S7046">
        <v>1</v>
      </c>
      <c r="T7046">
        <v>1</v>
      </c>
      <c r="U7046">
        <v>102444</v>
      </c>
      <c r="V7046">
        <v>102444</v>
      </c>
    </row>
    <row r="7047" spans="1:22">
      <c r="A7047" t="s">
        <v>196</v>
      </c>
      <c r="B7047">
        <v>85</v>
      </c>
      <c r="C7047" t="s">
        <v>2177</v>
      </c>
      <c r="D7047">
        <v>740</v>
      </c>
      <c r="E7047" t="s">
        <v>2208</v>
      </c>
      <c r="F7047">
        <v>1005</v>
      </c>
      <c r="G7047" t="s">
        <v>2177</v>
      </c>
      <c r="H7047">
        <v>2015</v>
      </c>
      <c r="I7047" t="s">
        <v>4</v>
      </c>
      <c r="J7047">
        <v>3015</v>
      </c>
      <c r="K7047" t="s">
        <v>4</v>
      </c>
      <c r="L7047">
        <v>4917</v>
      </c>
      <c r="M7047" t="s">
        <v>2277</v>
      </c>
      <c r="N7047" t="s">
        <v>199</v>
      </c>
      <c r="O7047">
        <v>0</v>
      </c>
      <c r="P7047">
        <v>15</v>
      </c>
      <c r="Q7047" t="s">
        <v>264</v>
      </c>
      <c r="R7047" t="s">
        <v>201</v>
      </c>
      <c r="S7047">
        <v>0</v>
      </c>
      <c r="T7047">
        <v>0</v>
      </c>
      <c r="U7047">
        <v>19497</v>
      </c>
      <c r="V7047">
        <v>19497</v>
      </c>
    </row>
    <row r="7048" spans="1:22">
      <c r="A7048" t="s">
        <v>196</v>
      </c>
      <c r="B7048">
        <v>85</v>
      </c>
      <c r="C7048" t="s">
        <v>2177</v>
      </c>
      <c r="D7048">
        <v>740</v>
      </c>
      <c r="E7048" t="s">
        <v>2208</v>
      </c>
      <c r="F7048">
        <v>1005</v>
      </c>
      <c r="G7048" t="s">
        <v>2177</v>
      </c>
      <c r="H7048">
        <v>2015</v>
      </c>
      <c r="I7048" t="s">
        <v>4</v>
      </c>
      <c r="J7048">
        <v>3015</v>
      </c>
      <c r="K7048" t="s">
        <v>4</v>
      </c>
      <c r="L7048">
        <v>4918</v>
      </c>
      <c r="M7048" t="s">
        <v>2281</v>
      </c>
      <c r="N7048" t="s">
        <v>1314</v>
      </c>
      <c r="O7048">
        <v>0</v>
      </c>
      <c r="P7048">
        <v>2906</v>
      </c>
      <c r="Q7048" t="s">
        <v>2265</v>
      </c>
      <c r="R7048" t="s">
        <v>201</v>
      </c>
      <c r="S7048">
        <v>1</v>
      </c>
      <c r="T7048">
        <v>1</v>
      </c>
      <c r="U7048">
        <v>160680</v>
      </c>
      <c r="V7048">
        <v>160680</v>
      </c>
    </row>
    <row r="7049" spans="1:22">
      <c r="A7049" t="s">
        <v>196</v>
      </c>
      <c r="B7049">
        <v>85</v>
      </c>
      <c r="C7049" t="s">
        <v>2177</v>
      </c>
      <c r="D7049">
        <v>740</v>
      </c>
      <c r="E7049" t="s">
        <v>2208</v>
      </c>
      <c r="F7049">
        <v>1005</v>
      </c>
      <c r="G7049" t="s">
        <v>2177</v>
      </c>
      <c r="H7049">
        <v>2015</v>
      </c>
      <c r="I7049" t="s">
        <v>4</v>
      </c>
      <c r="J7049">
        <v>3015</v>
      </c>
      <c r="K7049" t="s">
        <v>4</v>
      </c>
      <c r="L7049">
        <v>4918</v>
      </c>
      <c r="M7049" t="s">
        <v>2281</v>
      </c>
      <c r="N7049" t="s">
        <v>297</v>
      </c>
      <c r="O7049">
        <v>20</v>
      </c>
      <c r="P7049">
        <v>1441</v>
      </c>
      <c r="Q7049" t="s">
        <v>1122</v>
      </c>
      <c r="R7049" t="s">
        <v>201</v>
      </c>
      <c r="S7049">
        <v>1</v>
      </c>
      <c r="T7049">
        <v>1</v>
      </c>
      <c r="U7049">
        <v>106272</v>
      </c>
      <c r="V7049">
        <v>106272</v>
      </c>
    </row>
    <row r="7050" spans="1:22">
      <c r="A7050" t="s">
        <v>196</v>
      </c>
      <c r="B7050">
        <v>85</v>
      </c>
      <c r="C7050" t="s">
        <v>2177</v>
      </c>
      <c r="D7050">
        <v>740</v>
      </c>
      <c r="E7050" t="s">
        <v>2208</v>
      </c>
      <c r="F7050">
        <v>1005</v>
      </c>
      <c r="G7050" t="s">
        <v>2177</v>
      </c>
      <c r="H7050">
        <v>2015</v>
      </c>
      <c r="I7050" t="s">
        <v>4</v>
      </c>
      <c r="J7050">
        <v>3015</v>
      </c>
      <c r="K7050" t="s">
        <v>4</v>
      </c>
      <c r="L7050">
        <v>4918</v>
      </c>
      <c r="M7050" t="s">
        <v>2281</v>
      </c>
      <c r="N7050" t="s">
        <v>297</v>
      </c>
      <c r="O7050">
        <v>20</v>
      </c>
      <c r="P7050">
        <v>1441</v>
      </c>
      <c r="Q7050" t="s">
        <v>1122</v>
      </c>
      <c r="R7050" t="s">
        <v>201</v>
      </c>
      <c r="S7050">
        <v>1</v>
      </c>
      <c r="T7050">
        <v>1</v>
      </c>
      <c r="U7050">
        <v>97332</v>
      </c>
      <c r="V7050">
        <v>97332</v>
      </c>
    </row>
    <row r="7051" spans="1:22">
      <c r="A7051" t="s">
        <v>196</v>
      </c>
      <c r="B7051">
        <v>85</v>
      </c>
      <c r="C7051" t="s">
        <v>2177</v>
      </c>
      <c r="D7051">
        <v>740</v>
      </c>
      <c r="E7051" t="s">
        <v>2208</v>
      </c>
      <c r="F7051">
        <v>1005</v>
      </c>
      <c r="G7051" t="s">
        <v>2177</v>
      </c>
      <c r="H7051">
        <v>2015</v>
      </c>
      <c r="I7051" t="s">
        <v>4</v>
      </c>
      <c r="J7051">
        <v>3015</v>
      </c>
      <c r="K7051" t="s">
        <v>4</v>
      </c>
      <c r="L7051">
        <v>4918</v>
      </c>
      <c r="M7051" t="s">
        <v>2281</v>
      </c>
      <c r="N7051" t="s">
        <v>245</v>
      </c>
      <c r="O7051">
        <v>20</v>
      </c>
      <c r="P7051">
        <v>1440</v>
      </c>
      <c r="Q7051" t="s">
        <v>1799</v>
      </c>
      <c r="R7051" t="s">
        <v>201</v>
      </c>
      <c r="S7051">
        <v>1</v>
      </c>
      <c r="T7051">
        <v>1</v>
      </c>
      <c r="U7051">
        <v>111000</v>
      </c>
      <c r="V7051">
        <v>111000</v>
      </c>
    </row>
    <row r="7052" spans="1:22">
      <c r="A7052" t="s">
        <v>196</v>
      </c>
      <c r="B7052">
        <v>85</v>
      </c>
      <c r="C7052" t="s">
        <v>2177</v>
      </c>
      <c r="D7052">
        <v>740</v>
      </c>
      <c r="E7052" t="s">
        <v>2208</v>
      </c>
      <c r="F7052">
        <v>1005</v>
      </c>
      <c r="G7052" t="s">
        <v>2177</v>
      </c>
      <c r="H7052">
        <v>2015</v>
      </c>
      <c r="I7052" t="s">
        <v>4</v>
      </c>
      <c r="J7052">
        <v>3015</v>
      </c>
      <c r="K7052" t="s">
        <v>4</v>
      </c>
      <c r="L7052">
        <v>4918</v>
      </c>
      <c r="M7052" t="s">
        <v>2281</v>
      </c>
      <c r="N7052" t="s">
        <v>245</v>
      </c>
      <c r="O7052">
        <v>20</v>
      </c>
      <c r="P7052">
        <v>1440</v>
      </c>
      <c r="Q7052" t="s">
        <v>1799</v>
      </c>
      <c r="R7052" t="s">
        <v>201</v>
      </c>
      <c r="S7052">
        <v>1</v>
      </c>
      <c r="T7052">
        <v>1</v>
      </c>
      <c r="U7052">
        <v>106272</v>
      </c>
      <c r="V7052">
        <v>106272</v>
      </c>
    </row>
    <row r="7053" spans="1:22">
      <c r="A7053" t="s">
        <v>196</v>
      </c>
      <c r="B7053">
        <v>85</v>
      </c>
      <c r="C7053" t="s">
        <v>2177</v>
      </c>
      <c r="D7053">
        <v>740</v>
      </c>
      <c r="E7053" t="s">
        <v>2208</v>
      </c>
      <c r="F7053">
        <v>1005</v>
      </c>
      <c r="G7053" t="s">
        <v>2177</v>
      </c>
      <c r="H7053">
        <v>2015</v>
      </c>
      <c r="I7053" t="s">
        <v>4</v>
      </c>
      <c r="J7053">
        <v>3015</v>
      </c>
      <c r="K7053" t="s">
        <v>4</v>
      </c>
      <c r="L7053">
        <v>4918</v>
      </c>
      <c r="M7053" t="s">
        <v>2281</v>
      </c>
      <c r="N7053" t="s">
        <v>199</v>
      </c>
      <c r="O7053">
        <v>0</v>
      </c>
      <c r="P7053">
        <v>15</v>
      </c>
      <c r="Q7053" t="s">
        <v>264</v>
      </c>
      <c r="R7053" t="s">
        <v>201</v>
      </c>
      <c r="S7053">
        <v>0</v>
      </c>
      <c r="T7053">
        <v>0</v>
      </c>
      <c r="U7053">
        <v>5736</v>
      </c>
      <c r="V7053">
        <v>5736</v>
      </c>
    </row>
    <row r="7054" spans="1:22">
      <c r="A7054" t="s">
        <v>196</v>
      </c>
      <c r="B7054">
        <v>21</v>
      </c>
      <c r="C7054" t="s">
        <v>78</v>
      </c>
      <c r="D7054">
        <v>996</v>
      </c>
      <c r="E7054" t="s">
        <v>2282</v>
      </c>
      <c r="F7054">
        <v>1005</v>
      </c>
      <c r="G7054" t="s">
        <v>78</v>
      </c>
      <c r="H7054">
        <v>2010</v>
      </c>
      <c r="I7054" t="s">
        <v>78</v>
      </c>
      <c r="J7054">
        <v>3030</v>
      </c>
      <c r="K7054" t="s">
        <v>309</v>
      </c>
      <c r="L7054">
        <v>0</v>
      </c>
      <c r="N7054" t="s">
        <v>251</v>
      </c>
      <c r="O7054">
        <v>10</v>
      </c>
      <c r="P7054">
        <v>1438</v>
      </c>
      <c r="Q7054" t="s">
        <v>601</v>
      </c>
      <c r="R7054" t="s">
        <v>201</v>
      </c>
      <c r="S7054">
        <v>1</v>
      </c>
      <c r="T7054">
        <v>1</v>
      </c>
      <c r="U7054">
        <v>76476</v>
      </c>
      <c r="V7054">
        <v>76476</v>
      </c>
    </row>
    <row r="7055" spans="1:22">
      <c r="A7055" t="s">
        <v>196</v>
      </c>
      <c r="B7055">
        <v>21</v>
      </c>
      <c r="C7055" t="s">
        <v>78</v>
      </c>
      <c r="D7055">
        <v>996</v>
      </c>
      <c r="E7055" t="s">
        <v>2282</v>
      </c>
      <c r="F7055">
        <v>1005</v>
      </c>
      <c r="G7055" t="s">
        <v>78</v>
      </c>
      <c r="H7055">
        <v>2010</v>
      </c>
      <c r="I7055" t="s">
        <v>78</v>
      </c>
      <c r="J7055">
        <v>3037</v>
      </c>
      <c r="K7055" t="s">
        <v>2283</v>
      </c>
      <c r="L7055">
        <v>4135</v>
      </c>
      <c r="M7055" t="s">
        <v>2284</v>
      </c>
      <c r="N7055" t="s">
        <v>372</v>
      </c>
      <c r="O7055">
        <v>4</v>
      </c>
      <c r="P7055">
        <v>1912</v>
      </c>
      <c r="Q7055" t="s">
        <v>608</v>
      </c>
      <c r="R7055" t="s">
        <v>201</v>
      </c>
      <c r="S7055">
        <v>1</v>
      </c>
      <c r="T7055">
        <v>1</v>
      </c>
      <c r="U7055">
        <v>93504</v>
      </c>
      <c r="V7055">
        <v>93504</v>
      </c>
    </row>
    <row r="7056" spans="1:22">
      <c r="A7056" t="s">
        <v>196</v>
      </c>
      <c r="B7056">
        <v>21</v>
      </c>
      <c r="C7056" t="s">
        <v>78</v>
      </c>
      <c r="D7056">
        <v>996</v>
      </c>
      <c r="E7056" t="s">
        <v>2282</v>
      </c>
      <c r="F7056">
        <v>1005</v>
      </c>
      <c r="G7056" t="s">
        <v>78</v>
      </c>
      <c r="H7056">
        <v>2010</v>
      </c>
      <c r="I7056" t="s">
        <v>78</v>
      </c>
      <c r="J7056">
        <v>3037</v>
      </c>
      <c r="K7056" t="s">
        <v>2283</v>
      </c>
      <c r="L7056">
        <v>4135</v>
      </c>
      <c r="M7056" t="s">
        <v>2284</v>
      </c>
      <c r="N7056" t="s">
        <v>372</v>
      </c>
      <c r="O7056">
        <v>4</v>
      </c>
      <c r="P7056">
        <v>1912</v>
      </c>
      <c r="Q7056" t="s">
        <v>608</v>
      </c>
      <c r="R7056" t="s">
        <v>201</v>
      </c>
      <c r="S7056">
        <v>1</v>
      </c>
      <c r="T7056">
        <v>1</v>
      </c>
      <c r="U7056">
        <v>81324</v>
      </c>
      <c r="V7056">
        <v>81324</v>
      </c>
    </row>
    <row r="7057" spans="1:22">
      <c r="A7057" t="s">
        <v>196</v>
      </c>
      <c r="B7057">
        <v>21</v>
      </c>
      <c r="C7057" t="s">
        <v>78</v>
      </c>
      <c r="D7057">
        <v>996</v>
      </c>
      <c r="E7057" t="s">
        <v>2282</v>
      </c>
      <c r="F7057">
        <v>1005</v>
      </c>
      <c r="G7057" t="s">
        <v>78</v>
      </c>
      <c r="H7057">
        <v>2010</v>
      </c>
      <c r="I7057" t="s">
        <v>78</v>
      </c>
      <c r="J7057">
        <v>3037</v>
      </c>
      <c r="K7057" t="s">
        <v>2283</v>
      </c>
      <c r="L7057">
        <v>4135</v>
      </c>
      <c r="M7057" t="s">
        <v>2284</v>
      </c>
      <c r="N7057" t="s">
        <v>249</v>
      </c>
      <c r="O7057">
        <v>10</v>
      </c>
      <c r="P7057">
        <v>310</v>
      </c>
      <c r="Q7057" t="s">
        <v>447</v>
      </c>
      <c r="R7057" t="s">
        <v>201</v>
      </c>
      <c r="S7057">
        <v>1</v>
      </c>
      <c r="T7057">
        <v>1</v>
      </c>
      <c r="U7057">
        <v>89112</v>
      </c>
      <c r="V7057">
        <v>89112</v>
      </c>
    </row>
    <row r="7058" spans="1:22">
      <c r="A7058" t="s">
        <v>196</v>
      </c>
      <c r="B7058">
        <v>21</v>
      </c>
      <c r="C7058" t="s">
        <v>78</v>
      </c>
      <c r="D7058">
        <v>996</v>
      </c>
      <c r="E7058" t="s">
        <v>2282</v>
      </c>
      <c r="F7058">
        <v>1005</v>
      </c>
      <c r="G7058" t="s">
        <v>78</v>
      </c>
      <c r="H7058">
        <v>2010</v>
      </c>
      <c r="I7058" t="s">
        <v>78</v>
      </c>
      <c r="J7058">
        <v>3037</v>
      </c>
      <c r="K7058" t="s">
        <v>2283</v>
      </c>
      <c r="L7058">
        <v>4135</v>
      </c>
      <c r="M7058" t="s">
        <v>2284</v>
      </c>
      <c r="N7058" t="s">
        <v>199</v>
      </c>
      <c r="O7058">
        <v>0</v>
      </c>
      <c r="P7058">
        <v>15</v>
      </c>
      <c r="Q7058" t="s">
        <v>264</v>
      </c>
      <c r="R7058" t="s">
        <v>201</v>
      </c>
      <c r="S7058">
        <v>0</v>
      </c>
      <c r="T7058">
        <v>0</v>
      </c>
      <c r="U7058">
        <v>6274</v>
      </c>
      <c r="V7058">
        <v>6274</v>
      </c>
    </row>
    <row r="7059" spans="1:22">
      <c r="A7059" t="s">
        <v>196</v>
      </c>
      <c r="B7059">
        <v>21</v>
      </c>
      <c r="C7059" t="s">
        <v>78</v>
      </c>
      <c r="D7059">
        <v>996</v>
      </c>
      <c r="E7059" t="s">
        <v>2282</v>
      </c>
      <c r="F7059">
        <v>1005</v>
      </c>
      <c r="G7059" t="s">
        <v>78</v>
      </c>
      <c r="H7059">
        <v>2010</v>
      </c>
      <c r="I7059" t="s">
        <v>78</v>
      </c>
      <c r="J7059">
        <v>3060</v>
      </c>
      <c r="K7059" t="s">
        <v>612</v>
      </c>
      <c r="L7059">
        <v>0</v>
      </c>
      <c r="N7059" t="s">
        <v>372</v>
      </c>
      <c r="O7059">
        <v>4</v>
      </c>
      <c r="P7059">
        <v>1912</v>
      </c>
      <c r="Q7059" t="s">
        <v>608</v>
      </c>
      <c r="R7059" t="s">
        <v>201</v>
      </c>
      <c r="S7059">
        <v>1</v>
      </c>
      <c r="T7059">
        <v>1</v>
      </c>
      <c r="U7059">
        <v>81324</v>
      </c>
      <c r="V7059">
        <v>81324</v>
      </c>
    </row>
    <row r="7060" spans="1:22">
      <c r="A7060" t="s">
        <v>196</v>
      </c>
      <c r="B7060">
        <v>21</v>
      </c>
      <c r="C7060" t="s">
        <v>78</v>
      </c>
      <c r="D7060">
        <v>996</v>
      </c>
      <c r="E7060" t="s">
        <v>2282</v>
      </c>
      <c r="F7060">
        <v>1005</v>
      </c>
      <c r="G7060" t="s">
        <v>78</v>
      </c>
      <c r="H7060">
        <v>2010</v>
      </c>
      <c r="I7060" t="s">
        <v>78</v>
      </c>
      <c r="J7060">
        <v>3060</v>
      </c>
      <c r="K7060" t="s">
        <v>612</v>
      </c>
      <c r="L7060">
        <v>0</v>
      </c>
      <c r="N7060" t="s">
        <v>274</v>
      </c>
      <c r="O7060">
        <v>9</v>
      </c>
      <c r="P7060">
        <v>313</v>
      </c>
      <c r="Q7060" t="s">
        <v>605</v>
      </c>
      <c r="R7060" t="s">
        <v>201</v>
      </c>
      <c r="S7060">
        <v>1</v>
      </c>
      <c r="T7060">
        <v>1</v>
      </c>
      <c r="U7060">
        <v>146808</v>
      </c>
      <c r="V7060">
        <v>146808</v>
      </c>
    </row>
    <row r="7061" spans="1:22">
      <c r="A7061" t="s">
        <v>196</v>
      </c>
      <c r="B7061">
        <v>21</v>
      </c>
      <c r="C7061" t="s">
        <v>78</v>
      </c>
      <c r="D7061">
        <v>996</v>
      </c>
      <c r="E7061" t="s">
        <v>2282</v>
      </c>
      <c r="F7061">
        <v>1005</v>
      </c>
      <c r="G7061" t="s">
        <v>78</v>
      </c>
      <c r="H7061">
        <v>2010</v>
      </c>
      <c r="I7061" t="s">
        <v>78</v>
      </c>
      <c r="J7061">
        <v>3060</v>
      </c>
      <c r="K7061" t="s">
        <v>612</v>
      </c>
      <c r="L7061">
        <v>0</v>
      </c>
      <c r="N7061" t="s">
        <v>199</v>
      </c>
      <c r="O7061">
        <v>0</v>
      </c>
      <c r="P7061">
        <v>15</v>
      </c>
      <c r="Q7061" t="s">
        <v>264</v>
      </c>
      <c r="R7061" t="s">
        <v>201</v>
      </c>
      <c r="S7061">
        <v>0</v>
      </c>
      <c r="T7061">
        <v>0</v>
      </c>
      <c r="U7061">
        <v>4462</v>
      </c>
      <c r="V7061">
        <v>4462</v>
      </c>
    </row>
    <row r="7062" spans="1:22">
      <c r="A7062" t="s">
        <v>196</v>
      </c>
      <c r="B7062">
        <v>1</v>
      </c>
      <c r="C7062" t="s">
        <v>48</v>
      </c>
      <c r="D7062" t="s">
        <v>2285</v>
      </c>
      <c r="E7062" t="s">
        <v>2286</v>
      </c>
      <c r="F7062">
        <v>1005</v>
      </c>
      <c r="G7062" t="s">
        <v>48</v>
      </c>
      <c r="H7062">
        <v>2005</v>
      </c>
      <c r="I7062" t="s">
        <v>48</v>
      </c>
      <c r="J7062">
        <v>3135</v>
      </c>
      <c r="K7062" t="s">
        <v>235</v>
      </c>
      <c r="L7062">
        <v>0</v>
      </c>
      <c r="N7062" t="s">
        <v>199</v>
      </c>
      <c r="O7062">
        <v>9</v>
      </c>
      <c r="P7062">
        <v>9877</v>
      </c>
      <c r="Q7062" t="s">
        <v>202</v>
      </c>
      <c r="R7062" t="s">
        <v>201</v>
      </c>
      <c r="S7062">
        <v>1</v>
      </c>
      <c r="T7062">
        <v>1</v>
      </c>
      <c r="U7062">
        <v>128772</v>
      </c>
      <c r="V7062">
        <v>128772</v>
      </c>
    </row>
    <row r="7063" spans="1:22">
      <c r="A7063" t="s">
        <v>196</v>
      </c>
      <c r="B7063">
        <v>5</v>
      </c>
      <c r="C7063" t="s">
        <v>83</v>
      </c>
      <c r="D7063" t="s">
        <v>2285</v>
      </c>
      <c r="E7063" t="s">
        <v>2286</v>
      </c>
      <c r="F7063">
        <v>1005</v>
      </c>
      <c r="G7063" t="s">
        <v>83</v>
      </c>
      <c r="H7063">
        <v>2005</v>
      </c>
      <c r="I7063" t="s">
        <v>83</v>
      </c>
      <c r="J7063">
        <v>3010</v>
      </c>
      <c r="K7063" t="s">
        <v>315</v>
      </c>
      <c r="L7063">
        <v>0</v>
      </c>
      <c r="N7063" t="s">
        <v>274</v>
      </c>
      <c r="O7063">
        <v>9</v>
      </c>
      <c r="P7063">
        <v>1124</v>
      </c>
      <c r="Q7063" t="s">
        <v>317</v>
      </c>
      <c r="R7063" t="s">
        <v>201</v>
      </c>
      <c r="S7063">
        <v>1</v>
      </c>
      <c r="T7063">
        <v>1</v>
      </c>
      <c r="U7063">
        <v>146808</v>
      </c>
      <c r="V7063">
        <v>146808</v>
      </c>
    </row>
    <row r="7064" spans="1:22">
      <c r="A7064" t="s">
        <v>196</v>
      </c>
      <c r="B7064">
        <v>5</v>
      </c>
      <c r="C7064" t="s">
        <v>83</v>
      </c>
      <c r="D7064" t="s">
        <v>2285</v>
      </c>
      <c r="E7064" t="s">
        <v>2286</v>
      </c>
      <c r="F7064">
        <v>1005</v>
      </c>
      <c r="G7064" t="s">
        <v>83</v>
      </c>
      <c r="H7064">
        <v>2005</v>
      </c>
      <c r="I7064" t="s">
        <v>83</v>
      </c>
      <c r="J7064">
        <v>3010</v>
      </c>
      <c r="K7064" t="s">
        <v>315</v>
      </c>
      <c r="L7064">
        <v>0</v>
      </c>
      <c r="N7064" t="s">
        <v>274</v>
      </c>
      <c r="O7064">
        <v>9</v>
      </c>
      <c r="P7064">
        <v>1124</v>
      </c>
      <c r="Q7064" t="s">
        <v>317</v>
      </c>
      <c r="R7064" t="s">
        <v>201</v>
      </c>
      <c r="S7064">
        <v>1</v>
      </c>
      <c r="T7064">
        <v>1</v>
      </c>
      <c r="U7064">
        <v>121668</v>
      </c>
      <c r="V7064">
        <v>121668</v>
      </c>
    </row>
    <row r="7065" spans="1:22">
      <c r="A7065" t="s">
        <v>196</v>
      </c>
      <c r="B7065">
        <v>5</v>
      </c>
      <c r="C7065" t="s">
        <v>83</v>
      </c>
      <c r="D7065" t="s">
        <v>2285</v>
      </c>
      <c r="E7065" t="s">
        <v>2286</v>
      </c>
      <c r="F7065">
        <v>1005</v>
      </c>
      <c r="G7065" t="s">
        <v>83</v>
      </c>
      <c r="H7065">
        <v>2005</v>
      </c>
      <c r="I7065" t="s">
        <v>83</v>
      </c>
      <c r="J7065">
        <v>3010</v>
      </c>
      <c r="K7065" t="s">
        <v>315</v>
      </c>
      <c r="L7065">
        <v>0</v>
      </c>
      <c r="N7065" t="s">
        <v>281</v>
      </c>
      <c r="O7065">
        <v>10</v>
      </c>
      <c r="P7065">
        <v>135</v>
      </c>
      <c r="Q7065" t="s">
        <v>672</v>
      </c>
      <c r="R7065" t="s">
        <v>201</v>
      </c>
      <c r="S7065">
        <v>1</v>
      </c>
      <c r="T7065">
        <v>1</v>
      </c>
      <c r="U7065">
        <v>85236</v>
      </c>
      <c r="V7065">
        <v>85236</v>
      </c>
    </row>
    <row r="7066" spans="1:22">
      <c r="A7066" t="s">
        <v>196</v>
      </c>
      <c r="B7066">
        <v>5</v>
      </c>
      <c r="C7066" t="s">
        <v>83</v>
      </c>
      <c r="D7066" t="s">
        <v>2285</v>
      </c>
      <c r="E7066" t="s">
        <v>2286</v>
      </c>
      <c r="F7066">
        <v>1005</v>
      </c>
      <c r="G7066" t="s">
        <v>83</v>
      </c>
      <c r="H7066">
        <v>2005</v>
      </c>
      <c r="I7066" t="s">
        <v>83</v>
      </c>
      <c r="J7066">
        <v>3010</v>
      </c>
      <c r="K7066" t="s">
        <v>315</v>
      </c>
      <c r="L7066">
        <v>0</v>
      </c>
      <c r="N7066" t="s">
        <v>268</v>
      </c>
      <c r="O7066">
        <v>10</v>
      </c>
      <c r="P7066">
        <v>134</v>
      </c>
      <c r="Q7066" t="s">
        <v>322</v>
      </c>
      <c r="R7066" t="s">
        <v>201</v>
      </c>
      <c r="S7066">
        <v>1</v>
      </c>
      <c r="T7066">
        <v>1</v>
      </c>
      <c r="U7066">
        <v>69684</v>
      </c>
      <c r="V7066">
        <v>69684</v>
      </c>
    </row>
    <row r="7067" spans="1:22">
      <c r="A7067" t="s">
        <v>196</v>
      </c>
      <c r="B7067">
        <v>5</v>
      </c>
      <c r="C7067" t="s">
        <v>83</v>
      </c>
      <c r="D7067" t="s">
        <v>2285</v>
      </c>
      <c r="E7067" t="s">
        <v>2286</v>
      </c>
      <c r="F7067">
        <v>1005</v>
      </c>
      <c r="G7067" t="s">
        <v>83</v>
      </c>
      <c r="H7067">
        <v>2005</v>
      </c>
      <c r="I7067" t="s">
        <v>83</v>
      </c>
      <c r="J7067">
        <v>3010</v>
      </c>
      <c r="K7067" t="s">
        <v>315</v>
      </c>
      <c r="L7067">
        <v>0</v>
      </c>
      <c r="N7067" t="s">
        <v>199</v>
      </c>
      <c r="O7067">
        <v>0</v>
      </c>
      <c r="P7067">
        <v>15</v>
      </c>
      <c r="Q7067" t="s">
        <v>264</v>
      </c>
      <c r="R7067" t="s">
        <v>201</v>
      </c>
      <c r="S7067">
        <v>0</v>
      </c>
      <c r="T7067">
        <v>0</v>
      </c>
      <c r="U7067">
        <v>18702</v>
      </c>
      <c r="V7067">
        <v>18702</v>
      </c>
    </row>
    <row r="7068" spans="1:22">
      <c r="A7068" t="s">
        <v>196</v>
      </c>
      <c r="B7068">
        <v>21</v>
      </c>
      <c r="C7068" t="s">
        <v>78</v>
      </c>
      <c r="D7068" t="s">
        <v>2285</v>
      </c>
      <c r="E7068" t="s">
        <v>2286</v>
      </c>
      <c r="F7068">
        <v>1005</v>
      </c>
      <c r="G7068" t="s">
        <v>78</v>
      </c>
      <c r="H7068">
        <v>2010</v>
      </c>
      <c r="I7068" t="s">
        <v>78</v>
      </c>
      <c r="J7068">
        <v>3030</v>
      </c>
      <c r="K7068" t="s">
        <v>309</v>
      </c>
      <c r="L7068">
        <v>0</v>
      </c>
      <c r="N7068" t="s">
        <v>688</v>
      </c>
      <c r="O7068">
        <v>4</v>
      </c>
      <c r="P7068">
        <v>1142</v>
      </c>
      <c r="Q7068" t="s">
        <v>1250</v>
      </c>
      <c r="R7068" t="s">
        <v>201</v>
      </c>
      <c r="S7068">
        <v>1</v>
      </c>
      <c r="T7068">
        <v>1</v>
      </c>
      <c r="U7068">
        <v>84192</v>
      </c>
      <c r="V7068">
        <v>84192</v>
      </c>
    </row>
    <row r="7069" spans="1:22">
      <c r="A7069" t="s">
        <v>196</v>
      </c>
      <c r="B7069">
        <v>21</v>
      </c>
      <c r="C7069" t="s">
        <v>78</v>
      </c>
      <c r="D7069" t="s">
        <v>2285</v>
      </c>
      <c r="E7069" t="s">
        <v>2286</v>
      </c>
      <c r="F7069">
        <v>1005</v>
      </c>
      <c r="G7069" t="s">
        <v>78</v>
      </c>
      <c r="H7069">
        <v>2010</v>
      </c>
      <c r="I7069" t="s">
        <v>78</v>
      </c>
      <c r="J7069">
        <v>3030</v>
      </c>
      <c r="K7069" t="s">
        <v>309</v>
      </c>
      <c r="L7069">
        <v>0</v>
      </c>
      <c r="N7069" t="s">
        <v>247</v>
      </c>
      <c r="O7069">
        <v>20</v>
      </c>
      <c r="P7069">
        <v>366</v>
      </c>
      <c r="Q7069" t="s">
        <v>604</v>
      </c>
      <c r="R7069" t="s">
        <v>201</v>
      </c>
      <c r="S7069">
        <v>1</v>
      </c>
      <c r="T7069">
        <v>1</v>
      </c>
      <c r="U7069">
        <v>66516</v>
      </c>
      <c r="V7069">
        <v>66516</v>
      </c>
    </row>
    <row r="7070" spans="1:22">
      <c r="A7070" t="s">
        <v>196</v>
      </c>
      <c r="B7070">
        <v>21</v>
      </c>
      <c r="C7070" t="s">
        <v>78</v>
      </c>
      <c r="D7070" t="s">
        <v>2285</v>
      </c>
      <c r="E7070" t="s">
        <v>2286</v>
      </c>
      <c r="F7070">
        <v>1005</v>
      </c>
      <c r="G7070" t="s">
        <v>78</v>
      </c>
      <c r="H7070">
        <v>2010</v>
      </c>
      <c r="I7070" t="s">
        <v>78</v>
      </c>
      <c r="J7070">
        <v>3030</v>
      </c>
      <c r="K7070" t="s">
        <v>309</v>
      </c>
      <c r="L7070">
        <v>0</v>
      </c>
      <c r="N7070" t="s">
        <v>249</v>
      </c>
      <c r="O7070">
        <v>10</v>
      </c>
      <c r="P7070">
        <v>310</v>
      </c>
      <c r="Q7070" t="s">
        <v>447</v>
      </c>
      <c r="R7070" t="s">
        <v>201</v>
      </c>
      <c r="S7070">
        <v>1</v>
      </c>
      <c r="T7070">
        <v>1</v>
      </c>
      <c r="U7070">
        <v>97836</v>
      </c>
      <c r="V7070">
        <v>97836</v>
      </c>
    </row>
    <row r="7071" spans="1:22">
      <c r="A7071" t="s">
        <v>196</v>
      </c>
      <c r="B7071">
        <v>21</v>
      </c>
      <c r="C7071" t="s">
        <v>78</v>
      </c>
      <c r="D7071" t="s">
        <v>2285</v>
      </c>
      <c r="E7071" t="s">
        <v>2286</v>
      </c>
      <c r="F7071">
        <v>1005</v>
      </c>
      <c r="G7071" t="s">
        <v>78</v>
      </c>
      <c r="H7071">
        <v>2010</v>
      </c>
      <c r="I7071" t="s">
        <v>78</v>
      </c>
      <c r="J7071">
        <v>3037</v>
      </c>
      <c r="K7071" t="s">
        <v>2283</v>
      </c>
      <c r="L7071">
        <v>4135</v>
      </c>
      <c r="M7071" t="s">
        <v>2284</v>
      </c>
      <c r="N7071" t="s">
        <v>261</v>
      </c>
      <c r="O7071">
        <v>20</v>
      </c>
      <c r="P7071">
        <v>1437</v>
      </c>
      <c r="Q7071" t="s">
        <v>609</v>
      </c>
      <c r="R7071" t="s">
        <v>201</v>
      </c>
      <c r="S7071">
        <v>1</v>
      </c>
      <c r="T7071">
        <v>1</v>
      </c>
      <c r="U7071">
        <v>122556</v>
      </c>
      <c r="V7071">
        <v>122556</v>
      </c>
    </row>
    <row r="7072" spans="1:22">
      <c r="A7072" t="s">
        <v>196</v>
      </c>
      <c r="B7072">
        <v>21</v>
      </c>
      <c r="C7072" t="s">
        <v>78</v>
      </c>
      <c r="D7072" t="s">
        <v>2285</v>
      </c>
      <c r="E7072" t="s">
        <v>2286</v>
      </c>
      <c r="F7072">
        <v>1005</v>
      </c>
      <c r="G7072" t="s">
        <v>78</v>
      </c>
      <c r="H7072">
        <v>2010</v>
      </c>
      <c r="I7072" t="s">
        <v>78</v>
      </c>
      <c r="J7072">
        <v>3037</v>
      </c>
      <c r="K7072" t="s">
        <v>2283</v>
      </c>
      <c r="L7072">
        <v>4135</v>
      </c>
      <c r="M7072" t="s">
        <v>2284</v>
      </c>
      <c r="N7072" t="s">
        <v>261</v>
      </c>
      <c r="O7072">
        <v>20</v>
      </c>
      <c r="P7072">
        <v>1437</v>
      </c>
      <c r="Q7072" t="s">
        <v>609</v>
      </c>
      <c r="R7072" t="s">
        <v>201</v>
      </c>
      <c r="S7072">
        <v>1</v>
      </c>
      <c r="T7072">
        <v>1</v>
      </c>
      <c r="U7072">
        <v>106272</v>
      </c>
      <c r="V7072">
        <v>106272</v>
      </c>
    </row>
    <row r="7073" spans="1:22">
      <c r="A7073" t="s">
        <v>196</v>
      </c>
      <c r="B7073">
        <v>21</v>
      </c>
      <c r="C7073" t="s">
        <v>78</v>
      </c>
      <c r="D7073" t="s">
        <v>2285</v>
      </c>
      <c r="E7073" t="s">
        <v>2286</v>
      </c>
      <c r="F7073">
        <v>1005</v>
      </c>
      <c r="G7073" t="s">
        <v>78</v>
      </c>
      <c r="H7073">
        <v>2010</v>
      </c>
      <c r="I7073" t="s">
        <v>78</v>
      </c>
      <c r="J7073">
        <v>3037</v>
      </c>
      <c r="K7073" t="s">
        <v>2283</v>
      </c>
      <c r="L7073">
        <v>4135</v>
      </c>
      <c r="M7073" t="s">
        <v>2284</v>
      </c>
      <c r="N7073" t="s">
        <v>261</v>
      </c>
      <c r="O7073">
        <v>20</v>
      </c>
      <c r="P7073">
        <v>1437</v>
      </c>
      <c r="Q7073" t="s">
        <v>609</v>
      </c>
      <c r="R7073" t="s">
        <v>201</v>
      </c>
      <c r="S7073">
        <v>2</v>
      </c>
      <c r="T7073">
        <v>1</v>
      </c>
      <c r="U7073">
        <v>101628</v>
      </c>
      <c r="V7073">
        <v>203256</v>
      </c>
    </row>
    <row r="7074" spans="1:22">
      <c r="A7074" t="s">
        <v>196</v>
      </c>
      <c r="B7074">
        <v>21</v>
      </c>
      <c r="C7074" t="s">
        <v>78</v>
      </c>
      <c r="D7074" t="s">
        <v>2285</v>
      </c>
      <c r="E7074" t="s">
        <v>2286</v>
      </c>
      <c r="F7074">
        <v>1005</v>
      </c>
      <c r="G7074" t="s">
        <v>78</v>
      </c>
      <c r="H7074">
        <v>2010</v>
      </c>
      <c r="I7074" t="s">
        <v>78</v>
      </c>
      <c r="J7074">
        <v>3037</v>
      </c>
      <c r="K7074" t="s">
        <v>2283</v>
      </c>
      <c r="L7074">
        <v>4135</v>
      </c>
      <c r="M7074" t="s">
        <v>2284</v>
      </c>
      <c r="N7074" t="s">
        <v>261</v>
      </c>
      <c r="O7074">
        <v>20</v>
      </c>
      <c r="P7074">
        <v>1437</v>
      </c>
      <c r="Q7074" t="s">
        <v>609</v>
      </c>
      <c r="R7074" t="s">
        <v>201</v>
      </c>
      <c r="S7074">
        <v>2</v>
      </c>
      <c r="T7074">
        <v>1</v>
      </c>
      <c r="U7074">
        <v>97332</v>
      </c>
      <c r="V7074">
        <v>194664</v>
      </c>
    </row>
    <row r="7075" spans="1:22">
      <c r="A7075" t="s">
        <v>196</v>
      </c>
      <c r="B7075">
        <v>21</v>
      </c>
      <c r="C7075" t="s">
        <v>78</v>
      </c>
      <c r="D7075" t="s">
        <v>2285</v>
      </c>
      <c r="E7075" t="s">
        <v>2286</v>
      </c>
      <c r="F7075">
        <v>1005</v>
      </c>
      <c r="G7075" t="s">
        <v>78</v>
      </c>
      <c r="H7075">
        <v>2010</v>
      </c>
      <c r="I7075" t="s">
        <v>78</v>
      </c>
      <c r="J7075">
        <v>3037</v>
      </c>
      <c r="K7075" t="s">
        <v>2283</v>
      </c>
      <c r="L7075">
        <v>4135</v>
      </c>
      <c r="M7075" t="s">
        <v>2284</v>
      </c>
      <c r="N7075" t="s">
        <v>261</v>
      </c>
      <c r="O7075">
        <v>20</v>
      </c>
      <c r="P7075">
        <v>1437</v>
      </c>
      <c r="Q7075" t="s">
        <v>609</v>
      </c>
      <c r="R7075" t="s">
        <v>201</v>
      </c>
      <c r="S7075">
        <v>3</v>
      </c>
      <c r="T7075">
        <v>1</v>
      </c>
      <c r="U7075">
        <v>89112</v>
      </c>
      <c r="V7075">
        <v>267336</v>
      </c>
    </row>
    <row r="7076" spans="1:22">
      <c r="A7076" t="s">
        <v>196</v>
      </c>
      <c r="B7076">
        <v>21</v>
      </c>
      <c r="C7076" t="s">
        <v>78</v>
      </c>
      <c r="D7076" t="s">
        <v>2285</v>
      </c>
      <c r="E7076" t="s">
        <v>2286</v>
      </c>
      <c r="F7076">
        <v>1005</v>
      </c>
      <c r="G7076" t="s">
        <v>78</v>
      </c>
      <c r="H7076">
        <v>2010</v>
      </c>
      <c r="I7076" t="s">
        <v>78</v>
      </c>
      <c r="J7076">
        <v>3037</v>
      </c>
      <c r="K7076" t="s">
        <v>2283</v>
      </c>
      <c r="L7076">
        <v>4135</v>
      </c>
      <c r="M7076" t="s">
        <v>2284</v>
      </c>
      <c r="N7076" t="s">
        <v>281</v>
      </c>
      <c r="O7076">
        <v>10</v>
      </c>
      <c r="P7076">
        <v>1405</v>
      </c>
      <c r="Q7076" t="s">
        <v>1260</v>
      </c>
      <c r="R7076" t="s">
        <v>201</v>
      </c>
      <c r="S7076">
        <v>1</v>
      </c>
      <c r="T7076">
        <v>1</v>
      </c>
      <c r="U7076">
        <v>82884</v>
      </c>
      <c r="V7076">
        <v>82884</v>
      </c>
    </row>
    <row r="7077" spans="1:22">
      <c r="A7077" t="s">
        <v>196</v>
      </c>
      <c r="B7077">
        <v>21</v>
      </c>
      <c r="C7077" t="s">
        <v>78</v>
      </c>
      <c r="D7077" t="s">
        <v>2285</v>
      </c>
      <c r="E7077" t="s">
        <v>2286</v>
      </c>
      <c r="F7077">
        <v>1005</v>
      </c>
      <c r="G7077" t="s">
        <v>78</v>
      </c>
      <c r="H7077">
        <v>2010</v>
      </c>
      <c r="I7077" t="s">
        <v>78</v>
      </c>
      <c r="J7077">
        <v>3037</v>
      </c>
      <c r="K7077" t="s">
        <v>2283</v>
      </c>
      <c r="L7077">
        <v>4135</v>
      </c>
      <c r="M7077" t="s">
        <v>2284</v>
      </c>
      <c r="N7077" t="s">
        <v>199</v>
      </c>
      <c r="O7077">
        <v>0</v>
      </c>
      <c r="P7077">
        <v>15</v>
      </c>
      <c r="Q7077" t="s">
        <v>264</v>
      </c>
      <c r="R7077" t="s">
        <v>201</v>
      </c>
      <c r="S7077">
        <v>0</v>
      </c>
      <c r="T7077">
        <v>0</v>
      </c>
      <c r="U7077">
        <v>14247</v>
      </c>
      <c r="V7077">
        <v>14247</v>
      </c>
    </row>
    <row r="7078" spans="1:22">
      <c r="A7078" t="s">
        <v>196</v>
      </c>
      <c r="B7078">
        <v>21</v>
      </c>
      <c r="C7078" t="s">
        <v>78</v>
      </c>
      <c r="D7078" t="s">
        <v>2285</v>
      </c>
      <c r="E7078" t="s">
        <v>2286</v>
      </c>
      <c r="F7078">
        <v>1005</v>
      </c>
      <c r="G7078" t="s">
        <v>78</v>
      </c>
      <c r="H7078">
        <v>2010</v>
      </c>
      <c r="I7078" t="s">
        <v>78</v>
      </c>
      <c r="J7078">
        <v>3045</v>
      </c>
      <c r="K7078" t="s">
        <v>610</v>
      </c>
      <c r="L7078">
        <v>0</v>
      </c>
      <c r="N7078" t="s">
        <v>356</v>
      </c>
      <c r="O7078">
        <v>4</v>
      </c>
      <c r="P7078">
        <v>5403</v>
      </c>
      <c r="Q7078" t="s">
        <v>2273</v>
      </c>
      <c r="R7078" t="s">
        <v>201</v>
      </c>
      <c r="S7078">
        <v>1</v>
      </c>
      <c r="T7078">
        <v>1</v>
      </c>
      <c r="U7078">
        <v>129636</v>
      </c>
      <c r="V7078">
        <v>129636</v>
      </c>
    </row>
    <row r="7079" spans="1:22">
      <c r="A7079" t="s">
        <v>196</v>
      </c>
      <c r="B7079">
        <v>21</v>
      </c>
      <c r="C7079" t="s">
        <v>78</v>
      </c>
      <c r="D7079" t="s">
        <v>2285</v>
      </c>
      <c r="E7079" t="s">
        <v>2286</v>
      </c>
      <c r="F7079">
        <v>1005</v>
      </c>
      <c r="G7079" t="s">
        <v>78</v>
      </c>
      <c r="H7079">
        <v>2010</v>
      </c>
      <c r="I7079" t="s">
        <v>78</v>
      </c>
      <c r="J7079">
        <v>3045</v>
      </c>
      <c r="K7079" t="s">
        <v>610</v>
      </c>
      <c r="L7079">
        <v>0</v>
      </c>
      <c r="N7079" t="s">
        <v>688</v>
      </c>
      <c r="O7079">
        <v>4</v>
      </c>
      <c r="P7079">
        <v>5402</v>
      </c>
      <c r="Q7079" t="s">
        <v>1274</v>
      </c>
      <c r="R7079" t="s">
        <v>201</v>
      </c>
      <c r="S7079">
        <v>1</v>
      </c>
      <c r="T7079">
        <v>1</v>
      </c>
      <c r="U7079">
        <v>81636</v>
      </c>
      <c r="V7079">
        <v>81636</v>
      </c>
    </row>
    <row r="7080" spans="1:22">
      <c r="A7080" t="s">
        <v>196</v>
      </c>
      <c r="B7080">
        <v>21</v>
      </c>
      <c r="C7080" t="s">
        <v>78</v>
      </c>
      <c r="D7080" t="s">
        <v>2285</v>
      </c>
      <c r="E7080" t="s">
        <v>2286</v>
      </c>
      <c r="F7080">
        <v>1005</v>
      </c>
      <c r="G7080" t="s">
        <v>78</v>
      </c>
      <c r="H7080">
        <v>2010</v>
      </c>
      <c r="I7080" t="s">
        <v>78</v>
      </c>
      <c r="J7080">
        <v>3045</v>
      </c>
      <c r="K7080" t="s">
        <v>610</v>
      </c>
      <c r="L7080">
        <v>0</v>
      </c>
      <c r="N7080" t="s">
        <v>251</v>
      </c>
      <c r="O7080">
        <v>10</v>
      </c>
      <c r="P7080">
        <v>2916</v>
      </c>
      <c r="Q7080" t="s">
        <v>2287</v>
      </c>
      <c r="R7080" t="s">
        <v>201</v>
      </c>
      <c r="S7080">
        <v>1</v>
      </c>
      <c r="T7080">
        <v>1</v>
      </c>
      <c r="U7080">
        <v>76476</v>
      </c>
      <c r="V7080">
        <v>76476</v>
      </c>
    </row>
    <row r="7081" spans="1:22">
      <c r="A7081" t="s">
        <v>196</v>
      </c>
      <c r="B7081">
        <v>21</v>
      </c>
      <c r="C7081" t="s">
        <v>78</v>
      </c>
      <c r="D7081" t="s">
        <v>2285</v>
      </c>
      <c r="E7081" t="s">
        <v>2286</v>
      </c>
      <c r="F7081">
        <v>1005</v>
      </c>
      <c r="G7081" t="s">
        <v>78</v>
      </c>
      <c r="H7081">
        <v>2010</v>
      </c>
      <c r="I7081" t="s">
        <v>78</v>
      </c>
      <c r="J7081">
        <v>3045</v>
      </c>
      <c r="K7081" t="s">
        <v>610</v>
      </c>
      <c r="L7081">
        <v>0</v>
      </c>
      <c r="N7081" t="s">
        <v>372</v>
      </c>
      <c r="O7081">
        <v>1</v>
      </c>
      <c r="P7081">
        <v>2908</v>
      </c>
      <c r="Q7081" t="s">
        <v>2288</v>
      </c>
      <c r="R7081" t="s">
        <v>201</v>
      </c>
      <c r="S7081">
        <v>1</v>
      </c>
      <c r="T7081">
        <v>1</v>
      </c>
      <c r="U7081">
        <v>98928</v>
      </c>
      <c r="V7081">
        <v>98928</v>
      </c>
    </row>
    <row r="7082" spans="1:22">
      <c r="A7082" t="s">
        <v>196</v>
      </c>
      <c r="B7082">
        <v>21</v>
      </c>
      <c r="C7082" t="s">
        <v>78</v>
      </c>
      <c r="D7082" t="s">
        <v>2285</v>
      </c>
      <c r="E7082" t="s">
        <v>2286</v>
      </c>
      <c r="F7082">
        <v>1005</v>
      </c>
      <c r="G7082" t="s">
        <v>78</v>
      </c>
      <c r="H7082">
        <v>2010</v>
      </c>
      <c r="I7082" t="s">
        <v>78</v>
      </c>
      <c r="J7082">
        <v>3045</v>
      </c>
      <c r="K7082" t="s">
        <v>610</v>
      </c>
      <c r="L7082">
        <v>0</v>
      </c>
      <c r="N7082" t="s">
        <v>372</v>
      </c>
      <c r="O7082">
        <v>1</v>
      </c>
      <c r="P7082">
        <v>2908</v>
      </c>
      <c r="Q7082" t="s">
        <v>2288</v>
      </c>
      <c r="R7082" t="s">
        <v>201</v>
      </c>
      <c r="S7082">
        <v>9</v>
      </c>
      <c r="T7082">
        <v>1</v>
      </c>
      <c r="U7082">
        <v>77640</v>
      </c>
      <c r="V7082">
        <v>698760</v>
      </c>
    </row>
    <row r="7083" spans="1:22">
      <c r="A7083" t="s">
        <v>196</v>
      </c>
      <c r="B7083">
        <v>21</v>
      </c>
      <c r="C7083" t="s">
        <v>78</v>
      </c>
      <c r="D7083" t="s">
        <v>2285</v>
      </c>
      <c r="E7083" t="s">
        <v>2286</v>
      </c>
      <c r="F7083">
        <v>1005</v>
      </c>
      <c r="G7083" t="s">
        <v>78</v>
      </c>
      <c r="H7083">
        <v>2010</v>
      </c>
      <c r="I7083" t="s">
        <v>78</v>
      </c>
      <c r="J7083">
        <v>3045</v>
      </c>
      <c r="K7083" t="s">
        <v>610</v>
      </c>
      <c r="L7083">
        <v>0</v>
      </c>
      <c r="N7083" t="s">
        <v>372</v>
      </c>
      <c r="O7083">
        <v>1</v>
      </c>
      <c r="P7083">
        <v>2908</v>
      </c>
      <c r="Q7083" t="s">
        <v>2288</v>
      </c>
      <c r="R7083" t="s">
        <v>201</v>
      </c>
      <c r="S7083">
        <v>1</v>
      </c>
      <c r="T7083">
        <v>1</v>
      </c>
      <c r="U7083">
        <v>75336</v>
      </c>
      <c r="V7083">
        <v>75336</v>
      </c>
    </row>
    <row r="7084" spans="1:22">
      <c r="A7084" t="s">
        <v>196</v>
      </c>
      <c r="B7084">
        <v>21</v>
      </c>
      <c r="C7084" t="s">
        <v>78</v>
      </c>
      <c r="D7084" t="s">
        <v>2285</v>
      </c>
      <c r="E7084" t="s">
        <v>2286</v>
      </c>
      <c r="F7084">
        <v>1005</v>
      </c>
      <c r="G7084" t="s">
        <v>78</v>
      </c>
      <c r="H7084">
        <v>2010</v>
      </c>
      <c r="I7084" t="s">
        <v>78</v>
      </c>
      <c r="J7084">
        <v>3045</v>
      </c>
      <c r="K7084" t="s">
        <v>610</v>
      </c>
      <c r="L7084">
        <v>0</v>
      </c>
      <c r="N7084" t="s">
        <v>255</v>
      </c>
      <c r="O7084">
        <v>3</v>
      </c>
      <c r="P7084">
        <v>1939</v>
      </c>
      <c r="Q7084" t="s">
        <v>2289</v>
      </c>
      <c r="R7084" t="s">
        <v>201</v>
      </c>
      <c r="S7084">
        <v>1</v>
      </c>
      <c r="T7084">
        <v>1</v>
      </c>
      <c r="U7084">
        <v>85200</v>
      </c>
      <c r="V7084">
        <v>85200</v>
      </c>
    </row>
    <row r="7085" spans="1:22">
      <c r="A7085" t="s">
        <v>196</v>
      </c>
      <c r="B7085">
        <v>21</v>
      </c>
      <c r="C7085" t="s">
        <v>78</v>
      </c>
      <c r="D7085" t="s">
        <v>2285</v>
      </c>
      <c r="E7085" t="s">
        <v>2286</v>
      </c>
      <c r="F7085">
        <v>1005</v>
      </c>
      <c r="G7085" t="s">
        <v>78</v>
      </c>
      <c r="H7085">
        <v>2010</v>
      </c>
      <c r="I7085" t="s">
        <v>78</v>
      </c>
      <c r="J7085">
        <v>3045</v>
      </c>
      <c r="K7085" t="s">
        <v>610</v>
      </c>
      <c r="L7085">
        <v>0</v>
      </c>
      <c r="N7085" t="s">
        <v>199</v>
      </c>
      <c r="O7085">
        <v>0</v>
      </c>
      <c r="P7085">
        <v>15</v>
      </c>
      <c r="Q7085" t="s">
        <v>264</v>
      </c>
      <c r="R7085" t="s">
        <v>201</v>
      </c>
      <c r="S7085">
        <v>0</v>
      </c>
      <c r="T7085">
        <v>0</v>
      </c>
      <c r="U7085">
        <v>17880</v>
      </c>
      <c r="V7085">
        <v>17880</v>
      </c>
    </row>
    <row r="7086" spans="1:22">
      <c r="A7086" t="s">
        <v>196</v>
      </c>
      <c r="B7086">
        <v>27</v>
      </c>
      <c r="C7086" t="s">
        <v>637</v>
      </c>
      <c r="D7086" t="s">
        <v>2285</v>
      </c>
      <c r="E7086" t="s">
        <v>2286</v>
      </c>
      <c r="F7086">
        <v>1005</v>
      </c>
      <c r="G7086" t="s">
        <v>638</v>
      </c>
      <c r="H7086">
        <v>2012</v>
      </c>
      <c r="I7086" t="s">
        <v>82</v>
      </c>
      <c r="J7086">
        <v>3019</v>
      </c>
      <c r="K7086" t="s">
        <v>82</v>
      </c>
      <c r="L7086">
        <v>4051</v>
      </c>
      <c r="M7086" t="s">
        <v>655</v>
      </c>
      <c r="N7086" t="s">
        <v>245</v>
      </c>
      <c r="O7086">
        <v>20</v>
      </c>
      <c r="P7086">
        <v>187</v>
      </c>
      <c r="Q7086" t="s">
        <v>656</v>
      </c>
      <c r="R7086" t="s">
        <v>201</v>
      </c>
      <c r="S7086">
        <v>1</v>
      </c>
      <c r="T7086">
        <v>1</v>
      </c>
      <c r="U7086">
        <v>135000</v>
      </c>
      <c r="V7086">
        <v>135000</v>
      </c>
    </row>
    <row r="7087" spans="1:22">
      <c r="A7087" t="s">
        <v>196</v>
      </c>
      <c r="B7087">
        <v>27</v>
      </c>
      <c r="C7087" t="s">
        <v>637</v>
      </c>
      <c r="D7087" t="s">
        <v>2285</v>
      </c>
      <c r="E7087" t="s">
        <v>2286</v>
      </c>
      <c r="F7087">
        <v>1005</v>
      </c>
      <c r="G7087" t="s">
        <v>638</v>
      </c>
      <c r="H7087">
        <v>2012</v>
      </c>
      <c r="I7087" t="s">
        <v>82</v>
      </c>
      <c r="J7087">
        <v>3019</v>
      </c>
      <c r="K7087" t="s">
        <v>82</v>
      </c>
      <c r="L7087">
        <v>4051</v>
      </c>
      <c r="M7087" t="s">
        <v>655</v>
      </c>
      <c r="N7087" t="s">
        <v>297</v>
      </c>
      <c r="O7087">
        <v>20</v>
      </c>
      <c r="P7087">
        <v>120</v>
      </c>
      <c r="Q7087" t="s">
        <v>657</v>
      </c>
      <c r="R7087" t="s">
        <v>201</v>
      </c>
      <c r="S7087">
        <v>1</v>
      </c>
      <c r="T7087">
        <v>1</v>
      </c>
      <c r="U7087">
        <v>97332</v>
      </c>
      <c r="V7087">
        <v>97332</v>
      </c>
    </row>
    <row r="7088" spans="1:22">
      <c r="A7088" t="s">
        <v>196</v>
      </c>
      <c r="B7088">
        <v>27</v>
      </c>
      <c r="C7088" t="s">
        <v>637</v>
      </c>
      <c r="D7088" t="s">
        <v>2285</v>
      </c>
      <c r="E7088" t="s">
        <v>2286</v>
      </c>
      <c r="F7088">
        <v>1005</v>
      </c>
      <c r="G7088" t="s">
        <v>638</v>
      </c>
      <c r="H7088">
        <v>2012</v>
      </c>
      <c r="I7088" t="s">
        <v>82</v>
      </c>
      <c r="J7088">
        <v>3019</v>
      </c>
      <c r="K7088" t="s">
        <v>82</v>
      </c>
      <c r="L7088">
        <v>4051</v>
      </c>
      <c r="M7088" t="s">
        <v>655</v>
      </c>
      <c r="N7088" t="s">
        <v>356</v>
      </c>
      <c r="O7088">
        <v>4</v>
      </c>
      <c r="P7088">
        <v>111</v>
      </c>
      <c r="Q7088" t="s">
        <v>648</v>
      </c>
      <c r="R7088" t="s">
        <v>201</v>
      </c>
      <c r="S7088">
        <v>1</v>
      </c>
      <c r="T7088">
        <v>1</v>
      </c>
      <c r="U7088">
        <v>97488</v>
      </c>
      <c r="V7088">
        <v>97488</v>
      </c>
    </row>
    <row r="7089" spans="1:22">
      <c r="A7089" t="s">
        <v>196</v>
      </c>
      <c r="B7089">
        <v>27</v>
      </c>
      <c r="C7089" t="s">
        <v>637</v>
      </c>
      <c r="D7089" t="s">
        <v>2285</v>
      </c>
      <c r="E7089" t="s">
        <v>2286</v>
      </c>
      <c r="F7089">
        <v>1005</v>
      </c>
      <c r="G7089" t="s">
        <v>638</v>
      </c>
      <c r="H7089">
        <v>2012</v>
      </c>
      <c r="I7089" t="s">
        <v>82</v>
      </c>
      <c r="J7089">
        <v>3019</v>
      </c>
      <c r="K7089" t="s">
        <v>82</v>
      </c>
      <c r="L7089">
        <v>4051</v>
      </c>
      <c r="M7089" t="s">
        <v>655</v>
      </c>
      <c r="N7089" t="s">
        <v>341</v>
      </c>
      <c r="O7089">
        <v>4</v>
      </c>
      <c r="P7089">
        <v>110</v>
      </c>
      <c r="Q7089" t="s">
        <v>359</v>
      </c>
      <c r="R7089" t="s">
        <v>201</v>
      </c>
      <c r="S7089">
        <v>2</v>
      </c>
      <c r="T7089">
        <v>1</v>
      </c>
      <c r="U7089">
        <v>68616</v>
      </c>
      <c r="V7089">
        <v>137232</v>
      </c>
    </row>
    <row r="7090" spans="1:22">
      <c r="A7090" t="s">
        <v>196</v>
      </c>
      <c r="B7090">
        <v>27</v>
      </c>
      <c r="C7090" t="s">
        <v>637</v>
      </c>
      <c r="D7090" t="s">
        <v>2285</v>
      </c>
      <c r="E7090" t="s">
        <v>2286</v>
      </c>
      <c r="F7090">
        <v>1005</v>
      </c>
      <c r="G7090" t="s">
        <v>638</v>
      </c>
      <c r="H7090">
        <v>2012</v>
      </c>
      <c r="I7090" t="s">
        <v>82</v>
      </c>
      <c r="J7090">
        <v>3019</v>
      </c>
      <c r="K7090" t="s">
        <v>82</v>
      </c>
      <c r="L7090">
        <v>4051</v>
      </c>
      <c r="M7090" t="s">
        <v>655</v>
      </c>
      <c r="N7090" t="s">
        <v>199</v>
      </c>
      <c r="O7090">
        <v>0</v>
      </c>
      <c r="P7090">
        <v>15</v>
      </c>
      <c r="Q7090" t="s">
        <v>264</v>
      </c>
      <c r="R7090" t="s">
        <v>201</v>
      </c>
      <c r="S7090">
        <v>0</v>
      </c>
      <c r="T7090">
        <v>0</v>
      </c>
      <c r="U7090">
        <v>10311</v>
      </c>
      <c r="V7090">
        <v>10311</v>
      </c>
    </row>
    <row r="7091" spans="1:22">
      <c r="A7091" t="s">
        <v>196</v>
      </c>
      <c r="B7091">
        <v>28</v>
      </c>
      <c r="C7091" t="s">
        <v>85</v>
      </c>
      <c r="D7091" t="s">
        <v>2285</v>
      </c>
      <c r="E7091" t="s">
        <v>2286</v>
      </c>
      <c r="F7091">
        <v>1005</v>
      </c>
      <c r="G7091" t="s">
        <v>85</v>
      </c>
      <c r="H7091">
        <v>2005</v>
      </c>
      <c r="I7091" t="s">
        <v>85</v>
      </c>
      <c r="J7091">
        <v>3010</v>
      </c>
      <c r="K7091" t="s">
        <v>754</v>
      </c>
      <c r="L7091">
        <v>0</v>
      </c>
      <c r="N7091" t="s">
        <v>631</v>
      </c>
      <c r="O7091">
        <v>9</v>
      </c>
      <c r="P7091">
        <v>9676</v>
      </c>
      <c r="Q7091" t="s">
        <v>755</v>
      </c>
      <c r="R7091" t="s">
        <v>201</v>
      </c>
      <c r="S7091">
        <v>1</v>
      </c>
      <c r="T7091">
        <v>1</v>
      </c>
      <c r="U7091">
        <v>133044</v>
      </c>
      <c r="V7091">
        <v>133044</v>
      </c>
    </row>
    <row r="7092" spans="1:22">
      <c r="A7092" t="s">
        <v>196</v>
      </c>
      <c r="B7092">
        <v>28</v>
      </c>
      <c r="C7092" t="s">
        <v>85</v>
      </c>
      <c r="D7092" t="s">
        <v>2285</v>
      </c>
      <c r="E7092" t="s">
        <v>2286</v>
      </c>
      <c r="F7092">
        <v>1005</v>
      </c>
      <c r="G7092" t="s">
        <v>85</v>
      </c>
      <c r="H7092">
        <v>2005</v>
      </c>
      <c r="I7092" t="s">
        <v>85</v>
      </c>
      <c r="J7092">
        <v>3010</v>
      </c>
      <c r="K7092" t="s">
        <v>754</v>
      </c>
      <c r="L7092">
        <v>0</v>
      </c>
      <c r="N7092" t="s">
        <v>199</v>
      </c>
      <c r="O7092">
        <v>0</v>
      </c>
      <c r="P7092">
        <v>15</v>
      </c>
      <c r="Q7092" t="s">
        <v>264</v>
      </c>
      <c r="R7092" t="s">
        <v>201</v>
      </c>
      <c r="S7092">
        <v>0</v>
      </c>
      <c r="T7092">
        <v>0</v>
      </c>
      <c r="U7092">
        <v>483</v>
      </c>
      <c r="V7092">
        <v>483</v>
      </c>
    </row>
    <row r="7093" spans="1:22">
      <c r="A7093" t="s">
        <v>196</v>
      </c>
      <c r="B7093">
        <v>28</v>
      </c>
      <c r="C7093" t="s">
        <v>85</v>
      </c>
      <c r="D7093" t="s">
        <v>2285</v>
      </c>
      <c r="E7093" t="s">
        <v>2286</v>
      </c>
      <c r="F7093">
        <v>1005</v>
      </c>
      <c r="G7093" t="s">
        <v>85</v>
      </c>
      <c r="H7093">
        <v>2005</v>
      </c>
      <c r="I7093" t="s">
        <v>85</v>
      </c>
      <c r="J7093">
        <v>3015</v>
      </c>
      <c r="K7093" t="s">
        <v>757</v>
      </c>
      <c r="L7093">
        <v>0</v>
      </c>
      <c r="N7093" t="s">
        <v>216</v>
      </c>
      <c r="O7093">
        <v>10</v>
      </c>
      <c r="P7093">
        <v>340</v>
      </c>
      <c r="Q7093" t="s">
        <v>753</v>
      </c>
      <c r="R7093" t="s">
        <v>201</v>
      </c>
      <c r="S7093">
        <v>1</v>
      </c>
      <c r="T7093">
        <v>1</v>
      </c>
      <c r="U7093">
        <v>81036</v>
      </c>
      <c r="V7093">
        <v>81036</v>
      </c>
    </row>
    <row r="7094" spans="1:22">
      <c r="A7094" t="s">
        <v>196</v>
      </c>
      <c r="B7094">
        <v>28</v>
      </c>
      <c r="C7094" t="s">
        <v>85</v>
      </c>
      <c r="D7094" t="s">
        <v>2285</v>
      </c>
      <c r="E7094" t="s">
        <v>2286</v>
      </c>
      <c r="F7094">
        <v>1005</v>
      </c>
      <c r="G7094" t="s">
        <v>85</v>
      </c>
      <c r="H7094">
        <v>2005</v>
      </c>
      <c r="I7094" t="s">
        <v>85</v>
      </c>
      <c r="J7094">
        <v>3015</v>
      </c>
      <c r="K7094" t="s">
        <v>757</v>
      </c>
      <c r="L7094">
        <v>0</v>
      </c>
      <c r="N7094" t="s">
        <v>341</v>
      </c>
      <c r="O7094">
        <v>4</v>
      </c>
      <c r="P7094">
        <v>110</v>
      </c>
      <c r="Q7094" t="s">
        <v>359</v>
      </c>
      <c r="R7094" t="s">
        <v>201</v>
      </c>
      <c r="S7094">
        <v>1</v>
      </c>
      <c r="T7094">
        <v>1</v>
      </c>
      <c r="U7094">
        <v>77640</v>
      </c>
      <c r="V7094">
        <v>77640</v>
      </c>
    </row>
    <row r="7095" spans="1:22">
      <c r="A7095" t="s">
        <v>196</v>
      </c>
      <c r="B7095">
        <v>28</v>
      </c>
      <c r="C7095" t="s">
        <v>85</v>
      </c>
      <c r="D7095" t="s">
        <v>2285</v>
      </c>
      <c r="E7095" t="s">
        <v>2286</v>
      </c>
      <c r="F7095">
        <v>1005</v>
      </c>
      <c r="G7095" t="s">
        <v>85</v>
      </c>
      <c r="H7095">
        <v>2005</v>
      </c>
      <c r="I7095" t="s">
        <v>85</v>
      </c>
      <c r="J7095">
        <v>3015</v>
      </c>
      <c r="K7095" t="s">
        <v>757</v>
      </c>
      <c r="L7095">
        <v>0</v>
      </c>
      <c r="N7095" t="s">
        <v>199</v>
      </c>
      <c r="O7095">
        <v>0</v>
      </c>
      <c r="P7095">
        <v>15</v>
      </c>
      <c r="Q7095" t="s">
        <v>264</v>
      </c>
      <c r="R7095" t="s">
        <v>201</v>
      </c>
      <c r="S7095">
        <v>0</v>
      </c>
      <c r="T7095">
        <v>0</v>
      </c>
      <c r="U7095">
        <v>1490</v>
      </c>
      <c r="V7095">
        <v>1490</v>
      </c>
    </row>
    <row r="7096" spans="1:22">
      <c r="A7096" t="s">
        <v>196</v>
      </c>
      <c r="B7096">
        <v>28</v>
      </c>
      <c r="C7096" t="s">
        <v>85</v>
      </c>
      <c r="D7096" t="s">
        <v>2285</v>
      </c>
      <c r="E7096" t="s">
        <v>2286</v>
      </c>
      <c r="F7096">
        <v>1005</v>
      </c>
      <c r="G7096" t="s">
        <v>85</v>
      </c>
      <c r="H7096">
        <v>2005</v>
      </c>
      <c r="I7096" t="s">
        <v>85</v>
      </c>
      <c r="J7096">
        <v>3025</v>
      </c>
      <c r="K7096" t="s">
        <v>1840</v>
      </c>
      <c r="L7096">
        <v>0</v>
      </c>
      <c r="N7096" t="s">
        <v>616</v>
      </c>
      <c r="O7096">
        <v>9</v>
      </c>
      <c r="P7096">
        <v>9673</v>
      </c>
      <c r="Q7096" t="s">
        <v>758</v>
      </c>
      <c r="R7096" t="s">
        <v>201</v>
      </c>
      <c r="S7096">
        <v>1</v>
      </c>
      <c r="T7096">
        <v>1</v>
      </c>
      <c r="U7096">
        <v>158568</v>
      </c>
      <c r="V7096">
        <v>158568</v>
      </c>
    </row>
    <row r="7097" spans="1:22">
      <c r="A7097" t="s">
        <v>196</v>
      </c>
      <c r="B7097">
        <v>28</v>
      </c>
      <c r="C7097" t="s">
        <v>85</v>
      </c>
      <c r="D7097" t="s">
        <v>2285</v>
      </c>
      <c r="E7097" t="s">
        <v>2286</v>
      </c>
      <c r="F7097">
        <v>1005</v>
      </c>
      <c r="G7097" t="s">
        <v>85</v>
      </c>
      <c r="H7097">
        <v>2005</v>
      </c>
      <c r="I7097" t="s">
        <v>85</v>
      </c>
      <c r="J7097">
        <v>3025</v>
      </c>
      <c r="K7097" t="s">
        <v>1840</v>
      </c>
      <c r="L7097">
        <v>0</v>
      </c>
      <c r="N7097" t="s">
        <v>199</v>
      </c>
      <c r="O7097">
        <v>0</v>
      </c>
      <c r="P7097">
        <v>15</v>
      </c>
      <c r="Q7097" t="s">
        <v>264</v>
      </c>
      <c r="R7097" t="s">
        <v>201</v>
      </c>
      <c r="S7097">
        <v>0</v>
      </c>
      <c r="T7097">
        <v>0</v>
      </c>
      <c r="U7097">
        <v>3017</v>
      </c>
      <c r="V7097">
        <v>3017</v>
      </c>
    </row>
    <row r="7098" spans="1:22">
      <c r="A7098" t="s">
        <v>196</v>
      </c>
      <c r="B7098">
        <v>31</v>
      </c>
      <c r="C7098" t="s">
        <v>27</v>
      </c>
      <c r="D7098" t="s">
        <v>2285</v>
      </c>
      <c r="E7098" t="s">
        <v>2286</v>
      </c>
      <c r="F7098">
        <v>1005</v>
      </c>
      <c r="G7098" t="s">
        <v>27</v>
      </c>
      <c r="H7098">
        <v>2005</v>
      </c>
      <c r="I7098" t="s">
        <v>27</v>
      </c>
      <c r="J7098">
        <v>3044</v>
      </c>
      <c r="K7098" t="s">
        <v>835</v>
      </c>
      <c r="L7098">
        <v>0</v>
      </c>
      <c r="N7098" t="s">
        <v>821</v>
      </c>
      <c r="O7098">
        <v>9</v>
      </c>
      <c r="P7098">
        <v>1672</v>
      </c>
      <c r="Q7098" t="s">
        <v>822</v>
      </c>
      <c r="R7098" t="s">
        <v>201</v>
      </c>
      <c r="S7098">
        <v>1</v>
      </c>
      <c r="T7098">
        <v>1</v>
      </c>
      <c r="U7098">
        <v>142776</v>
      </c>
      <c r="V7098">
        <v>142776</v>
      </c>
    </row>
    <row r="7099" spans="1:22">
      <c r="A7099" t="s">
        <v>196</v>
      </c>
      <c r="B7099">
        <v>31</v>
      </c>
      <c r="C7099" t="s">
        <v>27</v>
      </c>
      <c r="D7099" t="s">
        <v>2285</v>
      </c>
      <c r="E7099" t="s">
        <v>2286</v>
      </c>
      <c r="F7099">
        <v>1005</v>
      </c>
      <c r="G7099" t="s">
        <v>27</v>
      </c>
      <c r="H7099">
        <v>2005</v>
      </c>
      <c r="I7099" t="s">
        <v>27</v>
      </c>
      <c r="J7099">
        <v>3044</v>
      </c>
      <c r="K7099" t="s">
        <v>835</v>
      </c>
      <c r="L7099">
        <v>0</v>
      </c>
      <c r="N7099" t="s">
        <v>821</v>
      </c>
      <c r="O7099">
        <v>9</v>
      </c>
      <c r="P7099">
        <v>1672</v>
      </c>
      <c r="Q7099" t="s">
        <v>822</v>
      </c>
      <c r="R7099" t="s">
        <v>201</v>
      </c>
      <c r="S7099">
        <v>2</v>
      </c>
      <c r="T7099">
        <v>1</v>
      </c>
      <c r="U7099">
        <v>118596</v>
      </c>
      <c r="V7099">
        <v>237192</v>
      </c>
    </row>
    <row r="7100" spans="1:22">
      <c r="A7100" t="s">
        <v>196</v>
      </c>
      <c r="B7100">
        <v>31</v>
      </c>
      <c r="C7100" t="s">
        <v>27</v>
      </c>
      <c r="D7100" t="s">
        <v>2285</v>
      </c>
      <c r="E7100" t="s">
        <v>2286</v>
      </c>
      <c r="F7100">
        <v>1005</v>
      </c>
      <c r="G7100" t="s">
        <v>27</v>
      </c>
      <c r="H7100">
        <v>2005</v>
      </c>
      <c r="I7100" t="s">
        <v>27</v>
      </c>
      <c r="J7100">
        <v>3044</v>
      </c>
      <c r="K7100" t="s">
        <v>835</v>
      </c>
      <c r="L7100">
        <v>0</v>
      </c>
      <c r="N7100" t="s">
        <v>821</v>
      </c>
      <c r="O7100">
        <v>9</v>
      </c>
      <c r="P7100">
        <v>1672</v>
      </c>
      <c r="Q7100" t="s">
        <v>822</v>
      </c>
      <c r="R7100" t="s">
        <v>201</v>
      </c>
      <c r="S7100">
        <v>1</v>
      </c>
      <c r="T7100">
        <v>1</v>
      </c>
      <c r="U7100">
        <v>108084</v>
      </c>
      <c r="V7100">
        <v>108084</v>
      </c>
    </row>
    <row r="7101" spans="1:22">
      <c r="A7101" t="s">
        <v>196</v>
      </c>
      <c r="B7101">
        <v>31</v>
      </c>
      <c r="C7101" t="s">
        <v>27</v>
      </c>
      <c r="D7101" t="s">
        <v>2285</v>
      </c>
      <c r="E7101" t="s">
        <v>2286</v>
      </c>
      <c r="F7101">
        <v>1005</v>
      </c>
      <c r="G7101" t="s">
        <v>27</v>
      </c>
      <c r="H7101">
        <v>2005</v>
      </c>
      <c r="I7101" t="s">
        <v>27</v>
      </c>
      <c r="J7101">
        <v>3044</v>
      </c>
      <c r="K7101" t="s">
        <v>835</v>
      </c>
      <c r="L7101">
        <v>0</v>
      </c>
      <c r="N7101" t="s">
        <v>821</v>
      </c>
      <c r="O7101">
        <v>9</v>
      </c>
      <c r="P7101">
        <v>1672</v>
      </c>
      <c r="Q7101" t="s">
        <v>822</v>
      </c>
      <c r="R7101" t="s">
        <v>201</v>
      </c>
      <c r="S7101">
        <v>1</v>
      </c>
      <c r="T7101">
        <v>1</v>
      </c>
      <c r="U7101">
        <v>103176</v>
      </c>
      <c r="V7101">
        <v>103176</v>
      </c>
    </row>
    <row r="7102" spans="1:22">
      <c r="A7102" t="s">
        <v>196</v>
      </c>
      <c r="B7102">
        <v>31</v>
      </c>
      <c r="C7102" t="s">
        <v>27</v>
      </c>
      <c r="D7102" t="s">
        <v>2285</v>
      </c>
      <c r="E7102" t="s">
        <v>2286</v>
      </c>
      <c r="F7102">
        <v>1005</v>
      </c>
      <c r="G7102" t="s">
        <v>27</v>
      </c>
      <c r="H7102">
        <v>2005</v>
      </c>
      <c r="I7102" t="s">
        <v>27</v>
      </c>
      <c r="J7102">
        <v>3044</v>
      </c>
      <c r="K7102" t="s">
        <v>835</v>
      </c>
      <c r="L7102">
        <v>0</v>
      </c>
      <c r="N7102" t="s">
        <v>821</v>
      </c>
      <c r="O7102">
        <v>9</v>
      </c>
      <c r="P7102">
        <v>1672</v>
      </c>
      <c r="Q7102" t="s">
        <v>822</v>
      </c>
      <c r="R7102" t="s">
        <v>201</v>
      </c>
      <c r="S7102">
        <v>1</v>
      </c>
      <c r="T7102">
        <v>1</v>
      </c>
      <c r="U7102">
        <v>94044</v>
      </c>
      <c r="V7102">
        <v>94044</v>
      </c>
    </row>
    <row r="7103" spans="1:22">
      <c r="A7103" t="s">
        <v>196</v>
      </c>
      <c r="B7103">
        <v>31</v>
      </c>
      <c r="C7103" t="s">
        <v>27</v>
      </c>
      <c r="D7103" t="s">
        <v>2285</v>
      </c>
      <c r="E7103" t="s">
        <v>2286</v>
      </c>
      <c r="F7103">
        <v>1005</v>
      </c>
      <c r="G7103" t="s">
        <v>27</v>
      </c>
      <c r="H7103">
        <v>2005</v>
      </c>
      <c r="I7103" t="s">
        <v>27</v>
      </c>
      <c r="J7103">
        <v>3044</v>
      </c>
      <c r="K7103" t="s">
        <v>835</v>
      </c>
      <c r="L7103">
        <v>0</v>
      </c>
      <c r="N7103" t="s">
        <v>821</v>
      </c>
      <c r="O7103">
        <v>9</v>
      </c>
      <c r="P7103">
        <v>1672</v>
      </c>
      <c r="Q7103" t="s">
        <v>822</v>
      </c>
      <c r="R7103" t="s">
        <v>201</v>
      </c>
      <c r="S7103">
        <v>2</v>
      </c>
      <c r="T7103">
        <v>1</v>
      </c>
      <c r="U7103">
        <v>81816</v>
      </c>
      <c r="V7103">
        <v>163632</v>
      </c>
    </row>
    <row r="7104" spans="1:22">
      <c r="A7104" t="s">
        <v>196</v>
      </c>
      <c r="B7104">
        <v>31</v>
      </c>
      <c r="C7104" t="s">
        <v>27</v>
      </c>
      <c r="D7104" t="s">
        <v>2285</v>
      </c>
      <c r="E7104" t="s">
        <v>2286</v>
      </c>
      <c r="F7104">
        <v>1005</v>
      </c>
      <c r="G7104" t="s">
        <v>27</v>
      </c>
      <c r="H7104">
        <v>2005</v>
      </c>
      <c r="I7104" t="s">
        <v>27</v>
      </c>
      <c r="J7104">
        <v>3044</v>
      </c>
      <c r="K7104" t="s">
        <v>835</v>
      </c>
      <c r="L7104">
        <v>0</v>
      </c>
      <c r="N7104" t="s">
        <v>796</v>
      </c>
      <c r="O7104">
        <v>9</v>
      </c>
      <c r="P7104">
        <v>1652</v>
      </c>
      <c r="Q7104" t="s">
        <v>797</v>
      </c>
      <c r="R7104" t="s">
        <v>201</v>
      </c>
      <c r="S7104">
        <v>1</v>
      </c>
      <c r="T7104">
        <v>1</v>
      </c>
      <c r="U7104">
        <v>177612</v>
      </c>
      <c r="V7104">
        <v>177612</v>
      </c>
    </row>
    <row r="7105" spans="1:22">
      <c r="A7105" t="s">
        <v>196</v>
      </c>
      <c r="B7105">
        <v>31</v>
      </c>
      <c r="C7105" t="s">
        <v>27</v>
      </c>
      <c r="D7105" t="s">
        <v>2285</v>
      </c>
      <c r="E7105" t="s">
        <v>2286</v>
      </c>
      <c r="F7105">
        <v>1005</v>
      </c>
      <c r="G7105" t="s">
        <v>27</v>
      </c>
      <c r="H7105">
        <v>2005</v>
      </c>
      <c r="I7105" t="s">
        <v>27</v>
      </c>
      <c r="J7105">
        <v>3044</v>
      </c>
      <c r="K7105" t="s">
        <v>835</v>
      </c>
      <c r="L7105">
        <v>0</v>
      </c>
      <c r="N7105" t="s">
        <v>251</v>
      </c>
      <c r="O7105">
        <v>10</v>
      </c>
      <c r="P7105">
        <v>1619</v>
      </c>
      <c r="Q7105" t="s">
        <v>806</v>
      </c>
      <c r="R7105" t="s">
        <v>201</v>
      </c>
      <c r="S7105">
        <v>1</v>
      </c>
      <c r="T7105">
        <v>1</v>
      </c>
      <c r="U7105">
        <v>83052</v>
      </c>
      <c r="V7105">
        <v>83052</v>
      </c>
    </row>
    <row r="7106" spans="1:22">
      <c r="A7106" t="s">
        <v>196</v>
      </c>
      <c r="B7106">
        <v>31</v>
      </c>
      <c r="C7106" t="s">
        <v>27</v>
      </c>
      <c r="D7106" t="s">
        <v>2285</v>
      </c>
      <c r="E7106" t="s">
        <v>2286</v>
      </c>
      <c r="F7106">
        <v>1005</v>
      </c>
      <c r="G7106" t="s">
        <v>27</v>
      </c>
      <c r="H7106">
        <v>2005</v>
      </c>
      <c r="I7106" t="s">
        <v>27</v>
      </c>
      <c r="J7106">
        <v>3044</v>
      </c>
      <c r="K7106" t="s">
        <v>835</v>
      </c>
      <c r="L7106">
        <v>0</v>
      </c>
      <c r="N7106" t="s">
        <v>199</v>
      </c>
      <c r="O7106">
        <v>0</v>
      </c>
      <c r="P7106">
        <v>15</v>
      </c>
      <c r="Q7106" t="s">
        <v>264</v>
      </c>
      <c r="R7106" t="s">
        <v>201</v>
      </c>
      <c r="S7106">
        <v>0</v>
      </c>
      <c r="T7106">
        <v>0</v>
      </c>
      <c r="U7106">
        <v>3048</v>
      </c>
      <c r="V7106">
        <v>3048</v>
      </c>
    </row>
    <row r="7107" spans="1:22">
      <c r="A7107" t="s">
        <v>196</v>
      </c>
      <c r="B7107">
        <v>54</v>
      </c>
      <c r="C7107" t="s">
        <v>42</v>
      </c>
      <c r="D7107" t="s">
        <v>2285</v>
      </c>
      <c r="E7107" t="s">
        <v>2286</v>
      </c>
      <c r="F7107">
        <v>1005</v>
      </c>
      <c r="G7107" t="s">
        <v>42</v>
      </c>
      <c r="H7107">
        <v>2005</v>
      </c>
      <c r="I7107" t="s">
        <v>42</v>
      </c>
      <c r="J7107">
        <v>3035</v>
      </c>
      <c r="K7107" t="s">
        <v>309</v>
      </c>
      <c r="L7107">
        <v>4001</v>
      </c>
      <c r="M7107" t="s">
        <v>1253</v>
      </c>
      <c r="N7107" t="s">
        <v>372</v>
      </c>
      <c r="O7107">
        <v>1</v>
      </c>
      <c r="P7107">
        <v>1576</v>
      </c>
      <c r="Q7107" t="s">
        <v>650</v>
      </c>
      <c r="R7107" t="s">
        <v>201</v>
      </c>
      <c r="S7107">
        <v>1</v>
      </c>
      <c r="T7107">
        <v>1</v>
      </c>
      <c r="U7107">
        <v>130668</v>
      </c>
      <c r="V7107">
        <v>130668</v>
      </c>
    </row>
    <row r="7108" spans="1:22">
      <c r="A7108" t="s">
        <v>196</v>
      </c>
      <c r="B7108">
        <v>54</v>
      </c>
      <c r="C7108" t="s">
        <v>42</v>
      </c>
      <c r="D7108" t="s">
        <v>2285</v>
      </c>
      <c r="E7108" t="s">
        <v>2286</v>
      </c>
      <c r="F7108">
        <v>1005</v>
      </c>
      <c r="G7108" t="s">
        <v>42</v>
      </c>
      <c r="H7108">
        <v>2005</v>
      </c>
      <c r="I7108" t="s">
        <v>42</v>
      </c>
      <c r="J7108">
        <v>3035</v>
      </c>
      <c r="K7108" t="s">
        <v>309</v>
      </c>
      <c r="L7108">
        <v>4001</v>
      </c>
      <c r="M7108" t="s">
        <v>1253</v>
      </c>
      <c r="N7108" t="s">
        <v>341</v>
      </c>
      <c r="O7108">
        <v>1</v>
      </c>
      <c r="P7108">
        <v>1482</v>
      </c>
      <c r="Q7108" t="s">
        <v>364</v>
      </c>
      <c r="R7108" t="s">
        <v>201</v>
      </c>
      <c r="S7108">
        <v>1</v>
      </c>
      <c r="T7108">
        <v>1</v>
      </c>
      <c r="U7108">
        <v>70752</v>
      </c>
      <c r="V7108">
        <v>70752</v>
      </c>
    </row>
    <row r="7109" spans="1:22">
      <c r="A7109" t="s">
        <v>196</v>
      </c>
      <c r="B7109">
        <v>54</v>
      </c>
      <c r="C7109" t="s">
        <v>42</v>
      </c>
      <c r="D7109" t="s">
        <v>2285</v>
      </c>
      <c r="E7109" t="s">
        <v>2286</v>
      </c>
      <c r="F7109">
        <v>1005</v>
      </c>
      <c r="G7109" t="s">
        <v>42</v>
      </c>
      <c r="H7109">
        <v>2005</v>
      </c>
      <c r="I7109" t="s">
        <v>42</v>
      </c>
      <c r="J7109">
        <v>3035</v>
      </c>
      <c r="K7109" t="s">
        <v>309</v>
      </c>
      <c r="L7109">
        <v>4001</v>
      </c>
      <c r="M7109" t="s">
        <v>1253</v>
      </c>
      <c r="N7109" t="s">
        <v>356</v>
      </c>
      <c r="O7109">
        <v>4</v>
      </c>
      <c r="P7109">
        <v>111</v>
      </c>
      <c r="Q7109" t="s">
        <v>648</v>
      </c>
      <c r="R7109" t="s">
        <v>201</v>
      </c>
      <c r="S7109">
        <v>1</v>
      </c>
      <c r="T7109">
        <v>1</v>
      </c>
      <c r="U7109">
        <v>90144</v>
      </c>
      <c r="V7109">
        <v>90144</v>
      </c>
    </row>
    <row r="7110" spans="1:22">
      <c r="A7110" t="s">
        <v>196</v>
      </c>
      <c r="B7110">
        <v>54</v>
      </c>
      <c r="C7110" t="s">
        <v>42</v>
      </c>
      <c r="D7110" t="s">
        <v>2285</v>
      </c>
      <c r="E7110" t="s">
        <v>2286</v>
      </c>
      <c r="F7110">
        <v>1005</v>
      </c>
      <c r="G7110" t="s">
        <v>42</v>
      </c>
      <c r="H7110">
        <v>2005</v>
      </c>
      <c r="I7110" t="s">
        <v>42</v>
      </c>
      <c r="J7110">
        <v>3035</v>
      </c>
      <c r="K7110" t="s">
        <v>309</v>
      </c>
      <c r="L7110">
        <v>4001</v>
      </c>
      <c r="M7110" t="s">
        <v>1253</v>
      </c>
      <c r="N7110" t="s">
        <v>341</v>
      </c>
      <c r="O7110">
        <v>4</v>
      </c>
      <c r="P7110">
        <v>110</v>
      </c>
      <c r="Q7110" t="s">
        <v>359</v>
      </c>
      <c r="R7110" t="s">
        <v>201</v>
      </c>
      <c r="S7110">
        <v>1</v>
      </c>
      <c r="T7110">
        <v>1</v>
      </c>
      <c r="U7110">
        <v>119100</v>
      </c>
      <c r="V7110">
        <v>119100</v>
      </c>
    </row>
    <row r="7111" spans="1:22">
      <c r="A7111" t="s">
        <v>196</v>
      </c>
      <c r="B7111">
        <v>54</v>
      </c>
      <c r="C7111" t="s">
        <v>42</v>
      </c>
      <c r="D7111" t="s">
        <v>2285</v>
      </c>
      <c r="E7111" t="s">
        <v>2286</v>
      </c>
      <c r="F7111">
        <v>1005</v>
      </c>
      <c r="G7111" t="s">
        <v>42</v>
      </c>
      <c r="H7111">
        <v>2005</v>
      </c>
      <c r="I7111" t="s">
        <v>42</v>
      </c>
      <c r="J7111">
        <v>3035</v>
      </c>
      <c r="K7111" t="s">
        <v>309</v>
      </c>
      <c r="L7111">
        <v>4001</v>
      </c>
      <c r="M7111" t="s">
        <v>1253</v>
      </c>
      <c r="N7111" t="s">
        <v>360</v>
      </c>
      <c r="O7111">
        <v>1</v>
      </c>
      <c r="P7111">
        <v>109</v>
      </c>
      <c r="Q7111" t="s">
        <v>361</v>
      </c>
      <c r="R7111" t="s">
        <v>201</v>
      </c>
      <c r="S7111">
        <v>1</v>
      </c>
      <c r="T7111">
        <v>1</v>
      </c>
      <c r="U7111">
        <v>57000</v>
      </c>
      <c r="V7111">
        <v>57000</v>
      </c>
    </row>
    <row r="7112" spans="1:22">
      <c r="A7112" t="s">
        <v>196</v>
      </c>
      <c r="B7112">
        <v>54</v>
      </c>
      <c r="C7112" t="s">
        <v>42</v>
      </c>
      <c r="D7112" t="s">
        <v>2285</v>
      </c>
      <c r="E7112" t="s">
        <v>2286</v>
      </c>
      <c r="F7112">
        <v>1005</v>
      </c>
      <c r="G7112" t="s">
        <v>42</v>
      </c>
      <c r="H7112">
        <v>2005</v>
      </c>
      <c r="I7112" t="s">
        <v>42</v>
      </c>
      <c r="J7112">
        <v>3035</v>
      </c>
      <c r="K7112" t="s">
        <v>309</v>
      </c>
      <c r="L7112">
        <v>4001</v>
      </c>
      <c r="M7112" t="s">
        <v>1253</v>
      </c>
      <c r="N7112" t="s">
        <v>199</v>
      </c>
      <c r="O7112">
        <v>0</v>
      </c>
      <c r="P7112">
        <v>15</v>
      </c>
      <c r="Q7112" t="s">
        <v>264</v>
      </c>
      <c r="R7112" t="s">
        <v>201</v>
      </c>
      <c r="S7112">
        <v>0</v>
      </c>
      <c r="T7112">
        <v>0</v>
      </c>
      <c r="U7112">
        <v>2632</v>
      </c>
      <c r="V7112">
        <v>2632</v>
      </c>
    </row>
    <row r="7113" spans="1:22">
      <c r="A7113" t="s">
        <v>196</v>
      </c>
      <c r="B7113">
        <v>54</v>
      </c>
      <c r="C7113" t="s">
        <v>42</v>
      </c>
      <c r="D7113" t="s">
        <v>2285</v>
      </c>
      <c r="E7113" t="s">
        <v>2286</v>
      </c>
      <c r="F7113">
        <v>1005</v>
      </c>
      <c r="G7113" t="s">
        <v>42</v>
      </c>
      <c r="H7113">
        <v>2005</v>
      </c>
      <c r="I7113" t="s">
        <v>42</v>
      </c>
      <c r="J7113">
        <v>3035</v>
      </c>
      <c r="K7113" t="s">
        <v>309</v>
      </c>
      <c r="L7113">
        <v>4002</v>
      </c>
      <c r="M7113" t="s">
        <v>783</v>
      </c>
      <c r="N7113" t="s">
        <v>251</v>
      </c>
      <c r="O7113">
        <v>10</v>
      </c>
      <c r="P7113">
        <v>3585</v>
      </c>
      <c r="Q7113" t="s">
        <v>1299</v>
      </c>
      <c r="R7113" t="s">
        <v>201</v>
      </c>
      <c r="S7113">
        <v>1</v>
      </c>
      <c r="T7113">
        <v>1</v>
      </c>
      <c r="U7113">
        <v>124584</v>
      </c>
      <c r="V7113">
        <v>124584</v>
      </c>
    </row>
    <row r="7114" spans="1:22">
      <c r="A7114" t="s">
        <v>196</v>
      </c>
      <c r="B7114">
        <v>54</v>
      </c>
      <c r="C7114" t="s">
        <v>42</v>
      </c>
      <c r="D7114" t="s">
        <v>2285</v>
      </c>
      <c r="E7114" t="s">
        <v>2286</v>
      </c>
      <c r="F7114">
        <v>1005</v>
      </c>
      <c r="G7114" t="s">
        <v>42</v>
      </c>
      <c r="H7114">
        <v>2005</v>
      </c>
      <c r="I7114" t="s">
        <v>42</v>
      </c>
      <c r="J7114">
        <v>3035</v>
      </c>
      <c r="K7114" t="s">
        <v>309</v>
      </c>
      <c r="L7114">
        <v>4002</v>
      </c>
      <c r="M7114" t="s">
        <v>783</v>
      </c>
      <c r="N7114" t="s">
        <v>372</v>
      </c>
      <c r="O7114">
        <v>4</v>
      </c>
      <c r="P7114">
        <v>1912</v>
      </c>
      <c r="Q7114" t="s">
        <v>608</v>
      </c>
      <c r="R7114" t="s">
        <v>201</v>
      </c>
      <c r="S7114">
        <v>1</v>
      </c>
      <c r="T7114">
        <v>1</v>
      </c>
      <c r="U7114">
        <v>108576</v>
      </c>
      <c r="V7114">
        <v>108576</v>
      </c>
    </row>
    <row r="7115" spans="1:22">
      <c r="A7115" t="s">
        <v>196</v>
      </c>
      <c r="B7115">
        <v>54</v>
      </c>
      <c r="C7115" t="s">
        <v>42</v>
      </c>
      <c r="D7115" t="s">
        <v>2285</v>
      </c>
      <c r="E7115" t="s">
        <v>2286</v>
      </c>
      <c r="F7115">
        <v>1005</v>
      </c>
      <c r="G7115" t="s">
        <v>42</v>
      </c>
      <c r="H7115">
        <v>2005</v>
      </c>
      <c r="I7115" t="s">
        <v>42</v>
      </c>
      <c r="J7115">
        <v>3035</v>
      </c>
      <c r="K7115" t="s">
        <v>309</v>
      </c>
      <c r="L7115">
        <v>4002</v>
      </c>
      <c r="M7115" t="s">
        <v>783</v>
      </c>
      <c r="N7115" t="s">
        <v>251</v>
      </c>
      <c r="O7115">
        <v>10</v>
      </c>
      <c r="P7115">
        <v>1430</v>
      </c>
      <c r="Q7115" t="s">
        <v>850</v>
      </c>
      <c r="R7115" t="s">
        <v>201</v>
      </c>
      <c r="S7115">
        <v>1</v>
      </c>
      <c r="T7115">
        <v>1</v>
      </c>
      <c r="U7115">
        <v>80124</v>
      </c>
      <c r="V7115">
        <v>80124</v>
      </c>
    </row>
    <row r="7116" spans="1:22">
      <c r="A7116" t="s">
        <v>196</v>
      </c>
      <c r="B7116">
        <v>54</v>
      </c>
      <c r="C7116" t="s">
        <v>42</v>
      </c>
      <c r="D7116" t="s">
        <v>2285</v>
      </c>
      <c r="E7116" t="s">
        <v>2286</v>
      </c>
      <c r="F7116">
        <v>1005</v>
      </c>
      <c r="G7116" t="s">
        <v>42</v>
      </c>
      <c r="H7116">
        <v>2005</v>
      </c>
      <c r="I7116" t="s">
        <v>42</v>
      </c>
      <c r="J7116">
        <v>3035</v>
      </c>
      <c r="K7116" t="s">
        <v>309</v>
      </c>
      <c r="L7116">
        <v>4002</v>
      </c>
      <c r="M7116" t="s">
        <v>783</v>
      </c>
      <c r="N7116" t="s">
        <v>294</v>
      </c>
      <c r="O7116">
        <v>10</v>
      </c>
      <c r="P7116">
        <v>1335</v>
      </c>
      <c r="Q7116" t="s">
        <v>2290</v>
      </c>
      <c r="R7116" t="s">
        <v>201</v>
      </c>
      <c r="S7116">
        <v>1</v>
      </c>
      <c r="T7116">
        <v>1</v>
      </c>
      <c r="U7116">
        <v>72996</v>
      </c>
      <c r="V7116">
        <v>72996</v>
      </c>
    </row>
    <row r="7117" spans="1:22">
      <c r="A7117" t="s">
        <v>196</v>
      </c>
      <c r="B7117">
        <v>54</v>
      </c>
      <c r="C7117" t="s">
        <v>42</v>
      </c>
      <c r="D7117" t="s">
        <v>2285</v>
      </c>
      <c r="E7117" t="s">
        <v>2286</v>
      </c>
      <c r="F7117">
        <v>1005</v>
      </c>
      <c r="G7117" t="s">
        <v>42</v>
      </c>
      <c r="H7117">
        <v>2005</v>
      </c>
      <c r="I7117" t="s">
        <v>42</v>
      </c>
      <c r="J7117">
        <v>3035</v>
      </c>
      <c r="K7117" t="s">
        <v>309</v>
      </c>
      <c r="L7117">
        <v>4002</v>
      </c>
      <c r="M7117" t="s">
        <v>783</v>
      </c>
      <c r="N7117" t="s">
        <v>253</v>
      </c>
      <c r="O7117">
        <v>20</v>
      </c>
      <c r="P7117">
        <v>1318</v>
      </c>
      <c r="Q7117" t="s">
        <v>934</v>
      </c>
      <c r="R7117" t="s">
        <v>201</v>
      </c>
      <c r="S7117">
        <v>1</v>
      </c>
      <c r="T7117">
        <v>1</v>
      </c>
      <c r="U7117">
        <v>83052</v>
      </c>
      <c r="V7117">
        <v>83052</v>
      </c>
    </row>
    <row r="7118" spans="1:22">
      <c r="A7118" t="s">
        <v>196</v>
      </c>
      <c r="B7118">
        <v>54</v>
      </c>
      <c r="C7118" t="s">
        <v>42</v>
      </c>
      <c r="D7118" t="s">
        <v>2285</v>
      </c>
      <c r="E7118" t="s">
        <v>2286</v>
      </c>
      <c r="F7118">
        <v>1005</v>
      </c>
      <c r="G7118" t="s">
        <v>42</v>
      </c>
      <c r="H7118">
        <v>2005</v>
      </c>
      <c r="I7118" t="s">
        <v>42</v>
      </c>
      <c r="J7118">
        <v>3035</v>
      </c>
      <c r="K7118" t="s">
        <v>309</v>
      </c>
      <c r="L7118">
        <v>4002</v>
      </c>
      <c r="M7118" t="s">
        <v>783</v>
      </c>
      <c r="N7118" t="s">
        <v>268</v>
      </c>
      <c r="O7118">
        <v>10</v>
      </c>
      <c r="P7118">
        <v>1310</v>
      </c>
      <c r="Q7118" t="s">
        <v>787</v>
      </c>
      <c r="R7118" t="s">
        <v>201</v>
      </c>
      <c r="S7118">
        <v>1</v>
      </c>
      <c r="T7118">
        <v>1</v>
      </c>
      <c r="U7118">
        <v>80124</v>
      </c>
      <c r="V7118">
        <v>80124</v>
      </c>
    </row>
    <row r="7119" spans="1:22">
      <c r="A7119" t="s">
        <v>196</v>
      </c>
      <c r="B7119">
        <v>54</v>
      </c>
      <c r="C7119" t="s">
        <v>42</v>
      </c>
      <c r="D7119" t="s">
        <v>2285</v>
      </c>
      <c r="E7119" t="s">
        <v>2286</v>
      </c>
      <c r="F7119">
        <v>1005</v>
      </c>
      <c r="G7119" t="s">
        <v>42</v>
      </c>
      <c r="H7119">
        <v>2005</v>
      </c>
      <c r="I7119" t="s">
        <v>42</v>
      </c>
      <c r="J7119">
        <v>3035</v>
      </c>
      <c r="K7119" t="s">
        <v>309</v>
      </c>
      <c r="L7119">
        <v>4002</v>
      </c>
      <c r="M7119" t="s">
        <v>783</v>
      </c>
      <c r="N7119" t="s">
        <v>274</v>
      </c>
      <c r="O7119">
        <v>0</v>
      </c>
      <c r="P7119">
        <v>601</v>
      </c>
      <c r="Q7119" t="s">
        <v>790</v>
      </c>
      <c r="R7119" t="s">
        <v>201</v>
      </c>
      <c r="S7119">
        <v>1</v>
      </c>
      <c r="T7119">
        <v>1</v>
      </c>
      <c r="U7119">
        <v>137532</v>
      </c>
      <c r="V7119">
        <v>137532</v>
      </c>
    </row>
    <row r="7120" spans="1:22">
      <c r="A7120" t="s">
        <v>196</v>
      </c>
      <c r="B7120">
        <v>54</v>
      </c>
      <c r="C7120" t="s">
        <v>42</v>
      </c>
      <c r="D7120" t="s">
        <v>2285</v>
      </c>
      <c r="E7120" t="s">
        <v>2286</v>
      </c>
      <c r="F7120">
        <v>1005</v>
      </c>
      <c r="G7120" t="s">
        <v>42</v>
      </c>
      <c r="H7120">
        <v>2005</v>
      </c>
      <c r="I7120" t="s">
        <v>42</v>
      </c>
      <c r="J7120">
        <v>3035</v>
      </c>
      <c r="K7120" t="s">
        <v>309</v>
      </c>
      <c r="L7120">
        <v>4002</v>
      </c>
      <c r="M7120" t="s">
        <v>783</v>
      </c>
      <c r="N7120" t="s">
        <v>199</v>
      </c>
      <c r="O7120">
        <v>0</v>
      </c>
      <c r="P7120">
        <v>15</v>
      </c>
      <c r="Q7120" t="s">
        <v>264</v>
      </c>
      <c r="R7120" t="s">
        <v>201</v>
      </c>
      <c r="S7120">
        <v>0</v>
      </c>
      <c r="T7120">
        <v>0</v>
      </c>
      <c r="U7120">
        <v>14338</v>
      </c>
      <c r="V7120">
        <v>14338</v>
      </c>
    </row>
    <row r="7121" spans="1:22">
      <c r="A7121" t="s">
        <v>196</v>
      </c>
      <c r="B7121">
        <v>54</v>
      </c>
      <c r="C7121" t="s">
        <v>42</v>
      </c>
      <c r="D7121" t="s">
        <v>2285</v>
      </c>
      <c r="E7121" t="s">
        <v>2286</v>
      </c>
      <c r="F7121">
        <v>1005</v>
      </c>
      <c r="G7121" t="s">
        <v>42</v>
      </c>
      <c r="H7121">
        <v>2005</v>
      </c>
      <c r="I7121" t="s">
        <v>42</v>
      </c>
      <c r="J7121">
        <v>3041</v>
      </c>
      <c r="K7121" t="s">
        <v>1840</v>
      </c>
      <c r="L7121">
        <v>4056</v>
      </c>
      <c r="M7121" t="s">
        <v>2291</v>
      </c>
      <c r="N7121" t="s">
        <v>261</v>
      </c>
      <c r="O7121">
        <v>20</v>
      </c>
      <c r="P7121">
        <v>1437</v>
      </c>
      <c r="Q7121" t="s">
        <v>609</v>
      </c>
      <c r="R7121" t="s">
        <v>201</v>
      </c>
      <c r="S7121">
        <v>2</v>
      </c>
      <c r="T7121">
        <v>1</v>
      </c>
      <c r="U7121">
        <v>122556</v>
      </c>
      <c r="V7121">
        <v>245112</v>
      </c>
    </row>
    <row r="7122" spans="1:22">
      <c r="A7122" t="s">
        <v>196</v>
      </c>
      <c r="B7122">
        <v>54</v>
      </c>
      <c r="C7122" t="s">
        <v>42</v>
      </c>
      <c r="D7122" t="s">
        <v>2285</v>
      </c>
      <c r="E7122" t="s">
        <v>2286</v>
      </c>
      <c r="F7122">
        <v>1005</v>
      </c>
      <c r="G7122" t="s">
        <v>42</v>
      </c>
      <c r="H7122">
        <v>2005</v>
      </c>
      <c r="I7122" t="s">
        <v>42</v>
      </c>
      <c r="J7122">
        <v>3041</v>
      </c>
      <c r="K7122" t="s">
        <v>1840</v>
      </c>
      <c r="L7122">
        <v>4056</v>
      </c>
      <c r="M7122" t="s">
        <v>2291</v>
      </c>
      <c r="N7122" t="s">
        <v>261</v>
      </c>
      <c r="O7122">
        <v>20</v>
      </c>
      <c r="P7122">
        <v>1437</v>
      </c>
      <c r="Q7122" t="s">
        <v>609</v>
      </c>
      <c r="R7122" t="s">
        <v>201</v>
      </c>
      <c r="S7122">
        <v>2</v>
      </c>
      <c r="T7122">
        <v>1</v>
      </c>
      <c r="U7122">
        <v>101628</v>
      </c>
      <c r="V7122">
        <v>203256</v>
      </c>
    </row>
    <row r="7123" spans="1:22">
      <c r="A7123" t="s">
        <v>196</v>
      </c>
      <c r="B7123">
        <v>54</v>
      </c>
      <c r="C7123" t="s">
        <v>42</v>
      </c>
      <c r="D7123" t="s">
        <v>2285</v>
      </c>
      <c r="E7123" t="s">
        <v>2286</v>
      </c>
      <c r="F7123">
        <v>1005</v>
      </c>
      <c r="G7123" t="s">
        <v>42</v>
      </c>
      <c r="H7123">
        <v>2005</v>
      </c>
      <c r="I7123" t="s">
        <v>42</v>
      </c>
      <c r="J7123">
        <v>3041</v>
      </c>
      <c r="K7123" t="s">
        <v>1840</v>
      </c>
      <c r="L7123">
        <v>4056</v>
      </c>
      <c r="M7123" t="s">
        <v>2291</v>
      </c>
      <c r="N7123" t="s">
        <v>261</v>
      </c>
      <c r="O7123">
        <v>20</v>
      </c>
      <c r="P7123">
        <v>1437</v>
      </c>
      <c r="Q7123" t="s">
        <v>609</v>
      </c>
      <c r="R7123" t="s">
        <v>201</v>
      </c>
      <c r="S7123">
        <v>1</v>
      </c>
      <c r="T7123">
        <v>1</v>
      </c>
      <c r="U7123">
        <v>97332</v>
      </c>
      <c r="V7123">
        <v>97332</v>
      </c>
    </row>
    <row r="7124" spans="1:22">
      <c r="A7124" t="s">
        <v>196</v>
      </c>
      <c r="B7124">
        <v>54</v>
      </c>
      <c r="C7124" t="s">
        <v>42</v>
      </c>
      <c r="D7124" t="s">
        <v>2285</v>
      </c>
      <c r="E7124" t="s">
        <v>2286</v>
      </c>
      <c r="F7124">
        <v>1005</v>
      </c>
      <c r="G7124" t="s">
        <v>42</v>
      </c>
      <c r="H7124">
        <v>2005</v>
      </c>
      <c r="I7124" t="s">
        <v>42</v>
      </c>
      <c r="J7124">
        <v>3041</v>
      </c>
      <c r="K7124" t="s">
        <v>1840</v>
      </c>
      <c r="L7124">
        <v>4056</v>
      </c>
      <c r="M7124" t="s">
        <v>2291</v>
      </c>
      <c r="N7124" t="s">
        <v>261</v>
      </c>
      <c r="O7124">
        <v>20</v>
      </c>
      <c r="P7124">
        <v>1437</v>
      </c>
      <c r="Q7124" t="s">
        <v>609</v>
      </c>
      <c r="R7124" t="s">
        <v>201</v>
      </c>
      <c r="S7124">
        <v>2</v>
      </c>
      <c r="T7124">
        <v>1</v>
      </c>
      <c r="U7124">
        <v>93156</v>
      </c>
      <c r="V7124">
        <v>186312</v>
      </c>
    </row>
    <row r="7125" spans="1:22">
      <c r="A7125" t="s">
        <v>196</v>
      </c>
      <c r="B7125">
        <v>54</v>
      </c>
      <c r="C7125" t="s">
        <v>42</v>
      </c>
      <c r="D7125" t="s">
        <v>2285</v>
      </c>
      <c r="E7125" t="s">
        <v>2286</v>
      </c>
      <c r="F7125">
        <v>1005</v>
      </c>
      <c r="G7125" t="s">
        <v>42</v>
      </c>
      <c r="H7125">
        <v>2005</v>
      </c>
      <c r="I7125" t="s">
        <v>42</v>
      </c>
      <c r="J7125">
        <v>3041</v>
      </c>
      <c r="K7125" t="s">
        <v>1840</v>
      </c>
      <c r="L7125">
        <v>4056</v>
      </c>
      <c r="M7125" t="s">
        <v>2291</v>
      </c>
      <c r="N7125" t="s">
        <v>261</v>
      </c>
      <c r="O7125">
        <v>20</v>
      </c>
      <c r="P7125">
        <v>1437</v>
      </c>
      <c r="Q7125" t="s">
        <v>609</v>
      </c>
      <c r="R7125" t="s">
        <v>201</v>
      </c>
      <c r="S7125">
        <v>2</v>
      </c>
      <c r="T7125">
        <v>1</v>
      </c>
      <c r="U7125">
        <v>89112</v>
      </c>
      <c r="V7125">
        <v>178224</v>
      </c>
    </row>
    <row r="7126" spans="1:22">
      <c r="A7126" t="s">
        <v>196</v>
      </c>
      <c r="B7126">
        <v>54</v>
      </c>
      <c r="C7126" t="s">
        <v>42</v>
      </c>
      <c r="D7126" t="s">
        <v>2285</v>
      </c>
      <c r="E7126" t="s">
        <v>2286</v>
      </c>
      <c r="F7126">
        <v>1005</v>
      </c>
      <c r="G7126" t="s">
        <v>42</v>
      </c>
      <c r="H7126">
        <v>2005</v>
      </c>
      <c r="I7126" t="s">
        <v>42</v>
      </c>
      <c r="J7126">
        <v>3041</v>
      </c>
      <c r="K7126" t="s">
        <v>1840</v>
      </c>
      <c r="L7126">
        <v>4056</v>
      </c>
      <c r="M7126" t="s">
        <v>2291</v>
      </c>
      <c r="N7126" t="s">
        <v>274</v>
      </c>
      <c r="O7126">
        <v>9</v>
      </c>
      <c r="P7126">
        <v>313</v>
      </c>
      <c r="Q7126" t="s">
        <v>605</v>
      </c>
      <c r="R7126" t="s">
        <v>201</v>
      </c>
      <c r="S7126">
        <v>1</v>
      </c>
      <c r="T7126">
        <v>1</v>
      </c>
      <c r="U7126">
        <v>121668</v>
      </c>
      <c r="V7126">
        <v>121668</v>
      </c>
    </row>
    <row r="7127" spans="1:22">
      <c r="A7127" t="s">
        <v>196</v>
      </c>
      <c r="B7127">
        <v>54</v>
      </c>
      <c r="C7127" t="s">
        <v>42</v>
      </c>
      <c r="D7127" t="s">
        <v>2285</v>
      </c>
      <c r="E7127" t="s">
        <v>2286</v>
      </c>
      <c r="F7127">
        <v>1005</v>
      </c>
      <c r="G7127" t="s">
        <v>42</v>
      </c>
      <c r="H7127">
        <v>2005</v>
      </c>
      <c r="I7127" t="s">
        <v>42</v>
      </c>
      <c r="J7127">
        <v>3041</v>
      </c>
      <c r="K7127" t="s">
        <v>1840</v>
      </c>
      <c r="L7127">
        <v>4056</v>
      </c>
      <c r="M7127" t="s">
        <v>2291</v>
      </c>
      <c r="N7127" t="s">
        <v>199</v>
      </c>
      <c r="O7127">
        <v>0</v>
      </c>
      <c r="P7127">
        <v>15</v>
      </c>
      <c r="Q7127" t="s">
        <v>264</v>
      </c>
      <c r="R7127" t="s">
        <v>201</v>
      </c>
      <c r="S7127">
        <v>0</v>
      </c>
      <c r="T7127">
        <v>0</v>
      </c>
      <c r="U7127">
        <v>33192</v>
      </c>
      <c r="V7127">
        <v>33192</v>
      </c>
    </row>
    <row r="7128" spans="1:22">
      <c r="A7128" t="s">
        <v>196</v>
      </c>
      <c r="B7128">
        <v>54</v>
      </c>
      <c r="C7128" t="s">
        <v>42</v>
      </c>
      <c r="D7128" t="s">
        <v>2285</v>
      </c>
      <c r="E7128" t="s">
        <v>2286</v>
      </c>
      <c r="F7128">
        <v>1005</v>
      </c>
      <c r="G7128" t="s">
        <v>42</v>
      </c>
      <c r="H7128">
        <v>2005</v>
      </c>
      <c r="I7128" t="s">
        <v>42</v>
      </c>
      <c r="J7128">
        <v>3041</v>
      </c>
      <c r="K7128" t="s">
        <v>1840</v>
      </c>
      <c r="L7128">
        <v>4057</v>
      </c>
      <c r="M7128" t="s">
        <v>2292</v>
      </c>
      <c r="N7128" t="s">
        <v>311</v>
      </c>
      <c r="O7128">
        <v>9</v>
      </c>
      <c r="P7128">
        <v>9813</v>
      </c>
      <c r="Q7128" t="s">
        <v>600</v>
      </c>
      <c r="R7128" t="s">
        <v>201</v>
      </c>
      <c r="S7128">
        <v>1</v>
      </c>
      <c r="T7128">
        <v>1</v>
      </c>
      <c r="U7128">
        <v>188400</v>
      </c>
      <c r="V7128">
        <v>188400</v>
      </c>
    </row>
    <row r="7129" spans="1:22">
      <c r="A7129" t="s">
        <v>196</v>
      </c>
      <c r="B7129">
        <v>54</v>
      </c>
      <c r="C7129" t="s">
        <v>42</v>
      </c>
      <c r="D7129" t="s">
        <v>2285</v>
      </c>
      <c r="E7129" t="s">
        <v>2286</v>
      </c>
      <c r="F7129">
        <v>1005</v>
      </c>
      <c r="G7129" t="s">
        <v>42</v>
      </c>
      <c r="H7129">
        <v>2005</v>
      </c>
      <c r="I7129" t="s">
        <v>42</v>
      </c>
      <c r="J7129">
        <v>3041</v>
      </c>
      <c r="K7129" t="s">
        <v>1840</v>
      </c>
      <c r="L7129">
        <v>4057</v>
      </c>
      <c r="M7129" t="s">
        <v>2292</v>
      </c>
      <c r="N7129" t="s">
        <v>266</v>
      </c>
      <c r="O7129">
        <v>9</v>
      </c>
      <c r="P7129">
        <v>9679</v>
      </c>
      <c r="Q7129" t="s">
        <v>338</v>
      </c>
      <c r="R7129" t="s">
        <v>201</v>
      </c>
      <c r="S7129">
        <v>1</v>
      </c>
      <c r="T7129">
        <v>1</v>
      </c>
      <c r="U7129">
        <v>167964</v>
      </c>
      <c r="V7129">
        <v>167964</v>
      </c>
    </row>
    <row r="7130" spans="1:22">
      <c r="A7130" t="s">
        <v>196</v>
      </c>
      <c r="B7130">
        <v>54</v>
      </c>
      <c r="C7130" t="s">
        <v>42</v>
      </c>
      <c r="D7130" t="s">
        <v>2285</v>
      </c>
      <c r="E7130" t="s">
        <v>2286</v>
      </c>
      <c r="F7130">
        <v>1005</v>
      </c>
      <c r="G7130" t="s">
        <v>42</v>
      </c>
      <c r="H7130">
        <v>2005</v>
      </c>
      <c r="I7130" t="s">
        <v>42</v>
      </c>
      <c r="J7130">
        <v>3041</v>
      </c>
      <c r="K7130" t="s">
        <v>1840</v>
      </c>
      <c r="L7130">
        <v>4057</v>
      </c>
      <c r="M7130" t="s">
        <v>2292</v>
      </c>
      <c r="N7130" t="s">
        <v>251</v>
      </c>
      <c r="O7130">
        <v>10</v>
      </c>
      <c r="P7130">
        <v>1984</v>
      </c>
      <c r="Q7130" t="s">
        <v>1266</v>
      </c>
      <c r="R7130" t="s">
        <v>201</v>
      </c>
      <c r="S7130">
        <v>1</v>
      </c>
      <c r="T7130">
        <v>1</v>
      </c>
      <c r="U7130">
        <v>85128</v>
      </c>
      <c r="V7130">
        <v>85128</v>
      </c>
    </row>
    <row r="7131" spans="1:22">
      <c r="A7131" t="s">
        <v>196</v>
      </c>
      <c r="B7131">
        <v>54</v>
      </c>
      <c r="C7131" t="s">
        <v>42</v>
      </c>
      <c r="D7131" t="s">
        <v>2285</v>
      </c>
      <c r="E7131" t="s">
        <v>2286</v>
      </c>
      <c r="F7131">
        <v>1005</v>
      </c>
      <c r="G7131" t="s">
        <v>42</v>
      </c>
      <c r="H7131">
        <v>2005</v>
      </c>
      <c r="I7131" t="s">
        <v>42</v>
      </c>
      <c r="J7131">
        <v>3041</v>
      </c>
      <c r="K7131" t="s">
        <v>1840</v>
      </c>
      <c r="L7131">
        <v>4057</v>
      </c>
      <c r="M7131" t="s">
        <v>2292</v>
      </c>
      <c r="N7131" t="s">
        <v>251</v>
      </c>
      <c r="O7131">
        <v>10</v>
      </c>
      <c r="P7131">
        <v>1984</v>
      </c>
      <c r="Q7131" t="s">
        <v>1266</v>
      </c>
      <c r="R7131" t="s">
        <v>201</v>
      </c>
      <c r="S7131">
        <v>1</v>
      </c>
      <c r="T7131">
        <v>1</v>
      </c>
      <c r="U7131">
        <v>83052</v>
      </c>
      <c r="V7131">
        <v>83052</v>
      </c>
    </row>
    <row r="7132" spans="1:22">
      <c r="A7132" t="s">
        <v>196</v>
      </c>
      <c r="B7132">
        <v>54</v>
      </c>
      <c r="C7132" t="s">
        <v>42</v>
      </c>
      <c r="D7132" t="s">
        <v>2285</v>
      </c>
      <c r="E7132" t="s">
        <v>2286</v>
      </c>
      <c r="F7132">
        <v>1005</v>
      </c>
      <c r="G7132" t="s">
        <v>42</v>
      </c>
      <c r="H7132">
        <v>2005</v>
      </c>
      <c r="I7132" t="s">
        <v>42</v>
      </c>
      <c r="J7132">
        <v>3041</v>
      </c>
      <c r="K7132" t="s">
        <v>1840</v>
      </c>
      <c r="L7132">
        <v>4057</v>
      </c>
      <c r="M7132" t="s">
        <v>2292</v>
      </c>
      <c r="N7132" t="s">
        <v>251</v>
      </c>
      <c r="O7132">
        <v>10</v>
      </c>
      <c r="P7132">
        <v>1984</v>
      </c>
      <c r="Q7132" t="s">
        <v>1266</v>
      </c>
      <c r="R7132" t="s">
        <v>201</v>
      </c>
      <c r="S7132">
        <v>1</v>
      </c>
      <c r="T7132">
        <v>1</v>
      </c>
      <c r="U7132">
        <v>76476</v>
      </c>
      <c r="V7132">
        <v>76476</v>
      </c>
    </row>
    <row r="7133" spans="1:22">
      <c r="A7133" t="s">
        <v>196</v>
      </c>
      <c r="B7133">
        <v>54</v>
      </c>
      <c r="C7133" t="s">
        <v>42</v>
      </c>
      <c r="D7133" t="s">
        <v>2285</v>
      </c>
      <c r="E7133" t="s">
        <v>2286</v>
      </c>
      <c r="F7133">
        <v>1005</v>
      </c>
      <c r="G7133" t="s">
        <v>42</v>
      </c>
      <c r="H7133">
        <v>2005</v>
      </c>
      <c r="I7133" t="s">
        <v>42</v>
      </c>
      <c r="J7133">
        <v>3041</v>
      </c>
      <c r="K7133" t="s">
        <v>1840</v>
      </c>
      <c r="L7133">
        <v>4057</v>
      </c>
      <c r="M7133" t="s">
        <v>2292</v>
      </c>
      <c r="N7133" t="s">
        <v>274</v>
      </c>
      <c r="O7133">
        <v>20</v>
      </c>
      <c r="P7133">
        <v>1752</v>
      </c>
      <c r="Q7133" t="s">
        <v>2293</v>
      </c>
      <c r="R7133" t="s">
        <v>201</v>
      </c>
      <c r="S7133">
        <v>1</v>
      </c>
      <c r="T7133">
        <v>1</v>
      </c>
      <c r="U7133">
        <v>153384</v>
      </c>
      <c r="V7133">
        <v>153384</v>
      </c>
    </row>
    <row r="7134" spans="1:22">
      <c r="A7134" t="s">
        <v>196</v>
      </c>
      <c r="B7134">
        <v>54</v>
      </c>
      <c r="C7134" t="s">
        <v>42</v>
      </c>
      <c r="D7134" t="s">
        <v>2285</v>
      </c>
      <c r="E7134" t="s">
        <v>2286</v>
      </c>
      <c r="F7134">
        <v>1005</v>
      </c>
      <c r="G7134" t="s">
        <v>42</v>
      </c>
      <c r="H7134">
        <v>2005</v>
      </c>
      <c r="I7134" t="s">
        <v>42</v>
      </c>
      <c r="J7134">
        <v>3041</v>
      </c>
      <c r="K7134" t="s">
        <v>1840</v>
      </c>
      <c r="L7134">
        <v>4057</v>
      </c>
      <c r="M7134" t="s">
        <v>2292</v>
      </c>
      <c r="N7134" t="s">
        <v>199</v>
      </c>
      <c r="O7134">
        <v>0</v>
      </c>
      <c r="P7134">
        <v>15</v>
      </c>
      <c r="Q7134" t="s">
        <v>264</v>
      </c>
      <c r="R7134" t="s">
        <v>201</v>
      </c>
      <c r="S7134">
        <v>0</v>
      </c>
      <c r="T7134">
        <v>0</v>
      </c>
      <c r="U7134">
        <v>15720</v>
      </c>
      <c r="V7134">
        <v>15720</v>
      </c>
    </row>
    <row r="7135" spans="1:22">
      <c r="A7135" t="s">
        <v>196</v>
      </c>
      <c r="B7135">
        <v>54</v>
      </c>
      <c r="C7135" t="s">
        <v>42</v>
      </c>
      <c r="D7135" t="s">
        <v>2285</v>
      </c>
      <c r="E7135" t="s">
        <v>2286</v>
      </c>
      <c r="F7135">
        <v>1005</v>
      </c>
      <c r="G7135" t="s">
        <v>42</v>
      </c>
      <c r="H7135">
        <v>2005</v>
      </c>
      <c r="I7135" t="s">
        <v>42</v>
      </c>
      <c r="J7135">
        <v>3041</v>
      </c>
      <c r="K7135" t="s">
        <v>1840</v>
      </c>
      <c r="L7135">
        <v>4058</v>
      </c>
      <c r="M7135" t="s">
        <v>2294</v>
      </c>
      <c r="N7135" t="s">
        <v>261</v>
      </c>
      <c r="O7135">
        <v>20</v>
      </c>
      <c r="P7135">
        <v>1437</v>
      </c>
      <c r="Q7135" t="s">
        <v>609</v>
      </c>
      <c r="R7135" t="s">
        <v>201</v>
      </c>
      <c r="S7135">
        <v>3</v>
      </c>
      <c r="T7135">
        <v>1</v>
      </c>
      <c r="U7135">
        <v>122556</v>
      </c>
      <c r="V7135">
        <v>367668</v>
      </c>
    </row>
    <row r="7136" spans="1:22">
      <c r="A7136" t="s">
        <v>196</v>
      </c>
      <c r="B7136">
        <v>54</v>
      </c>
      <c r="C7136" t="s">
        <v>42</v>
      </c>
      <c r="D7136" t="s">
        <v>2285</v>
      </c>
      <c r="E7136" t="s">
        <v>2286</v>
      </c>
      <c r="F7136">
        <v>1005</v>
      </c>
      <c r="G7136" t="s">
        <v>42</v>
      </c>
      <c r="H7136">
        <v>2005</v>
      </c>
      <c r="I7136" t="s">
        <v>42</v>
      </c>
      <c r="J7136">
        <v>3041</v>
      </c>
      <c r="K7136" t="s">
        <v>1840</v>
      </c>
      <c r="L7136">
        <v>4058</v>
      </c>
      <c r="M7136" t="s">
        <v>2294</v>
      </c>
      <c r="N7136" t="s">
        <v>261</v>
      </c>
      <c r="O7136">
        <v>20</v>
      </c>
      <c r="P7136">
        <v>1437</v>
      </c>
      <c r="Q7136" t="s">
        <v>609</v>
      </c>
      <c r="R7136" t="s">
        <v>201</v>
      </c>
      <c r="S7136">
        <v>1</v>
      </c>
      <c r="T7136">
        <v>1</v>
      </c>
      <c r="U7136">
        <v>115992</v>
      </c>
      <c r="V7136">
        <v>115992</v>
      </c>
    </row>
    <row r="7137" spans="1:22">
      <c r="A7137" t="s">
        <v>196</v>
      </c>
      <c r="B7137">
        <v>54</v>
      </c>
      <c r="C7137" t="s">
        <v>42</v>
      </c>
      <c r="D7137" t="s">
        <v>2285</v>
      </c>
      <c r="E7137" t="s">
        <v>2286</v>
      </c>
      <c r="F7137">
        <v>1005</v>
      </c>
      <c r="G7137" t="s">
        <v>42</v>
      </c>
      <c r="H7137">
        <v>2005</v>
      </c>
      <c r="I7137" t="s">
        <v>42</v>
      </c>
      <c r="J7137">
        <v>3041</v>
      </c>
      <c r="K7137" t="s">
        <v>1840</v>
      </c>
      <c r="L7137">
        <v>4058</v>
      </c>
      <c r="M7137" t="s">
        <v>2294</v>
      </c>
      <c r="N7137" t="s">
        <v>261</v>
      </c>
      <c r="O7137">
        <v>20</v>
      </c>
      <c r="P7137">
        <v>1437</v>
      </c>
      <c r="Q7137" t="s">
        <v>609</v>
      </c>
      <c r="R7137" t="s">
        <v>201</v>
      </c>
      <c r="S7137">
        <v>1</v>
      </c>
      <c r="T7137">
        <v>1</v>
      </c>
      <c r="U7137">
        <v>101628</v>
      </c>
      <c r="V7137">
        <v>101628</v>
      </c>
    </row>
    <row r="7138" spans="1:22">
      <c r="A7138" t="s">
        <v>196</v>
      </c>
      <c r="B7138">
        <v>54</v>
      </c>
      <c r="C7138" t="s">
        <v>42</v>
      </c>
      <c r="D7138" t="s">
        <v>2285</v>
      </c>
      <c r="E7138" t="s">
        <v>2286</v>
      </c>
      <c r="F7138">
        <v>1005</v>
      </c>
      <c r="G7138" t="s">
        <v>42</v>
      </c>
      <c r="H7138">
        <v>2005</v>
      </c>
      <c r="I7138" t="s">
        <v>42</v>
      </c>
      <c r="J7138">
        <v>3041</v>
      </c>
      <c r="K7138" t="s">
        <v>1840</v>
      </c>
      <c r="L7138">
        <v>4058</v>
      </c>
      <c r="M7138" t="s">
        <v>2294</v>
      </c>
      <c r="N7138" t="s">
        <v>261</v>
      </c>
      <c r="O7138">
        <v>20</v>
      </c>
      <c r="P7138">
        <v>1437</v>
      </c>
      <c r="Q7138" t="s">
        <v>609</v>
      </c>
      <c r="R7138" t="s">
        <v>201</v>
      </c>
      <c r="S7138">
        <v>2</v>
      </c>
      <c r="T7138">
        <v>1</v>
      </c>
      <c r="U7138">
        <v>97332</v>
      </c>
      <c r="V7138">
        <v>194664</v>
      </c>
    </row>
    <row r="7139" spans="1:22">
      <c r="A7139" t="s">
        <v>196</v>
      </c>
      <c r="B7139">
        <v>54</v>
      </c>
      <c r="C7139" t="s">
        <v>42</v>
      </c>
      <c r="D7139" t="s">
        <v>2285</v>
      </c>
      <c r="E7139" t="s">
        <v>2286</v>
      </c>
      <c r="F7139">
        <v>1005</v>
      </c>
      <c r="G7139" t="s">
        <v>42</v>
      </c>
      <c r="H7139">
        <v>2005</v>
      </c>
      <c r="I7139" t="s">
        <v>42</v>
      </c>
      <c r="J7139">
        <v>3041</v>
      </c>
      <c r="K7139" t="s">
        <v>1840</v>
      </c>
      <c r="L7139">
        <v>4058</v>
      </c>
      <c r="M7139" t="s">
        <v>2294</v>
      </c>
      <c r="N7139" t="s">
        <v>274</v>
      </c>
      <c r="O7139">
        <v>9</v>
      </c>
      <c r="P7139">
        <v>313</v>
      </c>
      <c r="Q7139" t="s">
        <v>605</v>
      </c>
      <c r="R7139" t="s">
        <v>201</v>
      </c>
      <c r="S7139">
        <v>1</v>
      </c>
      <c r="T7139">
        <v>1</v>
      </c>
      <c r="U7139">
        <v>146808</v>
      </c>
      <c r="V7139">
        <v>146808</v>
      </c>
    </row>
    <row r="7140" spans="1:22">
      <c r="A7140" t="s">
        <v>196</v>
      </c>
      <c r="B7140">
        <v>54</v>
      </c>
      <c r="C7140" t="s">
        <v>42</v>
      </c>
      <c r="D7140" t="s">
        <v>2285</v>
      </c>
      <c r="E7140" t="s">
        <v>2286</v>
      </c>
      <c r="F7140">
        <v>1005</v>
      </c>
      <c r="G7140" t="s">
        <v>42</v>
      </c>
      <c r="H7140">
        <v>2005</v>
      </c>
      <c r="I7140" t="s">
        <v>42</v>
      </c>
      <c r="J7140">
        <v>3041</v>
      </c>
      <c r="K7140" t="s">
        <v>1840</v>
      </c>
      <c r="L7140">
        <v>4058</v>
      </c>
      <c r="M7140" t="s">
        <v>2294</v>
      </c>
      <c r="N7140" t="s">
        <v>199</v>
      </c>
      <c r="O7140">
        <v>0</v>
      </c>
      <c r="P7140">
        <v>15</v>
      </c>
      <c r="Q7140" t="s">
        <v>264</v>
      </c>
      <c r="R7140" t="s">
        <v>201</v>
      </c>
      <c r="S7140">
        <v>0</v>
      </c>
      <c r="T7140">
        <v>0</v>
      </c>
      <c r="U7140">
        <v>9969</v>
      </c>
      <c r="V7140">
        <v>9969</v>
      </c>
    </row>
    <row r="7141" spans="1:22">
      <c r="A7141" t="s">
        <v>196</v>
      </c>
      <c r="B7141">
        <v>54</v>
      </c>
      <c r="C7141" t="s">
        <v>42</v>
      </c>
      <c r="D7141" t="s">
        <v>2285</v>
      </c>
      <c r="E7141" t="s">
        <v>2286</v>
      </c>
      <c r="F7141">
        <v>1005</v>
      </c>
      <c r="G7141" t="s">
        <v>42</v>
      </c>
      <c r="H7141">
        <v>2005</v>
      </c>
      <c r="I7141" t="s">
        <v>42</v>
      </c>
      <c r="J7141">
        <v>3042</v>
      </c>
      <c r="K7141" t="s">
        <v>1257</v>
      </c>
      <c r="L7141">
        <v>4100</v>
      </c>
      <c r="M7141" t="s">
        <v>1257</v>
      </c>
      <c r="N7141" t="s">
        <v>311</v>
      </c>
      <c r="O7141">
        <v>9</v>
      </c>
      <c r="P7141">
        <v>9813</v>
      </c>
      <c r="Q7141" t="s">
        <v>600</v>
      </c>
      <c r="R7141" t="s">
        <v>201</v>
      </c>
      <c r="S7141">
        <v>1</v>
      </c>
      <c r="T7141">
        <v>1</v>
      </c>
      <c r="U7141">
        <v>188400</v>
      </c>
      <c r="V7141">
        <v>188400</v>
      </c>
    </row>
    <row r="7142" spans="1:22">
      <c r="A7142" t="s">
        <v>196</v>
      </c>
      <c r="B7142">
        <v>54</v>
      </c>
      <c r="C7142" t="s">
        <v>42</v>
      </c>
      <c r="D7142" t="s">
        <v>2285</v>
      </c>
      <c r="E7142" t="s">
        <v>2286</v>
      </c>
      <c r="F7142">
        <v>1005</v>
      </c>
      <c r="G7142" t="s">
        <v>42</v>
      </c>
      <c r="H7142">
        <v>2005</v>
      </c>
      <c r="I7142" t="s">
        <v>42</v>
      </c>
      <c r="J7142">
        <v>3042</v>
      </c>
      <c r="K7142" t="s">
        <v>1257</v>
      </c>
      <c r="L7142">
        <v>4100</v>
      </c>
      <c r="M7142" t="s">
        <v>1257</v>
      </c>
      <c r="N7142" t="s">
        <v>247</v>
      </c>
      <c r="O7142">
        <v>20</v>
      </c>
      <c r="P7142">
        <v>366</v>
      </c>
      <c r="Q7142" t="s">
        <v>604</v>
      </c>
      <c r="R7142" t="s">
        <v>201</v>
      </c>
      <c r="S7142">
        <v>1</v>
      </c>
      <c r="T7142">
        <v>1</v>
      </c>
      <c r="U7142">
        <v>66516</v>
      </c>
      <c r="V7142">
        <v>66516</v>
      </c>
    </row>
    <row r="7143" spans="1:22">
      <c r="A7143" t="s">
        <v>196</v>
      </c>
      <c r="B7143">
        <v>54</v>
      </c>
      <c r="C7143" t="s">
        <v>42</v>
      </c>
      <c r="D7143" t="s">
        <v>2285</v>
      </c>
      <c r="E7143" t="s">
        <v>2286</v>
      </c>
      <c r="F7143">
        <v>1005</v>
      </c>
      <c r="G7143" t="s">
        <v>42</v>
      </c>
      <c r="H7143">
        <v>2005</v>
      </c>
      <c r="I7143" t="s">
        <v>42</v>
      </c>
      <c r="J7143">
        <v>3042</v>
      </c>
      <c r="K7143" t="s">
        <v>1257</v>
      </c>
      <c r="L7143">
        <v>4100</v>
      </c>
      <c r="M7143" t="s">
        <v>1257</v>
      </c>
      <c r="N7143" t="s">
        <v>199</v>
      </c>
      <c r="O7143">
        <v>0</v>
      </c>
      <c r="P7143">
        <v>15</v>
      </c>
      <c r="Q7143" t="s">
        <v>264</v>
      </c>
      <c r="R7143" t="s">
        <v>201</v>
      </c>
      <c r="S7143">
        <v>0</v>
      </c>
      <c r="T7143">
        <v>0</v>
      </c>
      <c r="U7143">
        <v>3668</v>
      </c>
      <c r="V7143">
        <v>3668</v>
      </c>
    </row>
    <row r="7144" spans="1:22">
      <c r="A7144" t="s">
        <v>196</v>
      </c>
      <c r="B7144">
        <v>54</v>
      </c>
      <c r="C7144" t="s">
        <v>42</v>
      </c>
      <c r="D7144" t="s">
        <v>2285</v>
      </c>
      <c r="E7144" t="s">
        <v>2286</v>
      </c>
      <c r="F7144">
        <v>1005</v>
      </c>
      <c r="G7144" t="s">
        <v>42</v>
      </c>
      <c r="H7144">
        <v>2005</v>
      </c>
      <c r="I7144" t="s">
        <v>42</v>
      </c>
      <c r="J7144">
        <v>3042</v>
      </c>
      <c r="K7144" t="s">
        <v>1257</v>
      </c>
      <c r="L7144">
        <v>4102</v>
      </c>
      <c r="M7144" t="s">
        <v>1261</v>
      </c>
      <c r="N7144" t="s">
        <v>297</v>
      </c>
      <c r="O7144">
        <v>10</v>
      </c>
      <c r="P7144">
        <v>1408</v>
      </c>
      <c r="Q7144" t="s">
        <v>1259</v>
      </c>
      <c r="R7144" t="s">
        <v>201</v>
      </c>
      <c r="S7144">
        <v>1</v>
      </c>
      <c r="T7144">
        <v>1</v>
      </c>
      <c r="U7144">
        <v>115992</v>
      </c>
      <c r="V7144">
        <v>115992</v>
      </c>
    </row>
    <row r="7145" spans="1:22">
      <c r="A7145" t="s">
        <v>196</v>
      </c>
      <c r="B7145">
        <v>54</v>
      </c>
      <c r="C7145" t="s">
        <v>42</v>
      </c>
      <c r="D7145" t="s">
        <v>2285</v>
      </c>
      <c r="E7145" t="s">
        <v>2286</v>
      </c>
      <c r="F7145">
        <v>1005</v>
      </c>
      <c r="G7145" t="s">
        <v>42</v>
      </c>
      <c r="H7145">
        <v>2005</v>
      </c>
      <c r="I7145" t="s">
        <v>42</v>
      </c>
      <c r="J7145">
        <v>3042</v>
      </c>
      <c r="K7145" t="s">
        <v>1257</v>
      </c>
      <c r="L7145">
        <v>4102</v>
      </c>
      <c r="M7145" t="s">
        <v>1261</v>
      </c>
      <c r="N7145" t="s">
        <v>297</v>
      </c>
      <c r="O7145">
        <v>10</v>
      </c>
      <c r="P7145">
        <v>1408</v>
      </c>
      <c r="Q7145" t="s">
        <v>1259</v>
      </c>
      <c r="R7145" t="s">
        <v>201</v>
      </c>
      <c r="S7145">
        <v>2</v>
      </c>
      <c r="T7145">
        <v>1</v>
      </c>
      <c r="U7145">
        <v>111000</v>
      </c>
      <c r="V7145">
        <v>222000</v>
      </c>
    </row>
    <row r="7146" spans="1:22">
      <c r="A7146" t="s">
        <v>196</v>
      </c>
      <c r="B7146">
        <v>54</v>
      </c>
      <c r="C7146" t="s">
        <v>42</v>
      </c>
      <c r="D7146" t="s">
        <v>2285</v>
      </c>
      <c r="E7146" t="s">
        <v>2286</v>
      </c>
      <c r="F7146">
        <v>1005</v>
      </c>
      <c r="G7146" t="s">
        <v>42</v>
      </c>
      <c r="H7146">
        <v>2005</v>
      </c>
      <c r="I7146" t="s">
        <v>42</v>
      </c>
      <c r="J7146">
        <v>3042</v>
      </c>
      <c r="K7146" t="s">
        <v>1257</v>
      </c>
      <c r="L7146">
        <v>4102</v>
      </c>
      <c r="M7146" t="s">
        <v>1261</v>
      </c>
      <c r="N7146" t="s">
        <v>297</v>
      </c>
      <c r="O7146">
        <v>10</v>
      </c>
      <c r="P7146">
        <v>1408</v>
      </c>
      <c r="Q7146" t="s">
        <v>1259</v>
      </c>
      <c r="R7146" t="s">
        <v>201</v>
      </c>
      <c r="S7146">
        <v>1</v>
      </c>
      <c r="T7146">
        <v>1</v>
      </c>
      <c r="U7146">
        <v>101628</v>
      </c>
      <c r="V7146">
        <v>101628</v>
      </c>
    </row>
    <row r="7147" spans="1:22">
      <c r="A7147" t="s">
        <v>196</v>
      </c>
      <c r="B7147">
        <v>54</v>
      </c>
      <c r="C7147" t="s">
        <v>42</v>
      </c>
      <c r="D7147" t="s">
        <v>2285</v>
      </c>
      <c r="E7147" t="s">
        <v>2286</v>
      </c>
      <c r="F7147">
        <v>1005</v>
      </c>
      <c r="G7147" t="s">
        <v>42</v>
      </c>
      <c r="H7147">
        <v>2005</v>
      </c>
      <c r="I7147" t="s">
        <v>42</v>
      </c>
      <c r="J7147">
        <v>3042</v>
      </c>
      <c r="K7147" t="s">
        <v>1257</v>
      </c>
      <c r="L7147">
        <v>4102</v>
      </c>
      <c r="M7147" t="s">
        <v>1261</v>
      </c>
      <c r="N7147" t="s">
        <v>281</v>
      </c>
      <c r="O7147">
        <v>10</v>
      </c>
      <c r="P7147">
        <v>1405</v>
      </c>
      <c r="Q7147" t="s">
        <v>1260</v>
      </c>
      <c r="R7147" t="s">
        <v>201</v>
      </c>
      <c r="S7147">
        <v>1</v>
      </c>
      <c r="T7147">
        <v>1</v>
      </c>
      <c r="U7147">
        <v>97332</v>
      </c>
      <c r="V7147">
        <v>97332</v>
      </c>
    </row>
    <row r="7148" spans="1:22">
      <c r="A7148" t="s">
        <v>196</v>
      </c>
      <c r="B7148">
        <v>54</v>
      </c>
      <c r="C7148" t="s">
        <v>42</v>
      </c>
      <c r="D7148" t="s">
        <v>2285</v>
      </c>
      <c r="E7148" t="s">
        <v>2286</v>
      </c>
      <c r="F7148">
        <v>1005</v>
      </c>
      <c r="G7148" t="s">
        <v>42</v>
      </c>
      <c r="H7148">
        <v>2005</v>
      </c>
      <c r="I7148" t="s">
        <v>42</v>
      </c>
      <c r="J7148">
        <v>3042</v>
      </c>
      <c r="K7148" t="s">
        <v>1257</v>
      </c>
      <c r="L7148">
        <v>4102</v>
      </c>
      <c r="M7148" t="s">
        <v>1261</v>
      </c>
      <c r="N7148" t="s">
        <v>281</v>
      </c>
      <c r="O7148">
        <v>10</v>
      </c>
      <c r="P7148">
        <v>1405</v>
      </c>
      <c r="Q7148" t="s">
        <v>1260</v>
      </c>
      <c r="R7148" t="s">
        <v>201</v>
      </c>
      <c r="S7148">
        <v>1</v>
      </c>
      <c r="T7148">
        <v>1</v>
      </c>
      <c r="U7148">
        <v>93156</v>
      </c>
      <c r="V7148">
        <v>93156</v>
      </c>
    </row>
    <row r="7149" spans="1:22">
      <c r="A7149" t="s">
        <v>196</v>
      </c>
      <c r="B7149">
        <v>54</v>
      </c>
      <c r="C7149" t="s">
        <v>42</v>
      </c>
      <c r="D7149" t="s">
        <v>2285</v>
      </c>
      <c r="E7149" t="s">
        <v>2286</v>
      </c>
      <c r="F7149">
        <v>1005</v>
      </c>
      <c r="G7149" t="s">
        <v>42</v>
      </c>
      <c r="H7149">
        <v>2005</v>
      </c>
      <c r="I7149" t="s">
        <v>42</v>
      </c>
      <c r="J7149">
        <v>3042</v>
      </c>
      <c r="K7149" t="s">
        <v>1257</v>
      </c>
      <c r="L7149">
        <v>4102</v>
      </c>
      <c r="M7149" t="s">
        <v>1261</v>
      </c>
      <c r="N7149" t="s">
        <v>281</v>
      </c>
      <c r="O7149">
        <v>10</v>
      </c>
      <c r="P7149">
        <v>1405</v>
      </c>
      <c r="Q7149" t="s">
        <v>1260</v>
      </c>
      <c r="R7149" t="s">
        <v>201</v>
      </c>
      <c r="S7149">
        <v>2</v>
      </c>
      <c r="T7149">
        <v>1</v>
      </c>
      <c r="U7149">
        <v>85236</v>
      </c>
      <c r="V7149">
        <v>170472</v>
      </c>
    </row>
    <row r="7150" spans="1:22">
      <c r="A7150" t="s">
        <v>196</v>
      </c>
      <c r="B7150">
        <v>54</v>
      </c>
      <c r="C7150" t="s">
        <v>42</v>
      </c>
      <c r="D7150" t="s">
        <v>2285</v>
      </c>
      <c r="E7150" t="s">
        <v>2286</v>
      </c>
      <c r="F7150">
        <v>1005</v>
      </c>
      <c r="G7150" t="s">
        <v>42</v>
      </c>
      <c r="H7150">
        <v>2005</v>
      </c>
      <c r="I7150" t="s">
        <v>42</v>
      </c>
      <c r="J7150">
        <v>3042</v>
      </c>
      <c r="K7150" t="s">
        <v>1257</v>
      </c>
      <c r="L7150">
        <v>4102</v>
      </c>
      <c r="M7150" t="s">
        <v>1261</v>
      </c>
      <c r="N7150" t="s">
        <v>281</v>
      </c>
      <c r="O7150">
        <v>10</v>
      </c>
      <c r="P7150">
        <v>1405</v>
      </c>
      <c r="Q7150" t="s">
        <v>1260</v>
      </c>
      <c r="R7150" t="s">
        <v>201</v>
      </c>
      <c r="S7150">
        <v>2</v>
      </c>
      <c r="T7150">
        <v>1</v>
      </c>
      <c r="U7150">
        <v>82884</v>
      </c>
      <c r="V7150">
        <v>165768</v>
      </c>
    </row>
    <row r="7151" spans="1:22">
      <c r="A7151" t="s">
        <v>196</v>
      </c>
      <c r="B7151">
        <v>54</v>
      </c>
      <c r="C7151" t="s">
        <v>42</v>
      </c>
      <c r="D7151" t="s">
        <v>2285</v>
      </c>
      <c r="E7151" t="s">
        <v>2286</v>
      </c>
      <c r="F7151">
        <v>1005</v>
      </c>
      <c r="G7151" t="s">
        <v>42</v>
      </c>
      <c r="H7151">
        <v>2005</v>
      </c>
      <c r="I7151" t="s">
        <v>42</v>
      </c>
      <c r="J7151">
        <v>3042</v>
      </c>
      <c r="K7151" t="s">
        <v>1257</v>
      </c>
      <c r="L7151">
        <v>4102</v>
      </c>
      <c r="M7151" t="s">
        <v>1261</v>
      </c>
      <c r="N7151" t="s">
        <v>274</v>
      </c>
      <c r="O7151">
        <v>9</v>
      </c>
      <c r="P7151">
        <v>313</v>
      </c>
      <c r="Q7151" t="s">
        <v>605</v>
      </c>
      <c r="R7151" t="s">
        <v>201</v>
      </c>
      <c r="S7151">
        <v>1</v>
      </c>
      <c r="T7151">
        <v>1</v>
      </c>
      <c r="U7151">
        <v>121668</v>
      </c>
      <c r="V7151">
        <v>121668</v>
      </c>
    </row>
    <row r="7152" spans="1:22">
      <c r="A7152" t="s">
        <v>196</v>
      </c>
      <c r="B7152">
        <v>54</v>
      </c>
      <c r="C7152" t="s">
        <v>42</v>
      </c>
      <c r="D7152" t="s">
        <v>2285</v>
      </c>
      <c r="E7152" t="s">
        <v>2286</v>
      </c>
      <c r="F7152">
        <v>1005</v>
      </c>
      <c r="G7152" t="s">
        <v>42</v>
      </c>
      <c r="H7152">
        <v>2005</v>
      </c>
      <c r="I7152" t="s">
        <v>42</v>
      </c>
      <c r="J7152">
        <v>3042</v>
      </c>
      <c r="K7152" t="s">
        <v>1257</v>
      </c>
      <c r="L7152">
        <v>4102</v>
      </c>
      <c r="M7152" t="s">
        <v>1261</v>
      </c>
      <c r="N7152" t="s">
        <v>199</v>
      </c>
      <c r="O7152">
        <v>0</v>
      </c>
      <c r="P7152">
        <v>15</v>
      </c>
      <c r="Q7152" t="s">
        <v>264</v>
      </c>
      <c r="R7152" t="s">
        <v>201</v>
      </c>
      <c r="S7152">
        <v>0</v>
      </c>
      <c r="T7152">
        <v>0</v>
      </c>
      <c r="U7152">
        <v>19911</v>
      </c>
      <c r="V7152">
        <v>19911</v>
      </c>
    </row>
    <row r="7153" spans="1:22">
      <c r="A7153" t="s">
        <v>196</v>
      </c>
      <c r="B7153">
        <v>54</v>
      </c>
      <c r="C7153" t="s">
        <v>42</v>
      </c>
      <c r="D7153" t="s">
        <v>2285</v>
      </c>
      <c r="E7153" t="s">
        <v>2286</v>
      </c>
      <c r="F7153">
        <v>1005</v>
      </c>
      <c r="G7153" t="s">
        <v>42</v>
      </c>
      <c r="H7153">
        <v>2005</v>
      </c>
      <c r="I7153" t="s">
        <v>42</v>
      </c>
      <c r="J7153">
        <v>3042</v>
      </c>
      <c r="K7153" t="s">
        <v>1257</v>
      </c>
      <c r="L7153">
        <v>4106</v>
      </c>
      <c r="M7153" t="s">
        <v>2295</v>
      </c>
      <c r="N7153" t="s">
        <v>281</v>
      </c>
      <c r="O7153">
        <v>10</v>
      </c>
      <c r="P7153">
        <v>1407</v>
      </c>
      <c r="Q7153" t="s">
        <v>1262</v>
      </c>
      <c r="R7153" t="s">
        <v>201</v>
      </c>
      <c r="S7153">
        <v>1</v>
      </c>
      <c r="T7153">
        <v>1</v>
      </c>
      <c r="U7153">
        <v>93156</v>
      </c>
      <c r="V7153">
        <v>93156</v>
      </c>
    </row>
    <row r="7154" spans="1:22">
      <c r="A7154" t="s">
        <v>196</v>
      </c>
      <c r="B7154">
        <v>54</v>
      </c>
      <c r="C7154" t="s">
        <v>42</v>
      </c>
      <c r="D7154" t="s">
        <v>2285</v>
      </c>
      <c r="E7154" t="s">
        <v>2286</v>
      </c>
      <c r="F7154">
        <v>1005</v>
      </c>
      <c r="G7154" t="s">
        <v>42</v>
      </c>
      <c r="H7154">
        <v>2005</v>
      </c>
      <c r="I7154" t="s">
        <v>42</v>
      </c>
      <c r="J7154">
        <v>3042</v>
      </c>
      <c r="K7154" t="s">
        <v>1257</v>
      </c>
      <c r="L7154">
        <v>4106</v>
      </c>
      <c r="M7154" t="s">
        <v>2295</v>
      </c>
      <c r="N7154" t="s">
        <v>281</v>
      </c>
      <c r="O7154">
        <v>10</v>
      </c>
      <c r="P7154">
        <v>1405</v>
      </c>
      <c r="Q7154" t="s">
        <v>1260</v>
      </c>
      <c r="R7154" t="s">
        <v>201</v>
      </c>
      <c r="S7154">
        <v>1</v>
      </c>
      <c r="T7154">
        <v>1</v>
      </c>
      <c r="U7154">
        <v>97332</v>
      </c>
      <c r="V7154">
        <v>97332</v>
      </c>
    </row>
    <row r="7155" spans="1:22">
      <c r="A7155" t="s">
        <v>196</v>
      </c>
      <c r="B7155">
        <v>54</v>
      </c>
      <c r="C7155" t="s">
        <v>42</v>
      </c>
      <c r="D7155" t="s">
        <v>2285</v>
      </c>
      <c r="E7155" t="s">
        <v>2286</v>
      </c>
      <c r="F7155">
        <v>1005</v>
      </c>
      <c r="G7155" t="s">
        <v>42</v>
      </c>
      <c r="H7155">
        <v>2005</v>
      </c>
      <c r="I7155" t="s">
        <v>42</v>
      </c>
      <c r="J7155">
        <v>3042</v>
      </c>
      <c r="K7155" t="s">
        <v>1257</v>
      </c>
      <c r="L7155">
        <v>4106</v>
      </c>
      <c r="M7155" t="s">
        <v>2295</v>
      </c>
      <c r="N7155" t="s">
        <v>281</v>
      </c>
      <c r="O7155">
        <v>10</v>
      </c>
      <c r="P7155">
        <v>1405</v>
      </c>
      <c r="Q7155" t="s">
        <v>1260</v>
      </c>
      <c r="R7155" t="s">
        <v>201</v>
      </c>
      <c r="S7155">
        <v>1</v>
      </c>
      <c r="T7155">
        <v>1</v>
      </c>
      <c r="U7155">
        <v>93156</v>
      </c>
      <c r="V7155">
        <v>93156</v>
      </c>
    </row>
    <row r="7156" spans="1:22">
      <c r="A7156" t="s">
        <v>196</v>
      </c>
      <c r="B7156">
        <v>54</v>
      </c>
      <c r="C7156" t="s">
        <v>42</v>
      </c>
      <c r="D7156" t="s">
        <v>2285</v>
      </c>
      <c r="E7156" t="s">
        <v>2286</v>
      </c>
      <c r="F7156">
        <v>1005</v>
      </c>
      <c r="G7156" t="s">
        <v>42</v>
      </c>
      <c r="H7156">
        <v>2005</v>
      </c>
      <c r="I7156" t="s">
        <v>42</v>
      </c>
      <c r="J7156">
        <v>3042</v>
      </c>
      <c r="K7156" t="s">
        <v>1257</v>
      </c>
      <c r="L7156">
        <v>4106</v>
      </c>
      <c r="M7156" t="s">
        <v>2295</v>
      </c>
      <c r="N7156" t="s">
        <v>274</v>
      </c>
      <c r="O7156">
        <v>9</v>
      </c>
      <c r="P7156">
        <v>313</v>
      </c>
      <c r="Q7156" t="s">
        <v>605</v>
      </c>
      <c r="R7156" t="s">
        <v>201</v>
      </c>
      <c r="S7156">
        <v>1</v>
      </c>
      <c r="T7156">
        <v>1</v>
      </c>
      <c r="U7156">
        <v>146808</v>
      </c>
      <c r="V7156">
        <v>146808</v>
      </c>
    </row>
    <row r="7157" spans="1:22">
      <c r="A7157" t="s">
        <v>196</v>
      </c>
      <c r="B7157">
        <v>54</v>
      </c>
      <c r="C7157" t="s">
        <v>42</v>
      </c>
      <c r="D7157" t="s">
        <v>2285</v>
      </c>
      <c r="E7157" t="s">
        <v>2286</v>
      </c>
      <c r="F7157">
        <v>1005</v>
      </c>
      <c r="G7157" t="s">
        <v>42</v>
      </c>
      <c r="H7157">
        <v>2005</v>
      </c>
      <c r="I7157" t="s">
        <v>42</v>
      </c>
      <c r="J7157">
        <v>3042</v>
      </c>
      <c r="K7157" t="s">
        <v>1257</v>
      </c>
      <c r="L7157">
        <v>4106</v>
      </c>
      <c r="M7157" t="s">
        <v>2295</v>
      </c>
      <c r="N7157" t="s">
        <v>199</v>
      </c>
      <c r="O7157">
        <v>0</v>
      </c>
      <c r="P7157">
        <v>15</v>
      </c>
      <c r="Q7157" t="s">
        <v>264</v>
      </c>
      <c r="R7157" t="s">
        <v>201</v>
      </c>
      <c r="S7157">
        <v>0</v>
      </c>
      <c r="T7157">
        <v>0</v>
      </c>
      <c r="U7157">
        <v>7724</v>
      </c>
      <c r="V7157">
        <v>7724</v>
      </c>
    </row>
    <row r="7158" spans="1:22">
      <c r="A7158" t="s">
        <v>196</v>
      </c>
      <c r="B7158">
        <v>54</v>
      </c>
      <c r="C7158" t="s">
        <v>42</v>
      </c>
      <c r="D7158" t="s">
        <v>2285</v>
      </c>
      <c r="E7158" t="s">
        <v>2286</v>
      </c>
      <c r="F7158">
        <v>1005</v>
      </c>
      <c r="G7158" t="s">
        <v>42</v>
      </c>
      <c r="H7158">
        <v>2005</v>
      </c>
      <c r="I7158" t="s">
        <v>42</v>
      </c>
      <c r="J7158">
        <v>3044</v>
      </c>
      <c r="K7158" t="s">
        <v>1263</v>
      </c>
      <c r="L7158">
        <v>4094</v>
      </c>
      <c r="M7158" t="s">
        <v>1264</v>
      </c>
      <c r="N7158" t="s">
        <v>251</v>
      </c>
      <c r="O7158">
        <v>10</v>
      </c>
      <c r="P7158">
        <v>1984</v>
      </c>
      <c r="Q7158" t="s">
        <v>1266</v>
      </c>
      <c r="R7158" t="s">
        <v>201</v>
      </c>
      <c r="S7158">
        <v>1</v>
      </c>
      <c r="T7158">
        <v>1</v>
      </c>
      <c r="U7158">
        <v>80124</v>
      </c>
      <c r="V7158">
        <v>80124</v>
      </c>
    </row>
    <row r="7159" spans="1:22">
      <c r="A7159" t="s">
        <v>196</v>
      </c>
      <c r="B7159">
        <v>54</v>
      </c>
      <c r="C7159" t="s">
        <v>42</v>
      </c>
      <c r="D7159" t="s">
        <v>2285</v>
      </c>
      <c r="E7159" t="s">
        <v>2286</v>
      </c>
      <c r="F7159">
        <v>1005</v>
      </c>
      <c r="G7159" t="s">
        <v>42</v>
      </c>
      <c r="H7159">
        <v>2005</v>
      </c>
      <c r="I7159" t="s">
        <v>42</v>
      </c>
      <c r="J7159">
        <v>3044</v>
      </c>
      <c r="K7159" t="s">
        <v>1263</v>
      </c>
      <c r="L7159">
        <v>4094</v>
      </c>
      <c r="M7159" t="s">
        <v>1264</v>
      </c>
      <c r="N7159" t="s">
        <v>372</v>
      </c>
      <c r="O7159">
        <v>4</v>
      </c>
      <c r="P7159">
        <v>1912</v>
      </c>
      <c r="Q7159" t="s">
        <v>608</v>
      </c>
      <c r="R7159" t="s">
        <v>201</v>
      </c>
      <c r="S7159">
        <v>1</v>
      </c>
      <c r="T7159">
        <v>1</v>
      </c>
      <c r="U7159">
        <v>85200</v>
      </c>
      <c r="V7159">
        <v>85200</v>
      </c>
    </row>
    <row r="7160" spans="1:22">
      <c r="A7160" t="s">
        <v>196</v>
      </c>
      <c r="B7160">
        <v>54</v>
      </c>
      <c r="C7160" t="s">
        <v>42</v>
      </c>
      <c r="D7160" t="s">
        <v>2285</v>
      </c>
      <c r="E7160" t="s">
        <v>2286</v>
      </c>
      <c r="F7160">
        <v>1005</v>
      </c>
      <c r="G7160" t="s">
        <v>42</v>
      </c>
      <c r="H7160">
        <v>2005</v>
      </c>
      <c r="I7160" t="s">
        <v>42</v>
      </c>
      <c r="J7160">
        <v>3044</v>
      </c>
      <c r="K7160" t="s">
        <v>1263</v>
      </c>
      <c r="L7160">
        <v>4094</v>
      </c>
      <c r="M7160" t="s">
        <v>1264</v>
      </c>
      <c r="N7160" t="s">
        <v>351</v>
      </c>
      <c r="O7160">
        <v>1</v>
      </c>
      <c r="P7160" t="s">
        <v>352</v>
      </c>
      <c r="Q7160" t="s">
        <v>353</v>
      </c>
      <c r="R7160" t="s">
        <v>201</v>
      </c>
      <c r="S7160">
        <v>1</v>
      </c>
      <c r="T7160">
        <v>1</v>
      </c>
      <c r="U7160">
        <v>108576</v>
      </c>
      <c r="V7160">
        <v>108576</v>
      </c>
    </row>
    <row r="7161" spans="1:22">
      <c r="A7161" t="s">
        <v>196</v>
      </c>
      <c r="B7161">
        <v>54</v>
      </c>
      <c r="C7161" t="s">
        <v>42</v>
      </c>
      <c r="D7161" t="s">
        <v>2285</v>
      </c>
      <c r="E7161" t="s">
        <v>2286</v>
      </c>
      <c r="F7161">
        <v>1005</v>
      </c>
      <c r="G7161" t="s">
        <v>42</v>
      </c>
      <c r="H7161">
        <v>2005</v>
      </c>
      <c r="I7161" t="s">
        <v>42</v>
      </c>
      <c r="J7161">
        <v>3044</v>
      </c>
      <c r="K7161" t="s">
        <v>1263</v>
      </c>
      <c r="L7161">
        <v>4094</v>
      </c>
      <c r="M7161" t="s">
        <v>1264</v>
      </c>
      <c r="N7161" t="s">
        <v>199</v>
      </c>
      <c r="O7161">
        <v>0</v>
      </c>
      <c r="P7161">
        <v>15</v>
      </c>
      <c r="Q7161" t="s">
        <v>264</v>
      </c>
      <c r="R7161" t="s">
        <v>201</v>
      </c>
      <c r="S7161">
        <v>0</v>
      </c>
      <c r="T7161">
        <v>0</v>
      </c>
      <c r="U7161">
        <v>2860</v>
      </c>
      <c r="V7161">
        <v>2860</v>
      </c>
    </row>
    <row r="7162" spans="1:22">
      <c r="A7162" t="s">
        <v>196</v>
      </c>
      <c r="B7162">
        <v>54</v>
      </c>
      <c r="C7162" t="s">
        <v>42</v>
      </c>
      <c r="D7162" t="s">
        <v>2285</v>
      </c>
      <c r="E7162" t="s">
        <v>2286</v>
      </c>
      <c r="F7162">
        <v>1005</v>
      </c>
      <c r="G7162" t="s">
        <v>42</v>
      </c>
      <c r="H7162">
        <v>2005</v>
      </c>
      <c r="I7162" t="s">
        <v>42</v>
      </c>
      <c r="J7162">
        <v>3044</v>
      </c>
      <c r="K7162" t="s">
        <v>1263</v>
      </c>
      <c r="L7162">
        <v>4095</v>
      </c>
      <c r="M7162" t="s">
        <v>1265</v>
      </c>
      <c r="N7162" t="s">
        <v>266</v>
      </c>
      <c r="O7162">
        <v>9</v>
      </c>
      <c r="P7162">
        <v>9679</v>
      </c>
      <c r="Q7162" t="s">
        <v>338</v>
      </c>
      <c r="R7162" t="s">
        <v>201</v>
      </c>
      <c r="S7162">
        <v>1</v>
      </c>
      <c r="T7162">
        <v>1</v>
      </c>
      <c r="U7162">
        <v>167964</v>
      </c>
      <c r="V7162">
        <v>167964</v>
      </c>
    </row>
    <row r="7163" spans="1:22">
      <c r="A7163" t="s">
        <v>196</v>
      </c>
      <c r="B7163">
        <v>54</v>
      </c>
      <c r="C7163" t="s">
        <v>42</v>
      </c>
      <c r="D7163" t="s">
        <v>2285</v>
      </c>
      <c r="E7163" t="s">
        <v>2286</v>
      </c>
      <c r="F7163">
        <v>1005</v>
      </c>
      <c r="G7163" t="s">
        <v>42</v>
      </c>
      <c r="H7163">
        <v>2005</v>
      </c>
      <c r="I7163" t="s">
        <v>42</v>
      </c>
      <c r="J7163">
        <v>3044</v>
      </c>
      <c r="K7163" t="s">
        <v>1263</v>
      </c>
      <c r="L7163">
        <v>4095</v>
      </c>
      <c r="M7163" t="s">
        <v>1265</v>
      </c>
      <c r="N7163" t="s">
        <v>251</v>
      </c>
      <c r="O7163">
        <v>10</v>
      </c>
      <c r="P7163">
        <v>1984</v>
      </c>
      <c r="Q7163" t="s">
        <v>1266</v>
      </c>
      <c r="R7163" t="s">
        <v>201</v>
      </c>
      <c r="S7163">
        <v>1</v>
      </c>
      <c r="T7163">
        <v>1</v>
      </c>
      <c r="U7163">
        <v>85128</v>
      </c>
      <c r="V7163">
        <v>85128</v>
      </c>
    </row>
    <row r="7164" spans="1:22">
      <c r="A7164" t="s">
        <v>196</v>
      </c>
      <c r="B7164">
        <v>54</v>
      </c>
      <c r="C7164" t="s">
        <v>42</v>
      </c>
      <c r="D7164" t="s">
        <v>2285</v>
      </c>
      <c r="E7164" t="s">
        <v>2286</v>
      </c>
      <c r="F7164">
        <v>1005</v>
      </c>
      <c r="G7164" t="s">
        <v>42</v>
      </c>
      <c r="H7164">
        <v>2005</v>
      </c>
      <c r="I7164" t="s">
        <v>42</v>
      </c>
      <c r="J7164">
        <v>3044</v>
      </c>
      <c r="K7164" t="s">
        <v>1263</v>
      </c>
      <c r="L7164">
        <v>4095</v>
      </c>
      <c r="M7164" t="s">
        <v>1265</v>
      </c>
      <c r="N7164" t="s">
        <v>251</v>
      </c>
      <c r="O7164">
        <v>10</v>
      </c>
      <c r="P7164">
        <v>1984</v>
      </c>
      <c r="Q7164" t="s">
        <v>1266</v>
      </c>
      <c r="R7164" t="s">
        <v>201</v>
      </c>
      <c r="S7164">
        <v>1</v>
      </c>
      <c r="T7164">
        <v>1</v>
      </c>
      <c r="U7164">
        <v>80124</v>
      </c>
      <c r="V7164">
        <v>80124</v>
      </c>
    </row>
    <row r="7165" spans="1:22">
      <c r="A7165" t="s">
        <v>196</v>
      </c>
      <c r="B7165">
        <v>54</v>
      </c>
      <c r="C7165" t="s">
        <v>42</v>
      </c>
      <c r="D7165" t="s">
        <v>2285</v>
      </c>
      <c r="E7165" t="s">
        <v>2286</v>
      </c>
      <c r="F7165">
        <v>1005</v>
      </c>
      <c r="G7165" t="s">
        <v>42</v>
      </c>
      <c r="H7165">
        <v>2005</v>
      </c>
      <c r="I7165" t="s">
        <v>42</v>
      </c>
      <c r="J7165">
        <v>3044</v>
      </c>
      <c r="K7165" t="s">
        <v>1263</v>
      </c>
      <c r="L7165">
        <v>4095</v>
      </c>
      <c r="M7165" t="s">
        <v>1265</v>
      </c>
      <c r="N7165" t="s">
        <v>199</v>
      </c>
      <c r="O7165">
        <v>0</v>
      </c>
      <c r="P7165">
        <v>15</v>
      </c>
      <c r="Q7165" t="s">
        <v>264</v>
      </c>
      <c r="R7165" t="s">
        <v>201</v>
      </c>
      <c r="S7165">
        <v>0</v>
      </c>
      <c r="T7165">
        <v>0</v>
      </c>
      <c r="U7165">
        <v>7087</v>
      </c>
      <c r="V7165">
        <v>7087</v>
      </c>
    </row>
    <row r="7166" spans="1:22">
      <c r="A7166" t="s">
        <v>196</v>
      </c>
      <c r="B7166">
        <v>54</v>
      </c>
      <c r="C7166" t="s">
        <v>42</v>
      </c>
      <c r="D7166" t="s">
        <v>2285</v>
      </c>
      <c r="E7166" t="s">
        <v>2286</v>
      </c>
      <c r="F7166">
        <v>1005</v>
      </c>
      <c r="G7166" t="s">
        <v>42</v>
      </c>
      <c r="H7166">
        <v>2005</v>
      </c>
      <c r="I7166" t="s">
        <v>42</v>
      </c>
      <c r="J7166">
        <v>3044</v>
      </c>
      <c r="K7166" t="s">
        <v>1263</v>
      </c>
      <c r="L7166">
        <v>4096</v>
      </c>
      <c r="M7166" t="s">
        <v>2242</v>
      </c>
      <c r="N7166" t="s">
        <v>251</v>
      </c>
      <c r="O7166">
        <v>10</v>
      </c>
      <c r="P7166">
        <v>1984</v>
      </c>
      <c r="Q7166" t="s">
        <v>1266</v>
      </c>
      <c r="R7166" t="s">
        <v>201</v>
      </c>
      <c r="S7166">
        <v>1</v>
      </c>
      <c r="T7166">
        <v>1</v>
      </c>
      <c r="U7166">
        <v>89112</v>
      </c>
      <c r="V7166">
        <v>89112</v>
      </c>
    </row>
    <row r="7167" spans="1:22">
      <c r="A7167" t="s">
        <v>196</v>
      </c>
      <c r="B7167">
        <v>54</v>
      </c>
      <c r="C7167" t="s">
        <v>42</v>
      </c>
      <c r="D7167" t="s">
        <v>2285</v>
      </c>
      <c r="E7167" t="s">
        <v>2286</v>
      </c>
      <c r="F7167">
        <v>1005</v>
      </c>
      <c r="G7167" t="s">
        <v>42</v>
      </c>
      <c r="H7167">
        <v>2005</v>
      </c>
      <c r="I7167" t="s">
        <v>42</v>
      </c>
      <c r="J7167">
        <v>3044</v>
      </c>
      <c r="K7167" t="s">
        <v>1263</v>
      </c>
      <c r="L7167">
        <v>4096</v>
      </c>
      <c r="M7167" t="s">
        <v>2242</v>
      </c>
      <c r="N7167" t="s">
        <v>251</v>
      </c>
      <c r="O7167">
        <v>10</v>
      </c>
      <c r="P7167">
        <v>1984</v>
      </c>
      <c r="Q7167" t="s">
        <v>1266</v>
      </c>
      <c r="R7167" t="s">
        <v>201</v>
      </c>
      <c r="S7167">
        <v>1</v>
      </c>
      <c r="T7167">
        <v>1</v>
      </c>
      <c r="U7167">
        <v>83052</v>
      </c>
      <c r="V7167">
        <v>83052</v>
      </c>
    </row>
    <row r="7168" spans="1:22">
      <c r="A7168" t="s">
        <v>196</v>
      </c>
      <c r="B7168">
        <v>54</v>
      </c>
      <c r="C7168" t="s">
        <v>42</v>
      </c>
      <c r="D7168" t="s">
        <v>2285</v>
      </c>
      <c r="E7168" t="s">
        <v>2286</v>
      </c>
      <c r="F7168">
        <v>1005</v>
      </c>
      <c r="G7168" t="s">
        <v>42</v>
      </c>
      <c r="H7168">
        <v>2005</v>
      </c>
      <c r="I7168" t="s">
        <v>42</v>
      </c>
      <c r="J7168">
        <v>3044</v>
      </c>
      <c r="K7168" t="s">
        <v>1263</v>
      </c>
      <c r="L7168">
        <v>4096</v>
      </c>
      <c r="M7168" t="s">
        <v>2242</v>
      </c>
      <c r="N7168" t="s">
        <v>199</v>
      </c>
      <c r="O7168">
        <v>0</v>
      </c>
      <c r="P7168">
        <v>15</v>
      </c>
      <c r="Q7168" t="s">
        <v>264</v>
      </c>
      <c r="R7168" t="s">
        <v>201</v>
      </c>
      <c r="S7168">
        <v>0</v>
      </c>
      <c r="T7168">
        <v>0</v>
      </c>
      <c r="U7168">
        <v>5606</v>
      </c>
      <c r="V7168">
        <v>5606</v>
      </c>
    </row>
    <row r="7169" spans="1:22">
      <c r="A7169" t="s">
        <v>196</v>
      </c>
      <c r="B7169">
        <v>54</v>
      </c>
      <c r="C7169" t="s">
        <v>42</v>
      </c>
      <c r="D7169" t="s">
        <v>2285</v>
      </c>
      <c r="E7169" t="s">
        <v>2286</v>
      </c>
      <c r="F7169">
        <v>1005</v>
      </c>
      <c r="G7169" t="s">
        <v>42</v>
      </c>
      <c r="H7169">
        <v>2005</v>
      </c>
      <c r="I7169" t="s">
        <v>42</v>
      </c>
      <c r="J7169">
        <v>3046</v>
      </c>
      <c r="K7169" t="s">
        <v>1267</v>
      </c>
      <c r="L7169">
        <v>4169</v>
      </c>
      <c r="M7169" t="s">
        <v>1268</v>
      </c>
      <c r="N7169" t="s">
        <v>274</v>
      </c>
      <c r="O7169">
        <v>20</v>
      </c>
      <c r="P7169">
        <v>2901</v>
      </c>
      <c r="Q7169" t="s">
        <v>1101</v>
      </c>
      <c r="R7169" t="s">
        <v>201</v>
      </c>
      <c r="S7169">
        <v>1</v>
      </c>
      <c r="T7169">
        <v>1</v>
      </c>
      <c r="U7169">
        <v>137532</v>
      </c>
      <c r="V7169">
        <v>137532</v>
      </c>
    </row>
    <row r="7170" spans="1:22">
      <c r="A7170" t="s">
        <v>196</v>
      </c>
      <c r="B7170">
        <v>54</v>
      </c>
      <c r="C7170" t="s">
        <v>42</v>
      </c>
      <c r="D7170" t="s">
        <v>2285</v>
      </c>
      <c r="E7170" t="s">
        <v>2286</v>
      </c>
      <c r="F7170">
        <v>1005</v>
      </c>
      <c r="G7170" t="s">
        <v>42</v>
      </c>
      <c r="H7170">
        <v>2005</v>
      </c>
      <c r="I7170" t="s">
        <v>42</v>
      </c>
      <c r="J7170">
        <v>3046</v>
      </c>
      <c r="K7170" t="s">
        <v>1267</v>
      </c>
      <c r="L7170">
        <v>4169</v>
      </c>
      <c r="M7170" t="s">
        <v>1268</v>
      </c>
      <c r="N7170" t="s">
        <v>297</v>
      </c>
      <c r="O7170">
        <v>20</v>
      </c>
      <c r="P7170">
        <v>1441</v>
      </c>
      <c r="Q7170" t="s">
        <v>1122</v>
      </c>
      <c r="R7170" t="s">
        <v>201</v>
      </c>
      <c r="S7170">
        <v>1</v>
      </c>
      <c r="T7170">
        <v>1</v>
      </c>
      <c r="U7170">
        <v>106272</v>
      </c>
      <c r="V7170">
        <v>106272</v>
      </c>
    </row>
    <row r="7171" spans="1:22">
      <c r="A7171" t="s">
        <v>196</v>
      </c>
      <c r="B7171">
        <v>54</v>
      </c>
      <c r="C7171" t="s">
        <v>42</v>
      </c>
      <c r="D7171" t="s">
        <v>2285</v>
      </c>
      <c r="E7171" t="s">
        <v>2286</v>
      </c>
      <c r="F7171">
        <v>1005</v>
      </c>
      <c r="G7171" t="s">
        <v>42</v>
      </c>
      <c r="H7171">
        <v>2005</v>
      </c>
      <c r="I7171" t="s">
        <v>42</v>
      </c>
      <c r="J7171">
        <v>3046</v>
      </c>
      <c r="K7171" t="s">
        <v>1267</v>
      </c>
      <c r="L7171">
        <v>4169</v>
      </c>
      <c r="M7171" t="s">
        <v>1268</v>
      </c>
      <c r="N7171" t="s">
        <v>281</v>
      </c>
      <c r="O7171">
        <v>10</v>
      </c>
      <c r="P7171">
        <v>1405</v>
      </c>
      <c r="Q7171" t="s">
        <v>1260</v>
      </c>
      <c r="R7171" t="s">
        <v>201</v>
      </c>
      <c r="S7171">
        <v>1</v>
      </c>
      <c r="T7171">
        <v>1</v>
      </c>
      <c r="U7171">
        <v>89112</v>
      </c>
      <c r="V7171">
        <v>89112</v>
      </c>
    </row>
    <row r="7172" spans="1:22">
      <c r="A7172" t="s">
        <v>196</v>
      </c>
      <c r="B7172">
        <v>54</v>
      </c>
      <c r="C7172" t="s">
        <v>42</v>
      </c>
      <c r="D7172" t="s">
        <v>2285</v>
      </c>
      <c r="E7172" t="s">
        <v>2286</v>
      </c>
      <c r="F7172">
        <v>1005</v>
      </c>
      <c r="G7172" t="s">
        <v>42</v>
      </c>
      <c r="H7172">
        <v>2005</v>
      </c>
      <c r="I7172" t="s">
        <v>42</v>
      </c>
      <c r="J7172">
        <v>3046</v>
      </c>
      <c r="K7172" t="s">
        <v>1267</v>
      </c>
      <c r="L7172">
        <v>4169</v>
      </c>
      <c r="M7172" t="s">
        <v>1268</v>
      </c>
      <c r="N7172" t="s">
        <v>199</v>
      </c>
      <c r="O7172">
        <v>0</v>
      </c>
      <c r="P7172">
        <v>15</v>
      </c>
      <c r="Q7172" t="s">
        <v>264</v>
      </c>
      <c r="R7172" t="s">
        <v>201</v>
      </c>
      <c r="S7172">
        <v>0</v>
      </c>
      <c r="T7172">
        <v>0</v>
      </c>
      <c r="U7172">
        <v>11294</v>
      </c>
      <c r="V7172">
        <v>11294</v>
      </c>
    </row>
    <row r="7173" spans="1:22">
      <c r="A7173" t="s">
        <v>196</v>
      </c>
      <c r="B7173">
        <v>54</v>
      </c>
      <c r="C7173" t="s">
        <v>42</v>
      </c>
      <c r="D7173" t="s">
        <v>2285</v>
      </c>
      <c r="E7173" t="s">
        <v>2286</v>
      </c>
      <c r="F7173">
        <v>1005</v>
      </c>
      <c r="G7173" t="s">
        <v>42</v>
      </c>
      <c r="H7173">
        <v>2005</v>
      </c>
      <c r="I7173" t="s">
        <v>42</v>
      </c>
      <c r="J7173">
        <v>3046</v>
      </c>
      <c r="K7173" t="s">
        <v>1267</v>
      </c>
      <c r="L7173">
        <v>4184</v>
      </c>
      <c r="M7173" t="s">
        <v>1273</v>
      </c>
      <c r="N7173" t="s">
        <v>297</v>
      </c>
      <c r="O7173">
        <v>20</v>
      </c>
      <c r="P7173">
        <v>1441</v>
      </c>
      <c r="Q7173" t="s">
        <v>1122</v>
      </c>
      <c r="R7173" t="s">
        <v>201</v>
      </c>
      <c r="S7173">
        <v>1</v>
      </c>
      <c r="T7173">
        <v>1</v>
      </c>
      <c r="U7173">
        <v>106272</v>
      </c>
      <c r="V7173">
        <v>106272</v>
      </c>
    </row>
    <row r="7174" spans="1:22">
      <c r="A7174" t="s">
        <v>196</v>
      </c>
      <c r="B7174">
        <v>84</v>
      </c>
      <c r="C7174" t="s">
        <v>1762</v>
      </c>
      <c r="D7174" t="s">
        <v>2285</v>
      </c>
      <c r="E7174" t="s">
        <v>2286</v>
      </c>
      <c r="F7174">
        <v>1115</v>
      </c>
      <c r="G7174" t="s">
        <v>77</v>
      </c>
      <c r="H7174">
        <v>2115</v>
      </c>
      <c r="I7174" t="s">
        <v>77</v>
      </c>
      <c r="J7174">
        <v>3216</v>
      </c>
      <c r="K7174" t="s">
        <v>638</v>
      </c>
      <c r="L7174">
        <v>4216</v>
      </c>
      <c r="M7174" t="s">
        <v>1790</v>
      </c>
      <c r="N7174" t="s">
        <v>356</v>
      </c>
      <c r="O7174">
        <v>4</v>
      </c>
      <c r="P7174">
        <v>5613</v>
      </c>
      <c r="Q7174" t="s">
        <v>1767</v>
      </c>
      <c r="R7174" t="s">
        <v>201</v>
      </c>
      <c r="S7174">
        <v>1</v>
      </c>
      <c r="T7174">
        <v>1</v>
      </c>
      <c r="U7174">
        <v>90144</v>
      </c>
      <c r="V7174">
        <v>90144</v>
      </c>
    </row>
    <row r="7175" spans="1:22">
      <c r="A7175" t="s">
        <v>196</v>
      </c>
      <c r="B7175">
        <v>84</v>
      </c>
      <c r="C7175" t="s">
        <v>1762</v>
      </c>
      <c r="D7175" t="s">
        <v>2285</v>
      </c>
      <c r="E7175" t="s">
        <v>2286</v>
      </c>
      <c r="F7175">
        <v>1115</v>
      </c>
      <c r="G7175" t="s">
        <v>77</v>
      </c>
      <c r="H7175">
        <v>2115</v>
      </c>
      <c r="I7175" t="s">
        <v>77</v>
      </c>
      <c r="J7175">
        <v>3216</v>
      </c>
      <c r="K7175" t="s">
        <v>638</v>
      </c>
      <c r="L7175">
        <v>4216</v>
      </c>
      <c r="M7175" t="s">
        <v>1790</v>
      </c>
      <c r="N7175" t="s">
        <v>253</v>
      </c>
      <c r="O7175">
        <v>20</v>
      </c>
      <c r="P7175">
        <v>381</v>
      </c>
      <c r="Q7175" t="s">
        <v>730</v>
      </c>
      <c r="R7175" t="s">
        <v>201</v>
      </c>
      <c r="S7175">
        <v>1</v>
      </c>
      <c r="T7175">
        <v>1</v>
      </c>
      <c r="U7175">
        <v>89112</v>
      </c>
      <c r="V7175">
        <v>89112</v>
      </c>
    </row>
    <row r="7176" spans="1:22">
      <c r="A7176" t="s">
        <v>196</v>
      </c>
      <c r="B7176">
        <v>84</v>
      </c>
      <c r="C7176" t="s">
        <v>1762</v>
      </c>
      <c r="D7176" t="s">
        <v>2285</v>
      </c>
      <c r="E7176" t="s">
        <v>2286</v>
      </c>
      <c r="F7176">
        <v>1115</v>
      </c>
      <c r="G7176" t="s">
        <v>77</v>
      </c>
      <c r="H7176">
        <v>2115</v>
      </c>
      <c r="I7176" t="s">
        <v>77</v>
      </c>
      <c r="J7176">
        <v>3216</v>
      </c>
      <c r="K7176" t="s">
        <v>638</v>
      </c>
      <c r="L7176">
        <v>4216</v>
      </c>
      <c r="M7176" t="s">
        <v>1790</v>
      </c>
      <c r="N7176" t="s">
        <v>249</v>
      </c>
      <c r="O7176">
        <v>10</v>
      </c>
      <c r="P7176">
        <v>310</v>
      </c>
      <c r="Q7176" t="s">
        <v>447</v>
      </c>
      <c r="R7176" t="s">
        <v>201</v>
      </c>
      <c r="S7176">
        <v>1</v>
      </c>
      <c r="T7176">
        <v>1</v>
      </c>
      <c r="U7176">
        <v>89112</v>
      </c>
      <c r="V7176">
        <v>89112</v>
      </c>
    </row>
    <row r="7177" spans="1:22">
      <c r="A7177" t="s">
        <v>196</v>
      </c>
      <c r="B7177">
        <v>84</v>
      </c>
      <c r="C7177" t="s">
        <v>1762</v>
      </c>
      <c r="D7177" t="s">
        <v>2285</v>
      </c>
      <c r="E7177" t="s">
        <v>2286</v>
      </c>
      <c r="F7177">
        <v>1115</v>
      </c>
      <c r="G7177" t="s">
        <v>77</v>
      </c>
      <c r="H7177">
        <v>2115</v>
      </c>
      <c r="I7177" t="s">
        <v>77</v>
      </c>
      <c r="J7177">
        <v>3216</v>
      </c>
      <c r="K7177" t="s">
        <v>638</v>
      </c>
      <c r="L7177">
        <v>4216</v>
      </c>
      <c r="M7177" t="s">
        <v>1790</v>
      </c>
      <c r="N7177" t="s">
        <v>628</v>
      </c>
      <c r="O7177">
        <v>10</v>
      </c>
      <c r="P7177">
        <v>128</v>
      </c>
      <c r="Q7177" t="s">
        <v>1788</v>
      </c>
      <c r="R7177" t="s">
        <v>201</v>
      </c>
      <c r="S7177">
        <v>1</v>
      </c>
      <c r="T7177">
        <v>1</v>
      </c>
      <c r="U7177">
        <v>129228</v>
      </c>
      <c r="V7177">
        <v>129228</v>
      </c>
    </row>
    <row r="7178" spans="1:22">
      <c r="A7178" t="s">
        <v>196</v>
      </c>
      <c r="B7178">
        <v>84</v>
      </c>
      <c r="C7178" t="s">
        <v>1762</v>
      </c>
      <c r="D7178" t="s">
        <v>2285</v>
      </c>
      <c r="E7178" t="s">
        <v>2286</v>
      </c>
      <c r="F7178">
        <v>1115</v>
      </c>
      <c r="G7178" t="s">
        <v>77</v>
      </c>
      <c r="H7178">
        <v>2115</v>
      </c>
      <c r="I7178" t="s">
        <v>77</v>
      </c>
      <c r="J7178">
        <v>3216</v>
      </c>
      <c r="K7178" t="s">
        <v>638</v>
      </c>
      <c r="L7178">
        <v>4216</v>
      </c>
      <c r="M7178" t="s">
        <v>1790</v>
      </c>
      <c r="N7178" t="s">
        <v>341</v>
      </c>
      <c r="O7178">
        <v>4</v>
      </c>
      <c r="P7178">
        <v>110</v>
      </c>
      <c r="Q7178" t="s">
        <v>359</v>
      </c>
      <c r="R7178" t="s">
        <v>201</v>
      </c>
      <c r="S7178">
        <v>1</v>
      </c>
      <c r="T7178">
        <v>1</v>
      </c>
      <c r="U7178">
        <v>68616</v>
      </c>
      <c r="V7178">
        <v>68616</v>
      </c>
    </row>
    <row r="7179" spans="1:22">
      <c r="A7179" t="s">
        <v>196</v>
      </c>
      <c r="B7179">
        <v>84</v>
      </c>
      <c r="C7179" t="s">
        <v>1762</v>
      </c>
      <c r="D7179" t="s">
        <v>2285</v>
      </c>
      <c r="E7179" t="s">
        <v>2286</v>
      </c>
      <c r="F7179">
        <v>1115</v>
      </c>
      <c r="G7179" t="s">
        <v>77</v>
      </c>
      <c r="H7179">
        <v>2115</v>
      </c>
      <c r="I7179" t="s">
        <v>77</v>
      </c>
      <c r="J7179">
        <v>3216</v>
      </c>
      <c r="K7179" t="s">
        <v>638</v>
      </c>
      <c r="L7179">
        <v>4216</v>
      </c>
      <c r="M7179" t="s">
        <v>1790</v>
      </c>
      <c r="N7179" t="s">
        <v>199</v>
      </c>
      <c r="O7179">
        <v>0</v>
      </c>
      <c r="P7179">
        <v>15</v>
      </c>
      <c r="Q7179" t="s">
        <v>264</v>
      </c>
      <c r="R7179" t="s">
        <v>201</v>
      </c>
      <c r="S7179">
        <v>0</v>
      </c>
      <c r="T7179">
        <v>0</v>
      </c>
      <c r="U7179">
        <v>4984</v>
      </c>
      <c r="V7179">
        <v>4984</v>
      </c>
    </row>
    <row r="7180" spans="1:22">
      <c r="A7180" t="s">
        <v>196</v>
      </c>
      <c r="B7180">
        <v>81</v>
      </c>
      <c r="C7180" t="s">
        <v>1699</v>
      </c>
      <c r="D7180" t="s">
        <v>2296</v>
      </c>
      <c r="E7180" t="s">
        <v>2297</v>
      </c>
      <c r="F7180">
        <v>1015</v>
      </c>
      <c r="G7180" t="s">
        <v>7</v>
      </c>
      <c r="H7180">
        <v>2020</v>
      </c>
      <c r="I7180" t="s">
        <v>7</v>
      </c>
      <c r="J7180">
        <v>3050</v>
      </c>
      <c r="K7180" t="s">
        <v>1717</v>
      </c>
      <c r="L7180">
        <v>4025</v>
      </c>
      <c r="M7180" t="s">
        <v>1727</v>
      </c>
      <c r="N7180" t="s">
        <v>721</v>
      </c>
      <c r="O7180">
        <v>8</v>
      </c>
      <c r="P7180">
        <v>7185</v>
      </c>
      <c r="Q7180" t="s">
        <v>1039</v>
      </c>
      <c r="R7180" t="s">
        <v>713</v>
      </c>
      <c r="S7180">
        <v>13</v>
      </c>
      <c r="T7180">
        <v>1</v>
      </c>
      <c r="U7180">
        <v>52.38</v>
      </c>
      <c r="V7180">
        <v>1416355</v>
      </c>
    </row>
    <row r="7181" spans="1:22">
      <c r="A7181" t="s">
        <v>196</v>
      </c>
      <c r="B7181">
        <v>81</v>
      </c>
      <c r="C7181" t="s">
        <v>1699</v>
      </c>
      <c r="D7181" t="s">
        <v>2296</v>
      </c>
      <c r="E7181" t="s">
        <v>2297</v>
      </c>
      <c r="F7181">
        <v>1015</v>
      </c>
      <c r="G7181" t="s">
        <v>7</v>
      </c>
      <c r="H7181">
        <v>2020</v>
      </c>
      <c r="I7181" t="s">
        <v>7</v>
      </c>
      <c r="J7181">
        <v>3050</v>
      </c>
      <c r="K7181" t="s">
        <v>1717</v>
      </c>
      <c r="L7181">
        <v>4025</v>
      </c>
      <c r="M7181" t="s">
        <v>1727</v>
      </c>
      <c r="N7181" t="s">
        <v>721</v>
      </c>
      <c r="O7181">
        <v>8</v>
      </c>
      <c r="P7181">
        <v>7184</v>
      </c>
      <c r="Q7181" t="s">
        <v>1728</v>
      </c>
      <c r="R7181" t="s">
        <v>713</v>
      </c>
      <c r="S7181">
        <v>31</v>
      </c>
      <c r="T7181">
        <v>1</v>
      </c>
      <c r="U7181">
        <v>48.73</v>
      </c>
      <c r="V7181">
        <v>3142110</v>
      </c>
    </row>
    <row r="7182" spans="1:22">
      <c r="A7182" t="s">
        <v>196</v>
      </c>
      <c r="B7182">
        <v>81</v>
      </c>
      <c r="C7182" t="s">
        <v>1699</v>
      </c>
      <c r="D7182" t="s">
        <v>2296</v>
      </c>
      <c r="E7182" t="s">
        <v>2297</v>
      </c>
      <c r="F7182">
        <v>1015</v>
      </c>
      <c r="G7182" t="s">
        <v>7</v>
      </c>
      <c r="H7182">
        <v>2020</v>
      </c>
      <c r="I7182" t="s">
        <v>7</v>
      </c>
      <c r="J7182">
        <v>3050</v>
      </c>
      <c r="K7182" t="s">
        <v>1717</v>
      </c>
      <c r="L7182">
        <v>4025</v>
      </c>
      <c r="M7182" t="s">
        <v>1727</v>
      </c>
      <c r="N7182" t="s">
        <v>721</v>
      </c>
      <c r="O7182">
        <v>8</v>
      </c>
      <c r="P7182">
        <v>7184</v>
      </c>
      <c r="Q7182" t="s">
        <v>1728</v>
      </c>
      <c r="R7182" t="s">
        <v>713</v>
      </c>
      <c r="S7182">
        <v>8</v>
      </c>
      <c r="T7182">
        <v>1</v>
      </c>
      <c r="U7182">
        <v>43.86</v>
      </c>
      <c r="V7182">
        <v>729830</v>
      </c>
    </row>
    <row r="7183" spans="1:22">
      <c r="A7183" t="s">
        <v>196</v>
      </c>
      <c r="B7183">
        <v>81</v>
      </c>
      <c r="C7183" t="s">
        <v>1699</v>
      </c>
      <c r="D7183" t="s">
        <v>2296</v>
      </c>
      <c r="E7183" t="s">
        <v>2297</v>
      </c>
      <c r="F7183">
        <v>1015</v>
      </c>
      <c r="G7183" t="s">
        <v>7</v>
      </c>
      <c r="H7183">
        <v>2020</v>
      </c>
      <c r="I7183" t="s">
        <v>7</v>
      </c>
      <c r="J7183">
        <v>3050</v>
      </c>
      <c r="K7183" t="s">
        <v>1717</v>
      </c>
      <c r="L7183">
        <v>4025</v>
      </c>
      <c r="M7183" t="s">
        <v>1727</v>
      </c>
      <c r="N7183" t="s">
        <v>721</v>
      </c>
      <c r="O7183">
        <v>8</v>
      </c>
      <c r="P7183">
        <v>7183</v>
      </c>
      <c r="Q7183" t="s">
        <v>986</v>
      </c>
      <c r="R7183" t="s">
        <v>713</v>
      </c>
      <c r="S7183">
        <v>41</v>
      </c>
      <c r="T7183">
        <v>1</v>
      </c>
      <c r="U7183">
        <v>48.73</v>
      </c>
      <c r="V7183">
        <v>4155694</v>
      </c>
    </row>
    <row r="7184" spans="1:22">
      <c r="A7184" t="s">
        <v>196</v>
      </c>
      <c r="B7184">
        <v>81</v>
      </c>
      <c r="C7184" t="s">
        <v>1699</v>
      </c>
      <c r="D7184" t="s">
        <v>2296</v>
      </c>
      <c r="E7184" t="s">
        <v>2297</v>
      </c>
      <c r="F7184">
        <v>1015</v>
      </c>
      <c r="G7184" t="s">
        <v>7</v>
      </c>
      <c r="H7184">
        <v>2020</v>
      </c>
      <c r="I7184" t="s">
        <v>7</v>
      </c>
      <c r="J7184">
        <v>3050</v>
      </c>
      <c r="K7184" t="s">
        <v>1717</v>
      </c>
      <c r="L7184">
        <v>4025</v>
      </c>
      <c r="M7184" t="s">
        <v>1727</v>
      </c>
      <c r="N7184" t="s">
        <v>721</v>
      </c>
      <c r="O7184">
        <v>54</v>
      </c>
      <c r="P7184">
        <v>6329</v>
      </c>
      <c r="Q7184" t="s">
        <v>1729</v>
      </c>
      <c r="R7184" t="s">
        <v>713</v>
      </c>
      <c r="S7184">
        <v>67</v>
      </c>
      <c r="T7184">
        <v>1</v>
      </c>
      <c r="U7184">
        <v>26.28</v>
      </c>
      <c r="V7184">
        <v>3662381</v>
      </c>
    </row>
    <row r="7185" spans="1:22">
      <c r="A7185" t="s">
        <v>196</v>
      </c>
      <c r="B7185">
        <v>81</v>
      </c>
      <c r="C7185" t="s">
        <v>1699</v>
      </c>
      <c r="D7185" t="s">
        <v>2296</v>
      </c>
      <c r="E7185" t="s">
        <v>2297</v>
      </c>
      <c r="F7185">
        <v>1015</v>
      </c>
      <c r="G7185" t="s">
        <v>7</v>
      </c>
      <c r="H7185">
        <v>2020</v>
      </c>
      <c r="I7185" t="s">
        <v>7</v>
      </c>
      <c r="J7185">
        <v>3050</v>
      </c>
      <c r="K7185" t="s">
        <v>1717</v>
      </c>
      <c r="L7185">
        <v>4025</v>
      </c>
      <c r="M7185" t="s">
        <v>1727</v>
      </c>
      <c r="N7185" t="s">
        <v>721</v>
      </c>
      <c r="O7185">
        <v>54</v>
      </c>
      <c r="P7185">
        <v>6324</v>
      </c>
      <c r="Q7185" t="s">
        <v>1730</v>
      </c>
      <c r="R7185" t="s">
        <v>713</v>
      </c>
      <c r="S7185">
        <v>3</v>
      </c>
      <c r="T7185">
        <v>1</v>
      </c>
      <c r="U7185">
        <v>49.79</v>
      </c>
      <c r="V7185">
        <v>310690</v>
      </c>
    </row>
    <row r="7186" spans="1:22">
      <c r="A7186" t="s">
        <v>196</v>
      </c>
      <c r="B7186">
        <v>81</v>
      </c>
      <c r="C7186" t="s">
        <v>1699</v>
      </c>
      <c r="D7186" t="s">
        <v>2296</v>
      </c>
      <c r="E7186" t="s">
        <v>2297</v>
      </c>
      <c r="F7186">
        <v>1015</v>
      </c>
      <c r="G7186" t="s">
        <v>7</v>
      </c>
      <c r="H7186">
        <v>2020</v>
      </c>
      <c r="I7186" t="s">
        <v>7</v>
      </c>
      <c r="J7186">
        <v>3050</v>
      </c>
      <c r="K7186" t="s">
        <v>1717</v>
      </c>
      <c r="L7186">
        <v>4025</v>
      </c>
      <c r="M7186" t="s">
        <v>1727</v>
      </c>
      <c r="N7186" t="s">
        <v>721</v>
      </c>
      <c r="O7186">
        <v>54</v>
      </c>
      <c r="P7186">
        <v>6324</v>
      </c>
      <c r="Q7186" t="s">
        <v>1730</v>
      </c>
      <c r="R7186" t="s">
        <v>713</v>
      </c>
      <c r="S7186">
        <v>345</v>
      </c>
      <c r="T7186">
        <v>1</v>
      </c>
      <c r="U7186">
        <v>47.79</v>
      </c>
      <c r="V7186">
        <v>34294104</v>
      </c>
    </row>
    <row r="7187" spans="1:22">
      <c r="A7187" t="s">
        <v>196</v>
      </c>
      <c r="B7187">
        <v>81</v>
      </c>
      <c r="C7187" t="s">
        <v>1699</v>
      </c>
      <c r="D7187" t="s">
        <v>2296</v>
      </c>
      <c r="E7187" t="s">
        <v>2297</v>
      </c>
      <c r="F7187">
        <v>1015</v>
      </c>
      <c r="G7187" t="s">
        <v>7</v>
      </c>
      <c r="H7187">
        <v>2020</v>
      </c>
      <c r="I7187" t="s">
        <v>7</v>
      </c>
      <c r="J7187">
        <v>3050</v>
      </c>
      <c r="K7187" t="s">
        <v>1717</v>
      </c>
      <c r="L7187">
        <v>4025</v>
      </c>
      <c r="M7187" t="s">
        <v>1727</v>
      </c>
      <c r="N7187" t="s">
        <v>721</v>
      </c>
      <c r="O7187">
        <v>54</v>
      </c>
      <c r="P7187">
        <v>6324</v>
      </c>
      <c r="Q7187" t="s">
        <v>1730</v>
      </c>
      <c r="R7187" t="s">
        <v>713</v>
      </c>
      <c r="S7187">
        <v>91</v>
      </c>
      <c r="T7187">
        <v>1</v>
      </c>
      <c r="U7187">
        <v>43.01</v>
      </c>
      <c r="V7187">
        <v>8140933</v>
      </c>
    </row>
    <row r="7188" spans="1:22">
      <c r="A7188" t="s">
        <v>196</v>
      </c>
      <c r="B7188">
        <v>81</v>
      </c>
      <c r="C7188" t="s">
        <v>1699</v>
      </c>
      <c r="D7188" t="s">
        <v>2296</v>
      </c>
      <c r="E7188" t="s">
        <v>2297</v>
      </c>
      <c r="F7188">
        <v>1015</v>
      </c>
      <c r="G7188" t="s">
        <v>7</v>
      </c>
      <c r="H7188">
        <v>2020</v>
      </c>
      <c r="I7188" t="s">
        <v>7</v>
      </c>
      <c r="J7188">
        <v>3050</v>
      </c>
      <c r="K7188" t="s">
        <v>1717</v>
      </c>
      <c r="L7188">
        <v>4025</v>
      </c>
      <c r="M7188" t="s">
        <v>1727</v>
      </c>
      <c r="N7188" t="s">
        <v>721</v>
      </c>
      <c r="O7188">
        <v>54</v>
      </c>
      <c r="P7188">
        <v>6324</v>
      </c>
      <c r="Q7188" t="s">
        <v>1730</v>
      </c>
      <c r="R7188" t="s">
        <v>713</v>
      </c>
      <c r="S7188">
        <v>50</v>
      </c>
      <c r="T7188">
        <v>1</v>
      </c>
      <c r="U7188">
        <v>35.840000000000003</v>
      </c>
      <c r="V7188">
        <v>3727360</v>
      </c>
    </row>
    <row r="7189" spans="1:22">
      <c r="A7189" t="s">
        <v>196</v>
      </c>
      <c r="B7189">
        <v>81</v>
      </c>
      <c r="C7189" t="s">
        <v>1699</v>
      </c>
      <c r="D7189" t="s">
        <v>2296</v>
      </c>
      <c r="E7189" t="s">
        <v>2297</v>
      </c>
      <c r="F7189">
        <v>1015</v>
      </c>
      <c r="G7189" t="s">
        <v>7</v>
      </c>
      <c r="H7189">
        <v>2020</v>
      </c>
      <c r="I7189" t="s">
        <v>7</v>
      </c>
      <c r="J7189">
        <v>3050</v>
      </c>
      <c r="K7189" t="s">
        <v>1717</v>
      </c>
      <c r="L7189">
        <v>4025</v>
      </c>
      <c r="M7189" t="s">
        <v>1727</v>
      </c>
      <c r="N7189" t="s">
        <v>721</v>
      </c>
      <c r="O7189">
        <v>54</v>
      </c>
      <c r="P7189">
        <v>6324</v>
      </c>
      <c r="Q7189" t="s">
        <v>1730</v>
      </c>
      <c r="R7189" t="s">
        <v>713</v>
      </c>
      <c r="S7189">
        <v>10</v>
      </c>
      <c r="T7189">
        <v>1</v>
      </c>
      <c r="U7189">
        <v>31.7</v>
      </c>
      <c r="V7189">
        <v>659360</v>
      </c>
    </row>
    <row r="7190" spans="1:22">
      <c r="A7190" t="s">
        <v>196</v>
      </c>
      <c r="B7190">
        <v>81</v>
      </c>
      <c r="C7190" t="s">
        <v>1699</v>
      </c>
      <c r="D7190" t="s">
        <v>2296</v>
      </c>
      <c r="E7190" t="s">
        <v>2297</v>
      </c>
      <c r="F7190">
        <v>1015</v>
      </c>
      <c r="G7190" t="s">
        <v>7</v>
      </c>
      <c r="H7190">
        <v>2020</v>
      </c>
      <c r="I7190" t="s">
        <v>7</v>
      </c>
      <c r="J7190">
        <v>3050</v>
      </c>
      <c r="K7190" t="s">
        <v>1717</v>
      </c>
      <c r="L7190">
        <v>4025</v>
      </c>
      <c r="M7190" t="s">
        <v>1727</v>
      </c>
      <c r="N7190" t="s">
        <v>721</v>
      </c>
      <c r="O7190">
        <v>54</v>
      </c>
      <c r="P7190">
        <v>6324</v>
      </c>
      <c r="Q7190" t="s">
        <v>1730</v>
      </c>
      <c r="R7190" t="s">
        <v>713</v>
      </c>
      <c r="S7190">
        <v>16</v>
      </c>
      <c r="T7190">
        <v>1</v>
      </c>
      <c r="U7190">
        <v>31.06</v>
      </c>
      <c r="V7190">
        <v>1033677</v>
      </c>
    </row>
    <row r="7191" spans="1:22">
      <c r="A7191" t="s">
        <v>196</v>
      </c>
      <c r="B7191">
        <v>81</v>
      </c>
      <c r="C7191" t="s">
        <v>1699</v>
      </c>
      <c r="D7191" t="s">
        <v>2296</v>
      </c>
      <c r="E7191" t="s">
        <v>2297</v>
      </c>
      <c r="F7191">
        <v>1015</v>
      </c>
      <c r="G7191" t="s">
        <v>7</v>
      </c>
      <c r="H7191">
        <v>2020</v>
      </c>
      <c r="I7191" t="s">
        <v>7</v>
      </c>
      <c r="J7191">
        <v>3050</v>
      </c>
      <c r="K7191" t="s">
        <v>1717</v>
      </c>
      <c r="L7191">
        <v>4025</v>
      </c>
      <c r="M7191" t="s">
        <v>1727</v>
      </c>
      <c r="N7191" t="s">
        <v>199</v>
      </c>
      <c r="O7191">
        <v>0</v>
      </c>
      <c r="P7191">
        <v>12</v>
      </c>
      <c r="Q7191" t="s">
        <v>724</v>
      </c>
      <c r="R7191" t="s">
        <v>201</v>
      </c>
      <c r="S7191">
        <v>0</v>
      </c>
      <c r="T7191">
        <v>0</v>
      </c>
      <c r="U7191">
        <v>919086</v>
      </c>
      <c r="V7191">
        <v>919086</v>
      </c>
    </row>
    <row r="7192" spans="1:22">
      <c r="A7192" t="s">
        <v>196</v>
      </c>
      <c r="B7192">
        <v>70</v>
      </c>
      <c r="C7192" t="s">
        <v>40</v>
      </c>
      <c r="D7192" t="s">
        <v>2298</v>
      </c>
      <c r="E7192" t="s">
        <v>2299</v>
      </c>
      <c r="F7192">
        <v>1005</v>
      </c>
      <c r="G7192" t="s">
        <v>40</v>
      </c>
      <c r="H7192">
        <v>2005</v>
      </c>
      <c r="I7192" t="s">
        <v>40</v>
      </c>
      <c r="J7192">
        <v>3018</v>
      </c>
      <c r="K7192" t="s">
        <v>1644</v>
      </c>
      <c r="L7192">
        <v>4024</v>
      </c>
      <c r="M7192" t="s">
        <v>1645</v>
      </c>
      <c r="N7192" t="s">
        <v>268</v>
      </c>
      <c r="O7192">
        <v>10</v>
      </c>
      <c r="P7192">
        <v>1911</v>
      </c>
      <c r="Q7192" t="s">
        <v>617</v>
      </c>
      <c r="R7192" t="s">
        <v>201</v>
      </c>
      <c r="S7192">
        <v>1</v>
      </c>
      <c r="T7192">
        <v>1</v>
      </c>
      <c r="U7192">
        <v>72996</v>
      </c>
      <c r="V7192">
        <v>72996</v>
      </c>
    </row>
    <row r="7193" spans="1:22">
      <c r="A7193" t="s">
        <v>196</v>
      </c>
      <c r="B7193">
        <v>70</v>
      </c>
      <c r="C7193" t="s">
        <v>40</v>
      </c>
      <c r="D7193" t="s">
        <v>2298</v>
      </c>
      <c r="E7193" t="s">
        <v>2299</v>
      </c>
      <c r="F7193">
        <v>1005</v>
      </c>
      <c r="G7193" t="s">
        <v>40</v>
      </c>
      <c r="H7193">
        <v>2005</v>
      </c>
      <c r="I7193" t="s">
        <v>40</v>
      </c>
      <c r="J7193">
        <v>3018</v>
      </c>
      <c r="K7193" t="s">
        <v>1644</v>
      </c>
      <c r="L7193">
        <v>4024</v>
      </c>
      <c r="M7193" t="s">
        <v>1645</v>
      </c>
      <c r="N7193" t="s">
        <v>251</v>
      </c>
      <c r="O7193">
        <v>10</v>
      </c>
      <c r="P7193">
        <v>1211</v>
      </c>
      <c r="Q7193" t="s">
        <v>1656</v>
      </c>
      <c r="R7193" t="s">
        <v>201</v>
      </c>
      <c r="S7193">
        <v>1</v>
      </c>
      <c r="T7193">
        <v>1</v>
      </c>
      <c r="U7193">
        <v>124584</v>
      </c>
      <c r="V7193">
        <v>124584</v>
      </c>
    </row>
    <row r="7194" spans="1:22">
      <c r="A7194" t="s">
        <v>196</v>
      </c>
      <c r="B7194">
        <v>70</v>
      </c>
      <c r="C7194" t="s">
        <v>40</v>
      </c>
      <c r="D7194" t="s">
        <v>2298</v>
      </c>
      <c r="E7194" t="s">
        <v>2299</v>
      </c>
      <c r="F7194">
        <v>1005</v>
      </c>
      <c r="G7194" t="s">
        <v>40</v>
      </c>
      <c r="H7194">
        <v>2005</v>
      </c>
      <c r="I7194" t="s">
        <v>40</v>
      </c>
      <c r="J7194">
        <v>3018</v>
      </c>
      <c r="K7194" t="s">
        <v>1644</v>
      </c>
      <c r="L7194">
        <v>4024</v>
      </c>
      <c r="M7194" t="s">
        <v>1645</v>
      </c>
      <c r="N7194" t="s">
        <v>372</v>
      </c>
      <c r="O7194">
        <v>1</v>
      </c>
      <c r="P7194">
        <v>1210</v>
      </c>
      <c r="Q7194" t="s">
        <v>1657</v>
      </c>
      <c r="R7194" t="s">
        <v>201</v>
      </c>
      <c r="S7194">
        <v>2</v>
      </c>
      <c r="T7194">
        <v>1</v>
      </c>
      <c r="U7194">
        <v>130668</v>
      </c>
      <c r="V7194">
        <v>261336</v>
      </c>
    </row>
    <row r="7195" spans="1:22">
      <c r="A7195" t="s">
        <v>196</v>
      </c>
      <c r="B7195">
        <v>70</v>
      </c>
      <c r="C7195" t="s">
        <v>40</v>
      </c>
      <c r="D7195" t="s">
        <v>2298</v>
      </c>
      <c r="E7195" t="s">
        <v>2299</v>
      </c>
      <c r="F7195">
        <v>1005</v>
      </c>
      <c r="G7195" t="s">
        <v>40</v>
      </c>
      <c r="H7195">
        <v>2005</v>
      </c>
      <c r="I7195" t="s">
        <v>40</v>
      </c>
      <c r="J7195">
        <v>3018</v>
      </c>
      <c r="K7195" t="s">
        <v>1644</v>
      </c>
      <c r="L7195">
        <v>4024</v>
      </c>
      <c r="M7195" t="s">
        <v>1645</v>
      </c>
      <c r="N7195" t="s">
        <v>372</v>
      </c>
      <c r="O7195">
        <v>1</v>
      </c>
      <c r="P7195">
        <v>1210</v>
      </c>
      <c r="Q7195" t="s">
        <v>1657</v>
      </c>
      <c r="R7195" t="s">
        <v>201</v>
      </c>
      <c r="S7195">
        <v>1</v>
      </c>
      <c r="T7195">
        <v>1</v>
      </c>
      <c r="U7195">
        <v>119100</v>
      </c>
      <c r="V7195">
        <v>119100</v>
      </c>
    </row>
    <row r="7196" spans="1:22">
      <c r="A7196" t="s">
        <v>196</v>
      </c>
      <c r="B7196">
        <v>70</v>
      </c>
      <c r="C7196" t="s">
        <v>40</v>
      </c>
      <c r="D7196" t="s">
        <v>2298</v>
      </c>
      <c r="E7196" t="s">
        <v>2299</v>
      </c>
      <c r="F7196">
        <v>1005</v>
      </c>
      <c r="G7196" t="s">
        <v>40</v>
      </c>
      <c r="H7196">
        <v>2005</v>
      </c>
      <c r="I7196" t="s">
        <v>40</v>
      </c>
      <c r="J7196">
        <v>3018</v>
      </c>
      <c r="K7196" t="s">
        <v>1644</v>
      </c>
      <c r="L7196">
        <v>4024</v>
      </c>
      <c r="M7196" t="s">
        <v>1645</v>
      </c>
      <c r="N7196" t="s">
        <v>372</v>
      </c>
      <c r="O7196">
        <v>1</v>
      </c>
      <c r="P7196">
        <v>1210</v>
      </c>
      <c r="Q7196" t="s">
        <v>1657</v>
      </c>
      <c r="R7196" t="s">
        <v>201</v>
      </c>
      <c r="S7196">
        <v>1</v>
      </c>
      <c r="T7196">
        <v>1</v>
      </c>
      <c r="U7196">
        <v>75336</v>
      </c>
      <c r="V7196">
        <v>75336</v>
      </c>
    </row>
    <row r="7197" spans="1:22">
      <c r="A7197" t="s">
        <v>196</v>
      </c>
      <c r="B7197">
        <v>70</v>
      </c>
      <c r="C7197" t="s">
        <v>40</v>
      </c>
      <c r="D7197" t="s">
        <v>2298</v>
      </c>
      <c r="E7197" t="s">
        <v>2299</v>
      </c>
      <c r="F7197">
        <v>1005</v>
      </c>
      <c r="G7197" t="s">
        <v>40</v>
      </c>
      <c r="H7197">
        <v>2005</v>
      </c>
      <c r="I7197" t="s">
        <v>40</v>
      </c>
      <c r="J7197">
        <v>3018</v>
      </c>
      <c r="K7197" t="s">
        <v>1644</v>
      </c>
      <c r="L7197">
        <v>4024</v>
      </c>
      <c r="M7197" t="s">
        <v>1645</v>
      </c>
      <c r="N7197" t="s">
        <v>199</v>
      </c>
      <c r="O7197">
        <v>0</v>
      </c>
      <c r="P7197">
        <v>15</v>
      </c>
      <c r="Q7197" t="s">
        <v>264</v>
      </c>
      <c r="R7197" t="s">
        <v>201</v>
      </c>
      <c r="S7197">
        <v>0</v>
      </c>
      <c r="T7197">
        <v>0</v>
      </c>
      <c r="U7197">
        <v>2030</v>
      </c>
      <c r="V7197">
        <v>2030</v>
      </c>
    </row>
    <row r="7198" spans="1:22">
      <c r="A7198" t="s">
        <v>196</v>
      </c>
      <c r="B7198">
        <v>70</v>
      </c>
      <c r="C7198" t="s">
        <v>40</v>
      </c>
      <c r="D7198" t="s">
        <v>2300</v>
      </c>
      <c r="E7198" t="s">
        <v>2301</v>
      </c>
      <c r="F7198">
        <v>1005</v>
      </c>
      <c r="G7198" t="s">
        <v>40</v>
      </c>
      <c r="H7198">
        <v>2005</v>
      </c>
      <c r="I7198" t="s">
        <v>40</v>
      </c>
      <c r="J7198">
        <v>3047</v>
      </c>
      <c r="K7198" t="s">
        <v>1665</v>
      </c>
      <c r="L7198">
        <v>0</v>
      </c>
      <c r="N7198" t="s">
        <v>268</v>
      </c>
      <c r="O7198">
        <v>10</v>
      </c>
      <c r="P7198">
        <v>948</v>
      </c>
      <c r="Q7198" t="s">
        <v>2302</v>
      </c>
      <c r="R7198" t="s">
        <v>201</v>
      </c>
      <c r="S7198">
        <v>1</v>
      </c>
      <c r="T7198">
        <v>1</v>
      </c>
      <c r="U7198">
        <v>113568</v>
      </c>
      <c r="V7198">
        <v>113568</v>
      </c>
    </row>
    <row r="7199" spans="1:22">
      <c r="A7199" t="s">
        <v>196</v>
      </c>
      <c r="B7199">
        <v>70</v>
      </c>
      <c r="C7199" t="s">
        <v>40</v>
      </c>
      <c r="D7199" t="s">
        <v>2300</v>
      </c>
      <c r="E7199" t="s">
        <v>2301</v>
      </c>
      <c r="F7199">
        <v>1005</v>
      </c>
      <c r="G7199" t="s">
        <v>40</v>
      </c>
      <c r="H7199">
        <v>2005</v>
      </c>
      <c r="I7199" t="s">
        <v>40</v>
      </c>
      <c r="J7199">
        <v>3047</v>
      </c>
      <c r="K7199" t="s">
        <v>1665</v>
      </c>
      <c r="L7199">
        <v>0</v>
      </c>
      <c r="N7199" t="s">
        <v>268</v>
      </c>
      <c r="O7199">
        <v>10</v>
      </c>
      <c r="P7199">
        <v>948</v>
      </c>
      <c r="Q7199" t="s">
        <v>2302</v>
      </c>
      <c r="R7199" t="s">
        <v>201</v>
      </c>
      <c r="S7199">
        <v>2</v>
      </c>
      <c r="T7199">
        <v>1</v>
      </c>
      <c r="U7199">
        <v>80124</v>
      </c>
      <c r="V7199">
        <v>160248</v>
      </c>
    </row>
    <row r="7200" spans="1:22">
      <c r="A7200" t="s">
        <v>196</v>
      </c>
      <c r="B7200">
        <v>70</v>
      </c>
      <c r="C7200" t="s">
        <v>40</v>
      </c>
      <c r="D7200" t="s">
        <v>2300</v>
      </c>
      <c r="E7200" t="s">
        <v>2301</v>
      </c>
      <c r="F7200">
        <v>1005</v>
      </c>
      <c r="G7200" t="s">
        <v>40</v>
      </c>
      <c r="H7200">
        <v>2005</v>
      </c>
      <c r="I7200" t="s">
        <v>40</v>
      </c>
      <c r="J7200">
        <v>3047</v>
      </c>
      <c r="K7200" t="s">
        <v>1665</v>
      </c>
      <c r="L7200">
        <v>0</v>
      </c>
      <c r="N7200" t="s">
        <v>259</v>
      </c>
      <c r="O7200">
        <v>10</v>
      </c>
      <c r="P7200">
        <v>945</v>
      </c>
      <c r="Q7200" t="s">
        <v>2303</v>
      </c>
      <c r="R7200" t="s">
        <v>201</v>
      </c>
      <c r="S7200">
        <v>1</v>
      </c>
      <c r="T7200">
        <v>1</v>
      </c>
      <c r="U7200">
        <v>57852</v>
      </c>
      <c r="V7200">
        <v>57852</v>
      </c>
    </row>
    <row r="7201" spans="1:22">
      <c r="A7201" t="s">
        <v>196</v>
      </c>
      <c r="B7201">
        <v>70</v>
      </c>
      <c r="C7201" t="s">
        <v>40</v>
      </c>
      <c r="D7201" t="s">
        <v>2300</v>
      </c>
      <c r="E7201" t="s">
        <v>2301</v>
      </c>
      <c r="F7201">
        <v>1005</v>
      </c>
      <c r="G7201" t="s">
        <v>40</v>
      </c>
      <c r="H7201">
        <v>2005</v>
      </c>
      <c r="I7201" t="s">
        <v>40</v>
      </c>
      <c r="J7201">
        <v>3047</v>
      </c>
      <c r="K7201" t="s">
        <v>1665</v>
      </c>
      <c r="L7201">
        <v>0</v>
      </c>
      <c r="N7201" t="s">
        <v>251</v>
      </c>
      <c r="O7201">
        <v>10</v>
      </c>
      <c r="P7201">
        <v>944</v>
      </c>
      <c r="Q7201" t="s">
        <v>2304</v>
      </c>
      <c r="R7201" t="s">
        <v>201</v>
      </c>
      <c r="S7201">
        <v>1</v>
      </c>
      <c r="T7201">
        <v>1</v>
      </c>
      <c r="U7201">
        <v>94332</v>
      </c>
      <c r="V7201">
        <v>94332</v>
      </c>
    </row>
    <row r="7202" spans="1:22">
      <c r="A7202" t="s">
        <v>196</v>
      </c>
      <c r="B7202">
        <v>70</v>
      </c>
      <c r="C7202" t="s">
        <v>40</v>
      </c>
      <c r="D7202" t="s">
        <v>2300</v>
      </c>
      <c r="E7202" t="s">
        <v>2301</v>
      </c>
      <c r="F7202">
        <v>1005</v>
      </c>
      <c r="G7202" t="s">
        <v>40</v>
      </c>
      <c r="H7202">
        <v>2005</v>
      </c>
      <c r="I7202" t="s">
        <v>40</v>
      </c>
      <c r="J7202">
        <v>3047</v>
      </c>
      <c r="K7202" t="s">
        <v>1665</v>
      </c>
      <c r="L7202">
        <v>0</v>
      </c>
      <c r="N7202" t="s">
        <v>249</v>
      </c>
      <c r="O7202">
        <v>10</v>
      </c>
      <c r="P7202">
        <v>943</v>
      </c>
      <c r="Q7202" t="s">
        <v>2305</v>
      </c>
      <c r="R7202" t="s">
        <v>201</v>
      </c>
      <c r="S7202">
        <v>1</v>
      </c>
      <c r="T7202">
        <v>1</v>
      </c>
      <c r="U7202">
        <v>136692</v>
      </c>
      <c r="V7202">
        <v>136692</v>
      </c>
    </row>
    <row r="7203" spans="1:22">
      <c r="A7203" t="s">
        <v>196</v>
      </c>
      <c r="B7203">
        <v>70</v>
      </c>
      <c r="C7203" t="s">
        <v>40</v>
      </c>
      <c r="D7203" t="s">
        <v>2300</v>
      </c>
      <c r="E7203" t="s">
        <v>2301</v>
      </c>
      <c r="F7203">
        <v>1005</v>
      </c>
      <c r="G7203" t="s">
        <v>40</v>
      </c>
      <c r="H7203">
        <v>2005</v>
      </c>
      <c r="I7203" t="s">
        <v>40</v>
      </c>
      <c r="J7203">
        <v>3047</v>
      </c>
      <c r="K7203" t="s">
        <v>1665</v>
      </c>
      <c r="L7203">
        <v>0</v>
      </c>
      <c r="N7203" t="s">
        <v>294</v>
      </c>
      <c r="O7203">
        <v>10</v>
      </c>
      <c r="P7203">
        <v>940</v>
      </c>
      <c r="Q7203" t="s">
        <v>2306</v>
      </c>
      <c r="R7203" t="s">
        <v>201</v>
      </c>
      <c r="S7203">
        <v>1</v>
      </c>
      <c r="T7203">
        <v>1</v>
      </c>
      <c r="U7203">
        <v>94332</v>
      </c>
      <c r="V7203">
        <v>94332</v>
      </c>
    </row>
    <row r="7204" spans="1:22">
      <c r="A7204" t="s">
        <v>196</v>
      </c>
      <c r="B7204">
        <v>70</v>
      </c>
      <c r="C7204" t="s">
        <v>40</v>
      </c>
      <c r="D7204" t="s">
        <v>2300</v>
      </c>
      <c r="E7204" t="s">
        <v>2301</v>
      </c>
      <c r="F7204">
        <v>1005</v>
      </c>
      <c r="G7204" t="s">
        <v>40</v>
      </c>
      <c r="H7204">
        <v>2005</v>
      </c>
      <c r="I7204" t="s">
        <v>40</v>
      </c>
      <c r="J7204">
        <v>3047</v>
      </c>
      <c r="K7204" t="s">
        <v>1665</v>
      </c>
      <c r="L7204">
        <v>0</v>
      </c>
      <c r="N7204" t="s">
        <v>259</v>
      </c>
      <c r="O7204">
        <v>10</v>
      </c>
      <c r="P7204">
        <v>938</v>
      </c>
      <c r="Q7204" t="s">
        <v>2307</v>
      </c>
      <c r="R7204" t="s">
        <v>201</v>
      </c>
      <c r="S7204">
        <v>1</v>
      </c>
      <c r="T7204">
        <v>1</v>
      </c>
      <c r="U7204">
        <v>85980</v>
      </c>
      <c r="V7204">
        <v>85980</v>
      </c>
    </row>
    <row r="7205" spans="1:22">
      <c r="A7205" t="s">
        <v>196</v>
      </c>
      <c r="B7205">
        <v>70</v>
      </c>
      <c r="C7205" t="s">
        <v>40</v>
      </c>
      <c r="D7205" t="s">
        <v>2300</v>
      </c>
      <c r="E7205" t="s">
        <v>2301</v>
      </c>
      <c r="F7205">
        <v>1005</v>
      </c>
      <c r="G7205" t="s">
        <v>40</v>
      </c>
      <c r="H7205">
        <v>2005</v>
      </c>
      <c r="I7205" t="s">
        <v>40</v>
      </c>
      <c r="J7205">
        <v>3047</v>
      </c>
      <c r="K7205" t="s">
        <v>1665</v>
      </c>
      <c r="L7205">
        <v>0</v>
      </c>
      <c r="N7205" t="s">
        <v>259</v>
      </c>
      <c r="O7205">
        <v>10</v>
      </c>
      <c r="P7205">
        <v>938</v>
      </c>
      <c r="Q7205" t="s">
        <v>2307</v>
      </c>
      <c r="R7205" t="s">
        <v>201</v>
      </c>
      <c r="S7205">
        <v>1</v>
      </c>
      <c r="T7205">
        <v>1</v>
      </c>
      <c r="U7205">
        <v>80916</v>
      </c>
      <c r="V7205">
        <v>80916</v>
      </c>
    </row>
    <row r="7206" spans="1:22">
      <c r="A7206" t="s">
        <v>196</v>
      </c>
      <c r="B7206">
        <v>70</v>
      </c>
      <c r="C7206" t="s">
        <v>40</v>
      </c>
      <c r="D7206" t="s">
        <v>2300</v>
      </c>
      <c r="E7206" t="s">
        <v>2301</v>
      </c>
      <c r="F7206">
        <v>1005</v>
      </c>
      <c r="G7206" t="s">
        <v>40</v>
      </c>
      <c r="H7206">
        <v>2005</v>
      </c>
      <c r="I7206" t="s">
        <v>40</v>
      </c>
      <c r="J7206">
        <v>3047</v>
      </c>
      <c r="K7206" t="s">
        <v>1665</v>
      </c>
      <c r="L7206">
        <v>0</v>
      </c>
      <c r="N7206" t="s">
        <v>259</v>
      </c>
      <c r="O7206">
        <v>10</v>
      </c>
      <c r="P7206">
        <v>938</v>
      </c>
      <c r="Q7206" t="s">
        <v>2307</v>
      </c>
      <c r="R7206" t="s">
        <v>201</v>
      </c>
      <c r="S7206">
        <v>1</v>
      </c>
      <c r="T7206">
        <v>1</v>
      </c>
      <c r="U7206">
        <v>57852</v>
      </c>
      <c r="V7206">
        <v>57852</v>
      </c>
    </row>
    <row r="7207" spans="1:22">
      <c r="A7207" t="s">
        <v>196</v>
      </c>
      <c r="B7207">
        <v>70</v>
      </c>
      <c r="C7207" t="s">
        <v>40</v>
      </c>
      <c r="D7207" t="s">
        <v>2300</v>
      </c>
      <c r="E7207" t="s">
        <v>2301</v>
      </c>
      <c r="F7207">
        <v>1005</v>
      </c>
      <c r="G7207" t="s">
        <v>40</v>
      </c>
      <c r="H7207">
        <v>2005</v>
      </c>
      <c r="I7207" t="s">
        <v>40</v>
      </c>
      <c r="J7207">
        <v>3047</v>
      </c>
      <c r="K7207" t="s">
        <v>1665</v>
      </c>
      <c r="L7207">
        <v>0</v>
      </c>
      <c r="N7207" t="s">
        <v>294</v>
      </c>
      <c r="O7207">
        <v>10</v>
      </c>
      <c r="P7207">
        <v>937</v>
      </c>
      <c r="Q7207" t="s">
        <v>2308</v>
      </c>
      <c r="R7207" t="s">
        <v>201</v>
      </c>
      <c r="S7207">
        <v>1</v>
      </c>
      <c r="T7207">
        <v>1</v>
      </c>
      <c r="U7207">
        <v>103488</v>
      </c>
      <c r="V7207">
        <v>103488</v>
      </c>
    </row>
    <row r="7208" spans="1:22">
      <c r="A7208" t="s">
        <v>196</v>
      </c>
      <c r="B7208">
        <v>70</v>
      </c>
      <c r="C7208" t="s">
        <v>40</v>
      </c>
      <c r="D7208" t="s">
        <v>2300</v>
      </c>
      <c r="E7208" t="s">
        <v>2301</v>
      </c>
      <c r="F7208">
        <v>1005</v>
      </c>
      <c r="G7208" t="s">
        <v>40</v>
      </c>
      <c r="H7208">
        <v>2005</v>
      </c>
      <c r="I7208" t="s">
        <v>40</v>
      </c>
      <c r="J7208">
        <v>3047</v>
      </c>
      <c r="K7208" t="s">
        <v>1665</v>
      </c>
      <c r="L7208">
        <v>0</v>
      </c>
      <c r="N7208" t="s">
        <v>251</v>
      </c>
      <c r="O7208">
        <v>10</v>
      </c>
      <c r="P7208">
        <v>927</v>
      </c>
      <c r="Q7208" t="s">
        <v>2309</v>
      </c>
      <c r="R7208" t="s">
        <v>201</v>
      </c>
      <c r="S7208">
        <v>1</v>
      </c>
      <c r="T7208">
        <v>1</v>
      </c>
      <c r="U7208">
        <v>85128</v>
      </c>
      <c r="V7208">
        <v>85128</v>
      </c>
    </row>
    <row r="7209" spans="1:22">
      <c r="A7209" t="s">
        <v>196</v>
      </c>
      <c r="B7209">
        <v>70</v>
      </c>
      <c r="C7209" t="s">
        <v>40</v>
      </c>
      <c r="D7209" t="s">
        <v>2300</v>
      </c>
      <c r="E7209" t="s">
        <v>2301</v>
      </c>
      <c r="F7209">
        <v>1005</v>
      </c>
      <c r="G7209" t="s">
        <v>40</v>
      </c>
      <c r="H7209">
        <v>2005</v>
      </c>
      <c r="I7209" t="s">
        <v>40</v>
      </c>
      <c r="J7209">
        <v>3047</v>
      </c>
      <c r="K7209" t="s">
        <v>1665</v>
      </c>
      <c r="L7209">
        <v>0</v>
      </c>
      <c r="N7209" t="s">
        <v>294</v>
      </c>
      <c r="O7209">
        <v>10</v>
      </c>
      <c r="P7209">
        <v>926</v>
      </c>
      <c r="Q7209" t="s">
        <v>2310</v>
      </c>
      <c r="R7209" t="s">
        <v>201</v>
      </c>
      <c r="S7209">
        <v>1</v>
      </c>
      <c r="T7209">
        <v>1</v>
      </c>
      <c r="U7209">
        <v>80916</v>
      </c>
      <c r="V7209">
        <v>80916</v>
      </c>
    </row>
    <row r="7210" spans="1:22">
      <c r="A7210" t="s">
        <v>196</v>
      </c>
      <c r="B7210">
        <v>70</v>
      </c>
      <c r="C7210" t="s">
        <v>40</v>
      </c>
      <c r="D7210" t="s">
        <v>2300</v>
      </c>
      <c r="E7210" t="s">
        <v>2301</v>
      </c>
      <c r="F7210">
        <v>1005</v>
      </c>
      <c r="G7210" t="s">
        <v>40</v>
      </c>
      <c r="H7210">
        <v>2005</v>
      </c>
      <c r="I7210" t="s">
        <v>40</v>
      </c>
      <c r="J7210">
        <v>3047</v>
      </c>
      <c r="K7210" t="s">
        <v>1665</v>
      </c>
      <c r="L7210">
        <v>0</v>
      </c>
      <c r="N7210" t="s">
        <v>294</v>
      </c>
      <c r="O7210">
        <v>10</v>
      </c>
      <c r="P7210">
        <v>926</v>
      </c>
      <c r="Q7210" t="s">
        <v>2310</v>
      </c>
      <c r="R7210" t="s">
        <v>201</v>
      </c>
      <c r="S7210">
        <v>1</v>
      </c>
      <c r="T7210">
        <v>1</v>
      </c>
      <c r="U7210">
        <v>76476</v>
      </c>
      <c r="V7210">
        <v>76476</v>
      </c>
    </row>
    <row r="7211" spans="1:22">
      <c r="A7211" t="s">
        <v>196</v>
      </c>
      <c r="B7211">
        <v>70</v>
      </c>
      <c r="C7211" t="s">
        <v>40</v>
      </c>
      <c r="D7211" t="s">
        <v>2300</v>
      </c>
      <c r="E7211" t="s">
        <v>2301</v>
      </c>
      <c r="F7211">
        <v>1005</v>
      </c>
      <c r="G7211" t="s">
        <v>40</v>
      </c>
      <c r="H7211">
        <v>2005</v>
      </c>
      <c r="I7211" t="s">
        <v>40</v>
      </c>
      <c r="J7211">
        <v>3047</v>
      </c>
      <c r="K7211" t="s">
        <v>1665</v>
      </c>
      <c r="L7211">
        <v>0</v>
      </c>
      <c r="N7211" t="s">
        <v>294</v>
      </c>
      <c r="O7211">
        <v>10</v>
      </c>
      <c r="P7211">
        <v>926</v>
      </c>
      <c r="Q7211" t="s">
        <v>2310</v>
      </c>
      <c r="R7211" t="s">
        <v>201</v>
      </c>
      <c r="S7211">
        <v>1</v>
      </c>
      <c r="T7211">
        <v>1</v>
      </c>
      <c r="U7211">
        <v>72996</v>
      </c>
      <c r="V7211">
        <v>72996</v>
      </c>
    </row>
    <row r="7212" spans="1:22">
      <c r="A7212" t="s">
        <v>196</v>
      </c>
      <c r="B7212">
        <v>70</v>
      </c>
      <c r="C7212" t="s">
        <v>40</v>
      </c>
      <c r="D7212" t="s">
        <v>2300</v>
      </c>
      <c r="E7212" t="s">
        <v>2301</v>
      </c>
      <c r="F7212">
        <v>1005</v>
      </c>
      <c r="G7212" t="s">
        <v>40</v>
      </c>
      <c r="H7212">
        <v>2005</v>
      </c>
      <c r="I7212" t="s">
        <v>40</v>
      </c>
      <c r="J7212">
        <v>3047</v>
      </c>
      <c r="K7212" t="s">
        <v>1665</v>
      </c>
      <c r="L7212">
        <v>0</v>
      </c>
      <c r="N7212" t="s">
        <v>199</v>
      </c>
      <c r="O7212">
        <v>0</v>
      </c>
      <c r="P7212">
        <v>15</v>
      </c>
      <c r="Q7212" t="s">
        <v>264</v>
      </c>
      <c r="R7212" t="s">
        <v>201</v>
      </c>
      <c r="S7212">
        <v>0</v>
      </c>
      <c r="T7212">
        <v>0</v>
      </c>
      <c r="U7212">
        <v>11442</v>
      </c>
      <c r="V7212">
        <v>11442</v>
      </c>
    </row>
    <row r="7213" spans="1:22">
      <c r="A7213" t="s">
        <v>196</v>
      </c>
      <c r="B7213">
        <v>1</v>
      </c>
      <c r="C7213" t="s">
        <v>48</v>
      </c>
      <c r="D7213" t="s">
        <v>2311</v>
      </c>
      <c r="E7213" t="s">
        <v>2312</v>
      </c>
      <c r="F7213">
        <v>1005</v>
      </c>
      <c r="G7213" t="s">
        <v>48</v>
      </c>
      <c r="H7213">
        <v>2005</v>
      </c>
      <c r="I7213" t="s">
        <v>48</v>
      </c>
      <c r="J7213">
        <v>3140</v>
      </c>
      <c r="K7213" t="s">
        <v>2313</v>
      </c>
      <c r="L7213">
        <v>0</v>
      </c>
      <c r="N7213" t="s">
        <v>199</v>
      </c>
      <c r="O7213">
        <v>9</v>
      </c>
      <c r="P7213">
        <v>9877</v>
      </c>
      <c r="Q7213" t="s">
        <v>202</v>
      </c>
      <c r="R7213" t="s">
        <v>201</v>
      </c>
      <c r="S7213">
        <v>1</v>
      </c>
      <c r="T7213">
        <v>1</v>
      </c>
      <c r="U7213">
        <v>135912</v>
      </c>
      <c r="V7213">
        <v>135912</v>
      </c>
    </row>
    <row r="7214" spans="1:22">
      <c r="A7214" t="s">
        <v>196</v>
      </c>
      <c r="B7214">
        <v>1</v>
      </c>
      <c r="C7214" t="s">
        <v>48</v>
      </c>
      <c r="D7214" t="s">
        <v>2311</v>
      </c>
      <c r="E7214" t="s">
        <v>2312</v>
      </c>
      <c r="F7214">
        <v>1005</v>
      </c>
      <c r="G7214" t="s">
        <v>48</v>
      </c>
      <c r="H7214">
        <v>2005</v>
      </c>
      <c r="I7214" t="s">
        <v>48</v>
      </c>
      <c r="J7214">
        <v>3140</v>
      </c>
      <c r="K7214" t="s">
        <v>2313</v>
      </c>
      <c r="L7214">
        <v>0</v>
      </c>
      <c r="N7214" t="s">
        <v>199</v>
      </c>
      <c r="O7214">
        <v>9</v>
      </c>
      <c r="P7214">
        <v>9875</v>
      </c>
      <c r="Q7214" t="s">
        <v>203</v>
      </c>
      <c r="R7214" t="s">
        <v>201</v>
      </c>
      <c r="S7214">
        <v>1</v>
      </c>
      <c r="T7214">
        <v>1</v>
      </c>
      <c r="U7214">
        <v>106596</v>
      </c>
      <c r="V7214">
        <v>106596</v>
      </c>
    </row>
    <row r="7215" spans="1:22">
      <c r="A7215" t="s">
        <v>196</v>
      </c>
      <c r="B7215">
        <v>1</v>
      </c>
      <c r="C7215" t="s">
        <v>48</v>
      </c>
      <c r="D7215" t="s">
        <v>2311</v>
      </c>
      <c r="E7215" t="s">
        <v>2312</v>
      </c>
      <c r="F7215">
        <v>1005</v>
      </c>
      <c r="G7215" t="s">
        <v>48</v>
      </c>
      <c r="H7215">
        <v>2005</v>
      </c>
      <c r="I7215" t="s">
        <v>48</v>
      </c>
      <c r="J7215">
        <v>3140</v>
      </c>
      <c r="K7215" t="s">
        <v>2313</v>
      </c>
      <c r="L7215">
        <v>0</v>
      </c>
      <c r="N7215" t="s">
        <v>199</v>
      </c>
      <c r="O7215">
        <v>9</v>
      </c>
      <c r="P7215">
        <v>9875</v>
      </c>
      <c r="Q7215" t="s">
        <v>203</v>
      </c>
      <c r="R7215" t="s">
        <v>201</v>
      </c>
      <c r="S7215">
        <v>1</v>
      </c>
      <c r="T7215">
        <v>1</v>
      </c>
      <c r="U7215">
        <v>103488</v>
      </c>
      <c r="V7215">
        <v>103488</v>
      </c>
    </row>
    <row r="7216" spans="1:22">
      <c r="A7216" t="s">
        <v>196</v>
      </c>
      <c r="B7216">
        <v>1</v>
      </c>
      <c r="C7216" t="s">
        <v>48</v>
      </c>
      <c r="D7216" t="s">
        <v>2311</v>
      </c>
      <c r="E7216" t="s">
        <v>2312</v>
      </c>
      <c r="F7216">
        <v>1005</v>
      </c>
      <c r="G7216" t="s">
        <v>48</v>
      </c>
      <c r="H7216">
        <v>2005</v>
      </c>
      <c r="I7216" t="s">
        <v>48</v>
      </c>
      <c r="J7216">
        <v>3140</v>
      </c>
      <c r="K7216" t="s">
        <v>2313</v>
      </c>
      <c r="L7216">
        <v>0</v>
      </c>
      <c r="N7216" t="s">
        <v>199</v>
      </c>
      <c r="O7216">
        <v>9</v>
      </c>
      <c r="P7216">
        <v>9875</v>
      </c>
      <c r="Q7216" t="s">
        <v>203</v>
      </c>
      <c r="R7216" t="s">
        <v>201</v>
      </c>
      <c r="S7216">
        <v>2</v>
      </c>
      <c r="T7216">
        <v>1</v>
      </c>
      <c r="U7216">
        <v>100464</v>
      </c>
      <c r="V7216">
        <v>200928</v>
      </c>
    </row>
    <row r="7217" spans="1:22">
      <c r="A7217" t="s">
        <v>196</v>
      </c>
      <c r="B7217">
        <v>1</v>
      </c>
      <c r="C7217" t="s">
        <v>48</v>
      </c>
      <c r="D7217" t="s">
        <v>2311</v>
      </c>
      <c r="E7217" t="s">
        <v>2312</v>
      </c>
      <c r="F7217">
        <v>1005</v>
      </c>
      <c r="G7217" t="s">
        <v>48</v>
      </c>
      <c r="H7217">
        <v>2005</v>
      </c>
      <c r="I7217" t="s">
        <v>48</v>
      </c>
      <c r="J7217">
        <v>3140</v>
      </c>
      <c r="K7217" t="s">
        <v>2313</v>
      </c>
      <c r="L7217">
        <v>0</v>
      </c>
      <c r="N7217" t="s">
        <v>199</v>
      </c>
      <c r="O7217">
        <v>9</v>
      </c>
      <c r="P7217">
        <v>9872</v>
      </c>
      <c r="Q7217" t="s">
        <v>236</v>
      </c>
      <c r="R7217" t="s">
        <v>201</v>
      </c>
      <c r="S7217">
        <v>1</v>
      </c>
      <c r="T7217">
        <v>1</v>
      </c>
      <c r="U7217">
        <v>195000</v>
      </c>
      <c r="V7217">
        <v>195000</v>
      </c>
    </row>
    <row r="7218" spans="1:22">
      <c r="A7218" t="s">
        <v>196</v>
      </c>
      <c r="B7218">
        <v>1</v>
      </c>
      <c r="C7218" t="s">
        <v>48</v>
      </c>
      <c r="D7218" t="s">
        <v>2311</v>
      </c>
      <c r="E7218" t="s">
        <v>2312</v>
      </c>
      <c r="F7218">
        <v>1005</v>
      </c>
      <c r="G7218" t="s">
        <v>48</v>
      </c>
      <c r="H7218">
        <v>2005</v>
      </c>
      <c r="I7218" t="s">
        <v>48</v>
      </c>
      <c r="J7218">
        <v>3140</v>
      </c>
      <c r="K7218" t="s">
        <v>2313</v>
      </c>
      <c r="L7218">
        <v>0</v>
      </c>
      <c r="N7218" t="s">
        <v>199</v>
      </c>
      <c r="O7218">
        <v>9</v>
      </c>
      <c r="P7218">
        <v>9871</v>
      </c>
      <c r="Q7218" t="s">
        <v>230</v>
      </c>
      <c r="R7218" t="s">
        <v>201</v>
      </c>
      <c r="S7218">
        <v>1</v>
      </c>
      <c r="T7218">
        <v>1</v>
      </c>
      <c r="U7218">
        <v>144648</v>
      </c>
      <c r="V7218">
        <v>144648</v>
      </c>
    </row>
    <row r="7219" spans="1:22">
      <c r="A7219" t="s">
        <v>196</v>
      </c>
      <c r="B7219">
        <v>1</v>
      </c>
      <c r="C7219" t="s">
        <v>48</v>
      </c>
      <c r="D7219" t="s">
        <v>2311</v>
      </c>
      <c r="E7219" t="s">
        <v>2312</v>
      </c>
      <c r="F7219">
        <v>1005</v>
      </c>
      <c r="G7219" t="s">
        <v>48</v>
      </c>
      <c r="H7219">
        <v>2005</v>
      </c>
      <c r="I7219" t="s">
        <v>48</v>
      </c>
      <c r="J7219">
        <v>3140</v>
      </c>
      <c r="K7219" t="s">
        <v>2313</v>
      </c>
      <c r="L7219">
        <v>0</v>
      </c>
      <c r="N7219" t="s">
        <v>216</v>
      </c>
      <c r="O7219">
        <v>9</v>
      </c>
      <c r="P7219">
        <v>9866</v>
      </c>
      <c r="Q7219" t="s">
        <v>237</v>
      </c>
      <c r="R7219" t="s">
        <v>201</v>
      </c>
      <c r="S7219">
        <v>1</v>
      </c>
      <c r="T7219">
        <v>1</v>
      </c>
      <c r="U7219">
        <v>100464</v>
      </c>
      <c r="V7219">
        <v>100464</v>
      </c>
    </row>
    <row r="7220" spans="1:22">
      <c r="A7220" t="s">
        <v>196</v>
      </c>
      <c r="B7220">
        <v>50</v>
      </c>
      <c r="C7220" t="s">
        <v>54</v>
      </c>
      <c r="D7220" t="s">
        <v>2311</v>
      </c>
      <c r="E7220" t="s">
        <v>2312</v>
      </c>
      <c r="F7220">
        <v>1005</v>
      </c>
      <c r="G7220" t="s">
        <v>54</v>
      </c>
      <c r="H7220">
        <v>2005</v>
      </c>
      <c r="I7220" t="s">
        <v>54</v>
      </c>
      <c r="J7220">
        <v>3025</v>
      </c>
      <c r="K7220" t="s">
        <v>1212</v>
      </c>
      <c r="L7220">
        <v>0</v>
      </c>
      <c r="N7220" t="s">
        <v>255</v>
      </c>
      <c r="O7220">
        <v>1</v>
      </c>
      <c r="P7220">
        <v>3955</v>
      </c>
      <c r="Q7220" t="s">
        <v>1213</v>
      </c>
      <c r="R7220" t="s">
        <v>201</v>
      </c>
      <c r="S7220">
        <v>1</v>
      </c>
      <c r="T7220">
        <v>1</v>
      </c>
      <c r="U7220">
        <v>119100</v>
      </c>
      <c r="V7220">
        <v>119100</v>
      </c>
    </row>
    <row r="7221" spans="1:22">
      <c r="A7221" t="s">
        <v>196</v>
      </c>
      <c r="B7221">
        <v>50</v>
      </c>
      <c r="C7221" t="s">
        <v>54</v>
      </c>
      <c r="D7221" t="s">
        <v>2311</v>
      </c>
      <c r="E7221" t="s">
        <v>2312</v>
      </c>
      <c r="F7221">
        <v>1005</v>
      </c>
      <c r="G7221" t="s">
        <v>54</v>
      </c>
      <c r="H7221">
        <v>2005</v>
      </c>
      <c r="I7221" t="s">
        <v>54</v>
      </c>
      <c r="J7221">
        <v>3025</v>
      </c>
      <c r="K7221" t="s">
        <v>1212</v>
      </c>
      <c r="L7221">
        <v>0</v>
      </c>
      <c r="N7221" t="s">
        <v>255</v>
      </c>
      <c r="O7221">
        <v>1</v>
      </c>
      <c r="P7221">
        <v>3955</v>
      </c>
      <c r="Q7221" t="s">
        <v>1213</v>
      </c>
      <c r="R7221" t="s">
        <v>201</v>
      </c>
      <c r="S7221">
        <v>2</v>
      </c>
      <c r="T7221">
        <v>1</v>
      </c>
      <c r="U7221">
        <v>93504</v>
      </c>
      <c r="V7221">
        <v>187008</v>
      </c>
    </row>
    <row r="7222" spans="1:22">
      <c r="A7222" t="s">
        <v>196</v>
      </c>
      <c r="B7222">
        <v>50</v>
      </c>
      <c r="C7222" t="s">
        <v>54</v>
      </c>
      <c r="D7222" t="s">
        <v>2311</v>
      </c>
      <c r="E7222" t="s">
        <v>2312</v>
      </c>
      <c r="F7222">
        <v>1005</v>
      </c>
      <c r="G7222" t="s">
        <v>54</v>
      </c>
      <c r="H7222">
        <v>2005</v>
      </c>
      <c r="I7222" t="s">
        <v>54</v>
      </c>
      <c r="J7222">
        <v>3025</v>
      </c>
      <c r="K7222" t="s">
        <v>1212</v>
      </c>
      <c r="L7222">
        <v>0</v>
      </c>
      <c r="N7222" t="s">
        <v>255</v>
      </c>
      <c r="O7222">
        <v>1</v>
      </c>
      <c r="P7222">
        <v>3955</v>
      </c>
      <c r="Q7222" t="s">
        <v>1213</v>
      </c>
      <c r="R7222" t="s">
        <v>201</v>
      </c>
      <c r="S7222">
        <v>3</v>
      </c>
      <c r="T7222">
        <v>1</v>
      </c>
      <c r="U7222">
        <v>89244</v>
      </c>
      <c r="V7222">
        <v>267732</v>
      </c>
    </row>
    <row r="7223" spans="1:22">
      <c r="A7223" t="s">
        <v>196</v>
      </c>
      <c r="B7223">
        <v>50</v>
      </c>
      <c r="C7223" t="s">
        <v>54</v>
      </c>
      <c r="D7223" t="s">
        <v>2311</v>
      </c>
      <c r="E7223" t="s">
        <v>2312</v>
      </c>
      <c r="F7223">
        <v>1005</v>
      </c>
      <c r="G7223" t="s">
        <v>54</v>
      </c>
      <c r="H7223">
        <v>2005</v>
      </c>
      <c r="I7223" t="s">
        <v>54</v>
      </c>
      <c r="J7223">
        <v>3025</v>
      </c>
      <c r="K7223" t="s">
        <v>1212</v>
      </c>
      <c r="L7223">
        <v>0</v>
      </c>
      <c r="N7223" t="s">
        <v>249</v>
      </c>
      <c r="O7223">
        <v>10</v>
      </c>
      <c r="P7223">
        <v>310</v>
      </c>
      <c r="Q7223" t="s">
        <v>447</v>
      </c>
      <c r="R7223" t="s">
        <v>201</v>
      </c>
      <c r="S7223">
        <v>1</v>
      </c>
      <c r="T7223">
        <v>1</v>
      </c>
      <c r="U7223">
        <v>107340</v>
      </c>
      <c r="V7223">
        <v>107340</v>
      </c>
    </row>
    <row r="7224" spans="1:22">
      <c r="A7224" t="s">
        <v>196</v>
      </c>
      <c r="B7224">
        <v>50</v>
      </c>
      <c r="C7224" t="s">
        <v>54</v>
      </c>
      <c r="D7224" t="s">
        <v>2311</v>
      </c>
      <c r="E7224" t="s">
        <v>2312</v>
      </c>
      <c r="F7224">
        <v>1005</v>
      </c>
      <c r="G7224" t="s">
        <v>54</v>
      </c>
      <c r="H7224">
        <v>2005</v>
      </c>
      <c r="I7224" t="s">
        <v>54</v>
      </c>
      <c r="J7224">
        <v>3025</v>
      </c>
      <c r="K7224" t="s">
        <v>1212</v>
      </c>
      <c r="L7224">
        <v>0</v>
      </c>
      <c r="N7224" t="s">
        <v>249</v>
      </c>
      <c r="O7224">
        <v>10</v>
      </c>
      <c r="P7224">
        <v>310</v>
      </c>
      <c r="Q7224" t="s">
        <v>447</v>
      </c>
      <c r="R7224" t="s">
        <v>201</v>
      </c>
      <c r="S7224">
        <v>1</v>
      </c>
      <c r="T7224">
        <v>1</v>
      </c>
      <c r="U7224">
        <v>102444</v>
      </c>
      <c r="V7224">
        <v>102444</v>
      </c>
    </row>
    <row r="7225" spans="1:22">
      <c r="A7225" t="s">
        <v>196</v>
      </c>
      <c r="B7225">
        <v>50</v>
      </c>
      <c r="C7225" t="s">
        <v>54</v>
      </c>
      <c r="D7225" t="s">
        <v>2311</v>
      </c>
      <c r="E7225" t="s">
        <v>2312</v>
      </c>
      <c r="F7225">
        <v>1005</v>
      </c>
      <c r="G7225" t="s">
        <v>54</v>
      </c>
      <c r="H7225">
        <v>2005</v>
      </c>
      <c r="I7225" t="s">
        <v>54</v>
      </c>
      <c r="J7225">
        <v>3025</v>
      </c>
      <c r="K7225" t="s">
        <v>1212</v>
      </c>
      <c r="L7225">
        <v>0</v>
      </c>
      <c r="N7225" t="s">
        <v>199</v>
      </c>
      <c r="O7225">
        <v>0</v>
      </c>
      <c r="P7225">
        <v>15</v>
      </c>
      <c r="Q7225" t="s">
        <v>264</v>
      </c>
      <c r="R7225" t="s">
        <v>201</v>
      </c>
      <c r="S7225">
        <v>0</v>
      </c>
      <c r="T7225">
        <v>0</v>
      </c>
      <c r="U7225">
        <v>6369</v>
      </c>
      <c r="V7225">
        <v>6369</v>
      </c>
    </row>
    <row r="7226" spans="1:22">
      <c r="A7226" t="s">
        <v>196</v>
      </c>
      <c r="B7226">
        <v>57</v>
      </c>
      <c r="C7226" t="s">
        <v>31</v>
      </c>
      <c r="D7226" t="s">
        <v>2311</v>
      </c>
      <c r="E7226" t="s">
        <v>2312</v>
      </c>
      <c r="F7226">
        <v>1005</v>
      </c>
      <c r="G7226" t="s">
        <v>31</v>
      </c>
      <c r="H7226">
        <v>2040</v>
      </c>
      <c r="I7226" t="s">
        <v>26</v>
      </c>
      <c r="J7226">
        <v>3358</v>
      </c>
      <c r="K7226" t="s">
        <v>1432</v>
      </c>
      <c r="L7226">
        <v>4362</v>
      </c>
      <c r="M7226" t="s">
        <v>2314</v>
      </c>
      <c r="N7226" t="s">
        <v>1294</v>
      </c>
      <c r="O7226">
        <v>9</v>
      </c>
      <c r="P7226">
        <v>9704</v>
      </c>
      <c r="Q7226" t="s">
        <v>1495</v>
      </c>
      <c r="R7226" t="s">
        <v>201</v>
      </c>
      <c r="S7226">
        <v>1</v>
      </c>
      <c r="T7226">
        <v>1</v>
      </c>
      <c r="U7226">
        <v>192852</v>
      </c>
      <c r="V7226">
        <v>192852</v>
      </c>
    </row>
    <row r="7227" spans="1:22">
      <c r="A7227" t="s">
        <v>196</v>
      </c>
      <c r="B7227">
        <v>57</v>
      </c>
      <c r="C7227" t="s">
        <v>31</v>
      </c>
      <c r="D7227" t="s">
        <v>2311</v>
      </c>
      <c r="E7227" t="s">
        <v>2312</v>
      </c>
      <c r="F7227">
        <v>1005</v>
      </c>
      <c r="G7227" t="s">
        <v>31</v>
      </c>
      <c r="H7227">
        <v>2040</v>
      </c>
      <c r="I7227" t="s">
        <v>26</v>
      </c>
      <c r="J7227">
        <v>3358</v>
      </c>
      <c r="K7227" t="s">
        <v>1432</v>
      </c>
      <c r="L7227">
        <v>4362</v>
      </c>
      <c r="M7227" t="s">
        <v>2314</v>
      </c>
      <c r="N7227" t="s">
        <v>1294</v>
      </c>
      <c r="O7227">
        <v>9</v>
      </c>
      <c r="P7227">
        <v>9675</v>
      </c>
      <c r="Q7227" t="s">
        <v>327</v>
      </c>
      <c r="R7227" t="s">
        <v>201</v>
      </c>
      <c r="S7227">
        <v>1</v>
      </c>
      <c r="T7227">
        <v>1</v>
      </c>
      <c r="U7227">
        <v>192852</v>
      </c>
      <c r="V7227">
        <v>192852</v>
      </c>
    </row>
    <row r="7228" spans="1:22">
      <c r="A7228" t="s">
        <v>196</v>
      </c>
      <c r="B7228">
        <v>57</v>
      </c>
      <c r="C7228" t="s">
        <v>31</v>
      </c>
      <c r="D7228" t="s">
        <v>2311</v>
      </c>
      <c r="E7228" t="s">
        <v>2312</v>
      </c>
      <c r="F7228">
        <v>1005</v>
      </c>
      <c r="G7228" t="s">
        <v>31</v>
      </c>
      <c r="H7228">
        <v>2040</v>
      </c>
      <c r="I7228" t="s">
        <v>26</v>
      </c>
      <c r="J7228">
        <v>3358</v>
      </c>
      <c r="K7228" t="s">
        <v>1432</v>
      </c>
      <c r="L7228">
        <v>4362</v>
      </c>
      <c r="M7228" t="s">
        <v>2314</v>
      </c>
      <c r="N7228" t="s">
        <v>1330</v>
      </c>
      <c r="O7228">
        <v>75</v>
      </c>
      <c r="P7228">
        <v>9175</v>
      </c>
      <c r="Q7228" t="s">
        <v>1331</v>
      </c>
      <c r="R7228" t="s">
        <v>201</v>
      </c>
      <c r="S7228">
        <v>1</v>
      </c>
      <c r="T7228">
        <v>1</v>
      </c>
      <c r="U7228">
        <v>181188</v>
      </c>
      <c r="V7228">
        <v>181188</v>
      </c>
    </row>
    <row r="7229" spans="1:22">
      <c r="A7229" t="s">
        <v>196</v>
      </c>
      <c r="B7229">
        <v>57</v>
      </c>
      <c r="C7229" t="s">
        <v>31</v>
      </c>
      <c r="D7229" t="s">
        <v>2311</v>
      </c>
      <c r="E7229" t="s">
        <v>2312</v>
      </c>
      <c r="F7229">
        <v>1005</v>
      </c>
      <c r="G7229" t="s">
        <v>31</v>
      </c>
      <c r="H7229">
        <v>2040</v>
      </c>
      <c r="I7229" t="s">
        <v>26</v>
      </c>
      <c r="J7229">
        <v>3358</v>
      </c>
      <c r="K7229" t="s">
        <v>1432</v>
      </c>
      <c r="L7229">
        <v>4362</v>
      </c>
      <c r="M7229" t="s">
        <v>2314</v>
      </c>
      <c r="N7229" t="s">
        <v>1309</v>
      </c>
      <c r="O7229">
        <v>91</v>
      </c>
      <c r="P7229">
        <v>9161</v>
      </c>
      <c r="Q7229" t="s">
        <v>1310</v>
      </c>
      <c r="R7229" t="s">
        <v>201</v>
      </c>
      <c r="S7229">
        <v>1</v>
      </c>
      <c r="T7229">
        <v>1</v>
      </c>
      <c r="U7229">
        <v>63636</v>
      </c>
      <c r="V7229">
        <v>63636</v>
      </c>
    </row>
    <row r="7230" spans="1:22">
      <c r="A7230" t="s">
        <v>196</v>
      </c>
      <c r="B7230">
        <v>57</v>
      </c>
      <c r="C7230" t="s">
        <v>31</v>
      </c>
      <c r="D7230" t="s">
        <v>2311</v>
      </c>
      <c r="E7230" t="s">
        <v>2312</v>
      </c>
      <c r="F7230">
        <v>1005</v>
      </c>
      <c r="G7230" t="s">
        <v>31</v>
      </c>
      <c r="H7230">
        <v>2040</v>
      </c>
      <c r="I7230" t="s">
        <v>26</v>
      </c>
      <c r="J7230">
        <v>3358</v>
      </c>
      <c r="K7230" t="s">
        <v>1432</v>
      </c>
      <c r="L7230">
        <v>4362</v>
      </c>
      <c r="M7230" t="s">
        <v>2314</v>
      </c>
      <c r="N7230" t="s">
        <v>1344</v>
      </c>
      <c r="O7230">
        <v>91</v>
      </c>
      <c r="P7230">
        <v>9156</v>
      </c>
      <c r="Q7230" t="s">
        <v>2315</v>
      </c>
      <c r="R7230" t="s">
        <v>201</v>
      </c>
      <c r="S7230">
        <v>1</v>
      </c>
      <c r="T7230">
        <v>1</v>
      </c>
      <c r="U7230">
        <v>147252</v>
      </c>
      <c r="V7230">
        <v>147252</v>
      </c>
    </row>
    <row r="7231" spans="1:22">
      <c r="A7231" t="s">
        <v>196</v>
      </c>
      <c r="B7231">
        <v>57</v>
      </c>
      <c r="C7231" t="s">
        <v>31</v>
      </c>
      <c r="D7231" t="s">
        <v>2311</v>
      </c>
      <c r="E7231" t="s">
        <v>2312</v>
      </c>
      <c r="F7231">
        <v>1005</v>
      </c>
      <c r="G7231" t="s">
        <v>31</v>
      </c>
      <c r="H7231">
        <v>2040</v>
      </c>
      <c r="I7231" t="s">
        <v>26</v>
      </c>
      <c r="J7231">
        <v>3358</v>
      </c>
      <c r="K7231" t="s">
        <v>1432</v>
      </c>
      <c r="L7231">
        <v>4362</v>
      </c>
      <c r="M7231" t="s">
        <v>2314</v>
      </c>
      <c r="N7231" t="s">
        <v>333</v>
      </c>
      <c r="O7231">
        <v>4</v>
      </c>
      <c r="P7231">
        <v>3537</v>
      </c>
      <c r="Q7231" t="s">
        <v>2316</v>
      </c>
      <c r="R7231" t="s">
        <v>201</v>
      </c>
      <c r="S7231">
        <v>1</v>
      </c>
      <c r="T7231">
        <v>1</v>
      </c>
      <c r="U7231">
        <v>146448</v>
      </c>
      <c r="V7231">
        <v>146448</v>
      </c>
    </row>
    <row r="7232" spans="1:22">
      <c r="A7232" t="s">
        <v>196</v>
      </c>
      <c r="B7232">
        <v>57</v>
      </c>
      <c r="C7232" t="s">
        <v>31</v>
      </c>
      <c r="D7232" t="s">
        <v>2311</v>
      </c>
      <c r="E7232" t="s">
        <v>2312</v>
      </c>
      <c r="F7232">
        <v>1005</v>
      </c>
      <c r="G7232" t="s">
        <v>31</v>
      </c>
      <c r="H7232">
        <v>2040</v>
      </c>
      <c r="I7232" t="s">
        <v>26</v>
      </c>
      <c r="J7232">
        <v>3358</v>
      </c>
      <c r="K7232" t="s">
        <v>1432</v>
      </c>
      <c r="L7232">
        <v>4362</v>
      </c>
      <c r="M7232" t="s">
        <v>2314</v>
      </c>
      <c r="N7232" t="s">
        <v>333</v>
      </c>
      <c r="O7232">
        <v>4</v>
      </c>
      <c r="P7232">
        <v>3537</v>
      </c>
      <c r="Q7232" t="s">
        <v>2316</v>
      </c>
      <c r="R7232" t="s">
        <v>201</v>
      </c>
      <c r="S7232">
        <v>2</v>
      </c>
      <c r="T7232">
        <v>1</v>
      </c>
      <c r="U7232">
        <v>117636</v>
      </c>
      <c r="V7232">
        <v>235272</v>
      </c>
    </row>
    <row r="7233" spans="1:22">
      <c r="A7233" t="s">
        <v>196</v>
      </c>
      <c r="B7233">
        <v>57</v>
      </c>
      <c r="C7233" t="s">
        <v>31</v>
      </c>
      <c r="D7233" t="s">
        <v>2311</v>
      </c>
      <c r="E7233" t="s">
        <v>2312</v>
      </c>
      <c r="F7233">
        <v>1005</v>
      </c>
      <c r="G7233" t="s">
        <v>31</v>
      </c>
      <c r="H7233">
        <v>2040</v>
      </c>
      <c r="I7233" t="s">
        <v>26</v>
      </c>
      <c r="J7233">
        <v>3358</v>
      </c>
      <c r="K7233" t="s">
        <v>1432</v>
      </c>
      <c r="L7233">
        <v>4362</v>
      </c>
      <c r="M7233" t="s">
        <v>2314</v>
      </c>
      <c r="N7233" t="s">
        <v>602</v>
      </c>
      <c r="O7233">
        <v>4</v>
      </c>
      <c r="P7233">
        <v>3536</v>
      </c>
      <c r="Q7233" t="s">
        <v>2317</v>
      </c>
      <c r="R7233" t="s">
        <v>201</v>
      </c>
      <c r="S7233">
        <v>5</v>
      </c>
      <c r="T7233">
        <v>1</v>
      </c>
      <c r="U7233">
        <v>122928</v>
      </c>
      <c r="V7233">
        <v>614640</v>
      </c>
    </row>
    <row r="7234" spans="1:22">
      <c r="A7234" t="s">
        <v>196</v>
      </c>
      <c r="B7234">
        <v>57</v>
      </c>
      <c r="C7234" t="s">
        <v>31</v>
      </c>
      <c r="D7234" t="s">
        <v>2311</v>
      </c>
      <c r="E7234" t="s">
        <v>2312</v>
      </c>
      <c r="F7234">
        <v>1005</v>
      </c>
      <c r="G7234" t="s">
        <v>31</v>
      </c>
      <c r="H7234">
        <v>2040</v>
      </c>
      <c r="I7234" t="s">
        <v>26</v>
      </c>
      <c r="J7234">
        <v>3358</v>
      </c>
      <c r="K7234" t="s">
        <v>1432</v>
      </c>
      <c r="L7234">
        <v>4362</v>
      </c>
      <c r="M7234" t="s">
        <v>2314</v>
      </c>
      <c r="N7234" t="s">
        <v>602</v>
      </c>
      <c r="O7234">
        <v>4</v>
      </c>
      <c r="P7234">
        <v>3536</v>
      </c>
      <c r="Q7234" t="s">
        <v>2317</v>
      </c>
      <c r="R7234" t="s">
        <v>201</v>
      </c>
      <c r="S7234">
        <v>3</v>
      </c>
      <c r="T7234">
        <v>1</v>
      </c>
      <c r="U7234">
        <v>117636</v>
      </c>
      <c r="V7234">
        <v>352908</v>
      </c>
    </row>
    <row r="7235" spans="1:22">
      <c r="A7235" t="s">
        <v>196</v>
      </c>
      <c r="B7235">
        <v>57</v>
      </c>
      <c r="C7235" t="s">
        <v>31</v>
      </c>
      <c r="D7235" t="s">
        <v>2311</v>
      </c>
      <c r="E7235" t="s">
        <v>2312</v>
      </c>
      <c r="F7235">
        <v>1005</v>
      </c>
      <c r="G7235" t="s">
        <v>31</v>
      </c>
      <c r="H7235">
        <v>2040</v>
      </c>
      <c r="I7235" t="s">
        <v>26</v>
      </c>
      <c r="J7235">
        <v>3358</v>
      </c>
      <c r="K7235" t="s">
        <v>1432</v>
      </c>
      <c r="L7235">
        <v>4362</v>
      </c>
      <c r="M7235" t="s">
        <v>2314</v>
      </c>
      <c r="N7235" t="s">
        <v>602</v>
      </c>
      <c r="O7235">
        <v>4</v>
      </c>
      <c r="P7235">
        <v>3536</v>
      </c>
      <c r="Q7235" t="s">
        <v>2317</v>
      </c>
      <c r="R7235" t="s">
        <v>201</v>
      </c>
      <c r="S7235">
        <v>8</v>
      </c>
      <c r="T7235">
        <v>1</v>
      </c>
      <c r="U7235">
        <v>107628</v>
      </c>
      <c r="V7235">
        <v>861024</v>
      </c>
    </row>
    <row r="7236" spans="1:22">
      <c r="A7236" t="s">
        <v>196</v>
      </c>
      <c r="B7236">
        <v>57</v>
      </c>
      <c r="C7236" t="s">
        <v>31</v>
      </c>
      <c r="D7236" t="s">
        <v>2311</v>
      </c>
      <c r="E7236" t="s">
        <v>2312</v>
      </c>
      <c r="F7236">
        <v>1005</v>
      </c>
      <c r="G7236" t="s">
        <v>31</v>
      </c>
      <c r="H7236">
        <v>2040</v>
      </c>
      <c r="I7236" t="s">
        <v>26</v>
      </c>
      <c r="J7236">
        <v>3358</v>
      </c>
      <c r="K7236" t="s">
        <v>1432</v>
      </c>
      <c r="L7236">
        <v>4362</v>
      </c>
      <c r="M7236" t="s">
        <v>2314</v>
      </c>
      <c r="N7236" t="s">
        <v>602</v>
      </c>
      <c r="O7236">
        <v>4</v>
      </c>
      <c r="P7236">
        <v>3536</v>
      </c>
      <c r="Q7236" t="s">
        <v>2317</v>
      </c>
      <c r="R7236" t="s">
        <v>201</v>
      </c>
      <c r="S7236">
        <v>6</v>
      </c>
      <c r="T7236">
        <v>1</v>
      </c>
      <c r="U7236">
        <v>99408</v>
      </c>
      <c r="V7236">
        <v>596448</v>
      </c>
    </row>
    <row r="7237" spans="1:22">
      <c r="A7237" t="s">
        <v>196</v>
      </c>
      <c r="B7237">
        <v>57</v>
      </c>
      <c r="C7237" t="s">
        <v>31</v>
      </c>
      <c r="D7237" t="s">
        <v>2311</v>
      </c>
      <c r="E7237" t="s">
        <v>2312</v>
      </c>
      <c r="F7237">
        <v>1005</v>
      </c>
      <c r="G7237" t="s">
        <v>31</v>
      </c>
      <c r="H7237">
        <v>2040</v>
      </c>
      <c r="I7237" t="s">
        <v>26</v>
      </c>
      <c r="J7237">
        <v>3358</v>
      </c>
      <c r="K7237" t="s">
        <v>1432</v>
      </c>
      <c r="L7237">
        <v>4362</v>
      </c>
      <c r="M7237" t="s">
        <v>2314</v>
      </c>
      <c r="N7237" t="s">
        <v>1314</v>
      </c>
      <c r="O7237">
        <v>0</v>
      </c>
      <c r="P7237" t="s">
        <v>1315</v>
      </c>
      <c r="Q7237" t="s">
        <v>636</v>
      </c>
      <c r="R7237" t="s">
        <v>201</v>
      </c>
      <c r="S7237">
        <v>1</v>
      </c>
      <c r="T7237">
        <v>1</v>
      </c>
      <c r="U7237">
        <v>160680</v>
      </c>
      <c r="V7237">
        <v>160680</v>
      </c>
    </row>
    <row r="7238" spans="1:22">
      <c r="A7238" t="s">
        <v>196</v>
      </c>
      <c r="B7238">
        <v>57</v>
      </c>
      <c r="C7238" t="s">
        <v>31</v>
      </c>
      <c r="D7238" t="s">
        <v>2311</v>
      </c>
      <c r="E7238" t="s">
        <v>2312</v>
      </c>
      <c r="F7238">
        <v>1005</v>
      </c>
      <c r="G7238" t="s">
        <v>31</v>
      </c>
      <c r="H7238">
        <v>2040</v>
      </c>
      <c r="I7238" t="s">
        <v>26</v>
      </c>
      <c r="J7238">
        <v>3358</v>
      </c>
      <c r="K7238" t="s">
        <v>1432</v>
      </c>
      <c r="L7238">
        <v>4362</v>
      </c>
      <c r="M7238" t="s">
        <v>2314</v>
      </c>
      <c r="N7238" t="s">
        <v>199</v>
      </c>
      <c r="O7238">
        <v>0</v>
      </c>
      <c r="P7238">
        <v>15</v>
      </c>
      <c r="Q7238" t="s">
        <v>264</v>
      </c>
      <c r="R7238" t="s">
        <v>201</v>
      </c>
      <c r="S7238">
        <v>0</v>
      </c>
      <c r="T7238">
        <v>0</v>
      </c>
      <c r="U7238">
        <v>35348</v>
      </c>
      <c r="V7238">
        <v>35348</v>
      </c>
    </row>
    <row r="7239" spans="1:22">
      <c r="A7239" t="s">
        <v>196</v>
      </c>
      <c r="B7239">
        <v>1</v>
      </c>
      <c r="C7239" t="s">
        <v>48</v>
      </c>
      <c r="D7239" t="s">
        <v>2318</v>
      </c>
      <c r="E7239" t="s">
        <v>2319</v>
      </c>
      <c r="F7239">
        <v>1005</v>
      </c>
      <c r="G7239" t="s">
        <v>48</v>
      </c>
      <c r="H7239">
        <v>2005</v>
      </c>
      <c r="I7239" t="s">
        <v>48</v>
      </c>
      <c r="J7239">
        <v>3140</v>
      </c>
      <c r="K7239" t="s">
        <v>2313</v>
      </c>
      <c r="L7239">
        <v>0</v>
      </c>
      <c r="N7239" t="s">
        <v>199</v>
      </c>
      <c r="O7239">
        <v>9</v>
      </c>
      <c r="P7239">
        <v>9877</v>
      </c>
      <c r="Q7239" t="s">
        <v>202</v>
      </c>
      <c r="R7239" t="s">
        <v>201</v>
      </c>
      <c r="S7239">
        <v>2</v>
      </c>
      <c r="T7239">
        <v>1</v>
      </c>
      <c r="U7239">
        <v>135360</v>
      </c>
      <c r="V7239">
        <v>270720</v>
      </c>
    </row>
    <row r="7240" spans="1:22">
      <c r="A7240" t="s">
        <v>196</v>
      </c>
      <c r="B7240">
        <v>1</v>
      </c>
      <c r="C7240" t="s">
        <v>48</v>
      </c>
      <c r="D7240" t="s">
        <v>2318</v>
      </c>
      <c r="E7240" t="s">
        <v>2319</v>
      </c>
      <c r="F7240">
        <v>1005</v>
      </c>
      <c r="G7240" t="s">
        <v>48</v>
      </c>
      <c r="H7240">
        <v>2005</v>
      </c>
      <c r="I7240" t="s">
        <v>48</v>
      </c>
      <c r="J7240">
        <v>3140</v>
      </c>
      <c r="K7240" t="s">
        <v>2313</v>
      </c>
      <c r="L7240">
        <v>0</v>
      </c>
      <c r="N7240" t="s">
        <v>199</v>
      </c>
      <c r="O7240">
        <v>9</v>
      </c>
      <c r="P7240">
        <v>9875</v>
      </c>
      <c r="Q7240" t="s">
        <v>203</v>
      </c>
      <c r="R7240" t="s">
        <v>201</v>
      </c>
      <c r="S7240">
        <v>1</v>
      </c>
      <c r="T7240">
        <v>1</v>
      </c>
      <c r="U7240">
        <v>115416</v>
      </c>
      <c r="V7240">
        <v>115416</v>
      </c>
    </row>
    <row r="7241" spans="1:22">
      <c r="A7241" t="s">
        <v>196</v>
      </c>
      <c r="B7241">
        <v>1</v>
      </c>
      <c r="C7241" t="s">
        <v>48</v>
      </c>
      <c r="D7241" t="s">
        <v>2318</v>
      </c>
      <c r="E7241" t="s">
        <v>2319</v>
      </c>
      <c r="F7241">
        <v>1005</v>
      </c>
      <c r="G7241" t="s">
        <v>48</v>
      </c>
      <c r="H7241">
        <v>2005</v>
      </c>
      <c r="I7241" t="s">
        <v>48</v>
      </c>
      <c r="J7241">
        <v>3175</v>
      </c>
      <c r="K7241" t="s">
        <v>2320</v>
      </c>
      <c r="L7241">
        <v>0</v>
      </c>
      <c r="N7241" t="s">
        <v>199</v>
      </c>
      <c r="O7241">
        <v>9</v>
      </c>
      <c r="P7241">
        <v>9877</v>
      </c>
      <c r="Q7241" t="s">
        <v>202</v>
      </c>
      <c r="R7241" t="s">
        <v>201</v>
      </c>
      <c r="S7241">
        <v>1</v>
      </c>
      <c r="T7241">
        <v>1</v>
      </c>
      <c r="U7241">
        <v>146544</v>
      </c>
      <c r="V7241">
        <v>146544</v>
      </c>
    </row>
    <row r="7242" spans="1:22">
      <c r="A7242" t="s">
        <v>196</v>
      </c>
      <c r="B7242">
        <v>1</v>
      </c>
      <c r="C7242" t="s">
        <v>48</v>
      </c>
      <c r="D7242" t="s">
        <v>2318</v>
      </c>
      <c r="E7242" t="s">
        <v>2319</v>
      </c>
      <c r="F7242">
        <v>1005</v>
      </c>
      <c r="G7242" t="s">
        <v>48</v>
      </c>
      <c r="H7242">
        <v>2005</v>
      </c>
      <c r="I7242" t="s">
        <v>48</v>
      </c>
      <c r="J7242">
        <v>3175</v>
      </c>
      <c r="K7242" t="s">
        <v>2320</v>
      </c>
      <c r="L7242">
        <v>0</v>
      </c>
      <c r="N7242" t="s">
        <v>199</v>
      </c>
      <c r="O7242">
        <v>9</v>
      </c>
      <c r="P7242">
        <v>9875</v>
      </c>
      <c r="Q7242" t="s">
        <v>203</v>
      </c>
      <c r="R7242" t="s">
        <v>201</v>
      </c>
      <c r="S7242">
        <v>1</v>
      </c>
      <c r="T7242">
        <v>1</v>
      </c>
      <c r="U7242">
        <v>109176</v>
      </c>
      <c r="V7242">
        <v>109176</v>
      </c>
    </row>
    <row r="7243" spans="1:22">
      <c r="A7243" t="s">
        <v>196</v>
      </c>
      <c r="B7243">
        <v>1</v>
      </c>
      <c r="C7243" t="s">
        <v>48</v>
      </c>
      <c r="D7243" t="s">
        <v>2318</v>
      </c>
      <c r="E7243" t="s">
        <v>2319</v>
      </c>
      <c r="F7243">
        <v>1005</v>
      </c>
      <c r="G7243" t="s">
        <v>48</v>
      </c>
      <c r="H7243">
        <v>2005</v>
      </c>
      <c r="I7243" t="s">
        <v>48</v>
      </c>
      <c r="J7243">
        <v>3175</v>
      </c>
      <c r="K7243" t="s">
        <v>2320</v>
      </c>
      <c r="L7243">
        <v>0</v>
      </c>
      <c r="N7243" t="s">
        <v>199</v>
      </c>
      <c r="O7243">
        <v>9</v>
      </c>
      <c r="P7243">
        <v>9874</v>
      </c>
      <c r="Q7243" t="s">
        <v>207</v>
      </c>
      <c r="R7243" t="s">
        <v>201</v>
      </c>
      <c r="S7243">
        <v>1</v>
      </c>
      <c r="T7243">
        <v>1</v>
      </c>
      <c r="U7243">
        <v>99684</v>
      </c>
      <c r="V7243">
        <v>99684</v>
      </c>
    </row>
    <row r="7244" spans="1:22">
      <c r="A7244" t="s">
        <v>196</v>
      </c>
      <c r="B7244">
        <v>1</v>
      </c>
      <c r="C7244" t="s">
        <v>48</v>
      </c>
      <c r="D7244" t="s">
        <v>2318</v>
      </c>
      <c r="E7244" t="s">
        <v>2319</v>
      </c>
      <c r="F7244">
        <v>1005</v>
      </c>
      <c r="G7244" t="s">
        <v>48</v>
      </c>
      <c r="H7244">
        <v>2005</v>
      </c>
      <c r="I7244" t="s">
        <v>48</v>
      </c>
      <c r="J7244">
        <v>3175</v>
      </c>
      <c r="K7244" t="s">
        <v>2320</v>
      </c>
      <c r="L7244">
        <v>0</v>
      </c>
      <c r="N7244" t="s">
        <v>199</v>
      </c>
      <c r="O7244">
        <v>9</v>
      </c>
      <c r="P7244">
        <v>9874</v>
      </c>
      <c r="Q7244" t="s">
        <v>207</v>
      </c>
      <c r="R7244" t="s">
        <v>201</v>
      </c>
      <c r="S7244">
        <v>1</v>
      </c>
      <c r="T7244">
        <v>1</v>
      </c>
      <c r="U7244">
        <v>89616</v>
      </c>
      <c r="V7244">
        <v>89616</v>
      </c>
    </row>
    <row r="7245" spans="1:22">
      <c r="A7245" t="s">
        <v>196</v>
      </c>
      <c r="B7245">
        <v>41</v>
      </c>
      <c r="C7245" t="s">
        <v>1097</v>
      </c>
      <c r="D7245" t="s">
        <v>2321</v>
      </c>
      <c r="E7245" t="s">
        <v>2322</v>
      </c>
      <c r="F7245">
        <v>1005</v>
      </c>
      <c r="G7245" t="s">
        <v>111</v>
      </c>
      <c r="H7245">
        <v>2005</v>
      </c>
      <c r="I7245" t="s">
        <v>111</v>
      </c>
      <c r="J7245">
        <v>3006</v>
      </c>
      <c r="K7245" t="s">
        <v>1100</v>
      </c>
      <c r="L7245">
        <v>0</v>
      </c>
      <c r="N7245" t="s">
        <v>255</v>
      </c>
      <c r="O7245">
        <v>1</v>
      </c>
      <c r="P7245">
        <v>729</v>
      </c>
      <c r="Q7245" t="s">
        <v>256</v>
      </c>
      <c r="R7245" t="s">
        <v>201</v>
      </c>
      <c r="S7245">
        <v>1</v>
      </c>
      <c r="T7245">
        <v>1</v>
      </c>
      <c r="U7245">
        <v>89244</v>
      </c>
      <c r="V7245">
        <v>89244</v>
      </c>
    </row>
    <row r="7246" spans="1:22">
      <c r="A7246" t="s">
        <v>196</v>
      </c>
      <c r="B7246">
        <v>41</v>
      </c>
      <c r="C7246" t="s">
        <v>1097</v>
      </c>
      <c r="D7246" t="s">
        <v>2321</v>
      </c>
      <c r="E7246" t="s">
        <v>2322</v>
      </c>
      <c r="F7246">
        <v>1005</v>
      </c>
      <c r="G7246" t="s">
        <v>111</v>
      </c>
      <c r="H7246">
        <v>2005</v>
      </c>
      <c r="I7246" t="s">
        <v>111</v>
      </c>
      <c r="J7246">
        <v>3006</v>
      </c>
      <c r="K7246" t="s">
        <v>1100</v>
      </c>
      <c r="L7246">
        <v>0</v>
      </c>
      <c r="N7246" t="s">
        <v>199</v>
      </c>
      <c r="O7246">
        <v>0</v>
      </c>
      <c r="P7246">
        <v>15</v>
      </c>
      <c r="Q7246" t="s">
        <v>264</v>
      </c>
      <c r="R7246" t="s">
        <v>201</v>
      </c>
      <c r="S7246">
        <v>0</v>
      </c>
      <c r="T7246">
        <v>0</v>
      </c>
      <c r="U7246">
        <v>3278</v>
      </c>
      <c r="V7246">
        <v>3278</v>
      </c>
    </row>
    <row r="7247" spans="1:22">
      <c r="A7247" t="s">
        <v>196</v>
      </c>
      <c r="B7247">
        <v>41</v>
      </c>
      <c r="C7247" t="s">
        <v>1097</v>
      </c>
      <c r="D7247" t="s">
        <v>2321</v>
      </c>
      <c r="E7247" t="s">
        <v>2322</v>
      </c>
      <c r="F7247">
        <v>1005</v>
      </c>
      <c r="G7247" t="s">
        <v>111</v>
      </c>
      <c r="H7247">
        <v>2005</v>
      </c>
      <c r="I7247" t="s">
        <v>111</v>
      </c>
      <c r="J7247">
        <v>3037</v>
      </c>
      <c r="K7247" t="s">
        <v>2323</v>
      </c>
      <c r="L7247">
        <v>0</v>
      </c>
      <c r="N7247" t="s">
        <v>372</v>
      </c>
      <c r="O7247">
        <v>4</v>
      </c>
      <c r="P7247">
        <v>3466</v>
      </c>
      <c r="Q7247" t="s">
        <v>1129</v>
      </c>
      <c r="R7247" t="s">
        <v>201</v>
      </c>
      <c r="S7247">
        <v>1</v>
      </c>
      <c r="T7247">
        <v>1</v>
      </c>
      <c r="U7247">
        <v>81324</v>
      </c>
      <c r="V7247">
        <v>81324</v>
      </c>
    </row>
    <row r="7248" spans="1:22">
      <c r="A7248" t="s">
        <v>196</v>
      </c>
      <c r="B7248">
        <v>41</v>
      </c>
      <c r="C7248" t="s">
        <v>1097</v>
      </c>
      <c r="D7248" t="s">
        <v>2321</v>
      </c>
      <c r="E7248" t="s">
        <v>2322</v>
      </c>
      <c r="F7248">
        <v>1005</v>
      </c>
      <c r="G7248" t="s">
        <v>111</v>
      </c>
      <c r="H7248">
        <v>2005</v>
      </c>
      <c r="I7248" t="s">
        <v>111</v>
      </c>
      <c r="J7248">
        <v>3037</v>
      </c>
      <c r="K7248" t="s">
        <v>2323</v>
      </c>
      <c r="L7248">
        <v>0</v>
      </c>
      <c r="N7248" t="s">
        <v>245</v>
      </c>
      <c r="O7248">
        <v>20</v>
      </c>
      <c r="P7248">
        <v>3408</v>
      </c>
      <c r="Q7248" t="s">
        <v>1110</v>
      </c>
      <c r="R7248" t="s">
        <v>201</v>
      </c>
      <c r="S7248">
        <v>1</v>
      </c>
      <c r="T7248">
        <v>1</v>
      </c>
      <c r="U7248">
        <v>111000</v>
      </c>
      <c r="V7248">
        <v>111000</v>
      </c>
    </row>
    <row r="7249" spans="1:22">
      <c r="A7249" t="s">
        <v>196</v>
      </c>
      <c r="B7249">
        <v>41</v>
      </c>
      <c r="C7249" t="s">
        <v>1097</v>
      </c>
      <c r="D7249" t="s">
        <v>2321</v>
      </c>
      <c r="E7249" t="s">
        <v>2322</v>
      </c>
      <c r="F7249">
        <v>1005</v>
      </c>
      <c r="G7249" t="s">
        <v>111</v>
      </c>
      <c r="H7249">
        <v>2005</v>
      </c>
      <c r="I7249" t="s">
        <v>111</v>
      </c>
      <c r="J7249">
        <v>3037</v>
      </c>
      <c r="K7249" t="s">
        <v>2323</v>
      </c>
      <c r="L7249">
        <v>0</v>
      </c>
      <c r="N7249" t="s">
        <v>274</v>
      </c>
      <c r="O7249">
        <v>20</v>
      </c>
      <c r="P7249">
        <v>3057</v>
      </c>
      <c r="Q7249" t="s">
        <v>1121</v>
      </c>
      <c r="R7249" t="s">
        <v>201</v>
      </c>
      <c r="S7249">
        <v>1</v>
      </c>
      <c r="T7249">
        <v>1</v>
      </c>
      <c r="U7249">
        <v>137532</v>
      </c>
      <c r="V7249">
        <v>137532</v>
      </c>
    </row>
    <row r="7250" spans="1:22">
      <c r="A7250" t="s">
        <v>196</v>
      </c>
      <c r="B7250">
        <v>41</v>
      </c>
      <c r="C7250" t="s">
        <v>1097</v>
      </c>
      <c r="D7250" t="s">
        <v>2321</v>
      </c>
      <c r="E7250" t="s">
        <v>2322</v>
      </c>
      <c r="F7250">
        <v>1005</v>
      </c>
      <c r="G7250" t="s">
        <v>111</v>
      </c>
      <c r="H7250">
        <v>2005</v>
      </c>
      <c r="I7250" t="s">
        <v>111</v>
      </c>
      <c r="J7250">
        <v>3037</v>
      </c>
      <c r="K7250" t="s">
        <v>2323</v>
      </c>
      <c r="L7250">
        <v>0</v>
      </c>
      <c r="N7250" t="s">
        <v>253</v>
      </c>
      <c r="O7250">
        <v>10</v>
      </c>
      <c r="P7250">
        <v>1431</v>
      </c>
      <c r="Q7250" t="s">
        <v>339</v>
      </c>
      <c r="R7250" t="s">
        <v>201</v>
      </c>
      <c r="S7250">
        <v>1</v>
      </c>
      <c r="T7250">
        <v>1</v>
      </c>
      <c r="U7250">
        <v>97836</v>
      </c>
      <c r="V7250">
        <v>97836</v>
      </c>
    </row>
    <row r="7251" spans="1:22">
      <c r="A7251" t="s">
        <v>196</v>
      </c>
      <c r="B7251">
        <v>41</v>
      </c>
      <c r="C7251" t="s">
        <v>1097</v>
      </c>
      <c r="D7251" t="s">
        <v>2321</v>
      </c>
      <c r="E7251" t="s">
        <v>2322</v>
      </c>
      <c r="F7251">
        <v>1005</v>
      </c>
      <c r="G7251" t="s">
        <v>111</v>
      </c>
      <c r="H7251">
        <v>2005</v>
      </c>
      <c r="I7251" t="s">
        <v>111</v>
      </c>
      <c r="J7251">
        <v>3037</v>
      </c>
      <c r="K7251" t="s">
        <v>2323</v>
      </c>
      <c r="L7251">
        <v>0</v>
      </c>
      <c r="N7251" t="s">
        <v>372</v>
      </c>
      <c r="O7251">
        <v>4</v>
      </c>
      <c r="P7251">
        <v>620</v>
      </c>
      <c r="Q7251" t="s">
        <v>2129</v>
      </c>
      <c r="R7251" t="s">
        <v>201</v>
      </c>
      <c r="S7251">
        <v>1</v>
      </c>
      <c r="T7251">
        <v>1</v>
      </c>
      <c r="U7251">
        <v>75336</v>
      </c>
      <c r="V7251">
        <v>75336</v>
      </c>
    </row>
    <row r="7252" spans="1:22">
      <c r="A7252" t="s">
        <v>196</v>
      </c>
      <c r="B7252">
        <v>41</v>
      </c>
      <c r="C7252" t="s">
        <v>1097</v>
      </c>
      <c r="D7252" t="s">
        <v>2321</v>
      </c>
      <c r="E7252" t="s">
        <v>2322</v>
      </c>
      <c r="F7252">
        <v>1005</v>
      </c>
      <c r="G7252" t="s">
        <v>111</v>
      </c>
      <c r="H7252">
        <v>2005</v>
      </c>
      <c r="I7252" t="s">
        <v>111</v>
      </c>
      <c r="J7252">
        <v>3037</v>
      </c>
      <c r="K7252" t="s">
        <v>2323</v>
      </c>
      <c r="L7252">
        <v>0</v>
      </c>
      <c r="N7252" t="s">
        <v>386</v>
      </c>
      <c r="O7252">
        <v>4</v>
      </c>
      <c r="P7252">
        <v>613</v>
      </c>
      <c r="Q7252" t="s">
        <v>1770</v>
      </c>
      <c r="R7252" t="s">
        <v>201</v>
      </c>
      <c r="S7252">
        <v>1</v>
      </c>
      <c r="T7252">
        <v>1</v>
      </c>
      <c r="U7252">
        <v>128316</v>
      </c>
      <c r="V7252">
        <v>128316</v>
      </c>
    </row>
    <row r="7253" spans="1:22">
      <c r="A7253" t="s">
        <v>196</v>
      </c>
      <c r="B7253">
        <v>41</v>
      </c>
      <c r="C7253" t="s">
        <v>1097</v>
      </c>
      <c r="D7253" t="s">
        <v>2321</v>
      </c>
      <c r="E7253" t="s">
        <v>2322</v>
      </c>
      <c r="F7253">
        <v>1005</v>
      </c>
      <c r="G7253" t="s">
        <v>111</v>
      </c>
      <c r="H7253">
        <v>2005</v>
      </c>
      <c r="I7253" t="s">
        <v>111</v>
      </c>
      <c r="J7253">
        <v>3037</v>
      </c>
      <c r="K7253" t="s">
        <v>2323</v>
      </c>
      <c r="L7253">
        <v>0</v>
      </c>
      <c r="N7253" t="s">
        <v>622</v>
      </c>
      <c r="O7253">
        <v>1</v>
      </c>
      <c r="P7253" t="s">
        <v>667</v>
      </c>
      <c r="Q7253" t="s">
        <v>205</v>
      </c>
      <c r="R7253" t="s">
        <v>201</v>
      </c>
      <c r="S7253">
        <v>1</v>
      </c>
      <c r="T7253">
        <v>1</v>
      </c>
      <c r="U7253">
        <v>51936</v>
      </c>
      <c r="V7253">
        <v>51936</v>
      </c>
    </row>
    <row r="7254" spans="1:22">
      <c r="A7254" t="s">
        <v>196</v>
      </c>
      <c r="B7254">
        <v>41</v>
      </c>
      <c r="C7254" t="s">
        <v>1097</v>
      </c>
      <c r="D7254" t="s">
        <v>2321</v>
      </c>
      <c r="E7254" t="s">
        <v>2322</v>
      </c>
      <c r="F7254">
        <v>1005</v>
      </c>
      <c r="G7254" t="s">
        <v>111</v>
      </c>
      <c r="H7254">
        <v>2005</v>
      </c>
      <c r="I7254" t="s">
        <v>111</v>
      </c>
      <c r="J7254">
        <v>3037</v>
      </c>
      <c r="K7254" t="s">
        <v>2323</v>
      </c>
      <c r="L7254">
        <v>0</v>
      </c>
      <c r="N7254" t="s">
        <v>372</v>
      </c>
      <c r="O7254">
        <v>1</v>
      </c>
      <c r="P7254">
        <v>380</v>
      </c>
      <c r="Q7254" t="s">
        <v>1802</v>
      </c>
      <c r="R7254" t="s">
        <v>201</v>
      </c>
      <c r="S7254">
        <v>1</v>
      </c>
      <c r="T7254">
        <v>1</v>
      </c>
      <c r="U7254">
        <v>130668</v>
      </c>
      <c r="V7254">
        <v>130668</v>
      </c>
    </row>
    <row r="7255" spans="1:22">
      <c r="A7255" t="s">
        <v>196</v>
      </c>
      <c r="B7255">
        <v>41</v>
      </c>
      <c r="C7255" t="s">
        <v>1097</v>
      </c>
      <c r="D7255" t="s">
        <v>2321</v>
      </c>
      <c r="E7255" t="s">
        <v>2322</v>
      </c>
      <c r="F7255">
        <v>1005</v>
      </c>
      <c r="G7255" t="s">
        <v>111</v>
      </c>
      <c r="H7255">
        <v>2005</v>
      </c>
      <c r="I7255" t="s">
        <v>111</v>
      </c>
      <c r="J7255">
        <v>3037</v>
      </c>
      <c r="K7255" t="s">
        <v>2323</v>
      </c>
      <c r="L7255">
        <v>0</v>
      </c>
      <c r="N7255" t="s">
        <v>274</v>
      </c>
      <c r="O7255">
        <v>9</v>
      </c>
      <c r="P7255">
        <v>313</v>
      </c>
      <c r="Q7255" t="s">
        <v>605</v>
      </c>
      <c r="R7255" t="s">
        <v>201</v>
      </c>
      <c r="S7255">
        <v>1</v>
      </c>
      <c r="T7255">
        <v>1</v>
      </c>
      <c r="U7255">
        <v>146808</v>
      </c>
      <c r="V7255">
        <v>146808</v>
      </c>
    </row>
    <row r="7256" spans="1:22">
      <c r="A7256" t="s">
        <v>196</v>
      </c>
      <c r="B7256">
        <v>41</v>
      </c>
      <c r="C7256" t="s">
        <v>1097</v>
      </c>
      <c r="D7256" t="s">
        <v>2321</v>
      </c>
      <c r="E7256" t="s">
        <v>2322</v>
      </c>
      <c r="F7256">
        <v>1005</v>
      </c>
      <c r="G7256" t="s">
        <v>111</v>
      </c>
      <c r="H7256">
        <v>2005</v>
      </c>
      <c r="I7256" t="s">
        <v>111</v>
      </c>
      <c r="J7256">
        <v>3037</v>
      </c>
      <c r="K7256" t="s">
        <v>2323</v>
      </c>
      <c r="L7256">
        <v>0</v>
      </c>
      <c r="N7256" t="s">
        <v>249</v>
      </c>
      <c r="O7256">
        <v>10</v>
      </c>
      <c r="P7256">
        <v>311</v>
      </c>
      <c r="Q7256" t="s">
        <v>661</v>
      </c>
      <c r="R7256" t="s">
        <v>201</v>
      </c>
      <c r="S7256">
        <v>1</v>
      </c>
      <c r="T7256">
        <v>1</v>
      </c>
      <c r="U7256">
        <v>107340</v>
      </c>
      <c r="V7256">
        <v>107340</v>
      </c>
    </row>
    <row r="7257" spans="1:22">
      <c r="A7257" t="s">
        <v>196</v>
      </c>
      <c r="B7257">
        <v>41</v>
      </c>
      <c r="C7257" t="s">
        <v>1097</v>
      </c>
      <c r="D7257" t="s">
        <v>2321</v>
      </c>
      <c r="E7257" t="s">
        <v>2322</v>
      </c>
      <c r="F7257">
        <v>1005</v>
      </c>
      <c r="G7257" t="s">
        <v>111</v>
      </c>
      <c r="H7257">
        <v>2005</v>
      </c>
      <c r="I7257" t="s">
        <v>111</v>
      </c>
      <c r="J7257">
        <v>3037</v>
      </c>
      <c r="K7257" t="s">
        <v>2323</v>
      </c>
      <c r="L7257">
        <v>0</v>
      </c>
      <c r="N7257" t="s">
        <v>249</v>
      </c>
      <c r="O7257">
        <v>10</v>
      </c>
      <c r="P7257">
        <v>311</v>
      </c>
      <c r="Q7257" t="s">
        <v>661</v>
      </c>
      <c r="R7257" t="s">
        <v>201</v>
      </c>
      <c r="S7257">
        <v>1</v>
      </c>
      <c r="T7257">
        <v>1</v>
      </c>
      <c r="U7257">
        <v>102444</v>
      </c>
      <c r="V7257">
        <v>102444</v>
      </c>
    </row>
    <row r="7258" spans="1:22">
      <c r="A7258" t="s">
        <v>196</v>
      </c>
      <c r="B7258">
        <v>41</v>
      </c>
      <c r="C7258" t="s">
        <v>1097</v>
      </c>
      <c r="D7258" t="s">
        <v>2321</v>
      </c>
      <c r="E7258" t="s">
        <v>2322</v>
      </c>
      <c r="F7258">
        <v>1005</v>
      </c>
      <c r="G7258" t="s">
        <v>111</v>
      </c>
      <c r="H7258">
        <v>2005</v>
      </c>
      <c r="I7258" t="s">
        <v>111</v>
      </c>
      <c r="J7258">
        <v>3037</v>
      </c>
      <c r="K7258" t="s">
        <v>2323</v>
      </c>
      <c r="L7258">
        <v>0</v>
      </c>
      <c r="N7258" t="s">
        <v>249</v>
      </c>
      <c r="O7258">
        <v>10</v>
      </c>
      <c r="P7258">
        <v>311</v>
      </c>
      <c r="Q7258" t="s">
        <v>661</v>
      </c>
      <c r="R7258" t="s">
        <v>201</v>
      </c>
      <c r="S7258">
        <v>3</v>
      </c>
      <c r="T7258">
        <v>1</v>
      </c>
      <c r="U7258">
        <v>93384</v>
      </c>
      <c r="V7258">
        <v>280152</v>
      </c>
    </row>
    <row r="7259" spans="1:22">
      <c r="A7259" t="s">
        <v>196</v>
      </c>
      <c r="B7259">
        <v>41</v>
      </c>
      <c r="C7259" t="s">
        <v>1097</v>
      </c>
      <c r="D7259" t="s">
        <v>2321</v>
      </c>
      <c r="E7259" t="s">
        <v>2322</v>
      </c>
      <c r="F7259">
        <v>1005</v>
      </c>
      <c r="G7259" t="s">
        <v>111</v>
      </c>
      <c r="H7259">
        <v>2005</v>
      </c>
      <c r="I7259" t="s">
        <v>111</v>
      </c>
      <c r="J7259">
        <v>3037</v>
      </c>
      <c r="K7259" t="s">
        <v>2323</v>
      </c>
      <c r="L7259">
        <v>0</v>
      </c>
      <c r="N7259" t="s">
        <v>341</v>
      </c>
      <c r="O7259">
        <v>1</v>
      </c>
      <c r="P7259">
        <v>308</v>
      </c>
      <c r="Q7259" t="s">
        <v>355</v>
      </c>
      <c r="R7259" t="s">
        <v>201</v>
      </c>
      <c r="S7259">
        <v>1</v>
      </c>
      <c r="T7259">
        <v>1</v>
      </c>
      <c r="U7259">
        <v>68616</v>
      </c>
      <c r="V7259">
        <v>68616</v>
      </c>
    </row>
    <row r="7260" spans="1:22">
      <c r="A7260" t="s">
        <v>196</v>
      </c>
      <c r="B7260">
        <v>41</v>
      </c>
      <c r="C7260" t="s">
        <v>1097</v>
      </c>
      <c r="D7260" t="s">
        <v>2321</v>
      </c>
      <c r="E7260" t="s">
        <v>2322</v>
      </c>
      <c r="F7260">
        <v>1005</v>
      </c>
      <c r="G7260" t="s">
        <v>111</v>
      </c>
      <c r="H7260">
        <v>2005</v>
      </c>
      <c r="I7260" t="s">
        <v>111</v>
      </c>
      <c r="J7260">
        <v>3037</v>
      </c>
      <c r="K7260" t="s">
        <v>2323</v>
      </c>
      <c r="L7260">
        <v>0</v>
      </c>
      <c r="N7260" t="s">
        <v>333</v>
      </c>
      <c r="O7260">
        <v>4</v>
      </c>
      <c r="P7260">
        <v>194</v>
      </c>
      <c r="Q7260" t="s">
        <v>706</v>
      </c>
      <c r="R7260" t="s">
        <v>201</v>
      </c>
      <c r="S7260">
        <v>1</v>
      </c>
      <c r="T7260">
        <v>1</v>
      </c>
      <c r="U7260">
        <v>109140</v>
      </c>
      <c r="V7260">
        <v>109140</v>
      </c>
    </row>
    <row r="7261" spans="1:22">
      <c r="A7261" t="s">
        <v>196</v>
      </c>
      <c r="B7261">
        <v>41</v>
      </c>
      <c r="C7261" t="s">
        <v>1097</v>
      </c>
      <c r="D7261" t="s">
        <v>2321</v>
      </c>
      <c r="E7261" t="s">
        <v>2322</v>
      </c>
      <c r="F7261">
        <v>1005</v>
      </c>
      <c r="G7261" t="s">
        <v>111</v>
      </c>
      <c r="H7261">
        <v>2005</v>
      </c>
      <c r="I7261" t="s">
        <v>111</v>
      </c>
      <c r="J7261">
        <v>3037</v>
      </c>
      <c r="K7261" t="s">
        <v>2323</v>
      </c>
      <c r="L7261">
        <v>0</v>
      </c>
      <c r="N7261" t="s">
        <v>356</v>
      </c>
      <c r="O7261">
        <v>4</v>
      </c>
      <c r="P7261">
        <v>124</v>
      </c>
      <c r="Q7261" t="s">
        <v>357</v>
      </c>
      <c r="R7261" t="s">
        <v>201</v>
      </c>
      <c r="S7261">
        <v>1</v>
      </c>
      <c r="T7261">
        <v>1</v>
      </c>
      <c r="U7261">
        <v>97488</v>
      </c>
      <c r="V7261">
        <v>97488</v>
      </c>
    </row>
    <row r="7262" spans="1:22">
      <c r="A7262" t="s">
        <v>196</v>
      </c>
      <c r="B7262">
        <v>41</v>
      </c>
      <c r="C7262" t="s">
        <v>1097</v>
      </c>
      <c r="D7262" t="s">
        <v>2321</v>
      </c>
      <c r="E7262" t="s">
        <v>2322</v>
      </c>
      <c r="F7262">
        <v>1005</v>
      </c>
      <c r="G7262" t="s">
        <v>111</v>
      </c>
      <c r="H7262">
        <v>2005</v>
      </c>
      <c r="I7262" t="s">
        <v>111</v>
      </c>
      <c r="J7262">
        <v>3037</v>
      </c>
      <c r="K7262" t="s">
        <v>2323</v>
      </c>
      <c r="L7262">
        <v>0</v>
      </c>
      <c r="N7262" t="s">
        <v>199</v>
      </c>
      <c r="O7262">
        <v>0</v>
      </c>
      <c r="P7262">
        <v>15</v>
      </c>
      <c r="Q7262" t="s">
        <v>264</v>
      </c>
      <c r="R7262" t="s">
        <v>201</v>
      </c>
      <c r="S7262">
        <v>0</v>
      </c>
      <c r="T7262">
        <v>0</v>
      </c>
      <c r="U7262">
        <v>16077</v>
      </c>
      <c r="V7262">
        <v>16077</v>
      </c>
    </row>
    <row r="7263" spans="1:22">
      <c r="A7263" t="s">
        <v>196</v>
      </c>
      <c r="B7263">
        <v>41</v>
      </c>
      <c r="C7263" t="s">
        <v>1097</v>
      </c>
      <c r="D7263" t="s">
        <v>2321</v>
      </c>
      <c r="E7263" t="s">
        <v>2322</v>
      </c>
      <c r="F7263">
        <v>1005</v>
      </c>
      <c r="G7263" t="s">
        <v>111</v>
      </c>
      <c r="H7263">
        <v>2045</v>
      </c>
      <c r="I7263" t="s">
        <v>59</v>
      </c>
      <c r="J7263">
        <v>3176</v>
      </c>
      <c r="K7263" t="s">
        <v>2324</v>
      </c>
      <c r="L7263">
        <v>0</v>
      </c>
      <c r="N7263" t="s">
        <v>356</v>
      </c>
      <c r="O7263">
        <v>4</v>
      </c>
      <c r="P7263">
        <v>3414</v>
      </c>
      <c r="Q7263" t="s">
        <v>1109</v>
      </c>
      <c r="R7263" t="s">
        <v>201</v>
      </c>
      <c r="S7263">
        <v>1</v>
      </c>
      <c r="T7263">
        <v>1</v>
      </c>
      <c r="U7263">
        <v>102516</v>
      </c>
      <c r="V7263">
        <v>102516</v>
      </c>
    </row>
    <row r="7264" spans="1:22">
      <c r="A7264" t="s">
        <v>196</v>
      </c>
      <c r="B7264">
        <v>41</v>
      </c>
      <c r="C7264" t="s">
        <v>1097</v>
      </c>
      <c r="D7264" t="s">
        <v>2325</v>
      </c>
      <c r="E7264" t="s">
        <v>2326</v>
      </c>
      <c r="F7264">
        <v>1005</v>
      </c>
      <c r="G7264" t="s">
        <v>111</v>
      </c>
      <c r="H7264">
        <v>2000</v>
      </c>
      <c r="I7264" t="s">
        <v>46</v>
      </c>
      <c r="J7264">
        <v>3116</v>
      </c>
      <c r="K7264" t="s">
        <v>1100</v>
      </c>
      <c r="L7264">
        <v>0</v>
      </c>
      <c r="N7264" t="s">
        <v>1776</v>
      </c>
      <c r="O7264">
        <v>9</v>
      </c>
      <c r="P7264">
        <v>719</v>
      </c>
      <c r="Q7264" t="s">
        <v>2093</v>
      </c>
      <c r="R7264" t="s">
        <v>201</v>
      </c>
      <c r="S7264">
        <v>1</v>
      </c>
      <c r="T7264">
        <v>1</v>
      </c>
      <c r="U7264">
        <v>114120</v>
      </c>
      <c r="V7264">
        <v>114120</v>
      </c>
    </row>
    <row r="7265" spans="1:22">
      <c r="A7265" t="s">
        <v>196</v>
      </c>
      <c r="B7265">
        <v>41</v>
      </c>
      <c r="C7265" t="s">
        <v>1097</v>
      </c>
      <c r="D7265" t="s">
        <v>2325</v>
      </c>
      <c r="E7265" t="s">
        <v>2326</v>
      </c>
      <c r="F7265">
        <v>1005</v>
      </c>
      <c r="G7265" t="s">
        <v>111</v>
      </c>
      <c r="H7265">
        <v>2000</v>
      </c>
      <c r="I7265" t="s">
        <v>46</v>
      </c>
      <c r="J7265">
        <v>3116</v>
      </c>
      <c r="K7265" t="s">
        <v>1100</v>
      </c>
      <c r="L7265">
        <v>0</v>
      </c>
      <c r="N7265" t="s">
        <v>199</v>
      </c>
      <c r="O7265">
        <v>0</v>
      </c>
      <c r="P7265">
        <v>15</v>
      </c>
      <c r="Q7265" t="s">
        <v>264</v>
      </c>
      <c r="R7265" t="s">
        <v>201</v>
      </c>
      <c r="S7265">
        <v>0</v>
      </c>
      <c r="T7265">
        <v>0</v>
      </c>
      <c r="U7265">
        <v>2070</v>
      </c>
      <c r="V7265">
        <v>2070</v>
      </c>
    </row>
    <row r="7266" spans="1:22">
      <c r="A7266" t="s">
        <v>196</v>
      </c>
      <c r="B7266">
        <v>41</v>
      </c>
      <c r="C7266" t="s">
        <v>1097</v>
      </c>
      <c r="D7266" t="s">
        <v>2325</v>
      </c>
      <c r="E7266" t="s">
        <v>2326</v>
      </c>
      <c r="F7266">
        <v>1005</v>
      </c>
      <c r="G7266" t="s">
        <v>111</v>
      </c>
      <c r="H7266">
        <v>2005</v>
      </c>
      <c r="I7266" t="s">
        <v>111</v>
      </c>
      <c r="J7266">
        <v>3036</v>
      </c>
      <c r="K7266" t="s">
        <v>2327</v>
      </c>
      <c r="L7266">
        <v>0</v>
      </c>
      <c r="N7266" t="s">
        <v>372</v>
      </c>
      <c r="O7266">
        <v>4</v>
      </c>
      <c r="P7266">
        <v>3466</v>
      </c>
      <c r="Q7266" t="s">
        <v>1129</v>
      </c>
      <c r="R7266" t="s">
        <v>201</v>
      </c>
      <c r="S7266">
        <v>1</v>
      </c>
      <c r="T7266">
        <v>1</v>
      </c>
      <c r="U7266">
        <v>75336</v>
      </c>
      <c r="V7266">
        <v>75336</v>
      </c>
    </row>
    <row r="7267" spans="1:22">
      <c r="A7267" t="s">
        <v>196</v>
      </c>
      <c r="B7267">
        <v>41</v>
      </c>
      <c r="C7267" t="s">
        <v>1097</v>
      </c>
      <c r="D7267" t="s">
        <v>2325</v>
      </c>
      <c r="E7267" t="s">
        <v>2326</v>
      </c>
      <c r="F7267">
        <v>1005</v>
      </c>
      <c r="G7267" t="s">
        <v>111</v>
      </c>
      <c r="H7267">
        <v>2005</v>
      </c>
      <c r="I7267" t="s">
        <v>111</v>
      </c>
      <c r="J7267">
        <v>3036</v>
      </c>
      <c r="K7267" t="s">
        <v>2327</v>
      </c>
      <c r="L7267">
        <v>0</v>
      </c>
      <c r="N7267" t="s">
        <v>333</v>
      </c>
      <c r="O7267">
        <v>4</v>
      </c>
      <c r="P7267">
        <v>194</v>
      </c>
      <c r="Q7267" t="s">
        <v>706</v>
      </c>
      <c r="R7267" t="s">
        <v>201</v>
      </c>
      <c r="S7267">
        <v>1</v>
      </c>
      <c r="T7267">
        <v>1</v>
      </c>
      <c r="U7267">
        <v>109140</v>
      </c>
      <c r="V7267">
        <v>109140</v>
      </c>
    </row>
    <row r="7268" spans="1:22">
      <c r="A7268" t="s">
        <v>196</v>
      </c>
      <c r="B7268">
        <v>41</v>
      </c>
      <c r="C7268" t="s">
        <v>1097</v>
      </c>
      <c r="D7268" t="s">
        <v>2328</v>
      </c>
      <c r="E7268" t="s">
        <v>2329</v>
      </c>
      <c r="F7268">
        <v>1005</v>
      </c>
      <c r="G7268" t="s">
        <v>111</v>
      </c>
      <c r="H7268">
        <v>2050</v>
      </c>
      <c r="I7268" t="s">
        <v>57</v>
      </c>
      <c r="J7268">
        <v>3192</v>
      </c>
      <c r="K7268" t="s">
        <v>1174</v>
      </c>
      <c r="L7268">
        <v>0</v>
      </c>
      <c r="N7268" t="s">
        <v>688</v>
      </c>
      <c r="O7268">
        <v>4</v>
      </c>
      <c r="P7268">
        <v>2074</v>
      </c>
      <c r="Q7268" t="s">
        <v>1178</v>
      </c>
      <c r="R7268" t="s">
        <v>201</v>
      </c>
      <c r="S7268">
        <v>1</v>
      </c>
      <c r="T7268">
        <v>1</v>
      </c>
      <c r="U7268">
        <v>92940</v>
      </c>
      <c r="V7268">
        <v>92940</v>
      </c>
    </row>
    <row r="7269" spans="1:22">
      <c r="A7269" t="s">
        <v>196</v>
      </c>
      <c r="B7269">
        <v>72</v>
      </c>
      <c r="C7269" t="s">
        <v>113</v>
      </c>
      <c r="D7269" t="s">
        <v>2328</v>
      </c>
      <c r="E7269" t="s">
        <v>2329</v>
      </c>
      <c r="F7269">
        <v>1010</v>
      </c>
      <c r="G7269" t="s">
        <v>113</v>
      </c>
      <c r="H7269">
        <v>2020</v>
      </c>
      <c r="I7269" t="s">
        <v>100</v>
      </c>
      <c r="J7269">
        <v>3020</v>
      </c>
      <c r="K7269" t="s">
        <v>1671</v>
      </c>
      <c r="L7269">
        <v>0</v>
      </c>
      <c r="N7269" t="s">
        <v>688</v>
      </c>
      <c r="O7269">
        <v>4</v>
      </c>
      <c r="P7269">
        <v>2074</v>
      </c>
      <c r="Q7269" t="s">
        <v>1178</v>
      </c>
      <c r="R7269" t="s">
        <v>201</v>
      </c>
      <c r="S7269">
        <v>1</v>
      </c>
      <c r="T7269">
        <v>1</v>
      </c>
      <c r="U7269">
        <v>81636</v>
      </c>
      <c r="V7269">
        <v>81636</v>
      </c>
    </row>
    <row r="7270" spans="1:22">
      <c r="A7270" t="s">
        <v>196</v>
      </c>
      <c r="B7270">
        <v>54</v>
      </c>
      <c r="C7270" t="s">
        <v>42</v>
      </c>
      <c r="D7270" t="s">
        <v>2330</v>
      </c>
      <c r="E7270" t="s">
        <v>2331</v>
      </c>
      <c r="F7270">
        <v>1005</v>
      </c>
      <c r="G7270" t="s">
        <v>42</v>
      </c>
      <c r="H7270">
        <v>2005</v>
      </c>
      <c r="I7270" t="s">
        <v>42</v>
      </c>
      <c r="J7270">
        <v>3044</v>
      </c>
      <c r="K7270" t="s">
        <v>1263</v>
      </c>
      <c r="L7270">
        <v>4097</v>
      </c>
      <c r="M7270" t="s">
        <v>2332</v>
      </c>
      <c r="N7270" t="s">
        <v>266</v>
      </c>
      <c r="O7270">
        <v>9</v>
      </c>
      <c r="P7270">
        <v>9679</v>
      </c>
      <c r="Q7270" t="s">
        <v>338</v>
      </c>
      <c r="R7270" t="s">
        <v>201</v>
      </c>
      <c r="S7270">
        <v>1</v>
      </c>
      <c r="T7270">
        <v>1</v>
      </c>
      <c r="U7270">
        <v>157332</v>
      </c>
      <c r="V7270">
        <v>157332</v>
      </c>
    </row>
    <row r="7271" spans="1:22">
      <c r="A7271" t="s">
        <v>196</v>
      </c>
      <c r="B7271">
        <v>54</v>
      </c>
      <c r="C7271" t="s">
        <v>42</v>
      </c>
      <c r="D7271" t="s">
        <v>2330</v>
      </c>
      <c r="E7271" t="s">
        <v>2331</v>
      </c>
      <c r="F7271">
        <v>1005</v>
      </c>
      <c r="G7271" t="s">
        <v>42</v>
      </c>
      <c r="H7271">
        <v>2005</v>
      </c>
      <c r="I7271" t="s">
        <v>42</v>
      </c>
      <c r="J7271">
        <v>3044</v>
      </c>
      <c r="K7271" t="s">
        <v>1263</v>
      </c>
      <c r="L7271">
        <v>4097</v>
      </c>
      <c r="M7271" t="s">
        <v>2332</v>
      </c>
      <c r="N7271" t="s">
        <v>251</v>
      </c>
      <c r="O7271">
        <v>10</v>
      </c>
      <c r="P7271">
        <v>1984</v>
      </c>
      <c r="Q7271" t="s">
        <v>1266</v>
      </c>
      <c r="R7271" t="s">
        <v>201</v>
      </c>
      <c r="S7271">
        <v>1</v>
      </c>
      <c r="T7271">
        <v>1</v>
      </c>
      <c r="U7271">
        <v>85128</v>
      </c>
      <c r="V7271">
        <v>85128</v>
      </c>
    </row>
    <row r="7272" spans="1:22">
      <c r="A7272" t="s">
        <v>196</v>
      </c>
      <c r="B7272">
        <v>54</v>
      </c>
      <c r="C7272" t="s">
        <v>42</v>
      </c>
      <c r="D7272" t="s">
        <v>2330</v>
      </c>
      <c r="E7272" t="s">
        <v>2331</v>
      </c>
      <c r="F7272">
        <v>1005</v>
      </c>
      <c r="G7272" t="s">
        <v>42</v>
      </c>
      <c r="H7272">
        <v>2005</v>
      </c>
      <c r="I7272" t="s">
        <v>42</v>
      </c>
      <c r="J7272">
        <v>3044</v>
      </c>
      <c r="K7272" t="s">
        <v>1263</v>
      </c>
      <c r="L7272">
        <v>4097</v>
      </c>
      <c r="M7272" t="s">
        <v>2332</v>
      </c>
      <c r="N7272" t="s">
        <v>251</v>
      </c>
      <c r="O7272">
        <v>10</v>
      </c>
      <c r="P7272">
        <v>1984</v>
      </c>
      <c r="Q7272" t="s">
        <v>1266</v>
      </c>
      <c r="R7272" t="s">
        <v>201</v>
      </c>
      <c r="S7272">
        <v>1</v>
      </c>
      <c r="T7272">
        <v>1</v>
      </c>
      <c r="U7272">
        <v>76476</v>
      </c>
      <c r="V7272">
        <v>76476</v>
      </c>
    </row>
    <row r="7273" spans="1:22">
      <c r="A7273" t="s">
        <v>196</v>
      </c>
      <c r="B7273">
        <v>54</v>
      </c>
      <c r="C7273" t="s">
        <v>42</v>
      </c>
      <c r="D7273" t="s">
        <v>2330</v>
      </c>
      <c r="E7273" t="s">
        <v>2331</v>
      </c>
      <c r="F7273">
        <v>1005</v>
      </c>
      <c r="G7273" t="s">
        <v>42</v>
      </c>
      <c r="H7273">
        <v>2005</v>
      </c>
      <c r="I7273" t="s">
        <v>42</v>
      </c>
      <c r="J7273">
        <v>3044</v>
      </c>
      <c r="K7273" t="s">
        <v>1263</v>
      </c>
      <c r="L7273">
        <v>4097</v>
      </c>
      <c r="M7273" t="s">
        <v>2332</v>
      </c>
      <c r="N7273" t="s">
        <v>249</v>
      </c>
      <c r="O7273">
        <v>10</v>
      </c>
      <c r="P7273">
        <v>311</v>
      </c>
      <c r="Q7273" t="s">
        <v>661</v>
      </c>
      <c r="R7273" t="s">
        <v>201</v>
      </c>
      <c r="S7273">
        <v>1</v>
      </c>
      <c r="T7273">
        <v>1</v>
      </c>
      <c r="U7273">
        <v>113568</v>
      </c>
      <c r="V7273">
        <v>113568</v>
      </c>
    </row>
    <row r="7274" spans="1:22">
      <c r="A7274" t="s">
        <v>196</v>
      </c>
      <c r="B7274">
        <v>54</v>
      </c>
      <c r="C7274" t="s">
        <v>42</v>
      </c>
      <c r="D7274" t="s">
        <v>2330</v>
      </c>
      <c r="E7274" t="s">
        <v>2331</v>
      </c>
      <c r="F7274">
        <v>1005</v>
      </c>
      <c r="G7274" t="s">
        <v>42</v>
      </c>
      <c r="H7274">
        <v>2005</v>
      </c>
      <c r="I7274" t="s">
        <v>42</v>
      </c>
      <c r="J7274">
        <v>3044</v>
      </c>
      <c r="K7274" t="s">
        <v>1263</v>
      </c>
      <c r="L7274">
        <v>4097</v>
      </c>
      <c r="M7274" t="s">
        <v>2332</v>
      </c>
      <c r="N7274" t="s">
        <v>199</v>
      </c>
      <c r="O7274">
        <v>0</v>
      </c>
      <c r="P7274">
        <v>15</v>
      </c>
      <c r="Q7274" t="s">
        <v>264</v>
      </c>
      <c r="R7274" t="s">
        <v>201</v>
      </c>
      <c r="S7274">
        <v>0</v>
      </c>
      <c r="T7274">
        <v>0</v>
      </c>
      <c r="U7274">
        <v>1824</v>
      </c>
      <c r="V7274">
        <v>1824</v>
      </c>
    </row>
    <row r="7275" spans="1:22">
      <c r="A7275" t="s">
        <v>2333</v>
      </c>
      <c r="B7275">
        <v>5</v>
      </c>
      <c r="C7275" t="s">
        <v>83</v>
      </c>
      <c r="D7275">
        <v>75</v>
      </c>
      <c r="E7275" t="s">
        <v>2334</v>
      </c>
      <c r="F7275">
        <v>1005</v>
      </c>
      <c r="G7275" t="s">
        <v>83</v>
      </c>
      <c r="H7275">
        <v>2855</v>
      </c>
      <c r="I7275" t="s">
        <v>53</v>
      </c>
      <c r="J7275">
        <v>3935</v>
      </c>
      <c r="K7275" t="s">
        <v>2335</v>
      </c>
      <c r="L7275">
        <v>0</v>
      </c>
      <c r="N7275" t="s">
        <v>266</v>
      </c>
      <c r="O7275">
        <v>9</v>
      </c>
      <c r="P7275">
        <v>9656</v>
      </c>
      <c r="Q7275" t="s">
        <v>316</v>
      </c>
      <c r="R7275" t="s">
        <v>201</v>
      </c>
      <c r="S7275">
        <v>1</v>
      </c>
      <c r="T7275">
        <v>1</v>
      </c>
      <c r="U7275">
        <v>167964</v>
      </c>
      <c r="V7275">
        <v>167964</v>
      </c>
    </row>
    <row r="7276" spans="1:22">
      <c r="A7276" t="s">
        <v>2333</v>
      </c>
      <c r="B7276">
        <v>5</v>
      </c>
      <c r="C7276" t="s">
        <v>83</v>
      </c>
      <c r="D7276">
        <v>75</v>
      </c>
      <c r="E7276" t="s">
        <v>2334</v>
      </c>
      <c r="F7276">
        <v>1005</v>
      </c>
      <c r="G7276" t="s">
        <v>83</v>
      </c>
      <c r="H7276">
        <v>2855</v>
      </c>
      <c r="I7276" t="s">
        <v>53</v>
      </c>
      <c r="J7276">
        <v>3935</v>
      </c>
      <c r="K7276" t="s">
        <v>2335</v>
      </c>
      <c r="L7276">
        <v>0</v>
      </c>
      <c r="N7276" t="s">
        <v>343</v>
      </c>
      <c r="O7276">
        <v>10</v>
      </c>
      <c r="P7276">
        <v>2925</v>
      </c>
      <c r="Q7276" t="s">
        <v>2336</v>
      </c>
      <c r="R7276" t="s">
        <v>201</v>
      </c>
      <c r="S7276">
        <v>3</v>
      </c>
      <c r="T7276">
        <v>1</v>
      </c>
      <c r="U7276">
        <v>118956</v>
      </c>
      <c r="V7276">
        <v>356868</v>
      </c>
    </row>
    <row r="7277" spans="1:22">
      <c r="A7277" t="s">
        <v>2333</v>
      </c>
      <c r="B7277">
        <v>5</v>
      </c>
      <c r="C7277" t="s">
        <v>83</v>
      </c>
      <c r="D7277">
        <v>75</v>
      </c>
      <c r="E7277" t="s">
        <v>2334</v>
      </c>
      <c r="F7277">
        <v>1005</v>
      </c>
      <c r="G7277" t="s">
        <v>83</v>
      </c>
      <c r="H7277">
        <v>2855</v>
      </c>
      <c r="I7277" t="s">
        <v>53</v>
      </c>
      <c r="J7277">
        <v>3935</v>
      </c>
      <c r="K7277" t="s">
        <v>2335</v>
      </c>
      <c r="L7277">
        <v>0</v>
      </c>
      <c r="N7277" t="s">
        <v>251</v>
      </c>
      <c r="O7277">
        <v>10</v>
      </c>
      <c r="P7277">
        <v>1333</v>
      </c>
      <c r="Q7277" t="s">
        <v>328</v>
      </c>
      <c r="R7277" t="s">
        <v>201</v>
      </c>
      <c r="S7277">
        <v>1</v>
      </c>
      <c r="T7277">
        <v>1</v>
      </c>
      <c r="U7277">
        <v>124584</v>
      </c>
      <c r="V7277">
        <v>124584</v>
      </c>
    </row>
    <row r="7278" spans="1:22">
      <c r="A7278" t="s">
        <v>2333</v>
      </c>
      <c r="B7278">
        <v>5</v>
      </c>
      <c r="C7278" t="s">
        <v>83</v>
      </c>
      <c r="D7278">
        <v>75</v>
      </c>
      <c r="E7278" t="s">
        <v>2334</v>
      </c>
      <c r="F7278">
        <v>1005</v>
      </c>
      <c r="G7278" t="s">
        <v>83</v>
      </c>
      <c r="H7278">
        <v>2855</v>
      </c>
      <c r="I7278" t="s">
        <v>53</v>
      </c>
      <c r="J7278">
        <v>3935</v>
      </c>
      <c r="K7278" t="s">
        <v>2335</v>
      </c>
      <c r="L7278">
        <v>0</v>
      </c>
      <c r="N7278" t="s">
        <v>251</v>
      </c>
      <c r="O7278">
        <v>10</v>
      </c>
      <c r="P7278">
        <v>1333</v>
      </c>
      <c r="Q7278" t="s">
        <v>328</v>
      </c>
      <c r="R7278" t="s">
        <v>201</v>
      </c>
      <c r="S7278">
        <v>1</v>
      </c>
      <c r="T7278">
        <v>1</v>
      </c>
      <c r="U7278">
        <v>85128</v>
      </c>
      <c r="V7278">
        <v>85128</v>
      </c>
    </row>
    <row r="7279" spans="1:22">
      <c r="A7279" t="s">
        <v>2333</v>
      </c>
      <c r="B7279">
        <v>5</v>
      </c>
      <c r="C7279" t="s">
        <v>83</v>
      </c>
      <c r="D7279">
        <v>75</v>
      </c>
      <c r="E7279" t="s">
        <v>2334</v>
      </c>
      <c r="F7279">
        <v>1005</v>
      </c>
      <c r="G7279" t="s">
        <v>83</v>
      </c>
      <c r="H7279">
        <v>2855</v>
      </c>
      <c r="I7279" t="s">
        <v>53</v>
      </c>
      <c r="J7279">
        <v>3935</v>
      </c>
      <c r="K7279" t="s">
        <v>2335</v>
      </c>
      <c r="L7279">
        <v>0</v>
      </c>
      <c r="N7279" t="s">
        <v>274</v>
      </c>
      <c r="O7279">
        <v>9</v>
      </c>
      <c r="P7279">
        <v>1124</v>
      </c>
      <c r="Q7279" t="s">
        <v>317</v>
      </c>
      <c r="R7279" t="s">
        <v>201</v>
      </c>
      <c r="S7279">
        <v>1</v>
      </c>
      <c r="T7279">
        <v>1</v>
      </c>
      <c r="U7279">
        <v>146808</v>
      </c>
      <c r="V7279">
        <v>146808</v>
      </c>
    </row>
    <row r="7280" spans="1:22">
      <c r="A7280" t="s">
        <v>2333</v>
      </c>
      <c r="B7280">
        <v>5</v>
      </c>
      <c r="C7280" t="s">
        <v>83</v>
      </c>
      <c r="D7280">
        <v>75</v>
      </c>
      <c r="E7280" t="s">
        <v>2334</v>
      </c>
      <c r="F7280">
        <v>1005</v>
      </c>
      <c r="G7280" t="s">
        <v>83</v>
      </c>
      <c r="H7280">
        <v>2855</v>
      </c>
      <c r="I7280" t="s">
        <v>53</v>
      </c>
      <c r="J7280">
        <v>3935</v>
      </c>
      <c r="K7280" t="s">
        <v>2335</v>
      </c>
      <c r="L7280">
        <v>0</v>
      </c>
      <c r="N7280" t="s">
        <v>311</v>
      </c>
      <c r="O7280">
        <v>9</v>
      </c>
      <c r="P7280">
        <v>1120</v>
      </c>
      <c r="Q7280" t="s">
        <v>313</v>
      </c>
      <c r="R7280" t="s">
        <v>201</v>
      </c>
      <c r="S7280">
        <v>1</v>
      </c>
      <c r="T7280">
        <v>1</v>
      </c>
      <c r="U7280">
        <v>188400</v>
      </c>
      <c r="V7280">
        <v>188400</v>
      </c>
    </row>
    <row r="7281" spans="1:22">
      <c r="A7281" t="s">
        <v>2333</v>
      </c>
      <c r="B7281">
        <v>5</v>
      </c>
      <c r="C7281" t="s">
        <v>83</v>
      </c>
      <c r="D7281">
        <v>75</v>
      </c>
      <c r="E7281" t="s">
        <v>2334</v>
      </c>
      <c r="F7281">
        <v>1005</v>
      </c>
      <c r="G7281" t="s">
        <v>83</v>
      </c>
      <c r="H7281">
        <v>2855</v>
      </c>
      <c r="I7281" t="s">
        <v>53</v>
      </c>
      <c r="J7281">
        <v>3935</v>
      </c>
      <c r="K7281" t="s">
        <v>2335</v>
      </c>
      <c r="L7281">
        <v>0</v>
      </c>
      <c r="N7281" t="s">
        <v>320</v>
      </c>
      <c r="O7281">
        <v>20</v>
      </c>
      <c r="P7281">
        <v>1103</v>
      </c>
      <c r="Q7281" t="s">
        <v>321</v>
      </c>
      <c r="R7281" t="s">
        <v>201</v>
      </c>
      <c r="S7281">
        <v>1</v>
      </c>
      <c r="T7281">
        <v>1</v>
      </c>
      <c r="U7281">
        <v>68856</v>
      </c>
      <c r="V7281">
        <v>68856</v>
      </c>
    </row>
    <row r="7282" spans="1:22">
      <c r="A7282" t="s">
        <v>2333</v>
      </c>
      <c r="B7282">
        <v>5</v>
      </c>
      <c r="C7282" t="s">
        <v>83</v>
      </c>
      <c r="D7282">
        <v>75</v>
      </c>
      <c r="E7282" t="s">
        <v>2334</v>
      </c>
      <c r="F7282">
        <v>1005</v>
      </c>
      <c r="G7282" t="s">
        <v>83</v>
      </c>
      <c r="H7282">
        <v>2855</v>
      </c>
      <c r="I7282" t="s">
        <v>53</v>
      </c>
      <c r="J7282">
        <v>3935</v>
      </c>
      <c r="K7282" t="s">
        <v>2335</v>
      </c>
      <c r="L7282">
        <v>0</v>
      </c>
      <c r="N7282" t="s">
        <v>274</v>
      </c>
      <c r="O7282">
        <v>0</v>
      </c>
      <c r="P7282">
        <v>603</v>
      </c>
      <c r="Q7282" t="s">
        <v>646</v>
      </c>
      <c r="R7282" t="s">
        <v>201</v>
      </c>
      <c r="S7282">
        <v>1</v>
      </c>
      <c r="T7282">
        <v>1</v>
      </c>
      <c r="U7282">
        <v>153384</v>
      </c>
      <c r="V7282">
        <v>153384</v>
      </c>
    </row>
    <row r="7283" spans="1:22">
      <c r="A7283" t="s">
        <v>2333</v>
      </c>
      <c r="B7283">
        <v>5</v>
      </c>
      <c r="C7283" t="s">
        <v>83</v>
      </c>
      <c r="D7283">
        <v>75</v>
      </c>
      <c r="E7283" t="s">
        <v>2334</v>
      </c>
      <c r="F7283">
        <v>1005</v>
      </c>
      <c r="G7283" t="s">
        <v>83</v>
      </c>
      <c r="H7283">
        <v>2855</v>
      </c>
      <c r="I7283" t="s">
        <v>53</v>
      </c>
      <c r="J7283">
        <v>3935</v>
      </c>
      <c r="K7283" t="s">
        <v>2335</v>
      </c>
      <c r="L7283">
        <v>0</v>
      </c>
      <c r="N7283" t="s">
        <v>199</v>
      </c>
      <c r="O7283">
        <v>0</v>
      </c>
      <c r="P7283">
        <v>44</v>
      </c>
      <c r="Q7283" t="s">
        <v>2337</v>
      </c>
      <c r="R7283" t="s">
        <v>201</v>
      </c>
      <c r="S7283">
        <v>0</v>
      </c>
      <c r="T7283">
        <v>0</v>
      </c>
      <c r="U7283">
        <v>723000</v>
      </c>
      <c r="V7283">
        <v>723000</v>
      </c>
    </row>
    <row r="7284" spans="1:22">
      <c r="A7284" t="s">
        <v>2333</v>
      </c>
      <c r="B7284">
        <v>5</v>
      </c>
      <c r="C7284" t="s">
        <v>83</v>
      </c>
      <c r="D7284">
        <v>75</v>
      </c>
      <c r="E7284" t="s">
        <v>2334</v>
      </c>
      <c r="F7284">
        <v>1005</v>
      </c>
      <c r="G7284" t="s">
        <v>83</v>
      </c>
      <c r="H7284">
        <v>2855</v>
      </c>
      <c r="I7284" t="s">
        <v>53</v>
      </c>
      <c r="J7284">
        <v>3935</v>
      </c>
      <c r="K7284" t="s">
        <v>2335</v>
      </c>
      <c r="L7284">
        <v>0</v>
      </c>
      <c r="N7284" t="s">
        <v>199</v>
      </c>
      <c r="O7284">
        <v>0</v>
      </c>
      <c r="P7284">
        <v>15</v>
      </c>
      <c r="Q7284" t="s">
        <v>264</v>
      </c>
      <c r="R7284" t="s">
        <v>201</v>
      </c>
      <c r="S7284">
        <v>0</v>
      </c>
      <c r="T7284">
        <v>0</v>
      </c>
      <c r="U7284">
        <v>11083</v>
      </c>
      <c r="V7284">
        <v>11083</v>
      </c>
    </row>
    <row r="7285" spans="1:22">
      <c r="A7285" t="s">
        <v>2333</v>
      </c>
      <c r="B7285">
        <v>21</v>
      </c>
      <c r="C7285" t="s">
        <v>78</v>
      </c>
      <c r="D7285">
        <v>75</v>
      </c>
      <c r="E7285" t="s">
        <v>2334</v>
      </c>
      <c r="F7285">
        <v>1005</v>
      </c>
      <c r="G7285" t="s">
        <v>78</v>
      </c>
      <c r="H7285">
        <v>2846</v>
      </c>
      <c r="I7285" t="s">
        <v>141</v>
      </c>
      <c r="J7285">
        <v>3846</v>
      </c>
      <c r="K7285" t="s">
        <v>2338</v>
      </c>
      <c r="L7285">
        <v>0</v>
      </c>
      <c r="N7285" t="s">
        <v>266</v>
      </c>
      <c r="O7285">
        <v>9</v>
      </c>
      <c r="P7285">
        <v>9679</v>
      </c>
      <c r="Q7285" t="s">
        <v>338</v>
      </c>
      <c r="R7285" t="s">
        <v>201</v>
      </c>
      <c r="S7285">
        <v>1</v>
      </c>
      <c r="T7285">
        <v>1</v>
      </c>
      <c r="U7285">
        <v>157332</v>
      </c>
      <c r="V7285">
        <v>157332</v>
      </c>
    </row>
    <row r="7286" spans="1:22">
      <c r="A7286" t="s">
        <v>2333</v>
      </c>
      <c r="B7286">
        <v>21</v>
      </c>
      <c r="C7286" t="s">
        <v>78</v>
      </c>
      <c r="D7286">
        <v>75</v>
      </c>
      <c r="E7286" t="s">
        <v>2334</v>
      </c>
      <c r="F7286">
        <v>1005</v>
      </c>
      <c r="G7286" t="s">
        <v>78</v>
      </c>
      <c r="H7286">
        <v>2846</v>
      </c>
      <c r="I7286" t="s">
        <v>141</v>
      </c>
      <c r="J7286">
        <v>3846</v>
      </c>
      <c r="K7286" t="s">
        <v>2338</v>
      </c>
      <c r="L7286">
        <v>0</v>
      </c>
      <c r="N7286" t="s">
        <v>251</v>
      </c>
      <c r="O7286">
        <v>10</v>
      </c>
      <c r="P7286">
        <v>1438</v>
      </c>
      <c r="Q7286" t="s">
        <v>601</v>
      </c>
      <c r="R7286" t="s">
        <v>201</v>
      </c>
      <c r="S7286">
        <v>1</v>
      </c>
      <c r="T7286">
        <v>1</v>
      </c>
      <c r="U7286">
        <v>80124</v>
      </c>
      <c r="V7286">
        <v>80124</v>
      </c>
    </row>
    <row r="7287" spans="1:22">
      <c r="A7287" t="s">
        <v>2333</v>
      </c>
      <c r="B7287">
        <v>21</v>
      </c>
      <c r="C7287" t="s">
        <v>78</v>
      </c>
      <c r="D7287">
        <v>75</v>
      </c>
      <c r="E7287" t="s">
        <v>2334</v>
      </c>
      <c r="F7287">
        <v>1005</v>
      </c>
      <c r="G7287" t="s">
        <v>78</v>
      </c>
      <c r="H7287">
        <v>2846</v>
      </c>
      <c r="I7287" t="s">
        <v>141</v>
      </c>
      <c r="J7287">
        <v>3846</v>
      </c>
      <c r="K7287" t="s">
        <v>2338</v>
      </c>
      <c r="L7287">
        <v>0</v>
      </c>
      <c r="N7287" t="s">
        <v>351</v>
      </c>
      <c r="O7287">
        <v>1</v>
      </c>
      <c r="P7287" t="s">
        <v>352</v>
      </c>
      <c r="Q7287" t="s">
        <v>353</v>
      </c>
      <c r="R7287" t="s">
        <v>201</v>
      </c>
      <c r="S7287">
        <v>1</v>
      </c>
      <c r="T7287">
        <v>1</v>
      </c>
      <c r="U7287">
        <v>70752</v>
      </c>
      <c r="V7287">
        <v>70752</v>
      </c>
    </row>
    <row r="7288" spans="1:22">
      <c r="A7288" t="s">
        <v>2333</v>
      </c>
      <c r="B7288">
        <v>21</v>
      </c>
      <c r="C7288" t="s">
        <v>78</v>
      </c>
      <c r="D7288">
        <v>75</v>
      </c>
      <c r="E7288" t="s">
        <v>2334</v>
      </c>
      <c r="F7288">
        <v>1005</v>
      </c>
      <c r="G7288" t="s">
        <v>78</v>
      </c>
      <c r="H7288">
        <v>2846</v>
      </c>
      <c r="I7288" t="s">
        <v>141</v>
      </c>
      <c r="J7288">
        <v>3846</v>
      </c>
      <c r="K7288" t="s">
        <v>2338</v>
      </c>
      <c r="L7288">
        <v>0</v>
      </c>
      <c r="N7288" t="s">
        <v>249</v>
      </c>
      <c r="O7288">
        <v>10</v>
      </c>
      <c r="P7288">
        <v>310</v>
      </c>
      <c r="Q7288" t="s">
        <v>447</v>
      </c>
      <c r="R7288" t="s">
        <v>201</v>
      </c>
      <c r="S7288">
        <v>1</v>
      </c>
      <c r="T7288">
        <v>1</v>
      </c>
      <c r="U7288">
        <v>107340</v>
      </c>
      <c r="V7288">
        <v>107340</v>
      </c>
    </row>
    <row r="7289" spans="1:22">
      <c r="A7289" t="s">
        <v>2333</v>
      </c>
      <c r="B7289">
        <v>21</v>
      </c>
      <c r="C7289" t="s">
        <v>78</v>
      </c>
      <c r="D7289">
        <v>75</v>
      </c>
      <c r="E7289" t="s">
        <v>2334</v>
      </c>
      <c r="F7289">
        <v>1005</v>
      </c>
      <c r="G7289" t="s">
        <v>78</v>
      </c>
      <c r="H7289">
        <v>2846</v>
      </c>
      <c r="I7289" t="s">
        <v>141</v>
      </c>
      <c r="J7289">
        <v>3846</v>
      </c>
      <c r="K7289" t="s">
        <v>2338</v>
      </c>
      <c r="L7289">
        <v>0</v>
      </c>
      <c r="N7289" t="s">
        <v>199</v>
      </c>
      <c r="O7289">
        <v>0</v>
      </c>
      <c r="P7289">
        <v>44</v>
      </c>
      <c r="Q7289" t="s">
        <v>2337</v>
      </c>
      <c r="R7289" t="s">
        <v>201</v>
      </c>
      <c r="S7289">
        <v>0</v>
      </c>
      <c r="T7289">
        <v>0</v>
      </c>
      <c r="U7289">
        <v>232540</v>
      </c>
      <c r="V7289">
        <v>232540</v>
      </c>
    </row>
    <row r="7290" spans="1:22">
      <c r="A7290" t="s">
        <v>2333</v>
      </c>
      <c r="B7290">
        <v>21</v>
      </c>
      <c r="C7290" t="s">
        <v>78</v>
      </c>
      <c r="D7290">
        <v>75</v>
      </c>
      <c r="E7290" t="s">
        <v>2334</v>
      </c>
      <c r="F7290">
        <v>1005</v>
      </c>
      <c r="G7290" t="s">
        <v>78</v>
      </c>
      <c r="H7290">
        <v>2846</v>
      </c>
      <c r="I7290" t="s">
        <v>141</v>
      </c>
      <c r="J7290">
        <v>3846</v>
      </c>
      <c r="K7290" t="s">
        <v>2338</v>
      </c>
      <c r="L7290">
        <v>0</v>
      </c>
      <c r="N7290" t="s">
        <v>199</v>
      </c>
      <c r="O7290">
        <v>0</v>
      </c>
      <c r="P7290">
        <v>15</v>
      </c>
      <c r="Q7290" t="s">
        <v>264</v>
      </c>
      <c r="R7290" t="s">
        <v>201</v>
      </c>
      <c r="S7290">
        <v>0</v>
      </c>
      <c r="T7290">
        <v>0</v>
      </c>
      <c r="U7290">
        <v>15086</v>
      </c>
      <c r="V7290">
        <v>15086</v>
      </c>
    </row>
    <row r="7291" spans="1:22">
      <c r="A7291" t="s">
        <v>2333</v>
      </c>
      <c r="B7291">
        <v>21</v>
      </c>
      <c r="C7291" t="s">
        <v>78</v>
      </c>
      <c r="D7291">
        <v>75</v>
      </c>
      <c r="E7291" t="s">
        <v>2334</v>
      </c>
      <c r="F7291">
        <v>1005</v>
      </c>
      <c r="G7291" t="s">
        <v>78</v>
      </c>
      <c r="H7291">
        <v>2847</v>
      </c>
      <c r="I7291" t="s">
        <v>136</v>
      </c>
      <c r="J7291">
        <v>3847</v>
      </c>
      <c r="K7291" t="s">
        <v>606</v>
      </c>
      <c r="L7291">
        <v>0</v>
      </c>
      <c r="N7291" t="s">
        <v>266</v>
      </c>
      <c r="O7291">
        <v>9</v>
      </c>
      <c r="P7291">
        <v>9679</v>
      </c>
      <c r="Q7291" t="s">
        <v>338</v>
      </c>
      <c r="R7291" t="s">
        <v>201</v>
      </c>
      <c r="S7291">
        <v>1</v>
      </c>
      <c r="T7291">
        <v>1</v>
      </c>
      <c r="U7291">
        <v>139140</v>
      </c>
      <c r="V7291">
        <v>139140</v>
      </c>
    </row>
    <row r="7292" spans="1:22">
      <c r="A7292" t="s">
        <v>2333</v>
      </c>
      <c r="B7292">
        <v>21</v>
      </c>
      <c r="C7292" t="s">
        <v>78</v>
      </c>
      <c r="D7292">
        <v>75</v>
      </c>
      <c r="E7292" t="s">
        <v>2334</v>
      </c>
      <c r="F7292">
        <v>1005</v>
      </c>
      <c r="G7292" t="s">
        <v>78</v>
      </c>
      <c r="H7292">
        <v>2847</v>
      </c>
      <c r="I7292" t="s">
        <v>136</v>
      </c>
      <c r="J7292">
        <v>3847</v>
      </c>
      <c r="K7292" t="s">
        <v>606</v>
      </c>
      <c r="L7292">
        <v>0</v>
      </c>
      <c r="N7292" t="s">
        <v>249</v>
      </c>
      <c r="O7292">
        <v>10</v>
      </c>
      <c r="P7292">
        <v>3092</v>
      </c>
      <c r="Q7292" t="s">
        <v>750</v>
      </c>
      <c r="R7292" t="s">
        <v>201</v>
      </c>
      <c r="S7292">
        <v>1</v>
      </c>
      <c r="T7292">
        <v>1</v>
      </c>
      <c r="U7292">
        <v>143232</v>
      </c>
      <c r="V7292">
        <v>143232</v>
      </c>
    </row>
    <row r="7293" spans="1:22">
      <c r="A7293" t="s">
        <v>2333</v>
      </c>
      <c r="B7293">
        <v>21</v>
      </c>
      <c r="C7293" t="s">
        <v>78</v>
      </c>
      <c r="D7293">
        <v>75</v>
      </c>
      <c r="E7293" t="s">
        <v>2334</v>
      </c>
      <c r="F7293">
        <v>1005</v>
      </c>
      <c r="G7293" t="s">
        <v>78</v>
      </c>
      <c r="H7293">
        <v>2847</v>
      </c>
      <c r="I7293" t="s">
        <v>136</v>
      </c>
      <c r="J7293">
        <v>3847</v>
      </c>
      <c r="K7293" t="s">
        <v>606</v>
      </c>
      <c r="L7293">
        <v>0</v>
      </c>
      <c r="N7293" t="s">
        <v>341</v>
      </c>
      <c r="O7293">
        <v>1</v>
      </c>
      <c r="P7293">
        <v>1987</v>
      </c>
      <c r="Q7293" t="s">
        <v>607</v>
      </c>
      <c r="R7293" t="s">
        <v>201</v>
      </c>
      <c r="S7293">
        <v>1</v>
      </c>
      <c r="T7293">
        <v>1</v>
      </c>
      <c r="U7293">
        <v>119100</v>
      </c>
      <c r="V7293">
        <v>119100</v>
      </c>
    </row>
    <row r="7294" spans="1:22">
      <c r="A7294" t="s">
        <v>2333</v>
      </c>
      <c r="B7294">
        <v>21</v>
      </c>
      <c r="C7294" t="s">
        <v>78</v>
      </c>
      <c r="D7294">
        <v>75</v>
      </c>
      <c r="E7294" t="s">
        <v>2334</v>
      </c>
      <c r="F7294">
        <v>1005</v>
      </c>
      <c r="G7294" t="s">
        <v>78</v>
      </c>
      <c r="H7294">
        <v>2847</v>
      </c>
      <c r="I7294" t="s">
        <v>136</v>
      </c>
      <c r="J7294">
        <v>3847</v>
      </c>
      <c r="K7294" t="s">
        <v>606</v>
      </c>
      <c r="L7294">
        <v>0</v>
      </c>
      <c r="N7294" t="s">
        <v>372</v>
      </c>
      <c r="O7294">
        <v>4</v>
      </c>
      <c r="P7294">
        <v>1912</v>
      </c>
      <c r="Q7294" t="s">
        <v>608</v>
      </c>
      <c r="R7294" t="s">
        <v>201</v>
      </c>
      <c r="S7294">
        <v>1</v>
      </c>
      <c r="T7294">
        <v>1</v>
      </c>
      <c r="U7294">
        <v>77640</v>
      </c>
      <c r="V7294">
        <v>77640</v>
      </c>
    </row>
    <row r="7295" spans="1:22">
      <c r="A7295" t="s">
        <v>2333</v>
      </c>
      <c r="B7295">
        <v>21</v>
      </c>
      <c r="C7295" t="s">
        <v>78</v>
      </c>
      <c r="D7295">
        <v>75</v>
      </c>
      <c r="E7295" t="s">
        <v>2334</v>
      </c>
      <c r="F7295">
        <v>1005</v>
      </c>
      <c r="G7295" t="s">
        <v>78</v>
      </c>
      <c r="H7295">
        <v>2847</v>
      </c>
      <c r="I7295" t="s">
        <v>136</v>
      </c>
      <c r="J7295">
        <v>3847</v>
      </c>
      <c r="K7295" t="s">
        <v>606</v>
      </c>
      <c r="L7295">
        <v>0</v>
      </c>
      <c r="N7295" t="s">
        <v>199</v>
      </c>
      <c r="O7295">
        <v>0</v>
      </c>
      <c r="P7295">
        <v>44</v>
      </c>
      <c r="Q7295" t="s">
        <v>2337</v>
      </c>
      <c r="R7295" t="s">
        <v>201</v>
      </c>
      <c r="S7295">
        <v>0</v>
      </c>
      <c r="T7295">
        <v>0</v>
      </c>
      <c r="U7295">
        <v>268111</v>
      </c>
      <c r="V7295">
        <v>268111</v>
      </c>
    </row>
    <row r="7296" spans="1:22">
      <c r="A7296" t="s">
        <v>2333</v>
      </c>
      <c r="B7296">
        <v>21</v>
      </c>
      <c r="C7296" t="s">
        <v>78</v>
      </c>
      <c r="D7296">
        <v>75</v>
      </c>
      <c r="E7296" t="s">
        <v>2334</v>
      </c>
      <c r="F7296">
        <v>1005</v>
      </c>
      <c r="G7296" t="s">
        <v>78</v>
      </c>
      <c r="H7296">
        <v>2847</v>
      </c>
      <c r="I7296" t="s">
        <v>136</v>
      </c>
      <c r="J7296">
        <v>3847</v>
      </c>
      <c r="K7296" t="s">
        <v>606</v>
      </c>
      <c r="L7296">
        <v>0</v>
      </c>
      <c r="N7296" t="s">
        <v>199</v>
      </c>
      <c r="O7296">
        <v>0</v>
      </c>
      <c r="P7296">
        <v>15</v>
      </c>
      <c r="Q7296" t="s">
        <v>264</v>
      </c>
      <c r="R7296" t="s">
        <v>201</v>
      </c>
      <c r="S7296">
        <v>0</v>
      </c>
      <c r="T7296">
        <v>0</v>
      </c>
      <c r="U7296">
        <v>7961</v>
      </c>
      <c r="V7296">
        <v>7961</v>
      </c>
    </row>
    <row r="7297" spans="1:22">
      <c r="A7297" t="s">
        <v>2333</v>
      </c>
      <c r="B7297">
        <v>27</v>
      </c>
      <c r="C7297" t="s">
        <v>637</v>
      </c>
      <c r="D7297">
        <v>75</v>
      </c>
      <c r="E7297" t="s">
        <v>2334</v>
      </c>
      <c r="F7297">
        <v>1005</v>
      </c>
      <c r="G7297" t="s">
        <v>638</v>
      </c>
      <c r="H7297">
        <v>2855</v>
      </c>
      <c r="I7297" t="s">
        <v>53</v>
      </c>
      <c r="J7297">
        <v>3802</v>
      </c>
      <c r="K7297" t="s">
        <v>2339</v>
      </c>
      <c r="L7297">
        <v>4800</v>
      </c>
      <c r="M7297" t="s">
        <v>783</v>
      </c>
      <c r="N7297" t="s">
        <v>266</v>
      </c>
      <c r="O7297">
        <v>9</v>
      </c>
      <c r="P7297">
        <v>9651</v>
      </c>
      <c r="Q7297" t="s">
        <v>644</v>
      </c>
      <c r="R7297" t="s">
        <v>201</v>
      </c>
      <c r="S7297">
        <v>1</v>
      </c>
      <c r="T7297">
        <v>1</v>
      </c>
      <c r="U7297">
        <v>175512</v>
      </c>
      <c r="V7297">
        <v>175512</v>
      </c>
    </row>
    <row r="7298" spans="1:22">
      <c r="A7298" t="s">
        <v>2333</v>
      </c>
      <c r="B7298">
        <v>27</v>
      </c>
      <c r="C7298" t="s">
        <v>637</v>
      </c>
      <c r="D7298">
        <v>75</v>
      </c>
      <c r="E7298" t="s">
        <v>2334</v>
      </c>
      <c r="F7298">
        <v>1005</v>
      </c>
      <c r="G7298" t="s">
        <v>638</v>
      </c>
      <c r="H7298">
        <v>2855</v>
      </c>
      <c r="I7298" t="s">
        <v>53</v>
      </c>
      <c r="J7298">
        <v>3802</v>
      </c>
      <c r="K7298" t="s">
        <v>2339</v>
      </c>
      <c r="L7298">
        <v>4800</v>
      </c>
      <c r="M7298" t="s">
        <v>783</v>
      </c>
      <c r="N7298" t="s">
        <v>274</v>
      </c>
      <c r="O7298">
        <v>0</v>
      </c>
      <c r="P7298">
        <v>105</v>
      </c>
      <c r="Q7298" t="s">
        <v>658</v>
      </c>
      <c r="R7298" t="s">
        <v>201</v>
      </c>
      <c r="S7298">
        <v>1</v>
      </c>
      <c r="T7298">
        <v>1</v>
      </c>
      <c r="U7298">
        <v>158508</v>
      </c>
      <c r="V7298">
        <v>158508</v>
      </c>
    </row>
    <row r="7299" spans="1:22">
      <c r="A7299" t="s">
        <v>2333</v>
      </c>
      <c r="B7299">
        <v>27</v>
      </c>
      <c r="C7299" t="s">
        <v>637</v>
      </c>
      <c r="D7299">
        <v>75</v>
      </c>
      <c r="E7299" t="s">
        <v>2334</v>
      </c>
      <c r="F7299">
        <v>1005</v>
      </c>
      <c r="G7299" t="s">
        <v>638</v>
      </c>
      <c r="H7299">
        <v>2855</v>
      </c>
      <c r="I7299" t="s">
        <v>53</v>
      </c>
      <c r="J7299">
        <v>3802</v>
      </c>
      <c r="K7299" t="s">
        <v>2339</v>
      </c>
      <c r="L7299">
        <v>4800</v>
      </c>
      <c r="M7299" t="s">
        <v>783</v>
      </c>
      <c r="N7299" t="s">
        <v>274</v>
      </c>
      <c r="O7299">
        <v>0</v>
      </c>
      <c r="P7299">
        <v>105</v>
      </c>
      <c r="Q7299" t="s">
        <v>658</v>
      </c>
      <c r="R7299" t="s">
        <v>201</v>
      </c>
      <c r="S7299">
        <v>1</v>
      </c>
      <c r="T7299">
        <v>1</v>
      </c>
      <c r="U7299">
        <v>137532</v>
      </c>
      <c r="V7299">
        <v>137532</v>
      </c>
    </row>
    <row r="7300" spans="1:22">
      <c r="A7300" t="s">
        <v>2333</v>
      </c>
      <c r="B7300">
        <v>27</v>
      </c>
      <c r="C7300" t="s">
        <v>637</v>
      </c>
      <c r="D7300">
        <v>75</v>
      </c>
      <c r="E7300" t="s">
        <v>2334</v>
      </c>
      <c r="F7300">
        <v>1005</v>
      </c>
      <c r="G7300" t="s">
        <v>638</v>
      </c>
      <c r="H7300">
        <v>2855</v>
      </c>
      <c r="I7300" t="s">
        <v>53</v>
      </c>
      <c r="J7300">
        <v>3802</v>
      </c>
      <c r="K7300" t="s">
        <v>2339</v>
      </c>
      <c r="L7300">
        <v>4800</v>
      </c>
      <c r="M7300" t="s">
        <v>783</v>
      </c>
      <c r="N7300" t="s">
        <v>199</v>
      </c>
      <c r="O7300">
        <v>0</v>
      </c>
      <c r="P7300">
        <v>44</v>
      </c>
      <c r="Q7300" t="s">
        <v>2337</v>
      </c>
      <c r="R7300" t="s">
        <v>201</v>
      </c>
      <c r="S7300">
        <v>0</v>
      </c>
      <c r="T7300">
        <v>0</v>
      </c>
      <c r="U7300">
        <v>263881</v>
      </c>
      <c r="V7300">
        <v>263881</v>
      </c>
    </row>
    <row r="7301" spans="1:22">
      <c r="A7301" t="s">
        <v>2333</v>
      </c>
      <c r="B7301">
        <v>27</v>
      </c>
      <c r="C7301" t="s">
        <v>637</v>
      </c>
      <c r="D7301">
        <v>75</v>
      </c>
      <c r="E7301" t="s">
        <v>2334</v>
      </c>
      <c r="F7301">
        <v>1005</v>
      </c>
      <c r="G7301" t="s">
        <v>638</v>
      </c>
      <c r="H7301">
        <v>2855</v>
      </c>
      <c r="I7301" t="s">
        <v>53</v>
      </c>
      <c r="J7301">
        <v>3802</v>
      </c>
      <c r="K7301" t="s">
        <v>2339</v>
      </c>
      <c r="L7301">
        <v>4800</v>
      </c>
      <c r="M7301" t="s">
        <v>783</v>
      </c>
      <c r="N7301" t="s">
        <v>199</v>
      </c>
      <c r="O7301">
        <v>0</v>
      </c>
      <c r="P7301">
        <v>15</v>
      </c>
      <c r="Q7301" t="s">
        <v>264</v>
      </c>
      <c r="R7301" t="s">
        <v>201</v>
      </c>
      <c r="S7301">
        <v>0</v>
      </c>
      <c r="T7301">
        <v>0</v>
      </c>
      <c r="U7301">
        <v>13568</v>
      </c>
      <c r="V7301">
        <v>13568</v>
      </c>
    </row>
    <row r="7302" spans="1:22">
      <c r="A7302" t="s">
        <v>2333</v>
      </c>
      <c r="B7302">
        <v>27</v>
      </c>
      <c r="C7302" t="s">
        <v>637</v>
      </c>
      <c r="D7302">
        <v>75</v>
      </c>
      <c r="E7302" t="s">
        <v>2334</v>
      </c>
      <c r="F7302">
        <v>1005</v>
      </c>
      <c r="G7302" t="s">
        <v>638</v>
      </c>
      <c r="H7302">
        <v>2855</v>
      </c>
      <c r="I7302" t="s">
        <v>53</v>
      </c>
      <c r="J7302">
        <v>3802</v>
      </c>
      <c r="K7302" t="s">
        <v>2339</v>
      </c>
      <c r="L7302">
        <v>4801</v>
      </c>
      <c r="M7302" t="s">
        <v>2340</v>
      </c>
      <c r="N7302" t="s">
        <v>245</v>
      </c>
      <c r="O7302">
        <v>20</v>
      </c>
      <c r="P7302">
        <v>187</v>
      </c>
      <c r="Q7302" t="s">
        <v>656</v>
      </c>
      <c r="R7302" t="s">
        <v>201</v>
      </c>
      <c r="S7302">
        <v>1</v>
      </c>
      <c r="T7302">
        <v>1</v>
      </c>
      <c r="U7302">
        <v>121320</v>
      </c>
      <c r="V7302">
        <v>121320</v>
      </c>
    </row>
    <row r="7303" spans="1:22">
      <c r="A7303" t="s">
        <v>2333</v>
      </c>
      <c r="B7303">
        <v>27</v>
      </c>
      <c r="C7303" t="s">
        <v>637</v>
      </c>
      <c r="D7303">
        <v>75</v>
      </c>
      <c r="E7303" t="s">
        <v>2334</v>
      </c>
      <c r="F7303">
        <v>1005</v>
      </c>
      <c r="G7303" t="s">
        <v>638</v>
      </c>
      <c r="H7303">
        <v>2855</v>
      </c>
      <c r="I7303" t="s">
        <v>53</v>
      </c>
      <c r="J7303">
        <v>3802</v>
      </c>
      <c r="K7303" t="s">
        <v>2339</v>
      </c>
      <c r="L7303">
        <v>4801</v>
      </c>
      <c r="M7303" t="s">
        <v>2340</v>
      </c>
      <c r="N7303" t="s">
        <v>297</v>
      </c>
      <c r="O7303">
        <v>20</v>
      </c>
      <c r="P7303">
        <v>120</v>
      </c>
      <c r="Q7303" t="s">
        <v>657</v>
      </c>
      <c r="R7303" t="s">
        <v>201</v>
      </c>
      <c r="S7303">
        <v>1</v>
      </c>
      <c r="T7303">
        <v>1</v>
      </c>
      <c r="U7303">
        <v>130476</v>
      </c>
      <c r="V7303">
        <v>130476</v>
      </c>
    </row>
    <row r="7304" spans="1:22">
      <c r="A7304" t="s">
        <v>2333</v>
      </c>
      <c r="B7304">
        <v>27</v>
      </c>
      <c r="C7304" t="s">
        <v>637</v>
      </c>
      <c r="D7304">
        <v>75</v>
      </c>
      <c r="E7304" t="s">
        <v>2334</v>
      </c>
      <c r="F7304">
        <v>1005</v>
      </c>
      <c r="G7304" t="s">
        <v>638</v>
      </c>
      <c r="H7304">
        <v>2855</v>
      </c>
      <c r="I7304" t="s">
        <v>53</v>
      </c>
      <c r="J7304">
        <v>3802</v>
      </c>
      <c r="K7304" t="s">
        <v>2339</v>
      </c>
      <c r="L7304">
        <v>4801</v>
      </c>
      <c r="M7304" t="s">
        <v>2340</v>
      </c>
      <c r="N7304" t="s">
        <v>297</v>
      </c>
      <c r="O7304">
        <v>20</v>
      </c>
      <c r="P7304">
        <v>120</v>
      </c>
      <c r="Q7304" t="s">
        <v>657</v>
      </c>
      <c r="R7304" t="s">
        <v>201</v>
      </c>
      <c r="S7304">
        <v>1</v>
      </c>
      <c r="T7304">
        <v>1</v>
      </c>
      <c r="U7304">
        <v>126756</v>
      </c>
      <c r="V7304">
        <v>126756</v>
      </c>
    </row>
    <row r="7305" spans="1:22">
      <c r="A7305" t="s">
        <v>2333</v>
      </c>
      <c r="B7305">
        <v>27</v>
      </c>
      <c r="C7305" t="s">
        <v>637</v>
      </c>
      <c r="D7305">
        <v>75</v>
      </c>
      <c r="E7305" t="s">
        <v>2334</v>
      </c>
      <c r="F7305">
        <v>1005</v>
      </c>
      <c r="G7305" t="s">
        <v>638</v>
      </c>
      <c r="H7305">
        <v>2855</v>
      </c>
      <c r="I7305" t="s">
        <v>53</v>
      </c>
      <c r="J7305">
        <v>3802</v>
      </c>
      <c r="K7305" t="s">
        <v>2339</v>
      </c>
      <c r="L7305">
        <v>4801</v>
      </c>
      <c r="M7305" t="s">
        <v>2340</v>
      </c>
      <c r="N7305" t="s">
        <v>356</v>
      </c>
      <c r="O7305">
        <v>4</v>
      </c>
      <c r="P7305">
        <v>111</v>
      </c>
      <c r="Q7305" t="s">
        <v>648</v>
      </c>
      <c r="R7305" t="s">
        <v>201</v>
      </c>
      <c r="S7305">
        <v>2</v>
      </c>
      <c r="T7305">
        <v>1</v>
      </c>
      <c r="U7305">
        <v>129636</v>
      </c>
      <c r="V7305">
        <v>259272</v>
      </c>
    </row>
    <row r="7306" spans="1:22">
      <c r="A7306" t="s">
        <v>2333</v>
      </c>
      <c r="B7306">
        <v>27</v>
      </c>
      <c r="C7306" t="s">
        <v>637</v>
      </c>
      <c r="D7306">
        <v>75</v>
      </c>
      <c r="E7306" t="s">
        <v>2334</v>
      </c>
      <c r="F7306">
        <v>1005</v>
      </c>
      <c r="G7306" t="s">
        <v>638</v>
      </c>
      <c r="H7306">
        <v>2855</v>
      </c>
      <c r="I7306" t="s">
        <v>53</v>
      </c>
      <c r="J7306">
        <v>3802</v>
      </c>
      <c r="K7306" t="s">
        <v>2339</v>
      </c>
      <c r="L7306">
        <v>4801</v>
      </c>
      <c r="M7306" t="s">
        <v>2340</v>
      </c>
      <c r="N7306" t="s">
        <v>356</v>
      </c>
      <c r="O7306">
        <v>4</v>
      </c>
      <c r="P7306">
        <v>111</v>
      </c>
      <c r="Q7306" t="s">
        <v>648</v>
      </c>
      <c r="R7306" t="s">
        <v>201</v>
      </c>
      <c r="S7306">
        <v>1</v>
      </c>
      <c r="T7306">
        <v>1</v>
      </c>
      <c r="U7306">
        <v>97488</v>
      </c>
      <c r="V7306">
        <v>97488</v>
      </c>
    </row>
    <row r="7307" spans="1:22">
      <c r="A7307" t="s">
        <v>2333</v>
      </c>
      <c r="B7307">
        <v>27</v>
      </c>
      <c r="C7307" t="s">
        <v>637</v>
      </c>
      <c r="D7307">
        <v>75</v>
      </c>
      <c r="E7307" t="s">
        <v>2334</v>
      </c>
      <c r="F7307">
        <v>1005</v>
      </c>
      <c r="G7307" t="s">
        <v>638</v>
      </c>
      <c r="H7307">
        <v>2855</v>
      </c>
      <c r="I7307" t="s">
        <v>53</v>
      </c>
      <c r="J7307">
        <v>3802</v>
      </c>
      <c r="K7307" t="s">
        <v>2339</v>
      </c>
      <c r="L7307">
        <v>4801</v>
      </c>
      <c r="M7307" t="s">
        <v>2340</v>
      </c>
      <c r="N7307" t="s">
        <v>341</v>
      </c>
      <c r="O7307">
        <v>4</v>
      </c>
      <c r="P7307">
        <v>110</v>
      </c>
      <c r="Q7307" t="s">
        <v>359</v>
      </c>
      <c r="R7307" t="s">
        <v>201</v>
      </c>
      <c r="S7307">
        <v>1</v>
      </c>
      <c r="T7307">
        <v>1</v>
      </c>
      <c r="U7307">
        <v>119100</v>
      </c>
      <c r="V7307">
        <v>119100</v>
      </c>
    </row>
    <row r="7308" spans="1:22">
      <c r="A7308" t="s">
        <v>2333</v>
      </c>
      <c r="B7308">
        <v>27</v>
      </c>
      <c r="C7308" t="s">
        <v>637</v>
      </c>
      <c r="D7308">
        <v>75</v>
      </c>
      <c r="E7308" t="s">
        <v>2334</v>
      </c>
      <c r="F7308">
        <v>1005</v>
      </c>
      <c r="G7308" t="s">
        <v>638</v>
      </c>
      <c r="H7308">
        <v>2855</v>
      </c>
      <c r="I7308" t="s">
        <v>53</v>
      </c>
      <c r="J7308">
        <v>3802</v>
      </c>
      <c r="K7308" t="s">
        <v>2339</v>
      </c>
      <c r="L7308">
        <v>4801</v>
      </c>
      <c r="M7308" t="s">
        <v>2340</v>
      </c>
      <c r="N7308" t="s">
        <v>341</v>
      </c>
      <c r="O7308">
        <v>4</v>
      </c>
      <c r="P7308">
        <v>110</v>
      </c>
      <c r="Q7308" t="s">
        <v>359</v>
      </c>
      <c r="R7308" t="s">
        <v>201</v>
      </c>
      <c r="S7308">
        <v>1</v>
      </c>
      <c r="T7308">
        <v>1</v>
      </c>
      <c r="U7308">
        <v>98928</v>
      </c>
      <c r="V7308">
        <v>98928</v>
      </c>
    </row>
    <row r="7309" spans="1:22">
      <c r="A7309" t="s">
        <v>2333</v>
      </c>
      <c r="B7309">
        <v>27</v>
      </c>
      <c r="C7309" t="s">
        <v>637</v>
      </c>
      <c r="D7309">
        <v>75</v>
      </c>
      <c r="E7309" t="s">
        <v>2334</v>
      </c>
      <c r="F7309">
        <v>1005</v>
      </c>
      <c r="G7309" t="s">
        <v>638</v>
      </c>
      <c r="H7309">
        <v>2855</v>
      </c>
      <c r="I7309" t="s">
        <v>53</v>
      </c>
      <c r="J7309">
        <v>3802</v>
      </c>
      <c r="K7309" t="s">
        <v>2339</v>
      </c>
      <c r="L7309">
        <v>4801</v>
      </c>
      <c r="M7309" t="s">
        <v>2340</v>
      </c>
      <c r="N7309" t="s">
        <v>341</v>
      </c>
      <c r="O7309">
        <v>4</v>
      </c>
      <c r="P7309">
        <v>110</v>
      </c>
      <c r="Q7309" t="s">
        <v>359</v>
      </c>
      <c r="R7309" t="s">
        <v>201</v>
      </c>
      <c r="S7309">
        <v>1</v>
      </c>
      <c r="T7309">
        <v>1</v>
      </c>
      <c r="U7309">
        <v>74172</v>
      </c>
      <c r="V7309">
        <v>74172</v>
      </c>
    </row>
    <row r="7310" spans="1:22">
      <c r="A7310" t="s">
        <v>2333</v>
      </c>
      <c r="B7310">
        <v>27</v>
      </c>
      <c r="C7310" t="s">
        <v>637</v>
      </c>
      <c r="D7310">
        <v>75</v>
      </c>
      <c r="E7310" t="s">
        <v>2334</v>
      </c>
      <c r="F7310">
        <v>1005</v>
      </c>
      <c r="G7310" t="s">
        <v>638</v>
      </c>
      <c r="H7310">
        <v>2855</v>
      </c>
      <c r="I7310" t="s">
        <v>53</v>
      </c>
      <c r="J7310">
        <v>3802</v>
      </c>
      <c r="K7310" t="s">
        <v>2339</v>
      </c>
      <c r="L7310">
        <v>4801</v>
      </c>
      <c r="M7310" t="s">
        <v>2340</v>
      </c>
      <c r="N7310" t="s">
        <v>341</v>
      </c>
      <c r="O7310">
        <v>4</v>
      </c>
      <c r="P7310">
        <v>110</v>
      </c>
      <c r="Q7310" t="s">
        <v>359</v>
      </c>
      <c r="R7310" t="s">
        <v>201</v>
      </c>
      <c r="S7310">
        <v>1</v>
      </c>
      <c r="T7310">
        <v>1</v>
      </c>
      <c r="U7310">
        <v>68616</v>
      </c>
      <c r="V7310">
        <v>68616</v>
      </c>
    </row>
    <row r="7311" spans="1:22">
      <c r="A7311" t="s">
        <v>2333</v>
      </c>
      <c r="B7311">
        <v>27</v>
      </c>
      <c r="C7311" t="s">
        <v>637</v>
      </c>
      <c r="D7311">
        <v>75</v>
      </c>
      <c r="E7311" t="s">
        <v>2334</v>
      </c>
      <c r="F7311">
        <v>1005</v>
      </c>
      <c r="G7311" t="s">
        <v>638</v>
      </c>
      <c r="H7311">
        <v>2855</v>
      </c>
      <c r="I7311" t="s">
        <v>53</v>
      </c>
      <c r="J7311">
        <v>3802</v>
      </c>
      <c r="K7311" t="s">
        <v>2339</v>
      </c>
      <c r="L7311">
        <v>4801</v>
      </c>
      <c r="M7311" t="s">
        <v>2340</v>
      </c>
      <c r="N7311" t="s">
        <v>199</v>
      </c>
      <c r="O7311">
        <v>0</v>
      </c>
      <c r="P7311">
        <v>44</v>
      </c>
      <c r="Q7311" t="s">
        <v>2337</v>
      </c>
      <c r="R7311" t="s">
        <v>201</v>
      </c>
      <c r="S7311">
        <v>0</v>
      </c>
      <c r="T7311">
        <v>0</v>
      </c>
      <c r="U7311">
        <v>613394</v>
      </c>
      <c r="V7311">
        <v>613394</v>
      </c>
    </row>
    <row r="7312" spans="1:22">
      <c r="A7312" t="s">
        <v>2333</v>
      </c>
      <c r="B7312">
        <v>27</v>
      </c>
      <c r="C7312" t="s">
        <v>637</v>
      </c>
      <c r="D7312">
        <v>75</v>
      </c>
      <c r="E7312" t="s">
        <v>2334</v>
      </c>
      <c r="F7312">
        <v>1005</v>
      </c>
      <c r="G7312" t="s">
        <v>638</v>
      </c>
      <c r="H7312">
        <v>2855</v>
      </c>
      <c r="I7312" t="s">
        <v>53</v>
      </c>
      <c r="J7312">
        <v>3802</v>
      </c>
      <c r="K7312" t="s">
        <v>2339</v>
      </c>
      <c r="L7312">
        <v>4801</v>
      </c>
      <c r="M7312" t="s">
        <v>2340</v>
      </c>
      <c r="N7312" t="s">
        <v>199</v>
      </c>
      <c r="O7312">
        <v>0</v>
      </c>
      <c r="P7312">
        <v>15</v>
      </c>
      <c r="Q7312" t="s">
        <v>264</v>
      </c>
      <c r="R7312" t="s">
        <v>201</v>
      </c>
      <c r="S7312">
        <v>0</v>
      </c>
      <c r="T7312">
        <v>0</v>
      </c>
      <c r="U7312">
        <v>13193</v>
      </c>
      <c r="V7312">
        <v>13193</v>
      </c>
    </row>
    <row r="7313" spans="1:22">
      <c r="A7313" t="s">
        <v>2333</v>
      </c>
      <c r="B7313">
        <v>27</v>
      </c>
      <c r="C7313" t="s">
        <v>637</v>
      </c>
      <c r="D7313">
        <v>75</v>
      </c>
      <c r="E7313" t="s">
        <v>2334</v>
      </c>
      <c r="F7313">
        <v>1005</v>
      </c>
      <c r="G7313" t="s">
        <v>638</v>
      </c>
      <c r="H7313">
        <v>2855</v>
      </c>
      <c r="I7313" t="s">
        <v>53</v>
      </c>
      <c r="J7313">
        <v>3802</v>
      </c>
      <c r="K7313" t="s">
        <v>2339</v>
      </c>
      <c r="L7313">
        <v>4802</v>
      </c>
      <c r="M7313" t="s">
        <v>2341</v>
      </c>
      <c r="N7313" t="s">
        <v>245</v>
      </c>
      <c r="O7313">
        <v>20</v>
      </c>
      <c r="P7313">
        <v>187</v>
      </c>
      <c r="Q7313" t="s">
        <v>656</v>
      </c>
      <c r="R7313" t="s">
        <v>201</v>
      </c>
      <c r="S7313">
        <v>1</v>
      </c>
      <c r="T7313">
        <v>1</v>
      </c>
      <c r="U7313">
        <v>141132</v>
      </c>
      <c r="V7313">
        <v>141132</v>
      </c>
    </row>
    <row r="7314" spans="1:22">
      <c r="A7314" t="s">
        <v>2333</v>
      </c>
      <c r="B7314">
        <v>27</v>
      </c>
      <c r="C7314" t="s">
        <v>637</v>
      </c>
      <c r="D7314">
        <v>75</v>
      </c>
      <c r="E7314" t="s">
        <v>2334</v>
      </c>
      <c r="F7314">
        <v>1005</v>
      </c>
      <c r="G7314" t="s">
        <v>638</v>
      </c>
      <c r="H7314">
        <v>2855</v>
      </c>
      <c r="I7314" t="s">
        <v>53</v>
      </c>
      <c r="J7314">
        <v>3802</v>
      </c>
      <c r="K7314" t="s">
        <v>2339</v>
      </c>
      <c r="L7314">
        <v>4802</v>
      </c>
      <c r="M7314" t="s">
        <v>2341</v>
      </c>
      <c r="N7314" t="s">
        <v>297</v>
      </c>
      <c r="O7314">
        <v>20</v>
      </c>
      <c r="P7314">
        <v>120</v>
      </c>
      <c r="Q7314" t="s">
        <v>657</v>
      </c>
      <c r="R7314" t="s">
        <v>201</v>
      </c>
      <c r="S7314">
        <v>1</v>
      </c>
      <c r="T7314">
        <v>1</v>
      </c>
      <c r="U7314">
        <v>106272</v>
      </c>
      <c r="V7314">
        <v>106272</v>
      </c>
    </row>
    <row r="7315" spans="1:22">
      <c r="A7315" t="s">
        <v>2333</v>
      </c>
      <c r="B7315">
        <v>27</v>
      </c>
      <c r="C7315" t="s">
        <v>637</v>
      </c>
      <c r="D7315">
        <v>75</v>
      </c>
      <c r="E7315" t="s">
        <v>2334</v>
      </c>
      <c r="F7315">
        <v>1005</v>
      </c>
      <c r="G7315" t="s">
        <v>638</v>
      </c>
      <c r="H7315">
        <v>2855</v>
      </c>
      <c r="I7315" t="s">
        <v>53</v>
      </c>
      <c r="J7315">
        <v>3802</v>
      </c>
      <c r="K7315" t="s">
        <v>2339</v>
      </c>
      <c r="L7315">
        <v>4802</v>
      </c>
      <c r="M7315" t="s">
        <v>2341</v>
      </c>
      <c r="N7315" t="s">
        <v>356</v>
      </c>
      <c r="O7315">
        <v>4</v>
      </c>
      <c r="P7315">
        <v>111</v>
      </c>
      <c r="Q7315" t="s">
        <v>648</v>
      </c>
      <c r="R7315" t="s">
        <v>201</v>
      </c>
      <c r="S7315">
        <v>1</v>
      </c>
      <c r="T7315">
        <v>1</v>
      </c>
      <c r="U7315">
        <v>102516</v>
      </c>
      <c r="V7315">
        <v>102516</v>
      </c>
    </row>
    <row r="7316" spans="1:22">
      <c r="A7316" t="s">
        <v>2333</v>
      </c>
      <c r="B7316">
        <v>27</v>
      </c>
      <c r="C7316" t="s">
        <v>637</v>
      </c>
      <c r="D7316">
        <v>75</v>
      </c>
      <c r="E7316" t="s">
        <v>2334</v>
      </c>
      <c r="F7316">
        <v>1005</v>
      </c>
      <c r="G7316" t="s">
        <v>638</v>
      </c>
      <c r="H7316">
        <v>2855</v>
      </c>
      <c r="I7316" t="s">
        <v>53</v>
      </c>
      <c r="J7316">
        <v>3802</v>
      </c>
      <c r="K7316" t="s">
        <v>2339</v>
      </c>
      <c r="L7316">
        <v>4802</v>
      </c>
      <c r="M7316" t="s">
        <v>2341</v>
      </c>
      <c r="N7316" t="s">
        <v>360</v>
      </c>
      <c r="O7316">
        <v>1</v>
      </c>
      <c r="P7316">
        <v>109</v>
      </c>
      <c r="Q7316" t="s">
        <v>361</v>
      </c>
      <c r="R7316" t="s">
        <v>201</v>
      </c>
      <c r="S7316">
        <v>1</v>
      </c>
      <c r="T7316">
        <v>1</v>
      </c>
      <c r="U7316">
        <v>58764</v>
      </c>
      <c r="V7316">
        <v>58764</v>
      </c>
    </row>
    <row r="7317" spans="1:22">
      <c r="A7317" t="s">
        <v>2333</v>
      </c>
      <c r="B7317">
        <v>27</v>
      </c>
      <c r="C7317" t="s">
        <v>637</v>
      </c>
      <c r="D7317">
        <v>75</v>
      </c>
      <c r="E7317" t="s">
        <v>2334</v>
      </c>
      <c r="F7317">
        <v>1005</v>
      </c>
      <c r="G7317" t="s">
        <v>638</v>
      </c>
      <c r="H7317">
        <v>2855</v>
      </c>
      <c r="I7317" t="s">
        <v>53</v>
      </c>
      <c r="J7317">
        <v>3802</v>
      </c>
      <c r="K7317" t="s">
        <v>2339</v>
      </c>
      <c r="L7317">
        <v>4802</v>
      </c>
      <c r="M7317" t="s">
        <v>2341</v>
      </c>
      <c r="N7317" t="s">
        <v>199</v>
      </c>
      <c r="O7317">
        <v>0</v>
      </c>
      <c r="P7317">
        <v>44</v>
      </c>
      <c r="Q7317" t="s">
        <v>2337</v>
      </c>
      <c r="R7317" t="s">
        <v>201</v>
      </c>
      <c r="S7317">
        <v>0</v>
      </c>
      <c r="T7317">
        <v>0</v>
      </c>
      <c r="U7317">
        <v>228699</v>
      </c>
      <c r="V7317">
        <v>228699</v>
      </c>
    </row>
    <row r="7318" spans="1:22">
      <c r="A7318" t="s">
        <v>2333</v>
      </c>
      <c r="B7318">
        <v>27</v>
      </c>
      <c r="C7318" t="s">
        <v>637</v>
      </c>
      <c r="D7318">
        <v>75</v>
      </c>
      <c r="E7318" t="s">
        <v>2334</v>
      </c>
      <c r="F7318">
        <v>1005</v>
      </c>
      <c r="G7318" t="s">
        <v>638</v>
      </c>
      <c r="H7318">
        <v>2855</v>
      </c>
      <c r="I7318" t="s">
        <v>53</v>
      </c>
      <c r="J7318">
        <v>3802</v>
      </c>
      <c r="K7318" t="s">
        <v>2339</v>
      </c>
      <c r="L7318">
        <v>4802</v>
      </c>
      <c r="M7318" t="s">
        <v>2341</v>
      </c>
      <c r="N7318" t="s">
        <v>199</v>
      </c>
      <c r="O7318">
        <v>0</v>
      </c>
      <c r="P7318">
        <v>15</v>
      </c>
      <c r="Q7318" t="s">
        <v>264</v>
      </c>
      <c r="R7318" t="s">
        <v>201</v>
      </c>
      <c r="S7318">
        <v>0</v>
      </c>
      <c r="T7318">
        <v>0</v>
      </c>
      <c r="U7318">
        <v>8098</v>
      </c>
      <c r="V7318">
        <v>8098</v>
      </c>
    </row>
    <row r="7319" spans="1:22">
      <c r="A7319" t="s">
        <v>2333</v>
      </c>
      <c r="B7319">
        <v>27</v>
      </c>
      <c r="C7319" t="s">
        <v>637</v>
      </c>
      <c r="D7319">
        <v>75</v>
      </c>
      <c r="E7319" t="s">
        <v>2334</v>
      </c>
      <c r="F7319">
        <v>1005</v>
      </c>
      <c r="G7319" t="s">
        <v>638</v>
      </c>
      <c r="H7319">
        <v>2855</v>
      </c>
      <c r="I7319" t="s">
        <v>53</v>
      </c>
      <c r="J7319">
        <v>3802</v>
      </c>
      <c r="K7319" t="s">
        <v>2339</v>
      </c>
      <c r="L7319">
        <v>4803</v>
      </c>
      <c r="M7319" t="s">
        <v>2342</v>
      </c>
      <c r="N7319" t="s">
        <v>245</v>
      </c>
      <c r="O7319">
        <v>20</v>
      </c>
      <c r="P7319">
        <v>187</v>
      </c>
      <c r="Q7319" t="s">
        <v>656</v>
      </c>
      <c r="R7319" t="s">
        <v>201</v>
      </c>
      <c r="S7319">
        <v>1</v>
      </c>
      <c r="T7319">
        <v>1</v>
      </c>
      <c r="U7319">
        <v>141132</v>
      </c>
      <c r="V7319">
        <v>141132</v>
      </c>
    </row>
    <row r="7320" spans="1:22">
      <c r="A7320" t="s">
        <v>2333</v>
      </c>
      <c r="B7320">
        <v>27</v>
      </c>
      <c r="C7320" t="s">
        <v>637</v>
      </c>
      <c r="D7320">
        <v>75</v>
      </c>
      <c r="E7320" t="s">
        <v>2334</v>
      </c>
      <c r="F7320">
        <v>1005</v>
      </c>
      <c r="G7320" t="s">
        <v>638</v>
      </c>
      <c r="H7320">
        <v>2855</v>
      </c>
      <c r="I7320" t="s">
        <v>53</v>
      </c>
      <c r="J7320">
        <v>3802</v>
      </c>
      <c r="K7320" t="s">
        <v>2339</v>
      </c>
      <c r="L7320">
        <v>4803</v>
      </c>
      <c r="M7320" t="s">
        <v>2342</v>
      </c>
      <c r="N7320" t="s">
        <v>297</v>
      </c>
      <c r="O7320">
        <v>20</v>
      </c>
      <c r="P7320">
        <v>120</v>
      </c>
      <c r="Q7320" t="s">
        <v>657</v>
      </c>
      <c r="R7320" t="s">
        <v>201</v>
      </c>
      <c r="S7320">
        <v>1</v>
      </c>
      <c r="T7320">
        <v>1</v>
      </c>
      <c r="U7320">
        <v>101628</v>
      </c>
      <c r="V7320">
        <v>101628</v>
      </c>
    </row>
    <row r="7321" spans="1:22">
      <c r="A7321" t="s">
        <v>2333</v>
      </c>
      <c r="B7321">
        <v>27</v>
      </c>
      <c r="C7321" t="s">
        <v>637</v>
      </c>
      <c r="D7321">
        <v>75</v>
      </c>
      <c r="E7321" t="s">
        <v>2334</v>
      </c>
      <c r="F7321">
        <v>1005</v>
      </c>
      <c r="G7321" t="s">
        <v>638</v>
      </c>
      <c r="H7321">
        <v>2855</v>
      </c>
      <c r="I7321" t="s">
        <v>53</v>
      </c>
      <c r="J7321">
        <v>3802</v>
      </c>
      <c r="K7321" t="s">
        <v>2339</v>
      </c>
      <c r="L7321">
        <v>4803</v>
      </c>
      <c r="M7321" t="s">
        <v>2342</v>
      </c>
      <c r="N7321" t="s">
        <v>356</v>
      </c>
      <c r="O7321">
        <v>4</v>
      </c>
      <c r="P7321">
        <v>111</v>
      </c>
      <c r="Q7321" t="s">
        <v>648</v>
      </c>
      <c r="R7321" t="s">
        <v>201</v>
      </c>
      <c r="S7321">
        <v>1</v>
      </c>
      <c r="T7321">
        <v>1</v>
      </c>
      <c r="U7321">
        <v>90144</v>
      </c>
      <c r="V7321">
        <v>90144</v>
      </c>
    </row>
    <row r="7322" spans="1:22">
      <c r="A7322" t="s">
        <v>2333</v>
      </c>
      <c r="B7322">
        <v>27</v>
      </c>
      <c r="C7322" t="s">
        <v>637</v>
      </c>
      <c r="D7322">
        <v>75</v>
      </c>
      <c r="E7322" t="s">
        <v>2334</v>
      </c>
      <c r="F7322">
        <v>1005</v>
      </c>
      <c r="G7322" t="s">
        <v>638</v>
      </c>
      <c r="H7322">
        <v>2855</v>
      </c>
      <c r="I7322" t="s">
        <v>53</v>
      </c>
      <c r="J7322">
        <v>3802</v>
      </c>
      <c r="K7322" t="s">
        <v>2339</v>
      </c>
      <c r="L7322">
        <v>4803</v>
      </c>
      <c r="M7322" t="s">
        <v>2342</v>
      </c>
      <c r="N7322" t="s">
        <v>341</v>
      </c>
      <c r="O7322">
        <v>4</v>
      </c>
      <c r="P7322">
        <v>110</v>
      </c>
      <c r="Q7322" t="s">
        <v>359</v>
      </c>
      <c r="R7322" t="s">
        <v>201</v>
      </c>
      <c r="S7322">
        <v>1</v>
      </c>
      <c r="T7322">
        <v>1</v>
      </c>
      <c r="U7322">
        <v>119100</v>
      </c>
      <c r="V7322">
        <v>119100</v>
      </c>
    </row>
    <row r="7323" spans="1:22">
      <c r="A7323" t="s">
        <v>2333</v>
      </c>
      <c r="B7323">
        <v>27</v>
      </c>
      <c r="C7323" t="s">
        <v>637</v>
      </c>
      <c r="D7323">
        <v>75</v>
      </c>
      <c r="E7323" t="s">
        <v>2334</v>
      </c>
      <c r="F7323">
        <v>1005</v>
      </c>
      <c r="G7323" t="s">
        <v>638</v>
      </c>
      <c r="H7323">
        <v>2855</v>
      </c>
      <c r="I7323" t="s">
        <v>53</v>
      </c>
      <c r="J7323">
        <v>3802</v>
      </c>
      <c r="K7323" t="s">
        <v>2339</v>
      </c>
      <c r="L7323">
        <v>4803</v>
      </c>
      <c r="M7323" t="s">
        <v>2342</v>
      </c>
      <c r="N7323" t="s">
        <v>199</v>
      </c>
      <c r="O7323">
        <v>0</v>
      </c>
      <c r="P7323">
        <v>44</v>
      </c>
      <c r="Q7323" t="s">
        <v>2337</v>
      </c>
      <c r="R7323" t="s">
        <v>201</v>
      </c>
      <c r="S7323">
        <v>0</v>
      </c>
      <c r="T7323">
        <v>0</v>
      </c>
      <c r="U7323">
        <v>252941</v>
      </c>
      <c r="V7323">
        <v>252941</v>
      </c>
    </row>
    <row r="7324" spans="1:22">
      <c r="A7324" t="s">
        <v>2333</v>
      </c>
      <c r="B7324">
        <v>27</v>
      </c>
      <c r="C7324" t="s">
        <v>637</v>
      </c>
      <c r="D7324">
        <v>75</v>
      </c>
      <c r="E7324" t="s">
        <v>2334</v>
      </c>
      <c r="F7324">
        <v>1005</v>
      </c>
      <c r="G7324" t="s">
        <v>638</v>
      </c>
      <c r="H7324">
        <v>2855</v>
      </c>
      <c r="I7324" t="s">
        <v>53</v>
      </c>
      <c r="J7324">
        <v>3802</v>
      </c>
      <c r="K7324" t="s">
        <v>2339</v>
      </c>
      <c r="L7324">
        <v>4803</v>
      </c>
      <c r="M7324" t="s">
        <v>2342</v>
      </c>
      <c r="N7324" t="s">
        <v>199</v>
      </c>
      <c r="O7324">
        <v>0</v>
      </c>
      <c r="P7324">
        <v>15</v>
      </c>
      <c r="Q7324" t="s">
        <v>264</v>
      </c>
      <c r="R7324" t="s">
        <v>201</v>
      </c>
      <c r="S7324">
        <v>0</v>
      </c>
      <c r="T7324">
        <v>0</v>
      </c>
      <c r="U7324">
        <v>3677</v>
      </c>
      <c r="V7324">
        <v>3677</v>
      </c>
    </row>
    <row r="7325" spans="1:22">
      <c r="A7325" t="s">
        <v>2333</v>
      </c>
      <c r="B7325">
        <v>27</v>
      </c>
      <c r="C7325" t="s">
        <v>637</v>
      </c>
      <c r="D7325">
        <v>75</v>
      </c>
      <c r="E7325" t="s">
        <v>2334</v>
      </c>
      <c r="F7325">
        <v>1005</v>
      </c>
      <c r="G7325" t="s">
        <v>638</v>
      </c>
      <c r="H7325">
        <v>2855</v>
      </c>
      <c r="I7325" t="s">
        <v>53</v>
      </c>
      <c r="J7325">
        <v>3802</v>
      </c>
      <c r="K7325" t="s">
        <v>2339</v>
      </c>
      <c r="L7325">
        <v>4804</v>
      </c>
      <c r="M7325" t="s">
        <v>2343</v>
      </c>
      <c r="N7325" t="s">
        <v>633</v>
      </c>
      <c r="O7325">
        <v>4</v>
      </c>
      <c r="P7325">
        <v>1143</v>
      </c>
      <c r="Q7325" t="s">
        <v>683</v>
      </c>
      <c r="R7325" t="s">
        <v>201</v>
      </c>
      <c r="S7325">
        <v>1</v>
      </c>
      <c r="T7325">
        <v>1</v>
      </c>
      <c r="U7325">
        <v>98460</v>
      </c>
      <c r="V7325">
        <v>98460</v>
      </c>
    </row>
    <row r="7326" spans="1:22">
      <c r="A7326" t="s">
        <v>2333</v>
      </c>
      <c r="B7326">
        <v>27</v>
      </c>
      <c r="C7326" t="s">
        <v>637</v>
      </c>
      <c r="D7326">
        <v>75</v>
      </c>
      <c r="E7326" t="s">
        <v>2334</v>
      </c>
      <c r="F7326">
        <v>1005</v>
      </c>
      <c r="G7326" t="s">
        <v>638</v>
      </c>
      <c r="H7326">
        <v>2855</v>
      </c>
      <c r="I7326" t="s">
        <v>53</v>
      </c>
      <c r="J7326">
        <v>3802</v>
      </c>
      <c r="K7326" t="s">
        <v>2339</v>
      </c>
      <c r="L7326">
        <v>4804</v>
      </c>
      <c r="M7326" t="s">
        <v>2343</v>
      </c>
      <c r="N7326" t="s">
        <v>245</v>
      </c>
      <c r="O7326">
        <v>20</v>
      </c>
      <c r="P7326">
        <v>187</v>
      </c>
      <c r="Q7326" t="s">
        <v>656</v>
      </c>
      <c r="R7326" t="s">
        <v>201</v>
      </c>
      <c r="S7326">
        <v>1</v>
      </c>
      <c r="T7326">
        <v>1</v>
      </c>
      <c r="U7326">
        <v>141132</v>
      </c>
      <c r="V7326">
        <v>141132</v>
      </c>
    </row>
    <row r="7327" spans="1:22">
      <c r="A7327" t="s">
        <v>2333</v>
      </c>
      <c r="B7327">
        <v>27</v>
      </c>
      <c r="C7327" t="s">
        <v>637</v>
      </c>
      <c r="D7327">
        <v>75</v>
      </c>
      <c r="E7327" t="s">
        <v>2334</v>
      </c>
      <c r="F7327">
        <v>1005</v>
      </c>
      <c r="G7327" t="s">
        <v>638</v>
      </c>
      <c r="H7327">
        <v>2855</v>
      </c>
      <c r="I7327" t="s">
        <v>53</v>
      </c>
      <c r="J7327">
        <v>3802</v>
      </c>
      <c r="K7327" t="s">
        <v>2339</v>
      </c>
      <c r="L7327">
        <v>4804</v>
      </c>
      <c r="M7327" t="s">
        <v>2343</v>
      </c>
      <c r="N7327" t="s">
        <v>341</v>
      </c>
      <c r="O7327">
        <v>4</v>
      </c>
      <c r="P7327">
        <v>110</v>
      </c>
      <c r="Q7327" t="s">
        <v>359</v>
      </c>
      <c r="R7327" t="s">
        <v>201</v>
      </c>
      <c r="S7327">
        <v>1</v>
      </c>
      <c r="T7327">
        <v>1</v>
      </c>
      <c r="U7327">
        <v>119100</v>
      </c>
      <c r="V7327">
        <v>119100</v>
      </c>
    </row>
    <row r="7328" spans="1:22">
      <c r="A7328" t="s">
        <v>2333</v>
      </c>
      <c r="B7328">
        <v>27</v>
      </c>
      <c r="C7328" t="s">
        <v>637</v>
      </c>
      <c r="D7328">
        <v>75</v>
      </c>
      <c r="E7328" t="s">
        <v>2334</v>
      </c>
      <c r="F7328">
        <v>1005</v>
      </c>
      <c r="G7328" t="s">
        <v>638</v>
      </c>
      <c r="H7328">
        <v>2855</v>
      </c>
      <c r="I7328" t="s">
        <v>53</v>
      </c>
      <c r="J7328">
        <v>3802</v>
      </c>
      <c r="K7328" t="s">
        <v>2339</v>
      </c>
      <c r="L7328">
        <v>4804</v>
      </c>
      <c r="M7328" t="s">
        <v>2343</v>
      </c>
      <c r="N7328" t="s">
        <v>199</v>
      </c>
      <c r="O7328">
        <v>0</v>
      </c>
      <c r="P7328">
        <v>44</v>
      </c>
      <c r="Q7328" t="s">
        <v>2337</v>
      </c>
      <c r="R7328" t="s">
        <v>201</v>
      </c>
      <c r="S7328">
        <v>0</v>
      </c>
      <c r="T7328">
        <v>0</v>
      </c>
      <c r="U7328">
        <v>200723</v>
      </c>
      <c r="V7328">
        <v>200723</v>
      </c>
    </row>
    <row r="7329" spans="1:22">
      <c r="A7329" t="s">
        <v>2333</v>
      </c>
      <c r="B7329">
        <v>27</v>
      </c>
      <c r="C7329" t="s">
        <v>637</v>
      </c>
      <c r="D7329">
        <v>75</v>
      </c>
      <c r="E7329" t="s">
        <v>2334</v>
      </c>
      <c r="F7329">
        <v>1005</v>
      </c>
      <c r="G7329" t="s">
        <v>638</v>
      </c>
      <c r="H7329">
        <v>2855</v>
      </c>
      <c r="I7329" t="s">
        <v>53</v>
      </c>
      <c r="J7329">
        <v>3802</v>
      </c>
      <c r="K7329" t="s">
        <v>2339</v>
      </c>
      <c r="L7329">
        <v>4805</v>
      </c>
      <c r="M7329" t="s">
        <v>2344</v>
      </c>
      <c r="N7329" t="s">
        <v>245</v>
      </c>
      <c r="O7329">
        <v>20</v>
      </c>
      <c r="P7329">
        <v>187</v>
      </c>
      <c r="Q7329" t="s">
        <v>656</v>
      </c>
      <c r="R7329" t="s">
        <v>201</v>
      </c>
      <c r="S7329">
        <v>1</v>
      </c>
      <c r="T7329">
        <v>1</v>
      </c>
      <c r="U7329">
        <v>121320</v>
      </c>
      <c r="V7329">
        <v>121320</v>
      </c>
    </row>
    <row r="7330" spans="1:22">
      <c r="A7330" t="s">
        <v>2333</v>
      </c>
      <c r="B7330">
        <v>27</v>
      </c>
      <c r="C7330" t="s">
        <v>637</v>
      </c>
      <c r="D7330">
        <v>75</v>
      </c>
      <c r="E7330" t="s">
        <v>2334</v>
      </c>
      <c r="F7330">
        <v>1005</v>
      </c>
      <c r="G7330" t="s">
        <v>638</v>
      </c>
      <c r="H7330">
        <v>2855</v>
      </c>
      <c r="I7330" t="s">
        <v>53</v>
      </c>
      <c r="J7330">
        <v>3802</v>
      </c>
      <c r="K7330" t="s">
        <v>2339</v>
      </c>
      <c r="L7330">
        <v>4805</v>
      </c>
      <c r="M7330" t="s">
        <v>2344</v>
      </c>
      <c r="N7330" t="s">
        <v>297</v>
      </c>
      <c r="O7330">
        <v>20</v>
      </c>
      <c r="P7330">
        <v>120</v>
      </c>
      <c r="Q7330" t="s">
        <v>657</v>
      </c>
      <c r="R7330" t="s">
        <v>201</v>
      </c>
      <c r="S7330">
        <v>1</v>
      </c>
      <c r="T7330">
        <v>1</v>
      </c>
      <c r="U7330">
        <v>126756</v>
      </c>
      <c r="V7330">
        <v>126756</v>
      </c>
    </row>
    <row r="7331" spans="1:22">
      <c r="A7331" t="s">
        <v>2333</v>
      </c>
      <c r="B7331">
        <v>27</v>
      </c>
      <c r="C7331" t="s">
        <v>637</v>
      </c>
      <c r="D7331">
        <v>75</v>
      </c>
      <c r="E7331" t="s">
        <v>2334</v>
      </c>
      <c r="F7331">
        <v>1005</v>
      </c>
      <c r="G7331" t="s">
        <v>638</v>
      </c>
      <c r="H7331">
        <v>2855</v>
      </c>
      <c r="I7331" t="s">
        <v>53</v>
      </c>
      <c r="J7331">
        <v>3802</v>
      </c>
      <c r="K7331" t="s">
        <v>2339</v>
      </c>
      <c r="L7331">
        <v>4805</v>
      </c>
      <c r="M7331" t="s">
        <v>2344</v>
      </c>
      <c r="N7331" t="s">
        <v>356</v>
      </c>
      <c r="O7331">
        <v>4</v>
      </c>
      <c r="P7331">
        <v>111</v>
      </c>
      <c r="Q7331" t="s">
        <v>648</v>
      </c>
      <c r="R7331" t="s">
        <v>201</v>
      </c>
      <c r="S7331">
        <v>1</v>
      </c>
      <c r="T7331">
        <v>1</v>
      </c>
      <c r="U7331">
        <v>129636</v>
      </c>
      <c r="V7331">
        <v>129636</v>
      </c>
    </row>
    <row r="7332" spans="1:22">
      <c r="A7332" t="s">
        <v>2333</v>
      </c>
      <c r="B7332">
        <v>27</v>
      </c>
      <c r="C7332" t="s">
        <v>637</v>
      </c>
      <c r="D7332">
        <v>75</v>
      </c>
      <c r="E7332" t="s">
        <v>2334</v>
      </c>
      <c r="F7332">
        <v>1005</v>
      </c>
      <c r="G7332" t="s">
        <v>638</v>
      </c>
      <c r="H7332">
        <v>2855</v>
      </c>
      <c r="I7332" t="s">
        <v>53</v>
      </c>
      <c r="J7332">
        <v>3802</v>
      </c>
      <c r="K7332" t="s">
        <v>2339</v>
      </c>
      <c r="L7332">
        <v>4805</v>
      </c>
      <c r="M7332" t="s">
        <v>2344</v>
      </c>
      <c r="N7332" t="s">
        <v>356</v>
      </c>
      <c r="O7332">
        <v>4</v>
      </c>
      <c r="P7332">
        <v>111</v>
      </c>
      <c r="Q7332" t="s">
        <v>648</v>
      </c>
      <c r="R7332" t="s">
        <v>201</v>
      </c>
      <c r="S7332">
        <v>1</v>
      </c>
      <c r="T7332">
        <v>1</v>
      </c>
      <c r="U7332">
        <v>92940</v>
      </c>
      <c r="V7332">
        <v>92940</v>
      </c>
    </row>
    <row r="7333" spans="1:22">
      <c r="A7333" t="s">
        <v>2333</v>
      </c>
      <c r="B7333">
        <v>27</v>
      </c>
      <c r="C7333" t="s">
        <v>637</v>
      </c>
      <c r="D7333">
        <v>75</v>
      </c>
      <c r="E7333" t="s">
        <v>2334</v>
      </c>
      <c r="F7333">
        <v>1005</v>
      </c>
      <c r="G7333" t="s">
        <v>638</v>
      </c>
      <c r="H7333">
        <v>2855</v>
      </c>
      <c r="I7333" t="s">
        <v>53</v>
      </c>
      <c r="J7333">
        <v>3802</v>
      </c>
      <c r="K7333" t="s">
        <v>2339</v>
      </c>
      <c r="L7333">
        <v>4805</v>
      </c>
      <c r="M7333" t="s">
        <v>2344</v>
      </c>
      <c r="N7333" t="s">
        <v>341</v>
      </c>
      <c r="O7333">
        <v>4</v>
      </c>
      <c r="P7333">
        <v>110</v>
      </c>
      <c r="Q7333" t="s">
        <v>359</v>
      </c>
      <c r="R7333" t="s">
        <v>201</v>
      </c>
      <c r="S7333">
        <v>1</v>
      </c>
      <c r="T7333">
        <v>1</v>
      </c>
      <c r="U7333">
        <v>119100</v>
      </c>
      <c r="V7333">
        <v>119100</v>
      </c>
    </row>
    <row r="7334" spans="1:22">
      <c r="A7334" t="s">
        <v>2333</v>
      </c>
      <c r="B7334">
        <v>27</v>
      </c>
      <c r="C7334" t="s">
        <v>637</v>
      </c>
      <c r="D7334">
        <v>75</v>
      </c>
      <c r="E7334" t="s">
        <v>2334</v>
      </c>
      <c r="F7334">
        <v>1005</v>
      </c>
      <c r="G7334" t="s">
        <v>638</v>
      </c>
      <c r="H7334">
        <v>2855</v>
      </c>
      <c r="I7334" t="s">
        <v>53</v>
      </c>
      <c r="J7334">
        <v>3802</v>
      </c>
      <c r="K7334" t="s">
        <v>2339</v>
      </c>
      <c r="L7334">
        <v>4805</v>
      </c>
      <c r="M7334" t="s">
        <v>2344</v>
      </c>
      <c r="N7334" t="s">
        <v>341</v>
      </c>
      <c r="O7334">
        <v>4</v>
      </c>
      <c r="P7334">
        <v>110</v>
      </c>
      <c r="Q7334" t="s">
        <v>359</v>
      </c>
      <c r="R7334" t="s">
        <v>201</v>
      </c>
      <c r="S7334">
        <v>2</v>
      </c>
      <c r="T7334">
        <v>1</v>
      </c>
      <c r="U7334">
        <v>68616</v>
      </c>
      <c r="V7334">
        <v>137232</v>
      </c>
    </row>
    <row r="7335" spans="1:22">
      <c r="A7335" t="s">
        <v>2333</v>
      </c>
      <c r="B7335">
        <v>27</v>
      </c>
      <c r="C7335" t="s">
        <v>637</v>
      </c>
      <c r="D7335">
        <v>75</v>
      </c>
      <c r="E7335" t="s">
        <v>2334</v>
      </c>
      <c r="F7335">
        <v>1005</v>
      </c>
      <c r="G7335" t="s">
        <v>638</v>
      </c>
      <c r="H7335">
        <v>2855</v>
      </c>
      <c r="I7335" t="s">
        <v>53</v>
      </c>
      <c r="J7335">
        <v>3802</v>
      </c>
      <c r="K7335" t="s">
        <v>2339</v>
      </c>
      <c r="L7335">
        <v>4805</v>
      </c>
      <c r="M7335" t="s">
        <v>2344</v>
      </c>
      <c r="N7335" t="s">
        <v>199</v>
      </c>
      <c r="O7335">
        <v>0</v>
      </c>
      <c r="P7335">
        <v>44</v>
      </c>
      <c r="Q7335" t="s">
        <v>2337</v>
      </c>
      <c r="R7335" t="s">
        <v>201</v>
      </c>
      <c r="S7335">
        <v>0</v>
      </c>
      <c r="T7335">
        <v>0</v>
      </c>
      <c r="U7335">
        <v>406820</v>
      </c>
      <c r="V7335">
        <v>406820</v>
      </c>
    </row>
    <row r="7336" spans="1:22">
      <c r="A7336" t="s">
        <v>2333</v>
      </c>
      <c r="B7336">
        <v>27</v>
      </c>
      <c r="C7336" t="s">
        <v>637</v>
      </c>
      <c r="D7336">
        <v>75</v>
      </c>
      <c r="E7336" t="s">
        <v>2334</v>
      </c>
      <c r="F7336">
        <v>1005</v>
      </c>
      <c r="G7336" t="s">
        <v>638</v>
      </c>
      <c r="H7336">
        <v>2855</v>
      </c>
      <c r="I7336" t="s">
        <v>53</v>
      </c>
      <c r="J7336">
        <v>3802</v>
      </c>
      <c r="K7336" t="s">
        <v>2339</v>
      </c>
      <c r="L7336">
        <v>4805</v>
      </c>
      <c r="M7336" t="s">
        <v>2344</v>
      </c>
      <c r="N7336" t="s">
        <v>199</v>
      </c>
      <c r="O7336">
        <v>0</v>
      </c>
      <c r="P7336">
        <v>15</v>
      </c>
      <c r="Q7336" t="s">
        <v>264</v>
      </c>
      <c r="R7336" t="s">
        <v>201</v>
      </c>
      <c r="S7336">
        <v>0</v>
      </c>
      <c r="T7336">
        <v>0</v>
      </c>
      <c r="U7336">
        <v>4668</v>
      </c>
      <c r="V7336">
        <v>4668</v>
      </c>
    </row>
    <row r="7337" spans="1:22">
      <c r="A7337" t="s">
        <v>2333</v>
      </c>
      <c r="B7337">
        <v>27</v>
      </c>
      <c r="C7337" t="s">
        <v>637</v>
      </c>
      <c r="D7337">
        <v>75</v>
      </c>
      <c r="E7337" t="s">
        <v>2334</v>
      </c>
      <c r="F7337">
        <v>1005</v>
      </c>
      <c r="G7337" t="s">
        <v>638</v>
      </c>
      <c r="H7337">
        <v>2855</v>
      </c>
      <c r="I7337" t="s">
        <v>53</v>
      </c>
      <c r="J7337">
        <v>3802</v>
      </c>
      <c r="K7337" t="s">
        <v>2339</v>
      </c>
      <c r="L7337">
        <v>4806</v>
      </c>
      <c r="M7337" t="s">
        <v>2345</v>
      </c>
      <c r="N7337" t="s">
        <v>372</v>
      </c>
      <c r="O7337">
        <v>1</v>
      </c>
      <c r="P7337">
        <v>1576</v>
      </c>
      <c r="Q7337" t="s">
        <v>650</v>
      </c>
      <c r="R7337" t="s">
        <v>201</v>
      </c>
      <c r="S7337">
        <v>2</v>
      </c>
      <c r="T7337">
        <v>1</v>
      </c>
      <c r="U7337">
        <v>81324</v>
      </c>
      <c r="V7337">
        <v>162648</v>
      </c>
    </row>
    <row r="7338" spans="1:22">
      <c r="A7338" t="s">
        <v>2333</v>
      </c>
      <c r="B7338">
        <v>27</v>
      </c>
      <c r="C7338" t="s">
        <v>637</v>
      </c>
      <c r="D7338">
        <v>75</v>
      </c>
      <c r="E7338" t="s">
        <v>2334</v>
      </c>
      <c r="F7338">
        <v>1005</v>
      </c>
      <c r="G7338" t="s">
        <v>638</v>
      </c>
      <c r="H7338">
        <v>2855</v>
      </c>
      <c r="I7338" t="s">
        <v>53</v>
      </c>
      <c r="J7338">
        <v>3802</v>
      </c>
      <c r="K7338" t="s">
        <v>2339</v>
      </c>
      <c r="L7338">
        <v>4806</v>
      </c>
      <c r="M7338" t="s">
        <v>2345</v>
      </c>
      <c r="N7338" t="s">
        <v>360</v>
      </c>
      <c r="O7338">
        <v>1</v>
      </c>
      <c r="P7338">
        <v>109</v>
      </c>
      <c r="Q7338" t="s">
        <v>361</v>
      </c>
      <c r="R7338" t="s">
        <v>201</v>
      </c>
      <c r="S7338">
        <v>1</v>
      </c>
      <c r="T7338">
        <v>1</v>
      </c>
      <c r="U7338">
        <v>98928</v>
      </c>
      <c r="V7338">
        <v>98928</v>
      </c>
    </row>
    <row r="7339" spans="1:22">
      <c r="A7339" t="s">
        <v>2333</v>
      </c>
      <c r="B7339">
        <v>27</v>
      </c>
      <c r="C7339" t="s">
        <v>637</v>
      </c>
      <c r="D7339">
        <v>75</v>
      </c>
      <c r="E7339" t="s">
        <v>2334</v>
      </c>
      <c r="F7339">
        <v>1005</v>
      </c>
      <c r="G7339" t="s">
        <v>638</v>
      </c>
      <c r="H7339">
        <v>2855</v>
      </c>
      <c r="I7339" t="s">
        <v>53</v>
      </c>
      <c r="J7339">
        <v>3802</v>
      </c>
      <c r="K7339" t="s">
        <v>2339</v>
      </c>
      <c r="L7339">
        <v>4806</v>
      </c>
      <c r="M7339" t="s">
        <v>2345</v>
      </c>
      <c r="N7339" t="s">
        <v>360</v>
      </c>
      <c r="O7339">
        <v>1</v>
      </c>
      <c r="P7339">
        <v>109</v>
      </c>
      <c r="Q7339" t="s">
        <v>361</v>
      </c>
      <c r="R7339" t="s">
        <v>201</v>
      </c>
      <c r="S7339">
        <v>2</v>
      </c>
      <c r="T7339">
        <v>1</v>
      </c>
      <c r="U7339">
        <v>64488</v>
      </c>
      <c r="V7339">
        <v>128976</v>
      </c>
    </row>
    <row r="7340" spans="1:22">
      <c r="A7340" t="s">
        <v>2333</v>
      </c>
      <c r="B7340">
        <v>27</v>
      </c>
      <c r="C7340" t="s">
        <v>637</v>
      </c>
      <c r="D7340">
        <v>75</v>
      </c>
      <c r="E7340" t="s">
        <v>2334</v>
      </c>
      <c r="F7340">
        <v>1005</v>
      </c>
      <c r="G7340" t="s">
        <v>638</v>
      </c>
      <c r="H7340">
        <v>2855</v>
      </c>
      <c r="I7340" t="s">
        <v>53</v>
      </c>
      <c r="J7340">
        <v>3802</v>
      </c>
      <c r="K7340" t="s">
        <v>2339</v>
      </c>
      <c r="L7340">
        <v>4806</v>
      </c>
      <c r="M7340" t="s">
        <v>2345</v>
      </c>
      <c r="N7340" t="s">
        <v>360</v>
      </c>
      <c r="O7340">
        <v>1</v>
      </c>
      <c r="P7340">
        <v>109</v>
      </c>
      <c r="Q7340" t="s">
        <v>361</v>
      </c>
      <c r="R7340" t="s">
        <v>201</v>
      </c>
      <c r="S7340">
        <v>1</v>
      </c>
      <c r="T7340">
        <v>1</v>
      </c>
      <c r="U7340">
        <v>61548</v>
      </c>
      <c r="V7340">
        <v>61548</v>
      </c>
    </row>
    <row r="7341" spans="1:22">
      <c r="A7341" t="s">
        <v>2333</v>
      </c>
      <c r="B7341">
        <v>27</v>
      </c>
      <c r="C7341" t="s">
        <v>637</v>
      </c>
      <c r="D7341">
        <v>75</v>
      </c>
      <c r="E7341" t="s">
        <v>2334</v>
      </c>
      <c r="F7341">
        <v>1005</v>
      </c>
      <c r="G7341" t="s">
        <v>638</v>
      </c>
      <c r="H7341">
        <v>2855</v>
      </c>
      <c r="I7341" t="s">
        <v>53</v>
      </c>
      <c r="J7341">
        <v>3802</v>
      </c>
      <c r="K7341" t="s">
        <v>2339</v>
      </c>
      <c r="L7341">
        <v>4806</v>
      </c>
      <c r="M7341" t="s">
        <v>2345</v>
      </c>
      <c r="N7341" t="s">
        <v>360</v>
      </c>
      <c r="O7341">
        <v>1</v>
      </c>
      <c r="P7341">
        <v>109</v>
      </c>
      <c r="Q7341" t="s">
        <v>361</v>
      </c>
      <c r="R7341" t="s">
        <v>201</v>
      </c>
      <c r="S7341">
        <v>1</v>
      </c>
      <c r="T7341">
        <v>1</v>
      </c>
      <c r="U7341">
        <v>57000</v>
      </c>
      <c r="V7341">
        <v>57000</v>
      </c>
    </row>
    <row r="7342" spans="1:22">
      <c r="A7342" t="s">
        <v>2333</v>
      </c>
      <c r="B7342">
        <v>27</v>
      </c>
      <c r="C7342" t="s">
        <v>637</v>
      </c>
      <c r="D7342">
        <v>75</v>
      </c>
      <c r="E7342" t="s">
        <v>2334</v>
      </c>
      <c r="F7342">
        <v>1005</v>
      </c>
      <c r="G7342" t="s">
        <v>638</v>
      </c>
      <c r="H7342">
        <v>2855</v>
      </c>
      <c r="I7342" t="s">
        <v>53</v>
      </c>
      <c r="J7342">
        <v>3802</v>
      </c>
      <c r="K7342" t="s">
        <v>2339</v>
      </c>
      <c r="L7342">
        <v>4806</v>
      </c>
      <c r="M7342" t="s">
        <v>2345</v>
      </c>
      <c r="N7342" t="s">
        <v>199</v>
      </c>
      <c r="O7342">
        <v>0</v>
      </c>
      <c r="P7342">
        <v>44</v>
      </c>
      <c r="Q7342" t="s">
        <v>2337</v>
      </c>
      <c r="R7342" t="s">
        <v>201</v>
      </c>
      <c r="S7342">
        <v>0</v>
      </c>
      <c r="T7342">
        <v>0</v>
      </c>
      <c r="U7342">
        <v>284892</v>
      </c>
      <c r="V7342">
        <v>284892</v>
      </c>
    </row>
    <row r="7343" spans="1:22">
      <c r="A7343" t="s">
        <v>2333</v>
      </c>
      <c r="B7343">
        <v>27</v>
      </c>
      <c r="C7343" t="s">
        <v>637</v>
      </c>
      <c r="D7343">
        <v>75</v>
      </c>
      <c r="E7343" t="s">
        <v>2334</v>
      </c>
      <c r="F7343">
        <v>1005</v>
      </c>
      <c r="G7343" t="s">
        <v>638</v>
      </c>
      <c r="H7343">
        <v>2855</v>
      </c>
      <c r="I7343" t="s">
        <v>53</v>
      </c>
      <c r="J7343">
        <v>3802</v>
      </c>
      <c r="K7343" t="s">
        <v>2339</v>
      </c>
      <c r="L7343">
        <v>4806</v>
      </c>
      <c r="M7343" t="s">
        <v>2345</v>
      </c>
      <c r="N7343" t="s">
        <v>199</v>
      </c>
      <c r="O7343">
        <v>0</v>
      </c>
      <c r="P7343">
        <v>15</v>
      </c>
      <c r="Q7343" t="s">
        <v>264</v>
      </c>
      <c r="R7343" t="s">
        <v>201</v>
      </c>
      <c r="S7343">
        <v>0</v>
      </c>
      <c r="T7343">
        <v>0</v>
      </c>
      <c r="U7343">
        <v>3639</v>
      </c>
      <c r="V7343">
        <v>3639</v>
      </c>
    </row>
    <row r="7344" spans="1:22">
      <c r="A7344" t="s">
        <v>2333</v>
      </c>
      <c r="B7344">
        <v>33</v>
      </c>
      <c r="C7344" t="s">
        <v>51</v>
      </c>
      <c r="D7344">
        <v>75</v>
      </c>
      <c r="E7344" t="s">
        <v>2334</v>
      </c>
      <c r="F7344">
        <v>1005</v>
      </c>
      <c r="G7344" t="s">
        <v>51</v>
      </c>
      <c r="H7344">
        <v>2800</v>
      </c>
      <c r="I7344" t="s">
        <v>53</v>
      </c>
      <c r="J7344">
        <v>3800</v>
      </c>
      <c r="K7344" t="s">
        <v>2346</v>
      </c>
      <c r="L7344">
        <v>0</v>
      </c>
      <c r="N7344" t="s">
        <v>602</v>
      </c>
      <c r="O7344">
        <v>4</v>
      </c>
      <c r="P7344">
        <v>1380</v>
      </c>
      <c r="Q7344" t="s">
        <v>880</v>
      </c>
      <c r="R7344" t="s">
        <v>201</v>
      </c>
      <c r="S7344">
        <v>1</v>
      </c>
      <c r="T7344">
        <v>1</v>
      </c>
      <c r="U7344">
        <v>141564</v>
      </c>
      <c r="V7344">
        <v>141564</v>
      </c>
    </row>
    <row r="7345" spans="1:22">
      <c r="A7345" t="s">
        <v>2333</v>
      </c>
      <c r="B7345">
        <v>33</v>
      </c>
      <c r="C7345" t="s">
        <v>51</v>
      </c>
      <c r="D7345">
        <v>75</v>
      </c>
      <c r="E7345" t="s">
        <v>2334</v>
      </c>
      <c r="F7345">
        <v>1005</v>
      </c>
      <c r="G7345" t="s">
        <v>51</v>
      </c>
      <c r="H7345">
        <v>2800</v>
      </c>
      <c r="I7345" t="s">
        <v>53</v>
      </c>
      <c r="J7345">
        <v>3800</v>
      </c>
      <c r="K7345" t="s">
        <v>2346</v>
      </c>
      <c r="L7345">
        <v>0</v>
      </c>
      <c r="N7345" t="s">
        <v>602</v>
      </c>
      <c r="O7345">
        <v>4</v>
      </c>
      <c r="P7345">
        <v>1380</v>
      </c>
      <c r="Q7345" t="s">
        <v>880</v>
      </c>
      <c r="R7345" t="s">
        <v>201</v>
      </c>
      <c r="S7345">
        <v>1</v>
      </c>
      <c r="T7345">
        <v>1</v>
      </c>
      <c r="U7345">
        <v>134184</v>
      </c>
      <c r="V7345">
        <v>134184</v>
      </c>
    </row>
    <row r="7346" spans="1:22">
      <c r="A7346" t="s">
        <v>2333</v>
      </c>
      <c r="B7346">
        <v>33</v>
      </c>
      <c r="C7346" t="s">
        <v>51</v>
      </c>
      <c r="D7346">
        <v>75</v>
      </c>
      <c r="E7346" t="s">
        <v>2334</v>
      </c>
      <c r="F7346">
        <v>1005</v>
      </c>
      <c r="G7346" t="s">
        <v>51</v>
      </c>
      <c r="H7346">
        <v>2800</v>
      </c>
      <c r="I7346" t="s">
        <v>53</v>
      </c>
      <c r="J7346">
        <v>3800</v>
      </c>
      <c r="K7346" t="s">
        <v>2346</v>
      </c>
      <c r="L7346">
        <v>0</v>
      </c>
      <c r="N7346" t="s">
        <v>351</v>
      </c>
      <c r="O7346">
        <v>1</v>
      </c>
      <c r="P7346">
        <v>1358</v>
      </c>
      <c r="Q7346" t="s">
        <v>881</v>
      </c>
      <c r="R7346" t="s">
        <v>201</v>
      </c>
      <c r="S7346">
        <v>1</v>
      </c>
      <c r="T7346">
        <v>1</v>
      </c>
      <c r="U7346">
        <v>64488</v>
      </c>
      <c r="V7346">
        <v>64488</v>
      </c>
    </row>
    <row r="7347" spans="1:22">
      <c r="A7347" t="s">
        <v>2333</v>
      </c>
      <c r="B7347">
        <v>33</v>
      </c>
      <c r="C7347" t="s">
        <v>51</v>
      </c>
      <c r="D7347">
        <v>75</v>
      </c>
      <c r="E7347" t="s">
        <v>2334</v>
      </c>
      <c r="F7347">
        <v>1005</v>
      </c>
      <c r="G7347" t="s">
        <v>51</v>
      </c>
      <c r="H7347">
        <v>2800</v>
      </c>
      <c r="I7347" t="s">
        <v>53</v>
      </c>
      <c r="J7347">
        <v>3800</v>
      </c>
      <c r="K7347" t="s">
        <v>2346</v>
      </c>
      <c r="L7347">
        <v>0</v>
      </c>
      <c r="N7347" t="s">
        <v>271</v>
      </c>
      <c r="O7347">
        <v>20</v>
      </c>
      <c r="P7347">
        <v>1356</v>
      </c>
      <c r="Q7347" t="s">
        <v>883</v>
      </c>
      <c r="R7347" t="s">
        <v>201</v>
      </c>
      <c r="S7347">
        <v>1</v>
      </c>
      <c r="T7347">
        <v>1</v>
      </c>
      <c r="U7347">
        <v>121320</v>
      </c>
      <c r="V7347">
        <v>121320</v>
      </c>
    </row>
    <row r="7348" spans="1:22">
      <c r="A7348" t="s">
        <v>2333</v>
      </c>
      <c r="B7348">
        <v>33</v>
      </c>
      <c r="C7348" t="s">
        <v>51</v>
      </c>
      <c r="D7348">
        <v>75</v>
      </c>
      <c r="E7348" t="s">
        <v>2334</v>
      </c>
      <c r="F7348">
        <v>1005</v>
      </c>
      <c r="G7348" t="s">
        <v>51</v>
      </c>
      <c r="H7348">
        <v>2800</v>
      </c>
      <c r="I7348" t="s">
        <v>53</v>
      </c>
      <c r="J7348">
        <v>3800</v>
      </c>
      <c r="K7348" t="s">
        <v>2346</v>
      </c>
      <c r="L7348">
        <v>0</v>
      </c>
      <c r="N7348" t="s">
        <v>702</v>
      </c>
      <c r="O7348">
        <v>1</v>
      </c>
      <c r="P7348">
        <v>1308</v>
      </c>
      <c r="Q7348" t="s">
        <v>858</v>
      </c>
      <c r="R7348" t="s">
        <v>201</v>
      </c>
      <c r="S7348">
        <v>1</v>
      </c>
      <c r="T7348">
        <v>1</v>
      </c>
      <c r="U7348">
        <v>76464</v>
      </c>
      <c r="V7348">
        <v>76464</v>
      </c>
    </row>
    <row r="7349" spans="1:22">
      <c r="A7349" t="s">
        <v>2333</v>
      </c>
      <c r="B7349">
        <v>33</v>
      </c>
      <c r="C7349" t="s">
        <v>51</v>
      </c>
      <c r="D7349">
        <v>75</v>
      </c>
      <c r="E7349" t="s">
        <v>2334</v>
      </c>
      <c r="F7349">
        <v>1005</v>
      </c>
      <c r="G7349" t="s">
        <v>51</v>
      </c>
      <c r="H7349">
        <v>2800</v>
      </c>
      <c r="I7349" t="s">
        <v>53</v>
      </c>
      <c r="J7349">
        <v>3800</v>
      </c>
      <c r="K7349" t="s">
        <v>2346</v>
      </c>
      <c r="L7349">
        <v>0</v>
      </c>
      <c r="N7349" t="s">
        <v>259</v>
      </c>
      <c r="O7349">
        <v>10</v>
      </c>
      <c r="P7349">
        <v>1231</v>
      </c>
      <c r="Q7349" t="s">
        <v>2347</v>
      </c>
      <c r="R7349" t="s">
        <v>201</v>
      </c>
      <c r="S7349">
        <v>1</v>
      </c>
      <c r="T7349">
        <v>1</v>
      </c>
      <c r="U7349">
        <v>55272</v>
      </c>
      <c r="V7349">
        <v>55272</v>
      </c>
    </row>
    <row r="7350" spans="1:22">
      <c r="A7350" t="s">
        <v>2333</v>
      </c>
      <c r="B7350">
        <v>33</v>
      </c>
      <c r="C7350" t="s">
        <v>51</v>
      </c>
      <c r="D7350">
        <v>75</v>
      </c>
      <c r="E7350" t="s">
        <v>2334</v>
      </c>
      <c r="F7350">
        <v>1005</v>
      </c>
      <c r="G7350" t="s">
        <v>51</v>
      </c>
      <c r="H7350">
        <v>2800</v>
      </c>
      <c r="I7350" t="s">
        <v>53</v>
      </c>
      <c r="J7350">
        <v>3800</v>
      </c>
      <c r="K7350" t="s">
        <v>2346</v>
      </c>
      <c r="L7350">
        <v>0</v>
      </c>
      <c r="N7350" t="s">
        <v>199</v>
      </c>
      <c r="O7350">
        <v>0</v>
      </c>
      <c r="P7350">
        <v>44</v>
      </c>
      <c r="Q7350" t="s">
        <v>2337</v>
      </c>
      <c r="R7350" t="s">
        <v>201</v>
      </c>
      <c r="S7350">
        <v>0</v>
      </c>
      <c r="T7350">
        <v>0</v>
      </c>
      <c r="U7350">
        <v>332005</v>
      </c>
      <c r="V7350">
        <v>332005</v>
      </c>
    </row>
    <row r="7351" spans="1:22">
      <c r="A7351" t="s">
        <v>2333</v>
      </c>
      <c r="B7351">
        <v>33</v>
      </c>
      <c r="C7351" t="s">
        <v>51</v>
      </c>
      <c r="D7351">
        <v>75</v>
      </c>
      <c r="E7351" t="s">
        <v>2334</v>
      </c>
      <c r="F7351">
        <v>1005</v>
      </c>
      <c r="G7351" t="s">
        <v>51</v>
      </c>
      <c r="H7351">
        <v>2800</v>
      </c>
      <c r="I7351" t="s">
        <v>53</v>
      </c>
      <c r="J7351">
        <v>3800</v>
      </c>
      <c r="K7351" t="s">
        <v>2346</v>
      </c>
      <c r="L7351">
        <v>0</v>
      </c>
      <c r="N7351" t="s">
        <v>199</v>
      </c>
      <c r="O7351">
        <v>0</v>
      </c>
      <c r="P7351">
        <v>15</v>
      </c>
      <c r="Q7351" t="s">
        <v>264</v>
      </c>
      <c r="R7351" t="s">
        <v>201</v>
      </c>
      <c r="S7351">
        <v>0</v>
      </c>
      <c r="T7351">
        <v>0</v>
      </c>
      <c r="U7351">
        <v>14761</v>
      </c>
      <c r="V7351">
        <v>14761</v>
      </c>
    </row>
    <row r="7352" spans="1:22">
      <c r="A7352" t="s">
        <v>2333</v>
      </c>
      <c r="B7352">
        <v>41</v>
      </c>
      <c r="C7352" t="s">
        <v>1097</v>
      </c>
      <c r="D7352">
        <v>75</v>
      </c>
      <c r="E7352" t="s">
        <v>2334</v>
      </c>
      <c r="F7352">
        <v>1005</v>
      </c>
      <c r="G7352" t="s">
        <v>111</v>
      </c>
      <c r="H7352" t="s">
        <v>2348</v>
      </c>
      <c r="I7352" t="s">
        <v>68</v>
      </c>
      <c r="J7352" t="s">
        <v>2349</v>
      </c>
      <c r="K7352" t="s">
        <v>2350</v>
      </c>
      <c r="L7352">
        <v>0</v>
      </c>
      <c r="N7352" t="s">
        <v>356</v>
      </c>
      <c r="O7352">
        <v>3</v>
      </c>
      <c r="P7352">
        <v>2989</v>
      </c>
      <c r="Q7352" t="s">
        <v>2351</v>
      </c>
      <c r="R7352" t="s">
        <v>201</v>
      </c>
      <c r="S7352">
        <v>1</v>
      </c>
      <c r="T7352">
        <v>1</v>
      </c>
      <c r="U7352">
        <v>90144</v>
      </c>
      <c r="V7352">
        <v>90144</v>
      </c>
    </row>
    <row r="7353" spans="1:22">
      <c r="A7353" t="s">
        <v>2333</v>
      </c>
      <c r="B7353">
        <v>41</v>
      </c>
      <c r="C7353" t="s">
        <v>1097</v>
      </c>
      <c r="D7353">
        <v>75</v>
      </c>
      <c r="E7353" t="s">
        <v>2334</v>
      </c>
      <c r="F7353">
        <v>1005</v>
      </c>
      <c r="G7353" t="s">
        <v>111</v>
      </c>
      <c r="H7353" t="s">
        <v>2348</v>
      </c>
      <c r="I7353" t="s">
        <v>68</v>
      </c>
      <c r="J7353" t="s">
        <v>2349</v>
      </c>
      <c r="K7353" t="s">
        <v>2350</v>
      </c>
      <c r="L7353">
        <v>0</v>
      </c>
      <c r="N7353" t="s">
        <v>343</v>
      </c>
      <c r="O7353">
        <v>10</v>
      </c>
      <c r="P7353">
        <v>2926</v>
      </c>
      <c r="Q7353" t="s">
        <v>2239</v>
      </c>
      <c r="R7353" t="s">
        <v>201</v>
      </c>
      <c r="S7353">
        <v>1</v>
      </c>
      <c r="T7353">
        <v>1</v>
      </c>
      <c r="U7353">
        <v>113568</v>
      </c>
      <c r="V7353">
        <v>113568</v>
      </c>
    </row>
    <row r="7354" spans="1:22">
      <c r="A7354" t="s">
        <v>2333</v>
      </c>
      <c r="B7354">
        <v>41</v>
      </c>
      <c r="C7354" t="s">
        <v>1097</v>
      </c>
      <c r="D7354">
        <v>75</v>
      </c>
      <c r="E7354" t="s">
        <v>2334</v>
      </c>
      <c r="F7354">
        <v>1005</v>
      </c>
      <c r="G7354" t="s">
        <v>111</v>
      </c>
      <c r="H7354" t="s">
        <v>2348</v>
      </c>
      <c r="I7354" t="s">
        <v>68</v>
      </c>
      <c r="J7354" t="s">
        <v>2349</v>
      </c>
      <c r="K7354" t="s">
        <v>2350</v>
      </c>
      <c r="L7354">
        <v>0</v>
      </c>
      <c r="N7354" t="s">
        <v>372</v>
      </c>
      <c r="O7354">
        <v>4</v>
      </c>
      <c r="P7354">
        <v>2905</v>
      </c>
      <c r="Q7354" t="s">
        <v>2352</v>
      </c>
      <c r="R7354" t="s">
        <v>201</v>
      </c>
      <c r="S7354">
        <v>1</v>
      </c>
      <c r="T7354">
        <v>1</v>
      </c>
      <c r="U7354">
        <v>75336</v>
      </c>
      <c r="V7354">
        <v>75336</v>
      </c>
    </row>
    <row r="7355" spans="1:22">
      <c r="A7355" t="s">
        <v>2333</v>
      </c>
      <c r="B7355">
        <v>41</v>
      </c>
      <c r="C7355" t="s">
        <v>1097</v>
      </c>
      <c r="D7355">
        <v>75</v>
      </c>
      <c r="E7355" t="s">
        <v>2334</v>
      </c>
      <c r="F7355">
        <v>1005</v>
      </c>
      <c r="G7355" t="s">
        <v>111</v>
      </c>
      <c r="H7355" t="s">
        <v>2348</v>
      </c>
      <c r="I7355" t="s">
        <v>68</v>
      </c>
      <c r="J7355" t="s">
        <v>2349</v>
      </c>
      <c r="K7355" t="s">
        <v>2350</v>
      </c>
      <c r="L7355">
        <v>0</v>
      </c>
      <c r="N7355" t="s">
        <v>274</v>
      </c>
      <c r="O7355">
        <v>9</v>
      </c>
      <c r="P7355">
        <v>313</v>
      </c>
      <c r="Q7355" t="s">
        <v>605</v>
      </c>
      <c r="R7355" t="s">
        <v>201</v>
      </c>
      <c r="S7355">
        <v>1</v>
      </c>
      <c r="T7355">
        <v>1</v>
      </c>
      <c r="U7355">
        <v>146808</v>
      </c>
      <c r="V7355">
        <v>146808</v>
      </c>
    </row>
    <row r="7356" spans="1:22">
      <c r="A7356" t="s">
        <v>2333</v>
      </c>
      <c r="B7356">
        <v>41</v>
      </c>
      <c r="C7356" t="s">
        <v>1097</v>
      </c>
      <c r="D7356">
        <v>75</v>
      </c>
      <c r="E7356" t="s">
        <v>2334</v>
      </c>
      <c r="F7356">
        <v>1005</v>
      </c>
      <c r="G7356" t="s">
        <v>111</v>
      </c>
      <c r="H7356" t="s">
        <v>2348</v>
      </c>
      <c r="I7356" t="s">
        <v>68</v>
      </c>
      <c r="J7356" t="s">
        <v>2349</v>
      </c>
      <c r="K7356" t="s">
        <v>2350</v>
      </c>
      <c r="L7356">
        <v>0</v>
      </c>
      <c r="N7356" t="s">
        <v>199</v>
      </c>
      <c r="O7356">
        <v>0</v>
      </c>
      <c r="P7356">
        <v>44</v>
      </c>
      <c r="Q7356" t="s">
        <v>2337</v>
      </c>
      <c r="R7356" t="s">
        <v>201</v>
      </c>
      <c r="S7356">
        <v>0</v>
      </c>
      <c r="T7356">
        <v>0</v>
      </c>
      <c r="U7356">
        <v>238310</v>
      </c>
      <c r="V7356">
        <v>238310</v>
      </c>
    </row>
    <row r="7357" spans="1:22">
      <c r="A7357" t="s">
        <v>2333</v>
      </c>
      <c r="B7357">
        <v>41</v>
      </c>
      <c r="C7357" t="s">
        <v>1097</v>
      </c>
      <c r="D7357">
        <v>75</v>
      </c>
      <c r="E7357" t="s">
        <v>2334</v>
      </c>
      <c r="F7357">
        <v>1005</v>
      </c>
      <c r="G7357" t="s">
        <v>111</v>
      </c>
      <c r="H7357" t="s">
        <v>2348</v>
      </c>
      <c r="I7357" t="s">
        <v>68</v>
      </c>
      <c r="J7357" t="s">
        <v>2349</v>
      </c>
      <c r="K7357" t="s">
        <v>2350</v>
      </c>
      <c r="L7357">
        <v>0</v>
      </c>
      <c r="N7357" t="s">
        <v>199</v>
      </c>
      <c r="O7357">
        <v>0</v>
      </c>
      <c r="P7357">
        <v>15</v>
      </c>
      <c r="Q7357" t="s">
        <v>264</v>
      </c>
      <c r="R7357" t="s">
        <v>201</v>
      </c>
      <c r="S7357">
        <v>0</v>
      </c>
      <c r="T7357">
        <v>0</v>
      </c>
      <c r="U7357">
        <v>3836</v>
      </c>
      <c r="V7357">
        <v>3836</v>
      </c>
    </row>
    <row r="7358" spans="1:22">
      <c r="A7358" t="s">
        <v>2333</v>
      </c>
      <c r="B7358">
        <v>41</v>
      </c>
      <c r="C7358" t="s">
        <v>1097</v>
      </c>
      <c r="D7358">
        <v>75</v>
      </c>
      <c r="E7358" t="s">
        <v>2334</v>
      </c>
      <c r="F7358">
        <v>1005</v>
      </c>
      <c r="G7358" t="s">
        <v>111</v>
      </c>
      <c r="H7358" t="s">
        <v>2348</v>
      </c>
      <c r="I7358" t="s">
        <v>68</v>
      </c>
      <c r="J7358" t="s">
        <v>2353</v>
      </c>
      <c r="K7358" t="s">
        <v>1791</v>
      </c>
      <c r="L7358">
        <v>0</v>
      </c>
      <c r="N7358" t="s">
        <v>255</v>
      </c>
      <c r="O7358">
        <v>1</v>
      </c>
      <c r="P7358">
        <v>1572</v>
      </c>
      <c r="Q7358" t="s">
        <v>363</v>
      </c>
      <c r="R7358" t="s">
        <v>201</v>
      </c>
      <c r="S7358">
        <v>1</v>
      </c>
      <c r="T7358">
        <v>1</v>
      </c>
      <c r="U7358">
        <v>143400</v>
      </c>
      <c r="V7358">
        <v>143400</v>
      </c>
    </row>
    <row r="7359" spans="1:22">
      <c r="A7359" t="s">
        <v>2333</v>
      </c>
      <c r="B7359">
        <v>41</v>
      </c>
      <c r="C7359" t="s">
        <v>1097</v>
      </c>
      <c r="D7359">
        <v>75</v>
      </c>
      <c r="E7359" t="s">
        <v>2334</v>
      </c>
      <c r="F7359">
        <v>1005</v>
      </c>
      <c r="G7359" t="s">
        <v>111</v>
      </c>
      <c r="H7359" t="s">
        <v>2348</v>
      </c>
      <c r="I7359" t="s">
        <v>68</v>
      </c>
      <c r="J7359" t="s">
        <v>2353</v>
      </c>
      <c r="K7359" t="s">
        <v>1791</v>
      </c>
      <c r="L7359">
        <v>0</v>
      </c>
      <c r="N7359" t="s">
        <v>341</v>
      </c>
      <c r="O7359">
        <v>1</v>
      </c>
      <c r="P7359">
        <v>1482</v>
      </c>
      <c r="Q7359" t="s">
        <v>364</v>
      </c>
      <c r="R7359" t="s">
        <v>201</v>
      </c>
      <c r="S7359">
        <v>1</v>
      </c>
      <c r="T7359">
        <v>1</v>
      </c>
      <c r="U7359">
        <v>77640</v>
      </c>
      <c r="V7359">
        <v>77640</v>
      </c>
    </row>
    <row r="7360" spans="1:22">
      <c r="A7360" t="s">
        <v>2333</v>
      </c>
      <c r="B7360">
        <v>41</v>
      </c>
      <c r="C7360" t="s">
        <v>1097</v>
      </c>
      <c r="D7360">
        <v>75</v>
      </c>
      <c r="E7360" t="s">
        <v>2334</v>
      </c>
      <c r="F7360">
        <v>1005</v>
      </c>
      <c r="G7360" t="s">
        <v>111</v>
      </c>
      <c r="H7360" t="s">
        <v>2348</v>
      </c>
      <c r="I7360" t="s">
        <v>68</v>
      </c>
      <c r="J7360" t="s">
        <v>2353</v>
      </c>
      <c r="K7360" t="s">
        <v>1791</v>
      </c>
      <c r="L7360">
        <v>0</v>
      </c>
      <c r="N7360" t="s">
        <v>341</v>
      </c>
      <c r="O7360">
        <v>1</v>
      </c>
      <c r="P7360">
        <v>1482</v>
      </c>
      <c r="Q7360" t="s">
        <v>364</v>
      </c>
      <c r="R7360" t="s">
        <v>201</v>
      </c>
      <c r="S7360">
        <v>2</v>
      </c>
      <c r="T7360">
        <v>1</v>
      </c>
      <c r="U7360">
        <v>68616</v>
      </c>
      <c r="V7360">
        <v>137232</v>
      </c>
    </row>
    <row r="7361" spans="1:22">
      <c r="A7361" t="s">
        <v>2333</v>
      </c>
      <c r="B7361">
        <v>41</v>
      </c>
      <c r="C7361" t="s">
        <v>1097</v>
      </c>
      <c r="D7361">
        <v>75</v>
      </c>
      <c r="E7361" t="s">
        <v>2334</v>
      </c>
      <c r="F7361">
        <v>1005</v>
      </c>
      <c r="G7361" t="s">
        <v>111</v>
      </c>
      <c r="H7361" t="s">
        <v>2348</v>
      </c>
      <c r="I7361" t="s">
        <v>68</v>
      </c>
      <c r="J7361" t="s">
        <v>2353</v>
      </c>
      <c r="K7361" t="s">
        <v>1791</v>
      </c>
      <c r="L7361">
        <v>0</v>
      </c>
      <c r="N7361" t="s">
        <v>274</v>
      </c>
      <c r="O7361">
        <v>20</v>
      </c>
      <c r="P7361">
        <v>1191</v>
      </c>
      <c r="Q7361" t="s">
        <v>927</v>
      </c>
      <c r="R7361" t="s">
        <v>201</v>
      </c>
      <c r="S7361">
        <v>1</v>
      </c>
      <c r="T7361">
        <v>1</v>
      </c>
      <c r="U7361">
        <v>137532</v>
      </c>
      <c r="V7361">
        <v>137532</v>
      </c>
    </row>
    <row r="7362" spans="1:22">
      <c r="A7362" t="s">
        <v>2333</v>
      </c>
      <c r="B7362">
        <v>41</v>
      </c>
      <c r="C7362" t="s">
        <v>1097</v>
      </c>
      <c r="D7362">
        <v>75</v>
      </c>
      <c r="E7362" t="s">
        <v>2334</v>
      </c>
      <c r="F7362">
        <v>1005</v>
      </c>
      <c r="G7362" t="s">
        <v>111</v>
      </c>
      <c r="H7362" t="s">
        <v>2348</v>
      </c>
      <c r="I7362" t="s">
        <v>68</v>
      </c>
      <c r="J7362" t="s">
        <v>2353</v>
      </c>
      <c r="K7362" t="s">
        <v>1791</v>
      </c>
      <c r="L7362">
        <v>0</v>
      </c>
      <c r="N7362" t="s">
        <v>274</v>
      </c>
      <c r="O7362">
        <v>9</v>
      </c>
      <c r="P7362">
        <v>313</v>
      </c>
      <c r="Q7362" t="s">
        <v>605</v>
      </c>
      <c r="R7362" t="s">
        <v>201</v>
      </c>
      <c r="S7362">
        <v>1</v>
      </c>
      <c r="T7362">
        <v>1</v>
      </c>
      <c r="U7362">
        <v>146808</v>
      </c>
      <c r="V7362">
        <v>146808</v>
      </c>
    </row>
    <row r="7363" spans="1:22">
      <c r="A7363" t="s">
        <v>2333</v>
      </c>
      <c r="B7363">
        <v>41</v>
      </c>
      <c r="C7363" t="s">
        <v>1097</v>
      </c>
      <c r="D7363">
        <v>75</v>
      </c>
      <c r="E7363" t="s">
        <v>2334</v>
      </c>
      <c r="F7363">
        <v>1005</v>
      </c>
      <c r="G7363" t="s">
        <v>111</v>
      </c>
      <c r="H7363" t="s">
        <v>2348</v>
      </c>
      <c r="I7363" t="s">
        <v>68</v>
      </c>
      <c r="J7363" t="s">
        <v>2353</v>
      </c>
      <c r="K7363" t="s">
        <v>1791</v>
      </c>
      <c r="L7363">
        <v>0</v>
      </c>
      <c r="N7363" t="s">
        <v>199</v>
      </c>
      <c r="O7363">
        <v>0</v>
      </c>
      <c r="P7363">
        <v>44</v>
      </c>
      <c r="Q7363" t="s">
        <v>2337</v>
      </c>
      <c r="R7363" t="s">
        <v>201</v>
      </c>
      <c r="S7363">
        <v>0</v>
      </c>
      <c r="T7363">
        <v>0</v>
      </c>
      <c r="U7363">
        <v>359606</v>
      </c>
      <c r="V7363">
        <v>359606</v>
      </c>
    </row>
    <row r="7364" spans="1:22">
      <c r="A7364" t="s">
        <v>2333</v>
      </c>
      <c r="B7364">
        <v>41</v>
      </c>
      <c r="C7364" t="s">
        <v>1097</v>
      </c>
      <c r="D7364">
        <v>75</v>
      </c>
      <c r="E7364" t="s">
        <v>2334</v>
      </c>
      <c r="F7364">
        <v>1005</v>
      </c>
      <c r="G7364" t="s">
        <v>111</v>
      </c>
      <c r="H7364" t="s">
        <v>2348</v>
      </c>
      <c r="I7364" t="s">
        <v>68</v>
      </c>
      <c r="J7364" t="s">
        <v>2353</v>
      </c>
      <c r="K7364" t="s">
        <v>1791</v>
      </c>
      <c r="L7364">
        <v>0</v>
      </c>
      <c r="N7364" t="s">
        <v>199</v>
      </c>
      <c r="O7364">
        <v>0</v>
      </c>
      <c r="P7364">
        <v>15</v>
      </c>
      <c r="Q7364" t="s">
        <v>264</v>
      </c>
      <c r="R7364" t="s">
        <v>201</v>
      </c>
      <c r="S7364">
        <v>0</v>
      </c>
      <c r="T7364">
        <v>0</v>
      </c>
      <c r="U7364">
        <v>13950</v>
      </c>
      <c r="V7364">
        <v>13950</v>
      </c>
    </row>
    <row r="7365" spans="1:22">
      <c r="A7365" t="s">
        <v>2333</v>
      </c>
      <c r="B7365">
        <v>50</v>
      </c>
      <c r="C7365" t="s">
        <v>54</v>
      </c>
      <c r="D7365">
        <v>75</v>
      </c>
      <c r="E7365" t="s">
        <v>2334</v>
      </c>
      <c r="F7365">
        <v>1005</v>
      </c>
      <c r="G7365" t="s">
        <v>54</v>
      </c>
      <c r="H7365" t="s">
        <v>2354</v>
      </c>
      <c r="I7365" t="s">
        <v>68</v>
      </c>
      <c r="J7365">
        <v>3800</v>
      </c>
      <c r="K7365" t="s">
        <v>2355</v>
      </c>
      <c r="L7365">
        <v>0</v>
      </c>
      <c r="N7365" t="s">
        <v>266</v>
      </c>
      <c r="O7365">
        <v>9</v>
      </c>
      <c r="P7365">
        <v>9679</v>
      </c>
      <c r="Q7365" t="s">
        <v>338</v>
      </c>
      <c r="R7365" t="s">
        <v>201</v>
      </c>
      <c r="S7365">
        <v>1</v>
      </c>
      <c r="T7365">
        <v>1</v>
      </c>
      <c r="U7365">
        <v>167964</v>
      </c>
      <c r="V7365">
        <v>167964</v>
      </c>
    </row>
    <row r="7366" spans="1:22">
      <c r="A7366" t="s">
        <v>2333</v>
      </c>
      <c r="B7366">
        <v>50</v>
      </c>
      <c r="C7366" t="s">
        <v>54</v>
      </c>
      <c r="D7366">
        <v>75</v>
      </c>
      <c r="E7366" t="s">
        <v>2334</v>
      </c>
      <c r="F7366">
        <v>1005</v>
      </c>
      <c r="G7366" t="s">
        <v>54</v>
      </c>
      <c r="H7366" t="s">
        <v>2354</v>
      </c>
      <c r="I7366" t="s">
        <v>68</v>
      </c>
      <c r="J7366">
        <v>3800</v>
      </c>
      <c r="K7366" t="s">
        <v>2355</v>
      </c>
      <c r="L7366">
        <v>0</v>
      </c>
      <c r="N7366" t="s">
        <v>255</v>
      </c>
      <c r="O7366">
        <v>1</v>
      </c>
      <c r="P7366">
        <v>1572</v>
      </c>
      <c r="Q7366" t="s">
        <v>363</v>
      </c>
      <c r="R7366" t="s">
        <v>201</v>
      </c>
      <c r="S7366">
        <v>1</v>
      </c>
      <c r="T7366">
        <v>1</v>
      </c>
      <c r="U7366">
        <v>136908</v>
      </c>
      <c r="V7366">
        <v>136908</v>
      </c>
    </row>
    <row r="7367" spans="1:22">
      <c r="A7367" t="s">
        <v>2333</v>
      </c>
      <c r="B7367">
        <v>50</v>
      </c>
      <c r="C7367" t="s">
        <v>54</v>
      </c>
      <c r="D7367">
        <v>75</v>
      </c>
      <c r="E7367" t="s">
        <v>2334</v>
      </c>
      <c r="F7367">
        <v>1005</v>
      </c>
      <c r="G7367" t="s">
        <v>54</v>
      </c>
      <c r="H7367" t="s">
        <v>2354</v>
      </c>
      <c r="I7367" t="s">
        <v>68</v>
      </c>
      <c r="J7367">
        <v>3800</v>
      </c>
      <c r="K7367" t="s">
        <v>2355</v>
      </c>
      <c r="L7367">
        <v>0</v>
      </c>
      <c r="N7367" t="s">
        <v>255</v>
      </c>
      <c r="O7367">
        <v>1</v>
      </c>
      <c r="P7367">
        <v>1572</v>
      </c>
      <c r="Q7367" t="s">
        <v>363</v>
      </c>
      <c r="R7367" t="s">
        <v>201</v>
      </c>
      <c r="S7367">
        <v>1</v>
      </c>
      <c r="T7367">
        <v>1</v>
      </c>
      <c r="U7367">
        <v>82644</v>
      </c>
      <c r="V7367">
        <v>82644</v>
      </c>
    </row>
    <row r="7368" spans="1:22">
      <c r="A7368" t="s">
        <v>2333</v>
      </c>
      <c r="B7368">
        <v>50</v>
      </c>
      <c r="C7368" t="s">
        <v>54</v>
      </c>
      <c r="D7368">
        <v>75</v>
      </c>
      <c r="E7368" t="s">
        <v>2334</v>
      </c>
      <c r="F7368">
        <v>1005</v>
      </c>
      <c r="G7368" t="s">
        <v>54</v>
      </c>
      <c r="H7368" t="s">
        <v>2354</v>
      </c>
      <c r="I7368" t="s">
        <v>68</v>
      </c>
      <c r="J7368">
        <v>3800</v>
      </c>
      <c r="K7368" t="s">
        <v>2355</v>
      </c>
      <c r="L7368">
        <v>0</v>
      </c>
      <c r="N7368" t="s">
        <v>251</v>
      </c>
      <c r="O7368">
        <v>10</v>
      </c>
      <c r="P7368">
        <v>1569</v>
      </c>
      <c r="Q7368" t="s">
        <v>2356</v>
      </c>
      <c r="R7368" t="s">
        <v>201</v>
      </c>
      <c r="S7368">
        <v>1</v>
      </c>
      <c r="T7368">
        <v>1</v>
      </c>
      <c r="U7368">
        <v>83052</v>
      </c>
      <c r="V7368">
        <v>83052</v>
      </c>
    </row>
    <row r="7369" spans="1:22">
      <c r="A7369" t="s">
        <v>2333</v>
      </c>
      <c r="B7369">
        <v>50</v>
      </c>
      <c r="C7369" t="s">
        <v>54</v>
      </c>
      <c r="D7369">
        <v>75</v>
      </c>
      <c r="E7369" t="s">
        <v>2334</v>
      </c>
      <c r="F7369">
        <v>1005</v>
      </c>
      <c r="G7369" t="s">
        <v>54</v>
      </c>
      <c r="H7369" t="s">
        <v>2354</v>
      </c>
      <c r="I7369" t="s">
        <v>68</v>
      </c>
      <c r="J7369">
        <v>3800</v>
      </c>
      <c r="K7369" t="s">
        <v>2355</v>
      </c>
      <c r="L7369">
        <v>0</v>
      </c>
      <c r="N7369" t="s">
        <v>341</v>
      </c>
      <c r="O7369">
        <v>1</v>
      </c>
      <c r="P7369">
        <v>1482</v>
      </c>
      <c r="Q7369" t="s">
        <v>364</v>
      </c>
      <c r="R7369" t="s">
        <v>201</v>
      </c>
      <c r="S7369">
        <v>1</v>
      </c>
      <c r="T7369">
        <v>1</v>
      </c>
      <c r="U7369">
        <v>103608</v>
      </c>
      <c r="V7369">
        <v>103608</v>
      </c>
    </row>
    <row r="7370" spans="1:22">
      <c r="A7370" t="s">
        <v>2333</v>
      </c>
      <c r="B7370">
        <v>50</v>
      </c>
      <c r="C7370" t="s">
        <v>54</v>
      </c>
      <c r="D7370">
        <v>75</v>
      </c>
      <c r="E7370" t="s">
        <v>2334</v>
      </c>
      <c r="F7370">
        <v>1005</v>
      </c>
      <c r="G7370" t="s">
        <v>54</v>
      </c>
      <c r="H7370" t="s">
        <v>2354</v>
      </c>
      <c r="I7370" t="s">
        <v>68</v>
      </c>
      <c r="J7370">
        <v>3800</v>
      </c>
      <c r="K7370" t="s">
        <v>2355</v>
      </c>
      <c r="L7370">
        <v>0</v>
      </c>
      <c r="N7370" t="s">
        <v>341</v>
      </c>
      <c r="O7370">
        <v>1</v>
      </c>
      <c r="P7370">
        <v>1482</v>
      </c>
      <c r="Q7370" t="s">
        <v>364</v>
      </c>
      <c r="R7370" t="s">
        <v>201</v>
      </c>
      <c r="S7370">
        <v>1</v>
      </c>
      <c r="T7370">
        <v>1</v>
      </c>
      <c r="U7370">
        <v>74172</v>
      </c>
      <c r="V7370">
        <v>74172</v>
      </c>
    </row>
    <row r="7371" spans="1:22">
      <c r="A7371" t="s">
        <v>2333</v>
      </c>
      <c r="B7371">
        <v>50</v>
      </c>
      <c r="C7371" t="s">
        <v>54</v>
      </c>
      <c r="D7371">
        <v>75</v>
      </c>
      <c r="E7371" t="s">
        <v>2334</v>
      </c>
      <c r="F7371">
        <v>1005</v>
      </c>
      <c r="G7371" t="s">
        <v>54</v>
      </c>
      <c r="H7371" t="s">
        <v>2354</v>
      </c>
      <c r="I7371" t="s">
        <v>68</v>
      </c>
      <c r="J7371">
        <v>3800</v>
      </c>
      <c r="K7371" t="s">
        <v>2355</v>
      </c>
      <c r="L7371">
        <v>0</v>
      </c>
      <c r="N7371" t="s">
        <v>341</v>
      </c>
      <c r="O7371">
        <v>1</v>
      </c>
      <c r="P7371">
        <v>1482</v>
      </c>
      <c r="Q7371" t="s">
        <v>364</v>
      </c>
      <c r="R7371" t="s">
        <v>201</v>
      </c>
      <c r="S7371">
        <v>1</v>
      </c>
      <c r="T7371">
        <v>1</v>
      </c>
      <c r="U7371">
        <v>68616</v>
      </c>
      <c r="V7371">
        <v>68616</v>
      </c>
    </row>
    <row r="7372" spans="1:22">
      <c r="A7372" t="s">
        <v>2333</v>
      </c>
      <c r="B7372">
        <v>50</v>
      </c>
      <c r="C7372" t="s">
        <v>54</v>
      </c>
      <c r="D7372">
        <v>75</v>
      </c>
      <c r="E7372" t="s">
        <v>2334</v>
      </c>
      <c r="F7372">
        <v>1005</v>
      </c>
      <c r="G7372" t="s">
        <v>54</v>
      </c>
      <c r="H7372" t="s">
        <v>2354</v>
      </c>
      <c r="I7372" t="s">
        <v>68</v>
      </c>
      <c r="J7372">
        <v>3800</v>
      </c>
      <c r="K7372" t="s">
        <v>2355</v>
      </c>
      <c r="L7372">
        <v>0</v>
      </c>
      <c r="N7372" t="s">
        <v>274</v>
      </c>
      <c r="O7372">
        <v>20</v>
      </c>
      <c r="P7372">
        <v>1191</v>
      </c>
      <c r="Q7372" t="s">
        <v>927</v>
      </c>
      <c r="R7372" t="s">
        <v>201</v>
      </c>
      <c r="S7372">
        <v>1</v>
      </c>
      <c r="T7372">
        <v>1</v>
      </c>
      <c r="U7372">
        <v>153384</v>
      </c>
      <c r="V7372">
        <v>153384</v>
      </c>
    </row>
    <row r="7373" spans="1:22">
      <c r="A7373" t="s">
        <v>2333</v>
      </c>
      <c r="B7373">
        <v>50</v>
      </c>
      <c r="C7373" t="s">
        <v>54</v>
      </c>
      <c r="D7373">
        <v>75</v>
      </c>
      <c r="E7373" t="s">
        <v>2334</v>
      </c>
      <c r="F7373">
        <v>1005</v>
      </c>
      <c r="G7373" t="s">
        <v>54</v>
      </c>
      <c r="H7373" t="s">
        <v>2354</v>
      </c>
      <c r="I7373" t="s">
        <v>68</v>
      </c>
      <c r="J7373">
        <v>3800</v>
      </c>
      <c r="K7373" t="s">
        <v>2355</v>
      </c>
      <c r="L7373">
        <v>0</v>
      </c>
      <c r="N7373" t="s">
        <v>622</v>
      </c>
      <c r="O7373">
        <v>1</v>
      </c>
      <c r="P7373" t="s">
        <v>667</v>
      </c>
      <c r="Q7373" t="s">
        <v>205</v>
      </c>
      <c r="R7373" t="s">
        <v>201</v>
      </c>
      <c r="S7373">
        <v>1</v>
      </c>
      <c r="T7373">
        <v>1</v>
      </c>
      <c r="U7373">
        <v>51936</v>
      </c>
      <c r="V7373">
        <v>51936</v>
      </c>
    </row>
    <row r="7374" spans="1:22">
      <c r="A7374" t="s">
        <v>2333</v>
      </c>
      <c r="B7374">
        <v>50</v>
      </c>
      <c r="C7374" t="s">
        <v>54</v>
      </c>
      <c r="D7374">
        <v>75</v>
      </c>
      <c r="E7374" t="s">
        <v>2334</v>
      </c>
      <c r="F7374">
        <v>1005</v>
      </c>
      <c r="G7374" t="s">
        <v>54</v>
      </c>
      <c r="H7374" t="s">
        <v>2354</v>
      </c>
      <c r="I7374" t="s">
        <v>68</v>
      </c>
      <c r="J7374">
        <v>3800</v>
      </c>
      <c r="K7374" t="s">
        <v>2355</v>
      </c>
      <c r="L7374">
        <v>0</v>
      </c>
      <c r="N7374" t="s">
        <v>341</v>
      </c>
      <c r="O7374">
        <v>1</v>
      </c>
      <c r="P7374">
        <v>308</v>
      </c>
      <c r="Q7374" t="s">
        <v>355</v>
      </c>
      <c r="R7374" t="s">
        <v>201</v>
      </c>
      <c r="S7374">
        <v>1</v>
      </c>
      <c r="T7374">
        <v>1</v>
      </c>
      <c r="U7374">
        <v>119100</v>
      </c>
      <c r="V7374">
        <v>119100</v>
      </c>
    </row>
    <row r="7375" spans="1:22">
      <c r="A7375" t="s">
        <v>2333</v>
      </c>
      <c r="B7375">
        <v>50</v>
      </c>
      <c r="C7375" t="s">
        <v>54</v>
      </c>
      <c r="D7375">
        <v>75</v>
      </c>
      <c r="E7375" t="s">
        <v>2334</v>
      </c>
      <c r="F7375">
        <v>1005</v>
      </c>
      <c r="G7375" t="s">
        <v>54</v>
      </c>
      <c r="H7375" t="s">
        <v>2354</v>
      </c>
      <c r="I7375" t="s">
        <v>68</v>
      </c>
      <c r="J7375">
        <v>3800</v>
      </c>
      <c r="K7375" t="s">
        <v>2355</v>
      </c>
      <c r="L7375">
        <v>0</v>
      </c>
      <c r="N7375" t="s">
        <v>199</v>
      </c>
      <c r="O7375">
        <v>0</v>
      </c>
      <c r="P7375">
        <v>44</v>
      </c>
      <c r="Q7375" t="s">
        <v>2337</v>
      </c>
      <c r="R7375" t="s">
        <v>201</v>
      </c>
      <c r="S7375">
        <v>0</v>
      </c>
      <c r="T7375">
        <v>0</v>
      </c>
      <c r="U7375">
        <v>582760</v>
      </c>
      <c r="V7375">
        <v>582760</v>
      </c>
    </row>
    <row r="7376" spans="1:22">
      <c r="A7376" t="s">
        <v>2333</v>
      </c>
      <c r="B7376">
        <v>50</v>
      </c>
      <c r="C7376" t="s">
        <v>54</v>
      </c>
      <c r="D7376">
        <v>75</v>
      </c>
      <c r="E7376" t="s">
        <v>2334</v>
      </c>
      <c r="F7376">
        <v>1005</v>
      </c>
      <c r="G7376" t="s">
        <v>54</v>
      </c>
      <c r="H7376" t="s">
        <v>2354</v>
      </c>
      <c r="I7376" t="s">
        <v>68</v>
      </c>
      <c r="J7376">
        <v>3800</v>
      </c>
      <c r="K7376" t="s">
        <v>2355</v>
      </c>
      <c r="L7376">
        <v>0</v>
      </c>
      <c r="N7376" t="s">
        <v>199</v>
      </c>
      <c r="O7376">
        <v>0</v>
      </c>
      <c r="P7376">
        <v>15</v>
      </c>
      <c r="Q7376" t="s">
        <v>264</v>
      </c>
      <c r="R7376" t="s">
        <v>201</v>
      </c>
      <c r="S7376">
        <v>0</v>
      </c>
      <c r="T7376">
        <v>0</v>
      </c>
      <c r="U7376">
        <v>11868</v>
      </c>
      <c r="V7376">
        <v>11868</v>
      </c>
    </row>
    <row r="7377" spans="1:22">
      <c r="A7377" t="s">
        <v>2333</v>
      </c>
      <c r="B7377">
        <v>50</v>
      </c>
      <c r="C7377" t="s">
        <v>54</v>
      </c>
      <c r="D7377">
        <v>75</v>
      </c>
      <c r="E7377" t="s">
        <v>2334</v>
      </c>
      <c r="F7377">
        <v>1005</v>
      </c>
      <c r="G7377" t="s">
        <v>54</v>
      </c>
      <c r="H7377" t="s">
        <v>2354</v>
      </c>
      <c r="I7377" t="s">
        <v>68</v>
      </c>
      <c r="J7377">
        <v>3804</v>
      </c>
      <c r="K7377" t="s">
        <v>2357</v>
      </c>
      <c r="L7377">
        <v>0</v>
      </c>
      <c r="N7377" t="s">
        <v>274</v>
      </c>
      <c r="O7377">
        <v>0</v>
      </c>
      <c r="P7377">
        <v>3018</v>
      </c>
      <c r="Q7377" t="s">
        <v>1214</v>
      </c>
      <c r="R7377" t="s">
        <v>201</v>
      </c>
      <c r="S7377">
        <v>1</v>
      </c>
      <c r="T7377">
        <v>1</v>
      </c>
      <c r="U7377">
        <v>153384</v>
      </c>
      <c r="V7377">
        <v>153384</v>
      </c>
    </row>
    <row r="7378" spans="1:22">
      <c r="A7378" t="s">
        <v>2333</v>
      </c>
      <c r="B7378">
        <v>50</v>
      </c>
      <c r="C7378" t="s">
        <v>54</v>
      </c>
      <c r="D7378">
        <v>75</v>
      </c>
      <c r="E7378" t="s">
        <v>2334</v>
      </c>
      <c r="F7378">
        <v>1005</v>
      </c>
      <c r="G7378" t="s">
        <v>54</v>
      </c>
      <c r="H7378" t="s">
        <v>2354</v>
      </c>
      <c r="I7378" t="s">
        <v>68</v>
      </c>
      <c r="J7378">
        <v>3804</v>
      </c>
      <c r="K7378" t="s">
        <v>2357</v>
      </c>
      <c r="L7378">
        <v>0</v>
      </c>
      <c r="N7378" t="s">
        <v>274</v>
      </c>
      <c r="O7378">
        <v>9</v>
      </c>
      <c r="P7378">
        <v>3010</v>
      </c>
      <c r="Q7378" t="s">
        <v>2358</v>
      </c>
      <c r="R7378" t="s">
        <v>201</v>
      </c>
      <c r="S7378">
        <v>1</v>
      </c>
      <c r="T7378">
        <v>1</v>
      </c>
      <c r="U7378">
        <v>121668</v>
      </c>
      <c r="V7378">
        <v>121668</v>
      </c>
    </row>
    <row r="7379" spans="1:22">
      <c r="A7379" t="s">
        <v>2333</v>
      </c>
      <c r="B7379">
        <v>50</v>
      </c>
      <c r="C7379" t="s">
        <v>54</v>
      </c>
      <c r="D7379">
        <v>75</v>
      </c>
      <c r="E7379" t="s">
        <v>2334</v>
      </c>
      <c r="F7379">
        <v>1005</v>
      </c>
      <c r="G7379" t="s">
        <v>54</v>
      </c>
      <c r="H7379" t="s">
        <v>2354</v>
      </c>
      <c r="I7379" t="s">
        <v>68</v>
      </c>
      <c r="J7379">
        <v>3804</v>
      </c>
      <c r="K7379" t="s">
        <v>2357</v>
      </c>
      <c r="L7379">
        <v>0</v>
      </c>
      <c r="N7379" t="s">
        <v>253</v>
      </c>
      <c r="O7379">
        <v>10</v>
      </c>
      <c r="P7379">
        <v>1431</v>
      </c>
      <c r="Q7379" t="s">
        <v>339</v>
      </c>
      <c r="R7379" t="s">
        <v>201</v>
      </c>
      <c r="S7379">
        <v>1</v>
      </c>
      <c r="T7379">
        <v>1</v>
      </c>
      <c r="U7379">
        <v>113568</v>
      </c>
      <c r="V7379">
        <v>113568</v>
      </c>
    </row>
    <row r="7380" spans="1:22">
      <c r="A7380" t="s">
        <v>2333</v>
      </c>
      <c r="B7380">
        <v>50</v>
      </c>
      <c r="C7380" t="s">
        <v>54</v>
      </c>
      <c r="D7380">
        <v>75</v>
      </c>
      <c r="E7380" t="s">
        <v>2334</v>
      </c>
      <c r="F7380">
        <v>1005</v>
      </c>
      <c r="G7380" t="s">
        <v>54</v>
      </c>
      <c r="H7380" t="s">
        <v>2354</v>
      </c>
      <c r="I7380" t="s">
        <v>68</v>
      </c>
      <c r="J7380">
        <v>3804</v>
      </c>
      <c r="K7380" t="s">
        <v>2357</v>
      </c>
      <c r="L7380">
        <v>0</v>
      </c>
      <c r="N7380" t="s">
        <v>251</v>
      </c>
      <c r="O7380">
        <v>10</v>
      </c>
      <c r="P7380">
        <v>1430</v>
      </c>
      <c r="Q7380" t="s">
        <v>850</v>
      </c>
      <c r="R7380" t="s">
        <v>201</v>
      </c>
      <c r="S7380">
        <v>3</v>
      </c>
      <c r="T7380">
        <v>1</v>
      </c>
      <c r="U7380">
        <v>98832</v>
      </c>
      <c r="V7380">
        <v>296496</v>
      </c>
    </row>
    <row r="7381" spans="1:22">
      <c r="A7381" t="s">
        <v>2333</v>
      </c>
      <c r="B7381">
        <v>50</v>
      </c>
      <c r="C7381" t="s">
        <v>54</v>
      </c>
      <c r="D7381">
        <v>75</v>
      </c>
      <c r="E7381" t="s">
        <v>2334</v>
      </c>
      <c r="F7381">
        <v>1005</v>
      </c>
      <c r="G7381" t="s">
        <v>54</v>
      </c>
      <c r="H7381" t="s">
        <v>2354</v>
      </c>
      <c r="I7381" t="s">
        <v>68</v>
      </c>
      <c r="J7381">
        <v>3804</v>
      </c>
      <c r="K7381" t="s">
        <v>2357</v>
      </c>
      <c r="L7381">
        <v>0</v>
      </c>
      <c r="N7381" t="s">
        <v>281</v>
      </c>
      <c r="O7381">
        <v>20</v>
      </c>
      <c r="P7381">
        <v>1141</v>
      </c>
      <c r="Q7381" t="s">
        <v>332</v>
      </c>
      <c r="R7381" t="s">
        <v>201</v>
      </c>
      <c r="S7381">
        <v>3</v>
      </c>
      <c r="T7381">
        <v>1</v>
      </c>
      <c r="U7381">
        <v>89112</v>
      </c>
      <c r="V7381">
        <v>267336</v>
      </c>
    </row>
    <row r="7382" spans="1:22">
      <c r="A7382" t="s">
        <v>2333</v>
      </c>
      <c r="B7382">
        <v>50</v>
      </c>
      <c r="C7382" t="s">
        <v>54</v>
      </c>
      <c r="D7382">
        <v>75</v>
      </c>
      <c r="E7382" t="s">
        <v>2334</v>
      </c>
      <c r="F7382">
        <v>1005</v>
      </c>
      <c r="G7382" t="s">
        <v>54</v>
      </c>
      <c r="H7382" t="s">
        <v>2354</v>
      </c>
      <c r="I7382" t="s">
        <v>68</v>
      </c>
      <c r="J7382">
        <v>3804</v>
      </c>
      <c r="K7382" t="s">
        <v>2357</v>
      </c>
      <c r="L7382">
        <v>0</v>
      </c>
      <c r="N7382" t="s">
        <v>245</v>
      </c>
      <c r="O7382">
        <v>10</v>
      </c>
      <c r="P7382">
        <v>1130</v>
      </c>
      <c r="Q7382" t="s">
        <v>916</v>
      </c>
      <c r="R7382" t="s">
        <v>201</v>
      </c>
      <c r="S7382">
        <v>1</v>
      </c>
      <c r="T7382">
        <v>1</v>
      </c>
      <c r="U7382">
        <v>106272</v>
      </c>
      <c r="V7382">
        <v>106272</v>
      </c>
    </row>
    <row r="7383" spans="1:22">
      <c r="A7383" t="s">
        <v>2333</v>
      </c>
      <c r="B7383">
        <v>50</v>
      </c>
      <c r="C7383" t="s">
        <v>54</v>
      </c>
      <c r="D7383">
        <v>75</v>
      </c>
      <c r="E7383" t="s">
        <v>2334</v>
      </c>
      <c r="F7383">
        <v>1005</v>
      </c>
      <c r="G7383" t="s">
        <v>54</v>
      </c>
      <c r="H7383" t="s">
        <v>2354</v>
      </c>
      <c r="I7383" t="s">
        <v>68</v>
      </c>
      <c r="J7383">
        <v>3804</v>
      </c>
      <c r="K7383" t="s">
        <v>2357</v>
      </c>
      <c r="L7383">
        <v>0</v>
      </c>
      <c r="N7383" t="s">
        <v>199</v>
      </c>
      <c r="O7383">
        <v>0</v>
      </c>
      <c r="P7383">
        <v>44</v>
      </c>
      <c r="Q7383" t="s">
        <v>2337</v>
      </c>
      <c r="R7383" t="s">
        <v>201</v>
      </c>
      <c r="S7383">
        <v>0</v>
      </c>
      <c r="T7383">
        <v>0</v>
      </c>
      <c r="U7383">
        <v>592462</v>
      </c>
      <c r="V7383">
        <v>592462</v>
      </c>
    </row>
    <row r="7384" spans="1:22">
      <c r="A7384" t="s">
        <v>2333</v>
      </c>
      <c r="B7384">
        <v>50</v>
      </c>
      <c r="C7384" t="s">
        <v>54</v>
      </c>
      <c r="D7384">
        <v>75</v>
      </c>
      <c r="E7384" t="s">
        <v>2334</v>
      </c>
      <c r="F7384">
        <v>1005</v>
      </c>
      <c r="G7384" t="s">
        <v>54</v>
      </c>
      <c r="H7384" t="s">
        <v>2354</v>
      </c>
      <c r="I7384" t="s">
        <v>68</v>
      </c>
      <c r="J7384">
        <v>3804</v>
      </c>
      <c r="K7384" t="s">
        <v>2357</v>
      </c>
      <c r="L7384">
        <v>0</v>
      </c>
      <c r="N7384" t="s">
        <v>199</v>
      </c>
      <c r="O7384">
        <v>0</v>
      </c>
      <c r="P7384">
        <v>15</v>
      </c>
      <c r="Q7384" t="s">
        <v>264</v>
      </c>
      <c r="R7384" t="s">
        <v>201</v>
      </c>
      <c r="S7384">
        <v>0</v>
      </c>
      <c r="T7384">
        <v>0</v>
      </c>
      <c r="U7384">
        <v>16962</v>
      </c>
      <c r="V7384">
        <v>16962</v>
      </c>
    </row>
    <row r="7385" spans="1:22">
      <c r="A7385" t="s">
        <v>2333</v>
      </c>
      <c r="B7385">
        <v>50</v>
      </c>
      <c r="C7385" t="s">
        <v>54</v>
      </c>
      <c r="D7385">
        <v>75</v>
      </c>
      <c r="E7385" t="s">
        <v>2334</v>
      </c>
      <c r="F7385">
        <v>1005</v>
      </c>
      <c r="G7385" t="s">
        <v>54</v>
      </c>
      <c r="H7385" t="s">
        <v>2354</v>
      </c>
      <c r="I7385" t="s">
        <v>68</v>
      </c>
      <c r="J7385">
        <v>3810</v>
      </c>
      <c r="K7385" t="s">
        <v>2359</v>
      </c>
      <c r="L7385">
        <v>0</v>
      </c>
      <c r="N7385" t="s">
        <v>251</v>
      </c>
      <c r="O7385">
        <v>10</v>
      </c>
      <c r="P7385">
        <v>2916</v>
      </c>
      <c r="Q7385" t="s">
        <v>2287</v>
      </c>
      <c r="R7385" t="s">
        <v>201</v>
      </c>
      <c r="S7385">
        <v>1</v>
      </c>
      <c r="T7385">
        <v>1</v>
      </c>
      <c r="U7385">
        <v>94332</v>
      </c>
      <c r="V7385">
        <v>94332</v>
      </c>
    </row>
    <row r="7386" spans="1:22">
      <c r="A7386" t="s">
        <v>2333</v>
      </c>
      <c r="B7386">
        <v>50</v>
      </c>
      <c r="C7386" t="s">
        <v>54</v>
      </c>
      <c r="D7386">
        <v>75</v>
      </c>
      <c r="E7386" t="s">
        <v>2334</v>
      </c>
      <c r="F7386">
        <v>1005</v>
      </c>
      <c r="G7386" t="s">
        <v>54</v>
      </c>
      <c r="H7386" t="s">
        <v>2354</v>
      </c>
      <c r="I7386" t="s">
        <v>68</v>
      </c>
      <c r="J7386">
        <v>3810</v>
      </c>
      <c r="K7386" t="s">
        <v>2359</v>
      </c>
      <c r="L7386">
        <v>0</v>
      </c>
      <c r="N7386" t="s">
        <v>372</v>
      </c>
      <c r="O7386">
        <v>1</v>
      </c>
      <c r="P7386">
        <v>2908</v>
      </c>
      <c r="Q7386" t="s">
        <v>2288</v>
      </c>
      <c r="R7386" t="s">
        <v>201</v>
      </c>
      <c r="S7386">
        <v>3</v>
      </c>
      <c r="T7386">
        <v>1</v>
      </c>
      <c r="U7386">
        <v>130668</v>
      </c>
      <c r="V7386">
        <v>392004</v>
      </c>
    </row>
    <row r="7387" spans="1:22">
      <c r="A7387" t="s">
        <v>2333</v>
      </c>
      <c r="B7387">
        <v>50</v>
      </c>
      <c r="C7387" t="s">
        <v>54</v>
      </c>
      <c r="D7387">
        <v>75</v>
      </c>
      <c r="E7387" t="s">
        <v>2334</v>
      </c>
      <c r="F7387">
        <v>1005</v>
      </c>
      <c r="G7387" t="s">
        <v>54</v>
      </c>
      <c r="H7387" t="s">
        <v>2354</v>
      </c>
      <c r="I7387" t="s">
        <v>68</v>
      </c>
      <c r="J7387">
        <v>3810</v>
      </c>
      <c r="K7387" t="s">
        <v>2359</v>
      </c>
      <c r="L7387">
        <v>0</v>
      </c>
      <c r="N7387" t="s">
        <v>372</v>
      </c>
      <c r="O7387">
        <v>1</v>
      </c>
      <c r="P7387">
        <v>2908</v>
      </c>
      <c r="Q7387" t="s">
        <v>2288</v>
      </c>
      <c r="R7387" t="s">
        <v>201</v>
      </c>
      <c r="S7387">
        <v>1</v>
      </c>
      <c r="T7387">
        <v>1</v>
      </c>
      <c r="U7387">
        <v>124848</v>
      </c>
      <c r="V7387">
        <v>124848</v>
      </c>
    </row>
    <row r="7388" spans="1:22">
      <c r="A7388" t="s">
        <v>2333</v>
      </c>
      <c r="B7388">
        <v>50</v>
      </c>
      <c r="C7388" t="s">
        <v>54</v>
      </c>
      <c r="D7388">
        <v>75</v>
      </c>
      <c r="E7388" t="s">
        <v>2334</v>
      </c>
      <c r="F7388">
        <v>1005</v>
      </c>
      <c r="G7388" t="s">
        <v>54</v>
      </c>
      <c r="H7388" t="s">
        <v>2354</v>
      </c>
      <c r="I7388" t="s">
        <v>68</v>
      </c>
      <c r="J7388">
        <v>3810</v>
      </c>
      <c r="K7388" t="s">
        <v>2359</v>
      </c>
      <c r="L7388">
        <v>0</v>
      </c>
      <c r="N7388" t="s">
        <v>372</v>
      </c>
      <c r="O7388">
        <v>1</v>
      </c>
      <c r="P7388">
        <v>2908</v>
      </c>
      <c r="Q7388" t="s">
        <v>2288</v>
      </c>
      <c r="R7388" t="s">
        <v>201</v>
      </c>
      <c r="S7388">
        <v>1</v>
      </c>
      <c r="T7388">
        <v>1</v>
      </c>
      <c r="U7388">
        <v>119100</v>
      </c>
      <c r="V7388">
        <v>119100</v>
      </c>
    </row>
    <row r="7389" spans="1:22">
      <c r="A7389" t="s">
        <v>2333</v>
      </c>
      <c r="B7389">
        <v>50</v>
      </c>
      <c r="C7389" t="s">
        <v>54</v>
      </c>
      <c r="D7389">
        <v>75</v>
      </c>
      <c r="E7389" t="s">
        <v>2334</v>
      </c>
      <c r="F7389">
        <v>1005</v>
      </c>
      <c r="G7389" t="s">
        <v>54</v>
      </c>
      <c r="H7389" t="s">
        <v>2354</v>
      </c>
      <c r="I7389" t="s">
        <v>68</v>
      </c>
      <c r="J7389">
        <v>3810</v>
      </c>
      <c r="K7389" t="s">
        <v>2359</v>
      </c>
      <c r="L7389">
        <v>0</v>
      </c>
      <c r="N7389" t="s">
        <v>372</v>
      </c>
      <c r="O7389">
        <v>1</v>
      </c>
      <c r="P7389">
        <v>2908</v>
      </c>
      <c r="Q7389" t="s">
        <v>2288</v>
      </c>
      <c r="R7389" t="s">
        <v>201</v>
      </c>
      <c r="S7389">
        <v>2</v>
      </c>
      <c r="T7389">
        <v>1</v>
      </c>
      <c r="U7389">
        <v>77640</v>
      </c>
      <c r="V7389">
        <v>155280</v>
      </c>
    </row>
    <row r="7390" spans="1:22">
      <c r="A7390" t="s">
        <v>2333</v>
      </c>
      <c r="B7390">
        <v>50</v>
      </c>
      <c r="C7390" t="s">
        <v>54</v>
      </c>
      <c r="D7390">
        <v>75</v>
      </c>
      <c r="E7390" t="s">
        <v>2334</v>
      </c>
      <c r="F7390">
        <v>1005</v>
      </c>
      <c r="G7390" t="s">
        <v>54</v>
      </c>
      <c r="H7390" t="s">
        <v>2354</v>
      </c>
      <c r="I7390" t="s">
        <v>68</v>
      </c>
      <c r="J7390">
        <v>3810</v>
      </c>
      <c r="K7390" t="s">
        <v>2359</v>
      </c>
      <c r="L7390">
        <v>0</v>
      </c>
      <c r="N7390" t="s">
        <v>372</v>
      </c>
      <c r="O7390">
        <v>1</v>
      </c>
      <c r="P7390">
        <v>2908</v>
      </c>
      <c r="Q7390" t="s">
        <v>2288</v>
      </c>
      <c r="R7390" t="s">
        <v>201</v>
      </c>
      <c r="S7390">
        <v>2</v>
      </c>
      <c r="T7390">
        <v>1</v>
      </c>
      <c r="U7390">
        <v>75336</v>
      </c>
      <c r="V7390">
        <v>150672</v>
      </c>
    </row>
    <row r="7391" spans="1:22">
      <c r="A7391" t="s">
        <v>2333</v>
      </c>
      <c r="B7391">
        <v>50</v>
      </c>
      <c r="C7391" t="s">
        <v>54</v>
      </c>
      <c r="D7391">
        <v>75</v>
      </c>
      <c r="E7391" t="s">
        <v>2334</v>
      </c>
      <c r="F7391">
        <v>1005</v>
      </c>
      <c r="G7391" t="s">
        <v>54</v>
      </c>
      <c r="H7391" t="s">
        <v>2354</v>
      </c>
      <c r="I7391" t="s">
        <v>68</v>
      </c>
      <c r="J7391">
        <v>3810</v>
      </c>
      <c r="K7391" t="s">
        <v>2359</v>
      </c>
      <c r="L7391">
        <v>0</v>
      </c>
      <c r="N7391" t="s">
        <v>249</v>
      </c>
      <c r="O7391">
        <v>20</v>
      </c>
      <c r="P7391">
        <v>1484</v>
      </c>
      <c r="Q7391" t="s">
        <v>2360</v>
      </c>
      <c r="R7391" t="s">
        <v>201</v>
      </c>
      <c r="S7391">
        <v>1</v>
      </c>
      <c r="T7391">
        <v>1</v>
      </c>
      <c r="U7391">
        <v>150072</v>
      </c>
      <c r="V7391">
        <v>150072</v>
      </c>
    </row>
    <row r="7392" spans="1:22">
      <c r="A7392" t="s">
        <v>2333</v>
      </c>
      <c r="B7392">
        <v>50</v>
      </c>
      <c r="C7392" t="s">
        <v>54</v>
      </c>
      <c r="D7392">
        <v>75</v>
      </c>
      <c r="E7392" t="s">
        <v>2334</v>
      </c>
      <c r="F7392">
        <v>1005</v>
      </c>
      <c r="G7392" t="s">
        <v>54</v>
      </c>
      <c r="H7392" t="s">
        <v>2354</v>
      </c>
      <c r="I7392" t="s">
        <v>68</v>
      </c>
      <c r="J7392">
        <v>3810</v>
      </c>
      <c r="K7392" t="s">
        <v>2359</v>
      </c>
      <c r="L7392">
        <v>0</v>
      </c>
      <c r="N7392" t="s">
        <v>356</v>
      </c>
      <c r="O7392">
        <v>4</v>
      </c>
      <c r="P7392">
        <v>193</v>
      </c>
      <c r="Q7392" t="s">
        <v>647</v>
      </c>
      <c r="R7392" t="s">
        <v>201</v>
      </c>
      <c r="S7392">
        <v>1</v>
      </c>
      <c r="T7392">
        <v>1</v>
      </c>
      <c r="U7392">
        <v>129636</v>
      </c>
      <c r="V7392">
        <v>129636</v>
      </c>
    </row>
    <row r="7393" spans="1:22">
      <c r="A7393" t="s">
        <v>2333</v>
      </c>
      <c r="B7393">
        <v>50</v>
      </c>
      <c r="C7393" t="s">
        <v>54</v>
      </c>
      <c r="D7393">
        <v>75</v>
      </c>
      <c r="E7393" t="s">
        <v>2334</v>
      </c>
      <c r="F7393">
        <v>1005</v>
      </c>
      <c r="G7393" t="s">
        <v>54</v>
      </c>
      <c r="H7393" t="s">
        <v>2354</v>
      </c>
      <c r="I7393" t="s">
        <v>68</v>
      </c>
      <c r="J7393">
        <v>3810</v>
      </c>
      <c r="K7393" t="s">
        <v>2359</v>
      </c>
      <c r="L7393">
        <v>0</v>
      </c>
      <c r="N7393" t="s">
        <v>688</v>
      </c>
      <c r="O7393">
        <v>4</v>
      </c>
      <c r="P7393">
        <v>192</v>
      </c>
      <c r="Q7393" t="s">
        <v>689</v>
      </c>
      <c r="R7393" t="s">
        <v>201</v>
      </c>
      <c r="S7393">
        <v>2</v>
      </c>
      <c r="T7393">
        <v>1</v>
      </c>
      <c r="U7393">
        <v>118836</v>
      </c>
      <c r="V7393">
        <v>237672</v>
      </c>
    </row>
    <row r="7394" spans="1:22">
      <c r="A7394" t="s">
        <v>2333</v>
      </c>
      <c r="B7394">
        <v>50</v>
      </c>
      <c r="C7394" t="s">
        <v>54</v>
      </c>
      <c r="D7394">
        <v>75</v>
      </c>
      <c r="E7394" t="s">
        <v>2334</v>
      </c>
      <c r="F7394">
        <v>1005</v>
      </c>
      <c r="G7394" t="s">
        <v>54</v>
      </c>
      <c r="H7394" t="s">
        <v>2354</v>
      </c>
      <c r="I7394" t="s">
        <v>68</v>
      </c>
      <c r="J7394">
        <v>3810</v>
      </c>
      <c r="K7394" t="s">
        <v>2359</v>
      </c>
      <c r="L7394">
        <v>0</v>
      </c>
      <c r="N7394" t="s">
        <v>688</v>
      </c>
      <c r="O7394">
        <v>4</v>
      </c>
      <c r="P7394">
        <v>192</v>
      </c>
      <c r="Q7394" t="s">
        <v>689</v>
      </c>
      <c r="R7394" t="s">
        <v>201</v>
      </c>
      <c r="S7394">
        <v>1</v>
      </c>
      <c r="T7394">
        <v>1</v>
      </c>
      <c r="U7394">
        <v>102516</v>
      </c>
      <c r="V7394">
        <v>102516</v>
      </c>
    </row>
    <row r="7395" spans="1:22">
      <c r="A7395" t="s">
        <v>2333</v>
      </c>
      <c r="B7395">
        <v>50</v>
      </c>
      <c r="C7395" t="s">
        <v>54</v>
      </c>
      <c r="D7395">
        <v>75</v>
      </c>
      <c r="E7395" t="s">
        <v>2334</v>
      </c>
      <c r="F7395">
        <v>1005</v>
      </c>
      <c r="G7395" t="s">
        <v>54</v>
      </c>
      <c r="H7395" t="s">
        <v>2354</v>
      </c>
      <c r="I7395" t="s">
        <v>68</v>
      </c>
      <c r="J7395">
        <v>3810</v>
      </c>
      <c r="K7395" t="s">
        <v>2359</v>
      </c>
      <c r="L7395">
        <v>0</v>
      </c>
      <c r="N7395" t="s">
        <v>688</v>
      </c>
      <c r="O7395">
        <v>4</v>
      </c>
      <c r="P7395">
        <v>192</v>
      </c>
      <c r="Q7395" t="s">
        <v>689</v>
      </c>
      <c r="R7395" t="s">
        <v>201</v>
      </c>
      <c r="S7395">
        <v>1</v>
      </c>
      <c r="T7395">
        <v>1</v>
      </c>
      <c r="U7395">
        <v>81636</v>
      </c>
      <c r="V7395">
        <v>81636</v>
      </c>
    </row>
    <row r="7396" spans="1:22">
      <c r="A7396" t="s">
        <v>2333</v>
      </c>
      <c r="B7396">
        <v>50</v>
      </c>
      <c r="C7396" t="s">
        <v>54</v>
      </c>
      <c r="D7396">
        <v>75</v>
      </c>
      <c r="E7396" t="s">
        <v>2334</v>
      </c>
      <c r="F7396">
        <v>1005</v>
      </c>
      <c r="G7396" t="s">
        <v>54</v>
      </c>
      <c r="H7396" t="s">
        <v>2354</v>
      </c>
      <c r="I7396" t="s">
        <v>68</v>
      </c>
      <c r="J7396">
        <v>3810</v>
      </c>
      <c r="K7396" t="s">
        <v>2359</v>
      </c>
      <c r="L7396">
        <v>0</v>
      </c>
      <c r="N7396" t="s">
        <v>245</v>
      </c>
      <c r="O7396">
        <v>20</v>
      </c>
      <c r="P7396">
        <v>149</v>
      </c>
      <c r="Q7396" t="s">
        <v>704</v>
      </c>
      <c r="R7396" t="s">
        <v>201</v>
      </c>
      <c r="S7396">
        <v>1</v>
      </c>
      <c r="T7396">
        <v>1</v>
      </c>
      <c r="U7396">
        <v>115992</v>
      </c>
      <c r="V7396">
        <v>115992</v>
      </c>
    </row>
    <row r="7397" spans="1:22">
      <c r="A7397" t="s">
        <v>2333</v>
      </c>
      <c r="B7397">
        <v>50</v>
      </c>
      <c r="C7397" t="s">
        <v>54</v>
      </c>
      <c r="D7397">
        <v>75</v>
      </c>
      <c r="E7397" t="s">
        <v>2334</v>
      </c>
      <c r="F7397">
        <v>1005</v>
      </c>
      <c r="G7397" t="s">
        <v>54</v>
      </c>
      <c r="H7397" t="s">
        <v>2354</v>
      </c>
      <c r="I7397" t="s">
        <v>68</v>
      </c>
      <c r="J7397">
        <v>3810</v>
      </c>
      <c r="K7397" t="s">
        <v>2359</v>
      </c>
      <c r="L7397">
        <v>0</v>
      </c>
      <c r="N7397" t="s">
        <v>199</v>
      </c>
      <c r="O7397">
        <v>0</v>
      </c>
      <c r="P7397">
        <v>44</v>
      </c>
      <c r="Q7397" t="s">
        <v>2337</v>
      </c>
      <c r="R7397" t="s">
        <v>201</v>
      </c>
      <c r="S7397">
        <v>0</v>
      </c>
      <c r="T7397">
        <v>0</v>
      </c>
      <c r="U7397">
        <v>1037363</v>
      </c>
      <c r="V7397">
        <v>1037363</v>
      </c>
    </row>
    <row r="7398" spans="1:22">
      <c r="A7398" t="s">
        <v>2333</v>
      </c>
      <c r="B7398">
        <v>50</v>
      </c>
      <c r="C7398" t="s">
        <v>54</v>
      </c>
      <c r="D7398">
        <v>75</v>
      </c>
      <c r="E7398" t="s">
        <v>2334</v>
      </c>
      <c r="F7398">
        <v>1005</v>
      </c>
      <c r="G7398" t="s">
        <v>54</v>
      </c>
      <c r="H7398" t="s">
        <v>2354</v>
      </c>
      <c r="I7398" t="s">
        <v>68</v>
      </c>
      <c r="J7398">
        <v>3810</v>
      </c>
      <c r="K7398" t="s">
        <v>2359</v>
      </c>
      <c r="L7398">
        <v>0</v>
      </c>
      <c r="N7398" t="s">
        <v>199</v>
      </c>
      <c r="O7398">
        <v>0</v>
      </c>
      <c r="P7398">
        <v>15</v>
      </c>
      <c r="Q7398" t="s">
        <v>264</v>
      </c>
      <c r="R7398" t="s">
        <v>201</v>
      </c>
      <c r="S7398">
        <v>0</v>
      </c>
      <c r="T7398">
        <v>0</v>
      </c>
      <c r="U7398">
        <v>10056</v>
      </c>
      <c r="V7398">
        <v>10056</v>
      </c>
    </row>
    <row r="7399" spans="1:22">
      <c r="A7399" t="s">
        <v>2333</v>
      </c>
      <c r="B7399">
        <v>51</v>
      </c>
      <c r="C7399" t="s">
        <v>32</v>
      </c>
      <c r="D7399">
        <v>75</v>
      </c>
      <c r="E7399" t="s">
        <v>2334</v>
      </c>
      <c r="F7399">
        <v>1005</v>
      </c>
      <c r="G7399" t="s">
        <v>32</v>
      </c>
      <c r="H7399">
        <v>2800</v>
      </c>
      <c r="I7399" t="s">
        <v>53</v>
      </c>
      <c r="J7399">
        <v>3800</v>
      </c>
      <c r="K7399" t="s">
        <v>2350</v>
      </c>
      <c r="L7399">
        <v>0</v>
      </c>
      <c r="N7399" t="s">
        <v>274</v>
      </c>
      <c r="O7399">
        <v>9</v>
      </c>
      <c r="P7399">
        <v>3010</v>
      </c>
      <c r="Q7399" t="s">
        <v>2358</v>
      </c>
      <c r="R7399" t="s">
        <v>201</v>
      </c>
      <c r="S7399">
        <v>1</v>
      </c>
      <c r="T7399">
        <v>1</v>
      </c>
      <c r="U7399">
        <v>153384</v>
      </c>
      <c r="V7399">
        <v>153384</v>
      </c>
    </row>
    <row r="7400" spans="1:22">
      <c r="A7400" t="s">
        <v>2333</v>
      </c>
      <c r="B7400">
        <v>51</v>
      </c>
      <c r="C7400" t="s">
        <v>32</v>
      </c>
      <c r="D7400">
        <v>75</v>
      </c>
      <c r="E7400" t="s">
        <v>2334</v>
      </c>
      <c r="F7400">
        <v>1005</v>
      </c>
      <c r="G7400" t="s">
        <v>32</v>
      </c>
      <c r="H7400">
        <v>2800</v>
      </c>
      <c r="I7400" t="s">
        <v>53</v>
      </c>
      <c r="J7400">
        <v>3800</v>
      </c>
      <c r="K7400" t="s">
        <v>2350</v>
      </c>
      <c r="L7400">
        <v>0</v>
      </c>
      <c r="N7400" t="s">
        <v>356</v>
      </c>
      <c r="O7400">
        <v>3</v>
      </c>
      <c r="P7400">
        <v>2989</v>
      </c>
      <c r="Q7400" t="s">
        <v>2351</v>
      </c>
      <c r="R7400" t="s">
        <v>201</v>
      </c>
      <c r="S7400">
        <v>1</v>
      </c>
      <c r="T7400">
        <v>1</v>
      </c>
      <c r="U7400">
        <v>129636</v>
      </c>
      <c r="V7400">
        <v>129636</v>
      </c>
    </row>
    <row r="7401" spans="1:22">
      <c r="A7401" t="s">
        <v>2333</v>
      </c>
      <c r="B7401">
        <v>51</v>
      </c>
      <c r="C7401" t="s">
        <v>32</v>
      </c>
      <c r="D7401">
        <v>75</v>
      </c>
      <c r="E7401" t="s">
        <v>2334</v>
      </c>
      <c r="F7401">
        <v>1005</v>
      </c>
      <c r="G7401" t="s">
        <v>32</v>
      </c>
      <c r="H7401">
        <v>2800</v>
      </c>
      <c r="I7401" t="s">
        <v>53</v>
      </c>
      <c r="J7401">
        <v>3800</v>
      </c>
      <c r="K7401" t="s">
        <v>2350</v>
      </c>
      <c r="L7401">
        <v>0</v>
      </c>
      <c r="N7401" t="s">
        <v>356</v>
      </c>
      <c r="O7401">
        <v>3</v>
      </c>
      <c r="P7401">
        <v>2989</v>
      </c>
      <c r="Q7401" t="s">
        <v>2351</v>
      </c>
      <c r="R7401" t="s">
        <v>201</v>
      </c>
      <c r="S7401">
        <v>1</v>
      </c>
      <c r="T7401">
        <v>1</v>
      </c>
      <c r="U7401">
        <v>97488</v>
      </c>
      <c r="V7401">
        <v>97488</v>
      </c>
    </row>
    <row r="7402" spans="1:22">
      <c r="A7402" t="s">
        <v>2333</v>
      </c>
      <c r="B7402">
        <v>51</v>
      </c>
      <c r="C7402" t="s">
        <v>32</v>
      </c>
      <c r="D7402">
        <v>75</v>
      </c>
      <c r="E7402" t="s">
        <v>2334</v>
      </c>
      <c r="F7402">
        <v>1005</v>
      </c>
      <c r="G7402" t="s">
        <v>32</v>
      </c>
      <c r="H7402">
        <v>2800</v>
      </c>
      <c r="I7402" t="s">
        <v>53</v>
      </c>
      <c r="J7402">
        <v>3800</v>
      </c>
      <c r="K7402" t="s">
        <v>2350</v>
      </c>
      <c r="L7402">
        <v>0</v>
      </c>
      <c r="N7402" t="s">
        <v>356</v>
      </c>
      <c r="O7402">
        <v>3</v>
      </c>
      <c r="P7402">
        <v>2989</v>
      </c>
      <c r="Q7402" t="s">
        <v>2351</v>
      </c>
      <c r="R7402" t="s">
        <v>201</v>
      </c>
      <c r="S7402">
        <v>1</v>
      </c>
      <c r="T7402">
        <v>1</v>
      </c>
      <c r="U7402">
        <v>90144</v>
      </c>
      <c r="V7402">
        <v>90144</v>
      </c>
    </row>
    <row r="7403" spans="1:22">
      <c r="A7403" t="s">
        <v>2333</v>
      </c>
      <c r="B7403">
        <v>51</v>
      </c>
      <c r="C7403" t="s">
        <v>32</v>
      </c>
      <c r="D7403">
        <v>75</v>
      </c>
      <c r="E7403" t="s">
        <v>2334</v>
      </c>
      <c r="F7403">
        <v>1005</v>
      </c>
      <c r="G7403" t="s">
        <v>32</v>
      </c>
      <c r="H7403">
        <v>2800</v>
      </c>
      <c r="I7403" t="s">
        <v>53</v>
      </c>
      <c r="J7403">
        <v>3800</v>
      </c>
      <c r="K7403" t="s">
        <v>2350</v>
      </c>
      <c r="L7403">
        <v>0</v>
      </c>
      <c r="N7403" t="s">
        <v>351</v>
      </c>
      <c r="O7403">
        <v>1</v>
      </c>
      <c r="P7403" t="s">
        <v>352</v>
      </c>
      <c r="Q7403" t="s">
        <v>353</v>
      </c>
      <c r="R7403" t="s">
        <v>201</v>
      </c>
      <c r="S7403">
        <v>1</v>
      </c>
      <c r="T7403">
        <v>1</v>
      </c>
      <c r="U7403">
        <v>108576</v>
      </c>
      <c r="V7403">
        <v>108576</v>
      </c>
    </row>
    <row r="7404" spans="1:22">
      <c r="A7404" t="s">
        <v>2333</v>
      </c>
      <c r="B7404">
        <v>51</v>
      </c>
      <c r="C7404" t="s">
        <v>32</v>
      </c>
      <c r="D7404">
        <v>75</v>
      </c>
      <c r="E7404" t="s">
        <v>2334</v>
      </c>
      <c r="F7404">
        <v>1005</v>
      </c>
      <c r="G7404" t="s">
        <v>32</v>
      </c>
      <c r="H7404">
        <v>2800</v>
      </c>
      <c r="I7404" t="s">
        <v>53</v>
      </c>
      <c r="J7404">
        <v>3800</v>
      </c>
      <c r="K7404" t="s">
        <v>2350</v>
      </c>
      <c r="L7404">
        <v>0</v>
      </c>
      <c r="N7404" t="s">
        <v>199</v>
      </c>
      <c r="O7404">
        <v>0</v>
      </c>
      <c r="P7404">
        <v>44</v>
      </c>
      <c r="Q7404" t="s">
        <v>2337</v>
      </c>
      <c r="R7404" t="s">
        <v>201</v>
      </c>
      <c r="S7404">
        <v>0</v>
      </c>
      <c r="T7404">
        <v>0</v>
      </c>
      <c r="U7404">
        <v>324136</v>
      </c>
      <c r="V7404">
        <v>324136</v>
      </c>
    </row>
    <row r="7405" spans="1:22">
      <c r="A7405" t="s">
        <v>2333</v>
      </c>
      <c r="B7405">
        <v>51</v>
      </c>
      <c r="C7405" t="s">
        <v>32</v>
      </c>
      <c r="D7405">
        <v>75</v>
      </c>
      <c r="E7405" t="s">
        <v>2334</v>
      </c>
      <c r="F7405">
        <v>1005</v>
      </c>
      <c r="G7405" t="s">
        <v>32</v>
      </c>
      <c r="H7405">
        <v>2800</v>
      </c>
      <c r="I7405" t="s">
        <v>53</v>
      </c>
      <c r="J7405">
        <v>3800</v>
      </c>
      <c r="K7405" t="s">
        <v>2350</v>
      </c>
      <c r="L7405">
        <v>0</v>
      </c>
      <c r="N7405" t="s">
        <v>199</v>
      </c>
      <c r="O7405">
        <v>0</v>
      </c>
      <c r="P7405">
        <v>15</v>
      </c>
      <c r="Q7405" t="s">
        <v>264</v>
      </c>
      <c r="R7405" t="s">
        <v>201</v>
      </c>
      <c r="S7405">
        <v>0</v>
      </c>
      <c r="T7405">
        <v>0</v>
      </c>
      <c r="U7405">
        <v>2339</v>
      </c>
      <c r="V7405">
        <v>2339</v>
      </c>
    </row>
    <row r="7406" spans="1:22">
      <c r="A7406" t="s">
        <v>2333</v>
      </c>
      <c r="B7406">
        <v>70</v>
      </c>
      <c r="C7406" t="s">
        <v>40</v>
      </c>
      <c r="D7406">
        <v>75</v>
      </c>
      <c r="E7406" t="s">
        <v>2334</v>
      </c>
      <c r="F7406">
        <v>1005</v>
      </c>
      <c r="G7406" t="s">
        <v>40</v>
      </c>
      <c r="H7406">
        <v>2800</v>
      </c>
      <c r="I7406" t="s">
        <v>53</v>
      </c>
      <c r="J7406">
        <v>3800</v>
      </c>
      <c r="K7406" t="s">
        <v>2350</v>
      </c>
      <c r="L7406">
        <v>0</v>
      </c>
      <c r="N7406" t="s">
        <v>356</v>
      </c>
      <c r="O7406">
        <v>3</v>
      </c>
      <c r="P7406">
        <v>2989</v>
      </c>
      <c r="Q7406" t="s">
        <v>2351</v>
      </c>
      <c r="R7406" t="s">
        <v>201</v>
      </c>
      <c r="S7406">
        <v>1</v>
      </c>
      <c r="T7406">
        <v>1</v>
      </c>
      <c r="U7406">
        <v>102516</v>
      </c>
      <c r="V7406">
        <v>102516</v>
      </c>
    </row>
    <row r="7407" spans="1:22">
      <c r="A7407" t="s">
        <v>2333</v>
      </c>
      <c r="B7407">
        <v>70</v>
      </c>
      <c r="C7407" t="s">
        <v>40</v>
      </c>
      <c r="D7407">
        <v>75</v>
      </c>
      <c r="E7407" t="s">
        <v>2334</v>
      </c>
      <c r="F7407">
        <v>1005</v>
      </c>
      <c r="G7407" t="s">
        <v>40</v>
      </c>
      <c r="H7407">
        <v>2800</v>
      </c>
      <c r="I7407" t="s">
        <v>53</v>
      </c>
      <c r="J7407">
        <v>3800</v>
      </c>
      <c r="K7407" t="s">
        <v>2350</v>
      </c>
      <c r="L7407">
        <v>0</v>
      </c>
      <c r="N7407" t="s">
        <v>199</v>
      </c>
      <c r="O7407">
        <v>0</v>
      </c>
      <c r="P7407">
        <v>44</v>
      </c>
      <c r="Q7407" t="s">
        <v>2337</v>
      </c>
      <c r="R7407" t="s">
        <v>201</v>
      </c>
      <c r="S7407">
        <v>0</v>
      </c>
      <c r="T7407">
        <v>0</v>
      </c>
      <c r="U7407">
        <v>57368</v>
      </c>
      <c r="V7407">
        <v>57368</v>
      </c>
    </row>
    <row r="7408" spans="1:22">
      <c r="A7408" t="s">
        <v>2333</v>
      </c>
      <c r="B7408">
        <v>72</v>
      </c>
      <c r="C7408" t="s">
        <v>113</v>
      </c>
      <c r="D7408">
        <v>75</v>
      </c>
      <c r="E7408" t="s">
        <v>2334</v>
      </c>
      <c r="F7408">
        <v>1010</v>
      </c>
      <c r="G7408" t="s">
        <v>113</v>
      </c>
      <c r="H7408">
        <v>2807</v>
      </c>
      <c r="I7408" t="s">
        <v>53</v>
      </c>
      <c r="J7408">
        <v>3807</v>
      </c>
      <c r="K7408" t="s">
        <v>2350</v>
      </c>
      <c r="L7408">
        <v>0</v>
      </c>
      <c r="N7408" t="s">
        <v>356</v>
      </c>
      <c r="O7408">
        <v>3</v>
      </c>
      <c r="P7408">
        <v>2989</v>
      </c>
      <c r="Q7408" t="s">
        <v>2351</v>
      </c>
      <c r="R7408" t="s">
        <v>201</v>
      </c>
      <c r="S7408">
        <v>1</v>
      </c>
      <c r="T7408">
        <v>1</v>
      </c>
      <c r="U7408">
        <v>107628</v>
      </c>
      <c r="V7408">
        <v>107628</v>
      </c>
    </row>
    <row r="7409" spans="1:22">
      <c r="A7409" t="s">
        <v>2333</v>
      </c>
      <c r="B7409">
        <v>72</v>
      </c>
      <c r="C7409" t="s">
        <v>113</v>
      </c>
      <c r="D7409">
        <v>75</v>
      </c>
      <c r="E7409" t="s">
        <v>2334</v>
      </c>
      <c r="F7409">
        <v>1010</v>
      </c>
      <c r="G7409" t="s">
        <v>113</v>
      </c>
      <c r="H7409">
        <v>2807</v>
      </c>
      <c r="I7409" t="s">
        <v>53</v>
      </c>
      <c r="J7409">
        <v>3807</v>
      </c>
      <c r="K7409" t="s">
        <v>2350</v>
      </c>
      <c r="L7409">
        <v>0</v>
      </c>
      <c r="N7409" t="s">
        <v>199</v>
      </c>
      <c r="O7409">
        <v>0</v>
      </c>
      <c r="P7409">
        <v>44</v>
      </c>
      <c r="Q7409" t="s">
        <v>2337</v>
      </c>
      <c r="R7409" t="s">
        <v>201</v>
      </c>
      <c r="S7409">
        <v>0</v>
      </c>
      <c r="T7409">
        <v>0</v>
      </c>
      <c r="U7409">
        <v>60229</v>
      </c>
      <c r="V7409">
        <v>60229</v>
      </c>
    </row>
    <row r="7410" spans="1:22">
      <c r="A7410" t="s">
        <v>2333</v>
      </c>
      <c r="B7410">
        <v>72</v>
      </c>
      <c r="C7410" t="s">
        <v>113</v>
      </c>
      <c r="D7410">
        <v>75</v>
      </c>
      <c r="E7410" t="s">
        <v>2334</v>
      </c>
      <c r="F7410">
        <v>1010</v>
      </c>
      <c r="G7410" t="s">
        <v>113</v>
      </c>
      <c r="H7410">
        <v>2807</v>
      </c>
      <c r="I7410" t="s">
        <v>53</v>
      </c>
      <c r="J7410">
        <v>3807</v>
      </c>
      <c r="K7410" t="s">
        <v>2350</v>
      </c>
      <c r="L7410">
        <v>0</v>
      </c>
      <c r="N7410" t="s">
        <v>199</v>
      </c>
      <c r="O7410">
        <v>0</v>
      </c>
      <c r="P7410">
        <v>15</v>
      </c>
      <c r="Q7410" t="s">
        <v>264</v>
      </c>
      <c r="R7410" t="s">
        <v>201</v>
      </c>
      <c r="S7410">
        <v>0</v>
      </c>
      <c r="T7410">
        <v>0</v>
      </c>
      <c r="U7410">
        <v>2978</v>
      </c>
      <c r="V7410">
        <v>2978</v>
      </c>
    </row>
    <row r="7411" spans="1:22">
      <c r="A7411" t="s">
        <v>2333</v>
      </c>
      <c r="B7411">
        <v>84</v>
      </c>
      <c r="C7411" t="s">
        <v>1762</v>
      </c>
      <c r="D7411">
        <v>75</v>
      </c>
      <c r="E7411" t="s">
        <v>2334</v>
      </c>
      <c r="F7411">
        <v>1145</v>
      </c>
      <c r="G7411" t="s">
        <v>104</v>
      </c>
      <c r="H7411" t="s">
        <v>2361</v>
      </c>
      <c r="I7411" t="s">
        <v>53</v>
      </c>
      <c r="J7411" t="s">
        <v>2362</v>
      </c>
      <c r="K7411" t="s">
        <v>2363</v>
      </c>
      <c r="L7411">
        <v>0</v>
      </c>
      <c r="N7411" t="s">
        <v>1314</v>
      </c>
      <c r="O7411">
        <v>9</v>
      </c>
      <c r="P7411">
        <v>3027</v>
      </c>
      <c r="Q7411" t="s">
        <v>2238</v>
      </c>
      <c r="R7411" t="s">
        <v>201</v>
      </c>
      <c r="S7411">
        <v>1</v>
      </c>
      <c r="T7411">
        <v>1</v>
      </c>
      <c r="U7411">
        <v>160680</v>
      </c>
      <c r="V7411">
        <v>160680</v>
      </c>
    </row>
    <row r="7412" spans="1:22">
      <c r="A7412" t="s">
        <v>2333</v>
      </c>
      <c r="B7412">
        <v>84</v>
      </c>
      <c r="C7412" t="s">
        <v>1762</v>
      </c>
      <c r="D7412">
        <v>75</v>
      </c>
      <c r="E7412" t="s">
        <v>2334</v>
      </c>
      <c r="F7412">
        <v>1145</v>
      </c>
      <c r="G7412" t="s">
        <v>104</v>
      </c>
      <c r="H7412" t="s">
        <v>2361</v>
      </c>
      <c r="I7412" t="s">
        <v>53</v>
      </c>
      <c r="J7412" t="s">
        <v>2362</v>
      </c>
      <c r="K7412" t="s">
        <v>2363</v>
      </c>
      <c r="L7412">
        <v>0</v>
      </c>
      <c r="N7412" t="s">
        <v>297</v>
      </c>
      <c r="O7412">
        <v>20</v>
      </c>
      <c r="P7412">
        <v>1441</v>
      </c>
      <c r="Q7412" t="s">
        <v>1122</v>
      </c>
      <c r="R7412" t="s">
        <v>201</v>
      </c>
      <c r="S7412">
        <v>1</v>
      </c>
      <c r="T7412">
        <v>1</v>
      </c>
      <c r="U7412">
        <v>115992</v>
      </c>
      <c r="V7412">
        <v>115992</v>
      </c>
    </row>
    <row r="7413" spans="1:22">
      <c r="A7413" t="s">
        <v>2333</v>
      </c>
      <c r="B7413">
        <v>84</v>
      </c>
      <c r="C7413" t="s">
        <v>1762</v>
      </c>
      <c r="D7413">
        <v>75</v>
      </c>
      <c r="E7413" t="s">
        <v>2334</v>
      </c>
      <c r="F7413">
        <v>1145</v>
      </c>
      <c r="G7413" t="s">
        <v>104</v>
      </c>
      <c r="H7413" t="s">
        <v>2361</v>
      </c>
      <c r="I7413" t="s">
        <v>53</v>
      </c>
      <c r="J7413" t="s">
        <v>2362</v>
      </c>
      <c r="K7413" t="s">
        <v>2363</v>
      </c>
      <c r="L7413">
        <v>0</v>
      </c>
      <c r="N7413" t="s">
        <v>199</v>
      </c>
      <c r="O7413">
        <v>0</v>
      </c>
      <c r="P7413">
        <v>44</v>
      </c>
      <c r="Q7413" t="s">
        <v>2337</v>
      </c>
      <c r="R7413" t="s">
        <v>201</v>
      </c>
      <c r="S7413">
        <v>0</v>
      </c>
      <c r="T7413">
        <v>0</v>
      </c>
      <c r="U7413">
        <v>154826</v>
      </c>
      <c r="V7413">
        <v>154826</v>
      </c>
    </row>
    <row r="7414" spans="1:22">
      <c r="A7414" t="s">
        <v>2333</v>
      </c>
      <c r="B7414">
        <v>84</v>
      </c>
      <c r="C7414" t="s">
        <v>1762</v>
      </c>
      <c r="D7414">
        <v>75</v>
      </c>
      <c r="E7414" t="s">
        <v>2334</v>
      </c>
      <c r="F7414">
        <v>1145</v>
      </c>
      <c r="G7414" t="s">
        <v>104</v>
      </c>
      <c r="H7414" t="s">
        <v>2361</v>
      </c>
      <c r="I7414" t="s">
        <v>53</v>
      </c>
      <c r="J7414" t="s">
        <v>2362</v>
      </c>
      <c r="K7414" t="s">
        <v>2363</v>
      </c>
      <c r="L7414">
        <v>0</v>
      </c>
      <c r="N7414" t="s">
        <v>199</v>
      </c>
      <c r="O7414">
        <v>0</v>
      </c>
      <c r="P7414">
        <v>15</v>
      </c>
      <c r="Q7414" t="s">
        <v>264</v>
      </c>
      <c r="R7414" t="s">
        <v>201</v>
      </c>
      <c r="S7414">
        <v>0</v>
      </c>
      <c r="T7414">
        <v>0</v>
      </c>
      <c r="U7414">
        <v>5589</v>
      </c>
      <c r="V7414">
        <v>5589</v>
      </c>
    </row>
    <row r="7415" spans="1:22">
      <c r="A7415" t="s">
        <v>2333</v>
      </c>
      <c r="B7415">
        <v>21</v>
      </c>
      <c r="C7415" t="s">
        <v>78</v>
      </c>
      <c r="D7415" t="s">
        <v>2364</v>
      </c>
      <c r="E7415" t="s">
        <v>2365</v>
      </c>
      <c r="F7415">
        <v>1005</v>
      </c>
      <c r="G7415" t="s">
        <v>78</v>
      </c>
      <c r="H7415">
        <v>2833</v>
      </c>
      <c r="I7415" t="s">
        <v>106</v>
      </c>
      <c r="J7415">
        <v>3833</v>
      </c>
      <c r="K7415" t="s">
        <v>2366</v>
      </c>
      <c r="L7415">
        <v>0</v>
      </c>
      <c r="N7415" t="s">
        <v>199</v>
      </c>
      <c r="O7415">
        <v>9</v>
      </c>
      <c r="P7415">
        <v>9643</v>
      </c>
      <c r="Q7415" t="s">
        <v>2367</v>
      </c>
      <c r="R7415" t="s">
        <v>201</v>
      </c>
      <c r="S7415">
        <v>1</v>
      </c>
      <c r="T7415">
        <v>1</v>
      </c>
      <c r="U7415">
        <v>101424</v>
      </c>
      <c r="V7415">
        <v>101424</v>
      </c>
    </row>
    <row r="7416" spans="1:22">
      <c r="A7416" t="s">
        <v>2333</v>
      </c>
      <c r="B7416">
        <v>21</v>
      </c>
      <c r="C7416" t="s">
        <v>78</v>
      </c>
      <c r="D7416" t="s">
        <v>2364</v>
      </c>
      <c r="E7416" t="s">
        <v>2365</v>
      </c>
      <c r="F7416">
        <v>1005</v>
      </c>
      <c r="G7416" t="s">
        <v>78</v>
      </c>
      <c r="H7416">
        <v>2833</v>
      </c>
      <c r="I7416" t="s">
        <v>106</v>
      </c>
      <c r="J7416">
        <v>3833</v>
      </c>
      <c r="K7416" t="s">
        <v>2366</v>
      </c>
      <c r="L7416">
        <v>0</v>
      </c>
      <c r="N7416" t="s">
        <v>199</v>
      </c>
      <c r="O7416">
        <v>0</v>
      </c>
      <c r="P7416">
        <v>44</v>
      </c>
      <c r="Q7416" t="s">
        <v>2337</v>
      </c>
      <c r="R7416" t="s">
        <v>201</v>
      </c>
      <c r="S7416">
        <v>0</v>
      </c>
      <c r="T7416">
        <v>0</v>
      </c>
      <c r="U7416">
        <v>56757</v>
      </c>
      <c r="V7416">
        <v>56757</v>
      </c>
    </row>
    <row r="7417" spans="1:22">
      <c r="A7417" t="s">
        <v>2333</v>
      </c>
      <c r="B7417">
        <v>41</v>
      </c>
      <c r="C7417" t="s">
        <v>1097</v>
      </c>
      <c r="D7417" t="s">
        <v>2364</v>
      </c>
      <c r="E7417" t="s">
        <v>2365</v>
      </c>
      <c r="F7417">
        <v>1005</v>
      </c>
      <c r="G7417" t="s">
        <v>111</v>
      </c>
      <c r="H7417">
        <v>2710</v>
      </c>
      <c r="I7417" t="s">
        <v>91</v>
      </c>
      <c r="J7417">
        <v>3710</v>
      </c>
      <c r="K7417" t="s">
        <v>2368</v>
      </c>
      <c r="L7417">
        <v>0</v>
      </c>
      <c r="N7417" t="s">
        <v>372</v>
      </c>
      <c r="O7417">
        <v>4</v>
      </c>
      <c r="P7417">
        <v>3466</v>
      </c>
      <c r="Q7417" t="s">
        <v>1129</v>
      </c>
      <c r="R7417" t="s">
        <v>201</v>
      </c>
      <c r="S7417">
        <v>2</v>
      </c>
      <c r="T7417">
        <v>1</v>
      </c>
      <c r="U7417">
        <v>77640</v>
      </c>
      <c r="V7417">
        <v>155280</v>
      </c>
    </row>
    <row r="7418" spans="1:22">
      <c r="A7418" t="s">
        <v>2333</v>
      </c>
      <c r="B7418">
        <v>41</v>
      </c>
      <c r="C7418" t="s">
        <v>1097</v>
      </c>
      <c r="D7418" t="s">
        <v>2364</v>
      </c>
      <c r="E7418" t="s">
        <v>2365</v>
      </c>
      <c r="F7418">
        <v>1005</v>
      </c>
      <c r="G7418" t="s">
        <v>111</v>
      </c>
      <c r="H7418">
        <v>2710</v>
      </c>
      <c r="I7418" t="s">
        <v>91</v>
      </c>
      <c r="J7418">
        <v>3710</v>
      </c>
      <c r="K7418" t="s">
        <v>2368</v>
      </c>
      <c r="L7418">
        <v>0</v>
      </c>
      <c r="N7418" t="s">
        <v>251</v>
      </c>
      <c r="O7418">
        <v>10</v>
      </c>
      <c r="P7418">
        <v>3464</v>
      </c>
      <c r="Q7418" t="s">
        <v>2369</v>
      </c>
      <c r="R7418" t="s">
        <v>201</v>
      </c>
      <c r="S7418">
        <v>1</v>
      </c>
      <c r="T7418">
        <v>1</v>
      </c>
      <c r="U7418">
        <v>85128</v>
      </c>
      <c r="V7418">
        <v>85128</v>
      </c>
    </row>
    <row r="7419" spans="1:22">
      <c r="A7419" t="s">
        <v>2333</v>
      </c>
      <c r="B7419">
        <v>41</v>
      </c>
      <c r="C7419" t="s">
        <v>1097</v>
      </c>
      <c r="D7419" t="s">
        <v>2364</v>
      </c>
      <c r="E7419" t="s">
        <v>2365</v>
      </c>
      <c r="F7419">
        <v>1005</v>
      </c>
      <c r="G7419" t="s">
        <v>111</v>
      </c>
      <c r="H7419">
        <v>2710</v>
      </c>
      <c r="I7419" t="s">
        <v>91</v>
      </c>
      <c r="J7419">
        <v>3710</v>
      </c>
      <c r="K7419" t="s">
        <v>2368</v>
      </c>
      <c r="L7419">
        <v>0</v>
      </c>
      <c r="N7419" t="s">
        <v>274</v>
      </c>
      <c r="O7419">
        <v>0</v>
      </c>
      <c r="P7419">
        <v>3425</v>
      </c>
      <c r="Q7419" t="s">
        <v>2370</v>
      </c>
      <c r="R7419" t="s">
        <v>201</v>
      </c>
      <c r="S7419">
        <v>1</v>
      </c>
      <c r="T7419">
        <v>1</v>
      </c>
      <c r="U7419">
        <v>121668</v>
      </c>
      <c r="V7419">
        <v>121668</v>
      </c>
    </row>
    <row r="7420" spans="1:22">
      <c r="A7420" t="s">
        <v>2333</v>
      </c>
      <c r="B7420">
        <v>41</v>
      </c>
      <c r="C7420" t="s">
        <v>1097</v>
      </c>
      <c r="D7420" t="s">
        <v>2364</v>
      </c>
      <c r="E7420" t="s">
        <v>2365</v>
      </c>
      <c r="F7420">
        <v>1005</v>
      </c>
      <c r="G7420" t="s">
        <v>111</v>
      </c>
      <c r="H7420">
        <v>2710</v>
      </c>
      <c r="I7420" t="s">
        <v>91</v>
      </c>
      <c r="J7420">
        <v>3710</v>
      </c>
      <c r="K7420" t="s">
        <v>2368</v>
      </c>
      <c r="L7420">
        <v>0</v>
      </c>
      <c r="N7420" t="s">
        <v>356</v>
      </c>
      <c r="O7420">
        <v>4</v>
      </c>
      <c r="P7420">
        <v>3414</v>
      </c>
      <c r="Q7420" t="s">
        <v>1109</v>
      </c>
      <c r="R7420" t="s">
        <v>201</v>
      </c>
      <c r="S7420">
        <v>1</v>
      </c>
      <c r="T7420">
        <v>1</v>
      </c>
      <c r="U7420">
        <v>102516</v>
      </c>
      <c r="V7420">
        <v>102516</v>
      </c>
    </row>
    <row r="7421" spans="1:22">
      <c r="A7421" t="s">
        <v>2333</v>
      </c>
      <c r="B7421">
        <v>41</v>
      </c>
      <c r="C7421" t="s">
        <v>1097</v>
      </c>
      <c r="D7421" t="s">
        <v>2364</v>
      </c>
      <c r="E7421" t="s">
        <v>2365</v>
      </c>
      <c r="F7421">
        <v>1005</v>
      </c>
      <c r="G7421" t="s">
        <v>111</v>
      </c>
      <c r="H7421">
        <v>2710</v>
      </c>
      <c r="I7421" t="s">
        <v>91</v>
      </c>
      <c r="J7421">
        <v>3710</v>
      </c>
      <c r="K7421" t="s">
        <v>2368</v>
      </c>
      <c r="L7421">
        <v>0</v>
      </c>
      <c r="N7421" t="s">
        <v>356</v>
      </c>
      <c r="O7421">
        <v>4</v>
      </c>
      <c r="P7421">
        <v>3414</v>
      </c>
      <c r="Q7421" t="s">
        <v>1109</v>
      </c>
      <c r="R7421" t="s">
        <v>201</v>
      </c>
      <c r="S7421">
        <v>1</v>
      </c>
      <c r="T7421">
        <v>1</v>
      </c>
      <c r="U7421">
        <v>97488</v>
      </c>
      <c r="V7421">
        <v>97488</v>
      </c>
    </row>
    <row r="7422" spans="1:22">
      <c r="A7422" t="s">
        <v>2333</v>
      </c>
      <c r="B7422">
        <v>41</v>
      </c>
      <c r="C7422" t="s">
        <v>1097</v>
      </c>
      <c r="D7422" t="s">
        <v>2364</v>
      </c>
      <c r="E7422" t="s">
        <v>2365</v>
      </c>
      <c r="F7422">
        <v>1005</v>
      </c>
      <c r="G7422" t="s">
        <v>111</v>
      </c>
      <c r="H7422">
        <v>2710</v>
      </c>
      <c r="I7422" t="s">
        <v>91</v>
      </c>
      <c r="J7422">
        <v>3710</v>
      </c>
      <c r="K7422" t="s">
        <v>2368</v>
      </c>
      <c r="L7422">
        <v>0</v>
      </c>
      <c r="N7422" t="s">
        <v>333</v>
      </c>
      <c r="O7422">
        <v>4</v>
      </c>
      <c r="P7422">
        <v>3407</v>
      </c>
      <c r="Q7422" t="s">
        <v>1111</v>
      </c>
      <c r="R7422" t="s">
        <v>201</v>
      </c>
      <c r="S7422">
        <v>1</v>
      </c>
      <c r="T7422">
        <v>1</v>
      </c>
      <c r="U7422">
        <v>122928</v>
      </c>
      <c r="V7422">
        <v>122928</v>
      </c>
    </row>
    <row r="7423" spans="1:22">
      <c r="A7423" t="s">
        <v>2333</v>
      </c>
      <c r="B7423">
        <v>41</v>
      </c>
      <c r="C7423" t="s">
        <v>1097</v>
      </c>
      <c r="D7423" t="s">
        <v>2364</v>
      </c>
      <c r="E7423" t="s">
        <v>2365</v>
      </c>
      <c r="F7423">
        <v>1005</v>
      </c>
      <c r="G7423" t="s">
        <v>111</v>
      </c>
      <c r="H7423">
        <v>2710</v>
      </c>
      <c r="I7423" t="s">
        <v>91</v>
      </c>
      <c r="J7423">
        <v>3710</v>
      </c>
      <c r="K7423" t="s">
        <v>2368</v>
      </c>
      <c r="L7423">
        <v>0</v>
      </c>
      <c r="N7423" t="s">
        <v>297</v>
      </c>
      <c r="O7423">
        <v>20</v>
      </c>
      <c r="P7423">
        <v>3405</v>
      </c>
      <c r="Q7423" t="s">
        <v>2371</v>
      </c>
      <c r="R7423" t="s">
        <v>201</v>
      </c>
      <c r="S7423">
        <v>1</v>
      </c>
      <c r="T7423">
        <v>1</v>
      </c>
      <c r="U7423">
        <v>115992</v>
      </c>
      <c r="V7423">
        <v>115992</v>
      </c>
    </row>
    <row r="7424" spans="1:22">
      <c r="A7424" t="s">
        <v>2333</v>
      </c>
      <c r="B7424">
        <v>41</v>
      </c>
      <c r="C7424" t="s">
        <v>1097</v>
      </c>
      <c r="D7424" t="s">
        <v>2364</v>
      </c>
      <c r="E7424" t="s">
        <v>2365</v>
      </c>
      <c r="F7424">
        <v>1005</v>
      </c>
      <c r="G7424" t="s">
        <v>111</v>
      </c>
      <c r="H7424">
        <v>2710</v>
      </c>
      <c r="I7424" t="s">
        <v>91</v>
      </c>
      <c r="J7424">
        <v>3710</v>
      </c>
      <c r="K7424" t="s">
        <v>2368</v>
      </c>
      <c r="L7424">
        <v>0</v>
      </c>
      <c r="N7424" t="s">
        <v>297</v>
      </c>
      <c r="O7424">
        <v>20</v>
      </c>
      <c r="P7424">
        <v>3405</v>
      </c>
      <c r="Q7424" t="s">
        <v>2371</v>
      </c>
      <c r="R7424" t="s">
        <v>201</v>
      </c>
      <c r="S7424">
        <v>1</v>
      </c>
      <c r="T7424">
        <v>1</v>
      </c>
      <c r="U7424">
        <v>106272</v>
      </c>
      <c r="V7424">
        <v>106272</v>
      </c>
    </row>
    <row r="7425" spans="1:22">
      <c r="A7425" t="s">
        <v>2333</v>
      </c>
      <c r="B7425">
        <v>41</v>
      </c>
      <c r="C7425" t="s">
        <v>1097</v>
      </c>
      <c r="D7425" t="s">
        <v>2364</v>
      </c>
      <c r="E7425" t="s">
        <v>2365</v>
      </c>
      <c r="F7425">
        <v>1005</v>
      </c>
      <c r="G7425" t="s">
        <v>111</v>
      </c>
      <c r="H7425">
        <v>2710</v>
      </c>
      <c r="I7425" t="s">
        <v>91</v>
      </c>
      <c r="J7425">
        <v>3710</v>
      </c>
      <c r="K7425" t="s">
        <v>2368</v>
      </c>
      <c r="L7425">
        <v>0</v>
      </c>
      <c r="N7425" t="s">
        <v>297</v>
      </c>
      <c r="O7425">
        <v>20</v>
      </c>
      <c r="P7425">
        <v>3401</v>
      </c>
      <c r="Q7425" t="s">
        <v>2372</v>
      </c>
      <c r="R7425" t="s">
        <v>201</v>
      </c>
      <c r="S7425">
        <v>1</v>
      </c>
      <c r="T7425">
        <v>1</v>
      </c>
      <c r="U7425">
        <v>106272</v>
      </c>
      <c r="V7425">
        <v>106272</v>
      </c>
    </row>
    <row r="7426" spans="1:22">
      <c r="A7426" t="s">
        <v>2333</v>
      </c>
      <c r="B7426">
        <v>41</v>
      </c>
      <c r="C7426" t="s">
        <v>1097</v>
      </c>
      <c r="D7426" t="s">
        <v>2364</v>
      </c>
      <c r="E7426" t="s">
        <v>2365</v>
      </c>
      <c r="F7426">
        <v>1005</v>
      </c>
      <c r="G7426" t="s">
        <v>111</v>
      </c>
      <c r="H7426">
        <v>2710</v>
      </c>
      <c r="I7426" t="s">
        <v>91</v>
      </c>
      <c r="J7426">
        <v>3710</v>
      </c>
      <c r="K7426" t="s">
        <v>2368</v>
      </c>
      <c r="L7426">
        <v>0</v>
      </c>
      <c r="N7426" t="s">
        <v>386</v>
      </c>
      <c r="O7426">
        <v>3</v>
      </c>
      <c r="P7426" t="s">
        <v>1251</v>
      </c>
      <c r="Q7426" t="s">
        <v>1252</v>
      </c>
      <c r="R7426" t="s">
        <v>201</v>
      </c>
      <c r="S7426">
        <v>1</v>
      </c>
      <c r="T7426">
        <v>1</v>
      </c>
      <c r="U7426">
        <v>134184</v>
      </c>
      <c r="V7426">
        <v>134184</v>
      </c>
    </row>
    <row r="7427" spans="1:22">
      <c r="A7427" t="s">
        <v>2333</v>
      </c>
      <c r="B7427">
        <v>41</v>
      </c>
      <c r="C7427" t="s">
        <v>1097</v>
      </c>
      <c r="D7427" t="s">
        <v>2364</v>
      </c>
      <c r="E7427" t="s">
        <v>2365</v>
      </c>
      <c r="F7427">
        <v>1005</v>
      </c>
      <c r="G7427" t="s">
        <v>111</v>
      </c>
      <c r="H7427">
        <v>2710</v>
      </c>
      <c r="I7427" t="s">
        <v>91</v>
      </c>
      <c r="J7427">
        <v>3710</v>
      </c>
      <c r="K7427" t="s">
        <v>2368</v>
      </c>
      <c r="L7427">
        <v>0</v>
      </c>
      <c r="N7427" t="s">
        <v>297</v>
      </c>
      <c r="O7427">
        <v>20</v>
      </c>
      <c r="P7427" t="s">
        <v>2373</v>
      </c>
      <c r="Q7427" t="s">
        <v>2374</v>
      </c>
      <c r="R7427" t="s">
        <v>201</v>
      </c>
      <c r="S7427">
        <v>1</v>
      </c>
      <c r="T7427">
        <v>1</v>
      </c>
      <c r="U7427">
        <v>97332</v>
      </c>
      <c r="V7427">
        <v>97332</v>
      </c>
    </row>
    <row r="7428" spans="1:22">
      <c r="A7428" t="s">
        <v>2333</v>
      </c>
      <c r="B7428">
        <v>41</v>
      </c>
      <c r="C7428" t="s">
        <v>1097</v>
      </c>
      <c r="D7428" t="s">
        <v>2364</v>
      </c>
      <c r="E7428" t="s">
        <v>2365</v>
      </c>
      <c r="F7428">
        <v>1005</v>
      </c>
      <c r="G7428" t="s">
        <v>111</v>
      </c>
      <c r="H7428">
        <v>2710</v>
      </c>
      <c r="I7428" t="s">
        <v>91</v>
      </c>
      <c r="J7428">
        <v>3710</v>
      </c>
      <c r="K7428" t="s">
        <v>2368</v>
      </c>
      <c r="L7428">
        <v>0</v>
      </c>
      <c r="N7428" t="s">
        <v>249</v>
      </c>
      <c r="O7428">
        <v>10</v>
      </c>
      <c r="P7428">
        <v>311</v>
      </c>
      <c r="Q7428" t="s">
        <v>661</v>
      </c>
      <c r="R7428" t="s">
        <v>201</v>
      </c>
      <c r="S7428">
        <v>2</v>
      </c>
      <c r="T7428">
        <v>1</v>
      </c>
      <c r="U7428">
        <v>143232</v>
      </c>
      <c r="V7428">
        <v>286464</v>
      </c>
    </row>
    <row r="7429" spans="1:22">
      <c r="A7429" t="s">
        <v>2333</v>
      </c>
      <c r="B7429">
        <v>41</v>
      </c>
      <c r="C7429" t="s">
        <v>1097</v>
      </c>
      <c r="D7429" t="s">
        <v>2364</v>
      </c>
      <c r="E7429" t="s">
        <v>2365</v>
      </c>
      <c r="F7429">
        <v>1005</v>
      </c>
      <c r="G7429" t="s">
        <v>111</v>
      </c>
      <c r="H7429">
        <v>2710</v>
      </c>
      <c r="I7429" t="s">
        <v>91</v>
      </c>
      <c r="J7429">
        <v>3710</v>
      </c>
      <c r="K7429" t="s">
        <v>2368</v>
      </c>
      <c r="L7429">
        <v>0</v>
      </c>
      <c r="N7429" t="s">
        <v>249</v>
      </c>
      <c r="O7429">
        <v>10</v>
      </c>
      <c r="P7429">
        <v>310</v>
      </c>
      <c r="Q7429" t="s">
        <v>447</v>
      </c>
      <c r="R7429" t="s">
        <v>201</v>
      </c>
      <c r="S7429">
        <v>1</v>
      </c>
      <c r="T7429">
        <v>1</v>
      </c>
      <c r="U7429">
        <v>124584</v>
      </c>
      <c r="V7429">
        <v>124584</v>
      </c>
    </row>
    <row r="7430" spans="1:22">
      <c r="A7430" t="s">
        <v>2333</v>
      </c>
      <c r="B7430">
        <v>41</v>
      </c>
      <c r="C7430" t="s">
        <v>1097</v>
      </c>
      <c r="D7430" t="s">
        <v>2364</v>
      </c>
      <c r="E7430" t="s">
        <v>2365</v>
      </c>
      <c r="F7430">
        <v>1005</v>
      </c>
      <c r="G7430" t="s">
        <v>111</v>
      </c>
      <c r="H7430">
        <v>2710</v>
      </c>
      <c r="I7430" t="s">
        <v>91</v>
      </c>
      <c r="J7430">
        <v>3710</v>
      </c>
      <c r="K7430" t="s">
        <v>2368</v>
      </c>
      <c r="L7430">
        <v>0</v>
      </c>
      <c r="N7430" t="s">
        <v>249</v>
      </c>
      <c r="O7430">
        <v>10</v>
      </c>
      <c r="P7430">
        <v>310</v>
      </c>
      <c r="Q7430" t="s">
        <v>447</v>
      </c>
      <c r="R7430" t="s">
        <v>201</v>
      </c>
      <c r="S7430">
        <v>2</v>
      </c>
      <c r="T7430">
        <v>1</v>
      </c>
      <c r="U7430">
        <v>113568</v>
      </c>
      <c r="V7430">
        <v>227136</v>
      </c>
    </row>
    <row r="7431" spans="1:22">
      <c r="A7431" t="s">
        <v>2333</v>
      </c>
      <c r="B7431">
        <v>41</v>
      </c>
      <c r="C7431" t="s">
        <v>1097</v>
      </c>
      <c r="D7431" t="s">
        <v>2364</v>
      </c>
      <c r="E7431" t="s">
        <v>2365</v>
      </c>
      <c r="F7431">
        <v>1005</v>
      </c>
      <c r="G7431" t="s">
        <v>111</v>
      </c>
      <c r="H7431">
        <v>2710</v>
      </c>
      <c r="I7431" t="s">
        <v>91</v>
      </c>
      <c r="J7431">
        <v>3710</v>
      </c>
      <c r="K7431" t="s">
        <v>2368</v>
      </c>
      <c r="L7431">
        <v>0</v>
      </c>
      <c r="N7431" t="s">
        <v>199</v>
      </c>
      <c r="O7431">
        <v>0</v>
      </c>
      <c r="P7431">
        <v>44</v>
      </c>
      <c r="Q7431" t="s">
        <v>2337</v>
      </c>
      <c r="R7431" t="s">
        <v>201</v>
      </c>
      <c r="S7431">
        <v>0</v>
      </c>
      <c r="T7431">
        <v>0</v>
      </c>
      <c r="U7431">
        <v>1053863</v>
      </c>
      <c r="V7431">
        <v>1053863</v>
      </c>
    </row>
    <row r="7432" spans="1:22">
      <c r="A7432" t="s">
        <v>2333</v>
      </c>
      <c r="B7432">
        <v>41</v>
      </c>
      <c r="C7432" t="s">
        <v>1097</v>
      </c>
      <c r="D7432" t="s">
        <v>2364</v>
      </c>
      <c r="E7432" t="s">
        <v>2365</v>
      </c>
      <c r="F7432">
        <v>1005</v>
      </c>
      <c r="G7432" t="s">
        <v>111</v>
      </c>
      <c r="H7432">
        <v>2710</v>
      </c>
      <c r="I7432" t="s">
        <v>91</v>
      </c>
      <c r="J7432">
        <v>3710</v>
      </c>
      <c r="K7432" t="s">
        <v>2368</v>
      </c>
      <c r="L7432">
        <v>0</v>
      </c>
      <c r="N7432" t="s">
        <v>199</v>
      </c>
      <c r="O7432">
        <v>0</v>
      </c>
      <c r="P7432">
        <v>15</v>
      </c>
      <c r="Q7432" t="s">
        <v>264</v>
      </c>
      <c r="R7432" t="s">
        <v>201</v>
      </c>
      <c r="S7432">
        <v>0</v>
      </c>
      <c r="T7432">
        <v>0</v>
      </c>
      <c r="U7432">
        <v>25947</v>
      </c>
      <c r="V7432">
        <v>25947</v>
      </c>
    </row>
    <row r="7433" spans="1:22">
      <c r="A7433" t="s">
        <v>2333</v>
      </c>
      <c r="B7433">
        <v>41</v>
      </c>
      <c r="C7433" t="s">
        <v>1097</v>
      </c>
      <c r="D7433" t="s">
        <v>2364</v>
      </c>
      <c r="E7433" t="s">
        <v>2365</v>
      </c>
      <c r="F7433">
        <v>1005</v>
      </c>
      <c r="G7433" t="s">
        <v>111</v>
      </c>
      <c r="H7433" t="s">
        <v>2375</v>
      </c>
      <c r="I7433" t="s">
        <v>72</v>
      </c>
      <c r="J7433" t="s">
        <v>2376</v>
      </c>
      <c r="K7433" t="s">
        <v>2377</v>
      </c>
      <c r="L7433">
        <v>0</v>
      </c>
      <c r="N7433" t="s">
        <v>341</v>
      </c>
      <c r="O7433">
        <v>1</v>
      </c>
      <c r="P7433">
        <v>6409</v>
      </c>
      <c r="Q7433" t="s">
        <v>1010</v>
      </c>
      <c r="R7433" t="s">
        <v>201</v>
      </c>
      <c r="S7433">
        <v>1</v>
      </c>
      <c r="T7433">
        <v>1</v>
      </c>
      <c r="U7433">
        <v>74172</v>
      </c>
      <c r="V7433">
        <v>74172</v>
      </c>
    </row>
    <row r="7434" spans="1:22">
      <c r="A7434" t="s">
        <v>2333</v>
      </c>
      <c r="B7434">
        <v>41</v>
      </c>
      <c r="C7434" t="s">
        <v>1097</v>
      </c>
      <c r="D7434" t="s">
        <v>2364</v>
      </c>
      <c r="E7434" t="s">
        <v>2365</v>
      </c>
      <c r="F7434">
        <v>1005</v>
      </c>
      <c r="G7434" t="s">
        <v>111</v>
      </c>
      <c r="H7434" t="s">
        <v>2375</v>
      </c>
      <c r="I7434" t="s">
        <v>72</v>
      </c>
      <c r="J7434" t="s">
        <v>2376</v>
      </c>
      <c r="K7434" t="s">
        <v>2377</v>
      </c>
      <c r="L7434">
        <v>0</v>
      </c>
      <c r="N7434" t="s">
        <v>1124</v>
      </c>
      <c r="O7434">
        <v>37</v>
      </c>
      <c r="P7434">
        <v>3752</v>
      </c>
      <c r="Q7434" t="s">
        <v>1125</v>
      </c>
      <c r="R7434" t="s">
        <v>201</v>
      </c>
      <c r="S7434">
        <v>1</v>
      </c>
      <c r="T7434">
        <v>1</v>
      </c>
      <c r="U7434">
        <v>87504</v>
      </c>
      <c r="V7434">
        <v>87504</v>
      </c>
    </row>
    <row r="7435" spans="1:22">
      <c r="A7435" t="s">
        <v>2333</v>
      </c>
      <c r="B7435">
        <v>41</v>
      </c>
      <c r="C7435" t="s">
        <v>1097</v>
      </c>
      <c r="D7435" t="s">
        <v>2364</v>
      </c>
      <c r="E7435" t="s">
        <v>2365</v>
      </c>
      <c r="F7435">
        <v>1005</v>
      </c>
      <c r="G7435" t="s">
        <v>111</v>
      </c>
      <c r="H7435" t="s">
        <v>2375</v>
      </c>
      <c r="I7435" t="s">
        <v>72</v>
      </c>
      <c r="J7435" t="s">
        <v>2376</v>
      </c>
      <c r="K7435" t="s">
        <v>2377</v>
      </c>
      <c r="L7435">
        <v>0</v>
      </c>
      <c r="N7435" t="s">
        <v>1136</v>
      </c>
      <c r="O7435">
        <v>37</v>
      </c>
      <c r="P7435">
        <v>3751</v>
      </c>
      <c r="Q7435" t="s">
        <v>1137</v>
      </c>
      <c r="R7435" t="s">
        <v>201</v>
      </c>
      <c r="S7435">
        <v>1</v>
      </c>
      <c r="T7435">
        <v>1</v>
      </c>
      <c r="U7435">
        <v>87504</v>
      </c>
      <c r="V7435">
        <v>87504</v>
      </c>
    </row>
    <row r="7436" spans="1:22">
      <c r="A7436" t="s">
        <v>2333</v>
      </c>
      <c r="B7436">
        <v>41</v>
      </c>
      <c r="C7436" t="s">
        <v>1097</v>
      </c>
      <c r="D7436" t="s">
        <v>2364</v>
      </c>
      <c r="E7436" t="s">
        <v>2365</v>
      </c>
      <c r="F7436">
        <v>1005</v>
      </c>
      <c r="G7436" t="s">
        <v>111</v>
      </c>
      <c r="H7436" t="s">
        <v>2375</v>
      </c>
      <c r="I7436" t="s">
        <v>72</v>
      </c>
      <c r="J7436" t="s">
        <v>2376</v>
      </c>
      <c r="K7436" t="s">
        <v>2377</v>
      </c>
      <c r="L7436">
        <v>0</v>
      </c>
      <c r="N7436" t="s">
        <v>392</v>
      </c>
      <c r="O7436">
        <v>4</v>
      </c>
      <c r="P7436">
        <v>3467</v>
      </c>
      <c r="Q7436" t="s">
        <v>1116</v>
      </c>
      <c r="R7436" t="s">
        <v>201</v>
      </c>
      <c r="S7436">
        <v>1</v>
      </c>
      <c r="T7436">
        <v>1</v>
      </c>
      <c r="U7436">
        <v>90732</v>
      </c>
      <c r="V7436">
        <v>90732</v>
      </c>
    </row>
    <row r="7437" spans="1:22">
      <c r="A7437" t="s">
        <v>2333</v>
      </c>
      <c r="B7437">
        <v>41</v>
      </c>
      <c r="C7437" t="s">
        <v>1097</v>
      </c>
      <c r="D7437" t="s">
        <v>2364</v>
      </c>
      <c r="E7437" t="s">
        <v>2365</v>
      </c>
      <c r="F7437">
        <v>1005</v>
      </c>
      <c r="G7437" t="s">
        <v>111</v>
      </c>
      <c r="H7437" t="s">
        <v>2375</v>
      </c>
      <c r="I7437" t="s">
        <v>72</v>
      </c>
      <c r="J7437" t="s">
        <v>2376</v>
      </c>
      <c r="K7437" t="s">
        <v>2377</v>
      </c>
      <c r="L7437">
        <v>0</v>
      </c>
      <c r="N7437" t="s">
        <v>372</v>
      </c>
      <c r="O7437">
        <v>4</v>
      </c>
      <c r="P7437">
        <v>3466</v>
      </c>
      <c r="Q7437" t="s">
        <v>1129</v>
      </c>
      <c r="R7437" t="s">
        <v>201</v>
      </c>
      <c r="S7437">
        <v>1</v>
      </c>
      <c r="T7437">
        <v>1</v>
      </c>
      <c r="U7437">
        <v>85200</v>
      </c>
      <c r="V7437">
        <v>85200</v>
      </c>
    </row>
    <row r="7438" spans="1:22">
      <c r="A7438" t="s">
        <v>2333</v>
      </c>
      <c r="B7438">
        <v>41</v>
      </c>
      <c r="C7438" t="s">
        <v>1097</v>
      </c>
      <c r="D7438" t="s">
        <v>2364</v>
      </c>
      <c r="E7438" t="s">
        <v>2365</v>
      </c>
      <c r="F7438">
        <v>1005</v>
      </c>
      <c r="G7438" t="s">
        <v>111</v>
      </c>
      <c r="H7438" t="s">
        <v>2375</v>
      </c>
      <c r="I7438" t="s">
        <v>72</v>
      </c>
      <c r="J7438" t="s">
        <v>2376</v>
      </c>
      <c r="K7438" t="s">
        <v>2377</v>
      </c>
      <c r="L7438">
        <v>0</v>
      </c>
      <c r="N7438" t="s">
        <v>372</v>
      </c>
      <c r="O7438">
        <v>4</v>
      </c>
      <c r="P7438">
        <v>3466</v>
      </c>
      <c r="Q7438" t="s">
        <v>1129</v>
      </c>
      <c r="R7438" t="s">
        <v>201</v>
      </c>
      <c r="S7438">
        <v>1</v>
      </c>
      <c r="T7438">
        <v>1</v>
      </c>
      <c r="U7438">
        <v>75336</v>
      </c>
      <c r="V7438">
        <v>75336</v>
      </c>
    </row>
    <row r="7439" spans="1:22">
      <c r="A7439" t="s">
        <v>2333</v>
      </c>
      <c r="B7439">
        <v>41</v>
      </c>
      <c r="C7439" t="s">
        <v>1097</v>
      </c>
      <c r="D7439" t="s">
        <v>2364</v>
      </c>
      <c r="E7439" t="s">
        <v>2365</v>
      </c>
      <c r="F7439">
        <v>1005</v>
      </c>
      <c r="G7439" t="s">
        <v>111</v>
      </c>
      <c r="H7439" t="s">
        <v>2375</v>
      </c>
      <c r="I7439" t="s">
        <v>72</v>
      </c>
      <c r="J7439" t="s">
        <v>2376</v>
      </c>
      <c r="K7439" t="s">
        <v>2377</v>
      </c>
      <c r="L7439">
        <v>0</v>
      </c>
      <c r="N7439" t="s">
        <v>251</v>
      </c>
      <c r="O7439">
        <v>10</v>
      </c>
      <c r="P7439">
        <v>3464</v>
      </c>
      <c r="Q7439" t="s">
        <v>2369</v>
      </c>
      <c r="R7439" t="s">
        <v>201</v>
      </c>
      <c r="S7439">
        <v>1</v>
      </c>
      <c r="T7439">
        <v>1</v>
      </c>
      <c r="U7439">
        <v>108432</v>
      </c>
      <c r="V7439">
        <v>108432</v>
      </c>
    </row>
    <row r="7440" spans="1:22">
      <c r="A7440" t="s">
        <v>2333</v>
      </c>
      <c r="B7440">
        <v>41</v>
      </c>
      <c r="C7440" t="s">
        <v>1097</v>
      </c>
      <c r="D7440" t="s">
        <v>2364</v>
      </c>
      <c r="E7440" t="s">
        <v>2365</v>
      </c>
      <c r="F7440">
        <v>1005</v>
      </c>
      <c r="G7440" t="s">
        <v>111</v>
      </c>
      <c r="H7440" t="s">
        <v>2375</v>
      </c>
      <c r="I7440" t="s">
        <v>72</v>
      </c>
      <c r="J7440" t="s">
        <v>2376</v>
      </c>
      <c r="K7440" t="s">
        <v>2377</v>
      </c>
      <c r="L7440">
        <v>0</v>
      </c>
      <c r="N7440" t="s">
        <v>251</v>
      </c>
      <c r="O7440">
        <v>10</v>
      </c>
      <c r="P7440">
        <v>3464</v>
      </c>
      <c r="Q7440" t="s">
        <v>2369</v>
      </c>
      <c r="R7440" t="s">
        <v>201</v>
      </c>
      <c r="S7440">
        <v>1</v>
      </c>
      <c r="T7440">
        <v>1</v>
      </c>
      <c r="U7440">
        <v>83052</v>
      </c>
      <c r="V7440">
        <v>83052</v>
      </c>
    </row>
    <row r="7441" spans="1:22">
      <c r="A7441" t="s">
        <v>2333</v>
      </c>
      <c r="B7441">
        <v>41</v>
      </c>
      <c r="C7441" t="s">
        <v>1097</v>
      </c>
      <c r="D7441" t="s">
        <v>2364</v>
      </c>
      <c r="E7441" t="s">
        <v>2365</v>
      </c>
      <c r="F7441">
        <v>1005</v>
      </c>
      <c r="G7441" t="s">
        <v>111</v>
      </c>
      <c r="H7441" t="s">
        <v>2375</v>
      </c>
      <c r="I7441" t="s">
        <v>72</v>
      </c>
      <c r="J7441" t="s">
        <v>2376</v>
      </c>
      <c r="K7441" t="s">
        <v>2377</v>
      </c>
      <c r="L7441">
        <v>0</v>
      </c>
      <c r="N7441" t="s">
        <v>245</v>
      </c>
      <c r="O7441">
        <v>20</v>
      </c>
      <c r="P7441">
        <v>3408</v>
      </c>
      <c r="Q7441" t="s">
        <v>1110</v>
      </c>
      <c r="R7441" t="s">
        <v>201</v>
      </c>
      <c r="S7441">
        <v>1</v>
      </c>
      <c r="T7441">
        <v>1</v>
      </c>
      <c r="U7441">
        <v>121320</v>
      </c>
      <c r="V7441">
        <v>121320</v>
      </c>
    </row>
    <row r="7442" spans="1:22">
      <c r="A7442" t="s">
        <v>2333</v>
      </c>
      <c r="B7442">
        <v>41</v>
      </c>
      <c r="C7442" t="s">
        <v>1097</v>
      </c>
      <c r="D7442" t="s">
        <v>2364</v>
      </c>
      <c r="E7442" t="s">
        <v>2365</v>
      </c>
      <c r="F7442">
        <v>1005</v>
      </c>
      <c r="G7442" t="s">
        <v>111</v>
      </c>
      <c r="H7442" t="s">
        <v>2375</v>
      </c>
      <c r="I7442" t="s">
        <v>72</v>
      </c>
      <c r="J7442" t="s">
        <v>2376</v>
      </c>
      <c r="K7442" t="s">
        <v>2377</v>
      </c>
      <c r="L7442">
        <v>0</v>
      </c>
      <c r="N7442" t="s">
        <v>297</v>
      </c>
      <c r="O7442">
        <v>20</v>
      </c>
      <c r="P7442">
        <v>3405</v>
      </c>
      <c r="Q7442" t="s">
        <v>2371</v>
      </c>
      <c r="R7442" t="s">
        <v>201</v>
      </c>
      <c r="S7442">
        <v>1</v>
      </c>
      <c r="T7442">
        <v>1</v>
      </c>
      <c r="U7442">
        <v>106272</v>
      </c>
      <c r="V7442">
        <v>106272</v>
      </c>
    </row>
    <row r="7443" spans="1:22">
      <c r="A7443" t="s">
        <v>2333</v>
      </c>
      <c r="B7443">
        <v>41</v>
      </c>
      <c r="C7443" t="s">
        <v>1097</v>
      </c>
      <c r="D7443" t="s">
        <v>2364</v>
      </c>
      <c r="E7443" t="s">
        <v>2365</v>
      </c>
      <c r="F7443">
        <v>1005</v>
      </c>
      <c r="G7443" t="s">
        <v>111</v>
      </c>
      <c r="H7443" t="s">
        <v>2375</v>
      </c>
      <c r="I7443" t="s">
        <v>72</v>
      </c>
      <c r="J7443" t="s">
        <v>2376</v>
      </c>
      <c r="K7443" t="s">
        <v>2377</v>
      </c>
      <c r="L7443">
        <v>0</v>
      </c>
      <c r="N7443" t="s">
        <v>249</v>
      </c>
      <c r="O7443">
        <v>10</v>
      </c>
      <c r="P7443">
        <v>3092</v>
      </c>
      <c r="Q7443" t="s">
        <v>750</v>
      </c>
      <c r="R7443" t="s">
        <v>201</v>
      </c>
      <c r="S7443">
        <v>1</v>
      </c>
      <c r="T7443">
        <v>1</v>
      </c>
      <c r="U7443">
        <v>97836</v>
      </c>
      <c r="V7443">
        <v>97836</v>
      </c>
    </row>
    <row r="7444" spans="1:22">
      <c r="A7444" t="s">
        <v>2333</v>
      </c>
      <c r="B7444">
        <v>41</v>
      </c>
      <c r="C7444" t="s">
        <v>1097</v>
      </c>
      <c r="D7444" t="s">
        <v>2364</v>
      </c>
      <c r="E7444" t="s">
        <v>2365</v>
      </c>
      <c r="F7444">
        <v>1005</v>
      </c>
      <c r="G7444" t="s">
        <v>111</v>
      </c>
      <c r="H7444" t="s">
        <v>2375</v>
      </c>
      <c r="I7444" t="s">
        <v>72</v>
      </c>
      <c r="J7444" t="s">
        <v>2376</v>
      </c>
      <c r="K7444" t="s">
        <v>2377</v>
      </c>
      <c r="L7444">
        <v>0</v>
      </c>
      <c r="N7444" t="s">
        <v>251</v>
      </c>
      <c r="O7444">
        <v>10</v>
      </c>
      <c r="P7444">
        <v>3076</v>
      </c>
      <c r="Q7444" t="s">
        <v>1857</v>
      </c>
      <c r="R7444" t="s">
        <v>201</v>
      </c>
      <c r="S7444">
        <v>1</v>
      </c>
      <c r="T7444">
        <v>1</v>
      </c>
      <c r="U7444">
        <v>124584</v>
      </c>
      <c r="V7444">
        <v>124584</v>
      </c>
    </row>
    <row r="7445" spans="1:22">
      <c r="A7445" t="s">
        <v>2333</v>
      </c>
      <c r="B7445">
        <v>41</v>
      </c>
      <c r="C7445" t="s">
        <v>1097</v>
      </c>
      <c r="D7445" t="s">
        <v>2364</v>
      </c>
      <c r="E7445" t="s">
        <v>2365</v>
      </c>
      <c r="F7445">
        <v>1005</v>
      </c>
      <c r="G7445" t="s">
        <v>111</v>
      </c>
      <c r="H7445" t="s">
        <v>2375</v>
      </c>
      <c r="I7445" t="s">
        <v>72</v>
      </c>
      <c r="J7445" t="s">
        <v>2376</v>
      </c>
      <c r="K7445" t="s">
        <v>2377</v>
      </c>
      <c r="L7445">
        <v>0</v>
      </c>
      <c r="N7445" t="s">
        <v>356</v>
      </c>
      <c r="O7445">
        <v>3</v>
      </c>
      <c r="P7445">
        <v>2989</v>
      </c>
      <c r="Q7445" t="s">
        <v>2351</v>
      </c>
      <c r="R7445" t="s">
        <v>201</v>
      </c>
      <c r="S7445">
        <v>2</v>
      </c>
      <c r="T7445">
        <v>1</v>
      </c>
      <c r="U7445">
        <v>102516</v>
      </c>
      <c r="V7445">
        <v>205032</v>
      </c>
    </row>
    <row r="7446" spans="1:22">
      <c r="A7446" t="s">
        <v>2333</v>
      </c>
      <c r="B7446">
        <v>41</v>
      </c>
      <c r="C7446" t="s">
        <v>1097</v>
      </c>
      <c r="D7446" t="s">
        <v>2364</v>
      </c>
      <c r="E7446" t="s">
        <v>2365</v>
      </c>
      <c r="F7446">
        <v>1005</v>
      </c>
      <c r="G7446" t="s">
        <v>111</v>
      </c>
      <c r="H7446" t="s">
        <v>2375</v>
      </c>
      <c r="I7446" t="s">
        <v>72</v>
      </c>
      <c r="J7446" t="s">
        <v>2376</v>
      </c>
      <c r="K7446" t="s">
        <v>2377</v>
      </c>
      <c r="L7446">
        <v>0</v>
      </c>
      <c r="N7446" t="s">
        <v>356</v>
      </c>
      <c r="O7446">
        <v>3</v>
      </c>
      <c r="P7446">
        <v>2989</v>
      </c>
      <c r="Q7446" t="s">
        <v>2351</v>
      </c>
      <c r="R7446" t="s">
        <v>201</v>
      </c>
      <c r="S7446">
        <v>2</v>
      </c>
      <c r="T7446">
        <v>1</v>
      </c>
      <c r="U7446">
        <v>97488</v>
      </c>
      <c r="V7446">
        <v>194976</v>
      </c>
    </row>
    <row r="7447" spans="1:22">
      <c r="A7447" t="s">
        <v>2333</v>
      </c>
      <c r="B7447">
        <v>41</v>
      </c>
      <c r="C7447" t="s">
        <v>1097</v>
      </c>
      <c r="D7447" t="s">
        <v>2364</v>
      </c>
      <c r="E7447" t="s">
        <v>2365</v>
      </c>
      <c r="F7447">
        <v>1005</v>
      </c>
      <c r="G7447" t="s">
        <v>111</v>
      </c>
      <c r="H7447" t="s">
        <v>2375</v>
      </c>
      <c r="I7447" t="s">
        <v>72</v>
      </c>
      <c r="J7447" t="s">
        <v>2376</v>
      </c>
      <c r="K7447" t="s">
        <v>2377</v>
      </c>
      <c r="L7447">
        <v>0</v>
      </c>
      <c r="N7447" t="s">
        <v>274</v>
      </c>
      <c r="O7447">
        <v>20</v>
      </c>
      <c r="P7447">
        <v>2901</v>
      </c>
      <c r="Q7447" t="s">
        <v>1101</v>
      </c>
      <c r="R7447" t="s">
        <v>201</v>
      </c>
      <c r="S7447">
        <v>1</v>
      </c>
      <c r="T7447">
        <v>1</v>
      </c>
      <c r="U7447">
        <v>153384</v>
      </c>
      <c r="V7447">
        <v>153384</v>
      </c>
    </row>
    <row r="7448" spans="1:22">
      <c r="A7448" t="s">
        <v>2333</v>
      </c>
      <c r="B7448">
        <v>41</v>
      </c>
      <c r="C7448" t="s">
        <v>1097</v>
      </c>
      <c r="D7448" t="s">
        <v>2364</v>
      </c>
      <c r="E7448" t="s">
        <v>2365</v>
      </c>
      <c r="F7448">
        <v>1005</v>
      </c>
      <c r="G7448" t="s">
        <v>111</v>
      </c>
      <c r="H7448" t="s">
        <v>2375</v>
      </c>
      <c r="I7448" t="s">
        <v>72</v>
      </c>
      <c r="J7448" t="s">
        <v>2376</v>
      </c>
      <c r="K7448" t="s">
        <v>2377</v>
      </c>
      <c r="L7448">
        <v>0</v>
      </c>
      <c r="N7448" t="s">
        <v>372</v>
      </c>
      <c r="O7448">
        <v>4</v>
      </c>
      <c r="P7448">
        <v>1912</v>
      </c>
      <c r="Q7448" t="s">
        <v>608</v>
      </c>
      <c r="R7448" t="s">
        <v>201</v>
      </c>
      <c r="S7448">
        <v>1</v>
      </c>
      <c r="T7448">
        <v>1</v>
      </c>
      <c r="U7448">
        <v>81324</v>
      </c>
      <c r="V7448">
        <v>81324</v>
      </c>
    </row>
    <row r="7449" spans="1:22">
      <c r="A7449" t="s">
        <v>2333</v>
      </c>
      <c r="B7449">
        <v>41</v>
      </c>
      <c r="C7449" t="s">
        <v>1097</v>
      </c>
      <c r="D7449" t="s">
        <v>2364</v>
      </c>
      <c r="E7449" t="s">
        <v>2365</v>
      </c>
      <c r="F7449">
        <v>1005</v>
      </c>
      <c r="G7449" t="s">
        <v>111</v>
      </c>
      <c r="H7449" t="s">
        <v>2375</v>
      </c>
      <c r="I7449" t="s">
        <v>72</v>
      </c>
      <c r="J7449" t="s">
        <v>2376</v>
      </c>
      <c r="K7449" t="s">
        <v>2377</v>
      </c>
      <c r="L7449">
        <v>0</v>
      </c>
      <c r="N7449" t="s">
        <v>372</v>
      </c>
      <c r="O7449">
        <v>4</v>
      </c>
      <c r="P7449">
        <v>1912</v>
      </c>
      <c r="Q7449" t="s">
        <v>608</v>
      </c>
      <c r="R7449" t="s">
        <v>201</v>
      </c>
      <c r="S7449">
        <v>1</v>
      </c>
      <c r="T7449">
        <v>1</v>
      </c>
      <c r="U7449">
        <v>75336</v>
      </c>
      <c r="V7449">
        <v>75336</v>
      </c>
    </row>
    <row r="7450" spans="1:22">
      <c r="A7450" t="s">
        <v>2333</v>
      </c>
      <c r="B7450">
        <v>41</v>
      </c>
      <c r="C7450" t="s">
        <v>1097</v>
      </c>
      <c r="D7450" t="s">
        <v>2364</v>
      </c>
      <c r="E7450" t="s">
        <v>2365</v>
      </c>
      <c r="F7450">
        <v>1005</v>
      </c>
      <c r="G7450" t="s">
        <v>111</v>
      </c>
      <c r="H7450" t="s">
        <v>2375</v>
      </c>
      <c r="I7450" t="s">
        <v>72</v>
      </c>
      <c r="J7450" t="s">
        <v>2376</v>
      </c>
      <c r="K7450" t="s">
        <v>2377</v>
      </c>
      <c r="L7450">
        <v>0</v>
      </c>
      <c r="N7450" t="s">
        <v>253</v>
      </c>
      <c r="O7450">
        <v>20</v>
      </c>
      <c r="P7450">
        <v>1318</v>
      </c>
      <c r="Q7450" t="s">
        <v>934</v>
      </c>
      <c r="R7450" t="s">
        <v>201</v>
      </c>
      <c r="S7450">
        <v>1</v>
      </c>
      <c r="T7450">
        <v>1</v>
      </c>
      <c r="U7450">
        <v>93384</v>
      </c>
      <c r="V7450">
        <v>93384</v>
      </c>
    </row>
    <row r="7451" spans="1:22">
      <c r="A7451" t="s">
        <v>2333</v>
      </c>
      <c r="B7451">
        <v>41</v>
      </c>
      <c r="C7451" t="s">
        <v>1097</v>
      </c>
      <c r="D7451" t="s">
        <v>2364</v>
      </c>
      <c r="E7451" t="s">
        <v>2365</v>
      </c>
      <c r="F7451">
        <v>1005</v>
      </c>
      <c r="G7451" t="s">
        <v>111</v>
      </c>
      <c r="H7451" t="s">
        <v>2375</v>
      </c>
      <c r="I7451" t="s">
        <v>72</v>
      </c>
      <c r="J7451" t="s">
        <v>2376</v>
      </c>
      <c r="K7451" t="s">
        <v>2377</v>
      </c>
      <c r="L7451">
        <v>0</v>
      </c>
      <c r="N7451" t="s">
        <v>360</v>
      </c>
      <c r="O7451">
        <v>5</v>
      </c>
      <c r="P7451">
        <v>901</v>
      </c>
      <c r="Q7451" t="s">
        <v>2092</v>
      </c>
      <c r="R7451" t="s">
        <v>201</v>
      </c>
      <c r="S7451">
        <v>1</v>
      </c>
      <c r="T7451">
        <v>1</v>
      </c>
      <c r="U7451">
        <v>67608</v>
      </c>
      <c r="V7451">
        <v>67608</v>
      </c>
    </row>
    <row r="7452" spans="1:22">
      <c r="A7452" t="s">
        <v>2333</v>
      </c>
      <c r="B7452">
        <v>41</v>
      </c>
      <c r="C7452" t="s">
        <v>1097</v>
      </c>
      <c r="D7452" t="s">
        <v>2364</v>
      </c>
      <c r="E7452" t="s">
        <v>2365</v>
      </c>
      <c r="F7452">
        <v>1005</v>
      </c>
      <c r="G7452" t="s">
        <v>111</v>
      </c>
      <c r="H7452" t="s">
        <v>2375</v>
      </c>
      <c r="I7452" t="s">
        <v>72</v>
      </c>
      <c r="J7452" t="s">
        <v>2376</v>
      </c>
      <c r="K7452" t="s">
        <v>2377</v>
      </c>
      <c r="L7452">
        <v>0</v>
      </c>
      <c r="N7452" t="s">
        <v>688</v>
      </c>
      <c r="O7452">
        <v>4</v>
      </c>
      <c r="P7452">
        <v>684</v>
      </c>
      <c r="Q7452" t="s">
        <v>1114</v>
      </c>
      <c r="R7452" t="s">
        <v>201</v>
      </c>
      <c r="S7452">
        <v>1</v>
      </c>
      <c r="T7452">
        <v>1</v>
      </c>
      <c r="U7452">
        <v>92940</v>
      </c>
      <c r="V7452">
        <v>92940</v>
      </c>
    </row>
    <row r="7453" spans="1:22">
      <c r="A7453" t="s">
        <v>2333</v>
      </c>
      <c r="B7453">
        <v>41</v>
      </c>
      <c r="C7453" t="s">
        <v>1097</v>
      </c>
      <c r="D7453" t="s">
        <v>2364</v>
      </c>
      <c r="E7453" t="s">
        <v>2365</v>
      </c>
      <c r="F7453">
        <v>1005</v>
      </c>
      <c r="G7453" t="s">
        <v>111</v>
      </c>
      <c r="H7453" t="s">
        <v>2375</v>
      </c>
      <c r="I7453" t="s">
        <v>72</v>
      </c>
      <c r="J7453" t="s">
        <v>2376</v>
      </c>
      <c r="K7453" t="s">
        <v>2377</v>
      </c>
      <c r="L7453">
        <v>0</v>
      </c>
      <c r="N7453" t="s">
        <v>255</v>
      </c>
      <c r="O7453">
        <v>1</v>
      </c>
      <c r="P7453">
        <v>653</v>
      </c>
      <c r="Q7453" t="s">
        <v>2235</v>
      </c>
      <c r="R7453" t="s">
        <v>201</v>
      </c>
      <c r="S7453">
        <v>1</v>
      </c>
      <c r="T7453">
        <v>1</v>
      </c>
      <c r="U7453">
        <v>97956</v>
      </c>
      <c r="V7453">
        <v>97956</v>
      </c>
    </row>
    <row r="7454" spans="1:22">
      <c r="A7454" t="s">
        <v>2333</v>
      </c>
      <c r="B7454">
        <v>41</v>
      </c>
      <c r="C7454" t="s">
        <v>1097</v>
      </c>
      <c r="D7454" t="s">
        <v>2364</v>
      </c>
      <c r="E7454" t="s">
        <v>2365</v>
      </c>
      <c r="F7454">
        <v>1005</v>
      </c>
      <c r="G7454" t="s">
        <v>111</v>
      </c>
      <c r="H7454" t="s">
        <v>2375</v>
      </c>
      <c r="I7454" t="s">
        <v>72</v>
      </c>
      <c r="J7454" t="s">
        <v>2376</v>
      </c>
      <c r="K7454" t="s">
        <v>2377</v>
      </c>
      <c r="L7454">
        <v>0</v>
      </c>
      <c r="N7454" t="s">
        <v>602</v>
      </c>
      <c r="O7454">
        <v>4</v>
      </c>
      <c r="P7454">
        <v>635</v>
      </c>
      <c r="Q7454" t="s">
        <v>645</v>
      </c>
      <c r="R7454" t="s">
        <v>201</v>
      </c>
      <c r="S7454">
        <v>1</v>
      </c>
      <c r="T7454">
        <v>1</v>
      </c>
      <c r="U7454">
        <v>107628</v>
      </c>
      <c r="V7454">
        <v>107628</v>
      </c>
    </row>
    <row r="7455" spans="1:22">
      <c r="A7455" t="s">
        <v>2333</v>
      </c>
      <c r="B7455">
        <v>41</v>
      </c>
      <c r="C7455" t="s">
        <v>1097</v>
      </c>
      <c r="D7455" t="s">
        <v>2364</v>
      </c>
      <c r="E7455" t="s">
        <v>2365</v>
      </c>
      <c r="F7455">
        <v>1005</v>
      </c>
      <c r="G7455" t="s">
        <v>111</v>
      </c>
      <c r="H7455" t="s">
        <v>2375</v>
      </c>
      <c r="I7455" t="s">
        <v>72</v>
      </c>
      <c r="J7455" t="s">
        <v>2376</v>
      </c>
      <c r="K7455" t="s">
        <v>2377</v>
      </c>
      <c r="L7455">
        <v>0</v>
      </c>
      <c r="N7455" t="s">
        <v>386</v>
      </c>
      <c r="O7455">
        <v>1</v>
      </c>
      <c r="P7455">
        <v>629</v>
      </c>
      <c r="Q7455" t="s">
        <v>687</v>
      </c>
      <c r="R7455" t="s">
        <v>201</v>
      </c>
      <c r="S7455">
        <v>1</v>
      </c>
      <c r="T7455">
        <v>1</v>
      </c>
      <c r="U7455">
        <v>122928</v>
      </c>
      <c r="V7455">
        <v>122928</v>
      </c>
    </row>
    <row r="7456" spans="1:22">
      <c r="A7456" t="s">
        <v>2333</v>
      </c>
      <c r="B7456">
        <v>41</v>
      </c>
      <c r="C7456" t="s">
        <v>1097</v>
      </c>
      <c r="D7456" t="s">
        <v>2364</v>
      </c>
      <c r="E7456" t="s">
        <v>2365</v>
      </c>
      <c r="F7456">
        <v>1005</v>
      </c>
      <c r="G7456" t="s">
        <v>111</v>
      </c>
      <c r="H7456" t="s">
        <v>2375</v>
      </c>
      <c r="I7456" t="s">
        <v>72</v>
      </c>
      <c r="J7456" t="s">
        <v>2376</v>
      </c>
      <c r="K7456" t="s">
        <v>2377</v>
      </c>
      <c r="L7456">
        <v>0</v>
      </c>
      <c r="N7456" t="s">
        <v>809</v>
      </c>
      <c r="O7456">
        <v>1</v>
      </c>
      <c r="P7456">
        <v>460</v>
      </c>
      <c r="Q7456" t="s">
        <v>810</v>
      </c>
      <c r="R7456" t="s">
        <v>201</v>
      </c>
      <c r="S7456">
        <v>1</v>
      </c>
      <c r="T7456">
        <v>1</v>
      </c>
      <c r="U7456">
        <v>48864</v>
      </c>
      <c r="V7456">
        <v>48864</v>
      </c>
    </row>
    <row r="7457" spans="1:22">
      <c r="A7457" t="s">
        <v>2333</v>
      </c>
      <c r="B7457">
        <v>41</v>
      </c>
      <c r="C7457" t="s">
        <v>1097</v>
      </c>
      <c r="D7457" t="s">
        <v>2364</v>
      </c>
      <c r="E7457" t="s">
        <v>2365</v>
      </c>
      <c r="F7457">
        <v>1005</v>
      </c>
      <c r="G7457" t="s">
        <v>111</v>
      </c>
      <c r="H7457" t="s">
        <v>2375</v>
      </c>
      <c r="I7457" t="s">
        <v>72</v>
      </c>
      <c r="J7457" t="s">
        <v>2376</v>
      </c>
      <c r="K7457" t="s">
        <v>2377</v>
      </c>
      <c r="L7457">
        <v>0</v>
      </c>
      <c r="N7457" t="s">
        <v>839</v>
      </c>
      <c r="O7457">
        <v>9</v>
      </c>
      <c r="P7457">
        <v>404</v>
      </c>
      <c r="Q7457" t="s">
        <v>2378</v>
      </c>
      <c r="R7457" t="s">
        <v>713</v>
      </c>
      <c r="S7457">
        <v>2</v>
      </c>
      <c r="T7457">
        <v>1</v>
      </c>
      <c r="U7457">
        <v>16.2</v>
      </c>
      <c r="V7457">
        <v>67392</v>
      </c>
    </row>
    <row r="7458" spans="1:22">
      <c r="A7458" t="s">
        <v>2333</v>
      </c>
      <c r="B7458">
        <v>41</v>
      </c>
      <c r="C7458" t="s">
        <v>1097</v>
      </c>
      <c r="D7458" t="s">
        <v>2364</v>
      </c>
      <c r="E7458" t="s">
        <v>2365</v>
      </c>
      <c r="F7458">
        <v>1005</v>
      </c>
      <c r="G7458" t="s">
        <v>111</v>
      </c>
      <c r="H7458" t="s">
        <v>2375</v>
      </c>
      <c r="I7458" t="s">
        <v>72</v>
      </c>
      <c r="J7458" t="s">
        <v>2376</v>
      </c>
      <c r="K7458" t="s">
        <v>2377</v>
      </c>
      <c r="L7458">
        <v>0</v>
      </c>
      <c r="N7458" t="s">
        <v>351</v>
      </c>
      <c r="O7458">
        <v>1</v>
      </c>
      <c r="P7458" t="s">
        <v>352</v>
      </c>
      <c r="Q7458" t="s">
        <v>353</v>
      </c>
      <c r="R7458" t="s">
        <v>201</v>
      </c>
      <c r="S7458">
        <v>1</v>
      </c>
      <c r="T7458">
        <v>1</v>
      </c>
      <c r="U7458">
        <v>64488</v>
      </c>
      <c r="V7458">
        <v>64488</v>
      </c>
    </row>
    <row r="7459" spans="1:22">
      <c r="A7459" t="s">
        <v>2333</v>
      </c>
      <c r="B7459">
        <v>41</v>
      </c>
      <c r="C7459" t="s">
        <v>1097</v>
      </c>
      <c r="D7459" t="s">
        <v>2364</v>
      </c>
      <c r="E7459" t="s">
        <v>2365</v>
      </c>
      <c r="F7459">
        <v>1005</v>
      </c>
      <c r="G7459" t="s">
        <v>111</v>
      </c>
      <c r="H7459" t="s">
        <v>2375</v>
      </c>
      <c r="I7459" t="s">
        <v>72</v>
      </c>
      <c r="J7459" t="s">
        <v>2376</v>
      </c>
      <c r="K7459" t="s">
        <v>2377</v>
      </c>
      <c r="L7459">
        <v>0</v>
      </c>
      <c r="N7459" t="s">
        <v>274</v>
      </c>
      <c r="O7459">
        <v>9</v>
      </c>
      <c r="P7459">
        <v>313</v>
      </c>
      <c r="Q7459" t="s">
        <v>605</v>
      </c>
      <c r="R7459" t="s">
        <v>201</v>
      </c>
      <c r="S7459">
        <v>1</v>
      </c>
      <c r="T7459">
        <v>1</v>
      </c>
      <c r="U7459">
        <v>137532</v>
      </c>
      <c r="V7459">
        <v>137532</v>
      </c>
    </row>
    <row r="7460" spans="1:22">
      <c r="A7460" t="s">
        <v>2333</v>
      </c>
      <c r="B7460">
        <v>41</v>
      </c>
      <c r="C7460" t="s">
        <v>1097</v>
      </c>
      <c r="D7460" t="s">
        <v>2364</v>
      </c>
      <c r="E7460" t="s">
        <v>2365</v>
      </c>
      <c r="F7460">
        <v>1005</v>
      </c>
      <c r="G7460" t="s">
        <v>111</v>
      </c>
      <c r="H7460" t="s">
        <v>2375</v>
      </c>
      <c r="I7460" t="s">
        <v>72</v>
      </c>
      <c r="J7460" t="s">
        <v>2376</v>
      </c>
      <c r="K7460" t="s">
        <v>2377</v>
      </c>
      <c r="L7460">
        <v>0</v>
      </c>
      <c r="N7460" t="s">
        <v>249</v>
      </c>
      <c r="O7460">
        <v>10</v>
      </c>
      <c r="P7460">
        <v>311</v>
      </c>
      <c r="Q7460" t="s">
        <v>661</v>
      </c>
      <c r="R7460" t="s">
        <v>201</v>
      </c>
      <c r="S7460">
        <v>1</v>
      </c>
      <c r="T7460">
        <v>1</v>
      </c>
      <c r="U7460">
        <v>136692</v>
      </c>
      <c r="V7460">
        <v>136692</v>
      </c>
    </row>
    <row r="7461" spans="1:22">
      <c r="A7461" t="s">
        <v>2333</v>
      </c>
      <c r="B7461">
        <v>41</v>
      </c>
      <c r="C7461" t="s">
        <v>1097</v>
      </c>
      <c r="D7461" t="s">
        <v>2364</v>
      </c>
      <c r="E7461" t="s">
        <v>2365</v>
      </c>
      <c r="F7461">
        <v>1005</v>
      </c>
      <c r="G7461" t="s">
        <v>111</v>
      </c>
      <c r="H7461" t="s">
        <v>2375</v>
      </c>
      <c r="I7461" t="s">
        <v>72</v>
      </c>
      <c r="J7461" t="s">
        <v>2376</v>
      </c>
      <c r="K7461" t="s">
        <v>2377</v>
      </c>
      <c r="L7461">
        <v>0</v>
      </c>
      <c r="N7461" t="s">
        <v>249</v>
      </c>
      <c r="O7461">
        <v>10</v>
      </c>
      <c r="P7461">
        <v>311</v>
      </c>
      <c r="Q7461" t="s">
        <v>661</v>
      </c>
      <c r="R7461" t="s">
        <v>201</v>
      </c>
      <c r="S7461">
        <v>1</v>
      </c>
      <c r="T7461">
        <v>1</v>
      </c>
      <c r="U7461">
        <v>118956</v>
      </c>
      <c r="V7461">
        <v>118956</v>
      </c>
    </row>
    <row r="7462" spans="1:22">
      <c r="A7462" t="s">
        <v>2333</v>
      </c>
      <c r="B7462">
        <v>41</v>
      </c>
      <c r="C7462" t="s">
        <v>1097</v>
      </c>
      <c r="D7462" t="s">
        <v>2364</v>
      </c>
      <c r="E7462" t="s">
        <v>2365</v>
      </c>
      <c r="F7462">
        <v>1005</v>
      </c>
      <c r="G7462" t="s">
        <v>111</v>
      </c>
      <c r="H7462" t="s">
        <v>2375</v>
      </c>
      <c r="I7462" t="s">
        <v>72</v>
      </c>
      <c r="J7462" t="s">
        <v>2376</v>
      </c>
      <c r="K7462" t="s">
        <v>2377</v>
      </c>
      <c r="L7462">
        <v>0</v>
      </c>
      <c r="N7462" t="s">
        <v>249</v>
      </c>
      <c r="O7462">
        <v>10</v>
      </c>
      <c r="P7462">
        <v>311</v>
      </c>
      <c r="Q7462" t="s">
        <v>661</v>
      </c>
      <c r="R7462" t="s">
        <v>201</v>
      </c>
      <c r="S7462">
        <v>1</v>
      </c>
      <c r="T7462">
        <v>1</v>
      </c>
      <c r="U7462">
        <v>89112</v>
      </c>
      <c r="V7462">
        <v>89112</v>
      </c>
    </row>
    <row r="7463" spans="1:22">
      <c r="A7463" t="s">
        <v>2333</v>
      </c>
      <c r="B7463">
        <v>41</v>
      </c>
      <c r="C7463" t="s">
        <v>1097</v>
      </c>
      <c r="D7463" t="s">
        <v>2364</v>
      </c>
      <c r="E7463" t="s">
        <v>2365</v>
      </c>
      <c r="F7463">
        <v>1005</v>
      </c>
      <c r="G7463" t="s">
        <v>111</v>
      </c>
      <c r="H7463" t="s">
        <v>2375</v>
      </c>
      <c r="I7463" t="s">
        <v>72</v>
      </c>
      <c r="J7463" t="s">
        <v>2376</v>
      </c>
      <c r="K7463" t="s">
        <v>2377</v>
      </c>
      <c r="L7463">
        <v>0</v>
      </c>
      <c r="N7463" t="s">
        <v>249</v>
      </c>
      <c r="O7463">
        <v>10</v>
      </c>
      <c r="P7463">
        <v>310</v>
      </c>
      <c r="Q7463" t="s">
        <v>447</v>
      </c>
      <c r="R7463" t="s">
        <v>201</v>
      </c>
      <c r="S7463">
        <v>2</v>
      </c>
      <c r="T7463">
        <v>1</v>
      </c>
      <c r="U7463">
        <v>113568</v>
      </c>
      <c r="V7463">
        <v>227136</v>
      </c>
    </row>
    <row r="7464" spans="1:22">
      <c r="A7464" t="s">
        <v>2333</v>
      </c>
      <c r="B7464">
        <v>41</v>
      </c>
      <c r="C7464" t="s">
        <v>1097</v>
      </c>
      <c r="D7464" t="s">
        <v>2364</v>
      </c>
      <c r="E7464" t="s">
        <v>2365</v>
      </c>
      <c r="F7464">
        <v>1005</v>
      </c>
      <c r="G7464" t="s">
        <v>111</v>
      </c>
      <c r="H7464" t="s">
        <v>2375</v>
      </c>
      <c r="I7464" t="s">
        <v>72</v>
      </c>
      <c r="J7464" t="s">
        <v>2376</v>
      </c>
      <c r="K7464" t="s">
        <v>2377</v>
      </c>
      <c r="L7464">
        <v>0</v>
      </c>
      <c r="N7464" t="s">
        <v>249</v>
      </c>
      <c r="O7464">
        <v>10</v>
      </c>
      <c r="P7464">
        <v>310</v>
      </c>
      <c r="Q7464" t="s">
        <v>447</v>
      </c>
      <c r="R7464" t="s">
        <v>201</v>
      </c>
      <c r="S7464">
        <v>1</v>
      </c>
      <c r="T7464">
        <v>1</v>
      </c>
      <c r="U7464">
        <v>107340</v>
      </c>
      <c r="V7464">
        <v>107340</v>
      </c>
    </row>
    <row r="7465" spans="1:22">
      <c r="A7465" t="s">
        <v>2333</v>
      </c>
      <c r="B7465">
        <v>41</v>
      </c>
      <c r="C7465" t="s">
        <v>1097</v>
      </c>
      <c r="D7465" t="s">
        <v>2364</v>
      </c>
      <c r="E7465" t="s">
        <v>2365</v>
      </c>
      <c r="F7465">
        <v>1005</v>
      </c>
      <c r="G7465" t="s">
        <v>111</v>
      </c>
      <c r="H7465" t="s">
        <v>2375</v>
      </c>
      <c r="I7465" t="s">
        <v>72</v>
      </c>
      <c r="J7465" t="s">
        <v>2376</v>
      </c>
      <c r="K7465" t="s">
        <v>2377</v>
      </c>
      <c r="L7465">
        <v>0</v>
      </c>
      <c r="N7465" t="s">
        <v>249</v>
      </c>
      <c r="O7465">
        <v>10</v>
      </c>
      <c r="P7465">
        <v>310</v>
      </c>
      <c r="Q7465" t="s">
        <v>447</v>
      </c>
      <c r="R7465" t="s">
        <v>201</v>
      </c>
      <c r="S7465">
        <v>1</v>
      </c>
      <c r="T7465">
        <v>1</v>
      </c>
      <c r="U7465">
        <v>102444</v>
      </c>
      <c r="V7465">
        <v>102444</v>
      </c>
    </row>
    <row r="7466" spans="1:22">
      <c r="A7466" t="s">
        <v>2333</v>
      </c>
      <c r="B7466">
        <v>41</v>
      </c>
      <c r="C7466" t="s">
        <v>1097</v>
      </c>
      <c r="D7466" t="s">
        <v>2364</v>
      </c>
      <c r="E7466" t="s">
        <v>2365</v>
      </c>
      <c r="F7466">
        <v>1005</v>
      </c>
      <c r="G7466" t="s">
        <v>111</v>
      </c>
      <c r="H7466" t="s">
        <v>2375</v>
      </c>
      <c r="I7466" t="s">
        <v>72</v>
      </c>
      <c r="J7466" t="s">
        <v>2376</v>
      </c>
      <c r="K7466" t="s">
        <v>2377</v>
      </c>
      <c r="L7466">
        <v>0</v>
      </c>
      <c r="N7466" t="s">
        <v>249</v>
      </c>
      <c r="O7466">
        <v>10</v>
      </c>
      <c r="P7466">
        <v>310</v>
      </c>
      <c r="Q7466" t="s">
        <v>447</v>
      </c>
      <c r="R7466" t="s">
        <v>201</v>
      </c>
      <c r="S7466">
        <v>1</v>
      </c>
      <c r="T7466">
        <v>1</v>
      </c>
      <c r="U7466">
        <v>93384</v>
      </c>
      <c r="V7466">
        <v>93384</v>
      </c>
    </row>
    <row r="7467" spans="1:22">
      <c r="A7467" t="s">
        <v>2333</v>
      </c>
      <c r="B7467">
        <v>41</v>
      </c>
      <c r="C7467" t="s">
        <v>1097</v>
      </c>
      <c r="D7467" t="s">
        <v>2364</v>
      </c>
      <c r="E7467" t="s">
        <v>2365</v>
      </c>
      <c r="F7467">
        <v>1005</v>
      </c>
      <c r="G7467" t="s">
        <v>111</v>
      </c>
      <c r="H7467" t="s">
        <v>2375</v>
      </c>
      <c r="I7467" t="s">
        <v>72</v>
      </c>
      <c r="J7467" t="s">
        <v>2376</v>
      </c>
      <c r="K7467" t="s">
        <v>2377</v>
      </c>
      <c r="L7467">
        <v>0</v>
      </c>
      <c r="N7467" t="s">
        <v>249</v>
      </c>
      <c r="O7467">
        <v>10</v>
      </c>
      <c r="P7467">
        <v>310</v>
      </c>
      <c r="Q7467" t="s">
        <v>447</v>
      </c>
      <c r="R7467" t="s">
        <v>201</v>
      </c>
      <c r="S7467">
        <v>3</v>
      </c>
      <c r="T7467">
        <v>1</v>
      </c>
      <c r="U7467">
        <v>89112</v>
      </c>
      <c r="V7467">
        <v>267336</v>
      </c>
    </row>
    <row r="7468" spans="1:22">
      <c r="A7468" t="s">
        <v>2333</v>
      </c>
      <c r="B7468">
        <v>41</v>
      </c>
      <c r="C7468" t="s">
        <v>1097</v>
      </c>
      <c r="D7468" t="s">
        <v>2364</v>
      </c>
      <c r="E7468" t="s">
        <v>2365</v>
      </c>
      <c r="F7468">
        <v>1005</v>
      </c>
      <c r="G7468" t="s">
        <v>111</v>
      </c>
      <c r="H7468" t="s">
        <v>2375</v>
      </c>
      <c r="I7468" t="s">
        <v>72</v>
      </c>
      <c r="J7468" t="s">
        <v>2376</v>
      </c>
      <c r="K7468" t="s">
        <v>2377</v>
      </c>
      <c r="L7468">
        <v>0</v>
      </c>
      <c r="N7468" t="s">
        <v>245</v>
      </c>
      <c r="O7468">
        <v>20</v>
      </c>
      <c r="P7468">
        <v>289</v>
      </c>
      <c r="Q7468" t="s">
        <v>1017</v>
      </c>
      <c r="R7468" t="s">
        <v>201</v>
      </c>
      <c r="S7468">
        <v>1</v>
      </c>
      <c r="T7468">
        <v>1</v>
      </c>
      <c r="U7468">
        <v>111000</v>
      </c>
      <c r="V7468">
        <v>111000</v>
      </c>
    </row>
    <row r="7469" spans="1:22">
      <c r="A7469" t="s">
        <v>2333</v>
      </c>
      <c r="B7469">
        <v>41</v>
      </c>
      <c r="C7469" t="s">
        <v>1097</v>
      </c>
      <c r="D7469" t="s">
        <v>2364</v>
      </c>
      <c r="E7469" t="s">
        <v>2365</v>
      </c>
      <c r="F7469">
        <v>1005</v>
      </c>
      <c r="G7469" t="s">
        <v>111</v>
      </c>
      <c r="H7469" t="s">
        <v>2375</v>
      </c>
      <c r="I7469" t="s">
        <v>72</v>
      </c>
      <c r="J7469" t="s">
        <v>2376</v>
      </c>
      <c r="K7469" t="s">
        <v>2377</v>
      </c>
      <c r="L7469">
        <v>0</v>
      </c>
      <c r="N7469" t="s">
        <v>356</v>
      </c>
      <c r="O7469">
        <v>4</v>
      </c>
      <c r="P7469">
        <v>193</v>
      </c>
      <c r="Q7469" t="s">
        <v>647</v>
      </c>
      <c r="R7469" t="s">
        <v>201</v>
      </c>
      <c r="S7469">
        <v>1</v>
      </c>
      <c r="T7469">
        <v>1</v>
      </c>
      <c r="U7469">
        <v>107628</v>
      </c>
      <c r="V7469">
        <v>107628</v>
      </c>
    </row>
    <row r="7470" spans="1:22">
      <c r="A7470" t="s">
        <v>2333</v>
      </c>
      <c r="B7470">
        <v>41</v>
      </c>
      <c r="C7470" t="s">
        <v>1097</v>
      </c>
      <c r="D7470" t="s">
        <v>2364</v>
      </c>
      <c r="E7470" t="s">
        <v>2365</v>
      </c>
      <c r="F7470">
        <v>1005</v>
      </c>
      <c r="G7470" t="s">
        <v>111</v>
      </c>
      <c r="H7470" t="s">
        <v>2375</v>
      </c>
      <c r="I7470" t="s">
        <v>72</v>
      </c>
      <c r="J7470" t="s">
        <v>2376</v>
      </c>
      <c r="K7470" t="s">
        <v>2377</v>
      </c>
      <c r="L7470">
        <v>0</v>
      </c>
      <c r="N7470" t="s">
        <v>199</v>
      </c>
      <c r="O7470">
        <v>0</v>
      </c>
      <c r="P7470">
        <v>44</v>
      </c>
      <c r="Q7470" t="s">
        <v>2337</v>
      </c>
      <c r="R7470" t="s">
        <v>201</v>
      </c>
      <c r="S7470">
        <v>0</v>
      </c>
      <c r="T7470">
        <v>0</v>
      </c>
      <c r="U7470">
        <v>2302054</v>
      </c>
      <c r="V7470">
        <v>2302054</v>
      </c>
    </row>
    <row r="7471" spans="1:22">
      <c r="A7471" t="s">
        <v>2333</v>
      </c>
      <c r="B7471">
        <v>41</v>
      </c>
      <c r="C7471" t="s">
        <v>1097</v>
      </c>
      <c r="D7471" t="s">
        <v>2364</v>
      </c>
      <c r="E7471" t="s">
        <v>2365</v>
      </c>
      <c r="F7471">
        <v>1005</v>
      </c>
      <c r="G7471" t="s">
        <v>111</v>
      </c>
      <c r="H7471" t="s">
        <v>2375</v>
      </c>
      <c r="I7471" t="s">
        <v>72</v>
      </c>
      <c r="J7471" t="s">
        <v>2376</v>
      </c>
      <c r="K7471" t="s">
        <v>2377</v>
      </c>
      <c r="L7471">
        <v>0</v>
      </c>
      <c r="N7471" t="s">
        <v>199</v>
      </c>
      <c r="O7471">
        <v>0</v>
      </c>
      <c r="P7471">
        <v>15</v>
      </c>
      <c r="Q7471" t="s">
        <v>264</v>
      </c>
      <c r="R7471" t="s">
        <v>201</v>
      </c>
      <c r="S7471">
        <v>0</v>
      </c>
      <c r="T7471">
        <v>0</v>
      </c>
      <c r="U7471">
        <v>56844</v>
      </c>
      <c r="V7471">
        <v>56844</v>
      </c>
    </row>
    <row r="7472" spans="1:22">
      <c r="A7472" t="s">
        <v>2333</v>
      </c>
      <c r="B7472">
        <v>50</v>
      </c>
      <c r="C7472" t="s">
        <v>54</v>
      </c>
      <c r="D7472" t="s">
        <v>2364</v>
      </c>
      <c r="E7472" t="s">
        <v>2365</v>
      </c>
      <c r="F7472">
        <v>1005</v>
      </c>
      <c r="G7472" t="s">
        <v>54</v>
      </c>
      <c r="H7472" t="s">
        <v>2379</v>
      </c>
      <c r="I7472" t="s">
        <v>106</v>
      </c>
      <c r="J7472" t="s">
        <v>2380</v>
      </c>
      <c r="K7472" t="s">
        <v>2366</v>
      </c>
      <c r="L7472">
        <v>0</v>
      </c>
      <c r="N7472" t="s">
        <v>249</v>
      </c>
      <c r="O7472">
        <v>10</v>
      </c>
      <c r="P7472">
        <v>310</v>
      </c>
      <c r="Q7472" t="s">
        <v>447</v>
      </c>
      <c r="R7472" t="s">
        <v>201</v>
      </c>
      <c r="S7472">
        <v>1</v>
      </c>
      <c r="T7472">
        <v>1</v>
      </c>
      <c r="U7472">
        <v>107340</v>
      </c>
      <c r="V7472">
        <v>107340</v>
      </c>
    </row>
    <row r="7473" spans="1:22">
      <c r="A7473" t="s">
        <v>2333</v>
      </c>
      <c r="B7473">
        <v>50</v>
      </c>
      <c r="C7473" t="s">
        <v>54</v>
      </c>
      <c r="D7473" t="s">
        <v>2364</v>
      </c>
      <c r="E7473" t="s">
        <v>2365</v>
      </c>
      <c r="F7473">
        <v>1005</v>
      </c>
      <c r="G7473" t="s">
        <v>54</v>
      </c>
      <c r="H7473" t="s">
        <v>2379</v>
      </c>
      <c r="I7473" t="s">
        <v>106</v>
      </c>
      <c r="J7473" t="s">
        <v>2380</v>
      </c>
      <c r="K7473" t="s">
        <v>2366</v>
      </c>
      <c r="L7473">
        <v>0</v>
      </c>
      <c r="N7473" t="s">
        <v>249</v>
      </c>
      <c r="O7473">
        <v>10</v>
      </c>
      <c r="P7473">
        <v>310</v>
      </c>
      <c r="Q7473" t="s">
        <v>447</v>
      </c>
      <c r="R7473" t="s">
        <v>201</v>
      </c>
      <c r="S7473">
        <v>1</v>
      </c>
      <c r="T7473">
        <v>1</v>
      </c>
      <c r="U7473">
        <v>89112</v>
      </c>
      <c r="V7473">
        <v>89112</v>
      </c>
    </row>
    <row r="7474" spans="1:22">
      <c r="A7474" t="s">
        <v>2333</v>
      </c>
      <c r="B7474">
        <v>50</v>
      </c>
      <c r="C7474" t="s">
        <v>54</v>
      </c>
      <c r="D7474" t="s">
        <v>2364</v>
      </c>
      <c r="E7474" t="s">
        <v>2365</v>
      </c>
      <c r="F7474">
        <v>1005</v>
      </c>
      <c r="G7474" t="s">
        <v>54</v>
      </c>
      <c r="H7474" t="s">
        <v>2379</v>
      </c>
      <c r="I7474" t="s">
        <v>106</v>
      </c>
      <c r="J7474" t="s">
        <v>2380</v>
      </c>
      <c r="K7474" t="s">
        <v>2366</v>
      </c>
      <c r="L7474">
        <v>0</v>
      </c>
      <c r="N7474" t="s">
        <v>341</v>
      </c>
      <c r="O7474">
        <v>4</v>
      </c>
      <c r="P7474">
        <v>110</v>
      </c>
      <c r="Q7474" t="s">
        <v>359</v>
      </c>
      <c r="R7474" t="s">
        <v>201</v>
      </c>
      <c r="S7474">
        <v>1</v>
      </c>
      <c r="T7474">
        <v>1</v>
      </c>
      <c r="U7474">
        <v>113628</v>
      </c>
      <c r="V7474">
        <v>113628</v>
      </c>
    </row>
    <row r="7475" spans="1:22">
      <c r="A7475" t="s">
        <v>2333</v>
      </c>
      <c r="B7475">
        <v>50</v>
      </c>
      <c r="C7475" t="s">
        <v>54</v>
      </c>
      <c r="D7475" t="s">
        <v>2364</v>
      </c>
      <c r="E7475" t="s">
        <v>2365</v>
      </c>
      <c r="F7475">
        <v>1005</v>
      </c>
      <c r="G7475" t="s">
        <v>54</v>
      </c>
      <c r="H7475" t="s">
        <v>2379</v>
      </c>
      <c r="I7475" t="s">
        <v>106</v>
      </c>
      <c r="J7475" t="s">
        <v>2380</v>
      </c>
      <c r="K7475" t="s">
        <v>2366</v>
      </c>
      <c r="L7475">
        <v>0</v>
      </c>
      <c r="N7475" t="s">
        <v>199</v>
      </c>
      <c r="O7475">
        <v>0</v>
      </c>
      <c r="P7475">
        <v>44</v>
      </c>
      <c r="Q7475" t="s">
        <v>2337</v>
      </c>
      <c r="R7475" t="s">
        <v>201</v>
      </c>
      <c r="S7475">
        <v>0</v>
      </c>
      <c r="T7475">
        <v>0</v>
      </c>
      <c r="U7475">
        <v>173520</v>
      </c>
      <c r="V7475">
        <v>173520</v>
      </c>
    </row>
    <row r="7476" spans="1:22">
      <c r="A7476" t="s">
        <v>2333</v>
      </c>
      <c r="B7476">
        <v>50</v>
      </c>
      <c r="C7476" t="s">
        <v>54</v>
      </c>
      <c r="D7476" t="s">
        <v>2364</v>
      </c>
      <c r="E7476" t="s">
        <v>2365</v>
      </c>
      <c r="F7476">
        <v>1005</v>
      </c>
      <c r="G7476" t="s">
        <v>54</v>
      </c>
      <c r="H7476" t="s">
        <v>2379</v>
      </c>
      <c r="I7476" t="s">
        <v>106</v>
      </c>
      <c r="J7476" t="s">
        <v>2380</v>
      </c>
      <c r="K7476" t="s">
        <v>2366</v>
      </c>
      <c r="L7476">
        <v>0</v>
      </c>
      <c r="N7476" t="s">
        <v>199</v>
      </c>
      <c r="O7476">
        <v>0</v>
      </c>
      <c r="P7476">
        <v>15</v>
      </c>
      <c r="Q7476" t="s">
        <v>264</v>
      </c>
      <c r="R7476" t="s">
        <v>201</v>
      </c>
      <c r="S7476">
        <v>0</v>
      </c>
      <c r="T7476">
        <v>0</v>
      </c>
      <c r="U7476">
        <v>5237</v>
      </c>
      <c r="V7476">
        <v>5237</v>
      </c>
    </row>
    <row r="7477" spans="1:22">
      <c r="A7477" t="s">
        <v>2333</v>
      </c>
      <c r="B7477">
        <v>5</v>
      </c>
      <c r="C7477" t="s">
        <v>83</v>
      </c>
      <c r="D7477" t="s">
        <v>2381</v>
      </c>
      <c r="E7477" t="s">
        <v>2382</v>
      </c>
      <c r="F7477">
        <v>1005</v>
      </c>
      <c r="G7477" t="s">
        <v>83</v>
      </c>
      <c r="H7477">
        <v>2825</v>
      </c>
      <c r="I7477" t="s">
        <v>138</v>
      </c>
      <c r="J7477">
        <v>3825</v>
      </c>
      <c r="K7477" t="s">
        <v>2383</v>
      </c>
      <c r="L7477">
        <v>0</v>
      </c>
      <c r="N7477" t="s">
        <v>199</v>
      </c>
      <c r="O7477">
        <v>9</v>
      </c>
      <c r="P7477">
        <v>9644</v>
      </c>
      <c r="Q7477" t="s">
        <v>2384</v>
      </c>
      <c r="R7477" t="s">
        <v>201</v>
      </c>
      <c r="S7477">
        <v>1</v>
      </c>
      <c r="T7477">
        <v>1</v>
      </c>
      <c r="U7477">
        <v>135360</v>
      </c>
      <c r="V7477">
        <v>135360</v>
      </c>
    </row>
    <row r="7478" spans="1:22">
      <c r="A7478" t="s">
        <v>2333</v>
      </c>
      <c r="B7478">
        <v>5</v>
      </c>
      <c r="C7478" t="s">
        <v>83</v>
      </c>
      <c r="D7478" t="s">
        <v>2381</v>
      </c>
      <c r="E7478" t="s">
        <v>2382</v>
      </c>
      <c r="F7478">
        <v>1005</v>
      </c>
      <c r="G7478" t="s">
        <v>83</v>
      </c>
      <c r="H7478">
        <v>2825</v>
      </c>
      <c r="I7478" t="s">
        <v>138</v>
      </c>
      <c r="J7478">
        <v>3825</v>
      </c>
      <c r="K7478" t="s">
        <v>2383</v>
      </c>
      <c r="L7478">
        <v>0</v>
      </c>
      <c r="N7478" t="s">
        <v>199</v>
      </c>
      <c r="O7478">
        <v>0</v>
      </c>
      <c r="P7478">
        <v>44</v>
      </c>
      <c r="Q7478" t="s">
        <v>2337</v>
      </c>
      <c r="R7478" t="s">
        <v>201</v>
      </c>
      <c r="S7478">
        <v>0</v>
      </c>
      <c r="T7478">
        <v>0</v>
      </c>
      <c r="U7478">
        <v>75747</v>
      </c>
      <c r="V7478">
        <v>75747</v>
      </c>
    </row>
    <row r="7479" spans="1:22">
      <c r="A7479" t="s">
        <v>2333</v>
      </c>
      <c r="B7479">
        <v>50</v>
      </c>
      <c r="C7479" t="s">
        <v>54</v>
      </c>
      <c r="D7479" t="s">
        <v>2381</v>
      </c>
      <c r="E7479" t="s">
        <v>2382</v>
      </c>
      <c r="F7479">
        <v>1005</v>
      </c>
      <c r="G7479" t="s">
        <v>54</v>
      </c>
      <c r="H7479" t="s">
        <v>2385</v>
      </c>
      <c r="I7479" t="s">
        <v>138</v>
      </c>
      <c r="J7479" t="s">
        <v>2386</v>
      </c>
      <c r="K7479" t="s">
        <v>2383</v>
      </c>
      <c r="L7479">
        <v>0</v>
      </c>
      <c r="N7479" t="s">
        <v>199</v>
      </c>
      <c r="O7479">
        <v>9</v>
      </c>
      <c r="P7479">
        <v>9643</v>
      </c>
      <c r="Q7479" t="s">
        <v>2367</v>
      </c>
      <c r="R7479" t="s">
        <v>201</v>
      </c>
      <c r="S7479">
        <v>2</v>
      </c>
      <c r="T7479">
        <v>1</v>
      </c>
      <c r="U7479">
        <v>104484</v>
      </c>
      <c r="V7479">
        <v>208968</v>
      </c>
    </row>
    <row r="7480" spans="1:22">
      <c r="A7480" t="s">
        <v>2333</v>
      </c>
      <c r="B7480">
        <v>50</v>
      </c>
      <c r="C7480" t="s">
        <v>54</v>
      </c>
      <c r="D7480" t="s">
        <v>2381</v>
      </c>
      <c r="E7480" t="s">
        <v>2382</v>
      </c>
      <c r="F7480">
        <v>1005</v>
      </c>
      <c r="G7480" t="s">
        <v>54</v>
      </c>
      <c r="H7480" t="s">
        <v>2385</v>
      </c>
      <c r="I7480" t="s">
        <v>138</v>
      </c>
      <c r="J7480" t="s">
        <v>2386</v>
      </c>
      <c r="K7480" t="s">
        <v>2383</v>
      </c>
      <c r="L7480">
        <v>0</v>
      </c>
      <c r="N7480" t="s">
        <v>249</v>
      </c>
      <c r="O7480">
        <v>10</v>
      </c>
      <c r="P7480">
        <v>310</v>
      </c>
      <c r="Q7480" t="s">
        <v>447</v>
      </c>
      <c r="R7480" t="s">
        <v>201</v>
      </c>
      <c r="S7480">
        <v>1</v>
      </c>
      <c r="T7480">
        <v>1</v>
      </c>
      <c r="U7480">
        <v>113568</v>
      </c>
      <c r="V7480">
        <v>113568</v>
      </c>
    </row>
    <row r="7481" spans="1:22">
      <c r="A7481" t="s">
        <v>2333</v>
      </c>
      <c r="B7481">
        <v>50</v>
      </c>
      <c r="C7481" t="s">
        <v>54</v>
      </c>
      <c r="D7481" t="s">
        <v>2381</v>
      </c>
      <c r="E7481" t="s">
        <v>2382</v>
      </c>
      <c r="F7481">
        <v>1005</v>
      </c>
      <c r="G7481" t="s">
        <v>54</v>
      </c>
      <c r="H7481" t="s">
        <v>2385</v>
      </c>
      <c r="I7481" t="s">
        <v>138</v>
      </c>
      <c r="J7481" t="s">
        <v>2386</v>
      </c>
      <c r="K7481" t="s">
        <v>2383</v>
      </c>
      <c r="L7481">
        <v>0</v>
      </c>
      <c r="N7481" t="s">
        <v>199</v>
      </c>
      <c r="O7481">
        <v>0</v>
      </c>
      <c r="P7481">
        <v>44</v>
      </c>
      <c r="Q7481" t="s">
        <v>2337</v>
      </c>
      <c r="R7481" t="s">
        <v>201</v>
      </c>
      <c r="S7481">
        <v>0</v>
      </c>
      <c r="T7481">
        <v>0</v>
      </c>
      <c r="U7481">
        <v>180491</v>
      </c>
      <c r="V7481">
        <v>180491</v>
      </c>
    </row>
    <row r="7482" spans="1:22">
      <c r="A7482" t="s">
        <v>2333</v>
      </c>
      <c r="B7482">
        <v>50</v>
      </c>
      <c r="C7482" t="s">
        <v>54</v>
      </c>
      <c r="D7482" t="s">
        <v>2381</v>
      </c>
      <c r="E7482" t="s">
        <v>2382</v>
      </c>
      <c r="F7482">
        <v>1005</v>
      </c>
      <c r="G7482" t="s">
        <v>54</v>
      </c>
      <c r="H7482" t="s">
        <v>2385</v>
      </c>
      <c r="I7482" t="s">
        <v>138</v>
      </c>
      <c r="J7482" t="s">
        <v>2386</v>
      </c>
      <c r="K7482" t="s">
        <v>2383</v>
      </c>
      <c r="L7482">
        <v>0</v>
      </c>
      <c r="N7482" t="s">
        <v>199</v>
      </c>
      <c r="O7482">
        <v>0</v>
      </c>
      <c r="P7482">
        <v>15</v>
      </c>
      <c r="Q7482" t="s">
        <v>264</v>
      </c>
      <c r="R7482" t="s">
        <v>201</v>
      </c>
      <c r="S7482">
        <v>0</v>
      </c>
      <c r="T7482">
        <v>0</v>
      </c>
      <c r="U7482">
        <v>2694</v>
      </c>
      <c r="V7482">
        <v>2694</v>
      </c>
    </row>
    <row r="7483" spans="1:22">
      <c r="A7483" t="s">
        <v>2333</v>
      </c>
      <c r="B7483">
        <v>5</v>
      </c>
      <c r="C7483" t="s">
        <v>83</v>
      </c>
      <c r="D7483" t="s">
        <v>2387</v>
      </c>
      <c r="E7483" t="s">
        <v>2388</v>
      </c>
      <c r="F7483">
        <v>1005</v>
      </c>
      <c r="G7483" t="s">
        <v>83</v>
      </c>
      <c r="H7483">
        <v>2505</v>
      </c>
      <c r="I7483" t="s">
        <v>90</v>
      </c>
      <c r="J7483">
        <v>3505</v>
      </c>
      <c r="K7483" t="s">
        <v>2389</v>
      </c>
      <c r="L7483">
        <v>0</v>
      </c>
      <c r="N7483" t="s">
        <v>343</v>
      </c>
      <c r="O7483">
        <v>10</v>
      </c>
      <c r="P7483">
        <v>2925</v>
      </c>
      <c r="Q7483" t="s">
        <v>2336</v>
      </c>
      <c r="R7483" t="s">
        <v>201</v>
      </c>
      <c r="S7483">
        <v>1</v>
      </c>
      <c r="T7483">
        <v>1</v>
      </c>
      <c r="U7483">
        <v>113568</v>
      </c>
      <c r="V7483">
        <v>113568</v>
      </c>
    </row>
    <row r="7484" spans="1:22">
      <c r="A7484" t="s">
        <v>2333</v>
      </c>
      <c r="B7484">
        <v>5</v>
      </c>
      <c r="C7484" t="s">
        <v>83</v>
      </c>
      <c r="D7484" t="s">
        <v>2387</v>
      </c>
      <c r="E7484" t="s">
        <v>2388</v>
      </c>
      <c r="F7484">
        <v>1005</v>
      </c>
      <c r="G7484" t="s">
        <v>83</v>
      </c>
      <c r="H7484">
        <v>2505</v>
      </c>
      <c r="I7484" t="s">
        <v>90</v>
      </c>
      <c r="J7484">
        <v>3505</v>
      </c>
      <c r="K7484" t="s">
        <v>2389</v>
      </c>
      <c r="L7484">
        <v>0</v>
      </c>
      <c r="N7484" t="s">
        <v>287</v>
      </c>
      <c r="O7484">
        <v>20</v>
      </c>
      <c r="P7484">
        <v>1105</v>
      </c>
      <c r="Q7484" t="s">
        <v>319</v>
      </c>
      <c r="R7484" t="s">
        <v>201</v>
      </c>
      <c r="S7484">
        <v>1</v>
      </c>
      <c r="T7484">
        <v>1</v>
      </c>
      <c r="U7484">
        <v>82884</v>
      </c>
      <c r="V7484">
        <v>82884</v>
      </c>
    </row>
    <row r="7485" spans="1:22">
      <c r="A7485" t="s">
        <v>2333</v>
      </c>
      <c r="B7485">
        <v>5</v>
      </c>
      <c r="C7485" t="s">
        <v>83</v>
      </c>
      <c r="D7485" t="s">
        <v>2387</v>
      </c>
      <c r="E7485" t="s">
        <v>2388</v>
      </c>
      <c r="F7485">
        <v>1005</v>
      </c>
      <c r="G7485" t="s">
        <v>83</v>
      </c>
      <c r="H7485">
        <v>2505</v>
      </c>
      <c r="I7485" t="s">
        <v>90</v>
      </c>
      <c r="J7485">
        <v>3505</v>
      </c>
      <c r="K7485" t="s">
        <v>2389</v>
      </c>
      <c r="L7485">
        <v>0</v>
      </c>
      <c r="N7485" t="s">
        <v>199</v>
      </c>
      <c r="O7485">
        <v>0</v>
      </c>
      <c r="P7485">
        <v>44</v>
      </c>
      <c r="Q7485" t="s">
        <v>2337</v>
      </c>
      <c r="R7485" t="s">
        <v>201</v>
      </c>
      <c r="S7485">
        <v>0</v>
      </c>
      <c r="T7485">
        <v>0</v>
      </c>
      <c r="U7485">
        <v>109935</v>
      </c>
      <c r="V7485">
        <v>109935</v>
      </c>
    </row>
    <row r="7486" spans="1:22">
      <c r="A7486" t="s">
        <v>2333</v>
      </c>
      <c r="B7486">
        <v>5</v>
      </c>
      <c r="C7486" t="s">
        <v>83</v>
      </c>
      <c r="D7486" t="s">
        <v>2387</v>
      </c>
      <c r="E7486" t="s">
        <v>2388</v>
      </c>
      <c r="F7486">
        <v>1005</v>
      </c>
      <c r="G7486" t="s">
        <v>83</v>
      </c>
      <c r="H7486">
        <v>2505</v>
      </c>
      <c r="I7486" t="s">
        <v>90</v>
      </c>
      <c r="J7486">
        <v>3505</v>
      </c>
      <c r="K7486" t="s">
        <v>2389</v>
      </c>
      <c r="L7486">
        <v>0</v>
      </c>
      <c r="N7486" t="s">
        <v>199</v>
      </c>
      <c r="O7486">
        <v>0</v>
      </c>
      <c r="P7486">
        <v>15</v>
      </c>
      <c r="Q7486" t="s">
        <v>264</v>
      </c>
      <c r="R7486" t="s">
        <v>201</v>
      </c>
      <c r="S7486">
        <v>0</v>
      </c>
      <c r="T7486">
        <v>0</v>
      </c>
      <c r="U7486">
        <v>98</v>
      </c>
      <c r="V7486">
        <v>98</v>
      </c>
    </row>
    <row r="7487" spans="1:22">
      <c r="A7487" t="s">
        <v>2333</v>
      </c>
      <c r="B7487">
        <v>21</v>
      </c>
      <c r="C7487" t="s">
        <v>78</v>
      </c>
      <c r="D7487" t="s">
        <v>2387</v>
      </c>
      <c r="E7487" t="s">
        <v>2388</v>
      </c>
      <c r="F7487">
        <v>1005</v>
      </c>
      <c r="G7487" t="s">
        <v>78</v>
      </c>
      <c r="H7487">
        <v>2559</v>
      </c>
      <c r="I7487" t="s">
        <v>137</v>
      </c>
      <c r="J7487">
        <v>3559</v>
      </c>
      <c r="K7487" t="s">
        <v>2390</v>
      </c>
      <c r="L7487">
        <v>0</v>
      </c>
      <c r="N7487" t="s">
        <v>356</v>
      </c>
      <c r="O7487">
        <v>3</v>
      </c>
      <c r="P7487">
        <v>3052</v>
      </c>
      <c r="Q7487" t="s">
        <v>1439</v>
      </c>
      <c r="R7487" t="s">
        <v>201</v>
      </c>
      <c r="S7487">
        <v>2</v>
      </c>
      <c r="T7487">
        <v>1</v>
      </c>
      <c r="U7487">
        <v>92940</v>
      </c>
      <c r="V7487">
        <v>185880</v>
      </c>
    </row>
    <row r="7488" spans="1:22">
      <c r="A7488" t="s">
        <v>2333</v>
      </c>
      <c r="B7488">
        <v>21</v>
      </c>
      <c r="C7488" t="s">
        <v>78</v>
      </c>
      <c r="D7488" t="s">
        <v>2387</v>
      </c>
      <c r="E7488" t="s">
        <v>2388</v>
      </c>
      <c r="F7488">
        <v>1005</v>
      </c>
      <c r="G7488" t="s">
        <v>78</v>
      </c>
      <c r="H7488">
        <v>2559</v>
      </c>
      <c r="I7488" t="s">
        <v>137</v>
      </c>
      <c r="J7488">
        <v>3559</v>
      </c>
      <c r="K7488" t="s">
        <v>2390</v>
      </c>
      <c r="L7488">
        <v>0</v>
      </c>
      <c r="N7488" t="s">
        <v>372</v>
      </c>
      <c r="O7488">
        <v>1</v>
      </c>
      <c r="P7488">
        <v>703</v>
      </c>
      <c r="Q7488" t="s">
        <v>1207</v>
      </c>
      <c r="R7488" t="s">
        <v>201</v>
      </c>
      <c r="S7488">
        <v>1</v>
      </c>
      <c r="T7488">
        <v>1</v>
      </c>
      <c r="U7488">
        <v>81324</v>
      </c>
      <c r="V7488">
        <v>81324</v>
      </c>
    </row>
    <row r="7489" spans="1:22">
      <c r="A7489" t="s">
        <v>2333</v>
      </c>
      <c r="B7489">
        <v>21</v>
      </c>
      <c r="C7489" t="s">
        <v>78</v>
      </c>
      <c r="D7489" t="s">
        <v>2387</v>
      </c>
      <c r="E7489" t="s">
        <v>2388</v>
      </c>
      <c r="F7489">
        <v>1005</v>
      </c>
      <c r="G7489" t="s">
        <v>78</v>
      </c>
      <c r="H7489">
        <v>2559</v>
      </c>
      <c r="I7489" t="s">
        <v>137</v>
      </c>
      <c r="J7489">
        <v>3559</v>
      </c>
      <c r="K7489" t="s">
        <v>2390</v>
      </c>
      <c r="L7489">
        <v>0</v>
      </c>
      <c r="N7489" t="s">
        <v>372</v>
      </c>
      <c r="O7489">
        <v>1</v>
      </c>
      <c r="P7489">
        <v>703</v>
      </c>
      <c r="Q7489" t="s">
        <v>1207</v>
      </c>
      <c r="R7489" t="s">
        <v>201</v>
      </c>
      <c r="S7489">
        <v>1</v>
      </c>
      <c r="T7489">
        <v>1</v>
      </c>
      <c r="U7489">
        <v>77640</v>
      </c>
      <c r="V7489">
        <v>77640</v>
      </c>
    </row>
    <row r="7490" spans="1:22">
      <c r="A7490" t="s">
        <v>2333</v>
      </c>
      <c r="B7490">
        <v>21</v>
      </c>
      <c r="C7490" t="s">
        <v>78</v>
      </c>
      <c r="D7490" t="s">
        <v>2387</v>
      </c>
      <c r="E7490" t="s">
        <v>2388</v>
      </c>
      <c r="F7490">
        <v>1005</v>
      </c>
      <c r="G7490" t="s">
        <v>78</v>
      </c>
      <c r="H7490">
        <v>2559</v>
      </c>
      <c r="I7490" t="s">
        <v>137</v>
      </c>
      <c r="J7490">
        <v>3559</v>
      </c>
      <c r="K7490" t="s">
        <v>2390</v>
      </c>
      <c r="L7490">
        <v>0</v>
      </c>
      <c r="N7490" t="s">
        <v>251</v>
      </c>
      <c r="O7490">
        <v>20</v>
      </c>
      <c r="P7490">
        <v>309</v>
      </c>
      <c r="Q7490" t="s">
        <v>1211</v>
      </c>
      <c r="R7490" t="s">
        <v>201</v>
      </c>
      <c r="S7490">
        <v>1</v>
      </c>
      <c r="T7490">
        <v>1</v>
      </c>
      <c r="U7490">
        <v>124584</v>
      </c>
      <c r="V7490">
        <v>124584</v>
      </c>
    </row>
    <row r="7491" spans="1:22">
      <c r="A7491" t="s">
        <v>2333</v>
      </c>
      <c r="B7491">
        <v>21</v>
      </c>
      <c r="C7491" t="s">
        <v>78</v>
      </c>
      <c r="D7491" t="s">
        <v>2387</v>
      </c>
      <c r="E7491" t="s">
        <v>2388</v>
      </c>
      <c r="F7491">
        <v>1005</v>
      </c>
      <c r="G7491" t="s">
        <v>78</v>
      </c>
      <c r="H7491">
        <v>2559</v>
      </c>
      <c r="I7491" t="s">
        <v>137</v>
      </c>
      <c r="J7491">
        <v>3559</v>
      </c>
      <c r="K7491" t="s">
        <v>2390</v>
      </c>
      <c r="L7491">
        <v>0</v>
      </c>
      <c r="N7491" t="s">
        <v>199</v>
      </c>
      <c r="O7491">
        <v>0</v>
      </c>
      <c r="P7491">
        <v>44</v>
      </c>
      <c r="Q7491" t="s">
        <v>2337</v>
      </c>
      <c r="R7491" t="s">
        <v>201</v>
      </c>
      <c r="S7491">
        <v>0</v>
      </c>
      <c r="T7491">
        <v>0</v>
      </c>
      <c r="U7491">
        <v>262691</v>
      </c>
      <c r="V7491">
        <v>262691</v>
      </c>
    </row>
    <row r="7492" spans="1:22">
      <c r="A7492" t="s">
        <v>2333</v>
      </c>
      <c r="B7492">
        <v>21</v>
      </c>
      <c r="C7492" t="s">
        <v>78</v>
      </c>
      <c r="D7492" t="s">
        <v>2387</v>
      </c>
      <c r="E7492" t="s">
        <v>2388</v>
      </c>
      <c r="F7492">
        <v>1005</v>
      </c>
      <c r="G7492" t="s">
        <v>78</v>
      </c>
      <c r="H7492">
        <v>2559</v>
      </c>
      <c r="I7492" t="s">
        <v>137</v>
      </c>
      <c r="J7492">
        <v>3559</v>
      </c>
      <c r="K7492" t="s">
        <v>2390</v>
      </c>
      <c r="L7492">
        <v>0</v>
      </c>
      <c r="N7492" t="s">
        <v>199</v>
      </c>
      <c r="O7492">
        <v>0</v>
      </c>
      <c r="P7492">
        <v>15</v>
      </c>
      <c r="Q7492" t="s">
        <v>264</v>
      </c>
      <c r="R7492" t="s">
        <v>201</v>
      </c>
      <c r="S7492">
        <v>0</v>
      </c>
      <c r="T7492">
        <v>0</v>
      </c>
      <c r="U7492">
        <v>12179</v>
      </c>
      <c r="V7492">
        <v>12179</v>
      </c>
    </row>
    <row r="7493" spans="1:22">
      <c r="A7493" t="s">
        <v>2333</v>
      </c>
      <c r="B7493">
        <v>21</v>
      </c>
      <c r="C7493" t="s">
        <v>78</v>
      </c>
      <c r="D7493" t="s">
        <v>2387</v>
      </c>
      <c r="E7493" t="s">
        <v>2388</v>
      </c>
      <c r="F7493">
        <v>1005</v>
      </c>
      <c r="G7493" t="s">
        <v>78</v>
      </c>
      <c r="H7493">
        <v>2560</v>
      </c>
      <c r="I7493" t="s">
        <v>131</v>
      </c>
      <c r="J7493">
        <v>3560</v>
      </c>
      <c r="K7493" t="s">
        <v>2391</v>
      </c>
      <c r="L7493">
        <v>0</v>
      </c>
      <c r="N7493" t="s">
        <v>249</v>
      </c>
      <c r="O7493">
        <v>10</v>
      </c>
      <c r="P7493">
        <v>3092</v>
      </c>
      <c r="Q7493" t="s">
        <v>750</v>
      </c>
      <c r="R7493" t="s">
        <v>201</v>
      </c>
      <c r="S7493">
        <v>2</v>
      </c>
      <c r="T7493">
        <v>1</v>
      </c>
      <c r="U7493">
        <v>93384</v>
      </c>
      <c r="V7493">
        <v>186768</v>
      </c>
    </row>
    <row r="7494" spans="1:22">
      <c r="A7494" t="s">
        <v>2333</v>
      </c>
      <c r="B7494">
        <v>21</v>
      </c>
      <c r="C7494" t="s">
        <v>78</v>
      </c>
      <c r="D7494" t="s">
        <v>2387</v>
      </c>
      <c r="E7494" t="s">
        <v>2388</v>
      </c>
      <c r="F7494">
        <v>1005</v>
      </c>
      <c r="G7494" t="s">
        <v>78</v>
      </c>
      <c r="H7494">
        <v>2560</v>
      </c>
      <c r="I7494" t="s">
        <v>131</v>
      </c>
      <c r="J7494">
        <v>3560</v>
      </c>
      <c r="K7494" t="s">
        <v>2391</v>
      </c>
      <c r="L7494">
        <v>0</v>
      </c>
      <c r="N7494" t="s">
        <v>356</v>
      </c>
      <c r="O7494">
        <v>3</v>
      </c>
      <c r="P7494">
        <v>3052</v>
      </c>
      <c r="Q7494" t="s">
        <v>1439</v>
      </c>
      <c r="R7494" t="s">
        <v>201</v>
      </c>
      <c r="S7494">
        <v>1</v>
      </c>
      <c r="T7494">
        <v>1</v>
      </c>
      <c r="U7494">
        <v>97488</v>
      </c>
      <c r="V7494">
        <v>97488</v>
      </c>
    </row>
    <row r="7495" spans="1:22">
      <c r="A7495" t="s">
        <v>2333</v>
      </c>
      <c r="B7495">
        <v>21</v>
      </c>
      <c r="C7495" t="s">
        <v>78</v>
      </c>
      <c r="D7495" t="s">
        <v>2387</v>
      </c>
      <c r="E7495" t="s">
        <v>2388</v>
      </c>
      <c r="F7495">
        <v>1005</v>
      </c>
      <c r="G7495" t="s">
        <v>78</v>
      </c>
      <c r="H7495">
        <v>2560</v>
      </c>
      <c r="I7495" t="s">
        <v>131</v>
      </c>
      <c r="J7495">
        <v>3560</v>
      </c>
      <c r="K7495" t="s">
        <v>2391</v>
      </c>
      <c r="L7495">
        <v>0</v>
      </c>
      <c r="N7495" t="s">
        <v>356</v>
      </c>
      <c r="O7495">
        <v>3</v>
      </c>
      <c r="P7495">
        <v>3052</v>
      </c>
      <c r="Q7495" t="s">
        <v>1439</v>
      </c>
      <c r="R7495" t="s">
        <v>201</v>
      </c>
      <c r="S7495">
        <v>1</v>
      </c>
      <c r="T7495">
        <v>1</v>
      </c>
      <c r="U7495">
        <v>92940</v>
      </c>
      <c r="V7495">
        <v>92940</v>
      </c>
    </row>
    <row r="7496" spans="1:22">
      <c r="A7496" t="s">
        <v>2333</v>
      </c>
      <c r="B7496">
        <v>21</v>
      </c>
      <c r="C7496" t="s">
        <v>78</v>
      </c>
      <c r="D7496" t="s">
        <v>2387</v>
      </c>
      <c r="E7496" t="s">
        <v>2388</v>
      </c>
      <c r="F7496">
        <v>1005</v>
      </c>
      <c r="G7496" t="s">
        <v>78</v>
      </c>
      <c r="H7496">
        <v>2560</v>
      </c>
      <c r="I7496" t="s">
        <v>131</v>
      </c>
      <c r="J7496">
        <v>3560</v>
      </c>
      <c r="K7496" t="s">
        <v>2391</v>
      </c>
      <c r="L7496">
        <v>0</v>
      </c>
      <c r="N7496" t="s">
        <v>372</v>
      </c>
      <c r="O7496">
        <v>1</v>
      </c>
      <c r="P7496">
        <v>2908</v>
      </c>
      <c r="Q7496" t="s">
        <v>2288</v>
      </c>
      <c r="R7496" t="s">
        <v>201</v>
      </c>
      <c r="S7496">
        <v>1</v>
      </c>
      <c r="T7496">
        <v>1</v>
      </c>
      <c r="U7496">
        <v>130668</v>
      </c>
      <c r="V7496">
        <v>130668</v>
      </c>
    </row>
    <row r="7497" spans="1:22">
      <c r="A7497" t="s">
        <v>2333</v>
      </c>
      <c r="B7497">
        <v>21</v>
      </c>
      <c r="C7497" t="s">
        <v>78</v>
      </c>
      <c r="D7497" t="s">
        <v>2387</v>
      </c>
      <c r="E7497" t="s">
        <v>2388</v>
      </c>
      <c r="F7497">
        <v>1005</v>
      </c>
      <c r="G7497" t="s">
        <v>78</v>
      </c>
      <c r="H7497">
        <v>2560</v>
      </c>
      <c r="I7497" t="s">
        <v>131</v>
      </c>
      <c r="J7497">
        <v>3560</v>
      </c>
      <c r="K7497" t="s">
        <v>2391</v>
      </c>
      <c r="L7497">
        <v>0</v>
      </c>
      <c r="N7497" t="s">
        <v>372</v>
      </c>
      <c r="O7497">
        <v>4</v>
      </c>
      <c r="P7497">
        <v>1912</v>
      </c>
      <c r="Q7497" t="s">
        <v>608</v>
      </c>
      <c r="R7497" t="s">
        <v>201</v>
      </c>
      <c r="S7497">
        <v>1</v>
      </c>
      <c r="T7497">
        <v>1</v>
      </c>
      <c r="U7497">
        <v>77640</v>
      </c>
      <c r="V7497">
        <v>77640</v>
      </c>
    </row>
    <row r="7498" spans="1:22">
      <c r="A7498" t="s">
        <v>2333</v>
      </c>
      <c r="B7498">
        <v>21</v>
      </c>
      <c r="C7498" t="s">
        <v>78</v>
      </c>
      <c r="D7498" t="s">
        <v>2387</v>
      </c>
      <c r="E7498" t="s">
        <v>2388</v>
      </c>
      <c r="F7498">
        <v>1005</v>
      </c>
      <c r="G7498" t="s">
        <v>78</v>
      </c>
      <c r="H7498">
        <v>2560</v>
      </c>
      <c r="I7498" t="s">
        <v>131</v>
      </c>
      <c r="J7498">
        <v>3560</v>
      </c>
      <c r="K7498" t="s">
        <v>2391</v>
      </c>
      <c r="L7498">
        <v>0</v>
      </c>
      <c r="N7498" t="s">
        <v>199</v>
      </c>
      <c r="O7498">
        <v>0</v>
      </c>
      <c r="P7498">
        <v>44</v>
      </c>
      <c r="Q7498" t="s">
        <v>2337</v>
      </c>
      <c r="R7498" t="s">
        <v>201</v>
      </c>
      <c r="S7498">
        <v>0</v>
      </c>
      <c r="T7498">
        <v>0</v>
      </c>
      <c r="U7498">
        <v>327647</v>
      </c>
      <c r="V7498">
        <v>327647</v>
      </c>
    </row>
    <row r="7499" spans="1:22">
      <c r="A7499" t="s">
        <v>2333</v>
      </c>
      <c r="B7499">
        <v>21</v>
      </c>
      <c r="C7499" t="s">
        <v>78</v>
      </c>
      <c r="D7499" t="s">
        <v>2387</v>
      </c>
      <c r="E7499" t="s">
        <v>2388</v>
      </c>
      <c r="F7499">
        <v>1005</v>
      </c>
      <c r="G7499" t="s">
        <v>78</v>
      </c>
      <c r="H7499">
        <v>2560</v>
      </c>
      <c r="I7499" t="s">
        <v>131</v>
      </c>
      <c r="J7499">
        <v>3560</v>
      </c>
      <c r="K7499" t="s">
        <v>2391</v>
      </c>
      <c r="L7499">
        <v>0</v>
      </c>
      <c r="N7499" t="s">
        <v>199</v>
      </c>
      <c r="O7499">
        <v>0</v>
      </c>
      <c r="P7499">
        <v>15</v>
      </c>
      <c r="Q7499" t="s">
        <v>264</v>
      </c>
      <c r="R7499" t="s">
        <v>201</v>
      </c>
      <c r="S7499">
        <v>0</v>
      </c>
      <c r="T7499">
        <v>0</v>
      </c>
      <c r="U7499">
        <v>9901</v>
      </c>
      <c r="V7499">
        <v>9901</v>
      </c>
    </row>
    <row r="7500" spans="1:22">
      <c r="A7500" t="s">
        <v>2333</v>
      </c>
      <c r="B7500">
        <v>21</v>
      </c>
      <c r="C7500" t="s">
        <v>78</v>
      </c>
      <c r="D7500" t="s">
        <v>2387</v>
      </c>
      <c r="E7500" t="s">
        <v>2388</v>
      </c>
      <c r="F7500">
        <v>1005</v>
      </c>
      <c r="G7500" t="s">
        <v>78</v>
      </c>
      <c r="H7500">
        <v>2565</v>
      </c>
      <c r="I7500" t="s">
        <v>90</v>
      </c>
      <c r="J7500">
        <v>3565</v>
      </c>
      <c r="K7500" t="s">
        <v>2383</v>
      </c>
      <c r="L7500">
        <v>0</v>
      </c>
      <c r="N7500" t="s">
        <v>356</v>
      </c>
      <c r="O7500">
        <v>3</v>
      </c>
      <c r="P7500">
        <v>2989</v>
      </c>
      <c r="Q7500" t="s">
        <v>2351</v>
      </c>
      <c r="R7500" t="s">
        <v>201</v>
      </c>
      <c r="S7500">
        <v>1</v>
      </c>
      <c r="T7500">
        <v>1</v>
      </c>
      <c r="U7500">
        <v>129636</v>
      </c>
      <c r="V7500">
        <v>129636</v>
      </c>
    </row>
    <row r="7501" spans="1:22">
      <c r="A7501" t="s">
        <v>2333</v>
      </c>
      <c r="B7501">
        <v>21</v>
      </c>
      <c r="C7501" t="s">
        <v>78</v>
      </c>
      <c r="D7501" t="s">
        <v>2387</v>
      </c>
      <c r="E7501" t="s">
        <v>2388</v>
      </c>
      <c r="F7501">
        <v>1005</v>
      </c>
      <c r="G7501" t="s">
        <v>78</v>
      </c>
      <c r="H7501">
        <v>2565</v>
      </c>
      <c r="I7501" t="s">
        <v>90</v>
      </c>
      <c r="J7501">
        <v>3565</v>
      </c>
      <c r="K7501" t="s">
        <v>2383</v>
      </c>
      <c r="L7501">
        <v>0</v>
      </c>
      <c r="N7501" t="s">
        <v>274</v>
      </c>
      <c r="O7501">
        <v>20</v>
      </c>
      <c r="P7501">
        <v>2901</v>
      </c>
      <c r="Q7501" t="s">
        <v>1101</v>
      </c>
      <c r="R7501" t="s">
        <v>201</v>
      </c>
      <c r="S7501">
        <v>1</v>
      </c>
      <c r="T7501">
        <v>1</v>
      </c>
      <c r="U7501">
        <v>121668</v>
      </c>
      <c r="V7501">
        <v>121668</v>
      </c>
    </row>
    <row r="7502" spans="1:22">
      <c r="A7502" t="s">
        <v>2333</v>
      </c>
      <c r="B7502">
        <v>21</v>
      </c>
      <c r="C7502" t="s">
        <v>78</v>
      </c>
      <c r="D7502" t="s">
        <v>2387</v>
      </c>
      <c r="E7502" t="s">
        <v>2388</v>
      </c>
      <c r="F7502">
        <v>1005</v>
      </c>
      <c r="G7502" t="s">
        <v>78</v>
      </c>
      <c r="H7502">
        <v>2565</v>
      </c>
      <c r="I7502" t="s">
        <v>90</v>
      </c>
      <c r="J7502">
        <v>3565</v>
      </c>
      <c r="K7502" t="s">
        <v>2383</v>
      </c>
      <c r="L7502">
        <v>0</v>
      </c>
      <c r="N7502" t="s">
        <v>253</v>
      </c>
      <c r="O7502">
        <v>10</v>
      </c>
      <c r="P7502">
        <v>1431</v>
      </c>
      <c r="Q7502" t="s">
        <v>339</v>
      </c>
      <c r="R7502" t="s">
        <v>201</v>
      </c>
      <c r="S7502">
        <v>1</v>
      </c>
      <c r="T7502">
        <v>1</v>
      </c>
      <c r="U7502">
        <v>83052</v>
      </c>
      <c r="V7502">
        <v>83052</v>
      </c>
    </row>
    <row r="7503" spans="1:22">
      <c r="A7503" t="s">
        <v>2333</v>
      </c>
      <c r="B7503">
        <v>21</v>
      </c>
      <c r="C7503" t="s">
        <v>78</v>
      </c>
      <c r="D7503" t="s">
        <v>2387</v>
      </c>
      <c r="E7503" t="s">
        <v>2388</v>
      </c>
      <c r="F7503">
        <v>1005</v>
      </c>
      <c r="G7503" t="s">
        <v>78</v>
      </c>
      <c r="H7503">
        <v>2565</v>
      </c>
      <c r="I7503" t="s">
        <v>90</v>
      </c>
      <c r="J7503">
        <v>3565</v>
      </c>
      <c r="K7503" t="s">
        <v>2383</v>
      </c>
      <c r="L7503">
        <v>0</v>
      </c>
      <c r="N7503" t="s">
        <v>251</v>
      </c>
      <c r="O7503">
        <v>10</v>
      </c>
      <c r="P7503">
        <v>1430</v>
      </c>
      <c r="Q7503" t="s">
        <v>850</v>
      </c>
      <c r="R7503" t="s">
        <v>201</v>
      </c>
      <c r="S7503">
        <v>2</v>
      </c>
      <c r="T7503">
        <v>1</v>
      </c>
      <c r="U7503">
        <v>98832</v>
      </c>
      <c r="V7503">
        <v>197664</v>
      </c>
    </row>
    <row r="7504" spans="1:22">
      <c r="A7504" t="s">
        <v>2333</v>
      </c>
      <c r="B7504">
        <v>21</v>
      </c>
      <c r="C7504" t="s">
        <v>78</v>
      </c>
      <c r="D7504" t="s">
        <v>2387</v>
      </c>
      <c r="E7504" t="s">
        <v>2388</v>
      </c>
      <c r="F7504">
        <v>1005</v>
      </c>
      <c r="G7504" t="s">
        <v>78</v>
      </c>
      <c r="H7504">
        <v>2565</v>
      </c>
      <c r="I7504" t="s">
        <v>90</v>
      </c>
      <c r="J7504">
        <v>3565</v>
      </c>
      <c r="K7504" t="s">
        <v>2383</v>
      </c>
      <c r="L7504">
        <v>0</v>
      </c>
      <c r="N7504" t="s">
        <v>281</v>
      </c>
      <c r="O7504">
        <v>10</v>
      </c>
      <c r="P7504">
        <v>1405</v>
      </c>
      <c r="Q7504" t="s">
        <v>1260</v>
      </c>
      <c r="R7504" t="s">
        <v>201</v>
      </c>
      <c r="S7504">
        <v>1</v>
      </c>
      <c r="T7504">
        <v>1</v>
      </c>
      <c r="U7504">
        <v>89112</v>
      </c>
      <c r="V7504">
        <v>89112</v>
      </c>
    </row>
    <row r="7505" spans="1:22">
      <c r="A7505" t="s">
        <v>2333</v>
      </c>
      <c r="B7505">
        <v>21</v>
      </c>
      <c r="C7505" t="s">
        <v>78</v>
      </c>
      <c r="D7505" t="s">
        <v>2387</v>
      </c>
      <c r="E7505" t="s">
        <v>2388</v>
      </c>
      <c r="F7505">
        <v>1005</v>
      </c>
      <c r="G7505" t="s">
        <v>78</v>
      </c>
      <c r="H7505">
        <v>2565</v>
      </c>
      <c r="I7505" t="s">
        <v>90</v>
      </c>
      <c r="J7505">
        <v>3565</v>
      </c>
      <c r="K7505" t="s">
        <v>2383</v>
      </c>
      <c r="L7505">
        <v>0</v>
      </c>
      <c r="N7505" t="s">
        <v>281</v>
      </c>
      <c r="O7505">
        <v>10</v>
      </c>
      <c r="P7505">
        <v>1405</v>
      </c>
      <c r="Q7505" t="s">
        <v>1260</v>
      </c>
      <c r="R7505" t="s">
        <v>201</v>
      </c>
      <c r="S7505">
        <v>1</v>
      </c>
      <c r="T7505">
        <v>1</v>
      </c>
      <c r="U7505">
        <v>82884</v>
      </c>
      <c r="V7505">
        <v>82884</v>
      </c>
    </row>
    <row r="7506" spans="1:22">
      <c r="A7506" t="s">
        <v>2333</v>
      </c>
      <c r="B7506">
        <v>21</v>
      </c>
      <c r="C7506" t="s">
        <v>78</v>
      </c>
      <c r="D7506" t="s">
        <v>2387</v>
      </c>
      <c r="E7506" t="s">
        <v>2388</v>
      </c>
      <c r="F7506">
        <v>1005</v>
      </c>
      <c r="G7506" t="s">
        <v>78</v>
      </c>
      <c r="H7506">
        <v>2565</v>
      </c>
      <c r="I7506" t="s">
        <v>90</v>
      </c>
      <c r="J7506">
        <v>3565</v>
      </c>
      <c r="K7506" t="s">
        <v>2383</v>
      </c>
      <c r="L7506">
        <v>0</v>
      </c>
      <c r="N7506" t="s">
        <v>199</v>
      </c>
      <c r="O7506">
        <v>0</v>
      </c>
      <c r="P7506">
        <v>44</v>
      </c>
      <c r="Q7506" t="s">
        <v>2337</v>
      </c>
      <c r="R7506" t="s">
        <v>201</v>
      </c>
      <c r="S7506">
        <v>0</v>
      </c>
      <c r="T7506">
        <v>0</v>
      </c>
      <c r="U7506">
        <v>393967</v>
      </c>
      <c r="V7506">
        <v>393967</v>
      </c>
    </row>
    <row r="7507" spans="1:22">
      <c r="A7507" t="s">
        <v>2333</v>
      </c>
      <c r="B7507">
        <v>21</v>
      </c>
      <c r="C7507" t="s">
        <v>78</v>
      </c>
      <c r="D7507" t="s">
        <v>2387</v>
      </c>
      <c r="E7507" t="s">
        <v>2388</v>
      </c>
      <c r="F7507">
        <v>1005</v>
      </c>
      <c r="G7507" t="s">
        <v>78</v>
      </c>
      <c r="H7507">
        <v>2565</v>
      </c>
      <c r="I7507" t="s">
        <v>90</v>
      </c>
      <c r="J7507">
        <v>3565</v>
      </c>
      <c r="K7507" t="s">
        <v>2383</v>
      </c>
      <c r="L7507">
        <v>0</v>
      </c>
      <c r="N7507" t="s">
        <v>199</v>
      </c>
      <c r="O7507">
        <v>0</v>
      </c>
      <c r="P7507">
        <v>15</v>
      </c>
      <c r="Q7507" t="s">
        <v>264</v>
      </c>
      <c r="R7507" t="s">
        <v>201</v>
      </c>
      <c r="S7507">
        <v>0</v>
      </c>
      <c r="T7507">
        <v>0</v>
      </c>
      <c r="U7507">
        <v>3397</v>
      </c>
      <c r="V7507">
        <v>3397</v>
      </c>
    </row>
    <row r="7508" spans="1:22">
      <c r="A7508" t="s">
        <v>2333</v>
      </c>
      <c r="B7508">
        <v>21</v>
      </c>
      <c r="C7508" t="s">
        <v>78</v>
      </c>
      <c r="D7508" t="s">
        <v>2387</v>
      </c>
      <c r="E7508" t="s">
        <v>2388</v>
      </c>
      <c r="F7508">
        <v>1005</v>
      </c>
      <c r="G7508" t="s">
        <v>78</v>
      </c>
      <c r="H7508">
        <v>2585</v>
      </c>
      <c r="I7508" t="s">
        <v>86</v>
      </c>
      <c r="J7508">
        <v>3585</v>
      </c>
      <c r="K7508" t="s">
        <v>2392</v>
      </c>
      <c r="L7508">
        <v>0</v>
      </c>
      <c r="N7508" t="s">
        <v>261</v>
      </c>
      <c r="O7508">
        <v>20</v>
      </c>
      <c r="P7508">
        <v>1437</v>
      </c>
      <c r="Q7508" t="s">
        <v>609</v>
      </c>
      <c r="R7508" t="s">
        <v>201</v>
      </c>
      <c r="S7508">
        <v>1</v>
      </c>
      <c r="T7508">
        <v>1</v>
      </c>
      <c r="U7508">
        <v>111000</v>
      </c>
      <c r="V7508">
        <v>111000</v>
      </c>
    </row>
    <row r="7509" spans="1:22">
      <c r="A7509" t="s">
        <v>2333</v>
      </c>
      <c r="B7509">
        <v>21</v>
      </c>
      <c r="C7509" t="s">
        <v>78</v>
      </c>
      <c r="D7509" t="s">
        <v>2387</v>
      </c>
      <c r="E7509" t="s">
        <v>2388</v>
      </c>
      <c r="F7509">
        <v>1005</v>
      </c>
      <c r="G7509" t="s">
        <v>78</v>
      </c>
      <c r="H7509">
        <v>2585</v>
      </c>
      <c r="I7509" t="s">
        <v>86</v>
      </c>
      <c r="J7509">
        <v>3585</v>
      </c>
      <c r="K7509" t="s">
        <v>2392</v>
      </c>
      <c r="L7509">
        <v>0</v>
      </c>
      <c r="N7509" t="s">
        <v>261</v>
      </c>
      <c r="O7509">
        <v>20</v>
      </c>
      <c r="P7509">
        <v>1437</v>
      </c>
      <c r="Q7509" t="s">
        <v>609</v>
      </c>
      <c r="R7509" t="s">
        <v>201</v>
      </c>
      <c r="S7509">
        <v>2</v>
      </c>
      <c r="T7509">
        <v>1</v>
      </c>
      <c r="U7509">
        <v>101628</v>
      </c>
      <c r="V7509">
        <v>203256</v>
      </c>
    </row>
    <row r="7510" spans="1:22">
      <c r="A7510" t="s">
        <v>2333</v>
      </c>
      <c r="B7510">
        <v>21</v>
      </c>
      <c r="C7510" t="s">
        <v>78</v>
      </c>
      <c r="D7510" t="s">
        <v>2387</v>
      </c>
      <c r="E7510" t="s">
        <v>2388</v>
      </c>
      <c r="F7510">
        <v>1005</v>
      </c>
      <c r="G7510" t="s">
        <v>78</v>
      </c>
      <c r="H7510">
        <v>2585</v>
      </c>
      <c r="I7510" t="s">
        <v>86</v>
      </c>
      <c r="J7510">
        <v>3585</v>
      </c>
      <c r="K7510" t="s">
        <v>2392</v>
      </c>
      <c r="L7510">
        <v>0</v>
      </c>
      <c r="N7510" t="s">
        <v>261</v>
      </c>
      <c r="O7510">
        <v>20</v>
      </c>
      <c r="P7510">
        <v>1437</v>
      </c>
      <c r="Q7510" t="s">
        <v>609</v>
      </c>
      <c r="R7510" t="s">
        <v>201</v>
      </c>
      <c r="S7510">
        <v>2</v>
      </c>
      <c r="T7510">
        <v>1</v>
      </c>
      <c r="U7510">
        <v>89112</v>
      </c>
      <c r="V7510">
        <v>178224</v>
      </c>
    </row>
    <row r="7511" spans="1:22">
      <c r="A7511" t="s">
        <v>2333</v>
      </c>
      <c r="B7511">
        <v>21</v>
      </c>
      <c r="C7511" t="s">
        <v>78</v>
      </c>
      <c r="D7511" t="s">
        <v>2387</v>
      </c>
      <c r="E7511" t="s">
        <v>2388</v>
      </c>
      <c r="F7511">
        <v>1005</v>
      </c>
      <c r="G7511" t="s">
        <v>78</v>
      </c>
      <c r="H7511">
        <v>2585</v>
      </c>
      <c r="I7511" t="s">
        <v>86</v>
      </c>
      <c r="J7511">
        <v>3585</v>
      </c>
      <c r="K7511" t="s">
        <v>2392</v>
      </c>
      <c r="L7511">
        <v>0</v>
      </c>
      <c r="N7511" t="s">
        <v>274</v>
      </c>
      <c r="O7511">
        <v>9</v>
      </c>
      <c r="P7511">
        <v>313</v>
      </c>
      <c r="Q7511" t="s">
        <v>605</v>
      </c>
      <c r="R7511" t="s">
        <v>201</v>
      </c>
      <c r="S7511">
        <v>1</v>
      </c>
      <c r="T7511">
        <v>1</v>
      </c>
      <c r="U7511">
        <v>121668</v>
      </c>
      <c r="V7511">
        <v>121668</v>
      </c>
    </row>
    <row r="7512" spans="1:22">
      <c r="A7512" t="s">
        <v>2333</v>
      </c>
      <c r="B7512">
        <v>21</v>
      </c>
      <c r="C7512" t="s">
        <v>78</v>
      </c>
      <c r="D7512" t="s">
        <v>2387</v>
      </c>
      <c r="E7512" t="s">
        <v>2388</v>
      </c>
      <c r="F7512">
        <v>1005</v>
      </c>
      <c r="G7512" t="s">
        <v>78</v>
      </c>
      <c r="H7512">
        <v>2585</v>
      </c>
      <c r="I7512" t="s">
        <v>86</v>
      </c>
      <c r="J7512">
        <v>3585</v>
      </c>
      <c r="K7512" t="s">
        <v>2392</v>
      </c>
      <c r="L7512">
        <v>0</v>
      </c>
      <c r="N7512" t="s">
        <v>199</v>
      </c>
      <c r="O7512">
        <v>0</v>
      </c>
      <c r="P7512">
        <v>44</v>
      </c>
      <c r="Q7512" t="s">
        <v>2337</v>
      </c>
      <c r="R7512" t="s">
        <v>201</v>
      </c>
      <c r="S7512">
        <v>0</v>
      </c>
      <c r="T7512">
        <v>0</v>
      </c>
      <c r="U7512">
        <v>343677</v>
      </c>
      <c r="V7512">
        <v>343677</v>
      </c>
    </row>
    <row r="7513" spans="1:22">
      <c r="A7513" t="s">
        <v>2333</v>
      </c>
      <c r="B7513">
        <v>21</v>
      </c>
      <c r="C7513" t="s">
        <v>78</v>
      </c>
      <c r="D7513" t="s">
        <v>2387</v>
      </c>
      <c r="E7513" t="s">
        <v>2388</v>
      </c>
      <c r="F7513">
        <v>1005</v>
      </c>
      <c r="G7513" t="s">
        <v>78</v>
      </c>
      <c r="H7513">
        <v>2585</v>
      </c>
      <c r="I7513" t="s">
        <v>86</v>
      </c>
      <c r="J7513">
        <v>3585</v>
      </c>
      <c r="K7513" t="s">
        <v>2392</v>
      </c>
      <c r="L7513">
        <v>0</v>
      </c>
      <c r="N7513" t="s">
        <v>199</v>
      </c>
      <c r="O7513">
        <v>0</v>
      </c>
      <c r="P7513">
        <v>15</v>
      </c>
      <c r="Q7513" t="s">
        <v>264</v>
      </c>
      <c r="R7513" t="s">
        <v>201</v>
      </c>
      <c r="S7513">
        <v>0</v>
      </c>
      <c r="T7513">
        <v>0</v>
      </c>
      <c r="U7513">
        <v>22391</v>
      </c>
      <c r="V7513">
        <v>22391</v>
      </c>
    </row>
    <row r="7514" spans="1:22">
      <c r="A7514" t="s">
        <v>2333</v>
      </c>
      <c r="B7514">
        <v>21</v>
      </c>
      <c r="C7514" t="s">
        <v>78</v>
      </c>
      <c r="D7514" t="s">
        <v>2387</v>
      </c>
      <c r="E7514" t="s">
        <v>2388</v>
      </c>
      <c r="F7514">
        <v>1005</v>
      </c>
      <c r="G7514" t="s">
        <v>78</v>
      </c>
      <c r="H7514">
        <v>2585</v>
      </c>
      <c r="I7514" t="s">
        <v>86</v>
      </c>
      <c r="J7514">
        <v>3586</v>
      </c>
      <c r="K7514" t="s">
        <v>610</v>
      </c>
      <c r="L7514">
        <v>0</v>
      </c>
      <c r="N7514" t="s">
        <v>266</v>
      </c>
      <c r="O7514">
        <v>9</v>
      </c>
      <c r="P7514">
        <v>9679</v>
      </c>
      <c r="Q7514" t="s">
        <v>338</v>
      </c>
      <c r="R7514" t="s">
        <v>201</v>
      </c>
      <c r="S7514">
        <v>1</v>
      </c>
      <c r="T7514">
        <v>1</v>
      </c>
      <c r="U7514">
        <v>157332</v>
      </c>
      <c r="V7514">
        <v>157332</v>
      </c>
    </row>
    <row r="7515" spans="1:22">
      <c r="A7515" t="s">
        <v>2333</v>
      </c>
      <c r="B7515">
        <v>21</v>
      </c>
      <c r="C7515" t="s">
        <v>78</v>
      </c>
      <c r="D7515" t="s">
        <v>2387</v>
      </c>
      <c r="E7515" t="s">
        <v>2388</v>
      </c>
      <c r="F7515">
        <v>1005</v>
      </c>
      <c r="G7515" t="s">
        <v>78</v>
      </c>
      <c r="H7515">
        <v>2585</v>
      </c>
      <c r="I7515" t="s">
        <v>86</v>
      </c>
      <c r="J7515">
        <v>3586</v>
      </c>
      <c r="K7515" t="s">
        <v>610</v>
      </c>
      <c r="L7515">
        <v>0</v>
      </c>
      <c r="N7515" t="s">
        <v>356</v>
      </c>
      <c r="O7515">
        <v>4</v>
      </c>
      <c r="P7515">
        <v>5403</v>
      </c>
      <c r="Q7515" t="s">
        <v>2273</v>
      </c>
      <c r="R7515" t="s">
        <v>201</v>
      </c>
      <c r="S7515">
        <v>1</v>
      </c>
      <c r="T7515">
        <v>1</v>
      </c>
      <c r="U7515">
        <v>90144</v>
      </c>
      <c r="V7515">
        <v>90144</v>
      </c>
    </row>
    <row r="7516" spans="1:22">
      <c r="A7516" t="s">
        <v>2333</v>
      </c>
      <c r="B7516">
        <v>21</v>
      </c>
      <c r="C7516" t="s">
        <v>78</v>
      </c>
      <c r="D7516" t="s">
        <v>2387</v>
      </c>
      <c r="E7516" t="s">
        <v>2388</v>
      </c>
      <c r="F7516">
        <v>1005</v>
      </c>
      <c r="G7516" t="s">
        <v>78</v>
      </c>
      <c r="H7516">
        <v>2585</v>
      </c>
      <c r="I7516" t="s">
        <v>86</v>
      </c>
      <c r="J7516">
        <v>3586</v>
      </c>
      <c r="K7516" t="s">
        <v>610</v>
      </c>
      <c r="L7516">
        <v>0</v>
      </c>
      <c r="N7516" t="s">
        <v>245</v>
      </c>
      <c r="O7516">
        <v>20</v>
      </c>
      <c r="P7516">
        <v>3051</v>
      </c>
      <c r="Q7516" t="s">
        <v>246</v>
      </c>
      <c r="R7516" t="s">
        <v>201</v>
      </c>
      <c r="S7516">
        <v>1</v>
      </c>
      <c r="T7516">
        <v>1</v>
      </c>
      <c r="U7516">
        <v>106272</v>
      </c>
      <c r="V7516">
        <v>106272</v>
      </c>
    </row>
    <row r="7517" spans="1:22">
      <c r="A7517" t="s">
        <v>2333</v>
      </c>
      <c r="B7517">
        <v>21</v>
      </c>
      <c r="C7517" t="s">
        <v>78</v>
      </c>
      <c r="D7517" t="s">
        <v>2387</v>
      </c>
      <c r="E7517" t="s">
        <v>2388</v>
      </c>
      <c r="F7517">
        <v>1005</v>
      </c>
      <c r="G7517" t="s">
        <v>78</v>
      </c>
      <c r="H7517">
        <v>2585</v>
      </c>
      <c r="I7517" t="s">
        <v>86</v>
      </c>
      <c r="J7517">
        <v>3586</v>
      </c>
      <c r="K7517" t="s">
        <v>610</v>
      </c>
      <c r="L7517">
        <v>0</v>
      </c>
      <c r="N7517" t="s">
        <v>372</v>
      </c>
      <c r="O7517">
        <v>1</v>
      </c>
      <c r="P7517">
        <v>2908</v>
      </c>
      <c r="Q7517" t="s">
        <v>2288</v>
      </c>
      <c r="R7517" t="s">
        <v>201</v>
      </c>
      <c r="S7517">
        <v>6</v>
      </c>
      <c r="T7517">
        <v>1</v>
      </c>
      <c r="U7517">
        <v>77640</v>
      </c>
      <c r="V7517">
        <v>465840</v>
      </c>
    </row>
    <row r="7518" spans="1:22">
      <c r="A7518" t="s">
        <v>2333</v>
      </c>
      <c r="B7518">
        <v>21</v>
      </c>
      <c r="C7518" t="s">
        <v>78</v>
      </c>
      <c r="D7518" t="s">
        <v>2387</v>
      </c>
      <c r="E7518" t="s">
        <v>2388</v>
      </c>
      <c r="F7518">
        <v>1005</v>
      </c>
      <c r="G7518" t="s">
        <v>78</v>
      </c>
      <c r="H7518">
        <v>2585</v>
      </c>
      <c r="I7518" t="s">
        <v>86</v>
      </c>
      <c r="J7518">
        <v>3586</v>
      </c>
      <c r="K7518" t="s">
        <v>610</v>
      </c>
      <c r="L7518">
        <v>0</v>
      </c>
      <c r="N7518" t="s">
        <v>255</v>
      </c>
      <c r="O7518">
        <v>3</v>
      </c>
      <c r="P7518">
        <v>1939</v>
      </c>
      <c r="Q7518" t="s">
        <v>2289</v>
      </c>
      <c r="R7518" t="s">
        <v>201</v>
      </c>
      <c r="S7518">
        <v>2</v>
      </c>
      <c r="T7518">
        <v>1</v>
      </c>
      <c r="U7518">
        <v>108576</v>
      </c>
      <c r="V7518">
        <v>217152</v>
      </c>
    </row>
    <row r="7519" spans="1:22">
      <c r="A7519" t="s">
        <v>2333</v>
      </c>
      <c r="B7519">
        <v>21</v>
      </c>
      <c r="C7519" t="s">
        <v>78</v>
      </c>
      <c r="D7519" t="s">
        <v>2387</v>
      </c>
      <c r="E7519" t="s">
        <v>2388</v>
      </c>
      <c r="F7519">
        <v>1005</v>
      </c>
      <c r="G7519" t="s">
        <v>78</v>
      </c>
      <c r="H7519">
        <v>2585</v>
      </c>
      <c r="I7519" t="s">
        <v>86</v>
      </c>
      <c r="J7519">
        <v>3586</v>
      </c>
      <c r="K7519" t="s">
        <v>610</v>
      </c>
      <c r="L7519">
        <v>0</v>
      </c>
      <c r="N7519" t="s">
        <v>255</v>
      </c>
      <c r="O7519">
        <v>3</v>
      </c>
      <c r="P7519">
        <v>1939</v>
      </c>
      <c r="Q7519" t="s">
        <v>2289</v>
      </c>
      <c r="R7519" t="s">
        <v>201</v>
      </c>
      <c r="S7519">
        <v>1</v>
      </c>
      <c r="T7519">
        <v>1</v>
      </c>
      <c r="U7519">
        <v>102588</v>
      </c>
      <c r="V7519">
        <v>102588</v>
      </c>
    </row>
    <row r="7520" spans="1:22">
      <c r="A7520" t="s">
        <v>2333</v>
      </c>
      <c r="B7520">
        <v>21</v>
      </c>
      <c r="C7520" t="s">
        <v>78</v>
      </c>
      <c r="D7520" t="s">
        <v>2387</v>
      </c>
      <c r="E7520" t="s">
        <v>2388</v>
      </c>
      <c r="F7520">
        <v>1005</v>
      </c>
      <c r="G7520" t="s">
        <v>78</v>
      </c>
      <c r="H7520">
        <v>2585</v>
      </c>
      <c r="I7520" t="s">
        <v>86</v>
      </c>
      <c r="J7520">
        <v>3586</v>
      </c>
      <c r="K7520" t="s">
        <v>610</v>
      </c>
      <c r="L7520">
        <v>0</v>
      </c>
      <c r="N7520" t="s">
        <v>255</v>
      </c>
      <c r="O7520">
        <v>3</v>
      </c>
      <c r="P7520">
        <v>1939</v>
      </c>
      <c r="Q7520" t="s">
        <v>2289</v>
      </c>
      <c r="R7520" t="s">
        <v>201</v>
      </c>
      <c r="S7520">
        <v>3</v>
      </c>
      <c r="T7520">
        <v>1</v>
      </c>
      <c r="U7520">
        <v>93504</v>
      </c>
      <c r="V7520">
        <v>280512</v>
      </c>
    </row>
    <row r="7521" spans="1:22">
      <c r="A7521" t="s">
        <v>2333</v>
      </c>
      <c r="B7521">
        <v>21</v>
      </c>
      <c r="C7521" t="s">
        <v>78</v>
      </c>
      <c r="D7521" t="s">
        <v>2387</v>
      </c>
      <c r="E7521" t="s">
        <v>2388</v>
      </c>
      <c r="F7521">
        <v>1005</v>
      </c>
      <c r="G7521" t="s">
        <v>78</v>
      </c>
      <c r="H7521">
        <v>2585</v>
      </c>
      <c r="I7521" t="s">
        <v>86</v>
      </c>
      <c r="J7521">
        <v>3586</v>
      </c>
      <c r="K7521" t="s">
        <v>610</v>
      </c>
      <c r="L7521">
        <v>0</v>
      </c>
      <c r="N7521" t="s">
        <v>255</v>
      </c>
      <c r="O7521">
        <v>3</v>
      </c>
      <c r="P7521">
        <v>1939</v>
      </c>
      <c r="Q7521" t="s">
        <v>2289</v>
      </c>
      <c r="R7521" t="s">
        <v>201</v>
      </c>
      <c r="S7521">
        <v>1</v>
      </c>
      <c r="T7521">
        <v>1</v>
      </c>
      <c r="U7521">
        <v>89244</v>
      </c>
      <c r="V7521">
        <v>89244</v>
      </c>
    </row>
    <row r="7522" spans="1:22">
      <c r="A7522" t="s">
        <v>2333</v>
      </c>
      <c r="B7522">
        <v>21</v>
      </c>
      <c r="C7522" t="s">
        <v>78</v>
      </c>
      <c r="D7522" t="s">
        <v>2387</v>
      </c>
      <c r="E7522" t="s">
        <v>2388</v>
      </c>
      <c r="F7522">
        <v>1005</v>
      </c>
      <c r="G7522" t="s">
        <v>78</v>
      </c>
      <c r="H7522">
        <v>2585</v>
      </c>
      <c r="I7522" t="s">
        <v>86</v>
      </c>
      <c r="J7522">
        <v>3586</v>
      </c>
      <c r="K7522" t="s">
        <v>610</v>
      </c>
      <c r="L7522">
        <v>0</v>
      </c>
      <c r="N7522" t="s">
        <v>255</v>
      </c>
      <c r="O7522">
        <v>3</v>
      </c>
      <c r="P7522">
        <v>1939</v>
      </c>
      <c r="Q7522" t="s">
        <v>2289</v>
      </c>
      <c r="R7522" t="s">
        <v>201</v>
      </c>
      <c r="S7522">
        <v>1</v>
      </c>
      <c r="T7522">
        <v>1</v>
      </c>
      <c r="U7522">
        <v>82644</v>
      </c>
      <c r="V7522">
        <v>82644</v>
      </c>
    </row>
    <row r="7523" spans="1:22">
      <c r="A7523" t="s">
        <v>2333</v>
      </c>
      <c r="B7523">
        <v>21</v>
      </c>
      <c r="C7523" t="s">
        <v>78</v>
      </c>
      <c r="D7523" t="s">
        <v>2387</v>
      </c>
      <c r="E7523" t="s">
        <v>2388</v>
      </c>
      <c r="F7523">
        <v>1005</v>
      </c>
      <c r="G7523" t="s">
        <v>78</v>
      </c>
      <c r="H7523">
        <v>2585</v>
      </c>
      <c r="I7523" t="s">
        <v>86</v>
      </c>
      <c r="J7523">
        <v>3586</v>
      </c>
      <c r="K7523" t="s">
        <v>610</v>
      </c>
      <c r="L7523">
        <v>0</v>
      </c>
      <c r="N7523" t="s">
        <v>351</v>
      </c>
      <c r="O7523">
        <v>1</v>
      </c>
      <c r="P7523">
        <v>810</v>
      </c>
      <c r="Q7523" t="s">
        <v>1803</v>
      </c>
      <c r="R7523" t="s">
        <v>201</v>
      </c>
      <c r="S7523">
        <v>1</v>
      </c>
      <c r="T7523">
        <v>1</v>
      </c>
      <c r="U7523">
        <v>94452</v>
      </c>
      <c r="V7523">
        <v>94452</v>
      </c>
    </row>
    <row r="7524" spans="1:22">
      <c r="A7524" t="s">
        <v>2333</v>
      </c>
      <c r="B7524">
        <v>21</v>
      </c>
      <c r="C7524" t="s">
        <v>78</v>
      </c>
      <c r="D7524" t="s">
        <v>2387</v>
      </c>
      <c r="E7524" t="s">
        <v>2388</v>
      </c>
      <c r="F7524">
        <v>1005</v>
      </c>
      <c r="G7524" t="s">
        <v>78</v>
      </c>
      <c r="H7524">
        <v>2585</v>
      </c>
      <c r="I7524" t="s">
        <v>86</v>
      </c>
      <c r="J7524">
        <v>3586</v>
      </c>
      <c r="K7524" t="s">
        <v>610</v>
      </c>
      <c r="L7524">
        <v>0</v>
      </c>
      <c r="N7524" t="s">
        <v>274</v>
      </c>
      <c r="O7524">
        <v>9</v>
      </c>
      <c r="P7524">
        <v>313</v>
      </c>
      <c r="Q7524" t="s">
        <v>605</v>
      </c>
      <c r="R7524" t="s">
        <v>201</v>
      </c>
      <c r="S7524">
        <v>1</v>
      </c>
      <c r="T7524">
        <v>1</v>
      </c>
      <c r="U7524">
        <v>146808</v>
      </c>
      <c r="V7524">
        <v>146808</v>
      </c>
    </row>
    <row r="7525" spans="1:22">
      <c r="A7525" t="s">
        <v>2333</v>
      </c>
      <c r="B7525">
        <v>21</v>
      </c>
      <c r="C7525" t="s">
        <v>78</v>
      </c>
      <c r="D7525" t="s">
        <v>2387</v>
      </c>
      <c r="E7525" t="s">
        <v>2388</v>
      </c>
      <c r="F7525">
        <v>1005</v>
      </c>
      <c r="G7525" t="s">
        <v>78</v>
      </c>
      <c r="H7525">
        <v>2585</v>
      </c>
      <c r="I7525" t="s">
        <v>86</v>
      </c>
      <c r="J7525">
        <v>3586</v>
      </c>
      <c r="K7525" t="s">
        <v>610</v>
      </c>
      <c r="L7525">
        <v>0</v>
      </c>
      <c r="N7525" t="s">
        <v>274</v>
      </c>
      <c r="O7525">
        <v>9</v>
      </c>
      <c r="P7525">
        <v>313</v>
      </c>
      <c r="Q7525" t="s">
        <v>605</v>
      </c>
      <c r="R7525" t="s">
        <v>201</v>
      </c>
      <c r="S7525">
        <v>1</v>
      </c>
      <c r="T7525">
        <v>1</v>
      </c>
      <c r="U7525">
        <v>137532</v>
      </c>
      <c r="V7525">
        <v>137532</v>
      </c>
    </row>
    <row r="7526" spans="1:22">
      <c r="A7526" t="s">
        <v>2333</v>
      </c>
      <c r="B7526">
        <v>21</v>
      </c>
      <c r="C7526" t="s">
        <v>78</v>
      </c>
      <c r="D7526" t="s">
        <v>2387</v>
      </c>
      <c r="E7526" t="s">
        <v>2388</v>
      </c>
      <c r="F7526">
        <v>1005</v>
      </c>
      <c r="G7526" t="s">
        <v>78</v>
      </c>
      <c r="H7526">
        <v>2585</v>
      </c>
      <c r="I7526" t="s">
        <v>86</v>
      </c>
      <c r="J7526">
        <v>3586</v>
      </c>
      <c r="K7526" t="s">
        <v>610</v>
      </c>
      <c r="L7526">
        <v>0</v>
      </c>
      <c r="N7526" t="s">
        <v>249</v>
      </c>
      <c r="O7526">
        <v>10</v>
      </c>
      <c r="P7526">
        <v>310</v>
      </c>
      <c r="Q7526" t="s">
        <v>447</v>
      </c>
      <c r="R7526" t="s">
        <v>201</v>
      </c>
      <c r="S7526">
        <v>1</v>
      </c>
      <c r="T7526">
        <v>1</v>
      </c>
      <c r="U7526">
        <v>102444</v>
      </c>
      <c r="V7526">
        <v>102444</v>
      </c>
    </row>
    <row r="7527" spans="1:22">
      <c r="A7527" t="s">
        <v>2333</v>
      </c>
      <c r="B7527">
        <v>21</v>
      </c>
      <c r="C7527" t="s">
        <v>78</v>
      </c>
      <c r="D7527" t="s">
        <v>2387</v>
      </c>
      <c r="E7527" t="s">
        <v>2388</v>
      </c>
      <c r="F7527">
        <v>1005</v>
      </c>
      <c r="G7527" t="s">
        <v>78</v>
      </c>
      <c r="H7527">
        <v>2585</v>
      </c>
      <c r="I7527" t="s">
        <v>86</v>
      </c>
      <c r="J7527">
        <v>3586</v>
      </c>
      <c r="K7527" t="s">
        <v>610</v>
      </c>
      <c r="L7527">
        <v>0</v>
      </c>
      <c r="N7527" t="s">
        <v>199</v>
      </c>
      <c r="O7527">
        <v>0</v>
      </c>
      <c r="P7527">
        <v>44</v>
      </c>
      <c r="Q7527" t="s">
        <v>2337</v>
      </c>
      <c r="R7527" t="s">
        <v>201</v>
      </c>
      <c r="S7527">
        <v>0</v>
      </c>
      <c r="T7527">
        <v>0</v>
      </c>
      <c r="U7527">
        <v>1160032</v>
      </c>
      <c r="V7527">
        <v>1160032</v>
      </c>
    </row>
    <row r="7528" spans="1:22">
      <c r="A7528" t="s">
        <v>2333</v>
      </c>
      <c r="B7528">
        <v>21</v>
      </c>
      <c r="C7528" t="s">
        <v>78</v>
      </c>
      <c r="D7528" t="s">
        <v>2387</v>
      </c>
      <c r="E7528" t="s">
        <v>2388</v>
      </c>
      <c r="F7528">
        <v>1005</v>
      </c>
      <c r="G7528" t="s">
        <v>78</v>
      </c>
      <c r="H7528">
        <v>2585</v>
      </c>
      <c r="I7528" t="s">
        <v>86</v>
      </c>
      <c r="J7528">
        <v>3586</v>
      </c>
      <c r="K7528" t="s">
        <v>610</v>
      </c>
      <c r="L7528">
        <v>0</v>
      </c>
      <c r="N7528" t="s">
        <v>199</v>
      </c>
      <c r="O7528">
        <v>0</v>
      </c>
      <c r="P7528">
        <v>15</v>
      </c>
      <c r="Q7528" t="s">
        <v>264</v>
      </c>
      <c r="R7528" t="s">
        <v>201</v>
      </c>
      <c r="S7528">
        <v>0</v>
      </c>
      <c r="T7528">
        <v>0</v>
      </c>
      <c r="U7528">
        <v>31368</v>
      </c>
      <c r="V7528">
        <v>31368</v>
      </c>
    </row>
    <row r="7529" spans="1:22">
      <c r="A7529" t="s">
        <v>2333</v>
      </c>
      <c r="B7529">
        <v>41</v>
      </c>
      <c r="C7529" t="s">
        <v>1097</v>
      </c>
      <c r="D7529" t="s">
        <v>2387</v>
      </c>
      <c r="E7529" t="s">
        <v>2388</v>
      </c>
      <c r="F7529">
        <v>1005</v>
      </c>
      <c r="G7529" t="s">
        <v>111</v>
      </c>
      <c r="H7529">
        <v>2555</v>
      </c>
      <c r="I7529" t="s">
        <v>87</v>
      </c>
      <c r="J7529">
        <v>3555</v>
      </c>
      <c r="K7529" t="s">
        <v>2393</v>
      </c>
      <c r="L7529">
        <v>0</v>
      </c>
      <c r="N7529" t="s">
        <v>1124</v>
      </c>
      <c r="O7529">
        <v>37</v>
      </c>
      <c r="P7529">
        <v>3752</v>
      </c>
      <c r="Q7529" t="s">
        <v>1125</v>
      </c>
      <c r="R7529" t="s">
        <v>201</v>
      </c>
      <c r="S7529">
        <v>1</v>
      </c>
      <c r="T7529">
        <v>1</v>
      </c>
      <c r="U7529">
        <v>101448</v>
      </c>
      <c r="V7529">
        <v>101448</v>
      </c>
    </row>
    <row r="7530" spans="1:22">
      <c r="A7530" t="s">
        <v>2333</v>
      </c>
      <c r="B7530">
        <v>41</v>
      </c>
      <c r="C7530" t="s">
        <v>1097</v>
      </c>
      <c r="D7530" t="s">
        <v>2387</v>
      </c>
      <c r="E7530" t="s">
        <v>2388</v>
      </c>
      <c r="F7530">
        <v>1005</v>
      </c>
      <c r="G7530" t="s">
        <v>111</v>
      </c>
      <c r="H7530">
        <v>2555</v>
      </c>
      <c r="I7530" t="s">
        <v>87</v>
      </c>
      <c r="J7530">
        <v>3555</v>
      </c>
      <c r="K7530" t="s">
        <v>2393</v>
      </c>
      <c r="L7530">
        <v>0</v>
      </c>
      <c r="N7530" t="s">
        <v>1154</v>
      </c>
      <c r="O7530">
        <v>56</v>
      </c>
      <c r="P7530">
        <v>3701</v>
      </c>
      <c r="Q7530" t="s">
        <v>1155</v>
      </c>
      <c r="R7530" t="s">
        <v>201</v>
      </c>
      <c r="S7530">
        <v>1</v>
      </c>
      <c r="T7530">
        <v>1</v>
      </c>
      <c r="U7530">
        <v>147672</v>
      </c>
      <c r="V7530">
        <v>147672</v>
      </c>
    </row>
    <row r="7531" spans="1:22">
      <c r="A7531" t="s">
        <v>2333</v>
      </c>
      <c r="B7531">
        <v>41</v>
      </c>
      <c r="C7531" t="s">
        <v>1097</v>
      </c>
      <c r="D7531" t="s">
        <v>2387</v>
      </c>
      <c r="E7531" t="s">
        <v>2388</v>
      </c>
      <c r="F7531">
        <v>1005</v>
      </c>
      <c r="G7531" t="s">
        <v>111</v>
      </c>
      <c r="H7531">
        <v>2555</v>
      </c>
      <c r="I7531" t="s">
        <v>87</v>
      </c>
      <c r="J7531">
        <v>3555</v>
      </c>
      <c r="K7531" t="s">
        <v>2393</v>
      </c>
      <c r="L7531">
        <v>0</v>
      </c>
      <c r="N7531" t="s">
        <v>1154</v>
      </c>
      <c r="O7531">
        <v>56</v>
      </c>
      <c r="P7531">
        <v>3701</v>
      </c>
      <c r="Q7531" t="s">
        <v>1155</v>
      </c>
      <c r="R7531" t="s">
        <v>201</v>
      </c>
      <c r="S7531">
        <v>1</v>
      </c>
      <c r="T7531">
        <v>1</v>
      </c>
      <c r="U7531">
        <v>98856</v>
      </c>
      <c r="V7531">
        <v>98856</v>
      </c>
    </row>
    <row r="7532" spans="1:22">
      <c r="A7532" t="s">
        <v>2333</v>
      </c>
      <c r="B7532">
        <v>41</v>
      </c>
      <c r="C7532" t="s">
        <v>1097</v>
      </c>
      <c r="D7532" t="s">
        <v>2387</v>
      </c>
      <c r="E7532" t="s">
        <v>2388</v>
      </c>
      <c r="F7532">
        <v>1005</v>
      </c>
      <c r="G7532" t="s">
        <v>111</v>
      </c>
      <c r="H7532">
        <v>2555</v>
      </c>
      <c r="I7532" t="s">
        <v>87</v>
      </c>
      <c r="J7532">
        <v>3555</v>
      </c>
      <c r="K7532" t="s">
        <v>2393</v>
      </c>
      <c r="L7532">
        <v>0</v>
      </c>
      <c r="N7532" t="s">
        <v>360</v>
      </c>
      <c r="O7532">
        <v>3</v>
      </c>
      <c r="P7532">
        <v>3429</v>
      </c>
      <c r="Q7532" t="s">
        <v>2394</v>
      </c>
      <c r="R7532" t="s">
        <v>201</v>
      </c>
      <c r="S7532">
        <v>1</v>
      </c>
      <c r="T7532">
        <v>1</v>
      </c>
      <c r="U7532">
        <v>86112</v>
      </c>
      <c r="V7532">
        <v>86112</v>
      </c>
    </row>
    <row r="7533" spans="1:22">
      <c r="A7533" t="s">
        <v>2333</v>
      </c>
      <c r="B7533">
        <v>41</v>
      </c>
      <c r="C7533" t="s">
        <v>1097</v>
      </c>
      <c r="D7533" t="s">
        <v>2387</v>
      </c>
      <c r="E7533" t="s">
        <v>2388</v>
      </c>
      <c r="F7533">
        <v>1005</v>
      </c>
      <c r="G7533" t="s">
        <v>111</v>
      </c>
      <c r="H7533">
        <v>2555</v>
      </c>
      <c r="I7533" t="s">
        <v>87</v>
      </c>
      <c r="J7533">
        <v>3555</v>
      </c>
      <c r="K7533" t="s">
        <v>2393</v>
      </c>
      <c r="L7533">
        <v>0</v>
      </c>
      <c r="N7533" t="s">
        <v>333</v>
      </c>
      <c r="O7533">
        <v>4</v>
      </c>
      <c r="P7533">
        <v>3407</v>
      </c>
      <c r="Q7533" t="s">
        <v>1111</v>
      </c>
      <c r="R7533" t="s">
        <v>201</v>
      </c>
      <c r="S7533">
        <v>1</v>
      </c>
      <c r="T7533">
        <v>1</v>
      </c>
      <c r="U7533">
        <v>154764</v>
      </c>
      <c r="V7533">
        <v>154764</v>
      </c>
    </row>
    <row r="7534" spans="1:22">
      <c r="A7534" t="s">
        <v>2333</v>
      </c>
      <c r="B7534">
        <v>41</v>
      </c>
      <c r="C7534" t="s">
        <v>1097</v>
      </c>
      <c r="D7534" t="s">
        <v>2387</v>
      </c>
      <c r="E7534" t="s">
        <v>2388</v>
      </c>
      <c r="F7534">
        <v>1005</v>
      </c>
      <c r="G7534" t="s">
        <v>111</v>
      </c>
      <c r="H7534">
        <v>2555</v>
      </c>
      <c r="I7534" t="s">
        <v>87</v>
      </c>
      <c r="J7534">
        <v>3555</v>
      </c>
      <c r="K7534" t="s">
        <v>2393</v>
      </c>
      <c r="L7534">
        <v>0</v>
      </c>
      <c r="N7534" t="s">
        <v>1170</v>
      </c>
      <c r="O7534">
        <v>44</v>
      </c>
      <c r="P7534">
        <v>2151</v>
      </c>
      <c r="Q7534" t="s">
        <v>1171</v>
      </c>
      <c r="R7534" t="s">
        <v>201</v>
      </c>
      <c r="S7534">
        <v>1</v>
      </c>
      <c r="T7534">
        <v>1</v>
      </c>
      <c r="U7534">
        <v>150180</v>
      </c>
      <c r="V7534">
        <v>150180</v>
      </c>
    </row>
    <row r="7535" spans="1:22">
      <c r="A7535" t="s">
        <v>2333</v>
      </c>
      <c r="B7535">
        <v>41</v>
      </c>
      <c r="C7535" t="s">
        <v>1097</v>
      </c>
      <c r="D7535" t="s">
        <v>2387</v>
      </c>
      <c r="E7535" t="s">
        <v>2388</v>
      </c>
      <c r="F7535">
        <v>1005</v>
      </c>
      <c r="G7535" t="s">
        <v>111</v>
      </c>
      <c r="H7535">
        <v>2555</v>
      </c>
      <c r="I7535" t="s">
        <v>87</v>
      </c>
      <c r="J7535">
        <v>3555</v>
      </c>
      <c r="K7535" t="s">
        <v>2393</v>
      </c>
      <c r="L7535">
        <v>0</v>
      </c>
      <c r="N7535" t="s">
        <v>1170</v>
      </c>
      <c r="O7535">
        <v>44</v>
      </c>
      <c r="P7535">
        <v>2151</v>
      </c>
      <c r="Q7535" t="s">
        <v>1171</v>
      </c>
      <c r="R7535" t="s">
        <v>201</v>
      </c>
      <c r="S7535">
        <v>1</v>
      </c>
      <c r="T7535">
        <v>1</v>
      </c>
      <c r="U7535">
        <v>123528</v>
      </c>
      <c r="V7535">
        <v>123528</v>
      </c>
    </row>
    <row r="7536" spans="1:22">
      <c r="A7536" t="s">
        <v>2333</v>
      </c>
      <c r="B7536">
        <v>41</v>
      </c>
      <c r="C7536" t="s">
        <v>1097</v>
      </c>
      <c r="D7536" t="s">
        <v>2387</v>
      </c>
      <c r="E7536" t="s">
        <v>2388</v>
      </c>
      <c r="F7536">
        <v>1005</v>
      </c>
      <c r="G7536" t="s">
        <v>111</v>
      </c>
      <c r="H7536">
        <v>2555</v>
      </c>
      <c r="I7536" t="s">
        <v>87</v>
      </c>
      <c r="J7536">
        <v>3555</v>
      </c>
      <c r="K7536" t="s">
        <v>2393</v>
      </c>
      <c r="L7536">
        <v>0</v>
      </c>
      <c r="N7536" t="s">
        <v>1172</v>
      </c>
      <c r="O7536">
        <v>44</v>
      </c>
      <c r="P7536">
        <v>2150</v>
      </c>
      <c r="Q7536" t="s">
        <v>1173</v>
      </c>
      <c r="R7536" t="s">
        <v>201</v>
      </c>
      <c r="S7536">
        <v>3</v>
      </c>
      <c r="T7536">
        <v>1</v>
      </c>
      <c r="U7536">
        <v>157296</v>
      </c>
      <c r="V7536">
        <v>471888</v>
      </c>
    </row>
    <row r="7537" spans="1:22">
      <c r="A7537" t="s">
        <v>2333</v>
      </c>
      <c r="B7537">
        <v>41</v>
      </c>
      <c r="C7537" t="s">
        <v>1097</v>
      </c>
      <c r="D7537" t="s">
        <v>2387</v>
      </c>
      <c r="E7537" t="s">
        <v>2388</v>
      </c>
      <c r="F7537">
        <v>1005</v>
      </c>
      <c r="G7537" t="s">
        <v>111</v>
      </c>
      <c r="H7537">
        <v>2555</v>
      </c>
      <c r="I7537" t="s">
        <v>87</v>
      </c>
      <c r="J7537">
        <v>3555</v>
      </c>
      <c r="K7537" t="s">
        <v>2393</v>
      </c>
      <c r="L7537">
        <v>0</v>
      </c>
      <c r="N7537" t="s">
        <v>1172</v>
      </c>
      <c r="O7537">
        <v>44</v>
      </c>
      <c r="P7537">
        <v>2150</v>
      </c>
      <c r="Q7537" t="s">
        <v>1173</v>
      </c>
      <c r="R7537" t="s">
        <v>201</v>
      </c>
      <c r="S7537">
        <v>1</v>
      </c>
      <c r="T7537">
        <v>1</v>
      </c>
      <c r="U7537">
        <v>143352</v>
      </c>
      <c r="V7537">
        <v>143352</v>
      </c>
    </row>
    <row r="7538" spans="1:22">
      <c r="A7538" t="s">
        <v>2333</v>
      </c>
      <c r="B7538">
        <v>41</v>
      </c>
      <c r="C7538" t="s">
        <v>1097</v>
      </c>
      <c r="D7538" t="s">
        <v>2387</v>
      </c>
      <c r="E7538" t="s">
        <v>2388</v>
      </c>
      <c r="F7538">
        <v>1005</v>
      </c>
      <c r="G7538" t="s">
        <v>111</v>
      </c>
      <c r="H7538">
        <v>2555</v>
      </c>
      <c r="I7538" t="s">
        <v>87</v>
      </c>
      <c r="J7538">
        <v>3555</v>
      </c>
      <c r="K7538" t="s">
        <v>2393</v>
      </c>
      <c r="L7538">
        <v>0</v>
      </c>
      <c r="N7538" t="s">
        <v>1172</v>
      </c>
      <c r="O7538">
        <v>44</v>
      </c>
      <c r="P7538">
        <v>2150</v>
      </c>
      <c r="Q7538" t="s">
        <v>1173</v>
      </c>
      <c r="R7538" t="s">
        <v>201</v>
      </c>
      <c r="S7538">
        <v>2</v>
      </c>
      <c r="T7538">
        <v>1</v>
      </c>
      <c r="U7538">
        <v>112488</v>
      </c>
      <c r="V7538">
        <v>224976</v>
      </c>
    </row>
    <row r="7539" spans="1:22">
      <c r="A7539" t="s">
        <v>2333</v>
      </c>
      <c r="B7539">
        <v>41</v>
      </c>
      <c r="C7539" t="s">
        <v>1097</v>
      </c>
      <c r="D7539" t="s">
        <v>2387</v>
      </c>
      <c r="E7539" t="s">
        <v>2388</v>
      </c>
      <c r="F7539">
        <v>1005</v>
      </c>
      <c r="G7539" t="s">
        <v>111</v>
      </c>
      <c r="H7539">
        <v>2555</v>
      </c>
      <c r="I7539" t="s">
        <v>87</v>
      </c>
      <c r="J7539">
        <v>3555</v>
      </c>
      <c r="K7539" t="s">
        <v>2393</v>
      </c>
      <c r="L7539">
        <v>0</v>
      </c>
      <c r="N7539" t="s">
        <v>1172</v>
      </c>
      <c r="O7539">
        <v>44</v>
      </c>
      <c r="P7539">
        <v>2150</v>
      </c>
      <c r="Q7539" t="s">
        <v>1173</v>
      </c>
      <c r="R7539" t="s">
        <v>201</v>
      </c>
      <c r="S7539">
        <v>1</v>
      </c>
      <c r="T7539">
        <v>1</v>
      </c>
      <c r="U7539">
        <v>107460</v>
      </c>
      <c r="V7539">
        <v>107460</v>
      </c>
    </row>
    <row r="7540" spans="1:22">
      <c r="A7540" t="s">
        <v>2333</v>
      </c>
      <c r="B7540">
        <v>41</v>
      </c>
      <c r="C7540" t="s">
        <v>1097</v>
      </c>
      <c r="D7540" t="s">
        <v>2387</v>
      </c>
      <c r="E7540" t="s">
        <v>2388</v>
      </c>
      <c r="F7540">
        <v>1005</v>
      </c>
      <c r="G7540" t="s">
        <v>111</v>
      </c>
      <c r="H7540">
        <v>2555</v>
      </c>
      <c r="I7540" t="s">
        <v>87</v>
      </c>
      <c r="J7540">
        <v>3555</v>
      </c>
      <c r="K7540" t="s">
        <v>2393</v>
      </c>
      <c r="L7540">
        <v>0</v>
      </c>
      <c r="N7540" t="s">
        <v>1172</v>
      </c>
      <c r="O7540">
        <v>44</v>
      </c>
      <c r="P7540">
        <v>2150</v>
      </c>
      <c r="Q7540" t="s">
        <v>1173</v>
      </c>
      <c r="R7540" t="s">
        <v>201</v>
      </c>
      <c r="S7540">
        <v>1</v>
      </c>
      <c r="T7540">
        <v>1</v>
      </c>
      <c r="U7540">
        <v>102540</v>
      </c>
      <c r="V7540">
        <v>102540</v>
      </c>
    </row>
    <row r="7541" spans="1:22">
      <c r="A7541" t="s">
        <v>2333</v>
      </c>
      <c r="B7541">
        <v>41</v>
      </c>
      <c r="C7541" t="s">
        <v>1097</v>
      </c>
      <c r="D7541" t="s">
        <v>2387</v>
      </c>
      <c r="E7541" t="s">
        <v>2388</v>
      </c>
      <c r="F7541">
        <v>1005</v>
      </c>
      <c r="G7541" t="s">
        <v>111</v>
      </c>
      <c r="H7541">
        <v>2555</v>
      </c>
      <c r="I7541" t="s">
        <v>87</v>
      </c>
      <c r="J7541">
        <v>3555</v>
      </c>
      <c r="K7541" t="s">
        <v>2393</v>
      </c>
      <c r="L7541">
        <v>0</v>
      </c>
      <c r="N7541" t="s">
        <v>1172</v>
      </c>
      <c r="O7541">
        <v>44</v>
      </c>
      <c r="P7541">
        <v>2150</v>
      </c>
      <c r="Q7541" t="s">
        <v>1173</v>
      </c>
      <c r="R7541" t="s">
        <v>201</v>
      </c>
      <c r="S7541">
        <v>3</v>
      </c>
      <c r="T7541">
        <v>1</v>
      </c>
      <c r="U7541">
        <v>97932</v>
      </c>
      <c r="V7541">
        <v>293796</v>
      </c>
    </row>
    <row r="7542" spans="1:22">
      <c r="A7542" t="s">
        <v>2333</v>
      </c>
      <c r="B7542">
        <v>41</v>
      </c>
      <c r="C7542" t="s">
        <v>1097</v>
      </c>
      <c r="D7542" t="s">
        <v>2387</v>
      </c>
      <c r="E7542" t="s">
        <v>2388</v>
      </c>
      <c r="F7542">
        <v>1005</v>
      </c>
      <c r="G7542" t="s">
        <v>111</v>
      </c>
      <c r="H7542">
        <v>2555</v>
      </c>
      <c r="I7542" t="s">
        <v>87</v>
      </c>
      <c r="J7542">
        <v>3555</v>
      </c>
      <c r="K7542" t="s">
        <v>2393</v>
      </c>
      <c r="L7542">
        <v>0</v>
      </c>
      <c r="N7542" t="s">
        <v>1172</v>
      </c>
      <c r="O7542">
        <v>44</v>
      </c>
      <c r="P7542">
        <v>2150</v>
      </c>
      <c r="Q7542" t="s">
        <v>1173</v>
      </c>
      <c r="R7542" t="s">
        <v>201</v>
      </c>
      <c r="S7542">
        <v>2</v>
      </c>
      <c r="T7542">
        <v>1</v>
      </c>
      <c r="U7542">
        <v>93468</v>
      </c>
      <c r="V7542">
        <v>186936</v>
      </c>
    </row>
    <row r="7543" spans="1:22">
      <c r="A7543" t="s">
        <v>2333</v>
      </c>
      <c r="B7543">
        <v>41</v>
      </c>
      <c r="C7543" t="s">
        <v>1097</v>
      </c>
      <c r="D7543" t="s">
        <v>2387</v>
      </c>
      <c r="E7543" t="s">
        <v>2388</v>
      </c>
      <c r="F7543">
        <v>1005</v>
      </c>
      <c r="G7543" t="s">
        <v>111</v>
      </c>
      <c r="H7543">
        <v>2555</v>
      </c>
      <c r="I7543" t="s">
        <v>87</v>
      </c>
      <c r="J7543">
        <v>3555</v>
      </c>
      <c r="K7543" t="s">
        <v>2393</v>
      </c>
      <c r="L7543">
        <v>0</v>
      </c>
      <c r="N7543" t="s">
        <v>809</v>
      </c>
      <c r="O7543">
        <v>1</v>
      </c>
      <c r="P7543">
        <v>460</v>
      </c>
      <c r="Q7543" t="s">
        <v>810</v>
      </c>
      <c r="R7543" t="s">
        <v>201</v>
      </c>
      <c r="S7543">
        <v>1</v>
      </c>
      <c r="T7543">
        <v>1</v>
      </c>
      <c r="U7543">
        <v>82140</v>
      </c>
      <c r="V7543">
        <v>82140</v>
      </c>
    </row>
    <row r="7544" spans="1:22">
      <c r="A7544" t="s">
        <v>2333</v>
      </c>
      <c r="B7544">
        <v>41</v>
      </c>
      <c r="C7544" t="s">
        <v>1097</v>
      </c>
      <c r="D7544" t="s">
        <v>2387</v>
      </c>
      <c r="E7544" t="s">
        <v>2388</v>
      </c>
      <c r="F7544">
        <v>1005</v>
      </c>
      <c r="G7544" t="s">
        <v>111</v>
      </c>
      <c r="H7544">
        <v>2555</v>
      </c>
      <c r="I7544" t="s">
        <v>87</v>
      </c>
      <c r="J7544">
        <v>3555</v>
      </c>
      <c r="K7544" t="s">
        <v>2393</v>
      </c>
      <c r="L7544">
        <v>0</v>
      </c>
      <c r="N7544" t="s">
        <v>809</v>
      </c>
      <c r="O7544">
        <v>1</v>
      </c>
      <c r="P7544">
        <v>460</v>
      </c>
      <c r="Q7544" t="s">
        <v>810</v>
      </c>
      <c r="R7544" t="s">
        <v>201</v>
      </c>
      <c r="S7544">
        <v>1</v>
      </c>
      <c r="T7544">
        <v>1</v>
      </c>
      <c r="U7544">
        <v>48864</v>
      </c>
      <c r="V7544">
        <v>48864</v>
      </c>
    </row>
    <row r="7545" spans="1:22">
      <c r="A7545" t="s">
        <v>2333</v>
      </c>
      <c r="B7545">
        <v>41</v>
      </c>
      <c r="C7545" t="s">
        <v>1097</v>
      </c>
      <c r="D7545" t="s">
        <v>2387</v>
      </c>
      <c r="E7545" t="s">
        <v>2388</v>
      </c>
      <c r="F7545">
        <v>1005</v>
      </c>
      <c r="G7545" t="s">
        <v>111</v>
      </c>
      <c r="H7545">
        <v>2555</v>
      </c>
      <c r="I7545" t="s">
        <v>87</v>
      </c>
      <c r="J7545">
        <v>3555</v>
      </c>
      <c r="K7545" t="s">
        <v>2393</v>
      </c>
      <c r="L7545">
        <v>0</v>
      </c>
      <c r="N7545" t="s">
        <v>622</v>
      </c>
      <c r="O7545">
        <v>1</v>
      </c>
      <c r="P7545" t="s">
        <v>667</v>
      </c>
      <c r="Q7545" t="s">
        <v>205</v>
      </c>
      <c r="R7545" t="s">
        <v>201</v>
      </c>
      <c r="S7545">
        <v>1</v>
      </c>
      <c r="T7545">
        <v>1</v>
      </c>
      <c r="U7545">
        <v>90144</v>
      </c>
      <c r="V7545">
        <v>90144</v>
      </c>
    </row>
    <row r="7546" spans="1:22">
      <c r="A7546" t="s">
        <v>2333</v>
      </c>
      <c r="B7546">
        <v>41</v>
      </c>
      <c r="C7546" t="s">
        <v>1097</v>
      </c>
      <c r="D7546" t="s">
        <v>2387</v>
      </c>
      <c r="E7546" t="s">
        <v>2388</v>
      </c>
      <c r="F7546">
        <v>1005</v>
      </c>
      <c r="G7546" t="s">
        <v>111</v>
      </c>
      <c r="H7546">
        <v>2555</v>
      </c>
      <c r="I7546" t="s">
        <v>87</v>
      </c>
      <c r="J7546">
        <v>3555</v>
      </c>
      <c r="K7546" t="s">
        <v>2393</v>
      </c>
      <c r="L7546">
        <v>0</v>
      </c>
      <c r="N7546" t="s">
        <v>622</v>
      </c>
      <c r="O7546">
        <v>1</v>
      </c>
      <c r="P7546" t="s">
        <v>667</v>
      </c>
      <c r="Q7546" t="s">
        <v>205</v>
      </c>
      <c r="R7546" t="s">
        <v>201</v>
      </c>
      <c r="S7546">
        <v>1</v>
      </c>
      <c r="T7546">
        <v>1</v>
      </c>
      <c r="U7546">
        <v>56124</v>
      </c>
      <c r="V7546">
        <v>56124</v>
      </c>
    </row>
    <row r="7547" spans="1:22">
      <c r="A7547" t="s">
        <v>2333</v>
      </c>
      <c r="B7547">
        <v>41</v>
      </c>
      <c r="C7547" t="s">
        <v>1097</v>
      </c>
      <c r="D7547" t="s">
        <v>2387</v>
      </c>
      <c r="E7547" t="s">
        <v>2388</v>
      </c>
      <c r="F7547">
        <v>1005</v>
      </c>
      <c r="G7547" t="s">
        <v>111</v>
      </c>
      <c r="H7547">
        <v>2555</v>
      </c>
      <c r="I7547" t="s">
        <v>87</v>
      </c>
      <c r="J7547">
        <v>3555</v>
      </c>
      <c r="K7547" t="s">
        <v>2393</v>
      </c>
      <c r="L7547">
        <v>0</v>
      </c>
      <c r="N7547" t="s">
        <v>199</v>
      </c>
      <c r="O7547">
        <v>0</v>
      </c>
      <c r="P7547">
        <v>44</v>
      </c>
      <c r="Q7547" t="s">
        <v>2337</v>
      </c>
      <c r="R7547" t="s">
        <v>201</v>
      </c>
      <c r="S7547">
        <v>0</v>
      </c>
      <c r="T7547">
        <v>0</v>
      </c>
      <c r="U7547">
        <v>1494569</v>
      </c>
      <c r="V7547">
        <v>1494569</v>
      </c>
    </row>
    <row r="7548" spans="1:22">
      <c r="A7548" t="s">
        <v>2333</v>
      </c>
      <c r="B7548">
        <v>41</v>
      </c>
      <c r="C7548" t="s">
        <v>1097</v>
      </c>
      <c r="D7548" t="s">
        <v>2387</v>
      </c>
      <c r="E7548" t="s">
        <v>2388</v>
      </c>
      <c r="F7548">
        <v>1005</v>
      </c>
      <c r="G7548" t="s">
        <v>111</v>
      </c>
      <c r="H7548">
        <v>2555</v>
      </c>
      <c r="I7548" t="s">
        <v>87</v>
      </c>
      <c r="J7548">
        <v>3555</v>
      </c>
      <c r="K7548" t="s">
        <v>2393</v>
      </c>
      <c r="L7548">
        <v>0</v>
      </c>
      <c r="N7548" t="s">
        <v>199</v>
      </c>
      <c r="O7548">
        <v>0</v>
      </c>
      <c r="P7548">
        <v>15</v>
      </c>
      <c r="Q7548" t="s">
        <v>264</v>
      </c>
      <c r="R7548" t="s">
        <v>201</v>
      </c>
      <c r="S7548">
        <v>0</v>
      </c>
      <c r="T7548">
        <v>0</v>
      </c>
      <c r="U7548">
        <v>22426</v>
      </c>
      <c r="V7548">
        <v>22426</v>
      </c>
    </row>
    <row r="7549" spans="1:22">
      <c r="A7549" t="s">
        <v>2333</v>
      </c>
      <c r="B7549">
        <v>41</v>
      </c>
      <c r="C7549" t="s">
        <v>1097</v>
      </c>
      <c r="D7549" t="s">
        <v>2387</v>
      </c>
      <c r="E7549" t="s">
        <v>2388</v>
      </c>
      <c r="F7549">
        <v>1005</v>
      </c>
      <c r="G7549" t="s">
        <v>111</v>
      </c>
      <c r="H7549">
        <v>2598</v>
      </c>
      <c r="I7549" t="s">
        <v>64</v>
      </c>
      <c r="J7549">
        <v>3577</v>
      </c>
      <c r="K7549" t="s">
        <v>2395</v>
      </c>
      <c r="L7549">
        <v>0</v>
      </c>
      <c r="N7549" t="s">
        <v>1154</v>
      </c>
      <c r="O7549">
        <v>56</v>
      </c>
      <c r="P7549">
        <v>3701</v>
      </c>
      <c r="Q7549" t="s">
        <v>1155</v>
      </c>
      <c r="R7549" t="s">
        <v>201</v>
      </c>
      <c r="S7549">
        <v>1</v>
      </c>
      <c r="T7549">
        <v>1</v>
      </c>
      <c r="U7549">
        <v>94080</v>
      </c>
      <c r="V7549">
        <v>94080</v>
      </c>
    </row>
    <row r="7550" spans="1:22">
      <c r="A7550" t="s">
        <v>2333</v>
      </c>
      <c r="B7550">
        <v>41</v>
      </c>
      <c r="C7550" t="s">
        <v>1097</v>
      </c>
      <c r="D7550" t="s">
        <v>2387</v>
      </c>
      <c r="E7550" t="s">
        <v>2388</v>
      </c>
      <c r="F7550">
        <v>1005</v>
      </c>
      <c r="G7550" t="s">
        <v>111</v>
      </c>
      <c r="H7550">
        <v>2598</v>
      </c>
      <c r="I7550" t="s">
        <v>64</v>
      </c>
      <c r="J7550">
        <v>3577</v>
      </c>
      <c r="K7550" t="s">
        <v>2395</v>
      </c>
      <c r="L7550">
        <v>0</v>
      </c>
      <c r="N7550" t="s">
        <v>622</v>
      </c>
      <c r="O7550">
        <v>1</v>
      </c>
      <c r="P7550">
        <v>3566</v>
      </c>
      <c r="Q7550" t="s">
        <v>1156</v>
      </c>
      <c r="R7550" t="s">
        <v>201</v>
      </c>
      <c r="S7550">
        <v>4</v>
      </c>
      <c r="T7550">
        <v>1</v>
      </c>
      <c r="U7550">
        <v>90144</v>
      </c>
      <c r="V7550">
        <v>360576</v>
      </c>
    </row>
    <row r="7551" spans="1:22">
      <c r="A7551" t="s">
        <v>2333</v>
      </c>
      <c r="B7551">
        <v>41</v>
      </c>
      <c r="C7551" t="s">
        <v>1097</v>
      </c>
      <c r="D7551" t="s">
        <v>2387</v>
      </c>
      <c r="E7551" t="s">
        <v>2388</v>
      </c>
      <c r="F7551">
        <v>1005</v>
      </c>
      <c r="G7551" t="s">
        <v>111</v>
      </c>
      <c r="H7551">
        <v>2598</v>
      </c>
      <c r="I7551" t="s">
        <v>64</v>
      </c>
      <c r="J7551">
        <v>3577</v>
      </c>
      <c r="K7551" t="s">
        <v>2395</v>
      </c>
      <c r="L7551">
        <v>0</v>
      </c>
      <c r="N7551" t="s">
        <v>622</v>
      </c>
      <c r="O7551">
        <v>1</v>
      </c>
      <c r="P7551">
        <v>3566</v>
      </c>
      <c r="Q7551" t="s">
        <v>1156</v>
      </c>
      <c r="R7551" t="s">
        <v>201</v>
      </c>
      <c r="S7551">
        <v>1</v>
      </c>
      <c r="T7551">
        <v>1</v>
      </c>
      <c r="U7551">
        <v>64488</v>
      </c>
      <c r="V7551">
        <v>64488</v>
      </c>
    </row>
    <row r="7552" spans="1:22">
      <c r="A7552" t="s">
        <v>2333</v>
      </c>
      <c r="B7552">
        <v>41</v>
      </c>
      <c r="C7552" t="s">
        <v>1097</v>
      </c>
      <c r="D7552" t="s">
        <v>2387</v>
      </c>
      <c r="E7552" t="s">
        <v>2388</v>
      </c>
      <c r="F7552">
        <v>1005</v>
      </c>
      <c r="G7552" t="s">
        <v>111</v>
      </c>
      <c r="H7552">
        <v>2598</v>
      </c>
      <c r="I7552" t="s">
        <v>64</v>
      </c>
      <c r="J7552">
        <v>3577</v>
      </c>
      <c r="K7552" t="s">
        <v>2395</v>
      </c>
      <c r="L7552">
        <v>0</v>
      </c>
      <c r="N7552" t="s">
        <v>622</v>
      </c>
      <c r="O7552">
        <v>1</v>
      </c>
      <c r="P7552">
        <v>3566</v>
      </c>
      <c r="Q7552" t="s">
        <v>1156</v>
      </c>
      <c r="R7552" t="s">
        <v>201</v>
      </c>
      <c r="S7552">
        <v>2</v>
      </c>
      <c r="T7552">
        <v>1</v>
      </c>
      <c r="U7552">
        <v>58764</v>
      </c>
      <c r="V7552">
        <v>117528</v>
      </c>
    </row>
    <row r="7553" spans="1:22">
      <c r="A7553" t="s">
        <v>2333</v>
      </c>
      <c r="B7553">
        <v>41</v>
      </c>
      <c r="C7553" t="s">
        <v>1097</v>
      </c>
      <c r="D7553" t="s">
        <v>2387</v>
      </c>
      <c r="E7553" t="s">
        <v>2388</v>
      </c>
      <c r="F7553">
        <v>1005</v>
      </c>
      <c r="G7553" t="s">
        <v>111</v>
      </c>
      <c r="H7553">
        <v>2598</v>
      </c>
      <c r="I7553" t="s">
        <v>64</v>
      </c>
      <c r="J7553">
        <v>3577</v>
      </c>
      <c r="K7553" t="s">
        <v>2395</v>
      </c>
      <c r="L7553">
        <v>0</v>
      </c>
      <c r="N7553" t="s">
        <v>622</v>
      </c>
      <c r="O7553">
        <v>1</v>
      </c>
      <c r="P7553">
        <v>3566</v>
      </c>
      <c r="Q7553" t="s">
        <v>1156</v>
      </c>
      <c r="R7553" t="s">
        <v>201</v>
      </c>
      <c r="S7553">
        <v>1</v>
      </c>
      <c r="T7553">
        <v>1</v>
      </c>
      <c r="U7553">
        <v>51936</v>
      </c>
      <c r="V7553">
        <v>51936</v>
      </c>
    </row>
    <row r="7554" spans="1:22">
      <c r="A7554" t="s">
        <v>2333</v>
      </c>
      <c r="B7554">
        <v>41</v>
      </c>
      <c r="C7554" t="s">
        <v>1097</v>
      </c>
      <c r="D7554" t="s">
        <v>2387</v>
      </c>
      <c r="E7554" t="s">
        <v>2388</v>
      </c>
      <c r="F7554">
        <v>1005</v>
      </c>
      <c r="G7554" t="s">
        <v>111</v>
      </c>
      <c r="H7554">
        <v>2598</v>
      </c>
      <c r="I7554" t="s">
        <v>64</v>
      </c>
      <c r="J7554">
        <v>3577</v>
      </c>
      <c r="K7554" t="s">
        <v>2395</v>
      </c>
      <c r="L7554">
        <v>0</v>
      </c>
      <c r="N7554" t="s">
        <v>602</v>
      </c>
      <c r="O7554">
        <v>4</v>
      </c>
      <c r="P7554">
        <v>3548</v>
      </c>
      <c r="Q7554" t="s">
        <v>2396</v>
      </c>
      <c r="R7554" t="s">
        <v>201</v>
      </c>
      <c r="S7554">
        <v>1</v>
      </c>
      <c r="T7554">
        <v>1</v>
      </c>
      <c r="U7554">
        <v>141564</v>
      </c>
      <c r="V7554">
        <v>141564</v>
      </c>
    </row>
    <row r="7555" spans="1:22">
      <c r="A7555" t="s">
        <v>2333</v>
      </c>
      <c r="B7555">
        <v>41</v>
      </c>
      <c r="C7555" t="s">
        <v>1097</v>
      </c>
      <c r="D7555" t="s">
        <v>2387</v>
      </c>
      <c r="E7555" t="s">
        <v>2388</v>
      </c>
      <c r="F7555">
        <v>1005</v>
      </c>
      <c r="G7555" t="s">
        <v>111</v>
      </c>
      <c r="H7555">
        <v>2598</v>
      </c>
      <c r="I7555" t="s">
        <v>64</v>
      </c>
      <c r="J7555">
        <v>3577</v>
      </c>
      <c r="K7555" t="s">
        <v>2395</v>
      </c>
      <c r="L7555">
        <v>0</v>
      </c>
      <c r="N7555" t="s">
        <v>602</v>
      </c>
      <c r="O7555">
        <v>4</v>
      </c>
      <c r="P7555">
        <v>3548</v>
      </c>
      <c r="Q7555" t="s">
        <v>2396</v>
      </c>
      <c r="R7555" t="s">
        <v>201</v>
      </c>
      <c r="S7555">
        <v>1</v>
      </c>
      <c r="T7555">
        <v>1</v>
      </c>
      <c r="U7555">
        <v>122928</v>
      </c>
      <c r="V7555">
        <v>122928</v>
      </c>
    </row>
    <row r="7556" spans="1:22">
      <c r="A7556" t="s">
        <v>2333</v>
      </c>
      <c r="B7556">
        <v>41</v>
      </c>
      <c r="C7556" t="s">
        <v>1097</v>
      </c>
      <c r="D7556" t="s">
        <v>2387</v>
      </c>
      <c r="E7556" t="s">
        <v>2388</v>
      </c>
      <c r="F7556">
        <v>1005</v>
      </c>
      <c r="G7556" t="s">
        <v>111</v>
      </c>
      <c r="H7556">
        <v>2598</v>
      </c>
      <c r="I7556" t="s">
        <v>64</v>
      </c>
      <c r="J7556">
        <v>3577</v>
      </c>
      <c r="K7556" t="s">
        <v>2395</v>
      </c>
      <c r="L7556">
        <v>0</v>
      </c>
      <c r="N7556" t="s">
        <v>356</v>
      </c>
      <c r="O7556">
        <v>4</v>
      </c>
      <c r="P7556">
        <v>3534</v>
      </c>
      <c r="Q7556" t="s">
        <v>1158</v>
      </c>
      <c r="R7556" t="s">
        <v>201</v>
      </c>
      <c r="S7556">
        <v>9</v>
      </c>
      <c r="T7556">
        <v>1</v>
      </c>
      <c r="U7556">
        <v>129636</v>
      </c>
      <c r="V7556">
        <v>1166724</v>
      </c>
    </row>
    <row r="7557" spans="1:22">
      <c r="A7557" t="s">
        <v>2333</v>
      </c>
      <c r="B7557">
        <v>41</v>
      </c>
      <c r="C7557" t="s">
        <v>1097</v>
      </c>
      <c r="D7557" t="s">
        <v>2387</v>
      </c>
      <c r="E7557" t="s">
        <v>2388</v>
      </c>
      <c r="F7557">
        <v>1005</v>
      </c>
      <c r="G7557" t="s">
        <v>111</v>
      </c>
      <c r="H7557">
        <v>2598</v>
      </c>
      <c r="I7557" t="s">
        <v>64</v>
      </c>
      <c r="J7557">
        <v>3577</v>
      </c>
      <c r="K7557" t="s">
        <v>2395</v>
      </c>
      <c r="L7557">
        <v>0</v>
      </c>
      <c r="N7557" t="s">
        <v>356</v>
      </c>
      <c r="O7557">
        <v>4</v>
      </c>
      <c r="P7557">
        <v>3534</v>
      </c>
      <c r="Q7557" t="s">
        <v>1158</v>
      </c>
      <c r="R7557" t="s">
        <v>201</v>
      </c>
      <c r="S7557">
        <v>2</v>
      </c>
      <c r="T7557">
        <v>1</v>
      </c>
      <c r="U7557">
        <v>117636</v>
      </c>
      <c r="V7557">
        <v>235272</v>
      </c>
    </row>
    <row r="7558" spans="1:22">
      <c r="A7558" t="s">
        <v>2333</v>
      </c>
      <c r="B7558">
        <v>41</v>
      </c>
      <c r="C7558" t="s">
        <v>1097</v>
      </c>
      <c r="D7558" t="s">
        <v>2387</v>
      </c>
      <c r="E7558" t="s">
        <v>2388</v>
      </c>
      <c r="F7558">
        <v>1005</v>
      </c>
      <c r="G7558" t="s">
        <v>111</v>
      </c>
      <c r="H7558">
        <v>2598</v>
      </c>
      <c r="I7558" t="s">
        <v>64</v>
      </c>
      <c r="J7558">
        <v>3577</v>
      </c>
      <c r="K7558" t="s">
        <v>2395</v>
      </c>
      <c r="L7558">
        <v>0</v>
      </c>
      <c r="N7558" t="s">
        <v>356</v>
      </c>
      <c r="O7558">
        <v>4</v>
      </c>
      <c r="P7558">
        <v>3534</v>
      </c>
      <c r="Q7558" t="s">
        <v>1158</v>
      </c>
      <c r="R7558" t="s">
        <v>201</v>
      </c>
      <c r="S7558">
        <v>1</v>
      </c>
      <c r="T7558">
        <v>1</v>
      </c>
      <c r="U7558">
        <v>112536</v>
      </c>
      <c r="V7558">
        <v>112536</v>
      </c>
    </row>
    <row r="7559" spans="1:22">
      <c r="A7559" t="s">
        <v>2333</v>
      </c>
      <c r="B7559">
        <v>41</v>
      </c>
      <c r="C7559" t="s">
        <v>1097</v>
      </c>
      <c r="D7559" t="s">
        <v>2387</v>
      </c>
      <c r="E7559" t="s">
        <v>2388</v>
      </c>
      <c r="F7559">
        <v>1005</v>
      </c>
      <c r="G7559" t="s">
        <v>111</v>
      </c>
      <c r="H7559">
        <v>2598</v>
      </c>
      <c r="I7559" t="s">
        <v>64</v>
      </c>
      <c r="J7559">
        <v>3577</v>
      </c>
      <c r="K7559" t="s">
        <v>2395</v>
      </c>
      <c r="L7559">
        <v>0</v>
      </c>
      <c r="N7559" t="s">
        <v>356</v>
      </c>
      <c r="O7559">
        <v>4</v>
      </c>
      <c r="P7559">
        <v>3534</v>
      </c>
      <c r="Q7559" t="s">
        <v>1158</v>
      </c>
      <c r="R7559" t="s">
        <v>201</v>
      </c>
      <c r="S7559">
        <v>1</v>
      </c>
      <c r="T7559">
        <v>1</v>
      </c>
      <c r="U7559">
        <v>107628</v>
      </c>
      <c r="V7559">
        <v>107628</v>
      </c>
    </row>
    <row r="7560" spans="1:22">
      <c r="A7560" t="s">
        <v>2333</v>
      </c>
      <c r="B7560">
        <v>41</v>
      </c>
      <c r="C7560" t="s">
        <v>1097</v>
      </c>
      <c r="D7560" t="s">
        <v>2387</v>
      </c>
      <c r="E7560" t="s">
        <v>2388</v>
      </c>
      <c r="F7560">
        <v>1005</v>
      </c>
      <c r="G7560" t="s">
        <v>111</v>
      </c>
      <c r="H7560">
        <v>2598</v>
      </c>
      <c r="I7560" t="s">
        <v>64</v>
      </c>
      <c r="J7560">
        <v>3577</v>
      </c>
      <c r="K7560" t="s">
        <v>2395</v>
      </c>
      <c r="L7560">
        <v>0</v>
      </c>
      <c r="N7560" t="s">
        <v>356</v>
      </c>
      <c r="O7560">
        <v>4</v>
      </c>
      <c r="P7560">
        <v>3534</v>
      </c>
      <c r="Q7560" t="s">
        <v>1158</v>
      </c>
      <c r="R7560" t="s">
        <v>201</v>
      </c>
      <c r="S7560">
        <v>4</v>
      </c>
      <c r="T7560">
        <v>1</v>
      </c>
      <c r="U7560">
        <v>102516</v>
      </c>
      <c r="V7560">
        <v>410064</v>
      </c>
    </row>
    <row r="7561" spans="1:22">
      <c r="A7561" t="s">
        <v>2333</v>
      </c>
      <c r="B7561">
        <v>41</v>
      </c>
      <c r="C7561" t="s">
        <v>1097</v>
      </c>
      <c r="D7561" t="s">
        <v>2387</v>
      </c>
      <c r="E7561" t="s">
        <v>2388</v>
      </c>
      <c r="F7561">
        <v>1005</v>
      </c>
      <c r="G7561" t="s">
        <v>111</v>
      </c>
      <c r="H7561">
        <v>2598</v>
      </c>
      <c r="I7561" t="s">
        <v>64</v>
      </c>
      <c r="J7561">
        <v>3577</v>
      </c>
      <c r="K7561" t="s">
        <v>2395</v>
      </c>
      <c r="L7561">
        <v>0</v>
      </c>
      <c r="N7561" t="s">
        <v>356</v>
      </c>
      <c r="O7561">
        <v>4</v>
      </c>
      <c r="P7561">
        <v>3534</v>
      </c>
      <c r="Q7561" t="s">
        <v>1158</v>
      </c>
      <c r="R7561" t="s">
        <v>201</v>
      </c>
      <c r="S7561">
        <v>1</v>
      </c>
      <c r="T7561">
        <v>1</v>
      </c>
      <c r="U7561">
        <v>97488</v>
      </c>
      <c r="V7561">
        <v>97488</v>
      </c>
    </row>
    <row r="7562" spans="1:22">
      <c r="A7562" t="s">
        <v>2333</v>
      </c>
      <c r="B7562">
        <v>41</v>
      </c>
      <c r="C7562" t="s">
        <v>1097</v>
      </c>
      <c r="D7562" t="s">
        <v>2387</v>
      </c>
      <c r="E7562" t="s">
        <v>2388</v>
      </c>
      <c r="F7562">
        <v>1005</v>
      </c>
      <c r="G7562" t="s">
        <v>111</v>
      </c>
      <c r="H7562">
        <v>2598</v>
      </c>
      <c r="I7562" t="s">
        <v>64</v>
      </c>
      <c r="J7562">
        <v>3577</v>
      </c>
      <c r="K7562" t="s">
        <v>2395</v>
      </c>
      <c r="L7562">
        <v>0</v>
      </c>
      <c r="N7562" t="s">
        <v>356</v>
      </c>
      <c r="O7562">
        <v>4</v>
      </c>
      <c r="P7562">
        <v>3534</v>
      </c>
      <c r="Q7562" t="s">
        <v>1158</v>
      </c>
      <c r="R7562" t="s">
        <v>201</v>
      </c>
      <c r="S7562">
        <v>2</v>
      </c>
      <c r="T7562">
        <v>1</v>
      </c>
      <c r="U7562">
        <v>92940</v>
      </c>
      <c r="V7562">
        <v>185880</v>
      </c>
    </row>
    <row r="7563" spans="1:22">
      <c r="A7563" t="s">
        <v>2333</v>
      </c>
      <c r="B7563">
        <v>41</v>
      </c>
      <c r="C7563" t="s">
        <v>1097</v>
      </c>
      <c r="D7563" t="s">
        <v>2387</v>
      </c>
      <c r="E7563" t="s">
        <v>2388</v>
      </c>
      <c r="F7563">
        <v>1005</v>
      </c>
      <c r="G7563" t="s">
        <v>111</v>
      </c>
      <c r="H7563">
        <v>2598</v>
      </c>
      <c r="I7563" t="s">
        <v>64</v>
      </c>
      <c r="J7563">
        <v>3577</v>
      </c>
      <c r="K7563" t="s">
        <v>2395</v>
      </c>
      <c r="L7563">
        <v>0</v>
      </c>
      <c r="N7563" t="s">
        <v>356</v>
      </c>
      <c r="O7563">
        <v>4</v>
      </c>
      <c r="P7563">
        <v>3534</v>
      </c>
      <c r="Q7563" t="s">
        <v>1158</v>
      </c>
      <c r="R7563" t="s">
        <v>201</v>
      </c>
      <c r="S7563">
        <v>1</v>
      </c>
      <c r="T7563">
        <v>1</v>
      </c>
      <c r="U7563">
        <v>90144</v>
      </c>
      <c r="V7563">
        <v>90144</v>
      </c>
    </row>
    <row r="7564" spans="1:22">
      <c r="A7564" t="s">
        <v>2333</v>
      </c>
      <c r="B7564">
        <v>41</v>
      </c>
      <c r="C7564" t="s">
        <v>1097</v>
      </c>
      <c r="D7564" t="s">
        <v>2387</v>
      </c>
      <c r="E7564" t="s">
        <v>2388</v>
      </c>
      <c r="F7564">
        <v>1005</v>
      </c>
      <c r="G7564" t="s">
        <v>111</v>
      </c>
      <c r="H7564">
        <v>2598</v>
      </c>
      <c r="I7564" t="s">
        <v>64</v>
      </c>
      <c r="J7564">
        <v>3577</v>
      </c>
      <c r="K7564" t="s">
        <v>2395</v>
      </c>
      <c r="L7564">
        <v>0</v>
      </c>
      <c r="N7564" t="s">
        <v>271</v>
      </c>
      <c r="O7564">
        <v>20</v>
      </c>
      <c r="P7564">
        <v>3531</v>
      </c>
      <c r="Q7564" t="s">
        <v>2397</v>
      </c>
      <c r="R7564" t="s">
        <v>201</v>
      </c>
      <c r="S7564">
        <v>1</v>
      </c>
      <c r="T7564">
        <v>1</v>
      </c>
      <c r="U7564">
        <v>131124</v>
      </c>
      <c r="V7564">
        <v>131124</v>
      </c>
    </row>
    <row r="7565" spans="1:22">
      <c r="A7565" t="s">
        <v>2333</v>
      </c>
      <c r="B7565">
        <v>41</v>
      </c>
      <c r="C7565" t="s">
        <v>1097</v>
      </c>
      <c r="D7565" t="s">
        <v>2387</v>
      </c>
      <c r="E7565" t="s">
        <v>2388</v>
      </c>
      <c r="F7565">
        <v>1005</v>
      </c>
      <c r="G7565" t="s">
        <v>111</v>
      </c>
      <c r="H7565">
        <v>2598</v>
      </c>
      <c r="I7565" t="s">
        <v>64</v>
      </c>
      <c r="J7565">
        <v>3577</v>
      </c>
      <c r="K7565" t="s">
        <v>2395</v>
      </c>
      <c r="L7565">
        <v>0</v>
      </c>
      <c r="N7565" t="s">
        <v>356</v>
      </c>
      <c r="O7565">
        <v>4</v>
      </c>
      <c r="P7565">
        <v>3530</v>
      </c>
      <c r="Q7565" t="s">
        <v>1146</v>
      </c>
      <c r="R7565" t="s">
        <v>201</v>
      </c>
      <c r="S7565">
        <v>2</v>
      </c>
      <c r="T7565">
        <v>1</v>
      </c>
      <c r="U7565">
        <v>107628</v>
      </c>
      <c r="V7565">
        <v>215256</v>
      </c>
    </row>
    <row r="7566" spans="1:22">
      <c r="A7566" t="s">
        <v>2333</v>
      </c>
      <c r="B7566">
        <v>41</v>
      </c>
      <c r="C7566" t="s">
        <v>1097</v>
      </c>
      <c r="D7566" t="s">
        <v>2387</v>
      </c>
      <c r="E7566" t="s">
        <v>2388</v>
      </c>
      <c r="F7566">
        <v>1005</v>
      </c>
      <c r="G7566" t="s">
        <v>111</v>
      </c>
      <c r="H7566">
        <v>2598</v>
      </c>
      <c r="I7566" t="s">
        <v>64</v>
      </c>
      <c r="J7566">
        <v>3577</v>
      </c>
      <c r="K7566" t="s">
        <v>2395</v>
      </c>
      <c r="L7566">
        <v>0</v>
      </c>
      <c r="N7566" t="s">
        <v>392</v>
      </c>
      <c r="O7566">
        <v>4</v>
      </c>
      <c r="P7566">
        <v>3467</v>
      </c>
      <c r="Q7566" t="s">
        <v>1116</v>
      </c>
      <c r="R7566" t="s">
        <v>201</v>
      </c>
      <c r="S7566">
        <v>1</v>
      </c>
      <c r="T7566">
        <v>1</v>
      </c>
      <c r="U7566">
        <v>130668</v>
      </c>
      <c r="V7566">
        <v>130668</v>
      </c>
    </row>
    <row r="7567" spans="1:22">
      <c r="A7567" t="s">
        <v>2333</v>
      </c>
      <c r="B7567">
        <v>41</v>
      </c>
      <c r="C7567" t="s">
        <v>1097</v>
      </c>
      <c r="D7567" t="s">
        <v>2387</v>
      </c>
      <c r="E7567" t="s">
        <v>2388</v>
      </c>
      <c r="F7567">
        <v>1005</v>
      </c>
      <c r="G7567" t="s">
        <v>111</v>
      </c>
      <c r="H7567">
        <v>2598</v>
      </c>
      <c r="I7567" t="s">
        <v>64</v>
      </c>
      <c r="J7567">
        <v>3577</v>
      </c>
      <c r="K7567" t="s">
        <v>2395</v>
      </c>
      <c r="L7567">
        <v>0</v>
      </c>
      <c r="N7567" t="s">
        <v>392</v>
      </c>
      <c r="O7567">
        <v>4</v>
      </c>
      <c r="P7567">
        <v>3467</v>
      </c>
      <c r="Q7567" t="s">
        <v>1116</v>
      </c>
      <c r="R7567" t="s">
        <v>201</v>
      </c>
      <c r="S7567">
        <v>1</v>
      </c>
      <c r="T7567">
        <v>1</v>
      </c>
      <c r="U7567">
        <v>107508</v>
      </c>
      <c r="V7567">
        <v>107508</v>
      </c>
    </row>
    <row r="7568" spans="1:22">
      <c r="A7568" t="s">
        <v>2333</v>
      </c>
      <c r="B7568">
        <v>41</v>
      </c>
      <c r="C7568" t="s">
        <v>1097</v>
      </c>
      <c r="D7568" t="s">
        <v>2387</v>
      </c>
      <c r="E7568" t="s">
        <v>2388</v>
      </c>
      <c r="F7568">
        <v>1005</v>
      </c>
      <c r="G7568" t="s">
        <v>111</v>
      </c>
      <c r="H7568">
        <v>2598</v>
      </c>
      <c r="I7568" t="s">
        <v>64</v>
      </c>
      <c r="J7568">
        <v>3577</v>
      </c>
      <c r="K7568" t="s">
        <v>2395</v>
      </c>
      <c r="L7568">
        <v>0</v>
      </c>
      <c r="N7568" t="s">
        <v>372</v>
      </c>
      <c r="O7568">
        <v>4</v>
      </c>
      <c r="P7568">
        <v>3466</v>
      </c>
      <c r="Q7568" t="s">
        <v>1129</v>
      </c>
      <c r="R7568" t="s">
        <v>201</v>
      </c>
      <c r="S7568">
        <v>1</v>
      </c>
      <c r="T7568">
        <v>1</v>
      </c>
      <c r="U7568">
        <v>75336</v>
      </c>
      <c r="V7568">
        <v>75336</v>
      </c>
    </row>
    <row r="7569" spans="1:22">
      <c r="A7569" t="s">
        <v>2333</v>
      </c>
      <c r="B7569">
        <v>41</v>
      </c>
      <c r="C7569" t="s">
        <v>1097</v>
      </c>
      <c r="D7569" t="s">
        <v>2387</v>
      </c>
      <c r="E7569" t="s">
        <v>2388</v>
      </c>
      <c r="F7569">
        <v>1005</v>
      </c>
      <c r="G7569" t="s">
        <v>111</v>
      </c>
      <c r="H7569">
        <v>2598</v>
      </c>
      <c r="I7569" t="s">
        <v>64</v>
      </c>
      <c r="J7569">
        <v>3577</v>
      </c>
      <c r="K7569" t="s">
        <v>2395</v>
      </c>
      <c r="L7569">
        <v>0</v>
      </c>
      <c r="N7569" t="s">
        <v>360</v>
      </c>
      <c r="O7569">
        <v>3</v>
      </c>
      <c r="P7569">
        <v>3417</v>
      </c>
      <c r="Q7569" t="s">
        <v>1130</v>
      </c>
      <c r="R7569" t="s">
        <v>201</v>
      </c>
      <c r="S7569">
        <v>1</v>
      </c>
      <c r="T7569">
        <v>1</v>
      </c>
      <c r="U7569">
        <v>57000</v>
      </c>
      <c r="V7569">
        <v>57000</v>
      </c>
    </row>
    <row r="7570" spans="1:22">
      <c r="A7570" t="s">
        <v>2333</v>
      </c>
      <c r="B7570">
        <v>41</v>
      </c>
      <c r="C7570" t="s">
        <v>1097</v>
      </c>
      <c r="D7570" t="s">
        <v>2387</v>
      </c>
      <c r="E7570" t="s">
        <v>2388</v>
      </c>
      <c r="F7570">
        <v>1005</v>
      </c>
      <c r="G7570" t="s">
        <v>111</v>
      </c>
      <c r="H7570">
        <v>2598</v>
      </c>
      <c r="I7570" t="s">
        <v>64</v>
      </c>
      <c r="J7570">
        <v>3577</v>
      </c>
      <c r="K7570" t="s">
        <v>2395</v>
      </c>
      <c r="L7570">
        <v>0</v>
      </c>
      <c r="N7570" t="s">
        <v>333</v>
      </c>
      <c r="O7570">
        <v>4</v>
      </c>
      <c r="P7570">
        <v>3407</v>
      </c>
      <c r="Q7570" t="s">
        <v>1111</v>
      </c>
      <c r="R7570" t="s">
        <v>201</v>
      </c>
      <c r="S7570">
        <v>1</v>
      </c>
      <c r="T7570">
        <v>1</v>
      </c>
      <c r="U7570">
        <v>109140</v>
      </c>
      <c r="V7570">
        <v>109140</v>
      </c>
    </row>
    <row r="7571" spans="1:22">
      <c r="A7571" t="s">
        <v>2333</v>
      </c>
      <c r="B7571">
        <v>41</v>
      </c>
      <c r="C7571" t="s">
        <v>1097</v>
      </c>
      <c r="D7571" t="s">
        <v>2387</v>
      </c>
      <c r="E7571" t="s">
        <v>2388</v>
      </c>
      <c r="F7571">
        <v>1005</v>
      </c>
      <c r="G7571" t="s">
        <v>111</v>
      </c>
      <c r="H7571">
        <v>2598</v>
      </c>
      <c r="I7571" t="s">
        <v>64</v>
      </c>
      <c r="J7571">
        <v>3577</v>
      </c>
      <c r="K7571" t="s">
        <v>2395</v>
      </c>
      <c r="L7571">
        <v>0</v>
      </c>
      <c r="N7571" t="s">
        <v>1161</v>
      </c>
      <c r="O7571">
        <v>9</v>
      </c>
      <c r="P7571">
        <v>3384</v>
      </c>
      <c r="Q7571" t="s">
        <v>1162</v>
      </c>
      <c r="R7571" t="s">
        <v>713</v>
      </c>
      <c r="S7571">
        <v>2000</v>
      </c>
      <c r="T7571">
        <v>0</v>
      </c>
      <c r="U7571">
        <v>138.4</v>
      </c>
      <c r="V7571">
        <v>276800</v>
      </c>
    </row>
    <row r="7572" spans="1:22">
      <c r="A7572" t="s">
        <v>2333</v>
      </c>
      <c r="B7572">
        <v>41</v>
      </c>
      <c r="C7572" t="s">
        <v>1097</v>
      </c>
      <c r="D7572" t="s">
        <v>2387</v>
      </c>
      <c r="E7572" t="s">
        <v>2388</v>
      </c>
      <c r="F7572">
        <v>1005</v>
      </c>
      <c r="G7572" t="s">
        <v>111</v>
      </c>
      <c r="H7572">
        <v>2598</v>
      </c>
      <c r="I7572" t="s">
        <v>64</v>
      </c>
      <c r="J7572">
        <v>3577</v>
      </c>
      <c r="K7572" t="s">
        <v>2395</v>
      </c>
      <c r="L7572">
        <v>0</v>
      </c>
      <c r="N7572" t="s">
        <v>249</v>
      </c>
      <c r="O7572">
        <v>10</v>
      </c>
      <c r="P7572">
        <v>3092</v>
      </c>
      <c r="Q7572" t="s">
        <v>750</v>
      </c>
      <c r="R7572" t="s">
        <v>201</v>
      </c>
      <c r="S7572">
        <v>1</v>
      </c>
      <c r="T7572">
        <v>1</v>
      </c>
      <c r="U7572">
        <v>89112</v>
      </c>
      <c r="V7572">
        <v>89112</v>
      </c>
    </row>
    <row r="7573" spans="1:22">
      <c r="A7573" t="s">
        <v>2333</v>
      </c>
      <c r="B7573">
        <v>41</v>
      </c>
      <c r="C7573" t="s">
        <v>1097</v>
      </c>
      <c r="D7573" t="s">
        <v>2387</v>
      </c>
      <c r="E7573" t="s">
        <v>2388</v>
      </c>
      <c r="F7573">
        <v>1005</v>
      </c>
      <c r="G7573" t="s">
        <v>111</v>
      </c>
      <c r="H7573">
        <v>2598</v>
      </c>
      <c r="I7573" t="s">
        <v>64</v>
      </c>
      <c r="J7573">
        <v>3577</v>
      </c>
      <c r="K7573" t="s">
        <v>2395</v>
      </c>
      <c r="L7573">
        <v>0</v>
      </c>
      <c r="N7573" t="s">
        <v>341</v>
      </c>
      <c r="O7573">
        <v>1</v>
      </c>
      <c r="P7573">
        <v>1482</v>
      </c>
      <c r="Q7573" t="s">
        <v>364</v>
      </c>
      <c r="R7573" t="s">
        <v>201</v>
      </c>
      <c r="S7573">
        <v>1</v>
      </c>
      <c r="T7573">
        <v>1</v>
      </c>
      <c r="U7573">
        <v>70752</v>
      </c>
      <c r="V7573">
        <v>70752</v>
      </c>
    </row>
    <row r="7574" spans="1:22">
      <c r="A7574" t="s">
        <v>2333</v>
      </c>
      <c r="B7574">
        <v>41</v>
      </c>
      <c r="C7574" t="s">
        <v>1097</v>
      </c>
      <c r="D7574" t="s">
        <v>2387</v>
      </c>
      <c r="E7574" t="s">
        <v>2388</v>
      </c>
      <c r="F7574">
        <v>1005</v>
      </c>
      <c r="G7574" t="s">
        <v>111</v>
      </c>
      <c r="H7574">
        <v>2598</v>
      </c>
      <c r="I7574" t="s">
        <v>64</v>
      </c>
      <c r="J7574">
        <v>3577</v>
      </c>
      <c r="K7574" t="s">
        <v>2395</v>
      </c>
      <c r="L7574">
        <v>0</v>
      </c>
      <c r="N7574" t="s">
        <v>809</v>
      </c>
      <c r="O7574">
        <v>1</v>
      </c>
      <c r="P7574">
        <v>460</v>
      </c>
      <c r="Q7574" t="s">
        <v>810</v>
      </c>
      <c r="R7574" t="s">
        <v>201</v>
      </c>
      <c r="S7574">
        <v>1</v>
      </c>
      <c r="T7574">
        <v>1</v>
      </c>
      <c r="U7574">
        <v>51108</v>
      </c>
      <c r="V7574">
        <v>51108</v>
      </c>
    </row>
    <row r="7575" spans="1:22">
      <c r="A7575" t="s">
        <v>2333</v>
      </c>
      <c r="B7575">
        <v>41</v>
      </c>
      <c r="C7575" t="s">
        <v>1097</v>
      </c>
      <c r="D7575" t="s">
        <v>2387</v>
      </c>
      <c r="E7575" t="s">
        <v>2388</v>
      </c>
      <c r="F7575">
        <v>1005</v>
      </c>
      <c r="G7575" t="s">
        <v>111</v>
      </c>
      <c r="H7575">
        <v>2598</v>
      </c>
      <c r="I7575" t="s">
        <v>64</v>
      </c>
      <c r="J7575">
        <v>3577</v>
      </c>
      <c r="K7575" t="s">
        <v>2395</v>
      </c>
      <c r="L7575">
        <v>0</v>
      </c>
      <c r="N7575" t="s">
        <v>351</v>
      </c>
      <c r="O7575">
        <v>1</v>
      </c>
      <c r="P7575" t="s">
        <v>352</v>
      </c>
      <c r="Q7575" t="s">
        <v>353</v>
      </c>
      <c r="R7575" t="s">
        <v>201</v>
      </c>
      <c r="S7575">
        <v>3</v>
      </c>
      <c r="T7575">
        <v>1</v>
      </c>
      <c r="U7575">
        <v>67608</v>
      </c>
      <c r="V7575">
        <v>202824</v>
      </c>
    </row>
    <row r="7576" spans="1:22">
      <c r="A7576" t="s">
        <v>2333</v>
      </c>
      <c r="B7576">
        <v>41</v>
      </c>
      <c r="C7576" t="s">
        <v>1097</v>
      </c>
      <c r="D7576" t="s">
        <v>2387</v>
      </c>
      <c r="E7576" t="s">
        <v>2388</v>
      </c>
      <c r="F7576">
        <v>1005</v>
      </c>
      <c r="G7576" t="s">
        <v>111</v>
      </c>
      <c r="H7576">
        <v>2598</v>
      </c>
      <c r="I7576" t="s">
        <v>64</v>
      </c>
      <c r="J7576">
        <v>3577</v>
      </c>
      <c r="K7576" t="s">
        <v>2395</v>
      </c>
      <c r="L7576">
        <v>0</v>
      </c>
      <c r="N7576" t="s">
        <v>351</v>
      </c>
      <c r="O7576">
        <v>1</v>
      </c>
      <c r="P7576" t="s">
        <v>352</v>
      </c>
      <c r="Q7576" t="s">
        <v>353</v>
      </c>
      <c r="R7576" t="s">
        <v>201</v>
      </c>
      <c r="S7576">
        <v>2</v>
      </c>
      <c r="T7576">
        <v>1</v>
      </c>
      <c r="U7576">
        <v>64488</v>
      </c>
      <c r="V7576">
        <v>128976</v>
      </c>
    </row>
    <row r="7577" spans="1:22">
      <c r="A7577" t="s">
        <v>2333</v>
      </c>
      <c r="B7577">
        <v>41</v>
      </c>
      <c r="C7577" t="s">
        <v>1097</v>
      </c>
      <c r="D7577" t="s">
        <v>2387</v>
      </c>
      <c r="E7577" t="s">
        <v>2388</v>
      </c>
      <c r="F7577">
        <v>1005</v>
      </c>
      <c r="G7577" t="s">
        <v>111</v>
      </c>
      <c r="H7577">
        <v>2598</v>
      </c>
      <c r="I7577" t="s">
        <v>64</v>
      </c>
      <c r="J7577">
        <v>3577</v>
      </c>
      <c r="K7577" t="s">
        <v>2395</v>
      </c>
      <c r="L7577">
        <v>0</v>
      </c>
      <c r="N7577" t="s">
        <v>351</v>
      </c>
      <c r="O7577">
        <v>1</v>
      </c>
      <c r="P7577" t="s">
        <v>352</v>
      </c>
      <c r="Q7577" t="s">
        <v>353</v>
      </c>
      <c r="R7577" t="s">
        <v>201</v>
      </c>
      <c r="S7577">
        <v>1</v>
      </c>
      <c r="T7577">
        <v>1</v>
      </c>
      <c r="U7577">
        <v>62544</v>
      </c>
      <c r="V7577">
        <v>62544</v>
      </c>
    </row>
    <row r="7578" spans="1:22">
      <c r="A7578" t="s">
        <v>2333</v>
      </c>
      <c r="B7578">
        <v>41</v>
      </c>
      <c r="C7578" t="s">
        <v>1097</v>
      </c>
      <c r="D7578" t="s">
        <v>2387</v>
      </c>
      <c r="E7578" t="s">
        <v>2388</v>
      </c>
      <c r="F7578">
        <v>1005</v>
      </c>
      <c r="G7578" t="s">
        <v>111</v>
      </c>
      <c r="H7578">
        <v>2598</v>
      </c>
      <c r="I7578" t="s">
        <v>64</v>
      </c>
      <c r="J7578">
        <v>3577</v>
      </c>
      <c r="K7578" t="s">
        <v>2395</v>
      </c>
      <c r="L7578">
        <v>0</v>
      </c>
      <c r="N7578" t="s">
        <v>341</v>
      </c>
      <c r="O7578">
        <v>1</v>
      </c>
      <c r="P7578">
        <v>308</v>
      </c>
      <c r="Q7578" t="s">
        <v>355</v>
      </c>
      <c r="R7578" t="s">
        <v>201</v>
      </c>
      <c r="S7578">
        <v>1</v>
      </c>
      <c r="T7578">
        <v>1</v>
      </c>
      <c r="U7578">
        <v>70752</v>
      </c>
      <c r="V7578">
        <v>70752</v>
      </c>
    </row>
    <row r="7579" spans="1:22">
      <c r="A7579" t="s">
        <v>2333</v>
      </c>
      <c r="B7579">
        <v>41</v>
      </c>
      <c r="C7579" t="s">
        <v>1097</v>
      </c>
      <c r="D7579" t="s">
        <v>2387</v>
      </c>
      <c r="E7579" t="s">
        <v>2388</v>
      </c>
      <c r="F7579">
        <v>1005</v>
      </c>
      <c r="G7579" t="s">
        <v>111</v>
      </c>
      <c r="H7579">
        <v>2598</v>
      </c>
      <c r="I7579" t="s">
        <v>64</v>
      </c>
      <c r="J7579">
        <v>3577</v>
      </c>
      <c r="K7579" t="s">
        <v>2395</v>
      </c>
      <c r="L7579">
        <v>0</v>
      </c>
      <c r="N7579" t="s">
        <v>356</v>
      </c>
      <c r="O7579">
        <v>4</v>
      </c>
      <c r="P7579">
        <v>124</v>
      </c>
      <c r="Q7579" t="s">
        <v>357</v>
      </c>
      <c r="R7579" t="s">
        <v>201</v>
      </c>
      <c r="S7579">
        <v>1</v>
      </c>
      <c r="T7579">
        <v>1</v>
      </c>
      <c r="U7579">
        <v>97488</v>
      </c>
      <c r="V7579">
        <v>97488</v>
      </c>
    </row>
    <row r="7580" spans="1:22">
      <c r="A7580" t="s">
        <v>2333</v>
      </c>
      <c r="B7580">
        <v>41</v>
      </c>
      <c r="C7580" t="s">
        <v>1097</v>
      </c>
      <c r="D7580" t="s">
        <v>2387</v>
      </c>
      <c r="E7580" t="s">
        <v>2388</v>
      </c>
      <c r="F7580">
        <v>1005</v>
      </c>
      <c r="G7580" t="s">
        <v>111</v>
      </c>
      <c r="H7580">
        <v>2598</v>
      </c>
      <c r="I7580" t="s">
        <v>64</v>
      </c>
      <c r="J7580">
        <v>3577</v>
      </c>
      <c r="K7580" t="s">
        <v>2395</v>
      </c>
      <c r="L7580">
        <v>0</v>
      </c>
      <c r="N7580" t="s">
        <v>199</v>
      </c>
      <c r="O7580">
        <v>0</v>
      </c>
      <c r="P7580">
        <v>44</v>
      </c>
      <c r="Q7580" t="s">
        <v>2337</v>
      </c>
      <c r="R7580" t="s">
        <v>201</v>
      </c>
      <c r="S7580">
        <v>0</v>
      </c>
      <c r="T7580">
        <v>0</v>
      </c>
      <c r="U7580">
        <v>2929630</v>
      </c>
      <c r="V7580">
        <v>2929630</v>
      </c>
    </row>
    <row r="7581" spans="1:22">
      <c r="A7581" t="s">
        <v>2333</v>
      </c>
      <c r="B7581">
        <v>41</v>
      </c>
      <c r="C7581" t="s">
        <v>1097</v>
      </c>
      <c r="D7581" t="s">
        <v>2387</v>
      </c>
      <c r="E7581" t="s">
        <v>2388</v>
      </c>
      <c r="F7581">
        <v>1005</v>
      </c>
      <c r="G7581" t="s">
        <v>111</v>
      </c>
      <c r="H7581">
        <v>2598</v>
      </c>
      <c r="I7581" t="s">
        <v>64</v>
      </c>
      <c r="J7581">
        <v>3577</v>
      </c>
      <c r="K7581" t="s">
        <v>2395</v>
      </c>
      <c r="L7581">
        <v>0</v>
      </c>
      <c r="N7581" t="s">
        <v>199</v>
      </c>
      <c r="O7581">
        <v>0</v>
      </c>
      <c r="P7581">
        <v>15</v>
      </c>
      <c r="Q7581" t="s">
        <v>264</v>
      </c>
      <c r="R7581" t="s">
        <v>201</v>
      </c>
      <c r="S7581">
        <v>0</v>
      </c>
      <c r="T7581">
        <v>0</v>
      </c>
      <c r="U7581">
        <v>56216</v>
      </c>
      <c r="V7581">
        <v>56216</v>
      </c>
    </row>
    <row r="7582" spans="1:22">
      <c r="A7582" t="s">
        <v>2333</v>
      </c>
      <c r="B7582">
        <v>45</v>
      </c>
      <c r="C7582" t="s">
        <v>115</v>
      </c>
      <c r="D7582" t="s">
        <v>2387</v>
      </c>
      <c r="E7582" t="s">
        <v>2388</v>
      </c>
      <c r="F7582">
        <v>1005</v>
      </c>
      <c r="G7582" t="s">
        <v>115</v>
      </c>
      <c r="H7582">
        <v>2510</v>
      </c>
      <c r="I7582" t="s">
        <v>124</v>
      </c>
      <c r="J7582">
        <v>3510</v>
      </c>
      <c r="K7582" t="s">
        <v>2398</v>
      </c>
      <c r="L7582">
        <v>0</v>
      </c>
      <c r="N7582" t="s">
        <v>688</v>
      </c>
      <c r="O7582">
        <v>3</v>
      </c>
      <c r="P7582">
        <v>3085</v>
      </c>
      <c r="Q7582" t="s">
        <v>1190</v>
      </c>
      <c r="R7582" t="s">
        <v>201</v>
      </c>
      <c r="S7582">
        <v>3</v>
      </c>
      <c r="T7582">
        <v>1</v>
      </c>
      <c r="U7582">
        <v>118836</v>
      </c>
      <c r="V7582">
        <v>356508</v>
      </c>
    </row>
    <row r="7583" spans="1:22">
      <c r="A7583" t="s">
        <v>2333</v>
      </c>
      <c r="B7583">
        <v>45</v>
      </c>
      <c r="C7583" t="s">
        <v>115</v>
      </c>
      <c r="D7583" t="s">
        <v>2387</v>
      </c>
      <c r="E7583" t="s">
        <v>2388</v>
      </c>
      <c r="F7583">
        <v>1005</v>
      </c>
      <c r="G7583" t="s">
        <v>115</v>
      </c>
      <c r="H7583">
        <v>2510</v>
      </c>
      <c r="I7583" t="s">
        <v>124</v>
      </c>
      <c r="J7583">
        <v>3510</v>
      </c>
      <c r="K7583" t="s">
        <v>2398</v>
      </c>
      <c r="L7583">
        <v>0</v>
      </c>
      <c r="N7583" t="s">
        <v>631</v>
      </c>
      <c r="O7583">
        <v>10</v>
      </c>
      <c r="P7583">
        <v>3015</v>
      </c>
      <c r="Q7583" t="s">
        <v>1192</v>
      </c>
      <c r="R7583" t="s">
        <v>201</v>
      </c>
      <c r="S7583">
        <v>1</v>
      </c>
      <c r="T7583">
        <v>1</v>
      </c>
      <c r="U7583">
        <v>138840</v>
      </c>
      <c r="V7583">
        <v>138840</v>
      </c>
    </row>
    <row r="7584" spans="1:22">
      <c r="A7584" t="s">
        <v>2333</v>
      </c>
      <c r="B7584">
        <v>45</v>
      </c>
      <c r="C7584" t="s">
        <v>115</v>
      </c>
      <c r="D7584" t="s">
        <v>2387</v>
      </c>
      <c r="E7584" t="s">
        <v>2388</v>
      </c>
      <c r="F7584">
        <v>1005</v>
      </c>
      <c r="G7584" t="s">
        <v>115</v>
      </c>
      <c r="H7584">
        <v>2510</v>
      </c>
      <c r="I7584" t="s">
        <v>124</v>
      </c>
      <c r="J7584">
        <v>3510</v>
      </c>
      <c r="K7584" t="s">
        <v>2398</v>
      </c>
      <c r="L7584">
        <v>0</v>
      </c>
      <c r="N7584" t="s">
        <v>199</v>
      </c>
      <c r="O7584">
        <v>0</v>
      </c>
      <c r="P7584">
        <v>44</v>
      </c>
      <c r="Q7584" t="s">
        <v>2337</v>
      </c>
      <c r="R7584" t="s">
        <v>201</v>
      </c>
      <c r="S7584">
        <v>0</v>
      </c>
      <c r="T7584">
        <v>0</v>
      </c>
      <c r="U7584">
        <v>277197</v>
      </c>
      <c r="V7584">
        <v>277197</v>
      </c>
    </row>
    <row r="7585" spans="1:22">
      <c r="A7585" t="s">
        <v>2333</v>
      </c>
      <c r="B7585">
        <v>45</v>
      </c>
      <c r="C7585" t="s">
        <v>115</v>
      </c>
      <c r="D7585" t="s">
        <v>2387</v>
      </c>
      <c r="E7585" t="s">
        <v>2388</v>
      </c>
      <c r="F7585">
        <v>1005</v>
      </c>
      <c r="G7585" t="s">
        <v>115</v>
      </c>
      <c r="H7585">
        <v>2510</v>
      </c>
      <c r="I7585" t="s">
        <v>124</v>
      </c>
      <c r="J7585">
        <v>3511</v>
      </c>
      <c r="K7585" t="s">
        <v>2399</v>
      </c>
      <c r="L7585">
        <v>0</v>
      </c>
      <c r="N7585" t="s">
        <v>372</v>
      </c>
      <c r="O7585">
        <v>3</v>
      </c>
      <c r="P7585">
        <v>3094</v>
      </c>
      <c r="Q7585" t="s">
        <v>2400</v>
      </c>
      <c r="R7585" t="s">
        <v>201</v>
      </c>
      <c r="S7585">
        <v>1</v>
      </c>
      <c r="T7585">
        <v>1</v>
      </c>
      <c r="U7585">
        <v>119100</v>
      </c>
      <c r="V7585">
        <v>119100</v>
      </c>
    </row>
    <row r="7586" spans="1:22">
      <c r="A7586" t="s">
        <v>2333</v>
      </c>
      <c r="B7586">
        <v>45</v>
      </c>
      <c r="C7586" t="s">
        <v>115</v>
      </c>
      <c r="D7586" t="s">
        <v>2387</v>
      </c>
      <c r="E7586" t="s">
        <v>2388</v>
      </c>
      <c r="F7586">
        <v>1005</v>
      </c>
      <c r="G7586" t="s">
        <v>115</v>
      </c>
      <c r="H7586">
        <v>2510</v>
      </c>
      <c r="I7586" t="s">
        <v>124</v>
      </c>
      <c r="J7586">
        <v>3511</v>
      </c>
      <c r="K7586" t="s">
        <v>2399</v>
      </c>
      <c r="L7586">
        <v>0</v>
      </c>
      <c r="N7586" t="s">
        <v>372</v>
      </c>
      <c r="O7586">
        <v>4</v>
      </c>
      <c r="P7586">
        <v>1912</v>
      </c>
      <c r="Q7586" t="s">
        <v>608</v>
      </c>
      <c r="R7586" t="s">
        <v>201</v>
      </c>
      <c r="S7586">
        <v>1</v>
      </c>
      <c r="T7586">
        <v>1</v>
      </c>
      <c r="U7586">
        <v>77640</v>
      </c>
      <c r="V7586">
        <v>77640</v>
      </c>
    </row>
    <row r="7587" spans="1:22">
      <c r="A7587" t="s">
        <v>2333</v>
      </c>
      <c r="B7587">
        <v>45</v>
      </c>
      <c r="C7587" t="s">
        <v>115</v>
      </c>
      <c r="D7587" t="s">
        <v>2387</v>
      </c>
      <c r="E7587" t="s">
        <v>2388</v>
      </c>
      <c r="F7587">
        <v>1005</v>
      </c>
      <c r="G7587" t="s">
        <v>115</v>
      </c>
      <c r="H7587">
        <v>2510</v>
      </c>
      <c r="I7587" t="s">
        <v>124</v>
      </c>
      <c r="J7587">
        <v>3511</v>
      </c>
      <c r="K7587" t="s">
        <v>2399</v>
      </c>
      <c r="L7587">
        <v>0</v>
      </c>
      <c r="N7587" t="s">
        <v>199</v>
      </c>
      <c r="O7587">
        <v>0</v>
      </c>
      <c r="P7587">
        <v>44</v>
      </c>
      <c r="Q7587" t="s">
        <v>2337</v>
      </c>
      <c r="R7587" t="s">
        <v>201</v>
      </c>
      <c r="S7587">
        <v>0</v>
      </c>
      <c r="T7587">
        <v>0</v>
      </c>
      <c r="U7587">
        <v>110095</v>
      </c>
      <c r="V7587">
        <v>110095</v>
      </c>
    </row>
    <row r="7588" spans="1:22">
      <c r="A7588" t="s">
        <v>2333</v>
      </c>
      <c r="B7588">
        <v>45</v>
      </c>
      <c r="C7588" t="s">
        <v>115</v>
      </c>
      <c r="D7588" t="s">
        <v>2387</v>
      </c>
      <c r="E7588" t="s">
        <v>2388</v>
      </c>
      <c r="F7588">
        <v>1005</v>
      </c>
      <c r="G7588" t="s">
        <v>115</v>
      </c>
      <c r="H7588">
        <v>2510</v>
      </c>
      <c r="I7588" t="s">
        <v>124</v>
      </c>
      <c r="J7588">
        <v>3511</v>
      </c>
      <c r="K7588" t="s">
        <v>2399</v>
      </c>
      <c r="L7588">
        <v>0</v>
      </c>
      <c r="N7588" t="s">
        <v>199</v>
      </c>
      <c r="O7588">
        <v>0</v>
      </c>
      <c r="P7588">
        <v>15</v>
      </c>
      <c r="Q7588" t="s">
        <v>264</v>
      </c>
      <c r="R7588" t="s">
        <v>201</v>
      </c>
      <c r="S7588">
        <v>0</v>
      </c>
      <c r="T7588">
        <v>0</v>
      </c>
      <c r="U7588">
        <v>3427</v>
      </c>
      <c r="V7588">
        <v>3427</v>
      </c>
    </row>
    <row r="7589" spans="1:22">
      <c r="A7589" t="s">
        <v>2333</v>
      </c>
      <c r="B7589">
        <v>48</v>
      </c>
      <c r="C7589" t="s">
        <v>101</v>
      </c>
      <c r="D7589" t="s">
        <v>2387</v>
      </c>
      <c r="E7589" t="s">
        <v>2388</v>
      </c>
      <c r="F7589">
        <v>1005</v>
      </c>
      <c r="G7589" t="s">
        <v>101</v>
      </c>
      <c r="H7589">
        <v>2503</v>
      </c>
      <c r="I7589" t="s">
        <v>90</v>
      </c>
      <c r="J7589">
        <v>3503</v>
      </c>
      <c r="K7589" t="s">
        <v>309</v>
      </c>
      <c r="L7589">
        <v>0</v>
      </c>
      <c r="N7589" t="s">
        <v>255</v>
      </c>
      <c r="O7589">
        <v>1</v>
      </c>
      <c r="P7589">
        <v>1302</v>
      </c>
      <c r="Q7589" t="s">
        <v>340</v>
      </c>
      <c r="R7589" t="s">
        <v>201</v>
      </c>
      <c r="S7589">
        <v>1</v>
      </c>
      <c r="T7589">
        <v>1</v>
      </c>
      <c r="U7589">
        <v>93504</v>
      </c>
      <c r="V7589">
        <v>93504</v>
      </c>
    </row>
    <row r="7590" spans="1:22">
      <c r="A7590" t="s">
        <v>2333</v>
      </c>
      <c r="B7590">
        <v>48</v>
      </c>
      <c r="C7590" t="s">
        <v>101</v>
      </c>
      <c r="D7590" t="s">
        <v>2387</v>
      </c>
      <c r="E7590" t="s">
        <v>2388</v>
      </c>
      <c r="F7590">
        <v>1005</v>
      </c>
      <c r="G7590" t="s">
        <v>101</v>
      </c>
      <c r="H7590">
        <v>2503</v>
      </c>
      <c r="I7590" t="s">
        <v>90</v>
      </c>
      <c r="J7590">
        <v>3503</v>
      </c>
      <c r="K7590" t="s">
        <v>309</v>
      </c>
      <c r="L7590">
        <v>0</v>
      </c>
      <c r="N7590" t="s">
        <v>341</v>
      </c>
      <c r="O7590">
        <v>1</v>
      </c>
      <c r="P7590">
        <v>308</v>
      </c>
      <c r="Q7590" t="s">
        <v>355</v>
      </c>
      <c r="R7590" t="s">
        <v>201</v>
      </c>
      <c r="S7590">
        <v>1</v>
      </c>
      <c r="T7590">
        <v>1</v>
      </c>
      <c r="U7590">
        <v>119100</v>
      </c>
      <c r="V7590">
        <v>119100</v>
      </c>
    </row>
    <row r="7591" spans="1:22">
      <c r="A7591" t="s">
        <v>2333</v>
      </c>
      <c r="B7591">
        <v>48</v>
      </c>
      <c r="C7591" t="s">
        <v>101</v>
      </c>
      <c r="D7591" t="s">
        <v>2387</v>
      </c>
      <c r="E7591" t="s">
        <v>2388</v>
      </c>
      <c r="F7591">
        <v>1005</v>
      </c>
      <c r="G7591" t="s">
        <v>101</v>
      </c>
      <c r="H7591">
        <v>2503</v>
      </c>
      <c r="I7591" t="s">
        <v>90</v>
      </c>
      <c r="J7591">
        <v>3503</v>
      </c>
      <c r="K7591" t="s">
        <v>309</v>
      </c>
      <c r="L7591">
        <v>0</v>
      </c>
      <c r="N7591" t="s">
        <v>199</v>
      </c>
      <c r="O7591">
        <v>0</v>
      </c>
      <c r="P7591">
        <v>44</v>
      </c>
      <c r="Q7591" t="s">
        <v>2337</v>
      </c>
      <c r="R7591" t="s">
        <v>201</v>
      </c>
      <c r="S7591">
        <v>0</v>
      </c>
      <c r="T7591">
        <v>0</v>
      </c>
      <c r="U7591">
        <v>118973</v>
      </c>
      <c r="V7591">
        <v>118973</v>
      </c>
    </row>
    <row r="7592" spans="1:22">
      <c r="A7592" t="s">
        <v>2333</v>
      </c>
      <c r="B7592">
        <v>48</v>
      </c>
      <c r="C7592" t="s">
        <v>101</v>
      </c>
      <c r="D7592" t="s">
        <v>2387</v>
      </c>
      <c r="E7592" t="s">
        <v>2388</v>
      </c>
      <c r="F7592">
        <v>1005</v>
      </c>
      <c r="G7592" t="s">
        <v>101</v>
      </c>
      <c r="H7592">
        <v>2503</v>
      </c>
      <c r="I7592" t="s">
        <v>90</v>
      </c>
      <c r="J7592">
        <v>3503</v>
      </c>
      <c r="K7592" t="s">
        <v>309</v>
      </c>
      <c r="L7592">
        <v>0</v>
      </c>
      <c r="N7592" t="s">
        <v>199</v>
      </c>
      <c r="O7592">
        <v>0</v>
      </c>
      <c r="P7592">
        <v>15</v>
      </c>
      <c r="Q7592" t="s">
        <v>264</v>
      </c>
      <c r="R7592" t="s">
        <v>201</v>
      </c>
      <c r="S7592">
        <v>0</v>
      </c>
      <c r="T7592">
        <v>0</v>
      </c>
      <c r="U7592">
        <v>1800</v>
      </c>
      <c r="V7592">
        <v>1800</v>
      </c>
    </row>
    <row r="7593" spans="1:22">
      <c r="A7593" t="s">
        <v>2333</v>
      </c>
      <c r="B7593">
        <v>48</v>
      </c>
      <c r="C7593" t="s">
        <v>101</v>
      </c>
      <c r="D7593" t="s">
        <v>2387</v>
      </c>
      <c r="E7593" t="s">
        <v>2388</v>
      </c>
      <c r="F7593">
        <v>1005</v>
      </c>
      <c r="G7593" t="s">
        <v>101</v>
      </c>
      <c r="H7593">
        <v>2525</v>
      </c>
      <c r="I7593" t="s">
        <v>140</v>
      </c>
      <c r="J7593">
        <v>3535</v>
      </c>
      <c r="K7593" t="s">
        <v>2401</v>
      </c>
      <c r="L7593">
        <v>0</v>
      </c>
      <c r="N7593" t="s">
        <v>249</v>
      </c>
      <c r="O7593">
        <v>10</v>
      </c>
      <c r="P7593">
        <v>3092</v>
      </c>
      <c r="Q7593" t="s">
        <v>750</v>
      </c>
      <c r="R7593" t="s">
        <v>201</v>
      </c>
      <c r="S7593">
        <v>1</v>
      </c>
      <c r="T7593">
        <v>1</v>
      </c>
      <c r="U7593">
        <v>143232</v>
      </c>
      <c r="V7593">
        <v>143232</v>
      </c>
    </row>
    <row r="7594" spans="1:22">
      <c r="A7594" t="s">
        <v>2333</v>
      </c>
      <c r="B7594">
        <v>48</v>
      </c>
      <c r="C7594" t="s">
        <v>101</v>
      </c>
      <c r="D7594" t="s">
        <v>2387</v>
      </c>
      <c r="E7594" t="s">
        <v>2388</v>
      </c>
      <c r="F7594">
        <v>1005</v>
      </c>
      <c r="G7594" t="s">
        <v>101</v>
      </c>
      <c r="H7594">
        <v>2525</v>
      </c>
      <c r="I7594" t="s">
        <v>140</v>
      </c>
      <c r="J7594">
        <v>3535</v>
      </c>
      <c r="K7594" t="s">
        <v>2401</v>
      </c>
      <c r="L7594">
        <v>0</v>
      </c>
      <c r="N7594" t="s">
        <v>702</v>
      </c>
      <c r="O7594">
        <v>3</v>
      </c>
      <c r="P7594">
        <v>3073</v>
      </c>
      <c r="Q7594" t="s">
        <v>1195</v>
      </c>
      <c r="R7594" t="s">
        <v>201</v>
      </c>
      <c r="S7594">
        <v>1</v>
      </c>
      <c r="T7594">
        <v>1</v>
      </c>
      <c r="U7594">
        <v>108708</v>
      </c>
      <c r="V7594">
        <v>108708</v>
      </c>
    </row>
    <row r="7595" spans="1:22">
      <c r="A7595" t="s">
        <v>2333</v>
      </c>
      <c r="B7595">
        <v>48</v>
      </c>
      <c r="C7595" t="s">
        <v>101</v>
      </c>
      <c r="D7595" t="s">
        <v>2387</v>
      </c>
      <c r="E7595" t="s">
        <v>2388</v>
      </c>
      <c r="F7595">
        <v>1005</v>
      </c>
      <c r="G7595" t="s">
        <v>101</v>
      </c>
      <c r="H7595">
        <v>2525</v>
      </c>
      <c r="I7595" t="s">
        <v>140</v>
      </c>
      <c r="J7595">
        <v>3535</v>
      </c>
      <c r="K7595" t="s">
        <v>2401</v>
      </c>
      <c r="L7595">
        <v>0</v>
      </c>
      <c r="N7595" t="s">
        <v>702</v>
      </c>
      <c r="O7595">
        <v>3</v>
      </c>
      <c r="P7595">
        <v>3073</v>
      </c>
      <c r="Q7595" t="s">
        <v>1195</v>
      </c>
      <c r="R7595" t="s">
        <v>201</v>
      </c>
      <c r="S7595">
        <v>1</v>
      </c>
      <c r="T7595">
        <v>1</v>
      </c>
      <c r="U7595">
        <v>88524</v>
      </c>
      <c r="V7595">
        <v>88524</v>
      </c>
    </row>
    <row r="7596" spans="1:22">
      <c r="A7596" t="s">
        <v>2333</v>
      </c>
      <c r="B7596">
        <v>48</v>
      </c>
      <c r="C7596" t="s">
        <v>101</v>
      </c>
      <c r="D7596" t="s">
        <v>2387</v>
      </c>
      <c r="E7596" t="s">
        <v>2388</v>
      </c>
      <c r="F7596">
        <v>1005</v>
      </c>
      <c r="G7596" t="s">
        <v>101</v>
      </c>
      <c r="H7596">
        <v>2525</v>
      </c>
      <c r="I7596" t="s">
        <v>140</v>
      </c>
      <c r="J7596">
        <v>3535</v>
      </c>
      <c r="K7596" t="s">
        <v>2401</v>
      </c>
      <c r="L7596">
        <v>0</v>
      </c>
      <c r="N7596" t="s">
        <v>702</v>
      </c>
      <c r="O7596">
        <v>3</v>
      </c>
      <c r="P7596">
        <v>3073</v>
      </c>
      <c r="Q7596" t="s">
        <v>1195</v>
      </c>
      <c r="R7596" t="s">
        <v>201</v>
      </c>
      <c r="S7596">
        <v>1</v>
      </c>
      <c r="T7596">
        <v>1</v>
      </c>
      <c r="U7596">
        <v>84192</v>
      </c>
      <c r="V7596">
        <v>84192</v>
      </c>
    </row>
    <row r="7597" spans="1:22">
      <c r="A7597" t="s">
        <v>2333</v>
      </c>
      <c r="B7597">
        <v>48</v>
      </c>
      <c r="C7597" t="s">
        <v>101</v>
      </c>
      <c r="D7597" t="s">
        <v>2387</v>
      </c>
      <c r="E7597" t="s">
        <v>2388</v>
      </c>
      <c r="F7597">
        <v>1005</v>
      </c>
      <c r="G7597" t="s">
        <v>101</v>
      </c>
      <c r="H7597">
        <v>2525</v>
      </c>
      <c r="I7597" t="s">
        <v>140</v>
      </c>
      <c r="J7597">
        <v>3535</v>
      </c>
      <c r="K7597" t="s">
        <v>2401</v>
      </c>
      <c r="L7597">
        <v>0</v>
      </c>
      <c r="N7597" t="s">
        <v>199</v>
      </c>
      <c r="O7597">
        <v>0</v>
      </c>
      <c r="P7597">
        <v>44</v>
      </c>
      <c r="Q7597" t="s">
        <v>2337</v>
      </c>
      <c r="R7597" t="s">
        <v>201</v>
      </c>
      <c r="S7597">
        <v>0</v>
      </c>
      <c r="T7597">
        <v>0</v>
      </c>
      <c r="U7597">
        <v>237638</v>
      </c>
      <c r="V7597">
        <v>237638</v>
      </c>
    </row>
    <row r="7598" spans="1:22">
      <c r="A7598" t="s">
        <v>2333</v>
      </c>
      <c r="B7598">
        <v>48</v>
      </c>
      <c r="C7598" t="s">
        <v>101</v>
      </c>
      <c r="D7598" t="s">
        <v>2387</v>
      </c>
      <c r="E7598" t="s">
        <v>2388</v>
      </c>
      <c r="F7598">
        <v>1005</v>
      </c>
      <c r="G7598" t="s">
        <v>101</v>
      </c>
      <c r="H7598">
        <v>2525</v>
      </c>
      <c r="I7598" t="s">
        <v>140</v>
      </c>
      <c r="J7598">
        <v>3535</v>
      </c>
      <c r="K7598" t="s">
        <v>2401</v>
      </c>
      <c r="L7598">
        <v>0</v>
      </c>
      <c r="N7598" t="s">
        <v>199</v>
      </c>
      <c r="O7598">
        <v>0</v>
      </c>
      <c r="P7598">
        <v>15</v>
      </c>
      <c r="Q7598" t="s">
        <v>264</v>
      </c>
      <c r="R7598" t="s">
        <v>201</v>
      </c>
      <c r="S7598">
        <v>0</v>
      </c>
      <c r="T7598">
        <v>0</v>
      </c>
      <c r="U7598">
        <v>2282</v>
      </c>
      <c r="V7598">
        <v>2282</v>
      </c>
    </row>
    <row r="7599" spans="1:22">
      <c r="A7599" t="s">
        <v>2333</v>
      </c>
      <c r="B7599">
        <v>48</v>
      </c>
      <c r="C7599" t="s">
        <v>101</v>
      </c>
      <c r="D7599" t="s">
        <v>2387</v>
      </c>
      <c r="E7599" t="s">
        <v>2388</v>
      </c>
      <c r="F7599">
        <v>1005</v>
      </c>
      <c r="G7599" t="s">
        <v>101</v>
      </c>
      <c r="H7599">
        <v>2530</v>
      </c>
      <c r="I7599" t="s">
        <v>142</v>
      </c>
      <c r="J7599">
        <v>3530</v>
      </c>
      <c r="K7599" t="s">
        <v>2402</v>
      </c>
      <c r="L7599">
        <v>0</v>
      </c>
      <c r="N7599" t="s">
        <v>249</v>
      </c>
      <c r="O7599">
        <v>10</v>
      </c>
      <c r="P7599">
        <v>3092</v>
      </c>
      <c r="Q7599" t="s">
        <v>750</v>
      </c>
      <c r="R7599" t="s">
        <v>201</v>
      </c>
      <c r="S7599">
        <v>1</v>
      </c>
      <c r="T7599">
        <v>1</v>
      </c>
      <c r="U7599">
        <v>89112</v>
      </c>
      <c r="V7599">
        <v>89112</v>
      </c>
    </row>
    <row r="7600" spans="1:22">
      <c r="A7600" t="s">
        <v>2333</v>
      </c>
      <c r="B7600">
        <v>48</v>
      </c>
      <c r="C7600" t="s">
        <v>101</v>
      </c>
      <c r="D7600" t="s">
        <v>2387</v>
      </c>
      <c r="E7600" t="s">
        <v>2388</v>
      </c>
      <c r="F7600">
        <v>1005</v>
      </c>
      <c r="G7600" t="s">
        <v>101</v>
      </c>
      <c r="H7600">
        <v>2530</v>
      </c>
      <c r="I7600" t="s">
        <v>142</v>
      </c>
      <c r="J7600">
        <v>3530</v>
      </c>
      <c r="K7600" t="s">
        <v>2402</v>
      </c>
      <c r="L7600">
        <v>0</v>
      </c>
      <c r="N7600" t="s">
        <v>702</v>
      </c>
      <c r="O7600">
        <v>3</v>
      </c>
      <c r="P7600">
        <v>3073</v>
      </c>
      <c r="Q7600" t="s">
        <v>1195</v>
      </c>
      <c r="R7600" t="s">
        <v>201</v>
      </c>
      <c r="S7600">
        <v>3</v>
      </c>
      <c r="T7600">
        <v>1</v>
      </c>
      <c r="U7600">
        <v>108708</v>
      </c>
      <c r="V7600">
        <v>326124</v>
      </c>
    </row>
    <row r="7601" spans="1:22">
      <c r="A7601" t="s">
        <v>2333</v>
      </c>
      <c r="B7601">
        <v>48</v>
      </c>
      <c r="C7601" t="s">
        <v>101</v>
      </c>
      <c r="D7601" t="s">
        <v>2387</v>
      </c>
      <c r="E7601" t="s">
        <v>2388</v>
      </c>
      <c r="F7601">
        <v>1005</v>
      </c>
      <c r="G7601" t="s">
        <v>101</v>
      </c>
      <c r="H7601">
        <v>2530</v>
      </c>
      <c r="I7601" t="s">
        <v>142</v>
      </c>
      <c r="J7601">
        <v>3530</v>
      </c>
      <c r="K7601" t="s">
        <v>2402</v>
      </c>
      <c r="L7601">
        <v>0</v>
      </c>
      <c r="N7601" t="s">
        <v>199</v>
      </c>
      <c r="O7601">
        <v>0</v>
      </c>
      <c r="P7601">
        <v>44</v>
      </c>
      <c r="Q7601" t="s">
        <v>2337</v>
      </c>
      <c r="R7601" t="s">
        <v>201</v>
      </c>
      <c r="S7601">
        <v>0</v>
      </c>
      <c r="T7601">
        <v>0</v>
      </c>
      <c r="U7601">
        <v>232366</v>
      </c>
      <c r="V7601">
        <v>232366</v>
      </c>
    </row>
    <row r="7602" spans="1:22">
      <c r="A7602" t="s">
        <v>2333</v>
      </c>
      <c r="B7602">
        <v>48</v>
      </c>
      <c r="C7602" t="s">
        <v>101</v>
      </c>
      <c r="D7602" t="s">
        <v>2387</v>
      </c>
      <c r="E7602" t="s">
        <v>2388</v>
      </c>
      <c r="F7602">
        <v>1005</v>
      </c>
      <c r="G7602" t="s">
        <v>101</v>
      </c>
      <c r="H7602">
        <v>2530</v>
      </c>
      <c r="I7602" t="s">
        <v>142</v>
      </c>
      <c r="J7602">
        <v>3530</v>
      </c>
      <c r="K7602" t="s">
        <v>2402</v>
      </c>
      <c r="L7602">
        <v>0</v>
      </c>
      <c r="N7602" t="s">
        <v>199</v>
      </c>
      <c r="O7602">
        <v>0</v>
      </c>
      <c r="P7602">
        <v>15</v>
      </c>
      <c r="Q7602" t="s">
        <v>264</v>
      </c>
      <c r="R7602" t="s">
        <v>201</v>
      </c>
      <c r="S7602">
        <v>0</v>
      </c>
      <c r="T7602">
        <v>0</v>
      </c>
      <c r="U7602">
        <v>2136</v>
      </c>
      <c r="V7602">
        <v>2136</v>
      </c>
    </row>
    <row r="7603" spans="1:22">
      <c r="A7603" t="s">
        <v>2333</v>
      </c>
      <c r="B7603">
        <v>50</v>
      </c>
      <c r="C7603" t="s">
        <v>54</v>
      </c>
      <c r="D7603" t="s">
        <v>2387</v>
      </c>
      <c r="E7603" t="s">
        <v>2388</v>
      </c>
      <c r="F7603">
        <v>1005</v>
      </c>
      <c r="G7603" t="s">
        <v>54</v>
      </c>
      <c r="H7603">
        <v>2511</v>
      </c>
      <c r="I7603" t="s">
        <v>169</v>
      </c>
      <c r="J7603">
        <v>3511</v>
      </c>
      <c r="K7603" t="s">
        <v>2403</v>
      </c>
      <c r="L7603">
        <v>0</v>
      </c>
      <c r="N7603" t="s">
        <v>372</v>
      </c>
      <c r="O7603">
        <v>4</v>
      </c>
      <c r="P7603">
        <v>1912</v>
      </c>
      <c r="Q7603" t="s">
        <v>608</v>
      </c>
      <c r="R7603" t="s">
        <v>201</v>
      </c>
      <c r="S7603">
        <v>1</v>
      </c>
      <c r="T7603">
        <v>1</v>
      </c>
      <c r="U7603">
        <v>81324</v>
      </c>
      <c r="V7603">
        <v>81324</v>
      </c>
    </row>
    <row r="7604" spans="1:22">
      <c r="A7604" t="s">
        <v>2333</v>
      </c>
      <c r="B7604">
        <v>50</v>
      </c>
      <c r="C7604" t="s">
        <v>54</v>
      </c>
      <c r="D7604" t="s">
        <v>2387</v>
      </c>
      <c r="E7604" t="s">
        <v>2388</v>
      </c>
      <c r="F7604">
        <v>1005</v>
      </c>
      <c r="G7604" t="s">
        <v>54</v>
      </c>
      <c r="H7604">
        <v>2511</v>
      </c>
      <c r="I7604" t="s">
        <v>169</v>
      </c>
      <c r="J7604">
        <v>3511</v>
      </c>
      <c r="K7604" t="s">
        <v>2403</v>
      </c>
      <c r="L7604">
        <v>0</v>
      </c>
      <c r="N7604" t="s">
        <v>199</v>
      </c>
      <c r="O7604">
        <v>0</v>
      </c>
      <c r="P7604">
        <v>44</v>
      </c>
      <c r="Q7604" t="s">
        <v>2337</v>
      </c>
      <c r="R7604" t="s">
        <v>201</v>
      </c>
      <c r="S7604">
        <v>0</v>
      </c>
      <c r="T7604">
        <v>0</v>
      </c>
      <c r="U7604">
        <v>45509</v>
      </c>
      <c r="V7604">
        <v>45509</v>
      </c>
    </row>
    <row r="7605" spans="1:22">
      <c r="A7605" t="s">
        <v>2333</v>
      </c>
      <c r="B7605">
        <v>50</v>
      </c>
      <c r="C7605" t="s">
        <v>54</v>
      </c>
      <c r="D7605" t="s">
        <v>2387</v>
      </c>
      <c r="E7605" t="s">
        <v>2388</v>
      </c>
      <c r="F7605">
        <v>1005</v>
      </c>
      <c r="G7605" t="s">
        <v>54</v>
      </c>
      <c r="H7605">
        <v>2511</v>
      </c>
      <c r="I7605" t="s">
        <v>169</v>
      </c>
      <c r="J7605">
        <v>3511</v>
      </c>
      <c r="K7605" t="s">
        <v>2403</v>
      </c>
      <c r="L7605">
        <v>0</v>
      </c>
      <c r="N7605" t="s">
        <v>199</v>
      </c>
      <c r="O7605">
        <v>0</v>
      </c>
      <c r="P7605">
        <v>15</v>
      </c>
      <c r="Q7605" t="s">
        <v>264</v>
      </c>
      <c r="R7605" t="s">
        <v>201</v>
      </c>
      <c r="S7605">
        <v>0</v>
      </c>
      <c r="T7605">
        <v>0</v>
      </c>
      <c r="U7605">
        <v>313</v>
      </c>
      <c r="V7605">
        <v>313</v>
      </c>
    </row>
    <row r="7606" spans="1:22">
      <c r="A7606" t="s">
        <v>2333</v>
      </c>
      <c r="B7606">
        <v>50</v>
      </c>
      <c r="C7606" t="s">
        <v>54</v>
      </c>
      <c r="D7606" t="s">
        <v>2387</v>
      </c>
      <c r="E7606" t="s">
        <v>2388</v>
      </c>
      <c r="F7606">
        <v>1005</v>
      </c>
      <c r="G7606" t="s">
        <v>54</v>
      </c>
      <c r="H7606">
        <v>2515</v>
      </c>
      <c r="I7606" t="s">
        <v>112</v>
      </c>
      <c r="J7606">
        <v>3516</v>
      </c>
      <c r="K7606" t="s">
        <v>1215</v>
      </c>
      <c r="L7606">
        <v>0</v>
      </c>
      <c r="N7606" t="s">
        <v>266</v>
      </c>
      <c r="O7606">
        <v>9</v>
      </c>
      <c r="P7606">
        <v>9679</v>
      </c>
      <c r="Q7606" t="s">
        <v>338</v>
      </c>
      <c r="R7606" t="s">
        <v>201</v>
      </c>
      <c r="S7606">
        <v>1</v>
      </c>
      <c r="T7606">
        <v>1</v>
      </c>
      <c r="U7606">
        <v>167964</v>
      </c>
      <c r="V7606">
        <v>167964</v>
      </c>
    </row>
    <row r="7607" spans="1:22">
      <c r="A7607" t="s">
        <v>2333</v>
      </c>
      <c r="B7607">
        <v>50</v>
      </c>
      <c r="C7607" t="s">
        <v>54</v>
      </c>
      <c r="D7607" t="s">
        <v>2387</v>
      </c>
      <c r="E7607" t="s">
        <v>2388</v>
      </c>
      <c r="F7607">
        <v>1005</v>
      </c>
      <c r="G7607" t="s">
        <v>54</v>
      </c>
      <c r="H7607">
        <v>2515</v>
      </c>
      <c r="I7607" t="s">
        <v>112</v>
      </c>
      <c r="J7607">
        <v>3516</v>
      </c>
      <c r="K7607" t="s">
        <v>1215</v>
      </c>
      <c r="L7607">
        <v>0</v>
      </c>
      <c r="N7607" t="s">
        <v>721</v>
      </c>
      <c r="O7607">
        <v>8</v>
      </c>
      <c r="P7607">
        <v>7132</v>
      </c>
      <c r="Q7607" t="s">
        <v>2404</v>
      </c>
      <c r="R7607" t="s">
        <v>713</v>
      </c>
      <c r="S7607">
        <v>1</v>
      </c>
      <c r="T7607">
        <v>1</v>
      </c>
      <c r="U7607">
        <v>48.73</v>
      </c>
      <c r="V7607">
        <v>101358</v>
      </c>
    </row>
    <row r="7608" spans="1:22">
      <c r="A7608" t="s">
        <v>2333</v>
      </c>
      <c r="B7608">
        <v>50</v>
      </c>
      <c r="C7608" t="s">
        <v>54</v>
      </c>
      <c r="D7608" t="s">
        <v>2387</v>
      </c>
      <c r="E7608" t="s">
        <v>2388</v>
      </c>
      <c r="F7608">
        <v>1005</v>
      </c>
      <c r="G7608" t="s">
        <v>54</v>
      </c>
      <c r="H7608">
        <v>2515</v>
      </c>
      <c r="I7608" t="s">
        <v>112</v>
      </c>
      <c r="J7608">
        <v>3516</v>
      </c>
      <c r="K7608" t="s">
        <v>1215</v>
      </c>
      <c r="L7608">
        <v>0</v>
      </c>
      <c r="N7608" t="s">
        <v>341</v>
      </c>
      <c r="O7608">
        <v>3</v>
      </c>
      <c r="P7608">
        <v>3825</v>
      </c>
      <c r="Q7608" t="s">
        <v>1144</v>
      </c>
      <c r="R7608" t="s">
        <v>201</v>
      </c>
      <c r="S7608">
        <v>1</v>
      </c>
      <c r="T7608">
        <v>1</v>
      </c>
      <c r="U7608">
        <v>119100</v>
      </c>
      <c r="V7608">
        <v>119100</v>
      </c>
    </row>
    <row r="7609" spans="1:22">
      <c r="A7609" t="s">
        <v>2333</v>
      </c>
      <c r="B7609">
        <v>50</v>
      </c>
      <c r="C7609" t="s">
        <v>54</v>
      </c>
      <c r="D7609" t="s">
        <v>2387</v>
      </c>
      <c r="E7609" t="s">
        <v>2388</v>
      </c>
      <c r="F7609">
        <v>1005</v>
      </c>
      <c r="G7609" t="s">
        <v>54</v>
      </c>
      <c r="H7609">
        <v>2515</v>
      </c>
      <c r="I7609" t="s">
        <v>112</v>
      </c>
      <c r="J7609">
        <v>3516</v>
      </c>
      <c r="K7609" t="s">
        <v>1215</v>
      </c>
      <c r="L7609">
        <v>0</v>
      </c>
      <c r="N7609" t="s">
        <v>341</v>
      </c>
      <c r="O7609">
        <v>3</v>
      </c>
      <c r="P7609">
        <v>3825</v>
      </c>
      <c r="Q7609" t="s">
        <v>1144</v>
      </c>
      <c r="R7609" t="s">
        <v>201</v>
      </c>
      <c r="S7609">
        <v>1</v>
      </c>
      <c r="T7609">
        <v>1</v>
      </c>
      <c r="U7609">
        <v>85200</v>
      </c>
      <c r="V7609">
        <v>85200</v>
      </c>
    </row>
    <row r="7610" spans="1:22">
      <c r="A7610" t="s">
        <v>2333</v>
      </c>
      <c r="B7610">
        <v>50</v>
      </c>
      <c r="C7610" t="s">
        <v>54</v>
      </c>
      <c r="D7610" t="s">
        <v>2387</v>
      </c>
      <c r="E7610" t="s">
        <v>2388</v>
      </c>
      <c r="F7610">
        <v>1005</v>
      </c>
      <c r="G7610" t="s">
        <v>54</v>
      </c>
      <c r="H7610">
        <v>2515</v>
      </c>
      <c r="I7610" t="s">
        <v>112</v>
      </c>
      <c r="J7610">
        <v>3516</v>
      </c>
      <c r="K7610" t="s">
        <v>1215</v>
      </c>
      <c r="L7610">
        <v>0</v>
      </c>
      <c r="N7610" t="s">
        <v>341</v>
      </c>
      <c r="O7610">
        <v>3</v>
      </c>
      <c r="P7610">
        <v>3825</v>
      </c>
      <c r="Q7610" t="s">
        <v>1144</v>
      </c>
      <c r="R7610" t="s">
        <v>201</v>
      </c>
      <c r="S7610">
        <v>3</v>
      </c>
      <c r="T7610">
        <v>1</v>
      </c>
      <c r="U7610">
        <v>77640</v>
      </c>
      <c r="V7610">
        <v>232920</v>
      </c>
    </row>
    <row r="7611" spans="1:22">
      <c r="A7611" t="s">
        <v>2333</v>
      </c>
      <c r="B7611">
        <v>50</v>
      </c>
      <c r="C7611" t="s">
        <v>54</v>
      </c>
      <c r="D7611" t="s">
        <v>2387</v>
      </c>
      <c r="E7611" t="s">
        <v>2388</v>
      </c>
      <c r="F7611">
        <v>1005</v>
      </c>
      <c r="G7611" t="s">
        <v>54</v>
      </c>
      <c r="H7611">
        <v>2515</v>
      </c>
      <c r="I7611" t="s">
        <v>112</v>
      </c>
      <c r="J7611">
        <v>3516</v>
      </c>
      <c r="K7611" t="s">
        <v>1215</v>
      </c>
      <c r="L7611">
        <v>0</v>
      </c>
      <c r="N7611" t="s">
        <v>341</v>
      </c>
      <c r="O7611">
        <v>3</v>
      </c>
      <c r="P7611">
        <v>3825</v>
      </c>
      <c r="Q7611" t="s">
        <v>1144</v>
      </c>
      <c r="R7611" t="s">
        <v>201</v>
      </c>
      <c r="S7611">
        <v>1</v>
      </c>
      <c r="T7611">
        <v>1</v>
      </c>
      <c r="U7611">
        <v>74172</v>
      </c>
      <c r="V7611">
        <v>74172</v>
      </c>
    </row>
    <row r="7612" spans="1:22">
      <c r="A7612" t="s">
        <v>2333</v>
      </c>
      <c r="B7612">
        <v>50</v>
      </c>
      <c r="C7612" t="s">
        <v>54</v>
      </c>
      <c r="D7612" t="s">
        <v>2387</v>
      </c>
      <c r="E7612" t="s">
        <v>2388</v>
      </c>
      <c r="F7612">
        <v>1005</v>
      </c>
      <c r="G7612" t="s">
        <v>54</v>
      </c>
      <c r="H7612">
        <v>2515</v>
      </c>
      <c r="I7612" t="s">
        <v>112</v>
      </c>
      <c r="J7612">
        <v>3516</v>
      </c>
      <c r="K7612" t="s">
        <v>1215</v>
      </c>
      <c r="L7612">
        <v>0</v>
      </c>
      <c r="N7612" t="s">
        <v>341</v>
      </c>
      <c r="O7612">
        <v>3</v>
      </c>
      <c r="P7612">
        <v>3825</v>
      </c>
      <c r="Q7612" t="s">
        <v>1144</v>
      </c>
      <c r="R7612" t="s">
        <v>201</v>
      </c>
      <c r="S7612">
        <v>3</v>
      </c>
      <c r="T7612">
        <v>1</v>
      </c>
      <c r="U7612">
        <v>68616</v>
      </c>
      <c r="V7612">
        <v>205848</v>
      </c>
    </row>
    <row r="7613" spans="1:22">
      <c r="A7613" t="s">
        <v>2333</v>
      </c>
      <c r="B7613">
        <v>50</v>
      </c>
      <c r="C7613" t="s">
        <v>54</v>
      </c>
      <c r="D7613" t="s">
        <v>2387</v>
      </c>
      <c r="E7613" t="s">
        <v>2388</v>
      </c>
      <c r="F7613">
        <v>1005</v>
      </c>
      <c r="G7613" t="s">
        <v>54</v>
      </c>
      <c r="H7613">
        <v>2515</v>
      </c>
      <c r="I7613" t="s">
        <v>112</v>
      </c>
      <c r="J7613">
        <v>3516</v>
      </c>
      <c r="K7613" t="s">
        <v>1215</v>
      </c>
      <c r="L7613">
        <v>0</v>
      </c>
      <c r="N7613" t="s">
        <v>274</v>
      </c>
      <c r="O7613">
        <v>0</v>
      </c>
      <c r="P7613">
        <v>3019</v>
      </c>
      <c r="Q7613" t="s">
        <v>1217</v>
      </c>
      <c r="R7613" t="s">
        <v>201</v>
      </c>
      <c r="S7613">
        <v>1</v>
      </c>
      <c r="T7613">
        <v>1</v>
      </c>
      <c r="U7613">
        <v>121668</v>
      </c>
      <c r="V7613">
        <v>121668</v>
      </c>
    </row>
    <row r="7614" spans="1:22">
      <c r="A7614" t="s">
        <v>2333</v>
      </c>
      <c r="B7614">
        <v>50</v>
      </c>
      <c r="C7614" t="s">
        <v>54</v>
      </c>
      <c r="D7614" t="s">
        <v>2387</v>
      </c>
      <c r="E7614" t="s">
        <v>2388</v>
      </c>
      <c r="F7614">
        <v>1005</v>
      </c>
      <c r="G7614" t="s">
        <v>54</v>
      </c>
      <c r="H7614">
        <v>2515</v>
      </c>
      <c r="I7614" t="s">
        <v>112</v>
      </c>
      <c r="J7614">
        <v>3516</v>
      </c>
      <c r="K7614" t="s">
        <v>1215</v>
      </c>
      <c r="L7614">
        <v>0</v>
      </c>
      <c r="N7614" t="s">
        <v>622</v>
      </c>
      <c r="O7614">
        <v>1</v>
      </c>
      <c r="P7614" t="s">
        <v>667</v>
      </c>
      <c r="Q7614" t="s">
        <v>205</v>
      </c>
      <c r="R7614" t="s">
        <v>201</v>
      </c>
      <c r="S7614">
        <v>1</v>
      </c>
      <c r="T7614">
        <v>1</v>
      </c>
      <c r="U7614">
        <v>90144</v>
      </c>
      <c r="V7614">
        <v>90144</v>
      </c>
    </row>
    <row r="7615" spans="1:22">
      <c r="A7615" t="s">
        <v>2333</v>
      </c>
      <c r="B7615">
        <v>50</v>
      </c>
      <c r="C7615" t="s">
        <v>54</v>
      </c>
      <c r="D7615" t="s">
        <v>2387</v>
      </c>
      <c r="E7615" t="s">
        <v>2388</v>
      </c>
      <c r="F7615">
        <v>1005</v>
      </c>
      <c r="G7615" t="s">
        <v>54</v>
      </c>
      <c r="H7615">
        <v>2515</v>
      </c>
      <c r="I7615" t="s">
        <v>112</v>
      </c>
      <c r="J7615">
        <v>3516</v>
      </c>
      <c r="K7615" t="s">
        <v>1215</v>
      </c>
      <c r="L7615">
        <v>0</v>
      </c>
      <c r="N7615" t="s">
        <v>199</v>
      </c>
      <c r="O7615">
        <v>0</v>
      </c>
      <c r="P7615">
        <v>44</v>
      </c>
      <c r="Q7615" t="s">
        <v>2337</v>
      </c>
      <c r="R7615" t="s">
        <v>201</v>
      </c>
      <c r="S7615">
        <v>0</v>
      </c>
      <c r="T7615">
        <v>0</v>
      </c>
      <c r="U7615">
        <v>670611</v>
      </c>
      <c r="V7615">
        <v>670611</v>
      </c>
    </row>
    <row r="7616" spans="1:22">
      <c r="A7616" t="s">
        <v>2333</v>
      </c>
      <c r="B7616">
        <v>50</v>
      </c>
      <c r="C7616" t="s">
        <v>54</v>
      </c>
      <c r="D7616" t="s">
        <v>2387</v>
      </c>
      <c r="E7616" t="s">
        <v>2388</v>
      </c>
      <c r="F7616">
        <v>1005</v>
      </c>
      <c r="G7616" t="s">
        <v>54</v>
      </c>
      <c r="H7616">
        <v>2515</v>
      </c>
      <c r="I7616" t="s">
        <v>112</v>
      </c>
      <c r="J7616">
        <v>3516</v>
      </c>
      <c r="K7616" t="s">
        <v>1215</v>
      </c>
      <c r="L7616">
        <v>0</v>
      </c>
      <c r="N7616" t="s">
        <v>199</v>
      </c>
      <c r="O7616">
        <v>0</v>
      </c>
      <c r="P7616">
        <v>15</v>
      </c>
      <c r="Q7616" t="s">
        <v>264</v>
      </c>
      <c r="R7616" t="s">
        <v>201</v>
      </c>
      <c r="S7616">
        <v>0</v>
      </c>
      <c r="T7616">
        <v>0</v>
      </c>
      <c r="U7616">
        <v>7772</v>
      </c>
      <c r="V7616">
        <v>7772</v>
      </c>
    </row>
    <row r="7617" spans="1:22">
      <c r="A7617" t="s">
        <v>2333</v>
      </c>
      <c r="B7617">
        <v>50</v>
      </c>
      <c r="C7617" t="s">
        <v>54</v>
      </c>
      <c r="D7617" t="s">
        <v>2387</v>
      </c>
      <c r="E7617" t="s">
        <v>2388</v>
      </c>
      <c r="F7617">
        <v>1005</v>
      </c>
      <c r="G7617" t="s">
        <v>54</v>
      </c>
      <c r="H7617">
        <v>2515</v>
      </c>
      <c r="I7617" t="s">
        <v>112</v>
      </c>
      <c r="J7617">
        <v>3516</v>
      </c>
      <c r="K7617" t="s">
        <v>1215</v>
      </c>
      <c r="L7617">
        <v>0</v>
      </c>
      <c r="N7617" t="s">
        <v>199</v>
      </c>
      <c r="O7617">
        <v>0</v>
      </c>
      <c r="P7617">
        <v>12</v>
      </c>
      <c r="Q7617" t="s">
        <v>724</v>
      </c>
      <c r="R7617" t="s">
        <v>201</v>
      </c>
      <c r="S7617">
        <v>0</v>
      </c>
      <c r="T7617">
        <v>0</v>
      </c>
      <c r="U7617">
        <v>1520</v>
      </c>
      <c r="V7617">
        <v>1520</v>
      </c>
    </row>
    <row r="7618" spans="1:22">
      <c r="A7618" t="s">
        <v>2333</v>
      </c>
      <c r="B7618">
        <v>50</v>
      </c>
      <c r="C7618" t="s">
        <v>54</v>
      </c>
      <c r="D7618" t="s">
        <v>2387</v>
      </c>
      <c r="E7618" t="s">
        <v>2388</v>
      </c>
      <c r="F7618">
        <v>1005</v>
      </c>
      <c r="G7618" t="s">
        <v>54</v>
      </c>
      <c r="H7618">
        <v>2520</v>
      </c>
      <c r="I7618" t="s">
        <v>125</v>
      </c>
      <c r="J7618">
        <v>3530</v>
      </c>
      <c r="K7618" t="s">
        <v>2405</v>
      </c>
      <c r="L7618">
        <v>0</v>
      </c>
      <c r="N7618" t="s">
        <v>266</v>
      </c>
      <c r="O7618">
        <v>9</v>
      </c>
      <c r="P7618">
        <v>9679</v>
      </c>
      <c r="Q7618" t="s">
        <v>338</v>
      </c>
      <c r="R7618" t="s">
        <v>201</v>
      </c>
      <c r="S7618">
        <v>1</v>
      </c>
      <c r="T7618">
        <v>1</v>
      </c>
      <c r="U7618">
        <v>167964</v>
      </c>
      <c r="V7618">
        <v>167964</v>
      </c>
    </row>
    <row r="7619" spans="1:22">
      <c r="A7619" t="s">
        <v>2333</v>
      </c>
      <c r="B7619">
        <v>50</v>
      </c>
      <c r="C7619" t="s">
        <v>54</v>
      </c>
      <c r="D7619" t="s">
        <v>2387</v>
      </c>
      <c r="E7619" t="s">
        <v>2388</v>
      </c>
      <c r="F7619">
        <v>1005</v>
      </c>
      <c r="G7619" t="s">
        <v>54</v>
      </c>
      <c r="H7619">
        <v>2520</v>
      </c>
      <c r="I7619" t="s">
        <v>125</v>
      </c>
      <c r="J7619">
        <v>3530</v>
      </c>
      <c r="K7619" t="s">
        <v>2405</v>
      </c>
      <c r="L7619">
        <v>0</v>
      </c>
      <c r="N7619" t="s">
        <v>253</v>
      </c>
      <c r="O7619">
        <v>20</v>
      </c>
      <c r="P7619">
        <v>3011</v>
      </c>
      <c r="Q7619" t="s">
        <v>1218</v>
      </c>
      <c r="R7619" t="s">
        <v>201</v>
      </c>
      <c r="S7619">
        <v>1</v>
      </c>
      <c r="T7619">
        <v>1</v>
      </c>
      <c r="U7619">
        <v>83052</v>
      </c>
      <c r="V7619">
        <v>83052</v>
      </c>
    </row>
    <row r="7620" spans="1:22">
      <c r="A7620" t="s">
        <v>2333</v>
      </c>
      <c r="B7620">
        <v>50</v>
      </c>
      <c r="C7620" t="s">
        <v>54</v>
      </c>
      <c r="D7620" t="s">
        <v>2387</v>
      </c>
      <c r="E7620" t="s">
        <v>2388</v>
      </c>
      <c r="F7620">
        <v>1005</v>
      </c>
      <c r="G7620" t="s">
        <v>54</v>
      </c>
      <c r="H7620">
        <v>2520</v>
      </c>
      <c r="I7620" t="s">
        <v>125</v>
      </c>
      <c r="J7620">
        <v>3530</v>
      </c>
      <c r="K7620" t="s">
        <v>2405</v>
      </c>
      <c r="L7620">
        <v>0</v>
      </c>
      <c r="N7620" t="s">
        <v>372</v>
      </c>
      <c r="O7620">
        <v>4</v>
      </c>
      <c r="P7620">
        <v>1912</v>
      </c>
      <c r="Q7620" t="s">
        <v>608</v>
      </c>
      <c r="R7620" t="s">
        <v>201</v>
      </c>
      <c r="S7620">
        <v>1</v>
      </c>
      <c r="T7620">
        <v>1</v>
      </c>
      <c r="U7620">
        <v>119100</v>
      </c>
      <c r="V7620">
        <v>119100</v>
      </c>
    </row>
    <row r="7621" spans="1:22">
      <c r="A7621" t="s">
        <v>2333</v>
      </c>
      <c r="B7621">
        <v>50</v>
      </c>
      <c r="C7621" t="s">
        <v>54</v>
      </c>
      <c r="D7621" t="s">
        <v>2387</v>
      </c>
      <c r="E7621" t="s">
        <v>2388</v>
      </c>
      <c r="F7621">
        <v>1005</v>
      </c>
      <c r="G7621" t="s">
        <v>54</v>
      </c>
      <c r="H7621">
        <v>2520</v>
      </c>
      <c r="I7621" t="s">
        <v>125</v>
      </c>
      <c r="J7621">
        <v>3530</v>
      </c>
      <c r="K7621" t="s">
        <v>2405</v>
      </c>
      <c r="L7621">
        <v>0</v>
      </c>
      <c r="N7621" t="s">
        <v>372</v>
      </c>
      <c r="O7621">
        <v>4</v>
      </c>
      <c r="P7621">
        <v>1912</v>
      </c>
      <c r="Q7621" t="s">
        <v>608</v>
      </c>
      <c r="R7621" t="s">
        <v>201</v>
      </c>
      <c r="S7621">
        <v>1</v>
      </c>
      <c r="T7621">
        <v>1</v>
      </c>
      <c r="U7621">
        <v>85200</v>
      </c>
      <c r="V7621">
        <v>85200</v>
      </c>
    </row>
    <row r="7622" spans="1:22">
      <c r="A7622" t="s">
        <v>2333</v>
      </c>
      <c r="B7622">
        <v>50</v>
      </c>
      <c r="C7622" t="s">
        <v>54</v>
      </c>
      <c r="D7622" t="s">
        <v>2387</v>
      </c>
      <c r="E7622" t="s">
        <v>2388</v>
      </c>
      <c r="F7622">
        <v>1005</v>
      </c>
      <c r="G7622" t="s">
        <v>54</v>
      </c>
      <c r="H7622">
        <v>2520</v>
      </c>
      <c r="I7622" t="s">
        <v>125</v>
      </c>
      <c r="J7622">
        <v>3530</v>
      </c>
      <c r="K7622" t="s">
        <v>2405</v>
      </c>
      <c r="L7622">
        <v>0</v>
      </c>
      <c r="N7622" t="s">
        <v>372</v>
      </c>
      <c r="O7622">
        <v>4</v>
      </c>
      <c r="P7622">
        <v>1912</v>
      </c>
      <c r="Q7622" t="s">
        <v>608</v>
      </c>
      <c r="R7622" t="s">
        <v>201</v>
      </c>
      <c r="S7622">
        <v>1</v>
      </c>
      <c r="T7622">
        <v>1</v>
      </c>
      <c r="U7622">
        <v>81324</v>
      </c>
      <c r="V7622">
        <v>81324</v>
      </c>
    </row>
    <row r="7623" spans="1:22">
      <c r="A7623" t="s">
        <v>2333</v>
      </c>
      <c r="B7623">
        <v>50</v>
      </c>
      <c r="C7623" t="s">
        <v>54</v>
      </c>
      <c r="D7623" t="s">
        <v>2387</v>
      </c>
      <c r="E7623" t="s">
        <v>2388</v>
      </c>
      <c r="F7623">
        <v>1005</v>
      </c>
      <c r="G7623" t="s">
        <v>54</v>
      </c>
      <c r="H7623">
        <v>2520</v>
      </c>
      <c r="I7623" t="s">
        <v>125</v>
      </c>
      <c r="J7623">
        <v>3530</v>
      </c>
      <c r="K7623" t="s">
        <v>2405</v>
      </c>
      <c r="L7623">
        <v>0</v>
      </c>
      <c r="N7623" t="s">
        <v>341</v>
      </c>
      <c r="O7623">
        <v>1</v>
      </c>
      <c r="P7623">
        <v>308</v>
      </c>
      <c r="Q7623" t="s">
        <v>355</v>
      </c>
      <c r="R7623" t="s">
        <v>201</v>
      </c>
      <c r="S7623">
        <v>1</v>
      </c>
      <c r="T7623">
        <v>1</v>
      </c>
      <c r="U7623">
        <v>119100</v>
      </c>
      <c r="V7623">
        <v>119100</v>
      </c>
    </row>
    <row r="7624" spans="1:22">
      <c r="A7624" t="s">
        <v>2333</v>
      </c>
      <c r="B7624">
        <v>50</v>
      </c>
      <c r="C7624" t="s">
        <v>54</v>
      </c>
      <c r="D7624" t="s">
        <v>2387</v>
      </c>
      <c r="E7624" t="s">
        <v>2388</v>
      </c>
      <c r="F7624">
        <v>1005</v>
      </c>
      <c r="G7624" t="s">
        <v>54</v>
      </c>
      <c r="H7624">
        <v>2520</v>
      </c>
      <c r="I7624" t="s">
        <v>125</v>
      </c>
      <c r="J7624">
        <v>3530</v>
      </c>
      <c r="K7624" t="s">
        <v>2405</v>
      </c>
      <c r="L7624">
        <v>0</v>
      </c>
      <c r="N7624" t="s">
        <v>199</v>
      </c>
      <c r="O7624">
        <v>0</v>
      </c>
      <c r="P7624">
        <v>44</v>
      </c>
      <c r="Q7624" t="s">
        <v>2337</v>
      </c>
      <c r="R7624" t="s">
        <v>201</v>
      </c>
      <c r="S7624">
        <v>0</v>
      </c>
      <c r="T7624">
        <v>0</v>
      </c>
      <c r="U7624">
        <v>366952</v>
      </c>
      <c r="V7624">
        <v>366952</v>
      </c>
    </row>
    <row r="7625" spans="1:22">
      <c r="A7625" t="s">
        <v>2333</v>
      </c>
      <c r="B7625">
        <v>50</v>
      </c>
      <c r="C7625" t="s">
        <v>54</v>
      </c>
      <c r="D7625" t="s">
        <v>2387</v>
      </c>
      <c r="E7625" t="s">
        <v>2388</v>
      </c>
      <c r="F7625">
        <v>1005</v>
      </c>
      <c r="G7625" t="s">
        <v>54</v>
      </c>
      <c r="H7625">
        <v>2520</v>
      </c>
      <c r="I7625" t="s">
        <v>125</v>
      </c>
      <c r="J7625">
        <v>3530</v>
      </c>
      <c r="K7625" t="s">
        <v>2405</v>
      </c>
      <c r="L7625">
        <v>0</v>
      </c>
      <c r="N7625" t="s">
        <v>199</v>
      </c>
      <c r="O7625">
        <v>0</v>
      </c>
      <c r="P7625">
        <v>15</v>
      </c>
      <c r="Q7625" t="s">
        <v>264</v>
      </c>
      <c r="R7625" t="s">
        <v>201</v>
      </c>
      <c r="S7625">
        <v>0</v>
      </c>
      <c r="T7625">
        <v>0</v>
      </c>
      <c r="U7625">
        <v>11142</v>
      </c>
      <c r="V7625">
        <v>11142</v>
      </c>
    </row>
    <row r="7626" spans="1:22">
      <c r="A7626" t="s">
        <v>2333</v>
      </c>
      <c r="B7626">
        <v>50</v>
      </c>
      <c r="C7626" t="s">
        <v>54</v>
      </c>
      <c r="D7626" t="s">
        <v>2387</v>
      </c>
      <c r="E7626" t="s">
        <v>2388</v>
      </c>
      <c r="F7626">
        <v>1005</v>
      </c>
      <c r="G7626" t="s">
        <v>54</v>
      </c>
      <c r="H7626">
        <v>2530</v>
      </c>
      <c r="I7626" t="s">
        <v>128</v>
      </c>
      <c r="J7626">
        <v>3550</v>
      </c>
      <c r="K7626" t="s">
        <v>1210</v>
      </c>
      <c r="L7626">
        <v>0</v>
      </c>
      <c r="N7626" t="s">
        <v>274</v>
      </c>
      <c r="O7626">
        <v>0</v>
      </c>
      <c r="P7626">
        <v>3018</v>
      </c>
      <c r="Q7626" t="s">
        <v>1214</v>
      </c>
      <c r="R7626" t="s">
        <v>201</v>
      </c>
      <c r="S7626">
        <v>1</v>
      </c>
      <c r="T7626">
        <v>1</v>
      </c>
      <c r="U7626">
        <v>121668</v>
      </c>
      <c r="V7626">
        <v>121668</v>
      </c>
    </row>
    <row r="7627" spans="1:22">
      <c r="A7627" t="s">
        <v>2333</v>
      </c>
      <c r="B7627">
        <v>50</v>
      </c>
      <c r="C7627" t="s">
        <v>54</v>
      </c>
      <c r="D7627" t="s">
        <v>2387</v>
      </c>
      <c r="E7627" t="s">
        <v>2388</v>
      </c>
      <c r="F7627">
        <v>1005</v>
      </c>
      <c r="G7627" t="s">
        <v>54</v>
      </c>
      <c r="H7627">
        <v>2530</v>
      </c>
      <c r="I7627" t="s">
        <v>128</v>
      </c>
      <c r="J7627">
        <v>3550</v>
      </c>
      <c r="K7627" t="s">
        <v>1210</v>
      </c>
      <c r="L7627">
        <v>0</v>
      </c>
      <c r="N7627" t="s">
        <v>253</v>
      </c>
      <c r="O7627">
        <v>20</v>
      </c>
      <c r="P7627">
        <v>3011</v>
      </c>
      <c r="Q7627" t="s">
        <v>1218</v>
      </c>
      <c r="R7627" t="s">
        <v>201</v>
      </c>
      <c r="S7627">
        <v>1</v>
      </c>
      <c r="T7627">
        <v>1</v>
      </c>
      <c r="U7627">
        <v>124584</v>
      </c>
      <c r="V7627">
        <v>124584</v>
      </c>
    </row>
    <row r="7628" spans="1:22">
      <c r="A7628" t="s">
        <v>2333</v>
      </c>
      <c r="B7628">
        <v>50</v>
      </c>
      <c r="C7628" t="s">
        <v>54</v>
      </c>
      <c r="D7628" t="s">
        <v>2387</v>
      </c>
      <c r="E7628" t="s">
        <v>2388</v>
      </c>
      <c r="F7628">
        <v>1005</v>
      </c>
      <c r="G7628" t="s">
        <v>54</v>
      </c>
      <c r="H7628">
        <v>2530</v>
      </c>
      <c r="I7628" t="s">
        <v>128</v>
      </c>
      <c r="J7628">
        <v>3550</v>
      </c>
      <c r="K7628" t="s">
        <v>1210</v>
      </c>
      <c r="L7628">
        <v>0</v>
      </c>
      <c r="N7628" t="s">
        <v>356</v>
      </c>
      <c r="O7628">
        <v>3</v>
      </c>
      <c r="P7628">
        <v>2989</v>
      </c>
      <c r="Q7628" t="s">
        <v>2351</v>
      </c>
      <c r="R7628" t="s">
        <v>201</v>
      </c>
      <c r="S7628">
        <v>1</v>
      </c>
      <c r="T7628">
        <v>1</v>
      </c>
      <c r="U7628">
        <v>97488</v>
      </c>
      <c r="V7628">
        <v>97488</v>
      </c>
    </row>
    <row r="7629" spans="1:22">
      <c r="A7629" t="s">
        <v>2333</v>
      </c>
      <c r="B7629">
        <v>50</v>
      </c>
      <c r="C7629" t="s">
        <v>54</v>
      </c>
      <c r="D7629" t="s">
        <v>2387</v>
      </c>
      <c r="E7629" t="s">
        <v>2388</v>
      </c>
      <c r="F7629">
        <v>1005</v>
      </c>
      <c r="G7629" t="s">
        <v>54</v>
      </c>
      <c r="H7629">
        <v>2530</v>
      </c>
      <c r="I7629" t="s">
        <v>128</v>
      </c>
      <c r="J7629">
        <v>3550</v>
      </c>
      <c r="K7629" t="s">
        <v>1210</v>
      </c>
      <c r="L7629">
        <v>0</v>
      </c>
      <c r="N7629" t="s">
        <v>372</v>
      </c>
      <c r="O7629">
        <v>4</v>
      </c>
      <c r="P7629">
        <v>1912</v>
      </c>
      <c r="Q7629" t="s">
        <v>608</v>
      </c>
      <c r="R7629" t="s">
        <v>201</v>
      </c>
      <c r="S7629">
        <v>1</v>
      </c>
      <c r="T7629">
        <v>1</v>
      </c>
      <c r="U7629">
        <v>85200</v>
      </c>
      <c r="V7629">
        <v>85200</v>
      </c>
    </row>
    <row r="7630" spans="1:22">
      <c r="A7630" t="s">
        <v>2333</v>
      </c>
      <c r="B7630">
        <v>50</v>
      </c>
      <c r="C7630" t="s">
        <v>54</v>
      </c>
      <c r="D7630" t="s">
        <v>2387</v>
      </c>
      <c r="E7630" t="s">
        <v>2388</v>
      </c>
      <c r="F7630">
        <v>1005</v>
      </c>
      <c r="G7630" t="s">
        <v>54</v>
      </c>
      <c r="H7630">
        <v>2530</v>
      </c>
      <c r="I7630" t="s">
        <v>128</v>
      </c>
      <c r="J7630">
        <v>3550</v>
      </c>
      <c r="K7630" t="s">
        <v>1210</v>
      </c>
      <c r="L7630">
        <v>0</v>
      </c>
      <c r="N7630" t="s">
        <v>372</v>
      </c>
      <c r="O7630">
        <v>4</v>
      </c>
      <c r="P7630">
        <v>1912</v>
      </c>
      <c r="Q7630" t="s">
        <v>608</v>
      </c>
      <c r="R7630" t="s">
        <v>201</v>
      </c>
      <c r="S7630">
        <v>1</v>
      </c>
      <c r="T7630">
        <v>1</v>
      </c>
      <c r="U7630">
        <v>81324</v>
      </c>
      <c r="V7630">
        <v>81324</v>
      </c>
    </row>
    <row r="7631" spans="1:22">
      <c r="A7631" t="s">
        <v>2333</v>
      </c>
      <c r="B7631">
        <v>50</v>
      </c>
      <c r="C7631" t="s">
        <v>54</v>
      </c>
      <c r="D7631" t="s">
        <v>2387</v>
      </c>
      <c r="E7631" t="s">
        <v>2388</v>
      </c>
      <c r="F7631">
        <v>1005</v>
      </c>
      <c r="G7631" t="s">
        <v>54</v>
      </c>
      <c r="H7631">
        <v>2530</v>
      </c>
      <c r="I7631" t="s">
        <v>128</v>
      </c>
      <c r="J7631">
        <v>3550</v>
      </c>
      <c r="K7631" t="s">
        <v>1210</v>
      </c>
      <c r="L7631">
        <v>0</v>
      </c>
      <c r="N7631" t="s">
        <v>249</v>
      </c>
      <c r="O7631">
        <v>10</v>
      </c>
      <c r="P7631">
        <v>310</v>
      </c>
      <c r="Q7631" t="s">
        <v>447</v>
      </c>
      <c r="R7631" t="s">
        <v>201</v>
      </c>
      <c r="S7631">
        <v>1</v>
      </c>
      <c r="T7631">
        <v>1</v>
      </c>
      <c r="U7631">
        <v>107340</v>
      </c>
      <c r="V7631">
        <v>107340</v>
      </c>
    </row>
    <row r="7632" spans="1:22">
      <c r="A7632" t="s">
        <v>2333</v>
      </c>
      <c r="B7632">
        <v>50</v>
      </c>
      <c r="C7632" t="s">
        <v>54</v>
      </c>
      <c r="D7632" t="s">
        <v>2387</v>
      </c>
      <c r="E7632" t="s">
        <v>2388</v>
      </c>
      <c r="F7632">
        <v>1005</v>
      </c>
      <c r="G7632" t="s">
        <v>54</v>
      </c>
      <c r="H7632">
        <v>2530</v>
      </c>
      <c r="I7632" t="s">
        <v>128</v>
      </c>
      <c r="J7632">
        <v>3550</v>
      </c>
      <c r="K7632" t="s">
        <v>1210</v>
      </c>
      <c r="L7632">
        <v>0</v>
      </c>
      <c r="N7632" t="s">
        <v>199</v>
      </c>
      <c r="O7632">
        <v>0</v>
      </c>
      <c r="P7632">
        <v>44</v>
      </c>
      <c r="Q7632" t="s">
        <v>2337</v>
      </c>
      <c r="R7632" t="s">
        <v>201</v>
      </c>
      <c r="S7632">
        <v>0</v>
      </c>
      <c r="T7632">
        <v>0</v>
      </c>
      <c r="U7632">
        <v>345610</v>
      </c>
      <c r="V7632">
        <v>345610</v>
      </c>
    </row>
    <row r="7633" spans="1:22">
      <c r="A7633" t="s">
        <v>2333</v>
      </c>
      <c r="B7633">
        <v>50</v>
      </c>
      <c r="C7633" t="s">
        <v>54</v>
      </c>
      <c r="D7633" t="s">
        <v>2387</v>
      </c>
      <c r="E7633" t="s">
        <v>2388</v>
      </c>
      <c r="F7633">
        <v>1005</v>
      </c>
      <c r="G7633" t="s">
        <v>54</v>
      </c>
      <c r="H7633">
        <v>2530</v>
      </c>
      <c r="I7633" t="s">
        <v>128</v>
      </c>
      <c r="J7633">
        <v>3550</v>
      </c>
      <c r="K7633" t="s">
        <v>1210</v>
      </c>
      <c r="L7633">
        <v>0</v>
      </c>
      <c r="N7633" t="s">
        <v>199</v>
      </c>
      <c r="O7633">
        <v>0</v>
      </c>
      <c r="P7633">
        <v>15</v>
      </c>
      <c r="Q7633" t="s">
        <v>264</v>
      </c>
      <c r="R7633" t="s">
        <v>201</v>
      </c>
      <c r="S7633">
        <v>0</v>
      </c>
      <c r="T7633">
        <v>0</v>
      </c>
      <c r="U7633">
        <v>7516</v>
      </c>
      <c r="V7633">
        <v>7516</v>
      </c>
    </row>
    <row r="7634" spans="1:22">
      <c r="A7634" t="s">
        <v>2333</v>
      </c>
      <c r="B7634">
        <v>54</v>
      </c>
      <c r="C7634" t="s">
        <v>42</v>
      </c>
      <c r="D7634" t="s">
        <v>2387</v>
      </c>
      <c r="E7634" t="s">
        <v>2388</v>
      </c>
      <c r="F7634">
        <v>1005</v>
      </c>
      <c r="G7634" t="s">
        <v>42</v>
      </c>
      <c r="H7634">
        <v>2505</v>
      </c>
      <c r="I7634" t="s">
        <v>90</v>
      </c>
      <c r="J7634">
        <v>3502</v>
      </c>
      <c r="K7634" t="s">
        <v>638</v>
      </c>
      <c r="L7634">
        <v>0</v>
      </c>
      <c r="N7634" t="s">
        <v>372</v>
      </c>
      <c r="O7634">
        <v>1</v>
      </c>
      <c r="P7634">
        <v>2908</v>
      </c>
      <c r="Q7634" t="s">
        <v>2288</v>
      </c>
      <c r="R7634" t="s">
        <v>201</v>
      </c>
      <c r="S7634">
        <v>1</v>
      </c>
      <c r="T7634">
        <v>1</v>
      </c>
      <c r="U7634">
        <v>75336</v>
      </c>
      <c r="V7634">
        <v>75336</v>
      </c>
    </row>
    <row r="7635" spans="1:22">
      <c r="A7635" t="s">
        <v>2333</v>
      </c>
      <c r="B7635">
        <v>54</v>
      </c>
      <c r="C7635" t="s">
        <v>42</v>
      </c>
      <c r="D7635" t="s">
        <v>2387</v>
      </c>
      <c r="E7635" t="s">
        <v>2388</v>
      </c>
      <c r="F7635">
        <v>1005</v>
      </c>
      <c r="G7635" t="s">
        <v>42</v>
      </c>
      <c r="H7635">
        <v>2505</v>
      </c>
      <c r="I7635" t="s">
        <v>90</v>
      </c>
      <c r="J7635">
        <v>3502</v>
      </c>
      <c r="K7635" t="s">
        <v>638</v>
      </c>
      <c r="L7635">
        <v>0</v>
      </c>
      <c r="N7635" t="s">
        <v>341</v>
      </c>
      <c r="O7635">
        <v>1</v>
      </c>
      <c r="P7635">
        <v>1482</v>
      </c>
      <c r="Q7635" t="s">
        <v>364</v>
      </c>
      <c r="R7635" t="s">
        <v>201</v>
      </c>
      <c r="S7635">
        <v>1</v>
      </c>
      <c r="T7635">
        <v>1</v>
      </c>
      <c r="U7635">
        <v>70752</v>
      </c>
      <c r="V7635">
        <v>70752</v>
      </c>
    </row>
    <row r="7636" spans="1:22">
      <c r="A7636" t="s">
        <v>2333</v>
      </c>
      <c r="B7636">
        <v>54</v>
      </c>
      <c r="C7636" t="s">
        <v>42</v>
      </c>
      <c r="D7636" t="s">
        <v>2387</v>
      </c>
      <c r="E7636" t="s">
        <v>2388</v>
      </c>
      <c r="F7636">
        <v>1005</v>
      </c>
      <c r="G7636" t="s">
        <v>42</v>
      </c>
      <c r="H7636">
        <v>2505</v>
      </c>
      <c r="I7636" t="s">
        <v>90</v>
      </c>
      <c r="J7636">
        <v>3502</v>
      </c>
      <c r="K7636" t="s">
        <v>638</v>
      </c>
      <c r="L7636">
        <v>0</v>
      </c>
      <c r="N7636" t="s">
        <v>341</v>
      </c>
      <c r="O7636">
        <v>1</v>
      </c>
      <c r="P7636">
        <v>1482</v>
      </c>
      <c r="Q7636" t="s">
        <v>364</v>
      </c>
      <c r="R7636" t="s">
        <v>201</v>
      </c>
      <c r="S7636">
        <v>1</v>
      </c>
      <c r="T7636">
        <v>1</v>
      </c>
      <c r="U7636">
        <v>68616</v>
      </c>
      <c r="V7636">
        <v>68616</v>
      </c>
    </row>
    <row r="7637" spans="1:22">
      <c r="A7637" t="s">
        <v>2333</v>
      </c>
      <c r="B7637">
        <v>54</v>
      </c>
      <c r="C7637" t="s">
        <v>42</v>
      </c>
      <c r="D7637" t="s">
        <v>2387</v>
      </c>
      <c r="E7637" t="s">
        <v>2388</v>
      </c>
      <c r="F7637">
        <v>1005</v>
      </c>
      <c r="G7637" t="s">
        <v>42</v>
      </c>
      <c r="H7637">
        <v>2505</v>
      </c>
      <c r="I7637" t="s">
        <v>90</v>
      </c>
      <c r="J7637">
        <v>3502</v>
      </c>
      <c r="K7637" t="s">
        <v>638</v>
      </c>
      <c r="L7637">
        <v>0</v>
      </c>
      <c r="N7637" t="s">
        <v>268</v>
      </c>
      <c r="O7637">
        <v>10</v>
      </c>
      <c r="P7637">
        <v>134</v>
      </c>
      <c r="Q7637" t="s">
        <v>322</v>
      </c>
      <c r="R7637" t="s">
        <v>201</v>
      </c>
      <c r="S7637">
        <v>2</v>
      </c>
      <c r="T7637">
        <v>1</v>
      </c>
      <c r="U7637">
        <v>69684</v>
      </c>
      <c r="V7637">
        <v>139368</v>
      </c>
    </row>
    <row r="7638" spans="1:22">
      <c r="A7638" t="s">
        <v>2333</v>
      </c>
      <c r="B7638">
        <v>54</v>
      </c>
      <c r="C7638" t="s">
        <v>42</v>
      </c>
      <c r="D7638" t="s">
        <v>2387</v>
      </c>
      <c r="E7638" t="s">
        <v>2388</v>
      </c>
      <c r="F7638">
        <v>1005</v>
      </c>
      <c r="G7638" t="s">
        <v>42</v>
      </c>
      <c r="H7638">
        <v>2505</v>
      </c>
      <c r="I7638" t="s">
        <v>90</v>
      </c>
      <c r="J7638">
        <v>3502</v>
      </c>
      <c r="K7638" t="s">
        <v>638</v>
      </c>
      <c r="L7638">
        <v>0</v>
      </c>
      <c r="N7638" t="s">
        <v>360</v>
      </c>
      <c r="O7638">
        <v>1</v>
      </c>
      <c r="P7638">
        <v>109</v>
      </c>
      <c r="Q7638" t="s">
        <v>361</v>
      </c>
      <c r="R7638" t="s">
        <v>201</v>
      </c>
      <c r="S7638">
        <v>1</v>
      </c>
      <c r="T7638">
        <v>1</v>
      </c>
      <c r="U7638">
        <v>64488</v>
      </c>
      <c r="V7638">
        <v>64488</v>
      </c>
    </row>
    <row r="7639" spans="1:22">
      <c r="A7639" t="s">
        <v>2333</v>
      </c>
      <c r="B7639">
        <v>54</v>
      </c>
      <c r="C7639" t="s">
        <v>42</v>
      </c>
      <c r="D7639" t="s">
        <v>2387</v>
      </c>
      <c r="E7639" t="s">
        <v>2388</v>
      </c>
      <c r="F7639">
        <v>1005</v>
      </c>
      <c r="G7639" t="s">
        <v>42</v>
      </c>
      <c r="H7639">
        <v>2505</v>
      </c>
      <c r="I7639" t="s">
        <v>90</v>
      </c>
      <c r="J7639">
        <v>3502</v>
      </c>
      <c r="K7639" t="s">
        <v>638</v>
      </c>
      <c r="L7639">
        <v>0</v>
      </c>
      <c r="N7639" t="s">
        <v>199</v>
      </c>
      <c r="O7639">
        <v>0</v>
      </c>
      <c r="P7639">
        <v>44</v>
      </c>
      <c r="Q7639" t="s">
        <v>2337</v>
      </c>
      <c r="R7639" t="s">
        <v>201</v>
      </c>
      <c r="S7639">
        <v>0</v>
      </c>
      <c r="T7639">
        <v>0</v>
      </c>
      <c r="U7639">
        <v>234226</v>
      </c>
      <c r="V7639">
        <v>234226</v>
      </c>
    </row>
    <row r="7640" spans="1:22">
      <c r="A7640" t="s">
        <v>2333</v>
      </c>
      <c r="B7640">
        <v>54</v>
      </c>
      <c r="C7640" t="s">
        <v>42</v>
      </c>
      <c r="D7640" t="s">
        <v>2387</v>
      </c>
      <c r="E7640" t="s">
        <v>2388</v>
      </c>
      <c r="F7640">
        <v>1005</v>
      </c>
      <c r="G7640" t="s">
        <v>42</v>
      </c>
      <c r="H7640">
        <v>2505</v>
      </c>
      <c r="I7640" t="s">
        <v>90</v>
      </c>
      <c r="J7640">
        <v>3502</v>
      </c>
      <c r="K7640" t="s">
        <v>638</v>
      </c>
      <c r="L7640">
        <v>0</v>
      </c>
      <c r="N7640" t="s">
        <v>199</v>
      </c>
      <c r="O7640">
        <v>0</v>
      </c>
      <c r="P7640">
        <v>15</v>
      </c>
      <c r="Q7640" t="s">
        <v>264</v>
      </c>
      <c r="R7640" t="s">
        <v>201</v>
      </c>
      <c r="S7640">
        <v>0</v>
      </c>
      <c r="T7640">
        <v>0</v>
      </c>
      <c r="U7640">
        <v>6450</v>
      </c>
      <c r="V7640">
        <v>6450</v>
      </c>
    </row>
    <row r="7641" spans="1:22">
      <c r="A7641" t="s">
        <v>2333</v>
      </c>
      <c r="B7641">
        <v>54</v>
      </c>
      <c r="C7641" t="s">
        <v>42</v>
      </c>
      <c r="D7641" t="s">
        <v>2387</v>
      </c>
      <c r="E7641" t="s">
        <v>2388</v>
      </c>
      <c r="F7641">
        <v>1005</v>
      </c>
      <c r="G7641" t="s">
        <v>42</v>
      </c>
      <c r="H7641">
        <v>2505</v>
      </c>
      <c r="I7641" t="s">
        <v>90</v>
      </c>
      <c r="J7641">
        <v>3503</v>
      </c>
      <c r="K7641" t="s">
        <v>243</v>
      </c>
      <c r="L7641">
        <v>0</v>
      </c>
      <c r="N7641" t="s">
        <v>702</v>
      </c>
      <c r="O7641">
        <v>4</v>
      </c>
      <c r="P7641">
        <v>2921</v>
      </c>
      <c r="Q7641" t="s">
        <v>1378</v>
      </c>
      <c r="R7641" t="s">
        <v>201</v>
      </c>
      <c r="S7641">
        <v>1</v>
      </c>
      <c r="T7641">
        <v>1</v>
      </c>
      <c r="U7641">
        <v>108708</v>
      </c>
      <c r="V7641">
        <v>108708</v>
      </c>
    </row>
    <row r="7642" spans="1:22">
      <c r="A7642" t="s">
        <v>2333</v>
      </c>
      <c r="B7642">
        <v>54</v>
      </c>
      <c r="C7642" t="s">
        <v>42</v>
      </c>
      <c r="D7642" t="s">
        <v>2387</v>
      </c>
      <c r="E7642" t="s">
        <v>2388</v>
      </c>
      <c r="F7642">
        <v>1005</v>
      </c>
      <c r="G7642" t="s">
        <v>42</v>
      </c>
      <c r="H7642">
        <v>2505</v>
      </c>
      <c r="I7642" t="s">
        <v>90</v>
      </c>
      <c r="J7642">
        <v>3503</v>
      </c>
      <c r="K7642" t="s">
        <v>243</v>
      </c>
      <c r="L7642">
        <v>0</v>
      </c>
      <c r="N7642" t="s">
        <v>294</v>
      </c>
      <c r="O7642">
        <v>10</v>
      </c>
      <c r="P7642">
        <v>1335</v>
      </c>
      <c r="Q7642" t="s">
        <v>2290</v>
      </c>
      <c r="R7642" t="s">
        <v>201</v>
      </c>
      <c r="S7642">
        <v>1</v>
      </c>
      <c r="T7642">
        <v>1</v>
      </c>
      <c r="U7642">
        <v>63504</v>
      </c>
      <c r="V7642">
        <v>63504</v>
      </c>
    </row>
    <row r="7643" spans="1:22">
      <c r="A7643" t="s">
        <v>2333</v>
      </c>
      <c r="B7643">
        <v>54</v>
      </c>
      <c r="C7643" t="s">
        <v>42</v>
      </c>
      <c r="D7643" t="s">
        <v>2387</v>
      </c>
      <c r="E7643" t="s">
        <v>2388</v>
      </c>
      <c r="F7643">
        <v>1005</v>
      </c>
      <c r="G7643" t="s">
        <v>42</v>
      </c>
      <c r="H7643">
        <v>2505</v>
      </c>
      <c r="I7643" t="s">
        <v>90</v>
      </c>
      <c r="J7643">
        <v>3503</v>
      </c>
      <c r="K7643" t="s">
        <v>243</v>
      </c>
      <c r="L7643">
        <v>0</v>
      </c>
      <c r="N7643" t="s">
        <v>602</v>
      </c>
      <c r="O7643">
        <v>4</v>
      </c>
      <c r="P7643">
        <v>635</v>
      </c>
      <c r="Q7643" t="s">
        <v>645</v>
      </c>
      <c r="R7643" t="s">
        <v>201</v>
      </c>
      <c r="S7643">
        <v>1</v>
      </c>
      <c r="T7643">
        <v>1</v>
      </c>
      <c r="U7643">
        <v>141564</v>
      </c>
      <c r="V7643">
        <v>141564</v>
      </c>
    </row>
    <row r="7644" spans="1:22">
      <c r="A7644" t="s">
        <v>2333</v>
      </c>
      <c r="B7644">
        <v>54</v>
      </c>
      <c r="C7644" t="s">
        <v>42</v>
      </c>
      <c r="D7644" t="s">
        <v>2387</v>
      </c>
      <c r="E7644" t="s">
        <v>2388</v>
      </c>
      <c r="F7644">
        <v>1005</v>
      </c>
      <c r="G7644" t="s">
        <v>42</v>
      </c>
      <c r="H7644">
        <v>2505</v>
      </c>
      <c r="I7644" t="s">
        <v>90</v>
      </c>
      <c r="J7644">
        <v>3503</v>
      </c>
      <c r="K7644" t="s">
        <v>243</v>
      </c>
      <c r="L7644">
        <v>0</v>
      </c>
      <c r="N7644" t="s">
        <v>622</v>
      </c>
      <c r="O7644">
        <v>1</v>
      </c>
      <c r="P7644" t="s">
        <v>667</v>
      </c>
      <c r="Q7644" t="s">
        <v>205</v>
      </c>
      <c r="R7644" t="s">
        <v>201</v>
      </c>
      <c r="S7644">
        <v>1</v>
      </c>
      <c r="T7644">
        <v>1</v>
      </c>
      <c r="U7644">
        <v>58764</v>
      </c>
      <c r="V7644">
        <v>58764</v>
      </c>
    </row>
    <row r="7645" spans="1:22">
      <c r="A7645" t="s">
        <v>2333</v>
      </c>
      <c r="B7645">
        <v>54</v>
      </c>
      <c r="C7645" t="s">
        <v>42</v>
      </c>
      <c r="D7645" t="s">
        <v>2387</v>
      </c>
      <c r="E7645" t="s">
        <v>2388</v>
      </c>
      <c r="F7645">
        <v>1005</v>
      </c>
      <c r="G7645" t="s">
        <v>42</v>
      </c>
      <c r="H7645">
        <v>2505</v>
      </c>
      <c r="I7645" t="s">
        <v>90</v>
      </c>
      <c r="J7645">
        <v>3503</v>
      </c>
      <c r="K7645" t="s">
        <v>243</v>
      </c>
      <c r="L7645">
        <v>0</v>
      </c>
      <c r="N7645" t="s">
        <v>341</v>
      </c>
      <c r="O7645">
        <v>1</v>
      </c>
      <c r="P7645">
        <v>308</v>
      </c>
      <c r="Q7645" t="s">
        <v>355</v>
      </c>
      <c r="R7645" t="s">
        <v>201</v>
      </c>
      <c r="S7645">
        <v>1</v>
      </c>
      <c r="T7645">
        <v>1</v>
      </c>
      <c r="U7645">
        <v>119100</v>
      </c>
      <c r="V7645">
        <v>119100</v>
      </c>
    </row>
    <row r="7646" spans="1:22">
      <c r="A7646" t="s">
        <v>2333</v>
      </c>
      <c r="B7646">
        <v>54</v>
      </c>
      <c r="C7646" t="s">
        <v>42</v>
      </c>
      <c r="D7646" t="s">
        <v>2387</v>
      </c>
      <c r="E7646" t="s">
        <v>2388</v>
      </c>
      <c r="F7646">
        <v>1005</v>
      </c>
      <c r="G7646" t="s">
        <v>42</v>
      </c>
      <c r="H7646">
        <v>2505</v>
      </c>
      <c r="I7646" t="s">
        <v>90</v>
      </c>
      <c r="J7646">
        <v>3503</v>
      </c>
      <c r="K7646" t="s">
        <v>243</v>
      </c>
      <c r="L7646">
        <v>0</v>
      </c>
      <c r="N7646" t="s">
        <v>199</v>
      </c>
      <c r="O7646">
        <v>0</v>
      </c>
      <c r="P7646">
        <v>44</v>
      </c>
      <c r="Q7646" t="s">
        <v>2337</v>
      </c>
      <c r="R7646" t="s">
        <v>201</v>
      </c>
      <c r="S7646">
        <v>0</v>
      </c>
      <c r="T7646">
        <v>0</v>
      </c>
      <c r="U7646">
        <v>275121</v>
      </c>
      <c r="V7646">
        <v>275121</v>
      </c>
    </row>
    <row r="7647" spans="1:22">
      <c r="A7647" t="s">
        <v>2333</v>
      </c>
      <c r="B7647">
        <v>54</v>
      </c>
      <c r="C7647" t="s">
        <v>42</v>
      </c>
      <c r="D7647" t="s">
        <v>2387</v>
      </c>
      <c r="E7647" t="s">
        <v>2388</v>
      </c>
      <c r="F7647">
        <v>1005</v>
      </c>
      <c r="G7647" t="s">
        <v>42</v>
      </c>
      <c r="H7647">
        <v>2505</v>
      </c>
      <c r="I7647" t="s">
        <v>90</v>
      </c>
      <c r="J7647">
        <v>3503</v>
      </c>
      <c r="K7647" t="s">
        <v>243</v>
      </c>
      <c r="L7647">
        <v>0</v>
      </c>
      <c r="N7647" t="s">
        <v>199</v>
      </c>
      <c r="O7647">
        <v>0</v>
      </c>
      <c r="P7647">
        <v>15</v>
      </c>
      <c r="Q7647" t="s">
        <v>264</v>
      </c>
      <c r="R7647" t="s">
        <v>201</v>
      </c>
      <c r="S7647">
        <v>0</v>
      </c>
      <c r="T7647">
        <v>0</v>
      </c>
      <c r="U7647">
        <v>1506</v>
      </c>
      <c r="V7647">
        <v>1506</v>
      </c>
    </row>
    <row r="7648" spans="1:22">
      <c r="A7648" t="s">
        <v>2333</v>
      </c>
      <c r="B7648">
        <v>54</v>
      </c>
      <c r="C7648" t="s">
        <v>42</v>
      </c>
      <c r="D7648" t="s">
        <v>2387</v>
      </c>
      <c r="E7648" t="s">
        <v>2388</v>
      </c>
      <c r="F7648">
        <v>1005</v>
      </c>
      <c r="G7648" t="s">
        <v>42</v>
      </c>
      <c r="H7648">
        <v>2505</v>
      </c>
      <c r="I7648" t="s">
        <v>90</v>
      </c>
      <c r="J7648">
        <v>3506</v>
      </c>
      <c r="K7648" t="s">
        <v>1665</v>
      </c>
      <c r="L7648">
        <v>0</v>
      </c>
      <c r="N7648" t="s">
        <v>255</v>
      </c>
      <c r="O7648">
        <v>1</v>
      </c>
      <c r="P7648">
        <v>729</v>
      </c>
      <c r="Q7648" t="s">
        <v>256</v>
      </c>
      <c r="R7648" t="s">
        <v>201</v>
      </c>
      <c r="S7648">
        <v>1</v>
      </c>
      <c r="T7648">
        <v>1</v>
      </c>
      <c r="U7648">
        <v>97956</v>
      </c>
      <c r="V7648">
        <v>97956</v>
      </c>
    </row>
    <row r="7649" spans="1:22">
      <c r="A7649" t="s">
        <v>2333</v>
      </c>
      <c r="B7649">
        <v>54</v>
      </c>
      <c r="C7649" t="s">
        <v>42</v>
      </c>
      <c r="D7649" t="s">
        <v>2387</v>
      </c>
      <c r="E7649" t="s">
        <v>2388</v>
      </c>
      <c r="F7649">
        <v>1005</v>
      </c>
      <c r="G7649" t="s">
        <v>42</v>
      </c>
      <c r="H7649">
        <v>2505</v>
      </c>
      <c r="I7649" t="s">
        <v>90</v>
      </c>
      <c r="J7649">
        <v>3506</v>
      </c>
      <c r="K7649" t="s">
        <v>1665</v>
      </c>
      <c r="L7649">
        <v>0</v>
      </c>
      <c r="N7649" t="s">
        <v>255</v>
      </c>
      <c r="O7649">
        <v>1</v>
      </c>
      <c r="P7649">
        <v>729</v>
      </c>
      <c r="Q7649" t="s">
        <v>256</v>
      </c>
      <c r="R7649" t="s">
        <v>201</v>
      </c>
      <c r="S7649">
        <v>1</v>
      </c>
      <c r="T7649">
        <v>1</v>
      </c>
      <c r="U7649">
        <v>82644</v>
      </c>
      <c r="V7649">
        <v>82644</v>
      </c>
    </row>
    <row r="7650" spans="1:22">
      <c r="A7650" t="s">
        <v>2333</v>
      </c>
      <c r="B7650">
        <v>54</v>
      </c>
      <c r="C7650" t="s">
        <v>42</v>
      </c>
      <c r="D7650" t="s">
        <v>2387</v>
      </c>
      <c r="E7650" t="s">
        <v>2388</v>
      </c>
      <c r="F7650">
        <v>1005</v>
      </c>
      <c r="G7650" t="s">
        <v>42</v>
      </c>
      <c r="H7650">
        <v>2505</v>
      </c>
      <c r="I7650" t="s">
        <v>90</v>
      </c>
      <c r="J7650">
        <v>3506</v>
      </c>
      <c r="K7650" t="s">
        <v>1665</v>
      </c>
      <c r="L7650">
        <v>0</v>
      </c>
      <c r="N7650" t="s">
        <v>199</v>
      </c>
      <c r="O7650">
        <v>0</v>
      </c>
      <c r="P7650">
        <v>44</v>
      </c>
      <c r="Q7650" t="s">
        <v>2337</v>
      </c>
      <c r="R7650" t="s">
        <v>201</v>
      </c>
      <c r="S7650">
        <v>0</v>
      </c>
      <c r="T7650">
        <v>0</v>
      </c>
      <c r="U7650">
        <v>101064</v>
      </c>
      <c r="V7650">
        <v>101064</v>
      </c>
    </row>
    <row r="7651" spans="1:22">
      <c r="A7651" t="s">
        <v>2333</v>
      </c>
      <c r="B7651">
        <v>54</v>
      </c>
      <c r="C7651" t="s">
        <v>42</v>
      </c>
      <c r="D7651" t="s">
        <v>2387</v>
      </c>
      <c r="E7651" t="s">
        <v>2388</v>
      </c>
      <c r="F7651">
        <v>1005</v>
      </c>
      <c r="G7651" t="s">
        <v>42</v>
      </c>
      <c r="H7651">
        <v>2505</v>
      </c>
      <c r="I7651" t="s">
        <v>90</v>
      </c>
      <c r="J7651">
        <v>3506</v>
      </c>
      <c r="K7651" t="s">
        <v>1665</v>
      </c>
      <c r="L7651">
        <v>0</v>
      </c>
      <c r="N7651" t="s">
        <v>199</v>
      </c>
      <c r="O7651">
        <v>0</v>
      </c>
      <c r="P7651">
        <v>15</v>
      </c>
      <c r="Q7651" t="s">
        <v>264</v>
      </c>
      <c r="R7651" t="s">
        <v>201</v>
      </c>
      <c r="S7651">
        <v>0</v>
      </c>
      <c r="T7651">
        <v>0</v>
      </c>
      <c r="U7651">
        <v>188</v>
      </c>
      <c r="V7651">
        <v>188</v>
      </c>
    </row>
    <row r="7652" spans="1:22">
      <c r="A7652" t="s">
        <v>2333</v>
      </c>
      <c r="B7652">
        <v>72</v>
      </c>
      <c r="C7652" t="s">
        <v>113</v>
      </c>
      <c r="D7652" t="s">
        <v>2387</v>
      </c>
      <c r="E7652" t="s">
        <v>2388</v>
      </c>
      <c r="F7652">
        <v>1010</v>
      </c>
      <c r="G7652" t="s">
        <v>113</v>
      </c>
      <c r="H7652" t="s">
        <v>2406</v>
      </c>
      <c r="I7652" t="s">
        <v>90</v>
      </c>
      <c r="J7652">
        <v>3800</v>
      </c>
      <c r="K7652" t="s">
        <v>2407</v>
      </c>
      <c r="L7652">
        <v>0</v>
      </c>
      <c r="N7652" t="s">
        <v>602</v>
      </c>
      <c r="O7652">
        <v>4</v>
      </c>
      <c r="P7652">
        <v>2073</v>
      </c>
      <c r="Q7652" t="s">
        <v>1016</v>
      </c>
      <c r="R7652" t="s">
        <v>201</v>
      </c>
      <c r="S7652">
        <v>1</v>
      </c>
      <c r="T7652">
        <v>1</v>
      </c>
      <c r="U7652">
        <v>141564</v>
      </c>
      <c r="V7652">
        <v>141564</v>
      </c>
    </row>
    <row r="7653" spans="1:22">
      <c r="A7653" t="s">
        <v>2333</v>
      </c>
      <c r="B7653">
        <v>72</v>
      </c>
      <c r="C7653" t="s">
        <v>113</v>
      </c>
      <c r="D7653" t="s">
        <v>2387</v>
      </c>
      <c r="E7653" t="s">
        <v>2388</v>
      </c>
      <c r="F7653">
        <v>1010</v>
      </c>
      <c r="G7653" t="s">
        <v>113</v>
      </c>
      <c r="H7653" t="s">
        <v>2406</v>
      </c>
      <c r="I7653" t="s">
        <v>90</v>
      </c>
      <c r="J7653">
        <v>3800</v>
      </c>
      <c r="K7653" t="s">
        <v>2407</v>
      </c>
      <c r="L7653">
        <v>0</v>
      </c>
      <c r="N7653" t="s">
        <v>602</v>
      </c>
      <c r="O7653">
        <v>4</v>
      </c>
      <c r="P7653">
        <v>2073</v>
      </c>
      <c r="Q7653" t="s">
        <v>1016</v>
      </c>
      <c r="R7653" t="s">
        <v>201</v>
      </c>
      <c r="S7653">
        <v>1</v>
      </c>
      <c r="T7653">
        <v>1</v>
      </c>
      <c r="U7653">
        <v>128316</v>
      </c>
      <c r="V7653">
        <v>128316</v>
      </c>
    </row>
    <row r="7654" spans="1:22">
      <c r="A7654" t="s">
        <v>2333</v>
      </c>
      <c r="B7654">
        <v>72</v>
      </c>
      <c r="C7654" t="s">
        <v>113</v>
      </c>
      <c r="D7654" t="s">
        <v>2387</v>
      </c>
      <c r="E7654" t="s">
        <v>2388</v>
      </c>
      <c r="F7654">
        <v>1010</v>
      </c>
      <c r="G7654" t="s">
        <v>113</v>
      </c>
      <c r="H7654" t="s">
        <v>2406</v>
      </c>
      <c r="I7654" t="s">
        <v>90</v>
      </c>
      <c r="J7654">
        <v>3800</v>
      </c>
      <c r="K7654" t="s">
        <v>2407</v>
      </c>
      <c r="L7654">
        <v>0</v>
      </c>
      <c r="N7654" t="s">
        <v>199</v>
      </c>
      <c r="O7654">
        <v>0</v>
      </c>
      <c r="P7654">
        <v>44</v>
      </c>
      <c r="Q7654" t="s">
        <v>2337</v>
      </c>
      <c r="R7654" t="s">
        <v>201</v>
      </c>
      <c r="S7654">
        <v>0</v>
      </c>
      <c r="T7654">
        <v>0</v>
      </c>
      <c r="U7654">
        <v>151025</v>
      </c>
      <c r="V7654">
        <v>151025</v>
      </c>
    </row>
    <row r="7655" spans="1:22">
      <c r="A7655" t="s">
        <v>2333</v>
      </c>
      <c r="B7655">
        <v>72</v>
      </c>
      <c r="C7655" t="s">
        <v>113</v>
      </c>
      <c r="D7655" t="s">
        <v>2387</v>
      </c>
      <c r="E7655" t="s">
        <v>2388</v>
      </c>
      <c r="F7655">
        <v>1010</v>
      </c>
      <c r="G7655" t="s">
        <v>113</v>
      </c>
      <c r="H7655" t="s">
        <v>2406</v>
      </c>
      <c r="I7655" t="s">
        <v>90</v>
      </c>
      <c r="J7655">
        <v>3800</v>
      </c>
      <c r="K7655" t="s">
        <v>2407</v>
      </c>
      <c r="L7655">
        <v>0</v>
      </c>
      <c r="N7655" t="s">
        <v>199</v>
      </c>
      <c r="O7655">
        <v>0</v>
      </c>
      <c r="P7655">
        <v>15</v>
      </c>
      <c r="Q7655" t="s">
        <v>264</v>
      </c>
      <c r="R7655" t="s">
        <v>201</v>
      </c>
      <c r="S7655">
        <v>0</v>
      </c>
      <c r="T7655">
        <v>0</v>
      </c>
      <c r="U7655">
        <v>2133</v>
      </c>
      <c r="V7655">
        <v>2133</v>
      </c>
    </row>
    <row r="7656" spans="1:22">
      <c r="A7656" t="s">
        <v>2333</v>
      </c>
      <c r="B7656">
        <v>6</v>
      </c>
      <c r="C7656" t="s">
        <v>336</v>
      </c>
      <c r="D7656" t="s">
        <v>2408</v>
      </c>
      <c r="E7656" t="s">
        <v>2409</v>
      </c>
      <c r="F7656">
        <v>1005</v>
      </c>
      <c r="G7656" t="s">
        <v>336</v>
      </c>
      <c r="H7656">
        <v>2825</v>
      </c>
      <c r="I7656" t="s">
        <v>99</v>
      </c>
      <c r="J7656">
        <v>3825</v>
      </c>
      <c r="K7656" t="s">
        <v>2410</v>
      </c>
      <c r="L7656">
        <v>0</v>
      </c>
      <c r="N7656" t="s">
        <v>379</v>
      </c>
      <c r="O7656">
        <v>20</v>
      </c>
      <c r="P7656" s="1">
        <v>6000000</v>
      </c>
      <c r="Q7656" t="s">
        <v>2411</v>
      </c>
      <c r="R7656" t="s">
        <v>201</v>
      </c>
      <c r="S7656">
        <v>2</v>
      </c>
      <c r="T7656">
        <v>1</v>
      </c>
      <c r="U7656">
        <v>110940</v>
      </c>
      <c r="V7656">
        <v>221880</v>
      </c>
    </row>
    <row r="7657" spans="1:22">
      <c r="A7657" t="s">
        <v>2333</v>
      </c>
      <c r="B7657">
        <v>6</v>
      </c>
      <c r="C7657" t="s">
        <v>336</v>
      </c>
      <c r="D7657" t="s">
        <v>2408</v>
      </c>
      <c r="E7657" t="s">
        <v>2409</v>
      </c>
      <c r="F7657">
        <v>1005</v>
      </c>
      <c r="G7657" t="s">
        <v>336</v>
      </c>
      <c r="H7657">
        <v>2825</v>
      </c>
      <c r="I7657" t="s">
        <v>99</v>
      </c>
      <c r="J7657">
        <v>3825</v>
      </c>
      <c r="K7657" t="s">
        <v>2410</v>
      </c>
      <c r="L7657">
        <v>0</v>
      </c>
      <c r="N7657" t="s">
        <v>406</v>
      </c>
      <c r="O7657">
        <v>20</v>
      </c>
      <c r="P7657" s="1">
        <v>60000</v>
      </c>
      <c r="Q7657" t="s">
        <v>2412</v>
      </c>
      <c r="R7657" t="s">
        <v>201</v>
      </c>
      <c r="S7657">
        <v>2</v>
      </c>
      <c r="T7657">
        <v>1</v>
      </c>
      <c r="U7657">
        <v>125016</v>
      </c>
      <c r="V7657">
        <v>250032</v>
      </c>
    </row>
    <row r="7658" spans="1:22">
      <c r="A7658" t="s">
        <v>2333</v>
      </c>
      <c r="B7658">
        <v>6</v>
      </c>
      <c r="C7658" t="s">
        <v>336</v>
      </c>
      <c r="D7658" t="s">
        <v>2408</v>
      </c>
      <c r="E7658" t="s">
        <v>2409</v>
      </c>
      <c r="F7658">
        <v>1005</v>
      </c>
      <c r="G7658" t="s">
        <v>336</v>
      </c>
      <c r="H7658">
        <v>2825</v>
      </c>
      <c r="I7658" t="s">
        <v>99</v>
      </c>
      <c r="J7658">
        <v>3825</v>
      </c>
      <c r="K7658" t="s">
        <v>2410</v>
      </c>
      <c r="L7658">
        <v>0</v>
      </c>
      <c r="N7658" t="s">
        <v>199</v>
      </c>
      <c r="O7658">
        <v>0</v>
      </c>
      <c r="P7658">
        <v>44</v>
      </c>
      <c r="Q7658" t="s">
        <v>2337</v>
      </c>
      <c r="R7658" t="s">
        <v>201</v>
      </c>
      <c r="S7658">
        <v>0</v>
      </c>
      <c r="T7658">
        <v>0</v>
      </c>
      <c r="U7658">
        <v>264082</v>
      </c>
      <c r="V7658">
        <v>264082</v>
      </c>
    </row>
    <row r="7659" spans="1:22">
      <c r="A7659" t="s">
        <v>2333</v>
      </c>
      <c r="B7659">
        <v>6</v>
      </c>
      <c r="C7659" t="s">
        <v>336</v>
      </c>
      <c r="D7659" t="s">
        <v>2408</v>
      </c>
      <c r="E7659" t="s">
        <v>2409</v>
      </c>
      <c r="F7659">
        <v>1005</v>
      </c>
      <c r="G7659" t="s">
        <v>336</v>
      </c>
      <c r="H7659">
        <v>2825</v>
      </c>
      <c r="I7659" t="s">
        <v>99</v>
      </c>
      <c r="J7659">
        <v>3825</v>
      </c>
      <c r="K7659" t="s">
        <v>2410</v>
      </c>
      <c r="L7659">
        <v>0</v>
      </c>
      <c r="N7659" t="s">
        <v>199</v>
      </c>
      <c r="O7659">
        <v>0</v>
      </c>
      <c r="P7659">
        <v>15</v>
      </c>
      <c r="Q7659" t="s">
        <v>264</v>
      </c>
      <c r="R7659" t="s">
        <v>201</v>
      </c>
      <c r="S7659">
        <v>0</v>
      </c>
      <c r="T7659">
        <v>0</v>
      </c>
      <c r="U7659">
        <v>21344</v>
      </c>
      <c r="V7659">
        <v>21344</v>
      </c>
    </row>
    <row r="7660" spans="1:22">
      <c r="A7660" t="s">
        <v>2333</v>
      </c>
      <c r="B7660">
        <v>21</v>
      </c>
      <c r="C7660" t="s">
        <v>78</v>
      </c>
      <c r="D7660" t="s">
        <v>2408</v>
      </c>
      <c r="E7660" t="s">
        <v>2409</v>
      </c>
      <c r="F7660">
        <v>1005</v>
      </c>
      <c r="G7660" t="s">
        <v>78</v>
      </c>
      <c r="H7660">
        <v>2833</v>
      </c>
      <c r="I7660" t="s">
        <v>106</v>
      </c>
      <c r="J7660">
        <v>3803</v>
      </c>
      <c r="K7660" t="s">
        <v>2413</v>
      </c>
      <c r="L7660">
        <v>0</v>
      </c>
      <c r="N7660" t="s">
        <v>266</v>
      </c>
      <c r="O7660">
        <v>9</v>
      </c>
      <c r="P7660">
        <v>9679</v>
      </c>
      <c r="Q7660" t="s">
        <v>338</v>
      </c>
      <c r="R7660" t="s">
        <v>201</v>
      </c>
      <c r="S7660">
        <v>1</v>
      </c>
      <c r="T7660">
        <v>1</v>
      </c>
      <c r="U7660">
        <v>167964</v>
      </c>
      <c r="V7660">
        <v>167964</v>
      </c>
    </row>
    <row r="7661" spans="1:22">
      <c r="A7661" t="s">
        <v>2333</v>
      </c>
      <c r="B7661">
        <v>21</v>
      </c>
      <c r="C7661" t="s">
        <v>78</v>
      </c>
      <c r="D7661" t="s">
        <v>2408</v>
      </c>
      <c r="E7661" t="s">
        <v>2409</v>
      </c>
      <c r="F7661">
        <v>1005</v>
      </c>
      <c r="G7661" t="s">
        <v>78</v>
      </c>
      <c r="H7661">
        <v>2833</v>
      </c>
      <c r="I7661" t="s">
        <v>106</v>
      </c>
      <c r="J7661">
        <v>3803</v>
      </c>
      <c r="K7661" t="s">
        <v>2413</v>
      </c>
      <c r="L7661">
        <v>0</v>
      </c>
      <c r="N7661" t="s">
        <v>268</v>
      </c>
      <c r="O7661">
        <v>10</v>
      </c>
      <c r="P7661">
        <v>1911</v>
      </c>
      <c r="Q7661" t="s">
        <v>617</v>
      </c>
      <c r="R7661" t="s">
        <v>201</v>
      </c>
      <c r="S7661">
        <v>1</v>
      </c>
      <c r="T7661">
        <v>1</v>
      </c>
      <c r="U7661">
        <v>72996</v>
      </c>
      <c r="V7661">
        <v>72996</v>
      </c>
    </row>
    <row r="7662" spans="1:22">
      <c r="A7662" t="s">
        <v>2333</v>
      </c>
      <c r="B7662">
        <v>21</v>
      </c>
      <c r="C7662" t="s">
        <v>78</v>
      </c>
      <c r="D7662" t="s">
        <v>2408</v>
      </c>
      <c r="E7662" t="s">
        <v>2409</v>
      </c>
      <c r="F7662">
        <v>1005</v>
      </c>
      <c r="G7662" t="s">
        <v>78</v>
      </c>
      <c r="H7662">
        <v>2833</v>
      </c>
      <c r="I7662" t="s">
        <v>106</v>
      </c>
      <c r="J7662">
        <v>3803</v>
      </c>
      <c r="K7662" t="s">
        <v>2413</v>
      </c>
      <c r="L7662">
        <v>0</v>
      </c>
      <c r="N7662" t="s">
        <v>251</v>
      </c>
      <c r="O7662">
        <v>10</v>
      </c>
      <c r="P7662">
        <v>1438</v>
      </c>
      <c r="Q7662" t="s">
        <v>601</v>
      </c>
      <c r="R7662" t="s">
        <v>201</v>
      </c>
      <c r="S7662">
        <v>1</v>
      </c>
      <c r="T7662">
        <v>1</v>
      </c>
      <c r="U7662">
        <v>83052</v>
      </c>
      <c r="V7662">
        <v>83052</v>
      </c>
    </row>
    <row r="7663" spans="1:22">
      <c r="A7663" t="s">
        <v>2333</v>
      </c>
      <c r="B7663">
        <v>21</v>
      </c>
      <c r="C7663" t="s">
        <v>78</v>
      </c>
      <c r="D7663" t="s">
        <v>2408</v>
      </c>
      <c r="E7663" t="s">
        <v>2409</v>
      </c>
      <c r="F7663">
        <v>1005</v>
      </c>
      <c r="G7663" t="s">
        <v>78</v>
      </c>
      <c r="H7663">
        <v>2833</v>
      </c>
      <c r="I7663" t="s">
        <v>106</v>
      </c>
      <c r="J7663">
        <v>3803</v>
      </c>
      <c r="K7663" t="s">
        <v>2413</v>
      </c>
      <c r="L7663">
        <v>0</v>
      </c>
      <c r="N7663" t="s">
        <v>261</v>
      </c>
      <c r="O7663">
        <v>20</v>
      </c>
      <c r="P7663">
        <v>1437</v>
      </c>
      <c r="Q7663" t="s">
        <v>609</v>
      </c>
      <c r="R7663" t="s">
        <v>201</v>
      </c>
      <c r="S7663">
        <v>2</v>
      </c>
      <c r="T7663">
        <v>1</v>
      </c>
      <c r="U7663">
        <v>122556</v>
      </c>
      <c r="V7663">
        <v>245112</v>
      </c>
    </row>
    <row r="7664" spans="1:22">
      <c r="A7664" t="s">
        <v>2333</v>
      </c>
      <c r="B7664">
        <v>21</v>
      </c>
      <c r="C7664" t="s">
        <v>78</v>
      </c>
      <c r="D7664" t="s">
        <v>2408</v>
      </c>
      <c r="E7664" t="s">
        <v>2409</v>
      </c>
      <c r="F7664">
        <v>1005</v>
      </c>
      <c r="G7664" t="s">
        <v>78</v>
      </c>
      <c r="H7664">
        <v>2833</v>
      </c>
      <c r="I7664" t="s">
        <v>106</v>
      </c>
      <c r="J7664">
        <v>3803</v>
      </c>
      <c r="K7664" t="s">
        <v>2413</v>
      </c>
      <c r="L7664">
        <v>0</v>
      </c>
      <c r="N7664" t="s">
        <v>274</v>
      </c>
      <c r="O7664">
        <v>9</v>
      </c>
      <c r="P7664">
        <v>313</v>
      </c>
      <c r="Q7664" t="s">
        <v>605</v>
      </c>
      <c r="R7664" t="s">
        <v>201</v>
      </c>
      <c r="S7664">
        <v>1</v>
      </c>
      <c r="T7664">
        <v>1</v>
      </c>
      <c r="U7664">
        <v>137532</v>
      </c>
      <c r="V7664">
        <v>137532</v>
      </c>
    </row>
    <row r="7665" spans="1:22">
      <c r="A7665" t="s">
        <v>2333</v>
      </c>
      <c r="B7665">
        <v>21</v>
      </c>
      <c r="C7665" t="s">
        <v>78</v>
      </c>
      <c r="D7665" t="s">
        <v>2408</v>
      </c>
      <c r="E7665" t="s">
        <v>2409</v>
      </c>
      <c r="F7665">
        <v>1005</v>
      </c>
      <c r="G7665" t="s">
        <v>78</v>
      </c>
      <c r="H7665">
        <v>2833</v>
      </c>
      <c r="I7665" t="s">
        <v>106</v>
      </c>
      <c r="J7665">
        <v>3803</v>
      </c>
      <c r="K7665" t="s">
        <v>2413</v>
      </c>
      <c r="L7665">
        <v>0</v>
      </c>
      <c r="N7665" t="s">
        <v>199</v>
      </c>
      <c r="O7665">
        <v>0</v>
      </c>
      <c r="P7665">
        <v>44</v>
      </c>
      <c r="Q7665" t="s">
        <v>2337</v>
      </c>
      <c r="R7665" t="s">
        <v>201</v>
      </c>
      <c r="S7665">
        <v>0</v>
      </c>
      <c r="T7665">
        <v>0</v>
      </c>
      <c r="U7665">
        <v>395446</v>
      </c>
      <c r="V7665">
        <v>395446</v>
      </c>
    </row>
    <row r="7666" spans="1:22">
      <c r="A7666" t="s">
        <v>2333</v>
      </c>
      <c r="B7666">
        <v>21</v>
      </c>
      <c r="C7666" t="s">
        <v>78</v>
      </c>
      <c r="D7666" t="s">
        <v>2408</v>
      </c>
      <c r="E7666" t="s">
        <v>2409</v>
      </c>
      <c r="F7666">
        <v>1005</v>
      </c>
      <c r="G7666" t="s">
        <v>78</v>
      </c>
      <c r="H7666">
        <v>2833</v>
      </c>
      <c r="I7666" t="s">
        <v>106</v>
      </c>
      <c r="J7666">
        <v>3803</v>
      </c>
      <c r="K7666" t="s">
        <v>2413</v>
      </c>
      <c r="L7666">
        <v>0</v>
      </c>
      <c r="N7666" t="s">
        <v>199</v>
      </c>
      <c r="O7666">
        <v>0</v>
      </c>
      <c r="P7666">
        <v>15</v>
      </c>
      <c r="Q7666" t="s">
        <v>264</v>
      </c>
      <c r="R7666" t="s">
        <v>201</v>
      </c>
      <c r="S7666">
        <v>0</v>
      </c>
      <c r="T7666">
        <v>0</v>
      </c>
      <c r="U7666">
        <v>12040</v>
      </c>
      <c r="V7666">
        <v>12040</v>
      </c>
    </row>
    <row r="7667" spans="1:22">
      <c r="A7667" t="s">
        <v>2333</v>
      </c>
      <c r="B7667">
        <v>21</v>
      </c>
      <c r="C7667" t="s">
        <v>78</v>
      </c>
      <c r="D7667" t="s">
        <v>2408</v>
      </c>
      <c r="E7667" t="s">
        <v>2409</v>
      </c>
      <c r="F7667">
        <v>1005</v>
      </c>
      <c r="G7667" t="s">
        <v>78</v>
      </c>
      <c r="H7667">
        <v>2833</v>
      </c>
      <c r="I7667" t="s">
        <v>106</v>
      </c>
      <c r="J7667">
        <v>3834</v>
      </c>
      <c r="K7667" t="s">
        <v>610</v>
      </c>
      <c r="L7667">
        <v>0</v>
      </c>
      <c r="N7667" t="s">
        <v>251</v>
      </c>
      <c r="O7667">
        <v>10</v>
      </c>
      <c r="P7667">
        <v>2916</v>
      </c>
      <c r="Q7667" t="s">
        <v>2287</v>
      </c>
      <c r="R7667" t="s">
        <v>201</v>
      </c>
      <c r="S7667">
        <v>1</v>
      </c>
      <c r="T7667">
        <v>1</v>
      </c>
      <c r="U7667">
        <v>85128</v>
      </c>
      <c r="V7667">
        <v>85128</v>
      </c>
    </row>
    <row r="7668" spans="1:22">
      <c r="A7668" t="s">
        <v>2333</v>
      </c>
      <c r="B7668">
        <v>21</v>
      </c>
      <c r="C7668" t="s">
        <v>78</v>
      </c>
      <c r="D7668" t="s">
        <v>2408</v>
      </c>
      <c r="E7668" t="s">
        <v>2409</v>
      </c>
      <c r="F7668">
        <v>1005</v>
      </c>
      <c r="G7668" t="s">
        <v>78</v>
      </c>
      <c r="H7668">
        <v>2833</v>
      </c>
      <c r="I7668" t="s">
        <v>106</v>
      </c>
      <c r="J7668">
        <v>3834</v>
      </c>
      <c r="K7668" t="s">
        <v>610</v>
      </c>
      <c r="L7668">
        <v>0</v>
      </c>
      <c r="N7668" t="s">
        <v>372</v>
      </c>
      <c r="O7668">
        <v>1</v>
      </c>
      <c r="P7668">
        <v>2908</v>
      </c>
      <c r="Q7668" t="s">
        <v>2288</v>
      </c>
      <c r="R7668" t="s">
        <v>201</v>
      </c>
      <c r="S7668">
        <v>2</v>
      </c>
      <c r="T7668">
        <v>1</v>
      </c>
      <c r="U7668">
        <v>130668</v>
      </c>
      <c r="V7668">
        <v>261336</v>
      </c>
    </row>
    <row r="7669" spans="1:22">
      <c r="A7669" t="s">
        <v>2333</v>
      </c>
      <c r="B7669">
        <v>21</v>
      </c>
      <c r="C7669" t="s">
        <v>78</v>
      </c>
      <c r="D7669" t="s">
        <v>2408</v>
      </c>
      <c r="E7669" t="s">
        <v>2409</v>
      </c>
      <c r="F7669">
        <v>1005</v>
      </c>
      <c r="G7669" t="s">
        <v>78</v>
      </c>
      <c r="H7669">
        <v>2833</v>
      </c>
      <c r="I7669" t="s">
        <v>106</v>
      </c>
      <c r="J7669">
        <v>3834</v>
      </c>
      <c r="K7669" t="s">
        <v>610</v>
      </c>
      <c r="L7669">
        <v>0</v>
      </c>
      <c r="N7669" t="s">
        <v>274</v>
      </c>
      <c r="O7669">
        <v>9</v>
      </c>
      <c r="P7669">
        <v>313</v>
      </c>
      <c r="Q7669" t="s">
        <v>605</v>
      </c>
      <c r="R7669" t="s">
        <v>201</v>
      </c>
      <c r="S7669">
        <v>1</v>
      </c>
      <c r="T7669">
        <v>1</v>
      </c>
      <c r="U7669">
        <v>137532</v>
      </c>
      <c r="V7669">
        <v>137532</v>
      </c>
    </row>
    <row r="7670" spans="1:22">
      <c r="A7670" t="s">
        <v>2333</v>
      </c>
      <c r="B7670">
        <v>21</v>
      </c>
      <c r="C7670" t="s">
        <v>78</v>
      </c>
      <c r="D7670" t="s">
        <v>2408</v>
      </c>
      <c r="E7670" t="s">
        <v>2409</v>
      </c>
      <c r="F7670">
        <v>1005</v>
      </c>
      <c r="G7670" t="s">
        <v>78</v>
      </c>
      <c r="H7670">
        <v>2833</v>
      </c>
      <c r="I7670" t="s">
        <v>106</v>
      </c>
      <c r="J7670">
        <v>3834</v>
      </c>
      <c r="K7670" t="s">
        <v>610</v>
      </c>
      <c r="L7670">
        <v>0</v>
      </c>
      <c r="N7670" t="s">
        <v>199</v>
      </c>
      <c r="O7670">
        <v>0</v>
      </c>
      <c r="P7670">
        <v>44</v>
      </c>
      <c r="Q7670" t="s">
        <v>2337</v>
      </c>
      <c r="R7670" t="s">
        <v>201</v>
      </c>
      <c r="S7670">
        <v>0</v>
      </c>
      <c r="T7670">
        <v>0</v>
      </c>
      <c r="U7670">
        <v>270845</v>
      </c>
      <c r="V7670">
        <v>270845</v>
      </c>
    </row>
    <row r="7671" spans="1:22">
      <c r="A7671" t="s">
        <v>2333</v>
      </c>
      <c r="B7671">
        <v>21</v>
      </c>
      <c r="C7671" t="s">
        <v>78</v>
      </c>
      <c r="D7671" t="s">
        <v>2408</v>
      </c>
      <c r="E7671" t="s">
        <v>2409</v>
      </c>
      <c r="F7671">
        <v>1005</v>
      </c>
      <c r="G7671" t="s">
        <v>78</v>
      </c>
      <c r="H7671">
        <v>2833</v>
      </c>
      <c r="I7671" t="s">
        <v>106</v>
      </c>
      <c r="J7671">
        <v>3834</v>
      </c>
      <c r="K7671" t="s">
        <v>610</v>
      </c>
      <c r="L7671">
        <v>0</v>
      </c>
      <c r="N7671" t="s">
        <v>199</v>
      </c>
      <c r="O7671">
        <v>0</v>
      </c>
      <c r="P7671">
        <v>15</v>
      </c>
      <c r="Q7671" t="s">
        <v>264</v>
      </c>
      <c r="R7671" t="s">
        <v>201</v>
      </c>
      <c r="S7671">
        <v>0</v>
      </c>
      <c r="T7671">
        <v>0</v>
      </c>
      <c r="U7671">
        <v>4420</v>
      </c>
      <c r="V7671">
        <v>4420</v>
      </c>
    </row>
    <row r="7672" spans="1:22">
      <c r="A7672" t="s">
        <v>2333</v>
      </c>
      <c r="B7672">
        <v>41</v>
      </c>
      <c r="C7672" t="s">
        <v>1097</v>
      </c>
      <c r="D7672" t="s">
        <v>2408</v>
      </c>
      <c r="E7672" t="s">
        <v>2409</v>
      </c>
      <c r="F7672">
        <v>1005</v>
      </c>
      <c r="G7672" t="s">
        <v>111</v>
      </c>
      <c r="H7672">
        <v>2710</v>
      </c>
      <c r="I7672" t="s">
        <v>91</v>
      </c>
      <c r="J7672">
        <v>3710</v>
      </c>
      <c r="K7672" t="s">
        <v>2368</v>
      </c>
      <c r="L7672">
        <v>0</v>
      </c>
      <c r="N7672" t="s">
        <v>356</v>
      </c>
      <c r="O7672">
        <v>4</v>
      </c>
      <c r="P7672">
        <v>3414</v>
      </c>
      <c r="Q7672" t="s">
        <v>1109</v>
      </c>
      <c r="R7672" t="s">
        <v>201</v>
      </c>
      <c r="S7672">
        <v>1</v>
      </c>
      <c r="T7672">
        <v>1</v>
      </c>
      <c r="U7672">
        <v>129636</v>
      </c>
      <c r="V7672">
        <v>129636</v>
      </c>
    </row>
    <row r="7673" spans="1:22">
      <c r="A7673" t="s">
        <v>2333</v>
      </c>
      <c r="B7673">
        <v>41</v>
      </c>
      <c r="C7673" t="s">
        <v>1097</v>
      </c>
      <c r="D7673" t="s">
        <v>2408</v>
      </c>
      <c r="E7673" t="s">
        <v>2409</v>
      </c>
      <c r="F7673">
        <v>1005</v>
      </c>
      <c r="G7673" t="s">
        <v>111</v>
      </c>
      <c r="H7673">
        <v>2710</v>
      </c>
      <c r="I7673" t="s">
        <v>91</v>
      </c>
      <c r="J7673">
        <v>3710</v>
      </c>
      <c r="K7673" t="s">
        <v>2368</v>
      </c>
      <c r="L7673">
        <v>0</v>
      </c>
      <c r="N7673" t="s">
        <v>356</v>
      </c>
      <c r="O7673">
        <v>4</v>
      </c>
      <c r="P7673">
        <v>3414</v>
      </c>
      <c r="Q7673" t="s">
        <v>1109</v>
      </c>
      <c r="R7673" t="s">
        <v>201</v>
      </c>
      <c r="S7673">
        <v>1</v>
      </c>
      <c r="T7673">
        <v>1</v>
      </c>
      <c r="U7673">
        <v>102516</v>
      </c>
      <c r="V7673">
        <v>102516</v>
      </c>
    </row>
    <row r="7674" spans="1:22">
      <c r="A7674" t="s">
        <v>2333</v>
      </c>
      <c r="B7674">
        <v>41</v>
      </c>
      <c r="C7674" t="s">
        <v>1097</v>
      </c>
      <c r="D7674" t="s">
        <v>2408</v>
      </c>
      <c r="E7674" t="s">
        <v>2409</v>
      </c>
      <c r="F7674">
        <v>1005</v>
      </c>
      <c r="G7674" t="s">
        <v>111</v>
      </c>
      <c r="H7674">
        <v>2710</v>
      </c>
      <c r="I7674" t="s">
        <v>91</v>
      </c>
      <c r="J7674">
        <v>3710</v>
      </c>
      <c r="K7674" t="s">
        <v>2368</v>
      </c>
      <c r="L7674">
        <v>0</v>
      </c>
      <c r="N7674" t="s">
        <v>245</v>
      </c>
      <c r="O7674">
        <v>20</v>
      </c>
      <c r="P7674">
        <v>3408</v>
      </c>
      <c r="Q7674" t="s">
        <v>1110</v>
      </c>
      <c r="R7674" t="s">
        <v>201</v>
      </c>
      <c r="S7674">
        <v>1</v>
      </c>
      <c r="T7674">
        <v>1</v>
      </c>
      <c r="U7674">
        <v>106272</v>
      </c>
      <c r="V7674">
        <v>106272</v>
      </c>
    </row>
    <row r="7675" spans="1:22">
      <c r="A7675" t="s">
        <v>2333</v>
      </c>
      <c r="B7675">
        <v>41</v>
      </c>
      <c r="C7675" t="s">
        <v>1097</v>
      </c>
      <c r="D7675" t="s">
        <v>2408</v>
      </c>
      <c r="E7675" t="s">
        <v>2409</v>
      </c>
      <c r="F7675">
        <v>1005</v>
      </c>
      <c r="G7675" t="s">
        <v>111</v>
      </c>
      <c r="H7675">
        <v>2710</v>
      </c>
      <c r="I7675" t="s">
        <v>91</v>
      </c>
      <c r="J7675">
        <v>3710</v>
      </c>
      <c r="K7675" t="s">
        <v>2368</v>
      </c>
      <c r="L7675">
        <v>0</v>
      </c>
      <c r="N7675" t="s">
        <v>839</v>
      </c>
      <c r="O7675">
        <v>9</v>
      </c>
      <c r="P7675">
        <v>404</v>
      </c>
      <c r="Q7675" t="s">
        <v>2378</v>
      </c>
      <c r="R7675" t="s">
        <v>713</v>
      </c>
      <c r="S7675">
        <v>2</v>
      </c>
      <c r="T7675">
        <v>1</v>
      </c>
      <c r="U7675">
        <v>16.2</v>
      </c>
      <c r="V7675">
        <v>67392</v>
      </c>
    </row>
    <row r="7676" spans="1:22">
      <c r="A7676" t="s">
        <v>2333</v>
      </c>
      <c r="B7676">
        <v>41</v>
      </c>
      <c r="C7676" t="s">
        <v>1097</v>
      </c>
      <c r="D7676" t="s">
        <v>2408</v>
      </c>
      <c r="E7676" t="s">
        <v>2409</v>
      </c>
      <c r="F7676">
        <v>1005</v>
      </c>
      <c r="G7676" t="s">
        <v>111</v>
      </c>
      <c r="H7676">
        <v>2710</v>
      </c>
      <c r="I7676" t="s">
        <v>91</v>
      </c>
      <c r="J7676">
        <v>3710</v>
      </c>
      <c r="K7676" t="s">
        <v>2368</v>
      </c>
      <c r="L7676">
        <v>0</v>
      </c>
      <c r="N7676" t="s">
        <v>249</v>
      </c>
      <c r="O7676">
        <v>10</v>
      </c>
      <c r="P7676">
        <v>311</v>
      </c>
      <c r="Q7676" t="s">
        <v>661</v>
      </c>
      <c r="R7676" t="s">
        <v>201</v>
      </c>
      <c r="S7676">
        <v>1</v>
      </c>
      <c r="T7676">
        <v>1</v>
      </c>
      <c r="U7676">
        <v>107340</v>
      </c>
      <c r="V7676">
        <v>107340</v>
      </c>
    </row>
    <row r="7677" spans="1:22">
      <c r="A7677" t="s">
        <v>2333</v>
      </c>
      <c r="B7677">
        <v>41</v>
      </c>
      <c r="C7677" t="s">
        <v>1097</v>
      </c>
      <c r="D7677" t="s">
        <v>2408</v>
      </c>
      <c r="E7677" t="s">
        <v>2409</v>
      </c>
      <c r="F7677">
        <v>1005</v>
      </c>
      <c r="G7677" t="s">
        <v>111</v>
      </c>
      <c r="H7677">
        <v>2710</v>
      </c>
      <c r="I7677" t="s">
        <v>91</v>
      </c>
      <c r="J7677">
        <v>3710</v>
      </c>
      <c r="K7677" t="s">
        <v>2368</v>
      </c>
      <c r="L7677">
        <v>0</v>
      </c>
      <c r="N7677" t="s">
        <v>199</v>
      </c>
      <c r="O7677">
        <v>0</v>
      </c>
      <c r="P7677">
        <v>44</v>
      </c>
      <c r="Q7677" t="s">
        <v>2337</v>
      </c>
      <c r="R7677" t="s">
        <v>201</v>
      </c>
      <c r="S7677">
        <v>0</v>
      </c>
      <c r="T7677">
        <v>0</v>
      </c>
      <c r="U7677">
        <v>287162</v>
      </c>
      <c r="V7677">
        <v>287162</v>
      </c>
    </row>
    <row r="7678" spans="1:22">
      <c r="A7678" t="s">
        <v>2333</v>
      </c>
      <c r="B7678">
        <v>41</v>
      </c>
      <c r="C7678" t="s">
        <v>1097</v>
      </c>
      <c r="D7678" t="s">
        <v>2408</v>
      </c>
      <c r="E7678" t="s">
        <v>2409</v>
      </c>
      <c r="F7678">
        <v>1005</v>
      </c>
      <c r="G7678" t="s">
        <v>111</v>
      </c>
      <c r="H7678">
        <v>2710</v>
      </c>
      <c r="I7678" t="s">
        <v>91</v>
      </c>
      <c r="J7678">
        <v>3710</v>
      </c>
      <c r="K7678" t="s">
        <v>2368</v>
      </c>
      <c r="L7678">
        <v>0</v>
      </c>
      <c r="N7678" t="s">
        <v>199</v>
      </c>
      <c r="O7678">
        <v>0</v>
      </c>
      <c r="P7678">
        <v>15</v>
      </c>
      <c r="Q7678" t="s">
        <v>264</v>
      </c>
      <c r="R7678" t="s">
        <v>201</v>
      </c>
      <c r="S7678">
        <v>0</v>
      </c>
      <c r="T7678">
        <v>0</v>
      </c>
      <c r="U7678">
        <v>1656</v>
      </c>
      <c r="V7678">
        <v>1656</v>
      </c>
    </row>
    <row r="7679" spans="1:22">
      <c r="A7679" t="s">
        <v>2333</v>
      </c>
      <c r="B7679">
        <v>41</v>
      </c>
      <c r="C7679" t="s">
        <v>1097</v>
      </c>
      <c r="D7679" t="s">
        <v>2408</v>
      </c>
      <c r="E7679" t="s">
        <v>2409</v>
      </c>
      <c r="F7679">
        <v>1005</v>
      </c>
      <c r="G7679" t="s">
        <v>111</v>
      </c>
      <c r="H7679">
        <v>2731</v>
      </c>
      <c r="I7679" t="s">
        <v>102</v>
      </c>
      <c r="J7679">
        <v>3731</v>
      </c>
      <c r="K7679" t="s">
        <v>2414</v>
      </c>
      <c r="L7679">
        <v>0</v>
      </c>
      <c r="N7679" t="s">
        <v>392</v>
      </c>
      <c r="O7679">
        <v>4</v>
      </c>
      <c r="P7679">
        <v>3467</v>
      </c>
      <c r="Q7679" t="s">
        <v>1116</v>
      </c>
      <c r="R7679" t="s">
        <v>201</v>
      </c>
      <c r="S7679">
        <v>2</v>
      </c>
      <c r="T7679">
        <v>1</v>
      </c>
      <c r="U7679">
        <v>157332</v>
      </c>
      <c r="V7679">
        <v>314664</v>
      </c>
    </row>
    <row r="7680" spans="1:22">
      <c r="A7680" t="s">
        <v>2333</v>
      </c>
      <c r="B7680">
        <v>41</v>
      </c>
      <c r="C7680" t="s">
        <v>1097</v>
      </c>
      <c r="D7680" t="s">
        <v>2408</v>
      </c>
      <c r="E7680" t="s">
        <v>2409</v>
      </c>
      <c r="F7680">
        <v>1005</v>
      </c>
      <c r="G7680" t="s">
        <v>111</v>
      </c>
      <c r="H7680">
        <v>2731</v>
      </c>
      <c r="I7680" t="s">
        <v>102</v>
      </c>
      <c r="J7680">
        <v>3731</v>
      </c>
      <c r="K7680" t="s">
        <v>2414</v>
      </c>
      <c r="L7680">
        <v>0</v>
      </c>
      <c r="N7680" t="s">
        <v>392</v>
      </c>
      <c r="O7680">
        <v>4</v>
      </c>
      <c r="P7680">
        <v>3467</v>
      </c>
      <c r="Q7680" t="s">
        <v>1116</v>
      </c>
      <c r="R7680" t="s">
        <v>201</v>
      </c>
      <c r="S7680">
        <v>1</v>
      </c>
      <c r="T7680">
        <v>1</v>
      </c>
      <c r="U7680">
        <v>130668</v>
      </c>
      <c r="V7680">
        <v>130668</v>
      </c>
    </row>
    <row r="7681" spans="1:22">
      <c r="A7681" t="s">
        <v>2333</v>
      </c>
      <c r="B7681">
        <v>41</v>
      </c>
      <c r="C7681" t="s">
        <v>1097</v>
      </c>
      <c r="D7681" t="s">
        <v>2408</v>
      </c>
      <c r="E7681" t="s">
        <v>2409</v>
      </c>
      <c r="F7681">
        <v>1005</v>
      </c>
      <c r="G7681" t="s">
        <v>111</v>
      </c>
      <c r="H7681">
        <v>2731</v>
      </c>
      <c r="I7681" t="s">
        <v>102</v>
      </c>
      <c r="J7681">
        <v>3731</v>
      </c>
      <c r="K7681" t="s">
        <v>2414</v>
      </c>
      <c r="L7681">
        <v>0</v>
      </c>
      <c r="N7681" t="s">
        <v>372</v>
      </c>
      <c r="O7681">
        <v>4</v>
      </c>
      <c r="P7681">
        <v>3466</v>
      </c>
      <c r="Q7681" t="s">
        <v>1129</v>
      </c>
      <c r="R7681" t="s">
        <v>201</v>
      </c>
      <c r="S7681">
        <v>1</v>
      </c>
      <c r="T7681">
        <v>1</v>
      </c>
      <c r="U7681">
        <v>130668</v>
      </c>
      <c r="V7681">
        <v>130668</v>
      </c>
    </row>
    <row r="7682" spans="1:22">
      <c r="A7682" t="s">
        <v>2333</v>
      </c>
      <c r="B7682">
        <v>41</v>
      </c>
      <c r="C7682" t="s">
        <v>1097</v>
      </c>
      <c r="D7682" t="s">
        <v>2408</v>
      </c>
      <c r="E7682" t="s">
        <v>2409</v>
      </c>
      <c r="F7682">
        <v>1005</v>
      </c>
      <c r="G7682" t="s">
        <v>111</v>
      </c>
      <c r="H7682">
        <v>2731</v>
      </c>
      <c r="I7682" t="s">
        <v>102</v>
      </c>
      <c r="J7682">
        <v>3731</v>
      </c>
      <c r="K7682" t="s">
        <v>2414</v>
      </c>
      <c r="L7682">
        <v>0</v>
      </c>
      <c r="N7682" t="s">
        <v>372</v>
      </c>
      <c r="O7682">
        <v>4</v>
      </c>
      <c r="P7682">
        <v>3466</v>
      </c>
      <c r="Q7682" t="s">
        <v>1129</v>
      </c>
      <c r="R7682" t="s">
        <v>201</v>
      </c>
      <c r="S7682">
        <v>2</v>
      </c>
      <c r="T7682">
        <v>1</v>
      </c>
      <c r="U7682">
        <v>93504</v>
      </c>
      <c r="V7682">
        <v>187008</v>
      </c>
    </row>
    <row r="7683" spans="1:22">
      <c r="A7683" t="s">
        <v>2333</v>
      </c>
      <c r="B7683">
        <v>41</v>
      </c>
      <c r="C7683" t="s">
        <v>1097</v>
      </c>
      <c r="D7683" t="s">
        <v>2408</v>
      </c>
      <c r="E7683" t="s">
        <v>2409</v>
      </c>
      <c r="F7683">
        <v>1005</v>
      </c>
      <c r="G7683" t="s">
        <v>111</v>
      </c>
      <c r="H7683">
        <v>2731</v>
      </c>
      <c r="I7683" t="s">
        <v>102</v>
      </c>
      <c r="J7683">
        <v>3731</v>
      </c>
      <c r="K7683" t="s">
        <v>2414</v>
      </c>
      <c r="L7683">
        <v>0</v>
      </c>
      <c r="N7683" t="s">
        <v>251</v>
      </c>
      <c r="O7683">
        <v>10</v>
      </c>
      <c r="P7683">
        <v>3464</v>
      </c>
      <c r="Q7683" t="s">
        <v>2369</v>
      </c>
      <c r="R7683" t="s">
        <v>201</v>
      </c>
      <c r="S7683">
        <v>1</v>
      </c>
      <c r="T7683">
        <v>1</v>
      </c>
      <c r="U7683">
        <v>89112</v>
      </c>
      <c r="V7683">
        <v>89112</v>
      </c>
    </row>
    <row r="7684" spans="1:22">
      <c r="A7684" t="s">
        <v>2333</v>
      </c>
      <c r="B7684">
        <v>41</v>
      </c>
      <c r="C7684" t="s">
        <v>1097</v>
      </c>
      <c r="D7684" t="s">
        <v>2408</v>
      </c>
      <c r="E7684" t="s">
        <v>2409</v>
      </c>
      <c r="F7684">
        <v>1005</v>
      </c>
      <c r="G7684" t="s">
        <v>111</v>
      </c>
      <c r="H7684">
        <v>2731</v>
      </c>
      <c r="I7684" t="s">
        <v>102</v>
      </c>
      <c r="J7684">
        <v>3731</v>
      </c>
      <c r="K7684" t="s">
        <v>2414</v>
      </c>
      <c r="L7684">
        <v>0</v>
      </c>
      <c r="N7684" t="s">
        <v>274</v>
      </c>
      <c r="O7684">
        <v>20</v>
      </c>
      <c r="P7684">
        <v>3057</v>
      </c>
      <c r="Q7684" t="s">
        <v>1121</v>
      </c>
      <c r="R7684" t="s">
        <v>201</v>
      </c>
      <c r="S7684">
        <v>1</v>
      </c>
      <c r="T7684">
        <v>1</v>
      </c>
      <c r="U7684">
        <v>146808</v>
      </c>
      <c r="V7684">
        <v>146808</v>
      </c>
    </row>
    <row r="7685" spans="1:22">
      <c r="A7685" t="s">
        <v>2333</v>
      </c>
      <c r="B7685">
        <v>41</v>
      </c>
      <c r="C7685" t="s">
        <v>1097</v>
      </c>
      <c r="D7685" t="s">
        <v>2408</v>
      </c>
      <c r="E7685" t="s">
        <v>2409</v>
      </c>
      <c r="F7685">
        <v>1005</v>
      </c>
      <c r="G7685" t="s">
        <v>111</v>
      </c>
      <c r="H7685">
        <v>2731</v>
      </c>
      <c r="I7685" t="s">
        <v>102</v>
      </c>
      <c r="J7685">
        <v>3731</v>
      </c>
      <c r="K7685" t="s">
        <v>2414</v>
      </c>
      <c r="L7685">
        <v>0</v>
      </c>
      <c r="N7685" t="s">
        <v>255</v>
      </c>
      <c r="O7685">
        <v>1</v>
      </c>
      <c r="P7685">
        <v>729</v>
      </c>
      <c r="Q7685" t="s">
        <v>256</v>
      </c>
      <c r="R7685" t="s">
        <v>201</v>
      </c>
      <c r="S7685">
        <v>1</v>
      </c>
      <c r="T7685">
        <v>1</v>
      </c>
      <c r="U7685">
        <v>97956</v>
      </c>
      <c r="V7685">
        <v>97956</v>
      </c>
    </row>
    <row r="7686" spans="1:22">
      <c r="A7686" t="s">
        <v>2333</v>
      </c>
      <c r="B7686">
        <v>41</v>
      </c>
      <c r="C7686" t="s">
        <v>1097</v>
      </c>
      <c r="D7686" t="s">
        <v>2408</v>
      </c>
      <c r="E7686" t="s">
        <v>2409</v>
      </c>
      <c r="F7686">
        <v>1005</v>
      </c>
      <c r="G7686" t="s">
        <v>111</v>
      </c>
      <c r="H7686">
        <v>2731</v>
      </c>
      <c r="I7686" t="s">
        <v>102</v>
      </c>
      <c r="J7686">
        <v>3731</v>
      </c>
      <c r="K7686" t="s">
        <v>2414</v>
      </c>
      <c r="L7686">
        <v>0</v>
      </c>
      <c r="N7686" t="s">
        <v>253</v>
      </c>
      <c r="O7686">
        <v>20</v>
      </c>
      <c r="P7686">
        <v>381</v>
      </c>
      <c r="Q7686" t="s">
        <v>730</v>
      </c>
      <c r="R7686" t="s">
        <v>201</v>
      </c>
      <c r="S7686">
        <v>1</v>
      </c>
      <c r="T7686">
        <v>1</v>
      </c>
      <c r="U7686">
        <v>93384</v>
      </c>
      <c r="V7686">
        <v>93384</v>
      </c>
    </row>
    <row r="7687" spans="1:22">
      <c r="A7687" t="s">
        <v>2333</v>
      </c>
      <c r="B7687">
        <v>41</v>
      </c>
      <c r="C7687" t="s">
        <v>1097</v>
      </c>
      <c r="D7687" t="s">
        <v>2408</v>
      </c>
      <c r="E7687" t="s">
        <v>2409</v>
      </c>
      <c r="F7687">
        <v>1005</v>
      </c>
      <c r="G7687" t="s">
        <v>111</v>
      </c>
      <c r="H7687">
        <v>2731</v>
      </c>
      <c r="I7687" t="s">
        <v>102</v>
      </c>
      <c r="J7687">
        <v>3731</v>
      </c>
      <c r="K7687" t="s">
        <v>2414</v>
      </c>
      <c r="L7687">
        <v>0</v>
      </c>
      <c r="N7687" t="s">
        <v>372</v>
      </c>
      <c r="O7687">
        <v>1</v>
      </c>
      <c r="P7687">
        <v>380</v>
      </c>
      <c r="Q7687" t="s">
        <v>1802</v>
      </c>
      <c r="R7687" t="s">
        <v>201</v>
      </c>
      <c r="S7687">
        <v>1</v>
      </c>
      <c r="T7687">
        <v>1</v>
      </c>
      <c r="U7687">
        <v>85200</v>
      </c>
      <c r="V7687">
        <v>85200</v>
      </c>
    </row>
    <row r="7688" spans="1:22">
      <c r="A7688" t="s">
        <v>2333</v>
      </c>
      <c r="B7688">
        <v>41</v>
      </c>
      <c r="C7688" t="s">
        <v>1097</v>
      </c>
      <c r="D7688" t="s">
        <v>2408</v>
      </c>
      <c r="E7688" t="s">
        <v>2409</v>
      </c>
      <c r="F7688">
        <v>1005</v>
      </c>
      <c r="G7688" t="s">
        <v>111</v>
      </c>
      <c r="H7688">
        <v>2731</v>
      </c>
      <c r="I7688" t="s">
        <v>102</v>
      </c>
      <c r="J7688">
        <v>3731</v>
      </c>
      <c r="K7688" t="s">
        <v>2414</v>
      </c>
      <c r="L7688">
        <v>0</v>
      </c>
      <c r="N7688" t="s">
        <v>249</v>
      </c>
      <c r="O7688">
        <v>10</v>
      </c>
      <c r="P7688">
        <v>311</v>
      </c>
      <c r="Q7688" t="s">
        <v>661</v>
      </c>
      <c r="R7688" t="s">
        <v>201</v>
      </c>
      <c r="S7688">
        <v>1</v>
      </c>
      <c r="T7688">
        <v>1</v>
      </c>
      <c r="U7688">
        <v>102444</v>
      </c>
      <c r="V7688">
        <v>102444</v>
      </c>
    </row>
    <row r="7689" spans="1:22">
      <c r="A7689" t="s">
        <v>2333</v>
      </c>
      <c r="B7689">
        <v>41</v>
      </c>
      <c r="C7689" t="s">
        <v>1097</v>
      </c>
      <c r="D7689" t="s">
        <v>2408</v>
      </c>
      <c r="E7689" t="s">
        <v>2409</v>
      </c>
      <c r="F7689">
        <v>1005</v>
      </c>
      <c r="G7689" t="s">
        <v>111</v>
      </c>
      <c r="H7689">
        <v>2731</v>
      </c>
      <c r="I7689" t="s">
        <v>102</v>
      </c>
      <c r="J7689">
        <v>3731</v>
      </c>
      <c r="K7689" t="s">
        <v>2414</v>
      </c>
      <c r="L7689">
        <v>0</v>
      </c>
      <c r="N7689" t="s">
        <v>341</v>
      </c>
      <c r="O7689">
        <v>1</v>
      </c>
      <c r="P7689">
        <v>308</v>
      </c>
      <c r="Q7689" t="s">
        <v>355</v>
      </c>
      <c r="R7689" t="s">
        <v>201</v>
      </c>
      <c r="S7689">
        <v>2</v>
      </c>
      <c r="T7689">
        <v>1</v>
      </c>
      <c r="U7689">
        <v>119100</v>
      </c>
      <c r="V7689">
        <v>238200</v>
      </c>
    </row>
    <row r="7690" spans="1:22">
      <c r="A7690" t="s">
        <v>2333</v>
      </c>
      <c r="B7690">
        <v>41</v>
      </c>
      <c r="C7690" t="s">
        <v>1097</v>
      </c>
      <c r="D7690" t="s">
        <v>2408</v>
      </c>
      <c r="E7690" t="s">
        <v>2409</v>
      </c>
      <c r="F7690">
        <v>1005</v>
      </c>
      <c r="G7690" t="s">
        <v>111</v>
      </c>
      <c r="H7690">
        <v>2731</v>
      </c>
      <c r="I7690" t="s">
        <v>102</v>
      </c>
      <c r="J7690">
        <v>3731</v>
      </c>
      <c r="K7690" t="s">
        <v>2414</v>
      </c>
      <c r="L7690">
        <v>0</v>
      </c>
      <c r="N7690" t="s">
        <v>341</v>
      </c>
      <c r="O7690">
        <v>1</v>
      </c>
      <c r="P7690">
        <v>308</v>
      </c>
      <c r="Q7690" t="s">
        <v>355</v>
      </c>
      <c r="R7690" t="s">
        <v>201</v>
      </c>
      <c r="S7690">
        <v>1</v>
      </c>
      <c r="T7690">
        <v>1</v>
      </c>
      <c r="U7690">
        <v>70752</v>
      </c>
      <c r="V7690">
        <v>70752</v>
      </c>
    </row>
    <row r="7691" spans="1:22">
      <c r="A7691" t="s">
        <v>2333</v>
      </c>
      <c r="B7691">
        <v>41</v>
      </c>
      <c r="C7691" t="s">
        <v>1097</v>
      </c>
      <c r="D7691" t="s">
        <v>2408</v>
      </c>
      <c r="E7691" t="s">
        <v>2409</v>
      </c>
      <c r="F7691">
        <v>1005</v>
      </c>
      <c r="G7691" t="s">
        <v>111</v>
      </c>
      <c r="H7691">
        <v>2731</v>
      </c>
      <c r="I7691" t="s">
        <v>102</v>
      </c>
      <c r="J7691">
        <v>3731</v>
      </c>
      <c r="K7691" t="s">
        <v>2414</v>
      </c>
      <c r="L7691">
        <v>0</v>
      </c>
      <c r="N7691" t="s">
        <v>199</v>
      </c>
      <c r="O7691">
        <v>0</v>
      </c>
      <c r="P7691">
        <v>44</v>
      </c>
      <c r="Q7691" t="s">
        <v>2337</v>
      </c>
      <c r="R7691" t="s">
        <v>201</v>
      </c>
      <c r="S7691">
        <v>0</v>
      </c>
      <c r="T7691">
        <v>0</v>
      </c>
      <c r="U7691">
        <v>943971</v>
      </c>
      <c r="V7691">
        <v>943971</v>
      </c>
    </row>
    <row r="7692" spans="1:22">
      <c r="A7692" t="s">
        <v>2333</v>
      </c>
      <c r="B7692">
        <v>41</v>
      </c>
      <c r="C7692" t="s">
        <v>1097</v>
      </c>
      <c r="D7692" t="s">
        <v>2408</v>
      </c>
      <c r="E7692" t="s">
        <v>2409</v>
      </c>
      <c r="F7692">
        <v>1005</v>
      </c>
      <c r="G7692" t="s">
        <v>111</v>
      </c>
      <c r="H7692">
        <v>2731</v>
      </c>
      <c r="I7692" t="s">
        <v>102</v>
      </c>
      <c r="J7692">
        <v>3731</v>
      </c>
      <c r="K7692" t="s">
        <v>2414</v>
      </c>
      <c r="L7692">
        <v>0</v>
      </c>
      <c r="N7692" t="s">
        <v>199</v>
      </c>
      <c r="O7692">
        <v>0</v>
      </c>
      <c r="P7692">
        <v>15</v>
      </c>
      <c r="Q7692" t="s">
        <v>264</v>
      </c>
      <c r="R7692" t="s">
        <v>201</v>
      </c>
      <c r="S7692">
        <v>0</v>
      </c>
      <c r="T7692">
        <v>0</v>
      </c>
      <c r="U7692">
        <v>13858</v>
      </c>
      <c r="V7692">
        <v>13858</v>
      </c>
    </row>
    <row r="7693" spans="1:22">
      <c r="A7693" t="s">
        <v>2333</v>
      </c>
      <c r="B7693">
        <v>41</v>
      </c>
      <c r="C7693" t="s">
        <v>1097</v>
      </c>
      <c r="D7693" t="s">
        <v>2408</v>
      </c>
      <c r="E7693" t="s">
        <v>2409</v>
      </c>
      <c r="F7693">
        <v>1005</v>
      </c>
      <c r="G7693" t="s">
        <v>111</v>
      </c>
      <c r="H7693">
        <v>2808</v>
      </c>
      <c r="I7693" t="s">
        <v>94</v>
      </c>
      <c r="J7693">
        <v>3910</v>
      </c>
      <c r="K7693" t="s">
        <v>2415</v>
      </c>
      <c r="L7693">
        <v>0</v>
      </c>
      <c r="N7693" t="s">
        <v>274</v>
      </c>
      <c r="O7693">
        <v>20</v>
      </c>
      <c r="P7693">
        <v>3437</v>
      </c>
      <c r="Q7693" t="s">
        <v>2416</v>
      </c>
      <c r="R7693" t="s">
        <v>201</v>
      </c>
      <c r="S7693">
        <v>1</v>
      </c>
      <c r="T7693">
        <v>1</v>
      </c>
      <c r="U7693">
        <v>137532</v>
      </c>
      <c r="V7693">
        <v>137532</v>
      </c>
    </row>
    <row r="7694" spans="1:22">
      <c r="A7694" t="s">
        <v>2333</v>
      </c>
      <c r="B7694">
        <v>41</v>
      </c>
      <c r="C7694" t="s">
        <v>1097</v>
      </c>
      <c r="D7694" t="s">
        <v>2408</v>
      </c>
      <c r="E7694" t="s">
        <v>2409</v>
      </c>
      <c r="F7694">
        <v>1005</v>
      </c>
      <c r="G7694" t="s">
        <v>111</v>
      </c>
      <c r="H7694">
        <v>2808</v>
      </c>
      <c r="I7694" t="s">
        <v>94</v>
      </c>
      <c r="J7694">
        <v>3910</v>
      </c>
      <c r="K7694" t="s">
        <v>2415</v>
      </c>
      <c r="L7694">
        <v>0</v>
      </c>
      <c r="N7694" t="s">
        <v>633</v>
      </c>
      <c r="O7694">
        <v>3</v>
      </c>
      <c r="P7694">
        <v>3422</v>
      </c>
      <c r="Q7694" t="s">
        <v>2417</v>
      </c>
      <c r="R7694" t="s">
        <v>201</v>
      </c>
      <c r="S7694">
        <v>1</v>
      </c>
      <c r="T7694">
        <v>1</v>
      </c>
      <c r="U7694">
        <v>98460</v>
      </c>
      <c r="V7694">
        <v>98460</v>
      </c>
    </row>
    <row r="7695" spans="1:22">
      <c r="A7695" t="s">
        <v>2333</v>
      </c>
      <c r="B7695">
        <v>41</v>
      </c>
      <c r="C7695" t="s">
        <v>1097</v>
      </c>
      <c r="D7695" t="s">
        <v>2408</v>
      </c>
      <c r="E7695" t="s">
        <v>2409</v>
      </c>
      <c r="F7695">
        <v>1005</v>
      </c>
      <c r="G7695" t="s">
        <v>111</v>
      </c>
      <c r="H7695">
        <v>2808</v>
      </c>
      <c r="I7695" t="s">
        <v>94</v>
      </c>
      <c r="J7695">
        <v>3910</v>
      </c>
      <c r="K7695" t="s">
        <v>2415</v>
      </c>
      <c r="L7695">
        <v>0</v>
      </c>
      <c r="N7695" t="s">
        <v>633</v>
      </c>
      <c r="O7695">
        <v>3</v>
      </c>
      <c r="P7695">
        <v>3422</v>
      </c>
      <c r="Q7695" t="s">
        <v>2417</v>
      </c>
      <c r="R7695" t="s">
        <v>201</v>
      </c>
      <c r="S7695">
        <v>2</v>
      </c>
      <c r="T7695">
        <v>1</v>
      </c>
      <c r="U7695">
        <v>72684</v>
      </c>
      <c r="V7695">
        <v>145368</v>
      </c>
    </row>
    <row r="7696" spans="1:22">
      <c r="A7696" t="s">
        <v>2333</v>
      </c>
      <c r="B7696">
        <v>41</v>
      </c>
      <c r="C7696" t="s">
        <v>1097</v>
      </c>
      <c r="D7696" t="s">
        <v>2408</v>
      </c>
      <c r="E7696" t="s">
        <v>2409</v>
      </c>
      <c r="F7696">
        <v>1005</v>
      </c>
      <c r="G7696" t="s">
        <v>111</v>
      </c>
      <c r="H7696">
        <v>2808</v>
      </c>
      <c r="I7696" t="s">
        <v>94</v>
      </c>
      <c r="J7696">
        <v>3910</v>
      </c>
      <c r="K7696" t="s">
        <v>2415</v>
      </c>
      <c r="L7696">
        <v>0</v>
      </c>
      <c r="N7696" t="s">
        <v>633</v>
      </c>
      <c r="O7696">
        <v>3</v>
      </c>
      <c r="P7696">
        <v>3422</v>
      </c>
      <c r="Q7696" t="s">
        <v>2417</v>
      </c>
      <c r="R7696" t="s">
        <v>201</v>
      </c>
      <c r="S7696">
        <v>11</v>
      </c>
      <c r="T7696">
        <v>1</v>
      </c>
      <c r="U7696">
        <v>67284</v>
      </c>
      <c r="V7696">
        <v>740124</v>
      </c>
    </row>
    <row r="7697" spans="1:22">
      <c r="A7697" t="s">
        <v>2333</v>
      </c>
      <c r="B7697">
        <v>41</v>
      </c>
      <c r="C7697" t="s">
        <v>1097</v>
      </c>
      <c r="D7697" t="s">
        <v>2408</v>
      </c>
      <c r="E7697" t="s">
        <v>2409</v>
      </c>
      <c r="F7697">
        <v>1005</v>
      </c>
      <c r="G7697" t="s">
        <v>111</v>
      </c>
      <c r="H7697">
        <v>2808</v>
      </c>
      <c r="I7697" t="s">
        <v>94</v>
      </c>
      <c r="J7697">
        <v>3910</v>
      </c>
      <c r="K7697" t="s">
        <v>2415</v>
      </c>
      <c r="L7697">
        <v>0</v>
      </c>
      <c r="N7697" t="s">
        <v>702</v>
      </c>
      <c r="O7697">
        <v>3</v>
      </c>
      <c r="P7697">
        <v>3418</v>
      </c>
      <c r="Q7697" t="s">
        <v>2418</v>
      </c>
      <c r="R7697" t="s">
        <v>201</v>
      </c>
      <c r="S7697">
        <v>1</v>
      </c>
      <c r="T7697">
        <v>1</v>
      </c>
      <c r="U7697">
        <v>80196</v>
      </c>
      <c r="V7697">
        <v>80196</v>
      </c>
    </row>
    <row r="7698" spans="1:22">
      <c r="A7698" t="s">
        <v>2333</v>
      </c>
      <c r="B7698">
        <v>41</v>
      </c>
      <c r="C7698" t="s">
        <v>1097</v>
      </c>
      <c r="D7698" t="s">
        <v>2408</v>
      </c>
      <c r="E7698" t="s">
        <v>2409</v>
      </c>
      <c r="F7698">
        <v>1005</v>
      </c>
      <c r="G7698" t="s">
        <v>111</v>
      </c>
      <c r="H7698">
        <v>2808</v>
      </c>
      <c r="I7698" t="s">
        <v>94</v>
      </c>
      <c r="J7698">
        <v>3910</v>
      </c>
      <c r="K7698" t="s">
        <v>2415</v>
      </c>
      <c r="L7698">
        <v>0</v>
      </c>
      <c r="N7698" t="s">
        <v>702</v>
      </c>
      <c r="O7698">
        <v>3</v>
      </c>
      <c r="P7698">
        <v>3418</v>
      </c>
      <c r="Q7698" t="s">
        <v>2418</v>
      </c>
      <c r="R7698" t="s">
        <v>201</v>
      </c>
      <c r="S7698">
        <v>1</v>
      </c>
      <c r="T7698">
        <v>1</v>
      </c>
      <c r="U7698">
        <v>76464</v>
      </c>
      <c r="V7698">
        <v>76464</v>
      </c>
    </row>
    <row r="7699" spans="1:22">
      <c r="A7699" t="s">
        <v>2333</v>
      </c>
      <c r="B7699">
        <v>41</v>
      </c>
      <c r="C7699" t="s">
        <v>1097</v>
      </c>
      <c r="D7699" t="s">
        <v>2408</v>
      </c>
      <c r="E7699" t="s">
        <v>2409</v>
      </c>
      <c r="F7699">
        <v>1005</v>
      </c>
      <c r="G7699" t="s">
        <v>111</v>
      </c>
      <c r="H7699">
        <v>2808</v>
      </c>
      <c r="I7699" t="s">
        <v>94</v>
      </c>
      <c r="J7699">
        <v>3910</v>
      </c>
      <c r="K7699" t="s">
        <v>2415</v>
      </c>
      <c r="L7699">
        <v>0</v>
      </c>
      <c r="N7699" t="s">
        <v>702</v>
      </c>
      <c r="O7699">
        <v>3</v>
      </c>
      <c r="P7699">
        <v>3418</v>
      </c>
      <c r="Q7699" t="s">
        <v>2418</v>
      </c>
      <c r="R7699" t="s">
        <v>201</v>
      </c>
      <c r="S7699">
        <v>5</v>
      </c>
      <c r="T7699">
        <v>1</v>
      </c>
      <c r="U7699">
        <v>74160</v>
      </c>
      <c r="V7699">
        <v>370800</v>
      </c>
    </row>
    <row r="7700" spans="1:22">
      <c r="A7700" t="s">
        <v>2333</v>
      </c>
      <c r="B7700">
        <v>41</v>
      </c>
      <c r="C7700" t="s">
        <v>1097</v>
      </c>
      <c r="D7700" t="s">
        <v>2408</v>
      </c>
      <c r="E7700" t="s">
        <v>2409</v>
      </c>
      <c r="F7700">
        <v>1005</v>
      </c>
      <c r="G7700" t="s">
        <v>111</v>
      </c>
      <c r="H7700">
        <v>2808</v>
      </c>
      <c r="I7700" t="s">
        <v>94</v>
      </c>
      <c r="J7700">
        <v>3910</v>
      </c>
      <c r="K7700" t="s">
        <v>2415</v>
      </c>
      <c r="L7700">
        <v>0</v>
      </c>
      <c r="N7700" t="s">
        <v>356</v>
      </c>
      <c r="O7700">
        <v>1</v>
      </c>
      <c r="P7700">
        <v>3413</v>
      </c>
      <c r="Q7700" t="s">
        <v>2419</v>
      </c>
      <c r="R7700" t="s">
        <v>201</v>
      </c>
      <c r="S7700">
        <v>1</v>
      </c>
      <c r="T7700">
        <v>1</v>
      </c>
      <c r="U7700">
        <v>102516</v>
      </c>
      <c r="V7700">
        <v>102516</v>
      </c>
    </row>
    <row r="7701" spans="1:22">
      <c r="A7701" t="s">
        <v>2333</v>
      </c>
      <c r="B7701">
        <v>41</v>
      </c>
      <c r="C7701" t="s">
        <v>1097</v>
      </c>
      <c r="D7701" t="s">
        <v>2408</v>
      </c>
      <c r="E7701" t="s">
        <v>2409</v>
      </c>
      <c r="F7701">
        <v>1005</v>
      </c>
      <c r="G7701" t="s">
        <v>111</v>
      </c>
      <c r="H7701">
        <v>2808</v>
      </c>
      <c r="I7701" t="s">
        <v>94</v>
      </c>
      <c r="J7701">
        <v>3910</v>
      </c>
      <c r="K7701" t="s">
        <v>2415</v>
      </c>
      <c r="L7701">
        <v>0</v>
      </c>
      <c r="N7701" t="s">
        <v>356</v>
      </c>
      <c r="O7701">
        <v>1</v>
      </c>
      <c r="P7701">
        <v>3413</v>
      </c>
      <c r="Q7701" t="s">
        <v>2419</v>
      </c>
      <c r="R7701" t="s">
        <v>201</v>
      </c>
      <c r="S7701">
        <v>1</v>
      </c>
      <c r="T7701">
        <v>1</v>
      </c>
      <c r="U7701">
        <v>97488</v>
      </c>
      <c r="V7701">
        <v>97488</v>
      </c>
    </row>
    <row r="7702" spans="1:22">
      <c r="A7702" t="s">
        <v>2333</v>
      </c>
      <c r="B7702">
        <v>41</v>
      </c>
      <c r="C7702" t="s">
        <v>1097</v>
      </c>
      <c r="D7702" t="s">
        <v>2408</v>
      </c>
      <c r="E7702" t="s">
        <v>2409</v>
      </c>
      <c r="F7702">
        <v>1005</v>
      </c>
      <c r="G7702" t="s">
        <v>111</v>
      </c>
      <c r="H7702">
        <v>2808</v>
      </c>
      <c r="I7702" t="s">
        <v>94</v>
      </c>
      <c r="J7702">
        <v>3910</v>
      </c>
      <c r="K7702" t="s">
        <v>2415</v>
      </c>
      <c r="L7702">
        <v>0</v>
      </c>
      <c r="N7702" t="s">
        <v>809</v>
      </c>
      <c r="O7702">
        <v>1</v>
      </c>
      <c r="P7702">
        <v>460</v>
      </c>
      <c r="Q7702" t="s">
        <v>810</v>
      </c>
      <c r="R7702" t="s">
        <v>201</v>
      </c>
      <c r="S7702">
        <v>2</v>
      </c>
      <c r="T7702">
        <v>1</v>
      </c>
      <c r="U7702">
        <v>78432</v>
      </c>
      <c r="V7702">
        <v>156864</v>
      </c>
    </row>
    <row r="7703" spans="1:22">
      <c r="A7703" t="s">
        <v>2333</v>
      </c>
      <c r="B7703">
        <v>41</v>
      </c>
      <c r="C7703" t="s">
        <v>1097</v>
      </c>
      <c r="D7703" t="s">
        <v>2408</v>
      </c>
      <c r="E7703" t="s">
        <v>2409</v>
      </c>
      <c r="F7703">
        <v>1005</v>
      </c>
      <c r="G7703" t="s">
        <v>111</v>
      </c>
      <c r="H7703">
        <v>2808</v>
      </c>
      <c r="I7703" t="s">
        <v>94</v>
      </c>
      <c r="J7703">
        <v>3910</v>
      </c>
      <c r="K7703" t="s">
        <v>2415</v>
      </c>
      <c r="L7703">
        <v>0</v>
      </c>
      <c r="N7703" t="s">
        <v>809</v>
      </c>
      <c r="O7703">
        <v>1</v>
      </c>
      <c r="P7703">
        <v>460</v>
      </c>
      <c r="Q7703" t="s">
        <v>810</v>
      </c>
      <c r="R7703" t="s">
        <v>201</v>
      </c>
      <c r="S7703">
        <v>4</v>
      </c>
      <c r="T7703">
        <v>1</v>
      </c>
      <c r="U7703">
        <v>48864</v>
      </c>
      <c r="V7703">
        <v>195456</v>
      </c>
    </row>
    <row r="7704" spans="1:22">
      <c r="A7704" t="s">
        <v>2333</v>
      </c>
      <c r="B7704">
        <v>41</v>
      </c>
      <c r="C7704" t="s">
        <v>1097</v>
      </c>
      <c r="D7704" t="s">
        <v>2408</v>
      </c>
      <c r="E7704" t="s">
        <v>2409</v>
      </c>
      <c r="F7704">
        <v>1005</v>
      </c>
      <c r="G7704" t="s">
        <v>111</v>
      </c>
      <c r="H7704">
        <v>2808</v>
      </c>
      <c r="I7704" t="s">
        <v>94</v>
      </c>
      <c r="J7704">
        <v>3910</v>
      </c>
      <c r="K7704" t="s">
        <v>2415</v>
      </c>
      <c r="L7704">
        <v>0</v>
      </c>
      <c r="N7704" t="s">
        <v>809</v>
      </c>
      <c r="O7704">
        <v>1</v>
      </c>
      <c r="P7704">
        <v>460</v>
      </c>
      <c r="Q7704" t="s">
        <v>810</v>
      </c>
      <c r="R7704" t="s">
        <v>201</v>
      </c>
      <c r="S7704">
        <v>2</v>
      </c>
      <c r="T7704">
        <v>1</v>
      </c>
      <c r="U7704">
        <v>47364</v>
      </c>
      <c r="V7704">
        <v>94728</v>
      </c>
    </row>
    <row r="7705" spans="1:22">
      <c r="A7705" t="s">
        <v>2333</v>
      </c>
      <c r="B7705">
        <v>41</v>
      </c>
      <c r="C7705" t="s">
        <v>1097</v>
      </c>
      <c r="D7705" t="s">
        <v>2408</v>
      </c>
      <c r="E7705" t="s">
        <v>2409</v>
      </c>
      <c r="F7705">
        <v>1005</v>
      </c>
      <c r="G7705" t="s">
        <v>111</v>
      </c>
      <c r="H7705">
        <v>2808</v>
      </c>
      <c r="I7705" t="s">
        <v>94</v>
      </c>
      <c r="J7705">
        <v>3910</v>
      </c>
      <c r="K7705" t="s">
        <v>2415</v>
      </c>
      <c r="L7705">
        <v>0</v>
      </c>
      <c r="N7705" t="s">
        <v>199</v>
      </c>
      <c r="O7705">
        <v>0</v>
      </c>
      <c r="P7705">
        <v>44</v>
      </c>
      <c r="Q7705" t="s">
        <v>2337</v>
      </c>
      <c r="R7705" t="s">
        <v>201</v>
      </c>
      <c r="S7705">
        <v>0</v>
      </c>
      <c r="T7705">
        <v>0</v>
      </c>
      <c r="U7705">
        <v>1284839</v>
      </c>
      <c r="V7705">
        <v>1284839</v>
      </c>
    </row>
    <row r="7706" spans="1:22">
      <c r="A7706" t="s">
        <v>2333</v>
      </c>
      <c r="B7706">
        <v>41</v>
      </c>
      <c r="C7706" t="s">
        <v>1097</v>
      </c>
      <c r="D7706" t="s">
        <v>2408</v>
      </c>
      <c r="E7706" t="s">
        <v>2409</v>
      </c>
      <c r="F7706">
        <v>1005</v>
      </c>
      <c r="G7706" t="s">
        <v>111</v>
      </c>
      <c r="H7706">
        <v>2808</v>
      </c>
      <c r="I7706" t="s">
        <v>94</v>
      </c>
      <c r="J7706">
        <v>3910</v>
      </c>
      <c r="K7706" t="s">
        <v>2415</v>
      </c>
      <c r="L7706">
        <v>0</v>
      </c>
      <c r="N7706" t="s">
        <v>199</v>
      </c>
      <c r="O7706">
        <v>0</v>
      </c>
      <c r="P7706">
        <v>15</v>
      </c>
      <c r="Q7706" t="s">
        <v>264</v>
      </c>
      <c r="R7706" t="s">
        <v>201</v>
      </c>
      <c r="S7706">
        <v>0</v>
      </c>
      <c r="T7706">
        <v>0</v>
      </c>
      <c r="U7706">
        <v>15086</v>
      </c>
      <c r="V7706">
        <v>15086</v>
      </c>
    </row>
    <row r="7707" spans="1:22">
      <c r="A7707" t="s">
        <v>2333</v>
      </c>
      <c r="B7707">
        <v>41</v>
      </c>
      <c r="C7707" t="s">
        <v>1097</v>
      </c>
      <c r="D7707" t="s">
        <v>2408</v>
      </c>
      <c r="E7707" t="s">
        <v>2409</v>
      </c>
      <c r="F7707">
        <v>1005</v>
      </c>
      <c r="G7707" t="s">
        <v>111</v>
      </c>
      <c r="H7707" t="s">
        <v>2420</v>
      </c>
      <c r="I7707" t="s">
        <v>162</v>
      </c>
      <c r="J7707" t="s">
        <v>2421</v>
      </c>
      <c r="K7707" t="s">
        <v>2422</v>
      </c>
      <c r="L7707">
        <v>0</v>
      </c>
      <c r="N7707" t="s">
        <v>372</v>
      </c>
      <c r="O7707">
        <v>4</v>
      </c>
      <c r="P7707">
        <v>3466</v>
      </c>
      <c r="Q7707" t="s">
        <v>1129</v>
      </c>
      <c r="R7707" t="s">
        <v>201</v>
      </c>
      <c r="S7707">
        <v>1</v>
      </c>
      <c r="T7707">
        <v>1</v>
      </c>
      <c r="U7707">
        <v>119100</v>
      </c>
      <c r="V7707">
        <v>119100</v>
      </c>
    </row>
    <row r="7708" spans="1:22">
      <c r="A7708" t="s">
        <v>2333</v>
      </c>
      <c r="B7708">
        <v>41</v>
      </c>
      <c r="C7708" t="s">
        <v>1097</v>
      </c>
      <c r="D7708" t="s">
        <v>2408</v>
      </c>
      <c r="E7708" t="s">
        <v>2409</v>
      </c>
      <c r="F7708">
        <v>1005</v>
      </c>
      <c r="G7708" t="s">
        <v>111</v>
      </c>
      <c r="H7708" t="s">
        <v>2420</v>
      </c>
      <c r="I7708" t="s">
        <v>162</v>
      </c>
      <c r="J7708" t="s">
        <v>2421</v>
      </c>
      <c r="K7708" t="s">
        <v>2422</v>
      </c>
      <c r="L7708">
        <v>0</v>
      </c>
      <c r="N7708" t="s">
        <v>199</v>
      </c>
      <c r="O7708">
        <v>0</v>
      </c>
      <c r="P7708">
        <v>44</v>
      </c>
      <c r="Q7708" t="s">
        <v>2337</v>
      </c>
      <c r="R7708" t="s">
        <v>201</v>
      </c>
      <c r="S7708">
        <v>0</v>
      </c>
      <c r="T7708">
        <v>0</v>
      </c>
      <c r="U7708">
        <v>66648</v>
      </c>
      <c r="V7708">
        <v>66648</v>
      </c>
    </row>
    <row r="7709" spans="1:22">
      <c r="A7709" t="s">
        <v>2333</v>
      </c>
      <c r="B7709">
        <v>41</v>
      </c>
      <c r="C7709" t="s">
        <v>1097</v>
      </c>
      <c r="D7709" t="s">
        <v>2408</v>
      </c>
      <c r="E7709" t="s">
        <v>2409</v>
      </c>
      <c r="F7709">
        <v>1005</v>
      </c>
      <c r="G7709" t="s">
        <v>111</v>
      </c>
      <c r="H7709" t="s">
        <v>2420</v>
      </c>
      <c r="I7709" t="s">
        <v>162</v>
      </c>
      <c r="J7709" t="s">
        <v>2421</v>
      </c>
      <c r="K7709" t="s">
        <v>2422</v>
      </c>
      <c r="L7709">
        <v>0</v>
      </c>
      <c r="N7709" t="s">
        <v>199</v>
      </c>
      <c r="O7709">
        <v>0</v>
      </c>
      <c r="P7709">
        <v>15</v>
      </c>
      <c r="Q7709" t="s">
        <v>264</v>
      </c>
      <c r="R7709" t="s">
        <v>201</v>
      </c>
      <c r="S7709">
        <v>0</v>
      </c>
      <c r="T7709">
        <v>0</v>
      </c>
      <c r="U7709">
        <v>1860</v>
      </c>
      <c r="V7709">
        <v>1860</v>
      </c>
    </row>
    <row r="7710" spans="1:22">
      <c r="A7710" t="s">
        <v>2333</v>
      </c>
      <c r="B7710">
        <v>41</v>
      </c>
      <c r="C7710" t="s">
        <v>1097</v>
      </c>
      <c r="D7710" t="s">
        <v>2408</v>
      </c>
      <c r="E7710" t="s">
        <v>2409</v>
      </c>
      <c r="F7710">
        <v>1005</v>
      </c>
      <c r="G7710" t="s">
        <v>111</v>
      </c>
      <c r="H7710" t="s">
        <v>2423</v>
      </c>
      <c r="I7710" t="s">
        <v>73</v>
      </c>
      <c r="J7710" t="s">
        <v>2424</v>
      </c>
      <c r="K7710" t="s">
        <v>2425</v>
      </c>
      <c r="L7710">
        <v>0</v>
      </c>
      <c r="N7710" t="s">
        <v>1124</v>
      </c>
      <c r="O7710">
        <v>37</v>
      </c>
      <c r="P7710">
        <v>3752</v>
      </c>
      <c r="Q7710" t="s">
        <v>1125</v>
      </c>
      <c r="R7710" t="s">
        <v>201</v>
      </c>
      <c r="S7710">
        <v>2</v>
      </c>
      <c r="T7710">
        <v>1</v>
      </c>
      <c r="U7710">
        <v>137376</v>
      </c>
      <c r="V7710">
        <v>274752</v>
      </c>
    </row>
    <row r="7711" spans="1:22">
      <c r="A7711" t="s">
        <v>2333</v>
      </c>
      <c r="B7711">
        <v>41</v>
      </c>
      <c r="C7711" t="s">
        <v>1097</v>
      </c>
      <c r="D7711" t="s">
        <v>2408</v>
      </c>
      <c r="E7711" t="s">
        <v>2409</v>
      </c>
      <c r="F7711">
        <v>1005</v>
      </c>
      <c r="G7711" t="s">
        <v>111</v>
      </c>
      <c r="H7711" t="s">
        <v>2423</v>
      </c>
      <c r="I7711" t="s">
        <v>73</v>
      </c>
      <c r="J7711" t="s">
        <v>2424</v>
      </c>
      <c r="K7711" t="s">
        <v>2425</v>
      </c>
      <c r="L7711">
        <v>0</v>
      </c>
      <c r="N7711" t="s">
        <v>1154</v>
      </c>
      <c r="O7711">
        <v>56</v>
      </c>
      <c r="P7711">
        <v>3701</v>
      </c>
      <c r="Q7711" t="s">
        <v>1155</v>
      </c>
      <c r="R7711" t="s">
        <v>201</v>
      </c>
      <c r="S7711">
        <v>1</v>
      </c>
      <c r="T7711">
        <v>1</v>
      </c>
      <c r="U7711">
        <v>147672</v>
      </c>
      <c r="V7711">
        <v>147672</v>
      </c>
    </row>
    <row r="7712" spans="1:22">
      <c r="A7712" t="s">
        <v>2333</v>
      </c>
      <c r="B7712">
        <v>41</v>
      </c>
      <c r="C7712" t="s">
        <v>1097</v>
      </c>
      <c r="D7712" t="s">
        <v>2408</v>
      </c>
      <c r="E7712" t="s">
        <v>2409</v>
      </c>
      <c r="F7712">
        <v>1005</v>
      </c>
      <c r="G7712" t="s">
        <v>111</v>
      </c>
      <c r="H7712" t="s">
        <v>2423</v>
      </c>
      <c r="I7712" t="s">
        <v>73</v>
      </c>
      <c r="J7712" t="s">
        <v>2424</v>
      </c>
      <c r="K7712" t="s">
        <v>2425</v>
      </c>
      <c r="L7712">
        <v>0</v>
      </c>
      <c r="N7712" t="s">
        <v>392</v>
      </c>
      <c r="O7712">
        <v>4</v>
      </c>
      <c r="P7712">
        <v>3467</v>
      </c>
      <c r="Q7712" t="s">
        <v>1116</v>
      </c>
      <c r="R7712" t="s">
        <v>201</v>
      </c>
      <c r="S7712">
        <v>1</v>
      </c>
      <c r="T7712">
        <v>1</v>
      </c>
      <c r="U7712">
        <v>143400</v>
      </c>
      <c r="V7712">
        <v>143400</v>
      </c>
    </row>
    <row r="7713" spans="1:22">
      <c r="A7713" t="s">
        <v>2333</v>
      </c>
      <c r="B7713">
        <v>41</v>
      </c>
      <c r="C7713" t="s">
        <v>1097</v>
      </c>
      <c r="D7713" t="s">
        <v>2408</v>
      </c>
      <c r="E7713" t="s">
        <v>2409</v>
      </c>
      <c r="F7713">
        <v>1005</v>
      </c>
      <c r="G7713" t="s">
        <v>111</v>
      </c>
      <c r="H7713" t="s">
        <v>2423</v>
      </c>
      <c r="I7713" t="s">
        <v>73</v>
      </c>
      <c r="J7713" t="s">
        <v>2424</v>
      </c>
      <c r="K7713" t="s">
        <v>2425</v>
      </c>
      <c r="L7713">
        <v>0</v>
      </c>
      <c r="N7713" t="s">
        <v>392</v>
      </c>
      <c r="O7713">
        <v>4</v>
      </c>
      <c r="P7713">
        <v>3467</v>
      </c>
      <c r="Q7713" t="s">
        <v>1116</v>
      </c>
      <c r="R7713" t="s">
        <v>201</v>
      </c>
      <c r="S7713">
        <v>1</v>
      </c>
      <c r="T7713">
        <v>1</v>
      </c>
      <c r="U7713">
        <v>136908</v>
      </c>
      <c r="V7713">
        <v>136908</v>
      </c>
    </row>
    <row r="7714" spans="1:22">
      <c r="A7714" t="s">
        <v>2333</v>
      </c>
      <c r="B7714">
        <v>41</v>
      </c>
      <c r="C7714" t="s">
        <v>1097</v>
      </c>
      <c r="D7714" t="s">
        <v>2408</v>
      </c>
      <c r="E7714" t="s">
        <v>2409</v>
      </c>
      <c r="F7714">
        <v>1005</v>
      </c>
      <c r="G7714" t="s">
        <v>111</v>
      </c>
      <c r="H7714" t="s">
        <v>2423</v>
      </c>
      <c r="I7714" t="s">
        <v>73</v>
      </c>
      <c r="J7714" t="s">
        <v>2424</v>
      </c>
      <c r="K7714" t="s">
        <v>2425</v>
      </c>
      <c r="L7714">
        <v>0</v>
      </c>
      <c r="N7714" t="s">
        <v>372</v>
      </c>
      <c r="O7714">
        <v>4</v>
      </c>
      <c r="P7714">
        <v>3466</v>
      </c>
      <c r="Q7714" t="s">
        <v>1129</v>
      </c>
      <c r="R7714" t="s">
        <v>201</v>
      </c>
      <c r="S7714">
        <v>1</v>
      </c>
      <c r="T7714">
        <v>1</v>
      </c>
      <c r="U7714">
        <v>130668</v>
      </c>
      <c r="V7714">
        <v>130668</v>
      </c>
    </row>
    <row r="7715" spans="1:22">
      <c r="A7715" t="s">
        <v>2333</v>
      </c>
      <c r="B7715">
        <v>41</v>
      </c>
      <c r="C7715" t="s">
        <v>1097</v>
      </c>
      <c r="D7715" t="s">
        <v>2408</v>
      </c>
      <c r="E7715" t="s">
        <v>2409</v>
      </c>
      <c r="F7715">
        <v>1005</v>
      </c>
      <c r="G7715" t="s">
        <v>111</v>
      </c>
      <c r="H7715" t="s">
        <v>2423</v>
      </c>
      <c r="I7715" t="s">
        <v>73</v>
      </c>
      <c r="J7715" t="s">
        <v>2424</v>
      </c>
      <c r="K7715" t="s">
        <v>2425</v>
      </c>
      <c r="L7715">
        <v>0</v>
      </c>
      <c r="N7715" t="s">
        <v>372</v>
      </c>
      <c r="O7715">
        <v>4</v>
      </c>
      <c r="P7715">
        <v>3466</v>
      </c>
      <c r="Q7715" t="s">
        <v>1129</v>
      </c>
      <c r="R7715" t="s">
        <v>201</v>
      </c>
      <c r="S7715">
        <v>1</v>
      </c>
      <c r="T7715">
        <v>1</v>
      </c>
      <c r="U7715">
        <v>108576</v>
      </c>
      <c r="V7715">
        <v>108576</v>
      </c>
    </row>
    <row r="7716" spans="1:22">
      <c r="A7716" t="s">
        <v>2333</v>
      </c>
      <c r="B7716">
        <v>41</v>
      </c>
      <c r="C7716" t="s">
        <v>1097</v>
      </c>
      <c r="D7716" t="s">
        <v>2408</v>
      </c>
      <c r="E7716" t="s">
        <v>2409</v>
      </c>
      <c r="F7716">
        <v>1005</v>
      </c>
      <c r="G7716" t="s">
        <v>111</v>
      </c>
      <c r="H7716" t="s">
        <v>2423</v>
      </c>
      <c r="I7716" t="s">
        <v>73</v>
      </c>
      <c r="J7716" t="s">
        <v>2424</v>
      </c>
      <c r="K7716" t="s">
        <v>2425</v>
      </c>
      <c r="L7716">
        <v>0</v>
      </c>
      <c r="N7716" t="s">
        <v>372</v>
      </c>
      <c r="O7716">
        <v>4</v>
      </c>
      <c r="P7716">
        <v>3466</v>
      </c>
      <c r="Q7716" t="s">
        <v>1129</v>
      </c>
      <c r="R7716" t="s">
        <v>201</v>
      </c>
      <c r="S7716">
        <v>1</v>
      </c>
      <c r="T7716">
        <v>1</v>
      </c>
      <c r="U7716">
        <v>85200</v>
      </c>
      <c r="V7716">
        <v>85200</v>
      </c>
    </row>
    <row r="7717" spans="1:22">
      <c r="A7717" t="s">
        <v>2333</v>
      </c>
      <c r="B7717">
        <v>41</v>
      </c>
      <c r="C7717" t="s">
        <v>1097</v>
      </c>
      <c r="D7717" t="s">
        <v>2408</v>
      </c>
      <c r="E7717" t="s">
        <v>2409</v>
      </c>
      <c r="F7717">
        <v>1005</v>
      </c>
      <c r="G7717" t="s">
        <v>111</v>
      </c>
      <c r="H7717" t="s">
        <v>2423</v>
      </c>
      <c r="I7717" t="s">
        <v>73</v>
      </c>
      <c r="J7717" t="s">
        <v>2424</v>
      </c>
      <c r="K7717" t="s">
        <v>2425</v>
      </c>
      <c r="L7717">
        <v>0</v>
      </c>
      <c r="N7717" t="s">
        <v>372</v>
      </c>
      <c r="O7717">
        <v>4</v>
      </c>
      <c r="P7717">
        <v>3466</v>
      </c>
      <c r="Q7717" t="s">
        <v>1129</v>
      </c>
      <c r="R7717" t="s">
        <v>201</v>
      </c>
      <c r="S7717">
        <v>1</v>
      </c>
      <c r="T7717">
        <v>1</v>
      </c>
      <c r="U7717">
        <v>81324</v>
      </c>
      <c r="V7717">
        <v>81324</v>
      </c>
    </row>
    <row r="7718" spans="1:22">
      <c r="A7718" t="s">
        <v>2333</v>
      </c>
      <c r="B7718">
        <v>41</v>
      </c>
      <c r="C7718" t="s">
        <v>1097</v>
      </c>
      <c r="D7718" t="s">
        <v>2408</v>
      </c>
      <c r="E7718" t="s">
        <v>2409</v>
      </c>
      <c r="F7718">
        <v>1005</v>
      </c>
      <c r="G7718" t="s">
        <v>111</v>
      </c>
      <c r="H7718" t="s">
        <v>2423</v>
      </c>
      <c r="I7718" t="s">
        <v>73</v>
      </c>
      <c r="J7718" t="s">
        <v>2424</v>
      </c>
      <c r="K7718" t="s">
        <v>2425</v>
      </c>
      <c r="L7718">
        <v>0</v>
      </c>
      <c r="N7718" t="s">
        <v>372</v>
      </c>
      <c r="O7718">
        <v>4</v>
      </c>
      <c r="P7718">
        <v>3466</v>
      </c>
      <c r="Q7718" t="s">
        <v>1129</v>
      </c>
      <c r="R7718" t="s">
        <v>201</v>
      </c>
      <c r="S7718">
        <v>1</v>
      </c>
      <c r="T7718">
        <v>1</v>
      </c>
      <c r="U7718">
        <v>75336</v>
      </c>
      <c r="V7718">
        <v>75336</v>
      </c>
    </row>
    <row r="7719" spans="1:22">
      <c r="A7719" t="s">
        <v>2333</v>
      </c>
      <c r="B7719">
        <v>41</v>
      </c>
      <c r="C7719" t="s">
        <v>1097</v>
      </c>
      <c r="D7719" t="s">
        <v>2408</v>
      </c>
      <c r="E7719" t="s">
        <v>2409</v>
      </c>
      <c r="F7719">
        <v>1005</v>
      </c>
      <c r="G7719" t="s">
        <v>111</v>
      </c>
      <c r="H7719" t="s">
        <v>2423</v>
      </c>
      <c r="I7719" t="s">
        <v>73</v>
      </c>
      <c r="J7719" t="s">
        <v>2424</v>
      </c>
      <c r="K7719" t="s">
        <v>2425</v>
      </c>
      <c r="L7719">
        <v>0</v>
      </c>
      <c r="N7719" t="s">
        <v>251</v>
      </c>
      <c r="O7719">
        <v>10</v>
      </c>
      <c r="P7719">
        <v>3464</v>
      </c>
      <c r="Q7719" t="s">
        <v>2369</v>
      </c>
      <c r="R7719" t="s">
        <v>201</v>
      </c>
      <c r="S7719">
        <v>3</v>
      </c>
      <c r="T7719">
        <v>1</v>
      </c>
      <c r="U7719">
        <v>85128</v>
      </c>
      <c r="V7719">
        <v>255384</v>
      </c>
    </row>
    <row r="7720" spans="1:22">
      <c r="A7720" t="s">
        <v>2333</v>
      </c>
      <c r="B7720">
        <v>41</v>
      </c>
      <c r="C7720" t="s">
        <v>1097</v>
      </c>
      <c r="D7720" t="s">
        <v>2408</v>
      </c>
      <c r="E7720" t="s">
        <v>2409</v>
      </c>
      <c r="F7720">
        <v>1005</v>
      </c>
      <c r="G7720" t="s">
        <v>111</v>
      </c>
      <c r="H7720" t="s">
        <v>2423</v>
      </c>
      <c r="I7720" t="s">
        <v>73</v>
      </c>
      <c r="J7720" t="s">
        <v>2424</v>
      </c>
      <c r="K7720" t="s">
        <v>2425</v>
      </c>
      <c r="L7720">
        <v>0</v>
      </c>
      <c r="N7720" t="s">
        <v>249</v>
      </c>
      <c r="O7720">
        <v>10</v>
      </c>
      <c r="P7720">
        <v>3443</v>
      </c>
      <c r="Q7720" t="s">
        <v>2426</v>
      </c>
      <c r="R7720" t="s">
        <v>201</v>
      </c>
      <c r="S7720">
        <v>1</v>
      </c>
      <c r="T7720">
        <v>1</v>
      </c>
      <c r="U7720">
        <v>150072</v>
      </c>
      <c r="V7720">
        <v>150072</v>
      </c>
    </row>
    <row r="7721" spans="1:22">
      <c r="A7721" t="s">
        <v>2333</v>
      </c>
      <c r="B7721">
        <v>41</v>
      </c>
      <c r="C7721" t="s">
        <v>1097</v>
      </c>
      <c r="D7721" t="s">
        <v>2408</v>
      </c>
      <c r="E7721" t="s">
        <v>2409</v>
      </c>
      <c r="F7721">
        <v>1005</v>
      </c>
      <c r="G7721" t="s">
        <v>111</v>
      </c>
      <c r="H7721" t="s">
        <v>2423</v>
      </c>
      <c r="I7721" t="s">
        <v>73</v>
      </c>
      <c r="J7721" t="s">
        <v>2424</v>
      </c>
      <c r="K7721" t="s">
        <v>2425</v>
      </c>
      <c r="L7721">
        <v>0</v>
      </c>
      <c r="N7721" t="s">
        <v>249</v>
      </c>
      <c r="O7721">
        <v>10</v>
      </c>
      <c r="P7721">
        <v>3443</v>
      </c>
      <c r="Q7721" t="s">
        <v>2426</v>
      </c>
      <c r="R7721" t="s">
        <v>201</v>
      </c>
      <c r="S7721">
        <v>1</v>
      </c>
      <c r="T7721">
        <v>1</v>
      </c>
      <c r="U7721">
        <v>97836</v>
      </c>
      <c r="V7721">
        <v>97836</v>
      </c>
    </row>
    <row r="7722" spans="1:22">
      <c r="A7722" t="s">
        <v>2333</v>
      </c>
      <c r="B7722">
        <v>41</v>
      </c>
      <c r="C7722" t="s">
        <v>1097</v>
      </c>
      <c r="D7722" t="s">
        <v>2408</v>
      </c>
      <c r="E7722" t="s">
        <v>2409</v>
      </c>
      <c r="F7722">
        <v>1005</v>
      </c>
      <c r="G7722" t="s">
        <v>111</v>
      </c>
      <c r="H7722" t="s">
        <v>2423</v>
      </c>
      <c r="I7722" t="s">
        <v>73</v>
      </c>
      <c r="J7722" t="s">
        <v>2424</v>
      </c>
      <c r="K7722" t="s">
        <v>2425</v>
      </c>
      <c r="L7722">
        <v>0</v>
      </c>
      <c r="N7722" t="s">
        <v>341</v>
      </c>
      <c r="O7722">
        <v>3</v>
      </c>
      <c r="P7722">
        <v>3434</v>
      </c>
      <c r="Q7722" t="s">
        <v>1140</v>
      </c>
      <c r="R7722" t="s">
        <v>201</v>
      </c>
      <c r="S7722">
        <v>1</v>
      </c>
      <c r="T7722">
        <v>1</v>
      </c>
      <c r="U7722">
        <v>103608</v>
      </c>
      <c r="V7722">
        <v>103608</v>
      </c>
    </row>
    <row r="7723" spans="1:22">
      <c r="A7723" t="s">
        <v>2333</v>
      </c>
      <c r="B7723">
        <v>41</v>
      </c>
      <c r="C7723" t="s">
        <v>1097</v>
      </c>
      <c r="D7723" t="s">
        <v>2408</v>
      </c>
      <c r="E7723" t="s">
        <v>2409</v>
      </c>
      <c r="F7723">
        <v>1005</v>
      </c>
      <c r="G7723" t="s">
        <v>111</v>
      </c>
      <c r="H7723" t="s">
        <v>2423</v>
      </c>
      <c r="I7723" t="s">
        <v>73</v>
      </c>
      <c r="J7723" t="s">
        <v>2424</v>
      </c>
      <c r="K7723" t="s">
        <v>2425</v>
      </c>
      <c r="L7723">
        <v>0</v>
      </c>
      <c r="N7723" t="s">
        <v>341</v>
      </c>
      <c r="O7723">
        <v>3</v>
      </c>
      <c r="P7723">
        <v>3434</v>
      </c>
      <c r="Q7723" t="s">
        <v>1140</v>
      </c>
      <c r="R7723" t="s">
        <v>201</v>
      </c>
      <c r="S7723">
        <v>1</v>
      </c>
      <c r="T7723">
        <v>1</v>
      </c>
      <c r="U7723">
        <v>94452</v>
      </c>
      <c r="V7723">
        <v>94452</v>
      </c>
    </row>
    <row r="7724" spans="1:22">
      <c r="A7724" t="s">
        <v>2333</v>
      </c>
      <c r="B7724">
        <v>41</v>
      </c>
      <c r="C7724" t="s">
        <v>1097</v>
      </c>
      <c r="D7724" t="s">
        <v>2408</v>
      </c>
      <c r="E7724" t="s">
        <v>2409</v>
      </c>
      <c r="F7724">
        <v>1005</v>
      </c>
      <c r="G7724" t="s">
        <v>111</v>
      </c>
      <c r="H7724" t="s">
        <v>2423</v>
      </c>
      <c r="I7724" t="s">
        <v>73</v>
      </c>
      <c r="J7724" t="s">
        <v>2424</v>
      </c>
      <c r="K7724" t="s">
        <v>2425</v>
      </c>
      <c r="L7724">
        <v>0</v>
      </c>
      <c r="N7724" t="s">
        <v>341</v>
      </c>
      <c r="O7724">
        <v>3</v>
      </c>
      <c r="P7724">
        <v>3434</v>
      </c>
      <c r="Q7724" t="s">
        <v>1140</v>
      </c>
      <c r="R7724" t="s">
        <v>201</v>
      </c>
      <c r="S7724">
        <v>2</v>
      </c>
      <c r="T7724">
        <v>1</v>
      </c>
      <c r="U7724">
        <v>74172</v>
      </c>
      <c r="V7724">
        <v>148344</v>
      </c>
    </row>
    <row r="7725" spans="1:22">
      <c r="A7725" t="s">
        <v>2333</v>
      </c>
      <c r="B7725">
        <v>41</v>
      </c>
      <c r="C7725" t="s">
        <v>1097</v>
      </c>
      <c r="D7725" t="s">
        <v>2408</v>
      </c>
      <c r="E7725" t="s">
        <v>2409</v>
      </c>
      <c r="F7725">
        <v>1005</v>
      </c>
      <c r="G7725" t="s">
        <v>111</v>
      </c>
      <c r="H7725" t="s">
        <v>2423</v>
      </c>
      <c r="I7725" t="s">
        <v>73</v>
      </c>
      <c r="J7725" t="s">
        <v>2424</v>
      </c>
      <c r="K7725" t="s">
        <v>2425</v>
      </c>
      <c r="L7725">
        <v>0</v>
      </c>
      <c r="N7725" t="s">
        <v>341</v>
      </c>
      <c r="O7725">
        <v>3</v>
      </c>
      <c r="P7725">
        <v>3434</v>
      </c>
      <c r="Q7725" t="s">
        <v>1140</v>
      </c>
      <c r="R7725" t="s">
        <v>201</v>
      </c>
      <c r="S7725">
        <v>2</v>
      </c>
      <c r="T7725">
        <v>1</v>
      </c>
      <c r="U7725">
        <v>70752</v>
      </c>
      <c r="V7725">
        <v>141504</v>
      </c>
    </row>
    <row r="7726" spans="1:22">
      <c r="A7726" t="s">
        <v>2333</v>
      </c>
      <c r="B7726">
        <v>41</v>
      </c>
      <c r="C7726" t="s">
        <v>1097</v>
      </c>
      <c r="D7726" t="s">
        <v>2408</v>
      </c>
      <c r="E7726" t="s">
        <v>2409</v>
      </c>
      <c r="F7726">
        <v>1005</v>
      </c>
      <c r="G7726" t="s">
        <v>111</v>
      </c>
      <c r="H7726" t="s">
        <v>2423</v>
      </c>
      <c r="I7726" t="s">
        <v>73</v>
      </c>
      <c r="J7726" t="s">
        <v>2424</v>
      </c>
      <c r="K7726" t="s">
        <v>2425</v>
      </c>
      <c r="L7726">
        <v>0</v>
      </c>
      <c r="N7726" t="s">
        <v>341</v>
      </c>
      <c r="O7726">
        <v>3</v>
      </c>
      <c r="P7726">
        <v>3434</v>
      </c>
      <c r="Q7726" t="s">
        <v>1140</v>
      </c>
      <c r="R7726" t="s">
        <v>201</v>
      </c>
      <c r="S7726">
        <v>3</v>
      </c>
      <c r="T7726">
        <v>1</v>
      </c>
      <c r="U7726">
        <v>68616</v>
      </c>
      <c r="V7726">
        <v>205848</v>
      </c>
    </row>
    <row r="7727" spans="1:22">
      <c r="A7727" t="s">
        <v>2333</v>
      </c>
      <c r="B7727">
        <v>41</v>
      </c>
      <c r="C7727" t="s">
        <v>1097</v>
      </c>
      <c r="D7727" t="s">
        <v>2408</v>
      </c>
      <c r="E7727" t="s">
        <v>2409</v>
      </c>
      <c r="F7727">
        <v>1005</v>
      </c>
      <c r="G7727" t="s">
        <v>111</v>
      </c>
      <c r="H7727" t="s">
        <v>2423</v>
      </c>
      <c r="I7727" t="s">
        <v>73</v>
      </c>
      <c r="J7727" t="s">
        <v>2424</v>
      </c>
      <c r="K7727" t="s">
        <v>2425</v>
      </c>
      <c r="L7727">
        <v>0</v>
      </c>
      <c r="N7727" t="s">
        <v>356</v>
      </c>
      <c r="O7727">
        <v>4</v>
      </c>
      <c r="P7727">
        <v>3414</v>
      </c>
      <c r="Q7727" t="s">
        <v>1109</v>
      </c>
      <c r="R7727" t="s">
        <v>201</v>
      </c>
      <c r="S7727">
        <v>1</v>
      </c>
      <c r="T7727">
        <v>1</v>
      </c>
      <c r="U7727">
        <v>129636</v>
      </c>
      <c r="V7727">
        <v>129636</v>
      </c>
    </row>
    <row r="7728" spans="1:22">
      <c r="A7728" t="s">
        <v>2333</v>
      </c>
      <c r="B7728">
        <v>41</v>
      </c>
      <c r="C7728" t="s">
        <v>1097</v>
      </c>
      <c r="D7728" t="s">
        <v>2408</v>
      </c>
      <c r="E7728" t="s">
        <v>2409</v>
      </c>
      <c r="F7728">
        <v>1005</v>
      </c>
      <c r="G7728" t="s">
        <v>111</v>
      </c>
      <c r="H7728" t="s">
        <v>2423</v>
      </c>
      <c r="I7728" t="s">
        <v>73</v>
      </c>
      <c r="J7728" t="s">
        <v>2424</v>
      </c>
      <c r="K7728" t="s">
        <v>2425</v>
      </c>
      <c r="L7728">
        <v>0</v>
      </c>
      <c r="N7728" t="s">
        <v>245</v>
      </c>
      <c r="O7728">
        <v>20</v>
      </c>
      <c r="P7728">
        <v>3408</v>
      </c>
      <c r="Q7728" t="s">
        <v>1110</v>
      </c>
      <c r="R7728" t="s">
        <v>201</v>
      </c>
      <c r="S7728">
        <v>1</v>
      </c>
      <c r="T7728">
        <v>1</v>
      </c>
      <c r="U7728">
        <v>111000</v>
      </c>
      <c r="V7728">
        <v>111000</v>
      </c>
    </row>
    <row r="7729" spans="1:22">
      <c r="A7729" t="s">
        <v>2333</v>
      </c>
      <c r="B7729">
        <v>41</v>
      </c>
      <c r="C7729" t="s">
        <v>1097</v>
      </c>
      <c r="D7729" t="s">
        <v>2408</v>
      </c>
      <c r="E7729" t="s">
        <v>2409</v>
      </c>
      <c r="F7729">
        <v>1005</v>
      </c>
      <c r="G7729" t="s">
        <v>111</v>
      </c>
      <c r="H7729" t="s">
        <v>2423</v>
      </c>
      <c r="I7729" t="s">
        <v>73</v>
      </c>
      <c r="J7729" t="s">
        <v>2424</v>
      </c>
      <c r="K7729" t="s">
        <v>2425</v>
      </c>
      <c r="L7729">
        <v>0</v>
      </c>
      <c r="N7729" t="s">
        <v>333</v>
      </c>
      <c r="O7729">
        <v>4</v>
      </c>
      <c r="P7729">
        <v>3407</v>
      </c>
      <c r="Q7729" t="s">
        <v>1111</v>
      </c>
      <c r="R7729" t="s">
        <v>201</v>
      </c>
      <c r="S7729">
        <v>1</v>
      </c>
      <c r="T7729">
        <v>1</v>
      </c>
      <c r="U7729">
        <v>134184</v>
      </c>
      <c r="V7729">
        <v>134184</v>
      </c>
    </row>
    <row r="7730" spans="1:22">
      <c r="A7730" t="s">
        <v>2333</v>
      </c>
      <c r="B7730">
        <v>41</v>
      </c>
      <c r="C7730" t="s">
        <v>1097</v>
      </c>
      <c r="D7730" t="s">
        <v>2408</v>
      </c>
      <c r="E7730" t="s">
        <v>2409</v>
      </c>
      <c r="F7730">
        <v>1005</v>
      </c>
      <c r="G7730" t="s">
        <v>111</v>
      </c>
      <c r="H7730" t="s">
        <v>2423</v>
      </c>
      <c r="I7730" t="s">
        <v>73</v>
      </c>
      <c r="J7730" t="s">
        <v>2424</v>
      </c>
      <c r="K7730" t="s">
        <v>2425</v>
      </c>
      <c r="L7730">
        <v>0</v>
      </c>
      <c r="N7730" t="s">
        <v>333</v>
      </c>
      <c r="O7730">
        <v>4</v>
      </c>
      <c r="P7730">
        <v>3407</v>
      </c>
      <c r="Q7730" t="s">
        <v>1111</v>
      </c>
      <c r="R7730" t="s">
        <v>201</v>
      </c>
      <c r="S7730">
        <v>1</v>
      </c>
      <c r="T7730">
        <v>1</v>
      </c>
      <c r="U7730">
        <v>117636</v>
      </c>
      <c r="V7730">
        <v>117636</v>
      </c>
    </row>
    <row r="7731" spans="1:22">
      <c r="A7731" t="s">
        <v>2333</v>
      </c>
      <c r="B7731">
        <v>41</v>
      </c>
      <c r="C7731" t="s">
        <v>1097</v>
      </c>
      <c r="D7731" t="s">
        <v>2408</v>
      </c>
      <c r="E7731" t="s">
        <v>2409</v>
      </c>
      <c r="F7731">
        <v>1005</v>
      </c>
      <c r="G7731" t="s">
        <v>111</v>
      </c>
      <c r="H7731" t="s">
        <v>2423</v>
      </c>
      <c r="I7731" t="s">
        <v>73</v>
      </c>
      <c r="J7731" t="s">
        <v>2424</v>
      </c>
      <c r="K7731" t="s">
        <v>2425</v>
      </c>
      <c r="L7731">
        <v>0</v>
      </c>
      <c r="N7731" t="s">
        <v>311</v>
      </c>
      <c r="O7731">
        <v>9</v>
      </c>
      <c r="P7731">
        <v>3348</v>
      </c>
      <c r="Q7731" t="s">
        <v>1119</v>
      </c>
      <c r="R7731" t="s">
        <v>201</v>
      </c>
      <c r="S7731">
        <v>1</v>
      </c>
      <c r="T7731">
        <v>1</v>
      </c>
      <c r="U7731">
        <v>199800</v>
      </c>
      <c r="V7731">
        <v>199800</v>
      </c>
    </row>
    <row r="7732" spans="1:22">
      <c r="A7732" t="s">
        <v>2333</v>
      </c>
      <c r="B7732">
        <v>41</v>
      </c>
      <c r="C7732" t="s">
        <v>1097</v>
      </c>
      <c r="D7732" t="s">
        <v>2408</v>
      </c>
      <c r="E7732" t="s">
        <v>2409</v>
      </c>
      <c r="F7732">
        <v>1005</v>
      </c>
      <c r="G7732" t="s">
        <v>111</v>
      </c>
      <c r="H7732" t="s">
        <v>2423</v>
      </c>
      <c r="I7732" t="s">
        <v>73</v>
      </c>
      <c r="J7732" t="s">
        <v>2424</v>
      </c>
      <c r="K7732" t="s">
        <v>2425</v>
      </c>
      <c r="L7732">
        <v>0</v>
      </c>
      <c r="N7732" t="s">
        <v>809</v>
      </c>
      <c r="O7732">
        <v>1</v>
      </c>
      <c r="P7732">
        <v>3139</v>
      </c>
      <c r="Q7732" t="s">
        <v>1184</v>
      </c>
      <c r="R7732" t="s">
        <v>201</v>
      </c>
      <c r="S7732">
        <v>2</v>
      </c>
      <c r="T7732">
        <v>1</v>
      </c>
      <c r="U7732">
        <v>82140</v>
      </c>
      <c r="V7732">
        <v>164280</v>
      </c>
    </row>
    <row r="7733" spans="1:22">
      <c r="A7733" t="s">
        <v>2333</v>
      </c>
      <c r="B7733">
        <v>41</v>
      </c>
      <c r="C7733" t="s">
        <v>1097</v>
      </c>
      <c r="D7733" t="s">
        <v>2408</v>
      </c>
      <c r="E7733" t="s">
        <v>2409</v>
      </c>
      <c r="F7733">
        <v>1005</v>
      </c>
      <c r="G7733" t="s">
        <v>111</v>
      </c>
      <c r="H7733" t="s">
        <v>2423</v>
      </c>
      <c r="I7733" t="s">
        <v>73</v>
      </c>
      <c r="J7733" t="s">
        <v>2424</v>
      </c>
      <c r="K7733" t="s">
        <v>2425</v>
      </c>
      <c r="L7733">
        <v>0</v>
      </c>
      <c r="N7733" t="s">
        <v>809</v>
      </c>
      <c r="O7733">
        <v>1</v>
      </c>
      <c r="P7733">
        <v>3139</v>
      </c>
      <c r="Q7733" t="s">
        <v>1184</v>
      </c>
      <c r="R7733" t="s">
        <v>201</v>
      </c>
      <c r="S7733">
        <v>1</v>
      </c>
      <c r="T7733">
        <v>1</v>
      </c>
      <c r="U7733">
        <v>47364</v>
      </c>
      <c r="V7733">
        <v>47364</v>
      </c>
    </row>
    <row r="7734" spans="1:22">
      <c r="A7734" t="s">
        <v>2333</v>
      </c>
      <c r="B7734">
        <v>41</v>
      </c>
      <c r="C7734" t="s">
        <v>1097</v>
      </c>
      <c r="D7734" t="s">
        <v>2408</v>
      </c>
      <c r="E7734" t="s">
        <v>2409</v>
      </c>
      <c r="F7734">
        <v>1005</v>
      </c>
      <c r="G7734" t="s">
        <v>111</v>
      </c>
      <c r="H7734" t="s">
        <v>2423</v>
      </c>
      <c r="I7734" t="s">
        <v>73</v>
      </c>
      <c r="J7734" t="s">
        <v>2424</v>
      </c>
      <c r="K7734" t="s">
        <v>2425</v>
      </c>
      <c r="L7734">
        <v>0</v>
      </c>
      <c r="N7734" t="s">
        <v>360</v>
      </c>
      <c r="O7734">
        <v>1</v>
      </c>
      <c r="P7734">
        <v>3130</v>
      </c>
      <c r="Q7734" t="s">
        <v>1185</v>
      </c>
      <c r="R7734" t="s">
        <v>201</v>
      </c>
      <c r="S7734">
        <v>1</v>
      </c>
      <c r="T7734">
        <v>1</v>
      </c>
      <c r="U7734">
        <v>98928</v>
      </c>
      <c r="V7734">
        <v>98928</v>
      </c>
    </row>
    <row r="7735" spans="1:22">
      <c r="A7735" t="s">
        <v>2333</v>
      </c>
      <c r="B7735">
        <v>41</v>
      </c>
      <c r="C7735" t="s">
        <v>1097</v>
      </c>
      <c r="D7735" t="s">
        <v>2408</v>
      </c>
      <c r="E7735" t="s">
        <v>2409</v>
      </c>
      <c r="F7735">
        <v>1005</v>
      </c>
      <c r="G7735" t="s">
        <v>111</v>
      </c>
      <c r="H7735" t="s">
        <v>2423</v>
      </c>
      <c r="I7735" t="s">
        <v>73</v>
      </c>
      <c r="J7735" t="s">
        <v>2424</v>
      </c>
      <c r="K7735" t="s">
        <v>2425</v>
      </c>
      <c r="L7735">
        <v>0</v>
      </c>
      <c r="N7735" t="s">
        <v>274</v>
      </c>
      <c r="O7735">
        <v>20</v>
      </c>
      <c r="P7735">
        <v>3057</v>
      </c>
      <c r="Q7735" t="s">
        <v>1121</v>
      </c>
      <c r="R7735" t="s">
        <v>201</v>
      </c>
      <c r="S7735">
        <v>1</v>
      </c>
      <c r="T7735">
        <v>1</v>
      </c>
      <c r="U7735">
        <v>153384</v>
      </c>
      <c r="V7735">
        <v>153384</v>
      </c>
    </row>
    <row r="7736" spans="1:22">
      <c r="A7736" t="s">
        <v>2333</v>
      </c>
      <c r="B7736">
        <v>41</v>
      </c>
      <c r="C7736" t="s">
        <v>1097</v>
      </c>
      <c r="D7736" t="s">
        <v>2408</v>
      </c>
      <c r="E7736" t="s">
        <v>2409</v>
      </c>
      <c r="F7736">
        <v>1005</v>
      </c>
      <c r="G7736" t="s">
        <v>111</v>
      </c>
      <c r="H7736" t="s">
        <v>2423</v>
      </c>
      <c r="I7736" t="s">
        <v>73</v>
      </c>
      <c r="J7736" t="s">
        <v>2424</v>
      </c>
      <c r="K7736" t="s">
        <v>2425</v>
      </c>
      <c r="L7736">
        <v>0</v>
      </c>
      <c r="N7736" t="s">
        <v>372</v>
      </c>
      <c r="O7736">
        <v>1</v>
      </c>
      <c r="P7736">
        <v>1576</v>
      </c>
      <c r="Q7736" t="s">
        <v>650</v>
      </c>
      <c r="R7736" t="s">
        <v>201</v>
      </c>
      <c r="S7736">
        <v>2</v>
      </c>
      <c r="T7736">
        <v>1</v>
      </c>
      <c r="U7736">
        <v>81324</v>
      </c>
      <c r="V7736">
        <v>162648</v>
      </c>
    </row>
    <row r="7737" spans="1:22">
      <c r="A7737" t="s">
        <v>2333</v>
      </c>
      <c r="B7737">
        <v>41</v>
      </c>
      <c r="C7737" t="s">
        <v>1097</v>
      </c>
      <c r="D7737" t="s">
        <v>2408</v>
      </c>
      <c r="E7737" t="s">
        <v>2409</v>
      </c>
      <c r="F7737">
        <v>1005</v>
      </c>
      <c r="G7737" t="s">
        <v>111</v>
      </c>
      <c r="H7737" t="s">
        <v>2423</v>
      </c>
      <c r="I7737" t="s">
        <v>73</v>
      </c>
      <c r="J7737" t="s">
        <v>2424</v>
      </c>
      <c r="K7737" t="s">
        <v>2425</v>
      </c>
      <c r="L7737">
        <v>0</v>
      </c>
      <c r="N7737" t="s">
        <v>809</v>
      </c>
      <c r="O7737">
        <v>1</v>
      </c>
      <c r="P7737">
        <v>460</v>
      </c>
      <c r="Q7737" t="s">
        <v>810</v>
      </c>
      <c r="R7737" t="s">
        <v>201</v>
      </c>
      <c r="S7737">
        <v>2</v>
      </c>
      <c r="T7737">
        <v>1</v>
      </c>
      <c r="U7737">
        <v>51108</v>
      </c>
      <c r="V7737">
        <v>102216</v>
      </c>
    </row>
    <row r="7738" spans="1:22">
      <c r="A7738" t="s">
        <v>2333</v>
      </c>
      <c r="B7738">
        <v>41</v>
      </c>
      <c r="C7738" t="s">
        <v>1097</v>
      </c>
      <c r="D7738" t="s">
        <v>2408</v>
      </c>
      <c r="E7738" t="s">
        <v>2409</v>
      </c>
      <c r="F7738">
        <v>1005</v>
      </c>
      <c r="G7738" t="s">
        <v>111</v>
      </c>
      <c r="H7738" t="s">
        <v>2423</v>
      </c>
      <c r="I7738" t="s">
        <v>73</v>
      </c>
      <c r="J7738" t="s">
        <v>2424</v>
      </c>
      <c r="K7738" t="s">
        <v>2425</v>
      </c>
      <c r="L7738">
        <v>0</v>
      </c>
      <c r="N7738" t="s">
        <v>809</v>
      </c>
      <c r="O7738">
        <v>1</v>
      </c>
      <c r="P7738">
        <v>460</v>
      </c>
      <c r="Q7738" t="s">
        <v>810</v>
      </c>
      <c r="R7738" t="s">
        <v>201</v>
      </c>
      <c r="S7738">
        <v>1</v>
      </c>
      <c r="T7738">
        <v>1</v>
      </c>
      <c r="U7738">
        <v>48864</v>
      </c>
      <c r="V7738">
        <v>48864</v>
      </c>
    </row>
    <row r="7739" spans="1:22">
      <c r="A7739" t="s">
        <v>2333</v>
      </c>
      <c r="B7739">
        <v>41</v>
      </c>
      <c r="C7739" t="s">
        <v>1097</v>
      </c>
      <c r="D7739" t="s">
        <v>2408</v>
      </c>
      <c r="E7739" t="s">
        <v>2409</v>
      </c>
      <c r="F7739">
        <v>1005</v>
      </c>
      <c r="G7739" t="s">
        <v>111</v>
      </c>
      <c r="H7739" t="s">
        <v>2423</v>
      </c>
      <c r="I7739" t="s">
        <v>73</v>
      </c>
      <c r="J7739" t="s">
        <v>2424</v>
      </c>
      <c r="K7739" t="s">
        <v>2425</v>
      </c>
      <c r="L7739">
        <v>0</v>
      </c>
      <c r="N7739" t="s">
        <v>351</v>
      </c>
      <c r="O7739">
        <v>1</v>
      </c>
      <c r="P7739" t="s">
        <v>352</v>
      </c>
      <c r="Q7739" t="s">
        <v>353</v>
      </c>
      <c r="R7739" t="s">
        <v>201</v>
      </c>
      <c r="S7739">
        <v>1</v>
      </c>
      <c r="T7739">
        <v>1</v>
      </c>
      <c r="U7739">
        <v>67608</v>
      </c>
      <c r="V7739">
        <v>67608</v>
      </c>
    </row>
    <row r="7740" spans="1:22">
      <c r="A7740" t="s">
        <v>2333</v>
      </c>
      <c r="B7740">
        <v>41</v>
      </c>
      <c r="C7740" t="s">
        <v>1097</v>
      </c>
      <c r="D7740" t="s">
        <v>2408</v>
      </c>
      <c r="E7740" t="s">
        <v>2409</v>
      </c>
      <c r="F7740">
        <v>1005</v>
      </c>
      <c r="G7740" t="s">
        <v>111</v>
      </c>
      <c r="H7740" t="s">
        <v>2423</v>
      </c>
      <c r="I7740" t="s">
        <v>73</v>
      </c>
      <c r="J7740" t="s">
        <v>2424</v>
      </c>
      <c r="K7740" t="s">
        <v>2425</v>
      </c>
      <c r="L7740">
        <v>0</v>
      </c>
      <c r="N7740" t="s">
        <v>249</v>
      </c>
      <c r="O7740">
        <v>10</v>
      </c>
      <c r="P7740">
        <v>310</v>
      </c>
      <c r="Q7740" t="s">
        <v>447</v>
      </c>
      <c r="R7740" t="s">
        <v>201</v>
      </c>
      <c r="S7740">
        <v>1</v>
      </c>
      <c r="T7740">
        <v>1</v>
      </c>
      <c r="U7740">
        <v>107340</v>
      </c>
      <c r="V7740">
        <v>107340</v>
      </c>
    </row>
    <row r="7741" spans="1:22">
      <c r="A7741" t="s">
        <v>2333</v>
      </c>
      <c r="B7741">
        <v>41</v>
      </c>
      <c r="C7741" t="s">
        <v>1097</v>
      </c>
      <c r="D7741" t="s">
        <v>2408</v>
      </c>
      <c r="E7741" t="s">
        <v>2409</v>
      </c>
      <c r="F7741">
        <v>1005</v>
      </c>
      <c r="G7741" t="s">
        <v>111</v>
      </c>
      <c r="H7741" t="s">
        <v>2423</v>
      </c>
      <c r="I7741" t="s">
        <v>73</v>
      </c>
      <c r="J7741" t="s">
        <v>2424</v>
      </c>
      <c r="K7741" t="s">
        <v>2425</v>
      </c>
      <c r="L7741">
        <v>0</v>
      </c>
      <c r="N7741" t="s">
        <v>199</v>
      </c>
      <c r="O7741">
        <v>0</v>
      </c>
      <c r="P7741">
        <v>44</v>
      </c>
      <c r="Q7741" t="s">
        <v>2337</v>
      </c>
      <c r="R7741" t="s">
        <v>201</v>
      </c>
      <c r="S7741">
        <v>0</v>
      </c>
      <c r="T7741">
        <v>0</v>
      </c>
      <c r="U7741">
        <v>2252821</v>
      </c>
      <c r="V7741">
        <v>2252821</v>
      </c>
    </row>
    <row r="7742" spans="1:22">
      <c r="A7742" t="s">
        <v>2333</v>
      </c>
      <c r="B7742">
        <v>41</v>
      </c>
      <c r="C7742" t="s">
        <v>1097</v>
      </c>
      <c r="D7742" t="s">
        <v>2408</v>
      </c>
      <c r="E7742" t="s">
        <v>2409</v>
      </c>
      <c r="F7742">
        <v>1005</v>
      </c>
      <c r="G7742" t="s">
        <v>111</v>
      </c>
      <c r="H7742" t="s">
        <v>2423</v>
      </c>
      <c r="I7742" t="s">
        <v>73</v>
      </c>
      <c r="J7742" t="s">
        <v>2424</v>
      </c>
      <c r="K7742" t="s">
        <v>2425</v>
      </c>
      <c r="L7742">
        <v>0</v>
      </c>
      <c r="N7742" t="s">
        <v>199</v>
      </c>
      <c r="O7742">
        <v>0</v>
      </c>
      <c r="P7742">
        <v>15</v>
      </c>
      <c r="Q7742" t="s">
        <v>264</v>
      </c>
      <c r="R7742" t="s">
        <v>201</v>
      </c>
      <c r="S7742">
        <v>0</v>
      </c>
      <c r="T7742">
        <v>0</v>
      </c>
      <c r="U7742">
        <v>35848</v>
      </c>
      <c r="V7742">
        <v>35848</v>
      </c>
    </row>
    <row r="7743" spans="1:22">
      <c r="A7743" t="s">
        <v>2333</v>
      </c>
      <c r="B7743">
        <v>41</v>
      </c>
      <c r="C7743" t="s">
        <v>1097</v>
      </c>
      <c r="D7743" t="s">
        <v>2408</v>
      </c>
      <c r="E7743" t="s">
        <v>2409</v>
      </c>
      <c r="F7743">
        <v>1005</v>
      </c>
      <c r="G7743" t="s">
        <v>111</v>
      </c>
      <c r="H7743">
        <v>2814</v>
      </c>
      <c r="I7743" t="s">
        <v>114</v>
      </c>
      <c r="J7743">
        <v>3924</v>
      </c>
      <c r="K7743" t="s">
        <v>2427</v>
      </c>
      <c r="L7743">
        <v>0</v>
      </c>
      <c r="N7743" t="s">
        <v>343</v>
      </c>
      <c r="O7743">
        <v>10</v>
      </c>
      <c r="P7743">
        <v>3469</v>
      </c>
      <c r="Q7743" t="s">
        <v>1160</v>
      </c>
      <c r="R7743" t="s">
        <v>201</v>
      </c>
      <c r="S7743">
        <v>1</v>
      </c>
      <c r="T7743">
        <v>1</v>
      </c>
      <c r="U7743">
        <v>107340</v>
      </c>
      <c r="V7743">
        <v>107340</v>
      </c>
    </row>
    <row r="7744" spans="1:22">
      <c r="A7744" t="s">
        <v>2333</v>
      </c>
      <c r="B7744">
        <v>41</v>
      </c>
      <c r="C7744" t="s">
        <v>1097</v>
      </c>
      <c r="D7744" t="s">
        <v>2408</v>
      </c>
      <c r="E7744" t="s">
        <v>2409</v>
      </c>
      <c r="F7744">
        <v>1005</v>
      </c>
      <c r="G7744" t="s">
        <v>111</v>
      </c>
      <c r="H7744">
        <v>2814</v>
      </c>
      <c r="I7744" t="s">
        <v>114</v>
      </c>
      <c r="J7744">
        <v>3924</v>
      </c>
      <c r="K7744" t="s">
        <v>2427</v>
      </c>
      <c r="L7744">
        <v>0</v>
      </c>
      <c r="N7744" t="s">
        <v>372</v>
      </c>
      <c r="O7744">
        <v>4</v>
      </c>
      <c r="P7744">
        <v>3466</v>
      </c>
      <c r="Q7744" t="s">
        <v>1129</v>
      </c>
      <c r="R7744" t="s">
        <v>201</v>
      </c>
      <c r="S7744">
        <v>2</v>
      </c>
      <c r="T7744">
        <v>1</v>
      </c>
      <c r="U7744">
        <v>85200</v>
      </c>
      <c r="V7744">
        <v>170400</v>
      </c>
    </row>
    <row r="7745" spans="1:22">
      <c r="A7745" t="s">
        <v>2333</v>
      </c>
      <c r="B7745">
        <v>41</v>
      </c>
      <c r="C7745" t="s">
        <v>1097</v>
      </c>
      <c r="D7745" t="s">
        <v>2408</v>
      </c>
      <c r="E7745" t="s">
        <v>2409</v>
      </c>
      <c r="F7745">
        <v>1005</v>
      </c>
      <c r="G7745" t="s">
        <v>111</v>
      </c>
      <c r="H7745">
        <v>2814</v>
      </c>
      <c r="I7745" t="s">
        <v>114</v>
      </c>
      <c r="J7745">
        <v>3924</v>
      </c>
      <c r="K7745" t="s">
        <v>2427</v>
      </c>
      <c r="L7745">
        <v>0</v>
      </c>
      <c r="N7745" t="s">
        <v>294</v>
      </c>
      <c r="O7745">
        <v>10</v>
      </c>
      <c r="P7745">
        <v>3438</v>
      </c>
      <c r="Q7745" t="s">
        <v>2428</v>
      </c>
      <c r="R7745" t="s">
        <v>201</v>
      </c>
      <c r="S7745">
        <v>1</v>
      </c>
      <c r="T7745">
        <v>1</v>
      </c>
      <c r="U7745">
        <v>103488</v>
      </c>
      <c r="V7745">
        <v>103488</v>
      </c>
    </row>
    <row r="7746" spans="1:22">
      <c r="A7746" t="s">
        <v>2333</v>
      </c>
      <c r="B7746">
        <v>41</v>
      </c>
      <c r="C7746" t="s">
        <v>1097</v>
      </c>
      <c r="D7746" t="s">
        <v>2408</v>
      </c>
      <c r="E7746" t="s">
        <v>2409</v>
      </c>
      <c r="F7746">
        <v>1005</v>
      </c>
      <c r="G7746" t="s">
        <v>111</v>
      </c>
      <c r="H7746">
        <v>2814</v>
      </c>
      <c r="I7746" t="s">
        <v>114</v>
      </c>
      <c r="J7746">
        <v>3924</v>
      </c>
      <c r="K7746" t="s">
        <v>2427</v>
      </c>
      <c r="L7746">
        <v>0</v>
      </c>
      <c r="N7746" t="s">
        <v>341</v>
      </c>
      <c r="O7746">
        <v>3</v>
      </c>
      <c r="P7746">
        <v>3434</v>
      </c>
      <c r="Q7746" t="s">
        <v>1140</v>
      </c>
      <c r="R7746" t="s">
        <v>201</v>
      </c>
      <c r="S7746">
        <v>3</v>
      </c>
      <c r="T7746">
        <v>1</v>
      </c>
      <c r="U7746">
        <v>119100</v>
      </c>
      <c r="V7746">
        <v>357300</v>
      </c>
    </row>
    <row r="7747" spans="1:22">
      <c r="A7747" t="s">
        <v>2333</v>
      </c>
      <c r="B7747">
        <v>41</v>
      </c>
      <c r="C7747" t="s">
        <v>1097</v>
      </c>
      <c r="D7747" t="s">
        <v>2408</v>
      </c>
      <c r="E7747" t="s">
        <v>2409</v>
      </c>
      <c r="F7747">
        <v>1005</v>
      </c>
      <c r="G7747" t="s">
        <v>111</v>
      </c>
      <c r="H7747">
        <v>2814</v>
      </c>
      <c r="I7747" t="s">
        <v>114</v>
      </c>
      <c r="J7747">
        <v>3924</v>
      </c>
      <c r="K7747" t="s">
        <v>2427</v>
      </c>
      <c r="L7747">
        <v>0</v>
      </c>
      <c r="N7747" t="s">
        <v>341</v>
      </c>
      <c r="O7747">
        <v>3</v>
      </c>
      <c r="P7747">
        <v>3434</v>
      </c>
      <c r="Q7747" t="s">
        <v>1140</v>
      </c>
      <c r="R7747" t="s">
        <v>201</v>
      </c>
      <c r="S7747">
        <v>1</v>
      </c>
      <c r="T7747">
        <v>1</v>
      </c>
      <c r="U7747">
        <v>68616</v>
      </c>
      <c r="V7747">
        <v>68616</v>
      </c>
    </row>
    <row r="7748" spans="1:22">
      <c r="A7748" t="s">
        <v>2333</v>
      </c>
      <c r="B7748">
        <v>41</v>
      </c>
      <c r="C7748" t="s">
        <v>1097</v>
      </c>
      <c r="D7748" t="s">
        <v>2408</v>
      </c>
      <c r="E7748" t="s">
        <v>2409</v>
      </c>
      <c r="F7748">
        <v>1005</v>
      </c>
      <c r="G7748" t="s">
        <v>111</v>
      </c>
      <c r="H7748">
        <v>2814</v>
      </c>
      <c r="I7748" t="s">
        <v>114</v>
      </c>
      <c r="J7748">
        <v>3924</v>
      </c>
      <c r="K7748" t="s">
        <v>2427</v>
      </c>
      <c r="L7748">
        <v>0</v>
      </c>
      <c r="N7748" t="s">
        <v>356</v>
      </c>
      <c r="O7748">
        <v>4</v>
      </c>
      <c r="P7748">
        <v>3414</v>
      </c>
      <c r="Q7748" t="s">
        <v>1109</v>
      </c>
      <c r="R7748" t="s">
        <v>201</v>
      </c>
      <c r="S7748">
        <v>1</v>
      </c>
      <c r="T7748">
        <v>1</v>
      </c>
      <c r="U7748">
        <v>92940</v>
      </c>
      <c r="V7748">
        <v>92940</v>
      </c>
    </row>
    <row r="7749" spans="1:22">
      <c r="A7749" t="s">
        <v>2333</v>
      </c>
      <c r="B7749">
        <v>41</v>
      </c>
      <c r="C7749" t="s">
        <v>1097</v>
      </c>
      <c r="D7749" t="s">
        <v>2408</v>
      </c>
      <c r="E7749" t="s">
        <v>2409</v>
      </c>
      <c r="F7749">
        <v>1005</v>
      </c>
      <c r="G7749" t="s">
        <v>111</v>
      </c>
      <c r="H7749">
        <v>2814</v>
      </c>
      <c r="I7749" t="s">
        <v>114</v>
      </c>
      <c r="J7749">
        <v>3924</v>
      </c>
      <c r="K7749" t="s">
        <v>2427</v>
      </c>
      <c r="L7749">
        <v>0</v>
      </c>
      <c r="N7749" t="s">
        <v>274</v>
      </c>
      <c r="O7749">
        <v>20</v>
      </c>
      <c r="P7749">
        <v>3057</v>
      </c>
      <c r="Q7749" t="s">
        <v>1121</v>
      </c>
      <c r="R7749" t="s">
        <v>201</v>
      </c>
      <c r="S7749">
        <v>1</v>
      </c>
      <c r="T7749">
        <v>1</v>
      </c>
      <c r="U7749">
        <v>153384</v>
      </c>
      <c r="V7749">
        <v>153384</v>
      </c>
    </row>
    <row r="7750" spans="1:22">
      <c r="A7750" t="s">
        <v>2333</v>
      </c>
      <c r="B7750">
        <v>41</v>
      </c>
      <c r="C7750" t="s">
        <v>1097</v>
      </c>
      <c r="D7750" t="s">
        <v>2408</v>
      </c>
      <c r="E7750" t="s">
        <v>2409</v>
      </c>
      <c r="F7750">
        <v>1005</v>
      </c>
      <c r="G7750" t="s">
        <v>111</v>
      </c>
      <c r="H7750">
        <v>2814</v>
      </c>
      <c r="I7750" t="s">
        <v>114</v>
      </c>
      <c r="J7750">
        <v>3924</v>
      </c>
      <c r="K7750" t="s">
        <v>2427</v>
      </c>
      <c r="L7750">
        <v>0</v>
      </c>
      <c r="N7750" t="s">
        <v>199</v>
      </c>
      <c r="O7750">
        <v>0</v>
      </c>
      <c r="P7750">
        <v>44</v>
      </c>
      <c r="Q7750" t="s">
        <v>2337</v>
      </c>
      <c r="R7750" t="s">
        <v>201</v>
      </c>
      <c r="S7750">
        <v>0</v>
      </c>
      <c r="T7750">
        <v>0</v>
      </c>
      <c r="U7750">
        <v>589521</v>
      </c>
      <c r="V7750">
        <v>589521</v>
      </c>
    </row>
    <row r="7751" spans="1:22">
      <c r="A7751" t="s">
        <v>2333</v>
      </c>
      <c r="B7751">
        <v>41</v>
      </c>
      <c r="C7751" t="s">
        <v>1097</v>
      </c>
      <c r="D7751" t="s">
        <v>2408</v>
      </c>
      <c r="E7751" t="s">
        <v>2409</v>
      </c>
      <c r="F7751">
        <v>1005</v>
      </c>
      <c r="G7751" t="s">
        <v>111</v>
      </c>
      <c r="H7751">
        <v>2814</v>
      </c>
      <c r="I7751" t="s">
        <v>114</v>
      </c>
      <c r="J7751">
        <v>3924</v>
      </c>
      <c r="K7751" t="s">
        <v>2427</v>
      </c>
      <c r="L7751">
        <v>0</v>
      </c>
      <c r="N7751" t="s">
        <v>199</v>
      </c>
      <c r="O7751">
        <v>0</v>
      </c>
      <c r="P7751">
        <v>15</v>
      </c>
      <c r="Q7751" t="s">
        <v>264</v>
      </c>
      <c r="R7751" t="s">
        <v>201</v>
      </c>
      <c r="S7751">
        <v>0</v>
      </c>
      <c r="T7751">
        <v>0</v>
      </c>
      <c r="U7751">
        <v>10053</v>
      </c>
      <c r="V7751">
        <v>10053</v>
      </c>
    </row>
    <row r="7752" spans="1:22">
      <c r="A7752" t="s">
        <v>2333</v>
      </c>
      <c r="B7752">
        <v>41</v>
      </c>
      <c r="C7752" t="s">
        <v>1097</v>
      </c>
      <c r="D7752" t="s">
        <v>2408</v>
      </c>
      <c r="E7752" t="s">
        <v>2409</v>
      </c>
      <c r="F7752">
        <v>1005</v>
      </c>
      <c r="G7752" t="s">
        <v>111</v>
      </c>
      <c r="H7752" t="s">
        <v>2429</v>
      </c>
      <c r="I7752" t="s">
        <v>147</v>
      </c>
      <c r="J7752" t="s">
        <v>2430</v>
      </c>
      <c r="K7752" t="s">
        <v>2431</v>
      </c>
      <c r="L7752">
        <v>0</v>
      </c>
      <c r="N7752" t="s">
        <v>372</v>
      </c>
      <c r="O7752">
        <v>4</v>
      </c>
      <c r="P7752">
        <v>3466</v>
      </c>
      <c r="Q7752" t="s">
        <v>1129</v>
      </c>
      <c r="R7752" t="s">
        <v>201</v>
      </c>
      <c r="S7752">
        <v>2</v>
      </c>
      <c r="T7752">
        <v>1</v>
      </c>
      <c r="U7752">
        <v>85200</v>
      </c>
      <c r="V7752">
        <v>170400</v>
      </c>
    </row>
    <row r="7753" spans="1:22">
      <c r="A7753" t="s">
        <v>2333</v>
      </c>
      <c r="B7753">
        <v>41</v>
      </c>
      <c r="C7753" t="s">
        <v>1097</v>
      </c>
      <c r="D7753" t="s">
        <v>2408</v>
      </c>
      <c r="E7753" t="s">
        <v>2409</v>
      </c>
      <c r="F7753">
        <v>1005</v>
      </c>
      <c r="G7753" t="s">
        <v>111</v>
      </c>
      <c r="H7753" t="s">
        <v>2429</v>
      </c>
      <c r="I7753" t="s">
        <v>147</v>
      </c>
      <c r="J7753" t="s">
        <v>2430</v>
      </c>
      <c r="K7753" t="s">
        <v>2431</v>
      </c>
      <c r="L7753">
        <v>0</v>
      </c>
      <c r="N7753" t="s">
        <v>356</v>
      </c>
      <c r="O7753">
        <v>3</v>
      </c>
      <c r="P7753">
        <v>2989</v>
      </c>
      <c r="Q7753" t="s">
        <v>2351</v>
      </c>
      <c r="R7753" t="s">
        <v>201</v>
      </c>
      <c r="S7753">
        <v>1</v>
      </c>
      <c r="T7753">
        <v>1</v>
      </c>
      <c r="U7753">
        <v>97488</v>
      </c>
      <c r="V7753">
        <v>97488</v>
      </c>
    </row>
    <row r="7754" spans="1:22">
      <c r="A7754" t="s">
        <v>2333</v>
      </c>
      <c r="B7754">
        <v>41</v>
      </c>
      <c r="C7754" t="s">
        <v>1097</v>
      </c>
      <c r="D7754" t="s">
        <v>2408</v>
      </c>
      <c r="E7754" t="s">
        <v>2409</v>
      </c>
      <c r="F7754">
        <v>1005</v>
      </c>
      <c r="G7754" t="s">
        <v>111</v>
      </c>
      <c r="H7754" t="s">
        <v>2429</v>
      </c>
      <c r="I7754" t="s">
        <v>147</v>
      </c>
      <c r="J7754" t="s">
        <v>2430</v>
      </c>
      <c r="K7754" t="s">
        <v>2431</v>
      </c>
      <c r="L7754">
        <v>0</v>
      </c>
      <c r="N7754" t="s">
        <v>702</v>
      </c>
      <c r="O7754">
        <v>4</v>
      </c>
      <c r="P7754">
        <v>2921</v>
      </c>
      <c r="Q7754" t="s">
        <v>1378</v>
      </c>
      <c r="R7754" t="s">
        <v>201</v>
      </c>
      <c r="S7754">
        <v>1</v>
      </c>
      <c r="T7754">
        <v>1</v>
      </c>
      <c r="U7754">
        <v>80196</v>
      </c>
      <c r="V7754">
        <v>80196</v>
      </c>
    </row>
    <row r="7755" spans="1:22">
      <c r="A7755" t="s">
        <v>2333</v>
      </c>
      <c r="B7755">
        <v>41</v>
      </c>
      <c r="C7755" t="s">
        <v>1097</v>
      </c>
      <c r="D7755" t="s">
        <v>2408</v>
      </c>
      <c r="E7755" t="s">
        <v>2409</v>
      </c>
      <c r="F7755">
        <v>1005</v>
      </c>
      <c r="G7755" t="s">
        <v>111</v>
      </c>
      <c r="H7755" t="s">
        <v>2429</v>
      </c>
      <c r="I7755" t="s">
        <v>147</v>
      </c>
      <c r="J7755" t="s">
        <v>2430</v>
      </c>
      <c r="K7755" t="s">
        <v>2431</v>
      </c>
      <c r="L7755">
        <v>0</v>
      </c>
      <c r="N7755" t="s">
        <v>199</v>
      </c>
      <c r="O7755">
        <v>0</v>
      </c>
      <c r="P7755">
        <v>44</v>
      </c>
      <c r="Q7755" t="s">
        <v>2337</v>
      </c>
      <c r="R7755" t="s">
        <v>201</v>
      </c>
      <c r="S7755">
        <v>0</v>
      </c>
      <c r="T7755">
        <v>0</v>
      </c>
      <c r="U7755">
        <v>194788</v>
      </c>
      <c r="V7755">
        <v>194788</v>
      </c>
    </row>
    <row r="7756" spans="1:22">
      <c r="A7756" t="s">
        <v>2333</v>
      </c>
      <c r="B7756">
        <v>41</v>
      </c>
      <c r="C7756" t="s">
        <v>1097</v>
      </c>
      <c r="D7756" t="s">
        <v>2408</v>
      </c>
      <c r="E7756" t="s">
        <v>2409</v>
      </c>
      <c r="F7756">
        <v>1005</v>
      </c>
      <c r="G7756" t="s">
        <v>111</v>
      </c>
      <c r="H7756" t="s">
        <v>2429</v>
      </c>
      <c r="I7756" t="s">
        <v>147</v>
      </c>
      <c r="J7756" t="s">
        <v>2430</v>
      </c>
      <c r="K7756" t="s">
        <v>2431</v>
      </c>
      <c r="L7756">
        <v>0</v>
      </c>
      <c r="N7756" t="s">
        <v>199</v>
      </c>
      <c r="O7756">
        <v>0</v>
      </c>
      <c r="P7756">
        <v>15</v>
      </c>
      <c r="Q7756" t="s">
        <v>264</v>
      </c>
      <c r="R7756" t="s">
        <v>201</v>
      </c>
      <c r="S7756">
        <v>0</v>
      </c>
      <c r="T7756">
        <v>0</v>
      </c>
      <c r="U7756">
        <v>12182</v>
      </c>
      <c r="V7756">
        <v>12182</v>
      </c>
    </row>
    <row r="7757" spans="1:22">
      <c r="A7757" t="s">
        <v>2333</v>
      </c>
      <c r="B7757">
        <v>41</v>
      </c>
      <c r="C7757" t="s">
        <v>1097</v>
      </c>
      <c r="D7757" t="s">
        <v>2408</v>
      </c>
      <c r="E7757" t="s">
        <v>2409</v>
      </c>
      <c r="F7757">
        <v>1005</v>
      </c>
      <c r="G7757" t="s">
        <v>111</v>
      </c>
      <c r="H7757" t="s">
        <v>2432</v>
      </c>
      <c r="I7757" t="s">
        <v>116</v>
      </c>
      <c r="J7757" t="s">
        <v>2433</v>
      </c>
      <c r="K7757" t="s">
        <v>2434</v>
      </c>
      <c r="L7757">
        <v>0</v>
      </c>
      <c r="N7757" t="s">
        <v>343</v>
      </c>
      <c r="O7757">
        <v>10</v>
      </c>
      <c r="P7757">
        <v>3469</v>
      </c>
      <c r="Q7757" t="s">
        <v>1160</v>
      </c>
      <c r="R7757" t="s">
        <v>201</v>
      </c>
      <c r="S7757">
        <v>1</v>
      </c>
      <c r="T7757">
        <v>1</v>
      </c>
      <c r="U7757">
        <v>113568</v>
      </c>
      <c r="V7757">
        <v>113568</v>
      </c>
    </row>
    <row r="7758" spans="1:22">
      <c r="A7758" t="s">
        <v>2333</v>
      </c>
      <c r="B7758">
        <v>41</v>
      </c>
      <c r="C7758" t="s">
        <v>1097</v>
      </c>
      <c r="D7758" t="s">
        <v>2408</v>
      </c>
      <c r="E7758" t="s">
        <v>2409</v>
      </c>
      <c r="F7758">
        <v>1005</v>
      </c>
      <c r="G7758" t="s">
        <v>111</v>
      </c>
      <c r="H7758" t="s">
        <v>2432</v>
      </c>
      <c r="I7758" t="s">
        <v>116</v>
      </c>
      <c r="J7758" t="s">
        <v>2433</v>
      </c>
      <c r="K7758" t="s">
        <v>2434</v>
      </c>
      <c r="L7758">
        <v>0</v>
      </c>
      <c r="N7758" t="s">
        <v>372</v>
      </c>
      <c r="O7758">
        <v>4</v>
      </c>
      <c r="P7758">
        <v>3466</v>
      </c>
      <c r="Q7758" t="s">
        <v>1129</v>
      </c>
      <c r="R7758" t="s">
        <v>201</v>
      </c>
      <c r="S7758">
        <v>1</v>
      </c>
      <c r="T7758">
        <v>1</v>
      </c>
      <c r="U7758">
        <v>124848</v>
      </c>
      <c r="V7758">
        <v>124848</v>
      </c>
    </row>
    <row r="7759" spans="1:22">
      <c r="A7759" t="s">
        <v>2333</v>
      </c>
      <c r="B7759">
        <v>41</v>
      </c>
      <c r="C7759" t="s">
        <v>1097</v>
      </c>
      <c r="D7759" t="s">
        <v>2408</v>
      </c>
      <c r="E7759" t="s">
        <v>2409</v>
      </c>
      <c r="F7759">
        <v>1005</v>
      </c>
      <c r="G7759" t="s">
        <v>111</v>
      </c>
      <c r="H7759" t="s">
        <v>2432</v>
      </c>
      <c r="I7759" t="s">
        <v>116</v>
      </c>
      <c r="J7759" t="s">
        <v>2433</v>
      </c>
      <c r="K7759" t="s">
        <v>2434</v>
      </c>
      <c r="L7759">
        <v>0</v>
      </c>
      <c r="N7759" t="s">
        <v>372</v>
      </c>
      <c r="O7759">
        <v>4</v>
      </c>
      <c r="P7759">
        <v>3466</v>
      </c>
      <c r="Q7759" t="s">
        <v>1129</v>
      </c>
      <c r="R7759" t="s">
        <v>201</v>
      </c>
      <c r="S7759">
        <v>1</v>
      </c>
      <c r="T7759">
        <v>1</v>
      </c>
      <c r="U7759">
        <v>113628</v>
      </c>
      <c r="V7759">
        <v>113628</v>
      </c>
    </row>
    <row r="7760" spans="1:22">
      <c r="A7760" t="s">
        <v>2333</v>
      </c>
      <c r="B7760">
        <v>41</v>
      </c>
      <c r="C7760" t="s">
        <v>1097</v>
      </c>
      <c r="D7760" t="s">
        <v>2408</v>
      </c>
      <c r="E7760" t="s">
        <v>2409</v>
      </c>
      <c r="F7760">
        <v>1005</v>
      </c>
      <c r="G7760" t="s">
        <v>111</v>
      </c>
      <c r="H7760" t="s">
        <v>2432</v>
      </c>
      <c r="I7760" t="s">
        <v>116</v>
      </c>
      <c r="J7760" t="s">
        <v>2433</v>
      </c>
      <c r="K7760" t="s">
        <v>2434</v>
      </c>
      <c r="L7760">
        <v>0</v>
      </c>
      <c r="N7760" t="s">
        <v>372</v>
      </c>
      <c r="O7760">
        <v>4</v>
      </c>
      <c r="P7760">
        <v>3466</v>
      </c>
      <c r="Q7760" t="s">
        <v>1129</v>
      </c>
      <c r="R7760" t="s">
        <v>201</v>
      </c>
      <c r="S7760">
        <v>1</v>
      </c>
      <c r="T7760">
        <v>1</v>
      </c>
      <c r="U7760">
        <v>85200</v>
      </c>
      <c r="V7760">
        <v>85200</v>
      </c>
    </row>
    <row r="7761" spans="1:22">
      <c r="A7761" t="s">
        <v>2333</v>
      </c>
      <c r="B7761">
        <v>41</v>
      </c>
      <c r="C7761" t="s">
        <v>1097</v>
      </c>
      <c r="D7761" t="s">
        <v>2408</v>
      </c>
      <c r="E7761" t="s">
        <v>2409</v>
      </c>
      <c r="F7761">
        <v>1005</v>
      </c>
      <c r="G7761" t="s">
        <v>111</v>
      </c>
      <c r="H7761" t="s">
        <v>2432</v>
      </c>
      <c r="I7761" t="s">
        <v>116</v>
      </c>
      <c r="J7761" t="s">
        <v>2433</v>
      </c>
      <c r="K7761" t="s">
        <v>2434</v>
      </c>
      <c r="L7761">
        <v>0</v>
      </c>
      <c r="N7761" t="s">
        <v>372</v>
      </c>
      <c r="O7761">
        <v>4</v>
      </c>
      <c r="P7761">
        <v>3466</v>
      </c>
      <c r="Q7761" t="s">
        <v>1129</v>
      </c>
      <c r="R7761" t="s">
        <v>201</v>
      </c>
      <c r="S7761">
        <v>3</v>
      </c>
      <c r="T7761">
        <v>1</v>
      </c>
      <c r="U7761">
        <v>81324</v>
      </c>
      <c r="V7761">
        <v>243972</v>
      </c>
    </row>
    <row r="7762" spans="1:22">
      <c r="A7762" t="s">
        <v>2333</v>
      </c>
      <c r="B7762">
        <v>41</v>
      </c>
      <c r="C7762" t="s">
        <v>1097</v>
      </c>
      <c r="D7762" t="s">
        <v>2408</v>
      </c>
      <c r="E7762" t="s">
        <v>2409</v>
      </c>
      <c r="F7762">
        <v>1005</v>
      </c>
      <c r="G7762" t="s">
        <v>111</v>
      </c>
      <c r="H7762" t="s">
        <v>2432</v>
      </c>
      <c r="I7762" t="s">
        <v>116</v>
      </c>
      <c r="J7762" t="s">
        <v>2433</v>
      </c>
      <c r="K7762" t="s">
        <v>2434</v>
      </c>
      <c r="L7762">
        <v>0</v>
      </c>
      <c r="N7762" t="s">
        <v>341</v>
      </c>
      <c r="O7762">
        <v>3</v>
      </c>
      <c r="P7762">
        <v>3434</v>
      </c>
      <c r="Q7762" t="s">
        <v>1140</v>
      </c>
      <c r="R7762" t="s">
        <v>201</v>
      </c>
      <c r="S7762">
        <v>1</v>
      </c>
      <c r="T7762">
        <v>1</v>
      </c>
      <c r="U7762">
        <v>103608</v>
      </c>
      <c r="V7762">
        <v>103608</v>
      </c>
    </row>
    <row r="7763" spans="1:22">
      <c r="A7763" t="s">
        <v>2333</v>
      </c>
      <c r="B7763">
        <v>41</v>
      </c>
      <c r="C7763" t="s">
        <v>1097</v>
      </c>
      <c r="D7763" t="s">
        <v>2408</v>
      </c>
      <c r="E7763" t="s">
        <v>2409</v>
      </c>
      <c r="F7763">
        <v>1005</v>
      </c>
      <c r="G7763" t="s">
        <v>111</v>
      </c>
      <c r="H7763" t="s">
        <v>2432</v>
      </c>
      <c r="I7763" t="s">
        <v>116</v>
      </c>
      <c r="J7763" t="s">
        <v>2433</v>
      </c>
      <c r="K7763" t="s">
        <v>2434</v>
      </c>
      <c r="L7763">
        <v>0</v>
      </c>
      <c r="N7763" t="s">
        <v>341</v>
      </c>
      <c r="O7763">
        <v>3</v>
      </c>
      <c r="P7763">
        <v>3434</v>
      </c>
      <c r="Q7763" t="s">
        <v>1140</v>
      </c>
      <c r="R7763" t="s">
        <v>201</v>
      </c>
      <c r="S7763">
        <v>1</v>
      </c>
      <c r="T7763">
        <v>1</v>
      </c>
      <c r="U7763">
        <v>70752</v>
      </c>
      <c r="V7763">
        <v>70752</v>
      </c>
    </row>
    <row r="7764" spans="1:22">
      <c r="A7764" t="s">
        <v>2333</v>
      </c>
      <c r="B7764">
        <v>41</v>
      </c>
      <c r="C7764" t="s">
        <v>1097</v>
      </c>
      <c r="D7764" t="s">
        <v>2408</v>
      </c>
      <c r="E7764" t="s">
        <v>2409</v>
      </c>
      <c r="F7764">
        <v>1005</v>
      </c>
      <c r="G7764" t="s">
        <v>111</v>
      </c>
      <c r="H7764" t="s">
        <v>2432</v>
      </c>
      <c r="I7764" t="s">
        <v>116</v>
      </c>
      <c r="J7764" t="s">
        <v>2433</v>
      </c>
      <c r="K7764" t="s">
        <v>2434</v>
      </c>
      <c r="L7764">
        <v>0</v>
      </c>
      <c r="N7764" t="s">
        <v>341</v>
      </c>
      <c r="O7764">
        <v>3</v>
      </c>
      <c r="P7764">
        <v>3434</v>
      </c>
      <c r="Q7764" t="s">
        <v>1140</v>
      </c>
      <c r="R7764" t="s">
        <v>201</v>
      </c>
      <c r="S7764">
        <v>1</v>
      </c>
      <c r="T7764">
        <v>1</v>
      </c>
      <c r="U7764">
        <v>68616</v>
      </c>
      <c r="V7764">
        <v>68616</v>
      </c>
    </row>
    <row r="7765" spans="1:22">
      <c r="A7765" t="s">
        <v>2333</v>
      </c>
      <c r="B7765">
        <v>41</v>
      </c>
      <c r="C7765" t="s">
        <v>1097</v>
      </c>
      <c r="D7765" t="s">
        <v>2408</v>
      </c>
      <c r="E7765" t="s">
        <v>2409</v>
      </c>
      <c r="F7765">
        <v>1005</v>
      </c>
      <c r="G7765" t="s">
        <v>111</v>
      </c>
      <c r="H7765" t="s">
        <v>2432</v>
      </c>
      <c r="I7765" t="s">
        <v>116</v>
      </c>
      <c r="J7765" t="s">
        <v>2433</v>
      </c>
      <c r="K7765" t="s">
        <v>2434</v>
      </c>
      <c r="L7765">
        <v>0</v>
      </c>
      <c r="N7765" t="s">
        <v>297</v>
      </c>
      <c r="O7765">
        <v>20</v>
      </c>
      <c r="P7765">
        <v>3401</v>
      </c>
      <c r="Q7765" t="s">
        <v>2372</v>
      </c>
      <c r="R7765" t="s">
        <v>201</v>
      </c>
      <c r="S7765">
        <v>1</v>
      </c>
      <c r="T7765">
        <v>1</v>
      </c>
      <c r="U7765">
        <v>97332</v>
      </c>
      <c r="V7765">
        <v>97332</v>
      </c>
    </row>
    <row r="7766" spans="1:22">
      <c r="A7766" t="s">
        <v>2333</v>
      </c>
      <c r="B7766">
        <v>41</v>
      </c>
      <c r="C7766" t="s">
        <v>1097</v>
      </c>
      <c r="D7766" t="s">
        <v>2408</v>
      </c>
      <c r="E7766" t="s">
        <v>2409</v>
      </c>
      <c r="F7766">
        <v>1005</v>
      </c>
      <c r="G7766" t="s">
        <v>111</v>
      </c>
      <c r="H7766" t="s">
        <v>2432</v>
      </c>
      <c r="I7766" t="s">
        <v>116</v>
      </c>
      <c r="J7766" t="s">
        <v>2433</v>
      </c>
      <c r="K7766" t="s">
        <v>2434</v>
      </c>
      <c r="L7766">
        <v>0</v>
      </c>
      <c r="N7766" t="s">
        <v>199</v>
      </c>
      <c r="O7766">
        <v>0</v>
      </c>
      <c r="P7766">
        <v>44</v>
      </c>
      <c r="Q7766" t="s">
        <v>2337</v>
      </c>
      <c r="R7766" t="s">
        <v>201</v>
      </c>
      <c r="S7766">
        <v>0</v>
      </c>
      <c r="T7766">
        <v>0</v>
      </c>
      <c r="U7766">
        <v>571646</v>
      </c>
      <c r="V7766">
        <v>571646</v>
      </c>
    </row>
    <row r="7767" spans="1:22">
      <c r="A7767" t="s">
        <v>2333</v>
      </c>
      <c r="B7767">
        <v>41</v>
      </c>
      <c r="C7767" t="s">
        <v>1097</v>
      </c>
      <c r="D7767" t="s">
        <v>2408</v>
      </c>
      <c r="E7767" t="s">
        <v>2409</v>
      </c>
      <c r="F7767">
        <v>1005</v>
      </c>
      <c r="G7767" t="s">
        <v>111</v>
      </c>
      <c r="H7767" t="s">
        <v>2432</v>
      </c>
      <c r="I7767" t="s">
        <v>116</v>
      </c>
      <c r="J7767" t="s">
        <v>2433</v>
      </c>
      <c r="K7767" t="s">
        <v>2434</v>
      </c>
      <c r="L7767">
        <v>0</v>
      </c>
      <c r="N7767" t="s">
        <v>199</v>
      </c>
      <c r="O7767">
        <v>0</v>
      </c>
      <c r="P7767">
        <v>15</v>
      </c>
      <c r="Q7767" t="s">
        <v>264</v>
      </c>
      <c r="R7767" t="s">
        <v>201</v>
      </c>
      <c r="S7767">
        <v>0</v>
      </c>
      <c r="T7767">
        <v>0</v>
      </c>
      <c r="U7767">
        <v>17595</v>
      </c>
      <c r="V7767">
        <v>17595</v>
      </c>
    </row>
    <row r="7768" spans="1:22">
      <c r="A7768" t="s">
        <v>2333</v>
      </c>
      <c r="B7768">
        <v>41</v>
      </c>
      <c r="C7768" t="s">
        <v>1097</v>
      </c>
      <c r="D7768" t="s">
        <v>2408</v>
      </c>
      <c r="E7768" t="s">
        <v>2409</v>
      </c>
      <c r="F7768">
        <v>1005</v>
      </c>
      <c r="G7768" t="s">
        <v>111</v>
      </c>
      <c r="H7768">
        <v>2820</v>
      </c>
      <c r="I7768" t="s">
        <v>92</v>
      </c>
      <c r="J7768">
        <v>3934</v>
      </c>
      <c r="K7768" t="s">
        <v>2435</v>
      </c>
      <c r="L7768">
        <v>0</v>
      </c>
      <c r="N7768" t="s">
        <v>1124</v>
      </c>
      <c r="O7768">
        <v>37</v>
      </c>
      <c r="P7768">
        <v>3752</v>
      </c>
      <c r="Q7768" t="s">
        <v>1125</v>
      </c>
      <c r="R7768" t="s">
        <v>201</v>
      </c>
      <c r="S7768">
        <v>1</v>
      </c>
      <c r="T7768">
        <v>1</v>
      </c>
      <c r="U7768">
        <v>107544</v>
      </c>
      <c r="V7768">
        <v>107544</v>
      </c>
    </row>
    <row r="7769" spans="1:22">
      <c r="A7769" t="s">
        <v>2333</v>
      </c>
      <c r="B7769">
        <v>41</v>
      </c>
      <c r="C7769" t="s">
        <v>1097</v>
      </c>
      <c r="D7769" t="s">
        <v>2408</v>
      </c>
      <c r="E7769" t="s">
        <v>2409</v>
      </c>
      <c r="F7769">
        <v>1005</v>
      </c>
      <c r="G7769" t="s">
        <v>111</v>
      </c>
      <c r="H7769">
        <v>2820</v>
      </c>
      <c r="I7769" t="s">
        <v>92</v>
      </c>
      <c r="J7769">
        <v>3934</v>
      </c>
      <c r="K7769" t="s">
        <v>2435</v>
      </c>
      <c r="L7769">
        <v>0</v>
      </c>
      <c r="N7769" t="s">
        <v>1136</v>
      </c>
      <c r="O7769">
        <v>37</v>
      </c>
      <c r="P7769">
        <v>3751</v>
      </c>
      <c r="Q7769" t="s">
        <v>1137</v>
      </c>
      <c r="R7769" t="s">
        <v>201</v>
      </c>
      <c r="S7769">
        <v>2</v>
      </c>
      <c r="T7769">
        <v>1</v>
      </c>
      <c r="U7769">
        <v>97644</v>
      </c>
      <c r="V7769">
        <v>195288</v>
      </c>
    </row>
    <row r="7770" spans="1:22">
      <c r="A7770" t="s">
        <v>2333</v>
      </c>
      <c r="B7770">
        <v>41</v>
      </c>
      <c r="C7770" t="s">
        <v>1097</v>
      </c>
      <c r="D7770" t="s">
        <v>2408</v>
      </c>
      <c r="E7770" t="s">
        <v>2409</v>
      </c>
      <c r="F7770">
        <v>1005</v>
      </c>
      <c r="G7770" t="s">
        <v>111</v>
      </c>
      <c r="H7770">
        <v>2820</v>
      </c>
      <c r="I7770" t="s">
        <v>92</v>
      </c>
      <c r="J7770">
        <v>3934</v>
      </c>
      <c r="K7770" t="s">
        <v>2435</v>
      </c>
      <c r="L7770">
        <v>0</v>
      </c>
      <c r="N7770" t="s">
        <v>1154</v>
      </c>
      <c r="O7770">
        <v>56</v>
      </c>
      <c r="P7770">
        <v>3701</v>
      </c>
      <c r="Q7770" t="s">
        <v>1155</v>
      </c>
      <c r="R7770" t="s">
        <v>201</v>
      </c>
      <c r="S7770">
        <v>1</v>
      </c>
      <c r="T7770">
        <v>1</v>
      </c>
      <c r="U7770">
        <v>147672</v>
      </c>
      <c r="V7770">
        <v>147672</v>
      </c>
    </row>
    <row r="7771" spans="1:22">
      <c r="A7771" t="s">
        <v>2333</v>
      </c>
      <c r="B7771">
        <v>41</v>
      </c>
      <c r="C7771" t="s">
        <v>1097</v>
      </c>
      <c r="D7771" t="s">
        <v>2408</v>
      </c>
      <c r="E7771" t="s">
        <v>2409</v>
      </c>
      <c r="F7771">
        <v>1005</v>
      </c>
      <c r="G7771" t="s">
        <v>111</v>
      </c>
      <c r="H7771">
        <v>2820</v>
      </c>
      <c r="I7771" t="s">
        <v>92</v>
      </c>
      <c r="J7771">
        <v>3934</v>
      </c>
      <c r="K7771" t="s">
        <v>2435</v>
      </c>
      <c r="L7771">
        <v>0</v>
      </c>
      <c r="N7771" t="s">
        <v>392</v>
      </c>
      <c r="O7771">
        <v>4</v>
      </c>
      <c r="P7771">
        <v>3467</v>
      </c>
      <c r="Q7771" t="s">
        <v>1116</v>
      </c>
      <c r="R7771" t="s">
        <v>201</v>
      </c>
      <c r="S7771">
        <v>1</v>
      </c>
      <c r="T7771">
        <v>1</v>
      </c>
      <c r="U7771">
        <v>130668</v>
      </c>
      <c r="V7771">
        <v>130668</v>
      </c>
    </row>
    <row r="7772" spans="1:22">
      <c r="A7772" t="s">
        <v>2333</v>
      </c>
      <c r="B7772">
        <v>41</v>
      </c>
      <c r="C7772" t="s">
        <v>1097</v>
      </c>
      <c r="D7772" t="s">
        <v>2408</v>
      </c>
      <c r="E7772" t="s">
        <v>2409</v>
      </c>
      <c r="F7772">
        <v>1005</v>
      </c>
      <c r="G7772" t="s">
        <v>111</v>
      </c>
      <c r="H7772">
        <v>2820</v>
      </c>
      <c r="I7772" t="s">
        <v>92</v>
      </c>
      <c r="J7772">
        <v>3934</v>
      </c>
      <c r="K7772" t="s">
        <v>2435</v>
      </c>
      <c r="L7772">
        <v>0</v>
      </c>
      <c r="N7772" t="s">
        <v>372</v>
      </c>
      <c r="O7772">
        <v>4</v>
      </c>
      <c r="P7772">
        <v>3466</v>
      </c>
      <c r="Q7772" t="s">
        <v>1129</v>
      </c>
      <c r="R7772" t="s">
        <v>201</v>
      </c>
      <c r="S7772">
        <v>1</v>
      </c>
      <c r="T7772">
        <v>1</v>
      </c>
      <c r="U7772">
        <v>130668</v>
      </c>
      <c r="V7772">
        <v>130668</v>
      </c>
    </row>
    <row r="7773" spans="1:22">
      <c r="A7773" t="s">
        <v>2333</v>
      </c>
      <c r="B7773">
        <v>41</v>
      </c>
      <c r="C7773" t="s">
        <v>1097</v>
      </c>
      <c r="D7773" t="s">
        <v>2408</v>
      </c>
      <c r="E7773" t="s">
        <v>2409</v>
      </c>
      <c r="F7773">
        <v>1005</v>
      </c>
      <c r="G7773" t="s">
        <v>111</v>
      </c>
      <c r="H7773">
        <v>2820</v>
      </c>
      <c r="I7773" t="s">
        <v>92</v>
      </c>
      <c r="J7773">
        <v>3934</v>
      </c>
      <c r="K7773" t="s">
        <v>2435</v>
      </c>
      <c r="L7773">
        <v>0</v>
      </c>
      <c r="N7773" t="s">
        <v>351</v>
      </c>
      <c r="O7773">
        <v>4</v>
      </c>
      <c r="P7773">
        <v>3465</v>
      </c>
      <c r="Q7773" t="s">
        <v>2436</v>
      </c>
      <c r="R7773" t="s">
        <v>201</v>
      </c>
      <c r="S7773">
        <v>3</v>
      </c>
      <c r="T7773">
        <v>1</v>
      </c>
      <c r="U7773">
        <v>108576</v>
      </c>
      <c r="V7773">
        <v>325728</v>
      </c>
    </row>
    <row r="7774" spans="1:22">
      <c r="A7774" t="s">
        <v>2333</v>
      </c>
      <c r="B7774">
        <v>41</v>
      </c>
      <c r="C7774" t="s">
        <v>1097</v>
      </c>
      <c r="D7774" t="s">
        <v>2408</v>
      </c>
      <c r="E7774" t="s">
        <v>2409</v>
      </c>
      <c r="F7774">
        <v>1005</v>
      </c>
      <c r="G7774" t="s">
        <v>111</v>
      </c>
      <c r="H7774">
        <v>2820</v>
      </c>
      <c r="I7774" t="s">
        <v>92</v>
      </c>
      <c r="J7774">
        <v>3934</v>
      </c>
      <c r="K7774" t="s">
        <v>2435</v>
      </c>
      <c r="L7774">
        <v>0</v>
      </c>
      <c r="N7774" t="s">
        <v>251</v>
      </c>
      <c r="O7774">
        <v>10</v>
      </c>
      <c r="P7774">
        <v>3464</v>
      </c>
      <c r="Q7774" t="s">
        <v>2369</v>
      </c>
      <c r="R7774" t="s">
        <v>201</v>
      </c>
      <c r="S7774">
        <v>1</v>
      </c>
      <c r="T7774">
        <v>1</v>
      </c>
      <c r="U7774">
        <v>118956</v>
      </c>
      <c r="V7774">
        <v>118956</v>
      </c>
    </row>
    <row r="7775" spans="1:22">
      <c r="A7775" t="s">
        <v>2333</v>
      </c>
      <c r="B7775">
        <v>41</v>
      </c>
      <c r="C7775" t="s">
        <v>1097</v>
      </c>
      <c r="D7775" t="s">
        <v>2408</v>
      </c>
      <c r="E7775" t="s">
        <v>2409</v>
      </c>
      <c r="F7775">
        <v>1005</v>
      </c>
      <c r="G7775" t="s">
        <v>111</v>
      </c>
      <c r="H7775">
        <v>2820</v>
      </c>
      <c r="I7775" t="s">
        <v>92</v>
      </c>
      <c r="J7775">
        <v>3934</v>
      </c>
      <c r="K7775" t="s">
        <v>2435</v>
      </c>
      <c r="L7775">
        <v>0</v>
      </c>
      <c r="N7775" t="s">
        <v>341</v>
      </c>
      <c r="O7775">
        <v>3</v>
      </c>
      <c r="P7775">
        <v>3434</v>
      </c>
      <c r="Q7775" t="s">
        <v>1140</v>
      </c>
      <c r="R7775" t="s">
        <v>201</v>
      </c>
      <c r="S7775">
        <v>1</v>
      </c>
      <c r="T7775">
        <v>1</v>
      </c>
      <c r="U7775">
        <v>119100</v>
      </c>
      <c r="V7775">
        <v>119100</v>
      </c>
    </row>
    <row r="7776" spans="1:22">
      <c r="A7776" t="s">
        <v>2333</v>
      </c>
      <c r="B7776">
        <v>41</v>
      </c>
      <c r="C7776" t="s">
        <v>1097</v>
      </c>
      <c r="D7776" t="s">
        <v>2408</v>
      </c>
      <c r="E7776" t="s">
        <v>2409</v>
      </c>
      <c r="F7776">
        <v>1005</v>
      </c>
      <c r="G7776" t="s">
        <v>111</v>
      </c>
      <c r="H7776">
        <v>2820</v>
      </c>
      <c r="I7776" t="s">
        <v>92</v>
      </c>
      <c r="J7776">
        <v>3934</v>
      </c>
      <c r="K7776" t="s">
        <v>2435</v>
      </c>
      <c r="L7776">
        <v>0</v>
      </c>
      <c r="N7776" t="s">
        <v>356</v>
      </c>
      <c r="O7776">
        <v>4</v>
      </c>
      <c r="P7776">
        <v>3414</v>
      </c>
      <c r="Q7776" t="s">
        <v>1109</v>
      </c>
      <c r="R7776" t="s">
        <v>201</v>
      </c>
      <c r="S7776">
        <v>1</v>
      </c>
      <c r="T7776">
        <v>1</v>
      </c>
      <c r="U7776">
        <v>102516</v>
      </c>
      <c r="V7776">
        <v>102516</v>
      </c>
    </row>
    <row r="7777" spans="1:22">
      <c r="A7777" t="s">
        <v>2333</v>
      </c>
      <c r="B7777">
        <v>41</v>
      </c>
      <c r="C7777" t="s">
        <v>1097</v>
      </c>
      <c r="D7777" t="s">
        <v>2408</v>
      </c>
      <c r="E7777" t="s">
        <v>2409</v>
      </c>
      <c r="F7777">
        <v>1005</v>
      </c>
      <c r="G7777" t="s">
        <v>111</v>
      </c>
      <c r="H7777">
        <v>2820</v>
      </c>
      <c r="I7777" t="s">
        <v>92</v>
      </c>
      <c r="J7777">
        <v>3934</v>
      </c>
      <c r="K7777" t="s">
        <v>2435</v>
      </c>
      <c r="L7777">
        <v>0</v>
      </c>
      <c r="N7777" t="s">
        <v>245</v>
      </c>
      <c r="O7777">
        <v>20</v>
      </c>
      <c r="P7777">
        <v>3408</v>
      </c>
      <c r="Q7777" t="s">
        <v>1110</v>
      </c>
      <c r="R7777" t="s">
        <v>201</v>
      </c>
      <c r="S7777">
        <v>1</v>
      </c>
      <c r="T7777">
        <v>1</v>
      </c>
      <c r="U7777">
        <v>129168</v>
      </c>
      <c r="V7777">
        <v>129168</v>
      </c>
    </row>
    <row r="7778" spans="1:22">
      <c r="A7778" t="s">
        <v>2333</v>
      </c>
      <c r="B7778">
        <v>41</v>
      </c>
      <c r="C7778" t="s">
        <v>1097</v>
      </c>
      <c r="D7778" t="s">
        <v>2408</v>
      </c>
      <c r="E7778" t="s">
        <v>2409</v>
      </c>
      <c r="F7778">
        <v>1005</v>
      </c>
      <c r="G7778" t="s">
        <v>111</v>
      </c>
      <c r="H7778">
        <v>2820</v>
      </c>
      <c r="I7778" t="s">
        <v>92</v>
      </c>
      <c r="J7778">
        <v>3934</v>
      </c>
      <c r="K7778" t="s">
        <v>2435</v>
      </c>
      <c r="L7778">
        <v>0</v>
      </c>
      <c r="N7778" t="s">
        <v>311</v>
      </c>
      <c r="O7778">
        <v>9</v>
      </c>
      <c r="P7778">
        <v>3348</v>
      </c>
      <c r="Q7778" t="s">
        <v>1119</v>
      </c>
      <c r="R7778" t="s">
        <v>201</v>
      </c>
      <c r="S7778">
        <v>1</v>
      </c>
      <c r="T7778">
        <v>1</v>
      </c>
      <c r="U7778">
        <v>199800</v>
      </c>
      <c r="V7778">
        <v>199800</v>
      </c>
    </row>
    <row r="7779" spans="1:22">
      <c r="A7779" t="s">
        <v>2333</v>
      </c>
      <c r="B7779">
        <v>41</v>
      </c>
      <c r="C7779" t="s">
        <v>1097</v>
      </c>
      <c r="D7779" t="s">
        <v>2408</v>
      </c>
      <c r="E7779" t="s">
        <v>2409</v>
      </c>
      <c r="F7779">
        <v>1005</v>
      </c>
      <c r="G7779" t="s">
        <v>111</v>
      </c>
      <c r="H7779">
        <v>2820</v>
      </c>
      <c r="I7779" t="s">
        <v>92</v>
      </c>
      <c r="J7779">
        <v>3934</v>
      </c>
      <c r="K7779" t="s">
        <v>2435</v>
      </c>
      <c r="L7779">
        <v>0</v>
      </c>
      <c r="N7779" t="s">
        <v>274</v>
      </c>
      <c r="O7779">
        <v>20</v>
      </c>
      <c r="P7779">
        <v>3057</v>
      </c>
      <c r="Q7779" t="s">
        <v>1121</v>
      </c>
      <c r="R7779" t="s">
        <v>201</v>
      </c>
      <c r="S7779">
        <v>1</v>
      </c>
      <c r="T7779">
        <v>1</v>
      </c>
      <c r="U7779">
        <v>121668</v>
      </c>
      <c r="V7779">
        <v>121668</v>
      </c>
    </row>
    <row r="7780" spans="1:22">
      <c r="A7780" t="s">
        <v>2333</v>
      </c>
      <c r="B7780">
        <v>41</v>
      </c>
      <c r="C7780" t="s">
        <v>1097</v>
      </c>
      <c r="D7780" t="s">
        <v>2408</v>
      </c>
      <c r="E7780" t="s">
        <v>2409</v>
      </c>
      <c r="F7780">
        <v>1005</v>
      </c>
      <c r="G7780" t="s">
        <v>111</v>
      </c>
      <c r="H7780">
        <v>2820</v>
      </c>
      <c r="I7780" t="s">
        <v>92</v>
      </c>
      <c r="J7780">
        <v>3934</v>
      </c>
      <c r="K7780" t="s">
        <v>2435</v>
      </c>
      <c r="L7780">
        <v>0</v>
      </c>
      <c r="N7780" t="s">
        <v>372</v>
      </c>
      <c r="O7780">
        <v>1</v>
      </c>
      <c r="P7780">
        <v>689</v>
      </c>
      <c r="Q7780" t="s">
        <v>685</v>
      </c>
      <c r="R7780" t="s">
        <v>201</v>
      </c>
      <c r="S7780">
        <v>1</v>
      </c>
      <c r="T7780">
        <v>1</v>
      </c>
      <c r="U7780">
        <v>81324</v>
      </c>
      <c r="V7780">
        <v>81324</v>
      </c>
    </row>
    <row r="7781" spans="1:22">
      <c r="A7781" t="s">
        <v>2333</v>
      </c>
      <c r="B7781">
        <v>41</v>
      </c>
      <c r="C7781" t="s">
        <v>1097</v>
      </c>
      <c r="D7781" t="s">
        <v>2408</v>
      </c>
      <c r="E7781" t="s">
        <v>2409</v>
      </c>
      <c r="F7781">
        <v>1005</v>
      </c>
      <c r="G7781" t="s">
        <v>111</v>
      </c>
      <c r="H7781">
        <v>2820</v>
      </c>
      <c r="I7781" t="s">
        <v>92</v>
      </c>
      <c r="J7781">
        <v>3934</v>
      </c>
      <c r="K7781" t="s">
        <v>2435</v>
      </c>
      <c r="L7781">
        <v>0</v>
      </c>
      <c r="N7781" t="s">
        <v>809</v>
      </c>
      <c r="O7781">
        <v>1</v>
      </c>
      <c r="P7781">
        <v>460</v>
      </c>
      <c r="Q7781" t="s">
        <v>810</v>
      </c>
      <c r="R7781" t="s">
        <v>201</v>
      </c>
      <c r="S7781">
        <v>1</v>
      </c>
      <c r="T7781">
        <v>1</v>
      </c>
      <c r="U7781">
        <v>47364</v>
      </c>
      <c r="V7781">
        <v>47364</v>
      </c>
    </row>
    <row r="7782" spans="1:22">
      <c r="A7782" t="s">
        <v>2333</v>
      </c>
      <c r="B7782">
        <v>41</v>
      </c>
      <c r="C7782" t="s">
        <v>1097</v>
      </c>
      <c r="D7782" t="s">
        <v>2408</v>
      </c>
      <c r="E7782" t="s">
        <v>2409</v>
      </c>
      <c r="F7782">
        <v>1005</v>
      </c>
      <c r="G7782" t="s">
        <v>111</v>
      </c>
      <c r="H7782">
        <v>2820</v>
      </c>
      <c r="I7782" t="s">
        <v>92</v>
      </c>
      <c r="J7782">
        <v>3934</v>
      </c>
      <c r="K7782" t="s">
        <v>2435</v>
      </c>
      <c r="L7782">
        <v>0</v>
      </c>
      <c r="N7782" t="s">
        <v>351</v>
      </c>
      <c r="O7782">
        <v>1</v>
      </c>
      <c r="P7782" t="s">
        <v>352</v>
      </c>
      <c r="Q7782" t="s">
        <v>353</v>
      </c>
      <c r="R7782" t="s">
        <v>201</v>
      </c>
      <c r="S7782">
        <v>1</v>
      </c>
      <c r="T7782">
        <v>1</v>
      </c>
      <c r="U7782">
        <v>108576</v>
      </c>
      <c r="V7782">
        <v>108576</v>
      </c>
    </row>
    <row r="7783" spans="1:22">
      <c r="A7783" t="s">
        <v>2333</v>
      </c>
      <c r="B7783">
        <v>41</v>
      </c>
      <c r="C7783" t="s">
        <v>1097</v>
      </c>
      <c r="D7783" t="s">
        <v>2408</v>
      </c>
      <c r="E7783" t="s">
        <v>2409</v>
      </c>
      <c r="F7783">
        <v>1005</v>
      </c>
      <c r="G7783" t="s">
        <v>111</v>
      </c>
      <c r="H7783">
        <v>2820</v>
      </c>
      <c r="I7783" t="s">
        <v>92</v>
      </c>
      <c r="J7783">
        <v>3934</v>
      </c>
      <c r="K7783" t="s">
        <v>2435</v>
      </c>
      <c r="L7783">
        <v>0</v>
      </c>
      <c r="N7783" t="s">
        <v>249</v>
      </c>
      <c r="O7783">
        <v>10</v>
      </c>
      <c r="P7783">
        <v>311</v>
      </c>
      <c r="Q7783" t="s">
        <v>661</v>
      </c>
      <c r="R7783" t="s">
        <v>201</v>
      </c>
      <c r="S7783">
        <v>3</v>
      </c>
      <c r="T7783">
        <v>1</v>
      </c>
      <c r="U7783">
        <v>107340</v>
      </c>
      <c r="V7783">
        <v>322020</v>
      </c>
    </row>
    <row r="7784" spans="1:22">
      <c r="A7784" t="s">
        <v>2333</v>
      </c>
      <c r="B7784">
        <v>41</v>
      </c>
      <c r="C7784" t="s">
        <v>1097</v>
      </c>
      <c r="D7784" t="s">
        <v>2408</v>
      </c>
      <c r="E7784" t="s">
        <v>2409</v>
      </c>
      <c r="F7784">
        <v>1005</v>
      </c>
      <c r="G7784" t="s">
        <v>111</v>
      </c>
      <c r="H7784">
        <v>2820</v>
      </c>
      <c r="I7784" t="s">
        <v>92</v>
      </c>
      <c r="J7784">
        <v>3934</v>
      </c>
      <c r="K7784" t="s">
        <v>2435</v>
      </c>
      <c r="L7784">
        <v>0</v>
      </c>
      <c r="N7784" t="s">
        <v>199</v>
      </c>
      <c r="O7784">
        <v>0</v>
      </c>
      <c r="P7784">
        <v>44</v>
      </c>
      <c r="Q7784" t="s">
        <v>2337</v>
      </c>
      <c r="R7784" t="s">
        <v>201</v>
      </c>
      <c r="S7784">
        <v>0</v>
      </c>
      <c r="T7784">
        <v>0</v>
      </c>
      <c r="U7784">
        <v>1336357</v>
      </c>
      <c r="V7784">
        <v>1336357</v>
      </c>
    </row>
    <row r="7785" spans="1:22">
      <c r="A7785" t="s">
        <v>2333</v>
      </c>
      <c r="B7785">
        <v>41</v>
      </c>
      <c r="C7785" t="s">
        <v>1097</v>
      </c>
      <c r="D7785" t="s">
        <v>2408</v>
      </c>
      <c r="E7785" t="s">
        <v>2409</v>
      </c>
      <c r="F7785">
        <v>1005</v>
      </c>
      <c r="G7785" t="s">
        <v>111</v>
      </c>
      <c r="H7785">
        <v>2820</v>
      </c>
      <c r="I7785" t="s">
        <v>92</v>
      </c>
      <c r="J7785">
        <v>3934</v>
      </c>
      <c r="K7785" t="s">
        <v>2435</v>
      </c>
      <c r="L7785">
        <v>0</v>
      </c>
      <c r="N7785" t="s">
        <v>199</v>
      </c>
      <c r="O7785">
        <v>0</v>
      </c>
      <c r="P7785">
        <v>15</v>
      </c>
      <c r="Q7785" t="s">
        <v>264</v>
      </c>
      <c r="R7785" t="s">
        <v>201</v>
      </c>
      <c r="S7785">
        <v>0</v>
      </c>
      <c r="T7785">
        <v>0</v>
      </c>
      <c r="U7785">
        <v>28483</v>
      </c>
      <c r="V7785">
        <v>28483</v>
      </c>
    </row>
    <row r="7786" spans="1:22">
      <c r="A7786" t="s">
        <v>2333</v>
      </c>
      <c r="B7786">
        <v>41</v>
      </c>
      <c r="C7786" t="s">
        <v>1097</v>
      </c>
      <c r="D7786" t="s">
        <v>2408</v>
      </c>
      <c r="E7786" t="s">
        <v>2409</v>
      </c>
      <c r="F7786">
        <v>1005</v>
      </c>
      <c r="G7786" t="s">
        <v>111</v>
      </c>
      <c r="H7786">
        <v>2824</v>
      </c>
      <c r="I7786" t="s">
        <v>126</v>
      </c>
      <c r="J7786">
        <v>3938</v>
      </c>
      <c r="K7786" t="s">
        <v>2437</v>
      </c>
      <c r="L7786">
        <v>0</v>
      </c>
      <c r="N7786" t="s">
        <v>1124</v>
      </c>
      <c r="O7786">
        <v>37</v>
      </c>
      <c r="P7786">
        <v>3752</v>
      </c>
      <c r="Q7786" t="s">
        <v>1125</v>
      </c>
      <c r="R7786" t="s">
        <v>201</v>
      </c>
      <c r="S7786">
        <v>1</v>
      </c>
      <c r="T7786">
        <v>1</v>
      </c>
      <c r="U7786">
        <v>91956</v>
      </c>
      <c r="V7786">
        <v>91956</v>
      </c>
    </row>
    <row r="7787" spans="1:22">
      <c r="A7787" t="s">
        <v>2333</v>
      </c>
      <c r="B7787">
        <v>41</v>
      </c>
      <c r="C7787" t="s">
        <v>1097</v>
      </c>
      <c r="D7787" t="s">
        <v>2408</v>
      </c>
      <c r="E7787" t="s">
        <v>2409</v>
      </c>
      <c r="F7787">
        <v>1005</v>
      </c>
      <c r="G7787" t="s">
        <v>111</v>
      </c>
      <c r="H7787">
        <v>2824</v>
      </c>
      <c r="I7787" t="s">
        <v>126</v>
      </c>
      <c r="J7787">
        <v>3938</v>
      </c>
      <c r="K7787" t="s">
        <v>2437</v>
      </c>
      <c r="L7787">
        <v>0</v>
      </c>
      <c r="N7787" t="s">
        <v>255</v>
      </c>
      <c r="O7787">
        <v>3</v>
      </c>
      <c r="P7787">
        <v>3442</v>
      </c>
      <c r="Q7787" t="s">
        <v>2438</v>
      </c>
      <c r="R7787" t="s">
        <v>201</v>
      </c>
      <c r="S7787">
        <v>1</v>
      </c>
      <c r="T7787">
        <v>1</v>
      </c>
      <c r="U7787">
        <v>143400</v>
      </c>
      <c r="V7787">
        <v>143400</v>
      </c>
    </row>
    <row r="7788" spans="1:22">
      <c r="A7788" t="s">
        <v>2333</v>
      </c>
      <c r="B7788">
        <v>41</v>
      </c>
      <c r="C7788" t="s">
        <v>1097</v>
      </c>
      <c r="D7788" t="s">
        <v>2408</v>
      </c>
      <c r="E7788" t="s">
        <v>2409</v>
      </c>
      <c r="F7788">
        <v>1005</v>
      </c>
      <c r="G7788" t="s">
        <v>111</v>
      </c>
      <c r="H7788">
        <v>2824</v>
      </c>
      <c r="I7788" t="s">
        <v>126</v>
      </c>
      <c r="J7788">
        <v>3938</v>
      </c>
      <c r="K7788" t="s">
        <v>2437</v>
      </c>
      <c r="L7788">
        <v>0</v>
      </c>
      <c r="N7788" t="s">
        <v>372</v>
      </c>
      <c r="O7788">
        <v>3</v>
      </c>
      <c r="P7788">
        <v>3441</v>
      </c>
      <c r="Q7788" t="s">
        <v>2439</v>
      </c>
      <c r="R7788" t="s">
        <v>201</v>
      </c>
      <c r="S7788">
        <v>1</v>
      </c>
      <c r="T7788">
        <v>1</v>
      </c>
      <c r="U7788">
        <v>130668</v>
      </c>
      <c r="V7788">
        <v>130668</v>
      </c>
    </row>
    <row r="7789" spans="1:22">
      <c r="A7789" t="s">
        <v>2333</v>
      </c>
      <c r="B7789">
        <v>41</v>
      </c>
      <c r="C7789" t="s">
        <v>1097</v>
      </c>
      <c r="D7789" t="s">
        <v>2408</v>
      </c>
      <c r="E7789" t="s">
        <v>2409</v>
      </c>
      <c r="F7789">
        <v>1005</v>
      </c>
      <c r="G7789" t="s">
        <v>111</v>
      </c>
      <c r="H7789">
        <v>2824</v>
      </c>
      <c r="I7789" t="s">
        <v>126</v>
      </c>
      <c r="J7789">
        <v>3938</v>
      </c>
      <c r="K7789" t="s">
        <v>2437</v>
      </c>
      <c r="L7789">
        <v>0</v>
      </c>
      <c r="N7789" t="s">
        <v>341</v>
      </c>
      <c r="O7789">
        <v>3</v>
      </c>
      <c r="P7789">
        <v>3434</v>
      </c>
      <c r="Q7789" t="s">
        <v>1140</v>
      </c>
      <c r="R7789" t="s">
        <v>201</v>
      </c>
      <c r="S7789">
        <v>1</v>
      </c>
      <c r="T7789">
        <v>1</v>
      </c>
      <c r="U7789">
        <v>113628</v>
      </c>
      <c r="V7789">
        <v>113628</v>
      </c>
    </row>
    <row r="7790" spans="1:22">
      <c r="A7790" t="s">
        <v>2333</v>
      </c>
      <c r="B7790">
        <v>41</v>
      </c>
      <c r="C7790" t="s">
        <v>1097</v>
      </c>
      <c r="D7790" t="s">
        <v>2408</v>
      </c>
      <c r="E7790" t="s">
        <v>2409</v>
      </c>
      <c r="F7790">
        <v>1005</v>
      </c>
      <c r="G7790" t="s">
        <v>111</v>
      </c>
      <c r="H7790">
        <v>2824</v>
      </c>
      <c r="I7790" t="s">
        <v>126</v>
      </c>
      <c r="J7790">
        <v>3938</v>
      </c>
      <c r="K7790" t="s">
        <v>2437</v>
      </c>
      <c r="L7790">
        <v>0</v>
      </c>
      <c r="N7790" t="s">
        <v>333</v>
      </c>
      <c r="O7790">
        <v>4</v>
      </c>
      <c r="P7790">
        <v>3407</v>
      </c>
      <c r="Q7790" t="s">
        <v>1111</v>
      </c>
      <c r="R7790" t="s">
        <v>201</v>
      </c>
      <c r="S7790">
        <v>1</v>
      </c>
      <c r="T7790">
        <v>1</v>
      </c>
      <c r="U7790">
        <v>154764</v>
      </c>
      <c r="V7790">
        <v>154764</v>
      </c>
    </row>
    <row r="7791" spans="1:22">
      <c r="A7791" t="s">
        <v>2333</v>
      </c>
      <c r="B7791">
        <v>41</v>
      </c>
      <c r="C7791" t="s">
        <v>1097</v>
      </c>
      <c r="D7791" t="s">
        <v>2408</v>
      </c>
      <c r="E7791" t="s">
        <v>2409</v>
      </c>
      <c r="F7791">
        <v>1005</v>
      </c>
      <c r="G7791" t="s">
        <v>111</v>
      </c>
      <c r="H7791">
        <v>2824</v>
      </c>
      <c r="I7791" t="s">
        <v>126</v>
      </c>
      <c r="J7791">
        <v>3938</v>
      </c>
      <c r="K7791" t="s">
        <v>2437</v>
      </c>
      <c r="L7791">
        <v>0</v>
      </c>
      <c r="N7791" t="s">
        <v>199</v>
      </c>
      <c r="O7791">
        <v>0</v>
      </c>
      <c r="P7791">
        <v>44</v>
      </c>
      <c r="Q7791" t="s">
        <v>2337</v>
      </c>
      <c r="R7791" t="s">
        <v>201</v>
      </c>
      <c r="S7791">
        <v>0</v>
      </c>
      <c r="T7791">
        <v>0</v>
      </c>
      <c r="U7791">
        <v>355020</v>
      </c>
      <c r="V7791">
        <v>355020</v>
      </c>
    </row>
    <row r="7792" spans="1:22">
      <c r="A7792" t="s">
        <v>2333</v>
      </c>
      <c r="B7792">
        <v>41</v>
      </c>
      <c r="C7792" t="s">
        <v>1097</v>
      </c>
      <c r="D7792" t="s">
        <v>2408</v>
      </c>
      <c r="E7792" t="s">
        <v>2409</v>
      </c>
      <c r="F7792">
        <v>1005</v>
      </c>
      <c r="G7792" t="s">
        <v>111</v>
      </c>
      <c r="H7792">
        <v>2824</v>
      </c>
      <c r="I7792" t="s">
        <v>126</v>
      </c>
      <c r="J7792">
        <v>3938</v>
      </c>
      <c r="K7792" t="s">
        <v>2437</v>
      </c>
      <c r="L7792">
        <v>0</v>
      </c>
      <c r="N7792" t="s">
        <v>199</v>
      </c>
      <c r="O7792">
        <v>0</v>
      </c>
      <c r="P7792">
        <v>15</v>
      </c>
      <c r="Q7792" t="s">
        <v>264</v>
      </c>
      <c r="R7792" t="s">
        <v>201</v>
      </c>
      <c r="S7792">
        <v>0</v>
      </c>
      <c r="T7792">
        <v>0</v>
      </c>
      <c r="U7792">
        <v>2880</v>
      </c>
      <c r="V7792">
        <v>2880</v>
      </c>
    </row>
    <row r="7793" spans="1:22">
      <c r="A7793" t="s">
        <v>2333</v>
      </c>
      <c r="B7793">
        <v>41</v>
      </c>
      <c r="C7793" t="s">
        <v>1097</v>
      </c>
      <c r="D7793" t="s">
        <v>2408</v>
      </c>
      <c r="E7793" t="s">
        <v>2409</v>
      </c>
      <c r="F7793">
        <v>1005</v>
      </c>
      <c r="G7793" t="s">
        <v>111</v>
      </c>
      <c r="H7793">
        <v>2829</v>
      </c>
      <c r="I7793" t="s">
        <v>80</v>
      </c>
      <c r="J7793">
        <v>3829</v>
      </c>
      <c r="K7793" t="s">
        <v>2440</v>
      </c>
      <c r="L7793">
        <v>0</v>
      </c>
      <c r="N7793" t="s">
        <v>397</v>
      </c>
      <c r="O7793">
        <v>3</v>
      </c>
      <c r="P7793">
        <v>8621</v>
      </c>
      <c r="Q7793" t="s">
        <v>2154</v>
      </c>
      <c r="R7793" t="s">
        <v>201</v>
      </c>
      <c r="S7793">
        <v>1</v>
      </c>
      <c r="T7793">
        <v>1</v>
      </c>
      <c r="U7793">
        <v>99480</v>
      </c>
      <c r="V7793">
        <v>99480</v>
      </c>
    </row>
    <row r="7794" spans="1:22">
      <c r="A7794" t="s">
        <v>2333</v>
      </c>
      <c r="B7794">
        <v>41</v>
      </c>
      <c r="C7794" t="s">
        <v>1097</v>
      </c>
      <c r="D7794" t="s">
        <v>2408</v>
      </c>
      <c r="E7794" t="s">
        <v>2409</v>
      </c>
      <c r="F7794">
        <v>1005</v>
      </c>
      <c r="G7794" t="s">
        <v>111</v>
      </c>
      <c r="H7794">
        <v>2829</v>
      </c>
      <c r="I7794" t="s">
        <v>80</v>
      </c>
      <c r="J7794">
        <v>3829</v>
      </c>
      <c r="K7794" t="s">
        <v>2440</v>
      </c>
      <c r="L7794">
        <v>0</v>
      </c>
      <c r="N7794" t="s">
        <v>392</v>
      </c>
      <c r="O7794">
        <v>4</v>
      </c>
      <c r="P7794">
        <v>8620</v>
      </c>
      <c r="Q7794" t="s">
        <v>1132</v>
      </c>
      <c r="R7794" t="s">
        <v>201</v>
      </c>
      <c r="S7794">
        <v>1</v>
      </c>
      <c r="T7794">
        <v>1</v>
      </c>
      <c r="U7794">
        <v>157332</v>
      </c>
      <c r="V7794">
        <v>157332</v>
      </c>
    </row>
    <row r="7795" spans="1:22">
      <c r="A7795" t="s">
        <v>2333</v>
      </c>
      <c r="B7795">
        <v>41</v>
      </c>
      <c r="C7795" t="s">
        <v>1097</v>
      </c>
      <c r="D7795" t="s">
        <v>2408</v>
      </c>
      <c r="E7795" t="s">
        <v>2409</v>
      </c>
      <c r="F7795">
        <v>1005</v>
      </c>
      <c r="G7795" t="s">
        <v>111</v>
      </c>
      <c r="H7795">
        <v>2829</v>
      </c>
      <c r="I7795" t="s">
        <v>80</v>
      </c>
      <c r="J7795">
        <v>3829</v>
      </c>
      <c r="K7795" t="s">
        <v>2440</v>
      </c>
      <c r="L7795">
        <v>0</v>
      </c>
      <c r="N7795" t="s">
        <v>392</v>
      </c>
      <c r="O7795">
        <v>4</v>
      </c>
      <c r="P7795">
        <v>8620</v>
      </c>
      <c r="Q7795" t="s">
        <v>1132</v>
      </c>
      <c r="R7795" t="s">
        <v>201</v>
      </c>
      <c r="S7795">
        <v>2</v>
      </c>
      <c r="T7795">
        <v>1</v>
      </c>
      <c r="U7795">
        <v>119100</v>
      </c>
      <c r="V7795">
        <v>238200</v>
      </c>
    </row>
    <row r="7796" spans="1:22">
      <c r="A7796" t="s">
        <v>2333</v>
      </c>
      <c r="B7796">
        <v>41</v>
      </c>
      <c r="C7796" t="s">
        <v>1097</v>
      </c>
      <c r="D7796" t="s">
        <v>2408</v>
      </c>
      <c r="E7796" t="s">
        <v>2409</v>
      </c>
      <c r="F7796">
        <v>1005</v>
      </c>
      <c r="G7796" t="s">
        <v>111</v>
      </c>
      <c r="H7796">
        <v>2829</v>
      </c>
      <c r="I7796" t="s">
        <v>80</v>
      </c>
      <c r="J7796">
        <v>3829</v>
      </c>
      <c r="K7796" t="s">
        <v>2440</v>
      </c>
      <c r="L7796">
        <v>0</v>
      </c>
      <c r="N7796" t="s">
        <v>392</v>
      </c>
      <c r="O7796">
        <v>4</v>
      </c>
      <c r="P7796">
        <v>8620</v>
      </c>
      <c r="Q7796" t="s">
        <v>1132</v>
      </c>
      <c r="R7796" t="s">
        <v>201</v>
      </c>
      <c r="S7796">
        <v>1</v>
      </c>
      <c r="T7796">
        <v>1</v>
      </c>
      <c r="U7796">
        <v>97956</v>
      </c>
      <c r="V7796">
        <v>97956</v>
      </c>
    </row>
    <row r="7797" spans="1:22">
      <c r="A7797" t="s">
        <v>2333</v>
      </c>
      <c r="B7797">
        <v>41</v>
      </c>
      <c r="C7797" t="s">
        <v>1097</v>
      </c>
      <c r="D7797" t="s">
        <v>2408</v>
      </c>
      <c r="E7797" t="s">
        <v>2409</v>
      </c>
      <c r="F7797">
        <v>1005</v>
      </c>
      <c r="G7797" t="s">
        <v>111</v>
      </c>
      <c r="H7797">
        <v>2829</v>
      </c>
      <c r="I7797" t="s">
        <v>80</v>
      </c>
      <c r="J7797">
        <v>3829</v>
      </c>
      <c r="K7797" t="s">
        <v>2440</v>
      </c>
      <c r="L7797">
        <v>0</v>
      </c>
      <c r="N7797" t="s">
        <v>392</v>
      </c>
      <c r="O7797">
        <v>4</v>
      </c>
      <c r="P7797">
        <v>8620</v>
      </c>
      <c r="Q7797" t="s">
        <v>1132</v>
      </c>
      <c r="R7797" t="s">
        <v>201</v>
      </c>
      <c r="S7797">
        <v>1</v>
      </c>
      <c r="T7797">
        <v>1</v>
      </c>
      <c r="U7797">
        <v>93504</v>
      </c>
      <c r="V7797">
        <v>93504</v>
      </c>
    </row>
    <row r="7798" spans="1:22">
      <c r="A7798" t="s">
        <v>2333</v>
      </c>
      <c r="B7798">
        <v>41</v>
      </c>
      <c r="C7798" t="s">
        <v>1097</v>
      </c>
      <c r="D7798" t="s">
        <v>2408</v>
      </c>
      <c r="E7798" t="s">
        <v>2409</v>
      </c>
      <c r="F7798">
        <v>1005</v>
      </c>
      <c r="G7798" t="s">
        <v>111</v>
      </c>
      <c r="H7798">
        <v>2829</v>
      </c>
      <c r="I7798" t="s">
        <v>80</v>
      </c>
      <c r="J7798">
        <v>3829</v>
      </c>
      <c r="K7798" t="s">
        <v>2440</v>
      </c>
      <c r="L7798">
        <v>0</v>
      </c>
      <c r="N7798" t="s">
        <v>392</v>
      </c>
      <c r="O7798">
        <v>4</v>
      </c>
      <c r="P7798">
        <v>8620</v>
      </c>
      <c r="Q7798" t="s">
        <v>1132</v>
      </c>
      <c r="R7798" t="s">
        <v>201</v>
      </c>
      <c r="S7798">
        <v>1</v>
      </c>
      <c r="T7798">
        <v>1</v>
      </c>
      <c r="U7798">
        <v>90732</v>
      </c>
      <c r="V7798">
        <v>90732</v>
      </c>
    </row>
    <row r="7799" spans="1:22">
      <c r="A7799" t="s">
        <v>2333</v>
      </c>
      <c r="B7799">
        <v>41</v>
      </c>
      <c r="C7799" t="s">
        <v>1097</v>
      </c>
      <c r="D7799" t="s">
        <v>2408</v>
      </c>
      <c r="E7799" t="s">
        <v>2409</v>
      </c>
      <c r="F7799">
        <v>1005</v>
      </c>
      <c r="G7799" t="s">
        <v>111</v>
      </c>
      <c r="H7799">
        <v>2829</v>
      </c>
      <c r="I7799" t="s">
        <v>80</v>
      </c>
      <c r="J7799">
        <v>3829</v>
      </c>
      <c r="K7799" t="s">
        <v>2440</v>
      </c>
      <c r="L7799">
        <v>0</v>
      </c>
      <c r="N7799" t="s">
        <v>372</v>
      </c>
      <c r="O7799">
        <v>4</v>
      </c>
      <c r="P7799">
        <v>3466</v>
      </c>
      <c r="Q7799" t="s">
        <v>1129</v>
      </c>
      <c r="R7799" t="s">
        <v>201</v>
      </c>
      <c r="S7799">
        <v>1</v>
      </c>
      <c r="T7799">
        <v>1</v>
      </c>
      <c r="U7799">
        <v>85200</v>
      </c>
      <c r="V7799">
        <v>85200</v>
      </c>
    </row>
    <row r="7800" spans="1:22">
      <c r="A7800" t="s">
        <v>2333</v>
      </c>
      <c r="B7800">
        <v>41</v>
      </c>
      <c r="C7800" t="s">
        <v>1097</v>
      </c>
      <c r="D7800" t="s">
        <v>2408</v>
      </c>
      <c r="E7800" t="s">
        <v>2409</v>
      </c>
      <c r="F7800">
        <v>1005</v>
      </c>
      <c r="G7800" t="s">
        <v>111</v>
      </c>
      <c r="H7800">
        <v>2829</v>
      </c>
      <c r="I7800" t="s">
        <v>80</v>
      </c>
      <c r="J7800">
        <v>3829</v>
      </c>
      <c r="K7800" t="s">
        <v>2440</v>
      </c>
      <c r="L7800">
        <v>0</v>
      </c>
      <c r="N7800" t="s">
        <v>249</v>
      </c>
      <c r="O7800">
        <v>10</v>
      </c>
      <c r="P7800">
        <v>3443</v>
      </c>
      <c r="Q7800" t="s">
        <v>2426</v>
      </c>
      <c r="R7800" t="s">
        <v>201</v>
      </c>
      <c r="S7800">
        <v>1</v>
      </c>
      <c r="T7800">
        <v>1</v>
      </c>
      <c r="U7800">
        <v>93384</v>
      </c>
      <c r="V7800">
        <v>93384</v>
      </c>
    </row>
    <row r="7801" spans="1:22">
      <c r="A7801" t="s">
        <v>2333</v>
      </c>
      <c r="B7801">
        <v>41</v>
      </c>
      <c r="C7801" t="s">
        <v>1097</v>
      </c>
      <c r="D7801" t="s">
        <v>2408</v>
      </c>
      <c r="E7801" t="s">
        <v>2409</v>
      </c>
      <c r="F7801">
        <v>1005</v>
      </c>
      <c r="G7801" t="s">
        <v>111</v>
      </c>
      <c r="H7801">
        <v>2829</v>
      </c>
      <c r="I7801" t="s">
        <v>80</v>
      </c>
      <c r="J7801">
        <v>3829</v>
      </c>
      <c r="K7801" t="s">
        <v>2440</v>
      </c>
      <c r="L7801">
        <v>0</v>
      </c>
      <c r="N7801" t="s">
        <v>245</v>
      </c>
      <c r="O7801">
        <v>20</v>
      </c>
      <c r="P7801">
        <v>3408</v>
      </c>
      <c r="Q7801" t="s">
        <v>1110</v>
      </c>
      <c r="R7801" t="s">
        <v>201</v>
      </c>
      <c r="S7801">
        <v>1</v>
      </c>
      <c r="T7801">
        <v>1</v>
      </c>
      <c r="U7801">
        <v>121320</v>
      </c>
      <c r="V7801">
        <v>121320</v>
      </c>
    </row>
    <row r="7802" spans="1:22">
      <c r="A7802" t="s">
        <v>2333</v>
      </c>
      <c r="B7802">
        <v>41</v>
      </c>
      <c r="C7802" t="s">
        <v>1097</v>
      </c>
      <c r="D7802" t="s">
        <v>2408</v>
      </c>
      <c r="E7802" t="s">
        <v>2409</v>
      </c>
      <c r="F7802">
        <v>1005</v>
      </c>
      <c r="G7802" t="s">
        <v>111</v>
      </c>
      <c r="H7802">
        <v>2829</v>
      </c>
      <c r="I7802" t="s">
        <v>80</v>
      </c>
      <c r="J7802">
        <v>3829</v>
      </c>
      <c r="K7802" t="s">
        <v>2440</v>
      </c>
      <c r="L7802">
        <v>0</v>
      </c>
      <c r="N7802" t="s">
        <v>333</v>
      </c>
      <c r="O7802">
        <v>4</v>
      </c>
      <c r="P7802">
        <v>3407</v>
      </c>
      <c r="Q7802" t="s">
        <v>1111</v>
      </c>
      <c r="R7802" t="s">
        <v>201</v>
      </c>
      <c r="S7802">
        <v>3</v>
      </c>
      <c r="T7802">
        <v>1</v>
      </c>
      <c r="U7802">
        <v>154764</v>
      </c>
      <c r="V7802">
        <v>464292</v>
      </c>
    </row>
    <row r="7803" spans="1:22">
      <c r="A7803" t="s">
        <v>2333</v>
      </c>
      <c r="B7803">
        <v>41</v>
      </c>
      <c r="C7803" t="s">
        <v>1097</v>
      </c>
      <c r="D7803" t="s">
        <v>2408</v>
      </c>
      <c r="E7803" t="s">
        <v>2409</v>
      </c>
      <c r="F7803">
        <v>1005</v>
      </c>
      <c r="G7803" t="s">
        <v>111</v>
      </c>
      <c r="H7803">
        <v>2829</v>
      </c>
      <c r="I7803" t="s">
        <v>80</v>
      </c>
      <c r="J7803">
        <v>3829</v>
      </c>
      <c r="K7803" t="s">
        <v>2440</v>
      </c>
      <c r="L7803">
        <v>0</v>
      </c>
      <c r="N7803" t="s">
        <v>297</v>
      </c>
      <c r="O7803">
        <v>20</v>
      </c>
      <c r="P7803">
        <v>3401</v>
      </c>
      <c r="Q7803" t="s">
        <v>2372</v>
      </c>
      <c r="R7803" t="s">
        <v>201</v>
      </c>
      <c r="S7803">
        <v>1</v>
      </c>
      <c r="T7803">
        <v>1</v>
      </c>
      <c r="U7803">
        <v>106272</v>
      </c>
      <c r="V7803">
        <v>106272</v>
      </c>
    </row>
    <row r="7804" spans="1:22">
      <c r="A7804" t="s">
        <v>2333</v>
      </c>
      <c r="B7804">
        <v>41</v>
      </c>
      <c r="C7804" t="s">
        <v>1097</v>
      </c>
      <c r="D7804" t="s">
        <v>2408</v>
      </c>
      <c r="E7804" t="s">
        <v>2409</v>
      </c>
      <c r="F7804">
        <v>1005</v>
      </c>
      <c r="G7804" t="s">
        <v>111</v>
      </c>
      <c r="H7804">
        <v>2829</v>
      </c>
      <c r="I7804" t="s">
        <v>80</v>
      </c>
      <c r="J7804">
        <v>3829</v>
      </c>
      <c r="K7804" t="s">
        <v>2440</v>
      </c>
      <c r="L7804">
        <v>0</v>
      </c>
      <c r="N7804" t="s">
        <v>356</v>
      </c>
      <c r="O7804">
        <v>3</v>
      </c>
      <c r="P7804">
        <v>2989</v>
      </c>
      <c r="Q7804" t="s">
        <v>2351</v>
      </c>
      <c r="R7804" t="s">
        <v>201</v>
      </c>
      <c r="S7804">
        <v>1</v>
      </c>
      <c r="T7804">
        <v>1</v>
      </c>
      <c r="U7804">
        <v>122928</v>
      </c>
      <c r="V7804">
        <v>122928</v>
      </c>
    </row>
    <row r="7805" spans="1:22">
      <c r="A7805" t="s">
        <v>2333</v>
      </c>
      <c r="B7805">
        <v>41</v>
      </c>
      <c r="C7805" t="s">
        <v>1097</v>
      </c>
      <c r="D7805" t="s">
        <v>2408</v>
      </c>
      <c r="E7805" t="s">
        <v>2409</v>
      </c>
      <c r="F7805">
        <v>1005</v>
      </c>
      <c r="G7805" t="s">
        <v>111</v>
      </c>
      <c r="H7805">
        <v>2829</v>
      </c>
      <c r="I7805" t="s">
        <v>80</v>
      </c>
      <c r="J7805">
        <v>3829</v>
      </c>
      <c r="K7805" t="s">
        <v>2440</v>
      </c>
      <c r="L7805">
        <v>0</v>
      </c>
      <c r="N7805" t="s">
        <v>356</v>
      </c>
      <c r="O7805">
        <v>3</v>
      </c>
      <c r="P7805">
        <v>2989</v>
      </c>
      <c r="Q7805" t="s">
        <v>2351</v>
      </c>
      <c r="R7805" t="s">
        <v>201</v>
      </c>
      <c r="S7805">
        <v>1</v>
      </c>
      <c r="T7805">
        <v>1</v>
      </c>
      <c r="U7805">
        <v>92940</v>
      </c>
      <c r="V7805">
        <v>92940</v>
      </c>
    </row>
    <row r="7806" spans="1:22">
      <c r="A7806" t="s">
        <v>2333</v>
      </c>
      <c r="B7806">
        <v>41</v>
      </c>
      <c r="C7806" t="s">
        <v>1097</v>
      </c>
      <c r="D7806" t="s">
        <v>2408</v>
      </c>
      <c r="E7806" t="s">
        <v>2409</v>
      </c>
      <c r="F7806">
        <v>1005</v>
      </c>
      <c r="G7806" t="s">
        <v>111</v>
      </c>
      <c r="H7806">
        <v>2829</v>
      </c>
      <c r="I7806" t="s">
        <v>80</v>
      </c>
      <c r="J7806">
        <v>3829</v>
      </c>
      <c r="K7806" t="s">
        <v>2440</v>
      </c>
      <c r="L7806">
        <v>0</v>
      </c>
      <c r="N7806" t="s">
        <v>274</v>
      </c>
      <c r="O7806">
        <v>20</v>
      </c>
      <c r="P7806">
        <v>2901</v>
      </c>
      <c r="Q7806" t="s">
        <v>1101</v>
      </c>
      <c r="R7806" t="s">
        <v>201</v>
      </c>
      <c r="S7806">
        <v>1</v>
      </c>
      <c r="T7806">
        <v>1</v>
      </c>
      <c r="U7806">
        <v>146808</v>
      </c>
      <c r="V7806">
        <v>146808</v>
      </c>
    </row>
    <row r="7807" spans="1:22">
      <c r="A7807" t="s">
        <v>2333</v>
      </c>
      <c r="B7807">
        <v>41</v>
      </c>
      <c r="C7807" t="s">
        <v>1097</v>
      </c>
      <c r="D7807" t="s">
        <v>2408</v>
      </c>
      <c r="E7807" t="s">
        <v>2409</v>
      </c>
      <c r="F7807">
        <v>1005</v>
      </c>
      <c r="G7807" t="s">
        <v>111</v>
      </c>
      <c r="H7807">
        <v>2829</v>
      </c>
      <c r="I7807" t="s">
        <v>80</v>
      </c>
      <c r="J7807">
        <v>3829</v>
      </c>
      <c r="K7807" t="s">
        <v>2440</v>
      </c>
      <c r="L7807">
        <v>0</v>
      </c>
      <c r="N7807" t="s">
        <v>372</v>
      </c>
      <c r="O7807">
        <v>3</v>
      </c>
      <c r="P7807">
        <v>2381</v>
      </c>
      <c r="Q7807" t="s">
        <v>1168</v>
      </c>
      <c r="R7807" t="s">
        <v>201</v>
      </c>
      <c r="S7807">
        <v>1</v>
      </c>
      <c r="T7807">
        <v>1</v>
      </c>
      <c r="U7807">
        <v>89244</v>
      </c>
      <c r="V7807">
        <v>89244</v>
      </c>
    </row>
    <row r="7808" spans="1:22">
      <c r="A7808" t="s">
        <v>2333</v>
      </c>
      <c r="B7808">
        <v>41</v>
      </c>
      <c r="C7808" t="s">
        <v>1097</v>
      </c>
      <c r="D7808" t="s">
        <v>2408</v>
      </c>
      <c r="E7808" t="s">
        <v>2409</v>
      </c>
      <c r="F7808">
        <v>1005</v>
      </c>
      <c r="G7808" t="s">
        <v>111</v>
      </c>
      <c r="H7808">
        <v>2829</v>
      </c>
      <c r="I7808" t="s">
        <v>80</v>
      </c>
      <c r="J7808">
        <v>3829</v>
      </c>
      <c r="K7808" t="s">
        <v>2440</v>
      </c>
      <c r="L7808">
        <v>0</v>
      </c>
      <c r="N7808" t="s">
        <v>372</v>
      </c>
      <c r="O7808">
        <v>4</v>
      </c>
      <c r="P7808">
        <v>1912</v>
      </c>
      <c r="Q7808" t="s">
        <v>608</v>
      </c>
      <c r="R7808" t="s">
        <v>201</v>
      </c>
      <c r="S7808">
        <v>1</v>
      </c>
      <c r="T7808">
        <v>1</v>
      </c>
      <c r="U7808">
        <v>81324</v>
      </c>
      <c r="V7808">
        <v>81324</v>
      </c>
    </row>
    <row r="7809" spans="1:22">
      <c r="A7809" t="s">
        <v>2333</v>
      </c>
      <c r="B7809">
        <v>41</v>
      </c>
      <c r="C7809" t="s">
        <v>1097</v>
      </c>
      <c r="D7809" t="s">
        <v>2408</v>
      </c>
      <c r="E7809" t="s">
        <v>2409</v>
      </c>
      <c r="F7809">
        <v>1005</v>
      </c>
      <c r="G7809" t="s">
        <v>111</v>
      </c>
      <c r="H7809">
        <v>2829</v>
      </c>
      <c r="I7809" t="s">
        <v>80</v>
      </c>
      <c r="J7809">
        <v>3829</v>
      </c>
      <c r="K7809" t="s">
        <v>2440</v>
      </c>
      <c r="L7809">
        <v>0</v>
      </c>
      <c r="N7809" t="s">
        <v>622</v>
      </c>
      <c r="O7809">
        <v>1</v>
      </c>
      <c r="P7809">
        <v>1817</v>
      </c>
      <c r="Q7809" t="s">
        <v>988</v>
      </c>
      <c r="R7809" t="s">
        <v>201</v>
      </c>
      <c r="S7809">
        <v>1</v>
      </c>
      <c r="T7809">
        <v>1</v>
      </c>
      <c r="U7809">
        <v>68256</v>
      </c>
      <c r="V7809">
        <v>68256</v>
      </c>
    </row>
    <row r="7810" spans="1:22">
      <c r="A7810" t="s">
        <v>2333</v>
      </c>
      <c r="B7810">
        <v>41</v>
      </c>
      <c r="C7810" t="s">
        <v>1097</v>
      </c>
      <c r="D7810" t="s">
        <v>2408</v>
      </c>
      <c r="E7810" t="s">
        <v>2409</v>
      </c>
      <c r="F7810">
        <v>1005</v>
      </c>
      <c r="G7810" t="s">
        <v>111</v>
      </c>
      <c r="H7810">
        <v>2829</v>
      </c>
      <c r="I7810" t="s">
        <v>80</v>
      </c>
      <c r="J7810">
        <v>3829</v>
      </c>
      <c r="K7810" t="s">
        <v>2440</v>
      </c>
      <c r="L7810">
        <v>0</v>
      </c>
      <c r="N7810" t="s">
        <v>255</v>
      </c>
      <c r="O7810">
        <v>1</v>
      </c>
      <c r="P7810">
        <v>729</v>
      </c>
      <c r="Q7810" t="s">
        <v>256</v>
      </c>
      <c r="R7810" t="s">
        <v>201</v>
      </c>
      <c r="S7810">
        <v>1</v>
      </c>
      <c r="T7810">
        <v>1</v>
      </c>
      <c r="U7810">
        <v>93504</v>
      </c>
      <c r="V7810">
        <v>93504</v>
      </c>
    </row>
    <row r="7811" spans="1:22">
      <c r="A7811" t="s">
        <v>2333</v>
      </c>
      <c r="B7811">
        <v>41</v>
      </c>
      <c r="C7811" t="s">
        <v>1097</v>
      </c>
      <c r="D7811" t="s">
        <v>2408</v>
      </c>
      <c r="E7811" t="s">
        <v>2409</v>
      </c>
      <c r="F7811">
        <v>1005</v>
      </c>
      <c r="G7811" t="s">
        <v>111</v>
      </c>
      <c r="H7811">
        <v>2829</v>
      </c>
      <c r="I7811" t="s">
        <v>80</v>
      </c>
      <c r="J7811">
        <v>3829</v>
      </c>
      <c r="K7811" t="s">
        <v>2440</v>
      </c>
      <c r="L7811">
        <v>0</v>
      </c>
      <c r="N7811" t="s">
        <v>602</v>
      </c>
      <c r="O7811">
        <v>4</v>
      </c>
      <c r="P7811">
        <v>635</v>
      </c>
      <c r="Q7811" t="s">
        <v>645</v>
      </c>
      <c r="R7811" t="s">
        <v>201</v>
      </c>
      <c r="S7811">
        <v>1</v>
      </c>
      <c r="T7811">
        <v>1</v>
      </c>
      <c r="U7811">
        <v>99408</v>
      </c>
      <c r="V7811">
        <v>99408</v>
      </c>
    </row>
    <row r="7812" spans="1:22">
      <c r="A7812" t="s">
        <v>2333</v>
      </c>
      <c r="B7812">
        <v>41</v>
      </c>
      <c r="C7812" t="s">
        <v>1097</v>
      </c>
      <c r="D7812" t="s">
        <v>2408</v>
      </c>
      <c r="E7812" t="s">
        <v>2409</v>
      </c>
      <c r="F7812">
        <v>1005</v>
      </c>
      <c r="G7812" t="s">
        <v>111</v>
      </c>
      <c r="H7812">
        <v>2829</v>
      </c>
      <c r="I7812" t="s">
        <v>80</v>
      </c>
      <c r="J7812">
        <v>3829</v>
      </c>
      <c r="K7812" t="s">
        <v>2440</v>
      </c>
      <c r="L7812">
        <v>0</v>
      </c>
      <c r="N7812" t="s">
        <v>351</v>
      </c>
      <c r="O7812">
        <v>1</v>
      </c>
      <c r="P7812" t="s">
        <v>352</v>
      </c>
      <c r="Q7812" t="s">
        <v>353</v>
      </c>
      <c r="R7812" t="s">
        <v>201</v>
      </c>
      <c r="S7812">
        <v>1</v>
      </c>
      <c r="T7812">
        <v>1</v>
      </c>
      <c r="U7812">
        <v>108576</v>
      </c>
      <c r="V7812">
        <v>108576</v>
      </c>
    </row>
    <row r="7813" spans="1:22">
      <c r="A7813" t="s">
        <v>2333</v>
      </c>
      <c r="B7813">
        <v>41</v>
      </c>
      <c r="C7813" t="s">
        <v>1097</v>
      </c>
      <c r="D7813" t="s">
        <v>2408</v>
      </c>
      <c r="E7813" t="s">
        <v>2409</v>
      </c>
      <c r="F7813">
        <v>1005</v>
      </c>
      <c r="G7813" t="s">
        <v>111</v>
      </c>
      <c r="H7813">
        <v>2829</v>
      </c>
      <c r="I7813" t="s">
        <v>80</v>
      </c>
      <c r="J7813">
        <v>3829</v>
      </c>
      <c r="K7813" t="s">
        <v>2440</v>
      </c>
      <c r="L7813">
        <v>0</v>
      </c>
      <c r="N7813" t="s">
        <v>351</v>
      </c>
      <c r="O7813">
        <v>1</v>
      </c>
      <c r="P7813" t="s">
        <v>352</v>
      </c>
      <c r="Q7813" t="s">
        <v>353</v>
      </c>
      <c r="R7813" t="s">
        <v>201</v>
      </c>
      <c r="S7813">
        <v>2</v>
      </c>
      <c r="T7813">
        <v>1</v>
      </c>
      <c r="U7813">
        <v>67608</v>
      </c>
      <c r="V7813">
        <v>135216</v>
      </c>
    </row>
    <row r="7814" spans="1:22">
      <c r="A7814" t="s">
        <v>2333</v>
      </c>
      <c r="B7814">
        <v>41</v>
      </c>
      <c r="C7814" t="s">
        <v>1097</v>
      </c>
      <c r="D7814" t="s">
        <v>2408</v>
      </c>
      <c r="E7814" t="s">
        <v>2409</v>
      </c>
      <c r="F7814">
        <v>1005</v>
      </c>
      <c r="G7814" t="s">
        <v>111</v>
      </c>
      <c r="H7814">
        <v>2829</v>
      </c>
      <c r="I7814" t="s">
        <v>80</v>
      </c>
      <c r="J7814">
        <v>3829</v>
      </c>
      <c r="K7814" t="s">
        <v>2440</v>
      </c>
      <c r="L7814">
        <v>0</v>
      </c>
      <c r="N7814" t="s">
        <v>372</v>
      </c>
      <c r="O7814">
        <v>1</v>
      </c>
      <c r="P7814">
        <v>380</v>
      </c>
      <c r="Q7814" t="s">
        <v>1802</v>
      </c>
      <c r="R7814" t="s">
        <v>201</v>
      </c>
      <c r="S7814">
        <v>1</v>
      </c>
      <c r="T7814">
        <v>1</v>
      </c>
      <c r="U7814">
        <v>89244</v>
      </c>
      <c r="V7814">
        <v>89244</v>
      </c>
    </row>
    <row r="7815" spans="1:22">
      <c r="A7815" t="s">
        <v>2333</v>
      </c>
      <c r="B7815">
        <v>41</v>
      </c>
      <c r="C7815" t="s">
        <v>1097</v>
      </c>
      <c r="D7815" t="s">
        <v>2408</v>
      </c>
      <c r="E7815" t="s">
        <v>2409</v>
      </c>
      <c r="F7815">
        <v>1005</v>
      </c>
      <c r="G7815" t="s">
        <v>111</v>
      </c>
      <c r="H7815">
        <v>2829</v>
      </c>
      <c r="I7815" t="s">
        <v>80</v>
      </c>
      <c r="J7815">
        <v>3829</v>
      </c>
      <c r="K7815" t="s">
        <v>2440</v>
      </c>
      <c r="L7815">
        <v>0</v>
      </c>
      <c r="N7815" t="s">
        <v>249</v>
      </c>
      <c r="O7815">
        <v>10</v>
      </c>
      <c r="P7815">
        <v>311</v>
      </c>
      <c r="Q7815" t="s">
        <v>661</v>
      </c>
      <c r="R7815" t="s">
        <v>201</v>
      </c>
      <c r="S7815">
        <v>1</v>
      </c>
      <c r="T7815">
        <v>1</v>
      </c>
      <c r="U7815">
        <v>150072</v>
      </c>
      <c r="V7815">
        <v>150072</v>
      </c>
    </row>
    <row r="7816" spans="1:22">
      <c r="A7816" t="s">
        <v>2333</v>
      </c>
      <c r="B7816">
        <v>41</v>
      </c>
      <c r="C7816" t="s">
        <v>1097</v>
      </c>
      <c r="D7816" t="s">
        <v>2408</v>
      </c>
      <c r="E7816" t="s">
        <v>2409</v>
      </c>
      <c r="F7816">
        <v>1005</v>
      </c>
      <c r="G7816" t="s">
        <v>111</v>
      </c>
      <c r="H7816">
        <v>2829</v>
      </c>
      <c r="I7816" t="s">
        <v>80</v>
      </c>
      <c r="J7816">
        <v>3829</v>
      </c>
      <c r="K7816" t="s">
        <v>2440</v>
      </c>
      <c r="L7816">
        <v>0</v>
      </c>
      <c r="N7816" t="s">
        <v>249</v>
      </c>
      <c r="O7816">
        <v>10</v>
      </c>
      <c r="P7816">
        <v>311</v>
      </c>
      <c r="Q7816" t="s">
        <v>661</v>
      </c>
      <c r="R7816" t="s">
        <v>201</v>
      </c>
      <c r="S7816">
        <v>1</v>
      </c>
      <c r="T7816">
        <v>1</v>
      </c>
      <c r="U7816">
        <v>124584</v>
      </c>
      <c r="V7816">
        <v>124584</v>
      </c>
    </row>
    <row r="7817" spans="1:22">
      <c r="A7817" t="s">
        <v>2333</v>
      </c>
      <c r="B7817">
        <v>41</v>
      </c>
      <c r="C7817" t="s">
        <v>1097</v>
      </c>
      <c r="D7817" t="s">
        <v>2408</v>
      </c>
      <c r="E7817" t="s">
        <v>2409</v>
      </c>
      <c r="F7817">
        <v>1005</v>
      </c>
      <c r="G7817" t="s">
        <v>111</v>
      </c>
      <c r="H7817">
        <v>2829</v>
      </c>
      <c r="I7817" t="s">
        <v>80</v>
      </c>
      <c r="J7817">
        <v>3829</v>
      </c>
      <c r="K7817" t="s">
        <v>2440</v>
      </c>
      <c r="L7817">
        <v>0</v>
      </c>
      <c r="N7817" t="s">
        <v>249</v>
      </c>
      <c r="O7817">
        <v>10</v>
      </c>
      <c r="P7817">
        <v>311</v>
      </c>
      <c r="Q7817" t="s">
        <v>661</v>
      </c>
      <c r="R7817" t="s">
        <v>201</v>
      </c>
      <c r="S7817">
        <v>1</v>
      </c>
      <c r="T7817">
        <v>1</v>
      </c>
      <c r="U7817">
        <v>102444</v>
      </c>
      <c r="V7817">
        <v>102444</v>
      </c>
    </row>
    <row r="7818" spans="1:22">
      <c r="A7818" t="s">
        <v>2333</v>
      </c>
      <c r="B7818">
        <v>41</v>
      </c>
      <c r="C7818" t="s">
        <v>1097</v>
      </c>
      <c r="D7818" t="s">
        <v>2408</v>
      </c>
      <c r="E7818" t="s">
        <v>2409</v>
      </c>
      <c r="F7818">
        <v>1005</v>
      </c>
      <c r="G7818" t="s">
        <v>111</v>
      </c>
      <c r="H7818">
        <v>2829</v>
      </c>
      <c r="I7818" t="s">
        <v>80</v>
      </c>
      <c r="J7818">
        <v>3829</v>
      </c>
      <c r="K7818" t="s">
        <v>2440</v>
      </c>
      <c r="L7818">
        <v>0</v>
      </c>
      <c r="N7818" t="s">
        <v>249</v>
      </c>
      <c r="O7818">
        <v>10</v>
      </c>
      <c r="P7818">
        <v>310</v>
      </c>
      <c r="Q7818" t="s">
        <v>447</v>
      </c>
      <c r="R7818" t="s">
        <v>201</v>
      </c>
      <c r="S7818">
        <v>1</v>
      </c>
      <c r="T7818">
        <v>1</v>
      </c>
      <c r="U7818">
        <v>107340</v>
      </c>
      <c r="V7818">
        <v>107340</v>
      </c>
    </row>
    <row r="7819" spans="1:22">
      <c r="A7819" t="s">
        <v>2333</v>
      </c>
      <c r="B7819">
        <v>41</v>
      </c>
      <c r="C7819" t="s">
        <v>1097</v>
      </c>
      <c r="D7819" t="s">
        <v>2408</v>
      </c>
      <c r="E7819" t="s">
        <v>2409</v>
      </c>
      <c r="F7819">
        <v>1005</v>
      </c>
      <c r="G7819" t="s">
        <v>111</v>
      </c>
      <c r="H7819">
        <v>2829</v>
      </c>
      <c r="I7819" t="s">
        <v>80</v>
      </c>
      <c r="J7819">
        <v>3829</v>
      </c>
      <c r="K7819" t="s">
        <v>2440</v>
      </c>
      <c r="L7819">
        <v>0</v>
      </c>
      <c r="N7819" t="s">
        <v>356</v>
      </c>
      <c r="O7819">
        <v>4</v>
      </c>
      <c r="P7819">
        <v>193</v>
      </c>
      <c r="Q7819" t="s">
        <v>647</v>
      </c>
      <c r="R7819" t="s">
        <v>201</v>
      </c>
      <c r="S7819">
        <v>1</v>
      </c>
      <c r="T7819">
        <v>1</v>
      </c>
      <c r="U7819">
        <v>129636</v>
      </c>
      <c r="V7819">
        <v>129636</v>
      </c>
    </row>
    <row r="7820" spans="1:22">
      <c r="A7820" t="s">
        <v>2333</v>
      </c>
      <c r="B7820">
        <v>41</v>
      </c>
      <c r="C7820" t="s">
        <v>1097</v>
      </c>
      <c r="D7820" t="s">
        <v>2408</v>
      </c>
      <c r="E7820" t="s">
        <v>2409</v>
      </c>
      <c r="F7820">
        <v>1005</v>
      </c>
      <c r="G7820" t="s">
        <v>111</v>
      </c>
      <c r="H7820">
        <v>2829</v>
      </c>
      <c r="I7820" t="s">
        <v>80</v>
      </c>
      <c r="J7820">
        <v>3829</v>
      </c>
      <c r="K7820" t="s">
        <v>2440</v>
      </c>
      <c r="L7820">
        <v>0</v>
      </c>
      <c r="N7820" t="s">
        <v>199</v>
      </c>
      <c r="O7820">
        <v>0</v>
      </c>
      <c r="P7820">
        <v>44</v>
      </c>
      <c r="Q7820" t="s">
        <v>2337</v>
      </c>
      <c r="R7820" t="s">
        <v>201</v>
      </c>
      <c r="S7820">
        <v>0</v>
      </c>
      <c r="T7820">
        <v>0</v>
      </c>
      <c r="U7820">
        <v>1896596</v>
      </c>
      <c r="V7820">
        <v>1896596</v>
      </c>
    </row>
    <row r="7821" spans="1:22">
      <c r="A7821" t="s">
        <v>2333</v>
      </c>
      <c r="B7821">
        <v>41</v>
      </c>
      <c r="C7821" t="s">
        <v>1097</v>
      </c>
      <c r="D7821" t="s">
        <v>2408</v>
      </c>
      <c r="E7821" t="s">
        <v>2409</v>
      </c>
      <c r="F7821">
        <v>1005</v>
      </c>
      <c r="G7821" t="s">
        <v>111</v>
      </c>
      <c r="H7821">
        <v>2829</v>
      </c>
      <c r="I7821" t="s">
        <v>80</v>
      </c>
      <c r="J7821">
        <v>3829</v>
      </c>
      <c r="K7821" t="s">
        <v>2440</v>
      </c>
      <c r="L7821">
        <v>0</v>
      </c>
      <c r="N7821" t="s">
        <v>199</v>
      </c>
      <c r="O7821">
        <v>0</v>
      </c>
      <c r="P7821">
        <v>15</v>
      </c>
      <c r="Q7821" t="s">
        <v>264</v>
      </c>
      <c r="R7821" t="s">
        <v>201</v>
      </c>
      <c r="S7821">
        <v>0</v>
      </c>
      <c r="T7821">
        <v>0</v>
      </c>
      <c r="U7821">
        <v>30579</v>
      </c>
      <c r="V7821">
        <v>30579</v>
      </c>
    </row>
    <row r="7822" spans="1:22">
      <c r="A7822" t="s">
        <v>2333</v>
      </c>
      <c r="B7822">
        <v>41</v>
      </c>
      <c r="C7822" t="s">
        <v>1097</v>
      </c>
      <c r="D7822" t="s">
        <v>2408</v>
      </c>
      <c r="E7822" t="s">
        <v>2409</v>
      </c>
      <c r="F7822">
        <v>1005</v>
      </c>
      <c r="G7822" t="s">
        <v>111</v>
      </c>
      <c r="H7822" t="s">
        <v>2441</v>
      </c>
      <c r="I7822" t="s">
        <v>164</v>
      </c>
      <c r="J7822" t="s">
        <v>2442</v>
      </c>
      <c r="K7822" t="s">
        <v>2443</v>
      </c>
      <c r="L7822">
        <v>0</v>
      </c>
      <c r="N7822" t="s">
        <v>392</v>
      </c>
      <c r="O7822">
        <v>4</v>
      </c>
      <c r="P7822">
        <v>3467</v>
      </c>
      <c r="Q7822" t="s">
        <v>1116</v>
      </c>
      <c r="R7822" t="s">
        <v>201</v>
      </c>
      <c r="S7822">
        <v>1</v>
      </c>
      <c r="T7822">
        <v>1</v>
      </c>
      <c r="U7822">
        <v>102588</v>
      </c>
      <c r="V7822">
        <v>102588</v>
      </c>
    </row>
    <row r="7823" spans="1:22">
      <c r="A7823" t="s">
        <v>2333</v>
      </c>
      <c r="B7823">
        <v>41</v>
      </c>
      <c r="C7823" t="s">
        <v>1097</v>
      </c>
      <c r="D7823" t="s">
        <v>2408</v>
      </c>
      <c r="E7823" t="s">
        <v>2409</v>
      </c>
      <c r="F7823">
        <v>1005</v>
      </c>
      <c r="G7823" t="s">
        <v>111</v>
      </c>
      <c r="H7823" t="s">
        <v>2441</v>
      </c>
      <c r="I7823" t="s">
        <v>164</v>
      </c>
      <c r="J7823" t="s">
        <v>2442</v>
      </c>
      <c r="K7823" t="s">
        <v>2443</v>
      </c>
      <c r="L7823">
        <v>0</v>
      </c>
      <c r="N7823" t="s">
        <v>199</v>
      </c>
      <c r="O7823">
        <v>0</v>
      </c>
      <c r="P7823">
        <v>44</v>
      </c>
      <c r="Q7823" t="s">
        <v>2337</v>
      </c>
      <c r="R7823" t="s">
        <v>201</v>
      </c>
      <c r="S7823">
        <v>0</v>
      </c>
      <c r="T7823">
        <v>0</v>
      </c>
      <c r="U7823">
        <v>57408</v>
      </c>
      <c r="V7823">
        <v>57408</v>
      </c>
    </row>
    <row r="7824" spans="1:22">
      <c r="A7824" t="s">
        <v>2333</v>
      </c>
      <c r="B7824">
        <v>41</v>
      </c>
      <c r="C7824" t="s">
        <v>1097</v>
      </c>
      <c r="D7824" t="s">
        <v>2408</v>
      </c>
      <c r="E7824" t="s">
        <v>2409</v>
      </c>
      <c r="F7824">
        <v>1005</v>
      </c>
      <c r="G7824" t="s">
        <v>111</v>
      </c>
      <c r="H7824" t="s">
        <v>2375</v>
      </c>
      <c r="I7824" t="s">
        <v>72</v>
      </c>
      <c r="J7824" t="s">
        <v>2376</v>
      </c>
      <c r="K7824" t="s">
        <v>2377</v>
      </c>
      <c r="L7824">
        <v>0</v>
      </c>
      <c r="N7824" t="s">
        <v>251</v>
      </c>
      <c r="O7824">
        <v>10</v>
      </c>
      <c r="P7824">
        <v>1430</v>
      </c>
      <c r="Q7824" t="s">
        <v>850</v>
      </c>
      <c r="R7824" t="s">
        <v>201</v>
      </c>
      <c r="S7824">
        <v>2</v>
      </c>
      <c r="T7824">
        <v>1</v>
      </c>
      <c r="U7824">
        <v>85128</v>
      </c>
      <c r="V7824">
        <v>170256</v>
      </c>
    </row>
    <row r="7825" spans="1:22">
      <c r="A7825" t="s">
        <v>2333</v>
      </c>
      <c r="B7825">
        <v>41</v>
      </c>
      <c r="C7825" t="s">
        <v>1097</v>
      </c>
      <c r="D7825" t="s">
        <v>2408</v>
      </c>
      <c r="E7825" t="s">
        <v>2409</v>
      </c>
      <c r="F7825">
        <v>1005</v>
      </c>
      <c r="G7825" t="s">
        <v>111</v>
      </c>
      <c r="H7825" t="s">
        <v>2375</v>
      </c>
      <c r="I7825" t="s">
        <v>72</v>
      </c>
      <c r="J7825" t="s">
        <v>2376</v>
      </c>
      <c r="K7825" t="s">
        <v>2377</v>
      </c>
      <c r="L7825">
        <v>0</v>
      </c>
      <c r="N7825" t="s">
        <v>253</v>
      </c>
      <c r="O7825">
        <v>20</v>
      </c>
      <c r="P7825">
        <v>381</v>
      </c>
      <c r="Q7825" t="s">
        <v>730</v>
      </c>
      <c r="R7825" t="s">
        <v>201</v>
      </c>
      <c r="S7825">
        <v>2</v>
      </c>
      <c r="T7825">
        <v>1</v>
      </c>
      <c r="U7825">
        <v>85128</v>
      </c>
      <c r="V7825">
        <v>170256</v>
      </c>
    </row>
    <row r="7826" spans="1:22">
      <c r="A7826" t="s">
        <v>2333</v>
      </c>
      <c r="B7826">
        <v>41</v>
      </c>
      <c r="C7826" t="s">
        <v>1097</v>
      </c>
      <c r="D7826" t="s">
        <v>2408</v>
      </c>
      <c r="E7826" t="s">
        <v>2409</v>
      </c>
      <c r="F7826">
        <v>1005</v>
      </c>
      <c r="G7826" t="s">
        <v>111</v>
      </c>
      <c r="H7826" t="s">
        <v>2375</v>
      </c>
      <c r="I7826" t="s">
        <v>72</v>
      </c>
      <c r="J7826" t="s">
        <v>2376</v>
      </c>
      <c r="K7826" t="s">
        <v>2377</v>
      </c>
      <c r="L7826">
        <v>0</v>
      </c>
      <c r="N7826" t="s">
        <v>199</v>
      </c>
      <c r="O7826">
        <v>0</v>
      </c>
      <c r="P7826">
        <v>44</v>
      </c>
      <c r="Q7826" t="s">
        <v>2337</v>
      </c>
      <c r="R7826" t="s">
        <v>201</v>
      </c>
      <c r="S7826">
        <v>0</v>
      </c>
      <c r="T7826">
        <v>0</v>
      </c>
      <c r="U7826">
        <v>190550</v>
      </c>
      <c r="V7826">
        <v>190550</v>
      </c>
    </row>
    <row r="7827" spans="1:22">
      <c r="A7827" t="s">
        <v>2333</v>
      </c>
      <c r="B7827">
        <v>41</v>
      </c>
      <c r="C7827" t="s">
        <v>1097</v>
      </c>
      <c r="D7827" t="s">
        <v>2408</v>
      </c>
      <c r="E7827" t="s">
        <v>2409</v>
      </c>
      <c r="F7827">
        <v>1005</v>
      </c>
      <c r="G7827" t="s">
        <v>111</v>
      </c>
      <c r="H7827" t="s">
        <v>2375</v>
      </c>
      <c r="I7827" t="s">
        <v>72</v>
      </c>
      <c r="J7827" t="s">
        <v>2376</v>
      </c>
      <c r="K7827" t="s">
        <v>2377</v>
      </c>
      <c r="L7827">
        <v>0</v>
      </c>
      <c r="N7827" t="s">
        <v>199</v>
      </c>
      <c r="O7827">
        <v>0</v>
      </c>
      <c r="P7827">
        <v>15</v>
      </c>
      <c r="Q7827" t="s">
        <v>264</v>
      </c>
      <c r="R7827" t="s">
        <v>201</v>
      </c>
      <c r="S7827">
        <v>0</v>
      </c>
      <c r="T7827">
        <v>0</v>
      </c>
      <c r="U7827">
        <v>7138</v>
      </c>
      <c r="V7827">
        <v>7138</v>
      </c>
    </row>
    <row r="7828" spans="1:22">
      <c r="A7828" t="s">
        <v>2333</v>
      </c>
      <c r="B7828">
        <v>41</v>
      </c>
      <c r="C7828" t="s">
        <v>1097</v>
      </c>
      <c r="D7828" t="s">
        <v>2408</v>
      </c>
      <c r="E7828" t="s">
        <v>2409</v>
      </c>
      <c r="F7828">
        <v>1005</v>
      </c>
      <c r="G7828" t="s">
        <v>111</v>
      </c>
      <c r="H7828" t="s">
        <v>2444</v>
      </c>
      <c r="I7828" t="s">
        <v>132</v>
      </c>
      <c r="J7828" t="s">
        <v>2445</v>
      </c>
      <c r="K7828" t="s">
        <v>2446</v>
      </c>
      <c r="L7828">
        <v>0</v>
      </c>
      <c r="N7828" t="s">
        <v>1124</v>
      </c>
      <c r="O7828">
        <v>37</v>
      </c>
      <c r="P7828">
        <v>3752</v>
      </c>
      <c r="Q7828" t="s">
        <v>1125</v>
      </c>
      <c r="R7828" t="s">
        <v>201</v>
      </c>
      <c r="S7828">
        <v>1</v>
      </c>
      <c r="T7828">
        <v>1</v>
      </c>
      <c r="U7828">
        <v>137376</v>
      </c>
      <c r="V7828">
        <v>137376</v>
      </c>
    </row>
    <row r="7829" spans="1:22">
      <c r="A7829" t="s">
        <v>2333</v>
      </c>
      <c r="B7829">
        <v>41</v>
      </c>
      <c r="C7829" t="s">
        <v>1097</v>
      </c>
      <c r="D7829" t="s">
        <v>2408</v>
      </c>
      <c r="E7829" t="s">
        <v>2409</v>
      </c>
      <c r="F7829">
        <v>1005</v>
      </c>
      <c r="G7829" t="s">
        <v>111</v>
      </c>
      <c r="H7829" t="s">
        <v>2444</v>
      </c>
      <c r="I7829" t="s">
        <v>132</v>
      </c>
      <c r="J7829" t="s">
        <v>2445</v>
      </c>
      <c r="K7829" t="s">
        <v>2446</v>
      </c>
      <c r="L7829">
        <v>0</v>
      </c>
      <c r="N7829" t="s">
        <v>1124</v>
      </c>
      <c r="O7829">
        <v>37</v>
      </c>
      <c r="P7829">
        <v>3752</v>
      </c>
      <c r="Q7829" t="s">
        <v>1125</v>
      </c>
      <c r="R7829" t="s">
        <v>201</v>
      </c>
      <c r="S7829">
        <v>1</v>
      </c>
      <c r="T7829">
        <v>1</v>
      </c>
      <c r="U7829">
        <v>113004</v>
      </c>
      <c r="V7829">
        <v>113004</v>
      </c>
    </row>
    <row r="7830" spans="1:22">
      <c r="A7830" t="s">
        <v>2333</v>
      </c>
      <c r="B7830">
        <v>41</v>
      </c>
      <c r="C7830" t="s">
        <v>1097</v>
      </c>
      <c r="D7830" t="s">
        <v>2408</v>
      </c>
      <c r="E7830" t="s">
        <v>2409</v>
      </c>
      <c r="F7830">
        <v>1005</v>
      </c>
      <c r="G7830" t="s">
        <v>111</v>
      </c>
      <c r="H7830" t="s">
        <v>2444</v>
      </c>
      <c r="I7830" t="s">
        <v>132</v>
      </c>
      <c r="J7830" t="s">
        <v>2445</v>
      </c>
      <c r="K7830" t="s">
        <v>2446</v>
      </c>
      <c r="L7830">
        <v>0</v>
      </c>
      <c r="N7830" t="s">
        <v>1124</v>
      </c>
      <c r="O7830">
        <v>37</v>
      </c>
      <c r="P7830">
        <v>3752</v>
      </c>
      <c r="Q7830" t="s">
        <v>1125</v>
      </c>
      <c r="R7830" t="s">
        <v>201</v>
      </c>
      <c r="S7830">
        <v>1</v>
      </c>
      <c r="T7830">
        <v>1</v>
      </c>
      <c r="U7830">
        <v>101448</v>
      </c>
      <c r="V7830">
        <v>101448</v>
      </c>
    </row>
    <row r="7831" spans="1:22">
      <c r="A7831" t="s">
        <v>2333</v>
      </c>
      <c r="B7831">
        <v>41</v>
      </c>
      <c r="C7831" t="s">
        <v>1097</v>
      </c>
      <c r="D7831" t="s">
        <v>2408</v>
      </c>
      <c r="E7831" t="s">
        <v>2409</v>
      </c>
      <c r="F7831">
        <v>1005</v>
      </c>
      <c r="G7831" t="s">
        <v>111</v>
      </c>
      <c r="H7831" t="s">
        <v>2444</v>
      </c>
      <c r="I7831" t="s">
        <v>132</v>
      </c>
      <c r="J7831" t="s">
        <v>2445</v>
      </c>
      <c r="K7831" t="s">
        <v>2446</v>
      </c>
      <c r="L7831">
        <v>0</v>
      </c>
      <c r="N7831" t="s">
        <v>1124</v>
      </c>
      <c r="O7831">
        <v>37</v>
      </c>
      <c r="P7831">
        <v>3752</v>
      </c>
      <c r="Q7831" t="s">
        <v>1125</v>
      </c>
      <c r="R7831" t="s">
        <v>201</v>
      </c>
      <c r="S7831">
        <v>1</v>
      </c>
      <c r="T7831">
        <v>1</v>
      </c>
      <c r="U7831">
        <v>87504</v>
      </c>
      <c r="V7831">
        <v>87504</v>
      </c>
    </row>
    <row r="7832" spans="1:22">
      <c r="A7832" t="s">
        <v>2333</v>
      </c>
      <c r="B7832">
        <v>41</v>
      </c>
      <c r="C7832" t="s">
        <v>1097</v>
      </c>
      <c r="D7832" t="s">
        <v>2408</v>
      </c>
      <c r="E7832" t="s">
        <v>2409</v>
      </c>
      <c r="F7832">
        <v>1005</v>
      </c>
      <c r="G7832" t="s">
        <v>111</v>
      </c>
      <c r="H7832" t="s">
        <v>2444</v>
      </c>
      <c r="I7832" t="s">
        <v>132</v>
      </c>
      <c r="J7832" t="s">
        <v>2445</v>
      </c>
      <c r="K7832" t="s">
        <v>2446</v>
      </c>
      <c r="L7832">
        <v>0</v>
      </c>
      <c r="N7832" t="s">
        <v>1154</v>
      </c>
      <c r="O7832">
        <v>56</v>
      </c>
      <c r="P7832">
        <v>3701</v>
      </c>
      <c r="Q7832" t="s">
        <v>1155</v>
      </c>
      <c r="R7832" t="s">
        <v>201</v>
      </c>
      <c r="S7832">
        <v>1</v>
      </c>
      <c r="T7832">
        <v>1</v>
      </c>
      <c r="U7832">
        <v>103944</v>
      </c>
      <c r="V7832">
        <v>103944</v>
      </c>
    </row>
    <row r="7833" spans="1:22">
      <c r="A7833" t="s">
        <v>2333</v>
      </c>
      <c r="B7833">
        <v>41</v>
      </c>
      <c r="C7833" t="s">
        <v>1097</v>
      </c>
      <c r="D7833" t="s">
        <v>2408</v>
      </c>
      <c r="E7833" t="s">
        <v>2409</v>
      </c>
      <c r="F7833">
        <v>1005</v>
      </c>
      <c r="G7833" t="s">
        <v>111</v>
      </c>
      <c r="H7833" t="s">
        <v>2444</v>
      </c>
      <c r="I7833" t="s">
        <v>132</v>
      </c>
      <c r="J7833" t="s">
        <v>2445</v>
      </c>
      <c r="K7833" t="s">
        <v>2446</v>
      </c>
      <c r="L7833">
        <v>0</v>
      </c>
      <c r="N7833" t="s">
        <v>199</v>
      </c>
      <c r="O7833">
        <v>0</v>
      </c>
      <c r="P7833">
        <v>44</v>
      </c>
      <c r="Q7833" t="s">
        <v>2337</v>
      </c>
      <c r="R7833" t="s">
        <v>201</v>
      </c>
      <c r="S7833">
        <v>0</v>
      </c>
      <c r="T7833">
        <v>0</v>
      </c>
      <c r="U7833">
        <v>304017</v>
      </c>
      <c r="V7833">
        <v>304017</v>
      </c>
    </row>
    <row r="7834" spans="1:22">
      <c r="A7834" t="s">
        <v>2333</v>
      </c>
      <c r="B7834">
        <v>41</v>
      </c>
      <c r="C7834" t="s">
        <v>1097</v>
      </c>
      <c r="D7834" t="s">
        <v>2408</v>
      </c>
      <c r="E7834" t="s">
        <v>2409</v>
      </c>
      <c r="F7834">
        <v>1005</v>
      </c>
      <c r="G7834" t="s">
        <v>111</v>
      </c>
      <c r="H7834" t="s">
        <v>2444</v>
      </c>
      <c r="I7834" t="s">
        <v>132</v>
      </c>
      <c r="J7834" t="s">
        <v>2445</v>
      </c>
      <c r="K7834" t="s">
        <v>2446</v>
      </c>
      <c r="L7834">
        <v>0</v>
      </c>
      <c r="N7834" t="s">
        <v>199</v>
      </c>
      <c r="O7834">
        <v>0</v>
      </c>
      <c r="P7834">
        <v>15</v>
      </c>
      <c r="Q7834" t="s">
        <v>264</v>
      </c>
      <c r="R7834" t="s">
        <v>201</v>
      </c>
      <c r="S7834">
        <v>0</v>
      </c>
      <c r="T7834">
        <v>0</v>
      </c>
      <c r="U7834">
        <v>6617</v>
      </c>
      <c r="V7834">
        <v>6617</v>
      </c>
    </row>
    <row r="7835" spans="1:22">
      <c r="A7835" t="s">
        <v>2333</v>
      </c>
      <c r="B7835">
        <v>41</v>
      </c>
      <c r="C7835" t="s">
        <v>1097</v>
      </c>
      <c r="D7835" t="s">
        <v>2408</v>
      </c>
      <c r="E7835" t="s">
        <v>2409</v>
      </c>
      <c r="F7835">
        <v>1005</v>
      </c>
      <c r="G7835" t="s">
        <v>111</v>
      </c>
      <c r="H7835" t="s">
        <v>2447</v>
      </c>
      <c r="I7835" t="s">
        <v>161</v>
      </c>
      <c r="J7835" t="s">
        <v>2448</v>
      </c>
      <c r="K7835" t="s">
        <v>2449</v>
      </c>
      <c r="L7835">
        <v>0</v>
      </c>
      <c r="N7835" t="s">
        <v>1172</v>
      </c>
      <c r="O7835">
        <v>44</v>
      </c>
      <c r="P7835">
        <v>2150</v>
      </c>
      <c r="Q7835" t="s">
        <v>1173</v>
      </c>
      <c r="R7835" t="s">
        <v>201</v>
      </c>
      <c r="S7835">
        <v>1</v>
      </c>
      <c r="T7835">
        <v>1</v>
      </c>
      <c r="U7835">
        <v>124740</v>
      </c>
      <c r="V7835">
        <v>124740</v>
      </c>
    </row>
    <row r="7836" spans="1:22">
      <c r="A7836" t="s">
        <v>2333</v>
      </c>
      <c r="B7836">
        <v>41</v>
      </c>
      <c r="C7836" t="s">
        <v>1097</v>
      </c>
      <c r="D7836" t="s">
        <v>2408</v>
      </c>
      <c r="E7836" t="s">
        <v>2409</v>
      </c>
      <c r="F7836">
        <v>1005</v>
      </c>
      <c r="G7836" t="s">
        <v>111</v>
      </c>
      <c r="H7836" t="s">
        <v>2447</v>
      </c>
      <c r="I7836" t="s">
        <v>161</v>
      </c>
      <c r="J7836" t="s">
        <v>2448</v>
      </c>
      <c r="K7836" t="s">
        <v>2449</v>
      </c>
      <c r="L7836">
        <v>0</v>
      </c>
      <c r="N7836" t="s">
        <v>199</v>
      </c>
      <c r="O7836">
        <v>0</v>
      </c>
      <c r="P7836">
        <v>44</v>
      </c>
      <c r="Q7836" t="s">
        <v>2337</v>
      </c>
      <c r="R7836" t="s">
        <v>201</v>
      </c>
      <c r="S7836">
        <v>0</v>
      </c>
      <c r="T7836">
        <v>0</v>
      </c>
      <c r="U7836">
        <v>69805</v>
      </c>
      <c r="V7836">
        <v>69805</v>
      </c>
    </row>
    <row r="7837" spans="1:22">
      <c r="A7837" t="s">
        <v>2333</v>
      </c>
      <c r="B7837">
        <v>41</v>
      </c>
      <c r="C7837" t="s">
        <v>1097</v>
      </c>
      <c r="D7837" t="s">
        <v>2408</v>
      </c>
      <c r="E7837" t="s">
        <v>2409</v>
      </c>
      <c r="F7837">
        <v>1005</v>
      </c>
      <c r="G7837" t="s">
        <v>111</v>
      </c>
      <c r="H7837">
        <v>2883</v>
      </c>
      <c r="I7837" t="s">
        <v>139</v>
      </c>
      <c r="J7837">
        <v>3819</v>
      </c>
      <c r="K7837" t="s">
        <v>2450</v>
      </c>
      <c r="L7837">
        <v>0</v>
      </c>
      <c r="N7837" t="s">
        <v>392</v>
      </c>
      <c r="O7837">
        <v>4</v>
      </c>
      <c r="P7837">
        <v>8620</v>
      </c>
      <c r="Q7837" t="s">
        <v>1132</v>
      </c>
      <c r="R7837" t="s">
        <v>201</v>
      </c>
      <c r="S7837">
        <v>1</v>
      </c>
      <c r="T7837">
        <v>1</v>
      </c>
      <c r="U7837">
        <v>112536</v>
      </c>
      <c r="V7837">
        <v>112536</v>
      </c>
    </row>
    <row r="7838" spans="1:22">
      <c r="A7838" t="s">
        <v>2333</v>
      </c>
      <c r="B7838">
        <v>41</v>
      </c>
      <c r="C7838" t="s">
        <v>1097</v>
      </c>
      <c r="D7838" t="s">
        <v>2408</v>
      </c>
      <c r="E7838" t="s">
        <v>2409</v>
      </c>
      <c r="F7838">
        <v>1005</v>
      </c>
      <c r="G7838" t="s">
        <v>111</v>
      </c>
      <c r="H7838">
        <v>2883</v>
      </c>
      <c r="I7838" t="s">
        <v>139</v>
      </c>
      <c r="J7838">
        <v>3819</v>
      </c>
      <c r="K7838" t="s">
        <v>2450</v>
      </c>
      <c r="L7838">
        <v>0</v>
      </c>
      <c r="N7838" t="s">
        <v>356</v>
      </c>
      <c r="O7838">
        <v>3</v>
      </c>
      <c r="P7838">
        <v>2989</v>
      </c>
      <c r="Q7838" t="s">
        <v>2351</v>
      </c>
      <c r="R7838" t="s">
        <v>201</v>
      </c>
      <c r="S7838">
        <v>1</v>
      </c>
      <c r="T7838">
        <v>1</v>
      </c>
      <c r="U7838">
        <v>107628</v>
      </c>
      <c r="V7838">
        <v>107628</v>
      </c>
    </row>
    <row r="7839" spans="1:22">
      <c r="A7839" t="s">
        <v>2333</v>
      </c>
      <c r="B7839">
        <v>41</v>
      </c>
      <c r="C7839" t="s">
        <v>1097</v>
      </c>
      <c r="D7839" t="s">
        <v>2408</v>
      </c>
      <c r="E7839" t="s">
        <v>2409</v>
      </c>
      <c r="F7839">
        <v>1005</v>
      </c>
      <c r="G7839" t="s">
        <v>111</v>
      </c>
      <c r="H7839">
        <v>2883</v>
      </c>
      <c r="I7839" t="s">
        <v>139</v>
      </c>
      <c r="J7839">
        <v>3819</v>
      </c>
      <c r="K7839" t="s">
        <v>2450</v>
      </c>
      <c r="L7839">
        <v>0</v>
      </c>
      <c r="N7839" t="s">
        <v>249</v>
      </c>
      <c r="O7839">
        <v>10</v>
      </c>
      <c r="P7839">
        <v>311</v>
      </c>
      <c r="Q7839" t="s">
        <v>661</v>
      </c>
      <c r="R7839" t="s">
        <v>201</v>
      </c>
      <c r="S7839">
        <v>1</v>
      </c>
      <c r="T7839">
        <v>1</v>
      </c>
      <c r="U7839">
        <v>130524</v>
      </c>
      <c r="V7839">
        <v>130524</v>
      </c>
    </row>
    <row r="7840" spans="1:22">
      <c r="A7840" t="s">
        <v>2333</v>
      </c>
      <c r="B7840">
        <v>41</v>
      </c>
      <c r="C7840" t="s">
        <v>1097</v>
      </c>
      <c r="D7840" t="s">
        <v>2408</v>
      </c>
      <c r="E7840" t="s">
        <v>2409</v>
      </c>
      <c r="F7840">
        <v>1005</v>
      </c>
      <c r="G7840" t="s">
        <v>111</v>
      </c>
      <c r="H7840">
        <v>2883</v>
      </c>
      <c r="I7840" t="s">
        <v>139</v>
      </c>
      <c r="J7840">
        <v>3819</v>
      </c>
      <c r="K7840" t="s">
        <v>2450</v>
      </c>
      <c r="L7840">
        <v>0</v>
      </c>
      <c r="N7840" t="s">
        <v>249</v>
      </c>
      <c r="O7840">
        <v>10</v>
      </c>
      <c r="P7840">
        <v>310</v>
      </c>
      <c r="Q7840" t="s">
        <v>447</v>
      </c>
      <c r="R7840" t="s">
        <v>201</v>
      </c>
      <c r="S7840">
        <v>1</v>
      </c>
      <c r="T7840">
        <v>1</v>
      </c>
      <c r="U7840">
        <v>89112</v>
      </c>
      <c r="V7840">
        <v>89112</v>
      </c>
    </row>
    <row r="7841" spans="1:22">
      <c r="A7841" t="s">
        <v>2333</v>
      </c>
      <c r="B7841">
        <v>41</v>
      </c>
      <c r="C7841" t="s">
        <v>1097</v>
      </c>
      <c r="D7841" t="s">
        <v>2408</v>
      </c>
      <c r="E7841" t="s">
        <v>2409</v>
      </c>
      <c r="F7841">
        <v>1005</v>
      </c>
      <c r="G7841" t="s">
        <v>111</v>
      </c>
      <c r="H7841">
        <v>2883</v>
      </c>
      <c r="I7841" t="s">
        <v>139</v>
      </c>
      <c r="J7841">
        <v>3819</v>
      </c>
      <c r="K7841" t="s">
        <v>2450</v>
      </c>
      <c r="L7841">
        <v>0</v>
      </c>
      <c r="N7841" t="s">
        <v>199</v>
      </c>
      <c r="O7841">
        <v>0</v>
      </c>
      <c r="P7841">
        <v>44</v>
      </c>
      <c r="Q7841" t="s">
        <v>2337</v>
      </c>
      <c r="R7841" t="s">
        <v>201</v>
      </c>
      <c r="S7841">
        <v>0</v>
      </c>
      <c r="T7841">
        <v>0</v>
      </c>
      <c r="U7841">
        <v>246112</v>
      </c>
      <c r="V7841">
        <v>246112</v>
      </c>
    </row>
    <row r="7842" spans="1:22">
      <c r="A7842" t="s">
        <v>2333</v>
      </c>
      <c r="B7842">
        <v>41</v>
      </c>
      <c r="C7842" t="s">
        <v>1097</v>
      </c>
      <c r="D7842" t="s">
        <v>2408</v>
      </c>
      <c r="E7842" t="s">
        <v>2409</v>
      </c>
      <c r="F7842">
        <v>1005</v>
      </c>
      <c r="G7842" t="s">
        <v>111</v>
      </c>
      <c r="H7842">
        <v>2883</v>
      </c>
      <c r="I7842" t="s">
        <v>139</v>
      </c>
      <c r="J7842">
        <v>3819</v>
      </c>
      <c r="K7842" t="s">
        <v>2450</v>
      </c>
      <c r="L7842">
        <v>0</v>
      </c>
      <c r="N7842" t="s">
        <v>199</v>
      </c>
      <c r="O7842">
        <v>0</v>
      </c>
      <c r="P7842">
        <v>15</v>
      </c>
      <c r="Q7842" t="s">
        <v>264</v>
      </c>
      <c r="R7842" t="s">
        <v>201</v>
      </c>
      <c r="S7842">
        <v>0</v>
      </c>
      <c r="T7842">
        <v>0</v>
      </c>
      <c r="U7842">
        <v>5521</v>
      </c>
      <c r="V7842">
        <v>5521</v>
      </c>
    </row>
    <row r="7843" spans="1:22">
      <c r="A7843" t="s">
        <v>2333</v>
      </c>
      <c r="B7843">
        <v>41</v>
      </c>
      <c r="C7843" t="s">
        <v>1097</v>
      </c>
      <c r="D7843" t="s">
        <v>2408</v>
      </c>
      <c r="E7843" t="s">
        <v>2409</v>
      </c>
      <c r="F7843">
        <v>1005</v>
      </c>
      <c r="G7843" t="s">
        <v>111</v>
      </c>
      <c r="H7843">
        <v>2910</v>
      </c>
      <c r="I7843" t="s">
        <v>95</v>
      </c>
      <c r="J7843">
        <v>3911</v>
      </c>
      <c r="K7843" t="s">
        <v>2451</v>
      </c>
      <c r="L7843">
        <v>0</v>
      </c>
      <c r="N7843" t="s">
        <v>1124</v>
      </c>
      <c r="O7843">
        <v>37</v>
      </c>
      <c r="P7843">
        <v>3752</v>
      </c>
      <c r="Q7843" t="s">
        <v>1125</v>
      </c>
      <c r="R7843" t="s">
        <v>201</v>
      </c>
      <c r="S7843">
        <v>3</v>
      </c>
      <c r="T7843">
        <v>1</v>
      </c>
      <c r="U7843">
        <v>137376</v>
      </c>
      <c r="V7843">
        <v>412128</v>
      </c>
    </row>
    <row r="7844" spans="1:22">
      <c r="A7844" t="s">
        <v>2333</v>
      </c>
      <c r="B7844">
        <v>41</v>
      </c>
      <c r="C7844" t="s">
        <v>1097</v>
      </c>
      <c r="D7844" t="s">
        <v>2408</v>
      </c>
      <c r="E7844" t="s">
        <v>2409</v>
      </c>
      <c r="F7844">
        <v>1005</v>
      </c>
      <c r="G7844" t="s">
        <v>111</v>
      </c>
      <c r="H7844">
        <v>2910</v>
      </c>
      <c r="I7844" t="s">
        <v>95</v>
      </c>
      <c r="J7844">
        <v>3911</v>
      </c>
      <c r="K7844" t="s">
        <v>2451</v>
      </c>
      <c r="L7844">
        <v>0</v>
      </c>
      <c r="N7844" t="s">
        <v>1124</v>
      </c>
      <c r="O7844">
        <v>37</v>
      </c>
      <c r="P7844">
        <v>3752</v>
      </c>
      <c r="Q7844" t="s">
        <v>1125</v>
      </c>
      <c r="R7844" t="s">
        <v>201</v>
      </c>
      <c r="S7844">
        <v>1</v>
      </c>
      <c r="T7844">
        <v>1</v>
      </c>
      <c r="U7844">
        <v>113004</v>
      </c>
      <c r="V7844">
        <v>113004</v>
      </c>
    </row>
    <row r="7845" spans="1:22">
      <c r="A7845" t="s">
        <v>2333</v>
      </c>
      <c r="B7845">
        <v>41</v>
      </c>
      <c r="C7845" t="s">
        <v>1097</v>
      </c>
      <c r="D7845" t="s">
        <v>2408</v>
      </c>
      <c r="E7845" t="s">
        <v>2409</v>
      </c>
      <c r="F7845">
        <v>1005</v>
      </c>
      <c r="G7845" t="s">
        <v>111</v>
      </c>
      <c r="H7845">
        <v>2910</v>
      </c>
      <c r="I7845" t="s">
        <v>95</v>
      </c>
      <c r="J7845">
        <v>3911</v>
      </c>
      <c r="K7845" t="s">
        <v>2451</v>
      </c>
      <c r="L7845">
        <v>0</v>
      </c>
      <c r="N7845" t="s">
        <v>1124</v>
      </c>
      <c r="O7845">
        <v>37</v>
      </c>
      <c r="P7845">
        <v>3752</v>
      </c>
      <c r="Q7845" t="s">
        <v>1125</v>
      </c>
      <c r="R7845" t="s">
        <v>201</v>
      </c>
      <c r="S7845">
        <v>1</v>
      </c>
      <c r="T7845">
        <v>1</v>
      </c>
      <c r="U7845">
        <v>101448</v>
      </c>
      <c r="V7845">
        <v>101448</v>
      </c>
    </row>
    <row r="7846" spans="1:22">
      <c r="A7846" t="s">
        <v>2333</v>
      </c>
      <c r="B7846">
        <v>41</v>
      </c>
      <c r="C7846" t="s">
        <v>1097</v>
      </c>
      <c r="D7846" t="s">
        <v>2408</v>
      </c>
      <c r="E7846" t="s">
        <v>2409</v>
      </c>
      <c r="F7846">
        <v>1005</v>
      </c>
      <c r="G7846" t="s">
        <v>111</v>
      </c>
      <c r="H7846">
        <v>2910</v>
      </c>
      <c r="I7846" t="s">
        <v>95</v>
      </c>
      <c r="J7846">
        <v>3911</v>
      </c>
      <c r="K7846" t="s">
        <v>2451</v>
      </c>
      <c r="L7846">
        <v>0</v>
      </c>
      <c r="N7846" t="s">
        <v>1124</v>
      </c>
      <c r="O7846">
        <v>37</v>
      </c>
      <c r="P7846">
        <v>3752</v>
      </c>
      <c r="Q7846" t="s">
        <v>1125</v>
      </c>
      <c r="R7846" t="s">
        <v>201</v>
      </c>
      <c r="S7846">
        <v>3</v>
      </c>
      <c r="T7846">
        <v>1</v>
      </c>
      <c r="U7846">
        <v>96708</v>
      </c>
      <c r="V7846">
        <v>290124</v>
      </c>
    </row>
    <row r="7847" spans="1:22">
      <c r="A7847" t="s">
        <v>2333</v>
      </c>
      <c r="B7847">
        <v>41</v>
      </c>
      <c r="C7847" t="s">
        <v>1097</v>
      </c>
      <c r="D7847" t="s">
        <v>2408</v>
      </c>
      <c r="E7847" t="s">
        <v>2409</v>
      </c>
      <c r="F7847">
        <v>1005</v>
      </c>
      <c r="G7847" t="s">
        <v>111</v>
      </c>
      <c r="H7847">
        <v>2910</v>
      </c>
      <c r="I7847" t="s">
        <v>95</v>
      </c>
      <c r="J7847">
        <v>3911</v>
      </c>
      <c r="K7847" t="s">
        <v>2451</v>
      </c>
      <c r="L7847">
        <v>0</v>
      </c>
      <c r="N7847" t="s">
        <v>1124</v>
      </c>
      <c r="O7847">
        <v>37</v>
      </c>
      <c r="P7847">
        <v>3752</v>
      </c>
      <c r="Q7847" t="s">
        <v>1125</v>
      </c>
      <c r="R7847" t="s">
        <v>201</v>
      </c>
      <c r="S7847">
        <v>1</v>
      </c>
      <c r="T7847">
        <v>1</v>
      </c>
      <c r="U7847">
        <v>87504</v>
      </c>
      <c r="V7847">
        <v>87504</v>
      </c>
    </row>
    <row r="7848" spans="1:22">
      <c r="A7848" t="s">
        <v>2333</v>
      </c>
      <c r="B7848">
        <v>41</v>
      </c>
      <c r="C7848" t="s">
        <v>1097</v>
      </c>
      <c r="D7848" t="s">
        <v>2408</v>
      </c>
      <c r="E7848" t="s">
        <v>2409</v>
      </c>
      <c r="F7848">
        <v>1005</v>
      </c>
      <c r="G7848" t="s">
        <v>111</v>
      </c>
      <c r="H7848">
        <v>2910</v>
      </c>
      <c r="I7848" t="s">
        <v>95</v>
      </c>
      <c r="J7848">
        <v>3911</v>
      </c>
      <c r="K7848" t="s">
        <v>2451</v>
      </c>
      <c r="L7848">
        <v>0</v>
      </c>
      <c r="N7848" t="s">
        <v>1154</v>
      </c>
      <c r="O7848">
        <v>56</v>
      </c>
      <c r="P7848">
        <v>3701</v>
      </c>
      <c r="Q7848" t="s">
        <v>1155</v>
      </c>
      <c r="R7848" t="s">
        <v>201</v>
      </c>
      <c r="S7848">
        <v>2</v>
      </c>
      <c r="T7848">
        <v>1</v>
      </c>
      <c r="U7848">
        <v>147672</v>
      </c>
      <c r="V7848">
        <v>295344</v>
      </c>
    </row>
    <row r="7849" spans="1:22">
      <c r="A7849" t="s">
        <v>2333</v>
      </c>
      <c r="B7849">
        <v>41</v>
      </c>
      <c r="C7849" t="s">
        <v>1097</v>
      </c>
      <c r="D7849" t="s">
        <v>2408</v>
      </c>
      <c r="E7849" t="s">
        <v>2409</v>
      </c>
      <c r="F7849">
        <v>1005</v>
      </c>
      <c r="G7849" t="s">
        <v>111</v>
      </c>
      <c r="H7849">
        <v>2910</v>
      </c>
      <c r="I7849" t="s">
        <v>95</v>
      </c>
      <c r="J7849">
        <v>3911</v>
      </c>
      <c r="K7849" t="s">
        <v>2451</v>
      </c>
      <c r="L7849">
        <v>0</v>
      </c>
      <c r="N7849" t="s">
        <v>392</v>
      </c>
      <c r="O7849">
        <v>4</v>
      </c>
      <c r="P7849">
        <v>3467</v>
      </c>
      <c r="Q7849" t="s">
        <v>1116</v>
      </c>
      <c r="R7849" t="s">
        <v>201</v>
      </c>
      <c r="S7849">
        <v>1</v>
      </c>
      <c r="T7849">
        <v>1</v>
      </c>
      <c r="U7849">
        <v>157332</v>
      </c>
      <c r="V7849">
        <v>157332</v>
      </c>
    </row>
    <row r="7850" spans="1:22">
      <c r="A7850" t="s">
        <v>2333</v>
      </c>
      <c r="B7850">
        <v>41</v>
      </c>
      <c r="C7850" t="s">
        <v>1097</v>
      </c>
      <c r="D7850" t="s">
        <v>2408</v>
      </c>
      <c r="E7850" t="s">
        <v>2409</v>
      </c>
      <c r="F7850">
        <v>1005</v>
      </c>
      <c r="G7850" t="s">
        <v>111</v>
      </c>
      <c r="H7850">
        <v>2910</v>
      </c>
      <c r="I7850" t="s">
        <v>95</v>
      </c>
      <c r="J7850">
        <v>3911</v>
      </c>
      <c r="K7850" t="s">
        <v>2451</v>
      </c>
      <c r="L7850">
        <v>0</v>
      </c>
      <c r="N7850" t="s">
        <v>372</v>
      </c>
      <c r="O7850">
        <v>4</v>
      </c>
      <c r="P7850">
        <v>3466</v>
      </c>
      <c r="Q7850" t="s">
        <v>1129</v>
      </c>
      <c r="R7850" t="s">
        <v>201</v>
      </c>
      <c r="S7850">
        <v>1</v>
      </c>
      <c r="T7850">
        <v>1</v>
      </c>
      <c r="U7850">
        <v>75336</v>
      </c>
      <c r="V7850">
        <v>75336</v>
      </c>
    </row>
    <row r="7851" spans="1:22">
      <c r="A7851" t="s">
        <v>2333</v>
      </c>
      <c r="B7851">
        <v>41</v>
      </c>
      <c r="C7851" t="s">
        <v>1097</v>
      </c>
      <c r="D7851" t="s">
        <v>2408</v>
      </c>
      <c r="E7851" t="s">
        <v>2409</v>
      </c>
      <c r="F7851">
        <v>1005</v>
      </c>
      <c r="G7851" t="s">
        <v>111</v>
      </c>
      <c r="H7851">
        <v>2910</v>
      </c>
      <c r="I7851" t="s">
        <v>95</v>
      </c>
      <c r="J7851">
        <v>3911</v>
      </c>
      <c r="K7851" t="s">
        <v>2451</v>
      </c>
      <c r="L7851">
        <v>0</v>
      </c>
      <c r="N7851" t="s">
        <v>360</v>
      </c>
      <c r="O7851">
        <v>3</v>
      </c>
      <c r="P7851">
        <v>3429</v>
      </c>
      <c r="Q7851" t="s">
        <v>2394</v>
      </c>
      <c r="R7851" t="s">
        <v>201</v>
      </c>
      <c r="S7851">
        <v>1</v>
      </c>
      <c r="T7851">
        <v>1</v>
      </c>
      <c r="U7851">
        <v>98928</v>
      </c>
      <c r="V7851">
        <v>98928</v>
      </c>
    </row>
    <row r="7852" spans="1:22">
      <c r="A7852" t="s">
        <v>2333</v>
      </c>
      <c r="B7852">
        <v>41</v>
      </c>
      <c r="C7852" t="s">
        <v>1097</v>
      </c>
      <c r="D7852" t="s">
        <v>2408</v>
      </c>
      <c r="E7852" t="s">
        <v>2409</v>
      </c>
      <c r="F7852">
        <v>1005</v>
      </c>
      <c r="G7852" t="s">
        <v>111</v>
      </c>
      <c r="H7852">
        <v>2910</v>
      </c>
      <c r="I7852" t="s">
        <v>95</v>
      </c>
      <c r="J7852">
        <v>3911</v>
      </c>
      <c r="K7852" t="s">
        <v>2451</v>
      </c>
      <c r="L7852">
        <v>0</v>
      </c>
      <c r="N7852" t="s">
        <v>356</v>
      </c>
      <c r="O7852">
        <v>4</v>
      </c>
      <c r="P7852">
        <v>3414</v>
      </c>
      <c r="Q7852" t="s">
        <v>1109</v>
      </c>
      <c r="R7852" t="s">
        <v>201</v>
      </c>
      <c r="S7852">
        <v>2</v>
      </c>
      <c r="T7852">
        <v>1</v>
      </c>
      <c r="U7852">
        <v>102516</v>
      </c>
      <c r="V7852">
        <v>205032</v>
      </c>
    </row>
    <row r="7853" spans="1:22">
      <c r="A7853" t="s">
        <v>2333</v>
      </c>
      <c r="B7853">
        <v>41</v>
      </c>
      <c r="C7853" t="s">
        <v>1097</v>
      </c>
      <c r="D7853" t="s">
        <v>2408</v>
      </c>
      <c r="E7853" t="s">
        <v>2409</v>
      </c>
      <c r="F7853">
        <v>1005</v>
      </c>
      <c r="G7853" t="s">
        <v>111</v>
      </c>
      <c r="H7853">
        <v>2910</v>
      </c>
      <c r="I7853" t="s">
        <v>95</v>
      </c>
      <c r="J7853">
        <v>3911</v>
      </c>
      <c r="K7853" t="s">
        <v>2451</v>
      </c>
      <c r="L7853">
        <v>0</v>
      </c>
      <c r="N7853" t="s">
        <v>274</v>
      </c>
      <c r="O7853">
        <v>20</v>
      </c>
      <c r="P7853">
        <v>3057</v>
      </c>
      <c r="Q7853" t="s">
        <v>1121</v>
      </c>
      <c r="R7853" t="s">
        <v>201</v>
      </c>
      <c r="S7853">
        <v>1</v>
      </c>
      <c r="T7853">
        <v>1</v>
      </c>
      <c r="U7853">
        <v>146808</v>
      </c>
      <c r="V7853">
        <v>146808</v>
      </c>
    </row>
    <row r="7854" spans="1:22">
      <c r="A7854" t="s">
        <v>2333</v>
      </c>
      <c r="B7854">
        <v>41</v>
      </c>
      <c r="C7854" t="s">
        <v>1097</v>
      </c>
      <c r="D7854" t="s">
        <v>2408</v>
      </c>
      <c r="E7854" t="s">
        <v>2409</v>
      </c>
      <c r="F7854">
        <v>1005</v>
      </c>
      <c r="G7854" t="s">
        <v>111</v>
      </c>
      <c r="H7854">
        <v>2910</v>
      </c>
      <c r="I7854" t="s">
        <v>95</v>
      </c>
      <c r="J7854">
        <v>3911</v>
      </c>
      <c r="K7854" t="s">
        <v>2451</v>
      </c>
      <c r="L7854">
        <v>0</v>
      </c>
      <c r="N7854" t="s">
        <v>253</v>
      </c>
      <c r="O7854">
        <v>20</v>
      </c>
      <c r="P7854">
        <v>381</v>
      </c>
      <c r="Q7854" t="s">
        <v>730</v>
      </c>
      <c r="R7854" t="s">
        <v>201</v>
      </c>
      <c r="S7854">
        <v>1</v>
      </c>
      <c r="T7854">
        <v>1</v>
      </c>
      <c r="U7854">
        <v>85128</v>
      </c>
      <c r="V7854">
        <v>85128</v>
      </c>
    </row>
    <row r="7855" spans="1:22">
      <c r="A7855" t="s">
        <v>2333</v>
      </c>
      <c r="B7855">
        <v>41</v>
      </c>
      <c r="C7855" t="s">
        <v>1097</v>
      </c>
      <c r="D7855" t="s">
        <v>2408</v>
      </c>
      <c r="E7855" t="s">
        <v>2409</v>
      </c>
      <c r="F7855">
        <v>1005</v>
      </c>
      <c r="G7855" t="s">
        <v>111</v>
      </c>
      <c r="H7855">
        <v>2910</v>
      </c>
      <c r="I7855" t="s">
        <v>95</v>
      </c>
      <c r="J7855">
        <v>3911</v>
      </c>
      <c r="K7855" t="s">
        <v>2451</v>
      </c>
      <c r="L7855">
        <v>0</v>
      </c>
      <c r="N7855" t="s">
        <v>274</v>
      </c>
      <c r="O7855">
        <v>9</v>
      </c>
      <c r="P7855">
        <v>313</v>
      </c>
      <c r="Q7855" t="s">
        <v>605</v>
      </c>
      <c r="R7855" t="s">
        <v>201</v>
      </c>
      <c r="S7855">
        <v>1</v>
      </c>
      <c r="T7855">
        <v>1</v>
      </c>
      <c r="U7855">
        <v>146808</v>
      </c>
      <c r="V7855">
        <v>146808</v>
      </c>
    </row>
    <row r="7856" spans="1:22">
      <c r="A7856" t="s">
        <v>2333</v>
      </c>
      <c r="B7856">
        <v>41</v>
      </c>
      <c r="C7856" t="s">
        <v>1097</v>
      </c>
      <c r="D7856" t="s">
        <v>2408</v>
      </c>
      <c r="E7856" t="s">
        <v>2409</v>
      </c>
      <c r="F7856">
        <v>1005</v>
      </c>
      <c r="G7856" t="s">
        <v>111</v>
      </c>
      <c r="H7856">
        <v>2910</v>
      </c>
      <c r="I7856" t="s">
        <v>95</v>
      </c>
      <c r="J7856">
        <v>3911</v>
      </c>
      <c r="K7856" t="s">
        <v>2451</v>
      </c>
      <c r="L7856">
        <v>0</v>
      </c>
      <c r="N7856" t="s">
        <v>199</v>
      </c>
      <c r="O7856">
        <v>0</v>
      </c>
      <c r="P7856">
        <v>44</v>
      </c>
      <c r="Q7856" t="s">
        <v>2337</v>
      </c>
      <c r="R7856" t="s">
        <v>201</v>
      </c>
      <c r="S7856">
        <v>0</v>
      </c>
      <c r="T7856">
        <v>0</v>
      </c>
      <c r="U7856">
        <v>1239472</v>
      </c>
      <c r="V7856">
        <v>1239472</v>
      </c>
    </row>
    <row r="7857" spans="1:22">
      <c r="A7857" t="s">
        <v>2333</v>
      </c>
      <c r="B7857">
        <v>41</v>
      </c>
      <c r="C7857" t="s">
        <v>1097</v>
      </c>
      <c r="D7857" t="s">
        <v>2408</v>
      </c>
      <c r="E7857" t="s">
        <v>2409</v>
      </c>
      <c r="F7857">
        <v>1005</v>
      </c>
      <c r="G7857" t="s">
        <v>111</v>
      </c>
      <c r="H7857">
        <v>2910</v>
      </c>
      <c r="I7857" t="s">
        <v>95</v>
      </c>
      <c r="J7857">
        <v>3911</v>
      </c>
      <c r="K7857" t="s">
        <v>2451</v>
      </c>
      <c r="L7857">
        <v>0</v>
      </c>
      <c r="N7857" t="s">
        <v>199</v>
      </c>
      <c r="O7857">
        <v>0</v>
      </c>
      <c r="P7857">
        <v>15</v>
      </c>
      <c r="Q7857" t="s">
        <v>264</v>
      </c>
      <c r="R7857" t="s">
        <v>201</v>
      </c>
      <c r="S7857">
        <v>0</v>
      </c>
      <c r="T7857">
        <v>0</v>
      </c>
      <c r="U7857">
        <v>18150</v>
      </c>
      <c r="V7857">
        <v>18150</v>
      </c>
    </row>
    <row r="7858" spans="1:22">
      <c r="A7858" t="s">
        <v>2333</v>
      </c>
      <c r="B7858">
        <v>41</v>
      </c>
      <c r="C7858" t="s">
        <v>1097</v>
      </c>
      <c r="D7858" t="s">
        <v>2408</v>
      </c>
      <c r="E7858" t="s">
        <v>2409</v>
      </c>
      <c r="F7858">
        <v>1005</v>
      </c>
      <c r="G7858" t="s">
        <v>111</v>
      </c>
      <c r="H7858">
        <v>2932</v>
      </c>
      <c r="I7858" t="s">
        <v>146</v>
      </c>
      <c r="J7858">
        <v>3993</v>
      </c>
      <c r="K7858" t="s">
        <v>2452</v>
      </c>
      <c r="L7858">
        <v>0</v>
      </c>
      <c r="N7858" t="s">
        <v>392</v>
      </c>
      <c r="O7858">
        <v>4</v>
      </c>
      <c r="P7858">
        <v>3467</v>
      </c>
      <c r="Q7858" t="s">
        <v>1116</v>
      </c>
      <c r="R7858" t="s">
        <v>201</v>
      </c>
      <c r="S7858">
        <v>1</v>
      </c>
      <c r="T7858">
        <v>1</v>
      </c>
      <c r="U7858">
        <v>90732</v>
      </c>
      <c r="V7858">
        <v>90732</v>
      </c>
    </row>
    <row r="7859" spans="1:22">
      <c r="A7859" t="s">
        <v>2333</v>
      </c>
      <c r="B7859">
        <v>41</v>
      </c>
      <c r="C7859" t="s">
        <v>1097</v>
      </c>
      <c r="D7859" t="s">
        <v>2408</v>
      </c>
      <c r="E7859" t="s">
        <v>2409</v>
      </c>
      <c r="F7859">
        <v>1005</v>
      </c>
      <c r="G7859" t="s">
        <v>111</v>
      </c>
      <c r="H7859">
        <v>2932</v>
      </c>
      <c r="I7859" t="s">
        <v>146</v>
      </c>
      <c r="J7859">
        <v>3993</v>
      </c>
      <c r="K7859" t="s">
        <v>2452</v>
      </c>
      <c r="L7859">
        <v>0</v>
      </c>
      <c r="N7859" t="s">
        <v>372</v>
      </c>
      <c r="O7859">
        <v>4</v>
      </c>
      <c r="P7859">
        <v>3466</v>
      </c>
      <c r="Q7859" t="s">
        <v>1129</v>
      </c>
      <c r="R7859" t="s">
        <v>201</v>
      </c>
      <c r="S7859">
        <v>1</v>
      </c>
      <c r="T7859">
        <v>1</v>
      </c>
      <c r="U7859">
        <v>77640</v>
      </c>
      <c r="V7859">
        <v>77640</v>
      </c>
    </row>
    <row r="7860" spans="1:22">
      <c r="A7860" t="s">
        <v>2333</v>
      </c>
      <c r="B7860">
        <v>41</v>
      </c>
      <c r="C7860" t="s">
        <v>1097</v>
      </c>
      <c r="D7860" t="s">
        <v>2408</v>
      </c>
      <c r="E7860" t="s">
        <v>2409</v>
      </c>
      <c r="F7860">
        <v>1005</v>
      </c>
      <c r="G7860" t="s">
        <v>111</v>
      </c>
      <c r="H7860">
        <v>2932</v>
      </c>
      <c r="I7860" t="s">
        <v>146</v>
      </c>
      <c r="J7860">
        <v>3993</v>
      </c>
      <c r="K7860" t="s">
        <v>2452</v>
      </c>
      <c r="L7860">
        <v>0</v>
      </c>
      <c r="N7860" t="s">
        <v>251</v>
      </c>
      <c r="O7860">
        <v>10</v>
      </c>
      <c r="P7860">
        <v>3464</v>
      </c>
      <c r="Q7860" t="s">
        <v>2369</v>
      </c>
      <c r="R7860" t="s">
        <v>201</v>
      </c>
      <c r="S7860">
        <v>1</v>
      </c>
      <c r="T7860">
        <v>1</v>
      </c>
      <c r="U7860">
        <v>85128</v>
      </c>
      <c r="V7860">
        <v>85128</v>
      </c>
    </row>
    <row r="7861" spans="1:22">
      <c r="A7861" t="s">
        <v>2333</v>
      </c>
      <c r="B7861">
        <v>41</v>
      </c>
      <c r="C7861" t="s">
        <v>1097</v>
      </c>
      <c r="D7861" t="s">
        <v>2408</v>
      </c>
      <c r="E7861" t="s">
        <v>2409</v>
      </c>
      <c r="F7861">
        <v>1005</v>
      </c>
      <c r="G7861" t="s">
        <v>111</v>
      </c>
      <c r="H7861">
        <v>2932</v>
      </c>
      <c r="I7861" t="s">
        <v>146</v>
      </c>
      <c r="J7861">
        <v>3993</v>
      </c>
      <c r="K7861" t="s">
        <v>2452</v>
      </c>
      <c r="L7861">
        <v>0</v>
      </c>
      <c r="N7861" t="s">
        <v>249</v>
      </c>
      <c r="O7861">
        <v>10</v>
      </c>
      <c r="P7861">
        <v>3092</v>
      </c>
      <c r="Q7861" t="s">
        <v>750</v>
      </c>
      <c r="R7861" t="s">
        <v>201</v>
      </c>
      <c r="S7861">
        <v>1</v>
      </c>
      <c r="T7861">
        <v>1</v>
      </c>
      <c r="U7861">
        <v>102444</v>
      </c>
      <c r="V7861">
        <v>102444</v>
      </c>
    </row>
    <row r="7862" spans="1:22">
      <c r="A7862" t="s">
        <v>2333</v>
      </c>
      <c r="B7862">
        <v>41</v>
      </c>
      <c r="C7862" t="s">
        <v>1097</v>
      </c>
      <c r="D7862" t="s">
        <v>2408</v>
      </c>
      <c r="E7862" t="s">
        <v>2409</v>
      </c>
      <c r="F7862">
        <v>1005</v>
      </c>
      <c r="G7862" t="s">
        <v>111</v>
      </c>
      <c r="H7862">
        <v>2932</v>
      </c>
      <c r="I7862" t="s">
        <v>146</v>
      </c>
      <c r="J7862">
        <v>3993</v>
      </c>
      <c r="K7862" t="s">
        <v>2452</v>
      </c>
      <c r="L7862">
        <v>0</v>
      </c>
      <c r="N7862" t="s">
        <v>199</v>
      </c>
      <c r="O7862">
        <v>0</v>
      </c>
      <c r="P7862">
        <v>44</v>
      </c>
      <c r="Q7862" t="s">
        <v>2337</v>
      </c>
      <c r="R7862" t="s">
        <v>201</v>
      </c>
      <c r="S7862">
        <v>0</v>
      </c>
      <c r="T7862">
        <v>0</v>
      </c>
      <c r="U7862">
        <v>199187</v>
      </c>
      <c r="V7862">
        <v>199187</v>
      </c>
    </row>
    <row r="7863" spans="1:22">
      <c r="A7863" t="s">
        <v>2333</v>
      </c>
      <c r="B7863">
        <v>41</v>
      </c>
      <c r="C7863" t="s">
        <v>1097</v>
      </c>
      <c r="D7863" t="s">
        <v>2408</v>
      </c>
      <c r="E7863" t="s">
        <v>2409</v>
      </c>
      <c r="F7863">
        <v>1005</v>
      </c>
      <c r="G7863" t="s">
        <v>111</v>
      </c>
      <c r="H7863">
        <v>2932</v>
      </c>
      <c r="I7863" t="s">
        <v>146</v>
      </c>
      <c r="J7863">
        <v>3993</v>
      </c>
      <c r="K7863" t="s">
        <v>2452</v>
      </c>
      <c r="L7863">
        <v>0</v>
      </c>
      <c r="N7863" t="s">
        <v>199</v>
      </c>
      <c r="O7863">
        <v>0</v>
      </c>
      <c r="P7863">
        <v>15</v>
      </c>
      <c r="Q7863" t="s">
        <v>264</v>
      </c>
      <c r="R7863" t="s">
        <v>201</v>
      </c>
      <c r="S7863">
        <v>0</v>
      </c>
      <c r="T7863">
        <v>0</v>
      </c>
      <c r="U7863">
        <v>4589</v>
      </c>
      <c r="V7863">
        <v>4589</v>
      </c>
    </row>
    <row r="7864" spans="1:22">
      <c r="A7864" t="s">
        <v>2333</v>
      </c>
      <c r="B7864">
        <v>41</v>
      </c>
      <c r="C7864" t="s">
        <v>1097</v>
      </c>
      <c r="D7864" t="s">
        <v>2408</v>
      </c>
      <c r="E7864" t="s">
        <v>2409</v>
      </c>
      <c r="F7864">
        <v>1005</v>
      </c>
      <c r="G7864" t="s">
        <v>111</v>
      </c>
      <c r="H7864">
        <v>2944</v>
      </c>
      <c r="I7864" t="s">
        <v>168</v>
      </c>
      <c r="J7864">
        <v>3944</v>
      </c>
      <c r="K7864" t="s">
        <v>2453</v>
      </c>
      <c r="L7864">
        <v>0</v>
      </c>
      <c r="N7864" t="s">
        <v>372</v>
      </c>
      <c r="O7864">
        <v>4</v>
      </c>
      <c r="P7864">
        <v>1912</v>
      </c>
      <c r="Q7864" t="s">
        <v>608</v>
      </c>
      <c r="R7864" t="s">
        <v>201</v>
      </c>
      <c r="S7864">
        <v>1</v>
      </c>
      <c r="T7864">
        <v>1</v>
      </c>
      <c r="U7864">
        <v>81324</v>
      </c>
      <c r="V7864">
        <v>81324</v>
      </c>
    </row>
    <row r="7865" spans="1:22">
      <c r="A7865" t="s">
        <v>2333</v>
      </c>
      <c r="B7865">
        <v>41</v>
      </c>
      <c r="C7865" t="s">
        <v>1097</v>
      </c>
      <c r="D7865" t="s">
        <v>2408</v>
      </c>
      <c r="E7865" t="s">
        <v>2409</v>
      </c>
      <c r="F7865">
        <v>1005</v>
      </c>
      <c r="G7865" t="s">
        <v>111</v>
      </c>
      <c r="H7865">
        <v>2944</v>
      </c>
      <c r="I7865" t="s">
        <v>168</v>
      </c>
      <c r="J7865">
        <v>3944</v>
      </c>
      <c r="K7865" t="s">
        <v>2453</v>
      </c>
      <c r="L7865">
        <v>0</v>
      </c>
      <c r="N7865" t="s">
        <v>199</v>
      </c>
      <c r="O7865">
        <v>0</v>
      </c>
      <c r="P7865">
        <v>44</v>
      </c>
      <c r="Q7865" t="s">
        <v>2337</v>
      </c>
      <c r="R7865" t="s">
        <v>201</v>
      </c>
      <c r="S7865">
        <v>0</v>
      </c>
      <c r="T7865">
        <v>0</v>
      </c>
      <c r="U7865">
        <v>45509</v>
      </c>
      <c r="V7865">
        <v>45509</v>
      </c>
    </row>
    <row r="7866" spans="1:22">
      <c r="A7866" t="s">
        <v>2333</v>
      </c>
      <c r="B7866">
        <v>41</v>
      </c>
      <c r="C7866" t="s">
        <v>1097</v>
      </c>
      <c r="D7866" t="s">
        <v>2408</v>
      </c>
      <c r="E7866" t="s">
        <v>2409</v>
      </c>
      <c r="F7866">
        <v>1005</v>
      </c>
      <c r="G7866" t="s">
        <v>111</v>
      </c>
      <c r="H7866">
        <v>2944</v>
      </c>
      <c r="I7866" t="s">
        <v>168</v>
      </c>
      <c r="J7866">
        <v>3944</v>
      </c>
      <c r="K7866" t="s">
        <v>2453</v>
      </c>
      <c r="L7866">
        <v>0</v>
      </c>
      <c r="N7866" t="s">
        <v>199</v>
      </c>
      <c r="O7866">
        <v>0</v>
      </c>
      <c r="P7866">
        <v>15</v>
      </c>
      <c r="Q7866" t="s">
        <v>264</v>
      </c>
      <c r="R7866" t="s">
        <v>201</v>
      </c>
      <c r="S7866">
        <v>0</v>
      </c>
      <c r="T7866">
        <v>0</v>
      </c>
      <c r="U7866">
        <v>626</v>
      </c>
      <c r="V7866">
        <v>626</v>
      </c>
    </row>
    <row r="7867" spans="1:22">
      <c r="A7867" t="s">
        <v>2333</v>
      </c>
      <c r="B7867">
        <v>41</v>
      </c>
      <c r="C7867" t="s">
        <v>1097</v>
      </c>
      <c r="D7867" t="s">
        <v>2408</v>
      </c>
      <c r="E7867" t="s">
        <v>2409</v>
      </c>
      <c r="F7867">
        <v>1005</v>
      </c>
      <c r="G7867" t="s">
        <v>111</v>
      </c>
      <c r="H7867">
        <v>2979</v>
      </c>
      <c r="I7867" t="s">
        <v>166</v>
      </c>
      <c r="J7867">
        <v>3841</v>
      </c>
      <c r="K7867" t="s">
        <v>2454</v>
      </c>
      <c r="L7867">
        <v>0</v>
      </c>
      <c r="N7867" t="s">
        <v>372</v>
      </c>
      <c r="O7867">
        <v>4</v>
      </c>
      <c r="P7867">
        <v>3466</v>
      </c>
      <c r="Q7867" t="s">
        <v>1129</v>
      </c>
      <c r="R7867" t="s">
        <v>201</v>
      </c>
      <c r="S7867">
        <v>1</v>
      </c>
      <c r="T7867">
        <v>1</v>
      </c>
      <c r="U7867">
        <v>85200</v>
      </c>
      <c r="V7867">
        <v>85200</v>
      </c>
    </row>
    <row r="7868" spans="1:22">
      <c r="A7868" t="s">
        <v>2333</v>
      </c>
      <c r="B7868">
        <v>41</v>
      </c>
      <c r="C7868" t="s">
        <v>1097</v>
      </c>
      <c r="D7868" t="s">
        <v>2408</v>
      </c>
      <c r="E7868" t="s">
        <v>2409</v>
      </c>
      <c r="F7868">
        <v>1005</v>
      </c>
      <c r="G7868" t="s">
        <v>111</v>
      </c>
      <c r="H7868">
        <v>2979</v>
      </c>
      <c r="I7868" t="s">
        <v>166</v>
      </c>
      <c r="J7868">
        <v>3841</v>
      </c>
      <c r="K7868" t="s">
        <v>2454</v>
      </c>
      <c r="L7868">
        <v>0</v>
      </c>
      <c r="N7868" t="s">
        <v>199</v>
      </c>
      <c r="O7868">
        <v>0</v>
      </c>
      <c r="P7868">
        <v>44</v>
      </c>
      <c r="Q7868" t="s">
        <v>2337</v>
      </c>
      <c r="R7868" t="s">
        <v>201</v>
      </c>
      <c r="S7868">
        <v>0</v>
      </c>
      <c r="T7868">
        <v>0</v>
      </c>
      <c r="U7868">
        <v>47678</v>
      </c>
      <c r="V7868">
        <v>47678</v>
      </c>
    </row>
    <row r="7869" spans="1:22">
      <c r="A7869" t="s">
        <v>2333</v>
      </c>
      <c r="B7869">
        <v>41</v>
      </c>
      <c r="C7869" t="s">
        <v>1097</v>
      </c>
      <c r="D7869" t="s">
        <v>2408</v>
      </c>
      <c r="E7869" t="s">
        <v>2409</v>
      </c>
      <c r="F7869">
        <v>1005</v>
      </c>
      <c r="G7869" t="s">
        <v>111</v>
      </c>
      <c r="H7869">
        <v>2979</v>
      </c>
      <c r="I7869" t="s">
        <v>166</v>
      </c>
      <c r="J7869">
        <v>3841</v>
      </c>
      <c r="K7869" t="s">
        <v>2454</v>
      </c>
      <c r="L7869">
        <v>0</v>
      </c>
      <c r="N7869" t="s">
        <v>199</v>
      </c>
      <c r="O7869">
        <v>0</v>
      </c>
      <c r="P7869">
        <v>15</v>
      </c>
      <c r="Q7869" t="s">
        <v>264</v>
      </c>
      <c r="R7869" t="s">
        <v>201</v>
      </c>
      <c r="S7869">
        <v>0</v>
      </c>
      <c r="T7869">
        <v>0</v>
      </c>
      <c r="U7869">
        <v>2780</v>
      </c>
      <c r="V7869">
        <v>2780</v>
      </c>
    </row>
    <row r="7870" spans="1:22">
      <c r="A7870" t="s">
        <v>2333</v>
      </c>
      <c r="B7870">
        <v>48</v>
      </c>
      <c r="C7870" t="s">
        <v>101</v>
      </c>
      <c r="D7870" t="s">
        <v>2408</v>
      </c>
      <c r="E7870" t="s">
        <v>2409</v>
      </c>
      <c r="F7870">
        <v>1005</v>
      </c>
      <c r="G7870" t="s">
        <v>101</v>
      </c>
      <c r="H7870">
        <v>2805</v>
      </c>
      <c r="I7870" t="s">
        <v>159</v>
      </c>
      <c r="J7870">
        <v>3805</v>
      </c>
      <c r="K7870" t="s">
        <v>2455</v>
      </c>
      <c r="L7870">
        <v>0</v>
      </c>
      <c r="N7870" t="s">
        <v>341</v>
      </c>
      <c r="O7870">
        <v>1</v>
      </c>
      <c r="P7870">
        <v>3898</v>
      </c>
      <c r="Q7870" t="s">
        <v>1674</v>
      </c>
      <c r="R7870" t="s">
        <v>201</v>
      </c>
      <c r="S7870">
        <v>1</v>
      </c>
      <c r="T7870">
        <v>1</v>
      </c>
      <c r="U7870">
        <v>68616</v>
      </c>
      <c r="V7870">
        <v>68616</v>
      </c>
    </row>
    <row r="7871" spans="1:22">
      <c r="A7871" t="s">
        <v>2333</v>
      </c>
      <c r="B7871">
        <v>48</v>
      </c>
      <c r="C7871" t="s">
        <v>101</v>
      </c>
      <c r="D7871" t="s">
        <v>2408</v>
      </c>
      <c r="E7871" t="s">
        <v>2409</v>
      </c>
      <c r="F7871">
        <v>1005</v>
      </c>
      <c r="G7871" t="s">
        <v>101</v>
      </c>
      <c r="H7871">
        <v>2805</v>
      </c>
      <c r="I7871" t="s">
        <v>159</v>
      </c>
      <c r="J7871">
        <v>3805</v>
      </c>
      <c r="K7871" t="s">
        <v>2455</v>
      </c>
      <c r="L7871">
        <v>0</v>
      </c>
      <c r="N7871" t="s">
        <v>268</v>
      </c>
      <c r="O7871">
        <v>10</v>
      </c>
      <c r="P7871">
        <v>1911</v>
      </c>
      <c r="Q7871" t="s">
        <v>617</v>
      </c>
      <c r="R7871" t="s">
        <v>201</v>
      </c>
      <c r="S7871">
        <v>1</v>
      </c>
      <c r="T7871">
        <v>1</v>
      </c>
      <c r="U7871">
        <v>76476</v>
      </c>
      <c r="V7871">
        <v>76476</v>
      </c>
    </row>
    <row r="7872" spans="1:22">
      <c r="A7872" t="s">
        <v>2333</v>
      </c>
      <c r="B7872">
        <v>48</v>
      </c>
      <c r="C7872" t="s">
        <v>101</v>
      </c>
      <c r="D7872" t="s">
        <v>2408</v>
      </c>
      <c r="E7872" t="s">
        <v>2409</v>
      </c>
      <c r="F7872">
        <v>1005</v>
      </c>
      <c r="G7872" t="s">
        <v>101</v>
      </c>
      <c r="H7872">
        <v>2805</v>
      </c>
      <c r="I7872" t="s">
        <v>159</v>
      </c>
      <c r="J7872">
        <v>3805</v>
      </c>
      <c r="K7872" t="s">
        <v>2455</v>
      </c>
      <c r="L7872">
        <v>0</v>
      </c>
      <c r="N7872" t="s">
        <v>199</v>
      </c>
      <c r="O7872">
        <v>0</v>
      </c>
      <c r="P7872">
        <v>44</v>
      </c>
      <c r="Q7872" t="s">
        <v>2337</v>
      </c>
      <c r="R7872" t="s">
        <v>201</v>
      </c>
      <c r="S7872">
        <v>0</v>
      </c>
      <c r="T7872">
        <v>0</v>
      </c>
      <c r="U7872">
        <v>81194</v>
      </c>
      <c r="V7872">
        <v>81194</v>
      </c>
    </row>
    <row r="7873" spans="1:22">
      <c r="A7873" t="s">
        <v>2333</v>
      </c>
      <c r="B7873">
        <v>48</v>
      </c>
      <c r="C7873" t="s">
        <v>101</v>
      </c>
      <c r="D7873" t="s">
        <v>2408</v>
      </c>
      <c r="E7873" t="s">
        <v>2409</v>
      </c>
      <c r="F7873">
        <v>1005</v>
      </c>
      <c r="G7873" t="s">
        <v>101</v>
      </c>
      <c r="H7873">
        <v>2805</v>
      </c>
      <c r="I7873" t="s">
        <v>159</v>
      </c>
      <c r="J7873">
        <v>3805</v>
      </c>
      <c r="K7873" t="s">
        <v>2455</v>
      </c>
      <c r="L7873">
        <v>0</v>
      </c>
      <c r="N7873" t="s">
        <v>199</v>
      </c>
      <c r="O7873">
        <v>0</v>
      </c>
      <c r="P7873">
        <v>15</v>
      </c>
      <c r="Q7873" t="s">
        <v>264</v>
      </c>
      <c r="R7873" t="s">
        <v>201</v>
      </c>
      <c r="S7873">
        <v>0</v>
      </c>
      <c r="T7873">
        <v>0</v>
      </c>
      <c r="U7873">
        <v>152</v>
      </c>
      <c r="V7873">
        <v>152</v>
      </c>
    </row>
    <row r="7874" spans="1:22">
      <c r="A7874" t="s">
        <v>2333</v>
      </c>
      <c r="B7874">
        <v>48</v>
      </c>
      <c r="C7874" t="s">
        <v>101</v>
      </c>
      <c r="D7874" t="s">
        <v>2408</v>
      </c>
      <c r="E7874" t="s">
        <v>2409</v>
      </c>
      <c r="F7874">
        <v>1005</v>
      </c>
      <c r="G7874" t="s">
        <v>101</v>
      </c>
      <c r="H7874">
        <v>2834</v>
      </c>
      <c r="I7874" t="s">
        <v>173</v>
      </c>
      <c r="J7874">
        <v>3834</v>
      </c>
      <c r="K7874" t="s">
        <v>2456</v>
      </c>
      <c r="L7874">
        <v>0</v>
      </c>
      <c r="N7874" t="s">
        <v>372</v>
      </c>
      <c r="O7874">
        <v>4</v>
      </c>
      <c r="P7874">
        <v>1912</v>
      </c>
      <c r="Q7874" t="s">
        <v>608</v>
      </c>
      <c r="R7874" t="s">
        <v>201</v>
      </c>
      <c r="S7874">
        <v>1</v>
      </c>
      <c r="T7874">
        <v>1</v>
      </c>
      <c r="U7874">
        <v>75336</v>
      </c>
      <c r="V7874">
        <v>75336</v>
      </c>
    </row>
    <row r="7875" spans="1:22">
      <c r="A7875" t="s">
        <v>2333</v>
      </c>
      <c r="B7875">
        <v>48</v>
      </c>
      <c r="C7875" t="s">
        <v>101</v>
      </c>
      <c r="D7875" t="s">
        <v>2408</v>
      </c>
      <c r="E7875" t="s">
        <v>2409</v>
      </c>
      <c r="F7875">
        <v>1005</v>
      </c>
      <c r="G7875" t="s">
        <v>101</v>
      </c>
      <c r="H7875">
        <v>2834</v>
      </c>
      <c r="I7875" t="s">
        <v>173</v>
      </c>
      <c r="J7875">
        <v>3834</v>
      </c>
      <c r="K7875" t="s">
        <v>2456</v>
      </c>
      <c r="L7875">
        <v>0</v>
      </c>
      <c r="N7875" t="s">
        <v>199</v>
      </c>
      <c r="O7875">
        <v>0</v>
      </c>
      <c r="P7875">
        <v>44</v>
      </c>
      <c r="Q7875" t="s">
        <v>2337</v>
      </c>
      <c r="R7875" t="s">
        <v>201</v>
      </c>
      <c r="S7875">
        <v>0</v>
      </c>
      <c r="T7875">
        <v>0</v>
      </c>
      <c r="U7875">
        <v>42158</v>
      </c>
      <c r="V7875">
        <v>42158</v>
      </c>
    </row>
    <row r="7876" spans="1:22">
      <c r="A7876" t="s">
        <v>2333</v>
      </c>
      <c r="B7876">
        <v>50</v>
      </c>
      <c r="C7876" t="s">
        <v>54</v>
      </c>
      <c r="D7876" t="s">
        <v>2408</v>
      </c>
      <c r="E7876" t="s">
        <v>2409</v>
      </c>
      <c r="F7876">
        <v>1005</v>
      </c>
      <c r="G7876" t="s">
        <v>54</v>
      </c>
      <c r="H7876">
        <v>2805</v>
      </c>
      <c r="I7876" t="s">
        <v>70</v>
      </c>
      <c r="J7876">
        <v>3805</v>
      </c>
      <c r="K7876" t="s">
        <v>2457</v>
      </c>
      <c r="L7876">
        <v>0</v>
      </c>
      <c r="N7876" t="s">
        <v>343</v>
      </c>
      <c r="O7876">
        <v>10</v>
      </c>
      <c r="P7876">
        <v>3942</v>
      </c>
      <c r="Q7876" t="s">
        <v>2458</v>
      </c>
      <c r="R7876" t="s">
        <v>201</v>
      </c>
      <c r="S7876">
        <v>1</v>
      </c>
      <c r="T7876">
        <v>1</v>
      </c>
      <c r="U7876">
        <v>124584</v>
      </c>
      <c r="V7876">
        <v>124584</v>
      </c>
    </row>
    <row r="7877" spans="1:22">
      <c r="A7877" t="s">
        <v>2333</v>
      </c>
      <c r="B7877">
        <v>50</v>
      </c>
      <c r="C7877" t="s">
        <v>54</v>
      </c>
      <c r="D7877" t="s">
        <v>2408</v>
      </c>
      <c r="E7877" t="s">
        <v>2409</v>
      </c>
      <c r="F7877">
        <v>1005</v>
      </c>
      <c r="G7877" t="s">
        <v>54</v>
      </c>
      <c r="H7877">
        <v>2805</v>
      </c>
      <c r="I7877" t="s">
        <v>70</v>
      </c>
      <c r="J7877">
        <v>3805</v>
      </c>
      <c r="K7877" t="s">
        <v>2457</v>
      </c>
      <c r="L7877">
        <v>0</v>
      </c>
      <c r="N7877" t="s">
        <v>688</v>
      </c>
      <c r="O7877">
        <v>4</v>
      </c>
      <c r="P7877">
        <v>3934</v>
      </c>
      <c r="Q7877" t="s">
        <v>2459</v>
      </c>
      <c r="R7877" t="s">
        <v>201</v>
      </c>
      <c r="S7877">
        <v>4</v>
      </c>
      <c r="T7877">
        <v>1</v>
      </c>
      <c r="U7877">
        <v>118836</v>
      </c>
      <c r="V7877">
        <v>475344</v>
      </c>
    </row>
    <row r="7878" spans="1:22">
      <c r="A7878" t="s">
        <v>2333</v>
      </c>
      <c r="B7878">
        <v>50</v>
      </c>
      <c r="C7878" t="s">
        <v>54</v>
      </c>
      <c r="D7878" t="s">
        <v>2408</v>
      </c>
      <c r="E7878" t="s">
        <v>2409</v>
      </c>
      <c r="F7878">
        <v>1005</v>
      </c>
      <c r="G7878" t="s">
        <v>54</v>
      </c>
      <c r="H7878">
        <v>2805</v>
      </c>
      <c r="I7878" t="s">
        <v>70</v>
      </c>
      <c r="J7878">
        <v>3805</v>
      </c>
      <c r="K7878" t="s">
        <v>2457</v>
      </c>
      <c r="L7878">
        <v>0</v>
      </c>
      <c r="N7878" t="s">
        <v>688</v>
      </c>
      <c r="O7878">
        <v>4</v>
      </c>
      <c r="P7878">
        <v>3934</v>
      </c>
      <c r="Q7878" t="s">
        <v>2459</v>
      </c>
      <c r="R7878" t="s">
        <v>201</v>
      </c>
      <c r="S7878">
        <v>2</v>
      </c>
      <c r="T7878">
        <v>1</v>
      </c>
      <c r="U7878">
        <v>81636</v>
      </c>
      <c r="V7878">
        <v>163272</v>
      </c>
    </row>
    <row r="7879" spans="1:22">
      <c r="A7879" t="s">
        <v>2333</v>
      </c>
      <c r="B7879">
        <v>50</v>
      </c>
      <c r="C7879" t="s">
        <v>54</v>
      </c>
      <c r="D7879" t="s">
        <v>2408</v>
      </c>
      <c r="E7879" t="s">
        <v>2409</v>
      </c>
      <c r="F7879">
        <v>1005</v>
      </c>
      <c r="G7879" t="s">
        <v>54</v>
      </c>
      <c r="H7879">
        <v>2805</v>
      </c>
      <c r="I7879" t="s">
        <v>70</v>
      </c>
      <c r="J7879">
        <v>3805</v>
      </c>
      <c r="K7879" t="s">
        <v>2457</v>
      </c>
      <c r="L7879">
        <v>0</v>
      </c>
      <c r="N7879" t="s">
        <v>268</v>
      </c>
      <c r="O7879">
        <v>10</v>
      </c>
      <c r="P7879">
        <v>3818</v>
      </c>
      <c r="Q7879" t="s">
        <v>2460</v>
      </c>
      <c r="R7879" t="s">
        <v>201</v>
      </c>
      <c r="S7879">
        <v>1</v>
      </c>
      <c r="T7879">
        <v>1</v>
      </c>
      <c r="U7879">
        <v>83052</v>
      </c>
      <c r="V7879">
        <v>83052</v>
      </c>
    </row>
    <row r="7880" spans="1:22">
      <c r="A7880" t="s">
        <v>2333</v>
      </c>
      <c r="B7880">
        <v>50</v>
      </c>
      <c r="C7880" t="s">
        <v>54</v>
      </c>
      <c r="D7880" t="s">
        <v>2408</v>
      </c>
      <c r="E7880" t="s">
        <v>2409</v>
      </c>
      <c r="F7880">
        <v>1005</v>
      </c>
      <c r="G7880" t="s">
        <v>54</v>
      </c>
      <c r="H7880">
        <v>2805</v>
      </c>
      <c r="I7880" t="s">
        <v>70</v>
      </c>
      <c r="J7880">
        <v>3805</v>
      </c>
      <c r="K7880" t="s">
        <v>2457</v>
      </c>
      <c r="L7880">
        <v>0</v>
      </c>
      <c r="N7880" t="s">
        <v>268</v>
      </c>
      <c r="O7880">
        <v>10</v>
      </c>
      <c r="P7880">
        <v>3818</v>
      </c>
      <c r="Q7880" t="s">
        <v>2460</v>
      </c>
      <c r="R7880" t="s">
        <v>201</v>
      </c>
      <c r="S7880">
        <v>3</v>
      </c>
      <c r="T7880">
        <v>1</v>
      </c>
      <c r="U7880">
        <v>80124</v>
      </c>
      <c r="V7880">
        <v>240372</v>
      </c>
    </row>
    <row r="7881" spans="1:22">
      <c r="A7881" t="s">
        <v>2333</v>
      </c>
      <c r="B7881">
        <v>50</v>
      </c>
      <c r="C7881" t="s">
        <v>54</v>
      </c>
      <c r="D7881" t="s">
        <v>2408</v>
      </c>
      <c r="E7881" t="s">
        <v>2409</v>
      </c>
      <c r="F7881">
        <v>1005</v>
      </c>
      <c r="G7881" t="s">
        <v>54</v>
      </c>
      <c r="H7881">
        <v>2805</v>
      </c>
      <c r="I7881" t="s">
        <v>70</v>
      </c>
      <c r="J7881">
        <v>3805</v>
      </c>
      <c r="K7881" t="s">
        <v>2457</v>
      </c>
      <c r="L7881">
        <v>0</v>
      </c>
      <c r="N7881" t="s">
        <v>268</v>
      </c>
      <c r="O7881">
        <v>10</v>
      </c>
      <c r="P7881">
        <v>3818</v>
      </c>
      <c r="Q7881" t="s">
        <v>2460</v>
      </c>
      <c r="R7881" t="s">
        <v>201</v>
      </c>
      <c r="S7881">
        <v>1</v>
      </c>
      <c r="T7881">
        <v>1</v>
      </c>
      <c r="U7881">
        <v>69684</v>
      </c>
      <c r="V7881">
        <v>69684</v>
      </c>
    </row>
    <row r="7882" spans="1:22">
      <c r="A7882" t="s">
        <v>2333</v>
      </c>
      <c r="B7882">
        <v>50</v>
      </c>
      <c r="C7882" t="s">
        <v>54</v>
      </c>
      <c r="D7882" t="s">
        <v>2408</v>
      </c>
      <c r="E7882" t="s">
        <v>2409</v>
      </c>
      <c r="F7882">
        <v>1005</v>
      </c>
      <c r="G7882" t="s">
        <v>54</v>
      </c>
      <c r="H7882">
        <v>2805</v>
      </c>
      <c r="I7882" t="s">
        <v>70</v>
      </c>
      <c r="J7882">
        <v>3805</v>
      </c>
      <c r="K7882" t="s">
        <v>2457</v>
      </c>
      <c r="L7882">
        <v>0</v>
      </c>
      <c r="N7882" t="s">
        <v>253</v>
      </c>
      <c r="O7882">
        <v>20</v>
      </c>
      <c r="P7882">
        <v>3817</v>
      </c>
      <c r="Q7882" t="s">
        <v>2461</v>
      </c>
      <c r="R7882" t="s">
        <v>201</v>
      </c>
      <c r="S7882">
        <v>1</v>
      </c>
      <c r="T7882">
        <v>1</v>
      </c>
      <c r="U7882">
        <v>136692</v>
      </c>
      <c r="V7882">
        <v>136692</v>
      </c>
    </row>
    <row r="7883" spans="1:22">
      <c r="A7883" t="s">
        <v>2333</v>
      </c>
      <c r="B7883">
        <v>50</v>
      </c>
      <c r="C7883" t="s">
        <v>54</v>
      </c>
      <c r="D7883" t="s">
        <v>2408</v>
      </c>
      <c r="E7883" t="s">
        <v>2409</v>
      </c>
      <c r="F7883">
        <v>1005</v>
      </c>
      <c r="G7883" t="s">
        <v>54</v>
      </c>
      <c r="H7883">
        <v>2805</v>
      </c>
      <c r="I7883" t="s">
        <v>70</v>
      </c>
      <c r="J7883">
        <v>3805</v>
      </c>
      <c r="K7883" t="s">
        <v>2457</v>
      </c>
      <c r="L7883">
        <v>0</v>
      </c>
      <c r="N7883" t="s">
        <v>253</v>
      </c>
      <c r="O7883">
        <v>20</v>
      </c>
      <c r="P7883">
        <v>3817</v>
      </c>
      <c r="Q7883" t="s">
        <v>2461</v>
      </c>
      <c r="R7883" t="s">
        <v>201</v>
      </c>
      <c r="S7883">
        <v>1</v>
      </c>
      <c r="T7883">
        <v>1</v>
      </c>
      <c r="U7883">
        <v>118956</v>
      </c>
      <c r="V7883">
        <v>118956</v>
      </c>
    </row>
    <row r="7884" spans="1:22">
      <c r="A7884" t="s">
        <v>2333</v>
      </c>
      <c r="B7884">
        <v>50</v>
      </c>
      <c r="C7884" t="s">
        <v>54</v>
      </c>
      <c r="D7884" t="s">
        <v>2408</v>
      </c>
      <c r="E7884" t="s">
        <v>2409</v>
      </c>
      <c r="F7884">
        <v>1005</v>
      </c>
      <c r="G7884" t="s">
        <v>54</v>
      </c>
      <c r="H7884">
        <v>2805</v>
      </c>
      <c r="I7884" t="s">
        <v>70</v>
      </c>
      <c r="J7884">
        <v>3805</v>
      </c>
      <c r="K7884" t="s">
        <v>2457</v>
      </c>
      <c r="L7884">
        <v>0</v>
      </c>
      <c r="N7884" t="s">
        <v>253</v>
      </c>
      <c r="O7884">
        <v>20</v>
      </c>
      <c r="P7884">
        <v>3817</v>
      </c>
      <c r="Q7884" t="s">
        <v>2461</v>
      </c>
      <c r="R7884" t="s">
        <v>201</v>
      </c>
      <c r="S7884">
        <v>1</v>
      </c>
      <c r="T7884">
        <v>1</v>
      </c>
      <c r="U7884">
        <v>108432</v>
      </c>
      <c r="V7884">
        <v>108432</v>
      </c>
    </row>
    <row r="7885" spans="1:22">
      <c r="A7885" t="s">
        <v>2333</v>
      </c>
      <c r="B7885">
        <v>50</v>
      </c>
      <c r="C7885" t="s">
        <v>54</v>
      </c>
      <c r="D7885" t="s">
        <v>2408</v>
      </c>
      <c r="E7885" t="s">
        <v>2409</v>
      </c>
      <c r="F7885">
        <v>1005</v>
      </c>
      <c r="G7885" t="s">
        <v>54</v>
      </c>
      <c r="H7885">
        <v>2805</v>
      </c>
      <c r="I7885" t="s">
        <v>70</v>
      </c>
      <c r="J7885">
        <v>3805</v>
      </c>
      <c r="K7885" t="s">
        <v>2457</v>
      </c>
      <c r="L7885">
        <v>0</v>
      </c>
      <c r="N7885" t="s">
        <v>253</v>
      </c>
      <c r="O7885">
        <v>20</v>
      </c>
      <c r="P7885">
        <v>3817</v>
      </c>
      <c r="Q7885" t="s">
        <v>2461</v>
      </c>
      <c r="R7885" t="s">
        <v>201</v>
      </c>
      <c r="S7885">
        <v>1</v>
      </c>
      <c r="T7885">
        <v>1</v>
      </c>
      <c r="U7885">
        <v>97836</v>
      </c>
      <c r="V7885">
        <v>97836</v>
      </c>
    </row>
    <row r="7886" spans="1:22">
      <c r="A7886" t="s">
        <v>2333</v>
      </c>
      <c r="B7886">
        <v>50</v>
      </c>
      <c r="C7886" t="s">
        <v>54</v>
      </c>
      <c r="D7886" t="s">
        <v>2408</v>
      </c>
      <c r="E7886" t="s">
        <v>2409</v>
      </c>
      <c r="F7886">
        <v>1005</v>
      </c>
      <c r="G7886" t="s">
        <v>54</v>
      </c>
      <c r="H7886">
        <v>2805</v>
      </c>
      <c r="I7886" t="s">
        <v>70</v>
      </c>
      <c r="J7886">
        <v>3805</v>
      </c>
      <c r="K7886" t="s">
        <v>2457</v>
      </c>
      <c r="L7886">
        <v>0</v>
      </c>
      <c r="N7886" t="s">
        <v>253</v>
      </c>
      <c r="O7886">
        <v>20</v>
      </c>
      <c r="P7886">
        <v>3817</v>
      </c>
      <c r="Q7886" t="s">
        <v>2461</v>
      </c>
      <c r="R7886" t="s">
        <v>201</v>
      </c>
      <c r="S7886">
        <v>1</v>
      </c>
      <c r="T7886">
        <v>1</v>
      </c>
      <c r="U7886">
        <v>93384</v>
      </c>
      <c r="V7886">
        <v>93384</v>
      </c>
    </row>
    <row r="7887" spans="1:22">
      <c r="A7887" t="s">
        <v>2333</v>
      </c>
      <c r="B7887">
        <v>50</v>
      </c>
      <c r="C7887" t="s">
        <v>54</v>
      </c>
      <c r="D7887" t="s">
        <v>2408</v>
      </c>
      <c r="E7887" t="s">
        <v>2409</v>
      </c>
      <c r="F7887">
        <v>1005</v>
      </c>
      <c r="G7887" t="s">
        <v>54</v>
      </c>
      <c r="H7887">
        <v>2805</v>
      </c>
      <c r="I7887" t="s">
        <v>70</v>
      </c>
      <c r="J7887">
        <v>3805</v>
      </c>
      <c r="K7887" t="s">
        <v>2457</v>
      </c>
      <c r="L7887">
        <v>0</v>
      </c>
      <c r="N7887" t="s">
        <v>253</v>
      </c>
      <c r="O7887">
        <v>20</v>
      </c>
      <c r="P7887">
        <v>3817</v>
      </c>
      <c r="Q7887" t="s">
        <v>2461</v>
      </c>
      <c r="R7887" t="s">
        <v>201</v>
      </c>
      <c r="S7887">
        <v>1</v>
      </c>
      <c r="T7887">
        <v>1</v>
      </c>
      <c r="U7887">
        <v>89112</v>
      </c>
      <c r="V7887">
        <v>89112</v>
      </c>
    </row>
    <row r="7888" spans="1:22">
      <c r="A7888" t="s">
        <v>2333</v>
      </c>
      <c r="B7888">
        <v>50</v>
      </c>
      <c r="C7888" t="s">
        <v>54</v>
      </c>
      <c r="D7888" t="s">
        <v>2408</v>
      </c>
      <c r="E7888" t="s">
        <v>2409</v>
      </c>
      <c r="F7888">
        <v>1005</v>
      </c>
      <c r="G7888" t="s">
        <v>54</v>
      </c>
      <c r="H7888">
        <v>2805</v>
      </c>
      <c r="I7888" t="s">
        <v>70</v>
      </c>
      <c r="J7888">
        <v>3805</v>
      </c>
      <c r="K7888" t="s">
        <v>2457</v>
      </c>
      <c r="L7888">
        <v>0</v>
      </c>
      <c r="N7888" t="s">
        <v>341</v>
      </c>
      <c r="O7888">
        <v>3</v>
      </c>
      <c r="P7888">
        <v>3807</v>
      </c>
      <c r="Q7888" t="s">
        <v>2462</v>
      </c>
      <c r="R7888" t="s">
        <v>201</v>
      </c>
      <c r="S7888">
        <v>3</v>
      </c>
      <c r="T7888">
        <v>1</v>
      </c>
      <c r="U7888">
        <v>119100</v>
      </c>
      <c r="V7888">
        <v>357300</v>
      </c>
    </row>
    <row r="7889" spans="1:22">
      <c r="A7889" t="s">
        <v>2333</v>
      </c>
      <c r="B7889">
        <v>50</v>
      </c>
      <c r="C7889" t="s">
        <v>54</v>
      </c>
      <c r="D7889" t="s">
        <v>2408</v>
      </c>
      <c r="E7889" t="s">
        <v>2409</v>
      </c>
      <c r="F7889">
        <v>1005</v>
      </c>
      <c r="G7889" t="s">
        <v>54</v>
      </c>
      <c r="H7889">
        <v>2805</v>
      </c>
      <c r="I7889" t="s">
        <v>70</v>
      </c>
      <c r="J7889">
        <v>3805</v>
      </c>
      <c r="K7889" t="s">
        <v>2457</v>
      </c>
      <c r="L7889">
        <v>0</v>
      </c>
      <c r="N7889" t="s">
        <v>341</v>
      </c>
      <c r="O7889">
        <v>3</v>
      </c>
      <c r="P7889">
        <v>3807</v>
      </c>
      <c r="Q7889" t="s">
        <v>2462</v>
      </c>
      <c r="R7889" t="s">
        <v>201</v>
      </c>
      <c r="S7889">
        <v>3</v>
      </c>
      <c r="T7889">
        <v>1</v>
      </c>
      <c r="U7889">
        <v>113628</v>
      </c>
      <c r="V7889">
        <v>340884</v>
      </c>
    </row>
    <row r="7890" spans="1:22">
      <c r="A7890" t="s">
        <v>2333</v>
      </c>
      <c r="B7890">
        <v>50</v>
      </c>
      <c r="C7890" t="s">
        <v>54</v>
      </c>
      <c r="D7890" t="s">
        <v>2408</v>
      </c>
      <c r="E7890" t="s">
        <v>2409</v>
      </c>
      <c r="F7890">
        <v>1005</v>
      </c>
      <c r="G7890" t="s">
        <v>54</v>
      </c>
      <c r="H7890">
        <v>2805</v>
      </c>
      <c r="I7890" t="s">
        <v>70</v>
      </c>
      <c r="J7890">
        <v>3805</v>
      </c>
      <c r="K7890" t="s">
        <v>2457</v>
      </c>
      <c r="L7890">
        <v>0</v>
      </c>
      <c r="N7890" t="s">
        <v>341</v>
      </c>
      <c r="O7890">
        <v>3</v>
      </c>
      <c r="P7890">
        <v>3807</v>
      </c>
      <c r="Q7890" t="s">
        <v>2462</v>
      </c>
      <c r="R7890" t="s">
        <v>201</v>
      </c>
      <c r="S7890">
        <v>5</v>
      </c>
      <c r="T7890">
        <v>1</v>
      </c>
      <c r="U7890">
        <v>108576</v>
      </c>
      <c r="V7890">
        <v>542880</v>
      </c>
    </row>
    <row r="7891" spans="1:22">
      <c r="A7891" t="s">
        <v>2333</v>
      </c>
      <c r="B7891">
        <v>50</v>
      </c>
      <c r="C7891" t="s">
        <v>54</v>
      </c>
      <c r="D7891" t="s">
        <v>2408</v>
      </c>
      <c r="E7891" t="s">
        <v>2409</v>
      </c>
      <c r="F7891">
        <v>1005</v>
      </c>
      <c r="G7891" t="s">
        <v>54</v>
      </c>
      <c r="H7891">
        <v>2805</v>
      </c>
      <c r="I7891" t="s">
        <v>70</v>
      </c>
      <c r="J7891">
        <v>3805</v>
      </c>
      <c r="K7891" t="s">
        <v>2457</v>
      </c>
      <c r="L7891">
        <v>0</v>
      </c>
      <c r="N7891" t="s">
        <v>341</v>
      </c>
      <c r="O7891">
        <v>3</v>
      </c>
      <c r="P7891">
        <v>3807</v>
      </c>
      <c r="Q7891" t="s">
        <v>2462</v>
      </c>
      <c r="R7891" t="s">
        <v>201</v>
      </c>
      <c r="S7891">
        <v>3</v>
      </c>
      <c r="T7891">
        <v>1</v>
      </c>
      <c r="U7891">
        <v>103608</v>
      </c>
      <c r="V7891">
        <v>310824</v>
      </c>
    </row>
    <row r="7892" spans="1:22">
      <c r="A7892" t="s">
        <v>2333</v>
      </c>
      <c r="B7892">
        <v>50</v>
      </c>
      <c r="C7892" t="s">
        <v>54</v>
      </c>
      <c r="D7892" t="s">
        <v>2408</v>
      </c>
      <c r="E7892" t="s">
        <v>2409</v>
      </c>
      <c r="F7892">
        <v>1005</v>
      </c>
      <c r="G7892" t="s">
        <v>54</v>
      </c>
      <c r="H7892">
        <v>2805</v>
      </c>
      <c r="I7892" t="s">
        <v>70</v>
      </c>
      <c r="J7892">
        <v>3805</v>
      </c>
      <c r="K7892" t="s">
        <v>2457</v>
      </c>
      <c r="L7892">
        <v>0</v>
      </c>
      <c r="N7892" t="s">
        <v>341</v>
      </c>
      <c r="O7892">
        <v>3</v>
      </c>
      <c r="P7892">
        <v>3807</v>
      </c>
      <c r="Q7892" t="s">
        <v>2462</v>
      </c>
      <c r="R7892" t="s">
        <v>201</v>
      </c>
      <c r="S7892">
        <v>1</v>
      </c>
      <c r="T7892">
        <v>1</v>
      </c>
      <c r="U7892">
        <v>85200</v>
      </c>
      <c r="V7892">
        <v>85200</v>
      </c>
    </row>
    <row r="7893" spans="1:22">
      <c r="A7893" t="s">
        <v>2333</v>
      </c>
      <c r="B7893">
        <v>50</v>
      </c>
      <c r="C7893" t="s">
        <v>54</v>
      </c>
      <c r="D7893" t="s">
        <v>2408</v>
      </c>
      <c r="E7893" t="s">
        <v>2409</v>
      </c>
      <c r="F7893">
        <v>1005</v>
      </c>
      <c r="G7893" t="s">
        <v>54</v>
      </c>
      <c r="H7893">
        <v>2805</v>
      </c>
      <c r="I7893" t="s">
        <v>70</v>
      </c>
      <c r="J7893">
        <v>3805</v>
      </c>
      <c r="K7893" t="s">
        <v>2457</v>
      </c>
      <c r="L7893">
        <v>0</v>
      </c>
      <c r="N7893" t="s">
        <v>341</v>
      </c>
      <c r="O7893">
        <v>3</v>
      </c>
      <c r="P7893">
        <v>3807</v>
      </c>
      <c r="Q7893" t="s">
        <v>2462</v>
      </c>
      <c r="R7893" t="s">
        <v>201</v>
      </c>
      <c r="S7893">
        <v>2</v>
      </c>
      <c r="T7893">
        <v>1</v>
      </c>
      <c r="U7893">
        <v>81324</v>
      </c>
      <c r="V7893">
        <v>162648</v>
      </c>
    </row>
    <row r="7894" spans="1:22">
      <c r="A7894" t="s">
        <v>2333</v>
      </c>
      <c r="B7894">
        <v>50</v>
      </c>
      <c r="C7894" t="s">
        <v>54</v>
      </c>
      <c r="D7894" t="s">
        <v>2408</v>
      </c>
      <c r="E7894" t="s">
        <v>2409</v>
      </c>
      <c r="F7894">
        <v>1005</v>
      </c>
      <c r="G7894" t="s">
        <v>54</v>
      </c>
      <c r="H7894">
        <v>2805</v>
      </c>
      <c r="I7894" t="s">
        <v>70</v>
      </c>
      <c r="J7894">
        <v>3805</v>
      </c>
      <c r="K7894" t="s">
        <v>2457</v>
      </c>
      <c r="L7894">
        <v>0</v>
      </c>
      <c r="N7894" t="s">
        <v>341</v>
      </c>
      <c r="O7894">
        <v>3</v>
      </c>
      <c r="P7894">
        <v>3807</v>
      </c>
      <c r="Q7894" t="s">
        <v>2462</v>
      </c>
      <c r="R7894" t="s">
        <v>201</v>
      </c>
      <c r="S7894">
        <v>1</v>
      </c>
      <c r="T7894">
        <v>1</v>
      </c>
      <c r="U7894">
        <v>74172</v>
      </c>
      <c r="V7894">
        <v>74172</v>
      </c>
    </row>
    <row r="7895" spans="1:22">
      <c r="A7895" t="s">
        <v>2333</v>
      </c>
      <c r="B7895">
        <v>50</v>
      </c>
      <c r="C7895" t="s">
        <v>54</v>
      </c>
      <c r="D7895" t="s">
        <v>2408</v>
      </c>
      <c r="E7895" t="s">
        <v>2409</v>
      </c>
      <c r="F7895">
        <v>1005</v>
      </c>
      <c r="G7895" t="s">
        <v>54</v>
      </c>
      <c r="H7895">
        <v>2805</v>
      </c>
      <c r="I7895" t="s">
        <v>70</v>
      </c>
      <c r="J7895">
        <v>3805</v>
      </c>
      <c r="K7895" t="s">
        <v>2457</v>
      </c>
      <c r="L7895">
        <v>0</v>
      </c>
      <c r="N7895" t="s">
        <v>341</v>
      </c>
      <c r="O7895">
        <v>3</v>
      </c>
      <c r="P7895">
        <v>3807</v>
      </c>
      <c r="Q7895" t="s">
        <v>2462</v>
      </c>
      <c r="R7895" t="s">
        <v>201</v>
      </c>
      <c r="S7895">
        <v>4</v>
      </c>
      <c r="T7895">
        <v>1</v>
      </c>
      <c r="U7895">
        <v>68616</v>
      </c>
      <c r="V7895">
        <v>274464</v>
      </c>
    </row>
    <row r="7896" spans="1:22">
      <c r="A7896" t="s">
        <v>2333</v>
      </c>
      <c r="B7896">
        <v>50</v>
      </c>
      <c r="C7896" t="s">
        <v>54</v>
      </c>
      <c r="D7896" t="s">
        <v>2408</v>
      </c>
      <c r="E7896" t="s">
        <v>2409</v>
      </c>
      <c r="F7896">
        <v>1005</v>
      </c>
      <c r="G7896" t="s">
        <v>54</v>
      </c>
      <c r="H7896">
        <v>2805</v>
      </c>
      <c r="I7896" t="s">
        <v>70</v>
      </c>
      <c r="J7896">
        <v>3805</v>
      </c>
      <c r="K7896" t="s">
        <v>2457</v>
      </c>
      <c r="L7896">
        <v>0</v>
      </c>
      <c r="N7896" t="s">
        <v>251</v>
      </c>
      <c r="O7896">
        <v>10</v>
      </c>
      <c r="P7896">
        <v>3076</v>
      </c>
      <c r="Q7896" t="s">
        <v>1857</v>
      </c>
      <c r="R7896" t="s">
        <v>201</v>
      </c>
      <c r="S7896">
        <v>1</v>
      </c>
      <c r="T7896">
        <v>1</v>
      </c>
      <c r="U7896">
        <v>113568</v>
      </c>
      <c r="V7896">
        <v>113568</v>
      </c>
    </row>
    <row r="7897" spans="1:22">
      <c r="A7897" t="s">
        <v>2333</v>
      </c>
      <c r="B7897">
        <v>50</v>
      </c>
      <c r="C7897" t="s">
        <v>54</v>
      </c>
      <c r="D7897" t="s">
        <v>2408</v>
      </c>
      <c r="E7897" t="s">
        <v>2409</v>
      </c>
      <c r="F7897">
        <v>1005</v>
      </c>
      <c r="G7897" t="s">
        <v>54</v>
      </c>
      <c r="H7897">
        <v>2805</v>
      </c>
      <c r="I7897" t="s">
        <v>70</v>
      </c>
      <c r="J7897">
        <v>3805</v>
      </c>
      <c r="K7897" t="s">
        <v>2457</v>
      </c>
      <c r="L7897">
        <v>0</v>
      </c>
      <c r="N7897" t="s">
        <v>274</v>
      </c>
      <c r="O7897">
        <v>0</v>
      </c>
      <c r="P7897">
        <v>3018</v>
      </c>
      <c r="Q7897" t="s">
        <v>1214</v>
      </c>
      <c r="R7897" t="s">
        <v>201</v>
      </c>
      <c r="S7897">
        <v>1</v>
      </c>
      <c r="T7897">
        <v>1</v>
      </c>
      <c r="U7897">
        <v>146808</v>
      </c>
      <c r="V7897">
        <v>146808</v>
      </c>
    </row>
    <row r="7898" spans="1:22">
      <c r="A7898" t="s">
        <v>2333</v>
      </c>
      <c r="B7898">
        <v>50</v>
      </c>
      <c r="C7898" t="s">
        <v>54</v>
      </c>
      <c r="D7898" t="s">
        <v>2408</v>
      </c>
      <c r="E7898" t="s">
        <v>2409</v>
      </c>
      <c r="F7898">
        <v>1005</v>
      </c>
      <c r="G7898" t="s">
        <v>54</v>
      </c>
      <c r="H7898">
        <v>2805</v>
      </c>
      <c r="I7898" t="s">
        <v>70</v>
      </c>
      <c r="J7898">
        <v>3805</v>
      </c>
      <c r="K7898" t="s">
        <v>2457</v>
      </c>
      <c r="L7898">
        <v>0</v>
      </c>
      <c r="N7898" t="s">
        <v>356</v>
      </c>
      <c r="O7898">
        <v>3</v>
      </c>
      <c r="P7898">
        <v>2989</v>
      </c>
      <c r="Q7898" t="s">
        <v>2351</v>
      </c>
      <c r="R7898" t="s">
        <v>201</v>
      </c>
      <c r="S7898">
        <v>1</v>
      </c>
      <c r="T7898">
        <v>1</v>
      </c>
      <c r="U7898">
        <v>97488</v>
      </c>
      <c r="V7898">
        <v>97488</v>
      </c>
    </row>
    <row r="7899" spans="1:22">
      <c r="A7899" t="s">
        <v>2333</v>
      </c>
      <c r="B7899">
        <v>50</v>
      </c>
      <c r="C7899" t="s">
        <v>54</v>
      </c>
      <c r="D7899" t="s">
        <v>2408</v>
      </c>
      <c r="E7899" t="s">
        <v>2409</v>
      </c>
      <c r="F7899">
        <v>1005</v>
      </c>
      <c r="G7899" t="s">
        <v>54</v>
      </c>
      <c r="H7899">
        <v>2805</v>
      </c>
      <c r="I7899" t="s">
        <v>70</v>
      </c>
      <c r="J7899">
        <v>3805</v>
      </c>
      <c r="K7899" t="s">
        <v>2457</v>
      </c>
      <c r="L7899">
        <v>0</v>
      </c>
      <c r="N7899" t="s">
        <v>287</v>
      </c>
      <c r="O7899">
        <v>10</v>
      </c>
      <c r="P7899">
        <v>2902</v>
      </c>
      <c r="Q7899" t="s">
        <v>2463</v>
      </c>
      <c r="R7899" t="s">
        <v>201</v>
      </c>
      <c r="S7899">
        <v>1</v>
      </c>
      <c r="T7899">
        <v>1</v>
      </c>
      <c r="U7899">
        <v>89112</v>
      </c>
      <c r="V7899">
        <v>89112</v>
      </c>
    </row>
    <row r="7900" spans="1:22">
      <c r="A7900" t="s">
        <v>2333</v>
      </c>
      <c r="B7900">
        <v>50</v>
      </c>
      <c r="C7900" t="s">
        <v>54</v>
      </c>
      <c r="D7900" t="s">
        <v>2408</v>
      </c>
      <c r="E7900" t="s">
        <v>2409</v>
      </c>
      <c r="F7900">
        <v>1005</v>
      </c>
      <c r="G7900" t="s">
        <v>54</v>
      </c>
      <c r="H7900">
        <v>2805</v>
      </c>
      <c r="I7900" t="s">
        <v>70</v>
      </c>
      <c r="J7900">
        <v>3805</v>
      </c>
      <c r="K7900" t="s">
        <v>2457</v>
      </c>
      <c r="L7900">
        <v>0</v>
      </c>
      <c r="N7900" t="s">
        <v>622</v>
      </c>
      <c r="O7900">
        <v>1</v>
      </c>
      <c r="P7900" t="s">
        <v>667</v>
      </c>
      <c r="Q7900" t="s">
        <v>205</v>
      </c>
      <c r="R7900" t="s">
        <v>201</v>
      </c>
      <c r="S7900">
        <v>2</v>
      </c>
      <c r="T7900">
        <v>1</v>
      </c>
      <c r="U7900">
        <v>90144</v>
      </c>
      <c r="V7900">
        <v>180288</v>
      </c>
    </row>
    <row r="7901" spans="1:22">
      <c r="A7901" t="s">
        <v>2333</v>
      </c>
      <c r="B7901">
        <v>50</v>
      </c>
      <c r="C7901" t="s">
        <v>54</v>
      </c>
      <c r="D7901" t="s">
        <v>2408</v>
      </c>
      <c r="E7901" t="s">
        <v>2409</v>
      </c>
      <c r="F7901">
        <v>1005</v>
      </c>
      <c r="G7901" t="s">
        <v>54</v>
      </c>
      <c r="H7901">
        <v>2805</v>
      </c>
      <c r="I7901" t="s">
        <v>70</v>
      </c>
      <c r="J7901">
        <v>3805</v>
      </c>
      <c r="K7901" t="s">
        <v>2457</v>
      </c>
      <c r="L7901">
        <v>0</v>
      </c>
      <c r="N7901" t="s">
        <v>622</v>
      </c>
      <c r="O7901">
        <v>1</v>
      </c>
      <c r="P7901" t="s">
        <v>667</v>
      </c>
      <c r="Q7901" t="s">
        <v>205</v>
      </c>
      <c r="R7901" t="s">
        <v>201</v>
      </c>
      <c r="S7901">
        <v>1</v>
      </c>
      <c r="T7901">
        <v>1</v>
      </c>
      <c r="U7901">
        <v>68256</v>
      </c>
      <c r="V7901">
        <v>68256</v>
      </c>
    </row>
    <row r="7902" spans="1:22">
      <c r="A7902" t="s">
        <v>2333</v>
      </c>
      <c r="B7902">
        <v>50</v>
      </c>
      <c r="C7902" t="s">
        <v>54</v>
      </c>
      <c r="D7902" t="s">
        <v>2408</v>
      </c>
      <c r="E7902" t="s">
        <v>2409</v>
      </c>
      <c r="F7902">
        <v>1005</v>
      </c>
      <c r="G7902" t="s">
        <v>54</v>
      </c>
      <c r="H7902">
        <v>2805</v>
      </c>
      <c r="I7902" t="s">
        <v>70</v>
      </c>
      <c r="J7902">
        <v>3805</v>
      </c>
      <c r="K7902" t="s">
        <v>2457</v>
      </c>
      <c r="L7902">
        <v>0</v>
      </c>
      <c r="N7902" t="s">
        <v>622</v>
      </c>
      <c r="O7902">
        <v>1</v>
      </c>
      <c r="P7902" t="s">
        <v>667</v>
      </c>
      <c r="Q7902" t="s">
        <v>205</v>
      </c>
      <c r="R7902" t="s">
        <v>201</v>
      </c>
      <c r="S7902">
        <v>2</v>
      </c>
      <c r="T7902">
        <v>1</v>
      </c>
      <c r="U7902">
        <v>51936</v>
      </c>
      <c r="V7902">
        <v>103872</v>
      </c>
    </row>
    <row r="7903" spans="1:22">
      <c r="A7903" t="s">
        <v>2333</v>
      </c>
      <c r="B7903">
        <v>50</v>
      </c>
      <c r="C7903" t="s">
        <v>54</v>
      </c>
      <c r="D7903" t="s">
        <v>2408</v>
      </c>
      <c r="E7903" t="s">
        <v>2409</v>
      </c>
      <c r="F7903">
        <v>1005</v>
      </c>
      <c r="G7903" t="s">
        <v>54</v>
      </c>
      <c r="H7903">
        <v>2805</v>
      </c>
      <c r="I7903" t="s">
        <v>70</v>
      </c>
      <c r="J7903">
        <v>3805</v>
      </c>
      <c r="K7903" t="s">
        <v>2457</v>
      </c>
      <c r="L7903">
        <v>0</v>
      </c>
      <c r="N7903" t="s">
        <v>249</v>
      </c>
      <c r="O7903">
        <v>10</v>
      </c>
      <c r="P7903">
        <v>310</v>
      </c>
      <c r="Q7903" t="s">
        <v>447</v>
      </c>
      <c r="R7903" t="s">
        <v>201</v>
      </c>
      <c r="S7903">
        <v>1</v>
      </c>
      <c r="T7903">
        <v>1</v>
      </c>
      <c r="U7903">
        <v>107340</v>
      </c>
      <c r="V7903">
        <v>107340</v>
      </c>
    </row>
    <row r="7904" spans="1:22">
      <c r="A7904" t="s">
        <v>2333</v>
      </c>
      <c r="B7904">
        <v>50</v>
      </c>
      <c r="C7904" t="s">
        <v>54</v>
      </c>
      <c r="D7904" t="s">
        <v>2408</v>
      </c>
      <c r="E7904" t="s">
        <v>2409</v>
      </c>
      <c r="F7904">
        <v>1005</v>
      </c>
      <c r="G7904" t="s">
        <v>54</v>
      </c>
      <c r="H7904">
        <v>2805</v>
      </c>
      <c r="I7904" t="s">
        <v>70</v>
      </c>
      <c r="J7904">
        <v>3805</v>
      </c>
      <c r="K7904" t="s">
        <v>2457</v>
      </c>
      <c r="L7904">
        <v>0</v>
      </c>
      <c r="N7904" t="s">
        <v>199</v>
      </c>
      <c r="O7904">
        <v>0</v>
      </c>
      <c r="P7904">
        <v>44</v>
      </c>
      <c r="Q7904" t="s">
        <v>2337</v>
      </c>
      <c r="R7904" t="s">
        <v>201</v>
      </c>
      <c r="S7904">
        <v>0</v>
      </c>
      <c r="T7904">
        <v>0</v>
      </c>
      <c r="U7904">
        <v>2717321</v>
      </c>
      <c r="V7904">
        <v>2717321</v>
      </c>
    </row>
    <row r="7905" spans="1:22">
      <c r="A7905" t="s">
        <v>2333</v>
      </c>
      <c r="B7905">
        <v>50</v>
      </c>
      <c r="C7905" t="s">
        <v>54</v>
      </c>
      <c r="D7905" t="s">
        <v>2408</v>
      </c>
      <c r="E7905" t="s">
        <v>2409</v>
      </c>
      <c r="F7905">
        <v>1005</v>
      </c>
      <c r="G7905" t="s">
        <v>54</v>
      </c>
      <c r="H7905">
        <v>2805</v>
      </c>
      <c r="I7905" t="s">
        <v>70</v>
      </c>
      <c r="J7905">
        <v>3805</v>
      </c>
      <c r="K7905" t="s">
        <v>2457</v>
      </c>
      <c r="L7905">
        <v>0</v>
      </c>
      <c r="N7905" t="s">
        <v>199</v>
      </c>
      <c r="O7905">
        <v>0</v>
      </c>
      <c r="P7905">
        <v>15</v>
      </c>
      <c r="Q7905" t="s">
        <v>264</v>
      </c>
      <c r="R7905" t="s">
        <v>201</v>
      </c>
      <c r="S7905">
        <v>0</v>
      </c>
      <c r="T7905">
        <v>0</v>
      </c>
      <c r="U7905">
        <v>30511</v>
      </c>
      <c r="V7905">
        <v>30511</v>
      </c>
    </row>
    <row r="7906" spans="1:22">
      <c r="A7906" t="s">
        <v>2333</v>
      </c>
      <c r="B7906">
        <v>50</v>
      </c>
      <c r="C7906" t="s">
        <v>54</v>
      </c>
      <c r="D7906" t="s">
        <v>2408</v>
      </c>
      <c r="E7906" t="s">
        <v>2409</v>
      </c>
      <c r="F7906">
        <v>1005</v>
      </c>
      <c r="G7906" t="s">
        <v>54</v>
      </c>
      <c r="H7906" t="s">
        <v>2464</v>
      </c>
      <c r="I7906" t="s">
        <v>148</v>
      </c>
      <c r="J7906" t="s">
        <v>2465</v>
      </c>
      <c r="K7906" t="s">
        <v>2466</v>
      </c>
      <c r="L7906">
        <v>0</v>
      </c>
      <c r="N7906" t="s">
        <v>360</v>
      </c>
      <c r="O7906">
        <v>3</v>
      </c>
      <c r="P7906">
        <v>3025</v>
      </c>
      <c r="Q7906" t="s">
        <v>2467</v>
      </c>
      <c r="R7906" t="s">
        <v>201</v>
      </c>
      <c r="S7906">
        <v>2</v>
      </c>
      <c r="T7906">
        <v>1</v>
      </c>
      <c r="U7906">
        <v>98928</v>
      </c>
      <c r="V7906">
        <v>197856</v>
      </c>
    </row>
    <row r="7907" spans="1:22">
      <c r="A7907" t="s">
        <v>2333</v>
      </c>
      <c r="B7907">
        <v>50</v>
      </c>
      <c r="C7907" t="s">
        <v>54</v>
      </c>
      <c r="D7907" t="s">
        <v>2408</v>
      </c>
      <c r="E7907" t="s">
        <v>2409</v>
      </c>
      <c r="F7907">
        <v>1005</v>
      </c>
      <c r="G7907" t="s">
        <v>54</v>
      </c>
      <c r="H7907" t="s">
        <v>2464</v>
      </c>
      <c r="I7907" t="s">
        <v>148</v>
      </c>
      <c r="J7907" t="s">
        <v>2465</v>
      </c>
      <c r="K7907" t="s">
        <v>2466</v>
      </c>
      <c r="L7907">
        <v>0</v>
      </c>
      <c r="N7907" t="s">
        <v>360</v>
      </c>
      <c r="O7907">
        <v>3</v>
      </c>
      <c r="P7907">
        <v>3025</v>
      </c>
      <c r="Q7907" t="s">
        <v>2467</v>
      </c>
      <c r="R7907" t="s">
        <v>201</v>
      </c>
      <c r="S7907">
        <v>1</v>
      </c>
      <c r="T7907">
        <v>1</v>
      </c>
      <c r="U7907">
        <v>90144</v>
      </c>
      <c r="V7907">
        <v>90144</v>
      </c>
    </row>
    <row r="7908" spans="1:22">
      <c r="A7908" t="s">
        <v>2333</v>
      </c>
      <c r="B7908">
        <v>50</v>
      </c>
      <c r="C7908" t="s">
        <v>54</v>
      </c>
      <c r="D7908" t="s">
        <v>2408</v>
      </c>
      <c r="E7908" t="s">
        <v>2409</v>
      </c>
      <c r="F7908">
        <v>1005</v>
      </c>
      <c r="G7908" t="s">
        <v>54</v>
      </c>
      <c r="H7908" t="s">
        <v>2464</v>
      </c>
      <c r="I7908" t="s">
        <v>148</v>
      </c>
      <c r="J7908" t="s">
        <v>2465</v>
      </c>
      <c r="K7908" t="s">
        <v>2466</v>
      </c>
      <c r="L7908">
        <v>0</v>
      </c>
      <c r="N7908" t="s">
        <v>360</v>
      </c>
      <c r="O7908">
        <v>3</v>
      </c>
      <c r="P7908">
        <v>3025</v>
      </c>
      <c r="Q7908" t="s">
        <v>2467</v>
      </c>
      <c r="R7908" t="s">
        <v>201</v>
      </c>
      <c r="S7908">
        <v>1</v>
      </c>
      <c r="T7908">
        <v>1</v>
      </c>
      <c r="U7908">
        <v>57000</v>
      </c>
      <c r="V7908">
        <v>57000</v>
      </c>
    </row>
    <row r="7909" spans="1:22">
      <c r="A7909" t="s">
        <v>2333</v>
      </c>
      <c r="B7909">
        <v>50</v>
      </c>
      <c r="C7909" t="s">
        <v>54</v>
      </c>
      <c r="D7909" t="s">
        <v>2408</v>
      </c>
      <c r="E7909" t="s">
        <v>2409</v>
      </c>
      <c r="F7909">
        <v>1005</v>
      </c>
      <c r="G7909" t="s">
        <v>54</v>
      </c>
      <c r="H7909" t="s">
        <v>2464</v>
      </c>
      <c r="I7909" t="s">
        <v>148</v>
      </c>
      <c r="J7909" t="s">
        <v>2465</v>
      </c>
      <c r="K7909" t="s">
        <v>2466</v>
      </c>
      <c r="L7909">
        <v>0</v>
      </c>
      <c r="N7909" t="s">
        <v>199</v>
      </c>
      <c r="O7909">
        <v>0</v>
      </c>
      <c r="P7909">
        <v>44</v>
      </c>
      <c r="Q7909" t="s">
        <v>2337</v>
      </c>
      <c r="R7909" t="s">
        <v>201</v>
      </c>
      <c r="S7909">
        <v>0</v>
      </c>
      <c r="T7909">
        <v>0</v>
      </c>
      <c r="U7909">
        <v>193062</v>
      </c>
      <c r="V7909">
        <v>193062</v>
      </c>
    </row>
    <row r="7910" spans="1:22">
      <c r="A7910" t="s">
        <v>2333</v>
      </c>
      <c r="B7910">
        <v>50</v>
      </c>
      <c r="C7910" t="s">
        <v>54</v>
      </c>
      <c r="D7910" t="s">
        <v>2408</v>
      </c>
      <c r="E7910" t="s">
        <v>2409</v>
      </c>
      <c r="F7910">
        <v>1005</v>
      </c>
      <c r="G7910" t="s">
        <v>54</v>
      </c>
      <c r="H7910" t="s">
        <v>2464</v>
      </c>
      <c r="I7910" t="s">
        <v>148</v>
      </c>
      <c r="J7910" t="s">
        <v>2465</v>
      </c>
      <c r="K7910" t="s">
        <v>2466</v>
      </c>
      <c r="L7910">
        <v>0</v>
      </c>
      <c r="N7910" t="s">
        <v>199</v>
      </c>
      <c r="O7910">
        <v>0</v>
      </c>
      <c r="P7910">
        <v>15</v>
      </c>
      <c r="Q7910" t="s">
        <v>264</v>
      </c>
      <c r="R7910" t="s">
        <v>201</v>
      </c>
      <c r="S7910">
        <v>0</v>
      </c>
      <c r="T7910">
        <v>0</v>
      </c>
      <c r="U7910">
        <v>3839</v>
      </c>
      <c r="V7910">
        <v>3839</v>
      </c>
    </row>
    <row r="7911" spans="1:22">
      <c r="A7911" t="s">
        <v>2333</v>
      </c>
      <c r="B7911">
        <v>50</v>
      </c>
      <c r="C7911" t="s">
        <v>54</v>
      </c>
      <c r="D7911" t="s">
        <v>2408</v>
      </c>
      <c r="E7911" t="s">
        <v>2409</v>
      </c>
      <c r="F7911">
        <v>1005</v>
      </c>
      <c r="G7911" t="s">
        <v>54</v>
      </c>
      <c r="H7911">
        <v>2815</v>
      </c>
      <c r="I7911" t="s">
        <v>157</v>
      </c>
      <c r="J7911">
        <v>3815</v>
      </c>
      <c r="K7911" t="s">
        <v>2468</v>
      </c>
      <c r="L7911">
        <v>0</v>
      </c>
      <c r="N7911" t="s">
        <v>702</v>
      </c>
      <c r="O7911">
        <v>3</v>
      </c>
      <c r="P7911">
        <v>3023</v>
      </c>
      <c r="Q7911" t="s">
        <v>2469</v>
      </c>
      <c r="R7911" t="s">
        <v>201</v>
      </c>
      <c r="S7911">
        <v>1</v>
      </c>
      <c r="T7911">
        <v>1</v>
      </c>
      <c r="U7911">
        <v>108708</v>
      </c>
      <c r="V7911">
        <v>108708</v>
      </c>
    </row>
    <row r="7912" spans="1:22">
      <c r="A7912" t="s">
        <v>2333</v>
      </c>
      <c r="B7912">
        <v>50</v>
      </c>
      <c r="C7912" t="s">
        <v>54</v>
      </c>
      <c r="D7912" t="s">
        <v>2408</v>
      </c>
      <c r="E7912" t="s">
        <v>2409</v>
      </c>
      <c r="F7912">
        <v>1005</v>
      </c>
      <c r="G7912" t="s">
        <v>54</v>
      </c>
      <c r="H7912">
        <v>2815</v>
      </c>
      <c r="I7912" t="s">
        <v>157</v>
      </c>
      <c r="J7912">
        <v>3815</v>
      </c>
      <c r="K7912" t="s">
        <v>2468</v>
      </c>
      <c r="L7912">
        <v>0</v>
      </c>
      <c r="N7912" t="s">
        <v>1007</v>
      </c>
      <c r="O7912">
        <v>1</v>
      </c>
      <c r="P7912">
        <v>459</v>
      </c>
      <c r="Q7912" t="s">
        <v>1355</v>
      </c>
      <c r="R7912" t="s">
        <v>201</v>
      </c>
      <c r="S7912">
        <v>1</v>
      </c>
      <c r="T7912">
        <v>1</v>
      </c>
      <c r="U7912">
        <v>43164</v>
      </c>
      <c r="V7912">
        <v>43164</v>
      </c>
    </row>
    <row r="7913" spans="1:22">
      <c r="A7913" t="s">
        <v>2333</v>
      </c>
      <c r="B7913">
        <v>50</v>
      </c>
      <c r="C7913" t="s">
        <v>54</v>
      </c>
      <c r="D7913" t="s">
        <v>2408</v>
      </c>
      <c r="E7913" t="s">
        <v>2409</v>
      </c>
      <c r="F7913">
        <v>1005</v>
      </c>
      <c r="G7913" t="s">
        <v>54</v>
      </c>
      <c r="H7913">
        <v>2815</v>
      </c>
      <c r="I7913" t="s">
        <v>157</v>
      </c>
      <c r="J7913">
        <v>3815</v>
      </c>
      <c r="K7913" t="s">
        <v>2468</v>
      </c>
      <c r="L7913">
        <v>0</v>
      </c>
      <c r="N7913" t="s">
        <v>199</v>
      </c>
      <c r="O7913">
        <v>0</v>
      </c>
      <c r="P7913">
        <v>44</v>
      </c>
      <c r="Q7913" t="s">
        <v>2337</v>
      </c>
      <c r="R7913" t="s">
        <v>201</v>
      </c>
      <c r="S7913">
        <v>0</v>
      </c>
      <c r="T7913">
        <v>0</v>
      </c>
      <c r="U7913">
        <v>84988</v>
      </c>
      <c r="V7913">
        <v>84988</v>
      </c>
    </row>
    <row r="7914" spans="1:22">
      <c r="A7914" t="s">
        <v>2333</v>
      </c>
      <c r="B7914">
        <v>50</v>
      </c>
      <c r="C7914" t="s">
        <v>54</v>
      </c>
      <c r="D7914" t="s">
        <v>2408</v>
      </c>
      <c r="E7914" t="s">
        <v>2409</v>
      </c>
      <c r="F7914">
        <v>1005</v>
      </c>
      <c r="G7914" t="s">
        <v>54</v>
      </c>
      <c r="H7914">
        <v>2860</v>
      </c>
      <c r="I7914" t="s">
        <v>67</v>
      </c>
      <c r="J7914">
        <v>3905</v>
      </c>
      <c r="K7914" t="s">
        <v>2470</v>
      </c>
      <c r="L7914">
        <v>0</v>
      </c>
      <c r="N7914" t="s">
        <v>266</v>
      </c>
      <c r="O7914">
        <v>9</v>
      </c>
      <c r="P7914">
        <v>9679</v>
      </c>
      <c r="Q7914" t="s">
        <v>338</v>
      </c>
      <c r="R7914" t="s">
        <v>201</v>
      </c>
      <c r="S7914">
        <v>1</v>
      </c>
      <c r="T7914">
        <v>1</v>
      </c>
      <c r="U7914">
        <v>175512</v>
      </c>
      <c r="V7914">
        <v>175512</v>
      </c>
    </row>
    <row r="7915" spans="1:22">
      <c r="A7915" t="s">
        <v>2333</v>
      </c>
      <c r="B7915">
        <v>50</v>
      </c>
      <c r="C7915" t="s">
        <v>54</v>
      </c>
      <c r="D7915" t="s">
        <v>2408</v>
      </c>
      <c r="E7915" t="s">
        <v>2409</v>
      </c>
      <c r="F7915">
        <v>1005</v>
      </c>
      <c r="G7915" t="s">
        <v>54</v>
      </c>
      <c r="H7915">
        <v>2860</v>
      </c>
      <c r="I7915" t="s">
        <v>67</v>
      </c>
      <c r="J7915">
        <v>3905</v>
      </c>
      <c r="K7915" t="s">
        <v>2470</v>
      </c>
      <c r="L7915">
        <v>0</v>
      </c>
      <c r="N7915" t="s">
        <v>251</v>
      </c>
      <c r="O7915">
        <v>10</v>
      </c>
      <c r="P7915">
        <v>3953</v>
      </c>
      <c r="Q7915" t="s">
        <v>2471</v>
      </c>
      <c r="R7915" t="s">
        <v>201</v>
      </c>
      <c r="S7915">
        <v>1</v>
      </c>
      <c r="T7915">
        <v>1</v>
      </c>
      <c r="U7915">
        <v>89112</v>
      </c>
      <c r="V7915">
        <v>89112</v>
      </c>
    </row>
    <row r="7916" spans="1:22">
      <c r="A7916" t="s">
        <v>2333</v>
      </c>
      <c r="B7916">
        <v>50</v>
      </c>
      <c r="C7916" t="s">
        <v>54</v>
      </c>
      <c r="D7916" t="s">
        <v>2408</v>
      </c>
      <c r="E7916" t="s">
        <v>2409</v>
      </c>
      <c r="F7916">
        <v>1005</v>
      </c>
      <c r="G7916" t="s">
        <v>54</v>
      </c>
      <c r="H7916">
        <v>2860</v>
      </c>
      <c r="I7916" t="s">
        <v>67</v>
      </c>
      <c r="J7916">
        <v>3905</v>
      </c>
      <c r="K7916" t="s">
        <v>2470</v>
      </c>
      <c r="L7916">
        <v>0</v>
      </c>
      <c r="N7916" t="s">
        <v>251</v>
      </c>
      <c r="O7916">
        <v>10</v>
      </c>
      <c r="P7916">
        <v>3953</v>
      </c>
      <c r="Q7916" t="s">
        <v>2471</v>
      </c>
      <c r="R7916" t="s">
        <v>201</v>
      </c>
      <c r="S7916">
        <v>5</v>
      </c>
      <c r="T7916">
        <v>1</v>
      </c>
      <c r="U7916">
        <v>76476</v>
      </c>
      <c r="V7916">
        <v>382380</v>
      </c>
    </row>
    <row r="7917" spans="1:22">
      <c r="A7917" t="s">
        <v>2333</v>
      </c>
      <c r="B7917">
        <v>50</v>
      </c>
      <c r="C7917" t="s">
        <v>54</v>
      </c>
      <c r="D7917" t="s">
        <v>2408</v>
      </c>
      <c r="E7917" t="s">
        <v>2409</v>
      </c>
      <c r="F7917">
        <v>1005</v>
      </c>
      <c r="G7917" t="s">
        <v>54</v>
      </c>
      <c r="H7917">
        <v>2860</v>
      </c>
      <c r="I7917" t="s">
        <v>67</v>
      </c>
      <c r="J7917">
        <v>3905</v>
      </c>
      <c r="K7917" t="s">
        <v>2470</v>
      </c>
      <c r="L7917">
        <v>0</v>
      </c>
      <c r="N7917" t="s">
        <v>372</v>
      </c>
      <c r="O7917">
        <v>1</v>
      </c>
      <c r="P7917">
        <v>3914</v>
      </c>
      <c r="Q7917" t="s">
        <v>2472</v>
      </c>
      <c r="R7917" t="s">
        <v>201</v>
      </c>
      <c r="S7917">
        <v>3</v>
      </c>
      <c r="T7917">
        <v>1</v>
      </c>
      <c r="U7917">
        <v>130668</v>
      </c>
      <c r="V7917">
        <v>392004</v>
      </c>
    </row>
    <row r="7918" spans="1:22">
      <c r="A7918" t="s">
        <v>2333</v>
      </c>
      <c r="B7918">
        <v>50</v>
      </c>
      <c r="C7918" t="s">
        <v>54</v>
      </c>
      <c r="D7918" t="s">
        <v>2408</v>
      </c>
      <c r="E7918" t="s">
        <v>2409</v>
      </c>
      <c r="F7918">
        <v>1005</v>
      </c>
      <c r="G7918" t="s">
        <v>54</v>
      </c>
      <c r="H7918">
        <v>2860</v>
      </c>
      <c r="I7918" t="s">
        <v>67</v>
      </c>
      <c r="J7918">
        <v>3905</v>
      </c>
      <c r="K7918" t="s">
        <v>2470</v>
      </c>
      <c r="L7918">
        <v>0</v>
      </c>
      <c r="N7918" t="s">
        <v>372</v>
      </c>
      <c r="O7918">
        <v>1</v>
      </c>
      <c r="P7918">
        <v>3914</v>
      </c>
      <c r="Q7918" t="s">
        <v>2472</v>
      </c>
      <c r="R7918" t="s">
        <v>201</v>
      </c>
      <c r="S7918">
        <v>2</v>
      </c>
      <c r="T7918">
        <v>1</v>
      </c>
      <c r="U7918">
        <v>124848</v>
      </c>
      <c r="V7918">
        <v>249696</v>
      </c>
    </row>
    <row r="7919" spans="1:22">
      <c r="A7919" t="s">
        <v>2333</v>
      </c>
      <c r="B7919">
        <v>50</v>
      </c>
      <c r="C7919" t="s">
        <v>54</v>
      </c>
      <c r="D7919" t="s">
        <v>2408</v>
      </c>
      <c r="E7919" t="s">
        <v>2409</v>
      </c>
      <c r="F7919">
        <v>1005</v>
      </c>
      <c r="G7919" t="s">
        <v>54</v>
      </c>
      <c r="H7919">
        <v>2860</v>
      </c>
      <c r="I7919" t="s">
        <v>67</v>
      </c>
      <c r="J7919">
        <v>3905</v>
      </c>
      <c r="K7919" t="s">
        <v>2470</v>
      </c>
      <c r="L7919">
        <v>0</v>
      </c>
      <c r="N7919" t="s">
        <v>372</v>
      </c>
      <c r="O7919">
        <v>1</v>
      </c>
      <c r="P7919">
        <v>3914</v>
      </c>
      <c r="Q7919" t="s">
        <v>2472</v>
      </c>
      <c r="R7919" t="s">
        <v>201</v>
      </c>
      <c r="S7919">
        <v>7</v>
      </c>
      <c r="T7919">
        <v>1</v>
      </c>
      <c r="U7919">
        <v>113628</v>
      </c>
      <c r="V7919">
        <v>795396</v>
      </c>
    </row>
    <row r="7920" spans="1:22">
      <c r="A7920" t="s">
        <v>2333</v>
      </c>
      <c r="B7920">
        <v>50</v>
      </c>
      <c r="C7920" t="s">
        <v>54</v>
      </c>
      <c r="D7920" t="s">
        <v>2408</v>
      </c>
      <c r="E7920" t="s">
        <v>2409</v>
      </c>
      <c r="F7920">
        <v>1005</v>
      </c>
      <c r="G7920" t="s">
        <v>54</v>
      </c>
      <c r="H7920">
        <v>2860</v>
      </c>
      <c r="I7920" t="s">
        <v>67</v>
      </c>
      <c r="J7920">
        <v>3905</v>
      </c>
      <c r="K7920" t="s">
        <v>2470</v>
      </c>
      <c r="L7920">
        <v>0</v>
      </c>
      <c r="N7920" t="s">
        <v>372</v>
      </c>
      <c r="O7920">
        <v>1</v>
      </c>
      <c r="P7920">
        <v>3914</v>
      </c>
      <c r="Q7920" t="s">
        <v>2472</v>
      </c>
      <c r="R7920" t="s">
        <v>201</v>
      </c>
      <c r="S7920">
        <v>6</v>
      </c>
      <c r="T7920">
        <v>1</v>
      </c>
      <c r="U7920">
        <v>98928</v>
      </c>
      <c r="V7920">
        <v>593568</v>
      </c>
    </row>
    <row r="7921" spans="1:22">
      <c r="A7921" t="s">
        <v>2333</v>
      </c>
      <c r="B7921">
        <v>50</v>
      </c>
      <c r="C7921" t="s">
        <v>54</v>
      </c>
      <c r="D7921" t="s">
        <v>2408</v>
      </c>
      <c r="E7921" t="s">
        <v>2409</v>
      </c>
      <c r="F7921">
        <v>1005</v>
      </c>
      <c r="G7921" t="s">
        <v>54</v>
      </c>
      <c r="H7921">
        <v>2860</v>
      </c>
      <c r="I7921" t="s">
        <v>67</v>
      </c>
      <c r="J7921">
        <v>3905</v>
      </c>
      <c r="K7921" t="s">
        <v>2470</v>
      </c>
      <c r="L7921">
        <v>0</v>
      </c>
      <c r="N7921" t="s">
        <v>372</v>
      </c>
      <c r="O7921">
        <v>1</v>
      </c>
      <c r="P7921">
        <v>3914</v>
      </c>
      <c r="Q7921" t="s">
        <v>2472</v>
      </c>
      <c r="R7921" t="s">
        <v>201</v>
      </c>
      <c r="S7921">
        <v>5</v>
      </c>
      <c r="T7921">
        <v>1</v>
      </c>
      <c r="U7921">
        <v>77640</v>
      </c>
      <c r="V7921">
        <v>388200</v>
      </c>
    </row>
    <row r="7922" spans="1:22">
      <c r="A7922" t="s">
        <v>2333</v>
      </c>
      <c r="B7922">
        <v>50</v>
      </c>
      <c r="C7922" t="s">
        <v>54</v>
      </c>
      <c r="D7922" t="s">
        <v>2408</v>
      </c>
      <c r="E7922" t="s">
        <v>2409</v>
      </c>
      <c r="F7922">
        <v>1005</v>
      </c>
      <c r="G7922" t="s">
        <v>54</v>
      </c>
      <c r="H7922">
        <v>2860</v>
      </c>
      <c r="I7922" t="s">
        <v>67</v>
      </c>
      <c r="J7922">
        <v>3905</v>
      </c>
      <c r="K7922" t="s">
        <v>2470</v>
      </c>
      <c r="L7922">
        <v>0</v>
      </c>
      <c r="N7922" t="s">
        <v>372</v>
      </c>
      <c r="O7922">
        <v>1</v>
      </c>
      <c r="P7922">
        <v>3914</v>
      </c>
      <c r="Q7922" t="s">
        <v>2472</v>
      </c>
      <c r="R7922" t="s">
        <v>201</v>
      </c>
      <c r="S7922">
        <v>4</v>
      </c>
      <c r="T7922">
        <v>1</v>
      </c>
      <c r="U7922">
        <v>75336</v>
      </c>
      <c r="V7922">
        <v>301344</v>
      </c>
    </row>
    <row r="7923" spans="1:22">
      <c r="A7923" t="s">
        <v>2333</v>
      </c>
      <c r="B7923">
        <v>50</v>
      </c>
      <c r="C7923" t="s">
        <v>54</v>
      </c>
      <c r="D7923" t="s">
        <v>2408</v>
      </c>
      <c r="E7923" t="s">
        <v>2409</v>
      </c>
      <c r="F7923">
        <v>1005</v>
      </c>
      <c r="G7923" t="s">
        <v>54</v>
      </c>
      <c r="H7923">
        <v>2860</v>
      </c>
      <c r="I7923" t="s">
        <v>67</v>
      </c>
      <c r="J7923">
        <v>3905</v>
      </c>
      <c r="K7923" t="s">
        <v>2470</v>
      </c>
      <c r="L7923">
        <v>0</v>
      </c>
      <c r="N7923" t="s">
        <v>249</v>
      </c>
      <c r="O7923">
        <v>10</v>
      </c>
      <c r="P7923">
        <v>3906</v>
      </c>
      <c r="Q7923" t="s">
        <v>2473</v>
      </c>
      <c r="R7923" t="s">
        <v>201</v>
      </c>
      <c r="S7923">
        <v>1</v>
      </c>
      <c r="T7923">
        <v>1</v>
      </c>
      <c r="U7923">
        <v>118956</v>
      </c>
      <c r="V7923">
        <v>118956</v>
      </c>
    </row>
    <row r="7924" spans="1:22">
      <c r="A7924" t="s">
        <v>2333</v>
      </c>
      <c r="B7924">
        <v>50</v>
      </c>
      <c r="C7924" t="s">
        <v>54</v>
      </c>
      <c r="D7924" t="s">
        <v>2408</v>
      </c>
      <c r="E7924" t="s">
        <v>2409</v>
      </c>
      <c r="F7924">
        <v>1005</v>
      </c>
      <c r="G7924" t="s">
        <v>54</v>
      </c>
      <c r="H7924">
        <v>2860</v>
      </c>
      <c r="I7924" t="s">
        <v>67</v>
      </c>
      <c r="J7924">
        <v>3905</v>
      </c>
      <c r="K7924" t="s">
        <v>2470</v>
      </c>
      <c r="L7924">
        <v>0</v>
      </c>
      <c r="N7924" t="s">
        <v>249</v>
      </c>
      <c r="O7924">
        <v>10</v>
      </c>
      <c r="P7924">
        <v>3906</v>
      </c>
      <c r="Q7924" t="s">
        <v>2473</v>
      </c>
      <c r="R7924" t="s">
        <v>201</v>
      </c>
      <c r="S7924">
        <v>1</v>
      </c>
      <c r="T7924">
        <v>1</v>
      </c>
      <c r="U7924">
        <v>93384</v>
      </c>
      <c r="V7924">
        <v>93384</v>
      </c>
    </row>
    <row r="7925" spans="1:22">
      <c r="A7925" t="s">
        <v>2333</v>
      </c>
      <c r="B7925">
        <v>50</v>
      </c>
      <c r="C7925" t="s">
        <v>54</v>
      </c>
      <c r="D7925" t="s">
        <v>2408</v>
      </c>
      <c r="E7925" t="s">
        <v>2409</v>
      </c>
      <c r="F7925">
        <v>1005</v>
      </c>
      <c r="G7925" t="s">
        <v>54</v>
      </c>
      <c r="H7925">
        <v>2860</v>
      </c>
      <c r="I7925" t="s">
        <v>67</v>
      </c>
      <c r="J7925">
        <v>3905</v>
      </c>
      <c r="K7925" t="s">
        <v>2470</v>
      </c>
      <c r="L7925">
        <v>0</v>
      </c>
      <c r="N7925" t="s">
        <v>356</v>
      </c>
      <c r="O7925">
        <v>3</v>
      </c>
      <c r="P7925">
        <v>2989</v>
      </c>
      <c r="Q7925" t="s">
        <v>2351</v>
      </c>
      <c r="R7925" t="s">
        <v>201</v>
      </c>
      <c r="S7925">
        <v>1</v>
      </c>
      <c r="T7925">
        <v>1</v>
      </c>
      <c r="U7925">
        <v>122928</v>
      </c>
      <c r="V7925">
        <v>122928</v>
      </c>
    </row>
    <row r="7926" spans="1:22">
      <c r="A7926" t="s">
        <v>2333</v>
      </c>
      <c r="B7926">
        <v>50</v>
      </c>
      <c r="C7926" t="s">
        <v>54</v>
      </c>
      <c r="D7926" t="s">
        <v>2408</v>
      </c>
      <c r="E7926" t="s">
        <v>2409</v>
      </c>
      <c r="F7926">
        <v>1005</v>
      </c>
      <c r="G7926" t="s">
        <v>54</v>
      </c>
      <c r="H7926">
        <v>2860</v>
      </c>
      <c r="I7926" t="s">
        <v>67</v>
      </c>
      <c r="J7926">
        <v>3905</v>
      </c>
      <c r="K7926" t="s">
        <v>2470</v>
      </c>
      <c r="L7926">
        <v>0</v>
      </c>
      <c r="N7926" t="s">
        <v>372</v>
      </c>
      <c r="O7926">
        <v>4</v>
      </c>
      <c r="P7926">
        <v>1912</v>
      </c>
      <c r="Q7926" t="s">
        <v>608</v>
      </c>
      <c r="R7926" t="s">
        <v>201</v>
      </c>
      <c r="S7926">
        <v>2</v>
      </c>
      <c r="T7926">
        <v>1</v>
      </c>
      <c r="U7926">
        <v>75336</v>
      </c>
      <c r="V7926">
        <v>150672</v>
      </c>
    </row>
    <row r="7927" spans="1:22">
      <c r="A7927" t="s">
        <v>2333</v>
      </c>
      <c r="B7927">
        <v>50</v>
      </c>
      <c r="C7927" t="s">
        <v>54</v>
      </c>
      <c r="D7927" t="s">
        <v>2408</v>
      </c>
      <c r="E7927" t="s">
        <v>2409</v>
      </c>
      <c r="F7927">
        <v>1005</v>
      </c>
      <c r="G7927" t="s">
        <v>54</v>
      </c>
      <c r="H7927">
        <v>2860</v>
      </c>
      <c r="I7927" t="s">
        <v>67</v>
      </c>
      <c r="J7927">
        <v>3905</v>
      </c>
      <c r="K7927" t="s">
        <v>2470</v>
      </c>
      <c r="L7927">
        <v>0</v>
      </c>
      <c r="N7927" t="s">
        <v>372</v>
      </c>
      <c r="O7927">
        <v>1</v>
      </c>
      <c r="P7927">
        <v>1730</v>
      </c>
      <c r="Q7927" t="s">
        <v>1105</v>
      </c>
      <c r="R7927" t="s">
        <v>201</v>
      </c>
      <c r="S7927">
        <v>1</v>
      </c>
      <c r="T7927">
        <v>1</v>
      </c>
      <c r="U7927">
        <v>75336</v>
      </c>
      <c r="V7927">
        <v>75336</v>
      </c>
    </row>
    <row r="7928" spans="1:22">
      <c r="A7928" t="s">
        <v>2333</v>
      </c>
      <c r="B7928">
        <v>50</v>
      </c>
      <c r="C7928" t="s">
        <v>54</v>
      </c>
      <c r="D7928" t="s">
        <v>2408</v>
      </c>
      <c r="E7928" t="s">
        <v>2409</v>
      </c>
      <c r="F7928">
        <v>1005</v>
      </c>
      <c r="G7928" t="s">
        <v>54</v>
      </c>
      <c r="H7928">
        <v>2860</v>
      </c>
      <c r="I7928" t="s">
        <v>67</v>
      </c>
      <c r="J7928">
        <v>3905</v>
      </c>
      <c r="K7928" t="s">
        <v>2470</v>
      </c>
      <c r="L7928">
        <v>0</v>
      </c>
      <c r="N7928" t="s">
        <v>341</v>
      </c>
      <c r="O7928">
        <v>1</v>
      </c>
      <c r="P7928">
        <v>1233</v>
      </c>
      <c r="Q7928" t="s">
        <v>2474</v>
      </c>
      <c r="R7928" t="s">
        <v>201</v>
      </c>
      <c r="S7928">
        <v>1</v>
      </c>
      <c r="T7928">
        <v>1</v>
      </c>
      <c r="U7928">
        <v>119100</v>
      </c>
      <c r="V7928">
        <v>119100</v>
      </c>
    </row>
    <row r="7929" spans="1:22">
      <c r="A7929" t="s">
        <v>2333</v>
      </c>
      <c r="B7929">
        <v>50</v>
      </c>
      <c r="C7929" t="s">
        <v>54</v>
      </c>
      <c r="D7929" t="s">
        <v>2408</v>
      </c>
      <c r="E7929" t="s">
        <v>2409</v>
      </c>
      <c r="F7929">
        <v>1005</v>
      </c>
      <c r="G7929" t="s">
        <v>54</v>
      </c>
      <c r="H7929">
        <v>2860</v>
      </c>
      <c r="I7929" t="s">
        <v>67</v>
      </c>
      <c r="J7929">
        <v>3905</v>
      </c>
      <c r="K7929" t="s">
        <v>2470</v>
      </c>
      <c r="L7929">
        <v>0</v>
      </c>
      <c r="N7929" t="s">
        <v>351</v>
      </c>
      <c r="O7929">
        <v>3</v>
      </c>
      <c r="P7929">
        <v>904</v>
      </c>
      <c r="Q7929" t="s">
        <v>2475</v>
      </c>
      <c r="R7929" t="s">
        <v>201</v>
      </c>
      <c r="S7929">
        <v>1</v>
      </c>
      <c r="T7929">
        <v>1</v>
      </c>
      <c r="U7929">
        <v>94452</v>
      </c>
      <c r="V7929">
        <v>94452</v>
      </c>
    </row>
    <row r="7930" spans="1:22">
      <c r="A7930" t="s">
        <v>2333</v>
      </c>
      <c r="B7930">
        <v>50</v>
      </c>
      <c r="C7930" t="s">
        <v>54</v>
      </c>
      <c r="D7930" t="s">
        <v>2408</v>
      </c>
      <c r="E7930" t="s">
        <v>2409</v>
      </c>
      <c r="F7930">
        <v>1005</v>
      </c>
      <c r="G7930" t="s">
        <v>54</v>
      </c>
      <c r="H7930">
        <v>2860</v>
      </c>
      <c r="I7930" t="s">
        <v>67</v>
      </c>
      <c r="J7930">
        <v>3905</v>
      </c>
      <c r="K7930" t="s">
        <v>2470</v>
      </c>
      <c r="L7930">
        <v>0</v>
      </c>
      <c r="N7930" t="s">
        <v>622</v>
      </c>
      <c r="O7930">
        <v>3</v>
      </c>
      <c r="P7930">
        <v>903</v>
      </c>
      <c r="Q7930" t="s">
        <v>2476</v>
      </c>
      <c r="R7930" t="s">
        <v>201</v>
      </c>
      <c r="S7930">
        <v>1</v>
      </c>
      <c r="T7930">
        <v>1</v>
      </c>
      <c r="U7930">
        <v>90144</v>
      </c>
      <c r="V7930">
        <v>90144</v>
      </c>
    </row>
    <row r="7931" spans="1:22">
      <c r="A7931" t="s">
        <v>2333</v>
      </c>
      <c r="B7931">
        <v>50</v>
      </c>
      <c r="C7931" t="s">
        <v>54</v>
      </c>
      <c r="D7931" t="s">
        <v>2408</v>
      </c>
      <c r="E7931" t="s">
        <v>2409</v>
      </c>
      <c r="F7931">
        <v>1005</v>
      </c>
      <c r="G7931" t="s">
        <v>54</v>
      </c>
      <c r="H7931">
        <v>2860</v>
      </c>
      <c r="I7931" t="s">
        <v>67</v>
      </c>
      <c r="J7931">
        <v>3905</v>
      </c>
      <c r="K7931" t="s">
        <v>2470</v>
      </c>
      <c r="L7931">
        <v>0</v>
      </c>
      <c r="N7931" t="s">
        <v>622</v>
      </c>
      <c r="O7931">
        <v>3</v>
      </c>
      <c r="P7931">
        <v>903</v>
      </c>
      <c r="Q7931" t="s">
        <v>2476</v>
      </c>
      <c r="R7931" t="s">
        <v>201</v>
      </c>
      <c r="S7931">
        <v>1</v>
      </c>
      <c r="T7931">
        <v>1</v>
      </c>
      <c r="U7931">
        <v>51936</v>
      </c>
      <c r="V7931">
        <v>51936</v>
      </c>
    </row>
    <row r="7932" spans="1:22">
      <c r="A7932" t="s">
        <v>2333</v>
      </c>
      <c r="B7932">
        <v>50</v>
      </c>
      <c r="C7932" t="s">
        <v>54</v>
      </c>
      <c r="D7932" t="s">
        <v>2408</v>
      </c>
      <c r="E7932" t="s">
        <v>2409</v>
      </c>
      <c r="F7932">
        <v>1005</v>
      </c>
      <c r="G7932" t="s">
        <v>54</v>
      </c>
      <c r="H7932">
        <v>2860</v>
      </c>
      <c r="I7932" t="s">
        <v>67</v>
      </c>
      <c r="J7932">
        <v>3905</v>
      </c>
      <c r="K7932" t="s">
        <v>2470</v>
      </c>
      <c r="L7932">
        <v>0</v>
      </c>
      <c r="N7932" t="s">
        <v>259</v>
      </c>
      <c r="O7932">
        <v>10</v>
      </c>
      <c r="P7932">
        <v>804</v>
      </c>
      <c r="Q7932" t="s">
        <v>2477</v>
      </c>
      <c r="R7932" t="s">
        <v>201</v>
      </c>
      <c r="S7932">
        <v>1</v>
      </c>
      <c r="T7932">
        <v>1</v>
      </c>
      <c r="U7932">
        <v>52716</v>
      </c>
      <c r="V7932">
        <v>52716</v>
      </c>
    </row>
    <row r="7933" spans="1:22">
      <c r="A7933" t="s">
        <v>2333</v>
      </c>
      <c r="B7933">
        <v>50</v>
      </c>
      <c r="C7933" t="s">
        <v>54</v>
      </c>
      <c r="D7933" t="s">
        <v>2408</v>
      </c>
      <c r="E7933" t="s">
        <v>2409</v>
      </c>
      <c r="F7933">
        <v>1005</v>
      </c>
      <c r="G7933" t="s">
        <v>54</v>
      </c>
      <c r="H7933">
        <v>2860</v>
      </c>
      <c r="I7933" t="s">
        <v>67</v>
      </c>
      <c r="J7933">
        <v>3905</v>
      </c>
      <c r="K7933" t="s">
        <v>2470</v>
      </c>
      <c r="L7933">
        <v>0</v>
      </c>
      <c r="N7933" t="s">
        <v>602</v>
      </c>
      <c r="O7933">
        <v>4</v>
      </c>
      <c r="P7933">
        <v>673</v>
      </c>
      <c r="Q7933" t="s">
        <v>603</v>
      </c>
      <c r="R7933" t="s">
        <v>201</v>
      </c>
      <c r="S7933">
        <v>1</v>
      </c>
      <c r="T7933">
        <v>1</v>
      </c>
      <c r="U7933">
        <v>122928</v>
      </c>
      <c r="V7933">
        <v>122928</v>
      </c>
    </row>
    <row r="7934" spans="1:22">
      <c r="A7934" t="s">
        <v>2333</v>
      </c>
      <c r="B7934">
        <v>50</v>
      </c>
      <c r="C7934" t="s">
        <v>54</v>
      </c>
      <c r="D7934" t="s">
        <v>2408</v>
      </c>
      <c r="E7934" t="s">
        <v>2409</v>
      </c>
      <c r="F7934">
        <v>1005</v>
      </c>
      <c r="G7934" t="s">
        <v>54</v>
      </c>
      <c r="H7934">
        <v>2860</v>
      </c>
      <c r="I7934" t="s">
        <v>67</v>
      </c>
      <c r="J7934">
        <v>3905</v>
      </c>
      <c r="K7934" t="s">
        <v>2470</v>
      </c>
      <c r="L7934">
        <v>0</v>
      </c>
      <c r="N7934" t="s">
        <v>622</v>
      </c>
      <c r="O7934">
        <v>1</v>
      </c>
      <c r="P7934" t="s">
        <v>667</v>
      </c>
      <c r="Q7934" t="s">
        <v>205</v>
      </c>
      <c r="R7934" t="s">
        <v>201</v>
      </c>
      <c r="S7934">
        <v>1</v>
      </c>
      <c r="T7934">
        <v>1</v>
      </c>
      <c r="U7934">
        <v>82140</v>
      </c>
      <c r="V7934">
        <v>82140</v>
      </c>
    </row>
    <row r="7935" spans="1:22">
      <c r="A7935" t="s">
        <v>2333</v>
      </c>
      <c r="B7935">
        <v>50</v>
      </c>
      <c r="C7935" t="s">
        <v>54</v>
      </c>
      <c r="D7935" t="s">
        <v>2408</v>
      </c>
      <c r="E7935" t="s">
        <v>2409</v>
      </c>
      <c r="F7935">
        <v>1005</v>
      </c>
      <c r="G7935" t="s">
        <v>54</v>
      </c>
      <c r="H7935">
        <v>2860</v>
      </c>
      <c r="I7935" t="s">
        <v>67</v>
      </c>
      <c r="J7935">
        <v>3905</v>
      </c>
      <c r="K7935" t="s">
        <v>2470</v>
      </c>
      <c r="L7935">
        <v>0</v>
      </c>
      <c r="N7935" t="s">
        <v>622</v>
      </c>
      <c r="O7935">
        <v>1</v>
      </c>
      <c r="P7935" t="s">
        <v>667</v>
      </c>
      <c r="Q7935" t="s">
        <v>205</v>
      </c>
      <c r="R7935" t="s">
        <v>201</v>
      </c>
      <c r="S7935">
        <v>1</v>
      </c>
      <c r="T7935">
        <v>1</v>
      </c>
      <c r="U7935">
        <v>51936</v>
      </c>
      <c r="V7935">
        <v>51936</v>
      </c>
    </row>
    <row r="7936" spans="1:22">
      <c r="A7936" t="s">
        <v>2333</v>
      </c>
      <c r="B7936">
        <v>50</v>
      </c>
      <c r="C7936" t="s">
        <v>54</v>
      </c>
      <c r="D7936" t="s">
        <v>2408</v>
      </c>
      <c r="E7936" t="s">
        <v>2409</v>
      </c>
      <c r="F7936">
        <v>1005</v>
      </c>
      <c r="G7936" t="s">
        <v>54</v>
      </c>
      <c r="H7936">
        <v>2860</v>
      </c>
      <c r="I7936" t="s">
        <v>67</v>
      </c>
      <c r="J7936">
        <v>3905</v>
      </c>
      <c r="K7936" t="s">
        <v>2470</v>
      </c>
      <c r="L7936">
        <v>0</v>
      </c>
      <c r="N7936" t="s">
        <v>245</v>
      </c>
      <c r="O7936">
        <v>20</v>
      </c>
      <c r="P7936">
        <v>187</v>
      </c>
      <c r="Q7936" t="s">
        <v>656</v>
      </c>
      <c r="R7936" t="s">
        <v>201</v>
      </c>
      <c r="S7936">
        <v>1</v>
      </c>
      <c r="T7936">
        <v>1</v>
      </c>
      <c r="U7936">
        <v>106272</v>
      </c>
      <c r="V7936">
        <v>106272</v>
      </c>
    </row>
    <row r="7937" spans="1:22">
      <c r="A7937" t="s">
        <v>2333</v>
      </c>
      <c r="B7937">
        <v>50</v>
      </c>
      <c r="C7937" t="s">
        <v>54</v>
      </c>
      <c r="D7937" t="s">
        <v>2408</v>
      </c>
      <c r="E7937" t="s">
        <v>2409</v>
      </c>
      <c r="F7937">
        <v>1005</v>
      </c>
      <c r="G7937" t="s">
        <v>54</v>
      </c>
      <c r="H7937">
        <v>2860</v>
      </c>
      <c r="I7937" t="s">
        <v>67</v>
      </c>
      <c r="J7937">
        <v>3905</v>
      </c>
      <c r="K7937" t="s">
        <v>2470</v>
      </c>
      <c r="L7937">
        <v>0</v>
      </c>
      <c r="N7937" t="s">
        <v>341</v>
      </c>
      <c r="O7937">
        <v>4</v>
      </c>
      <c r="P7937">
        <v>110</v>
      </c>
      <c r="Q7937" t="s">
        <v>359</v>
      </c>
      <c r="R7937" t="s">
        <v>201</v>
      </c>
      <c r="S7937">
        <v>1</v>
      </c>
      <c r="T7937">
        <v>1</v>
      </c>
      <c r="U7937">
        <v>119100</v>
      </c>
      <c r="V7937">
        <v>119100</v>
      </c>
    </row>
    <row r="7938" spans="1:22">
      <c r="A7938" t="s">
        <v>2333</v>
      </c>
      <c r="B7938">
        <v>50</v>
      </c>
      <c r="C7938" t="s">
        <v>54</v>
      </c>
      <c r="D7938" t="s">
        <v>2408</v>
      </c>
      <c r="E7938" t="s">
        <v>2409</v>
      </c>
      <c r="F7938">
        <v>1005</v>
      </c>
      <c r="G7938" t="s">
        <v>54</v>
      </c>
      <c r="H7938">
        <v>2860</v>
      </c>
      <c r="I7938" t="s">
        <v>67</v>
      </c>
      <c r="J7938">
        <v>3905</v>
      </c>
      <c r="K7938" t="s">
        <v>2470</v>
      </c>
      <c r="L7938">
        <v>0</v>
      </c>
      <c r="N7938" t="s">
        <v>341</v>
      </c>
      <c r="O7938">
        <v>4</v>
      </c>
      <c r="P7938">
        <v>110</v>
      </c>
      <c r="Q7938" t="s">
        <v>359</v>
      </c>
      <c r="R7938" t="s">
        <v>201</v>
      </c>
      <c r="S7938">
        <v>1</v>
      </c>
      <c r="T7938">
        <v>1</v>
      </c>
      <c r="U7938">
        <v>94452</v>
      </c>
      <c r="V7938">
        <v>94452</v>
      </c>
    </row>
    <row r="7939" spans="1:22">
      <c r="A7939" t="s">
        <v>2333</v>
      </c>
      <c r="B7939">
        <v>50</v>
      </c>
      <c r="C7939" t="s">
        <v>54</v>
      </c>
      <c r="D7939" t="s">
        <v>2408</v>
      </c>
      <c r="E7939" t="s">
        <v>2409</v>
      </c>
      <c r="F7939">
        <v>1005</v>
      </c>
      <c r="G7939" t="s">
        <v>54</v>
      </c>
      <c r="H7939">
        <v>2860</v>
      </c>
      <c r="I7939" t="s">
        <v>67</v>
      </c>
      <c r="J7939">
        <v>3905</v>
      </c>
      <c r="K7939" t="s">
        <v>2470</v>
      </c>
      <c r="L7939">
        <v>0</v>
      </c>
      <c r="N7939" t="s">
        <v>341</v>
      </c>
      <c r="O7939">
        <v>4</v>
      </c>
      <c r="P7939">
        <v>110</v>
      </c>
      <c r="Q7939" t="s">
        <v>359</v>
      </c>
      <c r="R7939" t="s">
        <v>201</v>
      </c>
      <c r="S7939">
        <v>1</v>
      </c>
      <c r="T7939">
        <v>1</v>
      </c>
      <c r="U7939">
        <v>68616</v>
      </c>
      <c r="V7939">
        <v>68616</v>
      </c>
    </row>
    <row r="7940" spans="1:22">
      <c r="A7940" t="s">
        <v>2333</v>
      </c>
      <c r="B7940">
        <v>50</v>
      </c>
      <c r="C7940" t="s">
        <v>54</v>
      </c>
      <c r="D7940" t="s">
        <v>2408</v>
      </c>
      <c r="E7940" t="s">
        <v>2409</v>
      </c>
      <c r="F7940">
        <v>1005</v>
      </c>
      <c r="G7940" t="s">
        <v>54</v>
      </c>
      <c r="H7940">
        <v>2860</v>
      </c>
      <c r="I7940" t="s">
        <v>67</v>
      </c>
      <c r="J7940">
        <v>3905</v>
      </c>
      <c r="K7940" t="s">
        <v>2470</v>
      </c>
      <c r="L7940">
        <v>0</v>
      </c>
      <c r="N7940" t="s">
        <v>360</v>
      </c>
      <c r="O7940">
        <v>1</v>
      </c>
      <c r="P7940">
        <v>109</v>
      </c>
      <c r="Q7940" t="s">
        <v>361</v>
      </c>
      <c r="R7940" t="s">
        <v>201</v>
      </c>
      <c r="S7940">
        <v>1</v>
      </c>
      <c r="T7940">
        <v>1</v>
      </c>
      <c r="U7940">
        <v>98928</v>
      </c>
      <c r="V7940">
        <v>98928</v>
      </c>
    </row>
    <row r="7941" spans="1:22">
      <c r="A7941" t="s">
        <v>2333</v>
      </c>
      <c r="B7941">
        <v>50</v>
      </c>
      <c r="C7941" t="s">
        <v>54</v>
      </c>
      <c r="D7941" t="s">
        <v>2408</v>
      </c>
      <c r="E7941" t="s">
        <v>2409</v>
      </c>
      <c r="F7941">
        <v>1005</v>
      </c>
      <c r="G7941" t="s">
        <v>54</v>
      </c>
      <c r="H7941">
        <v>2860</v>
      </c>
      <c r="I7941" t="s">
        <v>67</v>
      </c>
      <c r="J7941">
        <v>3905</v>
      </c>
      <c r="K7941" t="s">
        <v>2470</v>
      </c>
      <c r="L7941">
        <v>0</v>
      </c>
      <c r="N7941" t="s">
        <v>199</v>
      </c>
      <c r="O7941">
        <v>0</v>
      </c>
      <c r="P7941">
        <v>44</v>
      </c>
      <c r="Q7941" t="s">
        <v>2337</v>
      </c>
      <c r="R7941" t="s">
        <v>201</v>
      </c>
      <c r="S7941">
        <v>0</v>
      </c>
      <c r="T7941">
        <v>0</v>
      </c>
      <c r="U7941">
        <v>2843446</v>
      </c>
      <c r="V7941">
        <v>2843446</v>
      </c>
    </row>
    <row r="7942" spans="1:22">
      <c r="A7942" t="s">
        <v>2333</v>
      </c>
      <c r="B7942">
        <v>50</v>
      </c>
      <c r="C7942" t="s">
        <v>54</v>
      </c>
      <c r="D7942" t="s">
        <v>2408</v>
      </c>
      <c r="E7942" t="s">
        <v>2409</v>
      </c>
      <c r="F7942">
        <v>1005</v>
      </c>
      <c r="G7942" t="s">
        <v>54</v>
      </c>
      <c r="H7942">
        <v>2860</v>
      </c>
      <c r="I7942" t="s">
        <v>67</v>
      </c>
      <c r="J7942">
        <v>3905</v>
      </c>
      <c r="K7942" t="s">
        <v>2470</v>
      </c>
      <c r="L7942">
        <v>0</v>
      </c>
      <c r="N7942" t="s">
        <v>199</v>
      </c>
      <c r="O7942">
        <v>0</v>
      </c>
      <c r="P7942">
        <v>15</v>
      </c>
      <c r="Q7942" t="s">
        <v>264</v>
      </c>
      <c r="R7942" t="s">
        <v>201</v>
      </c>
      <c r="S7942">
        <v>0</v>
      </c>
      <c r="T7942">
        <v>0</v>
      </c>
      <c r="U7942">
        <v>31788</v>
      </c>
      <c r="V7942">
        <v>31788</v>
      </c>
    </row>
    <row r="7943" spans="1:22">
      <c r="A7943" t="s">
        <v>2333</v>
      </c>
      <c r="B7943">
        <v>50</v>
      </c>
      <c r="C7943" t="s">
        <v>54</v>
      </c>
      <c r="D7943" t="s">
        <v>2408</v>
      </c>
      <c r="E7943" t="s">
        <v>2409</v>
      </c>
      <c r="F7943">
        <v>1005</v>
      </c>
      <c r="G7943" t="s">
        <v>54</v>
      </c>
      <c r="H7943">
        <v>2868</v>
      </c>
      <c r="I7943" t="s">
        <v>163</v>
      </c>
      <c r="J7943">
        <v>3868</v>
      </c>
      <c r="K7943" t="s">
        <v>2478</v>
      </c>
      <c r="L7943">
        <v>0</v>
      </c>
      <c r="N7943" t="s">
        <v>702</v>
      </c>
      <c r="O7943">
        <v>3</v>
      </c>
      <c r="P7943">
        <v>3023</v>
      </c>
      <c r="Q7943" t="s">
        <v>2469</v>
      </c>
      <c r="R7943" t="s">
        <v>201</v>
      </c>
      <c r="S7943">
        <v>1</v>
      </c>
      <c r="T7943">
        <v>1</v>
      </c>
      <c r="U7943">
        <v>108708</v>
      </c>
      <c r="V7943">
        <v>108708</v>
      </c>
    </row>
    <row r="7944" spans="1:22">
      <c r="A7944" t="s">
        <v>2333</v>
      </c>
      <c r="B7944">
        <v>50</v>
      </c>
      <c r="C7944" t="s">
        <v>54</v>
      </c>
      <c r="D7944" t="s">
        <v>2408</v>
      </c>
      <c r="E7944" t="s">
        <v>2409</v>
      </c>
      <c r="F7944">
        <v>1005</v>
      </c>
      <c r="G7944" t="s">
        <v>54</v>
      </c>
      <c r="H7944">
        <v>2868</v>
      </c>
      <c r="I7944" t="s">
        <v>163</v>
      </c>
      <c r="J7944">
        <v>3868</v>
      </c>
      <c r="K7944" t="s">
        <v>2478</v>
      </c>
      <c r="L7944">
        <v>0</v>
      </c>
      <c r="N7944" t="s">
        <v>199</v>
      </c>
      <c r="O7944">
        <v>0</v>
      </c>
      <c r="P7944">
        <v>44</v>
      </c>
      <c r="Q7944" t="s">
        <v>2337</v>
      </c>
      <c r="R7944" t="s">
        <v>201</v>
      </c>
      <c r="S7944">
        <v>0</v>
      </c>
      <c r="T7944">
        <v>0</v>
      </c>
      <c r="U7944">
        <v>60833</v>
      </c>
      <c r="V7944">
        <v>60833</v>
      </c>
    </row>
    <row r="7945" spans="1:22">
      <c r="A7945" t="s">
        <v>2333</v>
      </c>
      <c r="B7945">
        <v>50</v>
      </c>
      <c r="C7945" t="s">
        <v>54</v>
      </c>
      <c r="D7945" t="s">
        <v>2408</v>
      </c>
      <c r="E7945" t="s">
        <v>2409</v>
      </c>
      <c r="F7945">
        <v>1005</v>
      </c>
      <c r="G7945" t="s">
        <v>54</v>
      </c>
      <c r="H7945">
        <v>2904</v>
      </c>
      <c r="I7945" t="s">
        <v>50</v>
      </c>
      <c r="J7945">
        <v>3904</v>
      </c>
      <c r="K7945" t="s">
        <v>2479</v>
      </c>
      <c r="L7945">
        <v>0</v>
      </c>
      <c r="N7945" t="s">
        <v>266</v>
      </c>
      <c r="O7945">
        <v>9</v>
      </c>
      <c r="P7945">
        <v>9679</v>
      </c>
      <c r="Q7945" t="s">
        <v>338</v>
      </c>
      <c r="R7945" t="s">
        <v>201</v>
      </c>
      <c r="S7945">
        <v>2</v>
      </c>
      <c r="T7945">
        <v>1</v>
      </c>
      <c r="U7945">
        <v>167964</v>
      </c>
      <c r="V7945">
        <v>335928</v>
      </c>
    </row>
    <row r="7946" spans="1:22">
      <c r="A7946" t="s">
        <v>2333</v>
      </c>
      <c r="B7946">
        <v>50</v>
      </c>
      <c r="C7946" t="s">
        <v>54</v>
      </c>
      <c r="D7946" t="s">
        <v>2408</v>
      </c>
      <c r="E7946" t="s">
        <v>2409</v>
      </c>
      <c r="F7946">
        <v>1005</v>
      </c>
      <c r="G7946" t="s">
        <v>54</v>
      </c>
      <c r="H7946">
        <v>2904</v>
      </c>
      <c r="I7946" t="s">
        <v>50</v>
      </c>
      <c r="J7946">
        <v>3904</v>
      </c>
      <c r="K7946" t="s">
        <v>2479</v>
      </c>
      <c r="L7946">
        <v>0</v>
      </c>
      <c r="N7946" t="s">
        <v>343</v>
      </c>
      <c r="O7946">
        <v>10</v>
      </c>
      <c r="P7946">
        <v>3942</v>
      </c>
      <c r="Q7946" t="s">
        <v>2458</v>
      </c>
      <c r="R7946" t="s">
        <v>201</v>
      </c>
      <c r="S7946">
        <v>1</v>
      </c>
      <c r="T7946">
        <v>1</v>
      </c>
      <c r="U7946">
        <v>102444</v>
      </c>
      <c r="V7946">
        <v>102444</v>
      </c>
    </row>
    <row r="7947" spans="1:22">
      <c r="A7947" t="s">
        <v>2333</v>
      </c>
      <c r="B7947">
        <v>50</v>
      </c>
      <c r="C7947" t="s">
        <v>54</v>
      </c>
      <c r="D7947" t="s">
        <v>2408</v>
      </c>
      <c r="E7947" t="s">
        <v>2409</v>
      </c>
      <c r="F7947">
        <v>1005</v>
      </c>
      <c r="G7947" t="s">
        <v>54</v>
      </c>
      <c r="H7947">
        <v>2904</v>
      </c>
      <c r="I7947" t="s">
        <v>50</v>
      </c>
      <c r="J7947">
        <v>3904</v>
      </c>
      <c r="K7947" t="s">
        <v>2479</v>
      </c>
      <c r="L7947">
        <v>0</v>
      </c>
      <c r="N7947" t="s">
        <v>341</v>
      </c>
      <c r="O7947">
        <v>1</v>
      </c>
      <c r="P7947">
        <v>3898</v>
      </c>
      <c r="Q7947" t="s">
        <v>1674</v>
      </c>
      <c r="R7947" t="s">
        <v>201</v>
      </c>
      <c r="S7947">
        <v>1</v>
      </c>
      <c r="T7947">
        <v>1</v>
      </c>
      <c r="U7947">
        <v>68616</v>
      </c>
      <c r="V7947">
        <v>68616</v>
      </c>
    </row>
    <row r="7948" spans="1:22">
      <c r="A7948" t="s">
        <v>2333</v>
      </c>
      <c r="B7948">
        <v>50</v>
      </c>
      <c r="C7948" t="s">
        <v>54</v>
      </c>
      <c r="D7948" t="s">
        <v>2408</v>
      </c>
      <c r="E7948" t="s">
        <v>2409</v>
      </c>
      <c r="F7948">
        <v>1005</v>
      </c>
      <c r="G7948" t="s">
        <v>54</v>
      </c>
      <c r="H7948">
        <v>2904</v>
      </c>
      <c r="I7948" t="s">
        <v>50</v>
      </c>
      <c r="J7948">
        <v>3904</v>
      </c>
      <c r="K7948" t="s">
        <v>2479</v>
      </c>
      <c r="L7948">
        <v>0</v>
      </c>
      <c r="N7948" t="s">
        <v>1007</v>
      </c>
      <c r="O7948">
        <v>3</v>
      </c>
      <c r="P7948">
        <v>3077</v>
      </c>
      <c r="Q7948" t="s">
        <v>2480</v>
      </c>
      <c r="R7948" t="s">
        <v>713</v>
      </c>
      <c r="S7948">
        <v>1040</v>
      </c>
      <c r="T7948">
        <v>0</v>
      </c>
      <c r="U7948">
        <v>22.82</v>
      </c>
      <c r="V7948">
        <v>23733</v>
      </c>
    </row>
    <row r="7949" spans="1:22">
      <c r="A7949" t="s">
        <v>2333</v>
      </c>
      <c r="B7949">
        <v>50</v>
      </c>
      <c r="C7949" t="s">
        <v>54</v>
      </c>
      <c r="D7949" t="s">
        <v>2408</v>
      </c>
      <c r="E7949" t="s">
        <v>2409</v>
      </c>
      <c r="F7949">
        <v>1005</v>
      </c>
      <c r="G7949" t="s">
        <v>54</v>
      </c>
      <c r="H7949">
        <v>2904</v>
      </c>
      <c r="I7949" t="s">
        <v>50</v>
      </c>
      <c r="J7949">
        <v>3904</v>
      </c>
      <c r="K7949" t="s">
        <v>2479</v>
      </c>
      <c r="L7949">
        <v>0</v>
      </c>
      <c r="N7949" t="s">
        <v>287</v>
      </c>
      <c r="O7949">
        <v>10</v>
      </c>
      <c r="P7949">
        <v>3068</v>
      </c>
      <c r="Q7949" t="s">
        <v>2481</v>
      </c>
      <c r="R7949" t="s">
        <v>201</v>
      </c>
      <c r="S7949">
        <v>1</v>
      </c>
      <c r="T7949">
        <v>1</v>
      </c>
      <c r="U7949">
        <v>102648</v>
      </c>
      <c r="V7949">
        <v>102648</v>
      </c>
    </row>
    <row r="7950" spans="1:22">
      <c r="A7950" t="s">
        <v>2333</v>
      </c>
      <c r="B7950">
        <v>50</v>
      </c>
      <c r="C7950" t="s">
        <v>54</v>
      </c>
      <c r="D7950" t="s">
        <v>2408</v>
      </c>
      <c r="E7950" t="s">
        <v>2409</v>
      </c>
      <c r="F7950">
        <v>1005</v>
      </c>
      <c r="G7950" t="s">
        <v>54</v>
      </c>
      <c r="H7950">
        <v>2904</v>
      </c>
      <c r="I7950" t="s">
        <v>50</v>
      </c>
      <c r="J7950">
        <v>3904</v>
      </c>
      <c r="K7950" t="s">
        <v>2479</v>
      </c>
      <c r="L7950">
        <v>0</v>
      </c>
      <c r="N7950" t="s">
        <v>633</v>
      </c>
      <c r="O7950">
        <v>3</v>
      </c>
      <c r="P7950">
        <v>3066</v>
      </c>
      <c r="Q7950" t="s">
        <v>2482</v>
      </c>
      <c r="R7950" t="s">
        <v>201</v>
      </c>
      <c r="S7950">
        <v>2</v>
      </c>
      <c r="T7950">
        <v>1</v>
      </c>
      <c r="U7950">
        <v>98460</v>
      </c>
      <c r="V7950">
        <v>196920</v>
      </c>
    </row>
    <row r="7951" spans="1:22">
      <c r="A7951" t="s">
        <v>2333</v>
      </c>
      <c r="B7951">
        <v>50</v>
      </c>
      <c r="C7951" t="s">
        <v>54</v>
      </c>
      <c r="D7951" t="s">
        <v>2408</v>
      </c>
      <c r="E7951" t="s">
        <v>2409</v>
      </c>
      <c r="F7951">
        <v>1005</v>
      </c>
      <c r="G7951" t="s">
        <v>54</v>
      </c>
      <c r="H7951">
        <v>2904</v>
      </c>
      <c r="I7951" t="s">
        <v>50</v>
      </c>
      <c r="J7951">
        <v>3904</v>
      </c>
      <c r="K7951" t="s">
        <v>2479</v>
      </c>
      <c r="L7951">
        <v>0</v>
      </c>
      <c r="N7951" t="s">
        <v>633</v>
      </c>
      <c r="O7951">
        <v>3</v>
      </c>
      <c r="P7951">
        <v>3066</v>
      </c>
      <c r="Q7951" t="s">
        <v>2482</v>
      </c>
      <c r="R7951" t="s">
        <v>201</v>
      </c>
      <c r="S7951">
        <v>1</v>
      </c>
      <c r="T7951">
        <v>1</v>
      </c>
      <c r="U7951">
        <v>88524</v>
      </c>
      <c r="V7951">
        <v>88524</v>
      </c>
    </row>
    <row r="7952" spans="1:22">
      <c r="A7952" t="s">
        <v>2333</v>
      </c>
      <c r="B7952">
        <v>50</v>
      </c>
      <c r="C7952" t="s">
        <v>54</v>
      </c>
      <c r="D7952" t="s">
        <v>2408</v>
      </c>
      <c r="E7952" t="s">
        <v>2409</v>
      </c>
      <c r="F7952">
        <v>1005</v>
      </c>
      <c r="G7952" t="s">
        <v>54</v>
      </c>
      <c r="H7952">
        <v>2904</v>
      </c>
      <c r="I7952" t="s">
        <v>50</v>
      </c>
      <c r="J7952">
        <v>3904</v>
      </c>
      <c r="K7952" t="s">
        <v>2479</v>
      </c>
      <c r="L7952">
        <v>0</v>
      </c>
      <c r="N7952" t="s">
        <v>839</v>
      </c>
      <c r="O7952">
        <v>9</v>
      </c>
      <c r="P7952">
        <v>3049</v>
      </c>
      <c r="Q7952" t="s">
        <v>2483</v>
      </c>
      <c r="R7952" t="s">
        <v>713</v>
      </c>
      <c r="S7952">
        <v>78000</v>
      </c>
      <c r="T7952">
        <v>0</v>
      </c>
      <c r="U7952">
        <v>15.4</v>
      </c>
      <c r="V7952">
        <v>1201200</v>
      </c>
    </row>
    <row r="7953" spans="1:22">
      <c r="A7953" t="s">
        <v>2333</v>
      </c>
      <c r="B7953">
        <v>50</v>
      </c>
      <c r="C7953" t="s">
        <v>54</v>
      </c>
      <c r="D7953" t="s">
        <v>2408</v>
      </c>
      <c r="E7953" t="s">
        <v>2409</v>
      </c>
      <c r="F7953">
        <v>1005</v>
      </c>
      <c r="G7953" t="s">
        <v>54</v>
      </c>
      <c r="H7953">
        <v>2904</v>
      </c>
      <c r="I7953" t="s">
        <v>50</v>
      </c>
      <c r="J7953">
        <v>3904</v>
      </c>
      <c r="K7953" t="s">
        <v>2479</v>
      </c>
      <c r="L7953">
        <v>0</v>
      </c>
      <c r="N7953" t="s">
        <v>268</v>
      </c>
      <c r="O7953">
        <v>10</v>
      </c>
      <c r="P7953">
        <v>3033</v>
      </c>
      <c r="Q7953" t="s">
        <v>2484</v>
      </c>
      <c r="R7953" t="s">
        <v>201</v>
      </c>
      <c r="S7953">
        <v>1</v>
      </c>
      <c r="T7953">
        <v>1</v>
      </c>
      <c r="U7953">
        <v>108432</v>
      </c>
      <c r="V7953">
        <v>108432</v>
      </c>
    </row>
    <row r="7954" spans="1:22">
      <c r="A7954" t="s">
        <v>2333</v>
      </c>
      <c r="B7954">
        <v>50</v>
      </c>
      <c r="C7954" t="s">
        <v>54</v>
      </c>
      <c r="D7954" t="s">
        <v>2408</v>
      </c>
      <c r="E7954" t="s">
        <v>2409</v>
      </c>
      <c r="F7954">
        <v>1005</v>
      </c>
      <c r="G7954" t="s">
        <v>54</v>
      </c>
      <c r="H7954">
        <v>2904</v>
      </c>
      <c r="I7954" t="s">
        <v>50</v>
      </c>
      <c r="J7954">
        <v>3904</v>
      </c>
      <c r="K7954" t="s">
        <v>2479</v>
      </c>
      <c r="L7954">
        <v>0</v>
      </c>
      <c r="N7954" t="s">
        <v>268</v>
      </c>
      <c r="O7954">
        <v>10</v>
      </c>
      <c r="P7954">
        <v>3033</v>
      </c>
      <c r="Q7954" t="s">
        <v>2484</v>
      </c>
      <c r="R7954" t="s">
        <v>201</v>
      </c>
      <c r="S7954">
        <v>1</v>
      </c>
      <c r="T7954">
        <v>1</v>
      </c>
      <c r="U7954">
        <v>83052</v>
      </c>
      <c r="V7954">
        <v>83052</v>
      </c>
    </row>
    <row r="7955" spans="1:22">
      <c r="A7955" t="s">
        <v>2333</v>
      </c>
      <c r="B7955">
        <v>50</v>
      </c>
      <c r="C7955" t="s">
        <v>54</v>
      </c>
      <c r="D7955" t="s">
        <v>2408</v>
      </c>
      <c r="E7955" t="s">
        <v>2409</v>
      </c>
      <c r="F7955">
        <v>1005</v>
      </c>
      <c r="G7955" t="s">
        <v>54</v>
      </c>
      <c r="H7955">
        <v>2904</v>
      </c>
      <c r="I7955" t="s">
        <v>50</v>
      </c>
      <c r="J7955">
        <v>3904</v>
      </c>
      <c r="K7955" t="s">
        <v>2479</v>
      </c>
      <c r="L7955">
        <v>0</v>
      </c>
      <c r="N7955" t="s">
        <v>268</v>
      </c>
      <c r="O7955">
        <v>10</v>
      </c>
      <c r="P7955">
        <v>3033</v>
      </c>
      <c r="Q7955" t="s">
        <v>2484</v>
      </c>
      <c r="R7955" t="s">
        <v>201</v>
      </c>
      <c r="S7955">
        <v>2</v>
      </c>
      <c r="T7955">
        <v>1</v>
      </c>
      <c r="U7955">
        <v>80124</v>
      </c>
      <c r="V7955">
        <v>160248</v>
      </c>
    </row>
    <row r="7956" spans="1:22">
      <c r="A7956" t="s">
        <v>2333</v>
      </c>
      <c r="B7956">
        <v>50</v>
      </c>
      <c r="C7956" t="s">
        <v>54</v>
      </c>
      <c r="D7956" t="s">
        <v>2408</v>
      </c>
      <c r="E7956" t="s">
        <v>2409</v>
      </c>
      <c r="F7956">
        <v>1005</v>
      </c>
      <c r="G7956" t="s">
        <v>54</v>
      </c>
      <c r="H7956">
        <v>2904</v>
      </c>
      <c r="I7956" t="s">
        <v>50</v>
      </c>
      <c r="J7956">
        <v>3904</v>
      </c>
      <c r="K7956" t="s">
        <v>2479</v>
      </c>
      <c r="L7956">
        <v>0</v>
      </c>
      <c r="N7956" t="s">
        <v>268</v>
      </c>
      <c r="O7956">
        <v>10</v>
      </c>
      <c r="P7956">
        <v>3033</v>
      </c>
      <c r="Q7956" t="s">
        <v>2484</v>
      </c>
      <c r="R7956" t="s">
        <v>201</v>
      </c>
      <c r="S7956">
        <v>1</v>
      </c>
      <c r="T7956">
        <v>1</v>
      </c>
      <c r="U7956">
        <v>76476</v>
      </c>
      <c r="V7956">
        <v>76476</v>
      </c>
    </row>
    <row r="7957" spans="1:22">
      <c r="A7957" t="s">
        <v>2333</v>
      </c>
      <c r="B7957">
        <v>50</v>
      </c>
      <c r="C7957" t="s">
        <v>54</v>
      </c>
      <c r="D7957" t="s">
        <v>2408</v>
      </c>
      <c r="E7957" t="s">
        <v>2409</v>
      </c>
      <c r="F7957">
        <v>1005</v>
      </c>
      <c r="G7957" t="s">
        <v>54</v>
      </c>
      <c r="H7957">
        <v>2904</v>
      </c>
      <c r="I7957" t="s">
        <v>50</v>
      </c>
      <c r="J7957">
        <v>3904</v>
      </c>
      <c r="K7957" t="s">
        <v>2479</v>
      </c>
      <c r="L7957">
        <v>0</v>
      </c>
      <c r="N7957" t="s">
        <v>251</v>
      </c>
      <c r="O7957">
        <v>10</v>
      </c>
      <c r="P7957">
        <v>3032</v>
      </c>
      <c r="Q7957" t="s">
        <v>2485</v>
      </c>
      <c r="R7957" t="s">
        <v>201</v>
      </c>
      <c r="S7957">
        <v>1</v>
      </c>
      <c r="T7957">
        <v>1</v>
      </c>
      <c r="U7957">
        <v>118956</v>
      </c>
      <c r="V7957">
        <v>118956</v>
      </c>
    </row>
    <row r="7958" spans="1:22">
      <c r="A7958" t="s">
        <v>2333</v>
      </c>
      <c r="B7958">
        <v>50</v>
      </c>
      <c r="C7958" t="s">
        <v>54</v>
      </c>
      <c r="D7958" t="s">
        <v>2408</v>
      </c>
      <c r="E7958" t="s">
        <v>2409</v>
      </c>
      <c r="F7958">
        <v>1005</v>
      </c>
      <c r="G7958" t="s">
        <v>54</v>
      </c>
      <c r="H7958">
        <v>2904</v>
      </c>
      <c r="I7958" t="s">
        <v>50</v>
      </c>
      <c r="J7958">
        <v>3904</v>
      </c>
      <c r="K7958" t="s">
        <v>2479</v>
      </c>
      <c r="L7958">
        <v>0</v>
      </c>
      <c r="N7958" t="s">
        <v>251</v>
      </c>
      <c r="O7958">
        <v>10</v>
      </c>
      <c r="P7958">
        <v>3032</v>
      </c>
      <c r="Q7958" t="s">
        <v>2485</v>
      </c>
      <c r="R7958" t="s">
        <v>201</v>
      </c>
      <c r="S7958">
        <v>1</v>
      </c>
      <c r="T7958">
        <v>1</v>
      </c>
      <c r="U7958">
        <v>108432</v>
      </c>
      <c r="V7958">
        <v>108432</v>
      </c>
    </row>
    <row r="7959" spans="1:22">
      <c r="A7959" t="s">
        <v>2333</v>
      </c>
      <c r="B7959">
        <v>50</v>
      </c>
      <c r="C7959" t="s">
        <v>54</v>
      </c>
      <c r="D7959" t="s">
        <v>2408</v>
      </c>
      <c r="E7959" t="s">
        <v>2409</v>
      </c>
      <c r="F7959">
        <v>1005</v>
      </c>
      <c r="G7959" t="s">
        <v>54</v>
      </c>
      <c r="H7959">
        <v>2904</v>
      </c>
      <c r="I7959" t="s">
        <v>50</v>
      </c>
      <c r="J7959">
        <v>3904</v>
      </c>
      <c r="K7959" t="s">
        <v>2479</v>
      </c>
      <c r="L7959">
        <v>0</v>
      </c>
      <c r="N7959" t="s">
        <v>251</v>
      </c>
      <c r="O7959">
        <v>10</v>
      </c>
      <c r="P7959">
        <v>3032</v>
      </c>
      <c r="Q7959" t="s">
        <v>2485</v>
      </c>
      <c r="R7959" t="s">
        <v>201</v>
      </c>
      <c r="S7959">
        <v>1</v>
      </c>
      <c r="T7959">
        <v>1</v>
      </c>
      <c r="U7959">
        <v>98832</v>
      </c>
      <c r="V7959">
        <v>98832</v>
      </c>
    </row>
    <row r="7960" spans="1:22">
      <c r="A7960" t="s">
        <v>2333</v>
      </c>
      <c r="B7960">
        <v>50</v>
      </c>
      <c r="C7960" t="s">
        <v>54</v>
      </c>
      <c r="D7960" t="s">
        <v>2408</v>
      </c>
      <c r="E7960" t="s">
        <v>2409</v>
      </c>
      <c r="F7960">
        <v>1005</v>
      </c>
      <c r="G7960" t="s">
        <v>54</v>
      </c>
      <c r="H7960">
        <v>2904</v>
      </c>
      <c r="I7960" t="s">
        <v>50</v>
      </c>
      <c r="J7960">
        <v>3904</v>
      </c>
      <c r="K7960" t="s">
        <v>2479</v>
      </c>
      <c r="L7960">
        <v>0</v>
      </c>
      <c r="N7960" t="s">
        <v>251</v>
      </c>
      <c r="O7960">
        <v>10</v>
      </c>
      <c r="P7960">
        <v>3032</v>
      </c>
      <c r="Q7960" t="s">
        <v>2485</v>
      </c>
      <c r="R7960" t="s">
        <v>201</v>
      </c>
      <c r="S7960">
        <v>1</v>
      </c>
      <c r="T7960">
        <v>1</v>
      </c>
      <c r="U7960">
        <v>94332</v>
      </c>
      <c r="V7960">
        <v>94332</v>
      </c>
    </row>
    <row r="7961" spans="1:22">
      <c r="A7961" t="s">
        <v>2333</v>
      </c>
      <c r="B7961">
        <v>50</v>
      </c>
      <c r="C7961" t="s">
        <v>54</v>
      </c>
      <c r="D7961" t="s">
        <v>2408</v>
      </c>
      <c r="E7961" t="s">
        <v>2409</v>
      </c>
      <c r="F7961">
        <v>1005</v>
      </c>
      <c r="G7961" t="s">
        <v>54</v>
      </c>
      <c r="H7961">
        <v>2904</v>
      </c>
      <c r="I7961" t="s">
        <v>50</v>
      </c>
      <c r="J7961">
        <v>3904</v>
      </c>
      <c r="K7961" t="s">
        <v>2479</v>
      </c>
      <c r="L7961">
        <v>0</v>
      </c>
      <c r="N7961" t="s">
        <v>251</v>
      </c>
      <c r="O7961">
        <v>10</v>
      </c>
      <c r="P7961">
        <v>3032</v>
      </c>
      <c r="Q7961" t="s">
        <v>2485</v>
      </c>
      <c r="R7961" t="s">
        <v>201</v>
      </c>
      <c r="S7961">
        <v>2</v>
      </c>
      <c r="T7961">
        <v>1</v>
      </c>
      <c r="U7961">
        <v>85128</v>
      </c>
      <c r="V7961">
        <v>170256</v>
      </c>
    </row>
    <row r="7962" spans="1:22">
      <c r="A7962" t="s">
        <v>2333</v>
      </c>
      <c r="B7962">
        <v>50</v>
      </c>
      <c r="C7962" t="s">
        <v>54</v>
      </c>
      <c r="D7962" t="s">
        <v>2408</v>
      </c>
      <c r="E7962" t="s">
        <v>2409</v>
      </c>
      <c r="F7962">
        <v>1005</v>
      </c>
      <c r="G7962" t="s">
        <v>54</v>
      </c>
      <c r="H7962">
        <v>2904</v>
      </c>
      <c r="I7962" t="s">
        <v>50</v>
      </c>
      <c r="J7962">
        <v>3904</v>
      </c>
      <c r="K7962" t="s">
        <v>2479</v>
      </c>
      <c r="L7962">
        <v>0</v>
      </c>
      <c r="N7962" t="s">
        <v>360</v>
      </c>
      <c r="O7962">
        <v>3</v>
      </c>
      <c r="P7962">
        <v>3025</v>
      </c>
      <c r="Q7962" t="s">
        <v>2467</v>
      </c>
      <c r="R7962" t="s">
        <v>201</v>
      </c>
      <c r="S7962">
        <v>3</v>
      </c>
      <c r="T7962">
        <v>1</v>
      </c>
      <c r="U7962">
        <v>98928</v>
      </c>
      <c r="V7962">
        <v>296784</v>
      </c>
    </row>
    <row r="7963" spans="1:22">
      <c r="A7963" t="s">
        <v>2333</v>
      </c>
      <c r="B7963">
        <v>50</v>
      </c>
      <c r="C7963" t="s">
        <v>54</v>
      </c>
      <c r="D7963" t="s">
        <v>2408</v>
      </c>
      <c r="E7963" t="s">
        <v>2409</v>
      </c>
      <c r="F7963">
        <v>1005</v>
      </c>
      <c r="G7963" t="s">
        <v>54</v>
      </c>
      <c r="H7963">
        <v>2904</v>
      </c>
      <c r="I7963" t="s">
        <v>50</v>
      </c>
      <c r="J7963">
        <v>3904</v>
      </c>
      <c r="K7963" t="s">
        <v>2479</v>
      </c>
      <c r="L7963">
        <v>0</v>
      </c>
      <c r="N7963" t="s">
        <v>360</v>
      </c>
      <c r="O7963">
        <v>3</v>
      </c>
      <c r="P7963">
        <v>3025</v>
      </c>
      <c r="Q7963" t="s">
        <v>2467</v>
      </c>
      <c r="R7963" t="s">
        <v>201</v>
      </c>
      <c r="S7963">
        <v>2</v>
      </c>
      <c r="T7963">
        <v>1</v>
      </c>
      <c r="U7963">
        <v>64488</v>
      </c>
      <c r="V7963">
        <v>128976</v>
      </c>
    </row>
    <row r="7964" spans="1:22">
      <c r="A7964" t="s">
        <v>2333</v>
      </c>
      <c r="B7964">
        <v>50</v>
      </c>
      <c r="C7964" t="s">
        <v>54</v>
      </c>
      <c r="D7964" t="s">
        <v>2408</v>
      </c>
      <c r="E7964" t="s">
        <v>2409</v>
      </c>
      <c r="F7964">
        <v>1005</v>
      </c>
      <c r="G7964" t="s">
        <v>54</v>
      </c>
      <c r="H7964">
        <v>2904</v>
      </c>
      <c r="I7964" t="s">
        <v>50</v>
      </c>
      <c r="J7964">
        <v>3904</v>
      </c>
      <c r="K7964" t="s">
        <v>2479</v>
      </c>
      <c r="L7964">
        <v>0</v>
      </c>
      <c r="N7964" t="s">
        <v>360</v>
      </c>
      <c r="O7964">
        <v>3</v>
      </c>
      <c r="P7964">
        <v>3025</v>
      </c>
      <c r="Q7964" t="s">
        <v>2467</v>
      </c>
      <c r="R7964" t="s">
        <v>201</v>
      </c>
      <c r="S7964">
        <v>7</v>
      </c>
      <c r="T7964">
        <v>1</v>
      </c>
      <c r="U7964">
        <v>61548</v>
      </c>
      <c r="V7964">
        <v>430836</v>
      </c>
    </row>
    <row r="7965" spans="1:22">
      <c r="A7965" t="s">
        <v>2333</v>
      </c>
      <c r="B7965">
        <v>50</v>
      </c>
      <c r="C7965" t="s">
        <v>54</v>
      </c>
      <c r="D7965" t="s">
        <v>2408</v>
      </c>
      <c r="E7965" t="s">
        <v>2409</v>
      </c>
      <c r="F7965">
        <v>1005</v>
      </c>
      <c r="G7965" t="s">
        <v>54</v>
      </c>
      <c r="H7965">
        <v>2904</v>
      </c>
      <c r="I7965" t="s">
        <v>50</v>
      </c>
      <c r="J7965">
        <v>3904</v>
      </c>
      <c r="K7965" t="s">
        <v>2479</v>
      </c>
      <c r="L7965">
        <v>0</v>
      </c>
      <c r="N7965" t="s">
        <v>360</v>
      </c>
      <c r="O7965">
        <v>3</v>
      </c>
      <c r="P7965">
        <v>3025</v>
      </c>
      <c r="Q7965" t="s">
        <v>2467</v>
      </c>
      <c r="R7965" t="s">
        <v>201</v>
      </c>
      <c r="S7965">
        <v>10</v>
      </c>
      <c r="T7965">
        <v>1</v>
      </c>
      <c r="U7965">
        <v>57000</v>
      </c>
      <c r="V7965">
        <v>570000</v>
      </c>
    </row>
    <row r="7966" spans="1:22">
      <c r="A7966" t="s">
        <v>2333</v>
      </c>
      <c r="B7966">
        <v>50</v>
      </c>
      <c r="C7966" t="s">
        <v>54</v>
      </c>
      <c r="D7966" t="s">
        <v>2408</v>
      </c>
      <c r="E7966" t="s">
        <v>2409</v>
      </c>
      <c r="F7966">
        <v>1005</v>
      </c>
      <c r="G7966" t="s">
        <v>54</v>
      </c>
      <c r="H7966">
        <v>2904</v>
      </c>
      <c r="I7966" t="s">
        <v>50</v>
      </c>
      <c r="J7966">
        <v>3904</v>
      </c>
      <c r="K7966" t="s">
        <v>2479</v>
      </c>
      <c r="L7966">
        <v>0</v>
      </c>
      <c r="N7966" t="s">
        <v>702</v>
      </c>
      <c r="O7966">
        <v>3</v>
      </c>
      <c r="P7966">
        <v>3024</v>
      </c>
      <c r="Q7966" t="s">
        <v>2486</v>
      </c>
      <c r="R7966" t="s">
        <v>713</v>
      </c>
      <c r="S7966">
        <v>3120</v>
      </c>
      <c r="T7966">
        <v>0</v>
      </c>
      <c r="U7966">
        <v>39.6</v>
      </c>
      <c r="V7966">
        <v>123552</v>
      </c>
    </row>
    <row r="7967" spans="1:22">
      <c r="A7967" t="s">
        <v>2333</v>
      </c>
      <c r="B7967">
        <v>50</v>
      </c>
      <c r="C7967" t="s">
        <v>54</v>
      </c>
      <c r="D7967" t="s">
        <v>2408</v>
      </c>
      <c r="E7967" t="s">
        <v>2409</v>
      </c>
      <c r="F7967">
        <v>1005</v>
      </c>
      <c r="G7967" t="s">
        <v>54</v>
      </c>
      <c r="H7967">
        <v>2904</v>
      </c>
      <c r="I7967" t="s">
        <v>50</v>
      </c>
      <c r="J7967">
        <v>3904</v>
      </c>
      <c r="K7967" t="s">
        <v>2479</v>
      </c>
      <c r="L7967">
        <v>0</v>
      </c>
      <c r="N7967" t="s">
        <v>702</v>
      </c>
      <c r="O7967">
        <v>3</v>
      </c>
      <c r="P7967">
        <v>3023</v>
      </c>
      <c r="Q7967" t="s">
        <v>2469</v>
      </c>
      <c r="R7967" t="s">
        <v>201</v>
      </c>
      <c r="S7967">
        <v>1</v>
      </c>
      <c r="T7967">
        <v>1</v>
      </c>
      <c r="U7967">
        <v>108708</v>
      </c>
      <c r="V7967">
        <v>108708</v>
      </c>
    </row>
    <row r="7968" spans="1:22">
      <c r="A7968" t="s">
        <v>2333</v>
      </c>
      <c r="B7968">
        <v>50</v>
      </c>
      <c r="C7968" t="s">
        <v>54</v>
      </c>
      <c r="D7968" t="s">
        <v>2408</v>
      </c>
      <c r="E7968" t="s">
        <v>2409</v>
      </c>
      <c r="F7968">
        <v>1005</v>
      </c>
      <c r="G7968" t="s">
        <v>54</v>
      </c>
      <c r="H7968">
        <v>2904</v>
      </c>
      <c r="I7968" t="s">
        <v>50</v>
      </c>
      <c r="J7968">
        <v>3904</v>
      </c>
      <c r="K7968" t="s">
        <v>2479</v>
      </c>
      <c r="L7968">
        <v>0</v>
      </c>
      <c r="N7968" t="s">
        <v>702</v>
      </c>
      <c r="O7968">
        <v>3</v>
      </c>
      <c r="P7968">
        <v>3023</v>
      </c>
      <c r="Q7968" t="s">
        <v>2469</v>
      </c>
      <c r="R7968" t="s">
        <v>201</v>
      </c>
      <c r="S7968">
        <v>1</v>
      </c>
      <c r="T7968">
        <v>1</v>
      </c>
      <c r="U7968">
        <v>88524</v>
      </c>
      <c r="V7968">
        <v>88524</v>
      </c>
    </row>
    <row r="7969" spans="1:22">
      <c r="A7969" t="s">
        <v>2333</v>
      </c>
      <c r="B7969">
        <v>50</v>
      </c>
      <c r="C7969" t="s">
        <v>54</v>
      </c>
      <c r="D7969" t="s">
        <v>2408</v>
      </c>
      <c r="E7969" t="s">
        <v>2409</v>
      </c>
      <c r="F7969">
        <v>1005</v>
      </c>
      <c r="G7969" t="s">
        <v>54</v>
      </c>
      <c r="H7969">
        <v>2904</v>
      </c>
      <c r="I7969" t="s">
        <v>50</v>
      </c>
      <c r="J7969">
        <v>3904</v>
      </c>
      <c r="K7969" t="s">
        <v>2479</v>
      </c>
      <c r="L7969">
        <v>0</v>
      </c>
      <c r="N7969" t="s">
        <v>702</v>
      </c>
      <c r="O7969">
        <v>3</v>
      </c>
      <c r="P7969">
        <v>3023</v>
      </c>
      <c r="Q7969" t="s">
        <v>2469</v>
      </c>
      <c r="R7969" t="s">
        <v>201</v>
      </c>
      <c r="S7969">
        <v>1</v>
      </c>
      <c r="T7969">
        <v>1</v>
      </c>
      <c r="U7969">
        <v>84192</v>
      </c>
      <c r="V7969">
        <v>84192</v>
      </c>
    </row>
    <row r="7970" spans="1:22">
      <c r="A7970" t="s">
        <v>2333</v>
      </c>
      <c r="B7970">
        <v>50</v>
      </c>
      <c r="C7970" t="s">
        <v>54</v>
      </c>
      <c r="D7970" t="s">
        <v>2408</v>
      </c>
      <c r="E7970" t="s">
        <v>2409</v>
      </c>
      <c r="F7970">
        <v>1005</v>
      </c>
      <c r="G7970" t="s">
        <v>54</v>
      </c>
      <c r="H7970">
        <v>2904</v>
      </c>
      <c r="I7970" t="s">
        <v>50</v>
      </c>
      <c r="J7970">
        <v>3904</v>
      </c>
      <c r="K7970" t="s">
        <v>2479</v>
      </c>
      <c r="L7970">
        <v>0</v>
      </c>
      <c r="N7970" t="s">
        <v>702</v>
      </c>
      <c r="O7970">
        <v>3</v>
      </c>
      <c r="P7970">
        <v>3023</v>
      </c>
      <c r="Q7970" t="s">
        <v>2469</v>
      </c>
      <c r="R7970" t="s">
        <v>201</v>
      </c>
      <c r="S7970">
        <v>1</v>
      </c>
      <c r="T7970">
        <v>1</v>
      </c>
      <c r="U7970">
        <v>80196</v>
      </c>
      <c r="V7970">
        <v>80196</v>
      </c>
    </row>
    <row r="7971" spans="1:22">
      <c r="A7971" t="s">
        <v>2333</v>
      </c>
      <c r="B7971">
        <v>50</v>
      </c>
      <c r="C7971" t="s">
        <v>54</v>
      </c>
      <c r="D7971" t="s">
        <v>2408</v>
      </c>
      <c r="E7971" t="s">
        <v>2409</v>
      </c>
      <c r="F7971">
        <v>1005</v>
      </c>
      <c r="G7971" t="s">
        <v>54</v>
      </c>
      <c r="H7971">
        <v>2904</v>
      </c>
      <c r="I7971" t="s">
        <v>50</v>
      </c>
      <c r="J7971">
        <v>3904</v>
      </c>
      <c r="K7971" t="s">
        <v>2479</v>
      </c>
      <c r="L7971">
        <v>0</v>
      </c>
      <c r="N7971" t="s">
        <v>702</v>
      </c>
      <c r="O7971">
        <v>3</v>
      </c>
      <c r="P7971">
        <v>3023</v>
      </c>
      <c r="Q7971" t="s">
        <v>2469</v>
      </c>
      <c r="R7971" t="s">
        <v>201</v>
      </c>
      <c r="S7971">
        <v>1</v>
      </c>
      <c r="T7971">
        <v>1</v>
      </c>
      <c r="U7971">
        <v>76464</v>
      </c>
      <c r="V7971">
        <v>76464</v>
      </c>
    </row>
    <row r="7972" spans="1:22">
      <c r="A7972" t="s">
        <v>2333</v>
      </c>
      <c r="B7972">
        <v>50</v>
      </c>
      <c r="C7972" t="s">
        <v>54</v>
      </c>
      <c r="D7972" t="s">
        <v>2408</v>
      </c>
      <c r="E7972" t="s">
        <v>2409</v>
      </c>
      <c r="F7972">
        <v>1005</v>
      </c>
      <c r="G7972" t="s">
        <v>54</v>
      </c>
      <c r="H7972">
        <v>2904</v>
      </c>
      <c r="I7972" t="s">
        <v>50</v>
      </c>
      <c r="J7972">
        <v>3904</v>
      </c>
      <c r="K7972" t="s">
        <v>2479</v>
      </c>
      <c r="L7972">
        <v>0</v>
      </c>
      <c r="N7972" t="s">
        <v>702</v>
      </c>
      <c r="O7972">
        <v>3</v>
      </c>
      <c r="P7972">
        <v>3023</v>
      </c>
      <c r="Q7972" t="s">
        <v>2469</v>
      </c>
      <c r="R7972" t="s">
        <v>201</v>
      </c>
      <c r="S7972">
        <v>1</v>
      </c>
      <c r="T7972">
        <v>1</v>
      </c>
      <c r="U7972">
        <v>74160</v>
      </c>
      <c r="V7972">
        <v>74160</v>
      </c>
    </row>
    <row r="7973" spans="1:22">
      <c r="A7973" t="s">
        <v>2333</v>
      </c>
      <c r="B7973">
        <v>50</v>
      </c>
      <c r="C7973" t="s">
        <v>54</v>
      </c>
      <c r="D7973" t="s">
        <v>2408</v>
      </c>
      <c r="E7973" t="s">
        <v>2409</v>
      </c>
      <c r="F7973">
        <v>1005</v>
      </c>
      <c r="G7973" t="s">
        <v>54</v>
      </c>
      <c r="H7973">
        <v>2904</v>
      </c>
      <c r="I7973" t="s">
        <v>50</v>
      </c>
      <c r="J7973">
        <v>3904</v>
      </c>
      <c r="K7973" t="s">
        <v>2479</v>
      </c>
      <c r="L7973">
        <v>0</v>
      </c>
      <c r="N7973" t="s">
        <v>268</v>
      </c>
      <c r="O7973">
        <v>10</v>
      </c>
      <c r="P7973">
        <v>3022</v>
      </c>
      <c r="Q7973" t="s">
        <v>2487</v>
      </c>
      <c r="R7973" t="s">
        <v>201</v>
      </c>
      <c r="S7973">
        <v>1</v>
      </c>
      <c r="T7973">
        <v>1</v>
      </c>
      <c r="U7973">
        <v>80124</v>
      </c>
      <c r="V7973">
        <v>80124</v>
      </c>
    </row>
    <row r="7974" spans="1:22">
      <c r="A7974" t="s">
        <v>2333</v>
      </c>
      <c r="B7974">
        <v>50</v>
      </c>
      <c r="C7974" t="s">
        <v>54</v>
      </c>
      <c r="D7974" t="s">
        <v>2408</v>
      </c>
      <c r="E7974" t="s">
        <v>2409</v>
      </c>
      <c r="F7974">
        <v>1005</v>
      </c>
      <c r="G7974" t="s">
        <v>54</v>
      </c>
      <c r="H7974">
        <v>2904</v>
      </c>
      <c r="I7974" t="s">
        <v>50</v>
      </c>
      <c r="J7974">
        <v>3904</v>
      </c>
      <c r="K7974" t="s">
        <v>2479</v>
      </c>
      <c r="L7974">
        <v>0</v>
      </c>
      <c r="N7974" t="s">
        <v>253</v>
      </c>
      <c r="O7974">
        <v>10</v>
      </c>
      <c r="P7974">
        <v>3021</v>
      </c>
      <c r="Q7974" t="s">
        <v>2488</v>
      </c>
      <c r="R7974" t="s">
        <v>201</v>
      </c>
      <c r="S7974">
        <v>1</v>
      </c>
      <c r="T7974">
        <v>1</v>
      </c>
      <c r="U7974">
        <v>93384</v>
      </c>
      <c r="V7974">
        <v>93384</v>
      </c>
    </row>
    <row r="7975" spans="1:22">
      <c r="A7975" t="s">
        <v>2333</v>
      </c>
      <c r="B7975">
        <v>50</v>
      </c>
      <c r="C7975" t="s">
        <v>54</v>
      </c>
      <c r="D7975" t="s">
        <v>2408</v>
      </c>
      <c r="E7975" t="s">
        <v>2409</v>
      </c>
      <c r="F7975">
        <v>1005</v>
      </c>
      <c r="G7975" t="s">
        <v>54</v>
      </c>
      <c r="H7975">
        <v>2904</v>
      </c>
      <c r="I7975" t="s">
        <v>50</v>
      </c>
      <c r="J7975">
        <v>3904</v>
      </c>
      <c r="K7975" t="s">
        <v>2479</v>
      </c>
      <c r="L7975">
        <v>0</v>
      </c>
      <c r="N7975" t="s">
        <v>274</v>
      </c>
      <c r="O7975">
        <v>0</v>
      </c>
      <c r="P7975">
        <v>3018</v>
      </c>
      <c r="Q7975" t="s">
        <v>1214</v>
      </c>
      <c r="R7975" t="s">
        <v>201</v>
      </c>
      <c r="S7975">
        <v>1</v>
      </c>
      <c r="T7975">
        <v>1</v>
      </c>
      <c r="U7975">
        <v>146808</v>
      </c>
      <c r="V7975">
        <v>146808</v>
      </c>
    </row>
    <row r="7976" spans="1:22">
      <c r="A7976" t="s">
        <v>2333</v>
      </c>
      <c r="B7976">
        <v>50</v>
      </c>
      <c r="C7976" t="s">
        <v>54</v>
      </c>
      <c r="D7976" t="s">
        <v>2408</v>
      </c>
      <c r="E7976" t="s">
        <v>2409</v>
      </c>
      <c r="F7976">
        <v>1005</v>
      </c>
      <c r="G7976" t="s">
        <v>54</v>
      </c>
      <c r="H7976">
        <v>2904</v>
      </c>
      <c r="I7976" t="s">
        <v>50</v>
      </c>
      <c r="J7976">
        <v>3904</v>
      </c>
      <c r="K7976" t="s">
        <v>2479</v>
      </c>
      <c r="L7976">
        <v>0</v>
      </c>
      <c r="N7976" t="s">
        <v>253</v>
      </c>
      <c r="O7976">
        <v>20</v>
      </c>
      <c r="P7976">
        <v>3011</v>
      </c>
      <c r="Q7976" t="s">
        <v>1218</v>
      </c>
      <c r="R7976" t="s">
        <v>201</v>
      </c>
      <c r="S7976">
        <v>2</v>
      </c>
      <c r="T7976">
        <v>1</v>
      </c>
      <c r="U7976">
        <v>97836</v>
      </c>
      <c r="V7976">
        <v>195672</v>
      </c>
    </row>
    <row r="7977" spans="1:22">
      <c r="A7977" t="s">
        <v>2333</v>
      </c>
      <c r="B7977">
        <v>50</v>
      </c>
      <c r="C7977" t="s">
        <v>54</v>
      </c>
      <c r="D7977" t="s">
        <v>2408</v>
      </c>
      <c r="E7977" t="s">
        <v>2409</v>
      </c>
      <c r="F7977">
        <v>1005</v>
      </c>
      <c r="G7977" t="s">
        <v>54</v>
      </c>
      <c r="H7977">
        <v>2904</v>
      </c>
      <c r="I7977" t="s">
        <v>50</v>
      </c>
      <c r="J7977">
        <v>3904</v>
      </c>
      <c r="K7977" t="s">
        <v>2479</v>
      </c>
      <c r="L7977">
        <v>0</v>
      </c>
      <c r="N7977" t="s">
        <v>356</v>
      </c>
      <c r="O7977">
        <v>3</v>
      </c>
      <c r="P7977">
        <v>2989</v>
      </c>
      <c r="Q7977" t="s">
        <v>2351</v>
      </c>
      <c r="R7977" t="s">
        <v>201</v>
      </c>
      <c r="S7977">
        <v>1</v>
      </c>
      <c r="T7977">
        <v>1</v>
      </c>
      <c r="U7977">
        <v>107628</v>
      </c>
      <c r="V7977">
        <v>107628</v>
      </c>
    </row>
    <row r="7978" spans="1:22">
      <c r="A7978" t="s">
        <v>2333</v>
      </c>
      <c r="B7978">
        <v>50</v>
      </c>
      <c r="C7978" t="s">
        <v>54</v>
      </c>
      <c r="D7978" t="s">
        <v>2408</v>
      </c>
      <c r="E7978" t="s">
        <v>2409</v>
      </c>
      <c r="F7978">
        <v>1005</v>
      </c>
      <c r="G7978" t="s">
        <v>54</v>
      </c>
      <c r="H7978">
        <v>2904</v>
      </c>
      <c r="I7978" t="s">
        <v>50</v>
      </c>
      <c r="J7978">
        <v>3904</v>
      </c>
      <c r="K7978" t="s">
        <v>2479</v>
      </c>
      <c r="L7978">
        <v>0</v>
      </c>
      <c r="N7978" t="s">
        <v>372</v>
      </c>
      <c r="O7978">
        <v>4</v>
      </c>
      <c r="P7978">
        <v>1912</v>
      </c>
      <c r="Q7978" t="s">
        <v>608</v>
      </c>
      <c r="R7978" t="s">
        <v>201</v>
      </c>
      <c r="S7978">
        <v>1</v>
      </c>
      <c r="T7978">
        <v>1</v>
      </c>
      <c r="U7978">
        <v>85200</v>
      </c>
      <c r="V7978">
        <v>85200</v>
      </c>
    </row>
    <row r="7979" spans="1:22">
      <c r="A7979" t="s">
        <v>2333</v>
      </c>
      <c r="B7979">
        <v>50</v>
      </c>
      <c r="C7979" t="s">
        <v>54</v>
      </c>
      <c r="D7979" t="s">
        <v>2408</v>
      </c>
      <c r="E7979" t="s">
        <v>2409</v>
      </c>
      <c r="F7979">
        <v>1005</v>
      </c>
      <c r="G7979" t="s">
        <v>54</v>
      </c>
      <c r="H7979">
        <v>2904</v>
      </c>
      <c r="I7979" t="s">
        <v>50</v>
      </c>
      <c r="J7979">
        <v>3904</v>
      </c>
      <c r="K7979" t="s">
        <v>2479</v>
      </c>
      <c r="L7979">
        <v>0</v>
      </c>
      <c r="N7979" t="s">
        <v>372</v>
      </c>
      <c r="O7979">
        <v>4</v>
      </c>
      <c r="P7979">
        <v>1912</v>
      </c>
      <c r="Q7979" t="s">
        <v>608</v>
      </c>
      <c r="R7979" t="s">
        <v>201</v>
      </c>
      <c r="S7979">
        <v>3</v>
      </c>
      <c r="T7979">
        <v>1</v>
      </c>
      <c r="U7979">
        <v>81324</v>
      </c>
      <c r="V7979">
        <v>243972</v>
      </c>
    </row>
    <row r="7980" spans="1:22">
      <c r="A7980" t="s">
        <v>2333</v>
      </c>
      <c r="B7980">
        <v>50</v>
      </c>
      <c r="C7980" t="s">
        <v>54</v>
      </c>
      <c r="D7980" t="s">
        <v>2408</v>
      </c>
      <c r="E7980" t="s">
        <v>2409</v>
      </c>
      <c r="F7980">
        <v>1005</v>
      </c>
      <c r="G7980" t="s">
        <v>54</v>
      </c>
      <c r="H7980">
        <v>2904</v>
      </c>
      <c r="I7980" t="s">
        <v>50</v>
      </c>
      <c r="J7980">
        <v>3904</v>
      </c>
      <c r="K7980" t="s">
        <v>2479</v>
      </c>
      <c r="L7980">
        <v>0</v>
      </c>
      <c r="N7980" t="s">
        <v>372</v>
      </c>
      <c r="O7980">
        <v>4</v>
      </c>
      <c r="P7980">
        <v>1912</v>
      </c>
      <c r="Q7980" t="s">
        <v>608</v>
      </c>
      <c r="R7980" t="s">
        <v>201</v>
      </c>
      <c r="S7980">
        <v>1</v>
      </c>
      <c r="T7980">
        <v>1</v>
      </c>
      <c r="U7980">
        <v>75336</v>
      </c>
      <c r="V7980">
        <v>75336</v>
      </c>
    </row>
    <row r="7981" spans="1:22">
      <c r="A7981" t="s">
        <v>2333</v>
      </c>
      <c r="B7981">
        <v>50</v>
      </c>
      <c r="C7981" t="s">
        <v>54</v>
      </c>
      <c r="D7981" t="s">
        <v>2408</v>
      </c>
      <c r="E7981" t="s">
        <v>2409</v>
      </c>
      <c r="F7981">
        <v>1005</v>
      </c>
      <c r="G7981" t="s">
        <v>54</v>
      </c>
      <c r="H7981">
        <v>2904</v>
      </c>
      <c r="I7981" t="s">
        <v>50</v>
      </c>
      <c r="J7981">
        <v>3904</v>
      </c>
      <c r="K7981" t="s">
        <v>2479</v>
      </c>
      <c r="L7981">
        <v>0</v>
      </c>
      <c r="N7981" t="s">
        <v>281</v>
      </c>
      <c r="O7981">
        <v>20</v>
      </c>
      <c r="P7981">
        <v>1141</v>
      </c>
      <c r="Q7981" t="s">
        <v>332</v>
      </c>
      <c r="R7981" t="s">
        <v>201</v>
      </c>
      <c r="S7981">
        <v>1</v>
      </c>
      <c r="T7981">
        <v>1</v>
      </c>
      <c r="U7981">
        <v>89112</v>
      </c>
      <c r="V7981">
        <v>89112</v>
      </c>
    </row>
    <row r="7982" spans="1:22">
      <c r="A7982" t="s">
        <v>2333</v>
      </c>
      <c r="B7982">
        <v>50</v>
      </c>
      <c r="C7982" t="s">
        <v>54</v>
      </c>
      <c r="D7982" t="s">
        <v>2408</v>
      </c>
      <c r="E7982" t="s">
        <v>2409</v>
      </c>
      <c r="F7982">
        <v>1005</v>
      </c>
      <c r="G7982" t="s">
        <v>54</v>
      </c>
      <c r="H7982">
        <v>2904</v>
      </c>
      <c r="I7982" t="s">
        <v>50</v>
      </c>
      <c r="J7982">
        <v>3904</v>
      </c>
      <c r="K7982" t="s">
        <v>2479</v>
      </c>
      <c r="L7982">
        <v>0</v>
      </c>
      <c r="N7982" t="s">
        <v>1007</v>
      </c>
      <c r="O7982">
        <v>1</v>
      </c>
      <c r="P7982">
        <v>459</v>
      </c>
      <c r="Q7982" t="s">
        <v>1355</v>
      </c>
      <c r="R7982" t="s">
        <v>201</v>
      </c>
      <c r="S7982">
        <v>1</v>
      </c>
      <c r="T7982">
        <v>1</v>
      </c>
      <c r="U7982">
        <v>71436</v>
      </c>
      <c r="V7982">
        <v>71436</v>
      </c>
    </row>
    <row r="7983" spans="1:22">
      <c r="A7983" t="s">
        <v>2333</v>
      </c>
      <c r="B7983">
        <v>50</v>
      </c>
      <c r="C7983" t="s">
        <v>54</v>
      </c>
      <c r="D7983" t="s">
        <v>2408</v>
      </c>
      <c r="E7983" t="s">
        <v>2409</v>
      </c>
      <c r="F7983">
        <v>1005</v>
      </c>
      <c r="G7983" t="s">
        <v>54</v>
      </c>
      <c r="H7983">
        <v>2904</v>
      </c>
      <c r="I7983" t="s">
        <v>50</v>
      </c>
      <c r="J7983">
        <v>3904</v>
      </c>
      <c r="K7983" t="s">
        <v>2479</v>
      </c>
      <c r="L7983">
        <v>0</v>
      </c>
      <c r="N7983" t="s">
        <v>1007</v>
      </c>
      <c r="O7983">
        <v>1</v>
      </c>
      <c r="P7983">
        <v>459</v>
      </c>
      <c r="Q7983" t="s">
        <v>1355</v>
      </c>
      <c r="R7983" t="s">
        <v>201</v>
      </c>
      <c r="S7983">
        <v>1</v>
      </c>
      <c r="T7983">
        <v>1</v>
      </c>
      <c r="U7983">
        <v>44496</v>
      </c>
      <c r="V7983">
        <v>44496</v>
      </c>
    </row>
    <row r="7984" spans="1:22">
      <c r="A7984" t="s">
        <v>2333</v>
      </c>
      <c r="B7984">
        <v>50</v>
      </c>
      <c r="C7984" t="s">
        <v>54</v>
      </c>
      <c r="D7984" t="s">
        <v>2408</v>
      </c>
      <c r="E7984" t="s">
        <v>2409</v>
      </c>
      <c r="F7984">
        <v>1005</v>
      </c>
      <c r="G7984" t="s">
        <v>54</v>
      </c>
      <c r="H7984">
        <v>2904</v>
      </c>
      <c r="I7984" t="s">
        <v>50</v>
      </c>
      <c r="J7984">
        <v>3904</v>
      </c>
      <c r="K7984" t="s">
        <v>2479</v>
      </c>
      <c r="L7984">
        <v>0</v>
      </c>
      <c r="N7984" t="s">
        <v>1007</v>
      </c>
      <c r="O7984">
        <v>1</v>
      </c>
      <c r="P7984">
        <v>459</v>
      </c>
      <c r="Q7984" t="s">
        <v>1355</v>
      </c>
      <c r="R7984" t="s">
        <v>201</v>
      </c>
      <c r="S7984">
        <v>1</v>
      </c>
      <c r="T7984">
        <v>1</v>
      </c>
      <c r="U7984">
        <v>43164</v>
      </c>
      <c r="V7984">
        <v>43164</v>
      </c>
    </row>
    <row r="7985" spans="1:22">
      <c r="A7985" t="s">
        <v>2333</v>
      </c>
      <c r="B7985">
        <v>50</v>
      </c>
      <c r="C7985" t="s">
        <v>54</v>
      </c>
      <c r="D7985" t="s">
        <v>2408</v>
      </c>
      <c r="E7985" t="s">
        <v>2409</v>
      </c>
      <c r="F7985">
        <v>1005</v>
      </c>
      <c r="G7985" t="s">
        <v>54</v>
      </c>
      <c r="H7985">
        <v>2904</v>
      </c>
      <c r="I7985" t="s">
        <v>50</v>
      </c>
      <c r="J7985">
        <v>3904</v>
      </c>
      <c r="K7985" t="s">
        <v>2479</v>
      </c>
      <c r="L7985">
        <v>0</v>
      </c>
      <c r="N7985" t="s">
        <v>622</v>
      </c>
      <c r="O7985">
        <v>1</v>
      </c>
      <c r="P7985" t="s">
        <v>667</v>
      </c>
      <c r="Q7985" t="s">
        <v>205</v>
      </c>
      <c r="R7985" t="s">
        <v>201</v>
      </c>
      <c r="S7985">
        <v>2</v>
      </c>
      <c r="T7985">
        <v>1</v>
      </c>
      <c r="U7985">
        <v>90144</v>
      </c>
      <c r="V7985">
        <v>180288</v>
      </c>
    </row>
    <row r="7986" spans="1:22">
      <c r="A7986" t="s">
        <v>2333</v>
      </c>
      <c r="B7986">
        <v>50</v>
      </c>
      <c r="C7986" t="s">
        <v>54</v>
      </c>
      <c r="D7986" t="s">
        <v>2408</v>
      </c>
      <c r="E7986" t="s">
        <v>2409</v>
      </c>
      <c r="F7986">
        <v>1005</v>
      </c>
      <c r="G7986" t="s">
        <v>54</v>
      </c>
      <c r="H7986">
        <v>2904</v>
      </c>
      <c r="I7986" t="s">
        <v>50</v>
      </c>
      <c r="J7986">
        <v>3904</v>
      </c>
      <c r="K7986" t="s">
        <v>2479</v>
      </c>
      <c r="L7986">
        <v>0</v>
      </c>
      <c r="N7986" t="s">
        <v>622</v>
      </c>
      <c r="O7986">
        <v>1</v>
      </c>
      <c r="P7986" t="s">
        <v>667</v>
      </c>
      <c r="Q7986" t="s">
        <v>205</v>
      </c>
      <c r="R7986" t="s">
        <v>201</v>
      </c>
      <c r="S7986">
        <v>1</v>
      </c>
      <c r="T7986">
        <v>1</v>
      </c>
      <c r="U7986">
        <v>74916</v>
      </c>
      <c r="V7986">
        <v>74916</v>
      </c>
    </row>
    <row r="7987" spans="1:22">
      <c r="A7987" t="s">
        <v>2333</v>
      </c>
      <c r="B7987">
        <v>50</v>
      </c>
      <c r="C7987" t="s">
        <v>54</v>
      </c>
      <c r="D7987" t="s">
        <v>2408</v>
      </c>
      <c r="E7987" t="s">
        <v>2409</v>
      </c>
      <c r="F7987">
        <v>1005</v>
      </c>
      <c r="G7987" t="s">
        <v>54</v>
      </c>
      <c r="H7987">
        <v>2904</v>
      </c>
      <c r="I7987" t="s">
        <v>50</v>
      </c>
      <c r="J7987">
        <v>3904</v>
      </c>
      <c r="K7987" t="s">
        <v>2479</v>
      </c>
      <c r="L7987">
        <v>0</v>
      </c>
      <c r="N7987" t="s">
        <v>622</v>
      </c>
      <c r="O7987">
        <v>1</v>
      </c>
      <c r="P7987" t="s">
        <v>667</v>
      </c>
      <c r="Q7987" t="s">
        <v>205</v>
      </c>
      <c r="R7987" t="s">
        <v>201</v>
      </c>
      <c r="S7987">
        <v>1</v>
      </c>
      <c r="T7987">
        <v>1</v>
      </c>
      <c r="U7987">
        <v>71436</v>
      </c>
      <c r="V7987">
        <v>71436</v>
      </c>
    </row>
    <row r="7988" spans="1:22">
      <c r="A7988" t="s">
        <v>2333</v>
      </c>
      <c r="B7988">
        <v>50</v>
      </c>
      <c r="C7988" t="s">
        <v>54</v>
      </c>
      <c r="D7988" t="s">
        <v>2408</v>
      </c>
      <c r="E7988" t="s">
        <v>2409</v>
      </c>
      <c r="F7988">
        <v>1005</v>
      </c>
      <c r="G7988" t="s">
        <v>54</v>
      </c>
      <c r="H7988">
        <v>2904</v>
      </c>
      <c r="I7988" t="s">
        <v>50</v>
      </c>
      <c r="J7988">
        <v>3904</v>
      </c>
      <c r="K7988" t="s">
        <v>2479</v>
      </c>
      <c r="L7988">
        <v>0</v>
      </c>
      <c r="N7988" t="s">
        <v>274</v>
      </c>
      <c r="O7988">
        <v>9</v>
      </c>
      <c r="P7988">
        <v>313</v>
      </c>
      <c r="Q7988" t="s">
        <v>605</v>
      </c>
      <c r="R7988" t="s">
        <v>201</v>
      </c>
      <c r="S7988">
        <v>1</v>
      </c>
      <c r="T7988">
        <v>1</v>
      </c>
      <c r="U7988">
        <v>153384</v>
      </c>
      <c r="V7988">
        <v>153384</v>
      </c>
    </row>
    <row r="7989" spans="1:22">
      <c r="A7989" t="s">
        <v>2333</v>
      </c>
      <c r="B7989">
        <v>50</v>
      </c>
      <c r="C7989" t="s">
        <v>54</v>
      </c>
      <c r="D7989" t="s">
        <v>2408</v>
      </c>
      <c r="E7989" t="s">
        <v>2409</v>
      </c>
      <c r="F7989">
        <v>1005</v>
      </c>
      <c r="G7989" t="s">
        <v>54</v>
      </c>
      <c r="H7989">
        <v>2904</v>
      </c>
      <c r="I7989" t="s">
        <v>50</v>
      </c>
      <c r="J7989">
        <v>3904</v>
      </c>
      <c r="K7989" t="s">
        <v>2479</v>
      </c>
      <c r="L7989">
        <v>0</v>
      </c>
      <c r="N7989" t="s">
        <v>341</v>
      </c>
      <c r="O7989">
        <v>1</v>
      </c>
      <c r="P7989">
        <v>308</v>
      </c>
      <c r="Q7989" t="s">
        <v>355</v>
      </c>
      <c r="R7989" t="s">
        <v>201</v>
      </c>
      <c r="S7989">
        <v>2</v>
      </c>
      <c r="T7989">
        <v>1</v>
      </c>
      <c r="U7989">
        <v>68616</v>
      </c>
      <c r="V7989">
        <v>137232</v>
      </c>
    </row>
    <row r="7990" spans="1:22">
      <c r="A7990" t="s">
        <v>2333</v>
      </c>
      <c r="B7990">
        <v>50</v>
      </c>
      <c r="C7990" t="s">
        <v>54</v>
      </c>
      <c r="D7990" t="s">
        <v>2408</v>
      </c>
      <c r="E7990" t="s">
        <v>2409</v>
      </c>
      <c r="F7990">
        <v>1005</v>
      </c>
      <c r="G7990" t="s">
        <v>54</v>
      </c>
      <c r="H7990">
        <v>2904</v>
      </c>
      <c r="I7990" t="s">
        <v>50</v>
      </c>
      <c r="J7990">
        <v>3904</v>
      </c>
      <c r="K7990" t="s">
        <v>2479</v>
      </c>
      <c r="L7990">
        <v>0</v>
      </c>
      <c r="N7990" t="s">
        <v>253</v>
      </c>
      <c r="O7990">
        <v>10</v>
      </c>
      <c r="P7990">
        <v>304</v>
      </c>
      <c r="Q7990" t="s">
        <v>1726</v>
      </c>
      <c r="R7990" t="s">
        <v>201</v>
      </c>
      <c r="S7990">
        <v>1</v>
      </c>
      <c r="T7990">
        <v>1</v>
      </c>
      <c r="U7990">
        <v>136692</v>
      </c>
      <c r="V7990">
        <v>136692</v>
      </c>
    </row>
    <row r="7991" spans="1:22">
      <c r="A7991" t="s">
        <v>2333</v>
      </c>
      <c r="B7991">
        <v>50</v>
      </c>
      <c r="C7991" t="s">
        <v>54</v>
      </c>
      <c r="D7991" t="s">
        <v>2408</v>
      </c>
      <c r="E7991" t="s">
        <v>2409</v>
      </c>
      <c r="F7991">
        <v>1005</v>
      </c>
      <c r="G7991" t="s">
        <v>54</v>
      </c>
      <c r="H7991">
        <v>2904</v>
      </c>
      <c r="I7991" t="s">
        <v>50</v>
      </c>
      <c r="J7991">
        <v>3904</v>
      </c>
      <c r="K7991" t="s">
        <v>2479</v>
      </c>
      <c r="L7991">
        <v>0</v>
      </c>
      <c r="N7991" t="s">
        <v>245</v>
      </c>
      <c r="O7991">
        <v>20</v>
      </c>
      <c r="P7991">
        <v>187</v>
      </c>
      <c r="Q7991" t="s">
        <v>656</v>
      </c>
      <c r="R7991" t="s">
        <v>201</v>
      </c>
      <c r="S7991">
        <v>1</v>
      </c>
      <c r="T7991">
        <v>1</v>
      </c>
      <c r="U7991">
        <v>126756</v>
      </c>
      <c r="V7991">
        <v>126756</v>
      </c>
    </row>
    <row r="7992" spans="1:22">
      <c r="A7992" t="s">
        <v>2333</v>
      </c>
      <c r="B7992">
        <v>50</v>
      </c>
      <c r="C7992" t="s">
        <v>54</v>
      </c>
      <c r="D7992" t="s">
        <v>2408</v>
      </c>
      <c r="E7992" t="s">
        <v>2409</v>
      </c>
      <c r="F7992">
        <v>1005</v>
      </c>
      <c r="G7992" t="s">
        <v>54</v>
      </c>
      <c r="H7992">
        <v>2904</v>
      </c>
      <c r="I7992" t="s">
        <v>50</v>
      </c>
      <c r="J7992">
        <v>3904</v>
      </c>
      <c r="K7992" t="s">
        <v>2479</v>
      </c>
      <c r="L7992">
        <v>0</v>
      </c>
      <c r="N7992" t="s">
        <v>297</v>
      </c>
      <c r="O7992">
        <v>20</v>
      </c>
      <c r="P7992">
        <v>120</v>
      </c>
      <c r="Q7992" t="s">
        <v>657</v>
      </c>
      <c r="R7992" t="s">
        <v>201</v>
      </c>
      <c r="S7992">
        <v>1</v>
      </c>
      <c r="T7992">
        <v>1</v>
      </c>
      <c r="U7992">
        <v>130476</v>
      </c>
      <c r="V7992">
        <v>130476</v>
      </c>
    </row>
    <row r="7993" spans="1:22">
      <c r="A7993" t="s">
        <v>2333</v>
      </c>
      <c r="B7993">
        <v>50</v>
      </c>
      <c r="C7993" t="s">
        <v>54</v>
      </c>
      <c r="D7993" t="s">
        <v>2408</v>
      </c>
      <c r="E7993" t="s">
        <v>2409</v>
      </c>
      <c r="F7993">
        <v>1005</v>
      </c>
      <c r="G7993" t="s">
        <v>54</v>
      </c>
      <c r="H7993">
        <v>2904</v>
      </c>
      <c r="I7993" t="s">
        <v>50</v>
      </c>
      <c r="J7993">
        <v>3904</v>
      </c>
      <c r="K7993" t="s">
        <v>2479</v>
      </c>
      <c r="L7993">
        <v>0</v>
      </c>
      <c r="N7993" t="s">
        <v>356</v>
      </c>
      <c r="O7993">
        <v>4</v>
      </c>
      <c r="P7993">
        <v>111</v>
      </c>
      <c r="Q7993" t="s">
        <v>648</v>
      </c>
      <c r="R7993" t="s">
        <v>201</v>
      </c>
      <c r="S7993">
        <v>1</v>
      </c>
      <c r="T7993">
        <v>1</v>
      </c>
      <c r="U7993">
        <v>122928</v>
      </c>
      <c r="V7993">
        <v>122928</v>
      </c>
    </row>
    <row r="7994" spans="1:22">
      <c r="A7994" t="s">
        <v>2333</v>
      </c>
      <c r="B7994">
        <v>50</v>
      </c>
      <c r="C7994" t="s">
        <v>54</v>
      </c>
      <c r="D7994" t="s">
        <v>2408</v>
      </c>
      <c r="E7994" t="s">
        <v>2409</v>
      </c>
      <c r="F7994">
        <v>1005</v>
      </c>
      <c r="G7994" t="s">
        <v>54</v>
      </c>
      <c r="H7994">
        <v>2904</v>
      </c>
      <c r="I7994" t="s">
        <v>50</v>
      </c>
      <c r="J7994">
        <v>3904</v>
      </c>
      <c r="K7994" t="s">
        <v>2479</v>
      </c>
      <c r="L7994">
        <v>0</v>
      </c>
      <c r="N7994" t="s">
        <v>341</v>
      </c>
      <c r="O7994">
        <v>4</v>
      </c>
      <c r="P7994">
        <v>110</v>
      </c>
      <c r="Q7994" t="s">
        <v>359</v>
      </c>
      <c r="R7994" t="s">
        <v>201</v>
      </c>
      <c r="S7994">
        <v>1</v>
      </c>
      <c r="T7994">
        <v>1</v>
      </c>
      <c r="U7994">
        <v>70752</v>
      </c>
      <c r="V7994">
        <v>70752</v>
      </c>
    </row>
    <row r="7995" spans="1:22">
      <c r="A7995" t="s">
        <v>2333</v>
      </c>
      <c r="B7995">
        <v>50</v>
      </c>
      <c r="C7995" t="s">
        <v>54</v>
      </c>
      <c r="D7995" t="s">
        <v>2408</v>
      </c>
      <c r="E7995" t="s">
        <v>2409</v>
      </c>
      <c r="F7995">
        <v>1005</v>
      </c>
      <c r="G7995" t="s">
        <v>54</v>
      </c>
      <c r="H7995">
        <v>2904</v>
      </c>
      <c r="I7995" t="s">
        <v>50</v>
      </c>
      <c r="J7995">
        <v>3904</v>
      </c>
      <c r="K7995" t="s">
        <v>2479</v>
      </c>
      <c r="L7995">
        <v>0</v>
      </c>
      <c r="N7995" t="s">
        <v>360</v>
      </c>
      <c r="O7995">
        <v>1</v>
      </c>
      <c r="P7995">
        <v>109</v>
      </c>
      <c r="Q7995" t="s">
        <v>361</v>
      </c>
      <c r="R7995" t="s">
        <v>201</v>
      </c>
      <c r="S7995">
        <v>2</v>
      </c>
      <c r="T7995">
        <v>1</v>
      </c>
      <c r="U7995">
        <v>57000</v>
      </c>
      <c r="V7995">
        <v>114000</v>
      </c>
    </row>
    <row r="7996" spans="1:22">
      <c r="A7996" t="s">
        <v>2333</v>
      </c>
      <c r="B7996">
        <v>50</v>
      </c>
      <c r="C7996" t="s">
        <v>54</v>
      </c>
      <c r="D7996" t="s">
        <v>2408</v>
      </c>
      <c r="E7996" t="s">
        <v>2409</v>
      </c>
      <c r="F7996">
        <v>1005</v>
      </c>
      <c r="G7996" t="s">
        <v>54</v>
      </c>
      <c r="H7996">
        <v>2904</v>
      </c>
      <c r="I7996" t="s">
        <v>50</v>
      </c>
      <c r="J7996">
        <v>3904</v>
      </c>
      <c r="K7996" t="s">
        <v>2479</v>
      </c>
      <c r="L7996">
        <v>0</v>
      </c>
      <c r="N7996" t="s">
        <v>199</v>
      </c>
      <c r="O7996">
        <v>0</v>
      </c>
      <c r="P7996">
        <v>44</v>
      </c>
      <c r="Q7996" t="s">
        <v>2337</v>
      </c>
      <c r="R7996" t="s">
        <v>201</v>
      </c>
      <c r="S7996">
        <v>0</v>
      </c>
      <c r="T7996">
        <v>0</v>
      </c>
      <c r="U7996">
        <v>4362989</v>
      </c>
      <c r="V7996">
        <v>4362989</v>
      </c>
    </row>
    <row r="7997" spans="1:22">
      <c r="A7997" t="s">
        <v>2333</v>
      </c>
      <c r="B7997">
        <v>50</v>
      </c>
      <c r="C7997" t="s">
        <v>54</v>
      </c>
      <c r="D7997" t="s">
        <v>2408</v>
      </c>
      <c r="E7997" t="s">
        <v>2409</v>
      </c>
      <c r="F7997">
        <v>1005</v>
      </c>
      <c r="G7997" t="s">
        <v>54</v>
      </c>
      <c r="H7997">
        <v>2904</v>
      </c>
      <c r="I7997" t="s">
        <v>50</v>
      </c>
      <c r="J7997">
        <v>3904</v>
      </c>
      <c r="K7997" t="s">
        <v>2479</v>
      </c>
      <c r="L7997">
        <v>0</v>
      </c>
      <c r="N7997" t="s">
        <v>199</v>
      </c>
      <c r="O7997">
        <v>0</v>
      </c>
      <c r="P7997">
        <v>15</v>
      </c>
      <c r="Q7997" t="s">
        <v>264</v>
      </c>
      <c r="R7997" t="s">
        <v>201</v>
      </c>
      <c r="S7997">
        <v>0</v>
      </c>
      <c r="T7997">
        <v>0</v>
      </c>
      <c r="U7997">
        <v>54653</v>
      </c>
      <c r="V7997">
        <v>54653</v>
      </c>
    </row>
    <row r="7998" spans="1:22">
      <c r="A7998" t="s">
        <v>2333</v>
      </c>
      <c r="B7998">
        <v>50</v>
      </c>
      <c r="C7998" t="s">
        <v>54</v>
      </c>
      <c r="D7998" t="s">
        <v>2408</v>
      </c>
      <c r="E7998" t="s">
        <v>2409</v>
      </c>
      <c r="F7998">
        <v>1005</v>
      </c>
      <c r="G7998" t="s">
        <v>54</v>
      </c>
      <c r="H7998">
        <v>2943</v>
      </c>
      <c r="I7998" t="s">
        <v>119</v>
      </c>
      <c r="J7998">
        <v>3943</v>
      </c>
      <c r="K7998" t="s">
        <v>2489</v>
      </c>
      <c r="L7998">
        <v>0</v>
      </c>
      <c r="N7998" t="s">
        <v>251</v>
      </c>
      <c r="O7998">
        <v>10</v>
      </c>
      <c r="P7998">
        <v>3953</v>
      </c>
      <c r="Q7998" t="s">
        <v>2471</v>
      </c>
      <c r="R7998" t="s">
        <v>201</v>
      </c>
      <c r="S7998">
        <v>1</v>
      </c>
      <c r="T7998">
        <v>1</v>
      </c>
      <c r="U7998">
        <v>80124</v>
      </c>
      <c r="V7998">
        <v>80124</v>
      </c>
    </row>
    <row r="7999" spans="1:22">
      <c r="A7999" t="s">
        <v>2333</v>
      </c>
      <c r="B7999">
        <v>50</v>
      </c>
      <c r="C7999" t="s">
        <v>54</v>
      </c>
      <c r="D7999" t="s">
        <v>2408</v>
      </c>
      <c r="E7999" t="s">
        <v>2409</v>
      </c>
      <c r="F7999">
        <v>1005</v>
      </c>
      <c r="G7999" t="s">
        <v>54</v>
      </c>
      <c r="H7999">
        <v>2943</v>
      </c>
      <c r="I7999" t="s">
        <v>119</v>
      </c>
      <c r="J7999">
        <v>3943</v>
      </c>
      <c r="K7999" t="s">
        <v>2489</v>
      </c>
      <c r="L7999">
        <v>0</v>
      </c>
      <c r="N7999" t="s">
        <v>372</v>
      </c>
      <c r="O7999">
        <v>1</v>
      </c>
      <c r="P7999">
        <v>3914</v>
      </c>
      <c r="Q7999" t="s">
        <v>2472</v>
      </c>
      <c r="R7999" t="s">
        <v>201</v>
      </c>
      <c r="S7999">
        <v>2</v>
      </c>
      <c r="T7999">
        <v>1</v>
      </c>
      <c r="U7999">
        <v>124848</v>
      </c>
      <c r="V7999">
        <v>249696</v>
      </c>
    </row>
    <row r="8000" spans="1:22">
      <c r="A8000" t="s">
        <v>2333</v>
      </c>
      <c r="B8000">
        <v>50</v>
      </c>
      <c r="C8000" t="s">
        <v>54</v>
      </c>
      <c r="D8000" t="s">
        <v>2408</v>
      </c>
      <c r="E8000" t="s">
        <v>2409</v>
      </c>
      <c r="F8000">
        <v>1005</v>
      </c>
      <c r="G8000" t="s">
        <v>54</v>
      </c>
      <c r="H8000">
        <v>2943</v>
      </c>
      <c r="I8000" t="s">
        <v>119</v>
      </c>
      <c r="J8000">
        <v>3943</v>
      </c>
      <c r="K8000" t="s">
        <v>2489</v>
      </c>
      <c r="L8000">
        <v>0</v>
      </c>
      <c r="N8000" t="s">
        <v>372</v>
      </c>
      <c r="O8000">
        <v>1</v>
      </c>
      <c r="P8000">
        <v>3914</v>
      </c>
      <c r="Q8000" t="s">
        <v>2472</v>
      </c>
      <c r="R8000" t="s">
        <v>201</v>
      </c>
      <c r="S8000">
        <v>3</v>
      </c>
      <c r="T8000">
        <v>1</v>
      </c>
      <c r="U8000">
        <v>113628</v>
      </c>
      <c r="V8000">
        <v>340884</v>
      </c>
    </row>
    <row r="8001" spans="1:22">
      <c r="A8001" t="s">
        <v>2333</v>
      </c>
      <c r="B8001">
        <v>50</v>
      </c>
      <c r="C8001" t="s">
        <v>54</v>
      </c>
      <c r="D8001" t="s">
        <v>2408</v>
      </c>
      <c r="E8001" t="s">
        <v>2409</v>
      </c>
      <c r="F8001">
        <v>1005</v>
      </c>
      <c r="G8001" t="s">
        <v>54</v>
      </c>
      <c r="H8001">
        <v>2943</v>
      </c>
      <c r="I8001" t="s">
        <v>119</v>
      </c>
      <c r="J8001">
        <v>3943</v>
      </c>
      <c r="K8001" t="s">
        <v>2489</v>
      </c>
      <c r="L8001">
        <v>0</v>
      </c>
      <c r="N8001" t="s">
        <v>809</v>
      </c>
      <c r="O8001">
        <v>1</v>
      </c>
      <c r="P8001">
        <v>460</v>
      </c>
      <c r="Q8001" t="s">
        <v>810</v>
      </c>
      <c r="R8001" t="s">
        <v>201</v>
      </c>
      <c r="S8001">
        <v>1</v>
      </c>
      <c r="T8001">
        <v>1</v>
      </c>
      <c r="U8001">
        <v>82140</v>
      </c>
      <c r="V8001">
        <v>82140</v>
      </c>
    </row>
    <row r="8002" spans="1:22">
      <c r="A8002" t="s">
        <v>2333</v>
      </c>
      <c r="B8002">
        <v>50</v>
      </c>
      <c r="C8002" t="s">
        <v>54</v>
      </c>
      <c r="D8002" t="s">
        <v>2408</v>
      </c>
      <c r="E8002" t="s">
        <v>2409</v>
      </c>
      <c r="F8002">
        <v>1005</v>
      </c>
      <c r="G8002" t="s">
        <v>54</v>
      </c>
      <c r="H8002">
        <v>2943</v>
      </c>
      <c r="I8002" t="s">
        <v>119</v>
      </c>
      <c r="J8002">
        <v>3943</v>
      </c>
      <c r="K8002" t="s">
        <v>2489</v>
      </c>
      <c r="L8002">
        <v>0</v>
      </c>
      <c r="N8002" t="s">
        <v>809</v>
      </c>
      <c r="O8002">
        <v>1</v>
      </c>
      <c r="P8002">
        <v>460</v>
      </c>
      <c r="Q8002" t="s">
        <v>810</v>
      </c>
      <c r="R8002" t="s">
        <v>201</v>
      </c>
      <c r="S8002">
        <v>1</v>
      </c>
      <c r="T8002">
        <v>1</v>
      </c>
      <c r="U8002">
        <v>48864</v>
      </c>
      <c r="V8002">
        <v>48864</v>
      </c>
    </row>
    <row r="8003" spans="1:22">
      <c r="A8003" t="s">
        <v>2333</v>
      </c>
      <c r="B8003">
        <v>50</v>
      </c>
      <c r="C8003" t="s">
        <v>54</v>
      </c>
      <c r="D8003" t="s">
        <v>2408</v>
      </c>
      <c r="E8003" t="s">
        <v>2409</v>
      </c>
      <c r="F8003">
        <v>1005</v>
      </c>
      <c r="G8003" t="s">
        <v>54</v>
      </c>
      <c r="H8003">
        <v>2943</v>
      </c>
      <c r="I8003" t="s">
        <v>119</v>
      </c>
      <c r="J8003">
        <v>3943</v>
      </c>
      <c r="K8003" t="s">
        <v>2489</v>
      </c>
      <c r="L8003">
        <v>0</v>
      </c>
      <c r="N8003" t="s">
        <v>356</v>
      </c>
      <c r="O8003">
        <v>4</v>
      </c>
      <c r="P8003">
        <v>111</v>
      </c>
      <c r="Q8003" t="s">
        <v>648</v>
      </c>
      <c r="R8003" t="s">
        <v>201</v>
      </c>
      <c r="S8003">
        <v>1</v>
      </c>
      <c r="T8003">
        <v>1</v>
      </c>
      <c r="U8003">
        <v>129636</v>
      </c>
      <c r="V8003">
        <v>129636</v>
      </c>
    </row>
    <row r="8004" spans="1:22">
      <c r="A8004" t="s">
        <v>2333</v>
      </c>
      <c r="B8004">
        <v>50</v>
      </c>
      <c r="C8004" t="s">
        <v>54</v>
      </c>
      <c r="D8004" t="s">
        <v>2408</v>
      </c>
      <c r="E8004" t="s">
        <v>2409</v>
      </c>
      <c r="F8004">
        <v>1005</v>
      </c>
      <c r="G8004" t="s">
        <v>54</v>
      </c>
      <c r="H8004">
        <v>2943</v>
      </c>
      <c r="I8004" t="s">
        <v>119</v>
      </c>
      <c r="J8004">
        <v>3943</v>
      </c>
      <c r="K8004" t="s">
        <v>2489</v>
      </c>
      <c r="L8004">
        <v>0</v>
      </c>
      <c r="N8004" t="s">
        <v>199</v>
      </c>
      <c r="O8004">
        <v>0</v>
      </c>
      <c r="P8004">
        <v>44</v>
      </c>
      <c r="Q8004" t="s">
        <v>2337</v>
      </c>
      <c r="R8004" t="s">
        <v>201</v>
      </c>
      <c r="S8004">
        <v>0</v>
      </c>
      <c r="T8004">
        <v>0</v>
      </c>
      <c r="U8004">
        <v>521180</v>
      </c>
      <c r="V8004">
        <v>521180</v>
      </c>
    </row>
    <row r="8005" spans="1:22">
      <c r="A8005" t="s">
        <v>2333</v>
      </c>
      <c r="B8005">
        <v>50</v>
      </c>
      <c r="C8005" t="s">
        <v>54</v>
      </c>
      <c r="D8005" t="s">
        <v>2408</v>
      </c>
      <c r="E8005" t="s">
        <v>2409</v>
      </c>
      <c r="F8005">
        <v>1005</v>
      </c>
      <c r="G8005" t="s">
        <v>54</v>
      </c>
      <c r="H8005">
        <v>2943</v>
      </c>
      <c r="I8005" t="s">
        <v>119</v>
      </c>
      <c r="J8005">
        <v>3943</v>
      </c>
      <c r="K8005" t="s">
        <v>2489</v>
      </c>
      <c r="L8005">
        <v>0</v>
      </c>
      <c r="N8005" t="s">
        <v>199</v>
      </c>
      <c r="O8005">
        <v>0</v>
      </c>
      <c r="P8005">
        <v>15</v>
      </c>
      <c r="Q8005" t="s">
        <v>264</v>
      </c>
      <c r="R8005" t="s">
        <v>201</v>
      </c>
      <c r="S8005">
        <v>0</v>
      </c>
      <c r="T8005">
        <v>0</v>
      </c>
      <c r="U8005">
        <v>2190</v>
      </c>
      <c r="V8005">
        <v>2190</v>
      </c>
    </row>
    <row r="8006" spans="1:22">
      <c r="A8006" t="s">
        <v>2333</v>
      </c>
      <c r="B8006">
        <v>50</v>
      </c>
      <c r="C8006" t="s">
        <v>54</v>
      </c>
      <c r="D8006" t="s">
        <v>2408</v>
      </c>
      <c r="E8006" t="s">
        <v>2409</v>
      </c>
      <c r="F8006">
        <v>1005</v>
      </c>
      <c r="G8006" t="s">
        <v>54</v>
      </c>
      <c r="H8006">
        <v>2944</v>
      </c>
      <c r="I8006" t="s">
        <v>135</v>
      </c>
      <c r="J8006">
        <v>3944</v>
      </c>
      <c r="K8006" t="s">
        <v>2490</v>
      </c>
      <c r="L8006">
        <v>0</v>
      </c>
      <c r="N8006" t="s">
        <v>274</v>
      </c>
      <c r="O8006">
        <v>0</v>
      </c>
      <c r="P8006">
        <v>3019</v>
      </c>
      <c r="Q8006" t="s">
        <v>1217</v>
      </c>
      <c r="R8006" t="s">
        <v>201</v>
      </c>
      <c r="S8006">
        <v>1</v>
      </c>
      <c r="T8006">
        <v>1</v>
      </c>
      <c r="U8006">
        <v>121668</v>
      </c>
      <c r="V8006">
        <v>121668</v>
      </c>
    </row>
    <row r="8007" spans="1:22">
      <c r="A8007" t="s">
        <v>2333</v>
      </c>
      <c r="B8007">
        <v>50</v>
      </c>
      <c r="C8007" t="s">
        <v>54</v>
      </c>
      <c r="D8007" t="s">
        <v>2408</v>
      </c>
      <c r="E8007" t="s">
        <v>2409</v>
      </c>
      <c r="F8007">
        <v>1005</v>
      </c>
      <c r="G8007" t="s">
        <v>54</v>
      </c>
      <c r="H8007">
        <v>2944</v>
      </c>
      <c r="I8007" t="s">
        <v>135</v>
      </c>
      <c r="J8007">
        <v>3944</v>
      </c>
      <c r="K8007" t="s">
        <v>2490</v>
      </c>
      <c r="L8007">
        <v>0</v>
      </c>
      <c r="N8007" t="s">
        <v>372</v>
      </c>
      <c r="O8007">
        <v>4</v>
      </c>
      <c r="P8007">
        <v>1912</v>
      </c>
      <c r="Q8007" t="s">
        <v>608</v>
      </c>
      <c r="R8007" t="s">
        <v>201</v>
      </c>
      <c r="S8007">
        <v>1</v>
      </c>
      <c r="T8007">
        <v>1</v>
      </c>
      <c r="U8007">
        <v>77640</v>
      </c>
      <c r="V8007">
        <v>77640</v>
      </c>
    </row>
    <row r="8008" spans="1:22">
      <c r="A8008" t="s">
        <v>2333</v>
      </c>
      <c r="B8008">
        <v>50</v>
      </c>
      <c r="C8008" t="s">
        <v>54</v>
      </c>
      <c r="D8008" t="s">
        <v>2408</v>
      </c>
      <c r="E8008" t="s">
        <v>2409</v>
      </c>
      <c r="F8008">
        <v>1005</v>
      </c>
      <c r="G8008" t="s">
        <v>54</v>
      </c>
      <c r="H8008">
        <v>2944</v>
      </c>
      <c r="I8008" t="s">
        <v>135</v>
      </c>
      <c r="J8008">
        <v>3944</v>
      </c>
      <c r="K8008" t="s">
        <v>2490</v>
      </c>
      <c r="L8008">
        <v>0</v>
      </c>
      <c r="N8008" t="s">
        <v>372</v>
      </c>
      <c r="O8008">
        <v>4</v>
      </c>
      <c r="P8008">
        <v>1912</v>
      </c>
      <c r="Q8008" t="s">
        <v>608</v>
      </c>
      <c r="R8008" t="s">
        <v>201</v>
      </c>
      <c r="S8008">
        <v>1</v>
      </c>
      <c r="T8008">
        <v>1</v>
      </c>
      <c r="U8008">
        <v>75336</v>
      </c>
      <c r="V8008">
        <v>75336</v>
      </c>
    </row>
    <row r="8009" spans="1:22">
      <c r="A8009" t="s">
        <v>2333</v>
      </c>
      <c r="B8009">
        <v>50</v>
      </c>
      <c r="C8009" t="s">
        <v>54</v>
      </c>
      <c r="D8009" t="s">
        <v>2408</v>
      </c>
      <c r="E8009" t="s">
        <v>2409</v>
      </c>
      <c r="F8009">
        <v>1005</v>
      </c>
      <c r="G8009" t="s">
        <v>54</v>
      </c>
      <c r="H8009">
        <v>2944</v>
      </c>
      <c r="I8009" t="s">
        <v>135</v>
      </c>
      <c r="J8009">
        <v>3944</v>
      </c>
      <c r="K8009" t="s">
        <v>2490</v>
      </c>
      <c r="L8009">
        <v>0</v>
      </c>
      <c r="N8009" t="s">
        <v>372</v>
      </c>
      <c r="O8009">
        <v>1</v>
      </c>
      <c r="P8009">
        <v>1730</v>
      </c>
      <c r="Q8009" t="s">
        <v>1105</v>
      </c>
      <c r="R8009" t="s">
        <v>201</v>
      </c>
      <c r="S8009">
        <v>1</v>
      </c>
      <c r="T8009">
        <v>1</v>
      </c>
      <c r="U8009">
        <v>89244</v>
      </c>
      <c r="V8009">
        <v>89244</v>
      </c>
    </row>
    <row r="8010" spans="1:22">
      <c r="A8010" t="s">
        <v>2333</v>
      </c>
      <c r="B8010">
        <v>50</v>
      </c>
      <c r="C8010" t="s">
        <v>54</v>
      </c>
      <c r="D8010" t="s">
        <v>2408</v>
      </c>
      <c r="E8010" t="s">
        <v>2409</v>
      </c>
      <c r="F8010">
        <v>1005</v>
      </c>
      <c r="G8010" t="s">
        <v>54</v>
      </c>
      <c r="H8010">
        <v>2944</v>
      </c>
      <c r="I8010" t="s">
        <v>135</v>
      </c>
      <c r="J8010">
        <v>3944</v>
      </c>
      <c r="K8010" t="s">
        <v>2490</v>
      </c>
      <c r="L8010">
        <v>0</v>
      </c>
      <c r="N8010" t="s">
        <v>356</v>
      </c>
      <c r="O8010">
        <v>4</v>
      </c>
      <c r="P8010">
        <v>111</v>
      </c>
      <c r="Q8010" t="s">
        <v>648</v>
      </c>
      <c r="R8010" t="s">
        <v>201</v>
      </c>
      <c r="S8010">
        <v>1</v>
      </c>
      <c r="T8010">
        <v>1</v>
      </c>
      <c r="U8010">
        <v>129636</v>
      </c>
      <c r="V8010">
        <v>129636</v>
      </c>
    </row>
    <row r="8011" spans="1:22">
      <c r="A8011" t="s">
        <v>2333</v>
      </c>
      <c r="B8011">
        <v>50</v>
      </c>
      <c r="C8011" t="s">
        <v>54</v>
      </c>
      <c r="D8011" t="s">
        <v>2408</v>
      </c>
      <c r="E8011" t="s">
        <v>2409</v>
      </c>
      <c r="F8011">
        <v>1005</v>
      </c>
      <c r="G8011" t="s">
        <v>54</v>
      </c>
      <c r="H8011">
        <v>2944</v>
      </c>
      <c r="I8011" t="s">
        <v>135</v>
      </c>
      <c r="J8011">
        <v>3944</v>
      </c>
      <c r="K8011" t="s">
        <v>2490</v>
      </c>
      <c r="L8011">
        <v>0</v>
      </c>
      <c r="N8011" t="s">
        <v>199</v>
      </c>
      <c r="O8011">
        <v>0</v>
      </c>
      <c r="P8011">
        <v>44</v>
      </c>
      <c r="Q8011" t="s">
        <v>2337</v>
      </c>
      <c r="R8011" t="s">
        <v>201</v>
      </c>
      <c r="S8011">
        <v>0</v>
      </c>
      <c r="T8011">
        <v>0</v>
      </c>
      <c r="U8011">
        <v>276175</v>
      </c>
      <c r="V8011">
        <v>276175</v>
      </c>
    </row>
    <row r="8012" spans="1:22">
      <c r="A8012" t="s">
        <v>2333</v>
      </c>
      <c r="B8012">
        <v>50</v>
      </c>
      <c r="C8012" t="s">
        <v>54</v>
      </c>
      <c r="D8012" t="s">
        <v>2408</v>
      </c>
      <c r="E8012" t="s">
        <v>2409</v>
      </c>
      <c r="F8012">
        <v>1005</v>
      </c>
      <c r="G8012" t="s">
        <v>54</v>
      </c>
      <c r="H8012">
        <v>2944</v>
      </c>
      <c r="I8012" t="s">
        <v>135</v>
      </c>
      <c r="J8012">
        <v>3944</v>
      </c>
      <c r="K8012" t="s">
        <v>2490</v>
      </c>
      <c r="L8012">
        <v>0</v>
      </c>
      <c r="N8012" t="s">
        <v>199</v>
      </c>
      <c r="O8012">
        <v>0</v>
      </c>
      <c r="P8012">
        <v>15</v>
      </c>
      <c r="Q8012" t="s">
        <v>264</v>
      </c>
      <c r="R8012" t="s">
        <v>201</v>
      </c>
      <c r="S8012">
        <v>0</v>
      </c>
      <c r="T8012">
        <v>0</v>
      </c>
      <c r="U8012">
        <v>3372</v>
      </c>
      <c r="V8012">
        <v>3372</v>
      </c>
    </row>
    <row r="8013" spans="1:22">
      <c r="A8013" t="s">
        <v>2333</v>
      </c>
      <c r="B8013">
        <v>51</v>
      </c>
      <c r="C8013" t="s">
        <v>32</v>
      </c>
      <c r="D8013" t="s">
        <v>2408</v>
      </c>
      <c r="E8013" t="s">
        <v>2409</v>
      </c>
      <c r="F8013">
        <v>1005</v>
      </c>
      <c r="G8013" t="s">
        <v>32</v>
      </c>
      <c r="H8013">
        <v>2815</v>
      </c>
      <c r="I8013" t="s">
        <v>99</v>
      </c>
      <c r="J8013">
        <v>3815</v>
      </c>
      <c r="K8013" t="s">
        <v>2410</v>
      </c>
      <c r="L8013">
        <v>0</v>
      </c>
      <c r="N8013" t="s">
        <v>356</v>
      </c>
      <c r="O8013">
        <v>3</v>
      </c>
      <c r="P8013">
        <v>2989</v>
      </c>
      <c r="Q8013" t="s">
        <v>2351</v>
      </c>
      <c r="R8013" t="s">
        <v>201</v>
      </c>
      <c r="S8013">
        <v>1</v>
      </c>
      <c r="T8013">
        <v>1</v>
      </c>
      <c r="U8013">
        <v>107628</v>
      </c>
      <c r="V8013">
        <v>107628</v>
      </c>
    </row>
    <row r="8014" spans="1:22">
      <c r="A8014" t="s">
        <v>2333</v>
      </c>
      <c r="B8014">
        <v>51</v>
      </c>
      <c r="C8014" t="s">
        <v>32</v>
      </c>
      <c r="D8014" t="s">
        <v>2408</v>
      </c>
      <c r="E8014" t="s">
        <v>2409</v>
      </c>
      <c r="F8014">
        <v>1005</v>
      </c>
      <c r="G8014" t="s">
        <v>32</v>
      </c>
      <c r="H8014">
        <v>2815</v>
      </c>
      <c r="I8014" t="s">
        <v>99</v>
      </c>
      <c r="J8014">
        <v>3815</v>
      </c>
      <c r="K8014" t="s">
        <v>2410</v>
      </c>
      <c r="L8014">
        <v>0</v>
      </c>
      <c r="N8014" t="s">
        <v>343</v>
      </c>
      <c r="O8014">
        <v>10</v>
      </c>
      <c r="P8014">
        <v>2926</v>
      </c>
      <c r="Q8014" t="s">
        <v>2239</v>
      </c>
      <c r="R8014" t="s">
        <v>201</v>
      </c>
      <c r="S8014">
        <v>1</v>
      </c>
      <c r="T8014">
        <v>1</v>
      </c>
      <c r="U8014">
        <v>97836</v>
      </c>
      <c r="V8014">
        <v>97836</v>
      </c>
    </row>
    <row r="8015" spans="1:22">
      <c r="A8015" t="s">
        <v>2333</v>
      </c>
      <c r="B8015">
        <v>51</v>
      </c>
      <c r="C8015" t="s">
        <v>32</v>
      </c>
      <c r="D8015" t="s">
        <v>2408</v>
      </c>
      <c r="E8015" t="s">
        <v>2409</v>
      </c>
      <c r="F8015">
        <v>1005</v>
      </c>
      <c r="G8015" t="s">
        <v>32</v>
      </c>
      <c r="H8015">
        <v>2815</v>
      </c>
      <c r="I8015" t="s">
        <v>99</v>
      </c>
      <c r="J8015">
        <v>3815</v>
      </c>
      <c r="K8015" t="s">
        <v>2410</v>
      </c>
      <c r="L8015">
        <v>0</v>
      </c>
      <c r="N8015" t="s">
        <v>372</v>
      </c>
      <c r="O8015">
        <v>1</v>
      </c>
      <c r="P8015">
        <v>1854</v>
      </c>
      <c r="Q8015" t="s">
        <v>1232</v>
      </c>
      <c r="R8015" t="s">
        <v>201</v>
      </c>
      <c r="S8015">
        <v>1</v>
      </c>
      <c r="T8015">
        <v>1</v>
      </c>
      <c r="U8015">
        <v>98928</v>
      </c>
      <c r="V8015">
        <v>98928</v>
      </c>
    </row>
    <row r="8016" spans="1:22">
      <c r="A8016" t="s">
        <v>2333</v>
      </c>
      <c r="B8016">
        <v>51</v>
      </c>
      <c r="C8016" t="s">
        <v>32</v>
      </c>
      <c r="D8016" t="s">
        <v>2408</v>
      </c>
      <c r="E8016" t="s">
        <v>2409</v>
      </c>
      <c r="F8016">
        <v>1005</v>
      </c>
      <c r="G8016" t="s">
        <v>32</v>
      </c>
      <c r="H8016">
        <v>2815</v>
      </c>
      <c r="I8016" t="s">
        <v>99</v>
      </c>
      <c r="J8016">
        <v>3815</v>
      </c>
      <c r="K8016" t="s">
        <v>2410</v>
      </c>
      <c r="L8016">
        <v>0</v>
      </c>
      <c r="N8016" t="s">
        <v>372</v>
      </c>
      <c r="O8016">
        <v>1</v>
      </c>
      <c r="P8016">
        <v>1576</v>
      </c>
      <c r="Q8016" t="s">
        <v>650</v>
      </c>
      <c r="R8016" t="s">
        <v>201</v>
      </c>
      <c r="S8016">
        <v>1</v>
      </c>
      <c r="T8016">
        <v>1</v>
      </c>
      <c r="U8016">
        <v>130668</v>
      </c>
      <c r="V8016">
        <v>130668</v>
      </c>
    </row>
    <row r="8017" spans="1:22">
      <c r="A8017" t="s">
        <v>2333</v>
      </c>
      <c r="B8017">
        <v>51</v>
      </c>
      <c r="C8017" t="s">
        <v>32</v>
      </c>
      <c r="D8017" t="s">
        <v>2408</v>
      </c>
      <c r="E8017" t="s">
        <v>2409</v>
      </c>
      <c r="F8017">
        <v>1005</v>
      </c>
      <c r="G8017" t="s">
        <v>32</v>
      </c>
      <c r="H8017">
        <v>2815</v>
      </c>
      <c r="I8017" t="s">
        <v>99</v>
      </c>
      <c r="J8017">
        <v>3815</v>
      </c>
      <c r="K8017" t="s">
        <v>2410</v>
      </c>
      <c r="L8017">
        <v>0</v>
      </c>
      <c r="N8017" t="s">
        <v>372</v>
      </c>
      <c r="O8017">
        <v>1</v>
      </c>
      <c r="P8017">
        <v>1576</v>
      </c>
      <c r="Q8017" t="s">
        <v>650</v>
      </c>
      <c r="R8017" t="s">
        <v>201</v>
      </c>
      <c r="S8017">
        <v>1</v>
      </c>
      <c r="T8017">
        <v>1</v>
      </c>
      <c r="U8017">
        <v>75336</v>
      </c>
      <c r="V8017">
        <v>75336</v>
      </c>
    </row>
    <row r="8018" spans="1:22">
      <c r="A8018" t="s">
        <v>2333</v>
      </c>
      <c r="B8018">
        <v>51</v>
      </c>
      <c r="C8018" t="s">
        <v>32</v>
      </c>
      <c r="D8018" t="s">
        <v>2408</v>
      </c>
      <c r="E8018" t="s">
        <v>2409</v>
      </c>
      <c r="F8018">
        <v>1005</v>
      </c>
      <c r="G8018" t="s">
        <v>32</v>
      </c>
      <c r="H8018">
        <v>2815</v>
      </c>
      <c r="I8018" t="s">
        <v>99</v>
      </c>
      <c r="J8018">
        <v>3815</v>
      </c>
      <c r="K8018" t="s">
        <v>2410</v>
      </c>
      <c r="L8018">
        <v>0</v>
      </c>
      <c r="N8018" t="s">
        <v>397</v>
      </c>
      <c r="O8018">
        <v>3</v>
      </c>
      <c r="P8018">
        <v>1562</v>
      </c>
      <c r="Q8018" t="s">
        <v>2491</v>
      </c>
      <c r="R8018" t="s">
        <v>201</v>
      </c>
      <c r="S8018">
        <v>1</v>
      </c>
      <c r="T8018">
        <v>1</v>
      </c>
      <c r="U8018">
        <v>172584</v>
      </c>
      <c r="V8018">
        <v>172584</v>
      </c>
    </row>
    <row r="8019" spans="1:22">
      <c r="A8019" t="s">
        <v>2333</v>
      </c>
      <c r="B8019">
        <v>51</v>
      </c>
      <c r="C8019" t="s">
        <v>32</v>
      </c>
      <c r="D8019" t="s">
        <v>2408</v>
      </c>
      <c r="E8019" t="s">
        <v>2409</v>
      </c>
      <c r="F8019">
        <v>1005</v>
      </c>
      <c r="G8019" t="s">
        <v>32</v>
      </c>
      <c r="H8019">
        <v>2815</v>
      </c>
      <c r="I8019" t="s">
        <v>99</v>
      </c>
      <c r="J8019">
        <v>3815</v>
      </c>
      <c r="K8019" t="s">
        <v>2410</v>
      </c>
      <c r="L8019">
        <v>0</v>
      </c>
      <c r="N8019" t="s">
        <v>245</v>
      </c>
      <c r="O8019">
        <v>20</v>
      </c>
      <c r="P8019">
        <v>677</v>
      </c>
      <c r="Q8019" t="s">
        <v>2234</v>
      </c>
      <c r="R8019" t="s">
        <v>201</v>
      </c>
      <c r="S8019">
        <v>1</v>
      </c>
      <c r="T8019">
        <v>1</v>
      </c>
      <c r="U8019">
        <v>106272</v>
      </c>
      <c r="V8019">
        <v>106272</v>
      </c>
    </row>
    <row r="8020" spans="1:22">
      <c r="A8020" t="s">
        <v>2333</v>
      </c>
      <c r="B8020">
        <v>51</v>
      </c>
      <c r="C8020" t="s">
        <v>32</v>
      </c>
      <c r="D8020" t="s">
        <v>2408</v>
      </c>
      <c r="E8020" t="s">
        <v>2409</v>
      </c>
      <c r="F8020">
        <v>1005</v>
      </c>
      <c r="G8020" t="s">
        <v>32</v>
      </c>
      <c r="H8020">
        <v>2815</v>
      </c>
      <c r="I8020" t="s">
        <v>99</v>
      </c>
      <c r="J8020">
        <v>3815</v>
      </c>
      <c r="K8020" t="s">
        <v>2410</v>
      </c>
      <c r="L8020">
        <v>0</v>
      </c>
      <c r="N8020" t="s">
        <v>392</v>
      </c>
      <c r="O8020">
        <v>4</v>
      </c>
      <c r="P8020">
        <v>345</v>
      </c>
      <c r="Q8020" t="s">
        <v>393</v>
      </c>
      <c r="R8020" t="s">
        <v>201</v>
      </c>
      <c r="S8020">
        <v>1</v>
      </c>
      <c r="T8020">
        <v>1</v>
      </c>
      <c r="U8020">
        <v>136908</v>
      </c>
      <c r="V8020">
        <v>136908</v>
      </c>
    </row>
    <row r="8021" spans="1:22">
      <c r="A8021" t="s">
        <v>2333</v>
      </c>
      <c r="B8021">
        <v>51</v>
      </c>
      <c r="C8021" t="s">
        <v>32</v>
      </c>
      <c r="D8021" t="s">
        <v>2408</v>
      </c>
      <c r="E8021" t="s">
        <v>2409</v>
      </c>
      <c r="F8021">
        <v>1005</v>
      </c>
      <c r="G8021" t="s">
        <v>32</v>
      </c>
      <c r="H8021">
        <v>2815</v>
      </c>
      <c r="I8021" t="s">
        <v>99</v>
      </c>
      <c r="J8021">
        <v>3815</v>
      </c>
      <c r="K8021" t="s">
        <v>2410</v>
      </c>
      <c r="L8021">
        <v>0</v>
      </c>
      <c r="N8021" t="s">
        <v>249</v>
      </c>
      <c r="O8021">
        <v>10</v>
      </c>
      <c r="P8021">
        <v>310</v>
      </c>
      <c r="Q8021" t="s">
        <v>447</v>
      </c>
      <c r="R8021" t="s">
        <v>201</v>
      </c>
      <c r="S8021">
        <v>1</v>
      </c>
      <c r="T8021">
        <v>1</v>
      </c>
      <c r="U8021">
        <v>124584</v>
      </c>
      <c r="V8021">
        <v>124584</v>
      </c>
    </row>
    <row r="8022" spans="1:22">
      <c r="A8022" t="s">
        <v>2333</v>
      </c>
      <c r="B8022">
        <v>51</v>
      </c>
      <c r="C8022" t="s">
        <v>32</v>
      </c>
      <c r="D8022" t="s">
        <v>2408</v>
      </c>
      <c r="E8022" t="s">
        <v>2409</v>
      </c>
      <c r="F8022">
        <v>1005</v>
      </c>
      <c r="G8022" t="s">
        <v>32</v>
      </c>
      <c r="H8022">
        <v>2815</v>
      </c>
      <c r="I8022" t="s">
        <v>99</v>
      </c>
      <c r="J8022">
        <v>3815</v>
      </c>
      <c r="K8022" t="s">
        <v>2410</v>
      </c>
      <c r="L8022">
        <v>0</v>
      </c>
      <c r="N8022" t="s">
        <v>341</v>
      </c>
      <c r="O8022">
        <v>1</v>
      </c>
      <c r="P8022">
        <v>308</v>
      </c>
      <c r="Q8022" t="s">
        <v>355</v>
      </c>
      <c r="R8022" t="s">
        <v>201</v>
      </c>
      <c r="S8022">
        <v>1</v>
      </c>
      <c r="T8022">
        <v>1</v>
      </c>
      <c r="U8022">
        <v>81324</v>
      </c>
      <c r="V8022">
        <v>81324</v>
      </c>
    </row>
    <row r="8023" spans="1:22">
      <c r="A8023" t="s">
        <v>2333</v>
      </c>
      <c r="B8023">
        <v>51</v>
      </c>
      <c r="C8023" t="s">
        <v>32</v>
      </c>
      <c r="D8023" t="s">
        <v>2408</v>
      </c>
      <c r="E8023" t="s">
        <v>2409</v>
      </c>
      <c r="F8023">
        <v>1005</v>
      </c>
      <c r="G8023" t="s">
        <v>32</v>
      </c>
      <c r="H8023">
        <v>2815</v>
      </c>
      <c r="I8023" t="s">
        <v>99</v>
      </c>
      <c r="J8023">
        <v>3815</v>
      </c>
      <c r="K8023" t="s">
        <v>2410</v>
      </c>
      <c r="L8023">
        <v>0</v>
      </c>
      <c r="N8023" t="s">
        <v>392</v>
      </c>
      <c r="O8023">
        <v>1</v>
      </c>
      <c r="P8023">
        <v>123</v>
      </c>
      <c r="Q8023" t="s">
        <v>1223</v>
      </c>
      <c r="R8023" t="s">
        <v>201</v>
      </c>
      <c r="S8023">
        <v>1</v>
      </c>
      <c r="T8023">
        <v>1</v>
      </c>
      <c r="U8023">
        <v>112536</v>
      </c>
      <c r="V8023">
        <v>112536</v>
      </c>
    </row>
    <row r="8024" spans="1:22">
      <c r="A8024" t="s">
        <v>2333</v>
      </c>
      <c r="B8024">
        <v>51</v>
      </c>
      <c r="C8024" t="s">
        <v>32</v>
      </c>
      <c r="D8024" t="s">
        <v>2408</v>
      </c>
      <c r="E8024" t="s">
        <v>2409</v>
      </c>
      <c r="F8024">
        <v>1005</v>
      </c>
      <c r="G8024" t="s">
        <v>32</v>
      </c>
      <c r="H8024">
        <v>2815</v>
      </c>
      <c r="I8024" t="s">
        <v>99</v>
      </c>
      <c r="J8024">
        <v>3815</v>
      </c>
      <c r="K8024" t="s">
        <v>2410</v>
      </c>
      <c r="L8024">
        <v>0</v>
      </c>
      <c r="N8024" t="s">
        <v>199</v>
      </c>
      <c r="O8024">
        <v>0</v>
      </c>
      <c r="P8024">
        <v>44</v>
      </c>
      <c r="Q8024" t="s">
        <v>2337</v>
      </c>
      <c r="R8024" t="s">
        <v>201</v>
      </c>
      <c r="S8024">
        <v>0</v>
      </c>
      <c r="T8024">
        <v>0</v>
      </c>
      <c r="U8024">
        <v>696481</v>
      </c>
      <c r="V8024">
        <v>696481</v>
      </c>
    </row>
    <row r="8025" spans="1:22">
      <c r="A8025" t="s">
        <v>2333</v>
      </c>
      <c r="B8025">
        <v>51</v>
      </c>
      <c r="C8025" t="s">
        <v>32</v>
      </c>
      <c r="D8025" t="s">
        <v>2408</v>
      </c>
      <c r="E8025" t="s">
        <v>2409</v>
      </c>
      <c r="F8025">
        <v>1005</v>
      </c>
      <c r="G8025" t="s">
        <v>32</v>
      </c>
      <c r="H8025">
        <v>2815</v>
      </c>
      <c r="I8025" t="s">
        <v>99</v>
      </c>
      <c r="J8025">
        <v>3815</v>
      </c>
      <c r="K8025" t="s">
        <v>2410</v>
      </c>
      <c r="L8025">
        <v>0</v>
      </c>
      <c r="N8025" t="s">
        <v>199</v>
      </c>
      <c r="O8025">
        <v>0</v>
      </c>
      <c r="P8025">
        <v>15</v>
      </c>
      <c r="Q8025" t="s">
        <v>264</v>
      </c>
      <c r="R8025" t="s">
        <v>201</v>
      </c>
      <c r="S8025">
        <v>0</v>
      </c>
      <c r="T8025">
        <v>0</v>
      </c>
      <c r="U8025">
        <v>14367</v>
      </c>
      <c r="V8025">
        <v>14367</v>
      </c>
    </row>
    <row r="8026" spans="1:22">
      <c r="A8026" t="s">
        <v>2333</v>
      </c>
      <c r="B8026">
        <v>51</v>
      </c>
      <c r="C8026" t="s">
        <v>32</v>
      </c>
      <c r="D8026" t="s">
        <v>2408</v>
      </c>
      <c r="E8026" t="s">
        <v>2409</v>
      </c>
      <c r="F8026">
        <v>1005</v>
      </c>
      <c r="G8026" t="s">
        <v>32</v>
      </c>
      <c r="H8026">
        <v>2996</v>
      </c>
      <c r="I8026" t="s">
        <v>130</v>
      </c>
      <c r="J8026">
        <v>3996</v>
      </c>
      <c r="K8026" t="s">
        <v>2492</v>
      </c>
      <c r="L8026">
        <v>0</v>
      </c>
      <c r="N8026" t="s">
        <v>249</v>
      </c>
      <c r="O8026">
        <v>10</v>
      </c>
      <c r="P8026">
        <v>311</v>
      </c>
      <c r="Q8026" t="s">
        <v>661</v>
      </c>
      <c r="R8026" t="s">
        <v>201</v>
      </c>
      <c r="S8026">
        <v>1</v>
      </c>
      <c r="T8026">
        <v>1</v>
      </c>
      <c r="U8026">
        <v>89112</v>
      </c>
      <c r="V8026">
        <v>89112</v>
      </c>
    </row>
    <row r="8027" spans="1:22">
      <c r="A8027" t="s">
        <v>2333</v>
      </c>
      <c r="B8027">
        <v>51</v>
      </c>
      <c r="C8027" t="s">
        <v>32</v>
      </c>
      <c r="D8027" t="s">
        <v>2408</v>
      </c>
      <c r="E8027" t="s">
        <v>2409</v>
      </c>
      <c r="F8027">
        <v>1005</v>
      </c>
      <c r="G8027" t="s">
        <v>32</v>
      </c>
      <c r="H8027">
        <v>2996</v>
      </c>
      <c r="I8027" t="s">
        <v>130</v>
      </c>
      <c r="J8027">
        <v>3996</v>
      </c>
      <c r="K8027" t="s">
        <v>2492</v>
      </c>
      <c r="L8027">
        <v>0</v>
      </c>
      <c r="N8027" t="s">
        <v>199</v>
      </c>
      <c r="O8027">
        <v>0</v>
      </c>
      <c r="P8027">
        <v>44</v>
      </c>
      <c r="Q8027" t="s">
        <v>2337</v>
      </c>
      <c r="R8027" t="s">
        <v>201</v>
      </c>
      <c r="S8027">
        <v>0</v>
      </c>
      <c r="T8027">
        <v>0</v>
      </c>
      <c r="U8027">
        <v>49867</v>
      </c>
      <c r="V8027">
        <v>49867</v>
      </c>
    </row>
    <row r="8028" spans="1:22">
      <c r="A8028" t="s">
        <v>2333</v>
      </c>
      <c r="B8028">
        <v>51</v>
      </c>
      <c r="C8028" t="s">
        <v>32</v>
      </c>
      <c r="D8028" t="s">
        <v>2408</v>
      </c>
      <c r="E8028" t="s">
        <v>2409</v>
      </c>
      <c r="F8028">
        <v>1005</v>
      </c>
      <c r="G8028" t="s">
        <v>32</v>
      </c>
      <c r="H8028">
        <v>2996</v>
      </c>
      <c r="I8028" t="s">
        <v>130</v>
      </c>
      <c r="J8028">
        <v>3996</v>
      </c>
      <c r="K8028" t="s">
        <v>2492</v>
      </c>
      <c r="L8028">
        <v>0</v>
      </c>
      <c r="N8028" t="s">
        <v>199</v>
      </c>
      <c r="O8028">
        <v>0</v>
      </c>
      <c r="P8028">
        <v>15</v>
      </c>
      <c r="Q8028" t="s">
        <v>264</v>
      </c>
      <c r="R8028" t="s">
        <v>201</v>
      </c>
      <c r="S8028">
        <v>0</v>
      </c>
      <c r="T8028">
        <v>0</v>
      </c>
      <c r="U8028">
        <v>2136</v>
      </c>
      <c r="V8028">
        <v>2136</v>
      </c>
    </row>
    <row r="8029" spans="1:22">
      <c r="A8029" t="s">
        <v>2333</v>
      </c>
      <c r="B8029">
        <v>57</v>
      </c>
      <c r="C8029" t="s">
        <v>31</v>
      </c>
      <c r="D8029" t="s">
        <v>2408</v>
      </c>
      <c r="E8029" t="s">
        <v>2409</v>
      </c>
      <c r="F8029">
        <v>1005</v>
      </c>
      <c r="G8029" t="s">
        <v>31</v>
      </c>
      <c r="H8029" t="s">
        <v>2385</v>
      </c>
      <c r="I8029" t="s">
        <v>99</v>
      </c>
      <c r="J8029" t="s">
        <v>2386</v>
      </c>
      <c r="K8029" t="s">
        <v>2410</v>
      </c>
      <c r="L8029">
        <v>0</v>
      </c>
      <c r="N8029" t="s">
        <v>253</v>
      </c>
      <c r="O8029">
        <v>10</v>
      </c>
      <c r="P8029">
        <v>9119</v>
      </c>
      <c r="Q8029" t="s">
        <v>2493</v>
      </c>
      <c r="R8029" t="s">
        <v>201</v>
      </c>
      <c r="S8029">
        <v>1</v>
      </c>
      <c r="T8029">
        <v>1</v>
      </c>
      <c r="U8029">
        <v>83052</v>
      </c>
      <c r="V8029">
        <v>83052</v>
      </c>
    </row>
    <row r="8030" spans="1:22">
      <c r="A8030" t="s">
        <v>2333</v>
      </c>
      <c r="B8030">
        <v>57</v>
      </c>
      <c r="C8030" t="s">
        <v>31</v>
      </c>
      <c r="D8030" t="s">
        <v>2408</v>
      </c>
      <c r="E8030" t="s">
        <v>2409</v>
      </c>
      <c r="F8030">
        <v>1005</v>
      </c>
      <c r="G8030" t="s">
        <v>31</v>
      </c>
      <c r="H8030" t="s">
        <v>2385</v>
      </c>
      <c r="I8030" t="s">
        <v>99</v>
      </c>
      <c r="J8030" t="s">
        <v>2386</v>
      </c>
      <c r="K8030" t="s">
        <v>2410</v>
      </c>
      <c r="L8030">
        <v>0</v>
      </c>
      <c r="N8030" t="s">
        <v>199</v>
      </c>
      <c r="O8030">
        <v>0</v>
      </c>
      <c r="P8030">
        <v>44</v>
      </c>
      <c r="Q8030" t="s">
        <v>2337</v>
      </c>
      <c r="R8030" t="s">
        <v>201</v>
      </c>
      <c r="S8030">
        <v>0</v>
      </c>
      <c r="T8030">
        <v>0</v>
      </c>
      <c r="U8030">
        <v>46476</v>
      </c>
      <c r="V8030">
        <v>46476</v>
      </c>
    </row>
    <row r="8031" spans="1:22">
      <c r="A8031" t="s">
        <v>2333</v>
      </c>
      <c r="B8031">
        <v>57</v>
      </c>
      <c r="C8031" t="s">
        <v>31</v>
      </c>
      <c r="D8031" t="s">
        <v>2408</v>
      </c>
      <c r="E8031" t="s">
        <v>2409</v>
      </c>
      <c r="F8031">
        <v>1005</v>
      </c>
      <c r="G8031" t="s">
        <v>31</v>
      </c>
      <c r="H8031" t="s">
        <v>2385</v>
      </c>
      <c r="I8031" t="s">
        <v>99</v>
      </c>
      <c r="J8031" t="s">
        <v>2386</v>
      </c>
      <c r="K8031" t="s">
        <v>2410</v>
      </c>
      <c r="L8031">
        <v>0</v>
      </c>
      <c r="N8031" t="s">
        <v>199</v>
      </c>
      <c r="O8031">
        <v>0</v>
      </c>
      <c r="P8031">
        <v>15</v>
      </c>
      <c r="Q8031" t="s">
        <v>264</v>
      </c>
      <c r="R8031" t="s">
        <v>201</v>
      </c>
      <c r="S8031">
        <v>0</v>
      </c>
      <c r="T8031">
        <v>0</v>
      </c>
      <c r="U8031">
        <v>1038</v>
      </c>
      <c r="V8031">
        <v>1038</v>
      </c>
    </row>
    <row r="8032" spans="1:22">
      <c r="A8032" t="s">
        <v>2333</v>
      </c>
      <c r="B8032">
        <v>57</v>
      </c>
      <c r="C8032" t="s">
        <v>31</v>
      </c>
      <c r="D8032" t="s">
        <v>2408</v>
      </c>
      <c r="E8032" t="s">
        <v>2409</v>
      </c>
      <c r="F8032">
        <v>1005</v>
      </c>
      <c r="G8032" t="s">
        <v>31</v>
      </c>
      <c r="H8032" t="s">
        <v>2494</v>
      </c>
      <c r="I8032" t="s">
        <v>41</v>
      </c>
      <c r="J8032" t="s">
        <v>2495</v>
      </c>
      <c r="K8032" t="s">
        <v>2496</v>
      </c>
      <c r="L8032">
        <v>0</v>
      </c>
      <c r="N8032" t="s">
        <v>1309</v>
      </c>
      <c r="O8032">
        <v>91</v>
      </c>
      <c r="P8032">
        <v>9161</v>
      </c>
      <c r="Q8032" t="s">
        <v>1310</v>
      </c>
      <c r="R8032" t="s">
        <v>201</v>
      </c>
      <c r="S8032">
        <v>45</v>
      </c>
      <c r="T8032">
        <v>1</v>
      </c>
      <c r="U8032">
        <v>105906</v>
      </c>
      <c r="V8032">
        <v>4765770</v>
      </c>
    </row>
    <row r="8033" spans="1:22">
      <c r="A8033" t="s">
        <v>2333</v>
      </c>
      <c r="B8033">
        <v>57</v>
      </c>
      <c r="C8033" t="s">
        <v>31</v>
      </c>
      <c r="D8033" t="s">
        <v>2408</v>
      </c>
      <c r="E8033" t="s">
        <v>2409</v>
      </c>
      <c r="F8033">
        <v>1005</v>
      </c>
      <c r="G8033" t="s">
        <v>31</v>
      </c>
      <c r="H8033" t="s">
        <v>2494</v>
      </c>
      <c r="I8033" t="s">
        <v>41</v>
      </c>
      <c r="J8033" t="s">
        <v>2495</v>
      </c>
      <c r="K8033" t="s">
        <v>2496</v>
      </c>
      <c r="L8033">
        <v>0</v>
      </c>
      <c r="N8033" t="s">
        <v>1309</v>
      </c>
      <c r="O8033">
        <v>91</v>
      </c>
      <c r="P8033">
        <v>9161</v>
      </c>
      <c r="Q8033" t="s">
        <v>1310</v>
      </c>
      <c r="R8033" t="s">
        <v>201</v>
      </c>
      <c r="S8033">
        <v>1</v>
      </c>
      <c r="T8033">
        <v>1</v>
      </c>
      <c r="U8033">
        <v>100950</v>
      </c>
      <c r="V8033">
        <v>100950</v>
      </c>
    </row>
    <row r="8034" spans="1:22">
      <c r="A8034" t="s">
        <v>2333</v>
      </c>
      <c r="B8034">
        <v>57</v>
      </c>
      <c r="C8034" t="s">
        <v>31</v>
      </c>
      <c r="D8034" t="s">
        <v>2408</v>
      </c>
      <c r="E8034" t="s">
        <v>2409</v>
      </c>
      <c r="F8034">
        <v>1005</v>
      </c>
      <c r="G8034" t="s">
        <v>31</v>
      </c>
      <c r="H8034" t="s">
        <v>2494</v>
      </c>
      <c r="I8034" t="s">
        <v>41</v>
      </c>
      <c r="J8034" t="s">
        <v>2495</v>
      </c>
      <c r="K8034" t="s">
        <v>2496</v>
      </c>
      <c r="L8034">
        <v>0</v>
      </c>
      <c r="N8034" t="s">
        <v>1309</v>
      </c>
      <c r="O8034">
        <v>91</v>
      </c>
      <c r="P8034">
        <v>9161</v>
      </c>
      <c r="Q8034" t="s">
        <v>1310</v>
      </c>
      <c r="R8034" t="s">
        <v>201</v>
      </c>
      <c r="S8034">
        <v>52</v>
      </c>
      <c r="T8034">
        <v>1</v>
      </c>
      <c r="U8034">
        <v>63636</v>
      </c>
      <c r="V8034">
        <v>3309072</v>
      </c>
    </row>
    <row r="8035" spans="1:22">
      <c r="A8035" t="s">
        <v>2333</v>
      </c>
      <c r="B8035">
        <v>57</v>
      </c>
      <c r="C8035" t="s">
        <v>31</v>
      </c>
      <c r="D8035" t="s">
        <v>2408</v>
      </c>
      <c r="E8035" t="s">
        <v>2409</v>
      </c>
      <c r="F8035">
        <v>1005</v>
      </c>
      <c r="G8035" t="s">
        <v>31</v>
      </c>
      <c r="H8035" t="s">
        <v>2494</v>
      </c>
      <c r="I8035" t="s">
        <v>41</v>
      </c>
      <c r="J8035" t="s">
        <v>2495</v>
      </c>
      <c r="K8035" t="s">
        <v>2496</v>
      </c>
      <c r="L8035">
        <v>0</v>
      </c>
      <c r="N8035" t="s">
        <v>199</v>
      </c>
      <c r="O8035">
        <v>0</v>
      </c>
      <c r="P8035">
        <v>44</v>
      </c>
      <c r="Q8035" t="s">
        <v>2337</v>
      </c>
      <c r="R8035" t="s">
        <v>201</v>
      </c>
      <c r="S8035">
        <v>0</v>
      </c>
      <c r="T8035">
        <v>0</v>
      </c>
      <c r="U8035">
        <v>4575174</v>
      </c>
      <c r="V8035">
        <v>4575174</v>
      </c>
    </row>
    <row r="8036" spans="1:22">
      <c r="A8036" t="s">
        <v>2333</v>
      </c>
      <c r="B8036">
        <v>57</v>
      </c>
      <c r="C8036" t="s">
        <v>31</v>
      </c>
      <c r="D8036" t="s">
        <v>2408</v>
      </c>
      <c r="E8036" t="s">
        <v>2409</v>
      </c>
      <c r="F8036">
        <v>1005</v>
      </c>
      <c r="G8036" t="s">
        <v>31</v>
      </c>
      <c r="H8036" t="s">
        <v>2494</v>
      </c>
      <c r="I8036" t="s">
        <v>41</v>
      </c>
      <c r="J8036" t="s">
        <v>2495</v>
      </c>
      <c r="K8036" t="s">
        <v>2496</v>
      </c>
      <c r="L8036">
        <v>0</v>
      </c>
      <c r="N8036" t="s">
        <v>199</v>
      </c>
      <c r="O8036">
        <v>0</v>
      </c>
      <c r="P8036">
        <v>15</v>
      </c>
      <c r="Q8036" t="s">
        <v>264</v>
      </c>
      <c r="R8036" t="s">
        <v>201</v>
      </c>
      <c r="S8036">
        <v>0</v>
      </c>
      <c r="T8036">
        <v>0</v>
      </c>
      <c r="U8036">
        <v>113103</v>
      </c>
      <c r="V8036">
        <v>113103</v>
      </c>
    </row>
    <row r="8037" spans="1:22">
      <c r="A8037" t="s">
        <v>2333</v>
      </c>
      <c r="B8037">
        <v>57</v>
      </c>
      <c r="C8037" t="s">
        <v>31</v>
      </c>
      <c r="D8037" t="s">
        <v>2408</v>
      </c>
      <c r="E8037" t="s">
        <v>2409</v>
      </c>
      <c r="F8037">
        <v>1005</v>
      </c>
      <c r="G8037" t="s">
        <v>31</v>
      </c>
      <c r="H8037" t="s">
        <v>2497</v>
      </c>
      <c r="I8037" t="s">
        <v>167</v>
      </c>
      <c r="J8037" t="s">
        <v>2498</v>
      </c>
      <c r="K8037" t="s">
        <v>2499</v>
      </c>
      <c r="L8037">
        <v>0</v>
      </c>
      <c r="N8037" t="s">
        <v>281</v>
      </c>
      <c r="O8037">
        <v>20</v>
      </c>
      <c r="P8037">
        <v>1141</v>
      </c>
      <c r="Q8037" t="s">
        <v>332</v>
      </c>
      <c r="R8037" t="s">
        <v>201</v>
      </c>
      <c r="S8037">
        <v>1</v>
      </c>
      <c r="T8037">
        <v>1</v>
      </c>
      <c r="U8037">
        <v>82884</v>
      </c>
      <c r="V8037">
        <v>82884</v>
      </c>
    </row>
    <row r="8038" spans="1:22">
      <c r="A8038" t="s">
        <v>2333</v>
      </c>
      <c r="B8038">
        <v>57</v>
      </c>
      <c r="C8038" t="s">
        <v>31</v>
      </c>
      <c r="D8038" t="s">
        <v>2408</v>
      </c>
      <c r="E8038" t="s">
        <v>2409</v>
      </c>
      <c r="F8038">
        <v>1005</v>
      </c>
      <c r="G8038" t="s">
        <v>31</v>
      </c>
      <c r="H8038" t="s">
        <v>2497</v>
      </c>
      <c r="I8038" t="s">
        <v>167</v>
      </c>
      <c r="J8038" t="s">
        <v>2498</v>
      </c>
      <c r="K8038" t="s">
        <v>2499</v>
      </c>
      <c r="L8038">
        <v>0</v>
      </c>
      <c r="N8038" t="s">
        <v>199</v>
      </c>
      <c r="O8038">
        <v>0</v>
      </c>
      <c r="P8038">
        <v>44</v>
      </c>
      <c r="Q8038" t="s">
        <v>2337</v>
      </c>
      <c r="R8038" t="s">
        <v>201</v>
      </c>
      <c r="S8038">
        <v>0</v>
      </c>
      <c r="T8038">
        <v>0</v>
      </c>
      <c r="U8038">
        <v>46382</v>
      </c>
      <c r="V8038">
        <v>46382</v>
      </c>
    </row>
    <row r="8039" spans="1:22">
      <c r="A8039" t="s">
        <v>2333</v>
      </c>
      <c r="B8039">
        <v>57</v>
      </c>
      <c r="C8039" t="s">
        <v>31</v>
      </c>
      <c r="D8039" t="s">
        <v>2408</v>
      </c>
      <c r="E8039" t="s">
        <v>2409</v>
      </c>
      <c r="F8039">
        <v>1005</v>
      </c>
      <c r="G8039" t="s">
        <v>31</v>
      </c>
      <c r="H8039" t="s">
        <v>2497</v>
      </c>
      <c r="I8039" t="s">
        <v>167</v>
      </c>
      <c r="J8039" t="s">
        <v>2498</v>
      </c>
      <c r="K8039" t="s">
        <v>2499</v>
      </c>
      <c r="L8039">
        <v>0</v>
      </c>
      <c r="N8039" t="s">
        <v>199</v>
      </c>
      <c r="O8039">
        <v>0</v>
      </c>
      <c r="P8039">
        <v>15</v>
      </c>
      <c r="Q8039" t="s">
        <v>264</v>
      </c>
      <c r="R8039" t="s">
        <v>201</v>
      </c>
      <c r="S8039">
        <v>0</v>
      </c>
      <c r="T8039">
        <v>0</v>
      </c>
      <c r="U8039">
        <v>1176</v>
      </c>
      <c r="V8039">
        <v>1176</v>
      </c>
    </row>
    <row r="8040" spans="1:22">
      <c r="A8040" t="s">
        <v>2333</v>
      </c>
      <c r="B8040">
        <v>57</v>
      </c>
      <c r="C8040" t="s">
        <v>31</v>
      </c>
      <c r="D8040" t="s">
        <v>2408</v>
      </c>
      <c r="E8040" t="s">
        <v>2409</v>
      </c>
      <c r="F8040">
        <v>1005</v>
      </c>
      <c r="G8040" t="s">
        <v>31</v>
      </c>
      <c r="H8040">
        <v>2921</v>
      </c>
      <c r="I8040" t="s">
        <v>79</v>
      </c>
      <c r="J8040">
        <v>3921</v>
      </c>
      <c r="K8040" t="s">
        <v>2500</v>
      </c>
      <c r="L8040">
        <v>0</v>
      </c>
      <c r="N8040" t="s">
        <v>1309</v>
      </c>
      <c r="O8040">
        <v>91</v>
      </c>
      <c r="P8040">
        <v>9161</v>
      </c>
      <c r="Q8040" t="s">
        <v>1310</v>
      </c>
      <c r="R8040" t="s">
        <v>201</v>
      </c>
      <c r="S8040">
        <v>23</v>
      </c>
      <c r="T8040">
        <v>1</v>
      </c>
      <c r="U8040">
        <v>111252</v>
      </c>
      <c r="V8040">
        <v>2558796</v>
      </c>
    </row>
    <row r="8041" spans="1:22">
      <c r="A8041" t="s">
        <v>2333</v>
      </c>
      <c r="B8041">
        <v>57</v>
      </c>
      <c r="C8041" t="s">
        <v>31</v>
      </c>
      <c r="D8041" t="s">
        <v>2408</v>
      </c>
      <c r="E8041" t="s">
        <v>2409</v>
      </c>
      <c r="F8041">
        <v>1005</v>
      </c>
      <c r="G8041" t="s">
        <v>31</v>
      </c>
      <c r="H8041">
        <v>2921</v>
      </c>
      <c r="I8041" t="s">
        <v>79</v>
      </c>
      <c r="J8041">
        <v>3921</v>
      </c>
      <c r="K8041" t="s">
        <v>2500</v>
      </c>
      <c r="L8041">
        <v>0</v>
      </c>
      <c r="N8041" t="s">
        <v>1309</v>
      </c>
      <c r="O8041">
        <v>91</v>
      </c>
      <c r="P8041">
        <v>9161</v>
      </c>
      <c r="Q8041" t="s">
        <v>1310</v>
      </c>
      <c r="R8041" t="s">
        <v>201</v>
      </c>
      <c r="S8041">
        <v>9</v>
      </c>
      <c r="T8041">
        <v>1</v>
      </c>
      <c r="U8041">
        <v>63636</v>
      </c>
      <c r="V8041">
        <v>572724</v>
      </c>
    </row>
    <row r="8042" spans="1:22">
      <c r="A8042" t="s">
        <v>2333</v>
      </c>
      <c r="B8042">
        <v>57</v>
      </c>
      <c r="C8042" t="s">
        <v>31</v>
      </c>
      <c r="D8042" t="s">
        <v>2408</v>
      </c>
      <c r="E8042" t="s">
        <v>2409</v>
      </c>
      <c r="F8042">
        <v>1005</v>
      </c>
      <c r="G8042" t="s">
        <v>31</v>
      </c>
      <c r="H8042">
        <v>2921</v>
      </c>
      <c r="I8042" t="s">
        <v>79</v>
      </c>
      <c r="J8042">
        <v>3921</v>
      </c>
      <c r="K8042" t="s">
        <v>2500</v>
      </c>
      <c r="L8042">
        <v>0</v>
      </c>
      <c r="N8042" t="s">
        <v>1344</v>
      </c>
      <c r="O8042">
        <v>91</v>
      </c>
      <c r="P8042">
        <v>9158</v>
      </c>
      <c r="Q8042" t="s">
        <v>1395</v>
      </c>
      <c r="R8042" t="s">
        <v>201</v>
      </c>
      <c r="S8042">
        <v>1</v>
      </c>
      <c r="T8042">
        <v>1</v>
      </c>
      <c r="U8042">
        <v>147252</v>
      </c>
      <c r="V8042">
        <v>147252</v>
      </c>
    </row>
    <row r="8043" spans="1:22">
      <c r="A8043" t="s">
        <v>2333</v>
      </c>
      <c r="B8043">
        <v>57</v>
      </c>
      <c r="C8043" t="s">
        <v>31</v>
      </c>
      <c r="D8043" t="s">
        <v>2408</v>
      </c>
      <c r="E8043" t="s">
        <v>2409</v>
      </c>
      <c r="F8043">
        <v>1005</v>
      </c>
      <c r="G8043" t="s">
        <v>31</v>
      </c>
      <c r="H8043">
        <v>2921</v>
      </c>
      <c r="I8043" t="s">
        <v>79</v>
      </c>
      <c r="J8043">
        <v>3921</v>
      </c>
      <c r="K8043" t="s">
        <v>2500</v>
      </c>
      <c r="L8043">
        <v>0</v>
      </c>
      <c r="N8043" t="s">
        <v>1344</v>
      </c>
      <c r="O8043">
        <v>91</v>
      </c>
      <c r="P8043">
        <v>9158</v>
      </c>
      <c r="Q8043" t="s">
        <v>1395</v>
      </c>
      <c r="R8043" t="s">
        <v>201</v>
      </c>
      <c r="S8043">
        <v>1</v>
      </c>
      <c r="T8043">
        <v>1</v>
      </c>
      <c r="U8043">
        <v>142668</v>
      </c>
      <c r="V8043">
        <v>142668</v>
      </c>
    </row>
    <row r="8044" spans="1:22">
      <c r="A8044" t="s">
        <v>2333</v>
      </c>
      <c r="B8044">
        <v>57</v>
      </c>
      <c r="C8044" t="s">
        <v>31</v>
      </c>
      <c r="D8044" t="s">
        <v>2408</v>
      </c>
      <c r="E8044" t="s">
        <v>2409</v>
      </c>
      <c r="F8044">
        <v>1005</v>
      </c>
      <c r="G8044" t="s">
        <v>31</v>
      </c>
      <c r="H8044">
        <v>2921</v>
      </c>
      <c r="I8044" t="s">
        <v>79</v>
      </c>
      <c r="J8044">
        <v>3921</v>
      </c>
      <c r="K8044" t="s">
        <v>2500</v>
      </c>
      <c r="L8044">
        <v>0</v>
      </c>
      <c r="N8044" t="s">
        <v>199</v>
      </c>
      <c r="O8044">
        <v>0</v>
      </c>
      <c r="P8044">
        <v>44</v>
      </c>
      <c r="Q8044" t="s">
        <v>2337</v>
      </c>
      <c r="R8044" t="s">
        <v>201</v>
      </c>
      <c r="S8044">
        <v>0</v>
      </c>
      <c r="T8044">
        <v>0</v>
      </c>
      <c r="U8044">
        <v>1914637</v>
      </c>
      <c r="V8044">
        <v>1914637</v>
      </c>
    </row>
    <row r="8045" spans="1:22">
      <c r="A8045" t="s">
        <v>2333</v>
      </c>
      <c r="B8045">
        <v>57</v>
      </c>
      <c r="C8045" t="s">
        <v>31</v>
      </c>
      <c r="D8045" t="s">
        <v>2408</v>
      </c>
      <c r="E8045" t="s">
        <v>2409</v>
      </c>
      <c r="F8045">
        <v>1005</v>
      </c>
      <c r="G8045" t="s">
        <v>31</v>
      </c>
      <c r="H8045">
        <v>2996</v>
      </c>
      <c r="I8045" t="s">
        <v>130</v>
      </c>
      <c r="J8045">
        <v>3996</v>
      </c>
      <c r="K8045" t="s">
        <v>2501</v>
      </c>
      <c r="L8045">
        <v>0</v>
      </c>
      <c r="N8045" t="s">
        <v>839</v>
      </c>
      <c r="O8045">
        <v>0</v>
      </c>
      <c r="P8045">
        <v>9107</v>
      </c>
      <c r="Q8045" t="s">
        <v>1358</v>
      </c>
      <c r="R8045" t="s">
        <v>713</v>
      </c>
      <c r="S8045">
        <v>14335</v>
      </c>
      <c r="T8045">
        <v>0</v>
      </c>
      <c r="U8045">
        <v>35</v>
      </c>
      <c r="V8045">
        <v>501725</v>
      </c>
    </row>
    <row r="8046" spans="1:22">
      <c r="A8046" t="s">
        <v>2333</v>
      </c>
      <c r="B8046">
        <v>57</v>
      </c>
      <c r="C8046" t="s">
        <v>31</v>
      </c>
      <c r="D8046" t="s">
        <v>2408</v>
      </c>
      <c r="E8046" t="s">
        <v>2409</v>
      </c>
      <c r="F8046">
        <v>1005</v>
      </c>
      <c r="G8046" t="s">
        <v>31</v>
      </c>
      <c r="H8046">
        <v>2996</v>
      </c>
      <c r="I8046" t="s">
        <v>130</v>
      </c>
      <c r="J8046">
        <v>3996</v>
      </c>
      <c r="K8046" t="s">
        <v>2501</v>
      </c>
      <c r="L8046">
        <v>0</v>
      </c>
      <c r="N8046" t="s">
        <v>199</v>
      </c>
      <c r="O8046">
        <v>0</v>
      </c>
      <c r="P8046">
        <v>44</v>
      </c>
      <c r="Q8046" t="s">
        <v>2337</v>
      </c>
      <c r="R8046" t="s">
        <v>201</v>
      </c>
      <c r="S8046">
        <v>0</v>
      </c>
      <c r="T8046">
        <v>0</v>
      </c>
      <c r="U8046">
        <v>280765</v>
      </c>
      <c r="V8046">
        <v>280765</v>
      </c>
    </row>
    <row r="8047" spans="1:22">
      <c r="A8047" t="s">
        <v>2333</v>
      </c>
      <c r="B8047">
        <v>59</v>
      </c>
      <c r="C8047" t="s">
        <v>3</v>
      </c>
      <c r="D8047" t="s">
        <v>2408</v>
      </c>
      <c r="E8047" t="s">
        <v>2409</v>
      </c>
      <c r="F8047">
        <v>1005</v>
      </c>
      <c r="G8047" t="s">
        <v>3</v>
      </c>
      <c r="H8047">
        <v>2823</v>
      </c>
      <c r="I8047" t="s">
        <v>144</v>
      </c>
      <c r="J8047">
        <v>3823</v>
      </c>
      <c r="K8047" t="s">
        <v>2502</v>
      </c>
      <c r="L8047">
        <v>0</v>
      </c>
      <c r="N8047" t="s">
        <v>1475</v>
      </c>
      <c r="O8047">
        <v>80</v>
      </c>
      <c r="P8047">
        <v>8726</v>
      </c>
      <c r="Q8047" t="s">
        <v>1476</v>
      </c>
      <c r="R8047" t="s">
        <v>201</v>
      </c>
      <c r="S8047">
        <v>1</v>
      </c>
      <c r="T8047">
        <v>1</v>
      </c>
      <c r="U8047">
        <v>156726</v>
      </c>
      <c r="V8047">
        <v>156726</v>
      </c>
    </row>
    <row r="8048" spans="1:22">
      <c r="A8048" t="s">
        <v>2333</v>
      </c>
      <c r="B8048">
        <v>59</v>
      </c>
      <c r="C8048" t="s">
        <v>3</v>
      </c>
      <c r="D8048" t="s">
        <v>2408</v>
      </c>
      <c r="E8048" t="s">
        <v>2409</v>
      </c>
      <c r="F8048">
        <v>1005</v>
      </c>
      <c r="G8048" t="s">
        <v>3</v>
      </c>
      <c r="H8048">
        <v>2823</v>
      </c>
      <c r="I8048" t="s">
        <v>144</v>
      </c>
      <c r="J8048">
        <v>3823</v>
      </c>
      <c r="K8048" t="s">
        <v>2502</v>
      </c>
      <c r="L8048">
        <v>0</v>
      </c>
      <c r="N8048" t="s">
        <v>249</v>
      </c>
      <c r="O8048">
        <v>10</v>
      </c>
      <c r="P8048">
        <v>311</v>
      </c>
      <c r="Q8048" t="s">
        <v>661</v>
      </c>
      <c r="R8048" t="s">
        <v>201</v>
      </c>
      <c r="S8048">
        <v>1</v>
      </c>
      <c r="T8048">
        <v>1</v>
      </c>
      <c r="U8048">
        <v>118956</v>
      </c>
      <c r="V8048">
        <v>118956</v>
      </c>
    </row>
    <row r="8049" spans="1:22">
      <c r="A8049" t="s">
        <v>2333</v>
      </c>
      <c r="B8049">
        <v>59</v>
      </c>
      <c r="C8049" t="s">
        <v>3</v>
      </c>
      <c r="D8049" t="s">
        <v>2408</v>
      </c>
      <c r="E8049" t="s">
        <v>2409</v>
      </c>
      <c r="F8049">
        <v>1005</v>
      </c>
      <c r="G8049" t="s">
        <v>3</v>
      </c>
      <c r="H8049">
        <v>2823</v>
      </c>
      <c r="I8049" t="s">
        <v>144</v>
      </c>
      <c r="J8049">
        <v>3823</v>
      </c>
      <c r="K8049" t="s">
        <v>2502</v>
      </c>
      <c r="L8049">
        <v>0</v>
      </c>
      <c r="N8049" t="s">
        <v>249</v>
      </c>
      <c r="O8049">
        <v>10</v>
      </c>
      <c r="P8049">
        <v>310</v>
      </c>
      <c r="Q8049" t="s">
        <v>447</v>
      </c>
      <c r="R8049" t="s">
        <v>201</v>
      </c>
      <c r="S8049">
        <v>1</v>
      </c>
      <c r="T8049">
        <v>1</v>
      </c>
      <c r="U8049">
        <v>102444</v>
      </c>
      <c r="V8049">
        <v>102444</v>
      </c>
    </row>
    <row r="8050" spans="1:22">
      <c r="A8050" t="s">
        <v>2333</v>
      </c>
      <c r="B8050">
        <v>59</v>
      </c>
      <c r="C8050" t="s">
        <v>3</v>
      </c>
      <c r="D8050" t="s">
        <v>2408</v>
      </c>
      <c r="E8050" t="s">
        <v>2409</v>
      </c>
      <c r="F8050">
        <v>1005</v>
      </c>
      <c r="G8050" t="s">
        <v>3</v>
      </c>
      <c r="H8050">
        <v>2823</v>
      </c>
      <c r="I8050" t="s">
        <v>144</v>
      </c>
      <c r="J8050">
        <v>3823</v>
      </c>
      <c r="K8050" t="s">
        <v>2502</v>
      </c>
      <c r="L8050">
        <v>0</v>
      </c>
      <c r="N8050" t="s">
        <v>199</v>
      </c>
      <c r="O8050">
        <v>0</v>
      </c>
      <c r="P8050">
        <v>44</v>
      </c>
      <c r="Q8050" t="s">
        <v>2337</v>
      </c>
      <c r="R8050" t="s">
        <v>201</v>
      </c>
      <c r="S8050">
        <v>0</v>
      </c>
      <c r="T8050">
        <v>0</v>
      </c>
      <c r="U8050">
        <v>211600</v>
      </c>
      <c r="V8050">
        <v>211600</v>
      </c>
    </row>
    <row r="8051" spans="1:22">
      <c r="A8051" t="s">
        <v>2333</v>
      </c>
      <c r="B8051">
        <v>72</v>
      </c>
      <c r="C8051" t="s">
        <v>113</v>
      </c>
      <c r="D8051" t="s">
        <v>2408</v>
      </c>
      <c r="E8051" t="s">
        <v>2409</v>
      </c>
      <c r="F8051">
        <v>1010</v>
      </c>
      <c r="G8051" t="s">
        <v>113</v>
      </c>
      <c r="H8051" t="s">
        <v>2503</v>
      </c>
      <c r="I8051" t="s">
        <v>133</v>
      </c>
      <c r="J8051">
        <v>3805</v>
      </c>
      <c r="K8051" t="s">
        <v>2504</v>
      </c>
      <c r="L8051">
        <v>0</v>
      </c>
      <c r="N8051" t="s">
        <v>356</v>
      </c>
      <c r="O8051">
        <v>4</v>
      </c>
      <c r="P8051">
        <v>2081</v>
      </c>
      <c r="Q8051" t="s">
        <v>1015</v>
      </c>
      <c r="R8051" t="s">
        <v>201</v>
      </c>
      <c r="S8051">
        <v>1</v>
      </c>
      <c r="T8051">
        <v>1</v>
      </c>
      <c r="U8051">
        <v>97488</v>
      </c>
      <c r="V8051">
        <v>97488</v>
      </c>
    </row>
    <row r="8052" spans="1:22">
      <c r="A8052" t="s">
        <v>2333</v>
      </c>
      <c r="B8052">
        <v>72</v>
      </c>
      <c r="C8052" t="s">
        <v>113</v>
      </c>
      <c r="D8052" t="s">
        <v>2408</v>
      </c>
      <c r="E8052" t="s">
        <v>2409</v>
      </c>
      <c r="F8052">
        <v>1010</v>
      </c>
      <c r="G8052" t="s">
        <v>113</v>
      </c>
      <c r="H8052" t="s">
        <v>2503</v>
      </c>
      <c r="I8052" t="s">
        <v>133</v>
      </c>
      <c r="J8052">
        <v>3805</v>
      </c>
      <c r="K8052" t="s">
        <v>2504</v>
      </c>
      <c r="L8052">
        <v>0</v>
      </c>
      <c r="N8052" t="s">
        <v>372</v>
      </c>
      <c r="O8052">
        <v>3</v>
      </c>
      <c r="P8052">
        <v>2077</v>
      </c>
      <c r="Q8052" t="s">
        <v>1177</v>
      </c>
      <c r="R8052" t="s">
        <v>201</v>
      </c>
      <c r="S8052">
        <v>1</v>
      </c>
      <c r="T8052">
        <v>1</v>
      </c>
      <c r="U8052">
        <v>93504</v>
      </c>
      <c r="V8052">
        <v>93504</v>
      </c>
    </row>
    <row r="8053" spans="1:22">
      <c r="A8053" t="s">
        <v>2333</v>
      </c>
      <c r="B8053">
        <v>72</v>
      </c>
      <c r="C8053" t="s">
        <v>113</v>
      </c>
      <c r="D8053" t="s">
        <v>2408</v>
      </c>
      <c r="E8053" t="s">
        <v>2409</v>
      </c>
      <c r="F8053">
        <v>1010</v>
      </c>
      <c r="G8053" t="s">
        <v>113</v>
      </c>
      <c r="H8053" t="s">
        <v>2503</v>
      </c>
      <c r="I8053" t="s">
        <v>133</v>
      </c>
      <c r="J8053">
        <v>3805</v>
      </c>
      <c r="K8053" t="s">
        <v>2504</v>
      </c>
      <c r="L8053">
        <v>0</v>
      </c>
      <c r="N8053" t="s">
        <v>372</v>
      </c>
      <c r="O8053">
        <v>3</v>
      </c>
      <c r="P8053">
        <v>2077</v>
      </c>
      <c r="Q8053" t="s">
        <v>1177</v>
      </c>
      <c r="R8053" t="s">
        <v>201</v>
      </c>
      <c r="S8053">
        <v>1</v>
      </c>
      <c r="T8053">
        <v>1</v>
      </c>
      <c r="U8053">
        <v>75336</v>
      </c>
      <c r="V8053">
        <v>75336</v>
      </c>
    </row>
    <row r="8054" spans="1:22">
      <c r="A8054" t="s">
        <v>2333</v>
      </c>
      <c r="B8054">
        <v>72</v>
      </c>
      <c r="C8054" t="s">
        <v>113</v>
      </c>
      <c r="D8054" t="s">
        <v>2408</v>
      </c>
      <c r="E8054" t="s">
        <v>2409</v>
      </c>
      <c r="F8054">
        <v>1010</v>
      </c>
      <c r="G8054" t="s">
        <v>113</v>
      </c>
      <c r="H8054" t="s">
        <v>2503</v>
      </c>
      <c r="I8054" t="s">
        <v>133</v>
      </c>
      <c r="J8054">
        <v>3805</v>
      </c>
      <c r="K8054" t="s">
        <v>2504</v>
      </c>
      <c r="L8054">
        <v>0</v>
      </c>
      <c r="N8054" t="s">
        <v>199</v>
      </c>
      <c r="O8054">
        <v>0</v>
      </c>
      <c r="P8054">
        <v>44</v>
      </c>
      <c r="Q8054" t="s">
        <v>2337</v>
      </c>
      <c r="R8054" t="s">
        <v>201</v>
      </c>
      <c r="S8054">
        <v>0</v>
      </c>
      <c r="T8054">
        <v>0</v>
      </c>
      <c r="U8054">
        <v>149037</v>
      </c>
      <c r="V8054">
        <v>149037</v>
      </c>
    </row>
    <row r="8055" spans="1:22">
      <c r="A8055" t="s">
        <v>2333</v>
      </c>
      <c r="B8055">
        <v>72</v>
      </c>
      <c r="C8055" t="s">
        <v>113</v>
      </c>
      <c r="D8055" t="s">
        <v>2408</v>
      </c>
      <c r="E8055" t="s">
        <v>2409</v>
      </c>
      <c r="F8055">
        <v>1010</v>
      </c>
      <c r="G8055" t="s">
        <v>113</v>
      </c>
      <c r="H8055" t="s">
        <v>2503</v>
      </c>
      <c r="I8055" t="s">
        <v>133</v>
      </c>
      <c r="J8055">
        <v>3805</v>
      </c>
      <c r="K8055" t="s">
        <v>2504</v>
      </c>
      <c r="L8055">
        <v>0</v>
      </c>
      <c r="N8055" t="s">
        <v>199</v>
      </c>
      <c r="O8055">
        <v>0</v>
      </c>
      <c r="P8055">
        <v>15</v>
      </c>
      <c r="Q8055" t="s">
        <v>264</v>
      </c>
      <c r="R8055" t="s">
        <v>201</v>
      </c>
      <c r="S8055">
        <v>0</v>
      </c>
      <c r="T8055">
        <v>0</v>
      </c>
      <c r="U8055">
        <v>4070</v>
      </c>
      <c r="V8055">
        <v>4070</v>
      </c>
    </row>
    <row r="8056" spans="1:22">
      <c r="A8056" t="s">
        <v>2333</v>
      </c>
      <c r="B8056">
        <v>72</v>
      </c>
      <c r="C8056" t="s">
        <v>113</v>
      </c>
      <c r="D8056" t="s">
        <v>2408</v>
      </c>
      <c r="E8056" t="s">
        <v>2409</v>
      </c>
      <c r="F8056">
        <v>1010</v>
      </c>
      <c r="G8056" t="s">
        <v>113</v>
      </c>
      <c r="H8056" t="s">
        <v>2505</v>
      </c>
      <c r="I8056" t="s">
        <v>152</v>
      </c>
      <c r="J8056">
        <v>3830</v>
      </c>
      <c r="K8056" t="s">
        <v>2506</v>
      </c>
      <c r="L8056">
        <v>0</v>
      </c>
      <c r="N8056" t="s">
        <v>602</v>
      </c>
      <c r="O8056">
        <v>4</v>
      </c>
      <c r="P8056">
        <v>2073</v>
      </c>
      <c r="Q8056" t="s">
        <v>1016</v>
      </c>
      <c r="R8056" t="s">
        <v>201</v>
      </c>
      <c r="S8056">
        <v>1</v>
      </c>
      <c r="T8056">
        <v>1</v>
      </c>
      <c r="U8056">
        <v>122928</v>
      </c>
      <c r="V8056">
        <v>122928</v>
      </c>
    </row>
    <row r="8057" spans="1:22">
      <c r="A8057" t="s">
        <v>2333</v>
      </c>
      <c r="B8057">
        <v>72</v>
      </c>
      <c r="C8057" t="s">
        <v>113</v>
      </c>
      <c r="D8057" t="s">
        <v>2408</v>
      </c>
      <c r="E8057" t="s">
        <v>2409</v>
      </c>
      <c r="F8057">
        <v>1010</v>
      </c>
      <c r="G8057" t="s">
        <v>113</v>
      </c>
      <c r="H8057" t="s">
        <v>2505</v>
      </c>
      <c r="I8057" t="s">
        <v>152</v>
      </c>
      <c r="J8057">
        <v>3830</v>
      </c>
      <c r="K8057" t="s">
        <v>2506</v>
      </c>
      <c r="L8057">
        <v>0</v>
      </c>
      <c r="N8057" t="s">
        <v>602</v>
      </c>
      <c r="O8057">
        <v>4</v>
      </c>
      <c r="P8057">
        <v>2073</v>
      </c>
      <c r="Q8057" t="s">
        <v>1016</v>
      </c>
      <c r="R8057" t="s">
        <v>201</v>
      </c>
      <c r="S8057">
        <v>1</v>
      </c>
      <c r="T8057">
        <v>1</v>
      </c>
      <c r="U8057">
        <v>99408</v>
      </c>
      <c r="V8057">
        <v>99408</v>
      </c>
    </row>
    <row r="8058" spans="1:22">
      <c r="A8058" t="s">
        <v>2333</v>
      </c>
      <c r="B8058">
        <v>72</v>
      </c>
      <c r="C8058" t="s">
        <v>113</v>
      </c>
      <c r="D8058" t="s">
        <v>2408</v>
      </c>
      <c r="E8058" t="s">
        <v>2409</v>
      </c>
      <c r="F8058">
        <v>1010</v>
      </c>
      <c r="G8058" t="s">
        <v>113</v>
      </c>
      <c r="H8058" t="s">
        <v>2505</v>
      </c>
      <c r="I8058" t="s">
        <v>152</v>
      </c>
      <c r="J8058">
        <v>3830</v>
      </c>
      <c r="K8058" t="s">
        <v>2506</v>
      </c>
      <c r="L8058">
        <v>0</v>
      </c>
      <c r="N8058" t="s">
        <v>199</v>
      </c>
      <c r="O8058">
        <v>0</v>
      </c>
      <c r="P8058">
        <v>44</v>
      </c>
      <c r="Q8058" t="s">
        <v>2337</v>
      </c>
      <c r="R8058" t="s">
        <v>201</v>
      </c>
      <c r="S8058">
        <v>0</v>
      </c>
      <c r="T8058">
        <v>0</v>
      </c>
      <c r="U8058">
        <v>124420</v>
      </c>
      <c r="V8058">
        <v>124420</v>
      </c>
    </row>
    <row r="8059" spans="1:22">
      <c r="A8059" t="s">
        <v>2333</v>
      </c>
      <c r="B8059">
        <v>72</v>
      </c>
      <c r="C8059" t="s">
        <v>113</v>
      </c>
      <c r="D8059" t="s">
        <v>2408</v>
      </c>
      <c r="E8059" t="s">
        <v>2409</v>
      </c>
      <c r="F8059">
        <v>1010</v>
      </c>
      <c r="G8059" t="s">
        <v>113</v>
      </c>
      <c r="H8059" t="s">
        <v>2505</v>
      </c>
      <c r="I8059" t="s">
        <v>152</v>
      </c>
      <c r="J8059">
        <v>3830</v>
      </c>
      <c r="K8059" t="s">
        <v>2506</v>
      </c>
      <c r="L8059">
        <v>0</v>
      </c>
      <c r="N8059" t="s">
        <v>199</v>
      </c>
      <c r="O8059">
        <v>0</v>
      </c>
      <c r="P8059">
        <v>15</v>
      </c>
      <c r="Q8059" t="s">
        <v>264</v>
      </c>
      <c r="R8059" t="s">
        <v>201</v>
      </c>
      <c r="S8059">
        <v>0</v>
      </c>
      <c r="T8059">
        <v>0</v>
      </c>
      <c r="U8059">
        <v>872</v>
      </c>
      <c r="V8059">
        <v>872</v>
      </c>
    </row>
    <row r="8060" spans="1:22">
      <c r="A8060" t="s">
        <v>2333</v>
      </c>
      <c r="B8060">
        <v>81</v>
      </c>
      <c r="C8060" t="s">
        <v>1699</v>
      </c>
      <c r="D8060" t="s">
        <v>2408</v>
      </c>
      <c r="E8060" t="s">
        <v>2409</v>
      </c>
      <c r="F8060">
        <v>1045</v>
      </c>
      <c r="G8060" t="s">
        <v>39</v>
      </c>
      <c r="H8060">
        <v>2813</v>
      </c>
      <c r="I8060" t="s">
        <v>156</v>
      </c>
      <c r="J8060">
        <v>3813</v>
      </c>
      <c r="K8060" t="s">
        <v>2507</v>
      </c>
      <c r="L8060">
        <v>0</v>
      </c>
      <c r="N8060" t="s">
        <v>688</v>
      </c>
      <c r="O8060">
        <v>1</v>
      </c>
      <c r="P8060">
        <v>7946</v>
      </c>
      <c r="Q8060" t="s">
        <v>1750</v>
      </c>
      <c r="R8060" t="s">
        <v>201</v>
      </c>
      <c r="S8060">
        <v>1</v>
      </c>
      <c r="T8060">
        <v>1</v>
      </c>
      <c r="U8060">
        <v>81636</v>
      </c>
      <c r="V8060">
        <v>81636</v>
      </c>
    </row>
    <row r="8061" spans="1:22">
      <c r="A8061" t="s">
        <v>2333</v>
      </c>
      <c r="B8061">
        <v>81</v>
      </c>
      <c r="C8061" t="s">
        <v>1699</v>
      </c>
      <c r="D8061" t="s">
        <v>2408</v>
      </c>
      <c r="E8061" t="s">
        <v>2409</v>
      </c>
      <c r="F8061">
        <v>1045</v>
      </c>
      <c r="G8061" t="s">
        <v>39</v>
      </c>
      <c r="H8061">
        <v>2813</v>
      </c>
      <c r="I8061" t="s">
        <v>156</v>
      </c>
      <c r="J8061">
        <v>3813</v>
      </c>
      <c r="K8061" t="s">
        <v>2507</v>
      </c>
      <c r="L8061">
        <v>0</v>
      </c>
      <c r="N8061" t="s">
        <v>702</v>
      </c>
      <c r="O8061">
        <v>1</v>
      </c>
      <c r="P8061">
        <v>7945</v>
      </c>
      <c r="Q8061" t="s">
        <v>1751</v>
      </c>
      <c r="R8061" t="s">
        <v>201</v>
      </c>
      <c r="S8061">
        <v>1</v>
      </c>
      <c r="T8061">
        <v>1</v>
      </c>
      <c r="U8061">
        <v>74160</v>
      </c>
      <c r="V8061">
        <v>74160</v>
      </c>
    </row>
    <row r="8062" spans="1:22">
      <c r="A8062" t="s">
        <v>2333</v>
      </c>
      <c r="B8062">
        <v>81</v>
      </c>
      <c r="C8062" t="s">
        <v>1699</v>
      </c>
      <c r="D8062" t="s">
        <v>2408</v>
      </c>
      <c r="E8062" t="s">
        <v>2409</v>
      </c>
      <c r="F8062">
        <v>1045</v>
      </c>
      <c r="G8062" t="s">
        <v>39</v>
      </c>
      <c r="H8062">
        <v>2813</v>
      </c>
      <c r="I8062" t="s">
        <v>156</v>
      </c>
      <c r="J8062">
        <v>3813</v>
      </c>
      <c r="K8062" t="s">
        <v>2507</v>
      </c>
      <c r="L8062">
        <v>0</v>
      </c>
      <c r="N8062" t="s">
        <v>199</v>
      </c>
      <c r="O8062">
        <v>0</v>
      </c>
      <c r="P8062">
        <v>44</v>
      </c>
      <c r="Q8062" t="s">
        <v>2337</v>
      </c>
      <c r="R8062" t="s">
        <v>201</v>
      </c>
      <c r="S8062">
        <v>0</v>
      </c>
      <c r="T8062">
        <v>0</v>
      </c>
      <c r="U8062">
        <v>87184</v>
      </c>
      <c r="V8062">
        <v>87184</v>
      </c>
    </row>
    <row r="8063" spans="1:22">
      <c r="A8063" t="s">
        <v>2333</v>
      </c>
      <c r="B8063">
        <v>84</v>
      </c>
      <c r="C8063" t="s">
        <v>1762</v>
      </c>
      <c r="D8063" t="s">
        <v>2408</v>
      </c>
      <c r="E8063" t="s">
        <v>2409</v>
      </c>
      <c r="F8063">
        <v>1125</v>
      </c>
      <c r="G8063" t="s">
        <v>71</v>
      </c>
      <c r="H8063" t="s">
        <v>2508</v>
      </c>
      <c r="I8063" t="s">
        <v>150</v>
      </c>
      <c r="J8063" t="s">
        <v>2509</v>
      </c>
      <c r="K8063" t="s">
        <v>2510</v>
      </c>
      <c r="L8063">
        <v>0</v>
      </c>
      <c r="N8063" t="s">
        <v>297</v>
      </c>
      <c r="O8063">
        <v>20</v>
      </c>
      <c r="P8063">
        <v>1441</v>
      </c>
      <c r="Q8063" t="s">
        <v>1122</v>
      </c>
      <c r="R8063" t="s">
        <v>201</v>
      </c>
      <c r="S8063">
        <v>1</v>
      </c>
      <c r="T8063">
        <v>1</v>
      </c>
      <c r="U8063">
        <v>115992</v>
      </c>
      <c r="V8063">
        <v>115992</v>
      </c>
    </row>
    <row r="8064" spans="1:22">
      <c r="A8064" t="s">
        <v>2333</v>
      </c>
      <c r="B8064">
        <v>84</v>
      </c>
      <c r="C8064" t="s">
        <v>1762</v>
      </c>
      <c r="D8064" t="s">
        <v>2408</v>
      </c>
      <c r="E8064" t="s">
        <v>2409</v>
      </c>
      <c r="F8064">
        <v>1125</v>
      </c>
      <c r="G8064" t="s">
        <v>71</v>
      </c>
      <c r="H8064" t="s">
        <v>2508</v>
      </c>
      <c r="I8064" t="s">
        <v>150</v>
      </c>
      <c r="J8064" t="s">
        <v>2509</v>
      </c>
      <c r="K8064" t="s">
        <v>2510</v>
      </c>
      <c r="L8064">
        <v>0</v>
      </c>
      <c r="N8064" t="s">
        <v>281</v>
      </c>
      <c r="O8064">
        <v>10</v>
      </c>
      <c r="P8064">
        <v>1405</v>
      </c>
      <c r="Q8064" t="s">
        <v>1260</v>
      </c>
      <c r="R8064" t="s">
        <v>201</v>
      </c>
      <c r="S8064">
        <v>1</v>
      </c>
      <c r="T8064">
        <v>1</v>
      </c>
      <c r="U8064">
        <v>97332</v>
      </c>
      <c r="V8064">
        <v>97332</v>
      </c>
    </row>
    <row r="8065" spans="1:22">
      <c r="A8065" t="s">
        <v>2333</v>
      </c>
      <c r="B8065">
        <v>84</v>
      </c>
      <c r="C8065" t="s">
        <v>1762</v>
      </c>
      <c r="D8065" t="s">
        <v>2408</v>
      </c>
      <c r="E8065" t="s">
        <v>2409</v>
      </c>
      <c r="F8065">
        <v>1125</v>
      </c>
      <c r="G8065" t="s">
        <v>71</v>
      </c>
      <c r="H8065" t="s">
        <v>2508</v>
      </c>
      <c r="I8065" t="s">
        <v>150</v>
      </c>
      <c r="J8065" t="s">
        <v>2509</v>
      </c>
      <c r="K8065" t="s">
        <v>2510</v>
      </c>
      <c r="L8065">
        <v>0</v>
      </c>
      <c r="N8065" t="s">
        <v>281</v>
      </c>
      <c r="O8065">
        <v>10</v>
      </c>
      <c r="P8065">
        <v>1405</v>
      </c>
      <c r="Q8065" t="s">
        <v>1260</v>
      </c>
      <c r="R8065" t="s">
        <v>201</v>
      </c>
      <c r="S8065">
        <v>1</v>
      </c>
      <c r="T8065">
        <v>1</v>
      </c>
      <c r="U8065">
        <v>93156</v>
      </c>
      <c r="V8065">
        <v>93156</v>
      </c>
    </row>
    <row r="8066" spans="1:22">
      <c r="A8066" t="s">
        <v>2333</v>
      </c>
      <c r="B8066">
        <v>84</v>
      </c>
      <c r="C8066" t="s">
        <v>1762</v>
      </c>
      <c r="D8066" t="s">
        <v>2408</v>
      </c>
      <c r="E8066" t="s">
        <v>2409</v>
      </c>
      <c r="F8066">
        <v>1125</v>
      </c>
      <c r="G8066" t="s">
        <v>71</v>
      </c>
      <c r="H8066" t="s">
        <v>2508</v>
      </c>
      <c r="I8066" t="s">
        <v>150</v>
      </c>
      <c r="J8066" t="s">
        <v>2509</v>
      </c>
      <c r="K8066" t="s">
        <v>2510</v>
      </c>
      <c r="L8066">
        <v>0</v>
      </c>
      <c r="N8066" t="s">
        <v>199</v>
      </c>
      <c r="O8066">
        <v>0</v>
      </c>
      <c r="P8066">
        <v>44</v>
      </c>
      <c r="Q8066" t="s">
        <v>2337</v>
      </c>
      <c r="R8066" t="s">
        <v>201</v>
      </c>
      <c r="S8066">
        <v>0</v>
      </c>
      <c r="T8066">
        <v>0</v>
      </c>
      <c r="U8066">
        <v>171506</v>
      </c>
      <c r="V8066">
        <v>171506</v>
      </c>
    </row>
    <row r="8067" spans="1:22">
      <c r="A8067" t="s">
        <v>2333</v>
      </c>
      <c r="B8067">
        <v>84</v>
      </c>
      <c r="C8067" t="s">
        <v>1762</v>
      </c>
      <c r="D8067" t="s">
        <v>2408</v>
      </c>
      <c r="E8067" t="s">
        <v>2409</v>
      </c>
      <c r="F8067">
        <v>1125</v>
      </c>
      <c r="G8067" t="s">
        <v>71</v>
      </c>
      <c r="H8067" t="s">
        <v>2508</v>
      </c>
      <c r="I8067" t="s">
        <v>150</v>
      </c>
      <c r="J8067" t="s">
        <v>2509</v>
      </c>
      <c r="K8067" t="s">
        <v>2510</v>
      </c>
      <c r="L8067">
        <v>0</v>
      </c>
      <c r="N8067" t="s">
        <v>199</v>
      </c>
      <c r="O8067">
        <v>0</v>
      </c>
      <c r="P8067">
        <v>15</v>
      </c>
      <c r="Q8067" t="s">
        <v>264</v>
      </c>
      <c r="R8067" t="s">
        <v>201</v>
      </c>
      <c r="S8067">
        <v>0</v>
      </c>
      <c r="T8067">
        <v>0</v>
      </c>
      <c r="U8067">
        <v>5980</v>
      </c>
      <c r="V8067">
        <v>5980</v>
      </c>
    </row>
    <row r="8068" spans="1:22">
      <c r="A8068" t="s">
        <v>2333</v>
      </c>
      <c r="B8068">
        <v>1</v>
      </c>
      <c r="C8068" t="s">
        <v>48</v>
      </c>
      <c r="D8068" t="s">
        <v>2511</v>
      </c>
      <c r="E8068" t="s">
        <v>2512</v>
      </c>
      <c r="F8068">
        <v>1005</v>
      </c>
      <c r="G8068" t="s">
        <v>48</v>
      </c>
      <c r="H8068">
        <v>2808</v>
      </c>
      <c r="I8068" t="s">
        <v>165</v>
      </c>
      <c r="J8068">
        <v>3808</v>
      </c>
      <c r="K8068" t="s">
        <v>2513</v>
      </c>
      <c r="L8068">
        <v>0</v>
      </c>
      <c r="N8068" t="s">
        <v>199</v>
      </c>
      <c r="O8068">
        <v>9</v>
      </c>
      <c r="P8068">
        <v>9863</v>
      </c>
      <c r="Q8068" t="s">
        <v>2514</v>
      </c>
      <c r="R8068" t="s">
        <v>201</v>
      </c>
      <c r="S8068">
        <v>1</v>
      </c>
      <c r="T8068">
        <v>1</v>
      </c>
      <c r="U8068">
        <v>98832</v>
      </c>
      <c r="V8068">
        <v>98832</v>
      </c>
    </row>
    <row r="8069" spans="1:22">
      <c r="A8069" t="s">
        <v>2333</v>
      </c>
      <c r="B8069">
        <v>1</v>
      </c>
      <c r="C8069" t="s">
        <v>48</v>
      </c>
      <c r="D8069" t="s">
        <v>2511</v>
      </c>
      <c r="E8069" t="s">
        <v>2512</v>
      </c>
      <c r="F8069">
        <v>1005</v>
      </c>
      <c r="G8069" t="s">
        <v>48</v>
      </c>
      <c r="H8069">
        <v>2808</v>
      </c>
      <c r="I8069" t="s">
        <v>165</v>
      </c>
      <c r="J8069">
        <v>3808</v>
      </c>
      <c r="K8069" t="s">
        <v>2513</v>
      </c>
      <c r="L8069">
        <v>0</v>
      </c>
      <c r="N8069" t="s">
        <v>199</v>
      </c>
      <c r="O8069">
        <v>0</v>
      </c>
      <c r="P8069">
        <v>44</v>
      </c>
      <c r="Q8069" t="s">
        <v>2337</v>
      </c>
      <c r="R8069" t="s">
        <v>201</v>
      </c>
      <c r="S8069">
        <v>0</v>
      </c>
      <c r="T8069">
        <v>0</v>
      </c>
      <c r="U8069">
        <v>55306</v>
      </c>
      <c r="V8069">
        <v>55306</v>
      </c>
    </row>
    <row r="8070" spans="1:22">
      <c r="A8070" t="s">
        <v>2333</v>
      </c>
      <c r="B8070">
        <v>1</v>
      </c>
      <c r="C8070" t="s">
        <v>48</v>
      </c>
      <c r="D8070" t="s">
        <v>2511</v>
      </c>
      <c r="E8070" t="s">
        <v>2512</v>
      </c>
      <c r="F8070">
        <v>1005</v>
      </c>
      <c r="G8070" t="s">
        <v>48</v>
      </c>
      <c r="H8070">
        <v>2839</v>
      </c>
      <c r="I8070" t="s">
        <v>154</v>
      </c>
      <c r="J8070">
        <v>3846</v>
      </c>
      <c r="K8070" t="s">
        <v>238</v>
      </c>
      <c r="L8070">
        <v>0</v>
      </c>
      <c r="N8070" t="s">
        <v>199</v>
      </c>
      <c r="O8070">
        <v>9</v>
      </c>
      <c r="P8070">
        <v>9898</v>
      </c>
      <c r="Q8070" t="s">
        <v>213</v>
      </c>
      <c r="R8070" t="s">
        <v>201</v>
      </c>
      <c r="S8070">
        <v>1</v>
      </c>
      <c r="T8070">
        <v>1</v>
      </c>
      <c r="U8070">
        <v>177840</v>
      </c>
      <c r="V8070">
        <v>177840</v>
      </c>
    </row>
    <row r="8071" spans="1:22">
      <c r="A8071" t="s">
        <v>2333</v>
      </c>
      <c r="B8071">
        <v>1</v>
      </c>
      <c r="C8071" t="s">
        <v>48</v>
      </c>
      <c r="D8071" t="s">
        <v>2511</v>
      </c>
      <c r="E8071" t="s">
        <v>2512</v>
      </c>
      <c r="F8071">
        <v>1005</v>
      </c>
      <c r="G8071" t="s">
        <v>48</v>
      </c>
      <c r="H8071">
        <v>2839</v>
      </c>
      <c r="I8071" t="s">
        <v>154</v>
      </c>
      <c r="J8071">
        <v>3846</v>
      </c>
      <c r="K8071" t="s">
        <v>238</v>
      </c>
      <c r="L8071">
        <v>0</v>
      </c>
      <c r="N8071" t="s">
        <v>199</v>
      </c>
      <c r="O8071">
        <v>0</v>
      </c>
      <c r="P8071">
        <v>44</v>
      </c>
      <c r="Q8071" t="s">
        <v>2337</v>
      </c>
      <c r="R8071" t="s">
        <v>201</v>
      </c>
      <c r="S8071">
        <v>0</v>
      </c>
      <c r="T8071">
        <v>0</v>
      </c>
      <c r="U8071">
        <v>99519</v>
      </c>
      <c r="V8071">
        <v>99519</v>
      </c>
    </row>
    <row r="8072" spans="1:22">
      <c r="A8072" t="s">
        <v>2333</v>
      </c>
      <c r="B8072">
        <v>57</v>
      </c>
      <c r="C8072" t="s">
        <v>31</v>
      </c>
      <c r="D8072" t="s">
        <v>2511</v>
      </c>
      <c r="E8072" t="s">
        <v>2512</v>
      </c>
      <c r="F8072">
        <v>1005</v>
      </c>
      <c r="G8072" t="s">
        <v>31</v>
      </c>
      <c r="H8072" t="s">
        <v>2494</v>
      </c>
      <c r="I8072" t="s">
        <v>41</v>
      </c>
      <c r="J8072" t="s">
        <v>2495</v>
      </c>
      <c r="K8072" t="s">
        <v>2496</v>
      </c>
      <c r="L8072">
        <v>0</v>
      </c>
      <c r="N8072" t="s">
        <v>1309</v>
      </c>
      <c r="O8072">
        <v>91</v>
      </c>
      <c r="P8072">
        <v>9161</v>
      </c>
      <c r="Q8072" t="s">
        <v>1310</v>
      </c>
      <c r="R8072" t="s">
        <v>201</v>
      </c>
      <c r="S8072">
        <v>45</v>
      </c>
      <c r="T8072">
        <v>1</v>
      </c>
      <c r="U8072">
        <v>100950</v>
      </c>
      <c r="V8072">
        <v>4542750</v>
      </c>
    </row>
    <row r="8073" spans="1:22">
      <c r="A8073" t="s">
        <v>2333</v>
      </c>
      <c r="B8073">
        <v>57</v>
      </c>
      <c r="C8073" t="s">
        <v>31</v>
      </c>
      <c r="D8073" t="s">
        <v>2511</v>
      </c>
      <c r="E8073" t="s">
        <v>2512</v>
      </c>
      <c r="F8073">
        <v>1005</v>
      </c>
      <c r="G8073" t="s">
        <v>31</v>
      </c>
      <c r="H8073" t="s">
        <v>2494</v>
      </c>
      <c r="I8073" t="s">
        <v>41</v>
      </c>
      <c r="J8073" t="s">
        <v>2495</v>
      </c>
      <c r="K8073" t="s">
        <v>2496</v>
      </c>
      <c r="L8073">
        <v>0</v>
      </c>
      <c r="N8073" t="s">
        <v>1309</v>
      </c>
      <c r="O8073">
        <v>91</v>
      </c>
      <c r="P8073">
        <v>9161</v>
      </c>
      <c r="Q8073" t="s">
        <v>1310</v>
      </c>
      <c r="R8073" t="s">
        <v>201</v>
      </c>
      <c r="S8073">
        <v>5</v>
      </c>
      <c r="T8073">
        <v>1</v>
      </c>
      <c r="U8073">
        <v>63636</v>
      </c>
      <c r="V8073">
        <v>318180</v>
      </c>
    </row>
    <row r="8074" spans="1:22">
      <c r="A8074" t="s">
        <v>2333</v>
      </c>
      <c r="B8074">
        <v>57</v>
      </c>
      <c r="C8074" t="s">
        <v>31</v>
      </c>
      <c r="D8074" t="s">
        <v>2511</v>
      </c>
      <c r="E8074" t="s">
        <v>2512</v>
      </c>
      <c r="F8074">
        <v>1005</v>
      </c>
      <c r="G8074" t="s">
        <v>31</v>
      </c>
      <c r="H8074" t="s">
        <v>2494</v>
      </c>
      <c r="I8074" t="s">
        <v>41</v>
      </c>
      <c r="J8074" t="s">
        <v>2495</v>
      </c>
      <c r="K8074" t="s">
        <v>2496</v>
      </c>
      <c r="L8074">
        <v>0</v>
      </c>
      <c r="N8074" t="s">
        <v>199</v>
      </c>
      <c r="O8074">
        <v>0</v>
      </c>
      <c r="P8074">
        <v>44</v>
      </c>
      <c r="Q8074" t="s">
        <v>2337</v>
      </c>
      <c r="R8074" t="s">
        <v>201</v>
      </c>
      <c r="S8074">
        <v>0</v>
      </c>
      <c r="T8074">
        <v>0</v>
      </c>
      <c r="U8074">
        <v>2720177</v>
      </c>
      <c r="V8074">
        <v>2720177</v>
      </c>
    </row>
    <row r="8075" spans="1:22">
      <c r="A8075" t="s">
        <v>2333</v>
      </c>
      <c r="B8075">
        <v>57</v>
      </c>
      <c r="C8075" t="s">
        <v>31</v>
      </c>
      <c r="D8075" t="s">
        <v>2511</v>
      </c>
      <c r="E8075" t="s">
        <v>2512</v>
      </c>
      <c r="F8075">
        <v>1005</v>
      </c>
      <c r="G8075" t="s">
        <v>31</v>
      </c>
      <c r="H8075" t="s">
        <v>2494</v>
      </c>
      <c r="I8075" t="s">
        <v>41</v>
      </c>
      <c r="J8075" t="s">
        <v>2495</v>
      </c>
      <c r="K8075" t="s">
        <v>2496</v>
      </c>
      <c r="L8075">
        <v>0</v>
      </c>
      <c r="N8075" t="s">
        <v>199</v>
      </c>
      <c r="O8075">
        <v>0</v>
      </c>
      <c r="P8075">
        <v>15</v>
      </c>
      <c r="Q8075" t="s">
        <v>264</v>
      </c>
      <c r="R8075" t="s">
        <v>201</v>
      </c>
      <c r="S8075">
        <v>0</v>
      </c>
      <c r="T8075">
        <v>0</v>
      </c>
      <c r="U8075">
        <v>117315</v>
      </c>
      <c r="V8075">
        <v>117315</v>
      </c>
    </row>
    <row r="8076" spans="1:22">
      <c r="A8076" t="s">
        <v>2333</v>
      </c>
      <c r="B8076">
        <v>72</v>
      </c>
      <c r="C8076" t="s">
        <v>113</v>
      </c>
      <c r="D8076" t="s">
        <v>2511</v>
      </c>
      <c r="E8076" t="s">
        <v>2512</v>
      </c>
      <c r="F8076">
        <v>1010</v>
      </c>
      <c r="G8076" t="s">
        <v>113</v>
      </c>
      <c r="H8076" t="s">
        <v>2503</v>
      </c>
      <c r="I8076" t="s">
        <v>133</v>
      </c>
      <c r="J8076">
        <v>3805</v>
      </c>
      <c r="K8076" t="s">
        <v>2504</v>
      </c>
      <c r="L8076">
        <v>0</v>
      </c>
      <c r="N8076" t="s">
        <v>356</v>
      </c>
      <c r="O8076">
        <v>4</v>
      </c>
      <c r="P8076">
        <v>2081</v>
      </c>
      <c r="Q8076" t="s">
        <v>1015</v>
      </c>
      <c r="R8076" t="s">
        <v>201</v>
      </c>
      <c r="S8076">
        <v>1</v>
      </c>
      <c r="T8076">
        <v>1</v>
      </c>
      <c r="U8076">
        <v>129636</v>
      </c>
      <c r="V8076">
        <v>129636</v>
      </c>
    </row>
    <row r="8077" spans="1:22">
      <c r="A8077" t="s">
        <v>2333</v>
      </c>
      <c r="B8077">
        <v>72</v>
      </c>
      <c r="C8077" t="s">
        <v>113</v>
      </c>
      <c r="D8077" t="s">
        <v>2511</v>
      </c>
      <c r="E8077" t="s">
        <v>2512</v>
      </c>
      <c r="F8077">
        <v>1010</v>
      </c>
      <c r="G8077" t="s">
        <v>113</v>
      </c>
      <c r="H8077" t="s">
        <v>2503</v>
      </c>
      <c r="I8077" t="s">
        <v>133</v>
      </c>
      <c r="J8077">
        <v>3805</v>
      </c>
      <c r="K8077" t="s">
        <v>2504</v>
      </c>
      <c r="L8077">
        <v>0</v>
      </c>
      <c r="N8077" t="s">
        <v>602</v>
      </c>
      <c r="O8077">
        <v>4</v>
      </c>
      <c r="P8077">
        <v>2073</v>
      </c>
      <c r="Q8077" t="s">
        <v>1016</v>
      </c>
      <c r="R8077" t="s">
        <v>201</v>
      </c>
      <c r="S8077">
        <v>1</v>
      </c>
      <c r="T8077">
        <v>1</v>
      </c>
      <c r="U8077">
        <v>141564</v>
      </c>
      <c r="V8077">
        <v>141564</v>
      </c>
    </row>
    <row r="8078" spans="1:22">
      <c r="A8078" t="s">
        <v>2333</v>
      </c>
      <c r="B8078">
        <v>72</v>
      </c>
      <c r="C8078" t="s">
        <v>113</v>
      </c>
      <c r="D8078" t="s">
        <v>2511</v>
      </c>
      <c r="E8078" t="s">
        <v>2512</v>
      </c>
      <c r="F8078">
        <v>1010</v>
      </c>
      <c r="G8078" t="s">
        <v>113</v>
      </c>
      <c r="H8078" t="s">
        <v>2503</v>
      </c>
      <c r="I8078" t="s">
        <v>133</v>
      </c>
      <c r="J8078">
        <v>3805</v>
      </c>
      <c r="K8078" t="s">
        <v>2504</v>
      </c>
      <c r="L8078">
        <v>0</v>
      </c>
      <c r="N8078" t="s">
        <v>199</v>
      </c>
      <c r="O8078">
        <v>0</v>
      </c>
      <c r="P8078">
        <v>44</v>
      </c>
      <c r="Q8078" t="s">
        <v>2337</v>
      </c>
      <c r="R8078" t="s">
        <v>201</v>
      </c>
      <c r="S8078">
        <v>0</v>
      </c>
      <c r="T8078">
        <v>0</v>
      </c>
      <c r="U8078">
        <v>151763</v>
      </c>
      <c r="V8078">
        <v>151763</v>
      </c>
    </row>
    <row r="8079" spans="1:22">
      <c r="A8079" t="s">
        <v>2333</v>
      </c>
      <c r="B8079">
        <v>21</v>
      </c>
      <c r="C8079" t="s">
        <v>78</v>
      </c>
      <c r="D8079" t="s">
        <v>2515</v>
      </c>
      <c r="E8079" t="s">
        <v>2516</v>
      </c>
      <c r="F8079">
        <v>1005</v>
      </c>
      <c r="G8079" t="s">
        <v>78</v>
      </c>
      <c r="H8079">
        <v>2835</v>
      </c>
      <c r="I8079" t="s">
        <v>170</v>
      </c>
      <c r="J8079">
        <v>3835</v>
      </c>
      <c r="K8079" t="s">
        <v>2517</v>
      </c>
      <c r="L8079">
        <v>0</v>
      </c>
      <c r="N8079" t="s">
        <v>372</v>
      </c>
      <c r="O8079">
        <v>4</v>
      </c>
      <c r="P8079">
        <v>1912</v>
      </c>
      <c r="Q8079" t="s">
        <v>608</v>
      </c>
      <c r="R8079" t="s">
        <v>201</v>
      </c>
      <c r="S8079">
        <v>1</v>
      </c>
      <c r="T8079">
        <v>1</v>
      </c>
      <c r="U8079">
        <v>77640</v>
      </c>
      <c r="V8079">
        <v>77640</v>
      </c>
    </row>
    <row r="8080" spans="1:22">
      <c r="A8080" t="s">
        <v>2333</v>
      </c>
      <c r="B8080">
        <v>21</v>
      </c>
      <c r="C8080" t="s">
        <v>78</v>
      </c>
      <c r="D8080" t="s">
        <v>2515</v>
      </c>
      <c r="E8080" t="s">
        <v>2516</v>
      </c>
      <c r="F8080">
        <v>1005</v>
      </c>
      <c r="G8080" t="s">
        <v>78</v>
      </c>
      <c r="H8080">
        <v>2835</v>
      </c>
      <c r="I8080" t="s">
        <v>170</v>
      </c>
      <c r="J8080">
        <v>3835</v>
      </c>
      <c r="K8080" t="s">
        <v>2517</v>
      </c>
      <c r="L8080">
        <v>0</v>
      </c>
      <c r="N8080" t="s">
        <v>199</v>
      </c>
      <c r="O8080">
        <v>0</v>
      </c>
      <c r="P8080">
        <v>44</v>
      </c>
      <c r="Q8080" t="s">
        <v>2337</v>
      </c>
      <c r="R8080" t="s">
        <v>201</v>
      </c>
      <c r="S8080">
        <v>0</v>
      </c>
      <c r="T8080">
        <v>0</v>
      </c>
      <c r="U8080">
        <v>43447</v>
      </c>
      <c r="V8080">
        <v>43447</v>
      </c>
    </row>
    <row r="8081" spans="1:22">
      <c r="A8081" t="s">
        <v>2333</v>
      </c>
      <c r="B8081">
        <v>27</v>
      </c>
      <c r="C8081" t="s">
        <v>637</v>
      </c>
      <c r="D8081" t="s">
        <v>2515</v>
      </c>
      <c r="E8081" t="s">
        <v>2516</v>
      </c>
      <c r="F8081">
        <v>1005</v>
      </c>
      <c r="G8081" t="s">
        <v>638</v>
      </c>
      <c r="H8081">
        <v>2838</v>
      </c>
      <c r="I8081" t="s">
        <v>155</v>
      </c>
      <c r="J8081">
        <v>3838</v>
      </c>
      <c r="K8081" t="s">
        <v>2518</v>
      </c>
      <c r="L8081">
        <v>0</v>
      </c>
      <c r="N8081" t="s">
        <v>249</v>
      </c>
      <c r="O8081">
        <v>10</v>
      </c>
      <c r="P8081">
        <v>310</v>
      </c>
      <c r="Q8081" t="s">
        <v>447</v>
      </c>
      <c r="R8081" t="s">
        <v>201</v>
      </c>
      <c r="S8081">
        <v>1</v>
      </c>
      <c r="T8081">
        <v>1</v>
      </c>
      <c r="U8081">
        <v>89112</v>
      </c>
      <c r="V8081">
        <v>89112</v>
      </c>
    </row>
    <row r="8082" spans="1:22">
      <c r="A8082" t="s">
        <v>2333</v>
      </c>
      <c r="B8082">
        <v>27</v>
      </c>
      <c r="C8082" t="s">
        <v>637</v>
      </c>
      <c r="D8082" t="s">
        <v>2515</v>
      </c>
      <c r="E8082" t="s">
        <v>2516</v>
      </c>
      <c r="F8082">
        <v>1005</v>
      </c>
      <c r="G8082" t="s">
        <v>638</v>
      </c>
      <c r="H8082">
        <v>2838</v>
      </c>
      <c r="I8082" t="s">
        <v>155</v>
      </c>
      <c r="J8082">
        <v>3838</v>
      </c>
      <c r="K8082" t="s">
        <v>2518</v>
      </c>
      <c r="L8082">
        <v>0</v>
      </c>
      <c r="N8082" t="s">
        <v>199</v>
      </c>
      <c r="O8082">
        <v>0</v>
      </c>
      <c r="P8082">
        <v>44</v>
      </c>
      <c r="Q8082" t="s">
        <v>2337</v>
      </c>
      <c r="R8082" t="s">
        <v>201</v>
      </c>
      <c r="S8082">
        <v>0</v>
      </c>
      <c r="T8082">
        <v>0</v>
      </c>
      <c r="U8082">
        <v>49867</v>
      </c>
      <c r="V8082">
        <v>49867</v>
      </c>
    </row>
    <row r="8083" spans="1:22">
      <c r="A8083" t="s">
        <v>2333</v>
      </c>
      <c r="B8083">
        <v>27</v>
      </c>
      <c r="C8083" t="s">
        <v>637</v>
      </c>
      <c r="D8083" t="s">
        <v>2515</v>
      </c>
      <c r="E8083" t="s">
        <v>2516</v>
      </c>
      <c r="F8083">
        <v>1005</v>
      </c>
      <c r="G8083" t="s">
        <v>638</v>
      </c>
      <c r="H8083">
        <v>2838</v>
      </c>
      <c r="I8083" t="s">
        <v>155</v>
      </c>
      <c r="J8083">
        <v>3838</v>
      </c>
      <c r="K8083" t="s">
        <v>2518</v>
      </c>
      <c r="L8083">
        <v>0</v>
      </c>
      <c r="N8083" t="s">
        <v>199</v>
      </c>
      <c r="O8083">
        <v>0</v>
      </c>
      <c r="P8083">
        <v>15</v>
      </c>
      <c r="Q8083" t="s">
        <v>264</v>
      </c>
      <c r="R8083" t="s">
        <v>201</v>
      </c>
      <c r="S8083">
        <v>0</v>
      </c>
      <c r="T8083">
        <v>0</v>
      </c>
      <c r="U8083">
        <v>2136</v>
      </c>
      <c r="V8083">
        <v>2136</v>
      </c>
    </row>
    <row r="8084" spans="1:22">
      <c r="A8084" t="s">
        <v>2333</v>
      </c>
      <c r="B8084">
        <v>31</v>
      </c>
      <c r="C8084" t="s">
        <v>27</v>
      </c>
      <c r="D8084" t="s">
        <v>2515</v>
      </c>
      <c r="E8084" t="s">
        <v>2516</v>
      </c>
      <c r="F8084">
        <v>1005</v>
      </c>
      <c r="G8084" t="s">
        <v>27</v>
      </c>
      <c r="H8084">
        <v>2838</v>
      </c>
      <c r="I8084" t="s">
        <v>155</v>
      </c>
      <c r="J8084">
        <v>3838</v>
      </c>
      <c r="K8084" t="s">
        <v>2518</v>
      </c>
      <c r="L8084">
        <v>0</v>
      </c>
      <c r="N8084" t="s">
        <v>804</v>
      </c>
      <c r="O8084">
        <v>9</v>
      </c>
      <c r="P8084">
        <v>1643</v>
      </c>
      <c r="Q8084" t="s">
        <v>805</v>
      </c>
      <c r="R8084" t="s">
        <v>201</v>
      </c>
      <c r="S8084">
        <v>1</v>
      </c>
      <c r="T8084">
        <v>1</v>
      </c>
      <c r="U8084">
        <v>78108</v>
      </c>
      <c r="V8084">
        <v>78108</v>
      </c>
    </row>
    <row r="8085" spans="1:22">
      <c r="A8085" t="s">
        <v>2333</v>
      </c>
      <c r="B8085">
        <v>31</v>
      </c>
      <c r="C8085" t="s">
        <v>27</v>
      </c>
      <c r="D8085" t="s">
        <v>2515</v>
      </c>
      <c r="E8085" t="s">
        <v>2516</v>
      </c>
      <c r="F8085">
        <v>1005</v>
      </c>
      <c r="G8085" t="s">
        <v>27</v>
      </c>
      <c r="H8085">
        <v>2838</v>
      </c>
      <c r="I8085" t="s">
        <v>155</v>
      </c>
      <c r="J8085">
        <v>3838</v>
      </c>
      <c r="K8085" t="s">
        <v>2518</v>
      </c>
      <c r="L8085">
        <v>0</v>
      </c>
      <c r="N8085" t="s">
        <v>199</v>
      </c>
      <c r="O8085">
        <v>0</v>
      </c>
      <c r="P8085">
        <v>44</v>
      </c>
      <c r="Q8085" t="s">
        <v>2337</v>
      </c>
      <c r="R8085" t="s">
        <v>201</v>
      </c>
      <c r="S8085">
        <v>0</v>
      </c>
      <c r="T8085">
        <v>0</v>
      </c>
      <c r="U8085">
        <v>43709</v>
      </c>
      <c r="V8085">
        <v>43709</v>
      </c>
    </row>
    <row r="8086" spans="1:22">
      <c r="A8086" t="s">
        <v>2333</v>
      </c>
      <c r="B8086">
        <v>41</v>
      </c>
      <c r="C8086" t="s">
        <v>1097</v>
      </c>
      <c r="D8086" t="s">
        <v>2515</v>
      </c>
      <c r="E8086" t="s">
        <v>2516</v>
      </c>
      <c r="F8086">
        <v>1005</v>
      </c>
      <c r="G8086" t="s">
        <v>111</v>
      </c>
      <c r="H8086" t="s">
        <v>2519</v>
      </c>
      <c r="I8086" t="s">
        <v>127</v>
      </c>
      <c r="J8086" t="s">
        <v>2520</v>
      </c>
      <c r="K8086" t="s">
        <v>2521</v>
      </c>
      <c r="L8086">
        <v>0</v>
      </c>
      <c r="N8086" t="s">
        <v>1124</v>
      </c>
      <c r="O8086">
        <v>37</v>
      </c>
      <c r="P8086">
        <v>3752</v>
      </c>
      <c r="Q8086" t="s">
        <v>1125</v>
      </c>
      <c r="R8086" t="s">
        <v>201</v>
      </c>
      <c r="S8086">
        <v>1</v>
      </c>
      <c r="T8086">
        <v>1</v>
      </c>
      <c r="U8086">
        <v>137376</v>
      </c>
      <c r="V8086">
        <v>137376</v>
      </c>
    </row>
    <row r="8087" spans="1:22">
      <c r="A8087" t="s">
        <v>2333</v>
      </c>
      <c r="B8087">
        <v>41</v>
      </c>
      <c r="C8087" t="s">
        <v>1097</v>
      </c>
      <c r="D8087" t="s">
        <v>2515</v>
      </c>
      <c r="E8087" t="s">
        <v>2516</v>
      </c>
      <c r="F8087">
        <v>1005</v>
      </c>
      <c r="G8087" t="s">
        <v>111</v>
      </c>
      <c r="H8087" t="s">
        <v>2519</v>
      </c>
      <c r="I8087" t="s">
        <v>127</v>
      </c>
      <c r="J8087" t="s">
        <v>2520</v>
      </c>
      <c r="K8087" t="s">
        <v>2521</v>
      </c>
      <c r="L8087">
        <v>0</v>
      </c>
      <c r="N8087" t="s">
        <v>1124</v>
      </c>
      <c r="O8087">
        <v>37</v>
      </c>
      <c r="P8087">
        <v>3752</v>
      </c>
      <c r="Q8087" t="s">
        <v>1125</v>
      </c>
      <c r="R8087" t="s">
        <v>201</v>
      </c>
      <c r="S8087">
        <v>1</v>
      </c>
      <c r="T8087">
        <v>1</v>
      </c>
      <c r="U8087">
        <v>101448</v>
      </c>
      <c r="V8087">
        <v>101448</v>
      </c>
    </row>
    <row r="8088" spans="1:22">
      <c r="A8088" t="s">
        <v>2333</v>
      </c>
      <c r="B8088">
        <v>41</v>
      </c>
      <c r="C8088" t="s">
        <v>1097</v>
      </c>
      <c r="D8088" t="s">
        <v>2515</v>
      </c>
      <c r="E8088" t="s">
        <v>2516</v>
      </c>
      <c r="F8088">
        <v>1005</v>
      </c>
      <c r="G8088" t="s">
        <v>111</v>
      </c>
      <c r="H8088" t="s">
        <v>2519</v>
      </c>
      <c r="I8088" t="s">
        <v>127</v>
      </c>
      <c r="J8088" t="s">
        <v>2520</v>
      </c>
      <c r="K8088" t="s">
        <v>2521</v>
      </c>
      <c r="L8088">
        <v>0</v>
      </c>
      <c r="N8088" t="s">
        <v>1124</v>
      </c>
      <c r="O8088">
        <v>37</v>
      </c>
      <c r="P8088">
        <v>3752</v>
      </c>
      <c r="Q8088" t="s">
        <v>1125</v>
      </c>
      <c r="R8088" t="s">
        <v>201</v>
      </c>
      <c r="S8088">
        <v>1</v>
      </c>
      <c r="T8088">
        <v>1</v>
      </c>
      <c r="U8088">
        <v>96708</v>
      </c>
      <c r="V8088">
        <v>96708</v>
      </c>
    </row>
    <row r="8089" spans="1:22">
      <c r="A8089" t="s">
        <v>2333</v>
      </c>
      <c r="B8089">
        <v>41</v>
      </c>
      <c r="C8089" t="s">
        <v>1097</v>
      </c>
      <c r="D8089" t="s">
        <v>2515</v>
      </c>
      <c r="E8089" t="s">
        <v>2516</v>
      </c>
      <c r="F8089">
        <v>1005</v>
      </c>
      <c r="G8089" t="s">
        <v>111</v>
      </c>
      <c r="H8089" t="s">
        <v>2519</v>
      </c>
      <c r="I8089" t="s">
        <v>127</v>
      </c>
      <c r="J8089" t="s">
        <v>2520</v>
      </c>
      <c r="K8089" t="s">
        <v>2521</v>
      </c>
      <c r="L8089">
        <v>0</v>
      </c>
      <c r="N8089" t="s">
        <v>1124</v>
      </c>
      <c r="O8089">
        <v>37</v>
      </c>
      <c r="P8089">
        <v>3752</v>
      </c>
      <c r="Q8089" t="s">
        <v>1125</v>
      </c>
      <c r="R8089" t="s">
        <v>201</v>
      </c>
      <c r="S8089">
        <v>2</v>
      </c>
      <c r="T8089">
        <v>1</v>
      </c>
      <c r="U8089">
        <v>91956</v>
      </c>
      <c r="V8089">
        <v>183912</v>
      </c>
    </row>
    <row r="8090" spans="1:22">
      <c r="A8090" t="s">
        <v>2333</v>
      </c>
      <c r="B8090">
        <v>41</v>
      </c>
      <c r="C8090" t="s">
        <v>1097</v>
      </c>
      <c r="D8090" t="s">
        <v>2515</v>
      </c>
      <c r="E8090" t="s">
        <v>2516</v>
      </c>
      <c r="F8090">
        <v>1005</v>
      </c>
      <c r="G8090" t="s">
        <v>111</v>
      </c>
      <c r="H8090" t="s">
        <v>2519</v>
      </c>
      <c r="I8090" t="s">
        <v>127</v>
      </c>
      <c r="J8090" t="s">
        <v>2520</v>
      </c>
      <c r="K8090" t="s">
        <v>2521</v>
      </c>
      <c r="L8090">
        <v>0</v>
      </c>
      <c r="N8090" t="s">
        <v>360</v>
      </c>
      <c r="O8090">
        <v>3</v>
      </c>
      <c r="P8090">
        <v>3429</v>
      </c>
      <c r="Q8090" t="s">
        <v>2394</v>
      </c>
      <c r="R8090" t="s">
        <v>201</v>
      </c>
      <c r="S8090">
        <v>1</v>
      </c>
      <c r="T8090">
        <v>1</v>
      </c>
      <c r="U8090">
        <v>98928</v>
      </c>
      <c r="V8090">
        <v>98928</v>
      </c>
    </row>
    <row r="8091" spans="1:22">
      <c r="A8091" t="s">
        <v>2333</v>
      </c>
      <c r="B8091">
        <v>41</v>
      </c>
      <c r="C8091" t="s">
        <v>1097</v>
      </c>
      <c r="D8091" t="s">
        <v>2515</v>
      </c>
      <c r="E8091" t="s">
        <v>2516</v>
      </c>
      <c r="F8091">
        <v>1005</v>
      </c>
      <c r="G8091" t="s">
        <v>111</v>
      </c>
      <c r="H8091" t="s">
        <v>2519</v>
      </c>
      <c r="I8091" t="s">
        <v>127</v>
      </c>
      <c r="J8091" t="s">
        <v>2520</v>
      </c>
      <c r="K8091" t="s">
        <v>2521</v>
      </c>
      <c r="L8091">
        <v>0</v>
      </c>
      <c r="N8091" t="s">
        <v>199</v>
      </c>
      <c r="O8091">
        <v>0</v>
      </c>
      <c r="P8091">
        <v>44</v>
      </c>
      <c r="Q8091" t="s">
        <v>2337</v>
      </c>
      <c r="R8091" t="s">
        <v>201</v>
      </c>
      <c r="S8091">
        <v>0</v>
      </c>
      <c r="T8091">
        <v>0</v>
      </c>
      <c r="U8091">
        <v>346041</v>
      </c>
      <c r="V8091">
        <v>346041</v>
      </c>
    </row>
    <row r="8092" spans="1:22">
      <c r="A8092" t="s">
        <v>2333</v>
      </c>
      <c r="B8092">
        <v>41</v>
      </c>
      <c r="C8092" t="s">
        <v>1097</v>
      </c>
      <c r="D8092" t="s">
        <v>2515</v>
      </c>
      <c r="E8092" t="s">
        <v>2516</v>
      </c>
      <c r="F8092">
        <v>1005</v>
      </c>
      <c r="G8092" t="s">
        <v>111</v>
      </c>
      <c r="H8092" t="s">
        <v>2519</v>
      </c>
      <c r="I8092" t="s">
        <v>127</v>
      </c>
      <c r="J8092" t="s">
        <v>2520</v>
      </c>
      <c r="K8092" t="s">
        <v>2521</v>
      </c>
      <c r="L8092">
        <v>0</v>
      </c>
      <c r="N8092" t="s">
        <v>199</v>
      </c>
      <c r="O8092">
        <v>0</v>
      </c>
      <c r="P8092">
        <v>15</v>
      </c>
      <c r="Q8092" t="s">
        <v>264</v>
      </c>
      <c r="R8092" t="s">
        <v>201</v>
      </c>
      <c r="S8092">
        <v>0</v>
      </c>
      <c r="T8092">
        <v>0</v>
      </c>
      <c r="U8092">
        <v>16559</v>
      </c>
      <c r="V8092">
        <v>16559</v>
      </c>
    </row>
    <row r="8093" spans="1:22">
      <c r="A8093" t="s">
        <v>2333</v>
      </c>
      <c r="B8093">
        <v>41</v>
      </c>
      <c r="C8093" t="s">
        <v>1097</v>
      </c>
      <c r="D8093" t="s">
        <v>2515</v>
      </c>
      <c r="E8093" t="s">
        <v>2516</v>
      </c>
      <c r="F8093">
        <v>1005</v>
      </c>
      <c r="G8093" t="s">
        <v>111</v>
      </c>
      <c r="H8093" t="s">
        <v>2522</v>
      </c>
      <c r="I8093" t="s">
        <v>75</v>
      </c>
      <c r="J8093" t="s">
        <v>2523</v>
      </c>
      <c r="K8093" t="s">
        <v>1163</v>
      </c>
      <c r="L8093">
        <v>0</v>
      </c>
      <c r="N8093" t="s">
        <v>372</v>
      </c>
      <c r="O8093">
        <v>3</v>
      </c>
      <c r="P8093">
        <v>3441</v>
      </c>
      <c r="Q8093" t="s">
        <v>2439</v>
      </c>
      <c r="R8093" t="s">
        <v>201</v>
      </c>
      <c r="S8093">
        <v>2</v>
      </c>
      <c r="T8093">
        <v>1</v>
      </c>
      <c r="U8093">
        <v>119100</v>
      </c>
      <c r="V8093">
        <v>238200</v>
      </c>
    </row>
    <row r="8094" spans="1:22">
      <c r="A8094" t="s">
        <v>2333</v>
      </c>
      <c r="B8094">
        <v>41</v>
      </c>
      <c r="C8094" t="s">
        <v>1097</v>
      </c>
      <c r="D8094" t="s">
        <v>2515</v>
      </c>
      <c r="E8094" t="s">
        <v>2516</v>
      </c>
      <c r="F8094">
        <v>1005</v>
      </c>
      <c r="G8094" t="s">
        <v>111</v>
      </c>
      <c r="H8094" t="s">
        <v>2522</v>
      </c>
      <c r="I8094" t="s">
        <v>75</v>
      </c>
      <c r="J8094" t="s">
        <v>2523</v>
      </c>
      <c r="K8094" t="s">
        <v>1163</v>
      </c>
      <c r="L8094">
        <v>0</v>
      </c>
      <c r="N8094" t="s">
        <v>341</v>
      </c>
      <c r="O8094">
        <v>3</v>
      </c>
      <c r="P8094">
        <v>3434</v>
      </c>
      <c r="Q8094" t="s">
        <v>1140</v>
      </c>
      <c r="R8094" t="s">
        <v>201</v>
      </c>
      <c r="S8094">
        <v>2</v>
      </c>
      <c r="T8094">
        <v>1</v>
      </c>
      <c r="U8094">
        <v>119100</v>
      </c>
      <c r="V8094">
        <v>238200</v>
      </c>
    </row>
    <row r="8095" spans="1:22">
      <c r="A8095" t="s">
        <v>2333</v>
      </c>
      <c r="B8095">
        <v>41</v>
      </c>
      <c r="C8095" t="s">
        <v>1097</v>
      </c>
      <c r="D8095" t="s">
        <v>2515</v>
      </c>
      <c r="E8095" t="s">
        <v>2516</v>
      </c>
      <c r="F8095">
        <v>1005</v>
      </c>
      <c r="G8095" t="s">
        <v>111</v>
      </c>
      <c r="H8095" t="s">
        <v>2522</v>
      </c>
      <c r="I8095" t="s">
        <v>75</v>
      </c>
      <c r="J8095" t="s">
        <v>2523</v>
      </c>
      <c r="K8095" t="s">
        <v>1163</v>
      </c>
      <c r="L8095">
        <v>0</v>
      </c>
      <c r="N8095" t="s">
        <v>341</v>
      </c>
      <c r="O8095">
        <v>3</v>
      </c>
      <c r="P8095">
        <v>3434</v>
      </c>
      <c r="Q8095" t="s">
        <v>1140</v>
      </c>
      <c r="R8095" t="s">
        <v>201</v>
      </c>
      <c r="S8095">
        <v>1</v>
      </c>
      <c r="T8095">
        <v>1</v>
      </c>
      <c r="U8095">
        <v>113628</v>
      </c>
      <c r="V8095">
        <v>113628</v>
      </c>
    </row>
    <row r="8096" spans="1:22">
      <c r="A8096" t="s">
        <v>2333</v>
      </c>
      <c r="B8096">
        <v>41</v>
      </c>
      <c r="C8096" t="s">
        <v>1097</v>
      </c>
      <c r="D8096" t="s">
        <v>2515</v>
      </c>
      <c r="E8096" t="s">
        <v>2516</v>
      </c>
      <c r="F8096">
        <v>1005</v>
      </c>
      <c r="G8096" t="s">
        <v>111</v>
      </c>
      <c r="H8096" t="s">
        <v>2522</v>
      </c>
      <c r="I8096" t="s">
        <v>75</v>
      </c>
      <c r="J8096" t="s">
        <v>2523</v>
      </c>
      <c r="K8096" t="s">
        <v>1163</v>
      </c>
      <c r="L8096">
        <v>0</v>
      </c>
      <c r="N8096" t="s">
        <v>341</v>
      </c>
      <c r="O8096">
        <v>3</v>
      </c>
      <c r="P8096">
        <v>3434</v>
      </c>
      <c r="Q8096" t="s">
        <v>1140</v>
      </c>
      <c r="R8096" t="s">
        <v>201</v>
      </c>
      <c r="S8096">
        <v>1</v>
      </c>
      <c r="T8096">
        <v>1</v>
      </c>
      <c r="U8096">
        <v>108576</v>
      </c>
      <c r="V8096">
        <v>108576</v>
      </c>
    </row>
    <row r="8097" spans="1:22">
      <c r="A8097" t="s">
        <v>2333</v>
      </c>
      <c r="B8097">
        <v>41</v>
      </c>
      <c r="C8097" t="s">
        <v>1097</v>
      </c>
      <c r="D8097" t="s">
        <v>2515</v>
      </c>
      <c r="E8097" t="s">
        <v>2516</v>
      </c>
      <c r="F8097">
        <v>1005</v>
      </c>
      <c r="G8097" t="s">
        <v>111</v>
      </c>
      <c r="H8097" t="s">
        <v>2522</v>
      </c>
      <c r="I8097" t="s">
        <v>75</v>
      </c>
      <c r="J8097" t="s">
        <v>2523</v>
      </c>
      <c r="K8097" t="s">
        <v>1163</v>
      </c>
      <c r="L8097">
        <v>0</v>
      </c>
      <c r="N8097" t="s">
        <v>341</v>
      </c>
      <c r="O8097">
        <v>3</v>
      </c>
      <c r="P8097">
        <v>3434</v>
      </c>
      <c r="Q8097" t="s">
        <v>1140</v>
      </c>
      <c r="R8097" t="s">
        <v>201</v>
      </c>
      <c r="S8097">
        <v>1</v>
      </c>
      <c r="T8097">
        <v>1</v>
      </c>
      <c r="U8097">
        <v>94452</v>
      </c>
      <c r="V8097">
        <v>94452</v>
      </c>
    </row>
    <row r="8098" spans="1:22">
      <c r="A8098" t="s">
        <v>2333</v>
      </c>
      <c r="B8098">
        <v>41</v>
      </c>
      <c r="C8098" t="s">
        <v>1097</v>
      </c>
      <c r="D8098" t="s">
        <v>2515</v>
      </c>
      <c r="E8098" t="s">
        <v>2516</v>
      </c>
      <c r="F8098">
        <v>1005</v>
      </c>
      <c r="G8098" t="s">
        <v>111</v>
      </c>
      <c r="H8098" t="s">
        <v>2522</v>
      </c>
      <c r="I8098" t="s">
        <v>75</v>
      </c>
      <c r="J8098" t="s">
        <v>2523</v>
      </c>
      <c r="K8098" t="s">
        <v>1163</v>
      </c>
      <c r="L8098">
        <v>0</v>
      </c>
      <c r="N8098" t="s">
        <v>311</v>
      </c>
      <c r="O8098">
        <v>9</v>
      </c>
      <c r="P8098">
        <v>3348</v>
      </c>
      <c r="Q8098" t="s">
        <v>1119</v>
      </c>
      <c r="R8098" t="s">
        <v>201</v>
      </c>
      <c r="S8098">
        <v>1</v>
      </c>
      <c r="T8098">
        <v>1</v>
      </c>
      <c r="U8098">
        <v>199800</v>
      </c>
      <c r="V8098">
        <v>199800</v>
      </c>
    </row>
    <row r="8099" spans="1:22">
      <c r="A8099" t="s">
        <v>2333</v>
      </c>
      <c r="B8099">
        <v>41</v>
      </c>
      <c r="C8099" t="s">
        <v>1097</v>
      </c>
      <c r="D8099" t="s">
        <v>2515</v>
      </c>
      <c r="E8099" t="s">
        <v>2516</v>
      </c>
      <c r="F8099">
        <v>1005</v>
      </c>
      <c r="G8099" t="s">
        <v>111</v>
      </c>
      <c r="H8099" t="s">
        <v>2522</v>
      </c>
      <c r="I8099" t="s">
        <v>75</v>
      </c>
      <c r="J8099" t="s">
        <v>2523</v>
      </c>
      <c r="K8099" t="s">
        <v>1163</v>
      </c>
      <c r="L8099">
        <v>0</v>
      </c>
      <c r="N8099" t="s">
        <v>360</v>
      </c>
      <c r="O8099">
        <v>1</v>
      </c>
      <c r="P8099">
        <v>3130</v>
      </c>
      <c r="Q8099" t="s">
        <v>1185</v>
      </c>
      <c r="R8099" t="s">
        <v>201</v>
      </c>
      <c r="S8099">
        <v>1</v>
      </c>
      <c r="T8099">
        <v>1</v>
      </c>
      <c r="U8099">
        <v>98928</v>
      </c>
      <c r="V8099">
        <v>98928</v>
      </c>
    </row>
    <row r="8100" spans="1:22">
      <c r="A8100" t="s">
        <v>2333</v>
      </c>
      <c r="B8100">
        <v>41</v>
      </c>
      <c r="C8100" t="s">
        <v>1097</v>
      </c>
      <c r="D8100" t="s">
        <v>2515</v>
      </c>
      <c r="E8100" t="s">
        <v>2516</v>
      </c>
      <c r="F8100">
        <v>1005</v>
      </c>
      <c r="G8100" t="s">
        <v>111</v>
      </c>
      <c r="H8100" t="s">
        <v>2522</v>
      </c>
      <c r="I8100" t="s">
        <v>75</v>
      </c>
      <c r="J8100" t="s">
        <v>2523</v>
      </c>
      <c r="K8100" t="s">
        <v>1163</v>
      </c>
      <c r="L8100">
        <v>0</v>
      </c>
      <c r="N8100" t="s">
        <v>372</v>
      </c>
      <c r="O8100">
        <v>3</v>
      </c>
      <c r="P8100">
        <v>2381</v>
      </c>
      <c r="Q8100" t="s">
        <v>1168</v>
      </c>
      <c r="R8100" t="s">
        <v>201</v>
      </c>
      <c r="S8100">
        <v>4</v>
      </c>
      <c r="T8100">
        <v>1</v>
      </c>
      <c r="U8100">
        <v>130668</v>
      </c>
      <c r="V8100">
        <v>522672</v>
      </c>
    </row>
    <row r="8101" spans="1:22">
      <c r="A8101" t="s">
        <v>2333</v>
      </c>
      <c r="B8101">
        <v>41</v>
      </c>
      <c r="C8101" t="s">
        <v>1097</v>
      </c>
      <c r="D8101" t="s">
        <v>2515</v>
      </c>
      <c r="E8101" t="s">
        <v>2516</v>
      </c>
      <c r="F8101">
        <v>1005</v>
      </c>
      <c r="G8101" t="s">
        <v>111</v>
      </c>
      <c r="H8101" t="s">
        <v>2522</v>
      </c>
      <c r="I8101" t="s">
        <v>75</v>
      </c>
      <c r="J8101" t="s">
        <v>2523</v>
      </c>
      <c r="K8101" t="s">
        <v>1163</v>
      </c>
      <c r="L8101">
        <v>0</v>
      </c>
      <c r="N8101" t="s">
        <v>372</v>
      </c>
      <c r="O8101">
        <v>3</v>
      </c>
      <c r="P8101">
        <v>2381</v>
      </c>
      <c r="Q8101" t="s">
        <v>1168</v>
      </c>
      <c r="R8101" t="s">
        <v>201</v>
      </c>
      <c r="S8101">
        <v>1</v>
      </c>
      <c r="T8101">
        <v>1</v>
      </c>
      <c r="U8101">
        <v>119100</v>
      </c>
      <c r="V8101">
        <v>119100</v>
      </c>
    </row>
    <row r="8102" spans="1:22">
      <c r="A8102" t="s">
        <v>2333</v>
      </c>
      <c r="B8102">
        <v>41</v>
      </c>
      <c r="C8102" t="s">
        <v>1097</v>
      </c>
      <c r="D8102" t="s">
        <v>2515</v>
      </c>
      <c r="E8102" t="s">
        <v>2516</v>
      </c>
      <c r="F8102">
        <v>1005</v>
      </c>
      <c r="G8102" t="s">
        <v>111</v>
      </c>
      <c r="H8102" t="s">
        <v>2522</v>
      </c>
      <c r="I8102" t="s">
        <v>75</v>
      </c>
      <c r="J8102" t="s">
        <v>2523</v>
      </c>
      <c r="K8102" t="s">
        <v>1163</v>
      </c>
      <c r="L8102">
        <v>0</v>
      </c>
      <c r="N8102" t="s">
        <v>372</v>
      </c>
      <c r="O8102">
        <v>3</v>
      </c>
      <c r="P8102">
        <v>2381</v>
      </c>
      <c r="Q8102" t="s">
        <v>1168</v>
      </c>
      <c r="R8102" t="s">
        <v>201</v>
      </c>
      <c r="S8102">
        <v>1</v>
      </c>
      <c r="T8102">
        <v>1</v>
      </c>
      <c r="U8102">
        <v>98928</v>
      </c>
      <c r="V8102">
        <v>98928</v>
      </c>
    </row>
    <row r="8103" spans="1:22">
      <c r="A8103" t="s">
        <v>2333</v>
      </c>
      <c r="B8103">
        <v>41</v>
      </c>
      <c r="C8103" t="s">
        <v>1097</v>
      </c>
      <c r="D8103" t="s">
        <v>2515</v>
      </c>
      <c r="E8103" t="s">
        <v>2516</v>
      </c>
      <c r="F8103">
        <v>1005</v>
      </c>
      <c r="G8103" t="s">
        <v>111</v>
      </c>
      <c r="H8103" t="s">
        <v>2522</v>
      </c>
      <c r="I8103" t="s">
        <v>75</v>
      </c>
      <c r="J8103" t="s">
        <v>2523</v>
      </c>
      <c r="K8103" t="s">
        <v>1163</v>
      </c>
      <c r="L8103">
        <v>0</v>
      </c>
      <c r="N8103" t="s">
        <v>372</v>
      </c>
      <c r="O8103">
        <v>3</v>
      </c>
      <c r="P8103">
        <v>2381</v>
      </c>
      <c r="Q8103" t="s">
        <v>1168</v>
      </c>
      <c r="R8103" t="s">
        <v>201</v>
      </c>
      <c r="S8103">
        <v>2</v>
      </c>
      <c r="T8103">
        <v>1</v>
      </c>
      <c r="U8103">
        <v>85200</v>
      </c>
      <c r="V8103">
        <v>170400</v>
      </c>
    </row>
    <row r="8104" spans="1:22">
      <c r="A8104" t="s">
        <v>2333</v>
      </c>
      <c r="B8104">
        <v>41</v>
      </c>
      <c r="C8104" t="s">
        <v>1097</v>
      </c>
      <c r="D8104" t="s">
        <v>2515</v>
      </c>
      <c r="E8104" t="s">
        <v>2516</v>
      </c>
      <c r="F8104">
        <v>1005</v>
      </c>
      <c r="G8104" t="s">
        <v>111</v>
      </c>
      <c r="H8104" t="s">
        <v>2522</v>
      </c>
      <c r="I8104" t="s">
        <v>75</v>
      </c>
      <c r="J8104" t="s">
        <v>2523</v>
      </c>
      <c r="K8104" t="s">
        <v>1163</v>
      </c>
      <c r="L8104">
        <v>0</v>
      </c>
      <c r="N8104" t="s">
        <v>372</v>
      </c>
      <c r="O8104">
        <v>3</v>
      </c>
      <c r="P8104">
        <v>2381</v>
      </c>
      <c r="Q8104" t="s">
        <v>1168</v>
      </c>
      <c r="R8104" t="s">
        <v>201</v>
      </c>
      <c r="S8104">
        <v>1</v>
      </c>
      <c r="T8104">
        <v>1</v>
      </c>
      <c r="U8104">
        <v>75336</v>
      </c>
      <c r="V8104">
        <v>75336</v>
      </c>
    </row>
    <row r="8105" spans="1:22">
      <c r="A8105" t="s">
        <v>2333</v>
      </c>
      <c r="B8105">
        <v>41</v>
      </c>
      <c r="C8105" t="s">
        <v>1097</v>
      </c>
      <c r="D8105" t="s">
        <v>2515</v>
      </c>
      <c r="E8105" t="s">
        <v>2516</v>
      </c>
      <c r="F8105">
        <v>1005</v>
      </c>
      <c r="G8105" t="s">
        <v>111</v>
      </c>
      <c r="H8105" t="s">
        <v>2522</v>
      </c>
      <c r="I8105" t="s">
        <v>75</v>
      </c>
      <c r="J8105" t="s">
        <v>2523</v>
      </c>
      <c r="K8105" t="s">
        <v>1163</v>
      </c>
      <c r="L8105">
        <v>0</v>
      </c>
      <c r="N8105" t="s">
        <v>622</v>
      </c>
      <c r="O8105">
        <v>1</v>
      </c>
      <c r="P8105" t="s">
        <v>667</v>
      </c>
      <c r="Q8105" t="s">
        <v>205</v>
      </c>
      <c r="R8105" t="s">
        <v>201</v>
      </c>
      <c r="S8105">
        <v>1</v>
      </c>
      <c r="T8105">
        <v>1</v>
      </c>
      <c r="U8105">
        <v>90144</v>
      </c>
      <c r="V8105">
        <v>90144</v>
      </c>
    </row>
    <row r="8106" spans="1:22">
      <c r="A8106" t="s">
        <v>2333</v>
      </c>
      <c r="B8106">
        <v>41</v>
      </c>
      <c r="C8106" t="s">
        <v>1097</v>
      </c>
      <c r="D8106" t="s">
        <v>2515</v>
      </c>
      <c r="E8106" t="s">
        <v>2516</v>
      </c>
      <c r="F8106">
        <v>1005</v>
      </c>
      <c r="G8106" t="s">
        <v>111</v>
      </c>
      <c r="H8106" t="s">
        <v>2522</v>
      </c>
      <c r="I8106" t="s">
        <v>75</v>
      </c>
      <c r="J8106" t="s">
        <v>2523</v>
      </c>
      <c r="K8106" t="s">
        <v>1163</v>
      </c>
      <c r="L8106">
        <v>0</v>
      </c>
      <c r="N8106" t="s">
        <v>199</v>
      </c>
      <c r="O8106">
        <v>0</v>
      </c>
      <c r="P8106">
        <v>44</v>
      </c>
      <c r="Q8106" t="s">
        <v>2337</v>
      </c>
      <c r="R8106" t="s">
        <v>201</v>
      </c>
      <c r="S8106">
        <v>0</v>
      </c>
      <c r="T8106">
        <v>0</v>
      </c>
      <c r="U8106">
        <v>1213416</v>
      </c>
      <c r="V8106">
        <v>1213416</v>
      </c>
    </row>
    <row r="8107" spans="1:22">
      <c r="A8107" t="s">
        <v>2333</v>
      </c>
      <c r="B8107">
        <v>41</v>
      </c>
      <c r="C8107" t="s">
        <v>1097</v>
      </c>
      <c r="D8107" t="s">
        <v>2515</v>
      </c>
      <c r="E8107" t="s">
        <v>2516</v>
      </c>
      <c r="F8107">
        <v>1005</v>
      </c>
      <c r="G8107" t="s">
        <v>111</v>
      </c>
      <c r="H8107" t="s">
        <v>2522</v>
      </c>
      <c r="I8107" t="s">
        <v>75</v>
      </c>
      <c r="J8107" t="s">
        <v>2523</v>
      </c>
      <c r="K8107" t="s">
        <v>1163</v>
      </c>
      <c r="L8107">
        <v>0</v>
      </c>
      <c r="N8107" t="s">
        <v>199</v>
      </c>
      <c r="O8107">
        <v>0</v>
      </c>
      <c r="P8107">
        <v>15</v>
      </c>
      <c r="Q8107" t="s">
        <v>264</v>
      </c>
      <c r="R8107" t="s">
        <v>201</v>
      </c>
      <c r="S8107">
        <v>0</v>
      </c>
      <c r="T8107">
        <v>0</v>
      </c>
      <c r="U8107">
        <v>12291</v>
      </c>
      <c r="V8107">
        <v>12291</v>
      </c>
    </row>
    <row r="8108" spans="1:22">
      <c r="A8108" t="s">
        <v>2333</v>
      </c>
      <c r="B8108">
        <v>41</v>
      </c>
      <c r="C8108" t="s">
        <v>1097</v>
      </c>
      <c r="D8108" t="s">
        <v>2515</v>
      </c>
      <c r="E8108" t="s">
        <v>2516</v>
      </c>
      <c r="F8108">
        <v>1005</v>
      </c>
      <c r="G8108" t="s">
        <v>111</v>
      </c>
      <c r="H8108" t="s">
        <v>2522</v>
      </c>
      <c r="I8108" t="s">
        <v>75</v>
      </c>
      <c r="J8108" t="s">
        <v>2524</v>
      </c>
      <c r="K8108" t="s">
        <v>2525</v>
      </c>
      <c r="L8108">
        <v>0</v>
      </c>
      <c r="N8108" t="s">
        <v>1124</v>
      </c>
      <c r="O8108">
        <v>37</v>
      </c>
      <c r="P8108">
        <v>3752</v>
      </c>
      <c r="Q8108" t="s">
        <v>1125</v>
      </c>
      <c r="R8108" t="s">
        <v>201</v>
      </c>
      <c r="S8108">
        <v>5</v>
      </c>
      <c r="T8108">
        <v>1</v>
      </c>
      <c r="U8108">
        <v>137376</v>
      </c>
      <c r="V8108">
        <v>686880</v>
      </c>
    </row>
    <row r="8109" spans="1:22">
      <c r="A8109" t="s">
        <v>2333</v>
      </c>
      <c r="B8109">
        <v>41</v>
      </c>
      <c r="C8109" t="s">
        <v>1097</v>
      </c>
      <c r="D8109" t="s">
        <v>2515</v>
      </c>
      <c r="E8109" t="s">
        <v>2516</v>
      </c>
      <c r="F8109">
        <v>1005</v>
      </c>
      <c r="G8109" t="s">
        <v>111</v>
      </c>
      <c r="H8109" t="s">
        <v>2522</v>
      </c>
      <c r="I8109" t="s">
        <v>75</v>
      </c>
      <c r="J8109" t="s">
        <v>2524</v>
      </c>
      <c r="K8109" t="s">
        <v>2525</v>
      </c>
      <c r="L8109">
        <v>0</v>
      </c>
      <c r="N8109" t="s">
        <v>1124</v>
      </c>
      <c r="O8109">
        <v>37</v>
      </c>
      <c r="P8109">
        <v>3752</v>
      </c>
      <c r="Q8109" t="s">
        <v>1125</v>
      </c>
      <c r="R8109" t="s">
        <v>201</v>
      </c>
      <c r="S8109">
        <v>1</v>
      </c>
      <c r="T8109">
        <v>1</v>
      </c>
      <c r="U8109">
        <v>101448</v>
      </c>
      <c r="V8109">
        <v>101448</v>
      </c>
    </row>
    <row r="8110" spans="1:22">
      <c r="A8110" t="s">
        <v>2333</v>
      </c>
      <c r="B8110">
        <v>41</v>
      </c>
      <c r="C8110" t="s">
        <v>1097</v>
      </c>
      <c r="D8110" t="s">
        <v>2515</v>
      </c>
      <c r="E8110" t="s">
        <v>2516</v>
      </c>
      <c r="F8110">
        <v>1005</v>
      </c>
      <c r="G8110" t="s">
        <v>111</v>
      </c>
      <c r="H8110" t="s">
        <v>2522</v>
      </c>
      <c r="I8110" t="s">
        <v>75</v>
      </c>
      <c r="J8110" t="s">
        <v>2524</v>
      </c>
      <c r="K8110" t="s">
        <v>2525</v>
      </c>
      <c r="L8110">
        <v>0</v>
      </c>
      <c r="N8110" t="s">
        <v>360</v>
      </c>
      <c r="O8110">
        <v>3</v>
      </c>
      <c r="P8110">
        <v>3429</v>
      </c>
      <c r="Q8110" t="s">
        <v>2394</v>
      </c>
      <c r="R8110" t="s">
        <v>201</v>
      </c>
      <c r="S8110">
        <v>1</v>
      </c>
      <c r="T8110">
        <v>1</v>
      </c>
      <c r="U8110">
        <v>57000</v>
      </c>
      <c r="V8110">
        <v>57000</v>
      </c>
    </row>
    <row r="8111" spans="1:22">
      <c r="A8111" t="s">
        <v>2333</v>
      </c>
      <c r="B8111">
        <v>41</v>
      </c>
      <c r="C8111" t="s">
        <v>1097</v>
      </c>
      <c r="D8111" t="s">
        <v>2515</v>
      </c>
      <c r="E8111" t="s">
        <v>2516</v>
      </c>
      <c r="F8111">
        <v>1005</v>
      </c>
      <c r="G8111" t="s">
        <v>111</v>
      </c>
      <c r="H8111" t="s">
        <v>2522</v>
      </c>
      <c r="I8111" t="s">
        <v>75</v>
      </c>
      <c r="J8111" t="s">
        <v>2524</v>
      </c>
      <c r="K8111" t="s">
        <v>2525</v>
      </c>
      <c r="L8111">
        <v>0</v>
      </c>
      <c r="N8111" t="s">
        <v>809</v>
      </c>
      <c r="O8111">
        <v>1</v>
      </c>
      <c r="P8111">
        <v>3139</v>
      </c>
      <c r="Q8111" t="s">
        <v>1184</v>
      </c>
      <c r="R8111" t="s">
        <v>201</v>
      </c>
      <c r="S8111">
        <v>1</v>
      </c>
      <c r="T8111">
        <v>1</v>
      </c>
      <c r="U8111">
        <v>56124</v>
      </c>
      <c r="V8111">
        <v>56124</v>
      </c>
    </row>
    <row r="8112" spans="1:22">
      <c r="A8112" t="s">
        <v>2333</v>
      </c>
      <c r="B8112">
        <v>41</v>
      </c>
      <c r="C8112" t="s">
        <v>1097</v>
      </c>
      <c r="D8112" t="s">
        <v>2515</v>
      </c>
      <c r="E8112" t="s">
        <v>2516</v>
      </c>
      <c r="F8112">
        <v>1005</v>
      </c>
      <c r="G8112" t="s">
        <v>111</v>
      </c>
      <c r="H8112" t="s">
        <v>2522</v>
      </c>
      <c r="I8112" t="s">
        <v>75</v>
      </c>
      <c r="J8112" t="s">
        <v>2524</v>
      </c>
      <c r="K8112" t="s">
        <v>2525</v>
      </c>
      <c r="L8112">
        <v>0</v>
      </c>
      <c r="N8112" t="s">
        <v>809</v>
      </c>
      <c r="O8112">
        <v>1</v>
      </c>
      <c r="P8112">
        <v>3139</v>
      </c>
      <c r="Q8112" t="s">
        <v>1184</v>
      </c>
      <c r="R8112" t="s">
        <v>201</v>
      </c>
      <c r="S8112">
        <v>1</v>
      </c>
      <c r="T8112">
        <v>1</v>
      </c>
      <c r="U8112">
        <v>48864</v>
      </c>
      <c r="V8112">
        <v>48864</v>
      </c>
    </row>
    <row r="8113" spans="1:22">
      <c r="A8113" t="s">
        <v>2333</v>
      </c>
      <c r="B8113">
        <v>41</v>
      </c>
      <c r="C8113" t="s">
        <v>1097</v>
      </c>
      <c r="D8113" t="s">
        <v>2515</v>
      </c>
      <c r="E8113" t="s">
        <v>2516</v>
      </c>
      <c r="F8113">
        <v>1005</v>
      </c>
      <c r="G8113" t="s">
        <v>111</v>
      </c>
      <c r="H8113" t="s">
        <v>2522</v>
      </c>
      <c r="I8113" t="s">
        <v>75</v>
      </c>
      <c r="J8113" t="s">
        <v>2524</v>
      </c>
      <c r="K8113" t="s">
        <v>2525</v>
      </c>
      <c r="L8113">
        <v>0</v>
      </c>
      <c r="N8113" t="s">
        <v>274</v>
      </c>
      <c r="O8113">
        <v>20</v>
      </c>
      <c r="P8113">
        <v>3057</v>
      </c>
      <c r="Q8113" t="s">
        <v>1121</v>
      </c>
      <c r="R8113" t="s">
        <v>201</v>
      </c>
      <c r="S8113">
        <v>1</v>
      </c>
      <c r="T8113">
        <v>1</v>
      </c>
      <c r="U8113">
        <v>153384</v>
      </c>
      <c r="V8113">
        <v>153384</v>
      </c>
    </row>
    <row r="8114" spans="1:22">
      <c r="A8114" t="s">
        <v>2333</v>
      </c>
      <c r="B8114">
        <v>41</v>
      </c>
      <c r="C8114" t="s">
        <v>1097</v>
      </c>
      <c r="D8114" t="s">
        <v>2515</v>
      </c>
      <c r="E8114" t="s">
        <v>2516</v>
      </c>
      <c r="F8114">
        <v>1005</v>
      </c>
      <c r="G8114" t="s">
        <v>111</v>
      </c>
      <c r="H8114" t="s">
        <v>2522</v>
      </c>
      <c r="I8114" t="s">
        <v>75</v>
      </c>
      <c r="J8114" t="s">
        <v>2524</v>
      </c>
      <c r="K8114" t="s">
        <v>2525</v>
      </c>
      <c r="L8114">
        <v>0</v>
      </c>
      <c r="N8114" t="s">
        <v>1172</v>
      </c>
      <c r="O8114">
        <v>44</v>
      </c>
      <c r="P8114">
        <v>2150</v>
      </c>
      <c r="Q8114" t="s">
        <v>1173</v>
      </c>
      <c r="R8114" t="s">
        <v>201</v>
      </c>
      <c r="S8114">
        <v>1</v>
      </c>
      <c r="T8114">
        <v>1</v>
      </c>
      <c r="U8114">
        <v>107460</v>
      </c>
      <c r="V8114">
        <v>107460</v>
      </c>
    </row>
    <row r="8115" spans="1:22">
      <c r="A8115" t="s">
        <v>2333</v>
      </c>
      <c r="B8115">
        <v>41</v>
      </c>
      <c r="C8115" t="s">
        <v>1097</v>
      </c>
      <c r="D8115" t="s">
        <v>2515</v>
      </c>
      <c r="E8115" t="s">
        <v>2516</v>
      </c>
      <c r="F8115">
        <v>1005</v>
      </c>
      <c r="G8115" t="s">
        <v>111</v>
      </c>
      <c r="H8115" t="s">
        <v>2522</v>
      </c>
      <c r="I8115" t="s">
        <v>75</v>
      </c>
      <c r="J8115" t="s">
        <v>2524</v>
      </c>
      <c r="K8115" t="s">
        <v>2525</v>
      </c>
      <c r="L8115">
        <v>0</v>
      </c>
      <c r="N8115" t="s">
        <v>1172</v>
      </c>
      <c r="O8115">
        <v>44</v>
      </c>
      <c r="P8115">
        <v>2150</v>
      </c>
      <c r="Q8115" t="s">
        <v>1173</v>
      </c>
      <c r="R8115" t="s">
        <v>201</v>
      </c>
      <c r="S8115">
        <v>1</v>
      </c>
      <c r="T8115">
        <v>1</v>
      </c>
      <c r="U8115">
        <v>102540</v>
      </c>
      <c r="V8115">
        <v>102540</v>
      </c>
    </row>
    <row r="8116" spans="1:22">
      <c r="A8116" t="s">
        <v>2333</v>
      </c>
      <c r="B8116">
        <v>41</v>
      </c>
      <c r="C8116" t="s">
        <v>1097</v>
      </c>
      <c r="D8116" t="s">
        <v>2515</v>
      </c>
      <c r="E8116" t="s">
        <v>2516</v>
      </c>
      <c r="F8116">
        <v>1005</v>
      </c>
      <c r="G8116" t="s">
        <v>111</v>
      </c>
      <c r="H8116" t="s">
        <v>2522</v>
      </c>
      <c r="I8116" t="s">
        <v>75</v>
      </c>
      <c r="J8116" t="s">
        <v>2524</v>
      </c>
      <c r="K8116" t="s">
        <v>2525</v>
      </c>
      <c r="L8116">
        <v>0</v>
      </c>
      <c r="N8116" t="s">
        <v>1172</v>
      </c>
      <c r="O8116">
        <v>44</v>
      </c>
      <c r="P8116">
        <v>2150</v>
      </c>
      <c r="Q8116" t="s">
        <v>1173</v>
      </c>
      <c r="R8116" t="s">
        <v>201</v>
      </c>
      <c r="S8116">
        <v>1</v>
      </c>
      <c r="T8116">
        <v>1</v>
      </c>
      <c r="U8116">
        <v>93468</v>
      </c>
      <c r="V8116">
        <v>93468</v>
      </c>
    </row>
    <row r="8117" spans="1:22">
      <c r="A8117" t="s">
        <v>2333</v>
      </c>
      <c r="B8117">
        <v>41</v>
      </c>
      <c r="C8117" t="s">
        <v>1097</v>
      </c>
      <c r="D8117" t="s">
        <v>2515</v>
      </c>
      <c r="E8117" t="s">
        <v>2516</v>
      </c>
      <c r="F8117">
        <v>1005</v>
      </c>
      <c r="G8117" t="s">
        <v>111</v>
      </c>
      <c r="H8117" t="s">
        <v>2522</v>
      </c>
      <c r="I8117" t="s">
        <v>75</v>
      </c>
      <c r="J8117" t="s">
        <v>2524</v>
      </c>
      <c r="K8117" t="s">
        <v>2525</v>
      </c>
      <c r="L8117">
        <v>0</v>
      </c>
      <c r="N8117" t="s">
        <v>356</v>
      </c>
      <c r="O8117">
        <v>4</v>
      </c>
      <c r="P8117">
        <v>124</v>
      </c>
      <c r="Q8117" t="s">
        <v>357</v>
      </c>
      <c r="R8117" t="s">
        <v>201</v>
      </c>
      <c r="S8117">
        <v>1</v>
      </c>
      <c r="T8117">
        <v>1</v>
      </c>
      <c r="U8117">
        <v>122928</v>
      </c>
      <c r="V8117">
        <v>122928</v>
      </c>
    </row>
    <row r="8118" spans="1:22">
      <c r="A8118" t="s">
        <v>2333</v>
      </c>
      <c r="B8118">
        <v>41</v>
      </c>
      <c r="C8118" t="s">
        <v>1097</v>
      </c>
      <c r="D8118" t="s">
        <v>2515</v>
      </c>
      <c r="E8118" t="s">
        <v>2516</v>
      </c>
      <c r="F8118">
        <v>1005</v>
      </c>
      <c r="G8118" t="s">
        <v>111</v>
      </c>
      <c r="H8118" t="s">
        <v>2522</v>
      </c>
      <c r="I8118" t="s">
        <v>75</v>
      </c>
      <c r="J8118" t="s">
        <v>2524</v>
      </c>
      <c r="K8118" t="s">
        <v>2525</v>
      </c>
      <c r="L8118">
        <v>0</v>
      </c>
      <c r="N8118" t="s">
        <v>199</v>
      </c>
      <c r="O8118">
        <v>0</v>
      </c>
      <c r="P8118">
        <v>44</v>
      </c>
      <c r="Q8118" t="s">
        <v>2337</v>
      </c>
      <c r="R8118" t="s">
        <v>201</v>
      </c>
      <c r="S8118">
        <v>0</v>
      </c>
      <c r="T8118">
        <v>0</v>
      </c>
      <c r="U8118">
        <v>856242</v>
      </c>
      <c r="V8118">
        <v>856242</v>
      </c>
    </row>
    <row r="8119" spans="1:22">
      <c r="A8119" t="s">
        <v>2333</v>
      </c>
      <c r="B8119">
        <v>41</v>
      </c>
      <c r="C8119" t="s">
        <v>1097</v>
      </c>
      <c r="D8119" t="s">
        <v>2515</v>
      </c>
      <c r="E8119" t="s">
        <v>2516</v>
      </c>
      <c r="F8119">
        <v>1005</v>
      </c>
      <c r="G8119" t="s">
        <v>111</v>
      </c>
      <c r="H8119" t="s">
        <v>2522</v>
      </c>
      <c r="I8119" t="s">
        <v>75</v>
      </c>
      <c r="J8119" t="s">
        <v>2524</v>
      </c>
      <c r="K8119" t="s">
        <v>2525</v>
      </c>
      <c r="L8119">
        <v>0</v>
      </c>
      <c r="N8119" t="s">
        <v>199</v>
      </c>
      <c r="O8119">
        <v>0</v>
      </c>
      <c r="P8119">
        <v>15</v>
      </c>
      <c r="Q8119" t="s">
        <v>264</v>
      </c>
      <c r="R8119" t="s">
        <v>201</v>
      </c>
      <c r="S8119">
        <v>0</v>
      </c>
      <c r="T8119">
        <v>0</v>
      </c>
      <c r="U8119">
        <v>9776</v>
      </c>
      <c r="V8119">
        <v>9776</v>
      </c>
    </row>
    <row r="8120" spans="1:22">
      <c r="A8120" t="s">
        <v>2333</v>
      </c>
      <c r="B8120">
        <v>41</v>
      </c>
      <c r="C8120" t="s">
        <v>1097</v>
      </c>
      <c r="D8120" t="s">
        <v>2515</v>
      </c>
      <c r="E8120" t="s">
        <v>2516</v>
      </c>
      <c r="F8120">
        <v>1005</v>
      </c>
      <c r="G8120" t="s">
        <v>111</v>
      </c>
      <c r="H8120" t="s">
        <v>2522</v>
      </c>
      <c r="I8120" t="s">
        <v>75</v>
      </c>
      <c r="J8120" t="s">
        <v>2526</v>
      </c>
      <c r="K8120" t="s">
        <v>2527</v>
      </c>
      <c r="L8120">
        <v>0</v>
      </c>
      <c r="N8120" t="s">
        <v>392</v>
      </c>
      <c r="O8120">
        <v>4</v>
      </c>
      <c r="P8120">
        <v>3467</v>
      </c>
      <c r="Q8120" t="s">
        <v>1116</v>
      </c>
      <c r="R8120" t="s">
        <v>201</v>
      </c>
      <c r="S8120">
        <v>1</v>
      </c>
      <c r="T8120">
        <v>1</v>
      </c>
      <c r="U8120">
        <v>157332</v>
      </c>
      <c r="V8120">
        <v>157332</v>
      </c>
    </row>
    <row r="8121" spans="1:22">
      <c r="A8121" t="s">
        <v>2333</v>
      </c>
      <c r="B8121">
        <v>41</v>
      </c>
      <c r="C8121" t="s">
        <v>1097</v>
      </c>
      <c r="D8121" t="s">
        <v>2515</v>
      </c>
      <c r="E8121" t="s">
        <v>2516</v>
      </c>
      <c r="F8121">
        <v>1005</v>
      </c>
      <c r="G8121" t="s">
        <v>111</v>
      </c>
      <c r="H8121" t="s">
        <v>2522</v>
      </c>
      <c r="I8121" t="s">
        <v>75</v>
      </c>
      <c r="J8121" t="s">
        <v>2526</v>
      </c>
      <c r="K8121" t="s">
        <v>2527</v>
      </c>
      <c r="L8121">
        <v>0</v>
      </c>
      <c r="N8121" t="s">
        <v>199</v>
      </c>
      <c r="O8121">
        <v>0</v>
      </c>
      <c r="P8121">
        <v>44</v>
      </c>
      <c r="Q8121" t="s">
        <v>2337</v>
      </c>
      <c r="R8121" t="s">
        <v>201</v>
      </c>
      <c r="S8121">
        <v>0</v>
      </c>
      <c r="T8121">
        <v>0</v>
      </c>
      <c r="U8121">
        <v>88043</v>
      </c>
      <c r="V8121">
        <v>88043</v>
      </c>
    </row>
    <row r="8122" spans="1:22">
      <c r="A8122" t="s">
        <v>2333</v>
      </c>
      <c r="B8122">
        <v>41</v>
      </c>
      <c r="C8122" t="s">
        <v>1097</v>
      </c>
      <c r="D8122" t="s">
        <v>2515</v>
      </c>
      <c r="E8122" t="s">
        <v>2516</v>
      </c>
      <c r="F8122">
        <v>1005</v>
      </c>
      <c r="G8122" t="s">
        <v>111</v>
      </c>
      <c r="H8122">
        <v>2868</v>
      </c>
      <c r="I8122" t="s">
        <v>151</v>
      </c>
      <c r="J8122">
        <v>3806</v>
      </c>
      <c r="K8122" t="s">
        <v>2528</v>
      </c>
      <c r="L8122">
        <v>0</v>
      </c>
      <c r="N8122" t="s">
        <v>392</v>
      </c>
      <c r="O8122">
        <v>4</v>
      </c>
      <c r="P8122">
        <v>3467</v>
      </c>
      <c r="Q8122" t="s">
        <v>1116</v>
      </c>
      <c r="R8122" t="s">
        <v>201</v>
      </c>
      <c r="S8122">
        <v>1</v>
      </c>
      <c r="T8122">
        <v>1</v>
      </c>
      <c r="U8122">
        <v>97956</v>
      </c>
      <c r="V8122">
        <v>97956</v>
      </c>
    </row>
    <row r="8123" spans="1:22">
      <c r="A8123" t="s">
        <v>2333</v>
      </c>
      <c r="B8123">
        <v>41</v>
      </c>
      <c r="C8123" t="s">
        <v>1097</v>
      </c>
      <c r="D8123" t="s">
        <v>2515</v>
      </c>
      <c r="E8123" t="s">
        <v>2516</v>
      </c>
      <c r="F8123">
        <v>1005</v>
      </c>
      <c r="G8123" t="s">
        <v>111</v>
      </c>
      <c r="H8123">
        <v>2868</v>
      </c>
      <c r="I8123" t="s">
        <v>151</v>
      </c>
      <c r="J8123">
        <v>3806</v>
      </c>
      <c r="K8123" t="s">
        <v>2528</v>
      </c>
      <c r="L8123">
        <v>0</v>
      </c>
      <c r="N8123" t="s">
        <v>372</v>
      </c>
      <c r="O8123">
        <v>3</v>
      </c>
      <c r="P8123">
        <v>2381</v>
      </c>
      <c r="Q8123" t="s">
        <v>1168</v>
      </c>
      <c r="R8123" t="s">
        <v>201</v>
      </c>
      <c r="S8123">
        <v>1</v>
      </c>
      <c r="T8123">
        <v>1</v>
      </c>
      <c r="U8123">
        <v>130668</v>
      </c>
      <c r="V8123">
        <v>130668</v>
      </c>
    </row>
    <row r="8124" spans="1:22">
      <c r="A8124" t="s">
        <v>2333</v>
      </c>
      <c r="B8124">
        <v>41</v>
      </c>
      <c r="C8124" t="s">
        <v>1097</v>
      </c>
      <c r="D8124" t="s">
        <v>2515</v>
      </c>
      <c r="E8124" t="s">
        <v>2516</v>
      </c>
      <c r="F8124">
        <v>1005</v>
      </c>
      <c r="G8124" t="s">
        <v>111</v>
      </c>
      <c r="H8124">
        <v>2868</v>
      </c>
      <c r="I8124" t="s">
        <v>151</v>
      </c>
      <c r="J8124">
        <v>3806</v>
      </c>
      <c r="K8124" t="s">
        <v>2528</v>
      </c>
      <c r="L8124">
        <v>0</v>
      </c>
      <c r="N8124" t="s">
        <v>199</v>
      </c>
      <c r="O8124">
        <v>0</v>
      </c>
      <c r="P8124">
        <v>44</v>
      </c>
      <c r="Q8124" t="s">
        <v>2337</v>
      </c>
      <c r="R8124" t="s">
        <v>201</v>
      </c>
      <c r="S8124">
        <v>0</v>
      </c>
      <c r="T8124">
        <v>0</v>
      </c>
      <c r="U8124">
        <v>127938</v>
      </c>
      <c r="V8124">
        <v>127938</v>
      </c>
    </row>
    <row r="8125" spans="1:22">
      <c r="A8125" t="s">
        <v>2333</v>
      </c>
      <c r="B8125">
        <v>41</v>
      </c>
      <c r="C8125" t="s">
        <v>1097</v>
      </c>
      <c r="D8125" t="s">
        <v>2515</v>
      </c>
      <c r="E8125" t="s">
        <v>2516</v>
      </c>
      <c r="F8125">
        <v>1005</v>
      </c>
      <c r="G8125" t="s">
        <v>111</v>
      </c>
      <c r="H8125">
        <v>2868</v>
      </c>
      <c r="I8125" t="s">
        <v>151</v>
      </c>
      <c r="J8125">
        <v>3806</v>
      </c>
      <c r="K8125" t="s">
        <v>2528</v>
      </c>
      <c r="L8125">
        <v>0</v>
      </c>
      <c r="N8125" t="s">
        <v>199</v>
      </c>
      <c r="O8125">
        <v>0</v>
      </c>
      <c r="P8125">
        <v>15</v>
      </c>
      <c r="Q8125" t="s">
        <v>264</v>
      </c>
      <c r="R8125" t="s">
        <v>201</v>
      </c>
      <c r="S8125">
        <v>0</v>
      </c>
      <c r="T8125">
        <v>0</v>
      </c>
      <c r="U8125">
        <v>4125</v>
      </c>
      <c r="V8125">
        <v>4125</v>
      </c>
    </row>
    <row r="8126" spans="1:22">
      <c r="A8126" t="s">
        <v>2333</v>
      </c>
      <c r="B8126">
        <v>50</v>
      </c>
      <c r="C8126" t="s">
        <v>54</v>
      </c>
      <c r="D8126" t="s">
        <v>2515</v>
      </c>
      <c r="E8126" t="s">
        <v>2516</v>
      </c>
      <c r="F8126">
        <v>1005</v>
      </c>
      <c r="G8126" t="s">
        <v>54</v>
      </c>
      <c r="H8126">
        <v>2836</v>
      </c>
      <c r="I8126" t="s">
        <v>145</v>
      </c>
      <c r="J8126">
        <v>3836</v>
      </c>
      <c r="K8126" t="s">
        <v>2529</v>
      </c>
      <c r="L8126">
        <v>0</v>
      </c>
      <c r="N8126" t="s">
        <v>633</v>
      </c>
      <c r="O8126">
        <v>3</v>
      </c>
      <c r="P8126">
        <v>3066</v>
      </c>
      <c r="Q8126" t="s">
        <v>2482</v>
      </c>
      <c r="R8126" t="s">
        <v>201</v>
      </c>
      <c r="S8126">
        <v>4</v>
      </c>
      <c r="T8126">
        <v>1</v>
      </c>
      <c r="U8126">
        <v>76464</v>
      </c>
      <c r="V8126">
        <v>305856</v>
      </c>
    </row>
    <row r="8127" spans="1:22">
      <c r="A8127" t="s">
        <v>2333</v>
      </c>
      <c r="B8127">
        <v>50</v>
      </c>
      <c r="C8127" t="s">
        <v>54</v>
      </c>
      <c r="D8127" t="s">
        <v>2515</v>
      </c>
      <c r="E8127" t="s">
        <v>2516</v>
      </c>
      <c r="F8127">
        <v>1005</v>
      </c>
      <c r="G8127" t="s">
        <v>54</v>
      </c>
      <c r="H8127">
        <v>2836</v>
      </c>
      <c r="I8127" t="s">
        <v>145</v>
      </c>
      <c r="J8127">
        <v>3836</v>
      </c>
      <c r="K8127" t="s">
        <v>2529</v>
      </c>
      <c r="L8127">
        <v>0</v>
      </c>
      <c r="N8127" t="s">
        <v>633</v>
      </c>
      <c r="O8127">
        <v>3</v>
      </c>
      <c r="P8127">
        <v>3066</v>
      </c>
      <c r="Q8127" t="s">
        <v>2482</v>
      </c>
      <c r="R8127" t="s">
        <v>201</v>
      </c>
      <c r="S8127">
        <v>1</v>
      </c>
      <c r="T8127">
        <v>1</v>
      </c>
      <c r="U8127">
        <v>67284</v>
      </c>
      <c r="V8127">
        <v>67284</v>
      </c>
    </row>
    <row r="8128" spans="1:22">
      <c r="A8128" t="s">
        <v>2333</v>
      </c>
      <c r="B8128">
        <v>50</v>
      </c>
      <c r="C8128" t="s">
        <v>54</v>
      </c>
      <c r="D8128" t="s">
        <v>2515</v>
      </c>
      <c r="E8128" t="s">
        <v>2516</v>
      </c>
      <c r="F8128">
        <v>1005</v>
      </c>
      <c r="G8128" t="s">
        <v>54</v>
      </c>
      <c r="H8128">
        <v>2836</v>
      </c>
      <c r="I8128" t="s">
        <v>145</v>
      </c>
      <c r="J8128">
        <v>3836</v>
      </c>
      <c r="K8128" t="s">
        <v>2529</v>
      </c>
      <c r="L8128">
        <v>0</v>
      </c>
      <c r="N8128" t="s">
        <v>199</v>
      </c>
      <c r="O8128">
        <v>0</v>
      </c>
      <c r="P8128">
        <v>44</v>
      </c>
      <c r="Q8128" t="s">
        <v>2337</v>
      </c>
      <c r="R8128" t="s">
        <v>201</v>
      </c>
      <c r="S8128">
        <v>0</v>
      </c>
      <c r="T8128">
        <v>0</v>
      </c>
      <c r="U8128">
        <v>208809</v>
      </c>
      <c r="V8128">
        <v>208809</v>
      </c>
    </row>
    <row r="8129" spans="1:22">
      <c r="A8129" t="s">
        <v>2333</v>
      </c>
      <c r="B8129">
        <v>50</v>
      </c>
      <c r="C8129" t="s">
        <v>54</v>
      </c>
      <c r="D8129" t="s">
        <v>2515</v>
      </c>
      <c r="E8129" t="s">
        <v>2516</v>
      </c>
      <c r="F8129">
        <v>1005</v>
      </c>
      <c r="G8129" t="s">
        <v>54</v>
      </c>
      <c r="H8129">
        <v>2836</v>
      </c>
      <c r="I8129" t="s">
        <v>145</v>
      </c>
      <c r="J8129">
        <v>3836</v>
      </c>
      <c r="K8129" t="s">
        <v>2529</v>
      </c>
      <c r="L8129">
        <v>0</v>
      </c>
      <c r="N8129" t="s">
        <v>199</v>
      </c>
      <c r="O8129">
        <v>0</v>
      </c>
      <c r="P8129">
        <v>15</v>
      </c>
      <c r="Q8129" t="s">
        <v>264</v>
      </c>
      <c r="R8129" t="s">
        <v>201</v>
      </c>
      <c r="S8129">
        <v>0</v>
      </c>
      <c r="T8129">
        <v>0</v>
      </c>
      <c r="U8129">
        <v>4681</v>
      </c>
      <c r="V8129">
        <v>4681</v>
      </c>
    </row>
    <row r="8130" spans="1:22">
      <c r="A8130" t="s">
        <v>2333</v>
      </c>
      <c r="B8130">
        <v>50</v>
      </c>
      <c r="C8130" t="s">
        <v>54</v>
      </c>
      <c r="D8130" t="s">
        <v>2515</v>
      </c>
      <c r="E8130" t="s">
        <v>2516</v>
      </c>
      <c r="F8130">
        <v>1005</v>
      </c>
      <c r="G8130" t="s">
        <v>54</v>
      </c>
      <c r="H8130">
        <v>2904</v>
      </c>
      <c r="I8130" t="s">
        <v>50</v>
      </c>
      <c r="J8130">
        <v>3904</v>
      </c>
      <c r="K8130" t="s">
        <v>2479</v>
      </c>
      <c r="L8130">
        <v>0</v>
      </c>
      <c r="N8130" t="s">
        <v>360</v>
      </c>
      <c r="O8130">
        <v>3</v>
      </c>
      <c r="P8130">
        <v>3025</v>
      </c>
      <c r="Q8130" t="s">
        <v>2467</v>
      </c>
      <c r="R8130" t="s">
        <v>201</v>
      </c>
      <c r="S8130">
        <v>1</v>
      </c>
      <c r="T8130">
        <v>1</v>
      </c>
      <c r="U8130">
        <v>57000</v>
      </c>
      <c r="V8130">
        <v>57000</v>
      </c>
    </row>
    <row r="8131" spans="1:22">
      <c r="A8131" t="s">
        <v>2333</v>
      </c>
      <c r="B8131">
        <v>50</v>
      </c>
      <c r="C8131" t="s">
        <v>54</v>
      </c>
      <c r="D8131" t="s">
        <v>2515</v>
      </c>
      <c r="E8131" t="s">
        <v>2516</v>
      </c>
      <c r="F8131">
        <v>1005</v>
      </c>
      <c r="G8131" t="s">
        <v>54</v>
      </c>
      <c r="H8131">
        <v>2904</v>
      </c>
      <c r="I8131" t="s">
        <v>50</v>
      </c>
      <c r="J8131">
        <v>3904</v>
      </c>
      <c r="K8131" t="s">
        <v>2479</v>
      </c>
      <c r="L8131">
        <v>0</v>
      </c>
      <c r="N8131" t="s">
        <v>199</v>
      </c>
      <c r="O8131">
        <v>0</v>
      </c>
      <c r="P8131">
        <v>44</v>
      </c>
      <c r="Q8131" t="s">
        <v>2337</v>
      </c>
      <c r="R8131" t="s">
        <v>201</v>
      </c>
      <c r="S8131">
        <v>0</v>
      </c>
      <c r="T8131">
        <v>0</v>
      </c>
      <c r="U8131">
        <v>31897</v>
      </c>
      <c r="V8131">
        <v>31897</v>
      </c>
    </row>
    <row r="8132" spans="1:22">
      <c r="A8132" t="s">
        <v>2333</v>
      </c>
      <c r="B8132">
        <v>50</v>
      </c>
      <c r="C8132" t="s">
        <v>54</v>
      </c>
      <c r="D8132" t="s">
        <v>2515</v>
      </c>
      <c r="E8132" t="s">
        <v>2516</v>
      </c>
      <c r="F8132">
        <v>1005</v>
      </c>
      <c r="G8132" t="s">
        <v>54</v>
      </c>
      <c r="H8132">
        <v>2942</v>
      </c>
      <c r="I8132" t="s">
        <v>123</v>
      </c>
      <c r="J8132">
        <v>3942</v>
      </c>
      <c r="K8132" t="s">
        <v>2530</v>
      </c>
      <c r="L8132">
        <v>0</v>
      </c>
      <c r="N8132" t="s">
        <v>372</v>
      </c>
      <c r="O8132">
        <v>1</v>
      </c>
      <c r="P8132">
        <v>3914</v>
      </c>
      <c r="Q8132" t="s">
        <v>2472</v>
      </c>
      <c r="R8132" t="s">
        <v>201</v>
      </c>
      <c r="S8132">
        <v>1</v>
      </c>
      <c r="T8132">
        <v>1</v>
      </c>
      <c r="U8132">
        <v>113628</v>
      </c>
      <c r="V8132">
        <v>113628</v>
      </c>
    </row>
    <row r="8133" spans="1:22">
      <c r="A8133" t="s">
        <v>2333</v>
      </c>
      <c r="B8133">
        <v>50</v>
      </c>
      <c r="C8133" t="s">
        <v>54</v>
      </c>
      <c r="D8133" t="s">
        <v>2515</v>
      </c>
      <c r="E8133" t="s">
        <v>2516</v>
      </c>
      <c r="F8133">
        <v>1005</v>
      </c>
      <c r="G8133" t="s">
        <v>54</v>
      </c>
      <c r="H8133">
        <v>2942</v>
      </c>
      <c r="I8133" t="s">
        <v>123</v>
      </c>
      <c r="J8133">
        <v>3942</v>
      </c>
      <c r="K8133" t="s">
        <v>2530</v>
      </c>
      <c r="L8133">
        <v>0</v>
      </c>
      <c r="N8133" t="s">
        <v>274</v>
      </c>
      <c r="O8133">
        <v>0</v>
      </c>
      <c r="P8133">
        <v>3019</v>
      </c>
      <c r="Q8133" t="s">
        <v>1217</v>
      </c>
      <c r="R8133" t="s">
        <v>201</v>
      </c>
      <c r="S8133">
        <v>1</v>
      </c>
      <c r="T8133">
        <v>1</v>
      </c>
      <c r="U8133">
        <v>146808</v>
      </c>
      <c r="V8133">
        <v>146808</v>
      </c>
    </row>
    <row r="8134" spans="1:22">
      <c r="A8134" t="s">
        <v>2333</v>
      </c>
      <c r="B8134">
        <v>50</v>
      </c>
      <c r="C8134" t="s">
        <v>54</v>
      </c>
      <c r="D8134" t="s">
        <v>2515</v>
      </c>
      <c r="E8134" t="s">
        <v>2516</v>
      </c>
      <c r="F8134">
        <v>1005</v>
      </c>
      <c r="G8134" t="s">
        <v>54</v>
      </c>
      <c r="H8134">
        <v>2942</v>
      </c>
      <c r="I8134" t="s">
        <v>123</v>
      </c>
      <c r="J8134">
        <v>3942</v>
      </c>
      <c r="K8134" t="s">
        <v>2530</v>
      </c>
      <c r="L8134">
        <v>0</v>
      </c>
      <c r="N8134" t="s">
        <v>372</v>
      </c>
      <c r="O8134">
        <v>4</v>
      </c>
      <c r="P8134">
        <v>1912</v>
      </c>
      <c r="Q8134" t="s">
        <v>608</v>
      </c>
      <c r="R8134" t="s">
        <v>201</v>
      </c>
      <c r="S8134">
        <v>1</v>
      </c>
      <c r="T8134">
        <v>1</v>
      </c>
      <c r="U8134">
        <v>75336</v>
      </c>
      <c r="V8134">
        <v>75336</v>
      </c>
    </row>
    <row r="8135" spans="1:22">
      <c r="A8135" t="s">
        <v>2333</v>
      </c>
      <c r="B8135">
        <v>50</v>
      </c>
      <c r="C8135" t="s">
        <v>54</v>
      </c>
      <c r="D8135" t="s">
        <v>2515</v>
      </c>
      <c r="E8135" t="s">
        <v>2516</v>
      </c>
      <c r="F8135">
        <v>1005</v>
      </c>
      <c r="G8135" t="s">
        <v>54</v>
      </c>
      <c r="H8135">
        <v>2942</v>
      </c>
      <c r="I8135" t="s">
        <v>123</v>
      </c>
      <c r="J8135">
        <v>3942</v>
      </c>
      <c r="K8135" t="s">
        <v>2530</v>
      </c>
      <c r="L8135">
        <v>0</v>
      </c>
      <c r="N8135" t="s">
        <v>372</v>
      </c>
      <c r="O8135">
        <v>1</v>
      </c>
      <c r="P8135">
        <v>1730</v>
      </c>
      <c r="Q8135" t="s">
        <v>1105</v>
      </c>
      <c r="R8135" t="s">
        <v>201</v>
      </c>
      <c r="S8135">
        <v>1</v>
      </c>
      <c r="T8135">
        <v>1</v>
      </c>
      <c r="U8135">
        <v>130668</v>
      </c>
      <c r="V8135">
        <v>130668</v>
      </c>
    </row>
    <row r="8136" spans="1:22">
      <c r="A8136" t="s">
        <v>2333</v>
      </c>
      <c r="B8136">
        <v>50</v>
      </c>
      <c r="C8136" t="s">
        <v>54</v>
      </c>
      <c r="D8136" t="s">
        <v>2515</v>
      </c>
      <c r="E8136" t="s">
        <v>2516</v>
      </c>
      <c r="F8136">
        <v>1005</v>
      </c>
      <c r="G8136" t="s">
        <v>54</v>
      </c>
      <c r="H8136">
        <v>2942</v>
      </c>
      <c r="I8136" t="s">
        <v>123</v>
      </c>
      <c r="J8136">
        <v>3942</v>
      </c>
      <c r="K8136" t="s">
        <v>2530</v>
      </c>
      <c r="L8136">
        <v>0</v>
      </c>
      <c r="N8136" t="s">
        <v>249</v>
      </c>
      <c r="O8136">
        <v>10</v>
      </c>
      <c r="P8136">
        <v>310</v>
      </c>
      <c r="Q8136" t="s">
        <v>447</v>
      </c>
      <c r="R8136" t="s">
        <v>201</v>
      </c>
      <c r="S8136">
        <v>1</v>
      </c>
      <c r="T8136">
        <v>1</v>
      </c>
      <c r="U8136">
        <v>102444</v>
      </c>
      <c r="V8136">
        <v>102444</v>
      </c>
    </row>
    <row r="8137" spans="1:22">
      <c r="A8137" t="s">
        <v>2333</v>
      </c>
      <c r="B8137">
        <v>50</v>
      </c>
      <c r="C8137" t="s">
        <v>54</v>
      </c>
      <c r="D8137" t="s">
        <v>2515</v>
      </c>
      <c r="E8137" t="s">
        <v>2516</v>
      </c>
      <c r="F8137">
        <v>1005</v>
      </c>
      <c r="G8137" t="s">
        <v>54</v>
      </c>
      <c r="H8137">
        <v>2942</v>
      </c>
      <c r="I8137" t="s">
        <v>123</v>
      </c>
      <c r="J8137">
        <v>3942</v>
      </c>
      <c r="K8137" t="s">
        <v>2530</v>
      </c>
      <c r="L8137">
        <v>0</v>
      </c>
      <c r="N8137" t="s">
        <v>297</v>
      </c>
      <c r="O8137">
        <v>20</v>
      </c>
      <c r="P8137">
        <v>120</v>
      </c>
      <c r="Q8137" t="s">
        <v>657</v>
      </c>
      <c r="R8137" t="s">
        <v>201</v>
      </c>
      <c r="S8137">
        <v>1</v>
      </c>
      <c r="T8137">
        <v>1</v>
      </c>
      <c r="U8137">
        <v>130476</v>
      </c>
      <c r="V8137">
        <v>130476</v>
      </c>
    </row>
    <row r="8138" spans="1:22">
      <c r="A8138" t="s">
        <v>2333</v>
      </c>
      <c r="B8138">
        <v>50</v>
      </c>
      <c r="C8138" t="s">
        <v>54</v>
      </c>
      <c r="D8138" t="s">
        <v>2515</v>
      </c>
      <c r="E8138" t="s">
        <v>2516</v>
      </c>
      <c r="F8138">
        <v>1005</v>
      </c>
      <c r="G8138" t="s">
        <v>54</v>
      </c>
      <c r="H8138">
        <v>2942</v>
      </c>
      <c r="I8138" t="s">
        <v>123</v>
      </c>
      <c r="J8138">
        <v>3942</v>
      </c>
      <c r="K8138" t="s">
        <v>2530</v>
      </c>
      <c r="L8138">
        <v>0</v>
      </c>
      <c r="N8138" t="s">
        <v>199</v>
      </c>
      <c r="O8138">
        <v>0</v>
      </c>
      <c r="P8138">
        <v>44</v>
      </c>
      <c r="Q8138" t="s">
        <v>2337</v>
      </c>
      <c r="R8138" t="s">
        <v>201</v>
      </c>
      <c r="S8138">
        <v>0</v>
      </c>
      <c r="T8138">
        <v>0</v>
      </c>
      <c r="U8138">
        <v>391362</v>
      </c>
      <c r="V8138">
        <v>391362</v>
      </c>
    </row>
    <row r="8139" spans="1:22">
      <c r="A8139" t="s">
        <v>2333</v>
      </c>
      <c r="B8139">
        <v>50</v>
      </c>
      <c r="C8139" t="s">
        <v>54</v>
      </c>
      <c r="D8139" t="s">
        <v>2515</v>
      </c>
      <c r="E8139" t="s">
        <v>2516</v>
      </c>
      <c r="F8139">
        <v>1005</v>
      </c>
      <c r="G8139" t="s">
        <v>54</v>
      </c>
      <c r="H8139">
        <v>2942</v>
      </c>
      <c r="I8139" t="s">
        <v>123</v>
      </c>
      <c r="J8139">
        <v>3942</v>
      </c>
      <c r="K8139" t="s">
        <v>2530</v>
      </c>
      <c r="L8139">
        <v>0</v>
      </c>
      <c r="N8139" t="s">
        <v>199</v>
      </c>
      <c r="O8139">
        <v>0</v>
      </c>
      <c r="P8139">
        <v>15</v>
      </c>
      <c r="Q8139" t="s">
        <v>264</v>
      </c>
      <c r="R8139" t="s">
        <v>201</v>
      </c>
      <c r="S8139">
        <v>0</v>
      </c>
      <c r="T8139">
        <v>0</v>
      </c>
      <c r="U8139">
        <v>3836</v>
      </c>
      <c r="V8139">
        <v>3836</v>
      </c>
    </row>
    <row r="8140" spans="1:22">
      <c r="A8140" t="s">
        <v>2333</v>
      </c>
      <c r="B8140">
        <v>50</v>
      </c>
      <c r="C8140" t="s">
        <v>54</v>
      </c>
      <c r="D8140" t="s">
        <v>2515</v>
      </c>
      <c r="E8140" t="s">
        <v>2516</v>
      </c>
      <c r="F8140">
        <v>1005</v>
      </c>
      <c r="G8140" t="s">
        <v>54</v>
      </c>
      <c r="H8140">
        <v>2946</v>
      </c>
      <c r="I8140" t="s">
        <v>153</v>
      </c>
      <c r="J8140">
        <v>3946</v>
      </c>
      <c r="K8140" t="s">
        <v>2531</v>
      </c>
      <c r="L8140">
        <v>0</v>
      </c>
      <c r="N8140" t="s">
        <v>360</v>
      </c>
      <c r="O8140">
        <v>3</v>
      </c>
      <c r="P8140">
        <v>3025</v>
      </c>
      <c r="Q8140" t="s">
        <v>2467</v>
      </c>
      <c r="R8140" t="s">
        <v>201</v>
      </c>
      <c r="S8140">
        <v>2</v>
      </c>
      <c r="T8140">
        <v>1</v>
      </c>
      <c r="U8140">
        <v>98928</v>
      </c>
      <c r="V8140">
        <v>197856</v>
      </c>
    </row>
    <row r="8141" spans="1:22">
      <c r="A8141" t="s">
        <v>2333</v>
      </c>
      <c r="B8141">
        <v>50</v>
      </c>
      <c r="C8141" t="s">
        <v>54</v>
      </c>
      <c r="D8141" t="s">
        <v>2515</v>
      </c>
      <c r="E8141" t="s">
        <v>2516</v>
      </c>
      <c r="F8141">
        <v>1005</v>
      </c>
      <c r="G8141" t="s">
        <v>54</v>
      </c>
      <c r="H8141">
        <v>2946</v>
      </c>
      <c r="I8141" t="s">
        <v>153</v>
      </c>
      <c r="J8141">
        <v>3946</v>
      </c>
      <c r="K8141" t="s">
        <v>2531</v>
      </c>
      <c r="L8141">
        <v>0</v>
      </c>
      <c r="N8141" t="s">
        <v>199</v>
      </c>
      <c r="O8141">
        <v>0</v>
      </c>
      <c r="P8141">
        <v>44</v>
      </c>
      <c r="Q8141" t="s">
        <v>2337</v>
      </c>
      <c r="R8141" t="s">
        <v>201</v>
      </c>
      <c r="S8141">
        <v>0</v>
      </c>
      <c r="T8141">
        <v>0</v>
      </c>
      <c r="U8141">
        <v>110720</v>
      </c>
      <c r="V8141">
        <v>110720</v>
      </c>
    </row>
    <row r="8142" spans="1:22">
      <c r="A8142" t="s">
        <v>2333</v>
      </c>
      <c r="B8142">
        <v>50</v>
      </c>
      <c r="C8142" t="s">
        <v>54</v>
      </c>
      <c r="D8142" t="s">
        <v>2515</v>
      </c>
      <c r="E8142" t="s">
        <v>2516</v>
      </c>
      <c r="F8142">
        <v>1005</v>
      </c>
      <c r="G8142" t="s">
        <v>54</v>
      </c>
      <c r="H8142">
        <v>2962</v>
      </c>
      <c r="I8142" t="s">
        <v>105</v>
      </c>
      <c r="J8142">
        <v>3962</v>
      </c>
      <c r="K8142" t="s">
        <v>2532</v>
      </c>
      <c r="L8142">
        <v>0</v>
      </c>
      <c r="N8142" t="s">
        <v>343</v>
      </c>
      <c r="O8142">
        <v>10</v>
      </c>
      <c r="P8142">
        <v>3954</v>
      </c>
      <c r="Q8142" t="s">
        <v>2533</v>
      </c>
      <c r="R8142" t="s">
        <v>201</v>
      </c>
      <c r="S8142">
        <v>1</v>
      </c>
      <c r="T8142">
        <v>1</v>
      </c>
      <c r="U8142">
        <v>124584</v>
      </c>
      <c r="V8142">
        <v>124584</v>
      </c>
    </row>
    <row r="8143" spans="1:22">
      <c r="A8143" t="s">
        <v>2333</v>
      </c>
      <c r="B8143">
        <v>50</v>
      </c>
      <c r="C8143" t="s">
        <v>54</v>
      </c>
      <c r="D8143" t="s">
        <v>2515</v>
      </c>
      <c r="E8143" t="s">
        <v>2516</v>
      </c>
      <c r="F8143">
        <v>1005</v>
      </c>
      <c r="G8143" t="s">
        <v>54</v>
      </c>
      <c r="H8143">
        <v>2962</v>
      </c>
      <c r="I8143" t="s">
        <v>105</v>
      </c>
      <c r="J8143">
        <v>3962</v>
      </c>
      <c r="K8143" t="s">
        <v>2532</v>
      </c>
      <c r="L8143">
        <v>0</v>
      </c>
      <c r="N8143" t="s">
        <v>372</v>
      </c>
      <c r="O8143">
        <v>1</v>
      </c>
      <c r="P8143">
        <v>3914</v>
      </c>
      <c r="Q8143" t="s">
        <v>2472</v>
      </c>
      <c r="R8143" t="s">
        <v>201</v>
      </c>
      <c r="S8143">
        <v>2</v>
      </c>
      <c r="T8143">
        <v>1</v>
      </c>
      <c r="U8143">
        <v>113628</v>
      </c>
      <c r="V8143">
        <v>227256</v>
      </c>
    </row>
    <row r="8144" spans="1:22">
      <c r="A8144" t="s">
        <v>2333</v>
      </c>
      <c r="B8144">
        <v>50</v>
      </c>
      <c r="C8144" t="s">
        <v>54</v>
      </c>
      <c r="D8144" t="s">
        <v>2515</v>
      </c>
      <c r="E8144" t="s">
        <v>2516</v>
      </c>
      <c r="F8144">
        <v>1005</v>
      </c>
      <c r="G8144" t="s">
        <v>54</v>
      </c>
      <c r="H8144">
        <v>2962</v>
      </c>
      <c r="I8144" t="s">
        <v>105</v>
      </c>
      <c r="J8144">
        <v>3962</v>
      </c>
      <c r="K8144" t="s">
        <v>2532</v>
      </c>
      <c r="L8144">
        <v>0</v>
      </c>
      <c r="N8144" t="s">
        <v>372</v>
      </c>
      <c r="O8144">
        <v>1</v>
      </c>
      <c r="P8144">
        <v>3914</v>
      </c>
      <c r="Q8144" t="s">
        <v>2472</v>
      </c>
      <c r="R8144" t="s">
        <v>201</v>
      </c>
      <c r="S8144">
        <v>1</v>
      </c>
      <c r="T8144">
        <v>1</v>
      </c>
      <c r="U8144">
        <v>93504</v>
      </c>
      <c r="V8144">
        <v>93504</v>
      </c>
    </row>
    <row r="8145" spans="1:22">
      <c r="A8145" t="s">
        <v>2333</v>
      </c>
      <c r="B8145">
        <v>50</v>
      </c>
      <c r="C8145" t="s">
        <v>54</v>
      </c>
      <c r="D8145" t="s">
        <v>2515</v>
      </c>
      <c r="E8145" t="s">
        <v>2516</v>
      </c>
      <c r="F8145">
        <v>1005</v>
      </c>
      <c r="G8145" t="s">
        <v>54</v>
      </c>
      <c r="H8145">
        <v>2962</v>
      </c>
      <c r="I8145" t="s">
        <v>105</v>
      </c>
      <c r="J8145">
        <v>3962</v>
      </c>
      <c r="K8145" t="s">
        <v>2532</v>
      </c>
      <c r="L8145">
        <v>0</v>
      </c>
      <c r="N8145" t="s">
        <v>372</v>
      </c>
      <c r="O8145">
        <v>1</v>
      </c>
      <c r="P8145">
        <v>3914</v>
      </c>
      <c r="Q8145" t="s">
        <v>2472</v>
      </c>
      <c r="R8145" t="s">
        <v>201</v>
      </c>
      <c r="S8145">
        <v>2</v>
      </c>
      <c r="T8145">
        <v>1</v>
      </c>
      <c r="U8145">
        <v>77640</v>
      </c>
      <c r="V8145">
        <v>155280</v>
      </c>
    </row>
    <row r="8146" spans="1:22">
      <c r="A8146" t="s">
        <v>2333</v>
      </c>
      <c r="B8146">
        <v>50</v>
      </c>
      <c r="C8146" t="s">
        <v>54</v>
      </c>
      <c r="D8146" t="s">
        <v>2515</v>
      </c>
      <c r="E8146" t="s">
        <v>2516</v>
      </c>
      <c r="F8146">
        <v>1005</v>
      </c>
      <c r="G8146" t="s">
        <v>54</v>
      </c>
      <c r="H8146">
        <v>2962</v>
      </c>
      <c r="I8146" t="s">
        <v>105</v>
      </c>
      <c r="J8146">
        <v>3962</v>
      </c>
      <c r="K8146" t="s">
        <v>2532</v>
      </c>
      <c r="L8146">
        <v>0</v>
      </c>
      <c r="N8146" t="s">
        <v>372</v>
      </c>
      <c r="O8146">
        <v>1</v>
      </c>
      <c r="P8146">
        <v>3914</v>
      </c>
      <c r="Q8146" t="s">
        <v>2472</v>
      </c>
      <c r="R8146" t="s">
        <v>201</v>
      </c>
      <c r="S8146">
        <v>2</v>
      </c>
      <c r="T8146">
        <v>1</v>
      </c>
      <c r="U8146">
        <v>75336</v>
      </c>
      <c r="V8146">
        <v>150672</v>
      </c>
    </row>
    <row r="8147" spans="1:22">
      <c r="A8147" t="s">
        <v>2333</v>
      </c>
      <c r="B8147">
        <v>50</v>
      </c>
      <c r="C8147" t="s">
        <v>54</v>
      </c>
      <c r="D8147" t="s">
        <v>2515</v>
      </c>
      <c r="E8147" t="s">
        <v>2516</v>
      </c>
      <c r="F8147">
        <v>1005</v>
      </c>
      <c r="G8147" t="s">
        <v>54</v>
      </c>
      <c r="H8147">
        <v>2962</v>
      </c>
      <c r="I8147" t="s">
        <v>105</v>
      </c>
      <c r="J8147">
        <v>3962</v>
      </c>
      <c r="K8147" t="s">
        <v>2532</v>
      </c>
      <c r="L8147">
        <v>0</v>
      </c>
      <c r="N8147" t="s">
        <v>249</v>
      </c>
      <c r="O8147">
        <v>10</v>
      </c>
      <c r="P8147">
        <v>3906</v>
      </c>
      <c r="Q8147" t="s">
        <v>2473</v>
      </c>
      <c r="R8147" t="s">
        <v>201</v>
      </c>
      <c r="S8147">
        <v>1</v>
      </c>
      <c r="T8147">
        <v>1</v>
      </c>
      <c r="U8147">
        <v>118956</v>
      </c>
      <c r="V8147">
        <v>118956</v>
      </c>
    </row>
    <row r="8148" spans="1:22">
      <c r="A8148" t="s">
        <v>2333</v>
      </c>
      <c r="B8148">
        <v>50</v>
      </c>
      <c r="C8148" t="s">
        <v>54</v>
      </c>
      <c r="D8148" t="s">
        <v>2515</v>
      </c>
      <c r="E8148" t="s">
        <v>2516</v>
      </c>
      <c r="F8148">
        <v>1005</v>
      </c>
      <c r="G8148" t="s">
        <v>54</v>
      </c>
      <c r="H8148">
        <v>2962</v>
      </c>
      <c r="I8148" t="s">
        <v>105</v>
      </c>
      <c r="J8148">
        <v>3962</v>
      </c>
      <c r="K8148" t="s">
        <v>2532</v>
      </c>
      <c r="L8148">
        <v>0</v>
      </c>
      <c r="N8148" t="s">
        <v>249</v>
      </c>
      <c r="O8148">
        <v>10</v>
      </c>
      <c r="P8148">
        <v>3906</v>
      </c>
      <c r="Q8148" t="s">
        <v>2473</v>
      </c>
      <c r="R8148" t="s">
        <v>201</v>
      </c>
      <c r="S8148">
        <v>1</v>
      </c>
      <c r="T8148">
        <v>1</v>
      </c>
      <c r="U8148">
        <v>93384</v>
      </c>
      <c r="V8148">
        <v>93384</v>
      </c>
    </row>
    <row r="8149" spans="1:22">
      <c r="A8149" t="s">
        <v>2333</v>
      </c>
      <c r="B8149">
        <v>50</v>
      </c>
      <c r="C8149" t="s">
        <v>54</v>
      </c>
      <c r="D8149" t="s">
        <v>2515</v>
      </c>
      <c r="E8149" t="s">
        <v>2516</v>
      </c>
      <c r="F8149">
        <v>1005</v>
      </c>
      <c r="G8149" t="s">
        <v>54</v>
      </c>
      <c r="H8149">
        <v>2962</v>
      </c>
      <c r="I8149" t="s">
        <v>105</v>
      </c>
      <c r="J8149">
        <v>3962</v>
      </c>
      <c r="K8149" t="s">
        <v>2532</v>
      </c>
      <c r="L8149">
        <v>0</v>
      </c>
      <c r="N8149" t="s">
        <v>274</v>
      </c>
      <c r="O8149">
        <v>0</v>
      </c>
      <c r="P8149">
        <v>3018</v>
      </c>
      <c r="Q8149" t="s">
        <v>1214</v>
      </c>
      <c r="R8149" t="s">
        <v>201</v>
      </c>
      <c r="S8149">
        <v>2</v>
      </c>
      <c r="T8149">
        <v>1</v>
      </c>
      <c r="U8149">
        <v>153384</v>
      </c>
      <c r="V8149">
        <v>306768</v>
      </c>
    </row>
    <row r="8150" spans="1:22">
      <c r="A8150" t="s">
        <v>2333</v>
      </c>
      <c r="B8150">
        <v>50</v>
      </c>
      <c r="C8150" t="s">
        <v>54</v>
      </c>
      <c r="D8150" t="s">
        <v>2515</v>
      </c>
      <c r="E8150" t="s">
        <v>2516</v>
      </c>
      <c r="F8150">
        <v>1005</v>
      </c>
      <c r="G8150" t="s">
        <v>54</v>
      </c>
      <c r="H8150">
        <v>2962</v>
      </c>
      <c r="I8150" t="s">
        <v>105</v>
      </c>
      <c r="J8150">
        <v>3962</v>
      </c>
      <c r="K8150" t="s">
        <v>2532</v>
      </c>
      <c r="L8150">
        <v>0</v>
      </c>
      <c r="N8150" t="s">
        <v>249</v>
      </c>
      <c r="O8150">
        <v>10</v>
      </c>
      <c r="P8150">
        <v>310</v>
      </c>
      <c r="Q8150" t="s">
        <v>447</v>
      </c>
      <c r="R8150" t="s">
        <v>201</v>
      </c>
      <c r="S8150">
        <v>1</v>
      </c>
      <c r="T8150">
        <v>1</v>
      </c>
      <c r="U8150">
        <v>102444</v>
      </c>
      <c r="V8150">
        <v>102444</v>
      </c>
    </row>
    <row r="8151" spans="1:22">
      <c r="A8151" t="s">
        <v>2333</v>
      </c>
      <c r="B8151">
        <v>50</v>
      </c>
      <c r="C8151" t="s">
        <v>54</v>
      </c>
      <c r="D8151" t="s">
        <v>2515</v>
      </c>
      <c r="E8151" t="s">
        <v>2516</v>
      </c>
      <c r="F8151">
        <v>1005</v>
      </c>
      <c r="G8151" t="s">
        <v>54</v>
      </c>
      <c r="H8151">
        <v>2962</v>
      </c>
      <c r="I8151" t="s">
        <v>105</v>
      </c>
      <c r="J8151">
        <v>3962</v>
      </c>
      <c r="K8151" t="s">
        <v>2532</v>
      </c>
      <c r="L8151">
        <v>0</v>
      </c>
      <c r="N8151" t="s">
        <v>297</v>
      </c>
      <c r="O8151">
        <v>20</v>
      </c>
      <c r="P8151">
        <v>120</v>
      </c>
      <c r="Q8151" t="s">
        <v>657</v>
      </c>
      <c r="R8151" t="s">
        <v>201</v>
      </c>
      <c r="S8151">
        <v>1</v>
      </c>
      <c r="T8151">
        <v>1</v>
      </c>
      <c r="U8151">
        <v>130476</v>
      </c>
      <c r="V8151">
        <v>130476</v>
      </c>
    </row>
    <row r="8152" spans="1:22">
      <c r="A8152" t="s">
        <v>2333</v>
      </c>
      <c r="B8152">
        <v>50</v>
      </c>
      <c r="C8152" t="s">
        <v>54</v>
      </c>
      <c r="D8152" t="s">
        <v>2515</v>
      </c>
      <c r="E8152" t="s">
        <v>2516</v>
      </c>
      <c r="F8152">
        <v>1005</v>
      </c>
      <c r="G8152" t="s">
        <v>54</v>
      </c>
      <c r="H8152">
        <v>2962</v>
      </c>
      <c r="I8152" t="s">
        <v>105</v>
      </c>
      <c r="J8152">
        <v>3962</v>
      </c>
      <c r="K8152" t="s">
        <v>2532</v>
      </c>
      <c r="L8152">
        <v>0</v>
      </c>
      <c r="N8152" t="s">
        <v>356</v>
      </c>
      <c r="O8152">
        <v>4</v>
      </c>
      <c r="P8152">
        <v>111</v>
      </c>
      <c r="Q8152" t="s">
        <v>648</v>
      </c>
      <c r="R8152" t="s">
        <v>201</v>
      </c>
      <c r="S8152">
        <v>1</v>
      </c>
      <c r="T8152">
        <v>1</v>
      </c>
      <c r="U8152">
        <v>129636</v>
      </c>
      <c r="V8152">
        <v>129636</v>
      </c>
    </row>
    <row r="8153" spans="1:22">
      <c r="A8153" t="s">
        <v>2333</v>
      </c>
      <c r="B8153">
        <v>50</v>
      </c>
      <c r="C8153" t="s">
        <v>54</v>
      </c>
      <c r="D8153" t="s">
        <v>2515</v>
      </c>
      <c r="E8153" t="s">
        <v>2516</v>
      </c>
      <c r="F8153">
        <v>1005</v>
      </c>
      <c r="G8153" t="s">
        <v>54</v>
      </c>
      <c r="H8153">
        <v>2962</v>
      </c>
      <c r="I8153" t="s">
        <v>105</v>
      </c>
      <c r="J8153">
        <v>3962</v>
      </c>
      <c r="K8153" t="s">
        <v>2532</v>
      </c>
      <c r="L8153">
        <v>0</v>
      </c>
      <c r="N8153" t="s">
        <v>199</v>
      </c>
      <c r="O8153">
        <v>0</v>
      </c>
      <c r="P8153">
        <v>44</v>
      </c>
      <c r="Q8153" t="s">
        <v>2337</v>
      </c>
      <c r="R8153" t="s">
        <v>201</v>
      </c>
      <c r="S8153">
        <v>0</v>
      </c>
      <c r="T8153">
        <v>0</v>
      </c>
      <c r="U8153">
        <v>913804</v>
      </c>
      <c r="V8153">
        <v>913804</v>
      </c>
    </row>
    <row r="8154" spans="1:22">
      <c r="A8154" t="s">
        <v>2333</v>
      </c>
      <c r="B8154">
        <v>50</v>
      </c>
      <c r="C8154" t="s">
        <v>54</v>
      </c>
      <c r="D8154" t="s">
        <v>2515</v>
      </c>
      <c r="E8154" t="s">
        <v>2516</v>
      </c>
      <c r="F8154">
        <v>1005</v>
      </c>
      <c r="G8154" t="s">
        <v>54</v>
      </c>
      <c r="H8154">
        <v>2962</v>
      </c>
      <c r="I8154" t="s">
        <v>105</v>
      </c>
      <c r="J8154">
        <v>3962</v>
      </c>
      <c r="K8154" t="s">
        <v>2532</v>
      </c>
      <c r="L8154">
        <v>0</v>
      </c>
      <c r="N8154" t="s">
        <v>199</v>
      </c>
      <c r="O8154">
        <v>0</v>
      </c>
      <c r="P8154">
        <v>15</v>
      </c>
      <c r="Q8154" t="s">
        <v>264</v>
      </c>
      <c r="R8154" t="s">
        <v>201</v>
      </c>
      <c r="S8154">
        <v>0</v>
      </c>
      <c r="T8154">
        <v>0</v>
      </c>
      <c r="U8154">
        <v>13687</v>
      </c>
      <c r="V8154">
        <v>13687</v>
      </c>
    </row>
    <row r="8155" spans="1:22">
      <c r="A8155" t="s">
        <v>2333</v>
      </c>
      <c r="B8155">
        <v>58</v>
      </c>
      <c r="C8155" t="s">
        <v>9</v>
      </c>
      <c r="D8155" t="s">
        <v>2515</v>
      </c>
      <c r="E8155" t="s">
        <v>2516</v>
      </c>
      <c r="F8155">
        <v>1010</v>
      </c>
      <c r="G8155" t="s">
        <v>9</v>
      </c>
      <c r="H8155" t="s">
        <v>2519</v>
      </c>
      <c r="I8155" t="s">
        <v>134</v>
      </c>
      <c r="J8155" t="s">
        <v>2520</v>
      </c>
      <c r="K8155" t="s">
        <v>2534</v>
      </c>
      <c r="L8155">
        <v>0</v>
      </c>
      <c r="N8155" t="s">
        <v>356</v>
      </c>
      <c r="O8155">
        <v>4</v>
      </c>
      <c r="P8155">
        <v>3534</v>
      </c>
      <c r="Q8155" t="s">
        <v>1158</v>
      </c>
      <c r="R8155" t="s">
        <v>201</v>
      </c>
      <c r="S8155">
        <v>1</v>
      </c>
      <c r="T8155">
        <v>1</v>
      </c>
      <c r="U8155">
        <v>92940</v>
      </c>
      <c r="V8155">
        <v>92940</v>
      </c>
    </row>
    <row r="8156" spans="1:22">
      <c r="A8156" t="s">
        <v>2333</v>
      </c>
      <c r="B8156">
        <v>58</v>
      </c>
      <c r="C8156" t="s">
        <v>9</v>
      </c>
      <c r="D8156" t="s">
        <v>2515</v>
      </c>
      <c r="E8156" t="s">
        <v>2516</v>
      </c>
      <c r="F8156">
        <v>1010</v>
      </c>
      <c r="G8156" t="s">
        <v>9</v>
      </c>
      <c r="H8156" t="s">
        <v>2519</v>
      </c>
      <c r="I8156" t="s">
        <v>134</v>
      </c>
      <c r="J8156" t="s">
        <v>2520</v>
      </c>
      <c r="K8156" t="s">
        <v>2534</v>
      </c>
      <c r="L8156">
        <v>0</v>
      </c>
      <c r="N8156" t="s">
        <v>356</v>
      </c>
      <c r="O8156">
        <v>4</v>
      </c>
      <c r="P8156">
        <v>3534</v>
      </c>
      <c r="Q8156" t="s">
        <v>1158</v>
      </c>
      <c r="R8156" t="s">
        <v>201</v>
      </c>
      <c r="S8156">
        <v>1</v>
      </c>
      <c r="T8156">
        <v>1</v>
      </c>
      <c r="U8156">
        <v>90144</v>
      </c>
      <c r="V8156">
        <v>90144</v>
      </c>
    </row>
    <row r="8157" spans="1:22">
      <c r="A8157" t="s">
        <v>2333</v>
      </c>
      <c r="B8157">
        <v>58</v>
      </c>
      <c r="C8157" t="s">
        <v>9</v>
      </c>
      <c r="D8157" t="s">
        <v>2515</v>
      </c>
      <c r="E8157" t="s">
        <v>2516</v>
      </c>
      <c r="F8157">
        <v>1010</v>
      </c>
      <c r="G8157" t="s">
        <v>9</v>
      </c>
      <c r="H8157" t="s">
        <v>2519</v>
      </c>
      <c r="I8157" t="s">
        <v>134</v>
      </c>
      <c r="J8157" t="s">
        <v>2520</v>
      </c>
      <c r="K8157" t="s">
        <v>2534</v>
      </c>
      <c r="L8157">
        <v>0</v>
      </c>
      <c r="N8157" t="s">
        <v>199</v>
      </c>
      <c r="O8157">
        <v>0</v>
      </c>
      <c r="P8157">
        <v>44</v>
      </c>
      <c r="Q8157" t="s">
        <v>2337</v>
      </c>
      <c r="R8157" t="s">
        <v>201</v>
      </c>
      <c r="S8157">
        <v>0</v>
      </c>
      <c r="T8157">
        <v>0</v>
      </c>
      <c r="U8157">
        <v>102454</v>
      </c>
      <c r="V8157">
        <v>102454</v>
      </c>
    </row>
    <row r="8158" spans="1:22">
      <c r="A8158" t="s">
        <v>2333</v>
      </c>
      <c r="B8158">
        <v>58</v>
      </c>
      <c r="C8158" t="s">
        <v>9</v>
      </c>
      <c r="D8158" t="s">
        <v>2515</v>
      </c>
      <c r="E8158" t="s">
        <v>2516</v>
      </c>
      <c r="F8158">
        <v>1010</v>
      </c>
      <c r="G8158" t="s">
        <v>9</v>
      </c>
      <c r="H8158" t="s">
        <v>2519</v>
      </c>
      <c r="I8158" t="s">
        <v>134</v>
      </c>
      <c r="J8158" t="s">
        <v>2520</v>
      </c>
      <c r="K8158" t="s">
        <v>2534</v>
      </c>
      <c r="L8158">
        <v>0</v>
      </c>
      <c r="N8158" t="s">
        <v>199</v>
      </c>
      <c r="O8158">
        <v>0</v>
      </c>
      <c r="P8158">
        <v>15</v>
      </c>
      <c r="Q8158" t="s">
        <v>264</v>
      </c>
      <c r="R8158" t="s">
        <v>201</v>
      </c>
      <c r="S8158">
        <v>0</v>
      </c>
      <c r="T8158">
        <v>0</v>
      </c>
      <c r="U8158">
        <v>3312</v>
      </c>
      <c r="V8158">
        <v>3312</v>
      </c>
    </row>
    <row r="8159" spans="1:22">
      <c r="A8159" t="s">
        <v>2333</v>
      </c>
      <c r="B8159">
        <v>59</v>
      </c>
      <c r="C8159" t="s">
        <v>3</v>
      </c>
      <c r="D8159" t="s">
        <v>2515</v>
      </c>
      <c r="E8159" t="s">
        <v>2516</v>
      </c>
      <c r="F8159">
        <v>1005</v>
      </c>
      <c r="G8159" t="s">
        <v>3</v>
      </c>
      <c r="H8159">
        <v>2810</v>
      </c>
      <c r="I8159" t="s">
        <v>108</v>
      </c>
      <c r="J8159">
        <v>3810</v>
      </c>
      <c r="K8159" t="s">
        <v>2535</v>
      </c>
      <c r="L8159">
        <v>0</v>
      </c>
      <c r="N8159" t="s">
        <v>216</v>
      </c>
      <c r="O8159">
        <v>80</v>
      </c>
      <c r="P8159">
        <v>8786</v>
      </c>
      <c r="Q8159" t="s">
        <v>2536</v>
      </c>
      <c r="R8159" t="s">
        <v>201</v>
      </c>
      <c r="S8159">
        <v>1</v>
      </c>
      <c r="T8159">
        <v>1</v>
      </c>
      <c r="U8159">
        <v>175296</v>
      </c>
      <c r="V8159">
        <v>175296</v>
      </c>
    </row>
    <row r="8160" spans="1:22">
      <c r="A8160" t="s">
        <v>2333</v>
      </c>
      <c r="B8160">
        <v>59</v>
      </c>
      <c r="C8160" t="s">
        <v>3</v>
      </c>
      <c r="D8160" t="s">
        <v>2515</v>
      </c>
      <c r="E8160" t="s">
        <v>2516</v>
      </c>
      <c r="F8160">
        <v>1005</v>
      </c>
      <c r="G8160" t="s">
        <v>3</v>
      </c>
      <c r="H8160">
        <v>2810</v>
      </c>
      <c r="I8160" t="s">
        <v>108</v>
      </c>
      <c r="J8160">
        <v>3810</v>
      </c>
      <c r="K8160" t="s">
        <v>2535</v>
      </c>
      <c r="L8160">
        <v>0</v>
      </c>
      <c r="N8160" t="s">
        <v>216</v>
      </c>
      <c r="O8160">
        <v>89</v>
      </c>
      <c r="P8160">
        <v>8764</v>
      </c>
      <c r="Q8160" t="s">
        <v>1518</v>
      </c>
      <c r="R8160" t="s">
        <v>201</v>
      </c>
      <c r="S8160">
        <v>1</v>
      </c>
      <c r="T8160">
        <v>1</v>
      </c>
      <c r="U8160">
        <v>191724</v>
      </c>
      <c r="V8160">
        <v>191724</v>
      </c>
    </row>
    <row r="8161" spans="1:22">
      <c r="A8161" t="s">
        <v>2333</v>
      </c>
      <c r="B8161">
        <v>59</v>
      </c>
      <c r="C8161" t="s">
        <v>3</v>
      </c>
      <c r="D8161" t="s">
        <v>2515</v>
      </c>
      <c r="E8161" t="s">
        <v>2516</v>
      </c>
      <c r="F8161">
        <v>1005</v>
      </c>
      <c r="G8161" t="s">
        <v>3</v>
      </c>
      <c r="H8161">
        <v>2810</v>
      </c>
      <c r="I8161" t="s">
        <v>108</v>
      </c>
      <c r="J8161">
        <v>3810</v>
      </c>
      <c r="K8161" t="s">
        <v>2535</v>
      </c>
      <c r="L8161">
        <v>0</v>
      </c>
      <c r="N8161" t="s">
        <v>1475</v>
      </c>
      <c r="O8161">
        <v>80</v>
      </c>
      <c r="P8161">
        <v>8726</v>
      </c>
      <c r="Q8161" t="s">
        <v>1476</v>
      </c>
      <c r="R8161" t="s">
        <v>201</v>
      </c>
      <c r="S8161">
        <v>1</v>
      </c>
      <c r="T8161">
        <v>1</v>
      </c>
      <c r="U8161">
        <v>165858</v>
      </c>
      <c r="V8161">
        <v>165858</v>
      </c>
    </row>
    <row r="8162" spans="1:22">
      <c r="A8162" t="s">
        <v>2333</v>
      </c>
      <c r="B8162">
        <v>59</v>
      </c>
      <c r="C8162" t="s">
        <v>3</v>
      </c>
      <c r="D8162" t="s">
        <v>2515</v>
      </c>
      <c r="E8162" t="s">
        <v>2516</v>
      </c>
      <c r="F8162">
        <v>1005</v>
      </c>
      <c r="G8162" t="s">
        <v>3</v>
      </c>
      <c r="H8162">
        <v>2810</v>
      </c>
      <c r="I8162" t="s">
        <v>108</v>
      </c>
      <c r="J8162">
        <v>3810</v>
      </c>
      <c r="K8162" t="s">
        <v>2535</v>
      </c>
      <c r="L8162">
        <v>0</v>
      </c>
      <c r="N8162" t="s">
        <v>1475</v>
      </c>
      <c r="O8162">
        <v>80</v>
      </c>
      <c r="P8162">
        <v>8726</v>
      </c>
      <c r="Q8162" t="s">
        <v>1476</v>
      </c>
      <c r="R8162" t="s">
        <v>201</v>
      </c>
      <c r="S8162">
        <v>1</v>
      </c>
      <c r="T8162">
        <v>1</v>
      </c>
      <c r="U8162">
        <v>161082</v>
      </c>
      <c r="V8162">
        <v>161082</v>
      </c>
    </row>
    <row r="8163" spans="1:22">
      <c r="A8163" t="s">
        <v>2333</v>
      </c>
      <c r="B8163">
        <v>59</v>
      </c>
      <c r="C8163" t="s">
        <v>3</v>
      </c>
      <c r="D8163" t="s">
        <v>2515</v>
      </c>
      <c r="E8163" t="s">
        <v>2516</v>
      </c>
      <c r="F8163">
        <v>1005</v>
      </c>
      <c r="G8163" t="s">
        <v>3</v>
      </c>
      <c r="H8163">
        <v>2810</v>
      </c>
      <c r="I8163" t="s">
        <v>108</v>
      </c>
      <c r="J8163">
        <v>3810</v>
      </c>
      <c r="K8163" t="s">
        <v>2535</v>
      </c>
      <c r="L8163">
        <v>0</v>
      </c>
      <c r="N8163" t="s">
        <v>1475</v>
      </c>
      <c r="O8163">
        <v>80</v>
      </c>
      <c r="P8163">
        <v>8726</v>
      </c>
      <c r="Q8163" t="s">
        <v>1476</v>
      </c>
      <c r="R8163" t="s">
        <v>201</v>
      </c>
      <c r="S8163">
        <v>1</v>
      </c>
      <c r="T8163">
        <v>1</v>
      </c>
      <c r="U8163">
        <v>156726</v>
      </c>
      <c r="V8163">
        <v>156726</v>
      </c>
    </row>
    <row r="8164" spans="1:22">
      <c r="A8164" t="s">
        <v>2333</v>
      </c>
      <c r="B8164">
        <v>59</v>
      </c>
      <c r="C8164" t="s">
        <v>3</v>
      </c>
      <c r="D8164" t="s">
        <v>2515</v>
      </c>
      <c r="E8164" t="s">
        <v>2516</v>
      </c>
      <c r="F8164">
        <v>1005</v>
      </c>
      <c r="G8164" t="s">
        <v>3</v>
      </c>
      <c r="H8164">
        <v>2810</v>
      </c>
      <c r="I8164" t="s">
        <v>108</v>
      </c>
      <c r="J8164">
        <v>3810</v>
      </c>
      <c r="K8164" t="s">
        <v>2535</v>
      </c>
      <c r="L8164">
        <v>0</v>
      </c>
      <c r="N8164" t="s">
        <v>1519</v>
      </c>
      <c r="O8164">
        <v>80</v>
      </c>
      <c r="P8164">
        <v>8725</v>
      </c>
      <c r="Q8164" t="s">
        <v>1296</v>
      </c>
      <c r="R8164" t="s">
        <v>201</v>
      </c>
      <c r="S8164">
        <v>1</v>
      </c>
      <c r="T8164">
        <v>1</v>
      </c>
      <c r="U8164">
        <v>151860</v>
      </c>
      <c r="V8164">
        <v>151860</v>
      </c>
    </row>
    <row r="8165" spans="1:22">
      <c r="A8165" t="s">
        <v>2333</v>
      </c>
      <c r="B8165">
        <v>59</v>
      </c>
      <c r="C8165" t="s">
        <v>3</v>
      </c>
      <c r="D8165" t="s">
        <v>2515</v>
      </c>
      <c r="E8165" t="s">
        <v>2516</v>
      </c>
      <c r="F8165">
        <v>1005</v>
      </c>
      <c r="G8165" t="s">
        <v>3</v>
      </c>
      <c r="H8165">
        <v>2810</v>
      </c>
      <c r="I8165" t="s">
        <v>108</v>
      </c>
      <c r="J8165">
        <v>3810</v>
      </c>
      <c r="K8165" t="s">
        <v>2535</v>
      </c>
      <c r="L8165">
        <v>0</v>
      </c>
      <c r="N8165" t="s">
        <v>1470</v>
      </c>
      <c r="O8165">
        <v>87</v>
      </c>
      <c r="P8165">
        <v>8707</v>
      </c>
      <c r="Q8165" t="s">
        <v>1483</v>
      </c>
      <c r="R8165" t="s">
        <v>201</v>
      </c>
      <c r="S8165">
        <v>1</v>
      </c>
      <c r="T8165">
        <v>1</v>
      </c>
      <c r="U8165">
        <v>119580</v>
      </c>
      <c r="V8165">
        <v>119580</v>
      </c>
    </row>
    <row r="8166" spans="1:22">
      <c r="A8166" t="s">
        <v>2333</v>
      </c>
      <c r="B8166">
        <v>59</v>
      </c>
      <c r="C8166" t="s">
        <v>3</v>
      </c>
      <c r="D8166" t="s">
        <v>2515</v>
      </c>
      <c r="E8166" t="s">
        <v>2516</v>
      </c>
      <c r="F8166">
        <v>1005</v>
      </c>
      <c r="G8166" t="s">
        <v>3</v>
      </c>
      <c r="H8166">
        <v>2810</v>
      </c>
      <c r="I8166" t="s">
        <v>108</v>
      </c>
      <c r="J8166">
        <v>3810</v>
      </c>
      <c r="K8166" t="s">
        <v>2535</v>
      </c>
      <c r="L8166">
        <v>0</v>
      </c>
      <c r="N8166" t="s">
        <v>1470</v>
      </c>
      <c r="O8166">
        <v>87</v>
      </c>
      <c r="P8166">
        <v>8707</v>
      </c>
      <c r="Q8166" t="s">
        <v>1483</v>
      </c>
      <c r="R8166" t="s">
        <v>201</v>
      </c>
      <c r="S8166">
        <v>1</v>
      </c>
      <c r="T8166">
        <v>1</v>
      </c>
      <c r="U8166">
        <v>112218</v>
      </c>
      <c r="V8166">
        <v>112218</v>
      </c>
    </row>
    <row r="8167" spans="1:22">
      <c r="A8167" t="s">
        <v>2333</v>
      </c>
      <c r="B8167">
        <v>59</v>
      </c>
      <c r="C8167" t="s">
        <v>3</v>
      </c>
      <c r="D8167" t="s">
        <v>2515</v>
      </c>
      <c r="E8167" t="s">
        <v>2516</v>
      </c>
      <c r="F8167">
        <v>1005</v>
      </c>
      <c r="G8167" t="s">
        <v>3</v>
      </c>
      <c r="H8167">
        <v>2810</v>
      </c>
      <c r="I8167" t="s">
        <v>108</v>
      </c>
      <c r="J8167">
        <v>3810</v>
      </c>
      <c r="K8167" t="s">
        <v>2535</v>
      </c>
      <c r="L8167">
        <v>0</v>
      </c>
      <c r="N8167" t="s">
        <v>1470</v>
      </c>
      <c r="O8167">
        <v>87</v>
      </c>
      <c r="P8167">
        <v>8703</v>
      </c>
      <c r="Q8167" t="s">
        <v>1484</v>
      </c>
      <c r="R8167" t="s">
        <v>201</v>
      </c>
      <c r="S8167">
        <v>1</v>
      </c>
      <c r="T8167">
        <v>1</v>
      </c>
      <c r="U8167">
        <v>115938</v>
      </c>
      <c r="V8167">
        <v>115938</v>
      </c>
    </row>
    <row r="8168" spans="1:22">
      <c r="A8168" t="s">
        <v>2333</v>
      </c>
      <c r="B8168">
        <v>59</v>
      </c>
      <c r="C8168" t="s">
        <v>3</v>
      </c>
      <c r="D8168" t="s">
        <v>2515</v>
      </c>
      <c r="E8168" t="s">
        <v>2516</v>
      </c>
      <c r="F8168">
        <v>1005</v>
      </c>
      <c r="G8168" t="s">
        <v>3</v>
      </c>
      <c r="H8168">
        <v>2810</v>
      </c>
      <c r="I8168" t="s">
        <v>108</v>
      </c>
      <c r="J8168">
        <v>3810</v>
      </c>
      <c r="K8168" t="s">
        <v>2535</v>
      </c>
      <c r="L8168">
        <v>0</v>
      </c>
      <c r="N8168" t="s">
        <v>351</v>
      </c>
      <c r="O8168">
        <v>1</v>
      </c>
      <c r="P8168" t="s">
        <v>352</v>
      </c>
      <c r="Q8168" t="s">
        <v>353</v>
      </c>
      <c r="R8168" t="s">
        <v>201</v>
      </c>
      <c r="S8168">
        <v>1</v>
      </c>
      <c r="T8168">
        <v>1</v>
      </c>
      <c r="U8168">
        <v>77640</v>
      </c>
      <c r="V8168">
        <v>77640</v>
      </c>
    </row>
    <row r="8169" spans="1:22">
      <c r="A8169" t="s">
        <v>2333</v>
      </c>
      <c r="B8169">
        <v>59</v>
      </c>
      <c r="C8169" t="s">
        <v>3</v>
      </c>
      <c r="D8169" t="s">
        <v>2515</v>
      </c>
      <c r="E8169" t="s">
        <v>2516</v>
      </c>
      <c r="F8169">
        <v>1005</v>
      </c>
      <c r="G8169" t="s">
        <v>3</v>
      </c>
      <c r="H8169">
        <v>2810</v>
      </c>
      <c r="I8169" t="s">
        <v>108</v>
      </c>
      <c r="J8169">
        <v>3810</v>
      </c>
      <c r="K8169" t="s">
        <v>2535</v>
      </c>
      <c r="L8169">
        <v>0</v>
      </c>
      <c r="N8169" t="s">
        <v>341</v>
      </c>
      <c r="O8169">
        <v>4</v>
      </c>
      <c r="P8169">
        <v>378</v>
      </c>
      <c r="Q8169" t="s">
        <v>1209</v>
      </c>
      <c r="R8169" t="s">
        <v>201</v>
      </c>
      <c r="S8169">
        <v>1</v>
      </c>
      <c r="T8169">
        <v>1</v>
      </c>
      <c r="U8169">
        <v>74172</v>
      </c>
      <c r="V8169">
        <v>74172</v>
      </c>
    </row>
    <row r="8170" spans="1:22">
      <c r="A8170" t="s">
        <v>2333</v>
      </c>
      <c r="B8170">
        <v>59</v>
      </c>
      <c r="C8170" t="s">
        <v>3</v>
      </c>
      <c r="D8170" t="s">
        <v>2515</v>
      </c>
      <c r="E8170" t="s">
        <v>2516</v>
      </c>
      <c r="F8170">
        <v>1005</v>
      </c>
      <c r="G8170" t="s">
        <v>3</v>
      </c>
      <c r="H8170">
        <v>2810</v>
      </c>
      <c r="I8170" t="s">
        <v>108</v>
      </c>
      <c r="J8170">
        <v>3810</v>
      </c>
      <c r="K8170" t="s">
        <v>2535</v>
      </c>
      <c r="L8170">
        <v>0</v>
      </c>
      <c r="N8170" t="s">
        <v>199</v>
      </c>
      <c r="O8170">
        <v>0</v>
      </c>
      <c r="P8170">
        <v>44</v>
      </c>
      <c r="Q8170" t="s">
        <v>2337</v>
      </c>
      <c r="R8170" t="s">
        <v>201</v>
      </c>
      <c r="S8170">
        <v>0</v>
      </c>
      <c r="T8170">
        <v>0</v>
      </c>
      <c r="U8170">
        <v>840572</v>
      </c>
      <c r="V8170">
        <v>840572</v>
      </c>
    </row>
    <row r="8171" spans="1:22">
      <c r="A8171" t="s">
        <v>2333</v>
      </c>
      <c r="B8171">
        <v>59</v>
      </c>
      <c r="C8171" t="s">
        <v>3</v>
      </c>
      <c r="D8171" t="s">
        <v>2515</v>
      </c>
      <c r="E8171" t="s">
        <v>2516</v>
      </c>
      <c r="F8171">
        <v>1005</v>
      </c>
      <c r="G8171" t="s">
        <v>3</v>
      </c>
      <c r="H8171">
        <v>2810</v>
      </c>
      <c r="I8171" t="s">
        <v>108</v>
      </c>
      <c r="J8171">
        <v>3810</v>
      </c>
      <c r="K8171" t="s">
        <v>2535</v>
      </c>
      <c r="L8171">
        <v>0</v>
      </c>
      <c r="N8171" t="s">
        <v>199</v>
      </c>
      <c r="O8171">
        <v>0</v>
      </c>
      <c r="P8171">
        <v>15</v>
      </c>
      <c r="Q8171" t="s">
        <v>264</v>
      </c>
      <c r="R8171" t="s">
        <v>201</v>
      </c>
      <c r="S8171">
        <v>0</v>
      </c>
      <c r="T8171">
        <v>0</v>
      </c>
      <c r="U8171">
        <v>1514</v>
      </c>
      <c r="V8171">
        <v>1514</v>
      </c>
    </row>
    <row r="8172" spans="1:22">
      <c r="A8172" t="s">
        <v>2333</v>
      </c>
      <c r="B8172">
        <v>59</v>
      </c>
      <c r="C8172" t="s">
        <v>3</v>
      </c>
      <c r="D8172" t="s">
        <v>2515</v>
      </c>
      <c r="E8172" t="s">
        <v>2516</v>
      </c>
      <c r="F8172">
        <v>1005</v>
      </c>
      <c r="G8172" t="s">
        <v>3</v>
      </c>
      <c r="H8172" t="s">
        <v>2519</v>
      </c>
      <c r="I8172" t="s">
        <v>134</v>
      </c>
      <c r="J8172" t="s">
        <v>2520</v>
      </c>
      <c r="K8172" t="s">
        <v>2534</v>
      </c>
      <c r="L8172">
        <v>0</v>
      </c>
      <c r="N8172" t="s">
        <v>356</v>
      </c>
      <c r="O8172">
        <v>4</v>
      </c>
      <c r="P8172">
        <v>3534</v>
      </c>
      <c r="Q8172" t="s">
        <v>1158</v>
      </c>
      <c r="R8172" t="s">
        <v>201</v>
      </c>
      <c r="S8172">
        <v>2</v>
      </c>
      <c r="T8172">
        <v>1</v>
      </c>
      <c r="U8172">
        <v>92940</v>
      </c>
      <c r="V8172">
        <v>185880</v>
      </c>
    </row>
    <row r="8173" spans="1:22">
      <c r="A8173" t="s">
        <v>2333</v>
      </c>
      <c r="B8173">
        <v>59</v>
      </c>
      <c r="C8173" t="s">
        <v>3</v>
      </c>
      <c r="D8173" t="s">
        <v>2515</v>
      </c>
      <c r="E8173" t="s">
        <v>2516</v>
      </c>
      <c r="F8173">
        <v>1005</v>
      </c>
      <c r="G8173" t="s">
        <v>3</v>
      </c>
      <c r="H8173" t="s">
        <v>2519</v>
      </c>
      <c r="I8173" t="s">
        <v>134</v>
      </c>
      <c r="J8173" t="s">
        <v>2520</v>
      </c>
      <c r="K8173" t="s">
        <v>2534</v>
      </c>
      <c r="L8173">
        <v>0</v>
      </c>
      <c r="N8173" t="s">
        <v>356</v>
      </c>
      <c r="O8173">
        <v>4</v>
      </c>
      <c r="P8173">
        <v>3534</v>
      </c>
      <c r="Q8173" t="s">
        <v>1158</v>
      </c>
      <c r="R8173" t="s">
        <v>201</v>
      </c>
      <c r="S8173">
        <v>1</v>
      </c>
      <c r="T8173">
        <v>1</v>
      </c>
      <c r="U8173">
        <v>90144</v>
      </c>
      <c r="V8173">
        <v>90144</v>
      </c>
    </row>
    <row r="8174" spans="1:22">
      <c r="A8174" t="s">
        <v>2333</v>
      </c>
      <c r="B8174">
        <v>59</v>
      </c>
      <c r="C8174" t="s">
        <v>3</v>
      </c>
      <c r="D8174" t="s">
        <v>2515</v>
      </c>
      <c r="E8174" t="s">
        <v>2516</v>
      </c>
      <c r="F8174">
        <v>1005</v>
      </c>
      <c r="G8174" t="s">
        <v>3</v>
      </c>
      <c r="H8174" t="s">
        <v>2519</v>
      </c>
      <c r="I8174" t="s">
        <v>134</v>
      </c>
      <c r="J8174" t="s">
        <v>2520</v>
      </c>
      <c r="K8174" t="s">
        <v>2534</v>
      </c>
      <c r="L8174">
        <v>0</v>
      </c>
      <c r="N8174" t="s">
        <v>341</v>
      </c>
      <c r="O8174">
        <v>1</v>
      </c>
      <c r="P8174">
        <v>308</v>
      </c>
      <c r="Q8174" t="s">
        <v>355</v>
      </c>
      <c r="R8174" t="s">
        <v>201</v>
      </c>
      <c r="S8174">
        <v>1</v>
      </c>
      <c r="T8174">
        <v>1</v>
      </c>
      <c r="U8174">
        <v>68616</v>
      </c>
      <c r="V8174">
        <v>68616</v>
      </c>
    </row>
    <row r="8175" spans="1:22">
      <c r="A8175" t="s">
        <v>2333</v>
      </c>
      <c r="B8175">
        <v>59</v>
      </c>
      <c r="C8175" t="s">
        <v>3</v>
      </c>
      <c r="D8175" t="s">
        <v>2515</v>
      </c>
      <c r="E8175" t="s">
        <v>2516</v>
      </c>
      <c r="F8175">
        <v>1005</v>
      </c>
      <c r="G8175" t="s">
        <v>3</v>
      </c>
      <c r="H8175" t="s">
        <v>2519</v>
      </c>
      <c r="I8175" t="s">
        <v>134</v>
      </c>
      <c r="J8175" t="s">
        <v>2520</v>
      </c>
      <c r="K8175" t="s">
        <v>2534</v>
      </c>
      <c r="L8175">
        <v>0</v>
      </c>
      <c r="N8175" t="s">
        <v>199</v>
      </c>
      <c r="O8175">
        <v>0</v>
      </c>
      <c r="P8175">
        <v>44</v>
      </c>
      <c r="Q8175" t="s">
        <v>2337</v>
      </c>
      <c r="R8175" t="s">
        <v>201</v>
      </c>
      <c r="S8175">
        <v>0</v>
      </c>
      <c r="T8175">
        <v>0</v>
      </c>
      <c r="U8175">
        <v>192861</v>
      </c>
      <c r="V8175">
        <v>192861</v>
      </c>
    </row>
    <row r="8176" spans="1:22">
      <c r="A8176" t="s">
        <v>2333</v>
      </c>
      <c r="B8176">
        <v>59</v>
      </c>
      <c r="C8176" t="s">
        <v>3</v>
      </c>
      <c r="D8176" t="s">
        <v>2515</v>
      </c>
      <c r="E8176" t="s">
        <v>2516</v>
      </c>
      <c r="F8176">
        <v>1005</v>
      </c>
      <c r="G8176" t="s">
        <v>3</v>
      </c>
      <c r="H8176" t="s">
        <v>2519</v>
      </c>
      <c r="I8176" t="s">
        <v>134</v>
      </c>
      <c r="J8176" t="s">
        <v>2520</v>
      </c>
      <c r="K8176" t="s">
        <v>2534</v>
      </c>
      <c r="L8176">
        <v>0</v>
      </c>
      <c r="N8176" t="s">
        <v>199</v>
      </c>
      <c r="O8176">
        <v>0</v>
      </c>
      <c r="P8176">
        <v>15</v>
      </c>
      <c r="Q8176" t="s">
        <v>264</v>
      </c>
      <c r="R8176" t="s">
        <v>201</v>
      </c>
      <c r="S8176">
        <v>0</v>
      </c>
      <c r="T8176">
        <v>0</v>
      </c>
      <c r="U8176">
        <v>8464</v>
      </c>
      <c r="V8176">
        <v>8464</v>
      </c>
    </row>
    <row r="8177" spans="1:22">
      <c r="A8177" t="s">
        <v>2333</v>
      </c>
      <c r="B8177">
        <v>72</v>
      </c>
      <c r="C8177" t="s">
        <v>113</v>
      </c>
      <c r="D8177" t="s">
        <v>2515</v>
      </c>
      <c r="E8177" t="s">
        <v>2516</v>
      </c>
      <c r="F8177">
        <v>1010</v>
      </c>
      <c r="G8177" t="s">
        <v>113</v>
      </c>
      <c r="H8177" t="s">
        <v>2537</v>
      </c>
      <c r="I8177" t="s">
        <v>143</v>
      </c>
      <c r="J8177">
        <v>3810</v>
      </c>
      <c r="K8177" t="s">
        <v>2538</v>
      </c>
      <c r="L8177">
        <v>0</v>
      </c>
      <c r="N8177" t="s">
        <v>372</v>
      </c>
      <c r="O8177">
        <v>3</v>
      </c>
      <c r="P8177">
        <v>2083</v>
      </c>
      <c r="Q8177" t="s">
        <v>1175</v>
      </c>
      <c r="R8177" t="s">
        <v>201</v>
      </c>
      <c r="S8177">
        <v>1</v>
      </c>
      <c r="T8177">
        <v>1</v>
      </c>
      <c r="U8177">
        <v>113628</v>
      </c>
      <c r="V8177">
        <v>113628</v>
      </c>
    </row>
    <row r="8178" spans="1:22">
      <c r="A8178" t="s">
        <v>2333</v>
      </c>
      <c r="B8178">
        <v>72</v>
      </c>
      <c r="C8178" t="s">
        <v>113</v>
      </c>
      <c r="D8178" t="s">
        <v>2515</v>
      </c>
      <c r="E8178" t="s">
        <v>2516</v>
      </c>
      <c r="F8178">
        <v>1010</v>
      </c>
      <c r="G8178" t="s">
        <v>113</v>
      </c>
      <c r="H8178" t="s">
        <v>2537</v>
      </c>
      <c r="I8178" t="s">
        <v>143</v>
      </c>
      <c r="J8178">
        <v>3810</v>
      </c>
      <c r="K8178" t="s">
        <v>2538</v>
      </c>
      <c r="L8178">
        <v>0</v>
      </c>
      <c r="N8178" t="s">
        <v>372</v>
      </c>
      <c r="O8178">
        <v>3</v>
      </c>
      <c r="P8178">
        <v>2077</v>
      </c>
      <c r="Q8178" t="s">
        <v>1177</v>
      </c>
      <c r="R8178" t="s">
        <v>201</v>
      </c>
      <c r="S8178">
        <v>1</v>
      </c>
      <c r="T8178">
        <v>1</v>
      </c>
      <c r="U8178">
        <v>124848</v>
      </c>
      <c r="V8178">
        <v>124848</v>
      </c>
    </row>
    <row r="8179" spans="1:22">
      <c r="A8179" t="s">
        <v>2333</v>
      </c>
      <c r="B8179">
        <v>72</v>
      </c>
      <c r="C8179" t="s">
        <v>113</v>
      </c>
      <c r="D8179" t="s">
        <v>2515</v>
      </c>
      <c r="E8179" t="s">
        <v>2516</v>
      </c>
      <c r="F8179">
        <v>1010</v>
      </c>
      <c r="G8179" t="s">
        <v>113</v>
      </c>
      <c r="H8179" t="s">
        <v>2537</v>
      </c>
      <c r="I8179" t="s">
        <v>143</v>
      </c>
      <c r="J8179">
        <v>3810</v>
      </c>
      <c r="K8179" t="s">
        <v>2538</v>
      </c>
      <c r="L8179">
        <v>0</v>
      </c>
      <c r="N8179" t="s">
        <v>297</v>
      </c>
      <c r="O8179">
        <v>20</v>
      </c>
      <c r="P8179">
        <v>2072</v>
      </c>
      <c r="Q8179" t="s">
        <v>1179</v>
      </c>
      <c r="R8179" t="s">
        <v>201</v>
      </c>
      <c r="S8179">
        <v>1</v>
      </c>
      <c r="T8179">
        <v>1</v>
      </c>
      <c r="U8179">
        <v>97332</v>
      </c>
      <c r="V8179">
        <v>97332</v>
      </c>
    </row>
    <row r="8180" spans="1:22">
      <c r="A8180" t="s">
        <v>2333</v>
      </c>
      <c r="B8180">
        <v>72</v>
      </c>
      <c r="C8180" t="s">
        <v>113</v>
      </c>
      <c r="D8180" t="s">
        <v>2515</v>
      </c>
      <c r="E8180" t="s">
        <v>2516</v>
      </c>
      <c r="F8180">
        <v>1010</v>
      </c>
      <c r="G8180" t="s">
        <v>113</v>
      </c>
      <c r="H8180" t="s">
        <v>2537</v>
      </c>
      <c r="I8180" t="s">
        <v>143</v>
      </c>
      <c r="J8180">
        <v>3810</v>
      </c>
      <c r="K8180" t="s">
        <v>2538</v>
      </c>
      <c r="L8180">
        <v>0</v>
      </c>
      <c r="N8180" t="s">
        <v>351</v>
      </c>
      <c r="O8180">
        <v>1</v>
      </c>
      <c r="P8180" t="s">
        <v>352</v>
      </c>
      <c r="Q8180" t="s">
        <v>353</v>
      </c>
      <c r="R8180" t="s">
        <v>201</v>
      </c>
      <c r="S8180">
        <v>1</v>
      </c>
      <c r="T8180">
        <v>1</v>
      </c>
      <c r="U8180">
        <v>77640</v>
      </c>
      <c r="V8180">
        <v>77640</v>
      </c>
    </row>
    <row r="8181" spans="1:22">
      <c r="A8181" t="s">
        <v>2333</v>
      </c>
      <c r="B8181">
        <v>72</v>
      </c>
      <c r="C8181" t="s">
        <v>113</v>
      </c>
      <c r="D8181" t="s">
        <v>2515</v>
      </c>
      <c r="E8181" t="s">
        <v>2516</v>
      </c>
      <c r="F8181">
        <v>1010</v>
      </c>
      <c r="G8181" t="s">
        <v>113</v>
      </c>
      <c r="H8181" t="s">
        <v>2537</v>
      </c>
      <c r="I8181" t="s">
        <v>143</v>
      </c>
      <c r="J8181">
        <v>3810</v>
      </c>
      <c r="K8181" t="s">
        <v>2538</v>
      </c>
      <c r="L8181">
        <v>0</v>
      </c>
      <c r="N8181" t="s">
        <v>199</v>
      </c>
      <c r="O8181">
        <v>0</v>
      </c>
      <c r="P8181">
        <v>44</v>
      </c>
      <c r="Q8181" t="s">
        <v>2337</v>
      </c>
      <c r="R8181" t="s">
        <v>201</v>
      </c>
      <c r="S8181">
        <v>0</v>
      </c>
      <c r="T8181">
        <v>0</v>
      </c>
      <c r="U8181">
        <v>231365</v>
      </c>
      <c r="V8181">
        <v>231365</v>
      </c>
    </row>
    <row r="8182" spans="1:22">
      <c r="A8182" t="s">
        <v>2333</v>
      </c>
      <c r="B8182">
        <v>72</v>
      </c>
      <c r="C8182" t="s">
        <v>113</v>
      </c>
      <c r="D8182" t="s">
        <v>2515</v>
      </c>
      <c r="E8182" t="s">
        <v>2516</v>
      </c>
      <c r="F8182">
        <v>1010</v>
      </c>
      <c r="G8182" t="s">
        <v>113</v>
      </c>
      <c r="H8182" t="s">
        <v>2537</v>
      </c>
      <c r="I8182" t="s">
        <v>143</v>
      </c>
      <c r="J8182">
        <v>3810</v>
      </c>
      <c r="K8182" t="s">
        <v>2538</v>
      </c>
      <c r="L8182">
        <v>0</v>
      </c>
      <c r="N8182" t="s">
        <v>199</v>
      </c>
      <c r="O8182">
        <v>0</v>
      </c>
      <c r="P8182">
        <v>15</v>
      </c>
      <c r="Q8182" t="s">
        <v>264</v>
      </c>
      <c r="R8182" t="s">
        <v>201</v>
      </c>
      <c r="S8182">
        <v>0</v>
      </c>
      <c r="T8182">
        <v>0</v>
      </c>
      <c r="U8182">
        <v>2876</v>
      </c>
      <c r="V8182">
        <v>2876</v>
      </c>
    </row>
    <row r="8183" spans="1:22">
      <c r="A8183" t="s">
        <v>2333</v>
      </c>
      <c r="B8183">
        <v>72</v>
      </c>
      <c r="C8183" t="s">
        <v>113</v>
      </c>
      <c r="D8183" t="s">
        <v>2515</v>
      </c>
      <c r="E8183" t="s">
        <v>2516</v>
      </c>
      <c r="F8183">
        <v>1010</v>
      </c>
      <c r="G8183" t="s">
        <v>113</v>
      </c>
      <c r="H8183" t="s">
        <v>2379</v>
      </c>
      <c r="I8183" t="s">
        <v>158</v>
      </c>
      <c r="J8183">
        <v>3815</v>
      </c>
      <c r="K8183" t="s">
        <v>2539</v>
      </c>
      <c r="L8183">
        <v>0</v>
      </c>
      <c r="N8183" t="s">
        <v>274</v>
      </c>
      <c r="O8183">
        <v>9</v>
      </c>
      <c r="P8183">
        <v>313</v>
      </c>
      <c r="Q8183" t="s">
        <v>605</v>
      </c>
      <c r="R8183" t="s">
        <v>201</v>
      </c>
      <c r="S8183">
        <v>1</v>
      </c>
      <c r="T8183">
        <v>1</v>
      </c>
      <c r="U8183">
        <v>146808</v>
      </c>
      <c r="V8183">
        <v>146808</v>
      </c>
    </row>
    <row r="8184" spans="1:22">
      <c r="A8184" t="s">
        <v>2333</v>
      </c>
      <c r="B8184">
        <v>72</v>
      </c>
      <c r="C8184" t="s">
        <v>113</v>
      </c>
      <c r="D8184" t="s">
        <v>2515</v>
      </c>
      <c r="E8184" t="s">
        <v>2516</v>
      </c>
      <c r="F8184">
        <v>1010</v>
      </c>
      <c r="G8184" t="s">
        <v>113</v>
      </c>
      <c r="H8184" t="s">
        <v>2379</v>
      </c>
      <c r="I8184" t="s">
        <v>158</v>
      </c>
      <c r="J8184">
        <v>3815</v>
      </c>
      <c r="K8184" t="s">
        <v>2539</v>
      </c>
      <c r="L8184">
        <v>0</v>
      </c>
      <c r="N8184" t="s">
        <v>199</v>
      </c>
      <c r="O8184">
        <v>0</v>
      </c>
      <c r="P8184">
        <v>44</v>
      </c>
      <c r="Q8184" t="s">
        <v>2337</v>
      </c>
      <c r="R8184" t="s">
        <v>201</v>
      </c>
      <c r="S8184">
        <v>0</v>
      </c>
      <c r="T8184">
        <v>0</v>
      </c>
      <c r="U8184">
        <v>82154</v>
      </c>
      <c r="V8184">
        <v>82154</v>
      </c>
    </row>
    <row r="8185" spans="1:22">
      <c r="A8185" t="s">
        <v>2333</v>
      </c>
      <c r="B8185">
        <v>72</v>
      </c>
      <c r="C8185" t="s">
        <v>113</v>
      </c>
      <c r="D8185" t="s">
        <v>2515</v>
      </c>
      <c r="E8185" t="s">
        <v>2516</v>
      </c>
      <c r="F8185">
        <v>1010</v>
      </c>
      <c r="G8185" t="s">
        <v>113</v>
      </c>
      <c r="H8185" t="s">
        <v>2379</v>
      </c>
      <c r="I8185" t="s">
        <v>158</v>
      </c>
      <c r="J8185">
        <v>3815</v>
      </c>
      <c r="K8185" t="s">
        <v>2539</v>
      </c>
      <c r="L8185">
        <v>0</v>
      </c>
      <c r="N8185" t="s">
        <v>199</v>
      </c>
      <c r="O8185">
        <v>0</v>
      </c>
      <c r="P8185">
        <v>15</v>
      </c>
      <c r="Q8185" t="s">
        <v>264</v>
      </c>
      <c r="R8185" t="s">
        <v>201</v>
      </c>
      <c r="S8185">
        <v>0</v>
      </c>
      <c r="T8185">
        <v>0</v>
      </c>
      <c r="U8185">
        <v>2740</v>
      </c>
      <c r="V8185">
        <v>2740</v>
      </c>
    </row>
    <row r="8186" spans="1:22">
      <c r="A8186" t="s">
        <v>2333</v>
      </c>
      <c r="B8186">
        <v>72</v>
      </c>
      <c r="C8186" t="s">
        <v>113</v>
      </c>
      <c r="D8186" t="s">
        <v>2515</v>
      </c>
      <c r="E8186" t="s">
        <v>2516</v>
      </c>
      <c r="F8186">
        <v>1010</v>
      </c>
      <c r="G8186" t="s">
        <v>113</v>
      </c>
      <c r="H8186" t="s">
        <v>2540</v>
      </c>
      <c r="I8186" t="s">
        <v>172</v>
      </c>
      <c r="J8186">
        <v>3820</v>
      </c>
      <c r="K8186" t="s">
        <v>2541</v>
      </c>
      <c r="L8186">
        <v>0</v>
      </c>
      <c r="N8186" t="s">
        <v>372</v>
      </c>
      <c r="O8186">
        <v>3</v>
      </c>
      <c r="P8186">
        <v>2077</v>
      </c>
      <c r="Q8186" t="s">
        <v>1177</v>
      </c>
      <c r="R8186" t="s">
        <v>201</v>
      </c>
      <c r="S8186">
        <v>1</v>
      </c>
      <c r="T8186">
        <v>1</v>
      </c>
      <c r="U8186">
        <v>75336</v>
      </c>
      <c r="V8186">
        <v>75336</v>
      </c>
    </row>
    <row r="8187" spans="1:22">
      <c r="A8187" t="s">
        <v>2333</v>
      </c>
      <c r="B8187">
        <v>72</v>
      </c>
      <c r="C8187" t="s">
        <v>113</v>
      </c>
      <c r="D8187" t="s">
        <v>2515</v>
      </c>
      <c r="E8187" t="s">
        <v>2516</v>
      </c>
      <c r="F8187">
        <v>1010</v>
      </c>
      <c r="G8187" t="s">
        <v>113</v>
      </c>
      <c r="H8187" t="s">
        <v>2540</v>
      </c>
      <c r="I8187" t="s">
        <v>172</v>
      </c>
      <c r="J8187">
        <v>3820</v>
      </c>
      <c r="K8187" t="s">
        <v>2541</v>
      </c>
      <c r="L8187">
        <v>0</v>
      </c>
      <c r="N8187" t="s">
        <v>199</v>
      </c>
      <c r="O8187">
        <v>0</v>
      </c>
      <c r="P8187">
        <v>44</v>
      </c>
      <c r="Q8187" t="s">
        <v>2337</v>
      </c>
      <c r="R8187" t="s">
        <v>201</v>
      </c>
      <c r="S8187">
        <v>0</v>
      </c>
      <c r="T8187">
        <v>0</v>
      </c>
      <c r="U8187">
        <v>42158</v>
      </c>
      <c r="V8187">
        <v>42158</v>
      </c>
    </row>
    <row r="8188" spans="1:22">
      <c r="A8188" t="s">
        <v>2333</v>
      </c>
      <c r="B8188">
        <v>72</v>
      </c>
      <c r="C8188" t="s">
        <v>113</v>
      </c>
      <c r="D8188" t="s">
        <v>2515</v>
      </c>
      <c r="E8188" t="s">
        <v>2516</v>
      </c>
      <c r="F8188">
        <v>1010</v>
      </c>
      <c r="G8188" t="s">
        <v>113</v>
      </c>
      <c r="H8188" t="s">
        <v>2540</v>
      </c>
      <c r="I8188" t="s">
        <v>172</v>
      </c>
      <c r="J8188">
        <v>3820</v>
      </c>
      <c r="K8188" t="s">
        <v>2541</v>
      </c>
      <c r="L8188">
        <v>0</v>
      </c>
      <c r="N8188" t="s">
        <v>199</v>
      </c>
      <c r="O8188">
        <v>0</v>
      </c>
      <c r="P8188">
        <v>15</v>
      </c>
      <c r="Q8188" t="s">
        <v>264</v>
      </c>
      <c r="R8188" t="s">
        <v>201</v>
      </c>
      <c r="S8188">
        <v>0</v>
      </c>
      <c r="T8188">
        <v>0</v>
      </c>
      <c r="U8188">
        <v>1252</v>
      </c>
      <c r="V8188">
        <v>1252</v>
      </c>
    </row>
    <row r="8189" spans="1:22">
      <c r="A8189" t="s">
        <v>2333</v>
      </c>
      <c r="B8189">
        <v>91</v>
      </c>
      <c r="C8189" t="s">
        <v>10</v>
      </c>
      <c r="D8189" t="s">
        <v>2515</v>
      </c>
      <c r="E8189" t="s">
        <v>2516</v>
      </c>
      <c r="F8189">
        <v>1005</v>
      </c>
      <c r="G8189" t="s">
        <v>10</v>
      </c>
      <c r="H8189">
        <v>2895</v>
      </c>
      <c r="I8189" t="s">
        <v>58</v>
      </c>
      <c r="J8189">
        <v>3910</v>
      </c>
      <c r="K8189" t="s">
        <v>2542</v>
      </c>
      <c r="L8189">
        <v>0</v>
      </c>
      <c r="N8189" t="s">
        <v>356</v>
      </c>
      <c r="O8189">
        <v>5</v>
      </c>
      <c r="P8189">
        <v>579</v>
      </c>
      <c r="Q8189" t="s">
        <v>2098</v>
      </c>
      <c r="R8189" t="s">
        <v>201</v>
      </c>
      <c r="S8189">
        <v>5</v>
      </c>
      <c r="T8189">
        <v>1</v>
      </c>
      <c r="U8189">
        <v>129636</v>
      </c>
      <c r="V8189">
        <v>648180</v>
      </c>
    </row>
    <row r="8190" spans="1:22">
      <c r="A8190" t="s">
        <v>2333</v>
      </c>
      <c r="B8190">
        <v>91</v>
      </c>
      <c r="C8190" t="s">
        <v>10</v>
      </c>
      <c r="D8190" t="s">
        <v>2515</v>
      </c>
      <c r="E8190" t="s">
        <v>2516</v>
      </c>
      <c r="F8190">
        <v>1005</v>
      </c>
      <c r="G8190" t="s">
        <v>10</v>
      </c>
      <c r="H8190">
        <v>2895</v>
      </c>
      <c r="I8190" t="s">
        <v>58</v>
      </c>
      <c r="J8190">
        <v>3910</v>
      </c>
      <c r="K8190" t="s">
        <v>2542</v>
      </c>
      <c r="L8190">
        <v>0</v>
      </c>
      <c r="N8190" t="s">
        <v>356</v>
      </c>
      <c r="O8190">
        <v>5</v>
      </c>
      <c r="P8190">
        <v>579</v>
      </c>
      <c r="Q8190" t="s">
        <v>2098</v>
      </c>
      <c r="R8190" t="s">
        <v>201</v>
      </c>
      <c r="S8190">
        <v>1</v>
      </c>
      <c r="T8190">
        <v>1</v>
      </c>
      <c r="U8190">
        <v>117636</v>
      </c>
      <c r="V8190">
        <v>117636</v>
      </c>
    </row>
    <row r="8191" spans="1:22">
      <c r="A8191" t="s">
        <v>2333</v>
      </c>
      <c r="B8191">
        <v>91</v>
      </c>
      <c r="C8191" t="s">
        <v>10</v>
      </c>
      <c r="D8191" t="s">
        <v>2515</v>
      </c>
      <c r="E8191" t="s">
        <v>2516</v>
      </c>
      <c r="F8191">
        <v>1005</v>
      </c>
      <c r="G8191" t="s">
        <v>10</v>
      </c>
      <c r="H8191">
        <v>2895</v>
      </c>
      <c r="I8191" t="s">
        <v>58</v>
      </c>
      <c r="J8191">
        <v>3910</v>
      </c>
      <c r="K8191" t="s">
        <v>2542</v>
      </c>
      <c r="L8191">
        <v>0</v>
      </c>
      <c r="N8191" t="s">
        <v>356</v>
      </c>
      <c r="O8191">
        <v>5</v>
      </c>
      <c r="P8191">
        <v>579</v>
      </c>
      <c r="Q8191" t="s">
        <v>2098</v>
      </c>
      <c r="R8191" t="s">
        <v>201</v>
      </c>
      <c r="S8191">
        <v>1</v>
      </c>
      <c r="T8191">
        <v>1</v>
      </c>
      <c r="U8191">
        <v>97488</v>
      </c>
      <c r="V8191">
        <v>97488</v>
      </c>
    </row>
    <row r="8192" spans="1:22">
      <c r="A8192" t="s">
        <v>2333</v>
      </c>
      <c r="B8192">
        <v>91</v>
      </c>
      <c r="C8192" t="s">
        <v>10</v>
      </c>
      <c r="D8192" t="s">
        <v>2515</v>
      </c>
      <c r="E8192" t="s">
        <v>2516</v>
      </c>
      <c r="F8192">
        <v>1005</v>
      </c>
      <c r="G8192" t="s">
        <v>10</v>
      </c>
      <c r="H8192">
        <v>2895</v>
      </c>
      <c r="I8192" t="s">
        <v>58</v>
      </c>
      <c r="J8192">
        <v>3910</v>
      </c>
      <c r="K8192" t="s">
        <v>2542</v>
      </c>
      <c r="L8192">
        <v>0</v>
      </c>
      <c r="N8192" t="s">
        <v>356</v>
      </c>
      <c r="O8192">
        <v>5</v>
      </c>
      <c r="P8192">
        <v>579</v>
      </c>
      <c r="Q8192" t="s">
        <v>2098</v>
      </c>
      <c r="R8192" t="s">
        <v>201</v>
      </c>
      <c r="S8192">
        <v>1</v>
      </c>
      <c r="T8192">
        <v>1</v>
      </c>
      <c r="U8192">
        <v>90144</v>
      </c>
      <c r="V8192">
        <v>90144</v>
      </c>
    </row>
    <row r="8193" spans="1:22">
      <c r="A8193" t="s">
        <v>2333</v>
      </c>
      <c r="B8193">
        <v>91</v>
      </c>
      <c r="C8193" t="s">
        <v>10</v>
      </c>
      <c r="D8193" t="s">
        <v>2515</v>
      </c>
      <c r="E8193" t="s">
        <v>2516</v>
      </c>
      <c r="F8193">
        <v>1005</v>
      </c>
      <c r="G8193" t="s">
        <v>10</v>
      </c>
      <c r="H8193">
        <v>2895</v>
      </c>
      <c r="I8193" t="s">
        <v>58</v>
      </c>
      <c r="J8193">
        <v>3910</v>
      </c>
      <c r="K8193" t="s">
        <v>2542</v>
      </c>
      <c r="L8193">
        <v>0</v>
      </c>
      <c r="N8193" t="s">
        <v>2109</v>
      </c>
      <c r="O8193">
        <v>5</v>
      </c>
      <c r="P8193">
        <v>575</v>
      </c>
      <c r="Q8193" t="s">
        <v>2110</v>
      </c>
      <c r="R8193" t="s">
        <v>713</v>
      </c>
      <c r="S8193">
        <v>3840</v>
      </c>
      <c r="T8193">
        <v>0</v>
      </c>
      <c r="U8193">
        <v>32.299999999999997</v>
      </c>
      <c r="V8193">
        <v>124032</v>
      </c>
    </row>
    <row r="8194" spans="1:22">
      <c r="A8194" t="s">
        <v>2333</v>
      </c>
      <c r="B8194">
        <v>91</v>
      </c>
      <c r="C8194" t="s">
        <v>10</v>
      </c>
      <c r="D8194" t="s">
        <v>2515</v>
      </c>
      <c r="E8194" t="s">
        <v>2516</v>
      </c>
      <c r="F8194">
        <v>1005</v>
      </c>
      <c r="G8194" t="s">
        <v>10</v>
      </c>
      <c r="H8194">
        <v>2895</v>
      </c>
      <c r="I8194" t="s">
        <v>58</v>
      </c>
      <c r="J8194">
        <v>3910</v>
      </c>
      <c r="K8194" t="s">
        <v>2542</v>
      </c>
      <c r="L8194">
        <v>0</v>
      </c>
      <c r="N8194" t="s">
        <v>688</v>
      </c>
      <c r="O8194">
        <v>5</v>
      </c>
      <c r="P8194">
        <v>574</v>
      </c>
      <c r="Q8194" t="s">
        <v>2111</v>
      </c>
      <c r="R8194" t="s">
        <v>201</v>
      </c>
      <c r="S8194">
        <v>2</v>
      </c>
      <c r="T8194">
        <v>1</v>
      </c>
      <c r="U8194">
        <v>118836</v>
      </c>
      <c r="V8194">
        <v>237672</v>
      </c>
    </row>
    <row r="8195" spans="1:22">
      <c r="A8195" t="s">
        <v>2333</v>
      </c>
      <c r="B8195">
        <v>91</v>
      </c>
      <c r="C8195" t="s">
        <v>10</v>
      </c>
      <c r="D8195" t="s">
        <v>2515</v>
      </c>
      <c r="E8195" t="s">
        <v>2516</v>
      </c>
      <c r="F8195">
        <v>1005</v>
      </c>
      <c r="G8195" t="s">
        <v>10</v>
      </c>
      <c r="H8195">
        <v>2895</v>
      </c>
      <c r="I8195" t="s">
        <v>58</v>
      </c>
      <c r="J8195">
        <v>3910</v>
      </c>
      <c r="K8195" t="s">
        <v>2542</v>
      </c>
      <c r="L8195">
        <v>0</v>
      </c>
      <c r="N8195" t="s">
        <v>688</v>
      </c>
      <c r="O8195">
        <v>5</v>
      </c>
      <c r="P8195">
        <v>574</v>
      </c>
      <c r="Q8195" t="s">
        <v>2111</v>
      </c>
      <c r="R8195" t="s">
        <v>201</v>
      </c>
      <c r="S8195">
        <v>1</v>
      </c>
      <c r="T8195">
        <v>1</v>
      </c>
      <c r="U8195">
        <v>88524</v>
      </c>
      <c r="V8195">
        <v>88524</v>
      </c>
    </row>
    <row r="8196" spans="1:22">
      <c r="A8196" t="s">
        <v>2333</v>
      </c>
      <c r="B8196">
        <v>91</v>
      </c>
      <c r="C8196" t="s">
        <v>10</v>
      </c>
      <c r="D8196" t="s">
        <v>2515</v>
      </c>
      <c r="E8196" t="s">
        <v>2516</v>
      </c>
      <c r="F8196">
        <v>1005</v>
      </c>
      <c r="G8196" t="s">
        <v>10</v>
      </c>
      <c r="H8196">
        <v>2895</v>
      </c>
      <c r="I8196" t="s">
        <v>58</v>
      </c>
      <c r="J8196">
        <v>3910</v>
      </c>
      <c r="K8196" t="s">
        <v>2542</v>
      </c>
      <c r="L8196">
        <v>0</v>
      </c>
      <c r="N8196" t="s">
        <v>2109</v>
      </c>
      <c r="O8196">
        <v>5</v>
      </c>
      <c r="P8196">
        <v>573</v>
      </c>
      <c r="Q8196" t="s">
        <v>2112</v>
      </c>
      <c r="R8196" t="s">
        <v>201</v>
      </c>
      <c r="S8196">
        <v>12</v>
      </c>
      <c r="T8196">
        <v>1</v>
      </c>
      <c r="U8196">
        <v>89412</v>
      </c>
      <c r="V8196">
        <v>1072944</v>
      </c>
    </row>
    <row r="8197" spans="1:22">
      <c r="A8197" t="s">
        <v>2333</v>
      </c>
      <c r="B8197">
        <v>91</v>
      </c>
      <c r="C8197" t="s">
        <v>10</v>
      </c>
      <c r="D8197" t="s">
        <v>2515</v>
      </c>
      <c r="E8197" t="s">
        <v>2516</v>
      </c>
      <c r="F8197">
        <v>1005</v>
      </c>
      <c r="G8197" t="s">
        <v>10</v>
      </c>
      <c r="H8197">
        <v>2895</v>
      </c>
      <c r="I8197" t="s">
        <v>58</v>
      </c>
      <c r="J8197">
        <v>3910</v>
      </c>
      <c r="K8197" t="s">
        <v>2542</v>
      </c>
      <c r="L8197">
        <v>0</v>
      </c>
      <c r="N8197" t="s">
        <v>2109</v>
      </c>
      <c r="O8197">
        <v>5</v>
      </c>
      <c r="P8197">
        <v>573</v>
      </c>
      <c r="Q8197" t="s">
        <v>2112</v>
      </c>
      <c r="R8197" t="s">
        <v>201</v>
      </c>
      <c r="S8197">
        <v>6</v>
      </c>
      <c r="T8197">
        <v>1</v>
      </c>
      <c r="U8197">
        <v>69396</v>
      </c>
      <c r="V8197">
        <v>416376</v>
      </c>
    </row>
    <row r="8198" spans="1:22">
      <c r="A8198" t="s">
        <v>2333</v>
      </c>
      <c r="B8198">
        <v>91</v>
      </c>
      <c r="C8198" t="s">
        <v>10</v>
      </c>
      <c r="D8198" t="s">
        <v>2515</v>
      </c>
      <c r="E8198" t="s">
        <v>2516</v>
      </c>
      <c r="F8198">
        <v>1005</v>
      </c>
      <c r="G8198" t="s">
        <v>10</v>
      </c>
      <c r="H8198">
        <v>2895</v>
      </c>
      <c r="I8198" t="s">
        <v>58</v>
      </c>
      <c r="J8198">
        <v>3910</v>
      </c>
      <c r="K8198" t="s">
        <v>2542</v>
      </c>
      <c r="L8198">
        <v>0</v>
      </c>
      <c r="N8198" t="s">
        <v>2109</v>
      </c>
      <c r="O8198">
        <v>5</v>
      </c>
      <c r="P8198">
        <v>573</v>
      </c>
      <c r="Q8198" t="s">
        <v>2112</v>
      </c>
      <c r="R8198" t="s">
        <v>201</v>
      </c>
      <c r="S8198">
        <v>1</v>
      </c>
      <c r="T8198">
        <v>1</v>
      </c>
      <c r="U8198">
        <v>65928</v>
      </c>
      <c r="V8198">
        <v>65928</v>
      </c>
    </row>
    <row r="8199" spans="1:22">
      <c r="A8199" t="s">
        <v>2333</v>
      </c>
      <c r="B8199">
        <v>91</v>
      </c>
      <c r="C8199" t="s">
        <v>10</v>
      </c>
      <c r="D8199" t="s">
        <v>2515</v>
      </c>
      <c r="E8199" t="s">
        <v>2516</v>
      </c>
      <c r="F8199">
        <v>1005</v>
      </c>
      <c r="G8199" t="s">
        <v>10</v>
      </c>
      <c r="H8199">
        <v>2895</v>
      </c>
      <c r="I8199" t="s">
        <v>58</v>
      </c>
      <c r="J8199">
        <v>3910</v>
      </c>
      <c r="K8199" t="s">
        <v>2542</v>
      </c>
      <c r="L8199">
        <v>0</v>
      </c>
      <c r="N8199" t="s">
        <v>2109</v>
      </c>
      <c r="O8199">
        <v>5</v>
      </c>
      <c r="P8199">
        <v>573</v>
      </c>
      <c r="Q8199" t="s">
        <v>2112</v>
      </c>
      <c r="R8199" t="s">
        <v>201</v>
      </c>
      <c r="S8199">
        <v>4</v>
      </c>
      <c r="T8199">
        <v>1</v>
      </c>
      <c r="U8199">
        <v>62976</v>
      </c>
      <c r="V8199">
        <v>251904</v>
      </c>
    </row>
    <row r="8200" spans="1:22">
      <c r="A8200" t="s">
        <v>2333</v>
      </c>
      <c r="B8200">
        <v>91</v>
      </c>
      <c r="C8200" t="s">
        <v>10</v>
      </c>
      <c r="D8200" t="s">
        <v>2515</v>
      </c>
      <c r="E8200" t="s">
        <v>2516</v>
      </c>
      <c r="F8200">
        <v>1005</v>
      </c>
      <c r="G8200" t="s">
        <v>10</v>
      </c>
      <c r="H8200">
        <v>2895</v>
      </c>
      <c r="I8200" t="s">
        <v>58</v>
      </c>
      <c r="J8200">
        <v>3910</v>
      </c>
      <c r="K8200" t="s">
        <v>2542</v>
      </c>
      <c r="L8200">
        <v>0</v>
      </c>
      <c r="N8200" t="s">
        <v>2109</v>
      </c>
      <c r="O8200">
        <v>5</v>
      </c>
      <c r="P8200">
        <v>573</v>
      </c>
      <c r="Q8200" t="s">
        <v>2112</v>
      </c>
      <c r="R8200" t="s">
        <v>201</v>
      </c>
      <c r="S8200">
        <v>1</v>
      </c>
      <c r="T8200">
        <v>1</v>
      </c>
      <c r="U8200">
        <v>61092</v>
      </c>
      <c r="V8200">
        <v>61092</v>
      </c>
    </row>
    <row r="8201" spans="1:22">
      <c r="A8201" t="s">
        <v>2333</v>
      </c>
      <c r="B8201">
        <v>91</v>
      </c>
      <c r="C8201" t="s">
        <v>10</v>
      </c>
      <c r="D8201" t="s">
        <v>2515</v>
      </c>
      <c r="E8201" t="s">
        <v>2516</v>
      </c>
      <c r="F8201">
        <v>1005</v>
      </c>
      <c r="G8201" t="s">
        <v>10</v>
      </c>
      <c r="H8201">
        <v>2895</v>
      </c>
      <c r="I8201" t="s">
        <v>58</v>
      </c>
      <c r="J8201">
        <v>3910</v>
      </c>
      <c r="K8201" t="s">
        <v>2542</v>
      </c>
      <c r="L8201">
        <v>0</v>
      </c>
      <c r="N8201" t="s">
        <v>702</v>
      </c>
      <c r="O8201">
        <v>5</v>
      </c>
      <c r="P8201">
        <v>507</v>
      </c>
      <c r="Q8201" t="s">
        <v>2114</v>
      </c>
      <c r="R8201" t="s">
        <v>201</v>
      </c>
      <c r="S8201">
        <v>2</v>
      </c>
      <c r="T8201">
        <v>1</v>
      </c>
      <c r="U8201">
        <v>108708</v>
      </c>
      <c r="V8201">
        <v>217416</v>
      </c>
    </row>
    <row r="8202" spans="1:22">
      <c r="A8202" t="s">
        <v>2333</v>
      </c>
      <c r="B8202">
        <v>91</v>
      </c>
      <c r="C8202" t="s">
        <v>10</v>
      </c>
      <c r="D8202" t="s">
        <v>2515</v>
      </c>
      <c r="E8202" t="s">
        <v>2516</v>
      </c>
      <c r="F8202">
        <v>1005</v>
      </c>
      <c r="G8202" t="s">
        <v>10</v>
      </c>
      <c r="H8202">
        <v>2895</v>
      </c>
      <c r="I8202" t="s">
        <v>58</v>
      </c>
      <c r="J8202">
        <v>3910</v>
      </c>
      <c r="K8202" t="s">
        <v>2542</v>
      </c>
      <c r="L8202">
        <v>0</v>
      </c>
      <c r="N8202" t="s">
        <v>702</v>
      </c>
      <c r="O8202">
        <v>5</v>
      </c>
      <c r="P8202">
        <v>507</v>
      </c>
      <c r="Q8202" t="s">
        <v>2114</v>
      </c>
      <c r="R8202" t="s">
        <v>201</v>
      </c>
      <c r="S8202">
        <v>1</v>
      </c>
      <c r="T8202">
        <v>1</v>
      </c>
      <c r="U8202">
        <v>84192</v>
      </c>
      <c r="V8202">
        <v>84192</v>
      </c>
    </row>
    <row r="8203" spans="1:22">
      <c r="A8203" t="s">
        <v>2333</v>
      </c>
      <c r="B8203">
        <v>91</v>
      </c>
      <c r="C8203" t="s">
        <v>10</v>
      </c>
      <c r="D8203" t="s">
        <v>2515</v>
      </c>
      <c r="E8203" t="s">
        <v>2516</v>
      </c>
      <c r="F8203">
        <v>1005</v>
      </c>
      <c r="G8203" t="s">
        <v>10</v>
      </c>
      <c r="H8203">
        <v>2895</v>
      </c>
      <c r="I8203" t="s">
        <v>58</v>
      </c>
      <c r="J8203">
        <v>3910</v>
      </c>
      <c r="K8203" t="s">
        <v>2542</v>
      </c>
      <c r="L8203">
        <v>0</v>
      </c>
      <c r="N8203" t="s">
        <v>702</v>
      </c>
      <c r="O8203">
        <v>5</v>
      </c>
      <c r="P8203">
        <v>507</v>
      </c>
      <c r="Q8203" t="s">
        <v>2114</v>
      </c>
      <c r="R8203" t="s">
        <v>201</v>
      </c>
      <c r="S8203">
        <v>1</v>
      </c>
      <c r="T8203">
        <v>1</v>
      </c>
      <c r="U8203">
        <v>74160</v>
      </c>
      <c r="V8203">
        <v>74160</v>
      </c>
    </row>
    <row r="8204" spans="1:22">
      <c r="A8204" t="s">
        <v>2333</v>
      </c>
      <c r="B8204">
        <v>91</v>
      </c>
      <c r="C8204" t="s">
        <v>10</v>
      </c>
      <c r="D8204" t="s">
        <v>2515</v>
      </c>
      <c r="E8204" t="s">
        <v>2516</v>
      </c>
      <c r="F8204">
        <v>1005</v>
      </c>
      <c r="G8204" t="s">
        <v>10</v>
      </c>
      <c r="H8204">
        <v>2895</v>
      </c>
      <c r="I8204" t="s">
        <v>58</v>
      </c>
      <c r="J8204">
        <v>3910</v>
      </c>
      <c r="K8204" t="s">
        <v>2542</v>
      </c>
      <c r="L8204">
        <v>0</v>
      </c>
      <c r="N8204" t="s">
        <v>702</v>
      </c>
      <c r="O8204">
        <v>5</v>
      </c>
      <c r="P8204">
        <v>506</v>
      </c>
      <c r="Q8204" t="s">
        <v>2115</v>
      </c>
      <c r="R8204" t="s">
        <v>201</v>
      </c>
      <c r="S8204">
        <v>1</v>
      </c>
      <c r="T8204">
        <v>1</v>
      </c>
      <c r="U8204">
        <v>108708</v>
      </c>
      <c r="V8204">
        <v>108708</v>
      </c>
    </row>
    <row r="8205" spans="1:22">
      <c r="A8205" t="s">
        <v>2333</v>
      </c>
      <c r="B8205">
        <v>91</v>
      </c>
      <c r="C8205" t="s">
        <v>10</v>
      </c>
      <c r="D8205" t="s">
        <v>2515</v>
      </c>
      <c r="E8205" t="s">
        <v>2516</v>
      </c>
      <c r="F8205">
        <v>1005</v>
      </c>
      <c r="G8205" t="s">
        <v>10</v>
      </c>
      <c r="H8205">
        <v>2895</v>
      </c>
      <c r="I8205" t="s">
        <v>58</v>
      </c>
      <c r="J8205">
        <v>3910</v>
      </c>
      <c r="K8205" t="s">
        <v>2542</v>
      </c>
      <c r="L8205">
        <v>0</v>
      </c>
      <c r="N8205" t="s">
        <v>702</v>
      </c>
      <c r="O8205">
        <v>5</v>
      </c>
      <c r="P8205">
        <v>506</v>
      </c>
      <c r="Q8205" t="s">
        <v>2115</v>
      </c>
      <c r="R8205" t="s">
        <v>201</v>
      </c>
      <c r="S8205">
        <v>1</v>
      </c>
      <c r="T8205">
        <v>1</v>
      </c>
      <c r="U8205">
        <v>76464</v>
      </c>
      <c r="V8205">
        <v>76464</v>
      </c>
    </row>
    <row r="8206" spans="1:22">
      <c r="A8206" t="s">
        <v>2333</v>
      </c>
      <c r="B8206">
        <v>91</v>
      </c>
      <c r="C8206" t="s">
        <v>10</v>
      </c>
      <c r="D8206" t="s">
        <v>2515</v>
      </c>
      <c r="E8206" t="s">
        <v>2516</v>
      </c>
      <c r="F8206">
        <v>1005</v>
      </c>
      <c r="G8206" t="s">
        <v>10</v>
      </c>
      <c r="H8206">
        <v>2895</v>
      </c>
      <c r="I8206" t="s">
        <v>58</v>
      </c>
      <c r="J8206">
        <v>3910</v>
      </c>
      <c r="K8206" t="s">
        <v>2542</v>
      </c>
      <c r="L8206">
        <v>0</v>
      </c>
      <c r="N8206" t="s">
        <v>633</v>
      </c>
      <c r="O8206">
        <v>5</v>
      </c>
      <c r="P8206">
        <v>502</v>
      </c>
      <c r="Q8206" t="s">
        <v>634</v>
      </c>
      <c r="R8206" t="s">
        <v>201</v>
      </c>
      <c r="S8206">
        <v>1</v>
      </c>
      <c r="T8206">
        <v>1</v>
      </c>
      <c r="U8206">
        <v>67284</v>
      </c>
      <c r="V8206">
        <v>67284</v>
      </c>
    </row>
    <row r="8207" spans="1:22">
      <c r="A8207" t="s">
        <v>2333</v>
      </c>
      <c r="B8207">
        <v>91</v>
      </c>
      <c r="C8207" t="s">
        <v>10</v>
      </c>
      <c r="D8207" t="s">
        <v>2515</v>
      </c>
      <c r="E8207" t="s">
        <v>2516</v>
      </c>
      <c r="F8207">
        <v>1005</v>
      </c>
      <c r="G8207" t="s">
        <v>10</v>
      </c>
      <c r="H8207">
        <v>2895</v>
      </c>
      <c r="I8207" t="s">
        <v>58</v>
      </c>
      <c r="J8207">
        <v>3910</v>
      </c>
      <c r="K8207" t="s">
        <v>2542</v>
      </c>
      <c r="L8207">
        <v>0</v>
      </c>
      <c r="N8207" t="s">
        <v>633</v>
      </c>
      <c r="O8207">
        <v>5</v>
      </c>
      <c r="P8207">
        <v>501</v>
      </c>
      <c r="Q8207" t="s">
        <v>2117</v>
      </c>
      <c r="R8207" t="s">
        <v>201</v>
      </c>
      <c r="S8207">
        <v>5</v>
      </c>
      <c r="T8207">
        <v>1</v>
      </c>
      <c r="U8207">
        <v>98460</v>
      </c>
      <c r="V8207">
        <v>492300</v>
      </c>
    </row>
    <row r="8208" spans="1:22">
      <c r="A8208" t="s">
        <v>2333</v>
      </c>
      <c r="B8208">
        <v>91</v>
      </c>
      <c r="C8208" t="s">
        <v>10</v>
      </c>
      <c r="D8208" t="s">
        <v>2515</v>
      </c>
      <c r="E8208" t="s">
        <v>2516</v>
      </c>
      <c r="F8208">
        <v>1005</v>
      </c>
      <c r="G8208" t="s">
        <v>10</v>
      </c>
      <c r="H8208">
        <v>2895</v>
      </c>
      <c r="I8208" t="s">
        <v>58</v>
      </c>
      <c r="J8208">
        <v>3910</v>
      </c>
      <c r="K8208" t="s">
        <v>2542</v>
      </c>
      <c r="L8208">
        <v>0</v>
      </c>
      <c r="N8208" t="s">
        <v>633</v>
      </c>
      <c r="O8208">
        <v>5</v>
      </c>
      <c r="P8208">
        <v>501</v>
      </c>
      <c r="Q8208" t="s">
        <v>2117</v>
      </c>
      <c r="R8208" t="s">
        <v>201</v>
      </c>
      <c r="S8208">
        <v>3</v>
      </c>
      <c r="T8208">
        <v>1</v>
      </c>
      <c r="U8208">
        <v>72684</v>
      </c>
      <c r="V8208">
        <v>218052</v>
      </c>
    </row>
    <row r="8209" spans="1:22">
      <c r="A8209" t="s">
        <v>2333</v>
      </c>
      <c r="B8209">
        <v>91</v>
      </c>
      <c r="C8209" t="s">
        <v>10</v>
      </c>
      <c r="D8209" t="s">
        <v>2515</v>
      </c>
      <c r="E8209" t="s">
        <v>2516</v>
      </c>
      <c r="F8209">
        <v>1005</v>
      </c>
      <c r="G8209" t="s">
        <v>10</v>
      </c>
      <c r="H8209">
        <v>2895</v>
      </c>
      <c r="I8209" t="s">
        <v>58</v>
      </c>
      <c r="J8209">
        <v>3910</v>
      </c>
      <c r="K8209" t="s">
        <v>2542</v>
      </c>
      <c r="L8209">
        <v>0</v>
      </c>
      <c r="N8209" t="s">
        <v>633</v>
      </c>
      <c r="O8209">
        <v>5</v>
      </c>
      <c r="P8209">
        <v>501</v>
      </c>
      <c r="Q8209" t="s">
        <v>2117</v>
      </c>
      <c r="R8209" t="s">
        <v>201</v>
      </c>
      <c r="S8209">
        <v>1</v>
      </c>
      <c r="T8209">
        <v>1</v>
      </c>
      <c r="U8209">
        <v>67284</v>
      </c>
      <c r="V8209">
        <v>67284</v>
      </c>
    </row>
    <row r="8210" spans="1:22">
      <c r="A8210" t="s">
        <v>2333</v>
      </c>
      <c r="B8210">
        <v>91</v>
      </c>
      <c r="C8210" t="s">
        <v>10</v>
      </c>
      <c r="D8210" t="s">
        <v>2515</v>
      </c>
      <c r="E8210" t="s">
        <v>2516</v>
      </c>
      <c r="F8210">
        <v>1005</v>
      </c>
      <c r="G8210" t="s">
        <v>10</v>
      </c>
      <c r="H8210">
        <v>2895</v>
      </c>
      <c r="I8210" t="s">
        <v>58</v>
      </c>
      <c r="J8210">
        <v>3910</v>
      </c>
      <c r="K8210" t="s">
        <v>2542</v>
      </c>
      <c r="L8210">
        <v>0</v>
      </c>
      <c r="N8210" t="s">
        <v>809</v>
      </c>
      <c r="O8210">
        <v>1</v>
      </c>
      <c r="P8210">
        <v>460</v>
      </c>
      <c r="Q8210" t="s">
        <v>810</v>
      </c>
      <c r="R8210" t="s">
        <v>201</v>
      </c>
      <c r="S8210">
        <v>1</v>
      </c>
      <c r="T8210">
        <v>1</v>
      </c>
      <c r="U8210">
        <v>78432</v>
      </c>
      <c r="V8210">
        <v>78432</v>
      </c>
    </row>
    <row r="8211" spans="1:22">
      <c r="A8211" t="s">
        <v>2333</v>
      </c>
      <c r="B8211">
        <v>91</v>
      </c>
      <c r="C8211" t="s">
        <v>10</v>
      </c>
      <c r="D8211" t="s">
        <v>2515</v>
      </c>
      <c r="E8211" t="s">
        <v>2516</v>
      </c>
      <c r="F8211">
        <v>1005</v>
      </c>
      <c r="G8211" t="s">
        <v>10</v>
      </c>
      <c r="H8211">
        <v>2895</v>
      </c>
      <c r="I8211" t="s">
        <v>58</v>
      </c>
      <c r="J8211">
        <v>3910</v>
      </c>
      <c r="K8211" t="s">
        <v>2542</v>
      </c>
      <c r="L8211">
        <v>0</v>
      </c>
      <c r="N8211" t="s">
        <v>622</v>
      </c>
      <c r="O8211">
        <v>1</v>
      </c>
      <c r="P8211">
        <v>449</v>
      </c>
      <c r="Q8211" t="s">
        <v>2118</v>
      </c>
      <c r="R8211" t="s">
        <v>201</v>
      </c>
      <c r="S8211">
        <v>2</v>
      </c>
      <c r="T8211">
        <v>1</v>
      </c>
      <c r="U8211">
        <v>90144</v>
      </c>
      <c r="V8211">
        <v>180288</v>
      </c>
    </row>
    <row r="8212" spans="1:22">
      <c r="A8212" t="s">
        <v>2333</v>
      </c>
      <c r="B8212">
        <v>91</v>
      </c>
      <c r="C8212" t="s">
        <v>10</v>
      </c>
      <c r="D8212" t="s">
        <v>2515</v>
      </c>
      <c r="E8212" t="s">
        <v>2516</v>
      </c>
      <c r="F8212">
        <v>1005</v>
      </c>
      <c r="G8212" t="s">
        <v>10</v>
      </c>
      <c r="H8212">
        <v>2895</v>
      </c>
      <c r="I8212" t="s">
        <v>58</v>
      </c>
      <c r="J8212">
        <v>3910</v>
      </c>
      <c r="K8212" t="s">
        <v>2542</v>
      </c>
      <c r="L8212">
        <v>0</v>
      </c>
      <c r="N8212" t="s">
        <v>622</v>
      </c>
      <c r="O8212">
        <v>1</v>
      </c>
      <c r="P8212">
        <v>449</v>
      </c>
      <c r="Q8212" t="s">
        <v>2118</v>
      </c>
      <c r="R8212" t="s">
        <v>201</v>
      </c>
      <c r="S8212">
        <v>3</v>
      </c>
      <c r="T8212">
        <v>1</v>
      </c>
      <c r="U8212">
        <v>74916</v>
      </c>
      <c r="V8212">
        <v>224748</v>
      </c>
    </row>
    <row r="8213" spans="1:22">
      <c r="A8213" t="s">
        <v>2333</v>
      </c>
      <c r="B8213">
        <v>91</v>
      </c>
      <c r="C8213" t="s">
        <v>10</v>
      </c>
      <c r="D8213" t="s">
        <v>2515</v>
      </c>
      <c r="E8213" t="s">
        <v>2516</v>
      </c>
      <c r="F8213">
        <v>1005</v>
      </c>
      <c r="G8213" t="s">
        <v>10</v>
      </c>
      <c r="H8213">
        <v>2895</v>
      </c>
      <c r="I8213" t="s">
        <v>58</v>
      </c>
      <c r="J8213">
        <v>3910</v>
      </c>
      <c r="K8213" t="s">
        <v>2542</v>
      </c>
      <c r="L8213">
        <v>0</v>
      </c>
      <c r="N8213" t="s">
        <v>622</v>
      </c>
      <c r="O8213">
        <v>1</v>
      </c>
      <c r="P8213">
        <v>449</v>
      </c>
      <c r="Q8213" t="s">
        <v>2118</v>
      </c>
      <c r="R8213" t="s">
        <v>201</v>
      </c>
      <c r="S8213">
        <v>1</v>
      </c>
      <c r="T8213">
        <v>1</v>
      </c>
      <c r="U8213">
        <v>71436</v>
      </c>
      <c r="V8213">
        <v>71436</v>
      </c>
    </row>
    <row r="8214" spans="1:22">
      <c r="A8214" t="s">
        <v>2333</v>
      </c>
      <c r="B8214">
        <v>91</v>
      </c>
      <c r="C8214" t="s">
        <v>10</v>
      </c>
      <c r="D8214" t="s">
        <v>2515</v>
      </c>
      <c r="E8214" t="s">
        <v>2516</v>
      </c>
      <c r="F8214">
        <v>1005</v>
      </c>
      <c r="G8214" t="s">
        <v>10</v>
      </c>
      <c r="H8214">
        <v>2895</v>
      </c>
      <c r="I8214" t="s">
        <v>58</v>
      </c>
      <c r="J8214">
        <v>3910</v>
      </c>
      <c r="K8214" t="s">
        <v>2542</v>
      </c>
      <c r="L8214">
        <v>0</v>
      </c>
      <c r="N8214" t="s">
        <v>1007</v>
      </c>
      <c r="O8214">
        <v>1</v>
      </c>
      <c r="P8214">
        <v>447</v>
      </c>
      <c r="Q8214" t="s">
        <v>2103</v>
      </c>
      <c r="R8214" t="s">
        <v>201</v>
      </c>
      <c r="S8214">
        <v>5</v>
      </c>
      <c r="T8214">
        <v>1</v>
      </c>
      <c r="U8214">
        <v>74916</v>
      </c>
      <c r="V8214">
        <v>374580</v>
      </c>
    </row>
    <row r="8215" spans="1:22">
      <c r="A8215" t="s">
        <v>2333</v>
      </c>
      <c r="B8215">
        <v>91</v>
      </c>
      <c r="C8215" t="s">
        <v>10</v>
      </c>
      <c r="D8215" t="s">
        <v>2515</v>
      </c>
      <c r="E8215" t="s">
        <v>2516</v>
      </c>
      <c r="F8215">
        <v>1005</v>
      </c>
      <c r="G8215" t="s">
        <v>10</v>
      </c>
      <c r="H8215">
        <v>2895</v>
      </c>
      <c r="I8215" t="s">
        <v>58</v>
      </c>
      <c r="J8215">
        <v>3910</v>
      </c>
      <c r="K8215" t="s">
        <v>2542</v>
      </c>
      <c r="L8215">
        <v>0</v>
      </c>
      <c r="N8215" t="s">
        <v>1007</v>
      </c>
      <c r="O8215">
        <v>1</v>
      </c>
      <c r="P8215">
        <v>447</v>
      </c>
      <c r="Q8215" t="s">
        <v>2103</v>
      </c>
      <c r="R8215" t="s">
        <v>201</v>
      </c>
      <c r="S8215">
        <v>1</v>
      </c>
      <c r="T8215">
        <v>1</v>
      </c>
      <c r="U8215">
        <v>43164</v>
      </c>
      <c r="V8215">
        <v>43164</v>
      </c>
    </row>
    <row r="8216" spans="1:22">
      <c r="A8216" t="s">
        <v>2333</v>
      </c>
      <c r="B8216">
        <v>91</v>
      </c>
      <c r="C8216" t="s">
        <v>10</v>
      </c>
      <c r="D8216" t="s">
        <v>2515</v>
      </c>
      <c r="E8216" t="s">
        <v>2516</v>
      </c>
      <c r="F8216">
        <v>1005</v>
      </c>
      <c r="G8216" t="s">
        <v>10</v>
      </c>
      <c r="H8216">
        <v>2895</v>
      </c>
      <c r="I8216" t="s">
        <v>58</v>
      </c>
      <c r="J8216">
        <v>3910</v>
      </c>
      <c r="K8216" t="s">
        <v>2542</v>
      </c>
      <c r="L8216">
        <v>0</v>
      </c>
      <c r="N8216" t="s">
        <v>351</v>
      </c>
      <c r="O8216">
        <v>1</v>
      </c>
      <c r="P8216" t="s">
        <v>352</v>
      </c>
      <c r="Q8216" t="s">
        <v>353</v>
      </c>
      <c r="R8216" t="s">
        <v>201</v>
      </c>
      <c r="S8216">
        <v>1</v>
      </c>
      <c r="T8216">
        <v>1</v>
      </c>
      <c r="U8216">
        <v>64488</v>
      </c>
      <c r="V8216">
        <v>64488</v>
      </c>
    </row>
    <row r="8217" spans="1:22">
      <c r="A8217" t="s">
        <v>2333</v>
      </c>
      <c r="B8217">
        <v>91</v>
      </c>
      <c r="C8217" t="s">
        <v>10</v>
      </c>
      <c r="D8217" t="s">
        <v>2515</v>
      </c>
      <c r="E8217" t="s">
        <v>2516</v>
      </c>
      <c r="F8217">
        <v>1005</v>
      </c>
      <c r="G8217" t="s">
        <v>10</v>
      </c>
      <c r="H8217">
        <v>2895</v>
      </c>
      <c r="I8217" t="s">
        <v>58</v>
      </c>
      <c r="J8217">
        <v>3910</v>
      </c>
      <c r="K8217" t="s">
        <v>2542</v>
      </c>
      <c r="L8217">
        <v>0</v>
      </c>
      <c r="N8217" t="s">
        <v>199</v>
      </c>
      <c r="O8217">
        <v>0</v>
      </c>
      <c r="P8217">
        <v>44</v>
      </c>
      <c r="Q8217" t="s">
        <v>2337</v>
      </c>
      <c r="R8217" t="s">
        <v>201</v>
      </c>
      <c r="S8217">
        <v>0</v>
      </c>
      <c r="T8217">
        <v>0</v>
      </c>
      <c r="U8217">
        <v>3198066</v>
      </c>
      <c r="V8217">
        <v>3198066</v>
      </c>
    </row>
    <row r="8218" spans="1:22">
      <c r="A8218" t="s">
        <v>2333</v>
      </c>
      <c r="B8218">
        <v>91</v>
      </c>
      <c r="C8218" t="s">
        <v>10</v>
      </c>
      <c r="D8218" t="s">
        <v>2515</v>
      </c>
      <c r="E8218" t="s">
        <v>2516</v>
      </c>
      <c r="F8218">
        <v>1005</v>
      </c>
      <c r="G8218" t="s">
        <v>10</v>
      </c>
      <c r="H8218">
        <v>2895</v>
      </c>
      <c r="I8218" t="s">
        <v>58</v>
      </c>
      <c r="J8218">
        <v>3910</v>
      </c>
      <c r="K8218" t="s">
        <v>2542</v>
      </c>
      <c r="L8218">
        <v>0</v>
      </c>
      <c r="N8218" t="s">
        <v>199</v>
      </c>
      <c r="O8218">
        <v>0</v>
      </c>
      <c r="P8218">
        <v>15</v>
      </c>
      <c r="Q8218" t="s">
        <v>264</v>
      </c>
      <c r="R8218" t="s">
        <v>201</v>
      </c>
      <c r="S8218">
        <v>0</v>
      </c>
      <c r="T8218">
        <v>0</v>
      </c>
      <c r="U8218">
        <v>27806</v>
      </c>
      <c r="V8218">
        <v>27806</v>
      </c>
    </row>
    <row r="8219" spans="1:22">
      <c r="A8219" t="s">
        <v>2333</v>
      </c>
      <c r="B8219">
        <v>91</v>
      </c>
      <c r="C8219" t="s">
        <v>10</v>
      </c>
      <c r="D8219" t="s">
        <v>2515</v>
      </c>
      <c r="E8219" t="s">
        <v>2516</v>
      </c>
      <c r="F8219">
        <v>1005</v>
      </c>
      <c r="G8219" t="s">
        <v>10</v>
      </c>
      <c r="H8219">
        <v>2895</v>
      </c>
      <c r="I8219" t="s">
        <v>58</v>
      </c>
      <c r="J8219">
        <v>3915</v>
      </c>
      <c r="K8219" t="s">
        <v>2543</v>
      </c>
      <c r="L8219">
        <v>0</v>
      </c>
      <c r="N8219" t="s">
        <v>1007</v>
      </c>
      <c r="O8219">
        <v>1</v>
      </c>
      <c r="P8219">
        <v>445</v>
      </c>
      <c r="Q8219" t="s">
        <v>2120</v>
      </c>
      <c r="R8219" t="s">
        <v>201</v>
      </c>
      <c r="S8219">
        <v>1</v>
      </c>
      <c r="T8219">
        <v>1</v>
      </c>
      <c r="U8219">
        <v>44496</v>
      </c>
      <c r="V8219">
        <v>44496</v>
      </c>
    </row>
    <row r="8220" spans="1:22">
      <c r="A8220" t="s">
        <v>2333</v>
      </c>
      <c r="B8220">
        <v>91</v>
      </c>
      <c r="C8220" t="s">
        <v>10</v>
      </c>
      <c r="D8220" t="s">
        <v>2515</v>
      </c>
      <c r="E8220" t="s">
        <v>2516</v>
      </c>
      <c r="F8220">
        <v>1005</v>
      </c>
      <c r="G8220" t="s">
        <v>10</v>
      </c>
      <c r="H8220">
        <v>2895</v>
      </c>
      <c r="I8220" t="s">
        <v>58</v>
      </c>
      <c r="J8220">
        <v>3915</v>
      </c>
      <c r="K8220" t="s">
        <v>2543</v>
      </c>
      <c r="L8220">
        <v>0</v>
      </c>
      <c r="N8220" t="s">
        <v>1007</v>
      </c>
      <c r="O8220">
        <v>1</v>
      </c>
      <c r="P8220">
        <v>445</v>
      </c>
      <c r="Q8220" t="s">
        <v>2120</v>
      </c>
      <c r="R8220" t="s">
        <v>201</v>
      </c>
      <c r="S8220">
        <v>2</v>
      </c>
      <c r="T8220">
        <v>1</v>
      </c>
      <c r="U8220">
        <v>43164</v>
      </c>
      <c r="V8220">
        <v>86328</v>
      </c>
    </row>
    <row r="8221" spans="1:22">
      <c r="A8221" t="s">
        <v>2333</v>
      </c>
      <c r="B8221">
        <v>91</v>
      </c>
      <c r="C8221" t="s">
        <v>10</v>
      </c>
      <c r="D8221" t="s">
        <v>2515</v>
      </c>
      <c r="E8221" t="s">
        <v>2516</v>
      </c>
      <c r="F8221">
        <v>1005</v>
      </c>
      <c r="G8221" t="s">
        <v>10</v>
      </c>
      <c r="H8221">
        <v>2895</v>
      </c>
      <c r="I8221" t="s">
        <v>58</v>
      </c>
      <c r="J8221">
        <v>3915</v>
      </c>
      <c r="K8221" t="s">
        <v>2543</v>
      </c>
      <c r="L8221">
        <v>0</v>
      </c>
      <c r="N8221" t="s">
        <v>351</v>
      </c>
      <c r="O8221">
        <v>1</v>
      </c>
      <c r="P8221" t="s">
        <v>352</v>
      </c>
      <c r="Q8221" t="s">
        <v>353</v>
      </c>
      <c r="R8221" t="s">
        <v>201</v>
      </c>
      <c r="S8221">
        <v>1</v>
      </c>
      <c r="T8221">
        <v>1</v>
      </c>
      <c r="U8221">
        <v>62544</v>
      </c>
      <c r="V8221">
        <v>62544</v>
      </c>
    </row>
    <row r="8222" spans="1:22">
      <c r="A8222" t="s">
        <v>2333</v>
      </c>
      <c r="B8222">
        <v>91</v>
      </c>
      <c r="C8222" t="s">
        <v>10</v>
      </c>
      <c r="D8222" t="s">
        <v>2515</v>
      </c>
      <c r="E8222" t="s">
        <v>2516</v>
      </c>
      <c r="F8222">
        <v>1005</v>
      </c>
      <c r="G8222" t="s">
        <v>10</v>
      </c>
      <c r="H8222">
        <v>2895</v>
      </c>
      <c r="I8222" t="s">
        <v>58</v>
      </c>
      <c r="J8222">
        <v>3915</v>
      </c>
      <c r="K8222" t="s">
        <v>2543</v>
      </c>
      <c r="L8222">
        <v>0</v>
      </c>
      <c r="N8222" t="s">
        <v>341</v>
      </c>
      <c r="O8222">
        <v>1</v>
      </c>
      <c r="P8222">
        <v>308</v>
      </c>
      <c r="Q8222" t="s">
        <v>355</v>
      </c>
      <c r="R8222" t="s">
        <v>201</v>
      </c>
      <c r="S8222">
        <v>1</v>
      </c>
      <c r="T8222">
        <v>1</v>
      </c>
      <c r="U8222">
        <v>119100</v>
      </c>
      <c r="V8222">
        <v>119100</v>
      </c>
    </row>
    <row r="8223" spans="1:22">
      <c r="A8223" t="s">
        <v>2333</v>
      </c>
      <c r="B8223">
        <v>91</v>
      </c>
      <c r="C8223" t="s">
        <v>10</v>
      </c>
      <c r="D8223" t="s">
        <v>2515</v>
      </c>
      <c r="E8223" t="s">
        <v>2516</v>
      </c>
      <c r="F8223">
        <v>1005</v>
      </c>
      <c r="G8223" t="s">
        <v>10</v>
      </c>
      <c r="H8223">
        <v>2895</v>
      </c>
      <c r="I8223" t="s">
        <v>58</v>
      </c>
      <c r="J8223">
        <v>3915</v>
      </c>
      <c r="K8223" t="s">
        <v>2543</v>
      </c>
      <c r="L8223">
        <v>0</v>
      </c>
      <c r="N8223" t="s">
        <v>199</v>
      </c>
      <c r="O8223">
        <v>0</v>
      </c>
      <c r="P8223">
        <v>44</v>
      </c>
      <c r="Q8223" t="s">
        <v>2337</v>
      </c>
      <c r="R8223" t="s">
        <v>201</v>
      </c>
      <c r="S8223">
        <v>0</v>
      </c>
      <c r="T8223">
        <v>0</v>
      </c>
      <c r="U8223">
        <v>174857</v>
      </c>
      <c r="V8223">
        <v>174857</v>
      </c>
    </row>
    <row r="8224" spans="1:22">
      <c r="A8224" t="s">
        <v>2333</v>
      </c>
      <c r="B8224">
        <v>91</v>
      </c>
      <c r="C8224" t="s">
        <v>10</v>
      </c>
      <c r="D8224" t="s">
        <v>2515</v>
      </c>
      <c r="E8224" t="s">
        <v>2516</v>
      </c>
      <c r="F8224">
        <v>1005</v>
      </c>
      <c r="G8224" t="s">
        <v>10</v>
      </c>
      <c r="H8224">
        <v>2895</v>
      </c>
      <c r="I8224" t="s">
        <v>58</v>
      </c>
      <c r="J8224">
        <v>3915</v>
      </c>
      <c r="K8224" t="s">
        <v>2543</v>
      </c>
      <c r="L8224">
        <v>0</v>
      </c>
      <c r="N8224" t="s">
        <v>199</v>
      </c>
      <c r="O8224">
        <v>0</v>
      </c>
      <c r="P8224">
        <v>15</v>
      </c>
      <c r="Q8224" t="s">
        <v>264</v>
      </c>
      <c r="R8224" t="s">
        <v>201</v>
      </c>
      <c r="S8224">
        <v>0</v>
      </c>
      <c r="T8224">
        <v>0</v>
      </c>
      <c r="U8224">
        <v>1002</v>
      </c>
      <c r="V8224">
        <v>1002</v>
      </c>
    </row>
    <row r="8225" spans="1:22">
      <c r="A8225" t="s">
        <v>2333</v>
      </c>
      <c r="B8225">
        <v>1</v>
      </c>
      <c r="C8225" t="s">
        <v>48</v>
      </c>
      <c r="D8225" t="s">
        <v>2544</v>
      </c>
      <c r="E8225" t="s">
        <v>2545</v>
      </c>
      <c r="F8225">
        <v>1005</v>
      </c>
      <c r="G8225" t="s">
        <v>48</v>
      </c>
      <c r="H8225" t="s">
        <v>2546</v>
      </c>
      <c r="I8225" t="s">
        <v>118</v>
      </c>
      <c r="J8225" t="s">
        <v>2547</v>
      </c>
      <c r="K8225" t="s">
        <v>2548</v>
      </c>
      <c r="L8225">
        <v>0</v>
      </c>
      <c r="N8225" t="s">
        <v>199</v>
      </c>
      <c r="O8225">
        <v>9</v>
      </c>
      <c r="P8225">
        <v>9643</v>
      </c>
      <c r="Q8225" t="s">
        <v>2367</v>
      </c>
      <c r="R8225" t="s">
        <v>201</v>
      </c>
      <c r="S8225">
        <v>1</v>
      </c>
      <c r="T8225">
        <v>1</v>
      </c>
      <c r="U8225">
        <v>109824</v>
      </c>
      <c r="V8225">
        <v>109824</v>
      </c>
    </row>
    <row r="8226" spans="1:22">
      <c r="A8226" t="s">
        <v>2333</v>
      </c>
      <c r="B8226">
        <v>1</v>
      </c>
      <c r="C8226" t="s">
        <v>48</v>
      </c>
      <c r="D8226" t="s">
        <v>2544</v>
      </c>
      <c r="E8226" t="s">
        <v>2545</v>
      </c>
      <c r="F8226">
        <v>1005</v>
      </c>
      <c r="G8226" t="s">
        <v>48</v>
      </c>
      <c r="H8226" t="s">
        <v>2546</v>
      </c>
      <c r="I8226" t="s">
        <v>118</v>
      </c>
      <c r="J8226" t="s">
        <v>2547</v>
      </c>
      <c r="K8226" t="s">
        <v>2548</v>
      </c>
      <c r="L8226">
        <v>0</v>
      </c>
      <c r="N8226" t="s">
        <v>199</v>
      </c>
      <c r="O8226">
        <v>0</v>
      </c>
      <c r="P8226">
        <v>44</v>
      </c>
      <c r="Q8226" t="s">
        <v>2337</v>
      </c>
      <c r="R8226" t="s">
        <v>201</v>
      </c>
      <c r="S8226">
        <v>0</v>
      </c>
      <c r="T8226">
        <v>0</v>
      </c>
      <c r="U8226">
        <v>61458</v>
      </c>
      <c r="V8226">
        <v>61458</v>
      </c>
    </row>
    <row r="8227" spans="1:22">
      <c r="A8227" t="s">
        <v>2333</v>
      </c>
      <c r="B8227">
        <v>5</v>
      </c>
      <c r="C8227" t="s">
        <v>83</v>
      </c>
      <c r="D8227" t="s">
        <v>2544</v>
      </c>
      <c r="E8227" t="s">
        <v>2545</v>
      </c>
      <c r="F8227">
        <v>1005</v>
      </c>
      <c r="G8227" t="s">
        <v>83</v>
      </c>
      <c r="H8227" t="s">
        <v>2546</v>
      </c>
      <c r="I8227" t="s">
        <v>118</v>
      </c>
      <c r="J8227" t="s">
        <v>2547</v>
      </c>
      <c r="K8227" t="s">
        <v>2548</v>
      </c>
      <c r="L8227">
        <v>0</v>
      </c>
      <c r="N8227" t="s">
        <v>199</v>
      </c>
      <c r="O8227">
        <v>9</v>
      </c>
      <c r="P8227">
        <v>9643</v>
      </c>
      <c r="Q8227" t="s">
        <v>2367</v>
      </c>
      <c r="R8227" t="s">
        <v>201</v>
      </c>
      <c r="S8227">
        <v>1</v>
      </c>
      <c r="T8227">
        <v>1</v>
      </c>
      <c r="U8227">
        <v>109824</v>
      </c>
      <c r="V8227">
        <v>109824</v>
      </c>
    </row>
    <row r="8228" spans="1:22">
      <c r="A8228" t="s">
        <v>2333</v>
      </c>
      <c r="B8228">
        <v>5</v>
      </c>
      <c r="C8228" t="s">
        <v>83</v>
      </c>
      <c r="D8228" t="s">
        <v>2544</v>
      </c>
      <c r="E8228" t="s">
        <v>2545</v>
      </c>
      <c r="F8228">
        <v>1005</v>
      </c>
      <c r="G8228" t="s">
        <v>83</v>
      </c>
      <c r="H8228" t="s">
        <v>2546</v>
      </c>
      <c r="I8228" t="s">
        <v>118</v>
      </c>
      <c r="J8228" t="s">
        <v>2547</v>
      </c>
      <c r="K8228" t="s">
        <v>2548</v>
      </c>
      <c r="L8228">
        <v>0</v>
      </c>
      <c r="N8228" t="s">
        <v>199</v>
      </c>
      <c r="O8228">
        <v>0</v>
      </c>
      <c r="P8228">
        <v>44</v>
      </c>
      <c r="Q8228" t="s">
        <v>2337</v>
      </c>
      <c r="R8228" t="s">
        <v>201</v>
      </c>
      <c r="S8228">
        <v>0</v>
      </c>
      <c r="T8228">
        <v>0</v>
      </c>
      <c r="U8228">
        <v>61458</v>
      </c>
      <c r="V8228">
        <v>61458</v>
      </c>
    </row>
    <row r="8229" spans="1:22">
      <c r="A8229" t="s">
        <v>2333</v>
      </c>
      <c r="B8229">
        <v>41</v>
      </c>
      <c r="C8229" t="s">
        <v>1097</v>
      </c>
      <c r="D8229" t="s">
        <v>2544</v>
      </c>
      <c r="E8229" t="s">
        <v>2545</v>
      </c>
      <c r="F8229">
        <v>1005</v>
      </c>
      <c r="G8229" t="s">
        <v>111</v>
      </c>
      <c r="H8229" t="s">
        <v>2546</v>
      </c>
      <c r="I8229" t="s">
        <v>118</v>
      </c>
      <c r="J8229" t="s">
        <v>2547</v>
      </c>
      <c r="K8229" t="s">
        <v>2548</v>
      </c>
      <c r="L8229">
        <v>0</v>
      </c>
      <c r="N8229" t="s">
        <v>199</v>
      </c>
      <c r="O8229">
        <v>9</v>
      </c>
      <c r="P8229">
        <v>9644</v>
      </c>
      <c r="Q8229" t="s">
        <v>2384</v>
      </c>
      <c r="R8229" t="s">
        <v>201</v>
      </c>
      <c r="S8229">
        <v>1</v>
      </c>
      <c r="T8229">
        <v>1</v>
      </c>
      <c r="U8229">
        <v>131124</v>
      </c>
      <c r="V8229">
        <v>131124</v>
      </c>
    </row>
    <row r="8230" spans="1:22">
      <c r="A8230" t="s">
        <v>2333</v>
      </c>
      <c r="B8230">
        <v>41</v>
      </c>
      <c r="C8230" t="s">
        <v>1097</v>
      </c>
      <c r="D8230" t="s">
        <v>2544</v>
      </c>
      <c r="E8230" t="s">
        <v>2545</v>
      </c>
      <c r="F8230">
        <v>1005</v>
      </c>
      <c r="G8230" t="s">
        <v>111</v>
      </c>
      <c r="H8230" t="s">
        <v>2546</v>
      </c>
      <c r="I8230" t="s">
        <v>118</v>
      </c>
      <c r="J8230" t="s">
        <v>2547</v>
      </c>
      <c r="K8230" t="s">
        <v>2548</v>
      </c>
      <c r="L8230">
        <v>0</v>
      </c>
      <c r="N8230" t="s">
        <v>199</v>
      </c>
      <c r="O8230">
        <v>9</v>
      </c>
      <c r="P8230">
        <v>9643</v>
      </c>
      <c r="Q8230" t="s">
        <v>2367</v>
      </c>
      <c r="R8230" t="s">
        <v>201</v>
      </c>
      <c r="S8230">
        <v>1</v>
      </c>
      <c r="T8230">
        <v>1</v>
      </c>
      <c r="U8230">
        <v>112020</v>
      </c>
      <c r="V8230">
        <v>112020</v>
      </c>
    </row>
    <row r="8231" spans="1:22">
      <c r="A8231" t="s">
        <v>2333</v>
      </c>
      <c r="B8231">
        <v>41</v>
      </c>
      <c r="C8231" t="s">
        <v>1097</v>
      </c>
      <c r="D8231" t="s">
        <v>2544</v>
      </c>
      <c r="E8231" t="s">
        <v>2545</v>
      </c>
      <c r="F8231">
        <v>1005</v>
      </c>
      <c r="G8231" t="s">
        <v>111</v>
      </c>
      <c r="H8231" t="s">
        <v>2546</v>
      </c>
      <c r="I8231" t="s">
        <v>118</v>
      </c>
      <c r="J8231" t="s">
        <v>2547</v>
      </c>
      <c r="K8231" t="s">
        <v>2548</v>
      </c>
      <c r="L8231">
        <v>0</v>
      </c>
      <c r="N8231" t="s">
        <v>199</v>
      </c>
      <c r="O8231">
        <v>0</v>
      </c>
      <c r="P8231">
        <v>44</v>
      </c>
      <c r="Q8231" t="s">
        <v>2337</v>
      </c>
      <c r="R8231" t="s">
        <v>201</v>
      </c>
      <c r="S8231">
        <v>0</v>
      </c>
      <c r="T8231">
        <v>0</v>
      </c>
      <c r="U8231">
        <v>136063</v>
      </c>
      <c r="V8231">
        <v>136063</v>
      </c>
    </row>
    <row r="8232" spans="1:22">
      <c r="A8232" t="s">
        <v>2333</v>
      </c>
      <c r="B8232">
        <v>54</v>
      </c>
      <c r="C8232" t="s">
        <v>42</v>
      </c>
      <c r="D8232" t="s">
        <v>2544</v>
      </c>
      <c r="E8232" t="s">
        <v>2545</v>
      </c>
      <c r="F8232">
        <v>1005</v>
      </c>
      <c r="G8232" t="s">
        <v>42</v>
      </c>
      <c r="H8232" t="s">
        <v>2546</v>
      </c>
      <c r="I8232" t="s">
        <v>118</v>
      </c>
      <c r="J8232" t="s">
        <v>2547</v>
      </c>
      <c r="K8232" t="s">
        <v>2548</v>
      </c>
      <c r="L8232">
        <v>0</v>
      </c>
      <c r="N8232" t="s">
        <v>199</v>
      </c>
      <c r="O8232">
        <v>9</v>
      </c>
      <c r="P8232">
        <v>9646</v>
      </c>
      <c r="Q8232" t="s">
        <v>2549</v>
      </c>
      <c r="R8232" t="s">
        <v>201</v>
      </c>
      <c r="S8232">
        <v>1</v>
      </c>
      <c r="T8232">
        <v>1</v>
      </c>
      <c r="U8232">
        <v>135384</v>
      </c>
      <c r="V8232">
        <v>135384</v>
      </c>
    </row>
    <row r="8233" spans="1:22">
      <c r="A8233" t="s">
        <v>2333</v>
      </c>
      <c r="B8233">
        <v>54</v>
      </c>
      <c r="C8233" t="s">
        <v>42</v>
      </c>
      <c r="D8233" t="s">
        <v>2544</v>
      </c>
      <c r="E8233" t="s">
        <v>2545</v>
      </c>
      <c r="F8233">
        <v>1005</v>
      </c>
      <c r="G8233" t="s">
        <v>42</v>
      </c>
      <c r="H8233" t="s">
        <v>2546</v>
      </c>
      <c r="I8233" t="s">
        <v>118</v>
      </c>
      <c r="J8233" t="s">
        <v>2547</v>
      </c>
      <c r="K8233" t="s">
        <v>2548</v>
      </c>
      <c r="L8233">
        <v>0</v>
      </c>
      <c r="N8233" t="s">
        <v>199</v>
      </c>
      <c r="O8233">
        <v>0</v>
      </c>
      <c r="P8233">
        <v>44</v>
      </c>
      <c r="Q8233" t="s">
        <v>2337</v>
      </c>
      <c r="R8233" t="s">
        <v>201</v>
      </c>
      <c r="S8233">
        <v>0</v>
      </c>
      <c r="T8233">
        <v>0</v>
      </c>
      <c r="U8233">
        <v>75761</v>
      </c>
      <c r="V8233">
        <v>75761</v>
      </c>
    </row>
    <row r="8234" spans="1:22">
      <c r="A8234" t="s">
        <v>2333</v>
      </c>
      <c r="B8234">
        <v>70</v>
      </c>
      <c r="C8234" t="s">
        <v>40</v>
      </c>
      <c r="D8234" t="s">
        <v>2544</v>
      </c>
      <c r="E8234" t="s">
        <v>2545</v>
      </c>
      <c r="F8234">
        <v>1005</v>
      </c>
      <c r="G8234" t="s">
        <v>40</v>
      </c>
      <c r="H8234" t="s">
        <v>2546</v>
      </c>
      <c r="I8234" t="s">
        <v>118</v>
      </c>
      <c r="J8234" t="s">
        <v>2547</v>
      </c>
      <c r="K8234" t="s">
        <v>2548</v>
      </c>
      <c r="L8234">
        <v>0</v>
      </c>
      <c r="N8234" t="s">
        <v>199</v>
      </c>
      <c r="O8234">
        <v>9</v>
      </c>
      <c r="P8234">
        <v>9646</v>
      </c>
      <c r="Q8234" t="s">
        <v>2549</v>
      </c>
      <c r="R8234" t="s">
        <v>201</v>
      </c>
      <c r="S8234">
        <v>1</v>
      </c>
      <c r="T8234">
        <v>1</v>
      </c>
      <c r="U8234">
        <v>140808</v>
      </c>
      <c r="V8234">
        <v>140808</v>
      </c>
    </row>
    <row r="8235" spans="1:22">
      <c r="A8235" t="s">
        <v>2333</v>
      </c>
      <c r="B8235">
        <v>70</v>
      </c>
      <c r="C8235" t="s">
        <v>40</v>
      </c>
      <c r="D8235" t="s">
        <v>2544</v>
      </c>
      <c r="E8235" t="s">
        <v>2545</v>
      </c>
      <c r="F8235">
        <v>1005</v>
      </c>
      <c r="G8235" t="s">
        <v>40</v>
      </c>
      <c r="H8235" t="s">
        <v>2546</v>
      </c>
      <c r="I8235" t="s">
        <v>118</v>
      </c>
      <c r="J8235" t="s">
        <v>2547</v>
      </c>
      <c r="K8235" t="s">
        <v>2548</v>
      </c>
      <c r="L8235">
        <v>0</v>
      </c>
      <c r="N8235" t="s">
        <v>249</v>
      </c>
      <c r="O8235">
        <v>10</v>
      </c>
      <c r="P8235">
        <v>311</v>
      </c>
      <c r="Q8235" t="s">
        <v>661</v>
      </c>
      <c r="R8235" t="s">
        <v>201</v>
      </c>
      <c r="S8235">
        <v>2</v>
      </c>
      <c r="T8235">
        <v>1</v>
      </c>
      <c r="U8235">
        <v>102444</v>
      </c>
      <c r="V8235">
        <v>204888</v>
      </c>
    </row>
    <row r="8236" spans="1:22">
      <c r="A8236" t="s">
        <v>2333</v>
      </c>
      <c r="B8236">
        <v>70</v>
      </c>
      <c r="C8236" t="s">
        <v>40</v>
      </c>
      <c r="D8236" t="s">
        <v>2544</v>
      </c>
      <c r="E8236" t="s">
        <v>2545</v>
      </c>
      <c r="F8236">
        <v>1005</v>
      </c>
      <c r="G8236" t="s">
        <v>40</v>
      </c>
      <c r="H8236" t="s">
        <v>2546</v>
      </c>
      <c r="I8236" t="s">
        <v>118</v>
      </c>
      <c r="J8236" t="s">
        <v>2547</v>
      </c>
      <c r="K8236" t="s">
        <v>2548</v>
      </c>
      <c r="L8236">
        <v>0</v>
      </c>
      <c r="N8236" t="s">
        <v>199</v>
      </c>
      <c r="O8236">
        <v>0</v>
      </c>
      <c r="P8236">
        <v>44</v>
      </c>
      <c r="Q8236" t="s">
        <v>2337</v>
      </c>
      <c r="R8236" t="s">
        <v>201</v>
      </c>
      <c r="S8236">
        <v>0</v>
      </c>
      <c r="T8236">
        <v>0</v>
      </c>
      <c r="U8236">
        <v>193451</v>
      </c>
      <c r="V8236">
        <v>193451</v>
      </c>
    </row>
  </sheetData>
  <autoFilter ref="A1:V8236" xr:uid="{BD0378C8-2168-4195-BD30-7CD2CFD724B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2026-05-16T03:36:52Z</dcterms:created>
  <dcterms:modified xsi:type="dcterms:W3CDTF">2026-05-16T23:29:25Z</dcterms:modified>
  <cp:category/>
  <cp:contentStatus/>
</cp:coreProperties>
</file>